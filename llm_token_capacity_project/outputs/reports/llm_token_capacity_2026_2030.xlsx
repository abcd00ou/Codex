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0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0a_Proxy_TPS_MW" sheetId="2" state="visible" r:id="rId2"/>
    <sheet xmlns:r="http://schemas.openxmlformats.org/officeDocument/2006/relationships" name="01_Benchmark_Input" sheetId="3" state="visible" r:id="rId3"/>
    <sheet xmlns:r="http://schemas.openxmlformats.org/officeDocument/2006/relationships" name="01b_Interactivity" sheetId="4" state="visible" r:id="rId4"/>
    <sheet xmlns:r="http://schemas.openxmlformats.org/officeDocument/2006/relationships" name="02_Inputs" sheetId="5" state="visible" r:id="rId5"/>
    <sheet xmlns:r="http://schemas.openxmlformats.org/officeDocument/2006/relationships" name="02a_DC_Capacity_Alloc" sheetId="6" state="visible" r:id="rId6"/>
    <sheet xmlns:r="http://schemas.openxmlformats.org/officeDocument/2006/relationships" name="02b_DC_Accelerator_Mix" sheetId="7" state="visible" r:id="rId7"/>
    <sheet xmlns:r="http://schemas.openxmlformats.org/officeDocument/2006/relationships" name="02c_DC_Accel_Bridge" sheetId="8" state="visible" r:id="rId8"/>
    <sheet xmlns:r="http://schemas.openxmlformats.org/officeDocument/2006/relationships" name="02_GPU_Mix_Input" sheetId="9" state="visible" r:id="rId9"/>
    <sheet xmlns:r="http://schemas.openxmlformats.org/officeDocument/2006/relationships" name="03_Calculation" sheetId="10" state="visible" r:id="rId10"/>
    <sheet xmlns:r="http://schemas.openxmlformats.org/officeDocument/2006/relationships" name="04_Output" sheetId="11" state="visible" r:id="rId11"/>
    <sheet xmlns:r="http://schemas.openxmlformats.org/officeDocument/2006/relationships" name="05_Checks" sheetId="12" state="visible" r:id="rId12"/>
    <sheet xmlns:r="http://schemas.openxmlformats.org/officeDocument/2006/relationships" name="06_Aggressive_View" sheetId="13" state="visible" r:id="rId13"/>
    <sheet xmlns:r="http://schemas.openxmlformats.org/officeDocument/2006/relationships" name="07_Source_Registry" sheetId="14" state="visible" r:id="rId14"/>
    <sheet xmlns:r="http://schemas.openxmlformats.org/officeDocument/2006/relationships" name="08_Provenance_Trace" sheetId="15" state="visible" r:id="rId15"/>
    <sheet xmlns:r="http://schemas.openxmlformats.org/officeDocument/2006/relationships" name="09_Fact_Assumption_Audit" sheetId="16" state="visible" r:id="rId16"/>
  </sheets>
  <definedNames>
    <definedName name="_xlnm._FilterDatabase" localSheetId="1" hidden="1">'00a_Proxy_TPS_MW'!$A$1:$S$226</definedName>
    <definedName name="_xlnm._FilterDatabase" localSheetId="2" hidden="1">'01_Benchmark_Input'!$A$1:$AJ$10</definedName>
    <definedName name="_xlnm._FilterDatabase" localSheetId="3" hidden="1">'01b_Interactivity'!$A$1:$S$226</definedName>
    <definedName name="_xlnm._FilterDatabase" localSheetId="4" hidden="1">'02_Inputs'!$A$1:$K$181</definedName>
    <definedName name="_xlnm._FilterDatabase" localSheetId="5" hidden="1">'02a_DC_Capacity_Alloc'!$A$1:$S$1057</definedName>
    <definedName name="_xlnm._FilterDatabase" localSheetId="6" hidden="1">'02b_DC_Accelerator_Mix'!$A$1:$R$977</definedName>
    <definedName name="_xlnm._FilterDatabase" localSheetId="7" hidden="1">'02c_DC_Accel_Bridge'!$A$1:$AB$1057</definedName>
    <definedName name="_xlnm._FilterDatabase" localSheetId="8" hidden="1">'02_GPU_Mix_Input'!$A$1:$R$181</definedName>
    <definedName name="_xlnm._FilterDatabase" localSheetId="9" hidden="1">'03_Calculation'!$A$1:$AC$181</definedName>
    <definedName name="_xlnm._FilterDatabase" localSheetId="11" hidden="1">'05_Checks'!$A$1:$C$9</definedName>
    <definedName name="_xlnm._FilterDatabase" localSheetId="13" hidden="1">'07_Source_Registry'!$A$1:$I$73</definedName>
    <definedName name="_xlnm._FilterDatabase" localSheetId="14" hidden="1">'08_Provenance_Trace'!$A$1:$L$4141</definedName>
    <definedName name="_xlnm._FilterDatabase" localSheetId="15" hidden="1">'09_Fact_Assumption_Audit'!$A$1:$J$82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9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EAF2FF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3" fontId="0" fillId="4" borderId="0" applyAlignment="1" pivotButton="0" quotePrefix="0" xfId="0">
      <alignment vertical="top" wrapText="1"/>
    </xf>
    <xf numFmtId="2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2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0" fillId="6" borderId="0" applyAlignment="1" pivotButton="0" quotePrefix="0" xfId="0">
      <alignment vertical="top" wrapText="1"/>
    </xf>
    <xf numFmtId="3" fontId="0" fillId="6" borderId="0" applyAlignment="1" pivotButton="0" quotePrefix="0" xfId="0">
      <alignment vertical="top" wrapText="1"/>
    </xf>
    <xf numFmtId="2" fontId="0" fillId="6" borderId="0" applyAlignment="1" pivotButton="0" quotePrefix="0" xfId="0">
      <alignment vertical="top" wrapText="1"/>
    </xf>
    <xf numFmtId="164" fontId="4" fillId="7" borderId="0" applyAlignment="1" pivotButton="0" quotePrefix="0" xfId="0">
      <alignment vertical="top" wrapText="1"/>
    </xf>
    <xf numFmtId="3" fontId="4" fillId="7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4" fontId="0" fillId="4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164" fontId="0" fillId="7" borderId="0" applyAlignment="1" pivotButton="0" quotePrefix="0" xfId="0">
      <alignment vertical="top" wrapText="1"/>
    </xf>
    <xf numFmtId="165" fontId="4" fillId="7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5" fontId="0" fillId="4" borderId="0" applyAlignment="1" pivotButton="0" quotePrefix="0" xfId="0">
      <alignment vertical="top" wrapText="1"/>
    </xf>
    <xf numFmtId="166" fontId="0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166" fontId="2" fillId="8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3" fillId="2" borderId="0" pivotButton="0" quotePrefix="0" xfId="0"/>
    <xf numFmtId="0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모델/GPU/workload/interactivity별 proxy TPS/MW는 `00a_Proxy_TPS_MW`에서 확인하고, Chat workload 비율과 GPU별 chat-length TPS/MW는 `01_Benchmark_Input`, 데이터센터 capacity allocation은 `02a`, 데이터센터 accelerator mix는 `02b`에서 교체합니다.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gpu_workload_avg_tps_per_mw = short_share*gpu_short_tps + long_share*gpu_long_tps + agentic_share*gpu_agentic_tps</t>
        </is>
      </c>
    </row>
    <row r="7" ht="30" customHeight="1">
      <c r="A7" s="2" t="inlineStr">
        <is>
          <t>Step 4</t>
        </is>
      </c>
      <c r="B7" s="3" t="inlineStr">
        <is>
          <t>company accelerator mix = sum(datacenter inference_weight * datacenter accelerator share) / sum(datacenter inference_weight), then fleet_reference_tps_per_mw = sum(company accelerator share * workload_avg_tps_per_mw)</t>
        </is>
      </c>
    </row>
    <row r="8" ht="30" customHeight="1">
      <c r="A8" s="2" t="inlineStr">
        <is>
          <t>Step 4b</t>
        </is>
      </c>
      <c r="B8" s="3" t="inlineStr">
        <is>
          <t>serving_tps_per_mw = fleet_reference_tps_per_mw * commercial_workload_fit_factor</t>
        </is>
      </c>
    </row>
    <row r="9" ht="30" customHeight="1">
      <c r="A9" s="2" t="inlineStr">
        <is>
          <t>Step 5</t>
        </is>
      </c>
      <c r="B9" s="3" t="inlineStr">
        <is>
          <t>generated_output_tokens_per_day = inference_gw * 1,000 * serving_tps_per_mw * 86,400</t>
        </is>
      </c>
    </row>
    <row r="10" ht="30" customHeight="1">
      <c r="A10" s="2" t="inlineStr">
        <is>
          <t>GPU mix rule</t>
        </is>
      </c>
      <c r="B10" s="3" t="inlineStr">
        <is>
          <t>`02_GPU_Mix_Input`은 `02a_DC_Capacity_Alloc`과 `02b_DC_Accelerator_Mix`에서 자동 산출됩니다. H200/B200/GB200/purpose-or-unbenchmarked share의 합은 100%입니다.</t>
        </is>
      </c>
    </row>
    <row r="11" ht="30" customHeight="1">
      <c r="A11" s="2" t="inlineStr">
        <is>
          <t>Benchmark rule</t>
        </is>
      </c>
      <c r="B11" s="3" t="inlineStr">
        <is>
          <t>Short chat은 ISL/OSL 1024/1024, long chat은 8192/1024입니다. TPS/MW는 concurrency 32-256 안에서 Dynamo/TRT-LLM/MTP 계열 stack을 우선하고, 없으면 같은 조건의 public max row를 씁니다. Agentic은 Kimi K2.5 dynamic reasoning에서 산출한 agentic/long TPS/MW ratio를 long-context TPS/MW에 적용합니다.</t>
        </is>
      </c>
    </row>
    <row r="12" ht="30" customHeight="1">
      <c r="A12" s="2" t="inlineStr">
        <is>
          <t>Purpose-built rule</t>
        </is>
      </c>
      <c r="B12" s="3" t="inlineStr">
        <is>
          <t>Comparable TPS/MW가 없으면 B200 placeholder를 사용하며 사용자 입력으로 교체합니다.</t>
        </is>
      </c>
    </row>
    <row r="13" ht="30" customHeight="1">
      <c r="A13" s="2" t="inlineStr">
        <is>
          <t>Excluded</t>
        </is>
      </c>
      <c r="B13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0" customWidth="1" min="3" max="3"/>
    <col width="12" customWidth="1" min="4" max="4"/>
    <col width="18" customWidth="1" min="5" max="5"/>
    <col width="12" customWidth="1" min="6" max="6"/>
    <col width="12" customWidth="1" min="7" max="7"/>
    <col width="24" customWidth="1" min="8" max="8"/>
    <col width="18" customWidth="1" min="9" max="9"/>
    <col width="14" customWidth="1" min="10" max="10"/>
    <col width="18" customWidth="1" min="11" max="11"/>
    <col width="14" customWidth="1" min="12" max="12"/>
    <col width="10" customWidth="1" min="13" max="13"/>
    <col width="10" customWidth="1" min="14" max="14"/>
    <col width="24" customWidth="1" min="15" max="15"/>
    <col width="26" customWidth="1" min="16" max="16"/>
    <col width="16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source_model_scope</t>
        </is>
      </c>
      <c r="C1" s="4" t="inlineStr">
        <is>
          <t>gpu</t>
        </is>
      </c>
      <c r="D1" s="4" t="inlineStr">
        <is>
          <t>workload</t>
        </is>
      </c>
      <c r="E1" s="4" t="inlineStr">
        <is>
          <t>target_tok_s_user</t>
        </is>
      </c>
      <c r="F1" s="4" t="inlineStr">
        <is>
          <t>target_met</t>
        </is>
      </c>
      <c r="G1" s="4" t="inlineStr">
        <is>
          <t>slo_gap_pct</t>
        </is>
      </c>
      <c r="H1" s="4" t="inlineStr">
        <is>
          <t>effective_output_tps_per_mw</t>
        </is>
      </c>
      <c r="I1" s="4" t="inlineStr">
        <is>
          <t>selected_tok_s_user</t>
        </is>
      </c>
      <c r="J1" s="4" t="inlineStr">
        <is>
          <t>precision</t>
        </is>
      </c>
      <c r="K1" s="4" t="inlineStr">
        <is>
          <t>framework</t>
        </is>
      </c>
      <c r="L1" s="4" t="inlineStr">
        <is>
          <t>concurrency</t>
        </is>
      </c>
      <c r="M1" s="4" t="inlineStr">
        <is>
          <t>isl</t>
        </is>
      </c>
      <c r="N1" s="4" t="inlineStr">
        <is>
          <t>osl</t>
        </is>
      </c>
      <c r="O1" s="4" t="inlineStr">
        <is>
          <t>selection_status</t>
        </is>
      </c>
      <c r="P1" s="4" t="inlineStr">
        <is>
          <t>source_type</t>
        </is>
      </c>
      <c r="Q1" s="4" t="inlineStr">
        <is>
          <t>confidence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5" t="inlineStr">
        <is>
          <t>dsr1</t>
        </is>
      </c>
      <c r="B2" s="5" t="inlineStr">
        <is>
          <t>dsr1</t>
        </is>
      </c>
      <c r="C2" s="5" t="inlineStr">
        <is>
          <t>H200</t>
        </is>
      </c>
      <c r="D2" s="5" t="inlineStr">
        <is>
          <t>short</t>
        </is>
      </c>
      <c r="E2" s="5" t="inlineStr">
        <is>
          <t>10</t>
        </is>
      </c>
      <c r="F2" s="5" t="inlineStr">
        <is>
          <t>True</t>
        </is>
      </c>
      <c r="G2" s="6" t="inlineStr">
        <is>
          <t>0.0</t>
        </is>
      </c>
      <c r="H2" s="7" t="inlineStr">
        <is>
          <t>47614.0</t>
        </is>
      </c>
      <c r="I2" s="8" t="inlineStr">
        <is>
          <t>10.3</t>
        </is>
      </c>
      <c r="J2" s="5" t="inlineStr">
        <is>
          <t>fp8</t>
        </is>
      </c>
      <c r="K2" s="5" t="inlineStr">
        <is>
          <t>sglang</t>
        </is>
      </c>
      <c r="L2" s="5" t="inlineStr">
        <is>
          <t>8</t>
        </is>
      </c>
      <c r="M2" s="5" t="inlineStr">
        <is>
          <t>1024</t>
        </is>
      </c>
      <c r="N2" s="5" t="inlineStr">
        <is>
          <t>1024</t>
        </is>
      </c>
      <c r="O2" s="5" t="inlineStr">
        <is>
          <t>selected_public_max</t>
        </is>
      </c>
      <c r="P2" s="5" t="inlineStr">
        <is>
          <t>direct_target_row</t>
        </is>
      </c>
      <c r="Q2" s="5" t="inlineStr">
        <is>
          <t>medium</t>
        </is>
      </c>
      <c r="R2" s="5" t="inlineStr">
        <is>
          <t>2026-05-17T00:00:00.000Z</t>
        </is>
      </c>
      <c r="S2" s="5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9" t="inlineStr">
        <is>
          <t>dsr1</t>
        </is>
      </c>
      <c r="B3" s="9" t="inlineStr">
        <is>
          <t>dsr1</t>
        </is>
      </c>
      <c r="C3" s="9" t="inlineStr">
        <is>
          <t>H200</t>
        </is>
      </c>
      <c r="D3" s="9" t="inlineStr">
        <is>
          <t>short</t>
        </is>
      </c>
      <c r="E3" s="9" t="inlineStr">
        <is>
          <t>30</t>
        </is>
      </c>
      <c r="F3" s="9" t="inlineStr">
        <is>
          <t>False</t>
        </is>
      </c>
      <c r="G3" s="10" t="inlineStr">
        <is>
          <t>0.6566666666666666</t>
        </is>
      </c>
      <c r="H3" s="11" t="inlineStr">
        <is>
          <t>47614.0</t>
        </is>
      </c>
      <c r="I3" s="12" t="inlineStr">
        <is>
          <t>10.3</t>
        </is>
      </c>
      <c r="J3" s="9" t="inlineStr">
        <is>
          <t>fp8</t>
        </is>
      </c>
      <c r="K3" s="9" t="inlineStr">
        <is>
          <t>sglang</t>
        </is>
      </c>
      <c r="L3" s="9" t="inlineStr">
        <is>
          <t>8</t>
        </is>
      </c>
      <c r="M3" s="9" t="inlineStr">
        <is>
          <t>1024</t>
        </is>
      </c>
      <c r="N3" s="9" t="inlineStr">
        <is>
          <t>1024</t>
        </is>
      </c>
      <c r="O3" s="9" t="inlineStr">
        <is>
          <t>selected_public_max</t>
        </is>
      </c>
      <c r="P3" s="9" t="inlineStr">
        <is>
          <t>best_available_below_target</t>
        </is>
      </c>
      <c r="Q3" s="9" t="inlineStr">
        <is>
          <t>low_target_gap</t>
        </is>
      </c>
      <c r="R3" s="9" t="inlineStr">
        <is>
          <t>2026-05-17T00:00:00.000Z</t>
        </is>
      </c>
      <c r="S3" s="9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9" t="inlineStr">
        <is>
          <t>dsr1</t>
        </is>
      </c>
      <c r="B4" s="9" t="inlineStr">
        <is>
          <t>dsr1</t>
        </is>
      </c>
      <c r="C4" s="9" t="inlineStr">
        <is>
          <t>H200</t>
        </is>
      </c>
      <c r="D4" s="9" t="inlineStr">
        <is>
          <t>short</t>
        </is>
      </c>
      <c r="E4" s="9" t="inlineStr">
        <is>
          <t>50</t>
        </is>
      </c>
      <c r="F4" s="9" t="inlineStr">
        <is>
          <t>False</t>
        </is>
      </c>
      <c r="G4" s="10" t="inlineStr">
        <is>
          <t>0.794</t>
        </is>
      </c>
      <c r="H4" s="11" t="inlineStr">
        <is>
          <t>47614.0</t>
        </is>
      </c>
      <c r="I4" s="12" t="inlineStr">
        <is>
          <t>10.3</t>
        </is>
      </c>
      <c r="J4" s="9" t="inlineStr">
        <is>
          <t>fp8</t>
        </is>
      </c>
      <c r="K4" s="9" t="inlineStr">
        <is>
          <t>sglang</t>
        </is>
      </c>
      <c r="L4" s="9" t="inlineStr">
        <is>
          <t>8</t>
        </is>
      </c>
      <c r="M4" s="9" t="inlineStr">
        <is>
          <t>1024</t>
        </is>
      </c>
      <c r="N4" s="9" t="inlineStr">
        <is>
          <t>1024</t>
        </is>
      </c>
      <c r="O4" s="9" t="inlineStr">
        <is>
          <t>selected_public_max</t>
        </is>
      </c>
      <c r="P4" s="9" t="inlineStr">
        <is>
          <t>best_available_below_target</t>
        </is>
      </c>
      <c r="Q4" s="9" t="inlineStr">
        <is>
          <t>low_target_gap</t>
        </is>
      </c>
      <c r="R4" s="9" t="inlineStr">
        <is>
          <t>2026-05-17T00:00:00.000Z</t>
        </is>
      </c>
      <c r="S4" s="9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9" t="inlineStr">
        <is>
          <t>dsr1</t>
        </is>
      </c>
      <c r="B5" s="9" t="inlineStr">
        <is>
          <t>dsr1</t>
        </is>
      </c>
      <c r="C5" s="9" t="inlineStr">
        <is>
          <t>H200</t>
        </is>
      </c>
      <c r="D5" s="9" t="inlineStr">
        <is>
          <t>short</t>
        </is>
      </c>
      <c r="E5" s="9" t="inlineStr">
        <is>
          <t>70</t>
        </is>
      </c>
      <c r="F5" s="9" t="inlineStr">
        <is>
          <t>False</t>
        </is>
      </c>
      <c r="G5" s="10" t="inlineStr">
        <is>
          <t>0.8528571428571429</t>
        </is>
      </c>
      <c r="H5" s="11" t="inlineStr">
        <is>
          <t>47614.0</t>
        </is>
      </c>
      <c r="I5" s="12" t="inlineStr">
        <is>
          <t>10.3</t>
        </is>
      </c>
      <c r="J5" s="9" t="inlineStr">
        <is>
          <t>fp8</t>
        </is>
      </c>
      <c r="K5" s="9" t="inlineStr">
        <is>
          <t>sglang</t>
        </is>
      </c>
      <c r="L5" s="9" t="inlineStr">
        <is>
          <t>8</t>
        </is>
      </c>
      <c r="M5" s="9" t="inlineStr">
        <is>
          <t>1024</t>
        </is>
      </c>
      <c r="N5" s="9" t="inlineStr">
        <is>
          <t>1024</t>
        </is>
      </c>
      <c r="O5" s="9" t="inlineStr">
        <is>
          <t>selected_public_max</t>
        </is>
      </c>
      <c r="P5" s="9" t="inlineStr">
        <is>
          <t>best_available_below_target</t>
        </is>
      </c>
      <c r="Q5" s="9" t="inlineStr">
        <is>
          <t>low_target_gap</t>
        </is>
      </c>
      <c r="R5" s="9" t="inlineStr">
        <is>
          <t>2026-05-17T00:00:00.000Z</t>
        </is>
      </c>
      <c r="S5" s="9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9" t="inlineStr">
        <is>
          <t>dsr1</t>
        </is>
      </c>
      <c r="B6" s="9" t="inlineStr">
        <is>
          <t>dsr1</t>
        </is>
      </c>
      <c r="C6" s="9" t="inlineStr">
        <is>
          <t>H200</t>
        </is>
      </c>
      <c r="D6" s="9" t="inlineStr">
        <is>
          <t>short</t>
        </is>
      </c>
      <c r="E6" s="9" t="inlineStr">
        <is>
          <t>100</t>
        </is>
      </c>
      <c r="F6" s="9" t="inlineStr">
        <is>
          <t>False</t>
        </is>
      </c>
      <c r="G6" s="10" t="inlineStr">
        <is>
          <t>0.897</t>
        </is>
      </c>
      <c r="H6" s="11" t="inlineStr">
        <is>
          <t>47614.0</t>
        </is>
      </c>
      <c r="I6" s="12" t="inlineStr">
        <is>
          <t>10.3</t>
        </is>
      </c>
      <c r="J6" s="9" t="inlineStr">
        <is>
          <t>fp8</t>
        </is>
      </c>
      <c r="K6" s="9" t="inlineStr">
        <is>
          <t>sglang</t>
        </is>
      </c>
      <c r="L6" s="9" t="inlineStr">
        <is>
          <t>8</t>
        </is>
      </c>
      <c r="M6" s="9" t="inlineStr">
        <is>
          <t>1024</t>
        </is>
      </c>
      <c r="N6" s="9" t="inlineStr">
        <is>
          <t>1024</t>
        </is>
      </c>
      <c r="O6" s="9" t="inlineStr">
        <is>
          <t>selected_public_max</t>
        </is>
      </c>
      <c r="P6" s="9" t="inlineStr">
        <is>
          <t>best_available_below_target</t>
        </is>
      </c>
      <c r="Q6" s="9" t="inlineStr">
        <is>
          <t>low_target_gap</t>
        </is>
      </c>
      <c r="R6" s="9" t="inlineStr">
        <is>
          <t>2026-05-17T00:00:00.000Z</t>
        </is>
      </c>
      <c r="S6" s="9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5" t="inlineStr">
        <is>
          <t>dsr1</t>
        </is>
      </c>
      <c r="B7" s="5" t="inlineStr">
        <is>
          <t>dsr1</t>
        </is>
      </c>
      <c r="C7" s="5" t="inlineStr">
        <is>
          <t>H200</t>
        </is>
      </c>
      <c r="D7" s="5" t="inlineStr">
        <is>
          <t>long</t>
        </is>
      </c>
      <c r="E7" s="5" t="inlineStr">
        <is>
          <t>10</t>
        </is>
      </c>
      <c r="F7" s="5" t="inlineStr">
        <is>
          <t>True</t>
        </is>
      </c>
      <c r="G7" s="6" t="inlineStr">
        <is>
          <t>0.0</t>
        </is>
      </c>
      <c r="H7" s="7" t="inlineStr">
        <is>
          <t>27722.0</t>
        </is>
      </c>
      <c r="I7" s="8" t="inlineStr">
        <is>
          <t>11.99</t>
        </is>
      </c>
      <c r="J7" s="5" t="inlineStr">
        <is>
          <t>fp8</t>
        </is>
      </c>
      <c r="K7" s="5" t="inlineStr">
        <is>
          <t>sglang</t>
        </is>
      </c>
      <c r="L7" s="5" t="inlineStr">
        <is>
          <t>4</t>
        </is>
      </c>
      <c r="M7" s="5" t="inlineStr">
        <is>
          <t>8192</t>
        </is>
      </c>
      <c r="N7" s="5" t="inlineStr">
        <is>
          <t>1024</t>
        </is>
      </c>
      <c r="O7" s="5" t="inlineStr">
        <is>
          <t>selected_public_max</t>
        </is>
      </c>
      <c r="P7" s="5" t="inlineStr">
        <is>
          <t>direct_target_row</t>
        </is>
      </c>
      <c r="Q7" s="5" t="inlineStr">
        <is>
          <t>medium</t>
        </is>
      </c>
      <c r="R7" s="5" t="inlineStr">
        <is>
          <t>2026-05-20T00:00:00.000Z</t>
        </is>
      </c>
      <c r="S7" s="5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9" t="inlineStr">
        <is>
          <t>dsr1</t>
        </is>
      </c>
      <c r="B8" s="9" t="inlineStr">
        <is>
          <t>dsr1</t>
        </is>
      </c>
      <c r="C8" s="9" t="inlineStr">
        <is>
          <t>H200</t>
        </is>
      </c>
      <c r="D8" s="9" t="inlineStr">
        <is>
          <t>long</t>
        </is>
      </c>
      <c r="E8" s="9" t="inlineStr">
        <is>
          <t>30</t>
        </is>
      </c>
      <c r="F8" s="9" t="inlineStr">
        <is>
          <t>False</t>
        </is>
      </c>
      <c r="G8" s="10" t="inlineStr">
        <is>
          <t>0.6003333333333333</t>
        </is>
      </c>
      <c r="H8" s="11" t="inlineStr">
        <is>
          <t>27722.0</t>
        </is>
      </c>
      <c r="I8" s="12" t="inlineStr">
        <is>
          <t>11.99</t>
        </is>
      </c>
      <c r="J8" s="9" t="inlineStr">
        <is>
          <t>fp8</t>
        </is>
      </c>
      <c r="K8" s="9" t="inlineStr">
        <is>
          <t>sglang</t>
        </is>
      </c>
      <c r="L8" s="9" t="inlineStr">
        <is>
          <t>4</t>
        </is>
      </c>
      <c r="M8" s="9" t="inlineStr">
        <is>
          <t>8192</t>
        </is>
      </c>
      <c r="N8" s="9" t="inlineStr">
        <is>
          <t>1024</t>
        </is>
      </c>
      <c r="O8" s="9" t="inlineStr">
        <is>
          <t>selected_public_max</t>
        </is>
      </c>
      <c r="P8" s="9" t="inlineStr">
        <is>
          <t>best_available_below_target</t>
        </is>
      </c>
      <c r="Q8" s="9" t="inlineStr">
        <is>
          <t>low_target_gap</t>
        </is>
      </c>
      <c r="R8" s="9" t="inlineStr">
        <is>
          <t>2026-05-20T00:00:00.000Z</t>
        </is>
      </c>
      <c r="S8" s="9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9" t="inlineStr">
        <is>
          <t>dsr1</t>
        </is>
      </c>
      <c r="B9" s="9" t="inlineStr">
        <is>
          <t>dsr1</t>
        </is>
      </c>
      <c r="C9" s="9" t="inlineStr">
        <is>
          <t>H200</t>
        </is>
      </c>
      <c r="D9" s="9" t="inlineStr">
        <is>
          <t>long</t>
        </is>
      </c>
      <c r="E9" s="9" t="inlineStr">
        <is>
          <t>50</t>
        </is>
      </c>
      <c r="F9" s="9" t="inlineStr">
        <is>
          <t>False</t>
        </is>
      </c>
      <c r="G9" s="10" t="inlineStr">
        <is>
          <t>0.7602</t>
        </is>
      </c>
      <c r="H9" s="11" t="inlineStr">
        <is>
          <t>27722.0</t>
        </is>
      </c>
      <c r="I9" s="12" t="inlineStr">
        <is>
          <t>11.99</t>
        </is>
      </c>
      <c r="J9" s="9" t="inlineStr">
        <is>
          <t>fp8</t>
        </is>
      </c>
      <c r="K9" s="9" t="inlineStr">
        <is>
          <t>sglang</t>
        </is>
      </c>
      <c r="L9" s="9" t="inlineStr">
        <is>
          <t>4</t>
        </is>
      </c>
      <c r="M9" s="9" t="inlineStr">
        <is>
          <t>8192</t>
        </is>
      </c>
      <c r="N9" s="9" t="inlineStr">
        <is>
          <t>1024</t>
        </is>
      </c>
      <c r="O9" s="9" t="inlineStr">
        <is>
          <t>selected_public_max</t>
        </is>
      </c>
      <c r="P9" s="9" t="inlineStr">
        <is>
          <t>best_available_below_target</t>
        </is>
      </c>
      <c r="Q9" s="9" t="inlineStr">
        <is>
          <t>low_target_gap</t>
        </is>
      </c>
      <c r="R9" s="9" t="inlineStr">
        <is>
          <t>2026-05-20T00:00:00.000Z</t>
        </is>
      </c>
      <c r="S9" s="9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9" t="inlineStr">
        <is>
          <t>dsr1</t>
        </is>
      </c>
      <c r="B10" s="9" t="inlineStr">
        <is>
          <t>dsr1</t>
        </is>
      </c>
      <c r="C10" s="9" t="inlineStr">
        <is>
          <t>H200</t>
        </is>
      </c>
      <c r="D10" s="9" t="inlineStr">
        <is>
          <t>long</t>
        </is>
      </c>
      <c r="E10" s="9" t="inlineStr">
        <is>
          <t>70</t>
        </is>
      </c>
      <c r="F10" s="9" t="inlineStr">
        <is>
          <t>False</t>
        </is>
      </c>
      <c r="G10" s="10" t="inlineStr">
        <is>
          <t>0.8287142857142857</t>
        </is>
      </c>
      <c r="H10" s="11" t="inlineStr">
        <is>
          <t>27722.0</t>
        </is>
      </c>
      <c r="I10" s="12" t="inlineStr">
        <is>
          <t>11.99</t>
        </is>
      </c>
      <c r="J10" s="9" t="inlineStr">
        <is>
          <t>fp8</t>
        </is>
      </c>
      <c r="K10" s="9" t="inlineStr">
        <is>
          <t>sglang</t>
        </is>
      </c>
      <c r="L10" s="9" t="inlineStr">
        <is>
          <t>4</t>
        </is>
      </c>
      <c r="M10" s="9" t="inlineStr">
        <is>
          <t>8192</t>
        </is>
      </c>
      <c r="N10" s="9" t="inlineStr">
        <is>
          <t>1024</t>
        </is>
      </c>
      <c r="O10" s="9" t="inlineStr">
        <is>
          <t>selected_public_max</t>
        </is>
      </c>
      <c r="P10" s="9" t="inlineStr">
        <is>
          <t>best_available_below_target</t>
        </is>
      </c>
      <c r="Q10" s="9" t="inlineStr">
        <is>
          <t>low_target_gap</t>
        </is>
      </c>
      <c r="R10" s="9" t="inlineStr">
        <is>
          <t>2026-05-20T00:00:00.000Z</t>
        </is>
      </c>
      <c r="S10" s="9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9" t="inlineStr">
        <is>
          <t>dsr1</t>
        </is>
      </c>
      <c r="B11" s="9" t="inlineStr">
        <is>
          <t>dsr1</t>
        </is>
      </c>
      <c r="C11" s="9" t="inlineStr">
        <is>
          <t>H200</t>
        </is>
      </c>
      <c r="D11" s="9" t="inlineStr">
        <is>
          <t>long</t>
        </is>
      </c>
      <c r="E11" s="9" t="inlineStr">
        <is>
          <t>100</t>
        </is>
      </c>
      <c r="F11" s="9" t="inlineStr">
        <is>
          <t>False</t>
        </is>
      </c>
      <c r="G11" s="10" t="inlineStr">
        <is>
          <t>0.8801000000000001</t>
        </is>
      </c>
      <c r="H11" s="11" t="inlineStr">
        <is>
          <t>27722.0</t>
        </is>
      </c>
      <c r="I11" s="12" t="inlineStr">
        <is>
          <t>11.99</t>
        </is>
      </c>
      <c r="J11" s="9" t="inlineStr">
        <is>
          <t>fp8</t>
        </is>
      </c>
      <c r="K11" s="9" t="inlineStr">
        <is>
          <t>sglang</t>
        </is>
      </c>
      <c r="L11" s="9" t="inlineStr">
        <is>
          <t>4</t>
        </is>
      </c>
      <c r="M11" s="9" t="inlineStr">
        <is>
          <t>8192</t>
        </is>
      </c>
      <c r="N11" s="9" t="inlineStr">
        <is>
          <t>1024</t>
        </is>
      </c>
      <c r="O11" s="9" t="inlineStr">
        <is>
          <t>selected_public_max</t>
        </is>
      </c>
      <c r="P11" s="9" t="inlineStr">
        <is>
          <t>best_available_below_target</t>
        </is>
      </c>
      <c r="Q11" s="9" t="inlineStr">
        <is>
          <t>low_target_gap</t>
        </is>
      </c>
      <c r="R11" s="9" t="inlineStr">
        <is>
          <t>2026-05-20T00:00:00.000Z</t>
        </is>
      </c>
      <c r="S11" s="9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13" t="inlineStr">
        <is>
          <t>dsr1</t>
        </is>
      </c>
      <c r="B12" s="13" t="inlineStr">
        <is>
          <t>dsr1</t>
        </is>
      </c>
      <c r="C12" s="13" t="inlineStr">
        <is>
          <t>H200</t>
        </is>
      </c>
      <c r="D12" s="13" t="inlineStr">
        <is>
          <t>agentic</t>
        </is>
      </c>
      <c r="E12" s="13" t="inlineStr">
        <is>
          <t>10</t>
        </is>
      </c>
      <c r="F12" s="13" t="inlineStr">
        <is>
          <t>False</t>
        </is>
      </c>
      <c r="G12" s="14" t="inlineStr">
        <is>
          <t>0.8696739130434782</t>
        </is>
      </c>
      <c r="H12" s="15" t="inlineStr">
        <is>
          <t>3013.2608695652175</t>
        </is>
      </c>
      <c r="I12" s="16" t="inlineStr">
        <is>
          <t>1.3032608695652175</t>
        </is>
      </c>
      <c r="J12" s="13" t="inlineStr">
        <is>
          <t>fp8</t>
        </is>
      </c>
      <c r="K12" s="13" t="inlineStr">
        <is>
          <t>sglang</t>
        </is>
      </c>
      <c r="L12" s="13" t="inlineStr">
        <is>
          <t>4</t>
        </is>
      </c>
      <c r="M12" s="13" t="inlineStr">
        <is>
          <t>8192</t>
        </is>
      </c>
      <c r="N12" s="13" t="inlineStr">
        <is>
          <t>1024</t>
        </is>
      </c>
      <c r="O12" s="13" t="inlineStr">
        <is>
          <t>agentic_from_long_chat</t>
        </is>
      </c>
      <c r="P12" s="13" t="inlineStr">
        <is>
          <t>dynamic_reasoning_proxy</t>
        </is>
      </c>
      <c r="Q12" s="13" t="inlineStr">
        <is>
          <t>low_target_gap</t>
        </is>
      </c>
      <c r="R12" s="13" t="inlineStr">
        <is>
          <t>2026-05-20T00:00:00.000Z</t>
        </is>
      </c>
      <c r="S1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3">
      <c r="A13" s="13" t="inlineStr">
        <is>
          <t>dsr1</t>
        </is>
      </c>
      <c r="B13" s="13" t="inlineStr">
        <is>
          <t>dsr1</t>
        </is>
      </c>
      <c r="C13" s="13" t="inlineStr">
        <is>
          <t>H200</t>
        </is>
      </c>
      <c r="D13" s="13" t="inlineStr">
        <is>
          <t>agentic</t>
        </is>
      </c>
      <c r="E13" s="13" t="inlineStr">
        <is>
          <t>30</t>
        </is>
      </c>
      <c r="F13" s="13" t="inlineStr">
        <is>
          <t>False</t>
        </is>
      </c>
      <c r="G13" s="14" t="inlineStr">
        <is>
          <t>0.9565579710144927</t>
        </is>
      </c>
      <c r="H13" s="15" t="inlineStr">
        <is>
          <t>3013.2608695652175</t>
        </is>
      </c>
      <c r="I13" s="16" t="inlineStr">
        <is>
          <t>1.3032608695652175</t>
        </is>
      </c>
      <c r="J13" s="13" t="inlineStr">
        <is>
          <t>fp8</t>
        </is>
      </c>
      <c r="K13" s="13" t="inlineStr">
        <is>
          <t>sglang</t>
        </is>
      </c>
      <c r="L13" s="13" t="inlineStr">
        <is>
          <t>4</t>
        </is>
      </c>
      <c r="M13" s="13" t="inlineStr">
        <is>
          <t>8192</t>
        </is>
      </c>
      <c r="N13" s="13" t="inlineStr">
        <is>
          <t>1024</t>
        </is>
      </c>
      <c r="O13" s="13" t="inlineStr">
        <is>
          <t>agentic_from_long_chat</t>
        </is>
      </c>
      <c r="P13" s="13" t="inlineStr">
        <is>
          <t>dynamic_reasoning_proxy</t>
        </is>
      </c>
      <c r="Q13" s="13" t="inlineStr">
        <is>
          <t>low_target_gap</t>
        </is>
      </c>
      <c r="R13" s="13" t="inlineStr">
        <is>
          <t>2026-05-20T00:00:00.000Z</t>
        </is>
      </c>
      <c r="S1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">
      <c r="A14" s="13" t="inlineStr">
        <is>
          <t>dsr1</t>
        </is>
      </c>
      <c r="B14" s="13" t="inlineStr">
        <is>
          <t>dsr1</t>
        </is>
      </c>
      <c r="C14" s="13" t="inlineStr">
        <is>
          <t>H200</t>
        </is>
      </c>
      <c r="D14" s="13" t="inlineStr">
        <is>
          <t>agentic</t>
        </is>
      </c>
      <c r="E14" s="13" t="inlineStr">
        <is>
          <t>50</t>
        </is>
      </c>
      <c r="F14" s="13" t="inlineStr">
        <is>
          <t>False</t>
        </is>
      </c>
      <c r="G14" s="14" t="inlineStr">
        <is>
          <t>0.9739347826086957</t>
        </is>
      </c>
      <c r="H14" s="15" t="inlineStr">
        <is>
          <t>3013.2608695652175</t>
        </is>
      </c>
      <c r="I14" s="16" t="inlineStr">
        <is>
          <t>1.3032608695652175</t>
        </is>
      </c>
      <c r="J14" s="13" t="inlineStr">
        <is>
          <t>fp8</t>
        </is>
      </c>
      <c r="K14" s="13" t="inlineStr">
        <is>
          <t>sglang</t>
        </is>
      </c>
      <c r="L14" s="13" t="inlineStr">
        <is>
          <t>4</t>
        </is>
      </c>
      <c r="M14" s="13" t="inlineStr">
        <is>
          <t>8192</t>
        </is>
      </c>
      <c r="N14" s="13" t="inlineStr">
        <is>
          <t>1024</t>
        </is>
      </c>
      <c r="O14" s="13" t="inlineStr">
        <is>
          <t>agentic_from_long_chat</t>
        </is>
      </c>
      <c r="P14" s="13" t="inlineStr">
        <is>
          <t>dynamic_reasoning_proxy</t>
        </is>
      </c>
      <c r="Q14" s="13" t="inlineStr">
        <is>
          <t>low_target_gap</t>
        </is>
      </c>
      <c r="R14" s="13" t="inlineStr">
        <is>
          <t>2026-05-20T00:00:00.000Z</t>
        </is>
      </c>
      <c r="S1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">
      <c r="A15" s="13" t="inlineStr">
        <is>
          <t>dsr1</t>
        </is>
      </c>
      <c r="B15" s="13" t="inlineStr">
        <is>
          <t>dsr1</t>
        </is>
      </c>
      <c r="C15" s="13" t="inlineStr">
        <is>
          <t>H200</t>
        </is>
      </c>
      <c r="D15" s="13" t="inlineStr">
        <is>
          <t>agentic</t>
        </is>
      </c>
      <c r="E15" s="13" t="inlineStr">
        <is>
          <t>70</t>
        </is>
      </c>
      <c r="F15" s="13" t="inlineStr">
        <is>
          <t>False</t>
        </is>
      </c>
      <c r="G15" s="14" t="inlineStr">
        <is>
          <t>0.9813819875776397</t>
        </is>
      </c>
      <c r="H15" s="15" t="inlineStr">
        <is>
          <t>3013.2608695652175</t>
        </is>
      </c>
      <c r="I15" s="16" t="inlineStr">
        <is>
          <t>1.3032608695652175</t>
        </is>
      </c>
      <c r="J15" s="13" t="inlineStr">
        <is>
          <t>fp8</t>
        </is>
      </c>
      <c r="K15" s="13" t="inlineStr">
        <is>
          <t>sglang</t>
        </is>
      </c>
      <c r="L15" s="13" t="inlineStr">
        <is>
          <t>4</t>
        </is>
      </c>
      <c r="M15" s="13" t="inlineStr">
        <is>
          <t>8192</t>
        </is>
      </c>
      <c r="N15" s="13" t="inlineStr">
        <is>
          <t>1024</t>
        </is>
      </c>
      <c r="O15" s="13" t="inlineStr">
        <is>
          <t>agentic_from_long_chat</t>
        </is>
      </c>
      <c r="P15" s="13" t="inlineStr">
        <is>
          <t>dynamic_reasoning_proxy</t>
        </is>
      </c>
      <c r="Q15" s="13" t="inlineStr">
        <is>
          <t>low_target_gap</t>
        </is>
      </c>
      <c r="R15" s="13" t="inlineStr">
        <is>
          <t>2026-05-20T00:00:00.000Z</t>
        </is>
      </c>
      <c r="S1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">
      <c r="A16" s="13" t="inlineStr">
        <is>
          <t>dsr1</t>
        </is>
      </c>
      <c r="B16" s="13" t="inlineStr">
        <is>
          <t>dsr1</t>
        </is>
      </c>
      <c r="C16" s="13" t="inlineStr">
        <is>
          <t>H200</t>
        </is>
      </c>
      <c r="D16" s="13" t="inlineStr">
        <is>
          <t>agentic</t>
        </is>
      </c>
      <c r="E16" s="13" t="inlineStr">
        <is>
          <t>100</t>
        </is>
      </c>
      <c r="F16" s="13" t="inlineStr">
        <is>
          <t>False</t>
        </is>
      </c>
      <c r="G16" s="14" t="inlineStr">
        <is>
          <t>0.9869673913043477</t>
        </is>
      </c>
      <c r="H16" s="15" t="inlineStr">
        <is>
          <t>3013.2608695652175</t>
        </is>
      </c>
      <c r="I16" s="16" t="inlineStr">
        <is>
          <t>1.3032608695652175</t>
        </is>
      </c>
      <c r="J16" s="13" t="inlineStr">
        <is>
          <t>fp8</t>
        </is>
      </c>
      <c r="K16" s="13" t="inlineStr">
        <is>
          <t>sglang</t>
        </is>
      </c>
      <c r="L16" s="13" t="inlineStr">
        <is>
          <t>4</t>
        </is>
      </c>
      <c r="M16" s="13" t="inlineStr">
        <is>
          <t>8192</t>
        </is>
      </c>
      <c r="N16" s="13" t="inlineStr">
        <is>
          <t>1024</t>
        </is>
      </c>
      <c r="O16" s="13" t="inlineStr">
        <is>
          <t>agentic_from_long_chat</t>
        </is>
      </c>
      <c r="P16" s="13" t="inlineStr">
        <is>
          <t>dynamic_reasoning_proxy</t>
        </is>
      </c>
      <c r="Q16" s="13" t="inlineStr">
        <is>
          <t>low_target_gap</t>
        </is>
      </c>
      <c r="R16" s="13" t="inlineStr">
        <is>
          <t>2026-05-20T00:00:00.000Z</t>
        </is>
      </c>
      <c r="S1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7">
      <c r="A17" s="5" t="inlineStr">
        <is>
          <t>dsr1</t>
        </is>
      </c>
      <c r="B17" s="5" t="inlineStr">
        <is>
          <t>dsr1</t>
        </is>
      </c>
      <c r="C17" s="5" t="inlineStr">
        <is>
          <t>B200</t>
        </is>
      </c>
      <c r="D17" s="5" t="inlineStr">
        <is>
          <t>short</t>
        </is>
      </c>
      <c r="E17" s="5" t="inlineStr">
        <is>
          <t>10</t>
        </is>
      </c>
      <c r="F17" s="5" t="inlineStr">
        <is>
          <t>True</t>
        </is>
      </c>
      <c r="G17" s="6" t="inlineStr">
        <is>
          <t>0.0</t>
        </is>
      </c>
      <c r="H17" s="7" t="inlineStr">
        <is>
          <t>87925.0</t>
        </is>
      </c>
      <c r="I17" s="8" t="inlineStr">
        <is>
          <t>11.92</t>
        </is>
      </c>
      <c r="J17" s="5" t="inlineStr">
        <is>
          <t>fp8</t>
        </is>
      </c>
      <c r="K17" s="5" t="inlineStr">
        <is>
          <t>sglang</t>
        </is>
      </c>
      <c r="L17" s="5" t="inlineStr">
        <is>
          <t>16</t>
        </is>
      </c>
      <c r="M17" s="5" t="inlineStr">
        <is>
          <t>1024</t>
        </is>
      </c>
      <c r="N17" s="5" t="inlineStr">
        <is>
          <t>1024</t>
        </is>
      </c>
      <c r="O17" s="5" t="inlineStr">
        <is>
          <t>selected_public_max</t>
        </is>
      </c>
      <c r="P17" s="5" t="inlineStr">
        <is>
          <t>direct_target_row</t>
        </is>
      </c>
      <c r="Q17" s="5" t="inlineStr">
        <is>
          <t>medium</t>
        </is>
      </c>
      <c r="R17" s="5" t="inlineStr">
        <is>
          <t>2026-05-22T00:00:00.000Z</t>
        </is>
      </c>
      <c r="S17" s="5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9" t="inlineStr">
        <is>
          <t>dsr1</t>
        </is>
      </c>
      <c r="B18" s="9" t="inlineStr">
        <is>
          <t>dsr1</t>
        </is>
      </c>
      <c r="C18" s="9" t="inlineStr">
        <is>
          <t>B200</t>
        </is>
      </c>
      <c r="D18" s="9" t="inlineStr">
        <is>
          <t>short</t>
        </is>
      </c>
      <c r="E18" s="9" t="inlineStr">
        <is>
          <t>30</t>
        </is>
      </c>
      <c r="F18" s="9" t="inlineStr">
        <is>
          <t>False</t>
        </is>
      </c>
      <c r="G18" s="10" t="inlineStr">
        <is>
          <t>0.6026666666666666</t>
        </is>
      </c>
      <c r="H18" s="11" t="inlineStr">
        <is>
          <t>87925.0</t>
        </is>
      </c>
      <c r="I18" s="12" t="inlineStr">
        <is>
          <t>11.92</t>
        </is>
      </c>
      <c r="J18" s="9" t="inlineStr">
        <is>
          <t>fp8</t>
        </is>
      </c>
      <c r="K18" s="9" t="inlineStr">
        <is>
          <t>sglang</t>
        </is>
      </c>
      <c r="L18" s="9" t="inlineStr">
        <is>
          <t>16</t>
        </is>
      </c>
      <c r="M18" s="9" t="inlineStr">
        <is>
          <t>1024</t>
        </is>
      </c>
      <c r="N18" s="9" t="inlineStr">
        <is>
          <t>1024</t>
        </is>
      </c>
      <c r="O18" s="9" t="inlineStr">
        <is>
          <t>selected_public_max</t>
        </is>
      </c>
      <c r="P18" s="9" t="inlineStr">
        <is>
          <t>best_available_below_target</t>
        </is>
      </c>
      <c r="Q18" s="9" t="inlineStr">
        <is>
          <t>low_target_gap</t>
        </is>
      </c>
      <c r="R18" s="9" t="inlineStr">
        <is>
          <t>2026-05-22T00:00:00.000Z</t>
        </is>
      </c>
      <c r="S18" s="9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9" t="inlineStr">
        <is>
          <t>dsr1</t>
        </is>
      </c>
      <c r="B19" s="9" t="inlineStr">
        <is>
          <t>dsr1</t>
        </is>
      </c>
      <c r="C19" s="9" t="inlineStr">
        <is>
          <t>B200</t>
        </is>
      </c>
      <c r="D19" s="9" t="inlineStr">
        <is>
          <t>short</t>
        </is>
      </c>
      <c r="E19" s="9" t="inlineStr">
        <is>
          <t>50</t>
        </is>
      </c>
      <c r="F19" s="9" t="inlineStr">
        <is>
          <t>False</t>
        </is>
      </c>
      <c r="G19" s="10" t="inlineStr">
        <is>
          <t>0.7615999999999999</t>
        </is>
      </c>
      <c r="H19" s="11" t="inlineStr">
        <is>
          <t>87925.0</t>
        </is>
      </c>
      <c r="I19" s="12" t="inlineStr">
        <is>
          <t>11.92</t>
        </is>
      </c>
      <c r="J19" s="9" t="inlineStr">
        <is>
          <t>fp8</t>
        </is>
      </c>
      <c r="K19" s="9" t="inlineStr">
        <is>
          <t>sglang</t>
        </is>
      </c>
      <c r="L19" s="9" t="inlineStr">
        <is>
          <t>16</t>
        </is>
      </c>
      <c r="M19" s="9" t="inlineStr">
        <is>
          <t>1024</t>
        </is>
      </c>
      <c r="N19" s="9" t="inlineStr">
        <is>
          <t>1024</t>
        </is>
      </c>
      <c r="O19" s="9" t="inlineStr">
        <is>
          <t>selected_public_max</t>
        </is>
      </c>
      <c r="P19" s="9" t="inlineStr">
        <is>
          <t>best_available_below_target</t>
        </is>
      </c>
      <c r="Q19" s="9" t="inlineStr">
        <is>
          <t>low_target_gap</t>
        </is>
      </c>
      <c r="R19" s="9" t="inlineStr">
        <is>
          <t>2026-05-22T00:00:00.000Z</t>
        </is>
      </c>
      <c r="S19" s="9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9" t="inlineStr">
        <is>
          <t>dsr1</t>
        </is>
      </c>
      <c r="B20" s="9" t="inlineStr">
        <is>
          <t>dsr1</t>
        </is>
      </c>
      <c r="C20" s="9" t="inlineStr">
        <is>
          <t>B200</t>
        </is>
      </c>
      <c r="D20" s="9" t="inlineStr">
        <is>
          <t>short</t>
        </is>
      </c>
      <c r="E20" s="9" t="inlineStr">
        <is>
          <t>70</t>
        </is>
      </c>
      <c r="F20" s="9" t="inlineStr">
        <is>
          <t>False</t>
        </is>
      </c>
      <c r="G20" s="10" t="inlineStr">
        <is>
          <t>0.8297142857142857</t>
        </is>
      </c>
      <c r="H20" s="11" t="inlineStr">
        <is>
          <t>87925.0</t>
        </is>
      </c>
      <c r="I20" s="12" t="inlineStr">
        <is>
          <t>11.92</t>
        </is>
      </c>
      <c r="J20" s="9" t="inlineStr">
        <is>
          <t>fp8</t>
        </is>
      </c>
      <c r="K20" s="9" t="inlineStr">
        <is>
          <t>sglang</t>
        </is>
      </c>
      <c r="L20" s="9" t="inlineStr">
        <is>
          <t>16</t>
        </is>
      </c>
      <c r="M20" s="9" t="inlineStr">
        <is>
          <t>1024</t>
        </is>
      </c>
      <c r="N20" s="9" t="inlineStr">
        <is>
          <t>1024</t>
        </is>
      </c>
      <c r="O20" s="9" t="inlineStr">
        <is>
          <t>selected_public_max</t>
        </is>
      </c>
      <c r="P20" s="9" t="inlineStr">
        <is>
          <t>best_available_below_target</t>
        </is>
      </c>
      <c r="Q20" s="9" t="inlineStr">
        <is>
          <t>low_target_gap</t>
        </is>
      </c>
      <c r="R20" s="9" t="inlineStr">
        <is>
          <t>2026-05-22T00:00:00.000Z</t>
        </is>
      </c>
      <c r="S20" s="9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9" t="inlineStr">
        <is>
          <t>dsr1</t>
        </is>
      </c>
      <c r="B21" s="9" t="inlineStr">
        <is>
          <t>dsr1</t>
        </is>
      </c>
      <c r="C21" s="9" t="inlineStr">
        <is>
          <t>B200</t>
        </is>
      </c>
      <c r="D21" s="9" t="inlineStr">
        <is>
          <t>short</t>
        </is>
      </c>
      <c r="E21" s="9" t="inlineStr">
        <is>
          <t>100</t>
        </is>
      </c>
      <c r="F21" s="9" t="inlineStr">
        <is>
          <t>False</t>
        </is>
      </c>
      <c r="G21" s="10" t="inlineStr">
        <is>
          <t>0.8808</t>
        </is>
      </c>
      <c r="H21" s="11" t="inlineStr">
        <is>
          <t>87925.0</t>
        </is>
      </c>
      <c r="I21" s="12" t="inlineStr">
        <is>
          <t>11.92</t>
        </is>
      </c>
      <c r="J21" s="9" t="inlineStr">
        <is>
          <t>fp8</t>
        </is>
      </c>
      <c r="K21" s="9" t="inlineStr">
        <is>
          <t>sglang</t>
        </is>
      </c>
      <c r="L21" s="9" t="inlineStr">
        <is>
          <t>16</t>
        </is>
      </c>
      <c r="M21" s="9" t="inlineStr">
        <is>
          <t>1024</t>
        </is>
      </c>
      <c r="N21" s="9" t="inlineStr">
        <is>
          <t>1024</t>
        </is>
      </c>
      <c r="O21" s="9" t="inlineStr">
        <is>
          <t>selected_public_max</t>
        </is>
      </c>
      <c r="P21" s="9" t="inlineStr">
        <is>
          <t>best_available_below_target</t>
        </is>
      </c>
      <c r="Q21" s="9" t="inlineStr">
        <is>
          <t>low_target_gap</t>
        </is>
      </c>
      <c r="R21" s="9" t="inlineStr">
        <is>
          <t>2026-05-22T00:00:00.000Z</t>
        </is>
      </c>
      <c r="S21" s="9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5" t="inlineStr">
        <is>
          <t>dsr1</t>
        </is>
      </c>
      <c r="B22" s="5" t="inlineStr">
        <is>
          <t>dsr1</t>
        </is>
      </c>
      <c r="C22" s="5" t="inlineStr">
        <is>
          <t>B200</t>
        </is>
      </c>
      <c r="D22" s="5" t="inlineStr">
        <is>
          <t>long</t>
        </is>
      </c>
      <c r="E22" s="5" t="inlineStr">
        <is>
          <t>10</t>
        </is>
      </c>
      <c r="F22" s="5" t="inlineStr">
        <is>
          <t>True</t>
        </is>
      </c>
      <c r="G22" s="6" t="inlineStr">
        <is>
          <t>0.0</t>
        </is>
      </c>
      <c r="H22" s="7" t="inlineStr">
        <is>
          <t>79568.0</t>
        </is>
      </c>
      <c r="I22" s="8" t="inlineStr">
        <is>
          <t>10.79</t>
        </is>
      </c>
      <c r="J22" s="5" t="inlineStr">
        <is>
          <t>fp8</t>
        </is>
      </c>
      <c r="K22" s="5" t="inlineStr">
        <is>
          <t>sglang</t>
        </is>
      </c>
      <c r="L22" s="5" t="inlineStr">
        <is>
          <t>16</t>
        </is>
      </c>
      <c r="M22" s="5" t="inlineStr">
        <is>
          <t>8192</t>
        </is>
      </c>
      <c r="N22" s="5" t="inlineStr">
        <is>
          <t>1024</t>
        </is>
      </c>
      <c r="O22" s="5" t="inlineStr">
        <is>
          <t>selected_public_max</t>
        </is>
      </c>
      <c r="P22" s="5" t="inlineStr">
        <is>
          <t>direct_target_row</t>
        </is>
      </c>
      <c r="Q22" s="5" t="inlineStr">
        <is>
          <t>medium</t>
        </is>
      </c>
      <c r="R22" s="5" t="inlineStr">
        <is>
          <t>2026-05-20T00:00:00.000Z</t>
        </is>
      </c>
      <c r="S22" s="5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9" t="inlineStr">
        <is>
          <t>dsr1</t>
        </is>
      </c>
      <c r="B23" s="9" t="inlineStr">
        <is>
          <t>dsr1</t>
        </is>
      </c>
      <c r="C23" s="9" t="inlineStr">
        <is>
          <t>B200</t>
        </is>
      </c>
      <c r="D23" s="9" t="inlineStr">
        <is>
          <t>long</t>
        </is>
      </c>
      <c r="E23" s="9" t="inlineStr">
        <is>
          <t>30</t>
        </is>
      </c>
      <c r="F23" s="9" t="inlineStr">
        <is>
          <t>False</t>
        </is>
      </c>
      <c r="G23" s="10" t="inlineStr">
        <is>
          <t>0.6403333333333333</t>
        </is>
      </c>
      <c r="H23" s="11" t="inlineStr">
        <is>
          <t>79568.0</t>
        </is>
      </c>
      <c r="I23" s="12" t="inlineStr">
        <is>
          <t>10.79</t>
        </is>
      </c>
      <c r="J23" s="9" t="inlineStr">
        <is>
          <t>fp8</t>
        </is>
      </c>
      <c r="K23" s="9" t="inlineStr">
        <is>
          <t>sglang</t>
        </is>
      </c>
      <c r="L23" s="9" t="inlineStr">
        <is>
          <t>16</t>
        </is>
      </c>
      <c r="M23" s="9" t="inlineStr">
        <is>
          <t>8192</t>
        </is>
      </c>
      <c r="N23" s="9" t="inlineStr">
        <is>
          <t>1024</t>
        </is>
      </c>
      <c r="O23" s="9" t="inlineStr">
        <is>
          <t>selected_public_max</t>
        </is>
      </c>
      <c r="P23" s="9" t="inlineStr">
        <is>
          <t>best_available_below_target</t>
        </is>
      </c>
      <c r="Q23" s="9" t="inlineStr">
        <is>
          <t>low_target_gap</t>
        </is>
      </c>
      <c r="R23" s="9" t="inlineStr">
        <is>
          <t>2026-05-20T00:00:00.000Z</t>
        </is>
      </c>
      <c r="S23" s="9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9" t="inlineStr">
        <is>
          <t>dsr1</t>
        </is>
      </c>
      <c r="B24" s="9" t="inlineStr">
        <is>
          <t>dsr1</t>
        </is>
      </c>
      <c r="C24" s="9" t="inlineStr">
        <is>
          <t>B200</t>
        </is>
      </c>
      <c r="D24" s="9" t="inlineStr">
        <is>
          <t>long</t>
        </is>
      </c>
      <c r="E24" s="9" t="inlineStr">
        <is>
          <t>50</t>
        </is>
      </c>
      <c r="F24" s="9" t="inlineStr">
        <is>
          <t>False</t>
        </is>
      </c>
      <c r="G24" s="10" t="inlineStr">
        <is>
          <t>0.7842</t>
        </is>
      </c>
      <c r="H24" s="11" t="inlineStr">
        <is>
          <t>79568.0</t>
        </is>
      </c>
      <c r="I24" s="12" t="inlineStr">
        <is>
          <t>10.79</t>
        </is>
      </c>
      <c r="J24" s="9" t="inlineStr">
        <is>
          <t>fp8</t>
        </is>
      </c>
      <c r="K24" s="9" t="inlineStr">
        <is>
          <t>sglang</t>
        </is>
      </c>
      <c r="L24" s="9" t="inlineStr">
        <is>
          <t>16</t>
        </is>
      </c>
      <c r="M24" s="9" t="inlineStr">
        <is>
          <t>8192</t>
        </is>
      </c>
      <c r="N24" s="9" t="inlineStr">
        <is>
          <t>1024</t>
        </is>
      </c>
      <c r="O24" s="9" t="inlineStr">
        <is>
          <t>selected_public_max</t>
        </is>
      </c>
      <c r="P24" s="9" t="inlineStr">
        <is>
          <t>best_available_below_target</t>
        </is>
      </c>
      <c r="Q24" s="9" t="inlineStr">
        <is>
          <t>low_target_gap</t>
        </is>
      </c>
      <c r="R24" s="9" t="inlineStr">
        <is>
          <t>2026-05-20T00:00:00.000Z</t>
        </is>
      </c>
      <c r="S24" s="9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9" t="inlineStr">
        <is>
          <t>dsr1</t>
        </is>
      </c>
      <c r="B25" s="9" t="inlineStr">
        <is>
          <t>dsr1</t>
        </is>
      </c>
      <c r="C25" s="9" t="inlineStr">
        <is>
          <t>B200</t>
        </is>
      </c>
      <c r="D25" s="9" t="inlineStr">
        <is>
          <t>long</t>
        </is>
      </c>
      <c r="E25" s="9" t="inlineStr">
        <is>
          <t>70</t>
        </is>
      </c>
      <c r="F25" s="9" t="inlineStr">
        <is>
          <t>False</t>
        </is>
      </c>
      <c r="G25" s="10" t="inlineStr">
        <is>
          <t>0.8458571428571429</t>
        </is>
      </c>
      <c r="H25" s="11" t="inlineStr">
        <is>
          <t>79568.0</t>
        </is>
      </c>
      <c r="I25" s="12" t="inlineStr">
        <is>
          <t>10.79</t>
        </is>
      </c>
      <c r="J25" s="9" t="inlineStr">
        <is>
          <t>fp8</t>
        </is>
      </c>
      <c r="K25" s="9" t="inlineStr">
        <is>
          <t>sglang</t>
        </is>
      </c>
      <c r="L25" s="9" t="inlineStr">
        <is>
          <t>16</t>
        </is>
      </c>
      <c r="M25" s="9" t="inlineStr">
        <is>
          <t>8192</t>
        </is>
      </c>
      <c r="N25" s="9" t="inlineStr">
        <is>
          <t>1024</t>
        </is>
      </c>
      <c r="O25" s="9" t="inlineStr">
        <is>
          <t>selected_public_max</t>
        </is>
      </c>
      <c r="P25" s="9" t="inlineStr">
        <is>
          <t>best_available_below_target</t>
        </is>
      </c>
      <c r="Q25" s="9" t="inlineStr">
        <is>
          <t>low_target_gap</t>
        </is>
      </c>
      <c r="R25" s="9" t="inlineStr">
        <is>
          <t>2026-05-20T00:00:00.000Z</t>
        </is>
      </c>
      <c r="S25" s="9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9" t="inlineStr">
        <is>
          <t>dsr1</t>
        </is>
      </c>
      <c r="B26" s="9" t="inlineStr">
        <is>
          <t>dsr1</t>
        </is>
      </c>
      <c r="C26" s="9" t="inlineStr">
        <is>
          <t>B200</t>
        </is>
      </c>
      <c r="D26" s="9" t="inlineStr">
        <is>
          <t>long</t>
        </is>
      </c>
      <c r="E26" s="9" t="inlineStr">
        <is>
          <t>100</t>
        </is>
      </c>
      <c r="F26" s="9" t="inlineStr">
        <is>
          <t>False</t>
        </is>
      </c>
      <c r="G26" s="10" t="inlineStr">
        <is>
          <t>0.8921000000000001</t>
        </is>
      </c>
      <c r="H26" s="11" t="inlineStr">
        <is>
          <t>79568.0</t>
        </is>
      </c>
      <c r="I26" s="12" t="inlineStr">
        <is>
          <t>10.79</t>
        </is>
      </c>
      <c r="J26" s="9" t="inlineStr">
        <is>
          <t>fp8</t>
        </is>
      </c>
      <c r="K26" s="9" t="inlineStr">
        <is>
          <t>sglang</t>
        </is>
      </c>
      <c r="L26" s="9" t="inlineStr">
        <is>
          <t>16</t>
        </is>
      </c>
      <c r="M26" s="9" t="inlineStr">
        <is>
          <t>8192</t>
        </is>
      </c>
      <c r="N26" s="9" t="inlineStr">
        <is>
          <t>1024</t>
        </is>
      </c>
      <c r="O26" s="9" t="inlineStr">
        <is>
          <t>selected_public_max</t>
        </is>
      </c>
      <c r="P26" s="9" t="inlineStr">
        <is>
          <t>best_available_below_target</t>
        </is>
      </c>
      <c r="Q26" s="9" t="inlineStr">
        <is>
          <t>low_target_gap</t>
        </is>
      </c>
      <c r="R26" s="9" t="inlineStr">
        <is>
          <t>2026-05-20T00:00:00.000Z</t>
        </is>
      </c>
      <c r="S26" s="9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13" t="inlineStr">
        <is>
          <t>dsr1</t>
        </is>
      </c>
      <c r="B27" s="13" t="inlineStr">
        <is>
          <t>dsr1</t>
        </is>
      </c>
      <c r="C27" s="13" t="inlineStr">
        <is>
          <t>B200</t>
        </is>
      </c>
      <c r="D27" s="13" t="inlineStr">
        <is>
          <t>agentic</t>
        </is>
      </c>
      <c r="E27" s="13" t="inlineStr">
        <is>
          <t>10</t>
        </is>
      </c>
      <c r="F27" s="13" t="inlineStr">
        <is>
          <t>False</t>
        </is>
      </c>
      <c r="G27" s="14" t="inlineStr">
        <is>
          <t>0.8827173913043478</t>
        </is>
      </c>
      <c r="H27" s="15" t="inlineStr">
        <is>
          <t>8648.695652173914</t>
        </is>
      </c>
      <c r="I27" s="16" t="inlineStr">
        <is>
          <t>1.1728260869565217</t>
        </is>
      </c>
      <c r="J27" s="13" t="inlineStr">
        <is>
          <t>fp8</t>
        </is>
      </c>
      <c r="K27" s="13" t="inlineStr">
        <is>
          <t>sglang</t>
        </is>
      </c>
      <c r="L27" s="13" t="inlineStr">
        <is>
          <t>16</t>
        </is>
      </c>
      <c r="M27" s="13" t="inlineStr">
        <is>
          <t>8192</t>
        </is>
      </c>
      <c r="N27" s="13" t="inlineStr">
        <is>
          <t>1024</t>
        </is>
      </c>
      <c r="O27" s="13" t="inlineStr">
        <is>
          <t>agentic_from_long_chat</t>
        </is>
      </c>
      <c r="P27" s="13" t="inlineStr">
        <is>
          <t>dynamic_reasoning_proxy</t>
        </is>
      </c>
      <c r="Q27" s="13" t="inlineStr">
        <is>
          <t>low_target_gap</t>
        </is>
      </c>
      <c r="R27" s="13" t="inlineStr">
        <is>
          <t>2026-05-20T00:00:00.000Z</t>
        </is>
      </c>
      <c r="S27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8">
      <c r="A28" s="13" t="inlineStr">
        <is>
          <t>dsr1</t>
        </is>
      </c>
      <c r="B28" s="13" t="inlineStr">
        <is>
          <t>dsr1</t>
        </is>
      </c>
      <c r="C28" s="13" t="inlineStr">
        <is>
          <t>B200</t>
        </is>
      </c>
      <c r="D28" s="13" t="inlineStr">
        <is>
          <t>agentic</t>
        </is>
      </c>
      <c r="E28" s="13" t="inlineStr">
        <is>
          <t>30</t>
        </is>
      </c>
      <c r="F28" s="13" t="inlineStr">
        <is>
          <t>False</t>
        </is>
      </c>
      <c r="G28" s="14" t="inlineStr">
        <is>
          <t>0.9609057971014493</t>
        </is>
      </c>
      <c r="H28" s="15" t="inlineStr">
        <is>
          <t>8648.695652173914</t>
        </is>
      </c>
      <c r="I28" s="16" t="inlineStr">
        <is>
          <t>1.1728260869565217</t>
        </is>
      </c>
      <c r="J28" s="13" t="inlineStr">
        <is>
          <t>fp8</t>
        </is>
      </c>
      <c r="K28" s="13" t="inlineStr">
        <is>
          <t>sglang</t>
        </is>
      </c>
      <c r="L28" s="13" t="inlineStr">
        <is>
          <t>16</t>
        </is>
      </c>
      <c r="M28" s="13" t="inlineStr">
        <is>
          <t>8192</t>
        </is>
      </c>
      <c r="N28" s="13" t="inlineStr">
        <is>
          <t>1024</t>
        </is>
      </c>
      <c r="O28" s="13" t="inlineStr">
        <is>
          <t>agentic_from_long_chat</t>
        </is>
      </c>
      <c r="P28" s="13" t="inlineStr">
        <is>
          <t>dynamic_reasoning_proxy</t>
        </is>
      </c>
      <c r="Q28" s="13" t="inlineStr">
        <is>
          <t>low_target_gap</t>
        </is>
      </c>
      <c r="R28" s="13" t="inlineStr">
        <is>
          <t>2026-05-20T00:00:00.000Z</t>
        </is>
      </c>
      <c r="S2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9">
      <c r="A29" s="13" t="inlineStr">
        <is>
          <t>dsr1</t>
        </is>
      </c>
      <c r="B29" s="13" t="inlineStr">
        <is>
          <t>dsr1</t>
        </is>
      </c>
      <c r="C29" s="13" t="inlineStr">
        <is>
          <t>B200</t>
        </is>
      </c>
      <c r="D29" s="13" t="inlineStr">
        <is>
          <t>agentic</t>
        </is>
      </c>
      <c r="E29" s="13" t="inlineStr">
        <is>
          <t>50</t>
        </is>
      </c>
      <c r="F29" s="13" t="inlineStr">
        <is>
          <t>False</t>
        </is>
      </c>
      <c r="G29" s="14" t="inlineStr">
        <is>
          <t>0.9765434782608696</t>
        </is>
      </c>
      <c r="H29" s="15" t="inlineStr">
        <is>
          <t>8648.695652173914</t>
        </is>
      </c>
      <c r="I29" s="16" t="inlineStr">
        <is>
          <t>1.1728260869565217</t>
        </is>
      </c>
      <c r="J29" s="13" t="inlineStr">
        <is>
          <t>fp8</t>
        </is>
      </c>
      <c r="K29" s="13" t="inlineStr">
        <is>
          <t>sglang</t>
        </is>
      </c>
      <c r="L29" s="13" t="inlineStr">
        <is>
          <t>16</t>
        </is>
      </c>
      <c r="M29" s="13" t="inlineStr">
        <is>
          <t>8192</t>
        </is>
      </c>
      <c r="N29" s="13" t="inlineStr">
        <is>
          <t>1024</t>
        </is>
      </c>
      <c r="O29" s="13" t="inlineStr">
        <is>
          <t>agentic_from_long_chat</t>
        </is>
      </c>
      <c r="P29" s="13" t="inlineStr">
        <is>
          <t>dynamic_reasoning_proxy</t>
        </is>
      </c>
      <c r="Q29" s="13" t="inlineStr">
        <is>
          <t>low_target_gap</t>
        </is>
      </c>
      <c r="R29" s="13" t="inlineStr">
        <is>
          <t>2026-05-20T00:00:00.000Z</t>
        </is>
      </c>
      <c r="S2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0">
      <c r="A30" s="13" t="inlineStr">
        <is>
          <t>dsr1</t>
        </is>
      </c>
      <c r="B30" s="13" t="inlineStr">
        <is>
          <t>dsr1</t>
        </is>
      </c>
      <c r="C30" s="13" t="inlineStr">
        <is>
          <t>B200</t>
        </is>
      </c>
      <c r="D30" s="13" t="inlineStr">
        <is>
          <t>agentic</t>
        </is>
      </c>
      <c r="E30" s="13" t="inlineStr">
        <is>
          <t>70</t>
        </is>
      </c>
      <c r="F30" s="13" t="inlineStr">
        <is>
          <t>False</t>
        </is>
      </c>
      <c r="G30" s="14" t="inlineStr">
        <is>
          <t>0.9832453416149068</t>
        </is>
      </c>
      <c r="H30" s="15" t="inlineStr">
        <is>
          <t>8648.695652173914</t>
        </is>
      </c>
      <c r="I30" s="16" t="inlineStr">
        <is>
          <t>1.1728260869565217</t>
        </is>
      </c>
      <c r="J30" s="13" t="inlineStr">
        <is>
          <t>fp8</t>
        </is>
      </c>
      <c r="K30" s="13" t="inlineStr">
        <is>
          <t>sglang</t>
        </is>
      </c>
      <c r="L30" s="13" t="inlineStr">
        <is>
          <t>16</t>
        </is>
      </c>
      <c r="M30" s="13" t="inlineStr">
        <is>
          <t>8192</t>
        </is>
      </c>
      <c r="N30" s="13" t="inlineStr">
        <is>
          <t>1024</t>
        </is>
      </c>
      <c r="O30" s="13" t="inlineStr">
        <is>
          <t>agentic_from_long_chat</t>
        </is>
      </c>
      <c r="P30" s="13" t="inlineStr">
        <is>
          <t>dynamic_reasoning_proxy</t>
        </is>
      </c>
      <c r="Q30" s="13" t="inlineStr">
        <is>
          <t>low_target_gap</t>
        </is>
      </c>
      <c r="R30" s="13" t="inlineStr">
        <is>
          <t>2026-05-20T00:00:00.000Z</t>
        </is>
      </c>
      <c r="S3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1">
      <c r="A31" s="13" t="inlineStr">
        <is>
          <t>dsr1</t>
        </is>
      </c>
      <c r="B31" s="13" t="inlineStr">
        <is>
          <t>dsr1</t>
        </is>
      </c>
      <c r="C31" s="13" t="inlineStr">
        <is>
          <t>B200</t>
        </is>
      </c>
      <c r="D31" s="13" t="inlineStr">
        <is>
          <t>agentic</t>
        </is>
      </c>
      <c r="E31" s="13" t="inlineStr">
        <is>
          <t>100</t>
        </is>
      </c>
      <c r="F31" s="13" t="inlineStr">
        <is>
          <t>False</t>
        </is>
      </c>
      <c r="G31" s="14" t="inlineStr">
        <is>
          <t>0.9882717391304348</t>
        </is>
      </c>
      <c r="H31" s="15" t="inlineStr">
        <is>
          <t>8648.695652173914</t>
        </is>
      </c>
      <c r="I31" s="16" t="inlineStr">
        <is>
          <t>1.1728260869565217</t>
        </is>
      </c>
      <c r="J31" s="13" t="inlineStr">
        <is>
          <t>fp8</t>
        </is>
      </c>
      <c r="K31" s="13" t="inlineStr">
        <is>
          <t>sglang</t>
        </is>
      </c>
      <c r="L31" s="13" t="inlineStr">
        <is>
          <t>16</t>
        </is>
      </c>
      <c r="M31" s="13" t="inlineStr">
        <is>
          <t>8192</t>
        </is>
      </c>
      <c r="N31" s="13" t="inlineStr">
        <is>
          <t>1024</t>
        </is>
      </c>
      <c r="O31" s="13" t="inlineStr">
        <is>
          <t>agentic_from_long_chat</t>
        </is>
      </c>
      <c r="P31" s="13" t="inlineStr">
        <is>
          <t>dynamic_reasoning_proxy</t>
        </is>
      </c>
      <c r="Q31" s="13" t="inlineStr">
        <is>
          <t>low_target_gap</t>
        </is>
      </c>
      <c r="R31" s="13" t="inlineStr">
        <is>
          <t>2026-05-20T00:00:00.000Z</t>
        </is>
      </c>
      <c r="S3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32">
      <c r="A32" s="9" t="inlineStr">
        <is>
          <t>dsr1</t>
        </is>
      </c>
      <c r="B32" s="9" t="inlineStr"/>
      <c r="C32" s="9" t="inlineStr">
        <is>
          <t>GB200</t>
        </is>
      </c>
      <c r="D32" s="9" t="inlineStr">
        <is>
          <t>short</t>
        </is>
      </c>
      <c r="E32" s="9" t="inlineStr">
        <is>
          <t>10</t>
        </is>
      </c>
      <c r="F32" s="9" t="inlineStr">
        <is>
          <t>False</t>
        </is>
      </c>
      <c r="G32" s="10" t="inlineStr"/>
      <c r="H32" s="11" t="inlineStr"/>
      <c r="I32" s="12" t="inlineStr"/>
      <c r="J32" s="9" t="inlineStr"/>
      <c r="K32" s="9" t="inlineStr"/>
      <c r="L32" s="9" t="inlineStr"/>
      <c r="M32" s="9" t="inlineStr"/>
      <c r="N32" s="9" t="inlineStr"/>
      <c r="O32" s="9" t="inlineStr">
        <is>
          <t>missing</t>
        </is>
      </c>
      <c r="P32" s="9" t="inlineStr">
        <is>
          <t>no_benchmark_row</t>
        </is>
      </c>
      <c r="Q32" s="9" t="inlineStr">
        <is>
          <t>missing</t>
        </is>
      </c>
      <c r="R32" s="9" t="inlineStr"/>
      <c r="S32" s="9" t="inlineStr">
        <is>
          <t>No model/GPU/workload benchmark row was available.</t>
        </is>
      </c>
    </row>
    <row r="33">
      <c r="A33" s="9" t="inlineStr">
        <is>
          <t>dsr1</t>
        </is>
      </c>
      <c r="B33" s="9" t="inlineStr"/>
      <c r="C33" s="9" t="inlineStr">
        <is>
          <t>GB200</t>
        </is>
      </c>
      <c r="D33" s="9" t="inlineStr">
        <is>
          <t>short</t>
        </is>
      </c>
      <c r="E33" s="9" t="inlineStr">
        <is>
          <t>30</t>
        </is>
      </c>
      <c r="F33" s="9" t="inlineStr">
        <is>
          <t>False</t>
        </is>
      </c>
      <c r="G33" s="10" t="inlineStr"/>
      <c r="H33" s="11" t="inlineStr"/>
      <c r="I33" s="12" t="inlineStr"/>
      <c r="J33" s="9" t="inlineStr"/>
      <c r="K33" s="9" t="inlineStr"/>
      <c r="L33" s="9" t="inlineStr"/>
      <c r="M33" s="9" t="inlineStr"/>
      <c r="N33" s="9" t="inlineStr"/>
      <c r="O33" s="9" t="inlineStr">
        <is>
          <t>missing</t>
        </is>
      </c>
      <c r="P33" s="9" t="inlineStr">
        <is>
          <t>no_benchmark_row</t>
        </is>
      </c>
      <c r="Q33" s="9" t="inlineStr">
        <is>
          <t>missing</t>
        </is>
      </c>
      <c r="R33" s="9" t="inlineStr"/>
      <c r="S33" s="9" t="inlineStr">
        <is>
          <t>No model/GPU/workload benchmark row was available.</t>
        </is>
      </c>
    </row>
    <row r="34">
      <c r="A34" s="9" t="inlineStr">
        <is>
          <t>dsr1</t>
        </is>
      </c>
      <c r="B34" s="9" t="inlineStr"/>
      <c r="C34" s="9" t="inlineStr">
        <is>
          <t>GB200</t>
        </is>
      </c>
      <c r="D34" s="9" t="inlineStr">
        <is>
          <t>short</t>
        </is>
      </c>
      <c r="E34" s="9" t="inlineStr">
        <is>
          <t>50</t>
        </is>
      </c>
      <c r="F34" s="9" t="inlineStr">
        <is>
          <t>False</t>
        </is>
      </c>
      <c r="G34" s="10" t="inlineStr"/>
      <c r="H34" s="11" t="inlineStr"/>
      <c r="I34" s="12" t="inlineStr"/>
      <c r="J34" s="9" t="inlineStr"/>
      <c r="K34" s="9" t="inlineStr"/>
      <c r="L34" s="9" t="inlineStr"/>
      <c r="M34" s="9" t="inlineStr"/>
      <c r="N34" s="9" t="inlineStr"/>
      <c r="O34" s="9" t="inlineStr">
        <is>
          <t>missing</t>
        </is>
      </c>
      <c r="P34" s="9" t="inlineStr">
        <is>
          <t>no_benchmark_row</t>
        </is>
      </c>
      <c r="Q34" s="9" t="inlineStr">
        <is>
          <t>missing</t>
        </is>
      </c>
      <c r="R34" s="9" t="inlineStr"/>
      <c r="S34" s="9" t="inlineStr">
        <is>
          <t>No model/GPU/workload benchmark row was available.</t>
        </is>
      </c>
    </row>
    <row r="35">
      <c r="A35" s="9" t="inlineStr">
        <is>
          <t>dsr1</t>
        </is>
      </c>
      <c r="B35" s="9" t="inlineStr"/>
      <c r="C35" s="9" t="inlineStr">
        <is>
          <t>GB200</t>
        </is>
      </c>
      <c r="D35" s="9" t="inlineStr">
        <is>
          <t>short</t>
        </is>
      </c>
      <c r="E35" s="9" t="inlineStr">
        <is>
          <t>70</t>
        </is>
      </c>
      <c r="F35" s="9" t="inlineStr">
        <is>
          <t>False</t>
        </is>
      </c>
      <c r="G35" s="10" t="inlineStr"/>
      <c r="H35" s="11" t="inlineStr"/>
      <c r="I35" s="12" t="inlineStr"/>
      <c r="J35" s="9" t="inlineStr"/>
      <c r="K35" s="9" t="inlineStr"/>
      <c r="L35" s="9" t="inlineStr"/>
      <c r="M35" s="9" t="inlineStr"/>
      <c r="N35" s="9" t="inlineStr"/>
      <c r="O35" s="9" t="inlineStr">
        <is>
          <t>missing</t>
        </is>
      </c>
      <c r="P35" s="9" t="inlineStr">
        <is>
          <t>no_benchmark_row</t>
        </is>
      </c>
      <c r="Q35" s="9" t="inlineStr">
        <is>
          <t>missing</t>
        </is>
      </c>
      <c r="R35" s="9" t="inlineStr"/>
      <c r="S35" s="9" t="inlineStr">
        <is>
          <t>No model/GPU/workload benchmark row was available.</t>
        </is>
      </c>
    </row>
    <row r="36">
      <c r="A36" s="9" t="inlineStr">
        <is>
          <t>dsr1</t>
        </is>
      </c>
      <c r="B36" s="9" t="inlineStr"/>
      <c r="C36" s="9" t="inlineStr">
        <is>
          <t>GB200</t>
        </is>
      </c>
      <c r="D36" s="9" t="inlineStr">
        <is>
          <t>short</t>
        </is>
      </c>
      <c r="E36" s="9" t="inlineStr">
        <is>
          <t>100</t>
        </is>
      </c>
      <c r="F36" s="9" t="inlineStr">
        <is>
          <t>False</t>
        </is>
      </c>
      <c r="G36" s="10" t="inlineStr"/>
      <c r="H36" s="11" t="inlineStr"/>
      <c r="I36" s="12" t="inlineStr"/>
      <c r="J36" s="9" t="inlineStr"/>
      <c r="K36" s="9" t="inlineStr"/>
      <c r="L36" s="9" t="inlineStr"/>
      <c r="M36" s="9" t="inlineStr"/>
      <c r="N36" s="9" t="inlineStr"/>
      <c r="O36" s="9" t="inlineStr">
        <is>
          <t>missing</t>
        </is>
      </c>
      <c r="P36" s="9" t="inlineStr">
        <is>
          <t>no_benchmark_row</t>
        </is>
      </c>
      <c r="Q36" s="9" t="inlineStr">
        <is>
          <t>missing</t>
        </is>
      </c>
      <c r="R36" s="9" t="inlineStr"/>
      <c r="S36" s="9" t="inlineStr">
        <is>
          <t>No model/GPU/workload benchmark row was available.</t>
        </is>
      </c>
    </row>
    <row r="37">
      <c r="A37" s="9" t="inlineStr">
        <is>
          <t>dsr1</t>
        </is>
      </c>
      <c r="B37" s="9" t="inlineStr"/>
      <c r="C37" s="9" t="inlineStr">
        <is>
          <t>GB200</t>
        </is>
      </c>
      <c r="D37" s="9" t="inlineStr">
        <is>
          <t>long</t>
        </is>
      </c>
      <c r="E37" s="9" t="inlineStr">
        <is>
          <t>10</t>
        </is>
      </c>
      <c r="F37" s="9" t="inlineStr">
        <is>
          <t>False</t>
        </is>
      </c>
      <c r="G37" s="10" t="inlineStr"/>
      <c r="H37" s="11" t="inlineStr"/>
      <c r="I37" s="12" t="inlineStr"/>
      <c r="J37" s="9" t="inlineStr"/>
      <c r="K37" s="9" t="inlineStr"/>
      <c r="L37" s="9" t="inlineStr"/>
      <c r="M37" s="9" t="inlineStr"/>
      <c r="N37" s="9" t="inlineStr"/>
      <c r="O37" s="9" t="inlineStr">
        <is>
          <t>missing</t>
        </is>
      </c>
      <c r="P37" s="9" t="inlineStr">
        <is>
          <t>no_benchmark_row</t>
        </is>
      </c>
      <c r="Q37" s="9" t="inlineStr">
        <is>
          <t>missing</t>
        </is>
      </c>
      <c r="R37" s="9" t="inlineStr"/>
      <c r="S37" s="9" t="inlineStr">
        <is>
          <t>No model/GPU/workload benchmark row was available.</t>
        </is>
      </c>
    </row>
    <row r="38">
      <c r="A38" s="9" t="inlineStr">
        <is>
          <t>dsr1</t>
        </is>
      </c>
      <c r="B38" s="9" t="inlineStr"/>
      <c r="C38" s="9" t="inlineStr">
        <is>
          <t>GB200</t>
        </is>
      </c>
      <c r="D38" s="9" t="inlineStr">
        <is>
          <t>long</t>
        </is>
      </c>
      <c r="E38" s="9" t="inlineStr">
        <is>
          <t>30</t>
        </is>
      </c>
      <c r="F38" s="9" t="inlineStr">
        <is>
          <t>False</t>
        </is>
      </c>
      <c r="G38" s="10" t="inlineStr"/>
      <c r="H38" s="11" t="inlineStr"/>
      <c r="I38" s="12" t="inlineStr"/>
      <c r="J38" s="9" t="inlineStr"/>
      <c r="K38" s="9" t="inlineStr"/>
      <c r="L38" s="9" t="inlineStr"/>
      <c r="M38" s="9" t="inlineStr"/>
      <c r="N38" s="9" t="inlineStr"/>
      <c r="O38" s="9" t="inlineStr">
        <is>
          <t>missing</t>
        </is>
      </c>
      <c r="P38" s="9" t="inlineStr">
        <is>
          <t>no_benchmark_row</t>
        </is>
      </c>
      <c r="Q38" s="9" t="inlineStr">
        <is>
          <t>missing</t>
        </is>
      </c>
      <c r="R38" s="9" t="inlineStr"/>
      <c r="S38" s="9" t="inlineStr">
        <is>
          <t>No model/GPU/workload benchmark row was available.</t>
        </is>
      </c>
    </row>
    <row r="39">
      <c r="A39" s="9" t="inlineStr">
        <is>
          <t>dsr1</t>
        </is>
      </c>
      <c r="B39" s="9" t="inlineStr"/>
      <c r="C39" s="9" t="inlineStr">
        <is>
          <t>GB200</t>
        </is>
      </c>
      <c r="D39" s="9" t="inlineStr">
        <is>
          <t>long</t>
        </is>
      </c>
      <c r="E39" s="9" t="inlineStr">
        <is>
          <t>50</t>
        </is>
      </c>
      <c r="F39" s="9" t="inlineStr">
        <is>
          <t>False</t>
        </is>
      </c>
      <c r="G39" s="10" t="inlineStr"/>
      <c r="H39" s="11" t="inlineStr"/>
      <c r="I39" s="12" t="inlineStr"/>
      <c r="J39" s="9" t="inlineStr"/>
      <c r="K39" s="9" t="inlineStr"/>
      <c r="L39" s="9" t="inlineStr"/>
      <c r="M39" s="9" t="inlineStr"/>
      <c r="N39" s="9" t="inlineStr"/>
      <c r="O39" s="9" t="inlineStr">
        <is>
          <t>missing</t>
        </is>
      </c>
      <c r="P39" s="9" t="inlineStr">
        <is>
          <t>no_benchmark_row</t>
        </is>
      </c>
      <c r="Q39" s="9" t="inlineStr">
        <is>
          <t>missing</t>
        </is>
      </c>
      <c r="R39" s="9" t="inlineStr"/>
      <c r="S39" s="9" t="inlineStr">
        <is>
          <t>No model/GPU/workload benchmark row was available.</t>
        </is>
      </c>
    </row>
    <row r="40">
      <c r="A40" s="9" t="inlineStr">
        <is>
          <t>dsr1</t>
        </is>
      </c>
      <c r="B40" s="9" t="inlineStr"/>
      <c r="C40" s="9" t="inlineStr">
        <is>
          <t>GB200</t>
        </is>
      </c>
      <c r="D40" s="9" t="inlineStr">
        <is>
          <t>long</t>
        </is>
      </c>
      <c r="E40" s="9" t="inlineStr">
        <is>
          <t>70</t>
        </is>
      </c>
      <c r="F40" s="9" t="inlineStr">
        <is>
          <t>False</t>
        </is>
      </c>
      <c r="G40" s="10" t="inlineStr"/>
      <c r="H40" s="11" t="inlineStr"/>
      <c r="I40" s="12" t="inlineStr"/>
      <c r="J40" s="9" t="inlineStr"/>
      <c r="K40" s="9" t="inlineStr"/>
      <c r="L40" s="9" t="inlineStr"/>
      <c r="M40" s="9" t="inlineStr"/>
      <c r="N40" s="9" t="inlineStr"/>
      <c r="O40" s="9" t="inlineStr">
        <is>
          <t>missing</t>
        </is>
      </c>
      <c r="P40" s="9" t="inlineStr">
        <is>
          <t>no_benchmark_row</t>
        </is>
      </c>
      <c r="Q40" s="9" t="inlineStr">
        <is>
          <t>missing</t>
        </is>
      </c>
      <c r="R40" s="9" t="inlineStr"/>
      <c r="S40" s="9" t="inlineStr">
        <is>
          <t>No model/GPU/workload benchmark row was available.</t>
        </is>
      </c>
    </row>
    <row r="41">
      <c r="A41" s="9" t="inlineStr">
        <is>
          <t>dsr1</t>
        </is>
      </c>
      <c r="B41" s="9" t="inlineStr"/>
      <c r="C41" s="9" t="inlineStr">
        <is>
          <t>GB200</t>
        </is>
      </c>
      <c r="D41" s="9" t="inlineStr">
        <is>
          <t>long</t>
        </is>
      </c>
      <c r="E41" s="9" t="inlineStr">
        <is>
          <t>100</t>
        </is>
      </c>
      <c r="F41" s="9" t="inlineStr">
        <is>
          <t>False</t>
        </is>
      </c>
      <c r="G41" s="10" t="inlineStr"/>
      <c r="H41" s="11" t="inlineStr"/>
      <c r="I41" s="12" t="inlineStr"/>
      <c r="J41" s="9" t="inlineStr"/>
      <c r="K41" s="9" t="inlineStr"/>
      <c r="L41" s="9" t="inlineStr"/>
      <c r="M41" s="9" t="inlineStr"/>
      <c r="N41" s="9" t="inlineStr"/>
      <c r="O41" s="9" t="inlineStr">
        <is>
          <t>missing</t>
        </is>
      </c>
      <c r="P41" s="9" t="inlineStr">
        <is>
          <t>no_benchmark_row</t>
        </is>
      </c>
      <c r="Q41" s="9" t="inlineStr">
        <is>
          <t>missing</t>
        </is>
      </c>
      <c r="R41" s="9" t="inlineStr"/>
      <c r="S41" s="9" t="inlineStr">
        <is>
          <t>No model/GPU/workload benchmark row was available.</t>
        </is>
      </c>
    </row>
    <row r="42">
      <c r="A42" s="9" t="inlineStr">
        <is>
          <t>dsr1</t>
        </is>
      </c>
      <c r="B42" s="9" t="inlineStr"/>
      <c r="C42" s="9" t="inlineStr">
        <is>
          <t>GB200</t>
        </is>
      </c>
      <c r="D42" s="9" t="inlineStr">
        <is>
          <t>agentic</t>
        </is>
      </c>
      <c r="E42" s="9" t="inlineStr">
        <is>
          <t>10</t>
        </is>
      </c>
      <c r="F42" s="9" t="inlineStr">
        <is>
          <t>False</t>
        </is>
      </c>
      <c r="G42" s="10" t="inlineStr"/>
      <c r="H42" s="11" t="inlineStr"/>
      <c r="I42" s="12" t="inlineStr"/>
      <c r="J42" s="9" t="inlineStr"/>
      <c r="K42" s="9" t="inlineStr"/>
      <c r="L42" s="9" t="inlineStr"/>
      <c r="M42" s="9" t="inlineStr"/>
      <c r="N42" s="9" t="inlineStr"/>
      <c r="O42" s="9" t="inlineStr">
        <is>
          <t>missing</t>
        </is>
      </c>
      <c r="P42" s="9" t="inlineStr">
        <is>
          <t>no_long_chat_proxy_row</t>
        </is>
      </c>
      <c r="Q42" s="9" t="inlineStr">
        <is>
          <t>missing</t>
        </is>
      </c>
      <c r="R42" s="9" t="inlineStr"/>
      <c r="S42" s="9" t="inlineStr">
        <is>
          <t>Agentic proxy could not be derived because no long-chat benchmark row was available.</t>
        </is>
      </c>
    </row>
    <row r="43">
      <c r="A43" s="9" t="inlineStr">
        <is>
          <t>dsr1</t>
        </is>
      </c>
      <c r="B43" s="9" t="inlineStr"/>
      <c r="C43" s="9" t="inlineStr">
        <is>
          <t>GB200</t>
        </is>
      </c>
      <c r="D43" s="9" t="inlineStr">
        <is>
          <t>agentic</t>
        </is>
      </c>
      <c r="E43" s="9" t="inlineStr">
        <is>
          <t>30</t>
        </is>
      </c>
      <c r="F43" s="9" t="inlineStr">
        <is>
          <t>False</t>
        </is>
      </c>
      <c r="G43" s="10" t="inlineStr"/>
      <c r="H43" s="11" t="inlineStr"/>
      <c r="I43" s="12" t="inlineStr"/>
      <c r="J43" s="9" t="inlineStr"/>
      <c r="K43" s="9" t="inlineStr"/>
      <c r="L43" s="9" t="inlineStr"/>
      <c r="M43" s="9" t="inlineStr"/>
      <c r="N43" s="9" t="inlineStr"/>
      <c r="O43" s="9" t="inlineStr">
        <is>
          <t>missing</t>
        </is>
      </c>
      <c r="P43" s="9" t="inlineStr">
        <is>
          <t>no_long_chat_proxy_row</t>
        </is>
      </c>
      <c r="Q43" s="9" t="inlineStr">
        <is>
          <t>missing</t>
        </is>
      </c>
      <c r="R43" s="9" t="inlineStr"/>
      <c r="S43" s="9" t="inlineStr">
        <is>
          <t>Agentic proxy could not be derived because no long-chat benchmark row was available.</t>
        </is>
      </c>
    </row>
    <row r="44">
      <c r="A44" s="9" t="inlineStr">
        <is>
          <t>dsr1</t>
        </is>
      </c>
      <c r="B44" s="9" t="inlineStr"/>
      <c r="C44" s="9" t="inlineStr">
        <is>
          <t>GB200</t>
        </is>
      </c>
      <c r="D44" s="9" t="inlineStr">
        <is>
          <t>agentic</t>
        </is>
      </c>
      <c r="E44" s="9" t="inlineStr">
        <is>
          <t>50</t>
        </is>
      </c>
      <c r="F44" s="9" t="inlineStr">
        <is>
          <t>False</t>
        </is>
      </c>
      <c r="G44" s="10" t="inlineStr"/>
      <c r="H44" s="11" t="inlineStr"/>
      <c r="I44" s="12" t="inlineStr"/>
      <c r="J44" s="9" t="inlineStr"/>
      <c r="K44" s="9" t="inlineStr"/>
      <c r="L44" s="9" t="inlineStr"/>
      <c r="M44" s="9" t="inlineStr"/>
      <c r="N44" s="9" t="inlineStr"/>
      <c r="O44" s="9" t="inlineStr">
        <is>
          <t>missing</t>
        </is>
      </c>
      <c r="P44" s="9" t="inlineStr">
        <is>
          <t>no_long_chat_proxy_row</t>
        </is>
      </c>
      <c r="Q44" s="9" t="inlineStr">
        <is>
          <t>missing</t>
        </is>
      </c>
      <c r="R44" s="9" t="inlineStr"/>
      <c r="S44" s="9" t="inlineStr">
        <is>
          <t>Agentic proxy could not be derived because no long-chat benchmark row was available.</t>
        </is>
      </c>
    </row>
    <row r="45">
      <c r="A45" s="9" t="inlineStr">
        <is>
          <t>dsr1</t>
        </is>
      </c>
      <c r="B45" s="9" t="inlineStr"/>
      <c r="C45" s="9" t="inlineStr">
        <is>
          <t>GB200</t>
        </is>
      </c>
      <c r="D45" s="9" t="inlineStr">
        <is>
          <t>agentic</t>
        </is>
      </c>
      <c r="E45" s="9" t="inlineStr">
        <is>
          <t>70</t>
        </is>
      </c>
      <c r="F45" s="9" t="inlineStr">
        <is>
          <t>False</t>
        </is>
      </c>
      <c r="G45" s="10" t="inlineStr"/>
      <c r="H45" s="11" t="inlineStr"/>
      <c r="I45" s="12" t="inlineStr"/>
      <c r="J45" s="9" t="inlineStr"/>
      <c r="K45" s="9" t="inlineStr"/>
      <c r="L45" s="9" t="inlineStr"/>
      <c r="M45" s="9" t="inlineStr"/>
      <c r="N45" s="9" t="inlineStr"/>
      <c r="O45" s="9" t="inlineStr">
        <is>
          <t>missing</t>
        </is>
      </c>
      <c r="P45" s="9" t="inlineStr">
        <is>
          <t>no_long_chat_proxy_row</t>
        </is>
      </c>
      <c r="Q45" s="9" t="inlineStr">
        <is>
          <t>missing</t>
        </is>
      </c>
      <c r="R45" s="9" t="inlineStr"/>
      <c r="S45" s="9" t="inlineStr">
        <is>
          <t>Agentic proxy could not be derived because no long-chat benchmark row was available.</t>
        </is>
      </c>
    </row>
    <row r="46">
      <c r="A46" s="9" t="inlineStr">
        <is>
          <t>dsr1</t>
        </is>
      </c>
      <c r="B46" s="9" t="inlineStr"/>
      <c r="C46" s="9" t="inlineStr">
        <is>
          <t>GB200</t>
        </is>
      </c>
      <c r="D46" s="9" t="inlineStr">
        <is>
          <t>agentic</t>
        </is>
      </c>
      <c r="E46" s="9" t="inlineStr">
        <is>
          <t>100</t>
        </is>
      </c>
      <c r="F46" s="9" t="inlineStr">
        <is>
          <t>False</t>
        </is>
      </c>
      <c r="G46" s="10" t="inlineStr"/>
      <c r="H46" s="11" t="inlineStr"/>
      <c r="I46" s="12" t="inlineStr"/>
      <c r="J46" s="9" t="inlineStr"/>
      <c r="K46" s="9" t="inlineStr"/>
      <c r="L46" s="9" t="inlineStr"/>
      <c r="M46" s="9" t="inlineStr"/>
      <c r="N46" s="9" t="inlineStr"/>
      <c r="O46" s="9" t="inlineStr">
        <is>
          <t>missing</t>
        </is>
      </c>
      <c r="P46" s="9" t="inlineStr">
        <is>
          <t>no_long_chat_proxy_row</t>
        </is>
      </c>
      <c r="Q46" s="9" t="inlineStr">
        <is>
          <t>missing</t>
        </is>
      </c>
      <c r="R46" s="9" t="inlineStr"/>
      <c r="S46" s="9" t="inlineStr">
        <is>
          <t>Agentic proxy could not be derived because no long-chat benchmark row was available.</t>
        </is>
      </c>
    </row>
    <row r="47">
      <c r="A47" s="5" t="inlineStr">
        <is>
          <t>frontier_composite</t>
        </is>
      </c>
      <c r="B47" s="5" t="inlineStr">
        <is>
          <t>gptoss120b</t>
        </is>
      </c>
      <c r="C47" s="5" t="inlineStr">
        <is>
          <t>H200</t>
        </is>
      </c>
      <c r="D47" s="5" t="inlineStr">
        <is>
          <t>short</t>
        </is>
      </c>
      <c r="E47" s="5" t="inlineStr">
        <is>
          <t>10</t>
        </is>
      </c>
      <c r="F47" s="5" t="inlineStr">
        <is>
          <t>True</t>
        </is>
      </c>
      <c r="G47" s="6" t="inlineStr">
        <is>
          <t>0.0</t>
        </is>
      </c>
      <c r="H47" s="7" t="inlineStr">
        <is>
          <t>1459609.0</t>
        </is>
      </c>
      <c r="I47" s="8" t="inlineStr">
        <is>
          <t>39.46</t>
        </is>
      </c>
      <c r="J47" s="5" t="inlineStr">
        <is>
          <t>fp4</t>
        </is>
      </c>
      <c r="K47" s="5" t="inlineStr">
        <is>
          <t>vllm</t>
        </is>
      </c>
      <c r="L47" s="5" t="inlineStr">
        <is>
          <t>64</t>
        </is>
      </c>
      <c r="M47" s="5" t="inlineStr">
        <is>
          <t>1024</t>
        </is>
      </c>
      <c r="N47" s="5" t="inlineStr">
        <is>
          <t>1024</t>
        </is>
      </c>
      <c r="O47" s="5" t="inlineStr">
        <is>
          <t>selected_public_max</t>
        </is>
      </c>
      <c r="P47" s="5" t="inlineStr">
        <is>
          <t>direct_target_row</t>
        </is>
      </c>
      <c r="Q47" s="5" t="inlineStr">
        <is>
          <t>medium</t>
        </is>
      </c>
      <c r="R47" s="5" t="inlineStr">
        <is>
          <t>2025-10-20T00:00:00.000Z</t>
        </is>
      </c>
      <c r="S47" s="5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5" t="inlineStr">
        <is>
          <t>frontier_composite</t>
        </is>
      </c>
      <c r="B48" s="5" t="inlineStr">
        <is>
          <t>gptoss120b</t>
        </is>
      </c>
      <c r="C48" s="5" t="inlineStr">
        <is>
          <t>H200</t>
        </is>
      </c>
      <c r="D48" s="5" t="inlineStr">
        <is>
          <t>short</t>
        </is>
      </c>
      <c r="E48" s="5" t="inlineStr">
        <is>
          <t>30</t>
        </is>
      </c>
      <c r="F48" s="5" t="inlineStr">
        <is>
          <t>True</t>
        </is>
      </c>
      <c r="G48" s="6" t="inlineStr">
        <is>
          <t>0.0</t>
        </is>
      </c>
      <c r="H48" s="7" t="inlineStr">
        <is>
          <t>1459609.0</t>
        </is>
      </c>
      <c r="I48" s="8" t="inlineStr">
        <is>
          <t>39.46</t>
        </is>
      </c>
      <c r="J48" s="5" t="inlineStr">
        <is>
          <t>fp4</t>
        </is>
      </c>
      <c r="K48" s="5" t="inlineStr">
        <is>
          <t>vllm</t>
        </is>
      </c>
      <c r="L48" s="5" t="inlineStr">
        <is>
          <t>64</t>
        </is>
      </c>
      <c r="M48" s="5" t="inlineStr">
        <is>
          <t>1024</t>
        </is>
      </c>
      <c r="N48" s="5" t="inlineStr">
        <is>
          <t>1024</t>
        </is>
      </c>
      <c r="O48" s="5" t="inlineStr">
        <is>
          <t>selected_public_max</t>
        </is>
      </c>
      <c r="P48" s="5" t="inlineStr">
        <is>
          <t>direct_target_row</t>
        </is>
      </c>
      <c r="Q48" s="5" t="inlineStr">
        <is>
          <t>medium</t>
        </is>
      </c>
      <c r="R48" s="5" t="inlineStr">
        <is>
          <t>2025-10-20T00:00:00.000Z</t>
        </is>
      </c>
      <c r="S48" s="5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5" t="inlineStr">
        <is>
          <t>frontier_composite</t>
        </is>
      </c>
      <c r="B49" s="5" t="inlineStr">
        <is>
          <t>gptoss120b</t>
        </is>
      </c>
      <c r="C49" s="5" t="inlineStr">
        <is>
          <t>H200</t>
        </is>
      </c>
      <c r="D49" s="5" t="inlineStr">
        <is>
          <t>short</t>
        </is>
      </c>
      <c r="E49" s="5" t="inlineStr">
        <is>
          <t>50</t>
        </is>
      </c>
      <c r="F49" s="5" t="inlineStr">
        <is>
          <t>True</t>
        </is>
      </c>
      <c r="G49" s="6" t="inlineStr">
        <is>
          <t>0.0</t>
        </is>
      </c>
      <c r="H49" s="7" t="inlineStr">
        <is>
          <t>1037487.0</t>
        </is>
      </c>
      <c r="I49" s="8" t="inlineStr">
        <is>
          <t>56.09</t>
        </is>
      </c>
      <c r="J49" s="5" t="inlineStr">
        <is>
          <t>fp4</t>
        </is>
      </c>
      <c r="K49" s="5" t="inlineStr">
        <is>
          <t>vllm</t>
        </is>
      </c>
      <c r="L49" s="5" t="inlineStr">
        <is>
          <t>32</t>
        </is>
      </c>
      <c r="M49" s="5" t="inlineStr">
        <is>
          <t>1024</t>
        </is>
      </c>
      <c r="N49" s="5" t="inlineStr">
        <is>
          <t>1024</t>
        </is>
      </c>
      <c r="O49" s="5" t="inlineStr">
        <is>
          <t>selected_public_max</t>
        </is>
      </c>
      <c r="P49" s="5" t="inlineStr">
        <is>
          <t>direct_target_row</t>
        </is>
      </c>
      <c r="Q49" s="5" t="inlineStr">
        <is>
          <t>medium</t>
        </is>
      </c>
      <c r="R49" s="5" t="inlineStr">
        <is>
          <t>2025-10-31T00:00:00.000Z</t>
        </is>
      </c>
      <c r="S49" s="5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5" t="inlineStr">
        <is>
          <t>frontier_composite</t>
        </is>
      </c>
      <c r="B50" s="5" t="inlineStr">
        <is>
          <t>gptoss120b</t>
        </is>
      </c>
      <c r="C50" s="5" t="inlineStr">
        <is>
          <t>H200</t>
        </is>
      </c>
      <c r="D50" s="5" t="inlineStr">
        <is>
          <t>short</t>
        </is>
      </c>
      <c r="E50" s="5" t="inlineStr">
        <is>
          <t>70</t>
        </is>
      </c>
      <c r="F50" s="5" t="inlineStr">
        <is>
          <t>True</t>
        </is>
      </c>
      <c r="G50" s="6" t="inlineStr">
        <is>
          <t>0.0</t>
        </is>
      </c>
      <c r="H50" s="7" t="inlineStr">
        <is>
          <t>728459.0</t>
        </is>
      </c>
      <c r="I50" s="8" t="inlineStr">
        <is>
          <t>78.76</t>
        </is>
      </c>
      <c r="J50" s="5" t="inlineStr">
        <is>
          <t>fp4</t>
        </is>
      </c>
      <c r="K50" s="5" t="inlineStr">
        <is>
          <t>vllm</t>
        </is>
      </c>
      <c r="L50" s="5" t="inlineStr">
        <is>
          <t>16</t>
        </is>
      </c>
      <c r="M50" s="5" t="inlineStr">
        <is>
          <t>1024</t>
        </is>
      </c>
      <c r="N50" s="5" t="inlineStr">
        <is>
          <t>1024</t>
        </is>
      </c>
      <c r="O50" s="5" t="inlineStr">
        <is>
          <t>selected_public_max</t>
        </is>
      </c>
      <c r="P50" s="5" t="inlineStr">
        <is>
          <t>direct_target_row</t>
        </is>
      </c>
      <c r="Q50" s="5" t="inlineStr">
        <is>
          <t>medium</t>
        </is>
      </c>
      <c r="R50" s="5" t="inlineStr">
        <is>
          <t>2025-10-20T00:00:00.000Z</t>
        </is>
      </c>
      <c r="S50" s="5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5" t="inlineStr">
        <is>
          <t>frontier_composite</t>
        </is>
      </c>
      <c r="B51" s="5" t="inlineStr">
        <is>
          <t>gptoss120b</t>
        </is>
      </c>
      <c r="C51" s="5" t="inlineStr">
        <is>
          <t>H200</t>
        </is>
      </c>
      <c r="D51" s="5" t="inlineStr">
        <is>
          <t>short</t>
        </is>
      </c>
      <c r="E51" s="5" t="inlineStr">
        <is>
          <t>100</t>
        </is>
      </c>
      <c r="F51" s="5" t="inlineStr">
        <is>
          <t>True</t>
        </is>
      </c>
      <c r="G51" s="6" t="inlineStr">
        <is>
          <t>0.0</t>
        </is>
      </c>
      <c r="H51" s="7" t="inlineStr">
        <is>
          <t>505857.0</t>
        </is>
      </c>
      <c r="I51" s="8" t="inlineStr">
        <is>
          <t>109.39</t>
        </is>
      </c>
      <c r="J51" s="5" t="inlineStr">
        <is>
          <t>fp4</t>
        </is>
      </c>
      <c r="K51" s="5" t="inlineStr">
        <is>
          <t>vllm</t>
        </is>
      </c>
      <c r="L51" s="5" t="inlineStr">
        <is>
          <t>8</t>
        </is>
      </c>
      <c r="M51" s="5" t="inlineStr">
        <is>
          <t>1024</t>
        </is>
      </c>
      <c r="N51" s="5" t="inlineStr">
        <is>
          <t>1024</t>
        </is>
      </c>
      <c r="O51" s="5" t="inlineStr">
        <is>
          <t>selected_public_max</t>
        </is>
      </c>
      <c r="P51" s="5" t="inlineStr">
        <is>
          <t>direct_target_row</t>
        </is>
      </c>
      <c r="Q51" s="5" t="inlineStr">
        <is>
          <t>medium</t>
        </is>
      </c>
      <c r="R51" s="5" t="inlineStr">
        <is>
          <t>2025-10-30T00:00:00.000Z</t>
        </is>
      </c>
      <c r="S51" s="5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5" t="inlineStr">
        <is>
          <t>frontier_composite</t>
        </is>
      </c>
      <c r="B52" s="5" t="inlineStr">
        <is>
          <t>gptoss120b</t>
        </is>
      </c>
      <c r="C52" s="5" t="inlineStr">
        <is>
          <t>H200</t>
        </is>
      </c>
      <c r="D52" s="5" t="inlineStr">
        <is>
          <t>long</t>
        </is>
      </c>
      <c r="E52" s="5" t="inlineStr">
        <is>
          <t>10</t>
        </is>
      </c>
      <c r="F52" s="5" t="inlineStr">
        <is>
          <t>True</t>
        </is>
      </c>
      <c r="G52" s="6" t="inlineStr">
        <is>
          <t>0.0</t>
        </is>
      </c>
      <c r="H52" s="7" t="inlineStr">
        <is>
          <t>1451169.0</t>
        </is>
      </c>
      <c r="I52" s="8" t="inlineStr">
        <is>
          <t>39.23</t>
        </is>
      </c>
      <c r="J52" s="5" t="inlineStr">
        <is>
          <t>fp4</t>
        </is>
      </c>
      <c r="K52" s="5" t="inlineStr">
        <is>
          <t>vllm</t>
        </is>
      </c>
      <c r="L52" s="5" t="inlineStr">
        <is>
          <t>64</t>
        </is>
      </c>
      <c r="M52" s="5" t="inlineStr">
        <is>
          <t>8192</t>
        </is>
      </c>
      <c r="N52" s="5" t="inlineStr">
        <is>
          <t>1024</t>
        </is>
      </c>
      <c r="O52" s="5" t="inlineStr">
        <is>
          <t>selected_public_max</t>
        </is>
      </c>
      <c r="P52" s="5" t="inlineStr">
        <is>
          <t>direct_target_row</t>
        </is>
      </c>
      <c r="Q52" s="5" t="inlineStr">
        <is>
          <t>medium</t>
        </is>
      </c>
      <c r="R52" s="5" t="inlineStr">
        <is>
          <t>2025-11-04T00:00:00.000Z</t>
        </is>
      </c>
      <c r="S52" s="5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5" t="inlineStr">
        <is>
          <t>frontier_composite</t>
        </is>
      </c>
      <c r="B53" s="5" t="inlineStr">
        <is>
          <t>gptoss120b</t>
        </is>
      </c>
      <c r="C53" s="5" t="inlineStr">
        <is>
          <t>H200</t>
        </is>
      </c>
      <c r="D53" s="5" t="inlineStr">
        <is>
          <t>long</t>
        </is>
      </c>
      <c r="E53" s="5" t="inlineStr">
        <is>
          <t>30</t>
        </is>
      </c>
      <c r="F53" s="5" t="inlineStr">
        <is>
          <t>True</t>
        </is>
      </c>
      <c r="G53" s="6" t="inlineStr">
        <is>
          <t>0.0</t>
        </is>
      </c>
      <c r="H53" s="7" t="inlineStr">
        <is>
          <t>1451169.0</t>
        </is>
      </c>
      <c r="I53" s="8" t="inlineStr">
        <is>
          <t>39.23</t>
        </is>
      </c>
      <c r="J53" s="5" t="inlineStr">
        <is>
          <t>fp4</t>
        </is>
      </c>
      <c r="K53" s="5" t="inlineStr">
        <is>
          <t>vllm</t>
        </is>
      </c>
      <c r="L53" s="5" t="inlineStr">
        <is>
          <t>64</t>
        </is>
      </c>
      <c r="M53" s="5" t="inlineStr">
        <is>
          <t>8192</t>
        </is>
      </c>
      <c r="N53" s="5" t="inlineStr">
        <is>
          <t>1024</t>
        </is>
      </c>
      <c r="O53" s="5" t="inlineStr">
        <is>
          <t>selected_public_max</t>
        </is>
      </c>
      <c r="P53" s="5" t="inlineStr">
        <is>
          <t>direct_target_row</t>
        </is>
      </c>
      <c r="Q53" s="5" t="inlineStr">
        <is>
          <t>medium</t>
        </is>
      </c>
      <c r="R53" s="5" t="inlineStr">
        <is>
          <t>2025-11-04T00:00:00.000Z</t>
        </is>
      </c>
      <c r="S53" s="5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5" t="inlineStr">
        <is>
          <t>frontier_composite</t>
        </is>
      </c>
      <c r="B54" s="5" t="inlineStr">
        <is>
          <t>gptoss120b</t>
        </is>
      </c>
      <c r="C54" s="5" t="inlineStr">
        <is>
          <t>H200</t>
        </is>
      </c>
      <c r="D54" s="5" t="inlineStr">
        <is>
          <t>long</t>
        </is>
      </c>
      <c r="E54" s="5" t="inlineStr">
        <is>
          <t>50</t>
        </is>
      </c>
      <c r="F54" s="5" t="inlineStr">
        <is>
          <t>True</t>
        </is>
      </c>
      <c r="G54" s="6" t="inlineStr">
        <is>
          <t>0.0</t>
        </is>
      </c>
      <c r="H54" s="7" t="inlineStr">
        <is>
          <t>1035150.0</t>
        </is>
      </c>
      <c r="I54" s="8" t="inlineStr">
        <is>
          <t>55.96</t>
        </is>
      </c>
      <c r="J54" s="5" t="inlineStr">
        <is>
          <t>fp4</t>
        </is>
      </c>
      <c r="K54" s="5" t="inlineStr">
        <is>
          <t>vllm</t>
        </is>
      </c>
      <c r="L54" s="5" t="inlineStr">
        <is>
          <t>32</t>
        </is>
      </c>
      <c r="M54" s="5" t="inlineStr">
        <is>
          <t>8192</t>
        </is>
      </c>
      <c r="N54" s="5" t="inlineStr">
        <is>
          <t>1024</t>
        </is>
      </c>
      <c r="O54" s="5" t="inlineStr">
        <is>
          <t>selected_public_max</t>
        </is>
      </c>
      <c r="P54" s="5" t="inlineStr">
        <is>
          <t>direct_target_row</t>
        </is>
      </c>
      <c r="Q54" s="5" t="inlineStr">
        <is>
          <t>medium</t>
        </is>
      </c>
      <c r="R54" s="5" t="inlineStr">
        <is>
          <t>2025-11-04T00:00:00.000Z</t>
        </is>
      </c>
      <c r="S54" s="5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5" t="inlineStr">
        <is>
          <t>frontier_composite</t>
        </is>
      </c>
      <c r="B55" s="5" t="inlineStr">
        <is>
          <t>gptoss120b</t>
        </is>
      </c>
      <c r="C55" s="5" t="inlineStr">
        <is>
          <t>H200</t>
        </is>
      </c>
      <c r="D55" s="5" t="inlineStr">
        <is>
          <t>long</t>
        </is>
      </c>
      <c r="E55" s="5" t="inlineStr">
        <is>
          <t>70</t>
        </is>
      </c>
      <c r="F55" s="5" t="inlineStr">
        <is>
          <t>True</t>
        </is>
      </c>
      <c r="G55" s="6" t="inlineStr">
        <is>
          <t>0.0</t>
        </is>
      </c>
      <c r="H55" s="7" t="inlineStr">
        <is>
          <t>649279.0</t>
        </is>
      </c>
      <c r="I55" s="8" t="inlineStr">
        <is>
          <t>70.2</t>
        </is>
      </c>
      <c r="J55" s="5" t="inlineStr">
        <is>
          <t>fp4</t>
        </is>
      </c>
      <c r="K55" s="5" t="inlineStr">
        <is>
          <t>vllm</t>
        </is>
      </c>
      <c r="L55" s="5" t="inlineStr">
        <is>
          <t>16</t>
        </is>
      </c>
      <c r="M55" s="5" t="inlineStr">
        <is>
          <t>8192</t>
        </is>
      </c>
      <c r="N55" s="5" t="inlineStr">
        <is>
          <t>1024</t>
        </is>
      </c>
      <c r="O55" s="5" t="inlineStr">
        <is>
          <t>selected_public_max</t>
        </is>
      </c>
      <c r="P55" s="5" t="inlineStr">
        <is>
          <t>direct_target_row</t>
        </is>
      </c>
      <c r="Q55" s="5" t="inlineStr">
        <is>
          <t>medium</t>
        </is>
      </c>
      <c r="R55" s="5" t="inlineStr">
        <is>
          <t>2026-05-13T00:00:00.000Z</t>
        </is>
      </c>
      <c r="S55" s="5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5" t="inlineStr">
        <is>
          <t>frontier_composite</t>
        </is>
      </c>
      <c r="B56" s="5" t="inlineStr">
        <is>
          <t>gptoss120b</t>
        </is>
      </c>
      <c r="C56" s="5" t="inlineStr">
        <is>
          <t>H200</t>
        </is>
      </c>
      <c r="D56" s="5" t="inlineStr">
        <is>
          <t>long</t>
        </is>
      </c>
      <c r="E56" s="5" t="inlineStr">
        <is>
          <t>100</t>
        </is>
      </c>
      <c r="F56" s="5" t="inlineStr">
        <is>
          <t>True</t>
        </is>
      </c>
      <c r="G56" s="6" t="inlineStr">
        <is>
          <t>0.0</t>
        </is>
      </c>
      <c r="H56" s="7" t="inlineStr">
        <is>
          <t>329414.0</t>
        </is>
      </c>
      <c r="I56" s="8" t="inlineStr">
        <is>
          <t>142.47</t>
        </is>
      </c>
      <c r="J56" s="5" t="inlineStr">
        <is>
          <t>fp4</t>
        </is>
      </c>
      <c r="K56" s="5" t="inlineStr">
        <is>
          <t>vllm</t>
        </is>
      </c>
      <c r="L56" s="5" t="inlineStr">
        <is>
          <t>4</t>
        </is>
      </c>
      <c r="M56" s="5" t="inlineStr">
        <is>
          <t>8192</t>
        </is>
      </c>
      <c r="N56" s="5" t="inlineStr">
        <is>
          <t>1024</t>
        </is>
      </c>
      <c r="O56" s="5" t="inlineStr">
        <is>
          <t>selected_public_max</t>
        </is>
      </c>
      <c r="P56" s="5" t="inlineStr">
        <is>
          <t>direct_target_row</t>
        </is>
      </c>
      <c r="Q56" s="5" t="inlineStr">
        <is>
          <t>medium</t>
        </is>
      </c>
      <c r="R56" s="5" t="inlineStr">
        <is>
          <t>2025-11-04T00:00:00.000Z</t>
        </is>
      </c>
      <c r="S56" s="5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13" t="inlineStr">
        <is>
          <t>frontier_composite</t>
        </is>
      </c>
      <c r="B57" s="13" t="inlineStr">
        <is>
          <t>gptoss120b</t>
        </is>
      </c>
      <c r="C57" s="13" t="inlineStr">
        <is>
          <t>H200</t>
        </is>
      </c>
      <c r="D57" s="13" t="inlineStr">
        <is>
          <t>agentic</t>
        </is>
      </c>
      <c r="E57" s="13" t="inlineStr">
        <is>
          <t>10</t>
        </is>
      </c>
      <c r="F57" s="13" t="inlineStr">
        <is>
          <t>True</t>
        </is>
      </c>
      <c r="G57" s="14" t="inlineStr">
        <is>
          <t>0.0</t>
        </is>
      </c>
      <c r="H57" s="15" t="inlineStr">
        <is>
          <t>35805.86956521739</t>
        </is>
      </c>
      <c r="I57" s="16" t="inlineStr">
        <is>
          <t>15.485869565217392</t>
        </is>
      </c>
      <c r="J57" s="13" t="inlineStr">
        <is>
          <t>fp4</t>
        </is>
      </c>
      <c r="K57" s="13" t="inlineStr">
        <is>
          <t>vllm</t>
        </is>
      </c>
      <c r="L57" s="13" t="inlineStr">
        <is>
          <t>4</t>
        </is>
      </c>
      <c r="M57" s="13" t="inlineStr">
        <is>
          <t>8192</t>
        </is>
      </c>
      <c r="N57" s="13" t="inlineStr">
        <is>
          <t>1024</t>
        </is>
      </c>
      <c r="O57" s="13" t="inlineStr">
        <is>
          <t>agentic_from_long_chat</t>
        </is>
      </c>
      <c r="P57" s="13" t="inlineStr">
        <is>
          <t>dynamic_reasoning_proxy</t>
        </is>
      </c>
      <c r="Q57" s="13" t="inlineStr">
        <is>
          <t>medium_low</t>
        </is>
      </c>
      <c r="R57" s="13" t="inlineStr">
        <is>
          <t>2025-11-04T00:00:00.000Z</t>
        </is>
      </c>
      <c r="S57" s="13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58">
      <c r="A58" s="13" t="inlineStr">
        <is>
          <t>frontier_composite</t>
        </is>
      </c>
      <c r="B58" s="13" t="inlineStr">
        <is>
          <t>gptoss120b</t>
        </is>
      </c>
      <c r="C58" s="13" t="inlineStr">
        <is>
          <t>H200</t>
        </is>
      </c>
      <c r="D58" s="13" t="inlineStr">
        <is>
          <t>agentic</t>
        </is>
      </c>
      <c r="E58" s="13" t="inlineStr">
        <is>
          <t>30</t>
        </is>
      </c>
      <c r="F58" s="13" t="inlineStr">
        <is>
          <t>False</t>
        </is>
      </c>
      <c r="G58" s="14" t="inlineStr">
        <is>
          <t>0.48380434782608694</t>
        </is>
      </c>
      <c r="H58" s="15" t="inlineStr">
        <is>
          <t>35805.86956521739</t>
        </is>
      </c>
      <c r="I58" s="16" t="inlineStr">
        <is>
          <t>15.485869565217392</t>
        </is>
      </c>
      <c r="J58" s="13" t="inlineStr">
        <is>
          <t>fp4</t>
        </is>
      </c>
      <c r="K58" s="13" t="inlineStr">
        <is>
          <t>vllm</t>
        </is>
      </c>
      <c r="L58" s="13" t="inlineStr">
        <is>
          <t>4</t>
        </is>
      </c>
      <c r="M58" s="13" t="inlineStr">
        <is>
          <t>8192</t>
        </is>
      </c>
      <c r="N58" s="13" t="inlineStr">
        <is>
          <t>1024</t>
        </is>
      </c>
      <c r="O58" s="13" t="inlineStr">
        <is>
          <t>agentic_from_long_chat</t>
        </is>
      </c>
      <c r="P58" s="13" t="inlineStr">
        <is>
          <t>dynamic_reasoning_proxy</t>
        </is>
      </c>
      <c r="Q58" s="13" t="inlineStr">
        <is>
          <t>low_target_gap</t>
        </is>
      </c>
      <c r="R58" s="13" t="inlineStr">
        <is>
          <t>2025-11-04T00:00:00.000Z</t>
        </is>
      </c>
      <c r="S5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59">
      <c r="A59" s="13" t="inlineStr">
        <is>
          <t>frontier_composite</t>
        </is>
      </c>
      <c r="B59" s="13" t="inlineStr">
        <is>
          <t>gptoss120b</t>
        </is>
      </c>
      <c r="C59" s="13" t="inlineStr">
        <is>
          <t>H200</t>
        </is>
      </c>
      <c r="D59" s="13" t="inlineStr">
        <is>
          <t>agentic</t>
        </is>
      </c>
      <c r="E59" s="13" t="inlineStr">
        <is>
          <t>50</t>
        </is>
      </c>
      <c r="F59" s="13" t="inlineStr">
        <is>
          <t>False</t>
        </is>
      </c>
      <c r="G59" s="14" t="inlineStr">
        <is>
          <t>0.6902826086956522</t>
        </is>
      </c>
      <c r="H59" s="15" t="inlineStr">
        <is>
          <t>35805.86956521739</t>
        </is>
      </c>
      <c r="I59" s="16" t="inlineStr">
        <is>
          <t>15.485869565217392</t>
        </is>
      </c>
      <c r="J59" s="13" t="inlineStr">
        <is>
          <t>fp4</t>
        </is>
      </c>
      <c r="K59" s="13" t="inlineStr">
        <is>
          <t>vllm</t>
        </is>
      </c>
      <c r="L59" s="13" t="inlineStr">
        <is>
          <t>4</t>
        </is>
      </c>
      <c r="M59" s="13" t="inlineStr">
        <is>
          <t>8192</t>
        </is>
      </c>
      <c r="N59" s="13" t="inlineStr">
        <is>
          <t>1024</t>
        </is>
      </c>
      <c r="O59" s="13" t="inlineStr">
        <is>
          <t>agentic_from_long_chat</t>
        </is>
      </c>
      <c r="P59" s="13" t="inlineStr">
        <is>
          <t>dynamic_reasoning_proxy</t>
        </is>
      </c>
      <c r="Q59" s="13" t="inlineStr">
        <is>
          <t>low_target_gap</t>
        </is>
      </c>
      <c r="R59" s="13" t="inlineStr">
        <is>
          <t>2025-11-04T00:00:00.000Z</t>
        </is>
      </c>
      <c r="S5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0">
      <c r="A60" s="13" t="inlineStr">
        <is>
          <t>frontier_composite</t>
        </is>
      </c>
      <c r="B60" s="13" t="inlineStr">
        <is>
          <t>gptoss120b</t>
        </is>
      </c>
      <c r="C60" s="13" t="inlineStr">
        <is>
          <t>H200</t>
        </is>
      </c>
      <c r="D60" s="13" t="inlineStr">
        <is>
          <t>agentic</t>
        </is>
      </c>
      <c r="E60" s="13" t="inlineStr">
        <is>
          <t>70</t>
        </is>
      </c>
      <c r="F60" s="13" t="inlineStr">
        <is>
          <t>False</t>
        </is>
      </c>
      <c r="G60" s="14" t="inlineStr">
        <is>
          <t>0.7787732919254658</t>
        </is>
      </c>
      <c r="H60" s="15" t="inlineStr">
        <is>
          <t>35805.86956521739</t>
        </is>
      </c>
      <c r="I60" s="16" t="inlineStr">
        <is>
          <t>15.485869565217392</t>
        </is>
      </c>
      <c r="J60" s="13" t="inlineStr">
        <is>
          <t>fp4</t>
        </is>
      </c>
      <c r="K60" s="13" t="inlineStr">
        <is>
          <t>vllm</t>
        </is>
      </c>
      <c r="L60" s="13" t="inlineStr">
        <is>
          <t>4</t>
        </is>
      </c>
      <c r="M60" s="13" t="inlineStr">
        <is>
          <t>8192</t>
        </is>
      </c>
      <c r="N60" s="13" t="inlineStr">
        <is>
          <t>1024</t>
        </is>
      </c>
      <c r="O60" s="13" t="inlineStr">
        <is>
          <t>agentic_from_long_chat</t>
        </is>
      </c>
      <c r="P60" s="13" t="inlineStr">
        <is>
          <t>dynamic_reasoning_proxy</t>
        </is>
      </c>
      <c r="Q60" s="13" t="inlineStr">
        <is>
          <t>low_target_gap</t>
        </is>
      </c>
      <c r="R60" s="13" t="inlineStr">
        <is>
          <t>2025-11-04T00:00:00.000Z</t>
        </is>
      </c>
      <c r="S6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1">
      <c r="A61" s="13" t="inlineStr">
        <is>
          <t>frontier_composite</t>
        </is>
      </c>
      <c r="B61" s="13" t="inlineStr">
        <is>
          <t>gptoss120b</t>
        </is>
      </c>
      <c r="C61" s="13" t="inlineStr">
        <is>
          <t>H200</t>
        </is>
      </c>
      <c r="D61" s="13" t="inlineStr">
        <is>
          <t>agentic</t>
        </is>
      </c>
      <c r="E61" s="13" t="inlineStr">
        <is>
          <t>100</t>
        </is>
      </c>
      <c r="F61" s="13" t="inlineStr">
        <is>
          <t>False</t>
        </is>
      </c>
      <c r="G61" s="14" t="inlineStr">
        <is>
          <t>0.845141304347826</t>
        </is>
      </c>
      <c r="H61" s="15" t="inlineStr">
        <is>
          <t>35805.86956521739</t>
        </is>
      </c>
      <c r="I61" s="16" t="inlineStr">
        <is>
          <t>15.485869565217392</t>
        </is>
      </c>
      <c r="J61" s="13" t="inlineStr">
        <is>
          <t>fp4</t>
        </is>
      </c>
      <c r="K61" s="13" t="inlineStr">
        <is>
          <t>vllm</t>
        </is>
      </c>
      <c r="L61" s="13" t="inlineStr">
        <is>
          <t>4</t>
        </is>
      </c>
      <c r="M61" s="13" t="inlineStr">
        <is>
          <t>8192</t>
        </is>
      </c>
      <c r="N61" s="13" t="inlineStr">
        <is>
          <t>1024</t>
        </is>
      </c>
      <c r="O61" s="13" t="inlineStr">
        <is>
          <t>agentic_from_long_chat</t>
        </is>
      </c>
      <c r="P61" s="13" t="inlineStr">
        <is>
          <t>dynamic_reasoning_proxy</t>
        </is>
      </c>
      <c r="Q61" s="13" t="inlineStr">
        <is>
          <t>low_target_gap</t>
        </is>
      </c>
      <c r="R61" s="13" t="inlineStr">
        <is>
          <t>2025-11-04T00:00:00.000Z</t>
        </is>
      </c>
      <c r="S6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62">
      <c r="A62" s="5" t="inlineStr">
        <is>
          <t>frontier_composite</t>
        </is>
      </c>
      <c r="B62" s="5" t="inlineStr">
        <is>
          <t>dsv4+kimik2.5</t>
        </is>
      </c>
      <c r="C62" s="5" t="inlineStr">
        <is>
          <t>B200</t>
        </is>
      </c>
      <c r="D62" s="5" t="inlineStr">
        <is>
          <t>short</t>
        </is>
      </c>
      <c r="E62" s="5" t="inlineStr">
        <is>
          <t>10</t>
        </is>
      </c>
      <c r="F62" s="5" t="inlineStr">
        <is>
          <t>True</t>
        </is>
      </c>
      <c r="G62" s="6" t="inlineStr">
        <is>
          <t>0.0</t>
        </is>
      </c>
      <c r="H62" s="7" t="inlineStr">
        <is>
          <t>40586.0</t>
        </is>
      </c>
      <c r="I62" s="8" t="inlineStr">
        <is>
          <t>11.01</t>
        </is>
      </c>
      <c r="J62" s="5" t="inlineStr">
        <is>
          <t>int4</t>
        </is>
      </c>
      <c r="K62" s="5" t="inlineStr">
        <is>
          <t>vllm</t>
        </is>
      </c>
      <c r="L62" s="5" t="inlineStr">
        <is>
          <t>8</t>
        </is>
      </c>
      <c r="M62" s="5" t="inlineStr">
        <is>
          <t>1024</t>
        </is>
      </c>
      <c r="N62" s="5" t="inlineStr">
        <is>
          <t>1024</t>
        </is>
      </c>
      <c r="O62" s="5" t="inlineStr">
        <is>
          <t>selected_public_max</t>
        </is>
      </c>
      <c r="P62" s="5" t="inlineStr">
        <is>
          <t>direct_target_row</t>
        </is>
      </c>
      <c r="Q62" s="5" t="inlineStr">
        <is>
          <t>medium</t>
        </is>
      </c>
      <c r="R62" s="5" t="inlineStr">
        <is>
          <t>2026-05-16T00:00:00.000Z</t>
        </is>
      </c>
      <c r="S62" s="5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9" t="inlineStr">
        <is>
          <t>frontier_composite</t>
        </is>
      </c>
      <c r="B63" s="9" t="inlineStr">
        <is>
          <t>dsv4+kimik2.5</t>
        </is>
      </c>
      <c r="C63" s="9" t="inlineStr">
        <is>
          <t>B200</t>
        </is>
      </c>
      <c r="D63" s="9" t="inlineStr">
        <is>
          <t>short</t>
        </is>
      </c>
      <c r="E63" s="9" t="inlineStr">
        <is>
          <t>30</t>
        </is>
      </c>
      <c r="F63" s="9" t="inlineStr">
        <is>
          <t>False</t>
        </is>
      </c>
      <c r="G63" s="10" t="inlineStr">
        <is>
          <t>0.6330000000000001</t>
        </is>
      </c>
      <c r="H63" s="11" t="inlineStr">
        <is>
          <t>40586.0</t>
        </is>
      </c>
      <c r="I63" s="12" t="inlineStr">
        <is>
          <t>11.01</t>
        </is>
      </c>
      <c r="J63" s="9" t="inlineStr">
        <is>
          <t>int4</t>
        </is>
      </c>
      <c r="K63" s="9" t="inlineStr">
        <is>
          <t>vllm</t>
        </is>
      </c>
      <c r="L63" s="9" t="inlineStr">
        <is>
          <t>8</t>
        </is>
      </c>
      <c r="M63" s="9" t="inlineStr">
        <is>
          <t>1024</t>
        </is>
      </c>
      <c r="N63" s="9" t="inlineStr">
        <is>
          <t>1024</t>
        </is>
      </c>
      <c r="O63" s="9" t="inlineStr">
        <is>
          <t>selected_public_max</t>
        </is>
      </c>
      <c r="P63" s="9" t="inlineStr">
        <is>
          <t>best_available_below_target</t>
        </is>
      </c>
      <c r="Q63" s="9" t="inlineStr">
        <is>
          <t>low_target_gap</t>
        </is>
      </c>
      <c r="R63" s="9" t="inlineStr">
        <is>
          <t>2026-05-16T00:00:00.000Z</t>
        </is>
      </c>
      <c r="S63" s="9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9" t="inlineStr">
        <is>
          <t>frontier_composite</t>
        </is>
      </c>
      <c r="B64" s="9" t="inlineStr">
        <is>
          <t>dsv4+kimik2.5</t>
        </is>
      </c>
      <c r="C64" s="9" t="inlineStr">
        <is>
          <t>B200</t>
        </is>
      </c>
      <c r="D64" s="9" t="inlineStr">
        <is>
          <t>short</t>
        </is>
      </c>
      <c r="E64" s="9" t="inlineStr">
        <is>
          <t>50</t>
        </is>
      </c>
      <c r="F64" s="9" t="inlineStr">
        <is>
          <t>False</t>
        </is>
      </c>
      <c r="G64" s="10" t="inlineStr">
        <is>
          <t>0.7798</t>
        </is>
      </c>
      <c r="H64" s="11" t="inlineStr">
        <is>
          <t>40586.0</t>
        </is>
      </c>
      <c r="I64" s="12" t="inlineStr">
        <is>
          <t>11.01</t>
        </is>
      </c>
      <c r="J64" s="9" t="inlineStr">
        <is>
          <t>int4</t>
        </is>
      </c>
      <c r="K64" s="9" t="inlineStr">
        <is>
          <t>vllm</t>
        </is>
      </c>
      <c r="L64" s="9" t="inlineStr">
        <is>
          <t>8</t>
        </is>
      </c>
      <c r="M64" s="9" t="inlineStr">
        <is>
          <t>1024</t>
        </is>
      </c>
      <c r="N64" s="9" t="inlineStr">
        <is>
          <t>1024</t>
        </is>
      </c>
      <c r="O64" s="9" t="inlineStr">
        <is>
          <t>selected_public_max</t>
        </is>
      </c>
      <c r="P64" s="9" t="inlineStr">
        <is>
          <t>best_available_below_target</t>
        </is>
      </c>
      <c r="Q64" s="9" t="inlineStr">
        <is>
          <t>low_target_gap</t>
        </is>
      </c>
      <c r="R64" s="9" t="inlineStr">
        <is>
          <t>2026-05-16T00:00:00.000Z</t>
        </is>
      </c>
      <c r="S64" s="9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9" t="inlineStr">
        <is>
          <t>frontier_composite</t>
        </is>
      </c>
      <c r="B65" s="9" t="inlineStr">
        <is>
          <t>dsv4+kimik2.5</t>
        </is>
      </c>
      <c r="C65" s="9" t="inlineStr">
        <is>
          <t>B200</t>
        </is>
      </c>
      <c r="D65" s="9" t="inlineStr">
        <is>
          <t>short</t>
        </is>
      </c>
      <c r="E65" s="9" t="inlineStr">
        <is>
          <t>70</t>
        </is>
      </c>
      <c r="F65" s="9" t="inlineStr">
        <is>
          <t>False</t>
        </is>
      </c>
      <c r="G65" s="10" t="inlineStr">
        <is>
          <t>0.8427142857142857</t>
        </is>
      </c>
      <c r="H65" s="11" t="inlineStr">
        <is>
          <t>40586.0</t>
        </is>
      </c>
      <c r="I65" s="12" t="inlineStr">
        <is>
          <t>11.01</t>
        </is>
      </c>
      <c r="J65" s="9" t="inlineStr">
        <is>
          <t>int4</t>
        </is>
      </c>
      <c r="K65" s="9" t="inlineStr">
        <is>
          <t>vllm</t>
        </is>
      </c>
      <c r="L65" s="9" t="inlineStr">
        <is>
          <t>8</t>
        </is>
      </c>
      <c r="M65" s="9" t="inlineStr">
        <is>
          <t>1024</t>
        </is>
      </c>
      <c r="N65" s="9" t="inlineStr">
        <is>
          <t>1024</t>
        </is>
      </c>
      <c r="O65" s="9" t="inlineStr">
        <is>
          <t>selected_public_max</t>
        </is>
      </c>
      <c r="P65" s="9" t="inlineStr">
        <is>
          <t>best_available_below_target</t>
        </is>
      </c>
      <c r="Q65" s="9" t="inlineStr">
        <is>
          <t>low_target_gap</t>
        </is>
      </c>
      <c r="R65" s="9" t="inlineStr">
        <is>
          <t>2026-05-16T00:00:00.000Z</t>
        </is>
      </c>
      <c r="S65" s="9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9" t="inlineStr">
        <is>
          <t>frontier_composite</t>
        </is>
      </c>
      <c r="B66" s="9" t="inlineStr">
        <is>
          <t>dsv4+kimik2.5</t>
        </is>
      </c>
      <c r="C66" s="9" t="inlineStr">
        <is>
          <t>B200</t>
        </is>
      </c>
      <c r="D66" s="9" t="inlineStr">
        <is>
          <t>short</t>
        </is>
      </c>
      <c r="E66" s="9" t="inlineStr">
        <is>
          <t>100</t>
        </is>
      </c>
      <c r="F66" s="9" t="inlineStr">
        <is>
          <t>False</t>
        </is>
      </c>
      <c r="G66" s="10" t="inlineStr">
        <is>
          <t>0.8898999999999999</t>
        </is>
      </c>
      <c r="H66" s="11" t="inlineStr">
        <is>
          <t>40586.0</t>
        </is>
      </c>
      <c r="I66" s="12" t="inlineStr">
        <is>
          <t>11.01</t>
        </is>
      </c>
      <c r="J66" s="9" t="inlineStr">
        <is>
          <t>int4</t>
        </is>
      </c>
      <c r="K66" s="9" t="inlineStr">
        <is>
          <t>vllm</t>
        </is>
      </c>
      <c r="L66" s="9" t="inlineStr">
        <is>
          <t>8</t>
        </is>
      </c>
      <c r="M66" s="9" t="inlineStr">
        <is>
          <t>1024</t>
        </is>
      </c>
      <c r="N66" s="9" t="inlineStr">
        <is>
          <t>1024</t>
        </is>
      </c>
      <c r="O66" s="9" t="inlineStr">
        <is>
          <t>selected_public_max</t>
        </is>
      </c>
      <c r="P66" s="9" t="inlineStr">
        <is>
          <t>best_available_below_target</t>
        </is>
      </c>
      <c r="Q66" s="9" t="inlineStr">
        <is>
          <t>low_target_gap</t>
        </is>
      </c>
      <c r="R66" s="9" t="inlineStr">
        <is>
          <t>2026-05-16T00:00:00.000Z</t>
        </is>
      </c>
      <c r="S66" s="9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5" t="inlineStr">
        <is>
          <t>frontier_composite</t>
        </is>
      </c>
      <c r="B67" s="5" t="inlineStr">
        <is>
          <t>dsv4+kimik2.5</t>
        </is>
      </c>
      <c r="C67" s="5" t="inlineStr">
        <is>
          <t>B200</t>
        </is>
      </c>
      <c r="D67" s="5" t="inlineStr">
        <is>
          <t>long</t>
        </is>
      </c>
      <c r="E67" s="5" t="inlineStr">
        <is>
          <t>10</t>
        </is>
      </c>
      <c r="F67" s="5" t="inlineStr">
        <is>
          <t>True</t>
        </is>
      </c>
      <c r="G67" s="6" t="inlineStr">
        <is>
          <t>0.0</t>
        </is>
      </c>
      <c r="H67" s="7" t="inlineStr">
        <is>
          <t>22902.0</t>
        </is>
      </c>
      <c r="I67" s="8" t="inlineStr">
        <is>
          <t>12.42</t>
        </is>
      </c>
      <c r="J67" s="5" t="inlineStr">
        <is>
          <t>int4</t>
        </is>
      </c>
      <c r="K67" s="5" t="inlineStr">
        <is>
          <t>vllm</t>
        </is>
      </c>
      <c r="L67" s="5" t="inlineStr">
        <is>
          <t>4</t>
        </is>
      </c>
      <c r="M67" s="5" t="inlineStr">
        <is>
          <t>8192</t>
        </is>
      </c>
      <c r="N67" s="5" t="inlineStr">
        <is>
          <t>1024</t>
        </is>
      </c>
      <c r="O67" s="5" t="inlineStr">
        <is>
          <t>selected_public_max</t>
        </is>
      </c>
      <c r="P67" s="5" t="inlineStr">
        <is>
          <t>direct_target_row</t>
        </is>
      </c>
      <c r="Q67" s="5" t="inlineStr">
        <is>
          <t>medium</t>
        </is>
      </c>
      <c r="R67" s="5" t="inlineStr">
        <is>
          <t>2026-05-16T00:00:00.000Z</t>
        </is>
      </c>
      <c r="S67" s="5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9" t="inlineStr">
        <is>
          <t>frontier_composite</t>
        </is>
      </c>
      <c r="B68" s="9" t="inlineStr">
        <is>
          <t>dsv4+kimik2.5</t>
        </is>
      </c>
      <c r="C68" s="9" t="inlineStr">
        <is>
          <t>B200</t>
        </is>
      </c>
      <c r="D68" s="9" t="inlineStr">
        <is>
          <t>long</t>
        </is>
      </c>
      <c r="E68" s="9" t="inlineStr">
        <is>
          <t>30</t>
        </is>
      </c>
      <c r="F68" s="9" t="inlineStr">
        <is>
          <t>False</t>
        </is>
      </c>
      <c r="G68" s="10" t="inlineStr">
        <is>
          <t>0.586</t>
        </is>
      </c>
      <c r="H68" s="11" t="inlineStr">
        <is>
          <t>22902.0</t>
        </is>
      </c>
      <c r="I68" s="12" t="inlineStr">
        <is>
          <t>12.42</t>
        </is>
      </c>
      <c r="J68" s="9" t="inlineStr">
        <is>
          <t>int4</t>
        </is>
      </c>
      <c r="K68" s="9" t="inlineStr">
        <is>
          <t>vllm</t>
        </is>
      </c>
      <c r="L68" s="9" t="inlineStr">
        <is>
          <t>4</t>
        </is>
      </c>
      <c r="M68" s="9" t="inlineStr">
        <is>
          <t>8192</t>
        </is>
      </c>
      <c r="N68" s="9" t="inlineStr">
        <is>
          <t>1024</t>
        </is>
      </c>
      <c r="O68" s="9" t="inlineStr">
        <is>
          <t>selected_public_max</t>
        </is>
      </c>
      <c r="P68" s="9" t="inlineStr">
        <is>
          <t>best_available_below_target</t>
        </is>
      </c>
      <c r="Q68" s="9" t="inlineStr">
        <is>
          <t>low_target_gap</t>
        </is>
      </c>
      <c r="R68" s="9" t="inlineStr">
        <is>
          <t>2026-05-16T00:00:00.000Z</t>
        </is>
      </c>
      <c r="S68" s="9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9" t="inlineStr">
        <is>
          <t>frontier_composite</t>
        </is>
      </c>
      <c r="B69" s="9" t="inlineStr">
        <is>
          <t>dsv4+kimik2.5</t>
        </is>
      </c>
      <c r="C69" s="9" t="inlineStr">
        <is>
          <t>B200</t>
        </is>
      </c>
      <c r="D69" s="9" t="inlineStr">
        <is>
          <t>long</t>
        </is>
      </c>
      <c r="E69" s="9" t="inlineStr">
        <is>
          <t>50</t>
        </is>
      </c>
      <c r="F69" s="9" t="inlineStr">
        <is>
          <t>False</t>
        </is>
      </c>
      <c r="G69" s="10" t="inlineStr">
        <is>
          <t>0.7515999999999999</t>
        </is>
      </c>
      <c r="H69" s="11" t="inlineStr">
        <is>
          <t>22902.0</t>
        </is>
      </c>
      <c r="I69" s="12" t="inlineStr">
        <is>
          <t>12.42</t>
        </is>
      </c>
      <c r="J69" s="9" t="inlineStr">
        <is>
          <t>int4</t>
        </is>
      </c>
      <c r="K69" s="9" t="inlineStr">
        <is>
          <t>vllm</t>
        </is>
      </c>
      <c r="L69" s="9" t="inlineStr">
        <is>
          <t>4</t>
        </is>
      </c>
      <c r="M69" s="9" t="inlineStr">
        <is>
          <t>8192</t>
        </is>
      </c>
      <c r="N69" s="9" t="inlineStr">
        <is>
          <t>1024</t>
        </is>
      </c>
      <c r="O69" s="9" t="inlineStr">
        <is>
          <t>selected_public_max</t>
        </is>
      </c>
      <c r="P69" s="9" t="inlineStr">
        <is>
          <t>best_available_below_target</t>
        </is>
      </c>
      <c r="Q69" s="9" t="inlineStr">
        <is>
          <t>low_target_gap</t>
        </is>
      </c>
      <c r="R69" s="9" t="inlineStr">
        <is>
          <t>2026-05-16T00:00:00.000Z</t>
        </is>
      </c>
      <c r="S69" s="9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9" t="inlineStr">
        <is>
          <t>frontier_composite</t>
        </is>
      </c>
      <c r="B70" s="9" t="inlineStr">
        <is>
          <t>dsv4+kimik2.5</t>
        </is>
      </c>
      <c r="C70" s="9" t="inlineStr">
        <is>
          <t>B200</t>
        </is>
      </c>
      <c r="D70" s="9" t="inlineStr">
        <is>
          <t>long</t>
        </is>
      </c>
      <c r="E70" s="9" t="inlineStr">
        <is>
          <t>70</t>
        </is>
      </c>
      <c r="F70" s="9" t="inlineStr">
        <is>
          <t>False</t>
        </is>
      </c>
      <c r="G70" s="10" t="inlineStr">
        <is>
          <t>0.8225714285714285</t>
        </is>
      </c>
      <c r="H70" s="11" t="inlineStr">
        <is>
          <t>22902.0</t>
        </is>
      </c>
      <c r="I70" s="12" t="inlineStr">
        <is>
          <t>12.42</t>
        </is>
      </c>
      <c r="J70" s="9" t="inlineStr">
        <is>
          <t>int4</t>
        </is>
      </c>
      <c r="K70" s="9" t="inlineStr">
        <is>
          <t>vllm</t>
        </is>
      </c>
      <c r="L70" s="9" t="inlineStr">
        <is>
          <t>4</t>
        </is>
      </c>
      <c r="M70" s="9" t="inlineStr">
        <is>
          <t>8192</t>
        </is>
      </c>
      <c r="N70" s="9" t="inlineStr">
        <is>
          <t>1024</t>
        </is>
      </c>
      <c r="O70" s="9" t="inlineStr">
        <is>
          <t>selected_public_max</t>
        </is>
      </c>
      <c r="P70" s="9" t="inlineStr">
        <is>
          <t>best_available_below_target</t>
        </is>
      </c>
      <c r="Q70" s="9" t="inlineStr">
        <is>
          <t>low_target_gap</t>
        </is>
      </c>
      <c r="R70" s="9" t="inlineStr">
        <is>
          <t>2026-05-16T00:00:00.000Z</t>
        </is>
      </c>
      <c r="S70" s="9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9" t="inlineStr">
        <is>
          <t>frontier_composite</t>
        </is>
      </c>
      <c r="B71" s="9" t="inlineStr">
        <is>
          <t>dsv4+kimik2.5</t>
        </is>
      </c>
      <c r="C71" s="9" t="inlineStr">
        <is>
          <t>B200</t>
        </is>
      </c>
      <c r="D71" s="9" t="inlineStr">
        <is>
          <t>long</t>
        </is>
      </c>
      <c r="E71" s="9" t="inlineStr">
        <is>
          <t>100</t>
        </is>
      </c>
      <c r="F71" s="9" t="inlineStr">
        <is>
          <t>False</t>
        </is>
      </c>
      <c r="G71" s="10" t="inlineStr">
        <is>
          <t>0.8758</t>
        </is>
      </c>
      <c r="H71" s="11" t="inlineStr">
        <is>
          <t>22902.0</t>
        </is>
      </c>
      <c r="I71" s="12" t="inlineStr">
        <is>
          <t>12.42</t>
        </is>
      </c>
      <c r="J71" s="9" t="inlineStr">
        <is>
          <t>int4</t>
        </is>
      </c>
      <c r="K71" s="9" t="inlineStr">
        <is>
          <t>vllm</t>
        </is>
      </c>
      <c r="L71" s="9" t="inlineStr">
        <is>
          <t>4</t>
        </is>
      </c>
      <c r="M71" s="9" t="inlineStr">
        <is>
          <t>8192</t>
        </is>
      </c>
      <c r="N71" s="9" t="inlineStr">
        <is>
          <t>1024</t>
        </is>
      </c>
      <c r="O71" s="9" t="inlineStr">
        <is>
          <t>selected_public_max</t>
        </is>
      </c>
      <c r="P71" s="9" t="inlineStr">
        <is>
          <t>best_available_below_target</t>
        </is>
      </c>
      <c r="Q71" s="9" t="inlineStr">
        <is>
          <t>low_target_gap</t>
        </is>
      </c>
      <c r="R71" s="9" t="inlineStr">
        <is>
          <t>2026-05-16T00:00:00.000Z</t>
        </is>
      </c>
      <c r="S71" s="9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13" t="inlineStr">
        <is>
          <t>frontier_composite</t>
        </is>
      </c>
      <c r="B72" s="13" t="inlineStr">
        <is>
          <t>dsv4+kimik2.5</t>
        </is>
      </c>
      <c r="C72" s="13" t="inlineStr">
        <is>
          <t>B200</t>
        </is>
      </c>
      <c r="D72" s="13" t="inlineStr">
        <is>
          <t>agentic</t>
        </is>
      </c>
      <c r="E72" s="13" t="inlineStr">
        <is>
          <t>10</t>
        </is>
      </c>
      <c r="F72" s="13" t="inlineStr">
        <is>
          <t>False</t>
        </is>
      </c>
      <c r="G72" s="14" t="inlineStr">
        <is>
          <t>0.865</t>
        </is>
      </c>
      <c r="H72" s="15" t="inlineStr">
        <is>
          <t>2489.3478260869565</t>
        </is>
      </c>
      <c r="I72" s="16" t="inlineStr">
        <is>
          <t>1.35</t>
        </is>
      </c>
      <c r="J72" s="13" t="inlineStr">
        <is>
          <t>int4</t>
        </is>
      </c>
      <c r="K72" s="13" t="inlineStr">
        <is>
          <t>vllm</t>
        </is>
      </c>
      <c r="L72" s="13" t="inlineStr">
        <is>
          <t>4</t>
        </is>
      </c>
      <c r="M72" s="13" t="inlineStr">
        <is>
          <t>8192</t>
        </is>
      </c>
      <c r="N72" s="13" t="inlineStr">
        <is>
          <t>1024</t>
        </is>
      </c>
      <c r="O72" s="13" t="inlineStr">
        <is>
          <t>agentic_from_long_chat</t>
        </is>
      </c>
      <c r="P72" s="13" t="inlineStr">
        <is>
          <t>dynamic_reasoning_proxy</t>
        </is>
      </c>
      <c r="Q72" s="13" t="inlineStr">
        <is>
          <t>low_target_gap</t>
        </is>
      </c>
      <c r="R72" s="13" t="inlineStr">
        <is>
          <t>2026-05-16T00:00:00.000Z</t>
        </is>
      </c>
      <c r="S7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3">
      <c r="A73" s="13" t="inlineStr">
        <is>
          <t>frontier_composite</t>
        </is>
      </c>
      <c r="B73" s="13" t="inlineStr">
        <is>
          <t>dsv4+kimik2.5</t>
        </is>
      </c>
      <c r="C73" s="13" t="inlineStr">
        <is>
          <t>B200</t>
        </is>
      </c>
      <c r="D73" s="13" t="inlineStr">
        <is>
          <t>agentic</t>
        </is>
      </c>
      <c r="E73" s="13" t="inlineStr">
        <is>
          <t>30</t>
        </is>
      </c>
      <c r="F73" s="13" t="inlineStr">
        <is>
          <t>False</t>
        </is>
      </c>
      <c r="G73" s="14" t="inlineStr">
        <is>
          <t>0.955</t>
        </is>
      </c>
      <c r="H73" s="15" t="inlineStr">
        <is>
          <t>2489.3478260869565</t>
        </is>
      </c>
      <c r="I73" s="16" t="inlineStr">
        <is>
          <t>1.35</t>
        </is>
      </c>
      <c r="J73" s="13" t="inlineStr">
        <is>
          <t>int4</t>
        </is>
      </c>
      <c r="K73" s="13" t="inlineStr">
        <is>
          <t>vllm</t>
        </is>
      </c>
      <c r="L73" s="13" t="inlineStr">
        <is>
          <t>4</t>
        </is>
      </c>
      <c r="M73" s="13" t="inlineStr">
        <is>
          <t>8192</t>
        </is>
      </c>
      <c r="N73" s="13" t="inlineStr">
        <is>
          <t>1024</t>
        </is>
      </c>
      <c r="O73" s="13" t="inlineStr">
        <is>
          <t>agentic_from_long_chat</t>
        </is>
      </c>
      <c r="P73" s="13" t="inlineStr">
        <is>
          <t>dynamic_reasoning_proxy</t>
        </is>
      </c>
      <c r="Q73" s="13" t="inlineStr">
        <is>
          <t>low_target_gap</t>
        </is>
      </c>
      <c r="R73" s="13" t="inlineStr">
        <is>
          <t>2026-05-16T00:00:00.000Z</t>
        </is>
      </c>
      <c r="S7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4">
      <c r="A74" s="13" t="inlineStr">
        <is>
          <t>frontier_composite</t>
        </is>
      </c>
      <c r="B74" s="13" t="inlineStr">
        <is>
          <t>dsv4+kimik2.5</t>
        </is>
      </c>
      <c r="C74" s="13" t="inlineStr">
        <is>
          <t>B200</t>
        </is>
      </c>
      <c r="D74" s="13" t="inlineStr">
        <is>
          <t>agentic</t>
        </is>
      </c>
      <c r="E74" s="13" t="inlineStr">
        <is>
          <t>50</t>
        </is>
      </c>
      <c r="F74" s="13" t="inlineStr">
        <is>
          <t>False</t>
        </is>
      </c>
      <c r="G74" s="14" t="inlineStr">
        <is>
          <t>0.973</t>
        </is>
      </c>
      <c r="H74" s="15" t="inlineStr">
        <is>
          <t>2489.3478260869565</t>
        </is>
      </c>
      <c r="I74" s="16" t="inlineStr">
        <is>
          <t>1.35</t>
        </is>
      </c>
      <c r="J74" s="13" t="inlineStr">
        <is>
          <t>int4</t>
        </is>
      </c>
      <c r="K74" s="13" t="inlineStr">
        <is>
          <t>vllm</t>
        </is>
      </c>
      <c r="L74" s="13" t="inlineStr">
        <is>
          <t>4</t>
        </is>
      </c>
      <c r="M74" s="13" t="inlineStr">
        <is>
          <t>8192</t>
        </is>
      </c>
      <c r="N74" s="13" t="inlineStr">
        <is>
          <t>1024</t>
        </is>
      </c>
      <c r="O74" s="13" t="inlineStr">
        <is>
          <t>agentic_from_long_chat</t>
        </is>
      </c>
      <c r="P74" s="13" t="inlineStr">
        <is>
          <t>dynamic_reasoning_proxy</t>
        </is>
      </c>
      <c r="Q74" s="13" t="inlineStr">
        <is>
          <t>low_target_gap</t>
        </is>
      </c>
      <c r="R74" s="13" t="inlineStr">
        <is>
          <t>2026-05-16T00:00:00.000Z</t>
        </is>
      </c>
      <c r="S7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5">
      <c r="A75" s="13" t="inlineStr">
        <is>
          <t>frontier_composite</t>
        </is>
      </c>
      <c r="B75" s="13" t="inlineStr">
        <is>
          <t>dsv4+kimik2.5</t>
        </is>
      </c>
      <c r="C75" s="13" t="inlineStr">
        <is>
          <t>B200</t>
        </is>
      </c>
      <c r="D75" s="13" t="inlineStr">
        <is>
          <t>agentic</t>
        </is>
      </c>
      <c r="E75" s="13" t="inlineStr">
        <is>
          <t>70</t>
        </is>
      </c>
      <c r="F75" s="13" t="inlineStr">
        <is>
          <t>False</t>
        </is>
      </c>
      <c r="G75" s="14" t="inlineStr">
        <is>
          <t>0.9807142857142858</t>
        </is>
      </c>
      <c r="H75" s="15" t="inlineStr">
        <is>
          <t>2489.3478260869565</t>
        </is>
      </c>
      <c r="I75" s="16" t="inlineStr">
        <is>
          <t>1.35</t>
        </is>
      </c>
      <c r="J75" s="13" t="inlineStr">
        <is>
          <t>int4</t>
        </is>
      </c>
      <c r="K75" s="13" t="inlineStr">
        <is>
          <t>vllm</t>
        </is>
      </c>
      <c r="L75" s="13" t="inlineStr">
        <is>
          <t>4</t>
        </is>
      </c>
      <c r="M75" s="13" t="inlineStr">
        <is>
          <t>8192</t>
        </is>
      </c>
      <c r="N75" s="13" t="inlineStr">
        <is>
          <t>1024</t>
        </is>
      </c>
      <c r="O75" s="13" t="inlineStr">
        <is>
          <t>agentic_from_long_chat</t>
        </is>
      </c>
      <c r="P75" s="13" t="inlineStr">
        <is>
          <t>dynamic_reasoning_proxy</t>
        </is>
      </c>
      <c r="Q75" s="13" t="inlineStr">
        <is>
          <t>low_target_gap</t>
        </is>
      </c>
      <c r="R75" s="13" t="inlineStr">
        <is>
          <t>2026-05-16T00:00:00.000Z</t>
        </is>
      </c>
      <c r="S7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6">
      <c r="A76" s="13" t="inlineStr">
        <is>
          <t>frontier_composite</t>
        </is>
      </c>
      <c r="B76" s="13" t="inlineStr">
        <is>
          <t>dsv4+kimik2.5</t>
        </is>
      </c>
      <c r="C76" s="13" t="inlineStr">
        <is>
          <t>B200</t>
        </is>
      </c>
      <c r="D76" s="13" t="inlineStr">
        <is>
          <t>agentic</t>
        </is>
      </c>
      <c r="E76" s="13" t="inlineStr">
        <is>
          <t>100</t>
        </is>
      </c>
      <c r="F76" s="13" t="inlineStr">
        <is>
          <t>False</t>
        </is>
      </c>
      <c r="G76" s="14" t="inlineStr">
        <is>
          <t>0.9865</t>
        </is>
      </c>
      <c r="H76" s="15" t="inlineStr">
        <is>
          <t>2489.3478260869565</t>
        </is>
      </c>
      <c r="I76" s="16" t="inlineStr">
        <is>
          <t>1.35</t>
        </is>
      </c>
      <c r="J76" s="13" t="inlineStr">
        <is>
          <t>int4</t>
        </is>
      </c>
      <c r="K76" s="13" t="inlineStr">
        <is>
          <t>vllm</t>
        </is>
      </c>
      <c r="L76" s="13" t="inlineStr">
        <is>
          <t>4</t>
        </is>
      </c>
      <c r="M76" s="13" t="inlineStr">
        <is>
          <t>8192</t>
        </is>
      </c>
      <c r="N76" s="13" t="inlineStr">
        <is>
          <t>1024</t>
        </is>
      </c>
      <c r="O76" s="13" t="inlineStr">
        <is>
          <t>agentic_from_long_chat</t>
        </is>
      </c>
      <c r="P76" s="13" t="inlineStr">
        <is>
          <t>dynamic_reasoning_proxy</t>
        </is>
      </c>
      <c r="Q76" s="13" t="inlineStr">
        <is>
          <t>low_target_gap</t>
        </is>
      </c>
      <c r="R76" s="13" t="inlineStr">
        <is>
          <t>2026-05-16T00:00:00.000Z</t>
        </is>
      </c>
      <c r="S7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77">
      <c r="A77" s="9" t="inlineStr">
        <is>
          <t>frontier_composite</t>
        </is>
      </c>
      <c r="B77" s="9" t="inlineStr"/>
      <c r="C77" s="9" t="inlineStr">
        <is>
          <t>GB200</t>
        </is>
      </c>
      <c r="D77" s="9" t="inlineStr">
        <is>
          <t>short</t>
        </is>
      </c>
      <c r="E77" s="9" t="inlineStr">
        <is>
          <t>10</t>
        </is>
      </c>
      <c r="F77" s="9" t="inlineStr">
        <is>
          <t>False</t>
        </is>
      </c>
      <c r="G77" s="10" t="inlineStr"/>
      <c r="H77" s="11" t="inlineStr"/>
      <c r="I77" s="12" t="inlineStr"/>
      <c r="J77" s="9" t="inlineStr"/>
      <c r="K77" s="9" t="inlineStr"/>
      <c r="L77" s="9" t="inlineStr"/>
      <c r="M77" s="9" t="inlineStr"/>
      <c r="N77" s="9" t="inlineStr"/>
      <c r="O77" s="9" t="inlineStr">
        <is>
          <t>missing</t>
        </is>
      </c>
      <c r="P77" s="9" t="inlineStr">
        <is>
          <t>no_benchmark_row</t>
        </is>
      </c>
      <c r="Q77" s="9" t="inlineStr">
        <is>
          <t>missing</t>
        </is>
      </c>
      <c r="R77" s="9" t="inlineStr"/>
      <c r="S77" s="9" t="inlineStr">
        <is>
          <t>No model/GPU/workload benchmark row was available.</t>
        </is>
      </c>
    </row>
    <row r="78">
      <c r="A78" s="9" t="inlineStr">
        <is>
          <t>frontier_composite</t>
        </is>
      </c>
      <c r="B78" s="9" t="inlineStr"/>
      <c r="C78" s="9" t="inlineStr">
        <is>
          <t>GB200</t>
        </is>
      </c>
      <c r="D78" s="9" t="inlineStr">
        <is>
          <t>short</t>
        </is>
      </c>
      <c r="E78" s="9" t="inlineStr">
        <is>
          <t>30</t>
        </is>
      </c>
      <c r="F78" s="9" t="inlineStr">
        <is>
          <t>False</t>
        </is>
      </c>
      <c r="G78" s="10" t="inlineStr"/>
      <c r="H78" s="11" t="inlineStr"/>
      <c r="I78" s="12" t="inlineStr"/>
      <c r="J78" s="9" t="inlineStr"/>
      <c r="K78" s="9" t="inlineStr"/>
      <c r="L78" s="9" t="inlineStr"/>
      <c r="M78" s="9" t="inlineStr"/>
      <c r="N78" s="9" t="inlineStr"/>
      <c r="O78" s="9" t="inlineStr">
        <is>
          <t>missing</t>
        </is>
      </c>
      <c r="P78" s="9" t="inlineStr">
        <is>
          <t>no_benchmark_row</t>
        </is>
      </c>
      <c r="Q78" s="9" t="inlineStr">
        <is>
          <t>missing</t>
        </is>
      </c>
      <c r="R78" s="9" t="inlineStr"/>
      <c r="S78" s="9" t="inlineStr">
        <is>
          <t>No model/GPU/workload benchmark row was available.</t>
        </is>
      </c>
    </row>
    <row r="79">
      <c r="A79" s="9" t="inlineStr">
        <is>
          <t>frontier_composite</t>
        </is>
      </c>
      <c r="B79" s="9" t="inlineStr"/>
      <c r="C79" s="9" t="inlineStr">
        <is>
          <t>GB200</t>
        </is>
      </c>
      <c r="D79" s="9" t="inlineStr">
        <is>
          <t>short</t>
        </is>
      </c>
      <c r="E79" s="9" t="inlineStr">
        <is>
          <t>50</t>
        </is>
      </c>
      <c r="F79" s="9" t="inlineStr">
        <is>
          <t>False</t>
        </is>
      </c>
      <c r="G79" s="10" t="inlineStr"/>
      <c r="H79" s="11" t="inlineStr"/>
      <c r="I79" s="12" t="inlineStr"/>
      <c r="J79" s="9" t="inlineStr"/>
      <c r="K79" s="9" t="inlineStr"/>
      <c r="L79" s="9" t="inlineStr"/>
      <c r="M79" s="9" t="inlineStr"/>
      <c r="N79" s="9" t="inlineStr"/>
      <c r="O79" s="9" t="inlineStr">
        <is>
          <t>missing</t>
        </is>
      </c>
      <c r="P79" s="9" t="inlineStr">
        <is>
          <t>no_benchmark_row</t>
        </is>
      </c>
      <c r="Q79" s="9" t="inlineStr">
        <is>
          <t>missing</t>
        </is>
      </c>
      <c r="R79" s="9" t="inlineStr"/>
      <c r="S79" s="9" t="inlineStr">
        <is>
          <t>No model/GPU/workload benchmark row was available.</t>
        </is>
      </c>
    </row>
    <row r="80">
      <c r="A80" s="9" t="inlineStr">
        <is>
          <t>frontier_composite</t>
        </is>
      </c>
      <c r="B80" s="9" t="inlineStr"/>
      <c r="C80" s="9" t="inlineStr">
        <is>
          <t>GB200</t>
        </is>
      </c>
      <c r="D80" s="9" t="inlineStr">
        <is>
          <t>short</t>
        </is>
      </c>
      <c r="E80" s="9" t="inlineStr">
        <is>
          <t>70</t>
        </is>
      </c>
      <c r="F80" s="9" t="inlineStr">
        <is>
          <t>False</t>
        </is>
      </c>
      <c r="G80" s="10" t="inlineStr"/>
      <c r="H80" s="11" t="inlineStr"/>
      <c r="I80" s="12" t="inlineStr"/>
      <c r="J80" s="9" t="inlineStr"/>
      <c r="K80" s="9" t="inlineStr"/>
      <c r="L80" s="9" t="inlineStr"/>
      <c r="M80" s="9" t="inlineStr"/>
      <c r="N80" s="9" t="inlineStr"/>
      <c r="O80" s="9" t="inlineStr">
        <is>
          <t>missing</t>
        </is>
      </c>
      <c r="P80" s="9" t="inlineStr">
        <is>
          <t>no_benchmark_row</t>
        </is>
      </c>
      <c r="Q80" s="9" t="inlineStr">
        <is>
          <t>missing</t>
        </is>
      </c>
      <c r="R80" s="9" t="inlineStr"/>
      <c r="S80" s="9" t="inlineStr">
        <is>
          <t>No model/GPU/workload benchmark row was available.</t>
        </is>
      </c>
    </row>
    <row r="81">
      <c r="A81" s="9" t="inlineStr">
        <is>
          <t>frontier_composite</t>
        </is>
      </c>
      <c r="B81" s="9" t="inlineStr"/>
      <c r="C81" s="9" t="inlineStr">
        <is>
          <t>GB200</t>
        </is>
      </c>
      <c r="D81" s="9" t="inlineStr">
        <is>
          <t>short</t>
        </is>
      </c>
      <c r="E81" s="9" t="inlineStr">
        <is>
          <t>100</t>
        </is>
      </c>
      <c r="F81" s="9" t="inlineStr">
        <is>
          <t>False</t>
        </is>
      </c>
      <c r="G81" s="10" t="inlineStr"/>
      <c r="H81" s="11" t="inlineStr"/>
      <c r="I81" s="12" t="inlineStr"/>
      <c r="J81" s="9" t="inlineStr"/>
      <c r="K81" s="9" t="inlineStr"/>
      <c r="L81" s="9" t="inlineStr"/>
      <c r="M81" s="9" t="inlineStr"/>
      <c r="N81" s="9" t="inlineStr"/>
      <c r="O81" s="9" t="inlineStr">
        <is>
          <t>missing</t>
        </is>
      </c>
      <c r="P81" s="9" t="inlineStr">
        <is>
          <t>no_benchmark_row</t>
        </is>
      </c>
      <c r="Q81" s="9" t="inlineStr">
        <is>
          <t>missing</t>
        </is>
      </c>
      <c r="R81" s="9" t="inlineStr"/>
      <c r="S81" s="9" t="inlineStr">
        <is>
          <t>No model/GPU/workload benchmark row was available.</t>
        </is>
      </c>
    </row>
    <row r="82">
      <c r="A82" s="5" t="inlineStr">
        <is>
          <t>frontier_composite</t>
        </is>
      </c>
      <c r="B82" s="5" t="inlineStr">
        <is>
          <t>dsv4+kimik2.5</t>
        </is>
      </c>
      <c r="C82" s="5" t="inlineStr">
        <is>
          <t>GB200</t>
        </is>
      </c>
      <c r="D82" s="5" t="inlineStr">
        <is>
          <t>long</t>
        </is>
      </c>
      <c r="E82" s="5" t="inlineStr">
        <is>
          <t>10</t>
        </is>
      </c>
      <c r="F82" s="5" t="inlineStr">
        <is>
          <t>True</t>
        </is>
      </c>
      <c r="G82" s="6" t="inlineStr">
        <is>
          <t>0.0</t>
        </is>
      </c>
      <c r="H82" s="7" t="inlineStr">
        <is>
          <t>7963.0</t>
        </is>
      </c>
      <c r="I82" s="8" t="inlineStr">
        <is>
          <t>16.72</t>
        </is>
      </c>
      <c r="J82" s="5" t="inlineStr">
        <is>
          <t>fp4</t>
        </is>
      </c>
      <c r="K82" s="5" t="inlineStr">
        <is>
          <t>dynamo-vllm</t>
        </is>
      </c>
      <c r="L82" s="5" t="inlineStr">
        <is>
          <t>1</t>
        </is>
      </c>
      <c r="M82" s="5" t="inlineStr">
        <is>
          <t>8192</t>
        </is>
      </c>
      <c r="N82" s="5" t="inlineStr">
        <is>
          <t>1024</t>
        </is>
      </c>
      <c r="O82" s="5" t="inlineStr">
        <is>
          <t>selected_optimized_stack</t>
        </is>
      </c>
      <c r="P82" s="5" t="inlineStr">
        <is>
          <t>direct_target_row</t>
        </is>
      </c>
      <c r="Q82" s="5" t="inlineStr">
        <is>
          <t>medium</t>
        </is>
      </c>
      <c r="R82" s="5" t="inlineStr">
        <is>
          <t>2026-05-19T00:00:00.000Z</t>
        </is>
      </c>
      <c r="S82" s="5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9" t="inlineStr">
        <is>
          <t>frontier_composite</t>
        </is>
      </c>
      <c r="B83" s="9" t="inlineStr">
        <is>
          <t>dsv4+kimik2.5</t>
        </is>
      </c>
      <c r="C83" s="9" t="inlineStr">
        <is>
          <t>GB200</t>
        </is>
      </c>
      <c r="D83" s="9" t="inlineStr">
        <is>
          <t>long</t>
        </is>
      </c>
      <c r="E83" s="9" t="inlineStr">
        <is>
          <t>30</t>
        </is>
      </c>
      <c r="F83" s="9" t="inlineStr">
        <is>
          <t>False</t>
        </is>
      </c>
      <c r="G83" s="10" t="inlineStr">
        <is>
          <t>0.4426666666666667</t>
        </is>
      </c>
      <c r="H83" s="11" t="inlineStr">
        <is>
          <t>7963.0</t>
        </is>
      </c>
      <c r="I83" s="12" t="inlineStr">
        <is>
          <t>16.72</t>
        </is>
      </c>
      <c r="J83" s="9" t="inlineStr">
        <is>
          <t>fp4</t>
        </is>
      </c>
      <c r="K83" s="9" t="inlineStr">
        <is>
          <t>dynamo-vllm</t>
        </is>
      </c>
      <c r="L83" s="9" t="inlineStr">
        <is>
          <t>1</t>
        </is>
      </c>
      <c r="M83" s="9" t="inlineStr">
        <is>
          <t>8192</t>
        </is>
      </c>
      <c r="N83" s="9" t="inlineStr">
        <is>
          <t>1024</t>
        </is>
      </c>
      <c r="O83" s="9" t="inlineStr">
        <is>
          <t>selected_optimized_stack</t>
        </is>
      </c>
      <c r="P83" s="9" t="inlineStr">
        <is>
          <t>best_available_below_target</t>
        </is>
      </c>
      <c r="Q83" s="9" t="inlineStr">
        <is>
          <t>low_target_gap</t>
        </is>
      </c>
      <c r="R83" s="9" t="inlineStr">
        <is>
          <t>2026-05-19T00:00:00.000Z</t>
        </is>
      </c>
      <c r="S83" s="9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9" t="inlineStr">
        <is>
          <t>frontier_composite</t>
        </is>
      </c>
      <c r="B84" s="9" t="inlineStr">
        <is>
          <t>dsv4+kimik2.5</t>
        </is>
      </c>
      <c r="C84" s="9" t="inlineStr">
        <is>
          <t>GB200</t>
        </is>
      </c>
      <c r="D84" s="9" t="inlineStr">
        <is>
          <t>long</t>
        </is>
      </c>
      <c r="E84" s="9" t="inlineStr">
        <is>
          <t>50</t>
        </is>
      </c>
      <c r="F84" s="9" t="inlineStr">
        <is>
          <t>False</t>
        </is>
      </c>
      <c r="G84" s="10" t="inlineStr">
        <is>
          <t>0.6656</t>
        </is>
      </c>
      <c r="H84" s="11" t="inlineStr">
        <is>
          <t>7963.0</t>
        </is>
      </c>
      <c r="I84" s="12" t="inlineStr">
        <is>
          <t>16.72</t>
        </is>
      </c>
      <c r="J84" s="9" t="inlineStr">
        <is>
          <t>fp4</t>
        </is>
      </c>
      <c r="K84" s="9" t="inlineStr">
        <is>
          <t>dynamo-vllm</t>
        </is>
      </c>
      <c r="L84" s="9" t="inlineStr">
        <is>
          <t>1</t>
        </is>
      </c>
      <c r="M84" s="9" t="inlineStr">
        <is>
          <t>8192</t>
        </is>
      </c>
      <c r="N84" s="9" t="inlineStr">
        <is>
          <t>1024</t>
        </is>
      </c>
      <c r="O84" s="9" t="inlineStr">
        <is>
          <t>selected_optimized_stack</t>
        </is>
      </c>
      <c r="P84" s="9" t="inlineStr">
        <is>
          <t>best_available_below_target</t>
        </is>
      </c>
      <c r="Q84" s="9" t="inlineStr">
        <is>
          <t>low_target_gap</t>
        </is>
      </c>
      <c r="R84" s="9" t="inlineStr">
        <is>
          <t>2026-05-19T00:00:00.000Z</t>
        </is>
      </c>
      <c r="S84" s="9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9" t="inlineStr">
        <is>
          <t>frontier_composite</t>
        </is>
      </c>
      <c r="B85" s="9" t="inlineStr">
        <is>
          <t>dsv4+kimik2.5</t>
        </is>
      </c>
      <c r="C85" s="9" t="inlineStr">
        <is>
          <t>GB200</t>
        </is>
      </c>
      <c r="D85" s="9" t="inlineStr">
        <is>
          <t>long</t>
        </is>
      </c>
      <c r="E85" s="9" t="inlineStr">
        <is>
          <t>70</t>
        </is>
      </c>
      <c r="F85" s="9" t="inlineStr">
        <is>
          <t>False</t>
        </is>
      </c>
      <c r="G85" s="10" t="inlineStr">
        <is>
          <t>0.7611428571428571</t>
        </is>
      </c>
      <c r="H85" s="11" t="inlineStr">
        <is>
          <t>7963.0</t>
        </is>
      </c>
      <c r="I85" s="12" t="inlineStr">
        <is>
          <t>16.72</t>
        </is>
      </c>
      <c r="J85" s="9" t="inlineStr">
        <is>
          <t>fp4</t>
        </is>
      </c>
      <c r="K85" s="9" t="inlineStr">
        <is>
          <t>dynamo-vllm</t>
        </is>
      </c>
      <c r="L85" s="9" t="inlineStr">
        <is>
          <t>1</t>
        </is>
      </c>
      <c r="M85" s="9" t="inlineStr">
        <is>
          <t>8192</t>
        </is>
      </c>
      <c r="N85" s="9" t="inlineStr">
        <is>
          <t>1024</t>
        </is>
      </c>
      <c r="O85" s="9" t="inlineStr">
        <is>
          <t>selected_optimized_stack</t>
        </is>
      </c>
      <c r="P85" s="9" t="inlineStr">
        <is>
          <t>best_available_below_target</t>
        </is>
      </c>
      <c r="Q85" s="9" t="inlineStr">
        <is>
          <t>low_target_gap</t>
        </is>
      </c>
      <c r="R85" s="9" t="inlineStr">
        <is>
          <t>2026-05-19T00:00:00.000Z</t>
        </is>
      </c>
      <c r="S85" s="9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9" t="inlineStr">
        <is>
          <t>frontier_composite</t>
        </is>
      </c>
      <c r="B86" s="9" t="inlineStr">
        <is>
          <t>dsv4+kimik2.5</t>
        </is>
      </c>
      <c r="C86" s="9" t="inlineStr">
        <is>
          <t>GB200</t>
        </is>
      </c>
      <c r="D86" s="9" t="inlineStr">
        <is>
          <t>long</t>
        </is>
      </c>
      <c r="E86" s="9" t="inlineStr">
        <is>
          <t>100</t>
        </is>
      </c>
      <c r="F86" s="9" t="inlineStr">
        <is>
          <t>False</t>
        </is>
      </c>
      <c r="G86" s="10" t="inlineStr">
        <is>
          <t>0.8328</t>
        </is>
      </c>
      <c r="H86" s="11" t="inlineStr">
        <is>
          <t>7963.0</t>
        </is>
      </c>
      <c r="I86" s="12" t="inlineStr">
        <is>
          <t>16.72</t>
        </is>
      </c>
      <c r="J86" s="9" t="inlineStr">
        <is>
          <t>fp4</t>
        </is>
      </c>
      <c r="K86" s="9" t="inlineStr">
        <is>
          <t>dynamo-vllm</t>
        </is>
      </c>
      <c r="L86" s="9" t="inlineStr">
        <is>
          <t>1</t>
        </is>
      </c>
      <c r="M86" s="9" t="inlineStr">
        <is>
          <t>8192</t>
        </is>
      </c>
      <c r="N86" s="9" t="inlineStr">
        <is>
          <t>1024</t>
        </is>
      </c>
      <c r="O86" s="9" t="inlineStr">
        <is>
          <t>selected_optimized_stack</t>
        </is>
      </c>
      <c r="P86" s="9" t="inlineStr">
        <is>
          <t>best_available_below_target</t>
        </is>
      </c>
      <c r="Q86" s="9" t="inlineStr">
        <is>
          <t>low_target_gap</t>
        </is>
      </c>
      <c r="R86" s="9" t="inlineStr">
        <is>
          <t>2026-05-19T00:00:00.000Z</t>
        </is>
      </c>
      <c r="S86" s="9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13" t="inlineStr">
        <is>
          <t>frontier_composite</t>
        </is>
      </c>
      <c r="B87" s="13" t="inlineStr">
        <is>
          <t>dsv4+kimik2.5</t>
        </is>
      </c>
      <c r="C87" s="13" t="inlineStr">
        <is>
          <t>GB200</t>
        </is>
      </c>
      <c r="D87" s="13" t="inlineStr">
        <is>
          <t>agentic</t>
        </is>
      </c>
      <c r="E87" s="13" t="inlineStr">
        <is>
          <t>10</t>
        </is>
      </c>
      <c r="F87" s="13" t="inlineStr">
        <is>
          <t>False</t>
        </is>
      </c>
      <c r="G87" s="14" t="inlineStr">
        <is>
          <t>0.8182608695652174</t>
        </is>
      </c>
      <c r="H87" s="15" t="inlineStr">
        <is>
          <t>865.5434782608696</t>
        </is>
      </c>
      <c r="I87" s="16" t="inlineStr">
        <is>
          <t>1.817391304347826</t>
        </is>
      </c>
      <c r="J87" s="13" t="inlineStr">
        <is>
          <t>fp4</t>
        </is>
      </c>
      <c r="K87" s="13" t="inlineStr">
        <is>
          <t>dynamo-vllm</t>
        </is>
      </c>
      <c r="L87" s="13" t="inlineStr">
        <is>
          <t>1</t>
        </is>
      </c>
      <c r="M87" s="13" t="inlineStr">
        <is>
          <t>8192</t>
        </is>
      </c>
      <c r="N87" s="13" t="inlineStr">
        <is>
          <t>1024</t>
        </is>
      </c>
      <c r="O87" s="13" t="inlineStr">
        <is>
          <t>agentic_from_long_chat</t>
        </is>
      </c>
      <c r="P87" s="13" t="inlineStr">
        <is>
          <t>dynamic_reasoning_proxy</t>
        </is>
      </c>
      <c r="Q87" s="13" t="inlineStr">
        <is>
          <t>low_target_gap</t>
        </is>
      </c>
      <c r="R87" s="13" t="inlineStr">
        <is>
          <t>2026-05-19T00:00:00.000Z</t>
        </is>
      </c>
      <c r="S87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88">
      <c r="A88" s="13" t="inlineStr">
        <is>
          <t>frontier_composite</t>
        </is>
      </c>
      <c r="B88" s="13" t="inlineStr">
        <is>
          <t>dsv4+kimik2.5</t>
        </is>
      </c>
      <c r="C88" s="13" t="inlineStr">
        <is>
          <t>GB200</t>
        </is>
      </c>
      <c r="D88" s="13" t="inlineStr">
        <is>
          <t>agentic</t>
        </is>
      </c>
      <c r="E88" s="13" t="inlineStr">
        <is>
          <t>30</t>
        </is>
      </c>
      <c r="F88" s="13" t="inlineStr">
        <is>
          <t>False</t>
        </is>
      </c>
      <c r="G88" s="14" t="inlineStr">
        <is>
          <t>0.9394202898550724</t>
        </is>
      </c>
      <c r="H88" s="15" t="inlineStr">
        <is>
          <t>865.5434782608696</t>
        </is>
      </c>
      <c r="I88" s="16" t="inlineStr">
        <is>
          <t>1.817391304347826</t>
        </is>
      </c>
      <c r="J88" s="13" t="inlineStr">
        <is>
          <t>fp4</t>
        </is>
      </c>
      <c r="K88" s="13" t="inlineStr">
        <is>
          <t>dynamo-vllm</t>
        </is>
      </c>
      <c r="L88" s="13" t="inlineStr">
        <is>
          <t>1</t>
        </is>
      </c>
      <c r="M88" s="13" t="inlineStr">
        <is>
          <t>8192</t>
        </is>
      </c>
      <c r="N88" s="13" t="inlineStr">
        <is>
          <t>1024</t>
        </is>
      </c>
      <c r="O88" s="13" t="inlineStr">
        <is>
          <t>agentic_from_long_chat</t>
        </is>
      </c>
      <c r="P88" s="13" t="inlineStr">
        <is>
          <t>dynamic_reasoning_proxy</t>
        </is>
      </c>
      <c r="Q88" s="13" t="inlineStr">
        <is>
          <t>low_target_gap</t>
        </is>
      </c>
      <c r="R88" s="13" t="inlineStr">
        <is>
          <t>2026-05-19T00:00:00.000Z</t>
        </is>
      </c>
      <c r="S88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89">
      <c r="A89" s="13" t="inlineStr">
        <is>
          <t>frontier_composite</t>
        </is>
      </c>
      <c r="B89" s="13" t="inlineStr">
        <is>
          <t>dsv4+kimik2.5</t>
        </is>
      </c>
      <c r="C89" s="13" t="inlineStr">
        <is>
          <t>GB200</t>
        </is>
      </c>
      <c r="D89" s="13" t="inlineStr">
        <is>
          <t>agentic</t>
        </is>
      </c>
      <c r="E89" s="13" t="inlineStr">
        <is>
          <t>50</t>
        </is>
      </c>
      <c r="F89" s="13" t="inlineStr">
        <is>
          <t>False</t>
        </is>
      </c>
      <c r="G89" s="14" t="inlineStr">
        <is>
          <t>0.9636521739130434</t>
        </is>
      </c>
      <c r="H89" s="15" t="inlineStr">
        <is>
          <t>865.5434782608696</t>
        </is>
      </c>
      <c r="I89" s="16" t="inlineStr">
        <is>
          <t>1.817391304347826</t>
        </is>
      </c>
      <c r="J89" s="13" t="inlineStr">
        <is>
          <t>fp4</t>
        </is>
      </c>
      <c r="K89" s="13" t="inlineStr">
        <is>
          <t>dynamo-vllm</t>
        </is>
      </c>
      <c r="L89" s="13" t="inlineStr">
        <is>
          <t>1</t>
        </is>
      </c>
      <c r="M89" s="13" t="inlineStr">
        <is>
          <t>8192</t>
        </is>
      </c>
      <c r="N89" s="13" t="inlineStr">
        <is>
          <t>1024</t>
        </is>
      </c>
      <c r="O89" s="13" t="inlineStr">
        <is>
          <t>agentic_from_long_chat</t>
        </is>
      </c>
      <c r="P89" s="13" t="inlineStr">
        <is>
          <t>dynamic_reasoning_proxy</t>
        </is>
      </c>
      <c r="Q89" s="13" t="inlineStr">
        <is>
          <t>low_target_gap</t>
        </is>
      </c>
      <c r="R89" s="13" t="inlineStr">
        <is>
          <t>2026-05-19T00:00:00.000Z</t>
        </is>
      </c>
      <c r="S89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0">
      <c r="A90" s="13" t="inlineStr">
        <is>
          <t>frontier_composite</t>
        </is>
      </c>
      <c r="B90" s="13" t="inlineStr">
        <is>
          <t>dsv4+kimik2.5</t>
        </is>
      </c>
      <c r="C90" s="13" t="inlineStr">
        <is>
          <t>GB200</t>
        </is>
      </c>
      <c r="D90" s="13" t="inlineStr">
        <is>
          <t>agentic</t>
        </is>
      </c>
      <c r="E90" s="13" t="inlineStr">
        <is>
          <t>70</t>
        </is>
      </c>
      <c r="F90" s="13" t="inlineStr">
        <is>
          <t>False</t>
        </is>
      </c>
      <c r="G90" s="14" t="inlineStr">
        <is>
          <t>0.9740372670807455</t>
        </is>
      </c>
      <c r="H90" s="15" t="inlineStr">
        <is>
          <t>865.5434782608696</t>
        </is>
      </c>
      <c r="I90" s="16" t="inlineStr">
        <is>
          <t>1.817391304347826</t>
        </is>
      </c>
      <c r="J90" s="13" t="inlineStr">
        <is>
          <t>fp4</t>
        </is>
      </c>
      <c r="K90" s="13" t="inlineStr">
        <is>
          <t>dynamo-vllm</t>
        </is>
      </c>
      <c r="L90" s="13" t="inlineStr">
        <is>
          <t>1</t>
        </is>
      </c>
      <c r="M90" s="13" t="inlineStr">
        <is>
          <t>8192</t>
        </is>
      </c>
      <c r="N90" s="13" t="inlineStr">
        <is>
          <t>1024</t>
        </is>
      </c>
      <c r="O90" s="13" t="inlineStr">
        <is>
          <t>agentic_from_long_chat</t>
        </is>
      </c>
      <c r="P90" s="13" t="inlineStr">
        <is>
          <t>dynamic_reasoning_proxy</t>
        </is>
      </c>
      <c r="Q90" s="13" t="inlineStr">
        <is>
          <t>low_target_gap</t>
        </is>
      </c>
      <c r="R90" s="13" t="inlineStr">
        <is>
          <t>2026-05-19T00:00:00.000Z</t>
        </is>
      </c>
      <c r="S90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1">
      <c r="A91" s="13" t="inlineStr">
        <is>
          <t>frontier_composite</t>
        </is>
      </c>
      <c r="B91" s="13" t="inlineStr">
        <is>
          <t>dsv4+kimik2.5</t>
        </is>
      </c>
      <c r="C91" s="13" t="inlineStr">
        <is>
          <t>GB200</t>
        </is>
      </c>
      <c r="D91" s="13" t="inlineStr">
        <is>
          <t>agentic</t>
        </is>
      </c>
      <c r="E91" s="13" t="inlineStr">
        <is>
          <t>100</t>
        </is>
      </c>
      <c r="F91" s="13" t="inlineStr">
        <is>
          <t>False</t>
        </is>
      </c>
      <c r="G91" s="14" t="inlineStr">
        <is>
          <t>0.9818260869565217</t>
        </is>
      </c>
      <c r="H91" s="15" t="inlineStr">
        <is>
          <t>865.5434782608696</t>
        </is>
      </c>
      <c r="I91" s="16" t="inlineStr">
        <is>
          <t>1.817391304347826</t>
        </is>
      </c>
      <c r="J91" s="13" t="inlineStr">
        <is>
          <t>fp4</t>
        </is>
      </c>
      <c r="K91" s="13" t="inlineStr">
        <is>
          <t>dynamo-vllm</t>
        </is>
      </c>
      <c r="L91" s="13" t="inlineStr">
        <is>
          <t>1</t>
        </is>
      </c>
      <c r="M91" s="13" t="inlineStr">
        <is>
          <t>8192</t>
        </is>
      </c>
      <c r="N91" s="13" t="inlineStr">
        <is>
          <t>1024</t>
        </is>
      </c>
      <c r="O91" s="13" t="inlineStr">
        <is>
          <t>agentic_from_long_chat</t>
        </is>
      </c>
      <c r="P91" s="13" t="inlineStr">
        <is>
          <t>dynamic_reasoning_proxy</t>
        </is>
      </c>
      <c r="Q91" s="13" t="inlineStr">
        <is>
          <t>low_target_gap</t>
        </is>
      </c>
      <c r="R91" s="13" t="inlineStr">
        <is>
          <t>2026-05-19T00:00:00.000Z</t>
        </is>
      </c>
      <c r="S91" s="13" t="inlineStr">
        <is>
          <t>Agentic throughput = long-chat output TPS/MW divided by 9.2x LLM call multiplier from dynamic reasoning / AgentBench analysis. Long-chat source selection: selected_optimized_stack; agentic_best_available_below_target.</t>
        </is>
      </c>
    </row>
    <row r="92">
      <c r="A92" s="5" t="inlineStr">
        <is>
          <t>gptoss120b</t>
        </is>
      </c>
      <c r="B92" s="5" t="inlineStr">
        <is>
          <t>gptoss120b</t>
        </is>
      </c>
      <c r="C92" s="5" t="inlineStr">
        <is>
          <t>H200</t>
        </is>
      </c>
      <c r="D92" s="5" t="inlineStr">
        <is>
          <t>short</t>
        </is>
      </c>
      <c r="E92" s="5" t="inlineStr">
        <is>
          <t>10</t>
        </is>
      </c>
      <c r="F92" s="5" t="inlineStr">
        <is>
          <t>True</t>
        </is>
      </c>
      <c r="G92" s="6" t="inlineStr">
        <is>
          <t>0.0</t>
        </is>
      </c>
      <c r="H92" s="7" t="inlineStr">
        <is>
          <t>1459609.0</t>
        </is>
      </c>
      <c r="I92" s="8" t="inlineStr">
        <is>
          <t>39.46</t>
        </is>
      </c>
      <c r="J92" s="5" t="inlineStr">
        <is>
          <t>fp4</t>
        </is>
      </c>
      <c r="K92" s="5" t="inlineStr">
        <is>
          <t>vllm</t>
        </is>
      </c>
      <c r="L92" s="5" t="inlineStr">
        <is>
          <t>64</t>
        </is>
      </c>
      <c r="M92" s="5" t="inlineStr">
        <is>
          <t>1024</t>
        </is>
      </c>
      <c r="N92" s="5" t="inlineStr">
        <is>
          <t>1024</t>
        </is>
      </c>
      <c r="O92" s="5" t="inlineStr">
        <is>
          <t>selected_public_max</t>
        </is>
      </c>
      <c r="P92" s="5" t="inlineStr">
        <is>
          <t>direct_target_row</t>
        </is>
      </c>
      <c r="Q92" s="5" t="inlineStr">
        <is>
          <t>medium</t>
        </is>
      </c>
      <c r="R92" s="5" t="inlineStr">
        <is>
          <t>2025-10-20T00:00:00.000Z</t>
        </is>
      </c>
      <c r="S92" s="5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5" t="inlineStr">
        <is>
          <t>gptoss120b</t>
        </is>
      </c>
      <c r="B93" s="5" t="inlineStr">
        <is>
          <t>gptoss120b</t>
        </is>
      </c>
      <c r="C93" s="5" t="inlineStr">
        <is>
          <t>H200</t>
        </is>
      </c>
      <c r="D93" s="5" t="inlineStr">
        <is>
          <t>short</t>
        </is>
      </c>
      <c r="E93" s="5" t="inlineStr">
        <is>
          <t>30</t>
        </is>
      </c>
      <c r="F93" s="5" t="inlineStr">
        <is>
          <t>True</t>
        </is>
      </c>
      <c r="G93" s="6" t="inlineStr">
        <is>
          <t>0.0</t>
        </is>
      </c>
      <c r="H93" s="7" t="inlineStr">
        <is>
          <t>1459609.0</t>
        </is>
      </c>
      <c r="I93" s="8" t="inlineStr">
        <is>
          <t>39.46</t>
        </is>
      </c>
      <c r="J93" s="5" t="inlineStr">
        <is>
          <t>fp4</t>
        </is>
      </c>
      <c r="K93" s="5" t="inlineStr">
        <is>
          <t>vllm</t>
        </is>
      </c>
      <c r="L93" s="5" t="inlineStr">
        <is>
          <t>64</t>
        </is>
      </c>
      <c r="M93" s="5" t="inlineStr">
        <is>
          <t>1024</t>
        </is>
      </c>
      <c r="N93" s="5" t="inlineStr">
        <is>
          <t>1024</t>
        </is>
      </c>
      <c r="O93" s="5" t="inlineStr">
        <is>
          <t>selected_public_max</t>
        </is>
      </c>
      <c r="P93" s="5" t="inlineStr">
        <is>
          <t>direct_target_row</t>
        </is>
      </c>
      <c r="Q93" s="5" t="inlineStr">
        <is>
          <t>medium</t>
        </is>
      </c>
      <c r="R93" s="5" t="inlineStr">
        <is>
          <t>2025-10-20T00:00:00.000Z</t>
        </is>
      </c>
      <c r="S93" s="5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5" t="inlineStr">
        <is>
          <t>gptoss120b</t>
        </is>
      </c>
      <c r="B94" s="5" t="inlineStr">
        <is>
          <t>gptoss120b</t>
        </is>
      </c>
      <c r="C94" s="5" t="inlineStr">
        <is>
          <t>H200</t>
        </is>
      </c>
      <c r="D94" s="5" t="inlineStr">
        <is>
          <t>short</t>
        </is>
      </c>
      <c r="E94" s="5" t="inlineStr">
        <is>
          <t>50</t>
        </is>
      </c>
      <c r="F94" s="5" t="inlineStr">
        <is>
          <t>True</t>
        </is>
      </c>
      <c r="G94" s="6" t="inlineStr">
        <is>
          <t>0.0</t>
        </is>
      </c>
      <c r="H94" s="7" t="inlineStr">
        <is>
          <t>1037487.0</t>
        </is>
      </c>
      <c r="I94" s="8" t="inlineStr">
        <is>
          <t>56.09</t>
        </is>
      </c>
      <c r="J94" s="5" t="inlineStr">
        <is>
          <t>fp4</t>
        </is>
      </c>
      <c r="K94" s="5" t="inlineStr">
        <is>
          <t>vllm</t>
        </is>
      </c>
      <c r="L94" s="5" t="inlineStr">
        <is>
          <t>32</t>
        </is>
      </c>
      <c r="M94" s="5" t="inlineStr">
        <is>
          <t>1024</t>
        </is>
      </c>
      <c r="N94" s="5" t="inlineStr">
        <is>
          <t>1024</t>
        </is>
      </c>
      <c r="O94" s="5" t="inlineStr">
        <is>
          <t>selected_public_max</t>
        </is>
      </c>
      <c r="P94" s="5" t="inlineStr">
        <is>
          <t>direct_target_row</t>
        </is>
      </c>
      <c r="Q94" s="5" t="inlineStr">
        <is>
          <t>medium</t>
        </is>
      </c>
      <c r="R94" s="5" t="inlineStr">
        <is>
          <t>2025-10-31T00:00:00.000Z</t>
        </is>
      </c>
      <c r="S94" s="5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5" t="inlineStr">
        <is>
          <t>gptoss120b</t>
        </is>
      </c>
      <c r="B95" s="5" t="inlineStr">
        <is>
          <t>gptoss120b</t>
        </is>
      </c>
      <c r="C95" s="5" t="inlineStr">
        <is>
          <t>H200</t>
        </is>
      </c>
      <c r="D95" s="5" t="inlineStr">
        <is>
          <t>short</t>
        </is>
      </c>
      <c r="E95" s="5" t="inlineStr">
        <is>
          <t>70</t>
        </is>
      </c>
      <c r="F95" s="5" t="inlineStr">
        <is>
          <t>True</t>
        </is>
      </c>
      <c r="G95" s="6" t="inlineStr">
        <is>
          <t>0.0</t>
        </is>
      </c>
      <c r="H95" s="7" t="inlineStr">
        <is>
          <t>728459.0</t>
        </is>
      </c>
      <c r="I95" s="8" t="inlineStr">
        <is>
          <t>78.76</t>
        </is>
      </c>
      <c r="J95" s="5" t="inlineStr">
        <is>
          <t>fp4</t>
        </is>
      </c>
      <c r="K95" s="5" t="inlineStr">
        <is>
          <t>vllm</t>
        </is>
      </c>
      <c r="L95" s="5" t="inlineStr">
        <is>
          <t>16</t>
        </is>
      </c>
      <c r="M95" s="5" t="inlineStr">
        <is>
          <t>1024</t>
        </is>
      </c>
      <c r="N95" s="5" t="inlineStr">
        <is>
          <t>1024</t>
        </is>
      </c>
      <c r="O95" s="5" t="inlineStr">
        <is>
          <t>selected_public_max</t>
        </is>
      </c>
      <c r="P95" s="5" t="inlineStr">
        <is>
          <t>direct_target_row</t>
        </is>
      </c>
      <c r="Q95" s="5" t="inlineStr">
        <is>
          <t>medium</t>
        </is>
      </c>
      <c r="R95" s="5" t="inlineStr">
        <is>
          <t>2025-10-20T00:00:00.000Z</t>
        </is>
      </c>
      <c r="S95" s="5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5" t="inlineStr">
        <is>
          <t>gptoss120b</t>
        </is>
      </c>
      <c r="B96" s="5" t="inlineStr">
        <is>
          <t>gptoss120b</t>
        </is>
      </c>
      <c r="C96" s="5" t="inlineStr">
        <is>
          <t>H200</t>
        </is>
      </c>
      <c r="D96" s="5" t="inlineStr">
        <is>
          <t>short</t>
        </is>
      </c>
      <c r="E96" s="5" t="inlineStr">
        <is>
          <t>100</t>
        </is>
      </c>
      <c r="F96" s="5" t="inlineStr">
        <is>
          <t>True</t>
        </is>
      </c>
      <c r="G96" s="6" t="inlineStr">
        <is>
          <t>0.0</t>
        </is>
      </c>
      <c r="H96" s="7" t="inlineStr">
        <is>
          <t>505857.0</t>
        </is>
      </c>
      <c r="I96" s="8" t="inlineStr">
        <is>
          <t>109.39</t>
        </is>
      </c>
      <c r="J96" s="5" t="inlineStr">
        <is>
          <t>fp4</t>
        </is>
      </c>
      <c r="K96" s="5" t="inlineStr">
        <is>
          <t>vllm</t>
        </is>
      </c>
      <c r="L96" s="5" t="inlineStr">
        <is>
          <t>8</t>
        </is>
      </c>
      <c r="M96" s="5" t="inlineStr">
        <is>
          <t>1024</t>
        </is>
      </c>
      <c r="N96" s="5" t="inlineStr">
        <is>
          <t>1024</t>
        </is>
      </c>
      <c r="O96" s="5" t="inlineStr">
        <is>
          <t>selected_public_max</t>
        </is>
      </c>
      <c r="P96" s="5" t="inlineStr">
        <is>
          <t>direct_target_row</t>
        </is>
      </c>
      <c r="Q96" s="5" t="inlineStr">
        <is>
          <t>medium</t>
        </is>
      </c>
      <c r="R96" s="5" t="inlineStr">
        <is>
          <t>2025-10-30T00:00:00.000Z</t>
        </is>
      </c>
      <c r="S96" s="5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5" t="inlineStr">
        <is>
          <t>gptoss120b</t>
        </is>
      </c>
      <c r="B97" s="5" t="inlineStr">
        <is>
          <t>gptoss120b</t>
        </is>
      </c>
      <c r="C97" s="5" t="inlineStr">
        <is>
          <t>H200</t>
        </is>
      </c>
      <c r="D97" s="5" t="inlineStr">
        <is>
          <t>long</t>
        </is>
      </c>
      <c r="E97" s="5" t="inlineStr">
        <is>
          <t>10</t>
        </is>
      </c>
      <c r="F97" s="5" t="inlineStr">
        <is>
          <t>True</t>
        </is>
      </c>
      <c r="G97" s="6" t="inlineStr">
        <is>
          <t>0.0</t>
        </is>
      </c>
      <c r="H97" s="7" t="inlineStr">
        <is>
          <t>1451169.0</t>
        </is>
      </c>
      <c r="I97" s="8" t="inlineStr">
        <is>
          <t>39.23</t>
        </is>
      </c>
      <c r="J97" s="5" t="inlineStr">
        <is>
          <t>fp4</t>
        </is>
      </c>
      <c r="K97" s="5" t="inlineStr">
        <is>
          <t>vllm</t>
        </is>
      </c>
      <c r="L97" s="5" t="inlineStr">
        <is>
          <t>64</t>
        </is>
      </c>
      <c r="M97" s="5" t="inlineStr">
        <is>
          <t>8192</t>
        </is>
      </c>
      <c r="N97" s="5" t="inlineStr">
        <is>
          <t>1024</t>
        </is>
      </c>
      <c r="O97" s="5" t="inlineStr">
        <is>
          <t>selected_public_max</t>
        </is>
      </c>
      <c r="P97" s="5" t="inlineStr">
        <is>
          <t>direct_target_row</t>
        </is>
      </c>
      <c r="Q97" s="5" t="inlineStr">
        <is>
          <t>medium</t>
        </is>
      </c>
      <c r="R97" s="5" t="inlineStr">
        <is>
          <t>2025-11-04T00:00:00.000Z</t>
        </is>
      </c>
      <c r="S97" s="5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5" t="inlineStr">
        <is>
          <t>gptoss120b</t>
        </is>
      </c>
      <c r="B98" s="5" t="inlineStr">
        <is>
          <t>gptoss120b</t>
        </is>
      </c>
      <c r="C98" s="5" t="inlineStr">
        <is>
          <t>H200</t>
        </is>
      </c>
      <c r="D98" s="5" t="inlineStr">
        <is>
          <t>long</t>
        </is>
      </c>
      <c r="E98" s="5" t="inlineStr">
        <is>
          <t>30</t>
        </is>
      </c>
      <c r="F98" s="5" t="inlineStr">
        <is>
          <t>True</t>
        </is>
      </c>
      <c r="G98" s="6" t="inlineStr">
        <is>
          <t>0.0</t>
        </is>
      </c>
      <c r="H98" s="7" t="inlineStr">
        <is>
          <t>1451169.0</t>
        </is>
      </c>
      <c r="I98" s="8" t="inlineStr">
        <is>
          <t>39.23</t>
        </is>
      </c>
      <c r="J98" s="5" t="inlineStr">
        <is>
          <t>fp4</t>
        </is>
      </c>
      <c r="K98" s="5" t="inlineStr">
        <is>
          <t>vllm</t>
        </is>
      </c>
      <c r="L98" s="5" t="inlineStr">
        <is>
          <t>64</t>
        </is>
      </c>
      <c r="M98" s="5" t="inlineStr">
        <is>
          <t>8192</t>
        </is>
      </c>
      <c r="N98" s="5" t="inlineStr">
        <is>
          <t>1024</t>
        </is>
      </c>
      <c r="O98" s="5" t="inlineStr">
        <is>
          <t>selected_public_max</t>
        </is>
      </c>
      <c r="P98" s="5" t="inlineStr">
        <is>
          <t>direct_target_row</t>
        </is>
      </c>
      <c r="Q98" s="5" t="inlineStr">
        <is>
          <t>medium</t>
        </is>
      </c>
      <c r="R98" s="5" t="inlineStr">
        <is>
          <t>2025-11-04T00:00:00.000Z</t>
        </is>
      </c>
      <c r="S98" s="5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5" t="inlineStr">
        <is>
          <t>gptoss120b</t>
        </is>
      </c>
      <c r="B99" s="5" t="inlineStr">
        <is>
          <t>gptoss120b</t>
        </is>
      </c>
      <c r="C99" s="5" t="inlineStr">
        <is>
          <t>H200</t>
        </is>
      </c>
      <c r="D99" s="5" t="inlineStr">
        <is>
          <t>long</t>
        </is>
      </c>
      <c r="E99" s="5" t="inlineStr">
        <is>
          <t>50</t>
        </is>
      </c>
      <c r="F99" s="5" t="inlineStr">
        <is>
          <t>True</t>
        </is>
      </c>
      <c r="G99" s="6" t="inlineStr">
        <is>
          <t>0.0</t>
        </is>
      </c>
      <c r="H99" s="7" t="inlineStr">
        <is>
          <t>1035150.0</t>
        </is>
      </c>
      <c r="I99" s="8" t="inlineStr">
        <is>
          <t>55.96</t>
        </is>
      </c>
      <c r="J99" s="5" t="inlineStr">
        <is>
          <t>fp4</t>
        </is>
      </c>
      <c r="K99" s="5" t="inlineStr">
        <is>
          <t>vllm</t>
        </is>
      </c>
      <c r="L99" s="5" t="inlineStr">
        <is>
          <t>32</t>
        </is>
      </c>
      <c r="M99" s="5" t="inlineStr">
        <is>
          <t>8192</t>
        </is>
      </c>
      <c r="N99" s="5" t="inlineStr">
        <is>
          <t>1024</t>
        </is>
      </c>
      <c r="O99" s="5" t="inlineStr">
        <is>
          <t>selected_public_max</t>
        </is>
      </c>
      <c r="P99" s="5" t="inlineStr">
        <is>
          <t>direct_target_row</t>
        </is>
      </c>
      <c r="Q99" s="5" t="inlineStr">
        <is>
          <t>medium</t>
        </is>
      </c>
      <c r="R99" s="5" t="inlineStr">
        <is>
          <t>2025-11-04T00:00:00.000Z</t>
        </is>
      </c>
      <c r="S99" s="5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5" t="inlineStr">
        <is>
          <t>gptoss120b</t>
        </is>
      </c>
      <c r="B100" s="5" t="inlineStr">
        <is>
          <t>gptoss120b</t>
        </is>
      </c>
      <c r="C100" s="5" t="inlineStr">
        <is>
          <t>H200</t>
        </is>
      </c>
      <c r="D100" s="5" t="inlineStr">
        <is>
          <t>long</t>
        </is>
      </c>
      <c r="E100" s="5" t="inlineStr">
        <is>
          <t>70</t>
        </is>
      </c>
      <c r="F100" s="5" t="inlineStr">
        <is>
          <t>True</t>
        </is>
      </c>
      <c r="G100" s="6" t="inlineStr">
        <is>
          <t>0.0</t>
        </is>
      </c>
      <c r="H100" s="7" t="inlineStr">
        <is>
          <t>649279.0</t>
        </is>
      </c>
      <c r="I100" s="8" t="inlineStr">
        <is>
          <t>70.2</t>
        </is>
      </c>
      <c r="J100" s="5" t="inlineStr">
        <is>
          <t>fp4</t>
        </is>
      </c>
      <c r="K100" s="5" t="inlineStr">
        <is>
          <t>vllm</t>
        </is>
      </c>
      <c r="L100" s="5" t="inlineStr">
        <is>
          <t>16</t>
        </is>
      </c>
      <c r="M100" s="5" t="inlineStr">
        <is>
          <t>8192</t>
        </is>
      </c>
      <c r="N100" s="5" t="inlineStr">
        <is>
          <t>1024</t>
        </is>
      </c>
      <c r="O100" s="5" t="inlineStr">
        <is>
          <t>selected_public_max</t>
        </is>
      </c>
      <c r="P100" s="5" t="inlineStr">
        <is>
          <t>direct_target_row</t>
        </is>
      </c>
      <c r="Q100" s="5" t="inlineStr">
        <is>
          <t>medium</t>
        </is>
      </c>
      <c r="R100" s="5" t="inlineStr">
        <is>
          <t>2026-05-13T00:00:00.000Z</t>
        </is>
      </c>
      <c r="S100" s="5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5" t="inlineStr">
        <is>
          <t>gptoss120b</t>
        </is>
      </c>
      <c r="B101" s="5" t="inlineStr">
        <is>
          <t>gptoss120b</t>
        </is>
      </c>
      <c r="C101" s="5" t="inlineStr">
        <is>
          <t>H200</t>
        </is>
      </c>
      <c r="D101" s="5" t="inlineStr">
        <is>
          <t>long</t>
        </is>
      </c>
      <c r="E101" s="5" t="inlineStr">
        <is>
          <t>100</t>
        </is>
      </c>
      <c r="F101" s="5" t="inlineStr">
        <is>
          <t>True</t>
        </is>
      </c>
      <c r="G101" s="6" t="inlineStr">
        <is>
          <t>0.0</t>
        </is>
      </c>
      <c r="H101" s="7" t="inlineStr">
        <is>
          <t>329414.0</t>
        </is>
      </c>
      <c r="I101" s="8" t="inlineStr">
        <is>
          <t>142.47</t>
        </is>
      </c>
      <c r="J101" s="5" t="inlineStr">
        <is>
          <t>fp4</t>
        </is>
      </c>
      <c r="K101" s="5" t="inlineStr">
        <is>
          <t>vllm</t>
        </is>
      </c>
      <c r="L101" s="5" t="inlineStr">
        <is>
          <t>4</t>
        </is>
      </c>
      <c r="M101" s="5" t="inlineStr">
        <is>
          <t>8192</t>
        </is>
      </c>
      <c r="N101" s="5" t="inlineStr">
        <is>
          <t>1024</t>
        </is>
      </c>
      <c r="O101" s="5" t="inlineStr">
        <is>
          <t>selected_public_max</t>
        </is>
      </c>
      <c r="P101" s="5" t="inlineStr">
        <is>
          <t>direct_target_row</t>
        </is>
      </c>
      <c r="Q101" s="5" t="inlineStr">
        <is>
          <t>medium</t>
        </is>
      </c>
      <c r="R101" s="5" t="inlineStr">
        <is>
          <t>2025-11-04T00:00:00.000Z</t>
        </is>
      </c>
      <c r="S101" s="5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13" t="inlineStr">
        <is>
          <t>gptoss120b</t>
        </is>
      </c>
      <c r="B102" s="13" t="inlineStr">
        <is>
          <t>gptoss120b</t>
        </is>
      </c>
      <c r="C102" s="13" t="inlineStr">
        <is>
          <t>H200</t>
        </is>
      </c>
      <c r="D102" s="13" t="inlineStr">
        <is>
          <t>agentic</t>
        </is>
      </c>
      <c r="E102" s="13" t="inlineStr">
        <is>
          <t>10</t>
        </is>
      </c>
      <c r="F102" s="13" t="inlineStr">
        <is>
          <t>True</t>
        </is>
      </c>
      <c r="G102" s="14" t="inlineStr">
        <is>
          <t>0.0</t>
        </is>
      </c>
      <c r="H102" s="15" t="inlineStr">
        <is>
          <t>35805.86956521739</t>
        </is>
      </c>
      <c r="I102" s="16" t="inlineStr">
        <is>
          <t>15.485869565217392</t>
        </is>
      </c>
      <c r="J102" s="13" t="inlineStr">
        <is>
          <t>fp4</t>
        </is>
      </c>
      <c r="K102" s="13" t="inlineStr">
        <is>
          <t>vllm</t>
        </is>
      </c>
      <c r="L102" s="13" t="inlineStr">
        <is>
          <t>4</t>
        </is>
      </c>
      <c r="M102" s="13" t="inlineStr">
        <is>
          <t>8192</t>
        </is>
      </c>
      <c r="N102" s="13" t="inlineStr">
        <is>
          <t>1024</t>
        </is>
      </c>
      <c r="O102" s="13" t="inlineStr">
        <is>
          <t>agentic_from_long_chat</t>
        </is>
      </c>
      <c r="P102" s="13" t="inlineStr">
        <is>
          <t>dynamic_reasoning_proxy</t>
        </is>
      </c>
      <c r="Q102" s="13" t="inlineStr">
        <is>
          <t>medium_low</t>
        </is>
      </c>
      <c r="R102" s="13" t="inlineStr">
        <is>
          <t>2025-11-04T00:00:00.000Z</t>
        </is>
      </c>
      <c r="S102" s="13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103">
      <c r="A103" s="13" t="inlineStr">
        <is>
          <t>gptoss120b</t>
        </is>
      </c>
      <c r="B103" s="13" t="inlineStr">
        <is>
          <t>gptoss120b</t>
        </is>
      </c>
      <c r="C103" s="13" t="inlineStr">
        <is>
          <t>H200</t>
        </is>
      </c>
      <c r="D103" s="13" t="inlineStr">
        <is>
          <t>agentic</t>
        </is>
      </c>
      <c r="E103" s="13" t="inlineStr">
        <is>
          <t>30</t>
        </is>
      </c>
      <c r="F103" s="13" t="inlineStr">
        <is>
          <t>False</t>
        </is>
      </c>
      <c r="G103" s="14" t="inlineStr">
        <is>
          <t>0.48380434782608694</t>
        </is>
      </c>
      <c r="H103" s="15" t="inlineStr">
        <is>
          <t>35805.86956521739</t>
        </is>
      </c>
      <c r="I103" s="16" t="inlineStr">
        <is>
          <t>15.485869565217392</t>
        </is>
      </c>
      <c r="J103" s="13" t="inlineStr">
        <is>
          <t>fp4</t>
        </is>
      </c>
      <c r="K103" s="13" t="inlineStr">
        <is>
          <t>vllm</t>
        </is>
      </c>
      <c r="L103" s="13" t="inlineStr">
        <is>
          <t>4</t>
        </is>
      </c>
      <c r="M103" s="13" t="inlineStr">
        <is>
          <t>8192</t>
        </is>
      </c>
      <c r="N103" s="13" t="inlineStr">
        <is>
          <t>1024</t>
        </is>
      </c>
      <c r="O103" s="13" t="inlineStr">
        <is>
          <t>agentic_from_long_chat</t>
        </is>
      </c>
      <c r="P103" s="13" t="inlineStr">
        <is>
          <t>dynamic_reasoning_proxy</t>
        </is>
      </c>
      <c r="Q103" s="13" t="inlineStr">
        <is>
          <t>low_target_gap</t>
        </is>
      </c>
      <c r="R103" s="13" t="inlineStr">
        <is>
          <t>2025-11-04T00:00:00.000Z</t>
        </is>
      </c>
      <c r="S10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4">
      <c r="A104" s="13" t="inlineStr">
        <is>
          <t>gptoss120b</t>
        </is>
      </c>
      <c r="B104" s="13" t="inlineStr">
        <is>
          <t>gptoss120b</t>
        </is>
      </c>
      <c r="C104" s="13" t="inlineStr">
        <is>
          <t>H200</t>
        </is>
      </c>
      <c r="D104" s="13" t="inlineStr">
        <is>
          <t>agentic</t>
        </is>
      </c>
      <c r="E104" s="13" t="inlineStr">
        <is>
          <t>50</t>
        </is>
      </c>
      <c r="F104" s="13" t="inlineStr">
        <is>
          <t>False</t>
        </is>
      </c>
      <c r="G104" s="14" t="inlineStr">
        <is>
          <t>0.6902826086956522</t>
        </is>
      </c>
      <c r="H104" s="15" t="inlineStr">
        <is>
          <t>35805.86956521739</t>
        </is>
      </c>
      <c r="I104" s="16" t="inlineStr">
        <is>
          <t>15.485869565217392</t>
        </is>
      </c>
      <c r="J104" s="13" t="inlineStr">
        <is>
          <t>fp4</t>
        </is>
      </c>
      <c r="K104" s="13" t="inlineStr">
        <is>
          <t>vllm</t>
        </is>
      </c>
      <c r="L104" s="13" t="inlineStr">
        <is>
          <t>4</t>
        </is>
      </c>
      <c r="M104" s="13" t="inlineStr">
        <is>
          <t>8192</t>
        </is>
      </c>
      <c r="N104" s="13" t="inlineStr">
        <is>
          <t>1024</t>
        </is>
      </c>
      <c r="O104" s="13" t="inlineStr">
        <is>
          <t>agentic_from_long_chat</t>
        </is>
      </c>
      <c r="P104" s="13" t="inlineStr">
        <is>
          <t>dynamic_reasoning_proxy</t>
        </is>
      </c>
      <c r="Q104" s="13" t="inlineStr">
        <is>
          <t>low_target_gap</t>
        </is>
      </c>
      <c r="R104" s="13" t="inlineStr">
        <is>
          <t>2025-11-04T00:00:00.000Z</t>
        </is>
      </c>
      <c r="S10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5">
      <c r="A105" s="13" t="inlineStr">
        <is>
          <t>gptoss120b</t>
        </is>
      </c>
      <c r="B105" s="13" t="inlineStr">
        <is>
          <t>gptoss120b</t>
        </is>
      </c>
      <c r="C105" s="13" t="inlineStr">
        <is>
          <t>H200</t>
        </is>
      </c>
      <c r="D105" s="13" t="inlineStr">
        <is>
          <t>agentic</t>
        </is>
      </c>
      <c r="E105" s="13" t="inlineStr">
        <is>
          <t>70</t>
        </is>
      </c>
      <c r="F105" s="13" t="inlineStr">
        <is>
          <t>False</t>
        </is>
      </c>
      <c r="G105" s="14" t="inlineStr">
        <is>
          <t>0.7787732919254658</t>
        </is>
      </c>
      <c r="H105" s="15" t="inlineStr">
        <is>
          <t>35805.86956521739</t>
        </is>
      </c>
      <c r="I105" s="16" t="inlineStr">
        <is>
          <t>15.485869565217392</t>
        </is>
      </c>
      <c r="J105" s="13" t="inlineStr">
        <is>
          <t>fp4</t>
        </is>
      </c>
      <c r="K105" s="13" t="inlineStr">
        <is>
          <t>vllm</t>
        </is>
      </c>
      <c r="L105" s="13" t="inlineStr">
        <is>
          <t>4</t>
        </is>
      </c>
      <c r="M105" s="13" t="inlineStr">
        <is>
          <t>8192</t>
        </is>
      </c>
      <c r="N105" s="13" t="inlineStr">
        <is>
          <t>1024</t>
        </is>
      </c>
      <c r="O105" s="13" t="inlineStr">
        <is>
          <t>agentic_from_long_chat</t>
        </is>
      </c>
      <c r="P105" s="13" t="inlineStr">
        <is>
          <t>dynamic_reasoning_proxy</t>
        </is>
      </c>
      <c r="Q105" s="13" t="inlineStr">
        <is>
          <t>low_target_gap</t>
        </is>
      </c>
      <c r="R105" s="13" t="inlineStr">
        <is>
          <t>2025-11-04T00:00:00.000Z</t>
        </is>
      </c>
      <c r="S10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6">
      <c r="A106" s="13" t="inlineStr">
        <is>
          <t>gptoss120b</t>
        </is>
      </c>
      <c r="B106" s="13" t="inlineStr">
        <is>
          <t>gptoss120b</t>
        </is>
      </c>
      <c r="C106" s="13" t="inlineStr">
        <is>
          <t>H200</t>
        </is>
      </c>
      <c r="D106" s="13" t="inlineStr">
        <is>
          <t>agentic</t>
        </is>
      </c>
      <c r="E106" s="13" t="inlineStr">
        <is>
          <t>100</t>
        </is>
      </c>
      <c r="F106" s="13" t="inlineStr">
        <is>
          <t>False</t>
        </is>
      </c>
      <c r="G106" s="14" t="inlineStr">
        <is>
          <t>0.845141304347826</t>
        </is>
      </c>
      <c r="H106" s="15" t="inlineStr">
        <is>
          <t>35805.86956521739</t>
        </is>
      </c>
      <c r="I106" s="16" t="inlineStr">
        <is>
          <t>15.485869565217392</t>
        </is>
      </c>
      <c r="J106" s="13" t="inlineStr">
        <is>
          <t>fp4</t>
        </is>
      </c>
      <c r="K106" s="13" t="inlineStr">
        <is>
          <t>vllm</t>
        </is>
      </c>
      <c r="L106" s="13" t="inlineStr">
        <is>
          <t>4</t>
        </is>
      </c>
      <c r="M106" s="13" t="inlineStr">
        <is>
          <t>8192</t>
        </is>
      </c>
      <c r="N106" s="13" t="inlineStr">
        <is>
          <t>1024</t>
        </is>
      </c>
      <c r="O106" s="13" t="inlineStr">
        <is>
          <t>agentic_from_long_chat</t>
        </is>
      </c>
      <c r="P106" s="13" t="inlineStr">
        <is>
          <t>dynamic_reasoning_proxy</t>
        </is>
      </c>
      <c r="Q106" s="13" t="inlineStr">
        <is>
          <t>low_target_gap</t>
        </is>
      </c>
      <c r="R106" s="13" t="inlineStr">
        <is>
          <t>2025-11-04T00:00:00.000Z</t>
        </is>
      </c>
      <c r="S10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07">
      <c r="A107" s="5" t="inlineStr">
        <is>
          <t>gptoss120b</t>
        </is>
      </c>
      <c r="B107" s="5" t="inlineStr">
        <is>
          <t>gptoss120b</t>
        </is>
      </c>
      <c r="C107" s="5" t="inlineStr">
        <is>
          <t>B200</t>
        </is>
      </c>
      <c r="D107" s="5" t="inlineStr">
        <is>
          <t>short</t>
        </is>
      </c>
      <c r="E107" s="5" t="inlineStr">
        <is>
          <t>10</t>
        </is>
      </c>
      <c r="F107" s="5" t="inlineStr">
        <is>
          <t>True</t>
        </is>
      </c>
      <c r="G107" s="6" t="inlineStr">
        <is>
          <t>0.0</t>
        </is>
      </c>
      <c r="H107" s="7" t="inlineStr">
        <is>
          <t>4516967.0</t>
        </is>
      </c>
      <c r="I107" s="8" t="inlineStr">
        <is>
          <t>76.58</t>
        </is>
      </c>
      <c r="J107" s="5" t="inlineStr">
        <is>
          <t>fp4</t>
        </is>
      </c>
      <c r="K107" s="5" t="inlineStr">
        <is>
          <t>vllm</t>
        </is>
      </c>
      <c r="L107" s="5" t="inlineStr">
        <is>
          <t>128</t>
        </is>
      </c>
      <c r="M107" s="5" t="inlineStr">
        <is>
          <t>1024</t>
        </is>
      </c>
      <c r="N107" s="5" t="inlineStr">
        <is>
          <t>1024</t>
        </is>
      </c>
      <c r="O107" s="5" t="inlineStr">
        <is>
          <t>selected_public_max</t>
        </is>
      </c>
      <c r="P107" s="5" t="inlineStr">
        <is>
          <t>direct_target_row</t>
        </is>
      </c>
      <c r="Q107" s="5" t="inlineStr">
        <is>
          <t>medium</t>
        </is>
      </c>
      <c r="R107" s="5" t="inlineStr">
        <is>
          <t>2026-05-31T00:00:00.000Z</t>
        </is>
      </c>
      <c r="S107" s="5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5" t="inlineStr">
        <is>
          <t>gptoss120b</t>
        </is>
      </c>
      <c r="B108" s="5" t="inlineStr">
        <is>
          <t>gptoss120b</t>
        </is>
      </c>
      <c r="C108" s="5" t="inlineStr">
        <is>
          <t>B200</t>
        </is>
      </c>
      <c r="D108" s="5" t="inlineStr">
        <is>
          <t>short</t>
        </is>
      </c>
      <c r="E108" s="5" t="inlineStr">
        <is>
          <t>30</t>
        </is>
      </c>
      <c r="F108" s="5" t="inlineStr">
        <is>
          <t>True</t>
        </is>
      </c>
      <c r="G108" s="6" t="inlineStr">
        <is>
          <t>0.0</t>
        </is>
      </c>
      <c r="H108" s="7" t="inlineStr">
        <is>
          <t>4516967.0</t>
        </is>
      </c>
      <c r="I108" s="8" t="inlineStr">
        <is>
          <t>76.58</t>
        </is>
      </c>
      <c r="J108" s="5" t="inlineStr">
        <is>
          <t>fp4</t>
        </is>
      </c>
      <c r="K108" s="5" t="inlineStr">
        <is>
          <t>vllm</t>
        </is>
      </c>
      <c r="L108" s="5" t="inlineStr">
        <is>
          <t>128</t>
        </is>
      </c>
      <c r="M108" s="5" t="inlineStr">
        <is>
          <t>1024</t>
        </is>
      </c>
      <c r="N108" s="5" t="inlineStr">
        <is>
          <t>1024</t>
        </is>
      </c>
      <c r="O108" s="5" t="inlineStr">
        <is>
          <t>selected_public_max</t>
        </is>
      </c>
      <c r="P108" s="5" t="inlineStr">
        <is>
          <t>direct_target_row</t>
        </is>
      </c>
      <c r="Q108" s="5" t="inlineStr">
        <is>
          <t>medium</t>
        </is>
      </c>
      <c r="R108" s="5" t="inlineStr">
        <is>
          <t>2026-05-31T00:00:00.000Z</t>
        </is>
      </c>
      <c r="S108" s="5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5" t="inlineStr">
        <is>
          <t>gptoss120b</t>
        </is>
      </c>
      <c r="B109" s="5" t="inlineStr">
        <is>
          <t>gptoss120b</t>
        </is>
      </c>
      <c r="C109" s="5" t="inlineStr">
        <is>
          <t>B200</t>
        </is>
      </c>
      <c r="D109" s="5" t="inlineStr">
        <is>
          <t>short</t>
        </is>
      </c>
      <c r="E109" s="5" t="inlineStr">
        <is>
          <t>50</t>
        </is>
      </c>
      <c r="F109" s="5" t="inlineStr">
        <is>
          <t>True</t>
        </is>
      </c>
      <c r="G109" s="6" t="inlineStr">
        <is>
          <t>0.0</t>
        </is>
      </c>
      <c r="H109" s="7" t="inlineStr">
        <is>
          <t>4516967.0</t>
        </is>
      </c>
      <c r="I109" s="8" t="inlineStr">
        <is>
          <t>76.58</t>
        </is>
      </c>
      <c r="J109" s="5" t="inlineStr">
        <is>
          <t>fp4</t>
        </is>
      </c>
      <c r="K109" s="5" t="inlineStr">
        <is>
          <t>vllm</t>
        </is>
      </c>
      <c r="L109" s="5" t="inlineStr">
        <is>
          <t>128</t>
        </is>
      </c>
      <c r="M109" s="5" t="inlineStr">
        <is>
          <t>1024</t>
        </is>
      </c>
      <c r="N109" s="5" t="inlineStr">
        <is>
          <t>1024</t>
        </is>
      </c>
      <c r="O109" s="5" t="inlineStr">
        <is>
          <t>selected_public_max</t>
        </is>
      </c>
      <c r="P109" s="5" t="inlineStr">
        <is>
          <t>direct_target_row</t>
        </is>
      </c>
      <c r="Q109" s="5" t="inlineStr">
        <is>
          <t>medium</t>
        </is>
      </c>
      <c r="R109" s="5" t="inlineStr">
        <is>
          <t>2026-05-31T00:00:00.000Z</t>
        </is>
      </c>
      <c r="S109" s="5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5" t="inlineStr">
        <is>
          <t>gptoss120b</t>
        </is>
      </c>
      <c r="B110" s="5" t="inlineStr">
        <is>
          <t>gptoss120b</t>
        </is>
      </c>
      <c r="C110" s="5" t="inlineStr">
        <is>
          <t>B200</t>
        </is>
      </c>
      <c r="D110" s="5" t="inlineStr">
        <is>
          <t>short</t>
        </is>
      </c>
      <c r="E110" s="5" t="inlineStr">
        <is>
          <t>70</t>
        </is>
      </c>
      <c r="F110" s="5" t="inlineStr">
        <is>
          <t>True</t>
        </is>
      </c>
      <c r="G110" s="6" t="inlineStr">
        <is>
          <t>0.0</t>
        </is>
      </c>
      <c r="H110" s="7" t="inlineStr">
        <is>
          <t>4516967.0</t>
        </is>
      </c>
      <c r="I110" s="8" t="inlineStr">
        <is>
          <t>76.58</t>
        </is>
      </c>
      <c r="J110" s="5" t="inlineStr">
        <is>
          <t>fp4</t>
        </is>
      </c>
      <c r="K110" s="5" t="inlineStr">
        <is>
          <t>vllm</t>
        </is>
      </c>
      <c r="L110" s="5" t="inlineStr">
        <is>
          <t>128</t>
        </is>
      </c>
      <c r="M110" s="5" t="inlineStr">
        <is>
          <t>1024</t>
        </is>
      </c>
      <c r="N110" s="5" t="inlineStr">
        <is>
          <t>1024</t>
        </is>
      </c>
      <c r="O110" s="5" t="inlineStr">
        <is>
          <t>selected_public_max</t>
        </is>
      </c>
      <c r="P110" s="5" t="inlineStr">
        <is>
          <t>direct_target_row</t>
        </is>
      </c>
      <c r="Q110" s="5" t="inlineStr">
        <is>
          <t>medium</t>
        </is>
      </c>
      <c r="R110" s="5" t="inlineStr">
        <is>
          <t>2026-05-31T00:00:00.000Z</t>
        </is>
      </c>
      <c r="S110" s="5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5" t="inlineStr">
        <is>
          <t>gptoss120b</t>
        </is>
      </c>
      <c r="B111" s="5" t="inlineStr">
        <is>
          <t>gptoss120b</t>
        </is>
      </c>
      <c r="C111" s="5" t="inlineStr">
        <is>
          <t>B200</t>
        </is>
      </c>
      <c r="D111" s="5" t="inlineStr">
        <is>
          <t>short</t>
        </is>
      </c>
      <c r="E111" s="5" t="inlineStr">
        <is>
          <t>100</t>
        </is>
      </c>
      <c r="F111" s="5" t="inlineStr">
        <is>
          <t>True</t>
        </is>
      </c>
      <c r="G111" s="6" t="inlineStr">
        <is>
          <t>0.0</t>
        </is>
      </c>
      <c r="H111" s="7" t="inlineStr">
        <is>
          <t>2983848.0</t>
        </is>
      </c>
      <c r="I111" s="8" t="inlineStr">
        <is>
          <t>101.17</t>
        </is>
      </c>
      <c r="J111" s="5" t="inlineStr">
        <is>
          <t>fp4</t>
        </is>
      </c>
      <c r="K111" s="5" t="inlineStr">
        <is>
          <t>vllm</t>
        </is>
      </c>
      <c r="L111" s="5" t="inlineStr">
        <is>
          <t>64</t>
        </is>
      </c>
      <c r="M111" s="5" t="inlineStr">
        <is>
          <t>1024</t>
        </is>
      </c>
      <c r="N111" s="5" t="inlineStr">
        <is>
          <t>1024</t>
        </is>
      </c>
      <c r="O111" s="5" t="inlineStr">
        <is>
          <t>selected_public_max</t>
        </is>
      </c>
      <c r="P111" s="5" t="inlineStr">
        <is>
          <t>direct_target_row</t>
        </is>
      </c>
      <c r="Q111" s="5" t="inlineStr">
        <is>
          <t>medium</t>
        </is>
      </c>
      <c r="R111" s="5" t="inlineStr">
        <is>
          <t>2026-05-17T00:00:00.000Z</t>
        </is>
      </c>
      <c r="S111" s="5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5" t="inlineStr">
        <is>
          <t>gptoss120b</t>
        </is>
      </c>
      <c r="B112" s="5" t="inlineStr">
        <is>
          <t>gptoss120b</t>
        </is>
      </c>
      <c r="C112" s="5" t="inlineStr">
        <is>
          <t>B200</t>
        </is>
      </c>
      <c r="D112" s="5" t="inlineStr">
        <is>
          <t>long</t>
        </is>
      </c>
      <c r="E112" s="5" t="inlineStr">
        <is>
          <t>10</t>
        </is>
      </c>
      <c r="F112" s="5" t="inlineStr">
        <is>
          <t>True</t>
        </is>
      </c>
      <c r="G112" s="6" t="inlineStr">
        <is>
          <t>0.0</t>
        </is>
      </c>
      <c r="H112" s="7" t="inlineStr">
        <is>
          <t>2629943.0</t>
        </is>
      </c>
      <c r="I112" s="8" t="inlineStr">
        <is>
          <t>44.59</t>
        </is>
      </c>
      <c r="J112" s="5" t="inlineStr">
        <is>
          <t>fp4</t>
        </is>
      </c>
      <c r="K112" s="5" t="inlineStr">
        <is>
          <t>vllm</t>
        </is>
      </c>
      <c r="L112" s="5" t="inlineStr">
        <is>
          <t>128</t>
        </is>
      </c>
      <c r="M112" s="5" t="inlineStr">
        <is>
          <t>8192</t>
        </is>
      </c>
      <c r="N112" s="5" t="inlineStr">
        <is>
          <t>1024</t>
        </is>
      </c>
      <c r="O112" s="5" t="inlineStr">
        <is>
          <t>selected_public_max</t>
        </is>
      </c>
      <c r="P112" s="5" t="inlineStr">
        <is>
          <t>direct_target_row</t>
        </is>
      </c>
      <c r="Q112" s="5" t="inlineStr">
        <is>
          <t>medium</t>
        </is>
      </c>
      <c r="R112" s="5" t="inlineStr">
        <is>
          <t>2026-02-25T00:00:00.000Z</t>
        </is>
      </c>
      <c r="S112" s="5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5" t="inlineStr">
        <is>
          <t>gptoss120b</t>
        </is>
      </c>
      <c r="B113" s="5" t="inlineStr">
        <is>
          <t>gptoss120b</t>
        </is>
      </c>
      <c r="C113" s="5" t="inlineStr">
        <is>
          <t>B200</t>
        </is>
      </c>
      <c r="D113" s="5" t="inlineStr">
        <is>
          <t>long</t>
        </is>
      </c>
      <c r="E113" s="5" t="inlineStr">
        <is>
          <t>30</t>
        </is>
      </c>
      <c r="F113" s="5" t="inlineStr">
        <is>
          <t>True</t>
        </is>
      </c>
      <c r="G113" s="6" t="inlineStr">
        <is>
          <t>0.0</t>
        </is>
      </c>
      <c r="H113" s="7" t="inlineStr">
        <is>
          <t>2629943.0</t>
        </is>
      </c>
      <c r="I113" s="8" t="inlineStr">
        <is>
          <t>44.59</t>
        </is>
      </c>
      <c r="J113" s="5" t="inlineStr">
        <is>
          <t>fp4</t>
        </is>
      </c>
      <c r="K113" s="5" t="inlineStr">
        <is>
          <t>vllm</t>
        </is>
      </c>
      <c r="L113" s="5" t="inlineStr">
        <is>
          <t>128</t>
        </is>
      </c>
      <c r="M113" s="5" t="inlineStr">
        <is>
          <t>8192</t>
        </is>
      </c>
      <c r="N113" s="5" t="inlineStr">
        <is>
          <t>1024</t>
        </is>
      </c>
      <c r="O113" s="5" t="inlineStr">
        <is>
          <t>selected_public_max</t>
        </is>
      </c>
      <c r="P113" s="5" t="inlineStr">
        <is>
          <t>direct_target_row</t>
        </is>
      </c>
      <c r="Q113" s="5" t="inlineStr">
        <is>
          <t>medium</t>
        </is>
      </c>
      <c r="R113" s="5" t="inlineStr">
        <is>
          <t>2026-02-25T00:00:00.000Z</t>
        </is>
      </c>
      <c r="S113" s="5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5" t="inlineStr">
        <is>
          <t>gptoss120b</t>
        </is>
      </c>
      <c r="B114" s="5" t="inlineStr">
        <is>
          <t>gptoss120b</t>
        </is>
      </c>
      <c r="C114" s="5" t="inlineStr">
        <is>
          <t>B200</t>
        </is>
      </c>
      <c r="D114" s="5" t="inlineStr">
        <is>
          <t>long</t>
        </is>
      </c>
      <c r="E114" s="5" t="inlineStr">
        <is>
          <t>50</t>
        </is>
      </c>
      <c r="F114" s="5" t="inlineStr">
        <is>
          <t>True</t>
        </is>
      </c>
      <c r="G114" s="6" t="inlineStr">
        <is>
          <t>0.0</t>
        </is>
      </c>
      <c r="H114" s="7" t="inlineStr">
        <is>
          <t>1978039.0</t>
        </is>
      </c>
      <c r="I114" s="8" t="inlineStr">
        <is>
          <t>67.07</t>
        </is>
      </c>
      <c r="J114" s="5" t="inlineStr">
        <is>
          <t>fp4</t>
        </is>
      </c>
      <c r="K114" s="5" t="inlineStr">
        <is>
          <t>vllm</t>
        </is>
      </c>
      <c r="L114" s="5" t="inlineStr">
        <is>
          <t>64</t>
        </is>
      </c>
      <c r="M114" s="5" t="inlineStr">
        <is>
          <t>8192</t>
        </is>
      </c>
      <c r="N114" s="5" t="inlineStr">
        <is>
          <t>1024</t>
        </is>
      </c>
      <c r="O114" s="5" t="inlineStr">
        <is>
          <t>selected_public_max</t>
        </is>
      </c>
      <c r="P114" s="5" t="inlineStr">
        <is>
          <t>direct_target_row</t>
        </is>
      </c>
      <c r="Q114" s="5" t="inlineStr">
        <is>
          <t>medium</t>
        </is>
      </c>
      <c r="R114" s="5" t="inlineStr">
        <is>
          <t>2026-02-25T00:00:00.000Z</t>
        </is>
      </c>
      <c r="S114" s="5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5" t="inlineStr">
        <is>
          <t>gptoss120b</t>
        </is>
      </c>
      <c r="B115" s="5" t="inlineStr">
        <is>
          <t>gptoss120b</t>
        </is>
      </c>
      <c r="C115" s="5" t="inlineStr">
        <is>
          <t>B200</t>
        </is>
      </c>
      <c r="D115" s="5" t="inlineStr">
        <is>
          <t>long</t>
        </is>
      </c>
      <c r="E115" s="5" t="inlineStr">
        <is>
          <t>70</t>
        </is>
      </c>
      <c r="F115" s="5" t="inlineStr">
        <is>
          <t>True</t>
        </is>
      </c>
      <c r="G115" s="6" t="inlineStr">
        <is>
          <t>0.0</t>
        </is>
      </c>
      <c r="H115" s="7" t="inlineStr">
        <is>
          <t>1699929.0</t>
        </is>
      </c>
      <c r="I115" s="8" t="inlineStr">
        <is>
          <t>115.28</t>
        </is>
      </c>
      <c r="J115" s="5" t="inlineStr">
        <is>
          <t>fp4</t>
        </is>
      </c>
      <c r="K115" s="5" t="inlineStr">
        <is>
          <t>vllm</t>
        </is>
      </c>
      <c r="L115" s="5" t="inlineStr">
        <is>
          <t>32</t>
        </is>
      </c>
      <c r="M115" s="5" t="inlineStr">
        <is>
          <t>8192</t>
        </is>
      </c>
      <c r="N115" s="5" t="inlineStr">
        <is>
          <t>1024</t>
        </is>
      </c>
      <c r="O115" s="5" t="inlineStr">
        <is>
          <t>selected_public_max</t>
        </is>
      </c>
      <c r="P115" s="5" t="inlineStr">
        <is>
          <t>direct_target_row</t>
        </is>
      </c>
      <c r="Q115" s="5" t="inlineStr">
        <is>
          <t>medium</t>
        </is>
      </c>
      <c r="R115" s="5" t="inlineStr">
        <is>
          <t>2025-11-04T00:00:00.000Z</t>
        </is>
      </c>
      <c r="S115" s="5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5" t="inlineStr">
        <is>
          <t>gptoss120b</t>
        </is>
      </c>
      <c r="B116" s="5" t="inlineStr">
        <is>
          <t>gptoss120b</t>
        </is>
      </c>
      <c r="C116" s="5" t="inlineStr">
        <is>
          <t>B200</t>
        </is>
      </c>
      <c r="D116" s="5" t="inlineStr">
        <is>
          <t>long</t>
        </is>
      </c>
      <c r="E116" s="5" t="inlineStr">
        <is>
          <t>100</t>
        </is>
      </c>
      <c r="F116" s="5" t="inlineStr">
        <is>
          <t>True</t>
        </is>
      </c>
      <c r="G116" s="6" t="inlineStr">
        <is>
          <t>0.0</t>
        </is>
      </c>
      <c r="H116" s="7" t="inlineStr">
        <is>
          <t>1699929.0</t>
        </is>
      </c>
      <c r="I116" s="8" t="inlineStr">
        <is>
          <t>115.28</t>
        </is>
      </c>
      <c r="J116" s="5" t="inlineStr">
        <is>
          <t>fp4</t>
        </is>
      </c>
      <c r="K116" s="5" t="inlineStr">
        <is>
          <t>vllm</t>
        </is>
      </c>
      <c r="L116" s="5" t="inlineStr">
        <is>
          <t>32</t>
        </is>
      </c>
      <c r="M116" s="5" t="inlineStr">
        <is>
          <t>8192</t>
        </is>
      </c>
      <c r="N116" s="5" t="inlineStr">
        <is>
          <t>1024</t>
        </is>
      </c>
      <c r="O116" s="5" t="inlineStr">
        <is>
          <t>selected_public_max</t>
        </is>
      </c>
      <c r="P116" s="5" t="inlineStr">
        <is>
          <t>direct_target_row</t>
        </is>
      </c>
      <c r="Q116" s="5" t="inlineStr">
        <is>
          <t>medium</t>
        </is>
      </c>
      <c r="R116" s="5" t="inlineStr">
        <is>
          <t>2025-11-04T00:00:00.000Z</t>
        </is>
      </c>
      <c r="S116" s="5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13" t="inlineStr">
        <is>
          <t>gptoss120b</t>
        </is>
      </c>
      <c r="B117" s="13" t="inlineStr">
        <is>
          <t>gptoss120b</t>
        </is>
      </c>
      <c r="C117" s="13" t="inlineStr">
        <is>
          <t>B200</t>
        </is>
      </c>
      <c r="D117" s="13" t="inlineStr">
        <is>
          <t>agentic</t>
        </is>
      </c>
      <c r="E117" s="13" t="inlineStr">
        <is>
          <t>10</t>
        </is>
      </c>
      <c r="F117" s="13" t="inlineStr">
        <is>
          <t>True</t>
        </is>
      </c>
      <c r="G117" s="14" t="inlineStr">
        <is>
          <t>0.0</t>
        </is>
      </c>
      <c r="H117" s="15" t="inlineStr">
        <is>
          <t>184774.89130434784</t>
        </is>
      </c>
      <c r="I117" s="16" t="inlineStr">
        <is>
          <t>12.530434782608697</t>
        </is>
      </c>
      <c r="J117" s="13" t="inlineStr">
        <is>
          <t>fp4</t>
        </is>
      </c>
      <c r="K117" s="13" t="inlineStr">
        <is>
          <t>vllm</t>
        </is>
      </c>
      <c r="L117" s="13" t="inlineStr">
        <is>
          <t>32</t>
        </is>
      </c>
      <c r="M117" s="13" t="inlineStr">
        <is>
          <t>8192</t>
        </is>
      </c>
      <c r="N117" s="13" t="inlineStr">
        <is>
          <t>1024</t>
        </is>
      </c>
      <c r="O117" s="13" t="inlineStr">
        <is>
          <t>agentic_from_long_chat</t>
        </is>
      </c>
      <c r="P117" s="13" t="inlineStr">
        <is>
          <t>dynamic_reasoning_proxy</t>
        </is>
      </c>
      <c r="Q117" s="13" t="inlineStr">
        <is>
          <t>medium_low</t>
        </is>
      </c>
      <c r="R117" s="13" t="inlineStr">
        <is>
          <t>2025-11-04T00:00:00.000Z</t>
        </is>
      </c>
      <c r="S117" s="13" t="inlineStr">
        <is>
          <t>Agentic throughput = long-chat output TPS/MW divided by 9.2x LLM call multiplier from dynamic reasoning / AgentBench analysis. Long-chat source selection: selected_public_max; agentic_target_met_from_long_chat.</t>
        </is>
      </c>
    </row>
    <row r="118">
      <c r="A118" s="13" t="inlineStr">
        <is>
          <t>gptoss120b</t>
        </is>
      </c>
      <c r="B118" s="13" t="inlineStr">
        <is>
          <t>gptoss120b</t>
        </is>
      </c>
      <c r="C118" s="13" t="inlineStr">
        <is>
          <t>B200</t>
        </is>
      </c>
      <c r="D118" s="13" t="inlineStr">
        <is>
          <t>agentic</t>
        </is>
      </c>
      <c r="E118" s="13" t="inlineStr">
        <is>
          <t>30</t>
        </is>
      </c>
      <c r="F118" s="13" t="inlineStr">
        <is>
          <t>False</t>
        </is>
      </c>
      <c r="G118" s="14" t="inlineStr">
        <is>
          <t>0.5823188405797101</t>
        </is>
      </c>
      <c r="H118" s="15" t="inlineStr">
        <is>
          <t>184774.89130434784</t>
        </is>
      </c>
      <c r="I118" s="16" t="inlineStr">
        <is>
          <t>12.530434782608697</t>
        </is>
      </c>
      <c r="J118" s="13" t="inlineStr">
        <is>
          <t>fp4</t>
        </is>
      </c>
      <c r="K118" s="13" t="inlineStr">
        <is>
          <t>vllm</t>
        </is>
      </c>
      <c r="L118" s="13" t="inlineStr">
        <is>
          <t>32</t>
        </is>
      </c>
      <c r="M118" s="13" t="inlineStr">
        <is>
          <t>8192</t>
        </is>
      </c>
      <c r="N118" s="13" t="inlineStr">
        <is>
          <t>1024</t>
        </is>
      </c>
      <c r="O118" s="13" t="inlineStr">
        <is>
          <t>agentic_from_long_chat</t>
        </is>
      </c>
      <c r="P118" s="13" t="inlineStr">
        <is>
          <t>dynamic_reasoning_proxy</t>
        </is>
      </c>
      <c r="Q118" s="13" t="inlineStr">
        <is>
          <t>low_target_gap</t>
        </is>
      </c>
      <c r="R118" s="13" t="inlineStr">
        <is>
          <t>2025-11-04T00:00:00.000Z</t>
        </is>
      </c>
      <c r="S11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19">
      <c r="A119" s="13" t="inlineStr">
        <is>
          <t>gptoss120b</t>
        </is>
      </c>
      <c r="B119" s="13" t="inlineStr">
        <is>
          <t>gptoss120b</t>
        </is>
      </c>
      <c r="C119" s="13" t="inlineStr">
        <is>
          <t>B200</t>
        </is>
      </c>
      <c r="D119" s="13" t="inlineStr">
        <is>
          <t>agentic</t>
        </is>
      </c>
      <c r="E119" s="13" t="inlineStr">
        <is>
          <t>50</t>
        </is>
      </c>
      <c r="F119" s="13" t="inlineStr">
        <is>
          <t>False</t>
        </is>
      </c>
      <c r="G119" s="14" t="inlineStr">
        <is>
          <t>0.7493913043478261</t>
        </is>
      </c>
      <c r="H119" s="15" t="inlineStr">
        <is>
          <t>184774.89130434784</t>
        </is>
      </c>
      <c r="I119" s="16" t="inlineStr">
        <is>
          <t>12.530434782608697</t>
        </is>
      </c>
      <c r="J119" s="13" t="inlineStr">
        <is>
          <t>fp4</t>
        </is>
      </c>
      <c r="K119" s="13" t="inlineStr">
        <is>
          <t>vllm</t>
        </is>
      </c>
      <c r="L119" s="13" t="inlineStr">
        <is>
          <t>32</t>
        </is>
      </c>
      <c r="M119" s="13" t="inlineStr">
        <is>
          <t>8192</t>
        </is>
      </c>
      <c r="N119" s="13" t="inlineStr">
        <is>
          <t>1024</t>
        </is>
      </c>
      <c r="O119" s="13" t="inlineStr">
        <is>
          <t>agentic_from_long_chat</t>
        </is>
      </c>
      <c r="P119" s="13" t="inlineStr">
        <is>
          <t>dynamic_reasoning_proxy</t>
        </is>
      </c>
      <c r="Q119" s="13" t="inlineStr">
        <is>
          <t>low_target_gap</t>
        </is>
      </c>
      <c r="R119" s="13" t="inlineStr">
        <is>
          <t>2025-11-04T00:00:00.000Z</t>
        </is>
      </c>
      <c r="S11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0">
      <c r="A120" s="13" t="inlineStr">
        <is>
          <t>gptoss120b</t>
        </is>
      </c>
      <c r="B120" s="13" t="inlineStr">
        <is>
          <t>gptoss120b</t>
        </is>
      </c>
      <c r="C120" s="13" t="inlineStr">
        <is>
          <t>B200</t>
        </is>
      </c>
      <c r="D120" s="13" t="inlineStr">
        <is>
          <t>agentic</t>
        </is>
      </c>
      <c r="E120" s="13" t="inlineStr">
        <is>
          <t>70</t>
        </is>
      </c>
      <c r="F120" s="13" t="inlineStr">
        <is>
          <t>False</t>
        </is>
      </c>
      <c r="G120" s="14" t="inlineStr">
        <is>
          <t>0.8209937888198758</t>
        </is>
      </c>
      <c r="H120" s="15" t="inlineStr">
        <is>
          <t>184774.89130434784</t>
        </is>
      </c>
      <c r="I120" s="16" t="inlineStr">
        <is>
          <t>12.530434782608697</t>
        </is>
      </c>
      <c r="J120" s="13" t="inlineStr">
        <is>
          <t>fp4</t>
        </is>
      </c>
      <c r="K120" s="13" t="inlineStr">
        <is>
          <t>vllm</t>
        </is>
      </c>
      <c r="L120" s="13" t="inlineStr">
        <is>
          <t>32</t>
        </is>
      </c>
      <c r="M120" s="13" t="inlineStr">
        <is>
          <t>8192</t>
        </is>
      </c>
      <c r="N120" s="13" t="inlineStr">
        <is>
          <t>1024</t>
        </is>
      </c>
      <c r="O120" s="13" t="inlineStr">
        <is>
          <t>agentic_from_long_chat</t>
        </is>
      </c>
      <c r="P120" s="13" t="inlineStr">
        <is>
          <t>dynamic_reasoning_proxy</t>
        </is>
      </c>
      <c r="Q120" s="13" t="inlineStr">
        <is>
          <t>low_target_gap</t>
        </is>
      </c>
      <c r="R120" s="13" t="inlineStr">
        <is>
          <t>2025-11-04T00:00:00.000Z</t>
        </is>
      </c>
      <c r="S12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1">
      <c r="A121" s="13" t="inlineStr">
        <is>
          <t>gptoss120b</t>
        </is>
      </c>
      <c r="B121" s="13" t="inlineStr">
        <is>
          <t>gptoss120b</t>
        </is>
      </c>
      <c r="C121" s="13" t="inlineStr">
        <is>
          <t>B200</t>
        </is>
      </c>
      <c r="D121" s="13" t="inlineStr">
        <is>
          <t>agentic</t>
        </is>
      </c>
      <c r="E121" s="13" t="inlineStr">
        <is>
          <t>100</t>
        </is>
      </c>
      <c r="F121" s="13" t="inlineStr">
        <is>
          <t>False</t>
        </is>
      </c>
      <c r="G121" s="14" t="inlineStr">
        <is>
          <t>0.8746956521739131</t>
        </is>
      </c>
      <c r="H121" s="15" t="inlineStr">
        <is>
          <t>184774.89130434784</t>
        </is>
      </c>
      <c r="I121" s="16" t="inlineStr">
        <is>
          <t>12.530434782608697</t>
        </is>
      </c>
      <c r="J121" s="13" t="inlineStr">
        <is>
          <t>fp4</t>
        </is>
      </c>
      <c r="K121" s="13" t="inlineStr">
        <is>
          <t>vllm</t>
        </is>
      </c>
      <c r="L121" s="13" t="inlineStr">
        <is>
          <t>32</t>
        </is>
      </c>
      <c r="M121" s="13" t="inlineStr">
        <is>
          <t>8192</t>
        </is>
      </c>
      <c r="N121" s="13" t="inlineStr">
        <is>
          <t>1024</t>
        </is>
      </c>
      <c r="O121" s="13" t="inlineStr">
        <is>
          <t>agentic_from_long_chat</t>
        </is>
      </c>
      <c r="P121" s="13" t="inlineStr">
        <is>
          <t>dynamic_reasoning_proxy</t>
        </is>
      </c>
      <c r="Q121" s="13" t="inlineStr">
        <is>
          <t>low_target_gap</t>
        </is>
      </c>
      <c r="R121" s="13" t="inlineStr">
        <is>
          <t>2025-11-04T00:00:00.000Z</t>
        </is>
      </c>
      <c r="S12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22">
      <c r="A122" s="9" t="inlineStr">
        <is>
          <t>gptoss120b</t>
        </is>
      </c>
      <c r="B122" s="9" t="inlineStr"/>
      <c r="C122" s="9" t="inlineStr">
        <is>
          <t>GB200</t>
        </is>
      </c>
      <c r="D122" s="9" t="inlineStr">
        <is>
          <t>short</t>
        </is>
      </c>
      <c r="E122" s="9" t="inlineStr">
        <is>
          <t>10</t>
        </is>
      </c>
      <c r="F122" s="9" t="inlineStr">
        <is>
          <t>False</t>
        </is>
      </c>
      <c r="G122" s="10" t="inlineStr"/>
      <c r="H122" s="11" t="inlineStr"/>
      <c r="I122" s="12" t="inlineStr"/>
      <c r="J122" s="9" t="inlineStr"/>
      <c r="K122" s="9" t="inlineStr"/>
      <c r="L122" s="9" t="inlineStr"/>
      <c r="M122" s="9" t="inlineStr"/>
      <c r="N122" s="9" t="inlineStr"/>
      <c r="O122" s="9" t="inlineStr">
        <is>
          <t>missing</t>
        </is>
      </c>
      <c r="P122" s="9" t="inlineStr">
        <is>
          <t>no_benchmark_row</t>
        </is>
      </c>
      <c r="Q122" s="9" t="inlineStr">
        <is>
          <t>missing</t>
        </is>
      </c>
      <c r="R122" s="9" t="inlineStr"/>
      <c r="S122" s="9" t="inlineStr">
        <is>
          <t>No model/GPU/workload benchmark row was available.</t>
        </is>
      </c>
    </row>
    <row r="123">
      <c r="A123" s="9" t="inlineStr">
        <is>
          <t>gptoss120b</t>
        </is>
      </c>
      <c r="B123" s="9" t="inlineStr"/>
      <c r="C123" s="9" t="inlineStr">
        <is>
          <t>GB200</t>
        </is>
      </c>
      <c r="D123" s="9" t="inlineStr">
        <is>
          <t>short</t>
        </is>
      </c>
      <c r="E123" s="9" t="inlineStr">
        <is>
          <t>30</t>
        </is>
      </c>
      <c r="F123" s="9" t="inlineStr">
        <is>
          <t>False</t>
        </is>
      </c>
      <c r="G123" s="10" t="inlineStr"/>
      <c r="H123" s="11" t="inlineStr"/>
      <c r="I123" s="12" t="inlineStr"/>
      <c r="J123" s="9" t="inlineStr"/>
      <c r="K123" s="9" t="inlineStr"/>
      <c r="L123" s="9" t="inlineStr"/>
      <c r="M123" s="9" t="inlineStr"/>
      <c r="N123" s="9" t="inlineStr"/>
      <c r="O123" s="9" t="inlineStr">
        <is>
          <t>missing</t>
        </is>
      </c>
      <c r="P123" s="9" t="inlineStr">
        <is>
          <t>no_benchmark_row</t>
        </is>
      </c>
      <c r="Q123" s="9" t="inlineStr">
        <is>
          <t>missing</t>
        </is>
      </c>
      <c r="R123" s="9" t="inlineStr"/>
      <c r="S123" s="9" t="inlineStr">
        <is>
          <t>No model/GPU/workload benchmark row was available.</t>
        </is>
      </c>
    </row>
    <row r="124">
      <c r="A124" s="9" t="inlineStr">
        <is>
          <t>gptoss120b</t>
        </is>
      </c>
      <c r="B124" s="9" t="inlineStr"/>
      <c r="C124" s="9" t="inlineStr">
        <is>
          <t>GB200</t>
        </is>
      </c>
      <c r="D124" s="9" t="inlineStr">
        <is>
          <t>short</t>
        </is>
      </c>
      <c r="E124" s="9" t="inlineStr">
        <is>
          <t>50</t>
        </is>
      </c>
      <c r="F124" s="9" t="inlineStr">
        <is>
          <t>False</t>
        </is>
      </c>
      <c r="G124" s="10" t="inlineStr"/>
      <c r="H124" s="11" t="inlineStr"/>
      <c r="I124" s="12" t="inlineStr"/>
      <c r="J124" s="9" t="inlineStr"/>
      <c r="K124" s="9" t="inlineStr"/>
      <c r="L124" s="9" t="inlineStr"/>
      <c r="M124" s="9" t="inlineStr"/>
      <c r="N124" s="9" t="inlineStr"/>
      <c r="O124" s="9" t="inlineStr">
        <is>
          <t>missing</t>
        </is>
      </c>
      <c r="P124" s="9" t="inlineStr">
        <is>
          <t>no_benchmark_row</t>
        </is>
      </c>
      <c r="Q124" s="9" t="inlineStr">
        <is>
          <t>missing</t>
        </is>
      </c>
      <c r="R124" s="9" t="inlineStr"/>
      <c r="S124" s="9" t="inlineStr">
        <is>
          <t>No model/GPU/workload benchmark row was available.</t>
        </is>
      </c>
    </row>
    <row r="125">
      <c r="A125" s="9" t="inlineStr">
        <is>
          <t>gptoss120b</t>
        </is>
      </c>
      <c r="B125" s="9" t="inlineStr"/>
      <c r="C125" s="9" t="inlineStr">
        <is>
          <t>GB200</t>
        </is>
      </c>
      <c r="D125" s="9" t="inlineStr">
        <is>
          <t>short</t>
        </is>
      </c>
      <c r="E125" s="9" t="inlineStr">
        <is>
          <t>70</t>
        </is>
      </c>
      <c r="F125" s="9" t="inlineStr">
        <is>
          <t>False</t>
        </is>
      </c>
      <c r="G125" s="10" t="inlineStr"/>
      <c r="H125" s="11" t="inlineStr"/>
      <c r="I125" s="12" t="inlineStr"/>
      <c r="J125" s="9" t="inlineStr"/>
      <c r="K125" s="9" t="inlineStr"/>
      <c r="L125" s="9" t="inlineStr"/>
      <c r="M125" s="9" t="inlineStr"/>
      <c r="N125" s="9" t="inlineStr"/>
      <c r="O125" s="9" t="inlineStr">
        <is>
          <t>missing</t>
        </is>
      </c>
      <c r="P125" s="9" t="inlineStr">
        <is>
          <t>no_benchmark_row</t>
        </is>
      </c>
      <c r="Q125" s="9" t="inlineStr">
        <is>
          <t>missing</t>
        </is>
      </c>
      <c r="R125" s="9" t="inlineStr"/>
      <c r="S125" s="9" t="inlineStr">
        <is>
          <t>No model/GPU/workload benchmark row was available.</t>
        </is>
      </c>
    </row>
    <row r="126">
      <c r="A126" s="9" t="inlineStr">
        <is>
          <t>gptoss120b</t>
        </is>
      </c>
      <c r="B126" s="9" t="inlineStr"/>
      <c r="C126" s="9" t="inlineStr">
        <is>
          <t>GB200</t>
        </is>
      </c>
      <c r="D126" s="9" t="inlineStr">
        <is>
          <t>short</t>
        </is>
      </c>
      <c r="E126" s="9" t="inlineStr">
        <is>
          <t>100</t>
        </is>
      </c>
      <c r="F126" s="9" t="inlineStr">
        <is>
          <t>False</t>
        </is>
      </c>
      <c r="G126" s="10" t="inlineStr"/>
      <c r="H126" s="11" t="inlineStr"/>
      <c r="I126" s="12" t="inlineStr"/>
      <c r="J126" s="9" t="inlineStr"/>
      <c r="K126" s="9" t="inlineStr"/>
      <c r="L126" s="9" t="inlineStr"/>
      <c r="M126" s="9" t="inlineStr"/>
      <c r="N126" s="9" t="inlineStr"/>
      <c r="O126" s="9" t="inlineStr">
        <is>
          <t>missing</t>
        </is>
      </c>
      <c r="P126" s="9" t="inlineStr">
        <is>
          <t>no_benchmark_row</t>
        </is>
      </c>
      <c r="Q126" s="9" t="inlineStr">
        <is>
          <t>missing</t>
        </is>
      </c>
      <c r="R126" s="9" t="inlineStr"/>
      <c r="S126" s="9" t="inlineStr">
        <is>
          <t>No model/GPU/workload benchmark row was available.</t>
        </is>
      </c>
    </row>
    <row r="127">
      <c r="A127" s="9" t="inlineStr">
        <is>
          <t>gptoss120b</t>
        </is>
      </c>
      <c r="B127" s="9" t="inlineStr"/>
      <c r="C127" s="9" t="inlineStr">
        <is>
          <t>GB200</t>
        </is>
      </c>
      <c r="D127" s="9" t="inlineStr">
        <is>
          <t>long</t>
        </is>
      </c>
      <c r="E127" s="9" t="inlineStr">
        <is>
          <t>10</t>
        </is>
      </c>
      <c r="F127" s="9" t="inlineStr">
        <is>
          <t>False</t>
        </is>
      </c>
      <c r="G127" s="10" t="inlineStr"/>
      <c r="H127" s="11" t="inlineStr"/>
      <c r="I127" s="12" t="inlineStr"/>
      <c r="J127" s="9" t="inlineStr"/>
      <c r="K127" s="9" t="inlineStr"/>
      <c r="L127" s="9" t="inlineStr"/>
      <c r="M127" s="9" t="inlineStr"/>
      <c r="N127" s="9" t="inlineStr"/>
      <c r="O127" s="9" t="inlineStr">
        <is>
          <t>missing</t>
        </is>
      </c>
      <c r="P127" s="9" t="inlineStr">
        <is>
          <t>no_benchmark_row</t>
        </is>
      </c>
      <c r="Q127" s="9" t="inlineStr">
        <is>
          <t>missing</t>
        </is>
      </c>
      <c r="R127" s="9" t="inlineStr"/>
      <c r="S127" s="9" t="inlineStr">
        <is>
          <t>No model/GPU/workload benchmark row was available.</t>
        </is>
      </c>
    </row>
    <row r="128">
      <c r="A128" s="9" t="inlineStr">
        <is>
          <t>gptoss120b</t>
        </is>
      </c>
      <c r="B128" s="9" t="inlineStr"/>
      <c r="C128" s="9" t="inlineStr">
        <is>
          <t>GB200</t>
        </is>
      </c>
      <c r="D128" s="9" t="inlineStr">
        <is>
          <t>long</t>
        </is>
      </c>
      <c r="E128" s="9" t="inlineStr">
        <is>
          <t>30</t>
        </is>
      </c>
      <c r="F128" s="9" t="inlineStr">
        <is>
          <t>False</t>
        </is>
      </c>
      <c r="G128" s="10" t="inlineStr"/>
      <c r="H128" s="11" t="inlineStr"/>
      <c r="I128" s="12" t="inlineStr"/>
      <c r="J128" s="9" t="inlineStr"/>
      <c r="K128" s="9" t="inlineStr"/>
      <c r="L128" s="9" t="inlineStr"/>
      <c r="M128" s="9" t="inlineStr"/>
      <c r="N128" s="9" t="inlineStr"/>
      <c r="O128" s="9" t="inlineStr">
        <is>
          <t>missing</t>
        </is>
      </c>
      <c r="P128" s="9" t="inlineStr">
        <is>
          <t>no_benchmark_row</t>
        </is>
      </c>
      <c r="Q128" s="9" t="inlineStr">
        <is>
          <t>missing</t>
        </is>
      </c>
      <c r="R128" s="9" t="inlineStr"/>
      <c r="S128" s="9" t="inlineStr">
        <is>
          <t>No model/GPU/workload benchmark row was available.</t>
        </is>
      </c>
    </row>
    <row r="129">
      <c r="A129" s="9" t="inlineStr">
        <is>
          <t>gptoss120b</t>
        </is>
      </c>
      <c r="B129" s="9" t="inlineStr"/>
      <c r="C129" s="9" t="inlineStr">
        <is>
          <t>GB200</t>
        </is>
      </c>
      <c r="D129" s="9" t="inlineStr">
        <is>
          <t>long</t>
        </is>
      </c>
      <c r="E129" s="9" t="inlineStr">
        <is>
          <t>50</t>
        </is>
      </c>
      <c r="F129" s="9" t="inlineStr">
        <is>
          <t>False</t>
        </is>
      </c>
      <c r="G129" s="10" t="inlineStr"/>
      <c r="H129" s="11" t="inlineStr"/>
      <c r="I129" s="12" t="inlineStr"/>
      <c r="J129" s="9" t="inlineStr"/>
      <c r="K129" s="9" t="inlineStr"/>
      <c r="L129" s="9" t="inlineStr"/>
      <c r="M129" s="9" t="inlineStr"/>
      <c r="N129" s="9" t="inlineStr"/>
      <c r="O129" s="9" t="inlineStr">
        <is>
          <t>missing</t>
        </is>
      </c>
      <c r="P129" s="9" t="inlineStr">
        <is>
          <t>no_benchmark_row</t>
        </is>
      </c>
      <c r="Q129" s="9" t="inlineStr">
        <is>
          <t>missing</t>
        </is>
      </c>
      <c r="R129" s="9" t="inlineStr"/>
      <c r="S129" s="9" t="inlineStr">
        <is>
          <t>No model/GPU/workload benchmark row was available.</t>
        </is>
      </c>
    </row>
    <row r="130">
      <c r="A130" s="9" t="inlineStr">
        <is>
          <t>gptoss120b</t>
        </is>
      </c>
      <c r="B130" s="9" t="inlineStr"/>
      <c r="C130" s="9" t="inlineStr">
        <is>
          <t>GB200</t>
        </is>
      </c>
      <c r="D130" s="9" t="inlineStr">
        <is>
          <t>long</t>
        </is>
      </c>
      <c r="E130" s="9" t="inlineStr">
        <is>
          <t>70</t>
        </is>
      </c>
      <c r="F130" s="9" t="inlineStr">
        <is>
          <t>False</t>
        </is>
      </c>
      <c r="G130" s="10" t="inlineStr"/>
      <c r="H130" s="11" t="inlineStr"/>
      <c r="I130" s="12" t="inlineStr"/>
      <c r="J130" s="9" t="inlineStr"/>
      <c r="K130" s="9" t="inlineStr"/>
      <c r="L130" s="9" t="inlineStr"/>
      <c r="M130" s="9" t="inlineStr"/>
      <c r="N130" s="9" t="inlineStr"/>
      <c r="O130" s="9" t="inlineStr">
        <is>
          <t>missing</t>
        </is>
      </c>
      <c r="P130" s="9" t="inlineStr">
        <is>
          <t>no_benchmark_row</t>
        </is>
      </c>
      <c r="Q130" s="9" t="inlineStr">
        <is>
          <t>missing</t>
        </is>
      </c>
      <c r="R130" s="9" t="inlineStr"/>
      <c r="S130" s="9" t="inlineStr">
        <is>
          <t>No model/GPU/workload benchmark row was available.</t>
        </is>
      </c>
    </row>
    <row r="131">
      <c r="A131" s="9" t="inlineStr">
        <is>
          <t>gptoss120b</t>
        </is>
      </c>
      <c r="B131" s="9" t="inlineStr"/>
      <c r="C131" s="9" t="inlineStr">
        <is>
          <t>GB200</t>
        </is>
      </c>
      <c r="D131" s="9" t="inlineStr">
        <is>
          <t>long</t>
        </is>
      </c>
      <c r="E131" s="9" t="inlineStr">
        <is>
          <t>100</t>
        </is>
      </c>
      <c r="F131" s="9" t="inlineStr">
        <is>
          <t>False</t>
        </is>
      </c>
      <c r="G131" s="10" t="inlineStr"/>
      <c r="H131" s="11" t="inlineStr"/>
      <c r="I131" s="12" t="inlineStr"/>
      <c r="J131" s="9" t="inlineStr"/>
      <c r="K131" s="9" t="inlineStr"/>
      <c r="L131" s="9" t="inlineStr"/>
      <c r="M131" s="9" t="inlineStr"/>
      <c r="N131" s="9" t="inlineStr"/>
      <c r="O131" s="9" t="inlineStr">
        <is>
          <t>missing</t>
        </is>
      </c>
      <c r="P131" s="9" t="inlineStr">
        <is>
          <t>no_benchmark_row</t>
        </is>
      </c>
      <c r="Q131" s="9" t="inlineStr">
        <is>
          <t>missing</t>
        </is>
      </c>
      <c r="R131" s="9" t="inlineStr"/>
      <c r="S131" s="9" t="inlineStr">
        <is>
          <t>No model/GPU/workload benchmark row was available.</t>
        </is>
      </c>
    </row>
    <row r="132">
      <c r="A132" s="9" t="inlineStr">
        <is>
          <t>gptoss120b</t>
        </is>
      </c>
      <c r="B132" s="9" t="inlineStr"/>
      <c r="C132" s="9" t="inlineStr">
        <is>
          <t>GB200</t>
        </is>
      </c>
      <c r="D132" s="9" t="inlineStr">
        <is>
          <t>agentic</t>
        </is>
      </c>
      <c r="E132" s="9" t="inlineStr">
        <is>
          <t>10</t>
        </is>
      </c>
      <c r="F132" s="9" t="inlineStr">
        <is>
          <t>False</t>
        </is>
      </c>
      <c r="G132" s="10" t="inlineStr"/>
      <c r="H132" s="11" t="inlineStr"/>
      <c r="I132" s="12" t="inlineStr"/>
      <c r="J132" s="9" t="inlineStr"/>
      <c r="K132" s="9" t="inlineStr"/>
      <c r="L132" s="9" t="inlineStr"/>
      <c r="M132" s="9" t="inlineStr"/>
      <c r="N132" s="9" t="inlineStr"/>
      <c r="O132" s="9" t="inlineStr">
        <is>
          <t>missing</t>
        </is>
      </c>
      <c r="P132" s="9" t="inlineStr">
        <is>
          <t>no_long_chat_proxy_row</t>
        </is>
      </c>
      <c r="Q132" s="9" t="inlineStr">
        <is>
          <t>missing</t>
        </is>
      </c>
      <c r="R132" s="9" t="inlineStr"/>
      <c r="S132" s="9" t="inlineStr">
        <is>
          <t>Agentic proxy could not be derived because no long-chat benchmark row was available.</t>
        </is>
      </c>
    </row>
    <row r="133">
      <c r="A133" s="9" t="inlineStr">
        <is>
          <t>gptoss120b</t>
        </is>
      </c>
      <c r="B133" s="9" t="inlineStr"/>
      <c r="C133" s="9" t="inlineStr">
        <is>
          <t>GB200</t>
        </is>
      </c>
      <c r="D133" s="9" t="inlineStr">
        <is>
          <t>agentic</t>
        </is>
      </c>
      <c r="E133" s="9" t="inlineStr">
        <is>
          <t>30</t>
        </is>
      </c>
      <c r="F133" s="9" t="inlineStr">
        <is>
          <t>False</t>
        </is>
      </c>
      <c r="G133" s="10" t="inlineStr"/>
      <c r="H133" s="11" t="inlineStr"/>
      <c r="I133" s="12" t="inlineStr"/>
      <c r="J133" s="9" t="inlineStr"/>
      <c r="K133" s="9" t="inlineStr"/>
      <c r="L133" s="9" t="inlineStr"/>
      <c r="M133" s="9" t="inlineStr"/>
      <c r="N133" s="9" t="inlineStr"/>
      <c r="O133" s="9" t="inlineStr">
        <is>
          <t>missing</t>
        </is>
      </c>
      <c r="P133" s="9" t="inlineStr">
        <is>
          <t>no_long_chat_proxy_row</t>
        </is>
      </c>
      <c r="Q133" s="9" t="inlineStr">
        <is>
          <t>missing</t>
        </is>
      </c>
      <c r="R133" s="9" t="inlineStr"/>
      <c r="S133" s="9" t="inlineStr">
        <is>
          <t>Agentic proxy could not be derived because no long-chat benchmark row was available.</t>
        </is>
      </c>
    </row>
    <row r="134">
      <c r="A134" s="9" t="inlineStr">
        <is>
          <t>gptoss120b</t>
        </is>
      </c>
      <c r="B134" s="9" t="inlineStr"/>
      <c r="C134" s="9" t="inlineStr">
        <is>
          <t>GB200</t>
        </is>
      </c>
      <c r="D134" s="9" t="inlineStr">
        <is>
          <t>agentic</t>
        </is>
      </c>
      <c r="E134" s="9" t="inlineStr">
        <is>
          <t>50</t>
        </is>
      </c>
      <c r="F134" s="9" t="inlineStr">
        <is>
          <t>False</t>
        </is>
      </c>
      <c r="G134" s="10" t="inlineStr"/>
      <c r="H134" s="11" t="inlineStr"/>
      <c r="I134" s="12" t="inlineStr"/>
      <c r="J134" s="9" t="inlineStr"/>
      <c r="K134" s="9" t="inlineStr"/>
      <c r="L134" s="9" t="inlineStr"/>
      <c r="M134" s="9" t="inlineStr"/>
      <c r="N134" s="9" t="inlineStr"/>
      <c r="O134" s="9" t="inlineStr">
        <is>
          <t>missing</t>
        </is>
      </c>
      <c r="P134" s="9" t="inlineStr">
        <is>
          <t>no_long_chat_proxy_row</t>
        </is>
      </c>
      <c r="Q134" s="9" t="inlineStr">
        <is>
          <t>missing</t>
        </is>
      </c>
      <c r="R134" s="9" t="inlineStr"/>
      <c r="S134" s="9" t="inlineStr">
        <is>
          <t>Agentic proxy could not be derived because no long-chat benchmark row was available.</t>
        </is>
      </c>
    </row>
    <row r="135">
      <c r="A135" s="9" t="inlineStr">
        <is>
          <t>gptoss120b</t>
        </is>
      </c>
      <c r="B135" s="9" t="inlineStr"/>
      <c r="C135" s="9" t="inlineStr">
        <is>
          <t>GB200</t>
        </is>
      </c>
      <c r="D135" s="9" t="inlineStr">
        <is>
          <t>agentic</t>
        </is>
      </c>
      <c r="E135" s="9" t="inlineStr">
        <is>
          <t>70</t>
        </is>
      </c>
      <c r="F135" s="9" t="inlineStr">
        <is>
          <t>False</t>
        </is>
      </c>
      <c r="G135" s="10" t="inlineStr"/>
      <c r="H135" s="11" t="inlineStr"/>
      <c r="I135" s="12" t="inlineStr"/>
      <c r="J135" s="9" t="inlineStr"/>
      <c r="K135" s="9" t="inlineStr"/>
      <c r="L135" s="9" t="inlineStr"/>
      <c r="M135" s="9" t="inlineStr"/>
      <c r="N135" s="9" t="inlineStr"/>
      <c r="O135" s="9" t="inlineStr">
        <is>
          <t>missing</t>
        </is>
      </c>
      <c r="P135" s="9" t="inlineStr">
        <is>
          <t>no_long_chat_proxy_row</t>
        </is>
      </c>
      <c r="Q135" s="9" t="inlineStr">
        <is>
          <t>missing</t>
        </is>
      </c>
      <c r="R135" s="9" t="inlineStr"/>
      <c r="S135" s="9" t="inlineStr">
        <is>
          <t>Agentic proxy could not be derived because no long-chat benchmark row was available.</t>
        </is>
      </c>
    </row>
    <row r="136">
      <c r="A136" s="9" t="inlineStr">
        <is>
          <t>gptoss120b</t>
        </is>
      </c>
      <c r="B136" s="9" t="inlineStr"/>
      <c r="C136" s="9" t="inlineStr">
        <is>
          <t>GB200</t>
        </is>
      </c>
      <c r="D136" s="9" t="inlineStr">
        <is>
          <t>agentic</t>
        </is>
      </c>
      <c r="E136" s="9" t="inlineStr">
        <is>
          <t>100</t>
        </is>
      </c>
      <c r="F136" s="9" t="inlineStr">
        <is>
          <t>False</t>
        </is>
      </c>
      <c r="G136" s="10" t="inlineStr"/>
      <c r="H136" s="11" t="inlineStr"/>
      <c r="I136" s="12" t="inlineStr"/>
      <c r="J136" s="9" t="inlineStr"/>
      <c r="K136" s="9" t="inlineStr"/>
      <c r="L136" s="9" t="inlineStr"/>
      <c r="M136" s="9" t="inlineStr"/>
      <c r="N136" s="9" t="inlineStr"/>
      <c r="O136" s="9" t="inlineStr">
        <is>
          <t>missing</t>
        </is>
      </c>
      <c r="P136" s="9" t="inlineStr">
        <is>
          <t>no_long_chat_proxy_row</t>
        </is>
      </c>
      <c r="Q136" s="9" t="inlineStr">
        <is>
          <t>missing</t>
        </is>
      </c>
      <c r="R136" s="9" t="inlineStr"/>
      <c r="S136" s="9" t="inlineStr">
        <is>
          <t>Agentic proxy could not be derived because no long-chat benchmark row was available.</t>
        </is>
      </c>
    </row>
    <row r="137">
      <c r="A137" s="5" t="inlineStr">
        <is>
          <t>llama70b</t>
        </is>
      </c>
      <c r="B137" s="5" t="inlineStr">
        <is>
          <t>llama70b</t>
        </is>
      </c>
      <c r="C137" s="5" t="inlineStr">
        <is>
          <t>H200</t>
        </is>
      </c>
      <c r="D137" s="5" t="inlineStr">
        <is>
          <t>short</t>
        </is>
      </c>
      <c r="E137" s="5" t="inlineStr">
        <is>
          <t>10</t>
        </is>
      </c>
      <c r="F137" s="5" t="inlineStr">
        <is>
          <t>True</t>
        </is>
      </c>
      <c r="G137" s="6" t="inlineStr">
        <is>
          <t>0.0</t>
        </is>
      </c>
      <c r="H137" s="7" t="inlineStr">
        <is>
          <t>965061.0</t>
        </is>
      </c>
      <c r="I137" s="8" t="inlineStr">
        <is>
          <t>26.09</t>
        </is>
      </c>
      <c r="J137" s="5" t="inlineStr">
        <is>
          <t>fp8</t>
        </is>
      </c>
      <c r="K137" s="5" t="inlineStr">
        <is>
          <t>vllm</t>
        </is>
      </c>
      <c r="L137" s="5" t="inlineStr">
        <is>
          <t>64</t>
        </is>
      </c>
      <c r="M137" s="5" t="inlineStr">
        <is>
          <t>1024</t>
        </is>
      </c>
      <c r="N137" s="5" t="inlineStr">
        <is>
          <t>1024</t>
        </is>
      </c>
      <c r="O137" s="5" t="inlineStr">
        <is>
          <t>selected_public_max</t>
        </is>
      </c>
      <c r="P137" s="5" t="inlineStr">
        <is>
          <t>direct_target_row</t>
        </is>
      </c>
      <c r="Q137" s="5" t="inlineStr">
        <is>
          <t>medium</t>
        </is>
      </c>
      <c r="R137" s="5" t="inlineStr">
        <is>
          <t>2025-10-28T00:00:00.000Z</t>
        </is>
      </c>
      <c r="S137" s="5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5" t="inlineStr">
        <is>
          <t>llama70b</t>
        </is>
      </c>
      <c r="B138" s="5" t="inlineStr">
        <is>
          <t>llama70b</t>
        </is>
      </c>
      <c r="C138" s="5" t="inlineStr">
        <is>
          <t>H200</t>
        </is>
      </c>
      <c r="D138" s="5" t="inlineStr">
        <is>
          <t>short</t>
        </is>
      </c>
      <c r="E138" s="5" t="inlineStr">
        <is>
          <t>30</t>
        </is>
      </c>
      <c r="F138" s="5" t="inlineStr">
        <is>
          <t>True</t>
        </is>
      </c>
      <c r="G138" s="6" t="inlineStr">
        <is>
          <t>0.0</t>
        </is>
      </c>
      <c r="H138" s="7" t="inlineStr">
        <is>
          <t>364069.0</t>
        </is>
      </c>
      <c r="I138" s="8" t="inlineStr">
        <is>
          <t>39.36</t>
        </is>
      </c>
      <c r="J138" s="5" t="inlineStr">
        <is>
          <t>fp8</t>
        </is>
      </c>
      <c r="K138" s="5" t="inlineStr">
        <is>
          <t>vllm</t>
        </is>
      </c>
      <c r="L138" s="5" t="inlineStr">
        <is>
          <t>16</t>
        </is>
      </c>
      <c r="M138" s="5" t="inlineStr">
        <is>
          <t>1024</t>
        </is>
      </c>
      <c r="N138" s="5" t="inlineStr">
        <is>
          <t>1024</t>
        </is>
      </c>
      <c r="O138" s="5" t="inlineStr">
        <is>
          <t>selected_public_max</t>
        </is>
      </c>
      <c r="P138" s="5" t="inlineStr">
        <is>
          <t>direct_target_row</t>
        </is>
      </c>
      <c r="Q138" s="5" t="inlineStr">
        <is>
          <t>medium</t>
        </is>
      </c>
      <c r="R138" s="5" t="inlineStr">
        <is>
          <t>2025-10-15T00:00:00.000Z</t>
        </is>
      </c>
      <c r="S138" s="5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9" t="inlineStr">
        <is>
          <t>llama70b</t>
        </is>
      </c>
      <c r="B139" s="9" t="inlineStr">
        <is>
          <t>llama70b</t>
        </is>
      </c>
      <c r="C139" s="9" t="inlineStr">
        <is>
          <t>H200</t>
        </is>
      </c>
      <c r="D139" s="9" t="inlineStr">
        <is>
          <t>short</t>
        </is>
      </c>
      <c r="E139" s="9" t="inlineStr">
        <is>
          <t>50</t>
        </is>
      </c>
      <c r="F139" s="9" t="inlineStr">
        <is>
          <t>False</t>
        </is>
      </c>
      <c r="G139" s="10" t="inlineStr">
        <is>
          <t>0.21280000000000002</t>
        </is>
      </c>
      <c r="H139" s="11" t="inlineStr">
        <is>
          <t>364069.0</t>
        </is>
      </c>
      <c r="I139" s="12" t="inlineStr">
        <is>
          <t>39.36</t>
        </is>
      </c>
      <c r="J139" s="9" t="inlineStr">
        <is>
          <t>fp8</t>
        </is>
      </c>
      <c r="K139" s="9" t="inlineStr">
        <is>
          <t>vllm</t>
        </is>
      </c>
      <c r="L139" s="9" t="inlineStr">
        <is>
          <t>16</t>
        </is>
      </c>
      <c r="M139" s="9" t="inlineStr">
        <is>
          <t>1024</t>
        </is>
      </c>
      <c r="N139" s="9" t="inlineStr">
        <is>
          <t>1024</t>
        </is>
      </c>
      <c r="O139" s="9" t="inlineStr">
        <is>
          <t>selected_public_max</t>
        </is>
      </c>
      <c r="P139" s="9" t="inlineStr">
        <is>
          <t>best_available_below_target</t>
        </is>
      </c>
      <c r="Q139" s="9" t="inlineStr">
        <is>
          <t>low_target_gap</t>
        </is>
      </c>
      <c r="R139" s="9" t="inlineStr">
        <is>
          <t>2025-10-15T00:00:00.000Z</t>
        </is>
      </c>
      <c r="S139" s="9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9" t="inlineStr">
        <is>
          <t>llama70b</t>
        </is>
      </c>
      <c r="B140" s="9" t="inlineStr">
        <is>
          <t>llama70b</t>
        </is>
      </c>
      <c r="C140" s="9" t="inlineStr">
        <is>
          <t>H200</t>
        </is>
      </c>
      <c r="D140" s="9" t="inlineStr">
        <is>
          <t>short</t>
        </is>
      </c>
      <c r="E140" s="9" t="inlineStr">
        <is>
          <t>70</t>
        </is>
      </c>
      <c r="F140" s="9" t="inlineStr">
        <is>
          <t>False</t>
        </is>
      </c>
      <c r="G140" s="10" t="inlineStr">
        <is>
          <t>0.4377142857142857</t>
        </is>
      </c>
      <c r="H140" s="11" t="inlineStr">
        <is>
          <t>364069.0</t>
        </is>
      </c>
      <c r="I140" s="12" t="inlineStr">
        <is>
          <t>39.36</t>
        </is>
      </c>
      <c r="J140" s="9" t="inlineStr">
        <is>
          <t>fp8</t>
        </is>
      </c>
      <c r="K140" s="9" t="inlineStr">
        <is>
          <t>vllm</t>
        </is>
      </c>
      <c r="L140" s="9" t="inlineStr">
        <is>
          <t>16</t>
        </is>
      </c>
      <c r="M140" s="9" t="inlineStr">
        <is>
          <t>1024</t>
        </is>
      </c>
      <c r="N140" s="9" t="inlineStr">
        <is>
          <t>1024</t>
        </is>
      </c>
      <c r="O140" s="9" t="inlineStr">
        <is>
          <t>selected_public_max</t>
        </is>
      </c>
      <c r="P140" s="9" t="inlineStr">
        <is>
          <t>best_available_below_target</t>
        </is>
      </c>
      <c r="Q140" s="9" t="inlineStr">
        <is>
          <t>low_target_gap</t>
        </is>
      </c>
      <c r="R140" s="9" t="inlineStr">
        <is>
          <t>2025-10-15T00:00:00.000Z</t>
        </is>
      </c>
      <c r="S140" s="9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9" t="inlineStr">
        <is>
          <t>llama70b</t>
        </is>
      </c>
      <c r="B141" s="9" t="inlineStr">
        <is>
          <t>llama70b</t>
        </is>
      </c>
      <c r="C141" s="9" t="inlineStr">
        <is>
          <t>H200</t>
        </is>
      </c>
      <c r="D141" s="9" t="inlineStr">
        <is>
          <t>short</t>
        </is>
      </c>
      <c r="E141" s="9" t="inlineStr">
        <is>
          <t>100</t>
        </is>
      </c>
      <c r="F141" s="9" t="inlineStr">
        <is>
          <t>False</t>
        </is>
      </c>
      <c r="G141" s="10" t="inlineStr">
        <is>
          <t>0.6064</t>
        </is>
      </c>
      <c r="H141" s="11" t="inlineStr">
        <is>
          <t>364069.0</t>
        </is>
      </c>
      <c r="I141" s="12" t="inlineStr">
        <is>
          <t>39.36</t>
        </is>
      </c>
      <c r="J141" s="9" t="inlineStr">
        <is>
          <t>fp8</t>
        </is>
      </c>
      <c r="K141" s="9" t="inlineStr">
        <is>
          <t>vllm</t>
        </is>
      </c>
      <c r="L141" s="9" t="inlineStr">
        <is>
          <t>16</t>
        </is>
      </c>
      <c r="M141" s="9" t="inlineStr">
        <is>
          <t>1024</t>
        </is>
      </c>
      <c r="N141" s="9" t="inlineStr">
        <is>
          <t>1024</t>
        </is>
      </c>
      <c r="O141" s="9" t="inlineStr">
        <is>
          <t>selected_public_max</t>
        </is>
      </c>
      <c r="P141" s="9" t="inlineStr">
        <is>
          <t>best_available_below_target</t>
        </is>
      </c>
      <c r="Q141" s="9" t="inlineStr">
        <is>
          <t>low_target_gap</t>
        </is>
      </c>
      <c r="R141" s="9" t="inlineStr">
        <is>
          <t>2025-10-15T00:00:00.000Z</t>
        </is>
      </c>
      <c r="S141" s="9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5" t="inlineStr">
        <is>
          <t>llama70b</t>
        </is>
      </c>
      <c r="B142" s="5" t="inlineStr">
        <is>
          <t>llama70b</t>
        </is>
      </c>
      <c r="C142" s="5" t="inlineStr">
        <is>
          <t>H200</t>
        </is>
      </c>
      <c r="D142" s="5" t="inlineStr">
        <is>
          <t>long</t>
        </is>
      </c>
      <c r="E142" s="5" t="inlineStr">
        <is>
          <t>10</t>
        </is>
      </c>
      <c r="F142" s="5" t="inlineStr">
        <is>
          <t>True</t>
        </is>
      </c>
      <c r="G142" s="6" t="inlineStr">
        <is>
          <t>0.0</t>
        </is>
      </c>
      <c r="H142" s="7" t="inlineStr">
        <is>
          <t>231275.0</t>
        </is>
      </c>
      <c r="I142" s="8" t="inlineStr">
        <is>
          <t>12.5</t>
        </is>
      </c>
      <c r="J142" s="5" t="inlineStr">
        <is>
          <t>fp8</t>
        </is>
      </c>
      <c r="K142" s="5" t="inlineStr">
        <is>
          <t>vllm</t>
        </is>
      </c>
      <c r="L142" s="5" t="inlineStr">
        <is>
          <t>32</t>
        </is>
      </c>
      <c r="M142" s="5" t="inlineStr">
        <is>
          <t>8192</t>
        </is>
      </c>
      <c r="N142" s="5" t="inlineStr">
        <is>
          <t>1024</t>
        </is>
      </c>
      <c r="O142" s="5" t="inlineStr">
        <is>
          <t>selected_public_max</t>
        </is>
      </c>
      <c r="P142" s="5" t="inlineStr">
        <is>
          <t>direct_target_row</t>
        </is>
      </c>
      <c r="Q142" s="5" t="inlineStr">
        <is>
          <t>medium</t>
        </is>
      </c>
      <c r="R142" s="5" t="inlineStr">
        <is>
          <t>2025-10-20T00:00:00.000Z</t>
        </is>
      </c>
      <c r="S142" s="5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5" t="inlineStr">
        <is>
          <t>llama70b</t>
        </is>
      </c>
      <c r="B143" s="5" t="inlineStr">
        <is>
          <t>llama70b</t>
        </is>
      </c>
      <c r="C143" s="5" t="inlineStr">
        <is>
          <t>H200</t>
        </is>
      </c>
      <c r="D143" s="5" t="inlineStr">
        <is>
          <t>long</t>
        </is>
      </c>
      <c r="E143" s="5" t="inlineStr">
        <is>
          <t>30</t>
        </is>
      </c>
      <c r="F143" s="5" t="inlineStr">
        <is>
          <t>True</t>
        </is>
      </c>
      <c r="G143" s="6" t="inlineStr">
        <is>
          <t>0.0</t>
        </is>
      </c>
      <c r="H143" s="7" t="inlineStr">
        <is>
          <t>83442.0</t>
        </is>
      </c>
      <c r="I143" s="8" t="inlineStr">
        <is>
          <t>36.09</t>
        </is>
      </c>
      <c r="J143" s="5" t="inlineStr">
        <is>
          <t>fp8</t>
        </is>
      </c>
      <c r="K143" s="5" t="inlineStr">
        <is>
          <t>vllm</t>
        </is>
      </c>
      <c r="L143" s="5" t="inlineStr">
        <is>
          <t>4</t>
        </is>
      </c>
      <c r="M143" s="5" t="inlineStr">
        <is>
          <t>8192</t>
        </is>
      </c>
      <c r="N143" s="5" t="inlineStr">
        <is>
          <t>1024</t>
        </is>
      </c>
      <c r="O143" s="5" t="inlineStr">
        <is>
          <t>selected_public_max</t>
        </is>
      </c>
      <c r="P143" s="5" t="inlineStr">
        <is>
          <t>direct_target_row</t>
        </is>
      </c>
      <c r="Q143" s="5" t="inlineStr">
        <is>
          <t>medium</t>
        </is>
      </c>
      <c r="R143" s="5" t="inlineStr">
        <is>
          <t>2025-10-15T00:00:00.000Z</t>
        </is>
      </c>
      <c r="S143" s="5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9" t="inlineStr">
        <is>
          <t>llama70b</t>
        </is>
      </c>
      <c r="B144" s="9" t="inlineStr">
        <is>
          <t>llama70b</t>
        </is>
      </c>
      <c r="C144" s="9" t="inlineStr">
        <is>
          <t>H200</t>
        </is>
      </c>
      <c r="D144" s="9" t="inlineStr">
        <is>
          <t>long</t>
        </is>
      </c>
      <c r="E144" s="9" t="inlineStr">
        <is>
          <t>50</t>
        </is>
      </c>
      <c r="F144" s="9" t="inlineStr">
        <is>
          <t>False</t>
        </is>
      </c>
      <c r="G144" s="10" t="inlineStr">
        <is>
          <t>0.27819999999999995</t>
        </is>
      </c>
      <c r="H144" s="11" t="inlineStr">
        <is>
          <t>83442.0</t>
        </is>
      </c>
      <c r="I144" s="12" t="inlineStr">
        <is>
          <t>36.09</t>
        </is>
      </c>
      <c r="J144" s="9" t="inlineStr">
        <is>
          <t>fp8</t>
        </is>
      </c>
      <c r="K144" s="9" t="inlineStr">
        <is>
          <t>vllm</t>
        </is>
      </c>
      <c r="L144" s="9" t="inlineStr">
        <is>
          <t>4</t>
        </is>
      </c>
      <c r="M144" s="9" t="inlineStr">
        <is>
          <t>8192</t>
        </is>
      </c>
      <c r="N144" s="9" t="inlineStr">
        <is>
          <t>1024</t>
        </is>
      </c>
      <c r="O144" s="9" t="inlineStr">
        <is>
          <t>selected_public_max</t>
        </is>
      </c>
      <c r="P144" s="9" t="inlineStr">
        <is>
          <t>best_available_below_target</t>
        </is>
      </c>
      <c r="Q144" s="9" t="inlineStr">
        <is>
          <t>low_target_gap</t>
        </is>
      </c>
      <c r="R144" s="9" t="inlineStr">
        <is>
          <t>2025-10-15T00:00:00.000Z</t>
        </is>
      </c>
      <c r="S144" s="9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9" t="inlineStr">
        <is>
          <t>llama70b</t>
        </is>
      </c>
      <c r="B145" s="9" t="inlineStr">
        <is>
          <t>llama70b</t>
        </is>
      </c>
      <c r="C145" s="9" t="inlineStr">
        <is>
          <t>H200</t>
        </is>
      </c>
      <c r="D145" s="9" t="inlineStr">
        <is>
          <t>long</t>
        </is>
      </c>
      <c r="E145" s="9" t="inlineStr">
        <is>
          <t>70</t>
        </is>
      </c>
      <c r="F145" s="9" t="inlineStr">
        <is>
          <t>False</t>
        </is>
      </c>
      <c r="G145" s="10" t="inlineStr">
        <is>
          <t>0.4844285714285714</t>
        </is>
      </c>
      <c r="H145" s="11" t="inlineStr">
        <is>
          <t>83442.0</t>
        </is>
      </c>
      <c r="I145" s="12" t="inlineStr">
        <is>
          <t>36.09</t>
        </is>
      </c>
      <c r="J145" s="9" t="inlineStr">
        <is>
          <t>fp8</t>
        </is>
      </c>
      <c r="K145" s="9" t="inlineStr">
        <is>
          <t>vllm</t>
        </is>
      </c>
      <c r="L145" s="9" t="inlineStr">
        <is>
          <t>4</t>
        </is>
      </c>
      <c r="M145" s="9" t="inlineStr">
        <is>
          <t>8192</t>
        </is>
      </c>
      <c r="N145" s="9" t="inlineStr">
        <is>
          <t>1024</t>
        </is>
      </c>
      <c r="O145" s="9" t="inlineStr">
        <is>
          <t>selected_public_max</t>
        </is>
      </c>
      <c r="P145" s="9" t="inlineStr">
        <is>
          <t>best_available_below_target</t>
        </is>
      </c>
      <c r="Q145" s="9" t="inlineStr">
        <is>
          <t>low_target_gap</t>
        </is>
      </c>
      <c r="R145" s="9" t="inlineStr">
        <is>
          <t>2025-10-15T00:00:00.000Z</t>
        </is>
      </c>
      <c r="S145" s="9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9" t="inlineStr">
        <is>
          <t>llama70b</t>
        </is>
      </c>
      <c r="B146" s="9" t="inlineStr">
        <is>
          <t>llama70b</t>
        </is>
      </c>
      <c r="C146" s="9" t="inlineStr">
        <is>
          <t>H200</t>
        </is>
      </c>
      <c r="D146" s="9" t="inlineStr">
        <is>
          <t>long</t>
        </is>
      </c>
      <c r="E146" s="9" t="inlineStr">
        <is>
          <t>100</t>
        </is>
      </c>
      <c r="F146" s="9" t="inlineStr">
        <is>
          <t>False</t>
        </is>
      </c>
      <c r="G146" s="10" t="inlineStr">
        <is>
          <t>0.6391</t>
        </is>
      </c>
      <c r="H146" s="11" t="inlineStr">
        <is>
          <t>83442.0</t>
        </is>
      </c>
      <c r="I146" s="12" t="inlineStr">
        <is>
          <t>36.09</t>
        </is>
      </c>
      <c r="J146" s="9" t="inlineStr">
        <is>
          <t>fp8</t>
        </is>
      </c>
      <c r="K146" s="9" t="inlineStr">
        <is>
          <t>vllm</t>
        </is>
      </c>
      <c r="L146" s="9" t="inlineStr">
        <is>
          <t>4</t>
        </is>
      </c>
      <c r="M146" s="9" t="inlineStr">
        <is>
          <t>8192</t>
        </is>
      </c>
      <c r="N146" s="9" t="inlineStr">
        <is>
          <t>1024</t>
        </is>
      </c>
      <c r="O146" s="9" t="inlineStr">
        <is>
          <t>selected_public_max</t>
        </is>
      </c>
      <c r="P146" s="9" t="inlineStr">
        <is>
          <t>best_available_below_target</t>
        </is>
      </c>
      <c r="Q146" s="9" t="inlineStr">
        <is>
          <t>low_target_gap</t>
        </is>
      </c>
      <c r="R146" s="9" t="inlineStr">
        <is>
          <t>2025-10-15T00:00:00.000Z</t>
        </is>
      </c>
      <c r="S146" s="9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13" t="inlineStr">
        <is>
          <t>llama70b</t>
        </is>
      </c>
      <c r="B147" s="13" t="inlineStr">
        <is>
          <t>llama70b</t>
        </is>
      </c>
      <c r="C147" s="13" t="inlineStr">
        <is>
          <t>H200</t>
        </is>
      </c>
      <c r="D147" s="13" t="inlineStr">
        <is>
          <t>agentic</t>
        </is>
      </c>
      <c r="E147" s="13" t="inlineStr">
        <is>
          <t>10</t>
        </is>
      </c>
      <c r="F147" s="13" t="inlineStr">
        <is>
          <t>False</t>
        </is>
      </c>
      <c r="G147" s="14" t="inlineStr">
        <is>
          <t>0.6077173913043478</t>
        </is>
      </c>
      <c r="H147" s="15" t="inlineStr">
        <is>
          <t>9069.782608695652</t>
        </is>
      </c>
      <c r="I147" s="16" t="inlineStr">
        <is>
          <t>3.9228260869565226</t>
        </is>
      </c>
      <c r="J147" s="13" t="inlineStr">
        <is>
          <t>fp8</t>
        </is>
      </c>
      <c r="K147" s="13" t="inlineStr">
        <is>
          <t>vllm</t>
        </is>
      </c>
      <c r="L147" s="13" t="inlineStr">
        <is>
          <t>4</t>
        </is>
      </c>
      <c r="M147" s="13" t="inlineStr">
        <is>
          <t>8192</t>
        </is>
      </c>
      <c r="N147" s="13" t="inlineStr">
        <is>
          <t>1024</t>
        </is>
      </c>
      <c r="O147" s="13" t="inlineStr">
        <is>
          <t>agentic_from_long_chat</t>
        </is>
      </c>
      <c r="P147" s="13" t="inlineStr">
        <is>
          <t>dynamic_reasoning_proxy</t>
        </is>
      </c>
      <c r="Q147" s="13" t="inlineStr">
        <is>
          <t>low_target_gap</t>
        </is>
      </c>
      <c r="R147" s="13" t="inlineStr">
        <is>
          <t>2025-10-15T00:00:00.000Z</t>
        </is>
      </c>
      <c r="S147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8">
      <c r="A148" s="13" t="inlineStr">
        <is>
          <t>llama70b</t>
        </is>
      </c>
      <c r="B148" s="13" t="inlineStr">
        <is>
          <t>llama70b</t>
        </is>
      </c>
      <c r="C148" s="13" t="inlineStr">
        <is>
          <t>H200</t>
        </is>
      </c>
      <c r="D148" s="13" t="inlineStr">
        <is>
          <t>agentic</t>
        </is>
      </c>
      <c r="E148" s="13" t="inlineStr">
        <is>
          <t>30</t>
        </is>
      </c>
      <c r="F148" s="13" t="inlineStr">
        <is>
          <t>False</t>
        </is>
      </c>
      <c r="G148" s="14" t="inlineStr">
        <is>
          <t>0.8692391304347826</t>
        </is>
      </c>
      <c r="H148" s="15" t="inlineStr">
        <is>
          <t>9069.782608695652</t>
        </is>
      </c>
      <c r="I148" s="16" t="inlineStr">
        <is>
          <t>3.9228260869565226</t>
        </is>
      </c>
      <c r="J148" s="13" t="inlineStr">
        <is>
          <t>fp8</t>
        </is>
      </c>
      <c r="K148" s="13" t="inlineStr">
        <is>
          <t>vllm</t>
        </is>
      </c>
      <c r="L148" s="13" t="inlineStr">
        <is>
          <t>4</t>
        </is>
      </c>
      <c r="M148" s="13" t="inlineStr">
        <is>
          <t>8192</t>
        </is>
      </c>
      <c r="N148" s="13" t="inlineStr">
        <is>
          <t>1024</t>
        </is>
      </c>
      <c r="O148" s="13" t="inlineStr">
        <is>
          <t>agentic_from_long_chat</t>
        </is>
      </c>
      <c r="P148" s="13" t="inlineStr">
        <is>
          <t>dynamic_reasoning_proxy</t>
        </is>
      </c>
      <c r="Q148" s="13" t="inlineStr">
        <is>
          <t>low_target_gap</t>
        </is>
      </c>
      <c r="R148" s="13" t="inlineStr">
        <is>
          <t>2025-10-15T00:00:00.000Z</t>
        </is>
      </c>
      <c r="S14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49">
      <c r="A149" s="13" t="inlineStr">
        <is>
          <t>llama70b</t>
        </is>
      </c>
      <c r="B149" s="13" t="inlineStr">
        <is>
          <t>llama70b</t>
        </is>
      </c>
      <c r="C149" s="13" t="inlineStr">
        <is>
          <t>H200</t>
        </is>
      </c>
      <c r="D149" s="13" t="inlineStr">
        <is>
          <t>agentic</t>
        </is>
      </c>
      <c r="E149" s="13" t="inlineStr">
        <is>
          <t>50</t>
        </is>
      </c>
      <c r="F149" s="13" t="inlineStr">
        <is>
          <t>False</t>
        </is>
      </c>
      <c r="G149" s="14" t="inlineStr">
        <is>
          <t>0.9215434782608696</t>
        </is>
      </c>
      <c r="H149" s="15" t="inlineStr">
        <is>
          <t>9069.782608695652</t>
        </is>
      </c>
      <c r="I149" s="16" t="inlineStr">
        <is>
          <t>3.9228260869565226</t>
        </is>
      </c>
      <c r="J149" s="13" t="inlineStr">
        <is>
          <t>fp8</t>
        </is>
      </c>
      <c r="K149" s="13" t="inlineStr">
        <is>
          <t>vllm</t>
        </is>
      </c>
      <c r="L149" s="13" t="inlineStr">
        <is>
          <t>4</t>
        </is>
      </c>
      <c r="M149" s="13" t="inlineStr">
        <is>
          <t>8192</t>
        </is>
      </c>
      <c r="N149" s="13" t="inlineStr">
        <is>
          <t>1024</t>
        </is>
      </c>
      <c r="O149" s="13" t="inlineStr">
        <is>
          <t>agentic_from_long_chat</t>
        </is>
      </c>
      <c r="P149" s="13" t="inlineStr">
        <is>
          <t>dynamic_reasoning_proxy</t>
        </is>
      </c>
      <c r="Q149" s="13" t="inlineStr">
        <is>
          <t>low_target_gap</t>
        </is>
      </c>
      <c r="R149" s="13" t="inlineStr">
        <is>
          <t>2025-10-15T00:00:00.000Z</t>
        </is>
      </c>
      <c r="S14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0">
      <c r="A150" s="13" t="inlineStr">
        <is>
          <t>llama70b</t>
        </is>
      </c>
      <c r="B150" s="13" t="inlineStr">
        <is>
          <t>llama70b</t>
        </is>
      </c>
      <c r="C150" s="13" t="inlineStr">
        <is>
          <t>H200</t>
        </is>
      </c>
      <c r="D150" s="13" t="inlineStr">
        <is>
          <t>agentic</t>
        </is>
      </c>
      <c r="E150" s="13" t="inlineStr">
        <is>
          <t>70</t>
        </is>
      </c>
      <c r="F150" s="13" t="inlineStr">
        <is>
          <t>False</t>
        </is>
      </c>
      <c r="G150" s="14" t="inlineStr">
        <is>
          <t>0.9439596273291926</t>
        </is>
      </c>
      <c r="H150" s="15" t="inlineStr">
        <is>
          <t>9069.782608695652</t>
        </is>
      </c>
      <c r="I150" s="16" t="inlineStr">
        <is>
          <t>3.9228260869565226</t>
        </is>
      </c>
      <c r="J150" s="13" t="inlineStr">
        <is>
          <t>fp8</t>
        </is>
      </c>
      <c r="K150" s="13" t="inlineStr">
        <is>
          <t>vllm</t>
        </is>
      </c>
      <c r="L150" s="13" t="inlineStr">
        <is>
          <t>4</t>
        </is>
      </c>
      <c r="M150" s="13" t="inlineStr">
        <is>
          <t>8192</t>
        </is>
      </c>
      <c r="N150" s="13" t="inlineStr">
        <is>
          <t>1024</t>
        </is>
      </c>
      <c r="O150" s="13" t="inlineStr">
        <is>
          <t>agentic_from_long_chat</t>
        </is>
      </c>
      <c r="P150" s="13" t="inlineStr">
        <is>
          <t>dynamic_reasoning_proxy</t>
        </is>
      </c>
      <c r="Q150" s="13" t="inlineStr">
        <is>
          <t>low_target_gap</t>
        </is>
      </c>
      <c r="R150" s="13" t="inlineStr">
        <is>
          <t>2025-10-15T00:00:00.000Z</t>
        </is>
      </c>
      <c r="S15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1">
      <c r="A151" s="13" t="inlineStr">
        <is>
          <t>llama70b</t>
        </is>
      </c>
      <c r="B151" s="13" t="inlineStr">
        <is>
          <t>llama70b</t>
        </is>
      </c>
      <c r="C151" s="13" t="inlineStr">
        <is>
          <t>H200</t>
        </is>
      </c>
      <c r="D151" s="13" t="inlineStr">
        <is>
          <t>agentic</t>
        </is>
      </c>
      <c r="E151" s="13" t="inlineStr">
        <is>
          <t>100</t>
        </is>
      </c>
      <c r="F151" s="13" t="inlineStr">
        <is>
          <t>False</t>
        </is>
      </c>
      <c r="G151" s="14" t="inlineStr">
        <is>
          <t>0.9607717391304348</t>
        </is>
      </c>
      <c r="H151" s="15" t="inlineStr">
        <is>
          <t>9069.782608695652</t>
        </is>
      </c>
      <c r="I151" s="16" t="inlineStr">
        <is>
          <t>3.9228260869565226</t>
        </is>
      </c>
      <c r="J151" s="13" t="inlineStr">
        <is>
          <t>fp8</t>
        </is>
      </c>
      <c r="K151" s="13" t="inlineStr">
        <is>
          <t>vllm</t>
        </is>
      </c>
      <c r="L151" s="13" t="inlineStr">
        <is>
          <t>4</t>
        </is>
      </c>
      <c r="M151" s="13" t="inlineStr">
        <is>
          <t>8192</t>
        </is>
      </c>
      <c r="N151" s="13" t="inlineStr">
        <is>
          <t>1024</t>
        </is>
      </c>
      <c r="O151" s="13" t="inlineStr">
        <is>
          <t>agentic_from_long_chat</t>
        </is>
      </c>
      <c r="P151" s="13" t="inlineStr">
        <is>
          <t>dynamic_reasoning_proxy</t>
        </is>
      </c>
      <c r="Q151" s="13" t="inlineStr">
        <is>
          <t>low_target_gap</t>
        </is>
      </c>
      <c r="R151" s="13" t="inlineStr">
        <is>
          <t>2025-10-15T00:00:00.000Z</t>
        </is>
      </c>
      <c r="S15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52">
      <c r="A152" s="5" t="inlineStr">
        <is>
          <t>llama70b</t>
        </is>
      </c>
      <c r="B152" s="5" t="inlineStr">
        <is>
          <t>llama70b</t>
        </is>
      </c>
      <c r="C152" s="5" t="inlineStr">
        <is>
          <t>B200</t>
        </is>
      </c>
      <c r="D152" s="5" t="inlineStr">
        <is>
          <t>short</t>
        </is>
      </c>
      <c r="E152" s="5" t="inlineStr">
        <is>
          <t>10</t>
        </is>
      </c>
      <c r="F152" s="5" t="inlineStr">
        <is>
          <t>True</t>
        </is>
      </c>
      <c r="G152" s="6" t="inlineStr">
        <is>
          <t>0.0</t>
        </is>
      </c>
      <c r="H152" s="7" t="inlineStr">
        <is>
          <t>1228515.0</t>
        </is>
      </c>
      <c r="I152" s="8" t="inlineStr">
        <is>
          <t>41.65</t>
        </is>
      </c>
      <c r="J152" s="5" t="inlineStr">
        <is>
          <t>fp8</t>
        </is>
      </c>
      <c r="K152" s="5" t="inlineStr">
        <is>
          <t>vllm</t>
        </is>
      </c>
      <c r="L152" s="5" t="inlineStr">
        <is>
          <t>64</t>
        </is>
      </c>
      <c r="M152" s="5" t="inlineStr">
        <is>
          <t>1024</t>
        </is>
      </c>
      <c r="N152" s="5" t="inlineStr">
        <is>
          <t>1024</t>
        </is>
      </c>
      <c r="O152" s="5" t="inlineStr">
        <is>
          <t>selected_public_max</t>
        </is>
      </c>
      <c r="P152" s="5" t="inlineStr">
        <is>
          <t>direct_target_row</t>
        </is>
      </c>
      <c r="Q152" s="5" t="inlineStr">
        <is>
          <t>medium</t>
        </is>
      </c>
      <c r="R152" s="5" t="inlineStr">
        <is>
          <t>2025-10-23T00:00:00.000Z</t>
        </is>
      </c>
      <c r="S152" s="5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5" t="inlineStr">
        <is>
          <t>llama70b</t>
        </is>
      </c>
      <c r="B153" s="5" t="inlineStr">
        <is>
          <t>llama70b</t>
        </is>
      </c>
      <c r="C153" s="5" t="inlineStr">
        <is>
          <t>B200</t>
        </is>
      </c>
      <c r="D153" s="5" t="inlineStr">
        <is>
          <t>short</t>
        </is>
      </c>
      <c r="E153" s="5" t="inlineStr">
        <is>
          <t>30</t>
        </is>
      </c>
      <c r="F153" s="5" t="inlineStr">
        <is>
          <t>True</t>
        </is>
      </c>
      <c r="G153" s="6" t="inlineStr">
        <is>
          <t>0.0</t>
        </is>
      </c>
      <c r="H153" s="7" t="inlineStr">
        <is>
          <t>1228515.0</t>
        </is>
      </c>
      <c r="I153" s="8" t="inlineStr">
        <is>
          <t>41.65</t>
        </is>
      </c>
      <c r="J153" s="5" t="inlineStr">
        <is>
          <t>fp8</t>
        </is>
      </c>
      <c r="K153" s="5" t="inlineStr">
        <is>
          <t>vllm</t>
        </is>
      </c>
      <c r="L153" s="5" t="inlineStr">
        <is>
          <t>64</t>
        </is>
      </c>
      <c r="M153" s="5" t="inlineStr">
        <is>
          <t>1024</t>
        </is>
      </c>
      <c r="N153" s="5" t="inlineStr">
        <is>
          <t>1024</t>
        </is>
      </c>
      <c r="O153" s="5" t="inlineStr">
        <is>
          <t>selected_public_max</t>
        </is>
      </c>
      <c r="P153" s="5" t="inlineStr">
        <is>
          <t>direct_target_row</t>
        </is>
      </c>
      <c r="Q153" s="5" t="inlineStr">
        <is>
          <t>medium</t>
        </is>
      </c>
      <c r="R153" s="5" t="inlineStr">
        <is>
          <t>2025-10-23T00:00:00.000Z</t>
        </is>
      </c>
      <c r="S153" s="5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5" t="inlineStr">
        <is>
          <t>llama70b</t>
        </is>
      </c>
      <c r="B154" s="5" t="inlineStr">
        <is>
          <t>llama70b</t>
        </is>
      </c>
      <c r="C154" s="5" t="inlineStr">
        <is>
          <t>B200</t>
        </is>
      </c>
      <c r="D154" s="5" t="inlineStr">
        <is>
          <t>short</t>
        </is>
      </c>
      <c r="E154" s="5" t="inlineStr">
        <is>
          <t>50</t>
        </is>
      </c>
      <c r="F154" s="5" t="inlineStr">
        <is>
          <t>True</t>
        </is>
      </c>
      <c r="G154" s="6" t="inlineStr">
        <is>
          <t>0.0</t>
        </is>
      </c>
      <c r="H154" s="7" t="inlineStr">
        <is>
          <t>412192.0</t>
        </is>
      </c>
      <c r="I154" s="8" t="inlineStr">
        <is>
          <t>55.9</t>
        </is>
      </c>
      <c r="J154" s="5" t="inlineStr">
        <is>
          <t>fp8</t>
        </is>
      </c>
      <c r="K154" s="5" t="inlineStr">
        <is>
          <t>vllm</t>
        </is>
      </c>
      <c r="L154" s="5" t="inlineStr">
        <is>
          <t>16</t>
        </is>
      </c>
      <c r="M154" s="5" t="inlineStr">
        <is>
          <t>1024</t>
        </is>
      </c>
      <c r="N154" s="5" t="inlineStr">
        <is>
          <t>1024</t>
        </is>
      </c>
      <c r="O154" s="5" t="inlineStr">
        <is>
          <t>selected_public_max</t>
        </is>
      </c>
      <c r="P154" s="5" t="inlineStr">
        <is>
          <t>direct_target_row</t>
        </is>
      </c>
      <c r="Q154" s="5" t="inlineStr">
        <is>
          <t>medium</t>
        </is>
      </c>
      <c r="R154" s="5" t="inlineStr">
        <is>
          <t>2025-10-16T00:00:00.000Z</t>
        </is>
      </c>
      <c r="S154" s="5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9" t="inlineStr">
        <is>
          <t>llama70b</t>
        </is>
      </c>
      <c r="B155" s="9" t="inlineStr">
        <is>
          <t>llama70b</t>
        </is>
      </c>
      <c r="C155" s="9" t="inlineStr">
        <is>
          <t>B200</t>
        </is>
      </c>
      <c r="D155" s="9" t="inlineStr">
        <is>
          <t>short</t>
        </is>
      </c>
      <c r="E155" s="9" t="inlineStr">
        <is>
          <t>70</t>
        </is>
      </c>
      <c r="F155" s="9" t="inlineStr">
        <is>
          <t>False</t>
        </is>
      </c>
      <c r="G155" s="10" t="inlineStr">
        <is>
          <t>0.20142857142857146</t>
        </is>
      </c>
      <c r="H155" s="11" t="inlineStr">
        <is>
          <t>412192.0</t>
        </is>
      </c>
      <c r="I155" s="12" t="inlineStr">
        <is>
          <t>55.9</t>
        </is>
      </c>
      <c r="J155" s="9" t="inlineStr">
        <is>
          <t>fp8</t>
        </is>
      </c>
      <c r="K155" s="9" t="inlineStr">
        <is>
          <t>vllm</t>
        </is>
      </c>
      <c r="L155" s="9" t="inlineStr">
        <is>
          <t>16</t>
        </is>
      </c>
      <c r="M155" s="9" t="inlineStr">
        <is>
          <t>1024</t>
        </is>
      </c>
      <c r="N155" s="9" t="inlineStr">
        <is>
          <t>1024</t>
        </is>
      </c>
      <c r="O155" s="9" t="inlineStr">
        <is>
          <t>selected_public_max</t>
        </is>
      </c>
      <c r="P155" s="9" t="inlineStr">
        <is>
          <t>best_available_below_target</t>
        </is>
      </c>
      <c r="Q155" s="9" t="inlineStr">
        <is>
          <t>low_target_gap</t>
        </is>
      </c>
      <c r="R155" s="9" t="inlineStr">
        <is>
          <t>2025-10-16T00:00:00.000Z</t>
        </is>
      </c>
      <c r="S155" s="9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9" t="inlineStr">
        <is>
          <t>llama70b</t>
        </is>
      </c>
      <c r="B156" s="9" t="inlineStr">
        <is>
          <t>llama70b</t>
        </is>
      </c>
      <c r="C156" s="9" t="inlineStr">
        <is>
          <t>B200</t>
        </is>
      </c>
      <c r="D156" s="9" t="inlineStr">
        <is>
          <t>short</t>
        </is>
      </c>
      <c r="E156" s="9" t="inlineStr">
        <is>
          <t>100</t>
        </is>
      </c>
      <c r="F156" s="9" t="inlineStr">
        <is>
          <t>False</t>
        </is>
      </c>
      <c r="G156" s="10" t="inlineStr">
        <is>
          <t>0.441</t>
        </is>
      </c>
      <c r="H156" s="11" t="inlineStr">
        <is>
          <t>412192.0</t>
        </is>
      </c>
      <c r="I156" s="12" t="inlineStr">
        <is>
          <t>55.9</t>
        </is>
      </c>
      <c r="J156" s="9" t="inlineStr">
        <is>
          <t>fp8</t>
        </is>
      </c>
      <c r="K156" s="9" t="inlineStr">
        <is>
          <t>vllm</t>
        </is>
      </c>
      <c r="L156" s="9" t="inlineStr">
        <is>
          <t>16</t>
        </is>
      </c>
      <c r="M156" s="9" t="inlineStr">
        <is>
          <t>1024</t>
        </is>
      </c>
      <c r="N156" s="9" t="inlineStr">
        <is>
          <t>1024</t>
        </is>
      </c>
      <c r="O156" s="9" t="inlineStr">
        <is>
          <t>selected_public_max</t>
        </is>
      </c>
      <c r="P156" s="9" t="inlineStr">
        <is>
          <t>best_available_below_target</t>
        </is>
      </c>
      <c r="Q156" s="9" t="inlineStr">
        <is>
          <t>low_target_gap</t>
        </is>
      </c>
      <c r="R156" s="9" t="inlineStr">
        <is>
          <t>2025-10-16T00:00:00.000Z</t>
        </is>
      </c>
      <c r="S156" s="9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5" t="inlineStr">
        <is>
          <t>llama70b</t>
        </is>
      </c>
      <c r="B157" s="5" t="inlineStr">
        <is>
          <t>llama70b</t>
        </is>
      </c>
      <c r="C157" s="5" t="inlineStr">
        <is>
          <t>B200</t>
        </is>
      </c>
      <c r="D157" s="5" t="inlineStr">
        <is>
          <t>long</t>
        </is>
      </c>
      <c r="E157" s="5" t="inlineStr">
        <is>
          <t>10</t>
        </is>
      </c>
      <c r="F157" s="5" t="inlineStr">
        <is>
          <t>True</t>
        </is>
      </c>
      <c r="G157" s="6" t="inlineStr">
        <is>
          <t>0.0</t>
        </is>
      </c>
      <c r="H157" s="7" t="inlineStr">
        <is>
          <t>384593.0</t>
        </is>
      </c>
      <c r="I157" s="8" t="inlineStr">
        <is>
          <t>13.04</t>
        </is>
      </c>
      <c r="J157" s="5" t="inlineStr">
        <is>
          <t>fp8</t>
        </is>
      </c>
      <c r="K157" s="5" t="inlineStr">
        <is>
          <t>vllm</t>
        </is>
      </c>
      <c r="L157" s="5" t="inlineStr">
        <is>
          <t>64</t>
        </is>
      </c>
      <c r="M157" s="5" t="inlineStr">
        <is>
          <t>8192</t>
        </is>
      </c>
      <c r="N157" s="5" t="inlineStr">
        <is>
          <t>1024</t>
        </is>
      </c>
      <c r="O157" s="5" t="inlineStr">
        <is>
          <t>selected_public_max</t>
        </is>
      </c>
      <c r="P157" s="5" t="inlineStr">
        <is>
          <t>direct_target_row</t>
        </is>
      </c>
      <c r="Q157" s="5" t="inlineStr">
        <is>
          <t>medium</t>
        </is>
      </c>
      <c r="R157" s="5" t="inlineStr">
        <is>
          <t>2025-10-22T00:00:00.000Z</t>
        </is>
      </c>
      <c r="S157" s="5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5" t="inlineStr">
        <is>
          <t>llama70b</t>
        </is>
      </c>
      <c r="B158" s="5" t="inlineStr">
        <is>
          <t>llama70b</t>
        </is>
      </c>
      <c r="C158" s="5" t="inlineStr">
        <is>
          <t>B200</t>
        </is>
      </c>
      <c r="D158" s="5" t="inlineStr">
        <is>
          <t>long</t>
        </is>
      </c>
      <c r="E158" s="5" t="inlineStr">
        <is>
          <t>30</t>
        </is>
      </c>
      <c r="F158" s="5" t="inlineStr">
        <is>
          <t>True</t>
        </is>
      </c>
      <c r="G158" s="6" t="inlineStr">
        <is>
          <t>0.0</t>
        </is>
      </c>
      <c r="H158" s="7" t="inlineStr">
        <is>
          <t>247359.0</t>
        </is>
      </c>
      <c r="I158" s="8" t="inlineStr">
        <is>
          <t>33.55</t>
        </is>
      </c>
      <c r="J158" s="5" t="inlineStr">
        <is>
          <t>fp8</t>
        </is>
      </c>
      <c r="K158" s="5" t="inlineStr">
        <is>
          <t>vllm</t>
        </is>
      </c>
      <c r="L158" s="5" t="inlineStr">
        <is>
          <t>16</t>
        </is>
      </c>
      <c r="M158" s="5" t="inlineStr">
        <is>
          <t>8192</t>
        </is>
      </c>
      <c r="N158" s="5" t="inlineStr">
        <is>
          <t>1024</t>
        </is>
      </c>
      <c r="O158" s="5" t="inlineStr">
        <is>
          <t>selected_public_max</t>
        </is>
      </c>
      <c r="P158" s="5" t="inlineStr">
        <is>
          <t>direct_target_row</t>
        </is>
      </c>
      <c r="Q158" s="5" t="inlineStr">
        <is>
          <t>medium</t>
        </is>
      </c>
      <c r="R158" s="5" t="inlineStr">
        <is>
          <t>2025-10-16T00:00:00.000Z</t>
        </is>
      </c>
      <c r="S158" s="5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5" t="inlineStr">
        <is>
          <t>llama70b</t>
        </is>
      </c>
      <c r="B159" s="5" t="inlineStr">
        <is>
          <t>llama70b</t>
        </is>
      </c>
      <c r="C159" s="5" t="inlineStr">
        <is>
          <t>B200</t>
        </is>
      </c>
      <c r="D159" s="5" t="inlineStr">
        <is>
          <t>long</t>
        </is>
      </c>
      <c r="E159" s="5" t="inlineStr">
        <is>
          <t>50</t>
        </is>
      </c>
      <c r="F159" s="5" t="inlineStr">
        <is>
          <t>True</t>
        </is>
      </c>
      <c r="G159" s="6" t="inlineStr">
        <is>
          <t>0.0</t>
        </is>
      </c>
      <c r="H159" s="7" t="inlineStr">
        <is>
          <t>95773.0</t>
        </is>
      </c>
      <c r="I159" s="8" t="inlineStr">
        <is>
          <t>51.96</t>
        </is>
      </c>
      <c r="J159" s="5" t="inlineStr">
        <is>
          <t>fp8</t>
        </is>
      </c>
      <c r="K159" s="5" t="inlineStr">
        <is>
          <t>vllm</t>
        </is>
      </c>
      <c r="L159" s="5" t="inlineStr">
        <is>
          <t>4</t>
        </is>
      </c>
      <c r="M159" s="5" t="inlineStr">
        <is>
          <t>8192</t>
        </is>
      </c>
      <c r="N159" s="5" t="inlineStr">
        <is>
          <t>1024</t>
        </is>
      </c>
      <c r="O159" s="5" t="inlineStr">
        <is>
          <t>selected_public_max</t>
        </is>
      </c>
      <c r="P159" s="5" t="inlineStr">
        <is>
          <t>direct_target_row</t>
        </is>
      </c>
      <c r="Q159" s="5" t="inlineStr">
        <is>
          <t>medium</t>
        </is>
      </c>
      <c r="R159" s="5" t="inlineStr">
        <is>
          <t>2025-10-21T00:00:00.000Z</t>
        </is>
      </c>
      <c r="S159" s="5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9" t="inlineStr">
        <is>
          <t>llama70b</t>
        </is>
      </c>
      <c r="B160" s="9" t="inlineStr">
        <is>
          <t>llama70b</t>
        </is>
      </c>
      <c r="C160" s="9" t="inlineStr">
        <is>
          <t>B200</t>
        </is>
      </c>
      <c r="D160" s="9" t="inlineStr">
        <is>
          <t>long</t>
        </is>
      </c>
      <c r="E160" s="9" t="inlineStr">
        <is>
          <t>70</t>
        </is>
      </c>
      <c r="F160" s="9" t="inlineStr">
        <is>
          <t>False</t>
        </is>
      </c>
      <c r="G160" s="10" t="inlineStr">
        <is>
          <t>0.25771428571428573</t>
        </is>
      </c>
      <c r="H160" s="11" t="inlineStr">
        <is>
          <t>95773.0</t>
        </is>
      </c>
      <c r="I160" s="12" t="inlineStr">
        <is>
          <t>51.96</t>
        </is>
      </c>
      <c r="J160" s="9" t="inlineStr">
        <is>
          <t>fp8</t>
        </is>
      </c>
      <c r="K160" s="9" t="inlineStr">
        <is>
          <t>vllm</t>
        </is>
      </c>
      <c r="L160" s="9" t="inlineStr">
        <is>
          <t>4</t>
        </is>
      </c>
      <c r="M160" s="9" t="inlineStr">
        <is>
          <t>8192</t>
        </is>
      </c>
      <c r="N160" s="9" t="inlineStr">
        <is>
          <t>1024</t>
        </is>
      </c>
      <c r="O160" s="9" t="inlineStr">
        <is>
          <t>selected_public_max</t>
        </is>
      </c>
      <c r="P160" s="9" t="inlineStr">
        <is>
          <t>best_available_below_target</t>
        </is>
      </c>
      <c r="Q160" s="9" t="inlineStr">
        <is>
          <t>low_target_gap</t>
        </is>
      </c>
      <c r="R160" s="9" t="inlineStr">
        <is>
          <t>2025-10-21T00:00:00.000Z</t>
        </is>
      </c>
      <c r="S160" s="9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9" t="inlineStr">
        <is>
          <t>llama70b</t>
        </is>
      </c>
      <c r="B161" s="9" t="inlineStr">
        <is>
          <t>llama70b</t>
        </is>
      </c>
      <c r="C161" s="9" t="inlineStr">
        <is>
          <t>B200</t>
        </is>
      </c>
      <c r="D161" s="9" t="inlineStr">
        <is>
          <t>long</t>
        </is>
      </c>
      <c r="E161" s="9" t="inlineStr">
        <is>
          <t>100</t>
        </is>
      </c>
      <c r="F161" s="9" t="inlineStr">
        <is>
          <t>False</t>
        </is>
      </c>
      <c r="G161" s="10" t="inlineStr">
        <is>
          <t>0.4804</t>
        </is>
      </c>
      <c r="H161" s="11" t="inlineStr">
        <is>
          <t>95773.0</t>
        </is>
      </c>
      <c r="I161" s="12" t="inlineStr">
        <is>
          <t>51.96</t>
        </is>
      </c>
      <c r="J161" s="9" t="inlineStr">
        <is>
          <t>fp8</t>
        </is>
      </c>
      <c r="K161" s="9" t="inlineStr">
        <is>
          <t>vllm</t>
        </is>
      </c>
      <c r="L161" s="9" t="inlineStr">
        <is>
          <t>4</t>
        </is>
      </c>
      <c r="M161" s="9" t="inlineStr">
        <is>
          <t>8192</t>
        </is>
      </c>
      <c r="N161" s="9" t="inlineStr">
        <is>
          <t>1024</t>
        </is>
      </c>
      <c r="O161" s="9" t="inlineStr">
        <is>
          <t>selected_public_max</t>
        </is>
      </c>
      <c r="P161" s="9" t="inlineStr">
        <is>
          <t>best_available_below_target</t>
        </is>
      </c>
      <c r="Q161" s="9" t="inlineStr">
        <is>
          <t>low_target_gap</t>
        </is>
      </c>
      <c r="R161" s="9" t="inlineStr">
        <is>
          <t>2025-10-21T00:00:00.000Z</t>
        </is>
      </c>
      <c r="S161" s="9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13" t="inlineStr">
        <is>
          <t>llama70b</t>
        </is>
      </c>
      <c r="B162" s="13" t="inlineStr">
        <is>
          <t>llama70b</t>
        </is>
      </c>
      <c r="C162" s="13" t="inlineStr">
        <is>
          <t>B200</t>
        </is>
      </c>
      <c r="D162" s="13" t="inlineStr">
        <is>
          <t>agentic</t>
        </is>
      </c>
      <c r="E162" s="13" t="inlineStr">
        <is>
          <t>10</t>
        </is>
      </c>
      <c r="F162" s="13" t="inlineStr">
        <is>
          <t>False</t>
        </is>
      </c>
      <c r="G162" s="14" t="inlineStr">
        <is>
          <t>0.4352173913043478</t>
        </is>
      </c>
      <c r="H162" s="15" t="inlineStr">
        <is>
          <t>10410.108695652174</t>
        </is>
      </c>
      <c r="I162" s="16" t="inlineStr">
        <is>
          <t>5.647826086956522</t>
        </is>
      </c>
      <c r="J162" s="13" t="inlineStr">
        <is>
          <t>fp8</t>
        </is>
      </c>
      <c r="K162" s="13" t="inlineStr">
        <is>
          <t>vllm</t>
        </is>
      </c>
      <c r="L162" s="13" t="inlineStr">
        <is>
          <t>4</t>
        </is>
      </c>
      <c r="M162" s="13" t="inlineStr">
        <is>
          <t>8192</t>
        </is>
      </c>
      <c r="N162" s="13" t="inlineStr">
        <is>
          <t>1024</t>
        </is>
      </c>
      <c r="O162" s="13" t="inlineStr">
        <is>
          <t>agentic_from_long_chat</t>
        </is>
      </c>
      <c r="P162" s="13" t="inlineStr">
        <is>
          <t>dynamic_reasoning_proxy</t>
        </is>
      </c>
      <c r="Q162" s="13" t="inlineStr">
        <is>
          <t>low_target_gap</t>
        </is>
      </c>
      <c r="R162" s="13" t="inlineStr">
        <is>
          <t>2025-10-21T00:00:00.000Z</t>
        </is>
      </c>
      <c r="S16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3">
      <c r="A163" s="13" t="inlineStr">
        <is>
          <t>llama70b</t>
        </is>
      </c>
      <c r="B163" s="13" t="inlineStr">
        <is>
          <t>llama70b</t>
        </is>
      </c>
      <c r="C163" s="13" t="inlineStr">
        <is>
          <t>B200</t>
        </is>
      </c>
      <c r="D163" s="13" t="inlineStr">
        <is>
          <t>agentic</t>
        </is>
      </c>
      <c r="E163" s="13" t="inlineStr">
        <is>
          <t>30</t>
        </is>
      </c>
      <c r="F163" s="13" t="inlineStr">
        <is>
          <t>False</t>
        </is>
      </c>
      <c r="G163" s="14" t="inlineStr">
        <is>
          <t>0.8117391304347826</t>
        </is>
      </c>
      <c r="H163" s="15" t="inlineStr">
        <is>
          <t>10410.108695652174</t>
        </is>
      </c>
      <c r="I163" s="16" t="inlineStr">
        <is>
          <t>5.647826086956522</t>
        </is>
      </c>
      <c r="J163" s="13" t="inlineStr">
        <is>
          <t>fp8</t>
        </is>
      </c>
      <c r="K163" s="13" t="inlineStr">
        <is>
          <t>vllm</t>
        </is>
      </c>
      <c r="L163" s="13" t="inlineStr">
        <is>
          <t>4</t>
        </is>
      </c>
      <c r="M163" s="13" t="inlineStr">
        <is>
          <t>8192</t>
        </is>
      </c>
      <c r="N163" s="13" t="inlineStr">
        <is>
          <t>1024</t>
        </is>
      </c>
      <c r="O163" s="13" t="inlineStr">
        <is>
          <t>agentic_from_long_chat</t>
        </is>
      </c>
      <c r="P163" s="13" t="inlineStr">
        <is>
          <t>dynamic_reasoning_proxy</t>
        </is>
      </c>
      <c r="Q163" s="13" t="inlineStr">
        <is>
          <t>low_target_gap</t>
        </is>
      </c>
      <c r="R163" s="13" t="inlineStr">
        <is>
          <t>2025-10-21T00:00:00.000Z</t>
        </is>
      </c>
      <c r="S16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4">
      <c r="A164" s="13" t="inlineStr">
        <is>
          <t>llama70b</t>
        </is>
      </c>
      <c r="B164" s="13" t="inlineStr">
        <is>
          <t>llama70b</t>
        </is>
      </c>
      <c r="C164" s="13" t="inlineStr">
        <is>
          <t>B200</t>
        </is>
      </c>
      <c r="D164" s="13" t="inlineStr">
        <is>
          <t>agentic</t>
        </is>
      </c>
      <c r="E164" s="13" t="inlineStr">
        <is>
          <t>50</t>
        </is>
      </c>
      <c r="F164" s="13" t="inlineStr">
        <is>
          <t>False</t>
        </is>
      </c>
      <c r="G164" s="14" t="inlineStr">
        <is>
          <t>0.8870434782608696</t>
        </is>
      </c>
      <c r="H164" s="15" t="inlineStr">
        <is>
          <t>10410.108695652174</t>
        </is>
      </c>
      <c r="I164" s="16" t="inlineStr">
        <is>
          <t>5.647826086956522</t>
        </is>
      </c>
      <c r="J164" s="13" t="inlineStr">
        <is>
          <t>fp8</t>
        </is>
      </c>
      <c r="K164" s="13" t="inlineStr">
        <is>
          <t>vllm</t>
        </is>
      </c>
      <c r="L164" s="13" t="inlineStr">
        <is>
          <t>4</t>
        </is>
      </c>
      <c r="M164" s="13" t="inlineStr">
        <is>
          <t>8192</t>
        </is>
      </c>
      <c r="N164" s="13" t="inlineStr">
        <is>
          <t>1024</t>
        </is>
      </c>
      <c r="O164" s="13" t="inlineStr">
        <is>
          <t>agentic_from_long_chat</t>
        </is>
      </c>
      <c r="P164" s="13" t="inlineStr">
        <is>
          <t>dynamic_reasoning_proxy</t>
        </is>
      </c>
      <c r="Q164" s="13" t="inlineStr">
        <is>
          <t>low_target_gap</t>
        </is>
      </c>
      <c r="R164" s="13" t="inlineStr">
        <is>
          <t>2025-10-21T00:00:00.000Z</t>
        </is>
      </c>
      <c r="S16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5">
      <c r="A165" s="13" t="inlineStr">
        <is>
          <t>llama70b</t>
        </is>
      </c>
      <c r="B165" s="13" t="inlineStr">
        <is>
          <t>llama70b</t>
        </is>
      </c>
      <c r="C165" s="13" t="inlineStr">
        <is>
          <t>B200</t>
        </is>
      </c>
      <c r="D165" s="13" t="inlineStr">
        <is>
          <t>agentic</t>
        </is>
      </c>
      <c r="E165" s="13" t="inlineStr">
        <is>
          <t>70</t>
        </is>
      </c>
      <c r="F165" s="13" t="inlineStr">
        <is>
          <t>False</t>
        </is>
      </c>
      <c r="G165" s="14" t="inlineStr">
        <is>
          <t>0.9193167701863353</t>
        </is>
      </c>
      <c r="H165" s="15" t="inlineStr">
        <is>
          <t>10410.108695652174</t>
        </is>
      </c>
      <c r="I165" s="16" t="inlineStr">
        <is>
          <t>5.647826086956522</t>
        </is>
      </c>
      <c r="J165" s="13" t="inlineStr">
        <is>
          <t>fp8</t>
        </is>
      </c>
      <c r="K165" s="13" t="inlineStr">
        <is>
          <t>vllm</t>
        </is>
      </c>
      <c r="L165" s="13" t="inlineStr">
        <is>
          <t>4</t>
        </is>
      </c>
      <c r="M165" s="13" t="inlineStr">
        <is>
          <t>8192</t>
        </is>
      </c>
      <c r="N165" s="13" t="inlineStr">
        <is>
          <t>1024</t>
        </is>
      </c>
      <c r="O165" s="13" t="inlineStr">
        <is>
          <t>agentic_from_long_chat</t>
        </is>
      </c>
      <c r="P165" s="13" t="inlineStr">
        <is>
          <t>dynamic_reasoning_proxy</t>
        </is>
      </c>
      <c r="Q165" s="13" t="inlineStr">
        <is>
          <t>low_target_gap</t>
        </is>
      </c>
      <c r="R165" s="13" t="inlineStr">
        <is>
          <t>2025-10-21T00:00:00.000Z</t>
        </is>
      </c>
      <c r="S16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6">
      <c r="A166" s="13" t="inlineStr">
        <is>
          <t>llama70b</t>
        </is>
      </c>
      <c r="B166" s="13" t="inlineStr">
        <is>
          <t>llama70b</t>
        </is>
      </c>
      <c r="C166" s="13" t="inlineStr">
        <is>
          <t>B200</t>
        </is>
      </c>
      <c r="D166" s="13" t="inlineStr">
        <is>
          <t>agentic</t>
        </is>
      </c>
      <c r="E166" s="13" t="inlineStr">
        <is>
          <t>100</t>
        </is>
      </c>
      <c r="F166" s="13" t="inlineStr">
        <is>
          <t>False</t>
        </is>
      </c>
      <c r="G166" s="14" t="inlineStr">
        <is>
          <t>0.9435217391304347</t>
        </is>
      </c>
      <c r="H166" s="15" t="inlineStr">
        <is>
          <t>10410.108695652174</t>
        </is>
      </c>
      <c r="I166" s="16" t="inlineStr">
        <is>
          <t>5.647826086956522</t>
        </is>
      </c>
      <c r="J166" s="13" t="inlineStr">
        <is>
          <t>fp8</t>
        </is>
      </c>
      <c r="K166" s="13" t="inlineStr">
        <is>
          <t>vllm</t>
        </is>
      </c>
      <c r="L166" s="13" t="inlineStr">
        <is>
          <t>4</t>
        </is>
      </c>
      <c r="M166" s="13" t="inlineStr">
        <is>
          <t>8192</t>
        </is>
      </c>
      <c r="N166" s="13" t="inlineStr">
        <is>
          <t>1024</t>
        </is>
      </c>
      <c r="O166" s="13" t="inlineStr">
        <is>
          <t>agentic_from_long_chat</t>
        </is>
      </c>
      <c r="P166" s="13" t="inlineStr">
        <is>
          <t>dynamic_reasoning_proxy</t>
        </is>
      </c>
      <c r="Q166" s="13" t="inlineStr">
        <is>
          <t>low_target_gap</t>
        </is>
      </c>
      <c r="R166" s="13" t="inlineStr">
        <is>
          <t>2025-10-21T00:00:00.000Z</t>
        </is>
      </c>
      <c r="S16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67">
      <c r="A167" s="9" t="inlineStr">
        <is>
          <t>llama70b</t>
        </is>
      </c>
      <c r="B167" s="9" t="inlineStr"/>
      <c r="C167" s="9" t="inlineStr">
        <is>
          <t>GB200</t>
        </is>
      </c>
      <c r="D167" s="9" t="inlineStr">
        <is>
          <t>short</t>
        </is>
      </c>
      <c r="E167" s="9" t="inlineStr">
        <is>
          <t>10</t>
        </is>
      </c>
      <c r="F167" s="9" t="inlineStr">
        <is>
          <t>False</t>
        </is>
      </c>
      <c r="G167" s="10" t="inlineStr"/>
      <c r="H167" s="11" t="inlineStr"/>
      <c r="I167" s="12" t="inlineStr"/>
      <c r="J167" s="9" t="inlineStr"/>
      <c r="K167" s="9" t="inlineStr"/>
      <c r="L167" s="9" t="inlineStr"/>
      <c r="M167" s="9" t="inlineStr"/>
      <c r="N167" s="9" t="inlineStr"/>
      <c r="O167" s="9" t="inlineStr">
        <is>
          <t>missing</t>
        </is>
      </c>
      <c r="P167" s="9" t="inlineStr">
        <is>
          <t>no_benchmark_row</t>
        </is>
      </c>
      <c r="Q167" s="9" t="inlineStr">
        <is>
          <t>missing</t>
        </is>
      </c>
      <c r="R167" s="9" t="inlineStr"/>
      <c r="S167" s="9" t="inlineStr">
        <is>
          <t>No model/GPU/workload benchmark row was available.</t>
        </is>
      </c>
    </row>
    <row r="168">
      <c r="A168" s="9" t="inlineStr">
        <is>
          <t>llama70b</t>
        </is>
      </c>
      <c r="B168" s="9" t="inlineStr"/>
      <c r="C168" s="9" t="inlineStr">
        <is>
          <t>GB200</t>
        </is>
      </c>
      <c r="D168" s="9" t="inlineStr">
        <is>
          <t>short</t>
        </is>
      </c>
      <c r="E168" s="9" t="inlineStr">
        <is>
          <t>30</t>
        </is>
      </c>
      <c r="F168" s="9" t="inlineStr">
        <is>
          <t>False</t>
        </is>
      </c>
      <c r="G168" s="10" t="inlineStr"/>
      <c r="H168" s="11" t="inlineStr"/>
      <c r="I168" s="12" t="inlineStr"/>
      <c r="J168" s="9" t="inlineStr"/>
      <c r="K168" s="9" t="inlineStr"/>
      <c r="L168" s="9" t="inlineStr"/>
      <c r="M168" s="9" t="inlineStr"/>
      <c r="N168" s="9" t="inlineStr"/>
      <c r="O168" s="9" t="inlineStr">
        <is>
          <t>missing</t>
        </is>
      </c>
      <c r="P168" s="9" t="inlineStr">
        <is>
          <t>no_benchmark_row</t>
        </is>
      </c>
      <c r="Q168" s="9" t="inlineStr">
        <is>
          <t>missing</t>
        </is>
      </c>
      <c r="R168" s="9" t="inlineStr"/>
      <c r="S168" s="9" t="inlineStr">
        <is>
          <t>No model/GPU/workload benchmark row was available.</t>
        </is>
      </c>
    </row>
    <row r="169">
      <c r="A169" s="9" t="inlineStr">
        <is>
          <t>llama70b</t>
        </is>
      </c>
      <c r="B169" s="9" t="inlineStr"/>
      <c r="C169" s="9" t="inlineStr">
        <is>
          <t>GB200</t>
        </is>
      </c>
      <c r="D169" s="9" t="inlineStr">
        <is>
          <t>short</t>
        </is>
      </c>
      <c r="E169" s="9" t="inlineStr">
        <is>
          <t>50</t>
        </is>
      </c>
      <c r="F169" s="9" t="inlineStr">
        <is>
          <t>False</t>
        </is>
      </c>
      <c r="G169" s="10" t="inlineStr"/>
      <c r="H169" s="11" t="inlineStr"/>
      <c r="I169" s="12" t="inlineStr"/>
      <c r="J169" s="9" t="inlineStr"/>
      <c r="K169" s="9" t="inlineStr"/>
      <c r="L169" s="9" t="inlineStr"/>
      <c r="M169" s="9" t="inlineStr"/>
      <c r="N169" s="9" t="inlineStr"/>
      <c r="O169" s="9" t="inlineStr">
        <is>
          <t>missing</t>
        </is>
      </c>
      <c r="P169" s="9" t="inlineStr">
        <is>
          <t>no_benchmark_row</t>
        </is>
      </c>
      <c r="Q169" s="9" t="inlineStr">
        <is>
          <t>missing</t>
        </is>
      </c>
      <c r="R169" s="9" t="inlineStr"/>
      <c r="S169" s="9" t="inlineStr">
        <is>
          <t>No model/GPU/workload benchmark row was available.</t>
        </is>
      </c>
    </row>
    <row r="170">
      <c r="A170" s="9" t="inlineStr">
        <is>
          <t>llama70b</t>
        </is>
      </c>
      <c r="B170" s="9" t="inlineStr"/>
      <c r="C170" s="9" t="inlineStr">
        <is>
          <t>GB200</t>
        </is>
      </c>
      <c r="D170" s="9" t="inlineStr">
        <is>
          <t>short</t>
        </is>
      </c>
      <c r="E170" s="9" t="inlineStr">
        <is>
          <t>70</t>
        </is>
      </c>
      <c r="F170" s="9" t="inlineStr">
        <is>
          <t>False</t>
        </is>
      </c>
      <c r="G170" s="10" t="inlineStr"/>
      <c r="H170" s="11" t="inlineStr"/>
      <c r="I170" s="12" t="inlineStr"/>
      <c r="J170" s="9" t="inlineStr"/>
      <c r="K170" s="9" t="inlineStr"/>
      <c r="L170" s="9" t="inlineStr"/>
      <c r="M170" s="9" t="inlineStr"/>
      <c r="N170" s="9" t="inlineStr"/>
      <c r="O170" s="9" t="inlineStr">
        <is>
          <t>missing</t>
        </is>
      </c>
      <c r="P170" s="9" t="inlineStr">
        <is>
          <t>no_benchmark_row</t>
        </is>
      </c>
      <c r="Q170" s="9" t="inlineStr">
        <is>
          <t>missing</t>
        </is>
      </c>
      <c r="R170" s="9" t="inlineStr"/>
      <c r="S170" s="9" t="inlineStr">
        <is>
          <t>No model/GPU/workload benchmark row was available.</t>
        </is>
      </c>
    </row>
    <row r="171">
      <c r="A171" s="9" t="inlineStr">
        <is>
          <t>llama70b</t>
        </is>
      </c>
      <c r="B171" s="9" t="inlineStr"/>
      <c r="C171" s="9" t="inlineStr">
        <is>
          <t>GB200</t>
        </is>
      </c>
      <c r="D171" s="9" t="inlineStr">
        <is>
          <t>short</t>
        </is>
      </c>
      <c r="E171" s="9" t="inlineStr">
        <is>
          <t>100</t>
        </is>
      </c>
      <c r="F171" s="9" t="inlineStr">
        <is>
          <t>False</t>
        </is>
      </c>
      <c r="G171" s="10" t="inlineStr"/>
      <c r="H171" s="11" t="inlineStr"/>
      <c r="I171" s="12" t="inlineStr"/>
      <c r="J171" s="9" t="inlineStr"/>
      <c r="K171" s="9" t="inlineStr"/>
      <c r="L171" s="9" t="inlineStr"/>
      <c r="M171" s="9" t="inlineStr"/>
      <c r="N171" s="9" t="inlineStr"/>
      <c r="O171" s="9" t="inlineStr">
        <is>
          <t>missing</t>
        </is>
      </c>
      <c r="P171" s="9" t="inlineStr">
        <is>
          <t>no_benchmark_row</t>
        </is>
      </c>
      <c r="Q171" s="9" t="inlineStr">
        <is>
          <t>missing</t>
        </is>
      </c>
      <c r="R171" s="9" t="inlineStr"/>
      <c r="S171" s="9" t="inlineStr">
        <is>
          <t>No model/GPU/workload benchmark row was available.</t>
        </is>
      </c>
    </row>
    <row r="172">
      <c r="A172" s="9" t="inlineStr">
        <is>
          <t>llama70b</t>
        </is>
      </c>
      <c r="B172" s="9" t="inlineStr"/>
      <c r="C172" s="9" t="inlineStr">
        <is>
          <t>GB200</t>
        </is>
      </c>
      <c r="D172" s="9" t="inlineStr">
        <is>
          <t>long</t>
        </is>
      </c>
      <c r="E172" s="9" t="inlineStr">
        <is>
          <t>10</t>
        </is>
      </c>
      <c r="F172" s="9" t="inlineStr">
        <is>
          <t>False</t>
        </is>
      </c>
      <c r="G172" s="10" t="inlineStr"/>
      <c r="H172" s="11" t="inlineStr"/>
      <c r="I172" s="12" t="inlineStr"/>
      <c r="J172" s="9" t="inlineStr"/>
      <c r="K172" s="9" t="inlineStr"/>
      <c r="L172" s="9" t="inlineStr"/>
      <c r="M172" s="9" t="inlineStr"/>
      <c r="N172" s="9" t="inlineStr"/>
      <c r="O172" s="9" t="inlineStr">
        <is>
          <t>missing</t>
        </is>
      </c>
      <c r="P172" s="9" t="inlineStr">
        <is>
          <t>no_benchmark_row</t>
        </is>
      </c>
      <c r="Q172" s="9" t="inlineStr">
        <is>
          <t>missing</t>
        </is>
      </c>
      <c r="R172" s="9" t="inlineStr"/>
      <c r="S172" s="9" t="inlineStr">
        <is>
          <t>No model/GPU/workload benchmark row was available.</t>
        </is>
      </c>
    </row>
    <row r="173">
      <c r="A173" s="9" t="inlineStr">
        <is>
          <t>llama70b</t>
        </is>
      </c>
      <c r="B173" s="9" t="inlineStr"/>
      <c r="C173" s="9" t="inlineStr">
        <is>
          <t>GB200</t>
        </is>
      </c>
      <c r="D173" s="9" t="inlineStr">
        <is>
          <t>long</t>
        </is>
      </c>
      <c r="E173" s="9" t="inlineStr">
        <is>
          <t>30</t>
        </is>
      </c>
      <c r="F173" s="9" t="inlineStr">
        <is>
          <t>False</t>
        </is>
      </c>
      <c r="G173" s="10" t="inlineStr"/>
      <c r="H173" s="11" t="inlineStr"/>
      <c r="I173" s="12" t="inlineStr"/>
      <c r="J173" s="9" t="inlineStr"/>
      <c r="K173" s="9" t="inlineStr"/>
      <c r="L173" s="9" t="inlineStr"/>
      <c r="M173" s="9" t="inlineStr"/>
      <c r="N173" s="9" t="inlineStr"/>
      <c r="O173" s="9" t="inlineStr">
        <is>
          <t>missing</t>
        </is>
      </c>
      <c r="P173" s="9" t="inlineStr">
        <is>
          <t>no_benchmark_row</t>
        </is>
      </c>
      <c r="Q173" s="9" t="inlineStr">
        <is>
          <t>missing</t>
        </is>
      </c>
      <c r="R173" s="9" t="inlineStr"/>
      <c r="S173" s="9" t="inlineStr">
        <is>
          <t>No model/GPU/workload benchmark row was available.</t>
        </is>
      </c>
    </row>
    <row r="174">
      <c r="A174" s="9" t="inlineStr">
        <is>
          <t>llama70b</t>
        </is>
      </c>
      <c r="B174" s="9" t="inlineStr"/>
      <c r="C174" s="9" t="inlineStr">
        <is>
          <t>GB200</t>
        </is>
      </c>
      <c r="D174" s="9" t="inlineStr">
        <is>
          <t>long</t>
        </is>
      </c>
      <c r="E174" s="9" t="inlineStr">
        <is>
          <t>50</t>
        </is>
      </c>
      <c r="F174" s="9" t="inlineStr">
        <is>
          <t>False</t>
        </is>
      </c>
      <c r="G174" s="10" t="inlineStr"/>
      <c r="H174" s="11" t="inlineStr"/>
      <c r="I174" s="12" t="inlineStr"/>
      <c r="J174" s="9" t="inlineStr"/>
      <c r="K174" s="9" t="inlineStr"/>
      <c r="L174" s="9" t="inlineStr"/>
      <c r="M174" s="9" t="inlineStr"/>
      <c r="N174" s="9" t="inlineStr"/>
      <c r="O174" s="9" t="inlineStr">
        <is>
          <t>missing</t>
        </is>
      </c>
      <c r="P174" s="9" t="inlineStr">
        <is>
          <t>no_benchmark_row</t>
        </is>
      </c>
      <c r="Q174" s="9" t="inlineStr">
        <is>
          <t>missing</t>
        </is>
      </c>
      <c r="R174" s="9" t="inlineStr"/>
      <c r="S174" s="9" t="inlineStr">
        <is>
          <t>No model/GPU/workload benchmark row was available.</t>
        </is>
      </c>
    </row>
    <row r="175">
      <c r="A175" s="9" t="inlineStr">
        <is>
          <t>llama70b</t>
        </is>
      </c>
      <c r="B175" s="9" t="inlineStr"/>
      <c r="C175" s="9" t="inlineStr">
        <is>
          <t>GB200</t>
        </is>
      </c>
      <c r="D175" s="9" t="inlineStr">
        <is>
          <t>long</t>
        </is>
      </c>
      <c r="E175" s="9" t="inlineStr">
        <is>
          <t>70</t>
        </is>
      </c>
      <c r="F175" s="9" t="inlineStr">
        <is>
          <t>False</t>
        </is>
      </c>
      <c r="G175" s="10" t="inlineStr"/>
      <c r="H175" s="11" t="inlineStr"/>
      <c r="I175" s="12" t="inlineStr"/>
      <c r="J175" s="9" t="inlineStr"/>
      <c r="K175" s="9" t="inlineStr"/>
      <c r="L175" s="9" t="inlineStr"/>
      <c r="M175" s="9" t="inlineStr"/>
      <c r="N175" s="9" t="inlineStr"/>
      <c r="O175" s="9" t="inlineStr">
        <is>
          <t>missing</t>
        </is>
      </c>
      <c r="P175" s="9" t="inlineStr">
        <is>
          <t>no_benchmark_row</t>
        </is>
      </c>
      <c r="Q175" s="9" t="inlineStr">
        <is>
          <t>missing</t>
        </is>
      </c>
      <c r="R175" s="9" t="inlineStr"/>
      <c r="S175" s="9" t="inlineStr">
        <is>
          <t>No model/GPU/workload benchmark row was available.</t>
        </is>
      </c>
    </row>
    <row r="176">
      <c r="A176" s="9" t="inlineStr">
        <is>
          <t>llama70b</t>
        </is>
      </c>
      <c r="B176" s="9" t="inlineStr"/>
      <c r="C176" s="9" t="inlineStr">
        <is>
          <t>GB200</t>
        </is>
      </c>
      <c r="D176" s="9" t="inlineStr">
        <is>
          <t>long</t>
        </is>
      </c>
      <c r="E176" s="9" t="inlineStr">
        <is>
          <t>100</t>
        </is>
      </c>
      <c r="F176" s="9" t="inlineStr">
        <is>
          <t>False</t>
        </is>
      </c>
      <c r="G176" s="10" t="inlineStr"/>
      <c r="H176" s="11" t="inlineStr"/>
      <c r="I176" s="12" t="inlineStr"/>
      <c r="J176" s="9" t="inlineStr"/>
      <c r="K176" s="9" t="inlineStr"/>
      <c r="L176" s="9" t="inlineStr"/>
      <c r="M176" s="9" t="inlineStr"/>
      <c r="N176" s="9" t="inlineStr"/>
      <c r="O176" s="9" t="inlineStr">
        <is>
          <t>missing</t>
        </is>
      </c>
      <c r="P176" s="9" t="inlineStr">
        <is>
          <t>no_benchmark_row</t>
        </is>
      </c>
      <c r="Q176" s="9" t="inlineStr">
        <is>
          <t>missing</t>
        </is>
      </c>
      <c r="R176" s="9" t="inlineStr"/>
      <c r="S176" s="9" t="inlineStr">
        <is>
          <t>No model/GPU/workload benchmark row was available.</t>
        </is>
      </c>
    </row>
    <row r="177">
      <c r="A177" s="9" t="inlineStr">
        <is>
          <t>llama70b</t>
        </is>
      </c>
      <c r="B177" s="9" t="inlineStr"/>
      <c r="C177" s="9" t="inlineStr">
        <is>
          <t>GB200</t>
        </is>
      </c>
      <c r="D177" s="9" t="inlineStr">
        <is>
          <t>agentic</t>
        </is>
      </c>
      <c r="E177" s="9" t="inlineStr">
        <is>
          <t>10</t>
        </is>
      </c>
      <c r="F177" s="9" t="inlineStr">
        <is>
          <t>False</t>
        </is>
      </c>
      <c r="G177" s="10" t="inlineStr"/>
      <c r="H177" s="11" t="inlineStr"/>
      <c r="I177" s="12" t="inlineStr"/>
      <c r="J177" s="9" t="inlineStr"/>
      <c r="K177" s="9" t="inlineStr"/>
      <c r="L177" s="9" t="inlineStr"/>
      <c r="M177" s="9" t="inlineStr"/>
      <c r="N177" s="9" t="inlineStr"/>
      <c r="O177" s="9" t="inlineStr">
        <is>
          <t>missing</t>
        </is>
      </c>
      <c r="P177" s="9" t="inlineStr">
        <is>
          <t>no_long_chat_proxy_row</t>
        </is>
      </c>
      <c r="Q177" s="9" t="inlineStr">
        <is>
          <t>missing</t>
        </is>
      </c>
      <c r="R177" s="9" t="inlineStr"/>
      <c r="S177" s="9" t="inlineStr">
        <is>
          <t>Agentic proxy could not be derived because no long-chat benchmark row was available.</t>
        </is>
      </c>
    </row>
    <row r="178">
      <c r="A178" s="9" t="inlineStr">
        <is>
          <t>llama70b</t>
        </is>
      </c>
      <c r="B178" s="9" t="inlineStr"/>
      <c r="C178" s="9" t="inlineStr">
        <is>
          <t>GB200</t>
        </is>
      </c>
      <c r="D178" s="9" t="inlineStr">
        <is>
          <t>agentic</t>
        </is>
      </c>
      <c r="E178" s="9" t="inlineStr">
        <is>
          <t>30</t>
        </is>
      </c>
      <c r="F178" s="9" t="inlineStr">
        <is>
          <t>False</t>
        </is>
      </c>
      <c r="G178" s="10" t="inlineStr"/>
      <c r="H178" s="11" t="inlineStr"/>
      <c r="I178" s="12" t="inlineStr"/>
      <c r="J178" s="9" t="inlineStr"/>
      <c r="K178" s="9" t="inlineStr"/>
      <c r="L178" s="9" t="inlineStr"/>
      <c r="M178" s="9" t="inlineStr"/>
      <c r="N178" s="9" t="inlineStr"/>
      <c r="O178" s="9" t="inlineStr">
        <is>
          <t>missing</t>
        </is>
      </c>
      <c r="P178" s="9" t="inlineStr">
        <is>
          <t>no_long_chat_proxy_row</t>
        </is>
      </c>
      <c r="Q178" s="9" t="inlineStr">
        <is>
          <t>missing</t>
        </is>
      </c>
      <c r="R178" s="9" t="inlineStr"/>
      <c r="S178" s="9" t="inlineStr">
        <is>
          <t>Agentic proxy could not be derived because no long-chat benchmark row was available.</t>
        </is>
      </c>
    </row>
    <row r="179">
      <c r="A179" s="9" t="inlineStr">
        <is>
          <t>llama70b</t>
        </is>
      </c>
      <c r="B179" s="9" t="inlineStr"/>
      <c r="C179" s="9" t="inlineStr">
        <is>
          <t>GB200</t>
        </is>
      </c>
      <c r="D179" s="9" t="inlineStr">
        <is>
          <t>agentic</t>
        </is>
      </c>
      <c r="E179" s="9" t="inlineStr">
        <is>
          <t>50</t>
        </is>
      </c>
      <c r="F179" s="9" t="inlineStr">
        <is>
          <t>False</t>
        </is>
      </c>
      <c r="G179" s="10" t="inlineStr"/>
      <c r="H179" s="11" t="inlineStr"/>
      <c r="I179" s="12" t="inlineStr"/>
      <c r="J179" s="9" t="inlineStr"/>
      <c r="K179" s="9" t="inlineStr"/>
      <c r="L179" s="9" t="inlineStr"/>
      <c r="M179" s="9" t="inlineStr"/>
      <c r="N179" s="9" t="inlineStr"/>
      <c r="O179" s="9" t="inlineStr">
        <is>
          <t>missing</t>
        </is>
      </c>
      <c r="P179" s="9" t="inlineStr">
        <is>
          <t>no_long_chat_proxy_row</t>
        </is>
      </c>
      <c r="Q179" s="9" t="inlineStr">
        <is>
          <t>missing</t>
        </is>
      </c>
      <c r="R179" s="9" t="inlineStr"/>
      <c r="S179" s="9" t="inlineStr">
        <is>
          <t>Agentic proxy could not be derived because no long-chat benchmark row was available.</t>
        </is>
      </c>
    </row>
    <row r="180">
      <c r="A180" s="9" t="inlineStr">
        <is>
          <t>llama70b</t>
        </is>
      </c>
      <c r="B180" s="9" t="inlineStr"/>
      <c r="C180" s="9" t="inlineStr">
        <is>
          <t>GB200</t>
        </is>
      </c>
      <c r="D180" s="9" t="inlineStr">
        <is>
          <t>agentic</t>
        </is>
      </c>
      <c r="E180" s="9" t="inlineStr">
        <is>
          <t>70</t>
        </is>
      </c>
      <c r="F180" s="9" t="inlineStr">
        <is>
          <t>False</t>
        </is>
      </c>
      <c r="G180" s="10" t="inlineStr"/>
      <c r="H180" s="11" t="inlineStr"/>
      <c r="I180" s="12" t="inlineStr"/>
      <c r="J180" s="9" t="inlineStr"/>
      <c r="K180" s="9" t="inlineStr"/>
      <c r="L180" s="9" t="inlineStr"/>
      <c r="M180" s="9" t="inlineStr"/>
      <c r="N180" s="9" t="inlineStr"/>
      <c r="O180" s="9" t="inlineStr">
        <is>
          <t>missing</t>
        </is>
      </c>
      <c r="P180" s="9" t="inlineStr">
        <is>
          <t>no_long_chat_proxy_row</t>
        </is>
      </c>
      <c r="Q180" s="9" t="inlineStr">
        <is>
          <t>missing</t>
        </is>
      </c>
      <c r="R180" s="9" t="inlineStr"/>
      <c r="S180" s="9" t="inlineStr">
        <is>
          <t>Agentic proxy could not be derived because no long-chat benchmark row was available.</t>
        </is>
      </c>
    </row>
    <row r="181">
      <c r="A181" s="9" t="inlineStr">
        <is>
          <t>llama70b</t>
        </is>
      </c>
      <c r="B181" s="9" t="inlineStr"/>
      <c r="C181" s="9" t="inlineStr">
        <is>
          <t>GB200</t>
        </is>
      </c>
      <c r="D181" s="9" t="inlineStr">
        <is>
          <t>agentic</t>
        </is>
      </c>
      <c r="E181" s="9" t="inlineStr">
        <is>
          <t>100</t>
        </is>
      </c>
      <c r="F181" s="9" t="inlineStr">
        <is>
          <t>False</t>
        </is>
      </c>
      <c r="G181" s="10" t="inlineStr"/>
      <c r="H181" s="11" t="inlineStr"/>
      <c r="I181" s="12" t="inlineStr"/>
      <c r="J181" s="9" t="inlineStr"/>
      <c r="K181" s="9" t="inlineStr"/>
      <c r="L181" s="9" t="inlineStr"/>
      <c r="M181" s="9" t="inlineStr"/>
      <c r="N181" s="9" t="inlineStr"/>
      <c r="O181" s="9" t="inlineStr">
        <is>
          <t>missing</t>
        </is>
      </c>
      <c r="P181" s="9" t="inlineStr">
        <is>
          <t>no_long_chat_proxy_row</t>
        </is>
      </c>
      <c r="Q181" s="9" t="inlineStr">
        <is>
          <t>missing</t>
        </is>
      </c>
      <c r="R181" s="9" t="inlineStr"/>
      <c r="S181" s="9" t="inlineStr">
        <is>
          <t>Agentic proxy could not be derived because no long-chat benchmark row was available.</t>
        </is>
      </c>
    </row>
    <row r="182">
      <c r="A182" s="5" t="inlineStr">
        <is>
          <t>qwen3.5</t>
        </is>
      </c>
      <c r="B182" s="5" t="inlineStr">
        <is>
          <t>qwen3.5</t>
        </is>
      </c>
      <c r="C182" s="5" t="inlineStr">
        <is>
          <t>H200</t>
        </is>
      </c>
      <c r="D182" s="5" t="inlineStr">
        <is>
          <t>short</t>
        </is>
      </c>
      <c r="E182" s="5" t="inlineStr">
        <is>
          <t>10</t>
        </is>
      </c>
      <c r="F182" s="5" t="inlineStr">
        <is>
          <t>True</t>
        </is>
      </c>
      <c r="G182" s="6" t="inlineStr">
        <is>
          <t>0.0</t>
        </is>
      </c>
      <c r="H182" s="7" t="inlineStr">
        <is>
          <t>67884.0</t>
        </is>
      </c>
      <c r="I182" s="8" t="inlineStr">
        <is>
          <t>14.68</t>
        </is>
      </c>
      <c r="J182" s="5" t="inlineStr">
        <is>
          <t>fp8</t>
        </is>
      </c>
      <c r="K182" s="5" t="inlineStr">
        <is>
          <t>sglang</t>
        </is>
      </c>
      <c r="L182" s="5" t="inlineStr">
        <is>
          <t>8</t>
        </is>
      </c>
      <c r="M182" s="5" t="inlineStr">
        <is>
          <t>1024</t>
        </is>
      </c>
      <c r="N182" s="5" t="inlineStr">
        <is>
          <t>1024</t>
        </is>
      </c>
      <c r="O182" s="5" t="inlineStr">
        <is>
          <t>selected_public_max</t>
        </is>
      </c>
      <c r="P182" s="5" t="inlineStr">
        <is>
          <t>direct_target_row</t>
        </is>
      </c>
      <c r="Q182" s="5" t="inlineStr">
        <is>
          <t>medium</t>
        </is>
      </c>
      <c r="R182" s="5" t="inlineStr">
        <is>
          <t>2026-05-17T00:00:00.000Z</t>
        </is>
      </c>
      <c r="S182" s="5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9" t="inlineStr">
        <is>
          <t>qwen3.5</t>
        </is>
      </c>
      <c r="B183" s="9" t="inlineStr">
        <is>
          <t>qwen3.5</t>
        </is>
      </c>
      <c r="C183" s="9" t="inlineStr">
        <is>
          <t>H200</t>
        </is>
      </c>
      <c r="D183" s="9" t="inlineStr">
        <is>
          <t>short</t>
        </is>
      </c>
      <c r="E183" s="9" t="inlineStr">
        <is>
          <t>30</t>
        </is>
      </c>
      <c r="F183" s="9" t="inlineStr">
        <is>
          <t>False</t>
        </is>
      </c>
      <c r="G183" s="10" t="inlineStr">
        <is>
          <t>0.5106666666666667</t>
        </is>
      </c>
      <c r="H183" s="11" t="inlineStr">
        <is>
          <t>67884.0</t>
        </is>
      </c>
      <c r="I183" s="12" t="inlineStr">
        <is>
          <t>14.68</t>
        </is>
      </c>
      <c r="J183" s="9" t="inlineStr">
        <is>
          <t>fp8</t>
        </is>
      </c>
      <c r="K183" s="9" t="inlineStr">
        <is>
          <t>sglang</t>
        </is>
      </c>
      <c r="L183" s="9" t="inlineStr">
        <is>
          <t>8</t>
        </is>
      </c>
      <c r="M183" s="9" t="inlineStr">
        <is>
          <t>1024</t>
        </is>
      </c>
      <c r="N183" s="9" t="inlineStr">
        <is>
          <t>1024</t>
        </is>
      </c>
      <c r="O183" s="9" t="inlineStr">
        <is>
          <t>selected_public_max</t>
        </is>
      </c>
      <c r="P183" s="9" t="inlineStr">
        <is>
          <t>best_available_below_target</t>
        </is>
      </c>
      <c r="Q183" s="9" t="inlineStr">
        <is>
          <t>low_target_gap</t>
        </is>
      </c>
      <c r="R183" s="9" t="inlineStr">
        <is>
          <t>2026-05-17T00:00:00.000Z</t>
        </is>
      </c>
      <c r="S183" s="9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9" t="inlineStr">
        <is>
          <t>qwen3.5</t>
        </is>
      </c>
      <c r="B184" s="9" t="inlineStr">
        <is>
          <t>qwen3.5</t>
        </is>
      </c>
      <c r="C184" s="9" t="inlineStr">
        <is>
          <t>H200</t>
        </is>
      </c>
      <c r="D184" s="9" t="inlineStr">
        <is>
          <t>short</t>
        </is>
      </c>
      <c r="E184" s="9" t="inlineStr">
        <is>
          <t>50</t>
        </is>
      </c>
      <c r="F184" s="9" t="inlineStr">
        <is>
          <t>False</t>
        </is>
      </c>
      <c r="G184" s="10" t="inlineStr">
        <is>
          <t>0.7064</t>
        </is>
      </c>
      <c r="H184" s="11" t="inlineStr">
        <is>
          <t>67884.0</t>
        </is>
      </c>
      <c r="I184" s="12" t="inlineStr">
        <is>
          <t>14.68</t>
        </is>
      </c>
      <c r="J184" s="9" t="inlineStr">
        <is>
          <t>fp8</t>
        </is>
      </c>
      <c r="K184" s="9" t="inlineStr">
        <is>
          <t>sglang</t>
        </is>
      </c>
      <c r="L184" s="9" t="inlineStr">
        <is>
          <t>8</t>
        </is>
      </c>
      <c r="M184" s="9" t="inlineStr">
        <is>
          <t>1024</t>
        </is>
      </c>
      <c r="N184" s="9" t="inlineStr">
        <is>
          <t>1024</t>
        </is>
      </c>
      <c r="O184" s="9" t="inlineStr">
        <is>
          <t>selected_public_max</t>
        </is>
      </c>
      <c r="P184" s="9" t="inlineStr">
        <is>
          <t>best_available_below_target</t>
        </is>
      </c>
      <c r="Q184" s="9" t="inlineStr">
        <is>
          <t>low_target_gap</t>
        </is>
      </c>
      <c r="R184" s="9" t="inlineStr">
        <is>
          <t>2026-05-17T00:00:00.000Z</t>
        </is>
      </c>
      <c r="S184" s="9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9" t="inlineStr">
        <is>
          <t>qwen3.5</t>
        </is>
      </c>
      <c r="B185" s="9" t="inlineStr">
        <is>
          <t>qwen3.5</t>
        </is>
      </c>
      <c r="C185" s="9" t="inlineStr">
        <is>
          <t>H200</t>
        </is>
      </c>
      <c r="D185" s="9" t="inlineStr">
        <is>
          <t>short</t>
        </is>
      </c>
      <c r="E185" s="9" t="inlineStr">
        <is>
          <t>70</t>
        </is>
      </c>
      <c r="F185" s="9" t="inlineStr">
        <is>
          <t>False</t>
        </is>
      </c>
      <c r="G185" s="10" t="inlineStr">
        <is>
          <t>0.7902857142857143</t>
        </is>
      </c>
      <c r="H185" s="11" t="inlineStr">
        <is>
          <t>67884.0</t>
        </is>
      </c>
      <c r="I185" s="12" t="inlineStr">
        <is>
          <t>14.68</t>
        </is>
      </c>
      <c r="J185" s="9" t="inlineStr">
        <is>
          <t>fp8</t>
        </is>
      </c>
      <c r="K185" s="9" t="inlineStr">
        <is>
          <t>sglang</t>
        </is>
      </c>
      <c r="L185" s="9" t="inlineStr">
        <is>
          <t>8</t>
        </is>
      </c>
      <c r="M185" s="9" t="inlineStr">
        <is>
          <t>1024</t>
        </is>
      </c>
      <c r="N185" s="9" t="inlineStr">
        <is>
          <t>1024</t>
        </is>
      </c>
      <c r="O185" s="9" t="inlineStr">
        <is>
          <t>selected_public_max</t>
        </is>
      </c>
      <c r="P185" s="9" t="inlineStr">
        <is>
          <t>best_available_below_target</t>
        </is>
      </c>
      <c r="Q185" s="9" t="inlineStr">
        <is>
          <t>low_target_gap</t>
        </is>
      </c>
      <c r="R185" s="9" t="inlineStr">
        <is>
          <t>2026-05-17T00:00:00.000Z</t>
        </is>
      </c>
      <c r="S185" s="9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9" t="inlineStr">
        <is>
          <t>qwen3.5</t>
        </is>
      </c>
      <c r="B186" s="9" t="inlineStr">
        <is>
          <t>qwen3.5</t>
        </is>
      </c>
      <c r="C186" s="9" t="inlineStr">
        <is>
          <t>H200</t>
        </is>
      </c>
      <c r="D186" s="9" t="inlineStr">
        <is>
          <t>short</t>
        </is>
      </c>
      <c r="E186" s="9" t="inlineStr">
        <is>
          <t>100</t>
        </is>
      </c>
      <c r="F186" s="9" t="inlineStr">
        <is>
          <t>False</t>
        </is>
      </c>
      <c r="G186" s="10" t="inlineStr">
        <is>
          <t>0.8532</t>
        </is>
      </c>
      <c r="H186" s="11" t="inlineStr">
        <is>
          <t>67884.0</t>
        </is>
      </c>
      <c r="I186" s="12" t="inlineStr">
        <is>
          <t>14.68</t>
        </is>
      </c>
      <c r="J186" s="9" t="inlineStr">
        <is>
          <t>fp8</t>
        </is>
      </c>
      <c r="K186" s="9" t="inlineStr">
        <is>
          <t>sglang</t>
        </is>
      </c>
      <c r="L186" s="9" t="inlineStr">
        <is>
          <t>8</t>
        </is>
      </c>
      <c r="M186" s="9" t="inlineStr">
        <is>
          <t>1024</t>
        </is>
      </c>
      <c r="N186" s="9" t="inlineStr">
        <is>
          <t>1024</t>
        </is>
      </c>
      <c r="O186" s="9" t="inlineStr">
        <is>
          <t>selected_public_max</t>
        </is>
      </c>
      <c r="P186" s="9" t="inlineStr">
        <is>
          <t>best_available_below_target</t>
        </is>
      </c>
      <c r="Q186" s="9" t="inlineStr">
        <is>
          <t>low_target_gap</t>
        </is>
      </c>
      <c r="R186" s="9" t="inlineStr">
        <is>
          <t>2026-05-17T00:00:00.000Z</t>
        </is>
      </c>
      <c r="S186" s="9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5" t="inlineStr">
        <is>
          <t>qwen3.5</t>
        </is>
      </c>
      <c r="B187" s="5" t="inlineStr">
        <is>
          <t>qwen3.5</t>
        </is>
      </c>
      <c r="C187" s="5" t="inlineStr">
        <is>
          <t>H200</t>
        </is>
      </c>
      <c r="D187" s="5" t="inlineStr">
        <is>
          <t>long</t>
        </is>
      </c>
      <c r="E187" s="5" t="inlineStr">
        <is>
          <t>10</t>
        </is>
      </c>
      <c r="F187" s="5" t="inlineStr">
        <is>
          <t>True</t>
        </is>
      </c>
      <c r="G187" s="6" t="inlineStr">
        <is>
          <t>0.0</t>
        </is>
      </c>
      <c r="H187" s="7" t="inlineStr">
        <is>
          <t>53892.0</t>
        </is>
      </c>
      <c r="I187" s="8" t="inlineStr">
        <is>
          <t>11.65</t>
        </is>
      </c>
      <c r="J187" s="5" t="inlineStr">
        <is>
          <t>fp8</t>
        </is>
      </c>
      <c r="K187" s="5" t="inlineStr">
        <is>
          <t>sglang</t>
        </is>
      </c>
      <c r="L187" s="5" t="inlineStr">
        <is>
          <t>8</t>
        </is>
      </c>
      <c r="M187" s="5" t="inlineStr">
        <is>
          <t>8192</t>
        </is>
      </c>
      <c r="N187" s="5" t="inlineStr">
        <is>
          <t>1024</t>
        </is>
      </c>
      <c r="O187" s="5" t="inlineStr">
        <is>
          <t>selected_public_max</t>
        </is>
      </c>
      <c r="P187" s="5" t="inlineStr">
        <is>
          <t>direct_target_row</t>
        </is>
      </c>
      <c r="Q187" s="5" t="inlineStr">
        <is>
          <t>medium</t>
        </is>
      </c>
      <c r="R187" s="5" t="inlineStr">
        <is>
          <t>2026-05-13T00:00:00.000Z</t>
        </is>
      </c>
      <c r="S187" s="5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9" t="inlineStr">
        <is>
          <t>qwen3.5</t>
        </is>
      </c>
      <c r="B188" s="9" t="inlineStr">
        <is>
          <t>qwen3.5</t>
        </is>
      </c>
      <c r="C188" s="9" t="inlineStr">
        <is>
          <t>H200</t>
        </is>
      </c>
      <c r="D188" s="9" t="inlineStr">
        <is>
          <t>long</t>
        </is>
      </c>
      <c r="E188" s="9" t="inlineStr">
        <is>
          <t>30</t>
        </is>
      </c>
      <c r="F188" s="9" t="inlineStr">
        <is>
          <t>False</t>
        </is>
      </c>
      <c r="G188" s="10" t="inlineStr">
        <is>
          <t>0.6116666666666667</t>
        </is>
      </c>
      <c r="H188" s="11" t="inlineStr">
        <is>
          <t>53892.0</t>
        </is>
      </c>
      <c r="I188" s="12" t="inlineStr">
        <is>
          <t>11.65</t>
        </is>
      </c>
      <c r="J188" s="9" t="inlineStr">
        <is>
          <t>fp8</t>
        </is>
      </c>
      <c r="K188" s="9" t="inlineStr">
        <is>
          <t>sglang</t>
        </is>
      </c>
      <c r="L188" s="9" t="inlineStr">
        <is>
          <t>8</t>
        </is>
      </c>
      <c r="M188" s="9" t="inlineStr">
        <is>
          <t>8192</t>
        </is>
      </c>
      <c r="N188" s="9" t="inlineStr">
        <is>
          <t>1024</t>
        </is>
      </c>
      <c r="O188" s="9" t="inlineStr">
        <is>
          <t>selected_public_max</t>
        </is>
      </c>
      <c r="P188" s="9" t="inlineStr">
        <is>
          <t>best_available_below_target</t>
        </is>
      </c>
      <c r="Q188" s="9" t="inlineStr">
        <is>
          <t>low_target_gap</t>
        </is>
      </c>
      <c r="R188" s="9" t="inlineStr">
        <is>
          <t>2026-05-13T00:00:00.000Z</t>
        </is>
      </c>
      <c r="S188" s="9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9" t="inlineStr">
        <is>
          <t>qwen3.5</t>
        </is>
      </c>
      <c r="B189" s="9" t="inlineStr">
        <is>
          <t>qwen3.5</t>
        </is>
      </c>
      <c r="C189" s="9" t="inlineStr">
        <is>
          <t>H200</t>
        </is>
      </c>
      <c r="D189" s="9" t="inlineStr">
        <is>
          <t>long</t>
        </is>
      </c>
      <c r="E189" s="9" t="inlineStr">
        <is>
          <t>50</t>
        </is>
      </c>
      <c r="F189" s="9" t="inlineStr">
        <is>
          <t>False</t>
        </is>
      </c>
      <c r="G189" s="10" t="inlineStr">
        <is>
          <t>0.767</t>
        </is>
      </c>
      <c r="H189" s="11" t="inlineStr">
        <is>
          <t>53892.0</t>
        </is>
      </c>
      <c r="I189" s="12" t="inlineStr">
        <is>
          <t>11.65</t>
        </is>
      </c>
      <c r="J189" s="9" t="inlineStr">
        <is>
          <t>fp8</t>
        </is>
      </c>
      <c r="K189" s="9" t="inlineStr">
        <is>
          <t>sglang</t>
        </is>
      </c>
      <c r="L189" s="9" t="inlineStr">
        <is>
          <t>8</t>
        </is>
      </c>
      <c r="M189" s="9" t="inlineStr">
        <is>
          <t>8192</t>
        </is>
      </c>
      <c r="N189" s="9" t="inlineStr">
        <is>
          <t>1024</t>
        </is>
      </c>
      <c r="O189" s="9" t="inlineStr">
        <is>
          <t>selected_public_max</t>
        </is>
      </c>
      <c r="P189" s="9" t="inlineStr">
        <is>
          <t>best_available_below_target</t>
        </is>
      </c>
      <c r="Q189" s="9" t="inlineStr">
        <is>
          <t>low_target_gap</t>
        </is>
      </c>
      <c r="R189" s="9" t="inlineStr">
        <is>
          <t>2026-05-13T00:00:00.000Z</t>
        </is>
      </c>
      <c r="S189" s="9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9" t="inlineStr">
        <is>
          <t>qwen3.5</t>
        </is>
      </c>
      <c r="B190" s="9" t="inlineStr">
        <is>
          <t>qwen3.5</t>
        </is>
      </c>
      <c r="C190" s="9" t="inlineStr">
        <is>
          <t>H200</t>
        </is>
      </c>
      <c r="D190" s="9" t="inlineStr">
        <is>
          <t>long</t>
        </is>
      </c>
      <c r="E190" s="9" t="inlineStr">
        <is>
          <t>70</t>
        </is>
      </c>
      <c r="F190" s="9" t="inlineStr">
        <is>
          <t>False</t>
        </is>
      </c>
      <c r="G190" s="10" t="inlineStr">
        <is>
          <t>0.8335714285714286</t>
        </is>
      </c>
      <c r="H190" s="11" t="inlineStr">
        <is>
          <t>53892.0</t>
        </is>
      </c>
      <c r="I190" s="12" t="inlineStr">
        <is>
          <t>11.65</t>
        </is>
      </c>
      <c r="J190" s="9" t="inlineStr">
        <is>
          <t>fp8</t>
        </is>
      </c>
      <c r="K190" s="9" t="inlineStr">
        <is>
          <t>sglang</t>
        </is>
      </c>
      <c r="L190" s="9" t="inlineStr">
        <is>
          <t>8</t>
        </is>
      </c>
      <c r="M190" s="9" t="inlineStr">
        <is>
          <t>8192</t>
        </is>
      </c>
      <c r="N190" s="9" t="inlineStr">
        <is>
          <t>1024</t>
        </is>
      </c>
      <c r="O190" s="9" t="inlineStr">
        <is>
          <t>selected_public_max</t>
        </is>
      </c>
      <c r="P190" s="9" t="inlineStr">
        <is>
          <t>best_available_below_target</t>
        </is>
      </c>
      <c r="Q190" s="9" t="inlineStr">
        <is>
          <t>low_target_gap</t>
        </is>
      </c>
      <c r="R190" s="9" t="inlineStr">
        <is>
          <t>2026-05-13T00:00:00.000Z</t>
        </is>
      </c>
      <c r="S190" s="9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9" t="inlineStr">
        <is>
          <t>qwen3.5</t>
        </is>
      </c>
      <c r="B191" s="9" t="inlineStr">
        <is>
          <t>qwen3.5</t>
        </is>
      </c>
      <c r="C191" s="9" t="inlineStr">
        <is>
          <t>H200</t>
        </is>
      </c>
      <c r="D191" s="9" t="inlineStr">
        <is>
          <t>long</t>
        </is>
      </c>
      <c r="E191" s="9" t="inlineStr">
        <is>
          <t>100</t>
        </is>
      </c>
      <c r="F191" s="9" t="inlineStr">
        <is>
          <t>False</t>
        </is>
      </c>
      <c r="G191" s="10" t="inlineStr">
        <is>
          <t>0.8835</t>
        </is>
      </c>
      <c r="H191" s="11" t="inlineStr">
        <is>
          <t>53892.0</t>
        </is>
      </c>
      <c r="I191" s="12" t="inlineStr">
        <is>
          <t>11.65</t>
        </is>
      </c>
      <c r="J191" s="9" t="inlineStr">
        <is>
          <t>fp8</t>
        </is>
      </c>
      <c r="K191" s="9" t="inlineStr">
        <is>
          <t>sglang</t>
        </is>
      </c>
      <c r="L191" s="9" t="inlineStr">
        <is>
          <t>8</t>
        </is>
      </c>
      <c r="M191" s="9" t="inlineStr">
        <is>
          <t>8192</t>
        </is>
      </c>
      <c r="N191" s="9" t="inlineStr">
        <is>
          <t>1024</t>
        </is>
      </c>
      <c r="O191" s="9" t="inlineStr">
        <is>
          <t>selected_public_max</t>
        </is>
      </c>
      <c r="P191" s="9" t="inlineStr">
        <is>
          <t>best_available_below_target</t>
        </is>
      </c>
      <c r="Q191" s="9" t="inlineStr">
        <is>
          <t>low_target_gap</t>
        </is>
      </c>
      <c r="R191" s="9" t="inlineStr">
        <is>
          <t>2026-05-13T00:00:00.000Z</t>
        </is>
      </c>
      <c r="S191" s="9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13" t="inlineStr">
        <is>
          <t>qwen3.5</t>
        </is>
      </c>
      <c r="B192" s="13" t="inlineStr">
        <is>
          <t>qwen3.5</t>
        </is>
      </c>
      <c r="C192" s="13" t="inlineStr">
        <is>
          <t>H200</t>
        </is>
      </c>
      <c r="D192" s="13" t="inlineStr">
        <is>
          <t>agentic</t>
        </is>
      </c>
      <c r="E192" s="13" t="inlineStr">
        <is>
          <t>10</t>
        </is>
      </c>
      <c r="F192" s="13" t="inlineStr">
        <is>
          <t>False</t>
        </is>
      </c>
      <c r="G192" s="14" t="inlineStr">
        <is>
          <t>0.8733695652173912</t>
        </is>
      </c>
      <c r="H192" s="15" t="inlineStr">
        <is>
          <t>5857.826086956522</t>
        </is>
      </c>
      <c r="I192" s="16" t="inlineStr">
        <is>
          <t>1.2663043478260871</t>
        </is>
      </c>
      <c r="J192" s="13" t="inlineStr">
        <is>
          <t>fp8</t>
        </is>
      </c>
      <c r="K192" s="13" t="inlineStr">
        <is>
          <t>sglang</t>
        </is>
      </c>
      <c r="L192" s="13" t="inlineStr">
        <is>
          <t>8</t>
        </is>
      </c>
      <c r="M192" s="13" t="inlineStr">
        <is>
          <t>8192</t>
        </is>
      </c>
      <c r="N192" s="13" t="inlineStr">
        <is>
          <t>1024</t>
        </is>
      </c>
      <c r="O192" s="13" t="inlineStr">
        <is>
          <t>agentic_from_long_chat</t>
        </is>
      </c>
      <c r="P192" s="13" t="inlineStr">
        <is>
          <t>dynamic_reasoning_proxy</t>
        </is>
      </c>
      <c r="Q192" s="13" t="inlineStr">
        <is>
          <t>low_target_gap</t>
        </is>
      </c>
      <c r="R192" s="13" t="inlineStr">
        <is>
          <t>2026-05-13T00:00:00.000Z</t>
        </is>
      </c>
      <c r="S192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3">
      <c r="A193" s="13" t="inlineStr">
        <is>
          <t>qwen3.5</t>
        </is>
      </c>
      <c r="B193" s="13" t="inlineStr">
        <is>
          <t>qwen3.5</t>
        </is>
      </c>
      <c r="C193" s="13" t="inlineStr">
        <is>
          <t>H200</t>
        </is>
      </c>
      <c r="D193" s="13" t="inlineStr">
        <is>
          <t>agentic</t>
        </is>
      </c>
      <c r="E193" s="13" t="inlineStr">
        <is>
          <t>30</t>
        </is>
      </c>
      <c r="F193" s="13" t="inlineStr">
        <is>
          <t>False</t>
        </is>
      </c>
      <c r="G193" s="14" t="inlineStr">
        <is>
          <t>0.9577898550724638</t>
        </is>
      </c>
      <c r="H193" s="15" t="inlineStr">
        <is>
          <t>5857.826086956522</t>
        </is>
      </c>
      <c r="I193" s="16" t="inlineStr">
        <is>
          <t>1.2663043478260871</t>
        </is>
      </c>
      <c r="J193" s="13" t="inlineStr">
        <is>
          <t>fp8</t>
        </is>
      </c>
      <c r="K193" s="13" t="inlineStr">
        <is>
          <t>sglang</t>
        </is>
      </c>
      <c r="L193" s="13" t="inlineStr">
        <is>
          <t>8</t>
        </is>
      </c>
      <c r="M193" s="13" t="inlineStr">
        <is>
          <t>8192</t>
        </is>
      </c>
      <c r="N193" s="13" t="inlineStr">
        <is>
          <t>1024</t>
        </is>
      </c>
      <c r="O193" s="13" t="inlineStr">
        <is>
          <t>agentic_from_long_chat</t>
        </is>
      </c>
      <c r="P193" s="13" t="inlineStr">
        <is>
          <t>dynamic_reasoning_proxy</t>
        </is>
      </c>
      <c r="Q193" s="13" t="inlineStr">
        <is>
          <t>low_target_gap</t>
        </is>
      </c>
      <c r="R193" s="13" t="inlineStr">
        <is>
          <t>2026-05-13T00:00:00.000Z</t>
        </is>
      </c>
      <c r="S193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4">
      <c r="A194" s="13" t="inlineStr">
        <is>
          <t>qwen3.5</t>
        </is>
      </c>
      <c r="B194" s="13" t="inlineStr">
        <is>
          <t>qwen3.5</t>
        </is>
      </c>
      <c r="C194" s="13" t="inlineStr">
        <is>
          <t>H200</t>
        </is>
      </c>
      <c r="D194" s="13" t="inlineStr">
        <is>
          <t>agentic</t>
        </is>
      </c>
      <c r="E194" s="13" t="inlineStr">
        <is>
          <t>50</t>
        </is>
      </c>
      <c r="F194" s="13" t="inlineStr">
        <is>
          <t>False</t>
        </is>
      </c>
      <c r="G194" s="14" t="inlineStr">
        <is>
          <t>0.9746739130434783</t>
        </is>
      </c>
      <c r="H194" s="15" t="inlineStr">
        <is>
          <t>5857.826086956522</t>
        </is>
      </c>
      <c r="I194" s="16" t="inlineStr">
        <is>
          <t>1.2663043478260871</t>
        </is>
      </c>
      <c r="J194" s="13" t="inlineStr">
        <is>
          <t>fp8</t>
        </is>
      </c>
      <c r="K194" s="13" t="inlineStr">
        <is>
          <t>sglang</t>
        </is>
      </c>
      <c r="L194" s="13" t="inlineStr">
        <is>
          <t>8</t>
        </is>
      </c>
      <c r="M194" s="13" t="inlineStr">
        <is>
          <t>8192</t>
        </is>
      </c>
      <c r="N194" s="13" t="inlineStr">
        <is>
          <t>1024</t>
        </is>
      </c>
      <c r="O194" s="13" t="inlineStr">
        <is>
          <t>agentic_from_long_chat</t>
        </is>
      </c>
      <c r="P194" s="13" t="inlineStr">
        <is>
          <t>dynamic_reasoning_proxy</t>
        </is>
      </c>
      <c r="Q194" s="13" t="inlineStr">
        <is>
          <t>low_target_gap</t>
        </is>
      </c>
      <c r="R194" s="13" t="inlineStr">
        <is>
          <t>2026-05-13T00:00:00.000Z</t>
        </is>
      </c>
      <c r="S194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5">
      <c r="A195" s="13" t="inlineStr">
        <is>
          <t>qwen3.5</t>
        </is>
      </c>
      <c r="B195" s="13" t="inlineStr">
        <is>
          <t>qwen3.5</t>
        </is>
      </c>
      <c r="C195" s="13" t="inlineStr">
        <is>
          <t>H200</t>
        </is>
      </c>
      <c r="D195" s="13" t="inlineStr">
        <is>
          <t>agentic</t>
        </is>
      </c>
      <c r="E195" s="13" t="inlineStr">
        <is>
          <t>70</t>
        </is>
      </c>
      <c r="F195" s="13" t="inlineStr">
        <is>
          <t>False</t>
        </is>
      </c>
      <c r="G195" s="14" t="inlineStr">
        <is>
          <t>0.9819099378881987</t>
        </is>
      </c>
      <c r="H195" s="15" t="inlineStr">
        <is>
          <t>5857.826086956522</t>
        </is>
      </c>
      <c r="I195" s="16" t="inlineStr">
        <is>
          <t>1.2663043478260871</t>
        </is>
      </c>
      <c r="J195" s="13" t="inlineStr">
        <is>
          <t>fp8</t>
        </is>
      </c>
      <c r="K195" s="13" t="inlineStr">
        <is>
          <t>sglang</t>
        </is>
      </c>
      <c r="L195" s="13" t="inlineStr">
        <is>
          <t>8</t>
        </is>
      </c>
      <c r="M195" s="13" t="inlineStr">
        <is>
          <t>8192</t>
        </is>
      </c>
      <c r="N195" s="13" t="inlineStr">
        <is>
          <t>1024</t>
        </is>
      </c>
      <c r="O195" s="13" t="inlineStr">
        <is>
          <t>agentic_from_long_chat</t>
        </is>
      </c>
      <c r="P195" s="13" t="inlineStr">
        <is>
          <t>dynamic_reasoning_proxy</t>
        </is>
      </c>
      <c r="Q195" s="13" t="inlineStr">
        <is>
          <t>low_target_gap</t>
        </is>
      </c>
      <c r="R195" s="13" t="inlineStr">
        <is>
          <t>2026-05-13T00:00:00.000Z</t>
        </is>
      </c>
      <c r="S195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6">
      <c r="A196" s="13" t="inlineStr">
        <is>
          <t>qwen3.5</t>
        </is>
      </c>
      <c r="B196" s="13" t="inlineStr">
        <is>
          <t>qwen3.5</t>
        </is>
      </c>
      <c r="C196" s="13" t="inlineStr">
        <is>
          <t>H200</t>
        </is>
      </c>
      <c r="D196" s="13" t="inlineStr">
        <is>
          <t>agentic</t>
        </is>
      </c>
      <c r="E196" s="13" t="inlineStr">
        <is>
          <t>100</t>
        </is>
      </c>
      <c r="F196" s="13" t="inlineStr">
        <is>
          <t>False</t>
        </is>
      </c>
      <c r="G196" s="14" t="inlineStr">
        <is>
          <t>0.987336956521739</t>
        </is>
      </c>
      <c r="H196" s="15" t="inlineStr">
        <is>
          <t>5857.826086956522</t>
        </is>
      </c>
      <c r="I196" s="16" t="inlineStr">
        <is>
          <t>1.2663043478260871</t>
        </is>
      </c>
      <c r="J196" s="13" t="inlineStr">
        <is>
          <t>fp8</t>
        </is>
      </c>
      <c r="K196" s="13" t="inlineStr">
        <is>
          <t>sglang</t>
        </is>
      </c>
      <c r="L196" s="13" t="inlineStr">
        <is>
          <t>8</t>
        </is>
      </c>
      <c r="M196" s="13" t="inlineStr">
        <is>
          <t>8192</t>
        </is>
      </c>
      <c r="N196" s="13" t="inlineStr">
        <is>
          <t>1024</t>
        </is>
      </c>
      <c r="O196" s="13" t="inlineStr">
        <is>
          <t>agentic_from_long_chat</t>
        </is>
      </c>
      <c r="P196" s="13" t="inlineStr">
        <is>
          <t>dynamic_reasoning_proxy</t>
        </is>
      </c>
      <c r="Q196" s="13" t="inlineStr">
        <is>
          <t>low_target_gap</t>
        </is>
      </c>
      <c r="R196" s="13" t="inlineStr">
        <is>
          <t>2026-05-13T00:00:00.000Z</t>
        </is>
      </c>
      <c r="S196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197">
      <c r="A197" s="5" t="inlineStr">
        <is>
          <t>qwen3.5</t>
        </is>
      </c>
      <c r="B197" s="5" t="inlineStr">
        <is>
          <t>qwen3.5</t>
        </is>
      </c>
      <c r="C197" s="5" t="inlineStr">
        <is>
          <t>B200</t>
        </is>
      </c>
      <c r="D197" s="5" t="inlineStr">
        <is>
          <t>short</t>
        </is>
      </c>
      <c r="E197" s="5" t="inlineStr">
        <is>
          <t>10</t>
        </is>
      </c>
      <c r="F197" s="5" t="inlineStr">
        <is>
          <t>True</t>
        </is>
      </c>
      <c r="G197" s="6" t="inlineStr">
        <is>
          <t>0.0</t>
        </is>
      </c>
      <c r="H197" s="7" t="inlineStr">
        <is>
          <t>806272.0</t>
        </is>
      </c>
      <c r="I197" s="8" t="inlineStr">
        <is>
          <t>13.67</t>
        </is>
      </c>
      <c r="J197" s="5" t="inlineStr">
        <is>
          <t>fp8</t>
        </is>
      </c>
      <c r="K197" s="5" t="inlineStr">
        <is>
          <t>sglang</t>
        </is>
      </c>
      <c r="L197" s="5" t="inlineStr">
        <is>
          <t>128</t>
        </is>
      </c>
      <c r="M197" s="5" t="inlineStr">
        <is>
          <t>1024</t>
        </is>
      </c>
      <c r="N197" s="5" t="inlineStr">
        <is>
          <t>1024</t>
        </is>
      </c>
      <c r="O197" s="5" t="inlineStr">
        <is>
          <t>selected_public_max</t>
        </is>
      </c>
      <c r="P197" s="5" t="inlineStr">
        <is>
          <t>direct_target_row</t>
        </is>
      </c>
      <c r="Q197" s="5" t="inlineStr">
        <is>
          <t>medium</t>
        </is>
      </c>
      <c r="R197" s="5" t="inlineStr">
        <is>
          <t>2026-05-18T00:00:00.000Z</t>
        </is>
      </c>
      <c r="S197" s="5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5" t="inlineStr">
        <is>
          <t>qwen3.5</t>
        </is>
      </c>
      <c r="B198" s="5" t="inlineStr">
        <is>
          <t>qwen3.5</t>
        </is>
      </c>
      <c r="C198" s="5" t="inlineStr">
        <is>
          <t>B200</t>
        </is>
      </c>
      <c r="D198" s="5" t="inlineStr">
        <is>
          <t>short</t>
        </is>
      </c>
      <c r="E198" s="5" t="inlineStr">
        <is>
          <t>30</t>
        </is>
      </c>
      <c r="F198" s="5" t="inlineStr">
        <is>
          <t>True</t>
        </is>
      </c>
      <c r="G198" s="6" t="inlineStr">
        <is>
          <t>0.0</t>
        </is>
      </c>
      <c r="H198" s="7" t="inlineStr">
        <is>
          <t>229498.0</t>
        </is>
      </c>
      <c r="I198" s="8" t="inlineStr">
        <is>
          <t>31.13</t>
        </is>
      </c>
      <c r="J198" s="5" t="inlineStr">
        <is>
          <t>fp8</t>
        </is>
      </c>
      <c r="K198" s="5" t="inlineStr">
        <is>
          <t>sglang</t>
        </is>
      </c>
      <c r="L198" s="5" t="inlineStr">
        <is>
          <t>16</t>
        </is>
      </c>
      <c r="M198" s="5" t="inlineStr">
        <is>
          <t>1024</t>
        </is>
      </c>
      <c r="N198" s="5" t="inlineStr">
        <is>
          <t>1024</t>
        </is>
      </c>
      <c r="O198" s="5" t="inlineStr">
        <is>
          <t>selected_public_max</t>
        </is>
      </c>
      <c r="P198" s="5" t="inlineStr">
        <is>
          <t>direct_target_row</t>
        </is>
      </c>
      <c r="Q198" s="5" t="inlineStr">
        <is>
          <t>medium</t>
        </is>
      </c>
      <c r="R198" s="5" t="inlineStr">
        <is>
          <t>2026-05-18T00:00:00.000Z</t>
        </is>
      </c>
      <c r="S198" s="5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9" t="inlineStr">
        <is>
          <t>qwen3.5</t>
        </is>
      </c>
      <c r="B199" s="9" t="inlineStr">
        <is>
          <t>qwen3.5</t>
        </is>
      </c>
      <c r="C199" s="9" t="inlineStr">
        <is>
          <t>B200</t>
        </is>
      </c>
      <c r="D199" s="9" t="inlineStr">
        <is>
          <t>short</t>
        </is>
      </c>
      <c r="E199" s="9" t="inlineStr">
        <is>
          <t>50</t>
        </is>
      </c>
      <c r="F199" s="9" t="inlineStr">
        <is>
          <t>False</t>
        </is>
      </c>
      <c r="G199" s="10" t="inlineStr">
        <is>
          <t>0.3774</t>
        </is>
      </c>
      <c r="H199" s="11" t="inlineStr">
        <is>
          <t>229498.0</t>
        </is>
      </c>
      <c r="I199" s="12" t="inlineStr">
        <is>
          <t>31.13</t>
        </is>
      </c>
      <c r="J199" s="9" t="inlineStr">
        <is>
          <t>fp8</t>
        </is>
      </c>
      <c r="K199" s="9" t="inlineStr">
        <is>
          <t>sglang</t>
        </is>
      </c>
      <c r="L199" s="9" t="inlineStr">
        <is>
          <t>16</t>
        </is>
      </c>
      <c r="M199" s="9" t="inlineStr">
        <is>
          <t>1024</t>
        </is>
      </c>
      <c r="N199" s="9" t="inlineStr">
        <is>
          <t>1024</t>
        </is>
      </c>
      <c r="O199" s="9" t="inlineStr">
        <is>
          <t>selected_public_max</t>
        </is>
      </c>
      <c r="P199" s="9" t="inlineStr">
        <is>
          <t>best_available_below_target</t>
        </is>
      </c>
      <c r="Q199" s="9" t="inlineStr">
        <is>
          <t>low_target_gap</t>
        </is>
      </c>
      <c r="R199" s="9" t="inlineStr">
        <is>
          <t>2026-05-18T00:00:00.000Z</t>
        </is>
      </c>
      <c r="S199" s="9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9" t="inlineStr">
        <is>
          <t>qwen3.5</t>
        </is>
      </c>
      <c r="B200" s="9" t="inlineStr">
        <is>
          <t>qwen3.5</t>
        </is>
      </c>
      <c r="C200" s="9" t="inlineStr">
        <is>
          <t>B200</t>
        </is>
      </c>
      <c r="D200" s="9" t="inlineStr">
        <is>
          <t>short</t>
        </is>
      </c>
      <c r="E200" s="9" t="inlineStr">
        <is>
          <t>70</t>
        </is>
      </c>
      <c r="F200" s="9" t="inlineStr">
        <is>
          <t>False</t>
        </is>
      </c>
      <c r="G200" s="10" t="inlineStr">
        <is>
          <t>0.5552857142857144</t>
        </is>
      </c>
      <c r="H200" s="11" t="inlineStr">
        <is>
          <t>229498.0</t>
        </is>
      </c>
      <c r="I200" s="12" t="inlineStr">
        <is>
          <t>31.13</t>
        </is>
      </c>
      <c r="J200" s="9" t="inlineStr">
        <is>
          <t>fp8</t>
        </is>
      </c>
      <c r="K200" s="9" t="inlineStr">
        <is>
          <t>sglang</t>
        </is>
      </c>
      <c r="L200" s="9" t="inlineStr">
        <is>
          <t>16</t>
        </is>
      </c>
      <c r="M200" s="9" t="inlineStr">
        <is>
          <t>1024</t>
        </is>
      </c>
      <c r="N200" s="9" t="inlineStr">
        <is>
          <t>1024</t>
        </is>
      </c>
      <c r="O200" s="9" t="inlineStr">
        <is>
          <t>selected_public_max</t>
        </is>
      </c>
      <c r="P200" s="9" t="inlineStr">
        <is>
          <t>best_available_below_target</t>
        </is>
      </c>
      <c r="Q200" s="9" t="inlineStr">
        <is>
          <t>low_target_gap</t>
        </is>
      </c>
      <c r="R200" s="9" t="inlineStr">
        <is>
          <t>2026-05-18T00:00:00.000Z</t>
        </is>
      </c>
      <c r="S200" s="9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9" t="inlineStr">
        <is>
          <t>qwen3.5</t>
        </is>
      </c>
      <c r="B201" s="9" t="inlineStr">
        <is>
          <t>qwen3.5</t>
        </is>
      </c>
      <c r="C201" s="9" t="inlineStr">
        <is>
          <t>B200</t>
        </is>
      </c>
      <c r="D201" s="9" t="inlineStr">
        <is>
          <t>short</t>
        </is>
      </c>
      <c r="E201" s="9" t="inlineStr">
        <is>
          <t>100</t>
        </is>
      </c>
      <c r="F201" s="9" t="inlineStr">
        <is>
          <t>False</t>
        </is>
      </c>
      <c r="G201" s="10" t="inlineStr">
        <is>
          <t>0.6887000000000001</t>
        </is>
      </c>
      <c r="H201" s="11" t="inlineStr">
        <is>
          <t>229498.0</t>
        </is>
      </c>
      <c r="I201" s="12" t="inlineStr">
        <is>
          <t>31.13</t>
        </is>
      </c>
      <c r="J201" s="9" t="inlineStr">
        <is>
          <t>fp8</t>
        </is>
      </c>
      <c r="K201" s="9" t="inlineStr">
        <is>
          <t>sglang</t>
        </is>
      </c>
      <c r="L201" s="9" t="inlineStr">
        <is>
          <t>16</t>
        </is>
      </c>
      <c r="M201" s="9" t="inlineStr">
        <is>
          <t>1024</t>
        </is>
      </c>
      <c r="N201" s="9" t="inlineStr">
        <is>
          <t>1024</t>
        </is>
      </c>
      <c r="O201" s="9" t="inlineStr">
        <is>
          <t>selected_public_max</t>
        </is>
      </c>
      <c r="P201" s="9" t="inlineStr">
        <is>
          <t>best_available_below_target</t>
        </is>
      </c>
      <c r="Q201" s="9" t="inlineStr">
        <is>
          <t>low_target_gap</t>
        </is>
      </c>
      <c r="R201" s="9" t="inlineStr">
        <is>
          <t>2026-05-18T00:00:00.000Z</t>
        </is>
      </c>
      <c r="S201" s="9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5" t="inlineStr">
        <is>
          <t>qwen3.5</t>
        </is>
      </c>
      <c r="B202" s="5" t="inlineStr">
        <is>
          <t>qwen3.5</t>
        </is>
      </c>
      <c r="C202" s="5" t="inlineStr">
        <is>
          <t>B200</t>
        </is>
      </c>
      <c r="D202" s="5" t="inlineStr">
        <is>
          <t>long</t>
        </is>
      </c>
      <c r="E202" s="5" t="inlineStr">
        <is>
          <t>10</t>
        </is>
      </c>
      <c r="F202" s="5" t="inlineStr">
        <is>
          <t>True</t>
        </is>
      </c>
      <c r="G202" s="6" t="inlineStr">
        <is>
          <t>0.0</t>
        </is>
      </c>
      <c r="H202" s="7" t="inlineStr">
        <is>
          <t>345338.0</t>
        </is>
      </c>
      <c r="I202" s="8" t="inlineStr">
        <is>
          <t>11.71</t>
        </is>
      </c>
      <c r="J202" s="5" t="inlineStr">
        <is>
          <t>fp8</t>
        </is>
      </c>
      <c r="K202" s="5" t="inlineStr">
        <is>
          <t>sglang</t>
        </is>
      </c>
      <c r="L202" s="5" t="inlineStr">
        <is>
          <t>64</t>
        </is>
      </c>
      <c r="M202" s="5" t="inlineStr">
        <is>
          <t>8192</t>
        </is>
      </c>
      <c r="N202" s="5" t="inlineStr">
        <is>
          <t>1024</t>
        </is>
      </c>
      <c r="O202" s="5" t="inlineStr">
        <is>
          <t>selected_public_max</t>
        </is>
      </c>
      <c r="P202" s="5" t="inlineStr">
        <is>
          <t>direct_target_row</t>
        </is>
      </c>
      <c r="Q202" s="5" t="inlineStr">
        <is>
          <t>medium</t>
        </is>
      </c>
      <c r="R202" s="5" t="inlineStr">
        <is>
          <t>2026-05-18T00:00:00.000Z</t>
        </is>
      </c>
      <c r="S202" s="5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5" t="inlineStr">
        <is>
          <t>qwen3.5</t>
        </is>
      </c>
      <c r="B203" s="5" t="inlineStr">
        <is>
          <t>qwen3.5</t>
        </is>
      </c>
      <c r="C203" s="5" t="inlineStr">
        <is>
          <t>B200</t>
        </is>
      </c>
      <c r="D203" s="5" t="inlineStr">
        <is>
          <t>long</t>
        </is>
      </c>
      <c r="E203" s="5" t="inlineStr">
        <is>
          <t>30</t>
        </is>
      </c>
      <c r="F203" s="5" t="inlineStr">
        <is>
          <t>True</t>
        </is>
      </c>
      <c r="G203" s="6" t="inlineStr">
        <is>
          <t>0.0</t>
        </is>
      </c>
      <c r="H203" s="7" t="inlineStr">
        <is>
          <t>132868.0</t>
        </is>
      </c>
      <c r="I203" s="8" t="inlineStr">
        <is>
          <t>36.04</t>
        </is>
      </c>
      <c r="J203" s="5" t="inlineStr">
        <is>
          <t>fp8</t>
        </is>
      </c>
      <c r="K203" s="5" t="inlineStr">
        <is>
          <t>sglang</t>
        </is>
      </c>
      <c r="L203" s="5" t="inlineStr">
        <is>
          <t>8</t>
        </is>
      </c>
      <c r="M203" s="5" t="inlineStr">
        <is>
          <t>8192</t>
        </is>
      </c>
      <c r="N203" s="5" t="inlineStr">
        <is>
          <t>1024</t>
        </is>
      </c>
      <c r="O203" s="5" t="inlineStr">
        <is>
          <t>selected_public_max</t>
        </is>
      </c>
      <c r="P203" s="5" t="inlineStr">
        <is>
          <t>direct_target_row</t>
        </is>
      </c>
      <c r="Q203" s="5" t="inlineStr">
        <is>
          <t>medium</t>
        </is>
      </c>
      <c r="R203" s="5" t="inlineStr">
        <is>
          <t>2026-05-18T00:00:00.000Z</t>
        </is>
      </c>
      <c r="S203" s="5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9" t="inlineStr">
        <is>
          <t>qwen3.5</t>
        </is>
      </c>
      <c r="B204" s="9" t="inlineStr">
        <is>
          <t>qwen3.5</t>
        </is>
      </c>
      <c r="C204" s="9" t="inlineStr">
        <is>
          <t>B200</t>
        </is>
      </c>
      <c r="D204" s="9" t="inlineStr">
        <is>
          <t>long</t>
        </is>
      </c>
      <c r="E204" s="9" t="inlineStr">
        <is>
          <t>50</t>
        </is>
      </c>
      <c r="F204" s="9" t="inlineStr">
        <is>
          <t>False</t>
        </is>
      </c>
      <c r="G204" s="10" t="inlineStr">
        <is>
          <t>0.2792</t>
        </is>
      </c>
      <c r="H204" s="11" t="inlineStr">
        <is>
          <t>132868.0</t>
        </is>
      </c>
      <c r="I204" s="12" t="inlineStr">
        <is>
          <t>36.04</t>
        </is>
      </c>
      <c r="J204" s="9" t="inlineStr">
        <is>
          <t>fp8</t>
        </is>
      </c>
      <c r="K204" s="9" t="inlineStr">
        <is>
          <t>sglang</t>
        </is>
      </c>
      <c r="L204" s="9" t="inlineStr">
        <is>
          <t>8</t>
        </is>
      </c>
      <c r="M204" s="9" t="inlineStr">
        <is>
          <t>8192</t>
        </is>
      </c>
      <c r="N204" s="9" t="inlineStr">
        <is>
          <t>1024</t>
        </is>
      </c>
      <c r="O204" s="9" t="inlineStr">
        <is>
          <t>selected_public_max</t>
        </is>
      </c>
      <c r="P204" s="9" t="inlineStr">
        <is>
          <t>best_available_below_target</t>
        </is>
      </c>
      <c r="Q204" s="9" t="inlineStr">
        <is>
          <t>low_target_gap</t>
        </is>
      </c>
      <c r="R204" s="9" t="inlineStr">
        <is>
          <t>2026-05-18T00:00:00.000Z</t>
        </is>
      </c>
      <c r="S204" s="9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9" t="inlineStr">
        <is>
          <t>qwen3.5</t>
        </is>
      </c>
      <c r="B205" s="9" t="inlineStr">
        <is>
          <t>qwen3.5</t>
        </is>
      </c>
      <c r="C205" s="9" t="inlineStr">
        <is>
          <t>B200</t>
        </is>
      </c>
      <c r="D205" s="9" t="inlineStr">
        <is>
          <t>long</t>
        </is>
      </c>
      <c r="E205" s="9" t="inlineStr">
        <is>
          <t>70</t>
        </is>
      </c>
      <c r="F205" s="9" t="inlineStr">
        <is>
          <t>False</t>
        </is>
      </c>
      <c r="G205" s="10" t="inlineStr">
        <is>
          <t>0.48514285714285715</t>
        </is>
      </c>
      <c r="H205" s="11" t="inlineStr">
        <is>
          <t>132868.0</t>
        </is>
      </c>
      <c r="I205" s="12" t="inlineStr">
        <is>
          <t>36.04</t>
        </is>
      </c>
      <c r="J205" s="9" t="inlineStr">
        <is>
          <t>fp8</t>
        </is>
      </c>
      <c r="K205" s="9" t="inlineStr">
        <is>
          <t>sglang</t>
        </is>
      </c>
      <c r="L205" s="9" t="inlineStr">
        <is>
          <t>8</t>
        </is>
      </c>
      <c r="M205" s="9" t="inlineStr">
        <is>
          <t>8192</t>
        </is>
      </c>
      <c r="N205" s="9" t="inlineStr">
        <is>
          <t>1024</t>
        </is>
      </c>
      <c r="O205" s="9" t="inlineStr">
        <is>
          <t>selected_public_max</t>
        </is>
      </c>
      <c r="P205" s="9" t="inlineStr">
        <is>
          <t>best_available_below_target</t>
        </is>
      </c>
      <c r="Q205" s="9" t="inlineStr">
        <is>
          <t>low_target_gap</t>
        </is>
      </c>
      <c r="R205" s="9" t="inlineStr">
        <is>
          <t>2026-05-18T00:00:00.000Z</t>
        </is>
      </c>
      <c r="S205" s="9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9" t="inlineStr">
        <is>
          <t>qwen3.5</t>
        </is>
      </c>
      <c r="B206" s="9" t="inlineStr">
        <is>
          <t>qwen3.5</t>
        </is>
      </c>
      <c r="C206" s="9" t="inlineStr">
        <is>
          <t>B200</t>
        </is>
      </c>
      <c r="D206" s="9" t="inlineStr">
        <is>
          <t>long</t>
        </is>
      </c>
      <c r="E206" s="9" t="inlineStr">
        <is>
          <t>100</t>
        </is>
      </c>
      <c r="F206" s="9" t="inlineStr">
        <is>
          <t>False</t>
        </is>
      </c>
      <c r="G206" s="10" t="inlineStr">
        <is>
          <t>0.6396000000000001</t>
        </is>
      </c>
      <c r="H206" s="11" t="inlineStr">
        <is>
          <t>132868.0</t>
        </is>
      </c>
      <c r="I206" s="12" t="inlineStr">
        <is>
          <t>36.04</t>
        </is>
      </c>
      <c r="J206" s="9" t="inlineStr">
        <is>
          <t>fp8</t>
        </is>
      </c>
      <c r="K206" s="9" t="inlineStr">
        <is>
          <t>sglang</t>
        </is>
      </c>
      <c r="L206" s="9" t="inlineStr">
        <is>
          <t>8</t>
        </is>
      </c>
      <c r="M206" s="9" t="inlineStr">
        <is>
          <t>8192</t>
        </is>
      </c>
      <c r="N206" s="9" t="inlineStr">
        <is>
          <t>1024</t>
        </is>
      </c>
      <c r="O206" s="9" t="inlineStr">
        <is>
          <t>selected_public_max</t>
        </is>
      </c>
      <c r="P206" s="9" t="inlineStr">
        <is>
          <t>best_available_below_target</t>
        </is>
      </c>
      <c r="Q206" s="9" t="inlineStr">
        <is>
          <t>low_target_gap</t>
        </is>
      </c>
      <c r="R206" s="9" t="inlineStr">
        <is>
          <t>2026-05-18T00:00:00.000Z</t>
        </is>
      </c>
      <c r="S206" s="9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13" t="inlineStr">
        <is>
          <t>qwen3.5</t>
        </is>
      </c>
      <c r="B207" s="13" t="inlineStr">
        <is>
          <t>qwen3.5</t>
        </is>
      </c>
      <c r="C207" s="13" t="inlineStr">
        <is>
          <t>B200</t>
        </is>
      </c>
      <c r="D207" s="13" t="inlineStr">
        <is>
          <t>agentic</t>
        </is>
      </c>
      <c r="E207" s="13" t="inlineStr">
        <is>
          <t>10</t>
        </is>
      </c>
      <c r="F207" s="13" t="inlineStr">
        <is>
          <t>False</t>
        </is>
      </c>
      <c r="G207" s="14" t="inlineStr">
        <is>
          <t>0.6082608695652174</t>
        </is>
      </c>
      <c r="H207" s="15" t="inlineStr">
        <is>
          <t>14442.17391304348</t>
        </is>
      </c>
      <c r="I207" s="16" t="inlineStr">
        <is>
          <t>3.9173913043478263</t>
        </is>
      </c>
      <c r="J207" s="13" t="inlineStr">
        <is>
          <t>fp8</t>
        </is>
      </c>
      <c r="K207" s="13" t="inlineStr">
        <is>
          <t>sglang</t>
        </is>
      </c>
      <c r="L207" s="13" t="inlineStr">
        <is>
          <t>8</t>
        </is>
      </c>
      <c r="M207" s="13" t="inlineStr">
        <is>
          <t>8192</t>
        </is>
      </c>
      <c r="N207" s="13" t="inlineStr">
        <is>
          <t>1024</t>
        </is>
      </c>
      <c r="O207" s="13" t="inlineStr">
        <is>
          <t>agentic_from_long_chat</t>
        </is>
      </c>
      <c r="P207" s="13" t="inlineStr">
        <is>
          <t>dynamic_reasoning_proxy</t>
        </is>
      </c>
      <c r="Q207" s="13" t="inlineStr">
        <is>
          <t>low_target_gap</t>
        </is>
      </c>
      <c r="R207" s="13" t="inlineStr">
        <is>
          <t>2026-05-18T00:00:00.000Z</t>
        </is>
      </c>
      <c r="S207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08">
      <c r="A208" s="13" t="inlineStr">
        <is>
          <t>qwen3.5</t>
        </is>
      </c>
      <c r="B208" s="13" t="inlineStr">
        <is>
          <t>qwen3.5</t>
        </is>
      </c>
      <c r="C208" s="13" t="inlineStr">
        <is>
          <t>B200</t>
        </is>
      </c>
      <c r="D208" s="13" t="inlineStr">
        <is>
          <t>agentic</t>
        </is>
      </c>
      <c r="E208" s="13" t="inlineStr">
        <is>
          <t>30</t>
        </is>
      </c>
      <c r="F208" s="13" t="inlineStr">
        <is>
          <t>False</t>
        </is>
      </c>
      <c r="G208" s="14" t="inlineStr">
        <is>
          <t>0.8694202898550725</t>
        </is>
      </c>
      <c r="H208" s="15" t="inlineStr">
        <is>
          <t>14442.17391304348</t>
        </is>
      </c>
      <c r="I208" s="16" t="inlineStr">
        <is>
          <t>3.9173913043478263</t>
        </is>
      </c>
      <c r="J208" s="13" t="inlineStr">
        <is>
          <t>fp8</t>
        </is>
      </c>
      <c r="K208" s="13" t="inlineStr">
        <is>
          <t>sglang</t>
        </is>
      </c>
      <c r="L208" s="13" t="inlineStr">
        <is>
          <t>8</t>
        </is>
      </c>
      <c r="M208" s="13" t="inlineStr">
        <is>
          <t>8192</t>
        </is>
      </c>
      <c r="N208" s="13" t="inlineStr">
        <is>
          <t>1024</t>
        </is>
      </c>
      <c r="O208" s="13" t="inlineStr">
        <is>
          <t>agentic_from_long_chat</t>
        </is>
      </c>
      <c r="P208" s="13" t="inlineStr">
        <is>
          <t>dynamic_reasoning_proxy</t>
        </is>
      </c>
      <c r="Q208" s="13" t="inlineStr">
        <is>
          <t>low_target_gap</t>
        </is>
      </c>
      <c r="R208" s="13" t="inlineStr">
        <is>
          <t>2026-05-18T00:00:00.000Z</t>
        </is>
      </c>
      <c r="S208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09">
      <c r="A209" s="13" t="inlineStr">
        <is>
          <t>qwen3.5</t>
        </is>
      </c>
      <c r="B209" s="13" t="inlineStr">
        <is>
          <t>qwen3.5</t>
        </is>
      </c>
      <c r="C209" s="13" t="inlineStr">
        <is>
          <t>B200</t>
        </is>
      </c>
      <c r="D209" s="13" t="inlineStr">
        <is>
          <t>agentic</t>
        </is>
      </c>
      <c r="E209" s="13" t="inlineStr">
        <is>
          <t>50</t>
        </is>
      </c>
      <c r="F209" s="13" t="inlineStr">
        <is>
          <t>False</t>
        </is>
      </c>
      <c r="G209" s="14" t="inlineStr">
        <is>
          <t>0.9216521739130435</t>
        </is>
      </c>
      <c r="H209" s="15" t="inlineStr">
        <is>
          <t>14442.17391304348</t>
        </is>
      </c>
      <c r="I209" s="16" t="inlineStr">
        <is>
          <t>3.9173913043478263</t>
        </is>
      </c>
      <c r="J209" s="13" t="inlineStr">
        <is>
          <t>fp8</t>
        </is>
      </c>
      <c r="K209" s="13" t="inlineStr">
        <is>
          <t>sglang</t>
        </is>
      </c>
      <c r="L209" s="13" t="inlineStr">
        <is>
          <t>8</t>
        </is>
      </c>
      <c r="M209" s="13" t="inlineStr">
        <is>
          <t>8192</t>
        </is>
      </c>
      <c r="N209" s="13" t="inlineStr">
        <is>
          <t>1024</t>
        </is>
      </c>
      <c r="O209" s="13" t="inlineStr">
        <is>
          <t>agentic_from_long_chat</t>
        </is>
      </c>
      <c r="P209" s="13" t="inlineStr">
        <is>
          <t>dynamic_reasoning_proxy</t>
        </is>
      </c>
      <c r="Q209" s="13" t="inlineStr">
        <is>
          <t>low_target_gap</t>
        </is>
      </c>
      <c r="R209" s="13" t="inlineStr">
        <is>
          <t>2026-05-18T00:00:00.000Z</t>
        </is>
      </c>
      <c r="S209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0">
      <c r="A210" s="13" t="inlineStr">
        <is>
          <t>qwen3.5</t>
        </is>
      </c>
      <c r="B210" s="13" t="inlineStr">
        <is>
          <t>qwen3.5</t>
        </is>
      </c>
      <c r="C210" s="13" t="inlineStr">
        <is>
          <t>B200</t>
        </is>
      </c>
      <c r="D210" s="13" t="inlineStr">
        <is>
          <t>agentic</t>
        </is>
      </c>
      <c r="E210" s="13" t="inlineStr">
        <is>
          <t>70</t>
        </is>
      </c>
      <c r="F210" s="13" t="inlineStr">
        <is>
          <t>False</t>
        </is>
      </c>
      <c r="G210" s="14" t="inlineStr">
        <is>
          <t>0.9440372670807453</t>
        </is>
      </c>
      <c r="H210" s="15" t="inlineStr">
        <is>
          <t>14442.17391304348</t>
        </is>
      </c>
      <c r="I210" s="16" t="inlineStr">
        <is>
          <t>3.9173913043478263</t>
        </is>
      </c>
      <c r="J210" s="13" t="inlineStr">
        <is>
          <t>fp8</t>
        </is>
      </c>
      <c r="K210" s="13" t="inlineStr">
        <is>
          <t>sglang</t>
        </is>
      </c>
      <c r="L210" s="13" t="inlineStr">
        <is>
          <t>8</t>
        </is>
      </c>
      <c r="M210" s="13" t="inlineStr">
        <is>
          <t>8192</t>
        </is>
      </c>
      <c r="N210" s="13" t="inlineStr">
        <is>
          <t>1024</t>
        </is>
      </c>
      <c r="O210" s="13" t="inlineStr">
        <is>
          <t>agentic_from_long_chat</t>
        </is>
      </c>
      <c r="P210" s="13" t="inlineStr">
        <is>
          <t>dynamic_reasoning_proxy</t>
        </is>
      </c>
      <c r="Q210" s="13" t="inlineStr">
        <is>
          <t>low_target_gap</t>
        </is>
      </c>
      <c r="R210" s="13" t="inlineStr">
        <is>
          <t>2026-05-18T00:00:00.000Z</t>
        </is>
      </c>
      <c r="S210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1">
      <c r="A211" s="13" t="inlineStr">
        <is>
          <t>qwen3.5</t>
        </is>
      </c>
      <c r="B211" s="13" t="inlineStr">
        <is>
          <t>qwen3.5</t>
        </is>
      </c>
      <c r="C211" s="13" t="inlineStr">
        <is>
          <t>B200</t>
        </is>
      </c>
      <c r="D211" s="13" t="inlineStr">
        <is>
          <t>agentic</t>
        </is>
      </c>
      <c r="E211" s="13" t="inlineStr">
        <is>
          <t>100</t>
        </is>
      </c>
      <c r="F211" s="13" t="inlineStr">
        <is>
          <t>False</t>
        </is>
      </c>
      <c r="G211" s="14" t="inlineStr">
        <is>
          <t>0.9608260869565217</t>
        </is>
      </c>
      <c r="H211" s="15" t="inlineStr">
        <is>
          <t>14442.17391304348</t>
        </is>
      </c>
      <c r="I211" s="16" t="inlineStr">
        <is>
          <t>3.9173913043478263</t>
        </is>
      </c>
      <c r="J211" s="13" t="inlineStr">
        <is>
          <t>fp8</t>
        </is>
      </c>
      <c r="K211" s="13" t="inlineStr">
        <is>
          <t>sglang</t>
        </is>
      </c>
      <c r="L211" s="13" t="inlineStr">
        <is>
          <t>8</t>
        </is>
      </c>
      <c r="M211" s="13" t="inlineStr">
        <is>
          <t>8192</t>
        </is>
      </c>
      <c r="N211" s="13" t="inlineStr">
        <is>
          <t>1024</t>
        </is>
      </c>
      <c r="O211" s="13" t="inlineStr">
        <is>
          <t>agentic_from_long_chat</t>
        </is>
      </c>
      <c r="P211" s="13" t="inlineStr">
        <is>
          <t>dynamic_reasoning_proxy</t>
        </is>
      </c>
      <c r="Q211" s="13" t="inlineStr">
        <is>
          <t>low_target_gap</t>
        </is>
      </c>
      <c r="R211" s="13" t="inlineStr">
        <is>
          <t>2026-05-18T00:00:00.000Z</t>
        </is>
      </c>
      <c r="S211" s="13" t="inlineStr">
        <is>
          <t>Agentic throughput = long-chat output TPS/MW divided by 9.2x LLM call multiplier from dynamic reasoning / AgentBench analysis. Long-chat source selection: selected_public_max; agentic_best_available_below_target.</t>
        </is>
      </c>
    </row>
    <row r="212">
      <c r="A212" s="9" t="inlineStr">
        <is>
          <t>qwen3.5</t>
        </is>
      </c>
      <c r="B212" s="9" t="inlineStr"/>
      <c r="C212" s="9" t="inlineStr">
        <is>
          <t>GB200</t>
        </is>
      </c>
      <c r="D212" s="9" t="inlineStr">
        <is>
          <t>short</t>
        </is>
      </c>
      <c r="E212" s="9" t="inlineStr">
        <is>
          <t>10</t>
        </is>
      </c>
      <c r="F212" s="9" t="inlineStr">
        <is>
          <t>False</t>
        </is>
      </c>
      <c r="G212" s="10" t="inlineStr"/>
      <c r="H212" s="11" t="inlineStr"/>
      <c r="I212" s="12" t="inlineStr"/>
      <c r="J212" s="9" t="inlineStr"/>
      <c r="K212" s="9" t="inlineStr"/>
      <c r="L212" s="9" t="inlineStr"/>
      <c r="M212" s="9" t="inlineStr"/>
      <c r="N212" s="9" t="inlineStr"/>
      <c r="O212" s="9" t="inlineStr">
        <is>
          <t>missing</t>
        </is>
      </c>
      <c r="P212" s="9" t="inlineStr">
        <is>
          <t>no_benchmark_row</t>
        </is>
      </c>
      <c r="Q212" s="9" t="inlineStr">
        <is>
          <t>missing</t>
        </is>
      </c>
      <c r="R212" s="9" t="inlineStr"/>
      <c r="S212" s="9" t="inlineStr">
        <is>
          <t>No model/GPU/workload benchmark row was available.</t>
        </is>
      </c>
    </row>
    <row r="213">
      <c r="A213" s="9" t="inlineStr">
        <is>
          <t>qwen3.5</t>
        </is>
      </c>
      <c r="B213" s="9" t="inlineStr"/>
      <c r="C213" s="9" t="inlineStr">
        <is>
          <t>GB200</t>
        </is>
      </c>
      <c r="D213" s="9" t="inlineStr">
        <is>
          <t>short</t>
        </is>
      </c>
      <c r="E213" s="9" t="inlineStr">
        <is>
          <t>30</t>
        </is>
      </c>
      <c r="F213" s="9" t="inlineStr">
        <is>
          <t>False</t>
        </is>
      </c>
      <c r="G213" s="10" t="inlineStr"/>
      <c r="H213" s="11" t="inlineStr"/>
      <c r="I213" s="12" t="inlineStr"/>
      <c r="J213" s="9" t="inlineStr"/>
      <c r="K213" s="9" t="inlineStr"/>
      <c r="L213" s="9" t="inlineStr"/>
      <c r="M213" s="9" t="inlineStr"/>
      <c r="N213" s="9" t="inlineStr"/>
      <c r="O213" s="9" t="inlineStr">
        <is>
          <t>missing</t>
        </is>
      </c>
      <c r="P213" s="9" t="inlineStr">
        <is>
          <t>no_benchmark_row</t>
        </is>
      </c>
      <c r="Q213" s="9" t="inlineStr">
        <is>
          <t>missing</t>
        </is>
      </c>
      <c r="R213" s="9" t="inlineStr"/>
      <c r="S213" s="9" t="inlineStr">
        <is>
          <t>No model/GPU/workload benchmark row was available.</t>
        </is>
      </c>
    </row>
    <row r="214">
      <c r="A214" s="9" t="inlineStr">
        <is>
          <t>qwen3.5</t>
        </is>
      </c>
      <c r="B214" s="9" t="inlineStr"/>
      <c r="C214" s="9" t="inlineStr">
        <is>
          <t>GB200</t>
        </is>
      </c>
      <c r="D214" s="9" t="inlineStr">
        <is>
          <t>short</t>
        </is>
      </c>
      <c r="E214" s="9" t="inlineStr">
        <is>
          <t>50</t>
        </is>
      </c>
      <c r="F214" s="9" t="inlineStr">
        <is>
          <t>False</t>
        </is>
      </c>
      <c r="G214" s="10" t="inlineStr"/>
      <c r="H214" s="11" t="inlineStr"/>
      <c r="I214" s="12" t="inlineStr"/>
      <c r="J214" s="9" t="inlineStr"/>
      <c r="K214" s="9" t="inlineStr"/>
      <c r="L214" s="9" t="inlineStr"/>
      <c r="M214" s="9" t="inlineStr"/>
      <c r="N214" s="9" t="inlineStr"/>
      <c r="O214" s="9" t="inlineStr">
        <is>
          <t>missing</t>
        </is>
      </c>
      <c r="P214" s="9" t="inlineStr">
        <is>
          <t>no_benchmark_row</t>
        </is>
      </c>
      <c r="Q214" s="9" t="inlineStr">
        <is>
          <t>missing</t>
        </is>
      </c>
      <c r="R214" s="9" t="inlineStr"/>
      <c r="S214" s="9" t="inlineStr">
        <is>
          <t>No model/GPU/workload benchmark row was available.</t>
        </is>
      </c>
    </row>
    <row r="215">
      <c r="A215" s="9" t="inlineStr">
        <is>
          <t>qwen3.5</t>
        </is>
      </c>
      <c r="B215" s="9" t="inlineStr"/>
      <c r="C215" s="9" t="inlineStr">
        <is>
          <t>GB200</t>
        </is>
      </c>
      <c r="D215" s="9" t="inlineStr">
        <is>
          <t>short</t>
        </is>
      </c>
      <c r="E215" s="9" t="inlineStr">
        <is>
          <t>70</t>
        </is>
      </c>
      <c r="F215" s="9" t="inlineStr">
        <is>
          <t>False</t>
        </is>
      </c>
      <c r="G215" s="10" t="inlineStr"/>
      <c r="H215" s="11" t="inlineStr"/>
      <c r="I215" s="12" t="inlineStr"/>
      <c r="J215" s="9" t="inlineStr"/>
      <c r="K215" s="9" t="inlineStr"/>
      <c r="L215" s="9" t="inlineStr"/>
      <c r="M215" s="9" t="inlineStr"/>
      <c r="N215" s="9" t="inlineStr"/>
      <c r="O215" s="9" t="inlineStr">
        <is>
          <t>missing</t>
        </is>
      </c>
      <c r="P215" s="9" t="inlineStr">
        <is>
          <t>no_benchmark_row</t>
        </is>
      </c>
      <c r="Q215" s="9" t="inlineStr">
        <is>
          <t>missing</t>
        </is>
      </c>
      <c r="R215" s="9" t="inlineStr"/>
      <c r="S215" s="9" t="inlineStr">
        <is>
          <t>No model/GPU/workload benchmark row was available.</t>
        </is>
      </c>
    </row>
    <row r="216">
      <c r="A216" s="9" t="inlineStr">
        <is>
          <t>qwen3.5</t>
        </is>
      </c>
      <c r="B216" s="9" t="inlineStr"/>
      <c r="C216" s="9" t="inlineStr">
        <is>
          <t>GB200</t>
        </is>
      </c>
      <c r="D216" s="9" t="inlineStr">
        <is>
          <t>short</t>
        </is>
      </c>
      <c r="E216" s="9" t="inlineStr">
        <is>
          <t>100</t>
        </is>
      </c>
      <c r="F216" s="9" t="inlineStr">
        <is>
          <t>False</t>
        </is>
      </c>
      <c r="G216" s="10" t="inlineStr"/>
      <c r="H216" s="11" t="inlineStr"/>
      <c r="I216" s="12" t="inlineStr"/>
      <c r="J216" s="9" t="inlineStr"/>
      <c r="K216" s="9" t="inlineStr"/>
      <c r="L216" s="9" t="inlineStr"/>
      <c r="M216" s="9" t="inlineStr"/>
      <c r="N216" s="9" t="inlineStr"/>
      <c r="O216" s="9" t="inlineStr">
        <is>
          <t>missing</t>
        </is>
      </c>
      <c r="P216" s="9" t="inlineStr">
        <is>
          <t>no_benchmark_row</t>
        </is>
      </c>
      <c r="Q216" s="9" t="inlineStr">
        <is>
          <t>missing</t>
        </is>
      </c>
      <c r="R216" s="9" t="inlineStr"/>
      <c r="S216" s="9" t="inlineStr">
        <is>
          <t>No model/GPU/workload benchmark row was available.</t>
        </is>
      </c>
    </row>
    <row r="217">
      <c r="A217" s="9" t="inlineStr">
        <is>
          <t>qwen3.5</t>
        </is>
      </c>
      <c r="B217" s="9" t="inlineStr"/>
      <c r="C217" s="9" t="inlineStr">
        <is>
          <t>GB200</t>
        </is>
      </c>
      <c r="D217" s="9" t="inlineStr">
        <is>
          <t>long</t>
        </is>
      </c>
      <c r="E217" s="9" t="inlineStr">
        <is>
          <t>10</t>
        </is>
      </c>
      <c r="F217" s="9" t="inlineStr">
        <is>
          <t>False</t>
        </is>
      </c>
      <c r="G217" s="10" t="inlineStr"/>
      <c r="H217" s="11" t="inlineStr"/>
      <c r="I217" s="12" t="inlineStr"/>
      <c r="J217" s="9" t="inlineStr"/>
      <c r="K217" s="9" t="inlineStr"/>
      <c r="L217" s="9" t="inlineStr"/>
      <c r="M217" s="9" t="inlineStr"/>
      <c r="N217" s="9" t="inlineStr"/>
      <c r="O217" s="9" t="inlineStr">
        <is>
          <t>missing</t>
        </is>
      </c>
      <c r="P217" s="9" t="inlineStr">
        <is>
          <t>no_benchmark_row</t>
        </is>
      </c>
      <c r="Q217" s="9" t="inlineStr">
        <is>
          <t>missing</t>
        </is>
      </c>
      <c r="R217" s="9" t="inlineStr"/>
      <c r="S217" s="9" t="inlineStr">
        <is>
          <t>No model/GPU/workload benchmark row was available.</t>
        </is>
      </c>
    </row>
    <row r="218">
      <c r="A218" s="9" t="inlineStr">
        <is>
          <t>qwen3.5</t>
        </is>
      </c>
      <c r="B218" s="9" t="inlineStr"/>
      <c r="C218" s="9" t="inlineStr">
        <is>
          <t>GB200</t>
        </is>
      </c>
      <c r="D218" s="9" t="inlineStr">
        <is>
          <t>long</t>
        </is>
      </c>
      <c r="E218" s="9" t="inlineStr">
        <is>
          <t>30</t>
        </is>
      </c>
      <c r="F218" s="9" t="inlineStr">
        <is>
          <t>False</t>
        </is>
      </c>
      <c r="G218" s="10" t="inlineStr"/>
      <c r="H218" s="11" t="inlineStr"/>
      <c r="I218" s="12" t="inlineStr"/>
      <c r="J218" s="9" t="inlineStr"/>
      <c r="K218" s="9" t="inlineStr"/>
      <c r="L218" s="9" t="inlineStr"/>
      <c r="M218" s="9" t="inlineStr"/>
      <c r="N218" s="9" t="inlineStr"/>
      <c r="O218" s="9" t="inlineStr">
        <is>
          <t>missing</t>
        </is>
      </c>
      <c r="P218" s="9" t="inlineStr">
        <is>
          <t>no_benchmark_row</t>
        </is>
      </c>
      <c r="Q218" s="9" t="inlineStr">
        <is>
          <t>missing</t>
        </is>
      </c>
      <c r="R218" s="9" t="inlineStr"/>
      <c r="S218" s="9" t="inlineStr">
        <is>
          <t>No model/GPU/workload benchmark row was available.</t>
        </is>
      </c>
    </row>
    <row r="219">
      <c r="A219" s="9" t="inlineStr">
        <is>
          <t>qwen3.5</t>
        </is>
      </c>
      <c r="B219" s="9" t="inlineStr"/>
      <c r="C219" s="9" t="inlineStr">
        <is>
          <t>GB200</t>
        </is>
      </c>
      <c r="D219" s="9" t="inlineStr">
        <is>
          <t>long</t>
        </is>
      </c>
      <c r="E219" s="9" t="inlineStr">
        <is>
          <t>50</t>
        </is>
      </c>
      <c r="F219" s="9" t="inlineStr">
        <is>
          <t>False</t>
        </is>
      </c>
      <c r="G219" s="10" t="inlineStr"/>
      <c r="H219" s="11" t="inlineStr"/>
      <c r="I219" s="12" t="inlineStr"/>
      <c r="J219" s="9" t="inlineStr"/>
      <c r="K219" s="9" t="inlineStr"/>
      <c r="L219" s="9" t="inlineStr"/>
      <c r="M219" s="9" t="inlineStr"/>
      <c r="N219" s="9" t="inlineStr"/>
      <c r="O219" s="9" t="inlineStr">
        <is>
          <t>missing</t>
        </is>
      </c>
      <c r="P219" s="9" t="inlineStr">
        <is>
          <t>no_benchmark_row</t>
        </is>
      </c>
      <c r="Q219" s="9" t="inlineStr">
        <is>
          <t>missing</t>
        </is>
      </c>
      <c r="R219" s="9" t="inlineStr"/>
      <c r="S219" s="9" t="inlineStr">
        <is>
          <t>No model/GPU/workload benchmark row was available.</t>
        </is>
      </c>
    </row>
    <row r="220">
      <c r="A220" s="9" t="inlineStr">
        <is>
          <t>qwen3.5</t>
        </is>
      </c>
      <c r="B220" s="9" t="inlineStr"/>
      <c r="C220" s="9" t="inlineStr">
        <is>
          <t>GB200</t>
        </is>
      </c>
      <c r="D220" s="9" t="inlineStr">
        <is>
          <t>long</t>
        </is>
      </c>
      <c r="E220" s="9" t="inlineStr">
        <is>
          <t>70</t>
        </is>
      </c>
      <c r="F220" s="9" t="inlineStr">
        <is>
          <t>False</t>
        </is>
      </c>
      <c r="G220" s="10" t="inlineStr"/>
      <c r="H220" s="11" t="inlineStr"/>
      <c r="I220" s="12" t="inlineStr"/>
      <c r="J220" s="9" t="inlineStr"/>
      <c r="K220" s="9" t="inlineStr"/>
      <c r="L220" s="9" t="inlineStr"/>
      <c r="M220" s="9" t="inlineStr"/>
      <c r="N220" s="9" t="inlineStr"/>
      <c r="O220" s="9" t="inlineStr">
        <is>
          <t>missing</t>
        </is>
      </c>
      <c r="P220" s="9" t="inlineStr">
        <is>
          <t>no_benchmark_row</t>
        </is>
      </c>
      <c r="Q220" s="9" t="inlineStr">
        <is>
          <t>missing</t>
        </is>
      </c>
      <c r="R220" s="9" t="inlineStr"/>
      <c r="S220" s="9" t="inlineStr">
        <is>
          <t>No model/GPU/workload benchmark row was available.</t>
        </is>
      </c>
    </row>
    <row r="221">
      <c r="A221" s="9" t="inlineStr">
        <is>
          <t>qwen3.5</t>
        </is>
      </c>
      <c r="B221" s="9" t="inlineStr"/>
      <c r="C221" s="9" t="inlineStr">
        <is>
          <t>GB200</t>
        </is>
      </c>
      <c r="D221" s="9" t="inlineStr">
        <is>
          <t>long</t>
        </is>
      </c>
      <c r="E221" s="9" t="inlineStr">
        <is>
          <t>100</t>
        </is>
      </c>
      <c r="F221" s="9" t="inlineStr">
        <is>
          <t>False</t>
        </is>
      </c>
      <c r="G221" s="10" t="inlineStr"/>
      <c r="H221" s="11" t="inlineStr"/>
      <c r="I221" s="12" t="inlineStr"/>
      <c r="J221" s="9" t="inlineStr"/>
      <c r="K221" s="9" t="inlineStr"/>
      <c r="L221" s="9" t="inlineStr"/>
      <c r="M221" s="9" t="inlineStr"/>
      <c r="N221" s="9" t="inlineStr"/>
      <c r="O221" s="9" t="inlineStr">
        <is>
          <t>missing</t>
        </is>
      </c>
      <c r="P221" s="9" t="inlineStr">
        <is>
          <t>no_benchmark_row</t>
        </is>
      </c>
      <c r="Q221" s="9" t="inlineStr">
        <is>
          <t>missing</t>
        </is>
      </c>
      <c r="R221" s="9" t="inlineStr"/>
      <c r="S221" s="9" t="inlineStr">
        <is>
          <t>No model/GPU/workload benchmark row was available.</t>
        </is>
      </c>
    </row>
    <row r="222">
      <c r="A222" s="9" t="inlineStr">
        <is>
          <t>qwen3.5</t>
        </is>
      </c>
      <c r="B222" s="9" t="inlineStr"/>
      <c r="C222" s="9" t="inlineStr">
        <is>
          <t>GB200</t>
        </is>
      </c>
      <c r="D222" s="9" t="inlineStr">
        <is>
          <t>agentic</t>
        </is>
      </c>
      <c r="E222" s="9" t="inlineStr">
        <is>
          <t>10</t>
        </is>
      </c>
      <c r="F222" s="9" t="inlineStr">
        <is>
          <t>False</t>
        </is>
      </c>
      <c r="G222" s="10" t="inlineStr"/>
      <c r="H222" s="11" t="inlineStr"/>
      <c r="I222" s="12" t="inlineStr"/>
      <c r="J222" s="9" t="inlineStr"/>
      <c r="K222" s="9" t="inlineStr"/>
      <c r="L222" s="9" t="inlineStr"/>
      <c r="M222" s="9" t="inlineStr"/>
      <c r="N222" s="9" t="inlineStr"/>
      <c r="O222" s="9" t="inlineStr">
        <is>
          <t>missing</t>
        </is>
      </c>
      <c r="P222" s="9" t="inlineStr">
        <is>
          <t>no_long_chat_proxy_row</t>
        </is>
      </c>
      <c r="Q222" s="9" t="inlineStr">
        <is>
          <t>missing</t>
        </is>
      </c>
      <c r="R222" s="9" t="inlineStr"/>
      <c r="S222" s="9" t="inlineStr">
        <is>
          <t>Agentic proxy could not be derived because no long-chat benchmark row was available.</t>
        </is>
      </c>
    </row>
    <row r="223">
      <c r="A223" s="9" t="inlineStr">
        <is>
          <t>qwen3.5</t>
        </is>
      </c>
      <c r="B223" s="9" t="inlineStr"/>
      <c r="C223" s="9" t="inlineStr">
        <is>
          <t>GB200</t>
        </is>
      </c>
      <c r="D223" s="9" t="inlineStr">
        <is>
          <t>agentic</t>
        </is>
      </c>
      <c r="E223" s="9" t="inlineStr">
        <is>
          <t>30</t>
        </is>
      </c>
      <c r="F223" s="9" t="inlineStr">
        <is>
          <t>False</t>
        </is>
      </c>
      <c r="G223" s="10" t="inlineStr"/>
      <c r="H223" s="11" t="inlineStr"/>
      <c r="I223" s="12" t="inlineStr"/>
      <c r="J223" s="9" t="inlineStr"/>
      <c r="K223" s="9" t="inlineStr"/>
      <c r="L223" s="9" t="inlineStr"/>
      <c r="M223" s="9" t="inlineStr"/>
      <c r="N223" s="9" t="inlineStr"/>
      <c r="O223" s="9" t="inlineStr">
        <is>
          <t>missing</t>
        </is>
      </c>
      <c r="P223" s="9" t="inlineStr">
        <is>
          <t>no_long_chat_proxy_row</t>
        </is>
      </c>
      <c r="Q223" s="9" t="inlineStr">
        <is>
          <t>missing</t>
        </is>
      </c>
      <c r="R223" s="9" t="inlineStr"/>
      <c r="S223" s="9" t="inlineStr">
        <is>
          <t>Agentic proxy could not be derived because no long-chat benchmark row was available.</t>
        </is>
      </c>
    </row>
    <row r="224">
      <c r="A224" s="9" t="inlineStr">
        <is>
          <t>qwen3.5</t>
        </is>
      </c>
      <c r="B224" s="9" t="inlineStr"/>
      <c r="C224" s="9" t="inlineStr">
        <is>
          <t>GB200</t>
        </is>
      </c>
      <c r="D224" s="9" t="inlineStr">
        <is>
          <t>agentic</t>
        </is>
      </c>
      <c r="E224" s="9" t="inlineStr">
        <is>
          <t>50</t>
        </is>
      </c>
      <c r="F224" s="9" t="inlineStr">
        <is>
          <t>False</t>
        </is>
      </c>
      <c r="G224" s="10" t="inlineStr"/>
      <c r="H224" s="11" t="inlineStr"/>
      <c r="I224" s="12" t="inlineStr"/>
      <c r="J224" s="9" t="inlineStr"/>
      <c r="K224" s="9" t="inlineStr"/>
      <c r="L224" s="9" t="inlineStr"/>
      <c r="M224" s="9" t="inlineStr"/>
      <c r="N224" s="9" t="inlineStr"/>
      <c r="O224" s="9" t="inlineStr">
        <is>
          <t>missing</t>
        </is>
      </c>
      <c r="P224" s="9" t="inlineStr">
        <is>
          <t>no_long_chat_proxy_row</t>
        </is>
      </c>
      <c r="Q224" s="9" t="inlineStr">
        <is>
          <t>missing</t>
        </is>
      </c>
      <c r="R224" s="9" t="inlineStr"/>
      <c r="S224" s="9" t="inlineStr">
        <is>
          <t>Agentic proxy could not be derived because no long-chat benchmark row was available.</t>
        </is>
      </c>
    </row>
    <row r="225">
      <c r="A225" s="9" t="inlineStr">
        <is>
          <t>qwen3.5</t>
        </is>
      </c>
      <c r="B225" s="9" t="inlineStr"/>
      <c r="C225" s="9" t="inlineStr">
        <is>
          <t>GB200</t>
        </is>
      </c>
      <c r="D225" s="9" t="inlineStr">
        <is>
          <t>agentic</t>
        </is>
      </c>
      <c r="E225" s="9" t="inlineStr">
        <is>
          <t>70</t>
        </is>
      </c>
      <c r="F225" s="9" t="inlineStr">
        <is>
          <t>False</t>
        </is>
      </c>
      <c r="G225" s="10" t="inlineStr"/>
      <c r="H225" s="11" t="inlineStr"/>
      <c r="I225" s="12" t="inlineStr"/>
      <c r="J225" s="9" t="inlineStr"/>
      <c r="K225" s="9" t="inlineStr"/>
      <c r="L225" s="9" t="inlineStr"/>
      <c r="M225" s="9" t="inlineStr"/>
      <c r="N225" s="9" t="inlineStr"/>
      <c r="O225" s="9" t="inlineStr">
        <is>
          <t>missing</t>
        </is>
      </c>
      <c r="P225" s="9" t="inlineStr">
        <is>
          <t>no_long_chat_proxy_row</t>
        </is>
      </c>
      <c r="Q225" s="9" t="inlineStr">
        <is>
          <t>missing</t>
        </is>
      </c>
      <c r="R225" s="9" t="inlineStr"/>
      <c r="S225" s="9" t="inlineStr">
        <is>
          <t>Agentic proxy could not be derived because no long-chat benchmark row was available.</t>
        </is>
      </c>
    </row>
    <row r="226">
      <c r="A226" s="9" t="inlineStr">
        <is>
          <t>qwen3.5</t>
        </is>
      </c>
      <c r="B226" s="9" t="inlineStr"/>
      <c r="C226" s="9" t="inlineStr">
        <is>
          <t>GB200</t>
        </is>
      </c>
      <c r="D226" s="9" t="inlineStr">
        <is>
          <t>agentic</t>
        </is>
      </c>
      <c r="E226" s="9" t="inlineStr">
        <is>
          <t>100</t>
        </is>
      </c>
      <c r="F226" s="9" t="inlineStr">
        <is>
          <t>False</t>
        </is>
      </c>
      <c r="G226" s="10" t="inlineStr"/>
      <c r="H226" s="11" t="inlineStr"/>
      <c r="I226" s="12" t="inlineStr"/>
      <c r="J226" s="9" t="inlineStr"/>
      <c r="K226" s="9" t="inlineStr"/>
      <c r="L226" s="9" t="inlineStr"/>
      <c r="M226" s="9" t="inlineStr"/>
      <c r="N226" s="9" t="inlineStr"/>
      <c r="O226" s="9" t="inlineStr">
        <is>
          <t>missing</t>
        </is>
      </c>
      <c r="P226" s="9" t="inlineStr">
        <is>
          <t>no_long_chat_proxy_row</t>
        </is>
      </c>
      <c r="Q226" s="9" t="inlineStr">
        <is>
          <t>missing</t>
        </is>
      </c>
      <c r="R226" s="9" t="inlineStr"/>
      <c r="S226" s="9" t="inlineStr">
        <is>
          <t>Agentic proxy could not be derived because no long-chat benchmark row was available.</t>
        </is>
      </c>
    </row>
  </sheetData>
  <autoFilter ref="A1:S2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8" customWidth="1" min="3" max="3"/>
    <col width="17" customWidth="1" min="4" max="4"/>
    <col width="17" customWidth="1" min="5" max="5"/>
    <col width="17" customWidth="1" min="6" max="6"/>
    <col width="18" customWidth="1" min="7" max="7"/>
    <col width="22" customWidth="1" min="8" max="8"/>
    <col width="22" customWidth="1" min="9" max="9"/>
    <col width="22" customWidth="1" min="10" max="10"/>
    <col width="24" customWidth="1" min="11" max="11"/>
    <col width="45" customWidth="1" min="12" max="12"/>
    <col width="22" customWidth="1" min="13" max="13"/>
    <col width="22" customWidth="1" min="14" max="14"/>
    <col width="22" customWidth="1" min="15" max="15"/>
    <col width="24" customWidth="1" min="16" max="16"/>
    <col width="45" customWidth="1" min="17" max="17"/>
    <col width="22" customWidth="1" min="18" max="18"/>
    <col width="22" customWidth="1" min="19" max="19"/>
    <col width="22" customWidth="1" min="20" max="20"/>
    <col width="24" customWidth="1" min="21" max="21"/>
    <col width="58" customWidth="1" min="22" max="22"/>
    <col width="24" customWidth="1" min="23" max="23"/>
    <col width="24" customWidth="1" min="24" max="24"/>
    <col width="24" customWidth="1" min="25" max="25"/>
    <col width="26" customWidth="1" min="26" max="26"/>
    <col width="58" customWidth="1" min="27" max="27"/>
    <col width="17" customWidth="1" min="28" max="28"/>
    <col width="17" customWidth="1" min="29" max="29"/>
    <col width="17" customWidth="1" min="30" max="30"/>
    <col width="80" customWidth="1" min="31" max="31"/>
    <col width="50" customWidth="1" min="32" max="32"/>
    <col width="42" customWidth="1" min="33" max="33"/>
    <col width="42" customWidth="1" min="34" max="34"/>
    <col width="58" customWidth="1" min="35" max="35"/>
    <col width="72" customWidth="1" min="36" max="36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short_chat_share</t>
        </is>
      </c>
      <c r="E1" s="4" t="inlineStr">
        <is>
          <t>long_chat_share</t>
        </is>
      </c>
      <c r="F1" s="4" t="inlineStr">
        <is>
          <t>agentic_share</t>
        </is>
      </c>
      <c r="G1" s="4" t="inlineStr">
        <is>
          <t>chat_share_sum_check</t>
        </is>
      </c>
      <c r="H1" s="4" t="inlineStr">
        <is>
          <t>h200_short_chat_tps_per_mw</t>
        </is>
      </c>
      <c r="I1" s="4" t="inlineStr">
        <is>
          <t>h200_long_chat_tps_per_mw</t>
        </is>
      </c>
      <c r="J1" s="4" t="inlineStr">
        <is>
          <t>h200_agentic_tps_per_mw</t>
        </is>
      </c>
      <c r="K1" s="4" t="inlineStr">
        <is>
          <t>h200_workload_avg_tps_per_mw</t>
        </is>
      </c>
      <c r="L1" s="4" t="inlineStr">
        <is>
          <t>h200_status</t>
        </is>
      </c>
      <c r="M1" s="4" t="inlineStr">
        <is>
          <t>b200_short_chat_tps_per_mw</t>
        </is>
      </c>
      <c r="N1" s="4" t="inlineStr">
        <is>
          <t>b200_long_chat_tps_per_mw</t>
        </is>
      </c>
      <c r="O1" s="4" t="inlineStr">
        <is>
          <t>b200_agentic_tps_per_mw</t>
        </is>
      </c>
      <c r="P1" s="4" t="inlineStr">
        <is>
          <t>b200_workload_avg_tps_per_mw</t>
        </is>
      </c>
      <c r="Q1" s="4" t="inlineStr">
        <is>
          <t>b200_status</t>
        </is>
      </c>
      <c r="R1" s="4" t="inlineStr">
        <is>
          <t>gb200_short_chat_tps_per_mw</t>
        </is>
      </c>
      <c r="S1" s="4" t="inlineStr">
        <is>
          <t>gb200_long_chat_tps_per_mw</t>
        </is>
      </c>
      <c r="T1" s="4" t="inlineStr">
        <is>
          <t>gb200_agentic_tps_per_mw</t>
        </is>
      </c>
      <c r="U1" s="4" t="inlineStr">
        <is>
          <t>gb200_workload_avg_tps_per_mw</t>
        </is>
      </c>
      <c r="V1" s="4" t="inlineStr">
        <is>
          <t>gb200_status</t>
        </is>
      </c>
      <c r="W1" s="4" t="inlineStr">
        <is>
          <t>purpose_short_chat_tps_per_mw</t>
        </is>
      </c>
      <c r="X1" s="4" t="inlineStr">
        <is>
          <t>purpose_long_chat_tps_per_mw</t>
        </is>
      </c>
      <c r="Y1" s="4" t="inlineStr">
        <is>
          <t>purpose_agentic_tps_per_mw</t>
        </is>
      </c>
      <c r="Z1" s="4" t="inlineStr">
        <is>
          <t>purpose_workload_avg_tps_per_mw</t>
        </is>
      </c>
      <c r="AA1" s="4" t="inlineStr">
        <is>
          <t>purpose_status</t>
        </is>
      </c>
      <c r="AB1" s="4" t="inlineStr">
        <is>
          <t>bear_fit_factor</t>
        </is>
      </c>
      <c r="AC1" s="4" t="inlineStr">
        <is>
          <t>base_fit_factor</t>
        </is>
      </c>
      <c r="AD1" s="4" t="inlineStr">
        <is>
          <t>bull_fit_factor</t>
        </is>
      </c>
      <c r="AE1" s="4" t="inlineStr">
        <is>
          <t>rationale</t>
        </is>
      </c>
      <c r="AF1" s="4" t="inlineStr">
        <is>
          <t>source_ids</t>
        </is>
      </c>
      <c r="AG1" s="4" t="inlineStr">
        <is>
          <t>short_chat_condition</t>
        </is>
      </c>
      <c r="AH1" s="4" t="inlineStr">
        <is>
          <t>long_chat_condition</t>
        </is>
      </c>
      <c r="AI1" s="4" t="inlineStr">
        <is>
          <t>agentic_condition</t>
        </is>
      </c>
      <c r="AJ1" s="4" t="inlineStr">
        <is>
          <t>concurrency_interactivity_rule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17" t="n">
        <v>0.45</v>
      </c>
      <c r="E2" s="17" t="n">
        <v>0.3</v>
      </c>
      <c r="F2" s="17" t="n">
        <v>0.25</v>
      </c>
      <c r="G2" s="6">
        <f>SUM(D2:F2)</f>
        <v/>
      </c>
      <c r="H2" s="18" t="n">
        <v>1459609</v>
      </c>
      <c r="I2" s="18" t="n">
        <v>1451169</v>
      </c>
      <c r="J2" s="18" t="n">
        <v>157736</v>
      </c>
      <c r="K2" s="7">
        <f>D2*H2+E2*I2+F2*J2</f>
        <v/>
      </c>
      <c r="L2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2" s="18" t="n">
        <v>4516967</v>
      </c>
      <c r="N2" s="18" t="n">
        <v>2629943</v>
      </c>
      <c r="O2" s="18" t="n">
        <v>285863</v>
      </c>
      <c r="P2" s="7">
        <f>D2*M2+E2*N2+F2*O2</f>
        <v/>
      </c>
      <c r="Q2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2" s="18" t="n">
        <v>4516967</v>
      </c>
      <c r="S2" s="18" t="n">
        <v>2629943</v>
      </c>
      <c r="T2" s="18" t="n">
        <v>285863</v>
      </c>
      <c r="U2" s="7">
        <f>D2*R2+E2*S2+F2*T2</f>
        <v/>
      </c>
      <c r="V2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2" s="18" t="n">
        <v>4516967</v>
      </c>
      <c r="X2" s="18" t="n">
        <v>2629943</v>
      </c>
      <c r="Y2" s="18" t="n">
        <v>285863</v>
      </c>
      <c r="Z2" s="7">
        <f>D2*W2+E2*X2+F2*Y2</f>
        <v/>
      </c>
      <c r="AA2" s="3" t="inlineStr">
        <is>
          <t>B200 placeholder until comparable purpose-built output-token/MW benchmark is adopted.</t>
        </is>
      </c>
      <c r="AB2" s="17" t="n">
        <v>0.4</v>
      </c>
      <c r="AC2" s="17" t="n">
        <v>0.6</v>
      </c>
      <c r="AD2" s="17" t="n">
        <v>0.8</v>
      </c>
      <c r="AE2" s="3" t="inlineStr">
        <is>
          <t>Microsoft has broad Copilot surfaces plus GitHub/Codex-style developer workflows; agentic share is material but not dominant.</t>
        </is>
      </c>
      <c r="AF2" s="3" t="inlineStr">
        <is>
          <t>SRC_OPENAI_CODEX_RATE_CARD; SRC_AZURE_OPENAI; SRC_MS_MAIA200</t>
        </is>
      </c>
      <c r="AG2" s="3" t="inlineStr">
        <is>
          <t>ISL/OSL 1024/1024; concurrency 32-256; interactive balanced serving</t>
        </is>
      </c>
      <c r="AH2" s="3" t="inlineStr">
        <is>
          <t>ISL/OSL 8192/1024; concurrency 32-256; interactive long-context serving</t>
        </is>
      </c>
      <c r="AI2" s="3" t="inlineStr">
        <is>
          <t>Trace avg ISL/OSL 100947/860; derived from long_chat TPS/MW x 11%; agentic/tool workflow derived from Kimi K2.5 dynamic reasoning</t>
        </is>
      </c>
      <c r="AJ2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frontier_composite</t>
        </is>
      </c>
      <c r="D3" s="17" t="n">
        <v>0.4</v>
      </c>
      <c r="E3" s="17" t="n">
        <v>0.4</v>
      </c>
      <c r="F3" s="17" t="n">
        <v>0.2</v>
      </c>
      <c r="G3" s="6">
        <f>SUM(D3:F3)</f>
        <v/>
      </c>
      <c r="H3" s="18" t="n">
        <v>1459609</v>
      </c>
      <c r="I3" s="18" t="n">
        <v>1451169</v>
      </c>
      <c r="J3" s="18" t="n">
        <v>157736</v>
      </c>
      <c r="K3" s="7">
        <f>D3*H3+E3*I3+F3*J3</f>
        <v/>
      </c>
      <c r="L3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3" s="18" t="n">
        <v>135306</v>
      </c>
      <c r="N3" s="18" t="n">
        <v>269470</v>
      </c>
      <c r="O3" s="18" t="n">
        <v>29290</v>
      </c>
      <c r="P3" s="7">
        <f>D3*M3+E3*N3+F3*O3</f>
        <v/>
      </c>
      <c r="Q3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3" s="18" t="n">
        <v>105270</v>
      </c>
      <c r="S3" s="18" t="n">
        <v>422015</v>
      </c>
      <c r="T3" s="18" t="n">
        <v>45871</v>
      </c>
      <c r="U3" s="7">
        <f>D3*R3+E3*S3+F3*T3</f>
        <v/>
      </c>
      <c r="V3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3" s="18" t="n">
        <v>135306</v>
      </c>
      <c r="X3" s="18" t="n">
        <v>269470</v>
      </c>
      <c r="Y3" s="18" t="n">
        <v>29290</v>
      </c>
      <c r="Z3" s="7">
        <f>D3*W3+E3*X3+F3*Y3</f>
        <v/>
      </c>
      <c r="AA3" s="3" t="inlineStr">
        <is>
          <t>B200 placeholder until comparable purpose-built output-token/MW benchmark is adopted.</t>
        </is>
      </c>
      <c r="AB3" s="17" t="n">
        <v>0.4</v>
      </c>
      <c r="AC3" s="17" t="n">
        <v>0.6</v>
      </c>
      <c r="AD3" s="17" t="n">
        <v>0.8</v>
      </c>
      <c r="AE3" s="3" t="inlineStr">
        <is>
          <t>Gemini emphasizes long-context and enterprise agent platforms, but broad Workspace/Search-style assistant use remains large.</t>
        </is>
      </c>
      <c r="AF3" s="3" t="inlineStr">
        <is>
          <t>SRC_GOOGLE_GEMINI_LONG_CONTEXT; SRC_GOOGLE_GEMINI_AGENT_PLATFORM; SRC_GOOGLE_GEMINI_TOKENS</t>
        </is>
      </c>
      <c r="AG3" s="3" t="inlineStr">
        <is>
          <t>ISL/OSL 1024/1024; concurrency 32-256; interactive balanced serving</t>
        </is>
      </c>
      <c r="AH3" s="3" t="inlineStr">
        <is>
          <t>ISL/OSL 8192/1024; concurrency 32-256; interactive long-context serving</t>
        </is>
      </c>
      <c r="AI3" s="3" t="inlineStr">
        <is>
          <t>Trace avg ISL/OSL 100947/860; derived from long_chat TPS/MW x 11%; agentic/tool workflow derived from Kimi K2.5 dynamic reasoning</t>
        </is>
      </c>
      <c r="AJ3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17" t="n">
        <v>0.7</v>
      </c>
      <c r="E4" s="17" t="n">
        <v>0.2</v>
      </c>
      <c r="F4" s="17" t="n">
        <v>0.1</v>
      </c>
      <c r="G4" s="6">
        <f>SUM(D4:F4)</f>
        <v/>
      </c>
      <c r="H4" s="18" t="n">
        <v>965061</v>
      </c>
      <c r="I4" s="18" t="n">
        <v>247853</v>
      </c>
      <c r="J4" s="18" t="n">
        <v>26941</v>
      </c>
      <c r="K4" s="7">
        <f>D4*H4+E4*I4+F4*J4</f>
        <v/>
      </c>
      <c r="L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M4" s="18" t="n">
        <v>1228515</v>
      </c>
      <c r="N4" s="18" t="n">
        <v>384593</v>
      </c>
      <c r="O4" s="18" t="n">
        <v>41804</v>
      </c>
      <c r="P4" s="7">
        <f>D4*M4+E4*N4+F4*O4</f>
        <v/>
      </c>
      <c r="Q4" s="3" t="inlineStr">
        <is>
          <t>short: Public 1024/1024 reference selected; public max - optimized stack unavailable; vllm/fp8, concurrency 64; long: Public 8192/1024 reference selected; public max - optimized stack unavailable; vllm/fp8, concurrency 64; agentic: Derived from long_chat x Kimi K2.5 agentic/long ratio (10.9%)</t>
        </is>
      </c>
      <c r="R4" s="18" t="n">
        <v>1228515</v>
      </c>
      <c r="S4" s="18" t="n">
        <v>384593</v>
      </c>
      <c r="T4" s="18" t="n">
        <v>41804</v>
      </c>
      <c r="U4" s="7">
        <f>D4*R4+E4*S4+F4*T4</f>
        <v/>
      </c>
      <c r="V4" s="3" t="inlineStr">
        <is>
          <t>short: B200 placeholder - missing matched short-chat rows; public max - optimized stack unavailable; vllm/fp8, concurrency 64; long: B200 placeholder - insufficient/missing matched 8192/1024 rows; public max - optimized stack unavailable; vllm/fp8, concurrency 64; agentic: Derived from long_chat x Kimi K2.5 agentic/long ratio (10.9%)</t>
        </is>
      </c>
      <c r="W4" s="18" t="n">
        <v>1228515</v>
      </c>
      <c r="X4" s="18" t="n">
        <v>384593</v>
      </c>
      <c r="Y4" s="18" t="n">
        <v>41804</v>
      </c>
      <c r="Z4" s="7">
        <f>D4*W4+E4*X4+F4*Y4</f>
        <v/>
      </c>
      <c r="AA4" s="3" t="inlineStr">
        <is>
          <t>B200 placeholder until comparable purpose-built output-token/MW benchmark is adopted.</t>
        </is>
      </c>
      <c r="AB4" s="17" t="n">
        <v>0.75</v>
      </c>
      <c r="AC4" s="17" t="n">
        <v>0.9</v>
      </c>
      <c r="AD4" s="17" t="n">
        <v>1</v>
      </c>
      <c r="AE4" s="3" t="inlineStr">
        <is>
          <t>Meta AI and Business Agent are high-volume messaging/customer-service surfaces; agentic enterprise actions are emerging but smaller in Base.</t>
        </is>
      </c>
      <c r="AF4" s="3" t="inlineStr">
        <is>
          <t>SRC_META_BUSINESS_AGENT; SRC_META_LLAMA; SRC_META_MTIA_GENAI_2026</t>
        </is>
      </c>
      <c r="AG4" s="3" t="inlineStr">
        <is>
          <t>ISL/OSL 1024/1024; concurrency 32-256; interactive balanced serving</t>
        </is>
      </c>
      <c r="AH4" s="3" t="inlineStr">
        <is>
          <t>ISL/OSL 8192/1024; concurrency 32-256; interactive long-context serving</t>
        </is>
      </c>
      <c r="AI4" s="3" t="inlineStr">
        <is>
          <t>Trace avg ISL/OSL 100947/860; derived from long_chat TPS/MW x 11%; agentic/tool workflow derived from Kimi K2.5 dynamic reasoning</t>
        </is>
      </c>
      <c r="AJ4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17" t="n">
        <v>0.45</v>
      </c>
      <c r="E5" s="17" t="n">
        <v>0.35</v>
      </c>
      <c r="F5" s="17" t="n">
        <v>0.2</v>
      </c>
      <c r="G5" s="6">
        <f>SUM(D5:F5)</f>
        <v/>
      </c>
      <c r="H5" s="18" t="n">
        <v>1459609</v>
      </c>
      <c r="I5" s="18" t="n">
        <v>1451169</v>
      </c>
      <c r="J5" s="18" t="n">
        <v>157736</v>
      </c>
      <c r="K5" s="7">
        <f>D5*H5+E5*I5+F5*J5</f>
        <v/>
      </c>
      <c r="L5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5" s="18" t="n">
        <v>4516967</v>
      </c>
      <c r="N5" s="18" t="n">
        <v>2629943</v>
      </c>
      <c r="O5" s="18" t="n">
        <v>285863</v>
      </c>
      <c r="P5" s="7">
        <f>D5*M5+E5*N5+F5*O5</f>
        <v/>
      </c>
      <c r="Q5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5" s="18" t="n">
        <v>4516967</v>
      </c>
      <c r="S5" s="18" t="n">
        <v>2629943</v>
      </c>
      <c r="T5" s="18" t="n">
        <v>285863</v>
      </c>
      <c r="U5" s="7">
        <f>D5*R5+E5*S5+F5*T5</f>
        <v/>
      </c>
      <c r="V5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5" s="18" t="n">
        <v>4516967</v>
      </c>
      <c r="X5" s="18" t="n">
        <v>2629943</v>
      </c>
      <c r="Y5" s="18" t="n">
        <v>285863</v>
      </c>
      <c r="Z5" s="7">
        <f>D5*W5+E5*X5+F5*Y5</f>
        <v/>
      </c>
      <c r="AA5" s="3" t="inlineStr">
        <is>
          <t>B200 placeholder until comparable purpose-built output-token/MW benchmark is adopted.</t>
        </is>
      </c>
      <c r="AB5" s="17" t="n">
        <v>0.35</v>
      </c>
      <c r="AC5" s="17" t="n">
        <v>0.55</v>
      </c>
      <c r="AD5" s="17" t="n">
        <v>0.75</v>
      </c>
      <c r="AE5" s="3" t="inlineStr">
        <is>
          <t>Grok is modeled as interactive plus reasoning/search-style use; coding-agent share is not as directly evidenced as Anthropic/OpenAI.</t>
        </is>
      </c>
      <c r="AF5" s="3" t="inlineStr">
        <is>
          <t>SRC_XAI_MODELS; SRC_XAI_NVIDIA_COLOSSUS</t>
        </is>
      </c>
      <c r="AG5" s="3" t="inlineStr">
        <is>
          <t>ISL/OSL 1024/1024; concurrency 32-256; interactive balanced serving</t>
        </is>
      </c>
      <c r="AH5" s="3" t="inlineStr">
        <is>
          <t>ISL/OSL 8192/1024; concurrency 32-256; interactive long-context serving</t>
        </is>
      </c>
      <c r="AI5" s="3" t="inlineStr">
        <is>
          <t>Trace avg ISL/OSL 100947/860; derived from long_chat TPS/MW x 11%; agentic/tool workflow derived from Kimi K2.5 dynamic reasoning</t>
        </is>
      </c>
      <c r="AJ5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frontier_composite</t>
        </is>
      </c>
      <c r="D6" s="17" t="n">
        <v>0.45</v>
      </c>
      <c r="E6" s="17" t="n">
        <v>0.25</v>
      </c>
      <c r="F6" s="17" t="n">
        <v>0.3</v>
      </c>
      <c r="G6" s="6">
        <f>SUM(D6:F6)</f>
        <v/>
      </c>
      <c r="H6" s="18" t="n">
        <v>1459609</v>
      </c>
      <c r="I6" s="18" t="n">
        <v>1451169</v>
      </c>
      <c r="J6" s="18" t="n">
        <v>157736</v>
      </c>
      <c r="K6" s="7">
        <f>D6*H6+E6*I6+F6*J6</f>
        <v/>
      </c>
      <c r="L6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6" s="18" t="n">
        <v>135306</v>
      </c>
      <c r="N6" s="18" t="n">
        <v>269470</v>
      </c>
      <c r="O6" s="18" t="n">
        <v>29290</v>
      </c>
      <c r="P6" s="7">
        <f>D6*M6+E6*N6+F6*O6</f>
        <v/>
      </c>
      <c r="Q6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6" s="18" t="n">
        <v>105270</v>
      </c>
      <c r="S6" s="18" t="n">
        <v>422015</v>
      </c>
      <c r="T6" s="18" t="n">
        <v>45871</v>
      </c>
      <c r="U6" s="7">
        <f>D6*R6+E6*S6+F6*T6</f>
        <v/>
      </c>
      <c r="V6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6" s="18" t="n">
        <v>135306</v>
      </c>
      <c r="X6" s="18" t="n">
        <v>269470</v>
      </c>
      <c r="Y6" s="18" t="n">
        <v>29290</v>
      </c>
      <c r="Z6" s="7">
        <f>D6*W6+E6*X6+F6*Y6</f>
        <v/>
      </c>
      <c r="AA6" s="3" t="inlineStr">
        <is>
          <t>B200 placeholder until comparable purpose-built output-token/MW benchmark is adopted.</t>
        </is>
      </c>
      <c r="AB6" s="17" t="n">
        <v>0.3</v>
      </c>
      <c r="AC6" s="17" t="n">
        <v>0.5</v>
      </c>
      <c r="AD6" s="17" t="n">
        <v>0.7</v>
      </c>
      <c r="AE6" s="3" t="inlineStr">
        <is>
          <t>ChatGPT remains broad short-chat/API, while Codex token-based pricing and ChatGPT agentic features support a large agentic slice.</t>
        </is>
      </c>
      <c r="AF6" s="3" t="inlineStr">
        <is>
          <t>SRC_OPENAI_CODEX_RATE_CARD; SRC_OPENAI_CHATGPT_ENTERPRISE; SRC_OPENAI_API_PRICING</t>
        </is>
      </c>
      <c r="AG6" s="3" t="inlineStr">
        <is>
          <t>ISL/OSL 1024/1024; concurrency 32-256; interactive balanced serving</t>
        </is>
      </c>
      <c r="AH6" s="3" t="inlineStr">
        <is>
          <t>ISL/OSL 8192/1024; concurrency 32-256; interactive long-context serving</t>
        </is>
      </c>
      <c r="AI6" s="3" t="inlineStr">
        <is>
          <t>Trace avg ISL/OSL 100947/860; derived from long_chat TPS/MW x 11%; agentic/tool workflow derived from Kimi K2.5 dynamic reasoning</t>
        </is>
      </c>
      <c r="AJ6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frontier_composite</t>
        </is>
      </c>
      <c r="D7" s="17" t="n">
        <v>0.3</v>
      </c>
      <c r="E7" s="17" t="n">
        <v>0.3</v>
      </c>
      <c r="F7" s="17" t="n">
        <v>0.4</v>
      </c>
      <c r="G7" s="6">
        <f>SUM(D7:F7)</f>
        <v/>
      </c>
      <c r="H7" s="18" t="n">
        <v>1459609</v>
      </c>
      <c r="I7" s="18" t="n">
        <v>1451169</v>
      </c>
      <c r="J7" s="18" t="n">
        <v>157736</v>
      </c>
      <c r="K7" s="7">
        <f>D7*H7+E7*I7+F7*J7</f>
        <v/>
      </c>
      <c r="L7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7" s="18" t="n">
        <v>135306</v>
      </c>
      <c r="N7" s="18" t="n">
        <v>269470</v>
      </c>
      <c r="O7" s="18" t="n">
        <v>29290</v>
      </c>
      <c r="P7" s="7">
        <f>D7*M7+E7*N7+F7*O7</f>
        <v/>
      </c>
      <c r="Q7" s="3" t="inlineStr">
        <is>
          <t>short: Public 1024/1024 reference selected; public max - optimized stack unavailable; vllm/int4, concurrency 64; long: Public 8192/1024 reference selected; optimized serving max; dynamo-vllm/fp4, concurrency 256; agentic: Derived from long_chat x Kimi K2.5 agentic/long ratio (10.9%)</t>
        </is>
      </c>
      <c r="R7" s="18" t="n">
        <v>105270</v>
      </c>
      <c r="S7" s="18" t="n">
        <v>422015</v>
      </c>
      <c r="T7" s="18" t="n">
        <v>45871</v>
      </c>
      <c r="U7" s="7">
        <f>D7*R7+E7*S7+F7*T7</f>
        <v/>
      </c>
      <c r="V7" s="3" t="inlineStr">
        <is>
          <t>short: Public 1024/1024 reference selected; optimized serving max; dynamo-vllm/fp4, concurrency 64; long: Public 8192/1024 reference selected; optimized serving max; dynamo-vllm/fp4, concurrency 256; agentic: Derived from long_chat x Kimi K2.5 agentic/long ratio (10.9%)</t>
        </is>
      </c>
      <c r="W7" s="18" t="n">
        <v>135306</v>
      </c>
      <c r="X7" s="18" t="n">
        <v>269470</v>
      </c>
      <c r="Y7" s="18" t="n">
        <v>29290</v>
      </c>
      <c r="Z7" s="7">
        <f>D7*W7+E7*X7+F7*Y7</f>
        <v/>
      </c>
      <c r="AA7" s="3" t="inlineStr">
        <is>
          <t>B200 placeholder until comparable purpose-built output-token/MW benchmark is adopted.</t>
        </is>
      </c>
      <c r="AB7" s="17" t="n">
        <v>0.3</v>
      </c>
      <c r="AC7" s="17" t="n">
        <v>0.5</v>
      </c>
      <c r="AD7" s="17" t="n">
        <v>0.7</v>
      </c>
      <c r="AE7" s="3" t="inlineStr">
        <is>
          <t>Claude Enterprise guidance explicitly says Claude Code and Cowork are significantly more token-intensive than chat; Claude Code usage evidence supports the highest agentic mix.</t>
        </is>
      </c>
      <c r="AF7" s="3" t="inlineStr">
        <is>
          <t>SRC_ANTHROPIC_CONSUMPTION_GUIDE; SRC_ANTHROPIC_CODE_PRACTICE; SRC_ANTHROPIC_CLAUDE_DOCS</t>
        </is>
      </c>
      <c r="AG7" s="3" t="inlineStr">
        <is>
          <t>ISL/OSL 1024/1024; concurrency 32-256; interactive balanced serving</t>
        </is>
      </c>
      <c r="AH7" s="3" t="inlineStr">
        <is>
          <t>ISL/OSL 8192/1024; concurrency 32-256; interactive long-context serving</t>
        </is>
      </c>
      <c r="AI7" s="3" t="inlineStr">
        <is>
          <t>Trace avg ISL/OSL 100947/860; derived from long_chat TPS/MW x 11%; agentic/tool workflow derived from Kimi K2.5 dynamic reasoning</t>
        </is>
      </c>
      <c r="AJ7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17" t="n">
        <v>0.35</v>
      </c>
      <c r="E8" s="17" t="n">
        <v>0.4</v>
      </c>
      <c r="F8" s="17" t="n">
        <v>0.25</v>
      </c>
      <c r="G8" s="6">
        <f>SUM(D8:F8)</f>
        <v/>
      </c>
      <c r="H8" s="18" t="n">
        <v>150172</v>
      </c>
      <c r="I8" s="18" t="n">
        <v>104025</v>
      </c>
      <c r="J8" s="18" t="n">
        <v>11307</v>
      </c>
      <c r="K8" s="7">
        <f>D8*H8+E8*I8+F8*J8</f>
        <v/>
      </c>
      <c r="L8" s="3" t="inlineStr">
        <is>
          <t>short: Public 1024/1024 reference selected; public max - optimized stack unavailable; sglang/fp8, concurrency 64; long: Public 8192/1024 reference selected; public max - optimized stack unavailable; sglang/fp8, concurrency 64; agentic: Derived from long_chat x Kimi K2.5 agentic/long ratio (10.9%)</t>
        </is>
      </c>
      <c r="M8" s="18" t="n">
        <v>393572</v>
      </c>
      <c r="N8" s="18" t="n">
        <v>131309</v>
      </c>
      <c r="O8" s="18" t="n">
        <v>14273</v>
      </c>
      <c r="P8" s="7">
        <f>D8*M8+E8*N8+F8*O8</f>
        <v/>
      </c>
      <c r="Q8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8" s="18" t="n">
        <v>393572</v>
      </c>
      <c r="S8" s="18" t="n">
        <v>131309</v>
      </c>
      <c r="T8" s="18" t="n">
        <v>14273</v>
      </c>
      <c r="U8" s="7">
        <f>D8*R8+E8*S8+F8*T8</f>
        <v/>
      </c>
      <c r="V8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8" s="18" t="n">
        <v>393572</v>
      </c>
      <c r="X8" s="18" t="n">
        <v>131309</v>
      </c>
      <c r="Y8" s="18" t="n">
        <v>14273</v>
      </c>
      <c r="Z8" s="7">
        <f>D8*W8+E8*X8+F8*Y8</f>
        <v/>
      </c>
      <c r="AA8" s="3" t="inlineStr">
        <is>
          <t>B200 placeholder until comparable purpose-built output-token/MW benchmark is adopted.</t>
        </is>
      </c>
      <c r="AB8" s="17" t="n">
        <v>0.65</v>
      </c>
      <c r="AC8" s="17" t="n">
        <v>0.85</v>
      </c>
      <c r="AD8" s="17" t="n">
        <v>1</v>
      </c>
      <c r="AE8" s="3" t="inlineStr">
        <is>
          <t>DeepSeek R1/V3 traffic is modeled as reasoning/API-heavy with meaningful long-context and developer use, but no direct enterprise-agent surface disclosure.</t>
        </is>
      </c>
      <c r="AF8" s="3" t="inlineStr">
        <is>
          <t>SRC_DEEPSEEK_V3; SRC_DEEPSEEK_R1; SRC_DEEPSEEK_H800_INFERENCE</t>
        </is>
      </c>
      <c r="AG8" s="3" t="inlineStr">
        <is>
          <t>ISL/OSL 1024/1024; concurrency 32-256; interactive balanced serving</t>
        </is>
      </c>
      <c r="AH8" s="3" t="inlineStr">
        <is>
          <t>ISL/OSL 8192/1024; concurrency 32-256; interactive long-context serving</t>
        </is>
      </c>
      <c r="AI8" s="3" t="inlineStr">
        <is>
          <t>Trace avg ISL/OSL 100947/860; derived from long_chat TPS/MW x 11%; agentic/tool workflow derived from Kimi K2.5 dynamic reasoning</t>
        </is>
      </c>
      <c r="AJ8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17" t="n">
        <v>0.45</v>
      </c>
      <c r="E9" s="17" t="n">
        <v>0.35</v>
      </c>
      <c r="F9" s="17" t="n">
        <v>0.2</v>
      </c>
      <c r="G9" s="6">
        <f>SUM(D9:F9)</f>
        <v/>
      </c>
      <c r="H9" s="18" t="n">
        <v>246069</v>
      </c>
      <c r="I9" s="18" t="n">
        <v>150267</v>
      </c>
      <c r="J9" s="18" t="n">
        <v>16333</v>
      </c>
      <c r="K9" s="7">
        <f>D9*H9+E9*I9+F9*J9</f>
        <v/>
      </c>
      <c r="L9" s="3" t="inlineStr">
        <is>
          <t>short: Public 1024/1024 reference selected; public max - optimized stack unavailable; sglang/fp8, concurrency 128; long: Public 8192/1024 reference selected; public max - optimized stack unavailable; sglang/fp8, concurrency 128; agentic: Derived from long_chat x Kimi K2.5 agentic/long ratio (10.9%)</t>
        </is>
      </c>
      <c r="M9" s="18" t="n">
        <v>1106733</v>
      </c>
      <c r="N9" s="18" t="n">
        <v>506838</v>
      </c>
      <c r="O9" s="18" t="n">
        <v>55091</v>
      </c>
      <c r="P9" s="7">
        <f>D9*M9+E9*N9+F9*O9</f>
        <v/>
      </c>
      <c r="Q9" s="3" t="inlineStr">
        <is>
          <t>short: Public 1024/1024 reference selected; public max - optimized stack unavailable; sglang/fp8, concurrency 256; long: Public 8192/1024 reference selected; public max - optimized stack unavailable; sglang/fp8, concurrency 256; agentic: Derived from long_chat x Kimi K2.5 agentic/long ratio (10.9%)</t>
        </is>
      </c>
      <c r="R9" s="18" t="n">
        <v>1106733</v>
      </c>
      <c r="S9" s="18" t="n">
        <v>506838</v>
      </c>
      <c r="T9" s="18" t="n">
        <v>55091</v>
      </c>
      <c r="U9" s="7">
        <f>D9*R9+E9*S9+F9*T9</f>
        <v/>
      </c>
      <c r="V9" s="3" t="inlineStr">
        <is>
          <t>short: B200 placeholder - missing matched short-chat rows; public max - optimized stack unavailable; sglang/fp8, concurrency 256; long: B200 placeholder - insufficient/missing matched 8192/1024 rows; public max - optimized stack unavailable; sglang/fp8, concurrency 256; agentic: Derived from long_chat x Kimi K2.5 agentic/long ratio (10.9%)</t>
        </is>
      </c>
      <c r="W9" s="18" t="n">
        <v>1106733</v>
      </c>
      <c r="X9" s="18" t="n">
        <v>506838</v>
      </c>
      <c r="Y9" s="18" t="n">
        <v>55091</v>
      </c>
      <c r="Z9" s="7">
        <f>D9*W9+E9*X9+F9*Y9</f>
        <v/>
      </c>
      <c r="AA9" s="3" t="inlineStr">
        <is>
          <t>B200 placeholder until comparable purpose-built output-token/MW benchmark is adopted.</t>
        </is>
      </c>
      <c r="AB9" s="17" t="n">
        <v>0.7</v>
      </c>
      <c r="AC9" s="17" t="n">
        <v>0.9</v>
      </c>
      <c r="AD9" s="17" t="n">
        <v>1</v>
      </c>
      <c r="AE9" s="3" t="inlineStr">
        <is>
          <t>Qwen/Model Studio is enterprise/API-heavy; long/reasoning use is meaningful while broad cloud assistant traffic keeps short chat substantial.</t>
        </is>
      </c>
      <c r="AF9" s="3" t="inlineStr">
        <is>
          <t>SRC_QWEN3_GITHUB; SRC_ALIBABA_QWEN_GPU_DEPLOY</t>
        </is>
      </c>
      <c r="AG9" s="3" t="inlineStr">
        <is>
          <t>ISL/OSL 1024/1024; concurrency 32-256; interactive balanced serving</t>
        </is>
      </c>
      <c r="AH9" s="3" t="inlineStr">
        <is>
          <t>ISL/OSL 8192/1024; concurrency 32-256; interactive long-context serving</t>
        </is>
      </c>
      <c r="AI9" s="3" t="inlineStr">
        <is>
          <t>Trace avg ISL/OSL 100947/860; derived from long_chat TPS/MW x 11%; agentic/tool workflow derived from Kimi K2.5 dynamic reasoning</t>
        </is>
      </c>
      <c r="AJ9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17" t="n">
        <v>0.65</v>
      </c>
      <c r="E10" s="17" t="n">
        <v>0.25</v>
      </c>
      <c r="F10" s="17" t="n">
        <v>0.1</v>
      </c>
      <c r="G10" s="6">
        <f>SUM(D10:F10)</f>
        <v/>
      </c>
      <c r="H10" s="18" t="n">
        <v>1459609</v>
      </c>
      <c r="I10" s="18" t="n">
        <v>1451169</v>
      </c>
      <c r="J10" s="18" t="n">
        <v>157736</v>
      </c>
      <c r="K10" s="7">
        <f>D10*H10+E10*I10+F10*J10</f>
        <v/>
      </c>
      <c r="L10" s="3" t="inlineStr">
        <is>
          <t>short: Public 1024/1024 reference selected; public max - optimized stack unavailable; vllm/fp4, concurrency 64; long: Public 8192/1024 reference selected; public max - optimized stack unavailable; vllm/fp4, concurrency 64; agentic: Derived from long_chat x Kimi K2.5 agentic/long ratio (10.9%)</t>
        </is>
      </c>
      <c r="M10" s="18" t="n">
        <v>4516967</v>
      </c>
      <c r="N10" s="18" t="n">
        <v>2629943</v>
      </c>
      <c r="O10" s="18" t="n">
        <v>285863</v>
      </c>
      <c r="P10" s="7">
        <f>D10*M10+E10*N10+F10*O10</f>
        <v/>
      </c>
      <c r="Q10" s="3" t="inlineStr">
        <is>
          <t>short: Public 1024/1024 reference selected; public max - optimized stack unavailable; vllm/fp4, concurrency 128; long: Public 8192/1024 reference selected; public max - optimized stack unavailable; vllm/fp4, concurrency 128; agentic: Derived from long_chat x Kimi K2.5 agentic/long ratio (10.9%)</t>
        </is>
      </c>
      <c r="R10" s="18" t="n">
        <v>4516967</v>
      </c>
      <c r="S10" s="18" t="n">
        <v>2629943</v>
      </c>
      <c r="T10" s="18" t="n">
        <v>285863</v>
      </c>
      <c r="U10" s="7">
        <f>D10*R10+E10*S10+F10*T10</f>
        <v/>
      </c>
      <c r="V10" s="3" t="inlineStr">
        <is>
          <t>short: B200 placeholder - missing matched short-chat rows; public max - optimized stack unavailable; vllm/fp4, concurrency 128; long: B200 placeholder - insufficient/missing matched 8192/1024 rows; public max - optimized stack unavailable; vllm/fp4, concurrency 128; agentic: Derived from long_chat x Kimi K2.5 agentic/long ratio (10.9%)</t>
        </is>
      </c>
      <c r="W10" s="18" t="n">
        <v>4516967</v>
      </c>
      <c r="X10" s="18" t="n">
        <v>2629943</v>
      </c>
      <c r="Y10" s="18" t="n">
        <v>285863</v>
      </c>
      <c r="Z10" s="7">
        <f>D10*W10+E10*X10+F10*Y10</f>
        <v/>
      </c>
      <c r="AA10" s="3" t="inlineStr">
        <is>
          <t>B200 placeholder until comparable purpose-built output-token/MW benchmark is adopted.</t>
        </is>
      </c>
      <c r="AB10" s="17" t="n">
        <v>0.4</v>
      </c>
      <c r="AC10" s="17" t="n">
        <v>0.6</v>
      </c>
      <c r="AD10" s="17" t="n">
        <v>0.8</v>
      </c>
      <c r="AE10" s="3" t="inlineStr">
        <is>
          <t>Hunyuan/Yuanbao and WeChat/Tencent Cloud surfaces are modeled as consumer/business chat-heavy; agentic action use is emerging but lower in Base.</t>
        </is>
      </c>
      <c r="AF10" s="3" t="inlineStr">
        <is>
          <t>SRC_TENCENT_HUNYUAN; SRC_TENCENT_AI_INFRA_MOE</t>
        </is>
      </c>
      <c r="AG10" s="3" t="inlineStr">
        <is>
          <t>ISL/OSL 1024/1024; concurrency 32-256; interactive balanced serving</t>
        </is>
      </c>
      <c r="AH10" s="3" t="inlineStr">
        <is>
          <t>ISL/OSL 8192/1024; concurrency 32-256; interactive long-context serving</t>
        </is>
      </c>
      <c r="AI10" s="3" t="inlineStr">
        <is>
          <t>Trace avg ISL/OSL 100947/860; derived from long_chat TPS/MW x 11%; agentic/tool workflow derived from Kimi K2.5 dynamic reasoning</t>
        </is>
      </c>
      <c r="AJ10" s="3" t="inlineStr">
        <is>
          <t>TPS/MW rows are filtered to model-level main config, single_turn, matched ISL/OSL and concurrency 32-256; Dynamo/TRT-LLM/MTP optimized stacks are preferred, otherwise public max is used; agentic is trace-derived until matched 100k-input rows exist.</t>
        </is>
      </c>
    </row>
  </sheetData>
  <autoFilter ref="A1:AJ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34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0" customWidth="1" min="10" max="10"/>
    <col width="24" customWidth="1" min="11" max="11"/>
    <col width="18" customWidth="1" min="12" max="12"/>
    <col width="18" customWidth="1" min="13" max="13"/>
    <col width="20" customWidth="1" min="14" max="14"/>
    <col width="18" customWidth="1" min="15" max="15"/>
    <col width="24" customWidth="1" min="16" max="16"/>
    <col width="34" customWidth="1" min="17" max="17"/>
    <col width="18" customWidth="1" min="18" max="18"/>
    <col width="92" customWidth="1" min="19" max="19"/>
  </cols>
  <sheetData>
    <row r="1">
      <c r="A1" s="4" t="inlineStr">
        <is>
          <t>proxy_model</t>
        </is>
      </c>
      <c r="B1" s="4" t="inlineStr">
        <is>
          <t>gpu</t>
        </is>
      </c>
      <c r="C1" s="4" t="inlineStr">
        <is>
          <t>workload_type</t>
        </is>
      </c>
      <c r="D1" s="4" t="inlineStr">
        <is>
          <t>source_model_scope</t>
        </is>
      </c>
      <c r="E1" s="4" t="inlineStr">
        <is>
          <t>target_tok_s_user</t>
        </is>
      </c>
      <c r="F1" s="4" t="inlineStr">
        <is>
          <t>selected_isl</t>
        </is>
      </c>
      <c r="G1" s="4" t="inlineStr">
        <is>
          <t>selected_osl</t>
        </is>
      </c>
      <c r="H1" s="4" t="inlineStr">
        <is>
          <t>candidate_rows</t>
        </is>
      </c>
      <c r="I1" s="4" t="inlineStr">
        <is>
          <t>eligible_rows</t>
        </is>
      </c>
      <c r="J1" s="4" t="inlineStr">
        <is>
          <t>optimized_eligible_rows</t>
        </is>
      </c>
      <c r="K1" s="4" t="inlineStr">
        <is>
          <t>selected_output_tps_per_mw</t>
        </is>
      </c>
      <c r="L1" s="4" t="inlineStr">
        <is>
          <t>selected_tok_s_user</t>
        </is>
      </c>
      <c r="M1" s="4" t="inlineStr">
        <is>
          <t>selected_concurrency</t>
        </is>
      </c>
      <c r="N1" s="4" t="inlineStr">
        <is>
          <t>selected_framework</t>
        </is>
      </c>
      <c r="O1" s="4" t="inlineStr">
        <is>
          <t>selected_precision</t>
        </is>
      </c>
      <c r="P1" s="4" t="inlineStr">
        <is>
          <t>selection_status</t>
        </is>
      </c>
      <c r="Q1" s="4" t="inlineStr">
        <is>
          <t>selection_basis</t>
        </is>
      </c>
      <c r="R1" s="4" t="inlineStr">
        <is>
          <t>benchmark_date</t>
        </is>
      </c>
      <c r="S1" s="4" t="inlineStr">
        <is>
          <t>method_note</t>
        </is>
      </c>
    </row>
    <row r="2">
      <c r="A2" s="3" t="inlineStr">
        <is>
          <t>gptoss120b</t>
        </is>
      </c>
      <c r="B2" s="3" t="inlineStr">
        <is>
          <t>h200</t>
        </is>
      </c>
      <c r="C2" s="3" t="inlineStr">
        <is>
          <t>short_chat</t>
        </is>
      </c>
      <c r="D2" s="3" t="inlineStr">
        <is>
          <t>gptoss120b</t>
        </is>
      </c>
      <c r="E2" s="3" t="n">
        <v>10</v>
      </c>
      <c r="F2" s="3" t="n">
        <v>1024</v>
      </c>
      <c r="G2" s="3" t="n">
        <v>1024</v>
      </c>
      <c r="H2" s="3" t="n">
        <v>990</v>
      </c>
      <c r="I2" s="3" t="n">
        <v>990</v>
      </c>
      <c r="J2" s="3" t="n">
        <v>0</v>
      </c>
      <c r="K2" s="19" t="n">
        <v>1459609</v>
      </c>
      <c r="L2" s="20" t="n">
        <v>39.46</v>
      </c>
      <c r="M2" s="3" t="n">
        <v>64</v>
      </c>
      <c r="N2" s="3" t="inlineStr">
        <is>
          <t>vllm</t>
        </is>
      </c>
      <c r="O2" s="3" t="inlineStr">
        <is>
          <t>fp4</t>
        </is>
      </c>
      <c r="P2" s="3" t="inlineStr">
        <is>
          <t>selected_public_max</t>
        </is>
      </c>
      <c r="Q2" s="3" t="inlineStr">
        <is>
          <t>public max among eligible rows</t>
        </is>
      </c>
      <c r="R2" s="3" t="inlineStr">
        <is>
          <t>2025-10-20T00:00:00.000Z</t>
        </is>
      </c>
      <c r="S2" s="3" t="inlineStr">
        <is>
          <t>tok_s_user is computed as output_tok_s_gpu/concurrency when source tok_s_user is blank; agentic_derived uses long_chat rows multiplied by the Kimi K2.5 agentic/long ratio.</t>
        </is>
      </c>
    </row>
    <row r="3">
      <c r="A3" s="3" t="inlineStr">
        <is>
          <t>gptoss120b</t>
        </is>
      </c>
      <c r="B3" s="3" t="inlineStr">
        <is>
          <t>h200</t>
        </is>
      </c>
      <c r="C3" s="3" t="inlineStr">
        <is>
          <t>short_chat</t>
        </is>
      </c>
      <c r="D3" s="3" t="inlineStr">
        <is>
          <t>gptoss120b</t>
        </is>
      </c>
      <c r="E3" s="3" t="n">
        <v>30</v>
      </c>
      <c r="F3" s="3" t="n">
        <v>1024</v>
      </c>
      <c r="G3" s="3" t="n">
        <v>1024</v>
      </c>
      <c r="H3" s="3" t="n">
        <v>990</v>
      </c>
      <c r="I3" s="3" t="n">
        <v>691</v>
      </c>
      <c r="J3" s="3" t="n">
        <v>0</v>
      </c>
      <c r="K3" s="19" t="n">
        <v>1459609</v>
      </c>
      <c r="L3" s="20" t="n">
        <v>39.46</v>
      </c>
      <c r="M3" s="3" t="n">
        <v>64</v>
      </c>
      <c r="N3" s="3" t="inlineStr">
        <is>
          <t>vllm</t>
        </is>
      </c>
      <c r="O3" s="3" t="inlineStr">
        <is>
          <t>fp4</t>
        </is>
      </c>
      <c r="P3" s="3" t="inlineStr">
        <is>
          <t>selected_public_max</t>
        </is>
      </c>
      <c r="Q3" s="3" t="inlineStr">
        <is>
          <t>public max among eligible rows</t>
        </is>
      </c>
      <c r="R3" s="3" t="inlineStr">
        <is>
          <t>2025-10-20T00:00:00.000Z</t>
        </is>
      </c>
      <c r="S3" s="3" t="inlineStr">
        <is>
          <t>tok_s_user is computed as output_tok_s_gpu/concurrency when source tok_s_user is blank; agentic_derived uses long_chat rows multiplied by the Kimi K2.5 agentic/long ratio.</t>
        </is>
      </c>
    </row>
    <row r="4">
      <c r="A4" s="3" t="inlineStr">
        <is>
          <t>gptoss120b</t>
        </is>
      </c>
      <c r="B4" s="3" t="inlineStr">
        <is>
          <t>h200</t>
        </is>
      </c>
      <c r="C4" s="3" t="inlineStr">
        <is>
          <t>short_chat</t>
        </is>
      </c>
      <c r="D4" s="3" t="inlineStr">
        <is>
          <t>gptoss120b</t>
        </is>
      </c>
      <c r="E4" s="3" t="n">
        <v>50</v>
      </c>
      <c r="F4" s="3" t="n">
        <v>1024</v>
      </c>
      <c r="G4" s="3" t="n">
        <v>1024</v>
      </c>
      <c r="H4" s="3" t="n">
        <v>990</v>
      </c>
      <c r="I4" s="3" t="n">
        <v>334</v>
      </c>
      <c r="J4" s="3" t="n">
        <v>0</v>
      </c>
      <c r="K4" s="19" t="n">
        <v>1037487</v>
      </c>
      <c r="L4" s="20" t="n">
        <v>56.09</v>
      </c>
      <c r="M4" s="3" t="n">
        <v>32</v>
      </c>
      <c r="N4" s="3" t="inlineStr">
        <is>
          <t>vllm</t>
        </is>
      </c>
      <c r="O4" s="3" t="inlineStr">
        <is>
          <t>fp4</t>
        </is>
      </c>
      <c r="P4" s="3" t="inlineStr">
        <is>
          <t>selected_public_max</t>
        </is>
      </c>
      <c r="Q4" s="3" t="inlineStr">
        <is>
          <t>public max among eligible rows</t>
        </is>
      </c>
      <c r="R4" s="3" t="inlineStr">
        <is>
          <t>2025-10-31T00:00:00.000Z</t>
        </is>
      </c>
      <c r="S4" s="3" t="inlineStr">
        <is>
          <t>tok_s_user is computed as output_tok_s_gpu/concurrency when source tok_s_user is blank; agentic_derived uses long_chat rows multiplied by the Kimi K2.5 agentic/long ratio.</t>
        </is>
      </c>
    </row>
    <row r="5">
      <c r="A5" s="3" t="inlineStr">
        <is>
          <t>gptoss120b</t>
        </is>
      </c>
      <c r="B5" s="3" t="inlineStr">
        <is>
          <t>h200</t>
        </is>
      </c>
      <c r="C5" s="3" t="inlineStr">
        <is>
          <t>short_chat</t>
        </is>
      </c>
      <c r="D5" s="3" t="inlineStr">
        <is>
          <t>gptoss120b</t>
        </is>
      </c>
      <c r="E5" s="3" t="n">
        <v>70</v>
      </c>
      <c r="F5" s="3" t="n">
        <v>1024</v>
      </c>
      <c r="G5" s="3" t="n">
        <v>1024</v>
      </c>
      <c r="H5" s="3" t="n">
        <v>990</v>
      </c>
      <c r="I5" s="3" t="n">
        <v>202</v>
      </c>
      <c r="J5" s="3" t="n">
        <v>0</v>
      </c>
      <c r="K5" s="19" t="n">
        <v>728459</v>
      </c>
      <c r="L5" s="20" t="n">
        <v>78.76000000000001</v>
      </c>
      <c r="M5" s="3" t="n">
        <v>16</v>
      </c>
      <c r="N5" s="3" t="inlineStr">
        <is>
          <t>vllm</t>
        </is>
      </c>
      <c r="O5" s="3" t="inlineStr">
        <is>
          <t>fp4</t>
        </is>
      </c>
      <c r="P5" s="3" t="inlineStr">
        <is>
          <t>selected_public_max</t>
        </is>
      </c>
      <c r="Q5" s="3" t="inlineStr">
        <is>
          <t>public max among eligible rows</t>
        </is>
      </c>
      <c r="R5" s="3" t="inlineStr">
        <is>
          <t>2025-10-20T00:00:00.000Z</t>
        </is>
      </c>
      <c r="S5" s="3" t="inlineStr">
        <is>
          <t>tok_s_user is computed as output_tok_s_gpu/concurrency when source tok_s_user is blank; agentic_derived uses long_chat rows multiplied by the Kimi K2.5 agentic/long ratio.</t>
        </is>
      </c>
    </row>
    <row r="6">
      <c r="A6" s="3" t="inlineStr">
        <is>
          <t>gptoss120b</t>
        </is>
      </c>
      <c r="B6" s="3" t="inlineStr">
        <is>
          <t>h200</t>
        </is>
      </c>
      <c r="C6" s="3" t="inlineStr">
        <is>
          <t>short_chat</t>
        </is>
      </c>
      <c r="D6" s="3" t="inlineStr">
        <is>
          <t>gptoss120b</t>
        </is>
      </c>
      <c r="E6" s="3" t="n">
        <v>100</v>
      </c>
      <c r="F6" s="3" t="n">
        <v>1024</v>
      </c>
      <c r="G6" s="3" t="n">
        <v>1024</v>
      </c>
      <c r="H6" s="3" t="n">
        <v>990</v>
      </c>
      <c r="I6" s="3" t="n">
        <v>73</v>
      </c>
      <c r="J6" s="3" t="n">
        <v>0</v>
      </c>
      <c r="K6" s="19" t="n">
        <v>505857</v>
      </c>
      <c r="L6" s="20" t="n">
        <v>109.39</v>
      </c>
      <c r="M6" s="3" t="n">
        <v>8</v>
      </c>
      <c r="N6" s="3" t="inlineStr">
        <is>
          <t>vllm</t>
        </is>
      </c>
      <c r="O6" s="3" t="inlineStr">
        <is>
          <t>fp4</t>
        </is>
      </c>
      <c r="P6" s="3" t="inlineStr">
        <is>
          <t>selected_public_max</t>
        </is>
      </c>
      <c r="Q6" s="3" t="inlineStr">
        <is>
          <t>public max among eligible rows</t>
        </is>
      </c>
      <c r="R6" s="3" t="inlineStr">
        <is>
          <t>2025-10-30T00:00:00.000Z</t>
        </is>
      </c>
      <c r="S6" s="3" t="inlineStr">
        <is>
          <t>tok_s_user is computed as output_tok_s_gpu/concurrency when source tok_s_user is blank; agentic_derived uses long_chat rows multiplied by the Kimi K2.5 agentic/long ratio.</t>
        </is>
      </c>
    </row>
    <row r="7">
      <c r="A7" s="3" t="inlineStr">
        <is>
          <t>gptoss120b</t>
        </is>
      </c>
      <c r="B7" s="3" t="inlineStr">
        <is>
          <t>h200</t>
        </is>
      </c>
      <c r="C7" s="3" t="inlineStr">
        <is>
          <t>long_chat</t>
        </is>
      </c>
      <c r="D7" s="3" t="inlineStr">
        <is>
          <t>gptoss120b</t>
        </is>
      </c>
      <c r="E7" s="3" t="n">
        <v>10</v>
      </c>
      <c r="F7" s="3" t="n">
        <v>8192</v>
      </c>
      <c r="G7" s="3" t="n">
        <v>1024</v>
      </c>
      <c r="H7" s="3" t="n">
        <v>1164</v>
      </c>
      <c r="I7" s="3" t="n">
        <v>1149</v>
      </c>
      <c r="J7" s="3" t="n">
        <v>0</v>
      </c>
      <c r="K7" s="19" t="n">
        <v>1451169</v>
      </c>
      <c r="L7" s="20" t="n">
        <v>39.23</v>
      </c>
      <c r="M7" s="3" t="n">
        <v>64</v>
      </c>
      <c r="N7" s="3" t="inlineStr">
        <is>
          <t>vllm</t>
        </is>
      </c>
      <c r="O7" s="3" t="inlineStr">
        <is>
          <t>fp4</t>
        </is>
      </c>
      <c r="P7" s="3" t="inlineStr">
        <is>
          <t>selected_public_max</t>
        </is>
      </c>
      <c r="Q7" s="3" t="inlineStr">
        <is>
          <t>public max among eligible rows</t>
        </is>
      </c>
      <c r="R7" s="3" t="inlineStr">
        <is>
          <t>2025-11-04T00:00:00.000Z</t>
        </is>
      </c>
      <c r="S7" s="3" t="inlineStr">
        <is>
          <t>tok_s_user is computed as output_tok_s_gpu/concurrency when source tok_s_user is blank; agentic_derived uses long_chat rows multiplied by the Kimi K2.5 agentic/long ratio.</t>
        </is>
      </c>
    </row>
    <row r="8">
      <c r="A8" s="3" t="inlineStr">
        <is>
          <t>gptoss120b</t>
        </is>
      </c>
      <c r="B8" s="3" t="inlineStr">
        <is>
          <t>h200</t>
        </is>
      </c>
      <c r="C8" s="3" t="inlineStr">
        <is>
          <t>long_chat</t>
        </is>
      </c>
      <c r="D8" s="3" t="inlineStr">
        <is>
          <t>gptoss120b</t>
        </is>
      </c>
      <c r="E8" s="3" t="n">
        <v>30</v>
      </c>
      <c r="F8" s="3" t="n">
        <v>8192</v>
      </c>
      <c r="G8" s="3" t="n">
        <v>1024</v>
      </c>
      <c r="H8" s="3" t="n">
        <v>1164</v>
      </c>
      <c r="I8" s="3" t="n">
        <v>619</v>
      </c>
      <c r="J8" s="3" t="n">
        <v>0</v>
      </c>
      <c r="K8" s="19" t="n">
        <v>1451169</v>
      </c>
      <c r="L8" s="20" t="n">
        <v>39.23</v>
      </c>
      <c r="M8" s="3" t="n">
        <v>64</v>
      </c>
      <c r="N8" s="3" t="inlineStr">
        <is>
          <t>vllm</t>
        </is>
      </c>
      <c r="O8" s="3" t="inlineStr">
        <is>
          <t>fp4</t>
        </is>
      </c>
      <c r="P8" s="3" t="inlineStr">
        <is>
          <t>selected_public_max</t>
        </is>
      </c>
      <c r="Q8" s="3" t="inlineStr">
        <is>
          <t>public max among eligible rows</t>
        </is>
      </c>
      <c r="R8" s="3" t="inlineStr">
        <is>
          <t>2025-11-04T00:00:00.000Z</t>
        </is>
      </c>
      <c r="S8" s="3" t="inlineStr">
        <is>
          <t>tok_s_user is computed as output_tok_s_gpu/concurrency when source tok_s_user is blank; agentic_derived uses long_chat rows multiplied by the Kimi K2.5 agentic/long ratio.</t>
        </is>
      </c>
    </row>
    <row r="9">
      <c r="A9" s="3" t="inlineStr">
        <is>
          <t>gptoss120b</t>
        </is>
      </c>
      <c r="B9" s="3" t="inlineStr">
        <is>
          <t>h200</t>
        </is>
      </c>
      <c r="C9" s="3" t="inlineStr">
        <is>
          <t>long_chat</t>
        </is>
      </c>
      <c r="D9" s="3" t="inlineStr">
        <is>
          <t>gptoss120b</t>
        </is>
      </c>
      <c r="E9" s="3" t="n">
        <v>50</v>
      </c>
      <c r="F9" s="3" t="n">
        <v>8192</v>
      </c>
      <c r="G9" s="3" t="n">
        <v>1024</v>
      </c>
      <c r="H9" s="3" t="n">
        <v>1164</v>
      </c>
      <c r="I9" s="3" t="n">
        <v>346</v>
      </c>
      <c r="J9" s="3" t="n">
        <v>0</v>
      </c>
      <c r="K9" s="19" t="n">
        <v>1035150</v>
      </c>
      <c r="L9" s="20" t="n">
        <v>55.96</v>
      </c>
      <c r="M9" s="3" t="n">
        <v>32</v>
      </c>
      <c r="N9" s="3" t="inlineStr">
        <is>
          <t>vllm</t>
        </is>
      </c>
      <c r="O9" s="3" t="inlineStr">
        <is>
          <t>fp4</t>
        </is>
      </c>
      <c r="P9" s="3" t="inlineStr">
        <is>
          <t>selected_public_max</t>
        </is>
      </c>
      <c r="Q9" s="3" t="inlineStr">
        <is>
          <t>public max among eligible rows</t>
        </is>
      </c>
      <c r="R9" s="3" t="inlineStr">
        <is>
          <t>2025-11-04T00:00:00.000Z</t>
        </is>
      </c>
      <c r="S9" s="3" t="inlineStr">
        <is>
          <t>tok_s_user is computed as output_tok_s_gpu/concurrency when source tok_s_user is blank; agentic_derived uses long_chat rows multiplied by the Kimi K2.5 agentic/long ratio.</t>
        </is>
      </c>
    </row>
    <row r="10">
      <c r="A10" s="3" t="inlineStr">
        <is>
          <t>gptoss120b</t>
        </is>
      </c>
      <c r="B10" s="3" t="inlineStr">
        <is>
          <t>h200</t>
        </is>
      </c>
      <c r="C10" s="3" t="inlineStr">
        <is>
          <t>long_chat</t>
        </is>
      </c>
      <c r="D10" s="3" t="inlineStr">
        <is>
          <t>gptoss120b</t>
        </is>
      </c>
      <c r="E10" s="3" t="n">
        <v>70</v>
      </c>
      <c r="F10" s="3" t="n">
        <v>8192</v>
      </c>
      <c r="G10" s="3" t="n">
        <v>1024</v>
      </c>
      <c r="H10" s="3" t="n">
        <v>1164</v>
      </c>
      <c r="I10" s="3" t="n">
        <v>184</v>
      </c>
      <c r="J10" s="3" t="n">
        <v>0</v>
      </c>
      <c r="K10" s="19" t="n">
        <v>649279</v>
      </c>
      <c r="L10" s="20" t="n">
        <v>70.2</v>
      </c>
      <c r="M10" s="3" t="n">
        <v>16</v>
      </c>
      <c r="N10" s="3" t="inlineStr">
        <is>
          <t>vllm</t>
        </is>
      </c>
      <c r="O10" s="3" t="inlineStr">
        <is>
          <t>fp4</t>
        </is>
      </c>
      <c r="P10" s="3" t="inlineStr">
        <is>
          <t>selected_public_max</t>
        </is>
      </c>
      <c r="Q10" s="3" t="inlineStr">
        <is>
          <t>public max among eligible rows</t>
        </is>
      </c>
      <c r="R10" s="3" t="inlineStr">
        <is>
          <t>2026-05-13T00:00:00.000Z</t>
        </is>
      </c>
      <c r="S10" s="3" t="inlineStr">
        <is>
          <t>tok_s_user is computed as output_tok_s_gpu/concurrency when source tok_s_user is blank; agentic_derived uses long_chat rows multiplied by the Kimi K2.5 agentic/long ratio.</t>
        </is>
      </c>
    </row>
    <row r="11">
      <c r="A11" s="3" t="inlineStr">
        <is>
          <t>gptoss120b</t>
        </is>
      </c>
      <c r="B11" s="3" t="inlineStr">
        <is>
          <t>h200</t>
        </is>
      </c>
      <c r="C11" s="3" t="inlineStr">
        <is>
          <t>long_chat</t>
        </is>
      </c>
      <c r="D11" s="3" t="inlineStr">
        <is>
          <t>gptoss120b</t>
        </is>
      </c>
      <c r="E11" s="3" t="n">
        <v>100</v>
      </c>
      <c r="F11" s="3" t="n">
        <v>8192</v>
      </c>
      <c r="G11" s="3" t="n">
        <v>1024</v>
      </c>
      <c r="H11" s="3" t="n">
        <v>1164</v>
      </c>
      <c r="I11" s="3" t="n">
        <v>62</v>
      </c>
      <c r="J11" s="3" t="n">
        <v>0</v>
      </c>
      <c r="K11" s="19" t="n">
        <v>329414</v>
      </c>
      <c r="L11" s="20" t="n">
        <v>142.47</v>
      </c>
      <c r="M11" s="3" t="n">
        <v>4</v>
      </c>
      <c r="N11" s="3" t="inlineStr">
        <is>
          <t>vllm</t>
        </is>
      </c>
      <c r="O11" s="3" t="inlineStr">
        <is>
          <t>fp4</t>
        </is>
      </c>
      <c r="P11" s="3" t="inlineStr">
        <is>
          <t>selected_public_max</t>
        </is>
      </c>
      <c r="Q11" s="3" t="inlineStr">
        <is>
          <t>public max among eligible rows</t>
        </is>
      </c>
      <c r="R11" s="3" t="inlineStr">
        <is>
          <t>2025-11-04T00:00:00.000Z</t>
        </is>
      </c>
      <c r="S11" s="3" t="inlineStr">
        <is>
          <t>tok_s_user is computed as output_tok_s_gpu/concurrency when source tok_s_user is blank; agentic_derived uses long_chat rows multiplied by the Kimi K2.5 agentic/long ratio.</t>
        </is>
      </c>
    </row>
    <row r="12">
      <c r="A12" s="3" t="inlineStr">
        <is>
          <t>gptoss120b</t>
        </is>
      </c>
      <c r="B12" s="3" t="inlineStr">
        <is>
          <t>h200</t>
        </is>
      </c>
      <c r="C12" s="3" t="inlineStr">
        <is>
          <t>agentic_derived</t>
        </is>
      </c>
      <c r="D12" s="3" t="inlineStr">
        <is>
          <t>gptoss120b</t>
        </is>
      </c>
      <c r="E12" s="3" t="n">
        <v>10</v>
      </c>
      <c r="F12" s="3" t="n">
        <v>8192</v>
      </c>
      <c r="G12" s="3" t="n">
        <v>1024</v>
      </c>
      <c r="H12" s="3" t="n">
        <v>1164</v>
      </c>
      <c r="I12" s="3" t="n">
        <v>62</v>
      </c>
      <c r="J12" s="3" t="n">
        <v>0</v>
      </c>
      <c r="K12" s="19" t="n">
        <v>35806</v>
      </c>
      <c r="L12" s="20" t="n">
        <v>15.49</v>
      </c>
      <c r="M12" s="3" t="n">
        <v>4</v>
      </c>
      <c r="N12" s="3" t="inlineStr">
        <is>
          <t>vllm</t>
        </is>
      </c>
      <c r="O12" s="3" t="inlineStr">
        <is>
          <t>fp4</t>
        </is>
      </c>
      <c r="P12" s="3" t="inlineStr">
        <is>
          <t>selected_public_max</t>
        </is>
      </c>
      <c r="Q12" s="3" t="inlineStr">
        <is>
          <t>public max among eligible rows</t>
        </is>
      </c>
      <c r="R12" s="3" t="inlineStr">
        <is>
          <t>2025-11-04T00:00:00.000Z</t>
        </is>
      </c>
      <c r="S12" s="3" t="inlineStr">
        <is>
          <t>tok_s_user is computed as output_tok_s_gpu/concurrency when source tok_s_user is blank; agentic_derived uses long_chat rows multiplied by the Kimi K2.5 agentic/long ratio.</t>
        </is>
      </c>
    </row>
    <row r="13">
      <c r="A13" s="9" t="inlineStr">
        <is>
          <t>gptoss120b</t>
        </is>
      </c>
      <c r="B13" s="9" t="inlineStr">
        <is>
          <t>h200</t>
        </is>
      </c>
      <c r="C13" s="9" t="inlineStr">
        <is>
          <t>agentic_derived</t>
        </is>
      </c>
      <c r="D13" s="9" t="inlineStr">
        <is>
          <t>gptoss120b</t>
        </is>
      </c>
      <c r="E13" s="9" t="n">
        <v>30</v>
      </c>
      <c r="F13" s="9" t="n">
        <v>100947</v>
      </c>
      <c r="G13" s="9" t="n">
        <v>860</v>
      </c>
      <c r="H13" s="9" t="n">
        <v>1164</v>
      </c>
      <c r="I13" s="9" t="n">
        <v>0</v>
      </c>
      <c r="J13" s="9" t="n">
        <v>0</v>
      </c>
      <c r="K13" s="11" t="inlineStr"/>
      <c r="L13" s="21" t="inlineStr"/>
      <c r="M13" s="9" t="inlineStr"/>
      <c r="N13" s="9" t="inlineStr"/>
      <c r="O13" s="9" t="inlineStr"/>
      <c r="P13" s="9" t="inlineStr">
        <is>
          <t>missing</t>
        </is>
      </c>
      <c r="Q13" s="9" t="inlineStr">
        <is>
          <t>no row meets target_tok_s_user</t>
        </is>
      </c>
      <c r="R13" s="9" t="inlineStr"/>
      <c r="S13" s="9" t="inlineStr">
        <is>
          <t>tok_s_user is computed as output_tok_s_gpu/concurrency when source tok_s_user is blank; agentic_derived uses long_chat rows multiplied by the Kimi K2.5 agentic/long ratio.</t>
        </is>
      </c>
    </row>
    <row r="14">
      <c r="A14" s="9" t="inlineStr">
        <is>
          <t>gptoss120b</t>
        </is>
      </c>
      <c r="B14" s="9" t="inlineStr">
        <is>
          <t>h200</t>
        </is>
      </c>
      <c r="C14" s="9" t="inlineStr">
        <is>
          <t>agentic_derived</t>
        </is>
      </c>
      <c r="D14" s="9" t="inlineStr">
        <is>
          <t>gptoss120b</t>
        </is>
      </c>
      <c r="E14" s="9" t="n">
        <v>50</v>
      </c>
      <c r="F14" s="9" t="n">
        <v>100947</v>
      </c>
      <c r="G14" s="9" t="n">
        <v>860</v>
      </c>
      <c r="H14" s="9" t="n">
        <v>1164</v>
      </c>
      <c r="I14" s="9" t="n">
        <v>0</v>
      </c>
      <c r="J14" s="9" t="n">
        <v>0</v>
      </c>
      <c r="K14" s="11" t="inlineStr"/>
      <c r="L14" s="21" t="inlineStr"/>
      <c r="M14" s="9" t="inlineStr"/>
      <c r="N14" s="9" t="inlineStr"/>
      <c r="O14" s="9" t="inlineStr"/>
      <c r="P14" s="9" t="inlineStr">
        <is>
          <t>missing</t>
        </is>
      </c>
      <c r="Q14" s="9" t="inlineStr">
        <is>
          <t>no row meets target_tok_s_user</t>
        </is>
      </c>
      <c r="R14" s="9" t="inlineStr"/>
      <c r="S14" s="9" t="inlineStr">
        <is>
          <t>tok_s_user is computed as output_tok_s_gpu/concurrency when source tok_s_user is blank; agentic_derived uses long_chat rows multiplied by the Kimi K2.5 agentic/long ratio.</t>
        </is>
      </c>
    </row>
    <row r="15">
      <c r="A15" s="9" t="inlineStr">
        <is>
          <t>gptoss120b</t>
        </is>
      </c>
      <c r="B15" s="9" t="inlineStr">
        <is>
          <t>h200</t>
        </is>
      </c>
      <c r="C15" s="9" t="inlineStr">
        <is>
          <t>agentic_derived</t>
        </is>
      </c>
      <c r="D15" s="9" t="inlineStr">
        <is>
          <t>gptoss120b</t>
        </is>
      </c>
      <c r="E15" s="9" t="n">
        <v>70</v>
      </c>
      <c r="F15" s="9" t="n">
        <v>100947</v>
      </c>
      <c r="G15" s="9" t="n">
        <v>860</v>
      </c>
      <c r="H15" s="9" t="n">
        <v>1164</v>
      </c>
      <c r="I15" s="9" t="n">
        <v>0</v>
      </c>
      <c r="J15" s="9" t="n">
        <v>0</v>
      </c>
      <c r="K15" s="11" t="inlineStr"/>
      <c r="L15" s="21" t="inlineStr"/>
      <c r="M15" s="9" t="inlineStr"/>
      <c r="N15" s="9" t="inlineStr"/>
      <c r="O15" s="9" t="inlineStr"/>
      <c r="P15" s="9" t="inlineStr">
        <is>
          <t>missing</t>
        </is>
      </c>
      <c r="Q15" s="9" t="inlineStr">
        <is>
          <t>no row meets target_tok_s_user</t>
        </is>
      </c>
      <c r="R15" s="9" t="inlineStr"/>
      <c r="S15" s="9" t="inlineStr">
        <is>
          <t>tok_s_user is computed as output_tok_s_gpu/concurrency when source tok_s_user is blank; agentic_derived uses long_chat rows multiplied by the Kimi K2.5 agentic/long ratio.</t>
        </is>
      </c>
    </row>
    <row r="16">
      <c r="A16" s="9" t="inlineStr">
        <is>
          <t>gptoss120b</t>
        </is>
      </c>
      <c r="B16" s="9" t="inlineStr">
        <is>
          <t>h200</t>
        </is>
      </c>
      <c r="C16" s="9" t="inlineStr">
        <is>
          <t>agentic_derived</t>
        </is>
      </c>
      <c r="D16" s="9" t="inlineStr">
        <is>
          <t>gptoss120b</t>
        </is>
      </c>
      <c r="E16" s="9" t="n">
        <v>100</v>
      </c>
      <c r="F16" s="9" t="n">
        <v>100947</v>
      </c>
      <c r="G16" s="9" t="n">
        <v>860</v>
      </c>
      <c r="H16" s="9" t="n">
        <v>1164</v>
      </c>
      <c r="I16" s="9" t="n">
        <v>0</v>
      </c>
      <c r="J16" s="9" t="n">
        <v>0</v>
      </c>
      <c r="K16" s="11" t="inlineStr"/>
      <c r="L16" s="21" t="inlineStr"/>
      <c r="M16" s="9" t="inlineStr"/>
      <c r="N16" s="9" t="inlineStr"/>
      <c r="O16" s="9" t="inlineStr"/>
      <c r="P16" s="9" t="inlineStr">
        <is>
          <t>missing</t>
        </is>
      </c>
      <c r="Q16" s="9" t="inlineStr">
        <is>
          <t>no row meets target_tok_s_user</t>
        </is>
      </c>
      <c r="R16" s="9" t="inlineStr"/>
      <c r="S16" s="9" t="inlineStr">
        <is>
          <t>tok_s_user is computed as output_tok_s_gpu/concurrency when source tok_s_user is blank; agentic_derived uses long_chat rows multiplied by the Kimi K2.5 agentic/long ratio.</t>
        </is>
      </c>
    </row>
    <row r="17">
      <c r="A17" s="3" t="inlineStr">
        <is>
          <t>gptoss120b</t>
        </is>
      </c>
      <c r="B17" s="3" t="inlineStr">
        <is>
          <t>b200</t>
        </is>
      </c>
      <c r="C17" s="3" t="inlineStr">
        <is>
          <t>short_chat</t>
        </is>
      </c>
      <c r="D17" s="3" t="inlineStr">
        <is>
          <t>gptoss120b</t>
        </is>
      </c>
      <c r="E17" s="3" t="n">
        <v>10</v>
      </c>
      <c r="F17" s="3" t="n">
        <v>1024</v>
      </c>
      <c r="G17" s="3" t="n">
        <v>1024</v>
      </c>
      <c r="H17" s="3" t="n">
        <v>1102</v>
      </c>
      <c r="I17" s="3" t="n">
        <v>1102</v>
      </c>
      <c r="J17" s="3" t="n">
        <v>0</v>
      </c>
      <c r="K17" s="19" t="n">
        <v>4516967</v>
      </c>
      <c r="L17" s="20" t="n">
        <v>76.58</v>
      </c>
      <c r="M17" s="3" t="n">
        <v>128</v>
      </c>
      <c r="N17" s="3" t="inlineStr">
        <is>
          <t>vllm</t>
        </is>
      </c>
      <c r="O17" s="3" t="inlineStr">
        <is>
          <t>fp4</t>
        </is>
      </c>
      <c r="P17" s="3" t="inlineStr">
        <is>
          <t>selected_public_max</t>
        </is>
      </c>
      <c r="Q17" s="3" t="inlineStr">
        <is>
          <t>public max among eligible rows</t>
        </is>
      </c>
      <c r="R17" s="3" t="inlineStr">
        <is>
          <t>2026-05-31T00:00:00.000Z</t>
        </is>
      </c>
      <c r="S17" s="3" t="inlineStr">
        <is>
          <t>tok_s_user is computed as output_tok_s_gpu/concurrency when source tok_s_user is blank; agentic_derived uses long_chat rows multiplied by the Kimi K2.5 agentic/long ratio.</t>
        </is>
      </c>
    </row>
    <row r="18">
      <c r="A18" s="3" t="inlineStr">
        <is>
          <t>gptoss120b</t>
        </is>
      </c>
      <c r="B18" s="3" t="inlineStr">
        <is>
          <t>b200</t>
        </is>
      </c>
      <c r="C18" s="3" t="inlineStr">
        <is>
          <t>short_chat</t>
        </is>
      </c>
      <c r="D18" s="3" t="inlineStr">
        <is>
          <t>gptoss120b</t>
        </is>
      </c>
      <c r="E18" s="3" t="n">
        <v>30</v>
      </c>
      <c r="F18" s="3" t="n">
        <v>1024</v>
      </c>
      <c r="G18" s="3" t="n">
        <v>1024</v>
      </c>
      <c r="H18" s="3" t="n">
        <v>1102</v>
      </c>
      <c r="I18" s="3" t="n">
        <v>1063</v>
      </c>
      <c r="J18" s="3" t="n">
        <v>0</v>
      </c>
      <c r="K18" s="19" t="n">
        <v>4516967</v>
      </c>
      <c r="L18" s="20" t="n">
        <v>76.58</v>
      </c>
      <c r="M18" s="3" t="n">
        <v>128</v>
      </c>
      <c r="N18" s="3" t="inlineStr">
        <is>
          <t>vllm</t>
        </is>
      </c>
      <c r="O18" s="3" t="inlineStr">
        <is>
          <t>fp4</t>
        </is>
      </c>
      <c r="P18" s="3" t="inlineStr">
        <is>
          <t>selected_public_max</t>
        </is>
      </c>
      <c r="Q18" s="3" t="inlineStr">
        <is>
          <t>public max among eligible rows</t>
        </is>
      </c>
      <c r="R18" s="3" t="inlineStr">
        <is>
          <t>2026-05-31T00:00:00.000Z</t>
        </is>
      </c>
      <c r="S18" s="3" t="inlineStr">
        <is>
          <t>tok_s_user is computed as output_tok_s_gpu/concurrency when source tok_s_user is blank; agentic_derived uses long_chat rows multiplied by the Kimi K2.5 agentic/long ratio.</t>
        </is>
      </c>
    </row>
    <row r="19">
      <c r="A19" s="3" t="inlineStr">
        <is>
          <t>gptoss120b</t>
        </is>
      </c>
      <c r="B19" s="3" t="inlineStr">
        <is>
          <t>b200</t>
        </is>
      </c>
      <c r="C19" s="3" t="inlineStr">
        <is>
          <t>short_chat</t>
        </is>
      </c>
      <c r="D19" s="3" t="inlineStr">
        <is>
          <t>gptoss120b</t>
        </is>
      </c>
      <c r="E19" s="3" t="n">
        <v>50</v>
      </c>
      <c r="F19" s="3" t="n">
        <v>1024</v>
      </c>
      <c r="G19" s="3" t="n">
        <v>1024</v>
      </c>
      <c r="H19" s="3" t="n">
        <v>1102</v>
      </c>
      <c r="I19" s="3" t="n">
        <v>848</v>
      </c>
      <c r="J19" s="3" t="n">
        <v>0</v>
      </c>
      <c r="K19" s="19" t="n">
        <v>4516967</v>
      </c>
      <c r="L19" s="20" t="n">
        <v>76.58</v>
      </c>
      <c r="M19" s="3" t="n">
        <v>128</v>
      </c>
      <c r="N19" s="3" t="inlineStr">
        <is>
          <t>vllm</t>
        </is>
      </c>
      <c r="O19" s="3" t="inlineStr">
        <is>
          <t>fp4</t>
        </is>
      </c>
      <c r="P19" s="3" t="inlineStr">
        <is>
          <t>selected_public_max</t>
        </is>
      </c>
      <c r="Q19" s="3" t="inlineStr">
        <is>
          <t>public max among eligible rows</t>
        </is>
      </c>
      <c r="R19" s="3" t="inlineStr">
        <is>
          <t>2026-05-31T00:00:00.000Z</t>
        </is>
      </c>
      <c r="S19" s="3" t="inlineStr">
        <is>
          <t>tok_s_user is computed as output_tok_s_gpu/concurrency when source tok_s_user is blank; agentic_derived uses long_chat rows multiplied by the Kimi K2.5 agentic/long ratio.</t>
        </is>
      </c>
    </row>
    <row r="20">
      <c r="A20" s="3" t="inlineStr">
        <is>
          <t>gptoss120b</t>
        </is>
      </c>
      <c r="B20" s="3" t="inlineStr">
        <is>
          <t>b200</t>
        </is>
      </c>
      <c r="C20" s="3" t="inlineStr">
        <is>
          <t>short_chat</t>
        </is>
      </c>
      <c r="D20" s="3" t="inlineStr">
        <is>
          <t>gptoss120b</t>
        </is>
      </c>
      <c r="E20" s="3" t="n">
        <v>70</v>
      </c>
      <c r="F20" s="3" t="n">
        <v>1024</v>
      </c>
      <c r="G20" s="3" t="n">
        <v>1024</v>
      </c>
      <c r="H20" s="3" t="n">
        <v>1102</v>
      </c>
      <c r="I20" s="3" t="n">
        <v>597</v>
      </c>
      <c r="J20" s="3" t="n">
        <v>0</v>
      </c>
      <c r="K20" s="19" t="n">
        <v>4516967</v>
      </c>
      <c r="L20" s="20" t="n">
        <v>76.58</v>
      </c>
      <c r="M20" s="3" t="n">
        <v>128</v>
      </c>
      <c r="N20" s="3" t="inlineStr">
        <is>
          <t>vllm</t>
        </is>
      </c>
      <c r="O20" s="3" t="inlineStr">
        <is>
          <t>fp4</t>
        </is>
      </c>
      <c r="P20" s="3" t="inlineStr">
        <is>
          <t>selected_public_max</t>
        </is>
      </c>
      <c r="Q20" s="3" t="inlineStr">
        <is>
          <t>public max among eligible rows</t>
        </is>
      </c>
      <c r="R20" s="3" t="inlineStr">
        <is>
          <t>2026-05-31T00:00:00.000Z</t>
        </is>
      </c>
      <c r="S20" s="3" t="inlineStr">
        <is>
          <t>tok_s_user is computed as output_tok_s_gpu/concurrency when source tok_s_user is blank; agentic_derived uses long_chat rows multiplied by the Kimi K2.5 agentic/long ratio.</t>
        </is>
      </c>
    </row>
    <row r="21">
      <c r="A21" s="3" t="inlineStr">
        <is>
          <t>gptoss120b</t>
        </is>
      </c>
      <c r="B21" s="3" t="inlineStr">
        <is>
          <t>b200</t>
        </is>
      </c>
      <c r="C21" s="3" t="inlineStr">
        <is>
          <t>short_chat</t>
        </is>
      </c>
      <c r="D21" s="3" t="inlineStr">
        <is>
          <t>gptoss120b</t>
        </is>
      </c>
      <c r="E21" s="3" t="n">
        <v>100</v>
      </c>
      <c r="F21" s="3" t="n">
        <v>1024</v>
      </c>
      <c r="G21" s="3" t="n">
        <v>1024</v>
      </c>
      <c r="H21" s="3" t="n">
        <v>1102</v>
      </c>
      <c r="I21" s="3" t="n">
        <v>358</v>
      </c>
      <c r="J21" s="3" t="n">
        <v>0</v>
      </c>
      <c r="K21" s="19" t="n">
        <v>2983848</v>
      </c>
      <c r="L21" s="20" t="n">
        <v>101.17</v>
      </c>
      <c r="M21" s="3" t="n">
        <v>64</v>
      </c>
      <c r="N21" s="3" t="inlineStr">
        <is>
          <t>vllm</t>
        </is>
      </c>
      <c r="O21" s="3" t="inlineStr">
        <is>
          <t>fp4</t>
        </is>
      </c>
      <c r="P21" s="3" t="inlineStr">
        <is>
          <t>selected_public_max</t>
        </is>
      </c>
      <c r="Q21" s="3" t="inlineStr">
        <is>
          <t>public max among eligible rows</t>
        </is>
      </c>
      <c r="R21" s="3" t="inlineStr">
        <is>
          <t>2026-05-17T00:00:00.000Z</t>
        </is>
      </c>
      <c r="S21" s="3" t="inlineStr">
        <is>
          <t>tok_s_user is computed as output_tok_s_gpu/concurrency when source tok_s_user is blank; agentic_derived uses long_chat rows multiplied by the Kimi K2.5 agentic/long ratio.</t>
        </is>
      </c>
    </row>
    <row r="22">
      <c r="A22" s="3" t="inlineStr">
        <is>
          <t>gptoss120b</t>
        </is>
      </c>
      <c r="B22" s="3" t="inlineStr">
        <is>
          <t>b200</t>
        </is>
      </c>
      <c r="C22" s="3" t="inlineStr">
        <is>
          <t>long_chat</t>
        </is>
      </c>
      <c r="D22" s="3" t="inlineStr">
        <is>
          <t>gptoss120b</t>
        </is>
      </c>
      <c r="E22" s="3" t="n">
        <v>10</v>
      </c>
      <c r="F22" s="3" t="n">
        <v>8192</v>
      </c>
      <c r="G22" s="3" t="n">
        <v>1024</v>
      </c>
      <c r="H22" s="3" t="n">
        <v>1056</v>
      </c>
      <c r="I22" s="3" t="n">
        <v>1056</v>
      </c>
      <c r="J22" s="3" t="n">
        <v>0</v>
      </c>
      <c r="K22" s="19" t="n">
        <v>2629943</v>
      </c>
      <c r="L22" s="20" t="n">
        <v>44.59</v>
      </c>
      <c r="M22" s="3" t="n">
        <v>128</v>
      </c>
      <c r="N22" s="3" t="inlineStr">
        <is>
          <t>vllm</t>
        </is>
      </c>
      <c r="O22" s="3" t="inlineStr">
        <is>
          <t>fp4</t>
        </is>
      </c>
      <c r="P22" s="3" t="inlineStr">
        <is>
          <t>selected_public_max</t>
        </is>
      </c>
      <c r="Q22" s="3" t="inlineStr">
        <is>
          <t>public max among eligible rows</t>
        </is>
      </c>
      <c r="R22" s="3" t="inlineStr">
        <is>
          <t>2026-02-25T00:00:00.000Z</t>
        </is>
      </c>
      <c r="S22" s="3" t="inlineStr">
        <is>
          <t>tok_s_user is computed as output_tok_s_gpu/concurrency when source tok_s_user is blank; agentic_derived uses long_chat rows multiplied by the Kimi K2.5 agentic/long ratio.</t>
        </is>
      </c>
    </row>
    <row r="23">
      <c r="A23" s="3" t="inlineStr">
        <is>
          <t>gptoss120b</t>
        </is>
      </c>
      <c r="B23" s="3" t="inlineStr">
        <is>
          <t>b200</t>
        </is>
      </c>
      <c r="C23" s="3" t="inlineStr">
        <is>
          <t>long_chat</t>
        </is>
      </c>
      <c r="D23" s="3" t="inlineStr">
        <is>
          <t>gptoss120b</t>
        </is>
      </c>
      <c r="E23" s="3" t="n">
        <v>30</v>
      </c>
      <c r="F23" s="3" t="n">
        <v>8192</v>
      </c>
      <c r="G23" s="3" t="n">
        <v>1024</v>
      </c>
      <c r="H23" s="3" t="n">
        <v>1056</v>
      </c>
      <c r="I23" s="3" t="n">
        <v>944</v>
      </c>
      <c r="J23" s="3" t="n">
        <v>0</v>
      </c>
      <c r="K23" s="19" t="n">
        <v>2629943</v>
      </c>
      <c r="L23" s="20" t="n">
        <v>44.59</v>
      </c>
      <c r="M23" s="3" t="n">
        <v>128</v>
      </c>
      <c r="N23" s="3" t="inlineStr">
        <is>
          <t>vllm</t>
        </is>
      </c>
      <c r="O23" s="3" t="inlineStr">
        <is>
          <t>fp4</t>
        </is>
      </c>
      <c r="P23" s="3" t="inlineStr">
        <is>
          <t>selected_public_max</t>
        </is>
      </c>
      <c r="Q23" s="3" t="inlineStr">
        <is>
          <t>public max among eligible rows</t>
        </is>
      </c>
      <c r="R23" s="3" t="inlineStr">
        <is>
          <t>2026-02-25T00:00:00.000Z</t>
        </is>
      </c>
      <c r="S23" s="3" t="inlineStr">
        <is>
          <t>tok_s_user is computed as output_tok_s_gpu/concurrency when source tok_s_user is blank; agentic_derived uses long_chat rows multiplied by the Kimi K2.5 agentic/long ratio.</t>
        </is>
      </c>
    </row>
    <row r="24">
      <c r="A24" s="3" t="inlineStr">
        <is>
          <t>gptoss120b</t>
        </is>
      </c>
      <c r="B24" s="3" t="inlineStr">
        <is>
          <t>b200</t>
        </is>
      </c>
      <c r="C24" s="3" t="inlineStr">
        <is>
          <t>long_chat</t>
        </is>
      </c>
      <c r="D24" s="3" t="inlineStr">
        <is>
          <t>gptoss120b</t>
        </is>
      </c>
      <c r="E24" s="3" t="n">
        <v>50</v>
      </c>
      <c r="F24" s="3" t="n">
        <v>8192</v>
      </c>
      <c r="G24" s="3" t="n">
        <v>1024</v>
      </c>
      <c r="H24" s="3" t="n">
        <v>1056</v>
      </c>
      <c r="I24" s="3" t="n">
        <v>679</v>
      </c>
      <c r="J24" s="3" t="n">
        <v>0</v>
      </c>
      <c r="K24" s="19" t="n">
        <v>1978039</v>
      </c>
      <c r="L24" s="20" t="n">
        <v>67.06999999999999</v>
      </c>
      <c r="M24" s="3" t="n">
        <v>64</v>
      </c>
      <c r="N24" s="3" t="inlineStr">
        <is>
          <t>vllm</t>
        </is>
      </c>
      <c r="O24" s="3" t="inlineStr">
        <is>
          <t>fp4</t>
        </is>
      </c>
      <c r="P24" s="3" t="inlineStr">
        <is>
          <t>selected_public_max</t>
        </is>
      </c>
      <c r="Q24" s="3" t="inlineStr">
        <is>
          <t>public max among eligible rows</t>
        </is>
      </c>
      <c r="R24" s="3" t="inlineStr">
        <is>
          <t>2026-02-25T00:00:00.000Z</t>
        </is>
      </c>
      <c r="S24" s="3" t="inlineStr">
        <is>
          <t>tok_s_user is computed as output_tok_s_gpu/concurrency when source tok_s_user is blank; agentic_derived uses long_chat rows multiplied by the Kimi K2.5 agentic/long ratio.</t>
        </is>
      </c>
    </row>
    <row r="25">
      <c r="A25" s="3" t="inlineStr">
        <is>
          <t>gptoss120b</t>
        </is>
      </c>
      <c r="B25" s="3" t="inlineStr">
        <is>
          <t>b200</t>
        </is>
      </c>
      <c r="C25" s="3" t="inlineStr">
        <is>
          <t>long_chat</t>
        </is>
      </c>
      <c r="D25" s="3" t="inlineStr">
        <is>
          <t>gptoss120b</t>
        </is>
      </c>
      <c r="E25" s="3" t="n">
        <v>70</v>
      </c>
      <c r="F25" s="3" t="n">
        <v>8192</v>
      </c>
      <c r="G25" s="3" t="n">
        <v>1024</v>
      </c>
      <c r="H25" s="3" t="n">
        <v>1056</v>
      </c>
      <c r="I25" s="3" t="n">
        <v>430</v>
      </c>
      <c r="J25" s="3" t="n">
        <v>0</v>
      </c>
      <c r="K25" s="19" t="n">
        <v>1699929</v>
      </c>
      <c r="L25" s="20" t="n">
        <v>115.28</v>
      </c>
      <c r="M25" s="3" t="n">
        <v>32</v>
      </c>
      <c r="N25" s="3" t="inlineStr">
        <is>
          <t>vllm</t>
        </is>
      </c>
      <c r="O25" s="3" t="inlineStr">
        <is>
          <t>fp4</t>
        </is>
      </c>
      <c r="P25" s="3" t="inlineStr">
        <is>
          <t>selected_public_max</t>
        </is>
      </c>
      <c r="Q25" s="3" t="inlineStr">
        <is>
          <t>public max among eligible rows</t>
        </is>
      </c>
      <c r="R25" s="3" t="inlineStr">
        <is>
          <t>2025-11-04T00:00:00.000Z</t>
        </is>
      </c>
      <c r="S25" s="3" t="inlineStr">
        <is>
          <t>tok_s_user is computed as output_tok_s_gpu/concurrency when source tok_s_user is blank; agentic_derived uses long_chat rows multiplied by the Kimi K2.5 agentic/long ratio.</t>
        </is>
      </c>
    </row>
    <row r="26">
      <c r="A26" s="3" t="inlineStr">
        <is>
          <t>gptoss120b</t>
        </is>
      </c>
      <c r="B26" s="3" t="inlineStr">
        <is>
          <t>b200</t>
        </is>
      </c>
      <c r="C26" s="3" t="inlineStr">
        <is>
          <t>long_chat</t>
        </is>
      </c>
      <c r="D26" s="3" t="inlineStr">
        <is>
          <t>gptoss120b</t>
        </is>
      </c>
      <c r="E26" s="3" t="n">
        <v>100</v>
      </c>
      <c r="F26" s="3" t="n">
        <v>8192</v>
      </c>
      <c r="G26" s="3" t="n">
        <v>1024</v>
      </c>
      <c r="H26" s="3" t="n">
        <v>1056</v>
      </c>
      <c r="I26" s="3" t="n">
        <v>291</v>
      </c>
      <c r="J26" s="3" t="n">
        <v>0</v>
      </c>
      <c r="K26" s="19" t="n">
        <v>1699929</v>
      </c>
      <c r="L26" s="20" t="n">
        <v>115.28</v>
      </c>
      <c r="M26" s="3" t="n">
        <v>32</v>
      </c>
      <c r="N26" s="3" t="inlineStr">
        <is>
          <t>vllm</t>
        </is>
      </c>
      <c r="O26" s="3" t="inlineStr">
        <is>
          <t>fp4</t>
        </is>
      </c>
      <c r="P26" s="3" t="inlineStr">
        <is>
          <t>selected_public_max</t>
        </is>
      </c>
      <c r="Q26" s="3" t="inlineStr">
        <is>
          <t>public max among eligible rows</t>
        </is>
      </c>
      <c r="R26" s="3" t="inlineStr">
        <is>
          <t>2025-11-04T00:00:00.000Z</t>
        </is>
      </c>
      <c r="S26" s="3" t="inlineStr">
        <is>
          <t>tok_s_user is computed as output_tok_s_gpu/concurrency when source tok_s_user is blank; agentic_derived uses long_chat rows multiplied by the Kimi K2.5 agentic/long ratio.</t>
        </is>
      </c>
    </row>
    <row r="27">
      <c r="A27" s="3" t="inlineStr">
        <is>
          <t>gptoss120b</t>
        </is>
      </c>
      <c r="B27" s="3" t="inlineStr">
        <is>
          <t>b200</t>
        </is>
      </c>
      <c r="C27" s="3" t="inlineStr">
        <is>
          <t>agentic_derived</t>
        </is>
      </c>
      <c r="D27" s="3" t="inlineStr">
        <is>
          <t>gptoss120b</t>
        </is>
      </c>
      <c r="E27" s="3" t="n">
        <v>10</v>
      </c>
      <c r="F27" s="3" t="n">
        <v>8192</v>
      </c>
      <c r="G27" s="3" t="n">
        <v>1024</v>
      </c>
      <c r="H27" s="3" t="n">
        <v>1056</v>
      </c>
      <c r="I27" s="3" t="n">
        <v>305</v>
      </c>
      <c r="J27" s="3" t="n">
        <v>0</v>
      </c>
      <c r="K27" s="19" t="n">
        <v>184775</v>
      </c>
      <c r="L27" s="20" t="n">
        <v>12.53</v>
      </c>
      <c r="M27" s="3" t="n">
        <v>32</v>
      </c>
      <c r="N27" s="3" t="inlineStr">
        <is>
          <t>vllm</t>
        </is>
      </c>
      <c r="O27" s="3" t="inlineStr">
        <is>
          <t>fp4</t>
        </is>
      </c>
      <c r="P27" s="3" t="inlineStr">
        <is>
          <t>selected_public_max</t>
        </is>
      </c>
      <c r="Q27" s="3" t="inlineStr">
        <is>
          <t>public max among eligible rows</t>
        </is>
      </c>
      <c r="R27" s="3" t="inlineStr">
        <is>
          <t>2025-11-04T00:00:00.000Z</t>
        </is>
      </c>
      <c r="S27" s="3" t="inlineStr">
        <is>
          <t>tok_s_user is computed as output_tok_s_gpu/concurrency when source tok_s_user is blank; agentic_derived uses long_chat rows multiplied by the Kimi K2.5 agentic/long ratio.</t>
        </is>
      </c>
    </row>
    <row r="28">
      <c r="A28" s="9" t="inlineStr">
        <is>
          <t>gptoss120b</t>
        </is>
      </c>
      <c r="B28" s="9" t="inlineStr">
        <is>
          <t>b200</t>
        </is>
      </c>
      <c r="C28" s="9" t="inlineStr">
        <is>
          <t>agentic_derived</t>
        </is>
      </c>
      <c r="D28" s="9" t="inlineStr">
        <is>
          <t>gptoss120b</t>
        </is>
      </c>
      <c r="E28" s="9" t="n">
        <v>30</v>
      </c>
      <c r="F28" s="9" t="n">
        <v>100947</v>
      </c>
      <c r="G28" s="9" t="n">
        <v>860</v>
      </c>
      <c r="H28" s="9" t="n">
        <v>1056</v>
      </c>
      <c r="I28" s="9" t="n">
        <v>0</v>
      </c>
      <c r="J28" s="9" t="n">
        <v>0</v>
      </c>
      <c r="K28" s="11" t="inlineStr"/>
      <c r="L28" s="21" t="inlineStr"/>
      <c r="M28" s="9" t="inlineStr"/>
      <c r="N28" s="9" t="inlineStr"/>
      <c r="O28" s="9" t="inlineStr"/>
      <c r="P28" s="9" t="inlineStr">
        <is>
          <t>missing</t>
        </is>
      </c>
      <c r="Q28" s="9" t="inlineStr">
        <is>
          <t>no row meets target_tok_s_user</t>
        </is>
      </c>
      <c r="R28" s="9" t="inlineStr"/>
      <c r="S28" s="9" t="inlineStr">
        <is>
          <t>tok_s_user is computed as output_tok_s_gpu/concurrency when source tok_s_user is blank; agentic_derived uses long_chat rows multiplied by the Kimi K2.5 agentic/long ratio.</t>
        </is>
      </c>
    </row>
    <row r="29">
      <c r="A29" s="9" t="inlineStr">
        <is>
          <t>gptoss120b</t>
        </is>
      </c>
      <c r="B29" s="9" t="inlineStr">
        <is>
          <t>b200</t>
        </is>
      </c>
      <c r="C29" s="9" t="inlineStr">
        <is>
          <t>agentic_derived</t>
        </is>
      </c>
      <c r="D29" s="9" t="inlineStr">
        <is>
          <t>gptoss120b</t>
        </is>
      </c>
      <c r="E29" s="9" t="n">
        <v>50</v>
      </c>
      <c r="F29" s="9" t="n">
        <v>100947</v>
      </c>
      <c r="G29" s="9" t="n">
        <v>860</v>
      </c>
      <c r="H29" s="9" t="n">
        <v>1056</v>
      </c>
      <c r="I29" s="9" t="n">
        <v>0</v>
      </c>
      <c r="J29" s="9" t="n">
        <v>0</v>
      </c>
      <c r="K29" s="11" t="inlineStr"/>
      <c r="L29" s="21" t="inlineStr"/>
      <c r="M29" s="9" t="inlineStr"/>
      <c r="N29" s="9" t="inlineStr"/>
      <c r="O29" s="9" t="inlineStr"/>
      <c r="P29" s="9" t="inlineStr">
        <is>
          <t>missing</t>
        </is>
      </c>
      <c r="Q29" s="9" t="inlineStr">
        <is>
          <t>no row meets target_tok_s_user</t>
        </is>
      </c>
      <c r="R29" s="9" t="inlineStr"/>
      <c r="S29" s="9" t="inlineStr">
        <is>
          <t>tok_s_user is computed as output_tok_s_gpu/concurrency when source tok_s_user is blank; agentic_derived uses long_chat rows multiplied by the Kimi K2.5 agentic/long ratio.</t>
        </is>
      </c>
    </row>
    <row r="30">
      <c r="A30" s="9" t="inlineStr">
        <is>
          <t>gptoss120b</t>
        </is>
      </c>
      <c r="B30" s="9" t="inlineStr">
        <is>
          <t>b200</t>
        </is>
      </c>
      <c r="C30" s="9" t="inlineStr">
        <is>
          <t>agentic_derived</t>
        </is>
      </c>
      <c r="D30" s="9" t="inlineStr">
        <is>
          <t>gptoss120b</t>
        </is>
      </c>
      <c r="E30" s="9" t="n">
        <v>70</v>
      </c>
      <c r="F30" s="9" t="n">
        <v>100947</v>
      </c>
      <c r="G30" s="9" t="n">
        <v>860</v>
      </c>
      <c r="H30" s="9" t="n">
        <v>1056</v>
      </c>
      <c r="I30" s="9" t="n">
        <v>0</v>
      </c>
      <c r="J30" s="9" t="n">
        <v>0</v>
      </c>
      <c r="K30" s="11" t="inlineStr"/>
      <c r="L30" s="21" t="inlineStr"/>
      <c r="M30" s="9" t="inlineStr"/>
      <c r="N30" s="9" t="inlineStr"/>
      <c r="O30" s="9" t="inlineStr"/>
      <c r="P30" s="9" t="inlineStr">
        <is>
          <t>missing</t>
        </is>
      </c>
      <c r="Q30" s="9" t="inlineStr">
        <is>
          <t>no row meets target_tok_s_user</t>
        </is>
      </c>
      <c r="R30" s="9" t="inlineStr"/>
      <c r="S30" s="9" t="inlineStr">
        <is>
          <t>tok_s_user is computed as output_tok_s_gpu/concurrency when source tok_s_user is blank; agentic_derived uses long_chat rows multiplied by the Kimi K2.5 agentic/long ratio.</t>
        </is>
      </c>
    </row>
    <row r="31">
      <c r="A31" s="9" t="inlineStr">
        <is>
          <t>gptoss120b</t>
        </is>
      </c>
      <c r="B31" s="9" t="inlineStr">
        <is>
          <t>b200</t>
        </is>
      </c>
      <c r="C31" s="9" t="inlineStr">
        <is>
          <t>agentic_derived</t>
        </is>
      </c>
      <c r="D31" s="9" t="inlineStr">
        <is>
          <t>gptoss120b</t>
        </is>
      </c>
      <c r="E31" s="9" t="n">
        <v>100</v>
      </c>
      <c r="F31" s="9" t="n">
        <v>100947</v>
      </c>
      <c r="G31" s="9" t="n">
        <v>860</v>
      </c>
      <c r="H31" s="9" t="n">
        <v>1056</v>
      </c>
      <c r="I31" s="9" t="n">
        <v>0</v>
      </c>
      <c r="J31" s="9" t="n">
        <v>0</v>
      </c>
      <c r="K31" s="11" t="inlineStr"/>
      <c r="L31" s="21" t="inlineStr"/>
      <c r="M31" s="9" t="inlineStr"/>
      <c r="N31" s="9" t="inlineStr"/>
      <c r="O31" s="9" t="inlineStr"/>
      <c r="P31" s="9" t="inlineStr">
        <is>
          <t>missing</t>
        </is>
      </c>
      <c r="Q31" s="9" t="inlineStr">
        <is>
          <t>no row meets target_tok_s_user</t>
        </is>
      </c>
      <c r="R31" s="9" t="inlineStr"/>
      <c r="S31" s="9" t="inlineStr">
        <is>
          <t>tok_s_user is computed as output_tok_s_gpu/concurrency when source tok_s_user is blank; agentic_derived uses long_chat rows multiplied by the Kimi K2.5 agentic/long ratio.</t>
        </is>
      </c>
    </row>
    <row r="32">
      <c r="A32" s="9" t="inlineStr">
        <is>
          <t>gptoss120b</t>
        </is>
      </c>
      <c r="B32" s="9" t="inlineStr">
        <is>
          <t>gb200</t>
        </is>
      </c>
      <c r="C32" s="9" t="inlineStr">
        <is>
          <t>short_chat</t>
        </is>
      </c>
      <c r="D32" s="9" t="inlineStr">
        <is>
          <t>gptoss120b</t>
        </is>
      </c>
      <c r="E32" s="9" t="n">
        <v>10</v>
      </c>
      <c r="F32" s="9" t="n">
        <v>1024</v>
      </c>
      <c r="G32" s="9" t="n">
        <v>1024</v>
      </c>
      <c r="H32" s="9" t="n">
        <v>0</v>
      </c>
      <c r="I32" s="9" t="n">
        <v>0</v>
      </c>
      <c r="J32" s="9" t="n">
        <v>0</v>
      </c>
      <c r="K32" s="11" t="inlineStr"/>
      <c r="L32" s="21" t="inlineStr"/>
      <c r="M32" s="9" t="inlineStr"/>
      <c r="N32" s="9" t="inlineStr"/>
      <c r="O32" s="9" t="inlineStr"/>
      <c r="P32" s="9" t="inlineStr">
        <is>
          <t>missing</t>
        </is>
      </c>
      <c r="Q32" s="9" t="inlineStr">
        <is>
          <t>no row meets target_tok_s_user</t>
        </is>
      </c>
      <c r="R32" s="9" t="inlineStr"/>
      <c r="S32" s="9" t="inlineStr">
        <is>
          <t>tok_s_user is computed as output_tok_s_gpu/concurrency when source tok_s_user is blank; agentic_derived uses long_chat rows multiplied by the Kimi K2.5 agentic/long ratio.</t>
        </is>
      </c>
    </row>
    <row r="33">
      <c r="A33" s="9" t="inlineStr">
        <is>
          <t>gptoss120b</t>
        </is>
      </c>
      <c r="B33" s="9" t="inlineStr">
        <is>
          <t>gb200</t>
        </is>
      </c>
      <c r="C33" s="9" t="inlineStr">
        <is>
          <t>short_chat</t>
        </is>
      </c>
      <c r="D33" s="9" t="inlineStr">
        <is>
          <t>gptoss120b</t>
        </is>
      </c>
      <c r="E33" s="9" t="n">
        <v>30</v>
      </c>
      <c r="F33" s="9" t="n">
        <v>1024</v>
      </c>
      <c r="G33" s="9" t="n">
        <v>1024</v>
      </c>
      <c r="H33" s="9" t="n">
        <v>0</v>
      </c>
      <c r="I33" s="9" t="n">
        <v>0</v>
      </c>
      <c r="J33" s="9" t="n">
        <v>0</v>
      </c>
      <c r="K33" s="11" t="inlineStr"/>
      <c r="L33" s="21" t="inlineStr"/>
      <c r="M33" s="9" t="inlineStr"/>
      <c r="N33" s="9" t="inlineStr"/>
      <c r="O33" s="9" t="inlineStr"/>
      <c r="P33" s="9" t="inlineStr">
        <is>
          <t>missing</t>
        </is>
      </c>
      <c r="Q33" s="9" t="inlineStr">
        <is>
          <t>no row meets target_tok_s_user</t>
        </is>
      </c>
      <c r="R33" s="9" t="inlineStr"/>
      <c r="S33" s="9" t="inlineStr">
        <is>
          <t>tok_s_user is computed as output_tok_s_gpu/concurrency when source tok_s_user is blank; agentic_derived uses long_chat rows multiplied by the Kimi K2.5 agentic/long ratio.</t>
        </is>
      </c>
    </row>
    <row r="34">
      <c r="A34" s="9" t="inlineStr">
        <is>
          <t>gptoss120b</t>
        </is>
      </c>
      <c r="B34" s="9" t="inlineStr">
        <is>
          <t>gb200</t>
        </is>
      </c>
      <c r="C34" s="9" t="inlineStr">
        <is>
          <t>short_chat</t>
        </is>
      </c>
      <c r="D34" s="9" t="inlineStr">
        <is>
          <t>gptoss120b</t>
        </is>
      </c>
      <c r="E34" s="9" t="n">
        <v>50</v>
      </c>
      <c r="F34" s="9" t="n">
        <v>1024</v>
      </c>
      <c r="G34" s="9" t="n">
        <v>1024</v>
      </c>
      <c r="H34" s="9" t="n">
        <v>0</v>
      </c>
      <c r="I34" s="9" t="n">
        <v>0</v>
      </c>
      <c r="J34" s="9" t="n">
        <v>0</v>
      </c>
      <c r="K34" s="11" t="inlineStr"/>
      <c r="L34" s="21" t="inlineStr"/>
      <c r="M34" s="9" t="inlineStr"/>
      <c r="N34" s="9" t="inlineStr"/>
      <c r="O34" s="9" t="inlineStr"/>
      <c r="P34" s="9" t="inlineStr">
        <is>
          <t>missing</t>
        </is>
      </c>
      <c r="Q34" s="9" t="inlineStr">
        <is>
          <t>no row meets target_tok_s_user</t>
        </is>
      </c>
      <c r="R34" s="9" t="inlineStr"/>
      <c r="S34" s="9" t="inlineStr">
        <is>
          <t>tok_s_user is computed as output_tok_s_gpu/concurrency when source tok_s_user is blank; agentic_derived uses long_chat rows multiplied by the Kimi K2.5 agentic/long ratio.</t>
        </is>
      </c>
    </row>
    <row r="35">
      <c r="A35" s="9" t="inlineStr">
        <is>
          <t>gptoss120b</t>
        </is>
      </c>
      <c r="B35" s="9" t="inlineStr">
        <is>
          <t>gb200</t>
        </is>
      </c>
      <c r="C35" s="9" t="inlineStr">
        <is>
          <t>short_chat</t>
        </is>
      </c>
      <c r="D35" s="9" t="inlineStr">
        <is>
          <t>gptoss120b</t>
        </is>
      </c>
      <c r="E35" s="9" t="n">
        <v>70</v>
      </c>
      <c r="F35" s="9" t="n">
        <v>1024</v>
      </c>
      <c r="G35" s="9" t="n">
        <v>1024</v>
      </c>
      <c r="H35" s="9" t="n">
        <v>0</v>
      </c>
      <c r="I35" s="9" t="n">
        <v>0</v>
      </c>
      <c r="J35" s="9" t="n">
        <v>0</v>
      </c>
      <c r="K35" s="11" t="inlineStr"/>
      <c r="L35" s="21" t="inlineStr"/>
      <c r="M35" s="9" t="inlineStr"/>
      <c r="N35" s="9" t="inlineStr"/>
      <c r="O35" s="9" t="inlineStr"/>
      <c r="P35" s="9" t="inlineStr">
        <is>
          <t>missing</t>
        </is>
      </c>
      <c r="Q35" s="9" t="inlineStr">
        <is>
          <t>no row meets target_tok_s_user</t>
        </is>
      </c>
      <c r="R35" s="9" t="inlineStr"/>
      <c r="S35" s="9" t="inlineStr">
        <is>
          <t>tok_s_user is computed as output_tok_s_gpu/concurrency when source tok_s_user is blank; agentic_derived uses long_chat rows multiplied by the Kimi K2.5 agentic/long ratio.</t>
        </is>
      </c>
    </row>
    <row r="36">
      <c r="A36" s="9" t="inlineStr">
        <is>
          <t>gptoss120b</t>
        </is>
      </c>
      <c r="B36" s="9" t="inlineStr">
        <is>
          <t>gb200</t>
        </is>
      </c>
      <c r="C36" s="9" t="inlineStr">
        <is>
          <t>short_chat</t>
        </is>
      </c>
      <c r="D36" s="9" t="inlineStr">
        <is>
          <t>gptoss120b</t>
        </is>
      </c>
      <c r="E36" s="9" t="n">
        <v>100</v>
      </c>
      <c r="F36" s="9" t="n">
        <v>1024</v>
      </c>
      <c r="G36" s="9" t="n">
        <v>1024</v>
      </c>
      <c r="H36" s="9" t="n">
        <v>0</v>
      </c>
      <c r="I36" s="9" t="n">
        <v>0</v>
      </c>
      <c r="J36" s="9" t="n">
        <v>0</v>
      </c>
      <c r="K36" s="11" t="inlineStr"/>
      <c r="L36" s="21" t="inlineStr"/>
      <c r="M36" s="9" t="inlineStr"/>
      <c r="N36" s="9" t="inlineStr"/>
      <c r="O36" s="9" t="inlineStr"/>
      <c r="P36" s="9" t="inlineStr">
        <is>
          <t>missing</t>
        </is>
      </c>
      <c r="Q36" s="9" t="inlineStr">
        <is>
          <t>no row meets target_tok_s_user</t>
        </is>
      </c>
      <c r="R36" s="9" t="inlineStr"/>
      <c r="S36" s="9" t="inlineStr">
        <is>
          <t>tok_s_user is computed as output_tok_s_gpu/concurrency when source tok_s_user is blank; agentic_derived uses long_chat rows multiplied by the Kimi K2.5 agentic/long ratio.</t>
        </is>
      </c>
    </row>
    <row r="37">
      <c r="A37" s="9" t="inlineStr">
        <is>
          <t>gptoss120b</t>
        </is>
      </c>
      <c r="B37" s="9" t="inlineStr">
        <is>
          <t>gb200</t>
        </is>
      </c>
      <c r="C37" s="9" t="inlineStr">
        <is>
          <t>long_chat</t>
        </is>
      </c>
      <c r="D37" s="9" t="inlineStr">
        <is>
          <t>gptoss120b</t>
        </is>
      </c>
      <c r="E37" s="9" t="n">
        <v>10</v>
      </c>
      <c r="F37" s="9" t="n">
        <v>8192</v>
      </c>
      <c r="G37" s="9" t="n">
        <v>1024</v>
      </c>
      <c r="H37" s="9" t="n">
        <v>0</v>
      </c>
      <c r="I37" s="9" t="n">
        <v>0</v>
      </c>
      <c r="J37" s="9" t="n">
        <v>0</v>
      </c>
      <c r="K37" s="11" t="inlineStr"/>
      <c r="L37" s="21" t="inlineStr"/>
      <c r="M37" s="9" t="inlineStr"/>
      <c r="N37" s="9" t="inlineStr"/>
      <c r="O37" s="9" t="inlineStr"/>
      <c r="P37" s="9" t="inlineStr">
        <is>
          <t>missing</t>
        </is>
      </c>
      <c r="Q37" s="9" t="inlineStr">
        <is>
          <t>no row meets target_tok_s_user</t>
        </is>
      </c>
      <c r="R37" s="9" t="inlineStr"/>
      <c r="S37" s="9" t="inlineStr">
        <is>
          <t>tok_s_user is computed as output_tok_s_gpu/concurrency when source tok_s_user is blank; agentic_derived uses long_chat rows multiplied by the Kimi K2.5 agentic/long ratio.</t>
        </is>
      </c>
    </row>
    <row r="38">
      <c r="A38" s="9" t="inlineStr">
        <is>
          <t>gptoss120b</t>
        </is>
      </c>
      <c r="B38" s="9" t="inlineStr">
        <is>
          <t>gb200</t>
        </is>
      </c>
      <c r="C38" s="9" t="inlineStr">
        <is>
          <t>long_chat</t>
        </is>
      </c>
      <c r="D38" s="9" t="inlineStr">
        <is>
          <t>gptoss120b</t>
        </is>
      </c>
      <c r="E38" s="9" t="n">
        <v>30</v>
      </c>
      <c r="F38" s="9" t="n">
        <v>8192</v>
      </c>
      <c r="G38" s="9" t="n">
        <v>1024</v>
      </c>
      <c r="H38" s="9" t="n">
        <v>0</v>
      </c>
      <c r="I38" s="9" t="n">
        <v>0</v>
      </c>
      <c r="J38" s="9" t="n">
        <v>0</v>
      </c>
      <c r="K38" s="11" t="inlineStr"/>
      <c r="L38" s="21" t="inlineStr"/>
      <c r="M38" s="9" t="inlineStr"/>
      <c r="N38" s="9" t="inlineStr"/>
      <c r="O38" s="9" t="inlineStr"/>
      <c r="P38" s="9" t="inlineStr">
        <is>
          <t>missing</t>
        </is>
      </c>
      <c r="Q38" s="9" t="inlineStr">
        <is>
          <t>no row meets target_tok_s_user</t>
        </is>
      </c>
      <c r="R38" s="9" t="inlineStr"/>
      <c r="S38" s="9" t="inlineStr">
        <is>
          <t>tok_s_user is computed as output_tok_s_gpu/concurrency when source tok_s_user is blank; agentic_derived uses long_chat rows multiplied by the Kimi K2.5 agentic/long ratio.</t>
        </is>
      </c>
    </row>
    <row r="39">
      <c r="A39" s="9" t="inlineStr">
        <is>
          <t>gptoss120b</t>
        </is>
      </c>
      <c r="B39" s="9" t="inlineStr">
        <is>
          <t>gb200</t>
        </is>
      </c>
      <c r="C39" s="9" t="inlineStr">
        <is>
          <t>long_chat</t>
        </is>
      </c>
      <c r="D39" s="9" t="inlineStr">
        <is>
          <t>gptoss120b</t>
        </is>
      </c>
      <c r="E39" s="9" t="n">
        <v>50</v>
      </c>
      <c r="F39" s="9" t="n">
        <v>8192</v>
      </c>
      <c r="G39" s="9" t="n">
        <v>1024</v>
      </c>
      <c r="H39" s="9" t="n">
        <v>0</v>
      </c>
      <c r="I39" s="9" t="n">
        <v>0</v>
      </c>
      <c r="J39" s="9" t="n">
        <v>0</v>
      </c>
      <c r="K39" s="11" t="inlineStr"/>
      <c r="L39" s="21" t="inlineStr"/>
      <c r="M39" s="9" t="inlineStr"/>
      <c r="N39" s="9" t="inlineStr"/>
      <c r="O39" s="9" t="inlineStr"/>
      <c r="P39" s="9" t="inlineStr">
        <is>
          <t>missing</t>
        </is>
      </c>
      <c r="Q39" s="9" t="inlineStr">
        <is>
          <t>no row meets target_tok_s_user</t>
        </is>
      </c>
      <c r="R39" s="9" t="inlineStr"/>
      <c r="S39" s="9" t="inlineStr">
        <is>
          <t>tok_s_user is computed as output_tok_s_gpu/concurrency when source tok_s_user is blank; agentic_derived uses long_chat rows multiplied by the Kimi K2.5 agentic/long ratio.</t>
        </is>
      </c>
    </row>
    <row r="40">
      <c r="A40" s="9" t="inlineStr">
        <is>
          <t>gptoss120b</t>
        </is>
      </c>
      <c r="B40" s="9" t="inlineStr">
        <is>
          <t>gb200</t>
        </is>
      </c>
      <c r="C40" s="9" t="inlineStr">
        <is>
          <t>long_chat</t>
        </is>
      </c>
      <c r="D40" s="9" t="inlineStr">
        <is>
          <t>gptoss120b</t>
        </is>
      </c>
      <c r="E40" s="9" t="n">
        <v>70</v>
      </c>
      <c r="F40" s="9" t="n">
        <v>8192</v>
      </c>
      <c r="G40" s="9" t="n">
        <v>1024</v>
      </c>
      <c r="H40" s="9" t="n">
        <v>0</v>
      </c>
      <c r="I40" s="9" t="n">
        <v>0</v>
      </c>
      <c r="J40" s="9" t="n">
        <v>0</v>
      </c>
      <c r="K40" s="11" t="inlineStr"/>
      <c r="L40" s="21" t="inlineStr"/>
      <c r="M40" s="9" t="inlineStr"/>
      <c r="N40" s="9" t="inlineStr"/>
      <c r="O40" s="9" t="inlineStr"/>
      <c r="P40" s="9" t="inlineStr">
        <is>
          <t>missing</t>
        </is>
      </c>
      <c r="Q40" s="9" t="inlineStr">
        <is>
          <t>no row meets target_tok_s_user</t>
        </is>
      </c>
      <c r="R40" s="9" t="inlineStr"/>
      <c r="S40" s="9" t="inlineStr">
        <is>
          <t>tok_s_user is computed as output_tok_s_gpu/concurrency when source tok_s_user is blank; agentic_derived uses long_chat rows multiplied by the Kimi K2.5 agentic/long ratio.</t>
        </is>
      </c>
    </row>
    <row r="41">
      <c r="A41" s="9" t="inlineStr">
        <is>
          <t>gptoss120b</t>
        </is>
      </c>
      <c r="B41" s="9" t="inlineStr">
        <is>
          <t>gb200</t>
        </is>
      </c>
      <c r="C41" s="9" t="inlineStr">
        <is>
          <t>long_chat</t>
        </is>
      </c>
      <c r="D41" s="9" t="inlineStr">
        <is>
          <t>gptoss120b</t>
        </is>
      </c>
      <c r="E41" s="9" t="n">
        <v>100</v>
      </c>
      <c r="F41" s="9" t="n">
        <v>8192</v>
      </c>
      <c r="G41" s="9" t="n">
        <v>1024</v>
      </c>
      <c r="H41" s="9" t="n">
        <v>0</v>
      </c>
      <c r="I41" s="9" t="n">
        <v>0</v>
      </c>
      <c r="J41" s="9" t="n">
        <v>0</v>
      </c>
      <c r="K41" s="11" t="inlineStr"/>
      <c r="L41" s="21" t="inlineStr"/>
      <c r="M41" s="9" t="inlineStr"/>
      <c r="N41" s="9" t="inlineStr"/>
      <c r="O41" s="9" t="inlineStr"/>
      <c r="P41" s="9" t="inlineStr">
        <is>
          <t>missing</t>
        </is>
      </c>
      <c r="Q41" s="9" t="inlineStr">
        <is>
          <t>no row meets target_tok_s_user</t>
        </is>
      </c>
      <c r="R41" s="9" t="inlineStr"/>
      <c r="S41" s="9" t="inlineStr">
        <is>
          <t>tok_s_user is computed as output_tok_s_gpu/concurrency when source tok_s_user is blank; agentic_derived uses long_chat rows multiplied by the Kimi K2.5 agentic/long ratio.</t>
        </is>
      </c>
    </row>
    <row r="42">
      <c r="A42" s="9" t="inlineStr">
        <is>
          <t>gptoss120b</t>
        </is>
      </c>
      <c r="B42" s="9" t="inlineStr">
        <is>
          <t>gb200</t>
        </is>
      </c>
      <c r="C42" s="9" t="inlineStr">
        <is>
          <t>agentic_derived</t>
        </is>
      </c>
      <c r="D42" s="9" t="inlineStr">
        <is>
          <t>gptoss120b</t>
        </is>
      </c>
      <c r="E42" s="9" t="n">
        <v>10</v>
      </c>
      <c r="F42" s="9" t="n">
        <v>100947</v>
      </c>
      <c r="G42" s="9" t="n">
        <v>860</v>
      </c>
      <c r="H42" s="9" t="n">
        <v>0</v>
      </c>
      <c r="I42" s="9" t="n">
        <v>0</v>
      </c>
      <c r="J42" s="9" t="n">
        <v>0</v>
      </c>
      <c r="K42" s="11" t="inlineStr"/>
      <c r="L42" s="21" t="inlineStr"/>
      <c r="M42" s="9" t="inlineStr"/>
      <c r="N42" s="9" t="inlineStr"/>
      <c r="O42" s="9" t="inlineStr"/>
      <c r="P42" s="9" t="inlineStr">
        <is>
          <t>missing</t>
        </is>
      </c>
      <c r="Q42" s="9" t="inlineStr">
        <is>
          <t>no row meets target_tok_s_user</t>
        </is>
      </c>
      <c r="R42" s="9" t="inlineStr"/>
      <c r="S42" s="9" t="inlineStr">
        <is>
          <t>tok_s_user is computed as output_tok_s_gpu/concurrency when source tok_s_user is blank; agentic_derived uses long_chat rows multiplied by the Kimi K2.5 agentic/long ratio.</t>
        </is>
      </c>
    </row>
    <row r="43">
      <c r="A43" s="9" t="inlineStr">
        <is>
          <t>gptoss120b</t>
        </is>
      </c>
      <c r="B43" s="9" t="inlineStr">
        <is>
          <t>gb200</t>
        </is>
      </c>
      <c r="C43" s="9" t="inlineStr">
        <is>
          <t>agentic_derived</t>
        </is>
      </c>
      <c r="D43" s="9" t="inlineStr">
        <is>
          <t>gptoss120b</t>
        </is>
      </c>
      <c r="E43" s="9" t="n">
        <v>30</v>
      </c>
      <c r="F43" s="9" t="n">
        <v>100947</v>
      </c>
      <c r="G43" s="9" t="n">
        <v>860</v>
      </c>
      <c r="H43" s="9" t="n">
        <v>0</v>
      </c>
      <c r="I43" s="9" t="n">
        <v>0</v>
      </c>
      <c r="J43" s="9" t="n">
        <v>0</v>
      </c>
      <c r="K43" s="11" t="inlineStr"/>
      <c r="L43" s="21" t="inlineStr"/>
      <c r="M43" s="9" t="inlineStr"/>
      <c r="N43" s="9" t="inlineStr"/>
      <c r="O43" s="9" t="inlineStr"/>
      <c r="P43" s="9" t="inlineStr">
        <is>
          <t>missing</t>
        </is>
      </c>
      <c r="Q43" s="9" t="inlineStr">
        <is>
          <t>no row meets target_tok_s_user</t>
        </is>
      </c>
      <c r="R43" s="9" t="inlineStr"/>
      <c r="S43" s="9" t="inlineStr">
        <is>
          <t>tok_s_user is computed as output_tok_s_gpu/concurrency when source tok_s_user is blank; agentic_derived uses long_chat rows multiplied by the Kimi K2.5 agentic/long ratio.</t>
        </is>
      </c>
    </row>
    <row r="44">
      <c r="A44" s="9" t="inlineStr">
        <is>
          <t>gptoss120b</t>
        </is>
      </c>
      <c r="B44" s="9" t="inlineStr">
        <is>
          <t>gb200</t>
        </is>
      </c>
      <c r="C44" s="9" t="inlineStr">
        <is>
          <t>agentic_derived</t>
        </is>
      </c>
      <c r="D44" s="9" t="inlineStr">
        <is>
          <t>gptoss120b</t>
        </is>
      </c>
      <c r="E44" s="9" t="n">
        <v>50</v>
      </c>
      <c r="F44" s="9" t="n">
        <v>100947</v>
      </c>
      <c r="G44" s="9" t="n">
        <v>860</v>
      </c>
      <c r="H44" s="9" t="n">
        <v>0</v>
      </c>
      <c r="I44" s="9" t="n">
        <v>0</v>
      </c>
      <c r="J44" s="9" t="n">
        <v>0</v>
      </c>
      <c r="K44" s="11" t="inlineStr"/>
      <c r="L44" s="21" t="inlineStr"/>
      <c r="M44" s="9" t="inlineStr"/>
      <c r="N44" s="9" t="inlineStr"/>
      <c r="O44" s="9" t="inlineStr"/>
      <c r="P44" s="9" t="inlineStr">
        <is>
          <t>missing</t>
        </is>
      </c>
      <c r="Q44" s="9" t="inlineStr">
        <is>
          <t>no row meets target_tok_s_user</t>
        </is>
      </c>
      <c r="R44" s="9" t="inlineStr"/>
      <c r="S44" s="9" t="inlineStr">
        <is>
          <t>tok_s_user is computed as output_tok_s_gpu/concurrency when source tok_s_user is blank; agentic_derived uses long_chat rows multiplied by the Kimi K2.5 agentic/long ratio.</t>
        </is>
      </c>
    </row>
    <row r="45">
      <c r="A45" s="9" t="inlineStr">
        <is>
          <t>gptoss120b</t>
        </is>
      </c>
      <c r="B45" s="9" t="inlineStr">
        <is>
          <t>gb200</t>
        </is>
      </c>
      <c r="C45" s="9" t="inlineStr">
        <is>
          <t>agentic_derived</t>
        </is>
      </c>
      <c r="D45" s="9" t="inlineStr">
        <is>
          <t>gptoss120b</t>
        </is>
      </c>
      <c r="E45" s="9" t="n">
        <v>70</v>
      </c>
      <c r="F45" s="9" t="n">
        <v>100947</v>
      </c>
      <c r="G45" s="9" t="n">
        <v>860</v>
      </c>
      <c r="H45" s="9" t="n">
        <v>0</v>
      </c>
      <c r="I45" s="9" t="n">
        <v>0</v>
      </c>
      <c r="J45" s="9" t="n">
        <v>0</v>
      </c>
      <c r="K45" s="11" t="inlineStr"/>
      <c r="L45" s="21" t="inlineStr"/>
      <c r="M45" s="9" t="inlineStr"/>
      <c r="N45" s="9" t="inlineStr"/>
      <c r="O45" s="9" t="inlineStr"/>
      <c r="P45" s="9" t="inlineStr">
        <is>
          <t>missing</t>
        </is>
      </c>
      <c r="Q45" s="9" t="inlineStr">
        <is>
          <t>no row meets target_tok_s_user</t>
        </is>
      </c>
      <c r="R45" s="9" t="inlineStr"/>
      <c r="S45" s="9" t="inlineStr">
        <is>
          <t>tok_s_user is computed as output_tok_s_gpu/concurrency when source tok_s_user is blank; agentic_derived uses long_chat rows multiplied by the Kimi K2.5 agentic/long ratio.</t>
        </is>
      </c>
    </row>
    <row r="46">
      <c r="A46" s="9" t="inlineStr">
        <is>
          <t>gptoss120b</t>
        </is>
      </c>
      <c r="B46" s="9" t="inlineStr">
        <is>
          <t>gb200</t>
        </is>
      </c>
      <c r="C46" s="9" t="inlineStr">
        <is>
          <t>agentic_derived</t>
        </is>
      </c>
      <c r="D46" s="9" t="inlineStr">
        <is>
          <t>gptoss120b</t>
        </is>
      </c>
      <c r="E46" s="9" t="n">
        <v>100</v>
      </c>
      <c r="F46" s="9" t="n">
        <v>100947</v>
      </c>
      <c r="G46" s="9" t="n">
        <v>860</v>
      </c>
      <c r="H46" s="9" t="n">
        <v>0</v>
      </c>
      <c r="I46" s="9" t="n">
        <v>0</v>
      </c>
      <c r="J46" s="9" t="n">
        <v>0</v>
      </c>
      <c r="K46" s="11" t="inlineStr"/>
      <c r="L46" s="21" t="inlineStr"/>
      <c r="M46" s="9" t="inlineStr"/>
      <c r="N46" s="9" t="inlineStr"/>
      <c r="O46" s="9" t="inlineStr"/>
      <c r="P46" s="9" t="inlineStr">
        <is>
          <t>missing</t>
        </is>
      </c>
      <c r="Q46" s="9" t="inlineStr">
        <is>
          <t>no row meets target_tok_s_user</t>
        </is>
      </c>
      <c r="R46" s="9" t="inlineStr"/>
      <c r="S46" s="9" t="inlineStr">
        <is>
          <t>tok_s_user is computed as output_tok_s_gpu/concurrency when source tok_s_user is blank; agentic_derived uses long_chat rows multiplied by the Kimi K2.5 agentic/long ratio.</t>
        </is>
      </c>
    </row>
    <row r="47">
      <c r="A47" s="3" t="inlineStr">
        <is>
          <t>frontier_composite</t>
        </is>
      </c>
      <c r="B47" s="3" t="inlineStr">
        <is>
          <t>h200</t>
        </is>
      </c>
      <c r="C47" s="3" t="inlineStr">
        <is>
          <t>short_chat</t>
        </is>
      </c>
      <c r="D47" s="3" t="inlineStr">
        <is>
          <t>gptoss120b</t>
        </is>
      </c>
      <c r="E47" s="3" t="n">
        <v>10</v>
      </c>
      <c r="F47" s="3" t="n">
        <v>1024</v>
      </c>
      <c r="G47" s="3" t="n">
        <v>1024</v>
      </c>
      <c r="H47" s="3" t="n">
        <v>990</v>
      </c>
      <c r="I47" s="3" t="n">
        <v>990</v>
      </c>
      <c r="J47" s="3" t="n">
        <v>0</v>
      </c>
      <c r="K47" s="19" t="n">
        <v>1459609</v>
      </c>
      <c r="L47" s="20" t="n">
        <v>39.46</v>
      </c>
      <c r="M47" s="3" t="n">
        <v>64</v>
      </c>
      <c r="N47" s="3" t="inlineStr">
        <is>
          <t>vllm</t>
        </is>
      </c>
      <c r="O47" s="3" t="inlineStr">
        <is>
          <t>fp4</t>
        </is>
      </c>
      <c r="P47" s="3" t="inlineStr">
        <is>
          <t>selected_public_max</t>
        </is>
      </c>
      <c r="Q47" s="3" t="inlineStr">
        <is>
          <t>public max among eligible rows</t>
        </is>
      </c>
      <c r="R47" s="3" t="inlineStr">
        <is>
          <t>2025-10-20T00:00:00.000Z</t>
        </is>
      </c>
      <c r="S47" s="3" t="inlineStr">
        <is>
          <t>tok_s_user is computed as output_tok_s_gpu/concurrency when source tok_s_user is blank; agentic_derived uses long_chat rows multiplied by the Kimi K2.5 agentic/long ratio.</t>
        </is>
      </c>
    </row>
    <row r="48">
      <c r="A48" s="3" t="inlineStr">
        <is>
          <t>frontier_composite</t>
        </is>
      </c>
      <c r="B48" s="3" t="inlineStr">
        <is>
          <t>h200</t>
        </is>
      </c>
      <c r="C48" s="3" t="inlineStr">
        <is>
          <t>short_chat</t>
        </is>
      </c>
      <c r="D48" s="3" t="inlineStr">
        <is>
          <t>gptoss120b</t>
        </is>
      </c>
      <c r="E48" s="3" t="n">
        <v>30</v>
      </c>
      <c r="F48" s="3" t="n">
        <v>1024</v>
      </c>
      <c r="G48" s="3" t="n">
        <v>1024</v>
      </c>
      <c r="H48" s="3" t="n">
        <v>990</v>
      </c>
      <c r="I48" s="3" t="n">
        <v>691</v>
      </c>
      <c r="J48" s="3" t="n">
        <v>0</v>
      </c>
      <c r="K48" s="19" t="n">
        <v>1459609</v>
      </c>
      <c r="L48" s="20" t="n">
        <v>39.46</v>
      </c>
      <c r="M48" s="3" t="n">
        <v>64</v>
      </c>
      <c r="N48" s="3" t="inlineStr">
        <is>
          <t>vllm</t>
        </is>
      </c>
      <c r="O48" s="3" t="inlineStr">
        <is>
          <t>fp4</t>
        </is>
      </c>
      <c r="P48" s="3" t="inlineStr">
        <is>
          <t>selected_public_max</t>
        </is>
      </c>
      <c r="Q48" s="3" t="inlineStr">
        <is>
          <t>public max among eligible rows</t>
        </is>
      </c>
      <c r="R48" s="3" t="inlineStr">
        <is>
          <t>2025-10-20T00:00:00.000Z</t>
        </is>
      </c>
      <c r="S48" s="3" t="inlineStr">
        <is>
          <t>tok_s_user is computed as output_tok_s_gpu/concurrency when source tok_s_user is blank; agentic_derived uses long_chat rows multiplied by the Kimi K2.5 agentic/long ratio.</t>
        </is>
      </c>
    </row>
    <row r="49">
      <c r="A49" s="3" t="inlineStr">
        <is>
          <t>frontier_composite</t>
        </is>
      </c>
      <c r="B49" s="3" t="inlineStr">
        <is>
          <t>h200</t>
        </is>
      </c>
      <c r="C49" s="3" t="inlineStr">
        <is>
          <t>short_chat</t>
        </is>
      </c>
      <c r="D49" s="3" t="inlineStr">
        <is>
          <t>gptoss120b</t>
        </is>
      </c>
      <c r="E49" s="3" t="n">
        <v>50</v>
      </c>
      <c r="F49" s="3" t="n">
        <v>1024</v>
      </c>
      <c r="G49" s="3" t="n">
        <v>1024</v>
      </c>
      <c r="H49" s="3" t="n">
        <v>990</v>
      </c>
      <c r="I49" s="3" t="n">
        <v>334</v>
      </c>
      <c r="J49" s="3" t="n">
        <v>0</v>
      </c>
      <c r="K49" s="19" t="n">
        <v>1037487</v>
      </c>
      <c r="L49" s="20" t="n">
        <v>56.09</v>
      </c>
      <c r="M49" s="3" t="n">
        <v>32</v>
      </c>
      <c r="N49" s="3" t="inlineStr">
        <is>
          <t>vllm</t>
        </is>
      </c>
      <c r="O49" s="3" t="inlineStr">
        <is>
          <t>fp4</t>
        </is>
      </c>
      <c r="P49" s="3" t="inlineStr">
        <is>
          <t>selected_public_max</t>
        </is>
      </c>
      <c r="Q49" s="3" t="inlineStr">
        <is>
          <t>public max among eligible rows</t>
        </is>
      </c>
      <c r="R49" s="3" t="inlineStr">
        <is>
          <t>2025-10-31T00:00:00.000Z</t>
        </is>
      </c>
      <c r="S49" s="3" t="inlineStr">
        <is>
          <t>tok_s_user is computed as output_tok_s_gpu/concurrency when source tok_s_user is blank; agentic_derived uses long_chat rows multiplied by the Kimi K2.5 agentic/long ratio.</t>
        </is>
      </c>
    </row>
    <row r="50">
      <c r="A50" s="3" t="inlineStr">
        <is>
          <t>frontier_composite</t>
        </is>
      </c>
      <c r="B50" s="3" t="inlineStr">
        <is>
          <t>h200</t>
        </is>
      </c>
      <c r="C50" s="3" t="inlineStr">
        <is>
          <t>short_chat</t>
        </is>
      </c>
      <c r="D50" s="3" t="inlineStr">
        <is>
          <t>gptoss120b</t>
        </is>
      </c>
      <c r="E50" s="3" t="n">
        <v>70</v>
      </c>
      <c r="F50" s="3" t="n">
        <v>1024</v>
      </c>
      <c r="G50" s="3" t="n">
        <v>1024</v>
      </c>
      <c r="H50" s="3" t="n">
        <v>990</v>
      </c>
      <c r="I50" s="3" t="n">
        <v>202</v>
      </c>
      <c r="J50" s="3" t="n">
        <v>0</v>
      </c>
      <c r="K50" s="19" t="n">
        <v>728459</v>
      </c>
      <c r="L50" s="20" t="n">
        <v>78.76000000000001</v>
      </c>
      <c r="M50" s="3" t="n">
        <v>16</v>
      </c>
      <c r="N50" s="3" t="inlineStr">
        <is>
          <t>vllm</t>
        </is>
      </c>
      <c r="O50" s="3" t="inlineStr">
        <is>
          <t>fp4</t>
        </is>
      </c>
      <c r="P50" s="3" t="inlineStr">
        <is>
          <t>selected_public_max</t>
        </is>
      </c>
      <c r="Q50" s="3" t="inlineStr">
        <is>
          <t>public max among eligible rows</t>
        </is>
      </c>
      <c r="R50" s="3" t="inlineStr">
        <is>
          <t>2025-10-20T00:00:00.000Z</t>
        </is>
      </c>
      <c r="S50" s="3" t="inlineStr">
        <is>
          <t>tok_s_user is computed as output_tok_s_gpu/concurrency when source tok_s_user is blank; agentic_derived uses long_chat rows multiplied by the Kimi K2.5 agentic/long ratio.</t>
        </is>
      </c>
    </row>
    <row r="51">
      <c r="A51" s="3" t="inlineStr">
        <is>
          <t>frontier_composite</t>
        </is>
      </c>
      <c r="B51" s="3" t="inlineStr">
        <is>
          <t>h200</t>
        </is>
      </c>
      <c r="C51" s="3" t="inlineStr">
        <is>
          <t>short_chat</t>
        </is>
      </c>
      <c r="D51" s="3" t="inlineStr">
        <is>
          <t>gptoss120b</t>
        </is>
      </c>
      <c r="E51" s="3" t="n">
        <v>100</v>
      </c>
      <c r="F51" s="3" t="n">
        <v>1024</v>
      </c>
      <c r="G51" s="3" t="n">
        <v>1024</v>
      </c>
      <c r="H51" s="3" t="n">
        <v>990</v>
      </c>
      <c r="I51" s="3" t="n">
        <v>73</v>
      </c>
      <c r="J51" s="3" t="n">
        <v>0</v>
      </c>
      <c r="K51" s="19" t="n">
        <v>505857</v>
      </c>
      <c r="L51" s="20" t="n">
        <v>109.39</v>
      </c>
      <c r="M51" s="3" t="n">
        <v>8</v>
      </c>
      <c r="N51" s="3" t="inlineStr">
        <is>
          <t>vllm</t>
        </is>
      </c>
      <c r="O51" s="3" t="inlineStr">
        <is>
          <t>fp4</t>
        </is>
      </c>
      <c r="P51" s="3" t="inlineStr">
        <is>
          <t>selected_public_max</t>
        </is>
      </c>
      <c r="Q51" s="3" t="inlineStr">
        <is>
          <t>public max among eligible rows</t>
        </is>
      </c>
      <c r="R51" s="3" t="inlineStr">
        <is>
          <t>2025-10-30T00:00:00.000Z</t>
        </is>
      </c>
      <c r="S51" s="3" t="inlineStr">
        <is>
          <t>tok_s_user is computed as output_tok_s_gpu/concurrency when source tok_s_user is blank; agentic_derived uses long_chat rows multiplied by the Kimi K2.5 agentic/long ratio.</t>
        </is>
      </c>
    </row>
    <row r="52">
      <c r="A52" s="3" t="inlineStr">
        <is>
          <t>frontier_composite</t>
        </is>
      </c>
      <c r="B52" s="3" t="inlineStr">
        <is>
          <t>h200</t>
        </is>
      </c>
      <c r="C52" s="3" t="inlineStr">
        <is>
          <t>long_chat</t>
        </is>
      </c>
      <c r="D52" s="3" t="inlineStr">
        <is>
          <t>gptoss120b</t>
        </is>
      </c>
      <c r="E52" s="3" t="n">
        <v>10</v>
      </c>
      <c r="F52" s="3" t="n">
        <v>8192</v>
      </c>
      <c r="G52" s="3" t="n">
        <v>1024</v>
      </c>
      <c r="H52" s="3" t="n">
        <v>1164</v>
      </c>
      <c r="I52" s="3" t="n">
        <v>1149</v>
      </c>
      <c r="J52" s="3" t="n">
        <v>0</v>
      </c>
      <c r="K52" s="19" t="n">
        <v>1451169</v>
      </c>
      <c r="L52" s="20" t="n">
        <v>39.23</v>
      </c>
      <c r="M52" s="3" t="n">
        <v>64</v>
      </c>
      <c r="N52" s="3" t="inlineStr">
        <is>
          <t>vllm</t>
        </is>
      </c>
      <c r="O52" s="3" t="inlineStr">
        <is>
          <t>fp4</t>
        </is>
      </c>
      <c r="P52" s="3" t="inlineStr">
        <is>
          <t>selected_public_max</t>
        </is>
      </c>
      <c r="Q52" s="3" t="inlineStr">
        <is>
          <t>public max among eligible rows</t>
        </is>
      </c>
      <c r="R52" s="3" t="inlineStr">
        <is>
          <t>2025-11-04T00:00:00.000Z</t>
        </is>
      </c>
      <c r="S52" s="3" t="inlineStr">
        <is>
          <t>tok_s_user is computed as output_tok_s_gpu/concurrency when source tok_s_user is blank; agentic_derived uses long_chat rows multiplied by the Kimi K2.5 agentic/long ratio.</t>
        </is>
      </c>
    </row>
    <row r="53">
      <c r="A53" s="3" t="inlineStr">
        <is>
          <t>frontier_composite</t>
        </is>
      </c>
      <c r="B53" s="3" t="inlineStr">
        <is>
          <t>h200</t>
        </is>
      </c>
      <c r="C53" s="3" t="inlineStr">
        <is>
          <t>long_chat</t>
        </is>
      </c>
      <c r="D53" s="3" t="inlineStr">
        <is>
          <t>gptoss120b</t>
        </is>
      </c>
      <c r="E53" s="3" t="n">
        <v>30</v>
      </c>
      <c r="F53" s="3" t="n">
        <v>8192</v>
      </c>
      <c r="G53" s="3" t="n">
        <v>1024</v>
      </c>
      <c r="H53" s="3" t="n">
        <v>1164</v>
      </c>
      <c r="I53" s="3" t="n">
        <v>619</v>
      </c>
      <c r="J53" s="3" t="n">
        <v>0</v>
      </c>
      <c r="K53" s="19" t="n">
        <v>1451169</v>
      </c>
      <c r="L53" s="20" t="n">
        <v>39.23</v>
      </c>
      <c r="M53" s="3" t="n">
        <v>64</v>
      </c>
      <c r="N53" s="3" t="inlineStr">
        <is>
          <t>vllm</t>
        </is>
      </c>
      <c r="O53" s="3" t="inlineStr">
        <is>
          <t>fp4</t>
        </is>
      </c>
      <c r="P53" s="3" t="inlineStr">
        <is>
          <t>selected_public_max</t>
        </is>
      </c>
      <c r="Q53" s="3" t="inlineStr">
        <is>
          <t>public max among eligible rows</t>
        </is>
      </c>
      <c r="R53" s="3" t="inlineStr">
        <is>
          <t>2025-11-04T00:00:00.000Z</t>
        </is>
      </c>
      <c r="S53" s="3" t="inlineStr">
        <is>
          <t>tok_s_user is computed as output_tok_s_gpu/concurrency when source tok_s_user is blank; agentic_derived uses long_chat rows multiplied by the Kimi K2.5 agentic/long ratio.</t>
        </is>
      </c>
    </row>
    <row r="54">
      <c r="A54" s="3" t="inlineStr">
        <is>
          <t>frontier_composite</t>
        </is>
      </c>
      <c r="B54" s="3" t="inlineStr">
        <is>
          <t>h200</t>
        </is>
      </c>
      <c r="C54" s="3" t="inlineStr">
        <is>
          <t>long_chat</t>
        </is>
      </c>
      <c r="D54" s="3" t="inlineStr">
        <is>
          <t>gptoss120b</t>
        </is>
      </c>
      <c r="E54" s="3" t="n">
        <v>50</v>
      </c>
      <c r="F54" s="3" t="n">
        <v>8192</v>
      </c>
      <c r="G54" s="3" t="n">
        <v>1024</v>
      </c>
      <c r="H54" s="3" t="n">
        <v>1164</v>
      </c>
      <c r="I54" s="3" t="n">
        <v>346</v>
      </c>
      <c r="J54" s="3" t="n">
        <v>0</v>
      </c>
      <c r="K54" s="19" t="n">
        <v>1035150</v>
      </c>
      <c r="L54" s="20" t="n">
        <v>55.96</v>
      </c>
      <c r="M54" s="3" t="n">
        <v>32</v>
      </c>
      <c r="N54" s="3" t="inlineStr">
        <is>
          <t>vllm</t>
        </is>
      </c>
      <c r="O54" s="3" t="inlineStr">
        <is>
          <t>fp4</t>
        </is>
      </c>
      <c r="P54" s="3" t="inlineStr">
        <is>
          <t>selected_public_max</t>
        </is>
      </c>
      <c r="Q54" s="3" t="inlineStr">
        <is>
          <t>public max among eligible rows</t>
        </is>
      </c>
      <c r="R54" s="3" t="inlineStr">
        <is>
          <t>2025-11-04T00:00:00.000Z</t>
        </is>
      </c>
      <c r="S54" s="3" t="inlineStr">
        <is>
          <t>tok_s_user is computed as output_tok_s_gpu/concurrency when source tok_s_user is blank; agentic_derived uses long_chat rows multiplied by the Kimi K2.5 agentic/long ratio.</t>
        </is>
      </c>
    </row>
    <row r="55">
      <c r="A55" s="3" t="inlineStr">
        <is>
          <t>frontier_composite</t>
        </is>
      </c>
      <c r="B55" s="3" t="inlineStr">
        <is>
          <t>h200</t>
        </is>
      </c>
      <c r="C55" s="3" t="inlineStr">
        <is>
          <t>long_chat</t>
        </is>
      </c>
      <c r="D55" s="3" t="inlineStr">
        <is>
          <t>gptoss120b</t>
        </is>
      </c>
      <c r="E55" s="3" t="n">
        <v>70</v>
      </c>
      <c r="F55" s="3" t="n">
        <v>8192</v>
      </c>
      <c r="G55" s="3" t="n">
        <v>1024</v>
      </c>
      <c r="H55" s="3" t="n">
        <v>1164</v>
      </c>
      <c r="I55" s="3" t="n">
        <v>184</v>
      </c>
      <c r="J55" s="3" t="n">
        <v>0</v>
      </c>
      <c r="K55" s="19" t="n">
        <v>649279</v>
      </c>
      <c r="L55" s="20" t="n">
        <v>70.2</v>
      </c>
      <c r="M55" s="3" t="n">
        <v>16</v>
      </c>
      <c r="N55" s="3" t="inlineStr">
        <is>
          <t>vllm</t>
        </is>
      </c>
      <c r="O55" s="3" t="inlineStr">
        <is>
          <t>fp4</t>
        </is>
      </c>
      <c r="P55" s="3" t="inlineStr">
        <is>
          <t>selected_public_max</t>
        </is>
      </c>
      <c r="Q55" s="3" t="inlineStr">
        <is>
          <t>public max among eligible rows</t>
        </is>
      </c>
      <c r="R55" s="3" t="inlineStr">
        <is>
          <t>2026-05-13T00:00:00.000Z</t>
        </is>
      </c>
      <c r="S55" s="3" t="inlineStr">
        <is>
          <t>tok_s_user is computed as output_tok_s_gpu/concurrency when source tok_s_user is blank; agentic_derived uses long_chat rows multiplied by the Kimi K2.5 agentic/long ratio.</t>
        </is>
      </c>
    </row>
    <row r="56">
      <c r="A56" s="3" t="inlineStr">
        <is>
          <t>frontier_composite</t>
        </is>
      </c>
      <c r="B56" s="3" t="inlineStr">
        <is>
          <t>h200</t>
        </is>
      </c>
      <c r="C56" s="3" t="inlineStr">
        <is>
          <t>long_chat</t>
        </is>
      </c>
      <c r="D56" s="3" t="inlineStr">
        <is>
          <t>gptoss120b</t>
        </is>
      </c>
      <c r="E56" s="3" t="n">
        <v>100</v>
      </c>
      <c r="F56" s="3" t="n">
        <v>8192</v>
      </c>
      <c r="G56" s="3" t="n">
        <v>1024</v>
      </c>
      <c r="H56" s="3" t="n">
        <v>1164</v>
      </c>
      <c r="I56" s="3" t="n">
        <v>62</v>
      </c>
      <c r="J56" s="3" t="n">
        <v>0</v>
      </c>
      <c r="K56" s="19" t="n">
        <v>329414</v>
      </c>
      <c r="L56" s="20" t="n">
        <v>142.47</v>
      </c>
      <c r="M56" s="3" t="n">
        <v>4</v>
      </c>
      <c r="N56" s="3" t="inlineStr">
        <is>
          <t>vllm</t>
        </is>
      </c>
      <c r="O56" s="3" t="inlineStr">
        <is>
          <t>fp4</t>
        </is>
      </c>
      <c r="P56" s="3" t="inlineStr">
        <is>
          <t>selected_public_max</t>
        </is>
      </c>
      <c r="Q56" s="3" t="inlineStr">
        <is>
          <t>public max among eligible rows</t>
        </is>
      </c>
      <c r="R56" s="3" t="inlineStr">
        <is>
          <t>2025-11-04T00:00:00.000Z</t>
        </is>
      </c>
      <c r="S56" s="3" t="inlineStr">
        <is>
          <t>tok_s_user is computed as output_tok_s_gpu/concurrency when source tok_s_user is blank; agentic_derived uses long_chat rows multiplied by the Kimi K2.5 agentic/long ratio.</t>
        </is>
      </c>
    </row>
    <row r="57">
      <c r="A57" s="3" t="inlineStr">
        <is>
          <t>frontier_composite</t>
        </is>
      </c>
      <c r="B57" s="3" t="inlineStr">
        <is>
          <t>h200</t>
        </is>
      </c>
      <c r="C57" s="3" t="inlineStr">
        <is>
          <t>agentic_derived</t>
        </is>
      </c>
      <c r="D57" s="3" t="inlineStr">
        <is>
          <t>gptoss120b</t>
        </is>
      </c>
      <c r="E57" s="3" t="n">
        <v>10</v>
      </c>
      <c r="F57" s="3" t="n">
        <v>8192</v>
      </c>
      <c r="G57" s="3" t="n">
        <v>1024</v>
      </c>
      <c r="H57" s="3" t="n">
        <v>1164</v>
      </c>
      <c r="I57" s="3" t="n">
        <v>62</v>
      </c>
      <c r="J57" s="3" t="n">
        <v>0</v>
      </c>
      <c r="K57" s="19" t="n">
        <v>35806</v>
      </c>
      <c r="L57" s="20" t="n">
        <v>15.49</v>
      </c>
      <c r="M57" s="3" t="n">
        <v>4</v>
      </c>
      <c r="N57" s="3" t="inlineStr">
        <is>
          <t>vllm</t>
        </is>
      </c>
      <c r="O57" s="3" t="inlineStr">
        <is>
          <t>fp4</t>
        </is>
      </c>
      <c r="P57" s="3" t="inlineStr">
        <is>
          <t>selected_public_max</t>
        </is>
      </c>
      <c r="Q57" s="3" t="inlineStr">
        <is>
          <t>public max among eligible rows</t>
        </is>
      </c>
      <c r="R57" s="3" t="inlineStr">
        <is>
          <t>2025-11-04T00:00:00.000Z</t>
        </is>
      </c>
      <c r="S57" s="3" t="inlineStr">
        <is>
          <t>tok_s_user is computed as output_tok_s_gpu/concurrency when source tok_s_user is blank; agentic_derived uses long_chat rows multiplied by the Kimi K2.5 agentic/long ratio.</t>
        </is>
      </c>
    </row>
    <row r="58">
      <c r="A58" s="9" t="inlineStr">
        <is>
          <t>frontier_composite</t>
        </is>
      </c>
      <c r="B58" s="9" t="inlineStr">
        <is>
          <t>h200</t>
        </is>
      </c>
      <c r="C58" s="9" t="inlineStr">
        <is>
          <t>agentic_derived</t>
        </is>
      </c>
      <c r="D58" s="9" t="inlineStr">
        <is>
          <t>gptoss120b</t>
        </is>
      </c>
      <c r="E58" s="9" t="n">
        <v>30</v>
      </c>
      <c r="F58" s="9" t="n">
        <v>100947</v>
      </c>
      <c r="G58" s="9" t="n">
        <v>860</v>
      </c>
      <c r="H58" s="9" t="n">
        <v>1164</v>
      </c>
      <c r="I58" s="9" t="n">
        <v>0</v>
      </c>
      <c r="J58" s="9" t="n">
        <v>0</v>
      </c>
      <c r="K58" s="11" t="inlineStr"/>
      <c r="L58" s="21" t="inlineStr"/>
      <c r="M58" s="9" t="inlineStr"/>
      <c r="N58" s="9" t="inlineStr"/>
      <c r="O58" s="9" t="inlineStr"/>
      <c r="P58" s="9" t="inlineStr">
        <is>
          <t>missing</t>
        </is>
      </c>
      <c r="Q58" s="9" t="inlineStr">
        <is>
          <t>no row meets target_tok_s_user</t>
        </is>
      </c>
      <c r="R58" s="9" t="inlineStr"/>
      <c r="S58" s="9" t="inlineStr">
        <is>
          <t>tok_s_user is computed as output_tok_s_gpu/concurrency when source tok_s_user is blank; agentic_derived uses long_chat rows multiplied by the Kimi K2.5 agentic/long ratio.</t>
        </is>
      </c>
    </row>
    <row r="59">
      <c r="A59" s="9" t="inlineStr">
        <is>
          <t>frontier_composite</t>
        </is>
      </c>
      <c r="B59" s="9" t="inlineStr">
        <is>
          <t>h200</t>
        </is>
      </c>
      <c r="C59" s="9" t="inlineStr">
        <is>
          <t>agentic_derived</t>
        </is>
      </c>
      <c r="D59" s="9" t="inlineStr">
        <is>
          <t>gptoss120b</t>
        </is>
      </c>
      <c r="E59" s="9" t="n">
        <v>50</v>
      </c>
      <c r="F59" s="9" t="n">
        <v>100947</v>
      </c>
      <c r="G59" s="9" t="n">
        <v>860</v>
      </c>
      <c r="H59" s="9" t="n">
        <v>1164</v>
      </c>
      <c r="I59" s="9" t="n">
        <v>0</v>
      </c>
      <c r="J59" s="9" t="n">
        <v>0</v>
      </c>
      <c r="K59" s="11" t="inlineStr"/>
      <c r="L59" s="21" t="inlineStr"/>
      <c r="M59" s="9" t="inlineStr"/>
      <c r="N59" s="9" t="inlineStr"/>
      <c r="O59" s="9" t="inlineStr"/>
      <c r="P59" s="9" t="inlineStr">
        <is>
          <t>missing</t>
        </is>
      </c>
      <c r="Q59" s="9" t="inlineStr">
        <is>
          <t>no row meets target_tok_s_user</t>
        </is>
      </c>
      <c r="R59" s="9" t="inlineStr"/>
      <c r="S59" s="9" t="inlineStr">
        <is>
          <t>tok_s_user is computed as output_tok_s_gpu/concurrency when source tok_s_user is blank; agentic_derived uses long_chat rows multiplied by the Kimi K2.5 agentic/long ratio.</t>
        </is>
      </c>
    </row>
    <row r="60">
      <c r="A60" s="9" t="inlineStr">
        <is>
          <t>frontier_composite</t>
        </is>
      </c>
      <c r="B60" s="9" t="inlineStr">
        <is>
          <t>h200</t>
        </is>
      </c>
      <c r="C60" s="9" t="inlineStr">
        <is>
          <t>agentic_derived</t>
        </is>
      </c>
      <c r="D60" s="9" t="inlineStr">
        <is>
          <t>gptoss120b</t>
        </is>
      </c>
      <c r="E60" s="9" t="n">
        <v>70</v>
      </c>
      <c r="F60" s="9" t="n">
        <v>100947</v>
      </c>
      <c r="G60" s="9" t="n">
        <v>860</v>
      </c>
      <c r="H60" s="9" t="n">
        <v>1164</v>
      </c>
      <c r="I60" s="9" t="n">
        <v>0</v>
      </c>
      <c r="J60" s="9" t="n">
        <v>0</v>
      </c>
      <c r="K60" s="11" t="inlineStr"/>
      <c r="L60" s="21" t="inlineStr"/>
      <c r="M60" s="9" t="inlineStr"/>
      <c r="N60" s="9" t="inlineStr"/>
      <c r="O60" s="9" t="inlineStr"/>
      <c r="P60" s="9" t="inlineStr">
        <is>
          <t>missing</t>
        </is>
      </c>
      <c r="Q60" s="9" t="inlineStr">
        <is>
          <t>no row meets target_tok_s_user</t>
        </is>
      </c>
      <c r="R60" s="9" t="inlineStr"/>
      <c r="S60" s="9" t="inlineStr">
        <is>
          <t>tok_s_user is computed as output_tok_s_gpu/concurrency when source tok_s_user is blank; agentic_derived uses long_chat rows multiplied by the Kimi K2.5 agentic/long ratio.</t>
        </is>
      </c>
    </row>
    <row r="61">
      <c r="A61" s="9" t="inlineStr">
        <is>
          <t>frontier_composite</t>
        </is>
      </c>
      <c r="B61" s="9" t="inlineStr">
        <is>
          <t>h200</t>
        </is>
      </c>
      <c r="C61" s="9" t="inlineStr">
        <is>
          <t>agentic_derived</t>
        </is>
      </c>
      <c r="D61" s="9" t="inlineStr">
        <is>
          <t>gptoss120b</t>
        </is>
      </c>
      <c r="E61" s="9" t="n">
        <v>100</v>
      </c>
      <c r="F61" s="9" t="n">
        <v>100947</v>
      </c>
      <c r="G61" s="9" t="n">
        <v>860</v>
      </c>
      <c r="H61" s="9" t="n">
        <v>1164</v>
      </c>
      <c r="I61" s="9" t="n">
        <v>0</v>
      </c>
      <c r="J61" s="9" t="n">
        <v>0</v>
      </c>
      <c r="K61" s="11" t="inlineStr"/>
      <c r="L61" s="21" t="inlineStr"/>
      <c r="M61" s="9" t="inlineStr"/>
      <c r="N61" s="9" t="inlineStr"/>
      <c r="O61" s="9" t="inlineStr"/>
      <c r="P61" s="9" t="inlineStr">
        <is>
          <t>missing</t>
        </is>
      </c>
      <c r="Q61" s="9" t="inlineStr">
        <is>
          <t>no row meets target_tok_s_user</t>
        </is>
      </c>
      <c r="R61" s="9" t="inlineStr"/>
      <c r="S61" s="9" t="inlineStr">
        <is>
          <t>tok_s_user is computed as output_tok_s_gpu/concurrency when source tok_s_user is blank; agentic_derived uses long_chat rows multiplied by the Kimi K2.5 agentic/long ratio.</t>
        </is>
      </c>
    </row>
    <row r="62">
      <c r="A62" s="3" t="inlineStr">
        <is>
          <t>frontier_composite</t>
        </is>
      </c>
      <c r="B62" s="3" t="inlineStr">
        <is>
          <t>b200</t>
        </is>
      </c>
      <c r="C62" s="3" t="inlineStr">
        <is>
          <t>short_chat</t>
        </is>
      </c>
      <c r="D62" s="3" t="inlineStr">
        <is>
          <t>dsv4+kimik2.5</t>
        </is>
      </c>
      <c r="E62" s="3" t="n">
        <v>10</v>
      </c>
      <c r="F62" s="3" t="n">
        <v>1024</v>
      </c>
      <c r="G62" s="3" t="n">
        <v>1024</v>
      </c>
      <c r="H62" s="3" t="n">
        <v>25</v>
      </c>
      <c r="I62" s="3" t="n">
        <v>8</v>
      </c>
      <c r="J62" s="3" t="n">
        <v>0</v>
      </c>
      <c r="K62" s="19" t="n">
        <v>40586</v>
      </c>
      <c r="L62" s="20" t="n">
        <v>11.01</v>
      </c>
      <c r="M62" s="3" t="n">
        <v>8</v>
      </c>
      <c r="N62" s="3" t="inlineStr">
        <is>
          <t>vllm</t>
        </is>
      </c>
      <c r="O62" s="3" t="inlineStr">
        <is>
          <t>int4</t>
        </is>
      </c>
      <c r="P62" s="3" t="inlineStr">
        <is>
          <t>selected_public_max</t>
        </is>
      </c>
      <c r="Q62" s="3" t="inlineStr">
        <is>
          <t>public max among eligible rows</t>
        </is>
      </c>
      <c r="R62" s="3" t="inlineStr">
        <is>
          <t>2026-05-16T00:00:00.000Z</t>
        </is>
      </c>
      <c r="S62" s="3" t="inlineStr">
        <is>
          <t>tok_s_user is computed as output_tok_s_gpu/concurrency when source tok_s_user is blank; agentic_derived uses long_chat rows multiplied by the Kimi K2.5 agentic/long ratio.</t>
        </is>
      </c>
    </row>
    <row r="63">
      <c r="A63" s="9" t="inlineStr">
        <is>
          <t>frontier_composite</t>
        </is>
      </c>
      <c r="B63" s="9" t="inlineStr">
        <is>
          <t>b200</t>
        </is>
      </c>
      <c r="C63" s="9" t="inlineStr">
        <is>
          <t>short_chat</t>
        </is>
      </c>
      <c r="D63" s="9" t="inlineStr">
        <is>
          <t>dsv4+kimik2.5</t>
        </is>
      </c>
      <c r="E63" s="9" t="n">
        <v>30</v>
      </c>
      <c r="F63" s="9" t="n">
        <v>1024</v>
      </c>
      <c r="G63" s="9" t="n">
        <v>1024</v>
      </c>
      <c r="H63" s="9" t="n">
        <v>25</v>
      </c>
      <c r="I63" s="9" t="n">
        <v>0</v>
      </c>
      <c r="J63" s="9" t="n">
        <v>0</v>
      </c>
      <c r="K63" s="11" t="inlineStr"/>
      <c r="L63" s="21" t="inlineStr"/>
      <c r="M63" s="9" t="inlineStr"/>
      <c r="N63" s="9" t="inlineStr"/>
      <c r="O63" s="9" t="inlineStr"/>
      <c r="P63" s="9" t="inlineStr">
        <is>
          <t>missing</t>
        </is>
      </c>
      <c r="Q63" s="9" t="inlineStr">
        <is>
          <t>no row meets target_tok_s_user</t>
        </is>
      </c>
      <c r="R63" s="9" t="inlineStr"/>
      <c r="S63" s="9" t="inlineStr">
        <is>
          <t>tok_s_user is computed as output_tok_s_gpu/concurrency when source tok_s_user is blank; agentic_derived uses long_chat rows multiplied by the Kimi K2.5 agentic/long ratio.</t>
        </is>
      </c>
    </row>
    <row r="64">
      <c r="A64" s="9" t="inlineStr">
        <is>
          <t>frontier_composite</t>
        </is>
      </c>
      <c r="B64" s="9" t="inlineStr">
        <is>
          <t>b200</t>
        </is>
      </c>
      <c r="C64" s="9" t="inlineStr">
        <is>
          <t>short_chat</t>
        </is>
      </c>
      <c r="D64" s="9" t="inlineStr">
        <is>
          <t>dsv4+kimik2.5</t>
        </is>
      </c>
      <c r="E64" s="9" t="n">
        <v>50</v>
      </c>
      <c r="F64" s="9" t="n">
        <v>1024</v>
      </c>
      <c r="G64" s="9" t="n">
        <v>1024</v>
      </c>
      <c r="H64" s="9" t="n">
        <v>25</v>
      </c>
      <c r="I64" s="9" t="n">
        <v>0</v>
      </c>
      <c r="J64" s="9" t="n">
        <v>0</v>
      </c>
      <c r="K64" s="11" t="inlineStr"/>
      <c r="L64" s="21" t="inlineStr"/>
      <c r="M64" s="9" t="inlineStr"/>
      <c r="N64" s="9" t="inlineStr"/>
      <c r="O64" s="9" t="inlineStr"/>
      <c r="P64" s="9" t="inlineStr">
        <is>
          <t>missing</t>
        </is>
      </c>
      <c r="Q64" s="9" t="inlineStr">
        <is>
          <t>no row meets target_tok_s_user</t>
        </is>
      </c>
      <c r="R64" s="9" t="inlineStr"/>
      <c r="S64" s="9" t="inlineStr">
        <is>
          <t>tok_s_user is computed as output_tok_s_gpu/concurrency when source tok_s_user is blank; agentic_derived uses long_chat rows multiplied by the Kimi K2.5 agentic/long ratio.</t>
        </is>
      </c>
    </row>
    <row r="65">
      <c r="A65" s="9" t="inlineStr">
        <is>
          <t>frontier_composite</t>
        </is>
      </c>
      <c r="B65" s="9" t="inlineStr">
        <is>
          <t>b200</t>
        </is>
      </c>
      <c r="C65" s="9" t="inlineStr">
        <is>
          <t>short_chat</t>
        </is>
      </c>
      <c r="D65" s="9" t="inlineStr">
        <is>
          <t>dsv4+kimik2.5</t>
        </is>
      </c>
      <c r="E65" s="9" t="n">
        <v>70</v>
      </c>
      <c r="F65" s="9" t="n">
        <v>1024</v>
      </c>
      <c r="G65" s="9" t="n">
        <v>1024</v>
      </c>
      <c r="H65" s="9" t="n">
        <v>25</v>
      </c>
      <c r="I65" s="9" t="n">
        <v>0</v>
      </c>
      <c r="J65" s="9" t="n">
        <v>0</v>
      </c>
      <c r="K65" s="11" t="inlineStr"/>
      <c r="L65" s="21" t="inlineStr"/>
      <c r="M65" s="9" t="inlineStr"/>
      <c r="N65" s="9" t="inlineStr"/>
      <c r="O65" s="9" t="inlineStr"/>
      <c r="P65" s="9" t="inlineStr">
        <is>
          <t>missing</t>
        </is>
      </c>
      <c r="Q65" s="9" t="inlineStr">
        <is>
          <t>no row meets target_tok_s_user</t>
        </is>
      </c>
      <c r="R65" s="9" t="inlineStr"/>
      <c r="S65" s="9" t="inlineStr">
        <is>
          <t>tok_s_user is computed as output_tok_s_gpu/concurrency when source tok_s_user is blank; agentic_derived uses long_chat rows multiplied by the Kimi K2.5 agentic/long ratio.</t>
        </is>
      </c>
    </row>
    <row r="66">
      <c r="A66" s="9" t="inlineStr">
        <is>
          <t>frontier_composite</t>
        </is>
      </c>
      <c r="B66" s="9" t="inlineStr">
        <is>
          <t>b200</t>
        </is>
      </c>
      <c r="C66" s="9" t="inlineStr">
        <is>
          <t>short_chat</t>
        </is>
      </c>
      <c r="D66" s="9" t="inlineStr">
        <is>
          <t>dsv4+kimik2.5</t>
        </is>
      </c>
      <c r="E66" s="9" t="n">
        <v>100</v>
      </c>
      <c r="F66" s="9" t="n">
        <v>1024</v>
      </c>
      <c r="G66" s="9" t="n">
        <v>1024</v>
      </c>
      <c r="H66" s="9" t="n">
        <v>25</v>
      </c>
      <c r="I66" s="9" t="n">
        <v>0</v>
      </c>
      <c r="J66" s="9" t="n">
        <v>0</v>
      </c>
      <c r="K66" s="11" t="inlineStr"/>
      <c r="L66" s="21" t="inlineStr"/>
      <c r="M66" s="9" t="inlineStr"/>
      <c r="N66" s="9" t="inlineStr"/>
      <c r="O66" s="9" t="inlineStr"/>
      <c r="P66" s="9" t="inlineStr">
        <is>
          <t>missing</t>
        </is>
      </c>
      <c r="Q66" s="9" t="inlineStr">
        <is>
          <t>no row meets target_tok_s_user</t>
        </is>
      </c>
      <c r="R66" s="9" t="inlineStr"/>
      <c r="S66" s="9" t="inlineStr">
        <is>
          <t>tok_s_user is computed as output_tok_s_gpu/concurrency when source tok_s_user is blank; agentic_derived uses long_chat rows multiplied by the Kimi K2.5 agentic/long ratio.</t>
        </is>
      </c>
    </row>
    <row r="67">
      <c r="A67" s="3" t="inlineStr">
        <is>
          <t>frontier_composite</t>
        </is>
      </c>
      <c r="B67" s="3" t="inlineStr">
        <is>
          <t>b200</t>
        </is>
      </c>
      <c r="C67" s="3" t="inlineStr">
        <is>
          <t>long_chat</t>
        </is>
      </c>
      <c r="D67" s="3" t="inlineStr">
        <is>
          <t>dsv4+kimik2.5</t>
        </is>
      </c>
      <c r="E67" s="3" t="n">
        <v>10</v>
      </c>
      <c r="F67" s="3" t="n">
        <v>8192</v>
      </c>
      <c r="G67" s="3" t="n">
        <v>1024</v>
      </c>
      <c r="H67" s="3" t="n">
        <v>35</v>
      </c>
      <c r="I67" s="3" t="n">
        <v>5</v>
      </c>
      <c r="J67" s="3" t="n">
        <v>0</v>
      </c>
      <c r="K67" s="19" t="n">
        <v>22902</v>
      </c>
      <c r="L67" s="20" t="n">
        <v>12.42</v>
      </c>
      <c r="M67" s="3" t="n">
        <v>4</v>
      </c>
      <c r="N67" s="3" t="inlineStr">
        <is>
          <t>vllm</t>
        </is>
      </c>
      <c r="O67" s="3" t="inlineStr">
        <is>
          <t>int4</t>
        </is>
      </c>
      <c r="P67" s="3" t="inlineStr">
        <is>
          <t>selected_public_max</t>
        </is>
      </c>
      <c r="Q67" s="3" t="inlineStr">
        <is>
          <t>public max among eligible rows</t>
        </is>
      </c>
      <c r="R67" s="3" t="inlineStr">
        <is>
          <t>2026-05-16T00:00:00.000Z</t>
        </is>
      </c>
      <c r="S67" s="3" t="inlineStr">
        <is>
          <t>tok_s_user is computed as output_tok_s_gpu/concurrency when source tok_s_user is blank; agentic_derived uses long_chat rows multiplied by the Kimi K2.5 agentic/long ratio.</t>
        </is>
      </c>
    </row>
    <row r="68">
      <c r="A68" s="9" t="inlineStr">
        <is>
          <t>frontier_composite</t>
        </is>
      </c>
      <c r="B68" s="9" t="inlineStr">
        <is>
          <t>b200</t>
        </is>
      </c>
      <c r="C68" s="9" t="inlineStr">
        <is>
          <t>long_chat</t>
        </is>
      </c>
      <c r="D68" s="9" t="inlineStr">
        <is>
          <t>dsv4+kimik2.5</t>
        </is>
      </c>
      <c r="E68" s="9" t="n">
        <v>30</v>
      </c>
      <c r="F68" s="9" t="n">
        <v>8192</v>
      </c>
      <c r="G68" s="9" t="n">
        <v>1024</v>
      </c>
      <c r="H68" s="9" t="n">
        <v>35</v>
      </c>
      <c r="I68" s="9" t="n">
        <v>0</v>
      </c>
      <c r="J68" s="9" t="n">
        <v>0</v>
      </c>
      <c r="K68" s="11" t="inlineStr"/>
      <c r="L68" s="21" t="inlineStr"/>
      <c r="M68" s="9" t="inlineStr"/>
      <c r="N68" s="9" t="inlineStr"/>
      <c r="O68" s="9" t="inlineStr"/>
      <c r="P68" s="9" t="inlineStr">
        <is>
          <t>missing</t>
        </is>
      </c>
      <c r="Q68" s="9" t="inlineStr">
        <is>
          <t>no row meets target_tok_s_user</t>
        </is>
      </c>
      <c r="R68" s="9" t="inlineStr"/>
      <c r="S68" s="9" t="inlineStr">
        <is>
          <t>tok_s_user is computed as output_tok_s_gpu/concurrency when source tok_s_user is blank; agentic_derived uses long_chat rows multiplied by the Kimi K2.5 agentic/long ratio.</t>
        </is>
      </c>
    </row>
    <row r="69">
      <c r="A69" s="9" t="inlineStr">
        <is>
          <t>frontier_composite</t>
        </is>
      </c>
      <c r="B69" s="9" t="inlineStr">
        <is>
          <t>b200</t>
        </is>
      </c>
      <c r="C69" s="9" t="inlineStr">
        <is>
          <t>long_chat</t>
        </is>
      </c>
      <c r="D69" s="9" t="inlineStr">
        <is>
          <t>dsv4+kimik2.5</t>
        </is>
      </c>
      <c r="E69" s="9" t="n">
        <v>50</v>
      </c>
      <c r="F69" s="9" t="n">
        <v>8192</v>
      </c>
      <c r="G69" s="9" t="n">
        <v>1024</v>
      </c>
      <c r="H69" s="9" t="n">
        <v>35</v>
      </c>
      <c r="I69" s="9" t="n">
        <v>0</v>
      </c>
      <c r="J69" s="9" t="n">
        <v>0</v>
      </c>
      <c r="K69" s="11" t="inlineStr"/>
      <c r="L69" s="21" t="inlineStr"/>
      <c r="M69" s="9" t="inlineStr"/>
      <c r="N69" s="9" t="inlineStr"/>
      <c r="O69" s="9" t="inlineStr"/>
      <c r="P69" s="9" t="inlineStr">
        <is>
          <t>missing</t>
        </is>
      </c>
      <c r="Q69" s="9" t="inlineStr">
        <is>
          <t>no row meets target_tok_s_user</t>
        </is>
      </c>
      <c r="R69" s="9" t="inlineStr"/>
      <c r="S69" s="9" t="inlineStr">
        <is>
          <t>tok_s_user is computed as output_tok_s_gpu/concurrency when source tok_s_user is blank; agentic_derived uses long_chat rows multiplied by the Kimi K2.5 agentic/long ratio.</t>
        </is>
      </c>
    </row>
    <row r="70">
      <c r="A70" s="9" t="inlineStr">
        <is>
          <t>frontier_composite</t>
        </is>
      </c>
      <c r="B70" s="9" t="inlineStr">
        <is>
          <t>b200</t>
        </is>
      </c>
      <c r="C70" s="9" t="inlineStr">
        <is>
          <t>long_chat</t>
        </is>
      </c>
      <c r="D70" s="9" t="inlineStr">
        <is>
          <t>dsv4+kimik2.5</t>
        </is>
      </c>
      <c r="E70" s="9" t="n">
        <v>70</v>
      </c>
      <c r="F70" s="9" t="n">
        <v>8192</v>
      </c>
      <c r="G70" s="9" t="n">
        <v>1024</v>
      </c>
      <c r="H70" s="9" t="n">
        <v>35</v>
      </c>
      <c r="I70" s="9" t="n">
        <v>0</v>
      </c>
      <c r="J70" s="9" t="n">
        <v>0</v>
      </c>
      <c r="K70" s="11" t="inlineStr"/>
      <c r="L70" s="21" t="inlineStr"/>
      <c r="M70" s="9" t="inlineStr"/>
      <c r="N70" s="9" t="inlineStr"/>
      <c r="O70" s="9" t="inlineStr"/>
      <c r="P70" s="9" t="inlineStr">
        <is>
          <t>missing</t>
        </is>
      </c>
      <c r="Q70" s="9" t="inlineStr">
        <is>
          <t>no row meets target_tok_s_user</t>
        </is>
      </c>
      <c r="R70" s="9" t="inlineStr"/>
      <c r="S70" s="9" t="inlineStr">
        <is>
          <t>tok_s_user is computed as output_tok_s_gpu/concurrency when source tok_s_user is blank; agentic_derived uses long_chat rows multiplied by the Kimi K2.5 agentic/long ratio.</t>
        </is>
      </c>
    </row>
    <row r="71">
      <c r="A71" s="9" t="inlineStr">
        <is>
          <t>frontier_composite</t>
        </is>
      </c>
      <c r="B71" s="9" t="inlineStr">
        <is>
          <t>b200</t>
        </is>
      </c>
      <c r="C71" s="9" t="inlineStr">
        <is>
          <t>long_chat</t>
        </is>
      </c>
      <c r="D71" s="9" t="inlineStr">
        <is>
          <t>dsv4+kimik2.5</t>
        </is>
      </c>
      <c r="E71" s="9" t="n">
        <v>100</v>
      </c>
      <c r="F71" s="9" t="n">
        <v>8192</v>
      </c>
      <c r="G71" s="9" t="n">
        <v>1024</v>
      </c>
      <c r="H71" s="9" t="n">
        <v>35</v>
      </c>
      <c r="I71" s="9" t="n">
        <v>0</v>
      </c>
      <c r="J71" s="9" t="n">
        <v>0</v>
      </c>
      <c r="K71" s="11" t="inlineStr"/>
      <c r="L71" s="21" t="inlineStr"/>
      <c r="M71" s="9" t="inlineStr"/>
      <c r="N71" s="9" t="inlineStr"/>
      <c r="O71" s="9" t="inlineStr"/>
      <c r="P71" s="9" t="inlineStr">
        <is>
          <t>missing</t>
        </is>
      </c>
      <c r="Q71" s="9" t="inlineStr">
        <is>
          <t>no row meets target_tok_s_user</t>
        </is>
      </c>
      <c r="R71" s="9" t="inlineStr"/>
      <c r="S71" s="9" t="inlineStr">
        <is>
          <t>tok_s_user is computed as output_tok_s_gpu/concurrency when source tok_s_user is blank; agentic_derived uses long_chat rows multiplied by the Kimi K2.5 agentic/long ratio.</t>
        </is>
      </c>
    </row>
    <row r="72">
      <c r="A72" s="9" t="inlineStr">
        <is>
          <t>frontier_composite</t>
        </is>
      </c>
      <c r="B72" s="9" t="inlineStr">
        <is>
          <t>b200</t>
        </is>
      </c>
      <c r="C72" s="9" t="inlineStr">
        <is>
          <t>agentic_derived</t>
        </is>
      </c>
      <c r="D72" s="9" t="inlineStr">
        <is>
          <t>dsv4+kimik2.5</t>
        </is>
      </c>
      <c r="E72" s="9" t="n">
        <v>10</v>
      </c>
      <c r="F72" s="9" t="n">
        <v>100947</v>
      </c>
      <c r="G72" s="9" t="n">
        <v>860</v>
      </c>
      <c r="H72" s="9" t="n">
        <v>35</v>
      </c>
      <c r="I72" s="9" t="n">
        <v>0</v>
      </c>
      <c r="J72" s="9" t="n">
        <v>0</v>
      </c>
      <c r="K72" s="11" t="inlineStr"/>
      <c r="L72" s="21" t="inlineStr"/>
      <c r="M72" s="9" t="inlineStr"/>
      <c r="N72" s="9" t="inlineStr"/>
      <c r="O72" s="9" t="inlineStr"/>
      <c r="P72" s="9" t="inlineStr">
        <is>
          <t>missing</t>
        </is>
      </c>
      <c r="Q72" s="9" t="inlineStr">
        <is>
          <t>no row meets target_tok_s_user</t>
        </is>
      </c>
      <c r="R72" s="9" t="inlineStr"/>
      <c r="S72" s="9" t="inlineStr">
        <is>
          <t>tok_s_user is computed as output_tok_s_gpu/concurrency when source tok_s_user is blank; agentic_derived uses long_chat rows multiplied by the Kimi K2.5 agentic/long ratio.</t>
        </is>
      </c>
    </row>
    <row r="73">
      <c r="A73" s="9" t="inlineStr">
        <is>
          <t>frontier_composite</t>
        </is>
      </c>
      <c r="B73" s="9" t="inlineStr">
        <is>
          <t>b200</t>
        </is>
      </c>
      <c r="C73" s="9" t="inlineStr">
        <is>
          <t>agentic_derived</t>
        </is>
      </c>
      <c r="D73" s="9" t="inlineStr">
        <is>
          <t>dsv4+kimik2.5</t>
        </is>
      </c>
      <c r="E73" s="9" t="n">
        <v>30</v>
      </c>
      <c r="F73" s="9" t="n">
        <v>100947</v>
      </c>
      <c r="G73" s="9" t="n">
        <v>860</v>
      </c>
      <c r="H73" s="9" t="n">
        <v>35</v>
      </c>
      <c r="I73" s="9" t="n">
        <v>0</v>
      </c>
      <c r="J73" s="9" t="n">
        <v>0</v>
      </c>
      <c r="K73" s="11" t="inlineStr"/>
      <c r="L73" s="21" t="inlineStr"/>
      <c r="M73" s="9" t="inlineStr"/>
      <c r="N73" s="9" t="inlineStr"/>
      <c r="O73" s="9" t="inlineStr"/>
      <c r="P73" s="9" t="inlineStr">
        <is>
          <t>missing</t>
        </is>
      </c>
      <c r="Q73" s="9" t="inlineStr">
        <is>
          <t>no row meets target_tok_s_user</t>
        </is>
      </c>
      <c r="R73" s="9" t="inlineStr"/>
      <c r="S73" s="9" t="inlineStr">
        <is>
          <t>tok_s_user is computed as output_tok_s_gpu/concurrency when source tok_s_user is blank; agentic_derived uses long_chat rows multiplied by the Kimi K2.5 agentic/long ratio.</t>
        </is>
      </c>
    </row>
    <row r="74">
      <c r="A74" s="9" t="inlineStr">
        <is>
          <t>frontier_composite</t>
        </is>
      </c>
      <c r="B74" s="9" t="inlineStr">
        <is>
          <t>b200</t>
        </is>
      </c>
      <c r="C74" s="9" t="inlineStr">
        <is>
          <t>agentic_derived</t>
        </is>
      </c>
      <c r="D74" s="9" t="inlineStr">
        <is>
          <t>dsv4+kimik2.5</t>
        </is>
      </c>
      <c r="E74" s="9" t="n">
        <v>50</v>
      </c>
      <c r="F74" s="9" t="n">
        <v>100947</v>
      </c>
      <c r="G74" s="9" t="n">
        <v>860</v>
      </c>
      <c r="H74" s="9" t="n">
        <v>35</v>
      </c>
      <c r="I74" s="9" t="n">
        <v>0</v>
      </c>
      <c r="J74" s="9" t="n">
        <v>0</v>
      </c>
      <c r="K74" s="11" t="inlineStr"/>
      <c r="L74" s="21" t="inlineStr"/>
      <c r="M74" s="9" t="inlineStr"/>
      <c r="N74" s="9" t="inlineStr"/>
      <c r="O74" s="9" t="inlineStr"/>
      <c r="P74" s="9" t="inlineStr">
        <is>
          <t>missing</t>
        </is>
      </c>
      <c r="Q74" s="9" t="inlineStr">
        <is>
          <t>no row meets target_tok_s_user</t>
        </is>
      </c>
      <c r="R74" s="9" t="inlineStr"/>
      <c r="S74" s="9" t="inlineStr">
        <is>
          <t>tok_s_user is computed as output_tok_s_gpu/concurrency when source tok_s_user is blank; agentic_derived uses long_chat rows multiplied by the Kimi K2.5 agentic/long ratio.</t>
        </is>
      </c>
    </row>
    <row r="75">
      <c r="A75" s="9" t="inlineStr">
        <is>
          <t>frontier_composite</t>
        </is>
      </c>
      <c r="B75" s="9" t="inlineStr">
        <is>
          <t>b200</t>
        </is>
      </c>
      <c r="C75" s="9" t="inlineStr">
        <is>
          <t>agentic_derived</t>
        </is>
      </c>
      <c r="D75" s="9" t="inlineStr">
        <is>
          <t>dsv4+kimik2.5</t>
        </is>
      </c>
      <c r="E75" s="9" t="n">
        <v>70</v>
      </c>
      <c r="F75" s="9" t="n">
        <v>100947</v>
      </c>
      <c r="G75" s="9" t="n">
        <v>860</v>
      </c>
      <c r="H75" s="9" t="n">
        <v>35</v>
      </c>
      <c r="I75" s="9" t="n">
        <v>0</v>
      </c>
      <c r="J75" s="9" t="n">
        <v>0</v>
      </c>
      <c r="K75" s="11" t="inlineStr"/>
      <c r="L75" s="21" t="inlineStr"/>
      <c r="M75" s="9" t="inlineStr"/>
      <c r="N75" s="9" t="inlineStr"/>
      <c r="O75" s="9" t="inlineStr"/>
      <c r="P75" s="9" t="inlineStr">
        <is>
          <t>missing</t>
        </is>
      </c>
      <c r="Q75" s="9" t="inlineStr">
        <is>
          <t>no row meets target_tok_s_user</t>
        </is>
      </c>
      <c r="R75" s="9" t="inlineStr"/>
      <c r="S75" s="9" t="inlineStr">
        <is>
          <t>tok_s_user is computed as output_tok_s_gpu/concurrency when source tok_s_user is blank; agentic_derived uses long_chat rows multiplied by the Kimi K2.5 agentic/long ratio.</t>
        </is>
      </c>
    </row>
    <row r="76">
      <c r="A76" s="9" t="inlineStr">
        <is>
          <t>frontier_composite</t>
        </is>
      </c>
      <c r="B76" s="9" t="inlineStr">
        <is>
          <t>b200</t>
        </is>
      </c>
      <c r="C76" s="9" t="inlineStr">
        <is>
          <t>agentic_derived</t>
        </is>
      </c>
      <c r="D76" s="9" t="inlineStr">
        <is>
          <t>dsv4+kimik2.5</t>
        </is>
      </c>
      <c r="E76" s="9" t="n">
        <v>100</v>
      </c>
      <c r="F76" s="9" t="n">
        <v>100947</v>
      </c>
      <c r="G76" s="9" t="n">
        <v>860</v>
      </c>
      <c r="H76" s="9" t="n">
        <v>35</v>
      </c>
      <c r="I76" s="9" t="n">
        <v>0</v>
      </c>
      <c r="J76" s="9" t="n">
        <v>0</v>
      </c>
      <c r="K76" s="11" t="inlineStr"/>
      <c r="L76" s="21" t="inlineStr"/>
      <c r="M76" s="9" t="inlineStr"/>
      <c r="N76" s="9" t="inlineStr"/>
      <c r="O76" s="9" t="inlineStr"/>
      <c r="P76" s="9" t="inlineStr">
        <is>
          <t>missing</t>
        </is>
      </c>
      <c r="Q76" s="9" t="inlineStr">
        <is>
          <t>no row meets target_tok_s_user</t>
        </is>
      </c>
      <c r="R76" s="9" t="inlineStr"/>
      <c r="S76" s="9" t="inlineStr">
        <is>
          <t>tok_s_user is computed as output_tok_s_gpu/concurrency when source tok_s_user is blank; agentic_derived uses long_chat rows multiplied by the Kimi K2.5 agentic/long ratio.</t>
        </is>
      </c>
    </row>
    <row r="77">
      <c r="A77" s="9" t="inlineStr">
        <is>
          <t>frontier_composite</t>
        </is>
      </c>
      <c r="B77" s="9" t="inlineStr">
        <is>
          <t>gb200</t>
        </is>
      </c>
      <c r="C77" s="9" t="inlineStr">
        <is>
          <t>short_chat</t>
        </is>
      </c>
      <c r="D77" s="9" t="inlineStr">
        <is>
          <t>dsv4+kimik2.5</t>
        </is>
      </c>
      <c r="E77" s="9" t="n">
        <v>10</v>
      </c>
      <c r="F77" s="9" t="n">
        <v>1024</v>
      </c>
      <c r="G77" s="9" t="n">
        <v>1024</v>
      </c>
      <c r="H77" s="9" t="n">
        <v>27</v>
      </c>
      <c r="I77" s="9" t="n">
        <v>0</v>
      </c>
      <c r="J77" s="9" t="n">
        <v>0</v>
      </c>
      <c r="K77" s="11" t="inlineStr"/>
      <c r="L77" s="21" t="inlineStr"/>
      <c r="M77" s="9" t="inlineStr"/>
      <c r="N77" s="9" t="inlineStr"/>
      <c r="O77" s="9" t="inlineStr"/>
      <c r="P77" s="9" t="inlineStr">
        <is>
          <t>missing</t>
        </is>
      </c>
      <c r="Q77" s="9" t="inlineStr">
        <is>
          <t>no row meets target_tok_s_user</t>
        </is>
      </c>
      <c r="R77" s="9" t="inlineStr"/>
      <c r="S77" s="9" t="inlineStr">
        <is>
          <t>tok_s_user is computed as output_tok_s_gpu/concurrency when source tok_s_user is blank; agentic_derived uses long_chat rows multiplied by the Kimi K2.5 agentic/long ratio.</t>
        </is>
      </c>
    </row>
    <row r="78">
      <c r="A78" s="9" t="inlineStr">
        <is>
          <t>frontier_composite</t>
        </is>
      </c>
      <c r="B78" s="9" t="inlineStr">
        <is>
          <t>gb200</t>
        </is>
      </c>
      <c r="C78" s="9" t="inlineStr">
        <is>
          <t>short_chat</t>
        </is>
      </c>
      <c r="D78" s="9" t="inlineStr">
        <is>
          <t>dsv4+kimik2.5</t>
        </is>
      </c>
      <c r="E78" s="9" t="n">
        <v>30</v>
      </c>
      <c r="F78" s="9" t="n">
        <v>1024</v>
      </c>
      <c r="G78" s="9" t="n">
        <v>1024</v>
      </c>
      <c r="H78" s="9" t="n">
        <v>27</v>
      </c>
      <c r="I78" s="9" t="n">
        <v>0</v>
      </c>
      <c r="J78" s="9" t="n">
        <v>0</v>
      </c>
      <c r="K78" s="11" t="inlineStr"/>
      <c r="L78" s="21" t="inlineStr"/>
      <c r="M78" s="9" t="inlineStr"/>
      <c r="N78" s="9" t="inlineStr"/>
      <c r="O78" s="9" t="inlineStr"/>
      <c r="P78" s="9" t="inlineStr">
        <is>
          <t>missing</t>
        </is>
      </c>
      <c r="Q78" s="9" t="inlineStr">
        <is>
          <t>no row meets target_tok_s_user</t>
        </is>
      </c>
      <c r="R78" s="9" t="inlineStr"/>
      <c r="S78" s="9" t="inlineStr">
        <is>
          <t>tok_s_user is computed as output_tok_s_gpu/concurrency when source tok_s_user is blank; agentic_derived uses long_chat rows multiplied by the Kimi K2.5 agentic/long ratio.</t>
        </is>
      </c>
    </row>
    <row r="79">
      <c r="A79" s="9" t="inlineStr">
        <is>
          <t>frontier_composite</t>
        </is>
      </c>
      <c r="B79" s="9" t="inlineStr">
        <is>
          <t>gb200</t>
        </is>
      </c>
      <c r="C79" s="9" t="inlineStr">
        <is>
          <t>short_chat</t>
        </is>
      </c>
      <c r="D79" s="9" t="inlineStr">
        <is>
          <t>dsv4+kimik2.5</t>
        </is>
      </c>
      <c r="E79" s="9" t="n">
        <v>50</v>
      </c>
      <c r="F79" s="9" t="n">
        <v>1024</v>
      </c>
      <c r="G79" s="9" t="n">
        <v>1024</v>
      </c>
      <c r="H79" s="9" t="n">
        <v>27</v>
      </c>
      <c r="I79" s="9" t="n">
        <v>0</v>
      </c>
      <c r="J79" s="9" t="n">
        <v>0</v>
      </c>
      <c r="K79" s="11" t="inlineStr"/>
      <c r="L79" s="21" t="inlineStr"/>
      <c r="M79" s="9" t="inlineStr"/>
      <c r="N79" s="9" t="inlineStr"/>
      <c r="O79" s="9" t="inlineStr"/>
      <c r="P79" s="9" t="inlineStr">
        <is>
          <t>missing</t>
        </is>
      </c>
      <c r="Q79" s="9" t="inlineStr">
        <is>
          <t>no row meets target_tok_s_user</t>
        </is>
      </c>
      <c r="R79" s="9" t="inlineStr"/>
      <c r="S79" s="9" t="inlineStr">
        <is>
          <t>tok_s_user is computed as output_tok_s_gpu/concurrency when source tok_s_user is blank; agentic_derived uses long_chat rows multiplied by the Kimi K2.5 agentic/long ratio.</t>
        </is>
      </c>
    </row>
    <row r="80">
      <c r="A80" s="9" t="inlineStr">
        <is>
          <t>frontier_composite</t>
        </is>
      </c>
      <c r="B80" s="9" t="inlineStr">
        <is>
          <t>gb200</t>
        </is>
      </c>
      <c r="C80" s="9" t="inlineStr">
        <is>
          <t>short_chat</t>
        </is>
      </c>
      <c r="D80" s="9" t="inlineStr">
        <is>
          <t>dsv4+kimik2.5</t>
        </is>
      </c>
      <c r="E80" s="9" t="n">
        <v>70</v>
      </c>
      <c r="F80" s="9" t="n">
        <v>1024</v>
      </c>
      <c r="G80" s="9" t="n">
        <v>1024</v>
      </c>
      <c r="H80" s="9" t="n">
        <v>27</v>
      </c>
      <c r="I80" s="9" t="n">
        <v>0</v>
      </c>
      <c r="J80" s="9" t="n">
        <v>0</v>
      </c>
      <c r="K80" s="11" t="inlineStr"/>
      <c r="L80" s="21" t="inlineStr"/>
      <c r="M80" s="9" t="inlineStr"/>
      <c r="N80" s="9" t="inlineStr"/>
      <c r="O80" s="9" t="inlineStr"/>
      <c r="P80" s="9" t="inlineStr">
        <is>
          <t>missing</t>
        </is>
      </c>
      <c r="Q80" s="9" t="inlineStr">
        <is>
          <t>no row meets target_tok_s_user</t>
        </is>
      </c>
      <c r="R80" s="9" t="inlineStr"/>
      <c r="S80" s="9" t="inlineStr">
        <is>
          <t>tok_s_user is computed as output_tok_s_gpu/concurrency when source tok_s_user is blank; agentic_derived uses long_chat rows multiplied by the Kimi K2.5 agentic/long ratio.</t>
        </is>
      </c>
    </row>
    <row r="81">
      <c r="A81" s="9" t="inlineStr">
        <is>
          <t>frontier_composite</t>
        </is>
      </c>
      <c r="B81" s="9" t="inlineStr">
        <is>
          <t>gb200</t>
        </is>
      </c>
      <c r="C81" s="9" t="inlineStr">
        <is>
          <t>short_chat</t>
        </is>
      </c>
      <c r="D81" s="9" t="inlineStr">
        <is>
          <t>dsv4+kimik2.5</t>
        </is>
      </c>
      <c r="E81" s="9" t="n">
        <v>100</v>
      </c>
      <c r="F81" s="9" t="n">
        <v>1024</v>
      </c>
      <c r="G81" s="9" t="n">
        <v>1024</v>
      </c>
      <c r="H81" s="9" t="n">
        <v>27</v>
      </c>
      <c r="I81" s="9" t="n">
        <v>0</v>
      </c>
      <c r="J81" s="9" t="n">
        <v>0</v>
      </c>
      <c r="K81" s="11" t="inlineStr"/>
      <c r="L81" s="21" t="inlineStr"/>
      <c r="M81" s="9" t="inlineStr"/>
      <c r="N81" s="9" t="inlineStr"/>
      <c r="O81" s="9" t="inlineStr"/>
      <c r="P81" s="9" t="inlineStr">
        <is>
          <t>missing</t>
        </is>
      </c>
      <c r="Q81" s="9" t="inlineStr">
        <is>
          <t>no row meets target_tok_s_user</t>
        </is>
      </c>
      <c r="R81" s="9" t="inlineStr"/>
      <c r="S81" s="9" t="inlineStr">
        <is>
          <t>tok_s_user is computed as output_tok_s_gpu/concurrency when source tok_s_user is blank; agentic_derived uses long_chat rows multiplied by the Kimi K2.5 agentic/long ratio.</t>
        </is>
      </c>
    </row>
    <row r="82">
      <c r="A82" s="5" t="inlineStr">
        <is>
          <t>frontier_composite</t>
        </is>
      </c>
      <c r="B82" s="5" t="inlineStr">
        <is>
          <t>gb200</t>
        </is>
      </c>
      <c r="C82" s="5" t="inlineStr">
        <is>
          <t>long_chat</t>
        </is>
      </c>
      <c r="D82" s="5" t="inlineStr">
        <is>
          <t>dsv4+kimik2.5</t>
        </is>
      </c>
      <c r="E82" s="5" t="n">
        <v>10</v>
      </c>
      <c r="F82" s="5" t="n">
        <v>8192</v>
      </c>
      <c r="G82" s="5" t="n">
        <v>1024</v>
      </c>
      <c r="H82" s="5" t="n">
        <v>61</v>
      </c>
      <c r="I82" s="5" t="n">
        <v>2</v>
      </c>
      <c r="J82" s="5" t="n">
        <v>2</v>
      </c>
      <c r="K82" s="7" t="n">
        <v>7963</v>
      </c>
      <c r="L82" s="22" t="n">
        <v>16.72</v>
      </c>
      <c r="M82" s="5" t="n">
        <v>1</v>
      </c>
      <c r="N82" s="5" t="inlineStr">
        <is>
          <t>dynamo-vllm</t>
        </is>
      </c>
      <c r="O82" s="5" t="inlineStr">
        <is>
          <t>fp4</t>
        </is>
      </c>
      <c r="P82" s="5" t="inlineStr">
        <is>
          <t>selected_optimized_stack</t>
        </is>
      </c>
      <c r="Q82" s="5" t="inlineStr">
        <is>
          <t>Dynamo/TRT-LLM/MTP eligible max</t>
        </is>
      </c>
      <c r="R82" s="5" t="inlineStr">
        <is>
          <t>2026-05-19T00:00:00.000Z</t>
        </is>
      </c>
      <c r="S82" s="5" t="inlineStr">
        <is>
          <t>tok_s_user is computed as output_tok_s_gpu/concurrency when source tok_s_user is blank; agentic_derived uses long_chat rows multiplied by the Kimi K2.5 agentic/long ratio.</t>
        </is>
      </c>
    </row>
    <row r="83">
      <c r="A83" s="9" t="inlineStr">
        <is>
          <t>frontier_composite</t>
        </is>
      </c>
      <c r="B83" s="9" t="inlineStr">
        <is>
          <t>gb200</t>
        </is>
      </c>
      <c r="C83" s="9" t="inlineStr">
        <is>
          <t>long_chat</t>
        </is>
      </c>
      <c r="D83" s="9" t="inlineStr">
        <is>
          <t>dsv4+kimik2.5</t>
        </is>
      </c>
      <c r="E83" s="9" t="n">
        <v>30</v>
      </c>
      <c r="F83" s="9" t="n">
        <v>8192</v>
      </c>
      <c r="G83" s="9" t="n">
        <v>1024</v>
      </c>
      <c r="H83" s="9" t="n">
        <v>61</v>
      </c>
      <c r="I83" s="9" t="n">
        <v>0</v>
      </c>
      <c r="J83" s="9" t="n">
        <v>0</v>
      </c>
      <c r="K83" s="11" t="inlineStr"/>
      <c r="L83" s="21" t="inlineStr"/>
      <c r="M83" s="9" t="inlineStr"/>
      <c r="N83" s="9" t="inlineStr"/>
      <c r="O83" s="9" t="inlineStr"/>
      <c r="P83" s="9" t="inlineStr">
        <is>
          <t>missing</t>
        </is>
      </c>
      <c r="Q83" s="9" t="inlineStr">
        <is>
          <t>no row meets target_tok_s_user</t>
        </is>
      </c>
      <c r="R83" s="9" t="inlineStr"/>
      <c r="S83" s="9" t="inlineStr">
        <is>
          <t>tok_s_user is computed as output_tok_s_gpu/concurrency when source tok_s_user is blank; agentic_derived uses long_chat rows multiplied by the Kimi K2.5 agentic/long ratio.</t>
        </is>
      </c>
    </row>
    <row r="84">
      <c r="A84" s="9" t="inlineStr">
        <is>
          <t>frontier_composite</t>
        </is>
      </c>
      <c r="B84" s="9" t="inlineStr">
        <is>
          <t>gb200</t>
        </is>
      </c>
      <c r="C84" s="9" t="inlineStr">
        <is>
          <t>long_chat</t>
        </is>
      </c>
      <c r="D84" s="9" t="inlineStr">
        <is>
          <t>dsv4+kimik2.5</t>
        </is>
      </c>
      <c r="E84" s="9" t="n">
        <v>50</v>
      </c>
      <c r="F84" s="9" t="n">
        <v>8192</v>
      </c>
      <c r="G84" s="9" t="n">
        <v>1024</v>
      </c>
      <c r="H84" s="9" t="n">
        <v>61</v>
      </c>
      <c r="I84" s="9" t="n">
        <v>0</v>
      </c>
      <c r="J84" s="9" t="n">
        <v>0</v>
      </c>
      <c r="K84" s="11" t="inlineStr"/>
      <c r="L84" s="21" t="inlineStr"/>
      <c r="M84" s="9" t="inlineStr"/>
      <c r="N84" s="9" t="inlineStr"/>
      <c r="O84" s="9" t="inlineStr"/>
      <c r="P84" s="9" t="inlineStr">
        <is>
          <t>missing</t>
        </is>
      </c>
      <c r="Q84" s="9" t="inlineStr">
        <is>
          <t>no row meets target_tok_s_user</t>
        </is>
      </c>
      <c r="R84" s="9" t="inlineStr"/>
      <c r="S84" s="9" t="inlineStr">
        <is>
          <t>tok_s_user is computed as output_tok_s_gpu/concurrency when source tok_s_user is blank; agentic_derived uses long_chat rows multiplied by the Kimi K2.5 agentic/long ratio.</t>
        </is>
      </c>
    </row>
    <row r="85">
      <c r="A85" s="9" t="inlineStr">
        <is>
          <t>frontier_composite</t>
        </is>
      </c>
      <c r="B85" s="9" t="inlineStr">
        <is>
          <t>gb200</t>
        </is>
      </c>
      <c r="C85" s="9" t="inlineStr">
        <is>
          <t>long_chat</t>
        </is>
      </c>
      <c r="D85" s="9" t="inlineStr">
        <is>
          <t>dsv4+kimik2.5</t>
        </is>
      </c>
      <c r="E85" s="9" t="n">
        <v>70</v>
      </c>
      <c r="F85" s="9" t="n">
        <v>8192</v>
      </c>
      <c r="G85" s="9" t="n">
        <v>1024</v>
      </c>
      <c r="H85" s="9" t="n">
        <v>61</v>
      </c>
      <c r="I85" s="9" t="n">
        <v>0</v>
      </c>
      <c r="J85" s="9" t="n">
        <v>0</v>
      </c>
      <c r="K85" s="11" t="inlineStr"/>
      <c r="L85" s="21" t="inlineStr"/>
      <c r="M85" s="9" t="inlineStr"/>
      <c r="N85" s="9" t="inlineStr"/>
      <c r="O85" s="9" t="inlineStr"/>
      <c r="P85" s="9" t="inlineStr">
        <is>
          <t>missing</t>
        </is>
      </c>
      <c r="Q85" s="9" t="inlineStr">
        <is>
          <t>no row meets target_tok_s_user</t>
        </is>
      </c>
      <c r="R85" s="9" t="inlineStr"/>
      <c r="S85" s="9" t="inlineStr">
        <is>
          <t>tok_s_user is computed as output_tok_s_gpu/concurrency when source tok_s_user is blank; agentic_derived uses long_chat rows multiplied by the Kimi K2.5 agentic/long ratio.</t>
        </is>
      </c>
    </row>
    <row r="86">
      <c r="A86" s="9" t="inlineStr">
        <is>
          <t>frontier_composite</t>
        </is>
      </c>
      <c r="B86" s="9" t="inlineStr">
        <is>
          <t>gb200</t>
        </is>
      </c>
      <c r="C86" s="9" t="inlineStr">
        <is>
          <t>long_chat</t>
        </is>
      </c>
      <c r="D86" s="9" t="inlineStr">
        <is>
          <t>dsv4+kimik2.5</t>
        </is>
      </c>
      <c r="E86" s="9" t="n">
        <v>100</v>
      </c>
      <c r="F86" s="9" t="n">
        <v>8192</v>
      </c>
      <c r="G86" s="9" t="n">
        <v>1024</v>
      </c>
      <c r="H86" s="9" t="n">
        <v>61</v>
      </c>
      <c r="I86" s="9" t="n">
        <v>0</v>
      </c>
      <c r="J86" s="9" t="n">
        <v>0</v>
      </c>
      <c r="K86" s="11" t="inlineStr"/>
      <c r="L86" s="21" t="inlineStr"/>
      <c r="M86" s="9" t="inlineStr"/>
      <c r="N86" s="9" t="inlineStr"/>
      <c r="O86" s="9" t="inlineStr"/>
      <c r="P86" s="9" t="inlineStr">
        <is>
          <t>missing</t>
        </is>
      </c>
      <c r="Q86" s="9" t="inlineStr">
        <is>
          <t>no row meets target_tok_s_user</t>
        </is>
      </c>
      <c r="R86" s="9" t="inlineStr"/>
      <c r="S86" s="9" t="inlineStr">
        <is>
          <t>tok_s_user is computed as output_tok_s_gpu/concurrency when source tok_s_user is blank; agentic_derived uses long_chat rows multiplied by the Kimi K2.5 agentic/long ratio.</t>
        </is>
      </c>
    </row>
    <row r="87">
      <c r="A87" s="9" t="inlineStr">
        <is>
          <t>frontier_composite</t>
        </is>
      </c>
      <c r="B87" s="9" t="inlineStr">
        <is>
          <t>gb200</t>
        </is>
      </c>
      <c r="C87" s="9" t="inlineStr">
        <is>
          <t>agentic_derived</t>
        </is>
      </c>
      <c r="D87" s="9" t="inlineStr">
        <is>
          <t>dsv4+kimik2.5</t>
        </is>
      </c>
      <c r="E87" s="9" t="n">
        <v>10</v>
      </c>
      <c r="F87" s="9" t="n">
        <v>100947</v>
      </c>
      <c r="G87" s="9" t="n">
        <v>860</v>
      </c>
      <c r="H87" s="9" t="n">
        <v>61</v>
      </c>
      <c r="I87" s="9" t="n">
        <v>0</v>
      </c>
      <c r="J87" s="9" t="n">
        <v>0</v>
      </c>
      <c r="K87" s="11" t="inlineStr"/>
      <c r="L87" s="21" t="inlineStr"/>
      <c r="M87" s="9" t="inlineStr"/>
      <c r="N87" s="9" t="inlineStr"/>
      <c r="O87" s="9" t="inlineStr"/>
      <c r="P87" s="9" t="inlineStr">
        <is>
          <t>missing</t>
        </is>
      </c>
      <c r="Q87" s="9" t="inlineStr">
        <is>
          <t>no row meets target_tok_s_user</t>
        </is>
      </c>
      <c r="R87" s="9" t="inlineStr"/>
      <c r="S87" s="9" t="inlineStr">
        <is>
          <t>tok_s_user is computed as output_tok_s_gpu/concurrency when source tok_s_user is blank; agentic_derived uses long_chat rows multiplied by the Kimi K2.5 agentic/long ratio.</t>
        </is>
      </c>
    </row>
    <row r="88">
      <c r="A88" s="9" t="inlineStr">
        <is>
          <t>frontier_composite</t>
        </is>
      </c>
      <c r="B88" s="9" t="inlineStr">
        <is>
          <t>gb200</t>
        </is>
      </c>
      <c r="C88" s="9" t="inlineStr">
        <is>
          <t>agentic_derived</t>
        </is>
      </c>
      <c r="D88" s="9" t="inlineStr">
        <is>
          <t>dsv4+kimik2.5</t>
        </is>
      </c>
      <c r="E88" s="9" t="n">
        <v>30</v>
      </c>
      <c r="F88" s="9" t="n">
        <v>100947</v>
      </c>
      <c r="G88" s="9" t="n">
        <v>860</v>
      </c>
      <c r="H88" s="9" t="n">
        <v>61</v>
      </c>
      <c r="I88" s="9" t="n">
        <v>0</v>
      </c>
      <c r="J88" s="9" t="n">
        <v>0</v>
      </c>
      <c r="K88" s="11" t="inlineStr"/>
      <c r="L88" s="21" t="inlineStr"/>
      <c r="M88" s="9" t="inlineStr"/>
      <c r="N88" s="9" t="inlineStr"/>
      <c r="O88" s="9" t="inlineStr"/>
      <c r="P88" s="9" t="inlineStr">
        <is>
          <t>missing</t>
        </is>
      </c>
      <c r="Q88" s="9" t="inlineStr">
        <is>
          <t>no row meets target_tok_s_user</t>
        </is>
      </c>
      <c r="R88" s="9" t="inlineStr"/>
      <c r="S88" s="9" t="inlineStr">
        <is>
          <t>tok_s_user is computed as output_tok_s_gpu/concurrency when source tok_s_user is blank; agentic_derived uses long_chat rows multiplied by the Kimi K2.5 agentic/long ratio.</t>
        </is>
      </c>
    </row>
    <row r="89">
      <c r="A89" s="9" t="inlineStr">
        <is>
          <t>frontier_composite</t>
        </is>
      </c>
      <c r="B89" s="9" t="inlineStr">
        <is>
          <t>gb200</t>
        </is>
      </c>
      <c r="C89" s="9" t="inlineStr">
        <is>
          <t>agentic_derived</t>
        </is>
      </c>
      <c r="D89" s="9" t="inlineStr">
        <is>
          <t>dsv4+kimik2.5</t>
        </is>
      </c>
      <c r="E89" s="9" t="n">
        <v>50</v>
      </c>
      <c r="F89" s="9" t="n">
        <v>100947</v>
      </c>
      <c r="G89" s="9" t="n">
        <v>860</v>
      </c>
      <c r="H89" s="9" t="n">
        <v>61</v>
      </c>
      <c r="I89" s="9" t="n">
        <v>0</v>
      </c>
      <c r="J89" s="9" t="n">
        <v>0</v>
      </c>
      <c r="K89" s="11" t="inlineStr"/>
      <c r="L89" s="21" t="inlineStr"/>
      <c r="M89" s="9" t="inlineStr"/>
      <c r="N89" s="9" t="inlineStr"/>
      <c r="O89" s="9" t="inlineStr"/>
      <c r="P89" s="9" t="inlineStr">
        <is>
          <t>missing</t>
        </is>
      </c>
      <c r="Q89" s="9" t="inlineStr">
        <is>
          <t>no row meets target_tok_s_user</t>
        </is>
      </c>
      <c r="R89" s="9" t="inlineStr"/>
      <c r="S89" s="9" t="inlineStr">
        <is>
          <t>tok_s_user is computed as output_tok_s_gpu/concurrency when source tok_s_user is blank; agentic_derived uses long_chat rows multiplied by the Kimi K2.5 agentic/long ratio.</t>
        </is>
      </c>
    </row>
    <row r="90">
      <c r="A90" s="9" t="inlineStr">
        <is>
          <t>frontier_composite</t>
        </is>
      </c>
      <c r="B90" s="9" t="inlineStr">
        <is>
          <t>gb200</t>
        </is>
      </c>
      <c r="C90" s="9" t="inlineStr">
        <is>
          <t>agentic_derived</t>
        </is>
      </c>
      <c r="D90" s="9" t="inlineStr">
        <is>
          <t>dsv4+kimik2.5</t>
        </is>
      </c>
      <c r="E90" s="9" t="n">
        <v>70</v>
      </c>
      <c r="F90" s="9" t="n">
        <v>100947</v>
      </c>
      <c r="G90" s="9" t="n">
        <v>860</v>
      </c>
      <c r="H90" s="9" t="n">
        <v>61</v>
      </c>
      <c r="I90" s="9" t="n">
        <v>0</v>
      </c>
      <c r="J90" s="9" t="n">
        <v>0</v>
      </c>
      <c r="K90" s="11" t="inlineStr"/>
      <c r="L90" s="21" t="inlineStr"/>
      <c r="M90" s="9" t="inlineStr"/>
      <c r="N90" s="9" t="inlineStr"/>
      <c r="O90" s="9" t="inlineStr"/>
      <c r="P90" s="9" t="inlineStr">
        <is>
          <t>missing</t>
        </is>
      </c>
      <c r="Q90" s="9" t="inlineStr">
        <is>
          <t>no row meets target_tok_s_user</t>
        </is>
      </c>
      <c r="R90" s="9" t="inlineStr"/>
      <c r="S90" s="9" t="inlineStr">
        <is>
          <t>tok_s_user is computed as output_tok_s_gpu/concurrency when source tok_s_user is blank; agentic_derived uses long_chat rows multiplied by the Kimi K2.5 agentic/long ratio.</t>
        </is>
      </c>
    </row>
    <row r="91">
      <c r="A91" s="9" t="inlineStr">
        <is>
          <t>frontier_composite</t>
        </is>
      </c>
      <c r="B91" s="9" t="inlineStr">
        <is>
          <t>gb200</t>
        </is>
      </c>
      <c r="C91" s="9" t="inlineStr">
        <is>
          <t>agentic_derived</t>
        </is>
      </c>
      <c r="D91" s="9" t="inlineStr">
        <is>
          <t>dsv4+kimik2.5</t>
        </is>
      </c>
      <c r="E91" s="9" t="n">
        <v>100</v>
      </c>
      <c r="F91" s="9" t="n">
        <v>100947</v>
      </c>
      <c r="G91" s="9" t="n">
        <v>860</v>
      </c>
      <c r="H91" s="9" t="n">
        <v>61</v>
      </c>
      <c r="I91" s="9" t="n">
        <v>0</v>
      </c>
      <c r="J91" s="9" t="n">
        <v>0</v>
      </c>
      <c r="K91" s="11" t="inlineStr"/>
      <c r="L91" s="21" t="inlineStr"/>
      <c r="M91" s="9" t="inlineStr"/>
      <c r="N91" s="9" t="inlineStr"/>
      <c r="O91" s="9" t="inlineStr"/>
      <c r="P91" s="9" t="inlineStr">
        <is>
          <t>missing</t>
        </is>
      </c>
      <c r="Q91" s="9" t="inlineStr">
        <is>
          <t>no row meets target_tok_s_user</t>
        </is>
      </c>
      <c r="R91" s="9" t="inlineStr"/>
      <c r="S91" s="9" t="inlineStr">
        <is>
          <t>tok_s_user is computed as output_tok_s_gpu/concurrency when source tok_s_user is blank; agentic_derived uses long_chat rows multiplied by the Kimi K2.5 agentic/long ratio.</t>
        </is>
      </c>
    </row>
    <row r="92">
      <c r="A92" s="3" t="inlineStr">
        <is>
          <t>llama70b</t>
        </is>
      </c>
      <c r="B92" s="3" t="inlineStr">
        <is>
          <t>h200</t>
        </is>
      </c>
      <c r="C92" s="3" t="inlineStr">
        <is>
          <t>short_chat</t>
        </is>
      </c>
      <c r="D92" s="3" t="inlineStr">
        <is>
          <t>llama70b</t>
        </is>
      </c>
      <c r="E92" s="3" t="n">
        <v>10</v>
      </c>
      <c r="F92" s="3" t="n">
        <v>1024</v>
      </c>
      <c r="G92" s="3" t="n">
        <v>1024</v>
      </c>
      <c r="H92" s="3" t="n">
        <v>234</v>
      </c>
      <c r="I92" s="3" t="n">
        <v>222</v>
      </c>
      <c r="J92" s="3" t="n">
        <v>0</v>
      </c>
      <c r="K92" s="19" t="n">
        <v>965061</v>
      </c>
      <c r="L92" s="20" t="n">
        <v>26.09</v>
      </c>
      <c r="M92" s="3" t="n">
        <v>64</v>
      </c>
      <c r="N92" s="3" t="inlineStr">
        <is>
          <t>vllm</t>
        </is>
      </c>
      <c r="O92" s="3" t="inlineStr">
        <is>
          <t>fp8</t>
        </is>
      </c>
      <c r="P92" s="3" t="inlineStr">
        <is>
          <t>selected_public_max</t>
        </is>
      </c>
      <c r="Q92" s="3" t="inlineStr">
        <is>
          <t>public max among eligible rows</t>
        </is>
      </c>
      <c r="R92" s="3" t="inlineStr">
        <is>
          <t>2025-10-28T00:00:00.000Z</t>
        </is>
      </c>
      <c r="S92" s="3" t="inlineStr">
        <is>
          <t>tok_s_user is computed as output_tok_s_gpu/concurrency when source tok_s_user is blank; agentic_derived uses long_chat rows multiplied by the Kimi K2.5 agentic/long ratio.</t>
        </is>
      </c>
    </row>
    <row r="93">
      <c r="A93" s="3" t="inlineStr">
        <is>
          <t>llama70b</t>
        </is>
      </c>
      <c r="B93" s="3" t="inlineStr">
        <is>
          <t>h200</t>
        </is>
      </c>
      <c r="C93" s="3" t="inlineStr">
        <is>
          <t>short_chat</t>
        </is>
      </c>
      <c r="D93" s="3" t="inlineStr">
        <is>
          <t>llama70b</t>
        </is>
      </c>
      <c r="E93" s="3" t="n">
        <v>30</v>
      </c>
      <c r="F93" s="3" t="n">
        <v>1024</v>
      </c>
      <c r="G93" s="3" t="n">
        <v>1024</v>
      </c>
      <c r="H93" s="3" t="n">
        <v>234</v>
      </c>
      <c r="I93" s="3" t="n">
        <v>71</v>
      </c>
      <c r="J93" s="3" t="n">
        <v>0</v>
      </c>
      <c r="K93" s="19" t="n">
        <v>364069</v>
      </c>
      <c r="L93" s="20" t="n">
        <v>39.36</v>
      </c>
      <c r="M93" s="3" t="n">
        <v>16</v>
      </c>
      <c r="N93" s="3" t="inlineStr">
        <is>
          <t>vllm</t>
        </is>
      </c>
      <c r="O93" s="3" t="inlineStr">
        <is>
          <t>fp8</t>
        </is>
      </c>
      <c r="P93" s="3" t="inlineStr">
        <is>
          <t>selected_public_max</t>
        </is>
      </c>
      <c r="Q93" s="3" t="inlineStr">
        <is>
          <t>public max among eligible rows</t>
        </is>
      </c>
      <c r="R93" s="3" t="inlineStr">
        <is>
          <t>2025-10-15T00:00:00.000Z</t>
        </is>
      </c>
      <c r="S93" s="3" t="inlineStr">
        <is>
          <t>tok_s_user is computed as output_tok_s_gpu/concurrency when source tok_s_user is blank; agentic_derived uses long_chat rows multiplied by the Kimi K2.5 agentic/long ratio.</t>
        </is>
      </c>
    </row>
    <row r="94">
      <c r="A94" s="9" t="inlineStr">
        <is>
          <t>llama70b</t>
        </is>
      </c>
      <c r="B94" s="9" t="inlineStr">
        <is>
          <t>h200</t>
        </is>
      </c>
      <c r="C94" s="9" t="inlineStr">
        <is>
          <t>short_chat</t>
        </is>
      </c>
      <c r="D94" s="9" t="inlineStr">
        <is>
          <t>llama70b</t>
        </is>
      </c>
      <c r="E94" s="9" t="n">
        <v>50</v>
      </c>
      <c r="F94" s="9" t="n">
        <v>1024</v>
      </c>
      <c r="G94" s="9" t="n">
        <v>1024</v>
      </c>
      <c r="H94" s="9" t="n">
        <v>234</v>
      </c>
      <c r="I94" s="9" t="n">
        <v>0</v>
      </c>
      <c r="J94" s="9" t="n">
        <v>0</v>
      </c>
      <c r="K94" s="11" t="inlineStr"/>
      <c r="L94" s="21" t="inlineStr"/>
      <c r="M94" s="9" t="inlineStr"/>
      <c r="N94" s="9" t="inlineStr"/>
      <c r="O94" s="9" t="inlineStr"/>
      <c r="P94" s="9" t="inlineStr">
        <is>
          <t>missing</t>
        </is>
      </c>
      <c r="Q94" s="9" t="inlineStr">
        <is>
          <t>no row meets target_tok_s_user</t>
        </is>
      </c>
      <c r="R94" s="9" t="inlineStr"/>
      <c r="S94" s="9" t="inlineStr">
        <is>
          <t>tok_s_user is computed as output_tok_s_gpu/concurrency when source tok_s_user is blank; agentic_derived uses long_chat rows multiplied by the Kimi K2.5 agentic/long ratio.</t>
        </is>
      </c>
    </row>
    <row r="95">
      <c r="A95" s="9" t="inlineStr">
        <is>
          <t>llama70b</t>
        </is>
      </c>
      <c r="B95" s="9" t="inlineStr">
        <is>
          <t>h200</t>
        </is>
      </c>
      <c r="C95" s="9" t="inlineStr">
        <is>
          <t>short_chat</t>
        </is>
      </c>
      <c r="D95" s="9" t="inlineStr">
        <is>
          <t>llama70b</t>
        </is>
      </c>
      <c r="E95" s="9" t="n">
        <v>70</v>
      </c>
      <c r="F95" s="9" t="n">
        <v>1024</v>
      </c>
      <c r="G95" s="9" t="n">
        <v>1024</v>
      </c>
      <c r="H95" s="9" t="n">
        <v>234</v>
      </c>
      <c r="I95" s="9" t="n">
        <v>0</v>
      </c>
      <c r="J95" s="9" t="n">
        <v>0</v>
      </c>
      <c r="K95" s="11" t="inlineStr"/>
      <c r="L95" s="21" t="inlineStr"/>
      <c r="M95" s="9" t="inlineStr"/>
      <c r="N95" s="9" t="inlineStr"/>
      <c r="O95" s="9" t="inlineStr"/>
      <c r="P95" s="9" t="inlineStr">
        <is>
          <t>missing</t>
        </is>
      </c>
      <c r="Q95" s="9" t="inlineStr">
        <is>
          <t>no row meets target_tok_s_user</t>
        </is>
      </c>
      <c r="R95" s="9" t="inlineStr"/>
      <c r="S95" s="9" t="inlineStr">
        <is>
          <t>tok_s_user is computed as output_tok_s_gpu/concurrency when source tok_s_user is blank; agentic_derived uses long_chat rows multiplied by the Kimi K2.5 agentic/long ratio.</t>
        </is>
      </c>
    </row>
    <row r="96">
      <c r="A96" s="9" t="inlineStr">
        <is>
          <t>llama70b</t>
        </is>
      </c>
      <c r="B96" s="9" t="inlineStr">
        <is>
          <t>h200</t>
        </is>
      </c>
      <c r="C96" s="9" t="inlineStr">
        <is>
          <t>short_chat</t>
        </is>
      </c>
      <c r="D96" s="9" t="inlineStr">
        <is>
          <t>llama70b</t>
        </is>
      </c>
      <c r="E96" s="9" t="n">
        <v>100</v>
      </c>
      <c r="F96" s="9" t="n">
        <v>1024</v>
      </c>
      <c r="G96" s="9" t="n">
        <v>1024</v>
      </c>
      <c r="H96" s="9" t="n">
        <v>234</v>
      </c>
      <c r="I96" s="9" t="n">
        <v>0</v>
      </c>
      <c r="J96" s="9" t="n">
        <v>0</v>
      </c>
      <c r="K96" s="11" t="inlineStr"/>
      <c r="L96" s="21" t="inlineStr"/>
      <c r="M96" s="9" t="inlineStr"/>
      <c r="N96" s="9" t="inlineStr"/>
      <c r="O96" s="9" t="inlineStr"/>
      <c r="P96" s="9" t="inlineStr">
        <is>
          <t>missing</t>
        </is>
      </c>
      <c r="Q96" s="9" t="inlineStr">
        <is>
          <t>no row meets target_tok_s_user</t>
        </is>
      </c>
      <c r="R96" s="9" t="inlineStr"/>
      <c r="S96" s="9" t="inlineStr">
        <is>
          <t>tok_s_user is computed as output_tok_s_gpu/concurrency when source tok_s_user is blank; agentic_derived uses long_chat rows multiplied by the Kimi K2.5 agentic/long ratio.</t>
        </is>
      </c>
    </row>
    <row r="97">
      <c r="A97" s="3" t="inlineStr">
        <is>
          <t>llama70b</t>
        </is>
      </c>
      <c r="B97" s="3" t="inlineStr">
        <is>
          <t>h200</t>
        </is>
      </c>
      <c r="C97" s="3" t="inlineStr">
        <is>
          <t>long_chat</t>
        </is>
      </c>
      <c r="D97" s="3" t="inlineStr">
        <is>
          <t>llama70b</t>
        </is>
      </c>
      <c r="E97" s="3" t="n">
        <v>10</v>
      </c>
      <c r="F97" s="3" t="n">
        <v>8192</v>
      </c>
      <c r="G97" s="3" t="n">
        <v>1024</v>
      </c>
      <c r="H97" s="3" t="n">
        <v>224</v>
      </c>
      <c r="I97" s="3" t="n">
        <v>147</v>
      </c>
      <c r="J97" s="3" t="n">
        <v>0</v>
      </c>
      <c r="K97" s="19" t="n">
        <v>231275</v>
      </c>
      <c r="L97" s="20" t="n">
        <v>12.5</v>
      </c>
      <c r="M97" s="3" t="n">
        <v>32</v>
      </c>
      <c r="N97" s="3" t="inlineStr">
        <is>
          <t>vllm</t>
        </is>
      </c>
      <c r="O97" s="3" t="inlineStr">
        <is>
          <t>fp8</t>
        </is>
      </c>
      <c r="P97" s="3" t="inlineStr">
        <is>
          <t>selected_public_max</t>
        </is>
      </c>
      <c r="Q97" s="3" t="inlineStr">
        <is>
          <t>public max among eligible rows</t>
        </is>
      </c>
      <c r="R97" s="3" t="inlineStr">
        <is>
          <t>2025-10-20T00:00:00.000Z</t>
        </is>
      </c>
      <c r="S97" s="3" t="inlineStr">
        <is>
          <t>tok_s_user is computed as output_tok_s_gpu/concurrency when source tok_s_user is blank; agentic_derived uses long_chat rows multiplied by the Kimi K2.5 agentic/long ratio.</t>
        </is>
      </c>
    </row>
    <row r="98">
      <c r="A98" s="3" t="inlineStr">
        <is>
          <t>llama70b</t>
        </is>
      </c>
      <c r="B98" s="3" t="inlineStr">
        <is>
          <t>h200</t>
        </is>
      </c>
      <c r="C98" s="3" t="inlineStr">
        <is>
          <t>long_chat</t>
        </is>
      </c>
      <c r="D98" s="3" t="inlineStr">
        <is>
          <t>llama70b</t>
        </is>
      </c>
      <c r="E98" s="3" t="n">
        <v>30</v>
      </c>
      <c r="F98" s="3" t="n">
        <v>8192</v>
      </c>
      <c r="G98" s="3" t="n">
        <v>1024</v>
      </c>
      <c r="H98" s="3" t="n">
        <v>224</v>
      </c>
      <c r="I98" s="3" t="n">
        <v>12</v>
      </c>
      <c r="J98" s="3" t="n">
        <v>0</v>
      </c>
      <c r="K98" s="19" t="n">
        <v>83442</v>
      </c>
      <c r="L98" s="20" t="n">
        <v>36.09</v>
      </c>
      <c r="M98" s="3" t="n">
        <v>4</v>
      </c>
      <c r="N98" s="3" t="inlineStr">
        <is>
          <t>vllm</t>
        </is>
      </c>
      <c r="O98" s="3" t="inlineStr">
        <is>
          <t>fp8</t>
        </is>
      </c>
      <c r="P98" s="3" t="inlineStr">
        <is>
          <t>selected_public_max</t>
        </is>
      </c>
      <c r="Q98" s="3" t="inlineStr">
        <is>
          <t>public max among eligible rows</t>
        </is>
      </c>
      <c r="R98" s="3" t="inlineStr">
        <is>
          <t>2025-10-15T00:00:00.000Z</t>
        </is>
      </c>
      <c r="S98" s="3" t="inlineStr">
        <is>
          <t>tok_s_user is computed as output_tok_s_gpu/concurrency when source tok_s_user is blank; agentic_derived uses long_chat rows multiplied by the Kimi K2.5 agentic/long ratio.</t>
        </is>
      </c>
    </row>
    <row r="99">
      <c r="A99" s="9" t="inlineStr">
        <is>
          <t>llama70b</t>
        </is>
      </c>
      <c r="B99" s="9" t="inlineStr">
        <is>
          <t>h200</t>
        </is>
      </c>
      <c r="C99" s="9" t="inlineStr">
        <is>
          <t>long_chat</t>
        </is>
      </c>
      <c r="D99" s="9" t="inlineStr">
        <is>
          <t>llama70b</t>
        </is>
      </c>
      <c r="E99" s="9" t="n">
        <v>50</v>
      </c>
      <c r="F99" s="9" t="n">
        <v>8192</v>
      </c>
      <c r="G99" s="9" t="n">
        <v>1024</v>
      </c>
      <c r="H99" s="9" t="n">
        <v>224</v>
      </c>
      <c r="I99" s="9" t="n">
        <v>0</v>
      </c>
      <c r="J99" s="9" t="n">
        <v>0</v>
      </c>
      <c r="K99" s="11" t="inlineStr"/>
      <c r="L99" s="21" t="inlineStr"/>
      <c r="M99" s="9" t="inlineStr"/>
      <c r="N99" s="9" t="inlineStr"/>
      <c r="O99" s="9" t="inlineStr"/>
      <c r="P99" s="9" t="inlineStr">
        <is>
          <t>missing</t>
        </is>
      </c>
      <c r="Q99" s="9" t="inlineStr">
        <is>
          <t>no row meets target_tok_s_user</t>
        </is>
      </c>
      <c r="R99" s="9" t="inlineStr"/>
      <c r="S99" s="9" t="inlineStr">
        <is>
          <t>tok_s_user is computed as output_tok_s_gpu/concurrency when source tok_s_user is blank; agentic_derived uses long_chat rows multiplied by the Kimi K2.5 agentic/long ratio.</t>
        </is>
      </c>
    </row>
    <row r="100">
      <c r="A100" s="9" t="inlineStr">
        <is>
          <t>llama70b</t>
        </is>
      </c>
      <c r="B100" s="9" t="inlineStr">
        <is>
          <t>h200</t>
        </is>
      </c>
      <c r="C100" s="9" t="inlineStr">
        <is>
          <t>long_chat</t>
        </is>
      </c>
      <c r="D100" s="9" t="inlineStr">
        <is>
          <t>llama70b</t>
        </is>
      </c>
      <c r="E100" s="9" t="n">
        <v>70</v>
      </c>
      <c r="F100" s="9" t="n">
        <v>8192</v>
      </c>
      <c r="G100" s="9" t="n">
        <v>1024</v>
      </c>
      <c r="H100" s="9" t="n">
        <v>224</v>
      </c>
      <c r="I100" s="9" t="n">
        <v>0</v>
      </c>
      <c r="J100" s="9" t="n">
        <v>0</v>
      </c>
      <c r="K100" s="11" t="inlineStr"/>
      <c r="L100" s="21" t="inlineStr"/>
      <c r="M100" s="9" t="inlineStr"/>
      <c r="N100" s="9" t="inlineStr"/>
      <c r="O100" s="9" t="inlineStr"/>
      <c r="P100" s="9" t="inlineStr">
        <is>
          <t>missing</t>
        </is>
      </c>
      <c r="Q100" s="9" t="inlineStr">
        <is>
          <t>no row meets target_tok_s_user</t>
        </is>
      </c>
      <c r="R100" s="9" t="inlineStr"/>
      <c r="S100" s="9" t="inlineStr">
        <is>
          <t>tok_s_user is computed as output_tok_s_gpu/concurrency when source tok_s_user is blank; agentic_derived uses long_chat rows multiplied by the Kimi K2.5 agentic/long ratio.</t>
        </is>
      </c>
    </row>
    <row r="101">
      <c r="A101" s="9" t="inlineStr">
        <is>
          <t>llama70b</t>
        </is>
      </c>
      <c r="B101" s="9" t="inlineStr">
        <is>
          <t>h200</t>
        </is>
      </c>
      <c r="C101" s="9" t="inlineStr">
        <is>
          <t>long_chat</t>
        </is>
      </c>
      <c r="D101" s="9" t="inlineStr">
        <is>
          <t>llama70b</t>
        </is>
      </c>
      <c r="E101" s="9" t="n">
        <v>100</v>
      </c>
      <c r="F101" s="9" t="n">
        <v>8192</v>
      </c>
      <c r="G101" s="9" t="n">
        <v>1024</v>
      </c>
      <c r="H101" s="9" t="n">
        <v>224</v>
      </c>
      <c r="I101" s="9" t="n">
        <v>0</v>
      </c>
      <c r="J101" s="9" t="n">
        <v>0</v>
      </c>
      <c r="K101" s="11" t="inlineStr"/>
      <c r="L101" s="21" t="inlineStr"/>
      <c r="M101" s="9" t="inlineStr"/>
      <c r="N101" s="9" t="inlineStr"/>
      <c r="O101" s="9" t="inlineStr"/>
      <c r="P101" s="9" t="inlineStr">
        <is>
          <t>missing</t>
        </is>
      </c>
      <c r="Q101" s="9" t="inlineStr">
        <is>
          <t>no row meets target_tok_s_user</t>
        </is>
      </c>
      <c r="R101" s="9" t="inlineStr"/>
      <c r="S101" s="9" t="inlineStr">
        <is>
          <t>tok_s_user is computed as output_tok_s_gpu/concurrency when source tok_s_user is blank; agentic_derived uses long_chat rows multiplied by the Kimi K2.5 agentic/long ratio.</t>
        </is>
      </c>
    </row>
    <row r="102">
      <c r="A102" s="9" t="inlineStr">
        <is>
          <t>llama70b</t>
        </is>
      </c>
      <c r="B102" s="9" t="inlineStr">
        <is>
          <t>h200</t>
        </is>
      </c>
      <c r="C102" s="9" t="inlineStr">
        <is>
          <t>agentic_derived</t>
        </is>
      </c>
      <c r="D102" s="9" t="inlineStr">
        <is>
          <t>llama70b</t>
        </is>
      </c>
      <c r="E102" s="9" t="n">
        <v>10</v>
      </c>
      <c r="F102" s="9" t="n">
        <v>100947</v>
      </c>
      <c r="G102" s="9" t="n">
        <v>860</v>
      </c>
      <c r="H102" s="9" t="n">
        <v>224</v>
      </c>
      <c r="I102" s="9" t="n">
        <v>0</v>
      </c>
      <c r="J102" s="9" t="n">
        <v>0</v>
      </c>
      <c r="K102" s="11" t="inlineStr"/>
      <c r="L102" s="21" t="inlineStr"/>
      <c r="M102" s="9" t="inlineStr"/>
      <c r="N102" s="9" t="inlineStr"/>
      <c r="O102" s="9" t="inlineStr"/>
      <c r="P102" s="9" t="inlineStr">
        <is>
          <t>missing</t>
        </is>
      </c>
      <c r="Q102" s="9" t="inlineStr">
        <is>
          <t>no row meets target_tok_s_user</t>
        </is>
      </c>
      <c r="R102" s="9" t="inlineStr"/>
      <c r="S102" s="9" t="inlineStr">
        <is>
          <t>tok_s_user is computed as output_tok_s_gpu/concurrency when source tok_s_user is blank; agentic_derived uses long_chat rows multiplied by the Kimi K2.5 agentic/long ratio.</t>
        </is>
      </c>
    </row>
    <row r="103">
      <c r="A103" s="9" t="inlineStr">
        <is>
          <t>llama70b</t>
        </is>
      </c>
      <c r="B103" s="9" t="inlineStr">
        <is>
          <t>h200</t>
        </is>
      </c>
      <c r="C103" s="9" t="inlineStr">
        <is>
          <t>agentic_derived</t>
        </is>
      </c>
      <c r="D103" s="9" t="inlineStr">
        <is>
          <t>llama70b</t>
        </is>
      </c>
      <c r="E103" s="9" t="n">
        <v>30</v>
      </c>
      <c r="F103" s="9" t="n">
        <v>100947</v>
      </c>
      <c r="G103" s="9" t="n">
        <v>860</v>
      </c>
      <c r="H103" s="9" t="n">
        <v>224</v>
      </c>
      <c r="I103" s="9" t="n">
        <v>0</v>
      </c>
      <c r="J103" s="9" t="n">
        <v>0</v>
      </c>
      <c r="K103" s="11" t="inlineStr"/>
      <c r="L103" s="21" t="inlineStr"/>
      <c r="M103" s="9" t="inlineStr"/>
      <c r="N103" s="9" t="inlineStr"/>
      <c r="O103" s="9" t="inlineStr"/>
      <c r="P103" s="9" t="inlineStr">
        <is>
          <t>missing</t>
        </is>
      </c>
      <c r="Q103" s="9" t="inlineStr">
        <is>
          <t>no row meets target_tok_s_user</t>
        </is>
      </c>
      <c r="R103" s="9" t="inlineStr"/>
      <c r="S103" s="9" t="inlineStr">
        <is>
          <t>tok_s_user is computed as output_tok_s_gpu/concurrency when source tok_s_user is blank; agentic_derived uses long_chat rows multiplied by the Kimi K2.5 agentic/long ratio.</t>
        </is>
      </c>
    </row>
    <row r="104">
      <c r="A104" s="9" t="inlineStr">
        <is>
          <t>llama70b</t>
        </is>
      </c>
      <c r="B104" s="9" t="inlineStr">
        <is>
          <t>h200</t>
        </is>
      </c>
      <c r="C104" s="9" t="inlineStr">
        <is>
          <t>agentic_derived</t>
        </is>
      </c>
      <c r="D104" s="9" t="inlineStr">
        <is>
          <t>llama70b</t>
        </is>
      </c>
      <c r="E104" s="9" t="n">
        <v>50</v>
      </c>
      <c r="F104" s="9" t="n">
        <v>100947</v>
      </c>
      <c r="G104" s="9" t="n">
        <v>860</v>
      </c>
      <c r="H104" s="9" t="n">
        <v>224</v>
      </c>
      <c r="I104" s="9" t="n">
        <v>0</v>
      </c>
      <c r="J104" s="9" t="n">
        <v>0</v>
      </c>
      <c r="K104" s="11" t="inlineStr"/>
      <c r="L104" s="21" t="inlineStr"/>
      <c r="M104" s="9" t="inlineStr"/>
      <c r="N104" s="9" t="inlineStr"/>
      <c r="O104" s="9" t="inlineStr"/>
      <c r="P104" s="9" t="inlineStr">
        <is>
          <t>missing</t>
        </is>
      </c>
      <c r="Q104" s="9" t="inlineStr">
        <is>
          <t>no row meets target_tok_s_user</t>
        </is>
      </c>
      <c r="R104" s="9" t="inlineStr"/>
      <c r="S104" s="9" t="inlineStr">
        <is>
          <t>tok_s_user is computed as output_tok_s_gpu/concurrency when source tok_s_user is blank; agentic_derived uses long_chat rows multiplied by the Kimi K2.5 agentic/long ratio.</t>
        </is>
      </c>
    </row>
    <row r="105">
      <c r="A105" s="9" t="inlineStr">
        <is>
          <t>llama70b</t>
        </is>
      </c>
      <c r="B105" s="9" t="inlineStr">
        <is>
          <t>h200</t>
        </is>
      </c>
      <c r="C105" s="9" t="inlineStr">
        <is>
          <t>agentic_derived</t>
        </is>
      </c>
      <c r="D105" s="9" t="inlineStr">
        <is>
          <t>llama70b</t>
        </is>
      </c>
      <c r="E105" s="9" t="n">
        <v>70</v>
      </c>
      <c r="F105" s="9" t="n">
        <v>100947</v>
      </c>
      <c r="G105" s="9" t="n">
        <v>860</v>
      </c>
      <c r="H105" s="9" t="n">
        <v>224</v>
      </c>
      <c r="I105" s="9" t="n">
        <v>0</v>
      </c>
      <c r="J105" s="9" t="n">
        <v>0</v>
      </c>
      <c r="K105" s="11" t="inlineStr"/>
      <c r="L105" s="21" t="inlineStr"/>
      <c r="M105" s="9" t="inlineStr"/>
      <c r="N105" s="9" t="inlineStr"/>
      <c r="O105" s="9" t="inlineStr"/>
      <c r="P105" s="9" t="inlineStr">
        <is>
          <t>missing</t>
        </is>
      </c>
      <c r="Q105" s="9" t="inlineStr">
        <is>
          <t>no row meets target_tok_s_user</t>
        </is>
      </c>
      <c r="R105" s="9" t="inlineStr"/>
      <c r="S105" s="9" t="inlineStr">
        <is>
          <t>tok_s_user is computed as output_tok_s_gpu/concurrency when source tok_s_user is blank; agentic_derived uses long_chat rows multiplied by the Kimi K2.5 agentic/long ratio.</t>
        </is>
      </c>
    </row>
    <row r="106">
      <c r="A106" s="9" t="inlineStr">
        <is>
          <t>llama70b</t>
        </is>
      </c>
      <c r="B106" s="9" t="inlineStr">
        <is>
          <t>h200</t>
        </is>
      </c>
      <c r="C106" s="9" t="inlineStr">
        <is>
          <t>agentic_derived</t>
        </is>
      </c>
      <c r="D106" s="9" t="inlineStr">
        <is>
          <t>llama70b</t>
        </is>
      </c>
      <c r="E106" s="9" t="n">
        <v>100</v>
      </c>
      <c r="F106" s="9" t="n">
        <v>100947</v>
      </c>
      <c r="G106" s="9" t="n">
        <v>860</v>
      </c>
      <c r="H106" s="9" t="n">
        <v>224</v>
      </c>
      <c r="I106" s="9" t="n">
        <v>0</v>
      </c>
      <c r="J106" s="9" t="n">
        <v>0</v>
      </c>
      <c r="K106" s="11" t="inlineStr"/>
      <c r="L106" s="21" t="inlineStr"/>
      <c r="M106" s="9" t="inlineStr"/>
      <c r="N106" s="9" t="inlineStr"/>
      <c r="O106" s="9" t="inlineStr"/>
      <c r="P106" s="9" t="inlineStr">
        <is>
          <t>missing</t>
        </is>
      </c>
      <c r="Q106" s="9" t="inlineStr">
        <is>
          <t>no row meets target_tok_s_user</t>
        </is>
      </c>
      <c r="R106" s="9" t="inlineStr"/>
      <c r="S106" s="9" t="inlineStr">
        <is>
          <t>tok_s_user is computed as output_tok_s_gpu/concurrency when source tok_s_user is blank; agentic_derived uses long_chat rows multiplied by the Kimi K2.5 agentic/long ratio.</t>
        </is>
      </c>
    </row>
    <row r="107">
      <c r="A107" s="3" t="inlineStr">
        <is>
          <t>llama70b</t>
        </is>
      </c>
      <c r="B107" s="3" t="inlineStr">
        <is>
          <t>b200</t>
        </is>
      </c>
      <c r="C107" s="3" t="inlineStr">
        <is>
          <t>short_chat</t>
        </is>
      </c>
      <c r="D107" s="3" t="inlineStr">
        <is>
          <t>llama70b</t>
        </is>
      </c>
      <c r="E107" s="3" t="n">
        <v>10</v>
      </c>
      <c r="F107" s="3" t="n">
        <v>1024</v>
      </c>
      <c r="G107" s="3" t="n">
        <v>1024</v>
      </c>
      <c r="H107" s="3" t="n">
        <v>268</v>
      </c>
      <c r="I107" s="3" t="n">
        <v>255</v>
      </c>
      <c r="J107" s="3" t="n">
        <v>0</v>
      </c>
      <c r="K107" s="19" t="n">
        <v>1228515</v>
      </c>
      <c r="L107" s="20" t="n">
        <v>41.65</v>
      </c>
      <c r="M107" s="3" t="n">
        <v>64</v>
      </c>
      <c r="N107" s="3" t="inlineStr">
        <is>
          <t>vllm</t>
        </is>
      </c>
      <c r="O107" s="3" t="inlineStr">
        <is>
          <t>fp8</t>
        </is>
      </c>
      <c r="P107" s="3" t="inlineStr">
        <is>
          <t>selected_public_max</t>
        </is>
      </c>
      <c r="Q107" s="3" t="inlineStr">
        <is>
          <t>public max among eligible rows</t>
        </is>
      </c>
      <c r="R107" s="3" t="inlineStr">
        <is>
          <t>2025-10-23T00:00:00.000Z</t>
        </is>
      </c>
      <c r="S107" s="3" t="inlineStr">
        <is>
          <t>tok_s_user is computed as output_tok_s_gpu/concurrency when source tok_s_user is blank; agentic_derived uses long_chat rows multiplied by the Kimi K2.5 agentic/long ratio.</t>
        </is>
      </c>
    </row>
    <row r="108">
      <c r="A108" s="3" t="inlineStr">
        <is>
          <t>llama70b</t>
        </is>
      </c>
      <c r="B108" s="3" t="inlineStr">
        <is>
          <t>b200</t>
        </is>
      </c>
      <c r="C108" s="3" t="inlineStr">
        <is>
          <t>short_chat</t>
        </is>
      </c>
      <c r="D108" s="3" t="inlineStr">
        <is>
          <t>llama70b</t>
        </is>
      </c>
      <c r="E108" s="3" t="n">
        <v>30</v>
      </c>
      <c r="F108" s="3" t="n">
        <v>1024</v>
      </c>
      <c r="G108" s="3" t="n">
        <v>1024</v>
      </c>
      <c r="H108" s="3" t="n">
        <v>268</v>
      </c>
      <c r="I108" s="3" t="n">
        <v>144</v>
      </c>
      <c r="J108" s="3" t="n">
        <v>0</v>
      </c>
      <c r="K108" s="19" t="n">
        <v>1228515</v>
      </c>
      <c r="L108" s="20" t="n">
        <v>41.65</v>
      </c>
      <c r="M108" s="3" t="n">
        <v>64</v>
      </c>
      <c r="N108" s="3" t="inlineStr">
        <is>
          <t>vllm</t>
        </is>
      </c>
      <c r="O108" s="3" t="inlineStr">
        <is>
          <t>fp8</t>
        </is>
      </c>
      <c r="P108" s="3" t="inlineStr">
        <is>
          <t>selected_public_max</t>
        </is>
      </c>
      <c r="Q108" s="3" t="inlineStr">
        <is>
          <t>public max among eligible rows</t>
        </is>
      </c>
      <c r="R108" s="3" t="inlineStr">
        <is>
          <t>2025-10-23T00:00:00.000Z</t>
        </is>
      </c>
      <c r="S108" s="3" t="inlineStr">
        <is>
          <t>tok_s_user is computed as output_tok_s_gpu/concurrency when source tok_s_user is blank; agentic_derived uses long_chat rows multiplied by the Kimi K2.5 agentic/long ratio.</t>
        </is>
      </c>
    </row>
    <row r="109">
      <c r="A109" s="3" t="inlineStr">
        <is>
          <t>llama70b</t>
        </is>
      </c>
      <c r="B109" s="3" t="inlineStr">
        <is>
          <t>b200</t>
        </is>
      </c>
      <c r="C109" s="3" t="inlineStr">
        <is>
          <t>short_chat</t>
        </is>
      </c>
      <c r="D109" s="3" t="inlineStr">
        <is>
          <t>llama70b</t>
        </is>
      </c>
      <c r="E109" s="3" t="n">
        <v>50</v>
      </c>
      <c r="F109" s="3" t="n">
        <v>1024</v>
      </c>
      <c r="G109" s="3" t="n">
        <v>1024</v>
      </c>
      <c r="H109" s="3" t="n">
        <v>268</v>
      </c>
      <c r="I109" s="3" t="n">
        <v>40</v>
      </c>
      <c r="J109" s="3" t="n">
        <v>0</v>
      </c>
      <c r="K109" s="19" t="n">
        <v>412192</v>
      </c>
      <c r="L109" s="20" t="n">
        <v>55.9</v>
      </c>
      <c r="M109" s="3" t="n">
        <v>16</v>
      </c>
      <c r="N109" s="3" t="inlineStr">
        <is>
          <t>vllm</t>
        </is>
      </c>
      <c r="O109" s="3" t="inlineStr">
        <is>
          <t>fp8</t>
        </is>
      </c>
      <c r="P109" s="3" t="inlineStr">
        <is>
          <t>selected_public_max</t>
        </is>
      </c>
      <c r="Q109" s="3" t="inlineStr">
        <is>
          <t>public max among eligible rows</t>
        </is>
      </c>
      <c r="R109" s="3" t="inlineStr">
        <is>
          <t>2025-10-16T00:00:00.000Z</t>
        </is>
      </c>
      <c r="S109" s="3" t="inlineStr">
        <is>
          <t>tok_s_user is computed as output_tok_s_gpu/concurrency when source tok_s_user is blank; agentic_derived uses long_chat rows multiplied by the Kimi K2.5 agentic/long ratio.</t>
        </is>
      </c>
    </row>
    <row r="110">
      <c r="A110" s="9" t="inlineStr">
        <is>
          <t>llama70b</t>
        </is>
      </c>
      <c r="B110" s="9" t="inlineStr">
        <is>
          <t>b200</t>
        </is>
      </c>
      <c r="C110" s="9" t="inlineStr">
        <is>
          <t>short_chat</t>
        </is>
      </c>
      <c r="D110" s="9" t="inlineStr">
        <is>
          <t>llama70b</t>
        </is>
      </c>
      <c r="E110" s="9" t="n">
        <v>70</v>
      </c>
      <c r="F110" s="9" t="n">
        <v>1024</v>
      </c>
      <c r="G110" s="9" t="n">
        <v>1024</v>
      </c>
      <c r="H110" s="9" t="n">
        <v>268</v>
      </c>
      <c r="I110" s="9" t="n">
        <v>0</v>
      </c>
      <c r="J110" s="9" t="n">
        <v>0</v>
      </c>
      <c r="K110" s="11" t="inlineStr"/>
      <c r="L110" s="21" t="inlineStr"/>
      <c r="M110" s="9" t="inlineStr"/>
      <c r="N110" s="9" t="inlineStr"/>
      <c r="O110" s="9" t="inlineStr"/>
      <c r="P110" s="9" t="inlineStr">
        <is>
          <t>missing</t>
        </is>
      </c>
      <c r="Q110" s="9" t="inlineStr">
        <is>
          <t>no row meets target_tok_s_user</t>
        </is>
      </c>
      <c r="R110" s="9" t="inlineStr"/>
      <c r="S110" s="9" t="inlineStr">
        <is>
          <t>tok_s_user is computed as output_tok_s_gpu/concurrency when source tok_s_user is blank; agentic_derived uses long_chat rows multiplied by the Kimi K2.5 agentic/long ratio.</t>
        </is>
      </c>
    </row>
    <row r="111">
      <c r="A111" s="9" t="inlineStr">
        <is>
          <t>llama70b</t>
        </is>
      </c>
      <c r="B111" s="9" t="inlineStr">
        <is>
          <t>b200</t>
        </is>
      </c>
      <c r="C111" s="9" t="inlineStr">
        <is>
          <t>short_chat</t>
        </is>
      </c>
      <c r="D111" s="9" t="inlineStr">
        <is>
          <t>llama70b</t>
        </is>
      </c>
      <c r="E111" s="9" t="n">
        <v>100</v>
      </c>
      <c r="F111" s="9" t="n">
        <v>1024</v>
      </c>
      <c r="G111" s="9" t="n">
        <v>1024</v>
      </c>
      <c r="H111" s="9" t="n">
        <v>268</v>
      </c>
      <c r="I111" s="9" t="n">
        <v>0</v>
      </c>
      <c r="J111" s="9" t="n">
        <v>0</v>
      </c>
      <c r="K111" s="11" t="inlineStr"/>
      <c r="L111" s="21" t="inlineStr"/>
      <c r="M111" s="9" t="inlineStr"/>
      <c r="N111" s="9" t="inlineStr"/>
      <c r="O111" s="9" t="inlineStr"/>
      <c r="P111" s="9" t="inlineStr">
        <is>
          <t>missing</t>
        </is>
      </c>
      <c r="Q111" s="9" t="inlineStr">
        <is>
          <t>no row meets target_tok_s_user</t>
        </is>
      </c>
      <c r="R111" s="9" t="inlineStr"/>
      <c r="S111" s="9" t="inlineStr">
        <is>
          <t>tok_s_user is computed as output_tok_s_gpu/concurrency when source tok_s_user is blank; agentic_derived uses long_chat rows multiplied by the Kimi K2.5 agentic/long ratio.</t>
        </is>
      </c>
    </row>
    <row r="112">
      <c r="A112" s="3" t="inlineStr">
        <is>
          <t>llama70b</t>
        </is>
      </c>
      <c r="B112" s="3" t="inlineStr">
        <is>
          <t>b200</t>
        </is>
      </c>
      <c r="C112" s="3" t="inlineStr">
        <is>
          <t>long_chat</t>
        </is>
      </c>
      <c r="D112" s="3" t="inlineStr">
        <is>
          <t>llama70b</t>
        </is>
      </c>
      <c r="E112" s="3" t="n">
        <v>10</v>
      </c>
      <c r="F112" s="3" t="n">
        <v>8192</v>
      </c>
      <c r="G112" s="3" t="n">
        <v>1024</v>
      </c>
      <c r="H112" s="3" t="n">
        <v>198</v>
      </c>
      <c r="I112" s="3" t="n">
        <v>169</v>
      </c>
      <c r="J112" s="3" t="n">
        <v>0</v>
      </c>
      <c r="K112" s="19" t="n">
        <v>384593</v>
      </c>
      <c r="L112" s="20" t="n">
        <v>13.04</v>
      </c>
      <c r="M112" s="3" t="n">
        <v>64</v>
      </c>
      <c r="N112" s="3" t="inlineStr">
        <is>
          <t>vllm</t>
        </is>
      </c>
      <c r="O112" s="3" t="inlineStr">
        <is>
          <t>fp8</t>
        </is>
      </c>
      <c r="P112" s="3" t="inlineStr">
        <is>
          <t>selected_public_max</t>
        </is>
      </c>
      <c r="Q112" s="3" t="inlineStr">
        <is>
          <t>public max among eligible rows</t>
        </is>
      </c>
      <c r="R112" s="3" t="inlineStr">
        <is>
          <t>2025-10-22T00:00:00.000Z</t>
        </is>
      </c>
      <c r="S112" s="3" t="inlineStr">
        <is>
          <t>tok_s_user is computed as output_tok_s_gpu/concurrency when source tok_s_user is blank; agentic_derived uses long_chat rows multiplied by the Kimi K2.5 agentic/long ratio.</t>
        </is>
      </c>
    </row>
    <row r="113">
      <c r="A113" s="3" t="inlineStr">
        <is>
          <t>llama70b</t>
        </is>
      </c>
      <c r="B113" s="3" t="inlineStr">
        <is>
          <t>b200</t>
        </is>
      </c>
      <c r="C113" s="3" t="inlineStr">
        <is>
          <t>long_chat</t>
        </is>
      </c>
      <c r="D113" s="3" t="inlineStr">
        <is>
          <t>llama70b</t>
        </is>
      </c>
      <c r="E113" s="3" t="n">
        <v>30</v>
      </c>
      <c r="F113" s="3" t="n">
        <v>8192</v>
      </c>
      <c r="G113" s="3" t="n">
        <v>1024</v>
      </c>
      <c r="H113" s="3" t="n">
        <v>198</v>
      </c>
      <c r="I113" s="3" t="n">
        <v>49</v>
      </c>
      <c r="J113" s="3" t="n">
        <v>0</v>
      </c>
      <c r="K113" s="19" t="n">
        <v>247359</v>
      </c>
      <c r="L113" s="20" t="n">
        <v>33.55</v>
      </c>
      <c r="M113" s="3" t="n">
        <v>16</v>
      </c>
      <c r="N113" s="3" t="inlineStr">
        <is>
          <t>vllm</t>
        </is>
      </c>
      <c r="O113" s="3" t="inlineStr">
        <is>
          <t>fp8</t>
        </is>
      </c>
      <c r="P113" s="3" t="inlineStr">
        <is>
          <t>selected_public_max</t>
        </is>
      </c>
      <c r="Q113" s="3" t="inlineStr">
        <is>
          <t>public max among eligible rows</t>
        </is>
      </c>
      <c r="R113" s="3" t="inlineStr">
        <is>
          <t>2025-10-16T00:00:00.000Z</t>
        </is>
      </c>
      <c r="S113" s="3" t="inlineStr">
        <is>
          <t>tok_s_user is computed as output_tok_s_gpu/concurrency when source tok_s_user is blank; agentic_derived uses long_chat rows multiplied by the Kimi K2.5 agentic/long ratio.</t>
        </is>
      </c>
    </row>
    <row r="114">
      <c r="A114" s="3" t="inlineStr">
        <is>
          <t>llama70b</t>
        </is>
      </c>
      <c r="B114" s="3" t="inlineStr">
        <is>
          <t>b200</t>
        </is>
      </c>
      <c r="C114" s="3" t="inlineStr">
        <is>
          <t>long_chat</t>
        </is>
      </c>
      <c r="D114" s="3" t="inlineStr">
        <is>
          <t>llama70b</t>
        </is>
      </c>
      <c r="E114" s="3" t="n">
        <v>50</v>
      </c>
      <c r="F114" s="3" t="n">
        <v>8192</v>
      </c>
      <c r="G114" s="3" t="n">
        <v>1024</v>
      </c>
      <c r="H114" s="3" t="n">
        <v>198</v>
      </c>
      <c r="I114" s="3" t="n">
        <v>7</v>
      </c>
      <c r="J114" s="3" t="n">
        <v>0</v>
      </c>
      <c r="K114" s="19" t="n">
        <v>95773</v>
      </c>
      <c r="L114" s="20" t="n">
        <v>51.96</v>
      </c>
      <c r="M114" s="3" t="n">
        <v>4</v>
      </c>
      <c r="N114" s="3" t="inlineStr">
        <is>
          <t>vllm</t>
        </is>
      </c>
      <c r="O114" s="3" t="inlineStr">
        <is>
          <t>fp8</t>
        </is>
      </c>
      <c r="P114" s="3" t="inlineStr">
        <is>
          <t>selected_public_max</t>
        </is>
      </c>
      <c r="Q114" s="3" t="inlineStr">
        <is>
          <t>public max among eligible rows</t>
        </is>
      </c>
      <c r="R114" s="3" t="inlineStr">
        <is>
          <t>2025-10-21T00:00:00.000Z</t>
        </is>
      </c>
      <c r="S114" s="3" t="inlineStr">
        <is>
          <t>tok_s_user is computed as output_tok_s_gpu/concurrency when source tok_s_user is blank; agentic_derived uses long_chat rows multiplied by the Kimi K2.5 agentic/long ratio.</t>
        </is>
      </c>
    </row>
    <row r="115">
      <c r="A115" s="9" t="inlineStr">
        <is>
          <t>llama70b</t>
        </is>
      </c>
      <c r="B115" s="9" t="inlineStr">
        <is>
          <t>b200</t>
        </is>
      </c>
      <c r="C115" s="9" t="inlineStr">
        <is>
          <t>long_chat</t>
        </is>
      </c>
      <c r="D115" s="9" t="inlineStr">
        <is>
          <t>llama70b</t>
        </is>
      </c>
      <c r="E115" s="9" t="n">
        <v>70</v>
      </c>
      <c r="F115" s="9" t="n">
        <v>8192</v>
      </c>
      <c r="G115" s="9" t="n">
        <v>1024</v>
      </c>
      <c r="H115" s="9" t="n">
        <v>198</v>
      </c>
      <c r="I115" s="9" t="n">
        <v>0</v>
      </c>
      <c r="J115" s="9" t="n">
        <v>0</v>
      </c>
      <c r="K115" s="11" t="inlineStr"/>
      <c r="L115" s="21" t="inlineStr"/>
      <c r="M115" s="9" t="inlineStr"/>
      <c r="N115" s="9" t="inlineStr"/>
      <c r="O115" s="9" t="inlineStr"/>
      <c r="P115" s="9" t="inlineStr">
        <is>
          <t>missing</t>
        </is>
      </c>
      <c r="Q115" s="9" t="inlineStr">
        <is>
          <t>no row meets target_tok_s_user</t>
        </is>
      </c>
      <c r="R115" s="9" t="inlineStr"/>
      <c r="S115" s="9" t="inlineStr">
        <is>
          <t>tok_s_user is computed as output_tok_s_gpu/concurrency when source tok_s_user is blank; agentic_derived uses long_chat rows multiplied by the Kimi K2.5 agentic/long ratio.</t>
        </is>
      </c>
    </row>
    <row r="116">
      <c r="A116" s="9" t="inlineStr">
        <is>
          <t>llama70b</t>
        </is>
      </c>
      <c r="B116" s="9" t="inlineStr">
        <is>
          <t>b200</t>
        </is>
      </c>
      <c r="C116" s="9" t="inlineStr">
        <is>
          <t>long_chat</t>
        </is>
      </c>
      <c r="D116" s="9" t="inlineStr">
        <is>
          <t>llama70b</t>
        </is>
      </c>
      <c r="E116" s="9" t="n">
        <v>100</v>
      </c>
      <c r="F116" s="9" t="n">
        <v>8192</v>
      </c>
      <c r="G116" s="9" t="n">
        <v>1024</v>
      </c>
      <c r="H116" s="9" t="n">
        <v>198</v>
      </c>
      <c r="I116" s="9" t="n">
        <v>0</v>
      </c>
      <c r="J116" s="9" t="n">
        <v>0</v>
      </c>
      <c r="K116" s="11" t="inlineStr"/>
      <c r="L116" s="21" t="inlineStr"/>
      <c r="M116" s="9" t="inlineStr"/>
      <c r="N116" s="9" t="inlineStr"/>
      <c r="O116" s="9" t="inlineStr"/>
      <c r="P116" s="9" t="inlineStr">
        <is>
          <t>missing</t>
        </is>
      </c>
      <c r="Q116" s="9" t="inlineStr">
        <is>
          <t>no row meets target_tok_s_user</t>
        </is>
      </c>
      <c r="R116" s="9" t="inlineStr"/>
      <c r="S116" s="9" t="inlineStr">
        <is>
          <t>tok_s_user is computed as output_tok_s_gpu/concurrency when source tok_s_user is blank; agentic_derived uses long_chat rows multiplied by the Kimi K2.5 agentic/long ratio.</t>
        </is>
      </c>
    </row>
    <row r="117">
      <c r="A117" s="9" t="inlineStr">
        <is>
          <t>llama70b</t>
        </is>
      </c>
      <c r="B117" s="9" t="inlineStr">
        <is>
          <t>b200</t>
        </is>
      </c>
      <c r="C117" s="9" t="inlineStr">
        <is>
          <t>agentic_derived</t>
        </is>
      </c>
      <c r="D117" s="9" t="inlineStr">
        <is>
          <t>llama70b</t>
        </is>
      </c>
      <c r="E117" s="9" t="n">
        <v>10</v>
      </c>
      <c r="F117" s="9" t="n">
        <v>100947</v>
      </c>
      <c r="G117" s="9" t="n">
        <v>860</v>
      </c>
      <c r="H117" s="9" t="n">
        <v>198</v>
      </c>
      <c r="I117" s="9" t="n">
        <v>0</v>
      </c>
      <c r="J117" s="9" t="n">
        <v>0</v>
      </c>
      <c r="K117" s="11" t="inlineStr"/>
      <c r="L117" s="21" t="inlineStr"/>
      <c r="M117" s="9" t="inlineStr"/>
      <c r="N117" s="9" t="inlineStr"/>
      <c r="O117" s="9" t="inlineStr"/>
      <c r="P117" s="9" t="inlineStr">
        <is>
          <t>missing</t>
        </is>
      </c>
      <c r="Q117" s="9" t="inlineStr">
        <is>
          <t>no row meets target_tok_s_user</t>
        </is>
      </c>
      <c r="R117" s="9" t="inlineStr"/>
      <c r="S117" s="9" t="inlineStr">
        <is>
          <t>tok_s_user is computed as output_tok_s_gpu/concurrency when source tok_s_user is blank; agentic_derived uses long_chat rows multiplied by the Kimi K2.5 agentic/long ratio.</t>
        </is>
      </c>
    </row>
    <row r="118">
      <c r="A118" s="9" t="inlineStr">
        <is>
          <t>llama70b</t>
        </is>
      </c>
      <c r="B118" s="9" t="inlineStr">
        <is>
          <t>b200</t>
        </is>
      </c>
      <c r="C118" s="9" t="inlineStr">
        <is>
          <t>agentic_derived</t>
        </is>
      </c>
      <c r="D118" s="9" t="inlineStr">
        <is>
          <t>llama70b</t>
        </is>
      </c>
      <c r="E118" s="9" t="n">
        <v>30</v>
      </c>
      <c r="F118" s="9" t="n">
        <v>100947</v>
      </c>
      <c r="G118" s="9" t="n">
        <v>860</v>
      </c>
      <c r="H118" s="9" t="n">
        <v>198</v>
      </c>
      <c r="I118" s="9" t="n">
        <v>0</v>
      </c>
      <c r="J118" s="9" t="n">
        <v>0</v>
      </c>
      <c r="K118" s="11" t="inlineStr"/>
      <c r="L118" s="21" t="inlineStr"/>
      <c r="M118" s="9" t="inlineStr"/>
      <c r="N118" s="9" t="inlineStr"/>
      <c r="O118" s="9" t="inlineStr"/>
      <c r="P118" s="9" t="inlineStr">
        <is>
          <t>missing</t>
        </is>
      </c>
      <c r="Q118" s="9" t="inlineStr">
        <is>
          <t>no row meets target_tok_s_user</t>
        </is>
      </c>
      <c r="R118" s="9" t="inlineStr"/>
      <c r="S118" s="9" t="inlineStr">
        <is>
          <t>tok_s_user is computed as output_tok_s_gpu/concurrency when source tok_s_user is blank; agentic_derived uses long_chat rows multiplied by the Kimi K2.5 agentic/long ratio.</t>
        </is>
      </c>
    </row>
    <row r="119">
      <c r="A119" s="9" t="inlineStr">
        <is>
          <t>llama70b</t>
        </is>
      </c>
      <c r="B119" s="9" t="inlineStr">
        <is>
          <t>b200</t>
        </is>
      </c>
      <c r="C119" s="9" t="inlineStr">
        <is>
          <t>agentic_derived</t>
        </is>
      </c>
      <c r="D119" s="9" t="inlineStr">
        <is>
          <t>llama70b</t>
        </is>
      </c>
      <c r="E119" s="9" t="n">
        <v>50</v>
      </c>
      <c r="F119" s="9" t="n">
        <v>100947</v>
      </c>
      <c r="G119" s="9" t="n">
        <v>860</v>
      </c>
      <c r="H119" s="9" t="n">
        <v>198</v>
      </c>
      <c r="I119" s="9" t="n">
        <v>0</v>
      </c>
      <c r="J119" s="9" t="n">
        <v>0</v>
      </c>
      <c r="K119" s="11" t="inlineStr"/>
      <c r="L119" s="21" t="inlineStr"/>
      <c r="M119" s="9" t="inlineStr"/>
      <c r="N119" s="9" t="inlineStr"/>
      <c r="O119" s="9" t="inlineStr"/>
      <c r="P119" s="9" t="inlineStr">
        <is>
          <t>missing</t>
        </is>
      </c>
      <c r="Q119" s="9" t="inlineStr">
        <is>
          <t>no row meets target_tok_s_user</t>
        </is>
      </c>
      <c r="R119" s="9" t="inlineStr"/>
      <c r="S119" s="9" t="inlineStr">
        <is>
          <t>tok_s_user is computed as output_tok_s_gpu/concurrency when source tok_s_user is blank; agentic_derived uses long_chat rows multiplied by the Kimi K2.5 agentic/long ratio.</t>
        </is>
      </c>
    </row>
    <row r="120">
      <c r="A120" s="9" t="inlineStr">
        <is>
          <t>llama70b</t>
        </is>
      </c>
      <c r="B120" s="9" t="inlineStr">
        <is>
          <t>b200</t>
        </is>
      </c>
      <c r="C120" s="9" t="inlineStr">
        <is>
          <t>agentic_derived</t>
        </is>
      </c>
      <c r="D120" s="9" t="inlineStr">
        <is>
          <t>llama70b</t>
        </is>
      </c>
      <c r="E120" s="9" t="n">
        <v>70</v>
      </c>
      <c r="F120" s="9" t="n">
        <v>100947</v>
      </c>
      <c r="G120" s="9" t="n">
        <v>860</v>
      </c>
      <c r="H120" s="9" t="n">
        <v>198</v>
      </c>
      <c r="I120" s="9" t="n">
        <v>0</v>
      </c>
      <c r="J120" s="9" t="n">
        <v>0</v>
      </c>
      <c r="K120" s="11" t="inlineStr"/>
      <c r="L120" s="21" t="inlineStr"/>
      <c r="M120" s="9" t="inlineStr"/>
      <c r="N120" s="9" t="inlineStr"/>
      <c r="O120" s="9" t="inlineStr"/>
      <c r="P120" s="9" t="inlineStr">
        <is>
          <t>missing</t>
        </is>
      </c>
      <c r="Q120" s="9" t="inlineStr">
        <is>
          <t>no row meets target_tok_s_user</t>
        </is>
      </c>
      <c r="R120" s="9" t="inlineStr"/>
      <c r="S120" s="9" t="inlineStr">
        <is>
          <t>tok_s_user is computed as output_tok_s_gpu/concurrency when source tok_s_user is blank; agentic_derived uses long_chat rows multiplied by the Kimi K2.5 agentic/long ratio.</t>
        </is>
      </c>
    </row>
    <row r="121">
      <c r="A121" s="9" t="inlineStr">
        <is>
          <t>llama70b</t>
        </is>
      </c>
      <c r="B121" s="9" t="inlineStr">
        <is>
          <t>b200</t>
        </is>
      </c>
      <c r="C121" s="9" t="inlineStr">
        <is>
          <t>agentic_derived</t>
        </is>
      </c>
      <c r="D121" s="9" t="inlineStr">
        <is>
          <t>llama70b</t>
        </is>
      </c>
      <c r="E121" s="9" t="n">
        <v>100</v>
      </c>
      <c r="F121" s="9" t="n">
        <v>100947</v>
      </c>
      <c r="G121" s="9" t="n">
        <v>860</v>
      </c>
      <c r="H121" s="9" t="n">
        <v>198</v>
      </c>
      <c r="I121" s="9" t="n">
        <v>0</v>
      </c>
      <c r="J121" s="9" t="n">
        <v>0</v>
      </c>
      <c r="K121" s="11" t="inlineStr"/>
      <c r="L121" s="21" t="inlineStr"/>
      <c r="M121" s="9" t="inlineStr"/>
      <c r="N121" s="9" t="inlineStr"/>
      <c r="O121" s="9" t="inlineStr"/>
      <c r="P121" s="9" t="inlineStr">
        <is>
          <t>missing</t>
        </is>
      </c>
      <c r="Q121" s="9" t="inlineStr">
        <is>
          <t>no row meets target_tok_s_user</t>
        </is>
      </c>
      <c r="R121" s="9" t="inlineStr"/>
      <c r="S121" s="9" t="inlineStr">
        <is>
          <t>tok_s_user is computed as output_tok_s_gpu/concurrency when source tok_s_user is blank; agentic_derived uses long_chat rows multiplied by the Kimi K2.5 agentic/long ratio.</t>
        </is>
      </c>
    </row>
    <row r="122">
      <c r="A122" s="9" t="inlineStr">
        <is>
          <t>llama70b</t>
        </is>
      </c>
      <c r="B122" s="9" t="inlineStr">
        <is>
          <t>gb200</t>
        </is>
      </c>
      <c r="C122" s="9" t="inlineStr">
        <is>
          <t>short_chat</t>
        </is>
      </c>
      <c r="D122" s="9" t="inlineStr">
        <is>
          <t>llama70b</t>
        </is>
      </c>
      <c r="E122" s="9" t="n">
        <v>10</v>
      </c>
      <c r="F122" s="9" t="n">
        <v>1024</v>
      </c>
      <c r="G122" s="9" t="n">
        <v>1024</v>
      </c>
      <c r="H122" s="9" t="n">
        <v>0</v>
      </c>
      <c r="I122" s="9" t="n">
        <v>0</v>
      </c>
      <c r="J122" s="9" t="n">
        <v>0</v>
      </c>
      <c r="K122" s="11" t="inlineStr"/>
      <c r="L122" s="21" t="inlineStr"/>
      <c r="M122" s="9" t="inlineStr"/>
      <c r="N122" s="9" t="inlineStr"/>
      <c r="O122" s="9" t="inlineStr"/>
      <c r="P122" s="9" t="inlineStr">
        <is>
          <t>missing</t>
        </is>
      </c>
      <c r="Q122" s="9" t="inlineStr">
        <is>
          <t>no row meets target_tok_s_user</t>
        </is>
      </c>
      <c r="R122" s="9" t="inlineStr"/>
      <c r="S122" s="9" t="inlineStr">
        <is>
          <t>tok_s_user is computed as output_tok_s_gpu/concurrency when source tok_s_user is blank; agentic_derived uses long_chat rows multiplied by the Kimi K2.5 agentic/long ratio.</t>
        </is>
      </c>
    </row>
    <row r="123">
      <c r="A123" s="9" t="inlineStr">
        <is>
          <t>llama70b</t>
        </is>
      </c>
      <c r="B123" s="9" t="inlineStr">
        <is>
          <t>gb200</t>
        </is>
      </c>
      <c r="C123" s="9" t="inlineStr">
        <is>
          <t>short_chat</t>
        </is>
      </c>
      <c r="D123" s="9" t="inlineStr">
        <is>
          <t>llama70b</t>
        </is>
      </c>
      <c r="E123" s="9" t="n">
        <v>30</v>
      </c>
      <c r="F123" s="9" t="n">
        <v>1024</v>
      </c>
      <c r="G123" s="9" t="n">
        <v>1024</v>
      </c>
      <c r="H123" s="9" t="n">
        <v>0</v>
      </c>
      <c r="I123" s="9" t="n">
        <v>0</v>
      </c>
      <c r="J123" s="9" t="n">
        <v>0</v>
      </c>
      <c r="K123" s="11" t="inlineStr"/>
      <c r="L123" s="21" t="inlineStr"/>
      <c r="M123" s="9" t="inlineStr"/>
      <c r="N123" s="9" t="inlineStr"/>
      <c r="O123" s="9" t="inlineStr"/>
      <c r="P123" s="9" t="inlineStr">
        <is>
          <t>missing</t>
        </is>
      </c>
      <c r="Q123" s="9" t="inlineStr">
        <is>
          <t>no row meets target_tok_s_user</t>
        </is>
      </c>
      <c r="R123" s="9" t="inlineStr"/>
      <c r="S123" s="9" t="inlineStr">
        <is>
          <t>tok_s_user is computed as output_tok_s_gpu/concurrency when source tok_s_user is blank; agentic_derived uses long_chat rows multiplied by the Kimi K2.5 agentic/long ratio.</t>
        </is>
      </c>
    </row>
    <row r="124">
      <c r="A124" s="9" t="inlineStr">
        <is>
          <t>llama70b</t>
        </is>
      </c>
      <c r="B124" s="9" t="inlineStr">
        <is>
          <t>gb200</t>
        </is>
      </c>
      <c r="C124" s="9" t="inlineStr">
        <is>
          <t>short_chat</t>
        </is>
      </c>
      <c r="D124" s="9" t="inlineStr">
        <is>
          <t>llama70b</t>
        </is>
      </c>
      <c r="E124" s="9" t="n">
        <v>50</v>
      </c>
      <c r="F124" s="9" t="n">
        <v>1024</v>
      </c>
      <c r="G124" s="9" t="n">
        <v>1024</v>
      </c>
      <c r="H124" s="9" t="n">
        <v>0</v>
      </c>
      <c r="I124" s="9" t="n">
        <v>0</v>
      </c>
      <c r="J124" s="9" t="n">
        <v>0</v>
      </c>
      <c r="K124" s="11" t="inlineStr"/>
      <c r="L124" s="21" t="inlineStr"/>
      <c r="M124" s="9" t="inlineStr"/>
      <c r="N124" s="9" t="inlineStr"/>
      <c r="O124" s="9" t="inlineStr"/>
      <c r="P124" s="9" t="inlineStr">
        <is>
          <t>missing</t>
        </is>
      </c>
      <c r="Q124" s="9" t="inlineStr">
        <is>
          <t>no row meets target_tok_s_user</t>
        </is>
      </c>
      <c r="R124" s="9" t="inlineStr"/>
      <c r="S124" s="9" t="inlineStr">
        <is>
          <t>tok_s_user is computed as output_tok_s_gpu/concurrency when source tok_s_user is blank; agentic_derived uses long_chat rows multiplied by the Kimi K2.5 agentic/long ratio.</t>
        </is>
      </c>
    </row>
    <row r="125">
      <c r="A125" s="9" t="inlineStr">
        <is>
          <t>llama70b</t>
        </is>
      </c>
      <c r="B125" s="9" t="inlineStr">
        <is>
          <t>gb200</t>
        </is>
      </c>
      <c r="C125" s="9" t="inlineStr">
        <is>
          <t>short_chat</t>
        </is>
      </c>
      <c r="D125" s="9" t="inlineStr">
        <is>
          <t>llama70b</t>
        </is>
      </c>
      <c r="E125" s="9" t="n">
        <v>70</v>
      </c>
      <c r="F125" s="9" t="n">
        <v>1024</v>
      </c>
      <c r="G125" s="9" t="n">
        <v>1024</v>
      </c>
      <c r="H125" s="9" t="n">
        <v>0</v>
      </c>
      <c r="I125" s="9" t="n">
        <v>0</v>
      </c>
      <c r="J125" s="9" t="n">
        <v>0</v>
      </c>
      <c r="K125" s="11" t="inlineStr"/>
      <c r="L125" s="21" t="inlineStr"/>
      <c r="M125" s="9" t="inlineStr"/>
      <c r="N125" s="9" t="inlineStr"/>
      <c r="O125" s="9" t="inlineStr"/>
      <c r="P125" s="9" t="inlineStr">
        <is>
          <t>missing</t>
        </is>
      </c>
      <c r="Q125" s="9" t="inlineStr">
        <is>
          <t>no row meets target_tok_s_user</t>
        </is>
      </c>
      <c r="R125" s="9" t="inlineStr"/>
      <c r="S125" s="9" t="inlineStr">
        <is>
          <t>tok_s_user is computed as output_tok_s_gpu/concurrency when source tok_s_user is blank; agentic_derived uses long_chat rows multiplied by the Kimi K2.5 agentic/long ratio.</t>
        </is>
      </c>
    </row>
    <row r="126">
      <c r="A126" s="9" t="inlineStr">
        <is>
          <t>llama70b</t>
        </is>
      </c>
      <c r="B126" s="9" t="inlineStr">
        <is>
          <t>gb200</t>
        </is>
      </c>
      <c r="C126" s="9" t="inlineStr">
        <is>
          <t>short_chat</t>
        </is>
      </c>
      <c r="D126" s="9" t="inlineStr">
        <is>
          <t>llama70b</t>
        </is>
      </c>
      <c r="E126" s="9" t="n">
        <v>100</v>
      </c>
      <c r="F126" s="9" t="n">
        <v>1024</v>
      </c>
      <c r="G126" s="9" t="n">
        <v>1024</v>
      </c>
      <c r="H126" s="9" t="n">
        <v>0</v>
      </c>
      <c r="I126" s="9" t="n">
        <v>0</v>
      </c>
      <c r="J126" s="9" t="n">
        <v>0</v>
      </c>
      <c r="K126" s="11" t="inlineStr"/>
      <c r="L126" s="21" t="inlineStr"/>
      <c r="M126" s="9" t="inlineStr"/>
      <c r="N126" s="9" t="inlineStr"/>
      <c r="O126" s="9" t="inlineStr"/>
      <c r="P126" s="9" t="inlineStr">
        <is>
          <t>missing</t>
        </is>
      </c>
      <c r="Q126" s="9" t="inlineStr">
        <is>
          <t>no row meets target_tok_s_user</t>
        </is>
      </c>
      <c r="R126" s="9" t="inlineStr"/>
      <c r="S126" s="9" t="inlineStr">
        <is>
          <t>tok_s_user is computed as output_tok_s_gpu/concurrency when source tok_s_user is blank; agentic_derived uses long_chat rows multiplied by the Kimi K2.5 agentic/long ratio.</t>
        </is>
      </c>
    </row>
    <row r="127">
      <c r="A127" s="9" t="inlineStr">
        <is>
          <t>llama70b</t>
        </is>
      </c>
      <c r="B127" s="9" t="inlineStr">
        <is>
          <t>gb200</t>
        </is>
      </c>
      <c r="C127" s="9" t="inlineStr">
        <is>
          <t>long_chat</t>
        </is>
      </c>
      <c r="D127" s="9" t="inlineStr">
        <is>
          <t>llama70b</t>
        </is>
      </c>
      <c r="E127" s="9" t="n">
        <v>10</v>
      </c>
      <c r="F127" s="9" t="n">
        <v>8192</v>
      </c>
      <c r="G127" s="9" t="n">
        <v>1024</v>
      </c>
      <c r="H127" s="9" t="n">
        <v>0</v>
      </c>
      <c r="I127" s="9" t="n">
        <v>0</v>
      </c>
      <c r="J127" s="9" t="n">
        <v>0</v>
      </c>
      <c r="K127" s="11" t="inlineStr"/>
      <c r="L127" s="21" t="inlineStr"/>
      <c r="M127" s="9" t="inlineStr"/>
      <c r="N127" s="9" t="inlineStr"/>
      <c r="O127" s="9" t="inlineStr"/>
      <c r="P127" s="9" t="inlineStr">
        <is>
          <t>missing</t>
        </is>
      </c>
      <c r="Q127" s="9" t="inlineStr">
        <is>
          <t>no row meets target_tok_s_user</t>
        </is>
      </c>
      <c r="R127" s="9" t="inlineStr"/>
      <c r="S127" s="9" t="inlineStr">
        <is>
          <t>tok_s_user is computed as output_tok_s_gpu/concurrency when source tok_s_user is blank; agentic_derived uses long_chat rows multiplied by the Kimi K2.5 agentic/long ratio.</t>
        </is>
      </c>
    </row>
    <row r="128">
      <c r="A128" s="9" t="inlineStr">
        <is>
          <t>llama70b</t>
        </is>
      </c>
      <c r="B128" s="9" t="inlineStr">
        <is>
          <t>gb200</t>
        </is>
      </c>
      <c r="C128" s="9" t="inlineStr">
        <is>
          <t>long_chat</t>
        </is>
      </c>
      <c r="D128" s="9" t="inlineStr">
        <is>
          <t>llama70b</t>
        </is>
      </c>
      <c r="E128" s="9" t="n">
        <v>30</v>
      </c>
      <c r="F128" s="9" t="n">
        <v>8192</v>
      </c>
      <c r="G128" s="9" t="n">
        <v>1024</v>
      </c>
      <c r="H128" s="9" t="n">
        <v>0</v>
      </c>
      <c r="I128" s="9" t="n">
        <v>0</v>
      </c>
      <c r="J128" s="9" t="n">
        <v>0</v>
      </c>
      <c r="K128" s="11" t="inlineStr"/>
      <c r="L128" s="21" t="inlineStr"/>
      <c r="M128" s="9" t="inlineStr"/>
      <c r="N128" s="9" t="inlineStr"/>
      <c r="O128" s="9" t="inlineStr"/>
      <c r="P128" s="9" t="inlineStr">
        <is>
          <t>missing</t>
        </is>
      </c>
      <c r="Q128" s="9" t="inlineStr">
        <is>
          <t>no row meets target_tok_s_user</t>
        </is>
      </c>
      <c r="R128" s="9" t="inlineStr"/>
      <c r="S128" s="9" t="inlineStr">
        <is>
          <t>tok_s_user is computed as output_tok_s_gpu/concurrency when source tok_s_user is blank; agentic_derived uses long_chat rows multiplied by the Kimi K2.5 agentic/long ratio.</t>
        </is>
      </c>
    </row>
    <row r="129">
      <c r="A129" s="9" t="inlineStr">
        <is>
          <t>llama70b</t>
        </is>
      </c>
      <c r="B129" s="9" t="inlineStr">
        <is>
          <t>gb200</t>
        </is>
      </c>
      <c r="C129" s="9" t="inlineStr">
        <is>
          <t>long_chat</t>
        </is>
      </c>
      <c r="D129" s="9" t="inlineStr">
        <is>
          <t>llama70b</t>
        </is>
      </c>
      <c r="E129" s="9" t="n">
        <v>50</v>
      </c>
      <c r="F129" s="9" t="n">
        <v>8192</v>
      </c>
      <c r="G129" s="9" t="n">
        <v>1024</v>
      </c>
      <c r="H129" s="9" t="n">
        <v>0</v>
      </c>
      <c r="I129" s="9" t="n">
        <v>0</v>
      </c>
      <c r="J129" s="9" t="n">
        <v>0</v>
      </c>
      <c r="K129" s="11" t="inlineStr"/>
      <c r="L129" s="21" t="inlineStr"/>
      <c r="M129" s="9" t="inlineStr"/>
      <c r="N129" s="9" t="inlineStr"/>
      <c r="O129" s="9" t="inlineStr"/>
      <c r="P129" s="9" t="inlineStr">
        <is>
          <t>missing</t>
        </is>
      </c>
      <c r="Q129" s="9" t="inlineStr">
        <is>
          <t>no row meets target_tok_s_user</t>
        </is>
      </c>
      <c r="R129" s="9" t="inlineStr"/>
      <c r="S129" s="9" t="inlineStr">
        <is>
          <t>tok_s_user is computed as output_tok_s_gpu/concurrency when source tok_s_user is blank; agentic_derived uses long_chat rows multiplied by the Kimi K2.5 agentic/long ratio.</t>
        </is>
      </c>
    </row>
    <row r="130">
      <c r="A130" s="9" t="inlineStr">
        <is>
          <t>llama70b</t>
        </is>
      </c>
      <c r="B130" s="9" t="inlineStr">
        <is>
          <t>gb200</t>
        </is>
      </c>
      <c r="C130" s="9" t="inlineStr">
        <is>
          <t>long_chat</t>
        </is>
      </c>
      <c r="D130" s="9" t="inlineStr">
        <is>
          <t>llama70b</t>
        </is>
      </c>
      <c r="E130" s="9" t="n">
        <v>70</v>
      </c>
      <c r="F130" s="9" t="n">
        <v>8192</v>
      </c>
      <c r="G130" s="9" t="n">
        <v>1024</v>
      </c>
      <c r="H130" s="9" t="n">
        <v>0</v>
      </c>
      <c r="I130" s="9" t="n">
        <v>0</v>
      </c>
      <c r="J130" s="9" t="n">
        <v>0</v>
      </c>
      <c r="K130" s="11" t="inlineStr"/>
      <c r="L130" s="21" t="inlineStr"/>
      <c r="M130" s="9" t="inlineStr"/>
      <c r="N130" s="9" t="inlineStr"/>
      <c r="O130" s="9" t="inlineStr"/>
      <c r="P130" s="9" t="inlineStr">
        <is>
          <t>missing</t>
        </is>
      </c>
      <c r="Q130" s="9" t="inlineStr">
        <is>
          <t>no row meets target_tok_s_user</t>
        </is>
      </c>
      <c r="R130" s="9" t="inlineStr"/>
      <c r="S130" s="9" t="inlineStr">
        <is>
          <t>tok_s_user is computed as output_tok_s_gpu/concurrency when source tok_s_user is blank; agentic_derived uses long_chat rows multiplied by the Kimi K2.5 agentic/long ratio.</t>
        </is>
      </c>
    </row>
    <row r="131">
      <c r="A131" s="9" t="inlineStr">
        <is>
          <t>llama70b</t>
        </is>
      </c>
      <c r="B131" s="9" t="inlineStr">
        <is>
          <t>gb200</t>
        </is>
      </c>
      <c r="C131" s="9" t="inlineStr">
        <is>
          <t>long_chat</t>
        </is>
      </c>
      <c r="D131" s="9" t="inlineStr">
        <is>
          <t>llama70b</t>
        </is>
      </c>
      <c r="E131" s="9" t="n">
        <v>100</v>
      </c>
      <c r="F131" s="9" t="n">
        <v>8192</v>
      </c>
      <c r="G131" s="9" t="n">
        <v>1024</v>
      </c>
      <c r="H131" s="9" t="n">
        <v>0</v>
      </c>
      <c r="I131" s="9" t="n">
        <v>0</v>
      </c>
      <c r="J131" s="9" t="n">
        <v>0</v>
      </c>
      <c r="K131" s="11" t="inlineStr"/>
      <c r="L131" s="21" t="inlineStr"/>
      <c r="M131" s="9" t="inlineStr"/>
      <c r="N131" s="9" t="inlineStr"/>
      <c r="O131" s="9" t="inlineStr"/>
      <c r="P131" s="9" t="inlineStr">
        <is>
          <t>missing</t>
        </is>
      </c>
      <c r="Q131" s="9" t="inlineStr">
        <is>
          <t>no row meets target_tok_s_user</t>
        </is>
      </c>
      <c r="R131" s="9" t="inlineStr"/>
      <c r="S131" s="9" t="inlineStr">
        <is>
          <t>tok_s_user is computed as output_tok_s_gpu/concurrency when source tok_s_user is blank; agentic_derived uses long_chat rows multiplied by the Kimi K2.5 agentic/long ratio.</t>
        </is>
      </c>
    </row>
    <row r="132">
      <c r="A132" s="9" t="inlineStr">
        <is>
          <t>llama70b</t>
        </is>
      </c>
      <c r="B132" s="9" t="inlineStr">
        <is>
          <t>gb200</t>
        </is>
      </c>
      <c r="C132" s="9" t="inlineStr">
        <is>
          <t>agentic_derived</t>
        </is>
      </c>
      <c r="D132" s="9" t="inlineStr">
        <is>
          <t>llama70b</t>
        </is>
      </c>
      <c r="E132" s="9" t="n">
        <v>10</v>
      </c>
      <c r="F132" s="9" t="n">
        <v>100947</v>
      </c>
      <c r="G132" s="9" t="n">
        <v>860</v>
      </c>
      <c r="H132" s="9" t="n">
        <v>0</v>
      </c>
      <c r="I132" s="9" t="n">
        <v>0</v>
      </c>
      <c r="J132" s="9" t="n">
        <v>0</v>
      </c>
      <c r="K132" s="11" t="inlineStr"/>
      <c r="L132" s="21" t="inlineStr"/>
      <c r="M132" s="9" t="inlineStr"/>
      <c r="N132" s="9" t="inlineStr"/>
      <c r="O132" s="9" t="inlineStr"/>
      <c r="P132" s="9" t="inlineStr">
        <is>
          <t>missing</t>
        </is>
      </c>
      <c r="Q132" s="9" t="inlineStr">
        <is>
          <t>no row meets target_tok_s_user</t>
        </is>
      </c>
      <c r="R132" s="9" t="inlineStr"/>
      <c r="S132" s="9" t="inlineStr">
        <is>
          <t>tok_s_user is computed as output_tok_s_gpu/concurrency when source tok_s_user is blank; agentic_derived uses long_chat rows multiplied by the Kimi K2.5 agentic/long ratio.</t>
        </is>
      </c>
    </row>
    <row r="133">
      <c r="A133" s="9" t="inlineStr">
        <is>
          <t>llama70b</t>
        </is>
      </c>
      <c r="B133" s="9" t="inlineStr">
        <is>
          <t>gb200</t>
        </is>
      </c>
      <c r="C133" s="9" t="inlineStr">
        <is>
          <t>agentic_derived</t>
        </is>
      </c>
      <c r="D133" s="9" t="inlineStr">
        <is>
          <t>llama70b</t>
        </is>
      </c>
      <c r="E133" s="9" t="n">
        <v>30</v>
      </c>
      <c r="F133" s="9" t="n">
        <v>100947</v>
      </c>
      <c r="G133" s="9" t="n">
        <v>860</v>
      </c>
      <c r="H133" s="9" t="n">
        <v>0</v>
      </c>
      <c r="I133" s="9" t="n">
        <v>0</v>
      </c>
      <c r="J133" s="9" t="n">
        <v>0</v>
      </c>
      <c r="K133" s="11" t="inlineStr"/>
      <c r="L133" s="21" t="inlineStr"/>
      <c r="M133" s="9" t="inlineStr"/>
      <c r="N133" s="9" t="inlineStr"/>
      <c r="O133" s="9" t="inlineStr"/>
      <c r="P133" s="9" t="inlineStr">
        <is>
          <t>missing</t>
        </is>
      </c>
      <c r="Q133" s="9" t="inlineStr">
        <is>
          <t>no row meets target_tok_s_user</t>
        </is>
      </c>
      <c r="R133" s="9" t="inlineStr"/>
      <c r="S133" s="9" t="inlineStr">
        <is>
          <t>tok_s_user is computed as output_tok_s_gpu/concurrency when source tok_s_user is blank; agentic_derived uses long_chat rows multiplied by the Kimi K2.5 agentic/long ratio.</t>
        </is>
      </c>
    </row>
    <row r="134">
      <c r="A134" s="9" t="inlineStr">
        <is>
          <t>llama70b</t>
        </is>
      </c>
      <c r="B134" s="9" t="inlineStr">
        <is>
          <t>gb200</t>
        </is>
      </c>
      <c r="C134" s="9" t="inlineStr">
        <is>
          <t>agentic_derived</t>
        </is>
      </c>
      <c r="D134" s="9" t="inlineStr">
        <is>
          <t>llama70b</t>
        </is>
      </c>
      <c r="E134" s="9" t="n">
        <v>50</v>
      </c>
      <c r="F134" s="9" t="n">
        <v>100947</v>
      </c>
      <c r="G134" s="9" t="n">
        <v>860</v>
      </c>
      <c r="H134" s="9" t="n">
        <v>0</v>
      </c>
      <c r="I134" s="9" t="n">
        <v>0</v>
      </c>
      <c r="J134" s="9" t="n">
        <v>0</v>
      </c>
      <c r="K134" s="11" t="inlineStr"/>
      <c r="L134" s="21" t="inlineStr"/>
      <c r="M134" s="9" t="inlineStr"/>
      <c r="N134" s="9" t="inlineStr"/>
      <c r="O134" s="9" t="inlineStr"/>
      <c r="P134" s="9" t="inlineStr">
        <is>
          <t>missing</t>
        </is>
      </c>
      <c r="Q134" s="9" t="inlineStr">
        <is>
          <t>no row meets target_tok_s_user</t>
        </is>
      </c>
      <c r="R134" s="9" t="inlineStr"/>
      <c r="S134" s="9" t="inlineStr">
        <is>
          <t>tok_s_user is computed as output_tok_s_gpu/concurrency when source tok_s_user is blank; agentic_derived uses long_chat rows multiplied by the Kimi K2.5 agentic/long ratio.</t>
        </is>
      </c>
    </row>
    <row r="135">
      <c r="A135" s="9" t="inlineStr">
        <is>
          <t>llama70b</t>
        </is>
      </c>
      <c r="B135" s="9" t="inlineStr">
        <is>
          <t>gb200</t>
        </is>
      </c>
      <c r="C135" s="9" t="inlineStr">
        <is>
          <t>agentic_derived</t>
        </is>
      </c>
      <c r="D135" s="9" t="inlineStr">
        <is>
          <t>llama70b</t>
        </is>
      </c>
      <c r="E135" s="9" t="n">
        <v>70</v>
      </c>
      <c r="F135" s="9" t="n">
        <v>100947</v>
      </c>
      <c r="G135" s="9" t="n">
        <v>860</v>
      </c>
      <c r="H135" s="9" t="n">
        <v>0</v>
      </c>
      <c r="I135" s="9" t="n">
        <v>0</v>
      </c>
      <c r="J135" s="9" t="n">
        <v>0</v>
      </c>
      <c r="K135" s="11" t="inlineStr"/>
      <c r="L135" s="21" t="inlineStr"/>
      <c r="M135" s="9" t="inlineStr"/>
      <c r="N135" s="9" t="inlineStr"/>
      <c r="O135" s="9" t="inlineStr"/>
      <c r="P135" s="9" t="inlineStr">
        <is>
          <t>missing</t>
        </is>
      </c>
      <c r="Q135" s="9" t="inlineStr">
        <is>
          <t>no row meets target_tok_s_user</t>
        </is>
      </c>
      <c r="R135" s="9" t="inlineStr"/>
      <c r="S135" s="9" t="inlineStr">
        <is>
          <t>tok_s_user is computed as output_tok_s_gpu/concurrency when source tok_s_user is blank; agentic_derived uses long_chat rows multiplied by the Kimi K2.5 agentic/long ratio.</t>
        </is>
      </c>
    </row>
    <row r="136">
      <c r="A136" s="9" t="inlineStr">
        <is>
          <t>llama70b</t>
        </is>
      </c>
      <c r="B136" s="9" t="inlineStr">
        <is>
          <t>gb200</t>
        </is>
      </c>
      <c r="C136" s="9" t="inlineStr">
        <is>
          <t>agentic_derived</t>
        </is>
      </c>
      <c r="D136" s="9" t="inlineStr">
        <is>
          <t>llama70b</t>
        </is>
      </c>
      <c r="E136" s="9" t="n">
        <v>100</v>
      </c>
      <c r="F136" s="9" t="n">
        <v>100947</v>
      </c>
      <c r="G136" s="9" t="n">
        <v>860</v>
      </c>
      <c r="H136" s="9" t="n">
        <v>0</v>
      </c>
      <c r="I136" s="9" t="n">
        <v>0</v>
      </c>
      <c r="J136" s="9" t="n">
        <v>0</v>
      </c>
      <c r="K136" s="11" t="inlineStr"/>
      <c r="L136" s="21" t="inlineStr"/>
      <c r="M136" s="9" t="inlineStr"/>
      <c r="N136" s="9" t="inlineStr"/>
      <c r="O136" s="9" t="inlineStr"/>
      <c r="P136" s="9" t="inlineStr">
        <is>
          <t>missing</t>
        </is>
      </c>
      <c r="Q136" s="9" t="inlineStr">
        <is>
          <t>no row meets target_tok_s_user</t>
        </is>
      </c>
      <c r="R136" s="9" t="inlineStr"/>
      <c r="S136" s="9" t="inlineStr">
        <is>
          <t>tok_s_user is computed as output_tok_s_gpu/concurrency when source tok_s_user is blank; agentic_derived uses long_chat rows multiplied by the Kimi K2.5 agentic/long ratio.</t>
        </is>
      </c>
    </row>
    <row r="137">
      <c r="A137" s="3" t="inlineStr">
        <is>
          <t>dsr1</t>
        </is>
      </c>
      <c r="B137" s="3" t="inlineStr">
        <is>
          <t>h200</t>
        </is>
      </c>
      <c r="C137" s="3" t="inlineStr">
        <is>
          <t>short_chat</t>
        </is>
      </c>
      <c r="D137" s="3" t="inlineStr">
        <is>
          <t>dsr1</t>
        </is>
      </c>
      <c r="E137" s="3" t="n">
        <v>10</v>
      </c>
      <c r="F137" s="3" t="n">
        <v>1024</v>
      </c>
      <c r="G137" s="3" t="n">
        <v>1024</v>
      </c>
      <c r="H137" s="3" t="n">
        <v>313</v>
      </c>
      <c r="I137" s="3" t="n">
        <v>40</v>
      </c>
      <c r="J137" s="3" t="n">
        <v>0</v>
      </c>
      <c r="K137" s="19" t="n">
        <v>47614</v>
      </c>
      <c r="L137" s="20" t="n">
        <v>10.3</v>
      </c>
      <c r="M137" s="3" t="n">
        <v>8</v>
      </c>
      <c r="N137" s="3" t="inlineStr">
        <is>
          <t>sglang</t>
        </is>
      </c>
      <c r="O137" s="3" t="inlineStr">
        <is>
          <t>fp8</t>
        </is>
      </c>
      <c r="P137" s="3" t="inlineStr">
        <is>
          <t>selected_public_max</t>
        </is>
      </c>
      <c r="Q137" s="3" t="inlineStr">
        <is>
          <t>public max among eligible rows</t>
        </is>
      </c>
      <c r="R137" s="3" t="inlineStr">
        <is>
          <t>2026-05-17T00:00:00.000Z</t>
        </is>
      </c>
      <c r="S137" s="3" t="inlineStr">
        <is>
          <t>tok_s_user is computed as output_tok_s_gpu/concurrency when source tok_s_user is blank; agentic_derived uses long_chat rows multiplied by the Kimi K2.5 agentic/long ratio.</t>
        </is>
      </c>
    </row>
    <row r="138">
      <c r="A138" s="9" t="inlineStr">
        <is>
          <t>dsr1</t>
        </is>
      </c>
      <c r="B138" s="9" t="inlineStr">
        <is>
          <t>h200</t>
        </is>
      </c>
      <c r="C138" s="9" t="inlineStr">
        <is>
          <t>short_chat</t>
        </is>
      </c>
      <c r="D138" s="9" t="inlineStr">
        <is>
          <t>dsr1</t>
        </is>
      </c>
      <c r="E138" s="9" t="n">
        <v>30</v>
      </c>
      <c r="F138" s="9" t="n">
        <v>1024</v>
      </c>
      <c r="G138" s="9" t="n">
        <v>1024</v>
      </c>
      <c r="H138" s="9" t="n">
        <v>313</v>
      </c>
      <c r="I138" s="9" t="n">
        <v>0</v>
      </c>
      <c r="J138" s="9" t="n">
        <v>0</v>
      </c>
      <c r="K138" s="11" t="inlineStr"/>
      <c r="L138" s="21" t="inlineStr"/>
      <c r="M138" s="9" t="inlineStr"/>
      <c r="N138" s="9" t="inlineStr"/>
      <c r="O138" s="9" t="inlineStr"/>
      <c r="P138" s="9" t="inlineStr">
        <is>
          <t>missing</t>
        </is>
      </c>
      <c r="Q138" s="9" t="inlineStr">
        <is>
          <t>no row meets target_tok_s_user</t>
        </is>
      </c>
      <c r="R138" s="9" t="inlineStr"/>
      <c r="S138" s="9" t="inlineStr">
        <is>
          <t>tok_s_user is computed as output_tok_s_gpu/concurrency when source tok_s_user is blank; agentic_derived uses long_chat rows multiplied by the Kimi K2.5 agentic/long ratio.</t>
        </is>
      </c>
    </row>
    <row r="139">
      <c r="A139" s="9" t="inlineStr">
        <is>
          <t>dsr1</t>
        </is>
      </c>
      <c r="B139" s="9" t="inlineStr">
        <is>
          <t>h200</t>
        </is>
      </c>
      <c r="C139" s="9" t="inlineStr">
        <is>
          <t>short_chat</t>
        </is>
      </c>
      <c r="D139" s="9" t="inlineStr">
        <is>
          <t>dsr1</t>
        </is>
      </c>
      <c r="E139" s="9" t="n">
        <v>50</v>
      </c>
      <c r="F139" s="9" t="n">
        <v>1024</v>
      </c>
      <c r="G139" s="9" t="n">
        <v>1024</v>
      </c>
      <c r="H139" s="9" t="n">
        <v>313</v>
      </c>
      <c r="I139" s="9" t="n">
        <v>0</v>
      </c>
      <c r="J139" s="9" t="n">
        <v>0</v>
      </c>
      <c r="K139" s="11" t="inlineStr"/>
      <c r="L139" s="21" t="inlineStr"/>
      <c r="M139" s="9" t="inlineStr"/>
      <c r="N139" s="9" t="inlineStr"/>
      <c r="O139" s="9" t="inlineStr"/>
      <c r="P139" s="9" t="inlineStr">
        <is>
          <t>missing</t>
        </is>
      </c>
      <c r="Q139" s="9" t="inlineStr">
        <is>
          <t>no row meets target_tok_s_user</t>
        </is>
      </c>
      <c r="R139" s="9" t="inlineStr"/>
      <c r="S139" s="9" t="inlineStr">
        <is>
          <t>tok_s_user is computed as output_tok_s_gpu/concurrency when source tok_s_user is blank; agentic_derived uses long_chat rows multiplied by the Kimi K2.5 agentic/long ratio.</t>
        </is>
      </c>
    </row>
    <row r="140">
      <c r="A140" s="9" t="inlineStr">
        <is>
          <t>dsr1</t>
        </is>
      </c>
      <c r="B140" s="9" t="inlineStr">
        <is>
          <t>h200</t>
        </is>
      </c>
      <c r="C140" s="9" t="inlineStr">
        <is>
          <t>short_chat</t>
        </is>
      </c>
      <c r="D140" s="9" t="inlineStr">
        <is>
          <t>dsr1</t>
        </is>
      </c>
      <c r="E140" s="9" t="n">
        <v>70</v>
      </c>
      <c r="F140" s="9" t="n">
        <v>1024</v>
      </c>
      <c r="G140" s="9" t="n">
        <v>1024</v>
      </c>
      <c r="H140" s="9" t="n">
        <v>313</v>
      </c>
      <c r="I140" s="9" t="n">
        <v>0</v>
      </c>
      <c r="J140" s="9" t="n">
        <v>0</v>
      </c>
      <c r="K140" s="11" t="inlineStr"/>
      <c r="L140" s="21" t="inlineStr"/>
      <c r="M140" s="9" t="inlineStr"/>
      <c r="N140" s="9" t="inlineStr"/>
      <c r="O140" s="9" t="inlineStr"/>
      <c r="P140" s="9" t="inlineStr">
        <is>
          <t>missing</t>
        </is>
      </c>
      <c r="Q140" s="9" t="inlineStr">
        <is>
          <t>no row meets target_tok_s_user</t>
        </is>
      </c>
      <c r="R140" s="9" t="inlineStr"/>
      <c r="S140" s="9" t="inlineStr">
        <is>
          <t>tok_s_user is computed as output_tok_s_gpu/concurrency when source tok_s_user is blank; agentic_derived uses long_chat rows multiplied by the Kimi K2.5 agentic/long ratio.</t>
        </is>
      </c>
    </row>
    <row r="141">
      <c r="A141" s="9" t="inlineStr">
        <is>
          <t>dsr1</t>
        </is>
      </c>
      <c r="B141" s="9" t="inlineStr">
        <is>
          <t>h200</t>
        </is>
      </c>
      <c r="C141" s="9" t="inlineStr">
        <is>
          <t>short_chat</t>
        </is>
      </c>
      <c r="D141" s="9" t="inlineStr">
        <is>
          <t>dsr1</t>
        </is>
      </c>
      <c r="E141" s="9" t="n">
        <v>100</v>
      </c>
      <c r="F141" s="9" t="n">
        <v>1024</v>
      </c>
      <c r="G141" s="9" t="n">
        <v>1024</v>
      </c>
      <c r="H141" s="9" t="n">
        <v>313</v>
      </c>
      <c r="I141" s="9" t="n">
        <v>0</v>
      </c>
      <c r="J141" s="9" t="n">
        <v>0</v>
      </c>
      <c r="K141" s="11" t="inlineStr"/>
      <c r="L141" s="21" t="inlineStr"/>
      <c r="M141" s="9" t="inlineStr"/>
      <c r="N141" s="9" t="inlineStr"/>
      <c r="O141" s="9" t="inlineStr"/>
      <c r="P141" s="9" t="inlineStr">
        <is>
          <t>missing</t>
        </is>
      </c>
      <c r="Q141" s="9" t="inlineStr">
        <is>
          <t>no row meets target_tok_s_user</t>
        </is>
      </c>
      <c r="R141" s="9" t="inlineStr"/>
      <c r="S141" s="9" t="inlineStr">
        <is>
          <t>tok_s_user is computed as output_tok_s_gpu/concurrency when source tok_s_user is blank; agentic_derived uses long_chat rows multiplied by the Kimi K2.5 agentic/long ratio.</t>
        </is>
      </c>
    </row>
    <row r="142">
      <c r="A142" s="3" t="inlineStr">
        <is>
          <t>dsr1</t>
        </is>
      </c>
      <c r="B142" s="3" t="inlineStr">
        <is>
          <t>h200</t>
        </is>
      </c>
      <c r="C142" s="3" t="inlineStr">
        <is>
          <t>long_chat</t>
        </is>
      </c>
      <c r="D142" s="3" t="inlineStr">
        <is>
          <t>dsr1</t>
        </is>
      </c>
      <c r="E142" s="3" t="n">
        <v>10</v>
      </c>
      <c r="F142" s="3" t="n">
        <v>8192</v>
      </c>
      <c r="G142" s="3" t="n">
        <v>1024</v>
      </c>
      <c r="H142" s="3" t="n">
        <v>305</v>
      </c>
      <c r="I142" s="3" t="n">
        <v>4</v>
      </c>
      <c r="J142" s="3" t="n">
        <v>0</v>
      </c>
      <c r="K142" s="19" t="n">
        <v>27722</v>
      </c>
      <c r="L142" s="20" t="n">
        <v>11.99</v>
      </c>
      <c r="M142" s="3" t="n">
        <v>4</v>
      </c>
      <c r="N142" s="3" t="inlineStr">
        <is>
          <t>sglang</t>
        </is>
      </c>
      <c r="O142" s="3" t="inlineStr">
        <is>
          <t>fp8</t>
        </is>
      </c>
      <c r="P142" s="3" t="inlineStr">
        <is>
          <t>selected_public_max</t>
        </is>
      </c>
      <c r="Q142" s="3" t="inlineStr">
        <is>
          <t>public max among eligible rows</t>
        </is>
      </c>
      <c r="R142" s="3" t="inlineStr">
        <is>
          <t>2026-05-20T00:00:00.000Z</t>
        </is>
      </c>
      <c r="S142" s="3" t="inlineStr">
        <is>
          <t>tok_s_user is computed as output_tok_s_gpu/concurrency when source tok_s_user is blank; agentic_derived uses long_chat rows multiplied by the Kimi K2.5 agentic/long ratio.</t>
        </is>
      </c>
    </row>
    <row r="143">
      <c r="A143" s="9" t="inlineStr">
        <is>
          <t>dsr1</t>
        </is>
      </c>
      <c r="B143" s="9" t="inlineStr">
        <is>
          <t>h200</t>
        </is>
      </c>
      <c r="C143" s="9" t="inlineStr">
        <is>
          <t>long_chat</t>
        </is>
      </c>
      <c r="D143" s="9" t="inlineStr">
        <is>
          <t>dsr1</t>
        </is>
      </c>
      <c r="E143" s="9" t="n">
        <v>30</v>
      </c>
      <c r="F143" s="9" t="n">
        <v>8192</v>
      </c>
      <c r="G143" s="9" t="n">
        <v>1024</v>
      </c>
      <c r="H143" s="9" t="n">
        <v>305</v>
      </c>
      <c r="I143" s="9" t="n">
        <v>0</v>
      </c>
      <c r="J143" s="9" t="n">
        <v>0</v>
      </c>
      <c r="K143" s="11" t="inlineStr"/>
      <c r="L143" s="21" t="inlineStr"/>
      <c r="M143" s="9" t="inlineStr"/>
      <c r="N143" s="9" t="inlineStr"/>
      <c r="O143" s="9" t="inlineStr"/>
      <c r="P143" s="9" t="inlineStr">
        <is>
          <t>missing</t>
        </is>
      </c>
      <c r="Q143" s="9" t="inlineStr">
        <is>
          <t>no row meets target_tok_s_user</t>
        </is>
      </c>
      <c r="R143" s="9" t="inlineStr"/>
      <c r="S143" s="9" t="inlineStr">
        <is>
          <t>tok_s_user is computed as output_tok_s_gpu/concurrency when source tok_s_user is blank; agentic_derived uses long_chat rows multiplied by the Kimi K2.5 agentic/long ratio.</t>
        </is>
      </c>
    </row>
    <row r="144">
      <c r="A144" s="9" t="inlineStr">
        <is>
          <t>dsr1</t>
        </is>
      </c>
      <c r="B144" s="9" t="inlineStr">
        <is>
          <t>h200</t>
        </is>
      </c>
      <c r="C144" s="9" t="inlineStr">
        <is>
          <t>long_chat</t>
        </is>
      </c>
      <c r="D144" s="9" t="inlineStr">
        <is>
          <t>dsr1</t>
        </is>
      </c>
      <c r="E144" s="9" t="n">
        <v>50</v>
      </c>
      <c r="F144" s="9" t="n">
        <v>8192</v>
      </c>
      <c r="G144" s="9" t="n">
        <v>1024</v>
      </c>
      <c r="H144" s="9" t="n">
        <v>305</v>
      </c>
      <c r="I144" s="9" t="n">
        <v>0</v>
      </c>
      <c r="J144" s="9" t="n">
        <v>0</v>
      </c>
      <c r="K144" s="11" t="inlineStr"/>
      <c r="L144" s="21" t="inlineStr"/>
      <c r="M144" s="9" t="inlineStr"/>
      <c r="N144" s="9" t="inlineStr"/>
      <c r="O144" s="9" t="inlineStr"/>
      <c r="P144" s="9" t="inlineStr">
        <is>
          <t>missing</t>
        </is>
      </c>
      <c r="Q144" s="9" t="inlineStr">
        <is>
          <t>no row meets target_tok_s_user</t>
        </is>
      </c>
      <c r="R144" s="9" t="inlineStr"/>
      <c r="S144" s="9" t="inlineStr">
        <is>
          <t>tok_s_user is computed as output_tok_s_gpu/concurrency when source tok_s_user is blank; agentic_derived uses long_chat rows multiplied by the Kimi K2.5 agentic/long ratio.</t>
        </is>
      </c>
    </row>
    <row r="145">
      <c r="A145" s="9" t="inlineStr">
        <is>
          <t>dsr1</t>
        </is>
      </c>
      <c r="B145" s="9" t="inlineStr">
        <is>
          <t>h200</t>
        </is>
      </c>
      <c r="C145" s="9" t="inlineStr">
        <is>
          <t>long_chat</t>
        </is>
      </c>
      <c r="D145" s="9" t="inlineStr">
        <is>
          <t>dsr1</t>
        </is>
      </c>
      <c r="E145" s="9" t="n">
        <v>70</v>
      </c>
      <c r="F145" s="9" t="n">
        <v>8192</v>
      </c>
      <c r="G145" s="9" t="n">
        <v>1024</v>
      </c>
      <c r="H145" s="9" t="n">
        <v>305</v>
      </c>
      <c r="I145" s="9" t="n">
        <v>0</v>
      </c>
      <c r="J145" s="9" t="n">
        <v>0</v>
      </c>
      <c r="K145" s="11" t="inlineStr"/>
      <c r="L145" s="21" t="inlineStr"/>
      <c r="M145" s="9" t="inlineStr"/>
      <c r="N145" s="9" t="inlineStr"/>
      <c r="O145" s="9" t="inlineStr"/>
      <c r="P145" s="9" t="inlineStr">
        <is>
          <t>missing</t>
        </is>
      </c>
      <c r="Q145" s="9" t="inlineStr">
        <is>
          <t>no row meets target_tok_s_user</t>
        </is>
      </c>
      <c r="R145" s="9" t="inlineStr"/>
      <c r="S145" s="9" t="inlineStr">
        <is>
          <t>tok_s_user is computed as output_tok_s_gpu/concurrency when source tok_s_user is blank; agentic_derived uses long_chat rows multiplied by the Kimi K2.5 agentic/long ratio.</t>
        </is>
      </c>
    </row>
    <row r="146">
      <c r="A146" s="9" t="inlineStr">
        <is>
          <t>dsr1</t>
        </is>
      </c>
      <c r="B146" s="9" t="inlineStr">
        <is>
          <t>h200</t>
        </is>
      </c>
      <c r="C146" s="9" t="inlineStr">
        <is>
          <t>long_chat</t>
        </is>
      </c>
      <c r="D146" s="9" t="inlineStr">
        <is>
          <t>dsr1</t>
        </is>
      </c>
      <c r="E146" s="9" t="n">
        <v>100</v>
      </c>
      <c r="F146" s="9" t="n">
        <v>8192</v>
      </c>
      <c r="G146" s="9" t="n">
        <v>1024</v>
      </c>
      <c r="H146" s="9" t="n">
        <v>305</v>
      </c>
      <c r="I146" s="9" t="n">
        <v>0</v>
      </c>
      <c r="J146" s="9" t="n">
        <v>0</v>
      </c>
      <c r="K146" s="11" t="inlineStr"/>
      <c r="L146" s="21" t="inlineStr"/>
      <c r="M146" s="9" t="inlineStr"/>
      <c r="N146" s="9" t="inlineStr"/>
      <c r="O146" s="9" t="inlineStr"/>
      <c r="P146" s="9" t="inlineStr">
        <is>
          <t>missing</t>
        </is>
      </c>
      <c r="Q146" s="9" t="inlineStr">
        <is>
          <t>no row meets target_tok_s_user</t>
        </is>
      </c>
      <c r="R146" s="9" t="inlineStr"/>
      <c r="S146" s="9" t="inlineStr">
        <is>
          <t>tok_s_user is computed as output_tok_s_gpu/concurrency when source tok_s_user is blank; agentic_derived uses long_chat rows multiplied by the Kimi K2.5 agentic/long ratio.</t>
        </is>
      </c>
    </row>
    <row r="147">
      <c r="A147" s="9" t="inlineStr">
        <is>
          <t>dsr1</t>
        </is>
      </c>
      <c r="B147" s="9" t="inlineStr">
        <is>
          <t>h200</t>
        </is>
      </c>
      <c r="C147" s="9" t="inlineStr">
        <is>
          <t>agentic_derived</t>
        </is>
      </c>
      <c r="D147" s="9" t="inlineStr">
        <is>
          <t>dsr1</t>
        </is>
      </c>
      <c r="E147" s="9" t="n">
        <v>10</v>
      </c>
      <c r="F147" s="9" t="n">
        <v>100947</v>
      </c>
      <c r="G147" s="9" t="n">
        <v>860</v>
      </c>
      <c r="H147" s="9" t="n">
        <v>305</v>
      </c>
      <c r="I147" s="9" t="n">
        <v>0</v>
      </c>
      <c r="J147" s="9" t="n">
        <v>0</v>
      </c>
      <c r="K147" s="11" t="inlineStr"/>
      <c r="L147" s="21" t="inlineStr"/>
      <c r="M147" s="9" t="inlineStr"/>
      <c r="N147" s="9" t="inlineStr"/>
      <c r="O147" s="9" t="inlineStr"/>
      <c r="P147" s="9" t="inlineStr">
        <is>
          <t>missing</t>
        </is>
      </c>
      <c r="Q147" s="9" t="inlineStr">
        <is>
          <t>no row meets target_tok_s_user</t>
        </is>
      </c>
      <c r="R147" s="9" t="inlineStr"/>
      <c r="S147" s="9" t="inlineStr">
        <is>
          <t>tok_s_user is computed as output_tok_s_gpu/concurrency when source tok_s_user is blank; agentic_derived uses long_chat rows multiplied by the Kimi K2.5 agentic/long ratio.</t>
        </is>
      </c>
    </row>
    <row r="148">
      <c r="A148" s="9" t="inlineStr">
        <is>
          <t>dsr1</t>
        </is>
      </c>
      <c r="B148" s="9" t="inlineStr">
        <is>
          <t>h200</t>
        </is>
      </c>
      <c r="C148" s="9" t="inlineStr">
        <is>
          <t>agentic_derived</t>
        </is>
      </c>
      <c r="D148" s="9" t="inlineStr">
        <is>
          <t>dsr1</t>
        </is>
      </c>
      <c r="E148" s="9" t="n">
        <v>30</v>
      </c>
      <c r="F148" s="9" t="n">
        <v>100947</v>
      </c>
      <c r="G148" s="9" t="n">
        <v>860</v>
      </c>
      <c r="H148" s="9" t="n">
        <v>305</v>
      </c>
      <c r="I148" s="9" t="n">
        <v>0</v>
      </c>
      <c r="J148" s="9" t="n">
        <v>0</v>
      </c>
      <c r="K148" s="11" t="inlineStr"/>
      <c r="L148" s="21" t="inlineStr"/>
      <c r="M148" s="9" t="inlineStr"/>
      <c r="N148" s="9" t="inlineStr"/>
      <c r="O148" s="9" t="inlineStr"/>
      <c r="P148" s="9" t="inlineStr">
        <is>
          <t>missing</t>
        </is>
      </c>
      <c r="Q148" s="9" t="inlineStr">
        <is>
          <t>no row meets target_tok_s_user</t>
        </is>
      </c>
      <c r="R148" s="9" t="inlineStr"/>
      <c r="S148" s="9" t="inlineStr">
        <is>
          <t>tok_s_user is computed as output_tok_s_gpu/concurrency when source tok_s_user is blank; agentic_derived uses long_chat rows multiplied by the Kimi K2.5 agentic/long ratio.</t>
        </is>
      </c>
    </row>
    <row r="149">
      <c r="A149" s="9" t="inlineStr">
        <is>
          <t>dsr1</t>
        </is>
      </c>
      <c r="B149" s="9" t="inlineStr">
        <is>
          <t>h200</t>
        </is>
      </c>
      <c r="C149" s="9" t="inlineStr">
        <is>
          <t>agentic_derived</t>
        </is>
      </c>
      <c r="D149" s="9" t="inlineStr">
        <is>
          <t>dsr1</t>
        </is>
      </c>
      <c r="E149" s="9" t="n">
        <v>50</v>
      </c>
      <c r="F149" s="9" t="n">
        <v>100947</v>
      </c>
      <c r="G149" s="9" t="n">
        <v>860</v>
      </c>
      <c r="H149" s="9" t="n">
        <v>305</v>
      </c>
      <c r="I149" s="9" t="n">
        <v>0</v>
      </c>
      <c r="J149" s="9" t="n">
        <v>0</v>
      </c>
      <c r="K149" s="11" t="inlineStr"/>
      <c r="L149" s="21" t="inlineStr"/>
      <c r="M149" s="9" t="inlineStr"/>
      <c r="N149" s="9" t="inlineStr"/>
      <c r="O149" s="9" t="inlineStr"/>
      <c r="P149" s="9" t="inlineStr">
        <is>
          <t>missing</t>
        </is>
      </c>
      <c r="Q149" s="9" t="inlineStr">
        <is>
          <t>no row meets target_tok_s_user</t>
        </is>
      </c>
      <c r="R149" s="9" t="inlineStr"/>
      <c r="S149" s="9" t="inlineStr">
        <is>
          <t>tok_s_user is computed as output_tok_s_gpu/concurrency when source tok_s_user is blank; agentic_derived uses long_chat rows multiplied by the Kimi K2.5 agentic/long ratio.</t>
        </is>
      </c>
    </row>
    <row r="150">
      <c r="A150" s="9" t="inlineStr">
        <is>
          <t>dsr1</t>
        </is>
      </c>
      <c r="B150" s="9" t="inlineStr">
        <is>
          <t>h200</t>
        </is>
      </c>
      <c r="C150" s="9" t="inlineStr">
        <is>
          <t>agentic_derived</t>
        </is>
      </c>
      <c r="D150" s="9" t="inlineStr">
        <is>
          <t>dsr1</t>
        </is>
      </c>
      <c r="E150" s="9" t="n">
        <v>70</v>
      </c>
      <c r="F150" s="9" t="n">
        <v>100947</v>
      </c>
      <c r="G150" s="9" t="n">
        <v>860</v>
      </c>
      <c r="H150" s="9" t="n">
        <v>305</v>
      </c>
      <c r="I150" s="9" t="n">
        <v>0</v>
      </c>
      <c r="J150" s="9" t="n">
        <v>0</v>
      </c>
      <c r="K150" s="11" t="inlineStr"/>
      <c r="L150" s="21" t="inlineStr"/>
      <c r="M150" s="9" t="inlineStr"/>
      <c r="N150" s="9" t="inlineStr"/>
      <c r="O150" s="9" t="inlineStr"/>
      <c r="P150" s="9" t="inlineStr">
        <is>
          <t>missing</t>
        </is>
      </c>
      <c r="Q150" s="9" t="inlineStr">
        <is>
          <t>no row meets target_tok_s_user</t>
        </is>
      </c>
      <c r="R150" s="9" t="inlineStr"/>
      <c r="S150" s="9" t="inlineStr">
        <is>
          <t>tok_s_user is computed as output_tok_s_gpu/concurrency when source tok_s_user is blank; agentic_derived uses long_chat rows multiplied by the Kimi K2.5 agentic/long ratio.</t>
        </is>
      </c>
    </row>
    <row r="151">
      <c r="A151" s="9" t="inlineStr">
        <is>
          <t>dsr1</t>
        </is>
      </c>
      <c r="B151" s="9" t="inlineStr">
        <is>
          <t>h200</t>
        </is>
      </c>
      <c r="C151" s="9" t="inlineStr">
        <is>
          <t>agentic_derived</t>
        </is>
      </c>
      <c r="D151" s="9" t="inlineStr">
        <is>
          <t>dsr1</t>
        </is>
      </c>
      <c r="E151" s="9" t="n">
        <v>100</v>
      </c>
      <c r="F151" s="9" t="n">
        <v>100947</v>
      </c>
      <c r="G151" s="9" t="n">
        <v>860</v>
      </c>
      <c r="H151" s="9" t="n">
        <v>305</v>
      </c>
      <c r="I151" s="9" t="n">
        <v>0</v>
      </c>
      <c r="J151" s="9" t="n">
        <v>0</v>
      </c>
      <c r="K151" s="11" t="inlineStr"/>
      <c r="L151" s="21" t="inlineStr"/>
      <c r="M151" s="9" t="inlineStr"/>
      <c r="N151" s="9" t="inlineStr"/>
      <c r="O151" s="9" t="inlineStr"/>
      <c r="P151" s="9" t="inlineStr">
        <is>
          <t>missing</t>
        </is>
      </c>
      <c r="Q151" s="9" t="inlineStr">
        <is>
          <t>no row meets target_tok_s_user</t>
        </is>
      </c>
      <c r="R151" s="9" t="inlineStr"/>
      <c r="S151" s="9" t="inlineStr">
        <is>
          <t>tok_s_user is computed as output_tok_s_gpu/concurrency when source tok_s_user is blank; agentic_derived uses long_chat rows multiplied by the Kimi K2.5 agentic/long ratio.</t>
        </is>
      </c>
    </row>
    <row r="152">
      <c r="A152" s="3" t="inlineStr">
        <is>
          <t>dsr1</t>
        </is>
      </c>
      <c r="B152" s="3" t="inlineStr">
        <is>
          <t>b200</t>
        </is>
      </c>
      <c r="C152" s="3" t="inlineStr">
        <is>
          <t>short_chat</t>
        </is>
      </c>
      <c r="D152" s="3" t="inlineStr">
        <is>
          <t>dsr1</t>
        </is>
      </c>
      <c r="E152" s="3" t="n">
        <v>10</v>
      </c>
      <c r="F152" s="3" t="n">
        <v>1024</v>
      </c>
      <c r="G152" s="3" t="n">
        <v>1024</v>
      </c>
      <c r="H152" s="3" t="n">
        <v>358</v>
      </c>
      <c r="I152" s="3" t="n">
        <v>138</v>
      </c>
      <c r="J152" s="3" t="n">
        <v>0</v>
      </c>
      <c r="K152" s="19" t="n">
        <v>87925</v>
      </c>
      <c r="L152" s="20" t="n">
        <v>11.92</v>
      </c>
      <c r="M152" s="3" t="n">
        <v>16</v>
      </c>
      <c r="N152" s="3" t="inlineStr">
        <is>
          <t>sglang</t>
        </is>
      </c>
      <c r="O152" s="3" t="inlineStr">
        <is>
          <t>fp8</t>
        </is>
      </c>
      <c r="P152" s="3" t="inlineStr">
        <is>
          <t>selected_public_max</t>
        </is>
      </c>
      <c r="Q152" s="3" t="inlineStr">
        <is>
          <t>public max among eligible rows</t>
        </is>
      </c>
      <c r="R152" s="3" t="inlineStr">
        <is>
          <t>2026-05-22T00:00:00.000Z</t>
        </is>
      </c>
      <c r="S152" s="3" t="inlineStr">
        <is>
          <t>tok_s_user is computed as output_tok_s_gpu/concurrency when source tok_s_user is blank; agentic_derived uses long_chat rows multiplied by the Kimi K2.5 agentic/long ratio.</t>
        </is>
      </c>
    </row>
    <row r="153">
      <c r="A153" s="9" t="inlineStr">
        <is>
          <t>dsr1</t>
        </is>
      </c>
      <c r="B153" s="9" t="inlineStr">
        <is>
          <t>b200</t>
        </is>
      </c>
      <c r="C153" s="9" t="inlineStr">
        <is>
          <t>short_chat</t>
        </is>
      </c>
      <c r="D153" s="9" t="inlineStr">
        <is>
          <t>dsr1</t>
        </is>
      </c>
      <c r="E153" s="9" t="n">
        <v>30</v>
      </c>
      <c r="F153" s="9" t="n">
        <v>1024</v>
      </c>
      <c r="G153" s="9" t="n">
        <v>1024</v>
      </c>
      <c r="H153" s="9" t="n">
        <v>358</v>
      </c>
      <c r="I153" s="9" t="n">
        <v>0</v>
      </c>
      <c r="J153" s="9" t="n">
        <v>0</v>
      </c>
      <c r="K153" s="11" t="inlineStr"/>
      <c r="L153" s="21" t="inlineStr"/>
      <c r="M153" s="9" t="inlineStr"/>
      <c r="N153" s="9" t="inlineStr"/>
      <c r="O153" s="9" t="inlineStr"/>
      <c r="P153" s="9" t="inlineStr">
        <is>
          <t>missing</t>
        </is>
      </c>
      <c r="Q153" s="9" t="inlineStr">
        <is>
          <t>no row meets target_tok_s_user</t>
        </is>
      </c>
      <c r="R153" s="9" t="inlineStr"/>
      <c r="S153" s="9" t="inlineStr">
        <is>
          <t>tok_s_user is computed as output_tok_s_gpu/concurrency when source tok_s_user is blank; agentic_derived uses long_chat rows multiplied by the Kimi K2.5 agentic/long ratio.</t>
        </is>
      </c>
    </row>
    <row r="154">
      <c r="A154" s="9" t="inlineStr">
        <is>
          <t>dsr1</t>
        </is>
      </c>
      <c r="B154" s="9" t="inlineStr">
        <is>
          <t>b200</t>
        </is>
      </c>
      <c r="C154" s="9" t="inlineStr">
        <is>
          <t>short_chat</t>
        </is>
      </c>
      <c r="D154" s="9" t="inlineStr">
        <is>
          <t>dsr1</t>
        </is>
      </c>
      <c r="E154" s="9" t="n">
        <v>50</v>
      </c>
      <c r="F154" s="9" t="n">
        <v>1024</v>
      </c>
      <c r="G154" s="9" t="n">
        <v>1024</v>
      </c>
      <c r="H154" s="9" t="n">
        <v>358</v>
      </c>
      <c r="I154" s="9" t="n">
        <v>0</v>
      </c>
      <c r="J154" s="9" t="n">
        <v>0</v>
      </c>
      <c r="K154" s="11" t="inlineStr"/>
      <c r="L154" s="21" t="inlineStr"/>
      <c r="M154" s="9" t="inlineStr"/>
      <c r="N154" s="9" t="inlineStr"/>
      <c r="O154" s="9" t="inlineStr"/>
      <c r="P154" s="9" t="inlineStr">
        <is>
          <t>missing</t>
        </is>
      </c>
      <c r="Q154" s="9" t="inlineStr">
        <is>
          <t>no row meets target_tok_s_user</t>
        </is>
      </c>
      <c r="R154" s="9" t="inlineStr"/>
      <c r="S154" s="9" t="inlineStr">
        <is>
          <t>tok_s_user is computed as output_tok_s_gpu/concurrency when source tok_s_user is blank; agentic_derived uses long_chat rows multiplied by the Kimi K2.5 agentic/long ratio.</t>
        </is>
      </c>
    </row>
    <row r="155">
      <c r="A155" s="9" t="inlineStr">
        <is>
          <t>dsr1</t>
        </is>
      </c>
      <c r="B155" s="9" t="inlineStr">
        <is>
          <t>b200</t>
        </is>
      </c>
      <c r="C155" s="9" t="inlineStr">
        <is>
          <t>short_chat</t>
        </is>
      </c>
      <c r="D155" s="9" t="inlineStr">
        <is>
          <t>dsr1</t>
        </is>
      </c>
      <c r="E155" s="9" t="n">
        <v>70</v>
      </c>
      <c r="F155" s="9" t="n">
        <v>1024</v>
      </c>
      <c r="G155" s="9" t="n">
        <v>1024</v>
      </c>
      <c r="H155" s="9" t="n">
        <v>358</v>
      </c>
      <c r="I155" s="9" t="n">
        <v>0</v>
      </c>
      <c r="J155" s="9" t="n">
        <v>0</v>
      </c>
      <c r="K155" s="11" t="inlineStr"/>
      <c r="L155" s="21" t="inlineStr"/>
      <c r="M155" s="9" t="inlineStr"/>
      <c r="N155" s="9" t="inlineStr"/>
      <c r="O155" s="9" t="inlineStr"/>
      <c r="P155" s="9" t="inlineStr">
        <is>
          <t>missing</t>
        </is>
      </c>
      <c r="Q155" s="9" t="inlineStr">
        <is>
          <t>no row meets target_tok_s_user</t>
        </is>
      </c>
      <c r="R155" s="9" t="inlineStr"/>
      <c r="S155" s="9" t="inlineStr">
        <is>
          <t>tok_s_user is computed as output_tok_s_gpu/concurrency when source tok_s_user is blank; agentic_derived uses long_chat rows multiplied by the Kimi K2.5 agentic/long ratio.</t>
        </is>
      </c>
    </row>
    <row r="156">
      <c r="A156" s="9" t="inlineStr">
        <is>
          <t>dsr1</t>
        </is>
      </c>
      <c r="B156" s="9" t="inlineStr">
        <is>
          <t>b200</t>
        </is>
      </c>
      <c r="C156" s="9" t="inlineStr">
        <is>
          <t>short_chat</t>
        </is>
      </c>
      <c r="D156" s="9" t="inlineStr">
        <is>
          <t>dsr1</t>
        </is>
      </c>
      <c r="E156" s="9" t="n">
        <v>100</v>
      </c>
      <c r="F156" s="9" t="n">
        <v>1024</v>
      </c>
      <c r="G156" s="9" t="n">
        <v>1024</v>
      </c>
      <c r="H156" s="9" t="n">
        <v>358</v>
      </c>
      <c r="I156" s="9" t="n">
        <v>0</v>
      </c>
      <c r="J156" s="9" t="n">
        <v>0</v>
      </c>
      <c r="K156" s="11" t="inlineStr"/>
      <c r="L156" s="21" t="inlineStr"/>
      <c r="M156" s="9" t="inlineStr"/>
      <c r="N156" s="9" t="inlineStr"/>
      <c r="O156" s="9" t="inlineStr"/>
      <c r="P156" s="9" t="inlineStr">
        <is>
          <t>missing</t>
        </is>
      </c>
      <c r="Q156" s="9" t="inlineStr">
        <is>
          <t>no row meets target_tok_s_user</t>
        </is>
      </c>
      <c r="R156" s="9" t="inlineStr"/>
      <c r="S156" s="9" t="inlineStr">
        <is>
          <t>tok_s_user is computed as output_tok_s_gpu/concurrency when source tok_s_user is blank; agentic_derived uses long_chat rows multiplied by the Kimi K2.5 agentic/long ratio.</t>
        </is>
      </c>
    </row>
    <row r="157">
      <c r="A157" s="3" t="inlineStr">
        <is>
          <t>dsr1</t>
        </is>
      </c>
      <c r="B157" s="3" t="inlineStr">
        <is>
          <t>b200</t>
        </is>
      </c>
      <c r="C157" s="3" t="inlineStr">
        <is>
          <t>long_chat</t>
        </is>
      </c>
      <c r="D157" s="3" t="inlineStr">
        <is>
          <t>dsr1</t>
        </is>
      </c>
      <c r="E157" s="3" t="n">
        <v>10</v>
      </c>
      <c r="F157" s="3" t="n">
        <v>8192</v>
      </c>
      <c r="G157" s="3" t="n">
        <v>1024</v>
      </c>
      <c r="H157" s="3" t="n">
        <v>343</v>
      </c>
      <c r="I157" s="3" t="n">
        <v>63</v>
      </c>
      <c r="J157" s="3" t="n">
        <v>0</v>
      </c>
      <c r="K157" s="19" t="n">
        <v>79568</v>
      </c>
      <c r="L157" s="20" t="n">
        <v>10.79</v>
      </c>
      <c r="M157" s="3" t="n">
        <v>16</v>
      </c>
      <c r="N157" s="3" t="inlineStr">
        <is>
          <t>sglang</t>
        </is>
      </c>
      <c r="O157" s="3" t="inlineStr">
        <is>
          <t>fp8</t>
        </is>
      </c>
      <c r="P157" s="3" t="inlineStr">
        <is>
          <t>selected_public_max</t>
        </is>
      </c>
      <c r="Q157" s="3" t="inlineStr">
        <is>
          <t>public max among eligible rows</t>
        </is>
      </c>
      <c r="R157" s="3" t="inlineStr">
        <is>
          <t>2026-05-20T00:00:00.000Z</t>
        </is>
      </c>
      <c r="S157" s="3" t="inlineStr">
        <is>
          <t>tok_s_user is computed as output_tok_s_gpu/concurrency when source tok_s_user is blank; agentic_derived uses long_chat rows multiplied by the Kimi K2.5 agentic/long ratio.</t>
        </is>
      </c>
    </row>
    <row r="158">
      <c r="A158" s="9" t="inlineStr">
        <is>
          <t>dsr1</t>
        </is>
      </c>
      <c r="B158" s="9" t="inlineStr">
        <is>
          <t>b200</t>
        </is>
      </c>
      <c r="C158" s="9" t="inlineStr">
        <is>
          <t>long_chat</t>
        </is>
      </c>
      <c r="D158" s="9" t="inlineStr">
        <is>
          <t>dsr1</t>
        </is>
      </c>
      <c r="E158" s="9" t="n">
        <v>30</v>
      </c>
      <c r="F158" s="9" t="n">
        <v>8192</v>
      </c>
      <c r="G158" s="9" t="n">
        <v>1024</v>
      </c>
      <c r="H158" s="9" t="n">
        <v>343</v>
      </c>
      <c r="I158" s="9" t="n">
        <v>0</v>
      </c>
      <c r="J158" s="9" t="n">
        <v>0</v>
      </c>
      <c r="K158" s="11" t="inlineStr"/>
      <c r="L158" s="21" t="inlineStr"/>
      <c r="M158" s="9" t="inlineStr"/>
      <c r="N158" s="9" t="inlineStr"/>
      <c r="O158" s="9" t="inlineStr"/>
      <c r="P158" s="9" t="inlineStr">
        <is>
          <t>missing</t>
        </is>
      </c>
      <c r="Q158" s="9" t="inlineStr">
        <is>
          <t>no row meets target_tok_s_user</t>
        </is>
      </c>
      <c r="R158" s="9" t="inlineStr"/>
      <c r="S158" s="9" t="inlineStr">
        <is>
          <t>tok_s_user is computed as output_tok_s_gpu/concurrency when source tok_s_user is blank; agentic_derived uses long_chat rows multiplied by the Kimi K2.5 agentic/long ratio.</t>
        </is>
      </c>
    </row>
    <row r="159">
      <c r="A159" s="9" t="inlineStr">
        <is>
          <t>dsr1</t>
        </is>
      </c>
      <c r="B159" s="9" t="inlineStr">
        <is>
          <t>b200</t>
        </is>
      </c>
      <c r="C159" s="9" t="inlineStr">
        <is>
          <t>long_chat</t>
        </is>
      </c>
      <c r="D159" s="9" t="inlineStr">
        <is>
          <t>dsr1</t>
        </is>
      </c>
      <c r="E159" s="9" t="n">
        <v>50</v>
      </c>
      <c r="F159" s="9" t="n">
        <v>8192</v>
      </c>
      <c r="G159" s="9" t="n">
        <v>1024</v>
      </c>
      <c r="H159" s="9" t="n">
        <v>343</v>
      </c>
      <c r="I159" s="9" t="n">
        <v>0</v>
      </c>
      <c r="J159" s="9" t="n">
        <v>0</v>
      </c>
      <c r="K159" s="11" t="inlineStr"/>
      <c r="L159" s="21" t="inlineStr"/>
      <c r="M159" s="9" t="inlineStr"/>
      <c r="N159" s="9" t="inlineStr"/>
      <c r="O159" s="9" t="inlineStr"/>
      <c r="P159" s="9" t="inlineStr">
        <is>
          <t>missing</t>
        </is>
      </c>
      <c r="Q159" s="9" t="inlineStr">
        <is>
          <t>no row meets target_tok_s_user</t>
        </is>
      </c>
      <c r="R159" s="9" t="inlineStr"/>
      <c r="S159" s="9" t="inlineStr">
        <is>
          <t>tok_s_user is computed as output_tok_s_gpu/concurrency when source tok_s_user is blank; agentic_derived uses long_chat rows multiplied by the Kimi K2.5 agentic/long ratio.</t>
        </is>
      </c>
    </row>
    <row r="160">
      <c r="A160" s="9" t="inlineStr">
        <is>
          <t>dsr1</t>
        </is>
      </c>
      <c r="B160" s="9" t="inlineStr">
        <is>
          <t>b200</t>
        </is>
      </c>
      <c r="C160" s="9" t="inlineStr">
        <is>
          <t>long_chat</t>
        </is>
      </c>
      <c r="D160" s="9" t="inlineStr">
        <is>
          <t>dsr1</t>
        </is>
      </c>
      <c r="E160" s="9" t="n">
        <v>70</v>
      </c>
      <c r="F160" s="9" t="n">
        <v>8192</v>
      </c>
      <c r="G160" s="9" t="n">
        <v>1024</v>
      </c>
      <c r="H160" s="9" t="n">
        <v>343</v>
      </c>
      <c r="I160" s="9" t="n">
        <v>0</v>
      </c>
      <c r="J160" s="9" t="n">
        <v>0</v>
      </c>
      <c r="K160" s="11" t="inlineStr"/>
      <c r="L160" s="21" t="inlineStr"/>
      <c r="M160" s="9" t="inlineStr"/>
      <c r="N160" s="9" t="inlineStr"/>
      <c r="O160" s="9" t="inlineStr"/>
      <c r="P160" s="9" t="inlineStr">
        <is>
          <t>missing</t>
        </is>
      </c>
      <c r="Q160" s="9" t="inlineStr">
        <is>
          <t>no row meets target_tok_s_user</t>
        </is>
      </c>
      <c r="R160" s="9" t="inlineStr"/>
      <c r="S160" s="9" t="inlineStr">
        <is>
          <t>tok_s_user is computed as output_tok_s_gpu/concurrency when source tok_s_user is blank; agentic_derived uses long_chat rows multiplied by the Kimi K2.5 agentic/long ratio.</t>
        </is>
      </c>
    </row>
    <row r="161">
      <c r="A161" s="9" t="inlineStr">
        <is>
          <t>dsr1</t>
        </is>
      </c>
      <c r="B161" s="9" t="inlineStr">
        <is>
          <t>b200</t>
        </is>
      </c>
      <c r="C161" s="9" t="inlineStr">
        <is>
          <t>long_chat</t>
        </is>
      </c>
      <c r="D161" s="9" t="inlineStr">
        <is>
          <t>dsr1</t>
        </is>
      </c>
      <c r="E161" s="9" t="n">
        <v>100</v>
      </c>
      <c r="F161" s="9" t="n">
        <v>8192</v>
      </c>
      <c r="G161" s="9" t="n">
        <v>1024</v>
      </c>
      <c r="H161" s="9" t="n">
        <v>343</v>
      </c>
      <c r="I161" s="9" t="n">
        <v>0</v>
      </c>
      <c r="J161" s="9" t="n">
        <v>0</v>
      </c>
      <c r="K161" s="11" t="inlineStr"/>
      <c r="L161" s="21" t="inlineStr"/>
      <c r="M161" s="9" t="inlineStr"/>
      <c r="N161" s="9" t="inlineStr"/>
      <c r="O161" s="9" t="inlineStr"/>
      <c r="P161" s="9" t="inlineStr">
        <is>
          <t>missing</t>
        </is>
      </c>
      <c r="Q161" s="9" t="inlineStr">
        <is>
          <t>no row meets target_tok_s_user</t>
        </is>
      </c>
      <c r="R161" s="9" t="inlineStr"/>
      <c r="S161" s="9" t="inlineStr">
        <is>
          <t>tok_s_user is computed as output_tok_s_gpu/concurrency when source tok_s_user is blank; agentic_derived uses long_chat rows multiplied by the Kimi K2.5 agentic/long ratio.</t>
        </is>
      </c>
    </row>
    <row r="162">
      <c r="A162" s="9" t="inlineStr">
        <is>
          <t>dsr1</t>
        </is>
      </c>
      <c r="B162" s="9" t="inlineStr">
        <is>
          <t>b200</t>
        </is>
      </c>
      <c r="C162" s="9" t="inlineStr">
        <is>
          <t>agentic_derived</t>
        </is>
      </c>
      <c r="D162" s="9" t="inlineStr">
        <is>
          <t>dsr1</t>
        </is>
      </c>
      <c r="E162" s="9" t="n">
        <v>10</v>
      </c>
      <c r="F162" s="9" t="n">
        <v>100947</v>
      </c>
      <c r="G162" s="9" t="n">
        <v>860</v>
      </c>
      <c r="H162" s="9" t="n">
        <v>343</v>
      </c>
      <c r="I162" s="9" t="n">
        <v>0</v>
      </c>
      <c r="J162" s="9" t="n">
        <v>0</v>
      </c>
      <c r="K162" s="11" t="inlineStr"/>
      <c r="L162" s="21" t="inlineStr"/>
      <c r="M162" s="9" t="inlineStr"/>
      <c r="N162" s="9" t="inlineStr"/>
      <c r="O162" s="9" t="inlineStr"/>
      <c r="P162" s="9" t="inlineStr">
        <is>
          <t>missing</t>
        </is>
      </c>
      <c r="Q162" s="9" t="inlineStr">
        <is>
          <t>no row meets target_tok_s_user</t>
        </is>
      </c>
      <c r="R162" s="9" t="inlineStr"/>
      <c r="S162" s="9" t="inlineStr">
        <is>
          <t>tok_s_user is computed as output_tok_s_gpu/concurrency when source tok_s_user is blank; agentic_derived uses long_chat rows multiplied by the Kimi K2.5 agentic/long ratio.</t>
        </is>
      </c>
    </row>
    <row r="163">
      <c r="A163" s="9" t="inlineStr">
        <is>
          <t>dsr1</t>
        </is>
      </c>
      <c r="B163" s="9" t="inlineStr">
        <is>
          <t>b200</t>
        </is>
      </c>
      <c r="C163" s="9" t="inlineStr">
        <is>
          <t>agentic_derived</t>
        </is>
      </c>
      <c r="D163" s="9" t="inlineStr">
        <is>
          <t>dsr1</t>
        </is>
      </c>
      <c r="E163" s="9" t="n">
        <v>30</v>
      </c>
      <c r="F163" s="9" t="n">
        <v>100947</v>
      </c>
      <c r="G163" s="9" t="n">
        <v>860</v>
      </c>
      <c r="H163" s="9" t="n">
        <v>343</v>
      </c>
      <c r="I163" s="9" t="n">
        <v>0</v>
      </c>
      <c r="J163" s="9" t="n">
        <v>0</v>
      </c>
      <c r="K163" s="11" t="inlineStr"/>
      <c r="L163" s="21" t="inlineStr"/>
      <c r="M163" s="9" t="inlineStr"/>
      <c r="N163" s="9" t="inlineStr"/>
      <c r="O163" s="9" t="inlineStr"/>
      <c r="P163" s="9" t="inlineStr">
        <is>
          <t>missing</t>
        </is>
      </c>
      <c r="Q163" s="9" t="inlineStr">
        <is>
          <t>no row meets target_tok_s_user</t>
        </is>
      </c>
      <c r="R163" s="9" t="inlineStr"/>
      <c r="S163" s="9" t="inlineStr">
        <is>
          <t>tok_s_user is computed as output_tok_s_gpu/concurrency when source tok_s_user is blank; agentic_derived uses long_chat rows multiplied by the Kimi K2.5 agentic/long ratio.</t>
        </is>
      </c>
    </row>
    <row r="164">
      <c r="A164" s="9" t="inlineStr">
        <is>
          <t>dsr1</t>
        </is>
      </c>
      <c r="B164" s="9" t="inlineStr">
        <is>
          <t>b200</t>
        </is>
      </c>
      <c r="C164" s="9" t="inlineStr">
        <is>
          <t>agentic_derived</t>
        </is>
      </c>
      <c r="D164" s="9" t="inlineStr">
        <is>
          <t>dsr1</t>
        </is>
      </c>
      <c r="E164" s="9" t="n">
        <v>50</v>
      </c>
      <c r="F164" s="9" t="n">
        <v>100947</v>
      </c>
      <c r="G164" s="9" t="n">
        <v>860</v>
      </c>
      <c r="H164" s="9" t="n">
        <v>343</v>
      </c>
      <c r="I164" s="9" t="n">
        <v>0</v>
      </c>
      <c r="J164" s="9" t="n">
        <v>0</v>
      </c>
      <c r="K164" s="11" t="inlineStr"/>
      <c r="L164" s="21" t="inlineStr"/>
      <c r="M164" s="9" t="inlineStr"/>
      <c r="N164" s="9" t="inlineStr"/>
      <c r="O164" s="9" t="inlineStr"/>
      <c r="P164" s="9" t="inlineStr">
        <is>
          <t>missing</t>
        </is>
      </c>
      <c r="Q164" s="9" t="inlineStr">
        <is>
          <t>no row meets target_tok_s_user</t>
        </is>
      </c>
      <c r="R164" s="9" t="inlineStr"/>
      <c r="S164" s="9" t="inlineStr">
        <is>
          <t>tok_s_user is computed as output_tok_s_gpu/concurrency when source tok_s_user is blank; agentic_derived uses long_chat rows multiplied by the Kimi K2.5 agentic/long ratio.</t>
        </is>
      </c>
    </row>
    <row r="165">
      <c r="A165" s="9" t="inlineStr">
        <is>
          <t>dsr1</t>
        </is>
      </c>
      <c r="B165" s="9" t="inlineStr">
        <is>
          <t>b200</t>
        </is>
      </c>
      <c r="C165" s="9" t="inlineStr">
        <is>
          <t>agentic_derived</t>
        </is>
      </c>
      <c r="D165" s="9" t="inlineStr">
        <is>
          <t>dsr1</t>
        </is>
      </c>
      <c r="E165" s="9" t="n">
        <v>70</v>
      </c>
      <c r="F165" s="9" t="n">
        <v>100947</v>
      </c>
      <c r="G165" s="9" t="n">
        <v>860</v>
      </c>
      <c r="H165" s="9" t="n">
        <v>343</v>
      </c>
      <c r="I165" s="9" t="n">
        <v>0</v>
      </c>
      <c r="J165" s="9" t="n">
        <v>0</v>
      </c>
      <c r="K165" s="11" t="inlineStr"/>
      <c r="L165" s="21" t="inlineStr"/>
      <c r="M165" s="9" t="inlineStr"/>
      <c r="N165" s="9" t="inlineStr"/>
      <c r="O165" s="9" t="inlineStr"/>
      <c r="P165" s="9" t="inlineStr">
        <is>
          <t>missing</t>
        </is>
      </c>
      <c r="Q165" s="9" t="inlineStr">
        <is>
          <t>no row meets target_tok_s_user</t>
        </is>
      </c>
      <c r="R165" s="9" t="inlineStr"/>
      <c r="S165" s="9" t="inlineStr">
        <is>
          <t>tok_s_user is computed as output_tok_s_gpu/concurrency when source tok_s_user is blank; agentic_derived uses long_chat rows multiplied by the Kimi K2.5 agentic/long ratio.</t>
        </is>
      </c>
    </row>
    <row r="166">
      <c r="A166" s="9" t="inlineStr">
        <is>
          <t>dsr1</t>
        </is>
      </c>
      <c r="B166" s="9" t="inlineStr">
        <is>
          <t>b200</t>
        </is>
      </c>
      <c r="C166" s="9" t="inlineStr">
        <is>
          <t>agentic_derived</t>
        </is>
      </c>
      <c r="D166" s="9" t="inlineStr">
        <is>
          <t>dsr1</t>
        </is>
      </c>
      <c r="E166" s="9" t="n">
        <v>100</v>
      </c>
      <c r="F166" s="9" t="n">
        <v>100947</v>
      </c>
      <c r="G166" s="9" t="n">
        <v>860</v>
      </c>
      <c r="H166" s="9" t="n">
        <v>343</v>
      </c>
      <c r="I166" s="9" t="n">
        <v>0</v>
      </c>
      <c r="J166" s="9" t="n">
        <v>0</v>
      </c>
      <c r="K166" s="11" t="inlineStr"/>
      <c r="L166" s="21" t="inlineStr"/>
      <c r="M166" s="9" t="inlineStr"/>
      <c r="N166" s="9" t="inlineStr"/>
      <c r="O166" s="9" t="inlineStr"/>
      <c r="P166" s="9" t="inlineStr">
        <is>
          <t>missing</t>
        </is>
      </c>
      <c r="Q166" s="9" t="inlineStr">
        <is>
          <t>no row meets target_tok_s_user</t>
        </is>
      </c>
      <c r="R166" s="9" t="inlineStr"/>
      <c r="S166" s="9" t="inlineStr">
        <is>
          <t>tok_s_user is computed as output_tok_s_gpu/concurrency when source tok_s_user is blank; agentic_derived uses long_chat rows multiplied by the Kimi K2.5 agentic/long ratio.</t>
        </is>
      </c>
    </row>
    <row r="167">
      <c r="A167" s="9" t="inlineStr">
        <is>
          <t>dsr1</t>
        </is>
      </c>
      <c r="B167" s="9" t="inlineStr">
        <is>
          <t>gb200</t>
        </is>
      </c>
      <c r="C167" s="9" t="inlineStr">
        <is>
          <t>short_chat</t>
        </is>
      </c>
      <c r="D167" s="9" t="inlineStr">
        <is>
          <t>dsr1</t>
        </is>
      </c>
      <c r="E167" s="9" t="n">
        <v>10</v>
      </c>
      <c r="F167" s="9" t="n">
        <v>1024</v>
      </c>
      <c r="G167" s="9" t="n">
        <v>1024</v>
      </c>
      <c r="H167" s="9" t="n">
        <v>0</v>
      </c>
      <c r="I167" s="9" t="n">
        <v>0</v>
      </c>
      <c r="J167" s="9" t="n">
        <v>0</v>
      </c>
      <c r="K167" s="11" t="inlineStr"/>
      <c r="L167" s="21" t="inlineStr"/>
      <c r="M167" s="9" t="inlineStr"/>
      <c r="N167" s="9" t="inlineStr"/>
      <c r="O167" s="9" t="inlineStr"/>
      <c r="P167" s="9" t="inlineStr">
        <is>
          <t>missing</t>
        </is>
      </c>
      <c r="Q167" s="9" t="inlineStr">
        <is>
          <t>no row meets target_tok_s_user</t>
        </is>
      </c>
      <c r="R167" s="9" t="inlineStr"/>
      <c r="S167" s="9" t="inlineStr">
        <is>
          <t>tok_s_user is computed as output_tok_s_gpu/concurrency when source tok_s_user is blank; agentic_derived uses long_chat rows multiplied by the Kimi K2.5 agentic/long ratio.</t>
        </is>
      </c>
    </row>
    <row r="168">
      <c r="A168" s="9" t="inlineStr">
        <is>
          <t>dsr1</t>
        </is>
      </c>
      <c r="B168" s="9" t="inlineStr">
        <is>
          <t>gb200</t>
        </is>
      </c>
      <c r="C168" s="9" t="inlineStr">
        <is>
          <t>short_chat</t>
        </is>
      </c>
      <c r="D168" s="9" t="inlineStr">
        <is>
          <t>dsr1</t>
        </is>
      </c>
      <c r="E168" s="9" t="n">
        <v>30</v>
      </c>
      <c r="F168" s="9" t="n">
        <v>1024</v>
      </c>
      <c r="G168" s="9" t="n">
        <v>1024</v>
      </c>
      <c r="H168" s="9" t="n">
        <v>0</v>
      </c>
      <c r="I168" s="9" t="n">
        <v>0</v>
      </c>
      <c r="J168" s="9" t="n">
        <v>0</v>
      </c>
      <c r="K168" s="11" t="inlineStr"/>
      <c r="L168" s="21" t="inlineStr"/>
      <c r="M168" s="9" t="inlineStr"/>
      <c r="N168" s="9" t="inlineStr"/>
      <c r="O168" s="9" t="inlineStr"/>
      <c r="P168" s="9" t="inlineStr">
        <is>
          <t>missing</t>
        </is>
      </c>
      <c r="Q168" s="9" t="inlineStr">
        <is>
          <t>no row meets target_tok_s_user</t>
        </is>
      </c>
      <c r="R168" s="9" t="inlineStr"/>
      <c r="S168" s="9" t="inlineStr">
        <is>
          <t>tok_s_user is computed as output_tok_s_gpu/concurrency when source tok_s_user is blank; agentic_derived uses long_chat rows multiplied by the Kimi K2.5 agentic/long ratio.</t>
        </is>
      </c>
    </row>
    <row r="169">
      <c r="A169" s="9" t="inlineStr">
        <is>
          <t>dsr1</t>
        </is>
      </c>
      <c r="B169" s="9" t="inlineStr">
        <is>
          <t>gb200</t>
        </is>
      </c>
      <c r="C169" s="9" t="inlineStr">
        <is>
          <t>short_chat</t>
        </is>
      </c>
      <c r="D169" s="9" t="inlineStr">
        <is>
          <t>dsr1</t>
        </is>
      </c>
      <c r="E169" s="9" t="n">
        <v>50</v>
      </c>
      <c r="F169" s="9" t="n">
        <v>1024</v>
      </c>
      <c r="G169" s="9" t="n">
        <v>1024</v>
      </c>
      <c r="H169" s="9" t="n">
        <v>0</v>
      </c>
      <c r="I169" s="9" t="n">
        <v>0</v>
      </c>
      <c r="J169" s="9" t="n">
        <v>0</v>
      </c>
      <c r="K169" s="11" t="inlineStr"/>
      <c r="L169" s="21" t="inlineStr"/>
      <c r="M169" s="9" t="inlineStr"/>
      <c r="N169" s="9" t="inlineStr"/>
      <c r="O169" s="9" t="inlineStr"/>
      <c r="P169" s="9" t="inlineStr">
        <is>
          <t>missing</t>
        </is>
      </c>
      <c r="Q169" s="9" t="inlineStr">
        <is>
          <t>no row meets target_tok_s_user</t>
        </is>
      </c>
      <c r="R169" s="9" t="inlineStr"/>
      <c r="S169" s="9" t="inlineStr">
        <is>
          <t>tok_s_user is computed as output_tok_s_gpu/concurrency when source tok_s_user is blank; agentic_derived uses long_chat rows multiplied by the Kimi K2.5 agentic/long ratio.</t>
        </is>
      </c>
    </row>
    <row r="170">
      <c r="A170" s="9" t="inlineStr">
        <is>
          <t>dsr1</t>
        </is>
      </c>
      <c r="B170" s="9" t="inlineStr">
        <is>
          <t>gb200</t>
        </is>
      </c>
      <c r="C170" s="9" t="inlineStr">
        <is>
          <t>short_chat</t>
        </is>
      </c>
      <c r="D170" s="9" t="inlineStr">
        <is>
          <t>dsr1</t>
        </is>
      </c>
      <c r="E170" s="9" t="n">
        <v>70</v>
      </c>
      <c r="F170" s="9" t="n">
        <v>1024</v>
      </c>
      <c r="G170" s="9" t="n">
        <v>1024</v>
      </c>
      <c r="H170" s="9" t="n">
        <v>0</v>
      </c>
      <c r="I170" s="9" t="n">
        <v>0</v>
      </c>
      <c r="J170" s="9" t="n">
        <v>0</v>
      </c>
      <c r="K170" s="11" t="inlineStr"/>
      <c r="L170" s="21" t="inlineStr"/>
      <c r="M170" s="9" t="inlineStr"/>
      <c r="N170" s="9" t="inlineStr"/>
      <c r="O170" s="9" t="inlineStr"/>
      <c r="P170" s="9" t="inlineStr">
        <is>
          <t>missing</t>
        </is>
      </c>
      <c r="Q170" s="9" t="inlineStr">
        <is>
          <t>no row meets target_tok_s_user</t>
        </is>
      </c>
      <c r="R170" s="9" t="inlineStr"/>
      <c r="S170" s="9" t="inlineStr">
        <is>
          <t>tok_s_user is computed as output_tok_s_gpu/concurrency when source tok_s_user is blank; agentic_derived uses long_chat rows multiplied by the Kimi K2.5 agentic/long ratio.</t>
        </is>
      </c>
    </row>
    <row r="171">
      <c r="A171" s="9" t="inlineStr">
        <is>
          <t>dsr1</t>
        </is>
      </c>
      <c r="B171" s="9" t="inlineStr">
        <is>
          <t>gb200</t>
        </is>
      </c>
      <c r="C171" s="9" t="inlineStr">
        <is>
          <t>short_chat</t>
        </is>
      </c>
      <c r="D171" s="9" t="inlineStr">
        <is>
          <t>dsr1</t>
        </is>
      </c>
      <c r="E171" s="9" t="n">
        <v>100</v>
      </c>
      <c r="F171" s="9" t="n">
        <v>1024</v>
      </c>
      <c r="G171" s="9" t="n">
        <v>1024</v>
      </c>
      <c r="H171" s="9" t="n">
        <v>0</v>
      </c>
      <c r="I171" s="9" t="n">
        <v>0</v>
      </c>
      <c r="J171" s="9" t="n">
        <v>0</v>
      </c>
      <c r="K171" s="11" t="inlineStr"/>
      <c r="L171" s="21" t="inlineStr"/>
      <c r="M171" s="9" t="inlineStr"/>
      <c r="N171" s="9" t="inlineStr"/>
      <c r="O171" s="9" t="inlineStr"/>
      <c r="P171" s="9" t="inlineStr">
        <is>
          <t>missing</t>
        </is>
      </c>
      <c r="Q171" s="9" t="inlineStr">
        <is>
          <t>no row meets target_tok_s_user</t>
        </is>
      </c>
      <c r="R171" s="9" t="inlineStr"/>
      <c r="S171" s="9" t="inlineStr">
        <is>
          <t>tok_s_user is computed as output_tok_s_gpu/concurrency when source tok_s_user is blank; agentic_derived uses long_chat rows multiplied by the Kimi K2.5 agentic/long ratio.</t>
        </is>
      </c>
    </row>
    <row r="172">
      <c r="A172" s="9" t="inlineStr">
        <is>
          <t>dsr1</t>
        </is>
      </c>
      <c r="B172" s="9" t="inlineStr">
        <is>
          <t>gb200</t>
        </is>
      </c>
      <c r="C172" s="9" t="inlineStr">
        <is>
          <t>long_chat</t>
        </is>
      </c>
      <c r="D172" s="9" t="inlineStr">
        <is>
          <t>dsr1</t>
        </is>
      </c>
      <c r="E172" s="9" t="n">
        <v>10</v>
      </c>
      <c r="F172" s="9" t="n">
        <v>8192</v>
      </c>
      <c r="G172" s="9" t="n">
        <v>1024</v>
      </c>
      <c r="H172" s="9" t="n">
        <v>0</v>
      </c>
      <c r="I172" s="9" t="n">
        <v>0</v>
      </c>
      <c r="J172" s="9" t="n">
        <v>0</v>
      </c>
      <c r="K172" s="11" t="inlineStr"/>
      <c r="L172" s="21" t="inlineStr"/>
      <c r="M172" s="9" t="inlineStr"/>
      <c r="N172" s="9" t="inlineStr"/>
      <c r="O172" s="9" t="inlineStr"/>
      <c r="P172" s="9" t="inlineStr">
        <is>
          <t>missing</t>
        </is>
      </c>
      <c r="Q172" s="9" t="inlineStr">
        <is>
          <t>no row meets target_tok_s_user</t>
        </is>
      </c>
      <c r="R172" s="9" t="inlineStr"/>
      <c r="S172" s="9" t="inlineStr">
        <is>
          <t>tok_s_user is computed as output_tok_s_gpu/concurrency when source tok_s_user is blank; agentic_derived uses long_chat rows multiplied by the Kimi K2.5 agentic/long ratio.</t>
        </is>
      </c>
    </row>
    <row r="173">
      <c r="A173" s="9" t="inlineStr">
        <is>
          <t>dsr1</t>
        </is>
      </c>
      <c r="B173" s="9" t="inlineStr">
        <is>
          <t>gb200</t>
        </is>
      </c>
      <c r="C173" s="9" t="inlineStr">
        <is>
          <t>long_chat</t>
        </is>
      </c>
      <c r="D173" s="9" t="inlineStr">
        <is>
          <t>dsr1</t>
        </is>
      </c>
      <c r="E173" s="9" t="n">
        <v>30</v>
      </c>
      <c r="F173" s="9" t="n">
        <v>8192</v>
      </c>
      <c r="G173" s="9" t="n">
        <v>1024</v>
      </c>
      <c r="H173" s="9" t="n">
        <v>0</v>
      </c>
      <c r="I173" s="9" t="n">
        <v>0</v>
      </c>
      <c r="J173" s="9" t="n">
        <v>0</v>
      </c>
      <c r="K173" s="11" t="inlineStr"/>
      <c r="L173" s="21" t="inlineStr"/>
      <c r="M173" s="9" t="inlineStr"/>
      <c r="N173" s="9" t="inlineStr"/>
      <c r="O173" s="9" t="inlineStr"/>
      <c r="P173" s="9" t="inlineStr">
        <is>
          <t>missing</t>
        </is>
      </c>
      <c r="Q173" s="9" t="inlineStr">
        <is>
          <t>no row meets target_tok_s_user</t>
        </is>
      </c>
      <c r="R173" s="9" t="inlineStr"/>
      <c r="S173" s="9" t="inlineStr">
        <is>
          <t>tok_s_user is computed as output_tok_s_gpu/concurrency when source tok_s_user is blank; agentic_derived uses long_chat rows multiplied by the Kimi K2.5 agentic/long ratio.</t>
        </is>
      </c>
    </row>
    <row r="174">
      <c r="A174" s="9" t="inlineStr">
        <is>
          <t>dsr1</t>
        </is>
      </c>
      <c r="B174" s="9" t="inlineStr">
        <is>
          <t>gb200</t>
        </is>
      </c>
      <c r="C174" s="9" t="inlineStr">
        <is>
          <t>long_chat</t>
        </is>
      </c>
      <c r="D174" s="9" t="inlineStr">
        <is>
          <t>dsr1</t>
        </is>
      </c>
      <c r="E174" s="9" t="n">
        <v>50</v>
      </c>
      <c r="F174" s="9" t="n">
        <v>8192</v>
      </c>
      <c r="G174" s="9" t="n">
        <v>1024</v>
      </c>
      <c r="H174" s="9" t="n">
        <v>0</v>
      </c>
      <c r="I174" s="9" t="n">
        <v>0</v>
      </c>
      <c r="J174" s="9" t="n">
        <v>0</v>
      </c>
      <c r="K174" s="11" t="inlineStr"/>
      <c r="L174" s="21" t="inlineStr"/>
      <c r="M174" s="9" t="inlineStr"/>
      <c r="N174" s="9" t="inlineStr"/>
      <c r="O174" s="9" t="inlineStr"/>
      <c r="P174" s="9" t="inlineStr">
        <is>
          <t>missing</t>
        </is>
      </c>
      <c r="Q174" s="9" t="inlineStr">
        <is>
          <t>no row meets target_tok_s_user</t>
        </is>
      </c>
      <c r="R174" s="9" t="inlineStr"/>
      <c r="S174" s="9" t="inlineStr">
        <is>
          <t>tok_s_user is computed as output_tok_s_gpu/concurrency when source tok_s_user is blank; agentic_derived uses long_chat rows multiplied by the Kimi K2.5 agentic/long ratio.</t>
        </is>
      </c>
    </row>
    <row r="175">
      <c r="A175" s="9" t="inlineStr">
        <is>
          <t>dsr1</t>
        </is>
      </c>
      <c r="B175" s="9" t="inlineStr">
        <is>
          <t>gb200</t>
        </is>
      </c>
      <c r="C175" s="9" t="inlineStr">
        <is>
          <t>long_chat</t>
        </is>
      </c>
      <c r="D175" s="9" t="inlineStr">
        <is>
          <t>dsr1</t>
        </is>
      </c>
      <c r="E175" s="9" t="n">
        <v>70</v>
      </c>
      <c r="F175" s="9" t="n">
        <v>8192</v>
      </c>
      <c r="G175" s="9" t="n">
        <v>1024</v>
      </c>
      <c r="H175" s="9" t="n">
        <v>0</v>
      </c>
      <c r="I175" s="9" t="n">
        <v>0</v>
      </c>
      <c r="J175" s="9" t="n">
        <v>0</v>
      </c>
      <c r="K175" s="11" t="inlineStr"/>
      <c r="L175" s="21" t="inlineStr"/>
      <c r="M175" s="9" t="inlineStr"/>
      <c r="N175" s="9" t="inlineStr"/>
      <c r="O175" s="9" t="inlineStr"/>
      <c r="P175" s="9" t="inlineStr">
        <is>
          <t>missing</t>
        </is>
      </c>
      <c r="Q175" s="9" t="inlineStr">
        <is>
          <t>no row meets target_tok_s_user</t>
        </is>
      </c>
      <c r="R175" s="9" t="inlineStr"/>
      <c r="S175" s="9" t="inlineStr">
        <is>
          <t>tok_s_user is computed as output_tok_s_gpu/concurrency when source tok_s_user is blank; agentic_derived uses long_chat rows multiplied by the Kimi K2.5 agentic/long ratio.</t>
        </is>
      </c>
    </row>
    <row r="176">
      <c r="A176" s="9" t="inlineStr">
        <is>
          <t>dsr1</t>
        </is>
      </c>
      <c r="B176" s="9" t="inlineStr">
        <is>
          <t>gb200</t>
        </is>
      </c>
      <c r="C176" s="9" t="inlineStr">
        <is>
          <t>long_chat</t>
        </is>
      </c>
      <c r="D176" s="9" t="inlineStr">
        <is>
          <t>dsr1</t>
        </is>
      </c>
      <c r="E176" s="9" t="n">
        <v>100</v>
      </c>
      <c r="F176" s="9" t="n">
        <v>8192</v>
      </c>
      <c r="G176" s="9" t="n">
        <v>1024</v>
      </c>
      <c r="H176" s="9" t="n">
        <v>0</v>
      </c>
      <c r="I176" s="9" t="n">
        <v>0</v>
      </c>
      <c r="J176" s="9" t="n">
        <v>0</v>
      </c>
      <c r="K176" s="11" t="inlineStr"/>
      <c r="L176" s="21" t="inlineStr"/>
      <c r="M176" s="9" t="inlineStr"/>
      <c r="N176" s="9" t="inlineStr"/>
      <c r="O176" s="9" t="inlineStr"/>
      <c r="P176" s="9" t="inlineStr">
        <is>
          <t>missing</t>
        </is>
      </c>
      <c r="Q176" s="9" t="inlineStr">
        <is>
          <t>no row meets target_tok_s_user</t>
        </is>
      </c>
      <c r="R176" s="9" t="inlineStr"/>
      <c r="S176" s="9" t="inlineStr">
        <is>
          <t>tok_s_user is computed as output_tok_s_gpu/concurrency when source tok_s_user is blank; agentic_derived uses long_chat rows multiplied by the Kimi K2.5 agentic/long ratio.</t>
        </is>
      </c>
    </row>
    <row r="177">
      <c r="A177" s="9" t="inlineStr">
        <is>
          <t>dsr1</t>
        </is>
      </c>
      <c r="B177" s="9" t="inlineStr">
        <is>
          <t>gb200</t>
        </is>
      </c>
      <c r="C177" s="9" t="inlineStr">
        <is>
          <t>agentic_derived</t>
        </is>
      </c>
      <c r="D177" s="9" t="inlineStr">
        <is>
          <t>dsr1</t>
        </is>
      </c>
      <c r="E177" s="9" t="n">
        <v>10</v>
      </c>
      <c r="F177" s="9" t="n">
        <v>100947</v>
      </c>
      <c r="G177" s="9" t="n">
        <v>860</v>
      </c>
      <c r="H177" s="9" t="n">
        <v>0</v>
      </c>
      <c r="I177" s="9" t="n">
        <v>0</v>
      </c>
      <c r="J177" s="9" t="n">
        <v>0</v>
      </c>
      <c r="K177" s="11" t="inlineStr"/>
      <c r="L177" s="21" t="inlineStr"/>
      <c r="M177" s="9" t="inlineStr"/>
      <c r="N177" s="9" t="inlineStr"/>
      <c r="O177" s="9" t="inlineStr"/>
      <c r="P177" s="9" t="inlineStr">
        <is>
          <t>missing</t>
        </is>
      </c>
      <c r="Q177" s="9" t="inlineStr">
        <is>
          <t>no row meets target_tok_s_user</t>
        </is>
      </c>
      <c r="R177" s="9" t="inlineStr"/>
      <c r="S177" s="9" t="inlineStr">
        <is>
          <t>tok_s_user is computed as output_tok_s_gpu/concurrency when source tok_s_user is blank; agentic_derived uses long_chat rows multiplied by the Kimi K2.5 agentic/long ratio.</t>
        </is>
      </c>
    </row>
    <row r="178">
      <c r="A178" s="9" t="inlineStr">
        <is>
          <t>dsr1</t>
        </is>
      </c>
      <c r="B178" s="9" t="inlineStr">
        <is>
          <t>gb200</t>
        </is>
      </c>
      <c r="C178" s="9" t="inlineStr">
        <is>
          <t>agentic_derived</t>
        </is>
      </c>
      <c r="D178" s="9" t="inlineStr">
        <is>
          <t>dsr1</t>
        </is>
      </c>
      <c r="E178" s="9" t="n">
        <v>30</v>
      </c>
      <c r="F178" s="9" t="n">
        <v>100947</v>
      </c>
      <c r="G178" s="9" t="n">
        <v>860</v>
      </c>
      <c r="H178" s="9" t="n">
        <v>0</v>
      </c>
      <c r="I178" s="9" t="n">
        <v>0</v>
      </c>
      <c r="J178" s="9" t="n">
        <v>0</v>
      </c>
      <c r="K178" s="11" t="inlineStr"/>
      <c r="L178" s="21" t="inlineStr"/>
      <c r="M178" s="9" t="inlineStr"/>
      <c r="N178" s="9" t="inlineStr"/>
      <c r="O178" s="9" t="inlineStr"/>
      <c r="P178" s="9" t="inlineStr">
        <is>
          <t>missing</t>
        </is>
      </c>
      <c r="Q178" s="9" t="inlineStr">
        <is>
          <t>no row meets target_tok_s_user</t>
        </is>
      </c>
      <c r="R178" s="9" t="inlineStr"/>
      <c r="S178" s="9" t="inlineStr">
        <is>
          <t>tok_s_user is computed as output_tok_s_gpu/concurrency when source tok_s_user is blank; agentic_derived uses long_chat rows multiplied by the Kimi K2.5 agentic/long ratio.</t>
        </is>
      </c>
    </row>
    <row r="179">
      <c r="A179" s="9" t="inlineStr">
        <is>
          <t>dsr1</t>
        </is>
      </c>
      <c r="B179" s="9" t="inlineStr">
        <is>
          <t>gb200</t>
        </is>
      </c>
      <c r="C179" s="9" t="inlineStr">
        <is>
          <t>agentic_derived</t>
        </is>
      </c>
      <c r="D179" s="9" t="inlineStr">
        <is>
          <t>dsr1</t>
        </is>
      </c>
      <c r="E179" s="9" t="n">
        <v>50</v>
      </c>
      <c r="F179" s="9" t="n">
        <v>100947</v>
      </c>
      <c r="G179" s="9" t="n">
        <v>860</v>
      </c>
      <c r="H179" s="9" t="n">
        <v>0</v>
      </c>
      <c r="I179" s="9" t="n">
        <v>0</v>
      </c>
      <c r="J179" s="9" t="n">
        <v>0</v>
      </c>
      <c r="K179" s="11" t="inlineStr"/>
      <c r="L179" s="21" t="inlineStr"/>
      <c r="M179" s="9" t="inlineStr"/>
      <c r="N179" s="9" t="inlineStr"/>
      <c r="O179" s="9" t="inlineStr"/>
      <c r="P179" s="9" t="inlineStr">
        <is>
          <t>missing</t>
        </is>
      </c>
      <c r="Q179" s="9" t="inlineStr">
        <is>
          <t>no row meets target_tok_s_user</t>
        </is>
      </c>
      <c r="R179" s="9" t="inlineStr"/>
      <c r="S179" s="9" t="inlineStr">
        <is>
          <t>tok_s_user is computed as output_tok_s_gpu/concurrency when source tok_s_user is blank; agentic_derived uses long_chat rows multiplied by the Kimi K2.5 agentic/long ratio.</t>
        </is>
      </c>
    </row>
    <row r="180">
      <c r="A180" s="9" t="inlineStr">
        <is>
          <t>dsr1</t>
        </is>
      </c>
      <c r="B180" s="9" t="inlineStr">
        <is>
          <t>gb200</t>
        </is>
      </c>
      <c r="C180" s="9" t="inlineStr">
        <is>
          <t>agentic_derived</t>
        </is>
      </c>
      <c r="D180" s="9" t="inlineStr">
        <is>
          <t>dsr1</t>
        </is>
      </c>
      <c r="E180" s="9" t="n">
        <v>70</v>
      </c>
      <c r="F180" s="9" t="n">
        <v>100947</v>
      </c>
      <c r="G180" s="9" t="n">
        <v>860</v>
      </c>
      <c r="H180" s="9" t="n">
        <v>0</v>
      </c>
      <c r="I180" s="9" t="n">
        <v>0</v>
      </c>
      <c r="J180" s="9" t="n">
        <v>0</v>
      </c>
      <c r="K180" s="11" t="inlineStr"/>
      <c r="L180" s="21" t="inlineStr"/>
      <c r="M180" s="9" t="inlineStr"/>
      <c r="N180" s="9" t="inlineStr"/>
      <c r="O180" s="9" t="inlineStr"/>
      <c r="P180" s="9" t="inlineStr">
        <is>
          <t>missing</t>
        </is>
      </c>
      <c r="Q180" s="9" t="inlineStr">
        <is>
          <t>no row meets target_tok_s_user</t>
        </is>
      </c>
      <c r="R180" s="9" t="inlineStr"/>
      <c r="S180" s="9" t="inlineStr">
        <is>
          <t>tok_s_user is computed as output_tok_s_gpu/concurrency when source tok_s_user is blank; agentic_derived uses long_chat rows multiplied by the Kimi K2.5 agentic/long ratio.</t>
        </is>
      </c>
    </row>
    <row r="181">
      <c r="A181" s="9" t="inlineStr">
        <is>
          <t>dsr1</t>
        </is>
      </c>
      <c r="B181" s="9" t="inlineStr">
        <is>
          <t>gb200</t>
        </is>
      </c>
      <c r="C181" s="9" t="inlineStr">
        <is>
          <t>agentic_derived</t>
        </is>
      </c>
      <c r="D181" s="9" t="inlineStr">
        <is>
          <t>dsr1</t>
        </is>
      </c>
      <c r="E181" s="9" t="n">
        <v>100</v>
      </c>
      <c r="F181" s="9" t="n">
        <v>100947</v>
      </c>
      <c r="G181" s="9" t="n">
        <v>860</v>
      </c>
      <c r="H181" s="9" t="n">
        <v>0</v>
      </c>
      <c r="I181" s="9" t="n">
        <v>0</v>
      </c>
      <c r="J181" s="9" t="n">
        <v>0</v>
      </c>
      <c r="K181" s="11" t="inlineStr"/>
      <c r="L181" s="21" t="inlineStr"/>
      <c r="M181" s="9" t="inlineStr"/>
      <c r="N181" s="9" t="inlineStr"/>
      <c r="O181" s="9" t="inlineStr"/>
      <c r="P181" s="9" t="inlineStr">
        <is>
          <t>missing</t>
        </is>
      </c>
      <c r="Q181" s="9" t="inlineStr">
        <is>
          <t>no row meets target_tok_s_user</t>
        </is>
      </c>
      <c r="R181" s="9" t="inlineStr"/>
      <c r="S181" s="9" t="inlineStr">
        <is>
          <t>tok_s_user is computed as output_tok_s_gpu/concurrency when source tok_s_user is blank; agentic_derived uses long_chat rows multiplied by the Kimi K2.5 agentic/long ratio.</t>
        </is>
      </c>
    </row>
    <row r="182">
      <c r="A182" s="3" t="inlineStr">
        <is>
          <t>qwen3.5</t>
        </is>
      </c>
      <c r="B182" s="3" t="inlineStr">
        <is>
          <t>h200</t>
        </is>
      </c>
      <c r="C182" s="3" t="inlineStr">
        <is>
          <t>short_chat</t>
        </is>
      </c>
      <c r="D182" s="3" t="inlineStr">
        <is>
          <t>qwen3.5</t>
        </is>
      </c>
      <c r="E182" s="3" t="n">
        <v>10</v>
      </c>
      <c r="F182" s="3" t="n">
        <v>1024</v>
      </c>
      <c r="G182" s="3" t="n">
        <v>1024</v>
      </c>
      <c r="H182" s="3" t="n">
        <v>51</v>
      </c>
      <c r="I182" s="3" t="n">
        <v>18</v>
      </c>
      <c r="J182" s="3" t="n">
        <v>0</v>
      </c>
      <c r="K182" s="19" t="n">
        <v>67884</v>
      </c>
      <c r="L182" s="20" t="n">
        <v>14.68</v>
      </c>
      <c r="M182" s="3" t="n">
        <v>8</v>
      </c>
      <c r="N182" s="3" t="inlineStr">
        <is>
          <t>sglang</t>
        </is>
      </c>
      <c r="O182" s="3" t="inlineStr">
        <is>
          <t>fp8</t>
        </is>
      </c>
      <c r="P182" s="3" t="inlineStr">
        <is>
          <t>selected_public_max</t>
        </is>
      </c>
      <c r="Q182" s="3" t="inlineStr">
        <is>
          <t>public max among eligible rows</t>
        </is>
      </c>
      <c r="R182" s="3" t="inlineStr">
        <is>
          <t>2026-05-17T00:00:00.000Z</t>
        </is>
      </c>
      <c r="S182" s="3" t="inlineStr">
        <is>
          <t>tok_s_user is computed as output_tok_s_gpu/concurrency when source tok_s_user is blank; agentic_derived uses long_chat rows multiplied by the Kimi K2.5 agentic/long ratio.</t>
        </is>
      </c>
    </row>
    <row r="183">
      <c r="A183" s="9" t="inlineStr">
        <is>
          <t>qwen3.5</t>
        </is>
      </c>
      <c r="B183" s="9" t="inlineStr">
        <is>
          <t>h200</t>
        </is>
      </c>
      <c r="C183" s="9" t="inlineStr">
        <is>
          <t>short_chat</t>
        </is>
      </c>
      <c r="D183" s="9" t="inlineStr">
        <is>
          <t>qwen3.5</t>
        </is>
      </c>
      <c r="E183" s="9" t="n">
        <v>30</v>
      </c>
      <c r="F183" s="9" t="n">
        <v>1024</v>
      </c>
      <c r="G183" s="9" t="n">
        <v>1024</v>
      </c>
      <c r="H183" s="9" t="n">
        <v>51</v>
      </c>
      <c r="I183" s="9" t="n">
        <v>0</v>
      </c>
      <c r="J183" s="9" t="n">
        <v>0</v>
      </c>
      <c r="K183" s="11" t="inlineStr"/>
      <c r="L183" s="21" t="inlineStr"/>
      <c r="M183" s="9" t="inlineStr"/>
      <c r="N183" s="9" t="inlineStr"/>
      <c r="O183" s="9" t="inlineStr"/>
      <c r="P183" s="9" t="inlineStr">
        <is>
          <t>missing</t>
        </is>
      </c>
      <c r="Q183" s="9" t="inlineStr">
        <is>
          <t>no row meets target_tok_s_user</t>
        </is>
      </c>
      <c r="R183" s="9" t="inlineStr"/>
      <c r="S183" s="9" t="inlineStr">
        <is>
          <t>tok_s_user is computed as output_tok_s_gpu/concurrency when source tok_s_user is blank; agentic_derived uses long_chat rows multiplied by the Kimi K2.5 agentic/long ratio.</t>
        </is>
      </c>
    </row>
    <row r="184">
      <c r="A184" s="9" t="inlineStr">
        <is>
          <t>qwen3.5</t>
        </is>
      </c>
      <c r="B184" s="9" t="inlineStr">
        <is>
          <t>h200</t>
        </is>
      </c>
      <c r="C184" s="9" t="inlineStr">
        <is>
          <t>short_chat</t>
        </is>
      </c>
      <c r="D184" s="9" t="inlineStr">
        <is>
          <t>qwen3.5</t>
        </is>
      </c>
      <c r="E184" s="9" t="n">
        <v>50</v>
      </c>
      <c r="F184" s="9" t="n">
        <v>1024</v>
      </c>
      <c r="G184" s="9" t="n">
        <v>1024</v>
      </c>
      <c r="H184" s="9" t="n">
        <v>51</v>
      </c>
      <c r="I184" s="9" t="n">
        <v>0</v>
      </c>
      <c r="J184" s="9" t="n">
        <v>0</v>
      </c>
      <c r="K184" s="11" t="inlineStr"/>
      <c r="L184" s="21" t="inlineStr"/>
      <c r="M184" s="9" t="inlineStr"/>
      <c r="N184" s="9" t="inlineStr"/>
      <c r="O184" s="9" t="inlineStr"/>
      <c r="P184" s="9" t="inlineStr">
        <is>
          <t>missing</t>
        </is>
      </c>
      <c r="Q184" s="9" t="inlineStr">
        <is>
          <t>no row meets target_tok_s_user</t>
        </is>
      </c>
      <c r="R184" s="9" t="inlineStr"/>
      <c r="S184" s="9" t="inlineStr">
        <is>
          <t>tok_s_user is computed as output_tok_s_gpu/concurrency when source tok_s_user is blank; agentic_derived uses long_chat rows multiplied by the Kimi K2.5 agentic/long ratio.</t>
        </is>
      </c>
    </row>
    <row r="185">
      <c r="A185" s="9" t="inlineStr">
        <is>
          <t>qwen3.5</t>
        </is>
      </c>
      <c r="B185" s="9" t="inlineStr">
        <is>
          <t>h200</t>
        </is>
      </c>
      <c r="C185" s="9" t="inlineStr">
        <is>
          <t>short_chat</t>
        </is>
      </c>
      <c r="D185" s="9" t="inlineStr">
        <is>
          <t>qwen3.5</t>
        </is>
      </c>
      <c r="E185" s="9" t="n">
        <v>70</v>
      </c>
      <c r="F185" s="9" t="n">
        <v>1024</v>
      </c>
      <c r="G185" s="9" t="n">
        <v>1024</v>
      </c>
      <c r="H185" s="9" t="n">
        <v>51</v>
      </c>
      <c r="I185" s="9" t="n">
        <v>0</v>
      </c>
      <c r="J185" s="9" t="n">
        <v>0</v>
      </c>
      <c r="K185" s="11" t="inlineStr"/>
      <c r="L185" s="21" t="inlineStr"/>
      <c r="M185" s="9" t="inlineStr"/>
      <c r="N185" s="9" t="inlineStr"/>
      <c r="O185" s="9" t="inlineStr"/>
      <c r="P185" s="9" t="inlineStr">
        <is>
          <t>missing</t>
        </is>
      </c>
      <c r="Q185" s="9" t="inlineStr">
        <is>
          <t>no row meets target_tok_s_user</t>
        </is>
      </c>
      <c r="R185" s="9" t="inlineStr"/>
      <c r="S185" s="9" t="inlineStr">
        <is>
          <t>tok_s_user is computed as output_tok_s_gpu/concurrency when source tok_s_user is blank; agentic_derived uses long_chat rows multiplied by the Kimi K2.5 agentic/long ratio.</t>
        </is>
      </c>
    </row>
    <row r="186">
      <c r="A186" s="9" t="inlineStr">
        <is>
          <t>qwen3.5</t>
        </is>
      </c>
      <c r="B186" s="9" t="inlineStr">
        <is>
          <t>h200</t>
        </is>
      </c>
      <c r="C186" s="9" t="inlineStr">
        <is>
          <t>short_chat</t>
        </is>
      </c>
      <c r="D186" s="9" t="inlineStr">
        <is>
          <t>qwen3.5</t>
        </is>
      </c>
      <c r="E186" s="9" t="n">
        <v>100</v>
      </c>
      <c r="F186" s="9" t="n">
        <v>1024</v>
      </c>
      <c r="G186" s="9" t="n">
        <v>1024</v>
      </c>
      <c r="H186" s="9" t="n">
        <v>51</v>
      </c>
      <c r="I186" s="9" t="n">
        <v>0</v>
      </c>
      <c r="J186" s="9" t="n">
        <v>0</v>
      </c>
      <c r="K186" s="11" t="inlineStr"/>
      <c r="L186" s="21" t="inlineStr"/>
      <c r="M186" s="9" t="inlineStr"/>
      <c r="N186" s="9" t="inlineStr"/>
      <c r="O186" s="9" t="inlineStr"/>
      <c r="P186" s="9" t="inlineStr">
        <is>
          <t>missing</t>
        </is>
      </c>
      <c r="Q186" s="9" t="inlineStr">
        <is>
          <t>no row meets target_tok_s_user</t>
        </is>
      </c>
      <c r="R186" s="9" t="inlineStr"/>
      <c r="S186" s="9" t="inlineStr">
        <is>
          <t>tok_s_user is computed as output_tok_s_gpu/concurrency when source tok_s_user is blank; agentic_derived uses long_chat rows multiplied by the Kimi K2.5 agentic/long ratio.</t>
        </is>
      </c>
    </row>
    <row r="187">
      <c r="A187" s="3" t="inlineStr">
        <is>
          <t>qwen3.5</t>
        </is>
      </c>
      <c r="B187" s="3" t="inlineStr">
        <is>
          <t>h200</t>
        </is>
      </c>
      <c r="C187" s="3" t="inlineStr">
        <is>
          <t>long_chat</t>
        </is>
      </c>
      <c r="D187" s="3" t="inlineStr">
        <is>
          <t>qwen3.5</t>
        </is>
      </c>
      <c r="E187" s="3" t="n">
        <v>10</v>
      </c>
      <c r="F187" s="3" t="n">
        <v>8192</v>
      </c>
      <c r="G187" s="3" t="n">
        <v>1024</v>
      </c>
      <c r="H187" s="3" t="n">
        <v>49</v>
      </c>
      <c r="I187" s="3" t="n">
        <v>16</v>
      </c>
      <c r="J187" s="3" t="n">
        <v>0</v>
      </c>
      <c r="K187" s="19" t="n">
        <v>53892</v>
      </c>
      <c r="L187" s="20" t="n">
        <v>11.65</v>
      </c>
      <c r="M187" s="3" t="n">
        <v>8</v>
      </c>
      <c r="N187" s="3" t="inlineStr">
        <is>
          <t>sglang</t>
        </is>
      </c>
      <c r="O187" s="3" t="inlineStr">
        <is>
          <t>fp8</t>
        </is>
      </c>
      <c r="P187" s="3" t="inlineStr">
        <is>
          <t>selected_public_max</t>
        </is>
      </c>
      <c r="Q187" s="3" t="inlineStr">
        <is>
          <t>public max among eligible rows</t>
        </is>
      </c>
      <c r="R187" s="3" t="inlineStr">
        <is>
          <t>2026-05-13T00:00:00.000Z</t>
        </is>
      </c>
      <c r="S187" s="3" t="inlineStr">
        <is>
          <t>tok_s_user is computed as output_tok_s_gpu/concurrency when source tok_s_user is blank; agentic_derived uses long_chat rows multiplied by the Kimi K2.5 agentic/long ratio.</t>
        </is>
      </c>
    </row>
    <row r="188">
      <c r="A188" s="9" t="inlineStr">
        <is>
          <t>qwen3.5</t>
        </is>
      </c>
      <c r="B188" s="9" t="inlineStr">
        <is>
          <t>h200</t>
        </is>
      </c>
      <c r="C188" s="9" t="inlineStr">
        <is>
          <t>long_chat</t>
        </is>
      </c>
      <c r="D188" s="9" t="inlineStr">
        <is>
          <t>qwen3.5</t>
        </is>
      </c>
      <c r="E188" s="9" t="n">
        <v>30</v>
      </c>
      <c r="F188" s="9" t="n">
        <v>8192</v>
      </c>
      <c r="G188" s="9" t="n">
        <v>1024</v>
      </c>
      <c r="H188" s="9" t="n">
        <v>49</v>
      </c>
      <c r="I188" s="9" t="n">
        <v>0</v>
      </c>
      <c r="J188" s="9" t="n">
        <v>0</v>
      </c>
      <c r="K188" s="11" t="inlineStr"/>
      <c r="L188" s="21" t="inlineStr"/>
      <c r="M188" s="9" t="inlineStr"/>
      <c r="N188" s="9" t="inlineStr"/>
      <c r="O188" s="9" t="inlineStr"/>
      <c r="P188" s="9" t="inlineStr">
        <is>
          <t>missing</t>
        </is>
      </c>
      <c r="Q188" s="9" t="inlineStr">
        <is>
          <t>no row meets target_tok_s_user</t>
        </is>
      </c>
      <c r="R188" s="9" t="inlineStr"/>
      <c r="S188" s="9" t="inlineStr">
        <is>
          <t>tok_s_user is computed as output_tok_s_gpu/concurrency when source tok_s_user is blank; agentic_derived uses long_chat rows multiplied by the Kimi K2.5 agentic/long ratio.</t>
        </is>
      </c>
    </row>
    <row r="189">
      <c r="A189" s="9" t="inlineStr">
        <is>
          <t>qwen3.5</t>
        </is>
      </c>
      <c r="B189" s="9" t="inlineStr">
        <is>
          <t>h200</t>
        </is>
      </c>
      <c r="C189" s="9" t="inlineStr">
        <is>
          <t>long_chat</t>
        </is>
      </c>
      <c r="D189" s="9" t="inlineStr">
        <is>
          <t>qwen3.5</t>
        </is>
      </c>
      <c r="E189" s="9" t="n">
        <v>50</v>
      </c>
      <c r="F189" s="9" t="n">
        <v>8192</v>
      </c>
      <c r="G189" s="9" t="n">
        <v>1024</v>
      </c>
      <c r="H189" s="9" t="n">
        <v>49</v>
      </c>
      <c r="I189" s="9" t="n">
        <v>0</v>
      </c>
      <c r="J189" s="9" t="n">
        <v>0</v>
      </c>
      <c r="K189" s="11" t="inlineStr"/>
      <c r="L189" s="21" t="inlineStr"/>
      <c r="M189" s="9" t="inlineStr"/>
      <c r="N189" s="9" t="inlineStr"/>
      <c r="O189" s="9" t="inlineStr"/>
      <c r="P189" s="9" t="inlineStr">
        <is>
          <t>missing</t>
        </is>
      </c>
      <c r="Q189" s="9" t="inlineStr">
        <is>
          <t>no row meets target_tok_s_user</t>
        </is>
      </c>
      <c r="R189" s="9" t="inlineStr"/>
      <c r="S189" s="9" t="inlineStr">
        <is>
          <t>tok_s_user is computed as output_tok_s_gpu/concurrency when source tok_s_user is blank; agentic_derived uses long_chat rows multiplied by the Kimi K2.5 agentic/long ratio.</t>
        </is>
      </c>
    </row>
    <row r="190">
      <c r="A190" s="9" t="inlineStr">
        <is>
          <t>qwen3.5</t>
        </is>
      </c>
      <c r="B190" s="9" t="inlineStr">
        <is>
          <t>h200</t>
        </is>
      </c>
      <c r="C190" s="9" t="inlineStr">
        <is>
          <t>long_chat</t>
        </is>
      </c>
      <c r="D190" s="9" t="inlineStr">
        <is>
          <t>qwen3.5</t>
        </is>
      </c>
      <c r="E190" s="9" t="n">
        <v>70</v>
      </c>
      <c r="F190" s="9" t="n">
        <v>8192</v>
      </c>
      <c r="G190" s="9" t="n">
        <v>1024</v>
      </c>
      <c r="H190" s="9" t="n">
        <v>49</v>
      </c>
      <c r="I190" s="9" t="n">
        <v>0</v>
      </c>
      <c r="J190" s="9" t="n">
        <v>0</v>
      </c>
      <c r="K190" s="11" t="inlineStr"/>
      <c r="L190" s="21" t="inlineStr"/>
      <c r="M190" s="9" t="inlineStr"/>
      <c r="N190" s="9" t="inlineStr"/>
      <c r="O190" s="9" t="inlineStr"/>
      <c r="P190" s="9" t="inlineStr">
        <is>
          <t>missing</t>
        </is>
      </c>
      <c r="Q190" s="9" t="inlineStr">
        <is>
          <t>no row meets target_tok_s_user</t>
        </is>
      </c>
      <c r="R190" s="9" t="inlineStr"/>
      <c r="S190" s="9" t="inlineStr">
        <is>
          <t>tok_s_user is computed as output_tok_s_gpu/concurrency when source tok_s_user is blank; agentic_derived uses long_chat rows multiplied by the Kimi K2.5 agentic/long ratio.</t>
        </is>
      </c>
    </row>
    <row r="191">
      <c r="A191" s="9" t="inlineStr">
        <is>
          <t>qwen3.5</t>
        </is>
      </c>
      <c r="B191" s="9" t="inlineStr">
        <is>
          <t>h200</t>
        </is>
      </c>
      <c r="C191" s="9" t="inlineStr">
        <is>
          <t>long_chat</t>
        </is>
      </c>
      <c r="D191" s="9" t="inlineStr">
        <is>
          <t>qwen3.5</t>
        </is>
      </c>
      <c r="E191" s="9" t="n">
        <v>100</v>
      </c>
      <c r="F191" s="9" t="n">
        <v>8192</v>
      </c>
      <c r="G191" s="9" t="n">
        <v>1024</v>
      </c>
      <c r="H191" s="9" t="n">
        <v>49</v>
      </c>
      <c r="I191" s="9" t="n">
        <v>0</v>
      </c>
      <c r="J191" s="9" t="n">
        <v>0</v>
      </c>
      <c r="K191" s="11" t="inlineStr"/>
      <c r="L191" s="21" t="inlineStr"/>
      <c r="M191" s="9" t="inlineStr"/>
      <c r="N191" s="9" t="inlineStr"/>
      <c r="O191" s="9" t="inlineStr"/>
      <c r="P191" s="9" t="inlineStr">
        <is>
          <t>missing</t>
        </is>
      </c>
      <c r="Q191" s="9" t="inlineStr">
        <is>
          <t>no row meets target_tok_s_user</t>
        </is>
      </c>
      <c r="R191" s="9" t="inlineStr"/>
      <c r="S191" s="9" t="inlineStr">
        <is>
          <t>tok_s_user is computed as output_tok_s_gpu/concurrency when source tok_s_user is blank; agentic_derived uses long_chat rows multiplied by the Kimi K2.5 agentic/long ratio.</t>
        </is>
      </c>
    </row>
    <row r="192">
      <c r="A192" s="9" t="inlineStr">
        <is>
          <t>qwen3.5</t>
        </is>
      </c>
      <c r="B192" s="9" t="inlineStr">
        <is>
          <t>h200</t>
        </is>
      </c>
      <c r="C192" s="9" t="inlineStr">
        <is>
          <t>agentic_derived</t>
        </is>
      </c>
      <c r="D192" s="9" t="inlineStr">
        <is>
          <t>qwen3.5</t>
        </is>
      </c>
      <c r="E192" s="9" t="n">
        <v>10</v>
      </c>
      <c r="F192" s="9" t="n">
        <v>100947</v>
      </c>
      <c r="G192" s="9" t="n">
        <v>860</v>
      </c>
      <c r="H192" s="9" t="n">
        <v>49</v>
      </c>
      <c r="I192" s="9" t="n">
        <v>0</v>
      </c>
      <c r="J192" s="9" t="n">
        <v>0</v>
      </c>
      <c r="K192" s="11" t="inlineStr"/>
      <c r="L192" s="21" t="inlineStr"/>
      <c r="M192" s="9" t="inlineStr"/>
      <c r="N192" s="9" t="inlineStr"/>
      <c r="O192" s="9" t="inlineStr"/>
      <c r="P192" s="9" t="inlineStr">
        <is>
          <t>missing</t>
        </is>
      </c>
      <c r="Q192" s="9" t="inlineStr">
        <is>
          <t>no row meets target_tok_s_user</t>
        </is>
      </c>
      <c r="R192" s="9" t="inlineStr"/>
      <c r="S192" s="9" t="inlineStr">
        <is>
          <t>tok_s_user is computed as output_tok_s_gpu/concurrency when source tok_s_user is blank; agentic_derived uses long_chat rows multiplied by the Kimi K2.5 agentic/long ratio.</t>
        </is>
      </c>
    </row>
    <row r="193">
      <c r="A193" s="9" t="inlineStr">
        <is>
          <t>qwen3.5</t>
        </is>
      </c>
      <c r="B193" s="9" t="inlineStr">
        <is>
          <t>h200</t>
        </is>
      </c>
      <c r="C193" s="9" t="inlineStr">
        <is>
          <t>agentic_derived</t>
        </is>
      </c>
      <c r="D193" s="9" t="inlineStr">
        <is>
          <t>qwen3.5</t>
        </is>
      </c>
      <c r="E193" s="9" t="n">
        <v>30</v>
      </c>
      <c r="F193" s="9" t="n">
        <v>100947</v>
      </c>
      <c r="G193" s="9" t="n">
        <v>860</v>
      </c>
      <c r="H193" s="9" t="n">
        <v>49</v>
      </c>
      <c r="I193" s="9" t="n">
        <v>0</v>
      </c>
      <c r="J193" s="9" t="n">
        <v>0</v>
      </c>
      <c r="K193" s="11" t="inlineStr"/>
      <c r="L193" s="21" t="inlineStr"/>
      <c r="M193" s="9" t="inlineStr"/>
      <c r="N193" s="9" t="inlineStr"/>
      <c r="O193" s="9" t="inlineStr"/>
      <c r="P193" s="9" t="inlineStr">
        <is>
          <t>missing</t>
        </is>
      </c>
      <c r="Q193" s="9" t="inlineStr">
        <is>
          <t>no row meets target_tok_s_user</t>
        </is>
      </c>
      <c r="R193" s="9" t="inlineStr"/>
      <c r="S193" s="9" t="inlineStr">
        <is>
          <t>tok_s_user is computed as output_tok_s_gpu/concurrency when source tok_s_user is blank; agentic_derived uses long_chat rows multiplied by the Kimi K2.5 agentic/long ratio.</t>
        </is>
      </c>
    </row>
    <row r="194">
      <c r="A194" s="9" t="inlineStr">
        <is>
          <t>qwen3.5</t>
        </is>
      </c>
      <c r="B194" s="9" t="inlineStr">
        <is>
          <t>h200</t>
        </is>
      </c>
      <c r="C194" s="9" t="inlineStr">
        <is>
          <t>agentic_derived</t>
        </is>
      </c>
      <c r="D194" s="9" t="inlineStr">
        <is>
          <t>qwen3.5</t>
        </is>
      </c>
      <c r="E194" s="9" t="n">
        <v>50</v>
      </c>
      <c r="F194" s="9" t="n">
        <v>100947</v>
      </c>
      <c r="G194" s="9" t="n">
        <v>860</v>
      </c>
      <c r="H194" s="9" t="n">
        <v>49</v>
      </c>
      <c r="I194" s="9" t="n">
        <v>0</v>
      </c>
      <c r="J194" s="9" t="n">
        <v>0</v>
      </c>
      <c r="K194" s="11" t="inlineStr"/>
      <c r="L194" s="21" t="inlineStr"/>
      <c r="M194" s="9" t="inlineStr"/>
      <c r="N194" s="9" t="inlineStr"/>
      <c r="O194" s="9" t="inlineStr"/>
      <c r="P194" s="9" t="inlineStr">
        <is>
          <t>missing</t>
        </is>
      </c>
      <c r="Q194" s="9" t="inlineStr">
        <is>
          <t>no row meets target_tok_s_user</t>
        </is>
      </c>
      <c r="R194" s="9" t="inlineStr"/>
      <c r="S194" s="9" t="inlineStr">
        <is>
          <t>tok_s_user is computed as output_tok_s_gpu/concurrency when source tok_s_user is blank; agentic_derived uses long_chat rows multiplied by the Kimi K2.5 agentic/long ratio.</t>
        </is>
      </c>
    </row>
    <row r="195">
      <c r="A195" s="9" t="inlineStr">
        <is>
          <t>qwen3.5</t>
        </is>
      </c>
      <c r="B195" s="9" t="inlineStr">
        <is>
          <t>h200</t>
        </is>
      </c>
      <c r="C195" s="9" t="inlineStr">
        <is>
          <t>agentic_derived</t>
        </is>
      </c>
      <c r="D195" s="9" t="inlineStr">
        <is>
          <t>qwen3.5</t>
        </is>
      </c>
      <c r="E195" s="9" t="n">
        <v>70</v>
      </c>
      <c r="F195" s="9" t="n">
        <v>100947</v>
      </c>
      <c r="G195" s="9" t="n">
        <v>860</v>
      </c>
      <c r="H195" s="9" t="n">
        <v>49</v>
      </c>
      <c r="I195" s="9" t="n">
        <v>0</v>
      </c>
      <c r="J195" s="9" t="n">
        <v>0</v>
      </c>
      <c r="K195" s="11" t="inlineStr"/>
      <c r="L195" s="21" t="inlineStr"/>
      <c r="M195" s="9" t="inlineStr"/>
      <c r="N195" s="9" t="inlineStr"/>
      <c r="O195" s="9" t="inlineStr"/>
      <c r="P195" s="9" t="inlineStr">
        <is>
          <t>missing</t>
        </is>
      </c>
      <c r="Q195" s="9" t="inlineStr">
        <is>
          <t>no row meets target_tok_s_user</t>
        </is>
      </c>
      <c r="R195" s="9" t="inlineStr"/>
      <c r="S195" s="9" t="inlineStr">
        <is>
          <t>tok_s_user is computed as output_tok_s_gpu/concurrency when source tok_s_user is blank; agentic_derived uses long_chat rows multiplied by the Kimi K2.5 agentic/long ratio.</t>
        </is>
      </c>
    </row>
    <row r="196">
      <c r="A196" s="9" t="inlineStr">
        <is>
          <t>qwen3.5</t>
        </is>
      </c>
      <c r="B196" s="9" t="inlineStr">
        <is>
          <t>h200</t>
        </is>
      </c>
      <c r="C196" s="9" t="inlineStr">
        <is>
          <t>agentic_derived</t>
        </is>
      </c>
      <c r="D196" s="9" t="inlineStr">
        <is>
          <t>qwen3.5</t>
        </is>
      </c>
      <c r="E196" s="9" t="n">
        <v>100</v>
      </c>
      <c r="F196" s="9" t="n">
        <v>100947</v>
      </c>
      <c r="G196" s="9" t="n">
        <v>860</v>
      </c>
      <c r="H196" s="9" t="n">
        <v>49</v>
      </c>
      <c r="I196" s="9" t="n">
        <v>0</v>
      </c>
      <c r="J196" s="9" t="n">
        <v>0</v>
      </c>
      <c r="K196" s="11" t="inlineStr"/>
      <c r="L196" s="21" t="inlineStr"/>
      <c r="M196" s="9" t="inlineStr"/>
      <c r="N196" s="9" t="inlineStr"/>
      <c r="O196" s="9" t="inlineStr"/>
      <c r="P196" s="9" t="inlineStr">
        <is>
          <t>missing</t>
        </is>
      </c>
      <c r="Q196" s="9" t="inlineStr">
        <is>
          <t>no row meets target_tok_s_user</t>
        </is>
      </c>
      <c r="R196" s="9" t="inlineStr"/>
      <c r="S196" s="9" t="inlineStr">
        <is>
          <t>tok_s_user is computed as output_tok_s_gpu/concurrency when source tok_s_user is blank; agentic_derived uses long_chat rows multiplied by the Kimi K2.5 agentic/long ratio.</t>
        </is>
      </c>
    </row>
    <row r="197">
      <c r="A197" s="3" t="inlineStr">
        <is>
          <t>qwen3.5</t>
        </is>
      </c>
      <c r="B197" s="3" t="inlineStr">
        <is>
          <t>b200</t>
        </is>
      </c>
      <c r="C197" s="3" t="inlineStr">
        <is>
          <t>short_chat</t>
        </is>
      </c>
      <c r="D197" s="3" t="inlineStr">
        <is>
          <t>qwen3.5</t>
        </is>
      </c>
      <c r="E197" s="3" t="n">
        <v>10</v>
      </c>
      <c r="F197" s="3" t="n">
        <v>1024</v>
      </c>
      <c r="G197" s="3" t="n">
        <v>1024</v>
      </c>
      <c r="H197" s="3" t="n">
        <v>60</v>
      </c>
      <c r="I197" s="3" t="n">
        <v>45</v>
      </c>
      <c r="J197" s="3" t="n">
        <v>0</v>
      </c>
      <c r="K197" s="19" t="n">
        <v>806272</v>
      </c>
      <c r="L197" s="20" t="n">
        <v>13.67</v>
      </c>
      <c r="M197" s="3" t="n">
        <v>128</v>
      </c>
      <c r="N197" s="3" t="inlineStr">
        <is>
          <t>sglang</t>
        </is>
      </c>
      <c r="O197" s="3" t="inlineStr">
        <is>
          <t>fp8</t>
        </is>
      </c>
      <c r="P197" s="3" t="inlineStr">
        <is>
          <t>selected_public_max</t>
        </is>
      </c>
      <c r="Q197" s="3" t="inlineStr">
        <is>
          <t>public max among eligible rows</t>
        </is>
      </c>
      <c r="R197" s="3" t="inlineStr">
        <is>
          <t>2026-05-18T00:00:00.000Z</t>
        </is>
      </c>
      <c r="S197" s="3" t="inlineStr">
        <is>
          <t>tok_s_user is computed as output_tok_s_gpu/concurrency when source tok_s_user is blank; agentic_derived uses long_chat rows multiplied by the Kimi K2.5 agentic/long ratio.</t>
        </is>
      </c>
    </row>
    <row r="198">
      <c r="A198" s="3" t="inlineStr">
        <is>
          <t>qwen3.5</t>
        </is>
      </c>
      <c r="B198" s="3" t="inlineStr">
        <is>
          <t>b200</t>
        </is>
      </c>
      <c r="C198" s="3" t="inlineStr">
        <is>
          <t>short_chat</t>
        </is>
      </c>
      <c r="D198" s="3" t="inlineStr">
        <is>
          <t>qwen3.5</t>
        </is>
      </c>
      <c r="E198" s="3" t="n">
        <v>30</v>
      </c>
      <c r="F198" s="3" t="n">
        <v>1024</v>
      </c>
      <c r="G198" s="3" t="n">
        <v>1024</v>
      </c>
      <c r="H198" s="3" t="n">
        <v>60</v>
      </c>
      <c r="I198" s="3" t="n">
        <v>7</v>
      </c>
      <c r="J198" s="3" t="n">
        <v>0</v>
      </c>
      <c r="K198" s="19" t="n">
        <v>229498</v>
      </c>
      <c r="L198" s="20" t="n">
        <v>31.13</v>
      </c>
      <c r="M198" s="3" t="n">
        <v>16</v>
      </c>
      <c r="N198" s="3" t="inlineStr">
        <is>
          <t>sglang</t>
        </is>
      </c>
      <c r="O198" s="3" t="inlineStr">
        <is>
          <t>fp8</t>
        </is>
      </c>
      <c r="P198" s="3" t="inlineStr">
        <is>
          <t>selected_public_max</t>
        </is>
      </c>
      <c r="Q198" s="3" t="inlineStr">
        <is>
          <t>public max among eligible rows</t>
        </is>
      </c>
      <c r="R198" s="3" t="inlineStr">
        <is>
          <t>2026-05-18T00:00:00.000Z</t>
        </is>
      </c>
      <c r="S198" s="3" t="inlineStr">
        <is>
          <t>tok_s_user is computed as output_tok_s_gpu/concurrency when source tok_s_user is blank; agentic_derived uses long_chat rows multiplied by the Kimi K2.5 agentic/long ratio.</t>
        </is>
      </c>
    </row>
    <row r="199">
      <c r="A199" s="9" t="inlineStr">
        <is>
          <t>qwen3.5</t>
        </is>
      </c>
      <c r="B199" s="9" t="inlineStr">
        <is>
          <t>b200</t>
        </is>
      </c>
      <c r="C199" s="9" t="inlineStr">
        <is>
          <t>short_chat</t>
        </is>
      </c>
      <c r="D199" s="9" t="inlineStr">
        <is>
          <t>qwen3.5</t>
        </is>
      </c>
      <c r="E199" s="9" t="n">
        <v>50</v>
      </c>
      <c r="F199" s="9" t="n">
        <v>1024</v>
      </c>
      <c r="G199" s="9" t="n">
        <v>1024</v>
      </c>
      <c r="H199" s="9" t="n">
        <v>60</v>
      </c>
      <c r="I199" s="9" t="n">
        <v>0</v>
      </c>
      <c r="J199" s="9" t="n">
        <v>0</v>
      </c>
      <c r="K199" s="11" t="inlineStr"/>
      <c r="L199" s="21" t="inlineStr"/>
      <c r="M199" s="9" t="inlineStr"/>
      <c r="N199" s="9" t="inlineStr"/>
      <c r="O199" s="9" t="inlineStr"/>
      <c r="P199" s="9" t="inlineStr">
        <is>
          <t>missing</t>
        </is>
      </c>
      <c r="Q199" s="9" t="inlineStr">
        <is>
          <t>no row meets target_tok_s_user</t>
        </is>
      </c>
      <c r="R199" s="9" t="inlineStr"/>
      <c r="S199" s="9" t="inlineStr">
        <is>
          <t>tok_s_user is computed as output_tok_s_gpu/concurrency when source tok_s_user is blank; agentic_derived uses long_chat rows multiplied by the Kimi K2.5 agentic/long ratio.</t>
        </is>
      </c>
    </row>
    <row r="200">
      <c r="A200" s="9" t="inlineStr">
        <is>
          <t>qwen3.5</t>
        </is>
      </c>
      <c r="B200" s="9" t="inlineStr">
        <is>
          <t>b200</t>
        </is>
      </c>
      <c r="C200" s="9" t="inlineStr">
        <is>
          <t>short_chat</t>
        </is>
      </c>
      <c r="D200" s="9" t="inlineStr">
        <is>
          <t>qwen3.5</t>
        </is>
      </c>
      <c r="E200" s="9" t="n">
        <v>70</v>
      </c>
      <c r="F200" s="9" t="n">
        <v>1024</v>
      </c>
      <c r="G200" s="9" t="n">
        <v>1024</v>
      </c>
      <c r="H200" s="9" t="n">
        <v>60</v>
      </c>
      <c r="I200" s="9" t="n">
        <v>0</v>
      </c>
      <c r="J200" s="9" t="n">
        <v>0</v>
      </c>
      <c r="K200" s="11" t="inlineStr"/>
      <c r="L200" s="21" t="inlineStr"/>
      <c r="M200" s="9" t="inlineStr"/>
      <c r="N200" s="9" t="inlineStr"/>
      <c r="O200" s="9" t="inlineStr"/>
      <c r="P200" s="9" t="inlineStr">
        <is>
          <t>missing</t>
        </is>
      </c>
      <c r="Q200" s="9" t="inlineStr">
        <is>
          <t>no row meets target_tok_s_user</t>
        </is>
      </c>
      <c r="R200" s="9" t="inlineStr"/>
      <c r="S200" s="9" t="inlineStr">
        <is>
          <t>tok_s_user is computed as output_tok_s_gpu/concurrency when source tok_s_user is blank; agentic_derived uses long_chat rows multiplied by the Kimi K2.5 agentic/long ratio.</t>
        </is>
      </c>
    </row>
    <row r="201">
      <c r="A201" s="9" t="inlineStr">
        <is>
          <t>qwen3.5</t>
        </is>
      </c>
      <c r="B201" s="9" t="inlineStr">
        <is>
          <t>b200</t>
        </is>
      </c>
      <c r="C201" s="9" t="inlineStr">
        <is>
          <t>short_chat</t>
        </is>
      </c>
      <c r="D201" s="9" t="inlineStr">
        <is>
          <t>qwen3.5</t>
        </is>
      </c>
      <c r="E201" s="9" t="n">
        <v>100</v>
      </c>
      <c r="F201" s="9" t="n">
        <v>1024</v>
      </c>
      <c r="G201" s="9" t="n">
        <v>1024</v>
      </c>
      <c r="H201" s="9" t="n">
        <v>60</v>
      </c>
      <c r="I201" s="9" t="n">
        <v>0</v>
      </c>
      <c r="J201" s="9" t="n">
        <v>0</v>
      </c>
      <c r="K201" s="11" t="inlineStr"/>
      <c r="L201" s="21" t="inlineStr"/>
      <c r="M201" s="9" t="inlineStr"/>
      <c r="N201" s="9" t="inlineStr"/>
      <c r="O201" s="9" t="inlineStr"/>
      <c r="P201" s="9" t="inlineStr">
        <is>
          <t>missing</t>
        </is>
      </c>
      <c r="Q201" s="9" t="inlineStr">
        <is>
          <t>no row meets target_tok_s_user</t>
        </is>
      </c>
      <c r="R201" s="9" t="inlineStr"/>
      <c r="S201" s="9" t="inlineStr">
        <is>
          <t>tok_s_user is computed as output_tok_s_gpu/concurrency when source tok_s_user is blank; agentic_derived uses long_chat rows multiplied by the Kimi K2.5 agentic/long ratio.</t>
        </is>
      </c>
    </row>
    <row r="202">
      <c r="A202" s="3" t="inlineStr">
        <is>
          <t>qwen3.5</t>
        </is>
      </c>
      <c r="B202" s="3" t="inlineStr">
        <is>
          <t>b200</t>
        </is>
      </c>
      <c r="C202" s="3" t="inlineStr">
        <is>
          <t>long_chat</t>
        </is>
      </c>
      <c r="D202" s="3" t="inlineStr">
        <is>
          <t>qwen3.5</t>
        </is>
      </c>
      <c r="E202" s="3" t="n">
        <v>10</v>
      </c>
      <c r="F202" s="3" t="n">
        <v>8192</v>
      </c>
      <c r="G202" s="3" t="n">
        <v>1024</v>
      </c>
      <c r="H202" s="3" t="n">
        <v>58</v>
      </c>
      <c r="I202" s="3" t="n">
        <v>38</v>
      </c>
      <c r="J202" s="3" t="n">
        <v>0</v>
      </c>
      <c r="K202" s="19" t="n">
        <v>345338</v>
      </c>
      <c r="L202" s="20" t="n">
        <v>11.71</v>
      </c>
      <c r="M202" s="3" t="n">
        <v>64</v>
      </c>
      <c r="N202" s="3" t="inlineStr">
        <is>
          <t>sglang</t>
        </is>
      </c>
      <c r="O202" s="3" t="inlineStr">
        <is>
          <t>fp8</t>
        </is>
      </c>
      <c r="P202" s="3" t="inlineStr">
        <is>
          <t>selected_public_max</t>
        </is>
      </c>
      <c r="Q202" s="3" t="inlineStr">
        <is>
          <t>public max among eligible rows</t>
        </is>
      </c>
      <c r="R202" s="3" t="inlineStr">
        <is>
          <t>2026-05-18T00:00:00.000Z</t>
        </is>
      </c>
      <c r="S202" s="3" t="inlineStr">
        <is>
          <t>tok_s_user is computed as output_tok_s_gpu/concurrency when source tok_s_user is blank; agentic_derived uses long_chat rows multiplied by the Kimi K2.5 agentic/long ratio.</t>
        </is>
      </c>
    </row>
    <row r="203">
      <c r="A203" s="3" t="inlineStr">
        <is>
          <t>qwen3.5</t>
        </is>
      </c>
      <c r="B203" s="3" t="inlineStr">
        <is>
          <t>b200</t>
        </is>
      </c>
      <c r="C203" s="3" t="inlineStr">
        <is>
          <t>long_chat</t>
        </is>
      </c>
      <c r="D203" s="3" t="inlineStr">
        <is>
          <t>qwen3.5</t>
        </is>
      </c>
      <c r="E203" s="3" t="n">
        <v>30</v>
      </c>
      <c r="F203" s="3" t="n">
        <v>8192</v>
      </c>
      <c r="G203" s="3" t="n">
        <v>1024</v>
      </c>
      <c r="H203" s="3" t="n">
        <v>58</v>
      </c>
      <c r="I203" s="3" t="n">
        <v>7</v>
      </c>
      <c r="J203" s="3" t="n">
        <v>0</v>
      </c>
      <c r="K203" s="19" t="n">
        <v>132868</v>
      </c>
      <c r="L203" s="20" t="n">
        <v>36.04</v>
      </c>
      <c r="M203" s="3" t="n">
        <v>8</v>
      </c>
      <c r="N203" s="3" t="inlineStr">
        <is>
          <t>sglang</t>
        </is>
      </c>
      <c r="O203" s="3" t="inlineStr">
        <is>
          <t>fp8</t>
        </is>
      </c>
      <c r="P203" s="3" t="inlineStr">
        <is>
          <t>selected_public_max</t>
        </is>
      </c>
      <c r="Q203" s="3" t="inlineStr">
        <is>
          <t>public max among eligible rows</t>
        </is>
      </c>
      <c r="R203" s="3" t="inlineStr">
        <is>
          <t>2026-05-18T00:00:00.000Z</t>
        </is>
      </c>
      <c r="S203" s="3" t="inlineStr">
        <is>
          <t>tok_s_user is computed as output_tok_s_gpu/concurrency when source tok_s_user is blank; agentic_derived uses long_chat rows multiplied by the Kimi K2.5 agentic/long ratio.</t>
        </is>
      </c>
    </row>
    <row r="204">
      <c r="A204" s="9" t="inlineStr">
        <is>
          <t>qwen3.5</t>
        </is>
      </c>
      <c r="B204" s="9" t="inlineStr">
        <is>
          <t>b200</t>
        </is>
      </c>
      <c r="C204" s="9" t="inlineStr">
        <is>
          <t>long_chat</t>
        </is>
      </c>
      <c r="D204" s="9" t="inlineStr">
        <is>
          <t>qwen3.5</t>
        </is>
      </c>
      <c r="E204" s="9" t="n">
        <v>50</v>
      </c>
      <c r="F204" s="9" t="n">
        <v>8192</v>
      </c>
      <c r="G204" s="9" t="n">
        <v>1024</v>
      </c>
      <c r="H204" s="9" t="n">
        <v>58</v>
      </c>
      <c r="I204" s="9" t="n">
        <v>0</v>
      </c>
      <c r="J204" s="9" t="n">
        <v>0</v>
      </c>
      <c r="K204" s="11" t="inlineStr"/>
      <c r="L204" s="21" t="inlineStr"/>
      <c r="M204" s="9" t="inlineStr"/>
      <c r="N204" s="9" t="inlineStr"/>
      <c r="O204" s="9" t="inlineStr"/>
      <c r="P204" s="9" t="inlineStr">
        <is>
          <t>missing</t>
        </is>
      </c>
      <c r="Q204" s="9" t="inlineStr">
        <is>
          <t>no row meets target_tok_s_user</t>
        </is>
      </c>
      <c r="R204" s="9" t="inlineStr"/>
      <c r="S204" s="9" t="inlineStr">
        <is>
          <t>tok_s_user is computed as output_tok_s_gpu/concurrency when source tok_s_user is blank; agentic_derived uses long_chat rows multiplied by the Kimi K2.5 agentic/long ratio.</t>
        </is>
      </c>
    </row>
    <row r="205">
      <c r="A205" s="9" t="inlineStr">
        <is>
          <t>qwen3.5</t>
        </is>
      </c>
      <c r="B205" s="9" t="inlineStr">
        <is>
          <t>b200</t>
        </is>
      </c>
      <c r="C205" s="9" t="inlineStr">
        <is>
          <t>long_chat</t>
        </is>
      </c>
      <c r="D205" s="9" t="inlineStr">
        <is>
          <t>qwen3.5</t>
        </is>
      </c>
      <c r="E205" s="9" t="n">
        <v>70</v>
      </c>
      <c r="F205" s="9" t="n">
        <v>8192</v>
      </c>
      <c r="G205" s="9" t="n">
        <v>1024</v>
      </c>
      <c r="H205" s="9" t="n">
        <v>58</v>
      </c>
      <c r="I205" s="9" t="n">
        <v>0</v>
      </c>
      <c r="J205" s="9" t="n">
        <v>0</v>
      </c>
      <c r="K205" s="11" t="inlineStr"/>
      <c r="L205" s="21" t="inlineStr"/>
      <c r="M205" s="9" t="inlineStr"/>
      <c r="N205" s="9" t="inlineStr"/>
      <c r="O205" s="9" t="inlineStr"/>
      <c r="P205" s="9" t="inlineStr">
        <is>
          <t>missing</t>
        </is>
      </c>
      <c r="Q205" s="9" t="inlineStr">
        <is>
          <t>no row meets target_tok_s_user</t>
        </is>
      </c>
      <c r="R205" s="9" t="inlineStr"/>
      <c r="S205" s="9" t="inlineStr">
        <is>
          <t>tok_s_user is computed as output_tok_s_gpu/concurrency when source tok_s_user is blank; agentic_derived uses long_chat rows multiplied by the Kimi K2.5 agentic/long ratio.</t>
        </is>
      </c>
    </row>
    <row r="206">
      <c r="A206" s="9" t="inlineStr">
        <is>
          <t>qwen3.5</t>
        </is>
      </c>
      <c r="B206" s="9" t="inlineStr">
        <is>
          <t>b200</t>
        </is>
      </c>
      <c r="C206" s="9" t="inlineStr">
        <is>
          <t>long_chat</t>
        </is>
      </c>
      <c r="D206" s="9" t="inlineStr">
        <is>
          <t>qwen3.5</t>
        </is>
      </c>
      <c r="E206" s="9" t="n">
        <v>100</v>
      </c>
      <c r="F206" s="9" t="n">
        <v>8192</v>
      </c>
      <c r="G206" s="9" t="n">
        <v>1024</v>
      </c>
      <c r="H206" s="9" t="n">
        <v>58</v>
      </c>
      <c r="I206" s="9" t="n">
        <v>0</v>
      </c>
      <c r="J206" s="9" t="n">
        <v>0</v>
      </c>
      <c r="K206" s="11" t="inlineStr"/>
      <c r="L206" s="21" t="inlineStr"/>
      <c r="M206" s="9" t="inlineStr"/>
      <c r="N206" s="9" t="inlineStr"/>
      <c r="O206" s="9" t="inlineStr"/>
      <c r="P206" s="9" t="inlineStr">
        <is>
          <t>missing</t>
        </is>
      </c>
      <c r="Q206" s="9" t="inlineStr">
        <is>
          <t>no row meets target_tok_s_user</t>
        </is>
      </c>
      <c r="R206" s="9" t="inlineStr"/>
      <c r="S206" s="9" t="inlineStr">
        <is>
          <t>tok_s_user is computed as output_tok_s_gpu/concurrency when source tok_s_user is blank; agentic_derived uses long_chat rows multiplied by the Kimi K2.5 agentic/long ratio.</t>
        </is>
      </c>
    </row>
    <row r="207">
      <c r="A207" s="9" t="inlineStr">
        <is>
          <t>qwen3.5</t>
        </is>
      </c>
      <c r="B207" s="9" t="inlineStr">
        <is>
          <t>b200</t>
        </is>
      </c>
      <c r="C207" s="9" t="inlineStr">
        <is>
          <t>agentic_derived</t>
        </is>
      </c>
      <c r="D207" s="9" t="inlineStr">
        <is>
          <t>qwen3.5</t>
        </is>
      </c>
      <c r="E207" s="9" t="n">
        <v>10</v>
      </c>
      <c r="F207" s="9" t="n">
        <v>100947</v>
      </c>
      <c r="G207" s="9" t="n">
        <v>860</v>
      </c>
      <c r="H207" s="9" t="n">
        <v>58</v>
      </c>
      <c r="I207" s="9" t="n">
        <v>0</v>
      </c>
      <c r="J207" s="9" t="n">
        <v>0</v>
      </c>
      <c r="K207" s="11" t="inlineStr"/>
      <c r="L207" s="21" t="inlineStr"/>
      <c r="M207" s="9" t="inlineStr"/>
      <c r="N207" s="9" t="inlineStr"/>
      <c r="O207" s="9" t="inlineStr"/>
      <c r="P207" s="9" t="inlineStr">
        <is>
          <t>missing</t>
        </is>
      </c>
      <c r="Q207" s="9" t="inlineStr">
        <is>
          <t>no row meets target_tok_s_user</t>
        </is>
      </c>
      <c r="R207" s="9" t="inlineStr"/>
      <c r="S207" s="9" t="inlineStr">
        <is>
          <t>tok_s_user is computed as output_tok_s_gpu/concurrency when source tok_s_user is blank; agentic_derived uses long_chat rows multiplied by the Kimi K2.5 agentic/long ratio.</t>
        </is>
      </c>
    </row>
    <row r="208">
      <c r="A208" s="9" t="inlineStr">
        <is>
          <t>qwen3.5</t>
        </is>
      </c>
      <c r="B208" s="9" t="inlineStr">
        <is>
          <t>b200</t>
        </is>
      </c>
      <c r="C208" s="9" t="inlineStr">
        <is>
          <t>agentic_derived</t>
        </is>
      </c>
      <c r="D208" s="9" t="inlineStr">
        <is>
          <t>qwen3.5</t>
        </is>
      </c>
      <c r="E208" s="9" t="n">
        <v>30</v>
      </c>
      <c r="F208" s="9" t="n">
        <v>100947</v>
      </c>
      <c r="G208" s="9" t="n">
        <v>860</v>
      </c>
      <c r="H208" s="9" t="n">
        <v>58</v>
      </c>
      <c r="I208" s="9" t="n">
        <v>0</v>
      </c>
      <c r="J208" s="9" t="n">
        <v>0</v>
      </c>
      <c r="K208" s="11" t="inlineStr"/>
      <c r="L208" s="21" t="inlineStr"/>
      <c r="M208" s="9" t="inlineStr"/>
      <c r="N208" s="9" t="inlineStr"/>
      <c r="O208" s="9" t="inlineStr"/>
      <c r="P208" s="9" t="inlineStr">
        <is>
          <t>missing</t>
        </is>
      </c>
      <c r="Q208" s="9" t="inlineStr">
        <is>
          <t>no row meets target_tok_s_user</t>
        </is>
      </c>
      <c r="R208" s="9" t="inlineStr"/>
      <c r="S208" s="9" t="inlineStr">
        <is>
          <t>tok_s_user is computed as output_tok_s_gpu/concurrency when source tok_s_user is blank; agentic_derived uses long_chat rows multiplied by the Kimi K2.5 agentic/long ratio.</t>
        </is>
      </c>
    </row>
    <row r="209">
      <c r="A209" s="9" t="inlineStr">
        <is>
          <t>qwen3.5</t>
        </is>
      </c>
      <c r="B209" s="9" t="inlineStr">
        <is>
          <t>b200</t>
        </is>
      </c>
      <c r="C209" s="9" t="inlineStr">
        <is>
          <t>agentic_derived</t>
        </is>
      </c>
      <c r="D209" s="9" t="inlineStr">
        <is>
          <t>qwen3.5</t>
        </is>
      </c>
      <c r="E209" s="9" t="n">
        <v>50</v>
      </c>
      <c r="F209" s="9" t="n">
        <v>100947</v>
      </c>
      <c r="G209" s="9" t="n">
        <v>860</v>
      </c>
      <c r="H209" s="9" t="n">
        <v>58</v>
      </c>
      <c r="I209" s="9" t="n">
        <v>0</v>
      </c>
      <c r="J209" s="9" t="n">
        <v>0</v>
      </c>
      <c r="K209" s="11" t="inlineStr"/>
      <c r="L209" s="21" t="inlineStr"/>
      <c r="M209" s="9" t="inlineStr"/>
      <c r="N209" s="9" t="inlineStr"/>
      <c r="O209" s="9" t="inlineStr"/>
      <c r="P209" s="9" t="inlineStr">
        <is>
          <t>missing</t>
        </is>
      </c>
      <c r="Q209" s="9" t="inlineStr">
        <is>
          <t>no row meets target_tok_s_user</t>
        </is>
      </c>
      <c r="R209" s="9" t="inlineStr"/>
      <c r="S209" s="9" t="inlineStr">
        <is>
          <t>tok_s_user is computed as output_tok_s_gpu/concurrency when source tok_s_user is blank; agentic_derived uses long_chat rows multiplied by the Kimi K2.5 agentic/long ratio.</t>
        </is>
      </c>
    </row>
    <row r="210">
      <c r="A210" s="9" t="inlineStr">
        <is>
          <t>qwen3.5</t>
        </is>
      </c>
      <c r="B210" s="9" t="inlineStr">
        <is>
          <t>b200</t>
        </is>
      </c>
      <c r="C210" s="9" t="inlineStr">
        <is>
          <t>agentic_derived</t>
        </is>
      </c>
      <c r="D210" s="9" t="inlineStr">
        <is>
          <t>qwen3.5</t>
        </is>
      </c>
      <c r="E210" s="9" t="n">
        <v>70</v>
      </c>
      <c r="F210" s="9" t="n">
        <v>100947</v>
      </c>
      <c r="G210" s="9" t="n">
        <v>860</v>
      </c>
      <c r="H210" s="9" t="n">
        <v>58</v>
      </c>
      <c r="I210" s="9" t="n">
        <v>0</v>
      </c>
      <c r="J210" s="9" t="n">
        <v>0</v>
      </c>
      <c r="K210" s="11" t="inlineStr"/>
      <c r="L210" s="21" t="inlineStr"/>
      <c r="M210" s="9" t="inlineStr"/>
      <c r="N210" s="9" t="inlineStr"/>
      <c r="O210" s="9" t="inlineStr"/>
      <c r="P210" s="9" t="inlineStr">
        <is>
          <t>missing</t>
        </is>
      </c>
      <c r="Q210" s="9" t="inlineStr">
        <is>
          <t>no row meets target_tok_s_user</t>
        </is>
      </c>
      <c r="R210" s="9" t="inlineStr"/>
      <c r="S210" s="9" t="inlineStr">
        <is>
          <t>tok_s_user is computed as output_tok_s_gpu/concurrency when source tok_s_user is blank; agentic_derived uses long_chat rows multiplied by the Kimi K2.5 agentic/long ratio.</t>
        </is>
      </c>
    </row>
    <row r="211">
      <c r="A211" s="9" t="inlineStr">
        <is>
          <t>qwen3.5</t>
        </is>
      </c>
      <c r="B211" s="9" t="inlineStr">
        <is>
          <t>b200</t>
        </is>
      </c>
      <c r="C211" s="9" t="inlineStr">
        <is>
          <t>agentic_derived</t>
        </is>
      </c>
      <c r="D211" s="9" t="inlineStr">
        <is>
          <t>qwen3.5</t>
        </is>
      </c>
      <c r="E211" s="9" t="n">
        <v>100</v>
      </c>
      <c r="F211" s="9" t="n">
        <v>100947</v>
      </c>
      <c r="G211" s="9" t="n">
        <v>860</v>
      </c>
      <c r="H211" s="9" t="n">
        <v>58</v>
      </c>
      <c r="I211" s="9" t="n">
        <v>0</v>
      </c>
      <c r="J211" s="9" t="n">
        <v>0</v>
      </c>
      <c r="K211" s="11" t="inlineStr"/>
      <c r="L211" s="21" t="inlineStr"/>
      <c r="M211" s="9" t="inlineStr"/>
      <c r="N211" s="9" t="inlineStr"/>
      <c r="O211" s="9" t="inlineStr"/>
      <c r="P211" s="9" t="inlineStr">
        <is>
          <t>missing</t>
        </is>
      </c>
      <c r="Q211" s="9" t="inlineStr">
        <is>
          <t>no row meets target_tok_s_user</t>
        </is>
      </c>
      <c r="R211" s="9" t="inlineStr"/>
      <c r="S211" s="9" t="inlineStr">
        <is>
          <t>tok_s_user is computed as output_tok_s_gpu/concurrency when source tok_s_user is blank; agentic_derived uses long_chat rows multiplied by the Kimi K2.5 agentic/long ratio.</t>
        </is>
      </c>
    </row>
    <row r="212">
      <c r="A212" s="9" t="inlineStr">
        <is>
          <t>qwen3.5</t>
        </is>
      </c>
      <c r="B212" s="9" t="inlineStr">
        <is>
          <t>gb200</t>
        </is>
      </c>
      <c r="C212" s="9" t="inlineStr">
        <is>
          <t>short_chat</t>
        </is>
      </c>
      <c r="D212" s="9" t="inlineStr">
        <is>
          <t>qwen3.5</t>
        </is>
      </c>
      <c r="E212" s="9" t="n">
        <v>10</v>
      </c>
      <c r="F212" s="9" t="n">
        <v>1024</v>
      </c>
      <c r="G212" s="9" t="n">
        <v>1024</v>
      </c>
      <c r="H212" s="9" t="n">
        <v>0</v>
      </c>
      <c r="I212" s="9" t="n">
        <v>0</v>
      </c>
      <c r="J212" s="9" t="n">
        <v>0</v>
      </c>
      <c r="K212" s="11" t="inlineStr"/>
      <c r="L212" s="21" t="inlineStr"/>
      <c r="M212" s="9" t="inlineStr"/>
      <c r="N212" s="9" t="inlineStr"/>
      <c r="O212" s="9" t="inlineStr"/>
      <c r="P212" s="9" t="inlineStr">
        <is>
          <t>missing</t>
        </is>
      </c>
      <c r="Q212" s="9" t="inlineStr">
        <is>
          <t>no row meets target_tok_s_user</t>
        </is>
      </c>
      <c r="R212" s="9" t="inlineStr"/>
      <c r="S212" s="9" t="inlineStr">
        <is>
          <t>tok_s_user is computed as output_tok_s_gpu/concurrency when source tok_s_user is blank; agentic_derived uses long_chat rows multiplied by the Kimi K2.5 agentic/long ratio.</t>
        </is>
      </c>
    </row>
    <row r="213">
      <c r="A213" s="9" t="inlineStr">
        <is>
          <t>qwen3.5</t>
        </is>
      </c>
      <c r="B213" s="9" t="inlineStr">
        <is>
          <t>gb200</t>
        </is>
      </c>
      <c r="C213" s="9" t="inlineStr">
        <is>
          <t>short_chat</t>
        </is>
      </c>
      <c r="D213" s="9" t="inlineStr">
        <is>
          <t>qwen3.5</t>
        </is>
      </c>
      <c r="E213" s="9" t="n">
        <v>30</v>
      </c>
      <c r="F213" s="9" t="n">
        <v>1024</v>
      </c>
      <c r="G213" s="9" t="n">
        <v>1024</v>
      </c>
      <c r="H213" s="9" t="n">
        <v>0</v>
      </c>
      <c r="I213" s="9" t="n">
        <v>0</v>
      </c>
      <c r="J213" s="9" t="n">
        <v>0</v>
      </c>
      <c r="K213" s="11" t="inlineStr"/>
      <c r="L213" s="21" t="inlineStr"/>
      <c r="M213" s="9" t="inlineStr"/>
      <c r="N213" s="9" t="inlineStr"/>
      <c r="O213" s="9" t="inlineStr"/>
      <c r="P213" s="9" t="inlineStr">
        <is>
          <t>missing</t>
        </is>
      </c>
      <c r="Q213" s="9" t="inlineStr">
        <is>
          <t>no row meets target_tok_s_user</t>
        </is>
      </c>
      <c r="R213" s="9" t="inlineStr"/>
      <c r="S213" s="9" t="inlineStr">
        <is>
          <t>tok_s_user is computed as output_tok_s_gpu/concurrency when source tok_s_user is blank; agentic_derived uses long_chat rows multiplied by the Kimi K2.5 agentic/long ratio.</t>
        </is>
      </c>
    </row>
    <row r="214">
      <c r="A214" s="9" t="inlineStr">
        <is>
          <t>qwen3.5</t>
        </is>
      </c>
      <c r="B214" s="9" t="inlineStr">
        <is>
          <t>gb200</t>
        </is>
      </c>
      <c r="C214" s="9" t="inlineStr">
        <is>
          <t>short_chat</t>
        </is>
      </c>
      <c r="D214" s="9" t="inlineStr">
        <is>
          <t>qwen3.5</t>
        </is>
      </c>
      <c r="E214" s="9" t="n">
        <v>50</v>
      </c>
      <c r="F214" s="9" t="n">
        <v>1024</v>
      </c>
      <c r="G214" s="9" t="n">
        <v>1024</v>
      </c>
      <c r="H214" s="9" t="n">
        <v>0</v>
      </c>
      <c r="I214" s="9" t="n">
        <v>0</v>
      </c>
      <c r="J214" s="9" t="n">
        <v>0</v>
      </c>
      <c r="K214" s="11" t="inlineStr"/>
      <c r="L214" s="21" t="inlineStr"/>
      <c r="M214" s="9" t="inlineStr"/>
      <c r="N214" s="9" t="inlineStr"/>
      <c r="O214" s="9" t="inlineStr"/>
      <c r="P214" s="9" t="inlineStr">
        <is>
          <t>missing</t>
        </is>
      </c>
      <c r="Q214" s="9" t="inlineStr">
        <is>
          <t>no row meets target_tok_s_user</t>
        </is>
      </c>
      <c r="R214" s="9" t="inlineStr"/>
      <c r="S214" s="9" t="inlineStr">
        <is>
          <t>tok_s_user is computed as output_tok_s_gpu/concurrency when source tok_s_user is blank; agentic_derived uses long_chat rows multiplied by the Kimi K2.5 agentic/long ratio.</t>
        </is>
      </c>
    </row>
    <row r="215">
      <c r="A215" s="9" t="inlineStr">
        <is>
          <t>qwen3.5</t>
        </is>
      </c>
      <c r="B215" s="9" t="inlineStr">
        <is>
          <t>gb200</t>
        </is>
      </c>
      <c r="C215" s="9" t="inlineStr">
        <is>
          <t>short_chat</t>
        </is>
      </c>
      <c r="D215" s="9" t="inlineStr">
        <is>
          <t>qwen3.5</t>
        </is>
      </c>
      <c r="E215" s="9" t="n">
        <v>70</v>
      </c>
      <c r="F215" s="9" t="n">
        <v>1024</v>
      </c>
      <c r="G215" s="9" t="n">
        <v>1024</v>
      </c>
      <c r="H215" s="9" t="n">
        <v>0</v>
      </c>
      <c r="I215" s="9" t="n">
        <v>0</v>
      </c>
      <c r="J215" s="9" t="n">
        <v>0</v>
      </c>
      <c r="K215" s="11" t="inlineStr"/>
      <c r="L215" s="21" t="inlineStr"/>
      <c r="M215" s="9" t="inlineStr"/>
      <c r="N215" s="9" t="inlineStr"/>
      <c r="O215" s="9" t="inlineStr"/>
      <c r="P215" s="9" t="inlineStr">
        <is>
          <t>missing</t>
        </is>
      </c>
      <c r="Q215" s="9" t="inlineStr">
        <is>
          <t>no row meets target_tok_s_user</t>
        </is>
      </c>
      <c r="R215" s="9" t="inlineStr"/>
      <c r="S215" s="9" t="inlineStr">
        <is>
          <t>tok_s_user is computed as output_tok_s_gpu/concurrency when source tok_s_user is blank; agentic_derived uses long_chat rows multiplied by the Kimi K2.5 agentic/long ratio.</t>
        </is>
      </c>
    </row>
    <row r="216">
      <c r="A216" s="9" t="inlineStr">
        <is>
          <t>qwen3.5</t>
        </is>
      </c>
      <c r="B216" s="9" t="inlineStr">
        <is>
          <t>gb200</t>
        </is>
      </c>
      <c r="C216" s="9" t="inlineStr">
        <is>
          <t>short_chat</t>
        </is>
      </c>
      <c r="D216" s="9" t="inlineStr">
        <is>
          <t>qwen3.5</t>
        </is>
      </c>
      <c r="E216" s="9" t="n">
        <v>100</v>
      </c>
      <c r="F216" s="9" t="n">
        <v>1024</v>
      </c>
      <c r="G216" s="9" t="n">
        <v>1024</v>
      </c>
      <c r="H216" s="9" t="n">
        <v>0</v>
      </c>
      <c r="I216" s="9" t="n">
        <v>0</v>
      </c>
      <c r="J216" s="9" t="n">
        <v>0</v>
      </c>
      <c r="K216" s="11" t="inlineStr"/>
      <c r="L216" s="21" t="inlineStr"/>
      <c r="M216" s="9" t="inlineStr"/>
      <c r="N216" s="9" t="inlineStr"/>
      <c r="O216" s="9" t="inlineStr"/>
      <c r="P216" s="9" t="inlineStr">
        <is>
          <t>missing</t>
        </is>
      </c>
      <c r="Q216" s="9" t="inlineStr">
        <is>
          <t>no row meets target_tok_s_user</t>
        </is>
      </c>
      <c r="R216" s="9" t="inlineStr"/>
      <c r="S216" s="9" t="inlineStr">
        <is>
          <t>tok_s_user is computed as output_tok_s_gpu/concurrency when source tok_s_user is blank; agentic_derived uses long_chat rows multiplied by the Kimi K2.5 agentic/long ratio.</t>
        </is>
      </c>
    </row>
    <row r="217">
      <c r="A217" s="9" t="inlineStr">
        <is>
          <t>qwen3.5</t>
        </is>
      </c>
      <c r="B217" s="9" t="inlineStr">
        <is>
          <t>gb200</t>
        </is>
      </c>
      <c r="C217" s="9" t="inlineStr">
        <is>
          <t>long_chat</t>
        </is>
      </c>
      <c r="D217" s="9" t="inlineStr">
        <is>
          <t>qwen3.5</t>
        </is>
      </c>
      <c r="E217" s="9" t="n">
        <v>10</v>
      </c>
      <c r="F217" s="9" t="n">
        <v>8192</v>
      </c>
      <c r="G217" s="9" t="n">
        <v>1024</v>
      </c>
      <c r="H217" s="9" t="n">
        <v>0</v>
      </c>
      <c r="I217" s="9" t="n">
        <v>0</v>
      </c>
      <c r="J217" s="9" t="n">
        <v>0</v>
      </c>
      <c r="K217" s="11" t="inlineStr"/>
      <c r="L217" s="21" t="inlineStr"/>
      <c r="M217" s="9" t="inlineStr"/>
      <c r="N217" s="9" t="inlineStr"/>
      <c r="O217" s="9" t="inlineStr"/>
      <c r="P217" s="9" t="inlineStr">
        <is>
          <t>missing</t>
        </is>
      </c>
      <c r="Q217" s="9" t="inlineStr">
        <is>
          <t>no row meets target_tok_s_user</t>
        </is>
      </c>
      <c r="R217" s="9" t="inlineStr"/>
      <c r="S217" s="9" t="inlineStr">
        <is>
          <t>tok_s_user is computed as output_tok_s_gpu/concurrency when source tok_s_user is blank; agentic_derived uses long_chat rows multiplied by the Kimi K2.5 agentic/long ratio.</t>
        </is>
      </c>
    </row>
    <row r="218">
      <c r="A218" s="9" t="inlineStr">
        <is>
          <t>qwen3.5</t>
        </is>
      </c>
      <c r="B218" s="9" t="inlineStr">
        <is>
          <t>gb200</t>
        </is>
      </c>
      <c r="C218" s="9" t="inlineStr">
        <is>
          <t>long_chat</t>
        </is>
      </c>
      <c r="D218" s="9" t="inlineStr">
        <is>
          <t>qwen3.5</t>
        </is>
      </c>
      <c r="E218" s="9" t="n">
        <v>30</v>
      </c>
      <c r="F218" s="9" t="n">
        <v>8192</v>
      </c>
      <c r="G218" s="9" t="n">
        <v>1024</v>
      </c>
      <c r="H218" s="9" t="n">
        <v>0</v>
      </c>
      <c r="I218" s="9" t="n">
        <v>0</v>
      </c>
      <c r="J218" s="9" t="n">
        <v>0</v>
      </c>
      <c r="K218" s="11" t="inlineStr"/>
      <c r="L218" s="21" t="inlineStr"/>
      <c r="M218" s="9" t="inlineStr"/>
      <c r="N218" s="9" t="inlineStr"/>
      <c r="O218" s="9" t="inlineStr"/>
      <c r="P218" s="9" t="inlineStr">
        <is>
          <t>missing</t>
        </is>
      </c>
      <c r="Q218" s="9" t="inlineStr">
        <is>
          <t>no row meets target_tok_s_user</t>
        </is>
      </c>
      <c r="R218" s="9" t="inlineStr"/>
      <c r="S218" s="9" t="inlineStr">
        <is>
          <t>tok_s_user is computed as output_tok_s_gpu/concurrency when source tok_s_user is blank; agentic_derived uses long_chat rows multiplied by the Kimi K2.5 agentic/long ratio.</t>
        </is>
      </c>
    </row>
    <row r="219">
      <c r="A219" s="9" t="inlineStr">
        <is>
          <t>qwen3.5</t>
        </is>
      </c>
      <c r="B219" s="9" t="inlineStr">
        <is>
          <t>gb200</t>
        </is>
      </c>
      <c r="C219" s="9" t="inlineStr">
        <is>
          <t>long_chat</t>
        </is>
      </c>
      <c r="D219" s="9" t="inlineStr">
        <is>
          <t>qwen3.5</t>
        </is>
      </c>
      <c r="E219" s="9" t="n">
        <v>50</v>
      </c>
      <c r="F219" s="9" t="n">
        <v>8192</v>
      </c>
      <c r="G219" s="9" t="n">
        <v>1024</v>
      </c>
      <c r="H219" s="9" t="n">
        <v>0</v>
      </c>
      <c r="I219" s="9" t="n">
        <v>0</v>
      </c>
      <c r="J219" s="9" t="n">
        <v>0</v>
      </c>
      <c r="K219" s="11" t="inlineStr"/>
      <c r="L219" s="21" t="inlineStr"/>
      <c r="M219" s="9" t="inlineStr"/>
      <c r="N219" s="9" t="inlineStr"/>
      <c r="O219" s="9" t="inlineStr"/>
      <c r="P219" s="9" t="inlineStr">
        <is>
          <t>missing</t>
        </is>
      </c>
      <c r="Q219" s="9" t="inlineStr">
        <is>
          <t>no row meets target_tok_s_user</t>
        </is>
      </c>
      <c r="R219" s="9" t="inlineStr"/>
      <c r="S219" s="9" t="inlineStr">
        <is>
          <t>tok_s_user is computed as output_tok_s_gpu/concurrency when source tok_s_user is blank; agentic_derived uses long_chat rows multiplied by the Kimi K2.5 agentic/long ratio.</t>
        </is>
      </c>
    </row>
    <row r="220">
      <c r="A220" s="9" t="inlineStr">
        <is>
          <t>qwen3.5</t>
        </is>
      </c>
      <c r="B220" s="9" t="inlineStr">
        <is>
          <t>gb200</t>
        </is>
      </c>
      <c r="C220" s="9" t="inlineStr">
        <is>
          <t>long_chat</t>
        </is>
      </c>
      <c r="D220" s="9" t="inlineStr">
        <is>
          <t>qwen3.5</t>
        </is>
      </c>
      <c r="E220" s="9" t="n">
        <v>70</v>
      </c>
      <c r="F220" s="9" t="n">
        <v>8192</v>
      </c>
      <c r="G220" s="9" t="n">
        <v>1024</v>
      </c>
      <c r="H220" s="9" t="n">
        <v>0</v>
      </c>
      <c r="I220" s="9" t="n">
        <v>0</v>
      </c>
      <c r="J220" s="9" t="n">
        <v>0</v>
      </c>
      <c r="K220" s="11" t="inlineStr"/>
      <c r="L220" s="21" t="inlineStr"/>
      <c r="M220" s="9" t="inlineStr"/>
      <c r="N220" s="9" t="inlineStr"/>
      <c r="O220" s="9" t="inlineStr"/>
      <c r="P220" s="9" t="inlineStr">
        <is>
          <t>missing</t>
        </is>
      </c>
      <c r="Q220" s="9" t="inlineStr">
        <is>
          <t>no row meets target_tok_s_user</t>
        </is>
      </c>
      <c r="R220" s="9" t="inlineStr"/>
      <c r="S220" s="9" t="inlineStr">
        <is>
          <t>tok_s_user is computed as output_tok_s_gpu/concurrency when source tok_s_user is blank; agentic_derived uses long_chat rows multiplied by the Kimi K2.5 agentic/long ratio.</t>
        </is>
      </c>
    </row>
    <row r="221">
      <c r="A221" s="9" t="inlineStr">
        <is>
          <t>qwen3.5</t>
        </is>
      </c>
      <c r="B221" s="9" t="inlineStr">
        <is>
          <t>gb200</t>
        </is>
      </c>
      <c r="C221" s="9" t="inlineStr">
        <is>
          <t>long_chat</t>
        </is>
      </c>
      <c r="D221" s="9" t="inlineStr">
        <is>
          <t>qwen3.5</t>
        </is>
      </c>
      <c r="E221" s="9" t="n">
        <v>100</v>
      </c>
      <c r="F221" s="9" t="n">
        <v>8192</v>
      </c>
      <c r="G221" s="9" t="n">
        <v>1024</v>
      </c>
      <c r="H221" s="9" t="n">
        <v>0</v>
      </c>
      <c r="I221" s="9" t="n">
        <v>0</v>
      </c>
      <c r="J221" s="9" t="n">
        <v>0</v>
      </c>
      <c r="K221" s="11" t="inlineStr"/>
      <c r="L221" s="21" t="inlineStr"/>
      <c r="M221" s="9" t="inlineStr"/>
      <c r="N221" s="9" t="inlineStr"/>
      <c r="O221" s="9" t="inlineStr"/>
      <c r="P221" s="9" t="inlineStr">
        <is>
          <t>missing</t>
        </is>
      </c>
      <c r="Q221" s="9" t="inlineStr">
        <is>
          <t>no row meets target_tok_s_user</t>
        </is>
      </c>
      <c r="R221" s="9" t="inlineStr"/>
      <c r="S221" s="9" t="inlineStr">
        <is>
          <t>tok_s_user is computed as output_tok_s_gpu/concurrency when source tok_s_user is blank; agentic_derived uses long_chat rows multiplied by the Kimi K2.5 agentic/long ratio.</t>
        </is>
      </c>
    </row>
    <row r="222">
      <c r="A222" s="9" t="inlineStr">
        <is>
          <t>qwen3.5</t>
        </is>
      </c>
      <c r="B222" s="9" t="inlineStr">
        <is>
          <t>gb200</t>
        </is>
      </c>
      <c r="C222" s="9" t="inlineStr">
        <is>
          <t>agentic_derived</t>
        </is>
      </c>
      <c r="D222" s="9" t="inlineStr">
        <is>
          <t>qwen3.5</t>
        </is>
      </c>
      <c r="E222" s="9" t="n">
        <v>10</v>
      </c>
      <c r="F222" s="9" t="n">
        <v>100947</v>
      </c>
      <c r="G222" s="9" t="n">
        <v>860</v>
      </c>
      <c r="H222" s="9" t="n">
        <v>0</v>
      </c>
      <c r="I222" s="9" t="n">
        <v>0</v>
      </c>
      <c r="J222" s="9" t="n">
        <v>0</v>
      </c>
      <c r="K222" s="11" t="inlineStr"/>
      <c r="L222" s="21" t="inlineStr"/>
      <c r="M222" s="9" t="inlineStr"/>
      <c r="N222" s="9" t="inlineStr"/>
      <c r="O222" s="9" t="inlineStr"/>
      <c r="P222" s="9" t="inlineStr">
        <is>
          <t>missing</t>
        </is>
      </c>
      <c r="Q222" s="9" t="inlineStr">
        <is>
          <t>no row meets target_tok_s_user</t>
        </is>
      </c>
      <c r="R222" s="9" t="inlineStr"/>
      <c r="S222" s="9" t="inlineStr">
        <is>
          <t>tok_s_user is computed as output_tok_s_gpu/concurrency when source tok_s_user is blank; agentic_derived uses long_chat rows multiplied by the Kimi K2.5 agentic/long ratio.</t>
        </is>
      </c>
    </row>
    <row r="223">
      <c r="A223" s="9" t="inlineStr">
        <is>
          <t>qwen3.5</t>
        </is>
      </c>
      <c r="B223" s="9" t="inlineStr">
        <is>
          <t>gb200</t>
        </is>
      </c>
      <c r="C223" s="9" t="inlineStr">
        <is>
          <t>agentic_derived</t>
        </is>
      </c>
      <c r="D223" s="9" t="inlineStr">
        <is>
          <t>qwen3.5</t>
        </is>
      </c>
      <c r="E223" s="9" t="n">
        <v>30</v>
      </c>
      <c r="F223" s="9" t="n">
        <v>100947</v>
      </c>
      <c r="G223" s="9" t="n">
        <v>860</v>
      </c>
      <c r="H223" s="9" t="n">
        <v>0</v>
      </c>
      <c r="I223" s="9" t="n">
        <v>0</v>
      </c>
      <c r="J223" s="9" t="n">
        <v>0</v>
      </c>
      <c r="K223" s="11" t="inlineStr"/>
      <c r="L223" s="21" t="inlineStr"/>
      <c r="M223" s="9" t="inlineStr"/>
      <c r="N223" s="9" t="inlineStr"/>
      <c r="O223" s="9" t="inlineStr"/>
      <c r="P223" s="9" t="inlineStr">
        <is>
          <t>missing</t>
        </is>
      </c>
      <c r="Q223" s="9" t="inlineStr">
        <is>
          <t>no row meets target_tok_s_user</t>
        </is>
      </c>
      <c r="R223" s="9" t="inlineStr"/>
      <c r="S223" s="9" t="inlineStr">
        <is>
          <t>tok_s_user is computed as output_tok_s_gpu/concurrency when source tok_s_user is blank; agentic_derived uses long_chat rows multiplied by the Kimi K2.5 agentic/long ratio.</t>
        </is>
      </c>
    </row>
    <row r="224">
      <c r="A224" s="9" t="inlineStr">
        <is>
          <t>qwen3.5</t>
        </is>
      </c>
      <c r="B224" s="9" t="inlineStr">
        <is>
          <t>gb200</t>
        </is>
      </c>
      <c r="C224" s="9" t="inlineStr">
        <is>
          <t>agentic_derived</t>
        </is>
      </c>
      <c r="D224" s="9" t="inlineStr">
        <is>
          <t>qwen3.5</t>
        </is>
      </c>
      <c r="E224" s="9" t="n">
        <v>50</v>
      </c>
      <c r="F224" s="9" t="n">
        <v>100947</v>
      </c>
      <c r="G224" s="9" t="n">
        <v>860</v>
      </c>
      <c r="H224" s="9" t="n">
        <v>0</v>
      </c>
      <c r="I224" s="9" t="n">
        <v>0</v>
      </c>
      <c r="J224" s="9" t="n">
        <v>0</v>
      </c>
      <c r="K224" s="11" t="inlineStr"/>
      <c r="L224" s="21" t="inlineStr"/>
      <c r="M224" s="9" t="inlineStr"/>
      <c r="N224" s="9" t="inlineStr"/>
      <c r="O224" s="9" t="inlineStr"/>
      <c r="P224" s="9" t="inlineStr">
        <is>
          <t>missing</t>
        </is>
      </c>
      <c r="Q224" s="9" t="inlineStr">
        <is>
          <t>no row meets target_tok_s_user</t>
        </is>
      </c>
      <c r="R224" s="9" t="inlineStr"/>
      <c r="S224" s="9" t="inlineStr">
        <is>
          <t>tok_s_user is computed as output_tok_s_gpu/concurrency when source tok_s_user is blank; agentic_derived uses long_chat rows multiplied by the Kimi K2.5 agentic/long ratio.</t>
        </is>
      </c>
    </row>
    <row r="225">
      <c r="A225" s="9" t="inlineStr">
        <is>
          <t>qwen3.5</t>
        </is>
      </c>
      <c r="B225" s="9" t="inlineStr">
        <is>
          <t>gb200</t>
        </is>
      </c>
      <c r="C225" s="9" t="inlineStr">
        <is>
          <t>agentic_derived</t>
        </is>
      </c>
      <c r="D225" s="9" t="inlineStr">
        <is>
          <t>qwen3.5</t>
        </is>
      </c>
      <c r="E225" s="9" t="n">
        <v>70</v>
      </c>
      <c r="F225" s="9" t="n">
        <v>100947</v>
      </c>
      <c r="G225" s="9" t="n">
        <v>860</v>
      </c>
      <c r="H225" s="9" t="n">
        <v>0</v>
      </c>
      <c r="I225" s="9" t="n">
        <v>0</v>
      </c>
      <c r="J225" s="9" t="n">
        <v>0</v>
      </c>
      <c r="K225" s="11" t="inlineStr"/>
      <c r="L225" s="21" t="inlineStr"/>
      <c r="M225" s="9" t="inlineStr"/>
      <c r="N225" s="9" t="inlineStr"/>
      <c r="O225" s="9" t="inlineStr"/>
      <c r="P225" s="9" t="inlineStr">
        <is>
          <t>missing</t>
        </is>
      </c>
      <c r="Q225" s="9" t="inlineStr">
        <is>
          <t>no row meets target_tok_s_user</t>
        </is>
      </c>
      <c r="R225" s="9" t="inlineStr"/>
      <c r="S225" s="9" t="inlineStr">
        <is>
          <t>tok_s_user is computed as output_tok_s_gpu/concurrency when source tok_s_user is blank; agentic_derived uses long_chat rows multiplied by the Kimi K2.5 agentic/long ratio.</t>
        </is>
      </c>
    </row>
    <row r="226">
      <c r="A226" s="9" t="inlineStr">
        <is>
          <t>qwen3.5</t>
        </is>
      </c>
      <c r="B226" s="9" t="inlineStr">
        <is>
          <t>gb200</t>
        </is>
      </c>
      <c r="C226" s="9" t="inlineStr">
        <is>
          <t>agentic_derived</t>
        </is>
      </c>
      <c r="D226" s="9" t="inlineStr">
        <is>
          <t>qwen3.5</t>
        </is>
      </c>
      <c r="E226" s="9" t="n">
        <v>100</v>
      </c>
      <c r="F226" s="9" t="n">
        <v>100947</v>
      </c>
      <c r="G226" s="9" t="n">
        <v>860</v>
      </c>
      <c r="H226" s="9" t="n">
        <v>0</v>
      </c>
      <c r="I226" s="9" t="n">
        <v>0</v>
      </c>
      <c r="J226" s="9" t="n">
        <v>0</v>
      </c>
      <c r="K226" s="11" t="inlineStr"/>
      <c r="L226" s="21" t="inlineStr"/>
      <c r="M226" s="9" t="inlineStr"/>
      <c r="N226" s="9" t="inlineStr"/>
      <c r="O226" s="9" t="inlineStr"/>
      <c r="P226" s="9" t="inlineStr">
        <is>
          <t>missing</t>
        </is>
      </c>
      <c r="Q226" s="9" t="inlineStr">
        <is>
          <t>no row meets target_tok_s_user</t>
        </is>
      </c>
      <c r="R226" s="9" t="inlineStr"/>
      <c r="S226" s="9" t="inlineStr">
        <is>
          <t>tok_s_user is computed as output_tok_s_gpu/concurrency when source tok_s_user is blank; agentic_derived uses long_chat rows multiplied by the Kimi K2.5 agentic/long ratio.</t>
        </is>
      </c>
    </row>
  </sheetData>
  <autoFilter ref="A1:S2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23" t="n">
        <v>4</v>
      </c>
      <c r="E2" s="24" t="n">
        <v>0.405</v>
      </c>
      <c r="F2" s="23" t="n">
        <v>1.2</v>
      </c>
      <c r="G2" s="24" t="n">
        <v>0.86</v>
      </c>
      <c r="H2" s="24" t="n">
        <v>0.47</v>
      </c>
      <c r="I2" s="5">
        <f>INDEX('01_Benchmark_Input'!$B$2:$B$10,MATCH(B2,'01_Benchmark_Input'!$A$2:$A$10,0))</f>
        <v/>
      </c>
      <c r="J2" s="5">
        <f>INDEX('01_Benchmark_Input'!$C$2:$C$10,MATCH(B2,'01_Benchmark_Input'!$A$2:$A$10,0))</f>
        <v/>
      </c>
      <c r="K2" s="6">
        <f>IF(A2="Bear",INDEX('01_Benchmark_Input'!$AB$2:$AB$10,MATCH(B2,'01_Benchmark_Input'!$A$2:$A$10,0)),IF(A2="Bull",INDEX('01_Benchmark_Input'!$AD$2:$AD$10,MATCH(B2,'01_Benchmark_Input'!$A$2:$A$10,0)),INDEX('01_Benchmark_Input'!$AC$2:$AC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23" t="n">
        <v>5.25</v>
      </c>
      <c r="E3" s="24" t="n">
        <v>0.48609524</v>
      </c>
      <c r="F3" s="23" t="n">
        <v>1.2</v>
      </c>
      <c r="G3" s="24" t="n">
        <v>0.86</v>
      </c>
      <c r="H3" s="24" t="n">
        <v>0.515</v>
      </c>
      <c r="I3" s="5">
        <f>INDEX('01_Benchmark_Input'!$B$2:$B$10,MATCH(B3,'01_Benchmark_Input'!$A$2:$A$10,0))</f>
        <v/>
      </c>
      <c r="J3" s="5">
        <f>INDEX('01_Benchmark_Input'!$C$2:$C$10,MATCH(B3,'01_Benchmark_Input'!$A$2:$A$10,0))</f>
        <v/>
      </c>
      <c r="K3" s="6">
        <f>IF(A3="Bear",INDEX('01_Benchmark_Input'!$AB$2:$AB$10,MATCH(B3,'01_Benchmark_Input'!$A$2:$A$10,0)),IF(A3="Bull",INDEX('01_Benchmark_Input'!$AD$2:$AD$10,MATCH(B3,'01_Benchmark_Input'!$A$2:$A$10,0)),INDEX('01_Benchmark_Input'!$AC$2:$AC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23" t="n">
        <v>6.5</v>
      </c>
      <c r="E4" s="24" t="n">
        <v>0.52923077</v>
      </c>
      <c r="F4" s="23" t="n">
        <v>1.2</v>
      </c>
      <c r="G4" s="24" t="n">
        <v>0.86</v>
      </c>
      <c r="H4" s="24" t="n">
        <v>0.5600000000000001</v>
      </c>
      <c r="I4" s="5">
        <f>INDEX('01_Benchmark_Input'!$B$2:$B$10,MATCH(B4,'01_Benchmark_Input'!$A$2:$A$10,0))</f>
        <v/>
      </c>
      <c r="J4" s="5">
        <f>INDEX('01_Benchmark_Input'!$C$2:$C$10,MATCH(B4,'01_Benchmark_Input'!$A$2:$A$10,0))</f>
        <v/>
      </c>
      <c r="K4" s="6">
        <f>IF(A4="Bear",INDEX('01_Benchmark_Input'!$AB$2:$AB$10,MATCH(B4,'01_Benchmark_Input'!$A$2:$A$10,0)),IF(A4="Bull",INDEX('01_Benchmark_Input'!$AD$2:$AD$10,MATCH(B4,'01_Benchmark_Input'!$A$2:$A$10,0)),INDEX('01_Benchmark_Input'!$AC$2:$AC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23" t="n">
        <v>7.75</v>
      </c>
      <c r="E5" s="24" t="n">
        <v>0.5527741900000001</v>
      </c>
      <c r="F5" s="23" t="n">
        <v>1.2</v>
      </c>
      <c r="G5" s="24" t="n">
        <v>0.86</v>
      </c>
      <c r="H5" s="24" t="n">
        <v>0.605</v>
      </c>
      <c r="I5" s="5">
        <f>INDEX('01_Benchmark_Input'!$B$2:$B$10,MATCH(B5,'01_Benchmark_Input'!$A$2:$A$10,0))</f>
        <v/>
      </c>
      <c r="J5" s="5">
        <f>INDEX('01_Benchmark_Input'!$C$2:$C$10,MATCH(B5,'01_Benchmark_Input'!$A$2:$A$10,0))</f>
        <v/>
      </c>
      <c r="K5" s="6">
        <f>IF(A5="Bear",INDEX('01_Benchmark_Input'!$AB$2:$AB$10,MATCH(B5,'01_Benchmark_Input'!$A$2:$A$10,0)),IF(A5="Bull",INDEX('01_Benchmark_Input'!$AD$2:$AD$10,MATCH(B5,'01_Benchmark_Input'!$A$2:$A$10,0)),INDEX('01_Benchmark_Input'!$AC$2:$AC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23" t="n">
        <v>9</v>
      </c>
      <c r="E6" s="24" t="n">
        <v>0.56488889</v>
      </c>
      <c r="F6" s="23" t="n">
        <v>1.2</v>
      </c>
      <c r="G6" s="24" t="n">
        <v>0.86</v>
      </c>
      <c r="H6" s="24" t="n">
        <v>0.65</v>
      </c>
      <c r="I6" s="5">
        <f>INDEX('01_Benchmark_Input'!$B$2:$B$10,MATCH(B6,'01_Benchmark_Input'!$A$2:$A$10,0))</f>
        <v/>
      </c>
      <c r="J6" s="5">
        <f>INDEX('01_Benchmark_Input'!$C$2:$C$10,MATCH(B6,'01_Benchmark_Input'!$A$2:$A$10,0))</f>
        <v/>
      </c>
      <c r="K6" s="6">
        <f>IF(A6="Bear",INDEX('01_Benchmark_Input'!$AB$2:$AB$10,MATCH(B6,'01_Benchmark_Input'!$A$2:$A$10,0)),IF(A6="Bull",INDEX('01_Benchmark_Input'!$AD$2:$AD$10,MATCH(B6,'01_Benchmark_Input'!$A$2:$A$10,0)),INDEX('01_Benchmark_Input'!$AC$2:$AC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23" t="n">
        <v>4.5</v>
      </c>
      <c r="E7" s="24" t="n">
        <v>0.44</v>
      </c>
      <c r="F7" s="23" t="n">
        <v>1.18</v>
      </c>
      <c r="G7" s="24" t="n">
        <v>0.88</v>
      </c>
      <c r="H7" s="24" t="n">
        <v>0.47</v>
      </c>
      <c r="I7" s="5">
        <f>INDEX('01_Benchmark_Input'!$B$2:$B$10,MATCH(B7,'01_Benchmark_Input'!$A$2:$A$10,0))</f>
        <v/>
      </c>
      <c r="J7" s="5">
        <f>INDEX('01_Benchmark_Input'!$C$2:$C$10,MATCH(B7,'01_Benchmark_Input'!$A$2:$A$10,0))</f>
        <v/>
      </c>
      <c r="K7" s="6">
        <f>IF(A7="Bear",INDEX('01_Benchmark_Input'!$AB$2:$AB$10,MATCH(B7,'01_Benchmark_Input'!$A$2:$A$10,0)),IF(A7="Bull",INDEX('01_Benchmark_Input'!$AD$2:$AD$10,MATCH(B7,'01_Benchmark_Input'!$A$2:$A$10,0)),INDEX('01_Benchmark_Input'!$AC$2:$AC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23" t="n">
        <v>5.375</v>
      </c>
      <c r="E8" s="24" t="n">
        <v>0.54846512</v>
      </c>
      <c r="F8" s="23" t="n">
        <v>1.18</v>
      </c>
      <c r="G8" s="24" t="n">
        <v>0.88</v>
      </c>
      <c r="H8" s="24" t="n">
        <v>0.508</v>
      </c>
      <c r="I8" s="5">
        <f>INDEX('01_Benchmark_Input'!$B$2:$B$10,MATCH(B8,'01_Benchmark_Input'!$A$2:$A$10,0))</f>
        <v/>
      </c>
      <c r="J8" s="5">
        <f>INDEX('01_Benchmark_Input'!$C$2:$C$10,MATCH(B8,'01_Benchmark_Input'!$A$2:$A$10,0))</f>
        <v/>
      </c>
      <c r="K8" s="6">
        <f>IF(A8="Bear",INDEX('01_Benchmark_Input'!$AB$2:$AB$10,MATCH(B8,'01_Benchmark_Input'!$A$2:$A$10,0)),IF(A8="Bull",INDEX('01_Benchmark_Input'!$AD$2:$AD$10,MATCH(B8,'01_Benchmark_Input'!$A$2:$A$10,0)),INDEX('01_Benchmark_Input'!$AC$2:$AC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23" t="n">
        <v>6.25</v>
      </c>
      <c r="E9" s="24" t="n">
        <v>0.6192</v>
      </c>
      <c r="F9" s="23" t="n">
        <v>1.18</v>
      </c>
      <c r="G9" s="24" t="n">
        <v>0.88</v>
      </c>
      <c r="H9" s="24" t="n">
        <v>0.545</v>
      </c>
      <c r="I9" s="5">
        <f>INDEX('01_Benchmark_Input'!$B$2:$B$10,MATCH(B9,'01_Benchmark_Input'!$A$2:$A$10,0))</f>
        <v/>
      </c>
      <c r="J9" s="5">
        <f>INDEX('01_Benchmark_Input'!$C$2:$C$10,MATCH(B9,'01_Benchmark_Input'!$A$2:$A$10,0))</f>
        <v/>
      </c>
      <c r="K9" s="6">
        <f>IF(A9="Bear",INDEX('01_Benchmark_Input'!$AB$2:$AB$10,MATCH(B9,'01_Benchmark_Input'!$A$2:$A$10,0)),IF(A9="Bull",INDEX('01_Benchmark_Input'!$AD$2:$AD$10,MATCH(B9,'01_Benchmark_Input'!$A$2:$A$10,0)),INDEX('01_Benchmark_Input'!$AC$2:$AC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23" t="n">
        <v>7.125</v>
      </c>
      <c r="E10" s="24" t="n">
        <v>0.66610526</v>
      </c>
      <c r="F10" s="23" t="n">
        <v>1.18</v>
      </c>
      <c r="G10" s="24" t="n">
        <v>0.88</v>
      </c>
      <c r="H10" s="24" t="n">
        <v>0.583</v>
      </c>
      <c r="I10" s="5">
        <f>INDEX('01_Benchmark_Input'!$B$2:$B$10,MATCH(B10,'01_Benchmark_Input'!$A$2:$A$10,0))</f>
        <v/>
      </c>
      <c r="J10" s="5">
        <f>INDEX('01_Benchmark_Input'!$C$2:$C$10,MATCH(B10,'01_Benchmark_Input'!$A$2:$A$10,0))</f>
        <v/>
      </c>
      <c r="K10" s="6">
        <f>IF(A10="Bear",INDEX('01_Benchmark_Input'!$AB$2:$AB$10,MATCH(B10,'01_Benchmark_Input'!$A$2:$A$10,0)),IF(A10="Bull",INDEX('01_Benchmark_Input'!$AD$2:$AD$10,MATCH(B10,'01_Benchmark_Input'!$A$2:$A$10,0)),INDEX('01_Benchmark_Input'!$AC$2:$AC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23" t="n">
        <v>8</v>
      </c>
      <c r="E11" s="24" t="n">
        <v>0.697</v>
      </c>
      <c r="F11" s="23" t="n">
        <v>1.18</v>
      </c>
      <c r="G11" s="24" t="n">
        <v>0.88</v>
      </c>
      <c r="H11" s="24" t="n">
        <v>0.62</v>
      </c>
      <c r="I11" s="5">
        <f>INDEX('01_Benchmark_Input'!$B$2:$B$10,MATCH(B11,'01_Benchmark_Input'!$A$2:$A$10,0))</f>
        <v/>
      </c>
      <c r="J11" s="5">
        <f>INDEX('01_Benchmark_Input'!$C$2:$C$10,MATCH(B11,'01_Benchmark_Input'!$A$2:$A$10,0))</f>
        <v/>
      </c>
      <c r="K11" s="6">
        <f>IF(A11="Bear",INDEX('01_Benchmark_Input'!$AB$2:$AB$10,MATCH(B11,'01_Benchmark_Input'!$A$2:$A$10,0)),IF(A11="Bull",INDEX('01_Benchmark_Input'!$AD$2:$AD$10,MATCH(B11,'01_Benchmark_Input'!$A$2:$A$10,0)),INDEX('01_Benchmark_Input'!$AC$2:$AC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23" t="n">
        <v>3.5</v>
      </c>
      <c r="E12" s="24" t="n">
        <v>0.41142857</v>
      </c>
      <c r="F12" s="23" t="n">
        <v>1.2</v>
      </c>
      <c r="G12" s="24" t="n">
        <v>0.87</v>
      </c>
      <c r="H12" s="24" t="n">
        <v>0.5</v>
      </c>
      <c r="I12" s="5">
        <f>INDEX('01_Benchmark_Input'!$B$2:$B$10,MATCH(B12,'01_Benchmark_Input'!$A$2:$A$10,0))</f>
        <v/>
      </c>
      <c r="J12" s="5">
        <f>INDEX('01_Benchmark_Input'!$C$2:$C$10,MATCH(B12,'01_Benchmark_Input'!$A$2:$A$10,0))</f>
        <v/>
      </c>
      <c r="K12" s="6">
        <f>IF(A12="Bear",INDEX('01_Benchmark_Input'!$AB$2:$AB$10,MATCH(B12,'01_Benchmark_Input'!$A$2:$A$10,0)),IF(A12="Bull",INDEX('01_Benchmark_Input'!$AD$2:$AD$10,MATCH(B12,'01_Benchmark_Input'!$A$2:$A$10,0)),INDEX('01_Benchmark_Input'!$AC$2:$AC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23" t="n">
        <v>4.375</v>
      </c>
      <c r="E13" s="24" t="n">
        <v>0.53302857</v>
      </c>
      <c r="F13" s="23" t="n">
        <v>1.2</v>
      </c>
      <c r="G13" s="24" t="n">
        <v>0.87</v>
      </c>
      <c r="H13" s="24" t="n">
        <v>0.545</v>
      </c>
      <c r="I13" s="5">
        <f>INDEX('01_Benchmark_Input'!$B$2:$B$10,MATCH(B13,'01_Benchmark_Input'!$A$2:$A$10,0))</f>
        <v/>
      </c>
      <c r="J13" s="5">
        <f>INDEX('01_Benchmark_Input'!$C$2:$C$10,MATCH(B13,'01_Benchmark_Input'!$A$2:$A$10,0))</f>
        <v/>
      </c>
      <c r="K13" s="6">
        <f>IF(A13="Bear",INDEX('01_Benchmark_Input'!$AB$2:$AB$10,MATCH(B13,'01_Benchmark_Input'!$A$2:$A$10,0)),IF(A13="Bull",INDEX('01_Benchmark_Input'!$AD$2:$AD$10,MATCH(B13,'01_Benchmark_Input'!$A$2:$A$10,0)),INDEX('01_Benchmark_Input'!$AC$2:$AC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23" t="n">
        <v>5.25</v>
      </c>
      <c r="E14" s="24" t="n">
        <v>0.60609524</v>
      </c>
      <c r="F14" s="23" t="n">
        <v>1.2</v>
      </c>
      <c r="G14" s="24" t="n">
        <v>0.87</v>
      </c>
      <c r="H14" s="24" t="n">
        <v>0.59</v>
      </c>
      <c r="I14" s="5">
        <f>INDEX('01_Benchmark_Input'!$B$2:$B$10,MATCH(B14,'01_Benchmark_Input'!$A$2:$A$10,0))</f>
        <v/>
      </c>
      <c r="J14" s="5">
        <f>INDEX('01_Benchmark_Input'!$C$2:$C$10,MATCH(B14,'01_Benchmark_Input'!$A$2:$A$10,0))</f>
        <v/>
      </c>
      <c r="K14" s="6">
        <f>IF(A14="Bear",INDEX('01_Benchmark_Input'!$AB$2:$AB$10,MATCH(B14,'01_Benchmark_Input'!$A$2:$A$10,0)),IF(A14="Bull",INDEX('01_Benchmark_Input'!$AD$2:$AD$10,MATCH(B14,'01_Benchmark_Input'!$A$2:$A$10,0)),INDEX('01_Benchmark_Input'!$AC$2:$AC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23" t="n">
        <v>6.125</v>
      </c>
      <c r="E15" s="24" t="n">
        <v>0.65142857</v>
      </c>
      <c r="F15" s="23" t="n">
        <v>1.2</v>
      </c>
      <c r="G15" s="24" t="n">
        <v>0.87</v>
      </c>
      <c r="H15" s="24" t="n">
        <v>0.635</v>
      </c>
      <c r="I15" s="5">
        <f>INDEX('01_Benchmark_Input'!$B$2:$B$10,MATCH(B15,'01_Benchmark_Input'!$A$2:$A$10,0))</f>
        <v/>
      </c>
      <c r="J15" s="5">
        <f>INDEX('01_Benchmark_Input'!$C$2:$C$10,MATCH(B15,'01_Benchmark_Input'!$A$2:$A$10,0))</f>
        <v/>
      </c>
      <c r="K15" s="6">
        <f>IF(A15="Bear",INDEX('01_Benchmark_Input'!$AB$2:$AB$10,MATCH(B15,'01_Benchmark_Input'!$A$2:$A$10,0)),IF(A15="Bull",INDEX('01_Benchmark_Input'!$AD$2:$AD$10,MATCH(B15,'01_Benchmark_Input'!$A$2:$A$10,0)),INDEX('01_Benchmark_Input'!$AC$2:$AC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23" t="n">
        <v>7</v>
      </c>
      <c r="E16" s="24" t="n">
        <v>0.67942857</v>
      </c>
      <c r="F16" s="23" t="n">
        <v>1.2</v>
      </c>
      <c r="G16" s="24" t="n">
        <v>0.87</v>
      </c>
      <c r="H16" s="24" t="n">
        <v>0.68</v>
      </c>
      <c r="I16" s="5">
        <f>INDEX('01_Benchmark_Input'!$B$2:$B$10,MATCH(B16,'01_Benchmark_Input'!$A$2:$A$10,0))</f>
        <v/>
      </c>
      <c r="J16" s="5">
        <f>INDEX('01_Benchmark_Input'!$C$2:$C$10,MATCH(B16,'01_Benchmark_Input'!$A$2:$A$10,0))</f>
        <v/>
      </c>
      <c r="K16" s="6">
        <f>IF(A16="Bear",INDEX('01_Benchmark_Input'!$AB$2:$AB$10,MATCH(B16,'01_Benchmark_Input'!$A$2:$A$10,0)),IF(A16="Bull",INDEX('01_Benchmark_Input'!$AD$2:$AD$10,MATCH(B16,'01_Benchmark_Input'!$A$2:$A$10,0)),INDEX('01_Benchmark_Input'!$AC$2:$AC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23" t="n">
        <v>1</v>
      </c>
      <c r="E17" s="24" t="n">
        <v>0.315</v>
      </c>
      <c r="F17" s="23" t="n">
        <v>1.22</v>
      </c>
      <c r="G17" s="24" t="n">
        <v>0.85</v>
      </c>
      <c r="H17" s="24" t="n">
        <v>0.37</v>
      </c>
      <c r="I17" s="5">
        <f>INDEX('01_Benchmark_Input'!$B$2:$B$10,MATCH(B17,'01_Benchmark_Input'!$A$2:$A$10,0))</f>
        <v/>
      </c>
      <c r="J17" s="5">
        <f>INDEX('01_Benchmark_Input'!$C$2:$C$10,MATCH(B17,'01_Benchmark_Input'!$A$2:$A$10,0))</f>
        <v/>
      </c>
      <c r="K17" s="6">
        <f>IF(A17="Bear",INDEX('01_Benchmark_Input'!$AB$2:$AB$10,MATCH(B17,'01_Benchmark_Input'!$A$2:$A$10,0)),IF(A17="Bull",INDEX('01_Benchmark_Input'!$AD$2:$AD$10,MATCH(B17,'01_Benchmark_Input'!$A$2:$A$10,0)),INDEX('01_Benchmark_Input'!$AC$2:$AC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23" t="n">
        <v>1.5</v>
      </c>
      <c r="E18" s="24" t="n">
        <v>0.52066667</v>
      </c>
      <c r="F18" s="23" t="n">
        <v>1.22</v>
      </c>
      <c r="G18" s="24" t="n">
        <v>0.85</v>
      </c>
      <c r="H18" s="24" t="n">
        <v>0.427</v>
      </c>
      <c r="I18" s="5">
        <f>INDEX('01_Benchmark_Input'!$B$2:$B$10,MATCH(B18,'01_Benchmark_Input'!$A$2:$A$10,0))</f>
        <v/>
      </c>
      <c r="J18" s="5">
        <f>INDEX('01_Benchmark_Input'!$C$2:$C$10,MATCH(B18,'01_Benchmark_Input'!$A$2:$A$10,0))</f>
        <v/>
      </c>
      <c r="K18" s="6">
        <f>IF(A18="Bear",INDEX('01_Benchmark_Input'!$AB$2:$AB$10,MATCH(B18,'01_Benchmark_Input'!$A$2:$A$10,0)),IF(A18="Bull",INDEX('01_Benchmark_Input'!$AD$2:$AD$10,MATCH(B18,'01_Benchmark_Input'!$A$2:$A$10,0)),INDEX('01_Benchmark_Input'!$AC$2:$AC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23" t="n">
        <v>2</v>
      </c>
      <c r="E19" s="24" t="n">
        <v>0.6125</v>
      </c>
      <c r="F19" s="23" t="n">
        <v>1.22</v>
      </c>
      <c r="G19" s="24" t="n">
        <v>0.85</v>
      </c>
      <c r="H19" s="24" t="n">
        <v>0.485</v>
      </c>
      <c r="I19" s="5">
        <f>INDEX('01_Benchmark_Input'!$B$2:$B$10,MATCH(B19,'01_Benchmark_Input'!$A$2:$A$10,0))</f>
        <v/>
      </c>
      <c r="J19" s="5">
        <f>INDEX('01_Benchmark_Input'!$C$2:$C$10,MATCH(B19,'01_Benchmark_Input'!$A$2:$A$10,0))</f>
        <v/>
      </c>
      <c r="K19" s="6">
        <f>IF(A19="Bear",INDEX('01_Benchmark_Input'!$AB$2:$AB$10,MATCH(B19,'01_Benchmark_Input'!$A$2:$A$10,0)),IF(A19="Bull",INDEX('01_Benchmark_Input'!$AD$2:$AD$10,MATCH(B19,'01_Benchmark_Input'!$A$2:$A$10,0)),INDEX('01_Benchmark_Input'!$AC$2:$AC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23" t="n">
        <v>2.5</v>
      </c>
      <c r="E20" s="24" t="n">
        <v>0.6592</v>
      </c>
      <c r="F20" s="23" t="n">
        <v>1.22</v>
      </c>
      <c r="G20" s="24" t="n">
        <v>0.85</v>
      </c>
      <c r="H20" s="24" t="n">
        <v>0.542</v>
      </c>
      <c r="I20" s="5">
        <f>INDEX('01_Benchmark_Input'!$B$2:$B$10,MATCH(B20,'01_Benchmark_Input'!$A$2:$A$10,0))</f>
        <v/>
      </c>
      <c r="J20" s="5">
        <f>INDEX('01_Benchmark_Input'!$C$2:$C$10,MATCH(B20,'01_Benchmark_Input'!$A$2:$A$10,0))</f>
        <v/>
      </c>
      <c r="K20" s="6">
        <f>IF(A20="Bear",INDEX('01_Benchmark_Input'!$AB$2:$AB$10,MATCH(B20,'01_Benchmark_Input'!$A$2:$A$10,0)),IF(A20="Bull",INDEX('01_Benchmark_Input'!$AD$2:$AD$10,MATCH(B20,'01_Benchmark_Input'!$A$2:$A$10,0)),INDEX('01_Benchmark_Input'!$AC$2:$AC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23" t="n">
        <v>3</v>
      </c>
      <c r="E21" s="24" t="n">
        <v>0.68333333</v>
      </c>
      <c r="F21" s="23" t="n">
        <v>1.22</v>
      </c>
      <c r="G21" s="24" t="n">
        <v>0.85</v>
      </c>
      <c r="H21" s="24" t="n">
        <v>0.6</v>
      </c>
      <c r="I21" s="5">
        <f>INDEX('01_Benchmark_Input'!$B$2:$B$10,MATCH(B21,'01_Benchmark_Input'!$A$2:$A$10,0))</f>
        <v/>
      </c>
      <c r="J21" s="5">
        <f>INDEX('01_Benchmark_Input'!$C$2:$C$10,MATCH(B21,'01_Benchmark_Input'!$A$2:$A$10,0))</f>
        <v/>
      </c>
      <c r="K21" s="6">
        <f>IF(A21="Bear",INDEX('01_Benchmark_Input'!$AB$2:$AB$10,MATCH(B21,'01_Benchmark_Input'!$A$2:$A$10,0)),IF(A21="Bull",INDEX('01_Benchmark_Input'!$AD$2:$AD$10,MATCH(B21,'01_Benchmark_Input'!$A$2:$A$10,0)),INDEX('01_Benchmark_Input'!$AC$2:$AC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23" t="n">
        <v>5</v>
      </c>
      <c r="E22" s="24" t="n">
        <v>0.252</v>
      </c>
      <c r="F22" s="23" t="n">
        <v>1.2</v>
      </c>
      <c r="G22" s="24" t="n">
        <v>0.88</v>
      </c>
      <c r="H22" s="24" t="n">
        <v>0.5</v>
      </c>
      <c r="I22" s="5">
        <f>INDEX('01_Benchmark_Input'!$B$2:$B$10,MATCH(B22,'01_Benchmark_Input'!$A$2:$A$10,0))</f>
        <v/>
      </c>
      <c r="J22" s="5">
        <f>INDEX('01_Benchmark_Input'!$C$2:$C$10,MATCH(B22,'01_Benchmark_Input'!$A$2:$A$10,0))</f>
        <v/>
      </c>
      <c r="K22" s="6">
        <f>IF(A22="Bear",INDEX('01_Benchmark_Input'!$AB$2:$AB$10,MATCH(B22,'01_Benchmark_Input'!$A$2:$A$10,0)),IF(A22="Bull",INDEX('01_Benchmark_Input'!$AD$2:$AD$10,MATCH(B22,'01_Benchmark_Input'!$A$2:$A$10,0)),INDEX('01_Benchmark_Input'!$AC$2:$AC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23" t="n">
        <v>6.75</v>
      </c>
      <c r="E23" s="24" t="n">
        <v>0.41392593</v>
      </c>
      <c r="F23" s="23" t="n">
        <v>1.2</v>
      </c>
      <c r="G23" s="24" t="n">
        <v>0.88</v>
      </c>
      <c r="H23" s="24" t="n">
        <v>0.545</v>
      </c>
      <c r="I23" s="5">
        <f>INDEX('01_Benchmark_Input'!$B$2:$B$10,MATCH(B23,'01_Benchmark_Input'!$A$2:$A$10,0))</f>
        <v/>
      </c>
      <c r="J23" s="5">
        <f>INDEX('01_Benchmark_Input'!$C$2:$C$10,MATCH(B23,'01_Benchmark_Input'!$A$2:$A$10,0))</f>
        <v/>
      </c>
      <c r="K23" s="6">
        <f>IF(A23="Bear",INDEX('01_Benchmark_Input'!$AB$2:$AB$10,MATCH(B23,'01_Benchmark_Input'!$A$2:$A$10,0)),IF(A23="Bull",INDEX('01_Benchmark_Input'!$AD$2:$AD$10,MATCH(B23,'01_Benchmark_Input'!$A$2:$A$10,0)),INDEX('01_Benchmark_Input'!$AC$2:$AC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23" t="n">
        <v>8.5</v>
      </c>
      <c r="E24" s="24" t="n">
        <v>0.50082353</v>
      </c>
      <c r="F24" s="23" t="n">
        <v>1.2</v>
      </c>
      <c r="G24" s="24" t="n">
        <v>0.88</v>
      </c>
      <c r="H24" s="24" t="n">
        <v>0.59</v>
      </c>
      <c r="I24" s="5">
        <f>INDEX('01_Benchmark_Input'!$B$2:$B$10,MATCH(B24,'01_Benchmark_Input'!$A$2:$A$10,0))</f>
        <v/>
      </c>
      <c r="J24" s="5">
        <f>INDEX('01_Benchmark_Input'!$C$2:$C$10,MATCH(B24,'01_Benchmark_Input'!$A$2:$A$10,0))</f>
        <v/>
      </c>
      <c r="K24" s="6">
        <f>IF(A24="Bear",INDEX('01_Benchmark_Input'!$AB$2:$AB$10,MATCH(B24,'01_Benchmark_Input'!$A$2:$A$10,0)),IF(A24="Bull",INDEX('01_Benchmark_Input'!$AD$2:$AD$10,MATCH(B24,'01_Benchmark_Input'!$A$2:$A$10,0)),INDEX('01_Benchmark_Input'!$AC$2:$AC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23" t="n">
        <v>10.25</v>
      </c>
      <c r="E25" s="24" t="n">
        <v>0.55112195</v>
      </c>
      <c r="F25" s="23" t="n">
        <v>1.2</v>
      </c>
      <c r="G25" s="24" t="n">
        <v>0.88</v>
      </c>
      <c r="H25" s="24" t="n">
        <v>0.635</v>
      </c>
      <c r="I25" s="5">
        <f>INDEX('01_Benchmark_Input'!$B$2:$B$10,MATCH(B25,'01_Benchmark_Input'!$A$2:$A$10,0))</f>
        <v/>
      </c>
      <c r="J25" s="5">
        <f>INDEX('01_Benchmark_Input'!$C$2:$C$10,MATCH(B25,'01_Benchmark_Input'!$A$2:$A$10,0))</f>
        <v/>
      </c>
      <c r="K25" s="6">
        <f>IF(A25="Bear",INDEX('01_Benchmark_Input'!$AB$2:$AB$10,MATCH(B25,'01_Benchmark_Input'!$A$2:$A$10,0)),IF(A25="Bull",INDEX('01_Benchmark_Input'!$AD$2:$AD$10,MATCH(B25,'01_Benchmark_Input'!$A$2:$A$10,0)),INDEX('01_Benchmark_Input'!$AC$2:$AC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23" t="n">
        <v>12</v>
      </c>
      <c r="E26" s="24" t="n">
        <v>0.58083333</v>
      </c>
      <c r="F26" s="23" t="n">
        <v>1.2</v>
      </c>
      <c r="G26" s="24" t="n">
        <v>0.88</v>
      </c>
      <c r="H26" s="24" t="n">
        <v>0.68</v>
      </c>
      <c r="I26" s="5">
        <f>INDEX('01_Benchmark_Input'!$B$2:$B$10,MATCH(B26,'01_Benchmark_Input'!$A$2:$A$10,0))</f>
        <v/>
      </c>
      <c r="J26" s="5">
        <f>INDEX('01_Benchmark_Input'!$C$2:$C$10,MATCH(B26,'01_Benchmark_Input'!$A$2:$A$10,0))</f>
        <v/>
      </c>
      <c r="K26" s="6">
        <f>IF(A26="Bear",INDEX('01_Benchmark_Input'!$AB$2:$AB$10,MATCH(B26,'01_Benchmark_Input'!$A$2:$A$10,0)),IF(A26="Bull",INDEX('01_Benchmark_Input'!$AD$2:$AD$10,MATCH(B26,'01_Benchmark_Input'!$A$2:$A$10,0)),INDEX('01_Benchmark_Input'!$AC$2:$AC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23" t="n">
        <v>3.5</v>
      </c>
      <c r="E27" s="24" t="n">
        <v>0.25714286</v>
      </c>
      <c r="F27" s="23" t="n">
        <v>1.18</v>
      </c>
      <c r="G27" s="24" t="n">
        <v>0.86</v>
      </c>
      <c r="H27" s="24" t="n">
        <v>0.44</v>
      </c>
      <c r="I27" s="5">
        <f>INDEX('01_Benchmark_Input'!$B$2:$B$10,MATCH(B27,'01_Benchmark_Input'!$A$2:$A$10,0))</f>
        <v/>
      </c>
      <c r="J27" s="5">
        <f>INDEX('01_Benchmark_Input'!$C$2:$C$10,MATCH(B27,'01_Benchmark_Input'!$A$2:$A$10,0))</f>
        <v/>
      </c>
      <c r="K27" s="6">
        <f>IF(A27="Bear",INDEX('01_Benchmark_Input'!$AB$2:$AB$10,MATCH(B27,'01_Benchmark_Input'!$A$2:$A$10,0)),IF(A27="Bull",INDEX('01_Benchmark_Input'!$AD$2:$AD$10,MATCH(B27,'01_Benchmark_Input'!$A$2:$A$10,0)),INDEX('01_Benchmark_Input'!$AC$2:$AC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23" t="n">
        <v>4.375</v>
      </c>
      <c r="E28" s="24" t="n">
        <v>0.42742857</v>
      </c>
      <c r="F28" s="23" t="n">
        <v>1.18</v>
      </c>
      <c r="G28" s="24" t="n">
        <v>0.86</v>
      </c>
      <c r="H28" s="24" t="n">
        <v>0.49</v>
      </c>
      <c r="I28" s="5">
        <f>INDEX('01_Benchmark_Input'!$B$2:$B$10,MATCH(B28,'01_Benchmark_Input'!$A$2:$A$10,0))</f>
        <v/>
      </c>
      <c r="J28" s="5">
        <f>INDEX('01_Benchmark_Input'!$C$2:$C$10,MATCH(B28,'01_Benchmark_Input'!$A$2:$A$10,0))</f>
        <v/>
      </c>
      <c r="K28" s="6">
        <f>IF(A28="Bear",INDEX('01_Benchmark_Input'!$AB$2:$AB$10,MATCH(B28,'01_Benchmark_Input'!$A$2:$A$10,0)),IF(A28="Bull",INDEX('01_Benchmark_Input'!$AD$2:$AD$10,MATCH(B28,'01_Benchmark_Input'!$A$2:$A$10,0)),INDEX('01_Benchmark_Input'!$AC$2:$AC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23" t="n">
        <v>5.25</v>
      </c>
      <c r="E29" s="24" t="n">
        <v>0.53238095</v>
      </c>
      <c r="F29" s="23" t="n">
        <v>1.18</v>
      </c>
      <c r="G29" s="24" t="n">
        <v>0.86</v>
      </c>
      <c r="H29" s="24" t="n">
        <v>0.54</v>
      </c>
      <c r="I29" s="5">
        <f>INDEX('01_Benchmark_Input'!$B$2:$B$10,MATCH(B29,'01_Benchmark_Input'!$A$2:$A$10,0))</f>
        <v/>
      </c>
      <c r="J29" s="5">
        <f>INDEX('01_Benchmark_Input'!$C$2:$C$10,MATCH(B29,'01_Benchmark_Input'!$A$2:$A$10,0))</f>
        <v/>
      </c>
      <c r="K29" s="6">
        <f>IF(A29="Bear",INDEX('01_Benchmark_Input'!$AB$2:$AB$10,MATCH(B29,'01_Benchmark_Input'!$A$2:$A$10,0)),IF(A29="Bull",INDEX('01_Benchmark_Input'!$AD$2:$AD$10,MATCH(B29,'01_Benchmark_Input'!$A$2:$A$10,0)),INDEX('01_Benchmark_Input'!$AC$2:$AC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23" t="n">
        <v>6.125</v>
      </c>
      <c r="E30" s="24" t="n">
        <v>0.6</v>
      </c>
      <c r="F30" s="23" t="n">
        <v>1.18</v>
      </c>
      <c r="G30" s="24" t="n">
        <v>0.86</v>
      </c>
      <c r="H30" s="24" t="n">
        <v>0.59</v>
      </c>
      <c r="I30" s="5">
        <f>INDEX('01_Benchmark_Input'!$B$2:$B$10,MATCH(B30,'01_Benchmark_Input'!$A$2:$A$10,0))</f>
        <v/>
      </c>
      <c r="J30" s="5">
        <f>INDEX('01_Benchmark_Input'!$C$2:$C$10,MATCH(B30,'01_Benchmark_Input'!$A$2:$A$10,0))</f>
        <v/>
      </c>
      <c r="K30" s="6">
        <f>IF(A30="Bear",INDEX('01_Benchmark_Input'!$AB$2:$AB$10,MATCH(B30,'01_Benchmark_Input'!$A$2:$A$10,0)),IF(A30="Bull",INDEX('01_Benchmark_Input'!$AD$2:$AD$10,MATCH(B30,'01_Benchmark_Input'!$A$2:$A$10,0)),INDEX('01_Benchmark_Input'!$AC$2:$AC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23" t="n">
        <v>7</v>
      </c>
      <c r="E31" s="24" t="n">
        <v>0.64428571</v>
      </c>
      <c r="F31" s="23" t="n">
        <v>1.18</v>
      </c>
      <c r="G31" s="24" t="n">
        <v>0.86</v>
      </c>
      <c r="H31" s="24" t="n">
        <v>0.64</v>
      </c>
      <c r="I31" s="5">
        <f>INDEX('01_Benchmark_Input'!$B$2:$B$10,MATCH(B31,'01_Benchmark_Input'!$A$2:$A$10,0))</f>
        <v/>
      </c>
      <c r="J31" s="5">
        <f>INDEX('01_Benchmark_Input'!$C$2:$C$10,MATCH(B31,'01_Benchmark_Input'!$A$2:$A$10,0))</f>
        <v/>
      </c>
      <c r="K31" s="6">
        <f>IF(A31="Bear",INDEX('01_Benchmark_Input'!$AB$2:$AB$10,MATCH(B31,'01_Benchmark_Input'!$A$2:$A$10,0)),IF(A31="Bull",INDEX('01_Benchmark_Input'!$AD$2:$AD$10,MATCH(B31,'01_Benchmark_Input'!$A$2:$A$10,0)),INDEX('01_Benchmark_Input'!$AC$2:$AC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23" t="n">
        <v>0.5</v>
      </c>
      <c r="E32" s="24" t="n">
        <v>0.27</v>
      </c>
      <c r="F32" s="23" t="n">
        <v>1.24</v>
      </c>
      <c r="G32" s="24" t="n">
        <v>0.82</v>
      </c>
      <c r="H32" s="24" t="n">
        <v>0.54</v>
      </c>
      <c r="I32" s="5">
        <f>INDEX('01_Benchmark_Input'!$B$2:$B$10,MATCH(B32,'01_Benchmark_Input'!$A$2:$A$10,0))</f>
        <v/>
      </c>
      <c r="J32" s="5">
        <f>INDEX('01_Benchmark_Input'!$C$2:$C$10,MATCH(B32,'01_Benchmark_Input'!$A$2:$A$10,0))</f>
        <v/>
      </c>
      <c r="K32" s="6">
        <f>IF(A32="Bear",INDEX('01_Benchmark_Input'!$AB$2:$AB$10,MATCH(B32,'01_Benchmark_Input'!$A$2:$A$10,0)),IF(A32="Bull",INDEX('01_Benchmark_Input'!$AD$2:$AD$10,MATCH(B32,'01_Benchmark_Input'!$A$2:$A$10,0)),INDEX('01_Benchmark_Input'!$AC$2:$AC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23" t="n">
        <v>0.825</v>
      </c>
      <c r="E33" s="24" t="n">
        <v>0.44</v>
      </c>
      <c r="F33" s="23" t="n">
        <v>1.24</v>
      </c>
      <c r="G33" s="24" t="n">
        <v>0.82</v>
      </c>
      <c r="H33" s="24" t="n">
        <v>0.585</v>
      </c>
      <c r="I33" s="5">
        <f>INDEX('01_Benchmark_Input'!$B$2:$B$10,MATCH(B33,'01_Benchmark_Input'!$A$2:$A$10,0))</f>
        <v/>
      </c>
      <c r="J33" s="5">
        <f>INDEX('01_Benchmark_Input'!$C$2:$C$10,MATCH(B33,'01_Benchmark_Input'!$A$2:$A$10,0))</f>
        <v/>
      </c>
      <c r="K33" s="6">
        <f>IF(A33="Bear",INDEX('01_Benchmark_Input'!$AB$2:$AB$10,MATCH(B33,'01_Benchmark_Input'!$A$2:$A$10,0)),IF(A33="Bull",INDEX('01_Benchmark_Input'!$AD$2:$AD$10,MATCH(B33,'01_Benchmark_Input'!$A$2:$A$10,0)),INDEX('01_Benchmark_Input'!$AC$2:$AC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23" t="n">
        <v>1.15</v>
      </c>
      <c r="E34" s="24" t="n">
        <v>0.50521739</v>
      </c>
      <c r="F34" s="23" t="n">
        <v>1.24</v>
      </c>
      <c r="G34" s="24" t="n">
        <v>0.82</v>
      </c>
      <c r="H34" s="24" t="n">
        <v>0.63</v>
      </c>
      <c r="I34" s="5">
        <f>INDEX('01_Benchmark_Input'!$B$2:$B$10,MATCH(B34,'01_Benchmark_Input'!$A$2:$A$10,0))</f>
        <v/>
      </c>
      <c r="J34" s="5">
        <f>INDEX('01_Benchmark_Input'!$C$2:$C$10,MATCH(B34,'01_Benchmark_Input'!$A$2:$A$10,0))</f>
        <v/>
      </c>
      <c r="K34" s="6">
        <f>IF(A34="Bear",INDEX('01_Benchmark_Input'!$AB$2:$AB$10,MATCH(B34,'01_Benchmark_Input'!$A$2:$A$10,0)),IF(A34="Bull",INDEX('01_Benchmark_Input'!$AD$2:$AD$10,MATCH(B34,'01_Benchmark_Input'!$A$2:$A$10,0)),INDEX('01_Benchmark_Input'!$AC$2:$AC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23" t="n">
        <v>1.475</v>
      </c>
      <c r="E35" s="24" t="n">
        <v>0.53423729</v>
      </c>
      <c r="F35" s="23" t="n">
        <v>1.24</v>
      </c>
      <c r="G35" s="24" t="n">
        <v>0.82</v>
      </c>
      <c r="H35" s="24" t="n">
        <v>0.675</v>
      </c>
      <c r="I35" s="5">
        <f>INDEX('01_Benchmark_Input'!$B$2:$B$10,MATCH(B35,'01_Benchmark_Input'!$A$2:$A$10,0))</f>
        <v/>
      </c>
      <c r="J35" s="5">
        <f>INDEX('01_Benchmark_Input'!$C$2:$C$10,MATCH(B35,'01_Benchmark_Input'!$A$2:$A$10,0))</f>
        <v/>
      </c>
      <c r="K35" s="6">
        <f>IF(A35="Bear",INDEX('01_Benchmark_Input'!$AB$2:$AB$10,MATCH(B35,'01_Benchmark_Input'!$A$2:$A$10,0)),IF(A35="Bull",INDEX('01_Benchmark_Input'!$AD$2:$AD$10,MATCH(B35,'01_Benchmark_Input'!$A$2:$A$10,0)),INDEX('01_Benchmark_Input'!$AC$2:$AC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23" t="n">
        <v>1.8</v>
      </c>
      <c r="E36" s="24" t="n">
        <v>0.54666667</v>
      </c>
      <c r="F36" s="23" t="n">
        <v>1.24</v>
      </c>
      <c r="G36" s="24" t="n">
        <v>0.82</v>
      </c>
      <c r="H36" s="24" t="n">
        <v>0.72</v>
      </c>
      <c r="I36" s="5">
        <f>INDEX('01_Benchmark_Input'!$B$2:$B$10,MATCH(B36,'01_Benchmark_Input'!$A$2:$A$10,0))</f>
        <v/>
      </c>
      <c r="J36" s="5">
        <f>INDEX('01_Benchmark_Input'!$C$2:$C$10,MATCH(B36,'01_Benchmark_Input'!$A$2:$A$10,0))</f>
        <v/>
      </c>
      <c r="K36" s="6">
        <f>IF(A36="Bear",INDEX('01_Benchmark_Input'!$AB$2:$AB$10,MATCH(B36,'01_Benchmark_Input'!$A$2:$A$10,0)),IF(A36="Bull",INDEX('01_Benchmark_Input'!$AD$2:$AD$10,MATCH(B36,'01_Benchmark_Input'!$A$2:$A$10,0)),INDEX('01_Benchmark_Input'!$AC$2:$AC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23" t="n">
        <v>1.8</v>
      </c>
      <c r="E37" s="24" t="n">
        <v>0.325</v>
      </c>
      <c r="F37" s="23" t="n">
        <v>1.23</v>
      </c>
      <c r="G37" s="24" t="n">
        <v>0.84</v>
      </c>
      <c r="H37" s="24" t="n">
        <v>0.52</v>
      </c>
      <c r="I37" s="5">
        <f>INDEX('01_Benchmark_Input'!$B$2:$B$10,MATCH(B37,'01_Benchmark_Input'!$A$2:$A$10,0))</f>
        <v/>
      </c>
      <c r="J37" s="5">
        <f>INDEX('01_Benchmark_Input'!$C$2:$C$10,MATCH(B37,'01_Benchmark_Input'!$A$2:$A$10,0))</f>
        <v/>
      </c>
      <c r="K37" s="6">
        <f>IF(A37="Bear",INDEX('01_Benchmark_Input'!$AB$2:$AB$10,MATCH(B37,'01_Benchmark_Input'!$A$2:$A$10,0)),IF(A37="Bull",INDEX('01_Benchmark_Input'!$AD$2:$AD$10,MATCH(B37,'01_Benchmark_Input'!$A$2:$A$10,0)),INDEX('01_Benchmark_Input'!$AC$2:$AC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23" t="n">
        <v>2.35</v>
      </c>
      <c r="E38" s="24" t="n">
        <v>0.48212766</v>
      </c>
      <c r="F38" s="23" t="n">
        <v>1.23</v>
      </c>
      <c r="G38" s="24" t="n">
        <v>0.84</v>
      </c>
      <c r="H38" s="24" t="n">
        <v>0.5649999999999999</v>
      </c>
      <c r="I38" s="5">
        <f>INDEX('01_Benchmark_Input'!$B$2:$B$10,MATCH(B38,'01_Benchmark_Input'!$A$2:$A$10,0))</f>
        <v/>
      </c>
      <c r="J38" s="5">
        <f>INDEX('01_Benchmark_Input'!$C$2:$C$10,MATCH(B38,'01_Benchmark_Input'!$A$2:$A$10,0))</f>
        <v/>
      </c>
      <c r="K38" s="6">
        <f>IF(A38="Bear",INDEX('01_Benchmark_Input'!$AB$2:$AB$10,MATCH(B38,'01_Benchmark_Input'!$A$2:$A$10,0)),IF(A38="Bull",INDEX('01_Benchmark_Input'!$AD$2:$AD$10,MATCH(B38,'01_Benchmark_Input'!$A$2:$A$10,0)),INDEX('01_Benchmark_Input'!$AC$2:$AC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23" t="n">
        <v>2.9</v>
      </c>
      <c r="E39" s="24" t="n">
        <v>0.57103448</v>
      </c>
      <c r="F39" s="23" t="n">
        <v>1.23</v>
      </c>
      <c r="G39" s="24" t="n">
        <v>0.84</v>
      </c>
      <c r="H39" s="24" t="n">
        <v>0.61</v>
      </c>
      <c r="I39" s="5">
        <f>INDEX('01_Benchmark_Input'!$B$2:$B$10,MATCH(B39,'01_Benchmark_Input'!$A$2:$A$10,0))</f>
        <v/>
      </c>
      <c r="J39" s="5">
        <f>INDEX('01_Benchmark_Input'!$C$2:$C$10,MATCH(B39,'01_Benchmark_Input'!$A$2:$A$10,0))</f>
        <v/>
      </c>
      <c r="K39" s="6">
        <f>IF(A39="Bear",INDEX('01_Benchmark_Input'!$AB$2:$AB$10,MATCH(B39,'01_Benchmark_Input'!$A$2:$A$10,0)),IF(A39="Bull",INDEX('01_Benchmark_Input'!$AD$2:$AD$10,MATCH(B39,'01_Benchmark_Input'!$A$2:$A$10,0)),INDEX('01_Benchmark_Input'!$AC$2:$AC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23" t="n">
        <v>3.45</v>
      </c>
      <c r="E40" s="24" t="n">
        <v>0.62376812</v>
      </c>
      <c r="F40" s="23" t="n">
        <v>1.23</v>
      </c>
      <c r="G40" s="24" t="n">
        <v>0.84</v>
      </c>
      <c r="H40" s="24" t="n">
        <v>0.655</v>
      </c>
      <c r="I40" s="5">
        <f>INDEX('01_Benchmark_Input'!$B$2:$B$10,MATCH(B40,'01_Benchmark_Input'!$A$2:$A$10,0))</f>
        <v/>
      </c>
      <c r="J40" s="5">
        <f>INDEX('01_Benchmark_Input'!$C$2:$C$10,MATCH(B40,'01_Benchmark_Input'!$A$2:$A$10,0))</f>
        <v/>
      </c>
      <c r="K40" s="6">
        <f>IF(A40="Bear",INDEX('01_Benchmark_Input'!$AB$2:$AB$10,MATCH(B40,'01_Benchmark_Input'!$A$2:$A$10,0)),IF(A40="Bull",INDEX('01_Benchmark_Input'!$AD$2:$AD$10,MATCH(B40,'01_Benchmark_Input'!$A$2:$A$10,0)),INDEX('01_Benchmark_Input'!$AC$2:$AC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23" t="n">
        <v>4</v>
      </c>
      <c r="E41" s="24" t="n">
        <v>0.656</v>
      </c>
      <c r="F41" s="23" t="n">
        <v>1.23</v>
      </c>
      <c r="G41" s="24" t="n">
        <v>0.84</v>
      </c>
      <c r="H41" s="24" t="n">
        <v>0.7</v>
      </c>
      <c r="I41" s="5">
        <f>INDEX('01_Benchmark_Input'!$B$2:$B$10,MATCH(B41,'01_Benchmark_Input'!$A$2:$A$10,0))</f>
        <v/>
      </c>
      <c r="J41" s="5">
        <f>INDEX('01_Benchmark_Input'!$C$2:$C$10,MATCH(B41,'01_Benchmark_Input'!$A$2:$A$10,0))</f>
        <v/>
      </c>
      <c r="K41" s="6">
        <f>IF(A41="Bear",INDEX('01_Benchmark_Input'!$AB$2:$AB$10,MATCH(B41,'01_Benchmark_Input'!$A$2:$A$10,0)),IF(A41="Bull",INDEX('01_Benchmark_Input'!$AD$2:$AD$10,MATCH(B41,'01_Benchmark_Input'!$A$2:$A$10,0)),INDEX('01_Benchmark_Input'!$AC$2:$AC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23" t="n">
        <v>1.2</v>
      </c>
      <c r="E42" s="24" t="n">
        <v>0.3375</v>
      </c>
      <c r="F42" s="23" t="n">
        <v>1.23</v>
      </c>
      <c r="G42" s="24" t="n">
        <v>0.84</v>
      </c>
      <c r="H42" s="24" t="n">
        <v>0.52</v>
      </c>
      <c r="I42" s="5">
        <f>INDEX('01_Benchmark_Input'!$B$2:$B$10,MATCH(B42,'01_Benchmark_Input'!$A$2:$A$10,0))</f>
        <v/>
      </c>
      <c r="J42" s="5">
        <f>INDEX('01_Benchmark_Input'!$C$2:$C$10,MATCH(B42,'01_Benchmark_Input'!$A$2:$A$10,0))</f>
        <v/>
      </c>
      <c r="K42" s="6">
        <f>IF(A42="Bear",INDEX('01_Benchmark_Input'!$AB$2:$AB$10,MATCH(B42,'01_Benchmark_Input'!$A$2:$A$10,0)),IF(A42="Bull",INDEX('01_Benchmark_Input'!$AD$2:$AD$10,MATCH(B42,'01_Benchmark_Input'!$A$2:$A$10,0)),INDEX('01_Benchmark_Input'!$AC$2:$AC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23" t="n">
        <v>1.65</v>
      </c>
      <c r="E43" s="24" t="n">
        <v>0.5</v>
      </c>
      <c r="F43" s="23" t="n">
        <v>1.23</v>
      </c>
      <c r="G43" s="24" t="n">
        <v>0.84</v>
      </c>
      <c r="H43" s="24" t="n">
        <v>0.5649999999999999</v>
      </c>
      <c r="I43" s="5">
        <f>INDEX('01_Benchmark_Input'!$B$2:$B$10,MATCH(B43,'01_Benchmark_Input'!$A$2:$A$10,0))</f>
        <v/>
      </c>
      <c r="J43" s="5">
        <f>INDEX('01_Benchmark_Input'!$C$2:$C$10,MATCH(B43,'01_Benchmark_Input'!$A$2:$A$10,0))</f>
        <v/>
      </c>
      <c r="K43" s="6">
        <f>IF(A43="Bear",INDEX('01_Benchmark_Input'!$AB$2:$AB$10,MATCH(B43,'01_Benchmark_Input'!$A$2:$A$10,0)),IF(A43="Bull",INDEX('01_Benchmark_Input'!$AD$2:$AD$10,MATCH(B43,'01_Benchmark_Input'!$A$2:$A$10,0)),INDEX('01_Benchmark_Input'!$AC$2:$AC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23" t="n">
        <v>2.1</v>
      </c>
      <c r="E44" s="24" t="n">
        <v>0.58380952</v>
      </c>
      <c r="F44" s="23" t="n">
        <v>1.23</v>
      </c>
      <c r="G44" s="24" t="n">
        <v>0.84</v>
      </c>
      <c r="H44" s="24" t="n">
        <v>0.61</v>
      </c>
      <c r="I44" s="5">
        <f>INDEX('01_Benchmark_Input'!$B$2:$B$10,MATCH(B44,'01_Benchmark_Input'!$A$2:$A$10,0))</f>
        <v/>
      </c>
      <c r="J44" s="5">
        <f>INDEX('01_Benchmark_Input'!$C$2:$C$10,MATCH(B44,'01_Benchmark_Input'!$A$2:$A$10,0))</f>
        <v/>
      </c>
      <c r="K44" s="6">
        <f>IF(A44="Bear",INDEX('01_Benchmark_Input'!$AB$2:$AB$10,MATCH(B44,'01_Benchmark_Input'!$A$2:$A$10,0)),IF(A44="Bull",INDEX('01_Benchmark_Input'!$AD$2:$AD$10,MATCH(B44,'01_Benchmark_Input'!$A$2:$A$10,0)),INDEX('01_Benchmark_Input'!$AC$2:$AC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23" t="n">
        <v>2.55</v>
      </c>
      <c r="E45" s="24" t="n">
        <v>0.62980392</v>
      </c>
      <c r="F45" s="23" t="n">
        <v>1.23</v>
      </c>
      <c r="G45" s="24" t="n">
        <v>0.84</v>
      </c>
      <c r="H45" s="24" t="n">
        <v>0.655</v>
      </c>
      <c r="I45" s="5">
        <f>INDEX('01_Benchmark_Input'!$B$2:$B$10,MATCH(B45,'01_Benchmark_Input'!$A$2:$A$10,0))</f>
        <v/>
      </c>
      <c r="J45" s="5">
        <f>INDEX('01_Benchmark_Input'!$C$2:$C$10,MATCH(B45,'01_Benchmark_Input'!$A$2:$A$10,0))</f>
        <v/>
      </c>
      <c r="K45" s="6">
        <f>IF(A45="Bear",INDEX('01_Benchmark_Input'!$AB$2:$AB$10,MATCH(B45,'01_Benchmark_Input'!$A$2:$A$10,0)),IF(A45="Bull",INDEX('01_Benchmark_Input'!$AD$2:$AD$10,MATCH(B45,'01_Benchmark_Input'!$A$2:$A$10,0)),INDEX('01_Benchmark_Input'!$AC$2:$AC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23" t="n">
        <v>3</v>
      </c>
      <c r="E46" s="24" t="n">
        <v>0.656</v>
      </c>
      <c r="F46" s="23" t="n">
        <v>1.23</v>
      </c>
      <c r="G46" s="24" t="n">
        <v>0.84</v>
      </c>
      <c r="H46" s="24" t="n">
        <v>0.7</v>
      </c>
      <c r="I46" s="5">
        <f>INDEX('01_Benchmark_Input'!$B$2:$B$10,MATCH(B46,'01_Benchmark_Input'!$A$2:$A$10,0))</f>
        <v/>
      </c>
      <c r="J46" s="5">
        <f>INDEX('01_Benchmark_Input'!$C$2:$C$10,MATCH(B46,'01_Benchmark_Input'!$A$2:$A$10,0))</f>
        <v/>
      </c>
      <c r="K46" s="6">
        <f>IF(A46="Bear",INDEX('01_Benchmark_Input'!$AB$2:$AB$10,MATCH(B46,'01_Benchmark_Input'!$A$2:$A$10,0)),IF(A46="Bull",INDEX('01_Benchmark_Input'!$AD$2:$AD$10,MATCH(B46,'01_Benchmark_Input'!$A$2:$A$10,0)),INDEX('01_Benchmark_Input'!$AC$2:$AC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23" t="n">
        <v>4</v>
      </c>
      <c r="E47" s="24" t="n">
        <v>0.45</v>
      </c>
      <c r="F47" s="23" t="n">
        <v>1.2</v>
      </c>
      <c r="G47" s="24" t="n">
        <v>0.86</v>
      </c>
      <c r="H47" s="24" t="n">
        <v>0.55</v>
      </c>
      <c r="I47" s="5">
        <f>INDEX('01_Benchmark_Input'!$B$2:$B$10,MATCH(B47,'01_Benchmark_Input'!$A$2:$A$10,0))</f>
        <v/>
      </c>
      <c r="J47" s="5">
        <f>INDEX('01_Benchmark_Input'!$C$2:$C$10,MATCH(B47,'01_Benchmark_Input'!$A$2:$A$10,0))</f>
        <v/>
      </c>
      <c r="K47" s="6">
        <f>IF(A47="Bear",INDEX('01_Benchmark_Input'!$AB$2:$AB$10,MATCH(B47,'01_Benchmark_Input'!$A$2:$A$10,0)),IF(A47="Bull",INDEX('01_Benchmark_Input'!$AD$2:$AD$10,MATCH(B47,'01_Benchmark_Input'!$A$2:$A$10,0)),INDEX('01_Benchmark_Input'!$AC$2:$AC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23" t="n">
        <v>5.25</v>
      </c>
      <c r="E48" s="24" t="n">
        <v>0.55238095</v>
      </c>
      <c r="F48" s="23" t="n">
        <v>1.2</v>
      </c>
      <c r="G48" s="24" t="n">
        <v>0.86</v>
      </c>
      <c r="H48" s="24" t="n">
        <v>0.6</v>
      </c>
      <c r="I48" s="5">
        <f>INDEX('01_Benchmark_Input'!$B$2:$B$10,MATCH(B48,'01_Benchmark_Input'!$A$2:$A$10,0))</f>
        <v/>
      </c>
      <c r="J48" s="5">
        <f>INDEX('01_Benchmark_Input'!$C$2:$C$10,MATCH(B48,'01_Benchmark_Input'!$A$2:$A$10,0))</f>
        <v/>
      </c>
      <c r="K48" s="6">
        <f>IF(A48="Bear",INDEX('01_Benchmark_Input'!$AB$2:$AB$10,MATCH(B48,'01_Benchmark_Input'!$A$2:$A$10,0)),IF(A48="Bull",INDEX('01_Benchmark_Input'!$AD$2:$AD$10,MATCH(B48,'01_Benchmark_Input'!$A$2:$A$10,0)),INDEX('01_Benchmark_Input'!$AC$2:$AC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23" t="n">
        <v>6.5</v>
      </c>
      <c r="E49" s="24" t="n">
        <v>0.61538462</v>
      </c>
      <c r="F49" s="23" t="n">
        <v>1.2</v>
      </c>
      <c r="G49" s="24" t="n">
        <v>0.86</v>
      </c>
      <c r="H49" s="24" t="n">
        <v>0.65</v>
      </c>
      <c r="I49" s="5">
        <f>INDEX('01_Benchmark_Input'!$B$2:$B$10,MATCH(B49,'01_Benchmark_Input'!$A$2:$A$10,0))</f>
        <v/>
      </c>
      <c r="J49" s="5">
        <f>INDEX('01_Benchmark_Input'!$C$2:$C$10,MATCH(B49,'01_Benchmark_Input'!$A$2:$A$10,0))</f>
        <v/>
      </c>
      <c r="K49" s="6">
        <f>IF(A49="Bear",INDEX('01_Benchmark_Input'!$AB$2:$AB$10,MATCH(B49,'01_Benchmark_Input'!$A$2:$A$10,0)),IF(A49="Bull",INDEX('01_Benchmark_Input'!$AD$2:$AD$10,MATCH(B49,'01_Benchmark_Input'!$A$2:$A$10,0)),INDEX('01_Benchmark_Input'!$AC$2:$AC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23" t="n">
        <v>7.75</v>
      </c>
      <c r="E50" s="24" t="n">
        <v>0.65806452</v>
      </c>
      <c r="F50" s="23" t="n">
        <v>1.2</v>
      </c>
      <c r="G50" s="24" t="n">
        <v>0.86</v>
      </c>
      <c r="H50" s="24" t="n">
        <v>0.7</v>
      </c>
      <c r="I50" s="5">
        <f>INDEX('01_Benchmark_Input'!$B$2:$B$10,MATCH(B50,'01_Benchmark_Input'!$A$2:$A$10,0))</f>
        <v/>
      </c>
      <c r="J50" s="5">
        <f>INDEX('01_Benchmark_Input'!$C$2:$C$10,MATCH(B50,'01_Benchmark_Input'!$A$2:$A$10,0))</f>
        <v/>
      </c>
      <c r="K50" s="6">
        <f>IF(A50="Bear",INDEX('01_Benchmark_Input'!$AB$2:$AB$10,MATCH(B50,'01_Benchmark_Input'!$A$2:$A$10,0)),IF(A50="Bull",INDEX('01_Benchmark_Input'!$AD$2:$AD$10,MATCH(B50,'01_Benchmark_Input'!$A$2:$A$10,0)),INDEX('01_Benchmark_Input'!$AC$2:$AC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23" t="n">
        <v>9</v>
      </c>
      <c r="E51" s="24" t="n">
        <v>0.68888889</v>
      </c>
      <c r="F51" s="23" t="n">
        <v>1.2</v>
      </c>
      <c r="G51" s="24" t="n">
        <v>0.86</v>
      </c>
      <c r="H51" s="24" t="n">
        <v>0.75</v>
      </c>
      <c r="I51" s="5">
        <f>INDEX('01_Benchmark_Input'!$B$2:$B$10,MATCH(B51,'01_Benchmark_Input'!$A$2:$A$10,0))</f>
        <v/>
      </c>
      <c r="J51" s="5">
        <f>INDEX('01_Benchmark_Input'!$C$2:$C$10,MATCH(B51,'01_Benchmark_Input'!$A$2:$A$10,0))</f>
        <v/>
      </c>
      <c r="K51" s="6">
        <f>IF(A51="Bear",INDEX('01_Benchmark_Input'!$AB$2:$AB$10,MATCH(B51,'01_Benchmark_Input'!$A$2:$A$10,0)),IF(A51="Bull",INDEX('01_Benchmark_Input'!$AD$2:$AD$10,MATCH(B51,'01_Benchmark_Input'!$A$2:$A$10,0)),INDEX('01_Benchmark_Input'!$AC$2:$AC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23" t="n">
        <v>4.5</v>
      </c>
      <c r="E52" s="24" t="n">
        <v>0.48888889</v>
      </c>
      <c r="F52" s="23" t="n">
        <v>1.18</v>
      </c>
      <c r="G52" s="24" t="n">
        <v>0.88</v>
      </c>
      <c r="H52" s="24" t="n">
        <v>0.55</v>
      </c>
      <c r="I52" s="5">
        <f>INDEX('01_Benchmark_Input'!$B$2:$B$10,MATCH(B52,'01_Benchmark_Input'!$A$2:$A$10,0))</f>
        <v/>
      </c>
      <c r="J52" s="5">
        <f>INDEX('01_Benchmark_Input'!$C$2:$C$10,MATCH(B52,'01_Benchmark_Input'!$A$2:$A$10,0))</f>
        <v/>
      </c>
      <c r="K52" s="6">
        <f>IF(A52="Bear",INDEX('01_Benchmark_Input'!$AB$2:$AB$10,MATCH(B52,'01_Benchmark_Input'!$A$2:$A$10,0)),IF(A52="Bull",INDEX('01_Benchmark_Input'!$AD$2:$AD$10,MATCH(B52,'01_Benchmark_Input'!$A$2:$A$10,0)),INDEX('01_Benchmark_Input'!$AC$2:$AC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23" t="n">
        <v>5.375</v>
      </c>
      <c r="E53" s="24" t="n">
        <v>0.62325581</v>
      </c>
      <c r="F53" s="23" t="n">
        <v>1.18</v>
      </c>
      <c r="G53" s="24" t="n">
        <v>0.88</v>
      </c>
      <c r="H53" s="24" t="n">
        <v>0.593</v>
      </c>
      <c r="I53" s="5">
        <f>INDEX('01_Benchmark_Input'!$B$2:$B$10,MATCH(B53,'01_Benchmark_Input'!$A$2:$A$10,0))</f>
        <v/>
      </c>
      <c r="J53" s="5">
        <f>INDEX('01_Benchmark_Input'!$C$2:$C$10,MATCH(B53,'01_Benchmark_Input'!$A$2:$A$10,0))</f>
        <v/>
      </c>
      <c r="K53" s="6">
        <f>IF(A53="Bear",INDEX('01_Benchmark_Input'!$AB$2:$AB$10,MATCH(B53,'01_Benchmark_Input'!$A$2:$A$10,0)),IF(A53="Bull",INDEX('01_Benchmark_Input'!$AD$2:$AD$10,MATCH(B53,'01_Benchmark_Input'!$A$2:$A$10,0)),INDEX('01_Benchmark_Input'!$AC$2:$AC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23" t="n">
        <v>6.25</v>
      </c>
      <c r="E54" s="24" t="n">
        <v>0.72</v>
      </c>
      <c r="F54" s="23" t="n">
        <v>1.18</v>
      </c>
      <c r="G54" s="24" t="n">
        <v>0.88</v>
      </c>
      <c r="H54" s="24" t="n">
        <v>0.635</v>
      </c>
      <c r="I54" s="5">
        <f>INDEX('01_Benchmark_Input'!$B$2:$B$10,MATCH(B54,'01_Benchmark_Input'!$A$2:$A$10,0))</f>
        <v/>
      </c>
      <c r="J54" s="5">
        <f>INDEX('01_Benchmark_Input'!$C$2:$C$10,MATCH(B54,'01_Benchmark_Input'!$A$2:$A$10,0))</f>
        <v/>
      </c>
      <c r="K54" s="6">
        <f>IF(A54="Bear",INDEX('01_Benchmark_Input'!$AB$2:$AB$10,MATCH(B54,'01_Benchmark_Input'!$A$2:$A$10,0)),IF(A54="Bull",INDEX('01_Benchmark_Input'!$AD$2:$AD$10,MATCH(B54,'01_Benchmark_Input'!$A$2:$A$10,0)),INDEX('01_Benchmark_Input'!$AC$2:$AC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23" t="n">
        <v>7.125</v>
      </c>
      <c r="E55" s="24" t="n">
        <v>0.7929824599999999</v>
      </c>
      <c r="F55" s="23" t="n">
        <v>1.18</v>
      </c>
      <c r="G55" s="24" t="n">
        <v>0.88</v>
      </c>
      <c r="H55" s="24" t="n">
        <v>0.677</v>
      </c>
      <c r="I55" s="5">
        <f>INDEX('01_Benchmark_Input'!$B$2:$B$10,MATCH(B55,'01_Benchmark_Input'!$A$2:$A$10,0))</f>
        <v/>
      </c>
      <c r="J55" s="5">
        <f>INDEX('01_Benchmark_Input'!$C$2:$C$10,MATCH(B55,'01_Benchmark_Input'!$A$2:$A$10,0))</f>
        <v/>
      </c>
      <c r="K55" s="6">
        <f>IF(A55="Bear",INDEX('01_Benchmark_Input'!$AB$2:$AB$10,MATCH(B55,'01_Benchmark_Input'!$A$2:$A$10,0)),IF(A55="Bull",INDEX('01_Benchmark_Input'!$AD$2:$AD$10,MATCH(B55,'01_Benchmark_Input'!$A$2:$A$10,0)),INDEX('01_Benchmark_Input'!$AC$2:$AC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23" t="n">
        <v>8</v>
      </c>
      <c r="E56" s="24" t="n">
        <v>0.85</v>
      </c>
      <c r="F56" s="23" t="n">
        <v>1.18</v>
      </c>
      <c r="G56" s="24" t="n">
        <v>0.88</v>
      </c>
      <c r="H56" s="24" t="n">
        <v>0.72</v>
      </c>
      <c r="I56" s="5">
        <f>INDEX('01_Benchmark_Input'!$B$2:$B$10,MATCH(B56,'01_Benchmark_Input'!$A$2:$A$10,0))</f>
        <v/>
      </c>
      <c r="J56" s="5">
        <f>INDEX('01_Benchmark_Input'!$C$2:$C$10,MATCH(B56,'01_Benchmark_Input'!$A$2:$A$10,0))</f>
        <v/>
      </c>
      <c r="K56" s="6">
        <f>IF(A56="Bear",INDEX('01_Benchmark_Input'!$AB$2:$AB$10,MATCH(B56,'01_Benchmark_Input'!$A$2:$A$10,0)),IF(A56="Bull",INDEX('01_Benchmark_Input'!$AD$2:$AD$10,MATCH(B56,'01_Benchmark_Input'!$A$2:$A$10,0)),INDEX('01_Benchmark_Input'!$AC$2:$AC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23" t="n">
        <v>3.5</v>
      </c>
      <c r="E57" s="24" t="n">
        <v>0.45714286</v>
      </c>
      <c r="F57" s="23" t="n">
        <v>1.2</v>
      </c>
      <c r="G57" s="24" t="n">
        <v>0.87</v>
      </c>
      <c r="H57" s="24" t="n">
        <v>0.58</v>
      </c>
      <c r="I57" s="5">
        <f>INDEX('01_Benchmark_Input'!$B$2:$B$10,MATCH(B57,'01_Benchmark_Input'!$A$2:$A$10,0))</f>
        <v/>
      </c>
      <c r="J57" s="5">
        <f>INDEX('01_Benchmark_Input'!$C$2:$C$10,MATCH(B57,'01_Benchmark_Input'!$A$2:$A$10,0))</f>
        <v/>
      </c>
      <c r="K57" s="6">
        <f>IF(A57="Bear",INDEX('01_Benchmark_Input'!$AB$2:$AB$10,MATCH(B57,'01_Benchmark_Input'!$A$2:$A$10,0)),IF(A57="Bull",INDEX('01_Benchmark_Input'!$AD$2:$AD$10,MATCH(B57,'01_Benchmark_Input'!$A$2:$A$10,0)),INDEX('01_Benchmark_Input'!$AC$2:$AC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23" t="n">
        <v>4.375</v>
      </c>
      <c r="E58" s="24" t="n">
        <v>0.60571429</v>
      </c>
      <c r="F58" s="23" t="n">
        <v>1.2</v>
      </c>
      <c r="G58" s="24" t="n">
        <v>0.87</v>
      </c>
      <c r="H58" s="24" t="n">
        <v>0.63</v>
      </c>
      <c r="I58" s="5">
        <f>INDEX('01_Benchmark_Input'!$B$2:$B$10,MATCH(B58,'01_Benchmark_Input'!$A$2:$A$10,0))</f>
        <v/>
      </c>
      <c r="J58" s="5">
        <f>INDEX('01_Benchmark_Input'!$C$2:$C$10,MATCH(B58,'01_Benchmark_Input'!$A$2:$A$10,0))</f>
        <v/>
      </c>
      <c r="K58" s="6">
        <f>IF(A58="Bear",INDEX('01_Benchmark_Input'!$AB$2:$AB$10,MATCH(B58,'01_Benchmark_Input'!$A$2:$A$10,0)),IF(A58="Bull",INDEX('01_Benchmark_Input'!$AD$2:$AD$10,MATCH(B58,'01_Benchmark_Input'!$A$2:$A$10,0)),INDEX('01_Benchmark_Input'!$AC$2:$AC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23" t="n">
        <v>5.25</v>
      </c>
      <c r="E59" s="24" t="n">
        <v>0.7047619000000001</v>
      </c>
      <c r="F59" s="23" t="n">
        <v>1.2</v>
      </c>
      <c r="G59" s="24" t="n">
        <v>0.87</v>
      </c>
      <c r="H59" s="24" t="n">
        <v>0.68</v>
      </c>
      <c r="I59" s="5">
        <f>INDEX('01_Benchmark_Input'!$B$2:$B$10,MATCH(B59,'01_Benchmark_Input'!$A$2:$A$10,0))</f>
        <v/>
      </c>
      <c r="J59" s="5">
        <f>INDEX('01_Benchmark_Input'!$C$2:$C$10,MATCH(B59,'01_Benchmark_Input'!$A$2:$A$10,0))</f>
        <v/>
      </c>
      <c r="K59" s="6">
        <f>IF(A59="Bear",INDEX('01_Benchmark_Input'!$AB$2:$AB$10,MATCH(B59,'01_Benchmark_Input'!$A$2:$A$10,0)),IF(A59="Bull",INDEX('01_Benchmark_Input'!$AD$2:$AD$10,MATCH(B59,'01_Benchmark_Input'!$A$2:$A$10,0)),INDEX('01_Benchmark_Input'!$AC$2:$AC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23" t="n">
        <v>6.125</v>
      </c>
      <c r="E60" s="24" t="n">
        <v>0.7755102</v>
      </c>
      <c r="F60" s="23" t="n">
        <v>1.2</v>
      </c>
      <c r="G60" s="24" t="n">
        <v>0.87</v>
      </c>
      <c r="H60" s="24" t="n">
        <v>0.73</v>
      </c>
      <c r="I60" s="5">
        <f>INDEX('01_Benchmark_Input'!$B$2:$B$10,MATCH(B60,'01_Benchmark_Input'!$A$2:$A$10,0))</f>
        <v/>
      </c>
      <c r="J60" s="5">
        <f>INDEX('01_Benchmark_Input'!$C$2:$C$10,MATCH(B60,'01_Benchmark_Input'!$A$2:$A$10,0))</f>
        <v/>
      </c>
      <c r="K60" s="6">
        <f>IF(A60="Bear",INDEX('01_Benchmark_Input'!$AB$2:$AB$10,MATCH(B60,'01_Benchmark_Input'!$A$2:$A$10,0)),IF(A60="Bull",INDEX('01_Benchmark_Input'!$AD$2:$AD$10,MATCH(B60,'01_Benchmark_Input'!$A$2:$A$10,0)),INDEX('01_Benchmark_Input'!$AC$2:$AC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23" t="n">
        <v>7</v>
      </c>
      <c r="E61" s="24" t="n">
        <v>0.82857143</v>
      </c>
      <c r="F61" s="23" t="n">
        <v>1.2</v>
      </c>
      <c r="G61" s="24" t="n">
        <v>0.87</v>
      </c>
      <c r="H61" s="24" t="n">
        <v>0.78</v>
      </c>
      <c r="I61" s="5">
        <f>INDEX('01_Benchmark_Input'!$B$2:$B$10,MATCH(B61,'01_Benchmark_Input'!$A$2:$A$10,0))</f>
        <v/>
      </c>
      <c r="J61" s="5">
        <f>INDEX('01_Benchmark_Input'!$C$2:$C$10,MATCH(B61,'01_Benchmark_Input'!$A$2:$A$10,0))</f>
        <v/>
      </c>
      <c r="K61" s="6">
        <f>IF(A61="Bear",INDEX('01_Benchmark_Input'!$AB$2:$AB$10,MATCH(B61,'01_Benchmark_Input'!$A$2:$A$10,0)),IF(A61="Bull",INDEX('01_Benchmark_Input'!$AD$2:$AD$10,MATCH(B61,'01_Benchmark_Input'!$A$2:$A$10,0)),INDEX('01_Benchmark_Input'!$AC$2:$AC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23" t="n">
        <v>1</v>
      </c>
      <c r="E62" s="24" t="n">
        <v>0.35</v>
      </c>
      <c r="F62" s="23" t="n">
        <v>1.22</v>
      </c>
      <c r="G62" s="24" t="n">
        <v>0.85</v>
      </c>
      <c r="H62" s="24" t="n">
        <v>0.45</v>
      </c>
      <c r="I62" s="5">
        <f>INDEX('01_Benchmark_Input'!$B$2:$B$10,MATCH(B62,'01_Benchmark_Input'!$A$2:$A$10,0))</f>
        <v/>
      </c>
      <c r="J62" s="5">
        <f>INDEX('01_Benchmark_Input'!$C$2:$C$10,MATCH(B62,'01_Benchmark_Input'!$A$2:$A$10,0))</f>
        <v/>
      </c>
      <c r="K62" s="6">
        <f>IF(A62="Bear",INDEX('01_Benchmark_Input'!$AB$2:$AB$10,MATCH(B62,'01_Benchmark_Input'!$A$2:$A$10,0)),IF(A62="Bull",INDEX('01_Benchmark_Input'!$AD$2:$AD$10,MATCH(B62,'01_Benchmark_Input'!$A$2:$A$10,0)),INDEX('01_Benchmark_Input'!$AC$2:$AC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23" t="n">
        <v>1.5</v>
      </c>
      <c r="E63" s="24" t="n">
        <v>0.59133333</v>
      </c>
      <c r="F63" s="23" t="n">
        <v>1.22</v>
      </c>
      <c r="G63" s="24" t="n">
        <v>0.85</v>
      </c>
      <c r="H63" s="24" t="n">
        <v>0.512</v>
      </c>
      <c r="I63" s="5">
        <f>INDEX('01_Benchmark_Input'!$B$2:$B$10,MATCH(B63,'01_Benchmark_Input'!$A$2:$A$10,0))</f>
        <v/>
      </c>
      <c r="J63" s="5">
        <f>INDEX('01_Benchmark_Input'!$C$2:$C$10,MATCH(B63,'01_Benchmark_Input'!$A$2:$A$10,0))</f>
        <v/>
      </c>
      <c r="K63" s="6">
        <f>IF(A63="Bear",INDEX('01_Benchmark_Input'!$AB$2:$AB$10,MATCH(B63,'01_Benchmark_Input'!$A$2:$A$10,0)),IF(A63="Bull",INDEX('01_Benchmark_Input'!$AD$2:$AD$10,MATCH(B63,'01_Benchmark_Input'!$A$2:$A$10,0)),INDEX('01_Benchmark_Input'!$AC$2:$AC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23" t="n">
        <v>2</v>
      </c>
      <c r="E64" s="24" t="n">
        <v>0.7125</v>
      </c>
      <c r="F64" s="23" t="n">
        <v>1.22</v>
      </c>
      <c r="G64" s="24" t="n">
        <v>0.85</v>
      </c>
      <c r="H64" s="24" t="n">
        <v>0.575</v>
      </c>
      <c r="I64" s="5">
        <f>INDEX('01_Benchmark_Input'!$B$2:$B$10,MATCH(B64,'01_Benchmark_Input'!$A$2:$A$10,0))</f>
        <v/>
      </c>
      <c r="J64" s="5">
        <f>INDEX('01_Benchmark_Input'!$C$2:$C$10,MATCH(B64,'01_Benchmark_Input'!$A$2:$A$10,0))</f>
        <v/>
      </c>
      <c r="K64" s="6">
        <f>IF(A64="Bear",INDEX('01_Benchmark_Input'!$AB$2:$AB$10,MATCH(B64,'01_Benchmark_Input'!$A$2:$A$10,0)),IF(A64="Bull",INDEX('01_Benchmark_Input'!$AD$2:$AD$10,MATCH(B64,'01_Benchmark_Input'!$A$2:$A$10,0)),INDEX('01_Benchmark_Input'!$AC$2:$AC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23" t="n">
        <v>2.5</v>
      </c>
      <c r="E65" s="24" t="n">
        <v>0.7848000000000001</v>
      </c>
      <c r="F65" s="23" t="n">
        <v>1.22</v>
      </c>
      <c r="G65" s="24" t="n">
        <v>0.85</v>
      </c>
      <c r="H65" s="24" t="n">
        <v>0.637</v>
      </c>
      <c r="I65" s="5">
        <f>INDEX('01_Benchmark_Input'!$B$2:$B$10,MATCH(B65,'01_Benchmark_Input'!$A$2:$A$10,0))</f>
        <v/>
      </c>
      <c r="J65" s="5">
        <f>INDEX('01_Benchmark_Input'!$C$2:$C$10,MATCH(B65,'01_Benchmark_Input'!$A$2:$A$10,0))</f>
        <v/>
      </c>
      <c r="K65" s="6">
        <f>IF(A65="Bear",INDEX('01_Benchmark_Input'!$AB$2:$AB$10,MATCH(B65,'01_Benchmark_Input'!$A$2:$A$10,0)),IF(A65="Bull",INDEX('01_Benchmark_Input'!$AD$2:$AD$10,MATCH(B65,'01_Benchmark_Input'!$A$2:$A$10,0)),INDEX('01_Benchmark_Input'!$AC$2:$AC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23" t="n">
        <v>3</v>
      </c>
      <c r="E66" s="24" t="n">
        <v>0.83333333</v>
      </c>
      <c r="F66" s="23" t="n">
        <v>1.22</v>
      </c>
      <c r="G66" s="24" t="n">
        <v>0.85</v>
      </c>
      <c r="H66" s="24" t="n">
        <v>0.7</v>
      </c>
      <c r="I66" s="5">
        <f>INDEX('01_Benchmark_Input'!$B$2:$B$10,MATCH(B66,'01_Benchmark_Input'!$A$2:$A$10,0))</f>
        <v/>
      </c>
      <c r="J66" s="5">
        <f>INDEX('01_Benchmark_Input'!$C$2:$C$10,MATCH(B66,'01_Benchmark_Input'!$A$2:$A$10,0))</f>
        <v/>
      </c>
      <c r="K66" s="6">
        <f>IF(A66="Bear",INDEX('01_Benchmark_Input'!$AB$2:$AB$10,MATCH(B66,'01_Benchmark_Input'!$A$2:$A$10,0)),IF(A66="Bull",INDEX('01_Benchmark_Input'!$AD$2:$AD$10,MATCH(B66,'01_Benchmark_Input'!$A$2:$A$10,0)),INDEX('01_Benchmark_Input'!$AC$2:$AC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23" t="n">
        <v>5</v>
      </c>
      <c r="E67" s="24" t="n">
        <v>0.28</v>
      </c>
      <c r="F67" s="23" t="n">
        <v>1.2</v>
      </c>
      <c r="G67" s="24" t="n">
        <v>0.88</v>
      </c>
      <c r="H67" s="24" t="n">
        <v>0.58</v>
      </c>
      <c r="I67" s="5">
        <f>INDEX('01_Benchmark_Input'!$B$2:$B$10,MATCH(B67,'01_Benchmark_Input'!$A$2:$A$10,0))</f>
        <v/>
      </c>
      <c r="J67" s="5">
        <f>INDEX('01_Benchmark_Input'!$C$2:$C$10,MATCH(B67,'01_Benchmark_Input'!$A$2:$A$10,0))</f>
        <v/>
      </c>
      <c r="K67" s="6">
        <f>IF(A67="Bear",INDEX('01_Benchmark_Input'!$AB$2:$AB$10,MATCH(B67,'01_Benchmark_Input'!$A$2:$A$10,0)),IF(A67="Bull",INDEX('01_Benchmark_Input'!$AD$2:$AD$10,MATCH(B67,'01_Benchmark_Input'!$A$2:$A$10,0)),INDEX('01_Benchmark_Input'!$AC$2:$AC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23" t="n">
        <v>6.75</v>
      </c>
      <c r="E68" s="24" t="n">
        <v>0.47037037</v>
      </c>
      <c r="F68" s="23" t="n">
        <v>1.2</v>
      </c>
      <c r="G68" s="24" t="n">
        <v>0.88</v>
      </c>
      <c r="H68" s="24" t="n">
        <v>0.63</v>
      </c>
      <c r="I68" s="5">
        <f>INDEX('01_Benchmark_Input'!$B$2:$B$10,MATCH(B68,'01_Benchmark_Input'!$A$2:$A$10,0))</f>
        <v/>
      </c>
      <c r="J68" s="5">
        <f>INDEX('01_Benchmark_Input'!$C$2:$C$10,MATCH(B68,'01_Benchmark_Input'!$A$2:$A$10,0))</f>
        <v/>
      </c>
      <c r="K68" s="6">
        <f>IF(A68="Bear",INDEX('01_Benchmark_Input'!$AB$2:$AB$10,MATCH(B68,'01_Benchmark_Input'!$A$2:$A$10,0)),IF(A68="Bull",INDEX('01_Benchmark_Input'!$AD$2:$AD$10,MATCH(B68,'01_Benchmark_Input'!$A$2:$A$10,0)),INDEX('01_Benchmark_Input'!$AC$2:$AC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23" t="n">
        <v>8.5</v>
      </c>
      <c r="E69" s="24" t="n">
        <v>0.58235294</v>
      </c>
      <c r="F69" s="23" t="n">
        <v>1.2</v>
      </c>
      <c r="G69" s="24" t="n">
        <v>0.88</v>
      </c>
      <c r="H69" s="24" t="n">
        <v>0.68</v>
      </c>
      <c r="I69" s="5">
        <f>INDEX('01_Benchmark_Input'!$B$2:$B$10,MATCH(B69,'01_Benchmark_Input'!$A$2:$A$10,0))</f>
        <v/>
      </c>
      <c r="J69" s="5">
        <f>INDEX('01_Benchmark_Input'!$C$2:$C$10,MATCH(B69,'01_Benchmark_Input'!$A$2:$A$10,0))</f>
        <v/>
      </c>
      <c r="K69" s="6">
        <f>IF(A69="Bear",INDEX('01_Benchmark_Input'!$AB$2:$AB$10,MATCH(B69,'01_Benchmark_Input'!$A$2:$A$10,0)),IF(A69="Bull",INDEX('01_Benchmark_Input'!$AD$2:$AD$10,MATCH(B69,'01_Benchmark_Input'!$A$2:$A$10,0)),INDEX('01_Benchmark_Input'!$AC$2:$AC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23" t="n">
        <v>10.25</v>
      </c>
      <c r="E70" s="24" t="n">
        <v>0.65609756</v>
      </c>
      <c r="F70" s="23" t="n">
        <v>1.2</v>
      </c>
      <c r="G70" s="24" t="n">
        <v>0.88</v>
      </c>
      <c r="H70" s="24" t="n">
        <v>0.73</v>
      </c>
      <c r="I70" s="5">
        <f>INDEX('01_Benchmark_Input'!$B$2:$B$10,MATCH(B70,'01_Benchmark_Input'!$A$2:$A$10,0))</f>
        <v/>
      </c>
      <c r="J70" s="5">
        <f>INDEX('01_Benchmark_Input'!$C$2:$C$10,MATCH(B70,'01_Benchmark_Input'!$A$2:$A$10,0))</f>
        <v/>
      </c>
      <c r="K70" s="6">
        <f>IF(A70="Bear",INDEX('01_Benchmark_Input'!$AB$2:$AB$10,MATCH(B70,'01_Benchmark_Input'!$A$2:$A$10,0)),IF(A70="Bull",INDEX('01_Benchmark_Input'!$AD$2:$AD$10,MATCH(B70,'01_Benchmark_Input'!$A$2:$A$10,0)),INDEX('01_Benchmark_Input'!$AC$2:$AC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23" t="n">
        <v>12</v>
      </c>
      <c r="E71" s="24" t="n">
        <v>0.70833333</v>
      </c>
      <c r="F71" s="23" t="n">
        <v>1.2</v>
      </c>
      <c r="G71" s="24" t="n">
        <v>0.88</v>
      </c>
      <c r="H71" s="24" t="n">
        <v>0.78</v>
      </c>
      <c r="I71" s="5">
        <f>INDEX('01_Benchmark_Input'!$B$2:$B$10,MATCH(B71,'01_Benchmark_Input'!$A$2:$A$10,0))</f>
        <v/>
      </c>
      <c r="J71" s="5">
        <f>INDEX('01_Benchmark_Input'!$C$2:$C$10,MATCH(B71,'01_Benchmark_Input'!$A$2:$A$10,0))</f>
        <v/>
      </c>
      <c r="K71" s="6">
        <f>IF(A71="Bear",INDEX('01_Benchmark_Input'!$AB$2:$AB$10,MATCH(B71,'01_Benchmark_Input'!$A$2:$A$10,0)),IF(A71="Bull",INDEX('01_Benchmark_Input'!$AD$2:$AD$10,MATCH(B71,'01_Benchmark_Input'!$A$2:$A$10,0)),INDEX('01_Benchmark_Input'!$AC$2:$AC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23" t="n">
        <v>3.5</v>
      </c>
      <c r="E72" s="24" t="n">
        <v>0.28571429</v>
      </c>
      <c r="F72" s="23" t="n">
        <v>1.18</v>
      </c>
      <c r="G72" s="24" t="n">
        <v>0.86</v>
      </c>
      <c r="H72" s="24" t="n">
        <v>0.52</v>
      </c>
      <c r="I72" s="5">
        <f>INDEX('01_Benchmark_Input'!$B$2:$B$10,MATCH(B72,'01_Benchmark_Input'!$A$2:$A$10,0))</f>
        <v/>
      </c>
      <c r="J72" s="5">
        <f>INDEX('01_Benchmark_Input'!$C$2:$C$10,MATCH(B72,'01_Benchmark_Input'!$A$2:$A$10,0))</f>
        <v/>
      </c>
      <c r="K72" s="6">
        <f>IF(A72="Bear",INDEX('01_Benchmark_Input'!$AB$2:$AB$10,MATCH(B72,'01_Benchmark_Input'!$A$2:$A$10,0)),IF(A72="Bull",INDEX('01_Benchmark_Input'!$AD$2:$AD$10,MATCH(B72,'01_Benchmark_Input'!$A$2:$A$10,0)),INDEX('01_Benchmark_Input'!$AC$2:$AC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23" t="n">
        <v>4.375</v>
      </c>
      <c r="E73" s="24" t="n">
        <v>0.48571429</v>
      </c>
      <c r="F73" s="23" t="n">
        <v>1.18</v>
      </c>
      <c r="G73" s="24" t="n">
        <v>0.86</v>
      </c>
      <c r="H73" s="24" t="n">
        <v>0.575</v>
      </c>
      <c r="I73" s="5">
        <f>INDEX('01_Benchmark_Input'!$B$2:$B$10,MATCH(B73,'01_Benchmark_Input'!$A$2:$A$10,0))</f>
        <v/>
      </c>
      <c r="J73" s="5">
        <f>INDEX('01_Benchmark_Input'!$C$2:$C$10,MATCH(B73,'01_Benchmark_Input'!$A$2:$A$10,0))</f>
        <v/>
      </c>
      <c r="K73" s="6">
        <f>IF(A73="Bear",INDEX('01_Benchmark_Input'!$AB$2:$AB$10,MATCH(B73,'01_Benchmark_Input'!$A$2:$A$10,0)),IF(A73="Bull",INDEX('01_Benchmark_Input'!$AD$2:$AD$10,MATCH(B73,'01_Benchmark_Input'!$A$2:$A$10,0)),INDEX('01_Benchmark_Input'!$AC$2:$AC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23" t="n">
        <v>5.25</v>
      </c>
      <c r="E74" s="24" t="n">
        <v>0.61904762</v>
      </c>
      <c r="F74" s="23" t="n">
        <v>1.18</v>
      </c>
      <c r="G74" s="24" t="n">
        <v>0.86</v>
      </c>
      <c r="H74" s="24" t="n">
        <v>0.63</v>
      </c>
      <c r="I74" s="5">
        <f>INDEX('01_Benchmark_Input'!$B$2:$B$10,MATCH(B74,'01_Benchmark_Input'!$A$2:$A$10,0))</f>
        <v/>
      </c>
      <c r="J74" s="5">
        <f>INDEX('01_Benchmark_Input'!$C$2:$C$10,MATCH(B74,'01_Benchmark_Input'!$A$2:$A$10,0))</f>
        <v/>
      </c>
      <c r="K74" s="6">
        <f>IF(A74="Bear",INDEX('01_Benchmark_Input'!$AB$2:$AB$10,MATCH(B74,'01_Benchmark_Input'!$A$2:$A$10,0)),IF(A74="Bull",INDEX('01_Benchmark_Input'!$AD$2:$AD$10,MATCH(B74,'01_Benchmark_Input'!$A$2:$A$10,0)),INDEX('01_Benchmark_Input'!$AC$2:$AC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23" t="n">
        <v>6.125</v>
      </c>
      <c r="E75" s="24" t="n">
        <v>0.71428571</v>
      </c>
      <c r="F75" s="23" t="n">
        <v>1.18</v>
      </c>
      <c r="G75" s="24" t="n">
        <v>0.86</v>
      </c>
      <c r="H75" s="24" t="n">
        <v>0.6850000000000001</v>
      </c>
      <c r="I75" s="5">
        <f>INDEX('01_Benchmark_Input'!$B$2:$B$10,MATCH(B75,'01_Benchmark_Input'!$A$2:$A$10,0))</f>
        <v/>
      </c>
      <c r="J75" s="5">
        <f>INDEX('01_Benchmark_Input'!$C$2:$C$10,MATCH(B75,'01_Benchmark_Input'!$A$2:$A$10,0))</f>
        <v/>
      </c>
      <c r="K75" s="6">
        <f>IF(A75="Bear",INDEX('01_Benchmark_Input'!$AB$2:$AB$10,MATCH(B75,'01_Benchmark_Input'!$A$2:$A$10,0)),IF(A75="Bull",INDEX('01_Benchmark_Input'!$AD$2:$AD$10,MATCH(B75,'01_Benchmark_Input'!$A$2:$A$10,0)),INDEX('01_Benchmark_Input'!$AC$2:$AC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23" t="n">
        <v>7</v>
      </c>
      <c r="E76" s="24" t="n">
        <v>0.78571429</v>
      </c>
      <c r="F76" s="23" t="n">
        <v>1.18</v>
      </c>
      <c r="G76" s="24" t="n">
        <v>0.86</v>
      </c>
      <c r="H76" s="24" t="n">
        <v>0.74</v>
      </c>
      <c r="I76" s="5">
        <f>INDEX('01_Benchmark_Input'!$B$2:$B$10,MATCH(B76,'01_Benchmark_Input'!$A$2:$A$10,0))</f>
        <v/>
      </c>
      <c r="J76" s="5">
        <f>INDEX('01_Benchmark_Input'!$C$2:$C$10,MATCH(B76,'01_Benchmark_Input'!$A$2:$A$10,0))</f>
        <v/>
      </c>
      <c r="K76" s="6">
        <f>IF(A76="Bear",INDEX('01_Benchmark_Input'!$AB$2:$AB$10,MATCH(B76,'01_Benchmark_Input'!$A$2:$A$10,0)),IF(A76="Bull",INDEX('01_Benchmark_Input'!$AD$2:$AD$10,MATCH(B76,'01_Benchmark_Input'!$A$2:$A$10,0)),INDEX('01_Benchmark_Input'!$AC$2:$AC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23" t="n">
        <v>0.5</v>
      </c>
      <c r="E77" s="24" t="n">
        <v>0.3</v>
      </c>
      <c r="F77" s="23" t="n">
        <v>1.24</v>
      </c>
      <c r="G77" s="24" t="n">
        <v>0.82</v>
      </c>
      <c r="H77" s="24" t="n">
        <v>0.62</v>
      </c>
      <c r="I77" s="5">
        <f>INDEX('01_Benchmark_Input'!$B$2:$B$10,MATCH(B77,'01_Benchmark_Input'!$A$2:$A$10,0))</f>
        <v/>
      </c>
      <c r="J77" s="5">
        <f>INDEX('01_Benchmark_Input'!$C$2:$C$10,MATCH(B77,'01_Benchmark_Input'!$A$2:$A$10,0))</f>
        <v/>
      </c>
      <c r="K77" s="6">
        <f>IF(A77="Bear",INDEX('01_Benchmark_Input'!$AB$2:$AB$10,MATCH(B77,'01_Benchmark_Input'!$A$2:$A$10,0)),IF(A77="Bull",INDEX('01_Benchmark_Input'!$AD$2:$AD$10,MATCH(B77,'01_Benchmark_Input'!$A$2:$A$10,0)),INDEX('01_Benchmark_Input'!$AC$2:$AC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23" t="n">
        <v>0.825</v>
      </c>
      <c r="E78" s="24" t="n">
        <v>0.49939394</v>
      </c>
      <c r="F78" s="23" t="n">
        <v>1.24</v>
      </c>
      <c r="G78" s="24" t="n">
        <v>0.82</v>
      </c>
      <c r="H78" s="24" t="n">
        <v>0.67</v>
      </c>
      <c r="I78" s="5">
        <f>INDEX('01_Benchmark_Input'!$B$2:$B$10,MATCH(B78,'01_Benchmark_Input'!$A$2:$A$10,0))</f>
        <v/>
      </c>
      <c r="J78" s="5">
        <f>INDEX('01_Benchmark_Input'!$C$2:$C$10,MATCH(B78,'01_Benchmark_Input'!$A$2:$A$10,0))</f>
        <v/>
      </c>
      <c r="K78" s="6">
        <f>IF(A78="Bear",INDEX('01_Benchmark_Input'!$AB$2:$AB$10,MATCH(B78,'01_Benchmark_Input'!$A$2:$A$10,0)),IF(A78="Bull",INDEX('01_Benchmark_Input'!$AD$2:$AD$10,MATCH(B78,'01_Benchmark_Input'!$A$2:$A$10,0)),INDEX('01_Benchmark_Input'!$AC$2:$AC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23" t="n">
        <v>1.15</v>
      </c>
      <c r="E79" s="24" t="n">
        <v>0.58695652</v>
      </c>
      <c r="F79" s="23" t="n">
        <v>1.24</v>
      </c>
      <c r="G79" s="24" t="n">
        <v>0.82</v>
      </c>
      <c r="H79" s="24" t="n">
        <v>0.72</v>
      </c>
      <c r="I79" s="5">
        <f>INDEX('01_Benchmark_Input'!$B$2:$B$10,MATCH(B79,'01_Benchmark_Input'!$A$2:$A$10,0))</f>
        <v/>
      </c>
      <c r="J79" s="5">
        <f>INDEX('01_Benchmark_Input'!$C$2:$C$10,MATCH(B79,'01_Benchmark_Input'!$A$2:$A$10,0))</f>
        <v/>
      </c>
      <c r="K79" s="6">
        <f>IF(A79="Bear",INDEX('01_Benchmark_Input'!$AB$2:$AB$10,MATCH(B79,'01_Benchmark_Input'!$A$2:$A$10,0)),IF(A79="Bull",INDEX('01_Benchmark_Input'!$AD$2:$AD$10,MATCH(B79,'01_Benchmark_Input'!$A$2:$A$10,0)),INDEX('01_Benchmark_Input'!$AC$2:$AC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23" t="n">
        <v>1.475</v>
      </c>
      <c r="E80" s="24" t="n">
        <v>0.6359321999999999</v>
      </c>
      <c r="F80" s="23" t="n">
        <v>1.24</v>
      </c>
      <c r="G80" s="24" t="n">
        <v>0.82</v>
      </c>
      <c r="H80" s="24" t="n">
        <v>0.77</v>
      </c>
      <c r="I80" s="5">
        <f>INDEX('01_Benchmark_Input'!$B$2:$B$10,MATCH(B80,'01_Benchmark_Input'!$A$2:$A$10,0))</f>
        <v/>
      </c>
      <c r="J80" s="5">
        <f>INDEX('01_Benchmark_Input'!$C$2:$C$10,MATCH(B80,'01_Benchmark_Input'!$A$2:$A$10,0))</f>
        <v/>
      </c>
      <c r="K80" s="6">
        <f>IF(A80="Bear",INDEX('01_Benchmark_Input'!$AB$2:$AB$10,MATCH(B80,'01_Benchmark_Input'!$A$2:$A$10,0)),IF(A80="Bull",INDEX('01_Benchmark_Input'!$AD$2:$AD$10,MATCH(B80,'01_Benchmark_Input'!$A$2:$A$10,0)),INDEX('01_Benchmark_Input'!$AC$2:$AC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23" t="n">
        <v>1.8</v>
      </c>
      <c r="E81" s="24" t="n">
        <v>0.66666667</v>
      </c>
      <c r="F81" s="23" t="n">
        <v>1.24</v>
      </c>
      <c r="G81" s="24" t="n">
        <v>0.82</v>
      </c>
      <c r="H81" s="24" t="n">
        <v>0.82</v>
      </c>
      <c r="I81" s="5">
        <f>INDEX('01_Benchmark_Input'!$B$2:$B$10,MATCH(B81,'01_Benchmark_Input'!$A$2:$A$10,0))</f>
        <v/>
      </c>
      <c r="J81" s="5">
        <f>INDEX('01_Benchmark_Input'!$C$2:$C$10,MATCH(B81,'01_Benchmark_Input'!$A$2:$A$10,0))</f>
        <v/>
      </c>
      <c r="K81" s="6">
        <f>IF(A81="Bear",INDEX('01_Benchmark_Input'!$AB$2:$AB$10,MATCH(B81,'01_Benchmark_Input'!$A$2:$A$10,0)),IF(A81="Bull",INDEX('01_Benchmark_Input'!$AD$2:$AD$10,MATCH(B81,'01_Benchmark_Input'!$A$2:$A$10,0)),INDEX('01_Benchmark_Input'!$AC$2:$AC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23" t="n">
        <v>1.8</v>
      </c>
      <c r="E82" s="24" t="n">
        <v>0.36111111</v>
      </c>
      <c r="F82" s="23" t="n">
        <v>1.23</v>
      </c>
      <c r="G82" s="24" t="n">
        <v>0.84</v>
      </c>
      <c r="H82" s="24" t="n">
        <v>0.6</v>
      </c>
      <c r="I82" s="5">
        <f>INDEX('01_Benchmark_Input'!$B$2:$B$10,MATCH(B82,'01_Benchmark_Input'!$A$2:$A$10,0))</f>
        <v/>
      </c>
      <c r="J82" s="5">
        <f>INDEX('01_Benchmark_Input'!$C$2:$C$10,MATCH(B82,'01_Benchmark_Input'!$A$2:$A$10,0))</f>
        <v/>
      </c>
      <c r="K82" s="6">
        <f>IF(A82="Bear",INDEX('01_Benchmark_Input'!$AB$2:$AB$10,MATCH(B82,'01_Benchmark_Input'!$A$2:$A$10,0)),IF(A82="Bull",INDEX('01_Benchmark_Input'!$AD$2:$AD$10,MATCH(B82,'01_Benchmark_Input'!$A$2:$A$10,0)),INDEX('01_Benchmark_Input'!$AC$2:$AC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23" t="n">
        <v>2.35</v>
      </c>
      <c r="E83" s="24" t="n">
        <v>0.54808511</v>
      </c>
      <c r="F83" s="23" t="n">
        <v>1.23</v>
      </c>
      <c r="G83" s="24" t="n">
        <v>0.84</v>
      </c>
      <c r="H83" s="24" t="n">
        <v>0.65</v>
      </c>
      <c r="I83" s="5">
        <f>INDEX('01_Benchmark_Input'!$B$2:$B$10,MATCH(B83,'01_Benchmark_Input'!$A$2:$A$10,0))</f>
        <v/>
      </c>
      <c r="J83" s="5">
        <f>INDEX('01_Benchmark_Input'!$C$2:$C$10,MATCH(B83,'01_Benchmark_Input'!$A$2:$A$10,0))</f>
        <v/>
      </c>
      <c r="K83" s="6">
        <f>IF(A83="Bear",INDEX('01_Benchmark_Input'!$AB$2:$AB$10,MATCH(B83,'01_Benchmark_Input'!$A$2:$A$10,0)),IF(A83="Bull",INDEX('01_Benchmark_Input'!$AD$2:$AD$10,MATCH(B83,'01_Benchmark_Input'!$A$2:$A$10,0)),INDEX('01_Benchmark_Input'!$AC$2:$AC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23" t="n">
        <v>2.9</v>
      </c>
      <c r="E84" s="24" t="n">
        <v>0.6637931</v>
      </c>
      <c r="F84" s="23" t="n">
        <v>1.23</v>
      </c>
      <c r="G84" s="24" t="n">
        <v>0.84</v>
      </c>
      <c r="H84" s="24" t="n">
        <v>0.7</v>
      </c>
      <c r="I84" s="5">
        <f>INDEX('01_Benchmark_Input'!$B$2:$B$10,MATCH(B84,'01_Benchmark_Input'!$A$2:$A$10,0))</f>
        <v/>
      </c>
      <c r="J84" s="5">
        <f>INDEX('01_Benchmark_Input'!$C$2:$C$10,MATCH(B84,'01_Benchmark_Input'!$A$2:$A$10,0))</f>
        <v/>
      </c>
      <c r="K84" s="6">
        <f>IF(A84="Bear",INDEX('01_Benchmark_Input'!$AB$2:$AB$10,MATCH(B84,'01_Benchmark_Input'!$A$2:$A$10,0)),IF(A84="Bull",INDEX('01_Benchmark_Input'!$AD$2:$AD$10,MATCH(B84,'01_Benchmark_Input'!$A$2:$A$10,0)),INDEX('01_Benchmark_Input'!$AC$2:$AC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23" t="n">
        <v>3.45</v>
      </c>
      <c r="E85" s="24" t="n">
        <v>0.7426087</v>
      </c>
      <c r="F85" s="23" t="n">
        <v>1.23</v>
      </c>
      <c r="G85" s="24" t="n">
        <v>0.84</v>
      </c>
      <c r="H85" s="24" t="n">
        <v>0.75</v>
      </c>
      <c r="I85" s="5">
        <f>INDEX('01_Benchmark_Input'!$B$2:$B$10,MATCH(B85,'01_Benchmark_Input'!$A$2:$A$10,0))</f>
        <v/>
      </c>
      <c r="J85" s="5">
        <f>INDEX('01_Benchmark_Input'!$C$2:$C$10,MATCH(B85,'01_Benchmark_Input'!$A$2:$A$10,0))</f>
        <v/>
      </c>
      <c r="K85" s="6">
        <f>IF(A85="Bear",INDEX('01_Benchmark_Input'!$AB$2:$AB$10,MATCH(B85,'01_Benchmark_Input'!$A$2:$A$10,0)),IF(A85="Bull",INDEX('01_Benchmark_Input'!$AD$2:$AD$10,MATCH(B85,'01_Benchmark_Input'!$A$2:$A$10,0)),INDEX('01_Benchmark_Input'!$AC$2:$AC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23" t="n">
        <v>4</v>
      </c>
      <c r="E86" s="24" t="n">
        <v>0.8</v>
      </c>
      <c r="F86" s="23" t="n">
        <v>1.23</v>
      </c>
      <c r="G86" s="24" t="n">
        <v>0.84</v>
      </c>
      <c r="H86" s="24" t="n">
        <v>0.8</v>
      </c>
      <c r="I86" s="5">
        <f>INDEX('01_Benchmark_Input'!$B$2:$B$10,MATCH(B86,'01_Benchmark_Input'!$A$2:$A$10,0))</f>
        <v/>
      </c>
      <c r="J86" s="5">
        <f>INDEX('01_Benchmark_Input'!$C$2:$C$10,MATCH(B86,'01_Benchmark_Input'!$A$2:$A$10,0))</f>
        <v/>
      </c>
      <c r="K86" s="6">
        <f>IF(A86="Bear",INDEX('01_Benchmark_Input'!$AB$2:$AB$10,MATCH(B86,'01_Benchmark_Input'!$A$2:$A$10,0)),IF(A86="Bull",INDEX('01_Benchmark_Input'!$AD$2:$AD$10,MATCH(B86,'01_Benchmark_Input'!$A$2:$A$10,0)),INDEX('01_Benchmark_Input'!$AC$2:$AC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23" t="n">
        <v>1.2</v>
      </c>
      <c r="E87" s="24" t="n">
        <v>0.375</v>
      </c>
      <c r="F87" s="23" t="n">
        <v>1.23</v>
      </c>
      <c r="G87" s="24" t="n">
        <v>0.84</v>
      </c>
      <c r="H87" s="24" t="n">
        <v>0.6</v>
      </c>
      <c r="I87" s="5">
        <f>INDEX('01_Benchmark_Input'!$B$2:$B$10,MATCH(B87,'01_Benchmark_Input'!$A$2:$A$10,0))</f>
        <v/>
      </c>
      <c r="J87" s="5">
        <f>INDEX('01_Benchmark_Input'!$C$2:$C$10,MATCH(B87,'01_Benchmark_Input'!$A$2:$A$10,0))</f>
        <v/>
      </c>
      <c r="K87" s="6">
        <f>IF(A87="Bear",INDEX('01_Benchmark_Input'!$AB$2:$AB$10,MATCH(B87,'01_Benchmark_Input'!$A$2:$A$10,0)),IF(A87="Bull",INDEX('01_Benchmark_Input'!$AD$2:$AD$10,MATCH(B87,'01_Benchmark_Input'!$A$2:$A$10,0)),INDEX('01_Benchmark_Input'!$AC$2:$AC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23" t="n">
        <v>1.65</v>
      </c>
      <c r="E88" s="24" t="n">
        <v>0.56848485</v>
      </c>
      <c r="F88" s="23" t="n">
        <v>1.23</v>
      </c>
      <c r="G88" s="24" t="n">
        <v>0.84</v>
      </c>
      <c r="H88" s="24" t="n">
        <v>0.65</v>
      </c>
      <c r="I88" s="5">
        <f>INDEX('01_Benchmark_Input'!$B$2:$B$10,MATCH(B88,'01_Benchmark_Input'!$A$2:$A$10,0))</f>
        <v/>
      </c>
      <c r="J88" s="5">
        <f>INDEX('01_Benchmark_Input'!$C$2:$C$10,MATCH(B88,'01_Benchmark_Input'!$A$2:$A$10,0))</f>
        <v/>
      </c>
      <c r="K88" s="6">
        <f>IF(A88="Bear",INDEX('01_Benchmark_Input'!$AB$2:$AB$10,MATCH(B88,'01_Benchmark_Input'!$A$2:$A$10,0)),IF(A88="Bull",INDEX('01_Benchmark_Input'!$AD$2:$AD$10,MATCH(B88,'01_Benchmark_Input'!$A$2:$A$10,0)),INDEX('01_Benchmark_Input'!$AC$2:$AC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23" t="n">
        <v>2.1</v>
      </c>
      <c r="E89" s="24" t="n">
        <v>0.67857143</v>
      </c>
      <c r="F89" s="23" t="n">
        <v>1.23</v>
      </c>
      <c r="G89" s="24" t="n">
        <v>0.84</v>
      </c>
      <c r="H89" s="24" t="n">
        <v>0.7</v>
      </c>
      <c r="I89" s="5">
        <f>INDEX('01_Benchmark_Input'!$B$2:$B$10,MATCH(B89,'01_Benchmark_Input'!$A$2:$A$10,0))</f>
        <v/>
      </c>
      <c r="J89" s="5">
        <f>INDEX('01_Benchmark_Input'!$C$2:$C$10,MATCH(B89,'01_Benchmark_Input'!$A$2:$A$10,0))</f>
        <v/>
      </c>
      <c r="K89" s="6">
        <f>IF(A89="Bear",INDEX('01_Benchmark_Input'!$AB$2:$AB$10,MATCH(B89,'01_Benchmark_Input'!$A$2:$A$10,0)),IF(A89="Bull",INDEX('01_Benchmark_Input'!$AD$2:$AD$10,MATCH(B89,'01_Benchmark_Input'!$A$2:$A$10,0)),INDEX('01_Benchmark_Input'!$AC$2:$AC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23" t="n">
        <v>2.55</v>
      </c>
      <c r="E90" s="24" t="n">
        <v>0.74980392</v>
      </c>
      <c r="F90" s="23" t="n">
        <v>1.23</v>
      </c>
      <c r="G90" s="24" t="n">
        <v>0.84</v>
      </c>
      <c r="H90" s="24" t="n">
        <v>0.75</v>
      </c>
      <c r="I90" s="5">
        <f>INDEX('01_Benchmark_Input'!$B$2:$B$10,MATCH(B90,'01_Benchmark_Input'!$A$2:$A$10,0))</f>
        <v/>
      </c>
      <c r="J90" s="5">
        <f>INDEX('01_Benchmark_Input'!$C$2:$C$10,MATCH(B90,'01_Benchmark_Input'!$A$2:$A$10,0))</f>
        <v/>
      </c>
      <c r="K90" s="6">
        <f>IF(A90="Bear",INDEX('01_Benchmark_Input'!$AB$2:$AB$10,MATCH(B90,'01_Benchmark_Input'!$A$2:$A$10,0)),IF(A90="Bull",INDEX('01_Benchmark_Input'!$AD$2:$AD$10,MATCH(B90,'01_Benchmark_Input'!$A$2:$A$10,0)),INDEX('01_Benchmark_Input'!$AC$2:$AC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23" t="n">
        <v>3</v>
      </c>
      <c r="E91" s="24" t="n">
        <v>0.8</v>
      </c>
      <c r="F91" s="23" t="n">
        <v>1.23</v>
      </c>
      <c r="G91" s="24" t="n">
        <v>0.84</v>
      </c>
      <c r="H91" s="24" t="n">
        <v>0.8</v>
      </c>
      <c r="I91" s="5">
        <f>INDEX('01_Benchmark_Input'!$B$2:$B$10,MATCH(B91,'01_Benchmark_Input'!$A$2:$A$10,0))</f>
        <v/>
      </c>
      <c r="J91" s="5">
        <f>INDEX('01_Benchmark_Input'!$C$2:$C$10,MATCH(B91,'01_Benchmark_Input'!$A$2:$A$10,0))</f>
        <v/>
      </c>
      <c r="K91" s="6">
        <f>IF(A91="Bear",INDEX('01_Benchmark_Input'!$AB$2:$AB$10,MATCH(B91,'01_Benchmark_Input'!$A$2:$A$10,0)),IF(A91="Bull",INDEX('01_Benchmark_Input'!$AD$2:$AD$10,MATCH(B91,'01_Benchmark_Input'!$A$2:$A$10,0)),INDEX('01_Benchmark_Input'!$AC$2:$AC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23" t="n">
        <v>4</v>
      </c>
      <c r="E92" s="24" t="n">
        <v>0.4725</v>
      </c>
      <c r="F92" s="23" t="n">
        <v>1.2</v>
      </c>
      <c r="G92" s="24" t="n">
        <v>0.86</v>
      </c>
      <c r="H92" s="24" t="n">
        <v>0.6</v>
      </c>
      <c r="I92" s="5">
        <f>INDEX('01_Benchmark_Input'!$B$2:$B$10,MATCH(B92,'01_Benchmark_Input'!$A$2:$A$10,0))</f>
        <v/>
      </c>
      <c r="J92" s="5">
        <f>INDEX('01_Benchmark_Input'!$C$2:$C$10,MATCH(B92,'01_Benchmark_Input'!$A$2:$A$10,0))</f>
        <v/>
      </c>
      <c r="K92" s="6">
        <f>IF(A92="Bear",INDEX('01_Benchmark_Input'!$AB$2:$AB$10,MATCH(B92,'01_Benchmark_Input'!$A$2:$A$10,0)),IF(A92="Bull",INDEX('01_Benchmark_Input'!$AD$2:$AD$10,MATCH(B92,'01_Benchmark_Input'!$A$2:$A$10,0)),INDEX('01_Benchmark_Input'!$AC$2:$AC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23" t="n">
        <v>5.25</v>
      </c>
      <c r="E93" s="24" t="n">
        <v>0.59790476</v>
      </c>
      <c r="F93" s="23" t="n">
        <v>1.2</v>
      </c>
      <c r="G93" s="24" t="n">
        <v>0.86</v>
      </c>
      <c r="H93" s="24" t="n">
        <v>0.658</v>
      </c>
      <c r="I93" s="5">
        <f>INDEX('01_Benchmark_Input'!$B$2:$B$10,MATCH(B93,'01_Benchmark_Input'!$A$2:$A$10,0))</f>
        <v/>
      </c>
      <c r="J93" s="5">
        <f>INDEX('01_Benchmark_Input'!$C$2:$C$10,MATCH(B93,'01_Benchmark_Input'!$A$2:$A$10,0))</f>
        <v/>
      </c>
      <c r="K93" s="6">
        <f>IF(A93="Bear",INDEX('01_Benchmark_Input'!$AB$2:$AB$10,MATCH(B93,'01_Benchmark_Input'!$A$2:$A$10,0)),IF(A93="Bull",INDEX('01_Benchmark_Input'!$AD$2:$AD$10,MATCH(B93,'01_Benchmark_Input'!$A$2:$A$10,0)),INDEX('01_Benchmark_Input'!$AC$2:$AC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23" t="n">
        <v>6.5</v>
      </c>
      <c r="E94" s="24" t="n">
        <v>0.68615385</v>
      </c>
      <c r="F94" s="23" t="n">
        <v>1.2</v>
      </c>
      <c r="G94" s="24" t="n">
        <v>0.86</v>
      </c>
      <c r="H94" s="24" t="n">
        <v>0.715</v>
      </c>
      <c r="I94" s="5">
        <f>INDEX('01_Benchmark_Input'!$B$2:$B$10,MATCH(B94,'01_Benchmark_Input'!$A$2:$A$10,0))</f>
        <v/>
      </c>
      <c r="J94" s="5">
        <f>INDEX('01_Benchmark_Input'!$C$2:$C$10,MATCH(B94,'01_Benchmark_Input'!$A$2:$A$10,0))</f>
        <v/>
      </c>
      <c r="K94" s="6">
        <f>IF(A94="Bear",INDEX('01_Benchmark_Input'!$AB$2:$AB$10,MATCH(B94,'01_Benchmark_Input'!$A$2:$A$10,0)),IF(A94="Bull",INDEX('01_Benchmark_Input'!$AD$2:$AD$10,MATCH(B94,'01_Benchmark_Input'!$A$2:$A$10,0)),INDEX('01_Benchmark_Input'!$AC$2:$AC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23" t="n">
        <v>7.75</v>
      </c>
      <c r="E95" s="24" t="n">
        <v>0.75509677</v>
      </c>
      <c r="F95" s="23" t="n">
        <v>1.2</v>
      </c>
      <c r="G95" s="24" t="n">
        <v>0.86</v>
      </c>
      <c r="H95" s="24" t="n">
        <v>0.772</v>
      </c>
      <c r="I95" s="5">
        <f>INDEX('01_Benchmark_Input'!$B$2:$B$10,MATCH(B95,'01_Benchmark_Input'!$A$2:$A$10,0))</f>
        <v/>
      </c>
      <c r="J95" s="5">
        <f>INDEX('01_Benchmark_Input'!$C$2:$C$10,MATCH(B95,'01_Benchmark_Input'!$A$2:$A$10,0))</f>
        <v/>
      </c>
      <c r="K95" s="6">
        <f>IF(A95="Bear",INDEX('01_Benchmark_Input'!$AB$2:$AB$10,MATCH(B95,'01_Benchmark_Input'!$A$2:$A$10,0)),IF(A95="Bull",INDEX('01_Benchmark_Input'!$AD$2:$AD$10,MATCH(B95,'01_Benchmark_Input'!$A$2:$A$10,0)),INDEX('01_Benchmark_Input'!$AC$2:$AC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23" t="n">
        <v>9</v>
      </c>
      <c r="E96" s="24" t="n">
        <v>0.81288889</v>
      </c>
      <c r="F96" s="23" t="n">
        <v>1.2</v>
      </c>
      <c r="G96" s="24" t="n">
        <v>0.86</v>
      </c>
      <c r="H96" s="24" t="n">
        <v>0.83</v>
      </c>
      <c r="I96" s="5">
        <f>INDEX('01_Benchmark_Input'!$B$2:$B$10,MATCH(B96,'01_Benchmark_Input'!$A$2:$A$10,0))</f>
        <v/>
      </c>
      <c r="J96" s="5">
        <f>INDEX('01_Benchmark_Input'!$C$2:$C$10,MATCH(B96,'01_Benchmark_Input'!$A$2:$A$10,0))</f>
        <v/>
      </c>
      <c r="K96" s="6">
        <f>IF(A96="Bear",INDEX('01_Benchmark_Input'!$AB$2:$AB$10,MATCH(B96,'01_Benchmark_Input'!$A$2:$A$10,0)),IF(A96="Bull",INDEX('01_Benchmark_Input'!$AD$2:$AD$10,MATCH(B96,'01_Benchmark_Input'!$A$2:$A$10,0)),INDEX('01_Benchmark_Input'!$AC$2:$AC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23" t="n">
        <v>4.5</v>
      </c>
      <c r="E97" s="24" t="n">
        <v>0.51333333</v>
      </c>
      <c r="F97" s="23" t="n">
        <v>1.18</v>
      </c>
      <c r="G97" s="24" t="n">
        <v>0.88</v>
      </c>
      <c r="H97" s="24" t="n">
        <v>0.6</v>
      </c>
      <c r="I97" s="5">
        <f>INDEX('01_Benchmark_Input'!$B$2:$B$10,MATCH(B97,'01_Benchmark_Input'!$A$2:$A$10,0))</f>
        <v/>
      </c>
      <c r="J97" s="5">
        <f>INDEX('01_Benchmark_Input'!$C$2:$C$10,MATCH(B97,'01_Benchmark_Input'!$A$2:$A$10,0))</f>
        <v/>
      </c>
      <c r="K97" s="6">
        <f>IF(A97="Bear",INDEX('01_Benchmark_Input'!$AB$2:$AB$10,MATCH(B97,'01_Benchmark_Input'!$A$2:$A$10,0)),IF(A97="Bull",INDEX('01_Benchmark_Input'!$AD$2:$AD$10,MATCH(B97,'01_Benchmark_Input'!$A$2:$A$10,0)),INDEX('01_Benchmark_Input'!$AC$2:$AC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23" t="n">
        <v>5.375</v>
      </c>
      <c r="E98" s="24" t="n">
        <v>0.67460465</v>
      </c>
      <c r="F98" s="23" t="n">
        <v>1.18</v>
      </c>
      <c r="G98" s="24" t="n">
        <v>0.88</v>
      </c>
      <c r="H98" s="24" t="n">
        <v>0.65</v>
      </c>
      <c r="I98" s="5">
        <f>INDEX('01_Benchmark_Input'!$B$2:$B$10,MATCH(B98,'01_Benchmark_Input'!$A$2:$A$10,0))</f>
        <v/>
      </c>
      <c r="J98" s="5">
        <f>INDEX('01_Benchmark_Input'!$C$2:$C$10,MATCH(B98,'01_Benchmark_Input'!$A$2:$A$10,0))</f>
        <v/>
      </c>
      <c r="K98" s="6">
        <f>IF(A98="Bear",INDEX('01_Benchmark_Input'!$AB$2:$AB$10,MATCH(B98,'01_Benchmark_Input'!$A$2:$A$10,0)),IF(A98="Bull",INDEX('01_Benchmark_Input'!$AD$2:$AD$10,MATCH(B98,'01_Benchmark_Input'!$A$2:$A$10,0)),INDEX('01_Benchmark_Input'!$AC$2:$AC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23" t="n">
        <v>6.25</v>
      </c>
      <c r="E99" s="24" t="n">
        <v>0.80288</v>
      </c>
      <c r="F99" s="23" t="n">
        <v>1.18</v>
      </c>
      <c r="G99" s="24" t="n">
        <v>0.88</v>
      </c>
      <c r="H99" s="24" t="n">
        <v>0.7</v>
      </c>
      <c r="I99" s="5">
        <f>INDEX('01_Benchmark_Input'!$B$2:$B$10,MATCH(B99,'01_Benchmark_Input'!$A$2:$A$10,0))</f>
        <v/>
      </c>
      <c r="J99" s="5">
        <f>INDEX('01_Benchmark_Input'!$C$2:$C$10,MATCH(B99,'01_Benchmark_Input'!$A$2:$A$10,0))</f>
        <v/>
      </c>
      <c r="K99" s="6">
        <f>IF(A99="Bear",INDEX('01_Benchmark_Input'!$AB$2:$AB$10,MATCH(B99,'01_Benchmark_Input'!$A$2:$A$10,0)),IF(A99="Bull",INDEX('01_Benchmark_Input'!$AD$2:$AD$10,MATCH(B99,'01_Benchmark_Input'!$A$2:$A$10,0)),INDEX('01_Benchmark_Input'!$AC$2:$AC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23" t="n">
        <v>7.125</v>
      </c>
      <c r="E100" s="24" t="n">
        <v>0.90989474</v>
      </c>
      <c r="F100" s="23" t="n">
        <v>1.18</v>
      </c>
      <c r="G100" s="24" t="n">
        <v>0.88</v>
      </c>
      <c r="H100" s="24" t="n">
        <v>0.75</v>
      </c>
      <c r="I100" s="5">
        <f>INDEX('01_Benchmark_Input'!$B$2:$B$10,MATCH(B100,'01_Benchmark_Input'!$A$2:$A$10,0))</f>
        <v/>
      </c>
      <c r="J100" s="5">
        <f>INDEX('01_Benchmark_Input'!$C$2:$C$10,MATCH(B100,'01_Benchmark_Input'!$A$2:$A$10,0))</f>
        <v/>
      </c>
      <c r="K100" s="6">
        <f>IF(A100="Bear",INDEX('01_Benchmark_Input'!$AB$2:$AB$10,MATCH(B100,'01_Benchmark_Input'!$A$2:$A$10,0)),IF(A100="Bull",INDEX('01_Benchmark_Input'!$AD$2:$AD$10,MATCH(B100,'01_Benchmark_Input'!$A$2:$A$10,0)),INDEX('01_Benchmark_Input'!$AC$2:$AC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23" t="n">
        <v>8</v>
      </c>
      <c r="E101" s="24" t="n">
        <v>1</v>
      </c>
      <c r="F101" s="23" t="n">
        <v>1.18</v>
      </c>
      <c r="G101" s="24" t="n">
        <v>0.88</v>
      </c>
      <c r="H101" s="24" t="n">
        <v>0.8</v>
      </c>
      <c r="I101" s="5">
        <f>INDEX('01_Benchmark_Input'!$B$2:$B$10,MATCH(B101,'01_Benchmark_Input'!$A$2:$A$10,0))</f>
        <v/>
      </c>
      <c r="J101" s="5">
        <f>INDEX('01_Benchmark_Input'!$C$2:$C$10,MATCH(B101,'01_Benchmark_Input'!$A$2:$A$10,0))</f>
        <v/>
      </c>
      <c r="K101" s="6">
        <f>IF(A101="Bear",INDEX('01_Benchmark_Input'!$AB$2:$AB$10,MATCH(B101,'01_Benchmark_Input'!$A$2:$A$10,0)),IF(A101="Bull",INDEX('01_Benchmark_Input'!$AD$2:$AD$10,MATCH(B101,'01_Benchmark_Input'!$A$2:$A$10,0)),INDEX('01_Benchmark_Input'!$AC$2:$AC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23" t="n">
        <v>3.5</v>
      </c>
      <c r="E102" s="24" t="n">
        <v>0.48</v>
      </c>
      <c r="F102" s="23" t="n">
        <v>1.2</v>
      </c>
      <c r="G102" s="24" t="n">
        <v>0.87</v>
      </c>
      <c r="H102" s="24" t="n">
        <v>0.63</v>
      </c>
      <c r="I102" s="5">
        <f>INDEX('01_Benchmark_Input'!$B$2:$B$10,MATCH(B102,'01_Benchmark_Input'!$A$2:$A$10,0))</f>
        <v/>
      </c>
      <c r="J102" s="5">
        <f>INDEX('01_Benchmark_Input'!$C$2:$C$10,MATCH(B102,'01_Benchmark_Input'!$A$2:$A$10,0))</f>
        <v/>
      </c>
      <c r="K102" s="6">
        <f>IF(A102="Bear",INDEX('01_Benchmark_Input'!$AB$2:$AB$10,MATCH(B102,'01_Benchmark_Input'!$A$2:$A$10,0)),IF(A102="Bull",INDEX('01_Benchmark_Input'!$AD$2:$AD$10,MATCH(B102,'01_Benchmark_Input'!$A$2:$A$10,0)),INDEX('01_Benchmark_Input'!$AC$2:$AC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23" t="n">
        <v>4.375</v>
      </c>
      <c r="E103" s="24" t="n">
        <v>0.65577143</v>
      </c>
      <c r="F103" s="23" t="n">
        <v>1.2</v>
      </c>
      <c r="G103" s="24" t="n">
        <v>0.87</v>
      </c>
      <c r="H103" s="24" t="n">
        <v>0.6879999999999999</v>
      </c>
      <c r="I103" s="5">
        <f>INDEX('01_Benchmark_Input'!$B$2:$B$10,MATCH(B103,'01_Benchmark_Input'!$A$2:$A$10,0))</f>
        <v/>
      </c>
      <c r="J103" s="5">
        <f>INDEX('01_Benchmark_Input'!$C$2:$C$10,MATCH(B103,'01_Benchmark_Input'!$A$2:$A$10,0))</f>
        <v/>
      </c>
      <c r="K103" s="6">
        <f>IF(A103="Bear",INDEX('01_Benchmark_Input'!$AB$2:$AB$10,MATCH(B103,'01_Benchmark_Input'!$A$2:$A$10,0)),IF(A103="Bull",INDEX('01_Benchmark_Input'!$AD$2:$AD$10,MATCH(B103,'01_Benchmark_Input'!$A$2:$A$10,0)),INDEX('01_Benchmark_Input'!$AC$2:$AC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23" t="n">
        <v>5.25</v>
      </c>
      <c r="E104" s="24" t="n">
        <v>0.78571429</v>
      </c>
      <c r="F104" s="23" t="n">
        <v>1.2</v>
      </c>
      <c r="G104" s="24" t="n">
        <v>0.87</v>
      </c>
      <c r="H104" s="24" t="n">
        <v>0.745</v>
      </c>
      <c r="I104" s="5">
        <f>INDEX('01_Benchmark_Input'!$B$2:$B$10,MATCH(B104,'01_Benchmark_Input'!$A$2:$A$10,0))</f>
        <v/>
      </c>
      <c r="J104" s="5">
        <f>INDEX('01_Benchmark_Input'!$C$2:$C$10,MATCH(B104,'01_Benchmark_Input'!$A$2:$A$10,0))</f>
        <v/>
      </c>
      <c r="K104" s="6">
        <f>IF(A104="Bear",INDEX('01_Benchmark_Input'!$AB$2:$AB$10,MATCH(B104,'01_Benchmark_Input'!$A$2:$A$10,0)),IF(A104="Bull",INDEX('01_Benchmark_Input'!$AD$2:$AD$10,MATCH(B104,'01_Benchmark_Input'!$A$2:$A$10,0)),INDEX('01_Benchmark_Input'!$AC$2:$AC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23" t="n">
        <v>6.125</v>
      </c>
      <c r="E105" s="24" t="n">
        <v>0.88995918</v>
      </c>
      <c r="F105" s="23" t="n">
        <v>1.2</v>
      </c>
      <c r="G105" s="24" t="n">
        <v>0.87</v>
      </c>
      <c r="H105" s="24" t="n">
        <v>0.802</v>
      </c>
      <c r="I105" s="5">
        <f>INDEX('01_Benchmark_Input'!$B$2:$B$10,MATCH(B105,'01_Benchmark_Input'!$A$2:$A$10,0))</f>
        <v/>
      </c>
      <c r="J105" s="5">
        <f>INDEX('01_Benchmark_Input'!$C$2:$C$10,MATCH(B105,'01_Benchmark_Input'!$A$2:$A$10,0))</f>
        <v/>
      </c>
      <c r="K105" s="6">
        <f>IF(A105="Bear",INDEX('01_Benchmark_Input'!$AB$2:$AB$10,MATCH(B105,'01_Benchmark_Input'!$A$2:$A$10,0)),IF(A105="Bull",INDEX('01_Benchmark_Input'!$AD$2:$AD$10,MATCH(B105,'01_Benchmark_Input'!$A$2:$A$10,0)),INDEX('01_Benchmark_Input'!$AC$2:$AC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23" t="n">
        <v>7</v>
      </c>
      <c r="E106" s="24" t="n">
        <v>0.97771429</v>
      </c>
      <c r="F106" s="23" t="n">
        <v>1.2</v>
      </c>
      <c r="G106" s="24" t="n">
        <v>0.87</v>
      </c>
      <c r="H106" s="24" t="n">
        <v>0.86</v>
      </c>
      <c r="I106" s="5">
        <f>INDEX('01_Benchmark_Input'!$B$2:$B$10,MATCH(B106,'01_Benchmark_Input'!$A$2:$A$10,0))</f>
        <v/>
      </c>
      <c r="J106" s="5">
        <f>INDEX('01_Benchmark_Input'!$C$2:$C$10,MATCH(B106,'01_Benchmark_Input'!$A$2:$A$10,0))</f>
        <v/>
      </c>
      <c r="K106" s="6">
        <f>IF(A106="Bear",INDEX('01_Benchmark_Input'!$AB$2:$AB$10,MATCH(B106,'01_Benchmark_Input'!$A$2:$A$10,0)),IF(A106="Bull",INDEX('01_Benchmark_Input'!$AD$2:$AD$10,MATCH(B106,'01_Benchmark_Input'!$A$2:$A$10,0)),INDEX('01_Benchmark_Input'!$AC$2:$AC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23" t="n">
        <v>1</v>
      </c>
      <c r="E107" s="24" t="n">
        <v>0.367</v>
      </c>
      <c r="F107" s="23" t="n">
        <v>1.22</v>
      </c>
      <c r="G107" s="24" t="n">
        <v>0.85</v>
      </c>
      <c r="H107" s="24" t="n">
        <v>0.5</v>
      </c>
      <c r="I107" s="5">
        <f>INDEX('01_Benchmark_Input'!$B$2:$B$10,MATCH(B107,'01_Benchmark_Input'!$A$2:$A$10,0))</f>
        <v/>
      </c>
      <c r="J107" s="5">
        <f>INDEX('01_Benchmark_Input'!$C$2:$C$10,MATCH(B107,'01_Benchmark_Input'!$A$2:$A$10,0))</f>
        <v/>
      </c>
      <c r="K107" s="6">
        <f>IF(A107="Bear",INDEX('01_Benchmark_Input'!$AB$2:$AB$10,MATCH(B107,'01_Benchmark_Input'!$A$2:$A$10,0)),IF(A107="Bull",INDEX('01_Benchmark_Input'!$AD$2:$AD$10,MATCH(B107,'01_Benchmark_Input'!$A$2:$A$10,0)),INDEX('01_Benchmark_Input'!$AC$2:$AC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23" t="n">
        <v>1.5</v>
      </c>
      <c r="E108" s="24" t="n">
        <v>0.64066667</v>
      </c>
      <c r="F108" s="23" t="n">
        <v>1.22</v>
      </c>
      <c r="G108" s="24" t="n">
        <v>0.85</v>
      </c>
      <c r="H108" s="24" t="n">
        <v>0.57</v>
      </c>
      <c r="I108" s="5">
        <f>INDEX('01_Benchmark_Input'!$B$2:$B$10,MATCH(B108,'01_Benchmark_Input'!$A$2:$A$10,0))</f>
        <v/>
      </c>
      <c r="J108" s="5">
        <f>INDEX('01_Benchmark_Input'!$C$2:$C$10,MATCH(B108,'01_Benchmark_Input'!$A$2:$A$10,0))</f>
        <v/>
      </c>
      <c r="K108" s="6">
        <f>IF(A108="Bear",INDEX('01_Benchmark_Input'!$AB$2:$AB$10,MATCH(B108,'01_Benchmark_Input'!$A$2:$A$10,0)),IF(A108="Bull",INDEX('01_Benchmark_Input'!$AD$2:$AD$10,MATCH(B108,'01_Benchmark_Input'!$A$2:$A$10,0)),INDEX('01_Benchmark_Input'!$AC$2:$AC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23" t="n">
        <v>2</v>
      </c>
      <c r="E109" s="24" t="n">
        <v>0.7945</v>
      </c>
      <c r="F109" s="23" t="n">
        <v>1.22</v>
      </c>
      <c r="G109" s="24" t="n">
        <v>0.85</v>
      </c>
      <c r="H109" s="24" t="n">
        <v>0.64</v>
      </c>
      <c r="I109" s="5">
        <f>INDEX('01_Benchmark_Input'!$B$2:$B$10,MATCH(B109,'01_Benchmark_Input'!$A$2:$A$10,0))</f>
        <v/>
      </c>
      <c r="J109" s="5">
        <f>INDEX('01_Benchmark_Input'!$C$2:$C$10,MATCH(B109,'01_Benchmark_Input'!$A$2:$A$10,0))</f>
        <v/>
      </c>
      <c r="K109" s="6">
        <f>IF(A109="Bear",INDEX('01_Benchmark_Input'!$AB$2:$AB$10,MATCH(B109,'01_Benchmark_Input'!$A$2:$A$10,0)),IF(A109="Bull",INDEX('01_Benchmark_Input'!$AD$2:$AD$10,MATCH(B109,'01_Benchmark_Input'!$A$2:$A$10,0)),INDEX('01_Benchmark_Input'!$AC$2:$AC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23" t="n">
        <v>2.5</v>
      </c>
      <c r="E110" s="24" t="n">
        <v>0.9008</v>
      </c>
      <c r="F110" s="23" t="n">
        <v>1.22</v>
      </c>
      <c r="G110" s="24" t="n">
        <v>0.85</v>
      </c>
      <c r="H110" s="24" t="n">
        <v>0.71</v>
      </c>
      <c r="I110" s="5">
        <f>INDEX('01_Benchmark_Input'!$B$2:$B$10,MATCH(B110,'01_Benchmark_Input'!$A$2:$A$10,0))</f>
        <v/>
      </c>
      <c r="J110" s="5">
        <f>INDEX('01_Benchmark_Input'!$C$2:$C$10,MATCH(B110,'01_Benchmark_Input'!$A$2:$A$10,0))</f>
        <v/>
      </c>
      <c r="K110" s="6">
        <f>IF(A110="Bear",INDEX('01_Benchmark_Input'!$AB$2:$AB$10,MATCH(B110,'01_Benchmark_Input'!$A$2:$A$10,0)),IF(A110="Bull",INDEX('01_Benchmark_Input'!$AD$2:$AD$10,MATCH(B110,'01_Benchmark_Input'!$A$2:$A$10,0)),INDEX('01_Benchmark_Input'!$AC$2:$AC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23" t="n">
        <v>3</v>
      </c>
      <c r="E111" s="24" t="n">
        <v>0.98333333</v>
      </c>
      <c r="F111" s="23" t="n">
        <v>1.22</v>
      </c>
      <c r="G111" s="24" t="n">
        <v>0.85</v>
      </c>
      <c r="H111" s="24" t="n">
        <v>0.78</v>
      </c>
      <c r="I111" s="5">
        <f>INDEX('01_Benchmark_Input'!$B$2:$B$10,MATCH(B111,'01_Benchmark_Input'!$A$2:$A$10,0))</f>
        <v/>
      </c>
      <c r="J111" s="5">
        <f>INDEX('01_Benchmark_Input'!$C$2:$C$10,MATCH(B111,'01_Benchmark_Input'!$A$2:$A$10,0))</f>
        <v/>
      </c>
      <c r="K111" s="6">
        <f>IF(A111="Bear",INDEX('01_Benchmark_Input'!$AB$2:$AB$10,MATCH(B111,'01_Benchmark_Input'!$A$2:$A$10,0)),IF(A111="Bull",INDEX('01_Benchmark_Input'!$AD$2:$AD$10,MATCH(B111,'01_Benchmark_Input'!$A$2:$A$10,0)),INDEX('01_Benchmark_Input'!$AC$2:$AC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23" t="n">
        <v>5</v>
      </c>
      <c r="E112" s="24" t="n">
        <v>0.294</v>
      </c>
      <c r="F112" s="23" t="n">
        <v>1.2</v>
      </c>
      <c r="G112" s="24" t="n">
        <v>0.88</v>
      </c>
      <c r="H112" s="24" t="n">
        <v>0.63</v>
      </c>
      <c r="I112" s="5">
        <f>INDEX('01_Benchmark_Input'!$B$2:$B$10,MATCH(B112,'01_Benchmark_Input'!$A$2:$A$10,0))</f>
        <v/>
      </c>
      <c r="J112" s="5">
        <f>INDEX('01_Benchmark_Input'!$C$2:$C$10,MATCH(B112,'01_Benchmark_Input'!$A$2:$A$10,0))</f>
        <v/>
      </c>
      <c r="K112" s="6">
        <f>IF(A112="Bear",INDEX('01_Benchmark_Input'!$AB$2:$AB$10,MATCH(B112,'01_Benchmark_Input'!$A$2:$A$10,0)),IF(A112="Bull",INDEX('01_Benchmark_Input'!$AD$2:$AD$10,MATCH(B112,'01_Benchmark_Input'!$A$2:$A$10,0)),INDEX('01_Benchmark_Input'!$AC$2:$AC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23" t="n">
        <v>6.75</v>
      </c>
      <c r="E113" s="24" t="n">
        <v>0.50918519</v>
      </c>
      <c r="F113" s="23" t="n">
        <v>1.2</v>
      </c>
      <c r="G113" s="24" t="n">
        <v>0.88</v>
      </c>
      <c r="H113" s="24" t="n">
        <v>0.6879999999999999</v>
      </c>
      <c r="I113" s="5">
        <f>INDEX('01_Benchmark_Input'!$B$2:$B$10,MATCH(B113,'01_Benchmark_Input'!$A$2:$A$10,0))</f>
        <v/>
      </c>
      <c r="J113" s="5">
        <f>INDEX('01_Benchmark_Input'!$C$2:$C$10,MATCH(B113,'01_Benchmark_Input'!$A$2:$A$10,0))</f>
        <v/>
      </c>
      <c r="K113" s="6">
        <f>IF(A113="Bear",INDEX('01_Benchmark_Input'!$AB$2:$AB$10,MATCH(B113,'01_Benchmark_Input'!$A$2:$A$10,0)),IF(A113="Bull",INDEX('01_Benchmark_Input'!$AD$2:$AD$10,MATCH(B113,'01_Benchmark_Input'!$A$2:$A$10,0)),INDEX('01_Benchmark_Input'!$AC$2:$AC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23" t="n">
        <v>8.5</v>
      </c>
      <c r="E114" s="24" t="n">
        <v>0.64929412</v>
      </c>
      <c r="F114" s="23" t="n">
        <v>1.2</v>
      </c>
      <c r="G114" s="24" t="n">
        <v>0.88</v>
      </c>
      <c r="H114" s="24" t="n">
        <v>0.745</v>
      </c>
      <c r="I114" s="5">
        <f>INDEX('01_Benchmark_Input'!$B$2:$B$10,MATCH(B114,'01_Benchmark_Input'!$A$2:$A$10,0))</f>
        <v/>
      </c>
      <c r="J114" s="5">
        <f>INDEX('01_Benchmark_Input'!$C$2:$C$10,MATCH(B114,'01_Benchmark_Input'!$A$2:$A$10,0))</f>
        <v/>
      </c>
      <c r="K114" s="6">
        <f>IF(A114="Bear",INDEX('01_Benchmark_Input'!$AB$2:$AB$10,MATCH(B114,'01_Benchmark_Input'!$A$2:$A$10,0)),IF(A114="Bull",INDEX('01_Benchmark_Input'!$AD$2:$AD$10,MATCH(B114,'01_Benchmark_Input'!$A$2:$A$10,0)),INDEX('01_Benchmark_Input'!$AC$2:$AC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23" t="n">
        <v>10.25</v>
      </c>
      <c r="E115" s="24" t="n">
        <v>0.75287805</v>
      </c>
      <c r="F115" s="23" t="n">
        <v>1.2</v>
      </c>
      <c r="G115" s="24" t="n">
        <v>0.88</v>
      </c>
      <c r="H115" s="24" t="n">
        <v>0.802</v>
      </c>
      <c r="I115" s="5">
        <f>INDEX('01_Benchmark_Input'!$B$2:$B$10,MATCH(B115,'01_Benchmark_Input'!$A$2:$A$10,0))</f>
        <v/>
      </c>
      <c r="J115" s="5">
        <f>INDEX('01_Benchmark_Input'!$C$2:$C$10,MATCH(B115,'01_Benchmark_Input'!$A$2:$A$10,0))</f>
        <v/>
      </c>
      <c r="K115" s="6">
        <f>IF(A115="Bear",INDEX('01_Benchmark_Input'!$AB$2:$AB$10,MATCH(B115,'01_Benchmark_Input'!$A$2:$A$10,0)),IF(A115="Bull",INDEX('01_Benchmark_Input'!$AD$2:$AD$10,MATCH(B115,'01_Benchmark_Input'!$A$2:$A$10,0)),INDEX('01_Benchmark_Input'!$AC$2:$AC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23" t="n">
        <v>12</v>
      </c>
      <c r="E116" s="24" t="n">
        <v>0.83583333</v>
      </c>
      <c r="F116" s="23" t="n">
        <v>1.2</v>
      </c>
      <c r="G116" s="24" t="n">
        <v>0.88</v>
      </c>
      <c r="H116" s="24" t="n">
        <v>0.86</v>
      </c>
      <c r="I116" s="5">
        <f>INDEX('01_Benchmark_Input'!$B$2:$B$10,MATCH(B116,'01_Benchmark_Input'!$A$2:$A$10,0))</f>
        <v/>
      </c>
      <c r="J116" s="5">
        <f>INDEX('01_Benchmark_Input'!$C$2:$C$10,MATCH(B116,'01_Benchmark_Input'!$A$2:$A$10,0))</f>
        <v/>
      </c>
      <c r="K116" s="6">
        <f>IF(A116="Bear",INDEX('01_Benchmark_Input'!$AB$2:$AB$10,MATCH(B116,'01_Benchmark_Input'!$A$2:$A$10,0)),IF(A116="Bull",INDEX('01_Benchmark_Input'!$AD$2:$AD$10,MATCH(B116,'01_Benchmark_Input'!$A$2:$A$10,0)),INDEX('01_Benchmark_Input'!$AC$2:$AC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23" t="n">
        <v>3.5</v>
      </c>
      <c r="E117" s="24" t="n">
        <v>0.3</v>
      </c>
      <c r="F117" s="23" t="n">
        <v>1.18</v>
      </c>
      <c r="G117" s="24" t="n">
        <v>0.86</v>
      </c>
      <c r="H117" s="24" t="n">
        <v>0.57</v>
      </c>
      <c r="I117" s="5">
        <f>INDEX('01_Benchmark_Input'!$B$2:$B$10,MATCH(B117,'01_Benchmark_Input'!$A$2:$A$10,0))</f>
        <v/>
      </c>
      <c r="J117" s="5">
        <f>INDEX('01_Benchmark_Input'!$C$2:$C$10,MATCH(B117,'01_Benchmark_Input'!$A$2:$A$10,0))</f>
        <v/>
      </c>
      <c r="K117" s="6">
        <f>IF(A117="Bear",INDEX('01_Benchmark_Input'!$AB$2:$AB$10,MATCH(B117,'01_Benchmark_Input'!$A$2:$A$10,0)),IF(A117="Bull",INDEX('01_Benchmark_Input'!$AD$2:$AD$10,MATCH(B117,'01_Benchmark_Input'!$A$2:$A$10,0)),INDEX('01_Benchmark_Input'!$AC$2:$AC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23" t="n">
        <v>4.375</v>
      </c>
      <c r="E118" s="24" t="n">
        <v>0.52571429</v>
      </c>
      <c r="F118" s="23" t="n">
        <v>1.18</v>
      </c>
      <c r="G118" s="24" t="n">
        <v>0.86</v>
      </c>
      <c r="H118" s="24" t="n">
        <v>0.632</v>
      </c>
      <c r="I118" s="5">
        <f>INDEX('01_Benchmark_Input'!$B$2:$B$10,MATCH(B118,'01_Benchmark_Input'!$A$2:$A$10,0))</f>
        <v/>
      </c>
      <c r="J118" s="5">
        <f>INDEX('01_Benchmark_Input'!$C$2:$C$10,MATCH(B118,'01_Benchmark_Input'!$A$2:$A$10,0))</f>
        <v/>
      </c>
      <c r="K118" s="6">
        <f>IF(A118="Bear",INDEX('01_Benchmark_Input'!$AB$2:$AB$10,MATCH(B118,'01_Benchmark_Input'!$A$2:$A$10,0)),IF(A118="Bull",INDEX('01_Benchmark_Input'!$AD$2:$AD$10,MATCH(B118,'01_Benchmark_Input'!$A$2:$A$10,0)),INDEX('01_Benchmark_Input'!$AC$2:$AC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23" t="n">
        <v>5.25</v>
      </c>
      <c r="E119" s="24" t="n">
        <v>0.6902857100000001</v>
      </c>
      <c r="F119" s="23" t="n">
        <v>1.18</v>
      </c>
      <c r="G119" s="24" t="n">
        <v>0.86</v>
      </c>
      <c r="H119" s="24" t="n">
        <v>0.695</v>
      </c>
      <c r="I119" s="5">
        <f>INDEX('01_Benchmark_Input'!$B$2:$B$10,MATCH(B119,'01_Benchmark_Input'!$A$2:$A$10,0))</f>
        <v/>
      </c>
      <c r="J119" s="5">
        <f>INDEX('01_Benchmark_Input'!$C$2:$C$10,MATCH(B119,'01_Benchmark_Input'!$A$2:$A$10,0))</f>
        <v/>
      </c>
      <c r="K119" s="6">
        <f>IF(A119="Bear",INDEX('01_Benchmark_Input'!$AB$2:$AB$10,MATCH(B119,'01_Benchmark_Input'!$A$2:$A$10,0)),IF(A119="Bull",INDEX('01_Benchmark_Input'!$AD$2:$AD$10,MATCH(B119,'01_Benchmark_Input'!$A$2:$A$10,0)),INDEX('01_Benchmark_Input'!$AC$2:$AC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23" t="n">
        <v>6.125</v>
      </c>
      <c r="E120" s="24" t="n">
        <v>0.81959184</v>
      </c>
      <c r="F120" s="23" t="n">
        <v>1.18</v>
      </c>
      <c r="G120" s="24" t="n">
        <v>0.86</v>
      </c>
      <c r="H120" s="24" t="n">
        <v>0.758</v>
      </c>
      <c r="I120" s="5">
        <f>INDEX('01_Benchmark_Input'!$B$2:$B$10,MATCH(B120,'01_Benchmark_Input'!$A$2:$A$10,0))</f>
        <v/>
      </c>
      <c r="J120" s="5">
        <f>INDEX('01_Benchmark_Input'!$C$2:$C$10,MATCH(B120,'01_Benchmark_Input'!$A$2:$A$10,0))</f>
        <v/>
      </c>
      <c r="K120" s="6">
        <f>IF(A120="Bear",INDEX('01_Benchmark_Input'!$AB$2:$AB$10,MATCH(B120,'01_Benchmark_Input'!$A$2:$A$10,0)),IF(A120="Bull",INDEX('01_Benchmark_Input'!$AD$2:$AD$10,MATCH(B120,'01_Benchmark_Input'!$A$2:$A$10,0)),INDEX('01_Benchmark_Input'!$AC$2:$AC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23" t="n">
        <v>7</v>
      </c>
      <c r="E121" s="24" t="n">
        <v>0.92714286</v>
      </c>
      <c r="F121" s="23" t="n">
        <v>1.18</v>
      </c>
      <c r="G121" s="24" t="n">
        <v>0.86</v>
      </c>
      <c r="H121" s="24" t="n">
        <v>0.82</v>
      </c>
      <c r="I121" s="5">
        <f>INDEX('01_Benchmark_Input'!$B$2:$B$10,MATCH(B121,'01_Benchmark_Input'!$A$2:$A$10,0))</f>
        <v/>
      </c>
      <c r="J121" s="5">
        <f>INDEX('01_Benchmark_Input'!$C$2:$C$10,MATCH(B121,'01_Benchmark_Input'!$A$2:$A$10,0))</f>
        <v/>
      </c>
      <c r="K121" s="6">
        <f>IF(A121="Bear",INDEX('01_Benchmark_Input'!$AB$2:$AB$10,MATCH(B121,'01_Benchmark_Input'!$A$2:$A$10,0)),IF(A121="Bull",INDEX('01_Benchmark_Input'!$AD$2:$AD$10,MATCH(B121,'01_Benchmark_Input'!$A$2:$A$10,0)),INDEX('01_Benchmark_Input'!$AC$2:$AC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23" t="n">
        <v>0.5</v>
      </c>
      <c r="E122" s="24" t="n">
        <v>0.316</v>
      </c>
      <c r="F122" s="23" t="n">
        <v>1.24</v>
      </c>
      <c r="G122" s="24" t="n">
        <v>0.82</v>
      </c>
      <c r="H122" s="24" t="n">
        <v>0.67</v>
      </c>
      <c r="I122" s="5">
        <f>INDEX('01_Benchmark_Input'!$B$2:$B$10,MATCH(B122,'01_Benchmark_Input'!$A$2:$A$10,0))</f>
        <v/>
      </c>
      <c r="J122" s="5">
        <f>INDEX('01_Benchmark_Input'!$C$2:$C$10,MATCH(B122,'01_Benchmark_Input'!$A$2:$A$10,0))</f>
        <v/>
      </c>
      <c r="K122" s="6">
        <f>IF(A122="Bear",INDEX('01_Benchmark_Input'!$AB$2:$AB$10,MATCH(B122,'01_Benchmark_Input'!$A$2:$A$10,0)),IF(A122="Bull",INDEX('01_Benchmark_Input'!$AD$2:$AD$10,MATCH(B122,'01_Benchmark_Input'!$A$2:$A$10,0)),INDEX('01_Benchmark_Input'!$AC$2:$AC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23" t="n">
        <v>0.825</v>
      </c>
      <c r="E123" s="24" t="n">
        <v>0.54181818</v>
      </c>
      <c r="F123" s="23" t="n">
        <v>1.24</v>
      </c>
      <c r="G123" s="24" t="n">
        <v>0.82</v>
      </c>
      <c r="H123" s="24" t="n">
        <v>0.727</v>
      </c>
      <c r="I123" s="5">
        <f>INDEX('01_Benchmark_Input'!$B$2:$B$10,MATCH(B123,'01_Benchmark_Input'!$A$2:$A$10,0))</f>
        <v/>
      </c>
      <c r="J123" s="5">
        <f>INDEX('01_Benchmark_Input'!$C$2:$C$10,MATCH(B123,'01_Benchmark_Input'!$A$2:$A$10,0))</f>
        <v/>
      </c>
      <c r="K123" s="6">
        <f>IF(A123="Bear",INDEX('01_Benchmark_Input'!$AB$2:$AB$10,MATCH(B123,'01_Benchmark_Input'!$A$2:$A$10,0)),IF(A123="Bull",INDEX('01_Benchmark_Input'!$AD$2:$AD$10,MATCH(B123,'01_Benchmark_Input'!$A$2:$A$10,0)),INDEX('01_Benchmark_Input'!$AC$2:$AC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23" t="n">
        <v>1.15</v>
      </c>
      <c r="E124" s="24" t="n">
        <v>0.65478261</v>
      </c>
      <c r="F124" s="23" t="n">
        <v>1.24</v>
      </c>
      <c r="G124" s="24" t="n">
        <v>0.82</v>
      </c>
      <c r="H124" s="24" t="n">
        <v>0.785</v>
      </c>
      <c r="I124" s="5">
        <f>INDEX('01_Benchmark_Input'!$B$2:$B$10,MATCH(B124,'01_Benchmark_Input'!$A$2:$A$10,0))</f>
        <v/>
      </c>
      <c r="J124" s="5">
        <f>INDEX('01_Benchmark_Input'!$C$2:$C$10,MATCH(B124,'01_Benchmark_Input'!$A$2:$A$10,0))</f>
        <v/>
      </c>
      <c r="K124" s="6">
        <f>IF(A124="Bear",INDEX('01_Benchmark_Input'!$AB$2:$AB$10,MATCH(B124,'01_Benchmark_Input'!$A$2:$A$10,0)),IF(A124="Bull",INDEX('01_Benchmark_Input'!$AD$2:$AD$10,MATCH(B124,'01_Benchmark_Input'!$A$2:$A$10,0)),INDEX('01_Benchmark_Input'!$AC$2:$AC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23" t="n">
        <v>1.475</v>
      </c>
      <c r="E125" s="24" t="n">
        <v>0.72949153</v>
      </c>
      <c r="F125" s="23" t="n">
        <v>1.24</v>
      </c>
      <c r="G125" s="24" t="n">
        <v>0.82</v>
      </c>
      <c r="H125" s="24" t="n">
        <v>0.843</v>
      </c>
      <c r="I125" s="5">
        <f>INDEX('01_Benchmark_Input'!$B$2:$B$10,MATCH(B125,'01_Benchmark_Input'!$A$2:$A$10,0))</f>
        <v/>
      </c>
      <c r="J125" s="5">
        <f>INDEX('01_Benchmark_Input'!$C$2:$C$10,MATCH(B125,'01_Benchmark_Input'!$A$2:$A$10,0))</f>
        <v/>
      </c>
      <c r="K125" s="6">
        <f>IF(A125="Bear",INDEX('01_Benchmark_Input'!$AB$2:$AB$10,MATCH(B125,'01_Benchmark_Input'!$A$2:$A$10,0)),IF(A125="Bull",INDEX('01_Benchmark_Input'!$AD$2:$AD$10,MATCH(B125,'01_Benchmark_Input'!$A$2:$A$10,0)),INDEX('01_Benchmark_Input'!$AC$2:$AC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23" t="n">
        <v>1.8</v>
      </c>
      <c r="E126" s="24" t="n">
        <v>0.78666667</v>
      </c>
      <c r="F126" s="23" t="n">
        <v>1.24</v>
      </c>
      <c r="G126" s="24" t="n">
        <v>0.82</v>
      </c>
      <c r="H126" s="24" t="n">
        <v>0.9</v>
      </c>
      <c r="I126" s="5">
        <f>INDEX('01_Benchmark_Input'!$B$2:$B$10,MATCH(B126,'01_Benchmark_Input'!$A$2:$A$10,0))</f>
        <v/>
      </c>
      <c r="J126" s="5">
        <f>INDEX('01_Benchmark_Input'!$C$2:$C$10,MATCH(B126,'01_Benchmark_Input'!$A$2:$A$10,0))</f>
        <v/>
      </c>
      <c r="K126" s="6">
        <f>IF(A126="Bear",INDEX('01_Benchmark_Input'!$AB$2:$AB$10,MATCH(B126,'01_Benchmark_Input'!$A$2:$A$10,0)),IF(A126="Bull",INDEX('01_Benchmark_Input'!$AD$2:$AD$10,MATCH(B126,'01_Benchmark_Input'!$A$2:$A$10,0)),INDEX('01_Benchmark_Input'!$AC$2:$AC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23" t="n">
        <v>1.8</v>
      </c>
      <c r="E127" s="24" t="n">
        <v>0.37944444</v>
      </c>
      <c r="F127" s="23" t="n">
        <v>1.23</v>
      </c>
      <c r="G127" s="24" t="n">
        <v>0.84</v>
      </c>
      <c r="H127" s="24" t="n">
        <v>0.65</v>
      </c>
      <c r="I127" s="5">
        <f>INDEX('01_Benchmark_Input'!$B$2:$B$10,MATCH(B127,'01_Benchmark_Input'!$A$2:$A$10,0))</f>
        <v/>
      </c>
      <c r="J127" s="5">
        <f>INDEX('01_Benchmark_Input'!$C$2:$C$10,MATCH(B127,'01_Benchmark_Input'!$A$2:$A$10,0))</f>
        <v/>
      </c>
      <c r="K127" s="6">
        <f>IF(A127="Bear",INDEX('01_Benchmark_Input'!$AB$2:$AB$10,MATCH(B127,'01_Benchmark_Input'!$A$2:$A$10,0)),IF(A127="Bull",INDEX('01_Benchmark_Input'!$AD$2:$AD$10,MATCH(B127,'01_Benchmark_Input'!$A$2:$A$10,0)),INDEX('01_Benchmark_Input'!$AC$2:$AC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23" t="n">
        <v>2.35</v>
      </c>
      <c r="E128" s="24" t="n">
        <v>0.59319149</v>
      </c>
      <c r="F128" s="23" t="n">
        <v>1.23</v>
      </c>
      <c r="G128" s="24" t="n">
        <v>0.84</v>
      </c>
      <c r="H128" s="24" t="n">
        <v>0.708</v>
      </c>
      <c r="I128" s="5">
        <f>INDEX('01_Benchmark_Input'!$B$2:$B$10,MATCH(B128,'01_Benchmark_Input'!$A$2:$A$10,0))</f>
        <v/>
      </c>
      <c r="J128" s="5">
        <f>INDEX('01_Benchmark_Input'!$C$2:$C$10,MATCH(B128,'01_Benchmark_Input'!$A$2:$A$10,0))</f>
        <v/>
      </c>
      <c r="K128" s="6">
        <f>IF(A128="Bear",INDEX('01_Benchmark_Input'!$AB$2:$AB$10,MATCH(B128,'01_Benchmark_Input'!$A$2:$A$10,0)),IF(A128="Bull",INDEX('01_Benchmark_Input'!$AD$2:$AD$10,MATCH(B128,'01_Benchmark_Input'!$A$2:$A$10,0)),INDEX('01_Benchmark_Input'!$AC$2:$AC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23" t="n">
        <v>2.9</v>
      </c>
      <c r="E129" s="24" t="n">
        <v>0.74</v>
      </c>
      <c r="F129" s="23" t="n">
        <v>1.23</v>
      </c>
      <c r="G129" s="24" t="n">
        <v>0.84</v>
      </c>
      <c r="H129" s="24" t="n">
        <v>0.765</v>
      </c>
      <c r="I129" s="5">
        <f>INDEX('01_Benchmark_Input'!$B$2:$B$10,MATCH(B129,'01_Benchmark_Input'!$A$2:$A$10,0))</f>
        <v/>
      </c>
      <c r="J129" s="5">
        <f>INDEX('01_Benchmark_Input'!$C$2:$C$10,MATCH(B129,'01_Benchmark_Input'!$A$2:$A$10,0))</f>
        <v/>
      </c>
      <c r="K129" s="6">
        <f>IF(A129="Bear",INDEX('01_Benchmark_Input'!$AB$2:$AB$10,MATCH(B129,'01_Benchmark_Input'!$A$2:$A$10,0)),IF(A129="Bull",INDEX('01_Benchmark_Input'!$AD$2:$AD$10,MATCH(B129,'01_Benchmark_Input'!$A$2:$A$10,0)),INDEX('01_Benchmark_Input'!$AC$2:$AC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23" t="n">
        <v>3.45</v>
      </c>
      <c r="E130" s="24" t="n">
        <v>0.85217391</v>
      </c>
      <c r="F130" s="23" t="n">
        <v>1.23</v>
      </c>
      <c r="G130" s="24" t="n">
        <v>0.84</v>
      </c>
      <c r="H130" s="24" t="n">
        <v>0.823</v>
      </c>
      <c r="I130" s="5">
        <f>INDEX('01_Benchmark_Input'!$B$2:$B$10,MATCH(B130,'01_Benchmark_Input'!$A$2:$A$10,0))</f>
        <v/>
      </c>
      <c r="J130" s="5">
        <f>INDEX('01_Benchmark_Input'!$C$2:$C$10,MATCH(B130,'01_Benchmark_Input'!$A$2:$A$10,0))</f>
        <v/>
      </c>
      <c r="K130" s="6">
        <f>IF(A130="Bear",INDEX('01_Benchmark_Input'!$AB$2:$AB$10,MATCH(B130,'01_Benchmark_Input'!$A$2:$A$10,0)),IF(A130="Bull",INDEX('01_Benchmark_Input'!$AD$2:$AD$10,MATCH(B130,'01_Benchmark_Input'!$A$2:$A$10,0)),INDEX('01_Benchmark_Input'!$AC$2:$AC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23" t="n">
        <v>4</v>
      </c>
      <c r="E131" s="24" t="n">
        <v>0.944</v>
      </c>
      <c r="F131" s="23" t="n">
        <v>1.23</v>
      </c>
      <c r="G131" s="24" t="n">
        <v>0.84</v>
      </c>
      <c r="H131" s="24" t="n">
        <v>0.88</v>
      </c>
      <c r="I131" s="5">
        <f>INDEX('01_Benchmark_Input'!$B$2:$B$10,MATCH(B131,'01_Benchmark_Input'!$A$2:$A$10,0))</f>
        <v/>
      </c>
      <c r="J131" s="5">
        <f>INDEX('01_Benchmark_Input'!$C$2:$C$10,MATCH(B131,'01_Benchmark_Input'!$A$2:$A$10,0))</f>
        <v/>
      </c>
      <c r="K131" s="6">
        <f>IF(A131="Bear",INDEX('01_Benchmark_Input'!$AB$2:$AB$10,MATCH(B131,'01_Benchmark_Input'!$A$2:$A$10,0)),IF(A131="Bull",INDEX('01_Benchmark_Input'!$AD$2:$AD$10,MATCH(B131,'01_Benchmark_Input'!$A$2:$A$10,0)),INDEX('01_Benchmark_Input'!$AC$2:$AC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23" t="n">
        <v>1.2</v>
      </c>
      <c r="E132" s="24" t="n">
        <v>0.39416667</v>
      </c>
      <c r="F132" s="23" t="n">
        <v>1.23</v>
      </c>
      <c r="G132" s="24" t="n">
        <v>0.84</v>
      </c>
      <c r="H132" s="24" t="n">
        <v>0.65</v>
      </c>
      <c r="I132" s="5">
        <f>INDEX('01_Benchmark_Input'!$B$2:$B$10,MATCH(B132,'01_Benchmark_Input'!$A$2:$A$10,0))</f>
        <v/>
      </c>
      <c r="J132" s="5">
        <f>INDEX('01_Benchmark_Input'!$C$2:$C$10,MATCH(B132,'01_Benchmark_Input'!$A$2:$A$10,0))</f>
        <v/>
      </c>
      <c r="K132" s="6">
        <f>IF(A132="Bear",INDEX('01_Benchmark_Input'!$AB$2:$AB$10,MATCH(B132,'01_Benchmark_Input'!$A$2:$A$10,0)),IF(A132="Bull",INDEX('01_Benchmark_Input'!$AD$2:$AD$10,MATCH(B132,'01_Benchmark_Input'!$A$2:$A$10,0)),INDEX('01_Benchmark_Input'!$AC$2:$AC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23" t="n">
        <v>1.65</v>
      </c>
      <c r="E133" s="24" t="n">
        <v>0.61515152</v>
      </c>
      <c r="F133" s="23" t="n">
        <v>1.23</v>
      </c>
      <c r="G133" s="24" t="n">
        <v>0.84</v>
      </c>
      <c r="H133" s="24" t="n">
        <v>0.708</v>
      </c>
      <c r="I133" s="5">
        <f>INDEX('01_Benchmark_Input'!$B$2:$B$10,MATCH(B133,'01_Benchmark_Input'!$A$2:$A$10,0))</f>
        <v/>
      </c>
      <c r="J133" s="5">
        <f>INDEX('01_Benchmark_Input'!$C$2:$C$10,MATCH(B133,'01_Benchmark_Input'!$A$2:$A$10,0))</f>
        <v/>
      </c>
      <c r="K133" s="6">
        <f>IF(A133="Bear",INDEX('01_Benchmark_Input'!$AB$2:$AB$10,MATCH(B133,'01_Benchmark_Input'!$A$2:$A$10,0)),IF(A133="Bull",INDEX('01_Benchmark_Input'!$AD$2:$AD$10,MATCH(B133,'01_Benchmark_Input'!$A$2:$A$10,0)),INDEX('01_Benchmark_Input'!$AC$2:$AC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23" t="n">
        <v>2.1</v>
      </c>
      <c r="E134" s="24" t="n">
        <v>0.75666667</v>
      </c>
      <c r="F134" s="23" t="n">
        <v>1.23</v>
      </c>
      <c r="G134" s="24" t="n">
        <v>0.84</v>
      </c>
      <c r="H134" s="24" t="n">
        <v>0.765</v>
      </c>
      <c r="I134" s="5">
        <f>INDEX('01_Benchmark_Input'!$B$2:$B$10,MATCH(B134,'01_Benchmark_Input'!$A$2:$A$10,0))</f>
        <v/>
      </c>
      <c r="J134" s="5">
        <f>INDEX('01_Benchmark_Input'!$C$2:$C$10,MATCH(B134,'01_Benchmark_Input'!$A$2:$A$10,0))</f>
        <v/>
      </c>
      <c r="K134" s="6">
        <f>IF(A134="Bear",INDEX('01_Benchmark_Input'!$AB$2:$AB$10,MATCH(B134,'01_Benchmark_Input'!$A$2:$A$10,0)),IF(A134="Bull",INDEX('01_Benchmark_Input'!$AD$2:$AD$10,MATCH(B134,'01_Benchmark_Input'!$A$2:$A$10,0)),INDEX('01_Benchmark_Input'!$AC$2:$AC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23" t="n">
        <v>2.55</v>
      </c>
      <c r="E135" s="24" t="n">
        <v>0.86078431</v>
      </c>
      <c r="F135" s="23" t="n">
        <v>1.23</v>
      </c>
      <c r="G135" s="24" t="n">
        <v>0.84</v>
      </c>
      <c r="H135" s="24" t="n">
        <v>0.823</v>
      </c>
      <c r="I135" s="5">
        <f>INDEX('01_Benchmark_Input'!$B$2:$B$10,MATCH(B135,'01_Benchmark_Input'!$A$2:$A$10,0))</f>
        <v/>
      </c>
      <c r="J135" s="5">
        <f>INDEX('01_Benchmark_Input'!$C$2:$C$10,MATCH(B135,'01_Benchmark_Input'!$A$2:$A$10,0))</f>
        <v/>
      </c>
      <c r="K135" s="6">
        <f>IF(A135="Bear",INDEX('01_Benchmark_Input'!$AB$2:$AB$10,MATCH(B135,'01_Benchmark_Input'!$A$2:$A$10,0)),IF(A135="Bull",INDEX('01_Benchmark_Input'!$AD$2:$AD$10,MATCH(B135,'01_Benchmark_Input'!$A$2:$A$10,0)),INDEX('01_Benchmark_Input'!$AC$2:$AC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23" t="n">
        <v>3</v>
      </c>
      <c r="E136" s="24" t="n">
        <v>0.944</v>
      </c>
      <c r="F136" s="23" t="n">
        <v>1.23</v>
      </c>
      <c r="G136" s="24" t="n">
        <v>0.84</v>
      </c>
      <c r="H136" s="24" t="n">
        <v>0.88</v>
      </c>
      <c r="I136" s="5">
        <f>INDEX('01_Benchmark_Input'!$B$2:$B$10,MATCH(B136,'01_Benchmark_Input'!$A$2:$A$10,0))</f>
        <v/>
      </c>
      <c r="J136" s="5">
        <f>INDEX('01_Benchmark_Input'!$C$2:$C$10,MATCH(B136,'01_Benchmark_Input'!$A$2:$A$10,0))</f>
        <v/>
      </c>
      <c r="K136" s="6">
        <f>IF(A136="Bear",INDEX('01_Benchmark_Input'!$AB$2:$AB$10,MATCH(B136,'01_Benchmark_Input'!$A$2:$A$10,0)),IF(A136="Bull",INDEX('01_Benchmark_Input'!$AD$2:$AD$10,MATCH(B136,'01_Benchmark_Input'!$A$2:$A$10,0)),INDEX('01_Benchmark_Input'!$AC$2:$AC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23" t="n">
        <v>4</v>
      </c>
      <c r="E137" s="24" t="n">
        <v>0.396</v>
      </c>
      <c r="F137" s="23" t="n">
        <v>1.2</v>
      </c>
      <c r="G137" s="24" t="n">
        <v>0.86</v>
      </c>
      <c r="H137" s="24" t="n">
        <v>0.57</v>
      </c>
      <c r="I137" s="5">
        <f>INDEX('01_Benchmark_Input'!$B$2:$B$10,MATCH(B137,'01_Benchmark_Input'!$A$2:$A$10,0))</f>
        <v/>
      </c>
      <c r="J137" s="5">
        <f>INDEX('01_Benchmark_Input'!$C$2:$C$10,MATCH(B137,'01_Benchmark_Input'!$A$2:$A$10,0))</f>
        <v/>
      </c>
      <c r="K137" s="6">
        <f>IF(A137="Bear",INDEX('01_Benchmark_Input'!$AB$2:$AB$10,MATCH(B137,'01_Benchmark_Input'!$A$2:$A$10,0)),IF(A137="Bull",INDEX('01_Benchmark_Input'!$AD$2:$AD$10,MATCH(B137,'01_Benchmark_Input'!$A$2:$A$10,0)),INDEX('01_Benchmark_Input'!$AC$2:$AC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23" t="n">
        <v>5.25</v>
      </c>
      <c r="E138" s="24" t="n">
        <v>0.464</v>
      </c>
      <c r="F138" s="23" t="n">
        <v>1.2</v>
      </c>
      <c r="G138" s="24" t="n">
        <v>0.86</v>
      </c>
      <c r="H138" s="24" t="n">
        <v>0.625</v>
      </c>
      <c r="I138" s="5">
        <f>INDEX('01_Benchmark_Input'!$B$2:$B$10,MATCH(B138,'01_Benchmark_Input'!$A$2:$A$10,0))</f>
        <v/>
      </c>
      <c r="J138" s="5">
        <f>INDEX('01_Benchmark_Input'!$C$2:$C$10,MATCH(B138,'01_Benchmark_Input'!$A$2:$A$10,0))</f>
        <v/>
      </c>
      <c r="K138" s="6">
        <f>IF(A138="Bear",INDEX('01_Benchmark_Input'!$AB$2:$AB$10,MATCH(B138,'01_Benchmark_Input'!$A$2:$A$10,0)),IF(A138="Bull",INDEX('01_Benchmark_Input'!$AD$2:$AD$10,MATCH(B138,'01_Benchmark_Input'!$A$2:$A$10,0)),INDEX('01_Benchmark_Input'!$AC$2:$AC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23" t="n">
        <v>6.5</v>
      </c>
      <c r="E139" s="24" t="n">
        <v>0.49230769</v>
      </c>
      <c r="F139" s="23" t="n">
        <v>1.2</v>
      </c>
      <c r="G139" s="24" t="n">
        <v>0.86</v>
      </c>
      <c r="H139" s="24" t="n">
        <v>0.68</v>
      </c>
      <c r="I139" s="5">
        <f>INDEX('01_Benchmark_Input'!$B$2:$B$10,MATCH(B139,'01_Benchmark_Input'!$A$2:$A$10,0))</f>
        <v/>
      </c>
      <c r="J139" s="5">
        <f>INDEX('01_Benchmark_Input'!$C$2:$C$10,MATCH(B139,'01_Benchmark_Input'!$A$2:$A$10,0))</f>
        <v/>
      </c>
      <c r="K139" s="6">
        <f>IF(A139="Bear",INDEX('01_Benchmark_Input'!$AB$2:$AB$10,MATCH(B139,'01_Benchmark_Input'!$A$2:$A$10,0)),IF(A139="Bull",INDEX('01_Benchmark_Input'!$AD$2:$AD$10,MATCH(B139,'01_Benchmark_Input'!$A$2:$A$10,0)),INDEX('01_Benchmark_Input'!$AC$2:$AC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23" t="n">
        <v>7.75</v>
      </c>
      <c r="E140" s="24" t="n">
        <v>0.50012903</v>
      </c>
      <c r="F140" s="23" t="n">
        <v>1.2</v>
      </c>
      <c r="G140" s="24" t="n">
        <v>0.86</v>
      </c>
      <c r="H140" s="24" t="n">
        <v>0.735</v>
      </c>
      <c r="I140" s="5">
        <f>INDEX('01_Benchmark_Input'!$B$2:$B$10,MATCH(B140,'01_Benchmark_Input'!$A$2:$A$10,0))</f>
        <v/>
      </c>
      <c r="J140" s="5">
        <f>INDEX('01_Benchmark_Input'!$C$2:$C$10,MATCH(B140,'01_Benchmark_Input'!$A$2:$A$10,0))</f>
        <v/>
      </c>
      <c r="K140" s="6">
        <f>IF(A140="Bear",INDEX('01_Benchmark_Input'!$AB$2:$AB$10,MATCH(B140,'01_Benchmark_Input'!$A$2:$A$10,0)),IF(A140="Bull",INDEX('01_Benchmark_Input'!$AD$2:$AD$10,MATCH(B140,'01_Benchmark_Input'!$A$2:$A$10,0)),INDEX('01_Benchmark_Input'!$AC$2:$AC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23" t="n">
        <v>9</v>
      </c>
      <c r="E141" s="24" t="n">
        <v>0.496</v>
      </c>
      <c r="F141" s="23" t="n">
        <v>1.2</v>
      </c>
      <c r="G141" s="24" t="n">
        <v>0.86</v>
      </c>
      <c r="H141" s="24" t="n">
        <v>0.79</v>
      </c>
      <c r="I141" s="5">
        <f>INDEX('01_Benchmark_Input'!$B$2:$B$10,MATCH(B141,'01_Benchmark_Input'!$A$2:$A$10,0))</f>
        <v/>
      </c>
      <c r="J141" s="5">
        <f>INDEX('01_Benchmark_Input'!$C$2:$C$10,MATCH(B141,'01_Benchmark_Input'!$A$2:$A$10,0))</f>
        <v/>
      </c>
      <c r="K141" s="6">
        <f>IF(A141="Bear",INDEX('01_Benchmark_Input'!$AB$2:$AB$10,MATCH(B141,'01_Benchmark_Input'!$A$2:$A$10,0)),IF(A141="Bull",INDEX('01_Benchmark_Input'!$AD$2:$AD$10,MATCH(B141,'01_Benchmark_Input'!$A$2:$A$10,0)),INDEX('01_Benchmark_Input'!$AC$2:$AC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23" t="n">
        <v>4.5</v>
      </c>
      <c r="E142" s="24" t="n">
        <v>0.43022222</v>
      </c>
      <c r="F142" s="23" t="n">
        <v>1.18</v>
      </c>
      <c r="G142" s="24" t="n">
        <v>0.88</v>
      </c>
      <c r="H142" s="24" t="n">
        <v>0.57</v>
      </c>
      <c r="I142" s="5">
        <f>INDEX('01_Benchmark_Input'!$B$2:$B$10,MATCH(B142,'01_Benchmark_Input'!$A$2:$A$10,0))</f>
        <v/>
      </c>
      <c r="J142" s="5">
        <f>INDEX('01_Benchmark_Input'!$C$2:$C$10,MATCH(B142,'01_Benchmark_Input'!$A$2:$A$10,0))</f>
        <v/>
      </c>
      <c r="K142" s="6">
        <f>IF(A142="Bear",INDEX('01_Benchmark_Input'!$AB$2:$AB$10,MATCH(B142,'01_Benchmark_Input'!$A$2:$A$10,0)),IF(A142="Bull",INDEX('01_Benchmark_Input'!$AD$2:$AD$10,MATCH(B142,'01_Benchmark_Input'!$A$2:$A$10,0)),INDEX('01_Benchmark_Input'!$AC$2:$AC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23" t="n">
        <v>5.375</v>
      </c>
      <c r="E143" s="24" t="n">
        <v>0.52353488</v>
      </c>
      <c r="F143" s="23" t="n">
        <v>1.18</v>
      </c>
      <c r="G143" s="24" t="n">
        <v>0.88</v>
      </c>
      <c r="H143" s="24" t="n">
        <v>0.618</v>
      </c>
      <c r="I143" s="5">
        <f>INDEX('01_Benchmark_Input'!$B$2:$B$10,MATCH(B143,'01_Benchmark_Input'!$A$2:$A$10,0))</f>
        <v/>
      </c>
      <c r="J143" s="5">
        <f>INDEX('01_Benchmark_Input'!$C$2:$C$10,MATCH(B143,'01_Benchmark_Input'!$A$2:$A$10,0))</f>
        <v/>
      </c>
      <c r="K143" s="6">
        <f>IF(A143="Bear",INDEX('01_Benchmark_Input'!$AB$2:$AB$10,MATCH(B143,'01_Benchmark_Input'!$A$2:$A$10,0)),IF(A143="Bull",INDEX('01_Benchmark_Input'!$AD$2:$AD$10,MATCH(B143,'01_Benchmark_Input'!$A$2:$A$10,0)),INDEX('01_Benchmark_Input'!$AC$2:$AC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23" t="n">
        <v>6.25</v>
      </c>
      <c r="E144" s="24" t="n">
        <v>0.576</v>
      </c>
      <c r="F144" s="23" t="n">
        <v>1.18</v>
      </c>
      <c r="G144" s="24" t="n">
        <v>0.88</v>
      </c>
      <c r="H144" s="24" t="n">
        <v>0.665</v>
      </c>
      <c r="I144" s="5">
        <f>INDEX('01_Benchmark_Input'!$B$2:$B$10,MATCH(B144,'01_Benchmark_Input'!$A$2:$A$10,0))</f>
        <v/>
      </c>
      <c r="J144" s="5">
        <f>INDEX('01_Benchmark_Input'!$C$2:$C$10,MATCH(B144,'01_Benchmark_Input'!$A$2:$A$10,0))</f>
        <v/>
      </c>
      <c r="K144" s="6">
        <f>IF(A144="Bear",INDEX('01_Benchmark_Input'!$AB$2:$AB$10,MATCH(B144,'01_Benchmark_Input'!$A$2:$A$10,0)),IF(A144="Bull",INDEX('01_Benchmark_Input'!$AD$2:$AD$10,MATCH(B144,'01_Benchmark_Input'!$A$2:$A$10,0)),INDEX('01_Benchmark_Input'!$AC$2:$AC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23" t="n">
        <v>7.125</v>
      </c>
      <c r="E145" s="24" t="n">
        <v>0.60266667</v>
      </c>
      <c r="F145" s="23" t="n">
        <v>1.18</v>
      </c>
      <c r="G145" s="24" t="n">
        <v>0.88</v>
      </c>
      <c r="H145" s="24" t="n">
        <v>0.713</v>
      </c>
      <c r="I145" s="5">
        <f>INDEX('01_Benchmark_Input'!$B$2:$B$10,MATCH(B145,'01_Benchmark_Input'!$A$2:$A$10,0))</f>
        <v/>
      </c>
      <c r="J145" s="5">
        <f>INDEX('01_Benchmark_Input'!$C$2:$C$10,MATCH(B145,'01_Benchmark_Input'!$A$2:$A$10,0))</f>
        <v/>
      </c>
      <c r="K145" s="6">
        <f>IF(A145="Bear",INDEX('01_Benchmark_Input'!$AB$2:$AB$10,MATCH(B145,'01_Benchmark_Input'!$A$2:$A$10,0)),IF(A145="Bull",INDEX('01_Benchmark_Input'!$AD$2:$AD$10,MATCH(B145,'01_Benchmark_Input'!$A$2:$A$10,0)),INDEX('01_Benchmark_Input'!$AC$2:$AC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23" t="n">
        <v>8</v>
      </c>
      <c r="E146" s="24" t="n">
        <v>0.612</v>
      </c>
      <c r="F146" s="23" t="n">
        <v>1.18</v>
      </c>
      <c r="G146" s="24" t="n">
        <v>0.88</v>
      </c>
      <c r="H146" s="24" t="n">
        <v>0.76</v>
      </c>
      <c r="I146" s="5">
        <f>INDEX('01_Benchmark_Input'!$B$2:$B$10,MATCH(B146,'01_Benchmark_Input'!$A$2:$A$10,0))</f>
        <v/>
      </c>
      <c r="J146" s="5">
        <f>INDEX('01_Benchmark_Input'!$C$2:$C$10,MATCH(B146,'01_Benchmark_Input'!$A$2:$A$10,0))</f>
        <v/>
      </c>
      <c r="K146" s="6">
        <f>IF(A146="Bear",INDEX('01_Benchmark_Input'!$AB$2:$AB$10,MATCH(B146,'01_Benchmark_Input'!$A$2:$A$10,0)),IF(A146="Bull",INDEX('01_Benchmark_Input'!$AD$2:$AD$10,MATCH(B146,'01_Benchmark_Input'!$A$2:$A$10,0)),INDEX('01_Benchmark_Input'!$AC$2:$AC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23" t="n">
        <v>3.5</v>
      </c>
      <c r="E147" s="24" t="n">
        <v>0.40228571</v>
      </c>
      <c r="F147" s="23" t="n">
        <v>1.2</v>
      </c>
      <c r="G147" s="24" t="n">
        <v>0.87</v>
      </c>
      <c r="H147" s="24" t="n">
        <v>0.6</v>
      </c>
      <c r="I147" s="5">
        <f>INDEX('01_Benchmark_Input'!$B$2:$B$10,MATCH(B147,'01_Benchmark_Input'!$A$2:$A$10,0))</f>
        <v/>
      </c>
      <c r="J147" s="5">
        <f>INDEX('01_Benchmark_Input'!$C$2:$C$10,MATCH(B147,'01_Benchmark_Input'!$A$2:$A$10,0))</f>
        <v/>
      </c>
      <c r="K147" s="6">
        <f>IF(A147="Bear",INDEX('01_Benchmark_Input'!$AB$2:$AB$10,MATCH(B147,'01_Benchmark_Input'!$A$2:$A$10,0)),IF(A147="Bull",INDEX('01_Benchmark_Input'!$AD$2:$AD$10,MATCH(B147,'01_Benchmark_Input'!$A$2:$A$10,0)),INDEX('01_Benchmark_Input'!$AC$2:$AC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23" t="n">
        <v>4.375</v>
      </c>
      <c r="E148" s="24" t="n">
        <v>0.5088</v>
      </c>
      <c r="F148" s="23" t="n">
        <v>1.2</v>
      </c>
      <c r="G148" s="24" t="n">
        <v>0.87</v>
      </c>
      <c r="H148" s="24" t="n">
        <v>0.655</v>
      </c>
      <c r="I148" s="5">
        <f>INDEX('01_Benchmark_Input'!$B$2:$B$10,MATCH(B148,'01_Benchmark_Input'!$A$2:$A$10,0))</f>
        <v/>
      </c>
      <c r="J148" s="5">
        <f>INDEX('01_Benchmark_Input'!$C$2:$C$10,MATCH(B148,'01_Benchmark_Input'!$A$2:$A$10,0))</f>
        <v/>
      </c>
      <c r="K148" s="6">
        <f>IF(A148="Bear",INDEX('01_Benchmark_Input'!$AB$2:$AB$10,MATCH(B148,'01_Benchmark_Input'!$A$2:$A$10,0)),IF(A148="Bull",INDEX('01_Benchmark_Input'!$AD$2:$AD$10,MATCH(B148,'01_Benchmark_Input'!$A$2:$A$10,0)),INDEX('01_Benchmark_Input'!$AC$2:$AC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23" t="n">
        <v>5.25</v>
      </c>
      <c r="E149" s="24" t="n">
        <v>0.56380952</v>
      </c>
      <c r="F149" s="23" t="n">
        <v>1.2</v>
      </c>
      <c r="G149" s="24" t="n">
        <v>0.87</v>
      </c>
      <c r="H149" s="24" t="n">
        <v>0.71</v>
      </c>
      <c r="I149" s="5">
        <f>INDEX('01_Benchmark_Input'!$B$2:$B$10,MATCH(B149,'01_Benchmark_Input'!$A$2:$A$10,0))</f>
        <v/>
      </c>
      <c r="J149" s="5">
        <f>INDEX('01_Benchmark_Input'!$C$2:$C$10,MATCH(B149,'01_Benchmark_Input'!$A$2:$A$10,0))</f>
        <v/>
      </c>
      <c r="K149" s="6">
        <f>IF(A149="Bear",INDEX('01_Benchmark_Input'!$AB$2:$AB$10,MATCH(B149,'01_Benchmark_Input'!$A$2:$A$10,0)),IF(A149="Bull",INDEX('01_Benchmark_Input'!$AD$2:$AD$10,MATCH(B149,'01_Benchmark_Input'!$A$2:$A$10,0)),INDEX('01_Benchmark_Input'!$AC$2:$AC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23" t="n">
        <v>6.125</v>
      </c>
      <c r="E150" s="24" t="n">
        <v>0.58938776</v>
      </c>
      <c r="F150" s="23" t="n">
        <v>1.2</v>
      </c>
      <c r="G150" s="24" t="n">
        <v>0.87</v>
      </c>
      <c r="H150" s="24" t="n">
        <v>0.765</v>
      </c>
      <c r="I150" s="5">
        <f>INDEX('01_Benchmark_Input'!$B$2:$B$10,MATCH(B150,'01_Benchmark_Input'!$A$2:$A$10,0))</f>
        <v/>
      </c>
      <c r="J150" s="5">
        <f>INDEX('01_Benchmark_Input'!$C$2:$C$10,MATCH(B150,'01_Benchmark_Input'!$A$2:$A$10,0))</f>
        <v/>
      </c>
      <c r="K150" s="6">
        <f>IF(A150="Bear",INDEX('01_Benchmark_Input'!$AB$2:$AB$10,MATCH(B150,'01_Benchmark_Input'!$A$2:$A$10,0)),IF(A150="Bull",INDEX('01_Benchmark_Input'!$AD$2:$AD$10,MATCH(B150,'01_Benchmark_Input'!$A$2:$A$10,0)),INDEX('01_Benchmark_Input'!$AC$2:$AC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23" t="n">
        <v>7</v>
      </c>
      <c r="E151" s="24" t="n">
        <v>0.59657143</v>
      </c>
      <c r="F151" s="23" t="n">
        <v>1.2</v>
      </c>
      <c r="G151" s="24" t="n">
        <v>0.87</v>
      </c>
      <c r="H151" s="24" t="n">
        <v>0.82</v>
      </c>
      <c r="I151" s="5">
        <f>INDEX('01_Benchmark_Input'!$B$2:$B$10,MATCH(B151,'01_Benchmark_Input'!$A$2:$A$10,0))</f>
        <v/>
      </c>
      <c r="J151" s="5">
        <f>INDEX('01_Benchmark_Input'!$C$2:$C$10,MATCH(B151,'01_Benchmark_Input'!$A$2:$A$10,0))</f>
        <v/>
      </c>
      <c r="K151" s="6">
        <f>IF(A151="Bear",INDEX('01_Benchmark_Input'!$AB$2:$AB$10,MATCH(B151,'01_Benchmark_Input'!$A$2:$A$10,0)),IF(A151="Bull",INDEX('01_Benchmark_Input'!$AD$2:$AD$10,MATCH(B151,'01_Benchmark_Input'!$A$2:$A$10,0)),INDEX('01_Benchmark_Input'!$AC$2:$AC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23" t="n">
        <v>1</v>
      </c>
      <c r="E152" s="24" t="n">
        <v>0.308</v>
      </c>
      <c r="F152" s="23" t="n">
        <v>1.22</v>
      </c>
      <c r="G152" s="24" t="n">
        <v>0.85</v>
      </c>
      <c r="H152" s="24" t="n">
        <v>0.47</v>
      </c>
      <c r="I152" s="5">
        <f>INDEX('01_Benchmark_Input'!$B$2:$B$10,MATCH(B152,'01_Benchmark_Input'!$A$2:$A$10,0))</f>
        <v/>
      </c>
      <c r="J152" s="5">
        <f>INDEX('01_Benchmark_Input'!$C$2:$C$10,MATCH(B152,'01_Benchmark_Input'!$A$2:$A$10,0))</f>
        <v/>
      </c>
      <c r="K152" s="6">
        <f>IF(A152="Bear",INDEX('01_Benchmark_Input'!$AB$2:$AB$10,MATCH(B152,'01_Benchmark_Input'!$A$2:$A$10,0)),IF(A152="Bull",INDEX('01_Benchmark_Input'!$AD$2:$AD$10,MATCH(B152,'01_Benchmark_Input'!$A$2:$A$10,0)),INDEX('01_Benchmark_Input'!$AC$2:$AC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23" t="n">
        <v>1.5</v>
      </c>
      <c r="E153" s="24" t="n">
        <v>0.49666667</v>
      </c>
      <c r="F153" s="23" t="n">
        <v>1.22</v>
      </c>
      <c r="G153" s="24" t="n">
        <v>0.85</v>
      </c>
      <c r="H153" s="24" t="n">
        <v>0.537</v>
      </c>
      <c r="I153" s="5">
        <f>INDEX('01_Benchmark_Input'!$B$2:$B$10,MATCH(B153,'01_Benchmark_Input'!$A$2:$A$10,0))</f>
        <v/>
      </c>
      <c r="J153" s="5">
        <f>INDEX('01_Benchmark_Input'!$C$2:$C$10,MATCH(B153,'01_Benchmark_Input'!$A$2:$A$10,0))</f>
        <v/>
      </c>
      <c r="K153" s="6">
        <f>IF(A153="Bear",INDEX('01_Benchmark_Input'!$AB$2:$AB$10,MATCH(B153,'01_Benchmark_Input'!$A$2:$A$10,0)),IF(A153="Bull",INDEX('01_Benchmark_Input'!$AD$2:$AD$10,MATCH(B153,'01_Benchmark_Input'!$A$2:$A$10,0)),INDEX('01_Benchmark_Input'!$AC$2:$AC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23" t="n">
        <v>2</v>
      </c>
      <c r="E154" s="24" t="n">
        <v>0.57</v>
      </c>
      <c r="F154" s="23" t="n">
        <v>1.22</v>
      </c>
      <c r="G154" s="24" t="n">
        <v>0.85</v>
      </c>
      <c r="H154" s="24" t="n">
        <v>0.605</v>
      </c>
      <c r="I154" s="5">
        <f>INDEX('01_Benchmark_Input'!$B$2:$B$10,MATCH(B154,'01_Benchmark_Input'!$A$2:$A$10,0))</f>
        <v/>
      </c>
      <c r="J154" s="5">
        <f>INDEX('01_Benchmark_Input'!$C$2:$C$10,MATCH(B154,'01_Benchmark_Input'!$A$2:$A$10,0))</f>
        <v/>
      </c>
      <c r="K154" s="6">
        <f>IF(A154="Bear",INDEX('01_Benchmark_Input'!$AB$2:$AB$10,MATCH(B154,'01_Benchmark_Input'!$A$2:$A$10,0)),IF(A154="Bull",INDEX('01_Benchmark_Input'!$AD$2:$AD$10,MATCH(B154,'01_Benchmark_Input'!$A$2:$A$10,0)),INDEX('01_Benchmark_Input'!$AC$2:$AC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23" t="n">
        <v>2.5</v>
      </c>
      <c r="E155" s="24" t="n">
        <v>0.5968</v>
      </c>
      <c r="F155" s="23" t="n">
        <v>1.22</v>
      </c>
      <c r="G155" s="24" t="n">
        <v>0.85</v>
      </c>
      <c r="H155" s="24" t="n">
        <v>0.672</v>
      </c>
      <c r="I155" s="5">
        <f>INDEX('01_Benchmark_Input'!$B$2:$B$10,MATCH(B155,'01_Benchmark_Input'!$A$2:$A$10,0))</f>
        <v/>
      </c>
      <c r="J155" s="5">
        <f>INDEX('01_Benchmark_Input'!$C$2:$C$10,MATCH(B155,'01_Benchmark_Input'!$A$2:$A$10,0))</f>
        <v/>
      </c>
      <c r="K155" s="6">
        <f>IF(A155="Bear",INDEX('01_Benchmark_Input'!$AB$2:$AB$10,MATCH(B155,'01_Benchmark_Input'!$A$2:$A$10,0)),IF(A155="Bull",INDEX('01_Benchmark_Input'!$AD$2:$AD$10,MATCH(B155,'01_Benchmark_Input'!$A$2:$A$10,0)),INDEX('01_Benchmark_Input'!$AC$2:$AC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23" t="n">
        <v>3</v>
      </c>
      <c r="E156" s="24" t="n">
        <v>0.6</v>
      </c>
      <c r="F156" s="23" t="n">
        <v>1.22</v>
      </c>
      <c r="G156" s="24" t="n">
        <v>0.85</v>
      </c>
      <c r="H156" s="24" t="n">
        <v>0.74</v>
      </c>
      <c r="I156" s="5">
        <f>INDEX('01_Benchmark_Input'!$B$2:$B$10,MATCH(B156,'01_Benchmark_Input'!$A$2:$A$10,0))</f>
        <v/>
      </c>
      <c r="J156" s="5">
        <f>INDEX('01_Benchmark_Input'!$C$2:$C$10,MATCH(B156,'01_Benchmark_Input'!$A$2:$A$10,0))</f>
        <v/>
      </c>
      <c r="K156" s="6">
        <f>IF(A156="Bear",INDEX('01_Benchmark_Input'!$AB$2:$AB$10,MATCH(B156,'01_Benchmark_Input'!$A$2:$A$10,0)),IF(A156="Bull",INDEX('01_Benchmark_Input'!$AD$2:$AD$10,MATCH(B156,'01_Benchmark_Input'!$A$2:$A$10,0)),INDEX('01_Benchmark_Input'!$AC$2:$AC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23" t="n">
        <v>5</v>
      </c>
      <c r="E157" s="24" t="n">
        <v>0.2464</v>
      </c>
      <c r="F157" s="23" t="n">
        <v>1.2</v>
      </c>
      <c r="G157" s="24" t="n">
        <v>0.88</v>
      </c>
      <c r="H157" s="24" t="n">
        <v>0.6</v>
      </c>
      <c r="I157" s="5">
        <f>INDEX('01_Benchmark_Input'!$B$2:$B$10,MATCH(B157,'01_Benchmark_Input'!$A$2:$A$10,0))</f>
        <v/>
      </c>
      <c r="J157" s="5">
        <f>INDEX('01_Benchmark_Input'!$C$2:$C$10,MATCH(B157,'01_Benchmark_Input'!$A$2:$A$10,0))</f>
        <v/>
      </c>
      <c r="K157" s="6">
        <f>IF(A157="Bear",INDEX('01_Benchmark_Input'!$AB$2:$AB$10,MATCH(B157,'01_Benchmark_Input'!$A$2:$A$10,0)),IF(A157="Bull",INDEX('01_Benchmark_Input'!$AD$2:$AD$10,MATCH(B157,'01_Benchmark_Input'!$A$2:$A$10,0)),INDEX('01_Benchmark_Input'!$AC$2:$AC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23" t="n">
        <v>6.75</v>
      </c>
      <c r="E158" s="24" t="n">
        <v>0.39511111</v>
      </c>
      <c r="F158" s="23" t="n">
        <v>1.2</v>
      </c>
      <c r="G158" s="24" t="n">
        <v>0.88</v>
      </c>
      <c r="H158" s="24" t="n">
        <v>0.655</v>
      </c>
      <c r="I158" s="5">
        <f>INDEX('01_Benchmark_Input'!$B$2:$B$10,MATCH(B158,'01_Benchmark_Input'!$A$2:$A$10,0))</f>
        <v/>
      </c>
      <c r="J158" s="5">
        <f>INDEX('01_Benchmark_Input'!$C$2:$C$10,MATCH(B158,'01_Benchmark_Input'!$A$2:$A$10,0))</f>
        <v/>
      </c>
      <c r="K158" s="6">
        <f>IF(A158="Bear",INDEX('01_Benchmark_Input'!$AB$2:$AB$10,MATCH(B158,'01_Benchmark_Input'!$A$2:$A$10,0)),IF(A158="Bull",INDEX('01_Benchmark_Input'!$AD$2:$AD$10,MATCH(B158,'01_Benchmark_Input'!$A$2:$A$10,0)),INDEX('01_Benchmark_Input'!$AC$2:$AC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23" t="n">
        <v>8.5</v>
      </c>
      <c r="E159" s="24" t="n">
        <v>0.46588235</v>
      </c>
      <c r="F159" s="23" t="n">
        <v>1.2</v>
      </c>
      <c r="G159" s="24" t="n">
        <v>0.88</v>
      </c>
      <c r="H159" s="24" t="n">
        <v>0.71</v>
      </c>
      <c r="I159" s="5">
        <f>INDEX('01_Benchmark_Input'!$B$2:$B$10,MATCH(B159,'01_Benchmark_Input'!$A$2:$A$10,0))</f>
        <v/>
      </c>
      <c r="J159" s="5">
        <f>INDEX('01_Benchmark_Input'!$C$2:$C$10,MATCH(B159,'01_Benchmark_Input'!$A$2:$A$10,0))</f>
        <v/>
      </c>
      <c r="K159" s="6">
        <f>IF(A159="Bear",INDEX('01_Benchmark_Input'!$AB$2:$AB$10,MATCH(B159,'01_Benchmark_Input'!$A$2:$A$10,0)),IF(A159="Bull",INDEX('01_Benchmark_Input'!$AD$2:$AD$10,MATCH(B159,'01_Benchmark_Input'!$A$2:$A$10,0)),INDEX('01_Benchmark_Input'!$AC$2:$AC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23" t="n">
        <v>10.25</v>
      </c>
      <c r="E160" s="24" t="n">
        <v>0.49863415</v>
      </c>
      <c r="F160" s="23" t="n">
        <v>1.2</v>
      </c>
      <c r="G160" s="24" t="n">
        <v>0.88</v>
      </c>
      <c r="H160" s="24" t="n">
        <v>0.765</v>
      </c>
      <c r="I160" s="5">
        <f>INDEX('01_Benchmark_Input'!$B$2:$B$10,MATCH(B160,'01_Benchmark_Input'!$A$2:$A$10,0))</f>
        <v/>
      </c>
      <c r="J160" s="5">
        <f>INDEX('01_Benchmark_Input'!$C$2:$C$10,MATCH(B160,'01_Benchmark_Input'!$A$2:$A$10,0))</f>
        <v/>
      </c>
      <c r="K160" s="6">
        <f>IF(A160="Bear",INDEX('01_Benchmark_Input'!$AB$2:$AB$10,MATCH(B160,'01_Benchmark_Input'!$A$2:$A$10,0)),IF(A160="Bull",INDEX('01_Benchmark_Input'!$AD$2:$AD$10,MATCH(B160,'01_Benchmark_Input'!$A$2:$A$10,0)),INDEX('01_Benchmark_Input'!$AC$2:$AC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23" t="n">
        <v>12</v>
      </c>
      <c r="E161" s="24" t="n">
        <v>0.51</v>
      </c>
      <c r="F161" s="23" t="n">
        <v>1.2</v>
      </c>
      <c r="G161" s="24" t="n">
        <v>0.88</v>
      </c>
      <c r="H161" s="24" t="n">
        <v>0.82</v>
      </c>
      <c r="I161" s="5">
        <f>INDEX('01_Benchmark_Input'!$B$2:$B$10,MATCH(B161,'01_Benchmark_Input'!$A$2:$A$10,0))</f>
        <v/>
      </c>
      <c r="J161" s="5">
        <f>INDEX('01_Benchmark_Input'!$C$2:$C$10,MATCH(B161,'01_Benchmark_Input'!$A$2:$A$10,0))</f>
        <v/>
      </c>
      <c r="K161" s="6">
        <f>IF(A161="Bear",INDEX('01_Benchmark_Input'!$AB$2:$AB$10,MATCH(B161,'01_Benchmark_Input'!$A$2:$A$10,0)),IF(A161="Bull",INDEX('01_Benchmark_Input'!$AD$2:$AD$10,MATCH(B161,'01_Benchmark_Input'!$A$2:$A$10,0)),INDEX('01_Benchmark_Input'!$AC$2:$AC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23" t="n">
        <v>3.5</v>
      </c>
      <c r="E162" s="24" t="n">
        <v>0.25142857</v>
      </c>
      <c r="F162" s="23" t="n">
        <v>1.18</v>
      </c>
      <c r="G162" s="24" t="n">
        <v>0.86</v>
      </c>
      <c r="H162" s="24" t="n">
        <v>0.54</v>
      </c>
      <c r="I162" s="5">
        <f>INDEX('01_Benchmark_Input'!$B$2:$B$10,MATCH(B162,'01_Benchmark_Input'!$A$2:$A$10,0))</f>
        <v/>
      </c>
      <c r="J162" s="5">
        <f>INDEX('01_Benchmark_Input'!$C$2:$C$10,MATCH(B162,'01_Benchmark_Input'!$A$2:$A$10,0))</f>
        <v/>
      </c>
      <c r="K162" s="6">
        <f>IF(A162="Bear",INDEX('01_Benchmark_Input'!$AB$2:$AB$10,MATCH(B162,'01_Benchmark_Input'!$A$2:$A$10,0)),IF(A162="Bull",INDEX('01_Benchmark_Input'!$AD$2:$AD$10,MATCH(B162,'01_Benchmark_Input'!$A$2:$A$10,0)),INDEX('01_Benchmark_Input'!$AC$2:$AC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23" t="n">
        <v>4.375</v>
      </c>
      <c r="E163" s="24" t="n">
        <v>0.408</v>
      </c>
      <c r="F163" s="23" t="n">
        <v>1.18</v>
      </c>
      <c r="G163" s="24" t="n">
        <v>0.86</v>
      </c>
      <c r="H163" s="24" t="n">
        <v>0.6</v>
      </c>
      <c r="I163" s="5">
        <f>INDEX('01_Benchmark_Input'!$B$2:$B$10,MATCH(B163,'01_Benchmark_Input'!$A$2:$A$10,0))</f>
        <v/>
      </c>
      <c r="J163" s="5">
        <f>INDEX('01_Benchmark_Input'!$C$2:$C$10,MATCH(B163,'01_Benchmark_Input'!$A$2:$A$10,0))</f>
        <v/>
      </c>
      <c r="K163" s="6">
        <f>IF(A163="Bear",INDEX('01_Benchmark_Input'!$AB$2:$AB$10,MATCH(B163,'01_Benchmark_Input'!$A$2:$A$10,0)),IF(A163="Bull",INDEX('01_Benchmark_Input'!$AD$2:$AD$10,MATCH(B163,'01_Benchmark_Input'!$A$2:$A$10,0)),INDEX('01_Benchmark_Input'!$AC$2:$AC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23" t="n">
        <v>5.25</v>
      </c>
      <c r="E164" s="24" t="n">
        <v>0.4952381</v>
      </c>
      <c r="F164" s="23" t="n">
        <v>1.18</v>
      </c>
      <c r="G164" s="24" t="n">
        <v>0.86</v>
      </c>
      <c r="H164" s="24" t="n">
        <v>0.66</v>
      </c>
      <c r="I164" s="5">
        <f>INDEX('01_Benchmark_Input'!$B$2:$B$10,MATCH(B164,'01_Benchmark_Input'!$A$2:$A$10,0))</f>
        <v/>
      </c>
      <c r="J164" s="5">
        <f>INDEX('01_Benchmark_Input'!$C$2:$C$10,MATCH(B164,'01_Benchmark_Input'!$A$2:$A$10,0))</f>
        <v/>
      </c>
      <c r="K164" s="6">
        <f>IF(A164="Bear",INDEX('01_Benchmark_Input'!$AB$2:$AB$10,MATCH(B164,'01_Benchmark_Input'!$A$2:$A$10,0)),IF(A164="Bull",INDEX('01_Benchmark_Input'!$AD$2:$AD$10,MATCH(B164,'01_Benchmark_Input'!$A$2:$A$10,0)),INDEX('01_Benchmark_Input'!$AC$2:$AC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23" t="n">
        <v>6.125</v>
      </c>
      <c r="E165" s="24" t="n">
        <v>0.54285714</v>
      </c>
      <c r="F165" s="23" t="n">
        <v>1.18</v>
      </c>
      <c r="G165" s="24" t="n">
        <v>0.86</v>
      </c>
      <c r="H165" s="24" t="n">
        <v>0.72</v>
      </c>
      <c r="I165" s="5">
        <f>INDEX('01_Benchmark_Input'!$B$2:$B$10,MATCH(B165,'01_Benchmark_Input'!$A$2:$A$10,0))</f>
        <v/>
      </c>
      <c r="J165" s="5">
        <f>INDEX('01_Benchmark_Input'!$C$2:$C$10,MATCH(B165,'01_Benchmark_Input'!$A$2:$A$10,0))</f>
        <v/>
      </c>
      <c r="K165" s="6">
        <f>IF(A165="Bear",INDEX('01_Benchmark_Input'!$AB$2:$AB$10,MATCH(B165,'01_Benchmark_Input'!$A$2:$A$10,0)),IF(A165="Bull",INDEX('01_Benchmark_Input'!$AD$2:$AD$10,MATCH(B165,'01_Benchmark_Input'!$A$2:$A$10,0)),INDEX('01_Benchmark_Input'!$AC$2:$AC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23" t="n">
        <v>7</v>
      </c>
      <c r="E166" s="24" t="n">
        <v>0.56571429</v>
      </c>
      <c r="F166" s="23" t="n">
        <v>1.18</v>
      </c>
      <c r="G166" s="24" t="n">
        <v>0.86</v>
      </c>
      <c r="H166" s="24" t="n">
        <v>0.78</v>
      </c>
      <c r="I166" s="5">
        <f>INDEX('01_Benchmark_Input'!$B$2:$B$10,MATCH(B166,'01_Benchmark_Input'!$A$2:$A$10,0))</f>
        <v/>
      </c>
      <c r="J166" s="5">
        <f>INDEX('01_Benchmark_Input'!$C$2:$C$10,MATCH(B166,'01_Benchmark_Input'!$A$2:$A$10,0))</f>
        <v/>
      </c>
      <c r="K166" s="6">
        <f>IF(A166="Bear",INDEX('01_Benchmark_Input'!$AB$2:$AB$10,MATCH(B166,'01_Benchmark_Input'!$A$2:$A$10,0)),IF(A166="Bull",INDEX('01_Benchmark_Input'!$AD$2:$AD$10,MATCH(B166,'01_Benchmark_Input'!$A$2:$A$10,0)),INDEX('01_Benchmark_Input'!$AC$2:$AC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23" t="n">
        <v>0.5</v>
      </c>
      <c r="E167" s="24" t="n">
        <v>0.264</v>
      </c>
      <c r="F167" s="23" t="n">
        <v>1.24</v>
      </c>
      <c r="G167" s="24" t="n">
        <v>0.82</v>
      </c>
      <c r="H167" s="24" t="n">
        <v>0.64</v>
      </c>
      <c r="I167" s="5">
        <f>INDEX('01_Benchmark_Input'!$B$2:$B$10,MATCH(B167,'01_Benchmark_Input'!$A$2:$A$10,0))</f>
        <v/>
      </c>
      <c r="J167" s="5">
        <f>INDEX('01_Benchmark_Input'!$C$2:$C$10,MATCH(B167,'01_Benchmark_Input'!$A$2:$A$10,0))</f>
        <v/>
      </c>
      <c r="K167" s="6">
        <f>IF(A167="Bear",INDEX('01_Benchmark_Input'!$AB$2:$AB$10,MATCH(B167,'01_Benchmark_Input'!$A$2:$A$10,0)),IF(A167="Bull",INDEX('01_Benchmark_Input'!$AD$2:$AD$10,MATCH(B167,'01_Benchmark_Input'!$A$2:$A$10,0)),INDEX('01_Benchmark_Input'!$AC$2:$AC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23" t="n">
        <v>0.825</v>
      </c>
      <c r="E168" s="24" t="n">
        <v>0.41939394</v>
      </c>
      <c r="F168" s="23" t="n">
        <v>1.24</v>
      </c>
      <c r="G168" s="24" t="n">
        <v>0.82</v>
      </c>
      <c r="H168" s="24" t="n">
        <v>0.695</v>
      </c>
      <c r="I168" s="5">
        <f>INDEX('01_Benchmark_Input'!$B$2:$B$10,MATCH(B168,'01_Benchmark_Input'!$A$2:$A$10,0))</f>
        <v/>
      </c>
      <c r="J168" s="5">
        <f>INDEX('01_Benchmark_Input'!$C$2:$C$10,MATCH(B168,'01_Benchmark_Input'!$A$2:$A$10,0))</f>
        <v/>
      </c>
      <c r="K168" s="6">
        <f>IF(A168="Bear",INDEX('01_Benchmark_Input'!$AB$2:$AB$10,MATCH(B168,'01_Benchmark_Input'!$A$2:$A$10,0)),IF(A168="Bull",INDEX('01_Benchmark_Input'!$AD$2:$AD$10,MATCH(B168,'01_Benchmark_Input'!$A$2:$A$10,0)),INDEX('01_Benchmark_Input'!$AC$2:$AC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23" t="n">
        <v>1.15</v>
      </c>
      <c r="E169" s="24" t="n">
        <v>0.46956522</v>
      </c>
      <c r="F169" s="23" t="n">
        <v>1.24</v>
      </c>
      <c r="G169" s="24" t="n">
        <v>0.82</v>
      </c>
      <c r="H169" s="24" t="n">
        <v>0.75</v>
      </c>
      <c r="I169" s="5">
        <f>INDEX('01_Benchmark_Input'!$B$2:$B$10,MATCH(B169,'01_Benchmark_Input'!$A$2:$A$10,0))</f>
        <v/>
      </c>
      <c r="J169" s="5">
        <f>INDEX('01_Benchmark_Input'!$C$2:$C$10,MATCH(B169,'01_Benchmark_Input'!$A$2:$A$10,0))</f>
        <v/>
      </c>
      <c r="K169" s="6">
        <f>IF(A169="Bear",INDEX('01_Benchmark_Input'!$AB$2:$AB$10,MATCH(B169,'01_Benchmark_Input'!$A$2:$A$10,0)),IF(A169="Bull",INDEX('01_Benchmark_Input'!$AD$2:$AD$10,MATCH(B169,'01_Benchmark_Input'!$A$2:$A$10,0)),INDEX('01_Benchmark_Input'!$AC$2:$AC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23" t="n">
        <v>1.475</v>
      </c>
      <c r="E170" s="24" t="n">
        <v>0.48338983</v>
      </c>
      <c r="F170" s="23" t="n">
        <v>1.24</v>
      </c>
      <c r="G170" s="24" t="n">
        <v>0.82</v>
      </c>
      <c r="H170" s="24" t="n">
        <v>0.805</v>
      </c>
      <c r="I170" s="5">
        <f>INDEX('01_Benchmark_Input'!$B$2:$B$10,MATCH(B170,'01_Benchmark_Input'!$A$2:$A$10,0))</f>
        <v/>
      </c>
      <c r="J170" s="5">
        <f>INDEX('01_Benchmark_Input'!$C$2:$C$10,MATCH(B170,'01_Benchmark_Input'!$A$2:$A$10,0))</f>
        <v/>
      </c>
      <c r="K170" s="6">
        <f>IF(A170="Bear",INDEX('01_Benchmark_Input'!$AB$2:$AB$10,MATCH(B170,'01_Benchmark_Input'!$A$2:$A$10,0)),IF(A170="Bull",INDEX('01_Benchmark_Input'!$AD$2:$AD$10,MATCH(B170,'01_Benchmark_Input'!$A$2:$A$10,0)),INDEX('01_Benchmark_Input'!$AC$2:$AC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23" t="n">
        <v>1.8</v>
      </c>
      <c r="E171" s="24" t="n">
        <v>0.48</v>
      </c>
      <c r="F171" s="23" t="n">
        <v>1.24</v>
      </c>
      <c r="G171" s="24" t="n">
        <v>0.82</v>
      </c>
      <c r="H171" s="24" t="n">
        <v>0.86</v>
      </c>
      <c r="I171" s="5">
        <f>INDEX('01_Benchmark_Input'!$B$2:$B$10,MATCH(B171,'01_Benchmark_Input'!$A$2:$A$10,0))</f>
        <v/>
      </c>
      <c r="J171" s="5">
        <f>INDEX('01_Benchmark_Input'!$C$2:$C$10,MATCH(B171,'01_Benchmark_Input'!$A$2:$A$10,0))</f>
        <v/>
      </c>
      <c r="K171" s="6">
        <f>IF(A171="Bear",INDEX('01_Benchmark_Input'!$AB$2:$AB$10,MATCH(B171,'01_Benchmark_Input'!$A$2:$A$10,0)),IF(A171="Bull",INDEX('01_Benchmark_Input'!$AD$2:$AD$10,MATCH(B171,'01_Benchmark_Input'!$A$2:$A$10,0)),INDEX('01_Benchmark_Input'!$AC$2:$AC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23" t="n">
        <v>1.8</v>
      </c>
      <c r="E172" s="24" t="n">
        <v>0.31777778</v>
      </c>
      <c r="F172" s="23" t="n">
        <v>1.23</v>
      </c>
      <c r="G172" s="24" t="n">
        <v>0.84</v>
      </c>
      <c r="H172" s="24" t="n">
        <v>0.62</v>
      </c>
      <c r="I172" s="5">
        <f>INDEX('01_Benchmark_Input'!$B$2:$B$10,MATCH(B172,'01_Benchmark_Input'!$A$2:$A$10,0))</f>
        <v/>
      </c>
      <c r="J172" s="5">
        <f>INDEX('01_Benchmark_Input'!$C$2:$C$10,MATCH(B172,'01_Benchmark_Input'!$A$2:$A$10,0))</f>
        <v/>
      </c>
      <c r="K172" s="6">
        <f>IF(A172="Bear",INDEX('01_Benchmark_Input'!$AB$2:$AB$10,MATCH(B172,'01_Benchmark_Input'!$A$2:$A$10,0)),IF(A172="Bull",INDEX('01_Benchmark_Input'!$AD$2:$AD$10,MATCH(B172,'01_Benchmark_Input'!$A$2:$A$10,0)),INDEX('01_Benchmark_Input'!$AC$2:$AC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23" t="n">
        <v>2.35</v>
      </c>
      <c r="E173" s="24" t="n">
        <v>0.46042553</v>
      </c>
      <c r="F173" s="23" t="n">
        <v>1.23</v>
      </c>
      <c r="G173" s="24" t="n">
        <v>0.84</v>
      </c>
      <c r="H173" s="24" t="n">
        <v>0.675</v>
      </c>
      <c r="I173" s="5">
        <f>INDEX('01_Benchmark_Input'!$B$2:$B$10,MATCH(B173,'01_Benchmark_Input'!$A$2:$A$10,0))</f>
        <v/>
      </c>
      <c r="J173" s="5">
        <f>INDEX('01_Benchmark_Input'!$C$2:$C$10,MATCH(B173,'01_Benchmark_Input'!$A$2:$A$10,0))</f>
        <v/>
      </c>
      <c r="K173" s="6">
        <f>IF(A173="Bear",INDEX('01_Benchmark_Input'!$AB$2:$AB$10,MATCH(B173,'01_Benchmark_Input'!$A$2:$A$10,0)),IF(A173="Bull",INDEX('01_Benchmark_Input'!$AD$2:$AD$10,MATCH(B173,'01_Benchmark_Input'!$A$2:$A$10,0)),INDEX('01_Benchmark_Input'!$AC$2:$AC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23" t="n">
        <v>2.9</v>
      </c>
      <c r="E174" s="24" t="n">
        <v>0.53103448</v>
      </c>
      <c r="F174" s="23" t="n">
        <v>1.23</v>
      </c>
      <c r="G174" s="24" t="n">
        <v>0.84</v>
      </c>
      <c r="H174" s="24" t="n">
        <v>0.73</v>
      </c>
      <c r="I174" s="5">
        <f>INDEX('01_Benchmark_Input'!$B$2:$B$10,MATCH(B174,'01_Benchmark_Input'!$A$2:$A$10,0))</f>
        <v/>
      </c>
      <c r="J174" s="5">
        <f>INDEX('01_Benchmark_Input'!$C$2:$C$10,MATCH(B174,'01_Benchmark_Input'!$A$2:$A$10,0))</f>
        <v/>
      </c>
      <c r="K174" s="6">
        <f>IF(A174="Bear",INDEX('01_Benchmark_Input'!$AB$2:$AB$10,MATCH(B174,'01_Benchmark_Input'!$A$2:$A$10,0)),IF(A174="Bull",INDEX('01_Benchmark_Input'!$AD$2:$AD$10,MATCH(B174,'01_Benchmark_Input'!$A$2:$A$10,0)),INDEX('01_Benchmark_Input'!$AC$2:$AC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23" t="n">
        <v>3.45</v>
      </c>
      <c r="E175" s="24" t="n">
        <v>0.56463768</v>
      </c>
      <c r="F175" s="23" t="n">
        <v>1.23</v>
      </c>
      <c r="G175" s="24" t="n">
        <v>0.84</v>
      </c>
      <c r="H175" s="24" t="n">
        <v>0.785</v>
      </c>
      <c r="I175" s="5">
        <f>INDEX('01_Benchmark_Input'!$B$2:$B$10,MATCH(B175,'01_Benchmark_Input'!$A$2:$A$10,0))</f>
        <v/>
      </c>
      <c r="J175" s="5">
        <f>INDEX('01_Benchmark_Input'!$C$2:$C$10,MATCH(B175,'01_Benchmark_Input'!$A$2:$A$10,0))</f>
        <v/>
      </c>
      <c r="K175" s="6">
        <f>IF(A175="Bear",INDEX('01_Benchmark_Input'!$AB$2:$AB$10,MATCH(B175,'01_Benchmark_Input'!$A$2:$A$10,0)),IF(A175="Bull",INDEX('01_Benchmark_Input'!$AD$2:$AD$10,MATCH(B175,'01_Benchmark_Input'!$A$2:$A$10,0)),INDEX('01_Benchmark_Input'!$AC$2:$AC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23" t="n">
        <v>4</v>
      </c>
      <c r="E176" s="24" t="n">
        <v>0.576</v>
      </c>
      <c r="F176" s="23" t="n">
        <v>1.23</v>
      </c>
      <c r="G176" s="24" t="n">
        <v>0.84</v>
      </c>
      <c r="H176" s="24" t="n">
        <v>0.84</v>
      </c>
      <c r="I176" s="5">
        <f>INDEX('01_Benchmark_Input'!$B$2:$B$10,MATCH(B176,'01_Benchmark_Input'!$A$2:$A$10,0))</f>
        <v/>
      </c>
      <c r="J176" s="5">
        <f>INDEX('01_Benchmark_Input'!$C$2:$C$10,MATCH(B176,'01_Benchmark_Input'!$A$2:$A$10,0))</f>
        <v/>
      </c>
      <c r="K176" s="6">
        <f>IF(A176="Bear",INDEX('01_Benchmark_Input'!$AB$2:$AB$10,MATCH(B176,'01_Benchmark_Input'!$A$2:$A$10,0)),IF(A176="Bull",INDEX('01_Benchmark_Input'!$AD$2:$AD$10,MATCH(B176,'01_Benchmark_Input'!$A$2:$A$10,0)),INDEX('01_Benchmark_Input'!$AC$2:$AC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23" t="n">
        <v>1.2</v>
      </c>
      <c r="E177" s="24" t="n">
        <v>0.33</v>
      </c>
      <c r="F177" s="23" t="n">
        <v>1.23</v>
      </c>
      <c r="G177" s="24" t="n">
        <v>0.84</v>
      </c>
      <c r="H177" s="24" t="n">
        <v>0.62</v>
      </c>
      <c r="I177" s="5">
        <f>INDEX('01_Benchmark_Input'!$B$2:$B$10,MATCH(B177,'01_Benchmark_Input'!$A$2:$A$10,0))</f>
        <v/>
      </c>
      <c r="J177" s="5">
        <f>INDEX('01_Benchmark_Input'!$C$2:$C$10,MATCH(B177,'01_Benchmark_Input'!$A$2:$A$10,0))</f>
        <v/>
      </c>
      <c r="K177" s="6">
        <f>IF(A177="Bear",INDEX('01_Benchmark_Input'!$AB$2:$AB$10,MATCH(B177,'01_Benchmark_Input'!$A$2:$A$10,0)),IF(A177="Bull",INDEX('01_Benchmark_Input'!$AD$2:$AD$10,MATCH(B177,'01_Benchmark_Input'!$A$2:$A$10,0)),INDEX('01_Benchmark_Input'!$AC$2:$AC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23" t="n">
        <v>1.65</v>
      </c>
      <c r="E178" s="24" t="n">
        <v>0.4769697</v>
      </c>
      <c r="F178" s="23" t="n">
        <v>1.23</v>
      </c>
      <c r="G178" s="24" t="n">
        <v>0.84</v>
      </c>
      <c r="H178" s="24" t="n">
        <v>0.675</v>
      </c>
      <c r="I178" s="5">
        <f>INDEX('01_Benchmark_Input'!$B$2:$B$10,MATCH(B178,'01_Benchmark_Input'!$A$2:$A$10,0))</f>
        <v/>
      </c>
      <c r="J178" s="5">
        <f>INDEX('01_Benchmark_Input'!$C$2:$C$10,MATCH(B178,'01_Benchmark_Input'!$A$2:$A$10,0))</f>
        <v/>
      </c>
      <c r="K178" s="6">
        <f>IF(A178="Bear",INDEX('01_Benchmark_Input'!$AB$2:$AB$10,MATCH(B178,'01_Benchmark_Input'!$A$2:$A$10,0)),IF(A178="Bull",INDEX('01_Benchmark_Input'!$AD$2:$AD$10,MATCH(B178,'01_Benchmark_Input'!$A$2:$A$10,0)),INDEX('01_Benchmark_Input'!$AC$2:$AC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23" t="n">
        <v>2.1</v>
      </c>
      <c r="E179" s="24" t="n">
        <v>0.54285714</v>
      </c>
      <c r="F179" s="23" t="n">
        <v>1.23</v>
      </c>
      <c r="G179" s="24" t="n">
        <v>0.84</v>
      </c>
      <c r="H179" s="24" t="n">
        <v>0.73</v>
      </c>
      <c r="I179" s="5">
        <f>INDEX('01_Benchmark_Input'!$B$2:$B$10,MATCH(B179,'01_Benchmark_Input'!$A$2:$A$10,0))</f>
        <v/>
      </c>
      <c r="J179" s="5">
        <f>INDEX('01_Benchmark_Input'!$C$2:$C$10,MATCH(B179,'01_Benchmark_Input'!$A$2:$A$10,0))</f>
        <v/>
      </c>
      <c r="K179" s="6">
        <f>IF(A179="Bear",INDEX('01_Benchmark_Input'!$AB$2:$AB$10,MATCH(B179,'01_Benchmark_Input'!$A$2:$A$10,0)),IF(A179="Bull",INDEX('01_Benchmark_Input'!$AD$2:$AD$10,MATCH(B179,'01_Benchmark_Input'!$A$2:$A$10,0)),INDEX('01_Benchmark_Input'!$AC$2:$AC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23" t="n">
        <v>2.55</v>
      </c>
      <c r="E180" s="24" t="n">
        <v>0.57019608</v>
      </c>
      <c r="F180" s="23" t="n">
        <v>1.23</v>
      </c>
      <c r="G180" s="24" t="n">
        <v>0.84</v>
      </c>
      <c r="H180" s="24" t="n">
        <v>0.785</v>
      </c>
      <c r="I180" s="5">
        <f>INDEX('01_Benchmark_Input'!$B$2:$B$10,MATCH(B180,'01_Benchmark_Input'!$A$2:$A$10,0))</f>
        <v/>
      </c>
      <c r="J180" s="5">
        <f>INDEX('01_Benchmark_Input'!$C$2:$C$10,MATCH(B180,'01_Benchmark_Input'!$A$2:$A$10,0))</f>
        <v/>
      </c>
      <c r="K180" s="6">
        <f>IF(A180="Bear",INDEX('01_Benchmark_Input'!$AB$2:$AB$10,MATCH(B180,'01_Benchmark_Input'!$A$2:$A$10,0)),IF(A180="Bull",INDEX('01_Benchmark_Input'!$AD$2:$AD$10,MATCH(B180,'01_Benchmark_Input'!$A$2:$A$10,0)),INDEX('01_Benchmark_Input'!$AC$2:$AC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23" t="n">
        <v>3</v>
      </c>
      <c r="E181" s="24" t="n">
        <v>0.576</v>
      </c>
      <c r="F181" s="23" t="n">
        <v>1.23</v>
      </c>
      <c r="G181" s="24" t="n">
        <v>0.84</v>
      </c>
      <c r="H181" s="24" t="n">
        <v>0.84</v>
      </c>
      <c r="I181" s="5">
        <f>INDEX('01_Benchmark_Input'!$B$2:$B$10,MATCH(B181,'01_Benchmark_Input'!$A$2:$A$10,0))</f>
        <v/>
      </c>
      <c r="J181" s="5">
        <f>INDEX('01_Benchmark_Input'!$C$2:$C$10,MATCH(B181,'01_Benchmark_Input'!$A$2:$A$10,0))</f>
        <v/>
      </c>
      <c r="K181" s="6">
        <f>IF(A181="Bear",INDEX('01_Benchmark_Input'!$AB$2:$AB$10,MATCH(B181,'01_Benchmark_Input'!$A$2:$A$10,0)),IF(A181="Bull",INDEX('01_Benchmark_Input'!$AD$2:$AD$10,MATCH(B181,'01_Benchmark_Input'!$A$2:$A$10,0)),INDEX('01_Benchmark_Input'!$AC$2:$AC$10,MATCH(B181,'01_Benchmark_Input'!$A$2:$A$10,0))))</f>
        <v/>
      </c>
    </row>
  </sheetData>
  <autoFilter ref="A1:K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8" customWidth="1" min="2" max="2"/>
    <col width="12" customWidth="1" min="3" max="3"/>
    <col width="12" customWidth="1" min="4" max="4"/>
    <col width="34" customWidth="1" min="5" max="5"/>
    <col width="12" customWidth="1" min="6" max="6"/>
    <col width="22" customWidth="1" min="7" max="7"/>
    <col width="20" customWidth="1" min="8" max="8"/>
    <col width="19" customWidth="1" min="9" max="9"/>
    <col width="17" customWidth="1" min="10" max="10"/>
    <col width="16" customWidth="1" min="11" max="11"/>
    <col width="17" customWidth="1" min="12" max="12"/>
    <col width="21" customWidth="1" min="13" max="13"/>
    <col width="24" customWidth="1" min="14" max="14"/>
    <col width="38" customWidth="1" min="15" max="15"/>
    <col width="32" customWidth="1" min="16" max="16"/>
    <col width="34" customWidth="1" min="17" max="17"/>
    <col width="38" customWidth="1" min="18" max="18"/>
    <col width="72" customWidth="1" min="19" max="19"/>
  </cols>
  <sheetData>
    <row r="1">
      <c r="A1" s="4" t="inlineStr">
        <is>
          <t>allocation_key</t>
        </is>
      </c>
      <c r="B1" s="4" t="inlineStr">
        <is>
          <t>scenario</t>
        </is>
      </c>
      <c r="C1" s="4" t="inlineStr">
        <is>
          <t>company</t>
        </is>
      </c>
      <c r="D1" s="4" t="inlineStr">
        <is>
          <t>year</t>
        </is>
      </c>
      <c r="E1" s="4" t="inlineStr">
        <is>
          <t>data_center</t>
        </is>
      </c>
      <c r="F1" s="4" t="inlineStr">
        <is>
          <t>owner</t>
        </is>
      </c>
      <c r="G1" s="4" t="inlineStr">
        <is>
          <t>country</t>
        </is>
      </c>
      <c r="H1" s="4" t="inlineStr">
        <is>
          <t>capacity_weight_mw</t>
        </is>
      </c>
      <c r="I1" s="4" t="inlineStr">
        <is>
          <t>ai_capacity_share</t>
        </is>
      </c>
      <c r="J1" s="4" t="inlineStr">
        <is>
          <t>inference_share</t>
        </is>
      </c>
      <c r="K1" s="4" t="inlineStr">
        <is>
          <t>training_share</t>
        </is>
      </c>
      <c r="L1" s="4" t="inlineStr">
        <is>
          <t>completion_date</t>
        </is>
      </c>
      <c r="M1" s="4" t="inlineStr">
        <is>
          <t>current_it_power_mw</t>
        </is>
      </c>
      <c r="N1" s="4" t="inlineStr">
        <is>
          <t>contracted_it_power_mw</t>
        </is>
      </c>
      <c r="O1" s="4" t="inlineStr">
        <is>
          <t>user_confidence</t>
        </is>
      </c>
      <c r="P1" s="4" t="inlineStr">
        <is>
          <t>all_chip_types</t>
        </is>
      </c>
      <c r="Q1" s="4" t="inlineStr">
        <is>
          <t>source_type</t>
        </is>
      </c>
      <c r="R1" s="4" t="inlineStr">
        <is>
          <t>source_ids</t>
        </is>
      </c>
      <c r="S1" s="4" t="inlineStr">
        <is>
          <t>note</t>
        </is>
      </c>
    </row>
    <row r="2">
      <c r="A2" s="3" t="inlineStr">
        <is>
          <t>Bear|Alibaba|2026|Alibaba Zhangbei</t>
        </is>
      </c>
      <c r="B2" s="3" t="inlineStr">
        <is>
          <t>Bear</t>
        </is>
      </c>
      <c r="C2" s="3" t="inlineStr">
        <is>
          <t>Alibaba</t>
        </is>
      </c>
      <c r="D2" s="3" t="n">
        <v>2026</v>
      </c>
      <c r="E2" s="3" t="inlineStr">
        <is>
          <t>Alibaba Zhangbei</t>
        </is>
      </c>
      <c r="F2" s="3" t="inlineStr">
        <is>
          <t>Alibaba</t>
        </is>
      </c>
      <c r="G2" s="3" t="inlineStr">
        <is>
          <t>China</t>
        </is>
      </c>
      <c r="H2" s="25" t="n">
        <v>169</v>
      </c>
      <c r="I2" s="17" t="n">
        <v>1</v>
      </c>
      <c r="J2" s="17" t="n">
        <v>0.52</v>
      </c>
      <c r="K2" s="26" t="n">
        <v>0.48</v>
      </c>
      <c r="L2" s="3" t="inlineStr">
        <is>
          <t>2026-01-03</t>
        </is>
      </c>
      <c r="M2" s="27" t="n">
        <v>169</v>
      </c>
      <c r="N2" s="27" t="n">
        <v>169</v>
      </c>
      <c r="O2" s="3" t="inlineStr">
        <is>
          <t>likely</t>
        </is>
      </c>
      <c r="P2" s="3" t="inlineStr">
        <is>
          <t>H20</t>
        </is>
      </c>
      <c r="Q2" s="3" t="inlineStr">
        <is>
          <t>epoch_user_site_equal_split_seed</t>
        </is>
      </c>
      <c r="R2" s="3" t="inlineStr">
        <is>
          <t>SRC_EPOCH_AI_DATA_CENTERS; EPOCH_NORMALIZED_USER_SITES</t>
        </is>
      </c>
      <c r="S2" s="3" t="inlineStr">
        <is>
          <t>Capacity weight is used only to weight accelerator mix, not to overwrite company total power in 02_Inputs.</t>
        </is>
      </c>
    </row>
    <row r="3">
      <c r="A3" s="3" t="inlineStr">
        <is>
          <t>Bear|Alibaba|2027|Alibaba Zhangbei</t>
        </is>
      </c>
      <c r="B3" s="3" t="inlineStr">
        <is>
          <t>Bear</t>
        </is>
      </c>
      <c r="C3" s="3" t="inlineStr">
        <is>
          <t>Alibaba</t>
        </is>
      </c>
      <c r="D3" s="3" t="n">
        <v>2027</v>
      </c>
      <c r="E3" s="3" t="inlineStr">
        <is>
          <t>Alibaba Zhangbei</t>
        </is>
      </c>
      <c r="F3" s="3" t="inlineStr">
        <is>
          <t>Alibaba</t>
        </is>
      </c>
      <c r="G3" s="3" t="inlineStr">
        <is>
          <t>China</t>
        </is>
      </c>
      <c r="H3" s="25" t="n">
        <v>169</v>
      </c>
      <c r="I3" s="17" t="n">
        <v>1</v>
      </c>
      <c r="J3" s="17" t="n">
        <v>0.5649999999999999</v>
      </c>
      <c r="K3" s="26" t="n">
        <v>0.435</v>
      </c>
      <c r="L3" s="3" t="inlineStr">
        <is>
          <t>2026-01-03</t>
        </is>
      </c>
      <c r="M3" s="27" t="n">
        <v>169</v>
      </c>
      <c r="N3" s="27" t="n">
        <v>169</v>
      </c>
      <c r="O3" s="3" t="inlineStr">
        <is>
          <t>likely</t>
        </is>
      </c>
      <c r="P3" s="3" t="inlineStr">
        <is>
          <t>H20</t>
        </is>
      </c>
      <c r="Q3" s="3" t="inlineStr">
        <is>
          <t>epoch_user_site_equal_split_seed</t>
        </is>
      </c>
      <c r="R3" s="3" t="inlineStr">
        <is>
          <t>SRC_EPOCH_AI_DATA_CENTERS; EPOCH_NORMALIZED_USER_SITES</t>
        </is>
      </c>
      <c r="S3" s="3" t="inlineStr">
        <is>
          <t>Capacity weight is used only to weight accelerator mix, not to overwrite company total power in 02_Inputs.</t>
        </is>
      </c>
    </row>
    <row r="4">
      <c r="A4" s="3" t="inlineStr">
        <is>
          <t>Bear|Alibaba|2028|Alibaba Zhangbei</t>
        </is>
      </c>
      <c r="B4" s="3" t="inlineStr">
        <is>
          <t>Bear</t>
        </is>
      </c>
      <c r="C4" s="3" t="inlineStr">
        <is>
          <t>Alibaba</t>
        </is>
      </c>
      <c r="D4" s="3" t="n">
        <v>2028</v>
      </c>
      <c r="E4" s="3" t="inlineStr">
        <is>
          <t>Alibaba Zhangbei</t>
        </is>
      </c>
      <c r="F4" s="3" t="inlineStr">
        <is>
          <t>Alibaba</t>
        </is>
      </c>
      <c r="G4" s="3" t="inlineStr">
        <is>
          <t>China</t>
        </is>
      </c>
      <c r="H4" s="25" t="n">
        <v>169</v>
      </c>
      <c r="I4" s="17" t="n">
        <v>1</v>
      </c>
      <c r="J4" s="17" t="n">
        <v>0.61</v>
      </c>
      <c r="K4" s="26" t="n">
        <v>0.39</v>
      </c>
      <c r="L4" s="3" t="inlineStr">
        <is>
          <t>2026-01-03</t>
        </is>
      </c>
      <c r="M4" s="27" t="n">
        <v>169</v>
      </c>
      <c r="N4" s="27" t="n">
        <v>169</v>
      </c>
      <c r="O4" s="3" t="inlineStr">
        <is>
          <t>likely</t>
        </is>
      </c>
      <c r="P4" s="3" t="inlineStr">
        <is>
          <t>H20</t>
        </is>
      </c>
      <c r="Q4" s="3" t="inlineStr">
        <is>
          <t>epoch_user_site_equal_split_seed</t>
        </is>
      </c>
      <c r="R4" s="3" t="inlineStr">
        <is>
          <t>SRC_EPOCH_AI_DATA_CENTERS; EPOCH_NORMALIZED_USER_SITES</t>
        </is>
      </c>
      <c r="S4" s="3" t="inlineStr">
        <is>
          <t>Capacity weight is used only to weight accelerator mix, not to overwrite company total power in 02_Inputs.</t>
        </is>
      </c>
    </row>
    <row r="5">
      <c r="A5" s="3" t="inlineStr">
        <is>
          <t>Bear|Alibaba|2029|Alibaba Zhangbei</t>
        </is>
      </c>
      <c r="B5" s="3" t="inlineStr">
        <is>
          <t>Bear</t>
        </is>
      </c>
      <c r="C5" s="3" t="inlineStr">
        <is>
          <t>Alibaba</t>
        </is>
      </c>
      <c r="D5" s="3" t="n">
        <v>2029</v>
      </c>
      <c r="E5" s="3" t="inlineStr">
        <is>
          <t>Alibaba Zhangbei</t>
        </is>
      </c>
      <c r="F5" s="3" t="inlineStr">
        <is>
          <t>Alibaba</t>
        </is>
      </c>
      <c r="G5" s="3" t="inlineStr">
        <is>
          <t>China</t>
        </is>
      </c>
      <c r="H5" s="25" t="n">
        <v>169</v>
      </c>
      <c r="I5" s="17" t="n">
        <v>1</v>
      </c>
      <c r="J5" s="17" t="n">
        <v>0.655</v>
      </c>
      <c r="K5" s="26" t="n">
        <v>0.345</v>
      </c>
      <c r="L5" s="3" t="inlineStr">
        <is>
          <t>2026-01-03</t>
        </is>
      </c>
      <c r="M5" s="27" t="n">
        <v>169</v>
      </c>
      <c r="N5" s="27" t="n">
        <v>169</v>
      </c>
      <c r="O5" s="3" t="inlineStr">
        <is>
          <t>likely</t>
        </is>
      </c>
      <c r="P5" s="3" t="inlineStr">
        <is>
          <t>H20</t>
        </is>
      </c>
      <c r="Q5" s="3" t="inlineStr">
        <is>
          <t>epoch_user_site_equal_split_seed</t>
        </is>
      </c>
      <c r="R5" s="3" t="inlineStr">
        <is>
          <t>SRC_EPOCH_AI_DATA_CENTERS; EPOCH_NORMALIZED_USER_SITES</t>
        </is>
      </c>
      <c r="S5" s="3" t="inlineStr">
        <is>
          <t>Capacity weight is used only to weight accelerator mix, not to overwrite company total power in 02_Inputs.</t>
        </is>
      </c>
    </row>
    <row r="6">
      <c r="A6" s="3" t="inlineStr">
        <is>
          <t>Bear|Alibaba|2030|Alibaba Zhangbei</t>
        </is>
      </c>
      <c r="B6" s="3" t="inlineStr">
        <is>
          <t>Bear</t>
        </is>
      </c>
      <c r="C6" s="3" t="inlineStr">
        <is>
          <t>Alibaba</t>
        </is>
      </c>
      <c r="D6" s="3" t="n">
        <v>2030</v>
      </c>
      <c r="E6" s="3" t="inlineStr">
        <is>
          <t>Alibaba Zhangbei</t>
        </is>
      </c>
      <c r="F6" s="3" t="inlineStr">
        <is>
          <t>Alibaba</t>
        </is>
      </c>
      <c r="G6" s="3" t="inlineStr">
        <is>
          <t>China</t>
        </is>
      </c>
      <c r="H6" s="25" t="n">
        <v>169</v>
      </c>
      <c r="I6" s="17" t="n">
        <v>1</v>
      </c>
      <c r="J6" s="17" t="n">
        <v>0.7</v>
      </c>
      <c r="K6" s="26" t="n">
        <v>0.3</v>
      </c>
      <c r="L6" s="3" t="inlineStr">
        <is>
          <t>2026-01-03</t>
        </is>
      </c>
      <c r="M6" s="27" t="n">
        <v>169</v>
      </c>
      <c r="N6" s="27" t="n">
        <v>169</v>
      </c>
      <c r="O6" s="3" t="inlineStr">
        <is>
          <t>likely</t>
        </is>
      </c>
      <c r="P6" s="3" t="inlineStr">
        <is>
          <t>H20</t>
        </is>
      </c>
      <c r="Q6" s="3" t="inlineStr">
        <is>
          <t>epoch_user_site_equal_split_seed</t>
        </is>
      </c>
      <c r="R6" s="3" t="inlineStr">
        <is>
          <t>SRC_EPOCH_AI_DATA_CENTERS; EPOCH_NORMALIZED_USER_SITES</t>
        </is>
      </c>
      <c r="S6" s="3" t="inlineStr">
        <is>
          <t>Capacity weight is used only to weight accelerator mix, not to overwrite company total power in 02_Inputs.</t>
        </is>
      </c>
    </row>
    <row r="7">
      <c r="A7" s="3" t="inlineStr">
        <is>
          <t>Base|Alibaba|2026|Alibaba Zhangbei</t>
        </is>
      </c>
      <c r="B7" s="3" t="inlineStr">
        <is>
          <t>Base</t>
        </is>
      </c>
      <c r="C7" s="3" t="inlineStr">
        <is>
          <t>Alibaba</t>
        </is>
      </c>
      <c r="D7" s="3" t="n">
        <v>2026</v>
      </c>
      <c r="E7" s="3" t="inlineStr">
        <is>
          <t>Alibaba Zhangbei</t>
        </is>
      </c>
      <c r="F7" s="3" t="inlineStr">
        <is>
          <t>Alibaba</t>
        </is>
      </c>
      <c r="G7" s="3" t="inlineStr">
        <is>
          <t>China</t>
        </is>
      </c>
      <c r="H7" s="25" t="n">
        <v>169</v>
      </c>
      <c r="I7" s="17" t="n">
        <v>1</v>
      </c>
      <c r="J7" s="17" t="n">
        <v>0.6</v>
      </c>
      <c r="K7" s="26" t="n">
        <v>0.4</v>
      </c>
      <c r="L7" s="3" t="inlineStr">
        <is>
          <t>2026-01-03</t>
        </is>
      </c>
      <c r="M7" s="27" t="n">
        <v>169</v>
      </c>
      <c r="N7" s="27" t="n">
        <v>169</v>
      </c>
      <c r="O7" s="3" t="inlineStr">
        <is>
          <t>likely</t>
        </is>
      </c>
      <c r="P7" s="3" t="inlineStr">
        <is>
          <t>H20</t>
        </is>
      </c>
      <c r="Q7" s="3" t="inlineStr">
        <is>
          <t>epoch_user_site_equal_split_seed</t>
        </is>
      </c>
      <c r="R7" s="3" t="inlineStr">
        <is>
          <t>SRC_EPOCH_AI_DATA_CENTERS; EPOCH_NORMALIZED_USER_SITES</t>
        </is>
      </c>
      <c r="S7" s="3" t="inlineStr">
        <is>
          <t>Capacity weight is used only to weight accelerator mix, not to overwrite company total power in 02_Inputs.</t>
        </is>
      </c>
    </row>
    <row r="8">
      <c r="A8" s="3" t="inlineStr">
        <is>
          <t>Base|Alibaba|2027|Alibaba Zhangbei</t>
        </is>
      </c>
      <c r="B8" s="3" t="inlineStr">
        <is>
          <t>Base</t>
        </is>
      </c>
      <c r="C8" s="3" t="inlineStr">
        <is>
          <t>Alibaba</t>
        </is>
      </c>
      <c r="D8" s="3" t="n">
        <v>2027</v>
      </c>
      <c r="E8" s="3" t="inlineStr">
        <is>
          <t>Alibaba Zhangbei</t>
        </is>
      </c>
      <c r="F8" s="3" t="inlineStr">
        <is>
          <t>Alibaba</t>
        </is>
      </c>
      <c r="G8" s="3" t="inlineStr">
        <is>
          <t>China</t>
        </is>
      </c>
      <c r="H8" s="25" t="n">
        <v>169</v>
      </c>
      <c r="I8" s="17" t="n">
        <v>1</v>
      </c>
      <c r="J8" s="17" t="n">
        <v>0.65</v>
      </c>
      <c r="K8" s="26" t="n">
        <v>0.35</v>
      </c>
      <c r="L8" s="3" t="inlineStr">
        <is>
          <t>2026-01-03</t>
        </is>
      </c>
      <c r="M8" s="27" t="n">
        <v>169</v>
      </c>
      <c r="N8" s="27" t="n">
        <v>169</v>
      </c>
      <c r="O8" s="3" t="inlineStr">
        <is>
          <t>likely</t>
        </is>
      </c>
      <c r="P8" s="3" t="inlineStr">
        <is>
          <t>H20</t>
        </is>
      </c>
      <c r="Q8" s="3" t="inlineStr">
        <is>
          <t>epoch_user_site_equal_split_seed</t>
        </is>
      </c>
      <c r="R8" s="3" t="inlineStr">
        <is>
          <t>SRC_EPOCH_AI_DATA_CENTERS; EPOCH_NORMALIZED_USER_SITES</t>
        </is>
      </c>
      <c r="S8" s="3" t="inlineStr">
        <is>
          <t>Capacity weight is used only to weight accelerator mix, not to overwrite company total power in 02_Inputs.</t>
        </is>
      </c>
    </row>
    <row r="9">
      <c r="A9" s="3" t="inlineStr">
        <is>
          <t>Base|Alibaba|2028|Alibaba Zhangbei</t>
        </is>
      </c>
      <c r="B9" s="3" t="inlineStr">
        <is>
          <t>Base</t>
        </is>
      </c>
      <c r="C9" s="3" t="inlineStr">
        <is>
          <t>Alibaba</t>
        </is>
      </c>
      <c r="D9" s="3" t="n">
        <v>2028</v>
      </c>
      <c r="E9" s="3" t="inlineStr">
        <is>
          <t>Alibaba Zhangbei</t>
        </is>
      </c>
      <c r="F9" s="3" t="inlineStr">
        <is>
          <t>Alibaba</t>
        </is>
      </c>
      <c r="G9" s="3" t="inlineStr">
        <is>
          <t>China</t>
        </is>
      </c>
      <c r="H9" s="25" t="n">
        <v>169</v>
      </c>
      <c r="I9" s="17" t="n">
        <v>1</v>
      </c>
      <c r="J9" s="17" t="n">
        <v>0.7</v>
      </c>
      <c r="K9" s="26" t="n">
        <v>0.3</v>
      </c>
      <c r="L9" s="3" t="inlineStr">
        <is>
          <t>2026-01-03</t>
        </is>
      </c>
      <c r="M9" s="27" t="n">
        <v>169</v>
      </c>
      <c r="N9" s="27" t="n">
        <v>169</v>
      </c>
      <c r="O9" s="3" t="inlineStr">
        <is>
          <t>likely</t>
        </is>
      </c>
      <c r="P9" s="3" t="inlineStr">
        <is>
          <t>H20</t>
        </is>
      </c>
      <c r="Q9" s="3" t="inlineStr">
        <is>
          <t>epoch_user_site_equal_split_seed</t>
        </is>
      </c>
      <c r="R9" s="3" t="inlineStr">
        <is>
          <t>SRC_EPOCH_AI_DATA_CENTERS; EPOCH_NORMALIZED_USER_SITES</t>
        </is>
      </c>
      <c r="S9" s="3" t="inlineStr">
        <is>
          <t>Capacity weight is used only to weight accelerator mix, not to overwrite company total power in 02_Inputs.</t>
        </is>
      </c>
    </row>
    <row r="10">
      <c r="A10" s="3" t="inlineStr">
        <is>
          <t>Base|Alibaba|2029|Alibaba Zhangbei</t>
        </is>
      </c>
      <c r="B10" s="3" t="inlineStr">
        <is>
          <t>Base</t>
        </is>
      </c>
      <c r="C10" s="3" t="inlineStr">
        <is>
          <t>Alibaba</t>
        </is>
      </c>
      <c r="D10" s="3" t="n">
        <v>2029</v>
      </c>
      <c r="E10" s="3" t="inlineStr">
        <is>
          <t>Alibaba Zhangbei</t>
        </is>
      </c>
      <c r="F10" s="3" t="inlineStr">
        <is>
          <t>Alibaba</t>
        </is>
      </c>
      <c r="G10" s="3" t="inlineStr">
        <is>
          <t>China</t>
        </is>
      </c>
      <c r="H10" s="25" t="n">
        <v>169</v>
      </c>
      <c r="I10" s="17" t="n">
        <v>1</v>
      </c>
      <c r="J10" s="17" t="n">
        <v>0.75</v>
      </c>
      <c r="K10" s="26" t="n">
        <v>0.25</v>
      </c>
      <c r="L10" s="3" t="inlineStr">
        <is>
          <t>2026-01-03</t>
        </is>
      </c>
      <c r="M10" s="27" t="n">
        <v>169</v>
      </c>
      <c r="N10" s="27" t="n">
        <v>169</v>
      </c>
      <c r="O10" s="3" t="inlineStr">
        <is>
          <t>likely</t>
        </is>
      </c>
      <c r="P10" s="3" t="inlineStr">
        <is>
          <t>H20</t>
        </is>
      </c>
      <c r="Q10" s="3" t="inlineStr">
        <is>
          <t>epoch_user_site_equal_split_seed</t>
        </is>
      </c>
      <c r="R10" s="3" t="inlineStr">
        <is>
          <t>SRC_EPOCH_AI_DATA_CENTERS; EPOCH_NORMALIZED_USER_SITES</t>
        </is>
      </c>
      <c r="S10" s="3" t="inlineStr">
        <is>
          <t>Capacity weight is used only to weight accelerator mix, not to overwrite company total power in 02_Inputs.</t>
        </is>
      </c>
    </row>
    <row r="11">
      <c r="A11" s="3" t="inlineStr">
        <is>
          <t>Base|Alibaba|2030|Alibaba Zhangbei</t>
        </is>
      </c>
      <c r="B11" s="3" t="inlineStr">
        <is>
          <t>Base</t>
        </is>
      </c>
      <c r="C11" s="3" t="inlineStr">
        <is>
          <t>Alibaba</t>
        </is>
      </c>
      <c r="D11" s="3" t="n">
        <v>2030</v>
      </c>
      <c r="E11" s="3" t="inlineStr">
        <is>
          <t>Alibaba Zhangbei</t>
        </is>
      </c>
      <c r="F11" s="3" t="inlineStr">
        <is>
          <t>Alibaba</t>
        </is>
      </c>
      <c r="G11" s="3" t="inlineStr">
        <is>
          <t>China</t>
        </is>
      </c>
      <c r="H11" s="25" t="n">
        <v>169</v>
      </c>
      <c r="I11" s="17" t="n">
        <v>1</v>
      </c>
      <c r="J11" s="17" t="n">
        <v>0.8</v>
      </c>
      <c r="K11" s="26" t="n">
        <v>0.2</v>
      </c>
      <c r="L11" s="3" t="inlineStr">
        <is>
          <t>2026-01-03</t>
        </is>
      </c>
      <c r="M11" s="27" t="n">
        <v>169</v>
      </c>
      <c r="N11" s="27" t="n">
        <v>169</v>
      </c>
      <c r="O11" s="3" t="inlineStr">
        <is>
          <t>likely</t>
        </is>
      </c>
      <c r="P11" s="3" t="inlineStr">
        <is>
          <t>H20</t>
        </is>
      </c>
      <c r="Q11" s="3" t="inlineStr">
        <is>
          <t>epoch_user_site_equal_split_seed</t>
        </is>
      </c>
      <c r="R11" s="3" t="inlineStr">
        <is>
          <t>SRC_EPOCH_AI_DATA_CENTERS; EPOCH_NORMALIZED_USER_SITES</t>
        </is>
      </c>
      <c r="S11" s="3" t="inlineStr">
        <is>
          <t>Capacity weight is used only to weight accelerator mix, not to overwrite company total power in 02_Inputs.</t>
        </is>
      </c>
    </row>
    <row r="12">
      <c r="A12" s="3" t="inlineStr">
        <is>
          <t>Bull|Alibaba|2026|Alibaba Zhangbei</t>
        </is>
      </c>
      <c r="B12" s="3" t="inlineStr">
        <is>
          <t>Bull</t>
        </is>
      </c>
      <c r="C12" s="3" t="inlineStr">
        <is>
          <t>Alibaba</t>
        </is>
      </c>
      <c r="D12" s="3" t="n">
        <v>2026</v>
      </c>
      <c r="E12" s="3" t="inlineStr">
        <is>
          <t>Alibaba Zhangbei</t>
        </is>
      </c>
      <c r="F12" s="3" t="inlineStr">
        <is>
          <t>Alibaba</t>
        </is>
      </c>
      <c r="G12" s="3" t="inlineStr">
        <is>
          <t>China</t>
        </is>
      </c>
      <c r="H12" s="25" t="n">
        <v>169</v>
      </c>
      <c r="I12" s="17" t="n">
        <v>1</v>
      </c>
      <c r="J12" s="17" t="n">
        <v>0.65</v>
      </c>
      <c r="K12" s="26" t="n">
        <v>0.35</v>
      </c>
      <c r="L12" s="3" t="inlineStr">
        <is>
          <t>2026-01-03</t>
        </is>
      </c>
      <c r="M12" s="27" t="n">
        <v>169</v>
      </c>
      <c r="N12" s="27" t="n">
        <v>169</v>
      </c>
      <c r="O12" s="3" t="inlineStr">
        <is>
          <t>likely</t>
        </is>
      </c>
      <c r="P12" s="3" t="inlineStr">
        <is>
          <t>H20</t>
        </is>
      </c>
      <c r="Q12" s="3" t="inlineStr">
        <is>
          <t>epoch_user_site_equal_split_seed</t>
        </is>
      </c>
      <c r="R12" s="3" t="inlineStr">
        <is>
          <t>SRC_EPOCH_AI_DATA_CENTERS; EPOCH_NORMALIZED_USER_SITES</t>
        </is>
      </c>
      <c r="S12" s="3" t="inlineStr">
        <is>
          <t>Capacity weight is used only to weight accelerator mix, not to overwrite company total power in 02_Inputs.</t>
        </is>
      </c>
    </row>
    <row r="13">
      <c r="A13" s="3" t="inlineStr">
        <is>
          <t>Bull|Alibaba|2027|Alibaba Zhangbei</t>
        </is>
      </c>
      <c r="B13" s="3" t="inlineStr">
        <is>
          <t>Bull</t>
        </is>
      </c>
      <c r="C13" s="3" t="inlineStr">
        <is>
          <t>Alibaba</t>
        </is>
      </c>
      <c r="D13" s="3" t="n">
        <v>2027</v>
      </c>
      <c r="E13" s="3" t="inlineStr">
        <is>
          <t>Alibaba Zhangbei</t>
        </is>
      </c>
      <c r="F13" s="3" t="inlineStr">
        <is>
          <t>Alibaba</t>
        </is>
      </c>
      <c r="G13" s="3" t="inlineStr">
        <is>
          <t>China</t>
        </is>
      </c>
      <c r="H13" s="25" t="n">
        <v>169</v>
      </c>
      <c r="I13" s="17" t="n">
        <v>1</v>
      </c>
      <c r="J13" s="17" t="n">
        <v>0.708</v>
      </c>
      <c r="K13" s="26" t="n">
        <v>0.292</v>
      </c>
      <c r="L13" s="3" t="inlineStr">
        <is>
          <t>2026-01-03</t>
        </is>
      </c>
      <c r="M13" s="27" t="n">
        <v>169</v>
      </c>
      <c r="N13" s="27" t="n">
        <v>169</v>
      </c>
      <c r="O13" s="3" t="inlineStr">
        <is>
          <t>likely</t>
        </is>
      </c>
      <c r="P13" s="3" t="inlineStr">
        <is>
          <t>H20</t>
        </is>
      </c>
      <c r="Q13" s="3" t="inlineStr">
        <is>
          <t>epoch_user_site_equal_split_seed</t>
        </is>
      </c>
      <c r="R13" s="3" t="inlineStr">
        <is>
          <t>SRC_EPOCH_AI_DATA_CENTERS; EPOCH_NORMALIZED_USER_SITES</t>
        </is>
      </c>
      <c r="S13" s="3" t="inlineStr">
        <is>
          <t>Capacity weight is used only to weight accelerator mix, not to overwrite company total power in 02_Inputs.</t>
        </is>
      </c>
    </row>
    <row r="14">
      <c r="A14" s="3" t="inlineStr">
        <is>
          <t>Bull|Alibaba|2028|Alibaba Zhangbei</t>
        </is>
      </c>
      <c r="B14" s="3" t="inlineStr">
        <is>
          <t>Bull</t>
        </is>
      </c>
      <c r="C14" s="3" t="inlineStr">
        <is>
          <t>Alibaba</t>
        </is>
      </c>
      <c r="D14" s="3" t="n">
        <v>2028</v>
      </c>
      <c r="E14" s="3" t="inlineStr">
        <is>
          <t>Alibaba Zhangbei</t>
        </is>
      </c>
      <c r="F14" s="3" t="inlineStr">
        <is>
          <t>Alibaba</t>
        </is>
      </c>
      <c r="G14" s="3" t="inlineStr">
        <is>
          <t>China</t>
        </is>
      </c>
      <c r="H14" s="25" t="n">
        <v>169</v>
      </c>
      <c r="I14" s="17" t="n">
        <v>1</v>
      </c>
      <c r="J14" s="17" t="n">
        <v>0.765</v>
      </c>
      <c r="K14" s="26" t="n">
        <v>0.235</v>
      </c>
      <c r="L14" s="3" t="inlineStr">
        <is>
          <t>2026-01-03</t>
        </is>
      </c>
      <c r="M14" s="27" t="n">
        <v>169</v>
      </c>
      <c r="N14" s="27" t="n">
        <v>169</v>
      </c>
      <c r="O14" s="3" t="inlineStr">
        <is>
          <t>likely</t>
        </is>
      </c>
      <c r="P14" s="3" t="inlineStr">
        <is>
          <t>H20</t>
        </is>
      </c>
      <c r="Q14" s="3" t="inlineStr">
        <is>
          <t>epoch_user_site_equal_split_seed</t>
        </is>
      </c>
      <c r="R14" s="3" t="inlineStr">
        <is>
          <t>SRC_EPOCH_AI_DATA_CENTERS; EPOCH_NORMALIZED_USER_SITES</t>
        </is>
      </c>
      <c r="S14" s="3" t="inlineStr">
        <is>
          <t>Capacity weight is used only to weight accelerator mix, not to overwrite company total power in 02_Inputs.</t>
        </is>
      </c>
    </row>
    <row r="15">
      <c r="A15" s="3" t="inlineStr">
        <is>
          <t>Bull|Alibaba|2029|Alibaba Zhangbei</t>
        </is>
      </c>
      <c r="B15" s="3" t="inlineStr">
        <is>
          <t>Bull</t>
        </is>
      </c>
      <c r="C15" s="3" t="inlineStr">
        <is>
          <t>Alibaba</t>
        </is>
      </c>
      <c r="D15" s="3" t="n">
        <v>2029</v>
      </c>
      <c r="E15" s="3" t="inlineStr">
        <is>
          <t>Alibaba Zhangbei</t>
        </is>
      </c>
      <c r="F15" s="3" t="inlineStr">
        <is>
          <t>Alibaba</t>
        </is>
      </c>
      <c r="G15" s="3" t="inlineStr">
        <is>
          <t>China</t>
        </is>
      </c>
      <c r="H15" s="25" t="n">
        <v>169</v>
      </c>
      <c r="I15" s="17" t="n">
        <v>1</v>
      </c>
      <c r="J15" s="17" t="n">
        <v>0.823</v>
      </c>
      <c r="K15" s="26" t="n">
        <v>0.177</v>
      </c>
      <c r="L15" s="3" t="inlineStr">
        <is>
          <t>2026-01-03</t>
        </is>
      </c>
      <c r="M15" s="27" t="n">
        <v>169</v>
      </c>
      <c r="N15" s="27" t="n">
        <v>169</v>
      </c>
      <c r="O15" s="3" t="inlineStr">
        <is>
          <t>likely</t>
        </is>
      </c>
      <c r="P15" s="3" t="inlineStr">
        <is>
          <t>H20</t>
        </is>
      </c>
      <c r="Q15" s="3" t="inlineStr">
        <is>
          <t>epoch_user_site_equal_split_seed</t>
        </is>
      </c>
      <c r="R15" s="3" t="inlineStr">
        <is>
          <t>SRC_EPOCH_AI_DATA_CENTERS; EPOCH_NORMALIZED_USER_SITES</t>
        </is>
      </c>
      <c r="S15" s="3" t="inlineStr">
        <is>
          <t>Capacity weight is used only to weight accelerator mix, not to overwrite company total power in 02_Inputs.</t>
        </is>
      </c>
    </row>
    <row r="16">
      <c r="A16" s="3" t="inlineStr">
        <is>
          <t>Bull|Alibaba|2030|Alibaba Zhangbei</t>
        </is>
      </c>
      <c r="B16" s="3" t="inlineStr">
        <is>
          <t>Bull</t>
        </is>
      </c>
      <c r="C16" s="3" t="inlineStr">
        <is>
          <t>Alibaba</t>
        </is>
      </c>
      <c r="D16" s="3" t="n">
        <v>2030</v>
      </c>
      <c r="E16" s="3" t="inlineStr">
        <is>
          <t>Alibaba Zhangbei</t>
        </is>
      </c>
      <c r="F16" s="3" t="inlineStr">
        <is>
          <t>Alibaba</t>
        </is>
      </c>
      <c r="G16" s="3" t="inlineStr">
        <is>
          <t>China</t>
        </is>
      </c>
      <c r="H16" s="25" t="n">
        <v>169</v>
      </c>
      <c r="I16" s="17" t="n">
        <v>1</v>
      </c>
      <c r="J16" s="17" t="n">
        <v>0.88</v>
      </c>
      <c r="K16" s="26" t="n">
        <v>0.12</v>
      </c>
      <c r="L16" s="3" t="inlineStr">
        <is>
          <t>2026-01-03</t>
        </is>
      </c>
      <c r="M16" s="27" t="n">
        <v>169</v>
      </c>
      <c r="N16" s="27" t="n">
        <v>169</v>
      </c>
      <c r="O16" s="3" t="inlineStr">
        <is>
          <t>likely</t>
        </is>
      </c>
      <c r="P16" s="3" t="inlineStr">
        <is>
          <t>H20</t>
        </is>
      </c>
      <c r="Q16" s="3" t="inlineStr">
        <is>
          <t>epoch_user_site_equal_split_seed</t>
        </is>
      </c>
      <c r="R16" s="3" t="inlineStr">
        <is>
          <t>SRC_EPOCH_AI_DATA_CENTERS; EPOCH_NORMALIZED_USER_SITES</t>
        </is>
      </c>
      <c r="S16" s="3" t="inlineStr">
        <is>
          <t>Capacity weight is used only to weight accelerator mix, not to overwrite company total power in 02_Inputs.</t>
        </is>
      </c>
    </row>
    <row r="17">
      <c r="A17" s="3" t="inlineStr">
        <is>
          <t>Grid-Constrained / Efficiency-Upside|Alibaba|2026|Alibaba Zhangbei</t>
        </is>
      </c>
      <c r="B17" s="3" t="inlineStr">
        <is>
          <t>Grid-Constrained / Efficiency-Upside</t>
        </is>
      </c>
      <c r="C17" s="3" t="inlineStr">
        <is>
          <t>Alibaba</t>
        </is>
      </c>
      <c r="D17" s="3" t="n">
        <v>2026</v>
      </c>
      <c r="E17" s="3" t="inlineStr">
        <is>
          <t>Alibaba Zhangbei</t>
        </is>
      </c>
      <c r="F17" s="3" t="inlineStr">
        <is>
          <t>Alibaba</t>
        </is>
      </c>
      <c r="G17" s="3" t="inlineStr">
        <is>
          <t>China</t>
        </is>
      </c>
      <c r="H17" s="25" t="n">
        <v>169</v>
      </c>
      <c r="I17" s="17" t="n">
        <v>1</v>
      </c>
      <c r="J17" s="17" t="n">
        <v>0.62</v>
      </c>
      <c r="K17" s="26" t="n">
        <v>0.38</v>
      </c>
      <c r="L17" s="3" t="inlineStr">
        <is>
          <t>2026-01-03</t>
        </is>
      </c>
      <c r="M17" s="27" t="n">
        <v>169</v>
      </c>
      <c r="N17" s="27" t="n">
        <v>169</v>
      </c>
      <c r="O17" s="3" t="inlineStr">
        <is>
          <t>likely</t>
        </is>
      </c>
      <c r="P17" s="3" t="inlineStr">
        <is>
          <t>H20</t>
        </is>
      </c>
      <c r="Q17" s="3" t="inlineStr">
        <is>
          <t>epoch_user_site_equal_split_seed</t>
        </is>
      </c>
      <c r="R17" s="3" t="inlineStr">
        <is>
          <t>SRC_EPOCH_AI_DATA_CENTERS; EPOCH_NORMALIZED_USER_SITES</t>
        </is>
      </c>
      <c r="S17" s="3" t="inlineStr">
        <is>
          <t>Capacity weight is used only to weight accelerator mix, not to overwrite company total power in 02_Inputs.</t>
        </is>
      </c>
    </row>
    <row r="18">
      <c r="A18" s="3" t="inlineStr">
        <is>
          <t>Grid-Constrained / Efficiency-Upside|Alibaba|2027|Alibaba Zhangbei</t>
        </is>
      </c>
      <c r="B18" s="3" t="inlineStr">
        <is>
          <t>Grid-Constrained / Efficiency-Upside</t>
        </is>
      </c>
      <c r="C18" s="3" t="inlineStr">
        <is>
          <t>Alibaba</t>
        </is>
      </c>
      <c r="D18" s="3" t="n">
        <v>2027</v>
      </c>
      <c r="E18" s="3" t="inlineStr">
        <is>
          <t>Alibaba Zhangbei</t>
        </is>
      </c>
      <c r="F18" s="3" t="inlineStr">
        <is>
          <t>Alibaba</t>
        </is>
      </c>
      <c r="G18" s="3" t="inlineStr">
        <is>
          <t>China</t>
        </is>
      </c>
      <c r="H18" s="25" t="n">
        <v>169</v>
      </c>
      <c r="I18" s="17" t="n">
        <v>1</v>
      </c>
      <c r="J18" s="17" t="n">
        <v>0.675</v>
      </c>
      <c r="K18" s="26" t="n">
        <v>0.325</v>
      </c>
      <c r="L18" s="3" t="inlineStr">
        <is>
          <t>2026-01-03</t>
        </is>
      </c>
      <c r="M18" s="27" t="n">
        <v>169</v>
      </c>
      <c r="N18" s="27" t="n">
        <v>169</v>
      </c>
      <c r="O18" s="3" t="inlineStr">
        <is>
          <t>likely</t>
        </is>
      </c>
      <c r="P18" s="3" t="inlineStr">
        <is>
          <t>H20</t>
        </is>
      </c>
      <c r="Q18" s="3" t="inlineStr">
        <is>
          <t>epoch_user_site_equal_split_seed</t>
        </is>
      </c>
      <c r="R18" s="3" t="inlineStr">
        <is>
          <t>SRC_EPOCH_AI_DATA_CENTERS; EPOCH_NORMALIZED_USER_SITES</t>
        </is>
      </c>
      <c r="S18" s="3" t="inlineStr">
        <is>
          <t>Capacity weight is used only to weight accelerator mix, not to overwrite company total power in 02_Inputs.</t>
        </is>
      </c>
    </row>
    <row r="19">
      <c r="A19" s="3" t="inlineStr">
        <is>
          <t>Grid-Constrained / Efficiency-Upside|Alibaba|2028|Alibaba Zhangbei</t>
        </is>
      </c>
      <c r="B19" s="3" t="inlineStr">
        <is>
          <t>Grid-Constrained / Efficiency-Upside</t>
        </is>
      </c>
      <c r="C19" s="3" t="inlineStr">
        <is>
          <t>Alibaba</t>
        </is>
      </c>
      <c r="D19" s="3" t="n">
        <v>2028</v>
      </c>
      <c r="E19" s="3" t="inlineStr">
        <is>
          <t>Alibaba Zhangbei</t>
        </is>
      </c>
      <c r="F19" s="3" t="inlineStr">
        <is>
          <t>Alibaba</t>
        </is>
      </c>
      <c r="G19" s="3" t="inlineStr">
        <is>
          <t>China</t>
        </is>
      </c>
      <c r="H19" s="25" t="n">
        <v>169</v>
      </c>
      <c r="I19" s="17" t="n">
        <v>1</v>
      </c>
      <c r="J19" s="17" t="n">
        <v>0.73</v>
      </c>
      <c r="K19" s="26" t="n">
        <v>0.27</v>
      </c>
      <c r="L19" s="3" t="inlineStr">
        <is>
          <t>2026-01-03</t>
        </is>
      </c>
      <c r="M19" s="27" t="n">
        <v>169</v>
      </c>
      <c r="N19" s="27" t="n">
        <v>169</v>
      </c>
      <c r="O19" s="3" t="inlineStr">
        <is>
          <t>likely</t>
        </is>
      </c>
      <c r="P19" s="3" t="inlineStr">
        <is>
          <t>H20</t>
        </is>
      </c>
      <c r="Q19" s="3" t="inlineStr">
        <is>
          <t>epoch_user_site_equal_split_seed</t>
        </is>
      </c>
      <c r="R19" s="3" t="inlineStr">
        <is>
          <t>SRC_EPOCH_AI_DATA_CENTERS; EPOCH_NORMALIZED_USER_SITES</t>
        </is>
      </c>
      <c r="S19" s="3" t="inlineStr">
        <is>
          <t>Capacity weight is used only to weight accelerator mix, not to overwrite company total power in 02_Inputs.</t>
        </is>
      </c>
    </row>
    <row r="20">
      <c r="A20" s="3" t="inlineStr">
        <is>
          <t>Grid-Constrained / Efficiency-Upside|Alibaba|2029|Alibaba Zhangbei</t>
        </is>
      </c>
      <c r="B20" s="3" t="inlineStr">
        <is>
          <t>Grid-Constrained / Efficiency-Upside</t>
        </is>
      </c>
      <c r="C20" s="3" t="inlineStr">
        <is>
          <t>Alibaba</t>
        </is>
      </c>
      <c r="D20" s="3" t="n">
        <v>2029</v>
      </c>
      <c r="E20" s="3" t="inlineStr">
        <is>
          <t>Alibaba Zhangbei</t>
        </is>
      </c>
      <c r="F20" s="3" t="inlineStr">
        <is>
          <t>Alibaba</t>
        </is>
      </c>
      <c r="G20" s="3" t="inlineStr">
        <is>
          <t>China</t>
        </is>
      </c>
      <c r="H20" s="25" t="n">
        <v>169</v>
      </c>
      <c r="I20" s="17" t="n">
        <v>1</v>
      </c>
      <c r="J20" s="17" t="n">
        <v>0.785</v>
      </c>
      <c r="K20" s="26" t="n">
        <v>0.215</v>
      </c>
      <c r="L20" s="3" t="inlineStr">
        <is>
          <t>2026-01-03</t>
        </is>
      </c>
      <c r="M20" s="27" t="n">
        <v>169</v>
      </c>
      <c r="N20" s="27" t="n">
        <v>169</v>
      </c>
      <c r="O20" s="3" t="inlineStr">
        <is>
          <t>likely</t>
        </is>
      </c>
      <c r="P20" s="3" t="inlineStr">
        <is>
          <t>H20</t>
        </is>
      </c>
      <c r="Q20" s="3" t="inlineStr">
        <is>
          <t>epoch_user_site_equal_split_seed</t>
        </is>
      </c>
      <c r="R20" s="3" t="inlineStr">
        <is>
          <t>SRC_EPOCH_AI_DATA_CENTERS; EPOCH_NORMALIZED_USER_SITES</t>
        </is>
      </c>
      <c r="S20" s="3" t="inlineStr">
        <is>
          <t>Capacity weight is used only to weight accelerator mix, not to overwrite company total power in 02_Inputs.</t>
        </is>
      </c>
    </row>
    <row r="21">
      <c r="A21" s="3" t="inlineStr">
        <is>
          <t>Grid-Constrained / Efficiency-Upside|Alibaba|2030|Alibaba Zhangbei</t>
        </is>
      </c>
      <c r="B21" s="3" t="inlineStr">
        <is>
          <t>Grid-Constrained / Efficiency-Upside</t>
        </is>
      </c>
      <c r="C21" s="3" t="inlineStr">
        <is>
          <t>Alibaba</t>
        </is>
      </c>
      <c r="D21" s="3" t="n">
        <v>2030</v>
      </c>
      <c r="E21" s="3" t="inlineStr">
        <is>
          <t>Alibaba Zhangbei</t>
        </is>
      </c>
      <c r="F21" s="3" t="inlineStr">
        <is>
          <t>Alibaba</t>
        </is>
      </c>
      <c r="G21" s="3" t="inlineStr">
        <is>
          <t>China</t>
        </is>
      </c>
      <c r="H21" s="25" t="n">
        <v>169</v>
      </c>
      <c r="I21" s="17" t="n">
        <v>1</v>
      </c>
      <c r="J21" s="17" t="n">
        <v>0.84</v>
      </c>
      <c r="K21" s="26" t="n">
        <v>0.16</v>
      </c>
      <c r="L21" s="3" t="inlineStr">
        <is>
          <t>2026-01-03</t>
        </is>
      </c>
      <c r="M21" s="27" t="n">
        <v>169</v>
      </c>
      <c r="N21" s="27" t="n">
        <v>169</v>
      </c>
      <c r="O21" s="3" t="inlineStr">
        <is>
          <t>likely</t>
        </is>
      </c>
      <c r="P21" s="3" t="inlineStr">
        <is>
          <t>H20</t>
        </is>
      </c>
      <c r="Q21" s="3" t="inlineStr">
        <is>
          <t>epoch_user_site_equal_split_seed</t>
        </is>
      </c>
      <c r="R21" s="3" t="inlineStr">
        <is>
          <t>SRC_EPOCH_AI_DATA_CENTERS; EPOCH_NORMALIZED_USER_SITES</t>
        </is>
      </c>
      <c r="S21" s="3" t="inlineStr">
        <is>
          <t>Capacity weight is used only to weight accelerator mix, not to overwrite company total power in 02_Inputs.</t>
        </is>
      </c>
    </row>
    <row r="22">
      <c r="A22" s="3" t="inlineStr">
        <is>
          <t>Bear|Anthropic|2026|Amazon Madison Mega Site</t>
        </is>
      </c>
      <c r="B22" s="3" t="inlineStr">
        <is>
          <t>Bear</t>
        </is>
      </c>
      <c r="C22" s="3" t="inlineStr">
        <is>
          <t>Anthropic</t>
        </is>
      </c>
      <c r="D22" s="3" t="n">
        <v>2026</v>
      </c>
      <c r="E22" s="3" t="inlineStr">
        <is>
          <t>Amazon Madison Mega Site</t>
        </is>
      </c>
      <c r="F22" s="3" t="inlineStr">
        <is>
          <t>Amazon</t>
        </is>
      </c>
      <c r="G22" s="3" t="inlineStr">
        <is>
          <t>United States</t>
        </is>
      </c>
      <c r="H22" s="25" t="n">
        <v>284</v>
      </c>
      <c r="I22" s="17" t="n">
        <v>1</v>
      </c>
      <c r="J22" s="17" t="n">
        <v>0.44</v>
      </c>
      <c r="K22" s="26" t="n">
        <v>0.5600000000000001</v>
      </c>
      <c r="L22" s="3" t="inlineStr">
        <is>
          <t>2028-03-15</t>
        </is>
      </c>
      <c r="M22" s="27" t="n">
        <v>284</v>
      </c>
      <c r="N22" s="27" t="n">
        <v>683</v>
      </c>
      <c r="O22" s="3" t="inlineStr">
        <is>
          <t>speculative</t>
        </is>
      </c>
      <c r="P22" s="3" t="inlineStr">
        <is>
          <t>Trainium2</t>
        </is>
      </c>
      <c r="Q22" s="3" t="inlineStr">
        <is>
          <t>epoch_user_site_equal_split_seed</t>
        </is>
      </c>
      <c r="R22" s="3" t="inlineStr">
        <is>
          <t>SRC_EPOCH_AI_DATA_CENTERS; EPOCH_NORMALIZED_USER_SITES</t>
        </is>
      </c>
      <c r="S22" s="3" t="inlineStr">
        <is>
          <t>Capacity weight is used only to weight accelerator mix, not to overwrite company total power in 02_Inputs.</t>
        </is>
      </c>
    </row>
    <row r="23">
      <c r="A23" s="3" t="inlineStr">
        <is>
          <t>Bear|Anthropic|2027|Amazon Madison Mega Site</t>
        </is>
      </c>
      <c r="B23" s="3" t="inlineStr">
        <is>
          <t>Bear</t>
        </is>
      </c>
      <c r="C23" s="3" t="inlineStr">
        <is>
          <t>Anthropic</t>
        </is>
      </c>
      <c r="D23" s="3" t="n">
        <v>2027</v>
      </c>
      <c r="E23" s="3" t="inlineStr">
        <is>
          <t>Amazon Madison Mega Site</t>
        </is>
      </c>
      <c r="F23" s="3" t="inlineStr">
        <is>
          <t>Amazon</t>
        </is>
      </c>
      <c r="G23" s="3" t="inlineStr">
        <is>
          <t>United States</t>
        </is>
      </c>
      <c r="H23" s="25" t="n">
        <v>284</v>
      </c>
      <c r="I23" s="17" t="n">
        <v>1</v>
      </c>
      <c r="J23" s="17" t="n">
        <v>0.49</v>
      </c>
      <c r="K23" s="26" t="n">
        <v>0.51</v>
      </c>
      <c r="L23" s="3" t="inlineStr">
        <is>
          <t>2028-03-15</t>
        </is>
      </c>
      <c r="M23" s="27" t="n">
        <v>284</v>
      </c>
      <c r="N23" s="27" t="n">
        <v>683</v>
      </c>
      <c r="O23" s="3" t="inlineStr">
        <is>
          <t>speculative</t>
        </is>
      </c>
      <c r="P23" s="3" t="inlineStr">
        <is>
          <t>Trainium2</t>
        </is>
      </c>
      <c r="Q23" s="3" t="inlineStr">
        <is>
          <t>epoch_user_site_equal_split_seed</t>
        </is>
      </c>
      <c r="R23" s="3" t="inlineStr">
        <is>
          <t>SRC_EPOCH_AI_DATA_CENTERS; EPOCH_NORMALIZED_USER_SITES</t>
        </is>
      </c>
      <c r="S23" s="3" t="inlineStr">
        <is>
          <t>Capacity weight is used only to weight accelerator mix, not to overwrite company total power in 02_Inputs.</t>
        </is>
      </c>
    </row>
    <row r="24">
      <c r="A24" s="3" t="inlineStr">
        <is>
          <t>Bear|Anthropic|2028|Amazon Madison Mega Site</t>
        </is>
      </c>
      <c r="B24" s="3" t="inlineStr">
        <is>
          <t>Bear</t>
        </is>
      </c>
      <c r="C24" s="3" t="inlineStr">
        <is>
          <t>Anthropic</t>
        </is>
      </c>
      <c r="D24" s="3" t="n">
        <v>2028</v>
      </c>
      <c r="E24" s="3" t="inlineStr">
        <is>
          <t>Amazon Madison Mega Site</t>
        </is>
      </c>
      <c r="F24" s="3" t="inlineStr">
        <is>
          <t>Amazon</t>
        </is>
      </c>
      <c r="G24" s="3" t="inlineStr">
        <is>
          <t>United States</t>
        </is>
      </c>
      <c r="H24" s="25" t="n">
        <v>683</v>
      </c>
      <c r="I24" s="17" t="n">
        <v>1</v>
      </c>
      <c r="J24" s="17" t="n">
        <v>0.54</v>
      </c>
      <c r="K24" s="26" t="n">
        <v>0.46</v>
      </c>
      <c r="L24" s="3" t="inlineStr">
        <is>
          <t>2028-03-15</t>
        </is>
      </c>
      <c r="M24" s="27" t="n">
        <v>284</v>
      </c>
      <c r="N24" s="27" t="n">
        <v>683</v>
      </c>
      <c r="O24" s="3" t="inlineStr">
        <is>
          <t>speculative</t>
        </is>
      </c>
      <c r="P24" s="3" t="inlineStr">
        <is>
          <t>Trainium2</t>
        </is>
      </c>
      <c r="Q24" s="3" t="inlineStr">
        <is>
          <t>epoch_user_site_equal_split_seed</t>
        </is>
      </c>
      <c r="R24" s="3" t="inlineStr">
        <is>
          <t>SRC_EPOCH_AI_DATA_CENTERS; EPOCH_NORMALIZED_USER_SITES</t>
        </is>
      </c>
      <c r="S24" s="3" t="inlineStr">
        <is>
          <t>Capacity weight is used only to weight accelerator mix, not to overwrite company total power in 02_Inputs.</t>
        </is>
      </c>
    </row>
    <row r="25">
      <c r="A25" s="3" t="inlineStr">
        <is>
          <t>Bear|Anthropic|2029|Amazon Madison Mega Site</t>
        </is>
      </c>
      <c r="B25" s="3" t="inlineStr">
        <is>
          <t>Bear</t>
        </is>
      </c>
      <c r="C25" s="3" t="inlineStr">
        <is>
          <t>Anthropic</t>
        </is>
      </c>
      <c r="D25" s="3" t="n">
        <v>2029</v>
      </c>
      <c r="E25" s="3" t="inlineStr">
        <is>
          <t>Amazon Madison Mega Site</t>
        </is>
      </c>
      <c r="F25" s="3" t="inlineStr">
        <is>
          <t>Amazon</t>
        </is>
      </c>
      <c r="G25" s="3" t="inlineStr">
        <is>
          <t>United States</t>
        </is>
      </c>
      <c r="H25" s="25" t="n">
        <v>683</v>
      </c>
      <c r="I25" s="17" t="n">
        <v>1</v>
      </c>
      <c r="J25" s="17" t="n">
        <v>0.59</v>
      </c>
      <c r="K25" s="26" t="n">
        <v>0.41</v>
      </c>
      <c r="L25" s="3" t="inlineStr">
        <is>
          <t>2028-03-15</t>
        </is>
      </c>
      <c r="M25" s="27" t="n">
        <v>284</v>
      </c>
      <c r="N25" s="27" t="n">
        <v>683</v>
      </c>
      <c r="O25" s="3" t="inlineStr">
        <is>
          <t>speculative</t>
        </is>
      </c>
      <c r="P25" s="3" t="inlineStr">
        <is>
          <t>Trainium2</t>
        </is>
      </c>
      <c r="Q25" s="3" t="inlineStr">
        <is>
          <t>epoch_user_site_equal_split_seed</t>
        </is>
      </c>
      <c r="R25" s="3" t="inlineStr">
        <is>
          <t>SRC_EPOCH_AI_DATA_CENTERS; EPOCH_NORMALIZED_USER_SITES</t>
        </is>
      </c>
      <c r="S25" s="3" t="inlineStr">
        <is>
          <t>Capacity weight is used only to weight accelerator mix, not to overwrite company total power in 02_Inputs.</t>
        </is>
      </c>
    </row>
    <row r="26">
      <c r="A26" s="3" t="inlineStr">
        <is>
          <t>Bear|Anthropic|2030|Amazon Madison Mega Site</t>
        </is>
      </c>
      <c r="B26" s="3" t="inlineStr">
        <is>
          <t>Bear</t>
        </is>
      </c>
      <c r="C26" s="3" t="inlineStr">
        <is>
          <t>Anthropic</t>
        </is>
      </c>
      <c r="D26" s="3" t="n">
        <v>2030</v>
      </c>
      <c r="E26" s="3" t="inlineStr">
        <is>
          <t>Amazon Madison Mega Site</t>
        </is>
      </c>
      <c r="F26" s="3" t="inlineStr">
        <is>
          <t>Amazon</t>
        </is>
      </c>
      <c r="G26" s="3" t="inlineStr">
        <is>
          <t>United States</t>
        </is>
      </c>
      <c r="H26" s="25" t="n">
        <v>683</v>
      </c>
      <c r="I26" s="17" t="n">
        <v>1</v>
      </c>
      <c r="J26" s="17" t="n">
        <v>0.64</v>
      </c>
      <c r="K26" s="26" t="n">
        <v>0.36</v>
      </c>
      <c r="L26" s="3" t="inlineStr">
        <is>
          <t>2028-03-15</t>
        </is>
      </c>
      <c r="M26" s="27" t="n">
        <v>284</v>
      </c>
      <c r="N26" s="27" t="n">
        <v>683</v>
      </c>
      <c r="O26" s="3" t="inlineStr">
        <is>
          <t>speculative</t>
        </is>
      </c>
      <c r="P26" s="3" t="inlineStr">
        <is>
          <t>Trainium2</t>
        </is>
      </c>
      <c r="Q26" s="3" t="inlineStr">
        <is>
          <t>epoch_user_site_equal_split_seed</t>
        </is>
      </c>
      <c r="R26" s="3" t="inlineStr">
        <is>
          <t>SRC_EPOCH_AI_DATA_CENTERS; EPOCH_NORMALIZED_USER_SITES</t>
        </is>
      </c>
      <c r="S26" s="3" t="inlineStr">
        <is>
          <t>Capacity weight is used only to weight accelerator mix, not to overwrite company total power in 02_Inputs.</t>
        </is>
      </c>
    </row>
    <row r="27">
      <c r="A27" s="3" t="inlineStr">
        <is>
          <t>Base|Anthropic|2026|Amazon Madison Mega Site</t>
        </is>
      </c>
      <c r="B27" s="3" t="inlineStr">
        <is>
          <t>Base</t>
        </is>
      </c>
      <c r="C27" s="3" t="inlineStr">
        <is>
          <t>Anthropic</t>
        </is>
      </c>
      <c r="D27" s="3" t="n">
        <v>2026</v>
      </c>
      <c r="E27" s="3" t="inlineStr">
        <is>
          <t>Amazon Madison Mega Site</t>
        </is>
      </c>
      <c r="F27" s="3" t="inlineStr">
        <is>
          <t>Amazon</t>
        </is>
      </c>
      <c r="G27" s="3" t="inlineStr">
        <is>
          <t>United States</t>
        </is>
      </c>
      <c r="H27" s="25" t="n">
        <v>284</v>
      </c>
      <c r="I27" s="17" t="n">
        <v>1</v>
      </c>
      <c r="J27" s="17" t="n">
        <v>0.52</v>
      </c>
      <c r="K27" s="26" t="n">
        <v>0.48</v>
      </c>
      <c r="L27" s="3" t="inlineStr">
        <is>
          <t>2028-03-15</t>
        </is>
      </c>
      <c r="M27" s="27" t="n">
        <v>284</v>
      </c>
      <c r="N27" s="27" t="n">
        <v>683</v>
      </c>
      <c r="O27" s="3" t="inlineStr">
        <is>
          <t>speculative</t>
        </is>
      </c>
      <c r="P27" s="3" t="inlineStr">
        <is>
          <t>Trainium2</t>
        </is>
      </c>
      <c r="Q27" s="3" t="inlineStr">
        <is>
          <t>epoch_user_site_equal_split_seed</t>
        </is>
      </c>
      <c r="R27" s="3" t="inlineStr">
        <is>
          <t>SRC_EPOCH_AI_DATA_CENTERS; EPOCH_NORMALIZED_USER_SITES</t>
        </is>
      </c>
      <c r="S27" s="3" t="inlineStr">
        <is>
          <t>Capacity weight is used only to weight accelerator mix, not to overwrite company total power in 02_Inputs.</t>
        </is>
      </c>
    </row>
    <row r="28">
      <c r="A28" s="3" t="inlineStr">
        <is>
          <t>Base|Anthropic|2027|Amazon Madison Mega Site</t>
        </is>
      </c>
      <c r="B28" s="3" t="inlineStr">
        <is>
          <t>Base</t>
        </is>
      </c>
      <c r="C28" s="3" t="inlineStr">
        <is>
          <t>Anthropic</t>
        </is>
      </c>
      <c r="D28" s="3" t="n">
        <v>2027</v>
      </c>
      <c r="E28" s="3" t="inlineStr">
        <is>
          <t>Amazon Madison Mega Site</t>
        </is>
      </c>
      <c r="F28" s="3" t="inlineStr">
        <is>
          <t>Amazon</t>
        </is>
      </c>
      <c r="G28" s="3" t="inlineStr">
        <is>
          <t>United States</t>
        </is>
      </c>
      <c r="H28" s="25" t="n">
        <v>284</v>
      </c>
      <c r="I28" s="17" t="n">
        <v>1</v>
      </c>
      <c r="J28" s="17" t="n">
        <v>0.575</v>
      </c>
      <c r="K28" s="26" t="n">
        <v>0.425</v>
      </c>
      <c r="L28" s="3" t="inlineStr">
        <is>
          <t>2028-03-15</t>
        </is>
      </c>
      <c r="M28" s="27" t="n">
        <v>284</v>
      </c>
      <c r="N28" s="27" t="n">
        <v>683</v>
      </c>
      <c r="O28" s="3" t="inlineStr">
        <is>
          <t>speculative</t>
        </is>
      </c>
      <c r="P28" s="3" t="inlineStr">
        <is>
          <t>Trainium2</t>
        </is>
      </c>
      <c r="Q28" s="3" t="inlineStr">
        <is>
          <t>epoch_user_site_equal_split_seed</t>
        </is>
      </c>
      <c r="R28" s="3" t="inlineStr">
        <is>
          <t>SRC_EPOCH_AI_DATA_CENTERS; EPOCH_NORMALIZED_USER_SITES</t>
        </is>
      </c>
      <c r="S28" s="3" t="inlineStr">
        <is>
          <t>Capacity weight is used only to weight accelerator mix, not to overwrite company total power in 02_Inputs.</t>
        </is>
      </c>
    </row>
    <row r="29">
      <c r="A29" s="3" t="inlineStr">
        <is>
          <t>Base|Anthropic|2028|Amazon Madison Mega Site</t>
        </is>
      </c>
      <c r="B29" s="3" t="inlineStr">
        <is>
          <t>Base</t>
        </is>
      </c>
      <c r="C29" s="3" t="inlineStr">
        <is>
          <t>Anthropic</t>
        </is>
      </c>
      <c r="D29" s="3" t="n">
        <v>2028</v>
      </c>
      <c r="E29" s="3" t="inlineStr">
        <is>
          <t>Amazon Madison Mega Site</t>
        </is>
      </c>
      <c r="F29" s="3" t="inlineStr">
        <is>
          <t>Amazon</t>
        </is>
      </c>
      <c r="G29" s="3" t="inlineStr">
        <is>
          <t>United States</t>
        </is>
      </c>
      <c r="H29" s="25" t="n">
        <v>683</v>
      </c>
      <c r="I29" s="17" t="n">
        <v>1</v>
      </c>
      <c r="J29" s="17" t="n">
        <v>0.63</v>
      </c>
      <c r="K29" s="26" t="n">
        <v>0.37</v>
      </c>
      <c r="L29" s="3" t="inlineStr">
        <is>
          <t>2028-03-15</t>
        </is>
      </c>
      <c r="M29" s="27" t="n">
        <v>284</v>
      </c>
      <c r="N29" s="27" t="n">
        <v>683</v>
      </c>
      <c r="O29" s="3" t="inlineStr">
        <is>
          <t>speculative</t>
        </is>
      </c>
      <c r="P29" s="3" t="inlineStr">
        <is>
          <t>Trainium2</t>
        </is>
      </c>
      <c r="Q29" s="3" t="inlineStr">
        <is>
          <t>epoch_user_site_equal_split_seed</t>
        </is>
      </c>
      <c r="R29" s="3" t="inlineStr">
        <is>
          <t>SRC_EPOCH_AI_DATA_CENTERS; EPOCH_NORMALIZED_USER_SITES</t>
        </is>
      </c>
      <c r="S29" s="3" t="inlineStr">
        <is>
          <t>Capacity weight is used only to weight accelerator mix, not to overwrite company total power in 02_Inputs.</t>
        </is>
      </c>
    </row>
    <row r="30">
      <c r="A30" s="3" t="inlineStr">
        <is>
          <t>Base|Anthropic|2029|Amazon Madison Mega Site</t>
        </is>
      </c>
      <c r="B30" s="3" t="inlineStr">
        <is>
          <t>Base</t>
        </is>
      </c>
      <c r="C30" s="3" t="inlineStr">
        <is>
          <t>Anthropic</t>
        </is>
      </c>
      <c r="D30" s="3" t="n">
        <v>2029</v>
      </c>
      <c r="E30" s="3" t="inlineStr">
        <is>
          <t>Amazon Madison Mega Site</t>
        </is>
      </c>
      <c r="F30" s="3" t="inlineStr">
        <is>
          <t>Amazon</t>
        </is>
      </c>
      <c r="G30" s="3" t="inlineStr">
        <is>
          <t>United States</t>
        </is>
      </c>
      <c r="H30" s="25" t="n">
        <v>683</v>
      </c>
      <c r="I30" s="17" t="n">
        <v>1</v>
      </c>
      <c r="J30" s="17" t="n">
        <v>0.6850000000000001</v>
      </c>
      <c r="K30" s="26" t="n">
        <v>0.315</v>
      </c>
      <c r="L30" s="3" t="inlineStr">
        <is>
          <t>2028-03-15</t>
        </is>
      </c>
      <c r="M30" s="27" t="n">
        <v>284</v>
      </c>
      <c r="N30" s="27" t="n">
        <v>683</v>
      </c>
      <c r="O30" s="3" t="inlineStr">
        <is>
          <t>speculative</t>
        </is>
      </c>
      <c r="P30" s="3" t="inlineStr">
        <is>
          <t>Trainium2</t>
        </is>
      </c>
      <c r="Q30" s="3" t="inlineStr">
        <is>
          <t>epoch_user_site_equal_split_seed</t>
        </is>
      </c>
      <c r="R30" s="3" t="inlineStr">
        <is>
          <t>SRC_EPOCH_AI_DATA_CENTERS; EPOCH_NORMALIZED_USER_SITES</t>
        </is>
      </c>
      <c r="S30" s="3" t="inlineStr">
        <is>
          <t>Capacity weight is used only to weight accelerator mix, not to overwrite company total power in 02_Inputs.</t>
        </is>
      </c>
    </row>
    <row r="31">
      <c r="A31" s="3" t="inlineStr">
        <is>
          <t>Base|Anthropic|2030|Amazon Madison Mega Site</t>
        </is>
      </c>
      <c r="B31" s="3" t="inlineStr">
        <is>
          <t>Base</t>
        </is>
      </c>
      <c r="C31" s="3" t="inlineStr">
        <is>
          <t>Anthropic</t>
        </is>
      </c>
      <c r="D31" s="3" t="n">
        <v>2030</v>
      </c>
      <c r="E31" s="3" t="inlineStr">
        <is>
          <t>Amazon Madison Mega Site</t>
        </is>
      </c>
      <c r="F31" s="3" t="inlineStr">
        <is>
          <t>Amazon</t>
        </is>
      </c>
      <c r="G31" s="3" t="inlineStr">
        <is>
          <t>United States</t>
        </is>
      </c>
      <c r="H31" s="25" t="n">
        <v>683</v>
      </c>
      <c r="I31" s="17" t="n">
        <v>1</v>
      </c>
      <c r="J31" s="17" t="n">
        <v>0.74</v>
      </c>
      <c r="K31" s="26" t="n">
        <v>0.26</v>
      </c>
      <c r="L31" s="3" t="inlineStr">
        <is>
          <t>2028-03-15</t>
        </is>
      </c>
      <c r="M31" s="27" t="n">
        <v>284</v>
      </c>
      <c r="N31" s="27" t="n">
        <v>683</v>
      </c>
      <c r="O31" s="3" t="inlineStr">
        <is>
          <t>speculative</t>
        </is>
      </c>
      <c r="P31" s="3" t="inlineStr">
        <is>
          <t>Trainium2</t>
        </is>
      </c>
      <c r="Q31" s="3" t="inlineStr">
        <is>
          <t>epoch_user_site_equal_split_seed</t>
        </is>
      </c>
      <c r="R31" s="3" t="inlineStr">
        <is>
          <t>SRC_EPOCH_AI_DATA_CENTERS; EPOCH_NORMALIZED_USER_SITES</t>
        </is>
      </c>
      <c r="S31" s="3" t="inlineStr">
        <is>
          <t>Capacity weight is used only to weight accelerator mix, not to overwrite company total power in 02_Inputs.</t>
        </is>
      </c>
    </row>
    <row r="32">
      <c r="A32" s="3" t="inlineStr">
        <is>
          <t>Bull|Anthropic|2026|Amazon Madison Mega Site</t>
        </is>
      </c>
      <c r="B32" s="3" t="inlineStr">
        <is>
          <t>Bull</t>
        </is>
      </c>
      <c r="C32" s="3" t="inlineStr">
        <is>
          <t>Anthropic</t>
        </is>
      </c>
      <c r="D32" s="3" t="n">
        <v>2026</v>
      </c>
      <c r="E32" s="3" t="inlineStr">
        <is>
          <t>Amazon Madison Mega Site</t>
        </is>
      </c>
      <c r="F32" s="3" t="inlineStr">
        <is>
          <t>Amazon</t>
        </is>
      </c>
      <c r="G32" s="3" t="inlineStr">
        <is>
          <t>United States</t>
        </is>
      </c>
      <c r="H32" s="25" t="n">
        <v>284</v>
      </c>
      <c r="I32" s="17" t="n">
        <v>1</v>
      </c>
      <c r="J32" s="17" t="n">
        <v>0.57</v>
      </c>
      <c r="K32" s="26" t="n">
        <v>0.43</v>
      </c>
      <c r="L32" s="3" t="inlineStr">
        <is>
          <t>2028-03-15</t>
        </is>
      </c>
      <c r="M32" s="27" t="n">
        <v>284</v>
      </c>
      <c r="N32" s="27" t="n">
        <v>683</v>
      </c>
      <c r="O32" s="3" t="inlineStr">
        <is>
          <t>speculative</t>
        </is>
      </c>
      <c r="P32" s="3" t="inlineStr">
        <is>
          <t>Trainium2</t>
        </is>
      </c>
      <c r="Q32" s="3" t="inlineStr">
        <is>
          <t>epoch_user_site_equal_split_seed</t>
        </is>
      </c>
      <c r="R32" s="3" t="inlineStr">
        <is>
          <t>SRC_EPOCH_AI_DATA_CENTERS; EPOCH_NORMALIZED_USER_SITES</t>
        </is>
      </c>
      <c r="S32" s="3" t="inlineStr">
        <is>
          <t>Capacity weight is used only to weight accelerator mix, not to overwrite company total power in 02_Inputs.</t>
        </is>
      </c>
    </row>
    <row r="33">
      <c r="A33" s="3" t="inlineStr">
        <is>
          <t>Bull|Anthropic|2027|Amazon Madison Mega Site</t>
        </is>
      </c>
      <c r="B33" s="3" t="inlineStr">
        <is>
          <t>Bull</t>
        </is>
      </c>
      <c r="C33" s="3" t="inlineStr">
        <is>
          <t>Anthropic</t>
        </is>
      </c>
      <c r="D33" s="3" t="n">
        <v>2027</v>
      </c>
      <c r="E33" s="3" t="inlineStr">
        <is>
          <t>Amazon Madison Mega Site</t>
        </is>
      </c>
      <c r="F33" s="3" t="inlineStr">
        <is>
          <t>Amazon</t>
        </is>
      </c>
      <c r="G33" s="3" t="inlineStr">
        <is>
          <t>United States</t>
        </is>
      </c>
      <c r="H33" s="25" t="n">
        <v>284</v>
      </c>
      <c r="I33" s="17" t="n">
        <v>1</v>
      </c>
      <c r="J33" s="17" t="n">
        <v>0.632</v>
      </c>
      <c r="K33" s="26" t="n">
        <v>0.368</v>
      </c>
      <c r="L33" s="3" t="inlineStr">
        <is>
          <t>2028-03-15</t>
        </is>
      </c>
      <c r="M33" s="27" t="n">
        <v>284</v>
      </c>
      <c r="N33" s="27" t="n">
        <v>683</v>
      </c>
      <c r="O33" s="3" t="inlineStr">
        <is>
          <t>speculative</t>
        </is>
      </c>
      <c r="P33" s="3" t="inlineStr">
        <is>
          <t>Trainium2</t>
        </is>
      </c>
      <c r="Q33" s="3" t="inlineStr">
        <is>
          <t>epoch_user_site_equal_split_seed</t>
        </is>
      </c>
      <c r="R33" s="3" t="inlineStr">
        <is>
          <t>SRC_EPOCH_AI_DATA_CENTERS; EPOCH_NORMALIZED_USER_SITES</t>
        </is>
      </c>
      <c r="S33" s="3" t="inlineStr">
        <is>
          <t>Capacity weight is used only to weight accelerator mix, not to overwrite company total power in 02_Inputs.</t>
        </is>
      </c>
    </row>
    <row r="34">
      <c r="A34" s="3" t="inlineStr">
        <is>
          <t>Bull|Anthropic|2028|Amazon Madison Mega Site</t>
        </is>
      </c>
      <c r="B34" s="3" t="inlineStr">
        <is>
          <t>Bull</t>
        </is>
      </c>
      <c r="C34" s="3" t="inlineStr">
        <is>
          <t>Anthropic</t>
        </is>
      </c>
      <c r="D34" s="3" t="n">
        <v>2028</v>
      </c>
      <c r="E34" s="3" t="inlineStr">
        <is>
          <t>Amazon Madison Mega Site</t>
        </is>
      </c>
      <c r="F34" s="3" t="inlineStr">
        <is>
          <t>Amazon</t>
        </is>
      </c>
      <c r="G34" s="3" t="inlineStr">
        <is>
          <t>United States</t>
        </is>
      </c>
      <c r="H34" s="25" t="n">
        <v>683</v>
      </c>
      <c r="I34" s="17" t="n">
        <v>1</v>
      </c>
      <c r="J34" s="17" t="n">
        <v>0.695</v>
      </c>
      <c r="K34" s="26" t="n">
        <v>0.305</v>
      </c>
      <c r="L34" s="3" t="inlineStr">
        <is>
          <t>2028-03-15</t>
        </is>
      </c>
      <c r="M34" s="27" t="n">
        <v>284</v>
      </c>
      <c r="N34" s="27" t="n">
        <v>683</v>
      </c>
      <c r="O34" s="3" t="inlineStr">
        <is>
          <t>speculative</t>
        </is>
      </c>
      <c r="P34" s="3" t="inlineStr">
        <is>
          <t>Trainium2</t>
        </is>
      </c>
      <c r="Q34" s="3" t="inlineStr">
        <is>
          <t>epoch_user_site_equal_split_seed</t>
        </is>
      </c>
      <c r="R34" s="3" t="inlineStr">
        <is>
          <t>SRC_EPOCH_AI_DATA_CENTERS; EPOCH_NORMALIZED_USER_SITES</t>
        </is>
      </c>
      <c r="S34" s="3" t="inlineStr">
        <is>
          <t>Capacity weight is used only to weight accelerator mix, not to overwrite company total power in 02_Inputs.</t>
        </is>
      </c>
    </row>
    <row r="35">
      <c r="A35" s="3" t="inlineStr">
        <is>
          <t>Bull|Anthropic|2029|Amazon Madison Mega Site</t>
        </is>
      </c>
      <c r="B35" s="3" t="inlineStr">
        <is>
          <t>Bull</t>
        </is>
      </c>
      <c r="C35" s="3" t="inlineStr">
        <is>
          <t>Anthropic</t>
        </is>
      </c>
      <c r="D35" s="3" t="n">
        <v>2029</v>
      </c>
      <c r="E35" s="3" t="inlineStr">
        <is>
          <t>Amazon Madison Mega Site</t>
        </is>
      </c>
      <c r="F35" s="3" t="inlineStr">
        <is>
          <t>Amazon</t>
        </is>
      </c>
      <c r="G35" s="3" t="inlineStr">
        <is>
          <t>United States</t>
        </is>
      </c>
      <c r="H35" s="25" t="n">
        <v>683</v>
      </c>
      <c r="I35" s="17" t="n">
        <v>1</v>
      </c>
      <c r="J35" s="17" t="n">
        <v>0.758</v>
      </c>
      <c r="K35" s="26" t="n">
        <v>0.242</v>
      </c>
      <c r="L35" s="3" t="inlineStr">
        <is>
          <t>2028-03-15</t>
        </is>
      </c>
      <c r="M35" s="27" t="n">
        <v>284</v>
      </c>
      <c r="N35" s="27" t="n">
        <v>683</v>
      </c>
      <c r="O35" s="3" t="inlineStr">
        <is>
          <t>speculative</t>
        </is>
      </c>
      <c r="P35" s="3" t="inlineStr">
        <is>
          <t>Trainium2</t>
        </is>
      </c>
      <c r="Q35" s="3" t="inlineStr">
        <is>
          <t>epoch_user_site_equal_split_seed</t>
        </is>
      </c>
      <c r="R35" s="3" t="inlineStr">
        <is>
          <t>SRC_EPOCH_AI_DATA_CENTERS; EPOCH_NORMALIZED_USER_SITES</t>
        </is>
      </c>
      <c r="S35" s="3" t="inlineStr">
        <is>
          <t>Capacity weight is used only to weight accelerator mix, not to overwrite company total power in 02_Inputs.</t>
        </is>
      </c>
    </row>
    <row r="36">
      <c r="A36" s="3" t="inlineStr">
        <is>
          <t>Bull|Anthropic|2030|Amazon Madison Mega Site</t>
        </is>
      </c>
      <c r="B36" s="3" t="inlineStr">
        <is>
          <t>Bull</t>
        </is>
      </c>
      <c r="C36" s="3" t="inlineStr">
        <is>
          <t>Anthropic</t>
        </is>
      </c>
      <c r="D36" s="3" t="n">
        <v>2030</v>
      </c>
      <c r="E36" s="3" t="inlineStr">
        <is>
          <t>Amazon Madison Mega Site</t>
        </is>
      </c>
      <c r="F36" s="3" t="inlineStr">
        <is>
          <t>Amazon</t>
        </is>
      </c>
      <c r="G36" s="3" t="inlineStr">
        <is>
          <t>United States</t>
        </is>
      </c>
      <c r="H36" s="25" t="n">
        <v>683</v>
      </c>
      <c r="I36" s="17" t="n">
        <v>1</v>
      </c>
      <c r="J36" s="17" t="n">
        <v>0.82</v>
      </c>
      <c r="K36" s="26" t="n">
        <v>0.18</v>
      </c>
      <c r="L36" s="3" t="inlineStr">
        <is>
          <t>2028-03-15</t>
        </is>
      </c>
      <c r="M36" s="27" t="n">
        <v>284</v>
      </c>
      <c r="N36" s="27" t="n">
        <v>683</v>
      </c>
      <c r="O36" s="3" t="inlineStr">
        <is>
          <t>speculative</t>
        </is>
      </c>
      <c r="P36" s="3" t="inlineStr">
        <is>
          <t>Trainium2</t>
        </is>
      </c>
      <c r="Q36" s="3" t="inlineStr">
        <is>
          <t>epoch_user_site_equal_split_seed</t>
        </is>
      </c>
      <c r="R36" s="3" t="inlineStr">
        <is>
          <t>SRC_EPOCH_AI_DATA_CENTERS; EPOCH_NORMALIZED_USER_SITES</t>
        </is>
      </c>
      <c r="S36" s="3" t="inlineStr">
        <is>
          <t>Capacity weight is used only to weight accelerator mix, not to overwrite company total power in 02_Inputs.</t>
        </is>
      </c>
    </row>
    <row r="37">
      <c r="A37" s="3" t="inlineStr">
        <is>
          <t>Grid-Constrained / Efficiency-Upside|Anthropic|2026|Amazon Madison Mega Site</t>
        </is>
      </c>
      <c r="B37" s="3" t="inlineStr">
        <is>
          <t>Grid-Constrained / Efficiency-Upside</t>
        </is>
      </c>
      <c r="C37" s="3" t="inlineStr">
        <is>
          <t>Anthropic</t>
        </is>
      </c>
      <c r="D37" s="3" t="n">
        <v>2026</v>
      </c>
      <c r="E37" s="3" t="inlineStr">
        <is>
          <t>Amazon Madison Mega Site</t>
        </is>
      </c>
      <c r="F37" s="3" t="inlineStr">
        <is>
          <t>Amazon</t>
        </is>
      </c>
      <c r="G37" s="3" t="inlineStr">
        <is>
          <t>United States</t>
        </is>
      </c>
      <c r="H37" s="25" t="n">
        <v>284</v>
      </c>
      <c r="I37" s="17" t="n">
        <v>1</v>
      </c>
      <c r="J37" s="17" t="n">
        <v>0.54</v>
      </c>
      <c r="K37" s="26" t="n">
        <v>0.46</v>
      </c>
      <c r="L37" s="3" t="inlineStr">
        <is>
          <t>2028-03-15</t>
        </is>
      </c>
      <c r="M37" s="27" t="n">
        <v>284</v>
      </c>
      <c r="N37" s="27" t="n">
        <v>683</v>
      </c>
      <c r="O37" s="3" t="inlineStr">
        <is>
          <t>speculative</t>
        </is>
      </c>
      <c r="P37" s="3" t="inlineStr">
        <is>
          <t>Trainium2</t>
        </is>
      </c>
      <c r="Q37" s="3" t="inlineStr">
        <is>
          <t>epoch_user_site_equal_split_seed</t>
        </is>
      </c>
      <c r="R37" s="3" t="inlineStr">
        <is>
          <t>SRC_EPOCH_AI_DATA_CENTERS; EPOCH_NORMALIZED_USER_SITES</t>
        </is>
      </c>
      <c r="S37" s="3" t="inlineStr">
        <is>
          <t>Capacity weight is used only to weight accelerator mix, not to overwrite company total power in 02_Inputs.</t>
        </is>
      </c>
    </row>
    <row r="38">
      <c r="A38" s="3" t="inlineStr">
        <is>
          <t>Grid-Constrained / Efficiency-Upside|Anthropic|2027|Amazon Madison Mega Site</t>
        </is>
      </c>
      <c r="B38" s="3" t="inlineStr">
        <is>
          <t>Grid-Constrained / Efficiency-Upside</t>
        </is>
      </c>
      <c r="C38" s="3" t="inlineStr">
        <is>
          <t>Anthropic</t>
        </is>
      </c>
      <c r="D38" s="3" t="n">
        <v>2027</v>
      </c>
      <c r="E38" s="3" t="inlineStr">
        <is>
          <t>Amazon Madison Mega Site</t>
        </is>
      </c>
      <c r="F38" s="3" t="inlineStr">
        <is>
          <t>Amazon</t>
        </is>
      </c>
      <c r="G38" s="3" t="inlineStr">
        <is>
          <t>United States</t>
        </is>
      </c>
      <c r="H38" s="25" t="n">
        <v>284</v>
      </c>
      <c r="I38" s="17" t="n">
        <v>1</v>
      </c>
      <c r="J38" s="17" t="n">
        <v>0.6</v>
      </c>
      <c r="K38" s="26" t="n">
        <v>0.4</v>
      </c>
      <c r="L38" s="3" t="inlineStr">
        <is>
          <t>2028-03-15</t>
        </is>
      </c>
      <c r="M38" s="27" t="n">
        <v>284</v>
      </c>
      <c r="N38" s="27" t="n">
        <v>683</v>
      </c>
      <c r="O38" s="3" t="inlineStr">
        <is>
          <t>speculative</t>
        </is>
      </c>
      <c r="P38" s="3" t="inlineStr">
        <is>
          <t>Trainium2</t>
        </is>
      </c>
      <c r="Q38" s="3" t="inlineStr">
        <is>
          <t>epoch_user_site_equal_split_seed</t>
        </is>
      </c>
      <c r="R38" s="3" t="inlineStr">
        <is>
          <t>SRC_EPOCH_AI_DATA_CENTERS; EPOCH_NORMALIZED_USER_SITES</t>
        </is>
      </c>
      <c r="S38" s="3" t="inlineStr">
        <is>
          <t>Capacity weight is used only to weight accelerator mix, not to overwrite company total power in 02_Inputs.</t>
        </is>
      </c>
    </row>
    <row r="39">
      <c r="A39" s="3" t="inlineStr">
        <is>
          <t>Grid-Constrained / Efficiency-Upside|Anthropic|2028|Amazon Madison Mega Site</t>
        </is>
      </c>
      <c r="B39" s="3" t="inlineStr">
        <is>
          <t>Grid-Constrained / Efficiency-Upside</t>
        </is>
      </c>
      <c r="C39" s="3" t="inlineStr">
        <is>
          <t>Anthropic</t>
        </is>
      </c>
      <c r="D39" s="3" t="n">
        <v>2028</v>
      </c>
      <c r="E39" s="3" t="inlineStr">
        <is>
          <t>Amazon Madison Mega Site</t>
        </is>
      </c>
      <c r="F39" s="3" t="inlineStr">
        <is>
          <t>Amazon</t>
        </is>
      </c>
      <c r="G39" s="3" t="inlineStr">
        <is>
          <t>United States</t>
        </is>
      </c>
      <c r="H39" s="25" t="n">
        <v>683</v>
      </c>
      <c r="I39" s="17" t="n">
        <v>1</v>
      </c>
      <c r="J39" s="17" t="n">
        <v>0.66</v>
      </c>
      <c r="K39" s="26" t="n">
        <v>0.34</v>
      </c>
      <c r="L39" s="3" t="inlineStr">
        <is>
          <t>2028-03-15</t>
        </is>
      </c>
      <c r="M39" s="27" t="n">
        <v>284</v>
      </c>
      <c r="N39" s="27" t="n">
        <v>683</v>
      </c>
      <c r="O39" s="3" t="inlineStr">
        <is>
          <t>speculative</t>
        </is>
      </c>
      <c r="P39" s="3" t="inlineStr">
        <is>
          <t>Trainium2</t>
        </is>
      </c>
      <c r="Q39" s="3" t="inlineStr">
        <is>
          <t>epoch_user_site_equal_split_seed</t>
        </is>
      </c>
      <c r="R39" s="3" t="inlineStr">
        <is>
          <t>SRC_EPOCH_AI_DATA_CENTERS; EPOCH_NORMALIZED_USER_SITES</t>
        </is>
      </c>
      <c r="S39" s="3" t="inlineStr">
        <is>
          <t>Capacity weight is used only to weight accelerator mix, not to overwrite company total power in 02_Inputs.</t>
        </is>
      </c>
    </row>
    <row r="40">
      <c r="A40" s="3" t="inlineStr">
        <is>
          <t>Grid-Constrained / Efficiency-Upside|Anthropic|2029|Amazon Madison Mega Site</t>
        </is>
      </c>
      <c r="B40" s="3" t="inlineStr">
        <is>
          <t>Grid-Constrained / Efficiency-Upside</t>
        </is>
      </c>
      <c r="C40" s="3" t="inlineStr">
        <is>
          <t>Anthropic</t>
        </is>
      </c>
      <c r="D40" s="3" t="n">
        <v>2029</v>
      </c>
      <c r="E40" s="3" t="inlineStr">
        <is>
          <t>Amazon Madison Mega Site</t>
        </is>
      </c>
      <c r="F40" s="3" t="inlineStr">
        <is>
          <t>Amazon</t>
        </is>
      </c>
      <c r="G40" s="3" t="inlineStr">
        <is>
          <t>United States</t>
        </is>
      </c>
      <c r="H40" s="25" t="n">
        <v>683</v>
      </c>
      <c r="I40" s="17" t="n">
        <v>1</v>
      </c>
      <c r="J40" s="17" t="n">
        <v>0.72</v>
      </c>
      <c r="K40" s="26" t="n">
        <v>0.28</v>
      </c>
      <c r="L40" s="3" t="inlineStr">
        <is>
          <t>2028-03-15</t>
        </is>
      </c>
      <c r="M40" s="27" t="n">
        <v>284</v>
      </c>
      <c r="N40" s="27" t="n">
        <v>683</v>
      </c>
      <c r="O40" s="3" t="inlineStr">
        <is>
          <t>speculative</t>
        </is>
      </c>
      <c r="P40" s="3" t="inlineStr">
        <is>
          <t>Trainium2</t>
        </is>
      </c>
      <c r="Q40" s="3" t="inlineStr">
        <is>
          <t>epoch_user_site_equal_split_seed</t>
        </is>
      </c>
      <c r="R40" s="3" t="inlineStr">
        <is>
          <t>SRC_EPOCH_AI_DATA_CENTERS; EPOCH_NORMALIZED_USER_SITES</t>
        </is>
      </c>
      <c r="S40" s="3" t="inlineStr">
        <is>
          <t>Capacity weight is used only to weight accelerator mix, not to overwrite company total power in 02_Inputs.</t>
        </is>
      </c>
    </row>
    <row r="41">
      <c r="A41" s="3" t="inlineStr">
        <is>
          <t>Grid-Constrained / Efficiency-Upside|Anthropic|2030|Amazon Madison Mega Site</t>
        </is>
      </c>
      <c r="B41" s="3" t="inlineStr">
        <is>
          <t>Grid-Constrained / Efficiency-Upside</t>
        </is>
      </c>
      <c r="C41" s="3" t="inlineStr">
        <is>
          <t>Anthropic</t>
        </is>
      </c>
      <c r="D41" s="3" t="n">
        <v>2030</v>
      </c>
      <c r="E41" s="3" t="inlineStr">
        <is>
          <t>Amazon Madison Mega Site</t>
        </is>
      </c>
      <c r="F41" s="3" t="inlineStr">
        <is>
          <t>Amazon</t>
        </is>
      </c>
      <c r="G41" s="3" t="inlineStr">
        <is>
          <t>United States</t>
        </is>
      </c>
      <c r="H41" s="25" t="n">
        <v>683</v>
      </c>
      <c r="I41" s="17" t="n">
        <v>1</v>
      </c>
      <c r="J41" s="17" t="n">
        <v>0.78</v>
      </c>
      <c r="K41" s="26" t="n">
        <v>0.22</v>
      </c>
      <c r="L41" s="3" t="inlineStr">
        <is>
          <t>2028-03-15</t>
        </is>
      </c>
      <c r="M41" s="27" t="n">
        <v>284</v>
      </c>
      <c r="N41" s="27" t="n">
        <v>683</v>
      </c>
      <c r="O41" s="3" t="inlineStr">
        <is>
          <t>speculative</t>
        </is>
      </c>
      <c r="P41" s="3" t="inlineStr">
        <is>
          <t>Trainium2</t>
        </is>
      </c>
      <c r="Q41" s="3" t="inlineStr">
        <is>
          <t>epoch_user_site_equal_split_seed</t>
        </is>
      </c>
      <c r="R41" s="3" t="inlineStr">
        <is>
          <t>SRC_EPOCH_AI_DATA_CENTERS; EPOCH_NORMALIZED_USER_SITES</t>
        </is>
      </c>
      <c r="S41" s="3" t="inlineStr">
        <is>
          <t>Capacity weight is used only to weight accelerator mix, not to overwrite company total power in 02_Inputs.</t>
        </is>
      </c>
    </row>
    <row r="42">
      <c r="A42" s="3" t="inlineStr">
        <is>
          <t>Bear|Anthropic|2026|Amazon Ridgeland</t>
        </is>
      </c>
      <c r="B42" s="3" t="inlineStr">
        <is>
          <t>Bear</t>
        </is>
      </c>
      <c r="C42" s="3" t="inlineStr">
        <is>
          <t>Anthropic</t>
        </is>
      </c>
      <c r="D42" s="3" t="n">
        <v>2026</v>
      </c>
      <c r="E42" s="3" t="inlineStr">
        <is>
          <t>Amazon Ridgeland</t>
        </is>
      </c>
      <c r="F42" s="3" t="inlineStr">
        <is>
          <t>Amazon</t>
        </is>
      </c>
      <c r="G42" s="3" t="inlineStr">
        <is>
          <t>United States</t>
        </is>
      </c>
      <c r="H42" s="25" t="n">
        <v>228</v>
      </c>
      <c r="I42" s="17" t="n">
        <v>1</v>
      </c>
      <c r="J42" s="17" t="n">
        <v>0.44</v>
      </c>
      <c r="K42" s="26" t="n">
        <v>0.5600000000000001</v>
      </c>
      <c r="L42" s="3" t="inlineStr">
        <is>
          <t>2028-09-29</t>
        </is>
      </c>
      <c r="M42" s="27" t="n">
        <v>228</v>
      </c>
      <c r="N42" s="27" t="n">
        <v>840</v>
      </c>
      <c r="O42" s="3" t="inlineStr">
        <is>
          <t>speculative</t>
        </is>
      </c>
      <c r="P42" s="3" t="inlineStr">
        <is>
          <t>Trainium2</t>
        </is>
      </c>
      <c r="Q42" s="3" t="inlineStr">
        <is>
          <t>epoch_user_site_equal_split_seed</t>
        </is>
      </c>
      <c r="R42" s="3" t="inlineStr">
        <is>
          <t>SRC_EPOCH_AI_DATA_CENTERS; EPOCH_NORMALIZED_USER_SITES</t>
        </is>
      </c>
      <c r="S42" s="3" t="inlineStr">
        <is>
          <t>Capacity weight is used only to weight accelerator mix, not to overwrite company total power in 02_Inputs.</t>
        </is>
      </c>
    </row>
    <row r="43">
      <c r="A43" s="3" t="inlineStr">
        <is>
          <t>Bear|Anthropic|2027|Amazon Ridgeland</t>
        </is>
      </c>
      <c r="B43" s="3" t="inlineStr">
        <is>
          <t>Bear</t>
        </is>
      </c>
      <c r="C43" s="3" t="inlineStr">
        <is>
          <t>Anthropic</t>
        </is>
      </c>
      <c r="D43" s="3" t="n">
        <v>2027</v>
      </c>
      <c r="E43" s="3" t="inlineStr">
        <is>
          <t>Amazon Ridgeland</t>
        </is>
      </c>
      <c r="F43" s="3" t="inlineStr">
        <is>
          <t>Amazon</t>
        </is>
      </c>
      <c r="G43" s="3" t="inlineStr">
        <is>
          <t>United States</t>
        </is>
      </c>
      <c r="H43" s="25" t="n">
        <v>228</v>
      </c>
      <c r="I43" s="17" t="n">
        <v>1</v>
      </c>
      <c r="J43" s="17" t="n">
        <v>0.49</v>
      </c>
      <c r="K43" s="26" t="n">
        <v>0.51</v>
      </c>
      <c r="L43" s="3" t="inlineStr">
        <is>
          <t>2028-09-29</t>
        </is>
      </c>
      <c r="M43" s="27" t="n">
        <v>228</v>
      </c>
      <c r="N43" s="27" t="n">
        <v>840</v>
      </c>
      <c r="O43" s="3" t="inlineStr">
        <is>
          <t>speculative</t>
        </is>
      </c>
      <c r="P43" s="3" t="inlineStr">
        <is>
          <t>Trainium2</t>
        </is>
      </c>
      <c r="Q43" s="3" t="inlineStr">
        <is>
          <t>epoch_user_site_equal_split_seed</t>
        </is>
      </c>
      <c r="R43" s="3" t="inlineStr">
        <is>
          <t>SRC_EPOCH_AI_DATA_CENTERS; EPOCH_NORMALIZED_USER_SITES</t>
        </is>
      </c>
      <c r="S43" s="3" t="inlineStr">
        <is>
          <t>Capacity weight is used only to weight accelerator mix, not to overwrite company total power in 02_Inputs.</t>
        </is>
      </c>
    </row>
    <row r="44">
      <c r="A44" s="3" t="inlineStr">
        <is>
          <t>Bear|Anthropic|2028|Amazon Ridgeland</t>
        </is>
      </c>
      <c r="B44" s="3" t="inlineStr">
        <is>
          <t>Bear</t>
        </is>
      </c>
      <c r="C44" s="3" t="inlineStr">
        <is>
          <t>Anthropic</t>
        </is>
      </c>
      <c r="D44" s="3" t="n">
        <v>2028</v>
      </c>
      <c r="E44" s="3" t="inlineStr">
        <is>
          <t>Amazon Ridgeland</t>
        </is>
      </c>
      <c r="F44" s="3" t="inlineStr">
        <is>
          <t>Amazon</t>
        </is>
      </c>
      <c r="G44" s="3" t="inlineStr">
        <is>
          <t>United States</t>
        </is>
      </c>
      <c r="H44" s="25" t="n">
        <v>840</v>
      </c>
      <c r="I44" s="17" t="n">
        <v>1</v>
      </c>
      <c r="J44" s="17" t="n">
        <v>0.54</v>
      </c>
      <c r="K44" s="26" t="n">
        <v>0.46</v>
      </c>
      <c r="L44" s="3" t="inlineStr">
        <is>
          <t>2028-09-29</t>
        </is>
      </c>
      <c r="M44" s="27" t="n">
        <v>228</v>
      </c>
      <c r="N44" s="27" t="n">
        <v>840</v>
      </c>
      <c r="O44" s="3" t="inlineStr">
        <is>
          <t>speculative</t>
        </is>
      </c>
      <c r="P44" s="3" t="inlineStr">
        <is>
          <t>Trainium2</t>
        </is>
      </c>
      <c r="Q44" s="3" t="inlineStr">
        <is>
          <t>epoch_user_site_equal_split_seed</t>
        </is>
      </c>
      <c r="R44" s="3" t="inlineStr">
        <is>
          <t>SRC_EPOCH_AI_DATA_CENTERS; EPOCH_NORMALIZED_USER_SITES</t>
        </is>
      </c>
      <c r="S44" s="3" t="inlineStr">
        <is>
          <t>Capacity weight is used only to weight accelerator mix, not to overwrite company total power in 02_Inputs.</t>
        </is>
      </c>
    </row>
    <row r="45">
      <c r="A45" s="3" t="inlineStr">
        <is>
          <t>Bear|Anthropic|2029|Amazon Ridgeland</t>
        </is>
      </c>
      <c r="B45" s="3" t="inlineStr">
        <is>
          <t>Bear</t>
        </is>
      </c>
      <c r="C45" s="3" t="inlineStr">
        <is>
          <t>Anthropic</t>
        </is>
      </c>
      <c r="D45" s="3" t="n">
        <v>2029</v>
      </c>
      <c r="E45" s="3" t="inlineStr">
        <is>
          <t>Amazon Ridgeland</t>
        </is>
      </c>
      <c r="F45" s="3" t="inlineStr">
        <is>
          <t>Amazon</t>
        </is>
      </c>
      <c r="G45" s="3" t="inlineStr">
        <is>
          <t>United States</t>
        </is>
      </c>
      <c r="H45" s="25" t="n">
        <v>840</v>
      </c>
      <c r="I45" s="17" t="n">
        <v>1</v>
      </c>
      <c r="J45" s="17" t="n">
        <v>0.59</v>
      </c>
      <c r="K45" s="26" t="n">
        <v>0.41</v>
      </c>
      <c r="L45" s="3" t="inlineStr">
        <is>
          <t>2028-09-29</t>
        </is>
      </c>
      <c r="M45" s="27" t="n">
        <v>228</v>
      </c>
      <c r="N45" s="27" t="n">
        <v>840</v>
      </c>
      <c r="O45" s="3" t="inlineStr">
        <is>
          <t>speculative</t>
        </is>
      </c>
      <c r="P45" s="3" t="inlineStr">
        <is>
          <t>Trainium2</t>
        </is>
      </c>
      <c r="Q45" s="3" t="inlineStr">
        <is>
          <t>epoch_user_site_equal_split_seed</t>
        </is>
      </c>
      <c r="R45" s="3" t="inlineStr">
        <is>
          <t>SRC_EPOCH_AI_DATA_CENTERS; EPOCH_NORMALIZED_USER_SITES</t>
        </is>
      </c>
      <c r="S45" s="3" t="inlineStr">
        <is>
          <t>Capacity weight is used only to weight accelerator mix, not to overwrite company total power in 02_Inputs.</t>
        </is>
      </c>
    </row>
    <row r="46">
      <c r="A46" s="3" t="inlineStr">
        <is>
          <t>Bear|Anthropic|2030|Amazon Ridgeland</t>
        </is>
      </c>
      <c r="B46" s="3" t="inlineStr">
        <is>
          <t>Bear</t>
        </is>
      </c>
      <c r="C46" s="3" t="inlineStr">
        <is>
          <t>Anthropic</t>
        </is>
      </c>
      <c r="D46" s="3" t="n">
        <v>2030</v>
      </c>
      <c r="E46" s="3" t="inlineStr">
        <is>
          <t>Amazon Ridgeland</t>
        </is>
      </c>
      <c r="F46" s="3" t="inlineStr">
        <is>
          <t>Amazon</t>
        </is>
      </c>
      <c r="G46" s="3" t="inlineStr">
        <is>
          <t>United States</t>
        </is>
      </c>
      <c r="H46" s="25" t="n">
        <v>840</v>
      </c>
      <c r="I46" s="17" t="n">
        <v>1</v>
      </c>
      <c r="J46" s="17" t="n">
        <v>0.64</v>
      </c>
      <c r="K46" s="26" t="n">
        <v>0.36</v>
      </c>
      <c r="L46" s="3" t="inlineStr">
        <is>
          <t>2028-09-29</t>
        </is>
      </c>
      <c r="M46" s="27" t="n">
        <v>228</v>
      </c>
      <c r="N46" s="27" t="n">
        <v>840</v>
      </c>
      <c r="O46" s="3" t="inlineStr">
        <is>
          <t>speculative</t>
        </is>
      </c>
      <c r="P46" s="3" t="inlineStr">
        <is>
          <t>Trainium2</t>
        </is>
      </c>
      <c r="Q46" s="3" t="inlineStr">
        <is>
          <t>epoch_user_site_equal_split_seed</t>
        </is>
      </c>
      <c r="R46" s="3" t="inlineStr">
        <is>
          <t>SRC_EPOCH_AI_DATA_CENTERS; EPOCH_NORMALIZED_USER_SITES</t>
        </is>
      </c>
      <c r="S46" s="3" t="inlineStr">
        <is>
          <t>Capacity weight is used only to weight accelerator mix, not to overwrite company total power in 02_Inputs.</t>
        </is>
      </c>
    </row>
    <row r="47">
      <c r="A47" s="3" t="inlineStr">
        <is>
          <t>Base|Anthropic|2026|Amazon Ridgeland</t>
        </is>
      </c>
      <c r="B47" s="3" t="inlineStr">
        <is>
          <t>Base</t>
        </is>
      </c>
      <c r="C47" s="3" t="inlineStr">
        <is>
          <t>Anthropic</t>
        </is>
      </c>
      <c r="D47" s="3" t="n">
        <v>2026</v>
      </c>
      <c r="E47" s="3" t="inlineStr">
        <is>
          <t>Amazon Ridgeland</t>
        </is>
      </c>
      <c r="F47" s="3" t="inlineStr">
        <is>
          <t>Amazon</t>
        </is>
      </c>
      <c r="G47" s="3" t="inlineStr">
        <is>
          <t>United States</t>
        </is>
      </c>
      <c r="H47" s="25" t="n">
        <v>228</v>
      </c>
      <c r="I47" s="17" t="n">
        <v>1</v>
      </c>
      <c r="J47" s="17" t="n">
        <v>0.52</v>
      </c>
      <c r="K47" s="26" t="n">
        <v>0.48</v>
      </c>
      <c r="L47" s="3" t="inlineStr">
        <is>
          <t>2028-09-29</t>
        </is>
      </c>
      <c r="M47" s="27" t="n">
        <v>228</v>
      </c>
      <c r="N47" s="27" t="n">
        <v>840</v>
      </c>
      <c r="O47" s="3" t="inlineStr">
        <is>
          <t>speculative</t>
        </is>
      </c>
      <c r="P47" s="3" t="inlineStr">
        <is>
          <t>Trainium2</t>
        </is>
      </c>
      <c r="Q47" s="3" t="inlineStr">
        <is>
          <t>epoch_user_site_equal_split_seed</t>
        </is>
      </c>
      <c r="R47" s="3" t="inlineStr">
        <is>
          <t>SRC_EPOCH_AI_DATA_CENTERS; EPOCH_NORMALIZED_USER_SITES</t>
        </is>
      </c>
      <c r="S47" s="3" t="inlineStr">
        <is>
          <t>Capacity weight is used only to weight accelerator mix, not to overwrite company total power in 02_Inputs.</t>
        </is>
      </c>
    </row>
    <row r="48">
      <c r="A48" s="3" t="inlineStr">
        <is>
          <t>Base|Anthropic|2027|Amazon Ridgeland</t>
        </is>
      </c>
      <c r="B48" s="3" t="inlineStr">
        <is>
          <t>Base</t>
        </is>
      </c>
      <c r="C48" s="3" t="inlineStr">
        <is>
          <t>Anthropic</t>
        </is>
      </c>
      <c r="D48" s="3" t="n">
        <v>2027</v>
      </c>
      <c r="E48" s="3" t="inlineStr">
        <is>
          <t>Amazon Ridgeland</t>
        </is>
      </c>
      <c r="F48" s="3" t="inlineStr">
        <is>
          <t>Amazon</t>
        </is>
      </c>
      <c r="G48" s="3" t="inlineStr">
        <is>
          <t>United States</t>
        </is>
      </c>
      <c r="H48" s="25" t="n">
        <v>228</v>
      </c>
      <c r="I48" s="17" t="n">
        <v>1</v>
      </c>
      <c r="J48" s="17" t="n">
        <v>0.575</v>
      </c>
      <c r="K48" s="26" t="n">
        <v>0.425</v>
      </c>
      <c r="L48" s="3" t="inlineStr">
        <is>
          <t>2028-09-29</t>
        </is>
      </c>
      <c r="M48" s="27" t="n">
        <v>228</v>
      </c>
      <c r="N48" s="27" t="n">
        <v>840</v>
      </c>
      <c r="O48" s="3" t="inlineStr">
        <is>
          <t>speculative</t>
        </is>
      </c>
      <c r="P48" s="3" t="inlineStr">
        <is>
          <t>Trainium2</t>
        </is>
      </c>
      <c r="Q48" s="3" t="inlineStr">
        <is>
          <t>epoch_user_site_equal_split_seed</t>
        </is>
      </c>
      <c r="R48" s="3" t="inlineStr">
        <is>
          <t>SRC_EPOCH_AI_DATA_CENTERS; EPOCH_NORMALIZED_USER_SITES</t>
        </is>
      </c>
      <c r="S48" s="3" t="inlineStr">
        <is>
          <t>Capacity weight is used only to weight accelerator mix, not to overwrite company total power in 02_Inputs.</t>
        </is>
      </c>
    </row>
    <row r="49">
      <c r="A49" s="3" t="inlineStr">
        <is>
          <t>Base|Anthropic|2028|Amazon Ridgeland</t>
        </is>
      </c>
      <c r="B49" s="3" t="inlineStr">
        <is>
          <t>Base</t>
        </is>
      </c>
      <c r="C49" s="3" t="inlineStr">
        <is>
          <t>Anthropic</t>
        </is>
      </c>
      <c r="D49" s="3" t="n">
        <v>2028</v>
      </c>
      <c r="E49" s="3" t="inlineStr">
        <is>
          <t>Amazon Ridgeland</t>
        </is>
      </c>
      <c r="F49" s="3" t="inlineStr">
        <is>
          <t>Amazon</t>
        </is>
      </c>
      <c r="G49" s="3" t="inlineStr">
        <is>
          <t>United States</t>
        </is>
      </c>
      <c r="H49" s="25" t="n">
        <v>840</v>
      </c>
      <c r="I49" s="17" t="n">
        <v>1</v>
      </c>
      <c r="J49" s="17" t="n">
        <v>0.63</v>
      </c>
      <c r="K49" s="26" t="n">
        <v>0.37</v>
      </c>
      <c r="L49" s="3" t="inlineStr">
        <is>
          <t>2028-09-29</t>
        </is>
      </c>
      <c r="M49" s="27" t="n">
        <v>228</v>
      </c>
      <c r="N49" s="27" t="n">
        <v>840</v>
      </c>
      <c r="O49" s="3" t="inlineStr">
        <is>
          <t>speculative</t>
        </is>
      </c>
      <c r="P49" s="3" t="inlineStr">
        <is>
          <t>Trainium2</t>
        </is>
      </c>
      <c r="Q49" s="3" t="inlineStr">
        <is>
          <t>epoch_user_site_equal_split_seed</t>
        </is>
      </c>
      <c r="R49" s="3" t="inlineStr">
        <is>
          <t>SRC_EPOCH_AI_DATA_CENTERS; EPOCH_NORMALIZED_USER_SITES</t>
        </is>
      </c>
      <c r="S49" s="3" t="inlineStr">
        <is>
          <t>Capacity weight is used only to weight accelerator mix, not to overwrite company total power in 02_Inputs.</t>
        </is>
      </c>
    </row>
    <row r="50">
      <c r="A50" s="3" t="inlineStr">
        <is>
          <t>Base|Anthropic|2029|Amazon Ridgeland</t>
        </is>
      </c>
      <c r="B50" s="3" t="inlineStr">
        <is>
          <t>Base</t>
        </is>
      </c>
      <c r="C50" s="3" t="inlineStr">
        <is>
          <t>Anthropic</t>
        </is>
      </c>
      <c r="D50" s="3" t="n">
        <v>2029</v>
      </c>
      <c r="E50" s="3" t="inlineStr">
        <is>
          <t>Amazon Ridgeland</t>
        </is>
      </c>
      <c r="F50" s="3" t="inlineStr">
        <is>
          <t>Amazon</t>
        </is>
      </c>
      <c r="G50" s="3" t="inlineStr">
        <is>
          <t>United States</t>
        </is>
      </c>
      <c r="H50" s="25" t="n">
        <v>840</v>
      </c>
      <c r="I50" s="17" t="n">
        <v>1</v>
      </c>
      <c r="J50" s="17" t="n">
        <v>0.6850000000000001</v>
      </c>
      <c r="K50" s="26" t="n">
        <v>0.315</v>
      </c>
      <c r="L50" s="3" t="inlineStr">
        <is>
          <t>2028-09-29</t>
        </is>
      </c>
      <c r="M50" s="27" t="n">
        <v>228</v>
      </c>
      <c r="N50" s="27" t="n">
        <v>840</v>
      </c>
      <c r="O50" s="3" t="inlineStr">
        <is>
          <t>speculative</t>
        </is>
      </c>
      <c r="P50" s="3" t="inlineStr">
        <is>
          <t>Trainium2</t>
        </is>
      </c>
      <c r="Q50" s="3" t="inlineStr">
        <is>
          <t>epoch_user_site_equal_split_seed</t>
        </is>
      </c>
      <c r="R50" s="3" t="inlineStr">
        <is>
          <t>SRC_EPOCH_AI_DATA_CENTERS; EPOCH_NORMALIZED_USER_SITES</t>
        </is>
      </c>
      <c r="S50" s="3" t="inlineStr">
        <is>
          <t>Capacity weight is used only to weight accelerator mix, not to overwrite company total power in 02_Inputs.</t>
        </is>
      </c>
    </row>
    <row r="51">
      <c r="A51" s="3" t="inlineStr">
        <is>
          <t>Base|Anthropic|2030|Amazon Ridgeland</t>
        </is>
      </c>
      <c r="B51" s="3" t="inlineStr">
        <is>
          <t>Base</t>
        </is>
      </c>
      <c r="C51" s="3" t="inlineStr">
        <is>
          <t>Anthropic</t>
        </is>
      </c>
      <c r="D51" s="3" t="n">
        <v>2030</v>
      </c>
      <c r="E51" s="3" t="inlineStr">
        <is>
          <t>Amazon Ridgeland</t>
        </is>
      </c>
      <c r="F51" s="3" t="inlineStr">
        <is>
          <t>Amazon</t>
        </is>
      </c>
      <c r="G51" s="3" t="inlineStr">
        <is>
          <t>United States</t>
        </is>
      </c>
      <c r="H51" s="25" t="n">
        <v>840</v>
      </c>
      <c r="I51" s="17" t="n">
        <v>1</v>
      </c>
      <c r="J51" s="17" t="n">
        <v>0.74</v>
      </c>
      <c r="K51" s="26" t="n">
        <v>0.26</v>
      </c>
      <c r="L51" s="3" t="inlineStr">
        <is>
          <t>2028-09-29</t>
        </is>
      </c>
      <c r="M51" s="27" t="n">
        <v>228</v>
      </c>
      <c r="N51" s="27" t="n">
        <v>840</v>
      </c>
      <c r="O51" s="3" t="inlineStr">
        <is>
          <t>speculative</t>
        </is>
      </c>
      <c r="P51" s="3" t="inlineStr">
        <is>
          <t>Trainium2</t>
        </is>
      </c>
      <c r="Q51" s="3" t="inlineStr">
        <is>
          <t>epoch_user_site_equal_split_seed</t>
        </is>
      </c>
      <c r="R51" s="3" t="inlineStr">
        <is>
          <t>SRC_EPOCH_AI_DATA_CENTERS; EPOCH_NORMALIZED_USER_SITES</t>
        </is>
      </c>
      <c r="S51" s="3" t="inlineStr">
        <is>
          <t>Capacity weight is used only to weight accelerator mix, not to overwrite company total power in 02_Inputs.</t>
        </is>
      </c>
    </row>
    <row r="52">
      <c r="A52" s="3" t="inlineStr">
        <is>
          <t>Bull|Anthropic|2026|Amazon Ridgeland</t>
        </is>
      </c>
      <c r="B52" s="3" t="inlineStr">
        <is>
          <t>Bull</t>
        </is>
      </c>
      <c r="C52" s="3" t="inlineStr">
        <is>
          <t>Anthropic</t>
        </is>
      </c>
      <c r="D52" s="3" t="n">
        <v>2026</v>
      </c>
      <c r="E52" s="3" t="inlineStr">
        <is>
          <t>Amazon Ridgeland</t>
        </is>
      </c>
      <c r="F52" s="3" t="inlineStr">
        <is>
          <t>Amazon</t>
        </is>
      </c>
      <c r="G52" s="3" t="inlineStr">
        <is>
          <t>United States</t>
        </is>
      </c>
      <c r="H52" s="25" t="n">
        <v>228</v>
      </c>
      <c r="I52" s="17" t="n">
        <v>1</v>
      </c>
      <c r="J52" s="17" t="n">
        <v>0.57</v>
      </c>
      <c r="K52" s="26" t="n">
        <v>0.43</v>
      </c>
      <c r="L52" s="3" t="inlineStr">
        <is>
          <t>2028-09-29</t>
        </is>
      </c>
      <c r="M52" s="27" t="n">
        <v>228</v>
      </c>
      <c r="N52" s="27" t="n">
        <v>840</v>
      </c>
      <c r="O52" s="3" t="inlineStr">
        <is>
          <t>speculative</t>
        </is>
      </c>
      <c r="P52" s="3" t="inlineStr">
        <is>
          <t>Trainium2</t>
        </is>
      </c>
      <c r="Q52" s="3" t="inlineStr">
        <is>
          <t>epoch_user_site_equal_split_seed</t>
        </is>
      </c>
      <c r="R52" s="3" t="inlineStr">
        <is>
          <t>SRC_EPOCH_AI_DATA_CENTERS; EPOCH_NORMALIZED_USER_SITES</t>
        </is>
      </c>
      <c r="S52" s="3" t="inlineStr">
        <is>
          <t>Capacity weight is used only to weight accelerator mix, not to overwrite company total power in 02_Inputs.</t>
        </is>
      </c>
    </row>
    <row r="53">
      <c r="A53" s="3" t="inlineStr">
        <is>
          <t>Bull|Anthropic|2027|Amazon Ridgeland</t>
        </is>
      </c>
      <c r="B53" s="3" t="inlineStr">
        <is>
          <t>Bull</t>
        </is>
      </c>
      <c r="C53" s="3" t="inlineStr">
        <is>
          <t>Anthropic</t>
        </is>
      </c>
      <c r="D53" s="3" t="n">
        <v>2027</v>
      </c>
      <c r="E53" s="3" t="inlineStr">
        <is>
          <t>Amazon Ridgeland</t>
        </is>
      </c>
      <c r="F53" s="3" t="inlineStr">
        <is>
          <t>Amazon</t>
        </is>
      </c>
      <c r="G53" s="3" t="inlineStr">
        <is>
          <t>United States</t>
        </is>
      </c>
      <c r="H53" s="25" t="n">
        <v>228</v>
      </c>
      <c r="I53" s="17" t="n">
        <v>1</v>
      </c>
      <c r="J53" s="17" t="n">
        <v>0.632</v>
      </c>
      <c r="K53" s="26" t="n">
        <v>0.368</v>
      </c>
      <c r="L53" s="3" t="inlineStr">
        <is>
          <t>2028-09-29</t>
        </is>
      </c>
      <c r="M53" s="27" t="n">
        <v>228</v>
      </c>
      <c r="N53" s="27" t="n">
        <v>840</v>
      </c>
      <c r="O53" s="3" t="inlineStr">
        <is>
          <t>speculative</t>
        </is>
      </c>
      <c r="P53" s="3" t="inlineStr">
        <is>
          <t>Trainium2</t>
        </is>
      </c>
      <c r="Q53" s="3" t="inlineStr">
        <is>
          <t>epoch_user_site_equal_split_seed</t>
        </is>
      </c>
      <c r="R53" s="3" t="inlineStr">
        <is>
          <t>SRC_EPOCH_AI_DATA_CENTERS; EPOCH_NORMALIZED_USER_SITES</t>
        </is>
      </c>
      <c r="S53" s="3" t="inlineStr">
        <is>
          <t>Capacity weight is used only to weight accelerator mix, not to overwrite company total power in 02_Inputs.</t>
        </is>
      </c>
    </row>
    <row r="54">
      <c r="A54" s="3" t="inlineStr">
        <is>
          <t>Bull|Anthropic|2028|Amazon Ridgeland</t>
        </is>
      </c>
      <c r="B54" s="3" t="inlineStr">
        <is>
          <t>Bull</t>
        </is>
      </c>
      <c r="C54" s="3" t="inlineStr">
        <is>
          <t>Anthropic</t>
        </is>
      </c>
      <c r="D54" s="3" t="n">
        <v>2028</v>
      </c>
      <c r="E54" s="3" t="inlineStr">
        <is>
          <t>Amazon Ridgeland</t>
        </is>
      </c>
      <c r="F54" s="3" t="inlineStr">
        <is>
          <t>Amazon</t>
        </is>
      </c>
      <c r="G54" s="3" t="inlineStr">
        <is>
          <t>United States</t>
        </is>
      </c>
      <c r="H54" s="25" t="n">
        <v>840</v>
      </c>
      <c r="I54" s="17" t="n">
        <v>1</v>
      </c>
      <c r="J54" s="17" t="n">
        <v>0.695</v>
      </c>
      <c r="K54" s="26" t="n">
        <v>0.305</v>
      </c>
      <c r="L54" s="3" t="inlineStr">
        <is>
          <t>2028-09-29</t>
        </is>
      </c>
      <c r="M54" s="27" t="n">
        <v>228</v>
      </c>
      <c r="N54" s="27" t="n">
        <v>840</v>
      </c>
      <c r="O54" s="3" t="inlineStr">
        <is>
          <t>speculative</t>
        </is>
      </c>
      <c r="P54" s="3" t="inlineStr">
        <is>
          <t>Trainium2</t>
        </is>
      </c>
      <c r="Q54" s="3" t="inlineStr">
        <is>
          <t>epoch_user_site_equal_split_seed</t>
        </is>
      </c>
      <c r="R54" s="3" t="inlineStr">
        <is>
          <t>SRC_EPOCH_AI_DATA_CENTERS; EPOCH_NORMALIZED_USER_SITES</t>
        </is>
      </c>
      <c r="S54" s="3" t="inlineStr">
        <is>
          <t>Capacity weight is used only to weight accelerator mix, not to overwrite company total power in 02_Inputs.</t>
        </is>
      </c>
    </row>
    <row r="55">
      <c r="A55" s="3" t="inlineStr">
        <is>
          <t>Bull|Anthropic|2029|Amazon Ridgeland</t>
        </is>
      </c>
      <c r="B55" s="3" t="inlineStr">
        <is>
          <t>Bull</t>
        </is>
      </c>
      <c r="C55" s="3" t="inlineStr">
        <is>
          <t>Anthropic</t>
        </is>
      </c>
      <c r="D55" s="3" t="n">
        <v>2029</v>
      </c>
      <c r="E55" s="3" t="inlineStr">
        <is>
          <t>Amazon Ridgeland</t>
        </is>
      </c>
      <c r="F55" s="3" t="inlineStr">
        <is>
          <t>Amazon</t>
        </is>
      </c>
      <c r="G55" s="3" t="inlineStr">
        <is>
          <t>United States</t>
        </is>
      </c>
      <c r="H55" s="25" t="n">
        <v>840</v>
      </c>
      <c r="I55" s="17" t="n">
        <v>1</v>
      </c>
      <c r="J55" s="17" t="n">
        <v>0.758</v>
      </c>
      <c r="K55" s="26" t="n">
        <v>0.242</v>
      </c>
      <c r="L55" s="3" t="inlineStr">
        <is>
          <t>2028-09-29</t>
        </is>
      </c>
      <c r="M55" s="27" t="n">
        <v>228</v>
      </c>
      <c r="N55" s="27" t="n">
        <v>840</v>
      </c>
      <c r="O55" s="3" t="inlineStr">
        <is>
          <t>speculative</t>
        </is>
      </c>
      <c r="P55" s="3" t="inlineStr">
        <is>
          <t>Trainium2</t>
        </is>
      </c>
      <c r="Q55" s="3" t="inlineStr">
        <is>
          <t>epoch_user_site_equal_split_seed</t>
        </is>
      </c>
      <c r="R55" s="3" t="inlineStr">
        <is>
          <t>SRC_EPOCH_AI_DATA_CENTERS; EPOCH_NORMALIZED_USER_SITES</t>
        </is>
      </c>
      <c r="S55" s="3" t="inlineStr">
        <is>
          <t>Capacity weight is used only to weight accelerator mix, not to overwrite company total power in 02_Inputs.</t>
        </is>
      </c>
    </row>
    <row r="56">
      <c r="A56" s="3" t="inlineStr">
        <is>
          <t>Bull|Anthropic|2030|Amazon Ridgeland</t>
        </is>
      </c>
      <c r="B56" s="3" t="inlineStr">
        <is>
          <t>Bull</t>
        </is>
      </c>
      <c r="C56" s="3" t="inlineStr">
        <is>
          <t>Anthropic</t>
        </is>
      </c>
      <c r="D56" s="3" t="n">
        <v>2030</v>
      </c>
      <c r="E56" s="3" t="inlineStr">
        <is>
          <t>Amazon Ridgeland</t>
        </is>
      </c>
      <c r="F56" s="3" t="inlineStr">
        <is>
          <t>Amazon</t>
        </is>
      </c>
      <c r="G56" s="3" t="inlineStr">
        <is>
          <t>United States</t>
        </is>
      </c>
      <c r="H56" s="25" t="n">
        <v>840</v>
      </c>
      <c r="I56" s="17" t="n">
        <v>1</v>
      </c>
      <c r="J56" s="17" t="n">
        <v>0.82</v>
      </c>
      <c r="K56" s="26" t="n">
        <v>0.18</v>
      </c>
      <c r="L56" s="3" t="inlineStr">
        <is>
          <t>2028-09-29</t>
        </is>
      </c>
      <c r="M56" s="27" t="n">
        <v>228</v>
      </c>
      <c r="N56" s="27" t="n">
        <v>840</v>
      </c>
      <c r="O56" s="3" t="inlineStr">
        <is>
          <t>speculative</t>
        </is>
      </c>
      <c r="P56" s="3" t="inlineStr">
        <is>
          <t>Trainium2</t>
        </is>
      </c>
      <c r="Q56" s="3" t="inlineStr">
        <is>
          <t>epoch_user_site_equal_split_seed</t>
        </is>
      </c>
      <c r="R56" s="3" t="inlineStr">
        <is>
          <t>SRC_EPOCH_AI_DATA_CENTERS; EPOCH_NORMALIZED_USER_SITES</t>
        </is>
      </c>
      <c r="S56" s="3" t="inlineStr">
        <is>
          <t>Capacity weight is used only to weight accelerator mix, not to overwrite company total power in 02_Inputs.</t>
        </is>
      </c>
    </row>
    <row r="57">
      <c r="A57" s="3" t="inlineStr">
        <is>
          <t>Grid-Constrained / Efficiency-Upside|Anthropic|2026|Amazon Ridgeland</t>
        </is>
      </c>
      <c r="B57" s="3" t="inlineStr">
        <is>
          <t>Grid-Constrained / Efficiency-Upside</t>
        </is>
      </c>
      <c r="C57" s="3" t="inlineStr">
        <is>
          <t>Anthropic</t>
        </is>
      </c>
      <c r="D57" s="3" t="n">
        <v>2026</v>
      </c>
      <c r="E57" s="3" t="inlineStr">
        <is>
          <t>Amazon Ridgeland</t>
        </is>
      </c>
      <c r="F57" s="3" t="inlineStr">
        <is>
          <t>Amazon</t>
        </is>
      </c>
      <c r="G57" s="3" t="inlineStr">
        <is>
          <t>United States</t>
        </is>
      </c>
      <c r="H57" s="25" t="n">
        <v>228</v>
      </c>
      <c r="I57" s="17" t="n">
        <v>1</v>
      </c>
      <c r="J57" s="17" t="n">
        <v>0.54</v>
      </c>
      <c r="K57" s="26" t="n">
        <v>0.46</v>
      </c>
      <c r="L57" s="3" t="inlineStr">
        <is>
          <t>2028-09-29</t>
        </is>
      </c>
      <c r="M57" s="27" t="n">
        <v>228</v>
      </c>
      <c r="N57" s="27" t="n">
        <v>840</v>
      </c>
      <c r="O57" s="3" t="inlineStr">
        <is>
          <t>speculative</t>
        </is>
      </c>
      <c r="P57" s="3" t="inlineStr">
        <is>
          <t>Trainium2</t>
        </is>
      </c>
      <c r="Q57" s="3" t="inlineStr">
        <is>
          <t>epoch_user_site_equal_split_seed</t>
        </is>
      </c>
      <c r="R57" s="3" t="inlineStr">
        <is>
          <t>SRC_EPOCH_AI_DATA_CENTERS; EPOCH_NORMALIZED_USER_SITES</t>
        </is>
      </c>
      <c r="S57" s="3" t="inlineStr">
        <is>
          <t>Capacity weight is used only to weight accelerator mix, not to overwrite company total power in 02_Inputs.</t>
        </is>
      </c>
    </row>
    <row r="58">
      <c r="A58" s="3" t="inlineStr">
        <is>
          <t>Grid-Constrained / Efficiency-Upside|Anthropic|2027|Amazon Ridgeland</t>
        </is>
      </c>
      <c r="B58" s="3" t="inlineStr">
        <is>
          <t>Grid-Constrained / Efficiency-Upside</t>
        </is>
      </c>
      <c r="C58" s="3" t="inlineStr">
        <is>
          <t>Anthropic</t>
        </is>
      </c>
      <c r="D58" s="3" t="n">
        <v>2027</v>
      </c>
      <c r="E58" s="3" t="inlineStr">
        <is>
          <t>Amazon Ridgeland</t>
        </is>
      </c>
      <c r="F58" s="3" t="inlineStr">
        <is>
          <t>Amazon</t>
        </is>
      </c>
      <c r="G58" s="3" t="inlineStr">
        <is>
          <t>United States</t>
        </is>
      </c>
      <c r="H58" s="25" t="n">
        <v>228</v>
      </c>
      <c r="I58" s="17" t="n">
        <v>1</v>
      </c>
      <c r="J58" s="17" t="n">
        <v>0.6</v>
      </c>
      <c r="K58" s="26" t="n">
        <v>0.4</v>
      </c>
      <c r="L58" s="3" t="inlineStr">
        <is>
          <t>2028-09-29</t>
        </is>
      </c>
      <c r="M58" s="27" t="n">
        <v>228</v>
      </c>
      <c r="N58" s="27" t="n">
        <v>840</v>
      </c>
      <c r="O58" s="3" t="inlineStr">
        <is>
          <t>speculative</t>
        </is>
      </c>
      <c r="P58" s="3" t="inlineStr">
        <is>
          <t>Trainium2</t>
        </is>
      </c>
      <c r="Q58" s="3" t="inlineStr">
        <is>
          <t>epoch_user_site_equal_split_seed</t>
        </is>
      </c>
      <c r="R58" s="3" t="inlineStr">
        <is>
          <t>SRC_EPOCH_AI_DATA_CENTERS; EPOCH_NORMALIZED_USER_SITES</t>
        </is>
      </c>
      <c r="S58" s="3" t="inlineStr">
        <is>
          <t>Capacity weight is used only to weight accelerator mix, not to overwrite company total power in 02_Inputs.</t>
        </is>
      </c>
    </row>
    <row r="59">
      <c r="A59" s="3" t="inlineStr">
        <is>
          <t>Grid-Constrained / Efficiency-Upside|Anthropic|2028|Amazon Ridgeland</t>
        </is>
      </c>
      <c r="B59" s="3" t="inlineStr">
        <is>
          <t>Grid-Constrained / Efficiency-Upside</t>
        </is>
      </c>
      <c r="C59" s="3" t="inlineStr">
        <is>
          <t>Anthropic</t>
        </is>
      </c>
      <c r="D59" s="3" t="n">
        <v>2028</v>
      </c>
      <c r="E59" s="3" t="inlineStr">
        <is>
          <t>Amazon Ridgeland</t>
        </is>
      </c>
      <c r="F59" s="3" t="inlineStr">
        <is>
          <t>Amazon</t>
        </is>
      </c>
      <c r="G59" s="3" t="inlineStr">
        <is>
          <t>United States</t>
        </is>
      </c>
      <c r="H59" s="25" t="n">
        <v>840</v>
      </c>
      <c r="I59" s="17" t="n">
        <v>1</v>
      </c>
      <c r="J59" s="17" t="n">
        <v>0.66</v>
      </c>
      <c r="K59" s="26" t="n">
        <v>0.34</v>
      </c>
      <c r="L59" s="3" t="inlineStr">
        <is>
          <t>2028-09-29</t>
        </is>
      </c>
      <c r="M59" s="27" t="n">
        <v>228</v>
      </c>
      <c r="N59" s="27" t="n">
        <v>840</v>
      </c>
      <c r="O59" s="3" t="inlineStr">
        <is>
          <t>speculative</t>
        </is>
      </c>
      <c r="P59" s="3" t="inlineStr">
        <is>
          <t>Trainium2</t>
        </is>
      </c>
      <c r="Q59" s="3" t="inlineStr">
        <is>
          <t>epoch_user_site_equal_split_seed</t>
        </is>
      </c>
      <c r="R59" s="3" t="inlineStr">
        <is>
          <t>SRC_EPOCH_AI_DATA_CENTERS; EPOCH_NORMALIZED_USER_SITES</t>
        </is>
      </c>
      <c r="S59" s="3" t="inlineStr">
        <is>
          <t>Capacity weight is used only to weight accelerator mix, not to overwrite company total power in 02_Inputs.</t>
        </is>
      </c>
    </row>
    <row r="60">
      <c r="A60" s="3" t="inlineStr">
        <is>
          <t>Grid-Constrained / Efficiency-Upside|Anthropic|2029|Amazon Ridgeland</t>
        </is>
      </c>
      <c r="B60" s="3" t="inlineStr">
        <is>
          <t>Grid-Constrained / Efficiency-Upside</t>
        </is>
      </c>
      <c r="C60" s="3" t="inlineStr">
        <is>
          <t>Anthropic</t>
        </is>
      </c>
      <c r="D60" s="3" t="n">
        <v>2029</v>
      </c>
      <c r="E60" s="3" t="inlineStr">
        <is>
          <t>Amazon Ridgeland</t>
        </is>
      </c>
      <c r="F60" s="3" t="inlineStr">
        <is>
          <t>Amazon</t>
        </is>
      </c>
      <c r="G60" s="3" t="inlineStr">
        <is>
          <t>United States</t>
        </is>
      </c>
      <c r="H60" s="25" t="n">
        <v>840</v>
      </c>
      <c r="I60" s="17" t="n">
        <v>1</v>
      </c>
      <c r="J60" s="17" t="n">
        <v>0.72</v>
      </c>
      <c r="K60" s="26" t="n">
        <v>0.28</v>
      </c>
      <c r="L60" s="3" t="inlineStr">
        <is>
          <t>2028-09-29</t>
        </is>
      </c>
      <c r="M60" s="27" t="n">
        <v>228</v>
      </c>
      <c r="N60" s="27" t="n">
        <v>840</v>
      </c>
      <c r="O60" s="3" t="inlineStr">
        <is>
          <t>speculative</t>
        </is>
      </c>
      <c r="P60" s="3" t="inlineStr">
        <is>
          <t>Trainium2</t>
        </is>
      </c>
      <c r="Q60" s="3" t="inlineStr">
        <is>
          <t>epoch_user_site_equal_split_seed</t>
        </is>
      </c>
      <c r="R60" s="3" t="inlineStr">
        <is>
          <t>SRC_EPOCH_AI_DATA_CENTERS; EPOCH_NORMALIZED_USER_SITES</t>
        </is>
      </c>
      <c r="S60" s="3" t="inlineStr">
        <is>
          <t>Capacity weight is used only to weight accelerator mix, not to overwrite company total power in 02_Inputs.</t>
        </is>
      </c>
    </row>
    <row r="61">
      <c r="A61" s="3" t="inlineStr">
        <is>
          <t>Grid-Constrained / Efficiency-Upside|Anthropic|2030|Amazon Ridgeland</t>
        </is>
      </c>
      <c r="B61" s="3" t="inlineStr">
        <is>
          <t>Grid-Constrained / Efficiency-Upside</t>
        </is>
      </c>
      <c r="C61" s="3" t="inlineStr">
        <is>
          <t>Anthropic</t>
        </is>
      </c>
      <c r="D61" s="3" t="n">
        <v>2030</v>
      </c>
      <c r="E61" s="3" t="inlineStr">
        <is>
          <t>Amazon Ridgeland</t>
        </is>
      </c>
      <c r="F61" s="3" t="inlineStr">
        <is>
          <t>Amazon</t>
        </is>
      </c>
      <c r="G61" s="3" t="inlineStr">
        <is>
          <t>United States</t>
        </is>
      </c>
      <c r="H61" s="25" t="n">
        <v>840</v>
      </c>
      <c r="I61" s="17" t="n">
        <v>1</v>
      </c>
      <c r="J61" s="17" t="n">
        <v>0.78</v>
      </c>
      <c r="K61" s="26" t="n">
        <v>0.22</v>
      </c>
      <c r="L61" s="3" t="inlineStr">
        <is>
          <t>2028-09-29</t>
        </is>
      </c>
      <c r="M61" s="27" t="n">
        <v>228</v>
      </c>
      <c r="N61" s="27" t="n">
        <v>840</v>
      </c>
      <c r="O61" s="3" t="inlineStr">
        <is>
          <t>speculative</t>
        </is>
      </c>
      <c r="P61" s="3" t="inlineStr">
        <is>
          <t>Trainium2</t>
        </is>
      </c>
      <c r="Q61" s="3" t="inlineStr">
        <is>
          <t>epoch_user_site_equal_split_seed</t>
        </is>
      </c>
      <c r="R61" s="3" t="inlineStr">
        <is>
          <t>SRC_EPOCH_AI_DATA_CENTERS; EPOCH_NORMALIZED_USER_SITES</t>
        </is>
      </c>
      <c r="S61" s="3" t="inlineStr">
        <is>
          <t>Capacity weight is used only to weight accelerator mix, not to overwrite company total power in 02_Inputs.</t>
        </is>
      </c>
    </row>
    <row r="62">
      <c r="A62" s="3" t="inlineStr">
        <is>
          <t>Bear|Anthropic|2026|Anthropic-Amazon New Carlisle</t>
        </is>
      </c>
      <c r="B62" s="3" t="inlineStr">
        <is>
          <t>Bear</t>
        </is>
      </c>
      <c r="C62" s="3" t="inlineStr">
        <is>
          <t>Anthropic</t>
        </is>
      </c>
      <c r="D62" s="3" t="n">
        <v>2026</v>
      </c>
      <c r="E62" s="3" t="inlineStr">
        <is>
          <t>Anthropic-Amazon New Carlisle</t>
        </is>
      </c>
      <c r="F62" s="3" t="inlineStr">
        <is>
          <t>Amazon</t>
        </is>
      </c>
      <c r="G62" s="3" t="inlineStr">
        <is>
          <t>United States</t>
        </is>
      </c>
      <c r="H62" s="25" t="n">
        <v>910</v>
      </c>
      <c r="I62" s="17" t="n">
        <v>1</v>
      </c>
      <c r="J62" s="17" t="n">
        <v>0.44</v>
      </c>
      <c r="K62" s="26" t="n">
        <v>0.5600000000000001</v>
      </c>
      <c r="L62" s="3" t="inlineStr">
        <is>
          <t>2028-03-17</t>
        </is>
      </c>
      <c r="M62" s="27" t="n">
        <v>910</v>
      </c>
      <c r="N62" s="27" t="n">
        <v>1925</v>
      </c>
      <c r="O62" s="3" t="inlineStr">
        <is>
          <t>confident</t>
        </is>
      </c>
      <c r="P62" s="3" t="inlineStr">
        <is>
          <t>Trainium2</t>
        </is>
      </c>
      <c r="Q62" s="3" t="inlineStr">
        <is>
          <t>epoch_user_site_equal_split_seed</t>
        </is>
      </c>
      <c r="R62" s="3" t="inlineStr">
        <is>
          <t>SRC_EPOCH_AI_DATA_CENTERS; EPOCH_NORMALIZED_USER_SITES</t>
        </is>
      </c>
      <c r="S62" s="3" t="inlineStr">
        <is>
          <t>Capacity weight is used only to weight accelerator mix, not to overwrite company total power in 02_Inputs.</t>
        </is>
      </c>
    </row>
    <row r="63">
      <c r="A63" s="3" t="inlineStr">
        <is>
          <t>Bear|Anthropic|2027|Anthropic-Amazon New Carlisle</t>
        </is>
      </c>
      <c r="B63" s="3" t="inlineStr">
        <is>
          <t>Bear</t>
        </is>
      </c>
      <c r="C63" s="3" t="inlineStr">
        <is>
          <t>Anthropic</t>
        </is>
      </c>
      <c r="D63" s="3" t="n">
        <v>2027</v>
      </c>
      <c r="E63" s="3" t="inlineStr">
        <is>
          <t>Anthropic-Amazon New Carlisle</t>
        </is>
      </c>
      <c r="F63" s="3" t="inlineStr">
        <is>
          <t>Amazon</t>
        </is>
      </c>
      <c r="G63" s="3" t="inlineStr">
        <is>
          <t>United States</t>
        </is>
      </c>
      <c r="H63" s="25" t="n">
        <v>910</v>
      </c>
      <c r="I63" s="17" t="n">
        <v>1</v>
      </c>
      <c r="J63" s="17" t="n">
        <v>0.49</v>
      </c>
      <c r="K63" s="26" t="n">
        <v>0.51</v>
      </c>
      <c r="L63" s="3" t="inlineStr">
        <is>
          <t>2028-03-17</t>
        </is>
      </c>
      <c r="M63" s="27" t="n">
        <v>910</v>
      </c>
      <c r="N63" s="27" t="n">
        <v>1925</v>
      </c>
      <c r="O63" s="3" t="inlineStr">
        <is>
          <t>confident</t>
        </is>
      </c>
      <c r="P63" s="3" t="inlineStr">
        <is>
          <t>Trainium2</t>
        </is>
      </c>
      <c r="Q63" s="3" t="inlineStr">
        <is>
          <t>epoch_user_site_equal_split_seed</t>
        </is>
      </c>
      <c r="R63" s="3" t="inlineStr">
        <is>
          <t>SRC_EPOCH_AI_DATA_CENTERS; EPOCH_NORMALIZED_USER_SITES</t>
        </is>
      </c>
      <c r="S63" s="3" t="inlineStr">
        <is>
          <t>Capacity weight is used only to weight accelerator mix, not to overwrite company total power in 02_Inputs.</t>
        </is>
      </c>
    </row>
    <row r="64">
      <c r="A64" s="3" t="inlineStr">
        <is>
          <t>Bear|Anthropic|2028|Anthropic-Amazon New Carlisle</t>
        </is>
      </c>
      <c r="B64" s="3" t="inlineStr">
        <is>
          <t>Bear</t>
        </is>
      </c>
      <c r="C64" s="3" t="inlineStr">
        <is>
          <t>Anthropic</t>
        </is>
      </c>
      <c r="D64" s="3" t="n">
        <v>2028</v>
      </c>
      <c r="E64" s="3" t="inlineStr">
        <is>
          <t>Anthropic-Amazon New Carlisle</t>
        </is>
      </c>
      <c r="F64" s="3" t="inlineStr">
        <is>
          <t>Amazon</t>
        </is>
      </c>
      <c r="G64" s="3" t="inlineStr">
        <is>
          <t>United States</t>
        </is>
      </c>
      <c r="H64" s="25" t="n">
        <v>1925</v>
      </c>
      <c r="I64" s="17" t="n">
        <v>1</v>
      </c>
      <c r="J64" s="17" t="n">
        <v>0.54</v>
      </c>
      <c r="K64" s="26" t="n">
        <v>0.46</v>
      </c>
      <c r="L64" s="3" t="inlineStr">
        <is>
          <t>2028-03-17</t>
        </is>
      </c>
      <c r="M64" s="27" t="n">
        <v>910</v>
      </c>
      <c r="N64" s="27" t="n">
        <v>1925</v>
      </c>
      <c r="O64" s="3" t="inlineStr">
        <is>
          <t>confident</t>
        </is>
      </c>
      <c r="P64" s="3" t="inlineStr">
        <is>
          <t>Trainium2</t>
        </is>
      </c>
      <c r="Q64" s="3" t="inlineStr">
        <is>
          <t>epoch_user_site_equal_split_seed</t>
        </is>
      </c>
      <c r="R64" s="3" t="inlineStr">
        <is>
          <t>SRC_EPOCH_AI_DATA_CENTERS; EPOCH_NORMALIZED_USER_SITES</t>
        </is>
      </c>
      <c r="S64" s="3" t="inlineStr">
        <is>
          <t>Capacity weight is used only to weight accelerator mix, not to overwrite company total power in 02_Inputs.</t>
        </is>
      </c>
    </row>
    <row r="65">
      <c r="A65" s="3" t="inlineStr">
        <is>
          <t>Bear|Anthropic|2029|Anthropic-Amazon New Carlisle</t>
        </is>
      </c>
      <c r="B65" s="3" t="inlineStr">
        <is>
          <t>Bear</t>
        </is>
      </c>
      <c r="C65" s="3" t="inlineStr">
        <is>
          <t>Anthropic</t>
        </is>
      </c>
      <c r="D65" s="3" t="n">
        <v>2029</v>
      </c>
      <c r="E65" s="3" t="inlineStr">
        <is>
          <t>Anthropic-Amazon New Carlisle</t>
        </is>
      </c>
      <c r="F65" s="3" t="inlineStr">
        <is>
          <t>Amazon</t>
        </is>
      </c>
      <c r="G65" s="3" t="inlineStr">
        <is>
          <t>United States</t>
        </is>
      </c>
      <c r="H65" s="25" t="n">
        <v>1925</v>
      </c>
      <c r="I65" s="17" t="n">
        <v>1</v>
      </c>
      <c r="J65" s="17" t="n">
        <v>0.59</v>
      </c>
      <c r="K65" s="26" t="n">
        <v>0.41</v>
      </c>
      <c r="L65" s="3" t="inlineStr">
        <is>
          <t>2028-03-17</t>
        </is>
      </c>
      <c r="M65" s="27" t="n">
        <v>910</v>
      </c>
      <c r="N65" s="27" t="n">
        <v>1925</v>
      </c>
      <c r="O65" s="3" t="inlineStr">
        <is>
          <t>confident</t>
        </is>
      </c>
      <c r="P65" s="3" t="inlineStr">
        <is>
          <t>Trainium2</t>
        </is>
      </c>
      <c r="Q65" s="3" t="inlineStr">
        <is>
          <t>epoch_user_site_equal_split_seed</t>
        </is>
      </c>
      <c r="R65" s="3" t="inlineStr">
        <is>
          <t>SRC_EPOCH_AI_DATA_CENTERS; EPOCH_NORMALIZED_USER_SITES</t>
        </is>
      </c>
      <c r="S65" s="3" t="inlineStr">
        <is>
          <t>Capacity weight is used only to weight accelerator mix, not to overwrite company total power in 02_Inputs.</t>
        </is>
      </c>
    </row>
    <row r="66">
      <c r="A66" s="3" t="inlineStr">
        <is>
          <t>Bear|Anthropic|2030|Anthropic-Amazon New Carlisle</t>
        </is>
      </c>
      <c r="B66" s="3" t="inlineStr">
        <is>
          <t>Bear</t>
        </is>
      </c>
      <c r="C66" s="3" t="inlineStr">
        <is>
          <t>Anthropic</t>
        </is>
      </c>
      <c r="D66" s="3" t="n">
        <v>2030</v>
      </c>
      <c r="E66" s="3" t="inlineStr">
        <is>
          <t>Anthropic-Amazon New Carlisle</t>
        </is>
      </c>
      <c r="F66" s="3" t="inlineStr">
        <is>
          <t>Amazon</t>
        </is>
      </c>
      <c r="G66" s="3" t="inlineStr">
        <is>
          <t>United States</t>
        </is>
      </c>
      <c r="H66" s="25" t="n">
        <v>1925</v>
      </c>
      <c r="I66" s="17" t="n">
        <v>1</v>
      </c>
      <c r="J66" s="17" t="n">
        <v>0.64</v>
      </c>
      <c r="K66" s="26" t="n">
        <v>0.36</v>
      </c>
      <c r="L66" s="3" t="inlineStr">
        <is>
          <t>2028-03-17</t>
        </is>
      </c>
      <c r="M66" s="27" t="n">
        <v>910</v>
      </c>
      <c r="N66" s="27" t="n">
        <v>1925</v>
      </c>
      <c r="O66" s="3" t="inlineStr">
        <is>
          <t>confident</t>
        </is>
      </c>
      <c r="P66" s="3" t="inlineStr">
        <is>
          <t>Trainium2</t>
        </is>
      </c>
      <c r="Q66" s="3" t="inlineStr">
        <is>
          <t>epoch_user_site_equal_split_seed</t>
        </is>
      </c>
      <c r="R66" s="3" t="inlineStr">
        <is>
          <t>SRC_EPOCH_AI_DATA_CENTERS; EPOCH_NORMALIZED_USER_SITES</t>
        </is>
      </c>
      <c r="S66" s="3" t="inlineStr">
        <is>
          <t>Capacity weight is used only to weight accelerator mix, not to overwrite company total power in 02_Inputs.</t>
        </is>
      </c>
    </row>
    <row r="67">
      <c r="A67" s="3" t="inlineStr">
        <is>
          <t>Base|Anthropic|2026|Anthropic-Amazon New Carlisle</t>
        </is>
      </c>
      <c r="B67" s="3" t="inlineStr">
        <is>
          <t>Base</t>
        </is>
      </c>
      <c r="C67" s="3" t="inlineStr">
        <is>
          <t>Anthropic</t>
        </is>
      </c>
      <c r="D67" s="3" t="n">
        <v>2026</v>
      </c>
      <c r="E67" s="3" t="inlineStr">
        <is>
          <t>Anthropic-Amazon New Carlisle</t>
        </is>
      </c>
      <c r="F67" s="3" t="inlineStr">
        <is>
          <t>Amazon</t>
        </is>
      </c>
      <c r="G67" s="3" t="inlineStr">
        <is>
          <t>United States</t>
        </is>
      </c>
      <c r="H67" s="25" t="n">
        <v>910</v>
      </c>
      <c r="I67" s="17" t="n">
        <v>1</v>
      </c>
      <c r="J67" s="17" t="n">
        <v>0.52</v>
      </c>
      <c r="K67" s="26" t="n">
        <v>0.48</v>
      </c>
      <c r="L67" s="3" t="inlineStr">
        <is>
          <t>2028-03-17</t>
        </is>
      </c>
      <c r="M67" s="27" t="n">
        <v>910</v>
      </c>
      <c r="N67" s="27" t="n">
        <v>1925</v>
      </c>
      <c r="O67" s="3" t="inlineStr">
        <is>
          <t>confident</t>
        </is>
      </c>
      <c r="P67" s="3" t="inlineStr">
        <is>
          <t>Trainium2</t>
        </is>
      </c>
      <c r="Q67" s="3" t="inlineStr">
        <is>
          <t>epoch_user_site_equal_split_seed</t>
        </is>
      </c>
      <c r="R67" s="3" t="inlineStr">
        <is>
          <t>SRC_EPOCH_AI_DATA_CENTERS; EPOCH_NORMALIZED_USER_SITES</t>
        </is>
      </c>
      <c r="S67" s="3" t="inlineStr">
        <is>
          <t>Capacity weight is used only to weight accelerator mix, not to overwrite company total power in 02_Inputs.</t>
        </is>
      </c>
    </row>
    <row r="68">
      <c r="A68" s="3" t="inlineStr">
        <is>
          <t>Base|Anthropic|2027|Anthropic-Amazon New Carlisle</t>
        </is>
      </c>
      <c r="B68" s="3" t="inlineStr">
        <is>
          <t>Base</t>
        </is>
      </c>
      <c r="C68" s="3" t="inlineStr">
        <is>
          <t>Anthropic</t>
        </is>
      </c>
      <c r="D68" s="3" t="n">
        <v>2027</v>
      </c>
      <c r="E68" s="3" t="inlineStr">
        <is>
          <t>Anthropic-Amazon New Carlisle</t>
        </is>
      </c>
      <c r="F68" s="3" t="inlineStr">
        <is>
          <t>Amazon</t>
        </is>
      </c>
      <c r="G68" s="3" t="inlineStr">
        <is>
          <t>United States</t>
        </is>
      </c>
      <c r="H68" s="25" t="n">
        <v>910</v>
      </c>
      <c r="I68" s="17" t="n">
        <v>1</v>
      </c>
      <c r="J68" s="17" t="n">
        <v>0.575</v>
      </c>
      <c r="K68" s="26" t="n">
        <v>0.425</v>
      </c>
      <c r="L68" s="3" t="inlineStr">
        <is>
          <t>2028-03-17</t>
        </is>
      </c>
      <c r="M68" s="27" t="n">
        <v>910</v>
      </c>
      <c r="N68" s="27" t="n">
        <v>1925</v>
      </c>
      <c r="O68" s="3" t="inlineStr">
        <is>
          <t>confident</t>
        </is>
      </c>
      <c r="P68" s="3" t="inlineStr">
        <is>
          <t>Trainium2</t>
        </is>
      </c>
      <c r="Q68" s="3" t="inlineStr">
        <is>
          <t>epoch_user_site_equal_split_seed</t>
        </is>
      </c>
      <c r="R68" s="3" t="inlineStr">
        <is>
          <t>SRC_EPOCH_AI_DATA_CENTERS; EPOCH_NORMALIZED_USER_SITES</t>
        </is>
      </c>
      <c r="S68" s="3" t="inlineStr">
        <is>
          <t>Capacity weight is used only to weight accelerator mix, not to overwrite company total power in 02_Inputs.</t>
        </is>
      </c>
    </row>
    <row r="69">
      <c r="A69" s="3" t="inlineStr">
        <is>
          <t>Base|Anthropic|2028|Anthropic-Amazon New Carlisle</t>
        </is>
      </c>
      <c r="B69" s="3" t="inlineStr">
        <is>
          <t>Base</t>
        </is>
      </c>
      <c r="C69" s="3" t="inlineStr">
        <is>
          <t>Anthropic</t>
        </is>
      </c>
      <c r="D69" s="3" t="n">
        <v>2028</v>
      </c>
      <c r="E69" s="3" t="inlineStr">
        <is>
          <t>Anthropic-Amazon New Carlisle</t>
        </is>
      </c>
      <c r="F69" s="3" t="inlineStr">
        <is>
          <t>Amazon</t>
        </is>
      </c>
      <c r="G69" s="3" t="inlineStr">
        <is>
          <t>United States</t>
        </is>
      </c>
      <c r="H69" s="25" t="n">
        <v>1925</v>
      </c>
      <c r="I69" s="17" t="n">
        <v>1</v>
      </c>
      <c r="J69" s="17" t="n">
        <v>0.63</v>
      </c>
      <c r="K69" s="26" t="n">
        <v>0.37</v>
      </c>
      <c r="L69" s="3" t="inlineStr">
        <is>
          <t>2028-03-17</t>
        </is>
      </c>
      <c r="M69" s="27" t="n">
        <v>910</v>
      </c>
      <c r="N69" s="27" t="n">
        <v>1925</v>
      </c>
      <c r="O69" s="3" t="inlineStr">
        <is>
          <t>confident</t>
        </is>
      </c>
      <c r="P69" s="3" t="inlineStr">
        <is>
          <t>Trainium2</t>
        </is>
      </c>
      <c r="Q69" s="3" t="inlineStr">
        <is>
          <t>epoch_user_site_equal_split_seed</t>
        </is>
      </c>
      <c r="R69" s="3" t="inlineStr">
        <is>
          <t>SRC_EPOCH_AI_DATA_CENTERS; EPOCH_NORMALIZED_USER_SITES</t>
        </is>
      </c>
      <c r="S69" s="3" t="inlineStr">
        <is>
          <t>Capacity weight is used only to weight accelerator mix, not to overwrite company total power in 02_Inputs.</t>
        </is>
      </c>
    </row>
    <row r="70">
      <c r="A70" s="3" t="inlineStr">
        <is>
          <t>Base|Anthropic|2029|Anthropic-Amazon New Carlisle</t>
        </is>
      </c>
      <c r="B70" s="3" t="inlineStr">
        <is>
          <t>Base</t>
        </is>
      </c>
      <c r="C70" s="3" t="inlineStr">
        <is>
          <t>Anthropic</t>
        </is>
      </c>
      <c r="D70" s="3" t="n">
        <v>2029</v>
      </c>
      <c r="E70" s="3" t="inlineStr">
        <is>
          <t>Anthropic-Amazon New Carlisle</t>
        </is>
      </c>
      <c r="F70" s="3" t="inlineStr">
        <is>
          <t>Amazon</t>
        </is>
      </c>
      <c r="G70" s="3" t="inlineStr">
        <is>
          <t>United States</t>
        </is>
      </c>
      <c r="H70" s="25" t="n">
        <v>1925</v>
      </c>
      <c r="I70" s="17" t="n">
        <v>1</v>
      </c>
      <c r="J70" s="17" t="n">
        <v>0.6850000000000001</v>
      </c>
      <c r="K70" s="26" t="n">
        <v>0.315</v>
      </c>
      <c r="L70" s="3" t="inlineStr">
        <is>
          <t>2028-03-17</t>
        </is>
      </c>
      <c r="M70" s="27" t="n">
        <v>910</v>
      </c>
      <c r="N70" s="27" t="n">
        <v>1925</v>
      </c>
      <c r="O70" s="3" t="inlineStr">
        <is>
          <t>confident</t>
        </is>
      </c>
      <c r="P70" s="3" t="inlineStr">
        <is>
          <t>Trainium2</t>
        </is>
      </c>
      <c r="Q70" s="3" t="inlineStr">
        <is>
          <t>epoch_user_site_equal_split_seed</t>
        </is>
      </c>
      <c r="R70" s="3" t="inlineStr">
        <is>
          <t>SRC_EPOCH_AI_DATA_CENTERS; EPOCH_NORMALIZED_USER_SITES</t>
        </is>
      </c>
      <c r="S70" s="3" t="inlineStr">
        <is>
          <t>Capacity weight is used only to weight accelerator mix, not to overwrite company total power in 02_Inputs.</t>
        </is>
      </c>
    </row>
    <row r="71">
      <c r="A71" s="3" t="inlineStr">
        <is>
          <t>Base|Anthropic|2030|Anthropic-Amazon New Carlisle</t>
        </is>
      </c>
      <c r="B71" s="3" t="inlineStr">
        <is>
          <t>Base</t>
        </is>
      </c>
      <c r="C71" s="3" t="inlineStr">
        <is>
          <t>Anthropic</t>
        </is>
      </c>
      <c r="D71" s="3" t="n">
        <v>2030</v>
      </c>
      <c r="E71" s="3" t="inlineStr">
        <is>
          <t>Anthropic-Amazon New Carlisle</t>
        </is>
      </c>
      <c r="F71" s="3" t="inlineStr">
        <is>
          <t>Amazon</t>
        </is>
      </c>
      <c r="G71" s="3" t="inlineStr">
        <is>
          <t>United States</t>
        </is>
      </c>
      <c r="H71" s="25" t="n">
        <v>1925</v>
      </c>
      <c r="I71" s="17" t="n">
        <v>1</v>
      </c>
      <c r="J71" s="17" t="n">
        <v>0.74</v>
      </c>
      <c r="K71" s="26" t="n">
        <v>0.26</v>
      </c>
      <c r="L71" s="3" t="inlineStr">
        <is>
          <t>2028-03-17</t>
        </is>
      </c>
      <c r="M71" s="27" t="n">
        <v>910</v>
      </c>
      <c r="N71" s="27" t="n">
        <v>1925</v>
      </c>
      <c r="O71" s="3" t="inlineStr">
        <is>
          <t>confident</t>
        </is>
      </c>
      <c r="P71" s="3" t="inlineStr">
        <is>
          <t>Trainium2</t>
        </is>
      </c>
      <c r="Q71" s="3" t="inlineStr">
        <is>
          <t>epoch_user_site_equal_split_seed</t>
        </is>
      </c>
      <c r="R71" s="3" t="inlineStr">
        <is>
          <t>SRC_EPOCH_AI_DATA_CENTERS; EPOCH_NORMALIZED_USER_SITES</t>
        </is>
      </c>
      <c r="S71" s="3" t="inlineStr">
        <is>
          <t>Capacity weight is used only to weight accelerator mix, not to overwrite company total power in 02_Inputs.</t>
        </is>
      </c>
    </row>
    <row r="72">
      <c r="A72" s="3" t="inlineStr">
        <is>
          <t>Bull|Anthropic|2026|Anthropic-Amazon New Carlisle</t>
        </is>
      </c>
      <c r="B72" s="3" t="inlineStr">
        <is>
          <t>Bull</t>
        </is>
      </c>
      <c r="C72" s="3" t="inlineStr">
        <is>
          <t>Anthropic</t>
        </is>
      </c>
      <c r="D72" s="3" t="n">
        <v>2026</v>
      </c>
      <c r="E72" s="3" t="inlineStr">
        <is>
          <t>Anthropic-Amazon New Carlisle</t>
        </is>
      </c>
      <c r="F72" s="3" t="inlineStr">
        <is>
          <t>Amazon</t>
        </is>
      </c>
      <c r="G72" s="3" t="inlineStr">
        <is>
          <t>United States</t>
        </is>
      </c>
      <c r="H72" s="25" t="n">
        <v>910</v>
      </c>
      <c r="I72" s="17" t="n">
        <v>1</v>
      </c>
      <c r="J72" s="17" t="n">
        <v>0.57</v>
      </c>
      <c r="K72" s="26" t="n">
        <v>0.43</v>
      </c>
      <c r="L72" s="3" t="inlineStr">
        <is>
          <t>2028-03-17</t>
        </is>
      </c>
      <c r="M72" s="27" t="n">
        <v>910</v>
      </c>
      <c r="N72" s="27" t="n">
        <v>1925</v>
      </c>
      <c r="O72" s="3" t="inlineStr">
        <is>
          <t>confident</t>
        </is>
      </c>
      <c r="P72" s="3" t="inlineStr">
        <is>
          <t>Trainium2</t>
        </is>
      </c>
      <c r="Q72" s="3" t="inlineStr">
        <is>
          <t>epoch_user_site_equal_split_seed</t>
        </is>
      </c>
      <c r="R72" s="3" t="inlineStr">
        <is>
          <t>SRC_EPOCH_AI_DATA_CENTERS; EPOCH_NORMALIZED_USER_SITES</t>
        </is>
      </c>
      <c r="S72" s="3" t="inlineStr">
        <is>
          <t>Capacity weight is used only to weight accelerator mix, not to overwrite company total power in 02_Inputs.</t>
        </is>
      </c>
    </row>
    <row r="73">
      <c r="A73" s="3" t="inlineStr">
        <is>
          <t>Bull|Anthropic|2027|Anthropic-Amazon New Carlisle</t>
        </is>
      </c>
      <c r="B73" s="3" t="inlineStr">
        <is>
          <t>Bull</t>
        </is>
      </c>
      <c r="C73" s="3" t="inlineStr">
        <is>
          <t>Anthropic</t>
        </is>
      </c>
      <c r="D73" s="3" t="n">
        <v>2027</v>
      </c>
      <c r="E73" s="3" t="inlineStr">
        <is>
          <t>Anthropic-Amazon New Carlisle</t>
        </is>
      </c>
      <c r="F73" s="3" t="inlineStr">
        <is>
          <t>Amazon</t>
        </is>
      </c>
      <c r="G73" s="3" t="inlineStr">
        <is>
          <t>United States</t>
        </is>
      </c>
      <c r="H73" s="25" t="n">
        <v>910</v>
      </c>
      <c r="I73" s="17" t="n">
        <v>1</v>
      </c>
      <c r="J73" s="17" t="n">
        <v>0.632</v>
      </c>
      <c r="K73" s="26" t="n">
        <v>0.368</v>
      </c>
      <c r="L73" s="3" t="inlineStr">
        <is>
          <t>2028-03-17</t>
        </is>
      </c>
      <c r="M73" s="27" t="n">
        <v>910</v>
      </c>
      <c r="N73" s="27" t="n">
        <v>1925</v>
      </c>
      <c r="O73" s="3" t="inlineStr">
        <is>
          <t>confident</t>
        </is>
      </c>
      <c r="P73" s="3" t="inlineStr">
        <is>
          <t>Trainium2</t>
        </is>
      </c>
      <c r="Q73" s="3" t="inlineStr">
        <is>
          <t>epoch_user_site_equal_split_seed</t>
        </is>
      </c>
      <c r="R73" s="3" t="inlineStr">
        <is>
          <t>SRC_EPOCH_AI_DATA_CENTERS; EPOCH_NORMALIZED_USER_SITES</t>
        </is>
      </c>
      <c r="S73" s="3" t="inlineStr">
        <is>
          <t>Capacity weight is used only to weight accelerator mix, not to overwrite company total power in 02_Inputs.</t>
        </is>
      </c>
    </row>
    <row r="74">
      <c r="A74" s="3" t="inlineStr">
        <is>
          <t>Bull|Anthropic|2028|Anthropic-Amazon New Carlisle</t>
        </is>
      </c>
      <c r="B74" s="3" t="inlineStr">
        <is>
          <t>Bull</t>
        </is>
      </c>
      <c r="C74" s="3" t="inlineStr">
        <is>
          <t>Anthropic</t>
        </is>
      </c>
      <c r="D74" s="3" t="n">
        <v>2028</v>
      </c>
      <c r="E74" s="3" t="inlineStr">
        <is>
          <t>Anthropic-Amazon New Carlisle</t>
        </is>
      </c>
      <c r="F74" s="3" t="inlineStr">
        <is>
          <t>Amazon</t>
        </is>
      </c>
      <c r="G74" s="3" t="inlineStr">
        <is>
          <t>United States</t>
        </is>
      </c>
      <c r="H74" s="25" t="n">
        <v>1925</v>
      </c>
      <c r="I74" s="17" t="n">
        <v>1</v>
      </c>
      <c r="J74" s="17" t="n">
        <v>0.695</v>
      </c>
      <c r="K74" s="26" t="n">
        <v>0.305</v>
      </c>
      <c r="L74" s="3" t="inlineStr">
        <is>
          <t>2028-03-17</t>
        </is>
      </c>
      <c r="M74" s="27" t="n">
        <v>910</v>
      </c>
      <c r="N74" s="27" t="n">
        <v>1925</v>
      </c>
      <c r="O74" s="3" t="inlineStr">
        <is>
          <t>confident</t>
        </is>
      </c>
      <c r="P74" s="3" t="inlineStr">
        <is>
          <t>Trainium2</t>
        </is>
      </c>
      <c r="Q74" s="3" t="inlineStr">
        <is>
          <t>epoch_user_site_equal_split_seed</t>
        </is>
      </c>
      <c r="R74" s="3" t="inlineStr">
        <is>
          <t>SRC_EPOCH_AI_DATA_CENTERS; EPOCH_NORMALIZED_USER_SITES</t>
        </is>
      </c>
      <c r="S74" s="3" t="inlineStr">
        <is>
          <t>Capacity weight is used only to weight accelerator mix, not to overwrite company total power in 02_Inputs.</t>
        </is>
      </c>
    </row>
    <row r="75">
      <c r="A75" s="3" t="inlineStr">
        <is>
          <t>Bull|Anthropic|2029|Anthropic-Amazon New Carlisle</t>
        </is>
      </c>
      <c r="B75" s="3" t="inlineStr">
        <is>
          <t>Bull</t>
        </is>
      </c>
      <c r="C75" s="3" t="inlineStr">
        <is>
          <t>Anthropic</t>
        </is>
      </c>
      <c r="D75" s="3" t="n">
        <v>2029</v>
      </c>
      <c r="E75" s="3" t="inlineStr">
        <is>
          <t>Anthropic-Amazon New Carlisle</t>
        </is>
      </c>
      <c r="F75" s="3" t="inlineStr">
        <is>
          <t>Amazon</t>
        </is>
      </c>
      <c r="G75" s="3" t="inlineStr">
        <is>
          <t>United States</t>
        </is>
      </c>
      <c r="H75" s="25" t="n">
        <v>1925</v>
      </c>
      <c r="I75" s="17" t="n">
        <v>1</v>
      </c>
      <c r="J75" s="17" t="n">
        <v>0.758</v>
      </c>
      <c r="K75" s="26" t="n">
        <v>0.242</v>
      </c>
      <c r="L75" s="3" t="inlineStr">
        <is>
          <t>2028-03-17</t>
        </is>
      </c>
      <c r="M75" s="27" t="n">
        <v>910</v>
      </c>
      <c r="N75" s="27" t="n">
        <v>1925</v>
      </c>
      <c r="O75" s="3" t="inlineStr">
        <is>
          <t>confident</t>
        </is>
      </c>
      <c r="P75" s="3" t="inlineStr">
        <is>
          <t>Trainium2</t>
        </is>
      </c>
      <c r="Q75" s="3" t="inlineStr">
        <is>
          <t>epoch_user_site_equal_split_seed</t>
        </is>
      </c>
      <c r="R75" s="3" t="inlineStr">
        <is>
          <t>SRC_EPOCH_AI_DATA_CENTERS; EPOCH_NORMALIZED_USER_SITES</t>
        </is>
      </c>
      <c r="S75" s="3" t="inlineStr">
        <is>
          <t>Capacity weight is used only to weight accelerator mix, not to overwrite company total power in 02_Inputs.</t>
        </is>
      </c>
    </row>
    <row r="76">
      <c r="A76" s="3" t="inlineStr">
        <is>
          <t>Bull|Anthropic|2030|Anthropic-Amazon New Carlisle</t>
        </is>
      </c>
      <c r="B76" s="3" t="inlineStr">
        <is>
          <t>Bull</t>
        </is>
      </c>
      <c r="C76" s="3" t="inlineStr">
        <is>
          <t>Anthropic</t>
        </is>
      </c>
      <c r="D76" s="3" t="n">
        <v>2030</v>
      </c>
      <c r="E76" s="3" t="inlineStr">
        <is>
          <t>Anthropic-Amazon New Carlisle</t>
        </is>
      </c>
      <c r="F76" s="3" t="inlineStr">
        <is>
          <t>Amazon</t>
        </is>
      </c>
      <c r="G76" s="3" t="inlineStr">
        <is>
          <t>United States</t>
        </is>
      </c>
      <c r="H76" s="25" t="n">
        <v>1925</v>
      </c>
      <c r="I76" s="17" t="n">
        <v>1</v>
      </c>
      <c r="J76" s="17" t="n">
        <v>0.82</v>
      </c>
      <c r="K76" s="26" t="n">
        <v>0.18</v>
      </c>
      <c r="L76" s="3" t="inlineStr">
        <is>
          <t>2028-03-17</t>
        </is>
      </c>
      <c r="M76" s="27" t="n">
        <v>910</v>
      </c>
      <c r="N76" s="27" t="n">
        <v>1925</v>
      </c>
      <c r="O76" s="3" t="inlineStr">
        <is>
          <t>confident</t>
        </is>
      </c>
      <c r="P76" s="3" t="inlineStr">
        <is>
          <t>Trainium2</t>
        </is>
      </c>
      <c r="Q76" s="3" t="inlineStr">
        <is>
          <t>epoch_user_site_equal_split_seed</t>
        </is>
      </c>
      <c r="R76" s="3" t="inlineStr">
        <is>
          <t>SRC_EPOCH_AI_DATA_CENTERS; EPOCH_NORMALIZED_USER_SITES</t>
        </is>
      </c>
      <c r="S76" s="3" t="inlineStr">
        <is>
          <t>Capacity weight is used only to weight accelerator mix, not to overwrite company total power in 02_Inputs.</t>
        </is>
      </c>
    </row>
    <row r="77">
      <c r="A77" s="3" t="inlineStr">
        <is>
          <t>Grid-Constrained / Efficiency-Upside|Anthropic|2026|Anthropic-Amazon New Carlisle</t>
        </is>
      </c>
      <c r="B77" s="3" t="inlineStr">
        <is>
          <t>Grid-Constrained / Efficiency-Upside</t>
        </is>
      </c>
      <c r="C77" s="3" t="inlineStr">
        <is>
          <t>Anthropic</t>
        </is>
      </c>
      <c r="D77" s="3" t="n">
        <v>2026</v>
      </c>
      <c r="E77" s="3" t="inlineStr">
        <is>
          <t>Anthropic-Amazon New Carlisle</t>
        </is>
      </c>
      <c r="F77" s="3" t="inlineStr">
        <is>
          <t>Amazon</t>
        </is>
      </c>
      <c r="G77" s="3" t="inlineStr">
        <is>
          <t>United States</t>
        </is>
      </c>
      <c r="H77" s="25" t="n">
        <v>910</v>
      </c>
      <c r="I77" s="17" t="n">
        <v>1</v>
      </c>
      <c r="J77" s="17" t="n">
        <v>0.54</v>
      </c>
      <c r="K77" s="26" t="n">
        <v>0.46</v>
      </c>
      <c r="L77" s="3" t="inlineStr">
        <is>
          <t>2028-03-17</t>
        </is>
      </c>
      <c r="M77" s="27" t="n">
        <v>910</v>
      </c>
      <c r="N77" s="27" t="n">
        <v>1925</v>
      </c>
      <c r="O77" s="3" t="inlineStr">
        <is>
          <t>confident</t>
        </is>
      </c>
      <c r="P77" s="3" t="inlineStr">
        <is>
          <t>Trainium2</t>
        </is>
      </c>
      <c r="Q77" s="3" t="inlineStr">
        <is>
          <t>epoch_user_site_equal_split_seed</t>
        </is>
      </c>
      <c r="R77" s="3" t="inlineStr">
        <is>
          <t>SRC_EPOCH_AI_DATA_CENTERS; EPOCH_NORMALIZED_USER_SITES</t>
        </is>
      </c>
      <c r="S77" s="3" t="inlineStr">
        <is>
          <t>Capacity weight is used only to weight accelerator mix, not to overwrite company total power in 02_Inputs.</t>
        </is>
      </c>
    </row>
    <row r="78">
      <c r="A78" s="3" t="inlineStr">
        <is>
          <t>Grid-Constrained / Efficiency-Upside|Anthropic|2027|Anthropic-Amazon New Carlisle</t>
        </is>
      </c>
      <c r="B78" s="3" t="inlineStr">
        <is>
          <t>Grid-Constrained / Efficiency-Upside</t>
        </is>
      </c>
      <c r="C78" s="3" t="inlineStr">
        <is>
          <t>Anthropic</t>
        </is>
      </c>
      <c r="D78" s="3" t="n">
        <v>2027</v>
      </c>
      <c r="E78" s="3" t="inlineStr">
        <is>
          <t>Anthropic-Amazon New Carlisle</t>
        </is>
      </c>
      <c r="F78" s="3" t="inlineStr">
        <is>
          <t>Amazon</t>
        </is>
      </c>
      <c r="G78" s="3" t="inlineStr">
        <is>
          <t>United States</t>
        </is>
      </c>
      <c r="H78" s="25" t="n">
        <v>910</v>
      </c>
      <c r="I78" s="17" t="n">
        <v>1</v>
      </c>
      <c r="J78" s="17" t="n">
        <v>0.6</v>
      </c>
      <c r="K78" s="26" t="n">
        <v>0.4</v>
      </c>
      <c r="L78" s="3" t="inlineStr">
        <is>
          <t>2028-03-17</t>
        </is>
      </c>
      <c r="M78" s="27" t="n">
        <v>910</v>
      </c>
      <c r="N78" s="27" t="n">
        <v>1925</v>
      </c>
      <c r="O78" s="3" t="inlineStr">
        <is>
          <t>confident</t>
        </is>
      </c>
      <c r="P78" s="3" t="inlineStr">
        <is>
          <t>Trainium2</t>
        </is>
      </c>
      <c r="Q78" s="3" t="inlineStr">
        <is>
          <t>epoch_user_site_equal_split_seed</t>
        </is>
      </c>
      <c r="R78" s="3" t="inlineStr">
        <is>
          <t>SRC_EPOCH_AI_DATA_CENTERS; EPOCH_NORMALIZED_USER_SITES</t>
        </is>
      </c>
      <c r="S78" s="3" t="inlineStr">
        <is>
          <t>Capacity weight is used only to weight accelerator mix, not to overwrite company total power in 02_Inputs.</t>
        </is>
      </c>
    </row>
    <row r="79">
      <c r="A79" s="3" t="inlineStr">
        <is>
          <t>Grid-Constrained / Efficiency-Upside|Anthropic|2028|Anthropic-Amazon New Carlisle</t>
        </is>
      </c>
      <c r="B79" s="3" t="inlineStr">
        <is>
          <t>Grid-Constrained / Efficiency-Upside</t>
        </is>
      </c>
      <c r="C79" s="3" t="inlineStr">
        <is>
          <t>Anthropic</t>
        </is>
      </c>
      <c r="D79" s="3" t="n">
        <v>2028</v>
      </c>
      <c r="E79" s="3" t="inlineStr">
        <is>
          <t>Anthropic-Amazon New Carlisle</t>
        </is>
      </c>
      <c r="F79" s="3" t="inlineStr">
        <is>
          <t>Amazon</t>
        </is>
      </c>
      <c r="G79" s="3" t="inlineStr">
        <is>
          <t>United States</t>
        </is>
      </c>
      <c r="H79" s="25" t="n">
        <v>1925</v>
      </c>
      <c r="I79" s="17" t="n">
        <v>1</v>
      </c>
      <c r="J79" s="17" t="n">
        <v>0.66</v>
      </c>
      <c r="K79" s="26" t="n">
        <v>0.34</v>
      </c>
      <c r="L79" s="3" t="inlineStr">
        <is>
          <t>2028-03-17</t>
        </is>
      </c>
      <c r="M79" s="27" t="n">
        <v>910</v>
      </c>
      <c r="N79" s="27" t="n">
        <v>1925</v>
      </c>
      <c r="O79" s="3" t="inlineStr">
        <is>
          <t>confident</t>
        </is>
      </c>
      <c r="P79" s="3" t="inlineStr">
        <is>
          <t>Trainium2</t>
        </is>
      </c>
      <c r="Q79" s="3" t="inlineStr">
        <is>
          <t>epoch_user_site_equal_split_seed</t>
        </is>
      </c>
      <c r="R79" s="3" t="inlineStr">
        <is>
          <t>SRC_EPOCH_AI_DATA_CENTERS; EPOCH_NORMALIZED_USER_SITES</t>
        </is>
      </c>
      <c r="S79" s="3" t="inlineStr">
        <is>
          <t>Capacity weight is used only to weight accelerator mix, not to overwrite company total power in 02_Inputs.</t>
        </is>
      </c>
    </row>
    <row r="80">
      <c r="A80" s="3" t="inlineStr">
        <is>
          <t>Grid-Constrained / Efficiency-Upside|Anthropic|2029|Anthropic-Amazon New Carlisle</t>
        </is>
      </c>
      <c r="B80" s="3" t="inlineStr">
        <is>
          <t>Grid-Constrained / Efficiency-Upside</t>
        </is>
      </c>
      <c r="C80" s="3" t="inlineStr">
        <is>
          <t>Anthropic</t>
        </is>
      </c>
      <c r="D80" s="3" t="n">
        <v>2029</v>
      </c>
      <c r="E80" s="3" t="inlineStr">
        <is>
          <t>Anthropic-Amazon New Carlisle</t>
        </is>
      </c>
      <c r="F80" s="3" t="inlineStr">
        <is>
          <t>Amazon</t>
        </is>
      </c>
      <c r="G80" s="3" t="inlineStr">
        <is>
          <t>United States</t>
        </is>
      </c>
      <c r="H80" s="25" t="n">
        <v>1925</v>
      </c>
      <c r="I80" s="17" t="n">
        <v>1</v>
      </c>
      <c r="J80" s="17" t="n">
        <v>0.72</v>
      </c>
      <c r="K80" s="26" t="n">
        <v>0.28</v>
      </c>
      <c r="L80" s="3" t="inlineStr">
        <is>
          <t>2028-03-17</t>
        </is>
      </c>
      <c r="M80" s="27" t="n">
        <v>910</v>
      </c>
      <c r="N80" s="27" t="n">
        <v>1925</v>
      </c>
      <c r="O80" s="3" t="inlineStr">
        <is>
          <t>confident</t>
        </is>
      </c>
      <c r="P80" s="3" t="inlineStr">
        <is>
          <t>Trainium2</t>
        </is>
      </c>
      <c r="Q80" s="3" t="inlineStr">
        <is>
          <t>epoch_user_site_equal_split_seed</t>
        </is>
      </c>
      <c r="R80" s="3" t="inlineStr">
        <is>
          <t>SRC_EPOCH_AI_DATA_CENTERS; EPOCH_NORMALIZED_USER_SITES</t>
        </is>
      </c>
      <c r="S80" s="3" t="inlineStr">
        <is>
          <t>Capacity weight is used only to weight accelerator mix, not to overwrite company total power in 02_Inputs.</t>
        </is>
      </c>
    </row>
    <row r="81">
      <c r="A81" s="3" t="inlineStr">
        <is>
          <t>Grid-Constrained / Efficiency-Upside|Anthropic|2030|Anthropic-Amazon New Carlisle</t>
        </is>
      </c>
      <c r="B81" s="3" t="inlineStr">
        <is>
          <t>Grid-Constrained / Efficiency-Upside</t>
        </is>
      </c>
      <c r="C81" s="3" t="inlineStr">
        <is>
          <t>Anthropic</t>
        </is>
      </c>
      <c r="D81" s="3" t="n">
        <v>2030</v>
      </c>
      <c r="E81" s="3" t="inlineStr">
        <is>
          <t>Anthropic-Amazon New Carlisle</t>
        </is>
      </c>
      <c r="F81" s="3" t="inlineStr">
        <is>
          <t>Amazon</t>
        </is>
      </c>
      <c r="G81" s="3" t="inlineStr">
        <is>
          <t>United States</t>
        </is>
      </c>
      <c r="H81" s="25" t="n">
        <v>1925</v>
      </c>
      <c r="I81" s="17" t="n">
        <v>1</v>
      </c>
      <c r="J81" s="17" t="n">
        <v>0.78</v>
      </c>
      <c r="K81" s="26" t="n">
        <v>0.22</v>
      </c>
      <c r="L81" s="3" t="inlineStr">
        <is>
          <t>2028-03-17</t>
        </is>
      </c>
      <c r="M81" s="27" t="n">
        <v>910</v>
      </c>
      <c r="N81" s="27" t="n">
        <v>1925</v>
      </c>
      <c r="O81" s="3" t="inlineStr">
        <is>
          <t>confident</t>
        </is>
      </c>
      <c r="P81" s="3" t="inlineStr">
        <is>
          <t>Trainium2</t>
        </is>
      </c>
      <c r="Q81" s="3" t="inlineStr">
        <is>
          <t>epoch_user_site_equal_split_seed</t>
        </is>
      </c>
      <c r="R81" s="3" t="inlineStr">
        <is>
          <t>SRC_EPOCH_AI_DATA_CENTERS; EPOCH_NORMALIZED_USER_SITES</t>
        </is>
      </c>
      <c r="S81" s="3" t="inlineStr">
        <is>
          <t>Capacity weight is used only to weight accelerator mix, not to overwrite company total power in 02_Inputs.</t>
        </is>
      </c>
    </row>
    <row r="82">
      <c r="A82" s="3" t="inlineStr">
        <is>
          <t>Bear|Anthropic|2026|Colossus 1</t>
        </is>
      </c>
      <c r="B82" s="3" t="inlineStr">
        <is>
          <t>Bear</t>
        </is>
      </c>
      <c r="C82" s="3" t="inlineStr">
        <is>
          <t>Anthropic</t>
        </is>
      </c>
      <c r="D82" s="3" t="n">
        <v>2026</v>
      </c>
      <c r="E82" s="3" t="inlineStr">
        <is>
          <t>Colossus 1</t>
        </is>
      </c>
      <c r="F82" s="3" t="inlineStr">
        <is>
          <t>SpaceXAI</t>
        </is>
      </c>
      <c r="G82" s="3" t="inlineStr">
        <is>
          <t>United States</t>
        </is>
      </c>
      <c r="H82" s="25" t="n">
        <v>340</v>
      </c>
      <c r="I82" s="17" t="n">
        <v>1</v>
      </c>
      <c r="J82" s="17" t="n">
        <v>0.44</v>
      </c>
      <c r="K82" s="26" t="n">
        <v>0.5600000000000001</v>
      </c>
      <c r="L82" s="3" t="inlineStr">
        <is>
          <t>2025-07-22</t>
        </is>
      </c>
      <c r="M82" s="27" t="n">
        <v>340</v>
      </c>
      <c r="N82" s="27" t="n">
        <v>340</v>
      </c>
      <c r="O82" s="3" t="inlineStr">
        <is>
          <t>confident</t>
        </is>
      </c>
      <c r="P82" s="3" t="inlineStr">
        <is>
          <t>H100,H200,B200</t>
        </is>
      </c>
      <c r="Q82" s="3" t="inlineStr">
        <is>
          <t>epoch_user_site_equal_split_seed</t>
        </is>
      </c>
      <c r="R82" s="3" t="inlineStr">
        <is>
          <t>SRC_EPOCH_AI_DATA_CENTERS; EPOCH_NORMALIZED_USER_SITES</t>
        </is>
      </c>
      <c r="S82" s="3" t="inlineStr">
        <is>
          <t>Capacity weight is used only to weight accelerator mix, not to overwrite company total power in 02_Inputs.</t>
        </is>
      </c>
    </row>
    <row r="83">
      <c r="A83" s="3" t="inlineStr">
        <is>
          <t>Bear|Anthropic|2027|Colossus 1</t>
        </is>
      </c>
      <c r="B83" s="3" t="inlineStr">
        <is>
          <t>Bear</t>
        </is>
      </c>
      <c r="C83" s="3" t="inlineStr">
        <is>
          <t>Anthropic</t>
        </is>
      </c>
      <c r="D83" s="3" t="n">
        <v>2027</v>
      </c>
      <c r="E83" s="3" t="inlineStr">
        <is>
          <t>Colossus 1</t>
        </is>
      </c>
      <c r="F83" s="3" t="inlineStr">
        <is>
          <t>SpaceXAI</t>
        </is>
      </c>
      <c r="G83" s="3" t="inlineStr">
        <is>
          <t>United States</t>
        </is>
      </c>
      <c r="H83" s="25" t="n">
        <v>340</v>
      </c>
      <c r="I83" s="17" t="n">
        <v>1</v>
      </c>
      <c r="J83" s="17" t="n">
        <v>0.49</v>
      </c>
      <c r="K83" s="26" t="n">
        <v>0.51</v>
      </c>
      <c r="L83" s="3" t="inlineStr">
        <is>
          <t>2025-07-22</t>
        </is>
      </c>
      <c r="M83" s="27" t="n">
        <v>340</v>
      </c>
      <c r="N83" s="27" t="n">
        <v>340</v>
      </c>
      <c r="O83" s="3" t="inlineStr">
        <is>
          <t>confident</t>
        </is>
      </c>
      <c r="P83" s="3" t="inlineStr">
        <is>
          <t>H100,H200,B200</t>
        </is>
      </c>
      <c r="Q83" s="3" t="inlineStr">
        <is>
          <t>epoch_user_site_equal_split_seed</t>
        </is>
      </c>
      <c r="R83" s="3" t="inlineStr">
        <is>
          <t>SRC_EPOCH_AI_DATA_CENTERS; EPOCH_NORMALIZED_USER_SITES</t>
        </is>
      </c>
      <c r="S83" s="3" t="inlineStr">
        <is>
          <t>Capacity weight is used only to weight accelerator mix, not to overwrite company total power in 02_Inputs.</t>
        </is>
      </c>
    </row>
    <row r="84">
      <c r="A84" s="3" t="inlineStr">
        <is>
          <t>Bear|Anthropic|2028|Colossus 1</t>
        </is>
      </c>
      <c r="B84" s="3" t="inlineStr">
        <is>
          <t>Bear</t>
        </is>
      </c>
      <c r="C84" s="3" t="inlineStr">
        <is>
          <t>Anthropic</t>
        </is>
      </c>
      <c r="D84" s="3" t="n">
        <v>2028</v>
      </c>
      <c r="E84" s="3" t="inlineStr">
        <is>
          <t>Colossus 1</t>
        </is>
      </c>
      <c r="F84" s="3" t="inlineStr">
        <is>
          <t>SpaceXAI</t>
        </is>
      </c>
      <c r="G84" s="3" t="inlineStr">
        <is>
          <t>United States</t>
        </is>
      </c>
      <c r="H84" s="25" t="n">
        <v>340</v>
      </c>
      <c r="I84" s="17" t="n">
        <v>1</v>
      </c>
      <c r="J84" s="17" t="n">
        <v>0.54</v>
      </c>
      <c r="K84" s="26" t="n">
        <v>0.46</v>
      </c>
      <c r="L84" s="3" t="inlineStr">
        <is>
          <t>2025-07-22</t>
        </is>
      </c>
      <c r="M84" s="27" t="n">
        <v>340</v>
      </c>
      <c r="N84" s="27" t="n">
        <v>340</v>
      </c>
      <c r="O84" s="3" t="inlineStr">
        <is>
          <t>confident</t>
        </is>
      </c>
      <c r="P84" s="3" t="inlineStr">
        <is>
          <t>H100,H200,B200</t>
        </is>
      </c>
      <c r="Q84" s="3" t="inlineStr">
        <is>
          <t>epoch_user_site_equal_split_seed</t>
        </is>
      </c>
      <c r="R84" s="3" t="inlineStr">
        <is>
          <t>SRC_EPOCH_AI_DATA_CENTERS; EPOCH_NORMALIZED_USER_SITES</t>
        </is>
      </c>
      <c r="S84" s="3" t="inlineStr">
        <is>
          <t>Capacity weight is used only to weight accelerator mix, not to overwrite company total power in 02_Inputs.</t>
        </is>
      </c>
    </row>
    <row r="85">
      <c r="A85" s="3" t="inlineStr">
        <is>
          <t>Bear|Anthropic|2029|Colossus 1</t>
        </is>
      </c>
      <c r="B85" s="3" t="inlineStr">
        <is>
          <t>Bear</t>
        </is>
      </c>
      <c r="C85" s="3" t="inlineStr">
        <is>
          <t>Anthropic</t>
        </is>
      </c>
      <c r="D85" s="3" t="n">
        <v>2029</v>
      </c>
      <c r="E85" s="3" t="inlineStr">
        <is>
          <t>Colossus 1</t>
        </is>
      </c>
      <c r="F85" s="3" t="inlineStr">
        <is>
          <t>SpaceXAI</t>
        </is>
      </c>
      <c r="G85" s="3" t="inlineStr">
        <is>
          <t>United States</t>
        </is>
      </c>
      <c r="H85" s="25" t="n">
        <v>340</v>
      </c>
      <c r="I85" s="17" t="n">
        <v>1</v>
      </c>
      <c r="J85" s="17" t="n">
        <v>0.59</v>
      </c>
      <c r="K85" s="26" t="n">
        <v>0.41</v>
      </c>
      <c r="L85" s="3" t="inlineStr">
        <is>
          <t>2025-07-22</t>
        </is>
      </c>
      <c r="M85" s="27" t="n">
        <v>340</v>
      </c>
      <c r="N85" s="27" t="n">
        <v>340</v>
      </c>
      <c r="O85" s="3" t="inlineStr">
        <is>
          <t>confident</t>
        </is>
      </c>
      <c r="P85" s="3" t="inlineStr">
        <is>
          <t>H100,H200,B200</t>
        </is>
      </c>
      <c r="Q85" s="3" t="inlineStr">
        <is>
          <t>epoch_user_site_equal_split_seed</t>
        </is>
      </c>
      <c r="R85" s="3" t="inlineStr">
        <is>
          <t>SRC_EPOCH_AI_DATA_CENTERS; EPOCH_NORMALIZED_USER_SITES</t>
        </is>
      </c>
      <c r="S85" s="3" t="inlineStr">
        <is>
          <t>Capacity weight is used only to weight accelerator mix, not to overwrite company total power in 02_Inputs.</t>
        </is>
      </c>
    </row>
    <row r="86">
      <c r="A86" s="3" t="inlineStr">
        <is>
          <t>Bear|Anthropic|2030|Colossus 1</t>
        </is>
      </c>
      <c r="B86" s="3" t="inlineStr">
        <is>
          <t>Bear</t>
        </is>
      </c>
      <c r="C86" s="3" t="inlineStr">
        <is>
          <t>Anthropic</t>
        </is>
      </c>
      <c r="D86" s="3" t="n">
        <v>2030</v>
      </c>
      <c r="E86" s="3" t="inlineStr">
        <is>
          <t>Colossus 1</t>
        </is>
      </c>
      <c r="F86" s="3" t="inlineStr">
        <is>
          <t>SpaceXAI</t>
        </is>
      </c>
      <c r="G86" s="3" t="inlineStr">
        <is>
          <t>United States</t>
        </is>
      </c>
      <c r="H86" s="25" t="n">
        <v>340</v>
      </c>
      <c r="I86" s="17" t="n">
        <v>1</v>
      </c>
      <c r="J86" s="17" t="n">
        <v>0.64</v>
      </c>
      <c r="K86" s="26" t="n">
        <v>0.36</v>
      </c>
      <c r="L86" s="3" t="inlineStr">
        <is>
          <t>2025-07-22</t>
        </is>
      </c>
      <c r="M86" s="27" t="n">
        <v>340</v>
      </c>
      <c r="N86" s="27" t="n">
        <v>340</v>
      </c>
      <c r="O86" s="3" t="inlineStr">
        <is>
          <t>confident</t>
        </is>
      </c>
      <c r="P86" s="3" t="inlineStr">
        <is>
          <t>H100,H200,B200</t>
        </is>
      </c>
      <c r="Q86" s="3" t="inlineStr">
        <is>
          <t>epoch_user_site_equal_split_seed</t>
        </is>
      </c>
      <c r="R86" s="3" t="inlineStr">
        <is>
          <t>SRC_EPOCH_AI_DATA_CENTERS; EPOCH_NORMALIZED_USER_SITES</t>
        </is>
      </c>
      <c r="S86" s="3" t="inlineStr">
        <is>
          <t>Capacity weight is used only to weight accelerator mix, not to overwrite company total power in 02_Inputs.</t>
        </is>
      </c>
    </row>
    <row r="87">
      <c r="A87" s="3" t="inlineStr">
        <is>
          <t>Base|Anthropic|2026|Colossus 1</t>
        </is>
      </c>
      <c r="B87" s="3" t="inlineStr">
        <is>
          <t>Base</t>
        </is>
      </c>
      <c r="C87" s="3" t="inlineStr">
        <is>
          <t>Anthropic</t>
        </is>
      </c>
      <c r="D87" s="3" t="n">
        <v>2026</v>
      </c>
      <c r="E87" s="3" t="inlineStr">
        <is>
          <t>Colossus 1</t>
        </is>
      </c>
      <c r="F87" s="3" t="inlineStr">
        <is>
          <t>SpaceXAI</t>
        </is>
      </c>
      <c r="G87" s="3" t="inlineStr">
        <is>
          <t>United States</t>
        </is>
      </c>
      <c r="H87" s="25" t="n">
        <v>340</v>
      </c>
      <c r="I87" s="17" t="n">
        <v>1</v>
      </c>
      <c r="J87" s="17" t="n">
        <v>0.52</v>
      </c>
      <c r="K87" s="26" t="n">
        <v>0.48</v>
      </c>
      <c r="L87" s="3" t="inlineStr">
        <is>
          <t>2025-07-22</t>
        </is>
      </c>
      <c r="M87" s="27" t="n">
        <v>340</v>
      </c>
      <c r="N87" s="27" t="n">
        <v>340</v>
      </c>
      <c r="O87" s="3" t="inlineStr">
        <is>
          <t>confident</t>
        </is>
      </c>
      <c r="P87" s="3" t="inlineStr">
        <is>
          <t>H100,H200,B200</t>
        </is>
      </c>
      <c r="Q87" s="3" t="inlineStr">
        <is>
          <t>epoch_user_site_equal_split_seed</t>
        </is>
      </c>
      <c r="R87" s="3" t="inlineStr">
        <is>
          <t>SRC_EPOCH_AI_DATA_CENTERS; EPOCH_NORMALIZED_USER_SITES</t>
        </is>
      </c>
      <c r="S87" s="3" t="inlineStr">
        <is>
          <t>Capacity weight is used only to weight accelerator mix, not to overwrite company total power in 02_Inputs.</t>
        </is>
      </c>
    </row>
    <row r="88">
      <c r="A88" s="3" t="inlineStr">
        <is>
          <t>Base|Anthropic|2027|Colossus 1</t>
        </is>
      </c>
      <c r="B88" s="3" t="inlineStr">
        <is>
          <t>Base</t>
        </is>
      </c>
      <c r="C88" s="3" t="inlineStr">
        <is>
          <t>Anthropic</t>
        </is>
      </c>
      <c r="D88" s="3" t="n">
        <v>2027</v>
      </c>
      <c r="E88" s="3" t="inlineStr">
        <is>
          <t>Colossus 1</t>
        </is>
      </c>
      <c r="F88" s="3" t="inlineStr">
        <is>
          <t>SpaceXAI</t>
        </is>
      </c>
      <c r="G88" s="3" t="inlineStr">
        <is>
          <t>United States</t>
        </is>
      </c>
      <c r="H88" s="25" t="n">
        <v>340</v>
      </c>
      <c r="I88" s="17" t="n">
        <v>1</v>
      </c>
      <c r="J88" s="17" t="n">
        <v>0.575</v>
      </c>
      <c r="K88" s="26" t="n">
        <v>0.425</v>
      </c>
      <c r="L88" s="3" t="inlineStr">
        <is>
          <t>2025-07-22</t>
        </is>
      </c>
      <c r="M88" s="27" t="n">
        <v>340</v>
      </c>
      <c r="N88" s="27" t="n">
        <v>340</v>
      </c>
      <c r="O88" s="3" t="inlineStr">
        <is>
          <t>confident</t>
        </is>
      </c>
      <c r="P88" s="3" t="inlineStr">
        <is>
          <t>H100,H200,B200</t>
        </is>
      </c>
      <c r="Q88" s="3" t="inlineStr">
        <is>
          <t>epoch_user_site_equal_split_seed</t>
        </is>
      </c>
      <c r="R88" s="3" t="inlineStr">
        <is>
          <t>SRC_EPOCH_AI_DATA_CENTERS; EPOCH_NORMALIZED_USER_SITES</t>
        </is>
      </c>
      <c r="S88" s="3" t="inlineStr">
        <is>
          <t>Capacity weight is used only to weight accelerator mix, not to overwrite company total power in 02_Inputs.</t>
        </is>
      </c>
    </row>
    <row r="89">
      <c r="A89" s="3" t="inlineStr">
        <is>
          <t>Base|Anthropic|2028|Colossus 1</t>
        </is>
      </c>
      <c r="B89" s="3" t="inlineStr">
        <is>
          <t>Base</t>
        </is>
      </c>
      <c r="C89" s="3" t="inlineStr">
        <is>
          <t>Anthropic</t>
        </is>
      </c>
      <c r="D89" s="3" t="n">
        <v>2028</v>
      </c>
      <c r="E89" s="3" t="inlineStr">
        <is>
          <t>Colossus 1</t>
        </is>
      </c>
      <c r="F89" s="3" t="inlineStr">
        <is>
          <t>SpaceXAI</t>
        </is>
      </c>
      <c r="G89" s="3" t="inlineStr">
        <is>
          <t>United States</t>
        </is>
      </c>
      <c r="H89" s="25" t="n">
        <v>340</v>
      </c>
      <c r="I89" s="17" t="n">
        <v>1</v>
      </c>
      <c r="J89" s="17" t="n">
        <v>0.63</v>
      </c>
      <c r="K89" s="26" t="n">
        <v>0.37</v>
      </c>
      <c r="L89" s="3" t="inlineStr">
        <is>
          <t>2025-07-22</t>
        </is>
      </c>
      <c r="M89" s="27" t="n">
        <v>340</v>
      </c>
      <c r="N89" s="27" t="n">
        <v>340</v>
      </c>
      <c r="O89" s="3" t="inlineStr">
        <is>
          <t>confident</t>
        </is>
      </c>
      <c r="P89" s="3" t="inlineStr">
        <is>
          <t>H100,H200,B200</t>
        </is>
      </c>
      <c r="Q89" s="3" t="inlineStr">
        <is>
          <t>epoch_user_site_equal_split_seed</t>
        </is>
      </c>
      <c r="R89" s="3" t="inlineStr">
        <is>
          <t>SRC_EPOCH_AI_DATA_CENTERS; EPOCH_NORMALIZED_USER_SITES</t>
        </is>
      </c>
      <c r="S89" s="3" t="inlineStr">
        <is>
          <t>Capacity weight is used only to weight accelerator mix, not to overwrite company total power in 02_Inputs.</t>
        </is>
      </c>
    </row>
    <row r="90">
      <c r="A90" s="3" t="inlineStr">
        <is>
          <t>Base|Anthropic|2029|Colossus 1</t>
        </is>
      </c>
      <c r="B90" s="3" t="inlineStr">
        <is>
          <t>Base</t>
        </is>
      </c>
      <c r="C90" s="3" t="inlineStr">
        <is>
          <t>Anthropic</t>
        </is>
      </c>
      <c r="D90" s="3" t="n">
        <v>2029</v>
      </c>
      <c r="E90" s="3" t="inlineStr">
        <is>
          <t>Colossus 1</t>
        </is>
      </c>
      <c r="F90" s="3" t="inlineStr">
        <is>
          <t>SpaceXAI</t>
        </is>
      </c>
      <c r="G90" s="3" t="inlineStr">
        <is>
          <t>United States</t>
        </is>
      </c>
      <c r="H90" s="25" t="n">
        <v>340</v>
      </c>
      <c r="I90" s="17" t="n">
        <v>1</v>
      </c>
      <c r="J90" s="17" t="n">
        <v>0.6850000000000001</v>
      </c>
      <c r="K90" s="26" t="n">
        <v>0.315</v>
      </c>
      <c r="L90" s="3" t="inlineStr">
        <is>
          <t>2025-07-22</t>
        </is>
      </c>
      <c r="M90" s="27" t="n">
        <v>340</v>
      </c>
      <c r="N90" s="27" t="n">
        <v>340</v>
      </c>
      <c r="O90" s="3" t="inlineStr">
        <is>
          <t>confident</t>
        </is>
      </c>
      <c r="P90" s="3" t="inlineStr">
        <is>
          <t>H100,H200,B200</t>
        </is>
      </c>
      <c r="Q90" s="3" t="inlineStr">
        <is>
          <t>epoch_user_site_equal_split_seed</t>
        </is>
      </c>
      <c r="R90" s="3" t="inlineStr">
        <is>
          <t>SRC_EPOCH_AI_DATA_CENTERS; EPOCH_NORMALIZED_USER_SITES</t>
        </is>
      </c>
      <c r="S90" s="3" t="inlineStr">
        <is>
          <t>Capacity weight is used only to weight accelerator mix, not to overwrite company total power in 02_Inputs.</t>
        </is>
      </c>
    </row>
    <row r="91">
      <c r="A91" s="3" t="inlineStr">
        <is>
          <t>Base|Anthropic|2030|Colossus 1</t>
        </is>
      </c>
      <c r="B91" s="3" t="inlineStr">
        <is>
          <t>Base</t>
        </is>
      </c>
      <c r="C91" s="3" t="inlineStr">
        <is>
          <t>Anthropic</t>
        </is>
      </c>
      <c r="D91" s="3" t="n">
        <v>2030</v>
      </c>
      <c r="E91" s="3" t="inlineStr">
        <is>
          <t>Colossus 1</t>
        </is>
      </c>
      <c r="F91" s="3" t="inlineStr">
        <is>
          <t>SpaceXAI</t>
        </is>
      </c>
      <c r="G91" s="3" t="inlineStr">
        <is>
          <t>United States</t>
        </is>
      </c>
      <c r="H91" s="25" t="n">
        <v>340</v>
      </c>
      <c r="I91" s="17" t="n">
        <v>1</v>
      </c>
      <c r="J91" s="17" t="n">
        <v>0.74</v>
      </c>
      <c r="K91" s="26" t="n">
        <v>0.26</v>
      </c>
      <c r="L91" s="3" t="inlineStr">
        <is>
          <t>2025-07-22</t>
        </is>
      </c>
      <c r="M91" s="27" t="n">
        <v>340</v>
      </c>
      <c r="N91" s="27" t="n">
        <v>340</v>
      </c>
      <c r="O91" s="3" t="inlineStr">
        <is>
          <t>confident</t>
        </is>
      </c>
      <c r="P91" s="3" t="inlineStr">
        <is>
          <t>H100,H200,B200</t>
        </is>
      </c>
      <c r="Q91" s="3" t="inlineStr">
        <is>
          <t>epoch_user_site_equal_split_seed</t>
        </is>
      </c>
      <c r="R91" s="3" t="inlineStr">
        <is>
          <t>SRC_EPOCH_AI_DATA_CENTERS; EPOCH_NORMALIZED_USER_SITES</t>
        </is>
      </c>
      <c r="S91" s="3" t="inlineStr">
        <is>
          <t>Capacity weight is used only to weight accelerator mix, not to overwrite company total power in 02_Inputs.</t>
        </is>
      </c>
    </row>
    <row r="92">
      <c r="A92" s="3" t="inlineStr">
        <is>
          <t>Bull|Anthropic|2026|Colossus 1</t>
        </is>
      </c>
      <c r="B92" s="3" t="inlineStr">
        <is>
          <t>Bull</t>
        </is>
      </c>
      <c r="C92" s="3" t="inlineStr">
        <is>
          <t>Anthropic</t>
        </is>
      </c>
      <c r="D92" s="3" t="n">
        <v>2026</v>
      </c>
      <c r="E92" s="3" t="inlineStr">
        <is>
          <t>Colossus 1</t>
        </is>
      </c>
      <c r="F92" s="3" t="inlineStr">
        <is>
          <t>SpaceXAI</t>
        </is>
      </c>
      <c r="G92" s="3" t="inlineStr">
        <is>
          <t>United States</t>
        </is>
      </c>
      <c r="H92" s="25" t="n">
        <v>340</v>
      </c>
      <c r="I92" s="17" t="n">
        <v>1</v>
      </c>
      <c r="J92" s="17" t="n">
        <v>0.57</v>
      </c>
      <c r="K92" s="26" t="n">
        <v>0.43</v>
      </c>
      <c r="L92" s="3" t="inlineStr">
        <is>
          <t>2025-07-22</t>
        </is>
      </c>
      <c r="M92" s="27" t="n">
        <v>340</v>
      </c>
      <c r="N92" s="27" t="n">
        <v>340</v>
      </c>
      <c r="O92" s="3" t="inlineStr">
        <is>
          <t>confident</t>
        </is>
      </c>
      <c r="P92" s="3" t="inlineStr">
        <is>
          <t>H100,H200,B200</t>
        </is>
      </c>
      <c r="Q92" s="3" t="inlineStr">
        <is>
          <t>epoch_user_site_equal_split_seed</t>
        </is>
      </c>
      <c r="R92" s="3" t="inlineStr">
        <is>
          <t>SRC_EPOCH_AI_DATA_CENTERS; EPOCH_NORMALIZED_USER_SITES</t>
        </is>
      </c>
      <c r="S92" s="3" t="inlineStr">
        <is>
          <t>Capacity weight is used only to weight accelerator mix, not to overwrite company total power in 02_Inputs.</t>
        </is>
      </c>
    </row>
    <row r="93">
      <c r="A93" s="3" t="inlineStr">
        <is>
          <t>Bull|Anthropic|2027|Colossus 1</t>
        </is>
      </c>
      <c r="B93" s="3" t="inlineStr">
        <is>
          <t>Bull</t>
        </is>
      </c>
      <c r="C93" s="3" t="inlineStr">
        <is>
          <t>Anthropic</t>
        </is>
      </c>
      <c r="D93" s="3" t="n">
        <v>2027</v>
      </c>
      <c r="E93" s="3" t="inlineStr">
        <is>
          <t>Colossus 1</t>
        </is>
      </c>
      <c r="F93" s="3" t="inlineStr">
        <is>
          <t>SpaceXAI</t>
        </is>
      </c>
      <c r="G93" s="3" t="inlineStr">
        <is>
          <t>United States</t>
        </is>
      </c>
      <c r="H93" s="25" t="n">
        <v>340</v>
      </c>
      <c r="I93" s="17" t="n">
        <v>1</v>
      </c>
      <c r="J93" s="17" t="n">
        <v>0.632</v>
      </c>
      <c r="K93" s="26" t="n">
        <v>0.368</v>
      </c>
      <c r="L93" s="3" t="inlineStr">
        <is>
          <t>2025-07-22</t>
        </is>
      </c>
      <c r="M93" s="27" t="n">
        <v>340</v>
      </c>
      <c r="N93" s="27" t="n">
        <v>340</v>
      </c>
      <c r="O93" s="3" t="inlineStr">
        <is>
          <t>confident</t>
        </is>
      </c>
      <c r="P93" s="3" t="inlineStr">
        <is>
          <t>H100,H200,B200</t>
        </is>
      </c>
      <c r="Q93" s="3" t="inlineStr">
        <is>
          <t>epoch_user_site_equal_split_seed</t>
        </is>
      </c>
      <c r="R93" s="3" t="inlineStr">
        <is>
          <t>SRC_EPOCH_AI_DATA_CENTERS; EPOCH_NORMALIZED_USER_SITES</t>
        </is>
      </c>
      <c r="S93" s="3" t="inlineStr">
        <is>
          <t>Capacity weight is used only to weight accelerator mix, not to overwrite company total power in 02_Inputs.</t>
        </is>
      </c>
    </row>
    <row r="94">
      <c r="A94" s="3" t="inlineStr">
        <is>
          <t>Bull|Anthropic|2028|Colossus 1</t>
        </is>
      </c>
      <c r="B94" s="3" t="inlineStr">
        <is>
          <t>Bull</t>
        </is>
      </c>
      <c r="C94" s="3" t="inlineStr">
        <is>
          <t>Anthropic</t>
        </is>
      </c>
      <c r="D94" s="3" t="n">
        <v>2028</v>
      </c>
      <c r="E94" s="3" t="inlineStr">
        <is>
          <t>Colossus 1</t>
        </is>
      </c>
      <c r="F94" s="3" t="inlineStr">
        <is>
          <t>SpaceXAI</t>
        </is>
      </c>
      <c r="G94" s="3" t="inlineStr">
        <is>
          <t>United States</t>
        </is>
      </c>
      <c r="H94" s="25" t="n">
        <v>340</v>
      </c>
      <c r="I94" s="17" t="n">
        <v>1</v>
      </c>
      <c r="J94" s="17" t="n">
        <v>0.695</v>
      </c>
      <c r="K94" s="26" t="n">
        <v>0.305</v>
      </c>
      <c r="L94" s="3" t="inlineStr">
        <is>
          <t>2025-07-22</t>
        </is>
      </c>
      <c r="M94" s="27" t="n">
        <v>340</v>
      </c>
      <c r="N94" s="27" t="n">
        <v>340</v>
      </c>
      <c r="O94" s="3" t="inlineStr">
        <is>
          <t>confident</t>
        </is>
      </c>
      <c r="P94" s="3" t="inlineStr">
        <is>
          <t>H100,H200,B200</t>
        </is>
      </c>
      <c r="Q94" s="3" t="inlineStr">
        <is>
          <t>epoch_user_site_equal_split_seed</t>
        </is>
      </c>
      <c r="R94" s="3" t="inlineStr">
        <is>
          <t>SRC_EPOCH_AI_DATA_CENTERS; EPOCH_NORMALIZED_USER_SITES</t>
        </is>
      </c>
      <c r="S94" s="3" t="inlineStr">
        <is>
          <t>Capacity weight is used only to weight accelerator mix, not to overwrite company total power in 02_Inputs.</t>
        </is>
      </c>
    </row>
    <row r="95">
      <c r="A95" s="3" t="inlineStr">
        <is>
          <t>Bull|Anthropic|2029|Colossus 1</t>
        </is>
      </c>
      <c r="B95" s="3" t="inlineStr">
        <is>
          <t>Bull</t>
        </is>
      </c>
      <c r="C95" s="3" t="inlineStr">
        <is>
          <t>Anthropic</t>
        </is>
      </c>
      <c r="D95" s="3" t="n">
        <v>2029</v>
      </c>
      <c r="E95" s="3" t="inlineStr">
        <is>
          <t>Colossus 1</t>
        </is>
      </c>
      <c r="F95" s="3" t="inlineStr">
        <is>
          <t>SpaceXAI</t>
        </is>
      </c>
      <c r="G95" s="3" t="inlineStr">
        <is>
          <t>United States</t>
        </is>
      </c>
      <c r="H95" s="25" t="n">
        <v>340</v>
      </c>
      <c r="I95" s="17" t="n">
        <v>1</v>
      </c>
      <c r="J95" s="17" t="n">
        <v>0.758</v>
      </c>
      <c r="K95" s="26" t="n">
        <v>0.242</v>
      </c>
      <c r="L95" s="3" t="inlineStr">
        <is>
          <t>2025-07-22</t>
        </is>
      </c>
      <c r="M95" s="27" t="n">
        <v>340</v>
      </c>
      <c r="N95" s="27" t="n">
        <v>340</v>
      </c>
      <c r="O95" s="3" t="inlineStr">
        <is>
          <t>confident</t>
        </is>
      </c>
      <c r="P95" s="3" t="inlineStr">
        <is>
          <t>H100,H200,B200</t>
        </is>
      </c>
      <c r="Q95" s="3" t="inlineStr">
        <is>
          <t>epoch_user_site_equal_split_seed</t>
        </is>
      </c>
      <c r="R95" s="3" t="inlineStr">
        <is>
          <t>SRC_EPOCH_AI_DATA_CENTERS; EPOCH_NORMALIZED_USER_SITES</t>
        </is>
      </c>
      <c r="S95" s="3" t="inlineStr">
        <is>
          <t>Capacity weight is used only to weight accelerator mix, not to overwrite company total power in 02_Inputs.</t>
        </is>
      </c>
    </row>
    <row r="96">
      <c r="A96" s="3" t="inlineStr">
        <is>
          <t>Bull|Anthropic|2030|Colossus 1</t>
        </is>
      </c>
      <c r="B96" s="3" t="inlineStr">
        <is>
          <t>Bull</t>
        </is>
      </c>
      <c r="C96" s="3" t="inlineStr">
        <is>
          <t>Anthropic</t>
        </is>
      </c>
      <c r="D96" s="3" t="n">
        <v>2030</v>
      </c>
      <c r="E96" s="3" t="inlineStr">
        <is>
          <t>Colossus 1</t>
        </is>
      </c>
      <c r="F96" s="3" t="inlineStr">
        <is>
          <t>SpaceXAI</t>
        </is>
      </c>
      <c r="G96" s="3" t="inlineStr">
        <is>
          <t>United States</t>
        </is>
      </c>
      <c r="H96" s="25" t="n">
        <v>340</v>
      </c>
      <c r="I96" s="17" t="n">
        <v>1</v>
      </c>
      <c r="J96" s="17" t="n">
        <v>0.82</v>
      </c>
      <c r="K96" s="26" t="n">
        <v>0.18</v>
      </c>
      <c r="L96" s="3" t="inlineStr">
        <is>
          <t>2025-07-22</t>
        </is>
      </c>
      <c r="M96" s="27" t="n">
        <v>340</v>
      </c>
      <c r="N96" s="27" t="n">
        <v>340</v>
      </c>
      <c r="O96" s="3" t="inlineStr">
        <is>
          <t>confident</t>
        </is>
      </c>
      <c r="P96" s="3" t="inlineStr">
        <is>
          <t>H100,H200,B200</t>
        </is>
      </c>
      <c r="Q96" s="3" t="inlineStr">
        <is>
          <t>epoch_user_site_equal_split_seed</t>
        </is>
      </c>
      <c r="R96" s="3" t="inlineStr">
        <is>
          <t>SRC_EPOCH_AI_DATA_CENTERS; EPOCH_NORMALIZED_USER_SITES</t>
        </is>
      </c>
      <c r="S96" s="3" t="inlineStr">
        <is>
          <t>Capacity weight is used only to weight accelerator mix, not to overwrite company total power in 02_Inputs.</t>
        </is>
      </c>
    </row>
    <row r="97">
      <c r="A97" s="3" t="inlineStr">
        <is>
          <t>Grid-Constrained / Efficiency-Upside|Anthropic|2026|Colossus 1</t>
        </is>
      </c>
      <c r="B97" s="3" t="inlineStr">
        <is>
          <t>Grid-Constrained / Efficiency-Upside</t>
        </is>
      </c>
      <c r="C97" s="3" t="inlineStr">
        <is>
          <t>Anthropic</t>
        </is>
      </c>
      <c r="D97" s="3" t="n">
        <v>2026</v>
      </c>
      <c r="E97" s="3" t="inlineStr">
        <is>
          <t>Colossus 1</t>
        </is>
      </c>
      <c r="F97" s="3" t="inlineStr">
        <is>
          <t>SpaceXAI</t>
        </is>
      </c>
      <c r="G97" s="3" t="inlineStr">
        <is>
          <t>United States</t>
        </is>
      </c>
      <c r="H97" s="25" t="n">
        <v>340</v>
      </c>
      <c r="I97" s="17" t="n">
        <v>1</v>
      </c>
      <c r="J97" s="17" t="n">
        <v>0.54</v>
      </c>
      <c r="K97" s="26" t="n">
        <v>0.46</v>
      </c>
      <c r="L97" s="3" t="inlineStr">
        <is>
          <t>2025-07-22</t>
        </is>
      </c>
      <c r="M97" s="27" t="n">
        <v>340</v>
      </c>
      <c r="N97" s="27" t="n">
        <v>340</v>
      </c>
      <c r="O97" s="3" t="inlineStr">
        <is>
          <t>confident</t>
        </is>
      </c>
      <c r="P97" s="3" t="inlineStr">
        <is>
          <t>H100,H200,B200</t>
        </is>
      </c>
      <c r="Q97" s="3" t="inlineStr">
        <is>
          <t>epoch_user_site_equal_split_seed</t>
        </is>
      </c>
      <c r="R97" s="3" t="inlineStr">
        <is>
          <t>SRC_EPOCH_AI_DATA_CENTERS; EPOCH_NORMALIZED_USER_SITES</t>
        </is>
      </c>
      <c r="S97" s="3" t="inlineStr">
        <is>
          <t>Capacity weight is used only to weight accelerator mix, not to overwrite company total power in 02_Inputs.</t>
        </is>
      </c>
    </row>
    <row r="98">
      <c r="A98" s="3" t="inlineStr">
        <is>
          <t>Grid-Constrained / Efficiency-Upside|Anthropic|2027|Colossus 1</t>
        </is>
      </c>
      <c r="B98" s="3" t="inlineStr">
        <is>
          <t>Grid-Constrained / Efficiency-Upside</t>
        </is>
      </c>
      <c r="C98" s="3" t="inlineStr">
        <is>
          <t>Anthropic</t>
        </is>
      </c>
      <c r="D98" s="3" t="n">
        <v>2027</v>
      </c>
      <c r="E98" s="3" t="inlineStr">
        <is>
          <t>Colossus 1</t>
        </is>
      </c>
      <c r="F98" s="3" t="inlineStr">
        <is>
          <t>SpaceXAI</t>
        </is>
      </c>
      <c r="G98" s="3" t="inlineStr">
        <is>
          <t>United States</t>
        </is>
      </c>
      <c r="H98" s="25" t="n">
        <v>340</v>
      </c>
      <c r="I98" s="17" t="n">
        <v>1</v>
      </c>
      <c r="J98" s="17" t="n">
        <v>0.6</v>
      </c>
      <c r="K98" s="26" t="n">
        <v>0.4</v>
      </c>
      <c r="L98" s="3" t="inlineStr">
        <is>
          <t>2025-07-22</t>
        </is>
      </c>
      <c r="M98" s="27" t="n">
        <v>340</v>
      </c>
      <c r="N98" s="27" t="n">
        <v>340</v>
      </c>
      <c r="O98" s="3" t="inlineStr">
        <is>
          <t>confident</t>
        </is>
      </c>
      <c r="P98" s="3" t="inlineStr">
        <is>
          <t>H100,H200,B200</t>
        </is>
      </c>
      <c r="Q98" s="3" t="inlineStr">
        <is>
          <t>epoch_user_site_equal_split_seed</t>
        </is>
      </c>
      <c r="R98" s="3" t="inlineStr">
        <is>
          <t>SRC_EPOCH_AI_DATA_CENTERS; EPOCH_NORMALIZED_USER_SITES</t>
        </is>
      </c>
      <c r="S98" s="3" t="inlineStr">
        <is>
          <t>Capacity weight is used only to weight accelerator mix, not to overwrite company total power in 02_Inputs.</t>
        </is>
      </c>
    </row>
    <row r="99">
      <c r="A99" s="3" t="inlineStr">
        <is>
          <t>Grid-Constrained / Efficiency-Upside|Anthropic|2028|Colossus 1</t>
        </is>
      </c>
      <c r="B99" s="3" t="inlineStr">
        <is>
          <t>Grid-Constrained / Efficiency-Upside</t>
        </is>
      </c>
      <c r="C99" s="3" t="inlineStr">
        <is>
          <t>Anthropic</t>
        </is>
      </c>
      <c r="D99" s="3" t="n">
        <v>2028</v>
      </c>
      <c r="E99" s="3" t="inlineStr">
        <is>
          <t>Colossus 1</t>
        </is>
      </c>
      <c r="F99" s="3" t="inlineStr">
        <is>
          <t>SpaceXAI</t>
        </is>
      </c>
      <c r="G99" s="3" t="inlineStr">
        <is>
          <t>United States</t>
        </is>
      </c>
      <c r="H99" s="25" t="n">
        <v>340</v>
      </c>
      <c r="I99" s="17" t="n">
        <v>1</v>
      </c>
      <c r="J99" s="17" t="n">
        <v>0.66</v>
      </c>
      <c r="K99" s="26" t="n">
        <v>0.34</v>
      </c>
      <c r="L99" s="3" t="inlineStr">
        <is>
          <t>2025-07-22</t>
        </is>
      </c>
      <c r="M99" s="27" t="n">
        <v>340</v>
      </c>
      <c r="N99" s="27" t="n">
        <v>340</v>
      </c>
      <c r="O99" s="3" t="inlineStr">
        <is>
          <t>confident</t>
        </is>
      </c>
      <c r="P99" s="3" t="inlineStr">
        <is>
          <t>H100,H200,B200</t>
        </is>
      </c>
      <c r="Q99" s="3" t="inlineStr">
        <is>
          <t>epoch_user_site_equal_split_seed</t>
        </is>
      </c>
      <c r="R99" s="3" t="inlineStr">
        <is>
          <t>SRC_EPOCH_AI_DATA_CENTERS; EPOCH_NORMALIZED_USER_SITES</t>
        </is>
      </c>
      <c r="S99" s="3" t="inlineStr">
        <is>
          <t>Capacity weight is used only to weight accelerator mix, not to overwrite company total power in 02_Inputs.</t>
        </is>
      </c>
    </row>
    <row r="100">
      <c r="A100" s="3" t="inlineStr">
        <is>
          <t>Grid-Constrained / Efficiency-Upside|Anthropic|2029|Colossus 1</t>
        </is>
      </c>
      <c r="B100" s="3" t="inlineStr">
        <is>
          <t>Grid-Constrained / Efficiency-Upside</t>
        </is>
      </c>
      <c r="C100" s="3" t="inlineStr">
        <is>
          <t>Anthropic</t>
        </is>
      </c>
      <c r="D100" s="3" t="n">
        <v>2029</v>
      </c>
      <c r="E100" s="3" t="inlineStr">
        <is>
          <t>Colossus 1</t>
        </is>
      </c>
      <c r="F100" s="3" t="inlineStr">
        <is>
          <t>SpaceXAI</t>
        </is>
      </c>
      <c r="G100" s="3" t="inlineStr">
        <is>
          <t>United States</t>
        </is>
      </c>
      <c r="H100" s="25" t="n">
        <v>340</v>
      </c>
      <c r="I100" s="17" t="n">
        <v>1</v>
      </c>
      <c r="J100" s="17" t="n">
        <v>0.72</v>
      </c>
      <c r="K100" s="26" t="n">
        <v>0.28</v>
      </c>
      <c r="L100" s="3" t="inlineStr">
        <is>
          <t>2025-07-22</t>
        </is>
      </c>
      <c r="M100" s="27" t="n">
        <v>340</v>
      </c>
      <c r="N100" s="27" t="n">
        <v>340</v>
      </c>
      <c r="O100" s="3" t="inlineStr">
        <is>
          <t>confident</t>
        </is>
      </c>
      <c r="P100" s="3" t="inlineStr">
        <is>
          <t>H100,H200,B200</t>
        </is>
      </c>
      <c r="Q100" s="3" t="inlineStr">
        <is>
          <t>epoch_user_site_equal_split_seed</t>
        </is>
      </c>
      <c r="R100" s="3" t="inlineStr">
        <is>
          <t>SRC_EPOCH_AI_DATA_CENTERS; EPOCH_NORMALIZED_USER_SITES</t>
        </is>
      </c>
      <c r="S100" s="3" t="inlineStr">
        <is>
          <t>Capacity weight is used only to weight accelerator mix, not to overwrite company total power in 02_Inputs.</t>
        </is>
      </c>
    </row>
    <row r="101">
      <c r="A101" s="3" t="inlineStr">
        <is>
          <t>Grid-Constrained / Efficiency-Upside|Anthropic|2030|Colossus 1</t>
        </is>
      </c>
      <c r="B101" s="3" t="inlineStr">
        <is>
          <t>Grid-Constrained / Efficiency-Upside</t>
        </is>
      </c>
      <c r="C101" s="3" t="inlineStr">
        <is>
          <t>Anthropic</t>
        </is>
      </c>
      <c r="D101" s="3" t="n">
        <v>2030</v>
      </c>
      <c r="E101" s="3" t="inlineStr">
        <is>
          <t>Colossus 1</t>
        </is>
      </c>
      <c r="F101" s="3" t="inlineStr">
        <is>
          <t>SpaceXAI</t>
        </is>
      </c>
      <c r="G101" s="3" t="inlineStr">
        <is>
          <t>United States</t>
        </is>
      </c>
      <c r="H101" s="25" t="n">
        <v>340</v>
      </c>
      <c r="I101" s="17" t="n">
        <v>1</v>
      </c>
      <c r="J101" s="17" t="n">
        <v>0.78</v>
      </c>
      <c r="K101" s="26" t="n">
        <v>0.22</v>
      </c>
      <c r="L101" s="3" t="inlineStr">
        <is>
          <t>2025-07-22</t>
        </is>
      </c>
      <c r="M101" s="27" t="n">
        <v>340</v>
      </c>
      <c r="N101" s="27" t="n">
        <v>340</v>
      </c>
      <c r="O101" s="3" t="inlineStr">
        <is>
          <t>confident</t>
        </is>
      </c>
      <c r="P101" s="3" t="inlineStr">
        <is>
          <t>H100,H200,B200</t>
        </is>
      </c>
      <c r="Q101" s="3" t="inlineStr">
        <is>
          <t>epoch_user_site_equal_split_seed</t>
        </is>
      </c>
      <c r="R101" s="3" t="inlineStr">
        <is>
          <t>SRC_EPOCH_AI_DATA_CENTERS; EPOCH_NORMALIZED_USER_SITES</t>
        </is>
      </c>
      <c r="S101" s="3" t="inlineStr">
        <is>
          <t>Capacity weight is used only to weight accelerator mix, not to overwrite company total power in 02_Inputs.</t>
        </is>
      </c>
    </row>
    <row r="102">
      <c r="A102" s="3" t="inlineStr">
        <is>
          <t>Bear|Anthropic|2026|Colossus 2</t>
        </is>
      </c>
      <c r="B102" s="3" t="inlineStr">
        <is>
          <t>Bear</t>
        </is>
      </c>
      <c r="C102" s="3" t="inlineStr">
        <is>
          <t>Anthropic</t>
        </is>
      </c>
      <c r="D102" s="3" t="n">
        <v>2026</v>
      </c>
      <c r="E102" s="3" t="inlineStr">
        <is>
          <t>Colossus 2</t>
        </is>
      </c>
      <c r="F102" s="3" t="inlineStr">
        <is>
          <t>SpaceXAI</t>
        </is>
      </c>
      <c r="G102" s="3" t="inlineStr">
        <is>
          <t>United States</t>
        </is>
      </c>
      <c r="H102" s="25" t="n">
        <v>315.333</v>
      </c>
      <c r="I102" s="17" t="n">
        <v>1</v>
      </c>
      <c r="J102" s="17" t="n">
        <v>0.44</v>
      </c>
      <c r="K102" s="26" t="n">
        <v>0.5600000000000001</v>
      </c>
      <c r="L102" s="3" t="inlineStr">
        <is>
          <t>2026-07-01</t>
        </is>
      </c>
      <c r="M102" s="27" t="n">
        <v>315.3333333333333</v>
      </c>
      <c r="N102" s="27" t="n">
        <v>315.333</v>
      </c>
      <c r="O102" s="3" t="inlineStr">
        <is>
          <t>confident</t>
        </is>
      </c>
      <c r="P102" s="3" t="inlineStr">
        <is>
          <t>B200,B300</t>
        </is>
      </c>
      <c r="Q102" s="3" t="inlineStr">
        <is>
          <t>epoch_user_site_equal_split_seed</t>
        </is>
      </c>
      <c r="R102" s="3" t="inlineStr">
        <is>
          <t>SRC_EPOCH_AI_DATA_CENTERS; EPOCH_NORMALIZED_USER_SITES</t>
        </is>
      </c>
      <c r="S102" s="3" t="inlineStr">
        <is>
          <t>Capacity weight is used only to weight accelerator mix, not to overwrite company total power in 02_Inputs.</t>
        </is>
      </c>
    </row>
    <row r="103">
      <c r="A103" s="3" t="inlineStr">
        <is>
          <t>Bear|Anthropic|2027|Colossus 2</t>
        </is>
      </c>
      <c r="B103" s="3" t="inlineStr">
        <is>
          <t>Bear</t>
        </is>
      </c>
      <c r="C103" s="3" t="inlineStr">
        <is>
          <t>Anthropic</t>
        </is>
      </c>
      <c r="D103" s="3" t="n">
        <v>2027</v>
      </c>
      <c r="E103" s="3" t="inlineStr">
        <is>
          <t>Colossus 2</t>
        </is>
      </c>
      <c r="F103" s="3" t="inlineStr">
        <is>
          <t>SpaceXAI</t>
        </is>
      </c>
      <c r="G103" s="3" t="inlineStr">
        <is>
          <t>United States</t>
        </is>
      </c>
      <c r="H103" s="25" t="n">
        <v>315.333</v>
      </c>
      <c r="I103" s="17" t="n">
        <v>1</v>
      </c>
      <c r="J103" s="17" t="n">
        <v>0.49</v>
      </c>
      <c r="K103" s="26" t="n">
        <v>0.51</v>
      </c>
      <c r="L103" s="3" t="inlineStr">
        <is>
          <t>2026-07-01</t>
        </is>
      </c>
      <c r="M103" s="27" t="n">
        <v>315.3333333333333</v>
      </c>
      <c r="N103" s="27" t="n">
        <v>315.333</v>
      </c>
      <c r="O103" s="3" t="inlineStr">
        <is>
          <t>confident</t>
        </is>
      </c>
      <c r="P103" s="3" t="inlineStr">
        <is>
          <t>B200,B300</t>
        </is>
      </c>
      <c r="Q103" s="3" t="inlineStr">
        <is>
          <t>epoch_user_site_equal_split_seed</t>
        </is>
      </c>
      <c r="R103" s="3" t="inlineStr">
        <is>
          <t>SRC_EPOCH_AI_DATA_CENTERS; EPOCH_NORMALIZED_USER_SITES</t>
        </is>
      </c>
      <c r="S103" s="3" t="inlineStr">
        <is>
          <t>Capacity weight is used only to weight accelerator mix, not to overwrite company total power in 02_Inputs.</t>
        </is>
      </c>
    </row>
    <row r="104">
      <c r="A104" s="3" t="inlineStr">
        <is>
          <t>Bear|Anthropic|2028|Colossus 2</t>
        </is>
      </c>
      <c r="B104" s="3" t="inlineStr">
        <is>
          <t>Bear</t>
        </is>
      </c>
      <c r="C104" s="3" t="inlineStr">
        <is>
          <t>Anthropic</t>
        </is>
      </c>
      <c r="D104" s="3" t="n">
        <v>2028</v>
      </c>
      <c r="E104" s="3" t="inlineStr">
        <is>
          <t>Colossus 2</t>
        </is>
      </c>
      <c r="F104" s="3" t="inlineStr">
        <is>
          <t>SpaceXAI</t>
        </is>
      </c>
      <c r="G104" s="3" t="inlineStr">
        <is>
          <t>United States</t>
        </is>
      </c>
      <c r="H104" s="25" t="n">
        <v>315.333</v>
      </c>
      <c r="I104" s="17" t="n">
        <v>1</v>
      </c>
      <c r="J104" s="17" t="n">
        <v>0.54</v>
      </c>
      <c r="K104" s="26" t="n">
        <v>0.46</v>
      </c>
      <c r="L104" s="3" t="inlineStr">
        <is>
          <t>2026-07-01</t>
        </is>
      </c>
      <c r="M104" s="27" t="n">
        <v>315.3333333333333</v>
      </c>
      <c r="N104" s="27" t="n">
        <v>315.333</v>
      </c>
      <c r="O104" s="3" t="inlineStr">
        <is>
          <t>confident</t>
        </is>
      </c>
      <c r="P104" s="3" t="inlineStr">
        <is>
          <t>B200,B300</t>
        </is>
      </c>
      <c r="Q104" s="3" t="inlineStr">
        <is>
          <t>epoch_user_site_equal_split_seed</t>
        </is>
      </c>
      <c r="R104" s="3" t="inlineStr">
        <is>
          <t>SRC_EPOCH_AI_DATA_CENTERS; EPOCH_NORMALIZED_USER_SITES</t>
        </is>
      </c>
      <c r="S104" s="3" t="inlineStr">
        <is>
          <t>Capacity weight is used only to weight accelerator mix, not to overwrite company total power in 02_Inputs.</t>
        </is>
      </c>
    </row>
    <row r="105">
      <c r="A105" s="3" t="inlineStr">
        <is>
          <t>Bear|Anthropic|2029|Colossus 2</t>
        </is>
      </c>
      <c r="B105" s="3" t="inlineStr">
        <is>
          <t>Bear</t>
        </is>
      </c>
      <c r="C105" s="3" t="inlineStr">
        <is>
          <t>Anthropic</t>
        </is>
      </c>
      <c r="D105" s="3" t="n">
        <v>2029</v>
      </c>
      <c r="E105" s="3" t="inlineStr">
        <is>
          <t>Colossus 2</t>
        </is>
      </c>
      <c r="F105" s="3" t="inlineStr">
        <is>
          <t>SpaceXAI</t>
        </is>
      </c>
      <c r="G105" s="3" t="inlineStr">
        <is>
          <t>United States</t>
        </is>
      </c>
      <c r="H105" s="25" t="n">
        <v>315.333</v>
      </c>
      <c r="I105" s="17" t="n">
        <v>1</v>
      </c>
      <c r="J105" s="17" t="n">
        <v>0.59</v>
      </c>
      <c r="K105" s="26" t="n">
        <v>0.41</v>
      </c>
      <c r="L105" s="3" t="inlineStr">
        <is>
          <t>2026-07-01</t>
        </is>
      </c>
      <c r="M105" s="27" t="n">
        <v>315.3333333333333</v>
      </c>
      <c r="N105" s="27" t="n">
        <v>315.333</v>
      </c>
      <c r="O105" s="3" t="inlineStr">
        <is>
          <t>confident</t>
        </is>
      </c>
      <c r="P105" s="3" t="inlineStr">
        <is>
          <t>B200,B300</t>
        </is>
      </c>
      <c r="Q105" s="3" t="inlineStr">
        <is>
          <t>epoch_user_site_equal_split_seed</t>
        </is>
      </c>
      <c r="R105" s="3" t="inlineStr">
        <is>
          <t>SRC_EPOCH_AI_DATA_CENTERS; EPOCH_NORMALIZED_USER_SITES</t>
        </is>
      </c>
      <c r="S105" s="3" t="inlineStr">
        <is>
          <t>Capacity weight is used only to weight accelerator mix, not to overwrite company total power in 02_Inputs.</t>
        </is>
      </c>
    </row>
    <row r="106">
      <c r="A106" s="3" t="inlineStr">
        <is>
          <t>Bear|Anthropic|2030|Colossus 2</t>
        </is>
      </c>
      <c r="B106" s="3" t="inlineStr">
        <is>
          <t>Bear</t>
        </is>
      </c>
      <c r="C106" s="3" t="inlineStr">
        <is>
          <t>Anthropic</t>
        </is>
      </c>
      <c r="D106" s="3" t="n">
        <v>2030</v>
      </c>
      <c r="E106" s="3" t="inlineStr">
        <is>
          <t>Colossus 2</t>
        </is>
      </c>
      <c r="F106" s="3" t="inlineStr">
        <is>
          <t>SpaceXAI</t>
        </is>
      </c>
      <c r="G106" s="3" t="inlineStr">
        <is>
          <t>United States</t>
        </is>
      </c>
      <c r="H106" s="25" t="n">
        <v>315.333</v>
      </c>
      <c r="I106" s="17" t="n">
        <v>1</v>
      </c>
      <c r="J106" s="17" t="n">
        <v>0.64</v>
      </c>
      <c r="K106" s="26" t="n">
        <v>0.36</v>
      </c>
      <c r="L106" s="3" t="inlineStr">
        <is>
          <t>2026-07-01</t>
        </is>
      </c>
      <c r="M106" s="27" t="n">
        <v>315.3333333333333</v>
      </c>
      <c r="N106" s="27" t="n">
        <v>315.333</v>
      </c>
      <c r="O106" s="3" t="inlineStr">
        <is>
          <t>confident</t>
        </is>
      </c>
      <c r="P106" s="3" t="inlineStr">
        <is>
          <t>B200,B300</t>
        </is>
      </c>
      <c r="Q106" s="3" t="inlineStr">
        <is>
          <t>epoch_user_site_equal_split_seed</t>
        </is>
      </c>
      <c r="R106" s="3" t="inlineStr">
        <is>
          <t>SRC_EPOCH_AI_DATA_CENTERS; EPOCH_NORMALIZED_USER_SITES</t>
        </is>
      </c>
      <c r="S106" s="3" t="inlineStr">
        <is>
          <t>Capacity weight is used only to weight accelerator mix, not to overwrite company total power in 02_Inputs.</t>
        </is>
      </c>
    </row>
    <row r="107">
      <c r="A107" s="3" t="inlineStr">
        <is>
          <t>Base|Anthropic|2026|Colossus 2</t>
        </is>
      </c>
      <c r="B107" s="3" t="inlineStr">
        <is>
          <t>Base</t>
        </is>
      </c>
      <c r="C107" s="3" t="inlineStr">
        <is>
          <t>Anthropic</t>
        </is>
      </c>
      <c r="D107" s="3" t="n">
        <v>2026</v>
      </c>
      <c r="E107" s="3" t="inlineStr">
        <is>
          <t>Colossus 2</t>
        </is>
      </c>
      <c r="F107" s="3" t="inlineStr">
        <is>
          <t>SpaceXAI</t>
        </is>
      </c>
      <c r="G107" s="3" t="inlineStr">
        <is>
          <t>United States</t>
        </is>
      </c>
      <c r="H107" s="25" t="n">
        <v>315.333</v>
      </c>
      <c r="I107" s="17" t="n">
        <v>1</v>
      </c>
      <c r="J107" s="17" t="n">
        <v>0.52</v>
      </c>
      <c r="K107" s="26" t="n">
        <v>0.48</v>
      </c>
      <c r="L107" s="3" t="inlineStr">
        <is>
          <t>2026-07-01</t>
        </is>
      </c>
      <c r="M107" s="27" t="n">
        <v>315.3333333333333</v>
      </c>
      <c r="N107" s="27" t="n">
        <v>315.333</v>
      </c>
      <c r="O107" s="3" t="inlineStr">
        <is>
          <t>confident</t>
        </is>
      </c>
      <c r="P107" s="3" t="inlineStr">
        <is>
          <t>B200,B300</t>
        </is>
      </c>
      <c r="Q107" s="3" t="inlineStr">
        <is>
          <t>epoch_user_site_equal_split_seed</t>
        </is>
      </c>
      <c r="R107" s="3" t="inlineStr">
        <is>
          <t>SRC_EPOCH_AI_DATA_CENTERS; EPOCH_NORMALIZED_USER_SITES</t>
        </is>
      </c>
      <c r="S107" s="3" t="inlineStr">
        <is>
          <t>Capacity weight is used only to weight accelerator mix, not to overwrite company total power in 02_Inputs.</t>
        </is>
      </c>
    </row>
    <row r="108">
      <c r="A108" s="3" t="inlineStr">
        <is>
          <t>Base|Anthropic|2027|Colossus 2</t>
        </is>
      </c>
      <c r="B108" s="3" t="inlineStr">
        <is>
          <t>Base</t>
        </is>
      </c>
      <c r="C108" s="3" t="inlineStr">
        <is>
          <t>Anthropic</t>
        </is>
      </c>
      <c r="D108" s="3" t="n">
        <v>2027</v>
      </c>
      <c r="E108" s="3" t="inlineStr">
        <is>
          <t>Colossus 2</t>
        </is>
      </c>
      <c r="F108" s="3" t="inlineStr">
        <is>
          <t>SpaceXAI</t>
        </is>
      </c>
      <c r="G108" s="3" t="inlineStr">
        <is>
          <t>United States</t>
        </is>
      </c>
      <c r="H108" s="25" t="n">
        <v>315.333</v>
      </c>
      <c r="I108" s="17" t="n">
        <v>1</v>
      </c>
      <c r="J108" s="17" t="n">
        <v>0.575</v>
      </c>
      <c r="K108" s="26" t="n">
        <v>0.425</v>
      </c>
      <c r="L108" s="3" t="inlineStr">
        <is>
          <t>2026-07-01</t>
        </is>
      </c>
      <c r="M108" s="27" t="n">
        <v>315.3333333333333</v>
      </c>
      <c r="N108" s="27" t="n">
        <v>315.333</v>
      </c>
      <c r="O108" s="3" t="inlineStr">
        <is>
          <t>confident</t>
        </is>
      </c>
      <c r="P108" s="3" t="inlineStr">
        <is>
          <t>B200,B300</t>
        </is>
      </c>
      <c r="Q108" s="3" t="inlineStr">
        <is>
          <t>epoch_user_site_equal_split_seed</t>
        </is>
      </c>
      <c r="R108" s="3" t="inlineStr">
        <is>
          <t>SRC_EPOCH_AI_DATA_CENTERS; EPOCH_NORMALIZED_USER_SITES</t>
        </is>
      </c>
      <c r="S108" s="3" t="inlineStr">
        <is>
          <t>Capacity weight is used only to weight accelerator mix, not to overwrite company total power in 02_Inputs.</t>
        </is>
      </c>
    </row>
    <row r="109">
      <c r="A109" s="3" t="inlineStr">
        <is>
          <t>Base|Anthropic|2028|Colossus 2</t>
        </is>
      </c>
      <c r="B109" s="3" t="inlineStr">
        <is>
          <t>Base</t>
        </is>
      </c>
      <c r="C109" s="3" t="inlineStr">
        <is>
          <t>Anthropic</t>
        </is>
      </c>
      <c r="D109" s="3" t="n">
        <v>2028</v>
      </c>
      <c r="E109" s="3" t="inlineStr">
        <is>
          <t>Colossus 2</t>
        </is>
      </c>
      <c r="F109" s="3" t="inlineStr">
        <is>
          <t>SpaceXAI</t>
        </is>
      </c>
      <c r="G109" s="3" t="inlineStr">
        <is>
          <t>United States</t>
        </is>
      </c>
      <c r="H109" s="25" t="n">
        <v>315.333</v>
      </c>
      <c r="I109" s="17" t="n">
        <v>1</v>
      </c>
      <c r="J109" s="17" t="n">
        <v>0.63</v>
      </c>
      <c r="K109" s="26" t="n">
        <v>0.37</v>
      </c>
      <c r="L109" s="3" t="inlineStr">
        <is>
          <t>2026-07-01</t>
        </is>
      </c>
      <c r="M109" s="27" t="n">
        <v>315.3333333333333</v>
      </c>
      <c r="N109" s="27" t="n">
        <v>315.333</v>
      </c>
      <c r="O109" s="3" t="inlineStr">
        <is>
          <t>confident</t>
        </is>
      </c>
      <c r="P109" s="3" t="inlineStr">
        <is>
          <t>B200,B300</t>
        </is>
      </c>
      <c r="Q109" s="3" t="inlineStr">
        <is>
          <t>epoch_user_site_equal_split_seed</t>
        </is>
      </c>
      <c r="R109" s="3" t="inlineStr">
        <is>
          <t>SRC_EPOCH_AI_DATA_CENTERS; EPOCH_NORMALIZED_USER_SITES</t>
        </is>
      </c>
      <c r="S109" s="3" t="inlineStr">
        <is>
          <t>Capacity weight is used only to weight accelerator mix, not to overwrite company total power in 02_Inputs.</t>
        </is>
      </c>
    </row>
    <row r="110">
      <c r="A110" s="3" t="inlineStr">
        <is>
          <t>Base|Anthropic|2029|Colossus 2</t>
        </is>
      </c>
      <c r="B110" s="3" t="inlineStr">
        <is>
          <t>Base</t>
        </is>
      </c>
      <c r="C110" s="3" t="inlineStr">
        <is>
          <t>Anthropic</t>
        </is>
      </c>
      <c r="D110" s="3" t="n">
        <v>2029</v>
      </c>
      <c r="E110" s="3" t="inlineStr">
        <is>
          <t>Colossus 2</t>
        </is>
      </c>
      <c r="F110" s="3" t="inlineStr">
        <is>
          <t>SpaceXAI</t>
        </is>
      </c>
      <c r="G110" s="3" t="inlineStr">
        <is>
          <t>United States</t>
        </is>
      </c>
      <c r="H110" s="25" t="n">
        <v>315.333</v>
      </c>
      <c r="I110" s="17" t="n">
        <v>1</v>
      </c>
      <c r="J110" s="17" t="n">
        <v>0.6850000000000001</v>
      </c>
      <c r="K110" s="26" t="n">
        <v>0.315</v>
      </c>
      <c r="L110" s="3" t="inlineStr">
        <is>
          <t>2026-07-01</t>
        </is>
      </c>
      <c r="M110" s="27" t="n">
        <v>315.3333333333333</v>
      </c>
      <c r="N110" s="27" t="n">
        <v>315.333</v>
      </c>
      <c r="O110" s="3" t="inlineStr">
        <is>
          <t>confident</t>
        </is>
      </c>
      <c r="P110" s="3" t="inlineStr">
        <is>
          <t>B200,B300</t>
        </is>
      </c>
      <c r="Q110" s="3" t="inlineStr">
        <is>
          <t>epoch_user_site_equal_split_seed</t>
        </is>
      </c>
      <c r="R110" s="3" t="inlineStr">
        <is>
          <t>SRC_EPOCH_AI_DATA_CENTERS; EPOCH_NORMALIZED_USER_SITES</t>
        </is>
      </c>
      <c r="S110" s="3" t="inlineStr">
        <is>
          <t>Capacity weight is used only to weight accelerator mix, not to overwrite company total power in 02_Inputs.</t>
        </is>
      </c>
    </row>
    <row r="111">
      <c r="A111" s="3" t="inlineStr">
        <is>
          <t>Base|Anthropic|2030|Colossus 2</t>
        </is>
      </c>
      <c r="B111" s="3" t="inlineStr">
        <is>
          <t>Base</t>
        </is>
      </c>
      <c r="C111" s="3" t="inlineStr">
        <is>
          <t>Anthropic</t>
        </is>
      </c>
      <c r="D111" s="3" t="n">
        <v>2030</v>
      </c>
      <c r="E111" s="3" t="inlineStr">
        <is>
          <t>Colossus 2</t>
        </is>
      </c>
      <c r="F111" s="3" t="inlineStr">
        <is>
          <t>SpaceXAI</t>
        </is>
      </c>
      <c r="G111" s="3" t="inlineStr">
        <is>
          <t>United States</t>
        </is>
      </c>
      <c r="H111" s="25" t="n">
        <v>315.333</v>
      </c>
      <c r="I111" s="17" t="n">
        <v>1</v>
      </c>
      <c r="J111" s="17" t="n">
        <v>0.74</v>
      </c>
      <c r="K111" s="26" t="n">
        <v>0.26</v>
      </c>
      <c r="L111" s="3" t="inlineStr">
        <is>
          <t>2026-07-01</t>
        </is>
      </c>
      <c r="M111" s="27" t="n">
        <v>315.3333333333333</v>
      </c>
      <c r="N111" s="27" t="n">
        <v>315.333</v>
      </c>
      <c r="O111" s="3" t="inlineStr">
        <is>
          <t>confident</t>
        </is>
      </c>
      <c r="P111" s="3" t="inlineStr">
        <is>
          <t>B200,B300</t>
        </is>
      </c>
      <c r="Q111" s="3" t="inlineStr">
        <is>
          <t>epoch_user_site_equal_split_seed</t>
        </is>
      </c>
      <c r="R111" s="3" t="inlineStr">
        <is>
          <t>SRC_EPOCH_AI_DATA_CENTERS; EPOCH_NORMALIZED_USER_SITES</t>
        </is>
      </c>
      <c r="S111" s="3" t="inlineStr">
        <is>
          <t>Capacity weight is used only to weight accelerator mix, not to overwrite company total power in 02_Inputs.</t>
        </is>
      </c>
    </row>
    <row r="112">
      <c r="A112" s="3" t="inlineStr">
        <is>
          <t>Bull|Anthropic|2026|Colossus 2</t>
        </is>
      </c>
      <c r="B112" s="3" t="inlineStr">
        <is>
          <t>Bull</t>
        </is>
      </c>
      <c r="C112" s="3" t="inlineStr">
        <is>
          <t>Anthropic</t>
        </is>
      </c>
      <c r="D112" s="3" t="n">
        <v>2026</v>
      </c>
      <c r="E112" s="3" t="inlineStr">
        <is>
          <t>Colossus 2</t>
        </is>
      </c>
      <c r="F112" s="3" t="inlineStr">
        <is>
          <t>SpaceXAI</t>
        </is>
      </c>
      <c r="G112" s="3" t="inlineStr">
        <is>
          <t>United States</t>
        </is>
      </c>
      <c r="H112" s="25" t="n">
        <v>315.333</v>
      </c>
      <c r="I112" s="17" t="n">
        <v>1</v>
      </c>
      <c r="J112" s="17" t="n">
        <v>0.57</v>
      </c>
      <c r="K112" s="26" t="n">
        <v>0.43</v>
      </c>
      <c r="L112" s="3" t="inlineStr">
        <is>
          <t>2026-07-01</t>
        </is>
      </c>
      <c r="M112" s="27" t="n">
        <v>315.3333333333333</v>
      </c>
      <c r="N112" s="27" t="n">
        <v>315.333</v>
      </c>
      <c r="O112" s="3" t="inlineStr">
        <is>
          <t>confident</t>
        </is>
      </c>
      <c r="P112" s="3" t="inlineStr">
        <is>
          <t>B200,B300</t>
        </is>
      </c>
      <c r="Q112" s="3" t="inlineStr">
        <is>
          <t>epoch_user_site_equal_split_seed</t>
        </is>
      </c>
      <c r="R112" s="3" t="inlineStr">
        <is>
          <t>SRC_EPOCH_AI_DATA_CENTERS; EPOCH_NORMALIZED_USER_SITES</t>
        </is>
      </c>
      <c r="S112" s="3" t="inlineStr">
        <is>
          <t>Capacity weight is used only to weight accelerator mix, not to overwrite company total power in 02_Inputs.</t>
        </is>
      </c>
    </row>
    <row r="113">
      <c r="A113" s="3" t="inlineStr">
        <is>
          <t>Bull|Anthropic|2027|Colossus 2</t>
        </is>
      </c>
      <c r="B113" s="3" t="inlineStr">
        <is>
          <t>Bull</t>
        </is>
      </c>
      <c r="C113" s="3" t="inlineStr">
        <is>
          <t>Anthropic</t>
        </is>
      </c>
      <c r="D113" s="3" t="n">
        <v>2027</v>
      </c>
      <c r="E113" s="3" t="inlineStr">
        <is>
          <t>Colossus 2</t>
        </is>
      </c>
      <c r="F113" s="3" t="inlineStr">
        <is>
          <t>SpaceXAI</t>
        </is>
      </c>
      <c r="G113" s="3" t="inlineStr">
        <is>
          <t>United States</t>
        </is>
      </c>
      <c r="H113" s="25" t="n">
        <v>315.333</v>
      </c>
      <c r="I113" s="17" t="n">
        <v>1</v>
      </c>
      <c r="J113" s="17" t="n">
        <v>0.632</v>
      </c>
      <c r="K113" s="26" t="n">
        <v>0.368</v>
      </c>
      <c r="L113" s="3" t="inlineStr">
        <is>
          <t>2026-07-01</t>
        </is>
      </c>
      <c r="M113" s="27" t="n">
        <v>315.3333333333333</v>
      </c>
      <c r="N113" s="27" t="n">
        <v>315.333</v>
      </c>
      <c r="O113" s="3" t="inlineStr">
        <is>
          <t>confident</t>
        </is>
      </c>
      <c r="P113" s="3" t="inlineStr">
        <is>
          <t>B200,B300</t>
        </is>
      </c>
      <c r="Q113" s="3" t="inlineStr">
        <is>
          <t>epoch_user_site_equal_split_seed</t>
        </is>
      </c>
      <c r="R113" s="3" t="inlineStr">
        <is>
          <t>SRC_EPOCH_AI_DATA_CENTERS; EPOCH_NORMALIZED_USER_SITES</t>
        </is>
      </c>
      <c r="S113" s="3" t="inlineStr">
        <is>
          <t>Capacity weight is used only to weight accelerator mix, not to overwrite company total power in 02_Inputs.</t>
        </is>
      </c>
    </row>
    <row r="114">
      <c r="A114" s="3" t="inlineStr">
        <is>
          <t>Bull|Anthropic|2028|Colossus 2</t>
        </is>
      </c>
      <c r="B114" s="3" t="inlineStr">
        <is>
          <t>Bull</t>
        </is>
      </c>
      <c r="C114" s="3" t="inlineStr">
        <is>
          <t>Anthropic</t>
        </is>
      </c>
      <c r="D114" s="3" t="n">
        <v>2028</v>
      </c>
      <c r="E114" s="3" t="inlineStr">
        <is>
          <t>Colossus 2</t>
        </is>
      </c>
      <c r="F114" s="3" t="inlineStr">
        <is>
          <t>SpaceXAI</t>
        </is>
      </c>
      <c r="G114" s="3" t="inlineStr">
        <is>
          <t>United States</t>
        </is>
      </c>
      <c r="H114" s="25" t="n">
        <v>315.333</v>
      </c>
      <c r="I114" s="17" t="n">
        <v>1</v>
      </c>
      <c r="J114" s="17" t="n">
        <v>0.695</v>
      </c>
      <c r="K114" s="26" t="n">
        <v>0.305</v>
      </c>
      <c r="L114" s="3" t="inlineStr">
        <is>
          <t>2026-07-01</t>
        </is>
      </c>
      <c r="M114" s="27" t="n">
        <v>315.3333333333333</v>
      </c>
      <c r="N114" s="27" t="n">
        <v>315.333</v>
      </c>
      <c r="O114" s="3" t="inlineStr">
        <is>
          <t>confident</t>
        </is>
      </c>
      <c r="P114" s="3" t="inlineStr">
        <is>
          <t>B200,B300</t>
        </is>
      </c>
      <c r="Q114" s="3" t="inlineStr">
        <is>
          <t>epoch_user_site_equal_split_seed</t>
        </is>
      </c>
      <c r="R114" s="3" t="inlineStr">
        <is>
          <t>SRC_EPOCH_AI_DATA_CENTERS; EPOCH_NORMALIZED_USER_SITES</t>
        </is>
      </c>
      <c r="S114" s="3" t="inlineStr">
        <is>
          <t>Capacity weight is used only to weight accelerator mix, not to overwrite company total power in 02_Inputs.</t>
        </is>
      </c>
    </row>
    <row r="115">
      <c r="A115" s="3" t="inlineStr">
        <is>
          <t>Bull|Anthropic|2029|Colossus 2</t>
        </is>
      </c>
      <c r="B115" s="3" t="inlineStr">
        <is>
          <t>Bull</t>
        </is>
      </c>
      <c r="C115" s="3" t="inlineStr">
        <is>
          <t>Anthropic</t>
        </is>
      </c>
      <c r="D115" s="3" t="n">
        <v>2029</v>
      </c>
      <c r="E115" s="3" t="inlineStr">
        <is>
          <t>Colossus 2</t>
        </is>
      </c>
      <c r="F115" s="3" t="inlineStr">
        <is>
          <t>SpaceXAI</t>
        </is>
      </c>
      <c r="G115" s="3" t="inlineStr">
        <is>
          <t>United States</t>
        </is>
      </c>
      <c r="H115" s="25" t="n">
        <v>315.333</v>
      </c>
      <c r="I115" s="17" t="n">
        <v>1</v>
      </c>
      <c r="J115" s="17" t="n">
        <v>0.758</v>
      </c>
      <c r="K115" s="26" t="n">
        <v>0.242</v>
      </c>
      <c r="L115" s="3" t="inlineStr">
        <is>
          <t>2026-07-01</t>
        </is>
      </c>
      <c r="M115" s="27" t="n">
        <v>315.3333333333333</v>
      </c>
      <c r="N115" s="27" t="n">
        <v>315.333</v>
      </c>
      <c r="O115" s="3" t="inlineStr">
        <is>
          <t>confident</t>
        </is>
      </c>
      <c r="P115" s="3" t="inlineStr">
        <is>
          <t>B200,B300</t>
        </is>
      </c>
      <c r="Q115" s="3" t="inlineStr">
        <is>
          <t>epoch_user_site_equal_split_seed</t>
        </is>
      </c>
      <c r="R115" s="3" t="inlineStr">
        <is>
          <t>SRC_EPOCH_AI_DATA_CENTERS; EPOCH_NORMALIZED_USER_SITES</t>
        </is>
      </c>
      <c r="S115" s="3" t="inlineStr">
        <is>
          <t>Capacity weight is used only to weight accelerator mix, not to overwrite company total power in 02_Inputs.</t>
        </is>
      </c>
    </row>
    <row r="116">
      <c r="A116" s="3" t="inlineStr">
        <is>
          <t>Bull|Anthropic|2030|Colossus 2</t>
        </is>
      </c>
      <c r="B116" s="3" t="inlineStr">
        <is>
          <t>Bull</t>
        </is>
      </c>
      <c r="C116" s="3" t="inlineStr">
        <is>
          <t>Anthropic</t>
        </is>
      </c>
      <c r="D116" s="3" t="n">
        <v>2030</v>
      </c>
      <c r="E116" s="3" t="inlineStr">
        <is>
          <t>Colossus 2</t>
        </is>
      </c>
      <c r="F116" s="3" t="inlineStr">
        <is>
          <t>SpaceXAI</t>
        </is>
      </c>
      <c r="G116" s="3" t="inlineStr">
        <is>
          <t>United States</t>
        </is>
      </c>
      <c r="H116" s="25" t="n">
        <v>315.333</v>
      </c>
      <c r="I116" s="17" t="n">
        <v>1</v>
      </c>
      <c r="J116" s="17" t="n">
        <v>0.82</v>
      </c>
      <c r="K116" s="26" t="n">
        <v>0.18</v>
      </c>
      <c r="L116" s="3" t="inlineStr">
        <is>
          <t>2026-07-01</t>
        </is>
      </c>
      <c r="M116" s="27" t="n">
        <v>315.3333333333333</v>
      </c>
      <c r="N116" s="27" t="n">
        <v>315.333</v>
      </c>
      <c r="O116" s="3" t="inlineStr">
        <is>
          <t>confident</t>
        </is>
      </c>
      <c r="P116" s="3" t="inlineStr">
        <is>
          <t>B200,B300</t>
        </is>
      </c>
      <c r="Q116" s="3" t="inlineStr">
        <is>
          <t>epoch_user_site_equal_split_seed</t>
        </is>
      </c>
      <c r="R116" s="3" t="inlineStr">
        <is>
          <t>SRC_EPOCH_AI_DATA_CENTERS; EPOCH_NORMALIZED_USER_SITES</t>
        </is>
      </c>
      <c r="S116" s="3" t="inlineStr">
        <is>
          <t>Capacity weight is used only to weight accelerator mix, not to overwrite company total power in 02_Inputs.</t>
        </is>
      </c>
    </row>
    <row r="117">
      <c r="A117" s="3" t="inlineStr">
        <is>
          <t>Grid-Constrained / Efficiency-Upside|Anthropic|2026|Colossus 2</t>
        </is>
      </c>
      <c r="B117" s="3" t="inlineStr">
        <is>
          <t>Grid-Constrained / Efficiency-Upside</t>
        </is>
      </c>
      <c r="C117" s="3" t="inlineStr">
        <is>
          <t>Anthropic</t>
        </is>
      </c>
      <c r="D117" s="3" t="n">
        <v>2026</v>
      </c>
      <c r="E117" s="3" t="inlineStr">
        <is>
          <t>Colossus 2</t>
        </is>
      </c>
      <c r="F117" s="3" t="inlineStr">
        <is>
          <t>SpaceXAI</t>
        </is>
      </c>
      <c r="G117" s="3" t="inlineStr">
        <is>
          <t>United States</t>
        </is>
      </c>
      <c r="H117" s="25" t="n">
        <v>315.333</v>
      </c>
      <c r="I117" s="17" t="n">
        <v>1</v>
      </c>
      <c r="J117" s="17" t="n">
        <v>0.54</v>
      </c>
      <c r="K117" s="26" t="n">
        <v>0.46</v>
      </c>
      <c r="L117" s="3" t="inlineStr">
        <is>
          <t>2026-07-01</t>
        </is>
      </c>
      <c r="M117" s="27" t="n">
        <v>315.3333333333333</v>
      </c>
      <c r="N117" s="27" t="n">
        <v>315.333</v>
      </c>
      <c r="O117" s="3" t="inlineStr">
        <is>
          <t>confident</t>
        </is>
      </c>
      <c r="P117" s="3" t="inlineStr">
        <is>
          <t>B200,B300</t>
        </is>
      </c>
      <c r="Q117" s="3" t="inlineStr">
        <is>
          <t>epoch_user_site_equal_split_seed</t>
        </is>
      </c>
      <c r="R117" s="3" t="inlineStr">
        <is>
          <t>SRC_EPOCH_AI_DATA_CENTERS; EPOCH_NORMALIZED_USER_SITES</t>
        </is>
      </c>
      <c r="S117" s="3" t="inlineStr">
        <is>
          <t>Capacity weight is used only to weight accelerator mix, not to overwrite company total power in 02_Inputs.</t>
        </is>
      </c>
    </row>
    <row r="118">
      <c r="A118" s="3" t="inlineStr">
        <is>
          <t>Grid-Constrained / Efficiency-Upside|Anthropic|2027|Colossus 2</t>
        </is>
      </c>
      <c r="B118" s="3" t="inlineStr">
        <is>
          <t>Grid-Constrained / Efficiency-Upside</t>
        </is>
      </c>
      <c r="C118" s="3" t="inlineStr">
        <is>
          <t>Anthropic</t>
        </is>
      </c>
      <c r="D118" s="3" t="n">
        <v>2027</v>
      </c>
      <c r="E118" s="3" t="inlineStr">
        <is>
          <t>Colossus 2</t>
        </is>
      </c>
      <c r="F118" s="3" t="inlineStr">
        <is>
          <t>SpaceXAI</t>
        </is>
      </c>
      <c r="G118" s="3" t="inlineStr">
        <is>
          <t>United States</t>
        </is>
      </c>
      <c r="H118" s="25" t="n">
        <v>315.333</v>
      </c>
      <c r="I118" s="17" t="n">
        <v>1</v>
      </c>
      <c r="J118" s="17" t="n">
        <v>0.6</v>
      </c>
      <c r="K118" s="26" t="n">
        <v>0.4</v>
      </c>
      <c r="L118" s="3" t="inlineStr">
        <is>
          <t>2026-07-01</t>
        </is>
      </c>
      <c r="M118" s="27" t="n">
        <v>315.3333333333333</v>
      </c>
      <c r="N118" s="27" t="n">
        <v>315.333</v>
      </c>
      <c r="O118" s="3" t="inlineStr">
        <is>
          <t>confident</t>
        </is>
      </c>
      <c r="P118" s="3" t="inlineStr">
        <is>
          <t>B200,B300</t>
        </is>
      </c>
      <c r="Q118" s="3" t="inlineStr">
        <is>
          <t>epoch_user_site_equal_split_seed</t>
        </is>
      </c>
      <c r="R118" s="3" t="inlineStr">
        <is>
          <t>SRC_EPOCH_AI_DATA_CENTERS; EPOCH_NORMALIZED_USER_SITES</t>
        </is>
      </c>
      <c r="S118" s="3" t="inlineStr">
        <is>
          <t>Capacity weight is used only to weight accelerator mix, not to overwrite company total power in 02_Inputs.</t>
        </is>
      </c>
    </row>
    <row r="119">
      <c r="A119" s="3" t="inlineStr">
        <is>
          <t>Grid-Constrained / Efficiency-Upside|Anthropic|2028|Colossus 2</t>
        </is>
      </c>
      <c r="B119" s="3" t="inlineStr">
        <is>
          <t>Grid-Constrained / Efficiency-Upside</t>
        </is>
      </c>
      <c r="C119" s="3" t="inlineStr">
        <is>
          <t>Anthropic</t>
        </is>
      </c>
      <c r="D119" s="3" t="n">
        <v>2028</v>
      </c>
      <c r="E119" s="3" t="inlineStr">
        <is>
          <t>Colossus 2</t>
        </is>
      </c>
      <c r="F119" s="3" t="inlineStr">
        <is>
          <t>SpaceXAI</t>
        </is>
      </c>
      <c r="G119" s="3" t="inlineStr">
        <is>
          <t>United States</t>
        </is>
      </c>
      <c r="H119" s="25" t="n">
        <v>315.333</v>
      </c>
      <c r="I119" s="17" t="n">
        <v>1</v>
      </c>
      <c r="J119" s="17" t="n">
        <v>0.66</v>
      </c>
      <c r="K119" s="26" t="n">
        <v>0.34</v>
      </c>
      <c r="L119" s="3" t="inlineStr">
        <is>
          <t>2026-07-01</t>
        </is>
      </c>
      <c r="M119" s="27" t="n">
        <v>315.3333333333333</v>
      </c>
      <c r="N119" s="27" t="n">
        <v>315.333</v>
      </c>
      <c r="O119" s="3" t="inlineStr">
        <is>
          <t>confident</t>
        </is>
      </c>
      <c r="P119" s="3" t="inlineStr">
        <is>
          <t>B200,B300</t>
        </is>
      </c>
      <c r="Q119" s="3" t="inlineStr">
        <is>
          <t>epoch_user_site_equal_split_seed</t>
        </is>
      </c>
      <c r="R119" s="3" t="inlineStr">
        <is>
          <t>SRC_EPOCH_AI_DATA_CENTERS; EPOCH_NORMALIZED_USER_SITES</t>
        </is>
      </c>
      <c r="S119" s="3" t="inlineStr">
        <is>
          <t>Capacity weight is used only to weight accelerator mix, not to overwrite company total power in 02_Inputs.</t>
        </is>
      </c>
    </row>
    <row r="120">
      <c r="A120" s="3" t="inlineStr">
        <is>
          <t>Grid-Constrained / Efficiency-Upside|Anthropic|2029|Colossus 2</t>
        </is>
      </c>
      <c r="B120" s="3" t="inlineStr">
        <is>
          <t>Grid-Constrained / Efficiency-Upside</t>
        </is>
      </c>
      <c r="C120" s="3" t="inlineStr">
        <is>
          <t>Anthropic</t>
        </is>
      </c>
      <c r="D120" s="3" t="n">
        <v>2029</v>
      </c>
      <c r="E120" s="3" t="inlineStr">
        <is>
          <t>Colossus 2</t>
        </is>
      </c>
      <c r="F120" s="3" t="inlineStr">
        <is>
          <t>SpaceXAI</t>
        </is>
      </c>
      <c r="G120" s="3" t="inlineStr">
        <is>
          <t>United States</t>
        </is>
      </c>
      <c r="H120" s="25" t="n">
        <v>315.333</v>
      </c>
      <c r="I120" s="17" t="n">
        <v>1</v>
      </c>
      <c r="J120" s="17" t="n">
        <v>0.72</v>
      </c>
      <c r="K120" s="26" t="n">
        <v>0.28</v>
      </c>
      <c r="L120" s="3" t="inlineStr">
        <is>
          <t>2026-07-01</t>
        </is>
      </c>
      <c r="M120" s="27" t="n">
        <v>315.3333333333333</v>
      </c>
      <c r="N120" s="27" t="n">
        <v>315.333</v>
      </c>
      <c r="O120" s="3" t="inlineStr">
        <is>
          <t>confident</t>
        </is>
      </c>
      <c r="P120" s="3" t="inlineStr">
        <is>
          <t>B200,B300</t>
        </is>
      </c>
      <c r="Q120" s="3" t="inlineStr">
        <is>
          <t>epoch_user_site_equal_split_seed</t>
        </is>
      </c>
      <c r="R120" s="3" t="inlineStr">
        <is>
          <t>SRC_EPOCH_AI_DATA_CENTERS; EPOCH_NORMALIZED_USER_SITES</t>
        </is>
      </c>
      <c r="S120" s="3" t="inlineStr">
        <is>
          <t>Capacity weight is used only to weight accelerator mix, not to overwrite company total power in 02_Inputs.</t>
        </is>
      </c>
    </row>
    <row r="121">
      <c r="A121" s="3" t="inlineStr">
        <is>
          <t>Grid-Constrained / Efficiency-Upside|Anthropic|2030|Colossus 2</t>
        </is>
      </c>
      <c r="B121" s="3" t="inlineStr">
        <is>
          <t>Grid-Constrained / Efficiency-Upside</t>
        </is>
      </c>
      <c r="C121" s="3" t="inlineStr">
        <is>
          <t>Anthropic</t>
        </is>
      </c>
      <c r="D121" s="3" t="n">
        <v>2030</v>
      </c>
      <c r="E121" s="3" t="inlineStr">
        <is>
          <t>Colossus 2</t>
        </is>
      </c>
      <c r="F121" s="3" t="inlineStr">
        <is>
          <t>SpaceXAI</t>
        </is>
      </c>
      <c r="G121" s="3" t="inlineStr">
        <is>
          <t>United States</t>
        </is>
      </c>
      <c r="H121" s="25" t="n">
        <v>315.333</v>
      </c>
      <c r="I121" s="17" t="n">
        <v>1</v>
      </c>
      <c r="J121" s="17" t="n">
        <v>0.78</v>
      </c>
      <c r="K121" s="26" t="n">
        <v>0.22</v>
      </c>
      <c r="L121" s="3" t="inlineStr">
        <is>
          <t>2026-07-01</t>
        </is>
      </c>
      <c r="M121" s="27" t="n">
        <v>315.3333333333333</v>
      </c>
      <c r="N121" s="27" t="n">
        <v>315.333</v>
      </c>
      <c r="O121" s="3" t="inlineStr">
        <is>
          <t>confident</t>
        </is>
      </c>
      <c r="P121" s="3" t="inlineStr">
        <is>
          <t>B200,B300</t>
        </is>
      </c>
      <c r="Q121" s="3" t="inlineStr">
        <is>
          <t>epoch_user_site_equal_split_seed</t>
        </is>
      </c>
      <c r="R121" s="3" t="inlineStr">
        <is>
          <t>SRC_EPOCH_AI_DATA_CENTERS; EPOCH_NORMALIZED_USER_SITES</t>
        </is>
      </c>
      <c r="S121" s="3" t="inlineStr">
        <is>
          <t>Capacity weight is used only to weight accelerator mix, not to overwrite company total power in 02_Inputs.</t>
        </is>
      </c>
    </row>
    <row r="122">
      <c r="A122" s="3" t="inlineStr">
        <is>
          <t>Bear|Anthropic|2026|Fluidstack Lake Mariner</t>
        </is>
      </c>
      <c r="B122" s="3" t="inlineStr">
        <is>
          <t>Bear</t>
        </is>
      </c>
      <c r="C122" s="3" t="inlineStr">
        <is>
          <t>Anthropic</t>
        </is>
      </c>
      <c r="D122" s="3" t="n">
        <v>2026</v>
      </c>
      <c r="E122" s="3" t="inlineStr">
        <is>
          <t>Fluidstack Lake Mariner</t>
        </is>
      </c>
      <c r="F122" s="3" t="inlineStr">
        <is>
          <t>Fluidstack</t>
        </is>
      </c>
      <c r="G122" s="3" t="inlineStr">
        <is>
          <t>United States</t>
        </is>
      </c>
      <c r="H122" s="25" t="n">
        <v>50</v>
      </c>
      <c r="I122" s="17" t="n">
        <v>1</v>
      </c>
      <c r="J122" s="17" t="n">
        <v>0.44</v>
      </c>
      <c r="K122" s="26" t="n">
        <v>0.5600000000000001</v>
      </c>
      <c r="L122" s="3" t="inlineStr">
        <is>
          <t>2027-03-31</t>
        </is>
      </c>
      <c r="M122" s="27" t="n">
        <v>50</v>
      </c>
      <c r="N122" s="27" t="n">
        <v>218</v>
      </c>
      <c r="O122" s="3" t="inlineStr">
        <is>
          <t>likely</t>
        </is>
      </c>
      <c r="P122" s="3" t="inlineStr">
        <is>
          <t>B200,TPU v7</t>
        </is>
      </c>
      <c r="Q122" s="3" t="inlineStr">
        <is>
          <t>epoch_user_site_equal_split_seed</t>
        </is>
      </c>
      <c r="R122" s="3" t="inlineStr">
        <is>
          <t>SRC_EPOCH_AI_DATA_CENTERS; EPOCH_NORMALIZED_USER_SITES</t>
        </is>
      </c>
      <c r="S122" s="3" t="inlineStr">
        <is>
          <t>Capacity weight is used only to weight accelerator mix, not to overwrite company total power in 02_Inputs.</t>
        </is>
      </c>
    </row>
    <row r="123">
      <c r="A123" s="3" t="inlineStr">
        <is>
          <t>Bear|Anthropic|2027|Fluidstack Lake Mariner</t>
        </is>
      </c>
      <c r="B123" s="3" t="inlineStr">
        <is>
          <t>Bear</t>
        </is>
      </c>
      <c r="C123" s="3" t="inlineStr">
        <is>
          <t>Anthropic</t>
        </is>
      </c>
      <c r="D123" s="3" t="n">
        <v>2027</v>
      </c>
      <c r="E123" s="3" t="inlineStr">
        <is>
          <t>Fluidstack Lake Mariner</t>
        </is>
      </c>
      <c r="F123" s="3" t="inlineStr">
        <is>
          <t>Fluidstack</t>
        </is>
      </c>
      <c r="G123" s="3" t="inlineStr">
        <is>
          <t>United States</t>
        </is>
      </c>
      <c r="H123" s="25" t="n">
        <v>218</v>
      </c>
      <c r="I123" s="17" t="n">
        <v>1</v>
      </c>
      <c r="J123" s="17" t="n">
        <v>0.49</v>
      </c>
      <c r="K123" s="26" t="n">
        <v>0.51</v>
      </c>
      <c r="L123" s="3" t="inlineStr">
        <is>
          <t>2027-03-31</t>
        </is>
      </c>
      <c r="M123" s="27" t="n">
        <v>50</v>
      </c>
      <c r="N123" s="27" t="n">
        <v>218</v>
      </c>
      <c r="O123" s="3" t="inlineStr">
        <is>
          <t>likely</t>
        </is>
      </c>
      <c r="P123" s="3" t="inlineStr">
        <is>
          <t>B200,TPU v7</t>
        </is>
      </c>
      <c r="Q123" s="3" t="inlineStr">
        <is>
          <t>epoch_user_site_equal_split_seed</t>
        </is>
      </c>
      <c r="R123" s="3" t="inlineStr">
        <is>
          <t>SRC_EPOCH_AI_DATA_CENTERS; EPOCH_NORMALIZED_USER_SITES</t>
        </is>
      </c>
      <c r="S123" s="3" t="inlineStr">
        <is>
          <t>Capacity weight is used only to weight accelerator mix, not to overwrite company total power in 02_Inputs.</t>
        </is>
      </c>
    </row>
    <row r="124">
      <c r="A124" s="3" t="inlineStr">
        <is>
          <t>Bear|Anthropic|2028|Fluidstack Lake Mariner</t>
        </is>
      </c>
      <c r="B124" s="3" t="inlineStr">
        <is>
          <t>Bear</t>
        </is>
      </c>
      <c r="C124" s="3" t="inlineStr">
        <is>
          <t>Anthropic</t>
        </is>
      </c>
      <c r="D124" s="3" t="n">
        <v>2028</v>
      </c>
      <c r="E124" s="3" t="inlineStr">
        <is>
          <t>Fluidstack Lake Mariner</t>
        </is>
      </c>
      <c r="F124" s="3" t="inlineStr">
        <is>
          <t>Fluidstack</t>
        </is>
      </c>
      <c r="G124" s="3" t="inlineStr">
        <is>
          <t>United States</t>
        </is>
      </c>
      <c r="H124" s="25" t="n">
        <v>218</v>
      </c>
      <c r="I124" s="17" t="n">
        <v>1</v>
      </c>
      <c r="J124" s="17" t="n">
        <v>0.54</v>
      </c>
      <c r="K124" s="26" t="n">
        <v>0.46</v>
      </c>
      <c r="L124" s="3" t="inlineStr">
        <is>
          <t>2027-03-31</t>
        </is>
      </c>
      <c r="M124" s="27" t="n">
        <v>50</v>
      </c>
      <c r="N124" s="27" t="n">
        <v>218</v>
      </c>
      <c r="O124" s="3" t="inlineStr">
        <is>
          <t>likely</t>
        </is>
      </c>
      <c r="P124" s="3" t="inlineStr">
        <is>
          <t>B200,TPU v7</t>
        </is>
      </c>
      <c r="Q124" s="3" t="inlineStr">
        <is>
          <t>epoch_user_site_equal_split_seed</t>
        </is>
      </c>
      <c r="R124" s="3" t="inlineStr">
        <is>
          <t>SRC_EPOCH_AI_DATA_CENTERS; EPOCH_NORMALIZED_USER_SITES</t>
        </is>
      </c>
      <c r="S124" s="3" t="inlineStr">
        <is>
          <t>Capacity weight is used only to weight accelerator mix, not to overwrite company total power in 02_Inputs.</t>
        </is>
      </c>
    </row>
    <row r="125">
      <c r="A125" s="3" t="inlineStr">
        <is>
          <t>Bear|Anthropic|2029|Fluidstack Lake Mariner</t>
        </is>
      </c>
      <c r="B125" s="3" t="inlineStr">
        <is>
          <t>Bear</t>
        </is>
      </c>
      <c r="C125" s="3" t="inlineStr">
        <is>
          <t>Anthropic</t>
        </is>
      </c>
      <c r="D125" s="3" t="n">
        <v>2029</v>
      </c>
      <c r="E125" s="3" t="inlineStr">
        <is>
          <t>Fluidstack Lake Mariner</t>
        </is>
      </c>
      <c r="F125" s="3" t="inlineStr">
        <is>
          <t>Fluidstack</t>
        </is>
      </c>
      <c r="G125" s="3" t="inlineStr">
        <is>
          <t>United States</t>
        </is>
      </c>
      <c r="H125" s="25" t="n">
        <v>218</v>
      </c>
      <c r="I125" s="17" t="n">
        <v>1</v>
      </c>
      <c r="J125" s="17" t="n">
        <v>0.59</v>
      </c>
      <c r="K125" s="26" t="n">
        <v>0.41</v>
      </c>
      <c r="L125" s="3" t="inlineStr">
        <is>
          <t>2027-03-31</t>
        </is>
      </c>
      <c r="M125" s="27" t="n">
        <v>50</v>
      </c>
      <c r="N125" s="27" t="n">
        <v>218</v>
      </c>
      <c r="O125" s="3" t="inlineStr">
        <is>
          <t>likely</t>
        </is>
      </c>
      <c r="P125" s="3" t="inlineStr">
        <is>
          <t>B200,TPU v7</t>
        </is>
      </c>
      <c r="Q125" s="3" t="inlineStr">
        <is>
          <t>epoch_user_site_equal_split_seed</t>
        </is>
      </c>
      <c r="R125" s="3" t="inlineStr">
        <is>
          <t>SRC_EPOCH_AI_DATA_CENTERS; EPOCH_NORMALIZED_USER_SITES</t>
        </is>
      </c>
      <c r="S125" s="3" t="inlineStr">
        <is>
          <t>Capacity weight is used only to weight accelerator mix, not to overwrite company total power in 02_Inputs.</t>
        </is>
      </c>
    </row>
    <row r="126">
      <c r="A126" s="3" t="inlineStr">
        <is>
          <t>Bear|Anthropic|2030|Fluidstack Lake Mariner</t>
        </is>
      </c>
      <c r="B126" s="3" t="inlineStr">
        <is>
          <t>Bear</t>
        </is>
      </c>
      <c r="C126" s="3" t="inlineStr">
        <is>
          <t>Anthropic</t>
        </is>
      </c>
      <c r="D126" s="3" t="n">
        <v>2030</v>
      </c>
      <c r="E126" s="3" t="inlineStr">
        <is>
          <t>Fluidstack Lake Mariner</t>
        </is>
      </c>
      <c r="F126" s="3" t="inlineStr">
        <is>
          <t>Fluidstack</t>
        </is>
      </c>
      <c r="G126" s="3" t="inlineStr">
        <is>
          <t>United States</t>
        </is>
      </c>
      <c r="H126" s="25" t="n">
        <v>218</v>
      </c>
      <c r="I126" s="17" t="n">
        <v>1</v>
      </c>
      <c r="J126" s="17" t="n">
        <v>0.64</v>
      </c>
      <c r="K126" s="26" t="n">
        <v>0.36</v>
      </c>
      <c r="L126" s="3" t="inlineStr">
        <is>
          <t>2027-03-31</t>
        </is>
      </c>
      <c r="M126" s="27" t="n">
        <v>50</v>
      </c>
      <c r="N126" s="27" t="n">
        <v>218</v>
      </c>
      <c r="O126" s="3" t="inlineStr">
        <is>
          <t>likely</t>
        </is>
      </c>
      <c r="P126" s="3" t="inlineStr">
        <is>
          <t>B200,TPU v7</t>
        </is>
      </c>
      <c r="Q126" s="3" t="inlineStr">
        <is>
          <t>epoch_user_site_equal_split_seed</t>
        </is>
      </c>
      <c r="R126" s="3" t="inlineStr">
        <is>
          <t>SRC_EPOCH_AI_DATA_CENTERS; EPOCH_NORMALIZED_USER_SITES</t>
        </is>
      </c>
      <c r="S126" s="3" t="inlineStr">
        <is>
          <t>Capacity weight is used only to weight accelerator mix, not to overwrite company total power in 02_Inputs.</t>
        </is>
      </c>
    </row>
    <row r="127">
      <c r="A127" s="3" t="inlineStr">
        <is>
          <t>Base|Anthropic|2026|Fluidstack Lake Mariner</t>
        </is>
      </c>
      <c r="B127" s="3" t="inlineStr">
        <is>
          <t>Base</t>
        </is>
      </c>
      <c r="C127" s="3" t="inlineStr">
        <is>
          <t>Anthropic</t>
        </is>
      </c>
      <c r="D127" s="3" t="n">
        <v>2026</v>
      </c>
      <c r="E127" s="3" t="inlineStr">
        <is>
          <t>Fluidstack Lake Mariner</t>
        </is>
      </c>
      <c r="F127" s="3" t="inlineStr">
        <is>
          <t>Fluidstack</t>
        </is>
      </c>
      <c r="G127" s="3" t="inlineStr">
        <is>
          <t>United States</t>
        </is>
      </c>
      <c r="H127" s="25" t="n">
        <v>50</v>
      </c>
      <c r="I127" s="17" t="n">
        <v>1</v>
      </c>
      <c r="J127" s="17" t="n">
        <v>0.52</v>
      </c>
      <c r="K127" s="26" t="n">
        <v>0.48</v>
      </c>
      <c r="L127" s="3" t="inlineStr">
        <is>
          <t>2027-03-31</t>
        </is>
      </c>
      <c r="M127" s="27" t="n">
        <v>50</v>
      </c>
      <c r="N127" s="27" t="n">
        <v>218</v>
      </c>
      <c r="O127" s="3" t="inlineStr">
        <is>
          <t>likely</t>
        </is>
      </c>
      <c r="P127" s="3" t="inlineStr">
        <is>
          <t>B200,TPU v7</t>
        </is>
      </c>
      <c r="Q127" s="3" t="inlineStr">
        <is>
          <t>epoch_user_site_equal_split_seed</t>
        </is>
      </c>
      <c r="R127" s="3" t="inlineStr">
        <is>
          <t>SRC_EPOCH_AI_DATA_CENTERS; EPOCH_NORMALIZED_USER_SITES</t>
        </is>
      </c>
      <c r="S127" s="3" t="inlineStr">
        <is>
          <t>Capacity weight is used only to weight accelerator mix, not to overwrite company total power in 02_Inputs.</t>
        </is>
      </c>
    </row>
    <row r="128">
      <c r="A128" s="3" t="inlineStr">
        <is>
          <t>Base|Anthropic|2027|Fluidstack Lake Mariner</t>
        </is>
      </c>
      <c r="B128" s="3" t="inlineStr">
        <is>
          <t>Base</t>
        </is>
      </c>
      <c r="C128" s="3" t="inlineStr">
        <is>
          <t>Anthropic</t>
        </is>
      </c>
      <c r="D128" s="3" t="n">
        <v>2027</v>
      </c>
      <c r="E128" s="3" t="inlineStr">
        <is>
          <t>Fluidstack Lake Mariner</t>
        </is>
      </c>
      <c r="F128" s="3" t="inlineStr">
        <is>
          <t>Fluidstack</t>
        </is>
      </c>
      <c r="G128" s="3" t="inlineStr">
        <is>
          <t>United States</t>
        </is>
      </c>
      <c r="H128" s="25" t="n">
        <v>218</v>
      </c>
      <c r="I128" s="17" t="n">
        <v>1</v>
      </c>
      <c r="J128" s="17" t="n">
        <v>0.575</v>
      </c>
      <c r="K128" s="26" t="n">
        <v>0.425</v>
      </c>
      <c r="L128" s="3" t="inlineStr">
        <is>
          <t>2027-03-31</t>
        </is>
      </c>
      <c r="M128" s="27" t="n">
        <v>50</v>
      </c>
      <c r="N128" s="27" t="n">
        <v>218</v>
      </c>
      <c r="O128" s="3" t="inlineStr">
        <is>
          <t>likely</t>
        </is>
      </c>
      <c r="P128" s="3" t="inlineStr">
        <is>
          <t>B200,TPU v7</t>
        </is>
      </c>
      <c r="Q128" s="3" t="inlineStr">
        <is>
          <t>epoch_user_site_equal_split_seed</t>
        </is>
      </c>
      <c r="R128" s="3" t="inlineStr">
        <is>
          <t>SRC_EPOCH_AI_DATA_CENTERS; EPOCH_NORMALIZED_USER_SITES</t>
        </is>
      </c>
      <c r="S128" s="3" t="inlineStr">
        <is>
          <t>Capacity weight is used only to weight accelerator mix, not to overwrite company total power in 02_Inputs.</t>
        </is>
      </c>
    </row>
    <row r="129">
      <c r="A129" s="3" t="inlineStr">
        <is>
          <t>Base|Anthropic|2028|Fluidstack Lake Mariner</t>
        </is>
      </c>
      <c r="B129" s="3" t="inlineStr">
        <is>
          <t>Base</t>
        </is>
      </c>
      <c r="C129" s="3" t="inlineStr">
        <is>
          <t>Anthropic</t>
        </is>
      </c>
      <c r="D129" s="3" t="n">
        <v>2028</v>
      </c>
      <c r="E129" s="3" t="inlineStr">
        <is>
          <t>Fluidstack Lake Mariner</t>
        </is>
      </c>
      <c r="F129" s="3" t="inlineStr">
        <is>
          <t>Fluidstack</t>
        </is>
      </c>
      <c r="G129" s="3" t="inlineStr">
        <is>
          <t>United States</t>
        </is>
      </c>
      <c r="H129" s="25" t="n">
        <v>218</v>
      </c>
      <c r="I129" s="17" t="n">
        <v>1</v>
      </c>
      <c r="J129" s="17" t="n">
        <v>0.63</v>
      </c>
      <c r="K129" s="26" t="n">
        <v>0.37</v>
      </c>
      <c r="L129" s="3" t="inlineStr">
        <is>
          <t>2027-03-31</t>
        </is>
      </c>
      <c r="M129" s="27" t="n">
        <v>50</v>
      </c>
      <c r="N129" s="27" t="n">
        <v>218</v>
      </c>
      <c r="O129" s="3" t="inlineStr">
        <is>
          <t>likely</t>
        </is>
      </c>
      <c r="P129" s="3" t="inlineStr">
        <is>
          <t>B200,TPU v7</t>
        </is>
      </c>
      <c r="Q129" s="3" t="inlineStr">
        <is>
          <t>epoch_user_site_equal_split_seed</t>
        </is>
      </c>
      <c r="R129" s="3" t="inlineStr">
        <is>
          <t>SRC_EPOCH_AI_DATA_CENTERS; EPOCH_NORMALIZED_USER_SITES</t>
        </is>
      </c>
      <c r="S129" s="3" t="inlineStr">
        <is>
          <t>Capacity weight is used only to weight accelerator mix, not to overwrite company total power in 02_Inputs.</t>
        </is>
      </c>
    </row>
    <row r="130">
      <c r="A130" s="3" t="inlineStr">
        <is>
          <t>Base|Anthropic|2029|Fluidstack Lake Mariner</t>
        </is>
      </c>
      <c r="B130" s="3" t="inlineStr">
        <is>
          <t>Base</t>
        </is>
      </c>
      <c r="C130" s="3" t="inlineStr">
        <is>
          <t>Anthropic</t>
        </is>
      </c>
      <c r="D130" s="3" t="n">
        <v>2029</v>
      </c>
      <c r="E130" s="3" t="inlineStr">
        <is>
          <t>Fluidstack Lake Mariner</t>
        </is>
      </c>
      <c r="F130" s="3" t="inlineStr">
        <is>
          <t>Fluidstack</t>
        </is>
      </c>
      <c r="G130" s="3" t="inlineStr">
        <is>
          <t>United States</t>
        </is>
      </c>
      <c r="H130" s="25" t="n">
        <v>218</v>
      </c>
      <c r="I130" s="17" t="n">
        <v>1</v>
      </c>
      <c r="J130" s="17" t="n">
        <v>0.6850000000000001</v>
      </c>
      <c r="K130" s="26" t="n">
        <v>0.315</v>
      </c>
      <c r="L130" s="3" t="inlineStr">
        <is>
          <t>2027-03-31</t>
        </is>
      </c>
      <c r="M130" s="27" t="n">
        <v>50</v>
      </c>
      <c r="N130" s="27" t="n">
        <v>218</v>
      </c>
      <c r="O130" s="3" t="inlineStr">
        <is>
          <t>likely</t>
        </is>
      </c>
      <c r="P130" s="3" t="inlineStr">
        <is>
          <t>B200,TPU v7</t>
        </is>
      </c>
      <c r="Q130" s="3" t="inlineStr">
        <is>
          <t>epoch_user_site_equal_split_seed</t>
        </is>
      </c>
      <c r="R130" s="3" t="inlineStr">
        <is>
          <t>SRC_EPOCH_AI_DATA_CENTERS; EPOCH_NORMALIZED_USER_SITES</t>
        </is>
      </c>
      <c r="S130" s="3" t="inlineStr">
        <is>
          <t>Capacity weight is used only to weight accelerator mix, not to overwrite company total power in 02_Inputs.</t>
        </is>
      </c>
    </row>
    <row r="131">
      <c r="A131" s="3" t="inlineStr">
        <is>
          <t>Base|Anthropic|2030|Fluidstack Lake Mariner</t>
        </is>
      </c>
      <c r="B131" s="3" t="inlineStr">
        <is>
          <t>Base</t>
        </is>
      </c>
      <c r="C131" s="3" t="inlineStr">
        <is>
          <t>Anthropic</t>
        </is>
      </c>
      <c r="D131" s="3" t="n">
        <v>2030</v>
      </c>
      <c r="E131" s="3" t="inlineStr">
        <is>
          <t>Fluidstack Lake Mariner</t>
        </is>
      </c>
      <c r="F131" s="3" t="inlineStr">
        <is>
          <t>Fluidstack</t>
        </is>
      </c>
      <c r="G131" s="3" t="inlineStr">
        <is>
          <t>United States</t>
        </is>
      </c>
      <c r="H131" s="25" t="n">
        <v>218</v>
      </c>
      <c r="I131" s="17" t="n">
        <v>1</v>
      </c>
      <c r="J131" s="17" t="n">
        <v>0.74</v>
      </c>
      <c r="K131" s="26" t="n">
        <v>0.26</v>
      </c>
      <c r="L131" s="3" t="inlineStr">
        <is>
          <t>2027-03-31</t>
        </is>
      </c>
      <c r="M131" s="27" t="n">
        <v>50</v>
      </c>
      <c r="N131" s="27" t="n">
        <v>218</v>
      </c>
      <c r="O131" s="3" t="inlineStr">
        <is>
          <t>likely</t>
        </is>
      </c>
      <c r="P131" s="3" t="inlineStr">
        <is>
          <t>B200,TPU v7</t>
        </is>
      </c>
      <c r="Q131" s="3" t="inlineStr">
        <is>
          <t>epoch_user_site_equal_split_seed</t>
        </is>
      </c>
      <c r="R131" s="3" t="inlineStr">
        <is>
          <t>SRC_EPOCH_AI_DATA_CENTERS; EPOCH_NORMALIZED_USER_SITES</t>
        </is>
      </c>
      <c r="S131" s="3" t="inlineStr">
        <is>
          <t>Capacity weight is used only to weight accelerator mix, not to overwrite company total power in 02_Inputs.</t>
        </is>
      </c>
    </row>
    <row r="132">
      <c r="A132" s="3" t="inlineStr">
        <is>
          <t>Bull|Anthropic|2026|Fluidstack Lake Mariner</t>
        </is>
      </c>
      <c r="B132" s="3" t="inlineStr">
        <is>
          <t>Bull</t>
        </is>
      </c>
      <c r="C132" s="3" t="inlineStr">
        <is>
          <t>Anthropic</t>
        </is>
      </c>
      <c r="D132" s="3" t="n">
        <v>2026</v>
      </c>
      <c r="E132" s="3" t="inlineStr">
        <is>
          <t>Fluidstack Lake Mariner</t>
        </is>
      </c>
      <c r="F132" s="3" t="inlineStr">
        <is>
          <t>Fluidstack</t>
        </is>
      </c>
      <c r="G132" s="3" t="inlineStr">
        <is>
          <t>United States</t>
        </is>
      </c>
      <c r="H132" s="25" t="n">
        <v>50</v>
      </c>
      <c r="I132" s="17" t="n">
        <v>1</v>
      </c>
      <c r="J132" s="17" t="n">
        <v>0.57</v>
      </c>
      <c r="K132" s="26" t="n">
        <v>0.43</v>
      </c>
      <c r="L132" s="3" t="inlineStr">
        <is>
          <t>2027-03-31</t>
        </is>
      </c>
      <c r="M132" s="27" t="n">
        <v>50</v>
      </c>
      <c r="N132" s="27" t="n">
        <v>218</v>
      </c>
      <c r="O132" s="3" t="inlineStr">
        <is>
          <t>likely</t>
        </is>
      </c>
      <c r="P132" s="3" t="inlineStr">
        <is>
          <t>B200,TPU v7</t>
        </is>
      </c>
      <c r="Q132" s="3" t="inlineStr">
        <is>
          <t>epoch_user_site_equal_split_seed</t>
        </is>
      </c>
      <c r="R132" s="3" t="inlineStr">
        <is>
          <t>SRC_EPOCH_AI_DATA_CENTERS; EPOCH_NORMALIZED_USER_SITES</t>
        </is>
      </c>
      <c r="S132" s="3" t="inlineStr">
        <is>
          <t>Capacity weight is used only to weight accelerator mix, not to overwrite company total power in 02_Inputs.</t>
        </is>
      </c>
    </row>
    <row r="133">
      <c r="A133" s="3" t="inlineStr">
        <is>
          <t>Bull|Anthropic|2027|Fluidstack Lake Mariner</t>
        </is>
      </c>
      <c r="B133" s="3" t="inlineStr">
        <is>
          <t>Bull</t>
        </is>
      </c>
      <c r="C133" s="3" t="inlineStr">
        <is>
          <t>Anthropic</t>
        </is>
      </c>
      <c r="D133" s="3" t="n">
        <v>2027</v>
      </c>
      <c r="E133" s="3" t="inlineStr">
        <is>
          <t>Fluidstack Lake Mariner</t>
        </is>
      </c>
      <c r="F133" s="3" t="inlineStr">
        <is>
          <t>Fluidstack</t>
        </is>
      </c>
      <c r="G133" s="3" t="inlineStr">
        <is>
          <t>United States</t>
        </is>
      </c>
      <c r="H133" s="25" t="n">
        <v>218</v>
      </c>
      <c r="I133" s="17" t="n">
        <v>1</v>
      </c>
      <c r="J133" s="17" t="n">
        <v>0.632</v>
      </c>
      <c r="K133" s="26" t="n">
        <v>0.368</v>
      </c>
      <c r="L133" s="3" t="inlineStr">
        <is>
          <t>2027-03-31</t>
        </is>
      </c>
      <c r="M133" s="27" t="n">
        <v>50</v>
      </c>
      <c r="N133" s="27" t="n">
        <v>218</v>
      </c>
      <c r="O133" s="3" t="inlineStr">
        <is>
          <t>likely</t>
        </is>
      </c>
      <c r="P133" s="3" t="inlineStr">
        <is>
          <t>B200,TPU v7</t>
        </is>
      </c>
      <c r="Q133" s="3" t="inlineStr">
        <is>
          <t>epoch_user_site_equal_split_seed</t>
        </is>
      </c>
      <c r="R133" s="3" t="inlineStr">
        <is>
          <t>SRC_EPOCH_AI_DATA_CENTERS; EPOCH_NORMALIZED_USER_SITES</t>
        </is>
      </c>
      <c r="S133" s="3" t="inlineStr">
        <is>
          <t>Capacity weight is used only to weight accelerator mix, not to overwrite company total power in 02_Inputs.</t>
        </is>
      </c>
    </row>
    <row r="134">
      <c r="A134" s="3" t="inlineStr">
        <is>
          <t>Bull|Anthropic|2028|Fluidstack Lake Mariner</t>
        </is>
      </c>
      <c r="B134" s="3" t="inlineStr">
        <is>
          <t>Bull</t>
        </is>
      </c>
      <c r="C134" s="3" t="inlineStr">
        <is>
          <t>Anthropic</t>
        </is>
      </c>
      <c r="D134" s="3" t="n">
        <v>2028</v>
      </c>
      <c r="E134" s="3" t="inlineStr">
        <is>
          <t>Fluidstack Lake Mariner</t>
        </is>
      </c>
      <c r="F134" s="3" t="inlineStr">
        <is>
          <t>Fluidstack</t>
        </is>
      </c>
      <c r="G134" s="3" t="inlineStr">
        <is>
          <t>United States</t>
        </is>
      </c>
      <c r="H134" s="25" t="n">
        <v>218</v>
      </c>
      <c r="I134" s="17" t="n">
        <v>1</v>
      </c>
      <c r="J134" s="17" t="n">
        <v>0.695</v>
      </c>
      <c r="K134" s="26" t="n">
        <v>0.305</v>
      </c>
      <c r="L134" s="3" t="inlineStr">
        <is>
          <t>2027-03-31</t>
        </is>
      </c>
      <c r="M134" s="27" t="n">
        <v>50</v>
      </c>
      <c r="N134" s="27" t="n">
        <v>218</v>
      </c>
      <c r="O134" s="3" t="inlineStr">
        <is>
          <t>likely</t>
        </is>
      </c>
      <c r="P134" s="3" t="inlineStr">
        <is>
          <t>B200,TPU v7</t>
        </is>
      </c>
      <c r="Q134" s="3" t="inlineStr">
        <is>
          <t>epoch_user_site_equal_split_seed</t>
        </is>
      </c>
      <c r="R134" s="3" t="inlineStr">
        <is>
          <t>SRC_EPOCH_AI_DATA_CENTERS; EPOCH_NORMALIZED_USER_SITES</t>
        </is>
      </c>
      <c r="S134" s="3" t="inlineStr">
        <is>
          <t>Capacity weight is used only to weight accelerator mix, not to overwrite company total power in 02_Inputs.</t>
        </is>
      </c>
    </row>
    <row r="135">
      <c r="A135" s="3" t="inlineStr">
        <is>
          <t>Bull|Anthropic|2029|Fluidstack Lake Mariner</t>
        </is>
      </c>
      <c r="B135" s="3" t="inlineStr">
        <is>
          <t>Bull</t>
        </is>
      </c>
      <c r="C135" s="3" t="inlineStr">
        <is>
          <t>Anthropic</t>
        </is>
      </c>
      <c r="D135" s="3" t="n">
        <v>2029</v>
      </c>
      <c r="E135" s="3" t="inlineStr">
        <is>
          <t>Fluidstack Lake Mariner</t>
        </is>
      </c>
      <c r="F135" s="3" t="inlineStr">
        <is>
          <t>Fluidstack</t>
        </is>
      </c>
      <c r="G135" s="3" t="inlineStr">
        <is>
          <t>United States</t>
        </is>
      </c>
      <c r="H135" s="25" t="n">
        <v>218</v>
      </c>
      <c r="I135" s="17" t="n">
        <v>1</v>
      </c>
      <c r="J135" s="17" t="n">
        <v>0.758</v>
      </c>
      <c r="K135" s="26" t="n">
        <v>0.242</v>
      </c>
      <c r="L135" s="3" t="inlineStr">
        <is>
          <t>2027-03-31</t>
        </is>
      </c>
      <c r="M135" s="27" t="n">
        <v>50</v>
      </c>
      <c r="N135" s="27" t="n">
        <v>218</v>
      </c>
      <c r="O135" s="3" t="inlineStr">
        <is>
          <t>likely</t>
        </is>
      </c>
      <c r="P135" s="3" t="inlineStr">
        <is>
          <t>B200,TPU v7</t>
        </is>
      </c>
      <c r="Q135" s="3" t="inlineStr">
        <is>
          <t>epoch_user_site_equal_split_seed</t>
        </is>
      </c>
      <c r="R135" s="3" t="inlineStr">
        <is>
          <t>SRC_EPOCH_AI_DATA_CENTERS; EPOCH_NORMALIZED_USER_SITES</t>
        </is>
      </c>
      <c r="S135" s="3" t="inlineStr">
        <is>
          <t>Capacity weight is used only to weight accelerator mix, not to overwrite company total power in 02_Inputs.</t>
        </is>
      </c>
    </row>
    <row r="136">
      <c r="A136" s="3" t="inlineStr">
        <is>
          <t>Bull|Anthropic|2030|Fluidstack Lake Mariner</t>
        </is>
      </c>
      <c r="B136" s="3" t="inlineStr">
        <is>
          <t>Bull</t>
        </is>
      </c>
      <c r="C136" s="3" t="inlineStr">
        <is>
          <t>Anthropic</t>
        </is>
      </c>
      <c r="D136" s="3" t="n">
        <v>2030</v>
      </c>
      <c r="E136" s="3" t="inlineStr">
        <is>
          <t>Fluidstack Lake Mariner</t>
        </is>
      </c>
      <c r="F136" s="3" t="inlineStr">
        <is>
          <t>Fluidstack</t>
        </is>
      </c>
      <c r="G136" s="3" t="inlineStr">
        <is>
          <t>United States</t>
        </is>
      </c>
      <c r="H136" s="25" t="n">
        <v>218</v>
      </c>
      <c r="I136" s="17" t="n">
        <v>1</v>
      </c>
      <c r="J136" s="17" t="n">
        <v>0.82</v>
      </c>
      <c r="K136" s="26" t="n">
        <v>0.18</v>
      </c>
      <c r="L136" s="3" t="inlineStr">
        <is>
          <t>2027-03-31</t>
        </is>
      </c>
      <c r="M136" s="27" t="n">
        <v>50</v>
      </c>
      <c r="N136" s="27" t="n">
        <v>218</v>
      </c>
      <c r="O136" s="3" t="inlineStr">
        <is>
          <t>likely</t>
        </is>
      </c>
      <c r="P136" s="3" t="inlineStr">
        <is>
          <t>B200,TPU v7</t>
        </is>
      </c>
      <c r="Q136" s="3" t="inlineStr">
        <is>
          <t>epoch_user_site_equal_split_seed</t>
        </is>
      </c>
      <c r="R136" s="3" t="inlineStr">
        <is>
          <t>SRC_EPOCH_AI_DATA_CENTERS; EPOCH_NORMALIZED_USER_SITES</t>
        </is>
      </c>
      <c r="S136" s="3" t="inlineStr">
        <is>
          <t>Capacity weight is used only to weight accelerator mix, not to overwrite company total power in 02_Inputs.</t>
        </is>
      </c>
    </row>
    <row r="137">
      <c r="A137" s="3" t="inlineStr">
        <is>
          <t>Grid-Constrained / Efficiency-Upside|Anthropic|2026|Fluidstack Lake Mariner</t>
        </is>
      </c>
      <c r="B137" s="3" t="inlineStr">
        <is>
          <t>Grid-Constrained / Efficiency-Upside</t>
        </is>
      </c>
      <c r="C137" s="3" t="inlineStr">
        <is>
          <t>Anthropic</t>
        </is>
      </c>
      <c r="D137" s="3" t="n">
        <v>2026</v>
      </c>
      <c r="E137" s="3" t="inlineStr">
        <is>
          <t>Fluidstack Lake Mariner</t>
        </is>
      </c>
      <c r="F137" s="3" t="inlineStr">
        <is>
          <t>Fluidstack</t>
        </is>
      </c>
      <c r="G137" s="3" t="inlineStr">
        <is>
          <t>United States</t>
        </is>
      </c>
      <c r="H137" s="25" t="n">
        <v>50</v>
      </c>
      <c r="I137" s="17" t="n">
        <v>1</v>
      </c>
      <c r="J137" s="17" t="n">
        <v>0.54</v>
      </c>
      <c r="K137" s="26" t="n">
        <v>0.46</v>
      </c>
      <c r="L137" s="3" t="inlineStr">
        <is>
          <t>2027-03-31</t>
        </is>
      </c>
      <c r="M137" s="27" t="n">
        <v>50</v>
      </c>
      <c r="N137" s="27" t="n">
        <v>218</v>
      </c>
      <c r="O137" s="3" t="inlineStr">
        <is>
          <t>likely</t>
        </is>
      </c>
      <c r="P137" s="3" t="inlineStr">
        <is>
          <t>B200,TPU v7</t>
        </is>
      </c>
      <c r="Q137" s="3" t="inlineStr">
        <is>
          <t>epoch_user_site_equal_split_seed</t>
        </is>
      </c>
      <c r="R137" s="3" t="inlineStr">
        <is>
          <t>SRC_EPOCH_AI_DATA_CENTERS; EPOCH_NORMALIZED_USER_SITES</t>
        </is>
      </c>
      <c r="S137" s="3" t="inlineStr">
        <is>
          <t>Capacity weight is used only to weight accelerator mix, not to overwrite company total power in 02_Inputs.</t>
        </is>
      </c>
    </row>
    <row r="138">
      <c r="A138" s="3" t="inlineStr">
        <is>
          <t>Grid-Constrained / Efficiency-Upside|Anthropic|2027|Fluidstack Lake Mariner</t>
        </is>
      </c>
      <c r="B138" s="3" t="inlineStr">
        <is>
          <t>Grid-Constrained / Efficiency-Upside</t>
        </is>
      </c>
      <c r="C138" s="3" t="inlineStr">
        <is>
          <t>Anthropic</t>
        </is>
      </c>
      <c r="D138" s="3" t="n">
        <v>2027</v>
      </c>
      <c r="E138" s="3" t="inlineStr">
        <is>
          <t>Fluidstack Lake Mariner</t>
        </is>
      </c>
      <c r="F138" s="3" t="inlineStr">
        <is>
          <t>Fluidstack</t>
        </is>
      </c>
      <c r="G138" s="3" t="inlineStr">
        <is>
          <t>United States</t>
        </is>
      </c>
      <c r="H138" s="25" t="n">
        <v>218</v>
      </c>
      <c r="I138" s="17" t="n">
        <v>1</v>
      </c>
      <c r="J138" s="17" t="n">
        <v>0.6</v>
      </c>
      <c r="K138" s="26" t="n">
        <v>0.4</v>
      </c>
      <c r="L138" s="3" t="inlineStr">
        <is>
          <t>2027-03-31</t>
        </is>
      </c>
      <c r="M138" s="27" t="n">
        <v>50</v>
      </c>
      <c r="N138" s="27" t="n">
        <v>218</v>
      </c>
      <c r="O138" s="3" t="inlineStr">
        <is>
          <t>likely</t>
        </is>
      </c>
      <c r="P138" s="3" t="inlineStr">
        <is>
          <t>B200,TPU v7</t>
        </is>
      </c>
      <c r="Q138" s="3" t="inlineStr">
        <is>
          <t>epoch_user_site_equal_split_seed</t>
        </is>
      </c>
      <c r="R138" s="3" t="inlineStr">
        <is>
          <t>SRC_EPOCH_AI_DATA_CENTERS; EPOCH_NORMALIZED_USER_SITES</t>
        </is>
      </c>
      <c r="S138" s="3" t="inlineStr">
        <is>
          <t>Capacity weight is used only to weight accelerator mix, not to overwrite company total power in 02_Inputs.</t>
        </is>
      </c>
    </row>
    <row r="139">
      <c r="A139" s="3" t="inlineStr">
        <is>
          <t>Grid-Constrained / Efficiency-Upside|Anthropic|2028|Fluidstack Lake Mariner</t>
        </is>
      </c>
      <c r="B139" s="3" t="inlineStr">
        <is>
          <t>Grid-Constrained / Efficiency-Upside</t>
        </is>
      </c>
      <c r="C139" s="3" t="inlineStr">
        <is>
          <t>Anthropic</t>
        </is>
      </c>
      <c r="D139" s="3" t="n">
        <v>2028</v>
      </c>
      <c r="E139" s="3" t="inlineStr">
        <is>
          <t>Fluidstack Lake Mariner</t>
        </is>
      </c>
      <c r="F139" s="3" t="inlineStr">
        <is>
          <t>Fluidstack</t>
        </is>
      </c>
      <c r="G139" s="3" t="inlineStr">
        <is>
          <t>United States</t>
        </is>
      </c>
      <c r="H139" s="25" t="n">
        <v>218</v>
      </c>
      <c r="I139" s="17" t="n">
        <v>1</v>
      </c>
      <c r="J139" s="17" t="n">
        <v>0.66</v>
      </c>
      <c r="K139" s="26" t="n">
        <v>0.34</v>
      </c>
      <c r="L139" s="3" t="inlineStr">
        <is>
          <t>2027-03-31</t>
        </is>
      </c>
      <c r="M139" s="27" t="n">
        <v>50</v>
      </c>
      <c r="N139" s="27" t="n">
        <v>218</v>
      </c>
      <c r="O139" s="3" t="inlineStr">
        <is>
          <t>likely</t>
        </is>
      </c>
      <c r="P139" s="3" t="inlineStr">
        <is>
          <t>B200,TPU v7</t>
        </is>
      </c>
      <c r="Q139" s="3" t="inlineStr">
        <is>
          <t>epoch_user_site_equal_split_seed</t>
        </is>
      </c>
      <c r="R139" s="3" t="inlineStr">
        <is>
          <t>SRC_EPOCH_AI_DATA_CENTERS; EPOCH_NORMALIZED_USER_SITES</t>
        </is>
      </c>
      <c r="S139" s="3" t="inlineStr">
        <is>
          <t>Capacity weight is used only to weight accelerator mix, not to overwrite company total power in 02_Inputs.</t>
        </is>
      </c>
    </row>
    <row r="140">
      <c r="A140" s="3" t="inlineStr">
        <is>
          <t>Grid-Constrained / Efficiency-Upside|Anthropic|2029|Fluidstack Lake Mariner</t>
        </is>
      </c>
      <c r="B140" s="3" t="inlineStr">
        <is>
          <t>Grid-Constrained / Efficiency-Upside</t>
        </is>
      </c>
      <c r="C140" s="3" t="inlineStr">
        <is>
          <t>Anthropic</t>
        </is>
      </c>
      <c r="D140" s="3" t="n">
        <v>2029</v>
      </c>
      <c r="E140" s="3" t="inlineStr">
        <is>
          <t>Fluidstack Lake Mariner</t>
        </is>
      </c>
      <c r="F140" s="3" t="inlineStr">
        <is>
          <t>Fluidstack</t>
        </is>
      </c>
      <c r="G140" s="3" t="inlineStr">
        <is>
          <t>United States</t>
        </is>
      </c>
      <c r="H140" s="25" t="n">
        <v>218</v>
      </c>
      <c r="I140" s="17" t="n">
        <v>1</v>
      </c>
      <c r="J140" s="17" t="n">
        <v>0.72</v>
      </c>
      <c r="K140" s="26" t="n">
        <v>0.28</v>
      </c>
      <c r="L140" s="3" t="inlineStr">
        <is>
          <t>2027-03-31</t>
        </is>
      </c>
      <c r="M140" s="27" t="n">
        <v>50</v>
      </c>
      <c r="N140" s="27" t="n">
        <v>218</v>
      </c>
      <c r="O140" s="3" t="inlineStr">
        <is>
          <t>likely</t>
        </is>
      </c>
      <c r="P140" s="3" t="inlineStr">
        <is>
          <t>B200,TPU v7</t>
        </is>
      </c>
      <c r="Q140" s="3" t="inlineStr">
        <is>
          <t>epoch_user_site_equal_split_seed</t>
        </is>
      </c>
      <c r="R140" s="3" t="inlineStr">
        <is>
          <t>SRC_EPOCH_AI_DATA_CENTERS; EPOCH_NORMALIZED_USER_SITES</t>
        </is>
      </c>
      <c r="S140" s="3" t="inlineStr">
        <is>
          <t>Capacity weight is used only to weight accelerator mix, not to overwrite company total power in 02_Inputs.</t>
        </is>
      </c>
    </row>
    <row r="141">
      <c r="A141" s="3" t="inlineStr">
        <is>
          <t>Grid-Constrained / Efficiency-Upside|Anthropic|2030|Fluidstack Lake Mariner</t>
        </is>
      </c>
      <c r="B141" s="3" t="inlineStr">
        <is>
          <t>Grid-Constrained / Efficiency-Upside</t>
        </is>
      </c>
      <c r="C141" s="3" t="inlineStr">
        <is>
          <t>Anthropic</t>
        </is>
      </c>
      <c r="D141" s="3" t="n">
        <v>2030</v>
      </c>
      <c r="E141" s="3" t="inlineStr">
        <is>
          <t>Fluidstack Lake Mariner</t>
        </is>
      </c>
      <c r="F141" s="3" t="inlineStr">
        <is>
          <t>Fluidstack</t>
        </is>
      </c>
      <c r="G141" s="3" t="inlineStr">
        <is>
          <t>United States</t>
        </is>
      </c>
      <c r="H141" s="25" t="n">
        <v>218</v>
      </c>
      <c r="I141" s="17" t="n">
        <v>1</v>
      </c>
      <c r="J141" s="17" t="n">
        <v>0.78</v>
      </c>
      <c r="K141" s="26" t="n">
        <v>0.22</v>
      </c>
      <c r="L141" s="3" t="inlineStr">
        <is>
          <t>2027-03-31</t>
        </is>
      </c>
      <c r="M141" s="27" t="n">
        <v>50</v>
      </c>
      <c r="N141" s="27" t="n">
        <v>218</v>
      </c>
      <c r="O141" s="3" t="inlineStr">
        <is>
          <t>likely</t>
        </is>
      </c>
      <c r="P141" s="3" t="inlineStr">
        <is>
          <t>B200,TPU v7</t>
        </is>
      </c>
      <c r="Q141" s="3" t="inlineStr">
        <is>
          <t>epoch_user_site_equal_split_seed</t>
        </is>
      </c>
      <c r="R141" s="3" t="inlineStr">
        <is>
          <t>SRC_EPOCH_AI_DATA_CENTERS; EPOCH_NORMALIZED_USER_SITES</t>
        </is>
      </c>
      <c r="S141" s="3" t="inlineStr">
        <is>
          <t>Capacity weight is used only to weight accelerator mix, not to overwrite company total power in 02_Inputs.</t>
        </is>
      </c>
    </row>
    <row r="142">
      <c r="A142" s="3" t="inlineStr">
        <is>
          <t>Bear|Google|2027|Goodnight</t>
        </is>
      </c>
      <c r="B142" s="3" t="inlineStr">
        <is>
          <t>Bear</t>
        </is>
      </c>
      <c r="C142" s="3" t="inlineStr">
        <is>
          <t>Google</t>
        </is>
      </c>
      <c r="D142" s="3" t="n">
        <v>2027</v>
      </c>
      <c r="E142" s="3" t="inlineStr">
        <is>
          <t>Goodnight</t>
        </is>
      </c>
      <c r="F142" s="3" t="inlineStr">
        <is>
          <t>Google</t>
        </is>
      </c>
      <c r="G142" s="3" t="inlineStr">
        <is>
          <t>United States</t>
        </is>
      </c>
      <c r="H142" s="25" t="n">
        <v>1006</v>
      </c>
      <c r="I142" s="17" t="n">
        <v>1</v>
      </c>
      <c r="J142" s="17" t="n">
        <v>0.508</v>
      </c>
      <c r="K142" s="26" t="n">
        <v>0.492</v>
      </c>
      <c r="L142" s="3" t="inlineStr">
        <is>
          <t>2027-10-01</t>
        </is>
      </c>
      <c r="M142" s="27" t="n">
        <v>0</v>
      </c>
      <c r="N142" s="27" t="n">
        <v>1006</v>
      </c>
      <c r="O142" s="3" t="inlineStr">
        <is>
          <t>speculative</t>
        </is>
      </c>
      <c r="P142" s="3" t="inlineStr">
        <is>
          <t>B300,R200</t>
        </is>
      </c>
      <c r="Q142" s="3" t="inlineStr">
        <is>
          <t>epoch_user_site_equal_split_seed</t>
        </is>
      </c>
      <c r="R142" s="3" t="inlineStr">
        <is>
          <t>SRC_EPOCH_AI_DATA_CENTERS; EPOCH_NORMALIZED_USER_SITES</t>
        </is>
      </c>
      <c r="S142" s="3" t="inlineStr">
        <is>
          <t>Capacity weight is used only to weight accelerator mix, not to overwrite company total power in 02_Inputs.</t>
        </is>
      </c>
    </row>
    <row r="143">
      <c r="A143" s="3" t="inlineStr">
        <is>
          <t>Bear|Google|2028|Goodnight</t>
        </is>
      </c>
      <c r="B143" s="3" t="inlineStr">
        <is>
          <t>Bear</t>
        </is>
      </c>
      <c r="C143" s="3" t="inlineStr">
        <is>
          <t>Google</t>
        </is>
      </c>
      <c r="D143" s="3" t="n">
        <v>2028</v>
      </c>
      <c r="E143" s="3" t="inlineStr">
        <is>
          <t>Goodnight</t>
        </is>
      </c>
      <c r="F143" s="3" t="inlineStr">
        <is>
          <t>Google</t>
        </is>
      </c>
      <c r="G143" s="3" t="inlineStr">
        <is>
          <t>United States</t>
        </is>
      </c>
      <c r="H143" s="25" t="n">
        <v>1006</v>
      </c>
      <c r="I143" s="17" t="n">
        <v>1</v>
      </c>
      <c r="J143" s="17" t="n">
        <v>0.545</v>
      </c>
      <c r="K143" s="26" t="n">
        <v>0.455</v>
      </c>
      <c r="L143" s="3" t="inlineStr">
        <is>
          <t>2027-10-01</t>
        </is>
      </c>
      <c r="M143" s="27" t="n">
        <v>0</v>
      </c>
      <c r="N143" s="27" t="n">
        <v>1006</v>
      </c>
      <c r="O143" s="3" t="inlineStr">
        <is>
          <t>speculative</t>
        </is>
      </c>
      <c r="P143" s="3" t="inlineStr">
        <is>
          <t>B300,R200</t>
        </is>
      </c>
      <c r="Q143" s="3" t="inlineStr">
        <is>
          <t>epoch_user_site_equal_split_seed</t>
        </is>
      </c>
      <c r="R143" s="3" t="inlineStr">
        <is>
          <t>SRC_EPOCH_AI_DATA_CENTERS; EPOCH_NORMALIZED_USER_SITES</t>
        </is>
      </c>
      <c r="S143" s="3" t="inlineStr">
        <is>
          <t>Capacity weight is used only to weight accelerator mix, not to overwrite company total power in 02_Inputs.</t>
        </is>
      </c>
    </row>
    <row r="144">
      <c r="A144" s="3" t="inlineStr">
        <is>
          <t>Bear|Google|2029|Goodnight</t>
        </is>
      </c>
      <c r="B144" s="3" t="inlineStr">
        <is>
          <t>Bear</t>
        </is>
      </c>
      <c r="C144" s="3" t="inlineStr">
        <is>
          <t>Google</t>
        </is>
      </c>
      <c r="D144" s="3" t="n">
        <v>2029</v>
      </c>
      <c r="E144" s="3" t="inlineStr">
        <is>
          <t>Goodnight</t>
        </is>
      </c>
      <c r="F144" s="3" t="inlineStr">
        <is>
          <t>Google</t>
        </is>
      </c>
      <c r="G144" s="3" t="inlineStr">
        <is>
          <t>United States</t>
        </is>
      </c>
      <c r="H144" s="25" t="n">
        <v>1006</v>
      </c>
      <c r="I144" s="17" t="n">
        <v>1</v>
      </c>
      <c r="J144" s="17" t="n">
        <v>0.583</v>
      </c>
      <c r="K144" s="26" t="n">
        <v>0.417</v>
      </c>
      <c r="L144" s="3" t="inlineStr">
        <is>
          <t>2027-10-01</t>
        </is>
      </c>
      <c r="M144" s="27" t="n">
        <v>0</v>
      </c>
      <c r="N144" s="27" t="n">
        <v>1006</v>
      </c>
      <c r="O144" s="3" t="inlineStr">
        <is>
          <t>speculative</t>
        </is>
      </c>
      <c r="P144" s="3" t="inlineStr">
        <is>
          <t>B300,R200</t>
        </is>
      </c>
      <c r="Q144" s="3" t="inlineStr">
        <is>
          <t>epoch_user_site_equal_split_seed</t>
        </is>
      </c>
      <c r="R144" s="3" t="inlineStr">
        <is>
          <t>SRC_EPOCH_AI_DATA_CENTERS; EPOCH_NORMALIZED_USER_SITES</t>
        </is>
      </c>
      <c r="S144" s="3" t="inlineStr">
        <is>
          <t>Capacity weight is used only to weight accelerator mix, not to overwrite company total power in 02_Inputs.</t>
        </is>
      </c>
    </row>
    <row r="145">
      <c r="A145" s="3" t="inlineStr">
        <is>
          <t>Bear|Google|2030|Goodnight</t>
        </is>
      </c>
      <c r="B145" s="3" t="inlineStr">
        <is>
          <t>Bear</t>
        </is>
      </c>
      <c r="C145" s="3" t="inlineStr">
        <is>
          <t>Google</t>
        </is>
      </c>
      <c r="D145" s="3" t="n">
        <v>2030</v>
      </c>
      <c r="E145" s="3" t="inlineStr">
        <is>
          <t>Goodnight</t>
        </is>
      </c>
      <c r="F145" s="3" t="inlineStr">
        <is>
          <t>Google</t>
        </is>
      </c>
      <c r="G145" s="3" t="inlineStr">
        <is>
          <t>United States</t>
        </is>
      </c>
      <c r="H145" s="25" t="n">
        <v>1006</v>
      </c>
      <c r="I145" s="17" t="n">
        <v>1</v>
      </c>
      <c r="J145" s="17" t="n">
        <v>0.62</v>
      </c>
      <c r="K145" s="26" t="n">
        <v>0.38</v>
      </c>
      <c r="L145" s="3" t="inlineStr">
        <is>
          <t>2027-10-01</t>
        </is>
      </c>
      <c r="M145" s="27" t="n">
        <v>0</v>
      </c>
      <c r="N145" s="27" t="n">
        <v>1006</v>
      </c>
      <c r="O145" s="3" t="inlineStr">
        <is>
          <t>speculative</t>
        </is>
      </c>
      <c r="P145" s="3" t="inlineStr">
        <is>
          <t>B300,R200</t>
        </is>
      </c>
      <c r="Q145" s="3" t="inlineStr">
        <is>
          <t>epoch_user_site_equal_split_seed</t>
        </is>
      </c>
      <c r="R145" s="3" t="inlineStr">
        <is>
          <t>SRC_EPOCH_AI_DATA_CENTERS; EPOCH_NORMALIZED_USER_SITES</t>
        </is>
      </c>
      <c r="S145" s="3" t="inlineStr">
        <is>
          <t>Capacity weight is used only to weight accelerator mix, not to overwrite company total power in 02_Inputs.</t>
        </is>
      </c>
    </row>
    <row r="146">
      <c r="A146" s="3" t="inlineStr">
        <is>
          <t>Base|Google|2027|Goodnight</t>
        </is>
      </c>
      <c r="B146" s="3" t="inlineStr">
        <is>
          <t>Base</t>
        </is>
      </c>
      <c r="C146" s="3" t="inlineStr">
        <is>
          <t>Google</t>
        </is>
      </c>
      <c r="D146" s="3" t="n">
        <v>2027</v>
      </c>
      <c r="E146" s="3" t="inlineStr">
        <is>
          <t>Goodnight</t>
        </is>
      </c>
      <c r="F146" s="3" t="inlineStr">
        <is>
          <t>Google</t>
        </is>
      </c>
      <c r="G146" s="3" t="inlineStr">
        <is>
          <t>United States</t>
        </is>
      </c>
      <c r="H146" s="25" t="n">
        <v>1006</v>
      </c>
      <c r="I146" s="17" t="n">
        <v>1</v>
      </c>
      <c r="J146" s="17" t="n">
        <v>0.593</v>
      </c>
      <c r="K146" s="26" t="n">
        <v>0.407</v>
      </c>
      <c r="L146" s="3" t="inlineStr">
        <is>
          <t>2027-10-01</t>
        </is>
      </c>
      <c r="M146" s="27" t="n">
        <v>0</v>
      </c>
      <c r="N146" s="27" t="n">
        <v>1006</v>
      </c>
      <c r="O146" s="3" t="inlineStr">
        <is>
          <t>speculative</t>
        </is>
      </c>
      <c r="P146" s="3" t="inlineStr">
        <is>
          <t>B300,R200</t>
        </is>
      </c>
      <c r="Q146" s="3" t="inlineStr">
        <is>
          <t>epoch_user_site_equal_split_seed</t>
        </is>
      </c>
      <c r="R146" s="3" t="inlineStr">
        <is>
          <t>SRC_EPOCH_AI_DATA_CENTERS; EPOCH_NORMALIZED_USER_SITES</t>
        </is>
      </c>
      <c r="S146" s="3" t="inlineStr">
        <is>
          <t>Capacity weight is used only to weight accelerator mix, not to overwrite company total power in 02_Inputs.</t>
        </is>
      </c>
    </row>
    <row r="147">
      <c r="A147" s="3" t="inlineStr">
        <is>
          <t>Base|Google|2028|Goodnight</t>
        </is>
      </c>
      <c r="B147" s="3" t="inlineStr">
        <is>
          <t>Base</t>
        </is>
      </c>
      <c r="C147" s="3" t="inlineStr">
        <is>
          <t>Google</t>
        </is>
      </c>
      <c r="D147" s="3" t="n">
        <v>2028</v>
      </c>
      <c r="E147" s="3" t="inlineStr">
        <is>
          <t>Goodnight</t>
        </is>
      </c>
      <c r="F147" s="3" t="inlineStr">
        <is>
          <t>Google</t>
        </is>
      </c>
      <c r="G147" s="3" t="inlineStr">
        <is>
          <t>United States</t>
        </is>
      </c>
      <c r="H147" s="25" t="n">
        <v>1006</v>
      </c>
      <c r="I147" s="17" t="n">
        <v>1</v>
      </c>
      <c r="J147" s="17" t="n">
        <v>0.635</v>
      </c>
      <c r="K147" s="26" t="n">
        <v>0.365</v>
      </c>
      <c r="L147" s="3" t="inlineStr">
        <is>
          <t>2027-10-01</t>
        </is>
      </c>
      <c r="M147" s="27" t="n">
        <v>0</v>
      </c>
      <c r="N147" s="27" t="n">
        <v>1006</v>
      </c>
      <c r="O147" s="3" t="inlineStr">
        <is>
          <t>speculative</t>
        </is>
      </c>
      <c r="P147" s="3" t="inlineStr">
        <is>
          <t>B300,R200</t>
        </is>
      </c>
      <c r="Q147" s="3" t="inlineStr">
        <is>
          <t>epoch_user_site_equal_split_seed</t>
        </is>
      </c>
      <c r="R147" s="3" t="inlineStr">
        <is>
          <t>SRC_EPOCH_AI_DATA_CENTERS; EPOCH_NORMALIZED_USER_SITES</t>
        </is>
      </c>
      <c r="S147" s="3" t="inlineStr">
        <is>
          <t>Capacity weight is used only to weight accelerator mix, not to overwrite company total power in 02_Inputs.</t>
        </is>
      </c>
    </row>
    <row r="148">
      <c r="A148" s="3" t="inlineStr">
        <is>
          <t>Base|Google|2029|Goodnight</t>
        </is>
      </c>
      <c r="B148" s="3" t="inlineStr">
        <is>
          <t>Base</t>
        </is>
      </c>
      <c r="C148" s="3" t="inlineStr">
        <is>
          <t>Google</t>
        </is>
      </c>
      <c r="D148" s="3" t="n">
        <v>2029</v>
      </c>
      <c r="E148" s="3" t="inlineStr">
        <is>
          <t>Goodnight</t>
        </is>
      </c>
      <c r="F148" s="3" t="inlineStr">
        <is>
          <t>Google</t>
        </is>
      </c>
      <c r="G148" s="3" t="inlineStr">
        <is>
          <t>United States</t>
        </is>
      </c>
      <c r="H148" s="25" t="n">
        <v>1006</v>
      </c>
      <c r="I148" s="17" t="n">
        <v>1</v>
      </c>
      <c r="J148" s="17" t="n">
        <v>0.677</v>
      </c>
      <c r="K148" s="26" t="n">
        <v>0.323</v>
      </c>
      <c r="L148" s="3" t="inlineStr">
        <is>
          <t>2027-10-01</t>
        </is>
      </c>
      <c r="M148" s="27" t="n">
        <v>0</v>
      </c>
      <c r="N148" s="27" t="n">
        <v>1006</v>
      </c>
      <c r="O148" s="3" t="inlineStr">
        <is>
          <t>speculative</t>
        </is>
      </c>
      <c r="P148" s="3" t="inlineStr">
        <is>
          <t>B300,R200</t>
        </is>
      </c>
      <c r="Q148" s="3" t="inlineStr">
        <is>
          <t>epoch_user_site_equal_split_seed</t>
        </is>
      </c>
      <c r="R148" s="3" t="inlineStr">
        <is>
          <t>SRC_EPOCH_AI_DATA_CENTERS; EPOCH_NORMALIZED_USER_SITES</t>
        </is>
      </c>
      <c r="S148" s="3" t="inlineStr">
        <is>
          <t>Capacity weight is used only to weight accelerator mix, not to overwrite company total power in 02_Inputs.</t>
        </is>
      </c>
    </row>
    <row r="149">
      <c r="A149" s="3" t="inlineStr">
        <is>
          <t>Base|Google|2030|Goodnight</t>
        </is>
      </c>
      <c r="B149" s="3" t="inlineStr">
        <is>
          <t>Base</t>
        </is>
      </c>
      <c r="C149" s="3" t="inlineStr">
        <is>
          <t>Google</t>
        </is>
      </c>
      <c r="D149" s="3" t="n">
        <v>2030</v>
      </c>
      <c r="E149" s="3" t="inlineStr">
        <is>
          <t>Goodnight</t>
        </is>
      </c>
      <c r="F149" s="3" t="inlineStr">
        <is>
          <t>Google</t>
        </is>
      </c>
      <c r="G149" s="3" t="inlineStr">
        <is>
          <t>United States</t>
        </is>
      </c>
      <c r="H149" s="25" t="n">
        <v>1006</v>
      </c>
      <c r="I149" s="17" t="n">
        <v>1</v>
      </c>
      <c r="J149" s="17" t="n">
        <v>0.72</v>
      </c>
      <c r="K149" s="26" t="n">
        <v>0.28</v>
      </c>
      <c r="L149" s="3" t="inlineStr">
        <is>
          <t>2027-10-01</t>
        </is>
      </c>
      <c r="M149" s="27" t="n">
        <v>0</v>
      </c>
      <c r="N149" s="27" t="n">
        <v>1006</v>
      </c>
      <c r="O149" s="3" t="inlineStr">
        <is>
          <t>speculative</t>
        </is>
      </c>
      <c r="P149" s="3" t="inlineStr">
        <is>
          <t>B300,R200</t>
        </is>
      </c>
      <c r="Q149" s="3" t="inlineStr">
        <is>
          <t>epoch_user_site_equal_split_seed</t>
        </is>
      </c>
      <c r="R149" s="3" t="inlineStr">
        <is>
          <t>SRC_EPOCH_AI_DATA_CENTERS; EPOCH_NORMALIZED_USER_SITES</t>
        </is>
      </c>
      <c r="S149" s="3" t="inlineStr">
        <is>
          <t>Capacity weight is used only to weight accelerator mix, not to overwrite company total power in 02_Inputs.</t>
        </is>
      </c>
    </row>
    <row r="150">
      <c r="A150" s="3" t="inlineStr">
        <is>
          <t>Bull|Google|2027|Goodnight</t>
        </is>
      </c>
      <c r="B150" s="3" t="inlineStr">
        <is>
          <t>Bull</t>
        </is>
      </c>
      <c r="C150" s="3" t="inlineStr">
        <is>
          <t>Google</t>
        </is>
      </c>
      <c r="D150" s="3" t="n">
        <v>2027</v>
      </c>
      <c r="E150" s="3" t="inlineStr">
        <is>
          <t>Goodnight</t>
        </is>
      </c>
      <c r="F150" s="3" t="inlineStr">
        <is>
          <t>Google</t>
        </is>
      </c>
      <c r="G150" s="3" t="inlineStr">
        <is>
          <t>United States</t>
        </is>
      </c>
      <c r="H150" s="25" t="n">
        <v>1006</v>
      </c>
      <c r="I150" s="17" t="n">
        <v>1</v>
      </c>
      <c r="J150" s="17" t="n">
        <v>0.65</v>
      </c>
      <c r="K150" s="26" t="n">
        <v>0.35</v>
      </c>
      <c r="L150" s="3" t="inlineStr">
        <is>
          <t>2027-10-01</t>
        </is>
      </c>
      <c r="M150" s="27" t="n">
        <v>0</v>
      </c>
      <c r="N150" s="27" t="n">
        <v>1006</v>
      </c>
      <c r="O150" s="3" t="inlineStr">
        <is>
          <t>speculative</t>
        </is>
      </c>
      <c r="P150" s="3" t="inlineStr">
        <is>
          <t>B300,R200</t>
        </is>
      </c>
      <c r="Q150" s="3" t="inlineStr">
        <is>
          <t>epoch_user_site_equal_split_seed</t>
        </is>
      </c>
      <c r="R150" s="3" t="inlineStr">
        <is>
          <t>SRC_EPOCH_AI_DATA_CENTERS; EPOCH_NORMALIZED_USER_SITES</t>
        </is>
      </c>
      <c r="S150" s="3" t="inlineStr">
        <is>
          <t>Capacity weight is used only to weight accelerator mix, not to overwrite company total power in 02_Inputs.</t>
        </is>
      </c>
    </row>
    <row r="151">
      <c r="A151" s="3" t="inlineStr">
        <is>
          <t>Bull|Google|2028|Goodnight</t>
        </is>
      </c>
      <c r="B151" s="3" t="inlineStr">
        <is>
          <t>Bull</t>
        </is>
      </c>
      <c r="C151" s="3" t="inlineStr">
        <is>
          <t>Google</t>
        </is>
      </c>
      <c r="D151" s="3" t="n">
        <v>2028</v>
      </c>
      <c r="E151" s="3" t="inlineStr">
        <is>
          <t>Goodnight</t>
        </is>
      </c>
      <c r="F151" s="3" t="inlineStr">
        <is>
          <t>Google</t>
        </is>
      </c>
      <c r="G151" s="3" t="inlineStr">
        <is>
          <t>United States</t>
        </is>
      </c>
      <c r="H151" s="25" t="n">
        <v>1006</v>
      </c>
      <c r="I151" s="17" t="n">
        <v>1</v>
      </c>
      <c r="J151" s="17" t="n">
        <v>0.7</v>
      </c>
      <c r="K151" s="26" t="n">
        <v>0.3</v>
      </c>
      <c r="L151" s="3" t="inlineStr">
        <is>
          <t>2027-10-01</t>
        </is>
      </c>
      <c r="M151" s="27" t="n">
        <v>0</v>
      </c>
      <c r="N151" s="27" t="n">
        <v>1006</v>
      </c>
      <c r="O151" s="3" t="inlineStr">
        <is>
          <t>speculative</t>
        </is>
      </c>
      <c r="P151" s="3" t="inlineStr">
        <is>
          <t>B300,R200</t>
        </is>
      </c>
      <c r="Q151" s="3" t="inlineStr">
        <is>
          <t>epoch_user_site_equal_split_seed</t>
        </is>
      </c>
      <c r="R151" s="3" t="inlineStr">
        <is>
          <t>SRC_EPOCH_AI_DATA_CENTERS; EPOCH_NORMALIZED_USER_SITES</t>
        </is>
      </c>
      <c r="S151" s="3" t="inlineStr">
        <is>
          <t>Capacity weight is used only to weight accelerator mix, not to overwrite company total power in 02_Inputs.</t>
        </is>
      </c>
    </row>
    <row r="152">
      <c r="A152" s="3" t="inlineStr">
        <is>
          <t>Bull|Google|2029|Goodnight</t>
        </is>
      </c>
      <c r="B152" s="3" t="inlineStr">
        <is>
          <t>Bull</t>
        </is>
      </c>
      <c r="C152" s="3" t="inlineStr">
        <is>
          <t>Google</t>
        </is>
      </c>
      <c r="D152" s="3" t="n">
        <v>2029</v>
      </c>
      <c r="E152" s="3" t="inlineStr">
        <is>
          <t>Goodnight</t>
        </is>
      </c>
      <c r="F152" s="3" t="inlineStr">
        <is>
          <t>Google</t>
        </is>
      </c>
      <c r="G152" s="3" t="inlineStr">
        <is>
          <t>United States</t>
        </is>
      </c>
      <c r="H152" s="25" t="n">
        <v>1006</v>
      </c>
      <c r="I152" s="17" t="n">
        <v>1</v>
      </c>
      <c r="J152" s="17" t="n">
        <v>0.75</v>
      </c>
      <c r="K152" s="26" t="n">
        <v>0.25</v>
      </c>
      <c r="L152" s="3" t="inlineStr">
        <is>
          <t>2027-10-01</t>
        </is>
      </c>
      <c r="M152" s="27" t="n">
        <v>0</v>
      </c>
      <c r="N152" s="27" t="n">
        <v>1006</v>
      </c>
      <c r="O152" s="3" t="inlineStr">
        <is>
          <t>speculative</t>
        </is>
      </c>
      <c r="P152" s="3" t="inlineStr">
        <is>
          <t>B300,R200</t>
        </is>
      </c>
      <c r="Q152" s="3" t="inlineStr">
        <is>
          <t>epoch_user_site_equal_split_seed</t>
        </is>
      </c>
      <c r="R152" s="3" t="inlineStr">
        <is>
          <t>SRC_EPOCH_AI_DATA_CENTERS; EPOCH_NORMALIZED_USER_SITES</t>
        </is>
      </c>
      <c r="S152" s="3" t="inlineStr">
        <is>
          <t>Capacity weight is used only to weight accelerator mix, not to overwrite company total power in 02_Inputs.</t>
        </is>
      </c>
    </row>
    <row r="153">
      <c r="A153" s="3" t="inlineStr">
        <is>
          <t>Bull|Google|2030|Goodnight</t>
        </is>
      </c>
      <c r="B153" s="3" t="inlineStr">
        <is>
          <t>Bull</t>
        </is>
      </c>
      <c r="C153" s="3" t="inlineStr">
        <is>
          <t>Google</t>
        </is>
      </c>
      <c r="D153" s="3" t="n">
        <v>2030</v>
      </c>
      <c r="E153" s="3" t="inlineStr">
        <is>
          <t>Goodnight</t>
        </is>
      </c>
      <c r="F153" s="3" t="inlineStr">
        <is>
          <t>Google</t>
        </is>
      </c>
      <c r="G153" s="3" t="inlineStr">
        <is>
          <t>United States</t>
        </is>
      </c>
      <c r="H153" s="25" t="n">
        <v>1006</v>
      </c>
      <c r="I153" s="17" t="n">
        <v>1</v>
      </c>
      <c r="J153" s="17" t="n">
        <v>0.8</v>
      </c>
      <c r="K153" s="26" t="n">
        <v>0.2</v>
      </c>
      <c r="L153" s="3" t="inlineStr">
        <is>
          <t>2027-10-01</t>
        </is>
      </c>
      <c r="M153" s="27" t="n">
        <v>0</v>
      </c>
      <c r="N153" s="27" t="n">
        <v>1006</v>
      </c>
      <c r="O153" s="3" t="inlineStr">
        <is>
          <t>speculative</t>
        </is>
      </c>
      <c r="P153" s="3" t="inlineStr">
        <is>
          <t>B300,R200</t>
        </is>
      </c>
      <c r="Q153" s="3" t="inlineStr">
        <is>
          <t>epoch_user_site_equal_split_seed</t>
        </is>
      </c>
      <c r="R153" s="3" t="inlineStr">
        <is>
          <t>SRC_EPOCH_AI_DATA_CENTERS; EPOCH_NORMALIZED_USER_SITES</t>
        </is>
      </c>
      <c r="S153" s="3" t="inlineStr">
        <is>
          <t>Capacity weight is used only to weight accelerator mix, not to overwrite company total power in 02_Inputs.</t>
        </is>
      </c>
    </row>
    <row r="154">
      <c r="A154" s="3" t="inlineStr">
        <is>
          <t>Grid-Constrained / Efficiency-Upside|Google|2027|Goodnight</t>
        </is>
      </c>
      <c r="B154" s="3" t="inlineStr">
        <is>
          <t>Grid-Constrained / Efficiency-Upside</t>
        </is>
      </c>
      <c r="C154" s="3" t="inlineStr">
        <is>
          <t>Google</t>
        </is>
      </c>
      <c r="D154" s="3" t="n">
        <v>2027</v>
      </c>
      <c r="E154" s="3" t="inlineStr">
        <is>
          <t>Goodnight</t>
        </is>
      </c>
      <c r="F154" s="3" t="inlineStr">
        <is>
          <t>Google</t>
        </is>
      </c>
      <c r="G154" s="3" t="inlineStr">
        <is>
          <t>United States</t>
        </is>
      </c>
      <c r="H154" s="25" t="n">
        <v>1006</v>
      </c>
      <c r="I154" s="17" t="n">
        <v>1</v>
      </c>
      <c r="J154" s="17" t="n">
        <v>0.618</v>
      </c>
      <c r="K154" s="26" t="n">
        <v>0.382</v>
      </c>
      <c r="L154" s="3" t="inlineStr">
        <is>
          <t>2027-10-01</t>
        </is>
      </c>
      <c r="M154" s="27" t="n">
        <v>0</v>
      </c>
      <c r="N154" s="27" t="n">
        <v>1006</v>
      </c>
      <c r="O154" s="3" t="inlineStr">
        <is>
          <t>speculative</t>
        </is>
      </c>
      <c r="P154" s="3" t="inlineStr">
        <is>
          <t>B300,R200</t>
        </is>
      </c>
      <c r="Q154" s="3" t="inlineStr">
        <is>
          <t>epoch_user_site_equal_split_seed</t>
        </is>
      </c>
      <c r="R154" s="3" t="inlineStr">
        <is>
          <t>SRC_EPOCH_AI_DATA_CENTERS; EPOCH_NORMALIZED_USER_SITES</t>
        </is>
      </c>
      <c r="S154" s="3" t="inlineStr">
        <is>
          <t>Capacity weight is used only to weight accelerator mix, not to overwrite company total power in 02_Inputs.</t>
        </is>
      </c>
    </row>
    <row r="155">
      <c r="A155" s="3" t="inlineStr">
        <is>
          <t>Grid-Constrained / Efficiency-Upside|Google|2028|Goodnight</t>
        </is>
      </c>
      <c r="B155" s="3" t="inlineStr">
        <is>
          <t>Grid-Constrained / Efficiency-Upside</t>
        </is>
      </c>
      <c r="C155" s="3" t="inlineStr">
        <is>
          <t>Google</t>
        </is>
      </c>
      <c r="D155" s="3" t="n">
        <v>2028</v>
      </c>
      <c r="E155" s="3" t="inlineStr">
        <is>
          <t>Goodnight</t>
        </is>
      </c>
      <c r="F155" s="3" t="inlineStr">
        <is>
          <t>Google</t>
        </is>
      </c>
      <c r="G155" s="3" t="inlineStr">
        <is>
          <t>United States</t>
        </is>
      </c>
      <c r="H155" s="25" t="n">
        <v>1006</v>
      </c>
      <c r="I155" s="17" t="n">
        <v>1</v>
      </c>
      <c r="J155" s="17" t="n">
        <v>0.665</v>
      </c>
      <c r="K155" s="26" t="n">
        <v>0.335</v>
      </c>
      <c r="L155" s="3" t="inlineStr">
        <is>
          <t>2027-10-01</t>
        </is>
      </c>
      <c r="M155" s="27" t="n">
        <v>0</v>
      </c>
      <c r="N155" s="27" t="n">
        <v>1006</v>
      </c>
      <c r="O155" s="3" t="inlineStr">
        <is>
          <t>speculative</t>
        </is>
      </c>
      <c r="P155" s="3" t="inlineStr">
        <is>
          <t>B300,R200</t>
        </is>
      </c>
      <c r="Q155" s="3" t="inlineStr">
        <is>
          <t>epoch_user_site_equal_split_seed</t>
        </is>
      </c>
      <c r="R155" s="3" t="inlineStr">
        <is>
          <t>SRC_EPOCH_AI_DATA_CENTERS; EPOCH_NORMALIZED_USER_SITES</t>
        </is>
      </c>
      <c r="S155" s="3" t="inlineStr">
        <is>
          <t>Capacity weight is used only to weight accelerator mix, not to overwrite company total power in 02_Inputs.</t>
        </is>
      </c>
    </row>
    <row r="156">
      <c r="A156" s="3" t="inlineStr">
        <is>
          <t>Grid-Constrained / Efficiency-Upside|Google|2029|Goodnight</t>
        </is>
      </c>
      <c r="B156" s="3" t="inlineStr">
        <is>
          <t>Grid-Constrained / Efficiency-Upside</t>
        </is>
      </c>
      <c r="C156" s="3" t="inlineStr">
        <is>
          <t>Google</t>
        </is>
      </c>
      <c r="D156" s="3" t="n">
        <v>2029</v>
      </c>
      <c r="E156" s="3" t="inlineStr">
        <is>
          <t>Goodnight</t>
        </is>
      </c>
      <c r="F156" s="3" t="inlineStr">
        <is>
          <t>Google</t>
        </is>
      </c>
      <c r="G156" s="3" t="inlineStr">
        <is>
          <t>United States</t>
        </is>
      </c>
      <c r="H156" s="25" t="n">
        <v>1006</v>
      </c>
      <c r="I156" s="17" t="n">
        <v>1</v>
      </c>
      <c r="J156" s="17" t="n">
        <v>0.713</v>
      </c>
      <c r="K156" s="26" t="n">
        <v>0.287</v>
      </c>
      <c r="L156" s="3" t="inlineStr">
        <is>
          <t>2027-10-01</t>
        </is>
      </c>
      <c r="M156" s="27" t="n">
        <v>0</v>
      </c>
      <c r="N156" s="27" t="n">
        <v>1006</v>
      </c>
      <c r="O156" s="3" t="inlineStr">
        <is>
          <t>speculative</t>
        </is>
      </c>
      <c r="P156" s="3" t="inlineStr">
        <is>
          <t>B300,R200</t>
        </is>
      </c>
      <c r="Q156" s="3" t="inlineStr">
        <is>
          <t>epoch_user_site_equal_split_seed</t>
        </is>
      </c>
      <c r="R156" s="3" t="inlineStr">
        <is>
          <t>SRC_EPOCH_AI_DATA_CENTERS; EPOCH_NORMALIZED_USER_SITES</t>
        </is>
      </c>
      <c r="S156" s="3" t="inlineStr">
        <is>
          <t>Capacity weight is used only to weight accelerator mix, not to overwrite company total power in 02_Inputs.</t>
        </is>
      </c>
    </row>
    <row r="157">
      <c r="A157" s="3" t="inlineStr">
        <is>
          <t>Grid-Constrained / Efficiency-Upside|Google|2030|Goodnight</t>
        </is>
      </c>
      <c r="B157" s="3" t="inlineStr">
        <is>
          <t>Grid-Constrained / Efficiency-Upside</t>
        </is>
      </c>
      <c r="C157" s="3" t="inlineStr">
        <is>
          <t>Google</t>
        </is>
      </c>
      <c r="D157" s="3" t="n">
        <v>2030</v>
      </c>
      <c r="E157" s="3" t="inlineStr">
        <is>
          <t>Goodnight</t>
        </is>
      </c>
      <c r="F157" s="3" t="inlineStr">
        <is>
          <t>Google</t>
        </is>
      </c>
      <c r="G157" s="3" t="inlineStr">
        <is>
          <t>United States</t>
        </is>
      </c>
      <c r="H157" s="25" t="n">
        <v>1006</v>
      </c>
      <c r="I157" s="17" t="n">
        <v>1</v>
      </c>
      <c r="J157" s="17" t="n">
        <v>0.76</v>
      </c>
      <c r="K157" s="26" t="n">
        <v>0.24</v>
      </c>
      <c r="L157" s="3" t="inlineStr">
        <is>
          <t>2027-10-01</t>
        </is>
      </c>
      <c r="M157" s="27" t="n">
        <v>0</v>
      </c>
      <c r="N157" s="27" t="n">
        <v>1006</v>
      </c>
      <c r="O157" s="3" t="inlineStr">
        <is>
          <t>speculative</t>
        </is>
      </c>
      <c r="P157" s="3" t="inlineStr">
        <is>
          <t>B300,R200</t>
        </is>
      </c>
      <c r="Q157" s="3" t="inlineStr">
        <is>
          <t>epoch_user_site_equal_split_seed</t>
        </is>
      </c>
      <c r="R157" s="3" t="inlineStr">
        <is>
          <t>SRC_EPOCH_AI_DATA_CENTERS; EPOCH_NORMALIZED_USER_SITES</t>
        </is>
      </c>
      <c r="S157" s="3" t="inlineStr">
        <is>
          <t>Capacity weight is used only to weight accelerator mix, not to overwrite company total power in 02_Inputs.</t>
        </is>
      </c>
    </row>
    <row r="158">
      <c r="A158" s="3" t="inlineStr">
        <is>
          <t>Bear|Google|2027|Google Cedar Rapids</t>
        </is>
      </c>
      <c r="B158" s="3" t="inlineStr">
        <is>
          <t>Bear</t>
        </is>
      </c>
      <c r="C158" s="3" t="inlineStr">
        <is>
          <t>Google</t>
        </is>
      </c>
      <c r="D158" s="3" t="n">
        <v>2027</v>
      </c>
      <c r="E158" s="3" t="inlineStr">
        <is>
          <t>Google Cedar Rapids</t>
        </is>
      </c>
      <c r="F158" s="3" t="inlineStr">
        <is>
          <t>Google</t>
        </is>
      </c>
      <c r="G158" s="3" t="inlineStr">
        <is>
          <t>United States</t>
        </is>
      </c>
      <c r="H158" s="25" t="n">
        <v>261</v>
      </c>
      <c r="I158" s="17" t="n">
        <v>1</v>
      </c>
      <c r="J158" s="17" t="n">
        <v>0.508</v>
      </c>
      <c r="K158" s="26" t="n">
        <v>0.492</v>
      </c>
      <c r="L158" s="3" t="inlineStr">
        <is>
          <t>2027-05-23</t>
        </is>
      </c>
      <c r="M158" s="27" t="n">
        <v>0</v>
      </c>
      <c r="N158" s="27" t="n">
        <v>261</v>
      </c>
      <c r="O158" s="3" t="inlineStr">
        <is>
          <t>speculative</t>
        </is>
      </c>
      <c r="P158" s="3" t="inlineStr"/>
      <c r="Q158" s="3" t="inlineStr">
        <is>
          <t>epoch_user_site_equal_split_seed</t>
        </is>
      </c>
      <c r="R158" s="3" t="inlineStr">
        <is>
          <t>SRC_EPOCH_AI_DATA_CENTERS; EPOCH_NORMALIZED_USER_SITES</t>
        </is>
      </c>
      <c r="S158" s="3" t="inlineStr">
        <is>
          <t>Capacity weight is used only to weight accelerator mix, not to overwrite company total power in 02_Inputs.</t>
        </is>
      </c>
    </row>
    <row r="159">
      <c r="A159" s="3" t="inlineStr">
        <is>
          <t>Bear|Google|2028|Google Cedar Rapids</t>
        </is>
      </c>
      <c r="B159" s="3" t="inlineStr">
        <is>
          <t>Bear</t>
        </is>
      </c>
      <c r="C159" s="3" t="inlineStr">
        <is>
          <t>Google</t>
        </is>
      </c>
      <c r="D159" s="3" t="n">
        <v>2028</v>
      </c>
      <c r="E159" s="3" t="inlineStr">
        <is>
          <t>Google Cedar Rapids</t>
        </is>
      </c>
      <c r="F159" s="3" t="inlineStr">
        <is>
          <t>Google</t>
        </is>
      </c>
      <c r="G159" s="3" t="inlineStr">
        <is>
          <t>United States</t>
        </is>
      </c>
      <c r="H159" s="25" t="n">
        <v>261</v>
      </c>
      <c r="I159" s="17" t="n">
        <v>1</v>
      </c>
      <c r="J159" s="17" t="n">
        <v>0.545</v>
      </c>
      <c r="K159" s="26" t="n">
        <v>0.455</v>
      </c>
      <c r="L159" s="3" t="inlineStr">
        <is>
          <t>2027-05-23</t>
        </is>
      </c>
      <c r="M159" s="27" t="n">
        <v>0</v>
      </c>
      <c r="N159" s="27" t="n">
        <v>261</v>
      </c>
      <c r="O159" s="3" t="inlineStr">
        <is>
          <t>speculative</t>
        </is>
      </c>
      <c r="P159" s="3" t="inlineStr"/>
      <c r="Q159" s="3" t="inlineStr">
        <is>
          <t>epoch_user_site_equal_split_seed</t>
        </is>
      </c>
      <c r="R159" s="3" t="inlineStr">
        <is>
          <t>SRC_EPOCH_AI_DATA_CENTERS; EPOCH_NORMALIZED_USER_SITES</t>
        </is>
      </c>
      <c r="S159" s="3" t="inlineStr">
        <is>
          <t>Capacity weight is used only to weight accelerator mix, not to overwrite company total power in 02_Inputs.</t>
        </is>
      </c>
    </row>
    <row r="160">
      <c r="A160" s="3" t="inlineStr">
        <is>
          <t>Bear|Google|2029|Google Cedar Rapids</t>
        </is>
      </c>
      <c r="B160" s="3" t="inlineStr">
        <is>
          <t>Bear</t>
        </is>
      </c>
      <c r="C160" s="3" t="inlineStr">
        <is>
          <t>Google</t>
        </is>
      </c>
      <c r="D160" s="3" t="n">
        <v>2029</v>
      </c>
      <c r="E160" s="3" t="inlineStr">
        <is>
          <t>Google Cedar Rapids</t>
        </is>
      </c>
      <c r="F160" s="3" t="inlineStr">
        <is>
          <t>Google</t>
        </is>
      </c>
      <c r="G160" s="3" t="inlineStr">
        <is>
          <t>United States</t>
        </is>
      </c>
      <c r="H160" s="25" t="n">
        <v>261</v>
      </c>
      <c r="I160" s="17" t="n">
        <v>1</v>
      </c>
      <c r="J160" s="17" t="n">
        <v>0.583</v>
      </c>
      <c r="K160" s="26" t="n">
        <v>0.417</v>
      </c>
      <c r="L160" s="3" t="inlineStr">
        <is>
          <t>2027-05-23</t>
        </is>
      </c>
      <c r="M160" s="27" t="n">
        <v>0</v>
      </c>
      <c r="N160" s="27" t="n">
        <v>261</v>
      </c>
      <c r="O160" s="3" t="inlineStr">
        <is>
          <t>speculative</t>
        </is>
      </c>
      <c r="P160" s="3" t="inlineStr"/>
      <c r="Q160" s="3" t="inlineStr">
        <is>
          <t>epoch_user_site_equal_split_seed</t>
        </is>
      </c>
      <c r="R160" s="3" t="inlineStr">
        <is>
          <t>SRC_EPOCH_AI_DATA_CENTERS; EPOCH_NORMALIZED_USER_SITES</t>
        </is>
      </c>
      <c r="S160" s="3" t="inlineStr">
        <is>
          <t>Capacity weight is used only to weight accelerator mix, not to overwrite company total power in 02_Inputs.</t>
        </is>
      </c>
    </row>
    <row r="161">
      <c r="A161" s="3" t="inlineStr">
        <is>
          <t>Bear|Google|2030|Google Cedar Rapids</t>
        </is>
      </c>
      <c r="B161" s="3" t="inlineStr">
        <is>
          <t>Bear</t>
        </is>
      </c>
      <c r="C161" s="3" t="inlineStr">
        <is>
          <t>Google</t>
        </is>
      </c>
      <c r="D161" s="3" t="n">
        <v>2030</v>
      </c>
      <c r="E161" s="3" t="inlineStr">
        <is>
          <t>Google Cedar Rapids</t>
        </is>
      </c>
      <c r="F161" s="3" t="inlineStr">
        <is>
          <t>Google</t>
        </is>
      </c>
      <c r="G161" s="3" t="inlineStr">
        <is>
          <t>United States</t>
        </is>
      </c>
      <c r="H161" s="25" t="n">
        <v>261</v>
      </c>
      <c r="I161" s="17" t="n">
        <v>1</v>
      </c>
      <c r="J161" s="17" t="n">
        <v>0.62</v>
      </c>
      <c r="K161" s="26" t="n">
        <v>0.38</v>
      </c>
      <c r="L161" s="3" t="inlineStr">
        <is>
          <t>2027-05-23</t>
        </is>
      </c>
      <c r="M161" s="27" t="n">
        <v>0</v>
      </c>
      <c r="N161" s="27" t="n">
        <v>261</v>
      </c>
      <c r="O161" s="3" t="inlineStr">
        <is>
          <t>speculative</t>
        </is>
      </c>
      <c r="P161" s="3" t="inlineStr"/>
      <c r="Q161" s="3" t="inlineStr">
        <is>
          <t>epoch_user_site_equal_split_seed</t>
        </is>
      </c>
      <c r="R161" s="3" t="inlineStr">
        <is>
          <t>SRC_EPOCH_AI_DATA_CENTERS; EPOCH_NORMALIZED_USER_SITES</t>
        </is>
      </c>
      <c r="S161" s="3" t="inlineStr">
        <is>
          <t>Capacity weight is used only to weight accelerator mix, not to overwrite company total power in 02_Inputs.</t>
        </is>
      </c>
    </row>
    <row r="162">
      <c r="A162" s="3" t="inlineStr">
        <is>
          <t>Base|Google|2027|Google Cedar Rapids</t>
        </is>
      </c>
      <c r="B162" s="3" t="inlineStr">
        <is>
          <t>Base</t>
        </is>
      </c>
      <c r="C162" s="3" t="inlineStr">
        <is>
          <t>Google</t>
        </is>
      </c>
      <c r="D162" s="3" t="n">
        <v>2027</v>
      </c>
      <c r="E162" s="3" t="inlineStr">
        <is>
          <t>Google Cedar Rapids</t>
        </is>
      </c>
      <c r="F162" s="3" t="inlineStr">
        <is>
          <t>Google</t>
        </is>
      </c>
      <c r="G162" s="3" t="inlineStr">
        <is>
          <t>United States</t>
        </is>
      </c>
      <c r="H162" s="25" t="n">
        <v>261</v>
      </c>
      <c r="I162" s="17" t="n">
        <v>1</v>
      </c>
      <c r="J162" s="17" t="n">
        <v>0.593</v>
      </c>
      <c r="K162" s="26" t="n">
        <v>0.407</v>
      </c>
      <c r="L162" s="3" t="inlineStr">
        <is>
          <t>2027-05-23</t>
        </is>
      </c>
      <c r="M162" s="27" t="n">
        <v>0</v>
      </c>
      <c r="N162" s="27" t="n">
        <v>261</v>
      </c>
      <c r="O162" s="3" t="inlineStr">
        <is>
          <t>speculative</t>
        </is>
      </c>
      <c r="P162" s="3" t="inlineStr"/>
      <c r="Q162" s="3" t="inlineStr">
        <is>
          <t>epoch_user_site_equal_split_seed</t>
        </is>
      </c>
      <c r="R162" s="3" t="inlineStr">
        <is>
          <t>SRC_EPOCH_AI_DATA_CENTERS; EPOCH_NORMALIZED_USER_SITES</t>
        </is>
      </c>
      <c r="S162" s="3" t="inlineStr">
        <is>
          <t>Capacity weight is used only to weight accelerator mix, not to overwrite company total power in 02_Inputs.</t>
        </is>
      </c>
    </row>
    <row r="163">
      <c r="A163" s="3" t="inlineStr">
        <is>
          <t>Base|Google|2028|Google Cedar Rapids</t>
        </is>
      </c>
      <c r="B163" s="3" t="inlineStr">
        <is>
          <t>Base</t>
        </is>
      </c>
      <c r="C163" s="3" t="inlineStr">
        <is>
          <t>Google</t>
        </is>
      </c>
      <c r="D163" s="3" t="n">
        <v>2028</v>
      </c>
      <c r="E163" s="3" t="inlineStr">
        <is>
          <t>Google Cedar Rapids</t>
        </is>
      </c>
      <c r="F163" s="3" t="inlineStr">
        <is>
          <t>Google</t>
        </is>
      </c>
      <c r="G163" s="3" t="inlineStr">
        <is>
          <t>United States</t>
        </is>
      </c>
      <c r="H163" s="25" t="n">
        <v>261</v>
      </c>
      <c r="I163" s="17" t="n">
        <v>1</v>
      </c>
      <c r="J163" s="17" t="n">
        <v>0.635</v>
      </c>
      <c r="K163" s="26" t="n">
        <v>0.365</v>
      </c>
      <c r="L163" s="3" t="inlineStr">
        <is>
          <t>2027-05-23</t>
        </is>
      </c>
      <c r="M163" s="27" t="n">
        <v>0</v>
      </c>
      <c r="N163" s="27" t="n">
        <v>261</v>
      </c>
      <c r="O163" s="3" t="inlineStr">
        <is>
          <t>speculative</t>
        </is>
      </c>
      <c r="P163" s="3" t="inlineStr"/>
      <c r="Q163" s="3" t="inlineStr">
        <is>
          <t>epoch_user_site_equal_split_seed</t>
        </is>
      </c>
      <c r="R163" s="3" t="inlineStr">
        <is>
          <t>SRC_EPOCH_AI_DATA_CENTERS; EPOCH_NORMALIZED_USER_SITES</t>
        </is>
      </c>
      <c r="S163" s="3" t="inlineStr">
        <is>
          <t>Capacity weight is used only to weight accelerator mix, not to overwrite company total power in 02_Inputs.</t>
        </is>
      </c>
    </row>
    <row r="164">
      <c r="A164" s="3" t="inlineStr">
        <is>
          <t>Base|Google|2029|Google Cedar Rapids</t>
        </is>
      </c>
      <c r="B164" s="3" t="inlineStr">
        <is>
          <t>Base</t>
        </is>
      </c>
      <c r="C164" s="3" t="inlineStr">
        <is>
          <t>Google</t>
        </is>
      </c>
      <c r="D164" s="3" t="n">
        <v>2029</v>
      </c>
      <c r="E164" s="3" t="inlineStr">
        <is>
          <t>Google Cedar Rapids</t>
        </is>
      </c>
      <c r="F164" s="3" t="inlineStr">
        <is>
          <t>Google</t>
        </is>
      </c>
      <c r="G164" s="3" t="inlineStr">
        <is>
          <t>United States</t>
        </is>
      </c>
      <c r="H164" s="25" t="n">
        <v>261</v>
      </c>
      <c r="I164" s="17" t="n">
        <v>1</v>
      </c>
      <c r="J164" s="17" t="n">
        <v>0.677</v>
      </c>
      <c r="K164" s="26" t="n">
        <v>0.323</v>
      </c>
      <c r="L164" s="3" t="inlineStr">
        <is>
          <t>2027-05-23</t>
        </is>
      </c>
      <c r="M164" s="27" t="n">
        <v>0</v>
      </c>
      <c r="N164" s="27" t="n">
        <v>261</v>
      </c>
      <c r="O164" s="3" t="inlineStr">
        <is>
          <t>speculative</t>
        </is>
      </c>
      <c r="P164" s="3" t="inlineStr"/>
      <c r="Q164" s="3" t="inlineStr">
        <is>
          <t>epoch_user_site_equal_split_seed</t>
        </is>
      </c>
      <c r="R164" s="3" t="inlineStr">
        <is>
          <t>SRC_EPOCH_AI_DATA_CENTERS; EPOCH_NORMALIZED_USER_SITES</t>
        </is>
      </c>
      <c r="S164" s="3" t="inlineStr">
        <is>
          <t>Capacity weight is used only to weight accelerator mix, not to overwrite company total power in 02_Inputs.</t>
        </is>
      </c>
    </row>
    <row r="165">
      <c r="A165" s="3" t="inlineStr">
        <is>
          <t>Base|Google|2030|Google Cedar Rapids</t>
        </is>
      </c>
      <c r="B165" s="3" t="inlineStr">
        <is>
          <t>Base</t>
        </is>
      </c>
      <c r="C165" s="3" t="inlineStr">
        <is>
          <t>Google</t>
        </is>
      </c>
      <c r="D165" s="3" t="n">
        <v>2030</v>
      </c>
      <c r="E165" s="3" t="inlineStr">
        <is>
          <t>Google Cedar Rapids</t>
        </is>
      </c>
      <c r="F165" s="3" t="inlineStr">
        <is>
          <t>Google</t>
        </is>
      </c>
      <c r="G165" s="3" t="inlineStr">
        <is>
          <t>United States</t>
        </is>
      </c>
      <c r="H165" s="25" t="n">
        <v>261</v>
      </c>
      <c r="I165" s="17" t="n">
        <v>1</v>
      </c>
      <c r="J165" s="17" t="n">
        <v>0.72</v>
      </c>
      <c r="K165" s="26" t="n">
        <v>0.28</v>
      </c>
      <c r="L165" s="3" t="inlineStr">
        <is>
          <t>2027-05-23</t>
        </is>
      </c>
      <c r="M165" s="27" t="n">
        <v>0</v>
      </c>
      <c r="N165" s="27" t="n">
        <v>261</v>
      </c>
      <c r="O165" s="3" t="inlineStr">
        <is>
          <t>speculative</t>
        </is>
      </c>
      <c r="P165" s="3" t="inlineStr"/>
      <c r="Q165" s="3" t="inlineStr">
        <is>
          <t>epoch_user_site_equal_split_seed</t>
        </is>
      </c>
      <c r="R165" s="3" t="inlineStr">
        <is>
          <t>SRC_EPOCH_AI_DATA_CENTERS; EPOCH_NORMALIZED_USER_SITES</t>
        </is>
      </c>
      <c r="S165" s="3" t="inlineStr">
        <is>
          <t>Capacity weight is used only to weight accelerator mix, not to overwrite company total power in 02_Inputs.</t>
        </is>
      </c>
    </row>
    <row r="166">
      <c r="A166" s="3" t="inlineStr">
        <is>
          <t>Bull|Google|2027|Google Cedar Rapids</t>
        </is>
      </c>
      <c r="B166" s="3" t="inlineStr">
        <is>
          <t>Bull</t>
        </is>
      </c>
      <c r="C166" s="3" t="inlineStr">
        <is>
          <t>Google</t>
        </is>
      </c>
      <c r="D166" s="3" t="n">
        <v>2027</v>
      </c>
      <c r="E166" s="3" t="inlineStr">
        <is>
          <t>Google Cedar Rapids</t>
        </is>
      </c>
      <c r="F166" s="3" t="inlineStr">
        <is>
          <t>Google</t>
        </is>
      </c>
      <c r="G166" s="3" t="inlineStr">
        <is>
          <t>United States</t>
        </is>
      </c>
      <c r="H166" s="25" t="n">
        <v>261</v>
      </c>
      <c r="I166" s="17" t="n">
        <v>1</v>
      </c>
      <c r="J166" s="17" t="n">
        <v>0.65</v>
      </c>
      <c r="K166" s="26" t="n">
        <v>0.35</v>
      </c>
      <c r="L166" s="3" t="inlineStr">
        <is>
          <t>2027-05-23</t>
        </is>
      </c>
      <c r="M166" s="27" t="n">
        <v>0</v>
      </c>
      <c r="N166" s="27" t="n">
        <v>261</v>
      </c>
      <c r="O166" s="3" t="inlineStr">
        <is>
          <t>speculative</t>
        </is>
      </c>
      <c r="P166" s="3" t="inlineStr"/>
      <c r="Q166" s="3" t="inlineStr">
        <is>
          <t>epoch_user_site_equal_split_seed</t>
        </is>
      </c>
      <c r="R166" s="3" t="inlineStr">
        <is>
          <t>SRC_EPOCH_AI_DATA_CENTERS; EPOCH_NORMALIZED_USER_SITES</t>
        </is>
      </c>
      <c r="S166" s="3" t="inlineStr">
        <is>
          <t>Capacity weight is used only to weight accelerator mix, not to overwrite company total power in 02_Inputs.</t>
        </is>
      </c>
    </row>
    <row r="167">
      <c r="A167" s="3" t="inlineStr">
        <is>
          <t>Bull|Google|2028|Google Cedar Rapids</t>
        </is>
      </c>
      <c r="B167" s="3" t="inlineStr">
        <is>
          <t>Bull</t>
        </is>
      </c>
      <c r="C167" s="3" t="inlineStr">
        <is>
          <t>Google</t>
        </is>
      </c>
      <c r="D167" s="3" t="n">
        <v>2028</v>
      </c>
      <c r="E167" s="3" t="inlineStr">
        <is>
          <t>Google Cedar Rapids</t>
        </is>
      </c>
      <c r="F167" s="3" t="inlineStr">
        <is>
          <t>Google</t>
        </is>
      </c>
      <c r="G167" s="3" t="inlineStr">
        <is>
          <t>United States</t>
        </is>
      </c>
      <c r="H167" s="25" t="n">
        <v>261</v>
      </c>
      <c r="I167" s="17" t="n">
        <v>1</v>
      </c>
      <c r="J167" s="17" t="n">
        <v>0.7</v>
      </c>
      <c r="K167" s="26" t="n">
        <v>0.3</v>
      </c>
      <c r="L167" s="3" t="inlineStr">
        <is>
          <t>2027-05-23</t>
        </is>
      </c>
      <c r="M167" s="27" t="n">
        <v>0</v>
      </c>
      <c r="N167" s="27" t="n">
        <v>261</v>
      </c>
      <c r="O167" s="3" t="inlineStr">
        <is>
          <t>speculative</t>
        </is>
      </c>
      <c r="P167" s="3" t="inlineStr"/>
      <c r="Q167" s="3" t="inlineStr">
        <is>
          <t>epoch_user_site_equal_split_seed</t>
        </is>
      </c>
      <c r="R167" s="3" t="inlineStr">
        <is>
          <t>SRC_EPOCH_AI_DATA_CENTERS; EPOCH_NORMALIZED_USER_SITES</t>
        </is>
      </c>
      <c r="S167" s="3" t="inlineStr">
        <is>
          <t>Capacity weight is used only to weight accelerator mix, not to overwrite company total power in 02_Inputs.</t>
        </is>
      </c>
    </row>
    <row r="168">
      <c r="A168" s="3" t="inlineStr">
        <is>
          <t>Bull|Google|2029|Google Cedar Rapids</t>
        </is>
      </c>
      <c r="B168" s="3" t="inlineStr">
        <is>
          <t>Bull</t>
        </is>
      </c>
      <c r="C168" s="3" t="inlineStr">
        <is>
          <t>Google</t>
        </is>
      </c>
      <c r="D168" s="3" t="n">
        <v>2029</v>
      </c>
      <c r="E168" s="3" t="inlineStr">
        <is>
          <t>Google Cedar Rapids</t>
        </is>
      </c>
      <c r="F168" s="3" t="inlineStr">
        <is>
          <t>Google</t>
        </is>
      </c>
      <c r="G168" s="3" t="inlineStr">
        <is>
          <t>United States</t>
        </is>
      </c>
      <c r="H168" s="25" t="n">
        <v>261</v>
      </c>
      <c r="I168" s="17" t="n">
        <v>1</v>
      </c>
      <c r="J168" s="17" t="n">
        <v>0.75</v>
      </c>
      <c r="K168" s="26" t="n">
        <v>0.25</v>
      </c>
      <c r="L168" s="3" t="inlineStr">
        <is>
          <t>2027-05-23</t>
        </is>
      </c>
      <c r="M168" s="27" t="n">
        <v>0</v>
      </c>
      <c r="N168" s="27" t="n">
        <v>261</v>
      </c>
      <c r="O168" s="3" t="inlineStr">
        <is>
          <t>speculative</t>
        </is>
      </c>
      <c r="P168" s="3" t="inlineStr"/>
      <c r="Q168" s="3" t="inlineStr">
        <is>
          <t>epoch_user_site_equal_split_seed</t>
        </is>
      </c>
      <c r="R168" s="3" t="inlineStr">
        <is>
          <t>SRC_EPOCH_AI_DATA_CENTERS; EPOCH_NORMALIZED_USER_SITES</t>
        </is>
      </c>
      <c r="S168" s="3" t="inlineStr">
        <is>
          <t>Capacity weight is used only to weight accelerator mix, not to overwrite company total power in 02_Inputs.</t>
        </is>
      </c>
    </row>
    <row r="169">
      <c r="A169" s="3" t="inlineStr">
        <is>
          <t>Bull|Google|2030|Google Cedar Rapids</t>
        </is>
      </c>
      <c r="B169" s="3" t="inlineStr">
        <is>
          <t>Bull</t>
        </is>
      </c>
      <c r="C169" s="3" t="inlineStr">
        <is>
          <t>Google</t>
        </is>
      </c>
      <c r="D169" s="3" t="n">
        <v>2030</v>
      </c>
      <c r="E169" s="3" t="inlineStr">
        <is>
          <t>Google Cedar Rapids</t>
        </is>
      </c>
      <c r="F169" s="3" t="inlineStr">
        <is>
          <t>Google</t>
        </is>
      </c>
      <c r="G169" s="3" t="inlineStr">
        <is>
          <t>United States</t>
        </is>
      </c>
      <c r="H169" s="25" t="n">
        <v>261</v>
      </c>
      <c r="I169" s="17" t="n">
        <v>1</v>
      </c>
      <c r="J169" s="17" t="n">
        <v>0.8</v>
      </c>
      <c r="K169" s="26" t="n">
        <v>0.2</v>
      </c>
      <c r="L169" s="3" t="inlineStr">
        <is>
          <t>2027-05-23</t>
        </is>
      </c>
      <c r="M169" s="27" t="n">
        <v>0</v>
      </c>
      <c r="N169" s="27" t="n">
        <v>261</v>
      </c>
      <c r="O169" s="3" t="inlineStr">
        <is>
          <t>speculative</t>
        </is>
      </c>
      <c r="P169" s="3" t="inlineStr"/>
      <c r="Q169" s="3" t="inlineStr">
        <is>
          <t>epoch_user_site_equal_split_seed</t>
        </is>
      </c>
      <c r="R169" s="3" t="inlineStr">
        <is>
          <t>SRC_EPOCH_AI_DATA_CENTERS; EPOCH_NORMALIZED_USER_SITES</t>
        </is>
      </c>
      <c r="S169" s="3" t="inlineStr">
        <is>
          <t>Capacity weight is used only to weight accelerator mix, not to overwrite company total power in 02_Inputs.</t>
        </is>
      </c>
    </row>
    <row r="170">
      <c r="A170" s="3" t="inlineStr">
        <is>
          <t>Grid-Constrained / Efficiency-Upside|Google|2027|Google Cedar Rapids</t>
        </is>
      </c>
      <c r="B170" s="3" t="inlineStr">
        <is>
          <t>Grid-Constrained / Efficiency-Upside</t>
        </is>
      </c>
      <c r="C170" s="3" t="inlineStr">
        <is>
          <t>Google</t>
        </is>
      </c>
      <c r="D170" s="3" t="n">
        <v>2027</v>
      </c>
      <c r="E170" s="3" t="inlineStr">
        <is>
          <t>Google Cedar Rapids</t>
        </is>
      </c>
      <c r="F170" s="3" t="inlineStr">
        <is>
          <t>Google</t>
        </is>
      </c>
      <c r="G170" s="3" t="inlineStr">
        <is>
          <t>United States</t>
        </is>
      </c>
      <c r="H170" s="25" t="n">
        <v>261</v>
      </c>
      <c r="I170" s="17" t="n">
        <v>1</v>
      </c>
      <c r="J170" s="17" t="n">
        <v>0.618</v>
      </c>
      <c r="K170" s="26" t="n">
        <v>0.382</v>
      </c>
      <c r="L170" s="3" t="inlineStr">
        <is>
          <t>2027-05-23</t>
        </is>
      </c>
      <c r="M170" s="27" t="n">
        <v>0</v>
      </c>
      <c r="N170" s="27" t="n">
        <v>261</v>
      </c>
      <c r="O170" s="3" t="inlineStr">
        <is>
          <t>speculative</t>
        </is>
      </c>
      <c r="P170" s="3" t="inlineStr"/>
      <c r="Q170" s="3" t="inlineStr">
        <is>
          <t>epoch_user_site_equal_split_seed</t>
        </is>
      </c>
      <c r="R170" s="3" t="inlineStr">
        <is>
          <t>SRC_EPOCH_AI_DATA_CENTERS; EPOCH_NORMALIZED_USER_SITES</t>
        </is>
      </c>
      <c r="S170" s="3" t="inlineStr">
        <is>
          <t>Capacity weight is used only to weight accelerator mix, not to overwrite company total power in 02_Inputs.</t>
        </is>
      </c>
    </row>
    <row r="171">
      <c r="A171" s="3" t="inlineStr">
        <is>
          <t>Grid-Constrained / Efficiency-Upside|Google|2028|Google Cedar Rapids</t>
        </is>
      </c>
      <c r="B171" s="3" t="inlineStr">
        <is>
          <t>Grid-Constrained / Efficiency-Upside</t>
        </is>
      </c>
      <c r="C171" s="3" t="inlineStr">
        <is>
          <t>Google</t>
        </is>
      </c>
      <c r="D171" s="3" t="n">
        <v>2028</v>
      </c>
      <c r="E171" s="3" t="inlineStr">
        <is>
          <t>Google Cedar Rapids</t>
        </is>
      </c>
      <c r="F171" s="3" t="inlineStr">
        <is>
          <t>Google</t>
        </is>
      </c>
      <c r="G171" s="3" t="inlineStr">
        <is>
          <t>United States</t>
        </is>
      </c>
      <c r="H171" s="25" t="n">
        <v>261</v>
      </c>
      <c r="I171" s="17" t="n">
        <v>1</v>
      </c>
      <c r="J171" s="17" t="n">
        <v>0.665</v>
      </c>
      <c r="K171" s="26" t="n">
        <v>0.335</v>
      </c>
      <c r="L171" s="3" t="inlineStr">
        <is>
          <t>2027-05-23</t>
        </is>
      </c>
      <c r="M171" s="27" t="n">
        <v>0</v>
      </c>
      <c r="N171" s="27" t="n">
        <v>261</v>
      </c>
      <c r="O171" s="3" t="inlineStr">
        <is>
          <t>speculative</t>
        </is>
      </c>
      <c r="P171" s="3" t="inlineStr"/>
      <c r="Q171" s="3" t="inlineStr">
        <is>
          <t>epoch_user_site_equal_split_seed</t>
        </is>
      </c>
      <c r="R171" s="3" t="inlineStr">
        <is>
          <t>SRC_EPOCH_AI_DATA_CENTERS; EPOCH_NORMALIZED_USER_SITES</t>
        </is>
      </c>
      <c r="S171" s="3" t="inlineStr">
        <is>
          <t>Capacity weight is used only to weight accelerator mix, not to overwrite company total power in 02_Inputs.</t>
        </is>
      </c>
    </row>
    <row r="172">
      <c r="A172" s="3" t="inlineStr">
        <is>
          <t>Grid-Constrained / Efficiency-Upside|Google|2029|Google Cedar Rapids</t>
        </is>
      </c>
      <c r="B172" s="3" t="inlineStr">
        <is>
          <t>Grid-Constrained / Efficiency-Upside</t>
        </is>
      </c>
      <c r="C172" s="3" t="inlineStr">
        <is>
          <t>Google</t>
        </is>
      </c>
      <c r="D172" s="3" t="n">
        <v>2029</v>
      </c>
      <c r="E172" s="3" t="inlineStr">
        <is>
          <t>Google Cedar Rapids</t>
        </is>
      </c>
      <c r="F172" s="3" t="inlineStr">
        <is>
          <t>Google</t>
        </is>
      </c>
      <c r="G172" s="3" t="inlineStr">
        <is>
          <t>United States</t>
        </is>
      </c>
      <c r="H172" s="25" t="n">
        <v>261</v>
      </c>
      <c r="I172" s="17" t="n">
        <v>1</v>
      </c>
      <c r="J172" s="17" t="n">
        <v>0.713</v>
      </c>
      <c r="K172" s="26" t="n">
        <v>0.287</v>
      </c>
      <c r="L172" s="3" t="inlineStr">
        <is>
          <t>2027-05-23</t>
        </is>
      </c>
      <c r="M172" s="27" t="n">
        <v>0</v>
      </c>
      <c r="N172" s="27" t="n">
        <v>261</v>
      </c>
      <c r="O172" s="3" t="inlineStr">
        <is>
          <t>speculative</t>
        </is>
      </c>
      <c r="P172" s="3" t="inlineStr"/>
      <c r="Q172" s="3" t="inlineStr">
        <is>
          <t>epoch_user_site_equal_split_seed</t>
        </is>
      </c>
      <c r="R172" s="3" t="inlineStr">
        <is>
          <t>SRC_EPOCH_AI_DATA_CENTERS; EPOCH_NORMALIZED_USER_SITES</t>
        </is>
      </c>
      <c r="S172" s="3" t="inlineStr">
        <is>
          <t>Capacity weight is used only to weight accelerator mix, not to overwrite company total power in 02_Inputs.</t>
        </is>
      </c>
    </row>
    <row r="173">
      <c r="A173" s="3" t="inlineStr">
        <is>
          <t>Grid-Constrained / Efficiency-Upside|Google|2030|Google Cedar Rapids</t>
        </is>
      </c>
      <c r="B173" s="3" t="inlineStr">
        <is>
          <t>Grid-Constrained / Efficiency-Upside</t>
        </is>
      </c>
      <c r="C173" s="3" t="inlineStr">
        <is>
          <t>Google</t>
        </is>
      </c>
      <c r="D173" s="3" t="n">
        <v>2030</v>
      </c>
      <c r="E173" s="3" t="inlineStr">
        <is>
          <t>Google Cedar Rapids</t>
        </is>
      </c>
      <c r="F173" s="3" t="inlineStr">
        <is>
          <t>Google</t>
        </is>
      </c>
      <c r="G173" s="3" t="inlineStr">
        <is>
          <t>United States</t>
        </is>
      </c>
      <c r="H173" s="25" t="n">
        <v>261</v>
      </c>
      <c r="I173" s="17" t="n">
        <v>1</v>
      </c>
      <c r="J173" s="17" t="n">
        <v>0.76</v>
      </c>
      <c r="K173" s="26" t="n">
        <v>0.24</v>
      </c>
      <c r="L173" s="3" t="inlineStr">
        <is>
          <t>2027-05-23</t>
        </is>
      </c>
      <c r="M173" s="27" t="n">
        <v>0</v>
      </c>
      <c r="N173" s="27" t="n">
        <v>261</v>
      </c>
      <c r="O173" s="3" t="inlineStr">
        <is>
          <t>speculative</t>
        </is>
      </c>
      <c r="P173" s="3" t="inlineStr"/>
      <c r="Q173" s="3" t="inlineStr">
        <is>
          <t>epoch_user_site_equal_split_seed</t>
        </is>
      </c>
      <c r="R173" s="3" t="inlineStr">
        <is>
          <t>SRC_EPOCH_AI_DATA_CENTERS; EPOCH_NORMALIZED_USER_SITES</t>
        </is>
      </c>
      <c r="S173" s="3" t="inlineStr">
        <is>
          <t>Capacity weight is used only to weight accelerator mix, not to overwrite company total power in 02_Inputs.</t>
        </is>
      </c>
    </row>
    <row r="174">
      <c r="A174" s="3" t="inlineStr">
        <is>
          <t>Bear|Google|2026|Google Columbus</t>
        </is>
      </c>
      <c r="B174" s="3" t="inlineStr">
        <is>
          <t>Bear</t>
        </is>
      </c>
      <c r="C174" s="3" t="inlineStr">
        <is>
          <t>Google</t>
        </is>
      </c>
      <c r="D174" s="3" t="n">
        <v>2026</v>
      </c>
      <c r="E174" s="3" t="inlineStr">
        <is>
          <t>Google Columbus</t>
        </is>
      </c>
      <c r="F174" s="3" t="inlineStr">
        <is>
          <t>Google</t>
        </is>
      </c>
      <c r="G174" s="3" t="inlineStr">
        <is>
          <t>United States</t>
        </is>
      </c>
      <c r="H174" s="25" t="n">
        <v>303</v>
      </c>
      <c r="I174" s="17" t="n">
        <v>1</v>
      </c>
      <c r="J174" s="17" t="n">
        <v>0.47</v>
      </c>
      <c r="K174" s="26" t="n">
        <v>0.53</v>
      </c>
      <c r="L174" s="3" t="inlineStr">
        <is>
          <t>2027-07-01</t>
        </is>
      </c>
      <c r="M174" s="27" t="n">
        <v>303</v>
      </c>
      <c r="N174" s="27" t="n">
        <v>386</v>
      </c>
      <c r="O174" s="3" t="inlineStr">
        <is>
          <t>speculative</t>
        </is>
      </c>
      <c r="P174" s="3" t="inlineStr">
        <is>
          <t>TPU v5e,TPU v5p,TPU v6e,TPU v7</t>
        </is>
      </c>
      <c r="Q174" s="3" t="inlineStr">
        <is>
          <t>epoch_user_site_equal_split_seed</t>
        </is>
      </c>
      <c r="R174" s="3" t="inlineStr">
        <is>
          <t>SRC_EPOCH_AI_DATA_CENTERS; EPOCH_NORMALIZED_USER_SITES</t>
        </is>
      </c>
      <c r="S174" s="3" t="inlineStr">
        <is>
          <t>Capacity weight is used only to weight accelerator mix, not to overwrite company total power in 02_Inputs.</t>
        </is>
      </c>
    </row>
    <row r="175">
      <c r="A175" s="3" t="inlineStr">
        <is>
          <t>Bear|Google|2027|Google Columbus</t>
        </is>
      </c>
      <c r="B175" s="3" t="inlineStr">
        <is>
          <t>Bear</t>
        </is>
      </c>
      <c r="C175" s="3" t="inlineStr">
        <is>
          <t>Google</t>
        </is>
      </c>
      <c r="D175" s="3" t="n">
        <v>2027</v>
      </c>
      <c r="E175" s="3" t="inlineStr">
        <is>
          <t>Google Columbus</t>
        </is>
      </c>
      <c r="F175" s="3" t="inlineStr">
        <is>
          <t>Google</t>
        </is>
      </c>
      <c r="G175" s="3" t="inlineStr">
        <is>
          <t>United States</t>
        </is>
      </c>
      <c r="H175" s="25" t="n">
        <v>386</v>
      </c>
      <c r="I175" s="17" t="n">
        <v>1</v>
      </c>
      <c r="J175" s="17" t="n">
        <v>0.508</v>
      </c>
      <c r="K175" s="26" t="n">
        <v>0.492</v>
      </c>
      <c r="L175" s="3" t="inlineStr">
        <is>
          <t>2027-07-01</t>
        </is>
      </c>
      <c r="M175" s="27" t="n">
        <v>303</v>
      </c>
      <c r="N175" s="27" t="n">
        <v>386</v>
      </c>
      <c r="O175" s="3" t="inlineStr">
        <is>
          <t>speculative</t>
        </is>
      </c>
      <c r="P175" s="3" t="inlineStr">
        <is>
          <t>TPU v5e,TPU v5p,TPU v6e,TPU v7</t>
        </is>
      </c>
      <c r="Q175" s="3" t="inlineStr">
        <is>
          <t>epoch_user_site_equal_split_seed</t>
        </is>
      </c>
      <c r="R175" s="3" t="inlineStr">
        <is>
          <t>SRC_EPOCH_AI_DATA_CENTERS; EPOCH_NORMALIZED_USER_SITES</t>
        </is>
      </c>
      <c r="S175" s="3" t="inlineStr">
        <is>
          <t>Capacity weight is used only to weight accelerator mix, not to overwrite company total power in 02_Inputs.</t>
        </is>
      </c>
    </row>
    <row r="176">
      <c r="A176" s="3" t="inlineStr">
        <is>
          <t>Bear|Google|2028|Google Columbus</t>
        </is>
      </c>
      <c r="B176" s="3" t="inlineStr">
        <is>
          <t>Bear</t>
        </is>
      </c>
      <c r="C176" s="3" t="inlineStr">
        <is>
          <t>Google</t>
        </is>
      </c>
      <c r="D176" s="3" t="n">
        <v>2028</v>
      </c>
      <c r="E176" s="3" t="inlineStr">
        <is>
          <t>Google Columbus</t>
        </is>
      </c>
      <c r="F176" s="3" t="inlineStr">
        <is>
          <t>Google</t>
        </is>
      </c>
      <c r="G176" s="3" t="inlineStr">
        <is>
          <t>United States</t>
        </is>
      </c>
      <c r="H176" s="25" t="n">
        <v>386</v>
      </c>
      <c r="I176" s="17" t="n">
        <v>1</v>
      </c>
      <c r="J176" s="17" t="n">
        <v>0.545</v>
      </c>
      <c r="K176" s="26" t="n">
        <v>0.455</v>
      </c>
      <c r="L176" s="3" t="inlineStr">
        <is>
          <t>2027-07-01</t>
        </is>
      </c>
      <c r="M176" s="27" t="n">
        <v>303</v>
      </c>
      <c r="N176" s="27" t="n">
        <v>386</v>
      </c>
      <c r="O176" s="3" t="inlineStr">
        <is>
          <t>speculative</t>
        </is>
      </c>
      <c r="P176" s="3" t="inlineStr">
        <is>
          <t>TPU v5e,TPU v5p,TPU v6e,TPU v7</t>
        </is>
      </c>
      <c r="Q176" s="3" t="inlineStr">
        <is>
          <t>epoch_user_site_equal_split_seed</t>
        </is>
      </c>
      <c r="R176" s="3" t="inlineStr">
        <is>
          <t>SRC_EPOCH_AI_DATA_CENTERS; EPOCH_NORMALIZED_USER_SITES</t>
        </is>
      </c>
      <c r="S176" s="3" t="inlineStr">
        <is>
          <t>Capacity weight is used only to weight accelerator mix, not to overwrite company total power in 02_Inputs.</t>
        </is>
      </c>
    </row>
    <row r="177">
      <c r="A177" s="3" t="inlineStr">
        <is>
          <t>Bear|Google|2029|Google Columbus</t>
        </is>
      </c>
      <c r="B177" s="3" t="inlineStr">
        <is>
          <t>Bear</t>
        </is>
      </c>
      <c r="C177" s="3" t="inlineStr">
        <is>
          <t>Google</t>
        </is>
      </c>
      <c r="D177" s="3" t="n">
        <v>2029</v>
      </c>
      <c r="E177" s="3" t="inlineStr">
        <is>
          <t>Google Columbus</t>
        </is>
      </c>
      <c r="F177" s="3" t="inlineStr">
        <is>
          <t>Google</t>
        </is>
      </c>
      <c r="G177" s="3" t="inlineStr">
        <is>
          <t>United States</t>
        </is>
      </c>
      <c r="H177" s="25" t="n">
        <v>386</v>
      </c>
      <c r="I177" s="17" t="n">
        <v>1</v>
      </c>
      <c r="J177" s="17" t="n">
        <v>0.583</v>
      </c>
      <c r="K177" s="26" t="n">
        <v>0.417</v>
      </c>
      <c r="L177" s="3" t="inlineStr">
        <is>
          <t>2027-07-01</t>
        </is>
      </c>
      <c r="M177" s="27" t="n">
        <v>303</v>
      </c>
      <c r="N177" s="27" t="n">
        <v>386</v>
      </c>
      <c r="O177" s="3" t="inlineStr">
        <is>
          <t>speculative</t>
        </is>
      </c>
      <c r="P177" s="3" t="inlineStr">
        <is>
          <t>TPU v5e,TPU v5p,TPU v6e,TPU v7</t>
        </is>
      </c>
      <c r="Q177" s="3" t="inlineStr">
        <is>
          <t>epoch_user_site_equal_split_seed</t>
        </is>
      </c>
      <c r="R177" s="3" t="inlineStr">
        <is>
          <t>SRC_EPOCH_AI_DATA_CENTERS; EPOCH_NORMALIZED_USER_SITES</t>
        </is>
      </c>
      <c r="S177" s="3" t="inlineStr">
        <is>
          <t>Capacity weight is used only to weight accelerator mix, not to overwrite company total power in 02_Inputs.</t>
        </is>
      </c>
    </row>
    <row r="178">
      <c r="A178" s="3" t="inlineStr">
        <is>
          <t>Bear|Google|2030|Google Columbus</t>
        </is>
      </c>
      <c r="B178" s="3" t="inlineStr">
        <is>
          <t>Bear</t>
        </is>
      </c>
      <c r="C178" s="3" t="inlineStr">
        <is>
          <t>Google</t>
        </is>
      </c>
      <c r="D178" s="3" t="n">
        <v>2030</v>
      </c>
      <c r="E178" s="3" t="inlineStr">
        <is>
          <t>Google Columbus</t>
        </is>
      </c>
      <c r="F178" s="3" t="inlineStr">
        <is>
          <t>Google</t>
        </is>
      </c>
      <c r="G178" s="3" t="inlineStr">
        <is>
          <t>United States</t>
        </is>
      </c>
      <c r="H178" s="25" t="n">
        <v>386</v>
      </c>
      <c r="I178" s="17" t="n">
        <v>1</v>
      </c>
      <c r="J178" s="17" t="n">
        <v>0.62</v>
      </c>
      <c r="K178" s="26" t="n">
        <v>0.38</v>
      </c>
      <c r="L178" s="3" t="inlineStr">
        <is>
          <t>2027-07-01</t>
        </is>
      </c>
      <c r="M178" s="27" t="n">
        <v>303</v>
      </c>
      <c r="N178" s="27" t="n">
        <v>386</v>
      </c>
      <c r="O178" s="3" t="inlineStr">
        <is>
          <t>speculative</t>
        </is>
      </c>
      <c r="P178" s="3" t="inlineStr">
        <is>
          <t>TPU v5e,TPU v5p,TPU v6e,TPU v7</t>
        </is>
      </c>
      <c r="Q178" s="3" t="inlineStr">
        <is>
          <t>epoch_user_site_equal_split_seed</t>
        </is>
      </c>
      <c r="R178" s="3" t="inlineStr">
        <is>
          <t>SRC_EPOCH_AI_DATA_CENTERS; EPOCH_NORMALIZED_USER_SITES</t>
        </is>
      </c>
      <c r="S178" s="3" t="inlineStr">
        <is>
          <t>Capacity weight is used only to weight accelerator mix, not to overwrite company total power in 02_Inputs.</t>
        </is>
      </c>
    </row>
    <row r="179">
      <c r="A179" s="3" t="inlineStr">
        <is>
          <t>Base|Google|2026|Google Columbus</t>
        </is>
      </c>
      <c r="B179" s="3" t="inlineStr">
        <is>
          <t>Base</t>
        </is>
      </c>
      <c r="C179" s="3" t="inlineStr">
        <is>
          <t>Google</t>
        </is>
      </c>
      <c r="D179" s="3" t="n">
        <v>2026</v>
      </c>
      <c r="E179" s="3" t="inlineStr">
        <is>
          <t>Google Columbus</t>
        </is>
      </c>
      <c r="F179" s="3" t="inlineStr">
        <is>
          <t>Google</t>
        </is>
      </c>
      <c r="G179" s="3" t="inlineStr">
        <is>
          <t>United States</t>
        </is>
      </c>
      <c r="H179" s="25" t="n">
        <v>303</v>
      </c>
      <c r="I179" s="17" t="n">
        <v>1</v>
      </c>
      <c r="J179" s="17" t="n">
        <v>0.55</v>
      </c>
      <c r="K179" s="26" t="n">
        <v>0.45</v>
      </c>
      <c r="L179" s="3" t="inlineStr">
        <is>
          <t>2027-07-01</t>
        </is>
      </c>
      <c r="M179" s="27" t="n">
        <v>303</v>
      </c>
      <c r="N179" s="27" t="n">
        <v>386</v>
      </c>
      <c r="O179" s="3" t="inlineStr">
        <is>
          <t>speculative</t>
        </is>
      </c>
      <c r="P179" s="3" t="inlineStr">
        <is>
          <t>TPU v5e,TPU v5p,TPU v6e,TPU v7</t>
        </is>
      </c>
      <c r="Q179" s="3" t="inlineStr">
        <is>
          <t>epoch_user_site_equal_split_seed</t>
        </is>
      </c>
      <c r="R179" s="3" t="inlineStr">
        <is>
          <t>SRC_EPOCH_AI_DATA_CENTERS; EPOCH_NORMALIZED_USER_SITES</t>
        </is>
      </c>
      <c r="S179" s="3" t="inlineStr">
        <is>
          <t>Capacity weight is used only to weight accelerator mix, not to overwrite company total power in 02_Inputs.</t>
        </is>
      </c>
    </row>
    <row r="180">
      <c r="A180" s="3" t="inlineStr">
        <is>
          <t>Base|Google|2027|Google Columbus</t>
        </is>
      </c>
      <c r="B180" s="3" t="inlineStr">
        <is>
          <t>Base</t>
        </is>
      </c>
      <c r="C180" s="3" t="inlineStr">
        <is>
          <t>Google</t>
        </is>
      </c>
      <c r="D180" s="3" t="n">
        <v>2027</v>
      </c>
      <c r="E180" s="3" t="inlineStr">
        <is>
          <t>Google Columbus</t>
        </is>
      </c>
      <c r="F180" s="3" t="inlineStr">
        <is>
          <t>Google</t>
        </is>
      </c>
      <c r="G180" s="3" t="inlineStr">
        <is>
          <t>United States</t>
        </is>
      </c>
      <c r="H180" s="25" t="n">
        <v>386</v>
      </c>
      <c r="I180" s="17" t="n">
        <v>1</v>
      </c>
      <c r="J180" s="17" t="n">
        <v>0.593</v>
      </c>
      <c r="K180" s="26" t="n">
        <v>0.407</v>
      </c>
      <c r="L180" s="3" t="inlineStr">
        <is>
          <t>2027-07-01</t>
        </is>
      </c>
      <c r="M180" s="27" t="n">
        <v>303</v>
      </c>
      <c r="N180" s="27" t="n">
        <v>386</v>
      </c>
      <c r="O180" s="3" t="inlineStr">
        <is>
          <t>speculative</t>
        </is>
      </c>
      <c r="P180" s="3" t="inlineStr">
        <is>
          <t>TPU v5e,TPU v5p,TPU v6e,TPU v7</t>
        </is>
      </c>
      <c r="Q180" s="3" t="inlineStr">
        <is>
          <t>epoch_user_site_equal_split_seed</t>
        </is>
      </c>
      <c r="R180" s="3" t="inlineStr">
        <is>
          <t>SRC_EPOCH_AI_DATA_CENTERS; EPOCH_NORMALIZED_USER_SITES</t>
        </is>
      </c>
      <c r="S180" s="3" t="inlineStr">
        <is>
          <t>Capacity weight is used only to weight accelerator mix, not to overwrite company total power in 02_Inputs.</t>
        </is>
      </c>
    </row>
    <row r="181">
      <c r="A181" s="3" t="inlineStr">
        <is>
          <t>Base|Google|2028|Google Columbus</t>
        </is>
      </c>
      <c r="B181" s="3" t="inlineStr">
        <is>
          <t>Base</t>
        </is>
      </c>
      <c r="C181" s="3" t="inlineStr">
        <is>
          <t>Google</t>
        </is>
      </c>
      <c r="D181" s="3" t="n">
        <v>2028</v>
      </c>
      <c r="E181" s="3" t="inlineStr">
        <is>
          <t>Google Columbus</t>
        </is>
      </c>
      <c r="F181" s="3" t="inlineStr">
        <is>
          <t>Google</t>
        </is>
      </c>
      <c r="G181" s="3" t="inlineStr">
        <is>
          <t>United States</t>
        </is>
      </c>
      <c r="H181" s="25" t="n">
        <v>386</v>
      </c>
      <c r="I181" s="17" t="n">
        <v>1</v>
      </c>
      <c r="J181" s="17" t="n">
        <v>0.635</v>
      </c>
      <c r="K181" s="26" t="n">
        <v>0.365</v>
      </c>
      <c r="L181" s="3" t="inlineStr">
        <is>
          <t>2027-07-01</t>
        </is>
      </c>
      <c r="M181" s="27" t="n">
        <v>303</v>
      </c>
      <c r="N181" s="27" t="n">
        <v>386</v>
      </c>
      <c r="O181" s="3" t="inlineStr">
        <is>
          <t>speculative</t>
        </is>
      </c>
      <c r="P181" s="3" t="inlineStr">
        <is>
          <t>TPU v5e,TPU v5p,TPU v6e,TPU v7</t>
        </is>
      </c>
      <c r="Q181" s="3" t="inlineStr">
        <is>
          <t>epoch_user_site_equal_split_seed</t>
        </is>
      </c>
      <c r="R181" s="3" t="inlineStr">
        <is>
          <t>SRC_EPOCH_AI_DATA_CENTERS; EPOCH_NORMALIZED_USER_SITES</t>
        </is>
      </c>
      <c r="S181" s="3" t="inlineStr">
        <is>
          <t>Capacity weight is used only to weight accelerator mix, not to overwrite company total power in 02_Inputs.</t>
        </is>
      </c>
    </row>
    <row r="182">
      <c r="A182" s="3" t="inlineStr">
        <is>
          <t>Base|Google|2029|Google Columbus</t>
        </is>
      </c>
      <c r="B182" s="3" t="inlineStr">
        <is>
          <t>Base</t>
        </is>
      </c>
      <c r="C182" s="3" t="inlineStr">
        <is>
          <t>Google</t>
        </is>
      </c>
      <c r="D182" s="3" t="n">
        <v>2029</v>
      </c>
      <c r="E182" s="3" t="inlineStr">
        <is>
          <t>Google Columbus</t>
        </is>
      </c>
      <c r="F182" s="3" t="inlineStr">
        <is>
          <t>Google</t>
        </is>
      </c>
      <c r="G182" s="3" t="inlineStr">
        <is>
          <t>United States</t>
        </is>
      </c>
      <c r="H182" s="25" t="n">
        <v>386</v>
      </c>
      <c r="I182" s="17" t="n">
        <v>1</v>
      </c>
      <c r="J182" s="17" t="n">
        <v>0.677</v>
      </c>
      <c r="K182" s="26" t="n">
        <v>0.323</v>
      </c>
      <c r="L182" s="3" t="inlineStr">
        <is>
          <t>2027-07-01</t>
        </is>
      </c>
      <c r="M182" s="27" t="n">
        <v>303</v>
      </c>
      <c r="N182" s="27" t="n">
        <v>386</v>
      </c>
      <c r="O182" s="3" t="inlineStr">
        <is>
          <t>speculative</t>
        </is>
      </c>
      <c r="P182" s="3" t="inlineStr">
        <is>
          <t>TPU v5e,TPU v5p,TPU v6e,TPU v7</t>
        </is>
      </c>
      <c r="Q182" s="3" t="inlineStr">
        <is>
          <t>epoch_user_site_equal_split_seed</t>
        </is>
      </c>
      <c r="R182" s="3" t="inlineStr">
        <is>
          <t>SRC_EPOCH_AI_DATA_CENTERS; EPOCH_NORMALIZED_USER_SITES</t>
        </is>
      </c>
      <c r="S182" s="3" t="inlineStr">
        <is>
          <t>Capacity weight is used only to weight accelerator mix, not to overwrite company total power in 02_Inputs.</t>
        </is>
      </c>
    </row>
    <row r="183">
      <c r="A183" s="3" t="inlineStr">
        <is>
          <t>Base|Google|2030|Google Columbus</t>
        </is>
      </c>
      <c r="B183" s="3" t="inlineStr">
        <is>
          <t>Base</t>
        </is>
      </c>
      <c r="C183" s="3" t="inlineStr">
        <is>
          <t>Google</t>
        </is>
      </c>
      <c r="D183" s="3" t="n">
        <v>2030</v>
      </c>
      <c r="E183" s="3" t="inlineStr">
        <is>
          <t>Google Columbus</t>
        </is>
      </c>
      <c r="F183" s="3" t="inlineStr">
        <is>
          <t>Google</t>
        </is>
      </c>
      <c r="G183" s="3" t="inlineStr">
        <is>
          <t>United States</t>
        </is>
      </c>
      <c r="H183" s="25" t="n">
        <v>386</v>
      </c>
      <c r="I183" s="17" t="n">
        <v>1</v>
      </c>
      <c r="J183" s="17" t="n">
        <v>0.72</v>
      </c>
      <c r="K183" s="26" t="n">
        <v>0.28</v>
      </c>
      <c r="L183" s="3" t="inlineStr">
        <is>
          <t>2027-07-01</t>
        </is>
      </c>
      <c r="M183" s="27" t="n">
        <v>303</v>
      </c>
      <c r="N183" s="27" t="n">
        <v>386</v>
      </c>
      <c r="O183" s="3" t="inlineStr">
        <is>
          <t>speculative</t>
        </is>
      </c>
      <c r="P183" s="3" t="inlineStr">
        <is>
          <t>TPU v5e,TPU v5p,TPU v6e,TPU v7</t>
        </is>
      </c>
      <c r="Q183" s="3" t="inlineStr">
        <is>
          <t>epoch_user_site_equal_split_seed</t>
        </is>
      </c>
      <c r="R183" s="3" t="inlineStr">
        <is>
          <t>SRC_EPOCH_AI_DATA_CENTERS; EPOCH_NORMALIZED_USER_SITES</t>
        </is>
      </c>
      <c r="S183" s="3" t="inlineStr">
        <is>
          <t>Capacity weight is used only to weight accelerator mix, not to overwrite company total power in 02_Inputs.</t>
        </is>
      </c>
    </row>
    <row r="184">
      <c r="A184" s="3" t="inlineStr">
        <is>
          <t>Bull|Google|2026|Google Columbus</t>
        </is>
      </c>
      <c r="B184" s="3" t="inlineStr">
        <is>
          <t>Bull</t>
        </is>
      </c>
      <c r="C184" s="3" t="inlineStr">
        <is>
          <t>Google</t>
        </is>
      </c>
      <c r="D184" s="3" t="n">
        <v>2026</v>
      </c>
      <c r="E184" s="3" t="inlineStr">
        <is>
          <t>Google Columbus</t>
        </is>
      </c>
      <c r="F184" s="3" t="inlineStr">
        <is>
          <t>Google</t>
        </is>
      </c>
      <c r="G184" s="3" t="inlineStr">
        <is>
          <t>United States</t>
        </is>
      </c>
      <c r="H184" s="25" t="n">
        <v>303</v>
      </c>
      <c r="I184" s="17" t="n">
        <v>1</v>
      </c>
      <c r="J184" s="17" t="n">
        <v>0.6</v>
      </c>
      <c r="K184" s="26" t="n">
        <v>0.4</v>
      </c>
      <c r="L184" s="3" t="inlineStr">
        <is>
          <t>2027-07-01</t>
        </is>
      </c>
      <c r="M184" s="27" t="n">
        <v>303</v>
      </c>
      <c r="N184" s="27" t="n">
        <v>386</v>
      </c>
      <c r="O184" s="3" t="inlineStr">
        <is>
          <t>speculative</t>
        </is>
      </c>
      <c r="P184" s="3" t="inlineStr">
        <is>
          <t>TPU v5e,TPU v5p,TPU v6e,TPU v7</t>
        </is>
      </c>
      <c r="Q184" s="3" t="inlineStr">
        <is>
          <t>epoch_user_site_equal_split_seed</t>
        </is>
      </c>
      <c r="R184" s="3" t="inlineStr">
        <is>
          <t>SRC_EPOCH_AI_DATA_CENTERS; EPOCH_NORMALIZED_USER_SITES</t>
        </is>
      </c>
      <c r="S184" s="3" t="inlineStr">
        <is>
          <t>Capacity weight is used only to weight accelerator mix, not to overwrite company total power in 02_Inputs.</t>
        </is>
      </c>
    </row>
    <row r="185">
      <c r="A185" s="3" t="inlineStr">
        <is>
          <t>Bull|Google|2027|Google Columbus</t>
        </is>
      </c>
      <c r="B185" s="3" t="inlineStr">
        <is>
          <t>Bull</t>
        </is>
      </c>
      <c r="C185" s="3" t="inlineStr">
        <is>
          <t>Google</t>
        </is>
      </c>
      <c r="D185" s="3" t="n">
        <v>2027</v>
      </c>
      <c r="E185" s="3" t="inlineStr">
        <is>
          <t>Google Columbus</t>
        </is>
      </c>
      <c r="F185" s="3" t="inlineStr">
        <is>
          <t>Google</t>
        </is>
      </c>
      <c r="G185" s="3" t="inlineStr">
        <is>
          <t>United States</t>
        </is>
      </c>
      <c r="H185" s="25" t="n">
        <v>386</v>
      </c>
      <c r="I185" s="17" t="n">
        <v>1</v>
      </c>
      <c r="J185" s="17" t="n">
        <v>0.65</v>
      </c>
      <c r="K185" s="26" t="n">
        <v>0.35</v>
      </c>
      <c r="L185" s="3" t="inlineStr">
        <is>
          <t>2027-07-01</t>
        </is>
      </c>
      <c r="M185" s="27" t="n">
        <v>303</v>
      </c>
      <c r="N185" s="27" t="n">
        <v>386</v>
      </c>
      <c r="O185" s="3" t="inlineStr">
        <is>
          <t>speculative</t>
        </is>
      </c>
      <c r="P185" s="3" t="inlineStr">
        <is>
          <t>TPU v5e,TPU v5p,TPU v6e,TPU v7</t>
        </is>
      </c>
      <c r="Q185" s="3" t="inlineStr">
        <is>
          <t>epoch_user_site_equal_split_seed</t>
        </is>
      </c>
      <c r="R185" s="3" t="inlineStr">
        <is>
          <t>SRC_EPOCH_AI_DATA_CENTERS; EPOCH_NORMALIZED_USER_SITES</t>
        </is>
      </c>
      <c r="S185" s="3" t="inlineStr">
        <is>
          <t>Capacity weight is used only to weight accelerator mix, not to overwrite company total power in 02_Inputs.</t>
        </is>
      </c>
    </row>
    <row r="186">
      <c r="A186" s="3" t="inlineStr">
        <is>
          <t>Bull|Google|2028|Google Columbus</t>
        </is>
      </c>
      <c r="B186" s="3" t="inlineStr">
        <is>
          <t>Bull</t>
        </is>
      </c>
      <c r="C186" s="3" t="inlineStr">
        <is>
          <t>Google</t>
        </is>
      </c>
      <c r="D186" s="3" t="n">
        <v>2028</v>
      </c>
      <c r="E186" s="3" t="inlineStr">
        <is>
          <t>Google Columbus</t>
        </is>
      </c>
      <c r="F186" s="3" t="inlineStr">
        <is>
          <t>Google</t>
        </is>
      </c>
      <c r="G186" s="3" t="inlineStr">
        <is>
          <t>United States</t>
        </is>
      </c>
      <c r="H186" s="25" t="n">
        <v>386</v>
      </c>
      <c r="I186" s="17" t="n">
        <v>1</v>
      </c>
      <c r="J186" s="17" t="n">
        <v>0.7</v>
      </c>
      <c r="K186" s="26" t="n">
        <v>0.3</v>
      </c>
      <c r="L186" s="3" t="inlineStr">
        <is>
          <t>2027-07-01</t>
        </is>
      </c>
      <c r="M186" s="27" t="n">
        <v>303</v>
      </c>
      <c r="N186" s="27" t="n">
        <v>386</v>
      </c>
      <c r="O186" s="3" t="inlineStr">
        <is>
          <t>speculative</t>
        </is>
      </c>
      <c r="P186" s="3" t="inlineStr">
        <is>
          <t>TPU v5e,TPU v5p,TPU v6e,TPU v7</t>
        </is>
      </c>
      <c r="Q186" s="3" t="inlineStr">
        <is>
          <t>epoch_user_site_equal_split_seed</t>
        </is>
      </c>
      <c r="R186" s="3" t="inlineStr">
        <is>
          <t>SRC_EPOCH_AI_DATA_CENTERS; EPOCH_NORMALIZED_USER_SITES</t>
        </is>
      </c>
      <c r="S186" s="3" t="inlineStr">
        <is>
          <t>Capacity weight is used only to weight accelerator mix, not to overwrite company total power in 02_Inputs.</t>
        </is>
      </c>
    </row>
    <row r="187">
      <c r="A187" s="3" t="inlineStr">
        <is>
          <t>Bull|Google|2029|Google Columbus</t>
        </is>
      </c>
      <c r="B187" s="3" t="inlineStr">
        <is>
          <t>Bull</t>
        </is>
      </c>
      <c r="C187" s="3" t="inlineStr">
        <is>
          <t>Google</t>
        </is>
      </c>
      <c r="D187" s="3" t="n">
        <v>2029</v>
      </c>
      <c r="E187" s="3" t="inlineStr">
        <is>
          <t>Google Columbus</t>
        </is>
      </c>
      <c r="F187" s="3" t="inlineStr">
        <is>
          <t>Google</t>
        </is>
      </c>
      <c r="G187" s="3" t="inlineStr">
        <is>
          <t>United States</t>
        </is>
      </c>
      <c r="H187" s="25" t="n">
        <v>386</v>
      </c>
      <c r="I187" s="17" t="n">
        <v>1</v>
      </c>
      <c r="J187" s="17" t="n">
        <v>0.75</v>
      </c>
      <c r="K187" s="26" t="n">
        <v>0.25</v>
      </c>
      <c r="L187" s="3" t="inlineStr">
        <is>
          <t>2027-07-01</t>
        </is>
      </c>
      <c r="M187" s="27" t="n">
        <v>303</v>
      </c>
      <c r="N187" s="27" t="n">
        <v>386</v>
      </c>
      <c r="O187" s="3" t="inlineStr">
        <is>
          <t>speculative</t>
        </is>
      </c>
      <c r="P187" s="3" t="inlineStr">
        <is>
          <t>TPU v5e,TPU v5p,TPU v6e,TPU v7</t>
        </is>
      </c>
      <c r="Q187" s="3" t="inlineStr">
        <is>
          <t>epoch_user_site_equal_split_seed</t>
        </is>
      </c>
      <c r="R187" s="3" t="inlineStr">
        <is>
          <t>SRC_EPOCH_AI_DATA_CENTERS; EPOCH_NORMALIZED_USER_SITES</t>
        </is>
      </c>
      <c r="S187" s="3" t="inlineStr">
        <is>
          <t>Capacity weight is used only to weight accelerator mix, not to overwrite company total power in 02_Inputs.</t>
        </is>
      </c>
    </row>
    <row r="188">
      <c r="A188" s="3" t="inlineStr">
        <is>
          <t>Bull|Google|2030|Google Columbus</t>
        </is>
      </c>
      <c r="B188" s="3" t="inlineStr">
        <is>
          <t>Bull</t>
        </is>
      </c>
      <c r="C188" s="3" t="inlineStr">
        <is>
          <t>Google</t>
        </is>
      </c>
      <c r="D188" s="3" t="n">
        <v>2030</v>
      </c>
      <c r="E188" s="3" t="inlineStr">
        <is>
          <t>Google Columbus</t>
        </is>
      </c>
      <c r="F188" s="3" t="inlineStr">
        <is>
          <t>Google</t>
        </is>
      </c>
      <c r="G188" s="3" t="inlineStr">
        <is>
          <t>United States</t>
        </is>
      </c>
      <c r="H188" s="25" t="n">
        <v>386</v>
      </c>
      <c r="I188" s="17" t="n">
        <v>1</v>
      </c>
      <c r="J188" s="17" t="n">
        <v>0.8</v>
      </c>
      <c r="K188" s="26" t="n">
        <v>0.2</v>
      </c>
      <c r="L188" s="3" t="inlineStr">
        <is>
          <t>2027-07-01</t>
        </is>
      </c>
      <c r="M188" s="27" t="n">
        <v>303</v>
      </c>
      <c r="N188" s="27" t="n">
        <v>386</v>
      </c>
      <c r="O188" s="3" t="inlineStr">
        <is>
          <t>speculative</t>
        </is>
      </c>
      <c r="P188" s="3" t="inlineStr">
        <is>
          <t>TPU v5e,TPU v5p,TPU v6e,TPU v7</t>
        </is>
      </c>
      <c r="Q188" s="3" t="inlineStr">
        <is>
          <t>epoch_user_site_equal_split_seed</t>
        </is>
      </c>
      <c r="R188" s="3" t="inlineStr">
        <is>
          <t>SRC_EPOCH_AI_DATA_CENTERS; EPOCH_NORMALIZED_USER_SITES</t>
        </is>
      </c>
      <c r="S188" s="3" t="inlineStr">
        <is>
          <t>Capacity weight is used only to weight accelerator mix, not to overwrite company total power in 02_Inputs.</t>
        </is>
      </c>
    </row>
    <row r="189">
      <c r="A189" s="3" t="inlineStr">
        <is>
          <t>Grid-Constrained / Efficiency-Upside|Google|2026|Google Columbus</t>
        </is>
      </c>
      <c r="B189" s="3" t="inlineStr">
        <is>
          <t>Grid-Constrained / Efficiency-Upside</t>
        </is>
      </c>
      <c r="C189" s="3" t="inlineStr">
        <is>
          <t>Google</t>
        </is>
      </c>
      <c r="D189" s="3" t="n">
        <v>2026</v>
      </c>
      <c r="E189" s="3" t="inlineStr">
        <is>
          <t>Google Columbus</t>
        </is>
      </c>
      <c r="F189" s="3" t="inlineStr">
        <is>
          <t>Google</t>
        </is>
      </c>
      <c r="G189" s="3" t="inlineStr">
        <is>
          <t>United States</t>
        </is>
      </c>
      <c r="H189" s="25" t="n">
        <v>303</v>
      </c>
      <c r="I189" s="17" t="n">
        <v>1</v>
      </c>
      <c r="J189" s="17" t="n">
        <v>0.57</v>
      </c>
      <c r="K189" s="26" t="n">
        <v>0.43</v>
      </c>
      <c r="L189" s="3" t="inlineStr">
        <is>
          <t>2027-07-01</t>
        </is>
      </c>
      <c r="M189" s="27" t="n">
        <v>303</v>
      </c>
      <c r="N189" s="27" t="n">
        <v>386</v>
      </c>
      <c r="O189" s="3" t="inlineStr">
        <is>
          <t>speculative</t>
        </is>
      </c>
      <c r="P189" s="3" t="inlineStr">
        <is>
          <t>TPU v5e,TPU v5p,TPU v6e,TPU v7</t>
        </is>
      </c>
      <c r="Q189" s="3" t="inlineStr">
        <is>
          <t>epoch_user_site_equal_split_seed</t>
        </is>
      </c>
      <c r="R189" s="3" t="inlineStr">
        <is>
          <t>SRC_EPOCH_AI_DATA_CENTERS; EPOCH_NORMALIZED_USER_SITES</t>
        </is>
      </c>
      <c r="S189" s="3" t="inlineStr">
        <is>
          <t>Capacity weight is used only to weight accelerator mix, not to overwrite company total power in 02_Inputs.</t>
        </is>
      </c>
    </row>
    <row r="190">
      <c r="A190" s="3" t="inlineStr">
        <is>
          <t>Grid-Constrained / Efficiency-Upside|Google|2027|Google Columbus</t>
        </is>
      </c>
      <c r="B190" s="3" t="inlineStr">
        <is>
          <t>Grid-Constrained / Efficiency-Upside</t>
        </is>
      </c>
      <c r="C190" s="3" t="inlineStr">
        <is>
          <t>Google</t>
        </is>
      </c>
      <c r="D190" s="3" t="n">
        <v>2027</v>
      </c>
      <c r="E190" s="3" t="inlineStr">
        <is>
          <t>Google Columbus</t>
        </is>
      </c>
      <c r="F190" s="3" t="inlineStr">
        <is>
          <t>Google</t>
        </is>
      </c>
      <c r="G190" s="3" t="inlineStr">
        <is>
          <t>United States</t>
        </is>
      </c>
      <c r="H190" s="25" t="n">
        <v>386</v>
      </c>
      <c r="I190" s="17" t="n">
        <v>1</v>
      </c>
      <c r="J190" s="17" t="n">
        <v>0.618</v>
      </c>
      <c r="K190" s="26" t="n">
        <v>0.382</v>
      </c>
      <c r="L190" s="3" t="inlineStr">
        <is>
          <t>2027-07-01</t>
        </is>
      </c>
      <c r="M190" s="27" t="n">
        <v>303</v>
      </c>
      <c r="N190" s="27" t="n">
        <v>386</v>
      </c>
      <c r="O190" s="3" t="inlineStr">
        <is>
          <t>speculative</t>
        </is>
      </c>
      <c r="P190" s="3" t="inlineStr">
        <is>
          <t>TPU v5e,TPU v5p,TPU v6e,TPU v7</t>
        </is>
      </c>
      <c r="Q190" s="3" t="inlineStr">
        <is>
          <t>epoch_user_site_equal_split_seed</t>
        </is>
      </c>
      <c r="R190" s="3" t="inlineStr">
        <is>
          <t>SRC_EPOCH_AI_DATA_CENTERS; EPOCH_NORMALIZED_USER_SITES</t>
        </is>
      </c>
      <c r="S190" s="3" t="inlineStr">
        <is>
          <t>Capacity weight is used only to weight accelerator mix, not to overwrite company total power in 02_Inputs.</t>
        </is>
      </c>
    </row>
    <row r="191">
      <c r="A191" s="3" t="inlineStr">
        <is>
          <t>Grid-Constrained / Efficiency-Upside|Google|2028|Google Columbus</t>
        </is>
      </c>
      <c r="B191" s="3" t="inlineStr">
        <is>
          <t>Grid-Constrained / Efficiency-Upside</t>
        </is>
      </c>
      <c r="C191" s="3" t="inlineStr">
        <is>
          <t>Google</t>
        </is>
      </c>
      <c r="D191" s="3" t="n">
        <v>2028</v>
      </c>
      <c r="E191" s="3" t="inlineStr">
        <is>
          <t>Google Columbus</t>
        </is>
      </c>
      <c r="F191" s="3" t="inlineStr">
        <is>
          <t>Google</t>
        </is>
      </c>
      <c r="G191" s="3" t="inlineStr">
        <is>
          <t>United States</t>
        </is>
      </c>
      <c r="H191" s="25" t="n">
        <v>386</v>
      </c>
      <c r="I191" s="17" t="n">
        <v>1</v>
      </c>
      <c r="J191" s="17" t="n">
        <v>0.665</v>
      </c>
      <c r="K191" s="26" t="n">
        <v>0.335</v>
      </c>
      <c r="L191" s="3" t="inlineStr">
        <is>
          <t>2027-07-01</t>
        </is>
      </c>
      <c r="M191" s="27" t="n">
        <v>303</v>
      </c>
      <c r="N191" s="27" t="n">
        <v>386</v>
      </c>
      <c r="O191" s="3" t="inlineStr">
        <is>
          <t>speculative</t>
        </is>
      </c>
      <c r="P191" s="3" t="inlineStr">
        <is>
          <t>TPU v5e,TPU v5p,TPU v6e,TPU v7</t>
        </is>
      </c>
      <c r="Q191" s="3" t="inlineStr">
        <is>
          <t>epoch_user_site_equal_split_seed</t>
        </is>
      </c>
      <c r="R191" s="3" t="inlineStr">
        <is>
          <t>SRC_EPOCH_AI_DATA_CENTERS; EPOCH_NORMALIZED_USER_SITES</t>
        </is>
      </c>
      <c r="S191" s="3" t="inlineStr">
        <is>
          <t>Capacity weight is used only to weight accelerator mix, not to overwrite company total power in 02_Inputs.</t>
        </is>
      </c>
    </row>
    <row r="192">
      <c r="A192" s="3" t="inlineStr">
        <is>
          <t>Grid-Constrained / Efficiency-Upside|Google|2029|Google Columbus</t>
        </is>
      </c>
      <c r="B192" s="3" t="inlineStr">
        <is>
          <t>Grid-Constrained / Efficiency-Upside</t>
        </is>
      </c>
      <c r="C192" s="3" t="inlineStr">
        <is>
          <t>Google</t>
        </is>
      </c>
      <c r="D192" s="3" t="n">
        <v>2029</v>
      </c>
      <c r="E192" s="3" t="inlineStr">
        <is>
          <t>Google Columbus</t>
        </is>
      </c>
      <c r="F192" s="3" t="inlineStr">
        <is>
          <t>Google</t>
        </is>
      </c>
      <c r="G192" s="3" t="inlineStr">
        <is>
          <t>United States</t>
        </is>
      </c>
      <c r="H192" s="25" t="n">
        <v>386</v>
      </c>
      <c r="I192" s="17" t="n">
        <v>1</v>
      </c>
      <c r="J192" s="17" t="n">
        <v>0.713</v>
      </c>
      <c r="K192" s="26" t="n">
        <v>0.287</v>
      </c>
      <c r="L192" s="3" t="inlineStr">
        <is>
          <t>2027-07-01</t>
        </is>
      </c>
      <c r="M192" s="27" t="n">
        <v>303</v>
      </c>
      <c r="N192" s="27" t="n">
        <v>386</v>
      </c>
      <c r="O192" s="3" t="inlineStr">
        <is>
          <t>speculative</t>
        </is>
      </c>
      <c r="P192" s="3" t="inlineStr">
        <is>
          <t>TPU v5e,TPU v5p,TPU v6e,TPU v7</t>
        </is>
      </c>
      <c r="Q192" s="3" t="inlineStr">
        <is>
          <t>epoch_user_site_equal_split_seed</t>
        </is>
      </c>
      <c r="R192" s="3" t="inlineStr">
        <is>
          <t>SRC_EPOCH_AI_DATA_CENTERS; EPOCH_NORMALIZED_USER_SITES</t>
        </is>
      </c>
      <c r="S192" s="3" t="inlineStr">
        <is>
          <t>Capacity weight is used only to weight accelerator mix, not to overwrite company total power in 02_Inputs.</t>
        </is>
      </c>
    </row>
    <row r="193">
      <c r="A193" s="3" t="inlineStr">
        <is>
          <t>Grid-Constrained / Efficiency-Upside|Google|2030|Google Columbus</t>
        </is>
      </c>
      <c r="B193" s="3" t="inlineStr">
        <is>
          <t>Grid-Constrained / Efficiency-Upside</t>
        </is>
      </c>
      <c r="C193" s="3" t="inlineStr">
        <is>
          <t>Google</t>
        </is>
      </c>
      <c r="D193" s="3" t="n">
        <v>2030</v>
      </c>
      <c r="E193" s="3" t="inlineStr">
        <is>
          <t>Google Columbus</t>
        </is>
      </c>
      <c r="F193" s="3" t="inlineStr">
        <is>
          <t>Google</t>
        </is>
      </c>
      <c r="G193" s="3" t="inlineStr">
        <is>
          <t>United States</t>
        </is>
      </c>
      <c r="H193" s="25" t="n">
        <v>386</v>
      </c>
      <c r="I193" s="17" t="n">
        <v>1</v>
      </c>
      <c r="J193" s="17" t="n">
        <v>0.76</v>
      </c>
      <c r="K193" s="26" t="n">
        <v>0.24</v>
      </c>
      <c r="L193" s="3" t="inlineStr">
        <is>
          <t>2027-07-01</t>
        </is>
      </c>
      <c r="M193" s="27" t="n">
        <v>303</v>
      </c>
      <c r="N193" s="27" t="n">
        <v>386</v>
      </c>
      <c r="O193" s="3" t="inlineStr">
        <is>
          <t>speculative</t>
        </is>
      </c>
      <c r="P193" s="3" t="inlineStr">
        <is>
          <t>TPU v5e,TPU v5p,TPU v6e,TPU v7</t>
        </is>
      </c>
      <c r="Q193" s="3" t="inlineStr">
        <is>
          <t>epoch_user_site_equal_split_seed</t>
        </is>
      </c>
      <c r="R193" s="3" t="inlineStr">
        <is>
          <t>SRC_EPOCH_AI_DATA_CENTERS; EPOCH_NORMALIZED_USER_SITES</t>
        </is>
      </c>
      <c r="S193" s="3" t="inlineStr">
        <is>
          <t>Capacity weight is used only to weight accelerator mix, not to overwrite company total power in 02_Inputs.</t>
        </is>
      </c>
    </row>
    <row r="194">
      <c r="A194" s="3" t="inlineStr">
        <is>
          <t>Bear|Google|2026|Google Council Bluffs (East)</t>
        </is>
      </c>
      <c r="B194" s="3" t="inlineStr">
        <is>
          <t>Bear</t>
        </is>
      </c>
      <c r="C194" s="3" t="inlineStr">
        <is>
          <t>Google</t>
        </is>
      </c>
      <c r="D194" s="3" t="n">
        <v>2026</v>
      </c>
      <c r="E194" s="3" t="inlineStr">
        <is>
          <t>Google Council Bluffs (East)</t>
        </is>
      </c>
      <c r="F194" s="3" t="inlineStr">
        <is>
          <t>Google</t>
        </is>
      </c>
      <c r="G194" s="3" t="inlineStr">
        <is>
          <t>United States</t>
        </is>
      </c>
      <c r="H194" s="25" t="n">
        <v>237</v>
      </c>
      <c r="I194" s="17" t="n">
        <v>1</v>
      </c>
      <c r="J194" s="17" t="n">
        <v>0.47</v>
      </c>
      <c r="K194" s="26" t="n">
        <v>0.53</v>
      </c>
      <c r="L194" s="3" t="inlineStr">
        <is>
          <t>2026-06-10</t>
        </is>
      </c>
      <c r="M194" s="27" t="n">
        <v>237</v>
      </c>
      <c r="N194" s="27" t="n">
        <v>237</v>
      </c>
      <c r="O194" s="3" t="inlineStr">
        <is>
          <t>speculative</t>
        </is>
      </c>
      <c r="P194" s="3" t="inlineStr">
        <is>
          <t>TPU v5e,TPU v6e,TPU v5p</t>
        </is>
      </c>
      <c r="Q194" s="3" t="inlineStr">
        <is>
          <t>epoch_user_site_equal_split_seed</t>
        </is>
      </c>
      <c r="R194" s="3" t="inlineStr">
        <is>
          <t>SRC_EPOCH_AI_DATA_CENTERS; EPOCH_NORMALIZED_USER_SITES</t>
        </is>
      </c>
      <c r="S194" s="3" t="inlineStr">
        <is>
          <t>Capacity weight is used only to weight accelerator mix, not to overwrite company total power in 02_Inputs.</t>
        </is>
      </c>
    </row>
    <row r="195">
      <c r="A195" s="3" t="inlineStr">
        <is>
          <t>Bear|Google|2027|Google Council Bluffs (East)</t>
        </is>
      </c>
      <c r="B195" s="3" t="inlineStr">
        <is>
          <t>Bear</t>
        </is>
      </c>
      <c r="C195" s="3" t="inlineStr">
        <is>
          <t>Google</t>
        </is>
      </c>
      <c r="D195" s="3" t="n">
        <v>2027</v>
      </c>
      <c r="E195" s="3" t="inlineStr">
        <is>
          <t>Google Council Bluffs (East)</t>
        </is>
      </c>
      <c r="F195" s="3" t="inlineStr">
        <is>
          <t>Google</t>
        </is>
      </c>
      <c r="G195" s="3" t="inlineStr">
        <is>
          <t>United States</t>
        </is>
      </c>
      <c r="H195" s="25" t="n">
        <v>237</v>
      </c>
      <c r="I195" s="17" t="n">
        <v>1</v>
      </c>
      <c r="J195" s="17" t="n">
        <v>0.508</v>
      </c>
      <c r="K195" s="26" t="n">
        <v>0.492</v>
      </c>
      <c r="L195" s="3" t="inlineStr">
        <is>
          <t>2026-06-10</t>
        </is>
      </c>
      <c r="M195" s="27" t="n">
        <v>237</v>
      </c>
      <c r="N195" s="27" t="n">
        <v>237</v>
      </c>
      <c r="O195" s="3" t="inlineStr">
        <is>
          <t>speculative</t>
        </is>
      </c>
      <c r="P195" s="3" t="inlineStr">
        <is>
          <t>TPU v5e,TPU v6e,TPU v5p</t>
        </is>
      </c>
      <c r="Q195" s="3" t="inlineStr">
        <is>
          <t>epoch_user_site_equal_split_seed</t>
        </is>
      </c>
      <c r="R195" s="3" t="inlineStr">
        <is>
          <t>SRC_EPOCH_AI_DATA_CENTERS; EPOCH_NORMALIZED_USER_SITES</t>
        </is>
      </c>
      <c r="S195" s="3" t="inlineStr">
        <is>
          <t>Capacity weight is used only to weight accelerator mix, not to overwrite company total power in 02_Inputs.</t>
        </is>
      </c>
    </row>
    <row r="196">
      <c r="A196" s="3" t="inlineStr">
        <is>
          <t>Bear|Google|2028|Google Council Bluffs (East)</t>
        </is>
      </c>
      <c r="B196" s="3" t="inlineStr">
        <is>
          <t>Bear</t>
        </is>
      </c>
      <c r="C196" s="3" t="inlineStr">
        <is>
          <t>Google</t>
        </is>
      </c>
      <c r="D196" s="3" t="n">
        <v>2028</v>
      </c>
      <c r="E196" s="3" t="inlineStr">
        <is>
          <t>Google Council Bluffs (East)</t>
        </is>
      </c>
      <c r="F196" s="3" t="inlineStr">
        <is>
          <t>Google</t>
        </is>
      </c>
      <c r="G196" s="3" t="inlineStr">
        <is>
          <t>United States</t>
        </is>
      </c>
      <c r="H196" s="25" t="n">
        <v>237</v>
      </c>
      <c r="I196" s="17" t="n">
        <v>1</v>
      </c>
      <c r="J196" s="17" t="n">
        <v>0.545</v>
      </c>
      <c r="K196" s="26" t="n">
        <v>0.455</v>
      </c>
      <c r="L196" s="3" t="inlineStr">
        <is>
          <t>2026-06-10</t>
        </is>
      </c>
      <c r="M196" s="27" t="n">
        <v>237</v>
      </c>
      <c r="N196" s="27" t="n">
        <v>237</v>
      </c>
      <c r="O196" s="3" t="inlineStr">
        <is>
          <t>speculative</t>
        </is>
      </c>
      <c r="P196" s="3" t="inlineStr">
        <is>
          <t>TPU v5e,TPU v6e,TPU v5p</t>
        </is>
      </c>
      <c r="Q196" s="3" t="inlineStr">
        <is>
          <t>epoch_user_site_equal_split_seed</t>
        </is>
      </c>
      <c r="R196" s="3" t="inlineStr">
        <is>
          <t>SRC_EPOCH_AI_DATA_CENTERS; EPOCH_NORMALIZED_USER_SITES</t>
        </is>
      </c>
      <c r="S196" s="3" t="inlineStr">
        <is>
          <t>Capacity weight is used only to weight accelerator mix, not to overwrite company total power in 02_Inputs.</t>
        </is>
      </c>
    </row>
    <row r="197">
      <c r="A197" s="3" t="inlineStr">
        <is>
          <t>Bear|Google|2029|Google Council Bluffs (East)</t>
        </is>
      </c>
      <c r="B197" s="3" t="inlineStr">
        <is>
          <t>Bear</t>
        </is>
      </c>
      <c r="C197" s="3" t="inlineStr">
        <is>
          <t>Google</t>
        </is>
      </c>
      <c r="D197" s="3" t="n">
        <v>2029</v>
      </c>
      <c r="E197" s="3" t="inlineStr">
        <is>
          <t>Google Council Bluffs (East)</t>
        </is>
      </c>
      <c r="F197" s="3" t="inlineStr">
        <is>
          <t>Google</t>
        </is>
      </c>
      <c r="G197" s="3" t="inlineStr">
        <is>
          <t>United States</t>
        </is>
      </c>
      <c r="H197" s="25" t="n">
        <v>237</v>
      </c>
      <c r="I197" s="17" t="n">
        <v>1</v>
      </c>
      <c r="J197" s="17" t="n">
        <v>0.583</v>
      </c>
      <c r="K197" s="26" t="n">
        <v>0.417</v>
      </c>
      <c r="L197" s="3" t="inlineStr">
        <is>
          <t>2026-06-10</t>
        </is>
      </c>
      <c r="M197" s="27" t="n">
        <v>237</v>
      </c>
      <c r="N197" s="27" t="n">
        <v>237</v>
      </c>
      <c r="O197" s="3" t="inlineStr">
        <is>
          <t>speculative</t>
        </is>
      </c>
      <c r="P197" s="3" t="inlineStr">
        <is>
          <t>TPU v5e,TPU v6e,TPU v5p</t>
        </is>
      </c>
      <c r="Q197" s="3" t="inlineStr">
        <is>
          <t>epoch_user_site_equal_split_seed</t>
        </is>
      </c>
      <c r="R197" s="3" t="inlineStr">
        <is>
          <t>SRC_EPOCH_AI_DATA_CENTERS; EPOCH_NORMALIZED_USER_SITES</t>
        </is>
      </c>
      <c r="S197" s="3" t="inlineStr">
        <is>
          <t>Capacity weight is used only to weight accelerator mix, not to overwrite company total power in 02_Inputs.</t>
        </is>
      </c>
    </row>
    <row r="198">
      <c r="A198" s="3" t="inlineStr">
        <is>
          <t>Bear|Google|2030|Google Council Bluffs (East)</t>
        </is>
      </c>
      <c r="B198" s="3" t="inlineStr">
        <is>
          <t>Bear</t>
        </is>
      </c>
      <c r="C198" s="3" t="inlineStr">
        <is>
          <t>Google</t>
        </is>
      </c>
      <c r="D198" s="3" t="n">
        <v>2030</v>
      </c>
      <c r="E198" s="3" t="inlineStr">
        <is>
          <t>Google Council Bluffs (East)</t>
        </is>
      </c>
      <c r="F198" s="3" t="inlineStr">
        <is>
          <t>Google</t>
        </is>
      </c>
      <c r="G198" s="3" t="inlineStr">
        <is>
          <t>United States</t>
        </is>
      </c>
      <c r="H198" s="25" t="n">
        <v>237</v>
      </c>
      <c r="I198" s="17" t="n">
        <v>1</v>
      </c>
      <c r="J198" s="17" t="n">
        <v>0.62</v>
      </c>
      <c r="K198" s="26" t="n">
        <v>0.38</v>
      </c>
      <c r="L198" s="3" t="inlineStr">
        <is>
          <t>2026-06-10</t>
        </is>
      </c>
      <c r="M198" s="27" t="n">
        <v>237</v>
      </c>
      <c r="N198" s="27" t="n">
        <v>237</v>
      </c>
      <c r="O198" s="3" t="inlineStr">
        <is>
          <t>speculative</t>
        </is>
      </c>
      <c r="P198" s="3" t="inlineStr">
        <is>
          <t>TPU v5e,TPU v6e,TPU v5p</t>
        </is>
      </c>
      <c r="Q198" s="3" t="inlineStr">
        <is>
          <t>epoch_user_site_equal_split_seed</t>
        </is>
      </c>
      <c r="R198" s="3" t="inlineStr">
        <is>
          <t>SRC_EPOCH_AI_DATA_CENTERS; EPOCH_NORMALIZED_USER_SITES</t>
        </is>
      </c>
      <c r="S198" s="3" t="inlineStr">
        <is>
          <t>Capacity weight is used only to weight accelerator mix, not to overwrite company total power in 02_Inputs.</t>
        </is>
      </c>
    </row>
    <row r="199">
      <c r="A199" s="3" t="inlineStr">
        <is>
          <t>Base|Google|2026|Google Council Bluffs (East)</t>
        </is>
      </c>
      <c r="B199" s="3" t="inlineStr">
        <is>
          <t>Base</t>
        </is>
      </c>
      <c r="C199" s="3" t="inlineStr">
        <is>
          <t>Google</t>
        </is>
      </c>
      <c r="D199" s="3" t="n">
        <v>2026</v>
      </c>
      <c r="E199" s="3" t="inlineStr">
        <is>
          <t>Google Council Bluffs (East)</t>
        </is>
      </c>
      <c r="F199" s="3" t="inlineStr">
        <is>
          <t>Google</t>
        </is>
      </c>
      <c r="G199" s="3" t="inlineStr">
        <is>
          <t>United States</t>
        </is>
      </c>
      <c r="H199" s="25" t="n">
        <v>237</v>
      </c>
      <c r="I199" s="17" t="n">
        <v>1</v>
      </c>
      <c r="J199" s="17" t="n">
        <v>0.55</v>
      </c>
      <c r="K199" s="26" t="n">
        <v>0.45</v>
      </c>
      <c r="L199" s="3" t="inlineStr">
        <is>
          <t>2026-06-10</t>
        </is>
      </c>
      <c r="M199" s="27" t="n">
        <v>237</v>
      </c>
      <c r="N199" s="27" t="n">
        <v>237</v>
      </c>
      <c r="O199" s="3" t="inlineStr">
        <is>
          <t>speculative</t>
        </is>
      </c>
      <c r="P199" s="3" t="inlineStr">
        <is>
          <t>TPU v5e,TPU v6e,TPU v5p</t>
        </is>
      </c>
      <c r="Q199" s="3" t="inlineStr">
        <is>
          <t>epoch_user_site_equal_split_seed</t>
        </is>
      </c>
      <c r="R199" s="3" t="inlineStr">
        <is>
          <t>SRC_EPOCH_AI_DATA_CENTERS; EPOCH_NORMALIZED_USER_SITES</t>
        </is>
      </c>
      <c r="S199" s="3" t="inlineStr">
        <is>
          <t>Capacity weight is used only to weight accelerator mix, not to overwrite company total power in 02_Inputs.</t>
        </is>
      </c>
    </row>
    <row r="200">
      <c r="A200" s="3" t="inlineStr">
        <is>
          <t>Base|Google|2027|Google Council Bluffs (East)</t>
        </is>
      </c>
      <c r="B200" s="3" t="inlineStr">
        <is>
          <t>Base</t>
        </is>
      </c>
      <c r="C200" s="3" t="inlineStr">
        <is>
          <t>Google</t>
        </is>
      </c>
      <c r="D200" s="3" t="n">
        <v>2027</v>
      </c>
      <c r="E200" s="3" t="inlineStr">
        <is>
          <t>Google Council Bluffs (East)</t>
        </is>
      </c>
      <c r="F200" s="3" t="inlineStr">
        <is>
          <t>Google</t>
        </is>
      </c>
      <c r="G200" s="3" t="inlineStr">
        <is>
          <t>United States</t>
        </is>
      </c>
      <c r="H200" s="25" t="n">
        <v>237</v>
      </c>
      <c r="I200" s="17" t="n">
        <v>1</v>
      </c>
      <c r="J200" s="17" t="n">
        <v>0.593</v>
      </c>
      <c r="K200" s="26" t="n">
        <v>0.407</v>
      </c>
      <c r="L200" s="3" t="inlineStr">
        <is>
          <t>2026-06-10</t>
        </is>
      </c>
      <c r="M200" s="27" t="n">
        <v>237</v>
      </c>
      <c r="N200" s="27" t="n">
        <v>237</v>
      </c>
      <c r="O200" s="3" t="inlineStr">
        <is>
          <t>speculative</t>
        </is>
      </c>
      <c r="P200" s="3" t="inlineStr">
        <is>
          <t>TPU v5e,TPU v6e,TPU v5p</t>
        </is>
      </c>
      <c r="Q200" s="3" t="inlineStr">
        <is>
          <t>epoch_user_site_equal_split_seed</t>
        </is>
      </c>
      <c r="R200" s="3" t="inlineStr">
        <is>
          <t>SRC_EPOCH_AI_DATA_CENTERS; EPOCH_NORMALIZED_USER_SITES</t>
        </is>
      </c>
      <c r="S200" s="3" t="inlineStr">
        <is>
          <t>Capacity weight is used only to weight accelerator mix, not to overwrite company total power in 02_Inputs.</t>
        </is>
      </c>
    </row>
    <row r="201">
      <c r="A201" s="3" t="inlineStr">
        <is>
          <t>Base|Google|2028|Google Council Bluffs (East)</t>
        </is>
      </c>
      <c r="B201" s="3" t="inlineStr">
        <is>
          <t>Base</t>
        </is>
      </c>
      <c r="C201" s="3" t="inlineStr">
        <is>
          <t>Google</t>
        </is>
      </c>
      <c r="D201" s="3" t="n">
        <v>2028</v>
      </c>
      <c r="E201" s="3" t="inlineStr">
        <is>
          <t>Google Council Bluffs (East)</t>
        </is>
      </c>
      <c r="F201" s="3" t="inlineStr">
        <is>
          <t>Google</t>
        </is>
      </c>
      <c r="G201" s="3" t="inlineStr">
        <is>
          <t>United States</t>
        </is>
      </c>
      <c r="H201" s="25" t="n">
        <v>237</v>
      </c>
      <c r="I201" s="17" t="n">
        <v>1</v>
      </c>
      <c r="J201" s="17" t="n">
        <v>0.635</v>
      </c>
      <c r="K201" s="26" t="n">
        <v>0.365</v>
      </c>
      <c r="L201" s="3" t="inlineStr">
        <is>
          <t>2026-06-10</t>
        </is>
      </c>
      <c r="M201" s="27" t="n">
        <v>237</v>
      </c>
      <c r="N201" s="27" t="n">
        <v>237</v>
      </c>
      <c r="O201" s="3" t="inlineStr">
        <is>
          <t>speculative</t>
        </is>
      </c>
      <c r="P201" s="3" t="inlineStr">
        <is>
          <t>TPU v5e,TPU v6e,TPU v5p</t>
        </is>
      </c>
      <c r="Q201" s="3" t="inlineStr">
        <is>
          <t>epoch_user_site_equal_split_seed</t>
        </is>
      </c>
      <c r="R201" s="3" t="inlineStr">
        <is>
          <t>SRC_EPOCH_AI_DATA_CENTERS; EPOCH_NORMALIZED_USER_SITES</t>
        </is>
      </c>
      <c r="S201" s="3" t="inlineStr">
        <is>
          <t>Capacity weight is used only to weight accelerator mix, not to overwrite company total power in 02_Inputs.</t>
        </is>
      </c>
    </row>
    <row r="202">
      <c r="A202" s="3" t="inlineStr">
        <is>
          <t>Base|Google|2029|Google Council Bluffs (East)</t>
        </is>
      </c>
      <c r="B202" s="3" t="inlineStr">
        <is>
          <t>Base</t>
        </is>
      </c>
      <c r="C202" s="3" t="inlineStr">
        <is>
          <t>Google</t>
        </is>
      </c>
      <c r="D202" s="3" t="n">
        <v>2029</v>
      </c>
      <c r="E202" s="3" t="inlineStr">
        <is>
          <t>Google Council Bluffs (East)</t>
        </is>
      </c>
      <c r="F202" s="3" t="inlineStr">
        <is>
          <t>Google</t>
        </is>
      </c>
      <c r="G202" s="3" t="inlineStr">
        <is>
          <t>United States</t>
        </is>
      </c>
      <c r="H202" s="25" t="n">
        <v>237</v>
      </c>
      <c r="I202" s="17" t="n">
        <v>1</v>
      </c>
      <c r="J202" s="17" t="n">
        <v>0.677</v>
      </c>
      <c r="K202" s="26" t="n">
        <v>0.323</v>
      </c>
      <c r="L202" s="3" t="inlineStr">
        <is>
          <t>2026-06-10</t>
        </is>
      </c>
      <c r="M202" s="27" t="n">
        <v>237</v>
      </c>
      <c r="N202" s="27" t="n">
        <v>237</v>
      </c>
      <c r="O202" s="3" t="inlineStr">
        <is>
          <t>speculative</t>
        </is>
      </c>
      <c r="P202" s="3" t="inlineStr">
        <is>
          <t>TPU v5e,TPU v6e,TPU v5p</t>
        </is>
      </c>
      <c r="Q202" s="3" t="inlineStr">
        <is>
          <t>epoch_user_site_equal_split_seed</t>
        </is>
      </c>
      <c r="R202" s="3" t="inlineStr">
        <is>
          <t>SRC_EPOCH_AI_DATA_CENTERS; EPOCH_NORMALIZED_USER_SITES</t>
        </is>
      </c>
      <c r="S202" s="3" t="inlineStr">
        <is>
          <t>Capacity weight is used only to weight accelerator mix, not to overwrite company total power in 02_Inputs.</t>
        </is>
      </c>
    </row>
    <row r="203">
      <c r="A203" s="3" t="inlineStr">
        <is>
          <t>Base|Google|2030|Google Council Bluffs (East)</t>
        </is>
      </c>
      <c r="B203" s="3" t="inlineStr">
        <is>
          <t>Base</t>
        </is>
      </c>
      <c r="C203" s="3" t="inlineStr">
        <is>
          <t>Google</t>
        </is>
      </c>
      <c r="D203" s="3" t="n">
        <v>2030</v>
      </c>
      <c r="E203" s="3" t="inlineStr">
        <is>
          <t>Google Council Bluffs (East)</t>
        </is>
      </c>
      <c r="F203" s="3" t="inlineStr">
        <is>
          <t>Google</t>
        </is>
      </c>
      <c r="G203" s="3" t="inlineStr">
        <is>
          <t>United States</t>
        </is>
      </c>
      <c r="H203" s="25" t="n">
        <v>237</v>
      </c>
      <c r="I203" s="17" t="n">
        <v>1</v>
      </c>
      <c r="J203" s="17" t="n">
        <v>0.72</v>
      </c>
      <c r="K203" s="26" t="n">
        <v>0.28</v>
      </c>
      <c r="L203" s="3" t="inlineStr">
        <is>
          <t>2026-06-10</t>
        </is>
      </c>
      <c r="M203" s="27" t="n">
        <v>237</v>
      </c>
      <c r="N203" s="27" t="n">
        <v>237</v>
      </c>
      <c r="O203" s="3" t="inlineStr">
        <is>
          <t>speculative</t>
        </is>
      </c>
      <c r="P203" s="3" t="inlineStr">
        <is>
          <t>TPU v5e,TPU v6e,TPU v5p</t>
        </is>
      </c>
      <c r="Q203" s="3" t="inlineStr">
        <is>
          <t>epoch_user_site_equal_split_seed</t>
        </is>
      </c>
      <c r="R203" s="3" t="inlineStr">
        <is>
          <t>SRC_EPOCH_AI_DATA_CENTERS; EPOCH_NORMALIZED_USER_SITES</t>
        </is>
      </c>
      <c r="S203" s="3" t="inlineStr">
        <is>
          <t>Capacity weight is used only to weight accelerator mix, not to overwrite company total power in 02_Inputs.</t>
        </is>
      </c>
    </row>
    <row r="204">
      <c r="A204" s="3" t="inlineStr">
        <is>
          <t>Bull|Google|2026|Google Council Bluffs (East)</t>
        </is>
      </c>
      <c r="B204" s="3" t="inlineStr">
        <is>
          <t>Bull</t>
        </is>
      </c>
      <c r="C204" s="3" t="inlineStr">
        <is>
          <t>Google</t>
        </is>
      </c>
      <c r="D204" s="3" t="n">
        <v>2026</v>
      </c>
      <c r="E204" s="3" t="inlineStr">
        <is>
          <t>Google Council Bluffs (East)</t>
        </is>
      </c>
      <c r="F204" s="3" t="inlineStr">
        <is>
          <t>Google</t>
        </is>
      </c>
      <c r="G204" s="3" t="inlineStr">
        <is>
          <t>United States</t>
        </is>
      </c>
      <c r="H204" s="25" t="n">
        <v>237</v>
      </c>
      <c r="I204" s="17" t="n">
        <v>1</v>
      </c>
      <c r="J204" s="17" t="n">
        <v>0.6</v>
      </c>
      <c r="K204" s="26" t="n">
        <v>0.4</v>
      </c>
      <c r="L204" s="3" t="inlineStr">
        <is>
          <t>2026-06-10</t>
        </is>
      </c>
      <c r="M204" s="27" t="n">
        <v>237</v>
      </c>
      <c r="N204" s="27" t="n">
        <v>237</v>
      </c>
      <c r="O204" s="3" t="inlineStr">
        <is>
          <t>speculative</t>
        </is>
      </c>
      <c r="P204" s="3" t="inlineStr">
        <is>
          <t>TPU v5e,TPU v6e,TPU v5p</t>
        </is>
      </c>
      <c r="Q204" s="3" t="inlineStr">
        <is>
          <t>epoch_user_site_equal_split_seed</t>
        </is>
      </c>
      <c r="R204" s="3" t="inlineStr">
        <is>
          <t>SRC_EPOCH_AI_DATA_CENTERS; EPOCH_NORMALIZED_USER_SITES</t>
        </is>
      </c>
      <c r="S204" s="3" t="inlineStr">
        <is>
          <t>Capacity weight is used only to weight accelerator mix, not to overwrite company total power in 02_Inputs.</t>
        </is>
      </c>
    </row>
    <row r="205">
      <c r="A205" s="3" t="inlineStr">
        <is>
          <t>Bull|Google|2027|Google Council Bluffs (East)</t>
        </is>
      </c>
      <c r="B205" s="3" t="inlineStr">
        <is>
          <t>Bull</t>
        </is>
      </c>
      <c r="C205" s="3" t="inlineStr">
        <is>
          <t>Google</t>
        </is>
      </c>
      <c r="D205" s="3" t="n">
        <v>2027</v>
      </c>
      <c r="E205" s="3" t="inlineStr">
        <is>
          <t>Google Council Bluffs (East)</t>
        </is>
      </c>
      <c r="F205" s="3" t="inlineStr">
        <is>
          <t>Google</t>
        </is>
      </c>
      <c r="G205" s="3" t="inlineStr">
        <is>
          <t>United States</t>
        </is>
      </c>
      <c r="H205" s="25" t="n">
        <v>237</v>
      </c>
      <c r="I205" s="17" t="n">
        <v>1</v>
      </c>
      <c r="J205" s="17" t="n">
        <v>0.65</v>
      </c>
      <c r="K205" s="26" t="n">
        <v>0.35</v>
      </c>
      <c r="L205" s="3" t="inlineStr">
        <is>
          <t>2026-06-10</t>
        </is>
      </c>
      <c r="M205" s="27" t="n">
        <v>237</v>
      </c>
      <c r="N205" s="27" t="n">
        <v>237</v>
      </c>
      <c r="O205" s="3" t="inlineStr">
        <is>
          <t>speculative</t>
        </is>
      </c>
      <c r="P205" s="3" t="inlineStr">
        <is>
          <t>TPU v5e,TPU v6e,TPU v5p</t>
        </is>
      </c>
      <c r="Q205" s="3" t="inlineStr">
        <is>
          <t>epoch_user_site_equal_split_seed</t>
        </is>
      </c>
      <c r="R205" s="3" t="inlineStr">
        <is>
          <t>SRC_EPOCH_AI_DATA_CENTERS; EPOCH_NORMALIZED_USER_SITES</t>
        </is>
      </c>
      <c r="S205" s="3" t="inlineStr">
        <is>
          <t>Capacity weight is used only to weight accelerator mix, not to overwrite company total power in 02_Inputs.</t>
        </is>
      </c>
    </row>
    <row r="206">
      <c r="A206" s="3" t="inlineStr">
        <is>
          <t>Bull|Google|2028|Google Council Bluffs (East)</t>
        </is>
      </c>
      <c r="B206" s="3" t="inlineStr">
        <is>
          <t>Bull</t>
        </is>
      </c>
      <c r="C206" s="3" t="inlineStr">
        <is>
          <t>Google</t>
        </is>
      </c>
      <c r="D206" s="3" t="n">
        <v>2028</v>
      </c>
      <c r="E206" s="3" t="inlineStr">
        <is>
          <t>Google Council Bluffs (East)</t>
        </is>
      </c>
      <c r="F206" s="3" t="inlineStr">
        <is>
          <t>Google</t>
        </is>
      </c>
      <c r="G206" s="3" t="inlineStr">
        <is>
          <t>United States</t>
        </is>
      </c>
      <c r="H206" s="25" t="n">
        <v>237</v>
      </c>
      <c r="I206" s="17" t="n">
        <v>1</v>
      </c>
      <c r="J206" s="17" t="n">
        <v>0.7</v>
      </c>
      <c r="K206" s="26" t="n">
        <v>0.3</v>
      </c>
      <c r="L206" s="3" t="inlineStr">
        <is>
          <t>2026-06-10</t>
        </is>
      </c>
      <c r="M206" s="27" t="n">
        <v>237</v>
      </c>
      <c r="N206" s="27" t="n">
        <v>237</v>
      </c>
      <c r="O206" s="3" t="inlineStr">
        <is>
          <t>speculative</t>
        </is>
      </c>
      <c r="P206" s="3" t="inlineStr">
        <is>
          <t>TPU v5e,TPU v6e,TPU v5p</t>
        </is>
      </c>
      <c r="Q206" s="3" t="inlineStr">
        <is>
          <t>epoch_user_site_equal_split_seed</t>
        </is>
      </c>
      <c r="R206" s="3" t="inlineStr">
        <is>
          <t>SRC_EPOCH_AI_DATA_CENTERS; EPOCH_NORMALIZED_USER_SITES</t>
        </is>
      </c>
      <c r="S206" s="3" t="inlineStr">
        <is>
          <t>Capacity weight is used only to weight accelerator mix, not to overwrite company total power in 02_Inputs.</t>
        </is>
      </c>
    </row>
    <row r="207">
      <c r="A207" s="3" t="inlineStr">
        <is>
          <t>Bull|Google|2029|Google Council Bluffs (East)</t>
        </is>
      </c>
      <c r="B207" s="3" t="inlineStr">
        <is>
          <t>Bull</t>
        </is>
      </c>
      <c r="C207" s="3" t="inlineStr">
        <is>
          <t>Google</t>
        </is>
      </c>
      <c r="D207" s="3" t="n">
        <v>2029</v>
      </c>
      <c r="E207" s="3" t="inlineStr">
        <is>
          <t>Google Council Bluffs (East)</t>
        </is>
      </c>
      <c r="F207" s="3" t="inlineStr">
        <is>
          <t>Google</t>
        </is>
      </c>
      <c r="G207" s="3" t="inlineStr">
        <is>
          <t>United States</t>
        </is>
      </c>
      <c r="H207" s="25" t="n">
        <v>237</v>
      </c>
      <c r="I207" s="17" t="n">
        <v>1</v>
      </c>
      <c r="J207" s="17" t="n">
        <v>0.75</v>
      </c>
      <c r="K207" s="26" t="n">
        <v>0.25</v>
      </c>
      <c r="L207" s="3" t="inlineStr">
        <is>
          <t>2026-06-10</t>
        </is>
      </c>
      <c r="M207" s="27" t="n">
        <v>237</v>
      </c>
      <c r="N207" s="27" t="n">
        <v>237</v>
      </c>
      <c r="O207" s="3" t="inlineStr">
        <is>
          <t>speculative</t>
        </is>
      </c>
      <c r="P207" s="3" t="inlineStr">
        <is>
          <t>TPU v5e,TPU v6e,TPU v5p</t>
        </is>
      </c>
      <c r="Q207" s="3" t="inlineStr">
        <is>
          <t>epoch_user_site_equal_split_seed</t>
        </is>
      </c>
      <c r="R207" s="3" t="inlineStr">
        <is>
          <t>SRC_EPOCH_AI_DATA_CENTERS; EPOCH_NORMALIZED_USER_SITES</t>
        </is>
      </c>
      <c r="S207" s="3" t="inlineStr">
        <is>
          <t>Capacity weight is used only to weight accelerator mix, not to overwrite company total power in 02_Inputs.</t>
        </is>
      </c>
    </row>
    <row r="208">
      <c r="A208" s="3" t="inlineStr">
        <is>
          <t>Bull|Google|2030|Google Council Bluffs (East)</t>
        </is>
      </c>
      <c r="B208" s="3" t="inlineStr">
        <is>
          <t>Bull</t>
        </is>
      </c>
      <c r="C208" s="3" t="inlineStr">
        <is>
          <t>Google</t>
        </is>
      </c>
      <c r="D208" s="3" t="n">
        <v>2030</v>
      </c>
      <c r="E208" s="3" t="inlineStr">
        <is>
          <t>Google Council Bluffs (East)</t>
        </is>
      </c>
      <c r="F208" s="3" t="inlineStr">
        <is>
          <t>Google</t>
        </is>
      </c>
      <c r="G208" s="3" t="inlineStr">
        <is>
          <t>United States</t>
        </is>
      </c>
      <c r="H208" s="25" t="n">
        <v>237</v>
      </c>
      <c r="I208" s="17" t="n">
        <v>1</v>
      </c>
      <c r="J208" s="17" t="n">
        <v>0.8</v>
      </c>
      <c r="K208" s="26" t="n">
        <v>0.2</v>
      </c>
      <c r="L208" s="3" t="inlineStr">
        <is>
          <t>2026-06-10</t>
        </is>
      </c>
      <c r="M208" s="27" t="n">
        <v>237</v>
      </c>
      <c r="N208" s="27" t="n">
        <v>237</v>
      </c>
      <c r="O208" s="3" t="inlineStr">
        <is>
          <t>speculative</t>
        </is>
      </c>
      <c r="P208" s="3" t="inlineStr">
        <is>
          <t>TPU v5e,TPU v6e,TPU v5p</t>
        </is>
      </c>
      <c r="Q208" s="3" t="inlineStr">
        <is>
          <t>epoch_user_site_equal_split_seed</t>
        </is>
      </c>
      <c r="R208" s="3" t="inlineStr">
        <is>
          <t>SRC_EPOCH_AI_DATA_CENTERS; EPOCH_NORMALIZED_USER_SITES</t>
        </is>
      </c>
      <c r="S208" s="3" t="inlineStr">
        <is>
          <t>Capacity weight is used only to weight accelerator mix, not to overwrite company total power in 02_Inputs.</t>
        </is>
      </c>
    </row>
    <row r="209">
      <c r="A209" s="3" t="inlineStr">
        <is>
          <t>Grid-Constrained / Efficiency-Upside|Google|2026|Google Council Bluffs (East)</t>
        </is>
      </c>
      <c r="B209" s="3" t="inlineStr">
        <is>
          <t>Grid-Constrained / Efficiency-Upside</t>
        </is>
      </c>
      <c r="C209" s="3" t="inlineStr">
        <is>
          <t>Google</t>
        </is>
      </c>
      <c r="D209" s="3" t="n">
        <v>2026</v>
      </c>
      <c r="E209" s="3" t="inlineStr">
        <is>
          <t>Google Council Bluffs (East)</t>
        </is>
      </c>
      <c r="F209" s="3" t="inlineStr">
        <is>
          <t>Google</t>
        </is>
      </c>
      <c r="G209" s="3" t="inlineStr">
        <is>
          <t>United States</t>
        </is>
      </c>
      <c r="H209" s="25" t="n">
        <v>237</v>
      </c>
      <c r="I209" s="17" t="n">
        <v>1</v>
      </c>
      <c r="J209" s="17" t="n">
        <v>0.57</v>
      </c>
      <c r="K209" s="26" t="n">
        <v>0.43</v>
      </c>
      <c r="L209" s="3" t="inlineStr">
        <is>
          <t>2026-06-10</t>
        </is>
      </c>
      <c r="M209" s="27" t="n">
        <v>237</v>
      </c>
      <c r="N209" s="27" t="n">
        <v>237</v>
      </c>
      <c r="O209" s="3" t="inlineStr">
        <is>
          <t>speculative</t>
        </is>
      </c>
      <c r="P209" s="3" t="inlineStr">
        <is>
          <t>TPU v5e,TPU v6e,TPU v5p</t>
        </is>
      </c>
      <c r="Q209" s="3" t="inlineStr">
        <is>
          <t>epoch_user_site_equal_split_seed</t>
        </is>
      </c>
      <c r="R209" s="3" t="inlineStr">
        <is>
          <t>SRC_EPOCH_AI_DATA_CENTERS; EPOCH_NORMALIZED_USER_SITES</t>
        </is>
      </c>
      <c r="S209" s="3" t="inlineStr">
        <is>
          <t>Capacity weight is used only to weight accelerator mix, not to overwrite company total power in 02_Inputs.</t>
        </is>
      </c>
    </row>
    <row r="210">
      <c r="A210" s="3" t="inlineStr">
        <is>
          <t>Grid-Constrained / Efficiency-Upside|Google|2027|Google Council Bluffs (East)</t>
        </is>
      </c>
      <c r="B210" s="3" t="inlineStr">
        <is>
          <t>Grid-Constrained / Efficiency-Upside</t>
        </is>
      </c>
      <c r="C210" s="3" t="inlineStr">
        <is>
          <t>Google</t>
        </is>
      </c>
      <c r="D210" s="3" t="n">
        <v>2027</v>
      </c>
      <c r="E210" s="3" t="inlineStr">
        <is>
          <t>Google Council Bluffs (East)</t>
        </is>
      </c>
      <c r="F210" s="3" t="inlineStr">
        <is>
          <t>Google</t>
        </is>
      </c>
      <c r="G210" s="3" t="inlineStr">
        <is>
          <t>United States</t>
        </is>
      </c>
      <c r="H210" s="25" t="n">
        <v>237</v>
      </c>
      <c r="I210" s="17" t="n">
        <v>1</v>
      </c>
      <c r="J210" s="17" t="n">
        <v>0.618</v>
      </c>
      <c r="K210" s="26" t="n">
        <v>0.382</v>
      </c>
      <c r="L210" s="3" t="inlineStr">
        <is>
          <t>2026-06-10</t>
        </is>
      </c>
      <c r="M210" s="27" t="n">
        <v>237</v>
      </c>
      <c r="N210" s="27" t="n">
        <v>237</v>
      </c>
      <c r="O210" s="3" t="inlineStr">
        <is>
          <t>speculative</t>
        </is>
      </c>
      <c r="P210" s="3" t="inlineStr">
        <is>
          <t>TPU v5e,TPU v6e,TPU v5p</t>
        </is>
      </c>
      <c r="Q210" s="3" t="inlineStr">
        <is>
          <t>epoch_user_site_equal_split_seed</t>
        </is>
      </c>
      <c r="R210" s="3" t="inlineStr">
        <is>
          <t>SRC_EPOCH_AI_DATA_CENTERS; EPOCH_NORMALIZED_USER_SITES</t>
        </is>
      </c>
      <c r="S210" s="3" t="inlineStr">
        <is>
          <t>Capacity weight is used only to weight accelerator mix, not to overwrite company total power in 02_Inputs.</t>
        </is>
      </c>
    </row>
    <row r="211">
      <c r="A211" s="3" t="inlineStr">
        <is>
          <t>Grid-Constrained / Efficiency-Upside|Google|2028|Google Council Bluffs (East)</t>
        </is>
      </c>
      <c r="B211" s="3" t="inlineStr">
        <is>
          <t>Grid-Constrained / Efficiency-Upside</t>
        </is>
      </c>
      <c r="C211" s="3" t="inlineStr">
        <is>
          <t>Google</t>
        </is>
      </c>
      <c r="D211" s="3" t="n">
        <v>2028</v>
      </c>
      <c r="E211" s="3" t="inlineStr">
        <is>
          <t>Google Council Bluffs (East)</t>
        </is>
      </c>
      <c r="F211" s="3" t="inlineStr">
        <is>
          <t>Google</t>
        </is>
      </c>
      <c r="G211" s="3" t="inlineStr">
        <is>
          <t>United States</t>
        </is>
      </c>
      <c r="H211" s="25" t="n">
        <v>237</v>
      </c>
      <c r="I211" s="17" t="n">
        <v>1</v>
      </c>
      <c r="J211" s="17" t="n">
        <v>0.665</v>
      </c>
      <c r="K211" s="26" t="n">
        <v>0.335</v>
      </c>
      <c r="L211" s="3" t="inlineStr">
        <is>
          <t>2026-06-10</t>
        </is>
      </c>
      <c r="M211" s="27" t="n">
        <v>237</v>
      </c>
      <c r="N211" s="27" t="n">
        <v>237</v>
      </c>
      <c r="O211" s="3" t="inlineStr">
        <is>
          <t>speculative</t>
        </is>
      </c>
      <c r="P211" s="3" t="inlineStr">
        <is>
          <t>TPU v5e,TPU v6e,TPU v5p</t>
        </is>
      </c>
      <c r="Q211" s="3" t="inlineStr">
        <is>
          <t>epoch_user_site_equal_split_seed</t>
        </is>
      </c>
      <c r="R211" s="3" t="inlineStr">
        <is>
          <t>SRC_EPOCH_AI_DATA_CENTERS; EPOCH_NORMALIZED_USER_SITES</t>
        </is>
      </c>
      <c r="S211" s="3" t="inlineStr">
        <is>
          <t>Capacity weight is used only to weight accelerator mix, not to overwrite company total power in 02_Inputs.</t>
        </is>
      </c>
    </row>
    <row r="212">
      <c r="A212" s="3" t="inlineStr">
        <is>
          <t>Grid-Constrained / Efficiency-Upside|Google|2029|Google Council Bluffs (East)</t>
        </is>
      </c>
      <c r="B212" s="3" t="inlineStr">
        <is>
          <t>Grid-Constrained / Efficiency-Upside</t>
        </is>
      </c>
      <c r="C212" s="3" t="inlineStr">
        <is>
          <t>Google</t>
        </is>
      </c>
      <c r="D212" s="3" t="n">
        <v>2029</v>
      </c>
      <c r="E212" s="3" t="inlineStr">
        <is>
          <t>Google Council Bluffs (East)</t>
        </is>
      </c>
      <c r="F212" s="3" t="inlineStr">
        <is>
          <t>Google</t>
        </is>
      </c>
      <c r="G212" s="3" t="inlineStr">
        <is>
          <t>United States</t>
        </is>
      </c>
      <c r="H212" s="25" t="n">
        <v>237</v>
      </c>
      <c r="I212" s="17" t="n">
        <v>1</v>
      </c>
      <c r="J212" s="17" t="n">
        <v>0.713</v>
      </c>
      <c r="K212" s="26" t="n">
        <v>0.287</v>
      </c>
      <c r="L212" s="3" t="inlineStr">
        <is>
          <t>2026-06-10</t>
        </is>
      </c>
      <c r="M212" s="27" t="n">
        <v>237</v>
      </c>
      <c r="N212" s="27" t="n">
        <v>237</v>
      </c>
      <c r="O212" s="3" t="inlineStr">
        <is>
          <t>speculative</t>
        </is>
      </c>
      <c r="P212" s="3" t="inlineStr">
        <is>
          <t>TPU v5e,TPU v6e,TPU v5p</t>
        </is>
      </c>
      <c r="Q212" s="3" t="inlineStr">
        <is>
          <t>epoch_user_site_equal_split_seed</t>
        </is>
      </c>
      <c r="R212" s="3" t="inlineStr">
        <is>
          <t>SRC_EPOCH_AI_DATA_CENTERS; EPOCH_NORMALIZED_USER_SITES</t>
        </is>
      </c>
      <c r="S212" s="3" t="inlineStr">
        <is>
          <t>Capacity weight is used only to weight accelerator mix, not to overwrite company total power in 02_Inputs.</t>
        </is>
      </c>
    </row>
    <row r="213">
      <c r="A213" s="3" t="inlineStr">
        <is>
          <t>Grid-Constrained / Efficiency-Upside|Google|2030|Google Council Bluffs (East)</t>
        </is>
      </c>
      <c r="B213" s="3" t="inlineStr">
        <is>
          <t>Grid-Constrained / Efficiency-Upside</t>
        </is>
      </c>
      <c r="C213" s="3" t="inlineStr">
        <is>
          <t>Google</t>
        </is>
      </c>
      <c r="D213" s="3" t="n">
        <v>2030</v>
      </c>
      <c r="E213" s="3" t="inlineStr">
        <is>
          <t>Google Council Bluffs (East)</t>
        </is>
      </c>
      <c r="F213" s="3" t="inlineStr">
        <is>
          <t>Google</t>
        </is>
      </c>
      <c r="G213" s="3" t="inlineStr">
        <is>
          <t>United States</t>
        </is>
      </c>
      <c r="H213" s="25" t="n">
        <v>237</v>
      </c>
      <c r="I213" s="17" t="n">
        <v>1</v>
      </c>
      <c r="J213" s="17" t="n">
        <v>0.76</v>
      </c>
      <c r="K213" s="26" t="n">
        <v>0.24</v>
      </c>
      <c r="L213" s="3" t="inlineStr">
        <is>
          <t>2026-06-10</t>
        </is>
      </c>
      <c r="M213" s="27" t="n">
        <v>237</v>
      </c>
      <c r="N213" s="27" t="n">
        <v>237</v>
      </c>
      <c r="O213" s="3" t="inlineStr">
        <is>
          <t>speculative</t>
        </is>
      </c>
      <c r="P213" s="3" t="inlineStr">
        <is>
          <t>TPU v5e,TPU v6e,TPU v5p</t>
        </is>
      </c>
      <c r="Q213" s="3" t="inlineStr">
        <is>
          <t>epoch_user_site_equal_split_seed</t>
        </is>
      </c>
      <c r="R213" s="3" t="inlineStr">
        <is>
          <t>SRC_EPOCH_AI_DATA_CENTERS; EPOCH_NORMALIZED_USER_SITES</t>
        </is>
      </c>
      <c r="S213" s="3" t="inlineStr">
        <is>
          <t>Capacity weight is used only to weight accelerator mix, not to overwrite company total power in 02_Inputs.</t>
        </is>
      </c>
    </row>
    <row r="214">
      <c r="A214" s="3" t="inlineStr">
        <is>
          <t>Bear|Google|2028|Google Fort Wayne</t>
        </is>
      </c>
      <c r="B214" s="3" t="inlineStr">
        <is>
          <t>Bear</t>
        </is>
      </c>
      <c r="C214" s="3" t="inlineStr">
        <is>
          <t>Google</t>
        </is>
      </c>
      <c r="D214" s="3" t="n">
        <v>2028</v>
      </c>
      <c r="E214" s="3" t="inlineStr">
        <is>
          <t>Google Fort Wayne</t>
        </is>
      </c>
      <c r="F214" s="3" t="inlineStr">
        <is>
          <t>Google</t>
        </is>
      </c>
      <c r="G214" s="3" t="inlineStr">
        <is>
          <t>United States</t>
        </is>
      </c>
      <c r="H214" s="25" t="n">
        <v>863</v>
      </c>
      <c r="I214" s="17" t="n">
        <v>1</v>
      </c>
      <c r="J214" s="17" t="n">
        <v>0.545</v>
      </c>
      <c r="K214" s="26" t="n">
        <v>0.455</v>
      </c>
      <c r="L214" s="3" t="inlineStr">
        <is>
          <t>2028-04-01</t>
        </is>
      </c>
      <c r="M214" s="27" t="n">
        <v>0</v>
      </c>
      <c r="N214" s="27" t="n">
        <v>863</v>
      </c>
      <c r="O214" s="3" t="inlineStr">
        <is>
          <t>speculative</t>
        </is>
      </c>
      <c r="P214" s="3" t="inlineStr"/>
      <c r="Q214" s="3" t="inlineStr">
        <is>
          <t>epoch_user_site_equal_split_seed</t>
        </is>
      </c>
      <c r="R214" s="3" t="inlineStr">
        <is>
          <t>SRC_EPOCH_AI_DATA_CENTERS; EPOCH_NORMALIZED_USER_SITES</t>
        </is>
      </c>
      <c r="S214" s="3" t="inlineStr">
        <is>
          <t>Capacity weight is used only to weight accelerator mix, not to overwrite company total power in 02_Inputs.</t>
        </is>
      </c>
    </row>
    <row r="215">
      <c r="A215" s="3" t="inlineStr">
        <is>
          <t>Bear|Google|2029|Google Fort Wayne</t>
        </is>
      </c>
      <c r="B215" s="3" t="inlineStr">
        <is>
          <t>Bear</t>
        </is>
      </c>
      <c r="C215" s="3" t="inlineStr">
        <is>
          <t>Google</t>
        </is>
      </c>
      <c r="D215" s="3" t="n">
        <v>2029</v>
      </c>
      <c r="E215" s="3" t="inlineStr">
        <is>
          <t>Google Fort Wayne</t>
        </is>
      </c>
      <c r="F215" s="3" t="inlineStr">
        <is>
          <t>Google</t>
        </is>
      </c>
      <c r="G215" s="3" t="inlineStr">
        <is>
          <t>United States</t>
        </is>
      </c>
      <c r="H215" s="25" t="n">
        <v>863</v>
      </c>
      <c r="I215" s="17" t="n">
        <v>1</v>
      </c>
      <c r="J215" s="17" t="n">
        <v>0.583</v>
      </c>
      <c r="K215" s="26" t="n">
        <v>0.417</v>
      </c>
      <c r="L215" s="3" t="inlineStr">
        <is>
          <t>2028-04-01</t>
        </is>
      </c>
      <c r="M215" s="27" t="n">
        <v>0</v>
      </c>
      <c r="N215" s="27" t="n">
        <v>863</v>
      </c>
      <c r="O215" s="3" t="inlineStr">
        <is>
          <t>speculative</t>
        </is>
      </c>
      <c r="P215" s="3" t="inlineStr"/>
      <c r="Q215" s="3" t="inlineStr">
        <is>
          <t>epoch_user_site_equal_split_seed</t>
        </is>
      </c>
      <c r="R215" s="3" t="inlineStr">
        <is>
          <t>SRC_EPOCH_AI_DATA_CENTERS; EPOCH_NORMALIZED_USER_SITES</t>
        </is>
      </c>
      <c r="S215" s="3" t="inlineStr">
        <is>
          <t>Capacity weight is used only to weight accelerator mix, not to overwrite company total power in 02_Inputs.</t>
        </is>
      </c>
    </row>
    <row r="216">
      <c r="A216" s="3" t="inlineStr">
        <is>
          <t>Bear|Google|2030|Google Fort Wayne</t>
        </is>
      </c>
      <c r="B216" s="3" t="inlineStr">
        <is>
          <t>Bear</t>
        </is>
      </c>
      <c r="C216" s="3" t="inlineStr">
        <is>
          <t>Google</t>
        </is>
      </c>
      <c r="D216" s="3" t="n">
        <v>2030</v>
      </c>
      <c r="E216" s="3" t="inlineStr">
        <is>
          <t>Google Fort Wayne</t>
        </is>
      </c>
      <c r="F216" s="3" t="inlineStr">
        <is>
          <t>Google</t>
        </is>
      </c>
      <c r="G216" s="3" t="inlineStr">
        <is>
          <t>United States</t>
        </is>
      </c>
      <c r="H216" s="25" t="n">
        <v>863</v>
      </c>
      <c r="I216" s="17" t="n">
        <v>1</v>
      </c>
      <c r="J216" s="17" t="n">
        <v>0.62</v>
      </c>
      <c r="K216" s="26" t="n">
        <v>0.38</v>
      </c>
      <c r="L216" s="3" t="inlineStr">
        <is>
          <t>2028-04-01</t>
        </is>
      </c>
      <c r="M216" s="27" t="n">
        <v>0</v>
      </c>
      <c r="N216" s="27" t="n">
        <v>863</v>
      </c>
      <c r="O216" s="3" t="inlineStr">
        <is>
          <t>speculative</t>
        </is>
      </c>
      <c r="P216" s="3" t="inlineStr"/>
      <c r="Q216" s="3" t="inlineStr">
        <is>
          <t>epoch_user_site_equal_split_seed</t>
        </is>
      </c>
      <c r="R216" s="3" t="inlineStr">
        <is>
          <t>SRC_EPOCH_AI_DATA_CENTERS; EPOCH_NORMALIZED_USER_SITES</t>
        </is>
      </c>
      <c r="S216" s="3" t="inlineStr">
        <is>
          <t>Capacity weight is used only to weight accelerator mix, not to overwrite company total power in 02_Inputs.</t>
        </is>
      </c>
    </row>
    <row r="217">
      <c r="A217" s="3" t="inlineStr">
        <is>
          <t>Base|Google|2028|Google Fort Wayne</t>
        </is>
      </c>
      <c r="B217" s="3" t="inlineStr">
        <is>
          <t>Base</t>
        </is>
      </c>
      <c r="C217" s="3" t="inlineStr">
        <is>
          <t>Google</t>
        </is>
      </c>
      <c r="D217" s="3" t="n">
        <v>2028</v>
      </c>
      <c r="E217" s="3" t="inlineStr">
        <is>
          <t>Google Fort Wayne</t>
        </is>
      </c>
      <c r="F217" s="3" t="inlineStr">
        <is>
          <t>Google</t>
        </is>
      </c>
      <c r="G217" s="3" t="inlineStr">
        <is>
          <t>United States</t>
        </is>
      </c>
      <c r="H217" s="25" t="n">
        <v>863</v>
      </c>
      <c r="I217" s="17" t="n">
        <v>1</v>
      </c>
      <c r="J217" s="17" t="n">
        <v>0.635</v>
      </c>
      <c r="K217" s="26" t="n">
        <v>0.365</v>
      </c>
      <c r="L217" s="3" t="inlineStr">
        <is>
          <t>2028-04-01</t>
        </is>
      </c>
      <c r="M217" s="27" t="n">
        <v>0</v>
      </c>
      <c r="N217" s="27" t="n">
        <v>863</v>
      </c>
      <c r="O217" s="3" t="inlineStr">
        <is>
          <t>speculative</t>
        </is>
      </c>
      <c r="P217" s="3" t="inlineStr"/>
      <c r="Q217" s="3" t="inlineStr">
        <is>
          <t>epoch_user_site_equal_split_seed</t>
        </is>
      </c>
      <c r="R217" s="3" t="inlineStr">
        <is>
          <t>SRC_EPOCH_AI_DATA_CENTERS; EPOCH_NORMALIZED_USER_SITES</t>
        </is>
      </c>
      <c r="S217" s="3" t="inlineStr">
        <is>
          <t>Capacity weight is used only to weight accelerator mix, not to overwrite company total power in 02_Inputs.</t>
        </is>
      </c>
    </row>
    <row r="218">
      <c r="A218" s="3" t="inlineStr">
        <is>
          <t>Base|Google|2029|Google Fort Wayne</t>
        </is>
      </c>
      <c r="B218" s="3" t="inlineStr">
        <is>
          <t>Base</t>
        </is>
      </c>
      <c r="C218" s="3" t="inlineStr">
        <is>
          <t>Google</t>
        </is>
      </c>
      <c r="D218" s="3" t="n">
        <v>2029</v>
      </c>
      <c r="E218" s="3" t="inlineStr">
        <is>
          <t>Google Fort Wayne</t>
        </is>
      </c>
      <c r="F218" s="3" t="inlineStr">
        <is>
          <t>Google</t>
        </is>
      </c>
      <c r="G218" s="3" t="inlineStr">
        <is>
          <t>United States</t>
        </is>
      </c>
      <c r="H218" s="25" t="n">
        <v>863</v>
      </c>
      <c r="I218" s="17" t="n">
        <v>1</v>
      </c>
      <c r="J218" s="17" t="n">
        <v>0.677</v>
      </c>
      <c r="K218" s="26" t="n">
        <v>0.323</v>
      </c>
      <c r="L218" s="3" t="inlineStr">
        <is>
          <t>2028-04-01</t>
        </is>
      </c>
      <c r="M218" s="27" t="n">
        <v>0</v>
      </c>
      <c r="N218" s="27" t="n">
        <v>863</v>
      </c>
      <c r="O218" s="3" t="inlineStr">
        <is>
          <t>speculative</t>
        </is>
      </c>
      <c r="P218" s="3" t="inlineStr"/>
      <c r="Q218" s="3" t="inlineStr">
        <is>
          <t>epoch_user_site_equal_split_seed</t>
        </is>
      </c>
      <c r="R218" s="3" t="inlineStr">
        <is>
          <t>SRC_EPOCH_AI_DATA_CENTERS; EPOCH_NORMALIZED_USER_SITES</t>
        </is>
      </c>
      <c r="S218" s="3" t="inlineStr">
        <is>
          <t>Capacity weight is used only to weight accelerator mix, not to overwrite company total power in 02_Inputs.</t>
        </is>
      </c>
    </row>
    <row r="219">
      <c r="A219" s="3" t="inlineStr">
        <is>
          <t>Base|Google|2030|Google Fort Wayne</t>
        </is>
      </c>
      <c r="B219" s="3" t="inlineStr">
        <is>
          <t>Base</t>
        </is>
      </c>
      <c r="C219" s="3" t="inlineStr">
        <is>
          <t>Google</t>
        </is>
      </c>
      <c r="D219" s="3" t="n">
        <v>2030</v>
      </c>
      <c r="E219" s="3" t="inlineStr">
        <is>
          <t>Google Fort Wayne</t>
        </is>
      </c>
      <c r="F219" s="3" t="inlineStr">
        <is>
          <t>Google</t>
        </is>
      </c>
      <c r="G219" s="3" t="inlineStr">
        <is>
          <t>United States</t>
        </is>
      </c>
      <c r="H219" s="25" t="n">
        <v>863</v>
      </c>
      <c r="I219" s="17" t="n">
        <v>1</v>
      </c>
      <c r="J219" s="17" t="n">
        <v>0.72</v>
      </c>
      <c r="K219" s="26" t="n">
        <v>0.28</v>
      </c>
      <c r="L219" s="3" t="inlineStr">
        <is>
          <t>2028-04-01</t>
        </is>
      </c>
      <c r="M219" s="27" t="n">
        <v>0</v>
      </c>
      <c r="N219" s="27" t="n">
        <v>863</v>
      </c>
      <c r="O219" s="3" t="inlineStr">
        <is>
          <t>speculative</t>
        </is>
      </c>
      <c r="P219" s="3" t="inlineStr"/>
      <c r="Q219" s="3" t="inlineStr">
        <is>
          <t>epoch_user_site_equal_split_seed</t>
        </is>
      </c>
      <c r="R219" s="3" t="inlineStr">
        <is>
          <t>SRC_EPOCH_AI_DATA_CENTERS; EPOCH_NORMALIZED_USER_SITES</t>
        </is>
      </c>
      <c r="S219" s="3" t="inlineStr">
        <is>
          <t>Capacity weight is used only to weight accelerator mix, not to overwrite company total power in 02_Inputs.</t>
        </is>
      </c>
    </row>
    <row r="220">
      <c r="A220" s="3" t="inlineStr">
        <is>
          <t>Bull|Google|2028|Google Fort Wayne</t>
        </is>
      </c>
      <c r="B220" s="3" t="inlineStr">
        <is>
          <t>Bull</t>
        </is>
      </c>
      <c r="C220" s="3" t="inlineStr">
        <is>
          <t>Google</t>
        </is>
      </c>
      <c r="D220" s="3" t="n">
        <v>2028</v>
      </c>
      <c r="E220" s="3" t="inlineStr">
        <is>
          <t>Google Fort Wayne</t>
        </is>
      </c>
      <c r="F220" s="3" t="inlineStr">
        <is>
          <t>Google</t>
        </is>
      </c>
      <c r="G220" s="3" t="inlineStr">
        <is>
          <t>United States</t>
        </is>
      </c>
      <c r="H220" s="25" t="n">
        <v>863</v>
      </c>
      <c r="I220" s="17" t="n">
        <v>1</v>
      </c>
      <c r="J220" s="17" t="n">
        <v>0.7</v>
      </c>
      <c r="K220" s="26" t="n">
        <v>0.3</v>
      </c>
      <c r="L220" s="3" t="inlineStr">
        <is>
          <t>2028-04-01</t>
        </is>
      </c>
      <c r="M220" s="27" t="n">
        <v>0</v>
      </c>
      <c r="N220" s="27" t="n">
        <v>863</v>
      </c>
      <c r="O220" s="3" t="inlineStr">
        <is>
          <t>speculative</t>
        </is>
      </c>
      <c r="P220" s="3" t="inlineStr"/>
      <c r="Q220" s="3" t="inlineStr">
        <is>
          <t>epoch_user_site_equal_split_seed</t>
        </is>
      </c>
      <c r="R220" s="3" t="inlineStr">
        <is>
          <t>SRC_EPOCH_AI_DATA_CENTERS; EPOCH_NORMALIZED_USER_SITES</t>
        </is>
      </c>
      <c r="S220" s="3" t="inlineStr">
        <is>
          <t>Capacity weight is used only to weight accelerator mix, not to overwrite company total power in 02_Inputs.</t>
        </is>
      </c>
    </row>
    <row r="221">
      <c r="A221" s="3" t="inlineStr">
        <is>
          <t>Bull|Google|2029|Google Fort Wayne</t>
        </is>
      </c>
      <c r="B221" s="3" t="inlineStr">
        <is>
          <t>Bull</t>
        </is>
      </c>
      <c r="C221" s="3" t="inlineStr">
        <is>
          <t>Google</t>
        </is>
      </c>
      <c r="D221" s="3" t="n">
        <v>2029</v>
      </c>
      <c r="E221" s="3" t="inlineStr">
        <is>
          <t>Google Fort Wayne</t>
        </is>
      </c>
      <c r="F221" s="3" t="inlineStr">
        <is>
          <t>Google</t>
        </is>
      </c>
      <c r="G221" s="3" t="inlineStr">
        <is>
          <t>United States</t>
        </is>
      </c>
      <c r="H221" s="25" t="n">
        <v>863</v>
      </c>
      <c r="I221" s="17" t="n">
        <v>1</v>
      </c>
      <c r="J221" s="17" t="n">
        <v>0.75</v>
      </c>
      <c r="K221" s="26" t="n">
        <v>0.25</v>
      </c>
      <c r="L221" s="3" t="inlineStr">
        <is>
          <t>2028-04-01</t>
        </is>
      </c>
      <c r="M221" s="27" t="n">
        <v>0</v>
      </c>
      <c r="N221" s="27" t="n">
        <v>863</v>
      </c>
      <c r="O221" s="3" t="inlineStr">
        <is>
          <t>speculative</t>
        </is>
      </c>
      <c r="P221" s="3" t="inlineStr"/>
      <c r="Q221" s="3" t="inlineStr">
        <is>
          <t>epoch_user_site_equal_split_seed</t>
        </is>
      </c>
      <c r="R221" s="3" t="inlineStr">
        <is>
          <t>SRC_EPOCH_AI_DATA_CENTERS; EPOCH_NORMALIZED_USER_SITES</t>
        </is>
      </c>
      <c r="S221" s="3" t="inlineStr">
        <is>
          <t>Capacity weight is used only to weight accelerator mix, not to overwrite company total power in 02_Inputs.</t>
        </is>
      </c>
    </row>
    <row r="222">
      <c r="A222" s="3" t="inlineStr">
        <is>
          <t>Bull|Google|2030|Google Fort Wayne</t>
        </is>
      </c>
      <c r="B222" s="3" t="inlineStr">
        <is>
          <t>Bull</t>
        </is>
      </c>
      <c r="C222" s="3" t="inlineStr">
        <is>
          <t>Google</t>
        </is>
      </c>
      <c r="D222" s="3" t="n">
        <v>2030</v>
      </c>
      <c r="E222" s="3" t="inlineStr">
        <is>
          <t>Google Fort Wayne</t>
        </is>
      </c>
      <c r="F222" s="3" t="inlineStr">
        <is>
          <t>Google</t>
        </is>
      </c>
      <c r="G222" s="3" t="inlineStr">
        <is>
          <t>United States</t>
        </is>
      </c>
      <c r="H222" s="25" t="n">
        <v>863</v>
      </c>
      <c r="I222" s="17" t="n">
        <v>1</v>
      </c>
      <c r="J222" s="17" t="n">
        <v>0.8</v>
      </c>
      <c r="K222" s="26" t="n">
        <v>0.2</v>
      </c>
      <c r="L222" s="3" t="inlineStr">
        <is>
          <t>2028-04-01</t>
        </is>
      </c>
      <c r="M222" s="27" t="n">
        <v>0</v>
      </c>
      <c r="N222" s="27" t="n">
        <v>863</v>
      </c>
      <c r="O222" s="3" t="inlineStr">
        <is>
          <t>speculative</t>
        </is>
      </c>
      <c r="P222" s="3" t="inlineStr"/>
      <c r="Q222" s="3" t="inlineStr">
        <is>
          <t>epoch_user_site_equal_split_seed</t>
        </is>
      </c>
      <c r="R222" s="3" t="inlineStr">
        <is>
          <t>SRC_EPOCH_AI_DATA_CENTERS; EPOCH_NORMALIZED_USER_SITES</t>
        </is>
      </c>
      <c r="S222" s="3" t="inlineStr">
        <is>
          <t>Capacity weight is used only to weight accelerator mix, not to overwrite company total power in 02_Inputs.</t>
        </is>
      </c>
    </row>
    <row r="223">
      <c r="A223" s="3" t="inlineStr">
        <is>
          <t>Grid-Constrained / Efficiency-Upside|Google|2028|Google Fort Wayne</t>
        </is>
      </c>
      <c r="B223" s="3" t="inlineStr">
        <is>
          <t>Grid-Constrained / Efficiency-Upside</t>
        </is>
      </c>
      <c r="C223" s="3" t="inlineStr">
        <is>
          <t>Google</t>
        </is>
      </c>
      <c r="D223" s="3" t="n">
        <v>2028</v>
      </c>
      <c r="E223" s="3" t="inlineStr">
        <is>
          <t>Google Fort Wayne</t>
        </is>
      </c>
      <c r="F223" s="3" t="inlineStr">
        <is>
          <t>Google</t>
        </is>
      </c>
      <c r="G223" s="3" t="inlineStr">
        <is>
          <t>United States</t>
        </is>
      </c>
      <c r="H223" s="25" t="n">
        <v>863</v>
      </c>
      <c r="I223" s="17" t="n">
        <v>1</v>
      </c>
      <c r="J223" s="17" t="n">
        <v>0.665</v>
      </c>
      <c r="K223" s="26" t="n">
        <v>0.335</v>
      </c>
      <c r="L223" s="3" t="inlineStr">
        <is>
          <t>2028-04-01</t>
        </is>
      </c>
      <c r="M223" s="27" t="n">
        <v>0</v>
      </c>
      <c r="N223" s="27" t="n">
        <v>863</v>
      </c>
      <c r="O223" s="3" t="inlineStr">
        <is>
          <t>speculative</t>
        </is>
      </c>
      <c r="P223" s="3" t="inlineStr"/>
      <c r="Q223" s="3" t="inlineStr">
        <is>
          <t>epoch_user_site_equal_split_seed</t>
        </is>
      </c>
      <c r="R223" s="3" t="inlineStr">
        <is>
          <t>SRC_EPOCH_AI_DATA_CENTERS; EPOCH_NORMALIZED_USER_SITES</t>
        </is>
      </c>
      <c r="S223" s="3" t="inlineStr">
        <is>
          <t>Capacity weight is used only to weight accelerator mix, not to overwrite company total power in 02_Inputs.</t>
        </is>
      </c>
    </row>
    <row r="224">
      <c r="A224" s="3" t="inlineStr">
        <is>
          <t>Grid-Constrained / Efficiency-Upside|Google|2029|Google Fort Wayne</t>
        </is>
      </c>
      <c r="B224" s="3" t="inlineStr">
        <is>
          <t>Grid-Constrained / Efficiency-Upside</t>
        </is>
      </c>
      <c r="C224" s="3" t="inlineStr">
        <is>
          <t>Google</t>
        </is>
      </c>
      <c r="D224" s="3" t="n">
        <v>2029</v>
      </c>
      <c r="E224" s="3" t="inlineStr">
        <is>
          <t>Google Fort Wayne</t>
        </is>
      </c>
      <c r="F224" s="3" t="inlineStr">
        <is>
          <t>Google</t>
        </is>
      </c>
      <c r="G224" s="3" t="inlineStr">
        <is>
          <t>United States</t>
        </is>
      </c>
      <c r="H224" s="25" t="n">
        <v>863</v>
      </c>
      <c r="I224" s="17" t="n">
        <v>1</v>
      </c>
      <c r="J224" s="17" t="n">
        <v>0.713</v>
      </c>
      <c r="K224" s="26" t="n">
        <v>0.287</v>
      </c>
      <c r="L224" s="3" t="inlineStr">
        <is>
          <t>2028-04-01</t>
        </is>
      </c>
      <c r="M224" s="27" t="n">
        <v>0</v>
      </c>
      <c r="N224" s="27" t="n">
        <v>863</v>
      </c>
      <c r="O224" s="3" t="inlineStr">
        <is>
          <t>speculative</t>
        </is>
      </c>
      <c r="P224" s="3" t="inlineStr"/>
      <c r="Q224" s="3" t="inlineStr">
        <is>
          <t>epoch_user_site_equal_split_seed</t>
        </is>
      </c>
      <c r="R224" s="3" t="inlineStr">
        <is>
          <t>SRC_EPOCH_AI_DATA_CENTERS; EPOCH_NORMALIZED_USER_SITES</t>
        </is>
      </c>
      <c r="S224" s="3" t="inlineStr">
        <is>
          <t>Capacity weight is used only to weight accelerator mix, not to overwrite company total power in 02_Inputs.</t>
        </is>
      </c>
    </row>
    <row r="225">
      <c r="A225" s="3" t="inlineStr">
        <is>
          <t>Grid-Constrained / Efficiency-Upside|Google|2030|Google Fort Wayne</t>
        </is>
      </c>
      <c r="B225" s="3" t="inlineStr">
        <is>
          <t>Grid-Constrained / Efficiency-Upside</t>
        </is>
      </c>
      <c r="C225" s="3" t="inlineStr">
        <is>
          <t>Google</t>
        </is>
      </c>
      <c r="D225" s="3" t="n">
        <v>2030</v>
      </c>
      <c r="E225" s="3" t="inlineStr">
        <is>
          <t>Google Fort Wayne</t>
        </is>
      </c>
      <c r="F225" s="3" t="inlineStr">
        <is>
          <t>Google</t>
        </is>
      </c>
      <c r="G225" s="3" t="inlineStr">
        <is>
          <t>United States</t>
        </is>
      </c>
      <c r="H225" s="25" t="n">
        <v>863</v>
      </c>
      <c r="I225" s="17" t="n">
        <v>1</v>
      </c>
      <c r="J225" s="17" t="n">
        <v>0.76</v>
      </c>
      <c r="K225" s="26" t="n">
        <v>0.24</v>
      </c>
      <c r="L225" s="3" t="inlineStr">
        <is>
          <t>2028-04-01</t>
        </is>
      </c>
      <c r="M225" s="27" t="n">
        <v>0</v>
      </c>
      <c r="N225" s="27" t="n">
        <v>863</v>
      </c>
      <c r="O225" s="3" t="inlineStr">
        <is>
          <t>speculative</t>
        </is>
      </c>
      <c r="P225" s="3" t="inlineStr"/>
      <c r="Q225" s="3" t="inlineStr">
        <is>
          <t>epoch_user_site_equal_split_seed</t>
        </is>
      </c>
      <c r="R225" s="3" t="inlineStr">
        <is>
          <t>SRC_EPOCH_AI_DATA_CENTERS; EPOCH_NORMALIZED_USER_SITES</t>
        </is>
      </c>
      <c r="S225" s="3" t="inlineStr">
        <is>
          <t>Capacity weight is used only to weight accelerator mix, not to overwrite company total power in 02_Inputs.</t>
        </is>
      </c>
    </row>
    <row r="226">
      <c r="A226" s="3" t="inlineStr">
        <is>
          <t>Bear|Google|2026|Google New Albany</t>
        </is>
      </c>
      <c r="B226" s="3" t="inlineStr">
        <is>
          <t>Bear</t>
        </is>
      </c>
      <c r="C226" s="3" t="inlineStr">
        <is>
          <t>Google</t>
        </is>
      </c>
      <c r="D226" s="3" t="n">
        <v>2026</v>
      </c>
      <c r="E226" s="3" t="inlineStr">
        <is>
          <t>Google New Albany</t>
        </is>
      </c>
      <c r="F226" s="3" t="inlineStr">
        <is>
          <t>Google</t>
        </is>
      </c>
      <c r="G226" s="3" t="inlineStr">
        <is>
          <t>United States</t>
        </is>
      </c>
      <c r="H226" s="25" t="n">
        <v>453</v>
      </c>
      <c r="I226" s="17" t="n">
        <v>1</v>
      </c>
      <c r="J226" s="17" t="n">
        <v>0.47</v>
      </c>
      <c r="K226" s="26" t="n">
        <v>0.53</v>
      </c>
      <c r="L226" s="3" t="inlineStr">
        <is>
          <t>2026-08-16</t>
        </is>
      </c>
      <c r="M226" s="27" t="n">
        <v>339</v>
      </c>
      <c r="N226" s="27" t="n">
        <v>453</v>
      </c>
      <c r="O226" s="3" t="inlineStr">
        <is>
          <t>speculative</t>
        </is>
      </c>
      <c r="P226" s="3" t="inlineStr">
        <is>
          <t>TPU v5e,TPU v5p,TPU v6e,TPU v7</t>
        </is>
      </c>
      <c r="Q226" s="3" t="inlineStr">
        <is>
          <t>epoch_user_site_equal_split_seed</t>
        </is>
      </c>
      <c r="R226" s="3" t="inlineStr">
        <is>
          <t>SRC_EPOCH_AI_DATA_CENTERS; EPOCH_NORMALIZED_USER_SITES</t>
        </is>
      </c>
      <c r="S226" s="3" t="inlineStr">
        <is>
          <t>Capacity weight is used only to weight accelerator mix, not to overwrite company total power in 02_Inputs.</t>
        </is>
      </c>
    </row>
    <row r="227">
      <c r="A227" s="3" t="inlineStr">
        <is>
          <t>Bear|Google|2027|Google New Albany</t>
        </is>
      </c>
      <c r="B227" s="3" t="inlineStr">
        <is>
          <t>Bear</t>
        </is>
      </c>
      <c r="C227" s="3" t="inlineStr">
        <is>
          <t>Google</t>
        </is>
      </c>
      <c r="D227" s="3" t="n">
        <v>2027</v>
      </c>
      <c r="E227" s="3" t="inlineStr">
        <is>
          <t>Google New Albany</t>
        </is>
      </c>
      <c r="F227" s="3" t="inlineStr">
        <is>
          <t>Google</t>
        </is>
      </c>
      <c r="G227" s="3" t="inlineStr">
        <is>
          <t>United States</t>
        </is>
      </c>
      <c r="H227" s="25" t="n">
        <v>453</v>
      </c>
      <c r="I227" s="17" t="n">
        <v>1</v>
      </c>
      <c r="J227" s="17" t="n">
        <v>0.508</v>
      </c>
      <c r="K227" s="26" t="n">
        <v>0.492</v>
      </c>
      <c r="L227" s="3" t="inlineStr">
        <is>
          <t>2026-08-16</t>
        </is>
      </c>
      <c r="M227" s="27" t="n">
        <v>339</v>
      </c>
      <c r="N227" s="27" t="n">
        <v>453</v>
      </c>
      <c r="O227" s="3" t="inlineStr">
        <is>
          <t>speculative</t>
        </is>
      </c>
      <c r="P227" s="3" t="inlineStr">
        <is>
          <t>TPU v5e,TPU v5p,TPU v6e,TPU v7</t>
        </is>
      </c>
      <c r="Q227" s="3" t="inlineStr">
        <is>
          <t>epoch_user_site_equal_split_seed</t>
        </is>
      </c>
      <c r="R227" s="3" t="inlineStr">
        <is>
          <t>SRC_EPOCH_AI_DATA_CENTERS; EPOCH_NORMALIZED_USER_SITES</t>
        </is>
      </c>
      <c r="S227" s="3" t="inlineStr">
        <is>
          <t>Capacity weight is used only to weight accelerator mix, not to overwrite company total power in 02_Inputs.</t>
        </is>
      </c>
    </row>
    <row r="228">
      <c r="A228" s="3" t="inlineStr">
        <is>
          <t>Bear|Google|2028|Google New Albany</t>
        </is>
      </c>
      <c r="B228" s="3" t="inlineStr">
        <is>
          <t>Bear</t>
        </is>
      </c>
      <c r="C228" s="3" t="inlineStr">
        <is>
          <t>Google</t>
        </is>
      </c>
      <c r="D228" s="3" t="n">
        <v>2028</v>
      </c>
      <c r="E228" s="3" t="inlineStr">
        <is>
          <t>Google New Albany</t>
        </is>
      </c>
      <c r="F228" s="3" t="inlineStr">
        <is>
          <t>Google</t>
        </is>
      </c>
      <c r="G228" s="3" t="inlineStr">
        <is>
          <t>United States</t>
        </is>
      </c>
      <c r="H228" s="25" t="n">
        <v>453</v>
      </c>
      <c r="I228" s="17" t="n">
        <v>1</v>
      </c>
      <c r="J228" s="17" t="n">
        <v>0.545</v>
      </c>
      <c r="K228" s="26" t="n">
        <v>0.455</v>
      </c>
      <c r="L228" s="3" t="inlineStr">
        <is>
          <t>2026-08-16</t>
        </is>
      </c>
      <c r="M228" s="27" t="n">
        <v>339</v>
      </c>
      <c r="N228" s="27" t="n">
        <v>453</v>
      </c>
      <c r="O228" s="3" t="inlineStr">
        <is>
          <t>speculative</t>
        </is>
      </c>
      <c r="P228" s="3" t="inlineStr">
        <is>
          <t>TPU v5e,TPU v5p,TPU v6e,TPU v7</t>
        </is>
      </c>
      <c r="Q228" s="3" t="inlineStr">
        <is>
          <t>epoch_user_site_equal_split_seed</t>
        </is>
      </c>
      <c r="R228" s="3" t="inlineStr">
        <is>
          <t>SRC_EPOCH_AI_DATA_CENTERS; EPOCH_NORMALIZED_USER_SITES</t>
        </is>
      </c>
      <c r="S228" s="3" t="inlineStr">
        <is>
          <t>Capacity weight is used only to weight accelerator mix, not to overwrite company total power in 02_Inputs.</t>
        </is>
      </c>
    </row>
    <row r="229">
      <c r="A229" s="3" t="inlineStr">
        <is>
          <t>Bear|Google|2029|Google New Albany</t>
        </is>
      </c>
      <c r="B229" s="3" t="inlineStr">
        <is>
          <t>Bear</t>
        </is>
      </c>
      <c r="C229" s="3" t="inlineStr">
        <is>
          <t>Google</t>
        </is>
      </c>
      <c r="D229" s="3" t="n">
        <v>2029</v>
      </c>
      <c r="E229" s="3" t="inlineStr">
        <is>
          <t>Google New Albany</t>
        </is>
      </c>
      <c r="F229" s="3" t="inlineStr">
        <is>
          <t>Google</t>
        </is>
      </c>
      <c r="G229" s="3" t="inlineStr">
        <is>
          <t>United States</t>
        </is>
      </c>
      <c r="H229" s="25" t="n">
        <v>453</v>
      </c>
      <c r="I229" s="17" t="n">
        <v>1</v>
      </c>
      <c r="J229" s="17" t="n">
        <v>0.583</v>
      </c>
      <c r="K229" s="26" t="n">
        <v>0.417</v>
      </c>
      <c r="L229" s="3" t="inlineStr">
        <is>
          <t>2026-08-16</t>
        </is>
      </c>
      <c r="M229" s="27" t="n">
        <v>339</v>
      </c>
      <c r="N229" s="27" t="n">
        <v>453</v>
      </c>
      <c r="O229" s="3" t="inlineStr">
        <is>
          <t>speculative</t>
        </is>
      </c>
      <c r="P229" s="3" t="inlineStr">
        <is>
          <t>TPU v5e,TPU v5p,TPU v6e,TPU v7</t>
        </is>
      </c>
      <c r="Q229" s="3" t="inlineStr">
        <is>
          <t>epoch_user_site_equal_split_seed</t>
        </is>
      </c>
      <c r="R229" s="3" t="inlineStr">
        <is>
          <t>SRC_EPOCH_AI_DATA_CENTERS; EPOCH_NORMALIZED_USER_SITES</t>
        </is>
      </c>
      <c r="S229" s="3" t="inlineStr">
        <is>
          <t>Capacity weight is used only to weight accelerator mix, not to overwrite company total power in 02_Inputs.</t>
        </is>
      </c>
    </row>
    <row r="230">
      <c r="A230" s="3" t="inlineStr">
        <is>
          <t>Bear|Google|2030|Google New Albany</t>
        </is>
      </c>
      <c r="B230" s="3" t="inlineStr">
        <is>
          <t>Bear</t>
        </is>
      </c>
      <c r="C230" s="3" t="inlineStr">
        <is>
          <t>Google</t>
        </is>
      </c>
      <c r="D230" s="3" t="n">
        <v>2030</v>
      </c>
      <c r="E230" s="3" t="inlineStr">
        <is>
          <t>Google New Albany</t>
        </is>
      </c>
      <c r="F230" s="3" t="inlineStr">
        <is>
          <t>Google</t>
        </is>
      </c>
      <c r="G230" s="3" t="inlineStr">
        <is>
          <t>United States</t>
        </is>
      </c>
      <c r="H230" s="25" t="n">
        <v>453</v>
      </c>
      <c r="I230" s="17" t="n">
        <v>1</v>
      </c>
      <c r="J230" s="17" t="n">
        <v>0.62</v>
      </c>
      <c r="K230" s="26" t="n">
        <v>0.38</v>
      </c>
      <c r="L230" s="3" t="inlineStr">
        <is>
          <t>2026-08-16</t>
        </is>
      </c>
      <c r="M230" s="27" t="n">
        <v>339</v>
      </c>
      <c r="N230" s="27" t="n">
        <v>453</v>
      </c>
      <c r="O230" s="3" t="inlineStr">
        <is>
          <t>speculative</t>
        </is>
      </c>
      <c r="P230" s="3" t="inlineStr">
        <is>
          <t>TPU v5e,TPU v5p,TPU v6e,TPU v7</t>
        </is>
      </c>
      <c r="Q230" s="3" t="inlineStr">
        <is>
          <t>epoch_user_site_equal_split_seed</t>
        </is>
      </c>
      <c r="R230" s="3" t="inlineStr">
        <is>
          <t>SRC_EPOCH_AI_DATA_CENTERS; EPOCH_NORMALIZED_USER_SITES</t>
        </is>
      </c>
      <c r="S230" s="3" t="inlineStr">
        <is>
          <t>Capacity weight is used only to weight accelerator mix, not to overwrite company total power in 02_Inputs.</t>
        </is>
      </c>
    </row>
    <row r="231">
      <c r="A231" s="3" t="inlineStr">
        <is>
          <t>Base|Google|2026|Google New Albany</t>
        </is>
      </c>
      <c r="B231" s="3" t="inlineStr">
        <is>
          <t>Base</t>
        </is>
      </c>
      <c r="C231" s="3" t="inlineStr">
        <is>
          <t>Google</t>
        </is>
      </c>
      <c r="D231" s="3" t="n">
        <v>2026</v>
      </c>
      <c r="E231" s="3" t="inlineStr">
        <is>
          <t>Google New Albany</t>
        </is>
      </c>
      <c r="F231" s="3" t="inlineStr">
        <is>
          <t>Google</t>
        </is>
      </c>
      <c r="G231" s="3" t="inlineStr">
        <is>
          <t>United States</t>
        </is>
      </c>
      <c r="H231" s="25" t="n">
        <v>453</v>
      </c>
      <c r="I231" s="17" t="n">
        <v>1</v>
      </c>
      <c r="J231" s="17" t="n">
        <v>0.55</v>
      </c>
      <c r="K231" s="26" t="n">
        <v>0.45</v>
      </c>
      <c r="L231" s="3" t="inlineStr">
        <is>
          <t>2026-08-16</t>
        </is>
      </c>
      <c r="M231" s="27" t="n">
        <v>339</v>
      </c>
      <c r="N231" s="27" t="n">
        <v>453</v>
      </c>
      <c r="O231" s="3" t="inlineStr">
        <is>
          <t>speculative</t>
        </is>
      </c>
      <c r="P231" s="3" t="inlineStr">
        <is>
          <t>TPU v5e,TPU v5p,TPU v6e,TPU v7</t>
        </is>
      </c>
      <c r="Q231" s="3" t="inlineStr">
        <is>
          <t>epoch_user_site_equal_split_seed</t>
        </is>
      </c>
      <c r="R231" s="3" t="inlineStr">
        <is>
          <t>SRC_EPOCH_AI_DATA_CENTERS; EPOCH_NORMALIZED_USER_SITES</t>
        </is>
      </c>
      <c r="S231" s="3" t="inlineStr">
        <is>
          <t>Capacity weight is used only to weight accelerator mix, not to overwrite company total power in 02_Inputs.</t>
        </is>
      </c>
    </row>
    <row r="232">
      <c r="A232" s="3" t="inlineStr">
        <is>
          <t>Base|Google|2027|Google New Albany</t>
        </is>
      </c>
      <c r="B232" s="3" t="inlineStr">
        <is>
          <t>Base</t>
        </is>
      </c>
      <c r="C232" s="3" t="inlineStr">
        <is>
          <t>Google</t>
        </is>
      </c>
      <c r="D232" s="3" t="n">
        <v>2027</v>
      </c>
      <c r="E232" s="3" t="inlineStr">
        <is>
          <t>Google New Albany</t>
        </is>
      </c>
      <c r="F232" s="3" t="inlineStr">
        <is>
          <t>Google</t>
        </is>
      </c>
      <c r="G232" s="3" t="inlineStr">
        <is>
          <t>United States</t>
        </is>
      </c>
      <c r="H232" s="25" t="n">
        <v>453</v>
      </c>
      <c r="I232" s="17" t="n">
        <v>1</v>
      </c>
      <c r="J232" s="17" t="n">
        <v>0.593</v>
      </c>
      <c r="K232" s="26" t="n">
        <v>0.407</v>
      </c>
      <c r="L232" s="3" t="inlineStr">
        <is>
          <t>2026-08-16</t>
        </is>
      </c>
      <c r="M232" s="27" t="n">
        <v>339</v>
      </c>
      <c r="N232" s="27" t="n">
        <v>453</v>
      </c>
      <c r="O232" s="3" t="inlineStr">
        <is>
          <t>speculative</t>
        </is>
      </c>
      <c r="P232" s="3" t="inlineStr">
        <is>
          <t>TPU v5e,TPU v5p,TPU v6e,TPU v7</t>
        </is>
      </c>
      <c r="Q232" s="3" t="inlineStr">
        <is>
          <t>epoch_user_site_equal_split_seed</t>
        </is>
      </c>
      <c r="R232" s="3" t="inlineStr">
        <is>
          <t>SRC_EPOCH_AI_DATA_CENTERS; EPOCH_NORMALIZED_USER_SITES</t>
        </is>
      </c>
      <c r="S232" s="3" t="inlineStr">
        <is>
          <t>Capacity weight is used only to weight accelerator mix, not to overwrite company total power in 02_Inputs.</t>
        </is>
      </c>
    </row>
    <row r="233">
      <c r="A233" s="3" t="inlineStr">
        <is>
          <t>Base|Google|2028|Google New Albany</t>
        </is>
      </c>
      <c r="B233" s="3" t="inlineStr">
        <is>
          <t>Base</t>
        </is>
      </c>
      <c r="C233" s="3" t="inlineStr">
        <is>
          <t>Google</t>
        </is>
      </c>
      <c r="D233" s="3" t="n">
        <v>2028</v>
      </c>
      <c r="E233" s="3" t="inlineStr">
        <is>
          <t>Google New Albany</t>
        </is>
      </c>
      <c r="F233" s="3" t="inlineStr">
        <is>
          <t>Google</t>
        </is>
      </c>
      <c r="G233" s="3" t="inlineStr">
        <is>
          <t>United States</t>
        </is>
      </c>
      <c r="H233" s="25" t="n">
        <v>453</v>
      </c>
      <c r="I233" s="17" t="n">
        <v>1</v>
      </c>
      <c r="J233" s="17" t="n">
        <v>0.635</v>
      </c>
      <c r="K233" s="26" t="n">
        <v>0.365</v>
      </c>
      <c r="L233" s="3" t="inlineStr">
        <is>
          <t>2026-08-16</t>
        </is>
      </c>
      <c r="M233" s="27" t="n">
        <v>339</v>
      </c>
      <c r="N233" s="27" t="n">
        <v>453</v>
      </c>
      <c r="O233" s="3" t="inlineStr">
        <is>
          <t>speculative</t>
        </is>
      </c>
      <c r="P233" s="3" t="inlineStr">
        <is>
          <t>TPU v5e,TPU v5p,TPU v6e,TPU v7</t>
        </is>
      </c>
      <c r="Q233" s="3" t="inlineStr">
        <is>
          <t>epoch_user_site_equal_split_seed</t>
        </is>
      </c>
      <c r="R233" s="3" t="inlineStr">
        <is>
          <t>SRC_EPOCH_AI_DATA_CENTERS; EPOCH_NORMALIZED_USER_SITES</t>
        </is>
      </c>
      <c r="S233" s="3" t="inlineStr">
        <is>
          <t>Capacity weight is used only to weight accelerator mix, not to overwrite company total power in 02_Inputs.</t>
        </is>
      </c>
    </row>
    <row r="234">
      <c r="A234" s="3" t="inlineStr">
        <is>
          <t>Base|Google|2029|Google New Albany</t>
        </is>
      </c>
      <c r="B234" s="3" t="inlineStr">
        <is>
          <t>Base</t>
        </is>
      </c>
      <c r="C234" s="3" t="inlineStr">
        <is>
          <t>Google</t>
        </is>
      </c>
      <c r="D234" s="3" t="n">
        <v>2029</v>
      </c>
      <c r="E234" s="3" t="inlineStr">
        <is>
          <t>Google New Albany</t>
        </is>
      </c>
      <c r="F234" s="3" t="inlineStr">
        <is>
          <t>Google</t>
        </is>
      </c>
      <c r="G234" s="3" t="inlineStr">
        <is>
          <t>United States</t>
        </is>
      </c>
      <c r="H234" s="25" t="n">
        <v>453</v>
      </c>
      <c r="I234" s="17" t="n">
        <v>1</v>
      </c>
      <c r="J234" s="17" t="n">
        <v>0.677</v>
      </c>
      <c r="K234" s="26" t="n">
        <v>0.323</v>
      </c>
      <c r="L234" s="3" t="inlineStr">
        <is>
          <t>2026-08-16</t>
        </is>
      </c>
      <c r="M234" s="27" t="n">
        <v>339</v>
      </c>
      <c r="N234" s="27" t="n">
        <v>453</v>
      </c>
      <c r="O234" s="3" t="inlineStr">
        <is>
          <t>speculative</t>
        </is>
      </c>
      <c r="P234" s="3" t="inlineStr">
        <is>
          <t>TPU v5e,TPU v5p,TPU v6e,TPU v7</t>
        </is>
      </c>
      <c r="Q234" s="3" t="inlineStr">
        <is>
          <t>epoch_user_site_equal_split_seed</t>
        </is>
      </c>
      <c r="R234" s="3" t="inlineStr">
        <is>
          <t>SRC_EPOCH_AI_DATA_CENTERS; EPOCH_NORMALIZED_USER_SITES</t>
        </is>
      </c>
      <c r="S234" s="3" t="inlineStr">
        <is>
          <t>Capacity weight is used only to weight accelerator mix, not to overwrite company total power in 02_Inputs.</t>
        </is>
      </c>
    </row>
    <row r="235">
      <c r="A235" s="3" t="inlineStr">
        <is>
          <t>Base|Google|2030|Google New Albany</t>
        </is>
      </c>
      <c r="B235" s="3" t="inlineStr">
        <is>
          <t>Base</t>
        </is>
      </c>
      <c r="C235" s="3" t="inlineStr">
        <is>
          <t>Google</t>
        </is>
      </c>
      <c r="D235" s="3" t="n">
        <v>2030</v>
      </c>
      <c r="E235" s="3" t="inlineStr">
        <is>
          <t>Google New Albany</t>
        </is>
      </c>
      <c r="F235" s="3" t="inlineStr">
        <is>
          <t>Google</t>
        </is>
      </c>
      <c r="G235" s="3" t="inlineStr">
        <is>
          <t>United States</t>
        </is>
      </c>
      <c r="H235" s="25" t="n">
        <v>453</v>
      </c>
      <c r="I235" s="17" t="n">
        <v>1</v>
      </c>
      <c r="J235" s="17" t="n">
        <v>0.72</v>
      </c>
      <c r="K235" s="26" t="n">
        <v>0.28</v>
      </c>
      <c r="L235" s="3" t="inlineStr">
        <is>
          <t>2026-08-16</t>
        </is>
      </c>
      <c r="M235" s="27" t="n">
        <v>339</v>
      </c>
      <c r="N235" s="27" t="n">
        <v>453</v>
      </c>
      <c r="O235" s="3" t="inlineStr">
        <is>
          <t>speculative</t>
        </is>
      </c>
      <c r="P235" s="3" t="inlineStr">
        <is>
          <t>TPU v5e,TPU v5p,TPU v6e,TPU v7</t>
        </is>
      </c>
      <c r="Q235" s="3" t="inlineStr">
        <is>
          <t>epoch_user_site_equal_split_seed</t>
        </is>
      </c>
      <c r="R235" s="3" t="inlineStr">
        <is>
          <t>SRC_EPOCH_AI_DATA_CENTERS; EPOCH_NORMALIZED_USER_SITES</t>
        </is>
      </c>
      <c r="S235" s="3" t="inlineStr">
        <is>
          <t>Capacity weight is used only to weight accelerator mix, not to overwrite company total power in 02_Inputs.</t>
        </is>
      </c>
    </row>
    <row r="236">
      <c r="A236" s="3" t="inlineStr">
        <is>
          <t>Bull|Google|2026|Google New Albany</t>
        </is>
      </c>
      <c r="B236" s="3" t="inlineStr">
        <is>
          <t>Bull</t>
        </is>
      </c>
      <c r="C236" s="3" t="inlineStr">
        <is>
          <t>Google</t>
        </is>
      </c>
      <c r="D236" s="3" t="n">
        <v>2026</v>
      </c>
      <c r="E236" s="3" t="inlineStr">
        <is>
          <t>Google New Albany</t>
        </is>
      </c>
      <c r="F236" s="3" t="inlineStr">
        <is>
          <t>Google</t>
        </is>
      </c>
      <c r="G236" s="3" t="inlineStr">
        <is>
          <t>United States</t>
        </is>
      </c>
      <c r="H236" s="25" t="n">
        <v>453</v>
      </c>
      <c r="I236" s="17" t="n">
        <v>1</v>
      </c>
      <c r="J236" s="17" t="n">
        <v>0.6</v>
      </c>
      <c r="K236" s="26" t="n">
        <v>0.4</v>
      </c>
      <c r="L236" s="3" t="inlineStr">
        <is>
          <t>2026-08-16</t>
        </is>
      </c>
      <c r="M236" s="27" t="n">
        <v>339</v>
      </c>
      <c r="N236" s="27" t="n">
        <v>453</v>
      </c>
      <c r="O236" s="3" t="inlineStr">
        <is>
          <t>speculative</t>
        </is>
      </c>
      <c r="P236" s="3" t="inlineStr">
        <is>
          <t>TPU v5e,TPU v5p,TPU v6e,TPU v7</t>
        </is>
      </c>
      <c r="Q236" s="3" t="inlineStr">
        <is>
          <t>epoch_user_site_equal_split_seed</t>
        </is>
      </c>
      <c r="R236" s="3" t="inlineStr">
        <is>
          <t>SRC_EPOCH_AI_DATA_CENTERS; EPOCH_NORMALIZED_USER_SITES</t>
        </is>
      </c>
      <c r="S236" s="3" t="inlineStr">
        <is>
          <t>Capacity weight is used only to weight accelerator mix, not to overwrite company total power in 02_Inputs.</t>
        </is>
      </c>
    </row>
    <row r="237">
      <c r="A237" s="3" t="inlineStr">
        <is>
          <t>Bull|Google|2027|Google New Albany</t>
        </is>
      </c>
      <c r="B237" s="3" t="inlineStr">
        <is>
          <t>Bull</t>
        </is>
      </c>
      <c r="C237" s="3" t="inlineStr">
        <is>
          <t>Google</t>
        </is>
      </c>
      <c r="D237" s="3" t="n">
        <v>2027</v>
      </c>
      <c r="E237" s="3" t="inlineStr">
        <is>
          <t>Google New Albany</t>
        </is>
      </c>
      <c r="F237" s="3" t="inlineStr">
        <is>
          <t>Google</t>
        </is>
      </c>
      <c r="G237" s="3" t="inlineStr">
        <is>
          <t>United States</t>
        </is>
      </c>
      <c r="H237" s="25" t="n">
        <v>453</v>
      </c>
      <c r="I237" s="17" t="n">
        <v>1</v>
      </c>
      <c r="J237" s="17" t="n">
        <v>0.65</v>
      </c>
      <c r="K237" s="26" t="n">
        <v>0.35</v>
      </c>
      <c r="L237" s="3" t="inlineStr">
        <is>
          <t>2026-08-16</t>
        </is>
      </c>
      <c r="M237" s="27" t="n">
        <v>339</v>
      </c>
      <c r="N237" s="27" t="n">
        <v>453</v>
      </c>
      <c r="O237" s="3" t="inlineStr">
        <is>
          <t>speculative</t>
        </is>
      </c>
      <c r="P237" s="3" t="inlineStr">
        <is>
          <t>TPU v5e,TPU v5p,TPU v6e,TPU v7</t>
        </is>
      </c>
      <c r="Q237" s="3" t="inlineStr">
        <is>
          <t>epoch_user_site_equal_split_seed</t>
        </is>
      </c>
      <c r="R237" s="3" t="inlineStr">
        <is>
          <t>SRC_EPOCH_AI_DATA_CENTERS; EPOCH_NORMALIZED_USER_SITES</t>
        </is>
      </c>
      <c r="S237" s="3" t="inlineStr">
        <is>
          <t>Capacity weight is used only to weight accelerator mix, not to overwrite company total power in 02_Inputs.</t>
        </is>
      </c>
    </row>
    <row r="238">
      <c r="A238" s="3" t="inlineStr">
        <is>
          <t>Bull|Google|2028|Google New Albany</t>
        </is>
      </c>
      <c r="B238" s="3" t="inlineStr">
        <is>
          <t>Bull</t>
        </is>
      </c>
      <c r="C238" s="3" t="inlineStr">
        <is>
          <t>Google</t>
        </is>
      </c>
      <c r="D238" s="3" t="n">
        <v>2028</v>
      </c>
      <c r="E238" s="3" t="inlineStr">
        <is>
          <t>Google New Albany</t>
        </is>
      </c>
      <c r="F238" s="3" t="inlineStr">
        <is>
          <t>Google</t>
        </is>
      </c>
      <c r="G238" s="3" t="inlineStr">
        <is>
          <t>United States</t>
        </is>
      </c>
      <c r="H238" s="25" t="n">
        <v>453</v>
      </c>
      <c r="I238" s="17" t="n">
        <v>1</v>
      </c>
      <c r="J238" s="17" t="n">
        <v>0.7</v>
      </c>
      <c r="K238" s="26" t="n">
        <v>0.3</v>
      </c>
      <c r="L238" s="3" t="inlineStr">
        <is>
          <t>2026-08-16</t>
        </is>
      </c>
      <c r="M238" s="27" t="n">
        <v>339</v>
      </c>
      <c r="N238" s="27" t="n">
        <v>453</v>
      </c>
      <c r="O238" s="3" t="inlineStr">
        <is>
          <t>speculative</t>
        </is>
      </c>
      <c r="P238" s="3" t="inlineStr">
        <is>
          <t>TPU v5e,TPU v5p,TPU v6e,TPU v7</t>
        </is>
      </c>
      <c r="Q238" s="3" t="inlineStr">
        <is>
          <t>epoch_user_site_equal_split_seed</t>
        </is>
      </c>
      <c r="R238" s="3" t="inlineStr">
        <is>
          <t>SRC_EPOCH_AI_DATA_CENTERS; EPOCH_NORMALIZED_USER_SITES</t>
        </is>
      </c>
      <c r="S238" s="3" t="inlineStr">
        <is>
          <t>Capacity weight is used only to weight accelerator mix, not to overwrite company total power in 02_Inputs.</t>
        </is>
      </c>
    </row>
    <row r="239">
      <c r="A239" s="3" t="inlineStr">
        <is>
          <t>Bull|Google|2029|Google New Albany</t>
        </is>
      </c>
      <c r="B239" s="3" t="inlineStr">
        <is>
          <t>Bull</t>
        </is>
      </c>
      <c r="C239" s="3" t="inlineStr">
        <is>
          <t>Google</t>
        </is>
      </c>
      <c r="D239" s="3" t="n">
        <v>2029</v>
      </c>
      <c r="E239" s="3" t="inlineStr">
        <is>
          <t>Google New Albany</t>
        </is>
      </c>
      <c r="F239" s="3" t="inlineStr">
        <is>
          <t>Google</t>
        </is>
      </c>
      <c r="G239" s="3" t="inlineStr">
        <is>
          <t>United States</t>
        </is>
      </c>
      <c r="H239" s="25" t="n">
        <v>453</v>
      </c>
      <c r="I239" s="17" t="n">
        <v>1</v>
      </c>
      <c r="J239" s="17" t="n">
        <v>0.75</v>
      </c>
      <c r="K239" s="26" t="n">
        <v>0.25</v>
      </c>
      <c r="L239" s="3" t="inlineStr">
        <is>
          <t>2026-08-16</t>
        </is>
      </c>
      <c r="M239" s="27" t="n">
        <v>339</v>
      </c>
      <c r="N239" s="27" t="n">
        <v>453</v>
      </c>
      <c r="O239" s="3" t="inlineStr">
        <is>
          <t>speculative</t>
        </is>
      </c>
      <c r="P239" s="3" t="inlineStr">
        <is>
          <t>TPU v5e,TPU v5p,TPU v6e,TPU v7</t>
        </is>
      </c>
      <c r="Q239" s="3" t="inlineStr">
        <is>
          <t>epoch_user_site_equal_split_seed</t>
        </is>
      </c>
      <c r="R239" s="3" t="inlineStr">
        <is>
          <t>SRC_EPOCH_AI_DATA_CENTERS; EPOCH_NORMALIZED_USER_SITES</t>
        </is>
      </c>
      <c r="S239" s="3" t="inlineStr">
        <is>
          <t>Capacity weight is used only to weight accelerator mix, not to overwrite company total power in 02_Inputs.</t>
        </is>
      </c>
    </row>
    <row r="240">
      <c r="A240" s="3" t="inlineStr">
        <is>
          <t>Bull|Google|2030|Google New Albany</t>
        </is>
      </c>
      <c r="B240" s="3" t="inlineStr">
        <is>
          <t>Bull</t>
        </is>
      </c>
      <c r="C240" s="3" t="inlineStr">
        <is>
          <t>Google</t>
        </is>
      </c>
      <c r="D240" s="3" t="n">
        <v>2030</v>
      </c>
      <c r="E240" s="3" t="inlineStr">
        <is>
          <t>Google New Albany</t>
        </is>
      </c>
      <c r="F240" s="3" t="inlineStr">
        <is>
          <t>Google</t>
        </is>
      </c>
      <c r="G240" s="3" t="inlineStr">
        <is>
          <t>United States</t>
        </is>
      </c>
      <c r="H240" s="25" t="n">
        <v>453</v>
      </c>
      <c r="I240" s="17" t="n">
        <v>1</v>
      </c>
      <c r="J240" s="17" t="n">
        <v>0.8</v>
      </c>
      <c r="K240" s="26" t="n">
        <v>0.2</v>
      </c>
      <c r="L240" s="3" t="inlineStr">
        <is>
          <t>2026-08-16</t>
        </is>
      </c>
      <c r="M240" s="27" t="n">
        <v>339</v>
      </c>
      <c r="N240" s="27" t="n">
        <v>453</v>
      </c>
      <c r="O240" s="3" t="inlineStr">
        <is>
          <t>speculative</t>
        </is>
      </c>
      <c r="P240" s="3" t="inlineStr">
        <is>
          <t>TPU v5e,TPU v5p,TPU v6e,TPU v7</t>
        </is>
      </c>
      <c r="Q240" s="3" t="inlineStr">
        <is>
          <t>epoch_user_site_equal_split_seed</t>
        </is>
      </c>
      <c r="R240" s="3" t="inlineStr">
        <is>
          <t>SRC_EPOCH_AI_DATA_CENTERS; EPOCH_NORMALIZED_USER_SITES</t>
        </is>
      </c>
      <c r="S240" s="3" t="inlineStr">
        <is>
          <t>Capacity weight is used only to weight accelerator mix, not to overwrite company total power in 02_Inputs.</t>
        </is>
      </c>
    </row>
    <row r="241">
      <c r="A241" s="3" t="inlineStr">
        <is>
          <t>Grid-Constrained / Efficiency-Upside|Google|2026|Google New Albany</t>
        </is>
      </c>
      <c r="B241" s="3" t="inlineStr">
        <is>
          <t>Grid-Constrained / Efficiency-Upside</t>
        </is>
      </c>
      <c r="C241" s="3" t="inlineStr">
        <is>
          <t>Google</t>
        </is>
      </c>
      <c r="D241" s="3" t="n">
        <v>2026</v>
      </c>
      <c r="E241" s="3" t="inlineStr">
        <is>
          <t>Google New Albany</t>
        </is>
      </c>
      <c r="F241" s="3" t="inlineStr">
        <is>
          <t>Google</t>
        </is>
      </c>
      <c r="G241" s="3" t="inlineStr">
        <is>
          <t>United States</t>
        </is>
      </c>
      <c r="H241" s="25" t="n">
        <v>453</v>
      </c>
      <c r="I241" s="17" t="n">
        <v>1</v>
      </c>
      <c r="J241" s="17" t="n">
        <v>0.57</v>
      </c>
      <c r="K241" s="26" t="n">
        <v>0.43</v>
      </c>
      <c r="L241" s="3" t="inlineStr">
        <is>
          <t>2026-08-16</t>
        </is>
      </c>
      <c r="M241" s="27" t="n">
        <v>339</v>
      </c>
      <c r="N241" s="27" t="n">
        <v>453</v>
      </c>
      <c r="O241" s="3" t="inlineStr">
        <is>
          <t>speculative</t>
        </is>
      </c>
      <c r="P241" s="3" t="inlineStr">
        <is>
          <t>TPU v5e,TPU v5p,TPU v6e,TPU v7</t>
        </is>
      </c>
      <c r="Q241" s="3" t="inlineStr">
        <is>
          <t>epoch_user_site_equal_split_seed</t>
        </is>
      </c>
      <c r="R241" s="3" t="inlineStr">
        <is>
          <t>SRC_EPOCH_AI_DATA_CENTERS; EPOCH_NORMALIZED_USER_SITES</t>
        </is>
      </c>
      <c r="S241" s="3" t="inlineStr">
        <is>
          <t>Capacity weight is used only to weight accelerator mix, not to overwrite company total power in 02_Inputs.</t>
        </is>
      </c>
    </row>
    <row r="242">
      <c r="A242" s="3" t="inlineStr">
        <is>
          <t>Grid-Constrained / Efficiency-Upside|Google|2027|Google New Albany</t>
        </is>
      </c>
      <c r="B242" s="3" t="inlineStr">
        <is>
          <t>Grid-Constrained / Efficiency-Upside</t>
        </is>
      </c>
      <c r="C242" s="3" t="inlineStr">
        <is>
          <t>Google</t>
        </is>
      </c>
      <c r="D242" s="3" t="n">
        <v>2027</v>
      </c>
      <c r="E242" s="3" t="inlineStr">
        <is>
          <t>Google New Albany</t>
        </is>
      </c>
      <c r="F242" s="3" t="inlineStr">
        <is>
          <t>Google</t>
        </is>
      </c>
      <c r="G242" s="3" t="inlineStr">
        <is>
          <t>United States</t>
        </is>
      </c>
      <c r="H242" s="25" t="n">
        <v>453</v>
      </c>
      <c r="I242" s="17" t="n">
        <v>1</v>
      </c>
      <c r="J242" s="17" t="n">
        <v>0.618</v>
      </c>
      <c r="K242" s="26" t="n">
        <v>0.382</v>
      </c>
      <c r="L242" s="3" t="inlineStr">
        <is>
          <t>2026-08-16</t>
        </is>
      </c>
      <c r="M242" s="27" t="n">
        <v>339</v>
      </c>
      <c r="N242" s="27" t="n">
        <v>453</v>
      </c>
      <c r="O242" s="3" t="inlineStr">
        <is>
          <t>speculative</t>
        </is>
      </c>
      <c r="P242" s="3" t="inlineStr">
        <is>
          <t>TPU v5e,TPU v5p,TPU v6e,TPU v7</t>
        </is>
      </c>
      <c r="Q242" s="3" t="inlineStr">
        <is>
          <t>epoch_user_site_equal_split_seed</t>
        </is>
      </c>
      <c r="R242" s="3" t="inlineStr">
        <is>
          <t>SRC_EPOCH_AI_DATA_CENTERS; EPOCH_NORMALIZED_USER_SITES</t>
        </is>
      </c>
      <c r="S242" s="3" t="inlineStr">
        <is>
          <t>Capacity weight is used only to weight accelerator mix, not to overwrite company total power in 02_Inputs.</t>
        </is>
      </c>
    </row>
    <row r="243">
      <c r="A243" s="3" t="inlineStr">
        <is>
          <t>Grid-Constrained / Efficiency-Upside|Google|2028|Google New Albany</t>
        </is>
      </c>
      <c r="B243" s="3" t="inlineStr">
        <is>
          <t>Grid-Constrained / Efficiency-Upside</t>
        </is>
      </c>
      <c r="C243" s="3" t="inlineStr">
        <is>
          <t>Google</t>
        </is>
      </c>
      <c r="D243" s="3" t="n">
        <v>2028</v>
      </c>
      <c r="E243" s="3" t="inlineStr">
        <is>
          <t>Google New Albany</t>
        </is>
      </c>
      <c r="F243" s="3" t="inlineStr">
        <is>
          <t>Google</t>
        </is>
      </c>
      <c r="G243" s="3" t="inlineStr">
        <is>
          <t>United States</t>
        </is>
      </c>
      <c r="H243" s="25" t="n">
        <v>453</v>
      </c>
      <c r="I243" s="17" t="n">
        <v>1</v>
      </c>
      <c r="J243" s="17" t="n">
        <v>0.665</v>
      </c>
      <c r="K243" s="26" t="n">
        <v>0.335</v>
      </c>
      <c r="L243" s="3" t="inlineStr">
        <is>
          <t>2026-08-16</t>
        </is>
      </c>
      <c r="M243" s="27" t="n">
        <v>339</v>
      </c>
      <c r="N243" s="27" t="n">
        <v>453</v>
      </c>
      <c r="O243" s="3" t="inlineStr">
        <is>
          <t>speculative</t>
        </is>
      </c>
      <c r="P243" s="3" t="inlineStr">
        <is>
          <t>TPU v5e,TPU v5p,TPU v6e,TPU v7</t>
        </is>
      </c>
      <c r="Q243" s="3" t="inlineStr">
        <is>
          <t>epoch_user_site_equal_split_seed</t>
        </is>
      </c>
      <c r="R243" s="3" t="inlineStr">
        <is>
          <t>SRC_EPOCH_AI_DATA_CENTERS; EPOCH_NORMALIZED_USER_SITES</t>
        </is>
      </c>
      <c r="S243" s="3" t="inlineStr">
        <is>
          <t>Capacity weight is used only to weight accelerator mix, not to overwrite company total power in 02_Inputs.</t>
        </is>
      </c>
    </row>
    <row r="244">
      <c r="A244" s="3" t="inlineStr">
        <is>
          <t>Grid-Constrained / Efficiency-Upside|Google|2029|Google New Albany</t>
        </is>
      </c>
      <c r="B244" s="3" t="inlineStr">
        <is>
          <t>Grid-Constrained / Efficiency-Upside</t>
        </is>
      </c>
      <c r="C244" s="3" t="inlineStr">
        <is>
          <t>Google</t>
        </is>
      </c>
      <c r="D244" s="3" t="n">
        <v>2029</v>
      </c>
      <c r="E244" s="3" t="inlineStr">
        <is>
          <t>Google New Albany</t>
        </is>
      </c>
      <c r="F244" s="3" t="inlineStr">
        <is>
          <t>Google</t>
        </is>
      </c>
      <c r="G244" s="3" t="inlineStr">
        <is>
          <t>United States</t>
        </is>
      </c>
      <c r="H244" s="25" t="n">
        <v>453</v>
      </c>
      <c r="I244" s="17" t="n">
        <v>1</v>
      </c>
      <c r="J244" s="17" t="n">
        <v>0.713</v>
      </c>
      <c r="K244" s="26" t="n">
        <v>0.287</v>
      </c>
      <c r="L244" s="3" t="inlineStr">
        <is>
          <t>2026-08-16</t>
        </is>
      </c>
      <c r="M244" s="27" t="n">
        <v>339</v>
      </c>
      <c r="N244" s="27" t="n">
        <v>453</v>
      </c>
      <c r="O244" s="3" t="inlineStr">
        <is>
          <t>speculative</t>
        </is>
      </c>
      <c r="P244" s="3" t="inlineStr">
        <is>
          <t>TPU v5e,TPU v5p,TPU v6e,TPU v7</t>
        </is>
      </c>
      <c r="Q244" s="3" t="inlineStr">
        <is>
          <t>epoch_user_site_equal_split_seed</t>
        </is>
      </c>
      <c r="R244" s="3" t="inlineStr">
        <is>
          <t>SRC_EPOCH_AI_DATA_CENTERS; EPOCH_NORMALIZED_USER_SITES</t>
        </is>
      </c>
      <c r="S244" s="3" t="inlineStr">
        <is>
          <t>Capacity weight is used only to weight accelerator mix, not to overwrite company total power in 02_Inputs.</t>
        </is>
      </c>
    </row>
    <row r="245">
      <c r="A245" s="3" t="inlineStr">
        <is>
          <t>Grid-Constrained / Efficiency-Upside|Google|2030|Google New Albany</t>
        </is>
      </c>
      <c r="B245" s="3" t="inlineStr">
        <is>
          <t>Grid-Constrained / Efficiency-Upside</t>
        </is>
      </c>
      <c r="C245" s="3" t="inlineStr">
        <is>
          <t>Google</t>
        </is>
      </c>
      <c r="D245" s="3" t="n">
        <v>2030</v>
      </c>
      <c r="E245" s="3" t="inlineStr">
        <is>
          <t>Google New Albany</t>
        </is>
      </c>
      <c r="F245" s="3" t="inlineStr">
        <is>
          <t>Google</t>
        </is>
      </c>
      <c r="G245" s="3" t="inlineStr">
        <is>
          <t>United States</t>
        </is>
      </c>
      <c r="H245" s="25" t="n">
        <v>453</v>
      </c>
      <c r="I245" s="17" t="n">
        <v>1</v>
      </c>
      <c r="J245" s="17" t="n">
        <v>0.76</v>
      </c>
      <c r="K245" s="26" t="n">
        <v>0.24</v>
      </c>
      <c r="L245" s="3" t="inlineStr">
        <is>
          <t>2026-08-16</t>
        </is>
      </c>
      <c r="M245" s="27" t="n">
        <v>339</v>
      </c>
      <c r="N245" s="27" t="n">
        <v>453</v>
      </c>
      <c r="O245" s="3" t="inlineStr">
        <is>
          <t>speculative</t>
        </is>
      </c>
      <c r="P245" s="3" t="inlineStr">
        <is>
          <t>TPU v5e,TPU v5p,TPU v6e,TPU v7</t>
        </is>
      </c>
      <c r="Q245" s="3" t="inlineStr">
        <is>
          <t>epoch_user_site_equal_split_seed</t>
        </is>
      </c>
      <c r="R245" s="3" t="inlineStr">
        <is>
          <t>SRC_EPOCH_AI_DATA_CENTERS; EPOCH_NORMALIZED_USER_SITES</t>
        </is>
      </c>
      <c r="S245" s="3" t="inlineStr">
        <is>
          <t>Capacity weight is used only to weight accelerator mix, not to overwrite company total power in 02_Inputs.</t>
        </is>
      </c>
    </row>
    <row r="246">
      <c r="A246" s="3" t="inlineStr">
        <is>
          <t>Bear|Google|2026|Google Omaha</t>
        </is>
      </c>
      <c r="B246" s="3" t="inlineStr">
        <is>
          <t>Bear</t>
        </is>
      </c>
      <c r="C246" s="3" t="inlineStr">
        <is>
          <t>Google</t>
        </is>
      </c>
      <c r="D246" s="3" t="n">
        <v>2026</v>
      </c>
      <c r="E246" s="3" t="inlineStr">
        <is>
          <t>Google Omaha</t>
        </is>
      </c>
      <c r="F246" s="3" t="inlineStr">
        <is>
          <t>Google</t>
        </is>
      </c>
      <c r="G246" s="3" t="inlineStr">
        <is>
          <t>United States</t>
        </is>
      </c>
      <c r="H246" s="25" t="n">
        <v>237</v>
      </c>
      <c r="I246" s="17" t="n">
        <v>1</v>
      </c>
      <c r="J246" s="17" t="n">
        <v>0.47</v>
      </c>
      <c r="K246" s="26" t="n">
        <v>0.53</v>
      </c>
      <c r="L246" s="3" t="inlineStr">
        <is>
          <t>2028-07-23</t>
        </is>
      </c>
      <c r="M246" s="27" t="n">
        <v>237</v>
      </c>
      <c r="N246" s="27" t="n">
        <v>395</v>
      </c>
      <c r="O246" s="3" t="inlineStr">
        <is>
          <t>speculative</t>
        </is>
      </c>
      <c r="P246" s="3" t="inlineStr">
        <is>
          <t>TPU v5e,TPU v5p,TPU v6e</t>
        </is>
      </c>
      <c r="Q246" s="3" t="inlineStr">
        <is>
          <t>epoch_user_site_equal_split_seed</t>
        </is>
      </c>
      <c r="R246" s="3" t="inlineStr">
        <is>
          <t>SRC_EPOCH_AI_DATA_CENTERS; EPOCH_NORMALIZED_USER_SITES</t>
        </is>
      </c>
      <c r="S246" s="3" t="inlineStr">
        <is>
          <t>Capacity weight is used only to weight accelerator mix, not to overwrite company total power in 02_Inputs.</t>
        </is>
      </c>
    </row>
    <row r="247">
      <c r="A247" s="3" t="inlineStr">
        <is>
          <t>Bear|Google|2027|Google Omaha</t>
        </is>
      </c>
      <c r="B247" s="3" t="inlineStr">
        <is>
          <t>Bear</t>
        </is>
      </c>
      <c r="C247" s="3" t="inlineStr">
        <is>
          <t>Google</t>
        </is>
      </c>
      <c r="D247" s="3" t="n">
        <v>2027</v>
      </c>
      <c r="E247" s="3" t="inlineStr">
        <is>
          <t>Google Omaha</t>
        </is>
      </c>
      <c r="F247" s="3" t="inlineStr">
        <is>
          <t>Google</t>
        </is>
      </c>
      <c r="G247" s="3" t="inlineStr">
        <is>
          <t>United States</t>
        </is>
      </c>
      <c r="H247" s="25" t="n">
        <v>237</v>
      </c>
      <c r="I247" s="17" t="n">
        <v>1</v>
      </c>
      <c r="J247" s="17" t="n">
        <v>0.508</v>
      </c>
      <c r="K247" s="26" t="n">
        <v>0.492</v>
      </c>
      <c r="L247" s="3" t="inlineStr">
        <is>
          <t>2028-07-23</t>
        </is>
      </c>
      <c r="M247" s="27" t="n">
        <v>237</v>
      </c>
      <c r="N247" s="27" t="n">
        <v>395</v>
      </c>
      <c r="O247" s="3" t="inlineStr">
        <is>
          <t>speculative</t>
        </is>
      </c>
      <c r="P247" s="3" t="inlineStr">
        <is>
          <t>TPU v5e,TPU v5p,TPU v6e</t>
        </is>
      </c>
      <c r="Q247" s="3" t="inlineStr">
        <is>
          <t>epoch_user_site_equal_split_seed</t>
        </is>
      </c>
      <c r="R247" s="3" t="inlineStr">
        <is>
          <t>SRC_EPOCH_AI_DATA_CENTERS; EPOCH_NORMALIZED_USER_SITES</t>
        </is>
      </c>
      <c r="S247" s="3" t="inlineStr">
        <is>
          <t>Capacity weight is used only to weight accelerator mix, not to overwrite company total power in 02_Inputs.</t>
        </is>
      </c>
    </row>
    <row r="248">
      <c r="A248" s="3" t="inlineStr">
        <is>
          <t>Bear|Google|2028|Google Omaha</t>
        </is>
      </c>
      <c r="B248" s="3" t="inlineStr">
        <is>
          <t>Bear</t>
        </is>
      </c>
      <c r="C248" s="3" t="inlineStr">
        <is>
          <t>Google</t>
        </is>
      </c>
      <c r="D248" s="3" t="n">
        <v>2028</v>
      </c>
      <c r="E248" s="3" t="inlineStr">
        <is>
          <t>Google Omaha</t>
        </is>
      </c>
      <c r="F248" s="3" t="inlineStr">
        <is>
          <t>Google</t>
        </is>
      </c>
      <c r="G248" s="3" t="inlineStr">
        <is>
          <t>United States</t>
        </is>
      </c>
      <c r="H248" s="25" t="n">
        <v>395</v>
      </c>
      <c r="I248" s="17" t="n">
        <v>1</v>
      </c>
      <c r="J248" s="17" t="n">
        <v>0.545</v>
      </c>
      <c r="K248" s="26" t="n">
        <v>0.455</v>
      </c>
      <c r="L248" s="3" t="inlineStr">
        <is>
          <t>2028-07-23</t>
        </is>
      </c>
      <c r="M248" s="27" t="n">
        <v>237</v>
      </c>
      <c r="N248" s="27" t="n">
        <v>395</v>
      </c>
      <c r="O248" s="3" t="inlineStr">
        <is>
          <t>speculative</t>
        </is>
      </c>
      <c r="P248" s="3" t="inlineStr">
        <is>
          <t>TPU v5e,TPU v5p,TPU v6e</t>
        </is>
      </c>
      <c r="Q248" s="3" t="inlineStr">
        <is>
          <t>epoch_user_site_equal_split_seed</t>
        </is>
      </c>
      <c r="R248" s="3" t="inlineStr">
        <is>
          <t>SRC_EPOCH_AI_DATA_CENTERS; EPOCH_NORMALIZED_USER_SITES</t>
        </is>
      </c>
      <c r="S248" s="3" t="inlineStr">
        <is>
          <t>Capacity weight is used only to weight accelerator mix, not to overwrite company total power in 02_Inputs.</t>
        </is>
      </c>
    </row>
    <row r="249">
      <c r="A249" s="3" t="inlineStr">
        <is>
          <t>Bear|Google|2029|Google Omaha</t>
        </is>
      </c>
      <c r="B249" s="3" t="inlineStr">
        <is>
          <t>Bear</t>
        </is>
      </c>
      <c r="C249" s="3" t="inlineStr">
        <is>
          <t>Google</t>
        </is>
      </c>
      <c r="D249" s="3" t="n">
        <v>2029</v>
      </c>
      <c r="E249" s="3" t="inlineStr">
        <is>
          <t>Google Omaha</t>
        </is>
      </c>
      <c r="F249" s="3" t="inlineStr">
        <is>
          <t>Google</t>
        </is>
      </c>
      <c r="G249" s="3" t="inlineStr">
        <is>
          <t>United States</t>
        </is>
      </c>
      <c r="H249" s="25" t="n">
        <v>395</v>
      </c>
      <c r="I249" s="17" t="n">
        <v>1</v>
      </c>
      <c r="J249" s="17" t="n">
        <v>0.583</v>
      </c>
      <c r="K249" s="26" t="n">
        <v>0.417</v>
      </c>
      <c r="L249" s="3" t="inlineStr">
        <is>
          <t>2028-07-23</t>
        </is>
      </c>
      <c r="M249" s="27" t="n">
        <v>237</v>
      </c>
      <c r="N249" s="27" t="n">
        <v>395</v>
      </c>
      <c r="O249" s="3" t="inlineStr">
        <is>
          <t>speculative</t>
        </is>
      </c>
      <c r="P249" s="3" t="inlineStr">
        <is>
          <t>TPU v5e,TPU v5p,TPU v6e</t>
        </is>
      </c>
      <c r="Q249" s="3" t="inlineStr">
        <is>
          <t>epoch_user_site_equal_split_seed</t>
        </is>
      </c>
      <c r="R249" s="3" t="inlineStr">
        <is>
          <t>SRC_EPOCH_AI_DATA_CENTERS; EPOCH_NORMALIZED_USER_SITES</t>
        </is>
      </c>
      <c r="S249" s="3" t="inlineStr">
        <is>
          <t>Capacity weight is used only to weight accelerator mix, not to overwrite company total power in 02_Inputs.</t>
        </is>
      </c>
    </row>
    <row r="250">
      <c r="A250" s="3" t="inlineStr">
        <is>
          <t>Bear|Google|2030|Google Omaha</t>
        </is>
      </c>
      <c r="B250" s="3" t="inlineStr">
        <is>
          <t>Bear</t>
        </is>
      </c>
      <c r="C250" s="3" t="inlineStr">
        <is>
          <t>Google</t>
        </is>
      </c>
      <c r="D250" s="3" t="n">
        <v>2030</v>
      </c>
      <c r="E250" s="3" t="inlineStr">
        <is>
          <t>Google Omaha</t>
        </is>
      </c>
      <c r="F250" s="3" t="inlineStr">
        <is>
          <t>Google</t>
        </is>
      </c>
      <c r="G250" s="3" t="inlineStr">
        <is>
          <t>United States</t>
        </is>
      </c>
      <c r="H250" s="25" t="n">
        <v>395</v>
      </c>
      <c r="I250" s="17" t="n">
        <v>1</v>
      </c>
      <c r="J250" s="17" t="n">
        <v>0.62</v>
      </c>
      <c r="K250" s="26" t="n">
        <v>0.38</v>
      </c>
      <c r="L250" s="3" t="inlineStr">
        <is>
          <t>2028-07-23</t>
        </is>
      </c>
      <c r="M250" s="27" t="n">
        <v>237</v>
      </c>
      <c r="N250" s="27" t="n">
        <v>395</v>
      </c>
      <c r="O250" s="3" t="inlineStr">
        <is>
          <t>speculative</t>
        </is>
      </c>
      <c r="P250" s="3" t="inlineStr">
        <is>
          <t>TPU v5e,TPU v5p,TPU v6e</t>
        </is>
      </c>
      <c r="Q250" s="3" t="inlineStr">
        <is>
          <t>epoch_user_site_equal_split_seed</t>
        </is>
      </c>
      <c r="R250" s="3" t="inlineStr">
        <is>
          <t>SRC_EPOCH_AI_DATA_CENTERS; EPOCH_NORMALIZED_USER_SITES</t>
        </is>
      </c>
      <c r="S250" s="3" t="inlineStr">
        <is>
          <t>Capacity weight is used only to weight accelerator mix, not to overwrite company total power in 02_Inputs.</t>
        </is>
      </c>
    </row>
    <row r="251">
      <c r="A251" s="3" t="inlineStr">
        <is>
          <t>Base|Google|2026|Google Omaha</t>
        </is>
      </c>
      <c r="B251" s="3" t="inlineStr">
        <is>
          <t>Base</t>
        </is>
      </c>
      <c r="C251" s="3" t="inlineStr">
        <is>
          <t>Google</t>
        </is>
      </c>
      <c r="D251" s="3" t="n">
        <v>2026</v>
      </c>
      <c r="E251" s="3" t="inlineStr">
        <is>
          <t>Google Omaha</t>
        </is>
      </c>
      <c r="F251" s="3" t="inlineStr">
        <is>
          <t>Google</t>
        </is>
      </c>
      <c r="G251" s="3" t="inlineStr">
        <is>
          <t>United States</t>
        </is>
      </c>
      <c r="H251" s="25" t="n">
        <v>237</v>
      </c>
      <c r="I251" s="17" t="n">
        <v>1</v>
      </c>
      <c r="J251" s="17" t="n">
        <v>0.55</v>
      </c>
      <c r="K251" s="26" t="n">
        <v>0.45</v>
      </c>
      <c r="L251" s="3" t="inlineStr">
        <is>
          <t>2028-07-23</t>
        </is>
      </c>
      <c r="M251" s="27" t="n">
        <v>237</v>
      </c>
      <c r="N251" s="27" t="n">
        <v>395</v>
      </c>
      <c r="O251" s="3" t="inlineStr">
        <is>
          <t>speculative</t>
        </is>
      </c>
      <c r="P251" s="3" t="inlineStr">
        <is>
          <t>TPU v5e,TPU v5p,TPU v6e</t>
        </is>
      </c>
      <c r="Q251" s="3" t="inlineStr">
        <is>
          <t>epoch_user_site_equal_split_seed</t>
        </is>
      </c>
      <c r="R251" s="3" t="inlineStr">
        <is>
          <t>SRC_EPOCH_AI_DATA_CENTERS; EPOCH_NORMALIZED_USER_SITES</t>
        </is>
      </c>
      <c r="S251" s="3" t="inlineStr">
        <is>
          <t>Capacity weight is used only to weight accelerator mix, not to overwrite company total power in 02_Inputs.</t>
        </is>
      </c>
    </row>
    <row r="252">
      <c r="A252" s="3" t="inlineStr">
        <is>
          <t>Base|Google|2027|Google Omaha</t>
        </is>
      </c>
      <c r="B252" s="3" t="inlineStr">
        <is>
          <t>Base</t>
        </is>
      </c>
      <c r="C252" s="3" t="inlineStr">
        <is>
          <t>Google</t>
        </is>
      </c>
      <c r="D252" s="3" t="n">
        <v>2027</v>
      </c>
      <c r="E252" s="3" t="inlineStr">
        <is>
          <t>Google Omaha</t>
        </is>
      </c>
      <c r="F252" s="3" t="inlineStr">
        <is>
          <t>Google</t>
        </is>
      </c>
      <c r="G252" s="3" t="inlineStr">
        <is>
          <t>United States</t>
        </is>
      </c>
      <c r="H252" s="25" t="n">
        <v>237</v>
      </c>
      <c r="I252" s="17" t="n">
        <v>1</v>
      </c>
      <c r="J252" s="17" t="n">
        <v>0.593</v>
      </c>
      <c r="K252" s="26" t="n">
        <v>0.407</v>
      </c>
      <c r="L252" s="3" t="inlineStr">
        <is>
          <t>2028-07-23</t>
        </is>
      </c>
      <c r="M252" s="27" t="n">
        <v>237</v>
      </c>
      <c r="N252" s="27" t="n">
        <v>395</v>
      </c>
      <c r="O252" s="3" t="inlineStr">
        <is>
          <t>speculative</t>
        </is>
      </c>
      <c r="P252" s="3" t="inlineStr">
        <is>
          <t>TPU v5e,TPU v5p,TPU v6e</t>
        </is>
      </c>
      <c r="Q252" s="3" t="inlineStr">
        <is>
          <t>epoch_user_site_equal_split_seed</t>
        </is>
      </c>
      <c r="R252" s="3" t="inlineStr">
        <is>
          <t>SRC_EPOCH_AI_DATA_CENTERS; EPOCH_NORMALIZED_USER_SITES</t>
        </is>
      </c>
      <c r="S252" s="3" t="inlineStr">
        <is>
          <t>Capacity weight is used only to weight accelerator mix, not to overwrite company total power in 02_Inputs.</t>
        </is>
      </c>
    </row>
    <row r="253">
      <c r="A253" s="3" t="inlineStr">
        <is>
          <t>Base|Google|2028|Google Omaha</t>
        </is>
      </c>
      <c r="B253" s="3" t="inlineStr">
        <is>
          <t>Base</t>
        </is>
      </c>
      <c r="C253" s="3" t="inlineStr">
        <is>
          <t>Google</t>
        </is>
      </c>
      <c r="D253" s="3" t="n">
        <v>2028</v>
      </c>
      <c r="E253" s="3" t="inlineStr">
        <is>
          <t>Google Omaha</t>
        </is>
      </c>
      <c r="F253" s="3" t="inlineStr">
        <is>
          <t>Google</t>
        </is>
      </c>
      <c r="G253" s="3" t="inlineStr">
        <is>
          <t>United States</t>
        </is>
      </c>
      <c r="H253" s="25" t="n">
        <v>395</v>
      </c>
      <c r="I253" s="17" t="n">
        <v>1</v>
      </c>
      <c r="J253" s="17" t="n">
        <v>0.635</v>
      </c>
      <c r="K253" s="26" t="n">
        <v>0.365</v>
      </c>
      <c r="L253" s="3" t="inlineStr">
        <is>
          <t>2028-07-23</t>
        </is>
      </c>
      <c r="M253" s="27" t="n">
        <v>237</v>
      </c>
      <c r="N253" s="27" t="n">
        <v>395</v>
      </c>
      <c r="O253" s="3" t="inlineStr">
        <is>
          <t>speculative</t>
        </is>
      </c>
      <c r="P253" s="3" t="inlineStr">
        <is>
          <t>TPU v5e,TPU v5p,TPU v6e</t>
        </is>
      </c>
      <c r="Q253" s="3" t="inlineStr">
        <is>
          <t>epoch_user_site_equal_split_seed</t>
        </is>
      </c>
      <c r="R253" s="3" t="inlineStr">
        <is>
          <t>SRC_EPOCH_AI_DATA_CENTERS; EPOCH_NORMALIZED_USER_SITES</t>
        </is>
      </c>
      <c r="S253" s="3" t="inlineStr">
        <is>
          <t>Capacity weight is used only to weight accelerator mix, not to overwrite company total power in 02_Inputs.</t>
        </is>
      </c>
    </row>
    <row r="254">
      <c r="A254" s="3" t="inlineStr">
        <is>
          <t>Base|Google|2029|Google Omaha</t>
        </is>
      </c>
      <c r="B254" s="3" t="inlineStr">
        <is>
          <t>Base</t>
        </is>
      </c>
      <c r="C254" s="3" t="inlineStr">
        <is>
          <t>Google</t>
        </is>
      </c>
      <c r="D254" s="3" t="n">
        <v>2029</v>
      </c>
      <c r="E254" s="3" t="inlineStr">
        <is>
          <t>Google Omaha</t>
        </is>
      </c>
      <c r="F254" s="3" t="inlineStr">
        <is>
          <t>Google</t>
        </is>
      </c>
      <c r="G254" s="3" t="inlineStr">
        <is>
          <t>United States</t>
        </is>
      </c>
      <c r="H254" s="25" t="n">
        <v>395</v>
      </c>
      <c r="I254" s="17" t="n">
        <v>1</v>
      </c>
      <c r="J254" s="17" t="n">
        <v>0.677</v>
      </c>
      <c r="K254" s="26" t="n">
        <v>0.323</v>
      </c>
      <c r="L254" s="3" t="inlineStr">
        <is>
          <t>2028-07-23</t>
        </is>
      </c>
      <c r="M254" s="27" t="n">
        <v>237</v>
      </c>
      <c r="N254" s="27" t="n">
        <v>395</v>
      </c>
      <c r="O254" s="3" t="inlineStr">
        <is>
          <t>speculative</t>
        </is>
      </c>
      <c r="P254" s="3" t="inlineStr">
        <is>
          <t>TPU v5e,TPU v5p,TPU v6e</t>
        </is>
      </c>
      <c r="Q254" s="3" t="inlineStr">
        <is>
          <t>epoch_user_site_equal_split_seed</t>
        </is>
      </c>
      <c r="R254" s="3" t="inlineStr">
        <is>
          <t>SRC_EPOCH_AI_DATA_CENTERS; EPOCH_NORMALIZED_USER_SITES</t>
        </is>
      </c>
      <c r="S254" s="3" t="inlineStr">
        <is>
          <t>Capacity weight is used only to weight accelerator mix, not to overwrite company total power in 02_Inputs.</t>
        </is>
      </c>
    </row>
    <row r="255">
      <c r="A255" s="3" t="inlineStr">
        <is>
          <t>Base|Google|2030|Google Omaha</t>
        </is>
      </c>
      <c r="B255" s="3" t="inlineStr">
        <is>
          <t>Base</t>
        </is>
      </c>
      <c r="C255" s="3" t="inlineStr">
        <is>
          <t>Google</t>
        </is>
      </c>
      <c r="D255" s="3" t="n">
        <v>2030</v>
      </c>
      <c r="E255" s="3" t="inlineStr">
        <is>
          <t>Google Omaha</t>
        </is>
      </c>
      <c r="F255" s="3" t="inlineStr">
        <is>
          <t>Google</t>
        </is>
      </c>
      <c r="G255" s="3" t="inlineStr">
        <is>
          <t>United States</t>
        </is>
      </c>
      <c r="H255" s="25" t="n">
        <v>395</v>
      </c>
      <c r="I255" s="17" t="n">
        <v>1</v>
      </c>
      <c r="J255" s="17" t="n">
        <v>0.72</v>
      </c>
      <c r="K255" s="26" t="n">
        <v>0.28</v>
      </c>
      <c r="L255" s="3" t="inlineStr">
        <is>
          <t>2028-07-23</t>
        </is>
      </c>
      <c r="M255" s="27" t="n">
        <v>237</v>
      </c>
      <c r="N255" s="27" t="n">
        <v>395</v>
      </c>
      <c r="O255" s="3" t="inlineStr">
        <is>
          <t>speculative</t>
        </is>
      </c>
      <c r="P255" s="3" t="inlineStr">
        <is>
          <t>TPU v5e,TPU v5p,TPU v6e</t>
        </is>
      </c>
      <c r="Q255" s="3" t="inlineStr">
        <is>
          <t>epoch_user_site_equal_split_seed</t>
        </is>
      </c>
      <c r="R255" s="3" t="inlineStr">
        <is>
          <t>SRC_EPOCH_AI_DATA_CENTERS; EPOCH_NORMALIZED_USER_SITES</t>
        </is>
      </c>
      <c r="S255" s="3" t="inlineStr">
        <is>
          <t>Capacity weight is used only to weight accelerator mix, not to overwrite company total power in 02_Inputs.</t>
        </is>
      </c>
    </row>
    <row r="256">
      <c r="A256" s="3" t="inlineStr">
        <is>
          <t>Bull|Google|2026|Google Omaha</t>
        </is>
      </c>
      <c r="B256" s="3" t="inlineStr">
        <is>
          <t>Bull</t>
        </is>
      </c>
      <c r="C256" s="3" t="inlineStr">
        <is>
          <t>Google</t>
        </is>
      </c>
      <c r="D256" s="3" t="n">
        <v>2026</v>
      </c>
      <c r="E256" s="3" t="inlineStr">
        <is>
          <t>Google Omaha</t>
        </is>
      </c>
      <c r="F256" s="3" t="inlineStr">
        <is>
          <t>Google</t>
        </is>
      </c>
      <c r="G256" s="3" t="inlineStr">
        <is>
          <t>United States</t>
        </is>
      </c>
      <c r="H256" s="25" t="n">
        <v>237</v>
      </c>
      <c r="I256" s="17" t="n">
        <v>1</v>
      </c>
      <c r="J256" s="17" t="n">
        <v>0.6</v>
      </c>
      <c r="K256" s="26" t="n">
        <v>0.4</v>
      </c>
      <c r="L256" s="3" t="inlineStr">
        <is>
          <t>2028-07-23</t>
        </is>
      </c>
      <c r="M256" s="27" t="n">
        <v>237</v>
      </c>
      <c r="N256" s="27" t="n">
        <v>395</v>
      </c>
      <c r="O256" s="3" t="inlineStr">
        <is>
          <t>speculative</t>
        </is>
      </c>
      <c r="P256" s="3" t="inlineStr">
        <is>
          <t>TPU v5e,TPU v5p,TPU v6e</t>
        </is>
      </c>
      <c r="Q256" s="3" t="inlineStr">
        <is>
          <t>epoch_user_site_equal_split_seed</t>
        </is>
      </c>
      <c r="R256" s="3" t="inlineStr">
        <is>
          <t>SRC_EPOCH_AI_DATA_CENTERS; EPOCH_NORMALIZED_USER_SITES</t>
        </is>
      </c>
      <c r="S256" s="3" t="inlineStr">
        <is>
          <t>Capacity weight is used only to weight accelerator mix, not to overwrite company total power in 02_Inputs.</t>
        </is>
      </c>
    </row>
    <row r="257">
      <c r="A257" s="3" t="inlineStr">
        <is>
          <t>Bull|Google|2027|Google Omaha</t>
        </is>
      </c>
      <c r="B257" s="3" t="inlineStr">
        <is>
          <t>Bull</t>
        </is>
      </c>
      <c r="C257" s="3" t="inlineStr">
        <is>
          <t>Google</t>
        </is>
      </c>
      <c r="D257" s="3" t="n">
        <v>2027</v>
      </c>
      <c r="E257" s="3" t="inlineStr">
        <is>
          <t>Google Omaha</t>
        </is>
      </c>
      <c r="F257" s="3" t="inlineStr">
        <is>
          <t>Google</t>
        </is>
      </c>
      <c r="G257" s="3" t="inlineStr">
        <is>
          <t>United States</t>
        </is>
      </c>
      <c r="H257" s="25" t="n">
        <v>237</v>
      </c>
      <c r="I257" s="17" t="n">
        <v>1</v>
      </c>
      <c r="J257" s="17" t="n">
        <v>0.65</v>
      </c>
      <c r="K257" s="26" t="n">
        <v>0.35</v>
      </c>
      <c r="L257" s="3" t="inlineStr">
        <is>
          <t>2028-07-23</t>
        </is>
      </c>
      <c r="M257" s="27" t="n">
        <v>237</v>
      </c>
      <c r="N257" s="27" t="n">
        <v>395</v>
      </c>
      <c r="O257" s="3" t="inlineStr">
        <is>
          <t>speculative</t>
        </is>
      </c>
      <c r="P257" s="3" t="inlineStr">
        <is>
          <t>TPU v5e,TPU v5p,TPU v6e</t>
        </is>
      </c>
      <c r="Q257" s="3" t="inlineStr">
        <is>
          <t>epoch_user_site_equal_split_seed</t>
        </is>
      </c>
      <c r="R257" s="3" t="inlineStr">
        <is>
          <t>SRC_EPOCH_AI_DATA_CENTERS; EPOCH_NORMALIZED_USER_SITES</t>
        </is>
      </c>
      <c r="S257" s="3" t="inlineStr">
        <is>
          <t>Capacity weight is used only to weight accelerator mix, not to overwrite company total power in 02_Inputs.</t>
        </is>
      </c>
    </row>
    <row r="258">
      <c r="A258" s="3" t="inlineStr">
        <is>
          <t>Bull|Google|2028|Google Omaha</t>
        </is>
      </c>
      <c r="B258" s="3" t="inlineStr">
        <is>
          <t>Bull</t>
        </is>
      </c>
      <c r="C258" s="3" t="inlineStr">
        <is>
          <t>Google</t>
        </is>
      </c>
      <c r="D258" s="3" t="n">
        <v>2028</v>
      </c>
      <c r="E258" s="3" t="inlineStr">
        <is>
          <t>Google Omaha</t>
        </is>
      </c>
      <c r="F258" s="3" t="inlineStr">
        <is>
          <t>Google</t>
        </is>
      </c>
      <c r="G258" s="3" t="inlineStr">
        <is>
          <t>United States</t>
        </is>
      </c>
      <c r="H258" s="25" t="n">
        <v>395</v>
      </c>
      <c r="I258" s="17" t="n">
        <v>1</v>
      </c>
      <c r="J258" s="17" t="n">
        <v>0.7</v>
      </c>
      <c r="K258" s="26" t="n">
        <v>0.3</v>
      </c>
      <c r="L258" s="3" t="inlineStr">
        <is>
          <t>2028-07-23</t>
        </is>
      </c>
      <c r="M258" s="27" t="n">
        <v>237</v>
      </c>
      <c r="N258" s="27" t="n">
        <v>395</v>
      </c>
      <c r="O258" s="3" t="inlineStr">
        <is>
          <t>speculative</t>
        </is>
      </c>
      <c r="P258" s="3" t="inlineStr">
        <is>
          <t>TPU v5e,TPU v5p,TPU v6e</t>
        </is>
      </c>
      <c r="Q258" s="3" t="inlineStr">
        <is>
          <t>epoch_user_site_equal_split_seed</t>
        </is>
      </c>
      <c r="R258" s="3" t="inlineStr">
        <is>
          <t>SRC_EPOCH_AI_DATA_CENTERS; EPOCH_NORMALIZED_USER_SITES</t>
        </is>
      </c>
      <c r="S258" s="3" t="inlineStr">
        <is>
          <t>Capacity weight is used only to weight accelerator mix, not to overwrite company total power in 02_Inputs.</t>
        </is>
      </c>
    </row>
    <row r="259">
      <c r="A259" s="3" t="inlineStr">
        <is>
          <t>Bull|Google|2029|Google Omaha</t>
        </is>
      </c>
      <c r="B259" s="3" t="inlineStr">
        <is>
          <t>Bull</t>
        </is>
      </c>
      <c r="C259" s="3" t="inlineStr">
        <is>
          <t>Google</t>
        </is>
      </c>
      <c r="D259" s="3" t="n">
        <v>2029</v>
      </c>
      <c r="E259" s="3" t="inlineStr">
        <is>
          <t>Google Omaha</t>
        </is>
      </c>
      <c r="F259" s="3" t="inlineStr">
        <is>
          <t>Google</t>
        </is>
      </c>
      <c r="G259" s="3" t="inlineStr">
        <is>
          <t>United States</t>
        </is>
      </c>
      <c r="H259" s="25" t="n">
        <v>395</v>
      </c>
      <c r="I259" s="17" t="n">
        <v>1</v>
      </c>
      <c r="J259" s="17" t="n">
        <v>0.75</v>
      </c>
      <c r="K259" s="26" t="n">
        <v>0.25</v>
      </c>
      <c r="L259" s="3" t="inlineStr">
        <is>
          <t>2028-07-23</t>
        </is>
      </c>
      <c r="M259" s="27" t="n">
        <v>237</v>
      </c>
      <c r="N259" s="27" t="n">
        <v>395</v>
      </c>
      <c r="O259" s="3" t="inlineStr">
        <is>
          <t>speculative</t>
        </is>
      </c>
      <c r="P259" s="3" t="inlineStr">
        <is>
          <t>TPU v5e,TPU v5p,TPU v6e</t>
        </is>
      </c>
      <c r="Q259" s="3" t="inlineStr">
        <is>
          <t>epoch_user_site_equal_split_seed</t>
        </is>
      </c>
      <c r="R259" s="3" t="inlineStr">
        <is>
          <t>SRC_EPOCH_AI_DATA_CENTERS; EPOCH_NORMALIZED_USER_SITES</t>
        </is>
      </c>
      <c r="S259" s="3" t="inlineStr">
        <is>
          <t>Capacity weight is used only to weight accelerator mix, not to overwrite company total power in 02_Inputs.</t>
        </is>
      </c>
    </row>
    <row r="260">
      <c r="A260" s="3" t="inlineStr">
        <is>
          <t>Bull|Google|2030|Google Omaha</t>
        </is>
      </c>
      <c r="B260" s="3" t="inlineStr">
        <is>
          <t>Bull</t>
        </is>
      </c>
      <c r="C260" s="3" t="inlineStr">
        <is>
          <t>Google</t>
        </is>
      </c>
      <c r="D260" s="3" t="n">
        <v>2030</v>
      </c>
      <c r="E260" s="3" t="inlineStr">
        <is>
          <t>Google Omaha</t>
        </is>
      </c>
      <c r="F260" s="3" t="inlineStr">
        <is>
          <t>Google</t>
        </is>
      </c>
      <c r="G260" s="3" t="inlineStr">
        <is>
          <t>United States</t>
        </is>
      </c>
      <c r="H260" s="25" t="n">
        <v>395</v>
      </c>
      <c r="I260" s="17" t="n">
        <v>1</v>
      </c>
      <c r="J260" s="17" t="n">
        <v>0.8</v>
      </c>
      <c r="K260" s="26" t="n">
        <v>0.2</v>
      </c>
      <c r="L260" s="3" t="inlineStr">
        <is>
          <t>2028-07-23</t>
        </is>
      </c>
      <c r="M260" s="27" t="n">
        <v>237</v>
      </c>
      <c r="N260" s="27" t="n">
        <v>395</v>
      </c>
      <c r="O260" s="3" t="inlineStr">
        <is>
          <t>speculative</t>
        </is>
      </c>
      <c r="P260" s="3" t="inlineStr">
        <is>
          <t>TPU v5e,TPU v5p,TPU v6e</t>
        </is>
      </c>
      <c r="Q260" s="3" t="inlineStr">
        <is>
          <t>epoch_user_site_equal_split_seed</t>
        </is>
      </c>
      <c r="R260" s="3" t="inlineStr">
        <is>
          <t>SRC_EPOCH_AI_DATA_CENTERS; EPOCH_NORMALIZED_USER_SITES</t>
        </is>
      </c>
      <c r="S260" s="3" t="inlineStr">
        <is>
          <t>Capacity weight is used only to weight accelerator mix, not to overwrite company total power in 02_Inputs.</t>
        </is>
      </c>
    </row>
    <row r="261">
      <c r="A261" s="3" t="inlineStr">
        <is>
          <t>Grid-Constrained / Efficiency-Upside|Google|2026|Google Omaha</t>
        </is>
      </c>
      <c r="B261" s="3" t="inlineStr">
        <is>
          <t>Grid-Constrained / Efficiency-Upside</t>
        </is>
      </c>
      <c r="C261" s="3" t="inlineStr">
        <is>
          <t>Google</t>
        </is>
      </c>
      <c r="D261" s="3" t="n">
        <v>2026</v>
      </c>
      <c r="E261" s="3" t="inlineStr">
        <is>
          <t>Google Omaha</t>
        </is>
      </c>
      <c r="F261" s="3" t="inlineStr">
        <is>
          <t>Google</t>
        </is>
      </c>
      <c r="G261" s="3" t="inlineStr">
        <is>
          <t>United States</t>
        </is>
      </c>
      <c r="H261" s="25" t="n">
        <v>237</v>
      </c>
      <c r="I261" s="17" t="n">
        <v>1</v>
      </c>
      <c r="J261" s="17" t="n">
        <v>0.57</v>
      </c>
      <c r="K261" s="26" t="n">
        <v>0.43</v>
      </c>
      <c r="L261" s="3" t="inlineStr">
        <is>
          <t>2028-07-23</t>
        </is>
      </c>
      <c r="M261" s="27" t="n">
        <v>237</v>
      </c>
      <c r="N261" s="27" t="n">
        <v>395</v>
      </c>
      <c r="O261" s="3" t="inlineStr">
        <is>
          <t>speculative</t>
        </is>
      </c>
      <c r="P261" s="3" t="inlineStr">
        <is>
          <t>TPU v5e,TPU v5p,TPU v6e</t>
        </is>
      </c>
      <c r="Q261" s="3" t="inlineStr">
        <is>
          <t>epoch_user_site_equal_split_seed</t>
        </is>
      </c>
      <c r="R261" s="3" t="inlineStr">
        <is>
          <t>SRC_EPOCH_AI_DATA_CENTERS; EPOCH_NORMALIZED_USER_SITES</t>
        </is>
      </c>
      <c r="S261" s="3" t="inlineStr">
        <is>
          <t>Capacity weight is used only to weight accelerator mix, not to overwrite company total power in 02_Inputs.</t>
        </is>
      </c>
    </row>
    <row r="262">
      <c r="A262" s="3" t="inlineStr">
        <is>
          <t>Grid-Constrained / Efficiency-Upside|Google|2027|Google Omaha</t>
        </is>
      </c>
      <c r="B262" s="3" t="inlineStr">
        <is>
          <t>Grid-Constrained / Efficiency-Upside</t>
        </is>
      </c>
      <c r="C262" s="3" t="inlineStr">
        <is>
          <t>Google</t>
        </is>
      </c>
      <c r="D262" s="3" t="n">
        <v>2027</v>
      </c>
      <c r="E262" s="3" t="inlineStr">
        <is>
          <t>Google Omaha</t>
        </is>
      </c>
      <c r="F262" s="3" t="inlineStr">
        <is>
          <t>Google</t>
        </is>
      </c>
      <c r="G262" s="3" t="inlineStr">
        <is>
          <t>United States</t>
        </is>
      </c>
      <c r="H262" s="25" t="n">
        <v>237</v>
      </c>
      <c r="I262" s="17" t="n">
        <v>1</v>
      </c>
      <c r="J262" s="17" t="n">
        <v>0.618</v>
      </c>
      <c r="K262" s="26" t="n">
        <v>0.382</v>
      </c>
      <c r="L262" s="3" t="inlineStr">
        <is>
          <t>2028-07-23</t>
        </is>
      </c>
      <c r="M262" s="27" t="n">
        <v>237</v>
      </c>
      <c r="N262" s="27" t="n">
        <v>395</v>
      </c>
      <c r="O262" s="3" t="inlineStr">
        <is>
          <t>speculative</t>
        </is>
      </c>
      <c r="P262" s="3" t="inlineStr">
        <is>
          <t>TPU v5e,TPU v5p,TPU v6e</t>
        </is>
      </c>
      <c r="Q262" s="3" t="inlineStr">
        <is>
          <t>epoch_user_site_equal_split_seed</t>
        </is>
      </c>
      <c r="R262" s="3" t="inlineStr">
        <is>
          <t>SRC_EPOCH_AI_DATA_CENTERS; EPOCH_NORMALIZED_USER_SITES</t>
        </is>
      </c>
      <c r="S262" s="3" t="inlineStr">
        <is>
          <t>Capacity weight is used only to weight accelerator mix, not to overwrite company total power in 02_Inputs.</t>
        </is>
      </c>
    </row>
    <row r="263">
      <c r="A263" s="3" t="inlineStr">
        <is>
          <t>Grid-Constrained / Efficiency-Upside|Google|2028|Google Omaha</t>
        </is>
      </c>
      <c r="B263" s="3" t="inlineStr">
        <is>
          <t>Grid-Constrained / Efficiency-Upside</t>
        </is>
      </c>
      <c r="C263" s="3" t="inlineStr">
        <is>
          <t>Google</t>
        </is>
      </c>
      <c r="D263" s="3" t="n">
        <v>2028</v>
      </c>
      <c r="E263" s="3" t="inlineStr">
        <is>
          <t>Google Omaha</t>
        </is>
      </c>
      <c r="F263" s="3" t="inlineStr">
        <is>
          <t>Google</t>
        </is>
      </c>
      <c r="G263" s="3" t="inlineStr">
        <is>
          <t>United States</t>
        </is>
      </c>
      <c r="H263" s="25" t="n">
        <v>395</v>
      </c>
      <c r="I263" s="17" t="n">
        <v>1</v>
      </c>
      <c r="J263" s="17" t="n">
        <v>0.665</v>
      </c>
      <c r="K263" s="26" t="n">
        <v>0.335</v>
      </c>
      <c r="L263" s="3" t="inlineStr">
        <is>
          <t>2028-07-23</t>
        </is>
      </c>
      <c r="M263" s="27" t="n">
        <v>237</v>
      </c>
      <c r="N263" s="27" t="n">
        <v>395</v>
      </c>
      <c r="O263" s="3" t="inlineStr">
        <is>
          <t>speculative</t>
        </is>
      </c>
      <c r="P263" s="3" t="inlineStr">
        <is>
          <t>TPU v5e,TPU v5p,TPU v6e</t>
        </is>
      </c>
      <c r="Q263" s="3" t="inlineStr">
        <is>
          <t>epoch_user_site_equal_split_seed</t>
        </is>
      </c>
      <c r="R263" s="3" t="inlineStr">
        <is>
          <t>SRC_EPOCH_AI_DATA_CENTERS; EPOCH_NORMALIZED_USER_SITES</t>
        </is>
      </c>
      <c r="S263" s="3" t="inlineStr">
        <is>
          <t>Capacity weight is used only to weight accelerator mix, not to overwrite company total power in 02_Inputs.</t>
        </is>
      </c>
    </row>
    <row r="264">
      <c r="A264" s="3" t="inlineStr">
        <is>
          <t>Grid-Constrained / Efficiency-Upside|Google|2029|Google Omaha</t>
        </is>
      </c>
      <c r="B264" s="3" t="inlineStr">
        <is>
          <t>Grid-Constrained / Efficiency-Upside</t>
        </is>
      </c>
      <c r="C264" s="3" t="inlineStr">
        <is>
          <t>Google</t>
        </is>
      </c>
      <c r="D264" s="3" t="n">
        <v>2029</v>
      </c>
      <c r="E264" s="3" t="inlineStr">
        <is>
          <t>Google Omaha</t>
        </is>
      </c>
      <c r="F264" s="3" t="inlineStr">
        <is>
          <t>Google</t>
        </is>
      </c>
      <c r="G264" s="3" t="inlineStr">
        <is>
          <t>United States</t>
        </is>
      </c>
      <c r="H264" s="25" t="n">
        <v>395</v>
      </c>
      <c r="I264" s="17" t="n">
        <v>1</v>
      </c>
      <c r="J264" s="17" t="n">
        <v>0.713</v>
      </c>
      <c r="K264" s="26" t="n">
        <v>0.287</v>
      </c>
      <c r="L264" s="3" t="inlineStr">
        <is>
          <t>2028-07-23</t>
        </is>
      </c>
      <c r="M264" s="27" t="n">
        <v>237</v>
      </c>
      <c r="N264" s="27" t="n">
        <v>395</v>
      </c>
      <c r="O264" s="3" t="inlineStr">
        <is>
          <t>speculative</t>
        </is>
      </c>
      <c r="P264" s="3" t="inlineStr">
        <is>
          <t>TPU v5e,TPU v5p,TPU v6e</t>
        </is>
      </c>
      <c r="Q264" s="3" t="inlineStr">
        <is>
          <t>epoch_user_site_equal_split_seed</t>
        </is>
      </c>
      <c r="R264" s="3" t="inlineStr">
        <is>
          <t>SRC_EPOCH_AI_DATA_CENTERS; EPOCH_NORMALIZED_USER_SITES</t>
        </is>
      </c>
      <c r="S264" s="3" t="inlineStr">
        <is>
          <t>Capacity weight is used only to weight accelerator mix, not to overwrite company total power in 02_Inputs.</t>
        </is>
      </c>
    </row>
    <row r="265">
      <c r="A265" s="3" t="inlineStr">
        <is>
          <t>Grid-Constrained / Efficiency-Upside|Google|2030|Google Omaha</t>
        </is>
      </c>
      <c r="B265" s="3" t="inlineStr">
        <is>
          <t>Grid-Constrained / Efficiency-Upside</t>
        </is>
      </c>
      <c r="C265" s="3" t="inlineStr">
        <is>
          <t>Google</t>
        </is>
      </c>
      <c r="D265" s="3" t="n">
        <v>2030</v>
      </c>
      <c r="E265" s="3" t="inlineStr">
        <is>
          <t>Google Omaha</t>
        </is>
      </c>
      <c r="F265" s="3" t="inlineStr">
        <is>
          <t>Google</t>
        </is>
      </c>
      <c r="G265" s="3" t="inlineStr">
        <is>
          <t>United States</t>
        </is>
      </c>
      <c r="H265" s="25" t="n">
        <v>395</v>
      </c>
      <c r="I265" s="17" t="n">
        <v>1</v>
      </c>
      <c r="J265" s="17" t="n">
        <v>0.76</v>
      </c>
      <c r="K265" s="26" t="n">
        <v>0.24</v>
      </c>
      <c r="L265" s="3" t="inlineStr">
        <is>
          <t>2028-07-23</t>
        </is>
      </c>
      <c r="M265" s="27" t="n">
        <v>237</v>
      </c>
      <c r="N265" s="27" t="n">
        <v>395</v>
      </c>
      <c r="O265" s="3" t="inlineStr">
        <is>
          <t>speculative</t>
        </is>
      </c>
      <c r="P265" s="3" t="inlineStr">
        <is>
          <t>TPU v5e,TPU v5p,TPU v6e</t>
        </is>
      </c>
      <c r="Q265" s="3" t="inlineStr">
        <is>
          <t>epoch_user_site_equal_split_seed</t>
        </is>
      </c>
      <c r="R265" s="3" t="inlineStr">
        <is>
          <t>SRC_EPOCH_AI_DATA_CENTERS; EPOCH_NORMALIZED_USER_SITES</t>
        </is>
      </c>
      <c r="S265" s="3" t="inlineStr">
        <is>
          <t>Capacity weight is used only to weight accelerator mix, not to overwrite company total power in 02_Inputs.</t>
        </is>
      </c>
    </row>
    <row r="266">
      <c r="A266" s="3" t="inlineStr">
        <is>
          <t>Bear|Google|2026|Google Papillion</t>
        </is>
      </c>
      <c r="B266" s="3" t="inlineStr">
        <is>
          <t>Bear</t>
        </is>
      </c>
      <c r="C266" s="3" t="inlineStr">
        <is>
          <t>Google</t>
        </is>
      </c>
      <c r="D266" s="3" t="n">
        <v>2026</v>
      </c>
      <c r="E266" s="3" t="inlineStr">
        <is>
          <t>Google Papillion</t>
        </is>
      </c>
      <c r="F266" s="3" t="inlineStr">
        <is>
          <t>Google</t>
        </is>
      </c>
      <c r="G266" s="3" t="inlineStr">
        <is>
          <t>United States</t>
        </is>
      </c>
      <c r="H266" s="25" t="n">
        <v>237</v>
      </c>
      <c r="I266" s="17" t="n">
        <v>1</v>
      </c>
      <c r="J266" s="17" t="n">
        <v>0.47</v>
      </c>
      <c r="K266" s="26" t="n">
        <v>0.53</v>
      </c>
      <c r="L266" s="3" t="inlineStr">
        <is>
          <t>2024-08-03</t>
        </is>
      </c>
      <c r="M266" s="27" t="n">
        <v>237</v>
      </c>
      <c r="N266" s="27" t="n">
        <v>237</v>
      </c>
      <c r="O266" s="3" t="inlineStr">
        <is>
          <t>speculative</t>
        </is>
      </c>
      <c r="P266" s="3" t="inlineStr">
        <is>
          <t>TPU v4,TPU v5e,TPU v6e,TPU v5p</t>
        </is>
      </c>
      <c r="Q266" s="3" t="inlineStr">
        <is>
          <t>epoch_user_site_equal_split_seed</t>
        </is>
      </c>
      <c r="R266" s="3" t="inlineStr">
        <is>
          <t>SRC_EPOCH_AI_DATA_CENTERS; EPOCH_NORMALIZED_USER_SITES</t>
        </is>
      </c>
      <c r="S266" s="3" t="inlineStr">
        <is>
          <t>Capacity weight is used only to weight accelerator mix, not to overwrite company total power in 02_Inputs.</t>
        </is>
      </c>
    </row>
    <row r="267">
      <c r="A267" s="3" t="inlineStr">
        <is>
          <t>Bear|Google|2027|Google Papillion</t>
        </is>
      </c>
      <c r="B267" s="3" t="inlineStr">
        <is>
          <t>Bear</t>
        </is>
      </c>
      <c r="C267" s="3" t="inlineStr">
        <is>
          <t>Google</t>
        </is>
      </c>
      <c r="D267" s="3" t="n">
        <v>2027</v>
      </c>
      <c r="E267" s="3" t="inlineStr">
        <is>
          <t>Google Papillion</t>
        </is>
      </c>
      <c r="F267" s="3" t="inlineStr">
        <is>
          <t>Google</t>
        </is>
      </c>
      <c r="G267" s="3" t="inlineStr">
        <is>
          <t>United States</t>
        </is>
      </c>
      <c r="H267" s="25" t="n">
        <v>237</v>
      </c>
      <c r="I267" s="17" t="n">
        <v>1</v>
      </c>
      <c r="J267" s="17" t="n">
        <v>0.508</v>
      </c>
      <c r="K267" s="26" t="n">
        <v>0.492</v>
      </c>
      <c r="L267" s="3" t="inlineStr">
        <is>
          <t>2024-08-03</t>
        </is>
      </c>
      <c r="M267" s="27" t="n">
        <v>237</v>
      </c>
      <c r="N267" s="27" t="n">
        <v>237</v>
      </c>
      <c r="O267" s="3" t="inlineStr">
        <is>
          <t>speculative</t>
        </is>
      </c>
      <c r="P267" s="3" t="inlineStr">
        <is>
          <t>TPU v4,TPU v5e,TPU v6e,TPU v5p</t>
        </is>
      </c>
      <c r="Q267" s="3" t="inlineStr">
        <is>
          <t>epoch_user_site_equal_split_seed</t>
        </is>
      </c>
      <c r="R267" s="3" t="inlineStr">
        <is>
          <t>SRC_EPOCH_AI_DATA_CENTERS; EPOCH_NORMALIZED_USER_SITES</t>
        </is>
      </c>
      <c r="S267" s="3" t="inlineStr">
        <is>
          <t>Capacity weight is used only to weight accelerator mix, not to overwrite company total power in 02_Inputs.</t>
        </is>
      </c>
    </row>
    <row r="268">
      <c r="A268" s="3" t="inlineStr">
        <is>
          <t>Bear|Google|2028|Google Papillion</t>
        </is>
      </c>
      <c r="B268" s="3" t="inlineStr">
        <is>
          <t>Bear</t>
        </is>
      </c>
      <c r="C268" s="3" t="inlineStr">
        <is>
          <t>Google</t>
        </is>
      </c>
      <c r="D268" s="3" t="n">
        <v>2028</v>
      </c>
      <c r="E268" s="3" t="inlineStr">
        <is>
          <t>Google Papillion</t>
        </is>
      </c>
      <c r="F268" s="3" t="inlineStr">
        <is>
          <t>Google</t>
        </is>
      </c>
      <c r="G268" s="3" t="inlineStr">
        <is>
          <t>United States</t>
        </is>
      </c>
      <c r="H268" s="25" t="n">
        <v>237</v>
      </c>
      <c r="I268" s="17" t="n">
        <v>1</v>
      </c>
      <c r="J268" s="17" t="n">
        <v>0.545</v>
      </c>
      <c r="K268" s="26" t="n">
        <v>0.455</v>
      </c>
      <c r="L268" s="3" t="inlineStr">
        <is>
          <t>2024-08-03</t>
        </is>
      </c>
      <c r="M268" s="27" t="n">
        <v>237</v>
      </c>
      <c r="N268" s="27" t="n">
        <v>237</v>
      </c>
      <c r="O268" s="3" t="inlineStr">
        <is>
          <t>speculative</t>
        </is>
      </c>
      <c r="P268" s="3" t="inlineStr">
        <is>
          <t>TPU v4,TPU v5e,TPU v6e,TPU v5p</t>
        </is>
      </c>
      <c r="Q268" s="3" t="inlineStr">
        <is>
          <t>epoch_user_site_equal_split_seed</t>
        </is>
      </c>
      <c r="R268" s="3" t="inlineStr">
        <is>
          <t>SRC_EPOCH_AI_DATA_CENTERS; EPOCH_NORMALIZED_USER_SITES</t>
        </is>
      </c>
      <c r="S268" s="3" t="inlineStr">
        <is>
          <t>Capacity weight is used only to weight accelerator mix, not to overwrite company total power in 02_Inputs.</t>
        </is>
      </c>
    </row>
    <row r="269">
      <c r="A269" s="3" t="inlineStr">
        <is>
          <t>Bear|Google|2029|Google Papillion</t>
        </is>
      </c>
      <c r="B269" s="3" t="inlineStr">
        <is>
          <t>Bear</t>
        </is>
      </c>
      <c r="C269" s="3" t="inlineStr">
        <is>
          <t>Google</t>
        </is>
      </c>
      <c r="D269" s="3" t="n">
        <v>2029</v>
      </c>
      <c r="E269" s="3" t="inlineStr">
        <is>
          <t>Google Papillion</t>
        </is>
      </c>
      <c r="F269" s="3" t="inlineStr">
        <is>
          <t>Google</t>
        </is>
      </c>
      <c r="G269" s="3" t="inlineStr">
        <is>
          <t>United States</t>
        </is>
      </c>
      <c r="H269" s="25" t="n">
        <v>237</v>
      </c>
      <c r="I269" s="17" t="n">
        <v>1</v>
      </c>
      <c r="J269" s="17" t="n">
        <v>0.583</v>
      </c>
      <c r="K269" s="26" t="n">
        <v>0.417</v>
      </c>
      <c r="L269" s="3" t="inlineStr">
        <is>
          <t>2024-08-03</t>
        </is>
      </c>
      <c r="M269" s="27" t="n">
        <v>237</v>
      </c>
      <c r="N269" s="27" t="n">
        <v>237</v>
      </c>
      <c r="O269" s="3" t="inlineStr">
        <is>
          <t>speculative</t>
        </is>
      </c>
      <c r="P269" s="3" t="inlineStr">
        <is>
          <t>TPU v4,TPU v5e,TPU v6e,TPU v5p</t>
        </is>
      </c>
      <c r="Q269" s="3" t="inlineStr">
        <is>
          <t>epoch_user_site_equal_split_seed</t>
        </is>
      </c>
      <c r="R269" s="3" t="inlineStr">
        <is>
          <t>SRC_EPOCH_AI_DATA_CENTERS; EPOCH_NORMALIZED_USER_SITES</t>
        </is>
      </c>
      <c r="S269" s="3" t="inlineStr">
        <is>
          <t>Capacity weight is used only to weight accelerator mix, not to overwrite company total power in 02_Inputs.</t>
        </is>
      </c>
    </row>
    <row r="270">
      <c r="A270" s="3" t="inlineStr">
        <is>
          <t>Bear|Google|2030|Google Papillion</t>
        </is>
      </c>
      <c r="B270" s="3" t="inlineStr">
        <is>
          <t>Bear</t>
        </is>
      </c>
      <c r="C270" s="3" t="inlineStr">
        <is>
          <t>Google</t>
        </is>
      </c>
      <c r="D270" s="3" t="n">
        <v>2030</v>
      </c>
      <c r="E270" s="3" t="inlineStr">
        <is>
          <t>Google Papillion</t>
        </is>
      </c>
      <c r="F270" s="3" t="inlineStr">
        <is>
          <t>Google</t>
        </is>
      </c>
      <c r="G270" s="3" t="inlineStr">
        <is>
          <t>United States</t>
        </is>
      </c>
      <c r="H270" s="25" t="n">
        <v>237</v>
      </c>
      <c r="I270" s="17" t="n">
        <v>1</v>
      </c>
      <c r="J270" s="17" t="n">
        <v>0.62</v>
      </c>
      <c r="K270" s="26" t="n">
        <v>0.38</v>
      </c>
      <c r="L270" s="3" t="inlineStr">
        <is>
          <t>2024-08-03</t>
        </is>
      </c>
      <c r="M270" s="27" t="n">
        <v>237</v>
      </c>
      <c r="N270" s="27" t="n">
        <v>237</v>
      </c>
      <c r="O270" s="3" t="inlineStr">
        <is>
          <t>speculative</t>
        </is>
      </c>
      <c r="P270" s="3" t="inlineStr">
        <is>
          <t>TPU v4,TPU v5e,TPU v6e,TPU v5p</t>
        </is>
      </c>
      <c r="Q270" s="3" t="inlineStr">
        <is>
          <t>epoch_user_site_equal_split_seed</t>
        </is>
      </c>
      <c r="R270" s="3" t="inlineStr">
        <is>
          <t>SRC_EPOCH_AI_DATA_CENTERS; EPOCH_NORMALIZED_USER_SITES</t>
        </is>
      </c>
      <c r="S270" s="3" t="inlineStr">
        <is>
          <t>Capacity weight is used only to weight accelerator mix, not to overwrite company total power in 02_Inputs.</t>
        </is>
      </c>
    </row>
    <row r="271">
      <c r="A271" s="3" t="inlineStr">
        <is>
          <t>Base|Google|2026|Google Papillion</t>
        </is>
      </c>
      <c r="B271" s="3" t="inlineStr">
        <is>
          <t>Base</t>
        </is>
      </c>
      <c r="C271" s="3" t="inlineStr">
        <is>
          <t>Google</t>
        </is>
      </c>
      <c r="D271" s="3" t="n">
        <v>2026</v>
      </c>
      <c r="E271" s="3" t="inlineStr">
        <is>
          <t>Google Papillion</t>
        </is>
      </c>
      <c r="F271" s="3" t="inlineStr">
        <is>
          <t>Google</t>
        </is>
      </c>
      <c r="G271" s="3" t="inlineStr">
        <is>
          <t>United States</t>
        </is>
      </c>
      <c r="H271" s="25" t="n">
        <v>237</v>
      </c>
      <c r="I271" s="17" t="n">
        <v>1</v>
      </c>
      <c r="J271" s="17" t="n">
        <v>0.55</v>
      </c>
      <c r="K271" s="26" t="n">
        <v>0.45</v>
      </c>
      <c r="L271" s="3" t="inlineStr">
        <is>
          <t>2024-08-03</t>
        </is>
      </c>
      <c r="M271" s="27" t="n">
        <v>237</v>
      </c>
      <c r="N271" s="27" t="n">
        <v>237</v>
      </c>
      <c r="O271" s="3" t="inlineStr">
        <is>
          <t>speculative</t>
        </is>
      </c>
      <c r="P271" s="3" t="inlineStr">
        <is>
          <t>TPU v4,TPU v5e,TPU v6e,TPU v5p</t>
        </is>
      </c>
      <c r="Q271" s="3" t="inlineStr">
        <is>
          <t>epoch_user_site_equal_split_seed</t>
        </is>
      </c>
      <c r="R271" s="3" t="inlineStr">
        <is>
          <t>SRC_EPOCH_AI_DATA_CENTERS; EPOCH_NORMALIZED_USER_SITES</t>
        </is>
      </c>
      <c r="S271" s="3" t="inlineStr">
        <is>
          <t>Capacity weight is used only to weight accelerator mix, not to overwrite company total power in 02_Inputs.</t>
        </is>
      </c>
    </row>
    <row r="272">
      <c r="A272" s="3" t="inlineStr">
        <is>
          <t>Base|Google|2027|Google Papillion</t>
        </is>
      </c>
      <c r="B272" s="3" t="inlineStr">
        <is>
          <t>Base</t>
        </is>
      </c>
      <c r="C272" s="3" t="inlineStr">
        <is>
          <t>Google</t>
        </is>
      </c>
      <c r="D272" s="3" t="n">
        <v>2027</v>
      </c>
      <c r="E272" s="3" t="inlineStr">
        <is>
          <t>Google Papillion</t>
        </is>
      </c>
      <c r="F272" s="3" t="inlineStr">
        <is>
          <t>Google</t>
        </is>
      </c>
      <c r="G272" s="3" t="inlineStr">
        <is>
          <t>United States</t>
        </is>
      </c>
      <c r="H272" s="25" t="n">
        <v>237</v>
      </c>
      <c r="I272" s="17" t="n">
        <v>1</v>
      </c>
      <c r="J272" s="17" t="n">
        <v>0.593</v>
      </c>
      <c r="K272" s="26" t="n">
        <v>0.407</v>
      </c>
      <c r="L272" s="3" t="inlineStr">
        <is>
          <t>2024-08-03</t>
        </is>
      </c>
      <c r="M272" s="27" t="n">
        <v>237</v>
      </c>
      <c r="N272" s="27" t="n">
        <v>237</v>
      </c>
      <c r="O272" s="3" t="inlineStr">
        <is>
          <t>speculative</t>
        </is>
      </c>
      <c r="P272" s="3" t="inlineStr">
        <is>
          <t>TPU v4,TPU v5e,TPU v6e,TPU v5p</t>
        </is>
      </c>
      <c r="Q272" s="3" t="inlineStr">
        <is>
          <t>epoch_user_site_equal_split_seed</t>
        </is>
      </c>
      <c r="R272" s="3" t="inlineStr">
        <is>
          <t>SRC_EPOCH_AI_DATA_CENTERS; EPOCH_NORMALIZED_USER_SITES</t>
        </is>
      </c>
      <c r="S272" s="3" t="inlineStr">
        <is>
          <t>Capacity weight is used only to weight accelerator mix, not to overwrite company total power in 02_Inputs.</t>
        </is>
      </c>
    </row>
    <row r="273">
      <c r="A273" s="3" t="inlineStr">
        <is>
          <t>Base|Google|2028|Google Papillion</t>
        </is>
      </c>
      <c r="B273" s="3" t="inlineStr">
        <is>
          <t>Base</t>
        </is>
      </c>
      <c r="C273" s="3" t="inlineStr">
        <is>
          <t>Google</t>
        </is>
      </c>
      <c r="D273" s="3" t="n">
        <v>2028</v>
      </c>
      <c r="E273" s="3" t="inlineStr">
        <is>
          <t>Google Papillion</t>
        </is>
      </c>
      <c r="F273" s="3" t="inlineStr">
        <is>
          <t>Google</t>
        </is>
      </c>
      <c r="G273" s="3" t="inlineStr">
        <is>
          <t>United States</t>
        </is>
      </c>
      <c r="H273" s="25" t="n">
        <v>237</v>
      </c>
      <c r="I273" s="17" t="n">
        <v>1</v>
      </c>
      <c r="J273" s="17" t="n">
        <v>0.635</v>
      </c>
      <c r="K273" s="26" t="n">
        <v>0.365</v>
      </c>
      <c r="L273" s="3" t="inlineStr">
        <is>
          <t>2024-08-03</t>
        </is>
      </c>
      <c r="M273" s="27" t="n">
        <v>237</v>
      </c>
      <c r="N273" s="27" t="n">
        <v>237</v>
      </c>
      <c r="O273" s="3" t="inlineStr">
        <is>
          <t>speculative</t>
        </is>
      </c>
      <c r="P273" s="3" t="inlineStr">
        <is>
          <t>TPU v4,TPU v5e,TPU v6e,TPU v5p</t>
        </is>
      </c>
      <c r="Q273" s="3" t="inlineStr">
        <is>
          <t>epoch_user_site_equal_split_seed</t>
        </is>
      </c>
      <c r="R273" s="3" t="inlineStr">
        <is>
          <t>SRC_EPOCH_AI_DATA_CENTERS; EPOCH_NORMALIZED_USER_SITES</t>
        </is>
      </c>
      <c r="S273" s="3" t="inlineStr">
        <is>
          <t>Capacity weight is used only to weight accelerator mix, not to overwrite company total power in 02_Inputs.</t>
        </is>
      </c>
    </row>
    <row r="274">
      <c r="A274" s="3" t="inlineStr">
        <is>
          <t>Base|Google|2029|Google Papillion</t>
        </is>
      </c>
      <c r="B274" s="3" t="inlineStr">
        <is>
          <t>Base</t>
        </is>
      </c>
      <c r="C274" s="3" t="inlineStr">
        <is>
          <t>Google</t>
        </is>
      </c>
      <c r="D274" s="3" t="n">
        <v>2029</v>
      </c>
      <c r="E274" s="3" t="inlineStr">
        <is>
          <t>Google Papillion</t>
        </is>
      </c>
      <c r="F274" s="3" t="inlineStr">
        <is>
          <t>Google</t>
        </is>
      </c>
      <c r="G274" s="3" t="inlineStr">
        <is>
          <t>United States</t>
        </is>
      </c>
      <c r="H274" s="25" t="n">
        <v>237</v>
      </c>
      <c r="I274" s="17" t="n">
        <v>1</v>
      </c>
      <c r="J274" s="17" t="n">
        <v>0.677</v>
      </c>
      <c r="K274" s="26" t="n">
        <v>0.323</v>
      </c>
      <c r="L274" s="3" t="inlineStr">
        <is>
          <t>2024-08-03</t>
        </is>
      </c>
      <c r="M274" s="27" t="n">
        <v>237</v>
      </c>
      <c r="N274" s="27" t="n">
        <v>237</v>
      </c>
      <c r="O274" s="3" t="inlineStr">
        <is>
          <t>speculative</t>
        </is>
      </c>
      <c r="P274" s="3" t="inlineStr">
        <is>
          <t>TPU v4,TPU v5e,TPU v6e,TPU v5p</t>
        </is>
      </c>
      <c r="Q274" s="3" t="inlineStr">
        <is>
          <t>epoch_user_site_equal_split_seed</t>
        </is>
      </c>
      <c r="R274" s="3" t="inlineStr">
        <is>
          <t>SRC_EPOCH_AI_DATA_CENTERS; EPOCH_NORMALIZED_USER_SITES</t>
        </is>
      </c>
      <c r="S274" s="3" t="inlineStr">
        <is>
          <t>Capacity weight is used only to weight accelerator mix, not to overwrite company total power in 02_Inputs.</t>
        </is>
      </c>
    </row>
    <row r="275">
      <c r="A275" s="3" t="inlineStr">
        <is>
          <t>Base|Google|2030|Google Papillion</t>
        </is>
      </c>
      <c r="B275" s="3" t="inlineStr">
        <is>
          <t>Base</t>
        </is>
      </c>
      <c r="C275" s="3" t="inlineStr">
        <is>
          <t>Google</t>
        </is>
      </c>
      <c r="D275" s="3" t="n">
        <v>2030</v>
      </c>
      <c r="E275" s="3" t="inlineStr">
        <is>
          <t>Google Papillion</t>
        </is>
      </c>
      <c r="F275" s="3" t="inlineStr">
        <is>
          <t>Google</t>
        </is>
      </c>
      <c r="G275" s="3" t="inlineStr">
        <is>
          <t>United States</t>
        </is>
      </c>
      <c r="H275" s="25" t="n">
        <v>237</v>
      </c>
      <c r="I275" s="17" t="n">
        <v>1</v>
      </c>
      <c r="J275" s="17" t="n">
        <v>0.72</v>
      </c>
      <c r="K275" s="26" t="n">
        <v>0.28</v>
      </c>
      <c r="L275" s="3" t="inlineStr">
        <is>
          <t>2024-08-03</t>
        </is>
      </c>
      <c r="M275" s="27" t="n">
        <v>237</v>
      </c>
      <c r="N275" s="27" t="n">
        <v>237</v>
      </c>
      <c r="O275" s="3" t="inlineStr">
        <is>
          <t>speculative</t>
        </is>
      </c>
      <c r="P275" s="3" t="inlineStr">
        <is>
          <t>TPU v4,TPU v5e,TPU v6e,TPU v5p</t>
        </is>
      </c>
      <c r="Q275" s="3" t="inlineStr">
        <is>
          <t>epoch_user_site_equal_split_seed</t>
        </is>
      </c>
      <c r="R275" s="3" t="inlineStr">
        <is>
          <t>SRC_EPOCH_AI_DATA_CENTERS; EPOCH_NORMALIZED_USER_SITES</t>
        </is>
      </c>
      <c r="S275" s="3" t="inlineStr">
        <is>
          <t>Capacity weight is used only to weight accelerator mix, not to overwrite company total power in 02_Inputs.</t>
        </is>
      </c>
    </row>
    <row r="276">
      <c r="A276" s="3" t="inlineStr">
        <is>
          <t>Bull|Google|2026|Google Papillion</t>
        </is>
      </c>
      <c r="B276" s="3" t="inlineStr">
        <is>
          <t>Bull</t>
        </is>
      </c>
      <c r="C276" s="3" t="inlineStr">
        <is>
          <t>Google</t>
        </is>
      </c>
      <c r="D276" s="3" t="n">
        <v>2026</v>
      </c>
      <c r="E276" s="3" t="inlineStr">
        <is>
          <t>Google Papillion</t>
        </is>
      </c>
      <c r="F276" s="3" t="inlineStr">
        <is>
          <t>Google</t>
        </is>
      </c>
      <c r="G276" s="3" t="inlineStr">
        <is>
          <t>United States</t>
        </is>
      </c>
      <c r="H276" s="25" t="n">
        <v>237</v>
      </c>
      <c r="I276" s="17" t="n">
        <v>1</v>
      </c>
      <c r="J276" s="17" t="n">
        <v>0.6</v>
      </c>
      <c r="K276" s="26" t="n">
        <v>0.4</v>
      </c>
      <c r="L276" s="3" t="inlineStr">
        <is>
          <t>2024-08-03</t>
        </is>
      </c>
      <c r="M276" s="27" t="n">
        <v>237</v>
      </c>
      <c r="N276" s="27" t="n">
        <v>237</v>
      </c>
      <c r="O276" s="3" t="inlineStr">
        <is>
          <t>speculative</t>
        </is>
      </c>
      <c r="P276" s="3" t="inlineStr">
        <is>
          <t>TPU v4,TPU v5e,TPU v6e,TPU v5p</t>
        </is>
      </c>
      <c r="Q276" s="3" t="inlineStr">
        <is>
          <t>epoch_user_site_equal_split_seed</t>
        </is>
      </c>
      <c r="R276" s="3" t="inlineStr">
        <is>
          <t>SRC_EPOCH_AI_DATA_CENTERS; EPOCH_NORMALIZED_USER_SITES</t>
        </is>
      </c>
      <c r="S276" s="3" t="inlineStr">
        <is>
          <t>Capacity weight is used only to weight accelerator mix, not to overwrite company total power in 02_Inputs.</t>
        </is>
      </c>
    </row>
    <row r="277">
      <c r="A277" s="3" t="inlineStr">
        <is>
          <t>Bull|Google|2027|Google Papillion</t>
        </is>
      </c>
      <c r="B277" s="3" t="inlineStr">
        <is>
          <t>Bull</t>
        </is>
      </c>
      <c r="C277" s="3" t="inlineStr">
        <is>
          <t>Google</t>
        </is>
      </c>
      <c r="D277" s="3" t="n">
        <v>2027</v>
      </c>
      <c r="E277" s="3" t="inlineStr">
        <is>
          <t>Google Papillion</t>
        </is>
      </c>
      <c r="F277" s="3" t="inlineStr">
        <is>
          <t>Google</t>
        </is>
      </c>
      <c r="G277" s="3" t="inlineStr">
        <is>
          <t>United States</t>
        </is>
      </c>
      <c r="H277" s="25" t="n">
        <v>237</v>
      </c>
      <c r="I277" s="17" t="n">
        <v>1</v>
      </c>
      <c r="J277" s="17" t="n">
        <v>0.65</v>
      </c>
      <c r="K277" s="26" t="n">
        <v>0.35</v>
      </c>
      <c r="L277" s="3" t="inlineStr">
        <is>
          <t>2024-08-03</t>
        </is>
      </c>
      <c r="M277" s="27" t="n">
        <v>237</v>
      </c>
      <c r="N277" s="27" t="n">
        <v>237</v>
      </c>
      <c r="O277" s="3" t="inlineStr">
        <is>
          <t>speculative</t>
        </is>
      </c>
      <c r="P277" s="3" t="inlineStr">
        <is>
          <t>TPU v4,TPU v5e,TPU v6e,TPU v5p</t>
        </is>
      </c>
      <c r="Q277" s="3" t="inlineStr">
        <is>
          <t>epoch_user_site_equal_split_seed</t>
        </is>
      </c>
      <c r="R277" s="3" t="inlineStr">
        <is>
          <t>SRC_EPOCH_AI_DATA_CENTERS; EPOCH_NORMALIZED_USER_SITES</t>
        </is>
      </c>
      <c r="S277" s="3" t="inlineStr">
        <is>
          <t>Capacity weight is used only to weight accelerator mix, not to overwrite company total power in 02_Inputs.</t>
        </is>
      </c>
    </row>
    <row r="278">
      <c r="A278" s="3" t="inlineStr">
        <is>
          <t>Bull|Google|2028|Google Papillion</t>
        </is>
      </c>
      <c r="B278" s="3" t="inlineStr">
        <is>
          <t>Bull</t>
        </is>
      </c>
      <c r="C278" s="3" t="inlineStr">
        <is>
          <t>Google</t>
        </is>
      </c>
      <c r="D278" s="3" t="n">
        <v>2028</v>
      </c>
      <c r="E278" s="3" t="inlineStr">
        <is>
          <t>Google Papillion</t>
        </is>
      </c>
      <c r="F278" s="3" t="inlineStr">
        <is>
          <t>Google</t>
        </is>
      </c>
      <c r="G278" s="3" t="inlineStr">
        <is>
          <t>United States</t>
        </is>
      </c>
      <c r="H278" s="25" t="n">
        <v>237</v>
      </c>
      <c r="I278" s="17" t="n">
        <v>1</v>
      </c>
      <c r="J278" s="17" t="n">
        <v>0.7</v>
      </c>
      <c r="K278" s="26" t="n">
        <v>0.3</v>
      </c>
      <c r="L278" s="3" t="inlineStr">
        <is>
          <t>2024-08-03</t>
        </is>
      </c>
      <c r="M278" s="27" t="n">
        <v>237</v>
      </c>
      <c r="N278" s="27" t="n">
        <v>237</v>
      </c>
      <c r="O278" s="3" t="inlineStr">
        <is>
          <t>speculative</t>
        </is>
      </c>
      <c r="P278" s="3" t="inlineStr">
        <is>
          <t>TPU v4,TPU v5e,TPU v6e,TPU v5p</t>
        </is>
      </c>
      <c r="Q278" s="3" t="inlineStr">
        <is>
          <t>epoch_user_site_equal_split_seed</t>
        </is>
      </c>
      <c r="R278" s="3" t="inlineStr">
        <is>
          <t>SRC_EPOCH_AI_DATA_CENTERS; EPOCH_NORMALIZED_USER_SITES</t>
        </is>
      </c>
      <c r="S278" s="3" t="inlineStr">
        <is>
          <t>Capacity weight is used only to weight accelerator mix, not to overwrite company total power in 02_Inputs.</t>
        </is>
      </c>
    </row>
    <row r="279">
      <c r="A279" s="3" t="inlineStr">
        <is>
          <t>Bull|Google|2029|Google Papillion</t>
        </is>
      </c>
      <c r="B279" s="3" t="inlineStr">
        <is>
          <t>Bull</t>
        </is>
      </c>
      <c r="C279" s="3" t="inlineStr">
        <is>
          <t>Google</t>
        </is>
      </c>
      <c r="D279" s="3" t="n">
        <v>2029</v>
      </c>
      <c r="E279" s="3" t="inlineStr">
        <is>
          <t>Google Papillion</t>
        </is>
      </c>
      <c r="F279" s="3" t="inlineStr">
        <is>
          <t>Google</t>
        </is>
      </c>
      <c r="G279" s="3" t="inlineStr">
        <is>
          <t>United States</t>
        </is>
      </c>
      <c r="H279" s="25" t="n">
        <v>237</v>
      </c>
      <c r="I279" s="17" t="n">
        <v>1</v>
      </c>
      <c r="J279" s="17" t="n">
        <v>0.75</v>
      </c>
      <c r="K279" s="26" t="n">
        <v>0.25</v>
      </c>
      <c r="L279" s="3" t="inlineStr">
        <is>
          <t>2024-08-03</t>
        </is>
      </c>
      <c r="M279" s="27" t="n">
        <v>237</v>
      </c>
      <c r="N279" s="27" t="n">
        <v>237</v>
      </c>
      <c r="O279" s="3" t="inlineStr">
        <is>
          <t>speculative</t>
        </is>
      </c>
      <c r="P279" s="3" t="inlineStr">
        <is>
          <t>TPU v4,TPU v5e,TPU v6e,TPU v5p</t>
        </is>
      </c>
      <c r="Q279" s="3" t="inlineStr">
        <is>
          <t>epoch_user_site_equal_split_seed</t>
        </is>
      </c>
      <c r="R279" s="3" t="inlineStr">
        <is>
          <t>SRC_EPOCH_AI_DATA_CENTERS; EPOCH_NORMALIZED_USER_SITES</t>
        </is>
      </c>
      <c r="S279" s="3" t="inlineStr">
        <is>
          <t>Capacity weight is used only to weight accelerator mix, not to overwrite company total power in 02_Inputs.</t>
        </is>
      </c>
    </row>
    <row r="280">
      <c r="A280" s="3" t="inlineStr">
        <is>
          <t>Bull|Google|2030|Google Papillion</t>
        </is>
      </c>
      <c r="B280" s="3" t="inlineStr">
        <is>
          <t>Bull</t>
        </is>
      </c>
      <c r="C280" s="3" t="inlineStr">
        <is>
          <t>Google</t>
        </is>
      </c>
      <c r="D280" s="3" t="n">
        <v>2030</v>
      </c>
      <c r="E280" s="3" t="inlineStr">
        <is>
          <t>Google Papillion</t>
        </is>
      </c>
      <c r="F280" s="3" t="inlineStr">
        <is>
          <t>Google</t>
        </is>
      </c>
      <c r="G280" s="3" t="inlineStr">
        <is>
          <t>United States</t>
        </is>
      </c>
      <c r="H280" s="25" t="n">
        <v>237</v>
      </c>
      <c r="I280" s="17" t="n">
        <v>1</v>
      </c>
      <c r="J280" s="17" t="n">
        <v>0.8</v>
      </c>
      <c r="K280" s="26" t="n">
        <v>0.2</v>
      </c>
      <c r="L280" s="3" t="inlineStr">
        <is>
          <t>2024-08-03</t>
        </is>
      </c>
      <c r="M280" s="27" t="n">
        <v>237</v>
      </c>
      <c r="N280" s="27" t="n">
        <v>237</v>
      </c>
      <c r="O280" s="3" t="inlineStr">
        <is>
          <t>speculative</t>
        </is>
      </c>
      <c r="P280" s="3" t="inlineStr">
        <is>
          <t>TPU v4,TPU v5e,TPU v6e,TPU v5p</t>
        </is>
      </c>
      <c r="Q280" s="3" t="inlineStr">
        <is>
          <t>epoch_user_site_equal_split_seed</t>
        </is>
      </c>
      <c r="R280" s="3" t="inlineStr">
        <is>
          <t>SRC_EPOCH_AI_DATA_CENTERS; EPOCH_NORMALIZED_USER_SITES</t>
        </is>
      </c>
      <c r="S280" s="3" t="inlineStr">
        <is>
          <t>Capacity weight is used only to weight accelerator mix, not to overwrite company total power in 02_Inputs.</t>
        </is>
      </c>
    </row>
    <row r="281">
      <c r="A281" s="3" t="inlineStr">
        <is>
          <t>Grid-Constrained / Efficiency-Upside|Google|2026|Google Papillion</t>
        </is>
      </c>
      <c r="B281" s="3" t="inlineStr">
        <is>
          <t>Grid-Constrained / Efficiency-Upside</t>
        </is>
      </c>
      <c r="C281" s="3" t="inlineStr">
        <is>
          <t>Google</t>
        </is>
      </c>
      <c r="D281" s="3" t="n">
        <v>2026</v>
      </c>
      <c r="E281" s="3" t="inlineStr">
        <is>
          <t>Google Papillion</t>
        </is>
      </c>
      <c r="F281" s="3" t="inlineStr">
        <is>
          <t>Google</t>
        </is>
      </c>
      <c r="G281" s="3" t="inlineStr">
        <is>
          <t>United States</t>
        </is>
      </c>
      <c r="H281" s="25" t="n">
        <v>237</v>
      </c>
      <c r="I281" s="17" t="n">
        <v>1</v>
      </c>
      <c r="J281" s="17" t="n">
        <v>0.57</v>
      </c>
      <c r="K281" s="26" t="n">
        <v>0.43</v>
      </c>
      <c r="L281" s="3" t="inlineStr">
        <is>
          <t>2024-08-03</t>
        </is>
      </c>
      <c r="M281" s="27" t="n">
        <v>237</v>
      </c>
      <c r="N281" s="27" t="n">
        <v>237</v>
      </c>
      <c r="O281" s="3" t="inlineStr">
        <is>
          <t>speculative</t>
        </is>
      </c>
      <c r="P281" s="3" t="inlineStr">
        <is>
          <t>TPU v4,TPU v5e,TPU v6e,TPU v5p</t>
        </is>
      </c>
      <c r="Q281" s="3" t="inlineStr">
        <is>
          <t>epoch_user_site_equal_split_seed</t>
        </is>
      </c>
      <c r="R281" s="3" t="inlineStr">
        <is>
          <t>SRC_EPOCH_AI_DATA_CENTERS; EPOCH_NORMALIZED_USER_SITES</t>
        </is>
      </c>
      <c r="S281" s="3" t="inlineStr">
        <is>
          <t>Capacity weight is used only to weight accelerator mix, not to overwrite company total power in 02_Inputs.</t>
        </is>
      </c>
    </row>
    <row r="282">
      <c r="A282" s="3" t="inlineStr">
        <is>
          <t>Grid-Constrained / Efficiency-Upside|Google|2027|Google Papillion</t>
        </is>
      </c>
      <c r="B282" s="3" t="inlineStr">
        <is>
          <t>Grid-Constrained / Efficiency-Upside</t>
        </is>
      </c>
      <c r="C282" s="3" t="inlineStr">
        <is>
          <t>Google</t>
        </is>
      </c>
      <c r="D282" s="3" t="n">
        <v>2027</v>
      </c>
      <c r="E282" s="3" t="inlineStr">
        <is>
          <t>Google Papillion</t>
        </is>
      </c>
      <c r="F282" s="3" t="inlineStr">
        <is>
          <t>Google</t>
        </is>
      </c>
      <c r="G282" s="3" t="inlineStr">
        <is>
          <t>United States</t>
        </is>
      </c>
      <c r="H282" s="25" t="n">
        <v>237</v>
      </c>
      <c r="I282" s="17" t="n">
        <v>1</v>
      </c>
      <c r="J282" s="17" t="n">
        <v>0.618</v>
      </c>
      <c r="K282" s="26" t="n">
        <v>0.382</v>
      </c>
      <c r="L282" s="3" t="inlineStr">
        <is>
          <t>2024-08-03</t>
        </is>
      </c>
      <c r="M282" s="27" t="n">
        <v>237</v>
      </c>
      <c r="N282" s="27" t="n">
        <v>237</v>
      </c>
      <c r="O282" s="3" t="inlineStr">
        <is>
          <t>speculative</t>
        </is>
      </c>
      <c r="P282" s="3" t="inlineStr">
        <is>
          <t>TPU v4,TPU v5e,TPU v6e,TPU v5p</t>
        </is>
      </c>
      <c r="Q282" s="3" t="inlineStr">
        <is>
          <t>epoch_user_site_equal_split_seed</t>
        </is>
      </c>
      <c r="R282" s="3" t="inlineStr">
        <is>
          <t>SRC_EPOCH_AI_DATA_CENTERS; EPOCH_NORMALIZED_USER_SITES</t>
        </is>
      </c>
      <c r="S282" s="3" t="inlineStr">
        <is>
          <t>Capacity weight is used only to weight accelerator mix, not to overwrite company total power in 02_Inputs.</t>
        </is>
      </c>
    </row>
    <row r="283">
      <c r="A283" s="3" t="inlineStr">
        <is>
          <t>Grid-Constrained / Efficiency-Upside|Google|2028|Google Papillion</t>
        </is>
      </c>
      <c r="B283" s="3" t="inlineStr">
        <is>
          <t>Grid-Constrained / Efficiency-Upside</t>
        </is>
      </c>
      <c r="C283" s="3" t="inlineStr">
        <is>
          <t>Google</t>
        </is>
      </c>
      <c r="D283" s="3" t="n">
        <v>2028</v>
      </c>
      <c r="E283" s="3" t="inlineStr">
        <is>
          <t>Google Papillion</t>
        </is>
      </c>
      <c r="F283" s="3" t="inlineStr">
        <is>
          <t>Google</t>
        </is>
      </c>
      <c r="G283" s="3" t="inlineStr">
        <is>
          <t>United States</t>
        </is>
      </c>
      <c r="H283" s="25" t="n">
        <v>237</v>
      </c>
      <c r="I283" s="17" t="n">
        <v>1</v>
      </c>
      <c r="J283" s="17" t="n">
        <v>0.665</v>
      </c>
      <c r="K283" s="26" t="n">
        <v>0.335</v>
      </c>
      <c r="L283" s="3" t="inlineStr">
        <is>
          <t>2024-08-03</t>
        </is>
      </c>
      <c r="M283" s="27" t="n">
        <v>237</v>
      </c>
      <c r="N283" s="27" t="n">
        <v>237</v>
      </c>
      <c r="O283" s="3" t="inlineStr">
        <is>
          <t>speculative</t>
        </is>
      </c>
      <c r="P283" s="3" t="inlineStr">
        <is>
          <t>TPU v4,TPU v5e,TPU v6e,TPU v5p</t>
        </is>
      </c>
      <c r="Q283" s="3" t="inlineStr">
        <is>
          <t>epoch_user_site_equal_split_seed</t>
        </is>
      </c>
      <c r="R283" s="3" t="inlineStr">
        <is>
          <t>SRC_EPOCH_AI_DATA_CENTERS; EPOCH_NORMALIZED_USER_SITES</t>
        </is>
      </c>
      <c r="S283" s="3" t="inlineStr">
        <is>
          <t>Capacity weight is used only to weight accelerator mix, not to overwrite company total power in 02_Inputs.</t>
        </is>
      </c>
    </row>
    <row r="284">
      <c r="A284" s="3" t="inlineStr">
        <is>
          <t>Grid-Constrained / Efficiency-Upside|Google|2029|Google Papillion</t>
        </is>
      </c>
      <c r="B284" s="3" t="inlineStr">
        <is>
          <t>Grid-Constrained / Efficiency-Upside</t>
        </is>
      </c>
      <c r="C284" s="3" t="inlineStr">
        <is>
          <t>Google</t>
        </is>
      </c>
      <c r="D284" s="3" t="n">
        <v>2029</v>
      </c>
      <c r="E284" s="3" t="inlineStr">
        <is>
          <t>Google Papillion</t>
        </is>
      </c>
      <c r="F284" s="3" t="inlineStr">
        <is>
          <t>Google</t>
        </is>
      </c>
      <c r="G284" s="3" t="inlineStr">
        <is>
          <t>United States</t>
        </is>
      </c>
      <c r="H284" s="25" t="n">
        <v>237</v>
      </c>
      <c r="I284" s="17" t="n">
        <v>1</v>
      </c>
      <c r="J284" s="17" t="n">
        <v>0.713</v>
      </c>
      <c r="K284" s="26" t="n">
        <v>0.287</v>
      </c>
      <c r="L284" s="3" t="inlineStr">
        <is>
          <t>2024-08-03</t>
        </is>
      </c>
      <c r="M284" s="27" t="n">
        <v>237</v>
      </c>
      <c r="N284" s="27" t="n">
        <v>237</v>
      </c>
      <c r="O284" s="3" t="inlineStr">
        <is>
          <t>speculative</t>
        </is>
      </c>
      <c r="P284" s="3" t="inlineStr">
        <is>
          <t>TPU v4,TPU v5e,TPU v6e,TPU v5p</t>
        </is>
      </c>
      <c r="Q284" s="3" t="inlineStr">
        <is>
          <t>epoch_user_site_equal_split_seed</t>
        </is>
      </c>
      <c r="R284" s="3" t="inlineStr">
        <is>
          <t>SRC_EPOCH_AI_DATA_CENTERS; EPOCH_NORMALIZED_USER_SITES</t>
        </is>
      </c>
      <c r="S284" s="3" t="inlineStr">
        <is>
          <t>Capacity weight is used only to weight accelerator mix, not to overwrite company total power in 02_Inputs.</t>
        </is>
      </c>
    </row>
    <row r="285">
      <c r="A285" s="3" t="inlineStr">
        <is>
          <t>Grid-Constrained / Efficiency-Upside|Google|2030|Google Papillion</t>
        </is>
      </c>
      <c r="B285" s="3" t="inlineStr">
        <is>
          <t>Grid-Constrained / Efficiency-Upside</t>
        </is>
      </c>
      <c r="C285" s="3" t="inlineStr">
        <is>
          <t>Google</t>
        </is>
      </c>
      <c r="D285" s="3" t="n">
        <v>2030</v>
      </c>
      <c r="E285" s="3" t="inlineStr">
        <is>
          <t>Google Papillion</t>
        </is>
      </c>
      <c r="F285" s="3" t="inlineStr">
        <is>
          <t>Google</t>
        </is>
      </c>
      <c r="G285" s="3" t="inlineStr">
        <is>
          <t>United States</t>
        </is>
      </c>
      <c r="H285" s="25" t="n">
        <v>237</v>
      </c>
      <c r="I285" s="17" t="n">
        <v>1</v>
      </c>
      <c r="J285" s="17" t="n">
        <v>0.76</v>
      </c>
      <c r="K285" s="26" t="n">
        <v>0.24</v>
      </c>
      <c r="L285" s="3" t="inlineStr">
        <is>
          <t>2024-08-03</t>
        </is>
      </c>
      <c r="M285" s="27" t="n">
        <v>237</v>
      </c>
      <c r="N285" s="27" t="n">
        <v>237</v>
      </c>
      <c r="O285" s="3" t="inlineStr">
        <is>
          <t>speculative</t>
        </is>
      </c>
      <c r="P285" s="3" t="inlineStr">
        <is>
          <t>TPU v4,TPU v5e,TPU v6e,TPU v5p</t>
        </is>
      </c>
      <c r="Q285" s="3" t="inlineStr">
        <is>
          <t>epoch_user_site_equal_split_seed</t>
        </is>
      </c>
      <c r="R285" s="3" t="inlineStr">
        <is>
          <t>SRC_EPOCH_AI_DATA_CENTERS; EPOCH_NORMALIZED_USER_SITES</t>
        </is>
      </c>
      <c r="S285" s="3" t="inlineStr">
        <is>
          <t>Capacity weight is used only to weight accelerator mix, not to overwrite company total power in 02_Inputs.</t>
        </is>
      </c>
    </row>
    <row r="286">
      <c r="A286" s="3" t="inlineStr">
        <is>
          <t>Bear|Google|2026|Google Pryor (North)</t>
        </is>
      </c>
      <c r="B286" s="3" t="inlineStr">
        <is>
          <t>Bear</t>
        </is>
      </c>
      <c r="C286" s="3" t="inlineStr">
        <is>
          <t>Google</t>
        </is>
      </c>
      <c r="D286" s="3" t="n">
        <v>2026</v>
      </c>
      <c r="E286" s="3" t="inlineStr">
        <is>
          <t>Google Pryor (North)</t>
        </is>
      </c>
      <c r="F286" s="3" t="inlineStr">
        <is>
          <t>Google</t>
        </is>
      </c>
      <c r="G286" s="3" t="inlineStr">
        <is>
          <t>United States</t>
        </is>
      </c>
      <c r="H286" s="25" t="n">
        <v>368</v>
      </c>
      <c r="I286" s="17" t="n">
        <v>1</v>
      </c>
      <c r="J286" s="17" t="n">
        <v>0.47</v>
      </c>
      <c r="K286" s="26" t="n">
        <v>0.53</v>
      </c>
      <c r="L286" s="3" t="inlineStr">
        <is>
          <t>2026-08-24</t>
        </is>
      </c>
      <c r="M286" s="27" t="n">
        <v>53</v>
      </c>
      <c r="N286" s="27" t="n">
        <v>368</v>
      </c>
      <c r="O286" s="3" t="inlineStr">
        <is>
          <t>speculative</t>
        </is>
      </c>
      <c r="P286" s="3" t="inlineStr">
        <is>
          <t>TPU v5p,TPU v5e</t>
        </is>
      </c>
      <c r="Q286" s="3" t="inlineStr">
        <is>
          <t>epoch_user_site_equal_split_seed</t>
        </is>
      </c>
      <c r="R286" s="3" t="inlineStr">
        <is>
          <t>SRC_EPOCH_AI_DATA_CENTERS; EPOCH_NORMALIZED_USER_SITES</t>
        </is>
      </c>
      <c r="S286" s="3" t="inlineStr">
        <is>
          <t>Capacity weight is used only to weight accelerator mix, not to overwrite company total power in 02_Inputs.</t>
        </is>
      </c>
    </row>
    <row r="287">
      <c r="A287" s="3" t="inlineStr">
        <is>
          <t>Bear|Google|2027|Google Pryor (North)</t>
        </is>
      </c>
      <c r="B287" s="3" t="inlineStr">
        <is>
          <t>Bear</t>
        </is>
      </c>
      <c r="C287" s="3" t="inlineStr">
        <is>
          <t>Google</t>
        </is>
      </c>
      <c r="D287" s="3" t="n">
        <v>2027</v>
      </c>
      <c r="E287" s="3" t="inlineStr">
        <is>
          <t>Google Pryor (North)</t>
        </is>
      </c>
      <c r="F287" s="3" t="inlineStr">
        <is>
          <t>Google</t>
        </is>
      </c>
      <c r="G287" s="3" t="inlineStr">
        <is>
          <t>United States</t>
        </is>
      </c>
      <c r="H287" s="25" t="n">
        <v>368</v>
      </c>
      <c r="I287" s="17" t="n">
        <v>1</v>
      </c>
      <c r="J287" s="17" t="n">
        <v>0.508</v>
      </c>
      <c r="K287" s="26" t="n">
        <v>0.492</v>
      </c>
      <c r="L287" s="3" t="inlineStr">
        <is>
          <t>2026-08-24</t>
        </is>
      </c>
      <c r="M287" s="27" t="n">
        <v>53</v>
      </c>
      <c r="N287" s="27" t="n">
        <v>368</v>
      </c>
      <c r="O287" s="3" t="inlineStr">
        <is>
          <t>speculative</t>
        </is>
      </c>
      <c r="P287" s="3" t="inlineStr">
        <is>
          <t>TPU v5p,TPU v5e</t>
        </is>
      </c>
      <c r="Q287" s="3" t="inlineStr">
        <is>
          <t>epoch_user_site_equal_split_seed</t>
        </is>
      </c>
      <c r="R287" s="3" t="inlineStr">
        <is>
          <t>SRC_EPOCH_AI_DATA_CENTERS; EPOCH_NORMALIZED_USER_SITES</t>
        </is>
      </c>
      <c r="S287" s="3" t="inlineStr">
        <is>
          <t>Capacity weight is used only to weight accelerator mix, not to overwrite company total power in 02_Inputs.</t>
        </is>
      </c>
    </row>
    <row r="288">
      <c r="A288" s="3" t="inlineStr">
        <is>
          <t>Bear|Google|2028|Google Pryor (North)</t>
        </is>
      </c>
      <c r="B288" s="3" t="inlineStr">
        <is>
          <t>Bear</t>
        </is>
      </c>
      <c r="C288" s="3" t="inlineStr">
        <is>
          <t>Google</t>
        </is>
      </c>
      <c r="D288" s="3" t="n">
        <v>2028</v>
      </c>
      <c r="E288" s="3" t="inlineStr">
        <is>
          <t>Google Pryor (North)</t>
        </is>
      </c>
      <c r="F288" s="3" t="inlineStr">
        <is>
          <t>Google</t>
        </is>
      </c>
      <c r="G288" s="3" t="inlineStr">
        <is>
          <t>United States</t>
        </is>
      </c>
      <c r="H288" s="25" t="n">
        <v>368</v>
      </c>
      <c r="I288" s="17" t="n">
        <v>1</v>
      </c>
      <c r="J288" s="17" t="n">
        <v>0.545</v>
      </c>
      <c r="K288" s="26" t="n">
        <v>0.455</v>
      </c>
      <c r="L288" s="3" t="inlineStr">
        <is>
          <t>2026-08-24</t>
        </is>
      </c>
      <c r="M288" s="27" t="n">
        <v>53</v>
      </c>
      <c r="N288" s="27" t="n">
        <v>368</v>
      </c>
      <c r="O288" s="3" t="inlineStr">
        <is>
          <t>speculative</t>
        </is>
      </c>
      <c r="P288" s="3" t="inlineStr">
        <is>
          <t>TPU v5p,TPU v5e</t>
        </is>
      </c>
      <c r="Q288" s="3" t="inlineStr">
        <is>
          <t>epoch_user_site_equal_split_seed</t>
        </is>
      </c>
      <c r="R288" s="3" t="inlineStr">
        <is>
          <t>SRC_EPOCH_AI_DATA_CENTERS; EPOCH_NORMALIZED_USER_SITES</t>
        </is>
      </c>
      <c r="S288" s="3" t="inlineStr">
        <is>
          <t>Capacity weight is used only to weight accelerator mix, not to overwrite company total power in 02_Inputs.</t>
        </is>
      </c>
    </row>
    <row r="289">
      <c r="A289" s="3" t="inlineStr">
        <is>
          <t>Bear|Google|2029|Google Pryor (North)</t>
        </is>
      </c>
      <c r="B289" s="3" t="inlineStr">
        <is>
          <t>Bear</t>
        </is>
      </c>
      <c r="C289" s="3" t="inlineStr">
        <is>
          <t>Google</t>
        </is>
      </c>
      <c r="D289" s="3" t="n">
        <v>2029</v>
      </c>
      <c r="E289" s="3" t="inlineStr">
        <is>
          <t>Google Pryor (North)</t>
        </is>
      </c>
      <c r="F289" s="3" t="inlineStr">
        <is>
          <t>Google</t>
        </is>
      </c>
      <c r="G289" s="3" t="inlineStr">
        <is>
          <t>United States</t>
        </is>
      </c>
      <c r="H289" s="25" t="n">
        <v>368</v>
      </c>
      <c r="I289" s="17" t="n">
        <v>1</v>
      </c>
      <c r="J289" s="17" t="n">
        <v>0.583</v>
      </c>
      <c r="K289" s="26" t="n">
        <v>0.417</v>
      </c>
      <c r="L289" s="3" t="inlineStr">
        <is>
          <t>2026-08-24</t>
        </is>
      </c>
      <c r="M289" s="27" t="n">
        <v>53</v>
      </c>
      <c r="N289" s="27" t="n">
        <v>368</v>
      </c>
      <c r="O289" s="3" t="inlineStr">
        <is>
          <t>speculative</t>
        </is>
      </c>
      <c r="P289" s="3" t="inlineStr">
        <is>
          <t>TPU v5p,TPU v5e</t>
        </is>
      </c>
      <c r="Q289" s="3" t="inlineStr">
        <is>
          <t>epoch_user_site_equal_split_seed</t>
        </is>
      </c>
      <c r="R289" s="3" t="inlineStr">
        <is>
          <t>SRC_EPOCH_AI_DATA_CENTERS; EPOCH_NORMALIZED_USER_SITES</t>
        </is>
      </c>
      <c r="S289" s="3" t="inlineStr">
        <is>
          <t>Capacity weight is used only to weight accelerator mix, not to overwrite company total power in 02_Inputs.</t>
        </is>
      </c>
    </row>
    <row r="290">
      <c r="A290" s="3" t="inlineStr">
        <is>
          <t>Bear|Google|2030|Google Pryor (North)</t>
        </is>
      </c>
      <c r="B290" s="3" t="inlineStr">
        <is>
          <t>Bear</t>
        </is>
      </c>
      <c r="C290" s="3" t="inlineStr">
        <is>
          <t>Google</t>
        </is>
      </c>
      <c r="D290" s="3" t="n">
        <v>2030</v>
      </c>
      <c r="E290" s="3" t="inlineStr">
        <is>
          <t>Google Pryor (North)</t>
        </is>
      </c>
      <c r="F290" s="3" t="inlineStr">
        <is>
          <t>Google</t>
        </is>
      </c>
      <c r="G290" s="3" t="inlineStr">
        <is>
          <t>United States</t>
        </is>
      </c>
      <c r="H290" s="25" t="n">
        <v>368</v>
      </c>
      <c r="I290" s="17" t="n">
        <v>1</v>
      </c>
      <c r="J290" s="17" t="n">
        <v>0.62</v>
      </c>
      <c r="K290" s="26" t="n">
        <v>0.38</v>
      </c>
      <c r="L290" s="3" t="inlineStr">
        <is>
          <t>2026-08-24</t>
        </is>
      </c>
      <c r="M290" s="27" t="n">
        <v>53</v>
      </c>
      <c r="N290" s="27" t="n">
        <v>368</v>
      </c>
      <c r="O290" s="3" t="inlineStr">
        <is>
          <t>speculative</t>
        </is>
      </c>
      <c r="P290" s="3" t="inlineStr">
        <is>
          <t>TPU v5p,TPU v5e</t>
        </is>
      </c>
      <c r="Q290" s="3" t="inlineStr">
        <is>
          <t>epoch_user_site_equal_split_seed</t>
        </is>
      </c>
      <c r="R290" s="3" t="inlineStr">
        <is>
          <t>SRC_EPOCH_AI_DATA_CENTERS; EPOCH_NORMALIZED_USER_SITES</t>
        </is>
      </c>
      <c r="S290" s="3" t="inlineStr">
        <is>
          <t>Capacity weight is used only to weight accelerator mix, not to overwrite company total power in 02_Inputs.</t>
        </is>
      </c>
    </row>
    <row r="291">
      <c r="A291" s="3" t="inlineStr">
        <is>
          <t>Base|Google|2026|Google Pryor (North)</t>
        </is>
      </c>
      <c r="B291" s="3" t="inlineStr">
        <is>
          <t>Base</t>
        </is>
      </c>
      <c r="C291" s="3" t="inlineStr">
        <is>
          <t>Google</t>
        </is>
      </c>
      <c r="D291" s="3" t="n">
        <v>2026</v>
      </c>
      <c r="E291" s="3" t="inlineStr">
        <is>
          <t>Google Pryor (North)</t>
        </is>
      </c>
      <c r="F291" s="3" t="inlineStr">
        <is>
          <t>Google</t>
        </is>
      </c>
      <c r="G291" s="3" t="inlineStr">
        <is>
          <t>United States</t>
        </is>
      </c>
      <c r="H291" s="25" t="n">
        <v>368</v>
      </c>
      <c r="I291" s="17" t="n">
        <v>1</v>
      </c>
      <c r="J291" s="17" t="n">
        <v>0.55</v>
      </c>
      <c r="K291" s="26" t="n">
        <v>0.45</v>
      </c>
      <c r="L291" s="3" t="inlineStr">
        <is>
          <t>2026-08-24</t>
        </is>
      </c>
      <c r="M291" s="27" t="n">
        <v>53</v>
      </c>
      <c r="N291" s="27" t="n">
        <v>368</v>
      </c>
      <c r="O291" s="3" t="inlineStr">
        <is>
          <t>speculative</t>
        </is>
      </c>
      <c r="P291" s="3" t="inlineStr">
        <is>
          <t>TPU v5p,TPU v5e</t>
        </is>
      </c>
      <c r="Q291" s="3" t="inlineStr">
        <is>
          <t>epoch_user_site_equal_split_seed</t>
        </is>
      </c>
      <c r="R291" s="3" t="inlineStr">
        <is>
          <t>SRC_EPOCH_AI_DATA_CENTERS; EPOCH_NORMALIZED_USER_SITES</t>
        </is>
      </c>
      <c r="S291" s="3" t="inlineStr">
        <is>
          <t>Capacity weight is used only to weight accelerator mix, not to overwrite company total power in 02_Inputs.</t>
        </is>
      </c>
    </row>
    <row r="292">
      <c r="A292" s="3" t="inlineStr">
        <is>
          <t>Base|Google|2027|Google Pryor (North)</t>
        </is>
      </c>
      <c r="B292" s="3" t="inlineStr">
        <is>
          <t>Base</t>
        </is>
      </c>
      <c r="C292" s="3" t="inlineStr">
        <is>
          <t>Google</t>
        </is>
      </c>
      <c r="D292" s="3" t="n">
        <v>2027</v>
      </c>
      <c r="E292" s="3" t="inlineStr">
        <is>
          <t>Google Pryor (North)</t>
        </is>
      </c>
      <c r="F292" s="3" t="inlineStr">
        <is>
          <t>Google</t>
        </is>
      </c>
      <c r="G292" s="3" t="inlineStr">
        <is>
          <t>United States</t>
        </is>
      </c>
      <c r="H292" s="25" t="n">
        <v>368</v>
      </c>
      <c r="I292" s="17" t="n">
        <v>1</v>
      </c>
      <c r="J292" s="17" t="n">
        <v>0.593</v>
      </c>
      <c r="K292" s="26" t="n">
        <v>0.407</v>
      </c>
      <c r="L292" s="3" t="inlineStr">
        <is>
          <t>2026-08-24</t>
        </is>
      </c>
      <c r="M292" s="27" t="n">
        <v>53</v>
      </c>
      <c r="N292" s="27" t="n">
        <v>368</v>
      </c>
      <c r="O292" s="3" t="inlineStr">
        <is>
          <t>speculative</t>
        </is>
      </c>
      <c r="P292" s="3" t="inlineStr">
        <is>
          <t>TPU v5p,TPU v5e</t>
        </is>
      </c>
      <c r="Q292" s="3" t="inlineStr">
        <is>
          <t>epoch_user_site_equal_split_seed</t>
        </is>
      </c>
      <c r="R292" s="3" t="inlineStr">
        <is>
          <t>SRC_EPOCH_AI_DATA_CENTERS; EPOCH_NORMALIZED_USER_SITES</t>
        </is>
      </c>
      <c r="S292" s="3" t="inlineStr">
        <is>
          <t>Capacity weight is used only to weight accelerator mix, not to overwrite company total power in 02_Inputs.</t>
        </is>
      </c>
    </row>
    <row r="293">
      <c r="A293" s="3" t="inlineStr">
        <is>
          <t>Base|Google|2028|Google Pryor (North)</t>
        </is>
      </c>
      <c r="B293" s="3" t="inlineStr">
        <is>
          <t>Base</t>
        </is>
      </c>
      <c r="C293" s="3" t="inlineStr">
        <is>
          <t>Google</t>
        </is>
      </c>
      <c r="D293" s="3" t="n">
        <v>2028</v>
      </c>
      <c r="E293" s="3" t="inlineStr">
        <is>
          <t>Google Pryor (North)</t>
        </is>
      </c>
      <c r="F293" s="3" t="inlineStr">
        <is>
          <t>Google</t>
        </is>
      </c>
      <c r="G293" s="3" t="inlineStr">
        <is>
          <t>United States</t>
        </is>
      </c>
      <c r="H293" s="25" t="n">
        <v>368</v>
      </c>
      <c r="I293" s="17" t="n">
        <v>1</v>
      </c>
      <c r="J293" s="17" t="n">
        <v>0.635</v>
      </c>
      <c r="K293" s="26" t="n">
        <v>0.365</v>
      </c>
      <c r="L293" s="3" t="inlineStr">
        <is>
          <t>2026-08-24</t>
        </is>
      </c>
      <c r="M293" s="27" t="n">
        <v>53</v>
      </c>
      <c r="N293" s="27" t="n">
        <v>368</v>
      </c>
      <c r="O293" s="3" t="inlineStr">
        <is>
          <t>speculative</t>
        </is>
      </c>
      <c r="P293" s="3" t="inlineStr">
        <is>
          <t>TPU v5p,TPU v5e</t>
        </is>
      </c>
      <c r="Q293" s="3" t="inlineStr">
        <is>
          <t>epoch_user_site_equal_split_seed</t>
        </is>
      </c>
      <c r="R293" s="3" t="inlineStr">
        <is>
          <t>SRC_EPOCH_AI_DATA_CENTERS; EPOCH_NORMALIZED_USER_SITES</t>
        </is>
      </c>
      <c r="S293" s="3" t="inlineStr">
        <is>
          <t>Capacity weight is used only to weight accelerator mix, not to overwrite company total power in 02_Inputs.</t>
        </is>
      </c>
    </row>
    <row r="294">
      <c r="A294" s="3" t="inlineStr">
        <is>
          <t>Base|Google|2029|Google Pryor (North)</t>
        </is>
      </c>
      <c r="B294" s="3" t="inlineStr">
        <is>
          <t>Base</t>
        </is>
      </c>
      <c r="C294" s="3" t="inlineStr">
        <is>
          <t>Google</t>
        </is>
      </c>
      <c r="D294" s="3" t="n">
        <v>2029</v>
      </c>
      <c r="E294" s="3" t="inlineStr">
        <is>
          <t>Google Pryor (North)</t>
        </is>
      </c>
      <c r="F294" s="3" t="inlineStr">
        <is>
          <t>Google</t>
        </is>
      </c>
      <c r="G294" s="3" t="inlineStr">
        <is>
          <t>United States</t>
        </is>
      </c>
      <c r="H294" s="25" t="n">
        <v>368</v>
      </c>
      <c r="I294" s="17" t="n">
        <v>1</v>
      </c>
      <c r="J294" s="17" t="n">
        <v>0.677</v>
      </c>
      <c r="K294" s="26" t="n">
        <v>0.323</v>
      </c>
      <c r="L294" s="3" t="inlineStr">
        <is>
          <t>2026-08-24</t>
        </is>
      </c>
      <c r="M294" s="27" t="n">
        <v>53</v>
      </c>
      <c r="N294" s="27" t="n">
        <v>368</v>
      </c>
      <c r="O294" s="3" t="inlineStr">
        <is>
          <t>speculative</t>
        </is>
      </c>
      <c r="P294" s="3" t="inlineStr">
        <is>
          <t>TPU v5p,TPU v5e</t>
        </is>
      </c>
      <c r="Q294" s="3" t="inlineStr">
        <is>
          <t>epoch_user_site_equal_split_seed</t>
        </is>
      </c>
      <c r="R294" s="3" t="inlineStr">
        <is>
          <t>SRC_EPOCH_AI_DATA_CENTERS; EPOCH_NORMALIZED_USER_SITES</t>
        </is>
      </c>
      <c r="S294" s="3" t="inlineStr">
        <is>
          <t>Capacity weight is used only to weight accelerator mix, not to overwrite company total power in 02_Inputs.</t>
        </is>
      </c>
    </row>
    <row r="295">
      <c r="A295" s="3" t="inlineStr">
        <is>
          <t>Base|Google|2030|Google Pryor (North)</t>
        </is>
      </c>
      <c r="B295" s="3" t="inlineStr">
        <is>
          <t>Base</t>
        </is>
      </c>
      <c r="C295" s="3" t="inlineStr">
        <is>
          <t>Google</t>
        </is>
      </c>
      <c r="D295" s="3" t="n">
        <v>2030</v>
      </c>
      <c r="E295" s="3" t="inlineStr">
        <is>
          <t>Google Pryor (North)</t>
        </is>
      </c>
      <c r="F295" s="3" t="inlineStr">
        <is>
          <t>Google</t>
        </is>
      </c>
      <c r="G295" s="3" t="inlineStr">
        <is>
          <t>United States</t>
        </is>
      </c>
      <c r="H295" s="25" t="n">
        <v>368</v>
      </c>
      <c r="I295" s="17" t="n">
        <v>1</v>
      </c>
      <c r="J295" s="17" t="n">
        <v>0.72</v>
      </c>
      <c r="K295" s="26" t="n">
        <v>0.28</v>
      </c>
      <c r="L295" s="3" t="inlineStr">
        <is>
          <t>2026-08-24</t>
        </is>
      </c>
      <c r="M295" s="27" t="n">
        <v>53</v>
      </c>
      <c r="N295" s="27" t="n">
        <v>368</v>
      </c>
      <c r="O295" s="3" t="inlineStr">
        <is>
          <t>speculative</t>
        </is>
      </c>
      <c r="P295" s="3" t="inlineStr">
        <is>
          <t>TPU v5p,TPU v5e</t>
        </is>
      </c>
      <c r="Q295" s="3" t="inlineStr">
        <is>
          <t>epoch_user_site_equal_split_seed</t>
        </is>
      </c>
      <c r="R295" s="3" t="inlineStr">
        <is>
          <t>SRC_EPOCH_AI_DATA_CENTERS; EPOCH_NORMALIZED_USER_SITES</t>
        </is>
      </c>
      <c r="S295" s="3" t="inlineStr">
        <is>
          <t>Capacity weight is used only to weight accelerator mix, not to overwrite company total power in 02_Inputs.</t>
        </is>
      </c>
    </row>
    <row r="296">
      <c r="A296" s="3" t="inlineStr">
        <is>
          <t>Bull|Google|2026|Google Pryor (North)</t>
        </is>
      </c>
      <c r="B296" s="3" t="inlineStr">
        <is>
          <t>Bull</t>
        </is>
      </c>
      <c r="C296" s="3" t="inlineStr">
        <is>
          <t>Google</t>
        </is>
      </c>
      <c r="D296" s="3" t="n">
        <v>2026</v>
      </c>
      <c r="E296" s="3" t="inlineStr">
        <is>
          <t>Google Pryor (North)</t>
        </is>
      </c>
      <c r="F296" s="3" t="inlineStr">
        <is>
          <t>Google</t>
        </is>
      </c>
      <c r="G296" s="3" t="inlineStr">
        <is>
          <t>United States</t>
        </is>
      </c>
      <c r="H296" s="25" t="n">
        <v>368</v>
      </c>
      <c r="I296" s="17" t="n">
        <v>1</v>
      </c>
      <c r="J296" s="17" t="n">
        <v>0.6</v>
      </c>
      <c r="K296" s="26" t="n">
        <v>0.4</v>
      </c>
      <c r="L296" s="3" t="inlineStr">
        <is>
          <t>2026-08-24</t>
        </is>
      </c>
      <c r="M296" s="27" t="n">
        <v>53</v>
      </c>
      <c r="N296" s="27" t="n">
        <v>368</v>
      </c>
      <c r="O296" s="3" t="inlineStr">
        <is>
          <t>speculative</t>
        </is>
      </c>
      <c r="P296" s="3" t="inlineStr">
        <is>
          <t>TPU v5p,TPU v5e</t>
        </is>
      </c>
      <c r="Q296" s="3" t="inlineStr">
        <is>
          <t>epoch_user_site_equal_split_seed</t>
        </is>
      </c>
      <c r="R296" s="3" t="inlineStr">
        <is>
          <t>SRC_EPOCH_AI_DATA_CENTERS; EPOCH_NORMALIZED_USER_SITES</t>
        </is>
      </c>
      <c r="S296" s="3" t="inlineStr">
        <is>
          <t>Capacity weight is used only to weight accelerator mix, not to overwrite company total power in 02_Inputs.</t>
        </is>
      </c>
    </row>
    <row r="297">
      <c r="A297" s="3" t="inlineStr">
        <is>
          <t>Bull|Google|2027|Google Pryor (North)</t>
        </is>
      </c>
      <c r="B297" s="3" t="inlineStr">
        <is>
          <t>Bull</t>
        </is>
      </c>
      <c r="C297" s="3" t="inlineStr">
        <is>
          <t>Google</t>
        </is>
      </c>
      <c r="D297" s="3" t="n">
        <v>2027</v>
      </c>
      <c r="E297" s="3" t="inlineStr">
        <is>
          <t>Google Pryor (North)</t>
        </is>
      </c>
      <c r="F297" s="3" t="inlineStr">
        <is>
          <t>Google</t>
        </is>
      </c>
      <c r="G297" s="3" t="inlineStr">
        <is>
          <t>United States</t>
        </is>
      </c>
      <c r="H297" s="25" t="n">
        <v>368</v>
      </c>
      <c r="I297" s="17" t="n">
        <v>1</v>
      </c>
      <c r="J297" s="17" t="n">
        <v>0.65</v>
      </c>
      <c r="K297" s="26" t="n">
        <v>0.35</v>
      </c>
      <c r="L297" s="3" t="inlineStr">
        <is>
          <t>2026-08-24</t>
        </is>
      </c>
      <c r="M297" s="27" t="n">
        <v>53</v>
      </c>
      <c r="N297" s="27" t="n">
        <v>368</v>
      </c>
      <c r="O297" s="3" t="inlineStr">
        <is>
          <t>speculative</t>
        </is>
      </c>
      <c r="P297" s="3" t="inlineStr">
        <is>
          <t>TPU v5p,TPU v5e</t>
        </is>
      </c>
      <c r="Q297" s="3" t="inlineStr">
        <is>
          <t>epoch_user_site_equal_split_seed</t>
        </is>
      </c>
      <c r="R297" s="3" t="inlineStr">
        <is>
          <t>SRC_EPOCH_AI_DATA_CENTERS; EPOCH_NORMALIZED_USER_SITES</t>
        </is>
      </c>
      <c r="S297" s="3" t="inlineStr">
        <is>
          <t>Capacity weight is used only to weight accelerator mix, not to overwrite company total power in 02_Inputs.</t>
        </is>
      </c>
    </row>
    <row r="298">
      <c r="A298" s="3" t="inlineStr">
        <is>
          <t>Bull|Google|2028|Google Pryor (North)</t>
        </is>
      </c>
      <c r="B298" s="3" t="inlineStr">
        <is>
          <t>Bull</t>
        </is>
      </c>
      <c r="C298" s="3" t="inlineStr">
        <is>
          <t>Google</t>
        </is>
      </c>
      <c r="D298" s="3" t="n">
        <v>2028</v>
      </c>
      <c r="E298" s="3" t="inlineStr">
        <is>
          <t>Google Pryor (North)</t>
        </is>
      </c>
      <c r="F298" s="3" t="inlineStr">
        <is>
          <t>Google</t>
        </is>
      </c>
      <c r="G298" s="3" t="inlineStr">
        <is>
          <t>United States</t>
        </is>
      </c>
      <c r="H298" s="25" t="n">
        <v>368</v>
      </c>
      <c r="I298" s="17" t="n">
        <v>1</v>
      </c>
      <c r="J298" s="17" t="n">
        <v>0.7</v>
      </c>
      <c r="K298" s="26" t="n">
        <v>0.3</v>
      </c>
      <c r="L298" s="3" t="inlineStr">
        <is>
          <t>2026-08-24</t>
        </is>
      </c>
      <c r="M298" s="27" t="n">
        <v>53</v>
      </c>
      <c r="N298" s="27" t="n">
        <v>368</v>
      </c>
      <c r="O298" s="3" t="inlineStr">
        <is>
          <t>speculative</t>
        </is>
      </c>
      <c r="P298" s="3" t="inlineStr">
        <is>
          <t>TPU v5p,TPU v5e</t>
        </is>
      </c>
      <c r="Q298" s="3" t="inlineStr">
        <is>
          <t>epoch_user_site_equal_split_seed</t>
        </is>
      </c>
      <c r="R298" s="3" t="inlineStr">
        <is>
          <t>SRC_EPOCH_AI_DATA_CENTERS; EPOCH_NORMALIZED_USER_SITES</t>
        </is>
      </c>
      <c r="S298" s="3" t="inlineStr">
        <is>
          <t>Capacity weight is used only to weight accelerator mix, not to overwrite company total power in 02_Inputs.</t>
        </is>
      </c>
    </row>
    <row r="299">
      <c r="A299" s="3" t="inlineStr">
        <is>
          <t>Bull|Google|2029|Google Pryor (North)</t>
        </is>
      </c>
      <c r="B299" s="3" t="inlineStr">
        <is>
          <t>Bull</t>
        </is>
      </c>
      <c r="C299" s="3" t="inlineStr">
        <is>
          <t>Google</t>
        </is>
      </c>
      <c r="D299" s="3" t="n">
        <v>2029</v>
      </c>
      <c r="E299" s="3" t="inlineStr">
        <is>
          <t>Google Pryor (North)</t>
        </is>
      </c>
      <c r="F299" s="3" t="inlineStr">
        <is>
          <t>Google</t>
        </is>
      </c>
      <c r="G299" s="3" t="inlineStr">
        <is>
          <t>United States</t>
        </is>
      </c>
      <c r="H299" s="25" t="n">
        <v>368</v>
      </c>
      <c r="I299" s="17" t="n">
        <v>1</v>
      </c>
      <c r="J299" s="17" t="n">
        <v>0.75</v>
      </c>
      <c r="K299" s="26" t="n">
        <v>0.25</v>
      </c>
      <c r="L299" s="3" t="inlineStr">
        <is>
          <t>2026-08-24</t>
        </is>
      </c>
      <c r="M299" s="27" t="n">
        <v>53</v>
      </c>
      <c r="N299" s="27" t="n">
        <v>368</v>
      </c>
      <c r="O299" s="3" t="inlineStr">
        <is>
          <t>speculative</t>
        </is>
      </c>
      <c r="P299" s="3" t="inlineStr">
        <is>
          <t>TPU v5p,TPU v5e</t>
        </is>
      </c>
      <c r="Q299" s="3" t="inlineStr">
        <is>
          <t>epoch_user_site_equal_split_seed</t>
        </is>
      </c>
      <c r="R299" s="3" t="inlineStr">
        <is>
          <t>SRC_EPOCH_AI_DATA_CENTERS; EPOCH_NORMALIZED_USER_SITES</t>
        </is>
      </c>
      <c r="S299" s="3" t="inlineStr">
        <is>
          <t>Capacity weight is used only to weight accelerator mix, not to overwrite company total power in 02_Inputs.</t>
        </is>
      </c>
    </row>
    <row r="300">
      <c r="A300" s="3" t="inlineStr">
        <is>
          <t>Bull|Google|2030|Google Pryor (North)</t>
        </is>
      </c>
      <c r="B300" s="3" t="inlineStr">
        <is>
          <t>Bull</t>
        </is>
      </c>
      <c r="C300" s="3" t="inlineStr">
        <is>
          <t>Google</t>
        </is>
      </c>
      <c r="D300" s="3" t="n">
        <v>2030</v>
      </c>
      <c r="E300" s="3" t="inlineStr">
        <is>
          <t>Google Pryor (North)</t>
        </is>
      </c>
      <c r="F300" s="3" t="inlineStr">
        <is>
          <t>Google</t>
        </is>
      </c>
      <c r="G300" s="3" t="inlineStr">
        <is>
          <t>United States</t>
        </is>
      </c>
      <c r="H300" s="25" t="n">
        <v>368</v>
      </c>
      <c r="I300" s="17" t="n">
        <v>1</v>
      </c>
      <c r="J300" s="17" t="n">
        <v>0.8</v>
      </c>
      <c r="K300" s="26" t="n">
        <v>0.2</v>
      </c>
      <c r="L300" s="3" t="inlineStr">
        <is>
          <t>2026-08-24</t>
        </is>
      </c>
      <c r="M300" s="27" t="n">
        <v>53</v>
      </c>
      <c r="N300" s="27" t="n">
        <v>368</v>
      </c>
      <c r="O300" s="3" t="inlineStr">
        <is>
          <t>speculative</t>
        </is>
      </c>
      <c r="P300" s="3" t="inlineStr">
        <is>
          <t>TPU v5p,TPU v5e</t>
        </is>
      </c>
      <c r="Q300" s="3" t="inlineStr">
        <is>
          <t>epoch_user_site_equal_split_seed</t>
        </is>
      </c>
      <c r="R300" s="3" t="inlineStr">
        <is>
          <t>SRC_EPOCH_AI_DATA_CENTERS; EPOCH_NORMALIZED_USER_SITES</t>
        </is>
      </c>
      <c r="S300" s="3" t="inlineStr">
        <is>
          <t>Capacity weight is used only to weight accelerator mix, not to overwrite company total power in 02_Inputs.</t>
        </is>
      </c>
    </row>
    <row r="301">
      <c r="A301" s="3" t="inlineStr">
        <is>
          <t>Grid-Constrained / Efficiency-Upside|Google|2026|Google Pryor (North)</t>
        </is>
      </c>
      <c r="B301" s="3" t="inlineStr">
        <is>
          <t>Grid-Constrained / Efficiency-Upside</t>
        </is>
      </c>
      <c r="C301" s="3" t="inlineStr">
        <is>
          <t>Google</t>
        </is>
      </c>
      <c r="D301" s="3" t="n">
        <v>2026</v>
      </c>
      <c r="E301" s="3" t="inlineStr">
        <is>
          <t>Google Pryor (North)</t>
        </is>
      </c>
      <c r="F301" s="3" t="inlineStr">
        <is>
          <t>Google</t>
        </is>
      </c>
      <c r="G301" s="3" t="inlineStr">
        <is>
          <t>United States</t>
        </is>
      </c>
      <c r="H301" s="25" t="n">
        <v>368</v>
      </c>
      <c r="I301" s="17" t="n">
        <v>1</v>
      </c>
      <c r="J301" s="17" t="n">
        <v>0.57</v>
      </c>
      <c r="K301" s="26" t="n">
        <v>0.43</v>
      </c>
      <c r="L301" s="3" t="inlineStr">
        <is>
          <t>2026-08-24</t>
        </is>
      </c>
      <c r="M301" s="27" t="n">
        <v>53</v>
      </c>
      <c r="N301" s="27" t="n">
        <v>368</v>
      </c>
      <c r="O301" s="3" t="inlineStr">
        <is>
          <t>speculative</t>
        </is>
      </c>
      <c r="P301" s="3" t="inlineStr">
        <is>
          <t>TPU v5p,TPU v5e</t>
        </is>
      </c>
      <c r="Q301" s="3" t="inlineStr">
        <is>
          <t>epoch_user_site_equal_split_seed</t>
        </is>
      </c>
      <c r="R301" s="3" t="inlineStr">
        <is>
          <t>SRC_EPOCH_AI_DATA_CENTERS; EPOCH_NORMALIZED_USER_SITES</t>
        </is>
      </c>
      <c r="S301" s="3" t="inlineStr">
        <is>
          <t>Capacity weight is used only to weight accelerator mix, not to overwrite company total power in 02_Inputs.</t>
        </is>
      </c>
    </row>
    <row r="302">
      <c r="A302" s="3" t="inlineStr">
        <is>
          <t>Grid-Constrained / Efficiency-Upside|Google|2027|Google Pryor (North)</t>
        </is>
      </c>
      <c r="B302" s="3" t="inlineStr">
        <is>
          <t>Grid-Constrained / Efficiency-Upside</t>
        </is>
      </c>
      <c r="C302" s="3" t="inlineStr">
        <is>
          <t>Google</t>
        </is>
      </c>
      <c r="D302" s="3" t="n">
        <v>2027</v>
      </c>
      <c r="E302" s="3" t="inlineStr">
        <is>
          <t>Google Pryor (North)</t>
        </is>
      </c>
      <c r="F302" s="3" t="inlineStr">
        <is>
          <t>Google</t>
        </is>
      </c>
      <c r="G302" s="3" t="inlineStr">
        <is>
          <t>United States</t>
        </is>
      </c>
      <c r="H302" s="25" t="n">
        <v>368</v>
      </c>
      <c r="I302" s="17" t="n">
        <v>1</v>
      </c>
      <c r="J302" s="17" t="n">
        <v>0.618</v>
      </c>
      <c r="K302" s="26" t="n">
        <v>0.382</v>
      </c>
      <c r="L302" s="3" t="inlineStr">
        <is>
          <t>2026-08-24</t>
        </is>
      </c>
      <c r="M302" s="27" t="n">
        <v>53</v>
      </c>
      <c r="N302" s="27" t="n">
        <v>368</v>
      </c>
      <c r="O302" s="3" t="inlineStr">
        <is>
          <t>speculative</t>
        </is>
      </c>
      <c r="P302" s="3" t="inlineStr">
        <is>
          <t>TPU v5p,TPU v5e</t>
        </is>
      </c>
      <c r="Q302" s="3" t="inlineStr">
        <is>
          <t>epoch_user_site_equal_split_seed</t>
        </is>
      </c>
      <c r="R302" s="3" t="inlineStr">
        <is>
          <t>SRC_EPOCH_AI_DATA_CENTERS; EPOCH_NORMALIZED_USER_SITES</t>
        </is>
      </c>
      <c r="S302" s="3" t="inlineStr">
        <is>
          <t>Capacity weight is used only to weight accelerator mix, not to overwrite company total power in 02_Inputs.</t>
        </is>
      </c>
    </row>
    <row r="303">
      <c r="A303" s="3" t="inlineStr">
        <is>
          <t>Grid-Constrained / Efficiency-Upside|Google|2028|Google Pryor (North)</t>
        </is>
      </c>
      <c r="B303" s="3" t="inlineStr">
        <is>
          <t>Grid-Constrained / Efficiency-Upside</t>
        </is>
      </c>
      <c r="C303" s="3" t="inlineStr">
        <is>
          <t>Google</t>
        </is>
      </c>
      <c r="D303" s="3" t="n">
        <v>2028</v>
      </c>
      <c r="E303" s="3" t="inlineStr">
        <is>
          <t>Google Pryor (North)</t>
        </is>
      </c>
      <c r="F303" s="3" t="inlineStr">
        <is>
          <t>Google</t>
        </is>
      </c>
      <c r="G303" s="3" t="inlineStr">
        <is>
          <t>United States</t>
        </is>
      </c>
      <c r="H303" s="25" t="n">
        <v>368</v>
      </c>
      <c r="I303" s="17" t="n">
        <v>1</v>
      </c>
      <c r="J303" s="17" t="n">
        <v>0.665</v>
      </c>
      <c r="K303" s="26" t="n">
        <v>0.335</v>
      </c>
      <c r="L303" s="3" t="inlineStr">
        <is>
          <t>2026-08-24</t>
        </is>
      </c>
      <c r="M303" s="27" t="n">
        <v>53</v>
      </c>
      <c r="N303" s="27" t="n">
        <v>368</v>
      </c>
      <c r="O303" s="3" t="inlineStr">
        <is>
          <t>speculative</t>
        </is>
      </c>
      <c r="P303" s="3" t="inlineStr">
        <is>
          <t>TPU v5p,TPU v5e</t>
        </is>
      </c>
      <c r="Q303" s="3" t="inlineStr">
        <is>
          <t>epoch_user_site_equal_split_seed</t>
        </is>
      </c>
      <c r="R303" s="3" t="inlineStr">
        <is>
          <t>SRC_EPOCH_AI_DATA_CENTERS; EPOCH_NORMALIZED_USER_SITES</t>
        </is>
      </c>
      <c r="S303" s="3" t="inlineStr">
        <is>
          <t>Capacity weight is used only to weight accelerator mix, not to overwrite company total power in 02_Inputs.</t>
        </is>
      </c>
    </row>
    <row r="304">
      <c r="A304" s="3" t="inlineStr">
        <is>
          <t>Grid-Constrained / Efficiency-Upside|Google|2029|Google Pryor (North)</t>
        </is>
      </c>
      <c r="B304" s="3" t="inlineStr">
        <is>
          <t>Grid-Constrained / Efficiency-Upside</t>
        </is>
      </c>
      <c r="C304" s="3" t="inlineStr">
        <is>
          <t>Google</t>
        </is>
      </c>
      <c r="D304" s="3" t="n">
        <v>2029</v>
      </c>
      <c r="E304" s="3" t="inlineStr">
        <is>
          <t>Google Pryor (North)</t>
        </is>
      </c>
      <c r="F304" s="3" t="inlineStr">
        <is>
          <t>Google</t>
        </is>
      </c>
      <c r="G304" s="3" t="inlineStr">
        <is>
          <t>United States</t>
        </is>
      </c>
      <c r="H304" s="25" t="n">
        <v>368</v>
      </c>
      <c r="I304" s="17" t="n">
        <v>1</v>
      </c>
      <c r="J304" s="17" t="n">
        <v>0.713</v>
      </c>
      <c r="K304" s="26" t="n">
        <v>0.287</v>
      </c>
      <c r="L304" s="3" t="inlineStr">
        <is>
          <t>2026-08-24</t>
        </is>
      </c>
      <c r="M304" s="27" t="n">
        <v>53</v>
      </c>
      <c r="N304" s="27" t="n">
        <v>368</v>
      </c>
      <c r="O304" s="3" t="inlineStr">
        <is>
          <t>speculative</t>
        </is>
      </c>
      <c r="P304" s="3" t="inlineStr">
        <is>
          <t>TPU v5p,TPU v5e</t>
        </is>
      </c>
      <c r="Q304" s="3" t="inlineStr">
        <is>
          <t>epoch_user_site_equal_split_seed</t>
        </is>
      </c>
      <c r="R304" s="3" t="inlineStr">
        <is>
          <t>SRC_EPOCH_AI_DATA_CENTERS; EPOCH_NORMALIZED_USER_SITES</t>
        </is>
      </c>
      <c r="S304" s="3" t="inlineStr">
        <is>
          <t>Capacity weight is used only to weight accelerator mix, not to overwrite company total power in 02_Inputs.</t>
        </is>
      </c>
    </row>
    <row r="305">
      <c r="A305" s="3" t="inlineStr">
        <is>
          <t>Grid-Constrained / Efficiency-Upside|Google|2030|Google Pryor (North)</t>
        </is>
      </c>
      <c r="B305" s="3" t="inlineStr">
        <is>
          <t>Grid-Constrained / Efficiency-Upside</t>
        </is>
      </c>
      <c r="C305" s="3" t="inlineStr">
        <is>
          <t>Google</t>
        </is>
      </c>
      <c r="D305" s="3" t="n">
        <v>2030</v>
      </c>
      <c r="E305" s="3" t="inlineStr">
        <is>
          <t>Google Pryor (North)</t>
        </is>
      </c>
      <c r="F305" s="3" t="inlineStr">
        <is>
          <t>Google</t>
        </is>
      </c>
      <c r="G305" s="3" t="inlineStr">
        <is>
          <t>United States</t>
        </is>
      </c>
      <c r="H305" s="25" t="n">
        <v>368</v>
      </c>
      <c r="I305" s="17" t="n">
        <v>1</v>
      </c>
      <c r="J305" s="17" t="n">
        <v>0.76</v>
      </c>
      <c r="K305" s="26" t="n">
        <v>0.24</v>
      </c>
      <c r="L305" s="3" t="inlineStr">
        <is>
          <t>2026-08-24</t>
        </is>
      </c>
      <c r="M305" s="27" t="n">
        <v>53</v>
      </c>
      <c r="N305" s="27" t="n">
        <v>368</v>
      </c>
      <c r="O305" s="3" t="inlineStr">
        <is>
          <t>speculative</t>
        </is>
      </c>
      <c r="P305" s="3" t="inlineStr">
        <is>
          <t>TPU v5p,TPU v5e</t>
        </is>
      </c>
      <c r="Q305" s="3" t="inlineStr">
        <is>
          <t>epoch_user_site_equal_split_seed</t>
        </is>
      </c>
      <c r="R305" s="3" t="inlineStr">
        <is>
          <t>SRC_EPOCH_AI_DATA_CENTERS; EPOCH_NORMALIZED_USER_SITES</t>
        </is>
      </c>
      <c r="S305" s="3" t="inlineStr">
        <is>
          <t>Capacity weight is used only to weight accelerator mix, not to overwrite company total power in 02_Inputs.</t>
        </is>
      </c>
    </row>
    <row r="306">
      <c r="A306" s="3" t="inlineStr">
        <is>
          <t>Bear|Google|2026|Google Storey County</t>
        </is>
      </c>
      <c r="B306" s="3" t="inlineStr">
        <is>
          <t>Bear</t>
        </is>
      </c>
      <c r="C306" s="3" t="inlineStr">
        <is>
          <t>Google</t>
        </is>
      </c>
      <c r="D306" s="3" t="n">
        <v>2026</v>
      </c>
      <c r="E306" s="3" t="inlineStr">
        <is>
          <t>Google Storey County</t>
        </is>
      </c>
      <c r="F306" s="3" t="inlineStr">
        <is>
          <t>Google</t>
        </is>
      </c>
      <c r="G306" s="3" t="inlineStr">
        <is>
          <t>United States</t>
        </is>
      </c>
      <c r="H306" s="25" t="n">
        <v>161</v>
      </c>
      <c r="I306" s="17" t="n">
        <v>1</v>
      </c>
      <c r="J306" s="17" t="n">
        <v>0.47</v>
      </c>
      <c r="K306" s="26" t="n">
        <v>0.53</v>
      </c>
      <c r="L306" s="3" t="inlineStr">
        <is>
          <t>2027-06-30</t>
        </is>
      </c>
      <c r="M306" s="27" t="n">
        <v>161</v>
      </c>
      <c r="N306" s="27" t="n">
        <v>300</v>
      </c>
      <c r="O306" s="3" t="inlineStr">
        <is>
          <t>speculative</t>
        </is>
      </c>
      <c r="P306" s="3" t="inlineStr">
        <is>
          <t>TPU v5e,TPU v6e</t>
        </is>
      </c>
      <c r="Q306" s="3" t="inlineStr">
        <is>
          <t>epoch_user_site_equal_split_seed</t>
        </is>
      </c>
      <c r="R306" s="3" t="inlineStr">
        <is>
          <t>SRC_EPOCH_AI_DATA_CENTERS; EPOCH_NORMALIZED_USER_SITES</t>
        </is>
      </c>
      <c r="S306" s="3" t="inlineStr">
        <is>
          <t>Capacity weight is used only to weight accelerator mix, not to overwrite company total power in 02_Inputs.</t>
        </is>
      </c>
    </row>
    <row r="307">
      <c r="A307" s="3" t="inlineStr">
        <is>
          <t>Bear|Google|2027|Google Storey County</t>
        </is>
      </c>
      <c r="B307" s="3" t="inlineStr">
        <is>
          <t>Bear</t>
        </is>
      </c>
      <c r="C307" s="3" t="inlineStr">
        <is>
          <t>Google</t>
        </is>
      </c>
      <c r="D307" s="3" t="n">
        <v>2027</v>
      </c>
      <c r="E307" s="3" t="inlineStr">
        <is>
          <t>Google Storey County</t>
        </is>
      </c>
      <c r="F307" s="3" t="inlineStr">
        <is>
          <t>Google</t>
        </is>
      </c>
      <c r="G307" s="3" t="inlineStr">
        <is>
          <t>United States</t>
        </is>
      </c>
      <c r="H307" s="25" t="n">
        <v>300</v>
      </c>
      <c r="I307" s="17" t="n">
        <v>1</v>
      </c>
      <c r="J307" s="17" t="n">
        <v>0.508</v>
      </c>
      <c r="K307" s="26" t="n">
        <v>0.492</v>
      </c>
      <c r="L307" s="3" t="inlineStr">
        <is>
          <t>2027-06-30</t>
        </is>
      </c>
      <c r="M307" s="27" t="n">
        <v>161</v>
      </c>
      <c r="N307" s="27" t="n">
        <v>300</v>
      </c>
      <c r="O307" s="3" t="inlineStr">
        <is>
          <t>speculative</t>
        </is>
      </c>
      <c r="P307" s="3" t="inlineStr">
        <is>
          <t>TPU v5e,TPU v6e</t>
        </is>
      </c>
      <c r="Q307" s="3" t="inlineStr">
        <is>
          <t>epoch_user_site_equal_split_seed</t>
        </is>
      </c>
      <c r="R307" s="3" t="inlineStr">
        <is>
          <t>SRC_EPOCH_AI_DATA_CENTERS; EPOCH_NORMALIZED_USER_SITES</t>
        </is>
      </c>
      <c r="S307" s="3" t="inlineStr">
        <is>
          <t>Capacity weight is used only to weight accelerator mix, not to overwrite company total power in 02_Inputs.</t>
        </is>
      </c>
    </row>
    <row r="308">
      <c r="A308" s="3" t="inlineStr">
        <is>
          <t>Bear|Google|2028|Google Storey County</t>
        </is>
      </c>
      <c r="B308" s="3" t="inlineStr">
        <is>
          <t>Bear</t>
        </is>
      </c>
      <c r="C308" s="3" t="inlineStr">
        <is>
          <t>Google</t>
        </is>
      </c>
      <c r="D308" s="3" t="n">
        <v>2028</v>
      </c>
      <c r="E308" s="3" t="inlineStr">
        <is>
          <t>Google Storey County</t>
        </is>
      </c>
      <c r="F308" s="3" t="inlineStr">
        <is>
          <t>Google</t>
        </is>
      </c>
      <c r="G308" s="3" t="inlineStr">
        <is>
          <t>United States</t>
        </is>
      </c>
      <c r="H308" s="25" t="n">
        <v>300</v>
      </c>
      <c r="I308" s="17" t="n">
        <v>1</v>
      </c>
      <c r="J308" s="17" t="n">
        <v>0.545</v>
      </c>
      <c r="K308" s="26" t="n">
        <v>0.455</v>
      </c>
      <c r="L308" s="3" t="inlineStr">
        <is>
          <t>2027-06-30</t>
        </is>
      </c>
      <c r="M308" s="27" t="n">
        <v>161</v>
      </c>
      <c r="N308" s="27" t="n">
        <v>300</v>
      </c>
      <c r="O308" s="3" t="inlineStr">
        <is>
          <t>speculative</t>
        </is>
      </c>
      <c r="P308" s="3" t="inlineStr">
        <is>
          <t>TPU v5e,TPU v6e</t>
        </is>
      </c>
      <c r="Q308" s="3" t="inlineStr">
        <is>
          <t>epoch_user_site_equal_split_seed</t>
        </is>
      </c>
      <c r="R308" s="3" t="inlineStr">
        <is>
          <t>SRC_EPOCH_AI_DATA_CENTERS; EPOCH_NORMALIZED_USER_SITES</t>
        </is>
      </c>
      <c r="S308" s="3" t="inlineStr">
        <is>
          <t>Capacity weight is used only to weight accelerator mix, not to overwrite company total power in 02_Inputs.</t>
        </is>
      </c>
    </row>
    <row r="309">
      <c r="A309" s="3" t="inlineStr">
        <is>
          <t>Bear|Google|2029|Google Storey County</t>
        </is>
      </c>
      <c r="B309" s="3" t="inlineStr">
        <is>
          <t>Bear</t>
        </is>
      </c>
      <c r="C309" s="3" t="inlineStr">
        <is>
          <t>Google</t>
        </is>
      </c>
      <c r="D309" s="3" t="n">
        <v>2029</v>
      </c>
      <c r="E309" s="3" t="inlineStr">
        <is>
          <t>Google Storey County</t>
        </is>
      </c>
      <c r="F309" s="3" t="inlineStr">
        <is>
          <t>Google</t>
        </is>
      </c>
      <c r="G309" s="3" t="inlineStr">
        <is>
          <t>United States</t>
        </is>
      </c>
      <c r="H309" s="25" t="n">
        <v>300</v>
      </c>
      <c r="I309" s="17" t="n">
        <v>1</v>
      </c>
      <c r="J309" s="17" t="n">
        <v>0.583</v>
      </c>
      <c r="K309" s="26" t="n">
        <v>0.417</v>
      </c>
      <c r="L309" s="3" t="inlineStr">
        <is>
          <t>2027-06-30</t>
        </is>
      </c>
      <c r="M309" s="27" t="n">
        <v>161</v>
      </c>
      <c r="N309" s="27" t="n">
        <v>300</v>
      </c>
      <c r="O309" s="3" t="inlineStr">
        <is>
          <t>speculative</t>
        </is>
      </c>
      <c r="P309" s="3" t="inlineStr">
        <is>
          <t>TPU v5e,TPU v6e</t>
        </is>
      </c>
      <c r="Q309" s="3" t="inlineStr">
        <is>
          <t>epoch_user_site_equal_split_seed</t>
        </is>
      </c>
      <c r="R309" s="3" t="inlineStr">
        <is>
          <t>SRC_EPOCH_AI_DATA_CENTERS; EPOCH_NORMALIZED_USER_SITES</t>
        </is>
      </c>
      <c r="S309" s="3" t="inlineStr">
        <is>
          <t>Capacity weight is used only to weight accelerator mix, not to overwrite company total power in 02_Inputs.</t>
        </is>
      </c>
    </row>
    <row r="310">
      <c r="A310" s="3" t="inlineStr">
        <is>
          <t>Bear|Google|2030|Google Storey County</t>
        </is>
      </c>
      <c r="B310" s="3" t="inlineStr">
        <is>
          <t>Bear</t>
        </is>
      </c>
      <c r="C310" s="3" t="inlineStr">
        <is>
          <t>Google</t>
        </is>
      </c>
      <c r="D310" s="3" t="n">
        <v>2030</v>
      </c>
      <c r="E310" s="3" t="inlineStr">
        <is>
          <t>Google Storey County</t>
        </is>
      </c>
      <c r="F310" s="3" t="inlineStr">
        <is>
          <t>Google</t>
        </is>
      </c>
      <c r="G310" s="3" t="inlineStr">
        <is>
          <t>United States</t>
        </is>
      </c>
      <c r="H310" s="25" t="n">
        <v>300</v>
      </c>
      <c r="I310" s="17" t="n">
        <v>1</v>
      </c>
      <c r="J310" s="17" t="n">
        <v>0.62</v>
      </c>
      <c r="K310" s="26" t="n">
        <v>0.38</v>
      </c>
      <c r="L310" s="3" t="inlineStr">
        <is>
          <t>2027-06-30</t>
        </is>
      </c>
      <c r="M310" s="27" t="n">
        <v>161</v>
      </c>
      <c r="N310" s="27" t="n">
        <v>300</v>
      </c>
      <c r="O310" s="3" t="inlineStr">
        <is>
          <t>speculative</t>
        </is>
      </c>
      <c r="P310" s="3" t="inlineStr">
        <is>
          <t>TPU v5e,TPU v6e</t>
        </is>
      </c>
      <c r="Q310" s="3" t="inlineStr">
        <is>
          <t>epoch_user_site_equal_split_seed</t>
        </is>
      </c>
      <c r="R310" s="3" t="inlineStr">
        <is>
          <t>SRC_EPOCH_AI_DATA_CENTERS; EPOCH_NORMALIZED_USER_SITES</t>
        </is>
      </c>
      <c r="S310" s="3" t="inlineStr">
        <is>
          <t>Capacity weight is used only to weight accelerator mix, not to overwrite company total power in 02_Inputs.</t>
        </is>
      </c>
    </row>
    <row r="311">
      <c r="A311" s="3" t="inlineStr">
        <is>
          <t>Base|Google|2026|Google Storey County</t>
        </is>
      </c>
      <c r="B311" s="3" t="inlineStr">
        <is>
          <t>Base</t>
        </is>
      </c>
      <c r="C311" s="3" t="inlineStr">
        <is>
          <t>Google</t>
        </is>
      </c>
      <c r="D311" s="3" t="n">
        <v>2026</v>
      </c>
      <c r="E311" s="3" t="inlineStr">
        <is>
          <t>Google Storey County</t>
        </is>
      </c>
      <c r="F311" s="3" t="inlineStr">
        <is>
          <t>Google</t>
        </is>
      </c>
      <c r="G311" s="3" t="inlineStr">
        <is>
          <t>United States</t>
        </is>
      </c>
      <c r="H311" s="25" t="n">
        <v>161</v>
      </c>
      <c r="I311" s="17" t="n">
        <v>1</v>
      </c>
      <c r="J311" s="17" t="n">
        <v>0.55</v>
      </c>
      <c r="K311" s="26" t="n">
        <v>0.45</v>
      </c>
      <c r="L311" s="3" t="inlineStr">
        <is>
          <t>2027-06-30</t>
        </is>
      </c>
      <c r="M311" s="27" t="n">
        <v>161</v>
      </c>
      <c r="N311" s="27" t="n">
        <v>300</v>
      </c>
      <c r="O311" s="3" t="inlineStr">
        <is>
          <t>speculative</t>
        </is>
      </c>
      <c r="P311" s="3" t="inlineStr">
        <is>
          <t>TPU v5e,TPU v6e</t>
        </is>
      </c>
      <c r="Q311" s="3" t="inlineStr">
        <is>
          <t>epoch_user_site_equal_split_seed</t>
        </is>
      </c>
      <c r="R311" s="3" t="inlineStr">
        <is>
          <t>SRC_EPOCH_AI_DATA_CENTERS; EPOCH_NORMALIZED_USER_SITES</t>
        </is>
      </c>
      <c r="S311" s="3" t="inlineStr">
        <is>
          <t>Capacity weight is used only to weight accelerator mix, not to overwrite company total power in 02_Inputs.</t>
        </is>
      </c>
    </row>
    <row r="312">
      <c r="A312" s="3" t="inlineStr">
        <is>
          <t>Base|Google|2027|Google Storey County</t>
        </is>
      </c>
      <c r="B312" s="3" t="inlineStr">
        <is>
          <t>Base</t>
        </is>
      </c>
      <c r="C312" s="3" t="inlineStr">
        <is>
          <t>Google</t>
        </is>
      </c>
      <c r="D312" s="3" t="n">
        <v>2027</v>
      </c>
      <c r="E312" s="3" t="inlineStr">
        <is>
          <t>Google Storey County</t>
        </is>
      </c>
      <c r="F312" s="3" t="inlineStr">
        <is>
          <t>Google</t>
        </is>
      </c>
      <c r="G312" s="3" t="inlineStr">
        <is>
          <t>United States</t>
        </is>
      </c>
      <c r="H312" s="25" t="n">
        <v>300</v>
      </c>
      <c r="I312" s="17" t="n">
        <v>1</v>
      </c>
      <c r="J312" s="17" t="n">
        <v>0.593</v>
      </c>
      <c r="K312" s="26" t="n">
        <v>0.407</v>
      </c>
      <c r="L312" s="3" t="inlineStr">
        <is>
          <t>2027-06-30</t>
        </is>
      </c>
      <c r="M312" s="27" t="n">
        <v>161</v>
      </c>
      <c r="N312" s="27" t="n">
        <v>300</v>
      </c>
      <c r="O312" s="3" t="inlineStr">
        <is>
          <t>speculative</t>
        </is>
      </c>
      <c r="P312" s="3" t="inlineStr">
        <is>
          <t>TPU v5e,TPU v6e</t>
        </is>
      </c>
      <c r="Q312" s="3" t="inlineStr">
        <is>
          <t>epoch_user_site_equal_split_seed</t>
        </is>
      </c>
      <c r="R312" s="3" t="inlineStr">
        <is>
          <t>SRC_EPOCH_AI_DATA_CENTERS; EPOCH_NORMALIZED_USER_SITES</t>
        </is>
      </c>
      <c r="S312" s="3" t="inlineStr">
        <is>
          <t>Capacity weight is used only to weight accelerator mix, not to overwrite company total power in 02_Inputs.</t>
        </is>
      </c>
    </row>
    <row r="313">
      <c r="A313" s="3" t="inlineStr">
        <is>
          <t>Base|Google|2028|Google Storey County</t>
        </is>
      </c>
      <c r="B313" s="3" t="inlineStr">
        <is>
          <t>Base</t>
        </is>
      </c>
      <c r="C313" s="3" t="inlineStr">
        <is>
          <t>Google</t>
        </is>
      </c>
      <c r="D313" s="3" t="n">
        <v>2028</v>
      </c>
      <c r="E313" s="3" t="inlineStr">
        <is>
          <t>Google Storey County</t>
        </is>
      </c>
      <c r="F313" s="3" t="inlineStr">
        <is>
          <t>Google</t>
        </is>
      </c>
      <c r="G313" s="3" t="inlineStr">
        <is>
          <t>United States</t>
        </is>
      </c>
      <c r="H313" s="25" t="n">
        <v>300</v>
      </c>
      <c r="I313" s="17" t="n">
        <v>1</v>
      </c>
      <c r="J313" s="17" t="n">
        <v>0.635</v>
      </c>
      <c r="K313" s="26" t="n">
        <v>0.365</v>
      </c>
      <c r="L313" s="3" t="inlineStr">
        <is>
          <t>2027-06-30</t>
        </is>
      </c>
      <c r="M313" s="27" t="n">
        <v>161</v>
      </c>
      <c r="N313" s="27" t="n">
        <v>300</v>
      </c>
      <c r="O313" s="3" t="inlineStr">
        <is>
          <t>speculative</t>
        </is>
      </c>
      <c r="P313" s="3" t="inlineStr">
        <is>
          <t>TPU v5e,TPU v6e</t>
        </is>
      </c>
      <c r="Q313" s="3" t="inlineStr">
        <is>
          <t>epoch_user_site_equal_split_seed</t>
        </is>
      </c>
      <c r="R313" s="3" t="inlineStr">
        <is>
          <t>SRC_EPOCH_AI_DATA_CENTERS; EPOCH_NORMALIZED_USER_SITES</t>
        </is>
      </c>
      <c r="S313" s="3" t="inlineStr">
        <is>
          <t>Capacity weight is used only to weight accelerator mix, not to overwrite company total power in 02_Inputs.</t>
        </is>
      </c>
    </row>
    <row r="314">
      <c r="A314" s="3" t="inlineStr">
        <is>
          <t>Base|Google|2029|Google Storey County</t>
        </is>
      </c>
      <c r="B314" s="3" t="inlineStr">
        <is>
          <t>Base</t>
        </is>
      </c>
      <c r="C314" s="3" t="inlineStr">
        <is>
          <t>Google</t>
        </is>
      </c>
      <c r="D314" s="3" t="n">
        <v>2029</v>
      </c>
      <c r="E314" s="3" t="inlineStr">
        <is>
          <t>Google Storey County</t>
        </is>
      </c>
      <c r="F314" s="3" t="inlineStr">
        <is>
          <t>Google</t>
        </is>
      </c>
      <c r="G314" s="3" t="inlineStr">
        <is>
          <t>United States</t>
        </is>
      </c>
      <c r="H314" s="25" t="n">
        <v>300</v>
      </c>
      <c r="I314" s="17" t="n">
        <v>1</v>
      </c>
      <c r="J314" s="17" t="n">
        <v>0.677</v>
      </c>
      <c r="K314" s="26" t="n">
        <v>0.323</v>
      </c>
      <c r="L314" s="3" t="inlineStr">
        <is>
          <t>2027-06-30</t>
        </is>
      </c>
      <c r="M314" s="27" t="n">
        <v>161</v>
      </c>
      <c r="N314" s="27" t="n">
        <v>300</v>
      </c>
      <c r="O314" s="3" t="inlineStr">
        <is>
          <t>speculative</t>
        </is>
      </c>
      <c r="P314" s="3" t="inlineStr">
        <is>
          <t>TPU v5e,TPU v6e</t>
        </is>
      </c>
      <c r="Q314" s="3" t="inlineStr">
        <is>
          <t>epoch_user_site_equal_split_seed</t>
        </is>
      </c>
      <c r="R314" s="3" t="inlineStr">
        <is>
          <t>SRC_EPOCH_AI_DATA_CENTERS; EPOCH_NORMALIZED_USER_SITES</t>
        </is>
      </c>
      <c r="S314" s="3" t="inlineStr">
        <is>
          <t>Capacity weight is used only to weight accelerator mix, not to overwrite company total power in 02_Inputs.</t>
        </is>
      </c>
    </row>
    <row r="315">
      <c r="A315" s="3" t="inlineStr">
        <is>
          <t>Base|Google|2030|Google Storey County</t>
        </is>
      </c>
      <c r="B315" s="3" t="inlineStr">
        <is>
          <t>Base</t>
        </is>
      </c>
      <c r="C315" s="3" t="inlineStr">
        <is>
          <t>Google</t>
        </is>
      </c>
      <c r="D315" s="3" t="n">
        <v>2030</v>
      </c>
      <c r="E315" s="3" t="inlineStr">
        <is>
          <t>Google Storey County</t>
        </is>
      </c>
      <c r="F315" s="3" t="inlineStr">
        <is>
          <t>Google</t>
        </is>
      </c>
      <c r="G315" s="3" t="inlineStr">
        <is>
          <t>United States</t>
        </is>
      </c>
      <c r="H315" s="25" t="n">
        <v>300</v>
      </c>
      <c r="I315" s="17" t="n">
        <v>1</v>
      </c>
      <c r="J315" s="17" t="n">
        <v>0.72</v>
      </c>
      <c r="K315" s="26" t="n">
        <v>0.28</v>
      </c>
      <c r="L315" s="3" t="inlineStr">
        <is>
          <t>2027-06-30</t>
        </is>
      </c>
      <c r="M315" s="27" t="n">
        <v>161</v>
      </c>
      <c r="N315" s="27" t="n">
        <v>300</v>
      </c>
      <c r="O315" s="3" t="inlineStr">
        <is>
          <t>speculative</t>
        </is>
      </c>
      <c r="P315" s="3" t="inlineStr">
        <is>
          <t>TPU v5e,TPU v6e</t>
        </is>
      </c>
      <c r="Q315" s="3" t="inlineStr">
        <is>
          <t>epoch_user_site_equal_split_seed</t>
        </is>
      </c>
      <c r="R315" s="3" t="inlineStr">
        <is>
          <t>SRC_EPOCH_AI_DATA_CENTERS; EPOCH_NORMALIZED_USER_SITES</t>
        </is>
      </c>
      <c r="S315" s="3" t="inlineStr">
        <is>
          <t>Capacity weight is used only to weight accelerator mix, not to overwrite company total power in 02_Inputs.</t>
        </is>
      </c>
    </row>
    <row r="316">
      <c r="A316" s="3" t="inlineStr">
        <is>
          <t>Bull|Google|2026|Google Storey County</t>
        </is>
      </c>
      <c r="B316" s="3" t="inlineStr">
        <is>
          <t>Bull</t>
        </is>
      </c>
      <c r="C316" s="3" t="inlineStr">
        <is>
          <t>Google</t>
        </is>
      </c>
      <c r="D316" s="3" t="n">
        <v>2026</v>
      </c>
      <c r="E316" s="3" t="inlineStr">
        <is>
          <t>Google Storey County</t>
        </is>
      </c>
      <c r="F316" s="3" t="inlineStr">
        <is>
          <t>Google</t>
        </is>
      </c>
      <c r="G316" s="3" t="inlineStr">
        <is>
          <t>United States</t>
        </is>
      </c>
      <c r="H316" s="25" t="n">
        <v>161</v>
      </c>
      <c r="I316" s="17" t="n">
        <v>1</v>
      </c>
      <c r="J316" s="17" t="n">
        <v>0.6</v>
      </c>
      <c r="K316" s="26" t="n">
        <v>0.4</v>
      </c>
      <c r="L316" s="3" t="inlineStr">
        <is>
          <t>2027-06-30</t>
        </is>
      </c>
      <c r="M316" s="27" t="n">
        <v>161</v>
      </c>
      <c r="N316" s="27" t="n">
        <v>300</v>
      </c>
      <c r="O316" s="3" t="inlineStr">
        <is>
          <t>speculative</t>
        </is>
      </c>
      <c r="P316" s="3" t="inlineStr">
        <is>
          <t>TPU v5e,TPU v6e</t>
        </is>
      </c>
      <c r="Q316" s="3" t="inlineStr">
        <is>
          <t>epoch_user_site_equal_split_seed</t>
        </is>
      </c>
      <c r="R316" s="3" t="inlineStr">
        <is>
          <t>SRC_EPOCH_AI_DATA_CENTERS; EPOCH_NORMALIZED_USER_SITES</t>
        </is>
      </c>
      <c r="S316" s="3" t="inlineStr">
        <is>
          <t>Capacity weight is used only to weight accelerator mix, not to overwrite company total power in 02_Inputs.</t>
        </is>
      </c>
    </row>
    <row r="317">
      <c r="A317" s="3" t="inlineStr">
        <is>
          <t>Bull|Google|2027|Google Storey County</t>
        </is>
      </c>
      <c r="B317" s="3" t="inlineStr">
        <is>
          <t>Bull</t>
        </is>
      </c>
      <c r="C317" s="3" t="inlineStr">
        <is>
          <t>Google</t>
        </is>
      </c>
      <c r="D317" s="3" t="n">
        <v>2027</v>
      </c>
      <c r="E317" s="3" t="inlineStr">
        <is>
          <t>Google Storey County</t>
        </is>
      </c>
      <c r="F317" s="3" t="inlineStr">
        <is>
          <t>Google</t>
        </is>
      </c>
      <c r="G317" s="3" t="inlineStr">
        <is>
          <t>United States</t>
        </is>
      </c>
      <c r="H317" s="25" t="n">
        <v>300</v>
      </c>
      <c r="I317" s="17" t="n">
        <v>1</v>
      </c>
      <c r="J317" s="17" t="n">
        <v>0.65</v>
      </c>
      <c r="K317" s="26" t="n">
        <v>0.35</v>
      </c>
      <c r="L317" s="3" t="inlineStr">
        <is>
          <t>2027-06-30</t>
        </is>
      </c>
      <c r="M317" s="27" t="n">
        <v>161</v>
      </c>
      <c r="N317" s="27" t="n">
        <v>300</v>
      </c>
      <c r="O317" s="3" t="inlineStr">
        <is>
          <t>speculative</t>
        </is>
      </c>
      <c r="P317" s="3" t="inlineStr">
        <is>
          <t>TPU v5e,TPU v6e</t>
        </is>
      </c>
      <c r="Q317" s="3" t="inlineStr">
        <is>
          <t>epoch_user_site_equal_split_seed</t>
        </is>
      </c>
      <c r="R317" s="3" t="inlineStr">
        <is>
          <t>SRC_EPOCH_AI_DATA_CENTERS; EPOCH_NORMALIZED_USER_SITES</t>
        </is>
      </c>
      <c r="S317" s="3" t="inlineStr">
        <is>
          <t>Capacity weight is used only to weight accelerator mix, not to overwrite company total power in 02_Inputs.</t>
        </is>
      </c>
    </row>
    <row r="318">
      <c r="A318" s="3" t="inlineStr">
        <is>
          <t>Bull|Google|2028|Google Storey County</t>
        </is>
      </c>
      <c r="B318" s="3" t="inlineStr">
        <is>
          <t>Bull</t>
        </is>
      </c>
      <c r="C318" s="3" t="inlineStr">
        <is>
          <t>Google</t>
        </is>
      </c>
      <c r="D318" s="3" t="n">
        <v>2028</v>
      </c>
      <c r="E318" s="3" t="inlineStr">
        <is>
          <t>Google Storey County</t>
        </is>
      </c>
      <c r="F318" s="3" t="inlineStr">
        <is>
          <t>Google</t>
        </is>
      </c>
      <c r="G318" s="3" t="inlineStr">
        <is>
          <t>United States</t>
        </is>
      </c>
      <c r="H318" s="25" t="n">
        <v>300</v>
      </c>
      <c r="I318" s="17" t="n">
        <v>1</v>
      </c>
      <c r="J318" s="17" t="n">
        <v>0.7</v>
      </c>
      <c r="K318" s="26" t="n">
        <v>0.3</v>
      </c>
      <c r="L318" s="3" t="inlineStr">
        <is>
          <t>2027-06-30</t>
        </is>
      </c>
      <c r="M318" s="27" t="n">
        <v>161</v>
      </c>
      <c r="N318" s="27" t="n">
        <v>300</v>
      </c>
      <c r="O318" s="3" t="inlineStr">
        <is>
          <t>speculative</t>
        </is>
      </c>
      <c r="P318" s="3" t="inlineStr">
        <is>
          <t>TPU v5e,TPU v6e</t>
        </is>
      </c>
      <c r="Q318" s="3" t="inlineStr">
        <is>
          <t>epoch_user_site_equal_split_seed</t>
        </is>
      </c>
      <c r="R318" s="3" t="inlineStr">
        <is>
          <t>SRC_EPOCH_AI_DATA_CENTERS; EPOCH_NORMALIZED_USER_SITES</t>
        </is>
      </c>
      <c r="S318" s="3" t="inlineStr">
        <is>
          <t>Capacity weight is used only to weight accelerator mix, not to overwrite company total power in 02_Inputs.</t>
        </is>
      </c>
    </row>
    <row r="319">
      <c r="A319" s="3" t="inlineStr">
        <is>
          <t>Bull|Google|2029|Google Storey County</t>
        </is>
      </c>
      <c r="B319" s="3" t="inlineStr">
        <is>
          <t>Bull</t>
        </is>
      </c>
      <c r="C319" s="3" t="inlineStr">
        <is>
          <t>Google</t>
        </is>
      </c>
      <c r="D319" s="3" t="n">
        <v>2029</v>
      </c>
      <c r="E319" s="3" t="inlineStr">
        <is>
          <t>Google Storey County</t>
        </is>
      </c>
      <c r="F319" s="3" t="inlineStr">
        <is>
          <t>Google</t>
        </is>
      </c>
      <c r="G319" s="3" t="inlineStr">
        <is>
          <t>United States</t>
        </is>
      </c>
      <c r="H319" s="25" t="n">
        <v>300</v>
      </c>
      <c r="I319" s="17" t="n">
        <v>1</v>
      </c>
      <c r="J319" s="17" t="n">
        <v>0.75</v>
      </c>
      <c r="K319" s="26" t="n">
        <v>0.25</v>
      </c>
      <c r="L319" s="3" t="inlineStr">
        <is>
          <t>2027-06-30</t>
        </is>
      </c>
      <c r="M319" s="27" t="n">
        <v>161</v>
      </c>
      <c r="N319" s="27" t="n">
        <v>300</v>
      </c>
      <c r="O319" s="3" t="inlineStr">
        <is>
          <t>speculative</t>
        </is>
      </c>
      <c r="P319" s="3" t="inlineStr">
        <is>
          <t>TPU v5e,TPU v6e</t>
        </is>
      </c>
      <c r="Q319" s="3" t="inlineStr">
        <is>
          <t>epoch_user_site_equal_split_seed</t>
        </is>
      </c>
      <c r="R319" s="3" t="inlineStr">
        <is>
          <t>SRC_EPOCH_AI_DATA_CENTERS; EPOCH_NORMALIZED_USER_SITES</t>
        </is>
      </c>
      <c r="S319" s="3" t="inlineStr">
        <is>
          <t>Capacity weight is used only to weight accelerator mix, not to overwrite company total power in 02_Inputs.</t>
        </is>
      </c>
    </row>
    <row r="320">
      <c r="A320" s="3" t="inlineStr">
        <is>
          <t>Bull|Google|2030|Google Storey County</t>
        </is>
      </c>
      <c r="B320" s="3" t="inlineStr">
        <is>
          <t>Bull</t>
        </is>
      </c>
      <c r="C320" s="3" t="inlineStr">
        <is>
          <t>Google</t>
        </is>
      </c>
      <c r="D320" s="3" t="n">
        <v>2030</v>
      </c>
      <c r="E320" s="3" t="inlineStr">
        <is>
          <t>Google Storey County</t>
        </is>
      </c>
      <c r="F320" s="3" t="inlineStr">
        <is>
          <t>Google</t>
        </is>
      </c>
      <c r="G320" s="3" t="inlineStr">
        <is>
          <t>United States</t>
        </is>
      </c>
      <c r="H320" s="25" t="n">
        <v>300</v>
      </c>
      <c r="I320" s="17" t="n">
        <v>1</v>
      </c>
      <c r="J320" s="17" t="n">
        <v>0.8</v>
      </c>
      <c r="K320" s="26" t="n">
        <v>0.2</v>
      </c>
      <c r="L320" s="3" t="inlineStr">
        <is>
          <t>2027-06-30</t>
        </is>
      </c>
      <c r="M320" s="27" t="n">
        <v>161</v>
      </c>
      <c r="N320" s="27" t="n">
        <v>300</v>
      </c>
      <c r="O320" s="3" t="inlineStr">
        <is>
          <t>speculative</t>
        </is>
      </c>
      <c r="P320" s="3" t="inlineStr">
        <is>
          <t>TPU v5e,TPU v6e</t>
        </is>
      </c>
      <c r="Q320" s="3" t="inlineStr">
        <is>
          <t>epoch_user_site_equal_split_seed</t>
        </is>
      </c>
      <c r="R320" s="3" t="inlineStr">
        <is>
          <t>SRC_EPOCH_AI_DATA_CENTERS; EPOCH_NORMALIZED_USER_SITES</t>
        </is>
      </c>
      <c r="S320" s="3" t="inlineStr">
        <is>
          <t>Capacity weight is used only to weight accelerator mix, not to overwrite company total power in 02_Inputs.</t>
        </is>
      </c>
    </row>
    <row r="321">
      <c r="A321" s="3" t="inlineStr">
        <is>
          <t>Grid-Constrained / Efficiency-Upside|Google|2026|Google Storey County</t>
        </is>
      </c>
      <c r="B321" s="3" t="inlineStr">
        <is>
          <t>Grid-Constrained / Efficiency-Upside</t>
        </is>
      </c>
      <c r="C321" s="3" t="inlineStr">
        <is>
          <t>Google</t>
        </is>
      </c>
      <c r="D321" s="3" t="n">
        <v>2026</v>
      </c>
      <c r="E321" s="3" t="inlineStr">
        <is>
          <t>Google Storey County</t>
        </is>
      </c>
      <c r="F321" s="3" t="inlineStr">
        <is>
          <t>Google</t>
        </is>
      </c>
      <c r="G321" s="3" t="inlineStr">
        <is>
          <t>United States</t>
        </is>
      </c>
      <c r="H321" s="25" t="n">
        <v>161</v>
      </c>
      <c r="I321" s="17" t="n">
        <v>1</v>
      </c>
      <c r="J321" s="17" t="n">
        <v>0.57</v>
      </c>
      <c r="K321" s="26" t="n">
        <v>0.43</v>
      </c>
      <c r="L321" s="3" t="inlineStr">
        <is>
          <t>2027-06-30</t>
        </is>
      </c>
      <c r="M321" s="27" t="n">
        <v>161</v>
      </c>
      <c r="N321" s="27" t="n">
        <v>300</v>
      </c>
      <c r="O321" s="3" t="inlineStr">
        <is>
          <t>speculative</t>
        </is>
      </c>
      <c r="P321" s="3" t="inlineStr">
        <is>
          <t>TPU v5e,TPU v6e</t>
        </is>
      </c>
      <c r="Q321" s="3" t="inlineStr">
        <is>
          <t>epoch_user_site_equal_split_seed</t>
        </is>
      </c>
      <c r="R321" s="3" t="inlineStr">
        <is>
          <t>SRC_EPOCH_AI_DATA_CENTERS; EPOCH_NORMALIZED_USER_SITES</t>
        </is>
      </c>
      <c r="S321" s="3" t="inlineStr">
        <is>
          <t>Capacity weight is used only to weight accelerator mix, not to overwrite company total power in 02_Inputs.</t>
        </is>
      </c>
    </row>
    <row r="322">
      <c r="A322" s="3" t="inlineStr">
        <is>
          <t>Grid-Constrained / Efficiency-Upside|Google|2027|Google Storey County</t>
        </is>
      </c>
      <c r="B322" s="3" t="inlineStr">
        <is>
          <t>Grid-Constrained / Efficiency-Upside</t>
        </is>
      </c>
      <c r="C322" s="3" t="inlineStr">
        <is>
          <t>Google</t>
        </is>
      </c>
      <c r="D322" s="3" t="n">
        <v>2027</v>
      </c>
      <c r="E322" s="3" t="inlineStr">
        <is>
          <t>Google Storey County</t>
        </is>
      </c>
      <c r="F322" s="3" t="inlineStr">
        <is>
          <t>Google</t>
        </is>
      </c>
      <c r="G322" s="3" t="inlineStr">
        <is>
          <t>United States</t>
        </is>
      </c>
      <c r="H322" s="25" t="n">
        <v>300</v>
      </c>
      <c r="I322" s="17" t="n">
        <v>1</v>
      </c>
      <c r="J322" s="17" t="n">
        <v>0.618</v>
      </c>
      <c r="K322" s="26" t="n">
        <v>0.382</v>
      </c>
      <c r="L322" s="3" t="inlineStr">
        <is>
          <t>2027-06-30</t>
        </is>
      </c>
      <c r="M322" s="27" t="n">
        <v>161</v>
      </c>
      <c r="N322" s="27" t="n">
        <v>300</v>
      </c>
      <c r="O322" s="3" t="inlineStr">
        <is>
          <t>speculative</t>
        </is>
      </c>
      <c r="P322" s="3" t="inlineStr">
        <is>
          <t>TPU v5e,TPU v6e</t>
        </is>
      </c>
      <c r="Q322" s="3" t="inlineStr">
        <is>
          <t>epoch_user_site_equal_split_seed</t>
        </is>
      </c>
      <c r="R322" s="3" t="inlineStr">
        <is>
          <t>SRC_EPOCH_AI_DATA_CENTERS; EPOCH_NORMALIZED_USER_SITES</t>
        </is>
      </c>
      <c r="S322" s="3" t="inlineStr">
        <is>
          <t>Capacity weight is used only to weight accelerator mix, not to overwrite company total power in 02_Inputs.</t>
        </is>
      </c>
    </row>
    <row r="323">
      <c r="A323" s="3" t="inlineStr">
        <is>
          <t>Grid-Constrained / Efficiency-Upside|Google|2028|Google Storey County</t>
        </is>
      </c>
      <c r="B323" s="3" t="inlineStr">
        <is>
          <t>Grid-Constrained / Efficiency-Upside</t>
        </is>
      </c>
      <c r="C323" s="3" t="inlineStr">
        <is>
          <t>Google</t>
        </is>
      </c>
      <c r="D323" s="3" t="n">
        <v>2028</v>
      </c>
      <c r="E323" s="3" t="inlineStr">
        <is>
          <t>Google Storey County</t>
        </is>
      </c>
      <c r="F323" s="3" t="inlineStr">
        <is>
          <t>Google</t>
        </is>
      </c>
      <c r="G323" s="3" t="inlineStr">
        <is>
          <t>United States</t>
        </is>
      </c>
      <c r="H323" s="25" t="n">
        <v>300</v>
      </c>
      <c r="I323" s="17" t="n">
        <v>1</v>
      </c>
      <c r="J323" s="17" t="n">
        <v>0.665</v>
      </c>
      <c r="K323" s="26" t="n">
        <v>0.335</v>
      </c>
      <c r="L323" s="3" t="inlineStr">
        <is>
          <t>2027-06-30</t>
        </is>
      </c>
      <c r="M323" s="27" t="n">
        <v>161</v>
      </c>
      <c r="N323" s="27" t="n">
        <v>300</v>
      </c>
      <c r="O323" s="3" t="inlineStr">
        <is>
          <t>speculative</t>
        </is>
      </c>
      <c r="P323" s="3" t="inlineStr">
        <is>
          <t>TPU v5e,TPU v6e</t>
        </is>
      </c>
      <c r="Q323" s="3" t="inlineStr">
        <is>
          <t>epoch_user_site_equal_split_seed</t>
        </is>
      </c>
      <c r="R323" s="3" t="inlineStr">
        <is>
          <t>SRC_EPOCH_AI_DATA_CENTERS; EPOCH_NORMALIZED_USER_SITES</t>
        </is>
      </c>
      <c r="S323" s="3" t="inlineStr">
        <is>
          <t>Capacity weight is used only to weight accelerator mix, not to overwrite company total power in 02_Inputs.</t>
        </is>
      </c>
    </row>
    <row r="324">
      <c r="A324" s="3" t="inlineStr">
        <is>
          <t>Grid-Constrained / Efficiency-Upside|Google|2029|Google Storey County</t>
        </is>
      </c>
      <c r="B324" s="3" t="inlineStr">
        <is>
          <t>Grid-Constrained / Efficiency-Upside</t>
        </is>
      </c>
      <c r="C324" s="3" t="inlineStr">
        <is>
          <t>Google</t>
        </is>
      </c>
      <c r="D324" s="3" t="n">
        <v>2029</v>
      </c>
      <c r="E324" s="3" t="inlineStr">
        <is>
          <t>Google Storey County</t>
        </is>
      </c>
      <c r="F324" s="3" t="inlineStr">
        <is>
          <t>Google</t>
        </is>
      </c>
      <c r="G324" s="3" t="inlineStr">
        <is>
          <t>United States</t>
        </is>
      </c>
      <c r="H324" s="25" t="n">
        <v>300</v>
      </c>
      <c r="I324" s="17" t="n">
        <v>1</v>
      </c>
      <c r="J324" s="17" t="n">
        <v>0.713</v>
      </c>
      <c r="K324" s="26" t="n">
        <v>0.287</v>
      </c>
      <c r="L324" s="3" t="inlineStr">
        <is>
          <t>2027-06-30</t>
        </is>
      </c>
      <c r="M324" s="27" t="n">
        <v>161</v>
      </c>
      <c r="N324" s="27" t="n">
        <v>300</v>
      </c>
      <c r="O324" s="3" t="inlineStr">
        <is>
          <t>speculative</t>
        </is>
      </c>
      <c r="P324" s="3" t="inlineStr">
        <is>
          <t>TPU v5e,TPU v6e</t>
        </is>
      </c>
      <c r="Q324" s="3" t="inlineStr">
        <is>
          <t>epoch_user_site_equal_split_seed</t>
        </is>
      </c>
      <c r="R324" s="3" t="inlineStr">
        <is>
          <t>SRC_EPOCH_AI_DATA_CENTERS; EPOCH_NORMALIZED_USER_SITES</t>
        </is>
      </c>
      <c r="S324" s="3" t="inlineStr">
        <is>
          <t>Capacity weight is used only to weight accelerator mix, not to overwrite company total power in 02_Inputs.</t>
        </is>
      </c>
    </row>
    <row r="325">
      <c r="A325" s="3" t="inlineStr">
        <is>
          <t>Grid-Constrained / Efficiency-Upside|Google|2030|Google Storey County</t>
        </is>
      </c>
      <c r="B325" s="3" t="inlineStr">
        <is>
          <t>Grid-Constrained / Efficiency-Upside</t>
        </is>
      </c>
      <c r="C325" s="3" t="inlineStr">
        <is>
          <t>Google</t>
        </is>
      </c>
      <c r="D325" s="3" t="n">
        <v>2030</v>
      </c>
      <c r="E325" s="3" t="inlineStr">
        <is>
          <t>Google Storey County</t>
        </is>
      </c>
      <c r="F325" s="3" t="inlineStr">
        <is>
          <t>Google</t>
        </is>
      </c>
      <c r="G325" s="3" t="inlineStr">
        <is>
          <t>United States</t>
        </is>
      </c>
      <c r="H325" s="25" t="n">
        <v>300</v>
      </c>
      <c r="I325" s="17" t="n">
        <v>1</v>
      </c>
      <c r="J325" s="17" t="n">
        <v>0.76</v>
      </c>
      <c r="K325" s="26" t="n">
        <v>0.24</v>
      </c>
      <c r="L325" s="3" t="inlineStr">
        <is>
          <t>2027-06-30</t>
        </is>
      </c>
      <c r="M325" s="27" t="n">
        <v>161</v>
      </c>
      <c r="N325" s="27" t="n">
        <v>300</v>
      </c>
      <c r="O325" s="3" t="inlineStr">
        <is>
          <t>speculative</t>
        </is>
      </c>
      <c r="P325" s="3" t="inlineStr">
        <is>
          <t>TPU v5e,TPU v6e</t>
        </is>
      </c>
      <c r="Q325" s="3" t="inlineStr">
        <is>
          <t>epoch_user_site_equal_split_seed</t>
        </is>
      </c>
      <c r="R325" s="3" t="inlineStr">
        <is>
          <t>SRC_EPOCH_AI_DATA_CENTERS; EPOCH_NORMALIZED_USER_SITES</t>
        </is>
      </c>
      <c r="S325" s="3" t="inlineStr">
        <is>
          <t>Capacity weight is used only to weight accelerator mix, not to overwrite company total power in 02_Inputs.</t>
        </is>
      </c>
    </row>
    <row r="326">
      <c r="A326" s="3" t="inlineStr">
        <is>
          <t>Bear|Google|2026|Google Waltham Cross</t>
        </is>
      </c>
      <c r="B326" s="3" t="inlineStr">
        <is>
          <t>Bear</t>
        </is>
      </c>
      <c r="C326" s="3" t="inlineStr">
        <is>
          <t>Google</t>
        </is>
      </c>
      <c r="D326" s="3" t="n">
        <v>2026</v>
      </c>
      <c r="E326" s="3" t="inlineStr">
        <is>
          <t>Google Waltham Cross</t>
        </is>
      </c>
      <c r="F326" s="3" t="inlineStr">
        <is>
          <t>Google</t>
        </is>
      </c>
      <c r="G326" s="3" t="inlineStr">
        <is>
          <t>United Kingdom</t>
        </is>
      </c>
      <c r="H326" s="25" t="n">
        <v>88</v>
      </c>
      <c r="I326" s="17" t="n">
        <v>1</v>
      </c>
      <c r="J326" s="17" t="n">
        <v>0.47</v>
      </c>
      <c r="K326" s="26" t="n">
        <v>0.53</v>
      </c>
      <c r="L326" s="3" t="inlineStr">
        <is>
          <t>2025-09-01</t>
        </is>
      </c>
      <c r="M326" s="27" t="n">
        <v>88</v>
      </c>
      <c r="N326" s="27" t="n">
        <v>88</v>
      </c>
      <c r="O326" s="3" t="inlineStr">
        <is>
          <t>speculative</t>
        </is>
      </c>
      <c r="P326" s="3" t="inlineStr">
        <is>
          <t>TPU v6e,TPU v7</t>
        </is>
      </c>
      <c r="Q326" s="3" t="inlineStr">
        <is>
          <t>epoch_user_site_equal_split_seed</t>
        </is>
      </c>
      <c r="R326" s="3" t="inlineStr">
        <is>
          <t>SRC_EPOCH_AI_DATA_CENTERS; EPOCH_NORMALIZED_USER_SITES</t>
        </is>
      </c>
      <c r="S326" s="3" t="inlineStr">
        <is>
          <t>Capacity weight is used only to weight accelerator mix, not to overwrite company total power in 02_Inputs.</t>
        </is>
      </c>
    </row>
    <row r="327">
      <c r="A327" s="3" t="inlineStr">
        <is>
          <t>Bear|Google|2027|Google Waltham Cross</t>
        </is>
      </c>
      <c r="B327" s="3" t="inlineStr">
        <is>
          <t>Bear</t>
        </is>
      </c>
      <c r="C327" s="3" t="inlineStr">
        <is>
          <t>Google</t>
        </is>
      </c>
      <c r="D327" s="3" t="n">
        <v>2027</v>
      </c>
      <c r="E327" s="3" t="inlineStr">
        <is>
          <t>Google Waltham Cross</t>
        </is>
      </c>
      <c r="F327" s="3" t="inlineStr">
        <is>
          <t>Google</t>
        </is>
      </c>
      <c r="G327" s="3" t="inlineStr">
        <is>
          <t>United Kingdom</t>
        </is>
      </c>
      <c r="H327" s="25" t="n">
        <v>88</v>
      </c>
      <c r="I327" s="17" t="n">
        <v>1</v>
      </c>
      <c r="J327" s="17" t="n">
        <v>0.508</v>
      </c>
      <c r="K327" s="26" t="n">
        <v>0.492</v>
      </c>
      <c r="L327" s="3" t="inlineStr">
        <is>
          <t>2025-09-01</t>
        </is>
      </c>
      <c r="M327" s="27" t="n">
        <v>88</v>
      </c>
      <c r="N327" s="27" t="n">
        <v>88</v>
      </c>
      <c r="O327" s="3" t="inlineStr">
        <is>
          <t>speculative</t>
        </is>
      </c>
      <c r="P327" s="3" t="inlineStr">
        <is>
          <t>TPU v6e,TPU v7</t>
        </is>
      </c>
      <c r="Q327" s="3" t="inlineStr">
        <is>
          <t>epoch_user_site_equal_split_seed</t>
        </is>
      </c>
      <c r="R327" s="3" t="inlineStr">
        <is>
          <t>SRC_EPOCH_AI_DATA_CENTERS; EPOCH_NORMALIZED_USER_SITES</t>
        </is>
      </c>
      <c r="S327" s="3" t="inlineStr">
        <is>
          <t>Capacity weight is used only to weight accelerator mix, not to overwrite company total power in 02_Inputs.</t>
        </is>
      </c>
    </row>
    <row r="328">
      <c r="A328" s="3" t="inlineStr">
        <is>
          <t>Bear|Google|2028|Google Waltham Cross</t>
        </is>
      </c>
      <c r="B328" s="3" t="inlineStr">
        <is>
          <t>Bear</t>
        </is>
      </c>
      <c r="C328" s="3" t="inlineStr">
        <is>
          <t>Google</t>
        </is>
      </c>
      <c r="D328" s="3" t="n">
        <v>2028</v>
      </c>
      <c r="E328" s="3" t="inlineStr">
        <is>
          <t>Google Waltham Cross</t>
        </is>
      </c>
      <c r="F328" s="3" t="inlineStr">
        <is>
          <t>Google</t>
        </is>
      </c>
      <c r="G328" s="3" t="inlineStr">
        <is>
          <t>United Kingdom</t>
        </is>
      </c>
      <c r="H328" s="25" t="n">
        <v>88</v>
      </c>
      <c r="I328" s="17" t="n">
        <v>1</v>
      </c>
      <c r="J328" s="17" t="n">
        <v>0.545</v>
      </c>
      <c r="K328" s="26" t="n">
        <v>0.455</v>
      </c>
      <c r="L328" s="3" t="inlineStr">
        <is>
          <t>2025-09-01</t>
        </is>
      </c>
      <c r="M328" s="27" t="n">
        <v>88</v>
      </c>
      <c r="N328" s="27" t="n">
        <v>88</v>
      </c>
      <c r="O328" s="3" t="inlineStr">
        <is>
          <t>speculative</t>
        </is>
      </c>
      <c r="P328" s="3" t="inlineStr">
        <is>
          <t>TPU v6e,TPU v7</t>
        </is>
      </c>
      <c r="Q328" s="3" t="inlineStr">
        <is>
          <t>epoch_user_site_equal_split_seed</t>
        </is>
      </c>
      <c r="R328" s="3" t="inlineStr">
        <is>
          <t>SRC_EPOCH_AI_DATA_CENTERS; EPOCH_NORMALIZED_USER_SITES</t>
        </is>
      </c>
      <c r="S328" s="3" t="inlineStr">
        <is>
          <t>Capacity weight is used only to weight accelerator mix, not to overwrite company total power in 02_Inputs.</t>
        </is>
      </c>
    </row>
    <row r="329">
      <c r="A329" s="3" t="inlineStr">
        <is>
          <t>Bear|Google|2029|Google Waltham Cross</t>
        </is>
      </c>
      <c r="B329" s="3" t="inlineStr">
        <is>
          <t>Bear</t>
        </is>
      </c>
      <c r="C329" s="3" t="inlineStr">
        <is>
          <t>Google</t>
        </is>
      </c>
      <c r="D329" s="3" t="n">
        <v>2029</v>
      </c>
      <c r="E329" s="3" t="inlineStr">
        <is>
          <t>Google Waltham Cross</t>
        </is>
      </c>
      <c r="F329" s="3" t="inlineStr">
        <is>
          <t>Google</t>
        </is>
      </c>
      <c r="G329" s="3" t="inlineStr">
        <is>
          <t>United Kingdom</t>
        </is>
      </c>
      <c r="H329" s="25" t="n">
        <v>88</v>
      </c>
      <c r="I329" s="17" t="n">
        <v>1</v>
      </c>
      <c r="J329" s="17" t="n">
        <v>0.583</v>
      </c>
      <c r="K329" s="26" t="n">
        <v>0.417</v>
      </c>
      <c r="L329" s="3" t="inlineStr">
        <is>
          <t>2025-09-01</t>
        </is>
      </c>
      <c r="M329" s="27" t="n">
        <v>88</v>
      </c>
      <c r="N329" s="27" t="n">
        <v>88</v>
      </c>
      <c r="O329" s="3" t="inlineStr">
        <is>
          <t>speculative</t>
        </is>
      </c>
      <c r="P329" s="3" t="inlineStr">
        <is>
          <t>TPU v6e,TPU v7</t>
        </is>
      </c>
      <c r="Q329" s="3" t="inlineStr">
        <is>
          <t>epoch_user_site_equal_split_seed</t>
        </is>
      </c>
      <c r="R329" s="3" t="inlineStr">
        <is>
          <t>SRC_EPOCH_AI_DATA_CENTERS; EPOCH_NORMALIZED_USER_SITES</t>
        </is>
      </c>
      <c r="S329" s="3" t="inlineStr">
        <is>
          <t>Capacity weight is used only to weight accelerator mix, not to overwrite company total power in 02_Inputs.</t>
        </is>
      </c>
    </row>
    <row r="330">
      <c r="A330" s="3" t="inlineStr">
        <is>
          <t>Bear|Google|2030|Google Waltham Cross</t>
        </is>
      </c>
      <c r="B330" s="3" t="inlineStr">
        <is>
          <t>Bear</t>
        </is>
      </c>
      <c r="C330" s="3" t="inlineStr">
        <is>
          <t>Google</t>
        </is>
      </c>
      <c r="D330" s="3" t="n">
        <v>2030</v>
      </c>
      <c r="E330" s="3" t="inlineStr">
        <is>
          <t>Google Waltham Cross</t>
        </is>
      </c>
      <c r="F330" s="3" t="inlineStr">
        <is>
          <t>Google</t>
        </is>
      </c>
      <c r="G330" s="3" t="inlineStr">
        <is>
          <t>United Kingdom</t>
        </is>
      </c>
      <c r="H330" s="25" t="n">
        <v>88</v>
      </c>
      <c r="I330" s="17" t="n">
        <v>1</v>
      </c>
      <c r="J330" s="17" t="n">
        <v>0.62</v>
      </c>
      <c r="K330" s="26" t="n">
        <v>0.38</v>
      </c>
      <c r="L330" s="3" t="inlineStr">
        <is>
          <t>2025-09-01</t>
        </is>
      </c>
      <c r="M330" s="27" t="n">
        <v>88</v>
      </c>
      <c r="N330" s="27" t="n">
        <v>88</v>
      </c>
      <c r="O330" s="3" t="inlineStr">
        <is>
          <t>speculative</t>
        </is>
      </c>
      <c r="P330" s="3" t="inlineStr">
        <is>
          <t>TPU v6e,TPU v7</t>
        </is>
      </c>
      <c r="Q330" s="3" t="inlineStr">
        <is>
          <t>epoch_user_site_equal_split_seed</t>
        </is>
      </c>
      <c r="R330" s="3" t="inlineStr">
        <is>
          <t>SRC_EPOCH_AI_DATA_CENTERS; EPOCH_NORMALIZED_USER_SITES</t>
        </is>
      </c>
      <c r="S330" s="3" t="inlineStr">
        <is>
          <t>Capacity weight is used only to weight accelerator mix, not to overwrite company total power in 02_Inputs.</t>
        </is>
      </c>
    </row>
    <row r="331">
      <c r="A331" s="3" t="inlineStr">
        <is>
          <t>Base|Google|2026|Google Waltham Cross</t>
        </is>
      </c>
      <c r="B331" s="3" t="inlineStr">
        <is>
          <t>Base</t>
        </is>
      </c>
      <c r="C331" s="3" t="inlineStr">
        <is>
          <t>Google</t>
        </is>
      </c>
      <c r="D331" s="3" t="n">
        <v>2026</v>
      </c>
      <c r="E331" s="3" t="inlineStr">
        <is>
          <t>Google Waltham Cross</t>
        </is>
      </c>
      <c r="F331" s="3" t="inlineStr">
        <is>
          <t>Google</t>
        </is>
      </c>
      <c r="G331" s="3" t="inlineStr">
        <is>
          <t>United Kingdom</t>
        </is>
      </c>
      <c r="H331" s="25" t="n">
        <v>88</v>
      </c>
      <c r="I331" s="17" t="n">
        <v>1</v>
      </c>
      <c r="J331" s="17" t="n">
        <v>0.55</v>
      </c>
      <c r="K331" s="26" t="n">
        <v>0.45</v>
      </c>
      <c r="L331" s="3" t="inlineStr">
        <is>
          <t>2025-09-01</t>
        </is>
      </c>
      <c r="M331" s="27" t="n">
        <v>88</v>
      </c>
      <c r="N331" s="27" t="n">
        <v>88</v>
      </c>
      <c r="O331" s="3" t="inlineStr">
        <is>
          <t>speculative</t>
        </is>
      </c>
      <c r="P331" s="3" t="inlineStr">
        <is>
          <t>TPU v6e,TPU v7</t>
        </is>
      </c>
      <c r="Q331" s="3" t="inlineStr">
        <is>
          <t>epoch_user_site_equal_split_seed</t>
        </is>
      </c>
      <c r="R331" s="3" t="inlineStr">
        <is>
          <t>SRC_EPOCH_AI_DATA_CENTERS; EPOCH_NORMALIZED_USER_SITES</t>
        </is>
      </c>
      <c r="S331" s="3" t="inlineStr">
        <is>
          <t>Capacity weight is used only to weight accelerator mix, not to overwrite company total power in 02_Inputs.</t>
        </is>
      </c>
    </row>
    <row r="332">
      <c r="A332" s="3" t="inlineStr">
        <is>
          <t>Base|Google|2027|Google Waltham Cross</t>
        </is>
      </c>
      <c r="B332" s="3" t="inlineStr">
        <is>
          <t>Base</t>
        </is>
      </c>
      <c r="C332" s="3" t="inlineStr">
        <is>
          <t>Google</t>
        </is>
      </c>
      <c r="D332" s="3" t="n">
        <v>2027</v>
      </c>
      <c r="E332" s="3" t="inlineStr">
        <is>
          <t>Google Waltham Cross</t>
        </is>
      </c>
      <c r="F332" s="3" t="inlineStr">
        <is>
          <t>Google</t>
        </is>
      </c>
      <c r="G332" s="3" t="inlineStr">
        <is>
          <t>United Kingdom</t>
        </is>
      </c>
      <c r="H332" s="25" t="n">
        <v>88</v>
      </c>
      <c r="I332" s="17" t="n">
        <v>1</v>
      </c>
      <c r="J332" s="17" t="n">
        <v>0.593</v>
      </c>
      <c r="K332" s="26" t="n">
        <v>0.407</v>
      </c>
      <c r="L332" s="3" t="inlineStr">
        <is>
          <t>2025-09-01</t>
        </is>
      </c>
      <c r="M332" s="27" t="n">
        <v>88</v>
      </c>
      <c r="N332" s="27" t="n">
        <v>88</v>
      </c>
      <c r="O332" s="3" t="inlineStr">
        <is>
          <t>speculative</t>
        </is>
      </c>
      <c r="P332" s="3" t="inlineStr">
        <is>
          <t>TPU v6e,TPU v7</t>
        </is>
      </c>
      <c r="Q332" s="3" t="inlineStr">
        <is>
          <t>epoch_user_site_equal_split_seed</t>
        </is>
      </c>
      <c r="R332" s="3" t="inlineStr">
        <is>
          <t>SRC_EPOCH_AI_DATA_CENTERS; EPOCH_NORMALIZED_USER_SITES</t>
        </is>
      </c>
      <c r="S332" s="3" t="inlineStr">
        <is>
          <t>Capacity weight is used only to weight accelerator mix, not to overwrite company total power in 02_Inputs.</t>
        </is>
      </c>
    </row>
    <row r="333">
      <c r="A333" s="3" t="inlineStr">
        <is>
          <t>Base|Google|2028|Google Waltham Cross</t>
        </is>
      </c>
      <c r="B333" s="3" t="inlineStr">
        <is>
          <t>Base</t>
        </is>
      </c>
      <c r="C333" s="3" t="inlineStr">
        <is>
          <t>Google</t>
        </is>
      </c>
      <c r="D333" s="3" t="n">
        <v>2028</v>
      </c>
      <c r="E333" s="3" t="inlineStr">
        <is>
          <t>Google Waltham Cross</t>
        </is>
      </c>
      <c r="F333" s="3" t="inlineStr">
        <is>
          <t>Google</t>
        </is>
      </c>
      <c r="G333" s="3" t="inlineStr">
        <is>
          <t>United Kingdom</t>
        </is>
      </c>
      <c r="H333" s="25" t="n">
        <v>88</v>
      </c>
      <c r="I333" s="17" t="n">
        <v>1</v>
      </c>
      <c r="J333" s="17" t="n">
        <v>0.635</v>
      </c>
      <c r="K333" s="26" t="n">
        <v>0.365</v>
      </c>
      <c r="L333" s="3" t="inlineStr">
        <is>
          <t>2025-09-01</t>
        </is>
      </c>
      <c r="M333" s="27" t="n">
        <v>88</v>
      </c>
      <c r="N333" s="27" t="n">
        <v>88</v>
      </c>
      <c r="O333" s="3" t="inlineStr">
        <is>
          <t>speculative</t>
        </is>
      </c>
      <c r="P333" s="3" t="inlineStr">
        <is>
          <t>TPU v6e,TPU v7</t>
        </is>
      </c>
      <c r="Q333" s="3" t="inlineStr">
        <is>
          <t>epoch_user_site_equal_split_seed</t>
        </is>
      </c>
      <c r="R333" s="3" t="inlineStr">
        <is>
          <t>SRC_EPOCH_AI_DATA_CENTERS; EPOCH_NORMALIZED_USER_SITES</t>
        </is>
      </c>
      <c r="S333" s="3" t="inlineStr">
        <is>
          <t>Capacity weight is used only to weight accelerator mix, not to overwrite company total power in 02_Inputs.</t>
        </is>
      </c>
    </row>
    <row r="334">
      <c r="A334" s="3" t="inlineStr">
        <is>
          <t>Base|Google|2029|Google Waltham Cross</t>
        </is>
      </c>
      <c r="B334" s="3" t="inlineStr">
        <is>
          <t>Base</t>
        </is>
      </c>
      <c r="C334" s="3" t="inlineStr">
        <is>
          <t>Google</t>
        </is>
      </c>
      <c r="D334" s="3" t="n">
        <v>2029</v>
      </c>
      <c r="E334" s="3" t="inlineStr">
        <is>
          <t>Google Waltham Cross</t>
        </is>
      </c>
      <c r="F334" s="3" t="inlineStr">
        <is>
          <t>Google</t>
        </is>
      </c>
      <c r="G334" s="3" t="inlineStr">
        <is>
          <t>United Kingdom</t>
        </is>
      </c>
      <c r="H334" s="25" t="n">
        <v>88</v>
      </c>
      <c r="I334" s="17" t="n">
        <v>1</v>
      </c>
      <c r="J334" s="17" t="n">
        <v>0.677</v>
      </c>
      <c r="K334" s="26" t="n">
        <v>0.323</v>
      </c>
      <c r="L334" s="3" t="inlineStr">
        <is>
          <t>2025-09-01</t>
        </is>
      </c>
      <c r="M334" s="27" t="n">
        <v>88</v>
      </c>
      <c r="N334" s="27" t="n">
        <v>88</v>
      </c>
      <c r="O334" s="3" t="inlineStr">
        <is>
          <t>speculative</t>
        </is>
      </c>
      <c r="P334" s="3" t="inlineStr">
        <is>
          <t>TPU v6e,TPU v7</t>
        </is>
      </c>
      <c r="Q334" s="3" t="inlineStr">
        <is>
          <t>epoch_user_site_equal_split_seed</t>
        </is>
      </c>
      <c r="R334" s="3" t="inlineStr">
        <is>
          <t>SRC_EPOCH_AI_DATA_CENTERS; EPOCH_NORMALIZED_USER_SITES</t>
        </is>
      </c>
      <c r="S334" s="3" t="inlineStr">
        <is>
          <t>Capacity weight is used only to weight accelerator mix, not to overwrite company total power in 02_Inputs.</t>
        </is>
      </c>
    </row>
    <row r="335">
      <c r="A335" s="3" t="inlineStr">
        <is>
          <t>Base|Google|2030|Google Waltham Cross</t>
        </is>
      </c>
      <c r="B335" s="3" t="inlineStr">
        <is>
          <t>Base</t>
        </is>
      </c>
      <c r="C335" s="3" t="inlineStr">
        <is>
          <t>Google</t>
        </is>
      </c>
      <c r="D335" s="3" t="n">
        <v>2030</v>
      </c>
      <c r="E335" s="3" t="inlineStr">
        <is>
          <t>Google Waltham Cross</t>
        </is>
      </c>
      <c r="F335" s="3" t="inlineStr">
        <is>
          <t>Google</t>
        </is>
      </c>
      <c r="G335" s="3" t="inlineStr">
        <is>
          <t>United Kingdom</t>
        </is>
      </c>
      <c r="H335" s="25" t="n">
        <v>88</v>
      </c>
      <c r="I335" s="17" t="n">
        <v>1</v>
      </c>
      <c r="J335" s="17" t="n">
        <v>0.72</v>
      </c>
      <c r="K335" s="26" t="n">
        <v>0.28</v>
      </c>
      <c r="L335" s="3" t="inlineStr">
        <is>
          <t>2025-09-01</t>
        </is>
      </c>
      <c r="M335" s="27" t="n">
        <v>88</v>
      </c>
      <c r="N335" s="27" t="n">
        <v>88</v>
      </c>
      <c r="O335" s="3" t="inlineStr">
        <is>
          <t>speculative</t>
        </is>
      </c>
      <c r="P335" s="3" t="inlineStr">
        <is>
          <t>TPU v6e,TPU v7</t>
        </is>
      </c>
      <c r="Q335" s="3" t="inlineStr">
        <is>
          <t>epoch_user_site_equal_split_seed</t>
        </is>
      </c>
      <c r="R335" s="3" t="inlineStr">
        <is>
          <t>SRC_EPOCH_AI_DATA_CENTERS; EPOCH_NORMALIZED_USER_SITES</t>
        </is>
      </c>
      <c r="S335" s="3" t="inlineStr">
        <is>
          <t>Capacity weight is used only to weight accelerator mix, not to overwrite company total power in 02_Inputs.</t>
        </is>
      </c>
    </row>
    <row r="336">
      <c r="A336" s="3" t="inlineStr">
        <is>
          <t>Bull|Google|2026|Google Waltham Cross</t>
        </is>
      </c>
      <c r="B336" s="3" t="inlineStr">
        <is>
          <t>Bull</t>
        </is>
      </c>
      <c r="C336" s="3" t="inlineStr">
        <is>
          <t>Google</t>
        </is>
      </c>
      <c r="D336" s="3" t="n">
        <v>2026</v>
      </c>
      <c r="E336" s="3" t="inlineStr">
        <is>
          <t>Google Waltham Cross</t>
        </is>
      </c>
      <c r="F336" s="3" t="inlineStr">
        <is>
          <t>Google</t>
        </is>
      </c>
      <c r="G336" s="3" t="inlineStr">
        <is>
          <t>United Kingdom</t>
        </is>
      </c>
      <c r="H336" s="25" t="n">
        <v>88</v>
      </c>
      <c r="I336" s="17" t="n">
        <v>1</v>
      </c>
      <c r="J336" s="17" t="n">
        <v>0.6</v>
      </c>
      <c r="K336" s="26" t="n">
        <v>0.4</v>
      </c>
      <c r="L336" s="3" t="inlineStr">
        <is>
          <t>2025-09-01</t>
        </is>
      </c>
      <c r="M336" s="27" t="n">
        <v>88</v>
      </c>
      <c r="N336" s="27" t="n">
        <v>88</v>
      </c>
      <c r="O336" s="3" t="inlineStr">
        <is>
          <t>speculative</t>
        </is>
      </c>
      <c r="P336" s="3" t="inlineStr">
        <is>
          <t>TPU v6e,TPU v7</t>
        </is>
      </c>
      <c r="Q336" s="3" t="inlineStr">
        <is>
          <t>epoch_user_site_equal_split_seed</t>
        </is>
      </c>
      <c r="R336" s="3" t="inlineStr">
        <is>
          <t>SRC_EPOCH_AI_DATA_CENTERS; EPOCH_NORMALIZED_USER_SITES</t>
        </is>
      </c>
      <c r="S336" s="3" t="inlineStr">
        <is>
          <t>Capacity weight is used only to weight accelerator mix, not to overwrite company total power in 02_Inputs.</t>
        </is>
      </c>
    </row>
    <row r="337">
      <c r="A337" s="3" t="inlineStr">
        <is>
          <t>Bull|Google|2027|Google Waltham Cross</t>
        </is>
      </c>
      <c r="B337" s="3" t="inlineStr">
        <is>
          <t>Bull</t>
        </is>
      </c>
      <c r="C337" s="3" t="inlineStr">
        <is>
          <t>Google</t>
        </is>
      </c>
      <c r="D337" s="3" t="n">
        <v>2027</v>
      </c>
      <c r="E337" s="3" t="inlineStr">
        <is>
          <t>Google Waltham Cross</t>
        </is>
      </c>
      <c r="F337" s="3" t="inlineStr">
        <is>
          <t>Google</t>
        </is>
      </c>
      <c r="G337" s="3" t="inlineStr">
        <is>
          <t>United Kingdom</t>
        </is>
      </c>
      <c r="H337" s="25" t="n">
        <v>88</v>
      </c>
      <c r="I337" s="17" t="n">
        <v>1</v>
      </c>
      <c r="J337" s="17" t="n">
        <v>0.65</v>
      </c>
      <c r="K337" s="26" t="n">
        <v>0.35</v>
      </c>
      <c r="L337" s="3" t="inlineStr">
        <is>
          <t>2025-09-01</t>
        </is>
      </c>
      <c r="M337" s="27" t="n">
        <v>88</v>
      </c>
      <c r="N337" s="27" t="n">
        <v>88</v>
      </c>
      <c r="O337" s="3" t="inlineStr">
        <is>
          <t>speculative</t>
        </is>
      </c>
      <c r="P337" s="3" t="inlineStr">
        <is>
          <t>TPU v6e,TPU v7</t>
        </is>
      </c>
      <c r="Q337" s="3" t="inlineStr">
        <is>
          <t>epoch_user_site_equal_split_seed</t>
        </is>
      </c>
      <c r="R337" s="3" t="inlineStr">
        <is>
          <t>SRC_EPOCH_AI_DATA_CENTERS; EPOCH_NORMALIZED_USER_SITES</t>
        </is>
      </c>
      <c r="S337" s="3" t="inlineStr">
        <is>
          <t>Capacity weight is used only to weight accelerator mix, not to overwrite company total power in 02_Inputs.</t>
        </is>
      </c>
    </row>
    <row r="338">
      <c r="A338" s="3" t="inlineStr">
        <is>
          <t>Bull|Google|2028|Google Waltham Cross</t>
        </is>
      </c>
      <c r="B338" s="3" t="inlineStr">
        <is>
          <t>Bull</t>
        </is>
      </c>
      <c r="C338" s="3" t="inlineStr">
        <is>
          <t>Google</t>
        </is>
      </c>
      <c r="D338" s="3" t="n">
        <v>2028</v>
      </c>
      <c r="E338" s="3" t="inlineStr">
        <is>
          <t>Google Waltham Cross</t>
        </is>
      </c>
      <c r="F338" s="3" t="inlineStr">
        <is>
          <t>Google</t>
        </is>
      </c>
      <c r="G338" s="3" t="inlineStr">
        <is>
          <t>United Kingdom</t>
        </is>
      </c>
      <c r="H338" s="25" t="n">
        <v>88</v>
      </c>
      <c r="I338" s="17" t="n">
        <v>1</v>
      </c>
      <c r="J338" s="17" t="n">
        <v>0.7</v>
      </c>
      <c r="K338" s="26" t="n">
        <v>0.3</v>
      </c>
      <c r="L338" s="3" t="inlineStr">
        <is>
          <t>2025-09-01</t>
        </is>
      </c>
      <c r="M338" s="27" t="n">
        <v>88</v>
      </c>
      <c r="N338" s="27" t="n">
        <v>88</v>
      </c>
      <c r="O338" s="3" t="inlineStr">
        <is>
          <t>speculative</t>
        </is>
      </c>
      <c r="P338" s="3" t="inlineStr">
        <is>
          <t>TPU v6e,TPU v7</t>
        </is>
      </c>
      <c r="Q338" s="3" t="inlineStr">
        <is>
          <t>epoch_user_site_equal_split_seed</t>
        </is>
      </c>
      <c r="R338" s="3" t="inlineStr">
        <is>
          <t>SRC_EPOCH_AI_DATA_CENTERS; EPOCH_NORMALIZED_USER_SITES</t>
        </is>
      </c>
      <c r="S338" s="3" t="inlineStr">
        <is>
          <t>Capacity weight is used only to weight accelerator mix, not to overwrite company total power in 02_Inputs.</t>
        </is>
      </c>
    </row>
    <row r="339">
      <c r="A339" s="3" t="inlineStr">
        <is>
          <t>Bull|Google|2029|Google Waltham Cross</t>
        </is>
      </c>
      <c r="B339" s="3" t="inlineStr">
        <is>
          <t>Bull</t>
        </is>
      </c>
      <c r="C339" s="3" t="inlineStr">
        <is>
          <t>Google</t>
        </is>
      </c>
      <c r="D339" s="3" t="n">
        <v>2029</v>
      </c>
      <c r="E339" s="3" t="inlineStr">
        <is>
          <t>Google Waltham Cross</t>
        </is>
      </c>
      <c r="F339" s="3" t="inlineStr">
        <is>
          <t>Google</t>
        </is>
      </c>
      <c r="G339" s="3" t="inlineStr">
        <is>
          <t>United Kingdom</t>
        </is>
      </c>
      <c r="H339" s="25" t="n">
        <v>88</v>
      </c>
      <c r="I339" s="17" t="n">
        <v>1</v>
      </c>
      <c r="J339" s="17" t="n">
        <v>0.75</v>
      </c>
      <c r="K339" s="26" t="n">
        <v>0.25</v>
      </c>
      <c r="L339" s="3" t="inlineStr">
        <is>
          <t>2025-09-01</t>
        </is>
      </c>
      <c r="M339" s="27" t="n">
        <v>88</v>
      </c>
      <c r="N339" s="27" t="n">
        <v>88</v>
      </c>
      <c r="O339" s="3" t="inlineStr">
        <is>
          <t>speculative</t>
        </is>
      </c>
      <c r="P339" s="3" t="inlineStr">
        <is>
          <t>TPU v6e,TPU v7</t>
        </is>
      </c>
      <c r="Q339" s="3" t="inlineStr">
        <is>
          <t>epoch_user_site_equal_split_seed</t>
        </is>
      </c>
      <c r="R339" s="3" t="inlineStr">
        <is>
          <t>SRC_EPOCH_AI_DATA_CENTERS; EPOCH_NORMALIZED_USER_SITES</t>
        </is>
      </c>
      <c r="S339" s="3" t="inlineStr">
        <is>
          <t>Capacity weight is used only to weight accelerator mix, not to overwrite company total power in 02_Inputs.</t>
        </is>
      </c>
    </row>
    <row r="340">
      <c r="A340" s="3" t="inlineStr">
        <is>
          <t>Bull|Google|2030|Google Waltham Cross</t>
        </is>
      </c>
      <c r="B340" s="3" t="inlineStr">
        <is>
          <t>Bull</t>
        </is>
      </c>
      <c r="C340" s="3" t="inlineStr">
        <is>
          <t>Google</t>
        </is>
      </c>
      <c r="D340" s="3" t="n">
        <v>2030</v>
      </c>
      <c r="E340" s="3" t="inlineStr">
        <is>
          <t>Google Waltham Cross</t>
        </is>
      </c>
      <c r="F340" s="3" t="inlineStr">
        <is>
          <t>Google</t>
        </is>
      </c>
      <c r="G340" s="3" t="inlineStr">
        <is>
          <t>United Kingdom</t>
        </is>
      </c>
      <c r="H340" s="25" t="n">
        <v>88</v>
      </c>
      <c r="I340" s="17" t="n">
        <v>1</v>
      </c>
      <c r="J340" s="17" t="n">
        <v>0.8</v>
      </c>
      <c r="K340" s="26" t="n">
        <v>0.2</v>
      </c>
      <c r="L340" s="3" t="inlineStr">
        <is>
          <t>2025-09-01</t>
        </is>
      </c>
      <c r="M340" s="27" t="n">
        <v>88</v>
      </c>
      <c r="N340" s="27" t="n">
        <v>88</v>
      </c>
      <c r="O340" s="3" t="inlineStr">
        <is>
          <t>speculative</t>
        </is>
      </c>
      <c r="P340" s="3" t="inlineStr">
        <is>
          <t>TPU v6e,TPU v7</t>
        </is>
      </c>
      <c r="Q340" s="3" t="inlineStr">
        <is>
          <t>epoch_user_site_equal_split_seed</t>
        </is>
      </c>
      <c r="R340" s="3" t="inlineStr">
        <is>
          <t>SRC_EPOCH_AI_DATA_CENTERS; EPOCH_NORMALIZED_USER_SITES</t>
        </is>
      </c>
      <c r="S340" s="3" t="inlineStr">
        <is>
          <t>Capacity weight is used only to weight accelerator mix, not to overwrite company total power in 02_Inputs.</t>
        </is>
      </c>
    </row>
    <row r="341">
      <c r="A341" s="3" t="inlineStr">
        <is>
          <t>Grid-Constrained / Efficiency-Upside|Google|2026|Google Waltham Cross</t>
        </is>
      </c>
      <c r="B341" s="3" t="inlineStr">
        <is>
          <t>Grid-Constrained / Efficiency-Upside</t>
        </is>
      </c>
      <c r="C341" s="3" t="inlineStr">
        <is>
          <t>Google</t>
        </is>
      </c>
      <c r="D341" s="3" t="n">
        <v>2026</v>
      </c>
      <c r="E341" s="3" t="inlineStr">
        <is>
          <t>Google Waltham Cross</t>
        </is>
      </c>
      <c r="F341" s="3" t="inlineStr">
        <is>
          <t>Google</t>
        </is>
      </c>
      <c r="G341" s="3" t="inlineStr">
        <is>
          <t>United Kingdom</t>
        </is>
      </c>
      <c r="H341" s="25" t="n">
        <v>88</v>
      </c>
      <c r="I341" s="17" t="n">
        <v>1</v>
      </c>
      <c r="J341" s="17" t="n">
        <v>0.57</v>
      </c>
      <c r="K341" s="26" t="n">
        <v>0.43</v>
      </c>
      <c r="L341" s="3" t="inlineStr">
        <is>
          <t>2025-09-01</t>
        </is>
      </c>
      <c r="M341" s="27" t="n">
        <v>88</v>
      </c>
      <c r="N341" s="27" t="n">
        <v>88</v>
      </c>
      <c r="O341" s="3" t="inlineStr">
        <is>
          <t>speculative</t>
        </is>
      </c>
      <c r="P341" s="3" t="inlineStr">
        <is>
          <t>TPU v6e,TPU v7</t>
        </is>
      </c>
      <c r="Q341" s="3" t="inlineStr">
        <is>
          <t>epoch_user_site_equal_split_seed</t>
        </is>
      </c>
      <c r="R341" s="3" t="inlineStr">
        <is>
          <t>SRC_EPOCH_AI_DATA_CENTERS; EPOCH_NORMALIZED_USER_SITES</t>
        </is>
      </c>
      <c r="S341" s="3" t="inlineStr">
        <is>
          <t>Capacity weight is used only to weight accelerator mix, not to overwrite company total power in 02_Inputs.</t>
        </is>
      </c>
    </row>
    <row r="342">
      <c r="A342" s="3" t="inlineStr">
        <is>
          <t>Grid-Constrained / Efficiency-Upside|Google|2027|Google Waltham Cross</t>
        </is>
      </c>
      <c r="B342" s="3" t="inlineStr">
        <is>
          <t>Grid-Constrained / Efficiency-Upside</t>
        </is>
      </c>
      <c r="C342" s="3" t="inlineStr">
        <is>
          <t>Google</t>
        </is>
      </c>
      <c r="D342" s="3" t="n">
        <v>2027</v>
      </c>
      <c r="E342" s="3" t="inlineStr">
        <is>
          <t>Google Waltham Cross</t>
        </is>
      </c>
      <c r="F342" s="3" t="inlineStr">
        <is>
          <t>Google</t>
        </is>
      </c>
      <c r="G342" s="3" t="inlineStr">
        <is>
          <t>United Kingdom</t>
        </is>
      </c>
      <c r="H342" s="25" t="n">
        <v>88</v>
      </c>
      <c r="I342" s="17" t="n">
        <v>1</v>
      </c>
      <c r="J342" s="17" t="n">
        <v>0.618</v>
      </c>
      <c r="K342" s="26" t="n">
        <v>0.382</v>
      </c>
      <c r="L342" s="3" t="inlineStr">
        <is>
          <t>2025-09-01</t>
        </is>
      </c>
      <c r="M342" s="27" t="n">
        <v>88</v>
      </c>
      <c r="N342" s="27" t="n">
        <v>88</v>
      </c>
      <c r="O342" s="3" t="inlineStr">
        <is>
          <t>speculative</t>
        </is>
      </c>
      <c r="P342" s="3" t="inlineStr">
        <is>
          <t>TPU v6e,TPU v7</t>
        </is>
      </c>
      <c r="Q342" s="3" t="inlineStr">
        <is>
          <t>epoch_user_site_equal_split_seed</t>
        </is>
      </c>
      <c r="R342" s="3" t="inlineStr">
        <is>
          <t>SRC_EPOCH_AI_DATA_CENTERS; EPOCH_NORMALIZED_USER_SITES</t>
        </is>
      </c>
      <c r="S342" s="3" t="inlineStr">
        <is>
          <t>Capacity weight is used only to weight accelerator mix, not to overwrite company total power in 02_Inputs.</t>
        </is>
      </c>
    </row>
    <row r="343">
      <c r="A343" s="3" t="inlineStr">
        <is>
          <t>Grid-Constrained / Efficiency-Upside|Google|2028|Google Waltham Cross</t>
        </is>
      </c>
      <c r="B343" s="3" t="inlineStr">
        <is>
          <t>Grid-Constrained / Efficiency-Upside</t>
        </is>
      </c>
      <c r="C343" s="3" t="inlineStr">
        <is>
          <t>Google</t>
        </is>
      </c>
      <c r="D343" s="3" t="n">
        <v>2028</v>
      </c>
      <c r="E343" s="3" t="inlineStr">
        <is>
          <t>Google Waltham Cross</t>
        </is>
      </c>
      <c r="F343" s="3" t="inlineStr">
        <is>
          <t>Google</t>
        </is>
      </c>
      <c r="G343" s="3" t="inlineStr">
        <is>
          <t>United Kingdom</t>
        </is>
      </c>
      <c r="H343" s="25" t="n">
        <v>88</v>
      </c>
      <c r="I343" s="17" t="n">
        <v>1</v>
      </c>
      <c r="J343" s="17" t="n">
        <v>0.665</v>
      </c>
      <c r="K343" s="26" t="n">
        <v>0.335</v>
      </c>
      <c r="L343" s="3" t="inlineStr">
        <is>
          <t>2025-09-01</t>
        </is>
      </c>
      <c r="M343" s="27" t="n">
        <v>88</v>
      </c>
      <c r="N343" s="27" t="n">
        <v>88</v>
      </c>
      <c r="O343" s="3" t="inlineStr">
        <is>
          <t>speculative</t>
        </is>
      </c>
      <c r="P343" s="3" t="inlineStr">
        <is>
          <t>TPU v6e,TPU v7</t>
        </is>
      </c>
      <c r="Q343" s="3" t="inlineStr">
        <is>
          <t>epoch_user_site_equal_split_seed</t>
        </is>
      </c>
      <c r="R343" s="3" t="inlineStr">
        <is>
          <t>SRC_EPOCH_AI_DATA_CENTERS; EPOCH_NORMALIZED_USER_SITES</t>
        </is>
      </c>
      <c r="S343" s="3" t="inlineStr">
        <is>
          <t>Capacity weight is used only to weight accelerator mix, not to overwrite company total power in 02_Inputs.</t>
        </is>
      </c>
    </row>
    <row r="344">
      <c r="A344" s="3" t="inlineStr">
        <is>
          <t>Grid-Constrained / Efficiency-Upside|Google|2029|Google Waltham Cross</t>
        </is>
      </c>
      <c r="B344" s="3" t="inlineStr">
        <is>
          <t>Grid-Constrained / Efficiency-Upside</t>
        </is>
      </c>
      <c r="C344" s="3" t="inlineStr">
        <is>
          <t>Google</t>
        </is>
      </c>
      <c r="D344" s="3" t="n">
        <v>2029</v>
      </c>
      <c r="E344" s="3" t="inlineStr">
        <is>
          <t>Google Waltham Cross</t>
        </is>
      </c>
      <c r="F344" s="3" t="inlineStr">
        <is>
          <t>Google</t>
        </is>
      </c>
      <c r="G344" s="3" t="inlineStr">
        <is>
          <t>United Kingdom</t>
        </is>
      </c>
      <c r="H344" s="25" t="n">
        <v>88</v>
      </c>
      <c r="I344" s="17" t="n">
        <v>1</v>
      </c>
      <c r="J344" s="17" t="n">
        <v>0.713</v>
      </c>
      <c r="K344" s="26" t="n">
        <v>0.287</v>
      </c>
      <c r="L344" s="3" t="inlineStr">
        <is>
          <t>2025-09-01</t>
        </is>
      </c>
      <c r="M344" s="27" t="n">
        <v>88</v>
      </c>
      <c r="N344" s="27" t="n">
        <v>88</v>
      </c>
      <c r="O344" s="3" t="inlineStr">
        <is>
          <t>speculative</t>
        </is>
      </c>
      <c r="P344" s="3" t="inlineStr">
        <is>
          <t>TPU v6e,TPU v7</t>
        </is>
      </c>
      <c r="Q344" s="3" t="inlineStr">
        <is>
          <t>epoch_user_site_equal_split_seed</t>
        </is>
      </c>
      <c r="R344" s="3" t="inlineStr">
        <is>
          <t>SRC_EPOCH_AI_DATA_CENTERS; EPOCH_NORMALIZED_USER_SITES</t>
        </is>
      </c>
      <c r="S344" s="3" t="inlineStr">
        <is>
          <t>Capacity weight is used only to weight accelerator mix, not to overwrite company total power in 02_Inputs.</t>
        </is>
      </c>
    </row>
    <row r="345">
      <c r="A345" s="3" t="inlineStr">
        <is>
          <t>Grid-Constrained / Efficiency-Upside|Google|2030|Google Waltham Cross</t>
        </is>
      </c>
      <c r="B345" s="3" t="inlineStr">
        <is>
          <t>Grid-Constrained / Efficiency-Upside</t>
        </is>
      </c>
      <c r="C345" s="3" t="inlineStr">
        <is>
          <t>Google</t>
        </is>
      </c>
      <c r="D345" s="3" t="n">
        <v>2030</v>
      </c>
      <c r="E345" s="3" t="inlineStr">
        <is>
          <t>Google Waltham Cross</t>
        </is>
      </c>
      <c r="F345" s="3" t="inlineStr">
        <is>
          <t>Google</t>
        </is>
      </c>
      <c r="G345" s="3" t="inlineStr">
        <is>
          <t>United Kingdom</t>
        </is>
      </c>
      <c r="H345" s="25" t="n">
        <v>88</v>
      </c>
      <c r="I345" s="17" t="n">
        <v>1</v>
      </c>
      <c r="J345" s="17" t="n">
        <v>0.76</v>
      </c>
      <c r="K345" s="26" t="n">
        <v>0.24</v>
      </c>
      <c r="L345" s="3" t="inlineStr">
        <is>
          <t>2025-09-01</t>
        </is>
      </c>
      <c r="M345" s="27" t="n">
        <v>88</v>
      </c>
      <c r="N345" s="27" t="n">
        <v>88</v>
      </c>
      <c r="O345" s="3" t="inlineStr">
        <is>
          <t>speculative</t>
        </is>
      </c>
      <c r="P345" s="3" t="inlineStr">
        <is>
          <t>TPU v6e,TPU v7</t>
        </is>
      </c>
      <c r="Q345" s="3" t="inlineStr">
        <is>
          <t>epoch_user_site_equal_split_seed</t>
        </is>
      </c>
      <c r="R345" s="3" t="inlineStr">
        <is>
          <t>SRC_EPOCH_AI_DATA_CENTERS; EPOCH_NORMALIZED_USER_SITES</t>
        </is>
      </c>
      <c r="S345" s="3" t="inlineStr">
        <is>
          <t>Capacity weight is used only to weight accelerator mix, not to overwrite company total power in 02_Inputs.</t>
        </is>
      </c>
    </row>
    <row r="346">
      <c r="A346" s="3" t="inlineStr">
        <is>
          <t>Bear|Meta|2026|Meta Aiken</t>
        </is>
      </c>
      <c r="B346" s="3" t="inlineStr">
        <is>
          <t>Bear</t>
        </is>
      </c>
      <c r="C346" s="3" t="inlineStr">
        <is>
          <t>Meta</t>
        </is>
      </c>
      <c r="D346" s="3" t="n">
        <v>2026</v>
      </c>
      <c r="E346" s="3" t="inlineStr">
        <is>
          <t>Meta Aiken</t>
        </is>
      </c>
      <c r="F346" s="3" t="inlineStr">
        <is>
          <t>Meta</t>
        </is>
      </c>
      <c r="G346" s="3" t="inlineStr">
        <is>
          <t>United States</t>
        </is>
      </c>
      <c r="H346" s="25" t="n">
        <v>142</v>
      </c>
      <c r="I346" s="17" t="n">
        <v>1</v>
      </c>
      <c r="J346" s="17" t="n">
        <v>0.5</v>
      </c>
      <c r="K346" s="26" t="n">
        <v>0.5</v>
      </c>
      <c r="L346" s="3" t="inlineStr">
        <is>
          <t>2026-07-15</t>
        </is>
      </c>
      <c r="M346" s="27" t="n">
        <v>142</v>
      </c>
      <c r="N346" s="27" t="n">
        <v>142</v>
      </c>
      <c r="O346" s="3" t="inlineStr">
        <is>
          <t>confident</t>
        </is>
      </c>
      <c r="P346" s="3" t="inlineStr">
        <is>
          <t>B300</t>
        </is>
      </c>
      <c r="Q346" s="3" t="inlineStr">
        <is>
          <t>epoch_user_site_equal_split_seed</t>
        </is>
      </c>
      <c r="R346" s="3" t="inlineStr">
        <is>
          <t>SRC_EPOCH_AI_DATA_CENTERS; EPOCH_NORMALIZED_USER_SITES</t>
        </is>
      </c>
      <c r="S346" s="3" t="inlineStr">
        <is>
          <t>Capacity weight is used only to weight accelerator mix, not to overwrite company total power in 02_Inputs.</t>
        </is>
      </c>
    </row>
    <row r="347">
      <c r="A347" s="3" t="inlineStr">
        <is>
          <t>Bear|Meta|2027|Meta Aiken</t>
        </is>
      </c>
      <c r="B347" s="3" t="inlineStr">
        <is>
          <t>Bear</t>
        </is>
      </c>
      <c r="C347" s="3" t="inlineStr">
        <is>
          <t>Meta</t>
        </is>
      </c>
      <c r="D347" s="3" t="n">
        <v>2027</v>
      </c>
      <c r="E347" s="3" t="inlineStr">
        <is>
          <t>Meta Aiken</t>
        </is>
      </c>
      <c r="F347" s="3" t="inlineStr">
        <is>
          <t>Meta</t>
        </is>
      </c>
      <c r="G347" s="3" t="inlineStr">
        <is>
          <t>United States</t>
        </is>
      </c>
      <c r="H347" s="25" t="n">
        <v>142</v>
      </c>
      <c r="I347" s="17" t="n">
        <v>1</v>
      </c>
      <c r="J347" s="17" t="n">
        <v>0.545</v>
      </c>
      <c r="K347" s="26" t="n">
        <v>0.455</v>
      </c>
      <c r="L347" s="3" t="inlineStr">
        <is>
          <t>2026-07-15</t>
        </is>
      </c>
      <c r="M347" s="27" t="n">
        <v>142</v>
      </c>
      <c r="N347" s="27" t="n">
        <v>142</v>
      </c>
      <c r="O347" s="3" t="inlineStr">
        <is>
          <t>confident</t>
        </is>
      </c>
      <c r="P347" s="3" t="inlineStr">
        <is>
          <t>B300</t>
        </is>
      </c>
      <c r="Q347" s="3" t="inlineStr">
        <is>
          <t>epoch_user_site_equal_split_seed</t>
        </is>
      </c>
      <c r="R347" s="3" t="inlineStr">
        <is>
          <t>SRC_EPOCH_AI_DATA_CENTERS; EPOCH_NORMALIZED_USER_SITES</t>
        </is>
      </c>
      <c r="S347" s="3" t="inlineStr">
        <is>
          <t>Capacity weight is used only to weight accelerator mix, not to overwrite company total power in 02_Inputs.</t>
        </is>
      </c>
    </row>
    <row r="348">
      <c r="A348" s="3" t="inlineStr">
        <is>
          <t>Bear|Meta|2028|Meta Aiken</t>
        </is>
      </c>
      <c r="B348" s="3" t="inlineStr">
        <is>
          <t>Bear</t>
        </is>
      </c>
      <c r="C348" s="3" t="inlineStr">
        <is>
          <t>Meta</t>
        </is>
      </c>
      <c r="D348" s="3" t="n">
        <v>2028</v>
      </c>
      <c r="E348" s="3" t="inlineStr">
        <is>
          <t>Meta Aiken</t>
        </is>
      </c>
      <c r="F348" s="3" t="inlineStr">
        <is>
          <t>Meta</t>
        </is>
      </c>
      <c r="G348" s="3" t="inlineStr">
        <is>
          <t>United States</t>
        </is>
      </c>
      <c r="H348" s="25" t="n">
        <v>142</v>
      </c>
      <c r="I348" s="17" t="n">
        <v>1</v>
      </c>
      <c r="J348" s="17" t="n">
        <v>0.59</v>
      </c>
      <c r="K348" s="26" t="n">
        <v>0.41</v>
      </c>
      <c r="L348" s="3" t="inlineStr">
        <is>
          <t>2026-07-15</t>
        </is>
      </c>
      <c r="M348" s="27" t="n">
        <v>142</v>
      </c>
      <c r="N348" s="27" t="n">
        <v>142</v>
      </c>
      <c r="O348" s="3" t="inlineStr">
        <is>
          <t>confident</t>
        </is>
      </c>
      <c r="P348" s="3" t="inlineStr">
        <is>
          <t>B300</t>
        </is>
      </c>
      <c r="Q348" s="3" t="inlineStr">
        <is>
          <t>epoch_user_site_equal_split_seed</t>
        </is>
      </c>
      <c r="R348" s="3" t="inlineStr">
        <is>
          <t>SRC_EPOCH_AI_DATA_CENTERS; EPOCH_NORMALIZED_USER_SITES</t>
        </is>
      </c>
      <c r="S348" s="3" t="inlineStr">
        <is>
          <t>Capacity weight is used only to weight accelerator mix, not to overwrite company total power in 02_Inputs.</t>
        </is>
      </c>
    </row>
    <row r="349">
      <c r="A349" s="3" t="inlineStr">
        <is>
          <t>Bear|Meta|2029|Meta Aiken</t>
        </is>
      </c>
      <c r="B349" s="3" t="inlineStr">
        <is>
          <t>Bear</t>
        </is>
      </c>
      <c r="C349" s="3" t="inlineStr">
        <is>
          <t>Meta</t>
        </is>
      </c>
      <c r="D349" s="3" t="n">
        <v>2029</v>
      </c>
      <c r="E349" s="3" t="inlineStr">
        <is>
          <t>Meta Aiken</t>
        </is>
      </c>
      <c r="F349" s="3" t="inlineStr">
        <is>
          <t>Meta</t>
        </is>
      </c>
      <c r="G349" s="3" t="inlineStr">
        <is>
          <t>United States</t>
        </is>
      </c>
      <c r="H349" s="25" t="n">
        <v>142</v>
      </c>
      <c r="I349" s="17" t="n">
        <v>1</v>
      </c>
      <c r="J349" s="17" t="n">
        <v>0.635</v>
      </c>
      <c r="K349" s="26" t="n">
        <v>0.365</v>
      </c>
      <c r="L349" s="3" t="inlineStr">
        <is>
          <t>2026-07-15</t>
        </is>
      </c>
      <c r="M349" s="27" t="n">
        <v>142</v>
      </c>
      <c r="N349" s="27" t="n">
        <v>142</v>
      </c>
      <c r="O349" s="3" t="inlineStr">
        <is>
          <t>confident</t>
        </is>
      </c>
      <c r="P349" s="3" t="inlineStr">
        <is>
          <t>B300</t>
        </is>
      </c>
      <c r="Q349" s="3" t="inlineStr">
        <is>
          <t>epoch_user_site_equal_split_seed</t>
        </is>
      </c>
      <c r="R349" s="3" t="inlineStr">
        <is>
          <t>SRC_EPOCH_AI_DATA_CENTERS; EPOCH_NORMALIZED_USER_SITES</t>
        </is>
      </c>
      <c r="S349" s="3" t="inlineStr">
        <is>
          <t>Capacity weight is used only to weight accelerator mix, not to overwrite company total power in 02_Inputs.</t>
        </is>
      </c>
    </row>
    <row r="350">
      <c r="A350" s="3" t="inlineStr">
        <is>
          <t>Bear|Meta|2030|Meta Aiken</t>
        </is>
      </c>
      <c r="B350" s="3" t="inlineStr">
        <is>
          <t>Bear</t>
        </is>
      </c>
      <c r="C350" s="3" t="inlineStr">
        <is>
          <t>Meta</t>
        </is>
      </c>
      <c r="D350" s="3" t="n">
        <v>2030</v>
      </c>
      <c r="E350" s="3" t="inlineStr">
        <is>
          <t>Meta Aiken</t>
        </is>
      </c>
      <c r="F350" s="3" t="inlineStr">
        <is>
          <t>Meta</t>
        </is>
      </c>
      <c r="G350" s="3" t="inlineStr">
        <is>
          <t>United States</t>
        </is>
      </c>
      <c r="H350" s="25" t="n">
        <v>142</v>
      </c>
      <c r="I350" s="17" t="n">
        <v>1</v>
      </c>
      <c r="J350" s="17" t="n">
        <v>0.68</v>
      </c>
      <c r="K350" s="26" t="n">
        <v>0.32</v>
      </c>
      <c r="L350" s="3" t="inlineStr">
        <is>
          <t>2026-07-15</t>
        </is>
      </c>
      <c r="M350" s="27" t="n">
        <v>142</v>
      </c>
      <c r="N350" s="27" t="n">
        <v>142</v>
      </c>
      <c r="O350" s="3" t="inlineStr">
        <is>
          <t>confident</t>
        </is>
      </c>
      <c r="P350" s="3" t="inlineStr">
        <is>
          <t>B300</t>
        </is>
      </c>
      <c r="Q350" s="3" t="inlineStr">
        <is>
          <t>epoch_user_site_equal_split_seed</t>
        </is>
      </c>
      <c r="R350" s="3" t="inlineStr">
        <is>
          <t>SRC_EPOCH_AI_DATA_CENTERS; EPOCH_NORMALIZED_USER_SITES</t>
        </is>
      </c>
      <c r="S350" s="3" t="inlineStr">
        <is>
          <t>Capacity weight is used only to weight accelerator mix, not to overwrite company total power in 02_Inputs.</t>
        </is>
      </c>
    </row>
    <row r="351">
      <c r="A351" s="3" t="inlineStr">
        <is>
          <t>Base|Meta|2026|Meta Aiken</t>
        </is>
      </c>
      <c r="B351" s="3" t="inlineStr">
        <is>
          <t>Base</t>
        </is>
      </c>
      <c r="C351" s="3" t="inlineStr">
        <is>
          <t>Meta</t>
        </is>
      </c>
      <c r="D351" s="3" t="n">
        <v>2026</v>
      </c>
      <c r="E351" s="3" t="inlineStr">
        <is>
          <t>Meta Aiken</t>
        </is>
      </c>
      <c r="F351" s="3" t="inlineStr">
        <is>
          <t>Meta</t>
        </is>
      </c>
      <c r="G351" s="3" t="inlineStr">
        <is>
          <t>United States</t>
        </is>
      </c>
      <c r="H351" s="25" t="n">
        <v>142</v>
      </c>
      <c r="I351" s="17" t="n">
        <v>1</v>
      </c>
      <c r="J351" s="17" t="n">
        <v>0.58</v>
      </c>
      <c r="K351" s="26" t="n">
        <v>0.42</v>
      </c>
      <c r="L351" s="3" t="inlineStr">
        <is>
          <t>2026-07-15</t>
        </is>
      </c>
      <c r="M351" s="27" t="n">
        <v>142</v>
      </c>
      <c r="N351" s="27" t="n">
        <v>142</v>
      </c>
      <c r="O351" s="3" t="inlineStr">
        <is>
          <t>confident</t>
        </is>
      </c>
      <c r="P351" s="3" t="inlineStr">
        <is>
          <t>B300</t>
        </is>
      </c>
      <c r="Q351" s="3" t="inlineStr">
        <is>
          <t>epoch_user_site_equal_split_seed</t>
        </is>
      </c>
      <c r="R351" s="3" t="inlineStr">
        <is>
          <t>SRC_EPOCH_AI_DATA_CENTERS; EPOCH_NORMALIZED_USER_SITES</t>
        </is>
      </c>
      <c r="S351" s="3" t="inlineStr">
        <is>
          <t>Capacity weight is used only to weight accelerator mix, not to overwrite company total power in 02_Inputs.</t>
        </is>
      </c>
    </row>
    <row r="352">
      <c r="A352" s="3" t="inlineStr">
        <is>
          <t>Base|Meta|2027|Meta Aiken</t>
        </is>
      </c>
      <c r="B352" s="3" t="inlineStr">
        <is>
          <t>Base</t>
        </is>
      </c>
      <c r="C352" s="3" t="inlineStr">
        <is>
          <t>Meta</t>
        </is>
      </c>
      <c r="D352" s="3" t="n">
        <v>2027</v>
      </c>
      <c r="E352" s="3" t="inlineStr">
        <is>
          <t>Meta Aiken</t>
        </is>
      </c>
      <c r="F352" s="3" t="inlineStr">
        <is>
          <t>Meta</t>
        </is>
      </c>
      <c r="G352" s="3" t="inlineStr">
        <is>
          <t>United States</t>
        </is>
      </c>
      <c r="H352" s="25" t="n">
        <v>142</v>
      </c>
      <c r="I352" s="17" t="n">
        <v>1</v>
      </c>
      <c r="J352" s="17" t="n">
        <v>0.63</v>
      </c>
      <c r="K352" s="26" t="n">
        <v>0.37</v>
      </c>
      <c r="L352" s="3" t="inlineStr">
        <is>
          <t>2026-07-15</t>
        </is>
      </c>
      <c r="M352" s="27" t="n">
        <v>142</v>
      </c>
      <c r="N352" s="27" t="n">
        <v>142</v>
      </c>
      <c r="O352" s="3" t="inlineStr">
        <is>
          <t>confident</t>
        </is>
      </c>
      <c r="P352" s="3" t="inlineStr">
        <is>
          <t>B300</t>
        </is>
      </c>
      <c r="Q352" s="3" t="inlineStr">
        <is>
          <t>epoch_user_site_equal_split_seed</t>
        </is>
      </c>
      <c r="R352" s="3" t="inlineStr">
        <is>
          <t>SRC_EPOCH_AI_DATA_CENTERS; EPOCH_NORMALIZED_USER_SITES</t>
        </is>
      </c>
      <c r="S352" s="3" t="inlineStr">
        <is>
          <t>Capacity weight is used only to weight accelerator mix, not to overwrite company total power in 02_Inputs.</t>
        </is>
      </c>
    </row>
    <row r="353">
      <c r="A353" s="3" t="inlineStr">
        <is>
          <t>Base|Meta|2028|Meta Aiken</t>
        </is>
      </c>
      <c r="B353" s="3" t="inlineStr">
        <is>
          <t>Base</t>
        </is>
      </c>
      <c r="C353" s="3" t="inlineStr">
        <is>
          <t>Meta</t>
        </is>
      </c>
      <c r="D353" s="3" t="n">
        <v>2028</v>
      </c>
      <c r="E353" s="3" t="inlineStr">
        <is>
          <t>Meta Aiken</t>
        </is>
      </c>
      <c r="F353" s="3" t="inlineStr">
        <is>
          <t>Meta</t>
        </is>
      </c>
      <c r="G353" s="3" t="inlineStr">
        <is>
          <t>United States</t>
        </is>
      </c>
      <c r="H353" s="25" t="n">
        <v>142</v>
      </c>
      <c r="I353" s="17" t="n">
        <v>1</v>
      </c>
      <c r="J353" s="17" t="n">
        <v>0.68</v>
      </c>
      <c r="K353" s="26" t="n">
        <v>0.32</v>
      </c>
      <c r="L353" s="3" t="inlineStr">
        <is>
          <t>2026-07-15</t>
        </is>
      </c>
      <c r="M353" s="27" t="n">
        <v>142</v>
      </c>
      <c r="N353" s="27" t="n">
        <v>142</v>
      </c>
      <c r="O353" s="3" t="inlineStr">
        <is>
          <t>confident</t>
        </is>
      </c>
      <c r="P353" s="3" t="inlineStr">
        <is>
          <t>B300</t>
        </is>
      </c>
      <c r="Q353" s="3" t="inlineStr">
        <is>
          <t>epoch_user_site_equal_split_seed</t>
        </is>
      </c>
      <c r="R353" s="3" t="inlineStr">
        <is>
          <t>SRC_EPOCH_AI_DATA_CENTERS; EPOCH_NORMALIZED_USER_SITES</t>
        </is>
      </c>
      <c r="S353" s="3" t="inlineStr">
        <is>
          <t>Capacity weight is used only to weight accelerator mix, not to overwrite company total power in 02_Inputs.</t>
        </is>
      </c>
    </row>
    <row r="354">
      <c r="A354" s="3" t="inlineStr">
        <is>
          <t>Base|Meta|2029|Meta Aiken</t>
        </is>
      </c>
      <c r="B354" s="3" t="inlineStr">
        <is>
          <t>Base</t>
        </is>
      </c>
      <c r="C354" s="3" t="inlineStr">
        <is>
          <t>Meta</t>
        </is>
      </c>
      <c r="D354" s="3" t="n">
        <v>2029</v>
      </c>
      <c r="E354" s="3" t="inlineStr">
        <is>
          <t>Meta Aiken</t>
        </is>
      </c>
      <c r="F354" s="3" t="inlineStr">
        <is>
          <t>Meta</t>
        </is>
      </c>
      <c r="G354" s="3" t="inlineStr">
        <is>
          <t>United States</t>
        </is>
      </c>
      <c r="H354" s="25" t="n">
        <v>142</v>
      </c>
      <c r="I354" s="17" t="n">
        <v>1</v>
      </c>
      <c r="J354" s="17" t="n">
        <v>0.73</v>
      </c>
      <c r="K354" s="26" t="n">
        <v>0.27</v>
      </c>
      <c r="L354" s="3" t="inlineStr">
        <is>
          <t>2026-07-15</t>
        </is>
      </c>
      <c r="M354" s="27" t="n">
        <v>142</v>
      </c>
      <c r="N354" s="27" t="n">
        <v>142</v>
      </c>
      <c r="O354" s="3" t="inlineStr">
        <is>
          <t>confident</t>
        </is>
      </c>
      <c r="P354" s="3" t="inlineStr">
        <is>
          <t>B300</t>
        </is>
      </c>
      <c r="Q354" s="3" t="inlineStr">
        <is>
          <t>epoch_user_site_equal_split_seed</t>
        </is>
      </c>
      <c r="R354" s="3" t="inlineStr">
        <is>
          <t>SRC_EPOCH_AI_DATA_CENTERS; EPOCH_NORMALIZED_USER_SITES</t>
        </is>
      </c>
      <c r="S354" s="3" t="inlineStr">
        <is>
          <t>Capacity weight is used only to weight accelerator mix, not to overwrite company total power in 02_Inputs.</t>
        </is>
      </c>
    </row>
    <row r="355">
      <c r="A355" s="3" t="inlineStr">
        <is>
          <t>Base|Meta|2030|Meta Aiken</t>
        </is>
      </c>
      <c r="B355" s="3" t="inlineStr">
        <is>
          <t>Base</t>
        </is>
      </c>
      <c r="C355" s="3" t="inlineStr">
        <is>
          <t>Meta</t>
        </is>
      </c>
      <c r="D355" s="3" t="n">
        <v>2030</v>
      </c>
      <c r="E355" s="3" t="inlineStr">
        <is>
          <t>Meta Aiken</t>
        </is>
      </c>
      <c r="F355" s="3" t="inlineStr">
        <is>
          <t>Meta</t>
        </is>
      </c>
      <c r="G355" s="3" t="inlineStr">
        <is>
          <t>United States</t>
        </is>
      </c>
      <c r="H355" s="25" t="n">
        <v>142</v>
      </c>
      <c r="I355" s="17" t="n">
        <v>1</v>
      </c>
      <c r="J355" s="17" t="n">
        <v>0.78</v>
      </c>
      <c r="K355" s="26" t="n">
        <v>0.22</v>
      </c>
      <c r="L355" s="3" t="inlineStr">
        <is>
          <t>2026-07-15</t>
        </is>
      </c>
      <c r="M355" s="27" t="n">
        <v>142</v>
      </c>
      <c r="N355" s="27" t="n">
        <v>142</v>
      </c>
      <c r="O355" s="3" t="inlineStr">
        <is>
          <t>confident</t>
        </is>
      </c>
      <c r="P355" s="3" t="inlineStr">
        <is>
          <t>B300</t>
        </is>
      </c>
      <c r="Q355" s="3" t="inlineStr">
        <is>
          <t>epoch_user_site_equal_split_seed</t>
        </is>
      </c>
      <c r="R355" s="3" t="inlineStr">
        <is>
          <t>SRC_EPOCH_AI_DATA_CENTERS; EPOCH_NORMALIZED_USER_SITES</t>
        </is>
      </c>
      <c r="S355" s="3" t="inlineStr">
        <is>
          <t>Capacity weight is used only to weight accelerator mix, not to overwrite company total power in 02_Inputs.</t>
        </is>
      </c>
    </row>
    <row r="356">
      <c r="A356" s="3" t="inlineStr">
        <is>
          <t>Bull|Meta|2026|Meta Aiken</t>
        </is>
      </c>
      <c r="B356" s="3" t="inlineStr">
        <is>
          <t>Bull</t>
        </is>
      </c>
      <c r="C356" s="3" t="inlineStr">
        <is>
          <t>Meta</t>
        </is>
      </c>
      <c r="D356" s="3" t="n">
        <v>2026</v>
      </c>
      <c r="E356" s="3" t="inlineStr">
        <is>
          <t>Meta Aiken</t>
        </is>
      </c>
      <c r="F356" s="3" t="inlineStr">
        <is>
          <t>Meta</t>
        </is>
      </c>
      <c r="G356" s="3" t="inlineStr">
        <is>
          <t>United States</t>
        </is>
      </c>
      <c r="H356" s="25" t="n">
        <v>142</v>
      </c>
      <c r="I356" s="17" t="n">
        <v>1</v>
      </c>
      <c r="J356" s="17" t="n">
        <v>0.63</v>
      </c>
      <c r="K356" s="26" t="n">
        <v>0.37</v>
      </c>
      <c r="L356" s="3" t="inlineStr">
        <is>
          <t>2026-07-15</t>
        </is>
      </c>
      <c r="M356" s="27" t="n">
        <v>142</v>
      </c>
      <c r="N356" s="27" t="n">
        <v>142</v>
      </c>
      <c r="O356" s="3" t="inlineStr">
        <is>
          <t>confident</t>
        </is>
      </c>
      <c r="P356" s="3" t="inlineStr">
        <is>
          <t>B300</t>
        </is>
      </c>
      <c r="Q356" s="3" t="inlineStr">
        <is>
          <t>epoch_user_site_equal_split_seed</t>
        </is>
      </c>
      <c r="R356" s="3" t="inlineStr">
        <is>
          <t>SRC_EPOCH_AI_DATA_CENTERS; EPOCH_NORMALIZED_USER_SITES</t>
        </is>
      </c>
      <c r="S356" s="3" t="inlineStr">
        <is>
          <t>Capacity weight is used only to weight accelerator mix, not to overwrite company total power in 02_Inputs.</t>
        </is>
      </c>
    </row>
    <row r="357">
      <c r="A357" s="3" t="inlineStr">
        <is>
          <t>Bull|Meta|2027|Meta Aiken</t>
        </is>
      </c>
      <c r="B357" s="3" t="inlineStr">
        <is>
          <t>Bull</t>
        </is>
      </c>
      <c r="C357" s="3" t="inlineStr">
        <is>
          <t>Meta</t>
        </is>
      </c>
      <c r="D357" s="3" t="n">
        <v>2027</v>
      </c>
      <c r="E357" s="3" t="inlineStr">
        <is>
          <t>Meta Aiken</t>
        </is>
      </c>
      <c r="F357" s="3" t="inlineStr">
        <is>
          <t>Meta</t>
        </is>
      </c>
      <c r="G357" s="3" t="inlineStr">
        <is>
          <t>United States</t>
        </is>
      </c>
      <c r="H357" s="25" t="n">
        <v>142</v>
      </c>
      <c r="I357" s="17" t="n">
        <v>1</v>
      </c>
      <c r="J357" s="17" t="n">
        <v>0.6879999999999999</v>
      </c>
      <c r="K357" s="26" t="n">
        <v>0.312</v>
      </c>
      <c r="L357" s="3" t="inlineStr">
        <is>
          <t>2026-07-15</t>
        </is>
      </c>
      <c r="M357" s="27" t="n">
        <v>142</v>
      </c>
      <c r="N357" s="27" t="n">
        <v>142</v>
      </c>
      <c r="O357" s="3" t="inlineStr">
        <is>
          <t>confident</t>
        </is>
      </c>
      <c r="P357" s="3" t="inlineStr">
        <is>
          <t>B300</t>
        </is>
      </c>
      <c r="Q357" s="3" t="inlineStr">
        <is>
          <t>epoch_user_site_equal_split_seed</t>
        </is>
      </c>
      <c r="R357" s="3" t="inlineStr">
        <is>
          <t>SRC_EPOCH_AI_DATA_CENTERS; EPOCH_NORMALIZED_USER_SITES</t>
        </is>
      </c>
      <c r="S357" s="3" t="inlineStr">
        <is>
          <t>Capacity weight is used only to weight accelerator mix, not to overwrite company total power in 02_Inputs.</t>
        </is>
      </c>
    </row>
    <row r="358">
      <c r="A358" s="3" t="inlineStr">
        <is>
          <t>Bull|Meta|2028|Meta Aiken</t>
        </is>
      </c>
      <c r="B358" s="3" t="inlineStr">
        <is>
          <t>Bull</t>
        </is>
      </c>
      <c r="C358" s="3" t="inlineStr">
        <is>
          <t>Meta</t>
        </is>
      </c>
      <c r="D358" s="3" t="n">
        <v>2028</v>
      </c>
      <c r="E358" s="3" t="inlineStr">
        <is>
          <t>Meta Aiken</t>
        </is>
      </c>
      <c r="F358" s="3" t="inlineStr">
        <is>
          <t>Meta</t>
        </is>
      </c>
      <c r="G358" s="3" t="inlineStr">
        <is>
          <t>United States</t>
        </is>
      </c>
      <c r="H358" s="25" t="n">
        <v>142</v>
      </c>
      <c r="I358" s="17" t="n">
        <v>1</v>
      </c>
      <c r="J358" s="17" t="n">
        <v>0.745</v>
      </c>
      <c r="K358" s="26" t="n">
        <v>0.255</v>
      </c>
      <c r="L358" s="3" t="inlineStr">
        <is>
          <t>2026-07-15</t>
        </is>
      </c>
      <c r="M358" s="27" t="n">
        <v>142</v>
      </c>
      <c r="N358" s="27" t="n">
        <v>142</v>
      </c>
      <c r="O358" s="3" t="inlineStr">
        <is>
          <t>confident</t>
        </is>
      </c>
      <c r="P358" s="3" t="inlineStr">
        <is>
          <t>B300</t>
        </is>
      </c>
      <c r="Q358" s="3" t="inlineStr">
        <is>
          <t>epoch_user_site_equal_split_seed</t>
        </is>
      </c>
      <c r="R358" s="3" t="inlineStr">
        <is>
          <t>SRC_EPOCH_AI_DATA_CENTERS; EPOCH_NORMALIZED_USER_SITES</t>
        </is>
      </c>
      <c r="S358" s="3" t="inlineStr">
        <is>
          <t>Capacity weight is used only to weight accelerator mix, not to overwrite company total power in 02_Inputs.</t>
        </is>
      </c>
    </row>
    <row r="359">
      <c r="A359" s="3" t="inlineStr">
        <is>
          <t>Bull|Meta|2029|Meta Aiken</t>
        </is>
      </c>
      <c r="B359" s="3" t="inlineStr">
        <is>
          <t>Bull</t>
        </is>
      </c>
      <c r="C359" s="3" t="inlineStr">
        <is>
          <t>Meta</t>
        </is>
      </c>
      <c r="D359" s="3" t="n">
        <v>2029</v>
      </c>
      <c r="E359" s="3" t="inlineStr">
        <is>
          <t>Meta Aiken</t>
        </is>
      </c>
      <c r="F359" s="3" t="inlineStr">
        <is>
          <t>Meta</t>
        </is>
      </c>
      <c r="G359" s="3" t="inlineStr">
        <is>
          <t>United States</t>
        </is>
      </c>
      <c r="H359" s="25" t="n">
        <v>142</v>
      </c>
      <c r="I359" s="17" t="n">
        <v>1</v>
      </c>
      <c r="J359" s="17" t="n">
        <v>0.802</v>
      </c>
      <c r="K359" s="26" t="n">
        <v>0.198</v>
      </c>
      <c r="L359" s="3" t="inlineStr">
        <is>
          <t>2026-07-15</t>
        </is>
      </c>
      <c r="M359" s="27" t="n">
        <v>142</v>
      </c>
      <c r="N359" s="27" t="n">
        <v>142</v>
      </c>
      <c r="O359" s="3" t="inlineStr">
        <is>
          <t>confident</t>
        </is>
      </c>
      <c r="P359" s="3" t="inlineStr">
        <is>
          <t>B300</t>
        </is>
      </c>
      <c r="Q359" s="3" t="inlineStr">
        <is>
          <t>epoch_user_site_equal_split_seed</t>
        </is>
      </c>
      <c r="R359" s="3" t="inlineStr">
        <is>
          <t>SRC_EPOCH_AI_DATA_CENTERS; EPOCH_NORMALIZED_USER_SITES</t>
        </is>
      </c>
      <c r="S359" s="3" t="inlineStr">
        <is>
          <t>Capacity weight is used only to weight accelerator mix, not to overwrite company total power in 02_Inputs.</t>
        </is>
      </c>
    </row>
    <row r="360">
      <c r="A360" s="3" t="inlineStr">
        <is>
          <t>Bull|Meta|2030|Meta Aiken</t>
        </is>
      </c>
      <c r="B360" s="3" t="inlineStr">
        <is>
          <t>Bull</t>
        </is>
      </c>
      <c r="C360" s="3" t="inlineStr">
        <is>
          <t>Meta</t>
        </is>
      </c>
      <c r="D360" s="3" t="n">
        <v>2030</v>
      </c>
      <c r="E360" s="3" t="inlineStr">
        <is>
          <t>Meta Aiken</t>
        </is>
      </c>
      <c r="F360" s="3" t="inlineStr">
        <is>
          <t>Meta</t>
        </is>
      </c>
      <c r="G360" s="3" t="inlineStr">
        <is>
          <t>United States</t>
        </is>
      </c>
      <c r="H360" s="25" t="n">
        <v>142</v>
      </c>
      <c r="I360" s="17" t="n">
        <v>1</v>
      </c>
      <c r="J360" s="17" t="n">
        <v>0.86</v>
      </c>
      <c r="K360" s="26" t="n">
        <v>0.14</v>
      </c>
      <c r="L360" s="3" t="inlineStr">
        <is>
          <t>2026-07-15</t>
        </is>
      </c>
      <c r="M360" s="27" t="n">
        <v>142</v>
      </c>
      <c r="N360" s="27" t="n">
        <v>142</v>
      </c>
      <c r="O360" s="3" t="inlineStr">
        <is>
          <t>confident</t>
        </is>
      </c>
      <c r="P360" s="3" t="inlineStr">
        <is>
          <t>B300</t>
        </is>
      </c>
      <c r="Q360" s="3" t="inlineStr">
        <is>
          <t>epoch_user_site_equal_split_seed</t>
        </is>
      </c>
      <c r="R360" s="3" t="inlineStr">
        <is>
          <t>SRC_EPOCH_AI_DATA_CENTERS; EPOCH_NORMALIZED_USER_SITES</t>
        </is>
      </c>
      <c r="S360" s="3" t="inlineStr">
        <is>
          <t>Capacity weight is used only to weight accelerator mix, not to overwrite company total power in 02_Inputs.</t>
        </is>
      </c>
    </row>
    <row r="361">
      <c r="A361" s="3" t="inlineStr">
        <is>
          <t>Grid-Constrained / Efficiency-Upside|Meta|2026|Meta Aiken</t>
        </is>
      </c>
      <c r="B361" s="3" t="inlineStr">
        <is>
          <t>Grid-Constrained / Efficiency-Upside</t>
        </is>
      </c>
      <c r="C361" s="3" t="inlineStr">
        <is>
          <t>Meta</t>
        </is>
      </c>
      <c r="D361" s="3" t="n">
        <v>2026</v>
      </c>
      <c r="E361" s="3" t="inlineStr">
        <is>
          <t>Meta Aiken</t>
        </is>
      </c>
      <c r="F361" s="3" t="inlineStr">
        <is>
          <t>Meta</t>
        </is>
      </c>
      <c r="G361" s="3" t="inlineStr">
        <is>
          <t>United States</t>
        </is>
      </c>
      <c r="H361" s="25" t="n">
        <v>142</v>
      </c>
      <c r="I361" s="17" t="n">
        <v>1</v>
      </c>
      <c r="J361" s="17" t="n">
        <v>0.6</v>
      </c>
      <c r="K361" s="26" t="n">
        <v>0.4</v>
      </c>
      <c r="L361" s="3" t="inlineStr">
        <is>
          <t>2026-07-15</t>
        </is>
      </c>
      <c r="M361" s="27" t="n">
        <v>142</v>
      </c>
      <c r="N361" s="27" t="n">
        <v>142</v>
      </c>
      <c r="O361" s="3" t="inlineStr">
        <is>
          <t>confident</t>
        </is>
      </c>
      <c r="P361" s="3" t="inlineStr">
        <is>
          <t>B300</t>
        </is>
      </c>
      <c r="Q361" s="3" t="inlineStr">
        <is>
          <t>epoch_user_site_equal_split_seed</t>
        </is>
      </c>
      <c r="R361" s="3" t="inlineStr">
        <is>
          <t>SRC_EPOCH_AI_DATA_CENTERS; EPOCH_NORMALIZED_USER_SITES</t>
        </is>
      </c>
      <c r="S361" s="3" t="inlineStr">
        <is>
          <t>Capacity weight is used only to weight accelerator mix, not to overwrite company total power in 02_Inputs.</t>
        </is>
      </c>
    </row>
    <row r="362">
      <c r="A362" s="3" t="inlineStr">
        <is>
          <t>Grid-Constrained / Efficiency-Upside|Meta|2027|Meta Aiken</t>
        </is>
      </c>
      <c r="B362" s="3" t="inlineStr">
        <is>
          <t>Grid-Constrained / Efficiency-Upside</t>
        </is>
      </c>
      <c r="C362" s="3" t="inlineStr">
        <is>
          <t>Meta</t>
        </is>
      </c>
      <c r="D362" s="3" t="n">
        <v>2027</v>
      </c>
      <c r="E362" s="3" t="inlineStr">
        <is>
          <t>Meta Aiken</t>
        </is>
      </c>
      <c r="F362" s="3" t="inlineStr">
        <is>
          <t>Meta</t>
        </is>
      </c>
      <c r="G362" s="3" t="inlineStr">
        <is>
          <t>United States</t>
        </is>
      </c>
      <c r="H362" s="25" t="n">
        <v>142</v>
      </c>
      <c r="I362" s="17" t="n">
        <v>1</v>
      </c>
      <c r="J362" s="17" t="n">
        <v>0.655</v>
      </c>
      <c r="K362" s="26" t="n">
        <v>0.345</v>
      </c>
      <c r="L362" s="3" t="inlineStr">
        <is>
          <t>2026-07-15</t>
        </is>
      </c>
      <c r="M362" s="27" t="n">
        <v>142</v>
      </c>
      <c r="N362" s="27" t="n">
        <v>142</v>
      </c>
      <c r="O362" s="3" t="inlineStr">
        <is>
          <t>confident</t>
        </is>
      </c>
      <c r="P362" s="3" t="inlineStr">
        <is>
          <t>B300</t>
        </is>
      </c>
      <c r="Q362" s="3" t="inlineStr">
        <is>
          <t>epoch_user_site_equal_split_seed</t>
        </is>
      </c>
      <c r="R362" s="3" t="inlineStr">
        <is>
          <t>SRC_EPOCH_AI_DATA_CENTERS; EPOCH_NORMALIZED_USER_SITES</t>
        </is>
      </c>
      <c r="S362" s="3" t="inlineStr">
        <is>
          <t>Capacity weight is used only to weight accelerator mix, not to overwrite company total power in 02_Inputs.</t>
        </is>
      </c>
    </row>
    <row r="363">
      <c r="A363" s="3" t="inlineStr">
        <is>
          <t>Grid-Constrained / Efficiency-Upside|Meta|2028|Meta Aiken</t>
        </is>
      </c>
      <c r="B363" s="3" t="inlineStr">
        <is>
          <t>Grid-Constrained / Efficiency-Upside</t>
        </is>
      </c>
      <c r="C363" s="3" t="inlineStr">
        <is>
          <t>Meta</t>
        </is>
      </c>
      <c r="D363" s="3" t="n">
        <v>2028</v>
      </c>
      <c r="E363" s="3" t="inlineStr">
        <is>
          <t>Meta Aiken</t>
        </is>
      </c>
      <c r="F363" s="3" t="inlineStr">
        <is>
          <t>Meta</t>
        </is>
      </c>
      <c r="G363" s="3" t="inlineStr">
        <is>
          <t>United States</t>
        </is>
      </c>
      <c r="H363" s="25" t="n">
        <v>142</v>
      </c>
      <c r="I363" s="17" t="n">
        <v>1</v>
      </c>
      <c r="J363" s="17" t="n">
        <v>0.71</v>
      </c>
      <c r="K363" s="26" t="n">
        <v>0.29</v>
      </c>
      <c r="L363" s="3" t="inlineStr">
        <is>
          <t>2026-07-15</t>
        </is>
      </c>
      <c r="M363" s="27" t="n">
        <v>142</v>
      </c>
      <c r="N363" s="27" t="n">
        <v>142</v>
      </c>
      <c r="O363" s="3" t="inlineStr">
        <is>
          <t>confident</t>
        </is>
      </c>
      <c r="P363" s="3" t="inlineStr">
        <is>
          <t>B300</t>
        </is>
      </c>
      <c r="Q363" s="3" t="inlineStr">
        <is>
          <t>epoch_user_site_equal_split_seed</t>
        </is>
      </c>
      <c r="R363" s="3" t="inlineStr">
        <is>
          <t>SRC_EPOCH_AI_DATA_CENTERS; EPOCH_NORMALIZED_USER_SITES</t>
        </is>
      </c>
      <c r="S363" s="3" t="inlineStr">
        <is>
          <t>Capacity weight is used only to weight accelerator mix, not to overwrite company total power in 02_Inputs.</t>
        </is>
      </c>
    </row>
    <row r="364">
      <c r="A364" s="3" t="inlineStr">
        <is>
          <t>Grid-Constrained / Efficiency-Upside|Meta|2029|Meta Aiken</t>
        </is>
      </c>
      <c r="B364" s="3" t="inlineStr">
        <is>
          <t>Grid-Constrained / Efficiency-Upside</t>
        </is>
      </c>
      <c r="C364" s="3" t="inlineStr">
        <is>
          <t>Meta</t>
        </is>
      </c>
      <c r="D364" s="3" t="n">
        <v>2029</v>
      </c>
      <c r="E364" s="3" t="inlineStr">
        <is>
          <t>Meta Aiken</t>
        </is>
      </c>
      <c r="F364" s="3" t="inlineStr">
        <is>
          <t>Meta</t>
        </is>
      </c>
      <c r="G364" s="3" t="inlineStr">
        <is>
          <t>United States</t>
        </is>
      </c>
      <c r="H364" s="25" t="n">
        <v>142</v>
      </c>
      <c r="I364" s="17" t="n">
        <v>1</v>
      </c>
      <c r="J364" s="17" t="n">
        <v>0.765</v>
      </c>
      <c r="K364" s="26" t="n">
        <v>0.235</v>
      </c>
      <c r="L364" s="3" t="inlineStr">
        <is>
          <t>2026-07-15</t>
        </is>
      </c>
      <c r="M364" s="27" t="n">
        <v>142</v>
      </c>
      <c r="N364" s="27" t="n">
        <v>142</v>
      </c>
      <c r="O364" s="3" t="inlineStr">
        <is>
          <t>confident</t>
        </is>
      </c>
      <c r="P364" s="3" t="inlineStr">
        <is>
          <t>B300</t>
        </is>
      </c>
      <c r="Q364" s="3" t="inlineStr">
        <is>
          <t>epoch_user_site_equal_split_seed</t>
        </is>
      </c>
      <c r="R364" s="3" t="inlineStr">
        <is>
          <t>SRC_EPOCH_AI_DATA_CENTERS; EPOCH_NORMALIZED_USER_SITES</t>
        </is>
      </c>
      <c r="S364" s="3" t="inlineStr">
        <is>
          <t>Capacity weight is used only to weight accelerator mix, not to overwrite company total power in 02_Inputs.</t>
        </is>
      </c>
    </row>
    <row r="365">
      <c r="A365" s="3" t="inlineStr">
        <is>
          <t>Grid-Constrained / Efficiency-Upside|Meta|2030|Meta Aiken</t>
        </is>
      </c>
      <c r="B365" s="3" t="inlineStr">
        <is>
          <t>Grid-Constrained / Efficiency-Upside</t>
        </is>
      </c>
      <c r="C365" s="3" t="inlineStr">
        <is>
          <t>Meta</t>
        </is>
      </c>
      <c r="D365" s="3" t="n">
        <v>2030</v>
      </c>
      <c r="E365" s="3" t="inlineStr">
        <is>
          <t>Meta Aiken</t>
        </is>
      </c>
      <c r="F365" s="3" t="inlineStr">
        <is>
          <t>Meta</t>
        </is>
      </c>
      <c r="G365" s="3" t="inlineStr">
        <is>
          <t>United States</t>
        </is>
      </c>
      <c r="H365" s="25" t="n">
        <v>142</v>
      </c>
      <c r="I365" s="17" t="n">
        <v>1</v>
      </c>
      <c r="J365" s="17" t="n">
        <v>0.82</v>
      </c>
      <c r="K365" s="26" t="n">
        <v>0.18</v>
      </c>
      <c r="L365" s="3" t="inlineStr">
        <is>
          <t>2026-07-15</t>
        </is>
      </c>
      <c r="M365" s="27" t="n">
        <v>142</v>
      </c>
      <c r="N365" s="27" t="n">
        <v>142</v>
      </c>
      <c r="O365" s="3" t="inlineStr">
        <is>
          <t>confident</t>
        </is>
      </c>
      <c r="P365" s="3" t="inlineStr">
        <is>
          <t>B300</t>
        </is>
      </c>
      <c r="Q365" s="3" t="inlineStr">
        <is>
          <t>epoch_user_site_equal_split_seed</t>
        </is>
      </c>
      <c r="R365" s="3" t="inlineStr">
        <is>
          <t>SRC_EPOCH_AI_DATA_CENTERS; EPOCH_NORMALIZED_USER_SITES</t>
        </is>
      </c>
      <c r="S365" s="3" t="inlineStr">
        <is>
          <t>Capacity weight is used only to weight accelerator mix, not to overwrite company total power in 02_Inputs.</t>
        </is>
      </c>
    </row>
    <row r="366">
      <c r="A366" s="3" t="inlineStr">
        <is>
          <t>Bear|Meta|2027|Meta Cheyenne</t>
        </is>
      </c>
      <c r="B366" s="3" t="inlineStr">
        <is>
          <t>Bear</t>
        </is>
      </c>
      <c r="C366" s="3" t="inlineStr">
        <is>
          <t>Meta</t>
        </is>
      </c>
      <c r="D366" s="3" t="n">
        <v>2027</v>
      </c>
      <c r="E366" s="3" t="inlineStr">
        <is>
          <t>Meta Cheyenne</t>
        </is>
      </c>
      <c r="F366" s="3" t="inlineStr">
        <is>
          <t>Meta</t>
        </is>
      </c>
      <c r="G366" s="3" t="inlineStr">
        <is>
          <t>United States</t>
        </is>
      </c>
      <c r="H366" s="25" t="n">
        <v>220</v>
      </c>
      <c r="I366" s="17" t="n">
        <v>1</v>
      </c>
      <c r="J366" s="17" t="n">
        <v>0.545</v>
      </c>
      <c r="K366" s="26" t="n">
        <v>0.455</v>
      </c>
      <c r="L366" s="3" t="inlineStr">
        <is>
          <t>2027-02-15</t>
        </is>
      </c>
      <c r="M366" s="27" t="n">
        <v>0</v>
      </c>
      <c r="N366" s="27" t="n">
        <v>220</v>
      </c>
      <c r="O366" s="3" t="inlineStr">
        <is>
          <t>confident</t>
        </is>
      </c>
      <c r="P366" s="3" t="inlineStr">
        <is>
          <t>B300</t>
        </is>
      </c>
      <c r="Q366" s="3" t="inlineStr">
        <is>
          <t>epoch_user_site_equal_split_seed</t>
        </is>
      </c>
      <c r="R366" s="3" t="inlineStr">
        <is>
          <t>SRC_EPOCH_AI_DATA_CENTERS; EPOCH_NORMALIZED_USER_SITES</t>
        </is>
      </c>
      <c r="S366" s="3" t="inlineStr">
        <is>
          <t>Capacity weight is used only to weight accelerator mix, not to overwrite company total power in 02_Inputs.</t>
        </is>
      </c>
    </row>
    <row r="367">
      <c r="A367" s="3" t="inlineStr">
        <is>
          <t>Bear|Meta|2028|Meta Cheyenne</t>
        </is>
      </c>
      <c r="B367" s="3" t="inlineStr">
        <is>
          <t>Bear</t>
        </is>
      </c>
      <c r="C367" s="3" t="inlineStr">
        <is>
          <t>Meta</t>
        </is>
      </c>
      <c r="D367" s="3" t="n">
        <v>2028</v>
      </c>
      <c r="E367" s="3" t="inlineStr">
        <is>
          <t>Meta Cheyenne</t>
        </is>
      </c>
      <c r="F367" s="3" t="inlineStr">
        <is>
          <t>Meta</t>
        </is>
      </c>
      <c r="G367" s="3" t="inlineStr">
        <is>
          <t>United States</t>
        </is>
      </c>
      <c r="H367" s="25" t="n">
        <v>220</v>
      </c>
      <c r="I367" s="17" t="n">
        <v>1</v>
      </c>
      <c r="J367" s="17" t="n">
        <v>0.59</v>
      </c>
      <c r="K367" s="26" t="n">
        <v>0.41</v>
      </c>
      <c r="L367" s="3" t="inlineStr">
        <is>
          <t>2027-02-15</t>
        </is>
      </c>
      <c r="M367" s="27" t="n">
        <v>0</v>
      </c>
      <c r="N367" s="27" t="n">
        <v>220</v>
      </c>
      <c r="O367" s="3" t="inlineStr">
        <is>
          <t>confident</t>
        </is>
      </c>
      <c r="P367" s="3" t="inlineStr">
        <is>
          <t>B300</t>
        </is>
      </c>
      <c r="Q367" s="3" t="inlineStr">
        <is>
          <t>epoch_user_site_equal_split_seed</t>
        </is>
      </c>
      <c r="R367" s="3" t="inlineStr">
        <is>
          <t>SRC_EPOCH_AI_DATA_CENTERS; EPOCH_NORMALIZED_USER_SITES</t>
        </is>
      </c>
      <c r="S367" s="3" t="inlineStr">
        <is>
          <t>Capacity weight is used only to weight accelerator mix, not to overwrite company total power in 02_Inputs.</t>
        </is>
      </c>
    </row>
    <row r="368">
      <c r="A368" s="3" t="inlineStr">
        <is>
          <t>Bear|Meta|2029|Meta Cheyenne</t>
        </is>
      </c>
      <c r="B368" s="3" t="inlineStr">
        <is>
          <t>Bear</t>
        </is>
      </c>
      <c r="C368" s="3" t="inlineStr">
        <is>
          <t>Meta</t>
        </is>
      </c>
      <c r="D368" s="3" t="n">
        <v>2029</v>
      </c>
      <c r="E368" s="3" t="inlineStr">
        <is>
          <t>Meta Cheyenne</t>
        </is>
      </c>
      <c r="F368" s="3" t="inlineStr">
        <is>
          <t>Meta</t>
        </is>
      </c>
      <c r="G368" s="3" t="inlineStr">
        <is>
          <t>United States</t>
        </is>
      </c>
      <c r="H368" s="25" t="n">
        <v>220</v>
      </c>
      <c r="I368" s="17" t="n">
        <v>1</v>
      </c>
      <c r="J368" s="17" t="n">
        <v>0.635</v>
      </c>
      <c r="K368" s="26" t="n">
        <v>0.365</v>
      </c>
      <c r="L368" s="3" t="inlineStr">
        <is>
          <t>2027-02-15</t>
        </is>
      </c>
      <c r="M368" s="27" t="n">
        <v>0</v>
      </c>
      <c r="N368" s="27" t="n">
        <v>220</v>
      </c>
      <c r="O368" s="3" t="inlineStr">
        <is>
          <t>confident</t>
        </is>
      </c>
      <c r="P368" s="3" t="inlineStr">
        <is>
          <t>B300</t>
        </is>
      </c>
      <c r="Q368" s="3" t="inlineStr">
        <is>
          <t>epoch_user_site_equal_split_seed</t>
        </is>
      </c>
      <c r="R368" s="3" t="inlineStr">
        <is>
          <t>SRC_EPOCH_AI_DATA_CENTERS; EPOCH_NORMALIZED_USER_SITES</t>
        </is>
      </c>
      <c r="S368" s="3" t="inlineStr">
        <is>
          <t>Capacity weight is used only to weight accelerator mix, not to overwrite company total power in 02_Inputs.</t>
        </is>
      </c>
    </row>
    <row r="369">
      <c r="A369" s="3" t="inlineStr">
        <is>
          <t>Bear|Meta|2030|Meta Cheyenne</t>
        </is>
      </c>
      <c r="B369" s="3" t="inlineStr">
        <is>
          <t>Bear</t>
        </is>
      </c>
      <c r="C369" s="3" t="inlineStr">
        <is>
          <t>Meta</t>
        </is>
      </c>
      <c r="D369" s="3" t="n">
        <v>2030</v>
      </c>
      <c r="E369" s="3" t="inlineStr">
        <is>
          <t>Meta Cheyenne</t>
        </is>
      </c>
      <c r="F369" s="3" t="inlineStr">
        <is>
          <t>Meta</t>
        </is>
      </c>
      <c r="G369" s="3" t="inlineStr">
        <is>
          <t>United States</t>
        </is>
      </c>
      <c r="H369" s="25" t="n">
        <v>220</v>
      </c>
      <c r="I369" s="17" t="n">
        <v>1</v>
      </c>
      <c r="J369" s="17" t="n">
        <v>0.68</v>
      </c>
      <c r="K369" s="26" t="n">
        <v>0.32</v>
      </c>
      <c r="L369" s="3" t="inlineStr">
        <is>
          <t>2027-02-15</t>
        </is>
      </c>
      <c r="M369" s="27" t="n">
        <v>0</v>
      </c>
      <c r="N369" s="27" t="n">
        <v>220</v>
      </c>
      <c r="O369" s="3" t="inlineStr">
        <is>
          <t>confident</t>
        </is>
      </c>
      <c r="P369" s="3" t="inlineStr">
        <is>
          <t>B300</t>
        </is>
      </c>
      <c r="Q369" s="3" t="inlineStr">
        <is>
          <t>epoch_user_site_equal_split_seed</t>
        </is>
      </c>
      <c r="R369" s="3" t="inlineStr">
        <is>
          <t>SRC_EPOCH_AI_DATA_CENTERS; EPOCH_NORMALIZED_USER_SITES</t>
        </is>
      </c>
      <c r="S369" s="3" t="inlineStr">
        <is>
          <t>Capacity weight is used only to weight accelerator mix, not to overwrite company total power in 02_Inputs.</t>
        </is>
      </c>
    </row>
    <row r="370">
      <c r="A370" s="3" t="inlineStr">
        <is>
          <t>Base|Meta|2027|Meta Cheyenne</t>
        </is>
      </c>
      <c r="B370" s="3" t="inlineStr">
        <is>
          <t>Base</t>
        </is>
      </c>
      <c r="C370" s="3" t="inlineStr">
        <is>
          <t>Meta</t>
        </is>
      </c>
      <c r="D370" s="3" t="n">
        <v>2027</v>
      </c>
      <c r="E370" s="3" t="inlineStr">
        <is>
          <t>Meta Cheyenne</t>
        </is>
      </c>
      <c r="F370" s="3" t="inlineStr">
        <is>
          <t>Meta</t>
        </is>
      </c>
      <c r="G370" s="3" t="inlineStr">
        <is>
          <t>United States</t>
        </is>
      </c>
      <c r="H370" s="25" t="n">
        <v>220</v>
      </c>
      <c r="I370" s="17" t="n">
        <v>1</v>
      </c>
      <c r="J370" s="17" t="n">
        <v>0.63</v>
      </c>
      <c r="K370" s="26" t="n">
        <v>0.37</v>
      </c>
      <c r="L370" s="3" t="inlineStr">
        <is>
          <t>2027-02-15</t>
        </is>
      </c>
      <c r="M370" s="27" t="n">
        <v>0</v>
      </c>
      <c r="N370" s="27" t="n">
        <v>220</v>
      </c>
      <c r="O370" s="3" t="inlineStr">
        <is>
          <t>confident</t>
        </is>
      </c>
      <c r="P370" s="3" t="inlineStr">
        <is>
          <t>B300</t>
        </is>
      </c>
      <c r="Q370" s="3" t="inlineStr">
        <is>
          <t>epoch_user_site_equal_split_seed</t>
        </is>
      </c>
      <c r="R370" s="3" t="inlineStr">
        <is>
          <t>SRC_EPOCH_AI_DATA_CENTERS; EPOCH_NORMALIZED_USER_SITES</t>
        </is>
      </c>
      <c r="S370" s="3" t="inlineStr">
        <is>
          <t>Capacity weight is used only to weight accelerator mix, not to overwrite company total power in 02_Inputs.</t>
        </is>
      </c>
    </row>
    <row r="371">
      <c r="A371" s="3" t="inlineStr">
        <is>
          <t>Base|Meta|2028|Meta Cheyenne</t>
        </is>
      </c>
      <c r="B371" s="3" t="inlineStr">
        <is>
          <t>Base</t>
        </is>
      </c>
      <c r="C371" s="3" t="inlineStr">
        <is>
          <t>Meta</t>
        </is>
      </c>
      <c r="D371" s="3" t="n">
        <v>2028</v>
      </c>
      <c r="E371" s="3" t="inlineStr">
        <is>
          <t>Meta Cheyenne</t>
        </is>
      </c>
      <c r="F371" s="3" t="inlineStr">
        <is>
          <t>Meta</t>
        </is>
      </c>
      <c r="G371" s="3" t="inlineStr">
        <is>
          <t>United States</t>
        </is>
      </c>
      <c r="H371" s="25" t="n">
        <v>220</v>
      </c>
      <c r="I371" s="17" t="n">
        <v>1</v>
      </c>
      <c r="J371" s="17" t="n">
        <v>0.68</v>
      </c>
      <c r="K371" s="26" t="n">
        <v>0.32</v>
      </c>
      <c r="L371" s="3" t="inlineStr">
        <is>
          <t>2027-02-15</t>
        </is>
      </c>
      <c r="M371" s="27" t="n">
        <v>0</v>
      </c>
      <c r="N371" s="27" t="n">
        <v>220</v>
      </c>
      <c r="O371" s="3" t="inlineStr">
        <is>
          <t>confident</t>
        </is>
      </c>
      <c r="P371" s="3" t="inlineStr">
        <is>
          <t>B300</t>
        </is>
      </c>
      <c r="Q371" s="3" t="inlineStr">
        <is>
          <t>epoch_user_site_equal_split_seed</t>
        </is>
      </c>
      <c r="R371" s="3" t="inlineStr">
        <is>
          <t>SRC_EPOCH_AI_DATA_CENTERS; EPOCH_NORMALIZED_USER_SITES</t>
        </is>
      </c>
      <c r="S371" s="3" t="inlineStr">
        <is>
          <t>Capacity weight is used only to weight accelerator mix, not to overwrite company total power in 02_Inputs.</t>
        </is>
      </c>
    </row>
    <row r="372">
      <c r="A372" s="3" t="inlineStr">
        <is>
          <t>Base|Meta|2029|Meta Cheyenne</t>
        </is>
      </c>
      <c r="B372" s="3" t="inlineStr">
        <is>
          <t>Base</t>
        </is>
      </c>
      <c r="C372" s="3" t="inlineStr">
        <is>
          <t>Meta</t>
        </is>
      </c>
      <c r="D372" s="3" t="n">
        <v>2029</v>
      </c>
      <c r="E372" s="3" t="inlineStr">
        <is>
          <t>Meta Cheyenne</t>
        </is>
      </c>
      <c r="F372" s="3" t="inlineStr">
        <is>
          <t>Meta</t>
        </is>
      </c>
      <c r="G372" s="3" t="inlineStr">
        <is>
          <t>United States</t>
        </is>
      </c>
      <c r="H372" s="25" t="n">
        <v>220</v>
      </c>
      <c r="I372" s="17" t="n">
        <v>1</v>
      </c>
      <c r="J372" s="17" t="n">
        <v>0.73</v>
      </c>
      <c r="K372" s="26" t="n">
        <v>0.27</v>
      </c>
      <c r="L372" s="3" t="inlineStr">
        <is>
          <t>2027-02-15</t>
        </is>
      </c>
      <c r="M372" s="27" t="n">
        <v>0</v>
      </c>
      <c r="N372" s="27" t="n">
        <v>220</v>
      </c>
      <c r="O372" s="3" t="inlineStr">
        <is>
          <t>confident</t>
        </is>
      </c>
      <c r="P372" s="3" t="inlineStr">
        <is>
          <t>B300</t>
        </is>
      </c>
      <c r="Q372" s="3" t="inlineStr">
        <is>
          <t>epoch_user_site_equal_split_seed</t>
        </is>
      </c>
      <c r="R372" s="3" t="inlineStr">
        <is>
          <t>SRC_EPOCH_AI_DATA_CENTERS; EPOCH_NORMALIZED_USER_SITES</t>
        </is>
      </c>
      <c r="S372" s="3" t="inlineStr">
        <is>
          <t>Capacity weight is used only to weight accelerator mix, not to overwrite company total power in 02_Inputs.</t>
        </is>
      </c>
    </row>
    <row r="373">
      <c r="A373" s="3" t="inlineStr">
        <is>
          <t>Base|Meta|2030|Meta Cheyenne</t>
        </is>
      </c>
      <c r="B373" s="3" t="inlineStr">
        <is>
          <t>Base</t>
        </is>
      </c>
      <c r="C373" s="3" t="inlineStr">
        <is>
          <t>Meta</t>
        </is>
      </c>
      <c r="D373" s="3" t="n">
        <v>2030</v>
      </c>
      <c r="E373" s="3" t="inlineStr">
        <is>
          <t>Meta Cheyenne</t>
        </is>
      </c>
      <c r="F373" s="3" t="inlineStr">
        <is>
          <t>Meta</t>
        </is>
      </c>
      <c r="G373" s="3" t="inlineStr">
        <is>
          <t>United States</t>
        </is>
      </c>
      <c r="H373" s="25" t="n">
        <v>220</v>
      </c>
      <c r="I373" s="17" t="n">
        <v>1</v>
      </c>
      <c r="J373" s="17" t="n">
        <v>0.78</v>
      </c>
      <c r="K373" s="26" t="n">
        <v>0.22</v>
      </c>
      <c r="L373" s="3" t="inlineStr">
        <is>
          <t>2027-02-15</t>
        </is>
      </c>
      <c r="M373" s="27" t="n">
        <v>0</v>
      </c>
      <c r="N373" s="27" t="n">
        <v>220</v>
      </c>
      <c r="O373" s="3" t="inlineStr">
        <is>
          <t>confident</t>
        </is>
      </c>
      <c r="P373" s="3" t="inlineStr">
        <is>
          <t>B300</t>
        </is>
      </c>
      <c r="Q373" s="3" t="inlineStr">
        <is>
          <t>epoch_user_site_equal_split_seed</t>
        </is>
      </c>
      <c r="R373" s="3" t="inlineStr">
        <is>
          <t>SRC_EPOCH_AI_DATA_CENTERS; EPOCH_NORMALIZED_USER_SITES</t>
        </is>
      </c>
      <c r="S373" s="3" t="inlineStr">
        <is>
          <t>Capacity weight is used only to weight accelerator mix, not to overwrite company total power in 02_Inputs.</t>
        </is>
      </c>
    </row>
    <row r="374">
      <c r="A374" s="3" t="inlineStr">
        <is>
          <t>Bull|Meta|2027|Meta Cheyenne</t>
        </is>
      </c>
      <c r="B374" s="3" t="inlineStr">
        <is>
          <t>Bull</t>
        </is>
      </c>
      <c r="C374" s="3" t="inlineStr">
        <is>
          <t>Meta</t>
        </is>
      </c>
      <c r="D374" s="3" t="n">
        <v>2027</v>
      </c>
      <c r="E374" s="3" t="inlineStr">
        <is>
          <t>Meta Cheyenne</t>
        </is>
      </c>
      <c r="F374" s="3" t="inlineStr">
        <is>
          <t>Meta</t>
        </is>
      </c>
      <c r="G374" s="3" t="inlineStr">
        <is>
          <t>United States</t>
        </is>
      </c>
      <c r="H374" s="25" t="n">
        <v>220</v>
      </c>
      <c r="I374" s="17" t="n">
        <v>1</v>
      </c>
      <c r="J374" s="17" t="n">
        <v>0.6879999999999999</v>
      </c>
      <c r="K374" s="26" t="n">
        <v>0.312</v>
      </c>
      <c r="L374" s="3" t="inlineStr">
        <is>
          <t>2027-02-15</t>
        </is>
      </c>
      <c r="M374" s="27" t="n">
        <v>0</v>
      </c>
      <c r="N374" s="27" t="n">
        <v>220</v>
      </c>
      <c r="O374" s="3" t="inlineStr">
        <is>
          <t>confident</t>
        </is>
      </c>
      <c r="P374" s="3" t="inlineStr">
        <is>
          <t>B300</t>
        </is>
      </c>
      <c r="Q374" s="3" t="inlineStr">
        <is>
          <t>epoch_user_site_equal_split_seed</t>
        </is>
      </c>
      <c r="R374" s="3" t="inlineStr">
        <is>
          <t>SRC_EPOCH_AI_DATA_CENTERS; EPOCH_NORMALIZED_USER_SITES</t>
        </is>
      </c>
      <c r="S374" s="3" t="inlineStr">
        <is>
          <t>Capacity weight is used only to weight accelerator mix, not to overwrite company total power in 02_Inputs.</t>
        </is>
      </c>
    </row>
    <row r="375">
      <c r="A375" s="3" t="inlineStr">
        <is>
          <t>Bull|Meta|2028|Meta Cheyenne</t>
        </is>
      </c>
      <c r="B375" s="3" t="inlineStr">
        <is>
          <t>Bull</t>
        </is>
      </c>
      <c r="C375" s="3" t="inlineStr">
        <is>
          <t>Meta</t>
        </is>
      </c>
      <c r="D375" s="3" t="n">
        <v>2028</v>
      </c>
      <c r="E375" s="3" t="inlineStr">
        <is>
          <t>Meta Cheyenne</t>
        </is>
      </c>
      <c r="F375" s="3" t="inlineStr">
        <is>
          <t>Meta</t>
        </is>
      </c>
      <c r="G375" s="3" t="inlineStr">
        <is>
          <t>United States</t>
        </is>
      </c>
      <c r="H375" s="25" t="n">
        <v>220</v>
      </c>
      <c r="I375" s="17" t="n">
        <v>1</v>
      </c>
      <c r="J375" s="17" t="n">
        <v>0.745</v>
      </c>
      <c r="K375" s="26" t="n">
        <v>0.255</v>
      </c>
      <c r="L375" s="3" t="inlineStr">
        <is>
          <t>2027-02-15</t>
        </is>
      </c>
      <c r="M375" s="27" t="n">
        <v>0</v>
      </c>
      <c r="N375" s="27" t="n">
        <v>220</v>
      </c>
      <c r="O375" s="3" t="inlineStr">
        <is>
          <t>confident</t>
        </is>
      </c>
      <c r="P375" s="3" t="inlineStr">
        <is>
          <t>B300</t>
        </is>
      </c>
      <c r="Q375" s="3" t="inlineStr">
        <is>
          <t>epoch_user_site_equal_split_seed</t>
        </is>
      </c>
      <c r="R375" s="3" t="inlineStr">
        <is>
          <t>SRC_EPOCH_AI_DATA_CENTERS; EPOCH_NORMALIZED_USER_SITES</t>
        </is>
      </c>
      <c r="S375" s="3" t="inlineStr">
        <is>
          <t>Capacity weight is used only to weight accelerator mix, not to overwrite company total power in 02_Inputs.</t>
        </is>
      </c>
    </row>
    <row r="376">
      <c r="A376" s="3" t="inlineStr">
        <is>
          <t>Bull|Meta|2029|Meta Cheyenne</t>
        </is>
      </c>
      <c r="B376" s="3" t="inlineStr">
        <is>
          <t>Bull</t>
        </is>
      </c>
      <c r="C376" s="3" t="inlineStr">
        <is>
          <t>Meta</t>
        </is>
      </c>
      <c r="D376" s="3" t="n">
        <v>2029</v>
      </c>
      <c r="E376" s="3" t="inlineStr">
        <is>
          <t>Meta Cheyenne</t>
        </is>
      </c>
      <c r="F376" s="3" t="inlineStr">
        <is>
          <t>Meta</t>
        </is>
      </c>
      <c r="G376" s="3" t="inlineStr">
        <is>
          <t>United States</t>
        </is>
      </c>
      <c r="H376" s="25" t="n">
        <v>220</v>
      </c>
      <c r="I376" s="17" t="n">
        <v>1</v>
      </c>
      <c r="J376" s="17" t="n">
        <v>0.802</v>
      </c>
      <c r="K376" s="26" t="n">
        <v>0.198</v>
      </c>
      <c r="L376" s="3" t="inlineStr">
        <is>
          <t>2027-02-15</t>
        </is>
      </c>
      <c r="M376" s="27" t="n">
        <v>0</v>
      </c>
      <c r="N376" s="27" t="n">
        <v>220</v>
      </c>
      <c r="O376" s="3" t="inlineStr">
        <is>
          <t>confident</t>
        </is>
      </c>
      <c r="P376" s="3" t="inlineStr">
        <is>
          <t>B300</t>
        </is>
      </c>
      <c r="Q376" s="3" t="inlineStr">
        <is>
          <t>epoch_user_site_equal_split_seed</t>
        </is>
      </c>
      <c r="R376" s="3" t="inlineStr">
        <is>
          <t>SRC_EPOCH_AI_DATA_CENTERS; EPOCH_NORMALIZED_USER_SITES</t>
        </is>
      </c>
      <c r="S376" s="3" t="inlineStr">
        <is>
          <t>Capacity weight is used only to weight accelerator mix, not to overwrite company total power in 02_Inputs.</t>
        </is>
      </c>
    </row>
    <row r="377">
      <c r="A377" s="3" t="inlineStr">
        <is>
          <t>Bull|Meta|2030|Meta Cheyenne</t>
        </is>
      </c>
      <c r="B377" s="3" t="inlineStr">
        <is>
          <t>Bull</t>
        </is>
      </c>
      <c r="C377" s="3" t="inlineStr">
        <is>
          <t>Meta</t>
        </is>
      </c>
      <c r="D377" s="3" t="n">
        <v>2030</v>
      </c>
      <c r="E377" s="3" t="inlineStr">
        <is>
          <t>Meta Cheyenne</t>
        </is>
      </c>
      <c r="F377" s="3" t="inlineStr">
        <is>
          <t>Meta</t>
        </is>
      </c>
      <c r="G377" s="3" t="inlineStr">
        <is>
          <t>United States</t>
        </is>
      </c>
      <c r="H377" s="25" t="n">
        <v>220</v>
      </c>
      <c r="I377" s="17" t="n">
        <v>1</v>
      </c>
      <c r="J377" s="17" t="n">
        <v>0.86</v>
      </c>
      <c r="K377" s="26" t="n">
        <v>0.14</v>
      </c>
      <c r="L377" s="3" t="inlineStr">
        <is>
          <t>2027-02-15</t>
        </is>
      </c>
      <c r="M377" s="27" t="n">
        <v>0</v>
      </c>
      <c r="N377" s="27" t="n">
        <v>220</v>
      </c>
      <c r="O377" s="3" t="inlineStr">
        <is>
          <t>confident</t>
        </is>
      </c>
      <c r="P377" s="3" t="inlineStr">
        <is>
          <t>B300</t>
        </is>
      </c>
      <c r="Q377" s="3" t="inlineStr">
        <is>
          <t>epoch_user_site_equal_split_seed</t>
        </is>
      </c>
      <c r="R377" s="3" t="inlineStr">
        <is>
          <t>SRC_EPOCH_AI_DATA_CENTERS; EPOCH_NORMALIZED_USER_SITES</t>
        </is>
      </c>
      <c r="S377" s="3" t="inlineStr">
        <is>
          <t>Capacity weight is used only to weight accelerator mix, not to overwrite company total power in 02_Inputs.</t>
        </is>
      </c>
    </row>
    <row r="378">
      <c r="A378" s="3" t="inlineStr">
        <is>
          <t>Grid-Constrained / Efficiency-Upside|Meta|2027|Meta Cheyenne</t>
        </is>
      </c>
      <c r="B378" s="3" t="inlineStr">
        <is>
          <t>Grid-Constrained / Efficiency-Upside</t>
        </is>
      </c>
      <c r="C378" s="3" t="inlineStr">
        <is>
          <t>Meta</t>
        </is>
      </c>
      <c r="D378" s="3" t="n">
        <v>2027</v>
      </c>
      <c r="E378" s="3" t="inlineStr">
        <is>
          <t>Meta Cheyenne</t>
        </is>
      </c>
      <c r="F378" s="3" t="inlineStr">
        <is>
          <t>Meta</t>
        </is>
      </c>
      <c r="G378" s="3" t="inlineStr">
        <is>
          <t>United States</t>
        </is>
      </c>
      <c r="H378" s="25" t="n">
        <v>220</v>
      </c>
      <c r="I378" s="17" t="n">
        <v>1</v>
      </c>
      <c r="J378" s="17" t="n">
        <v>0.655</v>
      </c>
      <c r="K378" s="26" t="n">
        <v>0.345</v>
      </c>
      <c r="L378" s="3" t="inlineStr">
        <is>
          <t>2027-02-15</t>
        </is>
      </c>
      <c r="M378" s="27" t="n">
        <v>0</v>
      </c>
      <c r="N378" s="27" t="n">
        <v>220</v>
      </c>
      <c r="O378" s="3" t="inlineStr">
        <is>
          <t>confident</t>
        </is>
      </c>
      <c r="P378" s="3" t="inlineStr">
        <is>
          <t>B300</t>
        </is>
      </c>
      <c r="Q378" s="3" t="inlineStr">
        <is>
          <t>epoch_user_site_equal_split_seed</t>
        </is>
      </c>
      <c r="R378" s="3" t="inlineStr">
        <is>
          <t>SRC_EPOCH_AI_DATA_CENTERS; EPOCH_NORMALIZED_USER_SITES</t>
        </is>
      </c>
      <c r="S378" s="3" t="inlineStr">
        <is>
          <t>Capacity weight is used only to weight accelerator mix, not to overwrite company total power in 02_Inputs.</t>
        </is>
      </c>
    </row>
    <row r="379">
      <c r="A379" s="3" t="inlineStr">
        <is>
          <t>Grid-Constrained / Efficiency-Upside|Meta|2028|Meta Cheyenne</t>
        </is>
      </c>
      <c r="B379" s="3" t="inlineStr">
        <is>
          <t>Grid-Constrained / Efficiency-Upside</t>
        </is>
      </c>
      <c r="C379" s="3" t="inlineStr">
        <is>
          <t>Meta</t>
        </is>
      </c>
      <c r="D379" s="3" t="n">
        <v>2028</v>
      </c>
      <c r="E379" s="3" t="inlineStr">
        <is>
          <t>Meta Cheyenne</t>
        </is>
      </c>
      <c r="F379" s="3" t="inlineStr">
        <is>
          <t>Meta</t>
        </is>
      </c>
      <c r="G379" s="3" t="inlineStr">
        <is>
          <t>United States</t>
        </is>
      </c>
      <c r="H379" s="25" t="n">
        <v>220</v>
      </c>
      <c r="I379" s="17" t="n">
        <v>1</v>
      </c>
      <c r="J379" s="17" t="n">
        <v>0.71</v>
      </c>
      <c r="K379" s="26" t="n">
        <v>0.29</v>
      </c>
      <c r="L379" s="3" t="inlineStr">
        <is>
          <t>2027-02-15</t>
        </is>
      </c>
      <c r="M379" s="27" t="n">
        <v>0</v>
      </c>
      <c r="N379" s="27" t="n">
        <v>220</v>
      </c>
      <c r="O379" s="3" t="inlineStr">
        <is>
          <t>confident</t>
        </is>
      </c>
      <c r="P379" s="3" t="inlineStr">
        <is>
          <t>B300</t>
        </is>
      </c>
      <c r="Q379" s="3" t="inlineStr">
        <is>
          <t>epoch_user_site_equal_split_seed</t>
        </is>
      </c>
      <c r="R379" s="3" t="inlineStr">
        <is>
          <t>SRC_EPOCH_AI_DATA_CENTERS; EPOCH_NORMALIZED_USER_SITES</t>
        </is>
      </c>
      <c r="S379" s="3" t="inlineStr">
        <is>
          <t>Capacity weight is used only to weight accelerator mix, not to overwrite company total power in 02_Inputs.</t>
        </is>
      </c>
    </row>
    <row r="380">
      <c r="A380" s="3" t="inlineStr">
        <is>
          <t>Grid-Constrained / Efficiency-Upside|Meta|2029|Meta Cheyenne</t>
        </is>
      </c>
      <c r="B380" s="3" t="inlineStr">
        <is>
          <t>Grid-Constrained / Efficiency-Upside</t>
        </is>
      </c>
      <c r="C380" s="3" t="inlineStr">
        <is>
          <t>Meta</t>
        </is>
      </c>
      <c r="D380" s="3" t="n">
        <v>2029</v>
      </c>
      <c r="E380" s="3" t="inlineStr">
        <is>
          <t>Meta Cheyenne</t>
        </is>
      </c>
      <c r="F380" s="3" t="inlineStr">
        <is>
          <t>Meta</t>
        </is>
      </c>
      <c r="G380" s="3" t="inlineStr">
        <is>
          <t>United States</t>
        </is>
      </c>
      <c r="H380" s="25" t="n">
        <v>220</v>
      </c>
      <c r="I380" s="17" t="n">
        <v>1</v>
      </c>
      <c r="J380" s="17" t="n">
        <v>0.765</v>
      </c>
      <c r="K380" s="26" t="n">
        <v>0.235</v>
      </c>
      <c r="L380" s="3" t="inlineStr">
        <is>
          <t>2027-02-15</t>
        </is>
      </c>
      <c r="M380" s="27" t="n">
        <v>0</v>
      </c>
      <c r="N380" s="27" t="n">
        <v>220</v>
      </c>
      <c r="O380" s="3" t="inlineStr">
        <is>
          <t>confident</t>
        </is>
      </c>
      <c r="P380" s="3" t="inlineStr">
        <is>
          <t>B300</t>
        </is>
      </c>
      <c r="Q380" s="3" t="inlineStr">
        <is>
          <t>epoch_user_site_equal_split_seed</t>
        </is>
      </c>
      <c r="R380" s="3" t="inlineStr">
        <is>
          <t>SRC_EPOCH_AI_DATA_CENTERS; EPOCH_NORMALIZED_USER_SITES</t>
        </is>
      </c>
      <c r="S380" s="3" t="inlineStr">
        <is>
          <t>Capacity weight is used only to weight accelerator mix, not to overwrite company total power in 02_Inputs.</t>
        </is>
      </c>
    </row>
    <row r="381">
      <c r="A381" s="3" t="inlineStr">
        <is>
          <t>Grid-Constrained / Efficiency-Upside|Meta|2030|Meta Cheyenne</t>
        </is>
      </c>
      <c r="B381" s="3" t="inlineStr">
        <is>
          <t>Grid-Constrained / Efficiency-Upside</t>
        </is>
      </c>
      <c r="C381" s="3" t="inlineStr">
        <is>
          <t>Meta</t>
        </is>
      </c>
      <c r="D381" s="3" t="n">
        <v>2030</v>
      </c>
      <c r="E381" s="3" t="inlineStr">
        <is>
          <t>Meta Cheyenne</t>
        </is>
      </c>
      <c r="F381" s="3" t="inlineStr">
        <is>
          <t>Meta</t>
        </is>
      </c>
      <c r="G381" s="3" t="inlineStr">
        <is>
          <t>United States</t>
        </is>
      </c>
      <c r="H381" s="25" t="n">
        <v>220</v>
      </c>
      <c r="I381" s="17" t="n">
        <v>1</v>
      </c>
      <c r="J381" s="17" t="n">
        <v>0.82</v>
      </c>
      <c r="K381" s="26" t="n">
        <v>0.18</v>
      </c>
      <c r="L381" s="3" t="inlineStr">
        <is>
          <t>2027-02-15</t>
        </is>
      </c>
      <c r="M381" s="27" t="n">
        <v>0</v>
      </c>
      <c r="N381" s="27" t="n">
        <v>220</v>
      </c>
      <c r="O381" s="3" t="inlineStr">
        <is>
          <t>confident</t>
        </is>
      </c>
      <c r="P381" s="3" t="inlineStr">
        <is>
          <t>B300</t>
        </is>
      </c>
      <c r="Q381" s="3" t="inlineStr">
        <is>
          <t>epoch_user_site_equal_split_seed</t>
        </is>
      </c>
      <c r="R381" s="3" t="inlineStr">
        <is>
          <t>SRC_EPOCH_AI_DATA_CENTERS; EPOCH_NORMALIZED_USER_SITES</t>
        </is>
      </c>
      <c r="S381" s="3" t="inlineStr">
        <is>
          <t>Capacity weight is used only to weight accelerator mix, not to overwrite company total power in 02_Inputs.</t>
        </is>
      </c>
    </row>
    <row r="382">
      <c r="A382" s="3" t="inlineStr">
        <is>
          <t>Bear|Meta|2026|Meta Eagle Mountain</t>
        </is>
      </c>
      <c r="B382" s="3" t="inlineStr">
        <is>
          <t>Bear</t>
        </is>
      </c>
      <c r="C382" s="3" t="inlineStr">
        <is>
          <t>Meta</t>
        </is>
      </c>
      <c r="D382" s="3" t="n">
        <v>2026</v>
      </c>
      <c r="E382" s="3" t="inlineStr">
        <is>
          <t>Meta Eagle Mountain</t>
        </is>
      </c>
      <c r="F382" s="3" t="inlineStr">
        <is>
          <t>Meta</t>
        </is>
      </c>
      <c r="G382" s="3" t="inlineStr">
        <is>
          <t>United States</t>
        </is>
      </c>
      <c r="H382" s="25" t="n">
        <v>133</v>
      </c>
      <c r="I382" s="17" t="n">
        <v>1</v>
      </c>
      <c r="J382" s="17" t="n">
        <v>0.5</v>
      </c>
      <c r="K382" s="26" t="n">
        <v>0.5</v>
      </c>
      <c r="L382" s="3" t="inlineStr">
        <is>
          <t>2025-12-07</t>
        </is>
      </c>
      <c r="M382" s="27" t="n">
        <v>133</v>
      </c>
      <c r="N382" s="27" t="n">
        <v>133</v>
      </c>
      <c r="O382" s="3" t="inlineStr">
        <is>
          <t>confident</t>
        </is>
      </c>
      <c r="P382" s="3" t="inlineStr">
        <is>
          <t>B300</t>
        </is>
      </c>
      <c r="Q382" s="3" t="inlineStr">
        <is>
          <t>epoch_user_site_equal_split_seed</t>
        </is>
      </c>
      <c r="R382" s="3" t="inlineStr">
        <is>
          <t>SRC_EPOCH_AI_DATA_CENTERS; EPOCH_NORMALIZED_USER_SITES</t>
        </is>
      </c>
      <c r="S382" s="3" t="inlineStr">
        <is>
          <t>Capacity weight is used only to weight accelerator mix, not to overwrite company total power in 02_Inputs.</t>
        </is>
      </c>
    </row>
    <row r="383">
      <c r="A383" s="3" t="inlineStr">
        <is>
          <t>Bear|Meta|2027|Meta Eagle Mountain</t>
        </is>
      </c>
      <c r="B383" s="3" t="inlineStr">
        <is>
          <t>Bear</t>
        </is>
      </c>
      <c r="C383" s="3" t="inlineStr">
        <is>
          <t>Meta</t>
        </is>
      </c>
      <c r="D383" s="3" t="n">
        <v>2027</v>
      </c>
      <c r="E383" s="3" t="inlineStr">
        <is>
          <t>Meta Eagle Mountain</t>
        </is>
      </c>
      <c r="F383" s="3" t="inlineStr">
        <is>
          <t>Meta</t>
        </is>
      </c>
      <c r="G383" s="3" t="inlineStr">
        <is>
          <t>United States</t>
        </is>
      </c>
      <c r="H383" s="25" t="n">
        <v>133</v>
      </c>
      <c r="I383" s="17" t="n">
        <v>1</v>
      </c>
      <c r="J383" s="17" t="n">
        <v>0.545</v>
      </c>
      <c r="K383" s="26" t="n">
        <v>0.455</v>
      </c>
      <c r="L383" s="3" t="inlineStr">
        <is>
          <t>2025-12-07</t>
        </is>
      </c>
      <c r="M383" s="27" t="n">
        <v>133</v>
      </c>
      <c r="N383" s="27" t="n">
        <v>133</v>
      </c>
      <c r="O383" s="3" t="inlineStr">
        <is>
          <t>confident</t>
        </is>
      </c>
      <c r="P383" s="3" t="inlineStr">
        <is>
          <t>B300</t>
        </is>
      </c>
      <c r="Q383" s="3" t="inlineStr">
        <is>
          <t>epoch_user_site_equal_split_seed</t>
        </is>
      </c>
      <c r="R383" s="3" t="inlineStr">
        <is>
          <t>SRC_EPOCH_AI_DATA_CENTERS; EPOCH_NORMALIZED_USER_SITES</t>
        </is>
      </c>
      <c r="S383" s="3" t="inlineStr">
        <is>
          <t>Capacity weight is used only to weight accelerator mix, not to overwrite company total power in 02_Inputs.</t>
        </is>
      </c>
    </row>
    <row r="384">
      <c r="A384" s="3" t="inlineStr">
        <is>
          <t>Bear|Meta|2028|Meta Eagle Mountain</t>
        </is>
      </c>
      <c r="B384" s="3" t="inlineStr">
        <is>
          <t>Bear</t>
        </is>
      </c>
      <c r="C384" s="3" t="inlineStr">
        <is>
          <t>Meta</t>
        </is>
      </c>
      <c r="D384" s="3" t="n">
        <v>2028</v>
      </c>
      <c r="E384" s="3" t="inlineStr">
        <is>
          <t>Meta Eagle Mountain</t>
        </is>
      </c>
      <c r="F384" s="3" t="inlineStr">
        <is>
          <t>Meta</t>
        </is>
      </c>
      <c r="G384" s="3" t="inlineStr">
        <is>
          <t>United States</t>
        </is>
      </c>
      <c r="H384" s="25" t="n">
        <v>133</v>
      </c>
      <c r="I384" s="17" t="n">
        <v>1</v>
      </c>
      <c r="J384" s="17" t="n">
        <v>0.59</v>
      </c>
      <c r="K384" s="26" t="n">
        <v>0.41</v>
      </c>
      <c r="L384" s="3" t="inlineStr">
        <is>
          <t>2025-12-07</t>
        </is>
      </c>
      <c r="M384" s="27" t="n">
        <v>133</v>
      </c>
      <c r="N384" s="27" t="n">
        <v>133</v>
      </c>
      <c r="O384" s="3" t="inlineStr">
        <is>
          <t>confident</t>
        </is>
      </c>
      <c r="P384" s="3" t="inlineStr">
        <is>
          <t>B300</t>
        </is>
      </c>
      <c r="Q384" s="3" t="inlineStr">
        <is>
          <t>epoch_user_site_equal_split_seed</t>
        </is>
      </c>
      <c r="R384" s="3" t="inlineStr">
        <is>
          <t>SRC_EPOCH_AI_DATA_CENTERS; EPOCH_NORMALIZED_USER_SITES</t>
        </is>
      </c>
      <c r="S384" s="3" t="inlineStr">
        <is>
          <t>Capacity weight is used only to weight accelerator mix, not to overwrite company total power in 02_Inputs.</t>
        </is>
      </c>
    </row>
    <row r="385">
      <c r="A385" s="3" t="inlineStr">
        <is>
          <t>Bear|Meta|2029|Meta Eagle Mountain</t>
        </is>
      </c>
      <c r="B385" s="3" t="inlineStr">
        <is>
          <t>Bear</t>
        </is>
      </c>
      <c r="C385" s="3" t="inlineStr">
        <is>
          <t>Meta</t>
        </is>
      </c>
      <c r="D385" s="3" t="n">
        <v>2029</v>
      </c>
      <c r="E385" s="3" t="inlineStr">
        <is>
          <t>Meta Eagle Mountain</t>
        </is>
      </c>
      <c r="F385" s="3" t="inlineStr">
        <is>
          <t>Meta</t>
        </is>
      </c>
      <c r="G385" s="3" t="inlineStr">
        <is>
          <t>United States</t>
        </is>
      </c>
      <c r="H385" s="25" t="n">
        <v>133</v>
      </c>
      <c r="I385" s="17" t="n">
        <v>1</v>
      </c>
      <c r="J385" s="17" t="n">
        <v>0.635</v>
      </c>
      <c r="K385" s="26" t="n">
        <v>0.365</v>
      </c>
      <c r="L385" s="3" t="inlineStr">
        <is>
          <t>2025-12-07</t>
        </is>
      </c>
      <c r="M385" s="27" t="n">
        <v>133</v>
      </c>
      <c r="N385" s="27" t="n">
        <v>133</v>
      </c>
      <c r="O385" s="3" t="inlineStr">
        <is>
          <t>confident</t>
        </is>
      </c>
      <c r="P385" s="3" t="inlineStr">
        <is>
          <t>B300</t>
        </is>
      </c>
      <c r="Q385" s="3" t="inlineStr">
        <is>
          <t>epoch_user_site_equal_split_seed</t>
        </is>
      </c>
      <c r="R385" s="3" t="inlineStr">
        <is>
          <t>SRC_EPOCH_AI_DATA_CENTERS; EPOCH_NORMALIZED_USER_SITES</t>
        </is>
      </c>
      <c r="S385" s="3" t="inlineStr">
        <is>
          <t>Capacity weight is used only to weight accelerator mix, not to overwrite company total power in 02_Inputs.</t>
        </is>
      </c>
    </row>
    <row r="386">
      <c r="A386" s="3" t="inlineStr">
        <is>
          <t>Bear|Meta|2030|Meta Eagle Mountain</t>
        </is>
      </c>
      <c r="B386" s="3" t="inlineStr">
        <is>
          <t>Bear</t>
        </is>
      </c>
      <c r="C386" s="3" t="inlineStr">
        <is>
          <t>Meta</t>
        </is>
      </c>
      <c r="D386" s="3" t="n">
        <v>2030</v>
      </c>
      <c r="E386" s="3" t="inlineStr">
        <is>
          <t>Meta Eagle Mountain</t>
        </is>
      </c>
      <c r="F386" s="3" t="inlineStr">
        <is>
          <t>Meta</t>
        </is>
      </c>
      <c r="G386" s="3" t="inlineStr">
        <is>
          <t>United States</t>
        </is>
      </c>
      <c r="H386" s="25" t="n">
        <v>133</v>
      </c>
      <c r="I386" s="17" t="n">
        <v>1</v>
      </c>
      <c r="J386" s="17" t="n">
        <v>0.68</v>
      </c>
      <c r="K386" s="26" t="n">
        <v>0.32</v>
      </c>
      <c r="L386" s="3" t="inlineStr">
        <is>
          <t>2025-12-07</t>
        </is>
      </c>
      <c r="M386" s="27" t="n">
        <v>133</v>
      </c>
      <c r="N386" s="27" t="n">
        <v>133</v>
      </c>
      <c r="O386" s="3" t="inlineStr">
        <is>
          <t>confident</t>
        </is>
      </c>
      <c r="P386" s="3" t="inlineStr">
        <is>
          <t>B300</t>
        </is>
      </c>
      <c r="Q386" s="3" t="inlineStr">
        <is>
          <t>epoch_user_site_equal_split_seed</t>
        </is>
      </c>
      <c r="R386" s="3" t="inlineStr">
        <is>
          <t>SRC_EPOCH_AI_DATA_CENTERS; EPOCH_NORMALIZED_USER_SITES</t>
        </is>
      </c>
      <c r="S386" s="3" t="inlineStr">
        <is>
          <t>Capacity weight is used only to weight accelerator mix, not to overwrite company total power in 02_Inputs.</t>
        </is>
      </c>
    </row>
    <row r="387">
      <c r="A387" s="3" t="inlineStr">
        <is>
          <t>Base|Meta|2026|Meta Eagle Mountain</t>
        </is>
      </c>
      <c r="B387" s="3" t="inlineStr">
        <is>
          <t>Base</t>
        </is>
      </c>
      <c r="C387" s="3" t="inlineStr">
        <is>
          <t>Meta</t>
        </is>
      </c>
      <c r="D387" s="3" t="n">
        <v>2026</v>
      </c>
      <c r="E387" s="3" t="inlineStr">
        <is>
          <t>Meta Eagle Mountain</t>
        </is>
      </c>
      <c r="F387" s="3" t="inlineStr">
        <is>
          <t>Meta</t>
        </is>
      </c>
      <c r="G387" s="3" t="inlineStr">
        <is>
          <t>United States</t>
        </is>
      </c>
      <c r="H387" s="25" t="n">
        <v>133</v>
      </c>
      <c r="I387" s="17" t="n">
        <v>1</v>
      </c>
      <c r="J387" s="17" t="n">
        <v>0.58</v>
      </c>
      <c r="K387" s="26" t="n">
        <v>0.42</v>
      </c>
      <c r="L387" s="3" t="inlineStr">
        <is>
          <t>2025-12-07</t>
        </is>
      </c>
      <c r="M387" s="27" t="n">
        <v>133</v>
      </c>
      <c r="N387" s="27" t="n">
        <v>133</v>
      </c>
      <c r="O387" s="3" t="inlineStr">
        <is>
          <t>confident</t>
        </is>
      </c>
      <c r="P387" s="3" t="inlineStr">
        <is>
          <t>B300</t>
        </is>
      </c>
      <c r="Q387" s="3" t="inlineStr">
        <is>
          <t>epoch_user_site_equal_split_seed</t>
        </is>
      </c>
      <c r="R387" s="3" t="inlineStr">
        <is>
          <t>SRC_EPOCH_AI_DATA_CENTERS; EPOCH_NORMALIZED_USER_SITES</t>
        </is>
      </c>
      <c r="S387" s="3" t="inlineStr">
        <is>
          <t>Capacity weight is used only to weight accelerator mix, not to overwrite company total power in 02_Inputs.</t>
        </is>
      </c>
    </row>
    <row r="388">
      <c r="A388" s="3" t="inlineStr">
        <is>
          <t>Base|Meta|2027|Meta Eagle Mountain</t>
        </is>
      </c>
      <c r="B388" s="3" t="inlineStr">
        <is>
          <t>Base</t>
        </is>
      </c>
      <c r="C388" s="3" t="inlineStr">
        <is>
          <t>Meta</t>
        </is>
      </c>
      <c r="D388" s="3" t="n">
        <v>2027</v>
      </c>
      <c r="E388" s="3" t="inlineStr">
        <is>
          <t>Meta Eagle Mountain</t>
        </is>
      </c>
      <c r="F388" s="3" t="inlineStr">
        <is>
          <t>Meta</t>
        </is>
      </c>
      <c r="G388" s="3" t="inlineStr">
        <is>
          <t>United States</t>
        </is>
      </c>
      <c r="H388" s="25" t="n">
        <v>133</v>
      </c>
      <c r="I388" s="17" t="n">
        <v>1</v>
      </c>
      <c r="J388" s="17" t="n">
        <v>0.63</v>
      </c>
      <c r="K388" s="26" t="n">
        <v>0.37</v>
      </c>
      <c r="L388" s="3" t="inlineStr">
        <is>
          <t>2025-12-07</t>
        </is>
      </c>
      <c r="M388" s="27" t="n">
        <v>133</v>
      </c>
      <c r="N388" s="27" t="n">
        <v>133</v>
      </c>
      <c r="O388" s="3" t="inlineStr">
        <is>
          <t>confident</t>
        </is>
      </c>
      <c r="P388" s="3" t="inlineStr">
        <is>
          <t>B300</t>
        </is>
      </c>
      <c r="Q388" s="3" t="inlineStr">
        <is>
          <t>epoch_user_site_equal_split_seed</t>
        </is>
      </c>
      <c r="R388" s="3" t="inlineStr">
        <is>
          <t>SRC_EPOCH_AI_DATA_CENTERS; EPOCH_NORMALIZED_USER_SITES</t>
        </is>
      </c>
      <c r="S388" s="3" t="inlineStr">
        <is>
          <t>Capacity weight is used only to weight accelerator mix, not to overwrite company total power in 02_Inputs.</t>
        </is>
      </c>
    </row>
    <row r="389">
      <c r="A389" s="3" t="inlineStr">
        <is>
          <t>Base|Meta|2028|Meta Eagle Mountain</t>
        </is>
      </c>
      <c r="B389" s="3" t="inlineStr">
        <is>
          <t>Base</t>
        </is>
      </c>
      <c r="C389" s="3" t="inlineStr">
        <is>
          <t>Meta</t>
        </is>
      </c>
      <c r="D389" s="3" t="n">
        <v>2028</v>
      </c>
      <c r="E389" s="3" t="inlineStr">
        <is>
          <t>Meta Eagle Mountain</t>
        </is>
      </c>
      <c r="F389" s="3" t="inlineStr">
        <is>
          <t>Meta</t>
        </is>
      </c>
      <c r="G389" s="3" t="inlineStr">
        <is>
          <t>United States</t>
        </is>
      </c>
      <c r="H389" s="25" t="n">
        <v>133</v>
      </c>
      <c r="I389" s="17" t="n">
        <v>1</v>
      </c>
      <c r="J389" s="17" t="n">
        <v>0.68</v>
      </c>
      <c r="K389" s="26" t="n">
        <v>0.32</v>
      </c>
      <c r="L389" s="3" t="inlineStr">
        <is>
          <t>2025-12-07</t>
        </is>
      </c>
      <c r="M389" s="27" t="n">
        <v>133</v>
      </c>
      <c r="N389" s="27" t="n">
        <v>133</v>
      </c>
      <c r="O389" s="3" t="inlineStr">
        <is>
          <t>confident</t>
        </is>
      </c>
      <c r="P389" s="3" t="inlineStr">
        <is>
          <t>B300</t>
        </is>
      </c>
      <c r="Q389" s="3" t="inlineStr">
        <is>
          <t>epoch_user_site_equal_split_seed</t>
        </is>
      </c>
      <c r="R389" s="3" t="inlineStr">
        <is>
          <t>SRC_EPOCH_AI_DATA_CENTERS; EPOCH_NORMALIZED_USER_SITES</t>
        </is>
      </c>
      <c r="S389" s="3" t="inlineStr">
        <is>
          <t>Capacity weight is used only to weight accelerator mix, not to overwrite company total power in 02_Inputs.</t>
        </is>
      </c>
    </row>
    <row r="390">
      <c r="A390" s="3" t="inlineStr">
        <is>
          <t>Base|Meta|2029|Meta Eagle Mountain</t>
        </is>
      </c>
      <c r="B390" s="3" t="inlineStr">
        <is>
          <t>Base</t>
        </is>
      </c>
      <c r="C390" s="3" t="inlineStr">
        <is>
          <t>Meta</t>
        </is>
      </c>
      <c r="D390" s="3" t="n">
        <v>2029</v>
      </c>
      <c r="E390" s="3" t="inlineStr">
        <is>
          <t>Meta Eagle Mountain</t>
        </is>
      </c>
      <c r="F390" s="3" t="inlineStr">
        <is>
          <t>Meta</t>
        </is>
      </c>
      <c r="G390" s="3" t="inlineStr">
        <is>
          <t>United States</t>
        </is>
      </c>
      <c r="H390" s="25" t="n">
        <v>133</v>
      </c>
      <c r="I390" s="17" t="n">
        <v>1</v>
      </c>
      <c r="J390" s="17" t="n">
        <v>0.73</v>
      </c>
      <c r="K390" s="26" t="n">
        <v>0.27</v>
      </c>
      <c r="L390" s="3" t="inlineStr">
        <is>
          <t>2025-12-07</t>
        </is>
      </c>
      <c r="M390" s="27" t="n">
        <v>133</v>
      </c>
      <c r="N390" s="27" t="n">
        <v>133</v>
      </c>
      <c r="O390" s="3" t="inlineStr">
        <is>
          <t>confident</t>
        </is>
      </c>
      <c r="P390" s="3" t="inlineStr">
        <is>
          <t>B300</t>
        </is>
      </c>
      <c r="Q390" s="3" t="inlineStr">
        <is>
          <t>epoch_user_site_equal_split_seed</t>
        </is>
      </c>
      <c r="R390" s="3" t="inlineStr">
        <is>
          <t>SRC_EPOCH_AI_DATA_CENTERS; EPOCH_NORMALIZED_USER_SITES</t>
        </is>
      </c>
      <c r="S390" s="3" t="inlineStr">
        <is>
          <t>Capacity weight is used only to weight accelerator mix, not to overwrite company total power in 02_Inputs.</t>
        </is>
      </c>
    </row>
    <row r="391">
      <c r="A391" s="3" t="inlineStr">
        <is>
          <t>Base|Meta|2030|Meta Eagle Mountain</t>
        </is>
      </c>
      <c r="B391" s="3" t="inlineStr">
        <is>
          <t>Base</t>
        </is>
      </c>
      <c r="C391" s="3" t="inlineStr">
        <is>
          <t>Meta</t>
        </is>
      </c>
      <c r="D391" s="3" t="n">
        <v>2030</v>
      </c>
      <c r="E391" s="3" t="inlineStr">
        <is>
          <t>Meta Eagle Mountain</t>
        </is>
      </c>
      <c r="F391" s="3" t="inlineStr">
        <is>
          <t>Meta</t>
        </is>
      </c>
      <c r="G391" s="3" t="inlineStr">
        <is>
          <t>United States</t>
        </is>
      </c>
      <c r="H391" s="25" t="n">
        <v>133</v>
      </c>
      <c r="I391" s="17" t="n">
        <v>1</v>
      </c>
      <c r="J391" s="17" t="n">
        <v>0.78</v>
      </c>
      <c r="K391" s="26" t="n">
        <v>0.22</v>
      </c>
      <c r="L391" s="3" t="inlineStr">
        <is>
          <t>2025-12-07</t>
        </is>
      </c>
      <c r="M391" s="27" t="n">
        <v>133</v>
      </c>
      <c r="N391" s="27" t="n">
        <v>133</v>
      </c>
      <c r="O391" s="3" t="inlineStr">
        <is>
          <t>confident</t>
        </is>
      </c>
      <c r="P391" s="3" t="inlineStr">
        <is>
          <t>B300</t>
        </is>
      </c>
      <c r="Q391" s="3" t="inlineStr">
        <is>
          <t>epoch_user_site_equal_split_seed</t>
        </is>
      </c>
      <c r="R391" s="3" t="inlineStr">
        <is>
          <t>SRC_EPOCH_AI_DATA_CENTERS; EPOCH_NORMALIZED_USER_SITES</t>
        </is>
      </c>
      <c r="S391" s="3" t="inlineStr">
        <is>
          <t>Capacity weight is used only to weight accelerator mix, not to overwrite company total power in 02_Inputs.</t>
        </is>
      </c>
    </row>
    <row r="392">
      <c r="A392" s="3" t="inlineStr">
        <is>
          <t>Bull|Meta|2026|Meta Eagle Mountain</t>
        </is>
      </c>
      <c r="B392" s="3" t="inlineStr">
        <is>
          <t>Bull</t>
        </is>
      </c>
      <c r="C392" s="3" t="inlineStr">
        <is>
          <t>Meta</t>
        </is>
      </c>
      <c r="D392" s="3" t="n">
        <v>2026</v>
      </c>
      <c r="E392" s="3" t="inlineStr">
        <is>
          <t>Meta Eagle Mountain</t>
        </is>
      </c>
      <c r="F392" s="3" t="inlineStr">
        <is>
          <t>Meta</t>
        </is>
      </c>
      <c r="G392" s="3" t="inlineStr">
        <is>
          <t>United States</t>
        </is>
      </c>
      <c r="H392" s="25" t="n">
        <v>133</v>
      </c>
      <c r="I392" s="17" t="n">
        <v>1</v>
      </c>
      <c r="J392" s="17" t="n">
        <v>0.63</v>
      </c>
      <c r="K392" s="26" t="n">
        <v>0.37</v>
      </c>
      <c r="L392" s="3" t="inlineStr">
        <is>
          <t>2025-12-07</t>
        </is>
      </c>
      <c r="M392" s="27" t="n">
        <v>133</v>
      </c>
      <c r="N392" s="27" t="n">
        <v>133</v>
      </c>
      <c r="O392" s="3" t="inlineStr">
        <is>
          <t>confident</t>
        </is>
      </c>
      <c r="P392" s="3" t="inlineStr">
        <is>
          <t>B300</t>
        </is>
      </c>
      <c r="Q392" s="3" t="inlineStr">
        <is>
          <t>epoch_user_site_equal_split_seed</t>
        </is>
      </c>
      <c r="R392" s="3" t="inlineStr">
        <is>
          <t>SRC_EPOCH_AI_DATA_CENTERS; EPOCH_NORMALIZED_USER_SITES</t>
        </is>
      </c>
      <c r="S392" s="3" t="inlineStr">
        <is>
          <t>Capacity weight is used only to weight accelerator mix, not to overwrite company total power in 02_Inputs.</t>
        </is>
      </c>
    </row>
    <row r="393">
      <c r="A393" s="3" t="inlineStr">
        <is>
          <t>Bull|Meta|2027|Meta Eagle Mountain</t>
        </is>
      </c>
      <c r="B393" s="3" t="inlineStr">
        <is>
          <t>Bull</t>
        </is>
      </c>
      <c r="C393" s="3" t="inlineStr">
        <is>
          <t>Meta</t>
        </is>
      </c>
      <c r="D393" s="3" t="n">
        <v>2027</v>
      </c>
      <c r="E393" s="3" t="inlineStr">
        <is>
          <t>Meta Eagle Mountain</t>
        </is>
      </c>
      <c r="F393" s="3" t="inlineStr">
        <is>
          <t>Meta</t>
        </is>
      </c>
      <c r="G393" s="3" t="inlineStr">
        <is>
          <t>United States</t>
        </is>
      </c>
      <c r="H393" s="25" t="n">
        <v>133</v>
      </c>
      <c r="I393" s="17" t="n">
        <v>1</v>
      </c>
      <c r="J393" s="17" t="n">
        <v>0.6879999999999999</v>
      </c>
      <c r="K393" s="26" t="n">
        <v>0.312</v>
      </c>
      <c r="L393" s="3" t="inlineStr">
        <is>
          <t>2025-12-07</t>
        </is>
      </c>
      <c r="M393" s="27" t="n">
        <v>133</v>
      </c>
      <c r="N393" s="27" t="n">
        <v>133</v>
      </c>
      <c r="O393" s="3" t="inlineStr">
        <is>
          <t>confident</t>
        </is>
      </c>
      <c r="P393" s="3" t="inlineStr">
        <is>
          <t>B300</t>
        </is>
      </c>
      <c r="Q393" s="3" t="inlineStr">
        <is>
          <t>epoch_user_site_equal_split_seed</t>
        </is>
      </c>
      <c r="R393" s="3" t="inlineStr">
        <is>
          <t>SRC_EPOCH_AI_DATA_CENTERS; EPOCH_NORMALIZED_USER_SITES</t>
        </is>
      </c>
      <c r="S393" s="3" t="inlineStr">
        <is>
          <t>Capacity weight is used only to weight accelerator mix, not to overwrite company total power in 02_Inputs.</t>
        </is>
      </c>
    </row>
    <row r="394">
      <c r="A394" s="3" t="inlineStr">
        <is>
          <t>Bull|Meta|2028|Meta Eagle Mountain</t>
        </is>
      </c>
      <c r="B394" s="3" t="inlineStr">
        <is>
          <t>Bull</t>
        </is>
      </c>
      <c r="C394" s="3" t="inlineStr">
        <is>
          <t>Meta</t>
        </is>
      </c>
      <c r="D394" s="3" t="n">
        <v>2028</v>
      </c>
      <c r="E394" s="3" t="inlineStr">
        <is>
          <t>Meta Eagle Mountain</t>
        </is>
      </c>
      <c r="F394" s="3" t="inlineStr">
        <is>
          <t>Meta</t>
        </is>
      </c>
      <c r="G394" s="3" t="inlineStr">
        <is>
          <t>United States</t>
        </is>
      </c>
      <c r="H394" s="25" t="n">
        <v>133</v>
      </c>
      <c r="I394" s="17" t="n">
        <v>1</v>
      </c>
      <c r="J394" s="17" t="n">
        <v>0.745</v>
      </c>
      <c r="K394" s="26" t="n">
        <v>0.255</v>
      </c>
      <c r="L394" s="3" t="inlineStr">
        <is>
          <t>2025-12-07</t>
        </is>
      </c>
      <c r="M394" s="27" t="n">
        <v>133</v>
      </c>
      <c r="N394" s="27" t="n">
        <v>133</v>
      </c>
      <c r="O394" s="3" t="inlineStr">
        <is>
          <t>confident</t>
        </is>
      </c>
      <c r="P394" s="3" t="inlineStr">
        <is>
          <t>B300</t>
        </is>
      </c>
      <c r="Q394" s="3" t="inlineStr">
        <is>
          <t>epoch_user_site_equal_split_seed</t>
        </is>
      </c>
      <c r="R394" s="3" t="inlineStr">
        <is>
          <t>SRC_EPOCH_AI_DATA_CENTERS; EPOCH_NORMALIZED_USER_SITES</t>
        </is>
      </c>
      <c r="S394" s="3" t="inlineStr">
        <is>
          <t>Capacity weight is used only to weight accelerator mix, not to overwrite company total power in 02_Inputs.</t>
        </is>
      </c>
    </row>
    <row r="395">
      <c r="A395" s="3" t="inlineStr">
        <is>
          <t>Bull|Meta|2029|Meta Eagle Mountain</t>
        </is>
      </c>
      <c r="B395" s="3" t="inlineStr">
        <is>
          <t>Bull</t>
        </is>
      </c>
      <c r="C395" s="3" t="inlineStr">
        <is>
          <t>Meta</t>
        </is>
      </c>
      <c r="D395" s="3" t="n">
        <v>2029</v>
      </c>
      <c r="E395" s="3" t="inlineStr">
        <is>
          <t>Meta Eagle Mountain</t>
        </is>
      </c>
      <c r="F395" s="3" t="inlineStr">
        <is>
          <t>Meta</t>
        </is>
      </c>
      <c r="G395" s="3" t="inlineStr">
        <is>
          <t>United States</t>
        </is>
      </c>
      <c r="H395" s="25" t="n">
        <v>133</v>
      </c>
      <c r="I395" s="17" t="n">
        <v>1</v>
      </c>
      <c r="J395" s="17" t="n">
        <v>0.802</v>
      </c>
      <c r="K395" s="26" t="n">
        <v>0.198</v>
      </c>
      <c r="L395" s="3" t="inlineStr">
        <is>
          <t>2025-12-07</t>
        </is>
      </c>
      <c r="M395" s="27" t="n">
        <v>133</v>
      </c>
      <c r="N395" s="27" t="n">
        <v>133</v>
      </c>
      <c r="O395" s="3" t="inlineStr">
        <is>
          <t>confident</t>
        </is>
      </c>
      <c r="P395" s="3" t="inlineStr">
        <is>
          <t>B300</t>
        </is>
      </c>
      <c r="Q395" s="3" t="inlineStr">
        <is>
          <t>epoch_user_site_equal_split_seed</t>
        </is>
      </c>
      <c r="R395" s="3" t="inlineStr">
        <is>
          <t>SRC_EPOCH_AI_DATA_CENTERS; EPOCH_NORMALIZED_USER_SITES</t>
        </is>
      </c>
      <c r="S395" s="3" t="inlineStr">
        <is>
          <t>Capacity weight is used only to weight accelerator mix, not to overwrite company total power in 02_Inputs.</t>
        </is>
      </c>
    </row>
    <row r="396">
      <c r="A396" s="3" t="inlineStr">
        <is>
          <t>Bull|Meta|2030|Meta Eagle Mountain</t>
        </is>
      </c>
      <c r="B396" s="3" t="inlineStr">
        <is>
          <t>Bull</t>
        </is>
      </c>
      <c r="C396" s="3" t="inlineStr">
        <is>
          <t>Meta</t>
        </is>
      </c>
      <c r="D396" s="3" t="n">
        <v>2030</v>
      </c>
      <c r="E396" s="3" t="inlineStr">
        <is>
          <t>Meta Eagle Mountain</t>
        </is>
      </c>
      <c r="F396" s="3" t="inlineStr">
        <is>
          <t>Meta</t>
        </is>
      </c>
      <c r="G396" s="3" t="inlineStr">
        <is>
          <t>United States</t>
        </is>
      </c>
      <c r="H396" s="25" t="n">
        <v>133</v>
      </c>
      <c r="I396" s="17" t="n">
        <v>1</v>
      </c>
      <c r="J396" s="17" t="n">
        <v>0.86</v>
      </c>
      <c r="K396" s="26" t="n">
        <v>0.14</v>
      </c>
      <c r="L396" s="3" t="inlineStr">
        <is>
          <t>2025-12-07</t>
        </is>
      </c>
      <c r="M396" s="27" t="n">
        <v>133</v>
      </c>
      <c r="N396" s="27" t="n">
        <v>133</v>
      </c>
      <c r="O396" s="3" t="inlineStr">
        <is>
          <t>confident</t>
        </is>
      </c>
      <c r="P396" s="3" t="inlineStr">
        <is>
          <t>B300</t>
        </is>
      </c>
      <c r="Q396" s="3" t="inlineStr">
        <is>
          <t>epoch_user_site_equal_split_seed</t>
        </is>
      </c>
      <c r="R396" s="3" t="inlineStr">
        <is>
          <t>SRC_EPOCH_AI_DATA_CENTERS; EPOCH_NORMALIZED_USER_SITES</t>
        </is>
      </c>
      <c r="S396" s="3" t="inlineStr">
        <is>
          <t>Capacity weight is used only to weight accelerator mix, not to overwrite company total power in 02_Inputs.</t>
        </is>
      </c>
    </row>
    <row r="397">
      <c r="A397" s="3" t="inlineStr">
        <is>
          <t>Grid-Constrained / Efficiency-Upside|Meta|2026|Meta Eagle Mountain</t>
        </is>
      </c>
      <c r="B397" s="3" t="inlineStr">
        <is>
          <t>Grid-Constrained / Efficiency-Upside</t>
        </is>
      </c>
      <c r="C397" s="3" t="inlineStr">
        <is>
          <t>Meta</t>
        </is>
      </c>
      <c r="D397" s="3" t="n">
        <v>2026</v>
      </c>
      <c r="E397" s="3" t="inlineStr">
        <is>
          <t>Meta Eagle Mountain</t>
        </is>
      </c>
      <c r="F397" s="3" t="inlineStr">
        <is>
          <t>Meta</t>
        </is>
      </c>
      <c r="G397" s="3" t="inlineStr">
        <is>
          <t>United States</t>
        </is>
      </c>
      <c r="H397" s="25" t="n">
        <v>133</v>
      </c>
      <c r="I397" s="17" t="n">
        <v>1</v>
      </c>
      <c r="J397" s="17" t="n">
        <v>0.6</v>
      </c>
      <c r="K397" s="26" t="n">
        <v>0.4</v>
      </c>
      <c r="L397" s="3" t="inlineStr">
        <is>
          <t>2025-12-07</t>
        </is>
      </c>
      <c r="M397" s="27" t="n">
        <v>133</v>
      </c>
      <c r="N397" s="27" t="n">
        <v>133</v>
      </c>
      <c r="O397" s="3" t="inlineStr">
        <is>
          <t>confident</t>
        </is>
      </c>
      <c r="P397" s="3" t="inlineStr">
        <is>
          <t>B300</t>
        </is>
      </c>
      <c r="Q397" s="3" t="inlineStr">
        <is>
          <t>epoch_user_site_equal_split_seed</t>
        </is>
      </c>
      <c r="R397" s="3" t="inlineStr">
        <is>
          <t>SRC_EPOCH_AI_DATA_CENTERS; EPOCH_NORMALIZED_USER_SITES</t>
        </is>
      </c>
      <c r="S397" s="3" t="inlineStr">
        <is>
          <t>Capacity weight is used only to weight accelerator mix, not to overwrite company total power in 02_Inputs.</t>
        </is>
      </c>
    </row>
    <row r="398">
      <c r="A398" s="3" t="inlineStr">
        <is>
          <t>Grid-Constrained / Efficiency-Upside|Meta|2027|Meta Eagle Mountain</t>
        </is>
      </c>
      <c r="B398" s="3" t="inlineStr">
        <is>
          <t>Grid-Constrained / Efficiency-Upside</t>
        </is>
      </c>
      <c r="C398" s="3" t="inlineStr">
        <is>
          <t>Meta</t>
        </is>
      </c>
      <c r="D398" s="3" t="n">
        <v>2027</v>
      </c>
      <c r="E398" s="3" t="inlineStr">
        <is>
          <t>Meta Eagle Mountain</t>
        </is>
      </c>
      <c r="F398" s="3" t="inlineStr">
        <is>
          <t>Meta</t>
        </is>
      </c>
      <c r="G398" s="3" t="inlineStr">
        <is>
          <t>United States</t>
        </is>
      </c>
      <c r="H398" s="25" t="n">
        <v>133</v>
      </c>
      <c r="I398" s="17" t="n">
        <v>1</v>
      </c>
      <c r="J398" s="17" t="n">
        <v>0.655</v>
      </c>
      <c r="K398" s="26" t="n">
        <v>0.345</v>
      </c>
      <c r="L398" s="3" t="inlineStr">
        <is>
          <t>2025-12-07</t>
        </is>
      </c>
      <c r="M398" s="27" t="n">
        <v>133</v>
      </c>
      <c r="N398" s="27" t="n">
        <v>133</v>
      </c>
      <c r="O398" s="3" t="inlineStr">
        <is>
          <t>confident</t>
        </is>
      </c>
      <c r="P398" s="3" t="inlineStr">
        <is>
          <t>B300</t>
        </is>
      </c>
      <c r="Q398" s="3" t="inlineStr">
        <is>
          <t>epoch_user_site_equal_split_seed</t>
        </is>
      </c>
      <c r="R398" s="3" t="inlineStr">
        <is>
          <t>SRC_EPOCH_AI_DATA_CENTERS; EPOCH_NORMALIZED_USER_SITES</t>
        </is>
      </c>
      <c r="S398" s="3" t="inlineStr">
        <is>
          <t>Capacity weight is used only to weight accelerator mix, not to overwrite company total power in 02_Inputs.</t>
        </is>
      </c>
    </row>
    <row r="399">
      <c r="A399" s="3" t="inlineStr">
        <is>
          <t>Grid-Constrained / Efficiency-Upside|Meta|2028|Meta Eagle Mountain</t>
        </is>
      </c>
      <c r="B399" s="3" t="inlineStr">
        <is>
          <t>Grid-Constrained / Efficiency-Upside</t>
        </is>
      </c>
      <c r="C399" s="3" t="inlineStr">
        <is>
          <t>Meta</t>
        </is>
      </c>
      <c r="D399" s="3" t="n">
        <v>2028</v>
      </c>
      <c r="E399" s="3" t="inlineStr">
        <is>
          <t>Meta Eagle Mountain</t>
        </is>
      </c>
      <c r="F399" s="3" t="inlineStr">
        <is>
          <t>Meta</t>
        </is>
      </c>
      <c r="G399" s="3" t="inlineStr">
        <is>
          <t>United States</t>
        </is>
      </c>
      <c r="H399" s="25" t="n">
        <v>133</v>
      </c>
      <c r="I399" s="17" t="n">
        <v>1</v>
      </c>
      <c r="J399" s="17" t="n">
        <v>0.71</v>
      </c>
      <c r="K399" s="26" t="n">
        <v>0.29</v>
      </c>
      <c r="L399" s="3" t="inlineStr">
        <is>
          <t>2025-12-07</t>
        </is>
      </c>
      <c r="M399" s="27" t="n">
        <v>133</v>
      </c>
      <c r="N399" s="27" t="n">
        <v>133</v>
      </c>
      <c r="O399" s="3" t="inlineStr">
        <is>
          <t>confident</t>
        </is>
      </c>
      <c r="P399" s="3" t="inlineStr">
        <is>
          <t>B300</t>
        </is>
      </c>
      <c r="Q399" s="3" t="inlineStr">
        <is>
          <t>epoch_user_site_equal_split_seed</t>
        </is>
      </c>
      <c r="R399" s="3" t="inlineStr">
        <is>
          <t>SRC_EPOCH_AI_DATA_CENTERS; EPOCH_NORMALIZED_USER_SITES</t>
        </is>
      </c>
      <c r="S399" s="3" t="inlineStr">
        <is>
          <t>Capacity weight is used only to weight accelerator mix, not to overwrite company total power in 02_Inputs.</t>
        </is>
      </c>
    </row>
    <row r="400">
      <c r="A400" s="3" t="inlineStr">
        <is>
          <t>Grid-Constrained / Efficiency-Upside|Meta|2029|Meta Eagle Mountain</t>
        </is>
      </c>
      <c r="B400" s="3" t="inlineStr">
        <is>
          <t>Grid-Constrained / Efficiency-Upside</t>
        </is>
      </c>
      <c r="C400" s="3" t="inlineStr">
        <is>
          <t>Meta</t>
        </is>
      </c>
      <c r="D400" s="3" t="n">
        <v>2029</v>
      </c>
      <c r="E400" s="3" t="inlineStr">
        <is>
          <t>Meta Eagle Mountain</t>
        </is>
      </c>
      <c r="F400" s="3" t="inlineStr">
        <is>
          <t>Meta</t>
        </is>
      </c>
      <c r="G400" s="3" t="inlineStr">
        <is>
          <t>United States</t>
        </is>
      </c>
      <c r="H400" s="25" t="n">
        <v>133</v>
      </c>
      <c r="I400" s="17" t="n">
        <v>1</v>
      </c>
      <c r="J400" s="17" t="n">
        <v>0.765</v>
      </c>
      <c r="K400" s="26" t="n">
        <v>0.235</v>
      </c>
      <c r="L400" s="3" t="inlineStr">
        <is>
          <t>2025-12-07</t>
        </is>
      </c>
      <c r="M400" s="27" t="n">
        <v>133</v>
      </c>
      <c r="N400" s="27" t="n">
        <v>133</v>
      </c>
      <c r="O400" s="3" t="inlineStr">
        <is>
          <t>confident</t>
        </is>
      </c>
      <c r="P400" s="3" t="inlineStr">
        <is>
          <t>B300</t>
        </is>
      </c>
      <c r="Q400" s="3" t="inlineStr">
        <is>
          <t>epoch_user_site_equal_split_seed</t>
        </is>
      </c>
      <c r="R400" s="3" t="inlineStr">
        <is>
          <t>SRC_EPOCH_AI_DATA_CENTERS; EPOCH_NORMALIZED_USER_SITES</t>
        </is>
      </c>
      <c r="S400" s="3" t="inlineStr">
        <is>
          <t>Capacity weight is used only to weight accelerator mix, not to overwrite company total power in 02_Inputs.</t>
        </is>
      </c>
    </row>
    <row r="401">
      <c r="A401" s="3" t="inlineStr">
        <is>
          <t>Grid-Constrained / Efficiency-Upside|Meta|2030|Meta Eagle Mountain</t>
        </is>
      </c>
      <c r="B401" s="3" t="inlineStr">
        <is>
          <t>Grid-Constrained / Efficiency-Upside</t>
        </is>
      </c>
      <c r="C401" s="3" t="inlineStr">
        <is>
          <t>Meta</t>
        </is>
      </c>
      <c r="D401" s="3" t="n">
        <v>2030</v>
      </c>
      <c r="E401" s="3" t="inlineStr">
        <is>
          <t>Meta Eagle Mountain</t>
        </is>
      </c>
      <c r="F401" s="3" t="inlineStr">
        <is>
          <t>Meta</t>
        </is>
      </c>
      <c r="G401" s="3" t="inlineStr">
        <is>
          <t>United States</t>
        </is>
      </c>
      <c r="H401" s="25" t="n">
        <v>133</v>
      </c>
      <c r="I401" s="17" t="n">
        <v>1</v>
      </c>
      <c r="J401" s="17" t="n">
        <v>0.82</v>
      </c>
      <c r="K401" s="26" t="n">
        <v>0.18</v>
      </c>
      <c r="L401" s="3" t="inlineStr">
        <is>
          <t>2025-12-07</t>
        </is>
      </c>
      <c r="M401" s="27" t="n">
        <v>133</v>
      </c>
      <c r="N401" s="27" t="n">
        <v>133</v>
      </c>
      <c r="O401" s="3" t="inlineStr">
        <is>
          <t>confident</t>
        </is>
      </c>
      <c r="P401" s="3" t="inlineStr">
        <is>
          <t>B300</t>
        </is>
      </c>
      <c r="Q401" s="3" t="inlineStr">
        <is>
          <t>epoch_user_site_equal_split_seed</t>
        </is>
      </c>
      <c r="R401" s="3" t="inlineStr">
        <is>
          <t>SRC_EPOCH_AI_DATA_CENTERS; EPOCH_NORMALIZED_USER_SITES</t>
        </is>
      </c>
      <c r="S401" s="3" t="inlineStr">
        <is>
          <t>Capacity weight is used only to weight accelerator mix, not to overwrite company total power in 02_Inputs.</t>
        </is>
      </c>
    </row>
    <row r="402">
      <c r="A402" s="3" t="inlineStr">
        <is>
          <t>Bear|Meta|2026|Meta Gallatin</t>
        </is>
      </c>
      <c r="B402" s="3" t="inlineStr">
        <is>
          <t>Bear</t>
        </is>
      </c>
      <c r="C402" s="3" t="inlineStr">
        <is>
          <t>Meta</t>
        </is>
      </c>
      <c r="D402" s="3" t="n">
        <v>2026</v>
      </c>
      <c r="E402" s="3" t="inlineStr">
        <is>
          <t>Meta Gallatin</t>
        </is>
      </c>
      <c r="F402" s="3" t="inlineStr">
        <is>
          <t>Meta</t>
        </is>
      </c>
      <c r="G402" s="3" t="inlineStr">
        <is>
          <t>United States</t>
        </is>
      </c>
      <c r="H402" s="25" t="n">
        <v>87</v>
      </c>
      <c r="I402" s="17" t="n">
        <v>1</v>
      </c>
      <c r="J402" s="17" t="n">
        <v>0.5</v>
      </c>
      <c r="K402" s="26" t="n">
        <v>0.5</v>
      </c>
      <c r="L402" s="3" t="inlineStr">
        <is>
          <t>2026-06-15</t>
        </is>
      </c>
      <c r="M402" s="27" t="n">
        <v>87</v>
      </c>
      <c r="N402" s="27" t="n">
        <v>87</v>
      </c>
      <c r="O402" s="3" t="inlineStr">
        <is>
          <t>confident</t>
        </is>
      </c>
      <c r="P402" s="3" t="inlineStr">
        <is>
          <t>B300</t>
        </is>
      </c>
      <c r="Q402" s="3" t="inlineStr">
        <is>
          <t>epoch_user_site_equal_split_seed</t>
        </is>
      </c>
      <c r="R402" s="3" t="inlineStr">
        <is>
          <t>SRC_EPOCH_AI_DATA_CENTERS; EPOCH_NORMALIZED_USER_SITES</t>
        </is>
      </c>
      <c r="S402" s="3" t="inlineStr">
        <is>
          <t>Capacity weight is used only to weight accelerator mix, not to overwrite company total power in 02_Inputs.</t>
        </is>
      </c>
    </row>
    <row r="403">
      <c r="A403" s="3" t="inlineStr">
        <is>
          <t>Bear|Meta|2027|Meta Gallatin</t>
        </is>
      </c>
      <c r="B403" s="3" t="inlineStr">
        <is>
          <t>Bear</t>
        </is>
      </c>
      <c r="C403" s="3" t="inlineStr">
        <is>
          <t>Meta</t>
        </is>
      </c>
      <c r="D403" s="3" t="n">
        <v>2027</v>
      </c>
      <c r="E403" s="3" t="inlineStr">
        <is>
          <t>Meta Gallatin</t>
        </is>
      </c>
      <c r="F403" s="3" t="inlineStr">
        <is>
          <t>Meta</t>
        </is>
      </c>
      <c r="G403" s="3" t="inlineStr">
        <is>
          <t>United States</t>
        </is>
      </c>
      <c r="H403" s="25" t="n">
        <v>87</v>
      </c>
      <c r="I403" s="17" t="n">
        <v>1</v>
      </c>
      <c r="J403" s="17" t="n">
        <v>0.545</v>
      </c>
      <c r="K403" s="26" t="n">
        <v>0.455</v>
      </c>
      <c r="L403" s="3" t="inlineStr">
        <is>
          <t>2026-06-15</t>
        </is>
      </c>
      <c r="M403" s="27" t="n">
        <v>87</v>
      </c>
      <c r="N403" s="27" t="n">
        <v>87</v>
      </c>
      <c r="O403" s="3" t="inlineStr">
        <is>
          <t>confident</t>
        </is>
      </c>
      <c r="P403" s="3" t="inlineStr">
        <is>
          <t>B300</t>
        </is>
      </c>
      <c r="Q403" s="3" t="inlineStr">
        <is>
          <t>epoch_user_site_equal_split_seed</t>
        </is>
      </c>
      <c r="R403" s="3" t="inlineStr">
        <is>
          <t>SRC_EPOCH_AI_DATA_CENTERS; EPOCH_NORMALIZED_USER_SITES</t>
        </is>
      </c>
      <c r="S403" s="3" t="inlineStr">
        <is>
          <t>Capacity weight is used only to weight accelerator mix, not to overwrite company total power in 02_Inputs.</t>
        </is>
      </c>
    </row>
    <row r="404">
      <c r="A404" s="3" t="inlineStr">
        <is>
          <t>Bear|Meta|2028|Meta Gallatin</t>
        </is>
      </c>
      <c r="B404" s="3" t="inlineStr">
        <is>
          <t>Bear</t>
        </is>
      </c>
      <c r="C404" s="3" t="inlineStr">
        <is>
          <t>Meta</t>
        </is>
      </c>
      <c r="D404" s="3" t="n">
        <v>2028</v>
      </c>
      <c r="E404" s="3" t="inlineStr">
        <is>
          <t>Meta Gallatin</t>
        </is>
      </c>
      <c r="F404" s="3" t="inlineStr">
        <is>
          <t>Meta</t>
        </is>
      </c>
      <c r="G404" s="3" t="inlineStr">
        <is>
          <t>United States</t>
        </is>
      </c>
      <c r="H404" s="25" t="n">
        <v>87</v>
      </c>
      <c r="I404" s="17" t="n">
        <v>1</v>
      </c>
      <c r="J404" s="17" t="n">
        <v>0.59</v>
      </c>
      <c r="K404" s="26" t="n">
        <v>0.41</v>
      </c>
      <c r="L404" s="3" t="inlineStr">
        <is>
          <t>2026-06-15</t>
        </is>
      </c>
      <c r="M404" s="27" t="n">
        <v>87</v>
      </c>
      <c r="N404" s="27" t="n">
        <v>87</v>
      </c>
      <c r="O404" s="3" t="inlineStr">
        <is>
          <t>confident</t>
        </is>
      </c>
      <c r="P404" s="3" t="inlineStr">
        <is>
          <t>B300</t>
        </is>
      </c>
      <c r="Q404" s="3" t="inlineStr">
        <is>
          <t>epoch_user_site_equal_split_seed</t>
        </is>
      </c>
      <c r="R404" s="3" t="inlineStr">
        <is>
          <t>SRC_EPOCH_AI_DATA_CENTERS; EPOCH_NORMALIZED_USER_SITES</t>
        </is>
      </c>
      <c r="S404" s="3" t="inlineStr">
        <is>
          <t>Capacity weight is used only to weight accelerator mix, not to overwrite company total power in 02_Inputs.</t>
        </is>
      </c>
    </row>
    <row r="405">
      <c r="A405" s="3" t="inlineStr">
        <is>
          <t>Bear|Meta|2029|Meta Gallatin</t>
        </is>
      </c>
      <c r="B405" s="3" t="inlineStr">
        <is>
          <t>Bear</t>
        </is>
      </c>
      <c r="C405" s="3" t="inlineStr">
        <is>
          <t>Meta</t>
        </is>
      </c>
      <c r="D405" s="3" t="n">
        <v>2029</v>
      </c>
      <c r="E405" s="3" t="inlineStr">
        <is>
          <t>Meta Gallatin</t>
        </is>
      </c>
      <c r="F405" s="3" t="inlineStr">
        <is>
          <t>Meta</t>
        </is>
      </c>
      <c r="G405" s="3" t="inlineStr">
        <is>
          <t>United States</t>
        </is>
      </c>
      <c r="H405" s="25" t="n">
        <v>87</v>
      </c>
      <c r="I405" s="17" t="n">
        <v>1</v>
      </c>
      <c r="J405" s="17" t="n">
        <v>0.635</v>
      </c>
      <c r="K405" s="26" t="n">
        <v>0.365</v>
      </c>
      <c r="L405" s="3" t="inlineStr">
        <is>
          <t>2026-06-15</t>
        </is>
      </c>
      <c r="M405" s="27" t="n">
        <v>87</v>
      </c>
      <c r="N405" s="27" t="n">
        <v>87</v>
      </c>
      <c r="O405" s="3" t="inlineStr">
        <is>
          <t>confident</t>
        </is>
      </c>
      <c r="P405" s="3" t="inlineStr">
        <is>
          <t>B300</t>
        </is>
      </c>
      <c r="Q405" s="3" t="inlineStr">
        <is>
          <t>epoch_user_site_equal_split_seed</t>
        </is>
      </c>
      <c r="R405" s="3" t="inlineStr">
        <is>
          <t>SRC_EPOCH_AI_DATA_CENTERS; EPOCH_NORMALIZED_USER_SITES</t>
        </is>
      </c>
      <c r="S405" s="3" t="inlineStr">
        <is>
          <t>Capacity weight is used only to weight accelerator mix, not to overwrite company total power in 02_Inputs.</t>
        </is>
      </c>
    </row>
    <row r="406">
      <c r="A406" s="3" t="inlineStr">
        <is>
          <t>Bear|Meta|2030|Meta Gallatin</t>
        </is>
      </c>
      <c r="B406" s="3" t="inlineStr">
        <is>
          <t>Bear</t>
        </is>
      </c>
      <c r="C406" s="3" t="inlineStr">
        <is>
          <t>Meta</t>
        </is>
      </c>
      <c r="D406" s="3" t="n">
        <v>2030</v>
      </c>
      <c r="E406" s="3" t="inlineStr">
        <is>
          <t>Meta Gallatin</t>
        </is>
      </c>
      <c r="F406" s="3" t="inlineStr">
        <is>
          <t>Meta</t>
        </is>
      </c>
      <c r="G406" s="3" t="inlineStr">
        <is>
          <t>United States</t>
        </is>
      </c>
      <c r="H406" s="25" t="n">
        <v>87</v>
      </c>
      <c r="I406" s="17" t="n">
        <v>1</v>
      </c>
      <c r="J406" s="17" t="n">
        <v>0.68</v>
      </c>
      <c r="K406" s="26" t="n">
        <v>0.32</v>
      </c>
      <c r="L406" s="3" t="inlineStr">
        <is>
          <t>2026-06-15</t>
        </is>
      </c>
      <c r="M406" s="27" t="n">
        <v>87</v>
      </c>
      <c r="N406" s="27" t="n">
        <v>87</v>
      </c>
      <c r="O406" s="3" t="inlineStr">
        <is>
          <t>confident</t>
        </is>
      </c>
      <c r="P406" s="3" t="inlineStr">
        <is>
          <t>B300</t>
        </is>
      </c>
      <c r="Q406" s="3" t="inlineStr">
        <is>
          <t>epoch_user_site_equal_split_seed</t>
        </is>
      </c>
      <c r="R406" s="3" t="inlineStr">
        <is>
          <t>SRC_EPOCH_AI_DATA_CENTERS; EPOCH_NORMALIZED_USER_SITES</t>
        </is>
      </c>
      <c r="S406" s="3" t="inlineStr">
        <is>
          <t>Capacity weight is used only to weight accelerator mix, not to overwrite company total power in 02_Inputs.</t>
        </is>
      </c>
    </row>
    <row r="407">
      <c r="A407" s="3" t="inlineStr">
        <is>
          <t>Base|Meta|2026|Meta Gallatin</t>
        </is>
      </c>
      <c r="B407" s="3" t="inlineStr">
        <is>
          <t>Base</t>
        </is>
      </c>
      <c r="C407" s="3" t="inlineStr">
        <is>
          <t>Meta</t>
        </is>
      </c>
      <c r="D407" s="3" t="n">
        <v>2026</v>
      </c>
      <c r="E407" s="3" t="inlineStr">
        <is>
          <t>Meta Gallatin</t>
        </is>
      </c>
      <c r="F407" s="3" t="inlineStr">
        <is>
          <t>Meta</t>
        </is>
      </c>
      <c r="G407" s="3" t="inlineStr">
        <is>
          <t>United States</t>
        </is>
      </c>
      <c r="H407" s="25" t="n">
        <v>87</v>
      </c>
      <c r="I407" s="17" t="n">
        <v>1</v>
      </c>
      <c r="J407" s="17" t="n">
        <v>0.58</v>
      </c>
      <c r="K407" s="26" t="n">
        <v>0.42</v>
      </c>
      <c r="L407" s="3" t="inlineStr">
        <is>
          <t>2026-06-15</t>
        </is>
      </c>
      <c r="M407" s="27" t="n">
        <v>87</v>
      </c>
      <c r="N407" s="27" t="n">
        <v>87</v>
      </c>
      <c r="O407" s="3" t="inlineStr">
        <is>
          <t>confident</t>
        </is>
      </c>
      <c r="P407" s="3" t="inlineStr">
        <is>
          <t>B300</t>
        </is>
      </c>
      <c r="Q407" s="3" t="inlineStr">
        <is>
          <t>epoch_user_site_equal_split_seed</t>
        </is>
      </c>
      <c r="R407" s="3" t="inlineStr">
        <is>
          <t>SRC_EPOCH_AI_DATA_CENTERS; EPOCH_NORMALIZED_USER_SITES</t>
        </is>
      </c>
      <c r="S407" s="3" t="inlineStr">
        <is>
          <t>Capacity weight is used only to weight accelerator mix, not to overwrite company total power in 02_Inputs.</t>
        </is>
      </c>
    </row>
    <row r="408">
      <c r="A408" s="3" t="inlineStr">
        <is>
          <t>Base|Meta|2027|Meta Gallatin</t>
        </is>
      </c>
      <c r="B408" s="3" t="inlineStr">
        <is>
          <t>Base</t>
        </is>
      </c>
      <c r="C408" s="3" t="inlineStr">
        <is>
          <t>Meta</t>
        </is>
      </c>
      <c r="D408" s="3" t="n">
        <v>2027</v>
      </c>
      <c r="E408" s="3" t="inlineStr">
        <is>
          <t>Meta Gallatin</t>
        </is>
      </c>
      <c r="F408" s="3" t="inlineStr">
        <is>
          <t>Meta</t>
        </is>
      </c>
      <c r="G408" s="3" t="inlineStr">
        <is>
          <t>United States</t>
        </is>
      </c>
      <c r="H408" s="25" t="n">
        <v>87</v>
      </c>
      <c r="I408" s="17" t="n">
        <v>1</v>
      </c>
      <c r="J408" s="17" t="n">
        <v>0.63</v>
      </c>
      <c r="K408" s="26" t="n">
        <v>0.37</v>
      </c>
      <c r="L408" s="3" t="inlineStr">
        <is>
          <t>2026-06-15</t>
        </is>
      </c>
      <c r="M408" s="27" t="n">
        <v>87</v>
      </c>
      <c r="N408" s="27" t="n">
        <v>87</v>
      </c>
      <c r="O408" s="3" t="inlineStr">
        <is>
          <t>confident</t>
        </is>
      </c>
      <c r="P408" s="3" t="inlineStr">
        <is>
          <t>B300</t>
        </is>
      </c>
      <c r="Q408" s="3" t="inlineStr">
        <is>
          <t>epoch_user_site_equal_split_seed</t>
        </is>
      </c>
      <c r="R408" s="3" t="inlineStr">
        <is>
          <t>SRC_EPOCH_AI_DATA_CENTERS; EPOCH_NORMALIZED_USER_SITES</t>
        </is>
      </c>
      <c r="S408" s="3" t="inlineStr">
        <is>
          <t>Capacity weight is used only to weight accelerator mix, not to overwrite company total power in 02_Inputs.</t>
        </is>
      </c>
    </row>
    <row r="409">
      <c r="A409" s="3" t="inlineStr">
        <is>
          <t>Base|Meta|2028|Meta Gallatin</t>
        </is>
      </c>
      <c r="B409" s="3" t="inlineStr">
        <is>
          <t>Base</t>
        </is>
      </c>
      <c r="C409" s="3" t="inlineStr">
        <is>
          <t>Meta</t>
        </is>
      </c>
      <c r="D409" s="3" t="n">
        <v>2028</v>
      </c>
      <c r="E409" s="3" t="inlineStr">
        <is>
          <t>Meta Gallatin</t>
        </is>
      </c>
      <c r="F409" s="3" t="inlineStr">
        <is>
          <t>Meta</t>
        </is>
      </c>
      <c r="G409" s="3" t="inlineStr">
        <is>
          <t>United States</t>
        </is>
      </c>
      <c r="H409" s="25" t="n">
        <v>87</v>
      </c>
      <c r="I409" s="17" t="n">
        <v>1</v>
      </c>
      <c r="J409" s="17" t="n">
        <v>0.68</v>
      </c>
      <c r="K409" s="26" t="n">
        <v>0.32</v>
      </c>
      <c r="L409" s="3" t="inlineStr">
        <is>
          <t>2026-06-15</t>
        </is>
      </c>
      <c r="M409" s="27" t="n">
        <v>87</v>
      </c>
      <c r="N409" s="27" t="n">
        <v>87</v>
      </c>
      <c r="O409" s="3" t="inlineStr">
        <is>
          <t>confident</t>
        </is>
      </c>
      <c r="P409" s="3" t="inlineStr">
        <is>
          <t>B300</t>
        </is>
      </c>
      <c r="Q409" s="3" t="inlineStr">
        <is>
          <t>epoch_user_site_equal_split_seed</t>
        </is>
      </c>
      <c r="R409" s="3" t="inlineStr">
        <is>
          <t>SRC_EPOCH_AI_DATA_CENTERS; EPOCH_NORMALIZED_USER_SITES</t>
        </is>
      </c>
      <c r="S409" s="3" t="inlineStr">
        <is>
          <t>Capacity weight is used only to weight accelerator mix, not to overwrite company total power in 02_Inputs.</t>
        </is>
      </c>
    </row>
    <row r="410">
      <c r="A410" s="3" t="inlineStr">
        <is>
          <t>Base|Meta|2029|Meta Gallatin</t>
        </is>
      </c>
      <c r="B410" s="3" t="inlineStr">
        <is>
          <t>Base</t>
        </is>
      </c>
      <c r="C410" s="3" t="inlineStr">
        <is>
          <t>Meta</t>
        </is>
      </c>
      <c r="D410" s="3" t="n">
        <v>2029</v>
      </c>
      <c r="E410" s="3" t="inlineStr">
        <is>
          <t>Meta Gallatin</t>
        </is>
      </c>
      <c r="F410" s="3" t="inlineStr">
        <is>
          <t>Meta</t>
        </is>
      </c>
      <c r="G410" s="3" t="inlineStr">
        <is>
          <t>United States</t>
        </is>
      </c>
      <c r="H410" s="25" t="n">
        <v>87</v>
      </c>
      <c r="I410" s="17" t="n">
        <v>1</v>
      </c>
      <c r="J410" s="17" t="n">
        <v>0.73</v>
      </c>
      <c r="K410" s="26" t="n">
        <v>0.27</v>
      </c>
      <c r="L410" s="3" t="inlineStr">
        <is>
          <t>2026-06-15</t>
        </is>
      </c>
      <c r="M410" s="27" t="n">
        <v>87</v>
      </c>
      <c r="N410" s="27" t="n">
        <v>87</v>
      </c>
      <c r="O410" s="3" t="inlineStr">
        <is>
          <t>confident</t>
        </is>
      </c>
      <c r="P410" s="3" t="inlineStr">
        <is>
          <t>B300</t>
        </is>
      </c>
      <c r="Q410" s="3" t="inlineStr">
        <is>
          <t>epoch_user_site_equal_split_seed</t>
        </is>
      </c>
      <c r="R410" s="3" t="inlineStr">
        <is>
          <t>SRC_EPOCH_AI_DATA_CENTERS; EPOCH_NORMALIZED_USER_SITES</t>
        </is>
      </c>
      <c r="S410" s="3" t="inlineStr">
        <is>
          <t>Capacity weight is used only to weight accelerator mix, not to overwrite company total power in 02_Inputs.</t>
        </is>
      </c>
    </row>
    <row r="411">
      <c r="A411" s="3" t="inlineStr">
        <is>
          <t>Base|Meta|2030|Meta Gallatin</t>
        </is>
      </c>
      <c r="B411" s="3" t="inlineStr">
        <is>
          <t>Base</t>
        </is>
      </c>
      <c r="C411" s="3" t="inlineStr">
        <is>
          <t>Meta</t>
        </is>
      </c>
      <c r="D411" s="3" t="n">
        <v>2030</v>
      </c>
      <c r="E411" s="3" t="inlineStr">
        <is>
          <t>Meta Gallatin</t>
        </is>
      </c>
      <c r="F411" s="3" t="inlineStr">
        <is>
          <t>Meta</t>
        </is>
      </c>
      <c r="G411" s="3" t="inlineStr">
        <is>
          <t>United States</t>
        </is>
      </c>
      <c r="H411" s="25" t="n">
        <v>87</v>
      </c>
      <c r="I411" s="17" t="n">
        <v>1</v>
      </c>
      <c r="J411" s="17" t="n">
        <v>0.78</v>
      </c>
      <c r="K411" s="26" t="n">
        <v>0.22</v>
      </c>
      <c r="L411" s="3" t="inlineStr">
        <is>
          <t>2026-06-15</t>
        </is>
      </c>
      <c r="M411" s="27" t="n">
        <v>87</v>
      </c>
      <c r="N411" s="27" t="n">
        <v>87</v>
      </c>
      <c r="O411" s="3" t="inlineStr">
        <is>
          <t>confident</t>
        </is>
      </c>
      <c r="P411" s="3" t="inlineStr">
        <is>
          <t>B300</t>
        </is>
      </c>
      <c r="Q411" s="3" t="inlineStr">
        <is>
          <t>epoch_user_site_equal_split_seed</t>
        </is>
      </c>
      <c r="R411" s="3" t="inlineStr">
        <is>
          <t>SRC_EPOCH_AI_DATA_CENTERS; EPOCH_NORMALIZED_USER_SITES</t>
        </is>
      </c>
      <c r="S411" s="3" t="inlineStr">
        <is>
          <t>Capacity weight is used only to weight accelerator mix, not to overwrite company total power in 02_Inputs.</t>
        </is>
      </c>
    </row>
    <row r="412">
      <c r="A412" s="3" t="inlineStr">
        <is>
          <t>Bull|Meta|2026|Meta Gallatin</t>
        </is>
      </c>
      <c r="B412" s="3" t="inlineStr">
        <is>
          <t>Bull</t>
        </is>
      </c>
      <c r="C412" s="3" t="inlineStr">
        <is>
          <t>Meta</t>
        </is>
      </c>
      <c r="D412" s="3" t="n">
        <v>2026</v>
      </c>
      <c r="E412" s="3" t="inlineStr">
        <is>
          <t>Meta Gallatin</t>
        </is>
      </c>
      <c r="F412" s="3" t="inlineStr">
        <is>
          <t>Meta</t>
        </is>
      </c>
      <c r="G412" s="3" t="inlineStr">
        <is>
          <t>United States</t>
        </is>
      </c>
      <c r="H412" s="25" t="n">
        <v>87</v>
      </c>
      <c r="I412" s="17" t="n">
        <v>1</v>
      </c>
      <c r="J412" s="17" t="n">
        <v>0.63</v>
      </c>
      <c r="K412" s="26" t="n">
        <v>0.37</v>
      </c>
      <c r="L412" s="3" t="inlineStr">
        <is>
          <t>2026-06-15</t>
        </is>
      </c>
      <c r="M412" s="27" t="n">
        <v>87</v>
      </c>
      <c r="N412" s="27" t="n">
        <v>87</v>
      </c>
      <c r="O412" s="3" t="inlineStr">
        <is>
          <t>confident</t>
        </is>
      </c>
      <c r="P412" s="3" t="inlineStr">
        <is>
          <t>B300</t>
        </is>
      </c>
      <c r="Q412" s="3" t="inlineStr">
        <is>
          <t>epoch_user_site_equal_split_seed</t>
        </is>
      </c>
      <c r="R412" s="3" t="inlineStr">
        <is>
          <t>SRC_EPOCH_AI_DATA_CENTERS; EPOCH_NORMALIZED_USER_SITES</t>
        </is>
      </c>
      <c r="S412" s="3" t="inlineStr">
        <is>
          <t>Capacity weight is used only to weight accelerator mix, not to overwrite company total power in 02_Inputs.</t>
        </is>
      </c>
    </row>
    <row r="413">
      <c r="A413" s="3" t="inlineStr">
        <is>
          <t>Bull|Meta|2027|Meta Gallatin</t>
        </is>
      </c>
      <c r="B413" s="3" t="inlineStr">
        <is>
          <t>Bull</t>
        </is>
      </c>
      <c r="C413" s="3" t="inlineStr">
        <is>
          <t>Meta</t>
        </is>
      </c>
      <c r="D413" s="3" t="n">
        <v>2027</v>
      </c>
      <c r="E413" s="3" t="inlineStr">
        <is>
          <t>Meta Gallatin</t>
        </is>
      </c>
      <c r="F413" s="3" t="inlineStr">
        <is>
          <t>Meta</t>
        </is>
      </c>
      <c r="G413" s="3" t="inlineStr">
        <is>
          <t>United States</t>
        </is>
      </c>
      <c r="H413" s="25" t="n">
        <v>87</v>
      </c>
      <c r="I413" s="17" t="n">
        <v>1</v>
      </c>
      <c r="J413" s="17" t="n">
        <v>0.6879999999999999</v>
      </c>
      <c r="K413" s="26" t="n">
        <v>0.312</v>
      </c>
      <c r="L413" s="3" t="inlineStr">
        <is>
          <t>2026-06-15</t>
        </is>
      </c>
      <c r="M413" s="27" t="n">
        <v>87</v>
      </c>
      <c r="N413" s="27" t="n">
        <v>87</v>
      </c>
      <c r="O413" s="3" t="inlineStr">
        <is>
          <t>confident</t>
        </is>
      </c>
      <c r="P413" s="3" t="inlineStr">
        <is>
          <t>B300</t>
        </is>
      </c>
      <c r="Q413" s="3" t="inlineStr">
        <is>
          <t>epoch_user_site_equal_split_seed</t>
        </is>
      </c>
      <c r="R413" s="3" t="inlineStr">
        <is>
          <t>SRC_EPOCH_AI_DATA_CENTERS; EPOCH_NORMALIZED_USER_SITES</t>
        </is>
      </c>
      <c r="S413" s="3" t="inlineStr">
        <is>
          <t>Capacity weight is used only to weight accelerator mix, not to overwrite company total power in 02_Inputs.</t>
        </is>
      </c>
    </row>
    <row r="414">
      <c r="A414" s="3" t="inlineStr">
        <is>
          <t>Bull|Meta|2028|Meta Gallatin</t>
        </is>
      </c>
      <c r="B414" s="3" t="inlineStr">
        <is>
          <t>Bull</t>
        </is>
      </c>
      <c r="C414" s="3" t="inlineStr">
        <is>
          <t>Meta</t>
        </is>
      </c>
      <c r="D414" s="3" t="n">
        <v>2028</v>
      </c>
      <c r="E414" s="3" t="inlineStr">
        <is>
          <t>Meta Gallatin</t>
        </is>
      </c>
      <c r="F414" s="3" t="inlineStr">
        <is>
          <t>Meta</t>
        </is>
      </c>
      <c r="G414" s="3" t="inlineStr">
        <is>
          <t>United States</t>
        </is>
      </c>
      <c r="H414" s="25" t="n">
        <v>87</v>
      </c>
      <c r="I414" s="17" t="n">
        <v>1</v>
      </c>
      <c r="J414" s="17" t="n">
        <v>0.745</v>
      </c>
      <c r="K414" s="26" t="n">
        <v>0.255</v>
      </c>
      <c r="L414" s="3" t="inlineStr">
        <is>
          <t>2026-06-15</t>
        </is>
      </c>
      <c r="M414" s="27" t="n">
        <v>87</v>
      </c>
      <c r="N414" s="27" t="n">
        <v>87</v>
      </c>
      <c r="O414" s="3" t="inlineStr">
        <is>
          <t>confident</t>
        </is>
      </c>
      <c r="P414" s="3" t="inlineStr">
        <is>
          <t>B300</t>
        </is>
      </c>
      <c r="Q414" s="3" t="inlineStr">
        <is>
          <t>epoch_user_site_equal_split_seed</t>
        </is>
      </c>
      <c r="R414" s="3" t="inlineStr">
        <is>
          <t>SRC_EPOCH_AI_DATA_CENTERS; EPOCH_NORMALIZED_USER_SITES</t>
        </is>
      </c>
      <c r="S414" s="3" t="inlineStr">
        <is>
          <t>Capacity weight is used only to weight accelerator mix, not to overwrite company total power in 02_Inputs.</t>
        </is>
      </c>
    </row>
    <row r="415">
      <c r="A415" s="3" t="inlineStr">
        <is>
          <t>Bull|Meta|2029|Meta Gallatin</t>
        </is>
      </c>
      <c r="B415" s="3" t="inlineStr">
        <is>
          <t>Bull</t>
        </is>
      </c>
      <c r="C415" s="3" t="inlineStr">
        <is>
          <t>Meta</t>
        </is>
      </c>
      <c r="D415" s="3" t="n">
        <v>2029</v>
      </c>
      <c r="E415" s="3" t="inlineStr">
        <is>
          <t>Meta Gallatin</t>
        </is>
      </c>
      <c r="F415" s="3" t="inlineStr">
        <is>
          <t>Meta</t>
        </is>
      </c>
      <c r="G415" s="3" t="inlineStr">
        <is>
          <t>United States</t>
        </is>
      </c>
      <c r="H415" s="25" t="n">
        <v>87</v>
      </c>
      <c r="I415" s="17" t="n">
        <v>1</v>
      </c>
      <c r="J415" s="17" t="n">
        <v>0.802</v>
      </c>
      <c r="K415" s="26" t="n">
        <v>0.198</v>
      </c>
      <c r="L415" s="3" t="inlineStr">
        <is>
          <t>2026-06-15</t>
        </is>
      </c>
      <c r="M415" s="27" t="n">
        <v>87</v>
      </c>
      <c r="N415" s="27" t="n">
        <v>87</v>
      </c>
      <c r="O415" s="3" t="inlineStr">
        <is>
          <t>confident</t>
        </is>
      </c>
      <c r="P415" s="3" t="inlineStr">
        <is>
          <t>B300</t>
        </is>
      </c>
      <c r="Q415" s="3" t="inlineStr">
        <is>
          <t>epoch_user_site_equal_split_seed</t>
        </is>
      </c>
      <c r="R415" s="3" t="inlineStr">
        <is>
          <t>SRC_EPOCH_AI_DATA_CENTERS; EPOCH_NORMALIZED_USER_SITES</t>
        </is>
      </c>
      <c r="S415" s="3" t="inlineStr">
        <is>
          <t>Capacity weight is used only to weight accelerator mix, not to overwrite company total power in 02_Inputs.</t>
        </is>
      </c>
    </row>
    <row r="416">
      <c r="A416" s="3" t="inlineStr">
        <is>
          <t>Bull|Meta|2030|Meta Gallatin</t>
        </is>
      </c>
      <c r="B416" s="3" t="inlineStr">
        <is>
          <t>Bull</t>
        </is>
      </c>
      <c r="C416" s="3" t="inlineStr">
        <is>
          <t>Meta</t>
        </is>
      </c>
      <c r="D416" s="3" t="n">
        <v>2030</v>
      </c>
      <c r="E416" s="3" t="inlineStr">
        <is>
          <t>Meta Gallatin</t>
        </is>
      </c>
      <c r="F416" s="3" t="inlineStr">
        <is>
          <t>Meta</t>
        </is>
      </c>
      <c r="G416" s="3" t="inlineStr">
        <is>
          <t>United States</t>
        </is>
      </c>
      <c r="H416" s="25" t="n">
        <v>87</v>
      </c>
      <c r="I416" s="17" t="n">
        <v>1</v>
      </c>
      <c r="J416" s="17" t="n">
        <v>0.86</v>
      </c>
      <c r="K416" s="26" t="n">
        <v>0.14</v>
      </c>
      <c r="L416" s="3" t="inlineStr">
        <is>
          <t>2026-06-15</t>
        </is>
      </c>
      <c r="M416" s="27" t="n">
        <v>87</v>
      </c>
      <c r="N416" s="27" t="n">
        <v>87</v>
      </c>
      <c r="O416" s="3" t="inlineStr">
        <is>
          <t>confident</t>
        </is>
      </c>
      <c r="P416" s="3" t="inlineStr">
        <is>
          <t>B300</t>
        </is>
      </c>
      <c r="Q416" s="3" t="inlineStr">
        <is>
          <t>epoch_user_site_equal_split_seed</t>
        </is>
      </c>
      <c r="R416" s="3" t="inlineStr">
        <is>
          <t>SRC_EPOCH_AI_DATA_CENTERS; EPOCH_NORMALIZED_USER_SITES</t>
        </is>
      </c>
      <c r="S416" s="3" t="inlineStr">
        <is>
          <t>Capacity weight is used only to weight accelerator mix, not to overwrite company total power in 02_Inputs.</t>
        </is>
      </c>
    </row>
    <row r="417">
      <c r="A417" s="3" t="inlineStr">
        <is>
          <t>Grid-Constrained / Efficiency-Upside|Meta|2026|Meta Gallatin</t>
        </is>
      </c>
      <c r="B417" s="3" t="inlineStr">
        <is>
          <t>Grid-Constrained / Efficiency-Upside</t>
        </is>
      </c>
      <c r="C417" s="3" t="inlineStr">
        <is>
          <t>Meta</t>
        </is>
      </c>
      <c r="D417" s="3" t="n">
        <v>2026</v>
      </c>
      <c r="E417" s="3" t="inlineStr">
        <is>
          <t>Meta Gallatin</t>
        </is>
      </c>
      <c r="F417" s="3" t="inlineStr">
        <is>
          <t>Meta</t>
        </is>
      </c>
      <c r="G417" s="3" t="inlineStr">
        <is>
          <t>United States</t>
        </is>
      </c>
      <c r="H417" s="25" t="n">
        <v>87</v>
      </c>
      <c r="I417" s="17" t="n">
        <v>1</v>
      </c>
      <c r="J417" s="17" t="n">
        <v>0.6</v>
      </c>
      <c r="K417" s="26" t="n">
        <v>0.4</v>
      </c>
      <c r="L417" s="3" t="inlineStr">
        <is>
          <t>2026-06-15</t>
        </is>
      </c>
      <c r="M417" s="27" t="n">
        <v>87</v>
      </c>
      <c r="N417" s="27" t="n">
        <v>87</v>
      </c>
      <c r="O417" s="3" t="inlineStr">
        <is>
          <t>confident</t>
        </is>
      </c>
      <c r="P417" s="3" t="inlineStr">
        <is>
          <t>B300</t>
        </is>
      </c>
      <c r="Q417" s="3" t="inlineStr">
        <is>
          <t>epoch_user_site_equal_split_seed</t>
        </is>
      </c>
      <c r="R417" s="3" t="inlineStr">
        <is>
          <t>SRC_EPOCH_AI_DATA_CENTERS; EPOCH_NORMALIZED_USER_SITES</t>
        </is>
      </c>
      <c r="S417" s="3" t="inlineStr">
        <is>
          <t>Capacity weight is used only to weight accelerator mix, not to overwrite company total power in 02_Inputs.</t>
        </is>
      </c>
    </row>
    <row r="418">
      <c r="A418" s="3" t="inlineStr">
        <is>
          <t>Grid-Constrained / Efficiency-Upside|Meta|2027|Meta Gallatin</t>
        </is>
      </c>
      <c r="B418" s="3" t="inlineStr">
        <is>
          <t>Grid-Constrained / Efficiency-Upside</t>
        </is>
      </c>
      <c r="C418" s="3" t="inlineStr">
        <is>
          <t>Meta</t>
        </is>
      </c>
      <c r="D418" s="3" t="n">
        <v>2027</v>
      </c>
      <c r="E418" s="3" t="inlineStr">
        <is>
          <t>Meta Gallatin</t>
        </is>
      </c>
      <c r="F418" s="3" t="inlineStr">
        <is>
          <t>Meta</t>
        </is>
      </c>
      <c r="G418" s="3" t="inlineStr">
        <is>
          <t>United States</t>
        </is>
      </c>
      <c r="H418" s="25" t="n">
        <v>87</v>
      </c>
      <c r="I418" s="17" t="n">
        <v>1</v>
      </c>
      <c r="J418" s="17" t="n">
        <v>0.655</v>
      </c>
      <c r="K418" s="26" t="n">
        <v>0.345</v>
      </c>
      <c r="L418" s="3" t="inlineStr">
        <is>
          <t>2026-06-15</t>
        </is>
      </c>
      <c r="M418" s="27" t="n">
        <v>87</v>
      </c>
      <c r="N418" s="27" t="n">
        <v>87</v>
      </c>
      <c r="O418" s="3" t="inlineStr">
        <is>
          <t>confident</t>
        </is>
      </c>
      <c r="P418" s="3" t="inlineStr">
        <is>
          <t>B300</t>
        </is>
      </c>
      <c r="Q418" s="3" t="inlineStr">
        <is>
          <t>epoch_user_site_equal_split_seed</t>
        </is>
      </c>
      <c r="R418" s="3" t="inlineStr">
        <is>
          <t>SRC_EPOCH_AI_DATA_CENTERS; EPOCH_NORMALIZED_USER_SITES</t>
        </is>
      </c>
      <c r="S418" s="3" t="inlineStr">
        <is>
          <t>Capacity weight is used only to weight accelerator mix, not to overwrite company total power in 02_Inputs.</t>
        </is>
      </c>
    </row>
    <row r="419">
      <c r="A419" s="3" t="inlineStr">
        <is>
          <t>Grid-Constrained / Efficiency-Upside|Meta|2028|Meta Gallatin</t>
        </is>
      </c>
      <c r="B419" s="3" t="inlineStr">
        <is>
          <t>Grid-Constrained / Efficiency-Upside</t>
        </is>
      </c>
      <c r="C419" s="3" t="inlineStr">
        <is>
          <t>Meta</t>
        </is>
      </c>
      <c r="D419" s="3" t="n">
        <v>2028</v>
      </c>
      <c r="E419" s="3" t="inlineStr">
        <is>
          <t>Meta Gallatin</t>
        </is>
      </c>
      <c r="F419" s="3" t="inlineStr">
        <is>
          <t>Meta</t>
        </is>
      </c>
      <c r="G419" s="3" t="inlineStr">
        <is>
          <t>United States</t>
        </is>
      </c>
      <c r="H419" s="25" t="n">
        <v>87</v>
      </c>
      <c r="I419" s="17" t="n">
        <v>1</v>
      </c>
      <c r="J419" s="17" t="n">
        <v>0.71</v>
      </c>
      <c r="K419" s="26" t="n">
        <v>0.29</v>
      </c>
      <c r="L419" s="3" t="inlineStr">
        <is>
          <t>2026-06-15</t>
        </is>
      </c>
      <c r="M419" s="27" t="n">
        <v>87</v>
      </c>
      <c r="N419" s="27" t="n">
        <v>87</v>
      </c>
      <c r="O419" s="3" t="inlineStr">
        <is>
          <t>confident</t>
        </is>
      </c>
      <c r="P419" s="3" t="inlineStr">
        <is>
          <t>B300</t>
        </is>
      </c>
      <c r="Q419" s="3" t="inlineStr">
        <is>
          <t>epoch_user_site_equal_split_seed</t>
        </is>
      </c>
      <c r="R419" s="3" t="inlineStr">
        <is>
          <t>SRC_EPOCH_AI_DATA_CENTERS; EPOCH_NORMALIZED_USER_SITES</t>
        </is>
      </c>
      <c r="S419" s="3" t="inlineStr">
        <is>
          <t>Capacity weight is used only to weight accelerator mix, not to overwrite company total power in 02_Inputs.</t>
        </is>
      </c>
    </row>
    <row r="420">
      <c r="A420" s="3" t="inlineStr">
        <is>
          <t>Grid-Constrained / Efficiency-Upside|Meta|2029|Meta Gallatin</t>
        </is>
      </c>
      <c r="B420" s="3" t="inlineStr">
        <is>
          <t>Grid-Constrained / Efficiency-Upside</t>
        </is>
      </c>
      <c r="C420" s="3" t="inlineStr">
        <is>
          <t>Meta</t>
        </is>
      </c>
      <c r="D420" s="3" t="n">
        <v>2029</v>
      </c>
      <c r="E420" s="3" t="inlineStr">
        <is>
          <t>Meta Gallatin</t>
        </is>
      </c>
      <c r="F420" s="3" t="inlineStr">
        <is>
          <t>Meta</t>
        </is>
      </c>
      <c r="G420" s="3" t="inlineStr">
        <is>
          <t>United States</t>
        </is>
      </c>
      <c r="H420" s="25" t="n">
        <v>87</v>
      </c>
      <c r="I420" s="17" t="n">
        <v>1</v>
      </c>
      <c r="J420" s="17" t="n">
        <v>0.765</v>
      </c>
      <c r="K420" s="26" t="n">
        <v>0.235</v>
      </c>
      <c r="L420" s="3" t="inlineStr">
        <is>
          <t>2026-06-15</t>
        </is>
      </c>
      <c r="M420" s="27" t="n">
        <v>87</v>
      </c>
      <c r="N420" s="27" t="n">
        <v>87</v>
      </c>
      <c r="O420" s="3" t="inlineStr">
        <is>
          <t>confident</t>
        </is>
      </c>
      <c r="P420" s="3" t="inlineStr">
        <is>
          <t>B300</t>
        </is>
      </c>
      <c r="Q420" s="3" t="inlineStr">
        <is>
          <t>epoch_user_site_equal_split_seed</t>
        </is>
      </c>
      <c r="R420" s="3" t="inlineStr">
        <is>
          <t>SRC_EPOCH_AI_DATA_CENTERS; EPOCH_NORMALIZED_USER_SITES</t>
        </is>
      </c>
      <c r="S420" s="3" t="inlineStr">
        <is>
          <t>Capacity weight is used only to weight accelerator mix, not to overwrite company total power in 02_Inputs.</t>
        </is>
      </c>
    </row>
    <row r="421">
      <c r="A421" s="3" t="inlineStr">
        <is>
          <t>Grid-Constrained / Efficiency-Upside|Meta|2030|Meta Gallatin</t>
        </is>
      </c>
      <c r="B421" s="3" t="inlineStr">
        <is>
          <t>Grid-Constrained / Efficiency-Upside</t>
        </is>
      </c>
      <c r="C421" s="3" t="inlineStr">
        <is>
          <t>Meta</t>
        </is>
      </c>
      <c r="D421" s="3" t="n">
        <v>2030</v>
      </c>
      <c r="E421" s="3" t="inlineStr">
        <is>
          <t>Meta Gallatin</t>
        </is>
      </c>
      <c r="F421" s="3" t="inlineStr">
        <is>
          <t>Meta</t>
        </is>
      </c>
      <c r="G421" s="3" t="inlineStr">
        <is>
          <t>United States</t>
        </is>
      </c>
      <c r="H421" s="25" t="n">
        <v>87</v>
      </c>
      <c r="I421" s="17" t="n">
        <v>1</v>
      </c>
      <c r="J421" s="17" t="n">
        <v>0.82</v>
      </c>
      <c r="K421" s="26" t="n">
        <v>0.18</v>
      </c>
      <c r="L421" s="3" t="inlineStr">
        <is>
          <t>2026-06-15</t>
        </is>
      </c>
      <c r="M421" s="27" t="n">
        <v>87</v>
      </c>
      <c r="N421" s="27" t="n">
        <v>87</v>
      </c>
      <c r="O421" s="3" t="inlineStr">
        <is>
          <t>confident</t>
        </is>
      </c>
      <c r="P421" s="3" t="inlineStr">
        <is>
          <t>B300</t>
        </is>
      </c>
      <c r="Q421" s="3" t="inlineStr">
        <is>
          <t>epoch_user_site_equal_split_seed</t>
        </is>
      </c>
      <c r="R421" s="3" t="inlineStr">
        <is>
          <t>SRC_EPOCH_AI_DATA_CENTERS; EPOCH_NORMALIZED_USER_SITES</t>
        </is>
      </c>
      <c r="S421" s="3" t="inlineStr">
        <is>
          <t>Capacity weight is used only to weight accelerator mix, not to overwrite company total power in 02_Inputs.</t>
        </is>
      </c>
    </row>
    <row r="422">
      <c r="A422" s="3" t="inlineStr">
        <is>
          <t>Bear|Meta|2028|Meta Hyperion</t>
        </is>
      </c>
      <c r="B422" s="3" t="inlineStr">
        <is>
          <t>Bear</t>
        </is>
      </c>
      <c r="C422" s="3" t="inlineStr">
        <is>
          <t>Meta</t>
        </is>
      </c>
      <c r="D422" s="3" t="n">
        <v>2028</v>
      </c>
      <c r="E422" s="3" t="inlineStr">
        <is>
          <t>Meta Hyperion</t>
        </is>
      </c>
      <c r="F422" s="3" t="inlineStr">
        <is>
          <t>Meta</t>
        </is>
      </c>
      <c r="G422" s="3" t="inlineStr">
        <is>
          <t>United States</t>
        </is>
      </c>
      <c r="H422" s="25" t="n">
        <v>1676</v>
      </c>
      <c r="I422" s="17" t="n">
        <v>1</v>
      </c>
      <c r="J422" s="17" t="n">
        <v>0.59</v>
      </c>
      <c r="K422" s="26" t="n">
        <v>0.41</v>
      </c>
      <c r="L422" s="3" t="inlineStr">
        <is>
          <t>2028-01-01</t>
        </is>
      </c>
      <c r="M422" s="27" t="n">
        <v>0</v>
      </c>
      <c r="N422" s="27" t="n">
        <v>1676</v>
      </c>
      <c r="O422" s="3" t="inlineStr">
        <is>
          <t>confident</t>
        </is>
      </c>
      <c r="P422" s="3" t="inlineStr">
        <is>
          <t>R200</t>
        </is>
      </c>
      <c r="Q422" s="3" t="inlineStr">
        <is>
          <t>epoch_user_site_equal_split_seed</t>
        </is>
      </c>
      <c r="R422" s="3" t="inlineStr">
        <is>
          <t>SRC_EPOCH_AI_DATA_CENTERS; EPOCH_NORMALIZED_USER_SITES</t>
        </is>
      </c>
      <c r="S422" s="3" t="inlineStr">
        <is>
          <t>Capacity weight is used only to weight accelerator mix, not to overwrite company total power in 02_Inputs.</t>
        </is>
      </c>
    </row>
    <row r="423">
      <c r="A423" s="3" t="inlineStr">
        <is>
          <t>Bear|Meta|2029|Meta Hyperion</t>
        </is>
      </c>
      <c r="B423" s="3" t="inlineStr">
        <is>
          <t>Bear</t>
        </is>
      </c>
      <c r="C423" s="3" t="inlineStr">
        <is>
          <t>Meta</t>
        </is>
      </c>
      <c r="D423" s="3" t="n">
        <v>2029</v>
      </c>
      <c r="E423" s="3" t="inlineStr">
        <is>
          <t>Meta Hyperion</t>
        </is>
      </c>
      <c r="F423" s="3" t="inlineStr">
        <is>
          <t>Meta</t>
        </is>
      </c>
      <c r="G423" s="3" t="inlineStr">
        <is>
          <t>United States</t>
        </is>
      </c>
      <c r="H423" s="25" t="n">
        <v>1676</v>
      </c>
      <c r="I423" s="17" t="n">
        <v>1</v>
      </c>
      <c r="J423" s="17" t="n">
        <v>0.635</v>
      </c>
      <c r="K423" s="26" t="n">
        <v>0.365</v>
      </c>
      <c r="L423" s="3" t="inlineStr">
        <is>
          <t>2028-01-01</t>
        </is>
      </c>
      <c r="M423" s="27" t="n">
        <v>0</v>
      </c>
      <c r="N423" s="27" t="n">
        <v>1676</v>
      </c>
      <c r="O423" s="3" t="inlineStr">
        <is>
          <t>confident</t>
        </is>
      </c>
      <c r="P423" s="3" t="inlineStr">
        <is>
          <t>R200</t>
        </is>
      </c>
      <c r="Q423" s="3" t="inlineStr">
        <is>
          <t>epoch_user_site_equal_split_seed</t>
        </is>
      </c>
      <c r="R423" s="3" t="inlineStr">
        <is>
          <t>SRC_EPOCH_AI_DATA_CENTERS; EPOCH_NORMALIZED_USER_SITES</t>
        </is>
      </c>
      <c r="S423" s="3" t="inlineStr">
        <is>
          <t>Capacity weight is used only to weight accelerator mix, not to overwrite company total power in 02_Inputs.</t>
        </is>
      </c>
    </row>
    <row r="424">
      <c r="A424" s="3" t="inlineStr">
        <is>
          <t>Bear|Meta|2030|Meta Hyperion</t>
        </is>
      </c>
      <c r="B424" s="3" t="inlineStr">
        <is>
          <t>Bear</t>
        </is>
      </c>
      <c r="C424" s="3" t="inlineStr">
        <is>
          <t>Meta</t>
        </is>
      </c>
      <c r="D424" s="3" t="n">
        <v>2030</v>
      </c>
      <c r="E424" s="3" t="inlineStr">
        <is>
          <t>Meta Hyperion</t>
        </is>
      </c>
      <c r="F424" s="3" t="inlineStr">
        <is>
          <t>Meta</t>
        </is>
      </c>
      <c r="G424" s="3" t="inlineStr">
        <is>
          <t>United States</t>
        </is>
      </c>
      <c r="H424" s="25" t="n">
        <v>1676</v>
      </c>
      <c r="I424" s="17" t="n">
        <v>1</v>
      </c>
      <c r="J424" s="17" t="n">
        <v>0.68</v>
      </c>
      <c r="K424" s="26" t="n">
        <v>0.32</v>
      </c>
      <c r="L424" s="3" t="inlineStr">
        <is>
          <t>2028-01-01</t>
        </is>
      </c>
      <c r="M424" s="27" t="n">
        <v>0</v>
      </c>
      <c r="N424" s="27" t="n">
        <v>1676</v>
      </c>
      <c r="O424" s="3" t="inlineStr">
        <is>
          <t>confident</t>
        </is>
      </c>
      <c r="P424" s="3" t="inlineStr">
        <is>
          <t>R200</t>
        </is>
      </c>
      <c r="Q424" s="3" t="inlineStr">
        <is>
          <t>epoch_user_site_equal_split_seed</t>
        </is>
      </c>
      <c r="R424" s="3" t="inlineStr">
        <is>
          <t>SRC_EPOCH_AI_DATA_CENTERS; EPOCH_NORMALIZED_USER_SITES</t>
        </is>
      </c>
      <c r="S424" s="3" t="inlineStr">
        <is>
          <t>Capacity weight is used only to weight accelerator mix, not to overwrite company total power in 02_Inputs.</t>
        </is>
      </c>
    </row>
    <row r="425">
      <c r="A425" s="3" t="inlineStr">
        <is>
          <t>Base|Meta|2028|Meta Hyperion</t>
        </is>
      </c>
      <c r="B425" s="3" t="inlineStr">
        <is>
          <t>Base</t>
        </is>
      </c>
      <c r="C425" s="3" t="inlineStr">
        <is>
          <t>Meta</t>
        </is>
      </c>
      <c r="D425" s="3" t="n">
        <v>2028</v>
      </c>
      <c r="E425" s="3" t="inlineStr">
        <is>
          <t>Meta Hyperion</t>
        </is>
      </c>
      <c r="F425" s="3" t="inlineStr">
        <is>
          <t>Meta</t>
        </is>
      </c>
      <c r="G425" s="3" t="inlineStr">
        <is>
          <t>United States</t>
        </is>
      </c>
      <c r="H425" s="25" t="n">
        <v>1676</v>
      </c>
      <c r="I425" s="17" t="n">
        <v>1</v>
      </c>
      <c r="J425" s="17" t="n">
        <v>0.68</v>
      </c>
      <c r="K425" s="26" t="n">
        <v>0.32</v>
      </c>
      <c r="L425" s="3" t="inlineStr">
        <is>
          <t>2028-01-01</t>
        </is>
      </c>
      <c r="M425" s="27" t="n">
        <v>0</v>
      </c>
      <c r="N425" s="27" t="n">
        <v>1676</v>
      </c>
      <c r="O425" s="3" t="inlineStr">
        <is>
          <t>confident</t>
        </is>
      </c>
      <c r="P425" s="3" t="inlineStr">
        <is>
          <t>R200</t>
        </is>
      </c>
      <c r="Q425" s="3" t="inlineStr">
        <is>
          <t>epoch_user_site_equal_split_seed</t>
        </is>
      </c>
      <c r="R425" s="3" t="inlineStr">
        <is>
          <t>SRC_EPOCH_AI_DATA_CENTERS; EPOCH_NORMALIZED_USER_SITES</t>
        </is>
      </c>
      <c r="S425" s="3" t="inlineStr">
        <is>
          <t>Capacity weight is used only to weight accelerator mix, not to overwrite company total power in 02_Inputs.</t>
        </is>
      </c>
    </row>
    <row r="426">
      <c r="A426" s="3" t="inlineStr">
        <is>
          <t>Base|Meta|2029|Meta Hyperion</t>
        </is>
      </c>
      <c r="B426" s="3" t="inlineStr">
        <is>
          <t>Base</t>
        </is>
      </c>
      <c r="C426" s="3" t="inlineStr">
        <is>
          <t>Meta</t>
        </is>
      </c>
      <c r="D426" s="3" t="n">
        <v>2029</v>
      </c>
      <c r="E426" s="3" t="inlineStr">
        <is>
          <t>Meta Hyperion</t>
        </is>
      </c>
      <c r="F426" s="3" t="inlineStr">
        <is>
          <t>Meta</t>
        </is>
      </c>
      <c r="G426" s="3" t="inlineStr">
        <is>
          <t>United States</t>
        </is>
      </c>
      <c r="H426" s="25" t="n">
        <v>1676</v>
      </c>
      <c r="I426" s="17" t="n">
        <v>1</v>
      </c>
      <c r="J426" s="17" t="n">
        <v>0.73</v>
      </c>
      <c r="K426" s="26" t="n">
        <v>0.27</v>
      </c>
      <c r="L426" s="3" t="inlineStr">
        <is>
          <t>2028-01-01</t>
        </is>
      </c>
      <c r="M426" s="27" t="n">
        <v>0</v>
      </c>
      <c r="N426" s="27" t="n">
        <v>1676</v>
      </c>
      <c r="O426" s="3" t="inlineStr">
        <is>
          <t>confident</t>
        </is>
      </c>
      <c r="P426" s="3" t="inlineStr">
        <is>
          <t>R200</t>
        </is>
      </c>
      <c r="Q426" s="3" t="inlineStr">
        <is>
          <t>epoch_user_site_equal_split_seed</t>
        </is>
      </c>
      <c r="R426" s="3" t="inlineStr">
        <is>
          <t>SRC_EPOCH_AI_DATA_CENTERS; EPOCH_NORMALIZED_USER_SITES</t>
        </is>
      </c>
      <c r="S426" s="3" t="inlineStr">
        <is>
          <t>Capacity weight is used only to weight accelerator mix, not to overwrite company total power in 02_Inputs.</t>
        </is>
      </c>
    </row>
    <row r="427">
      <c r="A427" s="3" t="inlineStr">
        <is>
          <t>Base|Meta|2030|Meta Hyperion</t>
        </is>
      </c>
      <c r="B427" s="3" t="inlineStr">
        <is>
          <t>Base</t>
        </is>
      </c>
      <c r="C427" s="3" t="inlineStr">
        <is>
          <t>Meta</t>
        </is>
      </c>
      <c r="D427" s="3" t="n">
        <v>2030</v>
      </c>
      <c r="E427" s="3" t="inlineStr">
        <is>
          <t>Meta Hyperion</t>
        </is>
      </c>
      <c r="F427" s="3" t="inlineStr">
        <is>
          <t>Meta</t>
        </is>
      </c>
      <c r="G427" s="3" t="inlineStr">
        <is>
          <t>United States</t>
        </is>
      </c>
      <c r="H427" s="25" t="n">
        <v>1676</v>
      </c>
      <c r="I427" s="17" t="n">
        <v>1</v>
      </c>
      <c r="J427" s="17" t="n">
        <v>0.78</v>
      </c>
      <c r="K427" s="26" t="n">
        <v>0.22</v>
      </c>
      <c r="L427" s="3" t="inlineStr">
        <is>
          <t>2028-01-01</t>
        </is>
      </c>
      <c r="M427" s="27" t="n">
        <v>0</v>
      </c>
      <c r="N427" s="27" t="n">
        <v>1676</v>
      </c>
      <c r="O427" s="3" t="inlineStr">
        <is>
          <t>confident</t>
        </is>
      </c>
      <c r="P427" s="3" t="inlineStr">
        <is>
          <t>R200</t>
        </is>
      </c>
      <c r="Q427" s="3" t="inlineStr">
        <is>
          <t>epoch_user_site_equal_split_seed</t>
        </is>
      </c>
      <c r="R427" s="3" t="inlineStr">
        <is>
          <t>SRC_EPOCH_AI_DATA_CENTERS; EPOCH_NORMALIZED_USER_SITES</t>
        </is>
      </c>
      <c r="S427" s="3" t="inlineStr">
        <is>
          <t>Capacity weight is used only to weight accelerator mix, not to overwrite company total power in 02_Inputs.</t>
        </is>
      </c>
    </row>
    <row r="428">
      <c r="A428" s="3" t="inlineStr">
        <is>
          <t>Bull|Meta|2028|Meta Hyperion</t>
        </is>
      </c>
      <c r="B428" s="3" t="inlineStr">
        <is>
          <t>Bull</t>
        </is>
      </c>
      <c r="C428" s="3" t="inlineStr">
        <is>
          <t>Meta</t>
        </is>
      </c>
      <c r="D428" s="3" t="n">
        <v>2028</v>
      </c>
      <c r="E428" s="3" t="inlineStr">
        <is>
          <t>Meta Hyperion</t>
        </is>
      </c>
      <c r="F428" s="3" t="inlineStr">
        <is>
          <t>Meta</t>
        </is>
      </c>
      <c r="G428" s="3" t="inlineStr">
        <is>
          <t>United States</t>
        </is>
      </c>
      <c r="H428" s="25" t="n">
        <v>1676</v>
      </c>
      <c r="I428" s="17" t="n">
        <v>1</v>
      </c>
      <c r="J428" s="17" t="n">
        <v>0.745</v>
      </c>
      <c r="K428" s="26" t="n">
        <v>0.255</v>
      </c>
      <c r="L428" s="3" t="inlineStr">
        <is>
          <t>2028-01-01</t>
        </is>
      </c>
      <c r="M428" s="27" t="n">
        <v>0</v>
      </c>
      <c r="N428" s="27" t="n">
        <v>1676</v>
      </c>
      <c r="O428" s="3" t="inlineStr">
        <is>
          <t>confident</t>
        </is>
      </c>
      <c r="P428" s="3" t="inlineStr">
        <is>
          <t>R200</t>
        </is>
      </c>
      <c r="Q428" s="3" t="inlineStr">
        <is>
          <t>epoch_user_site_equal_split_seed</t>
        </is>
      </c>
      <c r="R428" s="3" t="inlineStr">
        <is>
          <t>SRC_EPOCH_AI_DATA_CENTERS; EPOCH_NORMALIZED_USER_SITES</t>
        </is>
      </c>
      <c r="S428" s="3" t="inlineStr">
        <is>
          <t>Capacity weight is used only to weight accelerator mix, not to overwrite company total power in 02_Inputs.</t>
        </is>
      </c>
    </row>
    <row r="429">
      <c r="A429" s="3" t="inlineStr">
        <is>
          <t>Bull|Meta|2029|Meta Hyperion</t>
        </is>
      </c>
      <c r="B429" s="3" t="inlineStr">
        <is>
          <t>Bull</t>
        </is>
      </c>
      <c r="C429" s="3" t="inlineStr">
        <is>
          <t>Meta</t>
        </is>
      </c>
      <c r="D429" s="3" t="n">
        <v>2029</v>
      </c>
      <c r="E429" s="3" t="inlineStr">
        <is>
          <t>Meta Hyperion</t>
        </is>
      </c>
      <c r="F429" s="3" t="inlineStr">
        <is>
          <t>Meta</t>
        </is>
      </c>
      <c r="G429" s="3" t="inlineStr">
        <is>
          <t>United States</t>
        </is>
      </c>
      <c r="H429" s="25" t="n">
        <v>1676</v>
      </c>
      <c r="I429" s="17" t="n">
        <v>1</v>
      </c>
      <c r="J429" s="17" t="n">
        <v>0.802</v>
      </c>
      <c r="K429" s="26" t="n">
        <v>0.198</v>
      </c>
      <c r="L429" s="3" t="inlineStr">
        <is>
          <t>2028-01-01</t>
        </is>
      </c>
      <c r="M429" s="27" t="n">
        <v>0</v>
      </c>
      <c r="N429" s="27" t="n">
        <v>1676</v>
      </c>
      <c r="O429" s="3" t="inlineStr">
        <is>
          <t>confident</t>
        </is>
      </c>
      <c r="P429" s="3" t="inlineStr">
        <is>
          <t>R200</t>
        </is>
      </c>
      <c r="Q429" s="3" t="inlineStr">
        <is>
          <t>epoch_user_site_equal_split_seed</t>
        </is>
      </c>
      <c r="R429" s="3" t="inlineStr">
        <is>
          <t>SRC_EPOCH_AI_DATA_CENTERS; EPOCH_NORMALIZED_USER_SITES</t>
        </is>
      </c>
      <c r="S429" s="3" t="inlineStr">
        <is>
          <t>Capacity weight is used only to weight accelerator mix, not to overwrite company total power in 02_Inputs.</t>
        </is>
      </c>
    </row>
    <row r="430">
      <c r="A430" s="3" t="inlineStr">
        <is>
          <t>Bull|Meta|2030|Meta Hyperion</t>
        </is>
      </c>
      <c r="B430" s="3" t="inlineStr">
        <is>
          <t>Bull</t>
        </is>
      </c>
      <c r="C430" s="3" t="inlineStr">
        <is>
          <t>Meta</t>
        </is>
      </c>
      <c r="D430" s="3" t="n">
        <v>2030</v>
      </c>
      <c r="E430" s="3" t="inlineStr">
        <is>
          <t>Meta Hyperion</t>
        </is>
      </c>
      <c r="F430" s="3" t="inlineStr">
        <is>
          <t>Meta</t>
        </is>
      </c>
      <c r="G430" s="3" t="inlineStr">
        <is>
          <t>United States</t>
        </is>
      </c>
      <c r="H430" s="25" t="n">
        <v>1676</v>
      </c>
      <c r="I430" s="17" t="n">
        <v>1</v>
      </c>
      <c r="J430" s="17" t="n">
        <v>0.86</v>
      </c>
      <c r="K430" s="26" t="n">
        <v>0.14</v>
      </c>
      <c r="L430" s="3" t="inlineStr">
        <is>
          <t>2028-01-01</t>
        </is>
      </c>
      <c r="M430" s="27" t="n">
        <v>0</v>
      </c>
      <c r="N430" s="27" t="n">
        <v>1676</v>
      </c>
      <c r="O430" s="3" t="inlineStr">
        <is>
          <t>confident</t>
        </is>
      </c>
      <c r="P430" s="3" t="inlineStr">
        <is>
          <t>R200</t>
        </is>
      </c>
      <c r="Q430" s="3" t="inlineStr">
        <is>
          <t>epoch_user_site_equal_split_seed</t>
        </is>
      </c>
      <c r="R430" s="3" t="inlineStr">
        <is>
          <t>SRC_EPOCH_AI_DATA_CENTERS; EPOCH_NORMALIZED_USER_SITES</t>
        </is>
      </c>
      <c r="S430" s="3" t="inlineStr">
        <is>
          <t>Capacity weight is used only to weight accelerator mix, not to overwrite company total power in 02_Inputs.</t>
        </is>
      </c>
    </row>
    <row r="431">
      <c r="A431" s="3" t="inlineStr">
        <is>
          <t>Grid-Constrained / Efficiency-Upside|Meta|2028|Meta Hyperion</t>
        </is>
      </c>
      <c r="B431" s="3" t="inlineStr">
        <is>
          <t>Grid-Constrained / Efficiency-Upside</t>
        </is>
      </c>
      <c r="C431" s="3" t="inlineStr">
        <is>
          <t>Meta</t>
        </is>
      </c>
      <c r="D431" s="3" t="n">
        <v>2028</v>
      </c>
      <c r="E431" s="3" t="inlineStr">
        <is>
          <t>Meta Hyperion</t>
        </is>
      </c>
      <c r="F431" s="3" t="inlineStr">
        <is>
          <t>Meta</t>
        </is>
      </c>
      <c r="G431" s="3" t="inlineStr">
        <is>
          <t>United States</t>
        </is>
      </c>
      <c r="H431" s="25" t="n">
        <v>1676</v>
      </c>
      <c r="I431" s="17" t="n">
        <v>1</v>
      </c>
      <c r="J431" s="17" t="n">
        <v>0.71</v>
      </c>
      <c r="K431" s="26" t="n">
        <v>0.29</v>
      </c>
      <c r="L431" s="3" t="inlineStr">
        <is>
          <t>2028-01-01</t>
        </is>
      </c>
      <c r="M431" s="27" t="n">
        <v>0</v>
      </c>
      <c r="N431" s="27" t="n">
        <v>1676</v>
      </c>
      <c r="O431" s="3" t="inlineStr">
        <is>
          <t>confident</t>
        </is>
      </c>
      <c r="P431" s="3" t="inlineStr">
        <is>
          <t>R200</t>
        </is>
      </c>
      <c r="Q431" s="3" t="inlineStr">
        <is>
          <t>epoch_user_site_equal_split_seed</t>
        </is>
      </c>
      <c r="R431" s="3" t="inlineStr">
        <is>
          <t>SRC_EPOCH_AI_DATA_CENTERS; EPOCH_NORMALIZED_USER_SITES</t>
        </is>
      </c>
      <c r="S431" s="3" t="inlineStr">
        <is>
          <t>Capacity weight is used only to weight accelerator mix, not to overwrite company total power in 02_Inputs.</t>
        </is>
      </c>
    </row>
    <row r="432">
      <c r="A432" s="3" t="inlineStr">
        <is>
          <t>Grid-Constrained / Efficiency-Upside|Meta|2029|Meta Hyperion</t>
        </is>
      </c>
      <c r="B432" s="3" t="inlineStr">
        <is>
          <t>Grid-Constrained / Efficiency-Upside</t>
        </is>
      </c>
      <c r="C432" s="3" t="inlineStr">
        <is>
          <t>Meta</t>
        </is>
      </c>
      <c r="D432" s="3" t="n">
        <v>2029</v>
      </c>
      <c r="E432" s="3" t="inlineStr">
        <is>
          <t>Meta Hyperion</t>
        </is>
      </c>
      <c r="F432" s="3" t="inlineStr">
        <is>
          <t>Meta</t>
        </is>
      </c>
      <c r="G432" s="3" t="inlineStr">
        <is>
          <t>United States</t>
        </is>
      </c>
      <c r="H432" s="25" t="n">
        <v>1676</v>
      </c>
      <c r="I432" s="17" t="n">
        <v>1</v>
      </c>
      <c r="J432" s="17" t="n">
        <v>0.765</v>
      </c>
      <c r="K432" s="26" t="n">
        <v>0.235</v>
      </c>
      <c r="L432" s="3" t="inlineStr">
        <is>
          <t>2028-01-01</t>
        </is>
      </c>
      <c r="M432" s="27" t="n">
        <v>0</v>
      </c>
      <c r="N432" s="27" t="n">
        <v>1676</v>
      </c>
      <c r="O432" s="3" t="inlineStr">
        <is>
          <t>confident</t>
        </is>
      </c>
      <c r="P432" s="3" t="inlineStr">
        <is>
          <t>R200</t>
        </is>
      </c>
      <c r="Q432" s="3" t="inlineStr">
        <is>
          <t>epoch_user_site_equal_split_seed</t>
        </is>
      </c>
      <c r="R432" s="3" t="inlineStr">
        <is>
          <t>SRC_EPOCH_AI_DATA_CENTERS; EPOCH_NORMALIZED_USER_SITES</t>
        </is>
      </c>
      <c r="S432" s="3" t="inlineStr">
        <is>
          <t>Capacity weight is used only to weight accelerator mix, not to overwrite company total power in 02_Inputs.</t>
        </is>
      </c>
    </row>
    <row r="433">
      <c r="A433" s="3" t="inlineStr">
        <is>
          <t>Grid-Constrained / Efficiency-Upside|Meta|2030|Meta Hyperion</t>
        </is>
      </c>
      <c r="B433" s="3" t="inlineStr">
        <is>
          <t>Grid-Constrained / Efficiency-Upside</t>
        </is>
      </c>
      <c r="C433" s="3" t="inlineStr">
        <is>
          <t>Meta</t>
        </is>
      </c>
      <c r="D433" s="3" t="n">
        <v>2030</v>
      </c>
      <c r="E433" s="3" t="inlineStr">
        <is>
          <t>Meta Hyperion</t>
        </is>
      </c>
      <c r="F433" s="3" t="inlineStr">
        <is>
          <t>Meta</t>
        </is>
      </c>
      <c r="G433" s="3" t="inlineStr">
        <is>
          <t>United States</t>
        </is>
      </c>
      <c r="H433" s="25" t="n">
        <v>1676</v>
      </c>
      <c r="I433" s="17" t="n">
        <v>1</v>
      </c>
      <c r="J433" s="17" t="n">
        <v>0.82</v>
      </c>
      <c r="K433" s="26" t="n">
        <v>0.18</v>
      </c>
      <c r="L433" s="3" t="inlineStr">
        <is>
          <t>2028-01-01</t>
        </is>
      </c>
      <c r="M433" s="27" t="n">
        <v>0</v>
      </c>
      <c r="N433" s="27" t="n">
        <v>1676</v>
      </c>
      <c r="O433" s="3" t="inlineStr">
        <is>
          <t>confident</t>
        </is>
      </c>
      <c r="P433" s="3" t="inlineStr">
        <is>
          <t>R200</t>
        </is>
      </c>
      <c r="Q433" s="3" t="inlineStr">
        <is>
          <t>epoch_user_site_equal_split_seed</t>
        </is>
      </c>
      <c r="R433" s="3" t="inlineStr">
        <is>
          <t>SRC_EPOCH_AI_DATA_CENTERS; EPOCH_NORMALIZED_USER_SITES</t>
        </is>
      </c>
      <c r="S433" s="3" t="inlineStr">
        <is>
          <t>Capacity weight is used only to weight accelerator mix, not to overwrite company total power in 02_Inputs.</t>
        </is>
      </c>
    </row>
    <row r="434">
      <c r="A434" s="3" t="inlineStr">
        <is>
          <t>Bear|Meta|2026|Meta Jeffersonville</t>
        </is>
      </c>
      <c r="B434" s="3" t="inlineStr">
        <is>
          <t>Bear</t>
        </is>
      </c>
      <c r="C434" s="3" t="inlineStr">
        <is>
          <t>Meta</t>
        </is>
      </c>
      <c r="D434" s="3" t="n">
        <v>2026</v>
      </c>
      <c r="E434" s="3" t="inlineStr">
        <is>
          <t>Meta Jeffersonville</t>
        </is>
      </c>
      <c r="F434" s="3" t="inlineStr">
        <is>
          <t>Meta</t>
        </is>
      </c>
      <c r="G434" s="3" t="inlineStr">
        <is>
          <t>United States</t>
        </is>
      </c>
      <c r="H434" s="25" t="n">
        <v>178</v>
      </c>
      <c r="I434" s="17" t="n">
        <v>1</v>
      </c>
      <c r="J434" s="17" t="n">
        <v>0.5</v>
      </c>
      <c r="K434" s="26" t="n">
        <v>0.5</v>
      </c>
      <c r="L434" s="3" t="inlineStr">
        <is>
          <t>2026-06-04</t>
        </is>
      </c>
      <c r="M434" s="27" t="n">
        <v>178</v>
      </c>
      <c r="N434" s="27" t="n">
        <v>178</v>
      </c>
      <c r="O434" s="3" t="inlineStr">
        <is>
          <t>confident</t>
        </is>
      </c>
      <c r="P434" s="3" t="inlineStr">
        <is>
          <t>B300</t>
        </is>
      </c>
      <c r="Q434" s="3" t="inlineStr">
        <is>
          <t>epoch_user_site_equal_split_seed</t>
        </is>
      </c>
      <c r="R434" s="3" t="inlineStr">
        <is>
          <t>SRC_EPOCH_AI_DATA_CENTERS; EPOCH_NORMALIZED_USER_SITES</t>
        </is>
      </c>
      <c r="S434" s="3" t="inlineStr">
        <is>
          <t>Capacity weight is used only to weight accelerator mix, not to overwrite company total power in 02_Inputs.</t>
        </is>
      </c>
    </row>
    <row r="435">
      <c r="A435" s="3" t="inlineStr">
        <is>
          <t>Bear|Meta|2027|Meta Jeffersonville</t>
        </is>
      </c>
      <c r="B435" s="3" t="inlineStr">
        <is>
          <t>Bear</t>
        </is>
      </c>
      <c r="C435" s="3" t="inlineStr">
        <is>
          <t>Meta</t>
        </is>
      </c>
      <c r="D435" s="3" t="n">
        <v>2027</v>
      </c>
      <c r="E435" s="3" t="inlineStr">
        <is>
          <t>Meta Jeffersonville</t>
        </is>
      </c>
      <c r="F435" s="3" t="inlineStr">
        <is>
          <t>Meta</t>
        </is>
      </c>
      <c r="G435" s="3" t="inlineStr">
        <is>
          <t>United States</t>
        </is>
      </c>
      <c r="H435" s="25" t="n">
        <v>178</v>
      </c>
      <c r="I435" s="17" t="n">
        <v>1</v>
      </c>
      <c r="J435" s="17" t="n">
        <v>0.545</v>
      </c>
      <c r="K435" s="26" t="n">
        <v>0.455</v>
      </c>
      <c r="L435" s="3" t="inlineStr">
        <is>
          <t>2026-06-04</t>
        </is>
      </c>
      <c r="M435" s="27" t="n">
        <v>178</v>
      </c>
      <c r="N435" s="27" t="n">
        <v>178</v>
      </c>
      <c r="O435" s="3" t="inlineStr">
        <is>
          <t>confident</t>
        </is>
      </c>
      <c r="P435" s="3" t="inlineStr">
        <is>
          <t>B300</t>
        </is>
      </c>
      <c r="Q435" s="3" t="inlineStr">
        <is>
          <t>epoch_user_site_equal_split_seed</t>
        </is>
      </c>
      <c r="R435" s="3" t="inlineStr">
        <is>
          <t>SRC_EPOCH_AI_DATA_CENTERS; EPOCH_NORMALIZED_USER_SITES</t>
        </is>
      </c>
      <c r="S435" s="3" t="inlineStr">
        <is>
          <t>Capacity weight is used only to weight accelerator mix, not to overwrite company total power in 02_Inputs.</t>
        </is>
      </c>
    </row>
    <row r="436">
      <c r="A436" s="3" t="inlineStr">
        <is>
          <t>Bear|Meta|2028|Meta Jeffersonville</t>
        </is>
      </c>
      <c r="B436" s="3" t="inlineStr">
        <is>
          <t>Bear</t>
        </is>
      </c>
      <c r="C436" s="3" t="inlineStr">
        <is>
          <t>Meta</t>
        </is>
      </c>
      <c r="D436" s="3" t="n">
        <v>2028</v>
      </c>
      <c r="E436" s="3" t="inlineStr">
        <is>
          <t>Meta Jeffersonville</t>
        </is>
      </c>
      <c r="F436" s="3" t="inlineStr">
        <is>
          <t>Meta</t>
        </is>
      </c>
      <c r="G436" s="3" t="inlineStr">
        <is>
          <t>United States</t>
        </is>
      </c>
      <c r="H436" s="25" t="n">
        <v>178</v>
      </c>
      <c r="I436" s="17" t="n">
        <v>1</v>
      </c>
      <c r="J436" s="17" t="n">
        <v>0.59</v>
      </c>
      <c r="K436" s="26" t="n">
        <v>0.41</v>
      </c>
      <c r="L436" s="3" t="inlineStr">
        <is>
          <t>2026-06-04</t>
        </is>
      </c>
      <c r="M436" s="27" t="n">
        <v>178</v>
      </c>
      <c r="N436" s="27" t="n">
        <v>178</v>
      </c>
      <c r="O436" s="3" t="inlineStr">
        <is>
          <t>confident</t>
        </is>
      </c>
      <c r="P436" s="3" t="inlineStr">
        <is>
          <t>B300</t>
        </is>
      </c>
      <c r="Q436" s="3" t="inlineStr">
        <is>
          <t>epoch_user_site_equal_split_seed</t>
        </is>
      </c>
      <c r="R436" s="3" t="inlineStr">
        <is>
          <t>SRC_EPOCH_AI_DATA_CENTERS; EPOCH_NORMALIZED_USER_SITES</t>
        </is>
      </c>
      <c r="S436" s="3" t="inlineStr">
        <is>
          <t>Capacity weight is used only to weight accelerator mix, not to overwrite company total power in 02_Inputs.</t>
        </is>
      </c>
    </row>
    <row r="437">
      <c r="A437" s="3" t="inlineStr">
        <is>
          <t>Bear|Meta|2029|Meta Jeffersonville</t>
        </is>
      </c>
      <c r="B437" s="3" t="inlineStr">
        <is>
          <t>Bear</t>
        </is>
      </c>
      <c r="C437" s="3" t="inlineStr">
        <is>
          <t>Meta</t>
        </is>
      </c>
      <c r="D437" s="3" t="n">
        <v>2029</v>
      </c>
      <c r="E437" s="3" t="inlineStr">
        <is>
          <t>Meta Jeffersonville</t>
        </is>
      </c>
      <c r="F437" s="3" t="inlineStr">
        <is>
          <t>Meta</t>
        </is>
      </c>
      <c r="G437" s="3" t="inlineStr">
        <is>
          <t>United States</t>
        </is>
      </c>
      <c r="H437" s="25" t="n">
        <v>178</v>
      </c>
      <c r="I437" s="17" t="n">
        <v>1</v>
      </c>
      <c r="J437" s="17" t="n">
        <v>0.635</v>
      </c>
      <c r="K437" s="26" t="n">
        <v>0.365</v>
      </c>
      <c r="L437" s="3" t="inlineStr">
        <is>
          <t>2026-06-04</t>
        </is>
      </c>
      <c r="M437" s="27" t="n">
        <v>178</v>
      </c>
      <c r="N437" s="27" t="n">
        <v>178</v>
      </c>
      <c r="O437" s="3" t="inlineStr">
        <is>
          <t>confident</t>
        </is>
      </c>
      <c r="P437" s="3" t="inlineStr">
        <is>
          <t>B300</t>
        </is>
      </c>
      <c r="Q437" s="3" t="inlineStr">
        <is>
          <t>epoch_user_site_equal_split_seed</t>
        </is>
      </c>
      <c r="R437" s="3" t="inlineStr">
        <is>
          <t>SRC_EPOCH_AI_DATA_CENTERS; EPOCH_NORMALIZED_USER_SITES</t>
        </is>
      </c>
      <c r="S437" s="3" t="inlineStr">
        <is>
          <t>Capacity weight is used only to weight accelerator mix, not to overwrite company total power in 02_Inputs.</t>
        </is>
      </c>
    </row>
    <row r="438">
      <c r="A438" s="3" t="inlineStr">
        <is>
          <t>Bear|Meta|2030|Meta Jeffersonville</t>
        </is>
      </c>
      <c r="B438" s="3" t="inlineStr">
        <is>
          <t>Bear</t>
        </is>
      </c>
      <c r="C438" s="3" t="inlineStr">
        <is>
          <t>Meta</t>
        </is>
      </c>
      <c r="D438" s="3" t="n">
        <v>2030</v>
      </c>
      <c r="E438" s="3" t="inlineStr">
        <is>
          <t>Meta Jeffersonville</t>
        </is>
      </c>
      <c r="F438" s="3" t="inlineStr">
        <is>
          <t>Meta</t>
        </is>
      </c>
      <c r="G438" s="3" t="inlineStr">
        <is>
          <t>United States</t>
        </is>
      </c>
      <c r="H438" s="25" t="n">
        <v>178</v>
      </c>
      <c r="I438" s="17" t="n">
        <v>1</v>
      </c>
      <c r="J438" s="17" t="n">
        <v>0.68</v>
      </c>
      <c r="K438" s="26" t="n">
        <v>0.32</v>
      </c>
      <c r="L438" s="3" t="inlineStr">
        <is>
          <t>2026-06-04</t>
        </is>
      </c>
      <c r="M438" s="27" t="n">
        <v>178</v>
      </c>
      <c r="N438" s="27" t="n">
        <v>178</v>
      </c>
      <c r="O438" s="3" t="inlineStr">
        <is>
          <t>confident</t>
        </is>
      </c>
      <c r="P438" s="3" t="inlineStr">
        <is>
          <t>B300</t>
        </is>
      </c>
      <c r="Q438" s="3" t="inlineStr">
        <is>
          <t>epoch_user_site_equal_split_seed</t>
        </is>
      </c>
      <c r="R438" s="3" t="inlineStr">
        <is>
          <t>SRC_EPOCH_AI_DATA_CENTERS; EPOCH_NORMALIZED_USER_SITES</t>
        </is>
      </c>
      <c r="S438" s="3" t="inlineStr">
        <is>
          <t>Capacity weight is used only to weight accelerator mix, not to overwrite company total power in 02_Inputs.</t>
        </is>
      </c>
    </row>
    <row r="439">
      <c r="A439" s="3" t="inlineStr">
        <is>
          <t>Base|Meta|2026|Meta Jeffersonville</t>
        </is>
      </c>
      <c r="B439" s="3" t="inlineStr">
        <is>
          <t>Base</t>
        </is>
      </c>
      <c r="C439" s="3" t="inlineStr">
        <is>
          <t>Meta</t>
        </is>
      </c>
      <c r="D439" s="3" t="n">
        <v>2026</v>
      </c>
      <c r="E439" s="3" t="inlineStr">
        <is>
          <t>Meta Jeffersonville</t>
        </is>
      </c>
      <c r="F439" s="3" t="inlineStr">
        <is>
          <t>Meta</t>
        </is>
      </c>
      <c r="G439" s="3" t="inlineStr">
        <is>
          <t>United States</t>
        </is>
      </c>
      <c r="H439" s="25" t="n">
        <v>178</v>
      </c>
      <c r="I439" s="17" t="n">
        <v>1</v>
      </c>
      <c r="J439" s="17" t="n">
        <v>0.58</v>
      </c>
      <c r="K439" s="26" t="n">
        <v>0.42</v>
      </c>
      <c r="L439" s="3" t="inlineStr">
        <is>
          <t>2026-06-04</t>
        </is>
      </c>
      <c r="M439" s="27" t="n">
        <v>178</v>
      </c>
      <c r="N439" s="27" t="n">
        <v>178</v>
      </c>
      <c r="O439" s="3" t="inlineStr">
        <is>
          <t>confident</t>
        </is>
      </c>
      <c r="P439" s="3" t="inlineStr">
        <is>
          <t>B300</t>
        </is>
      </c>
      <c r="Q439" s="3" t="inlineStr">
        <is>
          <t>epoch_user_site_equal_split_seed</t>
        </is>
      </c>
      <c r="R439" s="3" t="inlineStr">
        <is>
          <t>SRC_EPOCH_AI_DATA_CENTERS; EPOCH_NORMALIZED_USER_SITES</t>
        </is>
      </c>
      <c r="S439" s="3" t="inlineStr">
        <is>
          <t>Capacity weight is used only to weight accelerator mix, not to overwrite company total power in 02_Inputs.</t>
        </is>
      </c>
    </row>
    <row r="440">
      <c r="A440" s="3" t="inlineStr">
        <is>
          <t>Base|Meta|2027|Meta Jeffersonville</t>
        </is>
      </c>
      <c r="B440" s="3" t="inlineStr">
        <is>
          <t>Base</t>
        </is>
      </c>
      <c r="C440" s="3" t="inlineStr">
        <is>
          <t>Meta</t>
        </is>
      </c>
      <c r="D440" s="3" t="n">
        <v>2027</v>
      </c>
      <c r="E440" s="3" t="inlineStr">
        <is>
          <t>Meta Jeffersonville</t>
        </is>
      </c>
      <c r="F440" s="3" t="inlineStr">
        <is>
          <t>Meta</t>
        </is>
      </c>
      <c r="G440" s="3" t="inlineStr">
        <is>
          <t>United States</t>
        </is>
      </c>
      <c r="H440" s="25" t="n">
        <v>178</v>
      </c>
      <c r="I440" s="17" t="n">
        <v>1</v>
      </c>
      <c r="J440" s="17" t="n">
        <v>0.63</v>
      </c>
      <c r="K440" s="26" t="n">
        <v>0.37</v>
      </c>
      <c r="L440" s="3" t="inlineStr">
        <is>
          <t>2026-06-04</t>
        </is>
      </c>
      <c r="M440" s="27" t="n">
        <v>178</v>
      </c>
      <c r="N440" s="27" t="n">
        <v>178</v>
      </c>
      <c r="O440" s="3" t="inlineStr">
        <is>
          <t>confident</t>
        </is>
      </c>
      <c r="P440" s="3" t="inlineStr">
        <is>
          <t>B300</t>
        </is>
      </c>
      <c r="Q440" s="3" t="inlineStr">
        <is>
          <t>epoch_user_site_equal_split_seed</t>
        </is>
      </c>
      <c r="R440" s="3" t="inlineStr">
        <is>
          <t>SRC_EPOCH_AI_DATA_CENTERS; EPOCH_NORMALIZED_USER_SITES</t>
        </is>
      </c>
      <c r="S440" s="3" t="inlineStr">
        <is>
          <t>Capacity weight is used only to weight accelerator mix, not to overwrite company total power in 02_Inputs.</t>
        </is>
      </c>
    </row>
    <row r="441">
      <c r="A441" s="3" t="inlineStr">
        <is>
          <t>Base|Meta|2028|Meta Jeffersonville</t>
        </is>
      </c>
      <c r="B441" s="3" t="inlineStr">
        <is>
          <t>Base</t>
        </is>
      </c>
      <c r="C441" s="3" t="inlineStr">
        <is>
          <t>Meta</t>
        </is>
      </c>
      <c r="D441" s="3" t="n">
        <v>2028</v>
      </c>
      <c r="E441" s="3" t="inlineStr">
        <is>
          <t>Meta Jeffersonville</t>
        </is>
      </c>
      <c r="F441" s="3" t="inlineStr">
        <is>
          <t>Meta</t>
        </is>
      </c>
      <c r="G441" s="3" t="inlineStr">
        <is>
          <t>United States</t>
        </is>
      </c>
      <c r="H441" s="25" t="n">
        <v>178</v>
      </c>
      <c r="I441" s="17" t="n">
        <v>1</v>
      </c>
      <c r="J441" s="17" t="n">
        <v>0.68</v>
      </c>
      <c r="K441" s="26" t="n">
        <v>0.32</v>
      </c>
      <c r="L441" s="3" t="inlineStr">
        <is>
          <t>2026-06-04</t>
        </is>
      </c>
      <c r="M441" s="27" t="n">
        <v>178</v>
      </c>
      <c r="N441" s="27" t="n">
        <v>178</v>
      </c>
      <c r="O441" s="3" t="inlineStr">
        <is>
          <t>confident</t>
        </is>
      </c>
      <c r="P441" s="3" t="inlineStr">
        <is>
          <t>B300</t>
        </is>
      </c>
      <c r="Q441" s="3" t="inlineStr">
        <is>
          <t>epoch_user_site_equal_split_seed</t>
        </is>
      </c>
      <c r="R441" s="3" t="inlineStr">
        <is>
          <t>SRC_EPOCH_AI_DATA_CENTERS; EPOCH_NORMALIZED_USER_SITES</t>
        </is>
      </c>
      <c r="S441" s="3" t="inlineStr">
        <is>
          <t>Capacity weight is used only to weight accelerator mix, not to overwrite company total power in 02_Inputs.</t>
        </is>
      </c>
    </row>
    <row r="442">
      <c r="A442" s="3" t="inlineStr">
        <is>
          <t>Base|Meta|2029|Meta Jeffersonville</t>
        </is>
      </c>
      <c r="B442" s="3" t="inlineStr">
        <is>
          <t>Base</t>
        </is>
      </c>
      <c r="C442" s="3" t="inlineStr">
        <is>
          <t>Meta</t>
        </is>
      </c>
      <c r="D442" s="3" t="n">
        <v>2029</v>
      </c>
      <c r="E442" s="3" t="inlineStr">
        <is>
          <t>Meta Jeffersonville</t>
        </is>
      </c>
      <c r="F442" s="3" t="inlineStr">
        <is>
          <t>Meta</t>
        </is>
      </c>
      <c r="G442" s="3" t="inlineStr">
        <is>
          <t>United States</t>
        </is>
      </c>
      <c r="H442" s="25" t="n">
        <v>178</v>
      </c>
      <c r="I442" s="17" t="n">
        <v>1</v>
      </c>
      <c r="J442" s="17" t="n">
        <v>0.73</v>
      </c>
      <c r="K442" s="26" t="n">
        <v>0.27</v>
      </c>
      <c r="L442" s="3" t="inlineStr">
        <is>
          <t>2026-06-04</t>
        </is>
      </c>
      <c r="M442" s="27" t="n">
        <v>178</v>
      </c>
      <c r="N442" s="27" t="n">
        <v>178</v>
      </c>
      <c r="O442" s="3" t="inlineStr">
        <is>
          <t>confident</t>
        </is>
      </c>
      <c r="P442" s="3" t="inlineStr">
        <is>
          <t>B300</t>
        </is>
      </c>
      <c r="Q442" s="3" t="inlineStr">
        <is>
          <t>epoch_user_site_equal_split_seed</t>
        </is>
      </c>
      <c r="R442" s="3" t="inlineStr">
        <is>
          <t>SRC_EPOCH_AI_DATA_CENTERS; EPOCH_NORMALIZED_USER_SITES</t>
        </is>
      </c>
      <c r="S442" s="3" t="inlineStr">
        <is>
          <t>Capacity weight is used only to weight accelerator mix, not to overwrite company total power in 02_Inputs.</t>
        </is>
      </c>
    </row>
    <row r="443">
      <c r="A443" s="3" t="inlineStr">
        <is>
          <t>Base|Meta|2030|Meta Jeffersonville</t>
        </is>
      </c>
      <c r="B443" s="3" t="inlineStr">
        <is>
          <t>Base</t>
        </is>
      </c>
      <c r="C443" s="3" t="inlineStr">
        <is>
          <t>Meta</t>
        </is>
      </c>
      <c r="D443" s="3" t="n">
        <v>2030</v>
      </c>
      <c r="E443" s="3" t="inlineStr">
        <is>
          <t>Meta Jeffersonville</t>
        </is>
      </c>
      <c r="F443" s="3" t="inlineStr">
        <is>
          <t>Meta</t>
        </is>
      </c>
      <c r="G443" s="3" t="inlineStr">
        <is>
          <t>United States</t>
        </is>
      </c>
      <c r="H443" s="25" t="n">
        <v>178</v>
      </c>
      <c r="I443" s="17" t="n">
        <v>1</v>
      </c>
      <c r="J443" s="17" t="n">
        <v>0.78</v>
      </c>
      <c r="K443" s="26" t="n">
        <v>0.22</v>
      </c>
      <c r="L443" s="3" t="inlineStr">
        <is>
          <t>2026-06-04</t>
        </is>
      </c>
      <c r="M443" s="27" t="n">
        <v>178</v>
      </c>
      <c r="N443" s="27" t="n">
        <v>178</v>
      </c>
      <c r="O443" s="3" t="inlineStr">
        <is>
          <t>confident</t>
        </is>
      </c>
      <c r="P443" s="3" t="inlineStr">
        <is>
          <t>B300</t>
        </is>
      </c>
      <c r="Q443" s="3" t="inlineStr">
        <is>
          <t>epoch_user_site_equal_split_seed</t>
        </is>
      </c>
      <c r="R443" s="3" t="inlineStr">
        <is>
          <t>SRC_EPOCH_AI_DATA_CENTERS; EPOCH_NORMALIZED_USER_SITES</t>
        </is>
      </c>
      <c r="S443" s="3" t="inlineStr">
        <is>
          <t>Capacity weight is used only to weight accelerator mix, not to overwrite company total power in 02_Inputs.</t>
        </is>
      </c>
    </row>
    <row r="444">
      <c r="A444" s="3" t="inlineStr">
        <is>
          <t>Bull|Meta|2026|Meta Jeffersonville</t>
        </is>
      </c>
      <c r="B444" s="3" t="inlineStr">
        <is>
          <t>Bull</t>
        </is>
      </c>
      <c r="C444" s="3" t="inlineStr">
        <is>
          <t>Meta</t>
        </is>
      </c>
      <c r="D444" s="3" t="n">
        <v>2026</v>
      </c>
      <c r="E444" s="3" t="inlineStr">
        <is>
          <t>Meta Jeffersonville</t>
        </is>
      </c>
      <c r="F444" s="3" t="inlineStr">
        <is>
          <t>Meta</t>
        </is>
      </c>
      <c r="G444" s="3" t="inlineStr">
        <is>
          <t>United States</t>
        </is>
      </c>
      <c r="H444" s="25" t="n">
        <v>178</v>
      </c>
      <c r="I444" s="17" t="n">
        <v>1</v>
      </c>
      <c r="J444" s="17" t="n">
        <v>0.63</v>
      </c>
      <c r="K444" s="26" t="n">
        <v>0.37</v>
      </c>
      <c r="L444" s="3" t="inlineStr">
        <is>
          <t>2026-06-04</t>
        </is>
      </c>
      <c r="M444" s="27" t="n">
        <v>178</v>
      </c>
      <c r="N444" s="27" t="n">
        <v>178</v>
      </c>
      <c r="O444" s="3" t="inlineStr">
        <is>
          <t>confident</t>
        </is>
      </c>
      <c r="P444" s="3" t="inlineStr">
        <is>
          <t>B300</t>
        </is>
      </c>
      <c r="Q444" s="3" t="inlineStr">
        <is>
          <t>epoch_user_site_equal_split_seed</t>
        </is>
      </c>
      <c r="R444" s="3" t="inlineStr">
        <is>
          <t>SRC_EPOCH_AI_DATA_CENTERS; EPOCH_NORMALIZED_USER_SITES</t>
        </is>
      </c>
      <c r="S444" s="3" t="inlineStr">
        <is>
          <t>Capacity weight is used only to weight accelerator mix, not to overwrite company total power in 02_Inputs.</t>
        </is>
      </c>
    </row>
    <row r="445">
      <c r="A445" s="3" t="inlineStr">
        <is>
          <t>Bull|Meta|2027|Meta Jeffersonville</t>
        </is>
      </c>
      <c r="B445" s="3" t="inlineStr">
        <is>
          <t>Bull</t>
        </is>
      </c>
      <c r="C445" s="3" t="inlineStr">
        <is>
          <t>Meta</t>
        </is>
      </c>
      <c r="D445" s="3" t="n">
        <v>2027</v>
      </c>
      <c r="E445" s="3" t="inlineStr">
        <is>
          <t>Meta Jeffersonville</t>
        </is>
      </c>
      <c r="F445" s="3" t="inlineStr">
        <is>
          <t>Meta</t>
        </is>
      </c>
      <c r="G445" s="3" t="inlineStr">
        <is>
          <t>United States</t>
        </is>
      </c>
      <c r="H445" s="25" t="n">
        <v>178</v>
      </c>
      <c r="I445" s="17" t="n">
        <v>1</v>
      </c>
      <c r="J445" s="17" t="n">
        <v>0.6879999999999999</v>
      </c>
      <c r="K445" s="26" t="n">
        <v>0.312</v>
      </c>
      <c r="L445" s="3" t="inlineStr">
        <is>
          <t>2026-06-04</t>
        </is>
      </c>
      <c r="M445" s="27" t="n">
        <v>178</v>
      </c>
      <c r="N445" s="27" t="n">
        <v>178</v>
      </c>
      <c r="O445" s="3" t="inlineStr">
        <is>
          <t>confident</t>
        </is>
      </c>
      <c r="P445" s="3" t="inlineStr">
        <is>
          <t>B300</t>
        </is>
      </c>
      <c r="Q445" s="3" t="inlineStr">
        <is>
          <t>epoch_user_site_equal_split_seed</t>
        </is>
      </c>
      <c r="R445" s="3" t="inlineStr">
        <is>
          <t>SRC_EPOCH_AI_DATA_CENTERS; EPOCH_NORMALIZED_USER_SITES</t>
        </is>
      </c>
      <c r="S445" s="3" t="inlineStr">
        <is>
          <t>Capacity weight is used only to weight accelerator mix, not to overwrite company total power in 02_Inputs.</t>
        </is>
      </c>
    </row>
    <row r="446">
      <c r="A446" s="3" t="inlineStr">
        <is>
          <t>Bull|Meta|2028|Meta Jeffersonville</t>
        </is>
      </c>
      <c r="B446" s="3" t="inlineStr">
        <is>
          <t>Bull</t>
        </is>
      </c>
      <c r="C446" s="3" t="inlineStr">
        <is>
          <t>Meta</t>
        </is>
      </c>
      <c r="D446" s="3" t="n">
        <v>2028</v>
      </c>
      <c r="E446" s="3" t="inlineStr">
        <is>
          <t>Meta Jeffersonville</t>
        </is>
      </c>
      <c r="F446" s="3" t="inlineStr">
        <is>
          <t>Meta</t>
        </is>
      </c>
      <c r="G446" s="3" t="inlineStr">
        <is>
          <t>United States</t>
        </is>
      </c>
      <c r="H446" s="25" t="n">
        <v>178</v>
      </c>
      <c r="I446" s="17" t="n">
        <v>1</v>
      </c>
      <c r="J446" s="17" t="n">
        <v>0.745</v>
      </c>
      <c r="K446" s="26" t="n">
        <v>0.255</v>
      </c>
      <c r="L446" s="3" t="inlineStr">
        <is>
          <t>2026-06-04</t>
        </is>
      </c>
      <c r="M446" s="27" t="n">
        <v>178</v>
      </c>
      <c r="N446" s="27" t="n">
        <v>178</v>
      </c>
      <c r="O446" s="3" t="inlineStr">
        <is>
          <t>confident</t>
        </is>
      </c>
      <c r="P446" s="3" t="inlineStr">
        <is>
          <t>B300</t>
        </is>
      </c>
      <c r="Q446" s="3" t="inlineStr">
        <is>
          <t>epoch_user_site_equal_split_seed</t>
        </is>
      </c>
      <c r="R446" s="3" t="inlineStr">
        <is>
          <t>SRC_EPOCH_AI_DATA_CENTERS; EPOCH_NORMALIZED_USER_SITES</t>
        </is>
      </c>
      <c r="S446" s="3" t="inlineStr">
        <is>
          <t>Capacity weight is used only to weight accelerator mix, not to overwrite company total power in 02_Inputs.</t>
        </is>
      </c>
    </row>
    <row r="447">
      <c r="A447" s="3" t="inlineStr">
        <is>
          <t>Bull|Meta|2029|Meta Jeffersonville</t>
        </is>
      </c>
      <c r="B447" s="3" t="inlineStr">
        <is>
          <t>Bull</t>
        </is>
      </c>
      <c r="C447" s="3" t="inlineStr">
        <is>
          <t>Meta</t>
        </is>
      </c>
      <c r="D447" s="3" t="n">
        <v>2029</v>
      </c>
      <c r="E447" s="3" t="inlineStr">
        <is>
          <t>Meta Jeffersonville</t>
        </is>
      </c>
      <c r="F447" s="3" t="inlineStr">
        <is>
          <t>Meta</t>
        </is>
      </c>
      <c r="G447" s="3" t="inlineStr">
        <is>
          <t>United States</t>
        </is>
      </c>
      <c r="H447" s="25" t="n">
        <v>178</v>
      </c>
      <c r="I447" s="17" t="n">
        <v>1</v>
      </c>
      <c r="J447" s="17" t="n">
        <v>0.802</v>
      </c>
      <c r="K447" s="26" t="n">
        <v>0.198</v>
      </c>
      <c r="L447" s="3" t="inlineStr">
        <is>
          <t>2026-06-04</t>
        </is>
      </c>
      <c r="M447" s="27" t="n">
        <v>178</v>
      </c>
      <c r="N447" s="27" t="n">
        <v>178</v>
      </c>
      <c r="O447" s="3" t="inlineStr">
        <is>
          <t>confident</t>
        </is>
      </c>
      <c r="P447" s="3" t="inlineStr">
        <is>
          <t>B300</t>
        </is>
      </c>
      <c r="Q447" s="3" t="inlineStr">
        <is>
          <t>epoch_user_site_equal_split_seed</t>
        </is>
      </c>
      <c r="R447" s="3" t="inlineStr">
        <is>
          <t>SRC_EPOCH_AI_DATA_CENTERS; EPOCH_NORMALIZED_USER_SITES</t>
        </is>
      </c>
      <c r="S447" s="3" t="inlineStr">
        <is>
          <t>Capacity weight is used only to weight accelerator mix, not to overwrite company total power in 02_Inputs.</t>
        </is>
      </c>
    </row>
    <row r="448">
      <c r="A448" s="3" t="inlineStr">
        <is>
          <t>Bull|Meta|2030|Meta Jeffersonville</t>
        </is>
      </c>
      <c r="B448" s="3" t="inlineStr">
        <is>
          <t>Bull</t>
        </is>
      </c>
      <c r="C448" s="3" t="inlineStr">
        <is>
          <t>Meta</t>
        </is>
      </c>
      <c r="D448" s="3" t="n">
        <v>2030</v>
      </c>
      <c r="E448" s="3" t="inlineStr">
        <is>
          <t>Meta Jeffersonville</t>
        </is>
      </c>
      <c r="F448" s="3" t="inlineStr">
        <is>
          <t>Meta</t>
        </is>
      </c>
      <c r="G448" s="3" t="inlineStr">
        <is>
          <t>United States</t>
        </is>
      </c>
      <c r="H448" s="25" t="n">
        <v>178</v>
      </c>
      <c r="I448" s="17" t="n">
        <v>1</v>
      </c>
      <c r="J448" s="17" t="n">
        <v>0.86</v>
      </c>
      <c r="K448" s="26" t="n">
        <v>0.14</v>
      </c>
      <c r="L448" s="3" t="inlineStr">
        <is>
          <t>2026-06-04</t>
        </is>
      </c>
      <c r="M448" s="27" t="n">
        <v>178</v>
      </c>
      <c r="N448" s="27" t="n">
        <v>178</v>
      </c>
      <c r="O448" s="3" t="inlineStr">
        <is>
          <t>confident</t>
        </is>
      </c>
      <c r="P448" s="3" t="inlineStr">
        <is>
          <t>B300</t>
        </is>
      </c>
      <c r="Q448" s="3" t="inlineStr">
        <is>
          <t>epoch_user_site_equal_split_seed</t>
        </is>
      </c>
      <c r="R448" s="3" t="inlineStr">
        <is>
          <t>SRC_EPOCH_AI_DATA_CENTERS; EPOCH_NORMALIZED_USER_SITES</t>
        </is>
      </c>
      <c r="S448" s="3" t="inlineStr">
        <is>
          <t>Capacity weight is used only to weight accelerator mix, not to overwrite company total power in 02_Inputs.</t>
        </is>
      </c>
    </row>
    <row r="449">
      <c r="A449" s="3" t="inlineStr">
        <is>
          <t>Grid-Constrained / Efficiency-Upside|Meta|2026|Meta Jeffersonville</t>
        </is>
      </c>
      <c r="B449" s="3" t="inlineStr">
        <is>
          <t>Grid-Constrained / Efficiency-Upside</t>
        </is>
      </c>
      <c r="C449" s="3" t="inlineStr">
        <is>
          <t>Meta</t>
        </is>
      </c>
      <c r="D449" s="3" t="n">
        <v>2026</v>
      </c>
      <c r="E449" s="3" t="inlineStr">
        <is>
          <t>Meta Jeffersonville</t>
        </is>
      </c>
      <c r="F449" s="3" t="inlineStr">
        <is>
          <t>Meta</t>
        </is>
      </c>
      <c r="G449" s="3" t="inlineStr">
        <is>
          <t>United States</t>
        </is>
      </c>
      <c r="H449" s="25" t="n">
        <v>178</v>
      </c>
      <c r="I449" s="17" t="n">
        <v>1</v>
      </c>
      <c r="J449" s="17" t="n">
        <v>0.6</v>
      </c>
      <c r="K449" s="26" t="n">
        <v>0.4</v>
      </c>
      <c r="L449" s="3" t="inlineStr">
        <is>
          <t>2026-06-04</t>
        </is>
      </c>
      <c r="M449" s="27" t="n">
        <v>178</v>
      </c>
      <c r="N449" s="27" t="n">
        <v>178</v>
      </c>
      <c r="O449" s="3" t="inlineStr">
        <is>
          <t>confident</t>
        </is>
      </c>
      <c r="P449" s="3" t="inlineStr">
        <is>
          <t>B300</t>
        </is>
      </c>
      <c r="Q449" s="3" t="inlineStr">
        <is>
          <t>epoch_user_site_equal_split_seed</t>
        </is>
      </c>
      <c r="R449" s="3" t="inlineStr">
        <is>
          <t>SRC_EPOCH_AI_DATA_CENTERS; EPOCH_NORMALIZED_USER_SITES</t>
        </is>
      </c>
      <c r="S449" s="3" t="inlineStr">
        <is>
          <t>Capacity weight is used only to weight accelerator mix, not to overwrite company total power in 02_Inputs.</t>
        </is>
      </c>
    </row>
    <row r="450">
      <c r="A450" s="3" t="inlineStr">
        <is>
          <t>Grid-Constrained / Efficiency-Upside|Meta|2027|Meta Jeffersonville</t>
        </is>
      </c>
      <c r="B450" s="3" t="inlineStr">
        <is>
          <t>Grid-Constrained / Efficiency-Upside</t>
        </is>
      </c>
      <c r="C450" s="3" t="inlineStr">
        <is>
          <t>Meta</t>
        </is>
      </c>
      <c r="D450" s="3" t="n">
        <v>2027</v>
      </c>
      <c r="E450" s="3" t="inlineStr">
        <is>
          <t>Meta Jeffersonville</t>
        </is>
      </c>
      <c r="F450" s="3" t="inlineStr">
        <is>
          <t>Meta</t>
        </is>
      </c>
      <c r="G450" s="3" t="inlineStr">
        <is>
          <t>United States</t>
        </is>
      </c>
      <c r="H450" s="25" t="n">
        <v>178</v>
      </c>
      <c r="I450" s="17" t="n">
        <v>1</v>
      </c>
      <c r="J450" s="17" t="n">
        <v>0.655</v>
      </c>
      <c r="K450" s="26" t="n">
        <v>0.345</v>
      </c>
      <c r="L450" s="3" t="inlineStr">
        <is>
          <t>2026-06-04</t>
        </is>
      </c>
      <c r="M450" s="27" t="n">
        <v>178</v>
      </c>
      <c r="N450" s="27" t="n">
        <v>178</v>
      </c>
      <c r="O450" s="3" t="inlineStr">
        <is>
          <t>confident</t>
        </is>
      </c>
      <c r="P450" s="3" t="inlineStr">
        <is>
          <t>B300</t>
        </is>
      </c>
      <c r="Q450" s="3" t="inlineStr">
        <is>
          <t>epoch_user_site_equal_split_seed</t>
        </is>
      </c>
      <c r="R450" s="3" t="inlineStr">
        <is>
          <t>SRC_EPOCH_AI_DATA_CENTERS; EPOCH_NORMALIZED_USER_SITES</t>
        </is>
      </c>
      <c r="S450" s="3" t="inlineStr">
        <is>
          <t>Capacity weight is used only to weight accelerator mix, not to overwrite company total power in 02_Inputs.</t>
        </is>
      </c>
    </row>
    <row r="451">
      <c r="A451" s="3" t="inlineStr">
        <is>
          <t>Grid-Constrained / Efficiency-Upside|Meta|2028|Meta Jeffersonville</t>
        </is>
      </c>
      <c r="B451" s="3" t="inlineStr">
        <is>
          <t>Grid-Constrained / Efficiency-Upside</t>
        </is>
      </c>
      <c r="C451" s="3" t="inlineStr">
        <is>
          <t>Meta</t>
        </is>
      </c>
      <c r="D451" s="3" t="n">
        <v>2028</v>
      </c>
      <c r="E451" s="3" t="inlineStr">
        <is>
          <t>Meta Jeffersonville</t>
        </is>
      </c>
      <c r="F451" s="3" t="inlineStr">
        <is>
          <t>Meta</t>
        </is>
      </c>
      <c r="G451" s="3" t="inlineStr">
        <is>
          <t>United States</t>
        </is>
      </c>
      <c r="H451" s="25" t="n">
        <v>178</v>
      </c>
      <c r="I451" s="17" t="n">
        <v>1</v>
      </c>
      <c r="J451" s="17" t="n">
        <v>0.71</v>
      </c>
      <c r="K451" s="26" t="n">
        <v>0.29</v>
      </c>
      <c r="L451" s="3" t="inlineStr">
        <is>
          <t>2026-06-04</t>
        </is>
      </c>
      <c r="M451" s="27" t="n">
        <v>178</v>
      </c>
      <c r="N451" s="27" t="n">
        <v>178</v>
      </c>
      <c r="O451" s="3" t="inlineStr">
        <is>
          <t>confident</t>
        </is>
      </c>
      <c r="P451" s="3" t="inlineStr">
        <is>
          <t>B300</t>
        </is>
      </c>
      <c r="Q451" s="3" t="inlineStr">
        <is>
          <t>epoch_user_site_equal_split_seed</t>
        </is>
      </c>
      <c r="R451" s="3" t="inlineStr">
        <is>
          <t>SRC_EPOCH_AI_DATA_CENTERS; EPOCH_NORMALIZED_USER_SITES</t>
        </is>
      </c>
      <c r="S451" s="3" t="inlineStr">
        <is>
          <t>Capacity weight is used only to weight accelerator mix, not to overwrite company total power in 02_Inputs.</t>
        </is>
      </c>
    </row>
    <row r="452">
      <c r="A452" s="3" t="inlineStr">
        <is>
          <t>Grid-Constrained / Efficiency-Upside|Meta|2029|Meta Jeffersonville</t>
        </is>
      </c>
      <c r="B452" s="3" t="inlineStr">
        <is>
          <t>Grid-Constrained / Efficiency-Upside</t>
        </is>
      </c>
      <c r="C452" s="3" t="inlineStr">
        <is>
          <t>Meta</t>
        </is>
      </c>
      <c r="D452" s="3" t="n">
        <v>2029</v>
      </c>
      <c r="E452" s="3" t="inlineStr">
        <is>
          <t>Meta Jeffersonville</t>
        </is>
      </c>
      <c r="F452" s="3" t="inlineStr">
        <is>
          <t>Meta</t>
        </is>
      </c>
      <c r="G452" s="3" t="inlineStr">
        <is>
          <t>United States</t>
        </is>
      </c>
      <c r="H452" s="25" t="n">
        <v>178</v>
      </c>
      <c r="I452" s="17" t="n">
        <v>1</v>
      </c>
      <c r="J452" s="17" t="n">
        <v>0.765</v>
      </c>
      <c r="K452" s="26" t="n">
        <v>0.235</v>
      </c>
      <c r="L452" s="3" t="inlineStr">
        <is>
          <t>2026-06-04</t>
        </is>
      </c>
      <c r="M452" s="27" t="n">
        <v>178</v>
      </c>
      <c r="N452" s="27" t="n">
        <v>178</v>
      </c>
      <c r="O452" s="3" t="inlineStr">
        <is>
          <t>confident</t>
        </is>
      </c>
      <c r="P452" s="3" t="inlineStr">
        <is>
          <t>B300</t>
        </is>
      </c>
      <c r="Q452" s="3" t="inlineStr">
        <is>
          <t>epoch_user_site_equal_split_seed</t>
        </is>
      </c>
      <c r="R452" s="3" t="inlineStr">
        <is>
          <t>SRC_EPOCH_AI_DATA_CENTERS; EPOCH_NORMALIZED_USER_SITES</t>
        </is>
      </c>
      <c r="S452" s="3" t="inlineStr">
        <is>
          <t>Capacity weight is used only to weight accelerator mix, not to overwrite company total power in 02_Inputs.</t>
        </is>
      </c>
    </row>
    <row r="453">
      <c r="A453" s="3" t="inlineStr">
        <is>
          <t>Grid-Constrained / Efficiency-Upside|Meta|2030|Meta Jeffersonville</t>
        </is>
      </c>
      <c r="B453" s="3" t="inlineStr">
        <is>
          <t>Grid-Constrained / Efficiency-Upside</t>
        </is>
      </c>
      <c r="C453" s="3" t="inlineStr">
        <is>
          <t>Meta</t>
        </is>
      </c>
      <c r="D453" s="3" t="n">
        <v>2030</v>
      </c>
      <c r="E453" s="3" t="inlineStr">
        <is>
          <t>Meta Jeffersonville</t>
        </is>
      </c>
      <c r="F453" s="3" t="inlineStr">
        <is>
          <t>Meta</t>
        </is>
      </c>
      <c r="G453" s="3" t="inlineStr">
        <is>
          <t>United States</t>
        </is>
      </c>
      <c r="H453" s="25" t="n">
        <v>178</v>
      </c>
      <c r="I453" s="17" t="n">
        <v>1</v>
      </c>
      <c r="J453" s="17" t="n">
        <v>0.82</v>
      </c>
      <c r="K453" s="26" t="n">
        <v>0.18</v>
      </c>
      <c r="L453" s="3" t="inlineStr">
        <is>
          <t>2026-06-04</t>
        </is>
      </c>
      <c r="M453" s="27" t="n">
        <v>178</v>
      </c>
      <c r="N453" s="27" t="n">
        <v>178</v>
      </c>
      <c r="O453" s="3" t="inlineStr">
        <is>
          <t>confident</t>
        </is>
      </c>
      <c r="P453" s="3" t="inlineStr">
        <is>
          <t>B300</t>
        </is>
      </c>
      <c r="Q453" s="3" t="inlineStr">
        <is>
          <t>epoch_user_site_equal_split_seed</t>
        </is>
      </c>
      <c r="R453" s="3" t="inlineStr">
        <is>
          <t>SRC_EPOCH_AI_DATA_CENTERS; EPOCH_NORMALIZED_USER_SITES</t>
        </is>
      </c>
      <c r="S453" s="3" t="inlineStr">
        <is>
          <t>Capacity weight is used only to weight accelerator mix, not to overwrite company total power in 02_Inputs.</t>
        </is>
      </c>
    </row>
    <row r="454">
      <c r="A454" s="3" t="inlineStr">
        <is>
          <t>Bear|Meta|2026|Meta Kuna</t>
        </is>
      </c>
      <c r="B454" s="3" t="inlineStr">
        <is>
          <t>Bear</t>
        </is>
      </c>
      <c r="C454" s="3" t="inlineStr">
        <is>
          <t>Meta</t>
        </is>
      </c>
      <c r="D454" s="3" t="n">
        <v>2026</v>
      </c>
      <c r="E454" s="3" t="inlineStr">
        <is>
          <t>Meta Kuna</t>
        </is>
      </c>
      <c r="F454" s="3" t="inlineStr">
        <is>
          <t>Meta</t>
        </is>
      </c>
      <c r="G454" s="3" t="inlineStr">
        <is>
          <t>United States</t>
        </is>
      </c>
      <c r="H454" s="25" t="n">
        <v>152</v>
      </c>
      <c r="I454" s="17" t="n">
        <v>1</v>
      </c>
      <c r="J454" s="17" t="n">
        <v>0.5</v>
      </c>
      <c r="K454" s="26" t="n">
        <v>0.5</v>
      </c>
      <c r="L454" s="3" t="inlineStr">
        <is>
          <t>2026-06-01</t>
        </is>
      </c>
      <c r="M454" s="27" t="n">
        <v>152</v>
      </c>
      <c r="N454" s="27" t="n">
        <v>152</v>
      </c>
      <c r="O454" s="3" t="inlineStr">
        <is>
          <t>confident</t>
        </is>
      </c>
      <c r="P454" s="3" t="inlineStr">
        <is>
          <t>B300</t>
        </is>
      </c>
      <c r="Q454" s="3" t="inlineStr">
        <is>
          <t>epoch_user_site_equal_split_seed</t>
        </is>
      </c>
      <c r="R454" s="3" t="inlineStr">
        <is>
          <t>SRC_EPOCH_AI_DATA_CENTERS; EPOCH_NORMALIZED_USER_SITES</t>
        </is>
      </c>
      <c r="S454" s="3" t="inlineStr">
        <is>
          <t>Capacity weight is used only to weight accelerator mix, not to overwrite company total power in 02_Inputs.</t>
        </is>
      </c>
    </row>
    <row r="455">
      <c r="A455" s="3" t="inlineStr">
        <is>
          <t>Bear|Meta|2027|Meta Kuna</t>
        </is>
      </c>
      <c r="B455" s="3" t="inlineStr">
        <is>
          <t>Bear</t>
        </is>
      </c>
      <c r="C455" s="3" t="inlineStr">
        <is>
          <t>Meta</t>
        </is>
      </c>
      <c r="D455" s="3" t="n">
        <v>2027</v>
      </c>
      <c r="E455" s="3" t="inlineStr">
        <is>
          <t>Meta Kuna</t>
        </is>
      </c>
      <c r="F455" s="3" t="inlineStr">
        <is>
          <t>Meta</t>
        </is>
      </c>
      <c r="G455" s="3" t="inlineStr">
        <is>
          <t>United States</t>
        </is>
      </c>
      <c r="H455" s="25" t="n">
        <v>152</v>
      </c>
      <c r="I455" s="17" t="n">
        <v>1</v>
      </c>
      <c r="J455" s="17" t="n">
        <v>0.545</v>
      </c>
      <c r="K455" s="26" t="n">
        <v>0.455</v>
      </c>
      <c r="L455" s="3" t="inlineStr">
        <is>
          <t>2026-06-01</t>
        </is>
      </c>
      <c r="M455" s="27" t="n">
        <v>152</v>
      </c>
      <c r="N455" s="27" t="n">
        <v>152</v>
      </c>
      <c r="O455" s="3" t="inlineStr">
        <is>
          <t>confident</t>
        </is>
      </c>
      <c r="P455" s="3" t="inlineStr">
        <is>
          <t>B300</t>
        </is>
      </c>
      <c r="Q455" s="3" t="inlineStr">
        <is>
          <t>epoch_user_site_equal_split_seed</t>
        </is>
      </c>
      <c r="R455" s="3" t="inlineStr">
        <is>
          <t>SRC_EPOCH_AI_DATA_CENTERS; EPOCH_NORMALIZED_USER_SITES</t>
        </is>
      </c>
      <c r="S455" s="3" t="inlineStr">
        <is>
          <t>Capacity weight is used only to weight accelerator mix, not to overwrite company total power in 02_Inputs.</t>
        </is>
      </c>
    </row>
    <row r="456">
      <c r="A456" s="3" t="inlineStr">
        <is>
          <t>Bear|Meta|2028|Meta Kuna</t>
        </is>
      </c>
      <c r="B456" s="3" t="inlineStr">
        <is>
          <t>Bear</t>
        </is>
      </c>
      <c r="C456" s="3" t="inlineStr">
        <is>
          <t>Meta</t>
        </is>
      </c>
      <c r="D456" s="3" t="n">
        <v>2028</v>
      </c>
      <c r="E456" s="3" t="inlineStr">
        <is>
          <t>Meta Kuna</t>
        </is>
      </c>
      <c r="F456" s="3" t="inlineStr">
        <is>
          <t>Meta</t>
        </is>
      </c>
      <c r="G456" s="3" t="inlineStr">
        <is>
          <t>United States</t>
        </is>
      </c>
      <c r="H456" s="25" t="n">
        <v>152</v>
      </c>
      <c r="I456" s="17" t="n">
        <v>1</v>
      </c>
      <c r="J456" s="17" t="n">
        <v>0.59</v>
      </c>
      <c r="K456" s="26" t="n">
        <v>0.41</v>
      </c>
      <c r="L456" s="3" t="inlineStr">
        <is>
          <t>2026-06-01</t>
        </is>
      </c>
      <c r="M456" s="27" t="n">
        <v>152</v>
      </c>
      <c r="N456" s="27" t="n">
        <v>152</v>
      </c>
      <c r="O456" s="3" t="inlineStr">
        <is>
          <t>confident</t>
        </is>
      </c>
      <c r="P456" s="3" t="inlineStr">
        <is>
          <t>B300</t>
        </is>
      </c>
      <c r="Q456" s="3" t="inlineStr">
        <is>
          <t>epoch_user_site_equal_split_seed</t>
        </is>
      </c>
      <c r="R456" s="3" t="inlineStr">
        <is>
          <t>SRC_EPOCH_AI_DATA_CENTERS; EPOCH_NORMALIZED_USER_SITES</t>
        </is>
      </c>
      <c r="S456" s="3" t="inlineStr">
        <is>
          <t>Capacity weight is used only to weight accelerator mix, not to overwrite company total power in 02_Inputs.</t>
        </is>
      </c>
    </row>
    <row r="457">
      <c r="A457" s="3" t="inlineStr">
        <is>
          <t>Bear|Meta|2029|Meta Kuna</t>
        </is>
      </c>
      <c r="B457" s="3" t="inlineStr">
        <is>
          <t>Bear</t>
        </is>
      </c>
      <c r="C457" s="3" t="inlineStr">
        <is>
          <t>Meta</t>
        </is>
      </c>
      <c r="D457" s="3" t="n">
        <v>2029</v>
      </c>
      <c r="E457" s="3" t="inlineStr">
        <is>
          <t>Meta Kuna</t>
        </is>
      </c>
      <c r="F457" s="3" t="inlineStr">
        <is>
          <t>Meta</t>
        </is>
      </c>
      <c r="G457" s="3" t="inlineStr">
        <is>
          <t>United States</t>
        </is>
      </c>
      <c r="H457" s="25" t="n">
        <v>152</v>
      </c>
      <c r="I457" s="17" t="n">
        <v>1</v>
      </c>
      <c r="J457" s="17" t="n">
        <v>0.635</v>
      </c>
      <c r="K457" s="26" t="n">
        <v>0.365</v>
      </c>
      <c r="L457" s="3" t="inlineStr">
        <is>
          <t>2026-06-01</t>
        </is>
      </c>
      <c r="M457" s="27" t="n">
        <v>152</v>
      </c>
      <c r="N457" s="27" t="n">
        <v>152</v>
      </c>
      <c r="O457" s="3" t="inlineStr">
        <is>
          <t>confident</t>
        </is>
      </c>
      <c r="P457" s="3" t="inlineStr">
        <is>
          <t>B300</t>
        </is>
      </c>
      <c r="Q457" s="3" t="inlineStr">
        <is>
          <t>epoch_user_site_equal_split_seed</t>
        </is>
      </c>
      <c r="R457" s="3" t="inlineStr">
        <is>
          <t>SRC_EPOCH_AI_DATA_CENTERS; EPOCH_NORMALIZED_USER_SITES</t>
        </is>
      </c>
      <c r="S457" s="3" t="inlineStr">
        <is>
          <t>Capacity weight is used only to weight accelerator mix, not to overwrite company total power in 02_Inputs.</t>
        </is>
      </c>
    </row>
    <row r="458">
      <c r="A458" s="3" t="inlineStr">
        <is>
          <t>Bear|Meta|2030|Meta Kuna</t>
        </is>
      </c>
      <c r="B458" s="3" t="inlineStr">
        <is>
          <t>Bear</t>
        </is>
      </c>
      <c r="C458" s="3" t="inlineStr">
        <is>
          <t>Meta</t>
        </is>
      </c>
      <c r="D458" s="3" t="n">
        <v>2030</v>
      </c>
      <c r="E458" s="3" t="inlineStr">
        <is>
          <t>Meta Kuna</t>
        </is>
      </c>
      <c r="F458" s="3" t="inlineStr">
        <is>
          <t>Meta</t>
        </is>
      </c>
      <c r="G458" s="3" t="inlineStr">
        <is>
          <t>United States</t>
        </is>
      </c>
      <c r="H458" s="25" t="n">
        <v>152</v>
      </c>
      <c r="I458" s="17" t="n">
        <v>1</v>
      </c>
      <c r="J458" s="17" t="n">
        <v>0.68</v>
      </c>
      <c r="K458" s="26" t="n">
        <v>0.32</v>
      </c>
      <c r="L458" s="3" t="inlineStr">
        <is>
          <t>2026-06-01</t>
        </is>
      </c>
      <c r="M458" s="27" t="n">
        <v>152</v>
      </c>
      <c r="N458" s="27" t="n">
        <v>152</v>
      </c>
      <c r="O458" s="3" t="inlineStr">
        <is>
          <t>confident</t>
        </is>
      </c>
      <c r="P458" s="3" t="inlineStr">
        <is>
          <t>B300</t>
        </is>
      </c>
      <c r="Q458" s="3" t="inlineStr">
        <is>
          <t>epoch_user_site_equal_split_seed</t>
        </is>
      </c>
      <c r="R458" s="3" t="inlineStr">
        <is>
          <t>SRC_EPOCH_AI_DATA_CENTERS; EPOCH_NORMALIZED_USER_SITES</t>
        </is>
      </c>
      <c r="S458" s="3" t="inlineStr">
        <is>
          <t>Capacity weight is used only to weight accelerator mix, not to overwrite company total power in 02_Inputs.</t>
        </is>
      </c>
    </row>
    <row r="459">
      <c r="A459" s="3" t="inlineStr">
        <is>
          <t>Base|Meta|2026|Meta Kuna</t>
        </is>
      </c>
      <c r="B459" s="3" t="inlineStr">
        <is>
          <t>Base</t>
        </is>
      </c>
      <c r="C459" s="3" t="inlineStr">
        <is>
          <t>Meta</t>
        </is>
      </c>
      <c r="D459" s="3" t="n">
        <v>2026</v>
      </c>
      <c r="E459" s="3" t="inlineStr">
        <is>
          <t>Meta Kuna</t>
        </is>
      </c>
      <c r="F459" s="3" t="inlineStr">
        <is>
          <t>Meta</t>
        </is>
      </c>
      <c r="G459" s="3" t="inlineStr">
        <is>
          <t>United States</t>
        </is>
      </c>
      <c r="H459" s="25" t="n">
        <v>152</v>
      </c>
      <c r="I459" s="17" t="n">
        <v>1</v>
      </c>
      <c r="J459" s="17" t="n">
        <v>0.58</v>
      </c>
      <c r="K459" s="26" t="n">
        <v>0.42</v>
      </c>
      <c r="L459" s="3" t="inlineStr">
        <is>
          <t>2026-06-01</t>
        </is>
      </c>
      <c r="M459" s="27" t="n">
        <v>152</v>
      </c>
      <c r="N459" s="27" t="n">
        <v>152</v>
      </c>
      <c r="O459" s="3" t="inlineStr">
        <is>
          <t>confident</t>
        </is>
      </c>
      <c r="P459" s="3" t="inlineStr">
        <is>
          <t>B300</t>
        </is>
      </c>
      <c r="Q459" s="3" t="inlineStr">
        <is>
          <t>epoch_user_site_equal_split_seed</t>
        </is>
      </c>
      <c r="R459" s="3" t="inlineStr">
        <is>
          <t>SRC_EPOCH_AI_DATA_CENTERS; EPOCH_NORMALIZED_USER_SITES</t>
        </is>
      </c>
      <c r="S459" s="3" t="inlineStr">
        <is>
          <t>Capacity weight is used only to weight accelerator mix, not to overwrite company total power in 02_Inputs.</t>
        </is>
      </c>
    </row>
    <row r="460">
      <c r="A460" s="3" t="inlineStr">
        <is>
          <t>Base|Meta|2027|Meta Kuna</t>
        </is>
      </c>
      <c r="B460" s="3" t="inlineStr">
        <is>
          <t>Base</t>
        </is>
      </c>
      <c r="C460" s="3" t="inlineStr">
        <is>
          <t>Meta</t>
        </is>
      </c>
      <c r="D460" s="3" t="n">
        <v>2027</v>
      </c>
      <c r="E460" s="3" t="inlineStr">
        <is>
          <t>Meta Kuna</t>
        </is>
      </c>
      <c r="F460" s="3" t="inlineStr">
        <is>
          <t>Meta</t>
        </is>
      </c>
      <c r="G460" s="3" t="inlineStr">
        <is>
          <t>United States</t>
        </is>
      </c>
      <c r="H460" s="25" t="n">
        <v>152</v>
      </c>
      <c r="I460" s="17" t="n">
        <v>1</v>
      </c>
      <c r="J460" s="17" t="n">
        <v>0.63</v>
      </c>
      <c r="K460" s="26" t="n">
        <v>0.37</v>
      </c>
      <c r="L460" s="3" t="inlineStr">
        <is>
          <t>2026-06-01</t>
        </is>
      </c>
      <c r="M460" s="27" t="n">
        <v>152</v>
      </c>
      <c r="N460" s="27" t="n">
        <v>152</v>
      </c>
      <c r="O460" s="3" t="inlineStr">
        <is>
          <t>confident</t>
        </is>
      </c>
      <c r="P460" s="3" t="inlineStr">
        <is>
          <t>B300</t>
        </is>
      </c>
      <c r="Q460" s="3" t="inlineStr">
        <is>
          <t>epoch_user_site_equal_split_seed</t>
        </is>
      </c>
      <c r="R460" s="3" t="inlineStr">
        <is>
          <t>SRC_EPOCH_AI_DATA_CENTERS; EPOCH_NORMALIZED_USER_SITES</t>
        </is>
      </c>
      <c r="S460" s="3" t="inlineStr">
        <is>
          <t>Capacity weight is used only to weight accelerator mix, not to overwrite company total power in 02_Inputs.</t>
        </is>
      </c>
    </row>
    <row r="461">
      <c r="A461" s="3" t="inlineStr">
        <is>
          <t>Base|Meta|2028|Meta Kuna</t>
        </is>
      </c>
      <c r="B461" s="3" t="inlineStr">
        <is>
          <t>Base</t>
        </is>
      </c>
      <c r="C461" s="3" t="inlineStr">
        <is>
          <t>Meta</t>
        </is>
      </c>
      <c r="D461" s="3" t="n">
        <v>2028</v>
      </c>
      <c r="E461" s="3" t="inlineStr">
        <is>
          <t>Meta Kuna</t>
        </is>
      </c>
      <c r="F461" s="3" t="inlineStr">
        <is>
          <t>Meta</t>
        </is>
      </c>
      <c r="G461" s="3" t="inlineStr">
        <is>
          <t>United States</t>
        </is>
      </c>
      <c r="H461" s="25" t="n">
        <v>152</v>
      </c>
      <c r="I461" s="17" t="n">
        <v>1</v>
      </c>
      <c r="J461" s="17" t="n">
        <v>0.68</v>
      </c>
      <c r="K461" s="26" t="n">
        <v>0.32</v>
      </c>
      <c r="L461" s="3" t="inlineStr">
        <is>
          <t>2026-06-01</t>
        </is>
      </c>
      <c r="M461" s="27" t="n">
        <v>152</v>
      </c>
      <c r="N461" s="27" t="n">
        <v>152</v>
      </c>
      <c r="O461" s="3" t="inlineStr">
        <is>
          <t>confident</t>
        </is>
      </c>
      <c r="P461" s="3" t="inlineStr">
        <is>
          <t>B300</t>
        </is>
      </c>
      <c r="Q461" s="3" t="inlineStr">
        <is>
          <t>epoch_user_site_equal_split_seed</t>
        </is>
      </c>
      <c r="R461" s="3" t="inlineStr">
        <is>
          <t>SRC_EPOCH_AI_DATA_CENTERS; EPOCH_NORMALIZED_USER_SITES</t>
        </is>
      </c>
      <c r="S461" s="3" t="inlineStr">
        <is>
          <t>Capacity weight is used only to weight accelerator mix, not to overwrite company total power in 02_Inputs.</t>
        </is>
      </c>
    </row>
    <row r="462">
      <c r="A462" s="3" t="inlineStr">
        <is>
          <t>Base|Meta|2029|Meta Kuna</t>
        </is>
      </c>
      <c r="B462" s="3" t="inlineStr">
        <is>
          <t>Base</t>
        </is>
      </c>
      <c r="C462" s="3" t="inlineStr">
        <is>
          <t>Meta</t>
        </is>
      </c>
      <c r="D462" s="3" t="n">
        <v>2029</v>
      </c>
      <c r="E462" s="3" t="inlineStr">
        <is>
          <t>Meta Kuna</t>
        </is>
      </c>
      <c r="F462" s="3" t="inlineStr">
        <is>
          <t>Meta</t>
        </is>
      </c>
      <c r="G462" s="3" t="inlineStr">
        <is>
          <t>United States</t>
        </is>
      </c>
      <c r="H462" s="25" t="n">
        <v>152</v>
      </c>
      <c r="I462" s="17" t="n">
        <v>1</v>
      </c>
      <c r="J462" s="17" t="n">
        <v>0.73</v>
      </c>
      <c r="K462" s="26" t="n">
        <v>0.27</v>
      </c>
      <c r="L462" s="3" t="inlineStr">
        <is>
          <t>2026-06-01</t>
        </is>
      </c>
      <c r="M462" s="27" t="n">
        <v>152</v>
      </c>
      <c r="N462" s="27" t="n">
        <v>152</v>
      </c>
      <c r="O462" s="3" t="inlineStr">
        <is>
          <t>confident</t>
        </is>
      </c>
      <c r="P462" s="3" t="inlineStr">
        <is>
          <t>B300</t>
        </is>
      </c>
      <c r="Q462" s="3" t="inlineStr">
        <is>
          <t>epoch_user_site_equal_split_seed</t>
        </is>
      </c>
      <c r="R462" s="3" t="inlineStr">
        <is>
          <t>SRC_EPOCH_AI_DATA_CENTERS; EPOCH_NORMALIZED_USER_SITES</t>
        </is>
      </c>
      <c r="S462" s="3" t="inlineStr">
        <is>
          <t>Capacity weight is used only to weight accelerator mix, not to overwrite company total power in 02_Inputs.</t>
        </is>
      </c>
    </row>
    <row r="463">
      <c r="A463" s="3" t="inlineStr">
        <is>
          <t>Base|Meta|2030|Meta Kuna</t>
        </is>
      </c>
      <c r="B463" s="3" t="inlineStr">
        <is>
          <t>Base</t>
        </is>
      </c>
      <c r="C463" s="3" t="inlineStr">
        <is>
          <t>Meta</t>
        </is>
      </c>
      <c r="D463" s="3" t="n">
        <v>2030</v>
      </c>
      <c r="E463" s="3" t="inlineStr">
        <is>
          <t>Meta Kuna</t>
        </is>
      </c>
      <c r="F463" s="3" t="inlineStr">
        <is>
          <t>Meta</t>
        </is>
      </c>
      <c r="G463" s="3" t="inlineStr">
        <is>
          <t>United States</t>
        </is>
      </c>
      <c r="H463" s="25" t="n">
        <v>152</v>
      </c>
      <c r="I463" s="17" t="n">
        <v>1</v>
      </c>
      <c r="J463" s="17" t="n">
        <v>0.78</v>
      </c>
      <c r="K463" s="26" t="n">
        <v>0.22</v>
      </c>
      <c r="L463" s="3" t="inlineStr">
        <is>
          <t>2026-06-01</t>
        </is>
      </c>
      <c r="M463" s="27" t="n">
        <v>152</v>
      </c>
      <c r="N463" s="27" t="n">
        <v>152</v>
      </c>
      <c r="O463" s="3" t="inlineStr">
        <is>
          <t>confident</t>
        </is>
      </c>
      <c r="P463" s="3" t="inlineStr">
        <is>
          <t>B300</t>
        </is>
      </c>
      <c r="Q463" s="3" t="inlineStr">
        <is>
          <t>epoch_user_site_equal_split_seed</t>
        </is>
      </c>
      <c r="R463" s="3" t="inlineStr">
        <is>
          <t>SRC_EPOCH_AI_DATA_CENTERS; EPOCH_NORMALIZED_USER_SITES</t>
        </is>
      </c>
      <c r="S463" s="3" t="inlineStr">
        <is>
          <t>Capacity weight is used only to weight accelerator mix, not to overwrite company total power in 02_Inputs.</t>
        </is>
      </c>
    </row>
    <row r="464">
      <c r="A464" s="3" t="inlineStr">
        <is>
          <t>Bull|Meta|2026|Meta Kuna</t>
        </is>
      </c>
      <c r="B464" s="3" t="inlineStr">
        <is>
          <t>Bull</t>
        </is>
      </c>
      <c r="C464" s="3" t="inlineStr">
        <is>
          <t>Meta</t>
        </is>
      </c>
      <c r="D464" s="3" t="n">
        <v>2026</v>
      </c>
      <c r="E464" s="3" t="inlineStr">
        <is>
          <t>Meta Kuna</t>
        </is>
      </c>
      <c r="F464" s="3" t="inlineStr">
        <is>
          <t>Meta</t>
        </is>
      </c>
      <c r="G464" s="3" t="inlineStr">
        <is>
          <t>United States</t>
        </is>
      </c>
      <c r="H464" s="25" t="n">
        <v>152</v>
      </c>
      <c r="I464" s="17" t="n">
        <v>1</v>
      </c>
      <c r="J464" s="17" t="n">
        <v>0.63</v>
      </c>
      <c r="K464" s="26" t="n">
        <v>0.37</v>
      </c>
      <c r="L464" s="3" t="inlineStr">
        <is>
          <t>2026-06-01</t>
        </is>
      </c>
      <c r="M464" s="27" t="n">
        <v>152</v>
      </c>
      <c r="N464" s="27" t="n">
        <v>152</v>
      </c>
      <c r="O464" s="3" t="inlineStr">
        <is>
          <t>confident</t>
        </is>
      </c>
      <c r="P464" s="3" t="inlineStr">
        <is>
          <t>B300</t>
        </is>
      </c>
      <c r="Q464" s="3" t="inlineStr">
        <is>
          <t>epoch_user_site_equal_split_seed</t>
        </is>
      </c>
      <c r="R464" s="3" t="inlineStr">
        <is>
          <t>SRC_EPOCH_AI_DATA_CENTERS; EPOCH_NORMALIZED_USER_SITES</t>
        </is>
      </c>
      <c r="S464" s="3" t="inlineStr">
        <is>
          <t>Capacity weight is used only to weight accelerator mix, not to overwrite company total power in 02_Inputs.</t>
        </is>
      </c>
    </row>
    <row r="465">
      <c r="A465" s="3" t="inlineStr">
        <is>
          <t>Bull|Meta|2027|Meta Kuna</t>
        </is>
      </c>
      <c r="B465" s="3" t="inlineStr">
        <is>
          <t>Bull</t>
        </is>
      </c>
      <c r="C465" s="3" t="inlineStr">
        <is>
          <t>Meta</t>
        </is>
      </c>
      <c r="D465" s="3" t="n">
        <v>2027</v>
      </c>
      <c r="E465" s="3" t="inlineStr">
        <is>
          <t>Meta Kuna</t>
        </is>
      </c>
      <c r="F465" s="3" t="inlineStr">
        <is>
          <t>Meta</t>
        </is>
      </c>
      <c r="G465" s="3" t="inlineStr">
        <is>
          <t>United States</t>
        </is>
      </c>
      <c r="H465" s="25" t="n">
        <v>152</v>
      </c>
      <c r="I465" s="17" t="n">
        <v>1</v>
      </c>
      <c r="J465" s="17" t="n">
        <v>0.6879999999999999</v>
      </c>
      <c r="K465" s="26" t="n">
        <v>0.312</v>
      </c>
      <c r="L465" s="3" t="inlineStr">
        <is>
          <t>2026-06-01</t>
        </is>
      </c>
      <c r="M465" s="27" t="n">
        <v>152</v>
      </c>
      <c r="N465" s="27" t="n">
        <v>152</v>
      </c>
      <c r="O465" s="3" t="inlineStr">
        <is>
          <t>confident</t>
        </is>
      </c>
      <c r="P465" s="3" t="inlineStr">
        <is>
          <t>B300</t>
        </is>
      </c>
      <c r="Q465" s="3" t="inlineStr">
        <is>
          <t>epoch_user_site_equal_split_seed</t>
        </is>
      </c>
      <c r="R465" s="3" t="inlineStr">
        <is>
          <t>SRC_EPOCH_AI_DATA_CENTERS; EPOCH_NORMALIZED_USER_SITES</t>
        </is>
      </c>
      <c r="S465" s="3" t="inlineStr">
        <is>
          <t>Capacity weight is used only to weight accelerator mix, not to overwrite company total power in 02_Inputs.</t>
        </is>
      </c>
    </row>
    <row r="466">
      <c r="A466" s="3" t="inlineStr">
        <is>
          <t>Bull|Meta|2028|Meta Kuna</t>
        </is>
      </c>
      <c r="B466" s="3" t="inlineStr">
        <is>
          <t>Bull</t>
        </is>
      </c>
      <c r="C466" s="3" t="inlineStr">
        <is>
          <t>Meta</t>
        </is>
      </c>
      <c r="D466" s="3" t="n">
        <v>2028</v>
      </c>
      <c r="E466" s="3" t="inlineStr">
        <is>
          <t>Meta Kuna</t>
        </is>
      </c>
      <c r="F466" s="3" t="inlineStr">
        <is>
          <t>Meta</t>
        </is>
      </c>
      <c r="G466" s="3" t="inlineStr">
        <is>
          <t>United States</t>
        </is>
      </c>
      <c r="H466" s="25" t="n">
        <v>152</v>
      </c>
      <c r="I466" s="17" t="n">
        <v>1</v>
      </c>
      <c r="J466" s="17" t="n">
        <v>0.745</v>
      </c>
      <c r="K466" s="26" t="n">
        <v>0.255</v>
      </c>
      <c r="L466" s="3" t="inlineStr">
        <is>
          <t>2026-06-01</t>
        </is>
      </c>
      <c r="M466" s="27" t="n">
        <v>152</v>
      </c>
      <c r="N466" s="27" t="n">
        <v>152</v>
      </c>
      <c r="O466" s="3" t="inlineStr">
        <is>
          <t>confident</t>
        </is>
      </c>
      <c r="P466" s="3" t="inlineStr">
        <is>
          <t>B300</t>
        </is>
      </c>
      <c r="Q466" s="3" t="inlineStr">
        <is>
          <t>epoch_user_site_equal_split_seed</t>
        </is>
      </c>
      <c r="R466" s="3" t="inlineStr">
        <is>
          <t>SRC_EPOCH_AI_DATA_CENTERS; EPOCH_NORMALIZED_USER_SITES</t>
        </is>
      </c>
      <c r="S466" s="3" t="inlineStr">
        <is>
          <t>Capacity weight is used only to weight accelerator mix, not to overwrite company total power in 02_Inputs.</t>
        </is>
      </c>
    </row>
    <row r="467">
      <c r="A467" s="3" t="inlineStr">
        <is>
          <t>Bull|Meta|2029|Meta Kuna</t>
        </is>
      </c>
      <c r="B467" s="3" t="inlineStr">
        <is>
          <t>Bull</t>
        </is>
      </c>
      <c r="C467" s="3" t="inlineStr">
        <is>
          <t>Meta</t>
        </is>
      </c>
      <c r="D467" s="3" t="n">
        <v>2029</v>
      </c>
      <c r="E467" s="3" t="inlineStr">
        <is>
          <t>Meta Kuna</t>
        </is>
      </c>
      <c r="F467" s="3" t="inlineStr">
        <is>
          <t>Meta</t>
        </is>
      </c>
      <c r="G467" s="3" t="inlineStr">
        <is>
          <t>United States</t>
        </is>
      </c>
      <c r="H467" s="25" t="n">
        <v>152</v>
      </c>
      <c r="I467" s="17" t="n">
        <v>1</v>
      </c>
      <c r="J467" s="17" t="n">
        <v>0.802</v>
      </c>
      <c r="K467" s="26" t="n">
        <v>0.198</v>
      </c>
      <c r="L467" s="3" t="inlineStr">
        <is>
          <t>2026-06-01</t>
        </is>
      </c>
      <c r="M467" s="27" t="n">
        <v>152</v>
      </c>
      <c r="N467" s="27" t="n">
        <v>152</v>
      </c>
      <c r="O467" s="3" t="inlineStr">
        <is>
          <t>confident</t>
        </is>
      </c>
      <c r="P467" s="3" t="inlineStr">
        <is>
          <t>B300</t>
        </is>
      </c>
      <c r="Q467" s="3" t="inlineStr">
        <is>
          <t>epoch_user_site_equal_split_seed</t>
        </is>
      </c>
      <c r="R467" s="3" t="inlineStr">
        <is>
          <t>SRC_EPOCH_AI_DATA_CENTERS; EPOCH_NORMALIZED_USER_SITES</t>
        </is>
      </c>
      <c r="S467" s="3" t="inlineStr">
        <is>
          <t>Capacity weight is used only to weight accelerator mix, not to overwrite company total power in 02_Inputs.</t>
        </is>
      </c>
    </row>
    <row r="468">
      <c r="A468" s="3" t="inlineStr">
        <is>
          <t>Bull|Meta|2030|Meta Kuna</t>
        </is>
      </c>
      <c r="B468" s="3" t="inlineStr">
        <is>
          <t>Bull</t>
        </is>
      </c>
      <c r="C468" s="3" t="inlineStr">
        <is>
          <t>Meta</t>
        </is>
      </c>
      <c r="D468" s="3" t="n">
        <v>2030</v>
      </c>
      <c r="E468" s="3" t="inlineStr">
        <is>
          <t>Meta Kuna</t>
        </is>
      </c>
      <c r="F468" s="3" t="inlineStr">
        <is>
          <t>Meta</t>
        </is>
      </c>
      <c r="G468" s="3" t="inlineStr">
        <is>
          <t>United States</t>
        </is>
      </c>
      <c r="H468" s="25" t="n">
        <v>152</v>
      </c>
      <c r="I468" s="17" t="n">
        <v>1</v>
      </c>
      <c r="J468" s="17" t="n">
        <v>0.86</v>
      </c>
      <c r="K468" s="26" t="n">
        <v>0.14</v>
      </c>
      <c r="L468" s="3" t="inlineStr">
        <is>
          <t>2026-06-01</t>
        </is>
      </c>
      <c r="M468" s="27" t="n">
        <v>152</v>
      </c>
      <c r="N468" s="27" t="n">
        <v>152</v>
      </c>
      <c r="O468" s="3" t="inlineStr">
        <is>
          <t>confident</t>
        </is>
      </c>
      <c r="P468" s="3" t="inlineStr">
        <is>
          <t>B300</t>
        </is>
      </c>
      <c r="Q468" s="3" t="inlineStr">
        <is>
          <t>epoch_user_site_equal_split_seed</t>
        </is>
      </c>
      <c r="R468" s="3" t="inlineStr">
        <is>
          <t>SRC_EPOCH_AI_DATA_CENTERS; EPOCH_NORMALIZED_USER_SITES</t>
        </is>
      </c>
      <c r="S468" s="3" t="inlineStr">
        <is>
          <t>Capacity weight is used only to weight accelerator mix, not to overwrite company total power in 02_Inputs.</t>
        </is>
      </c>
    </row>
    <row r="469">
      <c r="A469" s="3" t="inlineStr">
        <is>
          <t>Grid-Constrained / Efficiency-Upside|Meta|2026|Meta Kuna</t>
        </is>
      </c>
      <c r="B469" s="3" t="inlineStr">
        <is>
          <t>Grid-Constrained / Efficiency-Upside</t>
        </is>
      </c>
      <c r="C469" s="3" t="inlineStr">
        <is>
          <t>Meta</t>
        </is>
      </c>
      <c r="D469" s="3" t="n">
        <v>2026</v>
      </c>
      <c r="E469" s="3" t="inlineStr">
        <is>
          <t>Meta Kuna</t>
        </is>
      </c>
      <c r="F469" s="3" t="inlineStr">
        <is>
          <t>Meta</t>
        </is>
      </c>
      <c r="G469" s="3" t="inlineStr">
        <is>
          <t>United States</t>
        </is>
      </c>
      <c r="H469" s="25" t="n">
        <v>152</v>
      </c>
      <c r="I469" s="17" t="n">
        <v>1</v>
      </c>
      <c r="J469" s="17" t="n">
        <v>0.6</v>
      </c>
      <c r="K469" s="26" t="n">
        <v>0.4</v>
      </c>
      <c r="L469" s="3" t="inlineStr">
        <is>
          <t>2026-06-01</t>
        </is>
      </c>
      <c r="M469" s="27" t="n">
        <v>152</v>
      </c>
      <c r="N469" s="27" t="n">
        <v>152</v>
      </c>
      <c r="O469" s="3" t="inlineStr">
        <is>
          <t>confident</t>
        </is>
      </c>
      <c r="P469" s="3" t="inlineStr">
        <is>
          <t>B300</t>
        </is>
      </c>
      <c r="Q469" s="3" t="inlineStr">
        <is>
          <t>epoch_user_site_equal_split_seed</t>
        </is>
      </c>
      <c r="R469" s="3" t="inlineStr">
        <is>
          <t>SRC_EPOCH_AI_DATA_CENTERS; EPOCH_NORMALIZED_USER_SITES</t>
        </is>
      </c>
      <c r="S469" s="3" t="inlineStr">
        <is>
          <t>Capacity weight is used only to weight accelerator mix, not to overwrite company total power in 02_Inputs.</t>
        </is>
      </c>
    </row>
    <row r="470">
      <c r="A470" s="3" t="inlineStr">
        <is>
          <t>Grid-Constrained / Efficiency-Upside|Meta|2027|Meta Kuna</t>
        </is>
      </c>
      <c r="B470" s="3" t="inlineStr">
        <is>
          <t>Grid-Constrained / Efficiency-Upside</t>
        </is>
      </c>
      <c r="C470" s="3" t="inlineStr">
        <is>
          <t>Meta</t>
        </is>
      </c>
      <c r="D470" s="3" t="n">
        <v>2027</v>
      </c>
      <c r="E470" s="3" t="inlineStr">
        <is>
          <t>Meta Kuna</t>
        </is>
      </c>
      <c r="F470" s="3" t="inlineStr">
        <is>
          <t>Meta</t>
        </is>
      </c>
      <c r="G470" s="3" t="inlineStr">
        <is>
          <t>United States</t>
        </is>
      </c>
      <c r="H470" s="25" t="n">
        <v>152</v>
      </c>
      <c r="I470" s="17" t="n">
        <v>1</v>
      </c>
      <c r="J470" s="17" t="n">
        <v>0.655</v>
      </c>
      <c r="K470" s="26" t="n">
        <v>0.345</v>
      </c>
      <c r="L470" s="3" t="inlineStr">
        <is>
          <t>2026-06-01</t>
        </is>
      </c>
      <c r="M470" s="27" t="n">
        <v>152</v>
      </c>
      <c r="N470" s="27" t="n">
        <v>152</v>
      </c>
      <c r="O470" s="3" t="inlineStr">
        <is>
          <t>confident</t>
        </is>
      </c>
      <c r="P470" s="3" t="inlineStr">
        <is>
          <t>B300</t>
        </is>
      </c>
      <c r="Q470" s="3" t="inlineStr">
        <is>
          <t>epoch_user_site_equal_split_seed</t>
        </is>
      </c>
      <c r="R470" s="3" t="inlineStr">
        <is>
          <t>SRC_EPOCH_AI_DATA_CENTERS; EPOCH_NORMALIZED_USER_SITES</t>
        </is>
      </c>
      <c r="S470" s="3" t="inlineStr">
        <is>
          <t>Capacity weight is used only to weight accelerator mix, not to overwrite company total power in 02_Inputs.</t>
        </is>
      </c>
    </row>
    <row r="471">
      <c r="A471" s="3" t="inlineStr">
        <is>
          <t>Grid-Constrained / Efficiency-Upside|Meta|2028|Meta Kuna</t>
        </is>
      </c>
      <c r="B471" s="3" t="inlineStr">
        <is>
          <t>Grid-Constrained / Efficiency-Upside</t>
        </is>
      </c>
      <c r="C471" s="3" t="inlineStr">
        <is>
          <t>Meta</t>
        </is>
      </c>
      <c r="D471" s="3" t="n">
        <v>2028</v>
      </c>
      <c r="E471" s="3" t="inlineStr">
        <is>
          <t>Meta Kuna</t>
        </is>
      </c>
      <c r="F471" s="3" t="inlineStr">
        <is>
          <t>Meta</t>
        </is>
      </c>
      <c r="G471" s="3" t="inlineStr">
        <is>
          <t>United States</t>
        </is>
      </c>
      <c r="H471" s="25" t="n">
        <v>152</v>
      </c>
      <c r="I471" s="17" t="n">
        <v>1</v>
      </c>
      <c r="J471" s="17" t="n">
        <v>0.71</v>
      </c>
      <c r="K471" s="26" t="n">
        <v>0.29</v>
      </c>
      <c r="L471" s="3" t="inlineStr">
        <is>
          <t>2026-06-01</t>
        </is>
      </c>
      <c r="M471" s="27" t="n">
        <v>152</v>
      </c>
      <c r="N471" s="27" t="n">
        <v>152</v>
      </c>
      <c r="O471" s="3" t="inlineStr">
        <is>
          <t>confident</t>
        </is>
      </c>
      <c r="P471" s="3" t="inlineStr">
        <is>
          <t>B300</t>
        </is>
      </c>
      <c r="Q471" s="3" t="inlineStr">
        <is>
          <t>epoch_user_site_equal_split_seed</t>
        </is>
      </c>
      <c r="R471" s="3" t="inlineStr">
        <is>
          <t>SRC_EPOCH_AI_DATA_CENTERS; EPOCH_NORMALIZED_USER_SITES</t>
        </is>
      </c>
      <c r="S471" s="3" t="inlineStr">
        <is>
          <t>Capacity weight is used only to weight accelerator mix, not to overwrite company total power in 02_Inputs.</t>
        </is>
      </c>
    </row>
    <row r="472">
      <c r="A472" s="3" t="inlineStr">
        <is>
          <t>Grid-Constrained / Efficiency-Upside|Meta|2029|Meta Kuna</t>
        </is>
      </c>
      <c r="B472" s="3" t="inlineStr">
        <is>
          <t>Grid-Constrained / Efficiency-Upside</t>
        </is>
      </c>
      <c r="C472" s="3" t="inlineStr">
        <is>
          <t>Meta</t>
        </is>
      </c>
      <c r="D472" s="3" t="n">
        <v>2029</v>
      </c>
      <c r="E472" s="3" t="inlineStr">
        <is>
          <t>Meta Kuna</t>
        </is>
      </c>
      <c r="F472" s="3" t="inlineStr">
        <is>
          <t>Meta</t>
        </is>
      </c>
      <c r="G472" s="3" t="inlineStr">
        <is>
          <t>United States</t>
        </is>
      </c>
      <c r="H472" s="25" t="n">
        <v>152</v>
      </c>
      <c r="I472" s="17" t="n">
        <v>1</v>
      </c>
      <c r="J472" s="17" t="n">
        <v>0.765</v>
      </c>
      <c r="K472" s="26" t="n">
        <v>0.235</v>
      </c>
      <c r="L472" s="3" t="inlineStr">
        <is>
          <t>2026-06-01</t>
        </is>
      </c>
      <c r="M472" s="27" t="n">
        <v>152</v>
      </c>
      <c r="N472" s="27" t="n">
        <v>152</v>
      </c>
      <c r="O472" s="3" t="inlineStr">
        <is>
          <t>confident</t>
        </is>
      </c>
      <c r="P472" s="3" t="inlineStr">
        <is>
          <t>B300</t>
        </is>
      </c>
      <c r="Q472" s="3" t="inlineStr">
        <is>
          <t>epoch_user_site_equal_split_seed</t>
        </is>
      </c>
      <c r="R472" s="3" t="inlineStr">
        <is>
          <t>SRC_EPOCH_AI_DATA_CENTERS; EPOCH_NORMALIZED_USER_SITES</t>
        </is>
      </c>
      <c r="S472" s="3" t="inlineStr">
        <is>
          <t>Capacity weight is used only to weight accelerator mix, not to overwrite company total power in 02_Inputs.</t>
        </is>
      </c>
    </row>
    <row r="473">
      <c r="A473" s="3" t="inlineStr">
        <is>
          <t>Grid-Constrained / Efficiency-Upside|Meta|2030|Meta Kuna</t>
        </is>
      </c>
      <c r="B473" s="3" t="inlineStr">
        <is>
          <t>Grid-Constrained / Efficiency-Upside</t>
        </is>
      </c>
      <c r="C473" s="3" t="inlineStr">
        <is>
          <t>Meta</t>
        </is>
      </c>
      <c r="D473" s="3" t="n">
        <v>2030</v>
      </c>
      <c r="E473" s="3" t="inlineStr">
        <is>
          <t>Meta Kuna</t>
        </is>
      </c>
      <c r="F473" s="3" t="inlineStr">
        <is>
          <t>Meta</t>
        </is>
      </c>
      <c r="G473" s="3" t="inlineStr">
        <is>
          <t>United States</t>
        </is>
      </c>
      <c r="H473" s="25" t="n">
        <v>152</v>
      </c>
      <c r="I473" s="17" t="n">
        <v>1</v>
      </c>
      <c r="J473" s="17" t="n">
        <v>0.82</v>
      </c>
      <c r="K473" s="26" t="n">
        <v>0.18</v>
      </c>
      <c r="L473" s="3" t="inlineStr">
        <is>
          <t>2026-06-01</t>
        </is>
      </c>
      <c r="M473" s="27" t="n">
        <v>152</v>
      </c>
      <c r="N473" s="27" t="n">
        <v>152</v>
      </c>
      <c r="O473" s="3" t="inlineStr">
        <is>
          <t>confident</t>
        </is>
      </c>
      <c r="P473" s="3" t="inlineStr">
        <is>
          <t>B300</t>
        </is>
      </c>
      <c r="Q473" s="3" t="inlineStr">
        <is>
          <t>epoch_user_site_equal_split_seed</t>
        </is>
      </c>
      <c r="R473" s="3" t="inlineStr">
        <is>
          <t>SRC_EPOCH_AI_DATA_CENTERS; EPOCH_NORMALIZED_USER_SITES</t>
        </is>
      </c>
      <c r="S473" s="3" t="inlineStr">
        <is>
          <t>Capacity weight is used only to weight accelerator mix, not to overwrite company total power in 02_Inputs.</t>
        </is>
      </c>
    </row>
    <row r="474">
      <c r="A474" s="3" t="inlineStr">
        <is>
          <t>Bear|Meta|2026|Meta Los Lunas</t>
        </is>
      </c>
      <c r="B474" s="3" t="inlineStr">
        <is>
          <t>Bear</t>
        </is>
      </c>
      <c r="C474" s="3" t="inlineStr">
        <is>
          <t>Meta</t>
        </is>
      </c>
      <c r="D474" s="3" t="n">
        <v>2026</v>
      </c>
      <c r="E474" s="3" t="inlineStr">
        <is>
          <t>Meta Los Lunas</t>
        </is>
      </c>
      <c r="F474" s="3" t="inlineStr">
        <is>
          <t>Meta</t>
        </is>
      </c>
      <c r="G474" s="3" t="inlineStr">
        <is>
          <t>United States</t>
        </is>
      </c>
      <c r="H474" s="25" t="n">
        <v>87</v>
      </c>
      <c r="I474" s="17" t="n">
        <v>1</v>
      </c>
      <c r="J474" s="17" t="n">
        <v>0.5</v>
      </c>
      <c r="K474" s="26" t="n">
        <v>0.5</v>
      </c>
      <c r="L474" s="3" t="inlineStr">
        <is>
          <t>2026-03-01</t>
        </is>
      </c>
      <c r="M474" s="27" t="n">
        <v>87</v>
      </c>
      <c r="N474" s="27" t="n">
        <v>87</v>
      </c>
      <c r="O474" s="3" t="inlineStr">
        <is>
          <t>confident</t>
        </is>
      </c>
      <c r="P474" s="3" t="inlineStr">
        <is>
          <t>B300</t>
        </is>
      </c>
      <c r="Q474" s="3" t="inlineStr">
        <is>
          <t>epoch_user_site_equal_split_seed</t>
        </is>
      </c>
      <c r="R474" s="3" t="inlineStr">
        <is>
          <t>SRC_EPOCH_AI_DATA_CENTERS; EPOCH_NORMALIZED_USER_SITES</t>
        </is>
      </c>
      <c r="S474" s="3" t="inlineStr">
        <is>
          <t>Capacity weight is used only to weight accelerator mix, not to overwrite company total power in 02_Inputs.</t>
        </is>
      </c>
    </row>
    <row r="475">
      <c r="A475" s="3" t="inlineStr">
        <is>
          <t>Bear|Meta|2027|Meta Los Lunas</t>
        </is>
      </c>
      <c r="B475" s="3" t="inlineStr">
        <is>
          <t>Bear</t>
        </is>
      </c>
      <c r="C475" s="3" t="inlineStr">
        <is>
          <t>Meta</t>
        </is>
      </c>
      <c r="D475" s="3" t="n">
        <v>2027</v>
      </c>
      <c r="E475" s="3" t="inlineStr">
        <is>
          <t>Meta Los Lunas</t>
        </is>
      </c>
      <c r="F475" s="3" t="inlineStr">
        <is>
          <t>Meta</t>
        </is>
      </c>
      <c r="G475" s="3" t="inlineStr">
        <is>
          <t>United States</t>
        </is>
      </c>
      <c r="H475" s="25" t="n">
        <v>87</v>
      </c>
      <c r="I475" s="17" t="n">
        <v>1</v>
      </c>
      <c r="J475" s="17" t="n">
        <v>0.545</v>
      </c>
      <c r="K475" s="26" t="n">
        <v>0.455</v>
      </c>
      <c r="L475" s="3" t="inlineStr">
        <is>
          <t>2026-03-01</t>
        </is>
      </c>
      <c r="M475" s="27" t="n">
        <v>87</v>
      </c>
      <c r="N475" s="27" t="n">
        <v>87</v>
      </c>
      <c r="O475" s="3" t="inlineStr">
        <is>
          <t>confident</t>
        </is>
      </c>
      <c r="P475" s="3" t="inlineStr">
        <is>
          <t>B300</t>
        </is>
      </c>
      <c r="Q475" s="3" t="inlineStr">
        <is>
          <t>epoch_user_site_equal_split_seed</t>
        </is>
      </c>
      <c r="R475" s="3" t="inlineStr">
        <is>
          <t>SRC_EPOCH_AI_DATA_CENTERS; EPOCH_NORMALIZED_USER_SITES</t>
        </is>
      </c>
      <c r="S475" s="3" t="inlineStr">
        <is>
          <t>Capacity weight is used only to weight accelerator mix, not to overwrite company total power in 02_Inputs.</t>
        </is>
      </c>
    </row>
    <row r="476">
      <c r="A476" s="3" t="inlineStr">
        <is>
          <t>Bear|Meta|2028|Meta Los Lunas</t>
        </is>
      </c>
      <c r="B476" s="3" t="inlineStr">
        <is>
          <t>Bear</t>
        </is>
      </c>
      <c r="C476" s="3" t="inlineStr">
        <is>
          <t>Meta</t>
        </is>
      </c>
      <c r="D476" s="3" t="n">
        <v>2028</v>
      </c>
      <c r="E476" s="3" t="inlineStr">
        <is>
          <t>Meta Los Lunas</t>
        </is>
      </c>
      <c r="F476" s="3" t="inlineStr">
        <is>
          <t>Meta</t>
        </is>
      </c>
      <c r="G476" s="3" t="inlineStr">
        <is>
          <t>United States</t>
        </is>
      </c>
      <c r="H476" s="25" t="n">
        <v>87</v>
      </c>
      <c r="I476" s="17" t="n">
        <v>1</v>
      </c>
      <c r="J476" s="17" t="n">
        <v>0.59</v>
      </c>
      <c r="K476" s="26" t="n">
        <v>0.41</v>
      </c>
      <c r="L476" s="3" t="inlineStr">
        <is>
          <t>2026-03-01</t>
        </is>
      </c>
      <c r="M476" s="27" t="n">
        <v>87</v>
      </c>
      <c r="N476" s="27" t="n">
        <v>87</v>
      </c>
      <c r="O476" s="3" t="inlineStr">
        <is>
          <t>confident</t>
        </is>
      </c>
      <c r="P476" s="3" t="inlineStr">
        <is>
          <t>B300</t>
        </is>
      </c>
      <c r="Q476" s="3" t="inlineStr">
        <is>
          <t>epoch_user_site_equal_split_seed</t>
        </is>
      </c>
      <c r="R476" s="3" t="inlineStr">
        <is>
          <t>SRC_EPOCH_AI_DATA_CENTERS; EPOCH_NORMALIZED_USER_SITES</t>
        </is>
      </c>
      <c r="S476" s="3" t="inlineStr">
        <is>
          <t>Capacity weight is used only to weight accelerator mix, not to overwrite company total power in 02_Inputs.</t>
        </is>
      </c>
    </row>
    <row r="477">
      <c r="A477" s="3" t="inlineStr">
        <is>
          <t>Bear|Meta|2029|Meta Los Lunas</t>
        </is>
      </c>
      <c r="B477" s="3" t="inlineStr">
        <is>
          <t>Bear</t>
        </is>
      </c>
      <c r="C477" s="3" t="inlineStr">
        <is>
          <t>Meta</t>
        </is>
      </c>
      <c r="D477" s="3" t="n">
        <v>2029</v>
      </c>
      <c r="E477" s="3" t="inlineStr">
        <is>
          <t>Meta Los Lunas</t>
        </is>
      </c>
      <c r="F477" s="3" t="inlineStr">
        <is>
          <t>Meta</t>
        </is>
      </c>
      <c r="G477" s="3" t="inlineStr">
        <is>
          <t>United States</t>
        </is>
      </c>
      <c r="H477" s="25" t="n">
        <v>87</v>
      </c>
      <c r="I477" s="17" t="n">
        <v>1</v>
      </c>
      <c r="J477" s="17" t="n">
        <v>0.635</v>
      </c>
      <c r="K477" s="26" t="n">
        <v>0.365</v>
      </c>
      <c r="L477" s="3" t="inlineStr">
        <is>
          <t>2026-03-01</t>
        </is>
      </c>
      <c r="M477" s="27" t="n">
        <v>87</v>
      </c>
      <c r="N477" s="27" t="n">
        <v>87</v>
      </c>
      <c r="O477" s="3" t="inlineStr">
        <is>
          <t>confident</t>
        </is>
      </c>
      <c r="P477" s="3" t="inlineStr">
        <is>
          <t>B300</t>
        </is>
      </c>
      <c r="Q477" s="3" t="inlineStr">
        <is>
          <t>epoch_user_site_equal_split_seed</t>
        </is>
      </c>
      <c r="R477" s="3" t="inlineStr">
        <is>
          <t>SRC_EPOCH_AI_DATA_CENTERS; EPOCH_NORMALIZED_USER_SITES</t>
        </is>
      </c>
      <c r="S477" s="3" t="inlineStr">
        <is>
          <t>Capacity weight is used only to weight accelerator mix, not to overwrite company total power in 02_Inputs.</t>
        </is>
      </c>
    </row>
    <row r="478">
      <c r="A478" s="3" t="inlineStr">
        <is>
          <t>Bear|Meta|2030|Meta Los Lunas</t>
        </is>
      </c>
      <c r="B478" s="3" t="inlineStr">
        <is>
          <t>Bear</t>
        </is>
      </c>
      <c r="C478" s="3" t="inlineStr">
        <is>
          <t>Meta</t>
        </is>
      </c>
      <c r="D478" s="3" t="n">
        <v>2030</v>
      </c>
      <c r="E478" s="3" t="inlineStr">
        <is>
          <t>Meta Los Lunas</t>
        </is>
      </c>
      <c r="F478" s="3" t="inlineStr">
        <is>
          <t>Meta</t>
        </is>
      </c>
      <c r="G478" s="3" t="inlineStr">
        <is>
          <t>United States</t>
        </is>
      </c>
      <c r="H478" s="25" t="n">
        <v>87</v>
      </c>
      <c r="I478" s="17" t="n">
        <v>1</v>
      </c>
      <c r="J478" s="17" t="n">
        <v>0.68</v>
      </c>
      <c r="K478" s="26" t="n">
        <v>0.32</v>
      </c>
      <c r="L478" s="3" t="inlineStr">
        <is>
          <t>2026-03-01</t>
        </is>
      </c>
      <c r="M478" s="27" t="n">
        <v>87</v>
      </c>
      <c r="N478" s="27" t="n">
        <v>87</v>
      </c>
      <c r="O478" s="3" t="inlineStr">
        <is>
          <t>confident</t>
        </is>
      </c>
      <c r="P478" s="3" t="inlineStr">
        <is>
          <t>B300</t>
        </is>
      </c>
      <c r="Q478" s="3" t="inlineStr">
        <is>
          <t>epoch_user_site_equal_split_seed</t>
        </is>
      </c>
      <c r="R478" s="3" t="inlineStr">
        <is>
          <t>SRC_EPOCH_AI_DATA_CENTERS; EPOCH_NORMALIZED_USER_SITES</t>
        </is>
      </c>
      <c r="S478" s="3" t="inlineStr">
        <is>
          <t>Capacity weight is used only to weight accelerator mix, not to overwrite company total power in 02_Inputs.</t>
        </is>
      </c>
    </row>
    <row r="479">
      <c r="A479" s="3" t="inlineStr">
        <is>
          <t>Base|Meta|2026|Meta Los Lunas</t>
        </is>
      </c>
      <c r="B479" s="3" t="inlineStr">
        <is>
          <t>Base</t>
        </is>
      </c>
      <c r="C479" s="3" t="inlineStr">
        <is>
          <t>Meta</t>
        </is>
      </c>
      <c r="D479" s="3" t="n">
        <v>2026</v>
      </c>
      <c r="E479" s="3" t="inlineStr">
        <is>
          <t>Meta Los Lunas</t>
        </is>
      </c>
      <c r="F479" s="3" t="inlineStr">
        <is>
          <t>Meta</t>
        </is>
      </c>
      <c r="G479" s="3" t="inlineStr">
        <is>
          <t>United States</t>
        </is>
      </c>
      <c r="H479" s="25" t="n">
        <v>87</v>
      </c>
      <c r="I479" s="17" t="n">
        <v>1</v>
      </c>
      <c r="J479" s="17" t="n">
        <v>0.58</v>
      </c>
      <c r="K479" s="26" t="n">
        <v>0.42</v>
      </c>
      <c r="L479" s="3" t="inlineStr">
        <is>
          <t>2026-03-01</t>
        </is>
      </c>
      <c r="M479" s="27" t="n">
        <v>87</v>
      </c>
      <c r="N479" s="27" t="n">
        <v>87</v>
      </c>
      <c r="O479" s="3" t="inlineStr">
        <is>
          <t>confident</t>
        </is>
      </c>
      <c r="P479" s="3" t="inlineStr">
        <is>
          <t>B300</t>
        </is>
      </c>
      <c r="Q479" s="3" t="inlineStr">
        <is>
          <t>epoch_user_site_equal_split_seed</t>
        </is>
      </c>
      <c r="R479" s="3" t="inlineStr">
        <is>
          <t>SRC_EPOCH_AI_DATA_CENTERS; EPOCH_NORMALIZED_USER_SITES</t>
        </is>
      </c>
      <c r="S479" s="3" t="inlineStr">
        <is>
          <t>Capacity weight is used only to weight accelerator mix, not to overwrite company total power in 02_Inputs.</t>
        </is>
      </c>
    </row>
    <row r="480">
      <c r="A480" s="3" t="inlineStr">
        <is>
          <t>Base|Meta|2027|Meta Los Lunas</t>
        </is>
      </c>
      <c r="B480" s="3" t="inlineStr">
        <is>
          <t>Base</t>
        </is>
      </c>
      <c r="C480" s="3" t="inlineStr">
        <is>
          <t>Meta</t>
        </is>
      </c>
      <c r="D480" s="3" t="n">
        <v>2027</v>
      </c>
      <c r="E480" s="3" t="inlineStr">
        <is>
          <t>Meta Los Lunas</t>
        </is>
      </c>
      <c r="F480" s="3" t="inlineStr">
        <is>
          <t>Meta</t>
        </is>
      </c>
      <c r="G480" s="3" t="inlineStr">
        <is>
          <t>United States</t>
        </is>
      </c>
      <c r="H480" s="25" t="n">
        <v>87</v>
      </c>
      <c r="I480" s="17" t="n">
        <v>1</v>
      </c>
      <c r="J480" s="17" t="n">
        <v>0.63</v>
      </c>
      <c r="K480" s="26" t="n">
        <v>0.37</v>
      </c>
      <c r="L480" s="3" t="inlineStr">
        <is>
          <t>2026-03-01</t>
        </is>
      </c>
      <c r="M480" s="27" t="n">
        <v>87</v>
      </c>
      <c r="N480" s="27" t="n">
        <v>87</v>
      </c>
      <c r="O480" s="3" t="inlineStr">
        <is>
          <t>confident</t>
        </is>
      </c>
      <c r="P480" s="3" t="inlineStr">
        <is>
          <t>B300</t>
        </is>
      </c>
      <c r="Q480" s="3" t="inlineStr">
        <is>
          <t>epoch_user_site_equal_split_seed</t>
        </is>
      </c>
      <c r="R480" s="3" t="inlineStr">
        <is>
          <t>SRC_EPOCH_AI_DATA_CENTERS; EPOCH_NORMALIZED_USER_SITES</t>
        </is>
      </c>
      <c r="S480" s="3" t="inlineStr">
        <is>
          <t>Capacity weight is used only to weight accelerator mix, not to overwrite company total power in 02_Inputs.</t>
        </is>
      </c>
    </row>
    <row r="481">
      <c r="A481" s="3" t="inlineStr">
        <is>
          <t>Base|Meta|2028|Meta Los Lunas</t>
        </is>
      </c>
      <c r="B481" s="3" t="inlineStr">
        <is>
          <t>Base</t>
        </is>
      </c>
      <c r="C481" s="3" t="inlineStr">
        <is>
          <t>Meta</t>
        </is>
      </c>
      <c r="D481" s="3" t="n">
        <v>2028</v>
      </c>
      <c r="E481" s="3" t="inlineStr">
        <is>
          <t>Meta Los Lunas</t>
        </is>
      </c>
      <c r="F481" s="3" t="inlineStr">
        <is>
          <t>Meta</t>
        </is>
      </c>
      <c r="G481" s="3" t="inlineStr">
        <is>
          <t>United States</t>
        </is>
      </c>
      <c r="H481" s="25" t="n">
        <v>87</v>
      </c>
      <c r="I481" s="17" t="n">
        <v>1</v>
      </c>
      <c r="J481" s="17" t="n">
        <v>0.68</v>
      </c>
      <c r="K481" s="26" t="n">
        <v>0.32</v>
      </c>
      <c r="L481" s="3" t="inlineStr">
        <is>
          <t>2026-03-01</t>
        </is>
      </c>
      <c r="M481" s="27" t="n">
        <v>87</v>
      </c>
      <c r="N481" s="27" t="n">
        <v>87</v>
      </c>
      <c r="O481" s="3" t="inlineStr">
        <is>
          <t>confident</t>
        </is>
      </c>
      <c r="P481" s="3" t="inlineStr">
        <is>
          <t>B300</t>
        </is>
      </c>
      <c r="Q481" s="3" t="inlineStr">
        <is>
          <t>epoch_user_site_equal_split_seed</t>
        </is>
      </c>
      <c r="R481" s="3" t="inlineStr">
        <is>
          <t>SRC_EPOCH_AI_DATA_CENTERS; EPOCH_NORMALIZED_USER_SITES</t>
        </is>
      </c>
      <c r="S481" s="3" t="inlineStr">
        <is>
          <t>Capacity weight is used only to weight accelerator mix, not to overwrite company total power in 02_Inputs.</t>
        </is>
      </c>
    </row>
    <row r="482">
      <c r="A482" s="3" t="inlineStr">
        <is>
          <t>Base|Meta|2029|Meta Los Lunas</t>
        </is>
      </c>
      <c r="B482" s="3" t="inlineStr">
        <is>
          <t>Base</t>
        </is>
      </c>
      <c r="C482" s="3" t="inlineStr">
        <is>
          <t>Meta</t>
        </is>
      </c>
      <c r="D482" s="3" t="n">
        <v>2029</v>
      </c>
      <c r="E482" s="3" t="inlineStr">
        <is>
          <t>Meta Los Lunas</t>
        </is>
      </c>
      <c r="F482" s="3" t="inlineStr">
        <is>
          <t>Meta</t>
        </is>
      </c>
      <c r="G482" s="3" t="inlineStr">
        <is>
          <t>United States</t>
        </is>
      </c>
      <c r="H482" s="25" t="n">
        <v>87</v>
      </c>
      <c r="I482" s="17" t="n">
        <v>1</v>
      </c>
      <c r="J482" s="17" t="n">
        <v>0.73</v>
      </c>
      <c r="K482" s="26" t="n">
        <v>0.27</v>
      </c>
      <c r="L482" s="3" t="inlineStr">
        <is>
          <t>2026-03-01</t>
        </is>
      </c>
      <c r="M482" s="27" t="n">
        <v>87</v>
      </c>
      <c r="N482" s="27" t="n">
        <v>87</v>
      </c>
      <c r="O482" s="3" t="inlineStr">
        <is>
          <t>confident</t>
        </is>
      </c>
      <c r="P482" s="3" t="inlineStr">
        <is>
          <t>B300</t>
        </is>
      </c>
      <c r="Q482" s="3" t="inlineStr">
        <is>
          <t>epoch_user_site_equal_split_seed</t>
        </is>
      </c>
      <c r="R482" s="3" t="inlineStr">
        <is>
          <t>SRC_EPOCH_AI_DATA_CENTERS; EPOCH_NORMALIZED_USER_SITES</t>
        </is>
      </c>
      <c r="S482" s="3" t="inlineStr">
        <is>
          <t>Capacity weight is used only to weight accelerator mix, not to overwrite company total power in 02_Inputs.</t>
        </is>
      </c>
    </row>
    <row r="483">
      <c r="A483" s="3" t="inlineStr">
        <is>
          <t>Base|Meta|2030|Meta Los Lunas</t>
        </is>
      </c>
      <c r="B483" s="3" t="inlineStr">
        <is>
          <t>Base</t>
        </is>
      </c>
      <c r="C483" s="3" t="inlineStr">
        <is>
          <t>Meta</t>
        </is>
      </c>
      <c r="D483" s="3" t="n">
        <v>2030</v>
      </c>
      <c r="E483" s="3" t="inlineStr">
        <is>
          <t>Meta Los Lunas</t>
        </is>
      </c>
      <c r="F483" s="3" t="inlineStr">
        <is>
          <t>Meta</t>
        </is>
      </c>
      <c r="G483" s="3" t="inlineStr">
        <is>
          <t>United States</t>
        </is>
      </c>
      <c r="H483" s="25" t="n">
        <v>87</v>
      </c>
      <c r="I483" s="17" t="n">
        <v>1</v>
      </c>
      <c r="J483" s="17" t="n">
        <v>0.78</v>
      </c>
      <c r="K483" s="26" t="n">
        <v>0.22</v>
      </c>
      <c r="L483" s="3" t="inlineStr">
        <is>
          <t>2026-03-01</t>
        </is>
      </c>
      <c r="M483" s="27" t="n">
        <v>87</v>
      </c>
      <c r="N483" s="27" t="n">
        <v>87</v>
      </c>
      <c r="O483" s="3" t="inlineStr">
        <is>
          <t>confident</t>
        </is>
      </c>
      <c r="P483" s="3" t="inlineStr">
        <is>
          <t>B300</t>
        </is>
      </c>
      <c r="Q483" s="3" t="inlineStr">
        <is>
          <t>epoch_user_site_equal_split_seed</t>
        </is>
      </c>
      <c r="R483" s="3" t="inlineStr">
        <is>
          <t>SRC_EPOCH_AI_DATA_CENTERS; EPOCH_NORMALIZED_USER_SITES</t>
        </is>
      </c>
      <c r="S483" s="3" t="inlineStr">
        <is>
          <t>Capacity weight is used only to weight accelerator mix, not to overwrite company total power in 02_Inputs.</t>
        </is>
      </c>
    </row>
    <row r="484">
      <c r="A484" s="3" t="inlineStr">
        <is>
          <t>Bull|Meta|2026|Meta Los Lunas</t>
        </is>
      </c>
      <c r="B484" s="3" t="inlineStr">
        <is>
          <t>Bull</t>
        </is>
      </c>
      <c r="C484" s="3" t="inlineStr">
        <is>
          <t>Meta</t>
        </is>
      </c>
      <c r="D484" s="3" t="n">
        <v>2026</v>
      </c>
      <c r="E484" s="3" t="inlineStr">
        <is>
          <t>Meta Los Lunas</t>
        </is>
      </c>
      <c r="F484" s="3" t="inlineStr">
        <is>
          <t>Meta</t>
        </is>
      </c>
      <c r="G484" s="3" t="inlineStr">
        <is>
          <t>United States</t>
        </is>
      </c>
      <c r="H484" s="25" t="n">
        <v>87</v>
      </c>
      <c r="I484" s="17" t="n">
        <v>1</v>
      </c>
      <c r="J484" s="17" t="n">
        <v>0.63</v>
      </c>
      <c r="K484" s="26" t="n">
        <v>0.37</v>
      </c>
      <c r="L484" s="3" t="inlineStr">
        <is>
          <t>2026-03-01</t>
        </is>
      </c>
      <c r="M484" s="27" t="n">
        <v>87</v>
      </c>
      <c r="N484" s="27" t="n">
        <v>87</v>
      </c>
      <c r="O484" s="3" t="inlineStr">
        <is>
          <t>confident</t>
        </is>
      </c>
      <c r="P484" s="3" t="inlineStr">
        <is>
          <t>B300</t>
        </is>
      </c>
      <c r="Q484" s="3" t="inlineStr">
        <is>
          <t>epoch_user_site_equal_split_seed</t>
        </is>
      </c>
      <c r="R484" s="3" t="inlineStr">
        <is>
          <t>SRC_EPOCH_AI_DATA_CENTERS; EPOCH_NORMALIZED_USER_SITES</t>
        </is>
      </c>
      <c r="S484" s="3" t="inlineStr">
        <is>
          <t>Capacity weight is used only to weight accelerator mix, not to overwrite company total power in 02_Inputs.</t>
        </is>
      </c>
    </row>
    <row r="485">
      <c r="A485" s="3" t="inlineStr">
        <is>
          <t>Bull|Meta|2027|Meta Los Lunas</t>
        </is>
      </c>
      <c r="B485" s="3" t="inlineStr">
        <is>
          <t>Bull</t>
        </is>
      </c>
      <c r="C485" s="3" t="inlineStr">
        <is>
          <t>Meta</t>
        </is>
      </c>
      <c r="D485" s="3" t="n">
        <v>2027</v>
      </c>
      <c r="E485" s="3" t="inlineStr">
        <is>
          <t>Meta Los Lunas</t>
        </is>
      </c>
      <c r="F485" s="3" t="inlineStr">
        <is>
          <t>Meta</t>
        </is>
      </c>
      <c r="G485" s="3" t="inlineStr">
        <is>
          <t>United States</t>
        </is>
      </c>
      <c r="H485" s="25" t="n">
        <v>87</v>
      </c>
      <c r="I485" s="17" t="n">
        <v>1</v>
      </c>
      <c r="J485" s="17" t="n">
        <v>0.6879999999999999</v>
      </c>
      <c r="K485" s="26" t="n">
        <v>0.312</v>
      </c>
      <c r="L485" s="3" t="inlineStr">
        <is>
          <t>2026-03-01</t>
        </is>
      </c>
      <c r="M485" s="27" t="n">
        <v>87</v>
      </c>
      <c r="N485" s="27" t="n">
        <v>87</v>
      </c>
      <c r="O485" s="3" t="inlineStr">
        <is>
          <t>confident</t>
        </is>
      </c>
      <c r="P485" s="3" t="inlineStr">
        <is>
          <t>B300</t>
        </is>
      </c>
      <c r="Q485" s="3" t="inlineStr">
        <is>
          <t>epoch_user_site_equal_split_seed</t>
        </is>
      </c>
      <c r="R485" s="3" t="inlineStr">
        <is>
          <t>SRC_EPOCH_AI_DATA_CENTERS; EPOCH_NORMALIZED_USER_SITES</t>
        </is>
      </c>
      <c r="S485" s="3" t="inlineStr">
        <is>
          <t>Capacity weight is used only to weight accelerator mix, not to overwrite company total power in 02_Inputs.</t>
        </is>
      </c>
    </row>
    <row r="486">
      <c r="A486" s="3" t="inlineStr">
        <is>
          <t>Bull|Meta|2028|Meta Los Lunas</t>
        </is>
      </c>
      <c r="B486" s="3" t="inlineStr">
        <is>
          <t>Bull</t>
        </is>
      </c>
      <c r="C486" s="3" t="inlineStr">
        <is>
          <t>Meta</t>
        </is>
      </c>
      <c r="D486" s="3" t="n">
        <v>2028</v>
      </c>
      <c r="E486" s="3" t="inlineStr">
        <is>
          <t>Meta Los Lunas</t>
        </is>
      </c>
      <c r="F486" s="3" t="inlineStr">
        <is>
          <t>Meta</t>
        </is>
      </c>
      <c r="G486" s="3" t="inlineStr">
        <is>
          <t>United States</t>
        </is>
      </c>
      <c r="H486" s="25" t="n">
        <v>87</v>
      </c>
      <c r="I486" s="17" t="n">
        <v>1</v>
      </c>
      <c r="J486" s="17" t="n">
        <v>0.745</v>
      </c>
      <c r="K486" s="26" t="n">
        <v>0.255</v>
      </c>
      <c r="L486" s="3" t="inlineStr">
        <is>
          <t>2026-03-01</t>
        </is>
      </c>
      <c r="M486" s="27" t="n">
        <v>87</v>
      </c>
      <c r="N486" s="27" t="n">
        <v>87</v>
      </c>
      <c r="O486" s="3" t="inlineStr">
        <is>
          <t>confident</t>
        </is>
      </c>
      <c r="P486" s="3" t="inlineStr">
        <is>
          <t>B300</t>
        </is>
      </c>
      <c r="Q486" s="3" t="inlineStr">
        <is>
          <t>epoch_user_site_equal_split_seed</t>
        </is>
      </c>
      <c r="R486" s="3" t="inlineStr">
        <is>
          <t>SRC_EPOCH_AI_DATA_CENTERS; EPOCH_NORMALIZED_USER_SITES</t>
        </is>
      </c>
      <c r="S486" s="3" t="inlineStr">
        <is>
          <t>Capacity weight is used only to weight accelerator mix, not to overwrite company total power in 02_Inputs.</t>
        </is>
      </c>
    </row>
    <row r="487">
      <c r="A487" s="3" t="inlineStr">
        <is>
          <t>Bull|Meta|2029|Meta Los Lunas</t>
        </is>
      </c>
      <c r="B487" s="3" t="inlineStr">
        <is>
          <t>Bull</t>
        </is>
      </c>
      <c r="C487" s="3" t="inlineStr">
        <is>
          <t>Meta</t>
        </is>
      </c>
      <c r="D487" s="3" t="n">
        <v>2029</v>
      </c>
      <c r="E487" s="3" t="inlineStr">
        <is>
          <t>Meta Los Lunas</t>
        </is>
      </c>
      <c r="F487" s="3" t="inlineStr">
        <is>
          <t>Meta</t>
        </is>
      </c>
      <c r="G487" s="3" t="inlineStr">
        <is>
          <t>United States</t>
        </is>
      </c>
      <c r="H487" s="25" t="n">
        <v>87</v>
      </c>
      <c r="I487" s="17" t="n">
        <v>1</v>
      </c>
      <c r="J487" s="17" t="n">
        <v>0.802</v>
      </c>
      <c r="K487" s="26" t="n">
        <v>0.198</v>
      </c>
      <c r="L487" s="3" t="inlineStr">
        <is>
          <t>2026-03-01</t>
        </is>
      </c>
      <c r="M487" s="27" t="n">
        <v>87</v>
      </c>
      <c r="N487" s="27" t="n">
        <v>87</v>
      </c>
      <c r="O487" s="3" t="inlineStr">
        <is>
          <t>confident</t>
        </is>
      </c>
      <c r="P487" s="3" t="inlineStr">
        <is>
          <t>B300</t>
        </is>
      </c>
      <c r="Q487" s="3" t="inlineStr">
        <is>
          <t>epoch_user_site_equal_split_seed</t>
        </is>
      </c>
      <c r="R487" s="3" t="inlineStr">
        <is>
          <t>SRC_EPOCH_AI_DATA_CENTERS; EPOCH_NORMALIZED_USER_SITES</t>
        </is>
      </c>
      <c r="S487" s="3" t="inlineStr">
        <is>
          <t>Capacity weight is used only to weight accelerator mix, not to overwrite company total power in 02_Inputs.</t>
        </is>
      </c>
    </row>
    <row r="488">
      <c r="A488" s="3" t="inlineStr">
        <is>
          <t>Bull|Meta|2030|Meta Los Lunas</t>
        </is>
      </c>
      <c r="B488" s="3" t="inlineStr">
        <is>
          <t>Bull</t>
        </is>
      </c>
      <c r="C488" s="3" t="inlineStr">
        <is>
          <t>Meta</t>
        </is>
      </c>
      <c r="D488" s="3" t="n">
        <v>2030</v>
      </c>
      <c r="E488" s="3" t="inlineStr">
        <is>
          <t>Meta Los Lunas</t>
        </is>
      </c>
      <c r="F488" s="3" t="inlineStr">
        <is>
          <t>Meta</t>
        </is>
      </c>
      <c r="G488" s="3" t="inlineStr">
        <is>
          <t>United States</t>
        </is>
      </c>
      <c r="H488" s="25" t="n">
        <v>87</v>
      </c>
      <c r="I488" s="17" t="n">
        <v>1</v>
      </c>
      <c r="J488" s="17" t="n">
        <v>0.86</v>
      </c>
      <c r="K488" s="26" t="n">
        <v>0.14</v>
      </c>
      <c r="L488" s="3" t="inlineStr">
        <is>
          <t>2026-03-01</t>
        </is>
      </c>
      <c r="M488" s="27" t="n">
        <v>87</v>
      </c>
      <c r="N488" s="27" t="n">
        <v>87</v>
      </c>
      <c r="O488" s="3" t="inlineStr">
        <is>
          <t>confident</t>
        </is>
      </c>
      <c r="P488" s="3" t="inlineStr">
        <is>
          <t>B300</t>
        </is>
      </c>
      <c r="Q488" s="3" t="inlineStr">
        <is>
          <t>epoch_user_site_equal_split_seed</t>
        </is>
      </c>
      <c r="R488" s="3" t="inlineStr">
        <is>
          <t>SRC_EPOCH_AI_DATA_CENTERS; EPOCH_NORMALIZED_USER_SITES</t>
        </is>
      </c>
      <c r="S488" s="3" t="inlineStr">
        <is>
          <t>Capacity weight is used only to weight accelerator mix, not to overwrite company total power in 02_Inputs.</t>
        </is>
      </c>
    </row>
    <row r="489">
      <c r="A489" s="3" t="inlineStr">
        <is>
          <t>Grid-Constrained / Efficiency-Upside|Meta|2026|Meta Los Lunas</t>
        </is>
      </c>
      <c r="B489" s="3" t="inlineStr">
        <is>
          <t>Grid-Constrained / Efficiency-Upside</t>
        </is>
      </c>
      <c r="C489" s="3" t="inlineStr">
        <is>
          <t>Meta</t>
        </is>
      </c>
      <c r="D489" s="3" t="n">
        <v>2026</v>
      </c>
      <c r="E489" s="3" t="inlineStr">
        <is>
          <t>Meta Los Lunas</t>
        </is>
      </c>
      <c r="F489" s="3" t="inlineStr">
        <is>
          <t>Meta</t>
        </is>
      </c>
      <c r="G489" s="3" t="inlineStr">
        <is>
          <t>United States</t>
        </is>
      </c>
      <c r="H489" s="25" t="n">
        <v>87</v>
      </c>
      <c r="I489" s="17" t="n">
        <v>1</v>
      </c>
      <c r="J489" s="17" t="n">
        <v>0.6</v>
      </c>
      <c r="K489" s="26" t="n">
        <v>0.4</v>
      </c>
      <c r="L489" s="3" t="inlineStr">
        <is>
          <t>2026-03-01</t>
        </is>
      </c>
      <c r="M489" s="27" t="n">
        <v>87</v>
      </c>
      <c r="N489" s="27" t="n">
        <v>87</v>
      </c>
      <c r="O489" s="3" t="inlineStr">
        <is>
          <t>confident</t>
        </is>
      </c>
      <c r="P489" s="3" t="inlineStr">
        <is>
          <t>B300</t>
        </is>
      </c>
      <c r="Q489" s="3" t="inlineStr">
        <is>
          <t>epoch_user_site_equal_split_seed</t>
        </is>
      </c>
      <c r="R489" s="3" t="inlineStr">
        <is>
          <t>SRC_EPOCH_AI_DATA_CENTERS; EPOCH_NORMALIZED_USER_SITES</t>
        </is>
      </c>
      <c r="S489" s="3" t="inlineStr">
        <is>
          <t>Capacity weight is used only to weight accelerator mix, not to overwrite company total power in 02_Inputs.</t>
        </is>
      </c>
    </row>
    <row r="490">
      <c r="A490" s="3" t="inlineStr">
        <is>
          <t>Grid-Constrained / Efficiency-Upside|Meta|2027|Meta Los Lunas</t>
        </is>
      </c>
      <c r="B490" s="3" t="inlineStr">
        <is>
          <t>Grid-Constrained / Efficiency-Upside</t>
        </is>
      </c>
      <c r="C490" s="3" t="inlineStr">
        <is>
          <t>Meta</t>
        </is>
      </c>
      <c r="D490" s="3" t="n">
        <v>2027</v>
      </c>
      <c r="E490" s="3" t="inlineStr">
        <is>
          <t>Meta Los Lunas</t>
        </is>
      </c>
      <c r="F490" s="3" t="inlineStr">
        <is>
          <t>Meta</t>
        </is>
      </c>
      <c r="G490" s="3" t="inlineStr">
        <is>
          <t>United States</t>
        </is>
      </c>
      <c r="H490" s="25" t="n">
        <v>87</v>
      </c>
      <c r="I490" s="17" t="n">
        <v>1</v>
      </c>
      <c r="J490" s="17" t="n">
        <v>0.655</v>
      </c>
      <c r="K490" s="26" t="n">
        <v>0.345</v>
      </c>
      <c r="L490" s="3" t="inlineStr">
        <is>
          <t>2026-03-01</t>
        </is>
      </c>
      <c r="M490" s="27" t="n">
        <v>87</v>
      </c>
      <c r="N490" s="27" t="n">
        <v>87</v>
      </c>
      <c r="O490" s="3" t="inlineStr">
        <is>
          <t>confident</t>
        </is>
      </c>
      <c r="P490" s="3" t="inlineStr">
        <is>
          <t>B300</t>
        </is>
      </c>
      <c r="Q490" s="3" t="inlineStr">
        <is>
          <t>epoch_user_site_equal_split_seed</t>
        </is>
      </c>
      <c r="R490" s="3" t="inlineStr">
        <is>
          <t>SRC_EPOCH_AI_DATA_CENTERS; EPOCH_NORMALIZED_USER_SITES</t>
        </is>
      </c>
      <c r="S490" s="3" t="inlineStr">
        <is>
          <t>Capacity weight is used only to weight accelerator mix, not to overwrite company total power in 02_Inputs.</t>
        </is>
      </c>
    </row>
    <row r="491">
      <c r="A491" s="3" t="inlineStr">
        <is>
          <t>Grid-Constrained / Efficiency-Upside|Meta|2028|Meta Los Lunas</t>
        </is>
      </c>
      <c r="B491" s="3" t="inlineStr">
        <is>
          <t>Grid-Constrained / Efficiency-Upside</t>
        </is>
      </c>
      <c r="C491" s="3" t="inlineStr">
        <is>
          <t>Meta</t>
        </is>
      </c>
      <c r="D491" s="3" t="n">
        <v>2028</v>
      </c>
      <c r="E491" s="3" t="inlineStr">
        <is>
          <t>Meta Los Lunas</t>
        </is>
      </c>
      <c r="F491" s="3" t="inlineStr">
        <is>
          <t>Meta</t>
        </is>
      </c>
      <c r="G491" s="3" t="inlineStr">
        <is>
          <t>United States</t>
        </is>
      </c>
      <c r="H491" s="25" t="n">
        <v>87</v>
      </c>
      <c r="I491" s="17" t="n">
        <v>1</v>
      </c>
      <c r="J491" s="17" t="n">
        <v>0.71</v>
      </c>
      <c r="K491" s="26" t="n">
        <v>0.29</v>
      </c>
      <c r="L491" s="3" t="inlineStr">
        <is>
          <t>2026-03-01</t>
        </is>
      </c>
      <c r="M491" s="27" t="n">
        <v>87</v>
      </c>
      <c r="N491" s="27" t="n">
        <v>87</v>
      </c>
      <c r="O491" s="3" t="inlineStr">
        <is>
          <t>confident</t>
        </is>
      </c>
      <c r="P491" s="3" t="inlineStr">
        <is>
          <t>B300</t>
        </is>
      </c>
      <c r="Q491" s="3" t="inlineStr">
        <is>
          <t>epoch_user_site_equal_split_seed</t>
        </is>
      </c>
      <c r="R491" s="3" t="inlineStr">
        <is>
          <t>SRC_EPOCH_AI_DATA_CENTERS; EPOCH_NORMALIZED_USER_SITES</t>
        </is>
      </c>
      <c r="S491" s="3" t="inlineStr">
        <is>
          <t>Capacity weight is used only to weight accelerator mix, not to overwrite company total power in 02_Inputs.</t>
        </is>
      </c>
    </row>
    <row r="492">
      <c r="A492" s="3" t="inlineStr">
        <is>
          <t>Grid-Constrained / Efficiency-Upside|Meta|2029|Meta Los Lunas</t>
        </is>
      </c>
      <c r="B492" s="3" t="inlineStr">
        <is>
          <t>Grid-Constrained / Efficiency-Upside</t>
        </is>
      </c>
      <c r="C492" s="3" t="inlineStr">
        <is>
          <t>Meta</t>
        </is>
      </c>
      <c r="D492" s="3" t="n">
        <v>2029</v>
      </c>
      <c r="E492" s="3" t="inlineStr">
        <is>
          <t>Meta Los Lunas</t>
        </is>
      </c>
      <c r="F492" s="3" t="inlineStr">
        <is>
          <t>Meta</t>
        </is>
      </c>
      <c r="G492" s="3" t="inlineStr">
        <is>
          <t>United States</t>
        </is>
      </c>
      <c r="H492" s="25" t="n">
        <v>87</v>
      </c>
      <c r="I492" s="17" t="n">
        <v>1</v>
      </c>
      <c r="J492" s="17" t="n">
        <v>0.765</v>
      </c>
      <c r="K492" s="26" t="n">
        <v>0.235</v>
      </c>
      <c r="L492" s="3" t="inlineStr">
        <is>
          <t>2026-03-01</t>
        </is>
      </c>
      <c r="M492" s="27" t="n">
        <v>87</v>
      </c>
      <c r="N492" s="27" t="n">
        <v>87</v>
      </c>
      <c r="O492" s="3" t="inlineStr">
        <is>
          <t>confident</t>
        </is>
      </c>
      <c r="P492" s="3" t="inlineStr">
        <is>
          <t>B300</t>
        </is>
      </c>
      <c r="Q492" s="3" t="inlineStr">
        <is>
          <t>epoch_user_site_equal_split_seed</t>
        </is>
      </c>
      <c r="R492" s="3" t="inlineStr">
        <is>
          <t>SRC_EPOCH_AI_DATA_CENTERS; EPOCH_NORMALIZED_USER_SITES</t>
        </is>
      </c>
      <c r="S492" s="3" t="inlineStr">
        <is>
          <t>Capacity weight is used only to weight accelerator mix, not to overwrite company total power in 02_Inputs.</t>
        </is>
      </c>
    </row>
    <row r="493">
      <c r="A493" s="3" t="inlineStr">
        <is>
          <t>Grid-Constrained / Efficiency-Upside|Meta|2030|Meta Los Lunas</t>
        </is>
      </c>
      <c r="B493" s="3" t="inlineStr">
        <is>
          <t>Grid-Constrained / Efficiency-Upside</t>
        </is>
      </c>
      <c r="C493" s="3" t="inlineStr">
        <is>
          <t>Meta</t>
        </is>
      </c>
      <c r="D493" s="3" t="n">
        <v>2030</v>
      </c>
      <c r="E493" s="3" t="inlineStr">
        <is>
          <t>Meta Los Lunas</t>
        </is>
      </c>
      <c r="F493" s="3" t="inlineStr">
        <is>
          <t>Meta</t>
        </is>
      </c>
      <c r="G493" s="3" t="inlineStr">
        <is>
          <t>United States</t>
        </is>
      </c>
      <c r="H493" s="25" t="n">
        <v>87</v>
      </c>
      <c r="I493" s="17" t="n">
        <v>1</v>
      </c>
      <c r="J493" s="17" t="n">
        <v>0.82</v>
      </c>
      <c r="K493" s="26" t="n">
        <v>0.18</v>
      </c>
      <c r="L493" s="3" t="inlineStr">
        <is>
          <t>2026-03-01</t>
        </is>
      </c>
      <c r="M493" s="27" t="n">
        <v>87</v>
      </c>
      <c r="N493" s="27" t="n">
        <v>87</v>
      </c>
      <c r="O493" s="3" t="inlineStr">
        <is>
          <t>confident</t>
        </is>
      </c>
      <c r="P493" s="3" t="inlineStr">
        <is>
          <t>B300</t>
        </is>
      </c>
      <c r="Q493" s="3" t="inlineStr">
        <is>
          <t>epoch_user_site_equal_split_seed</t>
        </is>
      </c>
      <c r="R493" s="3" t="inlineStr">
        <is>
          <t>SRC_EPOCH_AI_DATA_CENTERS; EPOCH_NORMALIZED_USER_SITES</t>
        </is>
      </c>
      <c r="S493" s="3" t="inlineStr">
        <is>
          <t>Capacity weight is used only to weight accelerator mix, not to overwrite company total power in 02_Inputs.</t>
        </is>
      </c>
    </row>
    <row r="494">
      <c r="A494" s="3" t="inlineStr">
        <is>
          <t>Bear|Meta|2026|Meta Montgomery</t>
        </is>
      </c>
      <c r="B494" s="3" t="inlineStr">
        <is>
          <t>Bear</t>
        </is>
      </c>
      <c r="C494" s="3" t="inlineStr">
        <is>
          <t>Meta</t>
        </is>
      </c>
      <c r="D494" s="3" t="n">
        <v>2026</v>
      </c>
      <c r="E494" s="3" t="inlineStr">
        <is>
          <t>Meta Montgomery</t>
        </is>
      </c>
      <c r="F494" s="3" t="inlineStr">
        <is>
          <t>Meta</t>
        </is>
      </c>
      <c r="G494" s="3" t="inlineStr">
        <is>
          <t>United States</t>
        </is>
      </c>
      <c r="H494" s="25" t="n">
        <v>153</v>
      </c>
      <c r="I494" s="17" t="n">
        <v>1</v>
      </c>
      <c r="J494" s="17" t="n">
        <v>0.5</v>
      </c>
      <c r="K494" s="26" t="n">
        <v>0.5</v>
      </c>
      <c r="L494" s="3" t="inlineStr">
        <is>
          <t>2027-02-23</t>
        </is>
      </c>
      <c r="M494" s="27" t="n">
        <v>153</v>
      </c>
      <c r="N494" s="27" t="n">
        <v>358</v>
      </c>
      <c r="O494" s="3" t="inlineStr">
        <is>
          <t>confident</t>
        </is>
      </c>
      <c r="P494" s="3" t="inlineStr">
        <is>
          <t>B300</t>
        </is>
      </c>
      <c r="Q494" s="3" t="inlineStr">
        <is>
          <t>epoch_user_site_equal_split_seed</t>
        </is>
      </c>
      <c r="R494" s="3" t="inlineStr">
        <is>
          <t>SRC_EPOCH_AI_DATA_CENTERS; EPOCH_NORMALIZED_USER_SITES</t>
        </is>
      </c>
      <c r="S494" s="3" t="inlineStr">
        <is>
          <t>Capacity weight is used only to weight accelerator mix, not to overwrite company total power in 02_Inputs.</t>
        </is>
      </c>
    </row>
    <row r="495">
      <c r="A495" s="3" t="inlineStr">
        <is>
          <t>Bear|Meta|2027|Meta Montgomery</t>
        </is>
      </c>
      <c r="B495" s="3" t="inlineStr">
        <is>
          <t>Bear</t>
        </is>
      </c>
      <c r="C495" s="3" t="inlineStr">
        <is>
          <t>Meta</t>
        </is>
      </c>
      <c r="D495" s="3" t="n">
        <v>2027</v>
      </c>
      <c r="E495" s="3" t="inlineStr">
        <is>
          <t>Meta Montgomery</t>
        </is>
      </c>
      <c r="F495" s="3" t="inlineStr">
        <is>
          <t>Meta</t>
        </is>
      </c>
      <c r="G495" s="3" t="inlineStr">
        <is>
          <t>United States</t>
        </is>
      </c>
      <c r="H495" s="25" t="n">
        <v>358</v>
      </c>
      <c r="I495" s="17" t="n">
        <v>1</v>
      </c>
      <c r="J495" s="17" t="n">
        <v>0.545</v>
      </c>
      <c r="K495" s="26" t="n">
        <v>0.455</v>
      </c>
      <c r="L495" s="3" t="inlineStr">
        <is>
          <t>2027-02-23</t>
        </is>
      </c>
      <c r="M495" s="27" t="n">
        <v>153</v>
      </c>
      <c r="N495" s="27" t="n">
        <v>358</v>
      </c>
      <c r="O495" s="3" t="inlineStr">
        <is>
          <t>confident</t>
        </is>
      </c>
      <c r="P495" s="3" t="inlineStr">
        <is>
          <t>B300</t>
        </is>
      </c>
      <c r="Q495" s="3" t="inlineStr">
        <is>
          <t>epoch_user_site_equal_split_seed</t>
        </is>
      </c>
      <c r="R495" s="3" t="inlineStr">
        <is>
          <t>SRC_EPOCH_AI_DATA_CENTERS; EPOCH_NORMALIZED_USER_SITES</t>
        </is>
      </c>
      <c r="S495" s="3" t="inlineStr">
        <is>
          <t>Capacity weight is used only to weight accelerator mix, not to overwrite company total power in 02_Inputs.</t>
        </is>
      </c>
    </row>
    <row r="496">
      <c r="A496" s="3" t="inlineStr">
        <is>
          <t>Bear|Meta|2028|Meta Montgomery</t>
        </is>
      </c>
      <c r="B496" s="3" t="inlineStr">
        <is>
          <t>Bear</t>
        </is>
      </c>
      <c r="C496" s="3" t="inlineStr">
        <is>
          <t>Meta</t>
        </is>
      </c>
      <c r="D496" s="3" t="n">
        <v>2028</v>
      </c>
      <c r="E496" s="3" t="inlineStr">
        <is>
          <t>Meta Montgomery</t>
        </is>
      </c>
      <c r="F496" s="3" t="inlineStr">
        <is>
          <t>Meta</t>
        </is>
      </c>
      <c r="G496" s="3" t="inlineStr">
        <is>
          <t>United States</t>
        </is>
      </c>
      <c r="H496" s="25" t="n">
        <v>358</v>
      </c>
      <c r="I496" s="17" t="n">
        <v>1</v>
      </c>
      <c r="J496" s="17" t="n">
        <v>0.59</v>
      </c>
      <c r="K496" s="26" t="n">
        <v>0.41</v>
      </c>
      <c r="L496" s="3" t="inlineStr">
        <is>
          <t>2027-02-23</t>
        </is>
      </c>
      <c r="M496" s="27" t="n">
        <v>153</v>
      </c>
      <c r="N496" s="27" t="n">
        <v>358</v>
      </c>
      <c r="O496" s="3" t="inlineStr">
        <is>
          <t>confident</t>
        </is>
      </c>
      <c r="P496" s="3" t="inlineStr">
        <is>
          <t>B300</t>
        </is>
      </c>
      <c r="Q496" s="3" t="inlineStr">
        <is>
          <t>epoch_user_site_equal_split_seed</t>
        </is>
      </c>
      <c r="R496" s="3" t="inlineStr">
        <is>
          <t>SRC_EPOCH_AI_DATA_CENTERS; EPOCH_NORMALIZED_USER_SITES</t>
        </is>
      </c>
      <c r="S496" s="3" t="inlineStr">
        <is>
          <t>Capacity weight is used only to weight accelerator mix, not to overwrite company total power in 02_Inputs.</t>
        </is>
      </c>
    </row>
    <row r="497">
      <c r="A497" s="3" t="inlineStr">
        <is>
          <t>Bear|Meta|2029|Meta Montgomery</t>
        </is>
      </c>
      <c r="B497" s="3" t="inlineStr">
        <is>
          <t>Bear</t>
        </is>
      </c>
      <c r="C497" s="3" t="inlineStr">
        <is>
          <t>Meta</t>
        </is>
      </c>
      <c r="D497" s="3" t="n">
        <v>2029</v>
      </c>
      <c r="E497" s="3" t="inlineStr">
        <is>
          <t>Meta Montgomery</t>
        </is>
      </c>
      <c r="F497" s="3" t="inlineStr">
        <is>
          <t>Meta</t>
        </is>
      </c>
      <c r="G497" s="3" t="inlineStr">
        <is>
          <t>United States</t>
        </is>
      </c>
      <c r="H497" s="25" t="n">
        <v>358</v>
      </c>
      <c r="I497" s="17" t="n">
        <v>1</v>
      </c>
      <c r="J497" s="17" t="n">
        <v>0.635</v>
      </c>
      <c r="K497" s="26" t="n">
        <v>0.365</v>
      </c>
      <c r="L497" s="3" t="inlineStr">
        <is>
          <t>2027-02-23</t>
        </is>
      </c>
      <c r="M497" s="27" t="n">
        <v>153</v>
      </c>
      <c r="N497" s="27" t="n">
        <v>358</v>
      </c>
      <c r="O497" s="3" t="inlineStr">
        <is>
          <t>confident</t>
        </is>
      </c>
      <c r="P497" s="3" t="inlineStr">
        <is>
          <t>B300</t>
        </is>
      </c>
      <c r="Q497" s="3" t="inlineStr">
        <is>
          <t>epoch_user_site_equal_split_seed</t>
        </is>
      </c>
      <c r="R497" s="3" t="inlineStr">
        <is>
          <t>SRC_EPOCH_AI_DATA_CENTERS; EPOCH_NORMALIZED_USER_SITES</t>
        </is>
      </c>
      <c r="S497" s="3" t="inlineStr">
        <is>
          <t>Capacity weight is used only to weight accelerator mix, not to overwrite company total power in 02_Inputs.</t>
        </is>
      </c>
    </row>
    <row r="498">
      <c r="A498" s="3" t="inlineStr">
        <is>
          <t>Bear|Meta|2030|Meta Montgomery</t>
        </is>
      </c>
      <c r="B498" s="3" t="inlineStr">
        <is>
          <t>Bear</t>
        </is>
      </c>
      <c r="C498" s="3" t="inlineStr">
        <is>
          <t>Meta</t>
        </is>
      </c>
      <c r="D498" s="3" t="n">
        <v>2030</v>
      </c>
      <c r="E498" s="3" t="inlineStr">
        <is>
          <t>Meta Montgomery</t>
        </is>
      </c>
      <c r="F498" s="3" t="inlineStr">
        <is>
          <t>Meta</t>
        </is>
      </c>
      <c r="G498" s="3" t="inlineStr">
        <is>
          <t>United States</t>
        </is>
      </c>
      <c r="H498" s="25" t="n">
        <v>358</v>
      </c>
      <c r="I498" s="17" t="n">
        <v>1</v>
      </c>
      <c r="J498" s="17" t="n">
        <v>0.68</v>
      </c>
      <c r="K498" s="26" t="n">
        <v>0.32</v>
      </c>
      <c r="L498" s="3" t="inlineStr">
        <is>
          <t>2027-02-23</t>
        </is>
      </c>
      <c r="M498" s="27" t="n">
        <v>153</v>
      </c>
      <c r="N498" s="27" t="n">
        <v>358</v>
      </c>
      <c r="O498" s="3" t="inlineStr">
        <is>
          <t>confident</t>
        </is>
      </c>
      <c r="P498" s="3" t="inlineStr">
        <is>
          <t>B300</t>
        </is>
      </c>
      <c r="Q498" s="3" t="inlineStr">
        <is>
          <t>epoch_user_site_equal_split_seed</t>
        </is>
      </c>
      <c r="R498" s="3" t="inlineStr">
        <is>
          <t>SRC_EPOCH_AI_DATA_CENTERS; EPOCH_NORMALIZED_USER_SITES</t>
        </is>
      </c>
      <c r="S498" s="3" t="inlineStr">
        <is>
          <t>Capacity weight is used only to weight accelerator mix, not to overwrite company total power in 02_Inputs.</t>
        </is>
      </c>
    </row>
    <row r="499">
      <c r="A499" s="3" t="inlineStr">
        <is>
          <t>Base|Meta|2026|Meta Montgomery</t>
        </is>
      </c>
      <c r="B499" s="3" t="inlineStr">
        <is>
          <t>Base</t>
        </is>
      </c>
      <c r="C499" s="3" t="inlineStr">
        <is>
          <t>Meta</t>
        </is>
      </c>
      <c r="D499" s="3" t="n">
        <v>2026</v>
      </c>
      <c r="E499" s="3" t="inlineStr">
        <is>
          <t>Meta Montgomery</t>
        </is>
      </c>
      <c r="F499" s="3" t="inlineStr">
        <is>
          <t>Meta</t>
        </is>
      </c>
      <c r="G499" s="3" t="inlineStr">
        <is>
          <t>United States</t>
        </is>
      </c>
      <c r="H499" s="25" t="n">
        <v>153</v>
      </c>
      <c r="I499" s="17" t="n">
        <v>1</v>
      </c>
      <c r="J499" s="17" t="n">
        <v>0.58</v>
      </c>
      <c r="K499" s="26" t="n">
        <v>0.42</v>
      </c>
      <c r="L499" s="3" t="inlineStr">
        <is>
          <t>2027-02-23</t>
        </is>
      </c>
      <c r="M499" s="27" t="n">
        <v>153</v>
      </c>
      <c r="N499" s="27" t="n">
        <v>358</v>
      </c>
      <c r="O499" s="3" t="inlineStr">
        <is>
          <t>confident</t>
        </is>
      </c>
      <c r="P499" s="3" t="inlineStr">
        <is>
          <t>B300</t>
        </is>
      </c>
      <c r="Q499" s="3" t="inlineStr">
        <is>
          <t>epoch_user_site_equal_split_seed</t>
        </is>
      </c>
      <c r="R499" s="3" t="inlineStr">
        <is>
          <t>SRC_EPOCH_AI_DATA_CENTERS; EPOCH_NORMALIZED_USER_SITES</t>
        </is>
      </c>
      <c r="S499" s="3" t="inlineStr">
        <is>
          <t>Capacity weight is used only to weight accelerator mix, not to overwrite company total power in 02_Inputs.</t>
        </is>
      </c>
    </row>
    <row r="500">
      <c r="A500" s="3" t="inlineStr">
        <is>
          <t>Base|Meta|2027|Meta Montgomery</t>
        </is>
      </c>
      <c r="B500" s="3" t="inlineStr">
        <is>
          <t>Base</t>
        </is>
      </c>
      <c r="C500" s="3" t="inlineStr">
        <is>
          <t>Meta</t>
        </is>
      </c>
      <c r="D500" s="3" t="n">
        <v>2027</v>
      </c>
      <c r="E500" s="3" t="inlineStr">
        <is>
          <t>Meta Montgomery</t>
        </is>
      </c>
      <c r="F500" s="3" t="inlineStr">
        <is>
          <t>Meta</t>
        </is>
      </c>
      <c r="G500" s="3" t="inlineStr">
        <is>
          <t>United States</t>
        </is>
      </c>
      <c r="H500" s="25" t="n">
        <v>358</v>
      </c>
      <c r="I500" s="17" t="n">
        <v>1</v>
      </c>
      <c r="J500" s="17" t="n">
        <v>0.63</v>
      </c>
      <c r="K500" s="26" t="n">
        <v>0.37</v>
      </c>
      <c r="L500" s="3" t="inlineStr">
        <is>
          <t>2027-02-23</t>
        </is>
      </c>
      <c r="M500" s="27" t="n">
        <v>153</v>
      </c>
      <c r="N500" s="27" t="n">
        <v>358</v>
      </c>
      <c r="O500" s="3" t="inlineStr">
        <is>
          <t>confident</t>
        </is>
      </c>
      <c r="P500" s="3" t="inlineStr">
        <is>
          <t>B300</t>
        </is>
      </c>
      <c r="Q500" s="3" t="inlineStr">
        <is>
          <t>epoch_user_site_equal_split_seed</t>
        </is>
      </c>
      <c r="R500" s="3" t="inlineStr">
        <is>
          <t>SRC_EPOCH_AI_DATA_CENTERS; EPOCH_NORMALIZED_USER_SITES</t>
        </is>
      </c>
      <c r="S500" s="3" t="inlineStr">
        <is>
          <t>Capacity weight is used only to weight accelerator mix, not to overwrite company total power in 02_Inputs.</t>
        </is>
      </c>
    </row>
    <row r="501">
      <c r="A501" s="3" t="inlineStr">
        <is>
          <t>Base|Meta|2028|Meta Montgomery</t>
        </is>
      </c>
      <c r="B501" s="3" t="inlineStr">
        <is>
          <t>Base</t>
        </is>
      </c>
      <c r="C501" s="3" t="inlineStr">
        <is>
          <t>Meta</t>
        </is>
      </c>
      <c r="D501" s="3" t="n">
        <v>2028</v>
      </c>
      <c r="E501" s="3" t="inlineStr">
        <is>
          <t>Meta Montgomery</t>
        </is>
      </c>
      <c r="F501" s="3" t="inlineStr">
        <is>
          <t>Meta</t>
        </is>
      </c>
      <c r="G501" s="3" t="inlineStr">
        <is>
          <t>United States</t>
        </is>
      </c>
      <c r="H501" s="25" t="n">
        <v>358</v>
      </c>
      <c r="I501" s="17" t="n">
        <v>1</v>
      </c>
      <c r="J501" s="17" t="n">
        <v>0.68</v>
      </c>
      <c r="K501" s="26" t="n">
        <v>0.32</v>
      </c>
      <c r="L501" s="3" t="inlineStr">
        <is>
          <t>2027-02-23</t>
        </is>
      </c>
      <c r="M501" s="27" t="n">
        <v>153</v>
      </c>
      <c r="N501" s="27" t="n">
        <v>358</v>
      </c>
      <c r="O501" s="3" t="inlineStr">
        <is>
          <t>confident</t>
        </is>
      </c>
      <c r="P501" s="3" t="inlineStr">
        <is>
          <t>B300</t>
        </is>
      </c>
      <c r="Q501" s="3" t="inlineStr">
        <is>
          <t>epoch_user_site_equal_split_seed</t>
        </is>
      </c>
      <c r="R501" s="3" t="inlineStr">
        <is>
          <t>SRC_EPOCH_AI_DATA_CENTERS; EPOCH_NORMALIZED_USER_SITES</t>
        </is>
      </c>
      <c r="S501" s="3" t="inlineStr">
        <is>
          <t>Capacity weight is used only to weight accelerator mix, not to overwrite company total power in 02_Inputs.</t>
        </is>
      </c>
    </row>
    <row r="502">
      <c r="A502" s="3" t="inlineStr">
        <is>
          <t>Base|Meta|2029|Meta Montgomery</t>
        </is>
      </c>
      <c r="B502" s="3" t="inlineStr">
        <is>
          <t>Base</t>
        </is>
      </c>
      <c r="C502" s="3" t="inlineStr">
        <is>
          <t>Meta</t>
        </is>
      </c>
      <c r="D502" s="3" t="n">
        <v>2029</v>
      </c>
      <c r="E502" s="3" t="inlineStr">
        <is>
          <t>Meta Montgomery</t>
        </is>
      </c>
      <c r="F502" s="3" t="inlineStr">
        <is>
          <t>Meta</t>
        </is>
      </c>
      <c r="G502" s="3" t="inlineStr">
        <is>
          <t>United States</t>
        </is>
      </c>
      <c r="H502" s="25" t="n">
        <v>358</v>
      </c>
      <c r="I502" s="17" t="n">
        <v>1</v>
      </c>
      <c r="J502" s="17" t="n">
        <v>0.73</v>
      </c>
      <c r="K502" s="26" t="n">
        <v>0.27</v>
      </c>
      <c r="L502" s="3" t="inlineStr">
        <is>
          <t>2027-02-23</t>
        </is>
      </c>
      <c r="M502" s="27" t="n">
        <v>153</v>
      </c>
      <c r="N502" s="27" t="n">
        <v>358</v>
      </c>
      <c r="O502" s="3" t="inlineStr">
        <is>
          <t>confident</t>
        </is>
      </c>
      <c r="P502" s="3" t="inlineStr">
        <is>
          <t>B300</t>
        </is>
      </c>
      <c r="Q502" s="3" t="inlineStr">
        <is>
          <t>epoch_user_site_equal_split_seed</t>
        </is>
      </c>
      <c r="R502" s="3" t="inlineStr">
        <is>
          <t>SRC_EPOCH_AI_DATA_CENTERS; EPOCH_NORMALIZED_USER_SITES</t>
        </is>
      </c>
      <c r="S502" s="3" t="inlineStr">
        <is>
          <t>Capacity weight is used only to weight accelerator mix, not to overwrite company total power in 02_Inputs.</t>
        </is>
      </c>
    </row>
    <row r="503">
      <c r="A503" s="3" t="inlineStr">
        <is>
          <t>Base|Meta|2030|Meta Montgomery</t>
        </is>
      </c>
      <c r="B503" s="3" t="inlineStr">
        <is>
          <t>Base</t>
        </is>
      </c>
      <c r="C503" s="3" t="inlineStr">
        <is>
          <t>Meta</t>
        </is>
      </c>
      <c r="D503" s="3" t="n">
        <v>2030</v>
      </c>
      <c r="E503" s="3" t="inlineStr">
        <is>
          <t>Meta Montgomery</t>
        </is>
      </c>
      <c r="F503" s="3" t="inlineStr">
        <is>
          <t>Meta</t>
        </is>
      </c>
      <c r="G503" s="3" t="inlineStr">
        <is>
          <t>United States</t>
        </is>
      </c>
      <c r="H503" s="25" t="n">
        <v>358</v>
      </c>
      <c r="I503" s="17" t="n">
        <v>1</v>
      </c>
      <c r="J503" s="17" t="n">
        <v>0.78</v>
      </c>
      <c r="K503" s="26" t="n">
        <v>0.22</v>
      </c>
      <c r="L503" s="3" t="inlineStr">
        <is>
          <t>2027-02-23</t>
        </is>
      </c>
      <c r="M503" s="27" t="n">
        <v>153</v>
      </c>
      <c r="N503" s="27" t="n">
        <v>358</v>
      </c>
      <c r="O503" s="3" t="inlineStr">
        <is>
          <t>confident</t>
        </is>
      </c>
      <c r="P503" s="3" t="inlineStr">
        <is>
          <t>B300</t>
        </is>
      </c>
      <c r="Q503" s="3" t="inlineStr">
        <is>
          <t>epoch_user_site_equal_split_seed</t>
        </is>
      </c>
      <c r="R503" s="3" t="inlineStr">
        <is>
          <t>SRC_EPOCH_AI_DATA_CENTERS; EPOCH_NORMALIZED_USER_SITES</t>
        </is>
      </c>
      <c r="S503" s="3" t="inlineStr">
        <is>
          <t>Capacity weight is used only to weight accelerator mix, not to overwrite company total power in 02_Inputs.</t>
        </is>
      </c>
    </row>
    <row r="504">
      <c r="A504" s="3" t="inlineStr">
        <is>
          <t>Bull|Meta|2026|Meta Montgomery</t>
        </is>
      </c>
      <c r="B504" s="3" t="inlineStr">
        <is>
          <t>Bull</t>
        </is>
      </c>
      <c r="C504" s="3" t="inlineStr">
        <is>
          <t>Meta</t>
        </is>
      </c>
      <c r="D504" s="3" t="n">
        <v>2026</v>
      </c>
      <c r="E504" s="3" t="inlineStr">
        <is>
          <t>Meta Montgomery</t>
        </is>
      </c>
      <c r="F504" s="3" t="inlineStr">
        <is>
          <t>Meta</t>
        </is>
      </c>
      <c r="G504" s="3" t="inlineStr">
        <is>
          <t>United States</t>
        </is>
      </c>
      <c r="H504" s="25" t="n">
        <v>153</v>
      </c>
      <c r="I504" s="17" t="n">
        <v>1</v>
      </c>
      <c r="J504" s="17" t="n">
        <v>0.63</v>
      </c>
      <c r="K504" s="26" t="n">
        <v>0.37</v>
      </c>
      <c r="L504" s="3" t="inlineStr">
        <is>
          <t>2027-02-23</t>
        </is>
      </c>
      <c r="M504" s="27" t="n">
        <v>153</v>
      </c>
      <c r="N504" s="27" t="n">
        <v>358</v>
      </c>
      <c r="O504" s="3" t="inlineStr">
        <is>
          <t>confident</t>
        </is>
      </c>
      <c r="P504" s="3" t="inlineStr">
        <is>
          <t>B300</t>
        </is>
      </c>
      <c r="Q504" s="3" t="inlineStr">
        <is>
          <t>epoch_user_site_equal_split_seed</t>
        </is>
      </c>
      <c r="R504" s="3" t="inlineStr">
        <is>
          <t>SRC_EPOCH_AI_DATA_CENTERS; EPOCH_NORMALIZED_USER_SITES</t>
        </is>
      </c>
      <c r="S504" s="3" t="inlineStr">
        <is>
          <t>Capacity weight is used only to weight accelerator mix, not to overwrite company total power in 02_Inputs.</t>
        </is>
      </c>
    </row>
    <row r="505">
      <c r="A505" s="3" t="inlineStr">
        <is>
          <t>Bull|Meta|2027|Meta Montgomery</t>
        </is>
      </c>
      <c r="B505" s="3" t="inlineStr">
        <is>
          <t>Bull</t>
        </is>
      </c>
      <c r="C505" s="3" t="inlineStr">
        <is>
          <t>Meta</t>
        </is>
      </c>
      <c r="D505" s="3" t="n">
        <v>2027</v>
      </c>
      <c r="E505" s="3" t="inlineStr">
        <is>
          <t>Meta Montgomery</t>
        </is>
      </c>
      <c r="F505" s="3" t="inlineStr">
        <is>
          <t>Meta</t>
        </is>
      </c>
      <c r="G505" s="3" t="inlineStr">
        <is>
          <t>United States</t>
        </is>
      </c>
      <c r="H505" s="25" t="n">
        <v>358</v>
      </c>
      <c r="I505" s="17" t="n">
        <v>1</v>
      </c>
      <c r="J505" s="17" t="n">
        <v>0.6879999999999999</v>
      </c>
      <c r="K505" s="26" t="n">
        <v>0.312</v>
      </c>
      <c r="L505" s="3" t="inlineStr">
        <is>
          <t>2027-02-23</t>
        </is>
      </c>
      <c r="M505" s="27" t="n">
        <v>153</v>
      </c>
      <c r="N505" s="27" t="n">
        <v>358</v>
      </c>
      <c r="O505" s="3" t="inlineStr">
        <is>
          <t>confident</t>
        </is>
      </c>
      <c r="P505" s="3" t="inlineStr">
        <is>
          <t>B300</t>
        </is>
      </c>
      <c r="Q505" s="3" t="inlineStr">
        <is>
          <t>epoch_user_site_equal_split_seed</t>
        </is>
      </c>
      <c r="R505" s="3" t="inlineStr">
        <is>
          <t>SRC_EPOCH_AI_DATA_CENTERS; EPOCH_NORMALIZED_USER_SITES</t>
        </is>
      </c>
      <c r="S505" s="3" t="inlineStr">
        <is>
          <t>Capacity weight is used only to weight accelerator mix, not to overwrite company total power in 02_Inputs.</t>
        </is>
      </c>
    </row>
    <row r="506">
      <c r="A506" s="3" t="inlineStr">
        <is>
          <t>Bull|Meta|2028|Meta Montgomery</t>
        </is>
      </c>
      <c r="B506" s="3" t="inlineStr">
        <is>
          <t>Bull</t>
        </is>
      </c>
      <c r="C506" s="3" t="inlineStr">
        <is>
          <t>Meta</t>
        </is>
      </c>
      <c r="D506" s="3" t="n">
        <v>2028</v>
      </c>
      <c r="E506" s="3" t="inlineStr">
        <is>
          <t>Meta Montgomery</t>
        </is>
      </c>
      <c r="F506" s="3" t="inlineStr">
        <is>
          <t>Meta</t>
        </is>
      </c>
      <c r="G506" s="3" t="inlineStr">
        <is>
          <t>United States</t>
        </is>
      </c>
      <c r="H506" s="25" t="n">
        <v>358</v>
      </c>
      <c r="I506" s="17" t="n">
        <v>1</v>
      </c>
      <c r="J506" s="17" t="n">
        <v>0.745</v>
      </c>
      <c r="K506" s="26" t="n">
        <v>0.255</v>
      </c>
      <c r="L506" s="3" t="inlineStr">
        <is>
          <t>2027-02-23</t>
        </is>
      </c>
      <c r="M506" s="27" t="n">
        <v>153</v>
      </c>
      <c r="N506" s="27" t="n">
        <v>358</v>
      </c>
      <c r="O506" s="3" t="inlineStr">
        <is>
          <t>confident</t>
        </is>
      </c>
      <c r="P506" s="3" t="inlineStr">
        <is>
          <t>B300</t>
        </is>
      </c>
      <c r="Q506" s="3" t="inlineStr">
        <is>
          <t>epoch_user_site_equal_split_seed</t>
        </is>
      </c>
      <c r="R506" s="3" t="inlineStr">
        <is>
          <t>SRC_EPOCH_AI_DATA_CENTERS; EPOCH_NORMALIZED_USER_SITES</t>
        </is>
      </c>
      <c r="S506" s="3" t="inlineStr">
        <is>
          <t>Capacity weight is used only to weight accelerator mix, not to overwrite company total power in 02_Inputs.</t>
        </is>
      </c>
    </row>
    <row r="507">
      <c r="A507" s="3" t="inlineStr">
        <is>
          <t>Bull|Meta|2029|Meta Montgomery</t>
        </is>
      </c>
      <c r="B507" s="3" t="inlineStr">
        <is>
          <t>Bull</t>
        </is>
      </c>
      <c r="C507" s="3" t="inlineStr">
        <is>
          <t>Meta</t>
        </is>
      </c>
      <c r="D507" s="3" t="n">
        <v>2029</v>
      </c>
      <c r="E507" s="3" t="inlineStr">
        <is>
          <t>Meta Montgomery</t>
        </is>
      </c>
      <c r="F507" s="3" t="inlineStr">
        <is>
          <t>Meta</t>
        </is>
      </c>
      <c r="G507" s="3" t="inlineStr">
        <is>
          <t>United States</t>
        </is>
      </c>
      <c r="H507" s="25" t="n">
        <v>358</v>
      </c>
      <c r="I507" s="17" t="n">
        <v>1</v>
      </c>
      <c r="J507" s="17" t="n">
        <v>0.802</v>
      </c>
      <c r="K507" s="26" t="n">
        <v>0.198</v>
      </c>
      <c r="L507" s="3" t="inlineStr">
        <is>
          <t>2027-02-23</t>
        </is>
      </c>
      <c r="M507" s="27" t="n">
        <v>153</v>
      </c>
      <c r="N507" s="27" t="n">
        <v>358</v>
      </c>
      <c r="O507" s="3" t="inlineStr">
        <is>
          <t>confident</t>
        </is>
      </c>
      <c r="P507" s="3" t="inlineStr">
        <is>
          <t>B300</t>
        </is>
      </c>
      <c r="Q507" s="3" t="inlineStr">
        <is>
          <t>epoch_user_site_equal_split_seed</t>
        </is>
      </c>
      <c r="R507" s="3" t="inlineStr">
        <is>
          <t>SRC_EPOCH_AI_DATA_CENTERS; EPOCH_NORMALIZED_USER_SITES</t>
        </is>
      </c>
      <c r="S507" s="3" t="inlineStr">
        <is>
          <t>Capacity weight is used only to weight accelerator mix, not to overwrite company total power in 02_Inputs.</t>
        </is>
      </c>
    </row>
    <row r="508">
      <c r="A508" s="3" t="inlineStr">
        <is>
          <t>Bull|Meta|2030|Meta Montgomery</t>
        </is>
      </c>
      <c r="B508" s="3" t="inlineStr">
        <is>
          <t>Bull</t>
        </is>
      </c>
      <c r="C508" s="3" t="inlineStr">
        <is>
          <t>Meta</t>
        </is>
      </c>
      <c r="D508" s="3" t="n">
        <v>2030</v>
      </c>
      <c r="E508" s="3" t="inlineStr">
        <is>
          <t>Meta Montgomery</t>
        </is>
      </c>
      <c r="F508" s="3" t="inlineStr">
        <is>
          <t>Meta</t>
        </is>
      </c>
      <c r="G508" s="3" t="inlineStr">
        <is>
          <t>United States</t>
        </is>
      </c>
      <c r="H508" s="25" t="n">
        <v>358</v>
      </c>
      <c r="I508" s="17" t="n">
        <v>1</v>
      </c>
      <c r="J508" s="17" t="n">
        <v>0.86</v>
      </c>
      <c r="K508" s="26" t="n">
        <v>0.14</v>
      </c>
      <c r="L508" s="3" t="inlineStr">
        <is>
          <t>2027-02-23</t>
        </is>
      </c>
      <c r="M508" s="27" t="n">
        <v>153</v>
      </c>
      <c r="N508" s="27" t="n">
        <v>358</v>
      </c>
      <c r="O508" s="3" t="inlineStr">
        <is>
          <t>confident</t>
        </is>
      </c>
      <c r="P508" s="3" t="inlineStr">
        <is>
          <t>B300</t>
        </is>
      </c>
      <c r="Q508" s="3" t="inlineStr">
        <is>
          <t>epoch_user_site_equal_split_seed</t>
        </is>
      </c>
      <c r="R508" s="3" t="inlineStr">
        <is>
          <t>SRC_EPOCH_AI_DATA_CENTERS; EPOCH_NORMALIZED_USER_SITES</t>
        </is>
      </c>
      <c r="S508" s="3" t="inlineStr">
        <is>
          <t>Capacity weight is used only to weight accelerator mix, not to overwrite company total power in 02_Inputs.</t>
        </is>
      </c>
    </row>
    <row r="509">
      <c r="A509" s="3" t="inlineStr">
        <is>
          <t>Grid-Constrained / Efficiency-Upside|Meta|2026|Meta Montgomery</t>
        </is>
      </c>
      <c r="B509" s="3" t="inlineStr">
        <is>
          <t>Grid-Constrained / Efficiency-Upside</t>
        </is>
      </c>
      <c r="C509" s="3" t="inlineStr">
        <is>
          <t>Meta</t>
        </is>
      </c>
      <c r="D509" s="3" t="n">
        <v>2026</v>
      </c>
      <c r="E509" s="3" t="inlineStr">
        <is>
          <t>Meta Montgomery</t>
        </is>
      </c>
      <c r="F509" s="3" t="inlineStr">
        <is>
          <t>Meta</t>
        </is>
      </c>
      <c r="G509" s="3" t="inlineStr">
        <is>
          <t>United States</t>
        </is>
      </c>
      <c r="H509" s="25" t="n">
        <v>153</v>
      </c>
      <c r="I509" s="17" t="n">
        <v>1</v>
      </c>
      <c r="J509" s="17" t="n">
        <v>0.6</v>
      </c>
      <c r="K509" s="26" t="n">
        <v>0.4</v>
      </c>
      <c r="L509" s="3" t="inlineStr">
        <is>
          <t>2027-02-23</t>
        </is>
      </c>
      <c r="M509" s="27" t="n">
        <v>153</v>
      </c>
      <c r="N509" s="27" t="n">
        <v>358</v>
      </c>
      <c r="O509" s="3" t="inlineStr">
        <is>
          <t>confident</t>
        </is>
      </c>
      <c r="P509" s="3" t="inlineStr">
        <is>
          <t>B300</t>
        </is>
      </c>
      <c r="Q509" s="3" t="inlineStr">
        <is>
          <t>epoch_user_site_equal_split_seed</t>
        </is>
      </c>
      <c r="R509" s="3" t="inlineStr">
        <is>
          <t>SRC_EPOCH_AI_DATA_CENTERS; EPOCH_NORMALIZED_USER_SITES</t>
        </is>
      </c>
      <c r="S509" s="3" t="inlineStr">
        <is>
          <t>Capacity weight is used only to weight accelerator mix, not to overwrite company total power in 02_Inputs.</t>
        </is>
      </c>
    </row>
    <row r="510">
      <c r="A510" s="3" t="inlineStr">
        <is>
          <t>Grid-Constrained / Efficiency-Upside|Meta|2027|Meta Montgomery</t>
        </is>
      </c>
      <c r="B510" s="3" t="inlineStr">
        <is>
          <t>Grid-Constrained / Efficiency-Upside</t>
        </is>
      </c>
      <c r="C510" s="3" t="inlineStr">
        <is>
          <t>Meta</t>
        </is>
      </c>
      <c r="D510" s="3" t="n">
        <v>2027</v>
      </c>
      <c r="E510" s="3" t="inlineStr">
        <is>
          <t>Meta Montgomery</t>
        </is>
      </c>
      <c r="F510" s="3" t="inlineStr">
        <is>
          <t>Meta</t>
        </is>
      </c>
      <c r="G510" s="3" t="inlineStr">
        <is>
          <t>United States</t>
        </is>
      </c>
      <c r="H510" s="25" t="n">
        <v>358</v>
      </c>
      <c r="I510" s="17" t="n">
        <v>1</v>
      </c>
      <c r="J510" s="17" t="n">
        <v>0.655</v>
      </c>
      <c r="K510" s="26" t="n">
        <v>0.345</v>
      </c>
      <c r="L510" s="3" t="inlineStr">
        <is>
          <t>2027-02-23</t>
        </is>
      </c>
      <c r="M510" s="27" t="n">
        <v>153</v>
      </c>
      <c r="N510" s="27" t="n">
        <v>358</v>
      </c>
      <c r="O510" s="3" t="inlineStr">
        <is>
          <t>confident</t>
        </is>
      </c>
      <c r="P510" s="3" t="inlineStr">
        <is>
          <t>B300</t>
        </is>
      </c>
      <c r="Q510" s="3" t="inlineStr">
        <is>
          <t>epoch_user_site_equal_split_seed</t>
        </is>
      </c>
      <c r="R510" s="3" t="inlineStr">
        <is>
          <t>SRC_EPOCH_AI_DATA_CENTERS; EPOCH_NORMALIZED_USER_SITES</t>
        </is>
      </c>
      <c r="S510" s="3" t="inlineStr">
        <is>
          <t>Capacity weight is used only to weight accelerator mix, not to overwrite company total power in 02_Inputs.</t>
        </is>
      </c>
    </row>
    <row r="511">
      <c r="A511" s="3" t="inlineStr">
        <is>
          <t>Grid-Constrained / Efficiency-Upside|Meta|2028|Meta Montgomery</t>
        </is>
      </c>
      <c r="B511" s="3" t="inlineStr">
        <is>
          <t>Grid-Constrained / Efficiency-Upside</t>
        </is>
      </c>
      <c r="C511" s="3" t="inlineStr">
        <is>
          <t>Meta</t>
        </is>
      </c>
      <c r="D511" s="3" t="n">
        <v>2028</v>
      </c>
      <c r="E511" s="3" t="inlineStr">
        <is>
          <t>Meta Montgomery</t>
        </is>
      </c>
      <c r="F511" s="3" t="inlineStr">
        <is>
          <t>Meta</t>
        </is>
      </c>
      <c r="G511" s="3" t="inlineStr">
        <is>
          <t>United States</t>
        </is>
      </c>
      <c r="H511" s="25" t="n">
        <v>358</v>
      </c>
      <c r="I511" s="17" t="n">
        <v>1</v>
      </c>
      <c r="J511" s="17" t="n">
        <v>0.71</v>
      </c>
      <c r="K511" s="26" t="n">
        <v>0.29</v>
      </c>
      <c r="L511" s="3" t="inlineStr">
        <is>
          <t>2027-02-23</t>
        </is>
      </c>
      <c r="M511" s="27" t="n">
        <v>153</v>
      </c>
      <c r="N511" s="27" t="n">
        <v>358</v>
      </c>
      <c r="O511" s="3" t="inlineStr">
        <is>
          <t>confident</t>
        </is>
      </c>
      <c r="P511" s="3" t="inlineStr">
        <is>
          <t>B300</t>
        </is>
      </c>
      <c r="Q511" s="3" t="inlineStr">
        <is>
          <t>epoch_user_site_equal_split_seed</t>
        </is>
      </c>
      <c r="R511" s="3" t="inlineStr">
        <is>
          <t>SRC_EPOCH_AI_DATA_CENTERS; EPOCH_NORMALIZED_USER_SITES</t>
        </is>
      </c>
      <c r="S511" s="3" t="inlineStr">
        <is>
          <t>Capacity weight is used only to weight accelerator mix, not to overwrite company total power in 02_Inputs.</t>
        </is>
      </c>
    </row>
    <row r="512">
      <c r="A512" s="3" t="inlineStr">
        <is>
          <t>Grid-Constrained / Efficiency-Upside|Meta|2029|Meta Montgomery</t>
        </is>
      </c>
      <c r="B512" s="3" t="inlineStr">
        <is>
          <t>Grid-Constrained / Efficiency-Upside</t>
        </is>
      </c>
      <c r="C512" s="3" t="inlineStr">
        <is>
          <t>Meta</t>
        </is>
      </c>
      <c r="D512" s="3" t="n">
        <v>2029</v>
      </c>
      <c r="E512" s="3" t="inlineStr">
        <is>
          <t>Meta Montgomery</t>
        </is>
      </c>
      <c r="F512" s="3" t="inlineStr">
        <is>
          <t>Meta</t>
        </is>
      </c>
      <c r="G512" s="3" t="inlineStr">
        <is>
          <t>United States</t>
        </is>
      </c>
      <c r="H512" s="25" t="n">
        <v>358</v>
      </c>
      <c r="I512" s="17" t="n">
        <v>1</v>
      </c>
      <c r="J512" s="17" t="n">
        <v>0.765</v>
      </c>
      <c r="K512" s="26" t="n">
        <v>0.235</v>
      </c>
      <c r="L512" s="3" t="inlineStr">
        <is>
          <t>2027-02-23</t>
        </is>
      </c>
      <c r="M512" s="27" t="n">
        <v>153</v>
      </c>
      <c r="N512" s="27" t="n">
        <v>358</v>
      </c>
      <c r="O512" s="3" t="inlineStr">
        <is>
          <t>confident</t>
        </is>
      </c>
      <c r="P512" s="3" t="inlineStr">
        <is>
          <t>B300</t>
        </is>
      </c>
      <c r="Q512" s="3" t="inlineStr">
        <is>
          <t>epoch_user_site_equal_split_seed</t>
        </is>
      </c>
      <c r="R512" s="3" t="inlineStr">
        <is>
          <t>SRC_EPOCH_AI_DATA_CENTERS; EPOCH_NORMALIZED_USER_SITES</t>
        </is>
      </c>
      <c r="S512" s="3" t="inlineStr">
        <is>
          <t>Capacity weight is used only to weight accelerator mix, not to overwrite company total power in 02_Inputs.</t>
        </is>
      </c>
    </row>
    <row r="513">
      <c r="A513" s="3" t="inlineStr">
        <is>
          <t>Grid-Constrained / Efficiency-Upside|Meta|2030|Meta Montgomery</t>
        </is>
      </c>
      <c r="B513" s="3" t="inlineStr">
        <is>
          <t>Grid-Constrained / Efficiency-Upside</t>
        </is>
      </c>
      <c r="C513" s="3" t="inlineStr">
        <is>
          <t>Meta</t>
        </is>
      </c>
      <c r="D513" s="3" t="n">
        <v>2030</v>
      </c>
      <c r="E513" s="3" t="inlineStr">
        <is>
          <t>Meta Montgomery</t>
        </is>
      </c>
      <c r="F513" s="3" t="inlineStr">
        <is>
          <t>Meta</t>
        </is>
      </c>
      <c r="G513" s="3" t="inlineStr">
        <is>
          <t>United States</t>
        </is>
      </c>
      <c r="H513" s="25" t="n">
        <v>358</v>
      </c>
      <c r="I513" s="17" t="n">
        <v>1</v>
      </c>
      <c r="J513" s="17" t="n">
        <v>0.82</v>
      </c>
      <c r="K513" s="26" t="n">
        <v>0.18</v>
      </c>
      <c r="L513" s="3" t="inlineStr">
        <is>
          <t>2027-02-23</t>
        </is>
      </c>
      <c r="M513" s="27" t="n">
        <v>153</v>
      </c>
      <c r="N513" s="27" t="n">
        <v>358</v>
      </c>
      <c r="O513" s="3" t="inlineStr">
        <is>
          <t>confident</t>
        </is>
      </c>
      <c r="P513" s="3" t="inlineStr">
        <is>
          <t>B300</t>
        </is>
      </c>
      <c r="Q513" s="3" t="inlineStr">
        <is>
          <t>epoch_user_site_equal_split_seed</t>
        </is>
      </c>
      <c r="R513" s="3" t="inlineStr">
        <is>
          <t>SRC_EPOCH_AI_DATA_CENTERS; EPOCH_NORMALIZED_USER_SITES</t>
        </is>
      </c>
      <c r="S513" s="3" t="inlineStr">
        <is>
          <t>Capacity weight is used only to weight accelerator mix, not to overwrite company total power in 02_Inputs.</t>
        </is>
      </c>
    </row>
    <row r="514">
      <c r="A514" s="3" t="inlineStr">
        <is>
          <t>Bear|Meta|2026|Meta Prometheus</t>
        </is>
      </c>
      <c r="B514" s="3" t="inlineStr">
        <is>
          <t>Bear</t>
        </is>
      </c>
      <c r="C514" s="3" t="inlineStr">
        <is>
          <t>Meta</t>
        </is>
      </c>
      <c r="D514" s="3" t="n">
        <v>2026</v>
      </c>
      <c r="E514" s="3" t="inlineStr">
        <is>
          <t>Meta Prometheus</t>
        </is>
      </c>
      <c r="F514" s="3" t="inlineStr">
        <is>
          <t>Meta</t>
        </is>
      </c>
      <c r="G514" s="3" t="inlineStr">
        <is>
          <t>United States</t>
        </is>
      </c>
      <c r="H514" s="25" t="n">
        <v>854</v>
      </c>
      <c r="I514" s="17" t="n">
        <v>1</v>
      </c>
      <c r="J514" s="17" t="n">
        <v>0.5</v>
      </c>
      <c r="K514" s="26" t="n">
        <v>0.5</v>
      </c>
      <c r="L514" s="3" t="inlineStr">
        <is>
          <t>2026-10-01</t>
        </is>
      </c>
      <c r="M514" s="27" t="n">
        <v>631</v>
      </c>
      <c r="N514" s="27" t="n">
        <v>854</v>
      </c>
      <c r="O514" s="3" t="inlineStr">
        <is>
          <t>confident</t>
        </is>
      </c>
      <c r="P514" s="3" t="inlineStr">
        <is>
          <t>B200</t>
        </is>
      </c>
      <c r="Q514" s="3" t="inlineStr">
        <is>
          <t>epoch_user_site_equal_split_seed</t>
        </is>
      </c>
      <c r="R514" s="3" t="inlineStr">
        <is>
          <t>SRC_EPOCH_AI_DATA_CENTERS; EPOCH_NORMALIZED_USER_SITES</t>
        </is>
      </c>
      <c r="S514" s="3" t="inlineStr">
        <is>
          <t>Capacity weight is used only to weight accelerator mix, not to overwrite company total power in 02_Inputs.</t>
        </is>
      </c>
    </row>
    <row r="515">
      <c r="A515" s="3" t="inlineStr">
        <is>
          <t>Bear|Meta|2027|Meta Prometheus</t>
        </is>
      </c>
      <c r="B515" s="3" t="inlineStr">
        <is>
          <t>Bear</t>
        </is>
      </c>
      <c r="C515" s="3" t="inlineStr">
        <is>
          <t>Meta</t>
        </is>
      </c>
      <c r="D515" s="3" t="n">
        <v>2027</v>
      </c>
      <c r="E515" s="3" t="inlineStr">
        <is>
          <t>Meta Prometheus</t>
        </is>
      </c>
      <c r="F515" s="3" t="inlineStr">
        <is>
          <t>Meta</t>
        </is>
      </c>
      <c r="G515" s="3" t="inlineStr">
        <is>
          <t>United States</t>
        </is>
      </c>
      <c r="H515" s="25" t="n">
        <v>854</v>
      </c>
      <c r="I515" s="17" t="n">
        <v>1</v>
      </c>
      <c r="J515" s="17" t="n">
        <v>0.545</v>
      </c>
      <c r="K515" s="26" t="n">
        <v>0.455</v>
      </c>
      <c r="L515" s="3" t="inlineStr">
        <is>
          <t>2026-10-01</t>
        </is>
      </c>
      <c r="M515" s="27" t="n">
        <v>631</v>
      </c>
      <c r="N515" s="27" t="n">
        <v>854</v>
      </c>
      <c r="O515" s="3" t="inlineStr">
        <is>
          <t>confident</t>
        </is>
      </c>
      <c r="P515" s="3" t="inlineStr">
        <is>
          <t>B200</t>
        </is>
      </c>
      <c r="Q515" s="3" t="inlineStr">
        <is>
          <t>epoch_user_site_equal_split_seed</t>
        </is>
      </c>
      <c r="R515" s="3" t="inlineStr">
        <is>
          <t>SRC_EPOCH_AI_DATA_CENTERS; EPOCH_NORMALIZED_USER_SITES</t>
        </is>
      </c>
      <c r="S515" s="3" t="inlineStr">
        <is>
          <t>Capacity weight is used only to weight accelerator mix, not to overwrite company total power in 02_Inputs.</t>
        </is>
      </c>
    </row>
    <row r="516">
      <c r="A516" s="3" t="inlineStr">
        <is>
          <t>Bear|Meta|2028|Meta Prometheus</t>
        </is>
      </c>
      <c r="B516" s="3" t="inlineStr">
        <is>
          <t>Bear</t>
        </is>
      </c>
      <c r="C516" s="3" t="inlineStr">
        <is>
          <t>Meta</t>
        </is>
      </c>
      <c r="D516" s="3" t="n">
        <v>2028</v>
      </c>
      <c r="E516" s="3" t="inlineStr">
        <is>
          <t>Meta Prometheus</t>
        </is>
      </c>
      <c r="F516" s="3" t="inlineStr">
        <is>
          <t>Meta</t>
        </is>
      </c>
      <c r="G516" s="3" t="inlineStr">
        <is>
          <t>United States</t>
        </is>
      </c>
      <c r="H516" s="25" t="n">
        <v>854</v>
      </c>
      <c r="I516" s="17" t="n">
        <v>1</v>
      </c>
      <c r="J516" s="17" t="n">
        <v>0.59</v>
      </c>
      <c r="K516" s="26" t="n">
        <v>0.41</v>
      </c>
      <c r="L516" s="3" t="inlineStr">
        <is>
          <t>2026-10-01</t>
        </is>
      </c>
      <c r="M516" s="27" t="n">
        <v>631</v>
      </c>
      <c r="N516" s="27" t="n">
        <v>854</v>
      </c>
      <c r="O516" s="3" t="inlineStr">
        <is>
          <t>confident</t>
        </is>
      </c>
      <c r="P516" s="3" t="inlineStr">
        <is>
          <t>B200</t>
        </is>
      </c>
      <c r="Q516" s="3" t="inlineStr">
        <is>
          <t>epoch_user_site_equal_split_seed</t>
        </is>
      </c>
      <c r="R516" s="3" t="inlineStr">
        <is>
          <t>SRC_EPOCH_AI_DATA_CENTERS; EPOCH_NORMALIZED_USER_SITES</t>
        </is>
      </c>
      <c r="S516" s="3" t="inlineStr">
        <is>
          <t>Capacity weight is used only to weight accelerator mix, not to overwrite company total power in 02_Inputs.</t>
        </is>
      </c>
    </row>
    <row r="517">
      <c r="A517" s="3" t="inlineStr">
        <is>
          <t>Bear|Meta|2029|Meta Prometheus</t>
        </is>
      </c>
      <c r="B517" s="3" t="inlineStr">
        <is>
          <t>Bear</t>
        </is>
      </c>
      <c r="C517" s="3" t="inlineStr">
        <is>
          <t>Meta</t>
        </is>
      </c>
      <c r="D517" s="3" t="n">
        <v>2029</v>
      </c>
      <c r="E517" s="3" t="inlineStr">
        <is>
          <t>Meta Prometheus</t>
        </is>
      </c>
      <c r="F517" s="3" t="inlineStr">
        <is>
          <t>Meta</t>
        </is>
      </c>
      <c r="G517" s="3" t="inlineStr">
        <is>
          <t>United States</t>
        </is>
      </c>
      <c r="H517" s="25" t="n">
        <v>854</v>
      </c>
      <c r="I517" s="17" t="n">
        <v>1</v>
      </c>
      <c r="J517" s="17" t="n">
        <v>0.635</v>
      </c>
      <c r="K517" s="26" t="n">
        <v>0.365</v>
      </c>
      <c r="L517" s="3" t="inlineStr">
        <is>
          <t>2026-10-01</t>
        </is>
      </c>
      <c r="M517" s="27" t="n">
        <v>631</v>
      </c>
      <c r="N517" s="27" t="n">
        <v>854</v>
      </c>
      <c r="O517" s="3" t="inlineStr">
        <is>
          <t>confident</t>
        </is>
      </c>
      <c r="P517" s="3" t="inlineStr">
        <is>
          <t>B200</t>
        </is>
      </c>
      <c r="Q517" s="3" t="inlineStr">
        <is>
          <t>epoch_user_site_equal_split_seed</t>
        </is>
      </c>
      <c r="R517" s="3" t="inlineStr">
        <is>
          <t>SRC_EPOCH_AI_DATA_CENTERS; EPOCH_NORMALIZED_USER_SITES</t>
        </is>
      </c>
      <c r="S517" s="3" t="inlineStr">
        <is>
          <t>Capacity weight is used only to weight accelerator mix, not to overwrite company total power in 02_Inputs.</t>
        </is>
      </c>
    </row>
    <row r="518">
      <c r="A518" s="3" t="inlineStr">
        <is>
          <t>Bear|Meta|2030|Meta Prometheus</t>
        </is>
      </c>
      <c r="B518" s="3" t="inlineStr">
        <is>
          <t>Bear</t>
        </is>
      </c>
      <c r="C518" s="3" t="inlineStr">
        <is>
          <t>Meta</t>
        </is>
      </c>
      <c r="D518" s="3" t="n">
        <v>2030</v>
      </c>
      <c r="E518" s="3" t="inlineStr">
        <is>
          <t>Meta Prometheus</t>
        </is>
      </c>
      <c r="F518" s="3" t="inlineStr">
        <is>
          <t>Meta</t>
        </is>
      </c>
      <c r="G518" s="3" t="inlineStr">
        <is>
          <t>United States</t>
        </is>
      </c>
      <c r="H518" s="25" t="n">
        <v>854</v>
      </c>
      <c r="I518" s="17" t="n">
        <v>1</v>
      </c>
      <c r="J518" s="17" t="n">
        <v>0.68</v>
      </c>
      <c r="K518" s="26" t="n">
        <v>0.32</v>
      </c>
      <c r="L518" s="3" t="inlineStr">
        <is>
          <t>2026-10-01</t>
        </is>
      </c>
      <c r="M518" s="27" t="n">
        <v>631</v>
      </c>
      <c r="N518" s="27" t="n">
        <v>854</v>
      </c>
      <c r="O518" s="3" t="inlineStr">
        <is>
          <t>confident</t>
        </is>
      </c>
      <c r="P518" s="3" t="inlineStr">
        <is>
          <t>B200</t>
        </is>
      </c>
      <c r="Q518" s="3" t="inlineStr">
        <is>
          <t>epoch_user_site_equal_split_seed</t>
        </is>
      </c>
      <c r="R518" s="3" t="inlineStr">
        <is>
          <t>SRC_EPOCH_AI_DATA_CENTERS; EPOCH_NORMALIZED_USER_SITES</t>
        </is>
      </c>
      <c r="S518" s="3" t="inlineStr">
        <is>
          <t>Capacity weight is used only to weight accelerator mix, not to overwrite company total power in 02_Inputs.</t>
        </is>
      </c>
    </row>
    <row r="519">
      <c r="A519" s="3" t="inlineStr">
        <is>
          <t>Base|Meta|2026|Meta Prometheus</t>
        </is>
      </c>
      <c r="B519" s="3" t="inlineStr">
        <is>
          <t>Base</t>
        </is>
      </c>
      <c r="C519" s="3" t="inlineStr">
        <is>
          <t>Meta</t>
        </is>
      </c>
      <c r="D519" s="3" t="n">
        <v>2026</v>
      </c>
      <c r="E519" s="3" t="inlineStr">
        <is>
          <t>Meta Prometheus</t>
        </is>
      </c>
      <c r="F519" s="3" t="inlineStr">
        <is>
          <t>Meta</t>
        </is>
      </c>
      <c r="G519" s="3" t="inlineStr">
        <is>
          <t>United States</t>
        </is>
      </c>
      <c r="H519" s="25" t="n">
        <v>854</v>
      </c>
      <c r="I519" s="17" t="n">
        <v>1</v>
      </c>
      <c r="J519" s="17" t="n">
        <v>0.58</v>
      </c>
      <c r="K519" s="26" t="n">
        <v>0.42</v>
      </c>
      <c r="L519" s="3" t="inlineStr">
        <is>
          <t>2026-10-01</t>
        </is>
      </c>
      <c r="M519" s="27" t="n">
        <v>631</v>
      </c>
      <c r="N519" s="27" t="n">
        <v>854</v>
      </c>
      <c r="O519" s="3" t="inlineStr">
        <is>
          <t>confident</t>
        </is>
      </c>
      <c r="P519" s="3" t="inlineStr">
        <is>
          <t>B200</t>
        </is>
      </c>
      <c r="Q519" s="3" t="inlineStr">
        <is>
          <t>epoch_user_site_equal_split_seed</t>
        </is>
      </c>
      <c r="R519" s="3" t="inlineStr">
        <is>
          <t>SRC_EPOCH_AI_DATA_CENTERS; EPOCH_NORMALIZED_USER_SITES</t>
        </is>
      </c>
      <c r="S519" s="3" t="inlineStr">
        <is>
          <t>Capacity weight is used only to weight accelerator mix, not to overwrite company total power in 02_Inputs.</t>
        </is>
      </c>
    </row>
    <row r="520">
      <c r="A520" s="3" t="inlineStr">
        <is>
          <t>Base|Meta|2027|Meta Prometheus</t>
        </is>
      </c>
      <c r="B520" s="3" t="inlineStr">
        <is>
          <t>Base</t>
        </is>
      </c>
      <c r="C520" s="3" t="inlineStr">
        <is>
          <t>Meta</t>
        </is>
      </c>
      <c r="D520" s="3" t="n">
        <v>2027</v>
      </c>
      <c r="E520" s="3" t="inlineStr">
        <is>
          <t>Meta Prometheus</t>
        </is>
      </c>
      <c r="F520" s="3" t="inlineStr">
        <is>
          <t>Meta</t>
        </is>
      </c>
      <c r="G520" s="3" t="inlineStr">
        <is>
          <t>United States</t>
        </is>
      </c>
      <c r="H520" s="25" t="n">
        <v>854</v>
      </c>
      <c r="I520" s="17" t="n">
        <v>1</v>
      </c>
      <c r="J520" s="17" t="n">
        <v>0.63</v>
      </c>
      <c r="K520" s="26" t="n">
        <v>0.37</v>
      </c>
      <c r="L520" s="3" t="inlineStr">
        <is>
          <t>2026-10-01</t>
        </is>
      </c>
      <c r="M520" s="27" t="n">
        <v>631</v>
      </c>
      <c r="N520" s="27" t="n">
        <v>854</v>
      </c>
      <c r="O520" s="3" t="inlineStr">
        <is>
          <t>confident</t>
        </is>
      </c>
      <c r="P520" s="3" t="inlineStr">
        <is>
          <t>B200</t>
        </is>
      </c>
      <c r="Q520" s="3" t="inlineStr">
        <is>
          <t>epoch_user_site_equal_split_seed</t>
        </is>
      </c>
      <c r="R520" s="3" t="inlineStr">
        <is>
          <t>SRC_EPOCH_AI_DATA_CENTERS; EPOCH_NORMALIZED_USER_SITES</t>
        </is>
      </c>
      <c r="S520" s="3" t="inlineStr">
        <is>
          <t>Capacity weight is used only to weight accelerator mix, not to overwrite company total power in 02_Inputs.</t>
        </is>
      </c>
    </row>
    <row r="521">
      <c r="A521" s="3" t="inlineStr">
        <is>
          <t>Base|Meta|2028|Meta Prometheus</t>
        </is>
      </c>
      <c r="B521" s="3" t="inlineStr">
        <is>
          <t>Base</t>
        </is>
      </c>
      <c r="C521" s="3" t="inlineStr">
        <is>
          <t>Meta</t>
        </is>
      </c>
      <c r="D521" s="3" t="n">
        <v>2028</v>
      </c>
      <c r="E521" s="3" t="inlineStr">
        <is>
          <t>Meta Prometheus</t>
        </is>
      </c>
      <c r="F521" s="3" t="inlineStr">
        <is>
          <t>Meta</t>
        </is>
      </c>
      <c r="G521" s="3" t="inlineStr">
        <is>
          <t>United States</t>
        </is>
      </c>
      <c r="H521" s="25" t="n">
        <v>854</v>
      </c>
      <c r="I521" s="17" t="n">
        <v>1</v>
      </c>
      <c r="J521" s="17" t="n">
        <v>0.68</v>
      </c>
      <c r="K521" s="26" t="n">
        <v>0.32</v>
      </c>
      <c r="L521" s="3" t="inlineStr">
        <is>
          <t>2026-10-01</t>
        </is>
      </c>
      <c r="M521" s="27" t="n">
        <v>631</v>
      </c>
      <c r="N521" s="27" t="n">
        <v>854</v>
      </c>
      <c r="O521" s="3" t="inlineStr">
        <is>
          <t>confident</t>
        </is>
      </c>
      <c r="P521" s="3" t="inlineStr">
        <is>
          <t>B200</t>
        </is>
      </c>
      <c r="Q521" s="3" t="inlineStr">
        <is>
          <t>epoch_user_site_equal_split_seed</t>
        </is>
      </c>
      <c r="R521" s="3" t="inlineStr">
        <is>
          <t>SRC_EPOCH_AI_DATA_CENTERS; EPOCH_NORMALIZED_USER_SITES</t>
        </is>
      </c>
      <c r="S521" s="3" t="inlineStr">
        <is>
          <t>Capacity weight is used only to weight accelerator mix, not to overwrite company total power in 02_Inputs.</t>
        </is>
      </c>
    </row>
    <row r="522">
      <c r="A522" s="3" t="inlineStr">
        <is>
          <t>Base|Meta|2029|Meta Prometheus</t>
        </is>
      </c>
      <c r="B522" s="3" t="inlineStr">
        <is>
          <t>Base</t>
        </is>
      </c>
      <c r="C522" s="3" t="inlineStr">
        <is>
          <t>Meta</t>
        </is>
      </c>
      <c r="D522" s="3" t="n">
        <v>2029</v>
      </c>
      <c r="E522" s="3" t="inlineStr">
        <is>
          <t>Meta Prometheus</t>
        </is>
      </c>
      <c r="F522" s="3" t="inlineStr">
        <is>
          <t>Meta</t>
        </is>
      </c>
      <c r="G522" s="3" t="inlineStr">
        <is>
          <t>United States</t>
        </is>
      </c>
      <c r="H522" s="25" t="n">
        <v>854</v>
      </c>
      <c r="I522" s="17" t="n">
        <v>1</v>
      </c>
      <c r="J522" s="17" t="n">
        <v>0.73</v>
      </c>
      <c r="K522" s="26" t="n">
        <v>0.27</v>
      </c>
      <c r="L522" s="3" t="inlineStr">
        <is>
          <t>2026-10-01</t>
        </is>
      </c>
      <c r="M522" s="27" t="n">
        <v>631</v>
      </c>
      <c r="N522" s="27" t="n">
        <v>854</v>
      </c>
      <c r="O522" s="3" t="inlineStr">
        <is>
          <t>confident</t>
        </is>
      </c>
      <c r="P522" s="3" t="inlineStr">
        <is>
          <t>B200</t>
        </is>
      </c>
      <c r="Q522" s="3" t="inlineStr">
        <is>
          <t>epoch_user_site_equal_split_seed</t>
        </is>
      </c>
      <c r="R522" s="3" t="inlineStr">
        <is>
          <t>SRC_EPOCH_AI_DATA_CENTERS; EPOCH_NORMALIZED_USER_SITES</t>
        </is>
      </c>
      <c r="S522" s="3" t="inlineStr">
        <is>
          <t>Capacity weight is used only to weight accelerator mix, not to overwrite company total power in 02_Inputs.</t>
        </is>
      </c>
    </row>
    <row r="523">
      <c r="A523" s="3" t="inlineStr">
        <is>
          <t>Base|Meta|2030|Meta Prometheus</t>
        </is>
      </c>
      <c r="B523" s="3" t="inlineStr">
        <is>
          <t>Base</t>
        </is>
      </c>
      <c r="C523" s="3" t="inlineStr">
        <is>
          <t>Meta</t>
        </is>
      </c>
      <c r="D523" s="3" t="n">
        <v>2030</v>
      </c>
      <c r="E523" s="3" t="inlineStr">
        <is>
          <t>Meta Prometheus</t>
        </is>
      </c>
      <c r="F523" s="3" t="inlineStr">
        <is>
          <t>Meta</t>
        </is>
      </c>
      <c r="G523" s="3" t="inlineStr">
        <is>
          <t>United States</t>
        </is>
      </c>
      <c r="H523" s="25" t="n">
        <v>854</v>
      </c>
      <c r="I523" s="17" t="n">
        <v>1</v>
      </c>
      <c r="J523" s="17" t="n">
        <v>0.78</v>
      </c>
      <c r="K523" s="26" t="n">
        <v>0.22</v>
      </c>
      <c r="L523" s="3" t="inlineStr">
        <is>
          <t>2026-10-01</t>
        </is>
      </c>
      <c r="M523" s="27" t="n">
        <v>631</v>
      </c>
      <c r="N523" s="27" t="n">
        <v>854</v>
      </c>
      <c r="O523" s="3" t="inlineStr">
        <is>
          <t>confident</t>
        </is>
      </c>
      <c r="P523" s="3" t="inlineStr">
        <is>
          <t>B200</t>
        </is>
      </c>
      <c r="Q523" s="3" t="inlineStr">
        <is>
          <t>epoch_user_site_equal_split_seed</t>
        </is>
      </c>
      <c r="R523" s="3" t="inlineStr">
        <is>
          <t>SRC_EPOCH_AI_DATA_CENTERS; EPOCH_NORMALIZED_USER_SITES</t>
        </is>
      </c>
      <c r="S523" s="3" t="inlineStr">
        <is>
          <t>Capacity weight is used only to weight accelerator mix, not to overwrite company total power in 02_Inputs.</t>
        </is>
      </c>
    </row>
    <row r="524">
      <c r="A524" s="3" t="inlineStr">
        <is>
          <t>Bull|Meta|2026|Meta Prometheus</t>
        </is>
      </c>
      <c r="B524" s="3" t="inlineStr">
        <is>
          <t>Bull</t>
        </is>
      </c>
      <c r="C524" s="3" t="inlineStr">
        <is>
          <t>Meta</t>
        </is>
      </c>
      <c r="D524" s="3" t="n">
        <v>2026</v>
      </c>
      <c r="E524" s="3" t="inlineStr">
        <is>
          <t>Meta Prometheus</t>
        </is>
      </c>
      <c r="F524" s="3" t="inlineStr">
        <is>
          <t>Meta</t>
        </is>
      </c>
      <c r="G524" s="3" t="inlineStr">
        <is>
          <t>United States</t>
        </is>
      </c>
      <c r="H524" s="25" t="n">
        <v>854</v>
      </c>
      <c r="I524" s="17" t="n">
        <v>1</v>
      </c>
      <c r="J524" s="17" t="n">
        <v>0.63</v>
      </c>
      <c r="K524" s="26" t="n">
        <v>0.37</v>
      </c>
      <c r="L524" s="3" t="inlineStr">
        <is>
          <t>2026-10-01</t>
        </is>
      </c>
      <c r="M524" s="27" t="n">
        <v>631</v>
      </c>
      <c r="N524" s="27" t="n">
        <v>854</v>
      </c>
      <c r="O524" s="3" t="inlineStr">
        <is>
          <t>confident</t>
        </is>
      </c>
      <c r="P524" s="3" t="inlineStr">
        <is>
          <t>B200</t>
        </is>
      </c>
      <c r="Q524" s="3" t="inlineStr">
        <is>
          <t>epoch_user_site_equal_split_seed</t>
        </is>
      </c>
      <c r="R524" s="3" t="inlineStr">
        <is>
          <t>SRC_EPOCH_AI_DATA_CENTERS; EPOCH_NORMALIZED_USER_SITES</t>
        </is>
      </c>
      <c r="S524" s="3" t="inlineStr">
        <is>
          <t>Capacity weight is used only to weight accelerator mix, not to overwrite company total power in 02_Inputs.</t>
        </is>
      </c>
    </row>
    <row r="525">
      <c r="A525" s="3" t="inlineStr">
        <is>
          <t>Bull|Meta|2027|Meta Prometheus</t>
        </is>
      </c>
      <c r="B525" s="3" t="inlineStr">
        <is>
          <t>Bull</t>
        </is>
      </c>
      <c r="C525" s="3" t="inlineStr">
        <is>
          <t>Meta</t>
        </is>
      </c>
      <c r="D525" s="3" t="n">
        <v>2027</v>
      </c>
      <c r="E525" s="3" t="inlineStr">
        <is>
          <t>Meta Prometheus</t>
        </is>
      </c>
      <c r="F525" s="3" t="inlineStr">
        <is>
          <t>Meta</t>
        </is>
      </c>
      <c r="G525" s="3" t="inlineStr">
        <is>
          <t>United States</t>
        </is>
      </c>
      <c r="H525" s="25" t="n">
        <v>854</v>
      </c>
      <c r="I525" s="17" t="n">
        <v>1</v>
      </c>
      <c r="J525" s="17" t="n">
        <v>0.6879999999999999</v>
      </c>
      <c r="K525" s="26" t="n">
        <v>0.312</v>
      </c>
      <c r="L525" s="3" t="inlineStr">
        <is>
          <t>2026-10-01</t>
        </is>
      </c>
      <c r="M525" s="27" t="n">
        <v>631</v>
      </c>
      <c r="N525" s="27" t="n">
        <v>854</v>
      </c>
      <c r="O525" s="3" t="inlineStr">
        <is>
          <t>confident</t>
        </is>
      </c>
      <c r="P525" s="3" t="inlineStr">
        <is>
          <t>B200</t>
        </is>
      </c>
      <c r="Q525" s="3" t="inlineStr">
        <is>
          <t>epoch_user_site_equal_split_seed</t>
        </is>
      </c>
      <c r="R525" s="3" t="inlineStr">
        <is>
          <t>SRC_EPOCH_AI_DATA_CENTERS; EPOCH_NORMALIZED_USER_SITES</t>
        </is>
      </c>
      <c r="S525" s="3" t="inlineStr">
        <is>
          <t>Capacity weight is used only to weight accelerator mix, not to overwrite company total power in 02_Inputs.</t>
        </is>
      </c>
    </row>
    <row r="526">
      <c r="A526" s="3" t="inlineStr">
        <is>
          <t>Bull|Meta|2028|Meta Prometheus</t>
        </is>
      </c>
      <c r="B526" s="3" t="inlineStr">
        <is>
          <t>Bull</t>
        </is>
      </c>
      <c r="C526" s="3" t="inlineStr">
        <is>
          <t>Meta</t>
        </is>
      </c>
      <c r="D526" s="3" t="n">
        <v>2028</v>
      </c>
      <c r="E526" s="3" t="inlineStr">
        <is>
          <t>Meta Prometheus</t>
        </is>
      </c>
      <c r="F526" s="3" t="inlineStr">
        <is>
          <t>Meta</t>
        </is>
      </c>
      <c r="G526" s="3" t="inlineStr">
        <is>
          <t>United States</t>
        </is>
      </c>
      <c r="H526" s="25" t="n">
        <v>854</v>
      </c>
      <c r="I526" s="17" t="n">
        <v>1</v>
      </c>
      <c r="J526" s="17" t="n">
        <v>0.745</v>
      </c>
      <c r="K526" s="26" t="n">
        <v>0.255</v>
      </c>
      <c r="L526" s="3" t="inlineStr">
        <is>
          <t>2026-10-01</t>
        </is>
      </c>
      <c r="M526" s="27" t="n">
        <v>631</v>
      </c>
      <c r="N526" s="27" t="n">
        <v>854</v>
      </c>
      <c r="O526" s="3" t="inlineStr">
        <is>
          <t>confident</t>
        </is>
      </c>
      <c r="P526" s="3" t="inlineStr">
        <is>
          <t>B200</t>
        </is>
      </c>
      <c r="Q526" s="3" t="inlineStr">
        <is>
          <t>epoch_user_site_equal_split_seed</t>
        </is>
      </c>
      <c r="R526" s="3" t="inlineStr">
        <is>
          <t>SRC_EPOCH_AI_DATA_CENTERS; EPOCH_NORMALIZED_USER_SITES</t>
        </is>
      </c>
      <c r="S526" s="3" t="inlineStr">
        <is>
          <t>Capacity weight is used only to weight accelerator mix, not to overwrite company total power in 02_Inputs.</t>
        </is>
      </c>
    </row>
    <row r="527">
      <c r="A527" s="3" t="inlineStr">
        <is>
          <t>Bull|Meta|2029|Meta Prometheus</t>
        </is>
      </c>
      <c r="B527" s="3" t="inlineStr">
        <is>
          <t>Bull</t>
        </is>
      </c>
      <c r="C527" s="3" t="inlineStr">
        <is>
          <t>Meta</t>
        </is>
      </c>
      <c r="D527" s="3" t="n">
        <v>2029</v>
      </c>
      <c r="E527" s="3" t="inlineStr">
        <is>
          <t>Meta Prometheus</t>
        </is>
      </c>
      <c r="F527" s="3" t="inlineStr">
        <is>
          <t>Meta</t>
        </is>
      </c>
      <c r="G527" s="3" t="inlineStr">
        <is>
          <t>United States</t>
        </is>
      </c>
      <c r="H527" s="25" t="n">
        <v>854</v>
      </c>
      <c r="I527" s="17" t="n">
        <v>1</v>
      </c>
      <c r="J527" s="17" t="n">
        <v>0.802</v>
      </c>
      <c r="K527" s="26" t="n">
        <v>0.198</v>
      </c>
      <c r="L527" s="3" t="inlineStr">
        <is>
          <t>2026-10-01</t>
        </is>
      </c>
      <c r="M527" s="27" t="n">
        <v>631</v>
      </c>
      <c r="N527" s="27" t="n">
        <v>854</v>
      </c>
      <c r="O527" s="3" t="inlineStr">
        <is>
          <t>confident</t>
        </is>
      </c>
      <c r="P527" s="3" t="inlineStr">
        <is>
          <t>B200</t>
        </is>
      </c>
      <c r="Q527" s="3" t="inlineStr">
        <is>
          <t>epoch_user_site_equal_split_seed</t>
        </is>
      </c>
      <c r="R527" s="3" t="inlineStr">
        <is>
          <t>SRC_EPOCH_AI_DATA_CENTERS; EPOCH_NORMALIZED_USER_SITES</t>
        </is>
      </c>
      <c r="S527" s="3" t="inlineStr">
        <is>
          <t>Capacity weight is used only to weight accelerator mix, not to overwrite company total power in 02_Inputs.</t>
        </is>
      </c>
    </row>
    <row r="528">
      <c r="A528" s="3" t="inlineStr">
        <is>
          <t>Bull|Meta|2030|Meta Prometheus</t>
        </is>
      </c>
      <c r="B528" s="3" t="inlineStr">
        <is>
          <t>Bull</t>
        </is>
      </c>
      <c r="C528" s="3" t="inlineStr">
        <is>
          <t>Meta</t>
        </is>
      </c>
      <c r="D528" s="3" t="n">
        <v>2030</v>
      </c>
      <c r="E528" s="3" t="inlineStr">
        <is>
          <t>Meta Prometheus</t>
        </is>
      </c>
      <c r="F528" s="3" t="inlineStr">
        <is>
          <t>Meta</t>
        </is>
      </c>
      <c r="G528" s="3" t="inlineStr">
        <is>
          <t>United States</t>
        </is>
      </c>
      <c r="H528" s="25" t="n">
        <v>854</v>
      </c>
      <c r="I528" s="17" t="n">
        <v>1</v>
      </c>
      <c r="J528" s="17" t="n">
        <v>0.86</v>
      </c>
      <c r="K528" s="26" t="n">
        <v>0.14</v>
      </c>
      <c r="L528" s="3" t="inlineStr">
        <is>
          <t>2026-10-01</t>
        </is>
      </c>
      <c r="M528" s="27" t="n">
        <v>631</v>
      </c>
      <c r="N528" s="27" t="n">
        <v>854</v>
      </c>
      <c r="O528" s="3" t="inlineStr">
        <is>
          <t>confident</t>
        </is>
      </c>
      <c r="P528" s="3" t="inlineStr">
        <is>
          <t>B200</t>
        </is>
      </c>
      <c r="Q528" s="3" t="inlineStr">
        <is>
          <t>epoch_user_site_equal_split_seed</t>
        </is>
      </c>
      <c r="R528" s="3" t="inlineStr">
        <is>
          <t>SRC_EPOCH_AI_DATA_CENTERS; EPOCH_NORMALIZED_USER_SITES</t>
        </is>
      </c>
      <c r="S528" s="3" t="inlineStr">
        <is>
          <t>Capacity weight is used only to weight accelerator mix, not to overwrite company total power in 02_Inputs.</t>
        </is>
      </c>
    </row>
    <row r="529">
      <c r="A529" s="3" t="inlineStr">
        <is>
          <t>Grid-Constrained / Efficiency-Upside|Meta|2026|Meta Prometheus</t>
        </is>
      </c>
      <c r="B529" s="3" t="inlineStr">
        <is>
          <t>Grid-Constrained / Efficiency-Upside</t>
        </is>
      </c>
      <c r="C529" s="3" t="inlineStr">
        <is>
          <t>Meta</t>
        </is>
      </c>
      <c r="D529" s="3" t="n">
        <v>2026</v>
      </c>
      <c r="E529" s="3" t="inlineStr">
        <is>
          <t>Meta Prometheus</t>
        </is>
      </c>
      <c r="F529" s="3" t="inlineStr">
        <is>
          <t>Meta</t>
        </is>
      </c>
      <c r="G529" s="3" t="inlineStr">
        <is>
          <t>United States</t>
        </is>
      </c>
      <c r="H529" s="25" t="n">
        <v>854</v>
      </c>
      <c r="I529" s="17" t="n">
        <v>1</v>
      </c>
      <c r="J529" s="17" t="n">
        <v>0.6</v>
      </c>
      <c r="K529" s="26" t="n">
        <v>0.4</v>
      </c>
      <c r="L529" s="3" t="inlineStr">
        <is>
          <t>2026-10-01</t>
        </is>
      </c>
      <c r="M529" s="27" t="n">
        <v>631</v>
      </c>
      <c r="N529" s="27" t="n">
        <v>854</v>
      </c>
      <c r="O529" s="3" t="inlineStr">
        <is>
          <t>confident</t>
        </is>
      </c>
      <c r="P529" s="3" t="inlineStr">
        <is>
          <t>B200</t>
        </is>
      </c>
      <c r="Q529" s="3" t="inlineStr">
        <is>
          <t>epoch_user_site_equal_split_seed</t>
        </is>
      </c>
      <c r="R529" s="3" t="inlineStr">
        <is>
          <t>SRC_EPOCH_AI_DATA_CENTERS; EPOCH_NORMALIZED_USER_SITES</t>
        </is>
      </c>
      <c r="S529" s="3" t="inlineStr">
        <is>
          <t>Capacity weight is used only to weight accelerator mix, not to overwrite company total power in 02_Inputs.</t>
        </is>
      </c>
    </row>
    <row r="530">
      <c r="A530" s="3" t="inlineStr">
        <is>
          <t>Grid-Constrained / Efficiency-Upside|Meta|2027|Meta Prometheus</t>
        </is>
      </c>
      <c r="B530" s="3" t="inlineStr">
        <is>
          <t>Grid-Constrained / Efficiency-Upside</t>
        </is>
      </c>
      <c r="C530" s="3" t="inlineStr">
        <is>
          <t>Meta</t>
        </is>
      </c>
      <c r="D530" s="3" t="n">
        <v>2027</v>
      </c>
      <c r="E530" s="3" t="inlineStr">
        <is>
          <t>Meta Prometheus</t>
        </is>
      </c>
      <c r="F530" s="3" t="inlineStr">
        <is>
          <t>Meta</t>
        </is>
      </c>
      <c r="G530" s="3" t="inlineStr">
        <is>
          <t>United States</t>
        </is>
      </c>
      <c r="H530" s="25" t="n">
        <v>854</v>
      </c>
      <c r="I530" s="17" t="n">
        <v>1</v>
      </c>
      <c r="J530" s="17" t="n">
        <v>0.655</v>
      </c>
      <c r="K530" s="26" t="n">
        <v>0.345</v>
      </c>
      <c r="L530" s="3" t="inlineStr">
        <is>
          <t>2026-10-01</t>
        </is>
      </c>
      <c r="M530" s="27" t="n">
        <v>631</v>
      </c>
      <c r="N530" s="27" t="n">
        <v>854</v>
      </c>
      <c r="O530" s="3" t="inlineStr">
        <is>
          <t>confident</t>
        </is>
      </c>
      <c r="P530" s="3" t="inlineStr">
        <is>
          <t>B200</t>
        </is>
      </c>
      <c r="Q530" s="3" t="inlineStr">
        <is>
          <t>epoch_user_site_equal_split_seed</t>
        </is>
      </c>
      <c r="R530" s="3" t="inlineStr">
        <is>
          <t>SRC_EPOCH_AI_DATA_CENTERS; EPOCH_NORMALIZED_USER_SITES</t>
        </is>
      </c>
      <c r="S530" s="3" t="inlineStr">
        <is>
          <t>Capacity weight is used only to weight accelerator mix, not to overwrite company total power in 02_Inputs.</t>
        </is>
      </c>
    </row>
    <row r="531">
      <c r="A531" s="3" t="inlineStr">
        <is>
          <t>Grid-Constrained / Efficiency-Upside|Meta|2028|Meta Prometheus</t>
        </is>
      </c>
      <c r="B531" s="3" t="inlineStr">
        <is>
          <t>Grid-Constrained / Efficiency-Upside</t>
        </is>
      </c>
      <c r="C531" s="3" t="inlineStr">
        <is>
          <t>Meta</t>
        </is>
      </c>
      <c r="D531" s="3" t="n">
        <v>2028</v>
      </c>
      <c r="E531" s="3" t="inlineStr">
        <is>
          <t>Meta Prometheus</t>
        </is>
      </c>
      <c r="F531" s="3" t="inlineStr">
        <is>
          <t>Meta</t>
        </is>
      </c>
      <c r="G531" s="3" t="inlineStr">
        <is>
          <t>United States</t>
        </is>
      </c>
      <c r="H531" s="25" t="n">
        <v>854</v>
      </c>
      <c r="I531" s="17" t="n">
        <v>1</v>
      </c>
      <c r="J531" s="17" t="n">
        <v>0.71</v>
      </c>
      <c r="K531" s="26" t="n">
        <v>0.29</v>
      </c>
      <c r="L531" s="3" t="inlineStr">
        <is>
          <t>2026-10-01</t>
        </is>
      </c>
      <c r="M531" s="27" t="n">
        <v>631</v>
      </c>
      <c r="N531" s="27" t="n">
        <v>854</v>
      </c>
      <c r="O531" s="3" t="inlineStr">
        <is>
          <t>confident</t>
        </is>
      </c>
      <c r="P531" s="3" t="inlineStr">
        <is>
          <t>B200</t>
        </is>
      </c>
      <c r="Q531" s="3" t="inlineStr">
        <is>
          <t>epoch_user_site_equal_split_seed</t>
        </is>
      </c>
      <c r="R531" s="3" t="inlineStr">
        <is>
          <t>SRC_EPOCH_AI_DATA_CENTERS; EPOCH_NORMALIZED_USER_SITES</t>
        </is>
      </c>
      <c r="S531" s="3" t="inlineStr">
        <is>
          <t>Capacity weight is used only to weight accelerator mix, not to overwrite company total power in 02_Inputs.</t>
        </is>
      </c>
    </row>
    <row r="532">
      <c r="A532" s="3" t="inlineStr">
        <is>
          <t>Grid-Constrained / Efficiency-Upside|Meta|2029|Meta Prometheus</t>
        </is>
      </c>
      <c r="B532" s="3" t="inlineStr">
        <is>
          <t>Grid-Constrained / Efficiency-Upside</t>
        </is>
      </c>
      <c r="C532" s="3" t="inlineStr">
        <is>
          <t>Meta</t>
        </is>
      </c>
      <c r="D532" s="3" t="n">
        <v>2029</v>
      </c>
      <c r="E532" s="3" t="inlineStr">
        <is>
          <t>Meta Prometheus</t>
        </is>
      </c>
      <c r="F532" s="3" t="inlineStr">
        <is>
          <t>Meta</t>
        </is>
      </c>
      <c r="G532" s="3" t="inlineStr">
        <is>
          <t>United States</t>
        </is>
      </c>
      <c r="H532" s="25" t="n">
        <v>854</v>
      </c>
      <c r="I532" s="17" t="n">
        <v>1</v>
      </c>
      <c r="J532" s="17" t="n">
        <v>0.765</v>
      </c>
      <c r="K532" s="26" t="n">
        <v>0.235</v>
      </c>
      <c r="L532" s="3" t="inlineStr">
        <is>
          <t>2026-10-01</t>
        </is>
      </c>
      <c r="M532" s="27" t="n">
        <v>631</v>
      </c>
      <c r="N532" s="27" t="n">
        <v>854</v>
      </c>
      <c r="O532" s="3" t="inlineStr">
        <is>
          <t>confident</t>
        </is>
      </c>
      <c r="P532" s="3" t="inlineStr">
        <is>
          <t>B200</t>
        </is>
      </c>
      <c r="Q532" s="3" t="inlineStr">
        <is>
          <t>epoch_user_site_equal_split_seed</t>
        </is>
      </c>
      <c r="R532" s="3" t="inlineStr">
        <is>
          <t>SRC_EPOCH_AI_DATA_CENTERS; EPOCH_NORMALIZED_USER_SITES</t>
        </is>
      </c>
      <c r="S532" s="3" t="inlineStr">
        <is>
          <t>Capacity weight is used only to weight accelerator mix, not to overwrite company total power in 02_Inputs.</t>
        </is>
      </c>
    </row>
    <row r="533">
      <c r="A533" s="3" t="inlineStr">
        <is>
          <t>Grid-Constrained / Efficiency-Upside|Meta|2030|Meta Prometheus</t>
        </is>
      </c>
      <c r="B533" s="3" t="inlineStr">
        <is>
          <t>Grid-Constrained / Efficiency-Upside</t>
        </is>
      </c>
      <c r="C533" s="3" t="inlineStr">
        <is>
          <t>Meta</t>
        </is>
      </c>
      <c r="D533" s="3" t="n">
        <v>2030</v>
      </c>
      <c r="E533" s="3" t="inlineStr">
        <is>
          <t>Meta Prometheus</t>
        </is>
      </c>
      <c r="F533" s="3" t="inlineStr">
        <is>
          <t>Meta</t>
        </is>
      </c>
      <c r="G533" s="3" t="inlineStr">
        <is>
          <t>United States</t>
        </is>
      </c>
      <c r="H533" s="25" t="n">
        <v>854</v>
      </c>
      <c r="I533" s="17" t="n">
        <v>1</v>
      </c>
      <c r="J533" s="17" t="n">
        <v>0.82</v>
      </c>
      <c r="K533" s="26" t="n">
        <v>0.18</v>
      </c>
      <c r="L533" s="3" t="inlineStr">
        <is>
          <t>2026-10-01</t>
        </is>
      </c>
      <c r="M533" s="27" t="n">
        <v>631</v>
      </c>
      <c r="N533" s="27" t="n">
        <v>854</v>
      </c>
      <c r="O533" s="3" t="inlineStr">
        <is>
          <t>confident</t>
        </is>
      </c>
      <c r="P533" s="3" t="inlineStr">
        <is>
          <t>B200</t>
        </is>
      </c>
      <c r="Q533" s="3" t="inlineStr">
        <is>
          <t>epoch_user_site_equal_split_seed</t>
        </is>
      </c>
      <c r="R533" s="3" t="inlineStr">
        <is>
          <t>SRC_EPOCH_AI_DATA_CENTERS; EPOCH_NORMALIZED_USER_SITES</t>
        </is>
      </c>
      <c r="S533" s="3" t="inlineStr">
        <is>
          <t>Capacity weight is used only to weight accelerator mix, not to overwrite company total power in 02_Inputs.</t>
        </is>
      </c>
    </row>
    <row r="534">
      <c r="A534" s="3" t="inlineStr">
        <is>
          <t>Bear|Meta|2026|Meta Rosemount</t>
        </is>
      </c>
      <c r="B534" s="3" t="inlineStr">
        <is>
          <t>Bear</t>
        </is>
      </c>
      <c r="C534" s="3" t="inlineStr">
        <is>
          <t>Meta</t>
        </is>
      </c>
      <c r="D534" s="3" t="n">
        <v>2026</v>
      </c>
      <c r="E534" s="3" t="inlineStr">
        <is>
          <t>Meta Rosemount</t>
        </is>
      </c>
      <c r="F534" s="3" t="inlineStr">
        <is>
          <t>Meta</t>
        </is>
      </c>
      <c r="G534" s="3" t="inlineStr">
        <is>
          <t>United States</t>
        </is>
      </c>
      <c r="H534" s="25" t="n">
        <v>178</v>
      </c>
      <c r="I534" s="17" t="n">
        <v>1</v>
      </c>
      <c r="J534" s="17" t="n">
        <v>0.5</v>
      </c>
      <c r="K534" s="26" t="n">
        <v>0.5</v>
      </c>
      <c r="L534" s="3" t="inlineStr">
        <is>
          <t>2026-06-19</t>
        </is>
      </c>
      <c r="M534" s="27" t="n">
        <v>178</v>
      </c>
      <c r="N534" s="27" t="n">
        <v>178</v>
      </c>
      <c r="O534" s="3" t="inlineStr">
        <is>
          <t>confident</t>
        </is>
      </c>
      <c r="P534" s="3" t="inlineStr">
        <is>
          <t>B200</t>
        </is>
      </c>
      <c r="Q534" s="3" t="inlineStr">
        <is>
          <t>epoch_user_site_equal_split_seed</t>
        </is>
      </c>
      <c r="R534" s="3" t="inlineStr">
        <is>
          <t>SRC_EPOCH_AI_DATA_CENTERS; EPOCH_NORMALIZED_USER_SITES</t>
        </is>
      </c>
      <c r="S534" s="3" t="inlineStr">
        <is>
          <t>Capacity weight is used only to weight accelerator mix, not to overwrite company total power in 02_Inputs.</t>
        </is>
      </c>
    </row>
    <row r="535">
      <c r="A535" s="3" t="inlineStr">
        <is>
          <t>Bear|Meta|2027|Meta Rosemount</t>
        </is>
      </c>
      <c r="B535" s="3" t="inlineStr">
        <is>
          <t>Bear</t>
        </is>
      </c>
      <c r="C535" s="3" t="inlineStr">
        <is>
          <t>Meta</t>
        </is>
      </c>
      <c r="D535" s="3" t="n">
        <v>2027</v>
      </c>
      <c r="E535" s="3" t="inlineStr">
        <is>
          <t>Meta Rosemount</t>
        </is>
      </c>
      <c r="F535" s="3" t="inlineStr">
        <is>
          <t>Meta</t>
        </is>
      </c>
      <c r="G535" s="3" t="inlineStr">
        <is>
          <t>United States</t>
        </is>
      </c>
      <c r="H535" s="25" t="n">
        <v>178</v>
      </c>
      <c r="I535" s="17" t="n">
        <v>1</v>
      </c>
      <c r="J535" s="17" t="n">
        <v>0.545</v>
      </c>
      <c r="K535" s="26" t="n">
        <v>0.455</v>
      </c>
      <c r="L535" s="3" t="inlineStr">
        <is>
          <t>2026-06-19</t>
        </is>
      </c>
      <c r="M535" s="27" t="n">
        <v>178</v>
      </c>
      <c r="N535" s="27" t="n">
        <v>178</v>
      </c>
      <c r="O535" s="3" t="inlineStr">
        <is>
          <t>confident</t>
        </is>
      </c>
      <c r="P535" s="3" t="inlineStr">
        <is>
          <t>B200</t>
        </is>
      </c>
      <c r="Q535" s="3" t="inlineStr">
        <is>
          <t>epoch_user_site_equal_split_seed</t>
        </is>
      </c>
      <c r="R535" s="3" t="inlineStr">
        <is>
          <t>SRC_EPOCH_AI_DATA_CENTERS; EPOCH_NORMALIZED_USER_SITES</t>
        </is>
      </c>
      <c r="S535" s="3" t="inlineStr">
        <is>
          <t>Capacity weight is used only to weight accelerator mix, not to overwrite company total power in 02_Inputs.</t>
        </is>
      </c>
    </row>
    <row r="536">
      <c r="A536" s="3" t="inlineStr">
        <is>
          <t>Bear|Meta|2028|Meta Rosemount</t>
        </is>
      </c>
      <c r="B536" s="3" t="inlineStr">
        <is>
          <t>Bear</t>
        </is>
      </c>
      <c r="C536" s="3" t="inlineStr">
        <is>
          <t>Meta</t>
        </is>
      </c>
      <c r="D536" s="3" t="n">
        <v>2028</v>
      </c>
      <c r="E536" s="3" t="inlineStr">
        <is>
          <t>Meta Rosemount</t>
        </is>
      </c>
      <c r="F536" s="3" t="inlineStr">
        <is>
          <t>Meta</t>
        </is>
      </c>
      <c r="G536" s="3" t="inlineStr">
        <is>
          <t>United States</t>
        </is>
      </c>
      <c r="H536" s="25" t="n">
        <v>178</v>
      </c>
      <c r="I536" s="17" t="n">
        <v>1</v>
      </c>
      <c r="J536" s="17" t="n">
        <v>0.59</v>
      </c>
      <c r="K536" s="26" t="n">
        <v>0.41</v>
      </c>
      <c r="L536" s="3" t="inlineStr">
        <is>
          <t>2026-06-19</t>
        </is>
      </c>
      <c r="M536" s="27" t="n">
        <v>178</v>
      </c>
      <c r="N536" s="27" t="n">
        <v>178</v>
      </c>
      <c r="O536" s="3" t="inlineStr">
        <is>
          <t>confident</t>
        </is>
      </c>
      <c r="P536" s="3" t="inlineStr">
        <is>
          <t>B200</t>
        </is>
      </c>
      <c r="Q536" s="3" t="inlineStr">
        <is>
          <t>epoch_user_site_equal_split_seed</t>
        </is>
      </c>
      <c r="R536" s="3" t="inlineStr">
        <is>
          <t>SRC_EPOCH_AI_DATA_CENTERS; EPOCH_NORMALIZED_USER_SITES</t>
        </is>
      </c>
      <c r="S536" s="3" t="inlineStr">
        <is>
          <t>Capacity weight is used only to weight accelerator mix, not to overwrite company total power in 02_Inputs.</t>
        </is>
      </c>
    </row>
    <row r="537">
      <c r="A537" s="3" t="inlineStr">
        <is>
          <t>Bear|Meta|2029|Meta Rosemount</t>
        </is>
      </c>
      <c r="B537" s="3" t="inlineStr">
        <is>
          <t>Bear</t>
        </is>
      </c>
      <c r="C537" s="3" t="inlineStr">
        <is>
          <t>Meta</t>
        </is>
      </c>
      <c r="D537" s="3" t="n">
        <v>2029</v>
      </c>
      <c r="E537" s="3" t="inlineStr">
        <is>
          <t>Meta Rosemount</t>
        </is>
      </c>
      <c r="F537" s="3" t="inlineStr">
        <is>
          <t>Meta</t>
        </is>
      </c>
      <c r="G537" s="3" t="inlineStr">
        <is>
          <t>United States</t>
        </is>
      </c>
      <c r="H537" s="25" t="n">
        <v>178</v>
      </c>
      <c r="I537" s="17" t="n">
        <v>1</v>
      </c>
      <c r="J537" s="17" t="n">
        <v>0.635</v>
      </c>
      <c r="K537" s="26" t="n">
        <v>0.365</v>
      </c>
      <c r="L537" s="3" t="inlineStr">
        <is>
          <t>2026-06-19</t>
        </is>
      </c>
      <c r="M537" s="27" t="n">
        <v>178</v>
      </c>
      <c r="N537" s="27" t="n">
        <v>178</v>
      </c>
      <c r="O537" s="3" t="inlineStr">
        <is>
          <t>confident</t>
        </is>
      </c>
      <c r="P537" s="3" t="inlineStr">
        <is>
          <t>B200</t>
        </is>
      </c>
      <c r="Q537" s="3" t="inlineStr">
        <is>
          <t>epoch_user_site_equal_split_seed</t>
        </is>
      </c>
      <c r="R537" s="3" t="inlineStr">
        <is>
          <t>SRC_EPOCH_AI_DATA_CENTERS; EPOCH_NORMALIZED_USER_SITES</t>
        </is>
      </c>
      <c r="S537" s="3" t="inlineStr">
        <is>
          <t>Capacity weight is used only to weight accelerator mix, not to overwrite company total power in 02_Inputs.</t>
        </is>
      </c>
    </row>
    <row r="538">
      <c r="A538" s="3" t="inlineStr">
        <is>
          <t>Bear|Meta|2030|Meta Rosemount</t>
        </is>
      </c>
      <c r="B538" s="3" t="inlineStr">
        <is>
          <t>Bear</t>
        </is>
      </c>
      <c r="C538" s="3" t="inlineStr">
        <is>
          <t>Meta</t>
        </is>
      </c>
      <c r="D538" s="3" t="n">
        <v>2030</v>
      </c>
      <c r="E538" s="3" t="inlineStr">
        <is>
          <t>Meta Rosemount</t>
        </is>
      </c>
      <c r="F538" s="3" t="inlineStr">
        <is>
          <t>Meta</t>
        </is>
      </c>
      <c r="G538" s="3" t="inlineStr">
        <is>
          <t>United States</t>
        </is>
      </c>
      <c r="H538" s="25" t="n">
        <v>178</v>
      </c>
      <c r="I538" s="17" t="n">
        <v>1</v>
      </c>
      <c r="J538" s="17" t="n">
        <v>0.68</v>
      </c>
      <c r="K538" s="26" t="n">
        <v>0.32</v>
      </c>
      <c r="L538" s="3" t="inlineStr">
        <is>
          <t>2026-06-19</t>
        </is>
      </c>
      <c r="M538" s="27" t="n">
        <v>178</v>
      </c>
      <c r="N538" s="27" t="n">
        <v>178</v>
      </c>
      <c r="O538" s="3" t="inlineStr">
        <is>
          <t>confident</t>
        </is>
      </c>
      <c r="P538" s="3" t="inlineStr">
        <is>
          <t>B200</t>
        </is>
      </c>
      <c r="Q538" s="3" t="inlineStr">
        <is>
          <t>epoch_user_site_equal_split_seed</t>
        </is>
      </c>
      <c r="R538" s="3" t="inlineStr">
        <is>
          <t>SRC_EPOCH_AI_DATA_CENTERS; EPOCH_NORMALIZED_USER_SITES</t>
        </is>
      </c>
      <c r="S538" s="3" t="inlineStr">
        <is>
          <t>Capacity weight is used only to weight accelerator mix, not to overwrite company total power in 02_Inputs.</t>
        </is>
      </c>
    </row>
    <row r="539">
      <c r="A539" s="3" t="inlineStr">
        <is>
          <t>Base|Meta|2026|Meta Rosemount</t>
        </is>
      </c>
      <c r="B539" s="3" t="inlineStr">
        <is>
          <t>Base</t>
        </is>
      </c>
      <c r="C539" s="3" t="inlineStr">
        <is>
          <t>Meta</t>
        </is>
      </c>
      <c r="D539" s="3" t="n">
        <v>2026</v>
      </c>
      <c r="E539" s="3" t="inlineStr">
        <is>
          <t>Meta Rosemount</t>
        </is>
      </c>
      <c r="F539" s="3" t="inlineStr">
        <is>
          <t>Meta</t>
        </is>
      </c>
      <c r="G539" s="3" t="inlineStr">
        <is>
          <t>United States</t>
        </is>
      </c>
      <c r="H539" s="25" t="n">
        <v>178</v>
      </c>
      <c r="I539" s="17" t="n">
        <v>1</v>
      </c>
      <c r="J539" s="17" t="n">
        <v>0.58</v>
      </c>
      <c r="K539" s="26" t="n">
        <v>0.42</v>
      </c>
      <c r="L539" s="3" t="inlineStr">
        <is>
          <t>2026-06-19</t>
        </is>
      </c>
      <c r="M539" s="27" t="n">
        <v>178</v>
      </c>
      <c r="N539" s="27" t="n">
        <v>178</v>
      </c>
      <c r="O539" s="3" t="inlineStr">
        <is>
          <t>confident</t>
        </is>
      </c>
      <c r="P539" s="3" t="inlineStr">
        <is>
          <t>B200</t>
        </is>
      </c>
      <c r="Q539" s="3" t="inlineStr">
        <is>
          <t>epoch_user_site_equal_split_seed</t>
        </is>
      </c>
      <c r="R539" s="3" t="inlineStr">
        <is>
          <t>SRC_EPOCH_AI_DATA_CENTERS; EPOCH_NORMALIZED_USER_SITES</t>
        </is>
      </c>
      <c r="S539" s="3" t="inlineStr">
        <is>
          <t>Capacity weight is used only to weight accelerator mix, not to overwrite company total power in 02_Inputs.</t>
        </is>
      </c>
    </row>
    <row r="540">
      <c r="A540" s="3" t="inlineStr">
        <is>
          <t>Base|Meta|2027|Meta Rosemount</t>
        </is>
      </c>
      <c r="B540" s="3" t="inlineStr">
        <is>
          <t>Base</t>
        </is>
      </c>
      <c r="C540" s="3" t="inlineStr">
        <is>
          <t>Meta</t>
        </is>
      </c>
      <c r="D540" s="3" t="n">
        <v>2027</v>
      </c>
      <c r="E540" s="3" t="inlineStr">
        <is>
          <t>Meta Rosemount</t>
        </is>
      </c>
      <c r="F540" s="3" t="inlineStr">
        <is>
          <t>Meta</t>
        </is>
      </c>
      <c r="G540" s="3" t="inlineStr">
        <is>
          <t>United States</t>
        </is>
      </c>
      <c r="H540" s="25" t="n">
        <v>178</v>
      </c>
      <c r="I540" s="17" t="n">
        <v>1</v>
      </c>
      <c r="J540" s="17" t="n">
        <v>0.63</v>
      </c>
      <c r="K540" s="26" t="n">
        <v>0.37</v>
      </c>
      <c r="L540" s="3" t="inlineStr">
        <is>
          <t>2026-06-19</t>
        </is>
      </c>
      <c r="M540" s="27" t="n">
        <v>178</v>
      </c>
      <c r="N540" s="27" t="n">
        <v>178</v>
      </c>
      <c r="O540" s="3" t="inlineStr">
        <is>
          <t>confident</t>
        </is>
      </c>
      <c r="P540" s="3" t="inlineStr">
        <is>
          <t>B200</t>
        </is>
      </c>
      <c r="Q540" s="3" t="inlineStr">
        <is>
          <t>epoch_user_site_equal_split_seed</t>
        </is>
      </c>
      <c r="R540" s="3" t="inlineStr">
        <is>
          <t>SRC_EPOCH_AI_DATA_CENTERS; EPOCH_NORMALIZED_USER_SITES</t>
        </is>
      </c>
      <c r="S540" s="3" t="inlineStr">
        <is>
          <t>Capacity weight is used only to weight accelerator mix, not to overwrite company total power in 02_Inputs.</t>
        </is>
      </c>
    </row>
    <row r="541">
      <c r="A541" s="3" t="inlineStr">
        <is>
          <t>Base|Meta|2028|Meta Rosemount</t>
        </is>
      </c>
      <c r="B541" s="3" t="inlineStr">
        <is>
          <t>Base</t>
        </is>
      </c>
      <c r="C541" s="3" t="inlineStr">
        <is>
          <t>Meta</t>
        </is>
      </c>
      <c r="D541" s="3" t="n">
        <v>2028</v>
      </c>
      <c r="E541" s="3" t="inlineStr">
        <is>
          <t>Meta Rosemount</t>
        </is>
      </c>
      <c r="F541" s="3" t="inlineStr">
        <is>
          <t>Meta</t>
        </is>
      </c>
      <c r="G541" s="3" t="inlineStr">
        <is>
          <t>United States</t>
        </is>
      </c>
      <c r="H541" s="25" t="n">
        <v>178</v>
      </c>
      <c r="I541" s="17" t="n">
        <v>1</v>
      </c>
      <c r="J541" s="17" t="n">
        <v>0.68</v>
      </c>
      <c r="K541" s="26" t="n">
        <v>0.32</v>
      </c>
      <c r="L541" s="3" t="inlineStr">
        <is>
          <t>2026-06-19</t>
        </is>
      </c>
      <c r="M541" s="27" t="n">
        <v>178</v>
      </c>
      <c r="N541" s="27" t="n">
        <v>178</v>
      </c>
      <c r="O541" s="3" t="inlineStr">
        <is>
          <t>confident</t>
        </is>
      </c>
      <c r="P541" s="3" t="inlineStr">
        <is>
          <t>B200</t>
        </is>
      </c>
      <c r="Q541" s="3" t="inlineStr">
        <is>
          <t>epoch_user_site_equal_split_seed</t>
        </is>
      </c>
      <c r="R541" s="3" t="inlineStr">
        <is>
          <t>SRC_EPOCH_AI_DATA_CENTERS; EPOCH_NORMALIZED_USER_SITES</t>
        </is>
      </c>
      <c r="S541" s="3" t="inlineStr">
        <is>
          <t>Capacity weight is used only to weight accelerator mix, not to overwrite company total power in 02_Inputs.</t>
        </is>
      </c>
    </row>
    <row r="542">
      <c r="A542" s="3" t="inlineStr">
        <is>
          <t>Base|Meta|2029|Meta Rosemount</t>
        </is>
      </c>
      <c r="B542" s="3" t="inlineStr">
        <is>
          <t>Base</t>
        </is>
      </c>
      <c r="C542" s="3" t="inlineStr">
        <is>
          <t>Meta</t>
        </is>
      </c>
      <c r="D542" s="3" t="n">
        <v>2029</v>
      </c>
      <c r="E542" s="3" t="inlineStr">
        <is>
          <t>Meta Rosemount</t>
        </is>
      </c>
      <c r="F542" s="3" t="inlineStr">
        <is>
          <t>Meta</t>
        </is>
      </c>
      <c r="G542" s="3" t="inlineStr">
        <is>
          <t>United States</t>
        </is>
      </c>
      <c r="H542" s="25" t="n">
        <v>178</v>
      </c>
      <c r="I542" s="17" t="n">
        <v>1</v>
      </c>
      <c r="J542" s="17" t="n">
        <v>0.73</v>
      </c>
      <c r="K542" s="26" t="n">
        <v>0.27</v>
      </c>
      <c r="L542" s="3" t="inlineStr">
        <is>
          <t>2026-06-19</t>
        </is>
      </c>
      <c r="M542" s="27" t="n">
        <v>178</v>
      </c>
      <c r="N542" s="27" t="n">
        <v>178</v>
      </c>
      <c r="O542" s="3" t="inlineStr">
        <is>
          <t>confident</t>
        </is>
      </c>
      <c r="P542" s="3" t="inlineStr">
        <is>
          <t>B200</t>
        </is>
      </c>
      <c r="Q542" s="3" t="inlineStr">
        <is>
          <t>epoch_user_site_equal_split_seed</t>
        </is>
      </c>
      <c r="R542" s="3" t="inlineStr">
        <is>
          <t>SRC_EPOCH_AI_DATA_CENTERS; EPOCH_NORMALIZED_USER_SITES</t>
        </is>
      </c>
      <c r="S542" s="3" t="inlineStr">
        <is>
          <t>Capacity weight is used only to weight accelerator mix, not to overwrite company total power in 02_Inputs.</t>
        </is>
      </c>
    </row>
    <row r="543">
      <c r="A543" s="3" t="inlineStr">
        <is>
          <t>Base|Meta|2030|Meta Rosemount</t>
        </is>
      </c>
      <c r="B543" s="3" t="inlineStr">
        <is>
          <t>Base</t>
        </is>
      </c>
      <c r="C543" s="3" t="inlineStr">
        <is>
          <t>Meta</t>
        </is>
      </c>
      <c r="D543" s="3" t="n">
        <v>2030</v>
      </c>
      <c r="E543" s="3" t="inlineStr">
        <is>
          <t>Meta Rosemount</t>
        </is>
      </c>
      <c r="F543" s="3" t="inlineStr">
        <is>
          <t>Meta</t>
        </is>
      </c>
      <c r="G543" s="3" t="inlineStr">
        <is>
          <t>United States</t>
        </is>
      </c>
      <c r="H543" s="25" t="n">
        <v>178</v>
      </c>
      <c r="I543" s="17" t="n">
        <v>1</v>
      </c>
      <c r="J543" s="17" t="n">
        <v>0.78</v>
      </c>
      <c r="K543" s="26" t="n">
        <v>0.22</v>
      </c>
      <c r="L543" s="3" t="inlineStr">
        <is>
          <t>2026-06-19</t>
        </is>
      </c>
      <c r="M543" s="27" t="n">
        <v>178</v>
      </c>
      <c r="N543" s="27" t="n">
        <v>178</v>
      </c>
      <c r="O543" s="3" t="inlineStr">
        <is>
          <t>confident</t>
        </is>
      </c>
      <c r="P543" s="3" t="inlineStr">
        <is>
          <t>B200</t>
        </is>
      </c>
      <c r="Q543" s="3" t="inlineStr">
        <is>
          <t>epoch_user_site_equal_split_seed</t>
        </is>
      </c>
      <c r="R543" s="3" t="inlineStr">
        <is>
          <t>SRC_EPOCH_AI_DATA_CENTERS; EPOCH_NORMALIZED_USER_SITES</t>
        </is>
      </c>
      <c r="S543" s="3" t="inlineStr">
        <is>
          <t>Capacity weight is used only to weight accelerator mix, not to overwrite company total power in 02_Inputs.</t>
        </is>
      </c>
    </row>
    <row r="544">
      <c r="A544" s="3" t="inlineStr">
        <is>
          <t>Bull|Meta|2026|Meta Rosemount</t>
        </is>
      </c>
      <c r="B544" s="3" t="inlineStr">
        <is>
          <t>Bull</t>
        </is>
      </c>
      <c r="C544" s="3" t="inlineStr">
        <is>
          <t>Meta</t>
        </is>
      </c>
      <c r="D544" s="3" t="n">
        <v>2026</v>
      </c>
      <c r="E544" s="3" t="inlineStr">
        <is>
          <t>Meta Rosemount</t>
        </is>
      </c>
      <c r="F544" s="3" t="inlineStr">
        <is>
          <t>Meta</t>
        </is>
      </c>
      <c r="G544" s="3" t="inlineStr">
        <is>
          <t>United States</t>
        </is>
      </c>
      <c r="H544" s="25" t="n">
        <v>178</v>
      </c>
      <c r="I544" s="17" t="n">
        <v>1</v>
      </c>
      <c r="J544" s="17" t="n">
        <v>0.63</v>
      </c>
      <c r="K544" s="26" t="n">
        <v>0.37</v>
      </c>
      <c r="L544" s="3" t="inlineStr">
        <is>
          <t>2026-06-19</t>
        </is>
      </c>
      <c r="M544" s="27" t="n">
        <v>178</v>
      </c>
      <c r="N544" s="27" t="n">
        <v>178</v>
      </c>
      <c r="O544" s="3" t="inlineStr">
        <is>
          <t>confident</t>
        </is>
      </c>
      <c r="P544" s="3" t="inlineStr">
        <is>
          <t>B200</t>
        </is>
      </c>
      <c r="Q544" s="3" t="inlineStr">
        <is>
          <t>epoch_user_site_equal_split_seed</t>
        </is>
      </c>
      <c r="R544" s="3" t="inlineStr">
        <is>
          <t>SRC_EPOCH_AI_DATA_CENTERS; EPOCH_NORMALIZED_USER_SITES</t>
        </is>
      </c>
      <c r="S544" s="3" t="inlineStr">
        <is>
          <t>Capacity weight is used only to weight accelerator mix, not to overwrite company total power in 02_Inputs.</t>
        </is>
      </c>
    </row>
    <row r="545">
      <c r="A545" s="3" t="inlineStr">
        <is>
          <t>Bull|Meta|2027|Meta Rosemount</t>
        </is>
      </c>
      <c r="B545" s="3" t="inlineStr">
        <is>
          <t>Bull</t>
        </is>
      </c>
      <c r="C545" s="3" t="inlineStr">
        <is>
          <t>Meta</t>
        </is>
      </c>
      <c r="D545" s="3" t="n">
        <v>2027</v>
      </c>
      <c r="E545" s="3" t="inlineStr">
        <is>
          <t>Meta Rosemount</t>
        </is>
      </c>
      <c r="F545" s="3" t="inlineStr">
        <is>
          <t>Meta</t>
        </is>
      </c>
      <c r="G545" s="3" t="inlineStr">
        <is>
          <t>United States</t>
        </is>
      </c>
      <c r="H545" s="25" t="n">
        <v>178</v>
      </c>
      <c r="I545" s="17" t="n">
        <v>1</v>
      </c>
      <c r="J545" s="17" t="n">
        <v>0.6879999999999999</v>
      </c>
      <c r="K545" s="26" t="n">
        <v>0.312</v>
      </c>
      <c r="L545" s="3" t="inlineStr">
        <is>
          <t>2026-06-19</t>
        </is>
      </c>
      <c r="M545" s="27" t="n">
        <v>178</v>
      </c>
      <c r="N545" s="27" t="n">
        <v>178</v>
      </c>
      <c r="O545" s="3" t="inlineStr">
        <is>
          <t>confident</t>
        </is>
      </c>
      <c r="P545" s="3" t="inlineStr">
        <is>
          <t>B200</t>
        </is>
      </c>
      <c r="Q545" s="3" t="inlineStr">
        <is>
          <t>epoch_user_site_equal_split_seed</t>
        </is>
      </c>
      <c r="R545" s="3" t="inlineStr">
        <is>
          <t>SRC_EPOCH_AI_DATA_CENTERS; EPOCH_NORMALIZED_USER_SITES</t>
        </is>
      </c>
      <c r="S545" s="3" t="inlineStr">
        <is>
          <t>Capacity weight is used only to weight accelerator mix, not to overwrite company total power in 02_Inputs.</t>
        </is>
      </c>
    </row>
    <row r="546">
      <c r="A546" s="3" t="inlineStr">
        <is>
          <t>Bull|Meta|2028|Meta Rosemount</t>
        </is>
      </c>
      <c r="B546" s="3" t="inlineStr">
        <is>
          <t>Bull</t>
        </is>
      </c>
      <c r="C546" s="3" t="inlineStr">
        <is>
          <t>Meta</t>
        </is>
      </c>
      <c r="D546" s="3" t="n">
        <v>2028</v>
      </c>
      <c r="E546" s="3" t="inlineStr">
        <is>
          <t>Meta Rosemount</t>
        </is>
      </c>
      <c r="F546" s="3" t="inlineStr">
        <is>
          <t>Meta</t>
        </is>
      </c>
      <c r="G546" s="3" t="inlineStr">
        <is>
          <t>United States</t>
        </is>
      </c>
      <c r="H546" s="25" t="n">
        <v>178</v>
      </c>
      <c r="I546" s="17" t="n">
        <v>1</v>
      </c>
      <c r="J546" s="17" t="n">
        <v>0.745</v>
      </c>
      <c r="K546" s="26" t="n">
        <v>0.255</v>
      </c>
      <c r="L546" s="3" t="inlineStr">
        <is>
          <t>2026-06-19</t>
        </is>
      </c>
      <c r="M546" s="27" t="n">
        <v>178</v>
      </c>
      <c r="N546" s="27" t="n">
        <v>178</v>
      </c>
      <c r="O546" s="3" t="inlineStr">
        <is>
          <t>confident</t>
        </is>
      </c>
      <c r="P546" s="3" t="inlineStr">
        <is>
          <t>B200</t>
        </is>
      </c>
      <c r="Q546" s="3" t="inlineStr">
        <is>
          <t>epoch_user_site_equal_split_seed</t>
        </is>
      </c>
      <c r="R546" s="3" t="inlineStr">
        <is>
          <t>SRC_EPOCH_AI_DATA_CENTERS; EPOCH_NORMALIZED_USER_SITES</t>
        </is>
      </c>
      <c r="S546" s="3" t="inlineStr">
        <is>
          <t>Capacity weight is used only to weight accelerator mix, not to overwrite company total power in 02_Inputs.</t>
        </is>
      </c>
    </row>
    <row r="547">
      <c r="A547" s="3" t="inlineStr">
        <is>
          <t>Bull|Meta|2029|Meta Rosemount</t>
        </is>
      </c>
      <c r="B547" s="3" t="inlineStr">
        <is>
          <t>Bull</t>
        </is>
      </c>
      <c r="C547" s="3" t="inlineStr">
        <is>
          <t>Meta</t>
        </is>
      </c>
      <c r="D547" s="3" t="n">
        <v>2029</v>
      </c>
      <c r="E547" s="3" t="inlineStr">
        <is>
          <t>Meta Rosemount</t>
        </is>
      </c>
      <c r="F547" s="3" t="inlineStr">
        <is>
          <t>Meta</t>
        </is>
      </c>
      <c r="G547" s="3" t="inlineStr">
        <is>
          <t>United States</t>
        </is>
      </c>
      <c r="H547" s="25" t="n">
        <v>178</v>
      </c>
      <c r="I547" s="17" t="n">
        <v>1</v>
      </c>
      <c r="J547" s="17" t="n">
        <v>0.802</v>
      </c>
      <c r="K547" s="26" t="n">
        <v>0.198</v>
      </c>
      <c r="L547" s="3" t="inlineStr">
        <is>
          <t>2026-06-19</t>
        </is>
      </c>
      <c r="M547" s="27" t="n">
        <v>178</v>
      </c>
      <c r="N547" s="27" t="n">
        <v>178</v>
      </c>
      <c r="O547" s="3" t="inlineStr">
        <is>
          <t>confident</t>
        </is>
      </c>
      <c r="P547" s="3" t="inlineStr">
        <is>
          <t>B200</t>
        </is>
      </c>
      <c r="Q547" s="3" t="inlineStr">
        <is>
          <t>epoch_user_site_equal_split_seed</t>
        </is>
      </c>
      <c r="R547" s="3" t="inlineStr">
        <is>
          <t>SRC_EPOCH_AI_DATA_CENTERS; EPOCH_NORMALIZED_USER_SITES</t>
        </is>
      </c>
      <c r="S547" s="3" t="inlineStr">
        <is>
          <t>Capacity weight is used only to weight accelerator mix, not to overwrite company total power in 02_Inputs.</t>
        </is>
      </c>
    </row>
    <row r="548">
      <c r="A548" s="3" t="inlineStr">
        <is>
          <t>Bull|Meta|2030|Meta Rosemount</t>
        </is>
      </c>
      <c r="B548" s="3" t="inlineStr">
        <is>
          <t>Bull</t>
        </is>
      </c>
      <c r="C548" s="3" t="inlineStr">
        <is>
          <t>Meta</t>
        </is>
      </c>
      <c r="D548" s="3" t="n">
        <v>2030</v>
      </c>
      <c r="E548" s="3" t="inlineStr">
        <is>
          <t>Meta Rosemount</t>
        </is>
      </c>
      <c r="F548" s="3" t="inlineStr">
        <is>
          <t>Meta</t>
        </is>
      </c>
      <c r="G548" s="3" t="inlineStr">
        <is>
          <t>United States</t>
        </is>
      </c>
      <c r="H548" s="25" t="n">
        <v>178</v>
      </c>
      <c r="I548" s="17" t="n">
        <v>1</v>
      </c>
      <c r="J548" s="17" t="n">
        <v>0.86</v>
      </c>
      <c r="K548" s="26" t="n">
        <v>0.14</v>
      </c>
      <c r="L548" s="3" t="inlineStr">
        <is>
          <t>2026-06-19</t>
        </is>
      </c>
      <c r="M548" s="27" t="n">
        <v>178</v>
      </c>
      <c r="N548" s="27" t="n">
        <v>178</v>
      </c>
      <c r="O548" s="3" t="inlineStr">
        <is>
          <t>confident</t>
        </is>
      </c>
      <c r="P548" s="3" t="inlineStr">
        <is>
          <t>B200</t>
        </is>
      </c>
      <c r="Q548" s="3" t="inlineStr">
        <is>
          <t>epoch_user_site_equal_split_seed</t>
        </is>
      </c>
      <c r="R548" s="3" t="inlineStr">
        <is>
          <t>SRC_EPOCH_AI_DATA_CENTERS; EPOCH_NORMALIZED_USER_SITES</t>
        </is>
      </c>
      <c r="S548" s="3" t="inlineStr">
        <is>
          <t>Capacity weight is used only to weight accelerator mix, not to overwrite company total power in 02_Inputs.</t>
        </is>
      </c>
    </row>
    <row r="549">
      <c r="A549" s="3" t="inlineStr">
        <is>
          <t>Grid-Constrained / Efficiency-Upside|Meta|2026|Meta Rosemount</t>
        </is>
      </c>
      <c r="B549" s="3" t="inlineStr">
        <is>
          <t>Grid-Constrained / Efficiency-Upside</t>
        </is>
      </c>
      <c r="C549" s="3" t="inlineStr">
        <is>
          <t>Meta</t>
        </is>
      </c>
      <c r="D549" s="3" t="n">
        <v>2026</v>
      </c>
      <c r="E549" s="3" t="inlineStr">
        <is>
          <t>Meta Rosemount</t>
        </is>
      </c>
      <c r="F549" s="3" t="inlineStr">
        <is>
          <t>Meta</t>
        </is>
      </c>
      <c r="G549" s="3" t="inlineStr">
        <is>
          <t>United States</t>
        </is>
      </c>
      <c r="H549" s="25" t="n">
        <v>178</v>
      </c>
      <c r="I549" s="17" t="n">
        <v>1</v>
      </c>
      <c r="J549" s="17" t="n">
        <v>0.6</v>
      </c>
      <c r="K549" s="26" t="n">
        <v>0.4</v>
      </c>
      <c r="L549" s="3" t="inlineStr">
        <is>
          <t>2026-06-19</t>
        </is>
      </c>
      <c r="M549" s="27" t="n">
        <v>178</v>
      </c>
      <c r="N549" s="27" t="n">
        <v>178</v>
      </c>
      <c r="O549" s="3" t="inlineStr">
        <is>
          <t>confident</t>
        </is>
      </c>
      <c r="P549" s="3" t="inlineStr">
        <is>
          <t>B200</t>
        </is>
      </c>
      <c r="Q549" s="3" t="inlineStr">
        <is>
          <t>epoch_user_site_equal_split_seed</t>
        </is>
      </c>
      <c r="R549" s="3" t="inlineStr">
        <is>
          <t>SRC_EPOCH_AI_DATA_CENTERS; EPOCH_NORMALIZED_USER_SITES</t>
        </is>
      </c>
      <c r="S549" s="3" t="inlineStr">
        <is>
          <t>Capacity weight is used only to weight accelerator mix, not to overwrite company total power in 02_Inputs.</t>
        </is>
      </c>
    </row>
    <row r="550">
      <c r="A550" s="3" t="inlineStr">
        <is>
          <t>Grid-Constrained / Efficiency-Upside|Meta|2027|Meta Rosemount</t>
        </is>
      </c>
      <c r="B550" s="3" t="inlineStr">
        <is>
          <t>Grid-Constrained / Efficiency-Upside</t>
        </is>
      </c>
      <c r="C550" s="3" t="inlineStr">
        <is>
          <t>Meta</t>
        </is>
      </c>
      <c r="D550" s="3" t="n">
        <v>2027</v>
      </c>
      <c r="E550" s="3" t="inlineStr">
        <is>
          <t>Meta Rosemount</t>
        </is>
      </c>
      <c r="F550" s="3" t="inlineStr">
        <is>
          <t>Meta</t>
        </is>
      </c>
      <c r="G550" s="3" t="inlineStr">
        <is>
          <t>United States</t>
        </is>
      </c>
      <c r="H550" s="25" t="n">
        <v>178</v>
      </c>
      <c r="I550" s="17" t="n">
        <v>1</v>
      </c>
      <c r="J550" s="17" t="n">
        <v>0.655</v>
      </c>
      <c r="K550" s="26" t="n">
        <v>0.345</v>
      </c>
      <c r="L550" s="3" t="inlineStr">
        <is>
          <t>2026-06-19</t>
        </is>
      </c>
      <c r="M550" s="27" t="n">
        <v>178</v>
      </c>
      <c r="N550" s="27" t="n">
        <v>178</v>
      </c>
      <c r="O550" s="3" t="inlineStr">
        <is>
          <t>confident</t>
        </is>
      </c>
      <c r="P550" s="3" t="inlineStr">
        <is>
          <t>B200</t>
        </is>
      </c>
      <c r="Q550" s="3" t="inlineStr">
        <is>
          <t>epoch_user_site_equal_split_seed</t>
        </is>
      </c>
      <c r="R550" s="3" t="inlineStr">
        <is>
          <t>SRC_EPOCH_AI_DATA_CENTERS; EPOCH_NORMALIZED_USER_SITES</t>
        </is>
      </c>
      <c r="S550" s="3" t="inlineStr">
        <is>
          <t>Capacity weight is used only to weight accelerator mix, not to overwrite company total power in 02_Inputs.</t>
        </is>
      </c>
    </row>
    <row r="551">
      <c r="A551" s="3" t="inlineStr">
        <is>
          <t>Grid-Constrained / Efficiency-Upside|Meta|2028|Meta Rosemount</t>
        </is>
      </c>
      <c r="B551" s="3" t="inlineStr">
        <is>
          <t>Grid-Constrained / Efficiency-Upside</t>
        </is>
      </c>
      <c r="C551" s="3" t="inlineStr">
        <is>
          <t>Meta</t>
        </is>
      </c>
      <c r="D551" s="3" t="n">
        <v>2028</v>
      </c>
      <c r="E551" s="3" t="inlineStr">
        <is>
          <t>Meta Rosemount</t>
        </is>
      </c>
      <c r="F551" s="3" t="inlineStr">
        <is>
          <t>Meta</t>
        </is>
      </c>
      <c r="G551" s="3" t="inlineStr">
        <is>
          <t>United States</t>
        </is>
      </c>
      <c r="H551" s="25" t="n">
        <v>178</v>
      </c>
      <c r="I551" s="17" t="n">
        <v>1</v>
      </c>
      <c r="J551" s="17" t="n">
        <v>0.71</v>
      </c>
      <c r="K551" s="26" t="n">
        <v>0.29</v>
      </c>
      <c r="L551" s="3" t="inlineStr">
        <is>
          <t>2026-06-19</t>
        </is>
      </c>
      <c r="M551" s="27" t="n">
        <v>178</v>
      </c>
      <c r="N551" s="27" t="n">
        <v>178</v>
      </c>
      <c r="O551" s="3" t="inlineStr">
        <is>
          <t>confident</t>
        </is>
      </c>
      <c r="P551" s="3" t="inlineStr">
        <is>
          <t>B200</t>
        </is>
      </c>
      <c r="Q551" s="3" t="inlineStr">
        <is>
          <t>epoch_user_site_equal_split_seed</t>
        </is>
      </c>
      <c r="R551" s="3" t="inlineStr">
        <is>
          <t>SRC_EPOCH_AI_DATA_CENTERS; EPOCH_NORMALIZED_USER_SITES</t>
        </is>
      </c>
      <c r="S551" s="3" t="inlineStr">
        <is>
          <t>Capacity weight is used only to weight accelerator mix, not to overwrite company total power in 02_Inputs.</t>
        </is>
      </c>
    </row>
    <row r="552">
      <c r="A552" s="3" t="inlineStr">
        <is>
          <t>Grid-Constrained / Efficiency-Upside|Meta|2029|Meta Rosemount</t>
        </is>
      </c>
      <c r="B552" s="3" t="inlineStr">
        <is>
          <t>Grid-Constrained / Efficiency-Upside</t>
        </is>
      </c>
      <c r="C552" s="3" t="inlineStr">
        <is>
          <t>Meta</t>
        </is>
      </c>
      <c r="D552" s="3" t="n">
        <v>2029</v>
      </c>
      <c r="E552" s="3" t="inlineStr">
        <is>
          <t>Meta Rosemount</t>
        </is>
      </c>
      <c r="F552" s="3" t="inlineStr">
        <is>
          <t>Meta</t>
        </is>
      </c>
      <c r="G552" s="3" t="inlineStr">
        <is>
          <t>United States</t>
        </is>
      </c>
      <c r="H552" s="25" t="n">
        <v>178</v>
      </c>
      <c r="I552" s="17" t="n">
        <v>1</v>
      </c>
      <c r="J552" s="17" t="n">
        <v>0.765</v>
      </c>
      <c r="K552" s="26" t="n">
        <v>0.235</v>
      </c>
      <c r="L552" s="3" t="inlineStr">
        <is>
          <t>2026-06-19</t>
        </is>
      </c>
      <c r="M552" s="27" t="n">
        <v>178</v>
      </c>
      <c r="N552" s="27" t="n">
        <v>178</v>
      </c>
      <c r="O552" s="3" t="inlineStr">
        <is>
          <t>confident</t>
        </is>
      </c>
      <c r="P552" s="3" t="inlineStr">
        <is>
          <t>B200</t>
        </is>
      </c>
      <c r="Q552" s="3" t="inlineStr">
        <is>
          <t>epoch_user_site_equal_split_seed</t>
        </is>
      </c>
      <c r="R552" s="3" t="inlineStr">
        <is>
          <t>SRC_EPOCH_AI_DATA_CENTERS; EPOCH_NORMALIZED_USER_SITES</t>
        </is>
      </c>
      <c r="S552" s="3" t="inlineStr">
        <is>
          <t>Capacity weight is used only to weight accelerator mix, not to overwrite company total power in 02_Inputs.</t>
        </is>
      </c>
    </row>
    <row r="553">
      <c r="A553" s="3" t="inlineStr">
        <is>
          <t>Grid-Constrained / Efficiency-Upside|Meta|2030|Meta Rosemount</t>
        </is>
      </c>
      <c r="B553" s="3" t="inlineStr">
        <is>
          <t>Grid-Constrained / Efficiency-Upside</t>
        </is>
      </c>
      <c r="C553" s="3" t="inlineStr">
        <is>
          <t>Meta</t>
        </is>
      </c>
      <c r="D553" s="3" t="n">
        <v>2030</v>
      </c>
      <c r="E553" s="3" t="inlineStr">
        <is>
          <t>Meta Rosemount</t>
        </is>
      </c>
      <c r="F553" s="3" t="inlineStr">
        <is>
          <t>Meta</t>
        </is>
      </c>
      <c r="G553" s="3" t="inlineStr">
        <is>
          <t>United States</t>
        </is>
      </c>
      <c r="H553" s="25" t="n">
        <v>178</v>
      </c>
      <c r="I553" s="17" t="n">
        <v>1</v>
      </c>
      <c r="J553" s="17" t="n">
        <v>0.82</v>
      </c>
      <c r="K553" s="26" t="n">
        <v>0.18</v>
      </c>
      <c r="L553" s="3" t="inlineStr">
        <is>
          <t>2026-06-19</t>
        </is>
      </c>
      <c r="M553" s="27" t="n">
        <v>178</v>
      </c>
      <c r="N553" s="27" t="n">
        <v>178</v>
      </c>
      <c r="O553" s="3" t="inlineStr">
        <is>
          <t>confident</t>
        </is>
      </c>
      <c r="P553" s="3" t="inlineStr">
        <is>
          <t>B200</t>
        </is>
      </c>
      <c r="Q553" s="3" t="inlineStr">
        <is>
          <t>epoch_user_site_equal_split_seed</t>
        </is>
      </c>
      <c r="R553" s="3" t="inlineStr">
        <is>
          <t>SRC_EPOCH_AI_DATA_CENTERS; EPOCH_NORMALIZED_USER_SITES</t>
        </is>
      </c>
      <c r="S553" s="3" t="inlineStr">
        <is>
          <t>Capacity weight is used only to weight accelerator mix, not to overwrite company total power in 02_Inputs.</t>
        </is>
      </c>
    </row>
    <row r="554">
      <c r="A554" s="3" t="inlineStr">
        <is>
          <t>Bear|Meta|2026|Meta Sarpy</t>
        </is>
      </c>
      <c r="B554" s="3" t="inlineStr">
        <is>
          <t>Bear</t>
        </is>
      </c>
      <c r="C554" s="3" t="inlineStr">
        <is>
          <t>Meta</t>
        </is>
      </c>
      <c r="D554" s="3" t="n">
        <v>2026</v>
      </c>
      <c r="E554" s="3" t="inlineStr">
        <is>
          <t>Meta Sarpy</t>
        </is>
      </c>
      <c r="F554" s="3" t="inlineStr">
        <is>
          <t>Meta</t>
        </is>
      </c>
      <c r="G554" s="3" t="inlineStr">
        <is>
          <t>United States</t>
        </is>
      </c>
      <c r="H554" s="25" t="n">
        <v>80</v>
      </c>
      <c r="I554" s="17" t="n">
        <v>1</v>
      </c>
      <c r="J554" s="17" t="n">
        <v>0.5</v>
      </c>
      <c r="K554" s="26" t="n">
        <v>0.5</v>
      </c>
      <c r="L554" s="3" t="inlineStr">
        <is>
          <t>2026-08-02</t>
        </is>
      </c>
      <c r="M554" s="27" t="n">
        <v>0</v>
      </c>
      <c r="N554" s="27" t="n">
        <v>80</v>
      </c>
      <c r="O554" s="3" t="inlineStr">
        <is>
          <t>confident</t>
        </is>
      </c>
      <c r="P554" s="3" t="inlineStr">
        <is>
          <t>B300</t>
        </is>
      </c>
      <c r="Q554" s="3" t="inlineStr">
        <is>
          <t>epoch_user_site_equal_split_seed</t>
        </is>
      </c>
      <c r="R554" s="3" t="inlineStr">
        <is>
          <t>SRC_EPOCH_AI_DATA_CENTERS; EPOCH_NORMALIZED_USER_SITES</t>
        </is>
      </c>
      <c r="S554" s="3" t="inlineStr">
        <is>
          <t>Capacity weight is used only to weight accelerator mix, not to overwrite company total power in 02_Inputs.</t>
        </is>
      </c>
    </row>
    <row r="555">
      <c r="A555" s="3" t="inlineStr">
        <is>
          <t>Bear|Meta|2027|Meta Sarpy</t>
        </is>
      </c>
      <c r="B555" s="3" t="inlineStr">
        <is>
          <t>Bear</t>
        </is>
      </c>
      <c r="C555" s="3" t="inlineStr">
        <is>
          <t>Meta</t>
        </is>
      </c>
      <c r="D555" s="3" t="n">
        <v>2027</v>
      </c>
      <c r="E555" s="3" t="inlineStr">
        <is>
          <t>Meta Sarpy</t>
        </is>
      </c>
      <c r="F555" s="3" t="inlineStr">
        <is>
          <t>Meta</t>
        </is>
      </c>
      <c r="G555" s="3" t="inlineStr">
        <is>
          <t>United States</t>
        </is>
      </c>
      <c r="H555" s="25" t="n">
        <v>80</v>
      </c>
      <c r="I555" s="17" t="n">
        <v>1</v>
      </c>
      <c r="J555" s="17" t="n">
        <v>0.545</v>
      </c>
      <c r="K555" s="26" t="n">
        <v>0.455</v>
      </c>
      <c r="L555" s="3" t="inlineStr">
        <is>
          <t>2026-08-02</t>
        </is>
      </c>
      <c r="M555" s="27" t="n">
        <v>0</v>
      </c>
      <c r="N555" s="27" t="n">
        <v>80</v>
      </c>
      <c r="O555" s="3" t="inlineStr">
        <is>
          <t>confident</t>
        </is>
      </c>
      <c r="P555" s="3" t="inlineStr">
        <is>
          <t>B300</t>
        </is>
      </c>
      <c r="Q555" s="3" t="inlineStr">
        <is>
          <t>epoch_user_site_equal_split_seed</t>
        </is>
      </c>
      <c r="R555" s="3" t="inlineStr">
        <is>
          <t>SRC_EPOCH_AI_DATA_CENTERS; EPOCH_NORMALIZED_USER_SITES</t>
        </is>
      </c>
      <c r="S555" s="3" t="inlineStr">
        <is>
          <t>Capacity weight is used only to weight accelerator mix, not to overwrite company total power in 02_Inputs.</t>
        </is>
      </c>
    </row>
    <row r="556">
      <c r="A556" s="3" t="inlineStr">
        <is>
          <t>Bear|Meta|2028|Meta Sarpy</t>
        </is>
      </c>
      <c r="B556" s="3" t="inlineStr">
        <is>
          <t>Bear</t>
        </is>
      </c>
      <c r="C556" s="3" t="inlineStr">
        <is>
          <t>Meta</t>
        </is>
      </c>
      <c r="D556" s="3" t="n">
        <v>2028</v>
      </c>
      <c r="E556" s="3" t="inlineStr">
        <is>
          <t>Meta Sarpy</t>
        </is>
      </c>
      <c r="F556" s="3" t="inlineStr">
        <is>
          <t>Meta</t>
        </is>
      </c>
      <c r="G556" s="3" t="inlineStr">
        <is>
          <t>United States</t>
        </is>
      </c>
      <c r="H556" s="25" t="n">
        <v>80</v>
      </c>
      <c r="I556" s="17" t="n">
        <v>1</v>
      </c>
      <c r="J556" s="17" t="n">
        <v>0.59</v>
      </c>
      <c r="K556" s="26" t="n">
        <v>0.41</v>
      </c>
      <c r="L556" s="3" t="inlineStr">
        <is>
          <t>2026-08-02</t>
        </is>
      </c>
      <c r="M556" s="27" t="n">
        <v>0</v>
      </c>
      <c r="N556" s="27" t="n">
        <v>80</v>
      </c>
      <c r="O556" s="3" t="inlineStr">
        <is>
          <t>confident</t>
        </is>
      </c>
      <c r="P556" s="3" t="inlineStr">
        <is>
          <t>B300</t>
        </is>
      </c>
      <c r="Q556" s="3" t="inlineStr">
        <is>
          <t>epoch_user_site_equal_split_seed</t>
        </is>
      </c>
      <c r="R556" s="3" t="inlineStr">
        <is>
          <t>SRC_EPOCH_AI_DATA_CENTERS; EPOCH_NORMALIZED_USER_SITES</t>
        </is>
      </c>
      <c r="S556" s="3" t="inlineStr">
        <is>
          <t>Capacity weight is used only to weight accelerator mix, not to overwrite company total power in 02_Inputs.</t>
        </is>
      </c>
    </row>
    <row r="557">
      <c r="A557" s="3" t="inlineStr">
        <is>
          <t>Bear|Meta|2029|Meta Sarpy</t>
        </is>
      </c>
      <c r="B557" s="3" t="inlineStr">
        <is>
          <t>Bear</t>
        </is>
      </c>
      <c r="C557" s="3" t="inlineStr">
        <is>
          <t>Meta</t>
        </is>
      </c>
      <c r="D557" s="3" t="n">
        <v>2029</v>
      </c>
      <c r="E557" s="3" t="inlineStr">
        <is>
          <t>Meta Sarpy</t>
        </is>
      </c>
      <c r="F557" s="3" t="inlineStr">
        <is>
          <t>Meta</t>
        </is>
      </c>
      <c r="G557" s="3" t="inlineStr">
        <is>
          <t>United States</t>
        </is>
      </c>
      <c r="H557" s="25" t="n">
        <v>80</v>
      </c>
      <c r="I557" s="17" t="n">
        <v>1</v>
      </c>
      <c r="J557" s="17" t="n">
        <v>0.635</v>
      </c>
      <c r="K557" s="26" t="n">
        <v>0.365</v>
      </c>
      <c r="L557" s="3" t="inlineStr">
        <is>
          <t>2026-08-02</t>
        </is>
      </c>
      <c r="M557" s="27" t="n">
        <v>0</v>
      </c>
      <c r="N557" s="27" t="n">
        <v>80</v>
      </c>
      <c r="O557" s="3" t="inlineStr">
        <is>
          <t>confident</t>
        </is>
      </c>
      <c r="P557" s="3" t="inlineStr">
        <is>
          <t>B300</t>
        </is>
      </c>
      <c r="Q557" s="3" t="inlineStr">
        <is>
          <t>epoch_user_site_equal_split_seed</t>
        </is>
      </c>
      <c r="R557" s="3" t="inlineStr">
        <is>
          <t>SRC_EPOCH_AI_DATA_CENTERS; EPOCH_NORMALIZED_USER_SITES</t>
        </is>
      </c>
      <c r="S557" s="3" t="inlineStr">
        <is>
          <t>Capacity weight is used only to weight accelerator mix, not to overwrite company total power in 02_Inputs.</t>
        </is>
      </c>
    </row>
    <row r="558">
      <c r="A558" s="3" t="inlineStr">
        <is>
          <t>Bear|Meta|2030|Meta Sarpy</t>
        </is>
      </c>
      <c r="B558" s="3" t="inlineStr">
        <is>
          <t>Bear</t>
        </is>
      </c>
      <c r="C558" s="3" t="inlineStr">
        <is>
          <t>Meta</t>
        </is>
      </c>
      <c r="D558" s="3" t="n">
        <v>2030</v>
      </c>
      <c r="E558" s="3" t="inlineStr">
        <is>
          <t>Meta Sarpy</t>
        </is>
      </c>
      <c r="F558" s="3" t="inlineStr">
        <is>
          <t>Meta</t>
        </is>
      </c>
      <c r="G558" s="3" t="inlineStr">
        <is>
          <t>United States</t>
        </is>
      </c>
      <c r="H558" s="25" t="n">
        <v>80</v>
      </c>
      <c r="I558" s="17" t="n">
        <v>1</v>
      </c>
      <c r="J558" s="17" t="n">
        <v>0.68</v>
      </c>
      <c r="K558" s="26" t="n">
        <v>0.32</v>
      </c>
      <c r="L558" s="3" t="inlineStr">
        <is>
          <t>2026-08-02</t>
        </is>
      </c>
      <c r="M558" s="27" t="n">
        <v>0</v>
      </c>
      <c r="N558" s="27" t="n">
        <v>80</v>
      </c>
      <c r="O558" s="3" t="inlineStr">
        <is>
          <t>confident</t>
        </is>
      </c>
      <c r="P558" s="3" t="inlineStr">
        <is>
          <t>B300</t>
        </is>
      </c>
      <c r="Q558" s="3" t="inlineStr">
        <is>
          <t>epoch_user_site_equal_split_seed</t>
        </is>
      </c>
      <c r="R558" s="3" t="inlineStr">
        <is>
          <t>SRC_EPOCH_AI_DATA_CENTERS; EPOCH_NORMALIZED_USER_SITES</t>
        </is>
      </c>
      <c r="S558" s="3" t="inlineStr">
        <is>
          <t>Capacity weight is used only to weight accelerator mix, not to overwrite company total power in 02_Inputs.</t>
        </is>
      </c>
    </row>
    <row r="559">
      <c r="A559" s="3" t="inlineStr">
        <is>
          <t>Base|Meta|2026|Meta Sarpy</t>
        </is>
      </c>
      <c r="B559" s="3" t="inlineStr">
        <is>
          <t>Base</t>
        </is>
      </c>
      <c r="C559" s="3" t="inlineStr">
        <is>
          <t>Meta</t>
        </is>
      </c>
      <c r="D559" s="3" t="n">
        <v>2026</v>
      </c>
      <c r="E559" s="3" t="inlineStr">
        <is>
          <t>Meta Sarpy</t>
        </is>
      </c>
      <c r="F559" s="3" t="inlineStr">
        <is>
          <t>Meta</t>
        </is>
      </c>
      <c r="G559" s="3" t="inlineStr">
        <is>
          <t>United States</t>
        </is>
      </c>
      <c r="H559" s="25" t="n">
        <v>80</v>
      </c>
      <c r="I559" s="17" t="n">
        <v>1</v>
      </c>
      <c r="J559" s="17" t="n">
        <v>0.58</v>
      </c>
      <c r="K559" s="26" t="n">
        <v>0.42</v>
      </c>
      <c r="L559" s="3" t="inlineStr">
        <is>
          <t>2026-08-02</t>
        </is>
      </c>
      <c r="M559" s="27" t="n">
        <v>0</v>
      </c>
      <c r="N559" s="27" t="n">
        <v>80</v>
      </c>
      <c r="O559" s="3" t="inlineStr">
        <is>
          <t>confident</t>
        </is>
      </c>
      <c r="P559" s="3" t="inlineStr">
        <is>
          <t>B300</t>
        </is>
      </c>
      <c r="Q559" s="3" t="inlineStr">
        <is>
          <t>epoch_user_site_equal_split_seed</t>
        </is>
      </c>
      <c r="R559" s="3" t="inlineStr">
        <is>
          <t>SRC_EPOCH_AI_DATA_CENTERS; EPOCH_NORMALIZED_USER_SITES</t>
        </is>
      </c>
      <c r="S559" s="3" t="inlineStr">
        <is>
          <t>Capacity weight is used only to weight accelerator mix, not to overwrite company total power in 02_Inputs.</t>
        </is>
      </c>
    </row>
    <row r="560">
      <c r="A560" s="3" t="inlineStr">
        <is>
          <t>Base|Meta|2027|Meta Sarpy</t>
        </is>
      </c>
      <c r="B560" s="3" t="inlineStr">
        <is>
          <t>Base</t>
        </is>
      </c>
      <c r="C560" s="3" t="inlineStr">
        <is>
          <t>Meta</t>
        </is>
      </c>
      <c r="D560" s="3" t="n">
        <v>2027</v>
      </c>
      <c r="E560" s="3" t="inlineStr">
        <is>
          <t>Meta Sarpy</t>
        </is>
      </c>
      <c r="F560" s="3" t="inlineStr">
        <is>
          <t>Meta</t>
        </is>
      </c>
      <c r="G560" s="3" t="inlineStr">
        <is>
          <t>United States</t>
        </is>
      </c>
      <c r="H560" s="25" t="n">
        <v>80</v>
      </c>
      <c r="I560" s="17" t="n">
        <v>1</v>
      </c>
      <c r="J560" s="17" t="n">
        <v>0.63</v>
      </c>
      <c r="K560" s="26" t="n">
        <v>0.37</v>
      </c>
      <c r="L560" s="3" t="inlineStr">
        <is>
          <t>2026-08-02</t>
        </is>
      </c>
      <c r="M560" s="27" t="n">
        <v>0</v>
      </c>
      <c r="N560" s="27" t="n">
        <v>80</v>
      </c>
      <c r="O560" s="3" t="inlineStr">
        <is>
          <t>confident</t>
        </is>
      </c>
      <c r="P560" s="3" t="inlineStr">
        <is>
          <t>B300</t>
        </is>
      </c>
      <c r="Q560" s="3" t="inlineStr">
        <is>
          <t>epoch_user_site_equal_split_seed</t>
        </is>
      </c>
      <c r="R560" s="3" t="inlineStr">
        <is>
          <t>SRC_EPOCH_AI_DATA_CENTERS; EPOCH_NORMALIZED_USER_SITES</t>
        </is>
      </c>
      <c r="S560" s="3" t="inlineStr">
        <is>
          <t>Capacity weight is used only to weight accelerator mix, not to overwrite company total power in 02_Inputs.</t>
        </is>
      </c>
    </row>
    <row r="561">
      <c r="A561" s="3" t="inlineStr">
        <is>
          <t>Base|Meta|2028|Meta Sarpy</t>
        </is>
      </c>
      <c r="B561" s="3" t="inlineStr">
        <is>
          <t>Base</t>
        </is>
      </c>
      <c r="C561" s="3" t="inlineStr">
        <is>
          <t>Meta</t>
        </is>
      </c>
      <c r="D561" s="3" t="n">
        <v>2028</v>
      </c>
      <c r="E561" s="3" t="inlineStr">
        <is>
          <t>Meta Sarpy</t>
        </is>
      </c>
      <c r="F561" s="3" t="inlineStr">
        <is>
          <t>Meta</t>
        </is>
      </c>
      <c r="G561" s="3" t="inlineStr">
        <is>
          <t>United States</t>
        </is>
      </c>
      <c r="H561" s="25" t="n">
        <v>80</v>
      </c>
      <c r="I561" s="17" t="n">
        <v>1</v>
      </c>
      <c r="J561" s="17" t="n">
        <v>0.68</v>
      </c>
      <c r="K561" s="26" t="n">
        <v>0.32</v>
      </c>
      <c r="L561" s="3" t="inlineStr">
        <is>
          <t>2026-08-02</t>
        </is>
      </c>
      <c r="M561" s="27" t="n">
        <v>0</v>
      </c>
      <c r="N561" s="27" t="n">
        <v>80</v>
      </c>
      <c r="O561" s="3" t="inlineStr">
        <is>
          <t>confident</t>
        </is>
      </c>
      <c r="P561" s="3" t="inlineStr">
        <is>
          <t>B300</t>
        </is>
      </c>
      <c r="Q561" s="3" t="inlineStr">
        <is>
          <t>epoch_user_site_equal_split_seed</t>
        </is>
      </c>
      <c r="R561" s="3" t="inlineStr">
        <is>
          <t>SRC_EPOCH_AI_DATA_CENTERS; EPOCH_NORMALIZED_USER_SITES</t>
        </is>
      </c>
      <c r="S561" s="3" t="inlineStr">
        <is>
          <t>Capacity weight is used only to weight accelerator mix, not to overwrite company total power in 02_Inputs.</t>
        </is>
      </c>
    </row>
    <row r="562">
      <c r="A562" s="3" t="inlineStr">
        <is>
          <t>Base|Meta|2029|Meta Sarpy</t>
        </is>
      </c>
      <c r="B562" s="3" t="inlineStr">
        <is>
          <t>Base</t>
        </is>
      </c>
      <c r="C562" s="3" t="inlineStr">
        <is>
          <t>Meta</t>
        </is>
      </c>
      <c r="D562" s="3" t="n">
        <v>2029</v>
      </c>
      <c r="E562" s="3" t="inlineStr">
        <is>
          <t>Meta Sarpy</t>
        </is>
      </c>
      <c r="F562" s="3" t="inlineStr">
        <is>
          <t>Meta</t>
        </is>
      </c>
      <c r="G562" s="3" t="inlineStr">
        <is>
          <t>United States</t>
        </is>
      </c>
      <c r="H562" s="25" t="n">
        <v>80</v>
      </c>
      <c r="I562" s="17" t="n">
        <v>1</v>
      </c>
      <c r="J562" s="17" t="n">
        <v>0.73</v>
      </c>
      <c r="K562" s="26" t="n">
        <v>0.27</v>
      </c>
      <c r="L562" s="3" t="inlineStr">
        <is>
          <t>2026-08-02</t>
        </is>
      </c>
      <c r="M562" s="27" t="n">
        <v>0</v>
      </c>
      <c r="N562" s="27" t="n">
        <v>80</v>
      </c>
      <c r="O562" s="3" t="inlineStr">
        <is>
          <t>confident</t>
        </is>
      </c>
      <c r="P562" s="3" t="inlineStr">
        <is>
          <t>B300</t>
        </is>
      </c>
      <c r="Q562" s="3" t="inlineStr">
        <is>
          <t>epoch_user_site_equal_split_seed</t>
        </is>
      </c>
      <c r="R562" s="3" t="inlineStr">
        <is>
          <t>SRC_EPOCH_AI_DATA_CENTERS; EPOCH_NORMALIZED_USER_SITES</t>
        </is>
      </c>
      <c r="S562" s="3" t="inlineStr">
        <is>
          <t>Capacity weight is used only to weight accelerator mix, not to overwrite company total power in 02_Inputs.</t>
        </is>
      </c>
    </row>
    <row r="563">
      <c r="A563" s="3" t="inlineStr">
        <is>
          <t>Base|Meta|2030|Meta Sarpy</t>
        </is>
      </c>
      <c r="B563" s="3" t="inlineStr">
        <is>
          <t>Base</t>
        </is>
      </c>
      <c r="C563" s="3" t="inlineStr">
        <is>
          <t>Meta</t>
        </is>
      </c>
      <c r="D563" s="3" t="n">
        <v>2030</v>
      </c>
      <c r="E563" s="3" t="inlineStr">
        <is>
          <t>Meta Sarpy</t>
        </is>
      </c>
      <c r="F563" s="3" t="inlineStr">
        <is>
          <t>Meta</t>
        </is>
      </c>
      <c r="G563" s="3" t="inlineStr">
        <is>
          <t>United States</t>
        </is>
      </c>
      <c r="H563" s="25" t="n">
        <v>80</v>
      </c>
      <c r="I563" s="17" t="n">
        <v>1</v>
      </c>
      <c r="J563" s="17" t="n">
        <v>0.78</v>
      </c>
      <c r="K563" s="26" t="n">
        <v>0.22</v>
      </c>
      <c r="L563" s="3" t="inlineStr">
        <is>
          <t>2026-08-02</t>
        </is>
      </c>
      <c r="M563" s="27" t="n">
        <v>0</v>
      </c>
      <c r="N563" s="27" t="n">
        <v>80</v>
      </c>
      <c r="O563" s="3" t="inlineStr">
        <is>
          <t>confident</t>
        </is>
      </c>
      <c r="P563" s="3" t="inlineStr">
        <is>
          <t>B300</t>
        </is>
      </c>
      <c r="Q563" s="3" t="inlineStr">
        <is>
          <t>epoch_user_site_equal_split_seed</t>
        </is>
      </c>
      <c r="R563" s="3" t="inlineStr">
        <is>
          <t>SRC_EPOCH_AI_DATA_CENTERS; EPOCH_NORMALIZED_USER_SITES</t>
        </is>
      </c>
      <c r="S563" s="3" t="inlineStr">
        <is>
          <t>Capacity weight is used only to weight accelerator mix, not to overwrite company total power in 02_Inputs.</t>
        </is>
      </c>
    </row>
    <row r="564">
      <c r="A564" s="3" t="inlineStr">
        <is>
          <t>Bull|Meta|2026|Meta Sarpy</t>
        </is>
      </c>
      <c r="B564" s="3" t="inlineStr">
        <is>
          <t>Bull</t>
        </is>
      </c>
      <c r="C564" s="3" t="inlineStr">
        <is>
          <t>Meta</t>
        </is>
      </c>
      <c r="D564" s="3" t="n">
        <v>2026</v>
      </c>
      <c r="E564" s="3" t="inlineStr">
        <is>
          <t>Meta Sarpy</t>
        </is>
      </c>
      <c r="F564" s="3" t="inlineStr">
        <is>
          <t>Meta</t>
        </is>
      </c>
      <c r="G564" s="3" t="inlineStr">
        <is>
          <t>United States</t>
        </is>
      </c>
      <c r="H564" s="25" t="n">
        <v>80</v>
      </c>
      <c r="I564" s="17" t="n">
        <v>1</v>
      </c>
      <c r="J564" s="17" t="n">
        <v>0.63</v>
      </c>
      <c r="K564" s="26" t="n">
        <v>0.37</v>
      </c>
      <c r="L564" s="3" t="inlineStr">
        <is>
          <t>2026-08-02</t>
        </is>
      </c>
      <c r="M564" s="27" t="n">
        <v>0</v>
      </c>
      <c r="N564" s="27" t="n">
        <v>80</v>
      </c>
      <c r="O564" s="3" t="inlineStr">
        <is>
          <t>confident</t>
        </is>
      </c>
      <c r="P564" s="3" t="inlineStr">
        <is>
          <t>B300</t>
        </is>
      </c>
      <c r="Q564" s="3" t="inlineStr">
        <is>
          <t>epoch_user_site_equal_split_seed</t>
        </is>
      </c>
      <c r="R564" s="3" t="inlineStr">
        <is>
          <t>SRC_EPOCH_AI_DATA_CENTERS; EPOCH_NORMALIZED_USER_SITES</t>
        </is>
      </c>
      <c r="S564" s="3" t="inlineStr">
        <is>
          <t>Capacity weight is used only to weight accelerator mix, not to overwrite company total power in 02_Inputs.</t>
        </is>
      </c>
    </row>
    <row r="565">
      <c r="A565" s="3" t="inlineStr">
        <is>
          <t>Bull|Meta|2027|Meta Sarpy</t>
        </is>
      </c>
      <c r="B565" s="3" t="inlineStr">
        <is>
          <t>Bull</t>
        </is>
      </c>
      <c r="C565" s="3" t="inlineStr">
        <is>
          <t>Meta</t>
        </is>
      </c>
      <c r="D565" s="3" t="n">
        <v>2027</v>
      </c>
      <c r="E565" s="3" t="inlineStr">
        <is>
          <t>Meta Sarpy</t>
        </is>
      </c>
      <c r="F565" s="3" t="inlineStr">
        <is>
          <t>Meta</t>
        </is>
      </c>
      <c r="G565" s="3" t="inlineStr">
        <is>
          <t>United States</t>
        </is>
      </c>
      <c r="H565" s="25" t="n">
        <v>80</v>
      </c>
      <c r="I565" s="17" t="n">
        <v>1</v>
      </c>
      <c r="J565" s="17" t="n">
        <v>0.6879999999999999</v>
      </c>
      <c r="K565" s="26" t="n">
        <v>0.312</v>
      </c>
      <c r="L565" s="3" t="inlineStr">
        <is>
          <t>2026-08-02</t>
        </is>
      </c>
      <c r="M565" s="27" t="n">
        <v>0</v>
      </c>
      <c r="N565" s="27" t="n">
        <v>80</v>
      </c>
      <c r="O565" s="3" t="inlineStr">
        <is>
          <t>confident</t>
        </is>
      </c>
      <c r="P565" s="3" t="inlineStr">
        <is>
          <t>B300</t>
        </is>
      </c>
      <c r="Q565" s="3" t="inlineStr">
        <is>
          <t>epoch_user_site_equal_split_seed</t>
        </is>
      </c>
      <c r="R565" s="3" t="inlineStr">
        <is>
          <t>SRC_EPOCH_AI_DATA_CENTERS; EPOCH_NORMALIZED_USER_SITES</t>
        </is>
      </c>
      <c r="S565" s="3" t="inlineStr">
        <is>
          <t>Capacity weight is used only to weight accelerator mix, not to overwrite company total power in 02_Inputs.</t>
        </is>
      </c>
    </row>
    <row r="566">
      <c r="A566" s="3" t="inlineStr">
        <is>
          <t>Bull|Meta|2028|Meta Sarpy</t>
        </is>
      </c>
      <c r="B566" s="3" t="inlineStr">
        <is>
          <t>Bull</t>
        </is>
      </c>
      <c r="C566" s="3" t="inlineStr">
        <is>
          <t>Meta</t>
        </is>
      </c>
      <c r="D566" s="3" t="n">
        <v>2028</v>
      </c>
      <c r="E566" s="3" t="inlineStr">
        <is>
          <t>Meta Sarpy</t>
        </is>
      </c>
      <c r="F566" s="3" t="inlineStr">
        <is>
          <t>Meta</t>
        </is>
      </c>
      <c r="G566" s="3" t="inlineStr">
        <is>
          <t>United States</t>
        </is>
      </c>
      <c r="H566" s="25" t="n">
        <v>80</v>
      </c>
      <c r="I566" s="17" t="n">
        <v>1</v>
      </c>
      <c r="J566" s="17" t="n">
        <v>0.745</v>
      </c>
      <c r="K566" s="26" t="n">
        <v>0.255</v>
      </c>
      <c r="L566" s="3" t="inlineStr">
        <is>
          <t>2026-08-02</t>
        </is>
      </c>
      <c r="M566" s="27" t="n">
        <v>0</v>
      </c>
      <c r="N566" s="27" t="n">
        <v>80</v>
      </c>
      <c r="O566" s="3" t="inlineStr">
        <is>
          <t>confident</t>
        </is>
      </c>
      <c r="P566" s="3" t="inlineStr">
        <is>
          <t>B300</t>
        </is>
      </c>
      <c r="Q566" s="3" t="inlineStr">
        <is>
          <t>epoch_user_site_equal_split_seed</t>
        </is>
      </c>
      <c r="R566" s="3" t="inlineStr">
        <is>
          <t>SRC_EPOCH_AI_DATA_CENTERS; EPOCH_NORMALIZED_USER_SITES</t>
        </is>
      </c>
      <c r="S566" s="3" t="inlineStr">
        <is>
          <t>Capacity weight is used only to weight accelerator mix, not to overwrite company total power in 02_Inputs.</t>
        </is>
      </c>
    </row>
    <row r="567">
      <c r="A567" s="3" t="inlineStr">
        <is>
          <t>Bull|Meta|2029|Meta Sarpy</t>
        </is>
      </c>
      <c r="B567" s="3" t="inlineStr">
        <is>
          <t>Bull</t>
        </is>
      </c>
      <c r="C567" s="3" t="inlineStr">
        <is>
          <t>Meta</t>
        </is>
      </c>
      <c r="D567" s="3" t="n">
        <v>2029</v>
      </c>
      <c r="E567" s="3" t="inlineStr">
        <is>
          <t>Meta Sarpy</t>
        </is>
      </c>
      <c r="F567" s="3" t="inlineStr">
        <is>
          <t>Meta</t>
        </is>
      </c>
      <c r="G567" s="3" t="inlineStr">
        <is>
          <t>United States</t>
        </is>
      </c>
      <c r="H567" s="25" t="n">
        <v>80</v>
      </c>
      <c r="I567" s="17" t="n">
        <v>1</v>
      </c>
      <c r="J567" s="17" t="n">
        <v>0.802</v>
      </c>
      <c r="K567" s="26" t="n">
        <v>0.198</v>
      </c>
      <c r="L567" s="3" t="inlineStr">
        <is>
          <t>2026-08-02</t>
        </is>
      </c>
      <c r="M567" s="27" t="n">
        <v>0</v>
      </c>
      <c r="N567" s="27" t="n">
        <v>80</v>
      </c>
      <c r="O567" s="3" t="inlineStr">
        <is>
          <t>confident</t>
        </is>
      </c>
      <c r="P567" s="3" t="inlineStr">
        <is>
          <t>B300</t>
        </is>
      </c>
      <c r="Q567" s="3" t="inlineStr">
        <is>
          <t>epoch_user_site_equal_split_seed</t>
        </is>
      </c>
      <c r="R567" s="3" t="inlineStr">
        <is>
          <t>SRC_EPOCH_AI_DATA_CENTERS; EPOCH_NORMALIZED_USER_SITES</t>
        </is>
      </c>
      <c r="S567" s="3" t="inlineStr">
        <is>
          <t>Capacity weight is used only to weight accelerator mix, not to overwrite company total power in 02_Inputs.</t>
        </is>
      </c>
    </row>
    <row r="568">
      <c r="A568" s="3" t="inlineStr">
        <is>
          <t>Bull|Meta|2030|Meta Sarpy</t>
        </is>
      </c>
      <c r="B568" s="3" t="inlineStr">
        <is>
          <t>Bull</t>
        </is>
      </c>
      <c r="C568" s="3" t="inlineStr">
        <is>
          <t>Meta</t>
        </is>
      </c>
      <c r="D568" s="3" t="n">
        <v>2030</v>
      </c>
      <c r="E568" s="3" t="inlineStr">
        <is>
          <t>Meta Sarpy</t>
        </is>
      </c>
      <c r="F568" s="3" t="inlineStr">
        <is>
          <t>Meta</t>
        </is>
      </c>
      <c r="G568" s="3" t="inlineStr">
        <is>
          <t>United States</t>
        </is>
      </c>
      <c r="H568" s="25" t="n">
        <v>80</v>
      </c>
      <c r="I568" s="17" t="n">
        <v>1</v>
      </c>
      <c r="J568" s="17" t="n">
        <v>0.86</v>
      </c>
      <c r="K568" s="26" t="n">
        <v>0.14</v>
      </c>
      <c r="L568" s="3" t="inlineStr">
        <is>
          <t>2026-08-02</t>
        </is>
      </c>
      <c r="M568" s="27" t="n">
        <v>0</v>
      </c>
      <c r="N568" s="27" t="n">
        <v>80</v>
      </c>
      <c r="O568" s="3" t="inlineStr">
        <is>
          <t>confident</t>
        </is>
      </c>
      <c r="P568" s="3" t="inlineStr">
        <is>
          <t>B300</t>
        </is>
      </c>
      <c r="Q568" s="3" t="inlineStr">
        <is>
          <t>epoch_user_site_equal_split_seed</t>
        </is>
      </c>
      <c r="R568" s="3" t="inlineStr">
        <is>
          <t>SRC_EPOCH_AI_DATA_CENTERS; EPOCH_NORMALIZED_USER_SITES</t>
        </is>
      </c>
      <c r="S568" s="3" t="inlineStr">
        <is>
          <t>Capacity weight is used only to weight accelerator mix, not to overwrite company total power in 02_Inputs.</t>
        </is>
      </c>
    </row>
    <row r="569">
      <c r="A569" s="3" t="inlineStr">
        <is>
          <t>Grid-Constrained / Efficiency-Upside|Meta|2026|Meta Sarpy</t>
        </is>
      </c>
      <c r="B569" s="3" t="inlineStr">
        <is>
          <t>Grid-Constrained / Efficiency-Upside</t>
        </is>
      </c>
      <c r="C569" s="3" t="inlineStr">
        <is>
          <t>Meta</t>
        </is>
      </c>
      <c r="D569" s="3" t="n">
        <v>2026</v>
      </c>
      <c r="E569" s="3" t="inlineStr">
        <is>
          <t>Meta Sarpy</t>
        </is>
      </c>
      <c r="F569" s="3" t="inlineStr">
        <is>
          <t>Meta</t>
        </is>
      </c>
      <c r="G569" s="3" t="inlineStr">
        <is>
          <t>United States</t>
        </is>
      </c>
      <c r="H569" s="25" t="n">
        <v>80</v>
      </c>
      <c r="I569" s="17" t="n">
        <v>1</v>
      </c>
      <c r="J569" s="17" t="n">
        <v>0.6</v>
      </c>
      <c r="K569" s="26" t="n">
        <v>0.4</v>
      </c>
      <c r="L569" s="3" t="inlineStr">
        <is>
          <t>2026-08-02</t>
        </is>
      </c>
      <c r="M569" s="27" t="n">
        <v>0</v>
      </c>
      <c r="N569" s="27" t="n">
        <v>80</v>
      </c>
      <c r="O569" s="3" t="inlineStr">
        <is>
          <t>confident</t>
        </is>
      </c>
      <c r="P569" s="3" t="inlineStr">
        <is>
          <t>B300</t>
        </is>
      </c>
      <c r="Q569" s="3" t="inlineStr">
        <is>
          <t>epoch_user_site_equal_split_seed</t>
        </is>
      </c>
      <c r="R569" s="3" t="inlineStr">
        <is>
          <t>SRC_EPOCH_AI_DATA_CENTERS; EPOCH_NORMALIZED_USER_SITES</t>
        </is>
      </c>
      <c r="S569" s="3" t="inlineStr">
        <is>
          <t>Capacity weight is used only to weight accelerator mix, not to overwrite company total power in 02_Inputs.</t>
        </is>
      </c>
    </row>
    <row r="570">
      <c r="A570" s="3" t="inlineStr">
        <is>
          <t>Grid-Constrained / Efficiency-Upside|Meta|2027|Meta Sarpy</t>
        </is>
      </c>
      <c r="B570" s="3" t="inlineStr">
        <is>
          <t>Grid-Constrained / Efficiency-Upside</t>
        </is>
      </c>
      <c r="C570" s="3" t="inlineStr">
        <is>
          <t>Meta</t>
        </is>
      </c>
      <c r="D570" s="3" t="n">
        <v>2027</v>
      </c>
      <c r="E570" s="3" t="inlineStr">
        <is>
          <t>Meta Sarpy</t>
        </is>
      </c>
      <c r="F570" s="3" t="inlineStr">
        <is>
          <t>Meta</t>
        </is>
      </c>
      <c r="G570" s="3" t="inlineStr">
        <is>
          <t>United States</t>
        </is>
      </c>
      <c r="H570" s="25" t="n">
        <v>80</v>
      </c>
      <c r="I570" s="17" t="n">
        <v>1</v>
      </c>
      <c r="J570" s="17" t="n">
        <v>0.655</v>
      </c>
      <c r="K570" s="26" t="n">
        <v>0.345</v>
      </c>
      <c r="L570" s="3" t="inlineStr">
        <is>
          <t>2026-08-02</t>
        </is>
      </c>
      <c r="M570" s="27" t="n">
        <v>0</v>
      </c>
      <c r="N570" s="27" t="n">
        <v>80</v>
      </c>
      <c r="O570" s="3" t="inlineStr">
        <is>
          <t>confident</t>
        </is>
      </c>
      <c r="P570" s="3" t="inlineStr">
        <is>
          <t>B300</t>
        </is>
      </c>
      <c r="Q570" s="3" t="inlineStr">
        <is>
          <t>epoch_user_site_equal_split_seed</t>
        </is>
      </c>
      <c r="R570" s="3" t="inlineStr">
        <is>
          <t>SRC_EPOCH_AI_DATA_CENTERS; EPOCH_NORMALIZED_USER_SITES</t>
        </is>
      </c>
      <c r="S570" s="3" t="inlineStr">
        <is>
          <t>Capacity weight is used only to weight accelerator mix, not to overwrite company total power in 02_Inputs.</t>
        </is>
      </c>
    </row>
    <row r="571">
      <c r="A571" s="3" t="inlineStr">
        <is>
          <t>Grid-Constrained / Efficiency-Upside|Meta|2028|Meta Sarpy</t>
        </is>
      </c>
      <c r="B571" s="3" t="inlineStr">
        <is>
          <t>Grid-Constrained / Efficiency-Upside</t>
        </is>
      </c>
      <c r="C571" s="3" t="inlineStr">
        <is>
          <t>Meta</t>
        </is>
      </c>
      <c r="D571" s="3" t="n">
        <v>2028</v>
      </c>
      <c r="E571" s="3" t="inlineStr">
        <is>
          <t>Meta Sarpy</t>
        </is>
      </c>
      <c r="F571" s="3" t="inlineStr">
        <is>
          <t>Meta</t>
        </is>
      </c>
      <c r="G571" s="3" t="inlineStr">
        <is>
          <t>United States</t>
        </is>
      </c>
      <c r="H571" s="25" t="n">
        <v>80</v>
      </c>
      <c r="I571" s="17" t="n">
        <v>1</v>
      </c>
      <c r="J571" s="17" t="n">
        <v>0.71</v>
      </c>
      <c r="K571" s="26" t="n">
        <v>0.29</v>
      </c>
      <c r="L571" s="3" t="inlineStr">
        <is>
          <t>2026-08-02</t>
        </is>
      </c>
      <c r="M571" s="27" t="n">
        <v>0</v>
      </c>
      <c r="N571" s="27" t="n">
        <v>80</v>
      </c>
      <c r="O571" s="3" t="inlineStr">
        <is>
          <t>confident</t>
        </is>
      </c>
      <c r="P571" s="3" t="inlineStr">
        <is>
          <t>B300</t>
        </is>
      </c>
      <c r="Q571" s="3" t="inlineStr">
        <is>
          <t>epoch_user_site_equal_split_seed</t>
        </is>
      </c>
      <c r="R571" s="3" t="inlineStr">
        <is>
          <t>SRC_EPOCH_AI_DATA_CENTERS; EPOCH_NORMALIZED_USER_SITES</t>
        </is>
      </c>
      <c r="S571" s="3" t="inlineStr">
        <is>
          <t>Capacity weight is used only to weight accelerator mix, not to overwrite company total power in 02_Inputs.</t>
        </is>
      </c>
    </row>
    <row r="572">
      <c r="A572" s="3" t="inlineStr">
        <is>
          <t>Grid-Constrained / Efficiency-Upside|Meta|2029|Meta Sarpy</t>
        </is>
      </c>
      <c r="B572" s="3" t="inlineStr">
        <is>
          <t>Grid-Constrained / Efficiency-Upside</t>
        </is>
      </c>
      <c r="C572" s="3" t="inlineStr">
        <is>
          <t>Meta</t>
        </is>
      </c>
      <c r="D572" s="3" t="n">
        <v>2029</v>
      </c>
      <c r="E572" s="3" t="inlineStr">
        <is>
          <t>Meta Sarpy</t>
        </is>
      </c>
      <c r="F572" s="3" t="inlineStr">
        <is>
          <t>Meta</t>
        </is>
      </c>
      <c r="G572" s="3" t="inlineStr">
        <is>
          <t>United States</t>
        </is>
      </c>
      <c r="H572" s="25" t="n">
        <v>80</v>
      </c>
      <c r="I572" s="17" t="n">
        <v>1</v>
      </c>
      <c r="J572" s="17" t="n">
        <v>0.765</v>
      </c>
      <c r="K572" s="26" t="n">
        <v>0.235</v>
      </c>
      <c r="L572" s="3" t="inlineStr">
        <is>
          <t>2026-08-02</t>
        </is>
      </c>
      <c r="M572" s="27" t="n">
        <v>0</v>
      </c>
      <c r="N572" s="27" t="n">
        <v>80</v>
      </c>
      <c r="O572" s="3" t="inlineStr">
        <is>
          <t>confident</t>
        </is>
      </c>
      <c r="P572" s="3" t="inlineStr">
        <is>
          <t>B300</t>
        </is>
      </c>
      <c r="Q572" s="3" t="inlineStr">
        <is>
          <t>epoch_user_site_equal_split_seed</t>
        </is>
      </c>
      <c r="R572" s="3" t="inlineStr">
        <is>
          <t>SRC_EPOCH_AI_DATA_CENTERS; EPOCH_NORMALIZED_USER_SITES</t>
        </is>
      </c>
      <c r="S572" s="3" t="inlineStr">
        <is>
          <t>Capacity weight is used only to weight accelerator mix, not to overwrite company total power in 02_Inputs.</t>
        </is>
      </c>
    </row>
    <row r="573">
      <c r="A573" s="3" t="inlineStr">
        <is>
          <t>Grid-Constrained / Efficiency-Upside|Meta|2030|Meta Sarpy</t>
        </is>
      </c>
      <c r="B573" s="3" t="inlineStr">
        <is>
          <t>Grid-Constrained / Efficiency-Upside</t>
        </is>
      </c>
      <c r="C573" s="3" t="inlineStr">
        <is>
          <t>Meta</t>
        </is>
      </c>
      <c r="D573" s="3" t="n">
        <v>2030</v>
      </c>
      <c r="E573" s="3" t="inlineStr">
        <is>
          <t>Meta Sarpy</t>
        </is>
      </c>
      <c r="F573" s="3" t="inlineStr">
        <is>
          <t>Meta</t>
        </is>
      </c>
      <c r="G573" s="3" t="inlineStr">
        <is>
          <t>United States</t>
        </is>
      </c>
      <c r="H573" s="25" t="n">
        <v>80</v>
      </c>
      <c r="I573" s="17" t="n">
        <v>1</v>
      </c>
      <c r="J573" s="17" t="n">
        <v>0.82</v>
      </c>
      <c r="K573" s="26" t="n">
        <v>0.18</v>
      </c>
      <c r="L573" s="3" t="inlineStr">
        <is>
          <t>2026-08-02</t>
        </is>
      </c>
      <c r="M573" s="27" t="n">
        <v>0</v>
      </c>
      <c r="N573" s="27" t="n">
        <v>80</v>
      </c>
      <c r="O573" s="3" t="inlineStr">
        <is>
          <t>confident</t>
        </is>
      </c>
      <c r="P573" s="3" t="inlineStr">
        <is>
          <t>B300</t>
        </is>
      </c>
      <c r="Q573" s="3" t="inlineStr">
        <is>
          <t>epoch_user_site_equal_split_seed</t>
        </is>
      </c>
      <c r="R573" s="3" t="inlineStr">
        <is>
          <t>SRC_EPOCH_AI_DATA_CENTERS; EPOCH_NORMALIZED_USER_SITES</t>
        </is>
      </c>
      <c r="S573" s="3" t="inlineStr">
        <is>
          <t>Capacity weight is used only to weight accelerator mix, not to overwrite company total power in 02_Inputs.</t>
        </is>
      </c>
    </row>
    <row r="574">
      <c r="A574" s="3" t="inlineStr">
        <is>
          <t>Bear|Meta|2026|Meta Temple</t>
        </is>
      </c>
      <c r="B574" s="3" t="inlineStr">
        <is>
          <t>Bear</t>
        </is>
      </c>
      <c r="C574" s="3" t="inlineStr">
        <is>
          <t>Meta</t>
        </is>
      </c>
      <c r="D574" s="3" t="n">
        <v>2026</v>
      </c>
      <c r="E574" s="3" t="inlineStr">
        <is>
          <t>Meta Temple</t>
        </is>
      </c>
      <c r="F574" s="3" t="inlineStr">
        <is>
          <t>Meta</t>
        </is>
      </c>
      <c r="G574" s="3" t="inlineStr">
        <is>
          <t>United States</t>
        </is>
      </c>
      <c r="H574" s="25" t="n">
        <v>178</v>
      </c>
      <c r="I574" s="17" t="n">
        <v>1</v>
      </c>
      <c r="J574" s="17" t="n">
        <v>0.5</v>
      </c>
      <c r="K574" s="26" t="n">
        <v>0.5</v>
      </c>
      <c r="L574" s="3" t="inlineStr">
        <is>
          <t>2026-09-30</t>
        </is>
      </c>
      <c r="M574" s="27" t="n">
        <v>152</v>
      </c>
      <c r="N574" s="27" t="n">
        <v>178</v>
      </c>
      <c r="O574" s="3" t="inlineStr">
        <is>
          <t>confident</t>
        </is>
      </c>
      <c r="P574" s="3" t="inlineStr">
        <is>
          <t>B300</t>
        </is>
      </c>
      <c r="Q574" s="3" t="inlineStr">
        <is>
          <t>epoch_user_site_equal_split_seed</t>
        </is>
      </c>
      <c r="R574" s="3" t="inlineStr">
        <is>
          <t>SRC_EPOCH_AI_DATA_CENTERS; EPOCH_NORMALIZED_USER_SITES</t>
        </is>
      </c>
      <c r="S574" s="3" t="inlineStr">
        <is>
          <t>Capacity weight is used only to weight accelerator mix, not to overwrite company total power in 02_Inputs.</t>
        </is>
      </c>
    </row>
    <row r="575">
      <c r="A575" s="3" t="inlineStr">
        <is>
          <t>Bear|Meta|2027|Meta Temple</t>
        </is>
      </c>
      <c r="B575" s="3" t="inlineStr">
        <is>
          <t>Bear</t>
        </is>
      </c>
      <c r="C575" s="3" t="inlineStr">
        <is>
          <t>Meta</t>
        </is>
      </c>
      <c r="D575" s="3" t="n">
        <v>2027</v>
      </c>
      <c r="E575" s="3" t="inlineStr">
        <is>
          <t>Meta Temple</t>
        </is>
      </c>
      <c r="F575" s="3" t="inlineStr">
        <is>
          <t>Meta</t>
        </is>
      </c>
      <c r="G575" s="3" t="inlineStr">
        <is>
          <t>United States</t>
        </is>
      </c>
      <c r="H575" s="25" t="n">
        <v>178</v>
      </c>
      <c r="I575" s="17" t="n">
        <v>1</v>
      </c>
      <c r="J575" s="17" t="n">
        <v>0.545</v>
      </c>
      <c r="K575" s="26" t="n">
        <v>0.455</v>
      </c>
      <c r="L575" s="3" t="inlineStr">
        <is>
          <t>2026-09-30</t>
        </is>
      </c>
      <c r="M575" s="27" t="n">
        <v>152</v>
      </c>
      <c r="N575" s="27" t="n">
        <v>178</v>
      </c>
      <c r="O575" s="3" t="inlineStr">
        <is>
          <t>confident</t>
        </is>
      </c>
      <c r="P575" s="3" t="inlineStr">
        <is>
          <t>B300</t>
        </is>
      </c>
      <c r="Q575" s="3" t="inlineStr">
        <is>
          <t>epoch_user_site_equal_split_seed</t>
        </is>
      </c>
      <c r="R575" s="3" t="inlineStr">
        <is>
          <t>SRC_EPOCH_AI_DATA_CENTERS; EPOCH_NORMALIZED_USER_SITES</t>
        </is>
      </c>
      <c r="S575" s="3" t="inlineStr">
        <is>
          <t>Capacity weight is used only to weight accelerator mix, not to overwrite company total power in 02_Inputs.</t>
        </is>
      </c>
    </row>
    <row r="576">
      <c r="A576" s="3" t="inlineStr">
        <is>
          <t>Bear|Meta|2028|Meta Temple</t>
        </is>
      </c>
      <c r="B576" s="3" t="inlineStr">
        <is>
          <t>Bear</t>
        </is>
      </c>
      <c r="C576" s="3" t="inlineStr">
        <is>
          <t>Meta</t>
        </is>
      </c>
      <c r="D576" s="3" t="n">
        <v>2028</v>
      </c>
      <c r="E576" s="3" t="inlineStr">
        <is>
          <t>Meta Temple</t>
        </is>
      </c>
      <c r="F576" s="3" t="inlineStr">
        <is>
          <t>Meta</t>
        </is>
      </c>
      <c r="G576" s="3" t="inlineStr">
        <is>
          <t>United States</t>
        </is>
      </c>
      <c r="H576" s="25" t="n">
        <v>178</v>
      </c>
      <c r="I576" s="17" t="n">
        <v>1</v>
      </c>
      <c r="J576" s="17" t="n">
        <v>0.59</v>
      </c>
      <c r="K576" s="26" t="n">
        <v>0.41</v>
      </c>
      <c r="L576" s="3" t="inlineStr">
        <is>
          <t>2026-09-30</t>
        </is>
      </c>
      <c r="M576" s="27" t="n">
        <v>152</v>
      </c>
      <c r="N576" s="27" t="n">
        <v>178</v>
      </c>
      <c r="O576" s="3" t="inlineStr">
        <is>
          <t>confident</t>
        </is>
      </c>
      <c r="P576" s="3" t="inlineStr">
        <is>
          <t>B300</t>
        </is>
      </c>
      <c r="Q576" s="3" t="inlineStr">
        <is>
          <t>epoch_user_site_equal_split_seed</t>
        </is>
      </c>
      <c r="R576" s="3" t="inlineStr">
        <is>
          <t>SRC_EPOCH_AI_DATA_CENTERS; EPOCH_NORMALIZED_USER_SITES</t>
        </is>
      </c>
      <c r="S576" s="3" t="inlineStr">
        <is>
          <t>Capacity weight is used only to weight accelerator mix, not to overwrite company total power in 02_Inputs.</t>
        </is>
      </c>
    </row>
    <row r="577">
      <c r="A577" s="3" t="inlineStr">
        <is>
          <t>Bear|Meta|2029|Meta Temple</t>
        </is>
      </c>
      <c r="B577" s="3" t="inlineStr">
        <is>
          <t>Bear</t>
        </is>
      </c>
      <c r="C577" s="3" t="inlineStr">
        <is>
          <t>Meta</t>
        </is>
      </c>
      <c r="D577" s="3" t="n">
        <v>2029</v>
      </c>
      <c r="E577" s="3" t="inlineStr">
        <is>
          <t>Meta Temple</t>
        </is>
      </c>
      <c r="F577" s="3" t="inlineStr">
        <is>
          <t>Meta</t>
        </is>
      </c>
      <c r="G577" s="3" t="inlineStr">
        <is>
          <t>United States</t>
        </is>
      </c>
      <c r="H577" s="25" t="n">
        <v>178</v>
      </c>
      <c r="I577" s="17" t="n">
        <v>1</v>
      </c>
      <c r="J577" s="17" t="n">
        <v>0.635</v>
      </c>
      <c r="K577" s="26" t="n">
        <v>0.365</v>
      </c>
      <c r="L577" s="3" t="inlineStr">
        <is>
          <t>2026-09-30</t>
        </is>
      </c>
      <c r="M577" s="27" t="n">
        <v>152</v>
      </c>
      <c r="N577" s="27" t="n">
        <v>178</v>
      </c>
      <c r="O577" s="3" t="inlineStr">
        <is>
          <t>confident</t>
        </is>
      </c>
      <c r="P577" s="3" t="inlineStr">
        <is>
          <t>B300</t>
        </is>
      </c>
      <c r="Q577" s="3" t="inlineStr">
        <is>
          <t>epoch_user_site_equal_split_seed</t>
        </is>
      </c>
      <c r="R577" s="3" t="inlineStr">
        <is>
          <t>SRC_EPOCH_AI_DATA_CENTERS; EPOCH_NORMALIZED_USER_SITES</t>
        </is>
      </c>
      <c r="S577" s="3" t="inlineStr">
        <is>
          <t>Capacity weight is used only to weight accelerator mix, not to overwrite company total power in 02_Inputs.</t>
        </is>
      </c>
    </row>
    <row r="578">
      <c r="A578" s="3" t="inlineStr">
        <is>
          <t>Bear|Meta|2030|Meta Temple</t>
        </is>
      </c>
      <c r="B578" s="3" t="inlineStr">
        <is>
          <t>Bear</t>
        </is>
      </c>
      <c r="C578" s="3" t="inlineStr">
        <is>
          <t>Meta</t>
        </is>
      </c>
      <c r="D578" s="3" t="n">
        <v>2030</v>
      </c>
      <c r="E578" s="3" t="inlineStr">
        <is>
          <t>Meta Temple</t>
        </is>
      </c>
      <c r="F578" s="3" t="inlineStr">
        <is>
          <t>Meta</t>
        </is>
      </c>
      <c r="G578" s="3" t="inlineStr">
        <is>
          <t>United States</t>
        </is>
      </c>
      <c r="H578" s="25" t="n">
        <v>178</v>
      </c>
      <c r="I578" s="17" t="n">
        <v>1</v>
      </c>
      <c r="J578" s="17" t="n">
        <v>0.68</v>
      </c>
      <c r="K578" s="26" t="n">
        <v>0.32</v>
      </c>
      <c r="L578" s="3" t="inlineStr">
        <is>
          <t>2026-09-30</t>
        </is>
      </c>
      <c r="M578" s="27" t="n">
        <v>152</v>
      </c>
      <c r="N578" s="27" t="n">
        <v>178</v>
      </c>
      <c r="O578" s="3" t="inlineStr">
        <is>
          <t>confident</t>
        </is>
      </c>
      <c r="P578" s="3" t="inlineStr">
        <is>
          <t>B300</t>
        </is>
      </c>
      <c r="Q578" s="3" t="inlineStr">
        <is>
          <t>epoch_user_site_equal_split_seed</t>
        </is>
      </c>
      <c r="R578" s="3" t="inlineStr">
        <is>
          <t>SRC_EPOCH_AI_DATA_CENTERS; EPOCH_NORMALIZED_USER_SITES</t>
        </is>
      </c>
      <c r="S578" s="3" t="inlineStr">
        <is>
          <t>Capacity weight is used only to weight accelerator mix, not to overwrite company total power in 02_Inputs.</t>
        </is>
      </c>
    </row>
    <row r="579">
      <c r="A579" s="3" t="inlineStr">
        <is>
          <t>Base|Meta|2026|Meta Temple</t>
        </is>
      </c>
      <c r="B579" s="3" t="inlineStr">
        <is>
          <t>Base</t>
        </is>
      </c>
      <c r="C579" s="3" t="inlineStr">
        <is>
          <t>Meta</t>
        </is>
      </c>
      <c r="D579" s="3" t="n">
        <v>2026</v>
      </c>
      <c r="E579" s="3" t="inlineStr">
        <is>
          <t>Meta Temple</t>
        </is>
      </c>
      <c r="F579" s="3" t="inlineStr">
        <is>
          <t>Meta</t>
        </is>
      </c>
      <c r="G579" s="3" t="inlineStr">
        <is>
          <t>United States</t>
        </is>
      </c>
      <c r="H579" s="25" t="n">
        <v>178</v>
      </c>
      <c r="I579" s="17" t="n">
        <v>1</v>
      </c>
      <c r="J579" s="17" t="n">
        <v>0.58</v>
      </c>
      <c r="K579" s="26" t="n">
        <v>0.42</v>
      </c>
      <c r="L579" s="3" t="inlineStr">
        <is>
          <t>2026-09-30</t>
        </is>
      </c>
      <c r="M579" s="27" t="n">
        <v>152</v>
      </c>
      <c r="N579" s="27" t="n">
        <v>178</v>
      </c>
      <c r="O579" s="3" t="inlineStr">
        <is>
          <t>confident</t>
        </is>
      </c>
      <c r="P579" s="3" t="inlineStr">
        <is>
          <t>B300</t>
        </is>
      </c>
      <c r="Q579" s="3" t="inlineStr">
        <is>
          <t>epoch_user_site_equal_split_seed</t>
        </is>
      </c>
      <c r="R579" s="3" t="inlineStr">
        <is>
          <t>SRC_EPOCH_AI_DATA_CENTERS; EPOCH_NORMALIZED_USER_SITES</t>
        </is>
      </c>
      <c r="S579" s="3" t="inlineStr">
        <is>
          <t>Capacity weight is used only to weight accelerator mix, not to overwrite company total power in 02_Inputs.</t>
        </is>
      </c>
    </row>
    <row r="580">
      <c r="A580" s="3" t="inlineStr">
        <is>
          <t>Base|Meta|2027|Meta Temple</t>
        </is>
      </c>
      <c r="B580" s="3" t="inlineStr">
        <is>
          <t>Base</t>
        </is>
      </c>
      <c r="C580" s="3" t="inlineStr">
        <is>
          <t>Meta</t>
        </is>
      </c>
      <c r="D580" s="3" t="n">
        <v>2027</v>
      </c>
      <c r="E580" s="3" t="inlineStr">
        <is>
          <t>Meta Temple</t>
        </is>
      </c>
      <c r="F580" s="3" t="inlineStr">
        <is>
          <t>Meta</t>
        </is>
      </c>
      <c r="G580" s="3" t="inlineStr">
        <is>
          <t>United States</t>
        </is>
      </c>
      <c r="H580" s="25" t="n">
        <v>178</v>
      </c>
      <c r="I580" s="17" t="n">
        <v>1</v>
      </c>
      <c r="J580" s="17" t="n">
        <v>0.63</v>
      </c>
      <c r="K580" s="26" t="n">
        <v>0.37</v>
      </c>
      <c r="L580" s="3" t="inlineStr">
        <is>
          <t>2026-09-30</t>
        </is>
      </c>
      <c r="M580" s="27" t="n">
        <v>152</v>
      </c>
      <c r="N580" s="27" t="n">
        <v>178</v>
      </c>
      <c r="O580" s="3" t="inlineStr">
        <is>
          <t>confident</t>
        </is>
      </c>
      <c r="P580" s="3" t="inlineStr">
        <is>
          <t>B300</t>
        </is>
      </c>
      <c r="Q580" s="3" t="inlineStr">
        <is>
          <t>epoch_user_site_equal_split_seed</t>
        </is>
      </c>
      <c r="R580" s="3" t="inlineStr">
        <is>
          <t>SRC_EPOCH_AI_DATA_CENTERS; EPOCH_NORMALIZED_USER_SITES</t>
        </is>
      </c>
      <c r="S580" s="3" t="inlineStr">
        <is>
          <t>Capacity weight is used only to weight accelerator mix, not to overwrite company total power in 02_Inputs.</t>
        </is>
      </c>
    </row>
    <row r="581">
      <c r="A581" s="3" t="inlineStr">
        <is>
          <t>Base|Meta|2028|Meta Temple</t>
        </is>
      </c>
      <c r="B581" s="3" t="inlineStr">
        <is>
          <t>Base</t>
        </is>
      </c>
      <c r="C581" s="3" t="inlineStr">
        <is>
          <t>Meta</t>
        </is>
      </c>
      <c r="D581" s="3" t="n">
        <v>2028</v>
      </c>
      <c r="E581" s="3" t="inlineStr">
        <is>
          <t>Meta Temple</t>
        </is>
      </c>
      <c r="F581" s="3" t="inlineStr">
        <is>
          <t>Meta</t>
        </is>
      </c>
      <c r="G581" s="3" t="inlineStr">
        <is>
          <t>United States</t>
        </is>
      </c>
      <c r="H581" s="25" t="n">
        <v>178</v>
      </c>
      <c r="I581" s="17" t="n">
        <v>1</v>
      </c>
      <c r="J581" s="17" t="n">
        <v>0.68</v>
      </c>
      <c r="K581" s="26" t="n">
        <v>0.32</v>
      </c>
      <c r="L581" s="3" t="inlineStr">
        <is>
          <t>2026-09-30</t>
        </is>
      </c>
      <c r="M581" s="27" t="n">
        <v>152</v>
      </c>
      <c r="N581" s="27" t="n">
        <v>178</v>
      </c>
      <c r="O581" s="3" t="inlineStr">
        <is>
          <t>confident</t>
        </is>
      </c>
      <c r="P581" s="3" t="inlineStr">
        <is>
          <t>B300</t>
        </is>
      </c>
      <c r="Q581" s="3" t="inlineStr">
        <is>
          <t>epoch_user_site_equal_split_seed</t>
        </is>
      </c>
      <c r="R581" s="3" t="inlineStr">
        <is>
          <t>SRC_EPOCH_AI_DATA_CENTERS; EPOCH_NORMALIZED_USER_SITES</t>
        </is>
      </c>
      <c r="S581" s="3" t="inlineStr">
        <is>
          <t>Capacity weight is used only to weight accelerator mix, not to overwrite company total power in 02_Inputs.</t>
        </is>
      </c>
    </row>
    <row r="582">
      <c r="A582" s="3" t="inlineStr">
        <is>
          <t>Base|Meta|2029|Meta Temple</t>
        </is>
      </c>
      <c r="B582" s="3" t="inlineStr">
        <is>
          <t>Base</t>
        </is>
      </c>
      <c r="C582" s="3" t="inlineStr">
        <is>
          <t>Meta</t>
        </is>
      </c>
      <c r="D582" s="3" t="n">
        <v>2029</v>
      </c>
      <c r="E582" s="3" t="inlineStr">
        <is>
          <t>Meta Temple</t>
        </is>
      </c>
      <c r="F582" s="3" t="inlineStr">
        <is>
          <t>Meta</t>
        </is>
      </c>
      <c r="G582" s="3" t="inlineStr">
        <is>
          <t>United States</t>
        </is>
      </c>
      <c r="H582" s="25" t="n">
        <v>178</v>
      </c>
      <c r="I582" s="17" t="n">
        <v>1</v>
      </c>
      <c r="J582" s="17" t="n">
        <v>0.73</v>
      </c>
      <c r="K582" s="26" t="n">
        <v>0.27</v>
      </c>
      <c r="L582" s="3" t="inlineStr">
        <is>
          <t>2026-09-30</t>
        </is>
      </c>
      <c r="M582" s="27" t="n">
        <v>152</v>
      </c>
      <c r="N582" s="27" t="n">
        <v>178</v>
      </c>
      <c r="O582" s="3" t="inlineStr">
        <is>
          <t>confident</t>
        </is>
      </c>
      <c r="P582" s="3" t="inlineStr">
        <is>
          <t>B300</t>
        </is>
      </c>
      <c r="Q582" s="3" t="inlineStr">
        <is>
          <t>epoch_user_site_equal_split_seed</t>
        </is>
      </c>
      <c r="R582" s="3" t="inlineStr">
        <is>
          <t>SRC_EPOCH_AI_DATA_CENTERS; EPOCH_NORMALIZED_USER_SITES</t>
        </is>
      </c>
      <c r="S582" s="3" t="inlineStr">
        <is>
          <t>Capacity weight is used only to weight accelerator mix, not to overwrite company total power in 02_Inputs.</t>
        </is>
      </c>
    </row>
    <row r="583">
      <c r="A583" s="3" t="inlineStr">
        <is>
          <t>Base|Meta|2030|Meta Temple</t>
        </is>
      </c>
      <c r="B583" s="3" t="inlineStr">
        <is>
          <t>Base</t>
        </is>
      </c>
      <c r="C583" s="3" t="inlineStr">
        <is>
          <t>Meta</t>
        </is>
      </c>
      <c r="D583" s="3" t="n">
        <v>2030</v>
      </c>
      <c r="E583" s="3" t="inlineStr">
        <is>
          <t>Meta Temple</t>
        </is>
      </c>
      <c r="F583" s="3" t="inlineStr">
        <is>
          <t>Meta</t>
        </is>
      </c>
      <c r="G583" s="3" t="inlineStr">
        <is>
          <t>United States</t>
        </is>
      </c>
      <c r="H583" s="25" t="n">
        <v>178</v>
      </c>
      <c r="I583" s="17" t="n">
        <v>1</v>
      </c>
      <c r="J583" s="17" t="n">
        <v>0.78</v>
      </c>
      <c r="K583" s="26" t="n">
        <v>0.22</v>
      </c>
      <c r="L583" s="3" t="inlineStr">
        <is>
          <t>2026-09-30</t>
        </is>
      </c>
      <c r="M583" s="27" t="n">
        <v>152</v>
      </c>
      <c r="N583" s="27" t="n">
        <v>178</v>
      </c>
      <c r="O583" s="3" t="inlineStr">
        <is>
          <t>confident</t>
        </is>
      </c>
      <c r="P583" s="3" t="inlineStr">
        <is>
          <t>B300</t>
        </is>
      </c>
      <c r="Q583" s="3" t="inlineStr">
        <is>
          <t>epoch_user_site_equal_split_seed</t>
        </is>
      </c>
      <c r="R583" s="3" t="inlineStr">
        <is>
          <t>SRC_EPOCH_AI_DATA_CENTERS; EPOCH_NORMALIZED_USER_SITES</t>
        </is>
      </c>
      <c r="S583" s="3" t="inlineStr">
        <is>
          <t>Capacity weight is used only to weight accelerator mix, not to overwrite company total power in 02_Inputs.</t>
        </is>
      </c>
    </row>
    <row r="584">
      <c r="A584" s="3" t="inlineStr">
        <is>
          <t>Bull|Meta|2026|Meta Temple</t>
        </is>
      </c>
      <c r="B584" s="3" t="inlineStr">
        <is>
          <t>Bull</t>
        </is>
      </c>
      <c r="C584" s="3" t="inlineStr">
        <is>
          <t>Meta</t>
        </is>
      </c>
      <c r="D584" s="3" t="n">
        <v>2026</v>
      </c>
      <c r="E584" s="3" t="inlineStr">
        <is>
          <t>Meta Temple</t>
        </is>
      </c>
      <c r="F584" s="3" t="inlineStr">
        <is>
          <t>Meta</t>
        </is>
      </c>
      <c r="G584" s="3" t="inlineStr">
        <is>
          <t>United States</t>
        </is>
      </c>
      <c r="H584" s="25" t="n">
        <v>178</v>
      </c>
      <c r="I584" s="17" t="n">
        <v>1</v>
      </c>
      <c r="J584" s="17" t="n">
        <v>0.63</v>
      </c>
      <c r="K584" s="26" t="n">
        <v>0.37</v>
      </c>
      <c r="L584" s="3" t="inlineStr">
        <is>
          <t>2026-09-30</t>
        </is>
      </c>
      <c r="M584" s="27" t="n">
        <v>152</v>
      </c>
      <c r="N584" s="27" t="n">
        <v>178</v>
      </c>
      <c r="O584" s="3" t="inlineStr">
        <is>
          <t>confident</t>
        </is>
      </c>
      <c r="P584" s="3" t="inlineStr">
        <is>
          <t>B300</t>
        </is>
      </c>
      <c r="Q584" s="3" t="inlineStr">
        <is>
          <t>epoch_user_site_equal_split_seed</t>
        </is>
      </c>
      <c r="R584" s="3" t="inlineStr">
        <is>
          <t>SRC_EPOCH_AI_DATA_CENTERS; EPOCH_NORMALIZED_USER_SITES</t>
        </is>
      </c>
      <c r="S584" s="3" t="inlineStr">
        <is>
          <t>Capacity weight is used only to weight accelerator mix, not to overwrite company total power in 02_Inputs.</t>
        </is>
      </c>
    </row>
    <row r="585">
      <c r="A585" s="3" t="inlineStr">
        <is>
          <t>Bull|Meta|2027|Meta Temple</t>
        </is>
      </c>
      <c r="B585" s="3" t="inlineStr">
        <is>
          <t>Bull</t>
        </is>
      </c>
      <c r="C585" s="3" t="inlineStr">
        <is>
          <t>Meta</t>
        </is>
      </c>
      <c r="D585" s="3" t="n">
        <v>2027</v>
      </c>
      <c r="E585" s="3" t="inlineStr">
        <is>
          <t>Meta Temple</t>
        </is>
      </c>
      <c r="F585" s="3" t="inlineStr">
        <is>
          <t>Meta</t>
        </is>
      </c>
      <c r="G585" s="3" t="inlineStr">
        <is>
          <t>United States</t>
        </is>
      </c>
      <c r="H585" s="25" t="n">
        <v>178</v>
      </c>
      <c r="I585" s="17" t="n">
        <v>1</v>
      </c>
      <c r="J585" s="17" t="n">
        <v>0.6879999999999999</v>
      </c>
      <c r="K585" s="26" t="n">
        <v>0.312</v>
      </c>
      <c r="L585" s="3" t="inlineStr">
        <is>
          <t>2026-09-30</t>
        </is>
      </c>
      <c r="M585" s="27" t="n">
        <v>152</v>
      </c>
      <c r="N585" s="27" t="n">
        <v>178</v>
      </c>
      <c r="O585" s="3" t="inlineStr">
        <is>
          <t>confident</t>
        </is>
      </c>
      <c r="P585" s="3" t="inlineStr">
        <is>
          <t>B300</t>
        </is>
      </c>
      <c r="Q585" s="3" t="inlineStr">
        <is>
          <t>epoch_user_site_equal_split_seed</t>
        </is>
      </c>
      <c r="R585" s="3" t="inlineStr">
        <is>
          <t>SRC_EPOCH_AI_DATA_CENTERS; EPOCH_NORMALIZED_USER_SITES</t>
        </is>
      </c>
      <c r="S585" s="3" t="inlineStr">
        <is>
          <t>Capacity weight is used only to weight accelerator mix, not to overwrite company total power in 02_Inputs.</t>
        </is>
      </c>
    </row>
    <row r="586">
      <c r="A586" s="3" t="inlineStr">
        <is>
          <t>Bull|Meta|2028|Meta Temple</t>
        </is>
      </c>
      <c r="B586" s="3" t="inlineStr">
        <is>
          <t>Bull</t>
        </is>
      </c>
      <c r="C586" s="3" t="inlineStr">
        <is>
          <t>Meta</t>
        </is>
      </c>
      <c r="D586" s="3" t="n">
        <v>2028</v>
      </c>
      <c r="E586" s="3" t="inlineStr">
        <is>
          <t>Meta Temple</t>
        </is>
      </c>
      <c r="F586" s="3" t="inlineStr">
        <is>
          <t>Meta</t>
        </is>
      </c>
      <c r="G586" s="3" t="inlineStr">
        <is>
          <t>United States</t>
        </is>
      </c>
      <c r="H586" s="25" t="n">
        <v>178</v>
      </c>
      <c r="I586" s="17" t="n">
        <v>1</v>
      </c>
      <c r="J586" s="17" t="n">
        <v>0.745</v>
      </c>
      <c r="K586" s="26" t="n">
        <v>0.255</v>
      </c>
      <c r="L586" s="3" t="inlineStr">
        <is>
          <t>2026-09-30</t>
        </is>
      </c>
      <c r="M586" s="27" t="n">
        <v>152</v>
      </c>
      <c r="N586" s="27" t="n">
        <v>178</v>
      </c>
      <c r="O586" s="3" t="inlineStr">
        <is>
          <t>confident</t>
        </is>
      </c>
      <c r="P586" s="3" t="inlineStr">
        <is>
          <t>B300</t>
        </is>
      </c>
      <c r="Q586" s="3" t="inlineStr">
        <is>
          <t>epoch_user_site_equal_split_seed</t>
        </is>
      </c>
      <c r="R586" s="3" t="inlineStr">
        <is>
          <t>SRC_EPOCH_AI_DATA_CENTERS; EPOCH_NORMALIZED_USER_SITES</t>
        </is>
      </c>
      <c r="S586" s="3" t="inlineStr">
        <is>
          <t>Capacity weight is used only to weight accelerator mix, not to overwrite company total power in 02_Inputs.</t>
        </is>
      </c>
    </row>
    <row r="587">
      <c r="A587" s="3" t="inlineStr">
        <is>
          <t>Bull|Meta|2029|Meta Temple</t>
        </is>
      </c>
      <c r="B587" s="3" t="inlineStr">
        <is>
          <t>Bull</t>
        </is>
      </c>
      <c r="C587" s="3" t="inlineStr">
        <is>
          <t>Meta</t>
        </is>
      </c>
      <c r="D587" s="3" t="n">
        <v>2029</v>
      </c>
      <c r="E587" s="3" t="inlineStr">
        <is>
          <t>Meta Temple</t>
        </is>
      </c>
      <c r="F587" s="3" t="inlineStr">
        <is>
          <t>Meta</t>
        </is>
      </c>
      <c r="G587" s="3" t="inlineStr">
        <is>
          <t>United States</t>
        </is>
      </c>
      <c r="H587" s="25" t="n">
        <v>178</v>
      </c>
      <c r="I587" s="17" t="n">
        <v>1</v>
      </c>
      <c r="J587" s="17" t="n">
        <v>0.802</v>
      </c>
      <c r="K587" s="26" t="n">
        <v>0.198</v>
      </c>
      <c r="L587" s="3" t="inlineStr">
        <is>
          <t>2026-09-30</t>
        </is>
      </c>
      <c r="M587" s="27" t="n">
        <v>152</v>
      </c>
      <c r="N587" s="27" t="n">
        <v>178</v>
      </c>
      <c r="O587" s="3" t="inlineStr">
        <is>
          <t>confident</t>
        </is>
      </c>
      <c r="P587" s="3" t="inlineStr">
        <is>
          <t>B300</t>
        </is>
      </c>
      <c r="Q587" s="3" t="inlineStr">
        <is>
          <t>epoch_user_site_equal_split_seed</t>
        </is>
      </c>
      <c r="R587" s="3" t="inlineStr">
        <is>
          <t>SRC_EPOCH_AI_DATA_CENTERS; EPOCH_NORMALIZED_USER_SITES</t>
        </is>
      </c>
      <c r="S587" s="3" t="inlineStr">
        <is>
          <t>Capacity weight is used only to weight accelerator mix, not to overwrite company total power in 02_Inputs.</t>
        </is>
      </c>
    </row>
    <row r="588">
      <c r="A588" s="3" t="inlineStr">
        <is>
          <t>Bull|Meta|2030|Meta Temple</t>
        </is>
      </c>
      <c r="B588" s="3" t="inlineStr">
        <is>
          <t>Bull</t>
        </is>
      </c>
      <c r="C588" s="3" t="inlineStr">
        <is>
          <t>Meta</t>
        </is>
      </c>
      <c r="D588" s="3" t="n">
        <v>2030</v>
      </c>
      <c r="E588" s="3" t="inlineStr">
        <is>
          <t>Meta Temple</t>
        </is>
      </c>
      <c r="F588" s="3" t="inlineStr">
        <is>
          <t>Meta</t>
        </is>
      </c>
      <c r="G588" s="3" t="inlineStr">
        <is>
          <t>United States</t>
        </is>
      </c>
      <c r="H588" s="25" t="n">
        <v>178</v>
      </c>
      <c r="I588" s="17" t="n">
        <v>1</v>
      </c>
      <c r="J588" s="17" t="n">
        <v>0.86</v>
      </c>
      <c r="K588" s="26" t="n">
        <v>0.14</v>
      </c>
      <c r="L588" s="3" t="inlineStr">
        <is>
          <t>2026-09-30</t>
        </is>
      </c>
      <c r="M588" s="27" t="n">
        <v>152</v>
      </c>
      <c r="N588" s="27" t="n">
        <v>178</v>
      </c>
      <c r="O588" s="3" t="inlineStr">
        <is>
          <t>confident</t>
        </is>
      </c>
      <c r="P588" s="3" t="inlineStr">
        <is>
          <t>B300</t>
        </is>
      </c>
      <c r="Q588" s="3" t="inlineStr">
        <is>
          <t>epoch_user_site_equal_split_seed</t>
        </is>
      </c>
      <c r="R588" s="3" t="inlineStr">
        <is>
          <t>SRC_EPOCH_AI_DATA_CENTERS; EPOCH_NORMALIZED_USER_SITES</t>
        </is>
      </c>
      <c r="S588" s="3" t="inlineStr">
        <is>
          <t>Capacity weight is used only to weight accelerator mix, not to overwrite company total power in 02_Inputs.</t>
        </is>
      </c>
    </row>
    <row r="589">
      <c r="A589" s="3" t="inlineStr">
        <is>
          <t>Grid-Constrained / Efficiency-Upside|Meta|2026|Meta Temple</t>
        </is>
      </c>
      <c r="B589" s="3" t="inlineStr">
        <is>
          <t>Grid-Constrained / Efficiency-Upside</t>
        </is>
      </c>
      <c r="C589" s="3" t="inlineStr">
        <is>
          <t>Meta</t>
        </is>
      </c>
      <c r="D589" s="3" t="n">
        <v>2026</v>
      </c>
      <c r="E589" s="3" t="inlineStr">
        <is>
          <t>Meta Temple</t>
        </is>
      </c>
      <c r="F589" s="3" t="inlineStr">
        <is>
          <t>Meta</t>
        </is>
      </c>
      <c r="G589" s="3" t="inlineStr">
        <is>
          <t>United States</t>
        </is>
      </c>
      <c r="H589" s="25" t="n">
        <v>178</v>
      </c>
      <c r="I589" s="17" t="n">
        <v>1</v>
      </c>
      <c r="J589" s="17" t="n">
        <v>0.6</v>
      </c>
      <c r="K589" s="26" t="n">
        <v>0.4</v>
      </c>
      <c r="L589" s="3" t="inlineStr">
        <is>
          <t>2026-09-30</t>
        </is>
      </c>
      <c r="M589" s="27" t="n">
        <v>152</v>
      </c>
      <c r="N589" s="27" t="n">
        <v>178</v>
      </c>
      <c r="O589" s="3" t="inlineStr">
        <is>
          <t>confident</t>
        </is>
      </c>
      <c r="P589" s="3" t="inlineStr">
        <is>
          <t>B300</t>
        </is>
      </c>
      <c r="Q589" s="3" t="inlineStr">
        <is>
          <t>epoch_user_site_equal_split_seed</t>
        </is>
      </c>
      <c r="R589" s="3" t="inlineStr">
        <is>
          <t>SRC_EPOCH_AI_DATA_CENTERS; EPOCH_NORMALIZED_USER_SITES</t>
        </is>
      </c>
      <c r="S589" s="3" t="inlineStr">
        <is>
          <t>Capacity weight is used only to weight accelerator mix, not to overwrite company total power in 02_Inputs.</t>
        </is>
      </c>
    </row>
    <row r="590">
      <c r="A590" s="3" t="inlineStr">
        <is>
          <t>Grid-Constrained / Efficiency-Upside|Meta|2027|Meta Temple</t>
        </is>
      </c>
      <c r="B590" s="3" t="inlineStr">
        <is>
          <t>Grid-Constrained / Efficiency-Upside</t>
        </is>
      </c>
      <c r="C590" s="3" t="inlineStr">
        <is>
          <t>Meta</t>
        </is>
      </c>
      <c r="D590" s="3" t="n">
        <v>2027</v>
      </c>
      <c r="E590" s="3" t="inlineStr">
        <is>
          <t>Meta Temple</t>
        </is>
      </c>
      <c r="F590" s="3" t="inlineStr">
        <is>
          <t>Meta</t>
        </is>
      </c>
      <c r="G590" s="3" t="inlineStr">
        <is>
          <t>United States</t>
        </is>
      </c>
      <c r="H590" s="25" t="n">
        <v>178</v>
      </c>
      <c r="I590" s="17" t="n">
        <v>1</v>
      </c>
      <c r="J590" s="17" t="n">
        <v>0.655</v>
      </c>
      <c r="K590" s="26" t="n">
        <v>0.345</v>
      </c>
      <c r="L590" s="3" t="inlineStr">
        <is>
          <t>2026-09-30</t>
        </is>
      </c>
      <c r="M590" s="27" t="n">
        <v>152</v>
      </c>
      <c r="N590" s="27" t="n">
        <v>178</v>
      </c>
      <c r="O590" s="3" t="inlineStr">
        <is>
          <t>confident</t>
        </is>
      </c>
      <c r="P590" s="3" t="inlineStr">
        <is>
          <t>B300</t>
        </is>
      </c>
      <c r="Q590" s="3" t="inlineStr">
        <is>
          <t>epoch_user_site_equal_split_seed</t>
        </is>
      </c>
      <c r="R590" s="3" t="inlineStr">
        <is>
          <t>SRC_EPOCH_AI_DATA_CENTERS; EPOCH_NORMALIZED_USER_SITES</t>
        </is>
      </c>
      <c r="S590" s="3" t="inlineStr">
        <is>
          <t>Capacity weight is used only to weight accelerator mix, not to overwrite company total power in 02_Inputs.</t>
        </is>
      </c>
    </row>
    <row r="591">
      <c r="A591" s="3" t="inlineStr">
        <is>
          <t>Grid-Constrained / Efficiency-Upside|Meta|2028|Meta Temple</t>
        </is>
      </c>
      <c r="B591" s="3" t="inlineStr">
        <is>
          <t>Grid-Constrained / Efficiency-Upside</t>
        </is>
      </c>
      <c r="C591" s="3" t="inlineStr">
        <is>
          <t>Meta</t>
        </is>
      </c>
      <c r="D591" s="3" t="n">
        <v>2028</v>
      </c>
      <c r="E591" s="3" t="inlineStr">
        <is>
          <t>Meta Temple</t>
        </is>
      </c>
      <c r="F591" s="3" t="inlineStr">
        <is>
          <t>Meta</t>
        </is>
      </c>
      <c r="G591" s="3" t="inlineStr">
        <is>
          <t>United States</t>
        </is>
      </c>
      <c r="H591" s="25" t="n">
        <v>178</v>
      </c>
      <c r="I591" s="17" t="n">
        <v>1</v>
      </c>
      <c r="J591" s="17" t="n">
        <v>0.71</v>
      </c>
      <c r="K591" s="26" t="n">
        <v>0.29</v>
      </c>
      <c r="L591" s="3" t="inlineStr">
        <is>
          <t>2026-09-30</t>
        </is>
      </c>
      <c r="M591" s="27" t="n">
        <v>152</v>
      </c>
      <c r="N591" s="27" t="n">
        <v>178</v>
      </c>
      <c r="O591" s="3" t="inlineStr">
        <is>
          <t>confident</t>
        </is>
      </c>
      <c r="P591" s="3" t="inlineStr">
        <is>
          <t>B300</t>
        </is>
      </c>
      <c r="Q591" s="3" t="inlineStr">
        <is>
          <t>epoch_user_site_equal_split_seed</t>
        </is>
      </c>
      <c r="R591" s="3" t="inlineStr">
        <is>
          <t>SRC_EPOCH_AI_DATA_CENTERS; EPOCH_NORMALIZED_USER_SITES</t>
        </is>
      </c>
      <c r="S591" s="3" t="inlineStr">
        <is>
          <t>Capacity weight is used only to weight accelerator mix, not to overwrite company total power in 02_Inputs.</t>
        </is>
      </c>
    </row>
    <row r="592">
      <c r="A592" s="3" t="inlineStr">
        <is>
          <t>Grid-Constrained / Efficiency-Upside|Meta|2029|Meta Temple</t>
        </is>
      </c>
      <c r="B592" s="3" t="inlineStr">
        <is>
          <t>Grid-Constrained / Efficiency-Upside</t>
        </is>
      </c>
      <c r="C592" s="3" t="inlineStr">
        <is>
          <t>Meta</t>
        </is>
      </c>
      <c r="D592" s="3" t="n">
        <v>2029</v>
      </c>
      <c r="E592" s="3" t="inlineStr">
        <is>
          <t>Meta Temple</t>
        </is>
      </c>
      <c r="F592" s="3" t="inlineStr">
        <is>
          <t>Meta</t>
        </is>
      </c>
      <c r="G592" s="3" t="inlineStr">
        <is>
          <t>United States</t>
        </is>
      </c>
      <c r="H592" s="25" t="n">
        <v>178</v>
      </c>
      <c r="I592" s="17" t="n">
        <v>1</v>
      </c>
      <c r="J592" s="17" t="n">
        <v>0.765</v>
      </c>
      <c r="K592" s="26" t="n">
        <v>0.235</v>
      </c>
      <c r="L592" s="3" t="inlineStr">
        <is>
          <t>2026-09-30</t>
        </is>
      </c>
      <c r="M592" s="27" t="n">
        <v>152</v>
      </c>
      <c r="N592" s="27" t="n">
        <v>178</v>
      </c>
      <c r="O592" s="3" t="inlineStr">
        <is>
          <t>confident</t>
        </is>
      </c>
      <c r="P592" s="3" t="inlineStr">
        <is>
          <t>B300</t>
        </is>
      </c>
      <c r="Q592" s="3" t="inlineStr">
        <is>
          <t>epoch_user_site_equal_split_seed</t>
        </is>
      </c>
      <c r="R592" s="3" t="inlineStr">
        <is>
          <t>SRC_EPOCH_AI_DATA_CENTERS; EPOCH_NORMALIZED_USER_SITES</t>
        </is>
      </c>
      <c r="S592" s="3" t="inlineStr">
        <is>
          <t>Capacity weight is used only to weight accelerator mix, not to overwrite company total power in 02_Inputs.</t>
        </is>
      </c>
    </row>
    <row r="593">
      <c r="A593" s="3" t="inlineStr">
        <is>
          <t>Grid-Constrained / Efficiency-Upside|Meta|2030|Meta Temple</t>
        </is>
      </c>
      <c r="B593" s="3" t="inlineStr">
        <is>
          <t>Grid-Constrained / Efficiency-Upside</t>
        </is>
      </c>
      <c r="C593" s="3" t="inlineStr">
        <is>
          <t>Meta</t>
        </is>
      </c>
      <c r="D593" s="3" t="n">
        <v>2030</v>
      </c>
      <c r="E593" s="3" t="inlineStr">
        <is>
          <t>Meta Temple</t>
        </is>
      </c>
      <c r="F593" s="3" t="inlineStr">
        <is>
          <t>Meta</t>
        </is>
      </c>
      <c r="G593" s="3" t="inlineStr">
        <is>
          <t>United States</t>
        </is>
      </c>
      <c r="H593" s="25" t="n">
        <v>178</v>
      </c>
      <c r="I593" s="17" t="n">
        <v>1</v>
      </c>
      <c r="J593" s="17" t="n">
        <v>0.82</v>
      </c>
      <c r="K593" s="26" t="n">
        <v>0.18</v>
      </c>
      <c r="L593" s="3" t="inlineStr">
        <is>
          <t>2026-09-30</t>
        </is>
      </c>
      <c r="M593" s="27" t="n">
        <v>152</v>
      </c>
      <c r="N593" s="27" t="n">
        <v>178</v>
      </c>
      <c r="O593" s="3" t="inlineStr">
        <is>
          <t>confident</t>
        </is>
      </c>
      <c r="P593" s="3" t="inlineStr">
        <is>
          <t>B300</t>
        </is>
      </c>
      <c r="Q593" s="3" t="inlineStr">
        <is>
          <t>epoch_user_site_equal_split_seed</t>
        </is>
      </c>
      <c r="R593" s="3" t="inlineStr">
        <is>
          <t>SRC_EPOCH_AI_DATA_CENTERS; EPOCH_NORMALIZED_USER_SITES</t>
        </is>
      </c>
      <c r="S593" s="3" t="inlineStr">
        <is>
          <t>Capacity weight is used only to weight accelerator mix, not to overwrite company total power in 02_Inputs.</t>
        </is>
      </c>
    </row>
    <row r="594">
      <c r="A594" s="3" t="inlineStr">
        <is>
          <t>Bear|Microsoft|2027|Crusoe Abilene Expansion</t>
        </is>
      </c>
      <c r="B594" s="3" t="inlineStr">
        <is>
          <t>Bear</t>
        </is>
      </c>
      <c r="C594" s="3" t="inlineStr">
        <is>
          <t>Microsoft</t>
        </is>
      </c>
      <c r="D594" s="3" t="n">
        <v>2027</v>
      </c>
      <c r="E594" s="3" t="inlineStr">
        <is>
          <t>Crusoe Abilene Expansion</t>
        </is>
      </c>
      <c r="F594" s="3" t="inlineStr">
        <is>
          <t>Microsoft</t>
        </is>
      </c>
      <c r="G594" s="3" t="inlineStr">
        <is>
          <t>United States</t>
        </is>
      </c>
      <c r="H594" s="25" t="n">
        <v>672</v>
      </c>
      <c r="I594" s="17" t="n">
        <v>1</v>
      </c>
      <c r="J594" s="17" t="n">
        <v>0.515</v>
      </c>
      <c r="K594" s="26" t="n">
        <v>0.485</v>
      </c>
      <c r="L594" s="3" t="inlineStr">
        <is>
          <t>2027-11-11</t>
        </is>
      </c>
      <c r="M594" s="27" t="n">
        <v>0</v>
      </c>
      <c r="N594" s="27" t="n">
        <v>672</v>
      </c>
      <c r="O594" s="3" t="inlineStr">
        <is>
          <t>likely</t>
        </is>
      </c>
      <c r="P594" s="3" t="inlineStr">
        <is>
          <t>R200</t>
        </is>
      </c>
      <c r="Q594" s="3" t="inlineStr">
        <is>
          <t>epoch_user_site_equal_split_seed</t>
        </is>
      </c>
      <c r="R594" s="3" t="inlineStr">
        <is>
          <t>SRC_EPOCH_AI_DATA_CENTERS; EPOCH_NORMALIZED_USER_SITES</t>
        </is>
      </c>
      <c r="S594" s="3" t="inlineStr">
        <is>
          <t>Capacity weight is used only to weight accelerator mix, not to overwrite company total power in 02_Inputs.</t>
        </is>
      </c>
    </row>
    <row r="595">
      <c r="A595" s="3" t="inlineStr">
        <is>
          <t>Bear|Microsoft|2028|Crusoe Abilene Expansion</t>
        </is>
      </c>
      <c r="B595" s="3" t="inlineStr">
        <is>
          <t>Bear</t>
        </is>
      </c>
      <c r="C595" s="3" t="inlineStr">
        <is>
          <t>Microsoft</t>
        </is>
      </c>
      <c r="D595" s="3" t="n">
        <v>2028</v>
      </c>
      <c r="E595" s="3" t="inlineStr">
        <is>
          <t>Crusoe Abilene Expansion</t>
        </is>
      </c>
      <c r="F595" s="3" t="inlineStr">
        <is>
          <t>Microsoft</t>
        </is>
      </c>
      <c r="G595" s="3" t="inlineStr">
        <is>
          <t>United States</t>
        </is>
      </c>
      <c r="H595" s="25" t="n">
        <v>672</v>
      </c>
      <c r="I595" s="17" t="n">
        <v>1</v>
      </c>
      <c r="J595" s="17" t="n">
        <v>0.5600000000000001</v>
      </c>
      <c r="K595" s="26" t="n">
        <v>0.44</v>
      </c>
      <c r="L595" s="3" t="inlineStr">
        <is>
          <t>2027-11-11</t>
        </is>
      </c>
      <c r="M595" s="27" t="n">
        <v>0</v>
      </c>
      <c r="N595" s="27" t="n">
        <v>672</v>
      </c>
      <c r="O595" s="3" t="inlineStr">
        <is>
          <t>likely</t>
        </is>
      </c>
      <c r="P595" s="3" t="inlineStr">
        <is>
          <t>R200</t>
        </is>
      </c>
      <c r="Q595" s="3" t="inlineStr">
        <is>
          <t>epoch_user_site_equal_split_seed</t>
        </is>
      </c>
      <c r="R595" s="3" t="inlineStr">
        <is>
          <t>SRC_EPOCH_AI_DATA_CENTERS; EPOCH_NORMALIZED_USER_SITES</t>
        </is>
      </c>
      <c r="S595" s="3" t="inlineStr">
        <is>
          <t>Capacity weight is used only to weight accelerator mix, not to overwrite company total power in 02_Inputs.</t>
        </is>
      </c>
    </row>
    <row r="596">
      <c r="A596" s="3" t="inlineStr">
        <is>
          <t>Bear|Microsoft|2029|Crusoe Abilene Expansion</t>
        </is>
      </c>
      <c r="B596" s="3" t="inlineStr">
        <is>
          <t>Bear</t>
        </is>
      </c>
      <c r="C596" s="3" t="inlineStr">
        <is>
          <t>Microsoft</t>
        </is>
      </c>
      <c r="D596" s="3" t="n">
        <v>2029</v>
      </c>
      <c r="E596" s="3" t="inlineStr">
        <is>
          <t>Crusoe Abilene Expansion</t>
        </is>
      </c>
      <c r="F596" s="3" t="inlineStr">
        <is>
          <t>Microsoft</t>
        </is>
      </c>
      <c r="G596" s="3" t="inlineStr">
        <is>
          <t>United States</t>
        </is>
      </c>
      <c r="H596" s="25" t="n">
        <v>672</v>
      </c>
      <c r="I596" s="17" t="n">
        <v>1</v>
      </c>
      <c r="J596" s="17" t="n">
        <v>0.605</v>
      </c>
      <c r="K596" s="26" t="n">
        <v>0.395</v>
      </c>
      <c r="L596" s="3" t="inlineStr">
        <is>
          <t>2027-11-11</t>
        </is>
      </c>
      <c r="M596" s="27" t="n">
        <v>0</v>
      </c>
      <c r="N596" s="27" t="n">
        <v>672</v>
      </c>
      <c r="O596" s="3" t="inlineStr">
        <is>
          <t>likely</t>
        </is>
      </c>
      <c r="P596" s="3" t="inlineStr">
        <is>
          <t>R200</t>
        </is>
      </c>
      <c r="Q596" s="3" t="inlineStr">
        <is>
          <t>epoch_user_site_equal_split_seed</t>
        </is>
      </c>
      <c r="R596" s="3" t="inlineStr">
        <is>
          <t>SRC_EPOCH_AI_DATA_CENTERS; EPOCH_NORMALIZED_USER_SITES</t>
        </is>
      </c>
      <c r="S596" s="3" t="inlineStr">
        <is>
          <t>Capacity weight is used only to weight accelerator mix, not to overwrite company total power in 02_Inputs.</t>
        </is>
      </c>
    </row>
    <row r="597">
      <c r="A597" s="3" t="inlineStr">
        <is>
          <t>Bear|Microsoft|2030|Crusoe Abilene Expansion</t>
        </is>
      </c>
      <c r="B597" s="3" t="inlineStr">
        <is>
          <t>Bear</t>
        </is>
      </c>
      <c r="C597" s="3" t="inlineStr">
        <is>
          <t>Microsoft</t>
        </is>
      </c>
      <c r="D597" s="3" t="n">
        <v>2030</v>
      </c>
      <c r="E597" s="3" t="inlineStr">
        <is>
          <t>Crusoe Abilene Expansion</t>
        </is>
      </c>
      <c r="F597" s="3" t="inlineStr">
        <is>
          <t>Microsoft</t>
        </is>
      </c>
      <c r="G597" s="3" t="inlineStr">
        <is>
          <t>United States</t>
        </is>
      </c>
      <c r="H597" s="25" t="n">
        <v>672</v>
      </c>
      <c r="I597" s="17" t="n">
        <v>1</v>
      </c>
      <c r="J597" s="17" t="n">
        <v>0.65</v>
      </c>
      <c r="K597" s="26" t="n">
        <v>0.35</v>
      </c>
      <c r="L597" s="3" t="inlineStr">
        <is>
          <t>2027-11-11</t>
        </is>
      </c>
      <c r="M597" s="27" t="n">
        <v>0</v>
      </c>
      <c r="N597" s="27" t="n">
        <v>672</v>
      </c>
      <c r="O597" s="3" t="inlineStr">
        <is>
          <t>likely</t>
        </is>
      </c>
      <c r="P597" s="3" t="inlineStr">
        <is>
          <t>R200</t>
        </is>
      </c>
      <c r="Q597" s="3" t="inlineStr">
        <is>
          <t>epoch_user_site_equal_split_seed</t>
        </is>
      </c>
      <c r="R597" s="3" t="inlineStr">
        <is>
          <t>SRC_EPOCH_AI_DATA_CENTERS; EPOCH_NORMALIZED_USER_SITES</t>
        </is>
      </c>
      <c r="S597" s="3" t="inlineStr">
        <is>
          <t>Capacity weight is used only to weight accelerator mix, not to overwrite company total power in 02_Inputs.</t>
        </is>
      </c>
    </row>
    <row r="598">
      <c r="A598" s="3" t="inlineStr">
        <is>
          <t>Base|Microsoft|2027|Crusoe Abilene Expansion</t>
        </is>
      </c>
      <c r="B598" s="3" t="inlineStr">
        <is>
          <t>Base</t>
        </is>
      </c>
      <c r="C598" s="3" t="inlineStr">
        <is>
          <t>Microsoft</t>
        </is>
      </c>
      <c r="D598" s="3" t="n">
        <v>2027</v>
      </c>
      <c r="E598" s="3" t="inlineStr">
        <is>
          <t>Crusoe Abilene Expansion</t>
        </is>
      </c>
      <c r="F598" s="3" t="inlineStr">
        <is>
          <t>Microsoft</t>
        </is>
      </c>
      <c r="G598" s="3" t="inlineStr">
        <is>
          <t>United States</t>
        </is>
      </c>
      <c r="H598" s="25" t="n">
        <v>672</v>
      </c>
      <c r="I598" s="17" t="n">
        <v>1</v>
      </c>
      <c r="J598" s="17" t="n">
        <v>0.6</v>
      </c>
      <c r="K598" s="26" t="n">
        <v>0.4</v>
      </c>
      <c r="L598" s="3" t="inlineStr">
        <is>
          <t>2027-11-11</t>
        </is>
      </c>
      <c r="M598" s="27" t="n">
        <v>0</v>
      </c>
      <c r="N598" s="27" t="n">
        <v>672</v>
      </c>
      <c r="O598" s="3" t="inlineStr">
        <is>
          <t>likely</t>
        </is>
      </c>
      <c r="P598" s="3" t="inlineStr">
        <is>
          <t>R200</t>
        </is>
      </c>
      <c r="Q598" s="3" t="inlineStr">
        <is>
          <t>epoch_user_site_equal_split_seed</t>
        </is>
      </c>
      <c r="R598" s="3" t="inlineStr">
        <is>
          <t>SRC_EPOCH_AI_DATA_CENTERS; EPOCH_NORMALIZED_USER_SITES</t>
        </is>
      </c>
      <c r="S598" s="3" t="inlineStr">
        <is>
          <t>Capacity weight is used only to weight accelerator mix, not to overwrite company total power in 02_Inputs.</t>
        </is>
      </c>
    </row>
    <row r="599">
      <c r="A599" s="3" t="inlineStr">
        <is>
          <t>Base|Microsoft|2028|Crusoe Abilene Expansion</t>
        </is>
      </c>
      <c r="B599" s="3" t="inlineStr">
        <is>
          <t>Base</t>
        </is>
      </c>
      <c r="C599" s="3" t="inlineStr">
        <is>
          <t>Microsoft</t>
        </is>
      </c>
      <c r="D599" s="3" t="n">
        <v>2028</v>
      </c>
      <c r="E599" s="3" t="inlineStr">
        <is>
          <t>Crusoe Abilene Expansion</t>
        </is>
      </c>
      <c r="F599" s="3" t="inlineStr">
        <is>
          <t>Microsoft</t>
        </is>
      </c>
      <c r="G599" s="3" t="inlineStr">
        <is>
          <t>United States</t>
        </is>
      </c>
      <c r="H599" s="25" t="n">
        <v>672</v>
      </c>
      <c r="I599" s="17" t="n">
        <v>1</v>
      </c>
      <c r="J599" s="17" t="n">
        <v>0.65</v>
      </c>
      <c r="K599" s="26" t="n">
        <v>0.35</v>
      </c>
      <c r="L599" s="3" t="inlineStr">
        <is>
          <t>2027-11-11</t>
        </is>
      </c>
      <c r="M599" s="27" t="n">
        <v>0</v>
      </c>
      <c r="N599" s="27" t="n">
        <v>672</v>
      </c>
      <c r="O599" s="3" t="inlineStr">
        <is>
          <t>likely</t>
        </is>
      </c>
      <c r="P599" s="3" t="inlineStr">
        <is>
          <t>R200</t>
        </is>
      </c>
      <c r="Q599" s="3" t="inlineStr">
        <is>
          <t>epoch_user_site_equal_split_seed</t>
        </is>
      </c>
      <c r="R599" s="3" t="inlineStr">
        <is>
          <t>SRC_EPOCH_AI_DATA_CENTERS; EPOCH_NORMALIZED_USER_SITES</t>
        </is>
      </c>
      <c r="S599" s="3" t="inlineStr">
        <is>
          <t>Capacity weight is used only to weight accelerator mix, not to overwrite company total power in 02_Inputs.</t>
        </is>
      </c>
    </row>
    <row r="600">
      <c r="A600" s="3" t="inlineStr">
        <is>
          <t>Base|Microsoft|2029|Crusoe Abilene Expansion</t>
        </is>
      </c>
      <c r="B600" s="3" t="inlineStr">
        <is>
          <t>Base</t>
        </is>
      </c>
      <c r="C600" s="3" t="inlineStr">
        <is>
          <t>Microsoft</t>
        </is>
      </c>
      <c r="D600" s="3" t="n">
        <v>2029</v>
      </c>
      <c r="E600" s="3" t="inlineStr">
        <is>
          <t>Crusoe Abilene Expansion</t>
        </is>
      </c>
      <c r="F600" s="3" t="inlineStr">
        <is>
          <t>Microsoft</t>
        </is>
      </c>
      <c r="G600" s="3" t="inlineStr">
        <is>
          <t>United States</t>
        </is>
      </c>
      <c r="H600" s="25" t="n">
        <v>672</v>
      </c>
      <c r="I600" s="17" t="n">
        <v>1</v>
      </c>
      <c r="J600" s="17" t="n">
        <v>0.7</v>
      </c>
      <c r="K600" s="26" t="n">
        <v>0.3</v>
      </c>
      <c r="L600" s="3" t="inlineStr">
        <is>
          <t>2027-11-11</t>
        </is>
      </c>
      <c r="M600" s="27" t="n">
        <v>0</v>
      </c>
      <c r="N600" s="27" t="n">
        <v>672</v>
      </c>
      <c r="O600" s="3" t="inlineStr">
        <is>
          <t>likely</t>
        </is>
      </c>
      <c r="P600" s="3" t="inlineStr">
        <is>
          <t>R200</t>
        </is>
      </c>
      <c r="Q600" s="3" t="inlineStr">
        <is>
          <t>epoch_user_site_equal_split_seed</t>
        </is>
      </c>
      <c r="R600" s="3" t="inlineStr">
        <is>
          <t>SRC_EPOCH_AI_DATA_CENTERS; EPOCH_NORMALIZED_USER_SITES</t>
        </is>
      </c>
      <c r="S600" s="3" t="inlineStr">
        <is>
          <t>Capacity weight is used only to weight accelerator mix, not to overwrite company total power in 02_Inputs.</t>
        </is>
      </c>
    </row>
    <row r="601">
      <c r="A601" s="3" t="inlineStr">
        <is>
          <t>Base|Microsoft|2030|Crusoe Abilene Expansion</t>
        </is>
      </c>
      <c r="B601" s="3" t="inlineStr">
        <is>
          <t>Base</t>
        </is>
      </c>
      <c r="C601" s="3" t="inlineStr">
        <is>
          <t>Microsoft</t>
        </is>
      </c>
      <c r="D601" s="3" t="n">
        <v>2030</v>
      </c>
      <c r="E601" s="3" t="inlineStr">
        <is>
          <t>Crusoe Abilene Expansion</t>
        </is>
      </c>
      <c r="F601" s="3" t="inlineStr">
        <is>
          <t>Microsoft</t>
        </is>
      </c>
      <c r="G601" s="3" t="inlineStr">
        <is>
          <t>United States</t>
        </is>
      </c>
      <c r="H601" s="25" t="n">
        <v>672</v>
      </c>
      <c r="I601" s="17" t="n">
        <v>1</v>
      </c>
      <c r="J601" s="17" t="n">
        <v>0.75</v>
      </c>
      <c r="K601" s="26" t="n">
        <v>0.25</v>
      </c>
      <c r="L601" s="3" t="inlineStr">
        <is>
          <t>2027-11-11</t>
        </is>
      </c>
      <c r="M601" s="27" t="n">
        <v>0</v>
      </c>
      <c r="N601" s="27" t="n">
        <v>672</v>
      </c>
      <c r="O601" s="3" t="inlineStr">
        <is>
          <t>likely</t>
        </is>
      </c>
      <c r="P601" s="3" t="inlineStr">
        <is>
          <t>R200</t>
        </is>
      </c>
      <c r="Q601" s="3" t="inlineStr">
        <is>
          <t>epoch_user_site_equal_split_seed</t>
        </is>
      </c>
      <c r="R601" s="3" t="inlineStr">
        <is>
          <t>SRC_EPOCH_AI_DATA_CENTERS; EPOCH_NORMALIZED_USER_SITES</t>
        </is>
      </c>
      <c r="S601" s="3" t="inlineStr">
        <is>
          <t>Capacity weight is used only to weight accelerator mix, not to overwrite company total power in 02_Inputs.</t>
        </is>
      </c>
    </row>
    <row r="602">
      <c r="A602" s="3" t="inlineStr">
        <is>
          <t>Bull|Microsoft|2027|Crusoe Abilene Expansion</t>
        </is>
      </c>
      <c r="B602" s="3" t="inlineStr">
        <is>
          <t>Bull</t>
        </is>
      </c>
      <c r="C602" s="3" t="inlineStr">
        <is>
          <t>Microsoft</t>
        </is>
      </c>
      <c r="D602" s="3" t="n">
        <v>2027</v>
      </c>
      <c r="E602" s="3" t="inlineStr">
        <is>
          <t>Crusoe Abilene Expansion</t>
        </is>
      </c>
      <c r="F602" s="3" t="inlineStr">
        <is>
          <t>Microsoft</t>
        </is>
      </c>
      <c r="G602" s="3" t="inlineStr">
        <is>
          <t>United States</t>
        </is>
      </c>
      <c r="H602" s="25" t="n">
        <v>672</v>
      </c>
      <c r="I602" s="17" t="n">
        <v>1</v>
      </c>
      <c r="J602" s="17" t="n">
        <v>0.658</v>
      </c>
      <c r="K602" s="26" t="n">
        <v>0.342</v>
      </c>
      <c r="L602" s="3" t="inlineStr">
        <is>
          <t>2027-11-11</t>
        </is>
      </c>
      <c r="M602" s="27" t="n">
        <v>0</v>
      </c>
      <c r="N602" s="27" t="n">
        <v>672</v>
      </c>
      <c r="O602" s="3" t="inlineStr">
        <is>
          <t>likely</t>
        </is>
      </c>
      <c r="P602" s="3" t="inlineStr">
        <is>
          <t>R200</t>
        </is>
      </c>
      <c r="Q602" s="3" t="inlineStr">
        <is>
          <t>epoch_user_site_equal_split_seed</t>
        </is>
      </c>
      <c r="R602" s="3" t="inlineStr">
        <is>
          <t>SRC_EPOCH_AI_DATA_CENTERS; EPOCH_NORMALIZED_USER_SITES</t>
        </is>
      </c>
      <c r="S602" s="3" t="inlineStr">
        <is>
          <t>Capacity weight is used only to weight accelerator mix, not to overwrite company total power in 02_Inputs.</t>
        </is>
      </c>
    </row>
    <row r="603">
      <c r="A603" s="3" t="inlineStr">
        <is>
          <t>Bull|Microsoft|2028|Crusoe Abilene Expansion</t>
        </is>
      </c>
      <c r="B603" s="3" t="inlineStr">
        <is>
          <t>Bull</t>
        </is>
      </c>
      <c r="C603" s="3" t="inlineStr">
        <is>
          <t>Microsoft</t>
        </is>
      </c>
      <c r="D603" s="3" t="n">
        <v>2028</v>
      </c>
      <c r="E603" s="3" t="inlineStr">
        <is>
          <t>Crusoe Abilene Expansion</t>
        </is>
      </c>
      <c r="F603" s="3" t="inlineStr">
        <is>
          <t>Microsoft</t>
        </is>
      </c>
      <c r="G603" s="3" t="inlineStr">
        <is>
          <t>United States</t>
        </is>
      </c>
      <c r="H603" s="25" t="n">
        <v>672</v>
      </c>
      <c r="I603" s="17" t="n">
        <v>1</v>
      </c>
      <c r="J603" s="17" t="n">
        <v>0.715</v>
      </c>
      <c r="K603" s="26" t="n">
        <v>0.285</v>
      </c>
      <c r="L603" s="3" t="inlineStr">
        <is>
          <t>2027-11-11</t>
        </is>
      </c>
      <c r="M603" s="27" t="n">
        <v>0</v>
      </c>
      <c r="N603" s="27" t="n">
        <v>672</v>
      </c>
      <c r="O603" s="3" t="inlineStr">
        <is>
          <t>likely</t>
        </is>
      </c>
      <c r="P603" s="3" t="inlineStr">
        <is>
          <t>R200</t>
        </is>
      </c>
      <c r="Q603" s="3" t="inlineStr">
        <is>
          <t>epoch_user_site_equal_split_seed</t>
        </is>
      </c>
      <c r="R603" s="3" t="inlineStr">
        <is>
          <t>SRC_EPOCH_AI_DATA_CENTERS; EPOCH_NORMALIZED_USER_SITES</t>
        </is>
      </c>
      <c r="S603" s="3" t="inlineStr">
        <is>
          <t>Capacity weight is used only to weight accelerator mix, not to overwrite company total power in 02_Inputs.</t>
        </is>
      </c>
    </row>
    <row r="604">
      <c r="A604" s="3" t="inlineStr">
        <is>
          <t>Bull|Microsoft|2029|Crusoe Abilene Expansion</t>
        </is>
      </c>
      <c r="B604" s="3" t="inlineStr">
        <is>
          <t>Bull</t>
        </is>
      </c>
      <c r="C604" s="3" t="inlineStr">
        <is>
          <t>Microsoft</t>
        </is>
      </c>
      <c r="D604" s="3" t="n">
        <v>2029</v>
      </c>
      <c r="E604" s="3" t="inlineStr">
        <is>
          <t>Crusoe Abilene Expansion</t>
        </is>
      </c>
      <c r="F604" s="3" t="inlineStr">
        <is>
          <t>Microsoft</t>
        </is>
      </c>
      <c r="G604" s="3" t="inlineStr">
        <is>
          <t>United States</t>
        </is>
      </c>
      <c r="H604" s="25" t="n">
        <v>672</v>
      </c>
      <c r="I604" s="17" t="n">
        <v>1</v>
      </c>
      <c r="J604" s="17" t="n">
        <v>0.772</v>
      </c>
      <c r="K604" s="26" t="n">
        <v>0.228</v>
      </c>
      <c r="L604" s="3" t="inlineStr">
        <is>
          <t>2027-11-11</t>
        </is>
      </c>
      <c r="M604" s="27" t="n">
        <v>0</v>
      </c>
      <c r="N604" s="27" t="n">
        <v>672</v>
      </c>
      <c r="O604" s="3" t="inlineStr">
        <is>
          <t>likely</t>
        </is>
      </c>
      <c r="P604" s="3" t="inlineStr">
        <is>
          <t>R200</t>
        </is>
      </c>
      <c r="Q604" s="3" t="inlineStr">
        <is>
          <t>epoch_user_site_equal_split_seed</t>
        </is>
      </c>
      <c r="R604" s="3" t="inlineStr">
        <is>
          <t>SRC_EPOCH_AI_DATA_CENTERS; EPOCH_NORMALIZED_USER_SITES</t>
        </is>
      </c>
      <c r="S604" s="3" t="inlineStr">
        <is>
          <t>Capacity weight is used only to weight accelerator mix, not to overwrite company total power in 02_Inputs.</t>
        </is>
      </c>
    </row>
    <row r="605">
      <c r="A605" s="3" t="inlineStr">
        <is>
          <t>Bull|Microsoft|2030|Crusoe Abilene Expansion</t>
        </is>
      </c>
      <c r="B605" s="3" t="inlineStr">
        <is>
          <t>Bull</t>
        </is>
      </c>
      <c r="C605" s="3" t="inlineStr">
        <is>
          <t>Microsoft</t>
        </is>
      </c>
      <c r="D605" s="3" t="n">
        <v>2030</v>
      </c>
      <c r="E605" s="3" t="inlineStr">
        <is>
          <t>Crusoe Abilene Expansion</t>
        </is>
      </c>
      <c r="F605" s="3" t="inlineStr">
        <is>
          <t>Microsoft</t>
        </is>
      </c>
      <c r="G605" s="3" t="inlineStr">
        <is>
          <t>United States</t>
        </is>
      </c>
      <c r="H605" s="25" t="n">
        <v>672</v>
      </c>
      <c r="I605" s="17" t="n">
        <v>1</v>
      </c>
      <c r="J605" s="17" t="n">
        <v>0.83</v>
      </c>
      <c r="K605" s="26" t="n">
        <v>0.17</v>
      </c>
      <c r="L605" s="3" t="inlineStr">
        <is>
          <t>2027-11-11</t>
        </is>
      </c>
      <c r="M605" s="27" t="n">
        <v>0</v>
      </c>
      <c r="N605" s="27" t="n">
        <v>672</v>
      </c>
      <c r="O605" s="3" t="inlineStr">
        <is>
          <t>likely</t>
        </is>
      </c>
      <c r="P605" s="3" t="inlineStr">
        <is>
          <t>R200</t>
        </is>
      </c>
      <c r="Q605" s="3" t="inlineStr">
        <is>
          <t>epoch_user_site_equal_split_seed</t>
        </is>
      </c>
      <c r="R605" s="3" t="inlineStr">
        <is>
          <t>SRC_EPOCH_AI_DATA_CENTERS; EPOCH_NORMALIZED_USER_SITES</t>
        </is>
      </c>
      <c r="S605" s="3" t="inlineStr">
        <is>
          <t>Capacity weight is used only to weight accelerator mix, not to overwrite company total power in 02_Inputs.</t>
        </is>
      </c>
    </row>
    <row r="606">
      <c r="A606" s="3" t="inlineStr">
        <is>
          <t>Grid-Constrained / Efficiency-Upside|Microsoft|2027|Crusoe Abilene Expansion</t>
        </is>
      </c>
      <c r="B606" s="3" t="inlineStr">
        <is>
          <t>Grid-Constrained / Efficiency-Upside</t>
        </is>
      </c>
      <c r="C606" s="3" t="inlineStr">
        <is>
          <t>Microsoft</t>
        </is>
      </c>
      <c r="D606" s="3" t="n">
        <v>2027</v>
      </c>
      <c r="E606" s="3" t="inlineStr">
        <is>
          <t>Crusoe Abilene Expansion</t>
        </is>
      </c>
      <c r="F606" s="3" t="inlineStr">
        <is>
          <t>Microsoft</t>
        </is>
      </c>
      <c r="G606" s="3" t="inlineStr">
        <is>
          <t>United States</t>
        </is>
      </c>
      <c r="H606" s="25" t="n">
        <v>672</v>
      </c>
      <c r="I606" s="17" t="n">
        <v>1</v>
      </c>
      <c r="J606" s="17" t="n">
        <v>0.625</v>
      </c>
      <c r="K606" s="26" t="n">
        <v>0.375</v>
      </c>
      <c r="L606" s="3" t="inlineStr">
        <is>
          <t>2027-11-11</t>
        </is>
      </c>
      <c r="M606" s="27" t="n">
        <v>0</v>
      </c>
      <c r="N606" s="27" t="n">
        <v>672</v>
      </c>
      <c r="O606" s="3" t="inlineStr">
        <is>
          <t>likely</t>
        </is>
      </c>
      <c r="P606" s="3" t="inlineStr">
        <is>
          <t>R200</t>
        </is>
      </c>
      <c r="Q606" s="3" t="inlineStr">
        <is>
          <t>epoch_user_site_equal_split_seed</t>
        </is>
      </c>
      <c r="R606" s="3" t="inlineStr">
        <is>
          <t>SRC_EPOCH_AI_DATA_CENTERS; EPOCH_NORMALIZED_USER_SITES</t>
        </is>
      </c>
      <c r="S606" s="3" t="inlineStr">
        <is>
          <t>Capacity weight is used only to weight accelerator mix, not to overwrite company total power in 02_Inputs.</t>
        </is>
      </c>
    </row>
    <row r="607">
      <c r="A607" s="3" t="inlineStr">
        <is>
          <t>Grid-Constrained / Efficiency-Upside|Microsoft|2028|Crusoe Abilene Expansion</t>
        </is>
      </c>
      <c r="B607" s="3" t="inlineStr">
        <is>
          <t>Grid-Constrained / Efficiency-Upside</t>
        </is>
      </c>
      <c r="C607" s="3" t="inlineStr">
        <is>
          <t>Microsoft</t>
        </is>
      </c>
      <c r="D607" s="3" t="n">
        <v>2028</v>
      </c>
      <c r="E607" s="3" t="inlineStr">
        <is>
          <t>Crusoe Abilene Expansion</t>
        </is>
      </c>
      <c r="F607" s="3" t="inlineStr">
        <is>
          <t>Microsoft</t>
        </is>
      </c>
      <c r="G607" s="3" t="inlineStr">
        <is>
          <t>United States</t>
        </is>
      </c>
      <c r="H607" s="25" t="n">
        <v>672</v>
      </c>
      <c r="I607" s="17" t="n">
        <v>1</v>
      </c>
      <c r="J607" s="17" t="n">
        <v>0.68</v>
      </c>
      <c r="K607" s="26" t="n">
        <v>0.32</v>
      </c>
      <c r="L607" s="3" t="inlineStr">
        <is>
          <t>2027-11-11</t>
        </is>
      </c>
      <c r="M607" s="27" t="n">
        <v>0</v>
      </c>
      <c r="N607" s="27" t="n">
        <v>672</v>
      </c>
      <c r="O607" s="3" t="inlineStr">
        <is>
          <t>likely</t>
        </is>
      </c>
      <c r="P607" s="3" t="inlineStr">
        <is>
          <t>R200</t>
        </is>
      </c>
      <c r="Q607" s="3" t="inlineStr">
        <is>
          <t>epoch_user_site_equal_split_seed</t>
        </is>
      </c>
      <c r="R607" s="3" t="inlineStr">
        <is>
          <t>SRC_EPOCH_AI_DATA_CENTERS; EPOCH_NORMALIZED_USER_SITES</t>
        </is>
      </c>
      <c r="S607" s="3" t="inlineStr">
        <is>
          <t>Capacity weight is used only to weight accelerator mix, not to overwrite company total power in 02_Inputs.</t>
        </is>
      </c>
    </row>
    <row r="608">
      <c r="A608" s="3" t="inlineStr">
        <is>
          <t>Grid-Constrained / Efficiency-Upside|Microsoft|2029|Crusoe Abilene Expansion</t>
        </is>
      </c>
      <c r="B608" s="3" t="inlineStr">
        <is>
          <t>Grid-Constrained / Efficiency-Upside</t>
        </is>
      </c>
      <c r="C608" s="3" t="inlineStr">
        <is>
          <t>Microsoft</t>
        </is>
      </c>
      <c r="D608" s="3" t="n">
        <v>2029</v>
      </c>
      <c r="E608" s="3" t="inlineStr">
        <is>
          <t>Crusoe Abilene Expansion</t>
        </is>
      </c>
      <c r="F608" s="3" t="inlineStr">
        <is>
          <t>Microsoft</t>
        </is>
      </c>
      <c r="G608" s="3" t="inlineStr">
        <is>
          <t>United States</t>
        </is>
      </c>
      <c r="H608" s="25" t="n">
        <v>672</v>
      </c>
      <c r="I608" s="17" t="n">
        <v>1</v>
      </c>
      <c r="J608" s="17" t="n">
        <v>0.735</v>
      </c>
      <c r="K608" s="26" t="n">
        <v>0.265</v>
      </c>
      <c r="L608" s="3" t="inlineStr">
        <is>
          <t>2027-11-11</t>
        </is>
      </c>
      <c r="M608" s="27" t="n">
        <v>0</v>
      </c>
      <c r="N608" s="27" t="n">
        <v>672</v>
      </c>
      <c r="O608" s="3" t="inlineStr">
        <is>
          <t>likely</t>
        </is>
      </c>
      <c r="P608" s="3" t="inlineStr">
        <is>
          <t>R200</t>
        </is>
      </c>
      <c r="Q608" s="3" t="inlineStr">
        <is>
          <t>epoch_user_site_equal_split_seed</t>
        </is>
      </c>
      <c r="R608" s="3" t="inlineStr">
        <is>
          <t>SRC_EPOCH_AI_DATA_CENTERS; EPOCH_NORMALIZED_USER_SITES</t>
        </is>
      </c>
      <c r="S608" s="3" t="inlineStr">
        <is>
          <t>Capacity weight is used only to weight accelerator mix, not to overwrite company total power in 02_Inputs.</t>
        </is>
      </c>
    </row>
    <row r="609">
      <c r="A609" s="3" t="inlineStr">
        <is>
          <t>Grid-Constrained / Efficiency-Upside|Microsoft|2030|Crusoe Abilene Expansion</t>
        </is>
      </c>
      <c r="B609" s="3" t="inlineStr">
        <is>
          <t>Grid-Constrained / Efficiency-Upside</t>
        </is>
      </c>
      <c r="C609" s="3" t="inlineStr">
        <is>
          <t>Microsoft</t>
        </is>
      </c>
      <c r="D609" s="3" t="n">
        <v>2030</v>
      </c>
      <c r="E609" s="3" t="inlineStr">
        <is>
          <t>Crusoe Abilene Expansion</t>
        </is>
      </c>
      <c r="F609" s="3" t="inlineStr">
        <is>
          <t>Microsoft</t>
        </is>
      </c>
      <c r="G609" s="3" t="inlineStr">
        <is>
          <t>United States</t>
        </is>
      </c>
      <c r="H609" s="25" t="n">
        <v>672</v>
      </c>
      <c r="I609" s="17" t="n">
        <v>1</v>
      </c>
      <c r="J609" s="17" t="n">
        <v>0.79</v>
      </c>
      <c r="K609" s="26" t="n">
        <v>0.21</v>
      </c>
      <c r="L609" s="3" t="inlineStr">
        <is>
          <t>2027-11-11</t>
        </is>
      </c>
      <c r="M609" s="27" t="n">
        <v>0</v>
      </c>
      <c r="N609" s="27" t="n">
        <v>672</v>
      </c>
      <c r="O609" s="3" t="inlineStr">
        <is>
          <t>likely</t>
        </is>
      </c>
      <c r="P609" s="3" t="inlineStr">
        <is>
          <t>R200</t>
        </is>
      </c>
      <c r="Q609" s="3" t="inlineStr">
        <is>
          <t>epoch_user_site_equal_split_seed</t>
        </is>
      </c>
      <c r="R609" s="3" t="inlineStr">
        <is>
          <t>SRC_EPOCH_AI_DATA_CENTERS; EPOCH_NORMALIZED_USER_SITES</t>
        </is>
      </c>
      <c r="S609" s="3" t="inlineStr">
        <is>
          <t>Capacity weight is used only to weight accelerator mix, not to overwrite company total power in 02_Inputs.</t>
        </is>
      </c>
    </row>
    <row r="610">
      <c r="A610" s="3" t="inlineStr">
        <is>
          <t>Bear|Microsoft|2026|Microsoft Fairwater Atlanta</t>
        </is>
      </c>
      <c r="B610" s="3" t="inlineStr">
        <is>
          <t>Bear</t>
        </is>
      </c>
      <c r="C610" s="3" t="inlineStr">
        <is>
          <t>Microsoft</t>
        </is>
      </c>
      <c r="D610" s="3" t="n">
        <v>2026</v>
      </c>
      <c r="E610" s="3" t="inlineStr">
        <is>
          <t>Microsoft Fairwater Atlanta</t>
        </is>
      </c>
      <c r="F610" s="3" t="inlineStr">
        <is>
          <t>Microsoft</t>
        </is>
      </c>
      <c r="G610" s="3" t="inlineStr">
        <is>
          <t>United States</t>
        </is>
      </c>
      <c r="H610" s="25" t="n">
        <v>318</v>
      </c>
      <c r="I610" s="17" t="n">
        <v>1</v>
      </c>
      <c r="J610" s="17" t="n">
        <v>0.47</v>
      </c>
      <c r="K610" s="26" t="n">
        <v>0.53</v>
      </c>
      <c r="L610" s="3" t="inlineStr">
        <is>
          <t>2026-06-14</t>
        </is>
      </c>
      <c r="M610" s="27" t="n">
        <v>318</v>
      </c>
      <c r="N610" s="27" t="n">
        <v>318</v>
      </c>
      <c r="O610" s="3" t="inlineStr">
        <is>
          <t>likely</t>
        </is>
      </c>
      <c r="P610" s="3" t="inlineStr">
        <is>
          <t>B200</t>
        </is>
      </c>
      <c r="Q610" s="3" t="inlineStr">
        <is>
          <t>epoch_user_site_equal_split_seed</t>
        </is>
      </c>
      <c r="R610" s="3" t="inlineStr">
        <is>
          <t>SRC_EPOCH_AI_DATA_CENTERS; EPOCH_NORMALIZED_USER_SITES</t>
        </is>
      </c>
      <c r="S610" s="3" t="inlineStr">
        <is>
          <t>Capacity weight is used only to weight accelerator mix, not to overwrite company total power in 02_Inputs.</t>
        </is>
      </c>
    </row>
    <row r="611">
      <c r="A611" s="3" t="inlineStr">
        <is>
          <t>Bear|Microsoft|2027|Microsoft Fairwater Atlanta</t>
        </is>
      </c>
      <c r="B611" s="3" t="inlineStr">
        <is>
          <t>Bear</t>
        </is>
      </c>
      <c r="C611" s="3" t="inlineStr">
        <is>
          <t>Microsoft</t>
        </is>
      </c>
      <c r="D611" s="3" t="n">
        <v>2027</v>
      </c>
      <c r="E611" s="3" t="inlineStr">
        <is>
          <t>Microsoft Fairwater Atlanta</t>
        </is>
      </c>
      <c r="F611" s="3" t="inlineStr">
        <is>
          <t>Microsoft</t>
        </is>
      </c>
      <c r="G611" s="3" t="inlineStr">
        <is>
          <t>United States</t>
        </is>
      </c>
      <c r="H611" s="25" t="n">
        <v>318</v>
      </c>
      <c r="I611" s="17" t="n">
        <v>1</v>
      </c>
      <c r="J611" s="17" t="n">
        <v>0.515</v>
      </c>
      <c r="K611" s="26" t="n">
        <v>0.485</v>
      </c>
      <c r="L611" s="3" t="inlineStr">
        <is>
          <t>2026-06-14</t>
        </is>
      </c>
      <c r="M611" s="27" t="n">
        <v>318</v>
      </c>
      <c r="N611" s="27" t="n">
        <v>318</v>
      </c>
      <c r="O611" s="3" t="inlineStr">
        <is>
          <t>likely</t>
        </is>
      </c>
      <c r="P611" s="3" t="inlineStr">
        <is>
          <t>B200</t>
        </is>
      </c>
      <c r="Q611" s="3" t="inlineStr">
        <is>
          <t>epoch_user_site_equal_split_seed</t>
        </is>
      </c>
      <c r="R611" s="3" t="inlineStr">
        <is>
          <t>SRC_EPOCH_AI_DATA_CENTERS; EPOCH_NORMALIZED_USER_SITES</t>
        </is>
      </c>
      <c r="S611" s="3" t="inlineStr">
        <is>
          <t>Capacity weight is used only to weight accelerator mix, not to overwrite company total power in 02_Inputs.</t>
        </is>
      </c>
    </row>
    <row r="612">
      <c r="A612" s="3" t="inlineStr">
        <is>
          <t>Bear|Microsoft|2028|Microsoft Fairwater Atlanta</t>
        </is>
      </c>
      <c r="B612" s="3" t="inlineStr">
        <is>
          <t>Bear</t>
        </is>
      </c>
      <c r="C612" s="3" t="inlineStr">
        <is>
          <t>Microsoft</t>
        </is>
      </c>
      <c r="D612" s="3" t="n">
        <v>2028</v>
      </c>
      <c r="E612" s="3" t="inlineStr">
        <is>
          <t>Microsoft Fairwater Atlanta</t>
        </is>
      </c>
      <c r="F612" s="3" t="inlineStr">
        <is>
          <t>Microsoft</t>
        </is>
      </c>
      <c r="G612" s="3" t="inlineStr">
        <is>
          <t>United States</t>
        </is>
      </c>
      <c r="H612" s="25" t="n">
        <v>318</v>
      </c>
      <c r="I612" s="17" t="n">
        <v>1</v>
      </c>
      <c r="J612" s="17" t="n">
        <v>0.5600000000000001</v>
      </c>
      <c r="K612" s="26" t="n">
        <v>0.44</v>
      </c>
      <c r="L612" s="3" t="inlineStr">
        <is>
          <t>2026-06-14</t>
        </is>
      </c>
      <c r="M612" s="27" t="n">
        <v>318</v>
      </c>
      <c r="N612" s="27" t="n">
        <v>318</v>
      </c>
      <c r="O612" s="3" t="inlineStr">
        <is>
          <t>likely</t>
        </is>
      </c>
      <c r="P612" s="3" t="inlineStr">
        <is>
          <t>B200</t>
        </is>
      </c>
      <c r="Q612" s="3" t="inlineStr">
        <is>
          <t>epoch_user_site_equal_split_seed</t>
        </is>
      </c>
      <c r="R612" s="3" t="inlineStr">
        <is>
          <t>SRC_EPOCH_AI_DATA_CENTERS; EPOCH_NORMALIZED_USER_SITES</t>
        </is>
      </c>
      <c r="S612" s="3" t="inlineStr">
        <is>
          <t>Capacity weight is used only to weight accelerator mix, not to overwrite company total power in 02_Inputs.</t>
        </is>
      </c>
    </row>
    <row r="613">
      <c r="A613" s="3" t="inlineStr">
        <is>
          <t>Bear|Microsoft|2029|Microsoft Fairwater Atlanta</t>
        </is>
      </c>
      <c r="B613" s="3" t="inlineStr">
        <is>
          <t>Bear</t>
        </is>
      </c>
      <c r="C613" s="3" t="inlineStr">
        <is>
          <t>Microsoft</t>
        </is>
      </c>
      <c r="D613" s="3" t="n">
        <v>2029</v>
      </c>
      <c r="E613" s="3" t="inlineStr">
        <is>
          <t>Microsoft Fairwater Atlanta</t>
        </is>
      </c>
      <c r="F613" s="3" t="inlineStr">
        <is>
          <t>Microsoft</t>
        </is>
      </c>
      <c r="G613" s="3" t="inlineStr">
        <is>
          <t>United States</t>
        </is>
      </c>
      <c r="H613" s="25" t="n">
        <v>318</v>
      </c>
      <c r="I613" s="17" t="n">
        <v>1</v>
      </c>
      <c r="J613" s="17" t="n">
        <v>0.605</v>
      </c>
      <c r="K613" s="26" t="n">
        <v>0.395</v>
      </c>
      <c r="L613" s="3" t="inlineStr">
        <is>
          <t>2026-06-14</t>
        </is>
      </c>
      <c r="M613" s="27" t="n">
        <v>318</v>
      </c>
      <c r="N613" s="27" t="n">
        <v>318</v>
      </c>
      <c r="O613" s="3" t="inlineStr">
        <is>
          <t>likely</t>
        </is>
      </c>
      <c r="P613" s="3" t="inlineStr">
        <is>
          <t>B200</t>
        </is>
      </c>
      <c r="Q613" s="3" t="inlineStr">
        <is>
          <t>epoch_user_site_equal_split_seed</t>
        </is>
      </c>
      <c r="R613" s="3" t="inlineStr">
        <is>
          <t>SRC_EPOCH_AI_DATA_CENTERS; EPOCH_NORMALIZED_USER_SITES</t>
        </is>
      </c>
      <c r="S613" s="3" t="inlineStr">
        <is>
          <t>Capacity weight is used only to weight accelerator mix, not to overwrite company total power in 02_Inputs.</t>
        </is>
      </c>
    </row>
    <row r="614">
      <c r="A614" s="3" t="inlineStr">
        <is>
          <t>Bear|Microsoft|2030|Microsoft Fairwater Atlanta</t>
        </is>
      </c>
      <c r="B614" s="3" t="inlineStr">
        <is>
          <t>Bear</t>
        </is>
      </c>
      <c r="C614" s="3" t="inlineStr">
        <is>
          <t>Microsoft</t>
        </is>
      </c>
      <c r="D614" s="3" t="n">
        <v>2030</v>
      </c>
      <c r="E614" s="3" t="inlineStr">
        <is>
          <t>Microsoft Fairwater Atlanta</t>
        </is>
      </c>
      <c r="F614" s="3" t="inlineStr">
        <is>
          <t>Microsoft</t>
        </is>
      </c>
      <c r="G614" s="3" t="inlineStr">
        <is>
          <t>United States</t>
        </is>
      </c>
      <c r="H614" s="25" t="n">
        <v>318</v>
      </c>
      <c r="I614" s="17" t="n">
        <v>1</v>
      </c>
      <c r="J614" s="17" t="n">
        <v>0.65</v>
      </c>
      <c r="K614" s="26" t="n">
        <v>0.35</v>
      </c>
      <c r="L614" s="3" t="inlineStr">
        <is>
          <t>2026-06-14</t>
        </is>
      </c>
      <c r="M614" s="27" t="n">
        <v>318</v>
      </c>
      <c r="N614" s="27" t="n">
        <v>318</v>
      </c>
      <c r="O614" s="3" t="inlineStr">
        <is>
          <t>likely</t>
        </is>
      </c>
      <c r="P614" s="3" t="inlineStr">
        <is>
          <t>B200</t>
        </is>
      </c>
      <c r="Q614" s="3" t="inlineStr">
        <is>
          <t>epoch_user_site_equal_split_seed</t>
        </is>
      </c>
      <c r="R614" s="3" t="inlineStr">
        <is>
          <t>SRC_EPOCH_AI_DATA_CENTERS; EPOCH_NORMALIZED_USER_SITES</t>
        </is>
      </c>
      <c r="S614" s="3" t="inlineStr">
        <is>
          <t>Capacity weight is used only to weight accelerator mix, not to overwrite company total power in 02_Inputs.</t>
        </is>
      </c>
    </row>
    <row r="615">
      <c r="A615" s="3" t="inlineStr">
        <is>
          <t>Base|Microsoft|2026|Microsoft Fairwater Atlanta</t>
        </is>
      </c>
      <c r="B615" s="3" t="inlineStr">
        <is>
          <t>Base</t>
        </is>
      </c>
      <c r="C615" s="3" t="inlineStr">
        <is>
          <t>Microsoft</t>
        </is>
      </c>
      <c r="D615" s="3" t="n">
        <v>2026</v>
      </c>
      <c r="E615" s="3" t="inlineStr">
        <is>
          <t>Microsoft Fairwater Atlanta</t>
        </is>
      </c>
      <c r="F615" s="3" t="inlineStr">
        <is>
          <t>Microsoft</t>
        </is>
      </c>
      <c r="G615" s="3" t="inlineStr">
        <is>
          <t>United States</t>
        </is>
      </c>
      <c r="H615" s="25" t="n">
        <v>318</v>
      </c>
      <c r="I615" s="17" t="n">
        <v>1</v>
      </c>
      <c r="J615" s="17" t="n">
        <v>0.55</v>
      </c>
      <c r="K615" s="26" t="n">
        <v>0.45</v>
      </c>
      <c r="L615" s="3" t="inlineStr">
        <is>
          <t>2026-06-14</t>
        </is>
      </c>
      <c r="M615" s="27" t="n">
        <v>318</v>
      </c>
      <c r="N615" s="27" t="n">
        <v>318</v>
      </c>
      <c r="O615" s="3" t="inlineStr">
        <is>
          <t>likely</t>
        </is>
      </c>
      <c r="P615" s="3" t="inlineStr">
        <is>
          <t>B200</t>
        </is>
      </c>
      <c r="Q615" s="3" t="inlineStr">
        <is>
          <t>epoch_user_site_equal_split_seed</t>
        </is>
      </c>
      <c r="R615" s="3" t="inlineStr">
        <is>
          <t>SRC_EPOCH_AI_DATA_CENTERS; EPOCH_NORMALIZED_USER_SITES</t>
        </is>
      </c>
      <c r="S615" s="3" t="inlineStr">
        <is>
          <t>Capacity weight is used only to weight accelerator mix, not to overwrite company total power in 02_Inputs.</t>
        </is>
      </c>
    </row>
    <row r="616">
      <c r="A616" s="3" t="inlineStr">
        <is>
          <t>Base|Microsoft|2027|Microsoft Fairwater Atlanta</t>
        </is>
      </c>
      <c r="B616" s="3" t="inlineStr">
        <is>
          <t>Base</t>
        </is>
      </c>
      <c r="C616" s="3" t="inlineStr">
        <is>
          <t>Microsoft</t>
        </is>
      </c>
      <c r="D616" s="3" t="n">
        <v>2027</v>
      </c>
      <c r="E616" s="3" t="inlineStr">
        <is>
          <t>Microsoft Fairwater Atlanta</t>
        </is>
      </c>
      <c r="F616" s="3" t="inlineStr">
        <is>
          <t>Microsoft</t>
        </is>
      </c>
      <c r="G616" s="3" t="inlineStr">
        <is>
          <t>United States</t>
        </is>
      </c>
      <c r="H616" s="25" t="n">
        <v>318</v>
      </c>
      <c r="I616" s="17" t="n">
        <v>1</v>
      </c>
      <c r="J616" s="17" t="n">
        <v>0.6</v>
      </c>
      <c r="K616" s="26" t="n">
        <v>0.4</v>
      </c>
      <c r="L616" s="3" t="inlineStr">
        <is>
          <t>2026-06-14</t>
        </is>
      </c>
      <c r="M616" s="27" t="n">
        <v>318</v>
      </c>
      <c r="N616" s="27" t="n">
        <v>318</v>
      </c>
      <c r="O616" s="3" t="inlineStr">
        <is>
          <t>likely</t>
        </is>
      </c>
      <c r="P616" s="3" t="inlineStr">
        <is>
          <t>B200</t>
        </is>
      </c>
      <c r="Q616" s="3" t="inlineStr">
        <is>
          <t>epoch_user_site_equal_split_seed</t>
        </is>
      </c>
      <c r="R616" s="3" t="inlineStr">
        <is>
          <t>SRC_EPOCH_AI_DATA_CENTERS; EPOCH_NORMALIZED_USER_SITES</t>
        </is>
      </c>
      <c r="S616" s="3" t="inlineStr">
        <is>
          <t>Capacity weight is used only to weight accelerator mix, not to overwrite company total power in 02_Inputs.</t>
        </is>
      </c>
    </row>
    <row r="617">
      <c r="A617" s="3" t="inlineStr">
        <is>
          <t>Base|Microsoft|2028|Microsoft Fairwater Atlanta</t>
        </is>
      </c>
      <c r="B617" s="3" t="inlineStr">
        <is>
          <t>Base</t>
        </is>
      </c>
      <c r="C617" s="3" t="inlineStr">
        <is>
          <t>Microsoft</t>
        </is>
      </c>
      <c r="D617" s="3" t="n">
        <v>2028</v>
      </c>
      <c r="E617" s="3" t="inlineStr">
        <is>
          <t>Microsoft Fairwater Atlanta</t>
        </is>
      </c>
      <c r="F617" s="3" t="inlineStr">
        <is>
          <t>Microsoft</t>
        </is>
      </c>
      <c r="G617" s="3" t="inlineStr">
        <is>
          <t>United States</t>
        </is>
      </c>
      <c r="H617" s="25" t="n">
        <v>318</v>
      </c>
      <c r="I617" s="17" t="n">
        <v>1</v>
      </c>
      <c r="J617" s="17" t="n">
        <v>0.65</v>
      </c>
      <c r="K617" s="26" t="n">
        <v>0.35</v>
      </c>
      <c r="L617" s="3" t="inlineStr">
        <is>
          <t>2026-06-14</t>
        </is>
      </c>
      <c r="M617" s="27" t="n">
        <v>318</v>
      </c>
      <c r="N617" s="27" t="n">
        <v>318</v>
      </c>
      <c r="O617" s="3" t="inlineStr">
        <is>
          <t>likely</t>
        </is>
      </c>
      <c r="P617" s="3" t="inlineStr">
        <is>
          <t>B200</t>
        </is>
      </c>
      <c r="Q617" s="3" t="inlineStr">
        <is>
          <t>epoch_user_site_equal_split_seed</t>
        </is>
      </c>
      <c r="R617" s="3" t="inlineStr">
        <is>
          <t>SRC_EPOCH_AI_DATA_CENTERS; EPOCH_NORMALIZED_USER_SITES</t>
        </is>
      </c>
      <c r="S617" s="3" t="inlineStr">
        <is>
          <t>Capacity weight is used only to weight accelerator mix, not to overwrite company total power in 02_Inputs.</t>
        </is>
      </c>
    </row>
    <row r="618">
      <c r="A618" s="3" t="inlineStr">
        <is>
          <t>Base|Microsoft|2029|Microsoft Fairwater Atlanta</t>
        </is>
      </c>
      <c r="B618" s="3" t="inlineStr">
        <is>
          <t>Base</t>
        </is>
      </c>
      <c r="C618" s="3" t="inlineStr">
        <is>
          <t>Microsoft</t>
        </is>
      </c>
      <c r="D618" s="3" t="n">
        <v>2029</v>
      </c>
      <c r="E618" s="3" t="inlineStr">
        <is>
          <t>Microsoft Fairwater Atlanta</t>
        </is>
      </c>
      <c r="F618" s="3" t="inlineStr">
        <is>
          <t>Microsoft</t>
        </is>
      </c>
      <c r="G618" s="3" t="inlineStr">
        <is>
          <t>United States</t>
        </is>
      </c>
      <c r="H618" s="25" t="n">
        <v>318</v>
      </c>
      <c r="I618" s="17" t="n">
        <v>1</v>
      </c>
      <c r="J618" s="17" t="n">
        <v>0.7</v>
      </c>
      <c r="K618" s="26" t="n">
        <v>0.3</v>
      </c>
      <c r="L618" s="3" t="inlineStr">
        <is>
          <t>2026-06-14</t>
        </is>
      </c>
      <c r="M618" s="27" t="n">
        <v>318</v>
      </c>
      <c r="N618" s="27" t="n">
        <v>318</v>
      </c>
      <c r="O618" s="3" t="inlineStr">
        <is>
          <t>likely</t>
        </is>
      </c>
      <c r="P618" s="3" t="inlineStr">
        <is>
          <t>B200</t>
        </is>
      </c>
      <c r="Q618" s="3" t="inlineStr">
        <is>
          <t>epoch_user_site_equal_split_seed</t>
        </is>
      </c>
      <c r="R618" s="3" t="inlineStr">
        <is>
          <t>SRC_EPOCH_AI_DATA_CENTERS; EPOCH_NORMALIZED_USER_SITES</t>
        </is>
      </c>
      <c r="S618" s="3" t="inlineStr">
        <is>
          <t>Capacity weight is used only to weight accelerator mix, not to overwrite company total power in 02_Inputs.</t>
        </is>
      </c>
    </row>
    <row r="619">
      <c r="A619" s="3" t="inlineStr">
        <is>
          <t>Base|Microsoft|2030|Microsoft Fairwater Atlanta</t>
        </is>
      </c>
      <c r="B619" s="3" t="inlineStr">
        <is>
          <t>Base</t>
        </is>
      </c>
      <c r="C619" s="3" t="inlineStr">
        <is>
          <t>Microsoft</t>
        </is>
      </c>
      <c r="D619" s="3" t="n">
        <v>2030</v>
      </c>
      <c r="E619" s="3" t="inlineStr">
        <is>
          <t>Microsoft Fairwater Atlanta</t>
        </is>
      </c>
      <c r="F619" s="3" t="inlineStr">
        <is>
          <t>Microsoft</t>
        </is>
      </c>
      <c r="G619" s="3" t="inlineStr">
        <is>
          <t>United States</t>
        </is>
      </c>
      <c r="H619" s="25" t="n">
        <v>318</v>
      </c>
      <c r="I619" s="17" t="n">
        <v>1</v>
      </c>
      <c r="J619" s="17" t="n">
        <v>0.75</v>
      </c>
      <c r="K619" s="26" t="n">
        <v>0.25</v>
      </c>
      <c r="L619" s="3" t="inlineStr">
        <is>
          <t>2026-06-14</t>
        </is>
      </c>
      <c r="M619" s="27" t="n">
        <v>318</v>
      </c>
      <c r="N619" s="27" t="n">
        <v>318</v>
      </c>
      <c r="O619" s="3" t="inlineStr">
        <is>
          <t>likely</t>
        </is>
      </c>
      <c r="P619" s="3" t="inlineStr">
        <is>
          <t>B200</t>
        </is>
      </c>
      <c r="Q619" s="3" t="inlineStr">
        <is>
          <t>epoch_user_site_equal_split_seed</t>
        </is>
      </c>
      <c r="R619" s="3" t="inlineStr">
        <is>
          <t>SRC_EPOCH_AI_DATA_CENTERS; EPOCH_NORMALIZED_USER_SITES</t>
        </is>
      </c>
      <c r="S619" s="3" t="inlineStr">
        <is>
          <t>Capacity weight is used only to weight accelerator mix, not to overwrite company total power in 02_Inputs.</t>
        </is>
      </c>
    </row>
    <row r="620">
      <c r="A620" s="3" t="inlineStr">
        <is>
          <t>Bull|Microsoft|2026|Microsoft Fairwater Atlanta</t>
        </is>
      </c>
      <c r="B620" s="3" t="inlineStr">
        <is>
          <t>Bull</t>
        </is>
      </c>
      <c r="C620" s="3" t="inlineStr">
        <is>
          <t>Microsoft</t>
        </is>
      </c>
      <c r="D620" s="3" t="n">
        <v>2026</v>
      </c>
      <c r="E620" s="3" t="inlineStr">
        <is>
          <t>Microsoft Fairwater Atlanta</t>
        </is>
      </c>
      <c r="F620" s="3" t="inlineStr">
        <is>
          <t>Microsoft</t>
        </is>
      </c>
      <c r="G620" s="3" t="inlineStr">
        <is>
          <t>United States</t>
        </is>
      </c>
      <c r="H620" s="25" t="n">
        <v>318</v>
      </c>
      <c r="I620" s="17" t="n">
        <v>1</v>
      </c>
      <c r="J620" s="17" t="n">
        <v>0.6</v>
      </c>
      <c r="K620" s="26" t="n">
        <v>0.4</v>
      </c>
      <c r="L620" s="3" t="inlineStr">
        <is>
          <t>2026-06-14</t>
        </is>
      </c>
      <c r="M620" s="27" t="n">
        <v>318</v>
      </c>
      <c r="N620" s="27" t="n">
        <v>318</v>
      </c>
      <c r="O620" s="3" t="inlineStr">
        <is>
          <t>likely</t>
        </is>
      </c>
      <c r="P620" s="3" t="inlineStr">
        <is>
          <t>B200</t>
        </is>
      </c>
      <c r="Q620" s="3" t="inlineStr">
        <is>
          <t>epoch_user_site_equal_split_seed</t>
        </is>
      </c>
      <c r="R620" s="3" t="inlineStr">
        <is>
          <t>SRC_EPOCH_AI_DATA_CENTERS; EPOCH_NORMALIZED_USER_SITES</t>
        </is>
      </c>
      <c r="S620" s="3" t="inlineStr">
        <is>
          <t>Capacity weight is used only to weight accelerator mix, not to overwrite company total power in 02_Inputs.</t>
        </is>
      </c>
    </row>
    <row r="621">
      <c r="A621" s="3" t="inlineStr">
        <is>
          <t>Bull|Microsoft|2027|Microsoft Fairwater Atlanta</t>
        </is>
      </c>
      <c r="B621" s="3" t="inlineStr">
        <is>
          <t>Bull</t>
        </is>
      </c>
      <c r="C621" s="3" t="inlineStr">
        <is>
          <t>Microsoft</t>
        </is>
      </c>
      <c r="D621" s="3" t="n">
        <v>2027</v>
      </c>
      <c r="E621" s="3" t="inlineStr">
        <is>
          <t>Microsoft Fairwater Atlanta</t>
        </is>
      </c>
      <c r="F621" s="3" t="inlineStr">
        <is>
          <t>Microsoft</t>
        </is>
      </c>
      <c r="G621" s="3" t="inlineStr">
        <is>
          <t>United States</t>
        </is>
      </c>
      <c r="H621" s="25" t="n">
        <v>318</v>
      </c>
      <c r="I621" s="17" t="n">
        <v>1</v>
      </c>
      <c r="J621" s="17" t="n">
        <v>0.658</v>
      </c>
      <c r="K621" s="26" t="n">
        <v>0.342</v>
      </c>
      <c r="L621" s="3" t="inlineStr">
        <is>
          <t>2026-06-14</t>
        </is>
      </c>
      <c r="M621" s="27" t="n">
        <v>318</v>
      </c>
      <c r="N621" s="27" t="n">
        <v>318</v>
      </c>
      <c r="O621" s="3" t="inlineStr">
        <is>
          <t>likely</t>
        </is>
      </c>
      <c r="P621" s="3" t="inlineStr">
        <is>
          <t>B200</t>
        </is>
      </c>
      <c r="Q621" s="3" t="inlineStr">
        <is>
          <t>epoch_user_site_equal_split_seed</t>
        </is>
      </c>
      <c r="R621" s="3" t="inlineStr">
        <is>
          <t>SRC_EPOCH_AI_DATA_CENTERS; EPOCH_NORMALIZED_USER_SITES</t>
        </is>
      </c>
      <c r="S621" s="3" t="inlineStr">
        <is>
          <t>Capacity weight is used only to weight accelerator mix, not to overwrite company total power in 02_Inputs.</t>
        </is>
      </c>
    </row>
    <row r="622">
      <c r="A622" s="3" t="inlineStr">
        <is>
          <t>Bull|Microsoft|2028|Microsoft Fairwater Atlanta</t>
        </is>
      </c>
      <c r="B622" s="3" t="inlineStr">
        <is>
          <t>Bull</t>
        </is>
      </c>
      <c r="C622" s="3" t="inlineStr">
        <is>
          <t>Microsoft</t>
        </is>
      </c>
      <c r="D622" s="3" t="n">
        <v>2028</v>
      </c>
      <c r="E622" s="3" t="inlineStr">
        <is>
          <t>Microsoft Fairwater Atlanta</t>
        </is>
      </c>
      <c r="F622" s="3" t="inlineStr">
        <is>
          <t>Microsoft</t>
        </is>
      </c>
      <c r="G622" s="3" t="inlineStr">
        <is>
          <t>United States</t>
        </is>
      </c>
      <c r="H622" s="25" t="n">
        <v>318</v>
      </c>
      <c r="I622" s="17" t="n">
        <v>1</v>
      </c>
      <c r="J622" s="17" t="n">
        <v>0.715</v>
      </c>
      <c r="K622" s="26" t="n">
        <v>0.285</v>
      </c>
      <c r="L622" s="3" t="inlineStr">
        <is>
          <t>2026-06-14</t>
        </is>
      </c>
      <c r="M622" s="27" t="n">
        <v>318</v>
      </c>
      <c r="N622" s="27" t="n">
        <v>318</v>
      </c>
      <c r="O622" s="3" t="inlineStr">
        <is>
          <t>likely</t>
        </is>
      </c>
      <c r="P622" s="3" t="inlineStr">
        <is>
          <t>B200</t>
        </is>
      </c>
      <c r="Q622" s="3" t="inlineStr">
        <is>
          <t>epoch_user_site_equal_split_seed</t>
        </is>
      </c>
      <c r="R622" s="3" t="inlineStr">
        <is>
          <t>SRC_EPOCH_AI_DATA_CENTERS; EPOCH_NORMALIZED_USER_SITES</t>
        </is>
      </c>
      <c r="S622" s="3" t="inlineStr">
        <is>
          <t>Capacity weight is used only to weight accelerator mix, not to overwrite company total power in 02_Inputs.</t>
        </is>
      </c>
    </row>
    <row r="623">
      <c r="A623" s="3" t="inlineStr">
        <is>
          <t>Bull|Microsoft|2029|Microsoft Fairwater Atlanta</t>
        </is>
      </c>
      <c r="B623" s="3" t="inlineStr">
        <is>
          <t>Bull</t>
        </is>
      </c>
      <c r="C623" s="3" t="inlineStr">
        <is>
          <t>Microsoft</t>
        </is>
      </c>
      <c r="D623" s="3" t="n">
        <v>2029</v>
      </c>
      <c r="E623" s="3" t="inlineStr">
        <is>
          <t>Microsoft Fairwater Atlanta</t>
        </is>
      </c>
      <c r="F623" s="3" t="inlineStr">
        <is>
          <t>Microsoft</t>
        </is>
      </c>
      <c r="G623" s="3" t="inlineStr">
        <is>
          <t>United States</t>
        </is>
      </c>
      <c r="H623" s="25" t="n">
        <v>318</v>
      </c>
      <c r="I623" s="17" t="n">
        <v>1</v>
      </c>
      <c r="J623" s="17" t="n">
        <v>0.772</v>
      </c>
      <c r="K623" s="26" t="n">
        <v>0.228</v>
      </c>
      <c r="L623" s="3" t="inlineStr">
        <is>
          <t>2026-06-14</t>
        </is>
      </c>
      <c r="M623" s="27" t="n">
        <v>318</v>
      </c>
      <c r="N623" s="27" t="n">
        <v>318</v>
      </c>
      <c r="O623" s="3" t="inlineStr">
        <is>
          <t>likely</t>
        </is>
      </c>
      <c r="P623" s="3" t="inlineStr">
        <is>
          <t>B200</t>
        </is>
      </c>
      <c r="Q623" s="3" t="inlineStr">
        <is>
          <t>epoch_user_site_equal_split_seed</t>
        </is>
      </c>
      <c r="R623" s="3" t="inlineStr">
        <is>
          <t>SRC_EPOCH_AI_DATA_CENTERS; EPOCH_NORMALIZED_USER_SITES</t>
        </is>
      </c>
      <c r="S623" s="3" t="inlineStr">
        <is>
          <t>Capacity weight is used only to weight accelerator mix, not to overwrite company total power in 02_Inputs.</t>
        </is>
      </c>
    </row>
    <row r="624">
      <c r="A624" s="3" t="inlineStr">
        <is>
          <t>Bull|Microsoft|2030|Microsoft Fairwater Atlanta</t>
        </is>
      </c>
      <c r="B624" s="3" t="inlineStr">
        <is>
          <t>Bull</t>
        </is>
      </c>
      <c r="C624" s="3" t="inlineStr">
        <is>
          <t>Microsoft</t>
        </is>
      </c>
      <c r="D624" s="3" t="n">
        <v>2030</v>
      </c>
      <c r="E624" s="3" t="inlineStr">
        <is>
          <t>Microsoft Fairwater Atlanta</t>
        </is>
      </c>
      <c r="F624" s="3" t="inlineStr">
        <is>
          <t>Microsoft</t>
        </is>
      </c>
      <c r="G624" s="3" t="inlineStr">
        <is>
          <t>United States</t>
        </is>
      </c>
      <c r="H624" s="25" t="n">
        <v>318</v>
      </c>
      <c r="I624" s="17" t="n">
        <v>1</v>
      </c>
      <c r="J624" s="17" t="n">
        <v>0.83</v>
      </c>
      <c r="K624" s="26" t="n">
        <v>0.17</v>
      </c>
      <c r="L624" s="3" t="inlineStr">
        <is>
          <t>2026-06-14</t>
        </is>
      </c>
      <c r="M624" s="27" t="n">
        <v>318</v>
      </c>
      <c r="N624" s="27" t="n">
        <v>318</v>
      </c>
      <c r="O624" s="3" t="inlineStr">
        <is>
          <t>likely</t>
        </is>
      </c>
      <c r="P624" s="3" t="inlineStr">
        <is>
          <t>B200</t>
        </is>
      </c>
      <c r="Q624" s="3" t="inlineStr">
        <is>
          <t>epoch_user_site_equal_split_seed</t>
        </is>
      </c>
      <c r="R624" s="3" t="inlineStr">
        <is>
          <t>SRC_EPOCH_AI_DATA_CENTERS; EPOCH_NORMALIZED_USER_SITES</t>
        </is>
      </c>
      <c r="S624" s="3" t="inlineStr">
        <is>
          <t>Capacity weight is used only to weight accelerator mix, not to overwrite company total power in 02_Inputs.</t>
        </is>
      </c>
    </row>
    <row r="625">
      <c r="A625" s="3" t="inlineStr">
        <is>
          <t>Grid-Constrained / Efficiency-Upside|Microsoft|2026|Microsoft Fairwater Atlanta</t>
        </is>
      </c>
      <c r="B625" s="3" t="inlineStr">
        <is>
          <t>Grid-Constrained / Efficiency-Upside</t>
        </is>
      </c>
      <c r="C625" s="3" t="inlineStr">
        <is>
          <t>Microsoft</t>
        </is>
      </c>
      <c r="D625" s="3" t="n">
        <v>2026</v>
      </c>
      <c r="E625" s="3" t="inlineStr">
        <is>
          <t>Microsoft Fairwater Atlanta</t>
        </is>
      </c>
      <c r="F625" s="3" t="inlineStr">
        <is>
          <t>Microsoft</t>
        </is>
      </c>
      <c r="G625" s="3" t="inlineStr">
        <is>
          <t>United States</t>
        </is>
      </c>
      <c r="H625" s="25" t="n">
        <v>318</v>
      </c>
      <c r="I625" s="17" t="n">
        <v>1</v>
      </c>
      <c r="J625" s="17" t="n">
        <v>0.57</v>
      </c>
      <c r="K625" s="26" t="n">
        <v>0.43</v>
      </c>
      <c r="L625" s="3" t="inlineStr">
        <is>
          <t>2026-06-14</t>
        </is>
      </c>
      <c r="M625" s="27" t="n">
        <v>318</v>
      </c>
      <c r="N625" s="27" t="n">
        <v>318</v>
      </c>
      <c r="O625" s="3" t="inlineStr">
        <is>
          <t>likely</t>
        </is>
      </c>
      <c r="P625" s="3" t="inlineStr">
        <is>
          <t>B200</t>
        </is>
      </c>
      <c r="Q625" s="3" t="inlineStr">
        <is>
          <t>epoch_user_site_equal_split_seed</t>
        </is>
      </c>
      <c r="R625" s="3" t="inlineStr">
        <is>
          <t>SRC_EPOCH_AI_DATA_CENTERS; EPOCH_NORMALIZED_USER_SITES</t>
        </is>
      </c>
      <c r="S625" s="3" t="inlineStr">
        <is>
          <t>Capacity weight is used only to weight accelerator mix, not to overwrite company total power in 02_Inputs.</t>
        </is>
      </c>
    </row>
    <row r="626">
      <c r="A626" s="3" t="inlineStr">
        <is>
          <t>Grid-Constrained / Efficiency-Upside|Microsoft|2027|Microsoft Fairwater Atlanta</t>
        </is>
      </c>
      <c r="B626" s="3" t="inlineStr">
        <is>
          <t>Grid-Constrained / Efficiency-Upside</t>
        </is>
      </c>
      <c r="C626" s="3" t="inlineStr">
        <is>
          <t>Microsoft</t>
        </is>
      </c>
      <c r="D626" s="3" t="n">
        <v>2027</v>
      </c>
      <c r="E626" s="3" t="inlineStr">
        <is>
          <t>Microsoft Fairwater Atlanta</t>
        </is>
      </c>
      <c r="F626" s="3" t="inlineStr">
        <is>
          <t>Microsoft</t>
        </is>
      </c>
      <c r="G626" s="3" t="inlineStr">
        <is>
          <t>United States</t>
        </is>
      </c>
      <c r="H626" s="25" t="n">
        <v>318</v>
      </c>
      <c r="I626" s="17" t="n">
        <v>1</v>
      </c>
      <c r="J626" s="17" t="n">
        <v>0.625</v>
      </c>
      <c r="K626" s="26" t="n">
        <v>0.375</v>
      </c>
      <c r="L626" s="3" t="inlineStr">
        <is>
          <t>2026-06-14</t>
        </is>
      </c>
      <c r="M626" s="27" t="n">
        <v>318</v>
      </c>
      <c r="N626" s="27" t="n">
        <v>318</v>
      </c>
      <c r="O626" s="3" t="inlineStr">
        <is>
          <t>likely</t>
        </is>
      </c>
      <c r="P626" s="3" t="inlineStr">
        <is>
          <t>B200</t>
        </is>
      </c>
      <c r="Q626" s="3" t="inlineStr">
        <is>
          <t>epoch_user_site_equal_split_seed</t>
        </is>
      </c>
      <c r="R626" s="3" t="inlineStr">
        <is>
          <t>SRC_EPOCH_AI_DATA_CENTERS; EPOCH_NORMALIZED_USER_SITES</t>
        </is>
      </c>
      <c r="S626" s="3" t="inlineStr">
        <is>
          <t>Capacity weight is used only to weight accelerator mix, not to overwrite company total power in 02_Inputs.</t>
        </is>
      </c>
    </row>
    <row r="627">
      <c r="A627" s="3" t="inlineStr">
        <is>
          <t>Grid-Constrained / Efficiency-Upside|Microsoft|2028|Microsoft Fairwater Atlanta</t>
        </is>
      </c>
      <c r="B627" s="3" t="inlineStr">
        <is>
          <t>Grid-Constrained / Efficiency-Upside</t>
        </is>
      </c>
      <c r="C627" s="3" t="inlineStr">
        <is>
          <t>Microsoft</t>
        </is>
      </c>
      <c r="D627" s="3" t="n">
        <v>2028</v>
      </c>
      <c r="E627" s="3" t="inlineStr">
        <is>
          <t>Microsoft Fairwater Atlanta</t>
        </is>
      </c>
      <c r="F627" s="3" t="inlineStr">
        <is>
          <t>Microsoft</t>
        </is>
      </c>
      <c r="G627" s="3" t="inlineStr">
        <is>
          <t>United States</t>
        </is>
      </c>
      <c r="H627" s="25" t="n">
        <v>318</v>
      </c>
      <c r="I627" s="17" t="n">
        <v>1</v>
      </c>
      <c r="J627" s="17" t="n">
        <v>0.68</v>
      </c>
      <c r="K627" s="26" t="n">
        <v>0.32</v>
      </c>
      <c r="L627" s="3" t="inlineStr">
        <is>
          <t>2026-06-14</t>
        </is>
      </c>
      <c r="M627" s="27" t="n">
        <v>318</v>
      </c>
      <c r="N627" s="27" t="n">
        <v>318</v>
      </c>
      <c r="O627" s="3" t="inlineStr">
        <is>
          <t>likely</t>
        </is>
      </c>
      <c r="P627" s="3" t="inlineStr">
        <is>
          <t>B200</t>
        </is>
      </c>
      <c r="Q627" s="3" t="inlineStr">
        <is>
          <t>epoch_user_site_equal_split_seed</t>
        </is>
      </c>
      <c r="R627" s="3" t="inlineStr">
        <is>
          <t>SRC_EPOCH_AI_DATA_CENTERS; EPOCH_NORMALIZED_USER_SITES</t>
        </is>
      </c>
      <c r="S627" s="3" t="inlineStr">
        <is>
          <t>Capacity weight is used only to weight accelerator mix, not to overwrite company total power in 02_Inputs.</t>
        </is>
      </c>
    </row>
    <row r="628">
      <c r="A628" s="3" t="inlineStr">
        <is>
          <t>Grid-Constrained / Efficiency-Upside|Microsoft|2029|Microsoft Fairwater Atlanta</t>
        </is>
      </c>
      <c r="B628" s="3" t="inlineStr">
        <is>
          <t>Grid-Constrained / Efficiency-Upside</t>
        </is>
      </c>
      <c r="C628" s="3" t="inlineStr">
        <is>
          <t>Microsoft</t>
        </is>
      </c>
      <c r="D628" s="3" t="n">
        <v>2029</v>
      </c>
      <c r="E628" s="3" t="inlineStr">
        <is>
          <t>Microsoft Fairwater Atlanta</t>
        </is>
      </c>
      <c r="F628" s="3" t="inlineStr">
        <is>
          <t>Microsoft</t>
        </is>
      </c>
      <c r="G628" s="3" t="inlineStr">
        <is>
          <t>United States</t>
        </is>
      </c>
      <c r="H628" s="25" t="n">
        <v>318</v>
      </c>
      <c r="I628" s="17" t="n">
        <v>1</v>
      </c>
      <c r="J628" s="17" t="n">
        <v>0.735</v>
      </c>
      <c r="K628" s="26" t="n">
        <v>0.265</v>
      </c>
      <c r="L628" s="3" t="inlineStr">
        <is>
          <t>2026-06-14</t>
        </is>
      </c>
      <c r="M628" s="27" t="n">
        <v>318</v>
      </c>
      <c r="N628" s="27" t="n">
        <v>318</v>
      </c>
      <c r="O628" s="3" t="inlineStr">
        <is>
          <t>likely</t>
        </is>
      </c>
      <c r="P628" s="3" t="inlineStr">
        <is>
          <t>B200</t>
        </is>
      </c>
      <c r="Q628" s="3" t="inlineStr">
        <is>
          <t>epoch_user_site_equal_split_seed</t>
        </is>
      </c>
      <c r="R628" s="3" t="inlineStr">
        <is>
          <t>SRC_EPOCH_AI_DATA_CENTERS; EPOCH_NORMALIZED_USER_SITES</t>
        </is>
      </c>
      <c r="S628" s="3" t="inlineStr">
        <is>
          <t>Capacity weight is used only to weight accelerator mix, not to overwrite company total power in 02_Inputs.</t>
        </is>
      </c>
    </row>
    <row r="629">
      <c r="A629" s="3" t="inlineStr">
        <is>
          <t>Grid-Constrained / Efficiency-Upside|Microsoft|2030|Microsoft Fairwater Atlanta</t>
        </is>
      </c>
      <c r="B629" s="3" t="inlineStr">
        <is>
          <t>Grid-Constrained / Efficiency-Upside</t>
        </is>
      </c>
      <c r="C629" s="3" t="inlineStr">
        <is>
          <t>Microsoft</t>
        </is>
      </c>
      <c r="D629" s="3" t="n">
        <v>2030</v>
      </c>
      <c r="E629" s="3" t="inlineStr">
        <is>
          <t>Microsoft Fairwater Atlanta</t>
        </is>
      </c>
      <c r="F629" s="3" t="inlineStr">
        <is>
          <t>Microsoft</t>
        </is>
      </c>
      <c r="G629" s="3" t="inlineStr">
        <is>
          <t>United States</t>
        </is>
      </c>
      <c r="H629" s="25" t="n">
        <v>318</v>
      </c>
      <c r="I629" s="17" t="n">
        <v>1</v>
      </c>
      <c r="J629" s="17" t="n">
        <v>0.79</v>
      </c>
      <c r="K629" s="26" t="n">
        <v>0.21</v>
      </c>
      <c r="L629" s="3" t="inlineStr">
        <is>
          <t>2026-06-14</t>
        </is>
      </c>
      <c r="M629" s="27" t="n">
        <v>318</v>
      </c>
      <c r="N629" s="27" t="n">
        <v>318</v>
      </c>
      <c r="O629" s="3" t="inlineStr">
        <is>
          <t>likely</t>
        </is>
      </c>
      <c r="P629" s="3" t="inlineStr">
        <is>
          <t>B200</t>
        </is>
      </c>
      <c r="Q629" s="3" t="inlineStr">
        <is>
          <t>epoch_user_site_equal_split_seed</t>
        </is>
      </c>
      <c r="R629" s="3" t="inlineStr">
        <is>
          <t>SRC_EPOCH_AI_DATA_CENTERS; EPOCH_NORMALIZED_USER_SITES</t>
        </is>
      </c>
      <c r="S629" s="3" t="inlineStr">
        <is>
          <t>Capacity weight is used only to weight accelerator mix, not to overwrite company total power in 02_Inputs.</t>
        </is>
      </c>
    </row>
    <row r="630">
      <c r="A630" s="3" t="inlineStr">
        <is>
          <t>Bear|Microsoft|2026|Microsoft Fairwater Wisconsin</t>
        </is>
      </c>
      <c r="B630" s="3" t="inlineStr">
        <is>
          <t>Bear</t>
        </is>
      </c>
      <c r="C630" s="3" t="inlineStr">
        <is>
          <t>Microsoft</t>
        </is>
      </c>
      <c r="D630" s="3" t="n">
        <v>2026</v>
      </c>
      <c r="E630" s="3" t="inlineStr">
        <is>
          <t>Microsoft Fairwater Wisconsin</t>
        </is>
      </c>
      <c r="F630" s="3" t="inlineStr">
        <is>
          <t>Microsoft</t>
        </is>
      </c>
      <c r="G630" s="3" t="inlineStr">
        <is>
          <t>United States</t>
        </is>
      </c>
      <c r="H630" s="25" t="n">
        <v>184.5</v>
      </c>
      <c r="I630" s="17" t="n">
        <v>1</v>
      </c>
      <c r="J630" s="17" t="n">
        <v>0.47</v>
      </c>
      <c r="K630" s="26" t="n">
        <v>0.53</v>
      </c>
      <c r="L630" s="3" t="inlineStr">
        <is>
          <t>2028-05-13</t>
        </is>
      </c>
      <c r="M630" s="27" t="n">
        <v>184.5</v>
      </c>
      <c r="N630" s="27" t="n">
        <v>1131.5</v>
      </c>
      <c r="O630" s="3" t="inlineStr">
        <is>
          <t>likely</t>
        </is>
      </c>
      <c r="P630" s="3" t="inlineStr">
        <is>
          <t>B200</t>
        </is>
      </c>
      <c r="Q630" s="3" t="inlineStr">
        <is>
          <t>epoch_user_site_equal_split_seed</t>
        </is>
      </c>
      <c r="R630" s="3" t="inlineStr">
        <is>
          <t>SRC_EPOCH_AI_DATA_CENTERS; EPOCH_NORMALIZED_USER_SITES</t>
        </is>
      </c>
      <c r="S630" s="3" t="inlineStr">
        <is>
          <t>Capacity weight is used only to weight accelerator mix, not to overwrite company total power in 02_Inputs.</t>
        </is>
      </c>
    </row>
    <row r="631">
      <c r="A631" s="3" t="inlineStr">
        <is>
          <t>Bear|Microsoft|2027|Microsoft Fairwater Wisconsin</t>
        </is>
      </c>
      <c r="B631" s="3" t="inlineStr">
        <is>
          <t>Bear</t>
        </is>
      </c>
      <c r="C631" s="3" t="inlineStr">
        <is>
          <t>Microsoft</t>
        </is>
      </c>
      <c r="D631" s="3" t="n">
        <v>2027</v>
      </c>
      <c r="E631" s="3" t="inlineStr">
        <is>
          <t>Microsoft Fairwater Wisconsin</t>
        </is>
      </c>
      <c r="F631" s="3" t="inlineStr">
        <is>
          <t>Microsoft</t>
        </is>
      </c>
      <c r="G631" s="3" t="inlineStr">
        <is>
          <t>United States</t>
        </is>
      </c>
      <c r="H631" s="25" t="n">
        <v>184.5</v>
      </c>
      <c r="I631" s="17" t="n">
        <v>1</v>
      </c>
      <c r="J631" s="17" t="n">
        <v>0.515</v>
      </c>
      <c r="K631" s="26" t="n">
        <v>0.485</v>
      </c>
      <c r="L631" s="3" t="inlineStr">
        <is>
          <t>2028-05-13</t>
        </is>
      </c>
      <c r="M631" s="27" t="n">
        <v>184.5</v>
      </c>
      <c r="N631" s="27" t="n">
        <v>1131.5</v>
      </c>
      <c r="O631" s="3" t="inlineStr">
        <is>
          <t>likely</t>
        </is>
      </c>
      <c r="P631" s="3" t="inlineStr">
        <is>
          <t>B200</t>
        </is>
      </c>
      <c r="Q631" s="3" t="inlineStr">
        <is>
          <t>epoch_user_site_equal_split_seed</t>
        </is>
      </c>
      <c r="R631" s="3" t="inlineStr">
        <is>
          <t>SRC_EPOCH_AI_DATA_CENTERS; EPOCH_NORMALIZED_USER_SITES</t>
        </is>
      </c>
      <c r="S631" s="3" t="inlineStr">
        <is>
          <t>Capacity weight is used only to weight accelerator mix, not to overwrite company total power in 02_Inputs.</t>
        </is>
      </c>
    </row>
    <row r="632">
      <c r="A632" s="3" t="inlineStr">
        <is>
          <t>Bear|Microsoft|2028|Microsoft Fairwater Wisconsin</t>
        </is>
      </c>
      <c r="B632" s="3" t="inlineStr">
        <is>
          <t>Bear</t>
        </is>
      </c>
      <c r="C632" s="3" t="inlineStr">
        <is>
          <t>Microsoft</t>
        </is>
      </c>
      <c r="D632" s="3" t="n">
        <v>2028</v>
      </c>
      <c r="E632" s="3" t="inlineStr">
        <is>
          <t>Microsoft Fairwater Wisconsin</t>
        </is>
      </c>
      <c r="F632" s="3" t="inlineStr">
        <is>
          <t>Microsoft</t>
        </is>
      </c>
      <c r="G632" s="3" t="inlineStr">
        <is>
          <t>United States</t>
        </is>
      </c>
      <c r="H632" s="25" t="n">
        <v>1131.5</v>
      </c>
      <c r="I632" s="17" t="n">
        <v>1</v>
      </c>
      <c r="J632" s="17" t="n">
        <v>0.5600000000000001</v>
      </c>
      <c r="K632" s="26" t="n">
        <v>0.44</v>
      </c>
      <c r="L632" s="3" t="inlineStr">
        <is>
          <t>2028-05-13</t>
        </is>
      </c>
      <c r="M632" s="27" t="n">
        <v>184.5</v>
      </c>
      <c r="N632" s="27" t="n">
        <v>1131.5</v>
      </c>
      <c r="O632" s="3" t="inlineStr">
        <is>
          <t>likely</t>
        </is>
      </c>
      <c r="P632" s="3" t="inlineStr">
        <is>
          <t>B200</t>
        </is>
      </c>
      <c r="Q632" s="3" t="inlineStr">
        <is>
          <t>epoch_user_site_equal_split_seed</t>
        </is>
      </c>
      <c r="R632" s="3" t="inlineStr">
        <is>
          <t>SRC_EPOCH_AI_DATA_CENTERS; EPOCH_NORMALIZED_USER_SITES</t>
        </is>
      </c>
      <c r="S632" s="3" t="inlineStr">
        <is>
          <t>Capacity weight is used only to weight accelerator mix, not to overwrite company total power in 02_Inputs.</t>
        </is>
      </c>
    </row>
    <row r="633">
      <c r="A633" s="3" t="inlineStr">
        <is>
          <t>Bear|Microsoft|2029|Microsoft Fairwater Wisconsin</t>
        </is>
      </c>
      <c r="B633" s="3" t="inlineStr">
        <is>
          <t>Bear</t>
        </is>
      </c>
      <c r="C633" s="3" t="inlineStr">
        <is>
          <t>Microsoft</t>
        </is>
      </c>
      <c r="D633" s="3" t="n">
        <v>2029</v>
      </c>
      <c r="E633" s="3" t="inlineStr">
        <is>
          <t>Microsoft Fairwater Wisconsin</t>
        </is>
      </c>
      <c r="F633" s="3" t="inlineStr">
        <is>
          <t>Microsoft</t>
        </is>
      </c>
      <c r="G633" s="3" t="inlineStr">
        <is>
          <t>United States</t>
        </is>
      </c>
      <c r="H633" s="25" t="n">
        <v>1131.5</v>
      </c>
      <c r="I633" s="17" t="n">
        <v>1</v>
      </c>
      <c r="J633" s="17" t="n">
        <v>0.605</v>
      </c>
      <c r="K633" s="26" t="n">
        <v>0.395</v>
      </c>
      <c r="L633" s="3" t="inlineStr">
        <is>
          <t>2028-05-13</t>
        </is>
      </c>
      <c r="M633" s="27" t="n">
        <v>184.5</v>
      </c>
      <c r="N633" s="27" t="n">
        <v>1131.5</v>
      </c>
      <c r="O633" s="3" t="inlineStr">
        <is>
          <t>likely</t>
        </is>
      </c>
      <c r="P633" s="3" t="inlineStr">
        <is>
          <t>B200</t>
        </is>
      </c>
      <c r="Q633" s="3" t="inlineStr">
        <is>
          <t>epoch_user_site_equal_split_seed</t>
        </is>
      </c>
      <c r="R633" s="3" t="inlineStr">
        <is>
          <t>SRC_EPOCH_AI_DATA_CENTERS; EPOCH_NORMALIZED_USER_SITES</t>
        </is>
      </c>
      <c r="S633" s="3" t="inlineStr">
        <is>
          <t>Capacity weight is used only to weight accelerator mix, not to overwrite company total power in 02_Inputs.</t>
        </is>
      </c>
    </row>
    <row r="634">
      <c r="A634" s="3" t="inlineStr">
        <is>
          <t>Bear|Microsoft|2030|Microsoft Fairwater Wisconsin</t>
        </is>
      </c>
      <c r="B634" s="3" t="inlineStr">
        <is>
          <t>Bear</t>
        </is>
      </c>
      <c r="C634" s="3" t="inlineStr">
        <is>
          <t>Microsoft</t>
        </is>
      </c>
      <c r="D634" s="3" t="n">
        <v>2030</v>
      </c>
      <c r="E634" s="3" t="inlineStr">
        <is>
          <t>Microsoft Fairwater Wisconsin</t>
        </is>
      </c>
      <c r="F634" s="3" t="inlineStr">
        <is>
          <t>Microsoft</t>
        </is>
      </c>
      <c r="G634" s="3" t="inlineStr">
        <is>
          <t>United States</t>
        </is>
      </c>
      <c r="H634" s="25" t="n">
        <v>1131.5</v>
      </c>
      <c r="I634" s="17" t="n">
        <v>1</v>
      </c>
      <c r="J634" s="17" t="n">
        <v>0.65</v>
      </c>
      <c r="K634" s="26" t="n">
        <v>0.35</v>
      </c>
      <c r="L634" s="3" t="inlineStr">
        <is>
          <t>2028-05-13</t>
        </is>
      </c>
      <c r="M634" s="27" t="n">
        <v>184.5</v>
      </c>
      <c r="N634" s="27" t="n">
        <v>1131.5</v>
      </c>
      <c r="O634" s="3" t="inlineStr">
        <is>
          <t>likely</t>
        </is>
      </c>
      <c r="P634" s="3" t="inlineStr">
        <is>
          <t>B200</t>
        </is>
      </c>
      <c r="Q634" s="3" t="inlineStr">
        <is>
          <t>epoch_user_site_equal_split_seed</t>
        </is>
      </c>
      <c r="R634" s="3" t="inlineStr">
        <is>
          <t>SRC_EPOCH_AI_DATA_CENTERS; EPOCH_NORMALIZED_USER_SITES</t>
        </is>
      </c>
      <c r="S634" s="3" t="inlineStr">
        <is>
          <t>Capacity weight is used only to weight accelerator mix, not to overwrite company total power in 02_Inputs.</t>
        </is>
      </c>
    </row>
    <row r="635">
      <c r="A635" s="3" t="inlineStr">
        <is>
          <t>Base|Microsoft|2026|Microsoft Fairwater Wisconsin</t>
        </is>
      </c>
      <c r="B635" s="3" t="inlineStr">
        <is>
          <t>Base</t>
        </is>
      </c>
      <c r="C635" s="3" t="inlineStr">
        <is>
          <t>Microsoft</t>
        </is>
      </c>
      <c r="D635" s="3" t="n">
        <v>2026</v>
      </c>
      <c r="E635" s="3" t="inlineStr">
        <is>
          <t>Microsoft Fairwater Wisconsin</t>
        </is>
      </c>
      <c r="F635" s="3" t="inlineStr">
        <is>
          <t>Microsoft</t>
        </is>
      </c>
      <c r="G635" s="3" t="inlineStr">
        <is>
          <t>United States</t>
        </is>
      </c>
      <c r="H635" s="25" t="n">
        <v>184.5</v>
      </c>
      <c r="I635" s="17" t="n">
        <v>1</v>
      </c>
      <c r="J635" s="17" t="n">
        <v>0.55</v>
      </c>
      <c r="K635" s="26" t="n">
        <v>0.45</v>
      </c>
      <c r="L635" s="3" t="inlineStr">
        <is>
          <t>2028-05-13</t>
        </is>
      </c>
      <c r="M635" s="27" t="n">
        <v>184.5</v>
      </c>
      <c r="N635" s="27" t="n">
        <v>1131.5</v>
      </c>
      <c r="O635" s="3" t="inlineStr">
        <is>
          <t>likely</t>
        </is>
      </c>
      <c r="P635" s="3" t="inlineStr">
        <is>
          <t>B200</t>
        </is>
      </c>
      <c r="Q635" s="3" t="inlineStr">
        <is>
          <t>epoch_user_site_equal_split_seed</t>
        </is>
      </c>
      <c r="R635" s="3" t="inlineStr">
        <is>
          <t>SRC_EPOCH_AI_DATA_CENTERS; EPOCH_NORMALIZED_USER_SITES</t>
        </is>
      </c>
      <c r="S635" s="3" t="inlineStr">
        <is>
          <t>Capacity weight is used only to weight accelerator mix, not to overwrite company total power in 02_Inputs.</t>
        </is>
      </c>
    </row>
    <row r="636">
      <c r="A636" s="3" t="inlineStr">
        <is>
          <t>Base|Microsoft|2027|Microsoft Fairwater Wisconsin</t>
        </is>
      </c>
      <c r="B636" s="3" t="inlineStr">
        <is>
          <t>Base</t>
        </is>
      </c>
      <c r="C636" s="3" t="inlineStr">
        <is>
          <t>Microsoft</t>
        </is>
      </c>
      <c r="D636" s="3" t="n">
        <v>2027</v>
      </c>
      <c r="E636" s="3" t="inlineStr">
        <is>
          <t>Microsoft Fairwater Wisconsin</t>
        </is>
      </c>
      <c r="F636" s="3" t="inlineStr">
        <is>
          <t>Microsoft</t>
        </is>
      </c>
      <c r="G636" s="3" t="inlineStr">
        <is>
          <t>United States</t>
        </is>
      </c>
      <c r="H636" s="25" t="n">
        <v>184.5</v>
      </c>
      <c r="I636" s="17" t="n">
        <v>1</v>
      </c>
      <c r="J636" s="17" t="n">
        <v>0.6</v>
      </c>
      <c r="K636" s="26" t="n">
        <v>0.4</v>
      </c>
      <c r="L636" s="3" t="inlineStr">
        <is>
          <t>2028-05-13</t>
        </is>
      </c>
      <c r="M636" s="27" t="n">
        <v>184.5</v>
      </c>
      <c r="N636" s="27" t="n">
        <v>1131.5</v>
      </c>
      <c r="O636" s="3" t="inlineStr">
        <is>
          <t>likely</t>
        </is>
      </c>
      <c r="P636" s="3" t="inlineStr">
        <is>
          <t>B200</t>
        </is>
      </c>
      <c r="Q636" s="3" t="inlineStr">
        <is>
          <t>epoch_user_site_equal_split_seed</t>
        </is>
      </c>
      <c r="R636" s="3" t="inlineStr">
        <is>
          <t>SRC_EPOCH_AI_DATA_CENTERS; EPOCH_NORMALIZED_USER_SITES</t>
        </is>
      </c>
      <c r="S636" s="3" t="inlineStr">
        <is>
          <t>Capacity weight is used only to weight accelerator mix, not to overwrite company total power in 02_Inputs.</t>
        </is>
      </c>
    </row>
    <row r="637">
      <c r="A637" s="3" t="inlineStr">
        <is>
          <t>Base|Microsoft|2028|Microsoft Fairwater Wisconsin</t>
        </is>
      </c>
      <c r="B637" s="3" t="inlineStr">
        <is>
          <t>Base</t>
        </is>
      </c>
      <c r="C637" s="3" t="inlineStr">
        <is>
          <t>Microsoft</t>
        </is>
      </c>
      <c r="D637" s="3" t="n">
        <v>2028</v>
      </c>
      <c r="E637" s="3" t="inlineStr">
        <is>
          <t>Microsoft Fairwater Wisconsin</t>
        </is>
      </c>
      <c r="F637" s="3" t="inlineStr">
        <is>
          <t>Microsoft</t>
        </is>
      </c>
      <c r="G637" s="3" t="inlineStr">
        <is>
          <t>United States</t>
        </is>
      </c>
      <c r="H637" s="25" t="n">
        <v>1131.5</v>
      </c>
      <c r="I637" s="17" t="n">
        <v>1</v>
      </c>
      <c r="J637" s="17" t="n">
        <v>0.65</v>
      </c>
      <c r="K637" s="26" t="n">
        <v>0.35</v>
      </c>
      <c r="L637" s="3" t="inlineStr">
        <is>
          <t>2028-05-13</t>
        </is>
      </c>
      <c r="M637" s="27" t="n">
        <v>184.5</v>
      </c>
      <c r="N637" s="27" t="n">
        <v>1131.5</v>
      </c>
      <c r="O637" s="3" t="inlineStr">
        <is>
          <t>likely</t>
        </is>
      </c>
      <c r="P637" s="3" t="inlineStr">
        <is>
          <t>B200</t>
        </is>
      </c>
      <c r="Q637" s="3" t="inlineStr">
        <is>
          <t>epoch_user_site_equal_split_seed</t>
        </is>
      </c>
      <c r="R637" s="3" t="inlineStr">
        <is>
          <t>SRC_EPOCH_AI_DATA_CENTERS; EPOCH_NORMALIZED_USER_SITES</t>
        </is>
      </c>
      <c r="S637" s="3" t="inlineStr">
        <is>
          <t>Capacity weight is used only to weight accelerator mix, not to overwrite company total power in 02_Inputs.</t>
        </is>
      </c>
    </row>
    <row r="638">
      <c r="A638" s="3" t="inlineStr">
        <is>
          <t>Base|Microsoft|2029|Microsoft Fairwater Wisconsin</t>
        </is>
      </c>
      <c r="B638" s="3" t="inlineStr">
        <is>
          <t>Base</t>
        </is>
      </c>
      <c r="C638" s="3" t="inlineStr">
        <is>
          <t>Microsoft</t>
        </is>
      </c>
      <c r="D638" s="3" t="n">
        <v>2029</v>
      </c>
      <c r="E638" s="3" t="inlineStr">
        <is>
          <t>Microsoft Fairwater Wisconsin</t>
        </is>
      </c>
      <c r="F638" s="3" t="inlineStr">
        <is>
          <t>Microsoft</t>
        </is>
      </c>
      <c r="G638" s="3" t="inlineStr">
        <is>
          <t>United States</t>
        </is>
      </c>
      <c r="H638" s="25" t="n">
        <v>1131.5</v>
      </c>
      <c r="I638" s="17" t="n">
        <v>1</v>
      </c>
      <c r="J638" s="17" t="n">
        <v>0.7</v>
      </c>
      <c r="K638" s="26" t="n">
        <v>0.3</v>
      </c>
      <c r="L638" s="3" t="inlineStr">
        <is>
          <t>2028-05-13</t>
        </is>
      </c>
      <c r="M638" s="27" t="n">
        <v>184.5</v>
      </c>
      <c r="N638" s="27" t="n">
        <v>1131.5</v>
      </c>
      <c r="O638" s="3" t="inlineStr">
        <is>
          <t>likely</t>
        </is>
      </c>
      <c r="P638" s="3" t="inlineStr">
        <is>
          <t>B200</t>
        </is>
      </c>
      <c r="Q638" s="3" t="inlineStr">
        <is>
          <t>epoch_user_site_equal_split_seed</t>
        </is>
      </c>
      <c r="R638" s="3" t="inlineStr">
        <is>
          <t>SRC_EPOCH_AI_DATA_CENTERS; EPOCH_NORMALIZED_USER_SITES</t>
        </is>
      </c>
      <c r="S638" s="3" t="inlineStr">
        <is>
          <t>Capacity weight is used only to weight accelerator mix, not to overwrite company total power in 02_Inputs.</t>
        </is>
      </c>
    </row>
    <row r="639">
      <c r="A639" s="3" t="inlineStr">
        <is>
          <t>Base|Microsoft|2030|Microsoft Fairwater Wisconsin</t>
        </is>
      </c>
      <c r="B639" s="3" t="inlineStr">
        <is>
          <t>Base</t>
        </is>
      </c>
      <c r="C639" s="3" t="inlineStr">
        <is>
          <t>Microsoft</t>
        </is>
      </c>
      <c r="D639" s="3" t="n">
        <v>2030</v>
      </c>
      <c r="E639" s="3" t="inlineStr">
        <is>
          <t>Microsoft Fairwater Wisconsin</t>
        </is>
      </c>
      <c r="F639" s="3" t="inlineStr">
        <is>
          <t>Microsoft</t>
        </is>
      </c>
      <c r="G639" s="3" t="inlineStr">
        <is>
          <t>United States</t>
        </is>
      </c>
      <c r="H639" s="25" t="n">
        <v>1131.5</v>
      </c>
      <c r="I639" s="17" t="n">
        <v>1</v>
      </c>
      <c r="J639" s="17" t="n">
        <v>0.75</v>
      </c>
      <c r="K639" s="26" t="n">
        <v>0.25</v>
      </c>
      <c r="L639" s="3" t="inlineStr">
        <is>
          <t>2028-05-13</t>
        </is>
      </c>
      <c r="M639" s="27" t="n">
        <v>184.5</v>
      </c>
      <c r="N639" s="27" t="n">
        <v>1131.5</v>
      </c>
      <c r="O639" s="3" t="inlineStr">
        <is>
          <t>likely</t>
        </is>
      </c>
      <c r="P639" s="3" t="inlineStr">
        <is>
          <t>B200</t>
        </is>
      </c>
      <c r="Q639" s="3" t="inlineStr">
        <is>
          <t>epoch_user_site_equal_split_seed</t>
        </is>
      </c>
      <c r="R639" s="3" t="inlineStr">
        <is>
          <t>SRC_EPOCH_AI_DATA_CENTERS; EPOCH_NORMALIZED_USER_SITES</t>
        </is>
      </c>
      <c r="S639" s="3" t="inlineStr">
        <is>
          <t>Capacity weight is used only to weight accelerator mix, not to overwrite company total power in 02_Inputs.</t>
        </is>
      </c>
    </row>
    <row r="640">
      <c r="A640" s="3" t="inlineStr">
        <is>
          <t>Bull|Microsoft|2026|Microsoft Fairwater Wisconsin</t>
        </is>
      </c>
      <c r="B640" s="3" t="inlineStr">
        <is>
          <t>Bull</t>
        </is>
      </c>
      <c r="C640" s="3" t="inlineStr">
        <is>
          <t>Microsoft</t>
        </is>
      </c>
      <c r="D640" s="3" t="n">
        <v>2026</v>
      </c>
      <c r="E640" s="3" t="inlineStr">
        <is>
          <t>Microsoft Fairwater Wisconsin</t>
        </is>
      </c>
      <c r="F640" s="3" t="inlineStr">
        <is>
          <t>Microsoft</t>
        </is>
      </c>
      <c r="G640" s="3" t="inlineStr">
        <is>
          <t>United States</t>
        </is>
      </c>
      <c r="H640" s="25" t="n">
        <v>184.5</v>
      </c>
      <c r="I640" s="17" t="n">
        <v>1</v>
      </c>
      <c r="J640" s="17" t="n">
        <v>0.6</v>
      </c>
      <c r="K640" s="26" t="n">
        <v>0.4</v>
      </c>
      <c r="L640" s="3" t="inlineStr">
        <is>
          <t>2028-05-13</t>
        </is>
      </c>
      <c r="M640" s="27" t="n">
        <v>184.5</v>
      </c>
      <c r="N640" s="27" t="n">
        <v>1131.5</v>
      </c>
      <c r="O640" s="3" t="inlineStr">
        <is>
          <t>likely</t>
        </is>
      </c>
      <c r="P640" s="3" t="inlineStr">
        <is>
          <t>B200</t>
        </is>
      </c>
      <c r="Q640" s="3" t="inlineStr">
        <is>
          <t>epoch_user_site_equal_split_seed</t>
        </is>
      </c>
      <c r="R640" s="3" t="inlineStr">
        <is>
          <t>SRC_EPOCH_AI_DATA_CENTERS; EPOCH_NORMALIZED_USER_SITES</t>
        </is>
      </c>
      <c r="S640" s="3" t="inlineStr">
        <is>
          <t>Capacity weight is used only to weight accelerator mix, not to overwrite company total power in 02_Inputs.</t>
        </is>
      </c>
    </row>
    <row r="641">
      <c r="A641" s="3" t="inlineStr">
        <is>
          <t>Bull|Microsoft|2027|Microsoft Fairwater Wisconsin</t>
        </is>
      </c>
      <c r="B641" s="3" t="inlineStr">
        <is>
          <t>Bull</t>
        </is>
      </c>
      <c r="C641" s="3" t="inlineStr">
        <is>
          <t>Microsoft</t>
        </is>
      </c>
      <c r="D641" s="3" t="n">
        <v>2027</v>
      </c>
      <c r="E641" s="3" t="inlineStr">
        <is>
          <t>Microsoft Fairwater Wisconsin</t>
        </is>
      </c>
      <c r="F641" s="3" t="inlineStr">
        <is>
          <t>Microsoft</t>
        </is>
      </c>
      <c r="G641" s="3" t="inlineStr">
        <is>
          <t>United States</t>
        </is>
      </c>
      <c r="H641" s="25" t="n">
        <v>184.5</v>
      </c>
      <c r="I641" s="17" t="n">
        <v>1</v>
      </c>
      <c r="J641" s="17" t="n">
        <v>0.658</v>
      </c>
      <c r="K641" s="26" t="n">
        <v>0.342</v>
      </c>
      <c r="L641" s="3" t="inlineStr">
        <is>
          <t>2028-05-13</t>
        </is>
      </c>
      <c r="M641" s="27" t="n">
        <v>184.5</v>
      </c>
      <c r="N641" s="27" t="n">
        <v>1131.5</v>
      </c>
      <c r="O641" s="3" t="inlineStr">
        <is>
          <t>likely</t>
        </is>
      </c>
      <c r="P641" s="3" t="inlineStr">
        <is>
          <t>B200</t>
        </is>
      </c>
      <c r="Q641" s="3" t="inlineStr">
        <is>
          <t>epoch_user_site_equal_split_seed</t>
        </is>
      </c>
      <c r="R641" s="3" t="inlineStr">
        <is>
          <t>SRC_EPOCH_AI_DATA_CENTERS; EPOCH_NORMALIZED_USER_SITES</t>
        </is>
      </c>
      <c r="S641" s="3" t="inlineStr">
        <is>
          <t>Capacity weight is used only to weight accelerator mix, not to overwrite company total power in 02_Inputs.</t>
        </is>
      </c>
    </row>
    <row r="642">
      <c r="A642" s="3" t="inlineStr">
        <is>
          <t>Bull|Microsoft|2028|Microsoft Fairwater Wisconsin</t>
        </is>
      </c>
      <c r="B642" s="3" t="inlineStr">
        <is>
          <t>Bull</t>
        </is>
      </c>
      <c r="C642" s="3" t="inlineStr">
        <is>
          <t>Microsoft</t>
        </is>
      </c>
      <c r="D642" s="3" t="n">
        <v>2028</v>
      </c>
      <c r="E642" s="3" t="inlineStr">
        <is>
          <t>Microsoft Fairwater Wisconsin</t>
        </is>
      </c>
      <c r="F642" s="3" t="inlineStr">
        <is>
          <t>Microsoft</t>
        </is>
      </c>
      <c r="G642" s="3" t="inlineStr">
        <is>
          <t>United States</t>
        </is>
      </c>
      <c r="H642" s="25" t="n">
        <v>1131.5</v>
      </c>
      <c r="I642" s="17" t="n">
        <v>1</v>
      </c>
      <c r="J642" s="17" t="n">
        <v>0.715</v>
      </c>
      <c r="K642" s="26" t="n">
        <v>0.285</v>
      </c>
      <c r="L642" s="3" t="inlineStr">
        <is>
          <t>2028-05-13</t>
        </is>
      </c>
      <c r="M642" s="27" t="n">
        <v>184.5</v>
      </c>
      <c r="N642" s="27" t="n">
        <v>1131.5</v>
      </c>
      <c r="O642" s="3" t="inlineStr">
        <is>
          <t>likely</t>
        </is>
      </c>
      <c r="P642" s="3" t="inlineStr">
        <is>
          <t>B200</t>
        </is>
      </c>
      <c r="Q642" s="3" t="inlineStr">
        <is>
          <t>epoch_user_site_equal_split_seed</t>
        </is>
      </c>
      <c r="R642" s="3" t="inlineStr">
        <is>
          <t>SRC_EPOCH_AI_DATA_CENTERS; EPOCH_NORMALIZED_USER_SITES</t>
        </is>
      </c>
      <c r="S642" s="3" t="inlineStr">
        <is>
          <t>Capacity weight is used only to weight accelerator mix, not to overwrite company total power in 02_Inputs.</t>
        </is>
      </c>
    </row>
    <row r="643">
      <c r="A643" s="3" t="inlineStr">
        <is>
          <t>Bull|Microsoft|2029|Microsoft Fairwater Wisconsin</t>
        </is>
      </c>
      <c r="B643" s="3" t="inlineStr">
        <is>
          <t>Bull</t>
        </is>
      </c>
      <c r="C643" s="3" t="inlineStr">
        <is>
          <t>Microsoft</t>
        </is>
      </c>
      <c r="D643" s="3" t="n">
        <v>2029</v>
      </c>
      <c r="E643" s="3" t="inlineStr">
        <is>
          <t>Microsoft Fairwater Wisconsin</t>
        </is>
      </c>
      <c r="F643" s="3" t="inlineStr">
        <is>
          <t>Microsoft</t>
        </is>
      </c>
      <c r="G643" s="3" t="inlineStr">
        <is>
          <t>United States</t>
        </is>
      </c>
      <c r="H643" s="25" t="n">
        <v>1131.5</v>
      </c>
      <c r="I643" s="17" t="n">
        <v>1</v>
      </c>
      <c r="J643" s="17" t="n">
        <v>0.772</v>
      </c>
      <c r="K643" s="26" t="n">
        <v>0.228</v>
      </c>
      <c r="L643" s="3" t="inlineStr">
        <is>
          <t>2028-05-13</t>
        </is>
      </c>
      <c r="M643" s="27" t="n">
        <v>184.5</v>
      </c>
      <c r="N643" s="27" t="n">
        <v>1131.5</v>
      </c>
      <c r="O643" s="3" t="inlineStr">
        <is>
          <t>likely</t>
        </is>
      </c>
      <c r="P643" s="3" t="inlineStr">
        <is>
          <t>B200</t>
        </is>
      </c>
      <c r="Q643" s="3" t="inlineStr">
        <is>
          <t>epoch_user_site_equal_split_seed</t>
        </is>
      </c>
      <c r="R643" s="3" t="inlineStr">
        <is>
          <t>SRC_EPOCH_AI_DATA_CENTERS; EPOCH_NORMALIZED_USER_SITES</t>
        </is>
      </c>
      <c r="S643" s="3" t="inlineStr">
        <is>
          <t>Capacity weight is used only to weight accelerator mix, not to overwrite company total power in 02_Inputs.</t>
        </is>
      </c>
    </row>
    <row r="644">
      <c r="A644" s="3" t="inlineStr">
        <is>
          <t>Bull|Microsoft|2030|Microsoft Fairwater Wisconsin</t>
        </is>
      </c>
      <c r="B644" s="3" t="inlineStr">
        <is>
          <t>Bull</t>
        </is>
      </c>
      <c r="C644" s="3" t="inlineStr">
        <is>
          <t>Microsoft</t>
        </is>
      </c>
      <c r="D644" s="3" t="n">
        <v>2030</v>
      </c>
      <c r="E644" s="3" t="inlineStr">
        <is>
          <t>Microsoft Fairwater Wisconsin</t>
        </is>
      </c>
      <c r="F644" s="3" t="inlineStr">
        <is>
          <t>Microsoft</t>
        </is>
      </c>
      <c r="G644" s="3" t="inlineStr">
        <is>
          <t>United States</t>
        </is>
      </c>
      <c r="H644" s="25" t="n">
        <v>1131.5</v>
      </c>
      <c r="I644" s="17" t="n">
        <v>1</v>
      </c>
      <c r="J644" s="17" t="n">
        <v>0.83</v>
      </c>
      <c r="K644" s="26" t="n">
        <v>0.17</v>
      </c>
      <c r="L644" s="3" t="inlineStr">
        <is>
          <t>2028-05-13</t>
        </is>
      </c>
      <c r="M644" s="27" t="n">
        <v>184.5</v>
      </c>
      <c r="N644" s="27" t="n">
        <v>1131.5</v>
      </c>
      <c r="O644" s="3" t="inlineStr">
        <is>
          <t>likely</t>
        </is>
      </c>
      <c r="P644" s="3" t="inlineStr">
        <is>
          <t>B200</t>
        </is>
      </c>
      <c r="Q644" s="3" t="inlineStr">
        <is>
          <t>epoch_user_site_equal_split_seed</t>
        </is>
      </c>
      <c r="R644" s="3" t="inlineStr">
        <is>
          <t>SRC_EPOCH_AI_DATA_CENTERS; EPOCH_NORMALIZED_USER_SITES</t>
        </is>
      </c>
      <c r="S644" s="3" t="inlineStr">
        <is>
          <t>Capacity weight is used only to weight accelerator mix, not to overwrite company total power in 02_Inputs.</t>
        </is>
      </c>
    </row>
    <row r="645">
      <c r="A645" s="3" t="inlineStr">
        <is>
          <t>Grid-Constrained / Efficiency-Upside|Microsoft|2026|Microsoft Fairwater Wisconsin</t>
        </is>
      </c>
      <c r="B645" s="3" t="inlineStr">
        <is>
          <t>Grid-Constrained / Efficiency-Upside</t>
        </is>
      </c>
      <c r="C645" s="3" t="inlineStr">
        <is>
          <t>Microsoft</t>
        </is>
      </c>
      <c r="D645" s="3" t="n">
        <v>2026</v>
      </c>
      <c r="E645" s="3" t="inlineStr">
        <is>
          <t>Microsoft Fairwater Wisconsin</t>
        </is>
      </c>
      <c r="F645" s="3" t="inlineStr">
        <is>
          <t>Microsoft</t>
        </is>
      </c>
      <c r="G645" s="3" t="inlineStr">
        <is>
          <t>United States</t>
        </is>
      </c>
      <c r="H645" s="25" t="n">
        <v>184.5</v>
      </c>
      <c r="I645" s="17" t="n">
        <v>1</v>
      </c>
      <c r="J645" s="17" t="n">
        <v>0.57</v>
      </c>
      <c r="K645" s="26" t="n">
        <v>0.43</v>
      </c>
      <c r="L645" s="3" t="inlineStr">
        <is>
          <t>2028-05-13</t>
        </is>
      </c>
      <c r="M645" s="27" t="n">
        <v>184.5</v>
      </c>
      <c r="N645" s="27" t="n">
        <v>1131.5</v>
      </c>
      <c r="O645" s="3" t="inlineStr">
        <is>
          <t>likely</t>
        </is>
      </c>
      <c r="P645" s="3" t="inlineStr">
        <is>
          <t>B200</t>
        </is>
      </c>
      <c r="Q645" s="3" t="inlineStr">
        <is>
          <t>epoch_user_site_equal_split_seed</t>
        </is>
      </c>
      <c r="R645" s="3" t="inlineStr">
        <is>
          <t>SRC_EPOCH_AI_DATA_CENTERS; EPOCH_NORMALIZED_USER_SITES</t>
        </is>
      </c>
      <c r="S645" s="3" t="inlineStr">
        <is>
          <t>Capacity weight is used only to weight accelerator mix, not to overwrite company total power in 02_Inputs.</t>
        </is>
      </c>
    </row>
    <row r="646">
      <c r="A646" s="3" t="inlineStr">
        <is>
          <t>Grid-Constrained / Efficiency-Upside|Microsoft|2027|Microsoft Fairwater Wisconsin</t>
        </is>
      </c>
      <c r="B646" s="3" t="inlineStr">
        <is>
          <t>Grid-Constrained / Efficiency-Upside</t>
        </is>
      </c>
      <c r="C646" s="3" t="inlineStr">
        <is>
          <t>Microsoft</t>
        </is>
      </c>
      <c r="D646" s="3" t="n">
        <v>2027</v>
      </c>
      <c r="E646" s="3" t="inlineStr">
        <is>
          <t>Microsoft Fairwater Wisconsin</t>
        </is>
      </c>
      <c r="F646" s="3" t="inlineStr">
        <is>
          <t>Microsoft</t>
        </is>
      </c>
      <c r="G646" s="3" t="inlineStr">
        <is>
          <t>United States</t>
        </is>
      </c>
      <c r="H646" s="25" t="n">
        <v>184.5</v>
      </c>
      <c r="I646" s="17" t="n">
        <v>1</v>
      </c>
      <c r="J646" s="17" t="n">
        <v>0.625</v>
      </c>
      <c r="K646" s="26" t="n">
        <v>0.375</v>
      </c>
      <c r="L646" s="3" t="inlineStr">
        <is>
          <t>2028-05-13</t>
        </is>
      </c>
      <c r="M646" s="27" t="n">
        <v>184.5</v>
      </c>
      <c r="N646" s="27" t="n">
        <v>1131.5</v>
      </c>
      <c r="O646" s="3" t="inlineStr">
        <is>
          <t>likely</t>
        </is>
      </c>
      <c r="P646" s="3" t="inlineStr">
        <is>
          <t>B200</t>
        </is>
      </c>
      <c r="Q646" s="3" t="inlineStr">
        <is>
          <t>epoch_user_site_equal_split_seed</t>
        </is>
      </c>
      <c r="R646" s="3" t="inlineStr">
        <is>
          <t>SRC_EPOCH_AI_DATA_CENTERS; EPOCH_NORMALIZED_USER_SITES</t>
        </is>
      </c>
      <c r="S646" s="3" t="inlineStr">
        <is>
          <t>Capacity weight is used only to weight accelerator mix, not to overwrite company total power in 02_Inputs.</t>
        </is>
      </c>
    </row>
    <row r="647">
      <c r="A647" s="3" t="inlineStr">
        <is>
          <t>Grid-Constrained / Efficiency-Upside|Microsoft|2028|Microsoft Fairwater Wisconsin</t>
        </is>
      </c>
      <c r="B647" s="3" t="inlineStr">
        <is>
          <t>Grid-Constrained / Efficiency-Upside</t>
        </is>
      </c>
      <c r="C647" s="3" t="inlineStr">
        <is>
          <t>Microsoft</t>
        </is>
      </c>
      <c r="D647" s="3" t="n">
        <v>2028</v>
      </c>
      <c r="E647" s="3" t="inlineStr">
        <is>
          <t>Microsoft Fairwater Wisconsin</t>
        </is>
      </c>
      <c r="F647" s="3" t="inlineStr">
        <is>
          <t>Microsoft</t>
        </is>
      </c>
      <c r="G647" s="3" t="inlineStr">
        <is>
          <t>United States</t>
        </is>
      </c>
      <c r="H647" s="25" t="n">
        <v>1131.5</v>
      </c>
      <c r="I647" s="17" t="n">
        <v>1</v>
      </c>
      <c r="J647" s="17" t="n">
        <v>0.68</v>
      </c>
      <c r="K647" s="26" t="n">
        <v>0.32</v>
      </c>
      <c r="L647" s="3" t="inlineStr">
        <is>
          <t>2028-05-13</t>
        </is>
      </c>
      <c r="M647" s="27" t="n">
        <v>184.5</v>
      </c>
      <c r="N647" s="27" t="n">
        <v>1131.5</v>
      </c>
      <c r="O647" s="3" t="inlineStr">
        <is>
          <t>likely</t>
        </is>
      </c>
      <c r="P647" s="3" t="inlineStr">
        <is>
          <t>B200</t>
        </is>
      </c>
      <c r="Q647" s="3" t="inlineStr">
        <is>
          <t>epoch_user_site_equal_split_seed</t>
        </is>
      </c>
      <c r="R647" s="3" t="inlineStr">
        <is>
          <t>SRC_EPOCH_AI_DATA_CENTERS; EPOCH_NORMALIZED_USER_SITES</t>
        </is>
      </c>
      <c r="S647" s="3" t="inlineStr">
        <is>
          <t>Capacity weight is used only to weight accelerator mix, not to overwrite company total power in 02_Inputs.</t>
        </is>
      </c>
    </row>
    <row r="648">
      <c r="A648" s="3" t="inlineStr">
        <is>
          <t>Grid-Constrained / Efficiency-Upside|Microsoft|2029|Microsoft Fairwater Wisconsin</t>
        </is>
      </c>
      <c r="B648" s="3" t="inlineStr">
        <is>
          <t>Grid-Constrained / Efficiency-Upside</t>
        </is>
      </c>
      <c r="C648" s="3" t="inlineStr">
        <is>
          <t>Microsoft</t>
        </is>
      </c>
      <c r="D648" s="3" t="n">
        <v>2029</v>
      </c>
      <c r="E648" s="3" t="inlineStr">
        <is>
          <t>Microsoft Fairwater Wisconsin</t>
        </is>
      </c>
      <c r="F648" s="3" t="inlineStr">
        <is>
          <t>Microsoft</t>
        </is>
      </c>
      <c r="G648" s="3" t="inlineStr">
        <is>
          <t>United States</t>
        </is>
      </c>
      <c r="H648" s="25" t="n">
        <v>1131.5</v>
      </c>
      <c r="I648" s="17" t="n">
        <v>1</v>
      </c>
      <c r="J648" s="17" t="n">
        <v>0.735</v>
      </c>
      <c r="K648" s="26" t="n">
        <v>0.265</v>
      </c>
      <c r="L648" s="3" t="inlineStr">
        <is>
          <t>2028-05-13</t>
        </is>
      </c>
      <c r="M648" s="27" t="n">
        <v>184.5</v>
      </c>
      <c r="N648" s="27" t="n">
        <v>1131.5</v>
      </c>
      <c r="O648" s="3" t="inlineStr">
        <is>
          <t>likely</t>
        </is>
      </c>
      <c r="P648" s="3" t="inlineStr">
        <is>
          <t>B200</t>
        </is>
      </c>
      <c r="Q648" s="3" t="inlineStr">
        <is>
          <t>epoch_user_site_equal_split_seed</t>
        </is>
      </c>
      <c r="R648" s="3" t="inlineStr">
        <is>
          <t>SRC_EPOCH_AI_DATA_CENTERS; EPOCH_NORMALIZED_USER_SITES</t>
        </is>
      </c>
      <c r="S648" s="3" t="inlineStr">
        <is>
          <t>Capacity weight is used only to weight accelerator mix, not to overwrite company total power in 02_Inputs.</t>
        </is>
      </c>
    </row>
    <row r="649">
      <c r="A649" s="3" t="inlineStr">
        <is>
          <t>Grid-Constrained / Efficiency-Upside|Microsoft|2030|Microsoft Fairwater Wisconsin</t>
        </is>
      </c>
      <c r="B649" s="3" t="inlineStr">
        <is>
          <t>Grid-Constrained / Efficiency-Upside</t>
        </is>
      </c>
      <c r="C649" s="3" t="inlineStr">
        <is>
          <t>Microsoft</t>
        </is>
      </c>
      <c r="D649" s="3" t="n">
        <v>2030</v>
      </c>
      <c r="E649" s="3" t="inlineStr">
        <is>
          <t>Microsoft Fairwater Wisconsin</t>
        </is>
      </c>
      <c r="F649" s="3" t="inlineStr">
        <is>
          <t>Microsoft</t>
        </is>
      </c>
      <c r="G649" s="3" t="inlineStr">
        <is>
          <t>United States</t>
        </is>
      </c>
      <c r="H649" s="25" t="n">
        <v>1131.5</v>
      </c>
      <c r="I649" s="17" t="n">
        <v>1</v>
      </c>
      <c r="J649" s="17" t="n">
        <v>0.79</v>
      </c>
      <c r="K649" s="26" t="n">
        <v>0.21</v>
      </c>
      <c r="L649" s="3" t="inlineStr">
        <is>
          <t>2028-05-13</t>
        </is>
      </c>
      <c r="M649" s="27" t="n">
        <v>184.5</v>
      </c>
      <c r="N649" s="27" t="n">
        <v>1131.5</v>
      </c>
      <c r="O649" s="3" t="inlineStr">
        <is>
          <t>likely</t>
        </is>
      </c>
      <c r="P649" s="3" t="inlineStr">
        <is>
          <t>B200</t>
        </is>
      </c>
      <c r="Q649" s="3" t="inlineStr">
        <is>
          <t>epoch_user_site_equal_split_seed</t>
        </is>
      </c>
      <c r="R649" s="3" t="inlineStr">
        <is>
          <t>SRC_EPOCH_AI_DATA_CENTERS; EPOCH_NORMALIZED_USER_SITES</t>
        </is>
      </c>
      <c r="S649" s="3" t="inlineStr">
        <is>
          <t>Capacity weight is used only to weight accelerator mix, not to overwrite company total power in 02_Inputs.</t>
        </is>
      </c>
    </row>
    <row r="650">
      <c r="A650" s="3" t="inlineStr">
        <is>
          <t>Bear|Microsoft|2026|Microsoft Goodyear</t>
        </is>
      </c>
      <c r="B650" s="3" t="inlineStr">
        <is>
          <t>Bear</t>
        </is>
      </c>
      <c r="C650" s="3" t="inlineStr">
        <is>
          <t>Microsoft</t>
        </is>
      </c>
      <c r="D650" s="3" t="n">
        <v>2026</v>
      </c>
      <c r="E650" s="3" t="inlineStr">
        <is>
          <t>Microsoft Goodyear</t>
        </is>
      </c>
      <c r="F650" s="3" t="inlineStr">
        <is>
          <t>Microsoft</t>
        </is>
      </c>
      <c r="G650" s="3" t="inlineStr">
        <is>
          <t>United States</t>
        </is>
      </c>
      <c r="H650" s="25" t="n">
        <v>101</v>
      </c>
      <c r="I650" s="17" t="n">
        <v>1</v>
      </c>
      <c r="J650" s="17" t="n">
        <v>0.47</v>
      </c>
      <c r="K650" s="26" t="n">
        <v>0.53</v>
      </c>
      <c r="L650" s="3" t="inlineStr">
        <is>
          <t>2025-09-01</t>
        </is>
      </c>
      <c r="M650" s="27" t="n">
        <v>101</v>
      </c>
      <c r="N650" s="27" t="n">
        <v>101</v>
      </c>
      <c r="O650" s="3" t="inlineStr">
        <is>
          <t>confident</t>
        </is>
      </c>
      <c r="P650" s="3" t="inlineStr">
        <is>
          <t>H100,B200</t>
        </is>
      </c>
      <c r="Q650" s="3" t="inlineStr">
        <is>
          <t>epoch_user_site_equal_split_seed</t>
        </is>
      </c>
      <c r="R650" s="3" t="inlineStr">
        <is>
          <t>SRC_EPOCH_AI_DATA_CENTERS; EPOCH_NORMALIZED_USER_SITES</t>
        </is>
      </c>
      <c r="S650" s="3" t="inlineStr">
        <is>
          <t>Capacity weight is used only to weight accelerator mix, not to overwrite company total power in 02_Inputs.</t>
        </is>
      </c>
    </row>
    <row r="651">
      <c r="A651" s="3" t="inlineStr">
        <is>
          <t>Bear|Microsoft|2027|Microsoft Goodyear</t>
        </is>
      </c>
      <c r="B651" s="3" t="inlineStr">
        <is>
          <t>Bear</t>
        </is>
      </c>
      <c r="C651" s="3" t="inlineStr">
        <is>
          <t>Microsoft</t>
        </is>
      </c>
      <c r="D651" s="3" t="n">
        <v>2027</v>
      </c>
      <c r="E651" s="3" t="inlineStr">
        <is>
          <t>Microsoft Goodyear</t>
        </is>
      </c>
      <c r="F651" s="3" t="inlineStr">
        <is>
          <t>Microsoft</t>
        </is>
      </c>
      <c r="G651" s="3" t="inlineStr">
        <is>
          <t>United States</t>
        </is>
      </c>
      <c r="H651" s="25" t="n">
        <v>101</v>
      </c>
      <c r="I651" s="17" t="n">
        <v>1</v>
      </c>
      <c r="J651" s="17" t="n">
        <v>0.515</v>
      </c>
      <c r="K651" s="26" t="n">
        <v>0.485</v>
      </c>
      <c r="L651" s="3" t="inlineStr">
        <is>
          <t>2025-09-01</t>
        </is>
      </c>
      <c r="M651" s="27" t="n">
        <v>101</v>
      </c>
      <c r="N651" s="27" t="n">
        <v>101</v>
      </c>
      <c r="O651" s="3" t="inlineStr">
        <is>
          <t>confident</t>
        </is>
      </c>
      <c r="P651" s="3" t="inlineStr">
        <is>
          <t>H100,B200</t>
        </is>
      </c>
      <c r="Q651" s="3" t="inlineStr">
        <is>
          <t>epoch_user_site_equal_split_seed</t>
        </is>
      </c>
      <c r="R651" s="3" t="inlineStr">
        <is>
          <t>SRC_EPOCH_AI_DATA_CENTERS; EPOCH_NORMALIZED_USER_SITES</t>
        </is>
      </c>
      <c r="S651" s="3" t="inlineStr">
        <is>
          <t>Capacity weight is used only to weight accelerator mix, not to overwrite company total power in 02_Inputs.</t>
        </is>
      </c>
    </row>
    <row r="652">
      <c r="A652" s="3" t="inlineStr">
        <is>
          <t>Bear|Microsoft|2028|Microsoft Goodyear</t>
        </is>
      </c>
      <c r="B652" s="3" t="inlineStr">
        <is>
          <t>Bear</t>
        </is>
      </c>
      <c r="C652" s="3" t="inlineStr">
        <is>
          <t>Microsoft</t>
        </is>
      </c>
      <c r="D652" s="3" t="n">
        <v>2028</v>
      </c>
      <c r="E652" s="3" t="inlineStr">
        <is>
          <t>Microsoft Goodyear</t>
        </is>
      </c>
      <c r="F652" s="3" t="inlineStr">
        <is>
          <t>Microsoft</t>
        </is>
      </c>
      <c r="G652" s="3" t="inlineStr">
        <is>
          <t>United States</t>
        </is>
      </c>
      <c r="H652" s="25" t="n">
        <v>101</v>
      </c>
      <c r="I652" s="17" t="n">
        <v>1</v>
      </c>
      <c r="J652" s="17" t="n">
        <v>0.5600000000000001</v>
      </c>
      <c r="K652" s="26" t="n">
        <v>0.44</v>
      </c>
      <c r="L652" s="3" t="inlineStr">
        <is>
          <t>2025-09-01</t>
        </is>
      </c>
      <c r="M652" s="27" t="n">
        <v>101</v>
      </c>
      <c r="N652" s="27" t="n">
        <v>101</v>
      </c>
      <c r="O652" s="3" t="inlineStr">
        <is>
          <t>confident</t>
        </is>
      </c>
      <c r="P652" s="3" t="inlineStr">
        <is>
          <t>H100,B200</t>
        </is>
      </c>
      <c r="Q652" s="3" t="inlineStr">
        <is>
          <t>epoch_user_site_equal_split_seed</t>
        </is>
      </c>
      <c r="R652" s="3" t="inlineStr">
        <is>
          <t>SRC_EPOCH_AI_DATA_CENTERS; EPOCH_NORMALIZED_USER_SITES</t>
        </is>
      </c>
      <c r="S652" s="3" t="inlineStr">
        <is>
          <t>Capacity weight is used only to weight accelerator mix, not to overwrite company total power in 02_Inputs.</t>
        </is>
      </c>
    </row>
    <row r="653">
      <c r="A653" s="3" t="inlineStr">
        <is>
          <t>Bear|Microsoft|2029|Microsoft Goodyear</t>
        </is>
      </c>
      <c r="B653" s="3" t="inlineStr">
        <is>
          <t>Bear</t>
        </is>
      </c>
      <c r="C653" s="3" t="inlineStr">
        <is>
          <t>Microsoft</t>
        </is>
      </c>
      <c r="D653" s="3" t="n">
        <v>2029</v>
      </c>
      <c r="E653" s="3" t="inlineStr">
        <is>
          <t>Microsoft Goodyear</t>
        </is>
      </c>
      <c r="F653" s="3" t="inlineStr">
        <is>
          <t>Microsoft</t>
        </is>
      </c>
      <c r="G653" s="3" t="inlineStr">
        <is>
          <t>United States</t>
        </is>
      </c>
      <c r="H653" s="25" t="n">
        <v>101</v>
      </c>
      <c r="I653" s="17" t="n">
        <v>1</v>
      </c>
      <c r="J653" s="17" t="n">
        <v>0.605</v>
      </c>
      <c r="K653" s="26" t="n">
        <v>0.395</v>
      </c>
      <c r="L653" s="3" t="inlineStr">
        <is>
          <t>2025-09-01</t>
        </is>
      </c>
      <c r="M653" s="27" t="n">
        <v>101</v>
      </c>
      <c r="N653" s="27" t="n">
        <v>101</v>
      </c>
      <c r="O653" s="3" t="inlineStr">
        <is>
          <t>confident</t>
        </is>
      </c>
      <c r="P653" s="3" t="inlineStr">
        <is>
          <t>H100,B200</t>
        </is>
      </c>
      <c r="Q653" s="3" t="inlineStr">
        <is>
          <t>epoch_user_site_equal_split_seed</t>
        </is>
      </c>
      <c r="R653" s="3" t="inlineStr">
        <is>
          <t>SRC_EPOCH_AI_DATA_CENTERS; EPOCH_NORMALIZED_USER_SITES</t>
        </is>
      </c>
      <c r="S653" s="3" t="inlineStr">
        <is>
          <t>Capacity weight is used only to weight accelerator mix, not to overwrite company total power in 02_Inputs.</t>
        </is>
      </c>
    </row>
    <row r="654">
      <c r="A654" s="3" t="inlineStr">
        <is>
          <t>Bear|Microsoft|2030|Microsoft Goodyear</t>
        </is>
      </c>
      <c r="B654" s="3" t="inlineStr">
        <is>
          <t>Bear</t>
        </is>
      </c>
      <c r="C654" s="3" t="inlineStr">
        <is>
          <t>Microsoft</t>
        </is>
      </c>
      <c r="D654" s="3" t="n">
        <v>2030</v>
      </c>
      <c r="E654" s="3" t="inlineStr">
        <is>
          <t>Microsoft Goodyear</t>
        </is>
      </c>
      <c r="F654" s="3" t="inlineStr">
        <is>
          <t>Microsoft</t>
        </is>
      </c>
      <c r="G654" s="3" t="inlineStr">
        <is>
          <t>United States</t>
        </is>
      </c>
      <c r="H654" s="25" t="n">
        <v>101</v>
      </c>
      <c r="I654" s="17" t="n">
        <v>1</v>
      </c>
      <c r="J654" s="17" t="n">
        <v>0.65</v>
      </c>
      <c r="K654" s="26" t="n">
        <v>0.35</v>
      </c>
      <c r="L654" s="3" t="inlineStr">
        <is>
          <t>2025-09-01</t>
        </is>
      </c>
      <c r="M654" s="27" t="n">
        <v>101</v>
      </c>
      <c r="N654" s="27" t="n">
        <v>101</v>
      </c>
      <c r="O654" s="3" t="inlineStr">
        <is>
          <t>confident</t>
        </is>
      </c>
      <c r="P654" s="3" t="inlineStr">
        <is>
          <t>H100,B200</t>
        </is>
      </c>
      <c r="Q654" s="3" t="inlineStr">
        <is>
          <t>epoch_user_site_equal_split_seed</t>
        </is>
      </c>
      <c r="R654" s="3" t="inlineStr">
        <is>
          <t>SRC_EPOCH_AI_DATA_CENTERS; EPOCH_NORMALIZED_USER_SITES</t>
        </is>
      </c>
      <c r="S654" s="3" t="inlineStr">
        <is>
          <t>Capacity weight is used only to weight accelerator mix, not to overwrite company total power in 02_Inputs.</t>
        </is>
      </c>
    </row>
    <row r="655">
      <c r="A655" s="3" t="inlineStr">
        <is>
          <t>Base|Microsoft|2026|Microsoft Goodyear</t>
        </is>
      </c>
      <c r="B655" s="3" t="inlineStr">
        <is>
          <t>Base</t>
        </is>
      </c>
      <c r="C655" s="3" t="inlineStr">
        <is>
          <t>Microsoft</t>
        </is>
      </c>
      <c r="D655" s="3" t="n">
        <v>2026</v>
      </c>
      <c r="E655" s="3" t="inlineStr">
        <is>
          <t>Microsoft Goodyear</t>
        </is>
      </c>
      <c r="F655" s="3" t="inlineStr">
        <is>
          <t>Microsoft</t>
        </is>
      </c>
      <c r="G655" s="3" t="inlineStr">
        <is>
          <t>United States</t>
        </is>
      </c>
      <c r="H655" s="25" t="n">
        <v>101</v>
      </c>
      <c r="I655" s="17" t="n">
        <v>1</v>
      </c>
      <c r="J655" s="17" t="n">
        <v>0.55</v>
      </c>
      <c r="K655" s="26" t="n">
        <v>0.45</v>
      </c>
      <c r="L655" s="3" t="inlineStr">
        <is>
          <t>2025-09-01</t>
        </is>
      </c>
      <c r="M655" s="27" t="n">
        <v>101</v>
      </c>
      <c r="N655" s="27" t="n">
        <v>101</v>
      </c>
      <c r="O655" s="3" t="inlineStr">
        <is>
          <t>confident</t>
        </is>
      </c>
      <c r="P655" s="3" t="inlineStr">
        <is>
          <t>H100,B200</t>
        </is>
      </c>
      <c r="Q655" s="3" t="inlineStr">
        <is>
          <t>epoch_user_site_equal_split_seed</t>
        </is>
      </c>
      <c r="R655" s="3" t="inlineStr">
        <is>
          <t>SRC_EPOCH_AI_DATA_CENTERS; EPOCH_NORMALIZED_USER_SITES</t>
        </is>
      </c>
      <c r="S655" s="3" t="inlineStr">
        <is>
          <t>Capacity weight is used only to weight accelerator mix, not to overwrite company total power in 02_Inputs.</t>
        </is>
      </c>
    </row>
    <row r="656">
      <c r="A656" s="3" t="inlineStr">
        <is>
          <t>Base|Microsoft|2027|Microsoft Goodyear</t>
        </is>
      </c>
      <c r="B656" s="3" t="inlineStr">
        <is>
          <t>Base</t>
        </is>
      </c>
      <c r="C656" s="3" t="inlineStr">
        <is>
          <t>Microsoft</t>
        </is>
      </c>
      <c r="D656" s="3" t="n">
        <v>2027</v>
      </c>
      <c r="E656" s="3" t="inlineStr">
        <is>
          <t>Microsoft Goodyear</t>
        </is>
      </c>
      <c r="F656" s="3" t="inlineStr">
        <is>
          <t>Microsoft</t>
        </is>
      </c>
      <c r="G656" s="3" t="inlineStr">
        <is>
          <t>United States</t>
        </is>
      </c>
      <c r="H656" s="25" t="n">
        <v>101</v>
      </c>
      <c r="I656" s="17" t="n">
        <v>1</v>
      </c>
      <c r="J656" s="17" t="n">
        <v>0.6</v>
      </c>
      <c r="K656" s="26" t="n">
        <v>0.4</v>
      </c>
      <c r="L656" s="3" t="inlineStr">
        <is>
          <t>2025-09-01</t>
        </is>
      </c>
      <c r="M656" s="27" t="n">
        <v>101</v>
      </c>
      <c r="N656" s="27" t="n">
        <v>101</v>
      </c>
      <c r="O656" s="3" t="inlineStr">
        <is>
          <t>confident</t>
        </is>
      </c>
      <c r="P656" s="3" t="inlineStr">
        <is>
          <t>H100,B200</t>
        </is>
      </c>
      <c r="Q656" s="3" t="inlineStr">
        <is>
          <t>epoch_user_site_equal_split_seed</t>
        </is>
      </c>
      <c r="R656" s="3" t="inlineStr">
        <is>
          <t>SRC_EPOCH_AI_DATA_CENTERS; EPOCH_NORMALIZED_USER_SITES</t>
        </is>
      </c>
      <c r="S656" s="3" t="inlineStr">
        <is>
          <t>Capacity weight is used only to weight accelerator mix, not to overwrite company total power in 02_Inputs.</t>
        </is>
      </c>
    </row>
    <row r="657">
      <c r="A657" s="3" t="inlineStr">
        <is>
          <t>Base|Microsoft|2028|Microsoft Goodyear</t>
        </is>
      </c>
      <c r="B657" s="3" t="inlineStr">
        <is>
          <t>Base</t>
        </is>
      </c>
      <c r="C657" s="3" t="inlineStr">
        <is>
          <t>Microsoft</t>
        </is>
      </c>
      <c r="D657" s="3" t="n">
        <v>2028</v>
      </c>
      <c r="E657" s="3" t="inlineStr">
        <is>
          <t>Microsoft Goodyear</t>
        </is>
      </c>
      <c r="F657" s="3" t="inlineStr">
        <is>
          <t>Microsoft</t>
        </is>
      </c>
      <c r="G657" s="3" t="inlineStr">
        <is>
          <t>United States</t>
        </is>
      </c>
      <c r="H657" s="25" t="n">
        <v>101</v>
      </c>
      <c r="I657" s="17" t="n">
        <v>1</v>
      </c>
      <c r="J657" s="17" t="n">
        <v>0.65</v>
      </c>
      <c r="K657" s="26" t="n">
        <v>0.35</v>
      </c>
      <c r="L657" s="3" t="inlineStr">
        <is>
          <t>2025-09-01</t>
        </is>
      </c>
      <c r="M657" s="27" t="n">
        <v>101</v>
      </c>
      <c r="N657" s="27" t="n">
        <v>101</v>
      </c>
      <c r="O657" s="3" t="inlineStr">
        <is>
          <t>confident</t>
        </is>
      </c>
      <c r="P657" s="3" t="inlineStr">
        <is>
          <t>H100,B200</t>
        </is>
      </c>
      <c r="Q657" s="3" t="inlineStr">
        <is>
          <t>epoch_user_site_equal_split_seed</t>
        </is>
      </c>
      <c r="R657" s="3" t="inlineStr">
        <is>
          <t>SRC_EPOCH_AI_DATA_CENTERS; EPOCH_NORMALIZED_USER_SITES</t>
        </is>
      </c>
      <c r="S657" s="3" t="inlineStr">
        <is>
          <t>Capacity weight is used only to weight accelerator mix, not to overwrite company total power in 02_Inputs.</t>
        </is>
      </c>
    </row>
    <row r="658">
      <c r="A658" s="3" t="inlineStr">
        <is>
          <t>Base|Microsoft|2029|Microsoft Goodyear</t>
        </is>
      </c>
      <c r="B658" s="3" t="inlineStr">
        <is>
          <t>Base</t>
        </is>
      </c>
      <c r="C658" s="3" t="inlineStr">
        <is>
          <t>Microsoft</t>
        </is>
      </c>
      <c r="D658" s="3" t="n">
        <v>2029</v>
      </c>
      <c r="E658" s="3" t="inlineStr">
        <is>
          <t>Microsoft Goodyear</t>
        </is>
      </c>
      <c r="F658" s="3" t="inlineStr">
        <is>
          <t>Microsoft</t>
        </is>
      </c>
      <c r="G658" s="3" t="inlineStr">
        <is>
          <t>United States</t>
        </is>
      </c>
      <c r="H658" s="25" t="n">
        <v>101</v>
      </c>
      <c r="I658" s="17" t="n">
        <v>1</v>
      </c>
      <c r="J658" s="17" t="n">
        <v>0.7</v>
      </c>
      <c r="K658" s="26" t="n">
        <v>0.3</v>
      </c>
      <c r="L658" s="3" t="inlineStr">
        <is>
          <t>2025-09-01</t>
        </is>
      </c>
      <c r="M658" s="27" t="n">
        <v>101</v>
      </c>
      <c r="N658" s="27" t="n">
        <v>101</v>
      </c>
      <c r="O658" s="3" t="inlineStr">
        <is>
          <t>confident</t>
        </is>
      </c>
      <c r="P658" s="3" t="inlineStr">
        <is>
          <t>H100,B200</t>
        </is>
      </c>
      <c r="Q658" s="3" t="inlineStr">
        <is>
          <t>epoch_user_site_equal_split_seed</t>
        </is>
      </c>
      <c r="R658" s="3" t="inlineStr">
        <is>
          <t>SRC_EPOCH_AI_DATA_CENTERS; EPOCH_NORMALIZED_USER_SITES</t>
        </is>
      </c>
      <c r="S658" s="3" t="inlineStr">
        <is>
          <t>Capacity weight is used only to weight accelerator mix, not to overwrite company total power in 02_Inputs.</t>
        </is>
      </c>
    </row>
    <row r="659">
      <c r="A659" s="3" t="inlineStr">
        <is>
          <t>Base|Microsoft|2030|Microsoft Goodyear</t>
        </is>
      </c>
      <c r="B659" s="3" t="inlineStr">
        <is>
          <t>Base</t>
        </is>
      </c>
      <c r="C659" s="3" t="inlineStr">
        <is>
          <t>Microsoft</t>
        </is>
      </c>
      <c r="D659" s="3" t="n">
        <v>2030</v>
      </c>
      <c r="E659" s="3" t="inlineStr">
        <is>
          <t>Microsoft Goodyear</t>
        </is>
      </c>
      <c r="F659" s="3" t="inlineStr">
        <is>
          <t>Microsoft</t>
        </is>
      </c>
      <c r="G659" s="3" t="inlineStr">
        <is>
          <t>United States</t>
        </is>
      </c>
      <c r="H659" s="25" t="n">
        <v>101</v>
      </c>
      <c r="I659" s="17" t="n">
        <v>1</v>
      </c>
      <c r="J659" s="17" t="n">
        <v>0.75</v>
      </c>
      <c r="K659" s="26" t="n">
        <v>0.25</v>
      </c>
      <c r="L659" s="3" t="inlineStr">
        <is>
          <t>2025-09-01</t>
        </is>
      </c>
      <c r="M659" s="27" t="n">
        <v>101</v>
      </c>
      <c r="N659" s="27" t="n">
        <v>101</v>
      </c>
      <c r="O659" s="3" t="inlineStr">
        <is>
          <t>confident</t>
        </is>
      </c>
      <c r="P659" s="3" t="inlineStr">
        <is>
          <t>H100,B200</t>
        </is>
      </c>
      <c r="Q659" s="3" t="inlineStr">
        <is>
          <t>epoch_user_site_equal_split_seed</t>
        </is>
      </c>
      <c r="R659" s="3" t="inlineStr">
        <is>
          <t>SRC_EPOCH_AI_DATA_CENTERS; EPOCH_NORMALIZED_USER_SITES</t>
        </is>
      </c>
      <c r="S659" s="3" t="inlineStr">
        <is>
          <t>Capacity weight is used only to weight accelerator mix, not to overwrite company total power in 02_Inputs.</t>
        </is>
      </c>
    </row>
    <row r="660">
      <c r="A660" s="3" t="inlineStr">
        <is>
          <t>Bull|Microsoft|2026|Microsoft Goodyear</t>
        </is>
      </c>
      <c r="B660" s="3" t="inlineStr">
        <is>
          <t>Bull</t>
        </is>
      </c>
      <c r="C660" s="3" t="inlineStr">
        <is>
          <t>Microsoft</t>
        </is>
      </c>
      <c r="D660" s="3" t="n">
        <v>2026</v>
      </c>
      <c r="E660" s="3" t="inlineStr">
        <is>
          <t>Microsoft Goodyear</t>
        </is>
      </c>
      <c r="F660" s="3" t="inlineStr">
        <is>
          <t>Microsoft</t>
        </is>
      </c>
      <c r="G660" s="3" t="inlineStr">
        <is>
          <t>United States</t>
        </is>
      </c>
      <c r="H660" s="25" t="n">
        <v>101</v>
      </c>
      <c r="I660" s="17" t="n">
        <v>1</v>
      </c>
      <c r="J660" s="17" t="n">
        <v>0.6</v>
      </c>
      <c r="K660" s="26" t="n">
        <v>0.4</v>
      </c>
      <c r="L660" s="3" t="inlineStr">
        <is>
          <t>2025-09-01</t>
        </is>
      </c>
      <c r="M660" s="27" t="n">
        <v>101</v>
      </c>
      <c r="N660" s="27" t="n">
        <v>101</v>
      </c>
      <c r="O660" s="3" t="inlineStr">
        <is>
          <t>confident</t>
        </is>
      </c>
      <c r="P660" s="3" t="inlineStr">
        <is>
          <t>H100,B200</t>
        </is>
      </c>
      <c r="Q660" s="3" t="inlineStr">
        <is>
          <t>epoch_user_site_equal_split_seed</t>
        </is>
      </c>
      <c r="R660" s="3" t="inlineStr">
        <is>
          <t>SRC_EPOCH_AI_DATA_CENTERS; EPOCH_NORMALIZED_USER_SITES</t>
        </is>
      </c>
      <c r="S660" s="3" t="inlineStr">
        <is>
          <t>Capacity weight is used only to weight accelerator mix, not to overwrite company total power in 02_Inputs.</t>
        </is>
      </c>
    </row>
    <row r="661">
      <c r="A661" s="3" t="inlineStr">
        <is>
          <t>Bull|Microsoft|2027|Microsoft Goodyear</t>
        </is>
      </c>
      <c r="B661" s="3" t="inlineStr">
        <is>
          <t>Bull</t>
        </is>
      </c>
      <c r="C661" s="3" t="inlineStr">
        <is>
          <t>Microsoft</t>
        </is>
      </c>
      <c r="D661" s="3" t="n">
        <v>2027</v>
      </c>
      <c r="E661" s="3" t="inlineStr">
        <is>
          <t>Microsoft Goodyear</t>
        </is>
      </c>
      <c r="F661" s="3" t="inlineStr">
        <is>
          <t>Microsoft</t>
        </is>
      </c>
      <c r="G661" s="3" t="inlineStr">
        <is>
          <t>United States</t>
        </is>
      </c>
      <c r="H661" s="25" t="n">
        <v>101</v>
      </c>
      <c r="I661" s="17" t="n">
        <v>1</v>
      </c>
      <c r="J661" s="17" t="n">
        <v>0.658</v>
      </c>
      <c r="K661" s="26" t="n">
        <v>0.342</v>
      </c>
      <c r="L661" s="3" t="inlineStr">
        <is>
          <t>2025-09-01</t>
        </is>
      </c>
      <c r="M661" s="27" t="n">
        <v>101</v>
      </c>
      <c r="N661" s="27" t="n">
        <v>101</v>
      </c>
      <c r="O661" s="3" t="inlineStr">
        <is>
          <t>confident</t>
        </is>
      </c>
      <c r="P661" s="3" t="inlineStr">
        <is>
          <t>H100,B200</t>
        </is>
      </c>
      <c r="Q661" s="3" t="inlineStr">
        <is>
          <t>epoch_user_site_equal_split_seed</t>
        </is>
      </c>
      <c r="R661" s="3" t="inlineStr">
        <is>
          <t>SRC_EPOCH_AI_DATA_CENTERS; EPOCH_NORMALIZED_USER_SITES</t>
        </is>
      </c>
      <c r="S661" s="3" t="inlineStr">
        <is>
          <t>Capacity weight is used only to weight accelerator mix, not to overwrite company total power in 02_Inputs.</t>
        </is>
      </c>
    </row>
    <row r="662">
      <c r="A662" s="3" t="inlineStr">
        <is>
          <t>Bull|Microsoft|2028|Microsoft Goodyear</t>
        </is>
      </c>
      <c r="B662" s="3" t="inlineStr">
        <is>
          <t>Bull</t>
        </is>
      </c>
      <c r="C662" s="3" t="inlineStr">
        <is>
          <t>Microsoft</t>
        </is>
      </c>
      <c r="D662" s="3" t="n">
        <v>2028</v>
      </c>
      <c r="E662" s="3" t="inlineStr">
        <is>
          <t>Microsoft Goodyear</t>
        </is>
      </c>
      <c r="F662" s="3" t="inlineStr">
        <is>
          <t>Microsoft</t>
        </is>
      </c>
      <c r="G662" s="3" t="inlineStr">
        <is>
          <t>United States</t>
        </is>
      </c>
      <c r="H662" s="25" t="n">
        <v>101</v>
      </c>
      <c r="I662" s="17" t="n">
        <v>1</v>
      </c>
      <c r="J662" s="17" t="n">
        <v>0.715</v>
      </c>
      <c r="K662" s="26" t="n">
        <v>0.285</v>
      </c>
      <c r="L662" s="3" t="inlineStr">
        <is>
          <t>2025-09-01</t>
        </is>
      </c>
      <c r="M662" s="27" t="n">
        <v>101</v>
      </c>
      <c r="N662" s="27" t="n">
        <v>101</v>
      </c>
      <c r="O662" s="3" t="inlineStr">
        <is>
          <t>confident</t>
        </is>
      </c>
      <c r="P662" s="3" t="inlineStr">
        <is>
          <t>H100,B200</t>
        </is>
      </c>
      <c r="Q662" s="3" t="inlineStr">
        <is>
          <t>epoch_user_site_equal_split_seed</t>
        </is>
      </c>
      <c r="R662" s="3" t="inlineStr">
        <is>
          <t>SRC_EPOCH_AI_DATA_CENTERS; EPOCH_NORMALIZED_USER_SITES</t>
        </is>
      </c>
      <c r="S662" s="3" t="inlineStr">
        <is>
          <t>Capacity weight is used only to weight accelerator mix, not to overwrite company total power in 02_Inputs.</t>
        </is>
      </c>
    </row>
    <row r="663">
      <c r="A663" s="3" t="inlineStr">
        <is>
          <t>Bull|Microsoft|2029|Microsoft Goodyear</t>
        </is>
      </c>
      <c r="B663" s="3" t="inlineStr">
        <is>
          <t>Bull</t>
        </is>
      </c>
      <c r="C663" s="3" t="inlineStr">
        <is>
          <t>Microsoft</t>
        </is>
      </c>
      <c r="D663" s="3" t="n">
        <v>2029</v>
      </c>
      <c r="E663" s="3" t="inlineStr">
        <is>
          <t>Microsoft Goodyear</t>
        </is>
      </c>
      <c r="F663" s="3" t="inlineStr">
        <is>
          <t>Microsoft</t>
        </is>
      </c>
      <c r="G663" s="3" t="inlineStr">
        <is>
          <t>United States</t>
        </is>
      </c>
      <c r="H663" s="25" t="n">
        <v>101</v>
      </c>
      <c r="I663" s="17" t="n">
        <v>1</v>
      </c>
      <c r="J663" s="17" t="n">
        <v>0.772</v>
      </c>
      <c r="K663" s="26" t="n">
        <v>0.228</v>
      </c>
      <c r="L663" s="3" t="inlineStr">
        <is>
          <t>2025-09-01</t>
        </is>
      </c>
      <c r="M663" s="27" t="n">
        <v>101</v>
      </c>
      <c r="N663" s="27" t="n">
        <v>101</v>
      </c>
      <c r="O663" s="3" t="inlineStr">
        <is>
          <t>confident</t>
        </is>
      </c>
      <c r="P663" s="3" t="inlineStr">
        <is>
          <t>H100,B200</t>
        </is>
      </c>
      <c r="Q663" s="3" t="inlineStr">
        <is>
          <t>epoch_user_site_equal_split_seed</t>
        </is>
      </c>
      <c r="R663" s="3" t="inlineStr">
        <is>
          <t>SRC_EPOCH_AI_DATA_CENTERS; EPOCH_NORMALIZED_USER_SITES</t>
        </is>
      </c>
      <c r="S663" s="3" t="inlineStr">
        <is>
          <t>Capacity weight is used only to weight accelerator mix, not to overwrite company total power in 02_Inputs.</t>
        </is>
      </c>
    </row>
    <row r="664">
      <c r="A664" s="3" t="inlineStr">
        <is>
          <t>Bull|Microsoft|2030|Microsoft Goodyear</t>
        </is>
      </c>
      <c r="B664" s="3" t="inlineStr">
        <is>
          <t>Bull</t>
        </is>
      </c>
      <c r="C664" s="3" t="inlineStr">
        <is>
          <t>Microsoft</t>
        </is>
      </c>
      <c r="D664" s="3" t="n">
        <v>2030</v>
      </c>
      <c r="E664" s="3" t="inlineStr">
        <is>
          <t>Microsoft Goodyear</t>
        </is>
      </c>
      <c r="F664" s="3" t="inlineStr">
        <is>
          <t>Microsoft</t>
        </is>
      </c>
      <c r="G664" s="3" t="inlineStr">
        <is>
          <t>United States</t>
        </is>
      </c>
      <c r="H664" s="25" t="n">
        <v>101</v>
      </c>
      <c r="I664" s="17" t="n">
        <v>1</v>
      </c>
      <c r="J664" s="17" t="n">
        <v>0.83</v>
      </c>
      <c r="K664" s="26" t="n">
        <v>0.17</v>
      </c>
      <c r="L664" s="3" t="inlineStr">
        <is>
          <t>2025-09-01</t>
        </is>
      </c>
      <c r="M664" s="27" t="n">
        <v>101</v>
      </c>
      <c r="N664" s="27" t="n">
        <v>101</v>
      </c>
      <c r="O664" s="3" t="inlineStr">
        <is>
          <t>confident</t>
        </is>
      </c>
      <c r="P664" s="3" t="inlineStr">
        <is>
          <t>H100,B200</t>
        </is>
      </c>
      <c r="Q664" s="3" t="inlineStr">
        <is>
          <t>epoch_user_site_equal_split_seed</t>
        </is>
      </c>
      <c r="R664" s="3" t="inlineStr">
        <is>
          <t>SRC_EPOCH_AI_DATA_CENTERS; EPOCH_NORMALIZED_USER_SITES</t>
        </is>
      </c>
      <c r="S664" s="3" t="inlineStr">
        <is>
          <t>Capacity weight is used only to weight accelerator mix, not to overwrite company total power in 02_Inputs.</t>
        </is>
      </c>
    </row>
    <row r="665">
      <c r="A665" s="3" t="inlineStr">
        <is>
          <t>Grid-Constrained / Efficiency-Upside|Microsoft|2026|Microsoft Goodyear</t>
        </is>
      </c>
      <c r="B665" s="3" t="inlineStr">
        <is>
          <t>Grid-Constrained / Efficiency-Upside</t>
        </is>
      </c>
      <c r="C665" s="3" t="inlineStr">
        <is>
          <t>Microsoft</t>
        </is>
      </c>
      <c r="D665" s="3" t="n">
        <v>2026</v>
      </c>
      <c r="E665" s="3" t="inlineStr">
        <is>
          <t>Microsoft Goodyear</t>
        </is>
      </c>
      <c r="F665" s="3" t="inlineStr">
        <is>
          <t>Microsoft</t>
        </is>
      </c>
      <c r="G665" s="3" t="inlineStr">
        <is>
          <t>United States</t>
        </is>
      </c>
      <c r="H665" s="25" t="n">
        <v>101</v>
      </c>
      <c r="I665" s="17" t="n">
        <v>1</v>
      </c>
      <c r="J665" s="17" t="n">
        <v>0.57</v>
      </c>
      <c r="K665" s="26" t="n">
        <v>0.43</v>
      </c>
      <c r="L665" s="3" t="inlineStr">
        <is>
          <t>2025-09-01</t>
        </is>
      </c>
      <c r="M665" s="27" t="n">
        <v>101</v>
      </c>
      <c r="N665" s="27" t="n">
        <v>101</v>
      </c>
      <c r="O665" s="3" t="inlineStr">
        <is>
          <t>confident</t>
        </is>
      </c>
      <c r="P665" s="3" t="inlineStr">
        <is>
          <t>H100,B200</t>
        </is>
      </c>
      <c r="Q665" s="3" t="inlineStr">
        <is>
          <t>epoch_user_site_equal_split_seed</t>
        </is>
      </c>
      <c r="R665" s="3" t="inlineStr">
        <is>
          <t>SRC_EPOCH_AI_DATA_CENTERS; EPOCH_NORMALIZED_USER_SITES</t>
        </is>
      </c>
      <c r="S665" s="3" t="inlineStr">
        <is>
          <t>Capacity weight is used only to weight accelerator mix, not to overwrite company total power in 02_Inputs.</t>
        </is>
      </c>
    </row>
    <row r="666">
      <c r="A666" s="3" t="inlineStr">
        <is>
          <t>Grid-Constrained / Efficiency-Upside|Microsoft|2027|Microsoft Goodyear</t>
        </is>
      </c>
      <c r="B666" s="3" t="inlineStr">
        <is>
          <t>Grid-Constrained / Efficiency-Upside</t>
        </is>
      </c>
      <c r="C666" s="3" t="inlineStr">
        <is>
          <t>Microsoft</t>
        </is>
      </c>
      <c r="D666" s="3" t="n">
        <v>2027</v>
      </c>
      <c r="E666" s="3" t="inlineStr">
        <is>
          <t>Microsoft Goodyear</t>
        </is>
      </c>
      <c r="F666" s="3" t="inlineStr">
        <is>
          <t>Microsoft</t>
        </is>
      </c>
      <c r="G666" s="3" t="inlineStr">
        <is>
          <t>United States</t>
        </is>
      </c>
      <c r="H666" s="25" t="n">
        <v>101</v>
      </c>
      <c r="I666" s="17" t="n">
        <v>1</v>
      </c>
      <c r="J666" s="17" t="n">
        <v>0.625</v>
      </c>
      <c r="K666" s="26" t="n">
        <v>0.375</v>
      </c>
      <c r="L666" s="3" t="inlineStr">
        <is>
          <t>2025-09-01</t>
        </is>
      </c>
      <c r="M666" s="27" t="n">
        <v>101</v>
      </c>
      <c r="N666" s="27" t="n">
        <v>101</v>
      </c>
      <c r="O666" s="3" t="inlineStr">
        <is>
          <t>confident</t>
        </is>
      </c>
      <c r="P666" s="3" t="inlineStr">
        <is>
          <t>H100,B200</t>
        </is>
      </c>
      <c r="Q666" s="3" t="inlineStr">
        <is>
          <t>epoch_user_site_equal_split_seed</t>
        </is>
      </c>
      <c r="R666" s="3" t="inlineStr">
        <is>
          <t>SRC_EPOCH_AI_DATA_CENTERS; EPOCH_NORMALIZED_USER_SITES</t>
        </is>
      </c>
      <c r="S666" s="3" t="inlineStr">
        <is>
          <t>Capacity weight is used only to weight accelerator mix, not to overwrite company total power in 02_Inputs.</t>
        </is>
      </c>
    </row>
    <row r="667">
      <c r="A667" s="3" t="inlineStr">
        <is>
          <t>Grid-Constrained / Efficiency-Upside|Microsoft|2028|Microsoft Goodyear</t>
        </is>
      </c>
      <c r="B667" s="3" t="inlineStr">
        <is>
          <t>Grid-Constrained / Efficiency-Upside</t>
        </is>
      </c>
      <c r="C667" s="3" t="inlineStr">
        <is>
          <t>Microsoft</t>
        </is>
      </c>
      <c r="D667" s="3" t="n">
        <v>2028</v>
      </c>
      <c r="E667" s="3" t="inlineStr">
        <is>
          <t>Microsoft Goodyear</t>
        </is>
      </c>
      <c r="F667" s="3" t="inlineStr">
        <is>
          <t>Microsoft</t>
        </is>
      </c>
      <c r="G667" s="3" t="inlineStr">
        <is>
          <t>United States</t>
        </is>
      </c>
      <c r="H667" s="25" t="n">
        <v>101</v>
      </c>
      <c r="I667" s="17" t="n">
        <v>1</v>
      </c>
      <c r="J667" s="17" t="n">
        <v>0.68</v>
      </c>
      <c r="K667" s="26" t="n">
        <v>0.32</v>
      </c>
      <c r="L667" s="3" t="inlineStr">
        <is>
          <t>2025-09-01</t>
        </is>
      </c>
      <c r="M667" s="27" t="n">
        <v>101</v>
      </c>
      <c r="N667" s="27" t="n">
        <v>101</v>
      </c>
      <c r="O667" s="3" t="inlineStr">
        <is>
          <t>confident</t>
        </is>
      </c>
      <c r="P667" s="3" t="inlineStr">
        <is>
          <t>H100,B200</t>
        </is>
      </c>
      <c r="Q667" s="3" t="inlineStr">
        <is>
          <t>epoch_user_site_equal_split_seed</t>
        </is>
      </c>
      <c r="R667" s="3" t="inlineStr">
        <is>
          <t>SRC_EPOCH_AI_DATA_CENTERS; EPOCH_NORMALIZED_USER_SITES</t>
        </is>
      </c>
      <c r="S667" s="3" t="inlineStr">
        <is>
          <t>Capacity weight is used only to weight accelerator mix, not to overwrite company total power in 02_Inputs.</t>
        </is>
      </c>
    </row>
    <row r="668">
      <c r="A668" s="3" t="inlineStr">
        <is>
          <t>Grid-Constrained / Efficiency-Upside|Microsoft|2029|Microsoft Goodyear</t>
        </is>
      </c>
      <c r="B668" s="3" t="inlineStr">
        <is>
          <t>Grid-Constrained / Efficiency-Upside</t>
        </is>
      </c>
      <c r="C668" s="3" t="inlineStr">
        <is>
          <t>Microsoft</t>
        </is>
      </c>
      <c r="D668" s="3" t="n">
        <v>2029</v>
      </c>
      <c r="E668" s="3" t="inlineStr">
        <is>
          <t>Microsoft Goodyear</t>
        </is>
      </c>
      <c r="F668" s="3" t="inlineStr">
        <is>
          <t>Microsoft</t>
        </is>
      </c>
      <c r="G668" s="3" t="inlineStr">
        <is>
          <t>United States</t>
        </is>
      </c>
      <c r="H668" s="25" t="n">
        <v>101</v>
      </c>
      <c r="I668" s="17" t="n">
        <v>1</v>
      </c>
      <c r="J668" s="17" t="n">
        <v>0.735</v>
      </c>
      <c r="K668" s="26" t="n">
        <v>0.265</v>
      </c>
      <c r="L668" s="3" t="inlineStr">
        <is>
          <t>2025-09-01</t>
        </is>
      </c>
      <c r="M668" s="27" t="n">
        <v>101</v>
      </c>
      <c r="N668" s="27" t="n">
        <v>101</v>
      </c>
      <c r="O668" s="3" t="inlineStr">
        <is>
          <t>confident</t>
        </is>
      </c>
      <c r="P668" s="3" t="inlineStr">
        <is>
          <t>H100,B200</t>
        </is>
      </c>
      <c r="Q668" s="3" t="inlineStr">
        <is>
          <t>epoch_user_site_equal_split_seed</t>
        </is>
      </c>
      <c r="R668" s="3" t="inlineStr">
        <is>
          <t>SRC_EPOCH_AI_DATA_CENTERS; EPOCH_NORMALIZED_USER_SITES</t>
        </is>
      </c>
      <c r="S668" s="3" t="inlineStr">
        <is>
          <t>Capacity weight is used only to weight accelerator mix, not to overwrite company total power in 02_Inputs.</t>
        </is>
      </c>
    </row>
    <row r="669">
      <c r="A669" s="3" t="inlineStr">
        <is>
          <t>Grid-Constrained / Efficiency-Upside|Microsoft|2030|Microsoft Goodyear</t>
        </is>
      </c>
      <c r="B669" s="3" t="inlineStr">
        <is>
          <t>Grid-Constrained / Efficiency-Upside</t>
        </is>
      </c>
      <c r="C669" s="3" t="inlineStr">
        <is>
          <t>Microsoft</t>
        </is>
      </c>
      <c r="D669" s="3" t="n">
        <v>2030</v>
      </c>
      <c r="E669" s="3" t="inlineStr">
        <is>
          <t>Microsoft Goodyear</t>
        </is>
      </c>
      <c r="F669" s="3" t="inlineStr">
        <is>
          <t>Microsoft</t>
        </is>
      </c>
      <c r="G669" s="3" t="inlineStr">
        <is>
          <t>United States</t>
        </is>
      </c>
      <c r="H669" s="25" t="n">
        <v>101</v>
      </c>
      <c r="I669" s="17" t="n">
        <v>1</v>
      </c>
      <c r="J669" s="17" t="n">
        <v>0.79</v>
      </c>
      <c r="K669" s="26" t="n">
        <v>0.21</v>
      </c>
      <c r="L669" s="3" t="inlineStr">
        <is>
          <t>2025-09-01</t>
        </is>
      </c>
      <c r="M669" s="27" t="n">
        <v>101</v>
      </c>
      <c r="N669" s="27" t="n">
        <v>101</v>
      </c>
      <c r="O669" s="3" t="inlineStr">
        <is>
          <t>confident</t>
        </is>
      </c>
      <c r="P669" s="3" t="inlineStr">
        <is>
          <t>H100,B200</t>
        </is>
      </c>
      <c r="Q669" s="3" t="inlineStr">
        <is>
          <t>epoch_user_site_equal_split_seed</t>
        </is>
      </c>
      <c r="R669" s="3" t="inlineStr">
        <is>
          <t>SRC_EPOCH_AI_DATA_CENTERS; EPOCH_NORMALIZED_USER_SITES</t>
        </is>
      </c>
      <c r="S669" s="3" t="inlineStr">
        <is>
          <t>Capacity weight is used only to weight accelerator mix, not to overwrite company total power in 02_Inputs.</t>
        </is>
      </c>
    </row>
    <row r="670">
      <c r="A670" s="3" t="inlineStr">
        <is>
          <t>Bear|Microsoft|2026|Start Campus Sines Data Campus</t>
        </is>
      </c>
      <c r="B670" s="3" t="inlineStr">
        <is>
          <t>Bear</t>
        </is>
      </c>
      <c r="C670" s="3" t="inlineStr">
        <is>
          <t>Microsoft</t>
        </is>
      </c>
      <c r="D670" s="3" t="n">
        <v>2026</v>
      </c>
      <c r="E670" s="3" t="inlineStr">
        <is>
          <t>Start Campus Sines Data Campus</t>
        </is>
      </c>
      <c r="F670" s="3" t="inlineStr">
        <is>
          <t>Nscale</t>
        </is>
      </c>
      <c r="G670" s="3" t="inlineStr">
        <is>
          <t>Portugal</t>
        </is>
      </c>
      <c r="H670" s="25" t="n">
        <v>33</v>
      </c>
      <c r="I670" s="17" t="n">
        <v>1</v>
      </c>
      <c r="J670" s="17" t="n">
        <v>0.47</v>
      </c>
      <c r="K670" s="26" t="n">
        <v>0.53</v>
      </c>
      <c r="L670" s="3" t="inlineStr">
        <is>
          <t>2027-09-30</t>
        </is>
      </c>
      <c r="M670" s="27" t="n">
        <v>33</v>
      </c>
      <c r="N670" s="27" t="n">
        <v>233</v>
      </c>
      <c r="O670" s="3" t="inlineStr">
        <is>
          <t>confident</t>
        </is>
      </c>
      <c r="P670" s="3" t="inlineStr">
        <is>
          <t>B300</t>
        </is>
      </c>
      <c r="Q670" s="3" t="inlineStr">
        <is>
          <t>epoch_user_site_equal_split_seed</t>
        </is>
      </c>
      <c r="R670" s="3" t="inlineStr">
        <is>
          <t>SRC_EPOCH_AI_DATA_CENTERS; EPOCH_NORMALIZED_USER_SITES</t>
        </is>
      </c>
      <c r="S670" s="3" t="inlineStr">
        <is>
          <t>Capacity weight is used only to weight accelerator mix, not to overwrite company total power in 02_Inputs.</t>
        </is>
      </c>
    </row>
    <row r="671">
      <c r="A671" s="3" t="inlineStr">
        <is>
          <t>Bear|Microsoft|2027|Start Campus Sines Data Campus</t>
        </is>
      </c>
      <c r="B671" s="3" t="inlineStr">
        <is>
          <t>Bear</t>
        </is>
      </c>
      <c r="C671" s="3" t="inlineStr">
        <is>
          <t>Microsoft</t>
        </is>
      </c>
      <c r="D671" s="3" t="n">
        <v>2027</v>
      </c>
      <c r="E671" s="3" t="inlineStr">
        <is>
          <t>Start Campus Sines Data Campus</t>
        </is>
      </c>
      <c r="F671" s="3" t="inlineStr">
        <is>
          <t>Nscale</t>
        </is>
      </c>
      <c r="G671" s="3" t="inlineStr">
        <is>
          <t>Portugal</t>
        </is>
      </c>
      <c r="H671" s="25" t="n">
        <v>233</v>
      </c>
      <c r="I671" s="17" t="n">
        <v>1</v>
      </c>
      <c r="J671" s="17" t="n">
        <v>0.515</v>
      </c>
      <c r="K671" s="26" t="n">
        <v>0.485</v>
      </c>
      <c r="L671" s="3" t="inlineStr">
        <is>
          <t>2027-09-30</t>
        </is>
      </c>
      <c r="M671" s="27" t="n">
        <v>33</v>
      </c>
      <c r="N671" s="27" t="n">
        <v>233</v>
      </c>
      <c r="O671" s="3" t="inlineStr">
        <is>
          <t>confident</t>
        </is>
      </c>
      <c r="P671" s="3" t="inlineStr">
        <is>
          <t>B300</t>
        </is>
      </c>
      <c r="Q671" s="3" t="inlineStr">
        <is>
          <t>epoch_user_site_equal_split_seed</t>
        </is>
      </c>
      <c r="R671" s="3" t="inlineStr">
        <is>
          <t>SRC_EPOCH_AI_DATA_CENTERS; EPOCH_NORMALIZED_USER_SITES</t>
        </is>
      </c>
      <c r="S671" s="3" t="inlineStr">
        <is>
          <t>Capacity weight is used only to weight accelerator mix, not to overwrite company total power in 02_Inputs.</t>
        </is>
      </c>
    </row>
    <row r="672">
      <c r="A672" s="3" t="inlineStr">
        <is>
          <t>Bear|Microsoft|2028|Start Campus Sines Data Campus</t>
        </is>
      </c>
      <c r="B672" s="3" t="inlineStr">
        <is>
          <t>Bear</t>
        </is>
      </c>
      <c r="C672" s="3" t="inlineStr">
        <is>
          <t>Microsoft</t>
        </is>
      </c>
      <c r="D672" s="3" t="n">
        <v>2028</v>
      </c>
      <c r="E672" s="3" t="inlineStr">
        <is>
          <t>Start Campus Sines Data Campus</t>
        </is>
      </c>
      <c r="F672" s="3" t="inlineStr">
        <is>
          <t>Nscale</t>
        </is>
      </c>
      <c r="G672" s="3" t="inlineStr">
        <is>
          <t>Portugal</t>
        </is>
      </c>
      <c r="H672" s="25" t="n">
        <v>233</v>
      </c>
      <c r="I672" s="17" t="n">
        <v>1</v>
      </c>
      <c r="J672" s="17" t="n">
        <v>0.5600000000000001</v>
      </c>
      <c r="K672" s="26" t="n">
        <v>0.44</v>
      </c>
      <c r="L672" s="3" t="inlineStr">
        <is>
          <t>2027-09-30</t>
        </is>
      </c>
      <c r="M672" s="27" t="n">
        <v>33</v>
      </c>
      <c r="N672" s="27" t="n">
        <v>233</v>
      </c>
      <c r="O672" s="3" t="inlineStr">
        <is>
          <t>confident</t>
        </is>
      </c>
      <c r="P672" s="3" t="inlineStr">
        <is>
          <t>B300</t>
        </is>
      </c>
      <c r="Q672" s="3" t="inlineStr">
        <is>
          <t>epoch_user_site_equal_split_seed</t>
        </is>
      </c>
      <c r="R672" s="3" t="inlineStr">
        <is>
          <t>SRC_EPOCH_AI_DATA_CENTERS; EPOCH_NORMALIZED_USER_SITES</t>
        </is>
      </c>
      <c r="S672" s="3" t="inlineStr">
        <is>
          <t>Capacity weight is used only to weight accelerator mix, not to overwrite company total power in 02_Inputs.</t>
        </is>
      </c>
    </row>
    <row r="673">
      <c r="A673" s="3" t="inlineStr">
        <is>
          <t>Bear|Microsoft|2029|Start Campus Sines Data Campus</t>
        </is>
      </c>
      <c r="B673" s="3" t="inlineStr">
        <is>
          <t>Bear</t>
        </is>
      </c>
      <c r="C673" s="3" t="inlineStr">
        <is>
          <t>Microsoft</t>
        </is>
      </c>
      <c r="D673" s="3" t="n">
        <v>2029</v>
      </c>
      <c r="E673" s="3" t="inlineStr">
        <is>
          <t>Start Campus Sines Data Campus</t>
        </is>
      </c>
      <c r="F673" s="3" t="inlineStr">
        <is>
          <t>Nscale</t>
        </is>
      </c>
      <c r="G673" s="3" t="inlineStr">
        <is>
          <t>Portugal</t>
        </is>
      </c>
      <c r="H673" s="25" t="n">
        <v>233</v>
      </c>
      <c r="I673" s="17" t="n">
        <v>1</v>
      </c>
      <c r="J673" s="17" t="n">
        <v>0.605</v>
      </c>
      <c r="K673" s="26" t="n">
        <v>0.395</v>
      </c>
      <c r="L673" s="3" t="inlineStr">
        <is>
          <t>2027-09-30</t>
        </is>
      </c>
      <c r="M673" s="27" t="n">
        <v>33</v>
      </c>
      <c r="N673" s="27" t="n">
        <v>233</v>
      </c>
      <c r="O673" s="3" t="inlineStr">
        <is>
          <t>confident</t>
        </is>
      </c>
      <c r="P673" s="3" t="inlineStr">
        <is>
          <t>B300</t>
        </is>
      </c>
      <c r="Q673" s="3" t="inlineStr">
        <is>
          <t>epoch_user_site_equal_split_seed</t>
        </is>
      </c>
      <c r="R673" s="3" t="inlineStr">
        <is>
          <t>SRC_EPOCH_AI_DATA_CENTERS; EPOCH_NORMALIZED_USER_SITES</t>
        </is>
      </c>
      <c r="S673" s="3" t="inlineStr">
        <is>
          <t>Capacity weight is used only to weight accelerator mix, not to overwrite company total power in 02_Inputs.</t>
        </is>
      </c>
    </row>
    <row r="674">
      <c r="A674" s="3" t="inlineStr">
        <is>
          <t>Bear|Microsoft|2030|Start Campus Sines Data Campus</t>
        </is>
      </c>
      <c r="B674" s="3" t="inlineStr">
        <is>
          <t>Bear</t>
        </is>
      </c>
      <c r="C674" s="3" t="inlineStr">
        <is>
          <t>Microsoft</t>
        </is>
      </c>
      <c r="D674" s="3" t="n">
        <v>2030</v>
      </c>
      <c r="E674" s="3" t="inlineStr">
        <is>
          <t>Start Campus Sines Data Campus</t>
        </is>
      </c>
      <c r="F674" s="3" t="inlineStr">
        <is>
          <t>Nscale</t>
        </is>
      </c>
      <c r="G674" s="3" t="inlineStr">
        <is>
          <t>Portugal</t>
        </is>
      </c>
      <c r="H674" s="25" t="n">
        <v>233</v>
      </c>
      <c r="I674" s="17" t="n">
        <v>1</v>
      </c>
      <c r="J674" s="17" t="n">
        <v>0.65</v>
      </c>
      <c r="K674" s="26" t="n">
        <v>0.35</v>
      </c>
      <c r="L674" s="3" t="inlineStr">
        <is>
          <t>2027-09-30</t>
        </is>
      </c>
      <c r="M674" s="27" t="n">
        <v>33</v>
      </c>
      <c r="N674" s="27" t="n">
        <v>233</v>
      </c>
      <c r="O674" s="3" t="inlineStr">
        <is>
          <t>confident</t>
        </is>
      </c>
      <c r="P674" s="3" t="inlineStr">
        <is>
          <t>B300</t>
        </is>
      </c>
      <c r="Q674" s="3" t="inlineStr">
        <is>
          <t>epoch_user_site_equal_split_seed</t>
        </is>
      </c>
      <c r="R674" s="3" t="inlineStr">
        <is>
          <t>SRC_EPOCH_AI_DATA_CENTERS; EPOCH_NORMALIZED_USER_SITES</t>
        </is>
      </c>
      <c r="S674" s="3" t="inlineStr">
        <is>
          <t>Capacity weight is used only to weight accelerator mix, not to overwrite company total power in 02_Inputs.</t>
        </is>
      </c>
    </row>
    <row r="675">
      <c r="A675" s="3" t="inlineStr">
        <is>
          <t>Base|Microsoft|2026|Start Campus Sines Data Campus</t>
        </is>
      </c>
      <c r="B675" s="3" t="inlineStr">
        <is>
          <t>Base</t>
        </is>
      </c>
      <c r="C675" s="3" t="inlineStr">
        <is>
          <t>Microsoft</t>
        </is>
      </c>
      <c r="D675" s="3" t="n">
        <v>2026</v>
      </c>
      <c r="E675" s="3" t="inlineStr">
        <is>
          <t>Start Campus Sines Data Campus</t>
        </is>
      </c>
      <c r="F675" s="3" t="inlineStr">
        <is>
          <t>Nscale</t>
        </is>
      </c>
      <c r="G675" s="3" t="inlineStr">
        <is>
          <t>Portugal</t>
        </is>
      </c>
      <c r="H675" s="25" t="n">
        <v>33</v>
      </c>
      <c r="I675" s="17" t="n">
        <v>1</v>
      </c>
      <c r="J675" s="17" t="n">
        <v>0.55</v>
      </c>
      <c r="K675" s="26" t="n">
        <v>0.45</v>
      </c>
      <c r="L675" s="3" t="inlineStr">
        <is>
          <t>2027-09-30</t>
        </is>
      </c>
      <c r="M675" s="27" t="n">
        <v>33</v>
      </c>
      <c r="N675" s="27" t="n">
        <v>233</v>
      </c>
      <c r="O675" s="3" t="inlineStr">
        <is>
          <t>confident</t>
        </is>
      </c>
      <c r="P675" s="3" t="inlineStr">
        <is>
          <t>B300</t>
        </is>
      </c>
      <c r="Q675" s="3" t="inlineStr">
        <is>
          <t>epoch_user_site_equal_split_seed</t>
        </is>
      </c>
      <c r="R675" s="3" t="inlineStr">
        <is>
          <t>SRC_EPOCH_AI_DATA_CENTERS; EPOCH_NORMALIZED_USER_SITES</t>
        </is>
      </c>
      <c r="S675" s="3" t="inlineStr">
        <is>
          <t>Capacity weight is used only to weight accelerator mix, not to overwrite company total power in 02_Inputs.</t>
        </is>
      </c>
    </row>
    <row r="676">
      <c r="A676" s="3" t="inlineStr">
        <is>
          <t>Base|Microsoft|2027|Start Campus Sines Data Campus</t>
        </is>
      </c>
      <c r="B676" s="3" t="inlineStr">
        <is>
          <t>Base</t>
        </is>
      </c>
      <c r="C676" s="3" t="inlineStr">
        <is>
          <t>Microsoft</t>
        </is>
      </c>
      <c r="D676" s="3" t="n">
        <v>2027</v>
      </c>
      <c r="E676" s="3" t="inlineStr">
        <is>
          <t>Start Campus Sines Data Campus</t>
        </is>
      </c>
      <c r="F676" s="3" t="inlineStr">
        <is>
          <t>Nscale</t>
        </is>
      </c>
      <c r="G676" s="3" t="inlineStr">
        <is>
          <t>Portugal</t>
        </is>
      </c>
      <c r="H676" s="25" t="n">
        <v>233</v>
      </c>
      <c r="I676" s="17" t="n">
        <v>1</v>
      </c>
      <c r="J676" s="17" t="n">
        <v>0.6</v>
      </c>
      <c r="K676" s="26" t="n">
        <v>0.4</v>
      </c>
      <c r="L676" s="3" t="inlineStr">
        <is>
          <t>2027-09-30</t>
        </is>
      </c>
      <c r="M676" s="27" t="n">
        <v>33</v>
      </c>
      <c r="N676" s="27" t="n">
        <v>233</v>
      </c>
      <c r="O676" s="3" t="inlineStr">
        <is>
          <t>confident</t>
        </is>
      </c>
      <c r="P676" s="3" t="inlineStr">
        <is>
          <t>B300</t>
        </is>
      </c>
      <c r="Q676" s="3" t="inlineStr">
        <is>
          <t>epoch_user_site_equal_split_seed</t>
        </is>
      </c>
      <c r="R676" s="3" t="inlineStr">
        <is>
          <t>SRC_EPOCH_AI_DATA_CENTERS; EPOCH_NORMALIZED_USER_SITES</t>
        </is>
      </c>
      <c r="S676" s="3" t="inlineStr">
        <is>
          <t>Capacity weight is used only to weight accelerator mix, not to overwrite company total power in 02_Inputs.</t>
        </is>
      </c>
    </row>
    <row r="677">
      <c r="A677" s="3" t="inlineStr">
        <is>
          <t>Base|Microsoft|2028|Start Campus Sines Data Campus</t>
        </is>
      </c>
      <c r="B677" s="3" t="inlineStr">
        <is>
          <t>Base</t>
        </is>
      </c>
      <c r="C677" s="3" t="inlineStr">
        <is>
          <t>Microsoft</t>
        </is>
      </c>
      <c r="D677" s="3" t="n">
        <v>2028</v>
      </c>
      <c r="E677" s="3" t="inlineStr">
        <is>
          <t>Start Campus Sines Data Campus</t>
        </is>
      </c>
      <c r="F677" s="3" t="inlineStr">
        <is>
          <t>Nscale</t>
        </is>
      </c>
      <c r="G677" s="3" t="inlineStr">
        <is>
          <t>Portugal</t>
        </is>
      </c>
      <c r="H677" s="25" t="n">
        <v>233</v>
      </c>
      <c r="I677" s="17" t="n">
        <v>1</v>
      </c>
      <c r="J677" s="17" t="n">
        <v>0.65</v>
      </c>
      <c r="K677" s="26" t="n">
        <v>0.35</v>
      </c>
      <c r="L677" s="3" t="inlineStr">
        <is>
          <t>2027-09-30</t>
        </is>
      </c>
      <c r="M677" s="27" t="n">
        <v>33</v>
      </c>
      <c r="N677" s="27" t="n">
        <v>233</v>
      </c>
      <c r="O677" s="3" t="inlineStr">
        <is>
          <t>confident</t>
        </is>
      </c>
      <c r="P677" s="3" t="inlineStr">
        <is>
          <t>B300</t>
        </is>
      </c>
      <c r="Q677" s="3" t="inlineStr">
        <is>
          <t>epoch_user_site_equal_split_seed</t>
        </is>
      </c>
      <c r="R677" s="3" t="inlineStr">
        <is>
          <t>SRC_EPOCH_AI_DATA_CENTERS; EPOCH_NORMALIZED_USER_SITES</t>
        </is>
      </c>
      <c r="S677" s="3" t="inlineStr">
        <is>
          <t>Capacity weight is used only to weight accelerator mix, not to overwrite company total power in 02_Inputs.</t>
        </is>
      </c>
    </row>
    <row r="678">
      <c r="A678" s="3" t="inlineStr">
        <is>
          <t>Base|Microsoft|2029|Start Campus Sines Data Campus</t>
        </is>
      </c>
      <c r="B678" s="3" t="inlineStr">
        <is>
          <t>Base</t>
        </is>
      </c>
      <c r="C678" s="3" t="inlineStr">
        <is>
          <t>Microsoft</t>
        </is>
      </c>
      <c r="D678" s="3" t="n">
        <v>2029</v>
      </c>
      <c r="E678" s="3" t="inlineStr">
        <is>
          <t>Start Campus Sines Data Campus</t>
        </is>
      </c>
      <c r="F678" s="3" t="inlineStr">
        <is>
          <t>Nscale</t>
        </is>
      </c>
      <c r="G678" s="3" t="inlineStr">
        <is>
          <t>Portugal</t>
        </is>
      </c>
      <c r="H678" s="25" t="n">
        <v>233</v>
      </c>
      <c r="I678" s="17" t="n">
        <v>1</v>
      </c>
      <c r="J678" s="17" t="n">
        <v>0.7</v>
      </c>
      <c r="K678" s="26" t="n">
        <v>0.3</v>
      </c>
      <c r="L678" s="3" t="inlineStr">
        <is>
          <t>2027-09-30</t>
        </is>
      </c>
      <c r="M678" s="27" t="n">
        <v>33</v>
      </c>
      <c r="N678" s="27" t="n">
        <v>233</v>
      </c>
      <c r="O678" s="3" t="inlineStr">
        <is>
          <t>confident</t>
        </is>
      </c>
      <c r="P678" s="3" t="inlineStr">
        <is>
          <t>B300</t>
        </is>
      </c>
      <c r="Q678" s="3" t="inlineStr">
        <is>
          <t>epoch_user_site_equal_split_seed</t>
        </is>
      </c>
      <c r="R678" s="3" t="inlineStr">
        <is>
          <t>SRC_EPOCH_AI_DATA_CENTERS; EPOCH_NORMALIZED_USER_SITES</t>
        </is>
      </c>
      <c r="S678" s="3" t="inlineStr">
        <is>
          <t>Capacity weight is used only to weight accelerator mix, not to overwrite company total power in 02_Inputs.</t>
        </is>
      </c>
    </row>
    <row r="679">
      <c r="A679" s="3" t="inlineStr">
        <is>
          <t>Base|Microsoft|2030|Start Campus Sines Data Campus</t>
        </is>
      </c>
      <c r="B679" s="3" t="inlineStr">
        <is>
          <t>Base</t>
        </is>
      </c>
      <c r="C679" s="3" t="inlineStr">
        <is>
          <t>Microsoft</t>
        </is>
      </c>
      <c r="D679" s="3" t="n">
        <v>2030</v>
      </c>
      <c r="E679" s="3" t="inlineStr">
        <is>
          <t>Start Campus Sines Data Campus</t>
        </is>
      </c>
      <c r="F679" s="3" t="inlineStr">
        <is>
          <t>Nscale</t>
        </is>
      </c>
      <c r="G679" s="3" t="inlineStr">
        <is>
          <t>Portugal</t>
        </is>
      </c>
      <c r="H679" s="25" t="n">
        <v>233</v>
      </c>
      <c r="I679" s="17" t="n">
        <v>1</v>
      </c>
      <c r="J679" s="17" t="n">
        <v>0.75</v>
      </c>
      <c r="K679" s="26" t="n">
        <v>0.25</v>
      </c>
      <c r="L679" s="3" t="inlineStr">
        <is>
          <t>2027-09-30</t>
        </is>
      </c>
      <c r="M679" s="27" t="n">
        <v>33</v>
      </c>
      <c r="N679" s="27" t="n">
        <v>233</v>
      </c>
      <c r="O679" s="3" t="inlineStr">
        <is>
          <t>confident</t>
        </is>
      </c>
      <c r="P679" s="3" t="inlineStr">
        <is>
          <t>B300</t>
        </is>
      </c>
      <c r="Q679" s="3" t="inlineStr">
        <is>
          <t>epoch_user_site_equal_split_seed</t>
        </is>
      </c>
      <c r="R679" s="3" t="inlineStr">
        <is>
          <t>SRC_EPOCH_AI_DATA_CENTERS; EPOCH_NORMALIZED_USER_SITES</t>
        </is>
      </c>
      <c r="S679" s="3" t="inlineStr">
        <is>
          <t>Capacity weight is used only to weight accelerator mix, not to overwrite company total power in 02_Inputs.</t>
        </is>
      </c>
    </row>
    <row r="680">
      <c r="A680" s="3" t="inlineStr">
        <is>
          <t>Bull|Microsoft|2026|Start Campus Sines Data Campus</t>
        </is>
      </c>
      <c r="B680" s="3" t="inlineStr">
        <is>
          <t>Bull</t>
        </is>
      </c>
      <c r="C680" s="3" t="inlineStr">
        <is>
          <t>Microsoft</t>
        </is>
      </c>
      <c r="D680" s="3" t="n">
        <v>2026</v>
      </c>
      <c r="E680" s="3" t="inlineStr">
        <is>
          <t>Start Campus Sines Data Campus</t>
        </is>
      </c>
      <c r="F680" s="3" t="inlineStr">
        <is>
          <t>Nscale</t>
        </is>
      </c>
      <c r="G680" s="3" t="inlineStr">
        <is>
          <t>Portugal</t>
        </is>
      </c>
      <c r="H680" s="25" t="n">
        <v>33</v>
      </c>
      <c r="I680" s="17" t="n">
        <v>1</v>
      </c>
      <c r="J680" s="17" t="n">
        <v>0.6</v>
      </c>
      <c r="K680" s="26" t="n">
        <v>0.4</v>
      </c>
      <c r="L680" s="3" t="inlineStr">
        <is>
          <t>2027-09-30</t>
        </is>
      </c>
      <c r="M680" s="27" t="n">
        <v>33</v>
      </c>
      <c r="N680" s="27" t="n">
        <v>233</v>
      </c>
      <c r="O680" s="3" t="inlineStr">
        <is>
          <t>confident</t>
        </is>
      </c>
      <c r="P680" s="3" t="inlineStr">
        <is>
          <t>B300</t>
        </is>
      </c>
      <c r="Q680" s="3" t="inlineStr">
        <is>
          <t>epoch_user_site_equal_split_seed</t>
        </is>
      </c>
      <c r="R680" s="3" t="inlineStr">
        <is>
          <t>SRC_EPOCH_AI_DATA_CENTERS; EPOCH_NORMALIZED_USER_SITES</t>
        </is>
      </c>
      <c r="S680" s="3" t="inlineStr">
        <is>
          <t>Capacity weight is used only to weight accelerator mix, not to overwrite company total power in 02_Inputs.</t>
        </is>
      </c>
    </row>
    <row r="681">
      <c r="A681" s="3" t="inlineStr">
        <is>
          <t>Bull|Microsoft|2027|Start Campus Sines Data Campus</t>
        </is>
      </c>
      <c r="B681" s="3" t="inlineStr">
        <is>
          <t>Bull</t>
        </is>
      </c>
      <c r="C681" s="3" t="inlineStr">
        <is>
          <t>Microsoft</t>
        </is>
      </c>
      <c r="D681" s="3" t="n">
        <v>2027</v>
      </c>
      <c r="E681" s="3" t="inlineStr">
        <is>
          <t>Start Campus Sines Data Campus</t>
        </is>
      </c>
      <c r="F681" s="3" t="inlineStr">
        <is>
          <t>Nscale</t>
        </is>
      </c>
      <c r="G681" s="3" t="inlineStr">
        <is>
          <t>Portugal</t>
        </is>
      </c>
      <c r="H681" s="25" t="n">
        <v>233</v>
      </c>
      <c r="I681" s="17" t="n">
        <v>1</v>
      </c>
      <c r="J681" s="17" t="n">
        <v>0.658</v>
      </c>
      <c r="K681" s="26" t="n">
        <v>0.342</v>
      </c>
      <c r="L681" s="3" t="inlineStr">
        <is>
          <t>2027-09-30</t>
        </is>
      </c>
      <c r="M681" s="27" t="n">
        <v>33</v>
      </c>
      <c r="N681" s="27" t="n">
        <v>233</v>
      </c>
      <c r="O681" s="3" t="inlineStr">
        <is>
          <t>confident</t>
        </is>
      </c>
      <c r="P681" s="3" t="inlineStr">
        <is>
          <t>B300</t>
        </is>
      </c>
      <c r="Q681" s="3" t="inlineStr">
        <is>
          <t>epoch_user_site_equal_split_seed</t>
        </is>
      </c>
      <c r="R681" s="3" t="inlineStr">
        <is>
          <t>SRC_EPOCH_AI_DATA_CENTERS; EPOCH_NORMALIZED_USER_SITES</t>
        </is>
      </c>
      <c r="S681" s="3" t="inlineStr">
        <is>
          <t>Capacity weight is used only to weight accelerator mix, not to overwrite company total power in 02_Inputs.</t>
        </is>
      </c>
    </row>
    <row r="682">
      <c r="A682" s="3" t="inlineStr">
        <is>
          <t>Bull|Microsoft|2028|Start Campus Sines Data Campus</t>
        </is>
      </c>
      <c r="B682" s="3" t="inlineStr">
        <is>
          <t>Bull</t>
        </is>
      </c>
      <c r="C682" s="3" t="inlineStr">
        <is>
          <t>Microsoft</t>
        </is>
      </c>
      <c r="D682" s="3" t="n">
        <v>2028</v>
      </c>
      <c r="E682" s="3" t="inlineStr">
        <is>
          <t>Start Campus Sines Data Campus</t>
        </is>
      </c>
      <c r="F682" s="3" t="inlineStr">
        <is>
          <t>Nscale</t>
        </is>
      </c>
      <c r="G682" s="3" t="inlineStr">
        <is>
          <t>Portugal</t>
        </is>
      </c>
      <c r="H682" s="25" t="n">
        <v>233</v>
      </c>
      <c r="I682" s="17" t="n">
        <v>1</v>
      </c>
      <c r="J682" s="17" t="n">
        <v>0.715</v>
      </c>
      <c r="K682" s="26" t="n">
        <v>0.285</v>
      </c>
      <c r="L682" s="3" t="inlineStr">
        <is>
          <t>2027-09-30</t>
        </is>
      </c>
      <c r="M682" s="27" t="n">
        <v>33</v>
      </c>
      <c r="N682" s="27" t="n">
        <v>233</v>
      </c>
      <c r="O682" s="3" t="inlineStr">
        <is>
          <t>confident</t>
        </is>
      </c>
      <c r="P682" s="3" t="inlineStr">
        <is>
          <t>B300</t>
        </is>
      </c>
      <c r="Q682" s="3" t="inlineStr">
        <is>
          <t>epoch_user_site_equal_split_seed</t>
        </is>
      </c>
      <c r="R682" s="3" t="inlineStr">
        <is>
          <t>SRC_EPOCH_AI_DATA_CENTERS; EPOCH_NORMALIZED_USER_SITES</t>
        </is>
      </c>
      <c r="S682" s="3" t="inlineStr">
        <is>
          <t>Capacity weight is used only to weight accelerator mix, not to overwrite company total power in 02_Inputs.</t>
        </is>
      </c>
    </row>
    <row r="683">
      <c r="A683" s="3" t="inlineStr">
        <is>
          <t>Bull|Microsoft|2029|Start Campus Sines Data Campus</t>
        </is>
      </c>
      <c r="B683" s="3" t="inlineStr">
        <is>
          <t>Bull</t>
        </is>
      </c>
      <c r="C683" s="3" t="inlineStr">
        <is>
          <t>Microsoft</t>
        </is>
      </c>
      <c r="D683" s="3" t="n">
        <v>2029</v>
      </c>
      <c r="E683" s="3" t="inlineStr">
        <is>
          <t>Start Campus Sines Data Campus</t>
        </is>
      </c>
      <c r="F683" s="3" t="inlineStr">
        <is>
          <t>Nscale</t>
        </is>
      </c>
      <c r="G683" s="3" t="inlineStr">
        <is>
          <t>Portugal</t>
        </is>
      </c>
      <c r="H683" s="25" t="n">
        <v>233</v>
      </c>
      <c r="I683" s="17" t="n">
        <v>1</v>
      </c>
      <c r="J683" s="17" t="n">
        <v>0.772</v>
      </c>
      <c r="K683" s="26" t="n">
        <v>0.228</v>
      </c>
      <c r="L683" s="3" t="inlineStr">
        <is>
          <t>2027-09-30</t>
        </is>
      </c>
      <c r="M683" s="27" t="n">
        <v>33</v>
      </c>
      <c r="N683" s="27" t="n">
        <v>233</v>
      </c>
      <c r="O683" s="3" t="inlineStr">
        <is>
          <t>confident</t>
        </is>
      </c>
      <c r="P683" s="3" t="inlineStr">
        <is>
          <t>B300</t>
        </is>
      </c>
      <c r="Q683" s="3" t="inlineStr">
        <is>
          <t>epoch_user_site_equal_split_seed</t>
        </is>
      </c>
      <c r="R683" s="3" t="inlineStr">
        <is>
          <t>SRC_EPOCH_AI_DATA_CENTERS; EPOCH_NORMALIZED_USER_SITES</t>
        </is>
      </c>
      <c r="S683" s="3" t="inlineStr">
        <is>
          <t>Capacity weight is used only to weight accelerator mix, not to overwrite company total power in 02_Inputs.</t>
        </is>
      </c>
    </row>
    <row r="684">
      <c r="A684" s="3" t="inlineStr">
        <is>
          <t>Bull|Microsoft|2030|Start Campus Sines Data Campus</t>
        </is>
      </c>
      <c r="B684" s="3" t="inlineStr">
        <is>
          <t>Bull</t>
        </is>
      </c>
      <c r="C684" s="3" t="inlineStr">
        <is>
          <t>Microsoft</t>
        </is>
      </c>
      <c r="D684" s="3" t="n">
        <v>2030</v>
      </c>
      <c r="E684" s="3" t="inlineStr">
        <is>
          <t>Start Campus Sines Data Campus</t>
        </is>
      </c>
      <c r="F684" s="3" t="inlineStr">
        <is>
          <t>Nscale</t>
        </is>
      </c>
      <c r="G684" s="3" t="inlineStr">
        <is>
          <t>Portugal</t>
        </is>
      </c>
      <c r="H684" s="25" t="n">
        <v>233</v>
      </c>
      <c r="I684" s="17" t="n">
        <v>1</v>
      </c>
      <c r="J684" s="17" t="n">
        <v>0.83</v>
      </c>
      <c r="K684" s="26" t="n">
        <v>0.17</v>
      </c>
      <c r="L684" s="3" t="inlineStr">
        <is>
          <t>2027-09-30</t>
        </is>
      </c>
      <c r="M684" s="27" t="n">
        <v>33</v>
      </c>
      <c r="N684" s="27" t="n">
        <v>233</v>
      </c>
      <c r="O684" s="3" t="inlineStr">
        <is>
          <t>confident</t>
        </is>
      </c>
      <c r="P684" s="3" t="inlineStr">
        <is>
          <t>B300</t>
        </is>
      </c>
      <c r="Q684" s="3" t="inlineStr">
        <is>
          <t>epoch_user_site_equal_split_seed</t>
        </is>
      </c>
      <c r="R684" s="3" t="inlineStr">
        <is>
          <t>SRC_EPOCH_AI_DATA_CENTERS; EPOCH_NORMALIZED_USER_SITES</t>
        </is>
      </c>
      <c r="S684" s="3" t="inlineStr">
        <is>
          <t>Capacity weight is used only to weight accelerator mix, not to overwrite company total power in 02_Inputs.</t>
        </is>
      </c>
    </row>
    <row r="685">
      <c r="A685" s="3" t="inlineStr">
        <is>
          <t>Grid-Constrained / Efficiency-Upside|Microsoft|2026|Start Campus Sines Data Campus</t>
        </is>
      </c>
      <c r="B685" s="3" t="inlineStr">
        <is>
          <t>Grid-Constrained / Efficiency-Upside</t>
        </is>
      </c>
      <c r="C685" s="3" t="inlineStr">
        <is>
          <t>Microsoft</t>
        </is>
      </c>
      <c r="D685" s="3" t="n">
        <v>2026</v>
      </c>
      <c r="E685" s="3" t="inlineStr">
        <is>
          <t>Start Campus Sines Data Campus</t>
        </is>
      </c>
      <c r="F685" s="3" t="inlineStr">
        <is>
          <t>Nscale</t>
        </is>
      </c>
      <c r="G685" s="3" t="inlineStr">
        <is>
          <t>Portugal</t>
        </is>
      </c>
      <c r="H685" s="25" t="n">
        <v>33</v>
      </c>
      <c r="I685" s="17" t="n">
        <v>1</v>
      </c>
      <c r="J685" s="17" t="n">
        <v>0.57</v>
      </c>
      <c r="K685" s="26" t="n">
        <v>0.43</v>
      </c>
      <c r="L685" s="3" t="inlineStr">
        <is>
          <t>2027-09-30</t>
        </is>
      </c>
      <c r="M685" s="27" t="n">
        <v>33</v>
      </c>
      <c r="N685" s="27" t="n">
        <v>233</v>
      </c>
      <c r="O685" s="3" t="inlineStr">
        <is>
          <t>confident</t>
        </is>
      </c>
      <c r="P685" s="3" t="inlineStr">
        <is>
          <t>B300</t>
        </is>
      </c>
      <c r="Q685" s="3" t="inlineStr">
        <is>
          <t>epoch_user_site_equal_split_seed</t>
        </is>
      </c>
      <c r="R685" s="3" t="inlineStr">
        <is>
          <t>SRC_EPOCH_AI_DATA_CENTERS; EPOCH_NORMALIZED_USER_SITES</t>
        </is>
      </c>
      <c r="S685" s="3" t="inlineStr">
        <is>
          <t>Capacity weight is used only to weight accelerator mix, not to overwrite company total power in 02_Inputs.</t>
        </is>
      </c>
    </row>
    <row r="686">
      <c r="A686" s="3" t="inlineStr">
        <is>
          <t>Grid-Constrained / Efficiency-Upside|Microsoft|2027|Start Campus Sines Data Campus</t>
        </is>
      </c>
      <c r="B686" s="3" t="inlineStr">
        <is>
          <t>Grid-Constrained / Efficiency-Upside</t>
        </is>
      </c>
      <c r="C686" s="3" t="inlineStr">
        <is>
          <t>Microsoft</t>
        </is>
      </c>
      <c r="D686" s="3" t="n">
        <v>2027</v>
      </c>
      <c r="E686" s="3" t="inlineStr">
        <is>
          <t>Start Campus Sines Data Campus</t>
        </is>
      </c>
      <c r="F686" s="3" t="inlineStr">
        <is>
          <t>Nscale</t>
        </is>
      </c>
      <c r="G686" s="3" t="inlineStr">
        <is>
          <t>Portugal</t>
        </is>
      </c>
      <c r="H686" s="25" t="n">
        <v>233</v>
      </c>
      <c r="I686" s="17" t="n">
        <v>1</v>
      </c>
      <c r="J686" s="17" t="n">
        <v>0.625</v>
      </c>
      <c r="K686" s="26" t="n">
        <v>0.375</v>
      </c>
      <c r="L686" s="3" t="inlineStr">
        <is>
          <t>2027-09-30</t>
        </is>
      </c>
      <c r="M686" s="27" t="n">
        <v>33</v>
      </c>
      <c r="N686" s="27" t="n">
        <v>233</v>
      </c>
      <c r="O686" s="3" t="inlineStr">
        <is>
          <t>confident</t>
        </is>
      </c>
      <c r="P686" s="3" t="inlineStr">
        <is>
          <t>B300</t>
        </is>
      </c>
      <c r="Q686" s="3" t="inlineStr">
        <is>
          <t>epoch_user_site_equal_split_seed</t>
        </is>
      </c>
      <c r="R686" s="3" t="inlineStr">
        <is>
          <t>SRC_EPOCH_AI_DATA_CENTERS; EPOCH_NORMALIZED_USER_SITES</t>
        </is>
      </c>
      <c r="S686" s="3" t="inlineStr">
        <is>
          <t>Capacity weight is used only to weight accelerator mix, not to overwrite company total power in 02_Inputs.</t>
        </is>
      </c>
    </row>
    <row r="687">
      <c r="A687" s="3" t="inlineStr">
        <is>
          <t>Grid-Constrained / Efficiency-Upside|Microsoft|2028|Start Campus Sines Data Campus</t>
        </is>
      </c>
      <c r="B687" s="3" t="inlineStr">
        <is>
          <t>Grid-Constrained / Efficiency-Upside</t>
        </is>
      </c>
      <c r="C687" s="3" t="inlineStr">
        <is>
          <t>Microsoft</t>
        </is>
      </c>
      <c r="D687" s="3" t="n">
        <v>2028</v>
      </c>
      <c r="E687" s="3" t="inlineStr">
        <is>
          <t>Start Campus Sines Data Campus</t>
        </is>
      </c>
      <c r="F687" s="3" t="inlineStr">
        <is>
          <t>Nscale</t>
        </is>
      </c>
      <c r="G687" s="3" t="inlineStr">
        <is>
          <t>Portugal</t>
        </is>
      </c>
      <c r="H687" s="25" t="n">
        <v>233</v>
      </c>
      <c r="I687" s="17" t="n">
        <v>1</v>
      </c>
      <c r="J687" s="17" t="n">
        <v>0.68</v>
      </c>
      <c r="K687" s="26" t="n">
        <v>0.32</v>
      </c>
      <c r="L687" s="3" t="inlineStr">
        <is>
          <t>2027-09-30</t>
        </is>
      </c>
      <c r="M687" s="27" t="n">
        <v>33</v>
      </c>
      <c r="N687" s="27" t="n">
        <v>233</v>
      </c>
      <c r="O687" s="3" t="inlineStr">
        <is>
          <t>confident</t>
        </is>
      </c>
      <c r="P687" s="3" t="inlineStr">
        <is>
          <t>B300</t>
        </is>
      </c>
      <c r="Q687" s="3" t="inlineStr">
        <is>
          <t>epoch_user_site_equal_split_seed</t>
        </is>
      </c>
      <c r="R687" s="3" t="inlineStr">
        <is>
          <t>SRC_EPOCH_AI_DATA_CENTERS; EPOCH_NORMALIZED_USER_SITES</t>
        </is>
      </c>
      <c r="S687" s="3" t="inlineStr">
        <is>
          <t>Capacity weight is used only to weight accelerator mix, not to overwrite company total power in 02_Inputs.</t>
        </is>
      </c>
    </row>
    <row r="688">
      <c r="A688" s="3" t="inlineStr">
        <is>
          <t>Grid-Constrained / Efficiency-Upside|Microsoft|2029|Start Campus Sines Data Campus</t>
        </is>
      </c>
      <c r="B688" s="3" t="inlineStr">
        <is>
          <t>Grid-Constrained / Efficiency-Upside</t>
        </is>
      </c>
      <c r="C688" s="3" t="inlineStr">
        <is>
          <t>Microsoft</t>
        </is>
      </c>
      <c r="D688" s="3" t="n">
        <v>2029</v>
      </c>
      <c r="E688" s="3" t="inlineStr">
        <is>
          <t>Start Campus Sines Data Campus</t>
        </is>
      </c>
      <c r="F688" s="3" t="inlineStr">
        <is>
          <t>Nscale</t>
        </is>
      </c>
      <c r="G688" s="3" t="inlineStr">
        <is>
          <t>Portugal</t>
        </is>
      </c>
      <c r="H688" s="25" t="n">
        <v>233</v>
      </c>
      <c r="I688" s="17" t="n">
        <v>1</v>
      </c>
      <c r="J688" s="17" t="n">
        <v>0.735</v>
      </c>
      <c r="K688" s="26" t="n">
        <v>0.265</v>
      </c>
      <c r="L688" s="3" t="inlineStr">
        <is>
          <t>2027-09-30</t>
        </is>
      </c>
      <c r="M688" s="27" t="n">
        <v>33</v>
      </c>
      <c r="N688" s="27" t="n">
        <v>233</v>
      </c>
      <c r="O688" s="3" t="inlineStr">
        <is>
          <t>confident</t>
        </is>
      </c>
      <c r="P688" s="3" t="inlineStr">
        <is>
          <t>B300</t>
        </is>
      </c>
      <c r="Q688" s="3" t="inlineStr">
        <is>
          <t>epoch_user_site_equal_split_seed</t>
        </is>
      </c>
      <c r="R688" s="3" t="inlineStr">
        <is>
          <t>SRC_EPOCH_AI_DATA_CENTERS; EPOCH_NORMALIZED_USER_SITES</t>
        </is>
      </c>
      <c r="S688" s="3" t="inlineStr">
        <is>
          <t>Capacity weight is used only to weight accelerator mix, not to overwrite company total power in 02_Inputs.</t>
        </is>
      </c>
    </row>
    <row r="689">
      <c r="A689" s="3" t="inlineStr">
        <is>
          <t>Grid-Constrained / Efficiency-Upside|Microsoft|2030|Start Campus Sines Data Campus</t>
        </is>
      </c>
      <c r="B689" s="3" t="inlineStr">
        <is>
          <t>Grid-Constrained / Efficiency-Upside</t>
        </is>
      </c>
      <c r="C689" s="3" t="inlineStr">
        <is>
          <t>Microsoft</t>
        </is>
      </c>
      <c r="D689" s="3" t="n">
        <v>2030</v>
      </c>
      <c r="E689" s="3" t="inlineStr">
        <is>
          <t>Start Campus Sines Data Campus</t>
        </is>
      </c>
      <c r="F689" s="3" t="inlineStr">
        <is>
          <t>Nscale</t>
        </is>
      </c>
      <c r="G689" s="3" t="inlineStr">
        <is>
          <t>Portugal</t>
        </is>
      </c>
      <c r="H689" s="25" t="n">
        <v>233</v>
      </c>
      <c r="I689" s="17" t="n">
        <v>1</v>
      </c>
      <c r="J689" s="17" t="n">
        <v>0.79</v>
      </c>
      <c r="K689" s="26" t="n">
        <v>0.21</v>
      </c>
      <c r="L689" s="3" t="inlineStr">
        <is>
          <t>2027-09-30</t>
        </is>
      </c>
      <c r="M689" s="27" t="n">
        <v>33</v>
      </c>
      <c r="N689" s="27" t="n">
        <v>233</v>
      </c>
      <c r="O689" s="3" t="inlineStr">
        <is>
          <t>confident</t>
        </is>
      </c>
      <c r="P689" s="3" t="inlineStr">
        <is>
          <t>B300</t>
        </is>
      </c>
      <c r="Q689" s="3" t="inlineStr">
        <is>
          <t>epoch_user_site_equal_split_seed</t>
        </is>
      </c>
      <c r="R689" s="3" t="inlineStr">
        <is>
          <t>SRC_EPOCH_AI_DATA_CENTERS; EPOCH_NORMALIZED_USER_SITES</t>
        </is>
      </c>
      <c r="S689" s="3" t="inlineStr">
        <is>
          <t>Capacity weight is used only to weight accelerator mix, not to overwrite company total power in 02_Inputs.</t>
        </is>
      </c>
    </row>
    <row r="690">
      <c r="A690" s="3" t="inlineStr">
        <is>
          <t>Bear|OpenAI|2026|CoreWeave Chester VA</t>
        </is>
      </c>
      <c r="B690" s="3" t="inlineStr">
        <is>
          <t>Bear</t>
        </is>
      </c>
      <c r="C690" s="3" t="inlineStr">
        <is>
          <t>OpenAI</t>
        </is>
      </c>
      <c r="D690" s="3" t="n">
        <v>2026</v>
      </c>
      <c r="E690" s="3" t="inlineStr">
        <is>
          <t>CoreWeave Chester VA</t>
        </is>
      </c>
      <c r="F690" s="3" t="inlineStr">
        <is>
          <t>CoreWeave</t>
        </is>
      </c>
      <c r="G690" s="3" t="inlineStr">
        <is>
          <t>United States</t>
        </is>
      </c>
      <c r="H690" s="25" t="n">
        <v>82</v>
      </c>
      <c r="I690" s="17" t="n">
        <v>1</v>
      </c>
      <c r="J690" s="17" t="n">
        <v>0.5</v>
      </c>
      <c r="K690" s="26" t="n">
        <v>0.5</v>
      </c>
      <c r="L690" s="3" t="inlineStr">
        <is>
          <t>2027-06-30</t>
        </is>
      </c>
      <c r="M690" s="27" t="n">
        <v>82</v>
      </c>
      <c r="N690" s="27" t="n">
        <v>113</v>
      </c>
      <c r="O690" s="3" t="inlineStr">
        <is>
          <t>speculative</t>
        </is>
      </c>
      <c r="P690" s="3" t="inlineStr">
        <is>
          <t>H100,B200</t>
        </is>
      </c>
      <c r="Q690" s="3" t="inlineStr">
        <is>
          <t>epoch_user_site_equal_split_seed</t>
        </is>
      </c>
      <c r="R690" s="3" t="inlineStr">
        <is>
          <t>SRC_EPOCH_AI_DATA_CENTERS; EPOCH_NORMALIZED_USER_SITES</t>
        </is>
      </c>
      <c r="S690" s="3" t="inlineStr">
        <is>
          <t>Capacity weight is used only to weight accelerator mix, not to overwrite company total power in 02_Inputs.</t>
        </is>
      </c>
    </row>
    <row r="691">
      <c r="A691" s="3" t="inlineStr">
        <is>
          <t>Bear|OpenAI|2027|CoreWeave Chester VA</t>
        </is>
      </c>
      <c r="B691" s="3" t="inlineStr">
        <is>
          <t>Bear</t>
        </is>
      </c>
      <c r="C691" s="3" t="inlineStr">
        <is>
          <t>OpenAI</t>
        </is>
      </c>
      <c r="D691" s="3" t="n">
        <v>2027</v>
      </c>
      <c r="E691" s="3" t="inlineStr">
        <is>
          <t>CoreWeave Chester VA</t>
        </is>
      </c>
      <c r="F691" s="3" t="inlineStr">
        <is>
          <t>CoreWeave</t>
        </is>
      </c>
      <c r="G691" s="3" t="inlineStr">
        <is>
          <t>United States</t>
        </is>
      </c>
      <c r="H691" s="25" t="n">
        <v>113</v>
      </c>
      <c r="I691" s="17" t="n">
        <v>1</v>
      </c>
      <c r="J691" s="17" t="n">
        <v>0.545</v>
      </c>
      <c r="K691" s="26" t="n">
        <v>0.455</v>
      </c>
      <c r="L691" s="3" t="inlineStr">
        <is>
          <t>2027-06-30</t>
        </is>
      </c>
      <c r="M691" s="27" t="n">
        <v>82</v>
      </c>
      <c r="N691" s="27" t="n">
        <v>113</v>
      </c>
      <c r="O691" s="3" t="inlineStr">
        <is>
          <t>speculative</t>
        </is>
      </c>
      <c r="P691" s="3" t="inlineStr">
        <is>
          <t>H100,B200</t>
        </is>
      </c>
      <c r="Q691" s="3" t="inlineStr">
        <is>
          <t>epoch_user_site_equal_split_seed</t>
        </is>
      </c>
      <c r="R691" s="3" t="inlineStr">
        <is>
          <t>SRC_EPOCH_AI_DATA_CENTERS; EPOCH_NORMALIZED_USER_SITES</t>
        </is>
      </c>
      <c r="S691" s="3" t="inlineStr">
        <is>
          <t>Capacity weight is used only to weight accelerator mix, not to overwrite company total power in 02_Inputs.</t>
        </is>
      </c>
    </row>
    <row r="692">
      <c r="A692" s="3" t="inlineStr">
        <is>
          <t>Bear|OpenAI|2028|CoreWeave Chester VA</t>
        </is>
      </c>
      <c r="B692" s="3" t="inlineStr">
        <is>
          <t>Bear</t>
        </is>
      </c>
      <c r="C692" s="3" t="inlineStr">
        <is>
          <t>OpenAI</t>
        </is>
      </c>
      <c r="D692" s="3" t="n">
        <v>2028</v>
      </c>
      <c r="E692" s="3" t="inlineStr">
        <is>
          <t>CoreWeave Chester VA</t>
        </is>
      </c>
      <c r="F692" s="3" t="inlineStr">
        <is>
          <t>CoreWeave</t>
        </is>
      </c>
      <c r="G692" s="3" t="inlineStr">
        <is>
          <t>United States</t>
        </is>
      </c>
      <c r="H692" s="25" t="n">
        <v>113</v>
      </c>
      <c r="I692" s="17" t="n">
        <v>1</v>
      </c>
      <c r="J692" s="17" t="n">
        <v>0.59</v>
      </c>
      <c r="K692" s="26" t="n">
        <v>0.41</v>
      </c>
      <c r="L692" s="3" t="inlineStr">
        <is>
          <t>2027-06-30</t>
        </is>
      </c>
      <c r="M692" s="27" t="n">
        <v>82</v>
      </c>
      <c r="N692" s="27" t="n">
        <v>113</v>
      </c>
      <c r="O692" s="3" t="inlineStr">
        <is>
          <t>speculative</t>
        </is>
      </c>
      <c r="P692" s="3" t="inlineStr">
        <is>
          <t>H100,B200</t>
        </is>
      </c>
      <c r="Q692" s="3" t="inlineStr">
        <is>
          <t>epoch_user_site_equal_split_seed</t>
        </is>
      </c>
      <c r="R692" s="3" t="inlineStr">
        <is>
          <t>SRC_EPOCH_AI_DATA_CENTERS; EPOCH_NORMALIZED_USER_SITES</t>
        </is>
      </c>
      <c r="S692" s="3" t="inlineStr">
        <is>
          <t>Capacity weight is used only to weight accelerator mix, not to overwrite company total power in 02_Inputs.</t>
        </is>
      </c>
    </row>
    <row r="693">
      <c r="A693" s="3" t="inlineStr">
        <is>
          <t>Bear|OpenAI|2029|CoreWeave Chester VA</t>
        </is>
      </c>
      <c r="B693" s="3" t="inlineStr">
        <is>
          <t>Bear</t>
        </is>
      </c>
      <c r="C693" s="3" t="inlineStr">
        <is>
          <t>OpenAI</t>
        </is>
      </c>
      <c r="D693" s="3" t="n">
        <v>2029</v>
      </c>
      <c r="E693" s="3" t="inlineStr">
        <is>
          <t>CoreWeave Chester VA</t>
        </is>
      </c>
      <c r="F693" s="3" t="inlineStr">
        <is>
          <t>CoreWeave</t>
        </is>
      </c>
      <c r="G693" s="3" t="inlineStr">
        <is>
          <t>United States</t>
        </is>
      </c>
      <c r="H693" s="25" t="n">
        <v>113</v>
      </c>
      <c r="I693" s="17" t="n">
        <v>1</v>
      </c>
      <c r="J693" s="17" t="n">
        <v>0.635</v>
      </c>
      <c r="K693" s="26" t="n">
        <v>0.365</v>
      </c>
      <c r="L693" s="3" t="inlineStr">
        <is>
          <t>2027-06-30</t>
        </is>
      </c>
      <c r="M693" s="27" t="n">
        <v>82</v>
      </c>
      <c r="N693" s="27" t="n">
        <v>113</v>
      </c>
      <c r="O693" s="3" t="inlineStr">
        <is>
          <t>speculative</t>
        </is>
      </c>
      <c r="P693" s="3" t="inlineStr">
        <is>
          <t>H100,B200</t>
        </is>
      </c>
      <c r="Q693" s="3" t="inlineStr">
        <is>
          <t>epoch_user_site_equal_split_seed</t>
        </is>
      </c>
      <c r="R693" s="3" t="inlineStr">
        <is>
          <t>SRC_EPOCH_AI_DATA_CENTERS; EPOCH_NORMALIZED_USER_SITES</t>
        </is>
      </c>
      <c r="S693" s="3" t="inlineStr">
        <is>
          <t>Capacity weight is used only to weight accelerator mix, not to overwrite company total power in 02_Inputs.</t>
        </is>
      </c>
    </row>
    <row r="694">
      <c r="A694" s="3" t="inlineStr">
        <is>
          <t>Bear|OpenAI|2030|CoreWeave Chester VA</t>
        </is>
      </c>
      <c r="B694" s="3" t="inlineStr">
        <is>
          <t>Bear</t>
        </is>
      </c>
      <c r="C694" s="3" t="inlineStr">
        <is>
          <t>OpenAI</t>
        </is>
      </c>
      <c r="D694" s="3" t="n">
        <v>2030</v>
      </c>
      <c r="E694" s="3" t="inlineStr">
        <is>
          <t>CoreWeave Chester VA</t>
        </is>
      </c>
      <c r="F694" s="3" t="inlineStr">
        <is>
          <t>CoreWeave</t>
        </is>
      </c>
      <c r="G694" s="3" t="inlineStr">
        <is>
          <t>United States</t>
        </is>
      </c>
      <c r="H694" s="25" t="n">
        <v>113</v>
      </c>
      <c r="I694" s="17" t="n">
        <v>1</v>
      </c>
      <c r="J694" s="17" t="n">
        <v>0.68</v>
      </c>
      <c r="K694" s="26" t="n">
        <v>0.32</v>
      </c>
      <c r="L694" s="3" t="inlineStr">
        <is>
          <t>2027-06-30</t>
        </is>
      </c>
      <c r="M694" s="27" t="n">
        <v>82</v>
      </c>
      <c r="N694" s="27" t="n">
        <v>113</v>
      </c>
      <c r="O694" s="3" t="inlineStr">
        <is>
          <t>speculative</t>
        </is>
      </c>
      <c r="P694" s="3" t="inlineStr">
        <is>
          <t>H100,B200</t>
        </is>
      </c>
      <c r="Q694" s="3" t="inlineStr">
        <is>
          <t>epoch_user_site_equal_split_seed</t>
        </is>
      </c>
      <c r="R694" s="3" t="inlineStr">
        <is>
          <t>SRC_EPOCH_AI_DATA_CENTERS; EPOCH_NORMALIZED_USER_SITES</t>
        </is>
      </c>
      <c r="S694" s="3" t="inlineStr">
        <is>
          <t>Capacity weight is used only to weight accelerator mix, not to overwrite company total power in 02_Inputs.</t>
        </is>
      </c>
    </row>
    <row r="695">
      <c r="A695" s="3" t="inlineStr">
        <is>
          <t>Base|OpenAI|2026|CoreWeave Chester VA</t>
        </is>
      </c>
      <c r="B695" s="3" t="inlineStr">
        <is>
          <t>Base</t>
        </is>
      </c>
      <c r="C695" s="3" t="inlineStr">
        <is>
          <t>OpenAI</t>
        </is>
      </c>
      <c r="D695" s="3" t="n">
        <v>2026</v>
      </c>
      <c r="E695" s="3" t="inlineStr">
        <is>
          <t>CoreWeave Chester VA</t>
        </is>
      </c>
      <c r="F695" s="3" t="inlineStr">
        <is>
          <t>CoreWeave</t>
        </is>
      </c>
      <c r="G695" s="3" t="inlineStr">
        <is>
          <t>United States</t>
        </is>
      </c>
      <c r="H695" s="25" t="n">
        <v>82</v>
      </c>
      <c r="I695" s="17" t="n">
        <v>1</v>
      </c>
      <c r="J695" s="17" t="n">
        <v>0.58</v>
      </c>
      <c r="K695" s="26" t="n">
        <v>0.42</v>
      </c>
      <c r="L695" s="3" t="inlineStr">
        <is>
          <t>2027-06-30</t>
        </is>
      </c>
      <c r="M695" s="27" t="n">
        <v>82</v>
      </c>
      <c r="N695" s="27" t="n">
        <v>113</v>
      </c>
      <c r="O695" s="3" t="inlineStr">
        <is>
          <t>speculative</t>
        </is>
      </c>
      <c r="P695" s="3" t="inlineStr">
        <is>
          <t>H100,B200</t>
        </is>
      </c>
      <c r="Q695" s="3" t="inlineStr">
        <is>
          <t>epoch_user_site_equal_split_seed</t>
        </is>
      </c>
      <c r="R695" s="3" t="inlineStr">
        <is>
          <t>SRC_EPOCH_AI_DATA_CENTERS; EPOCH_NORMALIZED_USER_SITES</t>
        </is>
      </c>
      <c r="S695" s="3" t="inlineStr">
        <is>
          <t>Capacity weight is used only to weight accelerator mix, not to overwrite company total power in 02_Inputs.</t>
        </is>
      </c>
    </row>
    <row r="696">
      <c r="A696" s="3" t="inlineStr">
        <is>
          <t>Base|OpenAI|2027|CoreWeave Chester VA</t>
        </is>
      </c>
      <c r="B696" s="3" t="inlineStr">
        <is>
          <t>Base</t>
        </is>
      </c>
      <c r="C696" s="3" t="inlineStr">
        <is>
          <t>OpenAI</t>
        </is>
      </c>
      <c r="D696" s="3" t="n">
        <v>2027</v>
      </c>
      <c r="E696" s="3" t="inlineStr">
        <is>
          <t>CoreWeave Chester VA</t>
        </is>
      </c>
      <c r="F696" s="3" t="inlineStr">
        <is>
          <t>CoreWeave</t>
        </is>
      </c>
      <c r="G696" s="3" t="inlineStr">
        <is>
          <t>United States</t>
        </is>
      </c>
      <c r="H696" s="25" t="n">
        <v>113</v>
      </c>
      <c r="I696" s="17" t="n">
        <v>1</v>
      </c>
      <c r="J696" s="17" t="n">
        <v>0.63</v>
      </c>
      <c r="K696" s="26" t="n">
        <v>0.37</v>
      </c>
      <c r="L696" s="3" t="inlineStr">
        <is>
          <t>2027-06-30</t>
        </is>
      </c>
      <c r="M696" s="27" t="n">
        <v>82</v>
      </c>
      <c r="N696" s="27" t="n">
        <v>113</v>
      </c>
      <c r="O696" s="3" t="inlineStr">
        <is>
          <t>speculative</t>
        </is>
      </c>
      <c r="P696" s="3" t="inlineStr">
        <is>
          <t>H100,B200</t>
        </is>
      </c>
      <c r="Q696" s="3" t="inlineStr">
        <is>
          <t>epoch_user_site_equal_split_seed</t>
        </is>
      </c>
      <c r="R696" s="3" t="inlineStr">
        <is>
          <t>SRC_EPOCH_AI_DATA_CENTERS; EPOCH_NORMALIZED_USER_SITES</t>
        </is>
      </c>
      <c r="S696" s="3" t="inlineStr">
        <is>
          <t>Capacity weight is used only to weight accelerator mix, not to overwrite company total power in 02_Inputs.</t>
        </is>
      </c>
    </row>
    <row r="697">
      <c r="A697" s="3" t="inlineStr">
        <is>
          <t>Base|OpenAI|2028|CoreWeave Chester VA</t>
        </is>
      </c>
      <c r="B697" s="3" t="inlineStr">
        <is>
          <t>Base</t>
        </is>
      </c>
      <c r="C697" s="3" t="inlineStr">
        <is>
          <t>OpenAI</t>
        </is>
      </c>
      <c r="D697" s="3" t="n">
        <v>2028</v>
      </c>
      <c r="E697" s="3" t="inlineStr">
        <is>
          <t>CoreWeave Chester VA</t>
        </is>
      </c>
      <c r="F697" s="3" t="inlineStr">
        <is>
          <t>CoreWeave</t>
        </is>
      </c>
      <c r="G697" s="3" t="inlineStr">
        <is>
          <t>United States</t>
        </is>
      </c>
      <c r="H697" s="25" t="n">
        <v>113</v>
      </c>
      <c r="I697" s="17" t="n">
        <v>1</v>
      </c>
      <c r="J697" s="17" t="n">
        <v>0.68</v>
      </c>
      <c r="K697" s="26" t="n">
        <v>0.32</v>
      </c>
      <c r="L697" s="3" t="inlineStr">
        <is>
          <t>2027-06-30</t>
        </is>
      </c>
      <c r="M697" s="27" t="n">
        <v>82</v>
      </c>
      <c r="N697" s="27" t="n">
        <v>113</v>
      </c>
      <c r="O697" s="3" t="inlineStr">
        <is>
          <t>speculative</t>
        </is>
      </c>
      <c r="P697" s="3" t="inlineStr">
        <is>
          <t>H100,B200</t>
        </is>
      </c>
      <c r="Q697" s="3" t="inlineStr">
        <is>
          <t>epoch_user_site_equal_split_seed</t>
        </is>
      </c>
      <c r="R697" s="3" t="inlineStr">
        <is>
          <t>SRC_EPOCH_AI_DATA_CENTERS; EPOCH_NORMALIZED_USER_SITES</t>
        </is>
      </c>
      <c r="S697" s="3" t="inlineStr">
        <is>
          <t>Capacity weight is used only to weight accelerator mix, not to overwrite company total power in 02_Inputs.</t>
        </is>
      </c>
    </row>
    <row r="698">
      <c r="A698" s="3" t="inlineStr">
        <is>
          <t>Base|OpenAI|2029|CoreWeave Chester VA</t>
        </is>
      </c>
      <c r="B698" s="3" t="inlineStr">
        <is>
          <t>Base</t>
        </is>
      </c>
      <c r="C698" s="3" t="inlineStr">
        <is>
          <t>OpenAI</t>
        </is>
      </c>
      <c r="D698" s="3" t="n">
        <v>2029</v>
      </c>
      <c r="E698" s="3" t="inlineStr">
        <is>
          <t>CoreWeave Chester VA</t>
        </is>
      </c>
      <c r="F698" s="3" t="inlineStr">
        <is>
          <t>CoreWeave</t>
        </is>
      </c>
      <c r="G698" s="3" t="inlineStr">
        <is>
          <t>United States</t>
        </is>
      </c>
      <c r="H698" s="25" t="n">
        <v>113</v>
      </c>
      <c r="I698" s="17" t="n">
        <v>1</v>
      </c>
      <c r="J698" s="17" t="n">
        <v>0.73</v>
      </c>
      <c r="K698" s="26" t="n">
        <v>0.27</v>
      </c>
      <c r="L698" s="3" t="inlineStr">
        <is>
          <t>2027-06-30</t>
        </is>
      </c>
      <c r="M698" s="27" t="n">
        <v>82</v>
      </c>
      <c r="N698" s="27" t="n">
        <v>113</v>
      </c>
      <c r="O698" s="3" t="inlineStr">
        <is>
          <t>speculative</t>
        </is>
      </c>
      <c r="P698" s="3" t="inlineStr">
        <is>
          <t>H100,B200</t>
        </is>
      </c>
      <c r="Q698" s="3" t="inlineStr">
        <is>
          <t>epoch_user_site_equal_split_seed</t>
        </is>
      </c>
      <c r="R698" s="3" t="inlineStr">
        <is>
          <t>SRC_EPOCH_AI_DATA_CENTERS; EPOCH_NORMALIZED_USER_SITES</t>
        </is>
      </c>
      <c r="S698" s="3" t="inlineStr">
        <is>
          <t>Capacity weight is used only to weight accelerator mix, not to overwrite company total power in 02_Inputs.</t>
        </is>
      </c>
    </row>
    <row r="699">
      <c r="A699" s="3" t="inlineStr">
        <is>
          <t>Base|OpenAI|2030|CoreWeave Chester VA</t>
        </is>
      </c>
      <c r="B699" s="3" t="inlineStr">
        <is>
          <t>Base</t>
        </is>
      </c>
      <c r="C699" s="3" t="inlineStr">
        <is>
          <t>OpenAI</t>
        </is>
      </c>
      <c r="D699" s="3" t="n">
        <v>2030</v>
      </c>
      <c r="E699" s="3" t="inlineStr">
        <is>
          <t>CoreWeave Chester VA</t>
        </is>
      </c>
      <c r="F699" s="3" t="inlineStr">
        <is>
          <t>CoreWeave</t>
        </is>
      </c>
      <c r="G699" s="3" t="inlineStr">
        <is>
          <t>United States</t>
        </is>
      </c>
      <c r="H699" s="25" t="n">
        <v>113</v>
      </c>
      <c r="I699" s="17" t="n">
        <v>1</v>
      </c>
      <c r="J699" s="17" t="n">
        <v>0.78</v>
      </c>
      <c r="K699" s="26" t="n">
        <v>0.22</v>
      </c>
      <c r="L699" s="3" t="inlineStr">
        <is>
          <t>2027-06-30</t>
        </is>
      </c>
      <c r="M699" s="27" t="n">
        <v>82</v>
      </c>
      <c r="N699" s="27" t="n">
        <v>113</v>
      </c>
      <c r="O699" s="3" t="inlineStr">
        <is>
          <t>speculative</t>
        </is>
      </c>
      <c r="P699" s="3" t="inlineStr">
        <is>
          <t>H100,B200</t>
        </is>
      </c>
      <c r="Q699" s="3" t="inlineStr">
        <is>
          <t>epoch_user_site_equal_split_seed</t>
        </is>
      </c>
      <c r="R699" s="3" t="inlineStr">
        <is>
          <t>SRC_EPOCH_AI_DATA_CENTERS; EPOCH_NORMALIZED_USER_SITES</t>
        </is>
      </c>
      <c r="S699" s="3" t="inlineStr">
        <is>
          <t>Capacity weight is used only to weight accelerator mix, not to overwrite company total power in 02_Inputs.</t>
        </is>
      </c>
    </row>
    <row r="700">
      <c r="A700" s="3" t="inlineStr">
        <is>
          <t>Bull|OpenAI|2026|CoreWeave Chester VA</t>
        </is>
      </c>
      <c r="B700" s="3" t="inlineStr">
        <is>
          <t>Bull</t>
        </is>
      </c>
      <c r="C700" s="3" t="inlineStr">
        <is>
          <t>OpenAI</t>
        </is>
      </c>
      <c r="D700" s="3" t="n">
        <v>2026</v>
      </c>
      <c r="E700" s="3" t="inlineStr">
        <is>
          <t>CoreWeave Chester VA</t>
        </is>
      </c>
      <c r="F700" s="3" t="inlineStr">
        <is>
          <t>CoreWeave</t>
        </is>
      </c>
      <c r="G700" s="3" t="inlineStr">
        <is>
          <t>United States</t>
        </is>
      </c>
      <c r="H700" s="25" t="n">
        <v>82</v>
      </c>
      <c r="I700" s="17" t="n">
        <v>1</v>
      </c>
      <c r="J700" s="17" t="n">
        <v>0.63</v>
      </c>
      <c r="K700" s="26" t="n">
        <v>0.37</v>
      </c>
      <c r="L700" s="3" t="inlineStr">
        <is>
          <t>2027-06-30</t>
        </is>
      </c>
      <c r="M700" s="27" t="n">
        <v>82</v>
      </c>
      <c r="N700" s="27" t="n">
        <v>113</v>
      </c>
      <c r="O700" s="3" t="inlineStr">
        <is>
          <t>speculative</t>
        </is>
      </c>
      <c r="P700" s="3" t="inlineStr">
        <is>
          <t>H100,B200</t>
        </is>
      </c>
      <c r="Q700" s="3" t="inlineStr">
        <is>
          <t>epoch_user_site_equal_split_seed</t>
        </is>
      </c>
      <c r="R700" s="3" t="inlineStr">
        <is>
          <t>SRC_EPOCH_AI_DATA_CENTERS; EPOCH_NORMALIZED_USER_SITES</t>
        </is>
      </c>
      <c r="S700" s="3" t="inlineStr">
        <is>
          <t>Capacity weight is used only to weight accelerator mix, not to overwrite company total power in 02_Inputs.</t>
        </is>
      </c>
    </row>
    <row r="701">
      <c r="A701" s="3" t="inlineStr">
        <is>
          <t>Bull|OpenAI|2027|CoreWeave Chester VA</t>
        </is>
      </c>
      <c r="B701" s="3" t="inlineStr">
        <is>
          <t>Bull</t>
        </is>
      </c>
      <c r="C701" s="3" t="inlineStr">
        <is>
          <t>OpenAI</t>
        </is>
      </c>
      <c r="D701" s="3" t="n">
        <v>2027</v>
      </c>
      <c r="E701" s="3" t="inlineStr">
        <is>
          <t>CoreWeave Chester VA</t>
        </is>
      </c>
      <c r="F701" s="3" t="inlineStr">
        <is>
          <t>CoreWeave</t>
        </is>
      </c>
      <c r="G701" s="3" t="inlineStr">
        <is>
          <t>United States</t>
        </is>
      </c>
      <c r="H701" s="25" t="n">
        <v>113</v>
      </c>
      <c r="I701" s="17" t="n">
        <v>1</v>
      </c>
      <c r="J701" s="17" t="n">
        <v>0.6879999999999999</v>
      </c>
      <c r="K701" s="26" t="n">
        <v>0.312</v>
      </c>
      <c r="L701" s="3" t="inlineStr">
        <is>
          <t>2027-06-30</t>
        </is>
      </c>
      <c r="M701" s="27" t="n">
        <v>82</v>
      </c>
      <c r="N701" s="27" t="n">
        <v>113</v>
      </c>
      <c r="O701" s="3" t="inlineStr">
        <is>
          <t>speculative</t>
        </is>
      </c>
      <c r="P701" s="3" t="inlineStr">
        <is>
          <t>H100,B200</t>
        </is>
      </c>
      <c r="Q701" s="3" t="inlineStr">
        <is>
          <t>epoch_user_site_equal_split_seed</t>
        </is>
      </c>
      <c r="R701" s="3" t="inlineStr">
        <is>
          <t>SRC_EPOCH_AI_DATA_CENTERS; EPOCH_NORMALIZED_USER_SITES</t>
        </is>
      </c>
      <c r="S701" s="3" t="inlineStr">
        <is>
          <t>Capacity weight is used only to weight accelerator mix, not to overwrite company total power in 02_Inputs.</t>
        </is>
      </c>
    </row>
    <row r="702">
      <c r="A702" s="3" t="inlineStr">
        <is>
          <t>Bull|OpenAI|2028|CoreWeave Chester VA</t>
        </is>
      </c>
      <c r="B702" s="3" t="inlineStr">
        <is>
          <t>Bull</t>
        </is>
      </c>
      <c r="C702" s="3" t="inlineStr">
        <is>
          <t>OpenAI</t>
        </is>
      </c>
      <c r="D702" s="3" t="n">
        <v>2028</v>
      </c>
      <c r="E702" s="3" t="inlineStr">
        <is>
          <t>CoreWeave Chester VA</t>
        </is>
      </c>
      <c r="F702" s="3" t="inlineStr">
        <is>
          <t>CoreWeave</t>
        </is>
      </c>
      <c r="G702" s="3" t="inlineStr">
        <is>
          <t>United States</t>
        </is>
      </c>
      <c r="H702" s="25" t="n">
        <v>113</v>
      </c>
      <c r="I702" s="17" t="n">
        <v>1</v>
      </c>
      <c r="J702" s="17" t="n">
        <v>0.745</v>
      </c>
      <c r="K702" s="26" t="n">
        <v>0.255</v>
      </c>
      <c r="L702" s="3" t="inlineStr">
        <is>
          <t>2027-06-30</t>
        </is>
      </c>
      <c r="M702" s="27" t="n">
        <v>82</v>
      </c>
      <c r="N702" s="27" t="n">
        <v>113</v>
      </c>
      <c r="O702" s="3" t="inlineStr">
        <is>
          <t>speculative</t>
        </is>
      </c>
      <c r="P702" s="3" t="inlineStr">
        <is>
          <t>H100,B200</t>
        </is>
      </c>
      <c r="Q702" s="3" t="inlineStr">
        <is>
          <t>epoch_user_site_equal_split_seed</t>
        </is>
      </c>
      <c r="R702" s="3" t="inlineStr">
        <is>
          <t>SRC_EPOCH_AI_DATA_CENTERS; EPOCH_NORMALIZED_USER_SITES</t>
        </is>
      </c>
      <c r="S702" s="3" t="inlineStr">
        <is>
          <t>Capacity weight is used only to weight accelerator mix, not to overwrite company total power in 02_Inputs.</t>
        </is>
      </c>
    </row>
    <row r="703">
      <c r="A703" s="3" t="inlineStr">
        <is>
          <t>Bull|OpenAI|2029|CoreWeave Chester VA</t>
        </is>
      </c>
      <c r="B703" s="3" t="inlineStr">
        <is>
          <t>Bull</t>
        </is>
      </c>
      <c r="C703" s="3" t="inlineStr">
        <is>
          <t>OpenAI</t>
        </is>
      </c>
      <c r="D703" s="3" t="n">
        <v>2029</v>
      </c>
      <c r="E703" s="3" t="inlineStr">
        <is>
          <t>CoreWeave Chester VA</t>
        </is>
      </c>
      <c r="F703" s="3" t="inlineStr">
        <is>
          <t>CoreWeave</t>
        </is>
      </c>
      <c r="G703" s="3" t="inlineStr">
        <is>
          <t>United States</t>
        </is>
      </c>
      <c r="H703" s="25" t="n">
        <v>113</v>
      </c>
      <c r="I703" s="17" t="n">
        <v>1</v>
      </c>
      <c r="J703" s="17" t="n">
        <v>0.802</v>
      </c>
      <c r="K703" s="26" t="n">
        <v>0.198</v>
      </c>
      <c r="L703" s="3" t="inlineStr">
        <is>
          <t>2027-06-30</t>
        </is>
      </c>
      <c r="M703" s="27" t="n">
        <v>82</v>
      </c>
      <c r="N703" s="27" t="n">
        <v>113</v>
      </c>
      <c r="O703" s="3" t="inlineStr">
        <is>
          <t>speculative</t>
        </is>
      </c>
      <c r="P703" s="3" t="inlineStr">
        <is>
          <t>H100,B200</t>
        </is>
      </c>
      <c r="Q703" s="3" t="inlineStr">
        <is>
          <t>epoch_user_site_equal_split_seed</t>
        </is>
      </c>
      <c r="R703" s="3" t="inlineStr">
        <is>
          <t>SRC_EPOCH_AI_DATA_CENTERS; EPOCH_NORMALIZED_USER_SITES</t>
        </is>
      </c>
      <c r="S703" s="3" t="inlineStr">
        <is>
          <t>Capacity weight is used only to weight accelerator mix, not to overwrite company total power in 02_Inputs.</t>
        </is>
      </c>
    </row>
    <row r="704">
      <c r="A704" s="3" t="inlineStr">
        <is>
          <t>Bull|OpenAI|2030|CoreWeave Chester VA</t>
        </is>
      </c>
      <c r="B704" s="3" t="inlineStr">
        <is>
          <t>Bull</t>
        </is>
      </c>
      <c r="C704" s="3" t="inlineStr">
        <is>
          <t>OpenAI</t>
        </is>
      </c>
      <c r="D704" s="3" t="n">
        <v>2030</v>
      </c>
      <c r="E704" s="3" t="inlineStr">
        <is>
          <t>CoreWeave Chester VA</t>
        </is>
      </c>
      <c r="F704" s="3" t="inlineStr">
        <is>
          <t>CoreWeave</t>
        </is>
      </c>
      <c r="G704" s="3" t="inlineStr">
        <is>
          <t>United States</t>
        </is>
      </c>
      <c r="H704" s="25" t="n">
        <v>113</v>
      </c>
      <c r="I704" s="17" t="n">
        <v>1</v>
      </c>
      <c r="J704" s="17" t="n">
        <v>0.86</v>
      </c>
      <c r="K704" s="26" t="n">
        <v>0.14</v>
      </c>
      <c r="L704" s="3" t="inlineStr">
        <is>
          <t>2027-06-30</t>
        </is>
      </c>
      <c r="M704" s="27" t="n">
        <v>82</v>
      </c>
      <c r="N704" s="27" t="n">
        <v>113</v>
      </c>
      <c r="O704" s="3" t="inlineStr">
        <is>
          <t>speculative</t>
        </is>
      </c>
      <c r="P704" s="3" t="inlineStr">
        <is>
          <t>H100,B200</t>
        </is>
      </c>
      <c r="Q704" s="3" t="inlineStr">
        <is>
          <t>epoch_user_site_equal_split_seed</t>
        </is>
      </c>
      <c r="R704" s="3" t="inlineStr">
        <is>
          <t>SRC_EPOCH_AI_DATA_CENTERS; EPOCH_NORMALIZED_USER_SITES</t>
        </is>
      </c>
      <c r="S704" s="3" t="inlineStr">
        <is>
          <t>Capacity weight is used only to weight accelerator mix, not to overwrite company total power in 02_Inputs.</t>
        </is>
      </c>
    </row>
    <row r="705">
      <c r="A705" s="3" t="inlineStr">
        <is>
          <t>Grid-Constrained / Efficiency-Upside|OpenAI|2026|CoreWeave Chester VA</t>
        </is>
      </c>
      <c r="B705" s="3" t="inlineStr">
        <is>
          <t>Grid-Constrained / Efficiency-Upside</t>
        </is>
      </c>
      <c r="C705" s="3" t="inlineStr">
        <is>
          <t>OpenAI</t>
        </is>
      </c>
      <c r="D705" s="3" t="n">
        <v>2026</v>
      </c>
      <c r="E705" s="3" t="inlineStr">
        <is>
          <t>CoreWeave Chester VA</t>
        </is>
      </c>
      <c r="F705" s="3" t="inlineStr">
        <is>
          <t>CoreWeave</t>
        </is>
      </c>
      <c r="G705" s="3" t="inlineStr">
        <is>
          <t>United States</t>
        </is>
      </c>
      <c r="H705" s="25" t="n">
        <v>82</v>
      </c>
      <c r="I705" s="17" t="n">
        <v>1</v>
      </c>
      <c r="J705" s="17" t="n">
        <v>0.6</v>
      </c>
      <c r="K705" s="26" t="n">
        <v>0.4</v>
      </c>
      <c r="L705" s="3" t="inlineStr">
        <is>
          <t>2027-06-30</t>
        </is>
      </c>
      <c r="M705" s="27" t="n">
        <v>82</v>
      </c>
      <c r="N705" s="27" t="n">
        <v>113</v>
      </c>
      <c r="O705" s="3" t="inlineStr">
        <is>
          <t>speculative</t>
        </is>
      </c>
      <c r="P705" s="3" t="inlineStr">
        <is>
          <t>H100,B200</t>
        </is>
      </c>
      <c r="Q705" s="3" t="inlineStr">
        <is>
          <t>epoch_user_site_equal_split_seed</t>
        </is>
      </c>
      <c r="R705" s="3" t="inlineStr">
        <is>
          <t>SRC_EPOCH_AI_DATA_CENTERS; EPOCH_NORMALIZED_USER_SITES</t>
        </is>
      </c>
      <c r="S705" s="3" t="inlineStr">
        <is>
          <t>Capacity weight is used only to weight accelerator mix, not to overwrite company total power in 02_Inputs.</t>
        </is>
      </c>
    </row>
    <row r="706">
      <c r="A706" s="3" t="inlineStr">
        <is>
          <t>Grid-Constrained / Efficiency-Upside|OpenAI|2027|CoreWeave Chester VA</t>
        </is>
      </c>
      <c r="B706" s="3" t="inlineStr">
        <is>
          <t>Grid-Constrained / Efficiency-Upside</t>
        </is>
      </c>
      <c r="C706" s="3" t="inlineStr">
        <is>
          <t>OpenAI</t>
        </is>
      </c>
      <c r="D706" s="3" t="n">
        <v>2027</v>
      </c>
      <c r="E706" s="3" t="inlineStr">
        <is>
          <t>CoreWeave Chester VA</t>
        </is>
      </c>
      <c r="F706" s="3" t="inlineStr">
        <is>
          <t>CoreWeave</t>
        </is>
      </c>
      <c r="G706" s="3" t="inlineStr">
        <is>
          <t>United States</t>
        </is>
      </c>
      <c r="H706" s="25" t="n">
        <v>113</v>
      </c>
      <c r="I706" s="17" t="n">
        <v>1</v>
      </c>
      <c r="J706" s="17" t="n">
        <v>0.655</v>
      </c>
      <c r="K706" s="26" t="n">
        <v>0.345</v>
      </c>
      <c r="L706" s="3" t="inlineStr">
        <is>
          <t>2027-06-30</t>
        </is>
      </c>
      <c r="M706" s="27" t="n">
        <v>82</v>
      </c>
      <c r="N706" s="27" t="n">
        <v>113</v>
      </c>
      <c r="O706" s="3" t="inlineStr">
        <is>
          <t>speculative</t>
        </is>
      </c>
      <c r="P706" s="3" t="inlineStr">
        <is>
          <t>H100,B200</t>
        </is>
      </c>
      <c r="Q706" s="3" t="inlineStr">
        <is>
          <t>epoch_user_site_equal_split_seed</t>
        </is>
      </c>
      <c r="R706" s="3" t="inlineStr">
        <is>
          <t>SRC_EPOCH_AI_DATA_CENTERS; EPOCH_NORMALIZED_USER_SITES</t>
        </is>
      </c>
      <c r="S706" s="3" t="inlineStr">
        <is>
          <t>Capacity weight is used only to weight accelerator mix, not to overwrite company total power in 02_Inputs.</t>
        </is>
      </c>
    </row>
    <row r="707">
      <c r="A707" s="3" t="inlineStr">
        <is>
          <t>Grid-Constrained / Efficiency-Upside|OpenAI|2028|CoreWeave Chester VA</t>
        </is>
      </c>
      <c r="B707" s="3" t="inlineStr">
        <is>
          <t>Grid-Constrained / Efficiency-Upside</t>
        </is>
      </c>
      <c r="C707" s="3" t="inlineStr">
        <is>
          <t>OpenAI</t>
        </is>
      </c>
      <c r="D707" s="3" t="n">
        <v>2028</v>
      </c>
      <c r="E707" s="3" t="inlineStr">
        <is>
          <t>CoreWeave Chester VA</t>
        </is>
      </c>
      <c r="F707" s="3" t="inlineStr">
        <is>
          <t>CoreWeave</t>
        </is>
      </c>
      <c r="G707" s="3" t="inlineStr">
        <is>
          <t>United States</t>
        </is>
      </c>
      <c r="H707" s="25" t="n">
        <v>113</v>
      </c>
      <c r="I707" s="17" t="n">
        <v>1</v>
      </c>
      <c r="J707" s="17" t="n">
        <v>0.71</v>
      </c>
      <c r="K707" s="26" t="n">
        <v>0.29</v>
      </c>
      <c r="L707" s="3" t="inlineStr">
        <is>
          <t>2027-06-30</t>
        </is>
      </c>
      <c r="M707" s="27" t="n">
        <v>82</v>
      </c>
      <c r="N707" s="27" t="n">
        <v>113</v>
      </c>
      <c r="O707" s="3" t="inlineStr">
        <is>
          <t>speculative</t>
        </is>
      </c>
      <c r="P707" s="3" t="inlineStr">
        <is>
          <t>H100,B200</t>
        </is>
      </c>
      <c r="Q707" s="3" t="inlineStr">
        <is>
          <t>epoch_user_site_equal_split_seed</t>
        </is>
      </c>
      <c r="R707" s="3" t="inlineStr">
        <is>
          <t>SRC_EPOCH_AI_DATA_CENTERS; EPOCH_NORMALIZED_USER_SITES</t>
        </is>
      </c>
      <c r="S707" s="3" t="inlineStr">
        <is>
          <t>Capacity weight is used only to weight accelerator mix, not to overwrite company total power in 02_Inputs.</t>
        </is>
      </c>
    </row>
    <row r="708">
      <c r="A708" s="3" t="inlineStr">
        <is>
          <t>Grid-Constrained / Efficiency-Upside|OpenAI|2029|CoreWeave Chester VA</t>
        </is>
      </c>
      <c r="B708" s="3" t="inlineStr">
        <is>
          <t>Grid-Constrained / Efficiency-Upside</t>
        </is>
      </c>
      <c r="C708" s="3" t="inlineStr">
        <is>
          <t>OpenAI</t>
        </is>
      </c>
      <c r="D708" s="3" t="n">
        <v>2029</v>
      </c>
      <c r="E708" s="3" t="inlineStr">
        <is>
          <t>CoreWeave Chester VA</t>
        </is>
      </c>
      <c r="F708" s="3" t="inlineStr">
        <is>
          <t>CoreWeave</t>
        </is>
      </c>
      <c r="G708" s="3" t="inlineStr">
        <is>
          <t>United States</t>
        </is>
      </c>
      <c r="H708" s="25" t="n">
        <v>113</v>
      </c>
      <c r="I708" s="17" t="n">
        <v>1</v>
      </c>
      <c r="J708" s="17" t="n">
        <v>0.765</v>
      </c>
      <c r="K708" s="26" t="n">
        <v>0.235</v>
      </c>
      <c r="L708" s="3" t="inlineStr">
        <is>
          <t>2027-06-30</t>
        </is>
      </c>
      <c r="M708" s="27" t="n">
        <v>82</v>
      </c>
      <c r="N708" s="27" t="n">
        <v>113</v>
      </c>
      <c r="O708" s="3" t="inlineStr">
        <is>
          <t>speculative</t>
        </is>
      </c>
      <c r="P708" s="3" t="inlineStr">
        <is>
          <t>H100,B200</t>
        </is>
      </c>
      <c r="Q708" s="3" t="inlineStr">
        <is>
          <t>epoch_user_site_equal_split_seed</t>
        </is>
      </c>
      <c r="R708" s="3" t="inlineStr">
        <is>
          <t>SRC_EPOCH_AI_DATA_CENTERS; EPOCH_NORMALIZED_USER_SITES</t>
        </is>
      </c>
      <c r="S708" s="3" t="inlineStr">
        <is>
          <t>Capacity weight is used only to weight accelerator mix, not to overwrite company total power in 02_Inputs.</t>
        </is>
      </c>
    </row>
    <row r="709">
      <c r="A709" s="3" t="inlineStr">
        <is>
          <t>Grid-Constrained / Efficiency-Upside|OpenAI|2030|CoreWeave Chester VA</t>
        </is>
      </c>
      <c r="B709" s="3" t="inlineStr">
        <is>
          <t>Grid-Constrained / Efficiency-Upside</t>
        </is>
      </c>
      <c r="C709" s="3" t="inlineStr">
        <is>
          <t>OpenAI</t>
        </is>
      </c>
      <c r="D709" s="3" t="n">
        <v>2030</v>
      </c>
      <c r="E709" s="3" t="inlineStr">
        <is>
          <t>CoreWeave Chester VA</t>
        </is>
      </c>
      <c r="F709" s="3" t="inlineStr">
        <is>
          <t>CoreWeave</t>
        </is>
      </c>
      <c r="G709" s="3" t="inlineStr">
        <is>
          <t>United States</t>
        </is>
      </c>
      <c r="H709" s="25" t="n">
        <v>113</v>
      </c>
      <c r="I709" s="17" t="n">
        <v>1</v>
      </c>
      <c r="J709" s="17" t="n">
        <v>0.82</v>
      </c>
      <c r="K709" s="26" t="n">
        <v>0.18</v>
      </c>
      <c r="L709" s="3" t="inlineStr">
        <is>
          <t>2027-06-30</t>
        </is>
      </c>
      <c r="M709" s="27" t="n">
        <v>82</v>
      </c>
      <c r="N709" s="27" t="n">
        <v>113</v>
      </c>
      <c r="O709" s="3" t="inlineStr">
        <is>
          <t>speculative</t>
        </is>
      </c>
      <c r="P709" s="3" t="inlineStr">
        <is>
          <t>H100,B200</t>
        </is>
      </c>
      <c r="Q709" s="3" t="inlineStr">
        <is>
          <t>epoch_user_site_equal_split_seed</t>
        </is>
      </c>
      <c r="R709" s="3" t="inlineStr">
        <is>
          <t>SRC_EPOCH_AI_DATA_CENTERS; EPOCH_NORMALIZED_USER_SITES</t>
        </is>
      </c>
      <c r="S709" s="3" t="inlineStr">
        <is>
          <t>Capacity weight is used only to weight accelerator mix, not to overwrite company total power in 02_Inputs.</t>
        </is>
      </c>
    </row>
    <row r="710">
      <c r="A710" s="3" t="inlineStr">
        <is>
          <t>Bear|OpenAI|2026|CoreWeave Dalton 1 &amp; 2</t>
        </is>
      </c>
      <c r="B710" s="3" t="inlineStr">
        <is>
          <t>Bear</t>
        </is>
      </c>
      <c r="C710" s="3" t="inlineStr">
        <is>
          <t>OpenAI</t>
        </is>
      </c>
      <c r="D710" s="3" t="n">
        <v>2026</v>
      </c>
      <c r="E710" s="3" t="inlineStr">
        <is>
          <t>CoreWeave Dalton 1 &amp; 2</t>
        </is>
      </c>
      <c r="F710" s="3" t="inlineStr">
        <is>
          <t>CoreWeave</t>
        </is>
      </c>
      <c r="G710" s="3" t="inlineStr">
        <is>
          <t>United States</t>
        </is>
      </c>
      <c r="H710" s="25" t="n">
        <v>28</v>
      </c>
      <c r="I710" s="17" t="n">
        <v>1</v>
      </c>
      <c r="J710" s="17" t="n">
        <v>0.5</v>
      </c>
      <c r="K710" s="26" t="n">
        <v>0.5</v>
      </c>
      <c r="L710" s="3" t="inlineStr">
        <is>
          <t>2026-02-20</t>
        </is>
      </c>
      <c r="M710" s="27" t="n">
        <v>28</v>
      </c>
      <c r="N710" s="27" t="n">
        <v>28</v>
      </c>
      <c r="O710" s="3" t="inlineStr">
        <is>
          <t>speculative</t>
        </is>
      </c>
      <c r="P710" s="3" t="inlineStr">
        <is>
          <t>B300</t>
        </is>
      </c>
      <c r="Q710" s="3" t="inlineStr">
        <is>
          <t>epoch_user_site_equal_split_seed</t>
        </is>
      </c>
      <c r="R710" s="3" t="inlineStr">
        <is>
          <t>SRC_EPOCH_AI_DATA_CENTERS; EPOCH_NORMALIZED_USER_SITES</t>
        </is>
      </c>
      <c r="S710" s="3" t="inlineStr">
        <is>
          <t>Capacity weight is used only to weight accelerator mix, not to overwrite company total power in 02_Inputs.</t>
        </is>
      </c>
    </row>
    <row r="711">
      <c r="A711" s="3" t="inlineStr">
        <is>
          <t>Bear|OpenAI|2027|CoreWeave Dalton 1 &amp; 2</t>
        </is>
      </c>
      <c r="B711" s="3" t="inlineStr">
        <is>
          <t>Bear</t>
        </is>
      </c>
      <c r="C711" s="3" t="inlineStr">
        <is>
          <t>OpenAI</t>
        </is>
      </c>
      <c r="D711" s="3" t="n">
        <v>2027</v>
      </c>
      <c r="E711" s="3" t="inlineStr">
        <is>
          <t>CoreWeave Dalton 1 &amp; 2</t>
        </is>
      </c>
      <c r="F711" s="3" t="inlineStr">
        <is>
          <t>CoreWeave</t>
        </is>
      </c>
      <c r="G711" s="3" t="inlineStr">
        <is>
          <t>United States</t>
        </is>
      </c>
      <c r="H711" s="25" t="n">
        <v>28</v>
      </c>
      <c r="I711" s="17" t="n">
        <v>1</v>
      </c>
      <c r="J711" s="17" t="n">
        <v>0.545</v>
      </c>
      <c r="K711" s="26" t="n">
        <v>0.455</v>
      </c>
      <c r="L711" s="3" t="inlineStr">
        <is>
          <t>2026-02-20</t>
        </is>
      </c>
      <c r="M711" s="27" t="n">
        <v>28</v>
      </c>
      <c r="N711" s="27" t="n">
        <v>28</v>
      </c>
      <c r="O711" s="3" t="inlineStr">
        <is>
          <t>speculative</t>
        </is>
      </c>
      <c r="P711" s="3" t="inlineStr">
        <is>
          <t>B300</t>
        </is>
      </c>
      <c r="Q711" s="3" t="inlineStr">
        <is>
          <t>epoch_user_site_equal_split_seed</t>
        </is>
      </c>
      <c r="R711" s="3" t="inlineStr">
        <is>
          <t>SRC_EPOCH_AI_DATA_CENTERS; EPOCH_NORMALIZED_USER_SITES</t>
        </is>
      </c>
      <c r="S711" s="3" t="inlineStr">
        <is>
          <t>Capacity weight is used only to weight accelerator mix, not to overwrite company total power in 02_Inputs.</t>
        </is>
      </c>
    </row>
    <row r="712">
      <c r="A712" s="3" t="inlineStr">
        <is>
          <t>Bear|OpenAI|2028|CoreWeave Dalton 1 &amp; 2</t>
        </is>
      </c>
      <c r="B712" s="3" t="inlineStr">
        <is>
          <t>Bear</t>
        </is>
      </c>
      <c r="C712" s="3" t="inlineStr">
        <is>
          <t>OpenAI</t>
        </is>
      </c>
      <c r="D712" s="3" t="n">
        <v>2028</v>
      </c>
      <c r="E712" s="3" t="inlineStr">
        <is>
          <t>CoreWeave Dalton 1 &amp; 2</t>
        </is>
      </c>
      <c r="F712" s="3" t="inlineStr">
        <is>
          <t>CoreWeave</t>
        </is>
      </c>
      <c r="G712" s="3" t="inlineStr">
        <is>
          <t>United States</t>
        </is>
      </c>
      <c r="H712" s="25" t="n">
        <v>28</v>
      </c>
      <c r="I712" s="17" t="n">
        <v>1</v>
      </c>
      <c r="J712" s="17" t="n">
        <v>0.59</v>
      </c>
      <c r="K712" s="26" t="n">
        <v>0.41</v>
      </c>
      <c r="L712" s="3" t="inlineStr">
        <is>
          <t>2026-02-20</t>
        </is>
      </c>
      <c r="M712" s="27" t="n">
        <v>28</v>
      </c>
      <c r="N712" s="27" t="n">
        <v>28</v>
      </c>
      <c r="O712" s="3" t="inlineStr">
        <is>
          <t>speculative</t>
        </is>
      </c>
      <c r="P712" s="3" t="inlineStr">
        <is>
          <t>B300</t>
        </is>
      </c>
      <c r="Q712" s="3" t="inlineStr">
        <is>
          <t>epoch_user_site_equal_split_seed</t>
        </is>
      </c>
      <c r="R712" s="3" t="inlineStr">
        <is>
          <t>SRC_EPOCH_AI_DATA_CENTERS; EPOCH_NORMALIZED_USER_SITES</t>
        </is>
      </c>
      <c r="S712" s="3" t="inlineStr">
        <is>
          <t>Capacity weight is used only to weight accelerator mix, not to overwrite company total power in 02_Inputs.</t>
        </is>
      </c>
    </row>
    <row r="713">
      <c r="A713" s="3" t="inlineStr">
        <is>
          <t>Bear|OpenAI|2029|CoreWeave Dalton 1 &amp; 2</t>
        </is>
      </c>
      <c r="B713" s="3" t="inlineStr">
        <is>
          <t>Bear</t>
        </is>
      </c>
      <c r="C713" s="3" t="inlineStr">
        <is>
          <t>OpenAI</t>
        </is>
      </c>
      <c r="D713" s="3" t="n">
        <v>2029</v>
      </c>
      <c r="E713" s="3" t="inlineStr">
        <is>
          <t>CoreWeave Dalton 1 &amp; 2</t>
        </is>
      </c>
      <c r="F713" s="3" t="inlineStr">
        <is>
          <t>CoreWeave</t>
        </is>
      </c>
      <c r="G713" s="3" t="inlineStr">
        <is>
          <t>United States</t>
        </is>
      </c>
      <c r="H713" s="25" t="n">
        <v>28</v>
      </c>
      <c r="I713" s="17" t="n">
        <v>1</v>
      </c>
      <c r="J713" s="17" t="n">
        <v>0.635</v>
      </c>
      <c r="K713" s="26" t="n">
        <v>0.365</v>
      </c>
      <c r="L713" s="3" t="inlineStr">
        <is>
          <t>2026-02-20</t>
        </is>
      </c>
      <c r="M713" s="27" t="n">
        <v>28</v>
      </c>
      <c r="N713" s="27" t="n">
        <v>28</v>
      </c>
      <c r="O713" s="3" t="inlineStr">
        <is>
          <t>speculative</t>
        </is>
      </c>
      <c r="P713" s="3" t="inlineStr">
        <is>
          <t>B300</t>
        </is>
      </c>
      <c r="Q713" s="3" t="inlineStr">
        <is>
          <t>epoch_user_site_equal_split_seed</t>
        </is>
      </c>
      <c r="R713" s="3" t="inlineStr">
        <is>
          <t>SRC_EPOCH_AI_DATA_CENTERS; EPOCH_NORMALIZED_USER_SITES</t>
        </is>
      </c>
      <c r="S713" s="3" t="inlineStr">
        <is>
          <t>Capacity weight is used only to weight accelerator mix, not to overwrite company total power in 02_Inputs.</t>
        </is>
      </c>
    </row>
    <row r="714">
      <c r="A714" s="3" t="inlineStr">
        <is>
          <t>Bear|OpenAI|2030|CoreWeave Dalton 1 &amp; 2</t>
        </is>
      </c>
      <c r="B714" s="3" t="inlineStr">
        <is>
          <t>Bear</t>
        </is>
      </c>
      <c r="C714" s="3" t="inlineStr">
        <is>
          <t>OpenAI</t>
        </is>
      </c>
      <c r="D714" s="3" t="n">
        <v>2030</v>
      </c>
      <c r="E714" s="3" t="inlineStr">
        <is>
          <t>CoreWeave Dalton 1 &amp; 2</t>
        </is>
      </c>
      <c r="F714" s="3" t="inlineStr">
        <is>
          <t>CoreWeave</t>
        </is>
      </c>
      <c r="G714" s="3" t="inlineStr">
        <is>
          <t>United States</t>
        </is>
      </c>
      <c r="H714" s="25" t="n">
        <v>28</v>
      </c>
      <c r="I714" s="17" t="n">
        <v>1</v>
      </c>
      <c r="J714" s="17" t="n">
        <v>0.68</v>
      </c>
      <c r="K714" s="26" t="n">
        <v>0.32</v>
      </c>
      <c r="L714" s="3" t="inlineStr">
        <is>
          <t>2026-02-20</t>
        </is>
      </c>
      <c r="M714" s="27" t="n">
        <v>28</v>
      </c>
      <c r="N714" s="27" t="n">
        <v>28</v>
      </c>
      <c r="O714" s="3" t="inlineStr">
        <is>
          <t>speculative</t>
        </is>
      </c>
      <c r="P714" s="3" t="inlineStr">
        <is>
          <t>B300</t>
        </is>
      </c>
      <c r="Q714" s="3" t="inlineStr">
        <is>
          <t>epoch_user_site_equal_split_seed</t>
        </is>
      </c>
      <c r="R714" s="3" t="inlineStr">
        <is>
          <t>SRC_EPOCH_AI_DATA_CENTERS; EPOCH_NORMALIZED_USER_SITES</t>
        </is>
      </c>
      <c r="S714" s="3" t="inlineStr">
        <is>
          <t>Capacity weight is used only to weight accelerator mix, not to overwrite company total power in 02_Inputs.</t>
        </is>
      </c>
    </row>
    <row r="715">
      <c r="A715" s="3" t="inlineStr">
        <is>
          <t>Base|OpenAI|2026|CoreWeave Dalton 1 &amp; 2</t>
        </is>
      </c>
      <c r="B715" s="3" t="inlineStr">
        <is>
          <t>Base</t>
        </is>
      </c>
      <c r="C715" s="3" t="inlineStr">
        <is>
          <t>OpenAI</t>
        </is>
      </c>
      <c r="D715" s="3" t="n">
        <v>2026</v>
      </c>
      <c r="E715" s="3" t="inlineStr">
        <is>
          <t>CoreWeave Dalton 1 &amp; 2</t>
        </is>
      </c>
      <c r="F715" s="3" t="inlineStr">
        <is>
          <t>CoreWeave</t>
        </is>
      </c>
      <c r="G715" s="3" t="inlineStr">
        <is>
          <t>United States</t>
        </is>
      </c>
      <c r="H715" s="25" t="n">
        <v>28</v>
      </c>
      <c r="I715" s="17" t="n">
        <v>1</v>
      </c>
      <c r="J715" s="17" t="n">
        <v>0.58</v>
      </c>
      <c r="K715" s="26" t="n">
        <v>0.42</v>
      </c>
      <c r="L715" s="3" t="inlineStr">
        <is>
          <t>2026-02-20</t>
        </is>
      </c>
      <c r="M715" s="27" t="n">
        <v>28</v>
      </c>
      <c r="N715" s="27" t="n">
        <v>28</v>
      </c>
      <c r="O715" s="3" t="inlineStr">
        <is>
          <t>speculative</t>
        </is>
      </c>
      <c r="P715" s="3" t="inlineStr">
        <is>
          <t>B300</t>
        </is>
      </c>
      <c r="Q715" s="3" t="inlineStr">
        <is>
          <t>epoch_user_site_equal_split_seed</t>
        </is>
      </c>
      <c r="R715" s="3" t="inlineStr">
        <is>
          <t>SRC_EPOCH_AI_DATA_CENTERS; EPOCH_NORMALIZED_USER_SITES</t>
        </is>
      </c>
      <c r="S715" s="3" t="inlineStr">
        <is>
          <t>Capacity weight is used only to weight accelerator mix, not to overwrite company total power in 02_Inputs.</t>
        </is>
      </c>
    </row>
    <row r="716">
      <c r="A716" s="3" t="inlineStr">
        <is>
          <t>Base|OpenAI|2027|CoreWeave Dalton 1 &amp; 2</t>
        </is>
      </c>
      <c r="B716" s="3" t="inlineStr">
        <is>
          <t>Base</t>
        </is>
      </c>
      <c r="C716" s="3" t="inlineStr">
        <is>
          <t>OpenAI</t>
        </is>
      </c>
      <c r="D716" s="3" t="n">
        <v>2027</v>
      </c>
      <c r="E716" s="3" t="inlineStr">
        <is>
          <t>CoreWeave Dalton 1 &amp; 2</t>
        </is>
      </c>
      <c r="F716" s="3" t="inlineStr">
        <is>
          <t>CoreWeave</t>
        </is>
      </c>
      <c r="G716" s="3" t="inlineStr">
        <is>
          <t>United States</t>
        </is>
      </c>
      <c r="H716" s="25" t="n">
        <v>28</v>
      </c>
      <c r="I716" s="17" t="n">
        <v>1</v>
      </c>
      <c r="J716" s="17" t="n">
        <v>0.63</v>
      </c>
      <c r="K716" s="26" t="n">
        <v>0.37</v>
      </c>
      <c r="L716" s="3" t="inlineStr">
        <is>
          <t>2026-02-20</t>
        </is>
      </c>
      <c r="M716" s="27" t="n">
        <v>28</v>
      </c>
      <c r="N716" s="27" t="n">
        <v>28</v>
      </c>
      <c r="O716" s="3" t="inlineStr">
        <is>
          <t>speculative</t>
        </is>
      </c>
      <c r="P716" s="3" t="inlineStr">
        <is>
          <t>B300</t>
        </is>
      </c>
      <c r="Q716" s="3" t="inlineStr">
        <is>
          <t>epoch_user_site_equal_split_seed</t>
        </is>
      </c>
      <c r="R716" s="3" t="inlineStr">
        <is>
          <t>SRC_EPOCH_AI_DATA_CENTERS; EPOCH_NORMALIZED_USER_SITES</t>
        </is>
      </c>
      <c r="S716" s="3" t="inlineStr">
        <is>
          <t>Capacity weight is used only to weight accelerator mix, not to overwrite company total power in 02_Inputs.</t>
        </is>
      </c>
    </row>
    <row r="717">
      <c r="A717" s="3" t="inlineStr">
        <is>
          <t>Base|OpenAI|2028|CoreWeave Dalton 1 &amp; 2</t>
        </is>
      </c>
      <c r="B717" s="3" t="inlineStr">
        <is>
          <t>Base</t>
        </is>
      </c>
      <c r="C717" s="3" t="inlineStr">
        <is>
          <t>OpenAI</t>
        </is>
      </c>
      <c r="D717" s="3" t="n">
        <v>2028</v>
      </c>
      <c r="E717" s="3" t="inlineStr">
        <is>
          <t>CoreWeave Dalton 1 &amp; 2</t>
        </is>
      </c>
      <c r="F717" s="3" t="inlineStr">
        <is>
          <t>CoreWeave</t>
        </is>
      </c>
      <c r="G717" s="3" t="inlineStr">
        <is>
          <t>United States</t>
        </is>
      </c>
      <c r="H717" s="25" t="n">
        <v>28</v>
      </c>
      <c r="I717" s="17" t="n">
        <v>1</v>
      </c>
      <c r="J717" s="17" t="n">
        <v>0.68</v>
      </c>
      <c r="K717" s="26" t="n">
        <v>0.32</v>
      </c>
      <c r="L717" s="3" t="inlineStr">
        <is>
          <t>2026-02-20</t>
        </is>
      </c>
      <c r="M717" s="27" t="n">
        <v>28</v>
      </c>
      <c r="N717" s="27" t="n">
        <v>28</v>
      </c>
      <c r="O717" s="3" t="inlineStr">
        <is>
          <t>speculative</t>
        </is>
      </c>
      <c r="P717" s="3" t="inlineStr">
        <is>
          <t>B300</t>
        </is>
      </c>
      <c r="Q717" s="3" t="inlineStr">
        <is>
          <t>epoch_user_site_equal_split_seed</t>
        </is>
      </c>
      <c r="R717" s="3" t="inlineStr">
        <is>
          <t>SRC_EPOCH_AI_DATA_CENTERS; EPOCH_NORMALIZED_USER_SITES</t>
        </is>
      </c>
      <c r="S717" s="3" t="inlineStr">
        <is>
          <t>Capacity weight is used only to weight accelerator mix, not to overwrite company total power in 02_Inputs.</t>
        </is>
      </c>
    </row>
    <row r="718">
      <c r="A718" s="3" t="inlineStr">
        <is>
          <t>Base|OpenAI|2029|CoreWeave Dalton 1 &amp; 2</t>
        </is>
      </c>
      <c r="B718" s="3" t="inlineStr">
        <is>
          <t>Base</t>
        </is>
      </c>
      <c r="C718" s="3" t="inlineStr">
        <is>
          <t>OpenAI</t>
        </is>
      </c>
      <c r="D718" s="3" t="n">
        <v>2029</v>
      </c>
      <c r="E718" s="3" t="inlineStr">
        <is>
          <t>CoreWeave Dalton 1 &amp; 2</t>
        </is>
      </c>
      <c r="F718" s="3" t="inlineStr">
        <is>
          <t>CoreWeave</t>
        </is>
      </c>
      <c r="G718" s="3" t="inlineStr">
        <is>
          <t>United States</t>
        </is>
      </c>
      <c r="H718" s="25" t="n">
        <v>28</v>
      </c>
      <c r="I718" s="17" t="n">
        <v>1</v>
      </c>
      <c r="J718" s="17" t="n">
        <v>0.73</v>
      </c>
      <c r="K718" s="26" t="n">
        <v>0.27</v>
      </c>
      <c r="L718" s="3" t="inlineStr">
        <is>
          <t>2026-02-20</t>
        </is>
      </c>
      <c r="M718" s="27" t="n">
        <v>28</v>
      </c>
      <c r="N718" s="27" t="n">
        <v>28</v>
      </c>
      <c r="O718" s="3" t="inlineStr">
        <is>
          <t>speculative</t>
        </is>
      </c>
      <c r="P718" s="3" t="inlineStr">
        <is>
          <t>B300</t>
        </is>
      </c>
      <c r="Q718" s="3" t="inlineStr">
        <is>
          <t>epoch_user_site_equal_split_seed</t>
        </is>
      </c>
      <c r="R718" s="3" t="inlineStr">
        <is>
          <t>SRC_EPOCH_AI_DATA_CENTERS; EPOCH_NORMALIZED_USER_SITES</t>
        </is>
      </c>
      <c r="S718" s="3" t="inlineStr">
        <is>
          <t>Capacity weight is used only to weight accelerator mix, not to overwrite company total power in 02_Inputs.</t>
        </is>
      </c>
    </row>
    <row r="719">
      <c r="A719" s="3" t="inlineStr">
        <is>
          <t>Base|OpenAI|2030|CoreWeave Dalton 1 &amp; 2</t>
        </is>
      </c>
      <c r="B719" s="3" t="inlineStr">
        <is>
          <t>Base</t>
        </is>
      </c>
      <c r="C719" s="3" t="inlineStr">
        <is>
          <t>OpenAI</t>
        </is>
      </c>
      <c r="D719" s="3" t="n">
        <v>2030</v>
      </c>
      <c r="E719" s="3" t="inlineStr">
        <is>
          <t>CoreWeave Dalton 1 &amp; 2</t>
        </is>
      </c>
      <c r="F719" s="3" t="inlineStr">
        <is>
          <t>CoreWeave</t>
        </is>
      </c>
      <c r="G719" s="3" t="inlineStr">
        <is>
          <t>United States</t>
        </is>
      </c>
      <c r="H719" s="25" t="n">
        <v>28</v>
      </c>
      <c r="I719" s="17" t="n">
        <v>1</v>
      </c>
      <c r="J719" s="17" t="n">
        <v>0.78</v>
      </c>
      <c r="K719" s="26" t="n">
        <v>0.22</v>
      </c>
      <c r="L719" s="3" t="inlineStr">
        <is>
          <t>2026-02-20</t>
        </is>
      </c>
      <c r="M719" s="27" t="n">
        <v>28</v>
      </c>
      <c r="N719" s="27" t="n">
        <v>28</v>
      </c>
      <c r="O719" s="3" t="inlineStr">
        <is>
          <t>speculative</t>
        </is>
      </c>
      <c r="P719" s="3" t="inlineStr">
        <is>
          <t>B300</t>
        </is>
      </c>
      <c r="Q719" s="3" t="inlineStr">
        <is>
          <t>epoch_user_site_equal_split_seed</t>
        </is>
      </c>
      <c r="R719" s="3" t="inlineStr">
        <is>
          <t>SRC_EPOCH_AI_DATA_CENTERS; EPOCH_NORMALIZED_USER_SITES</t>
        </is>
      </c>
      <c r="S719" s="3" t="inlineStr">
        <is>
          <t>Capacity weight is used only to weight accelerator mix, not to overwrite company total power in 02_Inputs.</t>
        </is>
      </c>
    </row>
    <row r="720">
      <c r="A720" s="3" t="inlineStr">
        <is>
          <t>Bull|OpenAI|2026|CoreWeave Dalton 1 &amp; 2</t>
        </is>
      </c>
      <c r="B720" s="3" t="inlineStr">
        <is>
          <t>Bull</t>
        </is>
      </c>
      <c r="C720" s="3" t="inlineStr">
        <is>
          <t>OpenAI</t>
        </is>
      </c>
      <c r="D720" s="3" t="n">
        <v>2026</v>
      </c>
      <c r="E720" s="3" t="inlineStr">
        <is>
          <t>CoreWeave Dalton 1 &amp; 2</t>
        </is>
      </c>
      <c r="F720" s="3" t="inlineStr">
        <is>
          <t>CoreWeave</t>
        </is>
      </c>
      <c r="G720" s="3" t="inlineStr">
        <is>
          <t>United States</t>
        </is>
      </c>
      <c r="H720" s="25" t="n">
        <v>28</v>
      </c>
      <c r="I720" s="17" t="n">
        <v>1</v>
      </c>
      <c r="J720" s="17" t="n">
        <v>0.63</v>
      </c>
      <c r="K720" s="26" t="n">
        <v>0.37</v>
      </c>
      <c r="L720" s="3" t="inlineStr">
        <is>
          <t>2026-02-20</t>
        </is>
      </c>
      <c r="M720" s="27" t="n">
        <v>28</v>
      </c>
      <c r="N720" s="27" t="n">
        <v>28</v>
      </c>
      <c r="O720" s="3" t="inlineStr">
        <is>
          <t>speculative</t>
        </is>
      </c>
      <c r="P720" s="3" t="inlineStr">
        <is>
          <t>B300</t>
        </is>
      </c>
      <c r="Q720" s="3" t="inlineStr">
        <is>
          <t>epoch_user_site_equal_split_seed</t>
        </is>
      </c>
      <c r="R720" s="3" t="inlineStr">
        <is>
          <t>SRC_EPOCH_AI_DATA_CENTERS; EPOCH_NORMALIZED_USER_SITES</t>
        </is>
      </c>
      <c r="S720" s="3" t="inlineStr">
        <is>
          <t>Capacity weight is used only to weight accelerator mix, not to overwrite company total power in 02_Inputs.</t>
        </is>
      </c>
    </row>
    <row r="721">
      <c r="A721" s="3" t="inlineStr">
        <is>
          <t>Bull|OpenAI|2027|CoreWeave Dalton 1 &amp; 2</t>
        </is>
      </c>
      <c r="B721" s="3" t="inlineStr">
        <is>
          <t>Bull</t>
        </is>
      </c>
      <c r="C721" s="3" t="inlineStr">
        <is>
          <t>OpenAI</t>
        </is>
      </c>
      <c r="D721" s="3" t="n">
        <v>2027</v>
      </c>
      <c r="E721" s="3" t="inlineStr">
        <is>
          <t>CoreWeave Dalton 1 &amp; 2</t>
        </is>
      </c>
      <c r="F721" s="3" t="inlineStr">
        <is>
          <t>CoreWeave</t>
        </is>
      </c>
      <c r="G721" s="3" t="inlineStr">
        <is>
          <t>United States</t>
        </is>
      </c>
      <c r="H721" s="25" t="n">
        <v>28</v>
      </c>
      <c r="I721" s="17" t="n">
        <v>1</v>
      </c>
      <c r="J721" s="17" t="n">
        <v>0.6879999999999999</v>
      </c>
      <c r="K721" s="26" t="n">
        <v>0.312</v>
      </c>
      <c r="L721" s="3" t="inlineStr">
        <is>
          <t>2026-02-20</t>
        </is>
      </c>
      <c r="M721" s="27" t="n">
        <v>28</v>
      </c>
      <c r="N721" s="27" t="n">
        <v>28</v>
      </c>
      <c r="O721" s="3" t="inlineStr">
        <is>
          <t>speculative</t>
        </is>
      </c>
      <c r="P721" s="3" t="inlineStr">
        <is>
          <t>B300</t>
        </is>
      </c>
      <c r="Q721" s="3" t="inlineStr">
        <is>
          <t>epoch_user_site_equal_split_seed</t>
        </is>
      </c>
      <c r="R721" s="3" t="inlineStr">
        <is>
          <t>SRC_EPOCH_AI_DATA_CENTERS; EPOCH_NORMALIZED_USER_SITES</t>
        </is>
      </c>
      <c r="S721" s="3" t="inlineStr">
        <is>
          <t>Capacity weight is used only to weight accelerator mix, not to overwrite company total power in 02_Inputs.</t>
        </is>
      </c>
    </row>
    <row r="722">
      <c r="A722" s="3" t="inlineStr">
        <is>
          <t>Bull|OpenAI|2028|CoreWeave Dalton 1 &amp; 2</t>
        </is>
      </c>
      <c r="B722" s="3" t="inlineStr">
        <is>
          <t>Bull</t>
        </is>
      </c>
      <c r="C722" s="3" t="inlineStr">
        <is>
          <t>OpenAI</t>
        </is>
      </c>
      <c r="D722" s="3" t="n">
        <v>2028</v>
      </c>
      <c r="E722" s="3" t="inlineStr">
        <is>
          <t>CoreWeave Dalton 1 &amp; 2</t>
        </is>
      </c>
      <c r="F722" s="3" t="inlineStr">
        <is>
          <t>CoreWeave</t>
        </is>
      </c>
      <c r="G722" s="3" t="inlineStr">
        <is>
          <t>United States</t>
        </is>
      </c>
      <c r="H722" s="25" t="n">
        <v>28</v>
      </c>
      <c r="I722" s="17" t="n">
        <v>1</v>
      </c>
      <c r="J722" s="17" t="n">
        <v>0.745</v>
      </c>
      <c r="K722" s="26" t="n">
        <v>0.255</v>
      </c>
      <c r="L722" s="3" t="inlineStr">
        <is>
          <t>2026-02-20</t>
        </is>
      </c>
      <c r="M722" s="27" t="n">
        <v>28</v>
      </c>
      <c r="N722" s="27" t="n">
        <v>28</v>
      </c>
      <c r="O722" s="3" t="inlineStr">
        <is>
          <t>speculative</t>
        </is>
      </c>
      <c r="P722" s="3" t="inlineStr">
        <is>
          <t>B300</t>
        </is>
      </c>
      <c r="Q722" s="3" t="inlineStr">
        <is>
          <t>epoch_user_site_equal_split_seed</t>
        </is>
      </c>
      <c r="R722" s="3" t="inlineStr">
        <is>
          <t>SRC_EPOCH_AI_DATA_CENTERS; EPOCH_NORMALIZED_USER_SITES</t>
        </is>
      </c>
      <c r="S722" s="3" t="inlineStr">
        <is>
          <t>Capacity weight is used only to weight accelerator mix, not to overwrite company total power in 02_Inputs.</t>
        </is>
      </c>
    </row>
    <row r="723">
      <c r="A723" s="3" t="inlineStr">
        <is>
          <t>Bull|OpenAI|2029|CoreWeave Dalton 1 &amp; 2</t>
        </is>
      </c>
      <c r="B723" s="3" t="inlineStr">
        <is>
          <t>Bull</t>
        </is>
      </c>
      <c r="C723" s="3" t="inlineStr">
        <is>
          <t>OpenAI</t>
        </is>
      </c>
      <c r="D723" s="3" t="n">
        <v>2029</v>
      </c>
      <c r="E723" s="3" t="inlineStr">
        <is>
          <t>CoreWeave Dalton 1 &amp; 2</t>
        </is>
      </c>
      <c r="F723" s="3" t="inlineStr">
        <is>
          <t>CoreWeave</t>
        </is>
      </c>
      <c r="G723" s="3" t="inlineStr">
        <is>
          <t>United States</t>
        </is>
      </c>
      <c r="H723" s="25" t="n">
        <v>28</v>
      </c>
      <c r="I723" s="17" t="n">
        <v>1</v>
      </c>
      <c r="J723" s="17" t="n">
        <v>0.802</v>
      </c>
      <c r="K723" s="26" t="n">
        <v>0.198</v>
      </c>
      <c r="L723" s="3" t="inlineStr">
        <is>
          <t>2026-02-20</t>
        </is>
      </c>
      <c r="M723" s="27" t="n">
        <v>28</v>
      </c>
      <c r="N723" s="27" t="n">
        <v>28</v>
      </c>
      <c r="O723" s="3" t="inlineStr">
        <is>
          <t>speculative</t>
        </is>
      </c>
      <c r="P723" s="3" t="inlineStr">
        <is>
          <t>B300</t>
        </is>
      </c>
      <c r="Q723" s="3" t="inlineStr">
        <is>
          <t>epoch_user_site_equal_split_seed</t>
        </is>
      </c>
      <c r="R723" s="3" t="inlineStr">
        <is>
          <t>SRC_EPOCH_AI_DATA_CENTERS; EPOCH_NORMALIZED_USER_SITES</t>
        </is>
      </c>
      <c r="S723" s="3" t="inlineStr">
        <is>
          <t>Capacity weight is used only to weight accelerator mix, not to overwrite company total power in 02_Inputs.</t>
        </is>
      </c>
    </row>
    <row r="724">
      <c r="A724" s="3" t="inlineStr">
        <is>
          <t>Bull|OpenAI|2030|CoreWeave Dalton 1 &amp; 2</t>
        </is>
      </c>
      <c r="B724" s="3" t="inlineStr">
        <is>
          <t>Bull</t>
        </is>
      </c>
      <c r="C724" s="3" t="inlineStr">
        <is>
          <t>OpenAI</t>
        </is>
      </c>
      <c r="D724" s="3" t="n">
        <v>2030</v>
      </c>
      <c r="E724" s="3" t="inlineStr">
        <is>
          <t>CoreWeave Dalton 1 &amp; 2</t>
        </is>
      </c>
      <c r="F724" s="3" t="inlineStr">
        <is>
          <t>CoreWeave</t>
        </is>
      </c>
      <c r="G724" s="3" t="inlineStr">
        <is>
          <t>United States</t>
        </is>
      </c>
      <c r="H724" s="25" t="n">
        <v>28</v>
      </c>
      <c r="I724" s="17" t="n">
        <v>1</v>
      </c>
      <c r="J724" s="17" t="n">
        <v>0.86</v>
      </c>
      <c r="K724" s="26" t="n">
        <v>0.14</v>
      </c>
      <c r="L724" s="3" t="inlineStr">
        <is>
          <t>2026-02-20</t>
        </is>
      </c>
      <c r="M724" s="27" t="n">
        <v>28</v>
      </c>
      <c r="N724" s="27" t="n">
        <v>28</v>
      </c>
      <c r="O724" s="3" t="inlineStr">
        <is>
          <t>speculative</t>
        </is>
      </c>
      <c r="P724" s="3" t="inlineStr">
        <is>
          <t>B300</t>
        </is>
      </c>
      <c r="Q724" s="3" t="inlineStr">
        <is>
          <t>epoch_user_site_equal_split_seed</t>
        </is>
      </c>
      <c r="R724" s="3" t="inlineStr">
        <is>
          <t>SRC_EPOCH_AI_DATA_CENTERS; EPOCH_NORMALIZED_USER_SITES</t>
        </is>
      </c>
      <c r="S724" s="3" t="inlineStr">
        <is>
          <t>Capacity weight is used only to weight accelerator mix, not to overwrite company total power in 02_Inputs.</t>
        </is>
      </c>
    </row>
    <row r="725">
      <c r="A725" s="3" t="inlineStr">
        <is>
          <t>Grid-Constrained / Efficiency-Upside|OpenAI|2026|CoreWeave Dalton 1 &amp; 2</t>
        </is>
      </c>
      <c r="B725" s="3" t="inlineStr">
        <is>
          <t>Grid-Constrained / Efficiency-Upside</t>
        </is>
      </c>
      <c r="C725" s="3" t="inlineStr">
        <is>
          <t>OpenAI</t>
        </is>
      </c>
      <c r="D725" s="3" t="n">
        <v>2026</v>
      </c>
      <c r="E725" s="3" t="inlineStr">
        <is>
          <t>CoreWeave Dalton 1 &amp; 2</t>
        </is>
      </c>
      <c r="F725" s="3" t="inlineStr">
        <is>
          <t>CoreWeave</t>
        </is>
      </c>
      <c r="G725" s="3" t="inlineStr">
        <is>
          <t>United States</t>
        </is>
      </c>
      <c r="H725" s="25" t="n">
        <v>28</v>
      </c>
      <c r="I725" s="17" t="n">
        <v>1</v>
      </c>
      <c r="J725" s="17" t="n">
        <v>0.6</v>
      </c>
      <c r="K725" s="26" t="n">
        <v>0.4</v>
      </c>
      <c r="L725" s="3" t="inlineStr">
        <is>
          <t>2026-02-20</t>
        </is>
      </c>
      <c r="M725" s="27" t="n">
        <v>28</v>
      </c>
      <c r="N725" s="27" t="n">
        <v>28</v>
      </c>
      <c r="O725" s="3" t="inlineStr">
        <is>
          <t>speculative</t>
        </is>
      </c>
      <c r="P725" s="3" t="inlineStr">
        <is>
          <t>B300</t>
        </is>
      </c>
      <c r="Q725" s="3" t="inlineStr">
        <is>
          <t>epoch_user_site_equal_split_seed</t>
        </is>
      </c>
      <c r="R725" s="3" t="inlineStr">
        <is>
          <t>SRC_EPOCH_AI_DATA_CENTERS; EPOCH_NORMALIZED_USER_SITES</t>
        </is>
      </c>
      <c r="S725" s="3" t="inlineStr">
        <is>
          <t>Capacity weight is used only to weight accelerator mix, not to overwrite company total power in 02_Inputs.</t>
        </is>
      </c>
    </row>
    <row r="726">
      <c r="A726" s="3" t="inlineStr">
        <is>
          <t>Grid-Constrained / Efficiency-Upside|OpenAI|2027|CoreWeave Dalton 1 &amp; 2</t>
        </is>
      </c>
      <c r="B726" s="3" t="inlineStr">
        <is>
          <t>Grid-Constrained / Efficiency-Upside</t>
        </is>
      </c>
      <c r="C726" s="3" t="inlineStr">
        <is>
          <t>OpenAI</t>
        </is>
      </c>
      <c r="D726" s="3" t="n">
        <v>2027</v>
      </c>
      <c r="E726" s="3" t="inlineStr">
        <is>
          <t>CoreWeave Dalton 1 &amp; 2</t>
        </is>
      </c>
      <c r="F726" s="3" t="inlineStr">
        <is>
          <t>CoreWeave</t>
        </is>
      </c>
      <c r="G726" s="3" t="inlineStr">
        <is>
          <t>United States</t>
        </is>
      </c>
      <c r="H726" s="25" t="n">
        <v>28</v>
      </c>
      <c r="I726" s="17" t="n">
        <v>1</v>
      </c>
      <c r="J726" s="17" t="n">
        <v>0.655</v>
      </c>
      <c r="K726" s="26" t="n">
        <v>0.345</v>
      </c>
      <c r="L726" s="3" t="inlineStr">
        <is>
          <t>2026-02-20</t>
        </is>
      </c>
      <c r="M726" s="27" t="n">
        <v>28</v>
      </c>
      <c r="N726" s="27" t="n">
        <v>28</v>
      </c>
      <c r="O726" s="3" t="inlineStr">
        <is>
          <t>speculative</t>
        </is>
      </c>
      <c r="P726" s="3" t="inlineStr">
        <is>
          <t>B300</t>
        </is>
      </c>
      <c r="Q726" s="3" t="inlineStr">
        <is>
          <t>epoch_user_site_equal_split_seed</t>
        </is>
      </c>
      <c r="R726" s="3" t="inlineStr">
        <is>
          <t>SRC_EPOCH_AI_DATA_CENTERS; EPOCH_NORMALIZED_USER_SITES</t>
        </is>
      </c>
      <c r="S726" s="3" t="inlineStr">
        <is>
          <t>Capacity weight is used only to weight accelerator mix, not to overwrite company total power in 02_Inputs.</t>
        </is>
      </c>
    </row>
    <row r="727">
      <c r="A727" s="3" t="inlineStr">
        <is>
          <t>Grid-Constrained / Efficiency-Upside|OpenAI|2028|CoreWeave Dalton 1 &amp; 2</t>
        </is>
      </c>
      <c r="B727" s="3" t="inlineStr">
        <is>
          <t>Grid-Constrained / Efficiency-Upside</t>
        </is>
      </c>
      <c r="C727" s="3" t="inlineStr">
        <is>
          <t>OpenAI</t>
        </is>
      </c>
      <c r="D727" s="3" t="n">
        <v>2028</v>
      </c>
      <c r="E727" s="3" t="inlineStr">
        <is>
          <t>CoreWeave Dalton 1 &amp; 2</t>
        </is>
      </c>
      <c r="F727" s="3" t="inlineStr">
        <is>
          <t>CoreWeave</t>
        </is>
      </c>
      <c r="G727" s="3" t="inlineStr">
        <is>
          <t>United States</t>
        </is>
      </c>
      <c r="H727" s="25" t="n">
        <v>28</v>
      </c>
      <c r="I727" s="17" t="n">
        <v>1</v>
      </c>
      <c r="J727" s="17" t="n">
        <v>0.71</v>
      </c>
      <c r="K727" s="26" t="n">
        <v>0.29</v>
      </c>
      <c r="L727" s="3" t="inlineStr">
        <is>
          <t>2026-02-20</t>
        </is>
      </c>
      <c r="M727" s="27" t="n">
        <v>28</v>
      </c>
      <c r="N727" s="27" t="n">
        <v>28</v>
      </c>
      <c r="O727" s="3" t="inlineStr">
        <is>
          <t>speculative</t>
        </is>
      </c>
      <c r="P727" s="3" t="inlineStr">
        <is>
          <t>B300</t>
        </is>
      </c>
      <c r="Q727" s="3" t="inlineStr">
        <is>
          <t>epoch_user_site_equal_split_seed</t>
        </is>
      </c>
      <c r="R727" s="3" t="inlineStr">
        <is>
          <t>SRC_EPOCH_AI_DATA_CENTERS; EPOCH_NORMALIZED_USER_SITES</t>
        </is>
      </c>
      <c r="S727" s="3" t="inlineStr">
        <is>
          <t>Capacity weight is used only to weight accelerator mix, not to overwrite company total power in 02_Inputs.</t>
        </is>
      </c>
    </row>
    <row r="728">
      <c r="A728" s="3" t="inlineStr">
        <is>
          <t>Grid-Constrained / Efficiency-Upside|OpenAI|2029|CoreWeave Dalton 1 &amp; 2</t>
        </is>
      </c>
      <c r="B728" s="3" t="inlineStr">
        <is>
          <t>Grid-Constrained / Efficiency-Upside</t>
        </is>
      </c>
      <c r="C728" s="3" t="inlineStr">
        <is>
          <t>OpenAI</t>
        </is>
      </c>
      <c r="D728" s="3" t="n">
        <v>2029</v>
      </c>
      <c r="E728" s="3" t="inlineStr">
        <is>
          <t>CoreWeave Dalton 1 &amp; 2</t>
        </is>
      </c>
      <c r="F728" s="3" t="inlineStr">
        <is>
          <t>CoreWeave</t>
        </is>
      </c>
      <c r="G728" s="3" t="inlineStr">
        <is>
          <t>United States</t>
        </is>
      </c>
      <c r="H728" s="25" t="n">
        <v>28</v>
      </c>
      <c r="I728" s="17" t="n">
        <v>1</v>
      </c>
      <c r="J728" s="17" t="n">
        <v>0.765</v>
      </c>
      <c r="K728" s="26" t="n">
        <v>0.235</v>
      </c>
      <c r="L728" s="3" t="inlineStr">
        <is>
          <t>2026-02-20</t>
        </is>
      </c>
      <c r="M728" s="27" t="n">
        <v>28</v>
      </c>
      <c r="N728" s="27" t="n">
        <v>28</v>
      </c>
      <c r="O728" s="3" t="inlineStr">
        <is>
          <t>speculative</t>
        </is>
      </c>
      <c r="P728" s="3" t="inlineStr">
        <is>
          <t>B300</t>
        </is>
      </c>
      <c r="Q728" s="3" t="inlineStr">
        <is>
          <t>epoch_user_site_equal_split_seed</t>
        </is>
      </c>
      <c r="R728" s="3" t="inlineStr">
        <is>
          <t>SRC_EPOCH_AI_DATA_CENTERS; EPOCH_NORMALIZED_USER_SITES</t>
        </is>
      </c>
      <c r="S728" s="3" t="inlineStr">
        <is>
          <t>Capacity weight is used only to weight accelerator mix, not to overwrite company total power in 02_Inputs.</t>
        </is>
      </c>
    </row>
    <row r="729">
      <c r="A729" s="3" t="inlineStr">
        <is>
          <t>Grid-Constrained / Efficiency-Upside|OpenAI|2030|CoreWeave Dalton 1 &amp; 2</t>
        </is>
      </c>
      <c r="B729" s="3" t="inlineStr">
        <is>
          <t>Grid-Constrained / Efficiency-Upside</t>
        </is>
      </c>
      <c r="C729" s="3" t="inlineStr">
        <is>
          <t>OpenAI</t>
        </is>
      </c>
      <c r="D729" s="3" t="n">
        <v>2030</v>
      </c>
      <c r="E729" s="3" t="inlineStr">
        <is>
          <t>CoreWeave Dalton 1 &amp; 2</t>
        </is>
      </c>
      <c r="F729" s="3" t="inlineStr">
        <is>
          <t>CoreWeave</t>
        </is>
      </c>
      <c r="G729" s="3" t="inlineStr">
        <is>
          <t>United States</t>
        </is>
      </c>
      <c r="H729" s="25" t="n">
        <v>28</v>
      </c>
      <c r="I729" s="17" t="n">
        <v>1</v>
      </c>
      <c r="J729" s="17" t="n">
        <v>0.82</v>
      </c>
      <c r="K729" s="26" t="n">
        <v>0.18</v>
      </c>
      <c r="L729" s="3" t="inlineStr">
        <is>
          <t>2026-02-20</t>
        </is>
      </c>
      <c r="M729" s="27" t="n">
        <v>28</v>
      </c>
      <c r="N729" s="27" t="n">
        <v>28</v>
      </c>
      <c r="O729" s="3" t="inlineStr">
        <is>
          <t>speculative</t>
        </is>
      </c>
      <c r="P729" s="3" t="inlineStr">
        <is>
          <t>B300</t>
        </is>
      </c>
      <c r="Q729" s="3" t="inlineStr">
        <is>
          <t>epoch_user_site_equal_split_seed</t>
        </is>
      </c>
      <c r="R729" s="3" t="inlineStr">
        <is>
          <t>SRC_EPOCH_AI_DATA_CENTERS; EPOCH_NORMALIZED_USER_SITES</t>
        </is>
      </c>
      <c r="S729" s="3" t="inlineStr">
        <is>
          <t>Capacity weight is used only to weight accelerator mix, not to overwrite company total power in 02_Inputs.</t>
        </is>
      </c>
    </row>
    <row r="730">
      <c r="A730" s="3" t="inlineStr">
        <is>
          <t>Bear|OpenAI|2026|CoreWeave Denton TX</t>
        </is>
      </c>
      <c r="B730" s="3" t="inlineStr">
        <is>
          <t>Bear</t>
        </is>
      </c>
      <c r="C730" s="3" t="inlineStr">
        <is>
          <t>OpenAI</t>
        </is>
      </c>
      <c r="D730" s="3" t="n">
        <v>2026</v>
      </c>
      <c r="E730" s="3" t="inlineStr">
        <is>
          <t>CoreWeave Denton TX</t>
        </is>
      </c>
      <c r="F730" s="3" t="inlineStr">
        <is>
          <t>CoreWeave</t>
        </is>
      </c>
      <c r="G730" s="3" t="inlineStr">
        <is>
          <t>United States</t>
        </is>
      </c>
      <c r="H730" s="25" t="n">
        <v>262</v>
      </c>
      <c r="I730" s="17" t="n">
        <v>1</v>
      </c>
      <c r="J730" s="17" t="n">
        <v>0.5</v>
      </c>
      <c r="K730" s="26" t="n">
        <v>0.5</v>
      </c>
      <c r="L730" s="3" t="inlineStr">
        <is>
          <t>2026-06-30</t>
        </is>
      </c>
      <c r="M730" s="27" t="n">
        <v>262</v>
      </c>
      <c r="N730" s="27" t="n">
        <v>262</v>
      </c>
      <c r="O730" s="3" t="inlineStr">
        <is>
          <t>likely</t>
        </is>
      </c>
      <c r="P730" s="3" t="inlineStr">
        <is>
          <t>B200</t>
        </is>
      </c>
      <c r="Q730" s="3" t="inlineStr">
        <is>
          <t>epoch_user_site_equal_split_seed</t>
        </is>
      </c>
      <c r="R730" s="3" t="inlineStr">
        <is>
          <t>SRC_EPOCH_AI_DATA_CENTERS; EPOCH_NORMALIZED_USER_SITES</t>
        </is>
      </c>
      <c r="S730" s="3" t="inlineStr">
        <is>
          <t>Capacity weight is used only to weight accelerator mix, not to overwrite company total power in 02_Inputs.</t>
        </is>
      </c>
    </row>
    <row r="731">
      <c r="A731" s="3" t="inlineStr">
        <is>
          <t>Bear|OpenAI|2027|CoreWeave Denton TX</t>
        </is>
      </c>
      <c r="B731" s="3" t="inlineStr">
        <is>
          <t>Bear</t>
        </is>
      </c>
      <c r="C731" s="3" t="inlineStr">
        <is>
          <t>OpenAI</t>
        </is>
      </c>
      <c r="D731" s="3" t="n">
        <v>2027</v>
      </c>
      <c r="E731" s="3" t="inlineStr">
        <is>
          <t>CoreWeave Denton TX</t>
        </is>
      </c>
      <c r="F731" s="3" t="inlineStr">
        <is>
          <t>CoreWeave</t>
        </is>
      </c>
      <c r="G731" s="3" t="inlineStr">
        <is>
          <t>United States</t>
        </is>
      </c>
      <c r="H731" s="25" t="n">
        <v>262</v>
      </c>
      <c r="I731" s="17" t="n">
        <v>1</v>
      </c>
      <c r="J731" s="17" t="n">
        <v>0.545</v>
      </c>
      <c r="K731" s="26" t="n">
        <v>0.455</v>
      </c>
      <c r="L731" s="3" t="inlineStr">
        <is>
          <t>2026-06-30</t>
        </is>
      </c>
      <c r="M731" s="27" t="n">
        <v>262</v>
      </c>
      <c r="N731" s="27" t="n">
        <v>262</v>
      </c>
      <c r="O731" s="3" t="inlineStr">
        <is>
          <t>likely</t>
        </is>
      </c>
      <c r="P731" s="3" t="inlineStr">
        <is>
          <t>B200</t>
        </is>
      </c>
      <c r="Q731" s="3" t="inlineStr">
        <is>
          <t>epoch_user_site_equal_split_seed</t>
        </is>
      </c>
      <c r="R731" s="3" t="inlineStr">
        <is>
          <t>SRC_EPOCH_AI_DATA_CENTERS; EPOCH_NORMALIZED_USER_SITES</t>
        </is>
      </c>
      <c r="S731" s="3" t="inlineStr">
        <is>
          <t>Capacity weight is used only to weight accelerator mix, not to overwrite company total power in 02_Inputs.</t>
        </is>
      </c>
    </row>
    <row r="732">
      <c r="A732" s="3" t="inlineStr">
        <is>
          <t>Bear|OpenAI|2028|CoreWeave Denton TX</t>
        </is>
      </c>
      <c r="B732" s="3" t="inlineStr">
        <is>
          <t>Bear</t>
        </is>
      </c>
      <c r="C732" s="3" t="inlineStr">
        <is>
          <t>OpenAI</t>
        </is>
      </c>
      <c r="D732" s="3" t="n">
        <v>2028</v>
      </c>
      <c r="E732" s="3" t="inlineStr">
        <is>
          <t>CoreWeave Denton TX</t>
        </is>
      </c>
      <c r="F732" s="3" t="inlineStr">
        <is>
          <t>CoreWeave</t>
        </is>
      </c>
      <c r="G732" s="3" t="inlineStr">
        <is>
          <t>United States</t>
        </is>
      </c>
      <c r="H732" s="25" t="n">
        <v>262</v>
      </c>
      <c r="I732" s="17" t="n">
        <v>1</v>
      </c>
      <c r="J732" s="17" t="n">
        <v>0.59</v>
      </c>
      <c r="K732" s="26" t="n">
        <v>0.41</v>
      </c>
      <c r="L732" s="3" t="inlineStr">
        <is>
          <t>2026-06-30</t>
        </is>
      </c>
      <c r="M732" s="27" t="n">
        <v>262</v>
      </c>
      <c r="N732" s="27" t="n">
        <v>262</v>
      </c>
      <c r="O732" s="3" t="inlineStr">
        <is>
          <t>likely</t>
        </is>
      </c>
      <c r="P732" s="3" t="inlineStr">
        <is>
          <t>B200</t>
        </is>
      </c>
      <c r="Q732" s="3" t="inlineStr">
        <is>
          <t>epoch_user_site_equal_split_seed</t>
        </is>
      </c>
      <c r="R732" s="3" t="inlineStr">
        <is>
          <t>SRC_EPOCH_AI_DATA_CENTERS; EPOCH_NORMALIZED_USER_SITES</t>
        </is>
      </c>
      <c r="S732" s="3" t="inlineStr">
        <is>
          <t>Capacity weight is used only to weight accelerator mix, not to overwrite company total power in 02_Inputs.</t>
        </is>
      </c>
    </row>
    <row r="733">
      <c r="A733" s="3" t="inlineStr">
        <is>
          <t>Bear|OpenAI|2029|CoreWeave Denton TX</t>
        </is>
      </c>
      <c r="B733" s="3" t="inlineStr">
        <is>
          <t>Bear</t>
        </is>
      </c>
      <c r="C733" s="3" t="inlineStr">
        <is>
          <t>OpenAI</t>
        </is>
      </c>
      <c r="D733" s="3" t="n">
        <v>2029</v>
      </c>
      <c r="E733" s="3" t="inlineStr">
        <is>
          <t>CoreWeave Denton TX</t>
        </is>
      </c>
      <c r="F733" s="3" t="inlineStr">
        <is>
          <t>CoreWeave</t>
        </is>
      </c>
      <c r="G733" s="3" t="inlineStr">
        <is>
          <t>United States</t>
        </is>
      </c>
      <c r="H733" s="25" t="n">
        <v>262</v>
      </c>
      <c r="I733" s="17" t="n">
        <v>1</v>
      </c>
      <c r="J733" s="17" t="n">
        <v>0.635</v>
      </c>
      <c r="K733" s="26" t="n">
        <v>0.365</v>
      </c>
      <c r="L733" s="3" t="inlineStr">
        <is>
          <t>2026-06-30</t>
        </is>
      </c>
      <c r="M733" s="27" t="n">
        <v>262</v>
      </c>
      <c r="N733" s="27" t="n">
        <v>262</v>
      </c>
      <c r="O733" s="3" t="inlineStr">
        <is>
          <t>likely</t>
        </is>
      </c>
      <c r="P733" s="3" t="inlineStr">
        <is>
          <t>B200</t>
        </is>
      </c>
      <c r="Q733" s="3" t="inlineStr">
        <is>
          <t>epoch_user_site_equal_split_seed</t>
        </is>
      </c>
      <c r="R733" s="3" t="inlineStr">
        <is>
          <t>SRC_EPOCH_AI_DATA_CENTERS; EPOCH_NORMALIZED_USER_SITES</t>
        </is>
      </c>
      <c r="S733" s="3" t="inlineStr">
        <is>
          <t>Capacity weight is used only to weight accelerator mix, not to overwrite company total power in 02_Inputs.</t>
        </is>
      </c>
    </row>
    <row r="734">
      <c r="A734" s="3" t="inlineStr">
        <is>
          <t>Bear|OpenAI|2030|CoreWeave Denton TX</t>
        </is>
      </c>
      <c r="B734" s="3" t="inlineStr">
        <is>
          <t>Bear</t>
        </is>
      </c>
      <c r="C734" s="3" t="inlineStr">
        <is>
          <t>OpenAI</t>
        </is>
      </c>
      <c r="D734" s="3" t="n">
        <v>2030</v>
      </c>
      <c r="E734" s="3" t="inlineStr">
        <is>
          <t>CoreWeave Denton TX</t>
        </is>
      </c>
      <c r="F734" s="3" t="inlineStr">
        <is>
          <t>CoreWeave</t>
        </is>
      </c>
      <c r="G734" s="3" t="inlineStr">
        <is>
          <t>United States</t>
        </is>
      </c>
      <c r="H734" s="25" t="n">
        <v>262</v>
      </c>
      <c r="I734" s="17" t="n">
        <v>1</v>
      </c>
      <c r="J734" s="17" t="n">
        <v>0.68</v>
      </c>
      <c r="K734" s="26" t="n">
        <v>0.32</v>
      </c>
      <c r="L734" s="3" t="inlineStr">
        <is>
          <t>2026-06-30</t>
        </is>
      </c>
      <c r="M734" s="27" t="n">
        <v>262</v>
      </c>
      <c r="N734" s="27" t="n">
        <v>262</v>
      </c>
      <c r="O734" s="3" t="inlineStr">
        <is>
          <t>likely</t>
        </is>
      </c>
      <c r="P734" s="3" t="inlineStr">
        <is>
          <t>B200</t>
        </is>
      </c>
      <c r="Q734" s="3" t="inlineStr">
        <is>
          <t>epoch_user_site_equal_split_seed</t>
        </is>
      </c>
      <c r="R734" s="3" t="inlineStr">
        <is>
          <t>SRC_EPOCH_AI_DATA_CENTERS; EPOCH_NORMALIZED_USER_SITES</t>
        </is>
      </c>
      <c r="S734" s="3" t="inlineStr">
        <is>
          <t>Capacity weight is used only to weight accelerator mix, not to overwrite company total power in 02_Inputs.</t>
        </is>
      </c>
    </row>
    <row r="735">
      <c r="A735" s="3" t="inlineStr">
        <is>
          <t>Base|OpenAI|2026|CoreWeave Denton TX</t>
        </is>
      </c>
      <c r="B735" s="3" t="inlineStr">
        <is>
          <t>Base</t>
        </is>
      </c>
      <c r="C735" s="3" t="inlineStr">
        <is>
          <t>OpenAI</t>
        </is>
      </c>
      <c r="D735" s="3" t="n">
        <v>2026</v>
      </c>
      <c r="E735" s="3" t="inlineStr">
        <is>
          <t>CoreWeave Denton TX</t>
        </is>
      </c>
      <c r="F735" s="3" t="inlineStr">
        <is>
          <t>CoreWeave</t>
        </is>
      </c>
      <c r="G735" s="3" t="inlineStr">
        <is>
          <t>United States</t>
        </is>
      </c>
      <c r="H735" s="25" t="n">
        <v>262</v>
      </c>
      <c r="I735" s="17" t="n">
        <v>1</v>
      </c>
      <c r="J735" s="17" t="n">
        <v>0.58</v>
      </c>
      <c r="K735" s="26" t="n">
        <v>0.42</v>
      </c>
      <c r="L735" s="3" t="inlineStr">
        <is>
          <t>2026-06-30</t>
        </is>
      </c>
      <c r="M735" s="27" t="n">
        <v>262</v>
      </c>
      <c r="N735" s="27" t="n">
        <v>262</v>
      </c>
      <c r="O735" s="3" t="inlineStr">
        <is>
          <t>likely</t>
        </is>
      </c>
      <c r="P735" s="3" t="inlineStr">
        <is>
          <t>B200</t>
        </is>
      </c>
      <c r="Q735" s="3" t="inlineStr">
        <is>
          <t>epoch_user_site_equal_split_seed</t>
        </is>
      </c>
      <c r="R735" s="3" t="inlineStr">
        <is>
          <t>SRC_EPOCH_AI_DATA_CENTERS; EPOCH_NORMALIZED_USER_SITES</t>
        </is>
      </c>
      <c r="S735" s="3" t="inlineStr">
        <is>
          <t>Capacity weight is used only to weight accelerator mix, not to overwrite company total power in 02_Inputs.</t>
        </is>
      </c>
    </row>
    <row r="736">
      <c r="A736" s="3" t="inlineStr">
        <is>
          <t>Base|OpenAI|2027|CoreWeave Denton TX</t>
        </is>
      </c>
      <c r="B736" s="3" t="inlineStr">
        <is>
          <t>Base</t>
        </is>
      </c>
      <c r="C736" s="3" t="inlineStr">
        <is>
          <t>OpenAI</t>
        </is>
      </c>
      <c r="D736" s="3" t="n">
        <v>2027</v>
      </c>
      <c r="E736" s="3" t="inlineStr">
        <is>
          <t>CoreWeave Denton TX</t>
        </is>
      </c>
      <c r="F736" s="3" t="inlineStr">
        <is>
          <t>CoreWeave</t>
        </is>
      </c>
      <c r="G736" s="3" t="inlineStr">
        <is>
          <t>United States</t>
        </is>
      </c>
      <c r="H736" s="25" t="n">
        <v>262</v>
      </c>
      <c r="I736" s="17" t="n">
        <v>1</v>
      </c>
      <c r="J736" s="17" t="n">
        <v>0.63</v>
      </c>
      <c r="K736" s="26" t="n">
        <v>0.37</v>
      </c>
      <c r="L736" s="3" t="inlineStr">
        <is>
          <t>2026-06-30</t>
        </is>
      </c>
      <c r="M736" s="27" t="n">
        <v>262</v>
      </c>
      <c r="N736" s="27" t="n">
        <v>262</v>
      </c>
      <c r="O736" s="3" t="inlineStr">
        <is>
          <t>likely</t>
        </is>
      </c>
      <c r="P736" s="3" t="inlineStr">
        <is>
          <t>B200</t>
        </is>
      </c>
      <c r="Q736" s="3" t="inlineStr">
        <is>
          <t>epoch_user_site_equal_split_seed</t>
        </is>
      </c>
      <c r="R736" s="3" t="inlineStr">
        <is>
          <t>SRC_EPOCH_AI_DATA_CENTERS; EPOCH_NORMALIZED_USER_SITES</t>
        </is>
      </c>
      <c r="S736" s="3" t="inlineStr">
        <is>
          <t>Capacity weight is used only to weight accelerator mix, not to overwrite company total power in 02_Inputs.</t>
        </is>
      </c>
    </row>
    <row r="737">
      <c r="A737" s="3" t="inlineStr">
        <is>
          <t>Base|OpenAI|2028|CoreWeave Denton TX</t>
        </is>
      </c>
      <c r="B737" s="3" t="inlineStr">
        <is>
          <t>Base</t>
        </is>
      </c>
      <c r="C737" s="3" t="inlineStr">
        <is>
          <t>OpenAI</t>
        </is>
      </c>
      <c r="D737" s="3" t="n">
        <v>2028</v>
      </c>
      <c r="E737" s="3" t="inlineStr">
        <is>
          <t>CoreWeave Denton TX</t>
        </is>
      </c>
      <c r="F737" s="3" t="inlineStr">
        <is>
          <t>CoreWeave</t>
        </is>
      </c>
      <c r="G737" s="3" t="inlineStr">
        <is>
          <t>United States</t>
        </is>
      </c>
      <c r="H737" s="25" t="n">
        <v>262</v>
      </c>
      <c r="I737" s="17" t="n">
        <v>1</v>
      </c>
      <c r="J737" s="17" t="n">
        <v>0.68</v>
      </c>
      <c r="K737" s="26" t="n">
        <v>0.32</v>
      </c>
      <c r="L737" s="3" t="inlineStr">
        <is>
          <t>2026-06-30</t>
        </is>
      </c>
      <c r="M737" s="27" t="n">
        <v>262</v>
      </c>
      <c r="N737" s="27" t="n">
        <v>262</v>
      </c>
      <c r="O737" s="3" t="inlineStr">
        <is>
          <t>likely</t>
        </is>
      </c>
      <c r="P737" s="3" t="inlineStr">
        <is>
          <t>B200</t>
        </is>
      </c>
      <c r="Q737" s="3" t="inlineStr">
        <is>
          <t>epoch_user_site_equal_split_seed</t>
        </is>
      </c>
      <c r="R737" s="3" t="inlineStr">
        <is>
          <t>SRC_EPOCH_AI_DATA_CENTERS; EPOCH_NORMALIZED_USER_SITES</t>
        </is>
      </c>
      <c r="S737" s="3" t="inlineStr">
        <is>
          <t>Capacity weight is used only to weight accelerator mix, not to overwrite company total power in 02_Inputs.</t>
        </is>
      </c>
    </row>
    <row r="738">
      <c r="A738" s="3" t="inlineStr">
        <is>
          <t>Base|OpenAI|2029|CoreWeave Denton TX</t>
        </is>
      </c>
      <c r="B738" s="3" t="inlineStr">
        <is>
          <t>Base</t>
        </is>
      </c>
      <c r="C738" s="3" t="inlineStr">
        <is>
          <t>OpenAI</t>
        </is>
      </c>
      <c r="D738" s="3" t="n">
        <v>2029</v>
      </c>
      <c r="E738" s="3" t="inlineStr">
        <is>
          <t>CoreWeave Denton TX</t>
        </is>
      </c>
      <c r="F738" s="3" t="inlineStr">
        <is>
          <t>CoreWeave</t>
        </is>
      </c>
      <c r="G738" s="3" t="inlineStr">
        <is>
          <t>United States</t>
        </is>
      </c>
      <c r="H738" s="25" t="n">
        <v>262</v>
      </c>
      <c r="I738" s="17" t="n">
        <v>1</v>
      </c>
      <c r="J738" s="17" t="n">
        <v>0.73</v>
      </c>
      <c r="K738" s="26" t="n">
        <v>0.27</v>
      </c>
      <c r="L738" s="3" t="inlineStr">
        <is>
          <t>2026-06-30</t>
        </is>
      </c>
      <c r="M738" s="27" t="n">
        <v>262</v>
      </c>
      <c r="N738" s="27" t="n">
        <v>262</v>
      </c>
      <c r="O738" s="3" t="inlineStr">
        <is>
          <t>likely</t>
        </is>
      </c>
      <c r="P738" s="3" t="inlineStr">
        <is>
          <t>B200</t>
        </is>
      </c>
      <c r="Q738" s="3" t="inlineStr">
        <is>
          <t>epoch_user_site_equal_split_seed</t>
        </is>
      </c>
      <c r="R738" s="3" t="inlineStr">
        <is>
          <t>SRC_EPOCH_AI_DATA_CENTERS; EPOCH_NORMALIZED_USER_SITES</t>
        </is>
      </c>
      <c r="S738" s="3" t="inlineStr">
        <is>
          <t>Capacity weight is used only to weight accelerator mix, not to overwrite company total power in 02_Inputs.</t>
        </is>
      </c>
    </row>
    <row r="739">
      <c r="A739" s="3" t="inlineStr">
        <is>
          <t>Base|OpenAI|2030|CoreWeave Denton TX</t>
        </is>
      </c>
      <c r="B739" s="3" t="inlineStr">
        <is>
          <t>Base</t>
        </is>
      </c>
      <c r="C739" s="3" t="inlineStr">
        <is>
          <t>OpenAI</t>
        </is>
      </c>
      <c r="D739" s="3" t="n">
        <v>2030</v>
      </c>
      <c r="E739" s="3" t="inlineStr">
        <is>
          <t>CoreWeave Denton TX</t>
        </is>
      </c>
      <c r="F739" s="3" t="inlineStr">
        <is>
          <t>CoreWeave</t>
        </is>
      </c>
      <c r="G739" s="3" t="inlineStr">
        <is>
          <t>United States</t>
        </is>
      </c>
      <c r="H739" s="25" t="n">
        <v>262</v>
      </c>
      <c r="I739" s="17" t="n">
        <v>1</v>
      </c>
      <c r="J739" s="17" t="n">
        <v>0.78</v>
      </c>
      <c r="K739" s="26" t="n">
        <v>0.22</v>
      </c>
      <c r="L739" s="3" t="inlineStr">
        <is>
          <t>2026-06-30</t>
        </is>
      </c>
      <c r="M739" s="27" t="n">
        <v>262</v>
      </c>
      <c r="N739" s="27" t="n">
        <v>262</v>
      </c>
      <c r="O739" s="3" t="inlineStr">
        <is>
          <t>likely</t>
        </is>
      </c>
      <c r="P739" s="3" t="inlineStr">
        <is>
          <t>B200</t>
        </is>
      </c>
      <c r="Q739" s="3" t="inlineStr">
        <is>
          <t>epoch_user_site_equal_split_seed</t>
        </is>
      </c>
      <c r="R739" s="3" t="inlineStr">
        <is>
          <t>SRC_EPOCH_AI_DATA_CENTERS; EPOCH_NORMALIZED_USER_SITES</t>
        </is>
      </c>
      <c r="S739" s="3" t="inlineStr">
        <is>
          <t>Capacity weight is used only to weight accelerator mix, not to overwrite company total power in 02_Inputs.</t>
        </is>
      </c>
    </row>
    <row r="740">
      <c r="A740" s="3" t="inlineStr">
        <is>
          <t>Bull|OpenAI|2026|CoreWeave Denton TX</t>
        </is>
      </c>
      <c r="B740" s="3" t="inlineStr">
        <is>
          <t>Bull</t>
        </is>
      </c>
      <c r="C740" s="3" t="inlineStr">
        <is>
          <t>OpenAI</t>
        </is>
      </c>
      <c r="D740" s="3" t="n">
        <v>2026</v>
      </c>
      <c r="E740" s="3" t="inlineStr">
        <is>
          <t>CoreWeave Denton TX</t>
        </is>
      </c>
      <c r="F740" s="3" t="inlineStr">
        <is>
          <t>CoreWeave</t>
        </is>
      </c>
      <c r="G740" s="3" t="inlineStr">
        <is>
          <t>United States</t>
        </is>
      </c>
      <c r="H740" s="25" t="n">
        <v>262</v>
      </c>
      <c r="I740" s="17" t="n">
        <v>1</v>
      </c>
      <c r="J740" s="17" t="n">
        <v>0.63</v>
      </c>
      <c r="K740" s="26" t="n">
        <v>0.37</v>
      </c>
      <c r="L740" s="3" t="inlineStr">
        <is>
          <t>2026-06-30</t>
        </is>
      </c>
      <c r="M740" s="27" t="n">
        <v>262</v>
      </c>
      <c r="N740" s="27" t="n">
        <v>262</v>
      </c>
      <c r="O740" s="3" t="inlineStr">
        <is>
          <t>likely</t>
        </is>
      </c>
      <c r="P740" s="3" t="inlineStr">
        <is>
          <t>B200</t>
        </is>
      </c>
      <c r="Q740" s="3" t="inlineStr">
        <is>
          <t>epoch_user_site_equal_split_seed</t>
        </is>
      </c>
      <c r="R740" s="3" t="inlineStr">
        <is>
          <t>SRC_EPOCH_AI_DATA_CENTERS; EPOCH_NORMALIZED_USER_SITES</t>
        </is>
      </c>
      <c r="S740" s="3" t="inlineStr">
        <is>
          <t>Capacity weight is used only to weight accelerator mix, not to overwrite company total power in 02_Inputs.</t>
        </is>
      </c>
    </row>
    <row r="741">
      <c r="A741" s="3" t="inlineStr">
        <is>
          <t>Bull|OpenAI|2027|CoreWeave Denton TX</t>
        </is>
      </c>
      <c r="B741" s="3" t="inlineStr">
        <is>
          <t>Bull</t>
        </is>
      </c>
      <c r="C741" s="3" t="inlineStr">
        <is>
          <t>OpenAI</t>
        </is>
      </c>
      <c r="D741" s="3" t="n">
        <v>2027</v>
      </c>
      <c r="E741" s="3" t="inlineStr">
        <is>
          <t>CoreWeave Denton TX</t>
        </is>
      </c>
      <c r="F741" s="3" t="inlineStr">
        <is>
          <t>CoreWeave</t>
        </is>
      </c>
      <c r="G741" s="3" t="inlineStr">
        <is>
          <t>United States</t>
        </is>
      </c>
      <c r="H741" s="25" t="n">
        <v>262</v>
      </c>
      <c r="I741" s="17" t="n">
        <v>1</v>
      </c>
      <c r="J741" s="17" t="n">
        <v>0.6879999999999999</v>
      </c>
      <c r="K741" s="26" t="n">
        <v>0.312</v>
      </c>
      <c r="L741" s="3" t="inlineStr">
        <is>
          <t>2026-06-30</t>
        </is>
      </c>
      <c r="M741" s="27" t="n">
        <v>262</v>
      </c>
      <c r="N741" s="27" t="n">
        <v>262</v>
      </c>
      <c r="O741" s="3" t="inlineStr">
        <is>
          <t>likely</t>
        </is>
      </c>
      <c r="P741" s="3" t="inlineStr">
        <is>
          <t>B200</t>
        </is>
      </c>
      <c r="Q741" s="3" t="inlineStr">
        <is>
          <t>epoch_user_site_equal_split_seed</t>
        </is>
      </c>
      <c r="R741" s="3" t="inlineStr">
        <is>
          <t>SRC_EPOCH_AI_DATA_CENTERS; EPOCH_NORMALIZED_USER_SITES</t>
        </is>
      </c>
      <c r="S741" s="3" t="inlineStr">
        <is>
          <t>Capacity weight is used only to weight accelerator mix, not to overwrite company total power in 02_Inputs.</t>
        </is>
      </c>
    </row>
    <row r="742">
      <c r="A742" s="3" t="inlineStr">
        <is>
          <t>Bull|OpenAI|2028|CoreWeave Denton TX</t>
        </is>
      </c>
      <c r="B742" s="3" t="inlineStr">
        <is>
          <t>Bull</t>
        </is>
      </c>
      <c r="C742" s="3" t="inlineStr">
        <is>
          <t>OpenAI</t>
        </is>
      </c>
      <c r="D742" s="3" t="n">
        <v>2028</v>
      </c>
      <c r="E742" s="3" t="inlineStr">
        <is>
          <t>CoreWeave Denton TX</t>
        </is>
      </c>
      <c r="F742" s="3" t="inlineStr">
        <is>
          <t>CoreWeave</t>
        </is>
      </c>
      <c r="G742" s="3" t="inlineStr">
        <is>
          <t>United States</t>
        </is>
      </c>
      <c r="H742" s="25" t="n">
        <v>262</v>
      </c>
      <c r="I742" s="17" t="n">
        <v>1</v>
      </c>
      <c r="J742" s="17" t="n">
        <v>0.745</v>
      </c>
      <c r="K742" s="26" t="n">
        <v>0.255</v>
      </c>
      <c r="L742" s="3" t="inlineStr">
        <is>
          <t>2026-06-30</t>
        </is>
      </c>
      <c r="M742" s="27" t="n">
        <v>262</v>
      </c>
      <c r="N742" s="27" t="n">
        <v>262</v>
      </c>
      <c r="O742" s="3" t="inlineStr">
        <is>
          <t>likely</t>
        </is>
      </c>
      <c r="P742" s="3" t="inlineStr">
        <is>
          <t>B200</t>
        </is>
      </c>
      <c r="Q742" s="3" t="inlineStr">
        <is>
          <t>epoch_user_site_equal_split_seed</t>
        </is>
      </c>
      <c r="R742" s="3" t="inlineStr">
        <is>
          <t>SRC_EPOCH_AI_DATA_CENTERS; EPOCH_NORMALIZED_USER_SITES</t>
        </is>
      </c>
      <c r="S742" s="3" t="inlineStr">
        <is>
          <t>Capacity weight is used only to weight accelerator mix, not to overwrite company total power in 02_Inputs.</t>
        </is>
      </c>
    </row>
    <row r="743">
      <c r="A743" s="3" t="inlineStr">
        <is>
          <t>Bull|OpenAI|2029|CoreWeave Denton TX</t>
        </is>
      </c>
      <c r="B743" s="3" t="inlineStr">
        <is>
          <t>Bull</t>
        </is>
      </c>
      <c r="C743" s="3" t="inlineStr">
        <is>
          <t>OpenAI</t>
        </is>
      </c>
      <c r="D743" s="3" t="n">
        <v>2029</v>
      </c>
      <c r="E743" s="3" t="inlineStr">
        <is>
          <t>CoreWeave Denton TX</t>
        </is>
      </c>
      <c r="F743" s="3" t="inlineStr">
        <is>
          <t>CoreWeave</t>
        </is>
      </c>
      <c r="G743" s="3" t="inlineStr">
        <is>
          <t>United States</t>
        </is>
      </c>
      <c r="H743" s="25" t="n">
        <v>262</v>
      </c>
      <c r="I743" s="17" t="n">
        <v>1</v>
      </c>
      <c r="J743" s="17" t="n">
        <v>0.802</v>
      </c>
      <c r="K743" s="26" t="n">
        <v>0.198</v>
      </c>
      <c r="L743" s="3" t="inlineStr">
        <is>
          <t>2026-06-30</t>
        </is>
      </c>
      <c r="M743" s="27" t="n">
        <v>262</v>
      </c>
      <c r="N743" s="27" t="n">
        <v>262</v>
      </c>
      <c r="O743" s="3" t="inlineStr">
        <is>
          <t>likely</t>
        </is>
      </c>
      <c r="P743" s="3" t="inlineStr">
        <is>
          <t>B200</t>
        </is>
      </c>
      <c r="Q743" s="3" t="inlineStr">
        <is>
          <t>epoch_user_site_equal_split_seed</t>
        </is>
      </c>
      <c r="R743" s="3" t="inlineStr">
        <is>
          <t>SRC_EPOCH_AI_DATA_CENTERS; EPOCH_NORMALIZED_USER_SITES</t>
        </is>
      </c>
      <c r="S743" s="3" t="inlineStr">
        <is>
          <t>Capacity weight is used only to weight accelerator mix, not to overwrite company total power in 02_Inputs.</t>
        </is>
      </c>
    </row>
    <row r="744">
      <c r="A744" s="3" t="inlineStr">
        <is>
          <t>Bull|OpenAI|2030|CoreWeave Denton TX</t>
        </is>
      </c>
      <c r="B744" s="3" t="inlineStr">
        <is>
          <t>Bull</t>
        </is>
      </c>
      <c r="C744" s="3" t="inlineStr">
        <is>
          <t>OpenAI</t>
        </is>
      </c>
      <c r="D744" s="3" t="n">
        <v>2030</v>
      </c>
      <c r="E744" s="3" t="inlineStr">
        <is>
          <t>CoreWeave Denton TX</t>
        </is>
      </c>
      <c r="F744" s="3" t="inlineStr">
        <is>
          <t>CoreWeave</t>
        </is>
      </c>
      <c r="G744" s="3" t="inlineStr">
        <is>
          <t>United States</t>
        </is>
      </c>
      <c r="H744" s="25" t="n">
        <v>262</v>
      </c>
      <c r="I744" s="17" t="n">
        <v>1</v>
      </c>
      <c r="J744" s="17" t="n">
        <v>0.86</v>
      </c>
      <c r="K744" s="26" t="n">
        <v>0.14</v>
      </c>
      <c r="L744" s="3" t="inlineStr">
        <is>
          <t>2026-06-30</t>
        </is>
      </c>
      <c r="M744" s="27" t="n">
        <v>262</v>
      </c>
      <c r="N744" s="27" t="n">
        <v>262</v>
      </c>
      <c r="O744" s="3" t="inlineStr">
        <is>
          <t>likely</t>
        </is>
      </c>
      <c r="P744" s="3" t="inlineStr">
        <is>
          <t>B200</t>
        </is>
      </c>
      <c r="Q744" s="3" t="inlineStr">
        <is>
          <t>epoch_user_site_equal_split_seed</t>
        </is>
      </c>
      <c r="R744" s="3" t="inlineStr">
        <is>
          <t>SRC_EPOCH_AI_DATA_CENTERS; EPOCH_NORMALIZED_USER_SITES</t>
        </is>
      </c>
      <c r="S744" s="3" t="inlineStr">
        <is>
          <t>Capacity weight is used only to weight accelerator mix, not to overwrite company total power in 02_Inputs.</t>
        </is>
      </c>
    </row>
    <row r="745">
      <c r="A745" s="3" t="inlineStr">
        <is>
          <t>Grid-Constrained / Efficiency-Upside|OpenAI|2026|CoreWeave Denton TX</t>
        </is>
      </c>
      <c r="B745" s="3" t="inlineStr">
        <is>
          <t>Grid-Constrained / Efficiency-Upside</t>
        </is>
      </c>
      <c r="C745" s="3" t="inlineStr">
        <is>
          <t>OpenAI</t>
        </is>
      </c>
      <c r="D745" s="3" t="n">
        <v>2026</v>
      </c>
      <c r="E745" s="3" t="inlineStr">
        <is>
          <t>CoreWeave Denton TX</t>
        </is>
      </c>
      <c r="F745" s="3" t="inlineStr">
        <is>
          <t>CoreWeave</t>
        </is>
      </c>
      <c r="G745" s="3" t="inlineStr">
        <is>
          <t>United States</t>
        </is>
      </c>
      <c r="H745" s="25" t="n">
        <v>262</v>
      </c>
      <c r="I745" s="17" t="n">
        <v>1</v>
      </c>
      <c r="J745" s="17" t="n">
        <v>0.6</v>
      </c>
      <c r="K745" s="26" t="n">
        <v>0.4</v>
      </c>
      <c r="L745" s="3" t="inlineStr">
        <is>
          <t>2026-06-30</t>
        </is>
      </c>
      <c r="M745" s="27" t="n">
        <v>262</v>
      </c>
      <c r="N745" s="27" t="n">
        <v>262</v>
      </c>
      <c r="O745" s="3" t="inlineStr">
        <is>
          <t>likely</t>
        </is>
      </c>
      <c r="P745" s="3" t="inlineStr">
        <is>
          <t>B200</t>
        </is>
      </c>
      <c r="Q745" s="3" t="inlineStr">
        <is>
          <t>epoch_user_site_equal_split_seed</t>
        </is>
      </c>
      <c r="R745" s="3" t="inlineStr">
        <is>
          <t>SRC_EPOCH_AI_DATA_CENTERS; EPOCH_NORMALIZED_USER_SITES</t>
        </is>
      </c>
      <c r="S745" s="3" t="inlineStr">
        <is>
          <t>Capacity weight is used only to weight accelerator mix, not to overwrite company total power in 02_Inputs.</t>
        </is>
      </c>
    </row>
    <row r="746">
      <c r="A746" s="3" t="inlineStr">
        <is>
          <t>Grid-Constrained / Efficiency-Upside|OpenAI|2027|CoreWeave Denton TX</t>
        </is>
      </c>
      <c r="B746" s="3" t="inlineStr">
        <is>
          <t>Grid-Constrained / Efficiency-Upside</t>
        </is>
      </c>
      <c r="C746" s="3" t="inlineStr">
        <is>
          <t>OpenAI</t>
        </is>
      </c>
      <c r="D746" s="3" t="n">
        <v>2027</v>
      </c>
      <c r="E746" s="3" t="inlineStr">
        <is>
          <t>CoreWeave Denton TX</t>
        </is>
      </c>
      <c r="F746" s="3" t="inlineStr">
        <is>
          <t>CoreWeave</t>
        </is>
      </c>
      <c r="G746" s="3" t="inlineStr">
        <is>
          <t>United States</t>
        </is>
      </c>
      <c r="H746" s="25" t="n">
        <v>262</v>
      </c>
      <c r="I746" s="17" t="n">
        <v>1</v>
      </c>
      <c r="J746" s="17" t="n">
        <v>0.655</v>
      </c>
      <c r="K746" s="26" t="n">
        <v>0.345</v>
      </c>
      <c r="L746" s="3" t="inlineStr">
        <is>
          <t>2026-06-30</t>
        </is>
      </c>
      <c r="M746" s="27" t="n">
        <v>262</v>
      </c>
      <c r="N746" s="27" t="n">
        <v>262</v>
      </c>
      <c r="O746" s="3" t="inlineStr">
        <is>
          <t>likely</t>
        </is>
      </c>
      <c r="P746" s="3" t="inlineStr">
        <is>
          <t>B200</t>
        </is>
      </c>
      <c r="Q746" s="3" t="inlineStr">
        <is>
          <t>epoch_user_site_equal_split_seed</t>
        </is>
      </c>
      <c r="R746" s="3" t="inlineStr">
        <is>
          <t>SRC_EPOCH_AI_DATA_CENTERS; EPOCH_NORMALIZED_USER_SITES</t>
        </is>
      </c>
      <c r="S746" s="3" t="inlineStr">
        <is>
          <t>Capacity weight is used only to weight accelerator mix, not to overwrite company total power in 02_Inputs.</t>
        </is>
      </c>
    </row>
    <row r="747">
      <c r="A747" s="3" t="inlineStr">
        <is>
          <t>Grid-Constrained / Efficiency-Upside|OpenAI|2028|CoreWeave Denton TX</t>
        </is>
      </c>
      <c r="B747" s="3" t="inlineStr">
        <is>
          <t>Grid-Constrained / Efficiency-Upside</t>
        </is>
      </c>
      <c r="C747" s="3" t="inlineStr">
        <is>
          <t>OpenAI</t>
        </is>
      </c>
      <c r="D747" s="3" t="n">
        <v>2028</v>
      </c>
      <c r="E747" s="3" t="inlineStr">
        <is>
          <t>CoreWeave Denton TX</t>
        </is>
      </c>
      <c r="F747" s="3" t="inlineStr">
        <is>
          <t>CoreWeave</t>
        </is>
      </c>
      <c r="G747" s="3" t="inlineStr">
        <is>
          <t>United States</t>
        </is>
      </c>
      <c r="H747" s="25" t="n">
        <v>262</v>
      </c>
      <c r="I747" s="17" t="n">
        <v>1</v>
      </c>
      <c r="J747" s="17" t="n">
        <v>0.71</v>
      </c>
      <c r="K747" s="26" t="n">
        <v>0.29</v>
      </c>
      <c r="L747" s="3" t="inlineStr">
        <is>
          <t>2026-06-30</t>
        </is>
      </c>
      <c r="M747" s="27" t="n">
        <v>262</v>
      </c>
      <c r="N747" s="27" t="n">
        <v>262</v>
      </c>
      <c r="O747" s="3" t="inlineStr">
        <is>
          <t>likely</t>
        </is>
      </c>
      <c r="P747" s="3" t="inlineStr">
        <is>
          <t>B200</t>
        </is>
      </c>
      <c r="Q747" s="3" t="inlineStr">
        <is>
          <t>epoch_user_site_equal_split_seed</t>
        </is>
      </c>
      <c r="R747" s="3" t="inlineStr">
        <is>
          <t>SRC_EPOCH_AI_DATA_CENTERS; EPOCH_NORMALIZED_USER_SITES</t>
        </is>
      </c>
      <c r="S747" s="3" t="inlineStr">
        <is>
          <t>Capacity weight is used only to weight accelerator mix, not to overwrite company total power in 02_Inputs.</t>
        </is>
      </c>
    </row>
    <row r="748">
      <c r="A748" s="3" t="inlineStr">
        <is>
          <t>Grid-Constrained / Efficiency-Upside|OpenAI|2029|CoreWeave Denton TX</t>
        </is>
      </c>
      <c r="B748" s="3" t="inlineStr">
        <is>
          <t>Grid-Constrained / Efficiency-Upside</t>
        </is>
      </c>
      <c r="C748" s="3" t="inlineStr">
        <is>
          <t>OpenAI</t>
        </is>
      </c>
      <c r="D748" s="3" t="n">
        <v>2029</v>
      </c>
      <c r="E748" s="3" t="inlineStr">
        <is>
          <t>CoreWeave Denton TX</t>
        </is>
      </c>
      <c r="F748" s="3" t="inlineStr">
        <is>
          <t>CoreWeave</t>
        </is>
      </c>
      <c r="G748" s="3" t="inlineStr">
        <is>
          <t>United States</t>
        </is>
      </c>
      <c r="H748" s="25" t="n">
        <v>262</v>
      </c>
      <c r="I748" s="17" t="n">
        <v>1</v>
      </c>
      <c r="J748" s="17" t="n">
        <v>0.765</v>
      </c>
      <c r="K748" s="26" t="n">
        <v>0.235</v>
      </c>
      <c r="L748" s="3" t="inlineStr">
        <is>
          <t>2026-06-30</t>
        </is>
      </c>
      <c r="M748" s="27" t="n">
        <v>262</v>
      </c>
      <c r="N748" s="27" t="n">
        <v>262</v>
      </c>
      <c r="O748" s="3" t="inlineStr">
        <is>
          <t>likely</t>
        </is>
      </c>
      <c r="P748" s="3" t="inlineStr">
        <is>
          <t>B200</t>
        </is>
      </c>
      <c r="Q748" s="3" t="inlineStr">
        <is>
          <t>epoch_user_site_equal_split_seed</t>
        </is>
      </c>
      <c r="R748" s="3" t="inlineStr">
        <is>
          <t>SRC_EPOCH_AI_DATA_CENTERS; EPOCH_NORMALIZED_USER_SITES</t>
        </is>
      </c>
      <c r="S748" s="3" t="inlineStr">
        <is>
          <t>Capacity weight is used only to weight accelerator mix, not to overwrite company total power in 02_Inputs.</t>
        </is>
      </c>
    </row>
    <row r="749">
      <c r="A749" s="3" t="inlineStr">
        <is>
          <t>Grid-Constrained / Efficiency-Upside|OpenAI|2030|CoreWeave Denton TX</t>
        </is>
      </c>
      <c r="B749" s="3" t="inlineStr">
        <is>
          <t>Grid-Constrained / Efficiency-Upside</t>
        </is>
      </c>
      <c r="C749" s="3" t="inlineStr">
        <is>
          <t>OpenAI</t>
        </is>
      </c>
      <c r="D749" s="3" t="n">
        <v>2030</v>
      </c>
      <c r="E749" s="3" t="inlineStr">
        <is>
          <t>CoreWeave Denton TX</t>
        </is>
      </c>
      <c r="F749" s="3" t="inlineStr">
        <is>
          <t>CoreWeave</t>
        </is>
      </c>
      <c r="G749" s="3" t="inlineStr">
        <is>
          <t>United States</t>
        </is>
      </c>
      <c r="H749" s="25" t="n">
        <v>262</v>
      </c>
      <c r="I749" s="17" t="n">
        <v>1</v>
      </c>
      <c r="J749" s="17" t="n">
        <v>0.82</v>
      </c>
      <c r="K749" s="26" t="n">
        <v>0.18</v>
      </c>
      <c r="L749" s="3" t="inlineStr">
        <is>
          <t>2026-06-30</t>
        </is>
      </c>
      <c r="M749" s="27" t="n">
        <v>262</v>
      </c>
      <c r="N749" s="27" t="n">
        <v>262</v>
      </c>
      <c r="O749" s="3" t="inlineStr">
        <is>
          <t>likely</t>
        </is>
      </c>
      <c r="P749" s="3" t="inlineStr">
        <is>
          <t>B200</t>
        </is>
      </c>
      <c r="Q749" s="3" t="inlineStr">
        <is>
          <t>epoch_user_site_equal_split_seed</t>
        </is>
      </c>
      <c r="R749" s="3" t="inlineStr">
        <is>
          <t>SRC_EPOCH_AI_DATA_CENTERS; EPOCH_NORMALIZED_USER_SITES</t>
        </is>
      </c>
      <c r="S749" s="3" t="inlineStr">
        <is>
          <t>Capacity weight is used only to weight accelerator mix, not to overwrite company total power in 02_Inputs.</t>
        </is>
      </c>
    </row>
    <row r="750">
      <c r="A750" s="3" t="inlineStr">
        <is>
          <t>Bear|OpenAI|2026|CoreWeave Ellendale ND</t>
        </is>
      </c>
      <c r="B750" s="3" t="inlineStr">
        <is>
          <t>Bear</t>
        </is>
      </c>
      <c r="C750" s="3" t="inlineStr">
        <is>
          <t>OpenAI</t>
        </is>
      </c>
      <c r="D750" s="3" t="n">
        <v>2026</v>
      </c>
      <c r="E750" s="3" t="inlineStr">
        <is>
          <t>CoreWeave Ellendale ND</t>
        </is>
      </c>
      <c r="F750" s="3" t="inlineStr">
        <is>
          <t>CoreWeave</t>
        </is>
      </c>
      <c r="G750" s="3" t="inlineStr">
        <is>
          <t>United States</t>
        </is>
      </c>
      <c r="H750" s="25" t="n">
        <v>68</v>
      </c>
      <c r="I750" s="17" t="n">
        <v>1</v>
      </c>
      <c r="J750" s="17" t="n">
        <v>0.5</v>
      </c>
      <c r="K750" s="26" t="n">
        <v>0.5</v>
      </c>
      <c r="L750" s="3" t="inlineStr">
        <is>
          <t>2027-06-01</t>
        </is>
      </c>
      <c r="M750" s="27" t="n">
        <v>68</v>
      </c>
      <c r="N750" s="27" t="n">
        <v>400</v>
      </c>
      <c r="O750" s="3" t="inlineStr">
        <is>
          <t>speculative</t>
        </is>
      </c>
      <c r="P750" s="3" t="inlineStr">
        <is>
          <t>B200</t>
        </is>
      </c>
      <c r="Q750" s="3" t="inlineStr">
        <is>
          <t>epoch_user_site_equal_split_seed</t>
        </is>
      </c>
      <c r="R750" s="3" t="inlineStr">
        <is>
          <t>SRC_EPOCH_AI_DATA_CENTERS; EPOCH_NORMALIZED_USER_SITES</t>
        </is>
      </c>
      <c r="S750" s="3" t="inlineStr">
        <is>
          <t>Capacity weight is used only to weight accelerator mix, not to overwrite company total power in 02_Inputs.</t>
        </is>
      </c>
    </row>
    <row r="751">
      <c r="A751" s="3" t="inlineStr">
        <is>
          <t>Bear|OpenAI|2027|CoreWeave Ellendale ND</t>
        </is>
      </c>
      <c r="B751" s="3" t="inlineStr">
        <is>
          <t>Bear</t>
        </is>
      </c>
      <c r="C751" s="3" t="inlineStr">
        <is>
          <t>OpenAI</t>
        </is>
      </c>
      <c r="D751" s="3" t="n">
        <v>2027</v>
      </c>
      <c r="E751" s="3" t="inlineStr">
        <is>
          <t>CoreWeave Ellendale ND</t>
        </is>
      </c>
      <c r="F751" s="3" t="inlineStr">
        <is>
          <t>CoreWeave</t>
        </is>
      </c>
      <c r="G751" s="3" t="inlineStr">
        <is>
          <t>United States</t>
        </is>
      </c>
      <c r="H751" s="25" t="n">
        <v>400</v>
      </c>
      <c r="I751" s="17" t="n">
        <v>1</v>
      </c>
      <c r="J751" s="17" t="n">
        <v>0.545</v>
      </c>
      <c r="K751" s="26" t="n">
        <v>0.455</v>
      </c>
      <c r="L751" s="3" t="inlineStr">
        <is>
          <t>2027-06-01</t>
        </is>
      </c>
      <c r="M751" s="27" t="n">
        <v>68</v>
      </c>
      <c r="N751" s="27" t="n">
        <v>400</v>
      </c>
      <c r="O751" s="3" t="inlineStr">
        <is>
          <t>speculative</t>
        </is>
      </c>
      <c r="P751" s="3" t="inlineStr">
        <is>
          <t>B200</t>
        </is>
      </c>
      <c r="Q751" s="3" t="inlineStr">
        <is>
          <t>epoch_user_site_equal_split_seed</t>
        </is>
      </c>
      <c r="R751" s="3" t="inlineStr">
        <is>
          <t>SRC_EPOCH_AI_DATA_CENTERS; EPOCH_NORMALIZED_USER_SITES</t>
        </is>
      </c>
      <c r="S751" s="3" t="inlineStr">
        <is>
          <t>Capacity weight is used only to weight accelerator mix, not to overwrite company total power in 02_Inputs.</t>
        </is>
      </c>
    </row>
    <row r="752">
      <c r="A752" s="3" t="inlineStr">
        <is>
          <t>Bear|OpenAI|2028|CoreWeave Ellendale ND</t>
        </is>
      </c>
      <c r="B752" s="3" t="inlineStr">
        <is>
          <t>Bear</t>
        </is>
      </c>
      <c r="C752" s="3" t="inlineStr">
        <is>
          <t>OpenAI</t>
        </is>
      </c>
      <c r="D752" s="3" t="n">
        <v>2028</v>
      </c>
      <c r="E752" s="3" t="inlineStr">
        <is>
          <t>CoreWeave Ellendale ND</t>
        </is>
      </c>
      <c r="F752" s="3" t="inlineStr">
        <is>
          <t>CoreWeave</t>
        </is>
      </c>
      <c r="G752" s="3" t="inlineStr">
        <is>
          <t>United States</t>
        </is>
      </c>
      <c r="H752" s="25" t="n">
        <v>400</v>
      </c>
      <c r="I752" s="17" t="n">
        <v>1</v>
      </c>
      <c r="J752" s="17" t="n">
        <v>0.59</v>
      </c>
      <c r="K752" s="26" t="n">
        <v>0.41</v>
      </c>
      <c r="L752" s="3" t="inlineStr">
        <is>
          <t>2027-06-01</t>
        </is>
      </c>
      <c r="M752" s="27" t="n">
        <v>68</v>
      </c>
      <c r="N752" s="27" t="n">
        <v>400</v>
      </c>
      <c r="O752" s="3" t="inlineStr">
        <is>
          <t>speculative</t>
        </is>
      </c>
      <c r="P752" s="3" t="inlineStr">
        <is>
          <t>B200</t>
        </is>
      </c>
      <c r="Q752" s="3" t="inlineStr">
        <is>
          <t>epoch_user_site_equal_split_seed</t>
        </is>
      </c>
      <c r="R752" s="3" t="inlineStr">
        <is>
          <t>SRC_EPOCH_AI_DATA_CENTERS; EPOCH_NORMALIZED_USER_SITES</t>
        </is>
      </c>
      <c r="S752" s="3" t="inlineStr">
        <is>
          <t>Capacity weight is used only to weight accelerator mix, not to overwrite company total power in 02_Inputs.</t>
        </is>
      </c>
    </row>
    <row r="753">
      <c r="A753" s="3" t="inlineStr">
        <is>
          <t>Bear|OpenAI|2029|CoreWeave Ellendale ND</t>
        </is>
      </c>
      <c r="B753" s="3" t="inlineStr">
        <is>
          <t>Bear</t>
        </is>
      </c>
      <c r="C753" s="3" t="inlineStr">
        <is>
          <t>OpenAI</t>
        </is>
      </c>
      <c r="D753" s="3" t="n">
        <v>2029</v>
      </c>
      <c r="E753" s="3" t="inlineStr">
        <is>
          <t>CoreWeave Ellendale ND</t>
        </is>
      </c>
      <c r="F753" s="3" t="inlineStr">
        <is>
          <t>CoreWeave</t>
        </is>
      </c>
      <c r="G753" s="3" t="inlineStr">
        <is>
          <t>United States</t>
        </is>
      </c>
      <c r="H753" s="25" t="n">
        <v>400</v>
      </c>
      <c r="I753" s="17" t="n">
        <v>1</v>
      </c>
      <c r="J753" s="17" t="n">
        <v>0.635</v>
      </c>
      <c r="K753" s="26" t="n">
        <v>0.365</v>
      </c>
      <c r="L753" s="3" t="inlineStr">
        <is>
          <t>2027-06-01</t>
        </is>
      </c>
      <c r="M753" s="27" t="n">
        <v>68</v>
      </c>
      <c r="N753" s="27" t="n">
        <v>400</v>
      </c>
      <c r="O753" s="3" t="inlineStr">
        <is>
          <t>speculative</t>
        </is>
      </c>
      <c r="P753" s="3" t="inlineStr">
        <is>
          <t>B200</t>
        </is>
      </c>
      <c r="Q753" s="3" t="inlineStr">
        <is>
          <t>epoch_user_site_equal_split_seed</t>
        </is>
      </c>
      <c r="R753" s="3" t="inlineStr">
        <is>
          <t>SRC_EPOCH_AI_DATA_CENTERS; EPOCH_NORMALIZED_USER_SITES</t>
        </is>
      </c>
      <c r="S753" s="3" t="inlineStr">
        <is>
          <t>Capacity weight is used only to weight accelerator mix, not to overwrite company total power in 02_Inputs.</t>
        </is>
      </c>
    </row>
    <row r="754">
      <c r="A754" s="3" t="inlineStr">
        <is>
          <t>Bear|OpenAI|2030|CoreWeave Ellendale ND</t>
        </is>
      </c>
      <c r="B754" s="3" t="inlineStr">
        <is>
          <t>Bear</t>
        </is>
      </c>
      <c r="C754" s="3" t="inlineStr">
        <is>
          <t>OpenAI</t>
        </is>
      </c>
      <c r="D754" s="3" t="n">
        <v>2030</v>
      </c>
      <c r="E754" s="3" t="inlineStr">
        <is>
          <t>CoreWeave Ellendale ND</t>
        </is>
      </c>
      <c r="F754" s="3" t="inlineStr">
        <is>
          <t>CoreWeave</t>
        </is>
      </c>
      <c r="G754" s="3" t="inlineStr">
        <is>
          <t>United States</t>
        </is>
      </c>
      <c r="H754" s="25" t="n">
        <v>400</v>
      </c>
      <c r="I754" s="17" t="n">
        <v>1</v>
      </c>
      <c r="J754" s="17" t="n">
        <v>0.68</v>
      </c>
      <c r="K754" s="26" t="n">
        <v>0.32</v>
      </c>
      <c r="L754" s="3" t="inlineStr">
        <is>
          <t>2027-06-01</t>
        </is>
      </c>
      <c r="M754" s="27" t="n">
        <v>68</v>
      </c>
      <c r="N754" s="27" t="n">
        <v>400</v>
      </c>
      <c r="O754" s="3" t="inlineStr">
        <is>
          <t>speculative</t>
        </is>
      </c>
      <c r="P754" s="3" t="inlineStr">
        <is>
          <t>B200</t>
        </is>
      </c>
      <c r="Q754" s="3" t="inlineStr">
        <is>
          <t>epoch_user_site_equal_split_seed</t>
        </is>
      </c>
      <c r="R754" s="3" t="inlineStr">
        <is>
          <t>SRC_EPOCH_AI_DATA_CENTERS; EPOCH_NORMALIZED_USER_SITES</t>
        </is>
      </c>
      <c r="S754" s="3" t="inlineStr">
        <is>
          <t>Capacity weight is used only to weight accelerator mix, not to overwrite company total power in 02_Inputs.</t>
        </is>
      </c>
    </row>
    <row r="755">
      <c r="A755" s="3" t="inlineStr">
        <is>
          <t>Base|OpenAI|2026|CoreWeave Ellendale ND</t>
        </is>
      </c>
      <c r="B755" s="3" t="inlineStr">
        <is>
          <t>Base</t>
        </is>
      </c>
      <c r="C755" s="3" t="inlineStr">
        <is>
          <t>OpenAI</t>
        </is>
      </c>
      <c r="D755" s="3" t="n">
        <v>2026</v>
      </c>
      <c r="E755" s="3" t="inlineStr">
        <is>
          <t>CoreWeave Ellendale ND</t>
        </is>
      </c>
      <c r="F755" s="3" t="inlineStr">
        <is>
          <t>CoreWeave</t>
        </is>
      </c>
      <c r="G755" s="3" t="inlineStr">
        <is>
          <t>United States</t>
        </is>
      </c>
      <c r="H755" s="25" t="n">
        <v>68</v>
      </c>
      <c r="I755" s="17" t="n">
        <v>1</v>
      </c>
      <c r="J755" s="17" t="n">
        <v>0.58</v>
      </c>
      <c r="K755" s="26" t="n">
        <v>0.42</v>
      </c>
      <c r="L755" s="3" t="inlineStr">
        <is>
          <t>2027-06-01</t>
        </is>
      </c>
      <c r="M755" s="27" t="n">
        <v>68</v>
      </c>
      <c r="N755" s="27" t="n">
        <v>400</v>
      </c>
      <c r="O755" s="3" t="inlineStr">
        <is>
          <t>speculative</t>
        </is>
      </c>
      <c r="P755" s="3" t="inlineStr">
        <is>
          <t>B200</t>
        </is>
      </c>
      <c r="Q755" s="3" t="inlineStr">
        <is>
          <t>epoch_user_site_equal_split_seed</t>
        </is>
      </c>
      <c r="R755" s="3" t="inlineStr">
        <is>
          <t>SRC_EPOCH_AI_DATA_CENTERS; EPOCH_NORMALIZED_USER_SITES</t>
        </is>
      </c>
      <c r="S755" s="3" t="inlineStr">
        <is>
          <t>Capacity weight is used only to weight accelerator mix, not to overwrite company total power in 02_Inputs.</t>
        </is>
      </c>
    </row>
    <row r="756">
      <c r="A756" s="3" t="inlineStr">
        <is>
          <t>Base|OpenAI|2027|CoreWeave Ellendale ND</t>
        </is>
      </c>
      <c r="B756" s="3" t="inlineStr">
        <is>
          <t>Base</t>
        </is>
      </c>
      <c r="C756" s="3" t="inlineStr">
        <is>
          <t>OpenAI</t>
        </is>
      </c>
      <c r="D756" s="3" t="n">
        <v>2027</v>
      </c>
      <c r="E756" s="3" t="inlineStr">
        <is>
          <t>CoreWeave Ellendale ND</t>
        </is>
      </c>
      <c r="F756" s="3" t="inlineStr">
        <is>
          <t>CoreWeave</t>
        </is>
      </c>
      <c r="G756" s="3" t="inlineStr">
        <is>
          <t>United States</t>
        </is>
      </c>
      <c r="H756" s="25" t="n">
        <v>400</v>
      </c>
      <c r="I756" s="17" t="n">
        <v>1</v>
      </c>
      <c r="J756" s="17" t="n">
        <v>0.63</v>
      </c>
      <c r="K756" s="26" t="n">
        <v>0.37</v>
      </c>
      <c r="L756" s="3" t="inlineStr">
        <is>
          <t>2027-06-01</t>
        </is>
      </c>
      <c r="M756" s="27" t="n">
        <v>68</v>
      </c>
      <c r="N756" s="27" t="n">
        <v>400</v>
      </c>
      <c r="O756" s="3" t="inlineStr">
        <is>
          <t>speculative</t>
        </is>
      </c>
      <c r="P756" s="3" t="inlineStr">
        <is>
          <t>B200</t>
        </is>
      </c>
      <c r="Q756" s="3" t="inlineStr">
        <is>
          <t>epoch_user_site_equal_split_seed</t>
        </is>
      </c>
      <c r="R756" s="3" t="inlineStr">
        <is>
          <t>SRC_EPOCH_AI_DATA_CENTERS; EPOCH_NORMALIZED_USER_SITES</t>
        </is>
      </c>
      <c r="S756" s="3" t="inlineStr">
        <is>
          <t>Capacity weight is used only to weight accelerator mix, not to overwrite company total power in 02_Inputs.</t>
        </is>
      </c>
    </row>
    <row r="757">
      <c r="A757" s="3" t="inlineStr">
        <is>
          <t>Base|OpenAI|2028|CoreWeave Ellendale ND</t>
        </is>
      </c>
      <c r="B757" s="3" t="inlineStr">
        <is>
          <t>Base</t>
        </is>
      </c>
      <c r="C757" s="3" t="inlineStr">
        <is>
          <t>OpenAI</t>
        </is>
      </c>
      <c r="D757" s="3" t="n">
        <v>2028</v>
      </c>
      <c r="E757" s="3" t="inlineStr">
        <is>
          <t>CoreWeave Ellendale ND</t>
        </is>
      </c>
      <c r="F757" s="3" t="inlineStr">
        <is>
          <t>CoreWeave</t>
        </is>
      </c>
      <c r="G757" s="3" t="inlineStr">
        <is>
          <t>United States</t>
        </is>
      </c>
      <c r="H757" s="25" t="n">
        <v>400</v>
      </c>
      <c r="I757" s="17" t="n">
        <v>1</v>
      </c>
      <c r="J757" s="17" t="n">
        <v>0.68</v>
      </c>
      <c r="K757" s="26" t="n">
        <v>0.32</v>
      </c>
      <c r="L757" s="3" t="inlineStr">
        <is>
          <t>2027-06-01</t>
        </is>
      </c>
      <c r="M757" s="27" t="n">
        <v>68</v>
      </c>
      <c r="N757" s="27" t="n">
        <v>400</v>
      </c>
      <c r="O757" s="3" t="inlineStr">
        <is>
          <t>speculative</t>
        </is>
      </c>
      <c r="P757" s="3" t="inlineStr">
        <is>
          <t>B200</t>
        </is>
      </c>
      <c r="Q757" s="3" t="inlineStr">
        <is>
          <t>epoch_user_site_equal_split_seed</t>
        </is>
      </c>
      <c r="R757" s="3" t="inlineStr">
        <is>
          <t>SRC_EPOCH_AI_DATA_CENTERS; EPOCH_NORMALIZED_USER_SITES</t>
        </is>
      </c>
      <c r="S757" s="3" t="inlineStr">
        <is>
          <t>Capacity weight is used only to weight accelerator mix, not to overwrite company total power in 02_Inputs.</t>
        </is>
      </c>
    </row>
    <row r="758">
      <c r="A758" s="3" t="inlineStr">
        <is>
          <t>Base|OpenAI|2029|CoreWeave Ellendale ND</t>
        </is>
      </c>
      <c r="B758" s="3" t="inlineStr">
        <is>
          <t>Base</t>
        </is>
      </c>
      <c r="C758" s="3" t="inlineStr">
        <is>
          <t>OpenAI</t>
        </is>
      </c>
      <c r="D758" s="3" t="n">
        <v>2029</v>
      </c>
      <c r="E758" s="3" t="inlineStr">
        <is>
          <t>CoreWeave Ellendale ND</t>
        </is>
      </c>
      <c r="F758" s="3" t="inlineStr">
        <is>
          <t>CoreWeave</t>
        </is>
      </c>
      <c r="G758" s="3" t="inlineStr">
        <is>
          <t>United States</t>
        </is>
      </c>
      <c r="H758" s="25" t="n">
        <v>400</v>
      </c>
      <c r="I758" s="17" t="n">
        <v>1</v>
      </c>
      <c r="J758" s="17" t="n">
        <v>0.73</v>
      </c>
      <c r="K758" s="26" t="n">
        <v>0.27</v>
      </c>
      <c r="L758" s="3" t="inlineStr">
        <is>
          <t>2027-06-01</t>
        </is>
      </c>
      <c r="M758" s="27" t="n">
        <v>68</v>
      </c>
      <c r="N758" s="27" t="n">
        <v>400</v>
      </c>
      <c r="O758" s="3" t="inlineStr">
        <is>
          <t>speculative</t>
        </is>
      </c>
      <c r="P758" s="3" t="inlineStr">
        <is>
          <t>B200</t>
        </is>
      </c>
      <c r="Q758" s="3" t="inlineStr">
        <is>
          <t>epoch_user_site_equal_split_seed</t>
        </is>
      </c>
      <c r="R758" s="3" t="inlineStr">
        <is>
          <t>SRC_EPOCH_AI_DATA_CENTERS; EPOCH_NORMALIZED_USER_SITES</t>
        </is>
      </c>
      <c r="S758" s="3" t="inlineStr">
        <is>
          <t>Capacity weight is used only to weight accelerator mix, not to overwrite company total power in 02_Inputs.</t>
        </is>
      </c>
    </row>
    <row r="759">
      <c r="A759" s="3" t="inlineStr">
        <is>
          <t>Base|OpenAI|2030|CoreWeave Ellendale ND</t>
        </is>
      </c>
      <c r="B759" s="3" t="inlineStr">
        <is>
          <t>Base</t>
        </is>
      </c>
      <c r="C759" s="3" t="inlineStr">
        <is>
          <t>OpenAI</t>
        </is>
      </c>
      <c r="D759" s="3" t="n">
        <v>2030</v>
      </c>
      <c r="E759" s="3" t="inlineStr">
        <is>
          <t>CoreWeave Ellendale ND</t>
        </is>
      </c>
      <c r="F759" s="3" t="inlineStr">
        <is>
          <t>CoreWeave</t>
        </is>
      </c>
      <c r="G759" s="3" t="inlineStr">
        <is>
          <t>United States</t>
        </is>
      </c>
      <c r="H759" s="25" t="n">
        <v>400</v>
      </c>
      <c r="I759" s="17" t="n">
        <v>1</v>
      </c>
      <c r="J759" s="17" t="n">
        <v>0.78</v>
      </c>
      <c r="K759" s="26" t="n">
        <v>0.22</v>
      </c>
      <c r="L759" s="3" t="inlineStr">
        <is>
          <t>2027-06-01</t>
        </is>
      </c>
      <c r="M759" s="27" t="n">
        <v>68</v>
      </c>
      <c r="N759" s="27" t="n">
        <v>400</v>
      </c>
      <c r="O759" s="3" t="inlineStr">
        <is>
          <t>speculative</t>
        </is>
      </c>
      <c r="P759" s="3" t="inlineStr">
        <is>
          <t>B200</t>
        </is>
      </c>
      <c r="Q759" s="3" t="inlineStr">
        <is>
          <t>epoch_user_site_equal_split_seed</t>
        </is>
      </c>
      <c r="R759" s="3" t="inlineStr">
        <is>
          <t>SRC_EPOCH_AI_DATA_CENTERS; EPOCH_NORMALIZED_USER_SITES</t>
        </is>
      </c>
      <c r="S759" s="3" t="inlineStr">
        <is>
          <t>Capacity weight is used only to weight accelerator mix, not to overwrite company total power in 02_Inputs.</t>
        </is>
      </c>
    </row>
    <row r="760">
      <c r="A760" s="3" t="inlineStr">
        <is>
          <t>Bull|OpenAI|2026|CoreWeave Ellendale ND</t>
        </is>
      </c>
      <c r="B760" s="3" t="inlineStr">
        <is>
          <t>Bull</t>
        </is>
      </c>
      <c r="C760" s="3" t="inlineStr">
        <is>
          <t>OpenAI</t>
        </is>
      </c>
      <c r="D760" s="3" t="n">
        <v>2026</v>
      </c>
      <c r="E760" s="3" t="inlineStr">
        <is>
          <t>CoreWeave Ellendale ND</t>
        </is>
      </c>
      <c r="F760" s="3" t="inlineStr">
        <is>
          <t>CoreWeave</t>
        </is>
      </c>
      <c r="G760" s="3" t="inlineStr">
        <is>
          <t>United States</t>
        </is>
      </c>
      <c r="H760" s="25" t="n">
        <v>68</v>
      </c>
      <c r="I760" s="17" t="n">
        <v>1</v>
      </c>
      <c r="J760" s="17" t="n">
        <v>0.63</v>
      </c>
      <c r="K760" s="26" t="n">
        <v>0.37</v>
      </c>
      <c r="L760" s="3" t="inlineStr">
        <is>
          <t>2027-06-01</t>
        </is>
      </c>
      <c r="M760" s="27" t="n">
        <v>68</v>
      </c>
      <c r="N760" s="27" t="n">
        <v>400</v>
      </c>
      <c r="O760" s="3" t="inlineStr">
        <is>
          <t>speculative</t>
        </is>
      </c>
      <c r="P760" s="3" t="inlineStr">
        <is>
          <t>B200</t>
        </is>
      </c>
      <c r="Q760" s="3" t="inlineStr">
        <is>
          <t>epoch_user_site_equal_split_seed</t>
        </is>
      </c>
      <c r="R760" s="3" t="inlineStr">
        <is>
          <t>SRC_EPOCH_AI_DATA_CENTERS; EPOCH_NORMALIZED_USER_SITES</t>
        </is>
      </c>
      <c r="S760" s="3" t="inlineStr">
        <is>
          <t>Capacity weight is used only to weight accelerator mix, not to overwrite company total power in 02_Inputs.</t>
        </is>
      </c>
    </row>
    <row r="761">
      <c r="A761" s="3" t="inlineStr">
        <is>
          <t>Bull|OpenAI|2027|CoreWeave Ellendale ND</t>
        </is>
      </c>
      <c r="B761" s="3" t="inlineStr">
        <is>
          <t>Bull</t>
        </is>
      </c>
      <c r="C761" s="3" t="inlineStr">
        <is>
          <t>OpenAI</t>
        </is>
      </c>
      <c r="D761" s="3" t="n">
        <v>2027</v>
      </c>
      <c r="E761" s="3" t="inlineStr">
        <is>
          <t>CoreWeave Ellendale ND</t>
        </is>
      </c>
      <c r="F761" s="3" t="inlineStr">
        <is>
          <t>CoreWeave</t>
        </is>
      </c>
      <c r="G761" s="3" t="inlineStr">
        <is>
          <t>United States</t>
        </is>
      </c>
      <c r="H761" s="25" t="n">
        <v>400</v>
      </c>
      <c r="I761" s="17" t="n">
        <v>1</v>
      </c>
      <c r="J761" s="17" t="n">
        <v>0.6879999999999999</v>
      </c>
      <c r="K761" s="26" t="n">
        <v>0.312</v>
      </c>
      <c r="L761" s="3" t="inlineStr">
        <is>
          <t>2027-06-01</t>
        </is>
      </c>
      <c r="M761" s="27" t="n">
        <v>68</v>
      </c>
      <c r="N761" s="27" t="n">
        <v>400</v>
      </c>
      <c r="O761" s="3" t="inlineStr">
        <is>
          <t>speculative</t>
        </is>
      </c>
      <c r="P761" s="3" t="inlineStr">
        <is>
          <t>B200</t>
        </is>
      </c>
      <c r="Q761" s="3" t="inlineStr">
        <is>
          <t>epoch_user_site_equal_split_seed</t>
        </is>
      </c>
      <c r="R761" s="3" t="inlineStr">
        <is>
          <t>SRC_EPOCH_AI_DATA_CENTERS; EPOCH_NORMALIZED_USER_SITES</t>
        </is>
      </c>
      <c r="S761" s="3" t="inlineStr">
        <is>
          <t>Capacity weight is used only to weight accelerator mix, not to overwrite company total power in 02_Inputs.</t>
        </is>
      </c>
    </row>
    <row r="762">
      <c r="A762" s="3" t="inlineStr">
        <is>
          <t>Bull|OpenAI|2028|CoreWeave Ellendale ND</t>
        </is>
      </c>
      <c r="B762" s="3" t="inlineStr">
        <is>
          <t>Bull</t>
        </is>
      </c>
      <c r="C762" s="3" t="inlineStr">
        <is>
          <t>OpenAI</t>
        </is>
      </c>
      <c r="D762" s="3" t="n">
        <v>2028</v>
      </c>
      <c r="E762" s="3" t="inlineStr">
        <is>
          <t>CoreWeave Ellendale ND</t>
        </is>
      </c>
      <c r="F762" s="3" t="inlineStr">
        <is>
          <t>CoreWeave</t>
        </is>
      </c>
      <c r="G762" s="3" t="inlineStr">
        <is>
          <t>United States</t>
        </is>
      </c>
      <c r="H762" s="25" t="n">
        <v>400</v>
      </c>
      <c r="I762" s="17" t="n">
        <v>1</v>
      </c>
      <c r="J762" s="17" t="n">
        <v>0.745</v>
      </c>
      <c r="K762" s="26" t="n">
        <v>0.255</v>
      </c>
      <c r="L762" s="3" t="inlineStr">
        <is>
          <t>2027-06-01</t>
        </is>
      </c>
      <c r="M762" s="27" t="n">
        <v>68</v>
      </c>
      <c r="N762" s="27" t="n">
        <v>400</v>
      </c>
      <c r="O762" s="3" t="inlineStr">
        <is>
          <t>speculative</t>
        </is>
      </c>
      <c r="P762" s="3" t="inlineStr">
        <is>
          <t>B200</t>
        </is>
      </c>
      <c r="Q762" s="3" t="inlineStr">
        <is>
          <t>epoch_user_site_equal_split_seed</t>
        </is>
      </c>
      <c r="R762" s="3" t="inlineStr">
        <is>
          <t>SRC_EPOCH_AI_DATA_CENTERS; EPOCH_NORMALIZED_USER_SITES</t>
        </is>
      </c>
      <c r="S762" s="3" t="inlineStr">
        <is>
          <t>Capacity weight is used only to weight accelerator mix, not to overwrite company total power in 02_Inputs.</t>
        </is>
      </c>
    </row>
    <row r="763">
      <c r="A763" s="3" t="inlineStr">
        <is>
          <t>Bull|OpenAI|2029|CoreWeave Ellendale ND</t>
        </is>
      </c>
      <c r="B763" s="3" t="inlineStr">
        <is>
          <t>Bull</t>
        </is>
      </c>
      <c r="C763" s="3" t="inlineStr">
        <is>
          <t>OpenAI</t>
        </is>
      </c>
      <c r="D763" s="3" t="n">
        <v>2029</v>
      </c>
      <c r="E763" s="3" t="inlineStr">
        <is>
          <t>CoreWeave Ellendale ND</t>
        </is>
      </c>
      <c r="F763" s="3" t="inlineStr">
        <is>
          <t>CoreWeave</t>
        </is>
      </c>
      <c r="G763" s="3" t="inlineStr">
        <is>
          <t>United States</t>
        </is>
      </c>
      <c r="H763" s="25" t="n">
        <v>400</v>
      </c>
      <c r="I763" s="17" t="n">
        <v>1</v>
      </c>
      <c r="J763" s="17" t="n">
        <v>0.802</v>
      </c>
      <c r="K763" s="26" t="n">
        <v>0.198</v>
      </c>
      <c r="L763" s="3" t="inlineStr">
        <is>
          <t>2027-06-01</t>
        </is>
      </c>
      <c r="M763" s="27" t="n">
        <v>68</v>
      </c>
      <c r="N763" s="27" t="n">
        <v>400</v>
      </c>
      <c r="O763" s="3" t="inlineStr">
        <is>
          <t>speculative</t>
        </is>
      </c>
      <c r="P763" s="3" t="inlineStr">
        <is>
          <t>B200</t>
        </is>
      </c>
      <c r="Q763" s="3" t="inlineStr">
        <is>
          <t>epoch_user_site_equal_split_seed</t>
        </is>
      </c>
      <c r="R763" s="3" t="inlineStr">
        <is>
          <t>SRC_EPOCH_AI_DATA_CENTERS; EPOCH_NORMALIZED_USER_SITES</t>
        </is>
      </c>
      <c r="S763" s="3" t="inlineStr">
        <is>
          <t>Capacity weight is used only to weight accelerator mix, not to overwrite company total power in 02_Inputs.</t>
        </is>
      </c>
    </row>
    <row r="764">
      <c r="A764" s="3" t="inlineStr">
        <is>
          <t>Bull|OpenAI|2030|CoreWeave Ellendale ND</t>
        </is>
      </c>
      <c r="B764" s="3" t="inlineStr">
        <is>
          <t>Bull</t>
        </is>
      </c>
      <c r="C764" s="3" t="inlineStr">
        <is>
          <t>OpenAI</t>
        </is>
      </c>
      <c r="D764" s="3" t="n">
        <v>2030</v>
      </c>
      <c r="E764" s="3" t="inlineStr">
        <is>
          <t>CoreWeave Ellendale ND</t>
        </is>
      </c>
      <c r="F764" s="3" t="inlineStr">
        <is>
          <t>CoreWeave</t>
        </is>
      </c>
      <c r="G764" s="3" t="inlineStr">
        <is>
          <t>United States</t>
        </is>
      </c>
      <c r="H764" s="25" t="n">
        <v>400</v>
      </c>
      <c r="I764" s="17" t="n">
        <v>1</v>
      </c>
      <c r="J764" s="17" t="n">
        <v>0.86</v>
      </c>
      <c r="K764" s="26" t="n">
        <v>0.14</v>
      </c>
      <c r="L764" s="3" t="inlineStr">
        <is>
          <t>2027-06-01</t>
        </is>
      </c>
      <c r="M764" s="27" t="n">
        <v>68</v>
      </c>
      <c r="N764" s="27" t="n">
        <v>400</v>
      </c>
      <c r="O764" s="3" t="inlineStr">
        <is>
          <t>speculative</t>
        </is>
      </c>
      <c r="P764" s="3" t="inlineStr">
        <is>
          <t>B200</t>
        </is>
      </c>
      <c r="Q764" s="3" t="inlineStr">
        <is>
          <t>epoch_user_site_equal_split_seed</t>
        </is>
      </c>
      <c r="R764" s="3" t="inlineStr">
        <is>
          <t>SRC_EPOCH_AI_DATA_CENTERS; EPOCH_NORMALIZED_USER_SITES</t>
        </is>
      </c>
      <c r="S764" s="3" t="inlineStr">
        <is>
          <t>Capacity weight is used only to weight accelerator mix, not to overwrite company total power in 02_Inputs.</t>
        </is>
      </c>
    </row>
    <row r="765">
      <c r="A765" s="3" t="inlineStr">
        <is>
          <t>Grid-Constrained / Efficiency-Upside|OpenAI|2026|CoreWeave Ellendale ND</t>
        </is>
      </c>
      <c r="B765" s="3" t="inlineStr">
        <is>
          <t>Grid-Constrained / Efficiency-Upside</t>
        </is>
      </c>
      <c r="C765" s="3" t="inlineStr">
        <is>
          <t>OpenAI</t>
        </is>
      </c>
      <c r="D765" s="3" t="n">
        <v>2026</v>
      </c>
      <c r="E765" s="3" t="inlineStr">
        <is>
          <t>CoreWeave Ellendale ND</t>
        </is>
      </c>
      <c r="F765" s="3" t="inlineStr">
        <is>
          <t>CoreWeave</t>
        </is>
      </c>
      <c r="G765" s="3" t="inlineStr">
        <is>
          <t>United States</t>
        </is>
      </c>
      <c r="H765" s="25" t="n">
        <v>68</v>
      </c>
      <c r="I765" s="17" t="n">
        <v>1</v>
      </c>
      <c r="J765" s="17" t="n">
        <v>0.6</v>
      </c>
      <c r="K765" s="26" t="n">
        <v>0.4</v>
      </c>
      <c r="L765" s="3" t="inlineStr">
        <is>
          <t>2027-06-01</t>
        </is>
      </c>
      <c r="M765" s="27" t="n">
        <v>68</v>
      </c>
      <c r="N765" s="27" t="n">
        <v>400</v>
      </c>
      <c r="O765" s="3" t="inlineStr">
        <is>
          <t>speculative</t>
        </is>
      </c>
      <c r="P765" s="3" t="inlineStr">
        <is>
          <t>B200</t>
        </is>
      </c>
      <c r="Q765" s="3" t="inlineStr">
        <is>
          <t>epoch_user_site_equal_split_seed</t>
        </is>
      </c>
      <c r="R765" s="3" t="inlineStr">
        <is>
          <t>SRC_EPOCH_AI_DATA_CENTERS; EPOCH_NORMALIZED_USER_SITES</t>
        </is>
      </c>
      <c r="S765" s="3" t="inlineStr">
        <is>
          <t>Capacity weight is used only to weight accelerator mix, not to overwrite company total power in 02_Inputs.</t>
        </is>
      </c>
    </row>
    <row r="766">
      <c r="A766" s="3" t="inlineStr">
        <is>
          <t>Grid-Constrained / Efficiency-Upside|OpenAI|2027|CoreWeave Ellendale ND</t>
        </is>
      </c>
      <c r="B766" s="3" t="inlineStr">
        <is>
          <t>Grid-Constrained / Efficiency-Upside</t>
        </is>
      </c>
      <c r="C766" s="3" t="inlineStr">
        <is>
          <t>OpenAI</t>
        </is>
      </c>
      <c r="D766" s="3" t="n">
        <v>2027</v>
      </c>
      <c r="E766" s="3" t="inlineStr">
        <is>
          <t>CoreWeave Ellendale ND</t>
        </is>
      </c>
      <c r="F766" s="3" t="inlineStr">
        <is>
          <t>CoreWeave</t>
        </is>
      </c>
      <c r="G766" s="3" t="inlineStr">
        <is>
          <t>United States</t>
        </is>
      </c>
      <c r="H766" s="25" t="n">
        <v>400</v>
      </c>
      <c r="I766" s="17" t="n">
        <v>1</v>
      </c>
      <c r="J766" s="17" t="n">
        <v>0.655</v>
      </c>
      <c r="K766" s="26" t="n">
        <v>0.345</v>
      </c>
      <c r="L766" s="3" t="inlineStr">
        <is>
          <t>2027-06-01</t>
        </is>
      </c>
      <c r="M766" s="27" t="n">
        <v>68</v>
      </c>
      <c r="N766" s="27" t="n">
        <v>400</v>
      </c>
      <c r="O766" s="3" t="inlineStr">
        <is>
          <t>speculative</t>
        </is>
      </c>
      <c r="P766" s="3" t="inlineStr">
        <is>
          <t>B200</t>
        </is>
      </c>
      <c r="Q766" s="3" t="inlineStr">
        <is>
          <t>epoch_user_site_equal_split_seed</t>
        </is>
      </c>
      <c r="R766" s="3" t="inlineStr">
        <is>
          <t>SRC_EPOCH_AI_DATA_CENTERS; EPOCH_NORMALIZED_USER_SITES</t>
        </is>
      </c>
      <c r="S766" s="3" t="inlineStr">
        <is>
          <t>Capacity weight is used only to weight accelerator mix, not to overwrite company total power in 02_Inputs.</t>
        </is>
      </c>
    </row>
    <row r="767">
      <c r="A767" s="3" t="inlineStr">
        <is>
          <t>Grid-Constrained / Efficiency-Upside|OpenAI|2028|CoreWeave Ellendale ND</t>
        </is>
      </c>
      <c r="B767" s="3" t="inlineStr">
        <is>
          <t>Grid-Constrained / Efficiency-Upside</t>
        </is>
      </c>
      <c r="C767" s="3" t="inlineStr">
        <is>
          <t>OpenAI</t>
        </is>
      </c>
      <c r="D767" s="3" t="n">
        <v>2028</v>
      </c>
      <c r="E767" s="3" t="inlineStr">
        <is>
          <t>CoreWeave Ellendale ND</t>
        </is>
      </c>
      <c r="F767" s="3" t="inlineStr">
        <is>
          <t>CoreWeave</t>
        </is>
      </c>
      <c r="G767" s="3" t="inlineStr">
        <is>
          <t>United States</t>
        </is>
      </c>
      <c r="H767" s="25" t="n">
        <v>400</v>
      </c>
      <c r="I767" s="17" t="n">
        <v>1</v>
      </c>
      <c r="J767" s="17" t="n">
        <v>0.71</v>
      </c>
      <c r="K767" s="26" t="n">
        <v>0.29</v>
      </c>
      <c r="L767" s="3" t="inlineStr">
        <is>
          <t>2027-06-01</t>
        </is>
      </c>
      <c r="M767" s="27" t="n">
        <v>68</v>
      </c>
      <c r="N767" s="27" t="n">
        <v>400</v>
      </c>
      <c r="O767" s="3" t="inlineStr">
        <is>
          <t>speculative</t>
        </is>
      </c>
      <c r="P767" s="3" t="inlineStr">
        <is>
          <t>B200</t>
        </is>
      </c>
      <c r="Q767" s="3" t="inlineStr">
        <is>
          <t>epoch_user_site_equal_split_seed</t>
        </is>
      </c>
      <c r="R767" s="3" t="inlineStr">
        <is>
          <t>SRC_EPOCH_AI_DATA_CENTERS; EPOCH_NORMALIZED_USER_SITES</t>
        </is>
      </c>
      <c r="S767" s="3" t="inlineStr">
        <is>
          <t>Capacity weight is used only to weight accelerator mix, not to overwrite company total power in 02_Inputs.</t>
        </is>
      </c>
    </row>
    <row r="768">
      <c r="A768" s="3" t="inlineStr">
        <is>
          <t>Grid-Constrained / Efficiency-Upside|OpenAI|2029|CoreWeave Ellendale ND</t>
        </is>
      </c>
      <c r="B768" s="3" t="inlineStr">
        <is>
          <t>Grid-Constrained / Efficiency-Upside</t>
        </is>
      </c>
      <c r="C768" s="3" t="inlineStr">
        <is>
          <t>OpenAI</t>
        </is>
      </c>
      <c r="D768" s="3" t="n">
        <v>2029</v>
      </c>
      <c r="E768" s="3" t="inlineStr">
        <is>
          <t>CoreWeave Ellendale ND</t>
        </is>
      </c>
      <c r="F768" s="3" t="inlineStr">
        <is>
          <t>CoreWeave</t>
        </is>
      </c>
      <c r="G768" s="3" t="inlineStr">
        <is>
          <t>United States</t>
        </is>
      </c>
      <c r="H768" s="25" t="n">
        <v>400</v>
      </c>
      <c r="I768" s="17" t="n">
        <v>1</v>
      </c>
      <c r="J768" s="17" t="n">
        <v>0.765</v>
      </c>
      <c r="K768" s="26" t="n">
        <v>0.235</v>
      </c>
      <c r="L768" s="3" t="inlineStr">
        <is>
          <t>2027-06-01</t>
        </is>
      </c>
      <c r="M768" s="27" t="n">
        <v>68</v>
      </c>
      <c r="N768" s="27" t="n">
        <v>400</v>
      </c>
      <c r="O768" s="3" t="inlineStr">
        <is>
          <t>speculative</t>
        </is>
      </c>
      <c r="P768" s="3" t="inlineStr">
        <is>
          <t>B200</t>
        </is>
      </c>
      <c r="Q768" s="3" t="inlineStr">
        <is>
          <t>epoch_user_site_equal_split_seed</t>
        </is>
      </c>
      <c r="R768" s="3" t="inlineStr">
        <is>
          <t>SRC_EPOCH_AI_DATA_CENTERS; EPOCH_NORMALIZED_USER_SITES</t>
        </is>
      </c>
      <c r="S768" s="3" t="inlineStr">
        <is>
          <t>Capacity weight is used only to weight accelerator mix, not to overwrite company total power in 02_Inputs.</t>
        </is>
      </c>
    </row>
    <row r="769">
      <c r="A769" s="3" t="inlineStr">
        <is>
          <t>Grid-Constrained / Efficiency-Upside|OpenAI|2030|CoreWeave Ellendale ND</t>
        </is>
      </c>
      <c r="B769" s="3" t="inlineStr">
        <is>
          <t>Grid-Constrained / Efficiency-Upside</t>
        </is>
      </c>
      <c r="C769" s="3" t="inlineStr">
        <is>
          <t>OpenAI</t>
        </is>
      </c>
      <c r="D769" s="3" t="n">
        <v>2030</v>
      </c>
      <c r="E769" s="3" t="inlineStr">
        <is>
          <t>CoreWeave Ellendale ND</t>
        </is>
      </c>
      <c r="F769" s="3" t="inlineStr">
        <is>
          <t>CoreWeave</t>
        </is>
      </c>
      <c r="G769" s="3" t="inlineStr">
        <is>
          <t>United States</t>
        </is>
      </c>
      <c r="H769" s="25" t="n">
        <v>400</v>
      </c>
      <c r="I769" s="17" t="n">
        <v>1</v>
      </c>
      <c r="J769" s="17" t="n">
        <v>0.82</v>
      </c>
      <c r="K769" s="26" t="n">
        <v>0.18</v>
      </c>
      <c r="L769" s="3" t="inlineStr">
        <is>
          <t>2027-06-01</t>
        </is>
      </c>
      <c r="M769" s="27" t="n">
        <v>68</v>
      </c>
      <c r="N769" s="27" t="n">
        <v>400</v>
      </c>
      <c r="O769" s="3" t="inlineStr">
        <is>
          <t>speculative</t>
        </is>
      </c>
      <c r="P769" s="3" t="inlineStr">
        <is>
          <t>B200</t>
        </is>
      </c>
      <c r="Q769" s="3" t="inlineStr">
        <is>
          <t>epoch_user_site_equal_split_seed</t>
        </is>
      </c>
      <c r="R769" s="3" t="inlineStr">
        <is>
          <t>SRC_EPOCH_AI_DATA_CENTERS; EPOCH_NORMALIZED_USER_SITES</t>
        </is>
      </c>
      <c r="S769" s="3" t="inlineStr">
        <is>
          <t>Capacity weight is used only to weight accelerator mix, not to overwrite company total power in 02_Inputs.</t>
        </is>
      </c>
    </row>
    <row r="770">
      <c r="A770" s="3" t="inlineStr">
        <is>
          <t>Bear|OpenAI|2026|CoreWeave Marble NC</t>
        </is>
      </c>
      <c r="B770" s="3" t="inlineStr">
        <is>
          <t>Bear</t>
        </is>
      </c>
      <c r="C770" s="3" t="inlineStr">
        <is>
          <t>OpenAI</t>
        </is>
      </c>
      <c r="D770" s="3" t="n">
        <v>2026</v>
      </c>
      <c r="E770" s="3" t="inlineStr">
        <is>
          <t>CoreWeave Marble NC</t>
        </is>
      </c>
      <c r="F770" s="3" t="inlineStr">
        <is>
          <t>CoreWeave</t>
        </is>
      </c>
      <c r="G770" s="3" t="inlineStr">
        <is>
          <t>United States</t>
        </is>
      </c>
      <c r="H770" s="25" t="n">
        <v>65</v>
      </c>
      <c r="I770" s="17" t="n">
        <v>1</v>
      </c>
      <c r="J770" s="17" t="n">
        <v>0.5</v>
      </c>
      <c r="K770" s="26" t="n">
        <v>0.5</v>
      </c>
      <c r="L770" s="3" t="inlineStr">
        <is>
          <t>2026-05-06</t>
        </is>
      </c>
      <c r="M770" s="27" t="n">
        <v>65</v>
      </c>
      <c r="N770" s="27" t="n">
        <v>65</v>
      </c>
      <c r="O770" s="3" t="inlineStr">
        <is>
          <t>speculative</t>
        </is>
      </c>
      <c r="P770" s="3" t="inlineStr">
        <is>
          <t>B200</t>
        </is>
      </c>
      <c r="Q770" s="3" t="inlineStr">
        <is>
          <t>epoch_user_site_equal_split_seed</t>
        </is>
      </c>
      <c r="R770" s="3" t="inlineStr">
        <is>
          <t>SRC_EPOCH_AI_DATA_CENTERS; EPOCH_NORMALIZED_USER_SITES</t>
        </is>
      </c>
      <c r="S770" s="3" t="inlineStr">
        <is>
          <t>Capacity weight is used only to weight accelerator mix, not to overwrite company total power in 02_Inputs.</t>
        </is>
      </c>
    </row>
    <row r="771">
      <c r="A771" s="3" t="inlineStr">
        <is>
          <t>Bear|OpenAI|2027|CoreWeave Marble NC</t>
        </is>
      </c>
      <c r="B771" s="3" t="inlineStr">
        <is>
          <t>Bear</t>
        </is>
      </c>
      <c r="C771" s="3" t="inlineStr">
        <is>
          <t>OpenAI</t>
        </is>
      </c>
      <c r="D771" s="3" t="n">
        <v>2027</v>
      </c>
      <c r="E771" s="3" t="inlineStr">
        <is>
          <t>CoreWeave Marble NC</t>
        </is>
      </c>
      <c r="F771" s="3" t="inlineStr">
        <is>
          <t>CoreWeave</t>
        </is>
      </c>
      <c r="G771" s="3" t="inlineStr">
        <is>
          <t>United States</t>
        </is>
      </c>
      <c r="H771" s="25" t="n">
        <v>65</v>
      </c>
      <c r="I771" s="17" t="n">
        <v>1</v>
      </c>
      <c r="J771" s="17" t="n">
        <v>0.545</v>
      </c>
      <c r="K771" s="26" t="n">
        <v>0.455</v>
      </c>
      <c r="L771" s="3" t="inlineStr">
        <is>
          <t>2026-05-06</t>
        </is>
      </c>
      <c r="M771" s="27" t="n">
        <v>65</v>
      </c>
      <c r="N771" s="27" t="n">
        <v>65</v>
      </c>
      <c r="O771" s="3" t="inlineStr">
        <is>
          <t>speculative</t>
        </is>
      </c>
      <c r="P771" s="3" t="inlineStr">
        <is>
          <t>B200</t>
        </is>
      </c>
      <c r="Q771" s="3" t="inlineStr">
        <is>
          <t>epoch_user_site_equal_split_seed</t>
        </is>
      </c>
      <c r="R771" s="3" t="inlineStr">
        <is>
          <t>SRC_EPOCH_AI_DATA_CENTERS; EPOCH_NORMALIZED_USER_SITES</t>
        </is>
      </c>
      <c r="S771" s="3" t="inlineStr">
        <is>
          <t>Capacity weight is used only to weight accelerator mix, not to overwrite company total power in 02_Inputs.</t>
        </is>
      </c>
    </row>
    <row r="772">
      <c r="A772" s="3" t="inlineStr">
        <is>
          <t>Bear|OpenAI|2028|CoreWeave Marble NC</t>
        </is>
      </c>
      <c r="B772" s="3" t="inlineStr">
        <is>
          <t>Bear</t>
        </is>
      </c>
      <c r="C772" s="3" t="inlineStr">
        <is>
          <t>OpenAI</t>
        </is>
      </c>
      <c r="D772" s="3" t="n">
        <v>2028</v>
      </c>
      <c r="E772" s="3" t="inlineStr">
        <is>
          <t>CoreWeave Marble NC</t>
        </is>
      </c>
      <c r="F772" s="3" t="inlineStr">
        <is>
          <t>CoreWeave</t>
        </is>
      </c>
      <c r="G772" s="3" t="inlineStr">
        <is>
          <t>United States</t>
        </is>
      </c>
      <c r="H772" s="25" t="n">
        <v>65</v>
      </c>
      <c r="I772" s="17" t="n">
        <v>1</v>
      </c>
      <c r="J772" s="17" t="n">
        <v>0.59</v>
      </c>
      <c r="K772" s="26" t="n">
        <v>0.41</v>
      </c>
      <c r="L772" s="3" t="inlineStr">
        <is>
          <t>2026-05-06</t>
        </is>
      </c>
      <c r="M772" s="27" t="n">
        <v>65</v>
      </c>
      <c r="N772" s="27" t="n">
        <v>65</v>
      </c>
      <c r="O772" s="3" t="inlineStr">
        <is>
          <t>speculative</t>
        </is>
      </c>
      <c r="P772" s="3" t="inlineStr">
        <is>
          <t>B200</t>
        </is>
      </c>
      <c r="Q772" s="3" t="inlineStr">
        <is>
          <t>epoch_user_site_equal_split_seed</t>
        </is>
      </c>
      <c r="R772" s="3" t="inlineStr">
        <is>
          <t>SRC_EPOCH_AI_DATA_CENTERS; EPOCH_NORMALIZED_USER_SITES</t>
        </is>
      </c>
      <c r="S772" s="3" t="inlineStr">
        <is>
          <t>Capacity weight is used only to weight accelerator mix, not to overwrite company total power in 02_Inputs.</t>
        </is>
      </c>
    </row>
    <row r="773">
      <c r="A773" s="3" t="inlineStr">
        <is>
          <t>Bear|OpenAI|2029|CoreWeave Marble NC</t>
        </is>
      </c>
      <c r="B773" s="3" t="inlineStr">
        <is>
          <t>Bear</t>
        </is>
      </c>
      <c r="C773" s="3" t="inlineStr">
        <is>
          <t>OpenAI</t>
        </is>
      </c>
      <c r="D773" s="3" t="n">
        <v>2029</v>
      </c>
      <c r="E773" s="3" t="inlineStr">
        <is>
          <t>CoreWeave Marble NC</t>
        </is>
      </c>
      <c r="F773" s="3" t="inlineStr">
        <is>
          <t>CoreWeave</t>
        </is>
      </c>
      <c r="G773" s="3" t="inlineStr">
        <is>
          <t>United States</t>
        </is>
      </c>
      <c r="H773" s="25" t="n">
        <v>65</v>
      </c>
      <c r="I773" s="17" t="n">
        <v>1</v>
      </c>
      <c r="J773" s="17" t="n">
        <v>0.635</v>
      </c>
      <c r="K773" s="26" t="n">
        <v>0.365</v>
      </c>
      <c r="L773" s="3" t="inlineStr">
        <is>
          <t>2026-05-06</t>
        </is>
      </c>
      <c r="M773" s="27" t="n">
        <v>65</v>
      </c>
      <c r="N773" s="27" t="n">
        <v>65</v>
      </c>
      <c r="O773" s="3" t="inlineStr">
        <is>
          <t>speculative</t>
        </is>
      </c>
      <c r="P773" s="3" t="inlineStr">
        <is>
          <t>B200</t>
        </is>
      </c>
      <c r="Q773" s="3" t="inlineStr">
        <is>
          <t>epoch_user_site_equal_split_seed</t>
        </is>
      </c>
      <c r="R773" s="3" t="inlineStr">
        <is>
          <t>SRC_EPOCH_AI_DATA_CENTERS; EPOCH_NORMALIZED_USER_SITES</t>
        </is>
      </c>
      <c r="S773" s="3" t="inlineStr">
        <is>
          <t>Capacity weight is used only to weight accelerator mix, not to overwrite company total power in 02_Inputs.</t>
        </is>
      </c>
    </row>
    <row r="774">
      <c r="A774" s="3" t="inlineStr">
        <is>
          <t>Bear|OpenAI|2030|CoreWeave Marble NC</t>
        </is>
      </c>
      <c r="B774" s="3" t="inlineStr">
        <is>
          <t>Bear</t>
        </is>
      </c>
      <c r="C774" s="3" t="inlineStr">
        <is>
          <t>OpenAI</t>
        </is>
      </c>
      <c r="D774" s="3" t="n">
        <v>2030</v>
      </c>
      <c r="E774" s="3" t="inlineStr">
        <is>
          <t>CoreWeave Marble NC</t>
        </is>
      </c>
      <c r="F774" s="3" t="inlineStr">
        <is>
          <t>CoreWeave</t>
        </is>
      </c>
      <c r="G774" s="3" t="inlineStr">
        <is>
          <t>United States</t>
        </is>
      </c>
      <c r="H774" s="25" t="n">
        <v>65</v>
      </c>
      <c r="I774" s="17" t="n">
        <v>1</v>
      </c>
      <c r="J774" s="17" t="n">
        <v>0.68</v>
      </c>
      <c r="K774" s="26" t="n">
        <v>0.32</v>
      </c>
      <c r="L774" s="3" t="inlineStr">
        <is>
          <t>2026-05-06</t>
        </is>
      </c>
      <c r="M774" s="27" t="n">
        <v>65</v>
      </c>
      <c r="N774" s="27" t="n">
        <v>65</v>
      </c>
      <c r="O774" s="3" t="inlineStr">
        <is>
          <t>speculative</t>
        </is>
      </c>
      <c r="P774" s="3" t="inlineStr">
        <is>
          <t>B200</t>
        </is>
      </c>
      <c r="Q774" s="3" t="inlineStr">
        <is>
          <t>epoch_user_site_equal_split_seed</t>
        </is>
      </c>
      <c r="R774" s="3" t="inlineStr">
        <is>
          <t>SRC_EPOCH_AI_DATA_CENTERS; EPOCH_NORMALIZED_USER_SITES</t>
        </is>
      </c>
      <c r="S774" s="3" t="inlineStr">
        <is>
          <t>Capacity weight is used only to weight accelerator mix, not to overwrite company total power in 02_Inputs.</t>
        </is>
      </c>
    </row>
    <row r="775">
      <c r="A775" s="3" t="inlineStr">
        <is>
          <t>Base|OpenAI|2026|CoreWeave Marble NC</t>
        </is>
      </c>
      <c r="B775" s="3" t="inlineStr">
        <is>
          <t>Base</t>
        </is>
      </c>
      <c r="C775" s="3" t="inlineStr">
        <is>
          <t>OpenAI</t>
        </is>
      </c>
      <c r="D775" s="3" t="n">
        <v>2026</v>
      </c>
      <c r="E775" s="3" t="inlineStr">
        <is>
          <t>CoreWeave Marble NC</t>
        </is>
      </c>
      <c r="F775" s="3" t="inlineStr">
        <is>
          <t>CoreWeave</t>
        </is>
      </c>
      <c r="G775" s="3" t="inlineStr">
        <is>
          <t>United States</t>
        </is>
      </c>
      <c r="H775" s="25" t="n">
        <v>65</v>
      </c>
      <c r="I775" s="17" t="n">
        <v>1</v>
      </c>
      <c r="J775" s="17" t="n">
        <v>0.58</v>
      </c>
      <c r="K775" s="26" t="n">
        <v>0.42</v>
      </c>
      <c r="L775" s="3" t="inlineStr">
        <is>
          <t>2026-05-06</t>
        </is>
      </c>
      <c r="M775" s="27" t="n">
        <v>65</v>
      </c>
      <c r="N775" s="27" t="n">
        <v>65</v>
      </c>
      <c r="O775" s="3" t="inlineStr">
        <is>
          <t>speculative</t>
        </is>
      </c>
      <c r="P775" s="3" t="inlineStr">
        <is>
          <t>B200</t>
        </is>
      </c>
      <c r="Q775" s="3" t="inlineStr">
        <is>
          <t>epoch_user_site_equal_split_seed</t>
        </is>
      </c>
      <c r="R775" s="3" t="inlineStr">
        <is>
          <t>SRC_EPOCH_AI_DATA_CENTERS; EPOCH_NORMALIZED_USER_SITES</t>
        </is>
      </c>
      <c r="S775" s="3" t="inlineStr">
        <is>
          <t>Capacity weight is used only to weight accelerator mix, not to overwrite company total power in 02_Inputs.</t>
        </is>
      </c>
    </row>
    <row r="776">
      <c r="A776" s="3" t="inlineStr">
        <is>
          <t>Base|OpenAI|2027|CoreWeave Marble NC</t>
        </is>
      </c>
      <c r="B776" s="3" t="inlineStr">
        <is>
          <t>Base</t>
        </is>
      </c>
      <c r="C776" s="3" t="inlineStr">
        <is>
          <t>OpenAI</t>
        </is>
      </c>
      <c r="D776" s="3" t="n">
        <v>2027</v>
      </c>
      <c r="E776" s="3" t="inlineStr">
        <is>
          <t>CoreWeave Marble NC</t>
        </is>
      </c>
      <c r="F776" s="3" t="inlineStr">
        <is>
          <t>CoreWeave</t>
        </is>
      </c>
      <c r="G776" s="3" t="inlineStr">
        <is>
          <t>United States</t>
        </is>
      </c>
      <c r="H776" s="25" t="n">
        <v>65</v>
      </c>
      <c r="I776" s="17" t="n">
        <v>1</v>
      </c>
      <c r="J776" s="17" t="n">
        <v>0.63</v>
      </c>
      <c r="K776" s="26" t="n">
        <v>0.37</v>
      </c>
      <c r="L776" s="3" t="inlineStr">
        <is>
          <t>2026-05-06</t>
        </is>
      </c>
      <c r="M776" s="27" t="n">
        <v>65</v>
      </c>
      <c r="N776" s="27" t="n">
        <v>65</v>
      </c>
      <c r="O776" s="3" t="inlineStr">
        <is>
          <t>speculative</t>
        </is>
      </c>
      <c r="P776" s="3" t="inlineStr">
        <is>
          <t>B200</t>
        </is>
      </c>
      <c r="Q776" s="3" t="inlineStr">
        <is>
          <t>epoch_user_site_equal_split_seed</t>
        </is>
      </c>
      <c r="R776" s="3" t="inlineStr">
        <is>
          <t>SRC_EPOCH_AI_DATA_CENTERS; EPOCH_NORMALIZED_USER_SITES</t>
        </is>
      </c>
      <c r="S776" s="3" t="inlineStr">
        <is>
          <t>Capacity weight is used only to weight accelerator mix, not to overwrite company total power in 02_Inputs.</t>
        </is>
      </c>
    </row>
    <row r="777">
      <c r="A777" s="3" t="inlineStr">
        <is>
          <t>Base|OpenAI|2028|CoreWeave Marble NC</t>
        </is>
      </c>
      <c r="B777" s="3" t="inlineStr">
        <is>
          <t>Base</t>
        </is>
      </c>
      <c r="C777" s="3" t="inlineStr">
        <is>
          <t>OpenAI</t>
        </is>
      </c>
      <c r="D777" s="3" t="n">
        <v>2028</v>
      </c>
      <c r="E777" s="3" t="inlineStr">
        <is>
          <t>CoreWeave Marble NC</t>
        </is>
      </c>
      <c r="F777" s="3" t="inlineStr">
        <is>
          <t>CoreWeave</t>
        </is>
      </c>
      <c r="G777" s="3" t="inlineStr">
        <is>
          <t>United States</t>
        </is>
      </c>
      <c r="H777" s="25" t="n">
        <v>65</v>
      </c>
      <c r="I777" s="17" t="n">
        <v>1</v>
      </c>
      <c r="J777" s="17" t="n">
        <v>0.68</v>
      </c>
      <c r="K777" s="26" t="n">
        <v>0.32</v>
      </c>
      <c r="L777" s="3" t="inlineStr">
        <is>
          <t>2026-05-06</t>
        </is>
      </c>
      <c r="M777" s="27" t="n">
        <v>65</v>
      </c>
      <c r="N777" s="27" t="n">
        <v>65</v>
      </c>
      <c r="O777" s="3" t="inlineStr">
        <is>
          <t>speculative</t>
        </is>
      </c>
      <c r="P777" s="3" t="inlineStr">
        <is>
          <t>B200</t>
        </is>
      </c>
      <c r="Q777" s="3" t="inlineStr">
        <is>
          <t>epoch_user_site_equal_split_seed</t>
        </is>
      </c>
      <c r="R777" s="3" t="inlineStr">
        <is>
          <t>SRC_EPOCH_AI_DATA_CENTERS; EPOCH_NORMALIZED_USER_SITES</t>
        </is>
      </c>
      <c r="S777" s="3" t="inlineStr">
        <is>
          <t>Capacity weight is used only to weight accelerator mix, not to overwrite company total power in 02_Inputs.</t>
        </is>
      </c>
    </row>
    <row r="778">
      <c r="A778" s="3" t="inlineStr">
        <is>
          <t>Base|OpenAI|2029|CoreWeave Marble NC</t>
        </is>
      </c>
      <c r="B778" s="3" t="inlineStr">
        <is>
          <t>Base</t>
        </is>
      </c>
      <c r="C778" s="3" t="inlineStr">
        <is>
          <t>OpenAI</t>
        </is>
      </c>
      <c r="D778" s="3" t="n">
        <v>2029</v>
      </c>
      <c r="E778" s="3" t="inlineStr">
        <is>
          <t>CoreWeave Marble NC</t>
        </is>
      </c>
      <c r="F778" s="3" t="inlineStr">
        <is>
          <t>CoreWeave</t>
        </is>
      </c>
      <c r="G778" s="3" t="inlineStr">
        <is>
          <t>United States</t>
        </is>
      </c>
      <c r="H778" s="25" t="n">
        <v>65</v>
      </c>
      <c r="I778" s="17" t="n">
        <v>1</v>
      </c>
      <c r="J778" s="17" t="n">
        <v>0.73</v>
      </c>
      <c r="K778" s="26" t="n">
        <v>0.27</v>
      </c>
      <c r="L778" s="3" t="inlineStr">
        <is>
          <t>2026-05-06</t>
        </is>
      </c>
      <c r="M778" s="27" t="n">
        <v>65</v>
      </c>
      <c r="N778" s="27" t="n">
        <v>65</v>
      </c>
      <c r="O778" s="3" t="inlineStr">
        <is>
          <t>speculative</t>
        </is>
      </c>
      <c r="P778" s="3" t="inlineStr">
        <is>
          <t>B200</t>
        </is>
      </c>
      <c r="Q778" s="3" t="inlineStr">
        <is>
          <t>epoch_user_site_equal_split_seed</t>
        </is>
      </c>
      <c r="R778" s="3" t="inlineStr">
        <is>
          <t>SRC_EPOCH_AI_DATA_CENTERS; EPOCH_NORMALIZED_USER_SITES</t>
        </is>
      </c>
      <c r="S778" s="3" t="inlineStr">
        <is>
          <t>Capacity weight is used only to weight accelerator mix, not to overwrite company total power in 02_Inputs.</t>
        </is>
      </c>
    </row>
    <row r="779">
      <c r="A779" s="3" t="inlineStr">
        <is>
          <t>Base|OpenAI|2030|CoreWeave Marble NC</t>
        </is>
      </c>
      <c r="B779" s="3" t="inlineStr">
        <is>
          <t>Base</t>
        </is>
      </c>
      <c r="C779" s="3" t="inlineStr">
        <is>
          <t>OpenAI</t>
        </is>
      </c>
      <c r="D779" s="3" t="n">
        <v>2030</v>
      </c>
      <c r="E779" s="3" t="inlineStr">
        <is>
          <t>CoreWeave Marble NC</t>
        </is>
      </c>
      <c r="F779" s="3" t="inlineStr">
        <is>
          <t>CoreWeave</t>
        </is>
      </c>
      <c r="G779" s="3" t="inlineStr">
        <is>
          <t>United States</t>
        </is>
      </c>
      <c r="H779" s="25" t="n">
        <v>65</v>
      </c>
      <c r="I779" s="17" t="n">
        <v>1</v>
      </c>
      <c r="J779" s="17" t="n">
        <v>0.78</v>
      </c>
      <c r="K779" s="26" t="n">
        <v>0.22</v>
      </c>
      <c r="L779" s="3" t="inlineStr">
        <is>
          <t>2026-05-06</t>
        </is>
      </c>
      <c r="M779" s="27" t="n">
        <v>65</v>
      </c>
      <c r="N779" s="27" t="n">
        <v>65</v>
      </c>
      <c r="O779" s="3" t="inlineStr">
        <is>
          <t>speculative</t>
        </is>
      </c>
      <c r="P779" s="3" t="inlineStr">
        <is>
          <t>B200</t>
        </is>
      </c>
      <c r="Q779" s="3" t="inlineStr">
        <is>
          <t>epoch_user_site_equal_split_seed</t>
        </is>
      </c>
      <c r="R779" s="3" t="inlineStr">
        <is>
          <t>SRC_EPOCH_AI_DATA_CENTERS; EPOCH_NORMALIZED_USER_SITES</t>
        </is>
      </c>
      <c r="S779" s="3" t="inlineStr">
        <is>
          <t>Capacity weight is used only to weight accelerator mix, not to overwrite company total power in 02_Inputs.</t>
        </is>
      </c>
    </row>
    <row r="780">
      <c r="A780" s="3" t="inlineStr">
        <is>
          <t>Bull|OpenAI|2026|CoreWeave Marble NC</t>
        </is>
      </c>
      <c r="B780" s="3" t="inlineStr">
        <is>
          <t>Bull</t>
        </is>
      </c>
      <c r="C780" s="3" t="inlineStr">
        <is>
          <t>OpenAI</t>
        </is>
      </c>
      <c r="D780" s="3" t="n">
        <v>2026</v>
      </c>
      <c r="E780" s="3" t="inlineStr">
        <is>
          <t>CoreWeave Marble NC</t>
        </is>
      </c>
      <c r="F780" s="3" t="inlineStr">
        <is>
          <t>CoreWeave</t>
        </is>
      </c>
      <c r="G780" s="3" t="inlineStr">
        <is>
          <t>United States</t>
        </is>
      </c>
      <c r="H780" s="25" t="n">
        <v>65</v>
      </c>
      <c r="I780" s="17" t="n">
        <v>1</v>
      </c>
      <c r="J780" s="17" t="n">
        <v>0.63</v>
      </c>
      <c r="K780" s="26" t="n">
        <v>0.37</v>
      </c>
      <c r="L780" s="3" t="inlineStr">
        <is>
          <t>2026-05-06</t>
        </is>
      </c>
      <c r="M780" s="27" t="n">
        <v>65</v>
      </c>
      <c r="N780" s="27" t="n">
        <v>65</v>
      </c>
      <c r="O780" s="3" t="inlineStr">
        <is>
          <t>speculative</t>
        </is>
      </c>
      <c r="P780" s="3" t="inlineStr">
        <is>
          <t>B200</t>
        </is>
      </c>
      <c r="Q780" s="3" t="inlineStr">
        <is>
          <t>epoch_user_site_equal_split_seed</t>
        </is>
      </c>
      <c r="R780" s="3" t="inlineStr">
        <is>
          <t>SRC_EPOCH_AI_DATA_CENTERS; EPOCH_NORMALIZED_USER_SITES</t>
        </is>
      </c>
      <c r="S780" s="3" t="inlineStr">
        <is>
          <t>Capacity weight is used only to weight accelerator mix, not to overwrite company total power in 02_Inputs.</t>
        </is>
      </c>
    </row>
    <row r="781">
      <c r="A781" s="3" t="inlineStr">
        <is>
          <t>Bull|OpenAI|2027|CoreWeave Marble NC</t>
        </is>
      </c>
      <c r="B781" s="3" t="inlineStr">
        <is>
          <t>Bull</t>
        </is>
      </c>
      <c r="C781" s="3" t="inlineStr">
        <is>
          <t>OpenAI</t>
        </is>
      </c>
      <c r="D781" s="3" t="n">
        <v>2027</v>
      </c>
      <c r="E781" s="3" t="inlineStr">
        <is>
          <t>CoreWeave Marble NC</t>
        </is>
      </c>
      <c r="F781" s="3" t="inlineStr">
        <is>
          <t>CoreWeave</t>
        </is>
      </c>
      <c r="G781" s="3" t="inlineStr">
        <is>
          <t>United States</t>
        </is>
      </c>
      <c r="H781" s="25" t="n">
        <v>65</v>
      </c>
      <c r="I781" s="17" t="n">
        <v>1</v>
      </c>
      <c r="J781" s="17" t="n">
        <v>0.6879999999999999</v>
      </c>
      <c r="K781" s="26" t="n">
        <v>0.312</v>
      </c>
      <c r="L781" s="3" t="inlineStr">
        <is>
          <t>2026-05-06</t>
        </is>
      </c>
      <c r="M781" s="27" t="n">
        <v>65</v>
      </c>
      <c r="N781" s="27" t="n">
        <v>65</v>
      </c>
      <c r="O781" s="3" t="inlineStr">
        <is>
          <t>speculative</t>
        </is>
      </c>
      <c r="P781" s="3" t="inlineStr">
        <is>
          <t>B200</t>
        </is>
      </c>
      <c r="Q781" s="3" t="inlineStr">
        <is>
          <t>epoch_user_site_equal_split_seed</t>
        </is>
      </c>
      <c r="R781" s="3" t="inlineStr">
        <is>
          <t>SRC_EPOCH_AI_DATA_CENTERS; EPOCH_NORMALIZED_USER_SITES</t>
        </is>
      </c>
      <c r="S781" s="3" t="inlineStr">
        <is>
          <t>Capacity weight is used only to weight accelerator mix, not to overwrite company total power in 02_Inputs.</t>
        </is>
      </c>
    </row>
    <row r="782">
      <c r="A782" s="3" t="inlineStr">
        <is>
          <t>Bull|OpenAI|2028|CoreWeave Marble NC</t>
        </is>
      </c>
      <c r="B782" s="3" t="inlineStr">
        <is>
          <t>Bull</t>
        </is>
      </c>
      <c r="C782" s="3" t="inlineStr">
        <is>
          <t>OpenAI</t>
        </is>
      </c>
      <c r="D782" s="3" t="n">
        <v>2028</v>
      </c>
      <c r="E782" s="3" t="inlineStr">
        <is>
          <t>CoreWeave Marble NC</t>
        </is>
      </c>
      <c r="F782" s="3" t="inlineStr">
        <is>
          <t>CoreWeave</t>
        </is>
      </c>
      <c r="G782" s="3" t="inlineStr">
        <is>
          <t>United States</t>
        </is>
      </c>
      <c r="H782" s="25" t="n">
        <v>65</v>
      </c>
      <c r="I782" s="17" t="n">
        <v>1</v>
      </c>
      <c r="J782" s="17" t="n">
        <v>0.745</v>
      </c>
      <c r="K782" s="26" t="n">
        <v>0.255</v>
      </c>
      <c r="L782" s="3" t="inlineStr">
        <is>
          <t>2026-05-06</t>
        </is>
      </c>
      <c r="M782" s="27" t="n">
        <v>65</v>
      </c>
      <c r="N782" s="27" t="n">
        <v>65</v>
      </c>
      <c r="O782" s="3" t="inlineStr">
        <is>
          <t>speculative</t>
        </is>
      </c>
      <c r="P782" s="3" t="inlineStr">
        <is>
          <t>B200</t>
        </is>
      </c>
      <c r="Q782" s="3" t="inlineStr">
        <is>
          <t>epoch_user_site_equal_split_seed</t>
        </is>
      </c>
      <c r="R782" s="3" t="inlineStr">
        <is>
          <t>SRC_EPOCH_AI_DATA_CENTERS; EPOCH_NORMALIZED_USER_SITES</t>
        </is>
      </c>
      <c r="S782" s="3" t="inlineStr">
        <is>
          <t>Capacity weight is used only to weight accelerator mix, not to overwrite company total power in 02_Inputs.</t>
        </is>
      </c>
    </row>
    <row r="783">
      <c r="A783" s="3" t="inlineStr">
        <is>
          <t>Bull|OpenAI|2029|CoreWeave Marble NC</t>
        </is>
      </c>
      <c r="B783" s="3" t="inlineStr">
        <is>
          <t>Bull</t>
        </is>
      </c>
      <c r="C783" s="3" t="inlineStr">
        <is>
          <t>OpenAI</t>
        </is>
      </c>
      <c r="D783" s="3" t="n">
        <v>2029</v>
      </c>
      <c r="E783" s="3" t="inlineStr">
        <is>
          <t>CoreWeave Marble NC</t>
        </is>
      </c>
      <c r="F783" s="3" t="inlineStr">
        <is>
          <t>CoreWeave</t>
        </is>
      </c>
      <c r="G783" s="3" t="inlineStr">
        <is>
          <t>United States</t>
        </is>
      </c>
      <c r="H783" s="25" t="n">
        <v>65</v>
      </c>
      <c r="I783" s="17" t="n">
        <v>1</v>
      </c>
      <c r="J783" s="17" t="n">
        <v>0.802</v>
      </c>
      <c r="K783" s="26" t="n">
        <v>0.198</v>
      </c>
      <c r="L783" s="3" t="inlineStr">
        <is>
          <t>2026-05-06</t>
        </is>
      </c>
      <c r="M783" s="27" t="n">
        <v>65</v>
      </c>
      <c r="N783" s="27" t="n">
        <v>65</v>
      </c>
      <c r="O783" s="3" t="inlineStr">
        <is>
          <t>speculative</t>
        </is>
      </c>
      <c r="P783" s="3" t="inlineStr">
        <is>
          <t>B200</t>
        </is>
      </c>
      <c r="Q783" s="3" t="inlineStr">
        <is>
          <t>epoch_user_site_equal_split_seed</t>
        </is>
      </c>
      <c r="R783" s="3" t="inlineStr">
        <is>
          <t>SRC_EPOCH_AI_DATA_CENTERS; EPOCH_NORMALIZED_USER_SITES</t>
        </is>
      </c>
      <c r="S783" s="3" t="inlineStr">
        <is>
          <t>Capacity weight is used only to weight accelerator mix, not to overwrite company total power in 02_Inputs.</t>
        </is>
      </c>
    </row>
    <row r="784">
      <c r="A784" s="3" t="inlineStr">
        <is>
          <t>Bull|OpenAI|2030|CoreWeave Marble NC</t>
        </is>
      </c>
      <c r="B784" s="3" t="inlineStr">
        <is>
          <t>Bull</t>
        </is>
      </c>
      <c r="C784" s="3" t="inlineStr">
        <is>
          <t>OpenAI</t>
        </is>
      </c>
      <c r="D784" s="3" t="n">
        <v>2030</v>
      </c>
      <c r="E784" s="3" t="inlineStr">
        <is>
          <t>CoreWeave Marble NC</t>
        </is>
      </c>
      <c r="F784" s="3" t="inlineStr">
        <is>
          <t>CoreWeave</t>
        </is>
      </c>
      <c r="G784" s="3" t="inlineStr">
        <is>
          <t>United States</t>
        </is>
      </c>
      <c r="H784" s="25" t="n">
        <v>65</v>
      </c>
      <c r="I784" s="17" t="n">
        <v>1</v>
      </c>
      <c r="J784" s="17" t="n">
        <v>0.86</v>
      </c>
      <c r="K784" s="26" t="n">
        <v>0.14</v>
      </c>
      <c r="L784" s="3" t="inlineStr">
        <is>
          <t>2026-05-06</t>
        </is>
      </c>
      <c r="M784" s="27" t="n">
        <v>65</v>
      </c>
      <c r="N784" s="27" t="n">
        <v>65</v>
      </c>
      <c r="O784" s="3" t="inlineStr">
        <is>
          <t>speculative</t>
        </is>
      </c>
      <c r="P784" s="3" t="inlineStr">
        <is>
          <t>B200</t>
        </is>
      </c>
      <c r="Q784" s="3" t="inlineStr">
        <is>
          <t>epoch_user_site_equal_split_seed</t>
        </is>
      </c>
      <c r="R784" s="3" t="inlineStr">
        <is>
          <t>SRC_EPOCH_AI_DATA_CENTERS; EPOCH_NORMALIZED_USER_SITES</t>
        </is>
      </c>
      <c r="S784" s="3" t="inlineStr">
        <is>
          <t>Capacity weight is used only to weight accelerator mix, not to overwrite company total power in 02_Inputs.</t>
        </is>
      </c>
    </row>
    <row r="785">
      <c r="A785" s="3" t="inlineStr">
        <is>
          <t>Grid-Constrained / Efficiency-Upside|OpenAI|2026|CoreWeave Marble NC</t>
        </is>
      </c>
      <c r="B785" s="3" t="inlineStr">
        <is>
          <t>Grid-Constrained / Efficiency-Upside</t>
        </is>
      </c>
      <c r="C785" s="3" t="inlineStr">
        <is>
          <t>OpenAI</t>
        </is>
      </c>
      <c r="D785" s="3" t="n">
        <v>2026</v>
      </c>
      <c r="E785" s="3" t="inlineStr">
        <is>
          <t>CoreWeave Marble NC</t>
        </is>
      </c>
      <c r="F785" s="3" t="inlineStr">
        <is>
          <t>CoreWeave</t>
        </is>
      </c>
      <c r="G785" s="3" t="inlineStr">
        <is>
          <t>United States</t>
        </is>
      </c>
      <c r="H785" s="25" t="n">
        <v>65</v>
      </c>
      <c r="I785" s="17" t="n">
        <v>1</v>
      </c>
      <c r="J785" s="17" t="n">
        <v>0.6</v>
      </c>
      <c r="K785" s="26" t="n">
        <v>0.4</v>
      </c>
      <c r="L785" s="3" t="inlineStr">
        <is>
          <t>2026-05-06</t>
        </is>
      </c>
      <c r="M785" s="27" t="n">
        <v>65</v>
      </c>
      <c r="N785" s="27" t="n">
        <v>65</v>
      </c>
      <c r="O785" s="3" t="inlineStr">
        <is>
          <t>speculative</t>
        </is>
      </c>
      <c r="P785" s="3" t="inlineStr">
        <is>
          <t>B200</t>
        </is>
      </c>
      <c r="Q785" s="3" t="inlineStr">
        <is>
          <t>epoch_user_site_equal_split_seed</t>
        </is>
      </c>
      <c r="R785" s="3" t="inlineStr">
        <is>
          <t>SRC_EPOCH_AI_DATA_CENTERS; EPOCH_NORMALIZED_USER_SITES</t>
        </is>
      </c>
      <c r="S785" s="3" t="inlineStr">
        <is>
          <t>Capacity weight is used only to weight accelerator mix, not to overwrite company total power in 02_Inputs.</t>
        </is>
      </c>
    </row>
    <row r="786">
      <c r="A786" s="3" t="inlineStr">
        <is>
          <t>Grid-Constrained / Efficiency-Upside|OpenAI|2027|CoreWeave Marble NC</t>
        </is>
      </c>
      <c r="B786" s="3" t="inlineStr">
        <is>
          <t>Grid-Constrained / Efficiency-Upside</t>
        </is>
      </c>
      <c r="C786" s="3" t="inlineStr">
        <is>
          <t>OpenAI</t>
        </is>
      </c>
      <c r="D786" s="3" t="n">
        <v>2027</v>
      </c>
      <c r="E786" s="3" t="inlineStr">
        <is>
          <t>CoreWeave Marble NC</t>
        </is>
      </c>
      <c r="F786" s="3" t="inlineStr">
        <is>
          <t>CoreWeave</t>
        </is>
      </c>
      <c r="G786" s="3" t="inlineStr">
        <is>
          <t>United States</t>
        </is>
      </c>
      <c r="H786" s="25" t="n">
        <v>65</v>
      </c>
      <c r="I786" s="17" t="n">
        <v>1</v>
      </c>
      <c r="J786" s="17" t="n">
        <v>0.655</v>
      </c>
      <c r="K786" s="26" t="n">
        <v>0.345</v>
      </c>
      <c r="L786" s="3" t="inlineStr">
        <is>
          <t>2026-05-06</t>
        </is>
      </c>
      <c r="M786" s="27" t="n">
        <v>65</v>
      </c>
      <c r="N786" s="27" t="n">
        <v>65</v>
      </c>
      <c r="O786" s="3" t="inlineStr">
        <is>
          <t>speculative</t>
        </is>
      </c>
      <c r="P786" s="3" t="inlineStr">
        <is>
          <t>B200</t>
        </is>
      </c>
      <c r="Q786" s="3" t="inlineStr">
        <is>
          <t>epoch_user_site_equal_split_seed</t>
        </is>
      </c>
      <c r="R786" s="3" t="inlineStr">
        <is>
          <t>SRC_EPOCH_AI_DATA_CENTERS; EPOCH_NORMALIZED_USER_SITES</t>
        </is>
      </c>
      <c r="S786" s="3" t="inlineStr">
        <is>
          <t>Capacity weight is used only to weight accelerator mix, not to overwrite company total power in 02_Inputs.</t>
        </is>
      </c>
    </row>
    <row r="787">
      <c r="A787" s="3" t="inlineStr">
        <is>
          <t>Grid-Constrained / Efficiency-Upside|OpenAI|2028|CoreWeave Marble NC</t>
        </is>
      </c>
      <c r="B787" s="3" t="inlineStr">
        <is>
          <t>Grid-Constrained / Efficiency-Upside</t>
        </is>
      </c>
      <c r="C787" s="3" t="inlineStr">
        <is>
          <t>OpenAI</t>
        </is>
      </c>
      <c r="D787" s="3" t="n">
        <v>2028</v>
      </c>
      <c r="E787" s="3" t="inlineStr">
        <is>
          <t>CoreWeave Marble NC</t>
        </is>
      </c>
      <c r="F787" s="3" t="inlineStr">
        <is>
          <t>CoreWeave</t>
        </is>
      </c>
      <c r="G787" s="3" t="inlineStr">
        <is>
          <t>United States</t>
        </is>
      </c>
      <c r="H787" s="25" t="n">
        <v>65</v>
      </c>
      <c r="I787" s="17" t="n">
        <v>1</v>
      </c>
      <c r="J787" s="17" t="n">
        <v>0.71</v>
      </c>
      <c r="K787" s="26" t="n">
        <v>0.29</v>
      </c>
      <c r="L787" s="3" t="inlineStr">
        <is>
          <t>2026-05-06</t>
        </is>
      </c>
      <c r="M787" s="27" t="n">
        <v>65</v>
      </c>
      <c r="N787" s="27" t="n">
        <v>65</v>
      </c>
      <c r="O787" s="3" t="inlineStr">
        <is>
          <t>speculative</t>
        </is>
      </c>
      <c r="P787" s="3" t="inlineStr">
        <is>
          <t>B200</t>
        </is>
      </c>
      <c r="Q787" s="3" t="inlineStr">
        <is>
          <t>epoch_user_site_equal_split_seed</t>
        </is>
      </c>
      <c r="R787" s="3" t="inlineStr">
        <is>
          <t>SRC_EPOCH_AI_DATA_CENTERS; EPOCH_NORMALIZED_USER_SITES</t>
        </is>
      </c>
      <c r="S787" s="3" t="inlineStr">
        <is>
          <t>Capacity weight is used only to weight accelerator mix, not to overwrite company total power in 02_Inputs.</t>
        </is>
      </c>
    </row>
    <row r="788">
      <c r="A788" s="3" t="inlineStr">
        <is>
          <t>Grid-Constrained / Efficiency-Upside|OpenAI|2029|CoreWeave Marble NC</t>
        </is>
      </c>
      <c r="B788" s="3" t="inlineStr">
        <is>
          <t>Grid-Constrained / Efficiency-Upside</t>
        </is>
      </c>
      <c r="C788" s="3" t="inlineStr">
        <is>
          <t>OpenAI</t>
        </is>
      </c>
      <c r="D788" s="3" t="n">
        <v>2029</v>
      </c>
      <c r="E788" s="3" t="inlineStr">
        <is>
          <t>CoreWeave Marble NC</t>
        </is>
      </c>
      <c r="F788" s="3" t="inlineStr">
        <is>
          <t>CoreWeave</t>
        </is>
      </c>
      <c r="G788" s="3" t="inlineStr">
        <is>
          <t>United States</t>
        </is>
      </c>
      <c r="H788" s="25" t="n">
        <v>65</v>
      </c>
      <c r="I788" s="17" t="n">
        <v>1</v>
      </c>
      <c r="J788" s="17" t="n">
        <v>0.765</v>
      </c>
      <c r="K788" s="26" t="n">
        <v>0.235</v>
      </c>
      <c r="L788" s="3" t="inlineStr">
        <is>
          <t>2026-05-06</t>
        </is>
      </c>
      <c r="M788" s="27" t="n">
        <v>65</v>
      </c>
      <c r="N788" s="27" t="n">
        <v>65</v>
      </c>
      <c r="O788" s="3" t="inlineStr">
        <is>
          <t>speculative</t>
        </is>
      </c>
      <c r="P788" s="3" t="inlineStr">
        <is>
          <t>B200</t>
        </is>
      </c>
      <c r="Q788" s="3" t="inlineStr">
        <is>
          <t>epoch_user_site_equal_split_seed</t>
        </is>
      </c>
      <c r="R788" s="3" t="inlineStr">
        <is>
          <t>SRC_EPOCH_AI_DATA_CENTERS; EPOCH_NORMALIZED_USER_SITES</t>
        </is>
      </c>
      <c r="S788" s="3" t="inlineStr">
        <is>
          <t>Capacity weight is used only to weight accelerator mix, not to overwrite company total power in 02_Inputs.</t>
        </is>
      </c>
    </row>
    <row r="789">
      <c r="A789" s="3" t="inlineStr">
        <is>
          <t>Grid-Constrained / Efficiency-Upside|OpenAI|2030|CoreWeave Marble NC</t>
        </is>
      </c>
      <c r="B789" s="3" t="inlineStr">
        <is>
          <t>Grid-Constrained / Efficiency-Upside</t>
        </is>
      </c>
      <c r="C789" s="3" t="inlineStr">
        <is>
          <t>OpenAI</t>
        </is>
      </c>
      <c r="D789" s="3" t="n">
        <v>2030</v>
      </c>
      <c r="E789" s="3" t="inlineStr">
        <is>
          <t>CoreWeave Marble NC</t>
        </is>
      </c>
      <c r="F789" s="3" t="inlineStr">
        <is>
          <t>CoreWeave</t>
        </is>
      </c>
      <c r="G789" s="3" t="inlineStr">
        <is>
          <t>United States</t>
        </is>
      </c>
      <c r="H789" s="25" t="n">
        <v>65</v>
      </c>
      <c r="I789" s="17" t="n">
        <v>1</v>
      </c>
      <c r="J789" s="17" t="n">
        <v>0.82</v>
      </c>
      <c r="K789" s="26" t="n">
        <v>0.18</v>
      </c>
      <c r="L789" s="3" t="inlineStr">
        <is>
          <t>2026-05-06</t>
        </is>
      </c>
      <c r="M789" s="27" t="n">
        <v>65</v>
      </c>
      <c r="N789" s="27" t="n">
        <v>65</v>
      </c>
      <c r="O789" s="3" t="inlineStr">
        <is>
          <t>speculative</t>
        </is>
      </c>
      <c r="P789" s="3" t="inlineStr">
        <is>
          <t>B200</t>
        </is>
      </c>
      <c r="Q789" s="3" t="inlineStr">
        <is>
          <t>epoch_user_site_equal_split_seed</t>
        </is>
      </c>
      <c r="R789" s="3" t="inlineStr">
        <is>
          <t>SRC_EPOCH_AI_DATA_CENTERS; EPOCH_NORMALIZED_USER_SITES</t>
        </is>
      </c>
      <c r="S789" s="3" t="inlineStr">
        <is>
          <t>Capacity weight is used only to weight accelerator mix, not to overwrite company total power in 02_Inputs.</t>
        </is>
      </c>
    </row>
    <row r="790">
      <c r="A790" s="3" t="inlineStr">
        <is>
          <t>Bear|OpenAI|2027|CoreWeave Muskogee OK</t>
        </is>
      </c>
      <c r="B790" s="3" t="inlineStr">
        <is>
          <t>Bear</t>
        </is>
      </c>
      <c r="C790" s="3" t="inlineStr">
        <is>
          <t>OpenAI</t>
        </is>
      </c>
      <c r="D790" s="3" t="n">
        <v>2027</v>
      </c>
      <c r="E790" s="3" t="inlineStr">
        <is>
          <t>CoreWeave Muskogee OK</t>
        </is>
      </c>
      <c r="F790" s="3" t="inlineStr">
        <is>
          <t>CoreWeave</t>
        </is>
      </c>
      <c r="G790" s="3" t="inlineStr">
        <is>
          <t>United States</t>
        </is>
      </c>
      <c r="H790" s="25" t="n">
        <v>153</v>
      </c>
      <c r="I790" s="17" t="n">
        <v>1</v>
      </c>
      <c r="J790" s="17" t="n">
        <v>0.545</v>
      </c>
      <c r="K790" s="26" t="n">
        <v>0.455</v>
      </c>
      <c r="L790" s="3" t="inlineStr">
        <is>
          <t>2027-12-31</t>
        </is>
      </c>
      <c r="M790" s="27" t="n">
        <v>0</v>
      </c>
      <c r="N790" s="27" t="n">
        <v>153</v>
      </c>
      <c r="O790" s="3" t="inlineStr">
        <is>
          <t>speculative</t>
        </is>
      </c>
      <c r="P790" s="3" t="inlineStr">
        <is>
          <t>B300</t>
        </is>
      </c>
      <c r="Q790" s="3" t="inlineStr">
        <is>
          <t>epoch_user_site_equal_split_seed</t>
        </is>
      </c>
      <c r="R790" s="3" t="inlineStr">
        <is>
          <t>SRC_EPOCH_AI_DATA_CENTERS; EPOCH_NORMALIZED_USER_SITES</t>
        </is>
      </c>
      <c r="S790" s="3" t="inlineStr">
        <is>
          <t>Capacity weight is used only to weight accelerator mix, not to overwrite company total power in 02_Inputs.</t>
        </is>
      </c>
    </row>
    <row r="791">
      <c r="A791" s="3" t="inlineStr">
        <is>
          <t>Bear|OpenAI|2028|CoreWeave Muskogee OK</t>
        </is>
      </c>
      <c r="B791" s="3" t="inlineStr">
        <is>
          <t>Bear</t>
        </is>
      </c>
      <c r="C791" s="3" t="inlineStr">
        <is>
          <t>OpenAI</t>
        </is>
      </c>
      <c r="D791" s="3" t="n">
        <v>2028</v>
      </c>
      <c r="E791" s="3" t="inlineStr">
        <is>
          <t>CoreWeave Muskogee OK</t>
        </is>
      </c>
      <c r="F791" s="3" t="inlineStr">
        <is>
          <t>CoreWeave</t>
        </is>
      </c>
      <c r="G791" s="3" t="inlineStr">
        <is>
          <t>United States</t>
        </is>
      </c>
      <c r="H791" s="25" t="n">
        <v>153</v>
      </c>
      <c r="I791" s="17" t="n">
        <v>1</v>
      </c>
      <c r="J791" s="17" t="n">
        <v>0.59</v>
      </c>
      <c r="K791" s="26" t="n">
        <v>0.41</v>
      </c>
      <c r="L791" s="3" t="inlineStr">
        <is>
          <t>2027-12-31</t>
        </is>
      </c>
      <c r="M791" s="27" t="n">
        <v>0</v>
      </c>
      <c r="N791" s="27" t="n">
        <v>153</v>
      </c>
      <c r="O791" s="3" t="inlineStr">
        <is>
          <t>speculative</t>
        </is>
      </c>
      <c r="P791" s="3" t="inlineStr">
        <is>
          <t>B300</t>
        </is>
      </c>
      <c r="Q791" s="3" t="inlineStr">
        <is>
          <t>epoch_user_site_equal_split_seed</t>
        </is>
      </c>
      <c r="R791" s="3" t="inlineStr">
        <is>
          <t>SRC_EPOCH_AI_DATA_CENTERS; EPOCH_NORMALIZED_USER_SITES</t>
        </is>
      </c>
      <c r="S791" s="3" t="inlineStr">
        <is>
          <t>Capacity weight is used only to weight accelerator mix, not to overwrite company total power in 02_Inputs.</t>
        </is>
      </c>
    </row>
    <row r="792">
      <c r="A792" s="3" t="inlineStr">
        <is>
          <t>Bear|OpenAI|2029|CoreWeave Muskogee OK</t>
        </is>
      </c>
      <c r="B792" s="3" t="inlineStr">
        <is>
          <t>Bear</t>
        </is>
      </c>
      <c r="C792" s="3" t="inlineStr">
        <is>
          <t>OpenAI</t>
        </is>
      </c>
      <c r="D792" s="3" t="n">
        <v>2029</v>
      </c>
      <c r="E792" s="3" t="inlineStr">
        <is>
          <t>CoreWeave Muskogee OK</t>
        </is>
      </c>
      <c r="F792" s="3" t="inlineStr">
        <is>
          <t>CoreWeave</t>
        </is>
      </c>
      <c r="G792" s="3" t="inlineStr">
        <is>
          <t>United States</t>
        </is>
      </c>
      <c r="H792" s="25" t="n">
        <v>153</v>
      </c>
      <c r="I792" s="17" t="n">
        <v>1</v>
      </c>
      <c r="J792" s="17" t="n">
        <v>0.635</v>
      </c>
      <c r="K792" s="26" t="n">
        <v>0.365</v>
      </c>
      <c r="L792" s="3" t="inlineStr">
        <is>
          <t>2027-12-31</t>
        </is>
      </c>
      <c r="M792" s="27" t="n">
        <v>0</v>
      </c>
      <c r="N792" s="27" t="n">
        <v>153</v>
      </c>
      <c r="O792" s="3" t="inlineStr">
        <is>
          <t>speculative</t>
        </is>
      </c>
      <c r="P792" s="3" t="inlineStr">
        <is>
          <t>B300</t>
        </is>
      </c>
      <c r="Q792" s="3" t="inlineStr">
        <is>
          <t>epoch_user_site_equal_split_seed</t>
        </is>
      </c>
      <c r="R792" s="3" t="inlineStr">
        <is>
          <t>SRC_EPOCH_AI_DATA_CENTERS; EPOCH_NORMALIZED_USER_SITES</t>
        </is>
      </c>
      <c r="S792" s="3" t="inlineStr">
        <is>
          <t>Capacity weight is used only to weight accelerator mix, not to overwrite company total power in 02_Inputs.</t>
        </is>
      </c>
    </row>
    <row r="793">
      <c r="A793" s="3" t="inlineStr">
        <is>
          <t>Bear|OpenAI|2030|CoreWeave Muskogee OK</t>
        </is>
      </c>
      <c r="B793" s="3" t="inlineStr">
        <is>
          <t>Bear</t>
        </is>
      </c>
      <c r="C793" s="3" t="inlineStr">
        <is>
          <t>OpenAI</t>
        </is>
      </c>
      <c r="D793" s="3" t="n">
        <v>2030</v>
      </c>
      <c r="E793" s="3" t="inlineStr">
        <is>
          <t>CoreWeave Muskogee OK</t>
        </is>
      </c>
      <c r="F793" s="3" t="inlineStr">
        <is>
          <t>CoreWeave</t>
        </is>
      </c>
      <c r="G793" s="3" t="inlineStr">
        <is>
          <t>United States</t>
        </is>
      </c>
      <c r="H793" s="25" t="n">
        <v>153</v>
      </c>
      <c r="I793" s="17" t="n">
        <v>1</v>
      </c>
      <c r="J793" s="17" t="n">
        <v>0.68</v>
      </c>
      <c r="K793" s="26" t="n">
        <v>0.32</v>
      </c>
      <c r="L793" s="3" t="inlineStr">
        <is>
          <t>2027-12-31</t>
        </is>
      </c>
      <c r="M793" s="27" t="n">
        <v>0</v>
      </c>
      <c r="N793" s="27" t="n">
        <v>153</v>
      </c>
      <c r="O793" s="3" t="inlineStr">
        <is>
          <t>speculative</t>
        </is>
      </c>
      <c r="P793" s="3" t="inlineStr">
        <is>
          <t>B300</t>
        </is>
      </c>
      <c r="Q793" s="3" t="inlineStr">
        <is>
          <t>epoch_user_site_equal_split_seed</t>
        </is>
      </c>
      <c r="R793" s="3" t="inlineStr">
        <is>
          <t>SRC_EPOCH_AI_DATA_CENTERS; EPOCH_NORMALIZED_USER_SITES</t>
        </is>
      </c>
      <c r="S793" s="3" t="inlineStr">
        <is>
          <t>Capacity weight is used only to weight accelerator mix, not to overwrite company total power in 02_Inputs.</t>
        </is>
      </c>
    </row>
    <row r="794">
      <c r="A794" s="3" t="inlineStr">
        <is>
          <t>Base|OpenAI|2027|CoreWeave Muskogee OK</t>
        </is>
      </c>
      <c r="B794" s="3" t="inlineStr">
        <is>
          <t>Base</t>
        </is>
      </c>
      <c r="C794" s="3" t="inlineStr">
        <is>
          <t>OpenAI</t>
        </is>
      </c>
      <c r="D794" s="3" t="n">
        <v>2027</v>
      </c>
      <c r="E794" s="3" t="inlineStr">
        <is>
          <t>CoreWeave Muskogee OK</t>
        </is>
      </c>
      <c r="F794" s="3" t="inlineStr">
        <is>
          <t>CoreWeave</t>
        </is>
      </c>
      <c r="G794" s="3" t="inlineStr">
        <is>
          <t>United States</t>
        </is>
      </c>
      <c r="H794" s="25" t="n">
        <v>153</v>
      </c>
      <c r="I794" s="17" t="n">
        <v>1</v>
      </c>
      <c r="J794" s="17" t="n">
        <v>0.63</v>
      </c>
      <c r="K794" s="26" t="n">
        <v>0.37</v>
      </c>
      <c r="L794" s="3" t="inlineStr">
        <is>
          <t>2027-12-31</t>
        </is>
      </c>
      <c r="M794" s="27" t="n">
        <v>0</v>
      </c>
      <c r="N794" s="27" t="n">
        <v>153</v>
      </c>
      <c r="O794" s="3" t="inlineStr">
        <is>
          <t>speculative</t>
        </is>
      </c>
      <c r="P794" s="3" t="inlineStr">
        <is>
          <t>B300</t>
        </is>
      </c>
      <c r="Q794" s="3" t="inlineStr">
        <is>
          <t>epoch_user_site_equal_split_seed</t>
        </is>
      </c>
      <c r="R794" s="3" t="inlineStr">
        <is>
          <t>SRC_EPOCH_AI_DATA_CENTERS; EPOCH_NORMALIZED_USER_SITES</t>
        </is>
      </c>
      <c r="S794" s="3" t="inlineStr">
        <is>
          <t>Capacity weight is used only to weight accelerator mix, not to overwrite company total power in 02_Inputs.</t>
        </is>
      </c>
    </row>
    <row r="795">
      <c r="A795" s="3" t="inlineStr">
        <is>
          <t>Base|OpenAI|2028|CoreWeave Muskogee OK</t>
        </is>
      </c>
      <c r="B795" s="3" t="inlineStr">
        <is>
          <t>Base</t>
        </is>
      </c>
      <c r="C795" s="3" t="inlineStr">
        <is>
          <t>OpenAI</t>
        </is>
      </c>
      <c r="D795" s="3" t="n">
        <v>2028</v>
      </c>
      <c r="E795" s="3" t="inlineStr">
        <is>
          <t>CoreWeave Muskogee OK</t>
        </is>
      </c>
      <c r="F795" s="3" t="inlineStr">
        <is>
          <t>CoreWeave</t>
        </is>
      </c>
      <c r="G795" s="3" t="inlineStr">
        <is>
          <t>United States</t>
        </is>
      </c>
      <c r="H795" s="25" t="n">
        <v>153</v>
      </c>
      <c r="I795" s="17" t="n">
        <v>1</v>
      </c>
      <c r="J795" s="17" t="n">
        <v>0.68</v>
      </c>
      <c r="K795" s="26" t="n">
        <v>0.32</v>
      </c>
      <c r="L795" s="3" t="inlineStr">
        <is>
          <t>2027-12-31</t>
        </is>
      </c>
      <c r="M795" s="27" t="n">
        <v>0</v>
      </c>
      <c r="N795" s="27" t="n">
        <v>153</v>
      </c>
      <c r="O795" s="3" t="inlineStr">
        <is>
          <t>speculative</t>
        </is>
      </c>
      <c r="P795" s="3" t="inlineStr">
        <is>
          <t>B300</t>
        </is>
      </c>
      <c r="Q795" s="3" t="inlineStr">
        <is>
          <t>epoch_user_site_equal_split_seed</t>
        </is>
      </c>
      <c r="R795" s="3" t="inlineStr">
        <is>
          <t>SRC_EPOCH_AI_DATA_CENTERS; EPOCH_NORMALIZED_USER_SITES</t>
        </is>
      </c>
      <c r="S795" s="3" t="inlineStr">
        <is>
          <t>Capacity weight is used only to weight accelerator mix, not to overwrite company total power in 02_Inputs.</t>
        </is>
      </c>
    </row>
    <row r="796">
      <c r="A796" s="3" t="inlineStr">
        <is>
          <t>Base|OpenAI|2029|CoreWeave Muskogee OK</t>
        </is>
      </c>
      <c r="B796" s="3" t="inlineStr">
        <is>
          <t>Base</t>
        </is>
      </c>
      <c r="C796" s="3" t="inlineStr">
        <is>
          <t>OpenAI</t>
        </is>
      </c>
      <c r="D796" s="3" t="n">
        <v>2029</v>
      </c>
      <c r="E796" s="3" t="inlineStr">
        <is>
          <t>CoreWeave Muskogee OK</t>
        </is>
      </c>
      <c r="F796" s="3" t="inlineStr">
        <is>
          <t>CoreWeave</t>
        </is>
      </c>
      <c r="G796" s="3" t="inlineStr">
        <is>
          <t>United States</t>
        </is>
      </c>
      <c r="H796" s="25" t="n">
        <v>153</v>
      </c>
      <c r="I796" s="17" t="n">
        <v>1</v>
      </c>
      <c r="J796" s="17" t="n">
        <v>0.73</v>
      </c>
      <c r="K796" s="26" t="n">
        <v>0.27</v>
      </c>
      <c r="L796" s="3" t="inlineStr">
        <is>
          <t>2027-12-31</t>
        </is>
      </c>
      <c r="M796" s="27" t="n">
        <v>0</v>
      </c>
      <c r="N796" s="27" t="n">
        <v>153</v>
      </c>
      <c r="O796" s="3" t="inlineStr">
        <is>
          <t>speculative</t>
        </is>
      </c>
      <c r="P796" s="3" t="inlineStr">
        <is>
          <t>B300</t>
        </is>
      </c>
      <c r="Q796" s="3" t="inlineStr">
        <is>
          <t>epoch_user_site_equal_split_seed</t>
        </is>
      </c>
      <c r="R796" s="3" t="inlineStr">
        <is>
          <t>SRC_EPOCH_AI_DATA_CENTERS; EPOCH_NORMALIZED_USER_SITES</t>
        </is>
      </c>
      <c r="S796" s="3" t="inlineStr">
        <is>
          <t>Capacity weight is used only to weight accelerator mix, not to overwrite company total power in 02_Inputs.</t>
        </is>
      </c>
    </row>
    <row r="797">
      <c r="A797" s="3" t="inlineStr">
        <is>
          <t>Base|OpenAI|2030|CoreWeave Muskogee OK</t>
        </is>
      </c>
      <c r="B797" s="3" t="inlineStr">
        <is>
          <t>Base</t>
        </is>
      </c>
      <c r="C797" s="3" t="inlineStr">
        <is>
          <t>OpenAI</t>
        </is>
      </c>
      <c r="D797" s="3" t="n">
        <v>2030</v>
      </c>
      <c r="E797" s="3" t="inlineStr">
        <is>
          <t>CoreWeave Muskogee OK</t>
        </is>
      </c>
      <c r="F797" s="3" t="inlineStr">
        <is>
          <t>CoreWeave</t>
        </is>
      </c>
      <c r="G797" s="3" t="inlineStr">
        <is>
          <t>United States</t>
        </is>
      </c>
      <c r="H797" s="25" t="n">
        <v>153</v>
      </c>
      <c r="I797" s="17" t="n">
        <v>1</v>
      </c>
      <c r="J797" s="17" t="n">
        <v>0.78</v>
      </c>
      <c r="K797" s="26" t="n">
        <v>0.22</v>
      </c>
      <c r="L797" s="3" t="inlineStr">
        <is>
          <t>2027-12-31</t>
        </is>
      </c>
      <c r="M797" s="27" t="n">
        <v>0</v>
      </c>
      <c r="N797" s="27" t="n">
        <v>153</v>
      </c>
      <c r="O797" s="3" t="inlineStr">
        <is>
          <t>speculative</t>
        </is>
      </c>
      <c r="P797" s="3" t="inlineStr">
        <is>
          <t>B300</t>
        </is>
      </c>
      <c r="Q797" s="3" t="inlineStr">
        <is>
          <t>epoch_user_site_equal_split_seed</t>
        </is>
      </c>
      <c r="R797" s="3" t="inlineStr">
        <is>
          <t>SRC_EPOCH_AI_DATA_CENTERS; EPOCH_NORMALIZED_USER_SITES</t>
        </is>
      </c>
      <c r="S797" s="3" t="inlineStr">
        <is>
          <t>Capacity weight is used only to weight accelerator mix, not to overwrite company total power in 02_Inputs.</t>
        </is>
      </c>
    </row>
    <row r="798">
      <c r="A798" s="3" t="inlineStr">
        <is>
          <t>Bull|OpenAI|2027|CoreWeave Muskogee OK</t>
        </is>
      </c>
      <c r="B798" s="3" t="inlineStr">
        <is>
          <t>Bull</t>
        </is>
      </c>
      <c r="C798" s="3" t="inlineStr">
        <is>
          <t>OpenAI</t>
        </is>
      </c>
      <c r="D798" s="3" t="n">
        <v>2027</v>
      </c>
      <c r="E798" s="3" t="inlineStr">
        <is>
          <t>CoreWeave Muskogee OK</t>
        </is>
      </c>
      <c r="F798" s="3" t="inlineStr">
        <is>
          <t>CoreWeave</t>
        </is>
      </c>
      <c r="G798" s="3" t="inlineStr">
        <is>
          <t>United States</t>
        </is>
      </c>
      <c r="H798" s="25" t="n">
        <v>153</v>
      </c>
      <c r="I798" s="17" t="n">
        <v>1</v>
      </c>
      <c r="J798" s="17" t="n">
        <v>0.6879999999999999</v>
      </c>
      <c r="K798" s="26" t="n">
        <v>0.312</v>
      </c>
      <c r="L798" s="3" t="inlineStr">
        <is>
          <t>2027-12-31</t>
        </is>
      </c>
      <c r="M798" s="27" t="n">
        <v>0</v>
      </c>
      <c r="N798" s="27" t="n">
        <v>153</v>
      </c>
      <c r="O798" s="3" t="inlineStr">
        <is>
          <t>speculative</t>
        </is>
      </c>
      <c r="P798" s="3" t="inlineStr">
        <is>
          <t>B300</t>
        </is>
      </c>
      <c r="Q798" s="3" t="inlineStr">
        <is>
          <t>epoch_user_site_equal_split_seed</t>
        </is>
      </c>
      <c r="R798" s="3" t="inlineStr">
        <is>
          <t>SRC_EPOCH_AI_DATA_CENTERS; EPOCH_NORMALIZED_USER_SITES</t>
        </is>
      </c>
      <c r="S798" s="3" t="inlineStr">
        <is>
          <t>Capacity weight is used only to weight accelerator mix, not to overwrite company total power in 02_Inputs.</t>
        </is>
      </c>
    </row>
    <row r="799">
      <c r="A799" s="3" t="inlineStr">
        <is>
          <t>Bull|OpenAI|2028|CoreWeave Muskogee OK</t>
        </is>
      </c>
      <c r="B799" s="3" t="inlineStr">
        <is>
          <t>Bull</t>
        </is>
      </c>
      <c r="C799" s="3" t="inlineStr">
        <is>
          <t>OpenAI</t>
        </is>
      </c>
      <c r="D799" s="3" t="n">
        <v>2028</v>
      </c>
      <c r="E799" s="3" t="inlineStr">
        <is>
          <t>CoreWeave Muskogee OK</t>
        </is>
      </c>
      <c r="F799" s="3" t="inlineStr">
        <is>
          <t>CoreWeave</t>
        </is>
      </c>
      <c r="G799" s="3" t="inlineStr">
        <is>
          <t>United States</t>
        </is>
      </c>
      <c r="H799" s="25" t="n">
        <v>153</v>
      </c>
      <c r="I799" s="17" t="n">
        <v>1</v>
      </c>
      <c r="J799" s="17" t="n">
        <v>0.745</v>
      </c>
      <c r="K799" s="26" t="n">
        <v>0.255</v>
      </c>
      <c r="L799" s="3" t="inlineStr">
        <is>
          <t>2027-12-31</t>
        </is>
      </c>
      <c r="M799" s="27" t="n">
        <v>0</v>
      </c>
      <c r="N799" s="27" t="n">
        <v>153</v>
      </c>
      <c r="O799" s="3" t="inlineStr">
        <is>
          <t>speculative</t>
        </is>
      </c>
      <c r="P799" s="3" t="inlineStr">
        <is>
          <t>B300</t>
        </is>
      </c>
      <c r="Q799" s="3" t="inlineStr">
        <is>
          <t>epoch_user_site_equal_split_seed</t>
        </is>
      </c>
      <c r="R799" s="3" t="inlineStr">
        <is>
          <t>SRC_EPOCH_AI_DATA_CENTERS; EPOCH_NORMALIZED_USER_SITES</t>
        </is>
      </c>
      <c r="S799" s="3" t="inlineStr">
        <is>
          <t>Capacity weight is used only to weight accelerator mix, not to overwrite company total power in 02_Inputs.</t>
        </is>
      </c>
    </row>
    <row r="800">
      <c r="A800" s="3" t="inlineStr">
        <is>
          <t>Bull|OpenAI|2029|CoreWeave Muskogee OK</t>
        </is>
      </c>
      <c r="B800" s="3" t="inlineStr">
        <is>
          <t>Bull</t>
        </is>
      </c>
      <c r="C800" s="3" t="inlineStr">
        <is>
          <t>OpenAI</t>
        </is>
      </c>
      <c r="D800" s="3" t="n">
        <v>2029</v>
      </c>
      <c r="E800" s="3" t="inlineStr">
        <is>
          <t>CoreWeave Muskogee OK</t>
        </is>
      </c>
      <c r="F800" s="3" t="inlineStr">
        <is>
          <t>CoreWeave</t>
        </is>
      </c>
      <c r="G800" s="3" t="inlineStr">
        <is>
          <t>United States</t>
        </is>
      </c>
      <c r="H800" s="25" t="n">
        <v>153</v>
      </c>
      <c r="I800" s="17" t="n">
        <v>1</v>
      </c>
      <c r="J800" s="17" t="n">
        <v>0.802</v>
      </c>
      <c r="K800" s="26" t="n">
        <v>0.198</v>
      </c>
      <c r="L800" s="3" t="inlineStr">
        <is>
          <t>2027-12-31</t>
        </is>
      </c>
      <c r="M800" s="27" t="n">
        <v>0</v>
      </c>
      <c r="N800" s="27" t="n">
        <v>153</v>
      </c>
      <c r="O800" s="3" t="inlineStr">
        <is>
          <t>speculative</t>
        </is>
      </c>
      <c r="P800" s="3" t="inlineStr">
        <is>
          <t>B300</t>
        </is>
      </c>
      <c r="Q800" s="3" t="inlineStr">
        <is>
          <t>epoch_user_site_equal_split_seed</t>
        </is>
      </c>
      <c r="R800" s="3" t="inlineStr">
        <is>
          <t>SRC_EPOCH_AI_DATA_CENTERS; EPOCH_NORMALIZED_USER_SITES</t>
        </is>
      </c>
      <c r="S800" s="3" t="inlineStr">
        <is>
          <t>Capacity weight is used only to weight accelerator mix, not to overwrite company total power in 02_Inputs.</t>
        </is>
      </c>
    </row>
    <row r="801">
      <c r="A801" s="3" t="inlineStr">
        <is>
          <t>Bull|OpenAI|2030|CoreWeave Muskogee OK</t>
        </is>
      </c>
      <c r="B801" s="3" t="inlineStr">
        <is>
          <t>Bull</t>
        </is>
      </c>
      <c r="C801" s="3" t="inlineStr">
        <is>
          <t>OpenAI</t>
        </is>
      </c>
      <c r="D801" s="3" t="n">
        <v>2030</v>
      </c>
      <c r="E801" s="3" t="inlineStr">
        <is>
          <t>CoreWeave Muskogee OK</t>
        </is>
      </c>
      <c r="F801" s="3" t="inlineStr">
        <is>
          <t>CoreWeave</t>
        </is>
      </c>
      <c r="G801" s="3" t="inlineStr">
        <is>
          <t>United States</t>
        </is>
      </c>
      <c r="H801" s="25" t="n">
        <v>153</v>
      </c>
      <c r="I801" s="17" t="n">
        <v>1</v>
      </c>
      <c r="J801" s="17" t="n">
        <v>0.86</v>
      </c>
      <c r="K801" s="26" t="n">
        <v>0.14</v>
      </c>
      <c r="L801" s="3" t="inlineStr">
        <is>
          <t>2027-12-31</t>
        </is>
      </c>
      <c r="M801" s="27" t="n">
        <v>0</v>
      </c>
      <c r="N801" s="27" t="n">
        <v>153</v>
      </c>
      <c r="O801" s="3" t="inlineStr">
        <is>
          <t>speculative</t>
        </is>
      </c>
      <c r="P801" s="3" t="inlineStr">
        <is>
          <t>B300</t>
        </is>
      </c>
      <c r="Q801" s="3" t="inlineStr">
        <is>
          <t>epoch_user_site_equal_split_seed</t>
        </is>
      </c>
      <c r="R801" s="3" t="inlineStr">
        <is>
          <t>SRC_EPOCH_AI_DATA_CENTERS; EPOCH_NORMALIZED_USER_SITES</t>
        </is>
      </c>
      <c r="S801" s="3" t="inlineStr">
        <is>
          <t>Capacity weight is used only to weight accelerator mix, not to overwrite company total power in 02_Inputs.</t>
        </is>
      </c>
    </row>
    <row r="802">
      <c r="A802" s="3" t="inlineStr">
        <is>
          <t>Grid-Constrained / Efficiency-Upside|OpenAI|2027|CoreWeave Muskogee OK</t>
        </is>
      </c>
      <c r="B802" s="3" t="inlineStr">
        <is>
          <t>Grid-Constrained / Efficiency-Upside</t>
        </is>
      </c>
      <c r="C802" s="3" t="inlineStr">
        <is>
          <t>OpenAI</t>
        </is>
      </c>
      <c r="D802" s="3" t="n">
        <v>2027</v>
      </c>
      <c r="E802" s="3" t="inlineStr">
        <is>
          <t>CoreWeave Muskogee OK</t>
        </is>
      </c>
      <c r="F802" s="3" t="inlineStr">
        <is>
          <t>CoreWeave</t>
        </is>
      </c>
      <c r="G802" s="3" t="inlineStr">
        <is>
          <t>United States</t>
        </is>
      </c>
      <c r="H802" s="25" t="n">
        <v>153</v>
      </c>
      <c r="I802" s="17" t="n">
        <v>1</v>
      </c>
      <c r="J802" s="17" t="n">
        <v>0.655</v>
      </c>
      <c r="K802" s="26" t="n">
        <v>0.345</v>
      </c>
      <c r="L802" s="3" t="inlineStr">
        <is>
          <t>2027-12-31</t>
        </is>
      </c>
      <c r="M802" s="27" t="n">
        <v>0</v>
      </c>
      <c r="N802" s="27" t="n">
        <v>153</v>
      </c>
      <c r="O802" s="3" t="inlineStr">
        <is>
          <t>speculative</t>
        </is>
      </c>
      <c r="P802" s="3" t="inlineStr">
        <is>
          <t>B300</t>
        </is>
      </c>
      <c r="Q802" s="3" t="inlineStr">
        <is>
          <t>epoch_user_site_equal_split_seed</t>
        </is>
      </c>
      <c r="R802" s="3" t="inlineStr">
        <is>
          <t>SRC_EPOCH_AI_DATA_CENTERS; EPOCH_NORMALIZED_USER_SITES</t>
        </is>
      </c>
      <c r="S802" s="3" t="inlineStr">
        <is>
          <t>Capacity weight is used only to weight accelerator mix, not to overwrite company total power in 02_Inputs.</t>
        </is>
      </c>
    </row>
    <row r="803">
      <c r="A803" s="3" t="inlineStr">
        <is>
          <t>Grid-Constrained / Efficiency-Upside|OpenAI|2028|CoreWeave Muskogee OK</t>
        </is>
      </c>
      <c r="B803" s="3" t="inlineStr">
        <is>
          <t>Grid-Constrained / Efficiency-Upside</t>
        </is>
      </c>
      <c r="C803" s="3" t="inlineStr">
        <is>
          <t>OpenAI</t>
        </is>
      </c>
      <c r="D803" s="3" t="n">
        <v>2028</v>
      </c>
      <c r="E803" s="3" t="inlineStr">
        <is>
          <t>CoreWeave Muskogee OK</t>
        </is>
      </c>
      <c r="F803" s="3" t="inlineStr">
        <is>
          <t>CoreWeave</t>
        </is>
      </c>
      <c r="G803" s="3" t="inlineStr">
        <is>
          <t>United States</t>
        </is>
      </c>
      <c r="H803" s="25" t="n">
        <v>153</v>
      </c>
      <c r="I803" s="17" t="n">
        <v>1</v>
      </c>
      <c r="J803" s="17" t="n">
        <v>0.71</v>
      </c>
      <c r="K803" s="26" t="n">
        <v>0.29</v>
      </c>
      <c r="L803" s="3" t="inlineStr">
        <is>
          <t>2027-12-31</t>
        </is>
      </c>
      <c r="M803" s="27" t="n">
        <v>0</v>
      </c>
      <c r="N803" s="27" t="n">
        <v>153</v>
      </c>
      <c r="O803" s="3" t="inlineStr">
        <is>
          <t>speculative</t>
        </is>
      </c>
      <c r="P803" s="3" t="inlineStr">
        <is>
          <t>B300</t>
        </is>
      </c>
      <c r="Q803" s="3" t="inlineStr">
        <is>
          <t>epoch_user_site_equal_split_seed</t>
        </is>
      </c>
      <c r="R803" s="3" t="inlineStr">
        <is>
          <t>SRC_EPOCH_AI_DATA_CENTERS; EPOCH_NORMALIZED_USER_SITES</t>
        </is>
      </c>
      <c r="S803" s="3" t="inlineStr">
        <is>
          <t>Capacity weight is used only to weight accelerator mix, not to overwrite company total power in 02_Inputs.</t>
        </is>
      </c>
    </row>
    <row r="804">
      <c r="A804" s="3" t="inlineStr">
        <is>
          <t>Grid-Constrained / Efficiency-Upside|OpenAI|2029|CoreWeave Muskogee OK</t>
        </is>
      </c>
      <c r="B804" s="3" t="inlineStr">
        <is>
          <t>Grid-Constrained / Efficiency-Upside</t>
        </is>
      </c>
      <c r="C804" s="3" t="inlineStr">
        <is>
          <t>OpenAI</t>
        </is>
      </c>
      <c r="D804" s="3" t="n">
        <v>2029</v>
      </c>
      <c r="E804" s="3" t="inlineStr">
        <is>
          <t>CoreWeave Muskogee OK</t>
        </is>
      </c>
      <c r="F804" s="3" t="inlineStr">
        <is>
          <t>CoreWeave</t>
        </is>
      </c>
      <c r="G804" s="3" t="inlineStr">
        <is>
          <t>United States</t>
        </is>
      </c>
      <c r="H804" s="25" t="n">
        <v>153</v>
      </c>
      <c r="I804" s="17" t="n">
        <v>1</v>
      </c>
      <c r="J804" s="17" t="n">
        <v>0.765</v>
      </c>
      <c r="K804" s="26" t="n">
        <v>0.235</v>
      </c>
      <c r="L804" s="3" t="inlineStr">
        <is>
          <t>2027-12-31</t>
        </is>
      </c>
      <c r="M804" s="27" t="n">
        <v>0</v>
      </c>
      <c r="N804" s="27" t="n">
        <v>153</v>
      </c>
      <c r="O804" s="3" t="inlineStr">
        <is>
          <t>speculative</t>
        </is>
      </c>
      <c r="P804" s="3" t="inlineStr">
        <is>
          <t>B300</t>
        </is>
      </c>
      <c r="Q804" s="3" t="inlineStr">
        <is>
          <t>epoch_user_site_equal_split_seed</t>
        </is>
      </c>
      <c r="R804" s="3" t="inlineStr">
        <is>
          <t>SRC_EPOCH_AI_DATA_CENTERS; EPOCH_NORMALIZED_USER_SITES</t>
        </is>
      </c>
      <c r="S804" s="3" t="inlineStr">
        <is>
          <t>Capacity weight is used only to weight accelerator mix, not to overwrite company total power in 02_Inputs.</t>
        </is>
      </c>
    </row>
    <row r="805">
      <c r="A805" s="3" t="inlineStr">
        <is>
          <t>Grid-Constrained / Efficiency-Upside|OpenAI|2030|CoreWeave Muskogee OK</t>
        </is>
      </c>
      <c r="B805" s="3" t="inlineStr">
        <is>
          <t>Grid-Constrained / Efficiency-Upside</t>
        </is>
      </c>
      <c r="C805" s="3" t="inlineStr">
        <is>
          <t>OpenAI</t>
        </is>
      </c>
      <c r="D805" s="3" t="n">
        <v>2030</v>
      </c>
      <c r="E805" s="3" t="inlineStr">
        <is>
          <t>CoreWeave Muskogee OK</t>
        </is>
      </c>
      <c r="F805" s="3" t="inlineStr">
        <is>
          <t>CoreWeave</t>
        </is>
      </c>
      <c r="G805" s="3" t="inlineStr">
        <is>
          <t>United States</t>
        </is>
      </c>
      <c r="H805" s="25" t="n">
        <v>153</v>
      </c>
      <c r="I805" s="17" t="n">
        <v>1</v>
      </c>
      <c r="J805" s="17" t="n">
        <v>0.82</v>
      </c>
      <c r="K805" s="26" t="n">
        <v>0.18</v>
      </c>
      <c r="L805" s="3" t="inlineStr">
        <is>
          <t>2027-12-31</t>
        </is>
      </c>
      <c r="M805" s="27" t="n">
        <v>0</v>
      </c>
      <c r="N805" s="27" t="n">
        <v>153</v>
      </c>
      <c r="O805" s="3" t="inlineStr">
        <is>
          <t>speculative</t>
        </is>
      </c>
      <c r="P805" s="3" t="inlineStr">
        <is>
          <t>B300</t>
        </is>
      </c>
      <c r="Q805" s="3" t="inlineStr">
        <is>
          <t>epoch_user_site_equal_split_seed</t>
        </is>
      </c>
      <c r="R805" s="3" t="inlineStr">
        <is>
          <t>SRC_EPOCH_AI_DATA_CENTERS; EPOCH_NORMALIZED_USER_SITES</t>
        </is>
      </c>
      <c r="S805" s="3" t="inlineStr">
        <is>
          <t>Capacity weight is used only to weight accelerator mix, not to overwrite company total power in 02_Inputs.</t>
        </is>
      </c>
    </row>
    <row r="806">
      <c r="A806" s="3" t="inlineStr">
        <is>
          <t>Bear|OpenAI|2026|Coreweave Helios</t>
        </is>
      </c>
      <c r="B806" s="3" t="inlineStr">
        <is>
          <t>Bear</t>
        </is>
      </c>
      <c r="C806" s="3" t="inlineStr">
        <is>
          <t>OpenAI</t>
        </is>
      </c>
      <c r="D806" s="3" t="n">
        <v>2026</v>
      </c>
      <c r="E806" s="3" t="inlineStr">
        <is>
          <t>Coreweave Helios</t>
        </is>
      </c>
      <c r="F806" s="3" t="inlineStr">
        <is>
          <t>CoreWeave</t>
        </is>
      </c>
      <c r="G806" s="3" t="inlineStr">
        <is>
          <t>United States</t>
        </is>
      </c>
      <c r="H806" s="25" t="n">
        <v>132</v>
      </c>
      <c r="I806" s="17" t="n">
        <v>1</v>
      </c>
      <c r="J806" s="17" t="n">
        <v>0.5</v>
      </c>
      <c r="K806" s="26" t="n">
        <v>0.5</v>
      </c>
      <c r="L806" s="3" t="inlineStr">
        <is>
          <t>2029-01-01</t>
        </is>
      </c>
      <c r="M806" s="27" t="n">
        <v>132</v>
      </c>
      <c r="N806" s="27" t="n">
        <v>528</v>
      </c>
      <c r="O806" s="3" t="inlineStr">
        <is>
          <t>speculative</t>
        </is>
      </c>
      <c r="P806" s="3" t="inlineStr">
        <is>
          <t>B200</t>
        </is>
      </c>
      <c r="Q806" s="3" t="inlineStr">
        <is>
          <t>epoch_user_site_equal_split_seed</t>
        </is>
      </c>
      <c r="R806" s="3" t="inlineStr">
        <is>
          <t>SRC_EPOCH_AI_DATA_CENTERS; EPOCH_NORMALIZED_USER_SITES</t>
        </is>
      </c>
      <c r="S806" s="3" t="inlineStr">
        <is>
          <t>Capacity weight is used only to weight accelerator mix, not to overwrite company total power in 02_Inputs.</t>
        </is>
      </c>
    </row>
    <row r="807">
      <c r="A807" s="3" t="inlineStr">
        <is>
          <t>Bear|OpenAI|2027|Coreweave Helios</t>
        </is>
      </c>
      <c r="B807" s="3" t="inlineStr">
        <is>
          <t>Bear</t>
        </is>
      </c>
      <c r="C807" s="3" t="inlineStr">
        <is>
          <t>OpenAI</t>
        </is>
      </c>
      <c r="D807" s="3" t="n">
        <v>2027</v>
      </c>
      <c r="E807" s="3" t="inlineStr">
        <is>
          <t>Coreweave Helios</t>
        </is>
      </c>
      <c r="F807" s="3" t="inlineStr">
        <is>
          <t>CoreWeave</t>
        </is>
      </c>
      <c r="G807" s="3" t="inlineStr">
        <is>
          <t>United States</t>
        </is>
      </c>
      <c r="H807" s="25" t="n">
        <v>132</v>
      </c>
      <c r="I807" s="17" t="n">
        <v>1</v>
      </c>
      <c r="J807" s="17" t="n">
        <v>0.545</v>
      </c>
      <c r="K807" s="26" t="n">
        <v>0.455</v>
      </c>
      <c r="L807" s="3" t="inlineStr">
        <is>
          <t>2029-01-01</t>
        </is>
      </c>
      <c r="M807" s="27" t="n">
        <v>132</v>
      </c>
      <c r="N807" s="27" t="n">
        <v>528</v>
      </c>
      <c r="O807" s="3" t="inlineStr">
        <is>
          <t>speculative</t>
        </is>
      </c>
      <c r="P807" s="3" t="inlineStr">
        <is>
          <t>B200</t>
        </is>
      </c>
      <c r="Q807" s="3" t="inlineStr">
        <is>
          <t>epoch_user_site_equal_split_seed</t>
        </is>
      </c>
      <c r="R807" s="3" t="inlineStr">
        <is>
          <t>SRC_EPOCH_AI_DATA_CENTERS; EPOCH_NORMALIZED_USER_SITES</t>
        </is>
      </c>
      <c r="S807" s="3" t="inlineStr">
        <is>
          <t>Capacity weight is used only to weight accelerator mix, not to overwrite company total power in 02_Inputs.</t>
        </is>
      </c>
    </row>
    <row r="808">
      <c r="A808" s="3" t="inlineStr">
        <is>
          <t>Bear|OpenAI|2028|Coreweave Helios</t>
        </is>
      </c>
      <c r="B808" s="3" t="inlineStr">
        <is>
          <t>Bear</t>
        </is>
      </c>
      <c r="C808" s="3" t="inlineStr">
        <is>
          <t>OpenAI</t>
        </is>
      </c>
      <c r="D808" s="3" t="n">
        <v>2028</v>
      </c>
      <c r="E808" s="3" t="inlineStr">
        <is>
          <t>Coreweave Helios</t>
        </is>
      </c>
      <c r="F808" s="3" t="inlineStr">
        <is>
          <t>CoreWeave</t>
        </is>
      </c>
      <c r="G808" s="3" t="inlineStr">
        <is>
          <t>United States</t>
        </is>
      </c>
      <c r="H808" s="25" t="n">
        <v>132</v>
      </c>
      <c r="I808" s="17" t="n">
        <v>1</v>
      </c>
      <c r="J808" s="17" t="n">
        <v>0.59</v>
      </c>
      <c r="K808" s="26" t="n">
        <v>0.41</v>
      </c>
      <c r="L808" s="3" t="inlineStr">
        <is>
          <t>2029-01-01</t>
        </is>
      </c>
      <c r="M808" s="27" t="n">
        <v>132</v>
      </c>
      <c r="N808" s="27" t="n">
        <v>528</v>
      </c>
      <c r="O808" s="3" t="inlineStr">
        <is>
          <t>speculative</t>
        </is>
      </c>
      <c r="P808" s="3" t="inlineStr">
        <is>
          <t>B200</t>
        </is>
      </c>
      <c r="Q808" s="3" t="inlineStr">
        <is>
          <t>epoch_user_site_equal_split_seed</t>
        </is>
      </c>
      <c r="R808" s="3" t="inlineStr">
        <is>
          <t>SRC_EPOCH_AI_DATA_CENTERS; EPOCH_NORMALIZED_USER_SITES</t>
        </is>
      </c>
      <c r="S808" s="3" t="inlineStr">
        <is>
          <t>Capacity weight is used only to weight accelerator mix, not to overwrite company total power in 02_Inputs.</t>
        </is>
      </c>
    </row>
    <row r="809">
      <c r="A809" s="3" t="inlineStr">
        <is>
          <t>Bear|OpenAI|2029|Coreweave Helios</t>
        </is>
      </c>
      <c r="B809" s="3" t="inlineStr">
        <is>
          <t>Bear</t>
        </is>
      </c>
      <c r="C809" s="3" t="inlineStr">
        <is>
          <t>OpenAI</t>
        </is>
      </c>
      <c r="D809" s="3" t="n">
        <v>2029</v>
      </c>
      <c r="E809" s="3" t="inlineStr">
        <is>
          <t>Coreweave Helios</t>
        </is>
      </c>
      <c r="F809" s="3" t="inlineStr">
        <is>
          <t>CoreWeave</t>
        </is>
      </c>
      <c r="G809" s="3" t="inlineStr">
        <is>
          <t>United States</t>
        </is>
      </c>
      <c r="H809" s="25" t="n">
        <v>528</v>
      </c>
      <c r="I809" s="17" t="n">
        <v>1</v>
      </c>
      <c r="J809" s="17" t="n">
        <v>0.635</v>
      </c>
      <c r="K809" s="26" t="n">
        <v>0.365</v>
      </c>
      <c r="L809" s="3" t="inlineStr">
        <is>
          <t>2029-01-01</t>
        </is>
      </c>
      <c r="M809" s="27" t="n">
        <v>132</v>
      </c>
      <c r="N809" s="27" t="n">
        <v>528</v>
      </c>
      <c r="O809" s="3" t="inlineStr">
        <is>
          <t>speculative</t>
        </is>
      </c>
      <c r="P809" s="3" t="inlineStr">
        <is>
          <t>B200</t>
        </is>
      </c>
      <c r="Q809" s="3" t="inlineStr">
        <is>
          <t>epoch_user_site_equal_split_seed</t>
        </is>
      </c>
      <c r="R809" s="3" t="inlineStr">
        <is>
          <t>SRC_EPOCH_AI_DATA_CENTERS; EPOCH_NORMALIZED_USER_SITES</t>
        </is>
      </c>
      <c r="S809" s="3" t="inlineStr">
        <is>
          <t>Capacity weight is used only to weight accelerator mix, not to overwrite company total power in 02_Inputs.</t>
        </is>
      </c>
    </row>
    <row r="810">
      <c r="A810" s="3" t="inlineStr">
        <is>
          <t>Bear|OpenAI|2030|Coreweave Helios</t>
        </is>
      </c>
      <c r="B810" s="3" t="inlineStr">
        <is>
          <t>Bear</t>
        </is>
      </c>
      <c r="C810" s="3" t="inlineStr">
        <is>
          <t>OpenAI</t>
        </is>
      </c>
      <c r="D810" s="3" t="n">
        <v>2030</v>
      </c>
      <c r="E810" s="3" t="inlineStr">
        <is>
          <t>Coreweave Helios</t>
        </is>
      </c>
      <c r="F810" s="3" t="inlineStr">
        <is>
          <t>CoreWeave</t>
        </is>
      </c>
      <c r="G810" s="3" t="inlineStr">
        <is>
          <t>United States</t>
        </is>
      </c>
      <c r="H810" s="25" t="n">
        <v>528</v>
      </c>
      <c r="I810" s="17" t="n">
        <v>1</v>
      </c>
      <c r="J810" s="17" t="n">
        <v>0.68</v>
      </c>
      <c r="K810" s="26" t="n">
        <v>0.32</v>
      </c>
      <c r="L810" s="3" t="inlineStr">
        <is>
          <t>2029-01-01</t>
        </is>
      </c>
      <c r="M810" s="27" t="n">
        <v>132</v>
      </c>
      <c r="N810" s="27" t="n">
        <v>528</v>
      </c>
      <c r="O810" s="3" t="inlineStr">
        <is>
          <t>speculative</t>
        </is>
      </c>
      <c r="P810" s="3" t="inlineStr">
        <is>
          <t>B200</t>
        </is>
      </c>
      <c r="Q810" s="3" t="inlineStr">
        <is>
          <t>epoch_user_site_equal_split_seed</t>
        </is>
      </c>
      <c r="R810" s="3" t="inlineStr">
        <is>
          <t>SRC_EPOCH_AI_DATA_CENTERS; EPOCH_NORMALIZED_USER_SITES</t>
        </is>
      </c>
      <c r="S810" s="3" t="inlineStr">
        <is>
          <t>Capacity weight is used only to weight accelerator mix, not to overwrite company total power in 02_Inputs.</t>
        </is>
      </c>
    </row>
    <row r="811">
      <c r="A811" s="3" t="inlineStr">
        <is>
          <t>Base|OpenAI|2026|Coreweave Helios</t>
        </is>
      </c>
      <c r="B811" s="3" t="inlineStr">
        <is>
          <t>Base</t>
        </is>
      </c>
      <c r="C811" s="3" t="inlineStr">
        <is>
          <t>OpenAI</t>
        </is>
      </c>
      <c r="D811" s="3" t="n">
        <v>2026</v>
      </c>
      <c r="E811" s="3" t="inlineStr">
        <is>
          <t>Coreweave Helios</t>
        </is>
      </c>
      <c r="F811" s="3" t="inlineStr">
        <is>
          <t>CoreWeave</t>
        </is>
      </c>
      <c r="G811" s="3" t="inlineStr">
        <is>
          <t>United States</t>
        </is>
      </c>
      <c r="H811" s="25" t="n">
        <v>132</v>
      </c>
      <c r="I811" s="17" t="n">
        <v>1</v>
      </c>
      <c r="J811" s="17" t="n">
        <v>0.58</v>
      </c>
      <c r="K811" s="26" t="n">
        <v>0.42</v>
      </c>
      <c r="L811" s="3" t="inlineStr">
        <is>
          <t>2029-01-01</t>
        </is>
      </c>
      <c r="M811" s="27" t="n">
        <v>132</v>
      </c>
      <c r="N811" s="27" t="n">
        <v>528</v>
      </c>
      <c r="O811" s="3" t="inlineStr">
        <is>
          <t>speculative</t>
        </is>
      </c>
      <c r="P811" s="3" t="inlineStr">
        <is>
          <t>B200</t>
        </is>
      </c>
      <c r="Q811" s="3" t="inlineStr">
        <is>
          <t>epoch_user_site_equal_split_seed</t>
        </is>
      </c>
      <c r="R811" s="3" t="inlineStr">
        <is>
          <t>SRC_EPOCH_AI_DATA_CENTERS; EPOCH_NORMALIZED_USER_SITES</t>
        </is>
      </c>
      <c r="S811" s="3" t="inlineStr">
        <is>
          <t>Capacity weight is used only to weight accelerator mix, not to overwrite company total power in 02_Inputs.</t>
        </is>
      </c>
    </row>
    <row r="812">
      <c r="A812" s="3" t="inlineStr">
        <is>
          <t>Base|OpenAI|2027|Coreweave Helios</t>
        </is>
      </c>
      <c r="B812" s="3" t="inlineStr">
        <is>
          <t>Base</t>
        </is>
      </c>
      <c r="C812" s="3" t="inlineStr">
        <is>
          <t>OpenAI</t>
        </is>
      </c>
      <c r="D812" s="3" t="n">
        <v>2027</v>
      </c>
      <c r="E812" s="3" t="inlineStr">
        <is>
          <t>Coreweave Helios</t>
        </is>
      </c>
      <c r="F812" s="3" t="inlineStr">
        <is>
          <t>CoreWeave</t>
        </is>
      </c>
      <c r="G812" s="3" t="inlineStr">
        <is>
          <t>United States</t>
        </is>
      </c>
      <c r="H812" s="25" t="n">
        <v>132</v>
      </c>
      <c r="I812" s="17" t="n">
        <v>1</v>
      </c>
      <c r="J812" s="17" t="n">
        <v>0.63</v>
      </c>
      <c r="K812" s="26" t="n">
        <v>0.37</v>
      </c>
      <c r="L812" s="3" t="inlineStr">
        <is>
          <t>2029-01-01</t>
        </is>
      </c>
      <c r="M812" s="27" t="n">
        <v>132</v>
      </c>
      <c r="N812" s="27" t="n">
        <v>528</v>
      </c>
      <c r="O812" s="3" t="inlineStr">
        <is>
          <t>speculative</t>
        </is>
      </c>
      <c r="P812" s="3" t="inlineStr">
        <is>
          <t>B200</t>
        </is>
      </c>
      <c r="Q812" s="3" t="inlineStr">
        <is>
          <t>epoch_user_site_equal_split_seed</t>
        </is>
      </c>
      <c r="R812" s="3" t="inlineStr">
        <is>
          <t>SRC_EPOCH_AI_DATA_CENTERS; EPOCH_NORMALIZED_USER_SITES</t>
        </is>
      </c>
      <c r="S812" s="3" t="inlineStr">
        <is>
          <t>Capacity weight is used only to weight accelerator mix, not to overwrite company total power in 02_Inputs.</t>
        </is>
      </c>
    </row>
    <row r="813">
      <c r="A813" s="3" t="inlineStr">
        <is>
          <t>Base|OpenAI|2028|Coreweave Helios</t>
        </is>
      </c>
      <c r="B813" s="3" t="inlineStr">
        <is>
          <t>Base</t>
        </is>
      </c>
      <c r="C813" s="3" t="inlineStr">
        <is>
          <t>OpenAI</t>
        </is>
      </c>
      <c r="D813" s="3" t="n">
        <v>2028</v>
      </c>
      <c r="E813" s="3" t="inlineStr">
        <is>
          <t>Coreweave Helios</t>
        </is>
      </c>
      <c r="F813" s="3" t="inlineStr">
        <is>
          <t>CoreWeave</t>
        </is>
      </c>
      <c r="G813" s="3" t="inlineStr">
        <is>
          <t>United States</t>
        </is>
      </c>
      <c r="H813" s="25" t="n">
        <v>132</v>
      </c>
      <c r="I813" s="17" t="n">
        <v>1</v>
      </c>
      <c r="J813" s="17" t="n">
        <v>0.68</v>
      </c>
      <c r="K813" s="26" t="n">
        <v>0.32</v>
      </c>
      <c r="L813" s="3" t="inlineStr">
        <is>
          <t>2029-01-01</t>
        </is>
      </c>
      <c r="M813" s="27" t="n">
        <v>132</v>
      </c>
      <c r="N813" s="27" t="n">
        <v>528</v>
      </c>
      <c r="O813" s="3" t="inlineStr">
        <is>
          <t>speculative</t>
        </is>
      </c>
      <c r="P813" s="3" t="inlineStr">
        <is>
          <t>B200</t>
        </is>
      </c>
      <c r="Q813" s="3" t="inlineStr">
        <is>
          <t>epoch_user_site_equal_split_seed</t>
        </is>
      </c>
      <c r="R813" s="3" t="inlineStr">
        <is>
          <t>SRC_EPOCH_AI_DATA_CENTERS; EPOCH_NORMALIZED_USER_SITES</t>
        </is>
      </c>
      <c r="S813" s="3" t="inlineStr">
        <is>
          <t>Capacity weight is used only to weight accelerator mix, not to overwrite company total power in 02_Inputs.</t>
        </is>
      </c>
    </row>
    <row r="814">
      <c r="A814" s="3" t="inlineStr">
        <is>
          <t>Base|OpenAI|2029|Coreweave Helios</t>
        </is>
      </c>
      <c r="B814" s="3" t="inlineStr">
        <is>
          <t>Base</t>
        </is>
      </c>
      <c r="C814" s="3" t="inlineStr">
        <is>
          <t>OpenAI</t>
        </is>
      </c>
      <c r="D814" s="3" t="n">
        <v>2029</v>
      </c>
      <c r="E814" s="3" t="inlineStr">
        <is>
          <t>Coreweave Helios</t>
        </is>
      </c>
      <c r="F814" s="3" t="inlineStr">
        <is>
          <t>CoreWeave</t>
        </is>
      </c>
      <c r="G814" s="3" t="inlineStr">
        <is>
          <t>United States</t>
        </is>
      </c>
      <c r="H814" s="25" t="n">
        <v>528</v>
      </c>
      <c r="I814" s="17" t="n">
        <v>1</v>
      </c>
      <c r="J814" s="17" t="n">
        <v>0.73</v>
      </c>
      <c r="K814" s="26" t="n">
        <v>0.27</v>
      </c>
      <c r="L814" s="3" t="inlineStr">
        <is>
          <t>2029-01-01</t>
        </is>
      </c>
      <c r="M814" s="27" t="n">
        <v>132</v>
      </c>
      <c r="N814" s="27" t="n">
        <v>528</v>
      </c>
      <c r="O814" s="3" t="inlineStr">
        <is>
          <t>speculative</t>
        </is>
      </c>
      <c r="P814" s="3" t="inlineStr">
        <is>
          <t>B200</t>
        </is>
      </c>
      <c r="Q814" s="3" t="inlineStr">
        <is>
          <t>epoch_user_site_equal_split_seed</t>
        </is>
      </c>
      <c r="R814" s="3" t="inlineStr">
        <is>
          <t>SRC_EPOCH_AI_DATA_CENTERS; EPOCH_NORMALIZED_USER_SITES</t>
        </is>
      </c>
      <c r="S814" s="3" t="inlineStr">
        <is>
          <t>Capacity weight is used only to weight accelerator mix, not to overwrite company total power in 02_Inputs.</t>
        </is>
      </c>
    </row>
    <row r="815">
      <c r="A815" s="3" t="inlineStr">
        <is>
          <t>Base|OpenAI|2030|Coreweave Helios</t>
        </is>
      </c>
      <c r="B815" s="3" t="inlineStr">
        <is>
          <t>Base</t>
        </is>
      </c>
      <c r="C815" s="3" t="inlineStr">
        <is>
          <t>OpenAI</t>
        </is>
      </c>
      <c r="D815" s="3" t="n">
        <v>2030</v>
      </c>
      <c r="E815" s="3" t="inlineStr">
        <is>
          <t>Coreweave Helios</t>
        </is>
      </c>
      <c r="F815" s="3" t="inlineStr">
        <is>
          <t>CoreWeave</t>
        </is>
      </c>
      <c r="G815" s="3" t="inlineStr">
        <is>
          <t>United States</t>
        </is>
      </c>
      <c r="H815" s="25" t="n">
        <v>528</v>
      </c>
      <c r="I815" s="17" t="n">
        <v>1</v>
      </c>
      <c r="J815" s="17" t="n">
        <v>0.78</v>
      </c>
      <c r="K815" s="26" t="n">
        <v>0.22</v>
      </c>
      <c r="L815" s="3" t="inlineStr">
        <is>
          <t>2029-01-01</t>
        </is>
      </c>
      <c r="M815" s="27" t="n">
        <v>132</v>
      </c>
      <c r="N815" s="27" t="n">
        <v>528</v>
      </c>
      <c r="O815" s="3" t="inlineStr">
        <is>
          <t>speculative</t>
        </is>
      </c>
      <c r="P815" s="3" t="inlineStr">
        <is>
          <t>B200</t>
        </is>
      </c>
      <c r="Q815" s="3" t="inlineStr">
        <is>
          <t>epoch_user_site_equal_split_seed</t>
        </is>
      </c>
      <c r="R815" s="3" t="inlineStr">
        <is>
          <t>SRC_EPOCH_AI_DATA_CENTERS; EPOCH_NORMALIZED_USER_SITES</t>
        </is>
      </c>
      <c r="S815" s="3" t="inlineStr">
        <is>
          <t>Capacity weight is used only to weight accelerator mix, not to overwrite company total power in 02_Inputs.</t>
        </is>
      </c>
    </row>
    <row r="816">
      <c r="A816" s="3" t="inlineStr">
        <is>
          <t>Bull|OpenAI|2026|Coreweave Helios</t>
        </is>
      </c>
      <c r="B816" s="3" t="inlineStr">
        <is>
          <t>Bull</t>
        </is>
      </c>
      <c r="C816" s="3" t="inlineStr">
        <is>
          <t>OpenAI</t>
        </is>
      </c>
      <c r="D816" s="3" t="n">
        <v>2026</v>
      </c>
      <c r="E816" s="3" t="inlineStr">
        <is>
          <t>Coreweave Helios</t>
        </is>
      </c>
      <c r="F816" s="3" t="inlineStr">
        <is>
          <t>CoreWeave</t>
        </is>
      </c>
      <c r="G816" s="3" t="inlineStr">
        <is>
          <t>United States</t>
        </is>
      </c>
      <c r="H816" s="25" t="n">
        <v>132</v>
      </c>
      <c r="I816" s="17" t="n">
        <v>1</v>
      </c>
      <c r="J816" s="17" t="n">
        <v>0.63</v>
      </c>
      <c r="K816" s="26" t="n">
        <v>0.37</v>
      </c>
      <c r="L816" s="3" t="inlineStr">
        <is>
          <t>2029-01-01</t>
        </is>
      </c>
      <c r="M816" s="27" t="n">
        <v>132</v>
      </c>
      <c r="N816" s="27" t="n">
        <v>528</v>
      </c>
      <c r="O816" s="3" t="inlineStr">
        <is>
          <t>speculative</t>
        </is>
      </c>
      <c r="P816" s="3" t="inlineStr">
        <is>
          <t>B200</t>
        </is>
      </c>
      <c r="Q816" s="3" t="inlineStr">
        <is>
          <t>epoch_user_site_equal_split_seed</t>
        </is>
      </c>
      <c r="R816" s="3" t="inlineStr">
        <is>
          <t>SRC_EPOCH_AI_DATA_CENTERS; EPOCH_NORMALIZED_USER_SITES</t>
        </is>
      </c>
      <c r="S816" s="3" t="inlineStr">
        <is>
          <t>Capacity weight is used only to weight accelerator mix, not to overwrite company total power in 02_Inputs.</t>
        </is>
      </c>
    </row>
    <row r="817">
      <c r="A817" s="3" t="inlineStr">
        <is>
          <t>Bull|OpenAI|2027|Coreweave Helios</t>
        </is>
      </c>
      <c r="B817" s="3" t="inlineStr">
        <is>
          <t>Bull</t>
        </is>
      </c>
      <c r="C817" s="3" t="inlineStr">
        <is>
          <t>OpenAI</t>
        </is>
      </c>
      <c r="D817" s="3" t="n">
        <v>2027</v>
      </c>
      <c r="E817" s="3" t="inlineStr">
        <is>
          <t>Coreweave Helios</t>
        </is>
      </c>
      <c r="F817" s="3" t="inlineStr">
        <is>
          <t>CoreWeave</t>
        </is>
      </c>
      <c r="G817" s="3" t="inlineStr">
        <is>
          <t>United States</t>
        </is>
      </c>
      <c r="H817" s="25" t="n">
        <v>132</v>
      </c>
      <c r="I817" s="17" t="n">
        <v>1</v>
      </c>
      <c r="J817" s="17" t="n">
        <v>0.6879999999999999</v>
      </c>
      <c r="K817" s="26" t="n">
        <v>0.312</v>
      </c>
      <c r="L817" s="3" t="inlineStr">
        <is>
          <t>2029-01-01</t>
        </is>
      </c>
      <c r="M817" s="27" t="n">
        <v>132</v>
      </c>
      <c r="N817" s="27" t="n">
        <v>528</v>
      </c>
      <c r="O817" s="3" t="inlineStr">
        <is>
          <t>speculative</t>
        </is>
      </c>
      <c r="P817" s="3" t="inlineStr">
        <is>
          <t>B200</t>
        </is>
      </c>
      <c r="Q817" s="3" t="inlineStr">
        <is>
          <t>epoch_user_site_equal_split_seed</t>
        </is>
      </c>
      <c r="R817" s="3" t="inlineStr">
        <is>
          <t>SRC_EPOCH_AI_DATA_CENTERS; EPOCH_NORMALIZED_USER_SITES</t>
        </is>
      </c>
      <c r="S817" s="3" t="inlineStr">
        <is>
          <t>Capacity weight is used only to weight accelerator mix, not to overwrite company total power in 02_Inputs.</t>
        </is>
      </c>
    </row>
    <row r="818">
      <c r="A818" s="3" t="inlineStr">
        <is>
          <t>Bull|OpenAI|2028|Coreweave Helios</t>
        </is>
      </c>
      <c r="B818" s="3" t="inlineStr">
        <is>
          <t>Bull</t>
        </is>
      </c>
      <c r="C818" s="3" t="inlineStr">
        <is>
          <t>OpenAI</t>
        </is>
      </c>
      <c r="D818" s="3" t="n">
        <v>2028</v>
      </c>
      <c r="E818" s="3" t="inlineStr">
        <is>
          <t>Coreweave Helios</t>
        </is>
      </c>
      <c r="F818" s="3" t="inlineStr">
        <is>
          <t>CoreWeave</t>
        </is>
      </c>
      <c r="G818" s="3" t="inlineStr">
        <is>
          <t>United States</t>
        </is>
      </c>
      <c r="H818" s="25" t="n">
        <v>132</v>
      </c>
      <c r="I818" s="17" t="n">
        <v>1</v>
      </c>
      <c r="J818" s="17" t="n">
        <v>0.745</v>
      </c>
      <c r="K818" s="26" t="n">
        <v>0.255</v>
      </c>
      <c r="L818" s="3" t="inlineStr">
        <is>
          <t>2029-01-01</t>
        </is>
      </c>
      <c r="M818" s="27" t="n">
        <v>132</v>
      </c>
      <c r="N818" s="27" t="n">
        <v>528</v>
      </c>
      <c r="O818" s="3" t="inlineStr">
        <is>
          <t>speculative</t>
        </is>
      </c>
      <c r="P818" s="3" t="inlineStr">
        <is>
          <t>B200</t>
        </is>
      </c>
      <c r="Q818" s="3" t="inlineStr">
        <is>
          <t>epoch_user_site_equal_split_seed</t>
        </is>
      </c>
      <c r="R818" s="3" t="inlineStr">
        <is>
          <t>SRC_EPOCH_AI_DATA_CENTERS; EPOCH_NORMALIZED_USER_SITES</t>
        </is>
      </c>
      <c r="S818" s="3" t="inlineStr">
        <is>
          <t>Capacity weight is used only to weight accelerator mix, not to overwrite company total power in 02_Inputs.</t>
        </is>
      </c>
    </row>
    <row r="819">
      <c r="A819" s="3" t="inlineStr">
        <is>
          <t>Bull|OpenAI|2029|Coreweave Helios</t>
        </is>
      </c>
      <c r="B819" s="3" t="inlineStr">
        <is>
          <t>Bull</t>
        </is>
      </c>
      <c r="C819" s="3" t="inlineStr">
        <is>
          <t>OpenAI</t>
        </is>
      </c>
      <c r="D819" s="3" t="n">
        <v>2029</v>
      </c>
      <c r="E819" s="3" t="inlineStr">
        <is>
          <t>Coreweave Helios</t>
        </is>
      </c>
      <c r="F819" s="3" t="inlineStr">
        <is>
          <t>CoreWeave</t>
        </is>
      </c>
      <c r="G819" s="3" t="inlineStr">
        <is>
          <t>United States</t>
        </is>
      </c>
      <c r="H819" s="25" t="n">
        <v>528</v>
      </c>
      <c r="I819" s="17" t="n">
        <v>1</v>
      </c>
      <c r="J819" s="17" t="n">
        <v>0.802</v>
      </c>
      <c r="K819" s="26" t="n">
        <v>0.198</v>
      </c>
      <c r="L819" s="3" t="inlineStr">
        <is>
          <t>2029-01-01</t>
        </is>
      </c>
      <c r="M819" s="27" t="n">
        <v>132</v>
      </c>
      <c r="N819" s="27" t="n">
        <v>528</v>
      </c>
      <c r="O819" s="3" t="inlineStr">
        <is>
          <t>speculative</t>
        </is>
      </c>
      <c r="P819" s="3" t="inlineStr">
        <is>
          <t>B200</t>
        </is>
      </c>
      <c r="Q819" s="3" t="inlineStr">
        <is>
          <t>epoch_user_site_equal_split_seed</t>
        </is>
      </c>
      <c r="R819" s="3" t="inlineStr">
        <is>
          <t>SRC_EPOCH_AI_DATA_CENTERS; EPOCH_NORMALIZED_USER_SITES</t>
        </is>
      </c>
      <c r="S819" s="3" t="inlineStr">
        <is>
          <t>Capacity weight is used only to weight accelerator mix, not to overwrite company total power in 02_Inputs.</t>
        </is>
      </c>
    </row>
    <row r="820">
      <c r="A820" s="3" t="inlineStr">
        <is>
          <t>Bull|OpenAI|2030|Coreweave Helios</t>
        </is>
      </c>
      <c r="B820" s="3" t="inlineStr">
        <is>
          <t>Bull</t>
        </is>
      </c>
      <c r="C820" s="3" t="inlineStr">
        <is>
          <t>OpenAI</t>
        </is>
      </c>
      <c r="D820" s="3" t="n">
        <v>2030</v>
      </c>
      <c r="E820" s="3" t="inlineStr">
        <is>
          <t>Coreweave Helios</t>
        </is>
      </c>
      <c r="F820" s="3" t="inlineStr">
        <is>
          <t>CoreWeave</t>
        </is>
      </c>
      <c r="G820" s="3" t="inlineStr">
        <is>
          <t>United States</t>
        </is>
      </c>
      <c r="H820" s="25" t="n">
        <v>528</v>
      </c>
      <c r="I820" s="17" t="n">
        <v>1</v>
      </c>
      <c r="J820" s="17" t="n">
        <v>0.86</v>
      </c>
      <c r="K820" s="26" t="n">
        <v>0.14</v>
      </c>
      <c r="L820" s="3" t="inlineStr">
        <is>
          <t>2029-01-01</t>
        </is>
      </c>
      <c r="M820" s="27" t="n">
        <v>132</v>
      </c>
      <c r="N820" s="27" t="n">
        <v>528</v>
      </c>
      <c r="O820" s="3" t="inlineStr">
        <is>
          <t>speculative</t>
        </is>
      </c>
      <c r="P820" s="3" t="inlineStr">
        <is>
          <t>B200</t>
        </is>
      </c>
      <c r="Q820" s="3" t="inlineStr">
        <is>
          <t>epoch_user_site_equal_split_seed</t>
        </is>
      </c>
      <c r="R820" s="3" t="inlineStr">
        <is>
          <t>SRC_EPOCH_AI_DATA_CENTERS; EPOCH_NORMALIZED_USER_SITES</t>
        </is>
      </c>
      <c r="S820" s="3" t="inlineStr">
        <is>
          <t>Capacity weight is used only to weight accelerator mix, not to overwrite company total power in 02_Inputs.</t>
        </is>
      </c>
    </row>
    <row r="821">
      <c r="A821" s="3" t="inlineStr">
        <is>
          <t>Grid-Constrained / Efficiency-Upside|OpenAI|2026|Coreweave Helios</t>
        </is>
      </c>
      <c r="B821" s="3" t="inlineStr">
        <is>
          <t>Grid-Constrained / Efficiency-Upside</t>
        </is>
      </c>
      <c r="C821" s="3" t="inlineStr">
        <is>
          <t>OpenAI</t>
        </is>
      </c>
      <c r="D821" s="3" t="n">
        <v>2026</v>
      </c>
      <c r="E821" s="3" t="inlineStr">
        <is>
          <t>Coreweave Helios</t>
        </is>
      </c>
      <c r="F821" s="3" t="inlineStr">
        <is>
          <t>CoreWeave</t>
        </is>
      </c>
      <c r="G821" s="3" t="inlineStr">
        <is>
          <t>United States</t>
        </is>
      </c>
      <c r="H821" s="25" t="n">
        <v>132</v>
      </c>
      <c r="I821" s="17" t="n">
        <v>1</v>
      </c>
      <c r="J821" s="17" t="n">
        <v>0.6</v>
      </c>
      <c r="K821" s="26" t="n">
        <v>0.4</v>
      </c>
      <c r="L821" s="3" t="inlineStr">
        <is>
          <t>2029-01-01</t>
        </is>
      </c>
      <c r="M821" s="27" t="n">
        <v>132</v>
      </c>
      <c r="N821" s="27" t="n">
        <v>528</v>
      </c>
      <c r="O821" s="3" t="inlineStr">
        <is>
          <t>speculative</t>
        </is>
      </c>
      <c r="P821" s="3" t="inlineStr">
        <is>
          <t>B200</t>
        </is>
      </c>
      <c r="Q821" s="3" t="inlineStr">
        <is>
          <t>epoch_user_site_equal_split_seed</t>
        </is>
      </c>
      <c r="R821" s="3" t="inlineStr">
        <is>
          <t>SRC_EPOCH_AI_DATA_CENTERS; EPOCH_NORMALIZED_USER_SITES</t>
        </is>
      </c>
      <c r="S821" s="3" t="inlineStr">
        <is>
          <t>Capacity weight is used only to weight accelerator mix, not to overwrite company total power in 02_Inputs.</t>
        </is>
      </c>
    </row>
    <row r="822">
      <c r="A822" s="3" t="inlineStr">
        <is>
          <t>Grid-Constrained / Efficiency-Upside|OpenAI|2027|Coreweave Helios</t>
        </is>
      </c>
      <c r="B822" s="3" t="inlineStr">
        <is>
          <t>Grid-Constrained / Efficiency-Upside</t>
        </is>
      </c>
      <c r="C822" s="3" t="inlineStr">
        <is>
          <t>OpenAI</t>
        </is>
      </c>
      <c r="D822" s="3" t="n">
        <v>2027</v>
      </c>
      <c r="E822" s="3" t="inlineStr">
        <is>
          <t>Coreweave Helios</t>
        </is>
      </c>
      <c r="F822" s="3" t="inlineStr">
        <is>
          <t>CoreWeave</t>
        </is>
      </c>
      <c r="G822" s="3" t="inlineStr">
        <is>
          <t>United States</t>
        </is>
      </c>
      <c r="H822" s="25" t="n">
        <v>132</v>
      </c>
      <c r="I822" s="17" t="n">
        <v>1</v>
      </c>
      <c r="J822" s="17" t="n">
        <v>0.655</v>
      </c>
      <c r="K822" s="26" t="n">
        <v>0.345</v>
      </c>
      <c r="L822" s="3" t="inlineStr">
        <is>
          <t>2029-01-01</t>
        </is>
      </c>
      <c r="M822" s="27" t="n">
        <v>132</v>
      </c>
      <c r="N822" s="27" t="n">
        <v>528</v>
      </c>
      <c r="O822" s="3" t="inlineStr">
        <is>
          <t>speculative</t>
        </is>
      </c>
      <c r="P822" s="3" t="inlineStr">
        <is>
          <t>B200</t>
        </is>
      </c>
      <c r="Q822" s="3" t="inlineStr">
        <is>
          <t>epoch_user_site_equal_split_seed</t>
        </is>
      </c>
      <c r="R822" s="3" t="inlineStr">
        <is>
          <t>SRC_EPOCH_AI_DATA_CENTERS; EPOCH_NORMALIZED_USER_SITES</t>
        </is>
      </c>
      <c r="S822" s="3" t="inlineStr">
        <is>
          <t>Capacity weight is used only to weight accelerator mix, not to overwrite company total power in 02_Inputs.</t>
        </is>
      </c>
    </row>
    <row r="823">
      <c r="A823" s="3" t="inlineStr">
        <is>
          <t>Grid-Constrained / Efficiency-Upside|OpenAI|2028|Coreweave Helios</t>
        </is>
      </c>
      <c r="B823" s="3" t="inlineStr">
        <is>
          <t>Grid-Constrained / Efficiency-Upside</t>
        </is>
      </c>
      <c r="C823" s="3" t="inlineStr">
        <is>
          <t>OpenAI</t>
        </is>
      </c>
      <c r="D823" s="3" t="n">
        <v>2028</v>
      </c>
      <c r="E823" s="3" t="inlineStr">
        <is>
          <t>Coreweave Helios</t>
        </is>
      </c>
      <c r="F823" s="3" t="inlineStr">
        <is>
          <t>CoreWeave</t>
        </is>
      </c>
      <c r="G823" s="3" t="inlineStr">
        <is>
          <t>United States</t>
        </is>
      </c>
      <c r="H823" s="25" t="n">
        <v>132</v>
      </c>
      <c r="I823" s="17" t="n">
        <v>1</v>
      </c>
      <c r="J823" s="17" t="n">
        <v>0.71</v>
      </c>
      <c r="K823" s="26" t="n">
        <v>0.29</v>
      </c>
      <c r="L823" s="3" t="inlineStr">
        <is>
          <t>2029-01-01</t>
        </is>
      </c>
      <c r="M823" s="27" t="n">
        <v>132</v>
      </c>
      <c r="N823" s="27" t="n">
        <v>528</v>
      </c>
      <c r="O823" s="3" t="inlineStr">
        <is>
          <t>speculative</t>
        </is>
      </c>
      <c r="P823" s="3" t="inlineStr">
        <is>
          <t>B200</t>
        </is>
      </c>
      <c r="Q823" s="3" t="inlineStr">
        <is>
          <t>epoch_user_site_equal_split_seed</t>
        </is>
      </c>
      <c r="R823" s="3" t="inlineStr">
        <is>
          <t>SRC_EPOCH_AI_DATA_CENTERS; EPOCH_NORMALIZED_USER_SITES</t>
        </is>
      </c>
      <c r="S823" s="3" t="inlineStr">
        <is>
          <t>Capacity weight is used only to weight accelerator mix, not to overwrite company total power in 02_Inputs.</t>
        </is>
      </c>
    </row>
    <row r="824">
      <c r="A824" s="3" t="inlineStr">
        <is>
          <t>Grid-Constrained / Efficiency-Upside|OpenAI|2029|Coreweave Helios</t>
        </is>
      </c>
      <c r="B824" s="3" t="inlineStr">
        <is>
          <t>Grid-Constrained / Efficiency-Upside</t>
        </is>
      </c>
      <c r="C824" s="3" t="inlineStr">
        <is>
          <t>OpenAI</t>
        </is>
      </c>
      <c r="D824" s="3" t="n">
        <v>2029</v>
      </c>
      <c r="E824" s="3" t="inlineStr">
        <is>
          <t>Coreweave Helios</t>
        </is>
      </c>
      <c r="F824" s="3" t="inlineStr">
        <is>
          <t>CoreWeave</t>
        </is>
      </c>
      <c r="G824" s="3" t="inlineStr">
        <is>
          <t>United States</t>
        </is>
      </c>
      <c r="H824" s="25" t="n">
        <v>528</v>
      </c>
      <c r="I824" s="17" t="n">
        <v>1</v>
      </c>
      <c r="J824" s="17" t="n">
        <v>0.765</v>
      </c>
      <c r="K824" s="26" t="n">
        <v>0.235</v>
      </c>
      <c r="L824" s="3" t="inlineStr">
        <is>
          <t>2029-01-01</t>
        </is>
      </c>
      <c r="M824" s="27" t="n">
        <v>132</v>
      </c>
      <c r="N824" s="27" t="n">
        <v>528</v>
      </c>
      <c r="O824" s="3" t="inlineStr">
        <is>
          <t>speculative</t>
        </is>
      </c>
      <c r="P824" s="3" t="inlineStr">
        <is>
          <t>B200</t>
        </is>
      </c>
      <c r="Q824" s="3" t="inlineStr">
        <is>
          <t>epoch_user_site_equal_split_seed</t>
        </is>
      </c>
      <c r="R824" s="3" t="inlineStr">
        <is>
          <t>SRC_EPOCH_AI_DATA_CENTERS; EPOCH_NORMALIZED_USER_SITES</t>
        </is>
      </c>
      <c r="S824" s="3" t="inlineStr">
        <is>
          <t>Capacity weight is used only to weight accelerator mix, not to overwrite company total power in 02_Inputs.</t>
        </is>
      </c>
    </row>
    <row r="825">
      <c r="A825" s="3" t="inlineStr">
        <is>
          <t>Grid-Constrained / Efficiency-Upside|OpenAI|2030|Coreweave Helios</t>
        </is>
      </c>
      <c r="B825" s="3" t="inlineStr">
        <is>
          <t>Grid-Constrained / Efficiency-Upside</t>
        </is>
      </c>
      <c r="C825" s="3" t="inlineStr">
        <is>
          <t>OpenAI</t>
        </is>
      </c>
      <c r="D825" s="3" t="n">
        <v>2030</v>
      </c>
      <c r="E825" s="3" t="inlineStr">
        <is>
          <t>Coreweave Helios</t>
        </is>
      </c>
      <c r="F825" s="3" t="inlineStr">
        <is>
          <t>CoreWeave</t>
        </is>
      </c>
      <c r="G825" s="3" t="inlineStr">
        <is>
          <t>United States</t>
        </is>
      </c>
      <c r="H825" s="25" t="n">
        <v>528</v>
      </c>
      <c r="I825" s="17" t="n">
        <v>1</v>
      </c>
      <c r="J825" s="17" t="n">
        <v>0.82</v>
      </c>
      <c r="K825" s="26" t="n">
        <v>0.18</v>
      </c>
      <c r="L825" s="3" t="inlineStr">
        <is>
          <t>2029-01-01</t>
        </is>
      </c>
      <c r="M825" s="27" t="n">
        <v>132</v>
      </c>
      <c r="N825" s="27" t="n">
        <v>528</v>
      </c>
      <c r="O825" s="3" t="inlineStr">
        <is>
          <t>speculative</t>
        </is>
      </c>
      <c r="P825" s="3" t="inlineStr">
        <is>
          <t>B200</t>
        </is>
      </c>
      <c r="Q825" s="3" t="inlineStr">
        <is>
          <t>epoch_user_site_equal_split_seed</t>
        </is>
      </c>
      <c r="R825" s="3" t="inlineStr">
        <is>
          <t>SRC_EPOCH_AI_DATA_CENTERS; EPOCH_NORMALIZED_USER_SITES</t>
        </is>
      </c>
      <c r="S825" s="3" t="inlineStr">
        <is>
          <t>Capacity weight is used only to weight accelerator mix, not to overwrite company total power in 02_Inputs.</t>
        </is>
      </c>
    </row>
    <row r="826">
      <c r="A826" s="3" t="inlineStr">
        <is>
          <t>Bear|OpenAI|2026|Microsoft Fairwater Atlanta</t>
        </is>
      </c>
      <c r="B826" s="3" t="inlineStr">
        <is>
          <t>Bear</t>
        </is>
      </c>
      <c r="C826" s="3" t="inlineStr">
        <is>
          <t>OpenAI</t>
        </is>
      </c>
      <c r="D826" s="3" t="n">
        <v>2026</v>
      </c>
      <c r="E826" s="3" t="inlineStr">
        <is>
          <t>Microsoft Fairwater Atlanta</t>
        </is>
      </c>
      <c r="F826" s="3" t="inlineStr">
        <is>
          <t>Microsoft</t>
        </is>
      </c>
      <c r="G826" s="3" t="inlineStr">
        <is>
          <t>United States</t>
        </is>
      </c>
      <c r="H826" s="25" t="n">
        <v>318</v>
      </c>
      <c r="I826" s="17" t="n">
        <v>1</v>
      </c>
      <c r="J826" s="17" t="n">
        <v>0.5</v>
      </c>
      <c r="K826" s="26" t="n">
        <v>0.5</v>
      </c>
      <c r="L826" s="3" t="inlineStr">
        <is>
          <t>2026-06-14</t>
        </is>
      </c>
      <c r="M826" s="27" t="n">
        <v>318</v>
      </c>
      <c r="N826" s="27" t="n">
        <v>318</v>
      </c>
      <c r="O826" s="3" t="inlineStr">
        <is>
          <t>likely</t>
        </is>
      </c>
      <c r="P826" s="3" t="inlineStr">
        <is>
          <t>B200</t>
        </is>
      </c>
      <c r="Q826" s="3" t="inlineStr">
        <is>
          <t>epoch_user_site_equal_split_seed</t>
        </is>
      </c>
      <c r="R826" s="3" t="inlineStr">
        <is>
          <t>SRC_EPOCH_AI_DATA_CENTERS; EPOCH_NORMALIZED_USER_SITES</t>
        </is>
      </c>
      <c r="S826" s="3" t="inlineStr">
        <is>
          <t>Capacity weight is used only to weight accelerator mix, not to overwrite company total power in 02_Inputs.</t>
        </is>
      </c>
    </row>
    <row r="827">
      <c r="A827" s="3" t="inlineStr">
        <is>
          <t>Bear|OpenAI|2027|Microsoft Fairwater Atlanta</t>
        </is>
      </c>
      <c r="B827" s="3" t="inlineStr">
        <is>
          <t>Bear</t>
        </is>
      </c>
      <c r="C827" s="3" t="inlineStr">
        <is>
          <t>OpenAI</t>
        </is>
      </c>
      <c r="D827" s="3" t="n">
        <v>2027</v>
      </c>
      <c r="E827" s="3" t="inlineStr">
        <is>
          <t>Microsoft Fairwater Atlanta</t>
        </is>
      </c>
      <c r="F827" s="3" t="inlineStr">
        <is>
          <t>Microsoft</t>
        </is>
      </c>
      <c r="G827" s="3" t="inlineStr">
        <is>
          <t>United States</t>
        </is>
      </c>
      <c r="H827" s="25" t="n">
        <v>318</v>
      </c>
      <c r="I827" s="17" t="n">
        <v>1</v>
      </c>
      <c r="J827" s="17" t="n">
        <v>0.545</v>
      </c>
      <c r="K827" s="26" t="n">
        <v>0.455</v>
      </c>
      <c r="L827" s="3" t="inlineStr">
        <is>
          <t>2026-06-14</t>
        </is>
      </c>
      <c r="M827" s="27" t="n">
        <v>318</v>
      </c>
      <c r="N827" s="27" t="n">
        <v>318</v>
      </c>
      <c r="O827" s="3" t="inlineStr">
        <is>
          <t>likely</t>
        </is>
      </c>
      <c r="P827" s="3" t="inlineStr">
        <is>
          <t>B200</t>
        </is>
      </c>
      <c r="Q827" s="3" t="inlineStr">
        <is>
          <t>epoch_user_site_equal_split_seed</t>
        </is>
      </c>
      <c r="R827" s="3" t="inlineStr">
        <is>
          <t>SRC_EPOCH_AI_DATA_CENTERS; EPOCH_NORMALIZED_USER_SITES</t>
        </is>
      </c>
      <c r="S827" s="3" t="inlineStr">
        <is>
          <t>Capacity weight is used only to weight accelerator mix, not to overwrite company total power in 02_Inputs.</t>
        </is>
      </c>
    </row>
    <row r="828">
      <c r="A828" s="3" t="inlineStr">
        <is>
          <t>Bear|OpenAI|2028|Microsoft Fairwater Atlanta</t>
        </is>
      </c>
      <c r="B828" s="3" t="inlineStr">
        <is>
          <t>Bear</t>
        </is>
      </c>
      <c r="C828" s="3" t="inlineStr">
        <is>
          <t>OpenAI</t>
        </is>
      </c>
      <c r="D828" s="3" t="n">
        <v>2028</v>
      </c>
      <c r="E828" s="3" t="inlineStr">
        <is>
          <t>Microsoft Fairwater Atlanta</t>
        </is>
      </c>
      <c r="F828" s="3" t="inlineStr">
        <is>
          <t>Microsoft</t>
        </is>
      </c>
      <c r="G828" s="3" t="inlineStr">
        <is>
          <t>United States</t>
        </is>
      </c>
      <c r="H828" s="25" t="n">
        <v>318</v>
      </c>
      <c r="I828" s="17" t="n">
        <v>1</v>
      </c>
      <c r="J828" s="17" t="n">
        <v>0.59</v>
      </c>
      <c r="K828" s="26" t="n">
        <v>0.41</v>
      </c>
      <c r="L828" s="3" t="inlineStr">
        <is>
          <t>2026-06-14</t>
        </is>
      </c>
      <c r="M828" s="27" t="n">
        <v>318</v>
      </c>
      <c r="N828" s="27" t="n">
        <v>318</v>
      </c>
      <c r="O828" s="3" t="inlineStr">
        <is>
          <t>likely</t>
        </is>
      </c>
      <c r="P828" s="3" t="inlineStr">
        <is>
          <t>B200</t>
        </is>
      </c>
      <c r="Q828" s="3" t="inlineStr">
        <is>
          <t>epoch_user_site_equal_split_seed</t>
        </is>
      </c>
      <c r="R828" s="3" t="inlineStr">
        <is>
          <t>SRC_EPOCH_AI_DATA_CENTERS; EPOCH_NORMALIZED_USER_SITES</t>
        </is>
      </c>
      <c r="S828" s="3" t="inlineStr">
        <is>
          <t>Capacity weight is used only to weight accelerator mix, not to overwrite company total power in 02_Inputs.</t>
        </is>
      </c>
    </row>
    <row r="829">
      <c r="A829" s="3" t="inlineStr">
        <is>
          <t>Bear|OpenAI|2029|Microsoft Fairwater Atlanta</t>
        </is>
      </c>
      <c r="B829" s="3" t="inlineStr">
        <is>
          <t>Bear</t>
        </is>
      </c>
      <c r="C829" s="3" t="inlineStr">
        <is>
          <t>OpenAI</t>
        </is>
      </c>
      <c r="D829" s="3" t="n">
        <v>2029</v>
      </c>
      <c r="E829" s="3" t="inlineStr">
        <is>
          <t>Microsoft Fairwater Atlanta</t>
        </is>
      </c>
      <c r="F829" s="3" t="inlineStr">
        <is>
          <t>Microsoft</t>
        </is>
      </c>
      <c r="G829" s="3" t="inlineStr">
        <is>
          <t>United States</t>
        </is>
      </c>
      <c r="H829" s="25" t="n">
        <v>318</v>
      </c>
      <c r="I829" s="17" t="n">
        <v>1</v>
      </c>
      <c r="J829" s="17" t="n">
        <v>0.635</v>
      </c>
      <c r="K829" s="26" t="n">
        <v>0.365</v>
      </c>
      <c r="L829" s="3" t="inlineStr">
        <is>
          <t>2026-06-14</t>
        </is>
      </c>
      <c r="M829" s="27" t="n">
        <v>318</v>
      </c>
      <c r="N829" s="27" t="n">
        <v>318</v>
      </c>
      <c r="O829" s="3" t="inlineStr">
        <is>
          <t>likely</t>
        </is>
      </c>
      <c r="P829" s="3" t="inlineStr">
        <is>
          <t>B200</t>
        </is>
      </c>
      <c r="Q829" s="3" t="inlineStr">
        <is>
          <t>epoch_user_site_equal_split_seed</t>
        </is>
      </c>
      <c r="R829" s="3" t="inlineStr">
        <is>
          <t>SRC_EPOCH_AI_DATA_CENTERS; EPOCH_NORMALIZED_USER_SITES</t>
        </is>
      </c>
      <c r="S829" s="3" t="inlineStr">
        <is>
          <t>Capacity weight is used only to weight accelerator mix, not to overwrite company total power in 02_Inputs.</t>
        </is>
      </c>
    </row>
    <row r="830">
      <c r="A830" s="3" t="inlineStr">
        <is>
          <t>Bear|OpenAI|2030|Microsoft Fairwater Atlanta</t>
        </is>
      </c>
      <c r="B830" s="3" t="inlineStr">
        <is>
          <t>Bear</t>
        </is>
      </c>
      <c r="C830" s="3" t="inlineStr">
        <is>
          <t>OpenAI</t>
        </is>
      </c>
      <c r="D830" s="3" t="n">
        <v>2030</v>
      </c>
      <c r="E830" s="3" t="inlineStr">
        <is>
          <t>Microsoft Fairwater Atlanta</t>
        </is>
      </c>
      <c r="F830" s="3" t="inlineStr">
        <is>
          <t>Microsoft</t>
        </is>
      </c>
      <c r="G830" s="3" t="inlineStr">
        <is>
          <t>United States</t>
        </is>
      </c>
      <c r="H830" s="25" t="n">
        <v>318</v>
      </c>
      <c r="I830" s="17" t="n">
        <v>1</v>
      </c>
      <c r="J830" s="17" t="n">
        <v>0.68</v>
      </c>
      <c r="K830" s="26" t="n">
        <v>0.32</v>
      </c>
      <c r="L830" s="3" t="inlineStr">
        <is>
          <t>2026-06-14</t>
        </is>
      </c>
      <c r="M830" s="27" t="n">
        <v>318</v>
      </c>
      <c r="N830" s="27" t="n">
        <v>318</v>
      </c>
      <c r="O830" s="3" t="inlineStr">
        <is>
          <t>likely</t>
        </is>
      </c>
      <c r="P830" s="3" t="inlineStr">
        <is>
          <t>B200</t>
        </is>
      </c>
      <c r="Q830" s="3" t="inlineStr">
        <is>
          <t>epoch_user_site_equal_split_seed</t>
        </is>
      </c>
      <c r="R830" s="3" t="inlineStr">
        <is>
          <t>SRC_EPOCH_AI_DATA_CENTERS; EPOCH_NORMALIZED_USER_SITES</t>
        </is>
      </c>
      <c r="S830" s="3" t="inlineStr">
        <is>
          <t>Capacity weight is used only to weight accelerator mix, not to overwrite company total power in 02_Inputs.</t>
        </is>
      </c>
    </row>
    <row r="831">
      <c r="A831" s="3" t="inlineStr">
        <is>
          <t>Base|OpenAI|2026|Microsoft Fairwater Atlanta</t>
        </is>
      </c>
      <c r="B831" s="3" t="inlineStr">
        <is>
          <t>Base</t>
        </is>
      </c>
      <c r="C831" s="3" t="inlineStr">
        <is>
          <t>OpenAI</t>
        </is>
      </c>
      <c r="D831" s="3" t="n">
        <v>2026</v>
      </c>
      <c r="E831" s="3" t="inlineStr">
        <is>
          <t>Microsoft Fairwater Atlanta</t>
        </is>
      </c>
      <c r="F831" s="3" t="inlineStr">
        <is>
          <t>Microsoft</t>
        </is>
      </c>
      <c r="G831" s="3" t="inlineStr">
        <is>
          <t>United States</t>
        </is>
      </c>
      <c r="H831" s="25" t="n">
        <v>318</v>
      </c>
      <c r="I831" s="17" t="n">
        <v>1</v>
      </c>
      <c r="J831" s="17" t="n">
        <v>0.58</v>
      </c>
      <c r="K831" s="26" t="n">
        <v>0.42</v>
      </c>
      <c r="L831" s="3" t="inlineStr">
        <is>
          <t>2026-06-14</t>
        </is>
      </c>
      <c r="M831" s="27" t="n">
        <v>318</v>
      </c>
      <c r="N831" s="27" t="n">
        <v>318</v>
      </c>
      <c r="O831" s="3" t="inlineStr">
        <is>
          <t>likely</t>
        </is>
      </c>
      <c r="P831" s="3" t="inlineStr">
        <is>
          <t>B200</t>
        </is>
      </c>
      <c r="Q831" s="3" t="inlineStr">
        <is>
          <t>epoch_user_site_equal_split_seed</t>
        </is>
      </c>
      <c r="R831" s="3" t="inlineStr">
        <is>
          <t>SRC_EPOCH_AI_DATA_CENTERS; EPOCH_NORMALIZED_USER_SITES</t>
        </is>
      </c>
      <c r="S831" s="3" t="inlineStr">
        <is>
          <t>Capacity weight is used only to weight accelerator mix, not to overwrite company total power in 02_Inputs.</t>
        </is>
      </c>
    </row>
    <row r="832">
      <c r="A832" s="3" t="inlineStr">
        <is>
          <t>Base|OpenAI|2027|Microsoft Fairwater Atlanta</t>
        </is>
      </c>
      <c r="B832" s="3" t="inlineStr">
        <is>
          <t>Base</t>
        </is>
      </c>
      <c r="C832" s="3" t="inlineStr">
        <is>
          <t>OpenAI</t>
        </is>
      </c>
      <c r="D832" s="3" t="n">
        <v>2027</v>
      </c>
      <c r="E832" s="3" t="inlineStr">
        <is>
          <t>Microsoft Fairwater Atlanta</t>
        </is>
      </c>
      <c r="F832" s="3" t="inlineStr">
        <is>
          <t>Microsoft</t>
        </is>
      </c>
      <c r="G832" s="3" t="inlineStr">
        <is>
          <t>United States</t>
        </is>
      </c>
      <c r="H832" s="25" t="n">
        <v>318</v>
      </c>
      <c r="I832" s="17" t="n">
        <v>1</v>
      </c>
      <c r="J832" s="17" t="n">
        <v>0.63</v>
      </c>
      <c r="K832" s="26" t="n">
        <v>0.37</v>
      </c>
      <c r="L832" s="3" t="inlineStr">
        <is>
          <t>2026-06-14</t>
        </is>
      </c>
      <c r="M832" s="27" t="n">
        <v>318</v>
      </c>
      <c r="N832" s="27" t="n">
        <v>318</v>
      </c>
      <c r="O832" s="3" t="inlineStr">
        <is>
          <t>likely</t>
        </is>
      </c>
      <c r="P832" s="3" t="inlineStr">
        <is>
          <t>B200</t>
        </is>
      </c>
      <c r="Q832" s="3" t="inlineStr">
        <is>
          <t>epoch_user_site_equal_split_seed</t>
        </is>
      </c>
      <c r="R832" s="3" t="inlineStr">
        <is>
          <t>SRC_EPOCH_AI_DATA_CENTERS; EPOCH_NORMALIZED_USER_SITES</t>
        </is>
      </c>
      <c r="S832" s="3" t="inlineStr">
        <is>
          <t>Capacity weight is used only to weight accelerator mix, not to overwrite company total power in 02_Inputs.</t>
        </is>
      </c>
    </row>
    <row r="833">
      <c r="A833" s="3" t="inlineStr">
        <is>
          <t>Base|OpenAI|2028|Microsoft Fairwater Atlanta</t>
        </is>
      </c>
      <c r="B833" s="3" t="inlineStr">
        <is>
          <t>Base</t>
        </is>
      </c>
      <c r="C833" s="3" t="inlineStr">
        <is>
          <t>OpenAI</t>
        </is>
      </c>
      <c r="D833" s="3" t="n">
        <v>2028</v>
      </c>
      <c r="E833" s="3" t="inlineStr">
        <is>
          <t>Microsoft Fairwater Atlanta</t>
        </is>
      </c>
      <c r="F833" s="3" t="inlineStr">
        <is>
          <t>Microsoft</t>
        </is>
      </c>
      <c r="G833" s="3" t="inlineStr">
        <is>
          <t>United States</t>
        </is>
      </c>
      <c r="H833" s="25" t="n">
        <v>318</v>
      </c>
      <c r="I833" s="17" t="n">
        <v>1</v>
      </c>
      <c r="J833" s="17" t="n">
        <v>0.68</v>
      </c>
      <c r="K833" s="26" t="n">
        <v>0.32</v>
      </c>
      <c r="L833" s="3" t="inlineStr">
        <is>
          <t>2026-06-14</t>
        </is>
      </c>
      <c r="M833" s="27" t="n">
        <v>318</v>
      </c>
      <c r="N833" s="27" t="n">
        <v>318</v>
      </c>
      <c r="O833" s="3" t="inlineStr">
        <is>
          <t>likely</t>
        </is>
      </c>
      <c r="P833" s="3" t="inlineStr">
        <is>
          <t>B200</t>
        </is>
      </c>
      <c r="Q833" s="3" t="inlineStr">
        <is>
          <t>epoch_user_site_equal_split_seed</t>
        </is>
      </c>
      <c r="R833" s="3" t="inlineStr">
        <is>
          <t>SRC_EPOCH_AI_DATA_CENTERS; EPOCH_NORMALIZED_USER_SITES</t>
        </is>
      </c>
      <c r="S833" s="3" t="inlineStr">
        <is>
          <t>Capacity weight is used only to weight accelerator mix, not to overwrite company total power in 02_Inputs.</t>
        </is>
      </c>
    </row>
    <row r="834">
      <c r="A834" s="3" t="inlineStr">
        <is>
          <t>Base|OpenAI|2029|Microsoft Fairwater Atlanta</t>
        </is>
      </c>
      <c r="B834" s="3" t="inlineStr">
        <is>
          <t>Base</t>
        </is>
      </c>
      <c r="C834" s="3" t="inlineStr">
        <is>
          <t>OpenAI</t>
        </is>
      </c>
      <c r="D834" s="3" t="n">
        <v>2029</v>
      </c>
      <c r="E834" s="3" t="inlineStr">
        <is>
          <t>Microsoft Fairwater Atlanta</t>
        </is>
      </c>
      <c r="F834" s="3" t="inlineStr">
        <is>
          <t>Microsoft</t>
        </is>
      </c>
      <c r="G834" s="3" t="inlineStr">
        <is>
          <t>United States</t>
        </is>
      </c>
      <c r="H834" s="25" t="n">
        <v>318</v>
      </c>
      <c r="I834" s="17" t="n">
        <v>1</v>
      </c>
      <c r="J834" s="17" t="n">
        <v>0.73</v>
      </c>
      <c r="K834" s="26" t="n">
        <v>0.27</v>
      </c>
      <c r="L834" s="3" t="inlineStr">
        <is>
          <t>2026-06-14</t>
        </is>
      </c>
      <c r="M834" s="27" t="n">
        <v>318</v>
      </c>
      <c r="N834" s="27" t="n">
        <v>318</v>
      </c>
      <c r="O834" s="3" t="inlineStr">
        <is>
          <t>likely</t>
        </is>
      </c>
      <c r="P834" s="3" t="inlineStr">
        <is>
          <t>B200</t>
        </is>
      </c>
      <c r="Q834" s="3" t="inlineStr">
        <is>
          <t>epoch_user_site_equal_split_seed</t>
        </is>
      </c>
      <c r="R834" s="3" t="inlineStr">
        <is>
          <t>SRC_EPOCH_AI_DATA_CENTERS; EPOCH_NORMALIZED_USER_SITES</t>
        </is>
      </c>
      <c r="S834" s="3" t="inlineStr">
        <is>
          <t>Capacity weight is used only to weight accelerator mix, not to overwrite company total power in 02_Inputs.</t>
        </is>
      </c>
    </row>
    <row r="835">
      <c r="A835" s="3" t="inlineStr">
        <is>
          <t>Base|OpenAI|2030|Microsoft Fairwater Atlanta</t>
        </is>
      </c>
      <c r="B835" s="3" t="inlineStr">
        <is>
          <t>Base</t>
        </is>
      </c>
      <c r="C835" s="3" t="inlineStr">
        <is>
          <t>OpenAI</t>
        </is>
      </c>
      <c r="D835" s="3" t="n">
        <v>2030</v>
      </c>
      <c r="E835" s="3" t="inlineStr">
        <is>
          <t>Microsoft Fairwater Atlanta</t>
        </is>
      </c>
      <c r="F835" s="3" t="inlineStr">
        <is>
          <t>Microsoft</t>
        </is>
      </c>
      <c r="G835" s="3" t="inlineStr">
        <is>
          <t>United States</t>
        </is>
      </c>
      <c r="H835" s="25" t="n">
        <v>318</v>
      </c>
      <c r="I835" s="17" t="n">
        <v>1</v>
      </c>
      <c r="J835" s="17" t="n">
        <v>0.78</v>
      </c>
      <c r="K835" s="26" t="n">
        <v>0.22</v>
      </c>
      <c r="L835" s="3" t="inlineStr">
        <is>
          <t>2026-06-14</t>
        </is>
      </c>
      <c r="M835" s="27" t="n">
        <v>318</v>
      </c>
      <c r="N835" s="27" t="n">
        <v>318</v>
      </c>
      <c r="O835" s="3" t="inlineStr">
        <is>
          <t>likely</t>
        </is>
      </c>
      <c r="P835" s="3" t="inlineStr">
        <is>
          <t>B200</t>
        </is>
      </c>
      <c r="Q835" s="3" t="inlineStr">
        <is>
          <t>epoch_user_site_equal_split_seed</t>
        </is>
      </c>
      <c r="R835" s="3" t="inlineStr">
        <is>
          <t>SRC_EPOCH_AI_DATA_CENTERS; EPOCH_NORMALIZED_USER_SITES</t>
        </is>
      </c>
      <c r="S835" s="3" t="inlineStr">
        <is>
          <t>Capacity weight is used only to weight accelerator mix, not to overwrite company total power in 02_Inputs.</t>
        </is>
      </c>
    </row>
    <row r="836">
      <c r="A836" s="3" t="inlineStr">
        <is>
          <t>Bull|OpenAI|2026|Microsoft Fairwater Atlanta</t>
        </is>
      </c>
      <c r="B836" s="3" t="inlineStr">
        <is>
          <t>Bull</t>
        </is>
      </c>
      <c r="C836" s="3" t="inlineStr">
        <is>
          <t>OpenAI</t>
        </is>
      </c>
      <c r="D836" s="3" t="n">
        <v>2026</v>
      </c>
      <c r="E836" s="3" t="inlineStr">
        <is>
          <t>Microsoft Fairwater Atlanta</t>
        </is>
      </c>
      <c r="F836" s="3" t="inlineStr">
        <is>
          <t>Microsoft</t>
        </is>
      </c>
      <c r="G836" s="3" t="inlineStr">
        <is>
          <t>United States</t>
        </is>
      </c>
      <c r="H836" s="25" t="n">
        <v>318</v>
      </c>
      <c r="I836" s="17" t="n">
        <v>1</v>
      </c>
      <c r="J836" s="17" t="n">
        <v>0.63</v>
      </c>
      <c r="K836" s="26" t="n">
        <v>0.37</v>
      </c>
      <c r="L836" s="3" t="inlineStr">
        <is>
          <t>2026-06-14</t>
        </is>
      </c>
      <c r="M836" s="27" t="n">
        <v>318</v>
      </c>
      <c r="N836" s="27" t="n">
        <v>318</v>
      </c>
      <c r="O836" s="3" t="inlineStr">
        <is>
          <t>likely</t>
        </is>
      </c>
      <c r="P836" s="3" t="inlineStr">
        <is>
          <t>B200</t>
        </is>
      </c>
      <c r="Q836" s="3" t="inlineStr">
        <is>
          <t>epoch_user_site_equal_split_seed</t>
        </is>
      </c>
      <c r="R836" s="3" t="inlineStr">
        <is>
          <t>SRC_EPOCH_AI_DATA_CENTERS; EPOCH_NORMALIZED_USER_SITES</t>
        </is>
      </c>
      <c r="S836" s="3" t="inlineStr">
        <is>
          <t>Capacity weight is used only to weight accelerator mix, not to overwrite company total power in 02_Inputs.</t>
        </is>
      </c>
    </row>
    <row r="837">
      <c r="A837" s="3" t="inlineStr">
        <is>
          <t>Bull|OpenAI|2027|Microsoft Fairwater Atlanta</t>
        </is>
      </c>
      <c r="B837" s="3" t="inlineStr">
        <is>
          <t>Bull</t>
        </is>
      </c>
      <c r="C837" s="3" t="inlineStr">
        <is>
          <t>OpenAI</t>
        </is>
      </c>
      <c r="D837" s="3" t="n">
        <v>2027</v>
      </c>
      <c r="E837" s="3" t="inlineStr">
        <is>
          <t>Microsoft Fairwater Atlanta</t>
        </is>
      </c>
      <c r="F837" s="3" t="inlineStr">
        <is>
          <t>Microsoft</t>
        </is>
      </c>
      <c r="G837" s="3" t="inlineStr">
        <is>
          <t>United States</t>
        </is>
      </c>
      <c r="H837" s="25" t="n">
        <v>318</v>
      </c>
      <c r="I837" s="17" t="n">
        <v>1</v>
      </c>
      <c r="J837" s="17" t="n">
        <v>0.6879999999999999</v>
      </c>
      <c r="K837" s="26" t="n">
        <v>0.312</v>
      </c>
      <c r="L837" s="3" t="inlineStr">
        <is>
          <t>2026-06-14</t>
        </is>
      </c>
      <c r="M837" s="27" t="n">
        <v>318</v>
      </c>
      <c r="N837" s="27" t="n">
        <v>318</v>
      </c>
      <c r="O837" s="3" t="inlineStr">
        <is>
          <t>likely</t>
        </is>
      </c>
      <c r="P837" s="3" t="inlineStr">
        <is>
          <t>B200</t>
        </is>
      </c>
      <c r="Q837" s="3" t="inlineStr">
        <is>
          <t>epoch_user_site_equal_split_seed</t>
        </is>
      </c>
      <c r="R837" s="3" t="inlineStr">
        <is>
          <t>SRC_EPOCH_AI_DATA_CENTERS; EPOCH_NORMALIZED_USER_SITES</t>
        </is>
      </c>
      <c r="S837" s="3" t="inlineStr">
        <is>
          <t>Capacity weight is used only to weight accelerator mix, not to overwrite company total power in 02_Inputs.</t>
        </is>
      </c>
    </row>
    <row r="838">
      <c r="A838" s="3" t="inlineStr">
        <is>
          <t>Bull|OpenAI|2028|Microsoft Fairwater Atlanta</t>
        </is>
      </c>
      <c r="B838" s="3" t="inlineStr">
        <is>
          <t>Bull</t>
        </is>
      </c>
      <c r="C838" s="3" t="inlineStr">
        <is>
          <t>OpenAI</t>
        </is>
      </c>
      <c r="D838" s="3" t="n">
        <v>2028</v>
      </c>
      <c r="E838" s="3" t="inlineStr">
        <is>
          <t>Microsoft Fairwater Atlanta</t>
        </is>
      </c>
      <c r="F838" s="3" t="inlineStr">
        <is>
          <t>Microsoft</t>
        </is>
      </c>
      <c r="G838" s="3" t="inlineStr">
        <is>
          <t>United States</t>
        </is>
      </c>
      <c r="H838" s="25" t="n">
        <v>318</v>
      </c>
      <c r="I838" s="17" t="n">
        <v>1</v>
      </c>
      <c r="J838" s="17" t="n">
        <v>0.745</v>
      </c>
      <c r="K838" s="26" t="n">
        <v>0.255</v>
      </c>
      <c r="L838" s="3" t="inlineStr">
        <is>
          <t>2026-06-14</t>
        </is>
      </c>
      <c r="M838" s="27" t="n">
        <v>318</v>
      </c>
      <c r="N838" s="27" t="n">
        <v>318</v>
      </c>
      <c r="O838" s="3" t="inlineStr">
        <is>
          <t>likely</t>
        </is>
      </c>
      <c r="P838" s="3" t="inlineStr">
        <is>
          <t>B200</t>
        </is>
      </c>
      <c r="Q838" s="3" t="inlineStr">
        <is>
          <t>epoch_user_site_equal_split_seed</t>
        </is>
      </c>
      <c r="R838" s="3" t="inlineStr">
        <is>
          <t>SRC_EPOCH_AI_DATA_CENTERS; EPOCH_NORMALIZED_USER_SITES</t>
        </is>
      </c>
      <c r="S838" s="3" t="inlineStr">
        <is>
          <t>Capacity weight is used only to weight accelerator mix, not to overwrite company total power in 02_Inputs.</t>
        </is>
      </c>
    </row>
    <row r="839">
      <c r="A839" s="3" t="inlineStr">
        <is>
          <t>Bull|OpenAI|2029|Microsoft Fairwater Atlanta</t>
        </is>
      </c>
      <c r="B839" s="3" t="inlineStr">
        <is>
          <t>Bull</t>
        </is>
      </c>
      <c r="C839" s="3" t="inlineStr">
        <is>
          <t>OpenAI</t>
        </is>
      </c>
      <c r="D839" s="3" t="n">
        <v>2029</v>
      </c>
      <c r="E839" s="3" t="inlineStr">
        <is>
          <t>Microsoft Fairwater Atlanta</t>
        </is>
      </c>
      <c r="F839" s="3" t="inlineStr">
        <is>
          <t>Microsoft</t>
        </is>
      </c>
      <c r="G839" s="3" t="inlineStr">
        <is>
          <t>United States</t>
        </is>
      </c>
      <c r="H839" s="25" t="n">
        <v>318</v>
      </c>
      <c r="I839" s="17" t="n">
        <v>1</v>
      </c>
      <c r="J839" s="17" t="n">
        <v>0.802</v>
      </c>
      <c r="K839" s="26" t="n">
        <v>0.198</v>
      </c>
      <c r="L839" s="3" t="inlineStr">
        <is>
          <t>2026-06-14</t>
        </is>
      </c>
      <c r="M839" s="27" t="n">
        <v>318</v>
      </c>
      <c r="N839" s="27" t="n">
        <v>318</v>
      </c>
      <c r="O839" s="3" t="inlineStr">
        <is>
          <t>likely</t>
        </is>
      </c>
      <c r="P839" s="3" t="inlineStr">
        <is>
          <t>B200</t>
        </is>
      </c>
      <c r="Q839" s="3" t="inlineStr">
        <is>
          <t>epoch_user_site_equal_split_seed</t>
        </is>
      </c>
      <c r="R839" s="3" t="inlineStr">
        <is>
          <t>SRC_EPOCH_AI_DATA_CENTERS; EPOCH_NORMALIZED_USER_SITES</t>
        </is>
      </c>
      <c r="S839" s="3" t="inlineStr">
        <is>
          <t>Capacity weight is used only to weight accelerator mix, not to overwrite company total power in 02_Inputs.</t>
        </is>
      </c>
    </row>
    <row r="840">
      <c r="A840" s="3" t="inlineStr">
        <is>
          <t>Bull|OpenAI|2030|Microsoft Fairwater Atlanta</t>
        </is>
      </c>
      <c r="B840" s="3" t="inlineStr">
        <is>
          <t>Bull</t>
        </is>
      </c>
      <c r="C840" s="3" t="inlineStr">
        <is>
          <t>OpenAI</t>
        </is>
      </c>
      <c r="D840" s="3" t="n">
        <v>2030</v>
      </c>
      <c r="E840" s="3" t="inlineStr">
        <is>
          <t>Microsoft Fairwater Atlanta</t>
        </is>
      </c>
      <c r="F840" s="3" t="inlineStr">
        <is>
          <t>Microsoft</t>
        </is>
      </c>
      <c r="G840" s="3" t="inlineStr">
        <is>
          <t>United States</t>
        </is>
      </c>
      <c r="H840" s="25" t="n">
        <v>318</v>
      </c>
      <c r="I840" s="17" t="n">
        <v>1</v>
      </c>
      <c r="J840" s="17" t="n">
        <v>0.86</v>
      </c>
      <c r="K840" s="26" t="n">
        <v>0.14</v>
      </c>
      <c r="L840" s="3" t="inlineStr">
        <is>
          <t>2026-06-14</t>
        </is>
      </c>
      <c r="M840" s="27" t="n">
        <v>318</v>
      </c>
      <c r="N840" s="27" t="n">
        <v>318</v>
      </c>
      <c r="O840" s="3" t="inlineStr">
        <is>
          <t>likely</t>
        </is>
      </c>
      <c r="P840" s="3" t="inlineStr">
        <is>
          <t>B200</t>
        </is>
      </c>
      <c r="Q840" s="3" t="inlineStr">
        <is>
          <t>epoch_user_site_equal_split_seed</t>
        </is>
      </c>
      <c r="R840" s="3" t="inlineStr">
        <is>
          <t>SRC_EPOCH_AI_DATA_CENTERS; EPOCH_NORMALIZED_USER_SITES</t>
        </is>
      </c>
      <c r="S840" s="3" t="inlineStr">
        <is>
          <t>Capacity weight is used only to weight accelerator mix, not to overwrite company total power in 02_Inputs.</t>
        </is>
      </c>
    </row>
    <row r="841">
      <c r="A841" s="3" t="inlineStr">
        <is>
          <t>Grid-Constrained / Efficiency-Upside|OpenAI|2026|Microsoft Fairwater Atlanta</t>
        </is>
      </c>
      <c r="B841" s="3" t="inlineStr">
        <is>
          <t>Grid-Constrained / Efficiency-Upside</t>
        </is>
      </c>
      <c r="C841" s="3" t="inlineStr">
        <is>
          <t>OpenAI</t>
        </is>
      </c>
      <c r="D841" s="3" t="n">
        <v>2026</v>
      </c>
      <c r="E841" s="3" t="inlineStr">
        <is>
          <t>Microsoft Fairwater Atlanta</t>
        </is>
      </c>
      <c r="F841" s="3" t="inlineStr">
        <is>
          <t>Microsoft</t>
        </is>
      </c>
      <c r="G841" s="3" t="inlineStr">
        <is>
          <t>United States</t>
        </is>
      </c>
      <c r="H841" s="25" t="n">
        <v>318</v>
      </c>
      <c r="I841" s="17" t="n">
        <v>1</v>
      </c>
      <c r="J841" s="17" t="n">
        <v>0.6</v>
      </c>
      <c r="K841" s="26" t="n">
        <v>0.4</v>
      </c>
      <c r="L841" s="3" t="inlineStr">
        <is>
          <t>2026-06-14</t>
        </is>
      </c>
      <c r="M841" s="27" t="n">
        <v>318</v>
      </c>
      <c r="N841" s="27" t="n">
        <v>318</v>
      </c>
      <c r="O841" s="3" t="inlineStr">
        <is>
          <t>likely</t>
        </is>
      </c>
      <c r="P841" s="3" t="inlineStr">
        <is>
          <t>B200</t>
        </is>
      </c>
      <c r="Q841" s="3" t="inlineStr">
        <is>
          <t>epoch_user_site_equal_split_seed</t>
        </is>
      </c>
      <c r="R841" s="3" t="inlineStr">
        <is>
          <t>SRC_EPOCH_AI_DATA_CENTERS; EPOCH_NORMALIZED_USER_SITES</t>
        </is>
      </c>
      <c r="S841" s="3" t="inlineStr">
        <is>
          <t>Capacity weight is used only to weight accelerator mix, not to overwrite company total power in 02_Inputs.</t>
        </is>
      </c>
    </row>
    <row r="842">
      <c r="A842" s="3" t="inlineStr">
        <is>
          <t>Grid-Constrained / Efficiency-Upside|OpenAI|2027|Microsoft Fairwater Atlanta</t>
        </is>
      </c>
      <c r="B842" s="3" t="inlineStr">
        <is>
          <t>Grid-Constrained / Efficiency-Upside</t>
        </is>
      </c>
      <c r="C842" s="3" t="inlineStr">
        <is>
          <t>OpenAI</t>
        </is>
      </c>
      <c r="D842" s="3" t="n">
        <v>2027</v>
      </c>
      <c r="E842" s="3" t="inlineStr">
        <is>
          <t>Microsoft Fairwater Atlanta</t>
        </is>
      </c>
      <c r="F842" s="3" t="inlineStr">
        <is>
          <t>Microsoft</t>
        </is>
      </c>
      <c r="G842" s="3" t="inlineStr">
        <is>
          <t>United States</t>
        </is>
      </c>
      <c r="H842" s="25" t="n">
        <v>318</v>
      </c>
      <c r="I842" s="17" t="n">
        <v>1</v>
      </c>
      <c r="J842" s="17" t="n">
        <v>0.655</v>
      </c>
      <c r="K842" s="26" t="n">
        <v>0.345</v>
      </c>
      <c r="L842" s="3" t="inlineStr">
        <is>
          <t>2026-06-14</t>
        </is>
      </c>
      <c r="M842" s="27" t="n">
        <v>318</v>
      </c>
      <c r="N842" s="27" t="n">
        <v>318</v>
      </c>
      <c r="O842" s="3" t="inlineStr">
        <is>
          <t>likely</t>
        </is>
      </c>
      <c r="P842" s="3" t="inlineStr">
        <is>
          <t>B200</t>
        </is>
      </c>
      <c r="Q842" s="3" t="inlineStr">
        <is>
          <t>epoch_user_site_equal_split_seed</t>
        </is>
      </c>
      <c r="R842" s="3" t="inlineStr">
        <is>
          <t>SRC_EPOCH_AI_DATA_CENTERS; EPOCH_NORMALIZED_USER_SITES</t>
        </is>
      </c>
      <c r="S842" s="3" t="inlineStr">
        <is>
          <t>Capacity weight is used only to weight accelerator mix, not to overwrite company total power in 02_Inputs.</t>
        </is>
      </c>
    </row>
    <row r="843">
      <c r="A843" s="3" t="inlineStr">
        <is>
          <t>Grid-Constrained / Efficiency-Upside|OpenAI|2028|Microsoft Fairwater Atlanta</t>
        </is>
      </c>
      <c r="B843" s="3" t="inlineStr">
        <is>
          <t>Grid-Constrained / Efficiency-Upside</t>
        </is>
      </c>
      <c r="C843" s="3" t="inlineStr">
        <is>
          <t>OpenAI</t>
        </is>
      </c>
      <c r="D843" s="3" t="n">
        <v>2028</v>
      </c>
      <c r="E843" s="3" t="inlineStr">
        <is>
          <t>Microsoft Fairwater Atlanta</t>
        </is>
      </c>
      <c r="F843" s="3" t="inlineStr">
        <is>
          <t>Microsoft</t>
        </is>
      </c>
      <c r="G843" s="3" t="inlineStr">
        <is>
          <t>United States</t>
        </is>
      </c>
      <c r="H843" s="25" t="n">
        <v>318</v>
      </c>
      <c r="I843" s="17" t="n">
        <v>1</v>
      </c>
      <c r="J843" s="17" t="n">
        <v>0.71</v>
      </c>
      <c r="K843" s="26" t="n">
        <v>0.29</v>
      </c>
      <c r="L843" s="3" t="inlineStr">
        <is>
          <t>2026-06-14</t>
        </is>
      </c>
      <c r="M843" s="27" t="n">
        <v>318</v>
      </c>
      <c r="N843" s="27" t="n">
        <v>318</v>
      </c>
      <c r="O843" s="3" t="inlineStr">
        <is>
          <t>likely</t>
        </is>
      </c>
      <c r="P843" s="3" t="inlineStr">
        <is>
          <t>B200</t>
        </is>
      </c>
      <c r="Q843" s="3" t="inlineStr">
        <is>
          <t>epoch_user_site_equal_split_seed</t>
        </is>
      </c>
      <c r="R843" s="3" t="inlineStr">
        <is>
          <t>SRC_EPOCH_AI_DATA_CENTERS; EPOCH_NORMALIZED_USER_SITES</t>
        </is>
      </c>
      <c r="S843" s="3" t="inlineStr">
        <is>
          <t>Capacity weight is used only to weight accelerator mix, not to overwrite company total power in 02_Inputs.</t>
        </is>
      </c>
    </row>
    <row r="844">
      <c r="A844" s="3" t="inlineStr">
        <is>
          <t>Grid-Constrained / Efficiency-Upside|OpenAI|2029|Microsoft Fairwater Atlanta</t>
        </is>
      </c>
      <c r="B844" s="3" t="inlineStr">
        <is>
          <t>Grid-Constrained / Efficiency-Upside</t>
        </is>
      </c>
      <c r="C844" s="3" t="inlineStr">
        <is>
          <t>OpenAI</t>
        </is>
      </c>
      <c r="D844" s="3" t="n">
        <v>2029</v>
      </c>
      <c r="E844" s="3" t="inlineStr">
        <is>
          <t>Microsoft Fairwater Atlanta</t>
        </is>
      </c>
      <c r="F844" s="3" t="inlineStr">
        <is>
          <t>Microsoft</t>
        </is>
      </c>
      <c r="G844" s="3" t="inlineStr">
        <is>
          <t>United States</t>
        </is>
      </c>
      <c r="H844" s="25" t="n">
        <v>318</v>
      </c>
      <c r="I844" s="17" t="n">
        <v>1</v>
      </c>
      <c r="J844" s="17" t="n">
        <v>0.765</v>
      </c>
      <c r="K844" s="26" t="n">
        <v>0.235</v>
      </c>
      <c r="L844" s="3" t="inlineStr">
        <is>
          <t>2026-06-14</t>
        </is>
      </c>
      <c r="M844" s="27" t="n">
        <v>318</v>
      </c>
      <c r="N844" s="27" t="n">
        <v>318</v>
      </c>
      <c r="O844" s="3" t="inlineStr">
        <is>
          <t>likely</t>
        </is>
      </c>
      <c r="P844" s="3" t="inlineStr">
        <is>
          <t>B200</t>
        </is>
      </c>
      <c r="Q844" s="3" t="inlineStr">
        <is>
          <t>epoch_user_site_equal_split_seed</t>
        </is>
      </c>
      <c r="R844" s="3" t="inlineStr">
        <is>
          <t>SRC_EPOCH_AI_DATA_CENTERS; EPOCH_NORMALIZED_USER_SITES</t>
        </is>
      </c>
      <c r="S844" s="3" t="inlineStr">
        <is>
          <t>Capacity weight is used only to weight accelerator mix, not to overwrite company total power in 02_Inputs.</t>
        </is>
      </c>
    </row>
    <row r="845">
      <c r="A845" s="3" t="inlineStr">
        <is>
          <t>Grid-Constrained / Efficiency-Upside|OpenAI|2030|Microsoft Fairwater Atlanta</t>
        </is>
      </c>
      <c r="B845" s="3" t="inlineStr">
        <is>
          <t>Grid-Constrained / Efficiency-Upside</t>
        </is>
      </c>
      <c r="C845" s="3" t="inlineStr">
        <is>
          <t>OpenAI</t>
        </is>
      </c>
      <c r="D845" s="3" t="n">
        <v>2030</v>
      </c>
      <c r="E845" s="3" t="inlineStr">
        <is>
          <t>Microsoft Fairwater Atlanta</t>
        </is>
      </c>
      <c r="F845" s="3" t="inlineStr">
        <is>
          <t>Microsoft</t>
        </is>
      </c>
      <c r="G845" s="3" t="inlineStr">
        <is>
          <t>United States</t>
        </is>
      </c>
      <c r="H845" s="25" t="n">
        <v>318</v>
      </c>
      <c r="I845" s="17" t="n">
        <v>1</v>
      </c>
      <c r="J845" s="17" t="n">
        <v>0.82</v>
      </c>
      <c r="K845" s="26" t="n">
        <v>0.18</v>
      </c>
      <c r="L845" s="3" t="inlineStr">
        <is>
          <t>2026-06-14</t>
        </is>
      </c>
      <c r="M845" s="27" t="n">
        <v>318</v>
      </c>
      <c r="N845" s="27" t="n">
        <v>318</v>
      </c>
      <c r="O845" s="3" t="inlineStr">
        <is>
          <t>likely</t>
        </is>
      </c>
      <c r="P845" s="3" t="inlineStr">
        <is>
          <t>B200</t>
        </is>
      </c>
      <c r="Q845" s="3" t="inlineStr">
        <is>
          <t>epoch_user_site_equal_split_seed</t>
        </is>
      </c>
      <c r="R845" s="3" t="inlineStr">
        <is>
          <t>SRC_EPOCH_AI_DATA_CENTERS; EPOCH_NORMALIZED_USER_SITES</t>
        </is>
      </c>
      <c r="S845" s="3" t="inlineStr">
        <is>
          <t>Capacity weight is used only to weight accelerator mix, not to overwrite company total power in 02_Inputs.</t>
        </is>
      </c>
    </row>
    <row r="846">
      <c r="A846" s="3" t="inlineStr">
        <is>
          <t>Bear|OpenAI|2026|Microsoft Fairwater Wisconsin</t>
        </is>
      </c>
      <c r="B846" s="3" t="inlineStr">
        <is>
          <t>Bear</t>
        </is>
      </c>
      <c r="C846" s="3" t="inlineStr">
        <is>
          <t>OpenAI</t>
        </is>
      </c>
      <c r="D846" s="3" t="n">
        <v>2026</v>
      </c>
      <c r="E846" s="3" t="inlineStr">
        <is>
          <t>Microsoft Fairwater Wisconsin</t>
        </is>
      </c>
      <c r="F846" s="3" t="inlineStr">
        <is>
          <t>Microsoft</t>
        </is>
      </c>
      <c r="G846" s="3" t="inlineStr">
        <is>
          <t>United States</t>
        </is>
      </c>
      <c r="H846" s="25" t="n">
        <v>184.5</v>
      </c>
      <c r="I846" s="17" t="n">
        <v>1</v>
      </c>
      <c r="J846" s="17" t="n">
        <v>0.5</v>
      </c>
      <c r="K846" s="26" t="n">
        <v>0.5</v>
      </c>
      <c r="L846" s="3" t="inlineStr">
        <is>
          <t>2028-05-13</t>
        </is>
      </c>
      <c r="M846" s="27" t="n">
        <v>184.5</v>
      </c>
      <c r="N846" s="27" t="n">
        <v>1131.5</v>
      </c>
      <c r="O846" s="3" t="inlineStr">
        <is>
          <t>likely</t>
        </is>
      </c>
      <c r="P846" s="3" t="inlineStr">
        <is>
          <t>B200</t>
        </is>
      </c>
      <c r="Q846" s="3" t="inlineStr">
        <is>
          <t>epoch_user_site_equal_split_seed</t>
        </is>
      </c>
      <c r="R846" s="3" t="inlineStr">
        <is>
          <t>SRC_EPOCH_AI_DATA_CENTERS; EPOCH_NORMALIZED_USER_SITES</t>
        </is>
      </c>
      <c r="S846" s="3" t="inlineStr">
        <is>
          <t>Capacity weight is used only to weight accelerator mix, not to overwrite company total power in 02_Inputs.</t>
        </is>
      </c>
    </row>
    <row r="847">
      <c r="A847" s="3" t="inlineStr">
        <is>
          <t>Bear|OpenAI|2027|Microsoft Fairwater Wisconsin</t>
        </is>
      </c>
      <c r="B847" s="3" t="inlineStr">
        <is>
          <t>Bear</t>
        </is>
      </c>
      <c r="C847" s="3" t="inlineStr">
        <is>
          <t>OpenAI</t>
        </is>
      </c>
      <c r="D847" s="3" t="n">
        <v>2027</v>
      </c>
      <c r="E847" s="3" t="inlineStr">
        <is>
          <t>Microsoft Fairwater Wisconsin</t>
        </is>
      </c>
      <c r="F847" s="3" t="inlineStr">
        <is>
          <t>Microsoft</t>
        </is>
      </c>
      <c r="G847" s="3" t="inlineStr">
        <is>
          <t>United States</t>
        </is>
      </c>
      <c r="H847" s="25" t="n">
        <v>184.5</v>
      </c>
      <c r="I847" s="17" t="n">
        <v>1</v>
      </c>
      <c r="J847" s="17" t="n">
        <v>0.545</v>
      </c>
      <c r="K847" s="26" t="n">
        <v>0.455</v>
      </c>
      <c r="L847" s="3" t="inlineStr">
        <is>
          <t>2028-05-13</t>
        </is>
      </c>
      <c r="M847" s="27" t="n">
        <v>184.5</v>
      </c>
      <c r="N847" s="27" t="n">
        <v>1131.5</v>
      </c>
      <c r="O847" s="3" t="inlineStr">
        <is>
          <t>likely</t>
        </is>
      </c>
      <c r="P847" s="3" t="inlineStr">
        <is>
          <t>B200</t>
        </is>
      </c>
      <c r="Q847" s="3" t="inlineStr">
        <is>
          <t>epoch_user_site_equal_split_seed</t>
        </is>
      </c>
      <c r="R847" s="3" t="inlineStr">
        <is>
          <t>SRC_EPOCH_AI_DATA_CENTERS; EPOCH_NORMALIZED_USER_SITES</t>
        </is>
      </c>
      <c r="S847" s="3" t="inlineStr">
        <is>
          <t>Capacity weight is used only to weight accelerator mix, not to overwrite company total power in 02_Inputs.</t>
        </is>
      </c>
    </row>
    <row r="848">
      <c r="A848" s="3" t="inlineStr">
        <is>
          <t>Bear|OpenAI|2028|Microsoft Fairwater Wisconsin</t>
        </is>
      </c>
      <c r="B848" s="3" t="inlineStr">
        <is>
          <t>Bear</t>
        </is>
      </c>
      <c r="C848" s="3" t="inlineStr">
        <is>
          <t>OpenAI</t>
        </is>
      </c>
      <c r="D848" s="3" t="n">
        <v>2028</v>
      </c>
      <c r="E848" s="3" t="inlineStr">
        <is>
          <t>Microsoft Fairwater Wisconsin</t>
        </is>
      </c>
      <c r="F848" s="3" t="inlineStr">
        <is>
          <t>Microsoft</t>
        </is>
      </c>
      <c r="G848" s="3" t="inlineStr">
        <is>
          <t>United States</t>
        </is>
      </c>
      <c r="H848" s="25" t="n">
        <v>1131.5</v>
      </c>
      <c r="I848" s="17" t="n">
        <v>1</v>
      </c>
      <c r="J848" s="17" t="n">
        <v>0.59</v>
      </c>
      <c r="K848" s="26" t="n">
        <v>0.41</v>
      </c>
      <c r="L848" s="3" t="inlineStr">
        <is>
          <t>2028-05-13</t>
        </is>
      </c>
      <c r="M848" s="27" t="n">
        <v>184.5</v>
      </c>
      <c r="N848" s="27" t="n">
        <v>1131.5</v>
      </c>
      <c r="O848" s="3" t="inlineStr">
        <is>
          <t>likely</t>
        </is>
      </c>
      <c r="P848" s="3" t="inlineStr">
        <is>
          <t>B200</t>
        </is>
      </c>
      <c r="Q848" s="3" t="inlineStr">
        <is>
          <t>epoch_user_site_equal_split_seed</t>
        </is>
      </c>
      <c r="R848" s="3" t="inlineStr">
        <is>
          <t>SRC_EPOCH_AI_DATA_CENTERS; EPOCH_NORMALIZED_USER_SITES</t>
        </is>
      </c>
      <c r="S848" s="3" t="inlineStr">
        <is>
          <t>Capacity weight is used only to weight accelerator mix, not to overwrite company total power in 02_Inputs.</t>
        </is>
      </c>
    </row>
    <row r="849">
      <c r="A849" s="3" t="inlineStr">
        <is>
          <t>Bear|OpenAI|2029|Microsoft Fairwater Wisconsin</t>
        </is>
      </c>
      <c r="B849" s="3" t="inlineStr">
        <is>
          <t>Bear</t>
        </is>
      </c>
      <c r="C849" s="3" t="inlineStr">
        <is>
          <t>OpenAI</t>
        </is>
      </c>
      <c r="D849" s="3" t="n">
        <v>2029</v>
      </c>
      <c r="E849" s="3" t="inlineStr">
        <is>
          <t>Microsoft Fairwater Wisconsin</t>
        </is>
      </c>
      <c r="F849" s="3" t="inlineStr">
        <is>
          <t>Microsoft</t>
        </is>
      </c>
      <c r="G849" s="3" t="inlineStr">
        <is>
          <t>United States</t>
        </is>
      </c>
      <c r="H849" s="25" t="n">
        <v>1131.5</v>
      </c>
      <c r="I849" s="17" t="n">
        <v>1</v>
      </c>
      <c r="J849" s="17" t="n">
        <v>0.635</v>
      </c>
      <c r="K849" s="26" t="n">
        <v>0.365</v>
      </c>
      <c r="L849" s="3" t="inlineStr">
        <is>
          <t>2028-05-13</t>
        </is>
      </c>
      <c r="M849" s="27" t="n">
        <v>184.5</v>
      </c>
      <c r="N849" s="27" t="n">
        <v>1131.5</v>
      </c>
      <c r="O849" s="3" t="inlineStr">
        <is>
          <t>likely</t>
        </is>
      </c>
      <c r="P849" s="3" t="inlineStr">
        <is>
          <t>B200</t>
        </is>
      </c>
      <c r="Q849" s="3" t="inlineStr">
        <is>
          <t>epoch_user_site_equal_split_seed</t>
        </is>
      </c>
      <c r="R849" s="3" t="inlineStr">
        <is>
          <t>SRC_EPOCH_AI_DATA_CENTERS; EPOCH_NORMALIZED_USER_SITES</t>
        </is>
      </c>
      <c r="S849" s="3" t="inlineStr">
        <is>
          <t>Capacity weight is used only to weight accelerator mix, not to overwrite company total power in 02_Inputs.</t>
        </is>
      </c>
    </row>
    <row r="850">
      <c r="A850" s="3" t="inlineStr">
        <is>
          <t>Bear|OpenAI|2030|Microsoft Fairwater Wisconsin</t>
        </is>
      </c>
      <c r="B850" s="3" t="inlineStr">
        <is>
          <t>Bear</t>
        </is>
      </c>
      <c r="C850" s="3" t="inlineStr">
        <is>
          <t>OpenAI</t>
        </is>
      </c>
      <c r="D850" s="3" t="n">
        <v>2030</v>
      </c>
      <c r="E850" s="3" t="inlineStr">
        <is>
          <t>Microsoft Fairwater Wisconsin</t>
        </is>
      </c>
      <c r="F850" s="3" t="inlineStr">
        <is>
          <t>Microsoft</t>
        </is>
      </c>
      <c r="G850" s="3" t="inlineStr">
        <is>
          <t>United States</t>
        </is>
      </c>
      <c r="H850" s="25" t="n">
        <v>1131.5</v>
      </c>
      <c r="I850" s="17" t="n">
        <v>1</v>
      </c>
      <c r="J850" s="17" t="n">
        <v>0.68</v>
      </c>
      <c r="K850" s="26" t="n">
        <v>0.32</v>
      </c>
      <c r="L850" s="3" t="inlineStr">
        <is>
          <t>2028-05-13</t>
        </is>
      </c>
      <c r="M850" s="27" t="n">
        <v>184.5</v>
      </c>
      <c r="N850" s="27" t="n">
        <v>1131.5</v>
      </c>
      <c r="O850" s="3" t="inlineStr">
        <is>
          <t>likely</t>
        </is>
      </c>
      <c r="P850" s="3" t="inlineStr">
        <is>
          <t>B200</t>
        </is>
      </c>
      <c r="Q850" s="3" t="inlineStr">
        <is>
          <t>epoch_user_site_equal_split_seed</t>
        </is>
      </c>
      <c r="R850" s="3" t="inlineStr">
        <is>
          <t>SRC_EPOCH_AI_DATA_CENTERS; EPOCH_NORMALIZED_USER_SITES</t>
        </is>
      </c>
      <c r="S850" s="3" t="inlineStr">
        <is>
          <t>Capacity weight is used only to weight accelerator mix, not to overwrite company total power in 02_Inputs.</t>
        </is>
      </c>
    </row>
    <row r="851">
      <c r="A851" s="3" t="inlineStr">
        <is>
          <t>Base|OpenAI|2026|Microsoft Fairwater Wisconsin</t>
        </is>
      </c>
      <c r="B851" s="3" t="inlineStr">
        <is>
          <t>Base</t>
        </is>
      </c>
      <c r="C851" s="3" t="inlineStr">
        <is>
          <t>OpenAI</t>
        </is>
      </c>
      <c r="D851" s="3" t="n">
        <v>2026</v>
      </c>
      <c r="E851" s="3" t="inlineStr">
        <is>
          <t>Microsoft Fairwater Wisconsin</t>
        </is>
      </c>
      <c r="F851" s="3" t="inlineStr">
        <is>
          <t>Microsoft</t>
        </is>
      </c>
      <c r="G851" s="3" t="inlineStr">
        <is>
          <t>United States</t>
        </is>
      </c>
      <c r="H851" s="25" t="n">
        <v>184.5</v>
      </c>
      <c r="I851" s="17" t="n">
        <v>1</v>
      </c>
      <c r="J851" s="17" t="n">
        <v>0.58</v>
      </c>
      <c r="K851" s="26" t="n">
        <v>0.42</v>
      </c>
      <c r="L851" s="3" t="inlineStr">
        <is>
          <t>2028-05-13</t>
        </is>
      </c>
      <c r="M851" s="27" t="n">
        <v>184.5</v>
      </c>
      <c r="N851" s="27" t="n">
        <v>1131.5</v>
      </c>
      <c r="O851" s="3" t="inlineStr">
        <is>
          <t>likely</t>
        </is>
      </c>
      <c r="P851" s="3" t="inlineStr">
        <is>
          <t>B200</t>
        </is>
      </c>
      <c r="Q851" s="3" t="inlineStr">
        <is>
          <t>epoch_user_site_equal_split_seed</t>
        </is>
      </c>
      <c r="R851" s="3" t="inlineStr">
        <is>
          <t>SRC_EPOCH_AI_DATA_CENTERS; EPOCH_NORMALIZED_USER_SITES</t>
        </is>
      </c>
      <c r="S851" s="3" t="inlineStr">
        <is>
          <t>Capacity weight is used only to weight accelerator mix, not to overwrite company total power in 02_Inputs.</t>
        </is>
      </c>
    </row>
    <row r="852">
      <c r="A852" s="3" t="inlineStr">
        <is>
          <t>Base|OpenAI|2027|Microsoft Fairwater Wisconsin</t>
        </is>
      </c>
      <c r="B852" s="3" t="inlineStr">
        <is>
          <t>Base</t>
        </is>
      </c>
      <c r="C852" s="3" t="inlineStr">
        <is>
          <t>OpenAI</t>
        </is>
      </c>
      <c r="D852" s="3" t="n">
        <v>2027</v>
      </c>
      <c r="E852" s="3" t="inlineStr">
        <is>
          <t>Microsoft Fairwater Wisconsin</t>
        </is>
      </c>
      <c r="F852" s="3" t="inlineStr">
        <is>
          <t>Microsoft</t>
        </is>
      </c>
      <c r="G852" s="3" t="inlineStr">
        <is>
          <t>United States</t>
        </is>
      </c>
      <c r="H852" s="25" t="n">
        <v>184.5</v>
      </c>
      <c r="I852" s="17" t="n">
        <v>1</v>
      </c>
      <c r="J852" s="17" t="n">
        <v>0.63</v>
      </c>
      <c r="K852" s="26" t="n">
        <v>0.37</v>
      </c>
      <c r="L852" s="3" t="inlineStr">
        <is>
          <t>2028-05-13</t>
        </is>
      </c>
      <c r="M852" s="27" t="n">
        <v>184.5</v>
      </c>
      <c r="N852" s="27" t="n">
        <v>1131.5</v>
      </c>
      <c r="O852" s="3" t="inlineStr">
        <is>
          <t>likely</t>
        </is>
      </c>
      <c r="P852" s="3" t="inlineStr">
        <is>
          <t>B200</t>
        </is>
      </c>
      <c r="Q852" s="3" t="inlineStr">
        <is>
          <t>epoch_user_site_equal_split_seed</t>
        </is>
      </c>
      <c r="R852" s="3" t="inlineStr">
        <is>
          <t>SRC_EPOCH_AI_DATA_CENTERS; EPOCH_NORMALIZED_USER_SITES</t>
        </is>
      </c>
      <c r="S852" s="3" t="inlineStr">
        <is>
          <t>Capacity weight is used only to weight accelerator mix, not to overwrite company total power in 02_Inputs.</t>
        </is>
      </c>
    </row>
    <row r="853">
      <c r="A853" s="3" t="inlineStr">
        <is>
          <t>Base|OpenAI|2028|Microsoft Fairwater Wisconsin</t>
        </is>
      </c>
      <c r="B853" s="3" t="inlineStr">
        <is>
          <t>Base</t>
        </is>
      </c>
      <c r="C853" s="3" t="inlineStr">
        <is>
          <t>OpenAI</t>
        </is>
      </c>
      <c r="D853" s="3" t="n">
        <v>2028</v>
      </c>
      <c r="E853" s="3" t="inlineStr">
        <is>
          <t>Microsoft Fairwater Wisconsin</t>
        </is>
      </c>
      <c r="F853" s="3" t="inlineStr">
        <is>
          <t>Microsoft</t>
        </is>
      </c>
      <c r="G853" s="3" t="inlineStr">
        <is>
          <t>United States</t>
        </is>
      </c>
      <c r="H853" s="25" t="n">
        <v>1131.5</v>
      </c>
      <c r="I853" s="17" t="n">
        <v>1</v>
      </c>
      <c r="J853" s="17" t="n">
        <v>0.68</v>
      </c>
      <c r="K853" s="26" t="n">
        <v>0.32</v>
      </c>
      <c r="L853" s="3" t="inlineStr">
        <is>
          <t>2028-05-13</t>
        </is>
      </c>
      <c r="M853" s="27" t="n">
        <v>184.5</v>
      </c>
      <c r="N853" s="27" t="n">
        <v>1131.5</v>
      </c>
      <c r="O853" s="3" t="inlineStr">
        <is>
          <t>likely</t>
        </is>
      </c>
      <c r="P853" s="3" t="inlineStr">
        <is>
          <t>B200</t>
        </is>
      </c>
      <c r="Q853" s="3" t="inlineStr">
        <is>
          <t>epoch_user_site_equal_split_seed</t>
        </is>
      </c>
      <c r="R853" s="3" t="inlineStr">
        <is>
          <t>SRC_EPOCH_AI_DATA_CENTERS; EPOCH_NORMALIZED_USER_SITES</t>
        </is>
      </c>
      <c r="S853" s="3" t="inlineStr">
        <is>
          <t>Capacity weight is used only to weight accelerator mix, not to overwrite company total power in 02_Inputs.</t>
        </is>
      </c>
    </row>
    <row r="854">
      <c r="A854" s="3" t="inlineStr">
        <is>
          <t>Base|OpenAI|2029|Microsoft Fairwater Wisconsin</t>
        </is>
      </c>
      <c r="B854" s="3" t="inlineStr">
        <is>
          <t>Base</t>
        </is>
      </c>
      <c r="C854" s="3" t="inlineStr">
        <is>
          <t>OpenAI</t>
        </is>
      </c>
      <c r="D854" s="3" t="n">
        <v>2029</v>
      </c>
      <c r="E854" s="3" t="inlineStr">
        <is>
          <t>Microsoft Fairwater Wisconsin</t>
        </is>
      </c>
      <c r="F854" s="3" t="inlineStr">
        <is>
          <t>Microsoft</t>
        </is>
      </c>
      <c r="G854" s="3" t="inlineStr">
        <is>
          <t>United States</t>
        </is>
      </c>
      <c r="H854" s="25" t="n">
        <v>1131.5</v>
      </c>
      <c r="I854" s="17" t="n">
        <v>1</v>
      </c>
      <c r="J854" s="17" t="n">
        <v>0.73</v>
      </c>
      <c r="K854" s="26" t="n">
        <v>0.27</v>
      </c>
      <c r="L854" s="3" t="inlineStr">
        <is>
          <t>2028-05-13</t>
        </is>
      </c>
      <c r="M854" s="27" t="n">
        <v>184.5</v>
      </c>
      <c r="N854" s="27" t="n">
        <v>1131.5</v>
      </c>
      <c r="O854" s="3" t="inlineStr">
        <is>
          <t>likely</t>
        </is>
      </c>
      <c r="P854" s="3" t="inlineStr">
        <is>
          <t>B200</t>
        </is>
      </c>
      <c r="Q854" s="3" t="inlineStr">
        <is>
          <t>epoch_user_site_equal_split_seed</t>
        </is>
      </c>
      <c r="R854" s="3" t="inlineStr">
        <is>
          <t>SRC_EPOCH_AI_DATA_CENTERS; EPOCH_NORMALIZED_USER_SITES</t>
        </is>
      </c>
      <c r="S854" s="3" t="inlineStr">
        <is>
          <t>Capacity weight is used only to weight accelerator mix, not to overwrite company total power in 02_Inputs.</t>
        </is>
      </c>
    </row>
    <row r="855">
      <c r="A855" s="3" t="inlineStr">
        <is>
          <t>Base|OpenAI|2030|Microsoft Fairwater Wisconsin</t>
        </is>
      </c>
      <c r="B855" s="3" t="inlineStr">
        <is>
          <t>Base</t>
        </is>
      </c>
      <c r="C855" s="3" t="inlineStr">
        <is>
          <t>OpenAI</t>
        </is>
      </c>
      <c r="D855" s="3" t="n">
        <v>2030</v>
      </c>
      <c r="E855" s="3" t="inlineStr">
        <is>
          <t>Microsoft Fairwater Wisconsin</t>
        </is>
      </c>
      <c r="F855" s="3" t="inlineStr">
        <is>
          <t>Microsoft</t>
        </is>
      </c>
      <c r="G855" s="3" t="inlineStr">
        <is>
          <t>United States</t>
        </is>
      </c>
      <c r="H855" s="25" t="n">
        <v>1131.5</v>
      </c>
      <c r="I855" s="17" t="n">
        <v>1</v>
      </c>
      <c r="J855" s="17" t="n">
        <v>0.78</v>
      </c>
      <c r="K855" s="26" t="n">
        <v>0.22</v>
      </c>
      <c r="L855" s="3" t="inlineStr">
        <is>
          <t>2028-05-13</t>
        </is>
      </c>
      <c r="M855" s="27" t="n">
        <v>184.5</v>
      </c>
      <c r="N855" s="27" t="n">
        <v>1131.5</v>
      </c>
      <c r="O855" s="3" t="inlineStr">
        <is>
          <t>likely</t>
        </is>
      </c>
      <c r="P855" s="3" t="inlineStr">
        <is>
          <t>B200</t>
        </is>
      </c>
      <c r="Q855" s="3" t="inlineStr">
        <is>
          <t>epoch_user_site_equal_split_seed</t>
        </is>
      </c>
      <c r="R855" s="3" t="inlineStr">
        <is>
          <t>SRC_EPOCH_AI_DATA_CENTERS; EPOCH_NORMALIZED_USER_SITES</t>
        </is>
      </c>
      <c r="S855" s="3" t="inlineStr">
        <is>
          <t>Capacity weight is used only to weight accelerator mix, not to overwrite company total power in 02_Inputs.</t>
        </is>
      </c>
    </row>
    <row r="856">
      <c r="A856" s="3" t="inlineStr">
        <is>
          <t>Bull|OpenAI|2026|Microsoft Fairwater Wisconsin</t>
        </is>
      </c>
      <c r="B856" s="3" t="inlineStr">
        <is>
          <t>Bull</t>
        </is>
      </c>
      <c r="C856" s="3" t="inlineStr">
        <is>
          <t>OpenAI</t>
        </is>
      </c>
      <c r="D856" s="3" t="n">
        <v>2026</v>
      </c>
      <c r="E856" s="3" t="inlineStr">
        <is>
          <t>Microsoft Fairwater Wisconsin</t>
        </is>
      </c>
      <c r="F856" s="3" t="inlineStr">
        <is>
          <t>Microsoft</t>
        </is>
      </c>
      <c r="G856" s="3" t="inlineStr">
        <is>
          <t>United States</t>
        </is>
      </c>
      <c r="H856" s="25" t="n">
        <v>184.5</v>
      </c>
      <c r="I856" s="17" t="n">
        <v>1</v>
      </c>
      <c r="J856" s="17" t="n">
        <v>0.63</v>
      </c>
      <c r="K856" s="26" t="n">
        <v>0.37</v>
      </c>
      <c r="L856" s="3" t="inlineStr">
        <is>
          <t>2028-05-13</t>
        </is>
      </c>
      <c r="M856" s="27" t="n">
        <v>184.5</v>
      </c>
      <c r="N856" s="27" t="n">
        <v>1131.5</v>
      </c>
      <c r="O856" s="3" t="inlineStr">
        <is>
          <t>likely</t>
        </is>
      </c>
      <c r="P856" s="3" t="inlineStr">
        <is>
          <t>B200</t>
        </is>
      </c>
      <c r="Q856" s="3" t="inlineStr">
        <is>
          <t>epoch_user_site_equal_split_seed</t>
        </is>
      </c>
      <c r="R856" s="3" t="inlineStr">
        <is>
          <t>SRC_EPOCH_AI_DATA_CENTERS; EPOCH_NORMALIZED_USER_SITES</t>
        </is>
      </c>
      <c r="S856" s="3" t="inlineStr">
        <is>
          <t>Capacity weight is used only to weight accelerator mix, not to overwrite company total power in 02_Inputs.</t>
        </is>
      </c>
    </row>
    <row r="857">
      <c r="A857" s="3" t="inlineStr">
        <is>
          <t>Bull|OpenAI|2027|Microsoft Fairwater Wisconsin</t>
        </is>
      </c>
      <c r="B857" s="3" t="inlineStr">
        <is>
          <t>Bull</t>
        </is>
      </c>
      <c r="C857" s="3" t="inlineStr">
        <is>
          <t>OpenAI</t>
        </is>
      </c>
      <c r="D857" s="3" t="n">
        <v>2027</v>
      </c>
      <c r="E857" s="3" t="inlineStr">
        <is>
          <t>Microsoft Fairwater Wisconsin</t>
        </is>
      </c>
      <c r="F857" s="3" t="inlineStr">
        <is>
          <t>Microsoft</t>
        </is>
      </c>
      <c r="G857" s="3" t="inlineStr">
        <is>
          <t>United States</t>
        </is>
      </c>
      <c r="H857" s="25" t="n">
        <v>184.5</v>
      </c>
      <c r="I857" s="17" t="n">
        <v>1</v>
      </c>
      <c r="J857" s="17" t="n">
        <v>0.6879999999999999</v>
      </c>
      <c r="K857" s="26" t="n">
        <v>0.312</v>
      </c>
      <c r="L857" s="3" t="inlineStr">
        <is>
          <t>2028-05-13</t>
        </is>
      </c>
      <c r="M857" s="27" t="n">
        <v>184.5</v>
      </c>
      <c r="N857" s="27" t="n">
        <v>1131.5</v>
      </c>
      <c r="O857" s="3" t="inlineStr">
        <is>
          <t>likely</t>
        </is>
      </c>
      <c r="P857" s="3" t="inlineStr">
        <is>
          <t>B200</t>
        </is>
      </c>
      <c r="Q857" s="3" t="inlineStr">
        <is>
          <t>epoch_user_site_equal_split_seed</t>
        </is>
      </c>
      <c r="R857" s="3" t="inlineStr">
        <is>
          <t>SRC_EPOCH_AI_DATA_CENTERS; EPOCH_NORMALIZED_USER_SITES</t>
        </is>
      </c>
      <c r="S857" s="3" t="inlineStr">
        <is>
          <t>Capacity weight is used only to weight accelerator mix, not to overwrite company total power in 02_Inputs.</t>
        </is>
      </c>
    </row>
    <row r="858">
      <c r="A858" s="3" t="inlineStr">
        <is>
          <t>Bull|OpenAI|2028|Microsoft Fairwater Wisconsin</t>
        </is>
      </c>
      <c r="B858" s="3" t="inlineStr">
        <is>
          <t>Bull</t>
        </is>
      </c>
      <c r="C858" s="3" t="inlineStr">
        <is>
          <t>OpenAI</t>
        </is>
      </c>
      <c r="D858" s="3" t="n">
        <v>2028</v>
      </c>
      <c r="E858" s="3" t="inlineStr">
        <is>
          <t>Microsoft Fairwater Wisconsin</t>
        </is>
      </c>
      <c r="F858" s="3" t="inlineStr">
        <is>
          <t>Microsoft</t>
        </is>
      </c>
      <c r="G858" s="3" t="inlineStr">
        <is>
          <t>United States</t>
        </is>
      </c>
      <c r="H858" s="25" t="n">
        <v>1131.5</v>
      </c>
      <c r="I858" s="17" t="n">
        <v>1</v>
      </c>
      <c r="J858" s="17" t="n">
        <v>0.745</v>
      </c>
      <c r="K858" s="26" t="n">
        <v>0.255</v>
      </c>
      <c r="L858" s="3" t="inlineStr">
        <is>
          <t>2028-05-13</t>
        </is>
      </c>
      <c r="M858" s="27" t="n">
        <v>184.5</v>
      </c>
      <c r="N858" s="27" t="n">
        <v>1131.5</v>
      </c>
      <c r="O858" s="3" t="inlineStr">
        <is>
          <t>likely</t>
        </is>
      </c>
      <c r="P858" s="3" t="inlineStr">
        <is>
          <t>B200</t>
        </is>
      </c>
      <c r="Q858" s="3" t="inlineStr">
        <is>
          <t>epoch_user_site_equal_split_seed</t>
        </is>
      </c>
      <c r="R858" s="3" t="inlineStr">
        <is>
          <t>SRC_EPOCH_AI_DATA_CENTERS; EPOCH_NORMALIZED_USER_SITES</t>
        </is>
      </c>
      <c r="S858" s="3" t="inlineStr">
        <is>
          <t>Capacity weight is used only to weight accelerator mix, not to overwrite company total power in 02_Inputs.</t>
        </is>
      </c>
    </row>
    <row r="859">
      <c r="A859" s="3" t="inlineStr">
        <is>
          <t>Bull|OpenAI|2029|Microsoft Fairwater Wisconsin</t>
        </is>
      </c>
      <c r="B859" s="3" t="inlineStr">
        <is>
          <t>Bull</t>
        </is>
      </c>
      <c r="C859" s="3" t="inlineStr">
        <is>
          <t>OpenAI</t>
        </is>
      </c>
      <c r="D859" s="3" t="n">
        <v>2029</v>
      </c>
      <c r="E859" s="3" t="inlineStr">
        <is>
          <t>Microsoft Fairwater Wisconsin</t>
        </is>
      </c>
      <c r="F859" s="3" t="inlineStr">
        <is>
          <t>Microsoft</t>
        </is>
      </c>
      <c r="G859" s="3" t="inlineStr">
        <is>
          <t>United States</t>
        </is>
      </c>
      <c r="H859" s="25" t="n">
        <v>1131.5</v>
      </c>
      <c r="I859" s="17" t="n">
        <v>1</v>
      </c>
      <c r="J859" s="17" t="n">
        <v>0.802</v>
      </c>
      <c r="K859" s="26" t="n">
        <v>0.198</v>
      </c>
      <c r="L859" s="3" t="inlineStr">
        <is>
          <t>2028-05-13</t>
        </is>
      </c>
      <c r="M859" s="27" t="n">
        <v>184.5</v>
      </c>
      <c r="N859" s="27" t="n">
        <v>1131.5</v>
      </c>
      <c r="O859" s="3" t="inlineStr">
        <is>
          <t>likely</t>
        </is>
      </c>
      <c r="P859" s="3" t="inlineStr">
        <is>
          <t>B200</t>
        </is>
      </c>
      <c r="Q859" s="3" t="inlineStr">
        <is>
          <t>epoch_user_site_equal_split_seed</t>
        </is>
      </c>
      <c r="R859" s="3" t="inlineStr">
        <is>
          <t>SRC_EPOCH_AI_DATA_CENTERS; EPOCH_NORMALIZED_USER_SITES</t>
        </is>
      </c>
      <c r="S859" s="3" t="inlineStr">
        <is>
          <t>Capacity weight is used only to weight accelerator mix, not to overwrite company total power in 02_Inputs.</t>
        </is>
      </c>
    </row>
    <row r="860">
      <c r="A860" s="3" t="inlineStr">
        <is>
          <t>Bull|OpenAI|2030|Microsoft Fairwater Wisconsin</t>
        </is>
      </c>
      <c r="B860" s="3" t="inlineStr">
        <is>
          <t>Bull</t>
        </is>
      </c>
      <c r="C860" s="3" t="inlineStr">
        <is>
          <t>OpenAI</t>
        </is>
      </c>
      <c r="D860" s="3" t="n">
        <v>2030</v>
      </c>
      <c r="E860" s="3" t="inlineStr">
        <is>
          <t>Microsoft Fairwater Wisconsin</t>
        </is>
      </c>
      <c r="F860" s="3" t="inlineStr">
        <is>
          <t>Microsoft</t>
        </is>
      </c>
      <c r="G860" s="3" t="inlineStr">
        <is>
          <t>United States</t>
        </is>
      </c>
      <c r="H860" s="25" t="n">
        <v>1131.5</v>
      </c>
      <c r="I860" s="17" t="n">
        <v>1</v>
      </c>
      <c r="J860" s="17" t="n">
        <v>0.86</v>
      </c>
      <c r="K860" s="26" t="n">
        <v>0.14</v>
      </c>
      <c r="L860" s="3" t="inlineStr">
        <is>
          <t>2028-05-13</t>
        </is>
      </c>
      <c r="M860" s="27" t="n">
        <v>184.5</v>
      </c>
      <c r="N860" s="27" t="n">
        <v>1131.5</v>
      </c>
      <c r="O860" s="3" t="inlineStr">
        <is>
          <t>likely</t>
        </is>
      </c>
      <c r="P860" s="3" t="inlineStr">
        <is>
          <t>B200</t>
        </is>
      </c>
      <c r="Q860" s="3" t="inlineStr">
        <is>
          <t>epoch_user_site_equal_split_seed</t>
        </is>
      </c>
      <c r="R860" s="3" t="inlineStr">
        <is>
          <t>SRC_EPOCH_AI_DATA_CENTERS; EPOCH_NORMALIZED_USER_SITES</t>
        </is>
      </c>
      <c r="S860" s="3" t="inlineStr">
        <is>
          <t>Capacity weight is used only to weight accelerator mix, not to overwrite company total power in 02_Inputs.</t>
        </is>
      </c>
    </row>
    <row r="861">
      <c r="A861" s="3" t="inlineStr">
        <is>
          <t>Grid-Constrained / Efficiency-Upside|OpenAI|2026|Microsoft Fairwater Wisconsin</t>
        </is>
      </c>
      <c r="B861" s="3" t="inlineStr">
        <is>
          <t>Grid-Constrained / Efficiency-Upside</t>
        </is>
      </c>
      <c r="C861" s="3" t="inlineStr">
        <is>
          <t>OpenAI</t>
        </is>
      </c>
      <c r="D861" s="3" t="n">
        <v>2026</v>
      </c>
      <c r="E861" s="3" t="inlineStr">
        <is>
          <t>Microsoft Fairwater Wisconsin</t>
        </is>
      </c>
      <c r="F861" s="3" t="inlineStr">
        <is>
          <t>Microsoft</t>
        </is>
      </c>
      <c r="G861" s="3" t="inlineStr">
        <is>
          <t>United States</t>
        </is>
      </c>
      <c r="H861" s="25" t="n">
        <v>184.5</v>
      </c>
      <c r="I861" s="17" t="n">
        <v>1</v>
      </c>
      <c r="J861" s="17" t="n">
        <v>0.6</v>
      </c>
      <c r="K861" s="26" t="n">
        <v>0.4</v>
      </c>
      <c r="L861" s="3" t="inlineStr">
        <is>
          <t>2028-05-13</t>
        </is>
      </c>
      <c r="M861" s="27" t="n">
        <v>184.5</v>
      </c>
      <c r="N861" s="27" t="n">
        <v>1131.5</v>
      </c>
      <c r="O861" s="3" t="inlineStr">
        <is>
          <t>likely</t>
        </is>
      </c>
      <c r="P861" s="3" t="inlineStr">
        <is>
          <t>B200</t>
        </is>
      </c>
      <c r="Q861" s="3" t="inlineStr">
        <is>
          <t>epoch_user_site_equal_split_seed</t>
        </is>
      </c>
      <c r="R861" s="3" t="inlineStr">
        <is>
          <t>SRC_EPOCH_AI_DATA_CENTERS; EPOCH_NORMALIZED_USER_SITES</t>
        </is>
      </c>
      <c r="S861" s="3" t="inlineStr">
        <is>
          <t>Capacity weight is used only to weight accelerator mix, not to overwrite company total power in 02_Inputs.</t>
        </is>
      </c>
    </row>
    <row r="862">
      <c r="A862" s="3" t="inlineStr">
        <is>
          <t>Grid-Constrained / Efficiency-Upside|OpenAI|2027|Microsoft Fairwater Wisconsin</t>
        </is>
      </c>
      <c r="B862" s="3" t="inlineStr">
        <is>
          <t>Grid-Constrained / Efficiency-Upside</t>
        </is>
      </c>
      <c r="C862" s="3" t="inlineStr">
        <is>
          <t>OpenAI</t>
        </is>
      </c>
      <c r="D862" s="3" t="n">
        <v>2027</v>
      </c>
      <c r="E862" s="3" t="inlineStr">
        <is>
          <t>Microsoft Fairwater Wisconsin</t>
        </is>
      </c>
      <c r="F862" s="3" t="inlineStr">
        <is>
          <t>Microsoft</t>
        </is>
      </c>
      <c r="G862" s="3" t="inlineStr">
        <is>
          <t>United States</t>
        </is>
      </c>
      <c r="H862" s="25" t="n">
        <v>184.5</v>
      </c>
      <c r="I862" s="17" t="n">
        <v>1</v>
      </c>
      <c r="J862" s="17" t="n">
        <v>0.655</v>
      </c>
      <c r="K862" s="26" t="n">
        <v>0.345</v>
      </c>
      <c r="L862" s="3" t="inlineStr">
        <is>
          <t>2028-05-13</t>
        </is>
      </c>
      <c r="M862" s="27" t="n">
        <v>184.5</v>
      </c>
      <c r="N862" s="27" t="n">
        <v>1131.5</v>
      </c>
      <c r="O862" s="3" t="inlineStr">
        <is>
          <t>likely</t>
        </is>
      </c>
      <c r="P862" s="3" t="inlineStr">
        <is>
          <t>B200</t>
        </is>
      </c>
      <c r="Q862" s="3" t="inlineStr">
        <is>
          <t>epoch_user_site_equal_split_seed</t>
        </is>
      </c>
      <c r="R862" s="3" t="inlineStr">
        <is>
          <t>SRC_EPOCH_AI_DATA_CENTERS; EPOCH_NORMALIZED_USER_SITES</t>
        </is>
      </c>
      <c r="S862" s="3" t="inlineStr">
        <is>
          <t>Capacity weight is used only to weight accelerator mix, not to overwrite company total power in 02_Inputs.</t>
        </is>
      </c>
    </row>
    <row r="863">
      <c r="A863" s="3" t="inlineStr">
        <is>
          <t>Grid-Constrained / Efficiency-Upside|OpenAI|2028|Microsoft Fairwater Wisconsin</t>
        </is>
      </c>
      <c r="B863" s="3" t="inlineStr">
        <is>
          <t>Grid-Constrained / Efficiency-Upside</t>
        </is>
      </c>
      <c r="C863" s="3" t="inlineStr">
        <is>
          <t>OpenAI</t>
        </is>
      </c>
      <c r="D863" s="3" t="n">
        <v>2028</v>
      </c>
      <c r="E863" s="3" t="inlineStr">
        <is>
          <t>Microsoft Fairwater Wisconsin</t>
        </is>
      </c>
      <c r="F863" s="3" t="inlineStr">
        <is>
          <t>Microsoft</t>
        </is>
      </c>
      <c r="G863" s="3" t="inlineStr">
        <is>
          <t>United States</t>
        </is>
      </c>
      <c r="H863" s="25" t="n">
        <v>1131.5</v>
      </c>
      <c r="I863" s="17" t="n">
        <v>1</v>
      </c>
      <c r="J863" s="17" t="n">
        <v>0.71</v>
      </c>
      <c r="K863" s="26" t="n">
        <v>0.29</v>
      </c>
      <c r="L863" s="3" t="inlineStr">
        <is>
          <t>2028-05-13</t>
        </is>
      </c>
      <c r="M863" s="27" t="n">
        <v>184.5</v>
      </c>
      <c r="N863" s="27" t="n">
        <v>1131.5</v>
      </c>
      <c r="O863" s="3" t="inlineStr">
        <is>
          <t>likely</t>
        </is>
      </c>
      <c r="P863" s="3" t="inlineStr">
        <is>
          <t>B200</t>
        </is>
      </c>
      <c r="Q863" s="3" t="inlineStr">
        <is>
          <t>epoch_user_site_equal_split_seed</t>
        </is>
      </c>
      <c r="R863" s="3" t="inlineStr">
        <is>
          <t>SRC_EPOCH_AI_DATA_CENTERS; EPOCH_NORMALIZED_USER_SITES</t>
        </is>
      </c>
      <c r="S863" s="3" t="inlineStr">
        <is>
          <t>Capacity weight is used only to weight accelerator mix, not to overwrite company total power in 02_Inputs.</t>
        </is>
      </c>
    </row>
    <row r="864">
      <c r="A864" s="3" t="inlineStr">
        <is>
          <t>Grid-Constrained / Efficiency-Upside|OpenAI|2029|Microsoft Fairwater Wisconsin</t>
        </is>
      </c>
      <c r="B864" s="3" t="inlineStr">
        <is>
          <t>Grid-Constrained / Efficiency-Upside</t>
        </is>
      </c>
      <c r="C864" s="3" t="inlineStr">
        <is>
          <t>OpenAI</t>
        </is>
      </c>
      <c r="D864" s="3" t="n">
        <v>2029</v>
      </c>
      <c r="E864" s="3" t="inlineStr">
        <is>
          <t>Microsoft Fairwater Wisconsin</t>
        </is>
      </c>
      <c r="F864" s="3" t="inlineStr">
        <is>
          <t>Microsoft</t>
        </is>
      </c>
      <c r="G864" s="3" t="inlineStr">
        <is>
          <t>United States</t>
        </is>
      </c>
      <c r="H864" s="25" t="n">
        <v>1131.5</v>
      </c>
      <c r="I864" s="17" t="n">
        <v>1</v>
      </c>
      <c r="J864" s="17" t="n">
        <v>0.765</v>
      </c>
      <c r="K864" s="26" t="n">
        <v>0.235</v>
      </c>
      <c r="L864" s="3" t="inlineStr">
        <is>
          <t>2028-05-13</t>
        </is>
      </c>
      <c r="M864" s="27" t="n">
        <v>184.5</v>
      </c>
      <c r="N864" s="27" t="n">
        <v>1131.5</v>
      </c>
      <c r="O864" s="3" t="inlineStr">
        <is>
          <t>likely</t>
        </is>
      </c>
      <c r="P864" s="3" t="inlineStr">
        <is>
          <t>B200</t>
        </is>
      </c>
      <c r="Q864" s="3" t="inlineStr">
        <is>
          <t>epoch_user_site_equal_split_seed</t>
        </is>
      </c>
      <c r="R864" s="3" t="inlineStr">
        <is>
          <t>SRC_EPOCH_AI_DATA_CENTERS; EPOCH_NORMALIZED_USER_SITES</t>
        </is>
      </c>
      <c r="S864" s="3" t="inlineStr">
        <is>
          <t>Capacity weight is used only to weight accelerator mix, not to overwrite company total power in 02_Inputs.</t>
        </is>
      </c>
    </row>
    <row r="865">
      <c r="A865" s="3" t="inlineStr">
        <is>
          <t>Grid-Constrained / Efficiency-Upside|OpenAI|2030|Microsoft Fairwater Wisconsin</t>
        </is>
      </c>
      <c r="B865" s="3" t="inlineStr">
        <is>
          <t>Grid-Constrained / Efficiency-Upside</t>
        </is>
      </c>
      <c r="C865" s="3" t="inlineStr">
        <is>
          <t>OpenAI</t>
        </is>
      </c>
      <c r="D865" s="3" t="n">
        <v>2030</v>
      </c>
      <c r="E865" s="3" t="inlineStr">
        <is>
          <t>Microsoft Fairwater Wisconsin</t>
        </is>
      </c>
      <c r="F865" s="3" t="inlineStr">
        <is>
          <t>Microsoft</t>
        </is>
      </c>
      <c r="G865" s="3" t="inlineStr">
        <is>
          <t>United States</t>
        </is>
      </c>
      <c r="H865" s="25" t="n">
        <v>1131.5</v>
      </c>
      <c r="I865" s="17" t="n">
        <v>1</v>
      </c>
      <c r="J865" s="17" t="n">
        <v>0.82</v>
      </c>
      <c r="K865" s="26" t="n">
        <v>0.18</v>
      </c>
      <c r="L865" s="3" t="inlineStr">
        <is>
          <t>2028-05-13</t>
        </is>
      </c>
      <c r="M865" s="27" t="n">
        <v>184.5</v>
      </c>
      <c r="N865" s="27" t="n">
        <v>1131.5</v>
      </c>
      <c r="O865" s="3" t="inlineStr">
        <is>
          <t>likely</t>
        </is>
      </c>
      <c r="P865" s="3" t="inlineStr">
        <is>
          <t>B200</t>
        </is>
      </c>
      <c r="Q865" s="3" t="inlineStr">
        <is>
          <t>epoch_user_site_equal_split_seed</t>
        </is>
      </c>
      <c r="R865" s="3" t="inlineStr">
        <is>
          <t>SRC_EPOCH_AI_DATA_CENTERS; EPOCH_NORMALIZED_USER_SITES</t>
        </is>
      </c>
      <c r="S865" s="3" t="inlineStr">
        <is>
          <t>Capacity weight is used only to weight accelerator mix, not to overwrite company total power in 02_Inputs.</t>
        </is>
      </c>
    </row>
    <row r="866">
      <c r="A866" s="3" t="inlineStr">
        <is>
          <t>Bear|OpenAI|2026|Microsoft Goodyear</t>
        </is>
      </c>
      <c r="B866" s="3" t="inlineStr">
        <is>
          <t>Bear</t>
        </is>
      </c>
      <c r="C866" s="3" t="inlineStr">
        <is>
          <t>OpenAI</t>
        </is>
      </c>
      <c r="D866" s="3" t="n">
        <v>2026</v>
      </c>
      <c r="E866" s="3" t="inlineStr">
        <is>
          <t>Microsoft Goodyear</t>
        </is>
      </c>
      <c r="F866" s="3" t="inlineStr">
        <is>
          <t>Microsoft</t>
        </is>
      </c>
      <c r="G866" s="3" t="inlineStr">
        <is>
          <t>United States</t>
        </is>
      </c>
      <c r="H866" s="25" t="n">
        <v>101</v>
      </c>
      <c r="I866" s="17" t="n">
        <v>1</v>
      </c>
      <c r="J866" s="17" t="n">
        <v>0.5</v>
      </c>
      <c r="K866" s="26" t="n">
        <v>0.5</v>
      </c>
      <c r="L866" s="3" t="inlineStr">
        <is>
          <t>2025-09-01</t>
        </is>
      </c>
      <c r="M866" s="27" t="n">
        <v>101</v>
      </c>
      <c r="N866" s="27" t="n">
        <v>101</v>
      </c>
      <c r="O866" s="3" t="inlineStr">
        <is>
          <t>likely</t>
        </is>
      </c>
      <c r="P866" s="3" t="inlineStr">
        <is>
          <t>H100,B200</t>
        </is>
      </c>
      <c r="Q866" s="3" t="inlineStr">
        <is>
          <t>epoch_user_site_equal_split_seed</t>
        </is>
      </c>
      <c r="R866" s="3" t="inlineStr">
        <is>
          <t>SRC_EPOCH_AI_DATA_CENTERS; EPOCH_NORMALIZED_USER_SITES</t>
        </is>
      </c>
      <c r="S866" s="3" t="inlineStr">
        <is>
          <t>Capacity weight is used only to weight accelerator mix, not to overwrite company total power in 02_Inputs.</t>
        </is>
      </c>
    </row>
    <row r="867">
      <c r="A867" s="3" t="inlineStr">
        <is>
          <t>Bear|OpenAI|2027|Microsoft Goodyear</t>
        </is>
      </c>
      <c r="B867" s="3" t="inlineStr">
        <is>
          <t>Bear</t>
        </is>
      </c>
      <c r="C867" s="3" t="inlineStr">
        <is>
          <t>OpenAI</t>
        </is>
      </c>
      <c r="D867" s="3" t="n">
        <v>2027</v>
      </c>
      <c r="E867" s="3" t="inlineStr">
        <is>
          <t>Microsoft Goodyear</t>
        </is>
      </c>
      <c r="F867" s="3" t="inlineStr">
        <is>
          <t>Microsoft</t>
        </is>
      </c>
      <c r="G867" s="3" t="inlineStr">
        <is>
          <t>United States</t>
        </is>
      </c>
      <c r="H867" s="25" t="n">
        <v>101</v>
      </c>
      <c r="I867" s="17" t="n">
        <v>1</v>
      </c>
      <c r="J867" s="17" t="n">
        <v>0.545</v>
      </c>
      <c r="K867" s="26" t="n">
        <v>0.455</v>
      </c>
      <c r="L867" s="3" t="inlineStr">
        <is>
          <t>2025-09-01</t>
        </is>
      </c>
      <c r="M867" s="27" t="n">
        <v>101</v>
      </c>
      <c r="N867" s="27" t="n">
        <v>101</v>
      </c>
      <c r="O867" s="3" t="inlineStr">
        <is>
          <t>likely</t>
        </is>
      </c>
      <c r="P867" s="3" t="inlineStr">
        <is>
          <t>H100,B200</t>
        </is>
      </c>
      <c r="Q867" s="3" t="inlineStr">
        <is>
          <t>epoch_user_site_equal_split_seed</t>
        </is>
      </c>
      <c r="R867" s="3" t="inlineStr">
        <is>
          <t>SRC_EPOCH_AI_DATA_CENTERS; EPOCH_NORMALIZED_USER_SITES</t>
        </is>
      </c>
      <c r="S867" s="3" t="inlineStr">
        <is>
          <t>Capacity weight is used only to weight accelerator mix, not to overwrite company total power in 02_Inputs.</t>
        </is>
      </c>
    </row>
    <row r="868">
      <c r="A868" s="3" t="inlineStr">
        <is>
          <t>Bear|OpenAI|2028|Microsoft Goodyear</t>
        </is>
      </c>
      <c r="B868" s="3" t="inlineStr">
        <is>
          <t>Bear</t>
        </is>
      </c>
      <c r="C868" s="3" t="inlineStr">
        <is>
          <t>OpenAI</t>
        </is>
      </c>
      <c r="D868" s="3" t="n">
        <v>2028</v>
      </c>
      <c r="E868" s="3" t="inlineStr">
        <is>
          <t>Microsoft Goodyear</t>
        </is>
      </c>
      <c r="F868" s="3" t="inlineStr">
        <is>
          <t>Microsoft</t>
        </is>
      </c>
      <c r="G868" s="3" t="inlineStr">
        <is>
          <t>United States</t>
        </is>
      </c>
      <c r="H868" s="25" t="n">
        <v>101</v>
      </c>
      <c r="I868" s="17" t="n">
        <v>1</v>
      </c>
      <c r="J868" s="17" t="n">
        <v>0.59</v>
      </c>
      <c r="K868" s="26" t="n">
        <v>0.41</v>
      </c>
      <c r="L868" s="3" t="inlineStr">
        <is>
          <t>2025-09-01</t>
        </is>
      </c>
      <c r="M868" s="27" t="n">
        <v>101</v>
      </c>
      <c r="N868" s="27" t="n">
        <v>101</v>
      </c>
      <c r="O868" s="3" t="inlineStr">
        <is>
          <t>likely</t>
        </is>
      </c>
      <c r="P868" s="3" t="inlineStr">
        <is>
          <t>H100,B200</t>
        </is>
      </c>
      <c r="Q868" s="3" t="inlineStr">
        <is>
          <t>epoch_user_site_equal_split_seed</t>
        </is>
      </c>
      <c r="R868" s="3" t="inlineStr">
        <is>
          <t>SRC_EPOCH_AI_DATA_CENTERS; EPOCH_NORMALIZED_USER_SITES</t>
        </is>
      </c>
      <c r="S868" s="3" t="inlineStr">
        <is>
          <t>Capacity weight is used only to weight accelerator mix, not to overwrite company total power in 02_Inputs.</t>
        </is>
      </c>
    </row>
    <row r="869">
      <c r="A869" s="3" t="inlineStr">
        <is>
          <t>Bear|OpenAI|2029|Microsoft Goodyear</t>
        </is>
      </c>
      <c r="B869" s="3" t="inlineStr">
        <is>
          <t>Bear</t>
        </is>
      </c>
      <c r="C869" s="3" t="inlineStr">
        <is>
          <t>OpenAI</t>
        </is>
      </c>
      <c r="D869" s="3" t="n">
        <v>2029</v>
      </c>
      <c r="E869" s="3" t="inlineStr">
        <is>
          <t>Microsoft Goodyear</t>
        </is>
      </c>
      <c r="F869" s="3" t="inlineStr">
        <is>
          <t>Microsoft</t>
        </is>
      </c>
      <c r="G869" s="3" t="inlineStr">
        <is>
          <t>United States</t>
        </is>
      </c>
      <c r="H869" s="25" t="n">
        <v>101</v>
      </c>
      <c r="I869" s="17" t="n">
        <v>1</v>
      </c>
      <c r="J869" s="17" t="n">
        <v>0.635</v>
      </c>
      <c r="K869" s="26" t="n">
        <v>0.365</v>
      </c>
      <c r="L869" s="3" t="inlineStr">
        <is>
          <t>2025-09-01</t>
        </is>
      </c>
      <c r="M869" s="27" t="n">
        <v>101</v>
      </c>
      <c r="N869" s="27" t="n">
        <v>101</v>
      </c>
      <c r="O869" s="3" t="inlineStr">
        <is>
          <t>likely</t>
        </is>
      </c>
      <c r="P869" s="3" t="inlineStr">
        <is>
          <t>H100,B200</t>
        </is>
      </c>
      <c r="Q869" s="3" t="inlineStr">
        <is>
          <t>epoch_user_site_equal_split_seed</t>
        </is>
      </c>
      <c r="R869" s="3" t="inlineStr">
        <is>
          <t>SRC_EPOCH_AI_DATA_CENTERS; EPOCH_NORMALIZED_USER_SITES</t>
        </is>
      </c>
      <c r="S869" s="3" t="inlineStr">
        <is>
          <t>Capacity weight is used only to weight accelerator mix, not to overwrite company total power in 02_Inputs.</t>
        </is>
      </c>
    </row>
    <row r="870">
      <c r="A870" s="3" t="inlineStr">
        <is>
          <t>Bear|OpenAI|2030|Microsoft Goodyear</t>
        </is>
      </c>
      <c r="B870" s="3" t="inlineStr">
        <is>
          <t>Bear</t>
        </is>
      </c>
      <c r="C870" s="3" t="inlineStr">
        <is>
          <t>OpenAI</t>
        </is>
      </c>
      <c r="D870" s="3" t="n">
        <v>2030</v>
      </c>
      <c r="E870" s="3" t="inlineStr">
        <is>
          <t>Microsoft Goodyear</t>
        </is>
      </c>
      <c r="F870" s="3" t="inlineStr">
        <is>
          <t>Microsoft</t>
        </is>
      </c>
      <c r="G870" s="3" t="inlineStr">
        <is>
          <t>United States</t>
        </is>
      </c>
      <c r="H870" s="25" t="n">
        <v>101</v>
      </c>
      <c r="I870" s="17" t="n">
        <v>1</v>
      </c>
      <c r="J870" s="17" t="n">
        <v>0.68</v>
      </c>
      <c r="K870" s="26" t="n">
        <v>0.32</v>
      </c>
      <c r="L870" s="3" t="inlineStr">
        <is>
          <t>2025-09-01</t>
        </is>
      </c>
      <c r="M870" s="27" t="n">
        <v>101</v>
      </c>
      <c r="N870" s="27" t="n">
        <v>101</v>
      </c>
      <c r="O870" s="3" t="inlineStr">
        <is>
          <t>likely</t>
        </is>
      </c>
      <c r="P870" s="3" t="inlineStr">
        <is>
          <t>H100,B200</t>
        </is>
      </c>
      <c r="Q870" s="3" t="inlineStr">
        <is>
          <t>epoch_user_site_equal_split_seed</t>
        </is>
      </c>
      <c r="R870" s="3" t="inlineStr">
        <is>
          <t>SRC_EPOCH_AI_DATA_CENTERS; EPOCH_NORMALIZED_USER_SITES</t>
        </is>
      </c>
      <c r="S870" s="3" t="inlineStr">
        <is>
          <t>Capacity weight is used only to weight accelerator mix, not to overwrite company total power in 02_Inputs.</t>
        </is>
      </c>
    </row>
    <row r="871">
      <c r="A871" s="3" t="inlineStr">
        <is>
          <t>Base|OpenAI|2026|Microsoft Goodyear</t>
        </is>
      </c>
      <c r="B871" s="3" t="inlineStr">
        <is>
          <t>Base</t>
        </is>
      </c>
      <c r="C871" s="3" t="inlineStr">
        <is>
          <t>OpenAI</t>
        </is>
      </c>
      <c r="D871" s="3" t="n">
        <v>2026</v>
      </c>
      <c r="E871" s="3" t="inlineStr">
        <is>
          <t>Microsoft Goodyear</t>
        </is>
      </c>
      <c r="F871" s="3" t="inlineStr">
        <is>
          <t>Microsoft</t>
        </is>
      </c>
      <c r="G871" s="3" t="inlineStr">
        <is>
          <t>United States</t>
        </is>
      </c>
      <c r="H871" s="25" t="n">
        <v>101</v>
      </c>
      <c r="I871" s="17" t="n">
        <v>1</v>
      </c>
      <c r="J871" s="17" t="n">
        <v>0.58</v>
      </c>
      <c r="K871" s="26" t="n">
        <v>0.42</v>
      </c>
      <c r="L871" s="3" t="inlineStr">
        <is>
          <t>2025-09-01</t>
        </is>
      </c>
      <c r="M871" s="27" t="n">
        <v>101</v>
      </c>
      <c r="N871" s="27" t="n">
        <v>101</v>
      </c>
      <c r="O871" s="3" t="inlineStr">
        <is>
          <t>likely</t>
        </is>
      </c>
      <c r="P871" s="3" t="inlineStr">
        <is>
          <t>H100,B200</t>
        </is>
      </c>
      <c r="Q871" s="3" t="inlineStr">
        <is>
          <t>epoch_user_site_equal_split_seed</t>
        </is>
      </c>
      <c r="R871" s="3" t="inlineStr">
        <is>
          <t>SRC_EPOCH_AI_DATA_CENTERS; EPOCH_NORMALIZED_USER_SITES</t>
        </is>
      </c>
      <c r="S871" s="3" t="inlineStr">
        <is>
          <t>Capacity weight is used only to weight accelerator mix, not to overwrite company total power in 02_Inputs.</t>
        </is>
      </c>
    </row>
    <row r="872">
      <c r="A872" s="3" t="inlineStr">
        <is>
          <t>Base|OpenAI|2027|Microsoft Goodyear</t>
        </is>
      </c>
      <c r="B872" s="3" t="inlineStr">
        <is>
          <t>Base</t>
        </is>
      </c>
      <c r="C872" s="3" t="inlineStr">
        <is>
          <t>OpenAI</t>
        </is>
      </c>
      <c r="D872" s="3" t="n">
        <v>2027</v>
      </c>
      <c r="E872" s="3" t="inlineStr">
        <is>
          <t>Microsoft Goodyear</t>
        </is>
      </c>
      <c r="F872" s="3" t="inlineStr">
        <is>
          <t>Microsoft</t>
        </is>
      </c>
      <c r="G872" s="3" t="inlineStr">
        <is>
          <t>United States</t>
        </is>
      </c>
      <c r="H872" s="25" t="n">
        <v>101</v>
      </c>
      <c r="I872" s="17" t="n">
        <v>1</v>
      </c>
      <c r="J872" s="17" t="n">
        <v>0.63</v>
      </c>
      <c r="K872" s="26" t="n">
        <v>0.37</v>
      </c>
      <c r="L872" s="3" t="inlineStr">
        <is>
          <t>2025-09-01</t>
        </is>
      </c>
      <c r="M872" s="27" t="n">
        <v>101</v>
      </c>
      <c r="N872" s="27" t="n">
        <v>101</v>
      </c>
      <c r="O872" s="3" t="inlineStr">
        <is>
          <t>likely</t>
        </is>
      </c>
      <c r="P872" s="3" t="inlineStr">
        <is>
          <t>H100,B200</t>
        </is>
      </c>
      <c r="Q872" s="3" t="inlineStr">
        <is>
          <t>epoch_user_site_equal_split_seed</t>
        </is>
      </c>
      <c r="R872" s="3" t="inlineStr">
        <is>
          <t>SRC_EPOCH_AI_DATA_CENTERS; EPOCH_NORMALIZED_USER_SITES</t>
        </is>
      </c>
      <c r="S872" s="3" t="inlineStr">
        <is>
          <t>Capacity weight is used only to weight accelerator mix, not to overwrite company total power in 02_Inputs.</t>
        </is>
      </c>
    </row>
    <row r="873">
      <c r="A873" s="3" t="inlineStr">
        <is>
          <t>Base|OpenAI|2028|Microsoft Goodyear</t>
        </is>
      </c>
      <c r="B873" s="3" t="inlineStr">
        <is>
          <t>Base</t>
        </is>
      </c>
      <c r="C873" s="3" t="inlineStr">
        <is>
          <t>OpenAI</t>
        </is>
      </c>
      <c r="D873" s="3" t="n">
        <v>2028</v>
      </c>
      <c r="E873" s="3" t="inlineStr">
        <is>
          <t>Microsoft Goodyear</t>
        </is>
      </c>
      <c r="F873" s="3" t="inlineStr">
        <is>
          <t>Microsoft</t>
        </is>
      </c>
      <c r="G873" s="3" t="inlineStr">
        <is>
          <t>United States</t>
        </is>
      </c>
      <c r="H873" s="25" t="n">
        <v>101</v>
      </c>
      <c r="I873" s="17" t="n">
        <v>1</v>
      </c>
      <c r="J873" s="17" t="n">
        <v>0.68</v>
      </c>
      <c r="K873" s="26" t="n">
        <v>0.32</v>
      </c>
      <c r="L873" s="3" t="inlineStr">
        <is>
          <t>2025-09-01</t>
        </is>
      </c>
      <c r="M873" s="27" t="n">
        <v>101</v>
      </c>
      <c r="N873" s="27" t="n">
        <v>101</v>
      </c>
      <c r="O873" s="3" t="inlineStr">
        <is>
          <t>likely</t>
        </is>
      </c>
      <c r="P873" s="3" t="inlineStr">
        <is>
          <t>H100,B200</t>
        </is>
      </c>
      <c r="Q873" s="3" t="inlineStr">
        <is>
          <t>epoch_user_site_equal_split_seed</t>
        </is>
      </c>
      <c r="R873" s="3" t="inlineStr">
        <is>
          <t>SRC_EPOCH_AI_DATA_CENTERS; EPOCH_NORMALIZED_USER_SITES</t>
        </is>
      </c>
      <c r="S873" s="3" t="inlineStr">
        <is>
          <t>Capacity weight is used only to weight accelerator mix, not to overwrite company total power in 02_Inputs.</t>
        </is>
      </c>
    </row>
    <row r="874">
      <c r="A874" s="3" t="inlineStr">
        <is>
          <t>Base|OpenAI|2029|Microsoft Goodyear</t>
        </is>
      </c>
      <c r="B874" s="3" t="inlineStr">
        <is>
          <t>Base</t>
        </is>
      </c>
      <c r="C874" s="3" t="inlineStr">
        <is>
          <t>OpenAI</t>
        </is>
      </c>
      <c r="D874" s="3" t="n">
        <v>2029</v>
      </c>
      <c r="E874" s="3" t="inlineStr">
        <is>
          <t>Microsoft Goodyear</t>
        </is>
      </c>
      <c r="F874" s="3" t="inlineStr">
        <is>
          <t>Microsoft</t>
        </is>
      </c>
      <c r="G874" s="3" t="inlineStr">
        <is>
          <t>United States</t>
        </is>
      </c>
      <c r="H874" s="25" t="n">
        <v>101</v>
      </c>
      <c r="I874" s="17" t="n">
        <v>1</v>
      </c>
      <c r="J874" s="17" t="n">
        <v>0.73</v>
      </c>
      <c r="K874" s="26" t="n">
        <v>0.27</v>
      </c>
      <c r="L874" s="3" t="inlineStr">
        <is>
          <t>2025-09-01</t>
        </is>
      </c>
      <c r="M874" s="27" t="n">
        <v>101</v>
      </c>
      <c r="N874" s="27" t="n">
        <v>101</v>
      </c>
      <c r="O874" s="3" t="inlineStr">
        <is>
          <t>likely</t>
        </is>
      </c>
      <c r="P874" s="3" t="inlineStr">
        <is>
          <t>H100,B200</t>
        </is>
      </c>
      <c r="Q874" s="3" t="inlineStr">
        <is>
          <t>epoch_user_site_equal_split_seed</t>
        </is>
      </c>
      <c r="R874" s="3" t="inlineStr">
        <is>
          <t>SRC_EPOCH_AI_DATA_CENTERS; EPOCH_NORMALIZED_USER_SITES</t>
        </is>
      </c>
      <c r="S874" s="3" t="inlineStr">
        <is>
          <t>Capacity weight is used only to weight accelerator mix, not to overwrite company total power in 02_Inputs.</t>
        </is>
      </c>
    </row>
    <row r="875">
      <c r="A875" s="3" t="inlineStr">
        <is>
          <t>Base|OpenAI|2030|Microsoft Goodyear</t>
        </is>
      </c>
      <c r="B875" s="3" t="inlineStr">
        <is>
          <t>Base</t>
        </is>
      </c>
      <c r="C875" s="3" t="inlineStr">
        <is>
          <t>OpenAI</t>
        </is>
      </c>
      <c r="D875" s="3" t="n">
        <v>2030</v>
      </c>
      <c r="E875" s="3" t="inlineStr">
        <is>
          <t>Microsoft Goodyear</t>
        </is>
      </c>
      <c r="F875" s="3" t="inlineStr">
        <is>
          <t>Microsoft</t>
        </is>
      </c>
      <c r="G875" s="3" t="inlineStr">
        <is>
          <t>United States</t>
        </is>
      </c>
      <c r="H875" s="25" t="n">
        <v>101</v>
      </c>
      <c r="I875" s="17" t="n">
        <v>1</v>
      </c>
      <c r="J875" s="17" t="n">
        <v>0.78</v>
      </c>
      <c r="K875" s="26" t="n">
        <v>0.22</v>
      </c>
      <c r="L875" s="3" t="inlineStr">
        <is>
          <t>2025-09-01</t>
        </is>
      </c>
      <c r="M875" s="27" t="n">
        <v>101</v>
      </c>
      <c r="N875" s="27" t="n">
        <v>101</v>
      </c>
      <c r="O875" s="3" t="inlineStr">
        <is>
          <t>likely</t>
        </is>
      </c>
      <c r="P875" s="3" t="inlineStr">
        <is>
          <t>H100,B200</t>
        </is>
      </c>
      <c r="Q875" s="3" t="inlineStr">
        <is>
          <t>epoch_user_site_equal_split_seed</t>
        </is>
      </c>
      <c r="R875" s="3" t="inlineStr">
        <is>
          <t>SRC_EPOCH_AI_DATA_CENTERS; EPOCH_NORMALIZED_USER_SITES</t>
        </is>
      </c>
      <c r="S875" s="3" t="inlineStr">
        <is>
          <t>Capacity weight is used only to weight accelerator mix, not to overwrite company total power in 02_Inputs.</t>
        </is>
      </c>
    </row>
    <row r="876">
      <c r="A876" s="3" t="inlineStr">
        <is>
          <t>Bull|OpenAI|2026|Microsoft Goodyear</t>
        </is>
      </c>
      <c r="B876" s="3" t="inlineStr">
        <is>
          <t>Bull</t>
        </is>
      </c>
      <c r="C876" s="3" t="inlineStr">
        <is>
          <t>OpenAI</t>
        </is>
      </c>
      <c r="D876" s="3" t="n">
        <v>2026</v>
      </c>
      <c r="E876" s="3" t="inlineStr">
        <is>
          <t>Microsoft Goodyear</t>
        </is>
      </c>
      <c r="F876" s="3" t="inlineStr">
        <is>
          <t>Microsoft</t>
        </is>
      </c>
      <c r="G876" s="3" t="inlineStr">
        <is>
          <t>United States</t>
        </is>
      </c>
      <c r="H876" s="25" t="n">
        <v>101</v>
      </c>
      <c r="I876" s="17" t="n">
        <v>1</v>
      </c>
      <c r="J876" s="17" t="n">
        <v>0.63</v>
      </c>
      <c r="K876" s="26" t="n">
        <v>0.37</v>
      </c>
      <c r="L876" s="3" t="inlineStr">
        <is>
          <t>2025-09-01</t>
        </is>
      </c>
      <c r="M876" s="27" t="n">
        <v>101</v>
      </c>
      <c r="N876" s="27" t="n">
        <v>101</v>
      </c>
      <c r="O876" s="3" t="inlineStr">
        <is>
          <t>likely</t>
        </is>
      </c>
      <c r="P876" s="3" t="inlineStr">
        <is>
          <t>H100,B200</t>
        </is>
      </c>
      <c r="Q876" s="3" t="inlineStr">
        <is>
          <t>epoch_user_site_equal_split_seed</t>
        </is>
      </c>
      <c r="R876" s="3" t="inlineStr">
        <is>
          <t>SRC_EPOCH_AI_DATA_CENTERS; EPOCH_NORMALIZED_USER_SITES</t>
        </is>
      </c>
      <c r="S876" s="3" t="inlineStr">
        <is>
          <t>Capacity weight is used only to weight accelerator mix, not to overwrite company total power in 02_Inputs.</t>
        </is>
      </c>
    </row>
    <row r="877">
      <c r="A877" s="3" t="inlineStr">
        <is>
          <t>Bull|OpenAI|2027|Microsoft Goodyear</t>
        </is>
      </c>
      <c r="B877" s="3" t="inlineStr">
        <is>
          <t>Bull</t>
        </is>
      </c>
      <c r="C877" s="3" t="inlineStr">
        <is>
          <t>OpenAI</t>
        </is>
      </c>
      <c r="D877" s="3" t="n">
        <v>2027</v>
      </c>
      <c r="E877" s="3" t="inlineStr">
        <is>
          <t>Microsoft Goodyear</t>
        </is>
      </c>
      <c r="F877" s="3" t="inlineStr">
        <is>
          <t>Microsoft</t>
        </is>
      </c>
      <c r="G877" s="3" t="inlineStr">
        <is>
          <t>United States</t>
        </is>
      </c>
      <c r="H877" s="25" t="n">
        <v>101</v>
      </c>
      <c r="I877" s="17" t="n">
        <v>1</v>
      </c>
      <c r="J877" s="17" t="n">
        <v>0.6879999999999999</v>
      </c>
      <c r="K877" s="26" t="n">
        <v>0.312</v>
      </c>
      <c r="L877" s="3" t="inlineStr">
        <is>
          <t>2025-09-01</t>
        </is>
      </c>
      <c r="M877" s="27" t="n">
        <v>101</v>
      </c>
      <c r="N877" s="27" t="n">
        <v>101</v>
      </c>
      <c r="O877" s="3" t="inlineStr">
        <is>
          <t>likely</t>
        </is>
      </c>
      <c r="P877" s="3" t="inlineStr">
        <is>
          <t>H100,B200</t>
        </is>
      </c>
      <c r="Q877" s="3" t="inlineStr">
        <is>
          <t>epoch_user_site_equal_split_seed</t>
        </is>
      </c>
      <c r="R877" s="3" t="inlineStr">
        <is>
          <t>SRC_EPOCH_AI_DATA_CENTERS; EPOCH_NORMALIZED_USER_SITES</t>
        </is>
      </c>
      <c r="S877" s="3" t="inlineStr">
        <is>
          <t>Capacity weight is used only to weight accelerator mix, not to overwrite company total power in 02_Inputs.</t>
        </is>
      </c>
    </row>
    <row r="878">
      <c r="A878" s="3" t="inlineStr">
        <is>
          <t>Bull|OpenAI|2028|Microsoft Goodyear</t>
        </is>
      </c>
      <c r="B878" s="3" t="inlineStr">
        <is>
          <t>Bull</t>
        </is>
      </c>
      <c r="C878" s="3" t="inlineStr">
        <is>
          <t>OpenAI</t>
        </is>
      </c>
      <c r="D878" s="3" t="n">
        <v>2028</v>
      </c>
      <c r="E878" s="3" t="inlineStr">
        <is>
          <t>Microsoft Goodyear</t>
        </is>
      </c>
      <c r="F878" s="3" t="inlineStr">
        <is>
          <t>Microsoft</t>
        </is>
      </c>
      <c r="G878" s="3" t="inlineStr">
        <is>
          <t>United States</t>
        </is>
      </c>
      <c r="H878" s="25" t="n">
        <v>101</v>
      </c>
      <c r="I878" s="17" t="n">
        <v>1</v>
      </c>
      <c r="J878" s="17" t="n">
        <v>0.745</v>
      </c>
      <c r="K878" s="26" t="n">
        <v>0.255</v>
      </c>
      <c r="L878" s="3" t="inlineStr">
        <is>
          <t>2025-09-01</t>
        </is>
      </c>
      <c r="M878" s="27" t="n">
        <v>101</v>
      </c>
      <c r="N878" s="27" t="n">
        <v>101</v>
      </c>
      <c r="O878" s="3" t="inlineStr">
        <is>
          <t>likely</t>
        </is>
      </c>
      <c r="P878" s="3" t="inlineStr">
        <is>
          <t>H100,B200</t>
        </is>
      </c>
      <c r="Q878" s="3" t="inlineStr">
        <is>
          <t>epoch_user_site_equal_split_seed</t>
        </is>
      </c>
      <c r="R878" s="3" t="inlineStr">
        <is>
          <t>SRC_EPOCH_AI_DATA_CENTERS; EPOCH_NORMALIZED_USER_SITES</t>
        </is>
      </c>
      <c r="S878" s="3" t="inlineStr">
        <is>
          <t>Capacity weight is used only to weight accelerator mix, not to overwrite company total power in 02_Inputs.</t>
        </is>
      </c>
    </row>
    <row r="879">
      <c r="A879" s="3" t="inlineStr">
        <is>
          <t>Bull|OpenAI|2029|Microsoft Goodyear</t>
        </is>
      </c>
      <c r="B879" s="3" t="inlineStr">
        <is>
          <t>Bull</t>
        </is>
      </c>
      <c r="C879" s="3" t="inlineStr">
        <is>
          <t>OpenAI</t>
        </is>
      </c>
      <c r="D879" s="3" t="n">
        <v>2029</v>
      </c>
      <c r="E879" s="3" t="inlineStr">
        <is>
          <t>Microsoft Goodyear</t>
        </is>
      </c>
      <c r="F879" s="3" t="inlineStr">
        <is>
          <t>Microsoft</t>
        </is>
      </c>
      <c r="G879" s="3" t="inlineStr">
        <is>
          <t>United States</t>
        </is>
      </c>
      <c r="H879" s="25" t="n">
        <v>101</v>
      </c>
      <c r="I879" s="17" t="n">
        <v>1</v>
      </c>
      <c r="J879" s="17" t="n">
        <v>0.802</v>
      </c>
      <c r="K879" s="26" t="n">
        <v>0.198</v>
      </c>
      <c r="L879" s="3" t="inlineStr">
        <is>
          <t>2025-09-01</t>
        </is>
      </c>
      <c r="M879" s="27" t="n">
        <v>101</v>
      </c>
      <c r="N879" s="27" t="n">
        <v>101</v>
      </c>
      <c r="O879" s="3" t="inlineStr">
        <is>
          <t>likely</t>
        </is>
      </c>
      <c r="P879" s="3" t="inlineStr">
        <is>
          <t>H100,B200</t>
        </is>
      </c>
      <c r="Q879" s="3" t="inlineStr">
        <is>
          <t>epoch_user_site_equal_split_seed</t>
        </is>
      </c>
      <c r="R879" s="3" t="inlineStr">
        <is>
          <t>SRC_EPOCH_AI_DATA_CENTERS; EPOCH_NORMALIZED_USER_SITES</t>
        </is>
      </c>
      <c r="S879" s="3" t="inlineStr">
        <is>
          <t>Capacity weight is used only to weight accelerator mix, not to overwrite company total power in 02_Inputs.</t>
        </is>
      </c>
    </row>
    <row r="880">
      <c r="A880" s="3" t="inlineStr">
        <is>
          <t>Bull|OpenAI|2030|Microsoft Goodyear</t>
        </is>
      </c>
      <c r="B880" s="3" t="inlineStr">
        <is>
          <t>Bull</t>
        </is>
      </c>
      <c r="C880" s="3" t="inlineStr">
        <is>
          <t>OpenAI</t>
        </is>
      </c>
      <c r="D880" s="3" t="n">
        <v>2030</v>
      </c>
      <c r="E880" s="3" t="inlineStr">
        <is>
          <t>Microsoft Goodyear</t>
        </is>
      </c>
      <c r="F880" s="3" t="inlineStr">
        <is>
          <t>Microsoft</t>
        </is>
      </c>
      <c r="G880" s="3" t="inlineStr">
        <is>
          <t>United States</t>
        </is>
      </c>
      <c r="H880" s="25" t="n">
        <v>101</v>
      </c>
      <c r="I880" s="17" t="n">
        <v>1</v>
      </c>
      <c r="J880" s="17" t="n">
        <v>0.86</v>
      </c>
      <c r="K880" s="26" t="n">
        <v>0.14</v>
      </c>
      <c r="L880" s="3" t="inlineStr">
        <is>
          <t>2025-09-01</t>
        </is>
      </c>
      <c r="M880" s="27" t="n">
        <v>101</v>
      </c>
      <c r="N880" s="27" t="n">
        <v>101</v>
      </c>
      <c r="O880" s="3" t="inlineStr">
        <is>
          <t>likely</t>
        </is>
      </c>
      <c r="P880" s="3" t="inlineStr">
        <is>
          <t>H100,B200</t>
        </is>
      </c>
      <c r="Q880" s="3" t="inlineStr">
        <is>
          <t>epoch_user_site_equal_split_seed</t>
        </is>
      </c>
      <c r="R880" s="3" t="inlineStr">
        <is>
          <t>SRC_EPOCH_AI_DATA_CENTERS; EPOCH_NORMALIZED_USER_SITES</t>
        </is>
      </c>
      <c r="S880" s="3" t="inlineStr">
        <is>
          <t>Capacity weight is used only to weight accelerator mix, not to overwrite company total power in 02_Inputs.</t>
        </is>
      </c>
    </row>
    <row r="881">
      <c r="A881" s="3" t="inlineStr">
        <is>
          <t>Grid-Constrained / Efficiency-Upside|OpenAI|2026|Microsoft Goodyear</t>
        </is>
      </c>
      <c r="B881" s="3" t="inlineStr">
        <is>
          <t>Grid-Constrained / Efficiency-Upside</t>
        </is>
      </c>
      <c r="C881" s="3" t="inlineStr">
        <is>
          <t>OpenAI</t>
        </is>
      </c>
      <c r="D881" s="3" t="n">
        <v>2026</v>
      </c>
      <c r="E881" s="3" t="inlineStr">
        <is>
          <t>Microsoft Goodyear</t>
        </is>
      </c>
      <c r="F881" s="3" t="inlineStr">
        <is>
          <t>Microsoft</t>
        </is>
      </c>
      <c r="G881" s="3" t="inlineStr">
        <is>
          <t>United States</t>
        </is>
      </c>
      <c r="H881" s="25" t="n">
        <v>101</v>
      </c>
      <c r="I881" s="17" t="n">
        <v>1</v>
      </c>
      <c r="J881" s="17" t="n">
        <v>0.6</v>
      </c>
      <c r="K881" s="26" t="n">
        <v>0.4</v>
      </c>
      <c r="L881" s="3" t="inlineStr">
        <is>
          <t>2025-09-01</t>
        </is>
      </c>
      <c r="M881" s="27" t="n">
        <v>101</v>
      </c>
      <c r="N881" s="27" t="n">
        <v>101</v>
      </c>
      <c r="O881" s="3" t="inlineStr">
        <is>
          <t>likely</t>
        </is>
      </c>
      <c r="P881" s="3" t="inlineStr">
        <is>
          <t>H100,B200</t>
        </is>
      </c>
      <c r="Q881" s="3" t="inlineStr">
        <is>
          <t>epoch_user_site_equal_split_seed</t>
        </is>
      </c>
      <c r="R881" s="3" t="inlineStr">
        <is>
          <t>SRC_EPOCH_AI_DATA_CENTERS; EPOCH_NORMALIZED_USER_SITES</t>
        </is>
      </c>
      <c r="S881" s="3" t="inlineStr">
        <is>
          <t>Capacity weight is used only to weight accelerator mix, not to overwrite company total power in 02_Inputs.</t>
        </is>
      </c>
    </row>
    <row r="882">
      <c r="A882" s="3" t="inlineStr">
        <is>
          <t>Grid-Constrained / Efficiency-Upside|OpenAI|2027|Microsoft Goodyear</t>
        </is>
      </c>
      <c r="B882" s="3" t="inlineStr">
        <is>
          <t>Grid-Constrained / Efficiency-Upside</t>
        </is>
      </c>
      <c r="C882" s="3" t="inlineStr">
        <is>
          <t>OpenAI</t>
        </is>
      </c>
      <c r="D882" s="3" t="n">
        <v>2027</v>
      </c>
      <c r="E882" s="3" t="inlineStr">
        <is>
          <t>Microsoft Goodyear</t>
        </is>
      </c>
      <c r="F882" s="3" t="inlineStr">
        <is>
          <t>Microsoft</t>
        </is>
      </c>
      <c r="G882" s="3" t="inlineStr">
        <is>
          <t>United States</t>
        </is>
      </c>
      <c r="H882" s="25" t="n">
        <v>101</v>
      </c>
      <c r="I882" s="17" t="n">
        <v>1</v>
      </c>
      <c r="J882" s="17" t="n">
        <v>0.655</v>
      </c>
      <c r="K882" s="26" t="n">
        <v>0.345</v>
      </c>
      <c r="L882" s="3" t="inlineStr">
        <is>
          <t>2025-09-01</t>
        </is>
      </c>
      <c r="M882" s="27" t="n">
        <v>101</v>
      </c>
      <c r="N882" s="27" t="n">
        <v>101</v>
      </c>
      <c r="O882" s="3" t="inlineStr">
        <is>
          <t>likely</t>
        </is>
      </c>
      <c r="P882" s="3" t="inlineStr">
        <is>
          <t>H100,B200</t>
        </is>
      </c>
      <c r="Q882" s="3" t="inlineStr">
        <is>
          <t>epoch_user_site_equal_split_seed</t>
        </is>
      </c>
      <c r="R882" s="3" t="inlineStr">
        <is>
          <t>SRC_EPOCH_AI_DATA_CENTERS; EPOCH_NORMALIZED_USER_SITES</t>
        </is>
      </c>
      <c r="S882" s="3" t="inlineStr">
        <is>
          <t>Capacity weight is used only to weight accelerator mix, not to overwrite company total power in 02_Inputs.</t>
        </is>
      </c>
    </row>
    <row r="883">
      <c r="A883" s="3" t="inlineStr">
        <is>
          <t>Grid-Constrained / Efficiency-Upside|OpenAI|2028|Microsoft Goodyear</t>
        </is>
      </c>
      <c r="B883" s="3" t="inlineStr">
        <is>
          <t>Grid-Constrained / Efficiency-Upside</t>
        </is>
      </c>
      <c r="C883" s="3" t="inlineStr">
        <is>
          <t>OpenAI</t>
        </is>
      </c>
      <c r="D883" s="3" t="n">
        <v>2028</v>
      </c>
      <c r="E883" s="3" t="inlineStr">
        <is>
          <t>Microsoft Goodyear</t>
        </is>
      </c>
      <c r="F883" s="3" t="inlineStr">
        <is>
          <t>Microsoft</t>
        </is>
      </c>
      <c r="G883" s="3" t="inlineStr">
        <is>
          <t>United States</t>
        </is>
      </c>
      <c r="H883" s="25" t="n">
        <v>101</v>
      </c>
      <c r="I883" s="17" t="n">
        <v>1</v>
      </c>
      <c r="J883" s="17" t="n">
        <v>0.71</v>
      </c>
      <c r="K883" s="26" t="n">
        <v>0.29</v>
      </c>
      <c r="L883" s="3" t="inlineStr">
        <is>
          <t>2025-09-01</t>
        </is>
      </c>
      <c r="M883" s="27" t="n">
        <v>101</v>
      </c>
      <c r="N883" s="27" t="n">
        <v>101</v>
      </c>
      <c r="O883" s="3" t="inlineStr">
        <is>
          <t>likely</t>
        </is>
      </c>
      <c r="P883" s="3" t="inlineStr">
        <is>
          <t>H100,B200</t>
        </is>
      </c>
      <c r="Q883" s="3" t="inlineStr">
        <is>
          <t>epoch_user_site_equal_split_seed</t>
        </is>
      </c>
      <c r="R883" s="3" t="inlineStr">
        <is>
          <t>SRC_EPOCH_AI_DATA_CENTERS; EPOCH_NORMALIZED_USER_SITES</t>
        </is>
      </c>
      <c r="S883" s="3" t="inlineStr">
        <is>
          <t>Capacity weight is used only to weight accelerator mix, not to overwrite company total power in 02_Inputs.</t>
        </is>
      </c>
    </row>
    <row r="884">
      <c r="A884" s="3" t="inlineStr">
        <is>
          <t>Grid-Constrained / Efficiency-Upside|OpenAI|2029|Microsoft Goodyear</t>
        </is>
      </c>
      <c r="B884" s="3" t="inlineStr">
        <is>
          <t>Grid-Constrained / Efficiency-Upside</t>
        </is>
      </c>
      <c r="C884" s="3" t="inlineStr">
        <is>
          <t>OpenAI</t>
        </is>
      </c>
      <c r="D884" s="3" t="n">
        <v>2029</v>
      </c>
      <c r="E884" s="3" t="inlineStr">
        <is>
          <t>Microsoft Goodyear</t>
        </is>
      </c>
      <c r="F884" s="3" t="inlineStr">
        <is>
          <t>Microsoft</t>
        </is>
      </c>
      <c r="G884" s="3" t="inlineStr">
        <is>
          <t>United States</t>
        </is>
      </c>
      <c r="H884" s="25" t="n">
        <v>101</v>
      </c>
      <c r="I884" s="17" t="n">
        <v>1</v>
      </c>
      <c r="J884" s="17" t="n">
        <v>0.765</v>
      </c>
      <c r="K884" s="26" t="n">
        <v>0.235</v>
      </c>
      <c r="L884" s="3" t="inlineStr">
        <is>
          <t>2025-09-01</t>
        </is>
      </c>
      <c r="M884" s="27" t="n">
        <v>101</v>
      </c>
      <c r="N884" s="27" t="n">
        <v>101</v>
      </c>
      <c r="O884" s="3" t="inlineStr">
        <is>
          <t>likely</t>
        </is>
      </c>
      <c r="P884" s="3" t="inlineStr">
        <is>
          <t>H100,B200</t>
        </is>
      </c>
      <c r="Q884" s="3" t="inlineStr">
        <is>
          <t>epoch_user_site_equal_split_seed</t>
        </is>
      </c>
      <c r="R884" s="3" t="inlineStr">
        <is>
          <t>SRC_EPOCH_AI_DATA_CENTERS; EPOCH_NORMALIZED_USER_SITES</t>
        </is>
      </c>
      <c r="S884" s="3" t="inlineStr">
        <is>
          <t>Capacity weight is used only to weight accelerator mix, not to overwrite company total power in 02_Inputs.</t>
        </is>
      </c>
    </row>
    <row r="885">
      <c r="A885" s="3" t="inlineStr">
        <is>
          <t>Grid-Constrained / Efficiency-Upside|OpenAI|2030|Microsoft Goodyear</t>
        </is>
      </c>
      <c r="B885" s="3" t="inlineStr">
        <is>
          <t>Grid-Constrained / Efficiency-Upside</t>
        </is>
      </c>
      <c r="C885" s="3" t="inlineStr">
        <is>
          <t>OpenAI</t>
        </is>
      </c>
      <c r="D885" s="3" t="n">
        <v>2030</v>
      </c>
      <c r="E885" s="3" t="inlineStr">
        <is>
          <t>Microsoft Goodyear</t>
        </is>
      </c>
      <c r="F885" s="3" t="inlineStr">
        <is>
          <t>Microsoft</t>
        </is>
      </c>
      <c r="G885" s="3" t="inlineStr">
        <is>
          <t>United States</t>
        </is>
      </c>
      <c r="H885" s="25" t="n">
        <v>101</v>
      </c>
      <c r="I885" s="17" t="n">
        <v>1</v>
      </c>
      <c r="J885" s="17" t="n">
        <v>0.82</v>
      </c>
      <c r="K885" s="26" t="n">
        <v>0.18</v>
      </c>
      <c r="L885" s="3" t="inlineStr">
        <is>
          <t>2025-09-01</t>
        </is>
      </c>
      <c r="M885" s="27" t="n">
        <v>101</v>
      </c>
      <c r="N885" s="27" t="n">
        <v>101</v>
      </c>
      <c r="O885" s="3" t="inlineStr">
        <is>
          <t>likely</t>
        </is>
      </c>
      <c r="P885" s="3" t="inlineStr">
        <is>
          <t>H100,B200</t>
        </is>
      </c>
      <c r="Q885" s="3" t="inlineStr">
        <is>
          <t>epoch_user_site_equal_split_seed</t>
        </is>
      </c>
      <c r="R885" s="3" t="inlineStr">
        <is>
          <t>SRC_EPOCH_AI_DATA_CENTERS; EPOCH_NORMALIZED_USER_SITES</t>
        </is>
      </c>
      <c r="S885" s="3" t="inlineStr">
        <is>
          <t>Capacity weight is used only to weight accelerator mix, not to overwrite company total power in 02_Inputs.</t>
        </is>
      </c>
    </row>
    <row r="886">
      <c r="A886" s="3" t="inlineStr">
        <is>
          <t>Bear|OpenAI|2026|Microsoft Project Osmium</t>
        </is>
      </c>
      <c r="B886" s="3" t="inlineStr">
        <is>
          <t>Bear</t>
        </is>
      </c>
      <c r="C886" s="3" t="inlineStr">
        <is>
          <t>OpenAI</t>
        </is>
      </c>
      <c r="D886" s="3" t="n">
        <v>2026</v>
      </c>
      <c r="E886" s="3" t="inlineStr">
        <is>
          <t>Microsoft Project Osmium</t>
        </is>
      </c>
      <c r="F886" s="3" t="inlineStr">
        <is>
          <t>Microsoft</t>
        </is>
      </c>
      <c r="G886" s="3" t="inlineStr">
        <is>
          <t>United States</t>
        </is>
      </c>
      <c r="H886" s="25" t="n">
        <v>190</v>
      </c>
      <c r="I886" s="17" t="n">
        <v>1</v>
      </c>
      <c r="J886" s="17" t="n">
        <v>0.5</v>
      </c>
      <c r="K886" s="26" t="n">
        <v>0.5</v>
      </c>
      <c r="L886" s="3" t="inlineStr">
        <is>
          <t>2025-03-01</t>
        </is>
      </c>
      <c r="M886" s="27" t="n">
        <v>190</v>
      </c>
      <c r="N886" s="27" t="n">
        <v>190</v>
      </c>
      <c r="O886" s="3" t="inlineStr">
        <is>
          <t>speculative</t>
        </is>
      </c>
      <c r="P886" s="3" t="inlineStr">
        <is>
          <t>A100,H100,B200</t>
        </is>
      </c>
      <c r="Q886" s="3" t="inlineStr">
        <is>
          <t>epoch_user_site_equal_split_seed</t>
        </is>
      </c>
      <c r="R886" s="3" t="inlineStr">
        <is>
          <t>SRC_EPOCH_AI_DATA_CENTERS; EPOCH_NORMALIZED_USER_SITES</t>
        </is>
      </c>
      <c r="S886" s="3" t="inlineStr">
        <is>
          <t>Capacity weight is used only to weight accelerator mix, not to overwrite company total power in 02_Inputs.</t>
        </is>
      </c>
    </row>
    <row r="887">
      <c r="A887" s="3" t="inlineStr">
        <is>
          <t>Bear|OpenAI|2027|Microsoft Project Osmium</t>
        </is>
      </c>
      <c r="B887" s="3" t="inlineStr">
        <is>
          <t>Bear</t>
        </is>
      </c>
      <c r="C887" s="3" t="inlineStr">
        <is>
          <t>OpenAI</t>
        </is>
      </c>
      <c r="D887" s="3" t="n">
        <v>2027</v>
      </c>
      <c r="E887" s="3" t="inlineStr">
        <is>
          <t>Microsoft Project Osmium</t>
        </is>
      </c>
      <c r="F887" s="3" t="inlineStr">
        <is>
          <t>Microsoft</t>
        </is>
      </c>
      <c r="G887" s="3" t="inlineStr">
        <is>
          <t>United States</t>
        </is>
      </c>
      <c r="H887" s="25" t="n">
        <v>190</v>
      </c>
      <c r="I887" s="17" t="n">
        <v>1</v>
      </c>
      <c r="J887" s="17" t="n">
        <v>0.545</v>
      </c>
      <c r="K887" s="26" t="n">
        <v>0.455</v>
      </c>
      <c r="L887" s="3" t="inlineStr">
        <is>
          <t>2025-03-01</t>
        </is>
      </c>
      <c r="M887" s="27" t="n">
        <v>190</v>
      </c>
      <c r="N887" s="27" t="n">
        <v>190</v>
      </c>
      <c r="O887" s="3" t="inlineStr">
        <is>
          <t>speculative</t>
        </is>
      </c>
      <c r="P887" s="3" t="inlineStr">
        <is>
          <t>A100,H100,B200</t>
        </is>
      </c>
      <c r="Q887" s="3" t="inlineStr">
        <is>
          <t>epoch_user_site_equal_split_seed</t>
        </is>
      </c>
      <c r="R887" s="3" t="inlineStr">
        <is>
          <t>SRC_EPOCH_AI_DATA_CENTERS; EPOCH_NORMALIZED_USER_SITES</t>
        </is>
      </c>
      <c r="S887" s="3" t="inlineStr">
        <is>
          <t>Capacity weight is used only to weight accelerator mix, not to overwrite company total power in 02_Inputs.</t>
        </is>
      </c>
    </row>
    <row r="888">
      <c r="A888" s="3" t="inlineStr">
        <is>
          <t>Bear|OpenAI|2028|Microsoft Project Osmium</t>
        </is>
      </c>
      <c r="B888" s="3" t="inlineStr">
        <is>
          <t>Bear</t>
        </is>
      </c>
      <c r="C888" s="3" t="inlineStr">
        <is>
          <t>OpenAI</t>
        </is>
      </c>
      <c r="D888" s="3" t="n">
        <v>2028</v>
      </c>
      <c r="E888" s="3" t="inlineStr">
        <is>
          <t>Microsoft Project Osmium</t>
        </is>
      </c>
      <c r="F888" s="3" t="inlineStr">
        <is>
          <t>Microsoft</t>
        </is>
      </c>
      <c r="G888" s="3" t="inlineStr">
        <is>
          <t>United States</t>
        </is>
      </c>
      <c r="H888" s="25" t="n">
        <v>190</v>
      </c>
      <c r="I888" s="17" t="n">
        <v>1</v>
      </c>
      <c r="J888" s="17" t="n">
        <v>0.59</v>
      </c>
      <c r="K888" s="26" t="n">
        <v>0.41</v>
      </c>
      <c r="L888" s="3" t="inlineStr">
        <is>
          <t>2025-03-01</t>
        </is>
      </c>
      <c r="M888" s="27" t="n">
        <v>190</v>
      </c>
      <c r="N888" s="27" t="n">
        <v>190</v>
      </c>
      <c r="O888" s="3" t="inlineStr">
        <is>
          <t>speculative</t>
        </is>
      </c>
      <c r="P888" s="3" t="inlineStr">
        <is>
          <t>A100,H100,B200</t>
        </is>
      </c>
      <c r="Q888" s="3" t="inlineStr">
        <is>
          <t>epoch_user_site_equal_split_seed</t>
        </is>
      </c>
      <c r="R888" s="3" t="inlineStr">
        <is>
          <t>SRC_EPOCH_AI_DATA_CENTERS; EPOCH_NORMALIZED_USER_SITES</t>
        </is>
      </c>
      <c r="S888" s="3" t="inlineStr">
        <is>
          <t>Capacity weight is used only to weight accelerator mix, not to overwrite company total power in 02_Inputs.</t>
        </is>
      </c>
    </row>
    <row r="889">
      <c r="A889" s="3" t="inlineStr">
        <is>
          <t>Bear|OpenAI|2029|Microsoft Project Osmium</t>
        </is>
      </c>
      <c r="B889" s="3" t="inlineStr">
        <is>
          <t>Bear</t>
        </is>
      </c>
      <c r="C889" s="3" t="inlineStr">
        <is>
          <t>OpenAI</t>
        </is>
      </c>
      <c r="D889" s="3" t="n">
        <v>2029</v>
      </c>
      <c r="E889" s="3" t="inlineStr">
        <is>
          <t>Microsoft Project Osmium</t>
        </is>
      </c>
      <c r="F889" s="3" t="inlineStr">
        <is>
          <t>Microsoft</t>
        </is>
      </c>
      <c r="G889" s="3" t="inlineStr">
        <is>
          <t>United States</t>
        </is>
      </c>
      <c r="H889" s="25" t="n">
        <v>190</v>
      </c>
      <c r="I889" s="17" t="n">
        <v>1</v>
      </c>
      <c r="J889" s="17" t="n">
        <v>0.635</v>
      </c>
      <c r="K889" s="26" t="n">
        <v>0.365</v>
      </c>
      <c r="L889" s="3" t="inlineStr">
        <is>
          <t>2025-03-01</t>
        </is>
      </c>
      <c r="M889" s="27" t="n">
        <v>190</v>
      </c>
      <c r="N889" s="27" t="n">
        <v>190</v>
      </c>
      <c r="O889" s="3" t="inlineStr">
        <is>
          <t>speculative</t>
        </is>
      </c>
      <c r="P889" s="3" t="inlineStr">
        <is>
          <t>A100,H100,B200</t>
        </is>
      </c>
      <c r="Q889" s="3" t="inlineStr">
        <is>
          <t>epoch_user_site_equal_split_seed</t>
        </is>
      </c>
      <c r="R889" s="3" t="inlineStr">
        <is>
          <t>SRC_EPOCH_AI_DATA_CENTERS; EPOCH_NORMALIZED_USER_SITES</t>
        </is>
      </c>
      <c r="S889" s="3" t="inlineStr">
        <is>
          <t>Capacity weight is used only to weight accelerator mix, not to overwrite company total power in 02_Inputs.</t>
        </is>
      </c>
    </row>
    <row r="890">
      <c r="A890" s="3" t="inlineStr">
        <is>
          <t>Bear|OpenAI|2030|Microsoft Project Osmium</t>
        </is>
      </c>
      <c r="B890" s="3" t="inlineStr">
        <is>
          <t>Bear</t>
        </is>
      </c>
      <c r="C890" s="3" t="inlineStr">
        <is>
          <t>OpenAI</t>
        </is>
      </c>
      <c r="D890" s="3" t="n">
        <v>2030</v>
      </c>
      <c r="E890" s="3" t="inlineStr">
        <is>
          <t>Microsoft Project Osmium</t>
        </is>
      </c>
      <c r="F890" s="3" t="inlineStr">
        <is>
          <t>Microsoft</t>
        </is>
      </c>
      <c r="G890" s="3" t="inlineStr">
        <is>
          <t>United States</t>
        </is>
      </c>
      <c r="H890" s="25" t="n">
        <v>190</v>
      </c>
      <c r="I890" s="17" t="n">
        <v>1</v>
      </c>
      <c r="J890" s="17" t="n">
        <v>0.68</v>
      </c>
      <c r="K890" s="26" t="n">
        <v>0.32</v>
      </c>
      <c r="L890" s="3" t="inlineStr">
        <is>
          <t>2025-03-01</t>
        </is>
      </c>
      <c r="M890" s="27" t="n">
        <v>190</v>
      </c>
      <c r="N890" s="27" t="n">
        <v>190</v>
      </c>
      <c r="O890" s="3" t="inlineStr">
        <is>
          <t>speculative</t>
        </is>
      </c>
      <c r="P890" s="3" t="inlineStr">
        <is>
          <t>A100,H100,B200</t>
        </is>
      </c>
      <c r="Q890" s="3" t="inlineStr">
        <is>
          <t>epoch_user_site_equal_split_seed</t>
        </is>
      </c>
      <c r="R890" s="3" t="inlineStr">
        <is>
          <t>SRC_EPOCH_AI_DATA_CENTERS; EPOCH_NORMALIZED_USER_SITES</t>
        </is>
      </c>
      <c r="S890" s="3" t="inlineStr">
        <is>
          <t>Capacity weight is used only to weight accelerator mix, not to overwrite company total power in 02_Inputs.</t>
        </is>
      </c>
    </row>
    <row r="891">
      <c r="A891" s="3" t="inlineStr">
        <is>
          <t>Base|OpenAI|2026|Microsoft Project Osmium</t>
        </is>
      </c>
      <c r="B891" s="3" t="inlineStr">
        <is>
          <t>Base</t>
        </is>
      </c>
      <c r="C891" s="3" t="inlineStr">
        <is>
          <t>OpenAI</t>
        </is>
      </c>
      <c r="D891" s="3" t="n">
        <v>2026</v>
      </c>
      <c r="E891" s="3" t="inlineStr">
        <is>
          <t>Microsoft Project Osmium</t>
        </is>
      </c>
      <c r="F891" s="3" t="inlineStr">
        <is>
          <t>Microsoft</t>
        </is>
      </c>
      <c r="G891" s="3" t="inlineStr">
        <is>
          <t>United States</t>
        </is>
      </c>
      <c r="H891" s="25" t="n">
        <v>190</v>
      </c>
      <c r="I891" s="17" t="n">
        <v>1</v>
      </c>
      <c r="J891" s="17" t="n">
        <v>0.58</v>
      </c>
      <c r="K891" s="26" t="n">
        <v>0.42</v>
      </c>
      <c r="L891" s="3" t="inlineStr">
        <is>
          <t>2025-03-01</t>
        </is>
      </c>
      <c r="M891" s="27" t="n">
        <v>190</v>
      </c>
      <c r="N891" s="27" t="n">
        <v>190</v>
      </c>
      <c r="O891" s="3" t="inlineStr">
        <is>
          <t>speculative</t>
        </is>
      </c>
      <c r="P891" s="3" t="inlineStr">
        <is>
          <t>A100,H100,B200</t>
        </is>
      </c>
      <c r="Q891" s="3" t="inlineStr">
        <is>
          <t>epoch_user_site_equal_split_seed</t>
        </is>
      </c>
      <c r="R891" s="3" t="inlineStr">
        <is>
          <t>SRC_EPOCH_AI_DATA_CENTERS; EPOCH_NORMALIZED_USER_SITES</t>
        </is>
      </c>
      <c r="S891" s="3" t="inlineStr">
        <is>
          <t>Capacity weight is used only to weight accelerator mix, not to overwrite company total power in 02_Inputs.</t>
        </is>
      </c>
    </row>
    <row r="892">
      <c r="A892" s="3" t="inlineStr">
        <is>
          <t>Base|OpenAI|2027|Microsoft Project Osmium</t>
        </is>
      </c>
      <c r="B892" s="3" t="inlineStr">
        <is>
          <t>Base</t>
        </is>
      </c>
      <c r="C892" s="3" t="inlineStr">
        <is>
          <t>OpenAI</t>
        </is>
      </c>
      <c r="D892" s="3" t="n">
        <v>2027</v>
      </c>
      <c r="E892" s="3" t="inlineStr">
        <is>
          <t>Microsoft Project Osmium</t>
        </is>
      </c>
      <c r="F892" s="3" t="inlineStr">
        <is>
          <t>Microsoft</t>
        </is>
      </c>
      <c r="G892" s="3" t="inlineStr">
        <is>
          <t>United States</t>
        </is>
      </c>
      <c r="H892" s="25" t="n">
        <v>190</v>
      </c>
      <c r="I892" s="17" t="n">
        <v>1</v>
      </c>
      <c r="J892" s="17" t="n">
        <v>0.63</v>
      </c>
      <c r="K892" s="26" t="n">
        <v>0.37</v>
      </c>
      <c r="L892" s="3" t="inlineStr">
        <is>
          <t>2025-03-01</t>
        </is>
      </c>
      <c r="M892" s="27" t="n">
        <v>190</v>
      </c>
      <c r="N892" s="27" t="n">
        <v>190</v>
      </c>
      <c r="O892" s="3" t="inlineStr">
        <is>
          <t>speculative</t>
        </is>
      </c>
      <c r="P892" s="3" t="inlineStr">
        <is>
          <t>A100,H100,B200</t>
        </is>
      </c>
      <c r="Q892" s="3" t="inlineStr">
        <is>
          <t>epoch_user_site_equal_split_seed</t>
        </is>
      </c>
      <c r="R892" s="3" t="inlineStr">
        <is>
          <t>SRC_EPOCH_AI_DATA_CENTERS; EPOCH_NORMALIZED_USER_SITES</t>
        </is>
      </c>
      <c r="S892" s="3" t="inlineStr">
        <is>
          <t>Capacity weight is used only to weight accelerator mix, not to overwrite company total power in 02_Inputs.</t>
        </is>
      </c>
    </row>
    <row r="893">
      <c r="A893" s="3" t="inlineStr">
        <is>
          <t>Base|OpenAI|2028|Microsoft Project Osmium</t>
        </is>
      </c>
      <c r="B893" s="3" t="inlineStr">
        <is>
          <t>Base</t>
        </is>
      </c>
      <c r="C893" s="3" t="inlineStr">
        <is>
          <t>OpenAI</t>
        </is>
      </c>
      <c r="D893" s="3" t="n">
        <v>2028</v>
      </c>
      <c r="E893" s="3" t="inlineStr">
        <is>
          <t>Microsoft Project Osmium</t>
        </is>
      </c>
      <c r="F893" s="3" t="inlineStr">
        <is>
          <t>Microsoft</t>
        </is>
      </c>
      <c r="G893" s="3" t="inlineStr">
        <is>
          <t>United States</t>
        </is>
      </c>
      <c r="H893" s="25" t="n">
        <v>190</v>
      </c>
      <c r="I893" s="17" t="n">
        <v>1</v>
      </c>
      <c r="J893" s="17" t="n">
        <v>0.68</v>
      </c>
      <c r="K893" s="26" t="n">
        <v>0.32</v>
      </c>
      <c r="L893" s="3" t="inlineStr">
        <is>
          <t>2025-03-01</t>
        </is>
      </c>
      <c r="M893" s="27" t="n">
        <v>190</v>
      </c>
      <c r="N893" s="27" t="n">
        <v>190</v>
      </c>
      <c r="O893" s="3" t="inlineStr">
        <is>
          <t>speculative</t>
        </is>
      </c>
      <c r="P893" s="3" t="inlineStr">
        <is>
          <t>A100,H100,B200</t>
        </is>
      </c>
      <c r="Q893" s="3" t="inlineStr">
        <is>
          <t>epoch_user_site_equal_split_seed</t>
        </is>
      </c>
      <c r="R893" s="3" t="inlineStr">
        <is>
          <t>SRC_EPOCH_AI_DATA_CENTERS; EPOCH_NORMALIZED_USER_SITES</t>
        </is>
      </c>
      <c r="S893" s="3" t="inlineStr">
        <is>
          <t>Capacity weight is used only to weight accelerator mix, not to overwrite company total power in 02_Inputs.</t>
        </is>
      </c>
    </row>
    <row r="894">
      <c r="A894" s="3" t="inlineStr">
        <is>
          <t>Base|OpenAI|2029|Microsoft Project Osmium</t>
        </is>
      </c>
      <c r="B894" s="3" t="inlineStr">
        <is>
          <t>Base</t>
        </is>
      </c>
      <c r="C894" s="3" t="inlineStr">
        <is>
          <t>OpenAI</t>
        </is>
      </c>
      <c r="D894" s="3" t="n">
        <v>2029</v>
      </c>
      <c r="E894" s="3" t="inlineStr">
        <is>
          <t>Microsoft Project Osmium</t>
        </is>
      </c>
      <c r="F894" s="3" t="inlineStr">
        <is>
          <t>Microsoft</t>
        </is>
      </c>
      <c r="G894" s="3" t="inlineStr">
        <is>
          <t>United States</t>
        </is>
      </c>
      <c r="H894" s="25" t="n">
        <v>190</v>
      </c>
      <c r="I894" s="17" t="n">
        <v>1</v>
      </c>
      <c r="J894" s="17" t="n">
        <v>0.73</v>
      </c>
      <c r="K894" s="26" t="n">
        <v>0.27</v>
      </c>
      <c r="L894" s="3" t="inlineStr">
        <is>
          <t>2025-03-01</t>
        </is>
      </c>
      <c r="M894" s="27" t="n">
        <v>190</v>
      </c>
      <c r="N894" s="27" t="n">
        <v>190</v>
      </c>
      <c r="O894" s="3" t="inlineStr">
        <is>
          <t>speculative</t>
        </is>
      </c>
      <c r="P894" s="3" t="inlineStr">
        <is>
          <t>A100,H100,B200</t>
        </is>
      </c>
      <c r="Q894" s="3" t="inlineStr">
        <is>
          <t>epoch_user_site_equal_split_seed</t>
        </is>
      </c>
      <c r="R894" s="3" t="inlineStr">
        <is>
          <t>SRC_EPOCH_AI_DATA_CENTERS; EPOCH_NORMALIZED_USER_SITES</t>
        </is>
      </c>
      <c r="S894" s="3" t="inlineStr">
        <is>
          <t>Capacity weight is used only to weight accelerator mix, not to overwrite company total power in 02_Inputs.</t>
        </is>
      </c>
    </row>
    <row r="895">
      <c r="A895" s="3" t="inlineStr">
        <is>
          <t>Base|OpenAI|2030|Microsoft Project Osmium</t>
        </is>
      </c>
      <c r="B895" s="3" t="inlineStr">
        <is>
          <t>Base</t>
        </is>
      </c>
      <c r="C895" s="3" t="inlineStr">
        <is>
          <t>OpenAI</t>
        </is>
      </c>
      <c r="D895" s="3" t="n">
        <v>2030</v>
      </c>
      <c r="E895" s="3" t="inlineStr">
        <is>
          <t>Microsoft Project Osmium</t>
        </is>
      </c>
      <c r="F895" s="3" t="inlineStr">
        <is>
          <t>Microsoft</t>
        </is>
      </c>
      <c r="G895" s="3" t="inlineStr">
        <is>
          <t>United States</t>
        </is>
      </c>
      <c r="H895" s="25" t="n">
        <v>190</v>
      </c>
      <c r="I895" s="17" t="n">
        <v>1</v>
      </c>
      <c r="J895" s="17" t="n">
        <v>0.78</v>
      </c>
      <c r="K895" s="26" t="n">
        <v>0.22</v>
      </c>
      <c r="L895" s="3" t="inlineStr">
        <is>
          <t>2025-03-01</t>
        </is>
      </c>
      <c r="M895" s="27" t="n">
        <v>190</v>
      </c>
      <c r="N895" s="27" t="n">
        <v>190</v>
      </c>
      <c r="O895" s="3" t="inlineStr">
        <is>
          <t>speculative</t>
        </is>
      </c>
      <c r="P895" s="3" t="inlineStr">
        <is>
          <t>A100,H100,B200</t>
        </is>
      </c>
      <c r="Q895" s="3" t="inlineStr">
        <is>
          <t>epoch_user_site_equal_split_seed</t>
        </is>
      </c>
      <c r="R895" s="3" t="inlineStr">
        <is>
          <t>SRC_EPOCH_AI_DATA_CENTERS; EPOCH_NORMALIZED_USER_SITES</t>
        </is>
      </c>
      <c r="S895" s="3" t="inlineStr">
        <is>
          <t>Capacity weight is used only to weight accelerator mix, not to overwrite company total power in 02_Inputs.</t>
        </is>
      </c>
    </row>
    <row r="896">
      <c r="A896" s="3" t="inlineStr">
        <is>
          <t>Bull|OpenAI|2026|Microsoft Project Osmium</t>
        </is>
      </c>
      <c r="B896" s="3" t="inlineStr">
        <is>
          <t>Bull</t>
        </is>
      </c>
      <c r="C896" s="3" t="inlineStr">
        <is>
          <t>OpenAI</t>
        </is>
      </c>
      <c r="D896" s="3" t="n">
        <v>2026</v>
      </c>
      <c r="E896" s="3" t="inlineStr">
        <is>
          <t>Microsoft Project Osmium</t>
        </is>
      </c>
      <c r="F896" s="3" t="inlineStr">
        <is>
          <t>Microsoft</t>
        </is>
      </c>
      <c r="G896" s="3" t="inlineStr">
        <is>
          <t>United States</t>
        </is>
      </c>
      <c r="H896" s="25" t="n">
        <v>190</v>
      </c>
      <c r="I896" s="17" t="n">
        <v>1</v>
      </c>
      <c r="J896" s="17" t="n">
        <v>0.63</v>
      </c>
      <c r="K896" s="26" t="n">
        <v>0.37</v>
      </c>
      <c r="L896" s="3" t="inlineStr">
        <is>
          <t>2025-03-01</t>
        </is>
      </c>
      <c r="M896" s="27" t="n">
        <v>190</v>
      </c>
      <c r="N896" s="27" t="n">
        <v>190</v>
      </c>
      <c r="O896" s="3" t="inlineStr">
        <is>
          <t>speculative</t>
        </is>
      </c>
      <c r="P896" s="3" t="inlineStr">
        <is>
          <t>A100,H100,B200</t>
        </is>
      </c>
      <c r="Q896" s="3" t="inlineStr">
        <is>
          <t>epoch_user_site_equal_split_seed</t>
        </is>
      </c>
      <c r="R896" s="3" t="inlineStr">
        <is>
          <t>SRC_EPOCH_AI_DATA_CENTERS; EPOCH_NORMALIZED_USER_SITES</t>
        </is>
      </c>
      <c r="S896" s="3" t="inlineStr">
        <is>
          <t>Capacity weight is used only to weight accelerator mix, not to overwrite company total power in 02_Inputs.</t>
        </is>
      </c>
    </row>
    <row r="897">
      <c r="A897" s="3" t="inlineStr">
        <is>
          <t>Bull|OpenAI|2027|Microsoft Project Osmium</t>
        </is>
      </c>
      <c r="B897" s="3" t="inlineStr">
        <is>
          <t>Bull</t>
        </is>
      </c>
      <c r="C897" s="3" t="inlineStr">
        <is>
          <t>OpenAI</t>
        </is>
      </c>
      <c r="D897" s="3" t="n">
        <v>2027</v>
      </c>
      <c r="E897" s="3" t="inlineStr">
        <is>
          <t>Microsoft Project Osmium</t>
        </is>
      </c>
      <c r="F897" s="3" t="inlineStr">
        <is>
          <t>Microsoft</t>
        </is>
      </c>
      <c r="G897" s="3" t="inlineStr">
        <is>
          <t>United States</t>
        </is>
      </c>
      <c r="H897" s="25" t="n">
        <v>190</v>
      </c>
      <c r="I897" s="17" t="n">
        <v>1</v>
      </c>
      <c r="J897" s="17" t="n">
        <v>0.6879999999999999</v>
      </c>
      <c r="K897" s="26" t="n">
        <v>0.312</v>
      </c>
      <c r="L897" s="3" t="inlineStr">
        <is>
          <t>2025-03-01</t>
        </is>
      </c>
      <c r="M897" s="27" t="n">
        <v>190</v>
      </c>
      <c r="N897" s="27" t="n">
        <v>190</v>
      </c>
      <c r="O897" s="3" t="inlineStr">
        <is>
          <t>speculative</t>
        </is>
      </c>
      <c r="P897" s="3" t="inlineStr">
        <is>
          <t>A100,H100,B200</t>
        </is>
      </c>
      <c r="Q897" s="3" t="inlineStr">
        <is>
          <t>epoch_user_site_equal_split_seed</t>
        </is>
      </c>
      <c r="R897" s="3" t="inlineStr">
        <is>
          <t>SRC_EPOCH_AI_DATA_CENTERS; EPOCH_NORMALIZED_USER_SITES</t>
        </is>
      </c>
      <c r="S897" s="3" t="inlineStr">
        <is>
          <t>Capacity weight is used only to weight accelerator mix, not to overwrite company total power in 02_Inputs.</t>
        </is>
      </c>
    </row>
    <row r="898">
      <c r="A898" s="3" t="inlineStr">
        <is>
          <t>Bull|OpenAI|2028|Microsoft Project Osmium</t>
        </is>
      </c>
      <c r="B898" s="3" t="inlineStr">
        <is>
          <t>Bull</t>
        </is>
      </c>
      <c r="C898" s="3" t="inlineStr">
        <is>
          <t>OpenAI</t>
        </is>
      </c>
      <c r="D898" s="3" t="n">
        <v>2028</v>
      </c>
      <c r="E898" s="3" t="inlineStr">
        <is>
          <t>Microsoft Project Osmium</t>
        </is>
      </c>
      <c r="F898" s="3" t="inlineStr">
        <is>
          <t>Microsoft</t>
        </is>
      </c>
      <c r="G898" s="3" t="inlineStr">
        <is>
          <t>United States</t>
        </is>
      </c>
      <c r="H898" s="25" t="n">
        <v>190</v>
      </c>
      <c r="I898" s="17" t="n">
        <v>1</v>
      </c>
      <c r="J898" s="17" t="n">
        <v>0.745</v>
      </c>
      <c r="K898" s="26" t="n">
        <v>0.255</v>
      </c>
      <c r="L898" s="3" t="inlineStr">
        <is>
          <t>2025-03-01</t>
        </is>
      </c>
      <c r="M898" s="27" t="n">
        <v>190</v>
      </c>
      <c r="N898" s="27" t="n">
        <v>190</v>
      </c>
      <c r="O898" s="3" t="inlineStr">
        <is>
          <t>speculative</t>
        </is>
      </c>
      <c r="P898" s="3" t="inlineStr">
        <is>
          <t>A100,H100,B200</t>
        </is>
      </c>
      <c r="Q898" s="3" t="inlineStr">
        <is>
          <t>epoch_user_site_equal_split_seed</t>
        </is>
      </c>
      <c r="R898" s="3" t="inlineStr">
        <is>
          <t>SRC_EPOCH_AI_DATA_CENTERS; EPOCH_NORMALIZED_USER_SITES</t>
        </is>
      </c>
      <c r="S898" s="3" t="inlineStr">
        <is>
          <t>Capacity weight is used only to weight accelerator mix, not to overwrite company total power in 02_Inputs.</t>
        </is>
      </c>
    </row>
    <row r="899">
      <c r="A899" s="3" t="inlineStr">
        <is>
          <t>Bull|OpenAI|2029|Microsoft Project Osmium</t>
        </is>
      </c>
      <c r="B899" s="3" t="inlineStr">
        <is>
          <t>Bull</t>
        </is>
      </c>
      <c r="C899" s="3" t="inlineStr">
        <is>
          <t>OpenAI</t>
        </is>
      </c>
      <c r="D899" s="3" t="n">
        <v>2029</v>
      </c>
      <c r="E899" s="3" t="inlineStr">
        <is>
          <t>Microsoft Project Osmium</t>
        </is>
      </c>
      <c r="F899" s="3" t="inlineStr">
        <is>
          <t>Microsoft</t>
        </is>
      </c>
      <c r="G899" s="3" t="inlineStr">
        <is>
          <t>United States</t>
        </is>
      </c>
      <c r="H899" s="25" t="n">
        <v>190</v>
      </c>
      <c r="I899" s="17" t="n">
        <v>1</v>
      </c>
      <c r="J899" s="17" t="n">
        <v>0.802</v>
      </c>
      <c r="K899" s="26" t="n">
        <v>0.198</v>
      </c>
      <c r="L899" s="3" t="inlineStr">
        <is>
          <t>2025-03-01</t>
        </is>
      </c>
      <c r="M899" s="27" t="n">
        <v>190</v>
      </c>
      <c r="N899" s="27" t="n">
        <v>190</v>
      </c>
      <c r="O899" s="3" t="inlineStr">
        <is>
          <t>speculative</t>
        </is>
      </c>
      <c r="P899" s="3" t="inlineStr">
        <is>
          <t>A100,H100,B200</t>
        </is>
      </c>
      <c r="Q899" s="3" t="inlineStr">
        <is>
          <t>epoch_user_site_equal_split_seed</t>
        </is>
      </c>
      <c r="R899" s="3" t="inlineStr">
        <is>
          <t>SRC_EPOCH_AI_DATA_CENTERS; EPOCH_NORMALIZED_USER_SITES</t>
        </is>
      </c>
      <c r="S899" s="3" t="inlineStr">
        <is>
          <t>Capacity weight is used only to weight accelerator mix, not to overwrite company total power in 02_Inputs.</t>
        </is>
      </c>
    </row>
    <row r="900">
      <c r="A900" s="3" t="inlineStr">
        <is>
          <t>Bull|OpenAI|2030|Microsoft Project Osmium</t>
        </is>
      </c>
      <c r="B900" s="3" t="inlineStr">
        <is>
          <t>Bull</t>
        </is>
      </c>
      <c r="C900" s="3" t="inlineStr">
        <is>
          <t>OpenAI</t>
        </is>
      </c>
      <c r="D900" s="3" t="n">
        <v>2030</v>
      </c>
      <c r="E900" s="3" t="inlineStr">
        <is>
          <t>Microsoft Project Osmium</t>
        </is>
      </c>
      <c r="F900" s="3" t="inlineStr">
        <is>
          <t>Microsoft</t>
        </is>
      </c>
      <c r="G900" s="3" t="inlineStr">
        <is>
          <t>United States</t>
        </is>
      </c>
      <c r="H900" s="25" t="n">
        <v>190</v>
      </c>
      <c r="I900" s="17" t="n">
        <v>1</v>
      </c>
      <c r="J900" s="17" t="n">
        <v>0.86</v>
      </c>
      <c r="K900" s="26" t="n">
        <v>0.14</v>
      </c>
      <c r="L900" s="3" t="inlineStr">
        <is>
          <t>2025-03-01</t>
        </is>
      </c>
      <c r="M900" s="27" t="n">
        <v>190</v>
      </c>
      <c r="N900" s="27" t="n">
        <v>190</v>
      </c>
      <c r="O900" s="3" t="inlineStr">
        <is>
          <t>speculative</t>
        </is>
      </c>
      <c r="P900" s="3" t="inlineStr">
        <is>
          <t>A100,H100,B200</t>
        </is>
      </c>
      <c r="Q900" s="3" t="inlineStr">
        <is>
          <t>epoch_user_site_equal_split_seed</t>
        </is>
      </c>
      <c r="R900" s="3" t="inlineStr">
        <is>
          <t>SRC_EPOCH_AI_DATA_CENTERS; EPOCH_NORMALIZED_USER_SITES</t>
        </is>
      </c>
      <c r="S900" s="3" t="inlineStr">
        <is>
          <t>Capacity weight is used only to weight accelerator mix, not to overwrite company total power in 02_Inputs.</t>
        </is>
      </c>
    </row>
    <row r="901">
      <c r="A901" s="3" t="inlineStr">
        <is>
          <t>Grid-Constrained / Efficiency-Upside|OpenAI|2026|Microsoft Project Osmium</t>
        </is>
      </c>
      <c r="B901" s="3" t="inlineStr">
        <is>
          <t>Grid-Constrained / Efficiency-Upside</t>
        </is>
      </c>
      <c r="C901" s="3" t="inlineStr">
        <is>
          <t>OpenAI</t>
        </is>
      </c>
      <c r="D901" s="3" t="n">
        <v>2026</v>
      </c>
      <c r="E901" s="3" t="inlineStr">
        <is>
          <t>Microsoft Project Osmium</t>
        </is>
      </c>
      <c r="F901" s="3" t="inlineStr">
        <is>
          <t>Microsoft</t>
        </is>
      </c>
      <c r="G901" s="3" t="inlineStr">
        <is>
          <t>United States</t>
        </is>
      </c>
      <c r="H901" s="25" t="n">
        <v>190</v>
      </c>
      <c r="I901" s="17" t="n">
        <v>1</v>
      </c>
      <c r="J901" s="17" t="n">
        <v>0.6</v>
      </c>
      <c r="K901" s="26" t="n">
        <v>0.4</v>
      </c>
      <c r="L901" s="3" t="inlineStr">
        <is>
          <t>2025-03-01</t>
        </is>
      </c>
      <c r="M901" s="27" t="n">
        <v>190</v>
      </c>
      <c r="N901" s="27" t="n">
        <v>190</v>
      </c>
      <c r="O901" s="3" t="inlineStr">
        <is>
          <t>speculative</t>
        </is>
      </c>
      <c r="P901" s="3" t="inlineStr">
        <is>
          <t>A100,H100,B200</t>
        </is>
      </c>
      <c r="Q901" s="3" t="inlineStr">
        <is>
          <t>epoch_user_site_equal_split_seed</t>
        </is>
      </c>
      <c r="R901" s="3" t="inlineStr">
        <is>
          <t>SRC_EPOCH_AI_DATA_CENTERS; EPOCH_NORMALIZED_USER_SITES</t>
        </is>
      </c>
      <c r="S901" s="3" t="inlineStr">
        <is>
          <t>Capacity weight is used only to weight accelerator mix, not to overwrite company total power in 02_Inputs.</t>
        </is>
      </c>
    </row>
    <row r="902">
      <c r="A902" s="3" t="inlineStr">
        <is>
          <t>Grid-Constrained / Efficiency-Upside|OpenAI|2027|Microsoft Project Osmium</t>
        </is>
      </c>
      <c r="B902" s="3" t="inlineStr">
        <is>
          <t>Grid-Constrained / Efficiency-Upside</t>
        </is>
      </c>
      <c r="C902" s="3" t="inlineStr">
        <is>
          <t>OpenAI</t>
        </is>
      </c>
      <c r="D902" s="3" t="n">
        <v>2027</v>
      </c>
      <c r="E902" s="3" t="inlineStr">
        <is>
          <t>Microsoft Project Osmium</t>
        </is>
      </c>
      <c r="F902" s="3" t="inlineStr">
        <is>
          <t>Microsoft</t>
        </is>
      </c>
      <c r="G902" s="3" t="inlineStr">
        <is>
          <t>United States</t>
        </is>
      </c>
      <c r="H902" s="25" t="n">
        <v>190</v>
      </c>
      <c r="I902" s="17" t="n">
        <v>1</v>
      </c>
      <c r="J902" s="17" t="n">
        <v>0.655</v>
      </c>
      <c r="K902" s="26" t="n">
        <v>0.345</v>
      </c>
      <c r="L902" s="3" t="inlineStr">
        <is>
          <t>2025-03-01</t>
        </is>
      </c>
      <c r="M902" s="27" t="n">
        <v>190</v>
      </c>
      <c r="N902" s="27" t="n">
        <v>190</v>
      </c>
      <c r="O902" s="3" t="inlineStr">
        <is>
          <t>speculative</t>
        </is>
      </c>
      <c r="P902" s="3" t="inlineStr">
        <is>
          <t>A100,H100,B200</t>
        </is>
      </c>
      <c r="Q902" s="3" t="inlineStr">
        <is>
          <t>epoch_user_site_equal_split_seed</t>
        </is>
      </c>
      <c r="R902" s="3" t="inlineStr">
        <is>
          <t>SRC_EPOCH_AI_DATA_CENTERS; EPOCH_NORMALIZED_USER_SITES</t>
        </is>
      </c>
      <c r="S902" s="3" t="inlineStr">
        <is>
          <t>Capacity weight is used only to weight accelerator mix, not to overwrite company total power in 02_Inputs.</t>
        </is>
      </c>
    </row>
    <row r="903">
      <c r="A903" s="3" t="inlineStr">
        <is>
          <t>Grid-Constrained / Efficiency-Upside|OpenAI|2028|Microsoft Project Osmium</t>
        </is>
      </c>
      <c r="B903" s="3" t="inlineStr">
        <is>
          <t>Grid-Constrained / Efficiency-Upside</t>
        </is>
      </c>
      <c r="C903" s="3" t="inlineStr">
        <is>
          <t>OpenAI</t>
        </is>
      </c>
      <c r="D903" s="3" t="n">
        <v>2028</v>
      </c>
      <c r="E903" s="3" t="inlineStr">
        <is>
          <t>Microsoft Project Osmium</t>
        </is>
      </c>
      <c r="F903" s="3" t="inlineStr">
        <is>
          <t>Microsoft</t>
        </is>
      </c>
      <c r="G903" s="3" t="inlineStr">
        <is>
          <t>United States</t>
        </is>
      </c>
      <c r="H903" s="25" t="n">
        <v>190</v>
      </c>
      <c r="I903" s="17" t="n">
        <v>1</v>
      </c>
      <c r="J903" s="17" t="n">
        <v>0.71</v>
      </c>
      <c r="K903" s="26" t="n">
        <v>0.29</v>
      </c>
      <c r="L903" s="3" t="inlineStr">
        <is>
          <t>2025-03-01</t>
        </is>
      </c>
      <c r="M903" s="27" t="n">
        <v>190</v>
      </c>
      <c r="N903" s="27" t="n">
        <v>190</v>
      </c>
      <c r="O903" s="3" t="inlineStr">
        <is>
          <t>speculative</t>
        </is>
      </c>
      <c r="P903" s="3" t="inlineStr">
        <is>
          <t>A100,H100,B200</t>
        </is>
      </c>
      <c r="Q903" s="3" t="inlineStr">
        <is>
          <t>epoch_user_site_equal_split_seed</t>
        </is>
      </c>
      <c r="R903" s="3" t="inlineStr">
        <is>
          <t>SRC_EPOCH_AI_DATA_CENTERS; EPOCH_NORMALIZED_USER_SITES</t>
        </is>
      </c>
      <c r="S903" s="3" t="inlineStr">
        <is>
          <t>Capacity weight is used only to weight accelerator mix, not to overwrite company total power in 02_Inputs.</t>
        </is>
      </c>
    </row>
    <row r="904">
      <c r="A904" s="3" t="inlineStr">
        <is>
          <t>Grid-Constrained / Efficiency-Upside|OpenAI|2029|Microsoft Project Osmium</t>
        </is>
      </c>
      <c r="B904" s="3" t="inlineStr">
        <is>
          <t>Grid-Constrained / Efficiency-Upside</t>
        </is>
      </c>
      <c r="C904" s="3" t="inlineStr">
        <is>
          <t>OpenAI</t>
        </is>
      </c>
      <c r="D904" s="3" t="n">
        <v>2029</v>
      </c>
      <c r="E904" s="3" t="inlineStr">
        <is>
          <t>Microsoft Project Osmium</t>
        </is>
      </c>
      <c r="F904" s="3" t="inlineStr">
        <is>
          <t>Microsoft</t>
        </is>
      </c>
      <c r="G904" s="3" t="inlineStr">
        <is>
          <t>United States</t>
        </is>
      </c>
      <c r="H904" s="25" t="n">
        <v>190</v>
      </c>
      <c r="I904" s="17" t="n">
        <v>1</v>
      </c>
      <c r="J904" s="17" t="n">
        <v>0.765</v>
      </c>
      <c r="K904" s="26" t="n">
        <v>0.235</v>
      </c>
      <c r="L904" s="3" t="inlineStr">
        <is>
          <t>2025-03-01</t>
        </is>
      </c>
      <c r="M904" s="27" t="n">
        <v>190</v>
      </c>
      <c r="N904" s="27" t="n">
        <v>190</v>
      </c>
      <c r="O904" s="3" t="inlineStr">
        <is>
          <t>speculative</t>
        </is>
      </c>
      <c r="P904" s="3" t="inlineStr">
        <is>
          <t>A100,H100,B200</t>
        </is>
      </c>
      <c r="Q904" s="3" t="inlineStr">
        <is>
          <t>epoch_user_site_equal_split_seed</t>
        </is>
      </c>
      <c r="R904" s="3" t="inlineStr">
        <is>
          <t>SRC_EPOCH_AI_DATA_CENTERS; EPOCH_NORMALIZED_USER_SITES</t>
        </is>
      </c>
      <c r="S904" s="3" t="inlineStr">
        <is>
          <t>Capacity weight is used only to weight accelerator mix, not to overwrite company total power in 02_Inputs.</t>
        </is>
      </c>
    </row>
    <row r="905">
      <c r="A905" s="3" t="inlineStr">
        <is>
          <t>Grid-Constrained / Efficiency-Upside|OpenAI|2030|Microsoft Project Osmium</t>
        </is>
      </c>
      <c r="B905" s="3" t="inlineStr">
        <is>
          <t>Grid-Constrained / Efficiency-Upside</t>
        </is>
      </c>
      <c r="C905" s="3" t="inlineStr">
        <is>
          <t>OpenAI</t>
        </is>
      </c>
      <c r="D905" s="3" t="n">
        <v>2030</v>
      </c>
      <c r="E905" s="3" t="inlineStr">
        <is>
          <t>Microsoft Project Osmium</t>
        </is>
      </c>
      <c r="F905" s="3" t="inlineStr">
        <is>
          <t>Microsoft</t>
        </is>
      </c>
      <c r="G905" s="3" t="inlineStr">
        <is>
          <t>United States</t>
        </is>
      </c>
      <c r="H905" s="25" t="n">
        <v>190</v>
      </c>
      <c r="I905" s="17" t="n">
        <v>1</v>
      </c>
      <c r="J905" s="17" t="n">
        <v>0.82</v>
      </c>
      <c r="K905" s="26" t="n">
        <v>0.18</v>
      </c>
      <c r="L905" s="3" t="inlineStr">
        <is>
          <t>2025-03-01</t>
        </is>
      </c>
      <c r="M905" s="27" t="n">
        <v>190</v>
      </c>
      <c r="N905" s="27" t="n">
        <v>190</v>
      </c>
      <c r="O905" s="3" t="inlineStr">
        <is>
          <t>speculative</t>
        </is>
      </c>
      <c r="P905" s="3" t="inlineStr">
        <is>
          <t>A100,H100,B200</t>
        </is>
      </c>
      <c r="Q905" s="3" t="inlineStr">
        <is>
          <t>epoch_user_site_equal_split_seed</t>
        </is>
      </c>
      <c r="R905" s="3" t="inlineStr">
        <is>
          <t>SRC_EPOCH_AI_DATA_CENTERS; EPOCH_NORMALIZED_USER_SITES</t>
        </is>
      </c>
      <c r="S905" s="3" t="inlineStr">
        <is>
          <t>Capacity weight is used only to weight accelerator mix, not to overwrite company total power in 02_Inputs.</t>
        </is>
      </c>
    </row>
    <row r="906">
      <c r="A906" s="3" t="inlineStr">
        <is>
          <t>Bear|OpenAI|2026|OpenAI Stargate Abilene</t>
        </is>
      </c>
      <c r="B906" s="3" t="inlineStr">
        <is>
          <t>Bear</t>
        </is>
      </c>
      <c r="C906" s="3" t="inlineStr">
        <is>
          <t>OpenAI</t>
        </is>
      </c>
      <c r="D906" s="3" t="n">
        <v>2026</v>
      </c>
      <c r="E906" s="3" t="inlineStr">
        <is>
          <t>OpenAI Stargate Abilene</t>
        </is>
      </c>
      <c r="F906" s="3" t="inlineStr">
        <is>
          <t>Oracle</t>
        </is>
      </c>
      <c r="G906" s="3" t="inlineStr">
        <is>
          <t>United States</t>
        </is>
      </c>
      <c r="H906" s="25" t="n">
        <v>843</v>
      </c>
      <c r="I906" s="17" t="n">
        <v>1</v>
      </c>
      <c r="J906" s="17" t="n">
        <v>0.5</v>
      </c>
      <c r="K906" s="26" t="n">
        <v>0.5</v>
      </c>
      <c r="L906" s="3" t="inlineStr">
        <is>
          <t>2026-11-01</t>
        </is>
      </c>
      <c r="M906" s="27" t="n">
        <v>421</v>
      </c>
      <c r="N906" s="27" t="n">
        <v>843</v>
      </c>
      <c r="O906" s="3" t="inlineStr">
        <is>
          <t>confident</t>
        </is>
      </c>
      <c r="P906" s="3" t="inlineStr">
        <is>
          <t>B200,B300</t>
        </is>
      </c>
      <c r="Q906" s="3" t="inlineStr">
        <is>
          <t>epoch_user_site_equal_split_seed</t>
        </is>
      </c>
      <c r="R906" s="3" t="inlineStr">
        <is>
          <t>SRC_EPOCH_AI_DATA_CENTERS; EPOCH_NORMALIZED_USER_SITES</t>
        </is>
      </c>
      <c r="S906" s="3" t="inlineStr">
        <is>
          <t>Capacity weight is used only to weight accelerator mix, not to overwrite company total power in 02_Inputs.</t>
        </is>
      </c>
    </row>
    <row r="907">
      <c r="A907" s="3" t="inlineStr">
        <is>
          <t>Bear|OpenAI|2027|OpenAI Stargate Abilene</t>
        </is>
      </c>
      <c r="B907" s="3" t="inlineStr">
        <is>
          <t>Bear</t>
        </is>
      </c>
      <c r="C907" s="3" t="inlineStr">
        <is>
          <t>OpenAI</t>
        </is>
      </c>
      <c r="D907" s="3" t="n">
        <v>2027</v>
      </c>
      <c r="E907" s="3" t="inlineStr">
        <is>
          <t>OpenAI Stargate Abilene</t>
        </is>
      </c>
      <c r="F907" s="3" t="inlineStr">
        <is>
          <t>Oracle</t>
        </is>
      </c>
      <c r="G907" s="3" t="inlineStr">
        <is>
          <t>United States</t>
        </is>
      </c>
      <c r="H907" s="25" t="n">
        <v>843</v>
      </c>
      <c r="I907" s="17" t="n">
        <v>1</v>
      </c>
      <c r="J907" s="17" t="n">
        <v>0.545</v>
      </c>
      <c r="K907" s="26" t="n">
        <v>0.455</v>
      </c>
      <c r="L907" s="3" t="inlineStr">
        <is>
          <t>2026-11-01</t>
        </is>
      </c>
      <c r="M907" s="27" t="n">
        <v>421</v>
      </c>
      <c r="N907" s="27" t="n">
        <v>843</v>
      </c>
      <c r="O907" s="3" t="inlineStr">
        <is>
          <t>confident</t>
        </is>
      </c>
      <c r="P907" s="3" t="inlineStr">
        <is>
          <t>B200,B300</t>
        </is>
      </c>
      <c r="Q907" s="3" t="inlineStr">
        <is>
          <t>epoch_user_site_equal_split_seed</t>
        </is>
      </c>
      <c r="R907" s="3" t="inlineStr">
        <is>
          <t>SRC_EPOCH_AI_DATA_CENTERS; EPOCH_NORMALIZED_USER_SITES</t>
        </is>
      </c>
      <c r="S907" s="3" t="inlineStr">
        <is>
          <t>Capacity weight is used only to weight accelerator mix, not to overwrite company total power in 02_Inputs.</t>
        </is>
      </c>
    </row>
    <row r="908">
      <c r="A908" s="3" t="inlineStr">
        <is>
          <t>Bear|OpenAI|2028|OpenAI Stargate Abilene</t>
        </is>
      </c>
      <c r="B908" s="3" t="inlineStr">
        <is>
          <t>Bear</t>
        </is>
      </c>
      <c r="C908" s="3" t="inlineStr">
        <is>
          <t>OpenAI</t>
        </is>
      </c>
      <c r="D908" s="3" t="n">
        <v>2028</v>
      </c>
      <c r="E908" s="3" t="inlineStr">
        <is>
          <t>OpenAI Stargate Abilene</t>
        </is>
      </c>
      <c r="F908" s="3" t="inlineStr">
        <is>
          <t>Oracle</t>
        </is>
      </c>
      <c r="G908" s="3" t="inlineStr">
        <is>
          <t>United States</t>
        </is>
      </c>
      <c r="H908" s="25" t="n">
        <v>843</v>
      </c>
      <c r="I908" s="17" t="n">
        <v>1</v>
      </c>
      <c r="J908" s="17" t="n">
        <v>0.59</v>
      </c>
      <c r="K908" s="26" t="n">
        <v>0.41</v>
      </c>
      <c r="L908" s="3" t="inlineStr">
        <is>
          <t>2026-11-01</t>
        </is>
      </c>
      <c r="M908" s="27" t="n">
        <v>421</v>
      </c>
      <c r="N908" s="27" t="n">
        <v>843</v>
      </c>
      <c r="O908" s="3" t="inlineStr">
        <is>
          <t>confident</t>
        </is>
      </c>
      <c r="P908" s="3" t="inlineStr">
        <is>
          <t>B200,B300</t>
        </is>
      </c>
      <c r="Q908" s="3" t="inlineStr">
        <is>
          <t>epoch_user_site_equal_split_seed</t>
        </is>
      </c>
      <c r="R908" s="3" t="inlineStr">
        <is>
          <t>SRC_EPOCH_AI_DATA_CENTERS; EPOCH_NORMALIZED_USER_SITES</t>
        </is>
      </c>
      <c r="S908" s="3" t="inlineStr">
        <is>
          <t>Capacity weight is used only to weight accelerator mix, not to overwrite company total power in 02_Inputs.</t>
        </is>
      </c>
    </row>
    <row r="909">
      <c r="A909" s="3" t="inlineStr">
        <is>
          <t>Bear|OpenAI|2029|OpenAI Stargate Abilene</t>
        </is>
      </c>
      <c r="B909" s="3" t="inlineStr">
        <is>
          <t>Bear</t>
        </is>
      </c>
      <c r="C909" s="3" t="inlineStr">
        <is>
          <t>OpenAI</t>
        </is>
      </c>
      <c r="D909" s="3" t="n">
        <v>2029</v>
      </c>
      <c r="E909" s="3" t="inlineStr">
        <is>
          <t>OpenAI Stargate Abilene</t>
        </is>
      </c>
      <c r="F909" s="3" t="inlineStr">
        <is>
          <t>Oracle</t>
        </is>
      </c>
      <c r="G909" s="3" t="inlineStr">
        <is>
          <t>United States</t>
        </is>
      </c>
      <c r="H909" s="25" t="n">
        <v>843</v>
      </c>
      <c r="I909" s="17" t="n">
        <v>1</v>
      </c>
      <c r="J909" s="17" t="n">
        <v>0.635</v>
      </c>
      <c r="K909" s="26" t="n">
        <v>0.365</v>
      </c>
      <c r="L909" s="3" t="inlineStr">
        <is>
          <t>2026-11-01</t>
        </is>
      </c>
      <c r="M909" s="27" t="n">
        <v>421</v>
      </c>
      <c r="N909" s="27" t="n">
        <v>843</v>
      </c>
      <c r="O909" s="3" t="inlineStr">
        <is>
          <t>confident</t>
        </is>
      </c>
      <c r="P909" s="3" t="inlineStr">
        <is>
          <t>B200,B300</t>
        </is>
      </c>
      <c r="Q909" s="3" t="inlineStr">
        <is>
          <t>epoch_user_site_equal_split_seed</t>
        </is>
      </c>
      <c r="R909" s="3" t="inlineStr">
        <is>
          <t>SRC_EPOCH_AI_DATA_CENTERS; EPOCH_NORMALIZED_USER_SITES</t>
        </is>
      </c>
      <c r="S909" s="3" t="inlineStr">
        <is>
          <t>Capacity weight is used only to weight accelerator mix, not to overwrite company total power in 02_Inputs.</t>
        </is>
      </c>
    </row>
    <row r="910">
      <c r="A910" s="3" t="inlineStr">
        <is>
          <t>Bear|OpenAI|2030|OpenAI Stargate Abilene</t>
        </is>
      </c>
      <c r="B910" s="3" t="inlineStr">
        <is>
          <t>Bear</t>
        </is>
      </c>
      <c r="C910" s="3" t="inlineStr">
        <is>
          <t>OpenAI</t>
        </is>
      </c>
      <c r="D910" s="3" t="n">
        <v>2030</v>
      </c>
      <c r="E910" s="3" t="inlineStr">
        <is>
          <t>OpenAI Stargate Abilene</t>
        </is>
      </c>
      <c r="F910" s="3" t="inlineStr">
        <is>
          <t>Oracle</t>
        </is>
      </c>
      <c r="G910" s="3" t="inlineStr">
        <is>
          <t>United States</t>
        </is>
      </c>
      <c r="H910" s="25" t="n">
        <v>843</v>
      </c>
      <c r="I910" s="17" t="n">
        <v>1</v>
      </c>
      <c r="J910" s="17" t="n">
        <v>0.68</v>
      </c>
      <c r="K910" s="26" t="n">
        <v>0.32</v>
      </c>
      <c r="L910" s="3" t="inlineStr">
        <is>
          <t>2026-11-01</t>
        </is>
      </c>
      <c r="M910" s="27" t="n">
        <v>421</v>
      </c>
      <c r="N910" s="27" t="n">
        <v>843</v>
      </c>
      <c r="O910" s="3" t="inlineStr">
        <is>
          <t>confident</t>
        </is>
      </c>
      <c r="P910" s="3" t="inlineStr">
        <is>
          <t>B200,B300</t>
        </is>
      </c>
      <c r="Q910" s="3" t="inlineStr">
        <is>
          <t>epoch_user_site_equal_split_seed</t>
        </is>
      </c>
      <c r="R910" s="3" t="inlineStr">
        <is>
          <t>SRC_EPOCH_AI_DATA_CENTERS; EPOCH_NORMALIZED_USER_SITES</t>
        </is>
      </c>
      <c r="S910" s="3" t="inlineStr">
        <is>
          <t>Capacity weight is used only to weight accelerator mix, not to overwrite company total power in 02_Inputs.</t>
        </is>
      </c>
    </row>
    <row r="911">
      <c r="A911" s="3" t="inlineStr">
        <is>
          <t>Base|OpenAI|2026|OpenAI Stargate Abilene</t>
        </is>
      </c>
      <c r="B911" s="3" t="inlineStr">
        <is>
          <t>Base</t>
        </is>
      </c>
      <c r="C911" s="3" t="inlineStr">
        <is>
          <t>OpenAI</t>
        </is>
      </c>
      <c r="D911" s="3" t="n">
        <v>2026</v>
      </c>
      <c r="E911" s="3" t="inlineStr">
        <is>
          <t>OpenAI Stargate Abilene</t>
        </is>
      </c>
      <c r="F911" s="3" t="inlineStr">
        <is>
          <t>Oracle</t>
        </is>
      </c>
      <c r="G911" s="3" t="inlineStr">
        <is>
          <t>United States</t>
        </is>
      </c>
      <c r="H911" s="25" t="n">
        <v>843</v>
      </c>
      <c r="I911" s="17" t="n">
        <v>1</v>
      </c>
      <c r="J911" s="17" t="n">
        <v>0.58</v>
      </c>
      <c r="K911" s="26" t="n">
        <v>0.42</v>
      </c>
      <c r="L911" s="3" t="inlineStr">
        <is>
          <t>2026-11-01</t>
        </is>
      </c>
      <c r="M911" s="27" t="n">
        <v>421</v>
      </c>
      <c r="N911" s="27" t="n">
        <v>843</v>
      </c>
      <c r="O911" s="3" t="inlineStr">
        <is>
          <t>confident</t>
        </is>
      </c>
      <c r="P911" s="3" t="inlineStr">
        <is>
          <t>B200,B300</t>
        </is>
      </c>
      <c r="Q911" s="3" t="inlineStr">
        <is>
          <t>epoch_user_site_equal_split_seed</t>
        </is>
      </c>
      <c r="R911" s="3" t="inlineStr">
        <is>
          <t>SRC_EPOCH_AI_DATA_CENTERS; EPOCH_NORMALIZED_USER_SITES</t>
        </is>
      </c>
      <c r="S911" s="3" t="inlineStr">
        <is>
          <t>Capacity weight is used only to weight accelerator mix, not to overwrite company total power in 02_Inputs.</t>
        </is>
      </c>
    </row>
    <row r="912">
      <c r="A912" s="3" t="inlineStr">
        <is>
          <t>Base|OpenAI|2027|OpenAI Stargate Abilene</t>
        </is>
      </c>
      <c r="B912" s="3" t="inlineStr">
        <is>
          <t>Base</t>
        </is>
      </c>
      <c r="C912" s="3" t="inlineStr">
        <is>
          <t>OpenAI</t>
        </is>
      </c>
      <c r="D912" s="3" t="n">
        <v>2027</v>
      </c>
      <c r="E912" s="3" t="inlineStr">
        <is>
          <t>OpenAI Stargate Abilene</t>
        </is>
      </c>
      <c r="F912" s="3" t="inlineStr">
        <is>
          <t>Oracle</t>
        </is>
      </c>
      <c r="G912" s="3" t="inlineStr">
        <is>
          <t>United States</t>
        </is>
      </c>
      <c r="H912" s="25" t="n">
        <v>843</v>
      </c>
      <c r="I912" s="17" t="n">
        <v>1</v>
      </c>
      <c r="J912" s="17" t="n">
        <v>0.63</v>
      </c>
      <c r="K912" s="26" t="n">
        <v>0.37</v>
      </c>
      <c r="L912" s="3" t="inlineStr">
        <is>
          <t>2026-11-01</t>
        </is>
      </c>
      <c r="M912" s="27" t="n">
        <v>421</v>
      </c>
      <c r="N912" s="27" t="n">
        <v>843</v>
      </c>
      <c r="O912" s="3" t="inlineStr">
        <is>
          <t>confident</t>
        </is>
      </c>
      <c r="P912" s="3" t="inlineStr">
        <is>
          <t>B200,B300</t>
        </is>
      </c>
      <c r="Q912" s="3" t="inlineStr">
        <is>
          <t>epoch_user_site_equal_split_seed</t>
        </is>
      </c>
      <c r="R912" s="3" t="inlineStr">
        <is>
          <t>SRC_EPOCH_AI_DATA_CENTERS; EPOCH_NORMALIZED_USER_SITES</t>
        </is>
      </c>
      <c r="S912" s="3" t="inlineStr">
        <is>
          <t>Capacity weight is used only to weight accelerator mix, not to overwrite company total power in 02_Inputs.</t>
        </is>
      </c>
    </row>
    <row r="913">
      <c r="A913" s="3" t="inlineStr">
        <is>
          <t>Base|OpenAI|2028|OpenAI Stargate Abilene</t>
        </is>
      </c>
      <c r="B913" s="3" t="inlineStr">
        <is>
          <t>Base</t>
        </is>
      </c>
      <c r="C913" s="3" t="inlineStr">
        <is>
          <t>OpenAI</t>
        </is>
      </c>
      <c r="D913" s="3" t="n">
        <v>2028</v>
      </c>
      <c r="E913" s="3" t="inlineStr">
        <is>
          <t>OpenAI Stargate Abilene</t>
        </is>
      </c>
      <c r="F913" s="3" t="inlineStr">
        <is>
          <t>Oracle</t>
        </is>
      </c>
      <c r="G913" s="3" t="inlineStr">
        <is>
          <t>United States</t>
        </is>
      </c>
      <c r="H913" s="25" t="n">
        <v>843</v>
      </c>
      <c r="I913" s="17" t="n">
        <v>1</v>
      </c>
      <c r="J913" s="17" t="n">
        <v>0.68</v>
      </c>
      <c r="K913" s="26" t="n">
        <v>0.32</v>
      </c>
      <c r="L913" s="3" t="inlineStr">
        <is>
          <t>2026-11-01</t>
        </is>
      </c>
      <c r="M913" s="27" t="n">
        <v>421</v>
      </c>
      <c r="N913" s="27" t="n">
        <v>843</v>
      </c>
      <c r="O913" s="3" t="inlineStr">
        <is>
          <t>confident</t>
        </is>
      </c>
      <c r="P913" s="3" t="inlineStr">
        <is>
          <t>B200,B300</t>
        </is>
      </c>
      <c r="Q913" s="3" t="inlineStr">
        <is>
          <t>epoch_user_site_equal_split_seed</t>
        </is>
      </c>
      <c r="R913" s="3" t="inlineStr">
        <is>
          <t>SRC_EPOCH_AI_DATA_CENTERS; EPOCH_NORMALIZED_USER_SITES</t>
        </is>
      </c>
      <c r="S913" s="3" t="inlineStr">
        <is>
          <t>Capacity weight is used only to weight accelerator mix, not to overwrite company total power in 02_Inputs.</t>
        </is>
      </c>
    </row>
    <row r="914">
      <c r="A914" s="3" t="inlineStr">
        <is>
          <t>Base|OpenAI|2029|OpenAI Stargate Abilene</t>
        </is>
      </c>
      <c r="B914" s="3" t="inlineStr">
        <is>
          <t>Base</t>
        </is>
      </c>
      <c r="C914" s="3" t="inlineStr">
        <is>
          <t>OpenAI</t>
        </is>
      </c>
      <c r="D914" s="3" t="n">
        <v>2029</v>
      </c>
      <c r="E914" s="3" t="inlineStr">
        <is>
          <t>OpenAI Stargate Abilene</t>
        </is>
      </c>
      <c r="F914" s="3" t="inlineStr">
        <is>
          <t>Oracle</t>
        </is>
      </c>
      <c r="G914" s="3" t="inlineStr">
        <is>
          <t>United States</t>
        </is>
      </c>
      <c r="H914" s="25" t="n">
        <v>843</v>
      </c>
      <c r="I914" s="17" t="n">
        <v>1</v>
      </c>
      <c r="J914" s="17" t="n">
        <v>0.73</v>
      </c>
      <c r="K914" s="26" t="n">
        <v>0.27</v>
      </c>
      <c r="L914" s="3" t="inlineStr">
        <is>
          <t>2026-11-01</t>
        </is>
      </c>
      <c r="M914" s="27" t="n">
        <v>421</v>
      </c>
      <c r="N914" s="27" t="n">
        <v>843</v>
      </c>
      <c r="O914" s="3" t="inlineStr">
        <is>
          <t>confident</t>
        </is>
      </c>
      <c r="P914" s="3" t="inlineStr">
        <is>
          <t>B200,B300</t>
        </is>
      </c>
      <c r="Q914" s="3" t="inlineStr">
        <is>
          <t>epoch_user_site_equal_split_seed</t>
        </is>
      </c>
      <c r="R914" s="3" t="inlineStr">
        <is>
          <t>SRC_EPOCH_AI_DATA_CENTERS; EPOCH_NORMALIZED_USER_SITES</t>
        </is>
      </c>
      <c r="S914" s="3" t="inlineStr">
        <is>
          <t>Capacity weight is used only to weight accelerator mix, not to overwrite company total power in 02_Inputs.</t>
        </is>
      </c>
    </row>
    <row r="915">
      <c r="A915" s="3" t="inlineStr">
        <is>
          <t>Base|OpenAI|2030|OpenAI Stargate Abilene</t>
        </is>
      </c>
      <c r="B915" s="3" t="inlineStr">
        <is>
          <t>Base</t>
        </is>
      </c>
      <c r="C915" s="3" t="inlineStr">
        <is>
          <t>OpenAI</t>
        </is>
      </c>
      <c r="D915" s="3" t="n">
        <v>2030</v>
      </c>
      <c r="E915" s="3" t="inlineStr">
        <is>
          <t>OpenAI Stargate Abilene</t>
        </is>
      </c>
      <c r="F915" s="3" t="inlineStr">
        <is>
          <t>Oracle</t>
        </is>
      </c>
      <c r="G915" s="3" t="inlineStr">
        <is>
          <t>United States</t>
        </is>
      </c>
      <c r="H915" s="25" t="n">
        <v>843</v>
      </c>
      <c r="I915" s="17" t="n">
        <v>1</v>
      </c>
      <c r="J915" s="17" t="n">
        <v>0.78</v>
      </c>
      <c r="K915" s="26" t="n">
        <v>0.22</v>
      </c>
      <c r="L915" s="3" t="inlineStr">
        <is>
          <t>2026-11-01</t>
        </is>
      </c>
      <c r="M915" s="27" t="n">
        <v>421</v>
      </c>
      <c r="N915" s="27" t="n">
        <v>843</v>
      </c>
      <c r="O915" s="3" t="inlineStr">
        <is>
          <t>confident</t>
        </is>
      </c>
      <c r="P915" s="3" t="inlineStr">
        <is>
          <t>B200,B300</t>
        </is>
      </c>
      <c r="Q915" s="3" t="inlineStr">
        <is>
          <t>epoch_user_site_equal_split_seed</t>
        </is>
      </c>
      <c r="R915" s="3" t="inlineStr">
        <is>
          <t>SRC_EPOCH_AI_DATA_CENTERS; EPOCH_NORMALIZED_USER_SITES</t>
        </is>
      </c>
      <c r="S915" s="3" t="inlineStr">
        <is>
          <t>Capacity weight is used only to weight accelerator mix, not to overwrite company total power in 02_Inputs.</t>
        </is>
      </c>
    </row>
    <row r="916">
      <c r="A916" s="3" t="inlineStr">
        <is>
          <t>Bull|OpenAI|2026|OpenAI Stargate Abilene</t>
        </is>
      </c>
      <c r="B916" s="3" t="inlineStr">
        <is>
          <t>Bull</t>
        </is>
      </c>
      <c r="C916" s="3" t="inlineStr">
        <is>
          <t>OpenAI</t>
        </is>
      </c>
      <c r="D916" s="3" t="n">
        <v>2026</v>
      </c>
      <c r="E916" s="3" t="inlineStr">
        <is>
          <t>OpenAI Stargate Abilene</t>
        </is>
      </c>
      <c r="F916" s="3" t="inlineStr">
        <is>
          <t>Oracle</t>
        </is>
      </c>
      <c r="G916" s="3" t="inlineStr">
        <is>
          <t>United States</t>
        </is>
      </c>
      <c r="H916" s="25" t="n">
        <v>843</v>
      </c>
      <c r="I916" s="17" t="n">
        <v>1</v>
      </c>
      <c r="J916" s="17" t="n">
        <v>0.63</v>
      </c>
      <c r="K916" s="26" t="n">
        <v>0.37</v>
      </c>
      <c r="L916" s="3" t="inlineStr">
        <is>
          <t>2026-11-01</t>
        </is>
      </c>
      <c r="M916" s="27" t="n">
        <v>421</v>
      </c>
      <c r="N916" s="27" t="n">
        <v>843</v>
      </c>
      <c r="O916" s="3" t="inlineStr">
        <is>
          <t>confident</t>
        </is>
      </c>
      <c r="P916" s="3" t="inlineStr">
        <is>
          <t>B200,B300</t>
        </is>
      </c>
      <c r="Q916" s="3" t="inlineStr">
        <is>
          <t>epoch_user_site_equal_split_seed</t>
        </is>
      </c>
      <c r="R916" s="3" t="inlineStr">
        <is>
          <t>SRC_EPOCH_AI_DATA_CENTERS; EPOCH_NORMALIZED_USER_SITES</t>
        </is>
      </c>
      <c r="S916" s="3" t="inlineStr">
        <is>
          <t>Capacity weight is used only to weight accelerator mix, not to overwrite company total power in 02_Inputs.</t>
        </is>
      </c>
    </row>
    <row r="917">
      <c r="A917" s="3" t="inlineStr">
        <is>
          <t>Bull|OpenAI|2027|OpenAI Stargate Abilene</t>
        </is>
      </c>
      <c r="B917" s="3" t="inlineStr">
        <is>
          <t>Bull</t>
        </is>
      </c>
      <c r="C917" s="3" t="inlineStr">
        <is>
          <t>OpenAI</t>
        </is>
      </c>
      <c r="D917" s="3" t="n">
        <v>2027</v>
      </c>
      <c r="E917" s="3" t="inlineStr">
        <is>
          <t>OpenAI Stargate Abilene</t>
        </is>
      </c>
      <c r="F917" s="3" t="inlineStr">
        <is>
          <t>Oracle</t>
        </is>
      </c>
      <c r="G917" s="3" t="inlineStr">
        <is>
          <t>United States</t>
        </is>
      </c>
      <c r="H917" s="25" t="n">
        <v>843</v>
      </c>
      <c r="I917" s="17" t="n">
        <v>1</v>
      </c>
      <c r="J917" s="17" t="n">
        <v>0.6879999999999999</v>
      </c>
      <c r="K917" s="26" t="n">
        <v>0.312</v>
      </c>
      <c r="L917" s="3" t="inlineStr">
        <is>
          <t>2026-11-01</t>
        </is>
      </c>
      <c r="M917" s="27" t="n">
        <v>421</v>
      </c>
      <c r="N917" s="27" t="n">
        <v>843</v>
      </c>
      <c r="O917" s="3" t="inlineStr">
        <is>
          <t>confident</t>
        </is>
      </c>
      <c r="P917" s="3" t="inlineStr">
        <is>
          <t>B200,B300</t>
        </is>
      </c>
      <c r="Q917" s="3" t="inlineStr">
        <is>
          <t>epoch_user_site_equal_split_seed</t>
        </is>
      </c>
      <c r="R917" s="3" t="inlineStr">
        <is>
          <t>SRC_EPOCH_AI_DATA_CENTERS; EPOCH_NORMALIZED_USER_SITES</t>
        </is>
      </c>
      <c r="S917" s="3" t="inlineStr">
        <is>
          <t>Capacity weight is used only to weight accelerator mix, not to overwrite company total power in 02_Inputs.</t>
        </is>
      </c>
    </row>
    <row r="918">
      <c r="A918" s="3" t="inlineStr">
        <is>
          <t>Bull|OpenAI|2028|OpenAI Stargate Abilene</t>
        </is>
      </c>
      <c r="B918" s="3" t="inlineStr">
        <is>
          <t>Bull</t>
        </is>
      </c>
      <c r="C918" s="3" t="inlineStr">
        <is>
          <t>OpenAI</t>
        </is>
      </c>
      <c r="D918" s="3" t="n">
        <v>2028</v>
      </c>
      <c r="E918" s="3" t="inlineStr">
        <is>
          <t>OpenAI Stargate Abilene</t>
        </is>
      </c>
      <c r="F918" s="3" t="inlineStr">
        <is>
          <t>Oracle</t>
        </is>
      </c>
      <c r="G918" s="3" t="inlineStr">
        <is>
          <t>United States</t>
        </is>
      </c>
      <c r="H918" s="25" t="n">
        <v>843</v>
      </c>
      <c r="I918" s="17" t="n">
        <v>1</v>
      </c>
      <c r="J918" s="17" t="n">
        <v>0.745</v>
      </c>
      <c r="K918" s="26" t="n">
        <v>0.255</v>
      </c>
      <c r="L918" s="3" t="inlineStr">
        <is>
          <t>2026-11-01</t>
        </is>
      </c>
      <c r="M918" s="27" t="n">
        <v>421</v>
      </c>
      <c r="N918" s="27" t="n">
        <v>843</v>
      </c>
      <c r="O918" s="3" t="inlineStr">
        <is>
          <t>confident</t>
        </is>
      </c>
      <c r="P918" s="3" t="inlineStr">
        <is>
          <t>B200,B300</t>
        </is>
      </c>
      <c r="Q918" s="3" t="inlineStr">
        <is>
          <t>epoch_user_site_equal_split_seed</t>
        </is>
      </c>
      <c r="R918" s="3" t="inlineStr">
        <is>
          <t>SRC_EPOCH_AI_DATA_CENTERS; EPOCH_NORMALIZED_USER_SITES</t>
        </is>
      </c>
      <c r="S918" s="3" t="inlineStr">
        <is>
          <t>Capacity weight is used only to weight accelerator mix, not to overwrite company total power in 02_Inputs.</t>
        </is>
      </c>
    </row>
    <row r="919">
      <c r="A919" s="3" t="inlineStr">
        <is>
          <t>Bull|OpenAI|2029|OpenAI Stargate Abilene</t>
        </is>
      </c>
      <c r="B919" s="3" t="inlineStr">
        <is>
          <t>Bull</t>
        </is>
      </c>
      <c r="C919" s="3" t="inlineStr">
        <is>
          <t>OpenAI</t>
        </is>
      </c>
      <c r="D919" s="3" t="n">
        <v>2029</v>
      </c>
      <c r="E919" s="3" t="inlineStr">
        <is>
          <t>OpenAI Stargate Abilene</t>
        </is>
      </c>
      <c r="F919" s="3" t="inlineStr">
        <is>
          <t>Oracle</t>
        </is>
      </c>
      <c r="G919" s="3" t="inlineStr">
        <is>
          <t>United States</t>
        </is>
      </c>
      <c r="H919" s="25" t="n">
        <v>843</v>
      </c>
      <c r="I919" s="17" t="n">
        <v>1</v>
      </c>
      <c r="J919" s="17" t="n">
        <v>0.802</v>
      </c>
      <c r="K919" s="26" t="n">
        <v>0.198</v>
      </c>
      <c r="L919" s="3" t="inlineStr">
        <is>
          <t>2026-11-01</t>
        </is>
      </c>
      <c r="M919" s="27" t="n">
        <v>421</v>
      </c>
      <c r="N919" s="27" t="n">
        <v>843</v>
      </c>
      <c r="O919" s="3" t="inlineStr">
        <is>
          <t>confident</t>
        </is>
      </c>
      <c r="P919" s="3" t="inlineStr">
        <is>
          <t>B200,B300</t>
        </is>
      </c>
      <c r="Q919" s="3" t="inlineStr">
        <is>
          <t>epoch_user_site_equal_split_seed</t>
        </is>
      </c>
      <c r="R919" s="3" t="inlineStr">
        <is>
          <t>SRC_EPOCH_AI_DATA_CENTERS; EPOCH_NORMALIZED_USER_SITES</t>
        </is>
      </c>
      <c r="S919" s="3" t="inlineStr">
        <is>
          <t>Capacity weight is used only to weight accelerator mix, not to overwrite company total power in 02_Inputs.</t>
        </is>
      </c>
    </row>
    <row r="920">
      <c r="A920" s="3" t="inlineStr">
        <is>
          <t>Bull|OpenAI|2030|OpenAI Stargate Abilene</t>
        </is>
      </c>
      <c r="B920" s="3" t="inlineStr">
        <is>
          <t>Bull</t>
        </is>
      </c>
      <c r="C920" s="3" t="inlineStr">
        <is>
          <t>OpenAI</t>
        </is>
      </c>
      <c r="D920" s="3" t="n">
        <v>2030</v>
      </c>
      <c r="E920" s="3" t="inlineStr">
        <is>
          <t>OpenAI Stargate Abilene</t>
        </is>
      </c>
      <c r="F920" s="3" t="inlineStr">
        <is>
          <t>Oracle</t>
        </is>
      </c>
      <c r="G920" s="3" t="inlineStr">
        <is>
          <t>United States</t>
        </is>
      </c>
      <c r="H920" s="25" t="n">
        <v>843</v>
      </c>
      <c r="I920" s="17" t="n">
        <v>1</v>
      </c>
      <c r="J920" s="17" t="n">
        <v>0.86</v>
      </c>
      <c r="K920" s="26" t="n">
        <v>0.14</v>
      </c>
      <c r="L920" s="3" t="inlineStr">
        <is>
          <t>2026-11-01</t>
        </is>
      </c>
      <c r="M920" s="27" t="n">
        <v>421</v>
      </c>
      <c r="N920" s="27" t="n">
        <v>843</v>
      </c>
      <c r="O920" s="3" t="inlineStr">
        <is>
          <t>confident</t>
        </is>
      </c>
      <c r="P920" s="3" t="inlineStr">
        <is>
          <t>B200,B300</t>
        </is>
      </c>
      <c r="Q920" s="3" t="inlineStr">
        <is>
          <t>epoch_user_site_equal_split_seed</t>
        </is>
      </c>
      <c r="R920" s="3" t="inlineStr">
        <is>
          <t>SRC_EPOCH_AI_DATA_CENTERS; EPOCH_NORMALIZED_USER_SITES</t>
        </is>
      </c>
      <c r="S920" s="3" t="inlineStr">
        <is>
          <t>Capacity weight is used only to weight accelerator mix, not to overwrite company total power in 02_Inputs.</t>
        </is>
      </c>
    </row>
    <row r="921">
      <c r="A921" s="3" t="inlineStr">
        <is>
          <t>Grid-Constrained / Efficiency-Upside|OpenAI|2026|OpenAI Stargate Abilene</t>
        </is>
      </c>
      <c r="B921" s="3" t="inlineStr">
        <is>
          <t>Grid-Constrained / Efficiency-Upside</t>
        </is>
      </c>
      <c r="C921" s="3" t="inlineStr">
        <is>
          <t>OpenAI</t>
        </is>
      </c>
      <c r="D921" s="3" t="n">
        <v>2026</v>
      </c>
      <c r="E921" s="3" t="inlineStr">
        <is>
          <t>OpenAI Stargate Abilene</t>
        </is>
      </c>
      <c r="F921" s="3" t="inlineStr">
        <is>
          <t>Oracle</t>
        </is>
      </c>
      <c r="G921" s="3" t="inlineStr">
        <is>
          <t>United States</t>
        </is>
      </c>
      <c r="H921" s="25" t="n">
        <v>843</v>
      </c>
      <c r="I921" s="17" t="n">
        <v>1</v>
      </c>
      <c r="J921" s="17" t="n">
        <v>0.6</v>
      </c>
      <c r="K921" s="26" t="n">
        <v>0.4</v>
      </c>
      <c r="L921" s="3" t="inlineStr">
        <is>
          <t>2026-11-01</t>
        </is>
      </c>
      <c r="M921" s="27" t="n">
        <v>421</v>
      </c>
      <c r="N921" s="27" t="n">
        <v>843</v>
      </c>
      <c r="O921" s="3" t="inlineStr">
        <is>
          <t>confident</t>
        </is>
      </c>
      <c r="P921" s="3" t="inlineStr">
        <is>
          <t>B200,B300</t>
        </is>
      </c>
      <c r="Q921" s="3" t="inlineStr">
        <is>
          <t>epoch_user_site_equal_split_seed</t>
        </is>
      </c>
      <c r="R921" s="3" t="inlineStr">
        <is>
          <t>SRC_EPOCH_AI_DATA_CENTERS; EPOCH_NORMALIZED_USER_SITES</t>
        </is>
      </c>
      <c r="S921" s="3" t="inlineStr">
        <is>
          <t>Capacity weight is used only to weight accelerator mix, not to overwrite company total power in 02_Inputs.</t>
        </is>
      </c>
    </row>
    <row r="922">
      <c r="A922" s="3" t="inlineStr">
        <is>
          <t>Grid-Constrained / Efficiency-Upside|OpenAI|2027|OpenAI Stargate Abilene</t>
        </is>
      </c>
      <c r="B922" s="3" t="inlineStr">
        <is>
          <t>Grid-Constrained / Efficiency-Upside</t>
        </is>
      </c>
      <c r="C922" s="3" t="inlineStr">
        <is>
          <t>OpenAI</t>
        </is>
      </c>
      <c r="D922" s="3" t="n">
        <v>2027</v>
      </c>
      <c r="E922" s="3" t="inlineStr">
        <is>
          <t>OpenAI Stargate Abilene</t>
        </is>
      </c>
      <c r="F922" s="3" t="inlineStr">
        <is>
          <t>Oracle</t>
        </is>
      </c>
      <c r="G922" s="3" t="inlineStr">
        <is>
          <t>United States</t>
        </is>
      </c>
      <c r="H922" s="25" t="n">
        <v>843</v>
      </c>
      <c r="I922" s="17" t="n">
        <v>1</v>
      </c>
      <c r="J922" s="17" t="n">
        <v>0.655</v>
      </c>
      <c r="K922" s="26" t="n">
        <v>0.345</v>
      </c>
      <c r="L922" s="3" t="inlineStr">
        <is>
          <t>2026-11-01</t>
        </is>
      </c>
      <c r="M922" s="27" t="n">
        <v>421</v>
      </c>
      <c r="N922" s="27" t="n">
        <v>843</v>
      </c>
      <c r="O922" s="3" t="inlineStr">
        <is>
          <t>confident</t>
        </is>
      </c>
      <c r="P922" s="3" t="inlineStr">
        <is>
          <t>B200,B300</t>
        </is>
      </c>
      <c r="Q922" s="3" t="inlineStr">
        <is>
          <t>epoch_user_site_equal_split_seed</t>
        </is>
      </c>
      <c r="R922" s="3" t="inlineStr">
        <is>
          <t>SRC_EPOCH_AI_DATA_CENTERS; EPOCH_NORMALIZED_USER_SITES</t>
        </is>
      </c>
      <c r="S922" s="3" t="inlineStr">
        <is>
          <t>Capacity weight is used only to weight accelerator mix, not to overwrite company total power in 02_Inputs.</t>
        </is>
      </c>
    </row>
    <row r="923">
      <c r="A923" s="3" t="inlineStr">
        <is>
          <t>Grid-Constrained / Efficiency-Upside|OpenAI|2028|OpenAI Stargate Abilene</t>
        </is>
      </c>
      <c r="B923" s="3" t="inlineStr">
        <is>
          <t>Grid-Constrained / Efficiency-Upside</t>
        </is>
      </c>
      <c r="C923" s="3" t="inlineStr">
        <is>
          <t>OpenAI</t>
        </is>
      </c>
      <c r="D923" s="3" t="n">
        <v>2028</v>
      </c>
      <c r="E923" s="3" t="inlineStr">
        <is>
          <t>OpenAI Stargate Abilene</t>
        </is>
      </c>
      <c r="F923" s="3" t="inlineStr">
        <is>
          <t>Oracle</t>
        </is>
      </c>
      <c r="G923" s="3" t="inlineStr">
        <is>
          <t>United States</t>
        </is>
      </c>
      <c r="H923" s="25" t="n">
        <v>843</v>
      </c>
      <c r="I923" s="17" t="n">
        <v>1</v>
      </c>
      <c r="J923" s="17" t="n">
        <v>0.71</v>
      </c>
      <c r="K923" s="26" t="n">
        <v>0.29</v>
      </c>
      <c r="L923" s="3" t="inlineStr">
        <is>
          <t>2026-11-01</t>
        </is>
      </c>
      <c r="M923" s="27" t="n">
        <v>421</v>
      </c>
      <c r="N923" s="27" t="n">
        <v>843</v>
      </c>
      <c r="O923" s="3" t="inlineStr">
        <is>
          <t>confident</t>
        </is>
      </c>
      <c r="P923" s="3" t="inlineStr">
        <is>
          <t>B200,B300</t>
        </is>
      </c>
      <c r="Q923" s="3" t="inlineStr">
        <is>
          <t>epoch_user_site_equal_split_seed</t>
        </is>
      </c>
      <c r="R923" s="3" t="inlineStr">
        <is>
          <t>SRC_EPOCH_AI_DATA_CENTERS; EPOCH_NORMALIZED_USER_SITES</t>
        </is>
      </c>
      <c r="S923" s="3" t="inlineStr">
        <is>
          <t>Capacity weight is used only to weight accelerator mix, not to overwrite company total power in 02_Inputs.</t>
        </is>
      </c>
    </row>
    <row r="924">
      <c r="A924" s="3" t="inlineStr">
        <is>
          <t>Grid-Constrained / Efficiency-Upside|OpenAI|2029|OpenAI Stargate Abilene</t>
        </is>
      </c>
      <c r="B924" s="3" t="inlineStr">
        <is>
          <t>Grid-Constrained / Efficiency-Upside</t>
        </is>
      </c>
      <c r="C924" s="3" t="inlineStr">
        <is>
          <t>OpenAI</t>
        </is>
      </c>
      <c r="D924" s="3" t="n">
        <v>2029</v>
      </c>
      <c r="E924" s="3" t="inlineStr">
        <is>
          <t>OpenAI Stargate Abilene</t>
        </is>
      </c>
      <c r="F924" s="3" t="inlineStr">
        <is>
          <t>Oracle</t>
        </is>
      </c>
      <c r="G924" s="3" t="inlineStr">
        <is>
          <t>United States</t>
        </is>
      </c>
      <c r="H924" s="25" t="n">
        <v>843</v>
      </c>
      <c r="I924" s="17" t="n">
        <v>1</v>
      </c>
      <c r="J924" s="17" t="n">
        <v>0.765</v>
      </c>
      <c r="K924" s="26" t="n">
        <v>0.235</v>
      </c>
      <c r="L924" s="3" t="inlineStr">
        <is>
          <t>2026-11-01</t>
        </is>
      </c>
      <c r="M924" s="27" t="n">
        <v>421</v>
      </c>
      <c r="N924" s="27" t="n">
        <v>843</v>
      </c>
      <c r="O924" s="3" t="inlineStr">
        <is>
          <t>confident</t>
        </is>
      </c>
      <c r="P924" s="3" t="inlineStr">
        <is>
          <t>B200,B300</t>
        </is>
      </c>
      <c r="Q924" s="3" t="inlineStr">
        <is>
          <t>epoch_user_site_equal_split_seed</t>
        </is>
      </c>
      <c r="R924" s="3" t="inlineStr">
        <is>
          <t>SRC_EPOCH_AI_DATA_CENTERS; EPOCH_NORMALIZED_USER_SITES</t>
        </is>
      </c>
      <c r="S924" s="3" t="inlineStr">
        <is>
          <t>Capacity weight is used only to weight accelerator mix, not to overwrite company total power in 02_Inputs.</t>
        </is>
      </c>
    </row>
    <row r="925">
      <c r="A925" s="3" t="inlineStr">
        <is>
          <t>Grid-Constrained / Efficiency-Upside|OpenAI|2030|OpenAI Stargate Abilene</t>
        </is>
      </c>
      <c r="B925" s="3" t="inlineStr">
        <is>
          <t>Grid-Constrained / Efficiency-Upside</t>
        </is>
      </c>
      <c r="C925" s="3" t="inlineStr">
        <is>
          <t>OpenAI</t>
        </is>
      </c>
      <c r="D925" s="3" t="n">
        <v>2030</v>
      </c>
      <c r="E925" s="3" t="inlineStr">
        <is>
          <t>OpenAI Stargate Abilene</t>
        </is>
      </c>
      <c r="F925" s="3" t="inlineStr">
        <is>
          <t>Oracle</t>
        </is>
      </c>
      <c r="G925" s="3" t="inlineStr">
        <is>
          <t>United States</t>
        </is>
      </c>
      <c r="H925" s="25" t="n">
        <v>843</v>
      </c>
      <c r="I925" s="17" t="n">
        <v>1</v>
      </c>
      <c r="J925" s="17" t="n">
        <v>0.82</v>
      </c>
      <c r="K925" s="26" t="n">
        <v>0.18</v>
      </c>
      <c r="L925" s="3" t="inlineStr">
        <is>
          <t>2026-11-01</t>
        </is>
      </c>
      <c r="M925" s="27" t="n">
        <v>421</v>
      </c>
      <c r="N925" s="27" t="n">
        <v>843</v>
      </c>
      <c r="O925" s="3" t="inlineStr">
        <is>
          <t>confident</t>
        </is>
      </c>
      <c r="P925" s="3" t="inlineStr">
        <is>
          <t>B200,B300</t>
        </is>
      </c>
      <c r="Q925" s="3" t="inlineStr">
        <is>
          <t>epoch_user_site_equal_split_seed</t>
        </is>
      </c>
      <c r="R925" s="3" t="inlineStr">
        <is>
          <t>SRC_EPOCH_AI_DATA_CENTERS; EPOCH_NORMALIZED_USER_SITES</t>
        </is>
      </c>
      <c r="S925" s="3" t="inlineStr">
        <is>
          <t>Capacity weight is used only to weight accelerator mix, not to overwrite company total power in 02_Inputs.</t>
        </is>
      </c>
    </row>
    <row r="926">
      <c r="A926" s="3" t="inlineStr">
        <is>
          <t>Bear|OpenAI|2028|OpenAI Stargate Michigan</t>
        </is>
      </c>
      <c r="B926" s="3" t="inlineStr">
        <is>
          <t>Bear</t>
        </is>
      </c>
      <c r="C926" s="3" t="inlineStr">
        <is>
          <t>OpenAI</t>
        </is>
      </c>
      <c r="D926" s="3" t="n">
        <v>2028</v>
      </c>
      <c r="E926" s="3" t="inlineStr">
        <is>
          <t>OpenAI Stargate Michigan</t>
        </is>
      </c>
      <c r="F926" s="3" t="inlineStr">
        <is>
          <t>Oracle</t>
        </is>
      </c>
      <c r="G926" s="3" t="inlineStr">
        <is>
          <t>United States</t>
        </is>
      </c>
      <c r="H926" s="25" t="n">
        <v>988</v>
      </c>
      <c r="I926" s="17" t="n">
        <v>1</v>
      </c>
      <c r="J926" s="17" t="n">
        <v>0.59</v>
      </c>
      <c r="K926" s="26" t="n">
        <v>0.41</v>
      </c>
      <c r="L926" s="3" t="inlineStr">
        <is>
          <t>2028-12-31</t>
        </is>
      </c>
      <c r="M926" s="27" t="n">
        <v>0</v>
      </c>
      <c r="N926" s="27" t="n">
        <v>988</v>
      </c>
      <c r="O926" s="3" t="inlineStr">
        <is>
          <t>confident</t>
        </is>
      </c>
      <c r="P926" s="3" t="inlineStr"/>
      <c r="Q926" s="3" t="inlineStr">
        <is>
          <t>epoch_user_site_equal_split_seed</t>
        </is>
      </c>
      <c r="R926" s="3" t="inlineStr">
        <is>
          <t>SRC_EPOCH_AI_DATA_CENTERS; EPOCH_NORMALIZED_USER_SITES</t>
        </is>
      </c>
      <c r="S926" s="3" t="inlineStr">
        <is>
          <t>Capacity weight is used only to weight accelerator mix, not to overwrite company total power in 02_Inputs.</t>
        </is>
      </c>
    </row>
    <row r="927">
      <c r="A927" s="3" t="inlineStr">
        <is>
          <t>Bear|OpenAI|2029|OpenAI Stargate Michigan</t>
        </is>
      </c>
      <c r="B927" s="3" t="inlineStr">
        <is>
          <t>Bear</t>
        </is>
      </c>
      <c r="C927" s="3" t="inlineStr">
        <is>
          <t>OpenAI</t>
        </is>
      </c>
      <c r="D927" s="3" t="n">
        <v>2029</v>
      </c>
      <c r="E927" s="3" t="inlineStr">
        <is>
          <t>OpenAI Stargate Michigan</t>
        </is>
      </c>
      <c r="F927" s="3" t="inlineStr">
        <is>
          <t>Oracle</t>
        </is>
      </c>
      <c r="G927" s="3" t="inlineStr">
        <is>
          <t>United States</t>
        </is>
      </c>
      <c r="H927" s="25" t="n">
        <v>988</v>
      </c>
      <c r="I927" s="17" t="n">
        <v>1</v>
      </c>
      <c r="J927" s="17" t="n">
        <v>0.635</v>
      </c>
      <c r="K927" s="26" t="n">
        <v>0.365</v>
      </c>
      <c r="L927" s="3" t="inlineStr">
        <is>
          <t>2028-12-31</t>
        </is>
      </c>
      <c r="M927" s="27" t="n">
        <v>0</v>
      </c>
      <c r="N927" s="27" t="n">
        <v>988</v>
      </c>
      <c r="O927" s="3" t="inlineStr">
        <is>
          <t>confident</t>
        </is>
      </c>
      <c r="P927" s="3" t="inlineStr"/>
      <c r="Q927" s="3" t="inlineStr">
        <is>
          <t>epoch_user_site_equal_split_seed</t>
        </is>
      </c>
      <c r="R927" s="3" t="inlineStr">
        <is>
          <t>SRC_EPOCH_AI_DATA_CENTERS; EPOCH_NORMALIZED_USER_SITES</t>
        </is>
      </c>
      <c r="S927" s="3" t="inlineStr">
        <is>
          <t>Capacity weight is used only to weight accelerator mix, not to overwrite company total power in 02_Inputs.</t>
        </is>
      </c>
    </row>
    <row r="928">
      <c r="A928" s="3" t="inlineStr">
        <is>
          <t>Bear|OpenAI|2030|OpenAI Stargate Michigan</t>
        </is>
      </c>
      <c r="B928" s="3" t="inlineStr">
        <is>
          <t>Bear</t>
        </is>
      </c>
      <c r="C928" s="3" t="inlineStr">
        <is>
          <t>OpenAI</t>
        </is>
      </c>
      <c r="D928" s="3" t="n">
        <v>2030</v>
      </c>
      <c r="E928" s="3" t="inlineStr">
        <is>
          <t>OpenAI Stargate Michigan</t>
        </is>
      </c>
      <c r="F928" s="3" t="inlineStr">
        <is>
          <t>Oracle</t>
        </is>
      </c>
      <c r="G928" s="3" t="inlineStr">
        <is>
          <t>United States</t>
        </is>
      </c>
      <c r="H928" s="25" t="n">
        <v>988</v>
      </c>
      <c r="I928" s="17" t="n">
        <v>1</v>
      </c>
      <c r="J928" s="17" t="n">
        <v>0.68</v>
      </c>
      <c r="K928" s="26" t="n">
        <v>0.32</v>
      </c>
      <c r="L928" s="3" t="inlineStr">
        <is>
          <t>2028-12-31</t>
        </is>
      </c>
      <c r="M928" s="27" t="n">
        <v>0</v>
      </c>
      <c r="N928" s="27" t="n">
        <v>988</v>
      </c>
      <c r="O928" s="3" t="inlineStr">
        <is>
          <t>confident</t>
        </is>
      </c>
      <c r="P928" s="3" t="inlineStr"/>
      <c r="Q928" s="3" t="inlineStr">
        <is>
          <t>epoch_user_site_equal_split_seed</t>
        </is>
      </c>
      <c r="R928" s="3" t="inlineStr">
        <is>
          <t>SRC_EPOCH_AI_DATA_CENTERS; EPOCH_NORMALIZED_USER_SITES</t>
        </is>
      </c>
      <c r="S928" s="3" t="inlineStr">
        <is>
          <t>Capacity weight is used only to weight accelerator mix, not to overwrite company total power in 02_Inputs.</t>
        </is>
      </c>
    </row>
    <row r="929">
      <c r="A929" s="3" t="inlineStr">
        <is>
          <t>Base|OpenAI|2028|OpenAI Stargate Michigan</t>
        </is>
      </c>
      <c r="B929" s="3" t="inlineStr">
        <is>
          <t>Base</t>
        </is>
      </c>
      <c r="C929" s="3" t="inlineStr">
        <is>
          <t>OpenAI</t>
        </is>
      </c>
      <c r="D929" s="3" t="n">
        <v>2028</v>
      </c>
      <c r="E929" s="3" t="inlineStr">
        <is>
          <t>OpenAI Stargate Michigan</t>
        </is>
      </c>
      <c r="F929" s="3" t="inlineStr">
        <is>
          <t>Oracle</t>
        </is>
      </c>
      <c r="G929" s="3" t="inlineStr">
        <is>
          <t>United States</t>
        </is>
      </c>
      <c r="H929" s="25" t="n">
        <v>988</v>
      </c>
      <c r="I929" s="17" t="n">
        <v>1</v>
      </c>
      <c r="J929" s="17" t="n">
        <v>0.68</v>
      </c>
      <c r="K929" s="26" t="n">
        <v>0.32</v>
      </c>
      <c r="L929" s="3" t="inlineStr">
        <is>
          <t>2028-12-31</t>
        </is>
      </c>
      <c r="M929" s="27" t="n">
        <v>0</v>
      </c>
      <c r="N929" s="27" t="n">
        <v>988</v>
      </c>
      <c r="O929" s="3" t="inlineStr">
        <is>
          <t>confident</t>
        </is>
      </c>
      <c r="P929" s="3" t="inlineStr"/>
      <c r="Q929" s="3" t="inlineStr">
        <is>
          <t>epoch_user_site_equal_split_seed</t>
        </is>
      </c>
      <c r="R929" s="3" t="inlineStr">
        <is>
          <t>SRC_EPOCH_AI_DATA_CENTERS; EPOCH_NORMALIZED_USER_SITES</t>
        </is>
      </c>
      <c r="S929" s="3" t="inlineStr">
        <is>
          <t>Capacity weight is used only to weight accelerator mix, not to overwrite company total power in 02_Inputs.</t>
        </is>
      </c>
    </row>
    <row r="930">
      <c r="A930" s="3" t="inlineStr">
        <is>
          <t>Base|OpenAI|2029|OpenAI Stargate Michigan</t>
        </is>
      </c>
      <c r="B930" s="3" t="inlineStr">
        <is>
          <t>Base</t>
        </is>
      </c>
      <c r="C930" s="3" t="inlineStr">
        <is>
          <t>OpenAI</t>
        </is>
      </c>
      <c r="D930" s="3" t="n">
        <v>2029</v>
      </c>
      <c r="E930" s="3" t="inlineStr">
        <is>
          <t>OpenAI Stargate Michigan</t>
        </is>
      </c>
      <c r="F930" s="3" t="inlineStr">
        <is>
          <t>Oracle</t>
        </is>
      </c>
      <c r="G930" s="3" t="inlineStr">
        <is>
          <t>United States</t>
        </is>
      </c>
      <c r="H930" s="25" t="n">
        <v>988</v>
      </c>
      <c r="I930" s="17" t="n">
        <v>1</v>
      </c>
      <c r="J930" s="17" t="n">
        <v>0.73</v>
      </c>
      <c r="K930" s="26" t="n">
        <v>0.27</v>
      </c>
      <c r="L930" s="3" t="inlineStr">
        <is>
          <t>2028-12-31</t>
        </is>
      </c>
      <c r="M930" s="27" t="n">
        <v>0</v>
      </c>
      <c r="N930" s="27" t="n">
        <v>988</v>
      </c>
      <c r="O930" s="3" t="inlineStr">
        <is>
          <t>confident</t>
        </is>
      </c>
      <c r="P930" s="3" t="inlineStr"/>
      <c r="Q930" s="3" t="inlineStr">
        <is>
          <t>epoch_user_site_equal_split_seed</t>
        </is>
      </c>
      <c r="R930" s="3" t="inlineStr">
        <is>
          <t>SRC_EPOCH_AI_DATA_CENTERS; EPOCH_NORMALIZED_USER_SITES</t>
        </is>
      </c>
      <c r="S930" s="3" t="inlineStr">
        <is>
          <t>Capacity weight is used only to weight accelerator mix, not to overwrite company total power in 02_Inputs.</t>
        </is>
      </c>
    </row>
    <row r="931">
      <c r="A931" s="3" t="inlineStr">
        <is>
          <t>Base|OpenAI|2030|OpenAI Stargate Michigan</t>
        </is>
      </c>
      <c r="B931" s="3" t="inlineStr">
        <is>
          <t>Base</t>
        </is>
      </c>
      <c r="C931" s="3" t="inlineStr">
        <is>
          <t>OpenAI</t>
        </is>
      </c>
      <c r="D931" s="3" t="n">
        <v>2030</v>
      </c>
      <c r="E931" s="3" t="inlineStr">
        <is>
          <t>OpenAI Stargate Michigan</t>
        </is>
      </c>
      <c r="F931" s="3" t="inlineStr">
        <is>
          <t>Oracle</t>
        </is>
      </c>
      <c r="G931" s="3" t="inlineStr">
        <is>
          <t>United States</t>
        </is>
      </c>
      <c r="H931" s="25" t="n">
        <v>988</v>
      </c>
      <c r="I931" s="17" t="n">
        <v>1</v>
      </c>
      <c r="J931" s="17" t="n">
        <v>0.78</v>
      </c>
      <c r="K931" s="26" t="n">
        <v>0.22</v>
      </c>
      <c r="L931" s="3" t="inlineStr">
        <is>
          <t>2028-12-31</t>
        </is>
      </c>
      <c r="M931" s="27" t="n">
        <v>0</v>
      </c>
      <c r="N931" s="27" t="n">
        <v>988</v>
      </c>
      <c r="O931" s="3" t="inlineStr">
        <is>
          <t>confident</t>
        </is>
      </c>
      <c r="P931" s="3" t="inlineStr"/>
      <c r="Q931" s="3" t="inlineStr">
        <is>
          <t>epoch_user_site_equal_split_seed</t>
        </is>
      </c>
      <c r="R931" s="3" t="inlineStr">
        <is>
          <t>SRC_EPOCH_AI_DATA_CENTERS; EPOCH_NORMALIZED_USER_SITES</t>
        </is>
      </c>
      <c r="S931" s="3" t="inlineStr">
        <is>
          <t>Capacity weight is used only to weight accelerator mix, not to overwrite company total power in 02_Inputs.</t>
        </is>
      </c>
    </row>
    <row r="932">
      <c r="A932" s="3" t="inlineStr">
        <is>
          <t>Bull|OpenAI|2028|OpenAI Stargate Michigan</t>
        </is>
      </c>
      <c r="B932" s="3" t="inlineStr">
        <is>
          <t>Bull</t>
        </is>
      </c>
      <c r="C932" s="3" t="inlineStr">
        <is>
          <t>OpenAI</t>
        </is>
      </c>
      <c r="D932" s="3" t="n">
        <v>2028</v>
      </c>
      <c r="E932" s="3" t="inlineStr">
        <is>
          <t>OpenAI Stargate Michigan</t>
        </is>
      </c>
      <c r="F932" s="3" t="inlineStr">
        <is>
          <t>Oracle</t>
        </is>
      </c>
      <c r="G932" s="3" t="inlineStr">
        <is>
          <t>United States</t>
        </is>
      </c>
      <c r="H932" s="25" t="n">
        <v>988</v>
      </c>
      <c r="I932" s="17" t="n">
        <v>1</v>
      </c>
      <c r="J932" s="17" t="n">
        <v>0.745</v>
      </c>
      <c r="K932" s="26" t="n">
        <v>0.255</v>
      </c>
      <c r="L932" s="3" t="inlineStr">
        <is>
          <t>2028-12-31</t>
        </is>
      </c>
      <c r="M932" s="27" t="n">
        <v>0</v>
      </c>
      <c r="N932" s="27" t="n">
        <v>988</v>
      </c>
      <c r="O932" s="3" t="inlineStr">
        <is>
          <t>confident</t>
        </is>
      </c>
      <c r="P932" s="3" t="inlineStr"/>
      <c r="Q932" s="3" t="inlineStr">
        <is>
          <t>epoch_user_site_equal_split_seed</t>
        </is>
      </c>
      <c r="R932" s="3" t="inlineStr">
        <is>
          <t>SRC_EPOCH_AI_DATA_CENTERS; EPOCH_NORMALIZED_USER_SITES</t>
        </is>
      </c>
      <c r="S932" s="3" t="inlineStr">
        <is>
          <t>Capacity weight is used only to weight accelerator mix, not to overwrite company total power in 02_Inputs.</t>
        </is>
      </c>
    </row>
    <row r="933">
      <c r="A933" s="3" t="inlineStr">
        <is>
          <t>Bull|OpenAI|2029|OpenAI Stargate Michigan</t>
        </is>
      </c>
      <c r="B933" s="3" t="inlineStr">
        <is>
          <t>Bull</t>
        </is>
      </c>
      <c r="C933" s="3" t="inlineStr">
        <is>
          <t>OpenAI</t>
        </is>
      </c>
      <c r="D933" s="3" t="n">
        <v>2029</v>
      </c>
      <c r="E933" s="3" t="inlineStr">
        <is>
          <t>OpenAI Stargate Michigan</t>
        </is>
      </c>
      <c r="F933" s="3" t="inlineStr">
        <is>
          <t>Oracle</t>
        </is>
      </c>
      <c r="G933" s="3" t="inlineStr">
        <is>
          <t>United States</t>
        </is>
      </c>
      <c r="H933" s="25" t="n">
        <v>988</v>
      </c>
      <c r="I933" s="17" t="n">
        <v>1</v>
      </c>
      <c r="J933" s="17" t="n">
        <v>0.802</v>
      </c>
      <c r="K933" s="26" t="n">
        <v>0.198</v>
      </c>
      <c r="L933" s="3" t="inlineStr">
        <is>
          <t>2028-12-31</t>
        </is>
      </c>
      <c r="M933" s="27" t="n">
        <v>0</v>
      </c>
      <c r="N933" s="27" t="n">
        <v>988</v>
      </c>
      <c r="O933" s="3" t="inlineStr">
        <is>
          <t>confident</t>
        </is>
      </c>
      <c r="P933" s="3" t="inlineStr"/>
      <c r="Q933" s="3" t="inlineStr">
        <is>
          <t>epoch_user_site_equal_split_seed</t>
        </is>
      </c>
      <c r="R933" s="3" t="inlineStr">
        <is>
          <t>SRC_EPOCH_AI_DATA_CENTERS; EPOCH_NORMALIZED_USER_SITES</t>
        </is>
      </c>
      <c r="S933" s="3" t="inlineStr">
        <is>
          <t>Capacity weight is used only to weight accelerator mix, not to overwrite company total power in 02_Inputs.</t>
        </is>
      </c>
    </row>
    <row r="934">
      <c r="A934" s="3" t="inlineStr">
        <is>
          <t>Bull|OpenAI|2030|OpenAI Stargate Michigan</t>
        </is>
      </c>
      <c r="B934" s="3" t="inlineStr">
        <is>
          <t>Bull</t>
        </is>
      </c>
      <c r="C934" s="3" t="inlineStr">
        <is>
          <t>OpenAI</t>
        </is>
      </c>
      <c r="D934" s="3" t="n">
        <v>2030</v>
      </c>
      <c r="E934" s="3" t="inlineStr">
        <is>
          <t>OpenAI Stargate Michigan</t>
        </is>
      </c>
      <c r="F934" s="3" t="inlineStr">
        <is>
          <t>Oracle</t>
        </is>
      </c>
      <c r="G934" s="3" t="inlineStr">
        <is>
          <t>United States</t>
        </is>
      </c>
      <c r="H934" s="25" t="n">
        <v>988</v>
      </c>
      <c r="I934" s="17" t="n">
        <v>1</v>
      </c>
      <c r="J934" s="17" t="n">
        <v>0.86</v>
      </c>
      <c r="K934" s="26" t="n">
        <v>0.14</v>
      </c>
      <c r="L934" s="3" t="inlineStr">
        <is>
          <t>2028-12-31</t>
        </is>
      </c>
      <c r="M934" s="27" t="n">
        <v>0</v>
      </c>
      <c r="N934" s="27" t="n">
        <v>988</v>
      </c>
      <c r="O934" s="3" t="inlineStr">
        <is>
          <t>confident</t>
        </is>
      </c>
      <c r="P934" s="3" t="inlineStr"/>
      <c r="Q934" s="3" t="inlineStr">
        <is>
          <t>epoch_user_site_equal_split_seed</t>
        </is>
      </c>
      <c r="R934" s="3" t="inlineStr">
        <is>
          <t>SRC_EPOCH_AI_DATA_CENTERS; EPOCH_NORMALIZED_USER_SITES</t>
        </is>
      </c>
      <c r="S934" s="3" t="inlineStr">
        <is>
          <t>Capacity weight is used only to weight accelerator mix, not to overwrite company total power in 02_Inputs.</t>
        </is>
      </c>
    </row>
    <row r="935">
      <c r="A935" s="3" t="inlineStr">
        <is>
          <t>Grid-Constrained / Efficiency-Upside|OpenAI|2028|OpenAI Stargate Michigan</t>
        </is>
      </c>
      <c r="B935" s="3" t="inlineStr">
        <is>
          <t>Grid-Constrained / Efficiency-Upside</t>
        </is>
      </c>
      <c r="C935" s="3" t="inlineStr">
        <is>
          <t>OpenAI</t>
        </is>
      </c>
      <c r="D935" s="3" t="n">
        <v>2028</v>
      </c>
      <c r="E935" s="3" t="inlineStr">
        <is>
          <t>OpenAI Stargate Michigan</t>
        </is>
      </c>
      <c r="F935" s="3" t="inlineStr">
        <is>
          <t>Oracle</t>
        </is>
      </c>
      <c r="G935" s="3" t="inlineStr">
        <is>
          <t>United States</t>
        </is>
      </c>
      <c r="H935" s="25" t="n">
        <v>988</v>
      </c>
      <c r="I935" s="17" t="n">
        <v>1</v>
      </c>
      <c r="J935" s="17" t="n">
        <v>0.71</v>
      </c>
      <c r="K935" s="26" t="n">
        <v>0.29</v>
      </c>
      <c r="L935" s="3" t="inlineStr">
        <is>
          <t>2028-12-31</t>
        </is>
      </c>
      <c r="M935" s="27" t="n">
        <v>0</v>
      </c>
      <c r="N935" s="27" t="n">
        <v>988</v>
      </c>
      <c r="O935" s="3" t="inlineStr">
        <is>
          <t>confident</t>
        </is>
      </c>
      <c r="P935" s="3" t="inlineStr"/>
      <c r="Q935" s="3" t="inlineStr">
        <is>
          <t>epoch_user_site_equal_split_seed</t>
        </is>
      </c>
      <c r="R935" s="3" t="inlineStr">
        <is>
          <t>SRC_EPOCH_AI_DATA_CENTERS; EPOCH_NORMALIZED_USER_SITES</t>
        </is>
      </c>
      <c r="S935" s="3" t="inlineStr">
        <is>
          <t>Capacity weight is used only to weight accelerator mix, not to overwrite company total power in 02_Inputs.</t>
        </is>
      </c>
    </row>
    <row r="936">
      <c r="A936" s="3" t="inlineStr">
        <is>
          <t>Grid-Constrained / Efficiency-Upside|OpenAI|2029|OpenAI Stargate Michigan</t>
        </is>
      </c>
      <c r="B936" s="3" t="inlineStr">
        <is>
          <t>Grid-Constrained / Efficiency-Upside</t>
        </is>
      </c>
      <c r="C936" s="3" t="inlineStr">
        <is>
          <t>OpenAI</t>
        </is>
      </c>
      <c r="D936" s="3" t="n">
        <v>2029</v>
      </c>
      <c r="E936" s="3" t="inlineStr">
        <is>
          <t>OpenAI Stargate Michigan</t>
        </is>
      </c>
      <c r="F936" s="3" t="inlineStr">
        <is>
          <t>Oracle</t>
        </is>
      </c>
      <c r="G936" s="3" t="inlineStr">
        <is>
          <t>United States</t>
        </is>
      </c>
      <c r="H936" s="25" t="n">
        <v>988</v>
      </c>
      <c r="I936" s="17" t="n">
        <v>1</v>
      </c>
      <c r="J936" s="17" t="n">
        <v>0.765</v>
      </c>
      <c r="K936" s="26" t="n">
        <v>0.235</v>
      </c>
      <c r="L936" s="3" t="inlineStr">
        <is>
          <t>2028-12-31</t>
        </is>
      </c>
      <c r="M936" s="27" t="n">
        <v>0</v>
      </c>
      <c r="N936" s="27" t="n">
        <v>988</v>
      </c>
      <c r="O936" s="3" t="inlineStr">
        <is>
          <t>confident</t>
        </is>
      </c>
      <c r="P936" s="3" t="inlineStr"/>
      <c r="Q936" s="3" t="inlineStr">
        <is>
          <t>epoch_user_site_equal_split_seed</t>
        </is>
      </c>
      <c r="R936" s="3" t="inlineStr">
        <is>
          <t>SRC_EPOCH_AI_DATA_CENTERS; EPOCH_NORMALIZED_USER_SITES</t>
        </is>
      </c>
      <c r="S936" s="3" t="inlineStr">
        <is>
          <t>Capacity weight is used only to weight accelerator mix, not to overwrite company total power in 02_Inputs.</t>
        </is>
      </c>
    </row>
    <row r="937">
      <c r="A937" s="3" t="inlineStr">
        <is>
          <t>Grid-Constrained / Efficiency-Upside|OpenAI|2030|OpenAI Stargate Michigan</t>
        </is>
      </c>
      <c r="B937" s="3" t="inlineStr">
        <is>
          <t>Grid-Constrained / Efficiency-Upside</t>
        </is>
      </c>
      <c r="C937" s="3" t="inlineStr">
        <is>
          <t>OpenAI</t>
        </is>
      </c>
      <c r="D937" s="3" t="n">
        <v>2030</v>
      </c>
      <c r="E937" s="3" t="inlineStr">
        <is>
          <t>OpenAI Stargate Michigan</t>
        </is>
      </c>
      <c r="F937" s="3" t="inlineStr">
        <is>
          <t>Oracle</t>
        </is>
      </c>
      <c r="G937" s="3" t="inlineStr">
        <is>
          <t>United States</t>
        </is>
      </c>
      <c r="H937" s="25" t="n">
        <v>988</v>
      </c>
      <c r="I937" s="17" t="n">
        <v>1</v>
      </c>
      <c r="J937" s="17" t="n">
        <v>0.82</v>
      </c>
      <c r="K937" s="26" t="n">
        <v>0.18</v>
      </c>
      <c r="L937" s="3" t="inlineStr">
        <is>
          <t>2028-12-31</t>
        </is>
      </c>
      <c r="M937" s="27" t="n">
        <v>0</v>
      </c>
      <c r="N937" s="27" t="n">
        <v>988</v>
      </c>
      <c r="O937" s="3" t="inlineStr">
        <is>
          <t>confident</t>
        </is>
      </c>
      <c r="P937" s="3" t="inlineStr"/>
      <c r="Q937" s="3" t="inlineStr">
        <is>
          <t>epoch_user_site_equal_split_seed</t>
        </is>
      </c>
      <c r="R937" s="3" t="inlineStr">
        <is>
          <t>SRC_EPOCH_AI_DATA_CENTERS; EPOCH_NORMALIZED_USER_SITES</t>
        </is>
      </c>
      <c r="S937" s="3" t="inlineStr">
        <is>
          <t>Capacity weight is used only to weight accelerator mix, not to overwrite company total power in 02_Inputs.</t>
        </is>
      </c>
    </row>
    <row r="938">
      <c r="A938" s="3" t="inlineStr">
        <is>
          <t>Bear|OpenAI|2028|OpenAI Stargate Milam</t>
        </is>
      </c>
      <c r="B938" s="3" t="inlineStr">
        <is>
          <t>Bear</t>
        </is>
      </c>
      <c r="C938" s="3" t="inlineStr">
        <is>
          <t>OpenAI</t>
        </is>
      </c>
      <c r="D938" s="3" t="n">
        <v>2028</v>
      </c>
      <c r="E938" s="3" t="inlineStr">
        <is>
          <t>OpenAI Stargate Milam</t>
        </is>
      </c>
      <c r="F938" s="3" t="inlineStr">
        <is>
          <t>Softbank</t>
        </is>
      </c>
      <c r="G938" s="3" t="inlineStr">
        <is>
          <t>United States</t>
        </is>
      </c>
      <c r="H938" s="25" t="n">
        <v>857</v>
      </c>
      <c r="I938" s="17" t="n">
        <v>1</v>
      </c>
      <c r="J938" s="17" t="n">
        <v>0.59</v>
      </c>
      <c r="K938" s="26" t="n">
        <v>0.41</v>
      </c>
      <c r="L938" s="3" t="inlineStr">
        <is>
          <t>2028-12-31</t>
        </is>
      </c>
      <c r="M938" s="27" t="n">
        <v>0</v>
      </c>
      <c r="N938" s="27" t="n">
        <v>857</v>
      </c>
      <c r="O938" s="3" t="inlineStr">
        <is>
          <t>confident</t>
        </is>
      </c>
      <c r="P938" s="3" t="inlineStr"/>
      <c r="Q938" s="3" t="inlineStr">
        <is>
          <t>epoch_user_site_equal_split_seed</t>
        </is>
      </c>
      <c r="R938" s="3" t="inlineStr">
        <is>
          <t>SRC_EPOCH_AI_DATA_CENTERS; EPOCH_NORMALIZED_USER_SITES</t>
        </is>
      </c>
      <c r="S938" s="3" t="inlineStr">
        <is>
          <t>Capacity weight is used only to weight accelerator mix, not to overwrite company total power in 02_Inputs.</t>
        </is>
      </c>
    </row>
    <row r="939">
      <c r="A939" s="3" t="inlineStr">
        <is>
          <t>Bear|OpenAI|2029|OpenAI Stargate Milam</t>
        </is>
      </c>
      <c r="B939" s="3" t="inlineStr">
        <is>
          <t>Bear</t>
        </is>
      </c>
      <c r="C939" s="3" t="inlineStr">
        <is>
          <t>OpenAI</t>
        </is>
      </c>
      <c r="D939" s="3" t="n">
        <v>2029</v>
      </c>
      <c r="E939" s="3" t="inlineStr">
        <is>
          <t>OpenAI Stargate Milam</t>
        </is>
      </c>
      <c r="F939" s="3" t="inlineStr">
        <is>
          <t>Softbank</t>
        </is>
      </c>
      <c r="G939" s="3" t="inlineStr">
        <is>
          <t>United States</t>
        </is>
      </c>
      <c r="H939" s="25" t="n">
        <v>857</v>
      </c>
      <c r="I939" s="17" t="n">
        <v>1</v>
      </c>
      <c r="J939" s="17" t="n">
        <v>0.635</v>
      </c>
      <c r="K939" s="26" t="n">
        <v>0.365</v>
      </c>
      <c r="L939" s="3" t="inlineStr">
        <is>
          <t>2028-12-31</t>
        </is>
      </c>
      <c r="M939" s="27" t="n">
        <v>0</v>
      </c>
      <c r="N939" s="27" t="n">
        <v>857</v>
      </c>
      <c r="O939" s="3" t="inlineStr">
        <is>
          <t>confident</t>
        </is>
      </c>
      <c r="P939" s="3" t="inlineStr"/>
      <c r="Q939" s="3" t="inlineStr">
        <is>
          <t>epoch_user_site_equal_split_seed</t>
        </is>
      </c>
      <c r="R939" s="3" t="inlineStr">
        <is>
          <t>SRC_EPOCH_AI_DATA_CENTERS; EPOCH_NORMALIZED_USER_SITES</t>
        </is>
      </c>
      <c r="S939" s="3" t="inlineStr">
        <is>
          <t>Capacity weight is used only to weight accelerator mix, not to overwrite company total power in 02_Inputs.</t>
        </is>
      </c>
    </row>
    <row r="940">
      <c r="A940" s="3" t="inlineStr">
        <is>
          <t>Bear|OpenAI|2030|OpenAI Stargate Milam</t>
        </is>
      </c>
      <c r="B940" s="3" t="inlineStr">
        <is>
          <t>Bear</t>
        </is>
      </c>
      <c r="C940" s="3" t="inlineStr">
        <is>
          <t>OpenAI</t>
        </is>
      </c>
      <c r="D940" s="3" t="n">
        <v>2030</v>
      </c>
      <c r="E940" s="3" t="inlineStr">
        <is>
          <t>OpenAI Stargate Milam</t>
        </is>
      </c>
      <c r="F940" s="3" t="inlineStr">
        <is>
          <t>Softbank</t>
        </is>
      </c>
      <c r="G940" s="3" t="inlineStr">
        <is>
          <t>United States</t>
        </is>
      </c>
      <c r="H940" s="25" t="n">
        <v>857</v>
      </c>
      <c r="I940" s="17" t="n">
        <v>1</v>
      </c>
      <c r="J940" s="17" t="n">
        <v>0.68</v>
      </c>
      <c r="K940" s="26" t="n">
        <v>0.32</v>
      </c>
      <c r="L940" s="3" t="inlineStr">
        <is>
          <t>2028-12-31</t>
        </is>
      </c>
      <c r="M940" s="27" t="n">
        <v>0</v>
      </c>
      <c r="N940" s="27" t="n">
        <v>857</v>
      </c>
      <c r="O940" s="3" t="inlineStr">
        <is>
          <t>confident</t>
        </is>
      </c>
      <c r="P940" s="3" t="inlineStr"/>
      <c r="Q940" s="3" t="inlineStr">
        <is>
          <t>epoch_user_site_equal_split_seed</t>
        </is>
      </c>
      <c r="R940" s="3" t="inlineStr">
        <is>
          <t>SRC_EPOCH_AI_DATA_CENTERS; EPOCH_NORMALIZED_USER_SITES</t>
        </is>
      </c>
      <c r="S940" s="3" t="inlineStr">
        <is>
          <t>Capacity weight is used only to weight accelerator mix, not to overwrite company total power in 02_Inputs.</t>
        </is>
      </c>
    </row>
    <row r="941">
      <c r="A941" s="3" t="inlineStr">
        <is>
          <t>Base|OpenAI|2028|OpenAI Stargate Milam</t>
        </is>
      </c>
      <c r="B941" s="3" t="inlineStr">
        <is>
          <t>Base</t>
        </is>
      </c>
      <c r="C941" s="3" t="inlineStr">
        <is>
          <t>OpenAI</t>
        </is>
      </c>
      <c r="D941" s="3" t="n">
        <v>2028</v>
      </c>
      <c r="E941" s="3" t="inlineStr">
        <is>
          <t>OpenAI Stargate Milam</t>
        </is>
      </c>
      <c r="F941" s="3" t="inlineStr">
        <is>
          <t>Softbank</t>
        </is>
      </c>
      <c r="G941" s="3" t="inlineStr">
        <is>
          <t>United States</t>
        </is>
      </c>
      <c r="H941" s="25" t="n">
        <v>857</v>
      </c>
      <c r="I941" s="17" t="n">
        <v>1</v>
      </c>
      <c r="J941" s="17" t="n">
        <v>0.68</v>
      </c>
      <c r="K941" s="26" t="n">
        <v>0.32</v>
      </c>
      <c r="L941" s="3" t="inlineStr">
        <is>
          <t>2028-12-31</t>
        </is>
      </c>
      <c r="M941" s="27" t="n">
        <v>0</v>
      </c>
      <c r="N941" s="27" t="n">
        <v>857</v>
      </c>
      <c r="O941" s="3" t="inlineStr">
        <is>
          <t>confident</t>
        </is>
      </c>
      <c r="P941" s="3" t="inlineStr"/>
      <c r="Q941" s="3" t="inlineStr">
        <is>
          <t>epoch_user_site_equal_split_seed</t>
        </is>
      </c>
      <c r="R941" s="3" t="inlineStr">
        <is>
          <t>SRC_EPOCH_AI_DATA_CENTERS; EPOCH_NORMALIZED_USER_SITES</t>
        </is>
      </c>
      <c r="S941" s="3" t="inlineStr">
        <is>
          <t>Capacity weight is used only to weight accelerator mix, not to overwrite company total power in 02_Inputs.</t>
        </is>
      </c>
    </row>
    <row r="942">
      <c r="A942" s="3" t="inlineStr">
        <is>
          <t>Base|OpenAI|2029|OpenAI Stargate Milam</t>
        </is>
      </c>
      <c r="B942" s="3" t="inlineStr">
        <is>
          <t>Base</t>
        </is>
      </c>
      <c r="C942" s="3" t="inlineStr">
        <is>
          <t>OpenAI</t>
        </is>
      </c>
      <c r="D942" s="3" t="n">
        <v>2029</v>
      </c>
      <c r="E942" s="3" t="inlineStr">
        <is>
          <t>OpenAI Stargate Milam</t>
        </is>
      </c>
      <c r="F942" s="3" t="inlineStr">
        <is>
          <t>Softbank</t>
        </is>
      </c>
      <c r="G942" s="3" t="inlineStr">
        <is>
          <t>United States</t>
        </is>
      </c>
      <c r="H942" s="25" t="n">
        <v>857</v>
      </c>
      <c r="I942" s="17" t="n">
        <v>1</v>
      </c>
      <c r="J942" s="17" t="n">
        <v>0.73</v>
      </c>
      <c r="K942" s="26" t="n">
        <v>0.27</v>
      </c>
      <c r="L942" s="3" t="inlineStr">
        <is>
          <t>2028-12-31</t>
        </is>
      </c>
      <c r="M942" s="27" t="n">
        <v>0</v>
      </c>
      <c r="N942" s="27" t="n">
        <v>857</v>
      </c>
      <c r="O942" s="3" t="inlineStr">
        <is>
          <t>confident</t>
        </is>
      </c>
      <c r="P942" s="3" t="inlineStr"/>
      <c r="Q942" s="3" t="inlineStr">
        <is>
          <t>epoch_user_site_equal_split_seed</t>
        </is>
      </c>
      <c r="R942" s="3" t="inlineStr">
        <is>
          <t>SRC_EPOCH_AI_DATA_CENTERS; EPOCH_NORMALIZED_USER_SITES</t>
        </is>
      </c>
      <c r="S942" s="3" t="inlineStr">
        <is>
          <t>Capacity weight is used only to weight accelerator mix, not to overwrite company total power in 02_Inputs.</t>
        </is>
      </c>
    </row>
    <row r="943">
      <c r="A943" s="3" t="inlineStr">
        <is>
          <t>Base|OpenAI|2030|OpenAI Stargate Milam</t>
        </is>
      </c>
      <c r="B943" s="3" t="inlineStr">
        <is>
          <t>Base</t>
        </is>
      </c>
      <c r="C943" s="3" t="inlineStr">
        <is>
          <t>OpenAI</t>
        </is>
      </c>
      <c r="D943" s="3" t="n">
        <v>2030</v>
      </c>
      <c r="E943" s="3" t="inlineStr">
        <is>
          <t>OpenAI Stargate Milam</t>
        </is>
      </c>
      <c r="F943" s="3" t="inlineStr">
        <is>
          <t>Softbank</t>
        </is>
      </c>
      <c r="G943" s="3" t="inlineStr">
        <is>
          <t>United States</t>
        </is>
      </c>
      <c r="H943" s="25" t="n">
        <v>857</v>
      </c>
      <c r="I943" s="17" t="n">
        <v>1</v>
      </c>
      <c r="J943" s="17" t="n">
        <v>0.78</v>
      </c>
      <c r="K943" s="26" t="n">
        <v>0.22</v>
      </c>
      <c r="L943" s="3" t="inlineStr">
        <is>
          <t>2028-12-31</t>
        </is>
      </c>
      <c r="M943" s="27" t="n">
        <v>0</v>
      </c>
      <c r="N943" s="27" t="n">
        <v>857</v>
      </c>
      <c r="O943" s="3" t="inlineStr">
        <is>
          <t>confident</t>
        </is>
      </c>
      <c r="P943" s="3" t="inlineStr"/>
      <c r="Q943" s="3" t="inlineStr">
        <is>
          <t>epoch_user_site_equal_split_seed</t>
        </is>
      </c>
      <c r="R943" s="3" t="inlineStr">
        <is>
          <t>SRC_EPOCH_AI_DATA_CENTERS; EPOCH_NORMALIZED_USER_SITES</t>
        </is>
      </c>
      <c r="S943" s="3" t="inlineStr">
        <is>
          <t>Capacity weight is used only to weight accelerator mix, not to overwrite company total power in 02_Inputs.</t>
        </is>
      </c>
    </row>
    <row r="944">
      <c r="A944" s="3" t="inlineStr">
        <is>
          <t>Bull|OpenAI|2028|OpenAI Stargate Milam</t>
        </is>
      </c>
      <c r="B944" s="3" t="inlineStr">
        <is>
          <t>Bull</t>
        </is>
      </c>
      <c r="C944" s="3" t="inlineStr">
        <is>
          <t>OpenAI</t>
        </is>
      </c>
      <c r="D944" s="3" t="n">
        <v>2028</v>
      </c>
      <c r="E944" s="3" t="inlineStr">
        <is>
          <t>OpenAI Stargate Milam</t>
        </is>
      </c>
      <c r="F944" s="3" t="inlineStr">
        <is>
          <t>Softbank</t>
        </is>
      </c>
      <c r="G944" s="3" t="inlineStr">
        <is>
          <t>United States</t>
        </is>
      </c>
      <c r="H944" s="25" t="n">
        <v>857</v>
      </c>
      <c r="I944" s="17" t="n">
        <v>1</v>
      </c>
      <c r="J944" s="17" t="n">
        <v>0.745</v>
      </c>
      <c r="K944" s="26" t="n">
        <v>0.255</v>
      </c>
      <c r="L944" s="3" t="inlineStr">
        <is>
          <t>2028-12-31</t>
        </is>
      </c>
      <c r="M944" s="27" t="n">
        <v>0</v>
      </c>
      <c r="N944" s="27" t="n">
        <v>857</v>
      </c>
      <c r="O944" s="3" t="inlineStr">
        <is>
          <t>confident</t>
        </is>
      </c>
      <c r="P944" s="3" t="inlineStr"/>
      <c r="Q944" s="3" t="inlineStr">
        <is>
          <t>epoch_user_site_equal_split_seed</t>
        </is>
      </c>
      <c r="R944" s="3" t="inlineStr">
        <is>
          <t>SRC_EPOCH_AI_DATA_CENTERS; EPOCH_NORMALIZED_USER_SITES</t>
        </is>
      </c>
      <c r="S944" s="3" t="inlineStr">
        <is>
          <t>Capacity weight is used only to weight accelerator mix, not to overwrite company total power in 02_Inputs.</t>
        </is>
      </c>
    </row>
    <row r="945">
      <c r="A945" s="3" t="inlineStr">
        <is>
          <t>Bull|OpenAI|2029|OpenAI Stargate Milam</t>
        </is>
      </c>
      <c r="B945" s="3" t="inlineStr">
        <is>
          <t>Bull</t>
        </is>
      </c>
      <c r="C945" s="3" t="inlineStr">
        <is>
          <t>OpenAI</t>
        </is>
      </c>
      <c r="D945" s="3" t="n">
        <v>2029</v>
      </c>
      <c r="E945" s="3" t="inlineStr">
        <is>
          <t>OpenAI Stargate Milam</t>
        </is>
      </c>
      <c r="F945" s="3" t="inlineStr">
        <is>
          <t>Softbank</t>
        </is>
      </c>
      <c r="G945" s="3" t="inlineStr">
        <is>
          <t>United States</t>
        </is>
      </c>
      <c r="H945" s="25" t="n">
        <v>857</v>
      </c>
      <c r="I945" s="17" t="n">
        <v>1</v>
      </c>
      <c r="J945" s="17" t="n">
        <v>0.802</v>
      </c>
      <c r="K945" s="26" t="n">
        <v>0.198</v>
      </c>
      <c r="L945" s="3" t="inlineStr">
        <is>
          <t>2028-12-31</t>
        </is>
      </c>
      <c r="M945" s="27" t="n">
        <v>0</v>
      </c>
      <c r="N945" s="27" t="n">
        <v>857</v>
      </c>
      <c r="O945" s="3" t="inlineStr">
        <is>
          <t>confident</t>
        </is>
      </c>
      <c r="P945" s="3" t="inlineStr"/>
      <c r="Q945" s="3" t="inlineStr">
        <is>
          <t>epoch_user_site_equal_split_seed</t>
        </is>
      </c>
      <c r="R945" s="3" t="inlineStr">
        <is>
          <t>SRC_EPOCH_AI_DATA_CENTERS; EPOCH_NORMALIZED_USER_SITES</t>
        </is>
      </c>
      <c r="S945" s="3" t="inlineStr">
        <is>
          <t>Capacity weight is used only to weight accelerator mix, not to overwrite company total power in 02_Inputs.</t>
        </is>
      </c>
    </row>
    <row r="946">
      <c r="A946" s="3" t="inlineStr">
        <is>
          <t>Bull|OpenAI|2030|OpenAI Stargate Milam</t>
        </is>
      </c>
      <c r="B946" s="3" t="inlineStr">
        <is>
          <t>Bull</t>
        </is>
      </c>
      <c r="C946" s="3" t="inlineStr">
        <is>
          <t>OpenAI</t>
        </is>
      </c>
      <c r="D946" s="3" t="n">
        <v>2030</v>
      </c>
      <c r="E946" s="3" t="inlineStr">
        <is>
          <t>OpenAI Stargate Milam</t>
        </is>
      </c>
      <c r="F946" s="3" t="inlineStr">
        <is>
          <t>Softbank</t>
        </is>
      </c>
      <c r="G946" s="3" t="inlineStr">
        <is>
          <t>United States</t>
        </is>
      </c>
      <c r="H946" s="25" t="n">
        <v>857</v>
      </c>
      <c r="I946" s="17" t="n">
        <v>1</v>
      </c>
      <c r="J946" s="17" t="n">
        <v>0.86</v>
      </c>
      <c r="K946" s="26" t="n">
        <v>0.14</v>
      </c>
      <c r="L946" s="3" t="inlineStr">
        <is>
          <t>2028-12-31</t>
        </is>
      </c>
      <c r="M946" s="27" t="n">
        <v>0</v>
      </c>
      <c r="N946" s="27" t="n">
        <v>857</v>
      </c>
      <c r="O946" s="3" t="inlineStr">
        <is>
          <t>confident</t>
        </is>
      </c>
      <c r="P946" s="3" t="inlineStr"/>
      <c r="Q946" s="3" t="inlineStr">
        <is>
          <t>epoch_user_site_equal_split_seed</t>
        </is>
      </c>
      <c r="R946" s="3" t="inlineStr">
        <is>
          <t>SRC_EPOCH_AI_DATA_CENTERS; EPOCH_NORMALIZED_USER_SITES</t>
        </is>
      </c>
      <c r="S946" s="3" t="inlineStr">
        <is>
          <t>Capacity weight is used only to weight accelerator mix, not to overwrite company total power in 02_Inputs.</t>
        </is>
      </c>
    </row>
    <row r="947">
      <c r="A947" s="3" t="inlineStr">
        <is>
          <t>Grid-Constrained / Efficiency-Upside|OpenAI|2028|OpenAI Stargate Milam</t>
        </is>
      </c>
      <c r="B947" s="3" t="inlineStr">
        <is>
          <t>Grid-Constrained / Efficiency-Upside</t>
        </is>
      </c>
      <c r="C947" s="3" t="inlineStr">
        <is>
          <t>OpenAI</t>
        </is>
      </c>
      <c r="D947" s="3" t="n">
        <v>2028</v>
      </c>
      <c r="E947" s="3" t="inlineStr">
        <is>
          <t>OpenAI Stargate Milam</t>
        </is>
      </c>
      <c r="F947" s="3" t="inlineStr">
        <is>
          <t>Softbank</t>
        </is>
      </c>
      <c r="G947" s="3" t="inlineStr">
        <is>
          <t>United States</t>
        </is>
      </c>
      <c r="H947" s="25" t="n">
        <v>857</v>
      </c>
      <c r="I947" s="17" t="n">
        <v>1</v>
      </c>
      <c r="J947" s="17" t="n">
        <v>0.71</v>
      </c>
      <c r="K947" s="26" t="n">
        <v>0.29</v>
      </c>
      <c r="L947" s="3" t="inlineStr">
        <is>
          <t>2028-12-31</t>
        </is>
      </c>
      <c r="M947" s="27" t="n">
        <v>0</v>
      </c>
      <c r="N947" s="27" t="n">
        <v>857</v>
      </c>
      <c r="O947" s="3" t="inlineStr">
        <is>
          <t>confident</t>
        </is>
      </c>
      <c r="P947" s="3" t="inlineStr"/>
      <c r="Q947" s="3" t="inlineStr">
        <is>
          <t>epoch_user_site_equal_split_seed</t>
        </is>
      </c>
      <c r="R947" s="3" t="inlineStr">
        <is>
          <t>SRC_EPOCH_AI_DATA_CENTERS; EPOCH_NORMALIZED_USER_SITES</t>
        </is>
      </c>
      <c r="S947" s="3" t="inlineStr">
        <is>
          <t>Capacity weight is used only to weight accelerator mix, not to overwrite company total power in 02_Inputs.</t>
        </is>
      </c>
    </row>
    <row r="948">
      <c r="A948" s="3" t="inlineStr">
        <is>
          <t>Grid-Constrained / Efficiency-Upside|OpenAI|2029|OpenAI Stargate Milam</t>
        </is>
      </c>
      <c r="B948" s="3" t="inlineStr">
        <is>
          <t>Grid-Constrained / Efficiency-Upside</t>
        </is>
      </c>
      <c r="C948" s="3" t="inlineStr">
        <is>
          <t>OpenAI</t>
        </is>
      </c>
      <c r="D948" s="3" t="n">
        <v>2029</v>
      </c>
      <c r="E948" s="3" t="inlineStr">
        <is>
          <t>OpenAI Stargate Milam</t>
        </is>
      </c>
      <c r="F948" s="3" t="inlineStr">
        <is>
          <t>Softbank</t>
        </is>
      </c>
      <c r="G948" s="3" t="inlineStr">
        <is>
          <t>United States</t>
        </is>
      </c>
      <c r="H948" s="25" t="n">
        <v>857</v>
      </c>
      <c r="I948" s="17" t="n">
        <v>1</v>
      </c>
      <c r="J948" s="17" t="n">
        <v>0.765</v>
      </c>
      <c r="K948" s="26" t="n">
        <v>0.235</v>
      </c>
      <c r="L948" s="3" t="inlineStr">
        <is>
          <t>2028-12-31</t>
        </is>
      </c>
      <c r="M948" s="27" t="n">
        <v>0</v>
      </c>
      <c r="N948" s="27" t="n">
        <v>857</v>
      </c>
      <c r="O948" s="3" t="inlineStr">
        <is>
          <t>confident</t>
        </is>
      </c>
      <c r="P948" s="3" t="inlineStr"/>
      <c r="Q948" s="3" t="inlineStr">
        <is>
          <t>epoch_user_site_equal_split_seed</t>
        </is>
      </c>
      <c r="R948" s="3" t="inlineStr">
        <is>
          <t>SRC_EPOCH_AI_DATA_CENTERS; EPOCH_NORMALIZED_USER_SITES</t>
        </is>
      </c>
      <c r="S948" s="3" t="inlineStr">
        <is>
          <t>Capacity weight is used only to weight accelerator mix, not to overwrite company total power in 02_Inputs.</t>
        </is>
      </c>
    </row>
    <row r="949">
      <c r="A949" s="3" t="inlineStr">
        <is>
          <t>Grid-Constrained / Efficiency-Upside|OpenAI|2030|OpenAI Stargate Milam</t>
        </is>
      </c>
      <c r="B949" s="3" t="inlineStr">
        <is>
          <t>Grid-Constrained / Efficiency-Upside</t>
        </is>
      </c>
      <c r="C949" s="3" t="inlineStr">
        <is>
          <t>OpenAI</t>
        </is>
      </c>
      <c r="D949" s="3" t="n">
        <v>2030</v>
      </c>
      <c r="E949" s="3" t="inlineStr">
        <is>
          <t>OpenAI Stargate Milam</t>
        </is>
      </c>
      <c r="F949" s="3" t="inlineStr">
        <is>
          <t>Softbank</t>
        </is>
      </c>
      <c r="G949" s="3" t="inlineStr">
        <is>
          <t>United States</t>
        </is>
      </c>
      <c r="H949" s="25" t="n">
        <v>857</v>
      </c>
      <c r="I949" s="17" t="n">
        <v>1</v>
      </c>
      <c r="J949" s="17" t="n">
        <v>0.82</v>
      </c>
      <c r="K949" s="26" t="n">
        <v>0.18</v>
      </c>
      <c r="L949" s="3" t="inlineStr">
        <is>
          <t>2028-12-31</t>
        </is>
      </c>
      <c r="M949" s="27" t="n">
        <v>0</v>
      </c>
      <c r="N949" s="27" t="n">
        <v>857</v>
      </c>
      <c r="O949" s="3" t="inlineStr">
        <is>
          <t>confident</t>
        </is>
      </c>
      <c r="P949" s="3" t="inlineStr"/>
      <c r="Q949" s="3" t="inlineStr">
        <is>
          <t>epoch_user_site_equal_split_seed</t>
        </is>
      </c>
      <c r="R949" s="3" t="inlineStr">
        <is>
          <t>SRC_EPOCH_AI_DATA_CENTERS; EPOCH_NORMALIZED_USER_SITES</t>
        </is>
      </c>
      <c r="S949" s="3" t="inlineStr">
        <is>
          <t>Capacity weight is used only to weight accelerator mix, not to overwrite company total power in 02_Inputs.</t>
        </is>
      </c>
    </row>
    <row r="950">
      <c r="A950" s="3" t="inlineStr">
        <is>
          <t>Bear|OpenAI|2028|OpenAI Stargate New Mexico</t>
        </is>
      </c>
      <c r="B950" s="3" t="inlineStr">
        <is>
          <t>Bear</t>
        </is>
      </c>
      <c r="C950" s="3" t="inlineStr">
        <is>
          <t>OpenAI</t>
        </is>
      </c>
      <c r="D950" s="3" t="n">
        <v>2028</v>
      </c>
      <c r="E950" s="3" t="inlineStr">
        <is>
          <t>OpenAI Stargate New Mexico</t>
        </is>
      </c>
      <c r="F950" s="3" t="inlineStr">
        <is>
          <t>Oracle</t>
        </is>
      </c>
      <c r="G950" s="3" t="inlineStr">
        <is>
          <t>United States</t>
        </is>
      </c>
      <c r="H950" s="25" t="n">
        <v>1578</v>
      </c>
      <c r="I950" s="17" t="n">
        <v>1</v>
      </c>
      <c r="J950" s="17" t="n">
        <v>0.59</v>
      </c>
      <c r="K950" s="26" t="n">
        <v>0.41</v>
      </c>
      <c r="L950" s="3" t="inlineStr">
        <is>
          <t>2028-12-31</t>
        </is>
      </c>
      <c r="M950" s="27" t="n">
        <v>0</v>
      </c>
      <c r="N950" s="27" t="n">
        <v>1578</v>
      </c>
      <c r="O950" s="3" t="inlineStr">
        <is>
          <t>confident</t>
        </is>
      </c>
      <c r="P950" s="3" t="inlineStr"/>
      <c r="Q950" s="3" t="inlineStr">
        <is>
          <t>epoch_user_site_equal_split_seed</t>
        </is>
      </c>
      <c r="R950" s="3" t="inlineStr">
        <is>
          <t>SRC_EPOCH_AI_DATA_CENTERS; EPOCH_NORMALIZED_USER_SITES</t>
        </is>
      </c>
      <c r="S950" s="3" t="inlineStr">
        <is>
          <t>Capacity weight is used only to weight accelerator mix, not to overwrite company total power in 02_Inputs.</t>
        </is>
      </c>
    </row>
    <row r="951">
      <c r="A951" s="3" t="inlineStr">
        <is>
          <t>Bear|OpenAI|2029|OpenAI Stargate New Mexico</t>
        </is>
      </c>
      <c r="B951" s="3" t="inlineStr">
        <is>
          <t>Bear</t>
        </is>
      </c>
      <c r="C951" s="3" t="inlineStr">
        <is>
          <t>OpenAI</t>
        </is>
      </c>
      <c r="D951" s="3" t="n">
        <v>2029</v>
      </c>
      <c r="E951" s="3" t="inlineStr">
        <is>
          <t>OpenAI Stargate New Mexico</t>
        </is>
      </c>
      <c r="F951" s="3" t="inlineStr">
        <is>
          <t>Oracle</t>
        </is>
      </c>
      <c r="G951" s="3" t="inlineStr">
        <is>
          <t>United States</t>
        </is>
      </c>
      <c r="H951" s="25" t="n">
        <v>1578</v>
      </c>
      <c r="I951" s="17" t="n">
        <v>1</v>
      </c>
      <c r="J951" s="17" t="n">
        <v>0.635</v>
      </c>
      <c r="K951" s="26" t="n">
        <v>0.365</v>
      </c>
      <c r="L951" s="3" t="inlineStr">
        <is>
          <t>2028-12-31</t>
        </is>
      </c>
      <c r="M951" s="27" t="n">
        <v>0</v>
      </c>
      <c r="N951" s="27" t="n">
        <v>1578</v>
      </c>
      <c r="O951" s="3" t="inlineStr">
        <is>
          <t>confident</t>
        </is>
      </c>
      <c r="P951" s="3" t="inlineStr"/>
      <c r="Q951" s="3" t="inlineStr">
        <is>
          <t>epoch_user_site_equal_split_seed</t>
        </is>
      </c>
      <c r="R951" s="3" t="inlineStr">
        <is>
          <t>SRC_EPOCH_AI_DATA_CENTERS; EPOCH_NORMALIZED_USER_SITES</t>
        </is>
      </c>
      <c r="S951" s="3" t="inlineStr">
        <is>
          <t>Capacity weight is used only to weight accelerator mix, not to overwrite company total power in 02_Inputs.</t>
        </is>
      </c>
    </row>
    <row r="952">
      <c r="A952" s="3" t="inlineStr">
        <is>
          <t>Bear|OpenAI|2030|OpenAI Stargate New Mexico</t>
        </is>
      </c>
      <c r="B952" s="3" t="inlineStr">
        <is>
          <t>Bear</t>
        </is>
      </c>
      <c r="C952" s="3" t="inlineStr">
        <is>
          <t>OpenAI</t>
        </is>
      </c>
      <c r="D952" s="3" t="n">
        <v>2030</v>
      </c>
      <c r="E952" s="3" t="inlineStr">
        <is>
          <t>OpenAI Stargate New Mexico</t>
        </is>
      </c>
      <c r="F952" s="3" t="inlineStr">
        <is>
          <t>Oracle</t>
        </is>
      </c>
      <c r="G952" s="3" t="inlineStr">
        <is>
          <t>United States</t>
        </is>
      </c>
      <c r="H952" s="25" t="n">
        <v>1578</v>
      </c>
      <c r="I952" s="17" t="n">
        <v>1</v>
      </c>
      <c r="J952" s="17" t="n">
        <v>0.68</v>
      </c>
      <c r="K952" s="26" t="n">
        <v>0.32</v>
      </c>
      <c r="L952" s="3" t="inlineStr">
        <is>
          <t>2028-12-31</t>
        </is>
      </c>
      <c r="M952" s="27" t="n">
        <v>0</v>
      </c>
      <c r="N952" s="27" t="n">
        <v>1578</v>
      </c>
      <c r="O952" s="3" t="inlineStr">
        <is>
          <t>confident</t>
        </is>
      </c>
      <c r="P952" s="3" t="inlineStr"/>
      <c r="Q952" s="3" t="inlineStr">
        <is>
          <t>epoch_user_site_equal_split_seed</t>
        </is>
      </c>
      <c r="R952" s="3" t="inlineStr">
        <is>
          <t>SRC_EPOCH_AI_DATA_CENTERS; EPOCH_NORMALIZED_USER_SITES</t>
        </is>
      </c>
      <c r="S952" s="3" t="inlineStr">
        <is>
          <t>Capacity weight is used only to weight accelerator mix, not to overwrite company total power in 02_Inputs.</t>
        </is>
      </c>
    </row>
    <row r="953">
      <c r="A953" s="3" t="inlineStr">
        <is>
          <t>Base|OpenAI|2028|OpenAI Stargate New Mexico</t>
        </is>
      </c>
      <c r="B953" s="3" t="inlineStr">
        <is>
          <t>Base</t>
        </is>
      </c>
      <c r="C953" s="3" t="inlineStr">
        <is>
          <t>OpenAI</t>
        </is>
      </c>
      <c r="D953" s="3" t="n">
        <v>2028</v>
      </c>
      <c r="E953" s="3" t="inlineStr">
        <is>
          <t>OpenAI Stargate New Mexico</t>
        </is>
      </c>
      <c r="F953" s="3" t="inlineStr">
        <is>
          <t>Oracle</t>
        </is>
      </c>
      <c r="G953" s="3" t="inlineStr">
        <is>
          <t>United States</t>
        </is>
      </c>
      <c r="H953" s="25" t="n">
        <v>1578</v>
      </c>
      <c r="I953" s="17" t="n">
        <v>1</v>
      </c>
      <c r="J953" s="17" t="n">
        <v>0.68</v>
      </c>
      <c r="K953" s="26" t="n">
        <v>0.32</v>
      </c>
      <c r="L953" s="3" t="inlineStr">
        <is>
          <t>2028-12-31</t>
        </is>
      </c>
      <c r="M953" s="27" t="n">
        <v>0</v>
      </c>
      <c r="N953" s="27" t="n">
        <v>1578</v>
      </c>
      <c r="O953" s="3" t="inlineStr">
        <is>
          <t>confident</t>
        </is>
      </c>
      <c r="P953" s="3" t="inlineStr"/>
      <c r="Q953" s="3" t="inlineStr">
        <is>
          <t>epoch_user_site_equal_split_seed</t>
        </is>
      </c>
      <c r="R953" s="3" t="inlineStr">
        <is>
          <t>SRC_EPOCH_AI_DATA_CENTERS; EPOCH_NORMALIZED_USER_SITES</t>
        </is>
      </c>
      <c r="S953" s="3" t="inlineStr">
        <is>
          <t>Capacity weight is used only to weight accelerator mix, not to overwrite company total power in 02_Inputs.</t>
        </is>
      </c>
    </row>
    <row r="954">
      <c r="A954" s="3" t="inlineStr">
        <is>
          <t>Base|OpenAI|2029|OpenAI Stargate New Mexico</t>
        </is>
      </c>
      <c r="B954" s="3" t="inlineStr">
        <is>
          <t>Base</t>
        </is>
      </c>
      <c r="C954" s="3" t="inlineStr">
        <is>
          <t>OpenAI</t>
        </is>
      </c>
      <c r="D954" s="3" t="n">
        <v>2029</v>
      </c>
      <c r="E954" s="3" t="inlineStr">
        <is>
          <t>OpenAI Stargate New Mexico</t>
        </is>
      </c>
      <c r="F954" s="3" t="inlineStr">
        <is>
          <t>Oracle</t>
        </is>
      </c>
      <c r="G954" s="3" t="inlineStr">
        <is>
          <t>United States</t>
        </is>
      </c>
      <c r="H954" s="25" t="n">
        <v>1578</v>
      </c>
      <c r="I954" s="17" t="n">
        <v>1</v>
      </c>
      <c r="J954" s="17" t="n">
        <v>0.73</v>
      </c>
      <c r="K954" s="26" t="n">
        <v>0.27</v>
      </c>
      <c r="L954" s="3" t="inlineStr">
        <is>
          <t>2028-12-31</t>
        </is>
      </c>
      <c r="M954" s="27" t="n">
        <v>0</v>
      </c>
      <c r="N954" s="27" t="n">
        <v>1578</v>
      </c>
      <c r="O954" s="3" t="inlineStr">
        <is>
          <t>confident</t>
        </is>
      </c>
      <c r="P954" s="3" t="inlineStr"/>
      <c r="Q954" s="3" t="inlineStr">
        <is>
          <t>epoch_user_site_equal_split_seed</t>
        </is>
      </c>
      <c r="R954" s="3" t="inlineStr">
        <is>
          <t>SRC_EPOCH_AI_DATA_CENTERS; EPOCH_NORMALIZED_USER_SITES</t>
        </is>
      </c>
      <c r="S954" s="3" t="inlineStr">
        <is>
          <t>Capacity weight is used only to weight accelerator mix, not to overwrite company total power in 02_Inputs.</t>
        </is>
      </c>
    </row>
    <row r="955">
      <c r="A955" s="3" t="inlineStr">
        <is>
          <t>Base|OpenAI|2030|OpenAI Stargate New Mexico</t>
        </is>
      </c>
      <c r="B955" s="3" t="inlineStr">
        <is>
          <t>Base</t>
        </is>
      </c>
      <c r="C955" s="3" t="inlineStr">
        <is>
          <t>OpenAI</t>
        </is>
      </c>
      <c r="D955" s="3" t="n">
        <v>2030</v>
      </c>
      <c r="E955" s="3" t="inlineStr">
        <is>
          <t>OpenAI Stargate New Mexico</t>
        </is>
      </c>
      <c r="F955" s="3" t="inlineStr">
        <is>
          <t>Oracle</t>
        </is>
      </c>
      <c r="G955" s="3" t="inlineStr">
        <is>
          <t>United States</t>
        </is>
      </c>
      <c r="H955" s="25" t="n">
        <v>1578</v>
      </c>
      <c r="I955" s="17" t="n">
        <v>1</v>
      </c>
      <c r="J955" s="17" t="n">
        <v>0.78</v>
      </c>
      <c r="K955" s="26" t="n">
        <v>0.22</v>
      </c>
      <c r="L955" s="3" t="inlineStr">
        <is>
          <t>2028-12-31</t>
        </is>
      </c>
      <c r="M955" s="27" t="n">
        <v>0</v>
      </c>
      <c r="N955" s="27" t="n">
        <v>1578</v>
      </c>
      <c r="O955" s="3" t="inlineStr">
        <is>
          <t>confident</t>
        </is>
      </c>
      <c r="P955" s="3" t="inlineStr"/>
      <c r="Q955" s="3" t="inlineStr">
        <is>
          <t>epoch_user_site_equal_split_seed</t>
        </is>
      </c>
      <c r="R955" s="3" t="inlineStr">
        <is>
          <t>SRC_EPOCH_AI_DATA_CENTERS; EPOCH_NORMALIZED_USER_SITES</t>
        </is>
      </c>
      <c r="S955" s="3" t="inlineStr">
        <is>
          <t>Capacity weight is used only to weight accelerator mix, not to overwrite company total power in 02_Inputs.</t>
        </is>
      </c>
    </row>
    <row r="956">
      <c r="A956" s="3" t="inlineStr">
        <is>
          <t>Bull|OpenAI|2028|OpenAI Stargate New Mexico</t>
        </is>
      </c>
      <c r="B956" s="3" t="inlineStr">
        <is>
          <t>Bull</t>
        </is>
      </c>
      <c r="C956" s="3" t="inlineStr">
        <is>
          <t>OpenAI</t>
        </is>
      </c>
      <c r="D956" s="3" t="n">
        <v>2028</v>
      </c>
      <c r="E956" s="3" t="inlineStr">
        <is>
          <t>OpenAI Stargate New Mexico</t>
        </is>
      </c>
      <c r="F956" s="3" t="inlineStr">
        <is>
          <t>Oracle</t>
        </is>
      </c>
      <c r="G956" s="3" t="inlineStr">
        <is>
          <t>United States</t>
        </is>
      </c>
      <c r="H956" s="25" t="n">
        <v>1578</v>
      </c>
      <c r="I956" s="17" t="n">
        <v>1</v>
      </c>
      <c r="J956" s="17" t="n">
        <v>0.745</v>
      </c>
      <c r="K956" s="26" t="n">
        <v>0.255</v>
      </c>
      <c r="L956" s="3" t="inlineStr">
        <is>
          <t>2028-12-31</t>
        </is>
      </c>
      <c r="M956" s="27" t="n">
        <v>0</v>
      </c>
      <c r="N956" s="27" t="n">
        <v>1578</v>
      </c>
      <c r="O956" s="3" t="inlineStr">
        <is>
          <t>confident</t>
        </is>
      </c>
      <c r="P956" s="3" t="inlineStr"/>
      <c r="Q956" s="3" t="inlineStr">
        <is>
          <t>epoch_user_site_equal_split_seed</t>
        </is>
      </c>
      <c r="R956" s="3" t="inlineStr">
        <is>
          <t>SRC_EPOCH_AI_DATA_CENTERS; EPOCH_NORMALIZED_USER_SITES</t>
        </is>
      </c>
      <c r="S956" s="3" t="inlineStr">
        <is>
          <t>Capacity weight is used only to weight accelerator mix, not to overwrite company total power in 02_Inputs.</t>
        </is>
      </c>
    </row>
    <row r="957">
      <c r="A957" s="3" t="inlineStr">
        <is>
          <t>Bull|OpenAI|2029|OpenAI Stargate New Mexico</t>
        </is>
      </c>
      <c r="B957" s="3" t="inlineStr">
        <is>
          <t>Bull</t>
        </is>
      </c>
      <c r="C957" s="3" t="inlineStr">
        <is>
          <t>OpenAI</t>
        </is>
      </c>
      <c r="D957" s="3" t="n">
        <v>2029</v>
      </c>
      <c r="E957" s="3" t="inlineStr">
        <is>
          <t>OpenAI Stargate New Mexico</t>
        </is>
      </c>
      <c r="F957" s="3" t="inlineStr">
        <is>
          <t>Oracle</t>
        </is>
      </c>
      <c r="G957" s="3" t="inlineStr">
        <is>
          <t>United States</t>
        </is>
      </c>
      <c r="H957" s="25" t="n">
        <v>1578</v>
      </c>
      <c r="I957" s="17" t="n">
        <v>1</v>
      </c>
      <c r="J957" s="17" t="n">
        <v>0.802</v>
      </c>
      <c r="K957" s="26" t="n">
        <v>0.198</v>
      </c>
      <c r="L957" s="3" t="inlineStr">
        <is>
          <t>2028-12-31</t>
        </is>
      </c>
      <c r="M957" s="27" t="n">
        <v>0</v>
      </c>
      <c r="N957" s="27" t="n">
        <v>1578</v>
      </c>
      <c r="O957" s="3" t="inlineStr">
        <is>
          <t>confident</t>
        </is>
      </c>
      <c r="P957" s="3" t="inlineStr"/>
      <c r="Q957" s="3" t="inlineStr">
        <is>
          <t>epoch_user_site_equal_split_seed</t>
        </is>
      </c>
      <c r="R957" s="3" t="inlineStr">
        <is>
          <t>SRC_EPOCH_AI_DATA_CENTERS; EPOCH_NORMALIZED_USER_SITES</t>
        </is>
      </c>
      <c r="S957" s="3" t="inlineStr">
        <is>
          <t>Capacity weight is used only to weight accelerator mix, not to overwrite company total power in 02_Inputs.</t>
        </is>
      </c>
    </row>
    <row r="958">
      <c r="A958" s="3" t="inlineStr">
        <is>
          <t>Bull|OpenAI|2030|OpenAI Stargate New Mexico</t>
        </is>
      </c>
      <c r="B958" s="3" t="inlineStr">
        <is>
          <t>Bull</t>
        </is>
      </c>
      <c r="C958" s="3" t="inlineStr">
        <is>
          <t>OpenAI</t>
        </is>
      </c>
      <c r="D958" s="3" t="n">
        <v>2030</v>
      </c>
      <c r="E958" s="3" t="inlineStr">
        <is>
          <t>OpenAI Stargate New Mexico</t>
        </is>
      </c>
      <c r="F958" s="3" t="inlineStr">
        <is>
          <t>Oracle</t>
        </is>
      </c>
      <c r="G958" s="3" t="inlineStr">
        <is>
          <t>United States</t>
        </is>
      </c>
      <c r="H958" s="25" t="n">
        <v>1578</v>
      </c>
      <c r="I958" s="17" t="n">
        <v>1</v>
      </c>
      <c r="J958" s="17" t="n">
        <v>0.86</v>
      </c>
      <c r="K958" s="26" t="n">
        <v>0.14</v>
      </c>
      <c r="L958" s="3" t="inlineStr">
        <is>
          <t>2028-12-31</t>
        </is>
      </c>
      <c r="M958" s="27" t="n">
        <v>0</v>
      </c>
      <c r="N958" s="27" t="n">
        <v>1578</v>
      </c>
      <c r="O958" s="3" t="inlineStr">
        <is>
          <t>confident</t>
        </is>
      </c>
      <c r="P958" s="3" t="inlineStr"/>
      <c r="Q958" s="3" t="inlineStr">
        <is>
          <t>epoch_user_site_equal_split_seed</t>
        </is>
      </c>
      <c r="R958" s="3" t="inlineStr">
        <is>
          <t>SRC_EPOCH_AI_DATA_CENTERS; EPOCH_NORMALIZED_USER_SITES</t>
        </is>
      </c>
      <c r="S958" s="3" t="inlineStr">
        <is>
          <t>Capacity weight is used only to weight accelerator mix, not to overwrite company total power in 02_Inputs.</t>
        </is>
      </c>
    </row>
    <row r="959">
      <c r="A959" s="3" t="inlineStr">
        <is>
          <t>Grid-Constrained / Efficiency-Upside|OpenAI|2028|OpenAI Stargate New Mexico</t>
        </is>
      </c>
      <c r="B959" s="3" t="inlineStr">
        <is>
          <t>Grid-Constrained / Efficiency-Upside</t>
        </is>
      </c>
      <c r="C959" s="3" t="inlineStr">
        <is>
          <t>OpenAI</t>
        </is>
      </c>
      <c r="D959" s="3" t="n">
        <v>2028</v>
      </c>
      <c r="E959" s="3" t="inlineStr">
        <is>
          <t>OpenAI Stargate New Mexico</t>
        </is>
      </c>
      <c r="F959" s="3" t="inlineStr">
        <is>
          <t>Oracle</t>
        </is>
      </c>
      <c r="G959" s="3" t="inlineStr">
        <is>
          <t>United States</t>
        </is>
      </c>
      <c r="H959" s="25" t="n">
        <v>1578</v>
      </c>
      <c r="I959" s="17" t="n">
        <v>1</v>
      </c>
      <c r="J959" s="17" t="n">
        <v>0.71</v>
      </c>
      <c r="K959" s="26" t="n">
        <v>0.29</v>
      </c>
      <c r="L959" s="3" t="inlineStr">
        <is>
          <t>2028-12-31</t>
        </is>
      </c>
      <c r="M959" s="27" t="n">
        <v>0</v>
      </c>
      <c r="N959" s="27" t="n">
        <v>1578</v>
      </c>
      <c r="O959" s="3" t="inlineStr">
        <is>
          <t>confident</t>
        </is>
      </c>
      <c r="P959" s="3" t="inlineStr"/>
      <c r="Q959" s="3" t="inlineStr">
        <is>
          <t>epoch_user_site_equal_split_seed</t>
        </is>
      </c>
      <c r="R959" s="3" t="inlineStr">
        <is>
          <t>SRC_EPOCH_AI_DATA_CENTERS; EPOCH_NORMALIZED_USER_SITES</t>
        </is>
      </c>
      <c r="S959" s="3" t="inlineStr">
        <is>
          <t>Capacity weight is used only to weight accelerator mix, not to overwrite company total power in 02_Inputs.</t>
        </is>
      </c>
    </row>
    <row r="960">
      <c r="A960" s="3" t="inlineStr">
        <is>
          <t>Grid-Constrained / Efficiency-Upside|OpenAI|2029|OpenAI Stargate New Mexico</t>
        </is>
      </c>
      <c r="B960" s="3" t="inlineStr">
        <is>
          <t>Grid-Constrained / Efficiency-Upside</t>
        </is>
      </c>
      <c r="C960" s="3" t="inlineStr">
        <is>
          <t>OpenAI</t>
        </is>
      </c>
      <c r="D960" s="3" t="n">
        <v>2029</v>
      </c>
      <c r="E960" s="3" t="inlineStr">
        <is>
          <t>OpenAI Stargate New Mexico</t>
        </is>
      </c>
      <c r="F960" s="3" t="inlineStr">
        <is>
          <t>Oracle</t>
        </is>
      </c>
      <c r="G960" s="3" t="inlineStr">
        <is>
          <t>United States</t>
        </is>
      </c>
      <c r="H960" s="25" t="n">
        <v>1578</v>
      </c>
      <c r="I960" s="17" t="n">
        <v>1</v>
      </c>
      <c r="J960" s="17" t="n">
        <v>0.765</v>
      </c>
      <c r="K960" s="26" t="n">
        <v>0.235</v>
      </c>
      <c r="L960" s="3" t="inlineStr">
        <is>
          <t>2028-12-31</t>
        </is>
      </c>
      <c r="M960" s="27" t="n">
        <v>0</v>
      </c>
      <c r="N960" s="27" t="n">
        <v>1578</v>
      </c>
      <c r="O960" s="3" t="inlineStr">
        <is>
          <t>confident</t>
        </is>
      </c>
      <c r="P960" s="3" t="inlineStr"/>
      <c r="Q960" s="3" t="inlineStr">
        <is>
          <t>epoch_user_site_equal_split_seed</t>
        </is>
      </c>
      <c r="R960" s="3" t="inlineStr">
        <is>
          <t>SRC_EPOCH_AI_DATA_CENTERS; EPOCH_NORMALIZED_USER_SITES</t>
        </is>
      </c>
      <c r="S960" s="3" t="inlineStr">
        <is>
          <t>Capacity weight is used only to weight accelerator mix, not to overwrite company total power in 02_Inputs.</t>
        </is>
      </c>
    </row>
    <row r="961">
      <c r="A961" s="3" t="inlineStr">
        <is>
          <t>Grid-Constrained / Efficiency-Upside|OpenAI|2030|OpenAI Stargate New Mexico</t>
        </is>
      </c>
      <c r="B961" s="3" t="inlineStr">
        <is>
          <t>Grid-Constrained / Efficiency-Upside</t>
        </is>
      </c>
      <c r="C961" s="3" t="inlineStr">
        <is>
          <t>OpenAI</t>
        </is>
      </c>
      <c r="D961" s="3" t="n">
        <v>2030</v>
      </c>
      <c r="E961" s="3" t="inlineStr">
        <is>
          <t>OpenAI Stargate New Mexico</t>
        </is>
      </c>
      <c r="F961" s="3" t="inlineStr">
        <is>
          <t>Oracle</t>
        </is>
      </c>
      <c r="G961" s="3" t="inlineStr">
        <is>
          <t>United States</t>
        </is>
      </c>
      <c r="H961" s="25" t="n">
        <v>1578</v>
      </c>
      <c r="I961" s="17" t="n">
        <v>1</v>
      </c>
      <c r="J961" s="17" t="n">
        <v>0.82</v>
      </c>
      <c r="K961" s="26" t="n">
        <v>0.18</v>
      </c>
      <c r="L961" s="3" t="inlineStr">
        <is>
          <t>2028-12-31</t>
        </is>
      </c>
      <c r="M961" s="27" t="n">
        <v>0</v>
      </c>
      <c r="N961" s="27" t="n">
        <v>1578</v>
      </c>
      <c r="O961" s="3" t="inlineStr">
        <is>
          <t>confident</t>
        </is>
      </c>
      <c r="P961" s="3" t="inlineStr"/>
      <c r="Q961" s="3" t="inlineStr">
        <is>
          <t>epoch_user_site_equal_split_seed</t>
        </is>
      </c>
      <c r="R961" s="3" t="inlineStr">
        <is>
          <t>SRC_EPOCH_AI_DATA_CENTERS; EPOCH_NORMALIZED_USER_SITES</t>
        </is>
      </c>
      <c r="S961" s="3" t="inlineStr">
        <is>
          <t>Capacity weight is used only to weight accelerator mix, not to overwrite company total power in 02_Inputs.</t>
        </is>
      </c>
    </row>
    <row r="962">
      <c r="A962" s="3" t="inlineStr">
        <is>
          <t>Bear|OpenAI|2028|OpenAI Stargate Shackelford</t>
        </is>
      </c>
      <c r="B962" s="3" t="inlineStr">
        <is>
          <t>Bear</t>
        </is>
      </c>
      <c r="C962" s="3" t="inlineStr">
        <is>
          <t>OpenAI</t>
        </is>
      </c>
      <c r="D962" s="3" t="n">
        <v>2028</v>
      </c>
      <c r="E962" s="3" t="inlineStr">
        <is>
          <t>OpenAI Stargate Shackelford</t>
        </is>
      </c>
      <c r="F962" s="3" t="inlineStr">
        <is>
          <t>Oracle</t>
        </is>
      </c>
      <c r="G962" s="3" t="inlineStr">
        <is>
          <t>United States</t>
        </is>
      </c>
      <c r="H962" s="25" t="n">
        <v>1400</v>
      </c>
      <c r="I962" s="17" t="n">
        <v>1</v>
      </c>
      <c r="J962" s="17" t="n">
        <v>0.59</v>
      </c>
      <c r="K962" s="26" t="n">
        <v>0.41</v>
      </c>
      <c r="L962" s="3" t="inlineStr">
        <is>
          <t>2028-11-11</t>
        </is>
      </c>
      <c r="M962" s="27" t="n">
        <v>0</v>
      </c>
      <c r="N962" s="27" t="n">
        <v>1400</v>
      </c>
      <c r="O962" s="3" t="inlineStr">
        <is>
          <t>confident</t>
        </is>
      </c>
      <c r="P962" s="3" t="inlineStr">
        <is>
          <t>R200,R300</t>
        </is>
      </c>
      <c r="Q962" s="3" t="inlineStr">
        <is>
          <t>epoch_user_site_equal_split_seed</t>
        </is>
      </c>
      <c r="R962" s="3" t="inlineStr">
        <is>
          <t>SRC_EPOCH_AI_DATA_CENTERS; EPOCH_NORMALIZED_USER_SITES</t>
        </is>
      </c>
      <c r="S962" s="3" t="inlineStr">
        <is>
          <t>Capacity weight is used only to weight accelerator mix, not to overwrite company total power in 02_Inputs.</t>
        </is>
      </c>
    </row>
    <row r="963">
      <c r="A963" s="3" t="inlineStr">
        <is>
          <t>Bear|OpenAI|2029|OpenAI Stargate Shackelford</t>
        </is>
      </c>
      <c r="B963" s="3" t="inlineStr">
        <is>
          <t>Bear</t>
        </is>
      </c>
      <c r="C963" s="3" t="inlineStr">
        <is>
          <t>OpenAI</t>
        </is>
      </c>
      <c r="D963" s="3" t="n">
        <v>2029</v>
      </c>
      <c r="E963" s="3" t="inlineStr">
        <is>
          <t>OpenAI Stargate Shackelford</t>
        </is>
      </c>
      <c r="F963" s="3" t="inlineStr">
        <is>
          <t>Oracle</t>
        </is>
      </c>
      <c r="G963" s="3" t="inlineStr">
        <is>
          <t>United States</t>
        </is>
      </c>
      <c r="H963" s="25" t="n">
        <v>1400</v>
      </c>
      <c r="I963" s="17" t="n">
        <v>1</v>
      </c>
      <c r="J963" s="17" t="n">
        <v>0.635</v>
      </c>
      <c r="K963" s="26" t="n">
        <v>0.365</v>
      </c>
      <c r="L963" s="3" t="inlineStr">
        <is>
          <t>2028-11-11</t>
        </is>
      </c>
      <c r="M963" s="27" t="n">
        <v>0</v>
      </c>
      <c r="N963" s="27" t="n">
        <v>1400</v>
      </c>
      <c r="O963" s="3" t="inlineStr">
        <is>
          <t>confident</t>
        </is>
      </c>
      <c r="P963" s="3" t="inlineStr">
        <is>
          <t>R200,R300</t>
        </is>
      </c>
      <c r="Q963" s="3" t="inlineStr">
        <is>
          <t>epoch_user_site_equal_split_seed</t>
        </is>
      </c>
      <c r="R963" s="3" t="inlineStr">
        <is>
          <t>SRC_EPOCH_AI_DATA_CENTERS; EPOCH_NORMALIZED_USER_SITES</t>
        </is>
      </c>
      <c r="S963" s="3" t="inlineStr">
        <is>
          <t>Capacity weight is used only to weight accelerator mix, not to overwrite company total power in 02_Inputs.</t>
        </is>
      </c>
    </row>
    <row r="964">
      <c r="A964" s="3" t="inlineStr">
        <is>
          <t>Bear|OpenAI|2030|OpenAI Stargate Shackelford</t>
        </is>
      </c>
      <c r="B964" s="3" t="inlineStr">
        <is>
          <t>Bear</t>
        </is>
      </c>
      <c r="C964" s="3" t="inlineStr">
        <is>
          <t>OpenAI</t>
        </is>
      </c>
      <c r="D964" s="3" t="n">
        <v>2030</v>
      </c>
      <c r="E964" s="3" t="inlineStr">
        <is>
          <t>OpenAI Stargate Shackelford</t>
        </is>
      </c>
      <c r="F964" s="3" t="inlineStr">
        <is>
          <t>Oracle</t>
        </is>
      </c>
      <c r="G964" s="3" t="inlineStr">
        <is>
          <t>United States</t>
        </is>
      </c>
      <c r="H964" s="25" t="n">
        <v>1400</v>
      </c>
      <c r="I964" s="17" t="n">
        <v>1</v>
      </c>
      <c r="J964" s="17" t="n">
        <v>0.68</v>
      </c>
      <c r="K964" s="26" t="n">
        <v>0.32</v>
      </c>
      <c r="L964" s="3" t="inlineStr">
        <is>
          <t>2028-11-11</t>
        </is>
      </c>
      <c r="M964" s="27" t="n">
        <v>0</v>
      </c>
      <c r="N964" s="27" t="n">
        <v>1400</v>
      </c>
      <c r="O964" s="3" t="inlineStr">
        <is>
          <t>confident</t>
        </is>
      </c>
      <c r="P964" s="3" t="inlineStr">
        <is>
          <t>R200,R300</t>
        </is>
      </c>
      <c r="Q964" s="3" t="inlineStr">
        <is>
          <t>epoch_user_site_equal_split_seed</t>
        </is>
      </c>
      <c r="R964" s="3" t="inlineStr">
        <is>
          <t>SRC_EPOCH_AI_DATA_CENTERS; EPOCH_NORMALIZED_USER_SITES</t>
        </is>
      </c>
      <c r="S964" s="3" t="inlineStr">
        <is>
          <t>Capacity weight is used only to weight accelerator mix, not to overwrite company total power in 02_Inputs.</t>
        </is>
      </c>
    </row>
    <row r="965">
      <c r="A965" s="3" t="inlineStr">
        <is>
          <t>Base|OpenAI|2028|OpenAI Stargate Shackelford</t>
        </is>
      </c>
      <c r="B965" s="3" t="inlineStr">
        <is>
          <t>Base</t>
        </is>
      </c>
      <c r="C965" s="3" t="inlineStr">
        <is>
          <t>OpenAI</t>
        </is>
      </c>
      <c r="D965" s="3" t="n">
        <v>2028</v>
      </c>
      <c r="E965" s="3" t="inlineStr">
        <is>
          <t>OpenAI Stargate Shackelford</t>
        </is>
      </c>
      <c r="F965" s="3" t="inlineStr">
        <is>
          <t>Oracle</t>
        </is>
      </c>
      <c r="G965" s="3" t="inlineStr">
        <is>
          <t>United States</t>
        </is>
      </c>
      <c r="H965" s="25" t="n">
        <v>1400</v>
      </c>
      <c r="I965" s="17" t="n">
        <v>1</v>
      </c>
      <c r="J965" s="17" t="n">
        <v>0.68</v>
      </c>
      <c r="K965" s="26" t="n">
        <v>0.32</v>
      </c>
      <c r="L965" s="3" t="inlineStr">
        <is>
          <t>2028-11-11</t>
        </is>
      </c>
      <c r="M965" s="27" t="n">
        <v>0</v>
      </c>
      <c r="N965" s="27" t="n">
        <v>1400</v>
      </c>
      <c r="O965" s="3" t="inlineStr">
        <is>
          <t>confident</t>
        </is>
      </c>
      <c r="P965" s="3" t="inlineStr">
        <is>
          <t>R200,R300</t>
        </is>
      </c>
      <c r="Q965" s="3" t="inlineStr">
        <is>
          <t>epoch_user_site_equal_split_seed</t>
        </is>
      </c>
      <c r="R965" s="3" t="inlineStr">
        <is>
          <t>SRC_EPOCH_AI_DATA_CENTERS; EPOCH_NORMALIZED_USER_SITES</t>
        </is>
      </c>
      <c r="S965" s="3" t="inlineStr">
        <is>
          <t>Capacity weight is used only to weight accelerator mix, not to overwrite company total power in 02_Inputs.</t>
        </is>
      </c>
    </row>
    <row r="966">
      <c r="A966" s="3" t="inlineStr">
        <is>
          <t>Base|OpenAI|2029|OpenAI Stargate Shackelford</t>
        </is>
      </c>
      <c r="B966" s="3" t="inlineStr">
        <is>
          <t>Base</t>
        </is>
      </c>
      <c r="C966" s="3" t="inlineStr">
        <is>
          <t>OpenAI</t>
        </is>
      </c>
      <c r="D966" s="3" t="n">
        <v>2029</v>
      </c>
      <c r="E966" s="3" t="inlineStr">
        <is>
          <t>OpenAI Stargate Shackelford</t>
        </is>
      </c>
      <c r="F966" s="3" t="inlineStr">
        <is>
          <t>Oracle</t>
        </is>
      </c>
      <c r="G966" s="3" t="inlineStr">
        <is>
          <t>United States</t>
        </is>
      </c>
      <c r="H966" s="25" t="n">
        <v>1400</v>
      </c>
      <c r="I966" s="17" t="n">
        <v>1</v>
      </c>
      <c r="J966" s="17" t="n">
        <v>0.73</v>
      </c>
      <c r="K966" s="26" t="n">
        <v>0.27</v>
      </c>
      <c r="L966" s="3" t="inlineStr">
        <is>
          <t>2028-11-11</t>
        </is>
      </c>
      <c r="M966" s="27" t="n">
        <v>0</v>
      </c>
      <c r="N966" s="27" t="n">
        <v>1400</v>
      </c>
      <c r="O966" s="3" t="inlineStr">
        <is>
          <t>confident</t>
        </is>
      </c>
      <c r="P966" s="3" t="inlineStr">
        <is>
          <t>R200,R300</t>
        </is>
      </c>
      <c r="Q966" s="3" t="inlineStr">
        <is>
          <t>epoch_user_site_equal_split_seed</t>
        </is>
      </c>
      <c r="R966" s="3" t="inlineStr">
        <is>
          <t>SRC_EPOCH_AI_DATA_CENTERS; EPOCH_NORMALIZED_USER_SITES</t>
        </is>
      </c>
      <c r="S966" s="3" t="inlineStr">
        <is>
          <t>Capacity weight is used only to weight accelerator mix, not to overwrite company total power in 02_Inputs.</t>
        </is>
      </c>
    </row>
    <row r="967">
      <c r="A967" s="3" t="inlineStr">
        <is>
          <t>Base|OpenAI|2030|OpenAI Stargate Shackelford</t>
        </is>
      </c>
      <c r="B967" s="3" t="inlineStr">
        <is>
          <t>Base</t>
        </is>
      </c>
      <c r="C967" s="3" t="inlineStr">
        <is>
          <t>OpenAI</t>
        </is>
      </c>
      <c r="D967" s="3" t="n">
        <v>2030</v>
      </c>
      <c r="E967" s="3" t="inlineStr">
        <is>
          <t>OpenAI Stargate Shackelford</t>
        </is>
      </c>
      <c r="F967" s="3" t="inlineStr">
        <is>
          <t>Oracle</t>
        </is>
      </c>
      <c r="G967" s="3" t="inlineStr">
        <is>
          <t>United States</t>
        </is>
      </c>
      <c r="H967" s="25" t="n">
        <v>1400</v>
      </c>
      <c r="I967" s="17" t="n">
        <v>1</v>
      </c>
      <c r="J967" s="17" t="n">
        <v>0.78</v>
      </c>
      <c r="K967" s="26" t="n">
        <v>0.22</v>
      </c>
      <c r="L967" s="3" t="inlineStr">
        <is>
          <t>2028-11-11</t>
        </is>
      </c>
      <c r="M967" s="27" t="n">
        <v>0</v>
      </c>
      <c r="N967" s="27" t="n">
        <v>1400</v>
      </c>
      <c r="O967" s="3" t="inlineStr">
        <is>
          <t>confident</t>
        </is>
      </c>
      <c r="P967" s="3" t="inlineStr">
        <is>
          <t>R200,R300</t>
        </is>
      </c>
      <c r="Q967" s="3" t="inlineStr">
        <is>
          <t>epoch_user_site_equal_split_seed</t>
        </is>
      </c>
      <c r="R967" s="3" t="inlineStr">
        <is>
          <t>SRC_EPOCH_AI_DATA_CENTERS; EPOCH_NORMALIZED_USER_SITES</t>
        </is>
      </c>
      <c r="S967" s="3" t="inlineStr">
        <is>
          <t>Capacity weight is used only to weight accelerator mix, not to overwrite company total power in 02_Inputs.</t>
        </is>
      </c>
    </row>
    <row r="968">
      <c r="A968" s="3" t="inlineStr">
        <is>
          <t>Bull|OpenAI|2028|OpenAI Stargate Shackelford</t>
        </is>
      </c>
      <c r="B968" s="3" t="inlineStr">
        <is>
          <t>Bull</t>
        </is>
      </c>
      <c r="C968" s="3" t="inlineStr">
        <is>
          <t>OpenAI</t>
        </is>
      </c>
      <c r="D968" s="3" t="n">
        <v>2028</v>
      </c>
      <c r="E968" s="3" t="inlineStr">
        <is>
          <t>OpenAI Stargate Shackelford</t>
        </is>
      </c>
      <c r="F968" s="3" t="inlineStr">
        <is>
          <t>Oracle</t>
        </is>
      </c>
      <c r="G968" s="3" t="inlineStr">
        <is>
          <t>United States</t>
        </is>
      </c>
      <c r="H968" s="25" t="n">
        <v>1400</v>
      </c>
      <c r="I968" s="17" t="n">
        <v>1</v>
      </c>
      <c r="J968" s="17" t="n">
        <v>0.745</v>
      </c>
      <c r="K968" s="26" t="n">
        <v>0.255</v>
      </c>
      <c r="L968" s="3" t="inlineStr">
        <is>
          <t>2028-11-11</t>
        </is>
      </c>
      <c r="M968" s="27" t="n">
        <v>0</v>
      </c>
      <c r="N968" s="27" t="n">
        <v>1400</v>
      </c>
      <c r="O968" s="3" t="inlineStr">
        <is>
          <t>confident</t>
        </is>
      </c>
      <c r="P968" s="3" t="inlineStr">
        <is>
          <t>R200,R300</t>
        </is>
      </c>
      <c r="Q968" s="3" t="inlineStr">
        <is>
          <t>epoch_user_site_equal_split_seed</t>
        </is>
      </c>
      <c r="R968" s="3" t="inlineStr">
        <is>
          <t>SRC_EPOCH_AI_DATA_CENTERS; EPOCH_NORMALIZED_USER_SITES</t>
        </is>
      </c>
      <c r="S968" s="3" t="inlineStr">
        <is>
          <t>Capacity weight is used only to weight accelerator mix, not to overwrite company total power in 02_Inputs.</t>
        </is>
      </c>
    </row>
    <row r="969">
      <c r="A969" s="3" t="inlineStr">
        <is>
          <t>Bull|OpenAI|2029|OpenAI Stargate Shackelford</t>
        </is>
      </c>
      <c r="B969" s="3" t="inlineStr">
        <is>
          <t>Bull</t>
        </is>
      </c>
      <c r="C969" s="3" t="inlineStr">
        <is>
          <t>OpenAI</t>
        </is>
      </c>
      <c r="D969" s="3" t="n">
        <v>2029</v>
      </c>
      <c r="E969" s="3" t="inlineStr">
        <is>
          <t>OpenAI Stargate Shackelford</t>
        </is>
      </c>
      <c r="F969" s="3" t="inlineStr">
        <is>
          <t>Oracle</t>
        </is>
      </c>
      <c r="G969" s="3" t="inlineStr">
        <is>
          <t>United States</t>
        </is>
      </c>
      <c r="H969" s="25" t="n">
        <v>1400</v>
      </c>
      <c r="I969" s="17" t="n">
        <v>1</v>
      </c>
      <c r="J969" s="17" t="n">
        <v>0.802</v>
      </c>
      <c r="K969" s="26" t="n">
        <v>0.198</v>
      </c>
      <c r="L969" s="3" t="inlineStr">
        <is>
          <t>2028-11-11</t>
        </is>
      </c>
      <c r="M969" s="27" t="n">
        <v>0</v>
      </c>
      <c r="N969" s="27" t="n">
        <v>1400</v>
      </c>
      <c r="O969" s="3" t="inlineStr">
        <is>
          <t>confident</t>
        </is>
      </c>
      <c r="P969" s="3" t="inlineStr">
        <is>
          <t>R200,R300</t>
        </is>
      </c>
      <c r="Q969" s="3" t="inlineStr">
        <is>
          <t>epoch_user_site_equal_split_seed</t>
        </is>
      </c>
      <c r="R969" s="3" t="inlineStr">
        <is>
          <t>SRC_EPOCH_AI_DATA_CENTERS; EPOCH_NORMALIZED_USER_SITES</t>
        </is>
      </c>
      <c r="S969" s="3" t="inlineStr">
        <is>
          <t>Capacity weight is used only to weight accelerator mix, not to overwrite company total power in 02_Inputs.</t>
        </is>
      </c>
    </row>
    <row r="970">
      <c r="A970" s="3" t="inlineStr">
        <is>
          <t>Bull|OpenAI|2030|OpenAI Stargate Shackelford</t>
        </is>
      </c>
      <c r="B970" s="3" t="inlineStr">
        <is>
          <t>Bull</t>
        </is>
      </c>
      <c r="C970" s="3" t="inlineStr">
        <is>
          <t>OpenAI</t>
        </is>
      </c>
      <c r="D970" s="3" t="n">
        <v>2030</v>
      </c>
      <c r="E970" s="3" t="inlineStr">
        <is>
          <t>OpenAI Stargate Shackelford</t>
        </is>
      </c>
      <c r="F970" s="3" t="inlineStr">
        <is>
          <t>Oracle</t>
        </is>
      </c>
      <c r="G970" s="3" t="inlineStr">
        <is>
          <t>United States</t>
        </is>
      </c>
      <c r="H970" s="25" t="n">
        <v>1400</v>
      </c>
      <c r="I970" s="17" t="n">
        <v>1</v>
      </c>
      <c r="J970" s="17" t="n">
        <v>0.86</v>
      </c>
      <c r="K970" s="26" t="n">
        <v>0.14</v>
      </c>
      <c r="L970" s="3" t="inlineStr">
        <is>
          <t>2028-11-11</t>
        </is>
      </c>
      <c r="M970" s="27" t="n">
        <v>0</v>
      </c>
      <c r="N970" s="27" t="n">
        <v>1400</v>
      </c>
      <c r="O970" s="3" t="inlineStr">
        <is>
          <t>confident</t>
        </is>
      </c>
      <c r="P970" s="3" t="inlineStr">
        <is>
          <t>R200,R300</t>
        </is>
      </c>
      <c r="Q970" s="3" t="inlineStr">
        <is>
          <t>epoch_user_site_equal_split_seed</t>
        </is>
      </c>
      <c r="R970" s="3" t="inlineStr">
        <is>
          <t>SRC_EPOCH_AI_DATA_CENTERS; EPOCH_NORMALIZED_USER_SITES</t>
        </is>
      </c>
      <c r="S970" s="3" t="inlineStr">
        <is>
          <t>Capacity weight is used only to weight accelerator mix, not to overwrite company total power in 02_Inputs.</t>
        </is>
      </c>
    </row>
    <row r="971">
      <c r="A971" s="3" t="inlineStr">
        <is>
          <t>Grid-Constrained / Efficiency-Upside|OpenAI|2028|OpenAI Stargate Shackelford</t>
        </is>
      </c>
      <c r="B971" s="3" t="inlineStr">
        <is>
          <t>Grid-Constrained / Efficiency-Upside</t>
        </is>
      </c>
      <c r="C971" s="3" t="inlineStr">
        <is>
          <t>OpenAI</t>
        </is>
      </c>
      <c r="D971" s="3" t="n">
        <v>2028</v>
      </c>
      <c r="E971" s="3" t="inlineStr">
        <is>
          <t>OpenAI Stargate Shackelford</t>
        </is>
      </c>
      <c r="F971" s="3" t="inlineStr">
        <is>
          <t>Oracle</t>
        </is>
      </c>
      <c r="G971" s="3" t="inlineStr">
        <is>
          <t>United States</t>
        </is>
      </c>
      <c r="H971" s="25" t="n">
        <v>1400</v>
      </c>
      <c r="I971" s="17" t="n">
        <v>1</v>
      </c>
      <c r="J971" s="17" t="n">
        <v>0.71</v>
      </c>
      <c r="K971" s="26" t="n">
        <v>0.29</v>
      </c>
      <c r="L971" s="3" t="inlineStr">
        <is>
          <t>2028-11-11</t>
        </is>
      </c>
      <c r="M971" s="27" t="n">
        <v>0</v>
      </c>
      <c r="N971" s="27" t="n">
        <v>1400</v>
      </c>
      <c r="O971" s="3" t="inlineStr">
        <is>
          <t>confident</t>
        </is>
      </c>
      <c r="P971" s="3" t="inlineStr">
        <is>
          <t>R200,R300</t>
        </is>
      </c>
      <c r="Q971" s="3" t="inlineStr">
        <is>
          <t>epoch_user_site_equal_split_seed</t>
        </is>
      </c>
      <c r="R971" s="3" t="inlineStr">
        <is>
          <t>SRC_EPOCH_AI_DATA_CENTERS; EPOCH_NORMALIZED_USER_SITES</t>
        </is>
      </c>
      <c r="S971" s="3" t="inlineStr">
        <is>
          <t>Capacity weight is used only to weight accelerator mix, not to overwrite company total power in 02_Inputs.</t>
        </is>
      </c>
    </row>
    <row r="972">
      <c r="A972" s="3" t="inlineStr">
        <is>
          <t>Grid-Constrained / Efficiency-Upside|OpenAI|2029|OpenAI Stargate Shackelford</t>
        </is>
      </c>
      <c r="B972" s="3" t="inlineStr">
        <is>
          <t>Grid-Constrained / Efficiency-Upside</t>
        </is>
      </c>
      <c r="C972" s="3" t="inlineStr">
        <is>
          <t>OpenAI</t>
        </is>
      </c>
      <c r="D972" s="3" t="n">
        <v>2029</v>
      </c>
      <c r="E972" s="3" t="inlineStr">
        <is>
          <t>OpenAI Stargate Shackelford</t>
        </is>
      </c>
      <c r="F972" s="3" t="inlineStr">
        <is>
          <t>Oracle</t>
        </is>
      </c>
      <c r="G972" s="3" t="inlineStr">
        <is>
          <t>United States</t>
        </is>
      </c>
      <c r="H972" s="25" t="n">
        <v>1400</v>
      </c>
      <c r="I972" s="17" t="n">
        <v>1</v>
      </c>
      <c r="J972" s="17" t="n">
        <v>0.765</v>
      </c>
      <c r="K972" s="26" t="n">
        <v>0.235</v>
      </c>
      <c r="L972" s="3" t="inlineStr">
        <is>
          <t>2028-11-11</t>
        </is>
      </c>
      <c r="M972" s="27" t="n">
        <v>0</v>
      </c>
      <c r="N972" s="27" t="n">
        <v>1400</v>
      </c>
      <c r="O972" s="3" t="inlineStr">
        <is>
          <t>confident</t>
        </is>
      </c>
      <c r="P972" s="3" t="inlineStr">
        <is>
          <t>R200,R300</t>
        </is>
      </c>
      <c r="Q972" s="3" t="inlineStr">
        <is>
          <t>epoch_user_site_equal_split_seed</t>
        </is>
      </c>
      <c r="R972" s="3" t="inlineStr">
        <is>
          <t>SRC_EPOCH_AI_DATA_CENTERS; EPOCH_NORMALIZED_USER_SITES</t>
        </is>
      </c>
      <c r="S972" s="3" t="inlineStr">
        <is>
          <t>Capacity weight is used only to weight accelerator mix, not to overwrite company total power in 02_Inputs.</t>
        </is>
      </c>
    </row>
    <row r="973">
      <c r="A973" s="3" t="inlineStr">
        <is>
          <t>Grid-Constrained / Efficiency-Upside|OpenAI|2030|OpenAI Stargate Shackelford</t>
        </is>
      </c>
      <c r="B973" s="3" t="inlineStr">
        <is>
          <t>Grid-Constrained / Efficiency-Upside</t>
        </is>
      </c>
      <c r="C973" s="3" t="inlineStr">
        <is>
          <t>OpenAI</t>
        </is>
      </c>
      <c r="D973" s="3" t="n">
        <v>2030</v>
      </c>
      <c r="E973" s="3" t="inlineStr">
        <is>
          <t>OpenAI Stargate Shackelford</t>
        </is>
      </c>
      <c r="F973" s="3" t="inlineStr">
        <is>
          <t>Oracle</t>
        </is>
      </c>
      <c r="G973" s="3" t="inlineStr">
        <is>
          <t>United States</t>
        </is>
      </c>
      <c r="H973" s="25" t="n">
        <v>1400</v>
      </c>
      <c r="I973" s="17" t="n">
        <v>1</v>
      </c>
      <c r="J973" s="17" t="n">
        <v>0.82</v>
      </c>
      <c r="K973" s="26" t="n">
        <v>0.18</v>
      </c>
      <c r="L973" s="3" t="inlineStr">
        <is>
          <t>2028-11-11</t>
        </is>
      </c>
      <c r="M973" s="27" t="n">
        <v>0</v>
      </c>
      <c r="N973" s="27" t="n">
        <v>1400</v>
      </c>
      <c r="O973" s="3" t="inlineStr">
        <is>
          <t>confident</t>
        </is>
      </c>
      <c r="P973" s="3" t="inlineStr">
        <is>
          <t>R200,R300</t>
        </is>
      </c>
      <c r="Q973" s="3" t="inlineStr">
        <is>
          <t>epoch_user_site_equal_split_seed</t>
        </is>
      </c>
      <c r="R973" s="3" t="inlineStr">
        <is>
          <t>SRC_EPOCH_AI_DATA_CENTERS; EPOCH_NORMALIZED_USER_SITES</t>
        </is>
      </c>
      <c r="S973" s="3" t="inlineStr">
        <is>
          <t>Capacity weight is used only to weight accelerator mix, not to overwrite company total power in 02_Inputs.</t>
        </is>
      </c>
    </row>
    <row r="974">
      <c r="A974" s="3" t="inlineStr">
        <is>
          <t>Bear|OpenAI|2028|OpenAI Stargate UAE</t>
        </is>
      </c>
      <c r="B974" s="3" t="inlineStr">
        <is>
          <t>Bear</t>
        </is>
      </c>
      <c r="C974" s="3" t="inlineStr">
        <is>
          <t>OpenAI</t>
        </is>
      </c>
      <c r="D974" s="3" t="n">
        <v>2028</v>
      </c>
      <c r="E974" s="3" t="inlineStr">
        <is>
          <t>OpenAI Stargate UAE</t>
        </is>
      </c>
      <c r="F974" s="3" t="inlineStr">
        <is>
          <t>G42</t>
        </is>
      </c>
      <c r="G974" s="3" t="inlineStr">
        <is>
          <t>United Arab Emirates</t>
        </is>
      </c>
      <c r="H974" s="25" t="n">
        <v>1000</v>
      </c>
      <c r="I974" s="17" t="n">
        <v>1</v>
      </c>
      <c r="J974" s="17" t="n">
        <v>0.59</v>
      </c>
      <c r="K974" s="26" t="n">
        <v>0.41</v>
      </c>
      <c r="L974" s="3" t="inlineStr">
        <is>
          <t>2028-01-01</t>
        </is>
      </c>
      <c r="M974" s="27" t="n">
        <v>0</v>
      </c>
      <c r="N974" s="27" t="n">
        <v>1000</v>
      </c>
      <c r="O974" s="3" t="inlineStr">
        <is>
          <t>confident</t>
        </is>
      </c>
      <c r="P974" s="3" t="inlineStr">
        <is>
          <t>B300,R200</t>
        </is>
      </c>
      <c r="Q974" s="3" t="inlineStr">
        <is>
          <t>epoch_user_site_equal_split_seed</t>
        </is>
      </c>
      <c r="R974" s="3" t="inlineStr">
        <is>
          <t>SRC_EPOCH_AI_DATA_CENTERS; EPOCH_NORMALIZED_USER_SITES</t>
        </is>
      </c>
      <c r="S974" s="3" t="inlineStr">
        <is>
          <t>Capacity weight is used only to weight accelerator mix, not to overwrite company total power in 02_Inputs.</t>
        </is>
      </c>
    </row>
    <row r="975">
      <c r="A975" s="3" t="inlineStr">
        <is>
          <t>Bear|OpenAI|2029|OpenAI Stargate UAE</t>
        </is>
      </c>
      <c r="B975" s="3" t="inlineStr">
        <is>
          <t>Bear</t>
        </is>
      </c>
      <c r="C975" s="3" t="inlineStr">
        <is>
          <t>OpenAI</t>
        </is>
      </c>
      <c r="D975" s="3" t="n">
        <v>2029</v>
      </c>
      <c r="E975" s="3" t="inlineStr">
        <is>
          <t>OpenAI Stargate UAE</t>
        </is>
      </c>
      <c r="F975" s="3" t="inlineStr">
        <is>
          <t>G42</t>
        </is>
      </c>
      <c r="G975" s="3" t="inlineStr">
        <is>
          <t>United Arab Emirates</t>
        </is>
      </c>
      <c r="H975" s="25" t="n">
        <v>1000</v>
      </c>
      <c r="I975" s="17" t="n">
        <v>1</v>
      </c>
      <c r="J975" s="17" t="n">
        <v>0.635</v>
      </c>
      <c r="K975" s="26" t="n">
        <v>0.365</v>
      </c>
      <c r="L975" s="3" t="inlineStr">
        <is>
          <t>2028-01-01</t>
        </is>
      </c>
      <c r="M975" s="27" t="n">
        <v>0</v>
      </c>
      <c r="N975" s="27" t="n">
        <v>1000</v>
      </c>
      <c r="O975" s="3" t="inlineStr">
        <is>
          <t>confident</t>
        </is>
      </c>
      <c r="P975" s="3" t="inlineStr">
        <is>
          <t>B300,R200</t>
        </is>
      </c>
      <c r="Q975" s="3" t="inlineStr">
        <is>
          <t>epoch_user_site_equal_split_seed</t>
        </is>
      </c>
      <c r="R975" s="3" t="inlineStr">
        <is>
          <t>SRC_EPOCH_AI_DATA_CENTERS; EPOCH_NORMALIZED_USER_SITES</t>
        </is>
      </c>
      <c r="S975" s="3" t="inlineStr">
        <is>
          <t>Capacity weight is used only to weight accelerator mix, not to overwrite company total power in 02_Inputs.</t>
        </is>
      </c>
    </row>
    <row r="976">
      <c r="A976" s="3" t="inlineStr">
        <is>
          <t>Bear|OpenAI|2030|OpenAI Stargate UAE</t>
        </is>
      </c>
      <c r="B976" s="3" t="inlineStr">
        <is>
          <t>Bear</t>
        </is>
      </c>
      <c r="C976" s="3" t="inlineStr">
        <is>
          <t>OpenAI</t>
        </is>
      </c>
      <c r="D976" s="3" t="n">
        <v>2030</v>
      </c>
      <c r="E976" s="3" t="inlineStr">
        <is>
          <t>OpenAI Stargate UAE</t>
        </is>
      </c>
      <c r="F976" s="3" t="inlineStr">
        <is>
          <t>G42</t>
        </is>
      </c>
      <c r="G976" s="3" t="inlineStr">
        <is>
          <t>United Arab Emirates</t>
        </is>
      </c>
      <c r="H976" s="25" t="n">
        <v>1000</v>
      </c>
      <c r="I976" s="17" t="n">
        <v>1</v>
      </c>
      <c r="J976" s="17" t="n">
        <v>0.68</v>
      </c>
      <c r="K976" s="26" t="n">
        <v>0.32</v>
      </c>
      <c r="L976" s="3" t="inlineStr">
        <is>
          <t>2028-01-01</t>
        </is>
      </c>
      <c r="M976" s="27" t="n">
        <v>0</v>
      </c>
      <c r="N976" s="27" t="n">
        <v>1000</v>
      </c>
      <c r="O976" s="3" t="inlineStr">
        <is>
          <t>confident</t>
        </is>
      </c>
      <c r="P976" s="3" t="inlineStr">
        <is>
          <t>B300,R200</t>
        </is>
      </c>
      <c r="Q976" s="3" t="inlineStr">
        <is>
          <t>epoch_user_site_equal_split_seed</t>
        </is>
      </c>
      <c r="R976" s="3" t="inlineStr">
        <is>
          <t>SRC_EPOCH_AI_DATA_CENTERS; EPOCH_NORMALIZED_USER_SITES</t>
        </is>
      </c>
      <c r="S976" s="3" t="inlineStr">
        <is>
          <t>Capacity weight is used only to weight accelerator mix, not to overwrite company total power in 02_Inputs.</t>
        </is>
      </c>
    </row>
    <row r="977">
      <c r="A977" s="3" t="inlineStr">
        <is>
          <t>Base|OpenAI|2028|OpenAI Stargate UAE</t>
        </is>
      </c>
      <c r="B977" s="3" t="inlineStr">
        <is>
          <t>Base</t>
        </is>
      </c>
      <c r="C977" s="3" t="inlineStr">
        <is>
          <t>OpenAI</t>
        </is>
      </c>
      <c r="D977" s="3" t="n">
        <v>2028</v>
      </c>
      <c r="E977" s="3" t="inlineStr">
        <is>
          <t>OpenAI Stargate UAE</t>
        </is>
      </c>
      <c r="F977" s="3" t="inlineStr">
        <is>
          <t>G42</t>
        </is>
      </c>
      <c r="G977" s="3" t="inlineStr">
        <is>
          <t>United Arab Emirates</t>
        </is>
      </c>
      <c r="H977" s="25" t="n">
        <v>1000</v>
      </c>
      <c r="I977" s="17" t="n">
        <v>1</v>
      </c>
      <c r="J977" s="17" t="n">
        <v>0.68</v>
      </c>
      <c r="K977" s="26" t="n">
        <v>0.32</v>
      </c>
      <c r="L977" s="3" t="inlineStr">
        <is>
          <t>2028-01-01</t>
        </is>
      </c>
      <c r="M977" s="27" t="n">
        <v>0</v>
      </c>
      <c r="N977" s="27" t="n">
        <v>1000</v>
      </c>
      <c r="O977" s="3" t="inlineStr">
        <is>
          <t>confident</t>
        </is>
      </c>
      <c r="P977" s="3" t="inlineStr">
        <is>
          <t>B300,R200</t>
        </is>
      </c>
      <c r="Q977" s="3" t="inlineStr">
        <is>
          <t>epoch_user_site_equal_split_seed</t>
        </is>
      </c>
      <c r="R977" s="3" t="inlineStr">
        <is>
          <t>SRC_EPOCH_AI_DATA_CENTERS; EPOCH_NORMALIZED_USER_SITES</t>
        </is>
      </c>
      <c r="S977" s="3" t="inlineStr">
        <is>
          <t>Capacity weight is used only to weight accelerator mix, not to overwrite company total power in 02_Inputs.</t>
        </is>
      </c>
    </row>
    <row r="978">
      <c r="A978" s="3" t="inlineStr">
        <is>
          <t>Base|OpenAI|2029|OpenAI Stargate UAE</t>
        </is>
      </c>
      <c r="B978" s="3" t="inlineStr">
        <is>
          <t>Base</t>
        </is>
      </c>
      <c r="C978" s="3" t="inlineStr">
        <is>
          <t>OpenAI</t>
        </is>
      </c>
      <c r="D978" s="3" t="n">
        <v>2029</v>
      </c>
      <c r="E978" s="3" t="inlineStr">
        <is>
          <t>OpenAI Stargate UAE</t>
        </is>
      </c>
      <c r="F978" s="3" t="inlineStr">
        <is>
          <t>G42</t>
        </is>
      </c>
      <c r="G978" s="3" t="inlineStr">
        <is>
          <t>United Arab Emirates</t>
        </is>
      </c>
      <c r="H978" s="25" t="n">
        <v>1000</v>
      </c>
      <c r="I978" s="17" t="n">
        <v>1</v>
      </c>
      <c r="J978" s="17" t="n">
        <v>0.73</v>
      </c>
      <c r="K978" s="26" t="n">
        <v>0.27</v>
      </c>
      <c r="L978" s="3" t="inlineStr">
        <is>
          <t>2028-01-01</t>
        </is>
      </c>
      <c r="M978" s="27" t="n">
        <v>0</v>
      </c>
      <c r="N978" s="27" t="n">
        <v>1000</v>
      </c>
      <c r="O978" s="3" t="inlineStr">
        <is>
          <t>confident</t>
        </is>
      </c>
      <c r="P978" s="3" t="inlineStr">
        <is>
          <t>B300,R200</t>
        </is>
      </c>
      <c r="Q978" s="3" t="inlineStr">
        <is>
          <t>epoch_user_site_equal_split_seed</t>
        </is>
      </c>
      <c r="R978" s="3" t="inlineStr">
        <is>
          <t>SRC_EPOCH_AI_DATA_CENTERS; EPOCH_NORMALIZED_USER_SITES</t>
        </is>
      </c>
      <c r="S978" s="3" t="inlineStr">
        <is>
          <t>Capacity weight is used only to weight accelerator mix, not to overwrite company total power in 02_Inputs.</t>
        </is>
      </c>
    </row>
    <row r="979">
      <c r="A979" s="3" t="inlineStr">
        <is>
          <t>Base|OpenAI|2030|OpenAI Stargate UAE</t>
        </is>
      </c>
      <c r="B979" s="3" t="inlineStr">
        <is>
          <t>Base</t>
        </is>
      </c>
      <c r="C979" s="3" t="inlineStr">
        <is>
          <t>OpenAI</t>
        </is>
      </c>
      <c r="D979" s="3" t="n">
        <v>2030</v>
      </c>
      <c r="E979" s="3" t="inlineStr">
        <is>
          <t>OpenAI Stargate UAE</t>
        </is>
      </c>
      <c r="F979" s="3" t="inlineStr">
        <is>
          <t>G42</t>
        </is>
      </c>
      <c r="G979" s="3" t="inlineStr">
        <is>
          <t>United Arab Emirates</t>
        </is>
      </c>
      <c r="H979" s="25" t="n">
        <v>1000</v>
      </c>
      <c r="I979" s="17" t="n">
        <v>1</v>
      </c>
      <c r="J979" s="17" t="n">
        <v>0.78</v>
      </c>
      <c r="K979" s="26" t="n">
        <v>0.22</v>
      </c>
      <c r="L979" s="3" t="inlineStr">
        <is>
          <t>2028-01-01</t>
        </is>
      </c>
      <c r="M979" s="27" t="n">
        <v>0</v>
      </c>
      <c r="N979" s="27" t="n">
        <v>1000</v>
      </c>
      <c r="O979" s="3" t="inlineStr">
        <is>
          <t>confident</t>
        </is>
      </c>
      <c r="P979" s="3" t="inlineStr">
        <is>
          <t>B300,R200</t>
        </is>
      </c>
      <c r="Q979" s="3" t="inlineStr">
        <is>
          <t>epoch_user_site_equal_split_seed</t>
        </is>
      </c>
      <c r="R979" s="3" t="inlineStr">
        <is>
          <t>SRC_EPOCH_AI_DATA_CENTERS; EPOCH_NORMALIZED_USER_SITES</t>
        </is>
      </c>
      <c r="S979" s="3" t="inlineStr">
        <is>
          <t>Capacity weight is used only to weight accelerator mix, not to overwrite company total power in 02_Inputs.</t>
        </is>
      </c>
    </row>
    <row r="980">
      <c r="A980" s="3" t="inlineStr">
        <is>
          <t>Bull|OpenAI|2028|OpenAI Stargate UAE</t>
        </is>
      </c>
      <c r="B980" s="3" t="inlineStr">
        <is>
          <t>Bull</t>
        </is>
      </c>
      <c r="C980" s="3" t="inlineStr">
        <is>
          <t>OpenAI</t>
        </is>
      </c>
      <c r="D980" s="3" t="n">
        <v>2028</v>
      </c>
      <c r="E980" s="3" t="inlineStr">
        <is>
          <t>OpenAI Stargate UAE</t>
        </is>
      </c>
      <c r="F980" s="3" t="inlineStr">
        <is>
          <t>G42</t>
        </is>
      </c>
      <c r="G980" s="3" t="inlineStr">
        <is>
          <t>United Arab Emirates</t>
        </is>
      </c>
      <c r="H980" s="25" t="n">
        <v>1000</v>
      </c>
      <c r="I980" s="17" t="n">
        <v>1</v>
      </c>
      <c r="J980" s="17" t="n">
        <v>0.745</v>
      </c>
      <c r="K980" s="26" t="n">
        <v>0.255</v>
      </c>
      <c r="L980" s="3" t="inlineStr">
        <is>
          <t>2028-01-01</t>
        </is>
      </c>
      <c r="M980" s="27" t="n">
        <v>0</v>
      </c>
      <c r="N980" s="27" t="n">
        <v>1000</v>
      </c>
      <c r="O980" s="3" t="inlineStr">
        <is>
          <t>confident</t>
        </is>
      </c>
      <c r="P980" s="3" t="inlineStr">
        <is>
          <t>B300,R200</t>
        </is>
      </c>
      <c r="Q980" s="3" t="inlineStr">
        <is>
          <t>epoch_user_site_equal_split_seed</t>
        </is>
      </c>
      <c r="R980" s="3" t="inlineStr">
        <is>
          <t>SRC_EPOCH_AI_DATA_CENTERS; EPOCH_NORMALIZED_USER_SITES</t>
        </is>
      </c>
      <c r="S980" s="3" t="inlineStr">
        <is>
          <t>Capacity weight is used only to weight accelerator mix, not to overwrite company total power in 02_Inputs.</t>
        </is>
      </c>
    </row>
    <row r="981">
      <c r="A981" s="3" t="inlineStr">
        <is>
          <t>Bull|OpenAI|2029|OpenAI Stargate UAE</t>
        </is>
      </c>
      <c r="B981" s="3" t="inlineStr">
        <is>
          <t>Bull</t>
        </is>
      </c>
      <c r="C981" s="3" t="inlineStr">
        <is>
          <t>OpenAI</t>
        </is>
      </c>
      <c r="D981" s="3" t="n">
        <v>2029</v>
      </c>
      <c r="E981" s="3" t="inlineStr">
        <is>
          <t>OpenAI Stargate UAE</t>
        </is>
      </c>
      <c r="F981" s="3" t="inlineStr">
        <is>
          <t>G42</t>
        </is>
      </c>
      <c r="G981" s="3" t="inlineStr">
        <is>
          <t>United Arab Emirates</t>
        </is>
      </c>
      <c r="H981" s="25" t="n">
        <v>1000</v>
      </c>
      <c r="I981" s="17" t="n">
        <v>1</v>
      </c>
      <c r="J981" s="17" t="n">
        <v>0.802</v>
      </c>
      <c r="K981" s="26" t="n">
        <v>0.198</v>
      </c>
      <c r="L981" s="3" t="inlineStr">
        <is>
          <t>2028-01-01</t>
        </is>
      </c>
      <c r="M981" s="27" t="n">
        <v>0</v>
      </c>
      <c r="N981" s="27" t="n">
        <v>1000</v>
      </c>
      <c r="O981" s="3" t="inlineStr">
        <is>
          <t>confident</t>
        </is>
      </c>
      <c r="P981" s="3" t="inlineStr">
        <is>
          <t>B300,R200</t>
        </is>
      </c>
      <c r="Q981" s="3" t="inlineStr">
        <is>
          <t>epoch_user_site_equal_split_seed</t>
        </is>
      </c>
      <c r="R981" s="3" t="inlineStr">
        <is>
          <t>SRC_EPOCH_AI_DATA_CENTERS; EPOCH_NORMALIZED_USER_SITES</t>
        </is>
      </c>
      <c r="S981" s="3" t="inlineStr">
        <is>
          <t>Capacity weight is used only to weight accelerator mix, not to overwrite company total power in 02_Inputs.</t>
        </is>
      </c>
    </row>
    <row r="982">
      <c r="A982" s="3" t="inlineStr">
        <is>
          <t>Bull|OpenAI|2030|OpenAI Stargate UAE</t>
        </is>
      </c>
      <c r="B982" s="3" t="inlineStr">
        <is>
          <t>Bull</t>
        </is>
      </c>
      <c r="C982" s="3" t="inlineStr">
        <is>
          <t>OpenAI</t>
        </is>
      </c>
      <c r="D982" s="3" t="n">
        <v>2030</v>
      </c>
      <c r="E982" s="3" t="inlineStr">
        <is>
          <t>OpenAI Stargate UAE</t>
        </is>
      </c>
      <c r="F982" s="3" t="inlineStr">
        <is>
          <t>G42</t>
        </is>
      </c>
      <c r="G982" s="3" t="inlineStr">
        <is>
          <t>United Arab Emirates</t>
        </is>
      </c>
      <c r="H982" s="25" t="n">
        <v>1000</v>
      </c>
      <c r="I982" s="17" t="n">
        <v>1</v>
      </c>
      <c r="J982" s="17" t="n">
        <v>0.86</v>
      </c>
      <c r="K982" s="26" t="n">
        <v>0.14</v>
      </c>
      <c r="L982" s="3" t="inlineStr">
        <is>
          <t>2028-01-01</t>
        </is>
      </c>
      <c r="M982" s="27" t="n">
        <v>0</v>
      </c>
      <c r="N982" s="27" t="n">
        <v>1000</v>
      </c>
      <c r="O982" s="3" t="inlineStr">
        <is>
          <t>confident</t>
        </is>
      </c>
      <c r="P982" s="3" t="inlineStr">
        <is>
          <t>B300,R200</t>
        </is>
      </c>
      <c r="Q982" s="3" t="inlineStr">
        <is>
          <t>epoch_user_site_equal_split_seed</t>
        </is>
      </c>
      <c r="R982" s="3" t="inlineStr">
        <is>
          <t>SRC_EPOCH_AI_DATA_CENTERS; EPOCH_NORMALIZED_USER_SITES</t>
        </is>
      </c>
      <c r="S982" s="3" t="inlineStr">
        <is>
          <t>Capacity weight is used only to weight accelerator mix, not to overwrite company total power in 02_Inputs.</t>
        </is>
      </c>
    </row>
    <row r="983">
      <c r="A983" s="3" t="inlineStr">
        <is>
          <t>Grid-Constrained / Efficiency-Upside|OpenAI|2028|OpenAI Stargate UAE</t>
        </is>
      </c>
      <c r="B983" s="3" t="inlineStr">
        <is>
          <t>Grid-Constrained / Efficiency-Upside</t>
        </is>
      </c>
      <c r="C983" s="3" t="inlineStr">
        <is>
          <t>OpenAI</t>
        </is>
      </c>
      <c r="D983" s="3" t="n">
        <v>2028</v>
      </c>
      <c r="E983" s="3" t="inlineStr">
        <is>
          <t>OpenAI Stargate UAE</t>
        </is>
      </c>
      <c r="F983" s="3" t="inlineStr">
        <is>
          <t>G42</t>
        </is>
      </c>
      <c r="G983" s="3" t="inlineStr">
        <is>
          <t>United Arab Emirates</t>
        </is>
      </c>
      <c r="H983" s="25" t="n">
        <v>1000</v>
      </c>
      <c r="I983" s="17" t="n">
        <v>1</v>
      </c>
      <c r="J983" s="17" t="n">
        <v>0.71</v>
      </c>
      <c r="K983" s="26" t="n">
        <v>0.29</v>
      </c>
      <c r="L983" s="3" t="inlineStr">
        <is>
          <t>2028-01-01</t>
        </is>
      </c>
      <c r="M983" s="27" t="n">
        <v>0</v>
      </c>
      <c r="N983" s="27" t="n">
        <v>1000</v>
      </c>
      <c r="O983" s="3" t="inlineStr">
        <is>
          <t>confident</t>
        </is>
      </c>
      <c r="P983" s="3" t="inlineStr">
        <is>
          <t>B300,R200</t>
        </is>
      </c>
      <c r="Q983" s="3" t="inlineStr">
        <is>
          <t>epoch_user_site_equal_split_seed</t>
        </is>
      </c>
      <c r="R983" s="3" t="inlineStr">
        <is>
          <t>SRC_EPOCH_AI_DATA_CENTERS; EPOCH_NORMALIZED_USER_SITES</t>
        </is>
      </c>
      <c r="S983" s="3" t="inlineStr">
        <is>
          <t>Capacity weight is used only to weight accelerator mix, not to overwrite company total power in 02_Inputs.</t>
        </is>
      </c>
    </row>
    <row r="984">
      <c r="A984" s="3" t="inlineStr">
        <is>
          <t>Grid-Constrained / Efficiency-Upside|OpenAI|2029|OpenAI Stargate UAE</t>
        </is>
      </c>
      <c r="B984" s="3" t="inlineStr">
        <is>
          <t>Grid-Constrained / Efficiency-Upside</t>
        </is>
      </c>
      <c r="C984" s="3" t="inlineStr">
        <is>
          <t>OpenAI</t>
        </is>
      </c>
      <c r="D984" s="3" t="n">
        <v>2029</v>
      </c>
      <c r="E984" s="3" t="inlineStr">
        <is>
          <t>OpenAI Stargate UAE</t>
        </is>
      </c>
      <c r="F984" s="3" t="inlineStr">
        <is>
          <t>G42</t>
        </is>
      </c>
      <c r="G984" s="3" t="inlineStr">
        <is>
          <t>United Arab Emirates</t>
        </is>
      </c>
      <c r="H984" s="25" t="n">
        <v>1000</v>
      </c>
      <c r="I984" s="17" t="n">
        <v>1</v>
      </c>
      <c r="J984" s="17" t="n">
        <v>0.765</v>
      </c>
      <c r="K984" s="26" t="n">
        <v>0.235</v>
      </c>
      <c r="L984" s="3" t="inlineStr">
        <is>
          <t>2028-01-01</t>
        </is>
      </c>
      <c r="M984" s="27" t="n">
        <v>0</v>
      </c>
      <c r="N984" s="27" t="n">
        <v>1000</v>
      </c>
      <c r="O984" s="3" t="inlineStr">
        <is>
          <t>confident</t>
        </is>
      </c>
      <c r="P984" s="3" t="inlineStr">
        <is>
          <t>B300,R200</t>
        </is>
      </c>
      <c r="Q984" s="3" t="inlineStr">
        <is>
          <t>epoch_user_site_equal_split_seed</t>
        </is>
      </c>
      <c r="R984" s="3" t="inlineStr">
        <is>
          <t>SRC_EPOCH_AI_DATA_CENTERS; EPOCH_NORMALIZED_USER_SITES</t>
        </is>
      </c>
      <c r="S984" s="3" t="inlineStr">
        <is>
          <t>Capacity weight is used only to weight accelerator mix, not to overwrite company total power in 02_Inputs.</t>
        </is>
      </c>
    </row>
    <row r="985">
      <c r="A985" s="3" t="inlineStr">
        <is>
          <t>Grid-Constrained / Efficiency-Upside|OpenAI|2030|OpenAI Stargate UAE</t>
        </is>
      </c>
      <c r="B985" s="3" t="inlineStr">
        <is>
          <t>Grid-Constrained / Efficiency-Upside</t>
        </is>
      </c>
      <c r="C985" s="3" t="inlineStr">
        <is>
          <t>OpenAI</t>
        </is>
      </c>
      <c r="D985" s="3" t="n">
        <v>2030</v>
      </c>
      <c r="E985" s="3" t="inlineStr">
        <is>
          <t>OpenAI Stargate UAE</t>
        </is>
      </c>
      <c r="F985" s="3" t="inlineStr">
        <is>
          <t>G42</t>
        </is>
      </c>
      <c r="G985" s="3" t="inlineStr">
        <is>
          <t>United Arab Emirates</t>
        </is>
      </c>
      <c r="H985" s="25" t="n">
        <v>1000</v>
      </c>
      <c r="I985" s="17" t="n">
        <v>1</v>
      </c>
      <c r="J985" s="17" t="n">
        <v>0.82</v>
      </c>
      <c r="K985" s="26" t="n">
        <v>0.18</v>
      </c>
      <c r="L985" s="3" t="inlineStr">
        <is>
          <t>2028-01-01</t>
        </is>
      </c>
      <c r="M985" s="27" t="n">
        <v>0</v>
      </c>
      <c r="N985" s="27" t="n">
        <v>1000</v>
      </c>
      <c r="O985" s="3" t="inlineStr">
        <is>
          <t>confident</t>
        </is>
      </c>
      <c r="P985" s="3" t="inlineStr">
        <is>
          <t>B300,R200</t>
        </is>
      </c>
      <c r="Q985" s="3" t="inlineStr">
        <is>
          <t>epoch_user_site_equal_split_seed</t>
        </is>
      </c>
      <c r="R985" s="3" t="inlineStr">
        <is>
          <t>SRC_EPOCH_AI_DATA_CENTERS; EPOCH_NORMALIZED_USER_SITES</t>
        </is>
      </c>
      <c r="S985" s="3" t="inlineStr">
        <is>
          <t>Capacity weight is used only to weight accelerator mix, not to overwrite company total power in 02_Inputs.</t>
        </is>
      </c>
    </row>
    <row r="986">
      <c r="A986" s="3" t="inlineStr">
        <is>
          <t>Bear|OpenAI|2028|OpenAI Stargate Wisconsin</t>
        </is>
      </c>
      <c r="B986" s="3" t="inlineStr">
        <is>
          <t>Bear</t>
        </is>
      </c>
      <c r="C986" s="3" t="inlineStr">
        <is>
          <t>OpenAI</t>
        </is>
      </c>
      <c r="D986" s="3" t="n">
        <v>2028</v>
      </c>
      <c r="E986" s="3" t="inlineStr">
        <is>
          <t>OpenAI Stargate Wisconsin</t>
        </is>
      </c>
      <c r="F986" s="3" t="inlineStr">
        <is>
          <t>Oracle</t>
        </is>
      </c>
      <c r="G986" s="3" t="inlineStr">
        <is>
          <t>United States</t>
        </is>
      </c>
      <c r="H986" s="25" t="n">
        <v>902</v>
      </c>
      <c r="I986" s="17" t="n">
        <v>1</v>
      </c>
      <c r="J986" s="17" t="n">
        <v>0.59</v>
      </c>
      <c r="K986" s="26" t="n">
        <v>0.41</v>
      </c>
      <c r="L986" s="3" t="inlineStr">
        <is>
          <t>2028-12-31</t>
        </is>
      </c>
      <c r="M986" s="27" t="n">
        <v>0</v>
      </c>
      <c r="N986" s="27" t="n">
        <v>902</v>
      </c>
      <c r="O986" s="3" t="inlineStr">
        <is>
          <t>confident</t>
        </is>
      </c>
      <c r="P986" s="3" t="inlineStr"/>
      <c r="Q986" s="3" t="inlineStr">
        <is>
          <t>epoch_user_site_equal_split_seed</t>
        </is>
      </c>
      <c r="R986" s="3" t="inlineStr">
        <is>
          <t>SRC_EPOCH_AI_DATA_CENTERS; EPOCH_NORMALIZED_USER_SITES</t>
        </is>
      </c>
      <c r="S986" s="3" t="inlineStr">
        <is>
          <t>Capacity weight is used only to weight accelerator mix, not to overwrite company total power in 02_Inputs.</t>
        </is>
      </c>
    </row>
    <row r="987">
      <c r="A987" s="3" t="inlineStr">
        <is>
          <t>Bear|OpenAI|2029|OpenAI Stargate Wisconsin</t>
        </is>
      </c>
      <c r="B987" s="3" t="inlineStr">
        <is>
          <t>Bear</t>
        </is>
      </c>
      <c r="C987" s="3" t="inlineStr">
        <is>
          <t>OpenAI</t>
        </is>
      </c>
      <c r="D987" s="3" t="n">
        <v>2029</v>
      </c>
      <c r="E987" s="3" t="inlineStr">
        <is>
          <t>OpenAI Stargate Wisconsin</t>
        </is>
      </c>
      <c r="F987" s="3" t="inlineStr">
        <is>
          <t>Oracle</t>
        </is>
      </c>
      <c r="G987" s="3" t="inlineStr">
        <is>
          <t>United States</t>
        </is>
      </c>
      <c r="H987" s="25" t="n">
        <v>902</v>
      </c>
      <c r="I987" s="17" t="n">
        <v>1</v>
      </c>
      <c r="J987" s="17" t="n">
        <v>0.635</v>
      </c>
      <c r="K987" s="26" t="n">
        <v>0.365</v>
      </c>
      <c r="L987" s="3" t="inlineStr">
        <is>
          <t>2028-12-31</t>
        </is>
      </c>
      <c r="M987" s="27" t="n">
        <v>0</v>
      </c>
      <c r="N987" s="27" t="n">
        <v>902</v>
      </c>
      <c r="O987" s="3" t="inlineStr">
        <is>
          <t>confident</t>
        </is>
      </c>
      <c r="P987" s="3" t="inlineStr"/>
      <c r="Q987" s="3" t="inlineStr">
        <is>
          <t>epoch_user_site_equal_split_seed</t>
        </is>
      </c>
      <c r="R987" s="3" t="inlineStr">
        <is>
          <t>SRC_EPOCH_AI_DATA_CENTERS; EPOCH_NORMALIZED_USER_SITES</t>
        </is>
      </c>
      <c r="S987" s="3" t="inlineStr">
        <is>
          <t>Capacity weight is used only to weight accelerator mix, not to overwrite company total power in 02_Inputs.</t>
        </is>
      </c>
    </row>
    <row r="988">
      <c r="A988" s="3" t="inlineStr">
        <is>
          <t>Bear|OpenAI|2030|OpenAI Stargate Wisconsin</t>
        </is>
      </c>
      <c r="B988" s="3" t="inlineStr">
        <is>
          <t>Bear</t>
        </is>
      </c>
      <c r="C988" s="3" t="inlineStr">
        <is>
          <t>OpenAI</t>
        </is>
      </c>
      <c r="D988" s="3" t="n">
        <v>2030</v>
      </c>
      <c r="E988" s="3" t="inlineStr">
        <is>
          <t>OpenAI Stargate Wisconsin</t>
        </is>
      </c>
      <c r="F988" s="3" t="inlineStr">
        <is>
          <t>Oracle</t>
        </is>
      </c>
      <c r="G988" s="3" t="inlineStr">
        <is>
          <t>United States</t>
        </is>
      </c>
      <c r="H988" s="25" t="n">
        <v>902</v>
      </c>
      <c r="I988" s="17" t="n">
        <v>1</v>
      </c>
      <c r="J988" s="17" t="n">
        <v>0.68</v>
      </c>
      <c r="K988" s="26" t="n">
        <v>0.32</v>
      </c>
      <c r="L988" s="3" t="inlineStr">
        <is>
          <t>2028-12-31</t>
        </is>
      </c>
      <c r="M988" s="27" t="n">
        <v>0</v>
      </c>
      <c r="N988" s="27" t="n">
        <v>902</v>
      </c>
      <c r="O988" s="3" t="inlineStr">
        <is>
          <t>confident</t>
        </is>
      </c>
      <c r="P988" s="3" t="inlineStr"/>
      <c r="Q988" s="3" t="inlineStr">
        <is>
          <t>epoch_user_site_equal_split_seed</t>
        </is>
      </c>
      <c r="R988" s="3" t="inlineStr">
        <is>
          <t>SRC_EPOCH_AI_DATA_CENTERS; EPOCH_NORMALIZED_USER_SITES</t>
        </is>
      </c>
      <c r="S988" s="3" t="inlineStr">
        <is>
          <t>Capacity weight is used only to weight accelerator mix, not to overwrite company total power in 02_Inputs.</t>
        </is>
      </c>
    </row>
    <row r="989">
      <c r="A989" s="3" t="inlineStr">
        <is>
          <t>Base|OpenAI|2028|OpenAI Stargate Wisconsin</t>
        </is>
      </c>
      <c r="B989" s="3" t="inlineStr">
        <is>
          <t>Base</t>
        </is>
      </c>
      <c r="C989" s="3" t="inlineStr">
        <is>
          <t>OpenAI</t>
        </is>
      </c>
      <c r="D989" s="3" t="n">
        <v>2028</v>
      </c>
      <c r="E989" s="3" t="inlineStr">
        <is>
          <t>OpenAI Stargate Wisconsin</t>
        </is>
      </c>
      <c r="F989" s="3" t="inlineStr">
        <is>
          <t>Oracle</t>
        </is>
      </c>
      <c r="G989" s="3" t="inlineStr">
        <is>
          <t>United States</t>
        </is>
      </c>
      <c r="H989" s="25" t="n">
        <v>902</v>
      </c>
      <c r="I989" s="17" t="n">
        <v>1</v>
      </c>
      <c r="J989" s="17" t="n">
        <v>0.68</v>
      </c>
      <c r="K989" s="26" t="n">
        <v>0.32</v>
      </c>
      <c r="L989" s="3" t="inlineStr">
        <is>
          <t>2028-12-31</t>
        </is>
      </c>
      <c r="M989" s="27" t="n">
        <v>0</v>
      </c>
      <c r="N989" s="27" t="n">
        <v>902</v>
      </c>
      <c r="O989" s="3" t="inlineStr">
        <is>
          <t>confident</t>
        </is>
      </c>
      <c r="P989" s="3" t="inlineStr"/>
      <c r="Q989" s="3" t="inlineStr">
        <is>
          <t>epoch_user_site_equal_split_seed</t>
        </is>
      </c>
      <c r="R989" s="3" t="inlineStr">
        <is>
          <t>SRC_EPOCH_AI_DATA_CENTERS; EPOCH_NORMALIZED_USER_SITES</t>
        </is>
      </c>
      <c r="S989" s="3" t="inlineStr">
        <is>
          <t>Capacity weight is used only to weight accelerator mix, not to overwrite company total power in 02_Inputs.</t>
        </is>
      </c>
    </row>
    <row r="990">
      <c r="A990" s="3" t="inlineStr">
        <is>
          <t>Base|OpenAI|2029|OpenAI Stargate Wisconsin</t>
        </is>
      </c>
      <c r="B990" s="3" t="inlineStr">
        <is>
          <t>Base</t>
        </is>
      </c>
      <c r="C990" s="3" t="inlineStr">
        <is>
          <t>OpenAI</t>
        </is>
      </c>
      <c r="D990" s="3" t="n">
        <v>2029</v>
      </c>
      <c r="E990" s="3" t="inlineStr">
        <is>
          <t>OpenAI Stargate Wisconsin</t>
        </is>
      </c>
      <c r="F990" s="3" t="inlineStr">
        <is>
          <t>Oracle</t>
        </is>
      </c>
      <c r="G990" s="3" t="inlineStr">
        <is>
          <t>United States</t>
        </is>
      </c>
      <c r="H990" s="25" t="n">
        <v>902</v>
      </c>
      <c r="I990" s="17" t="n">
        <v>1</v>
      </c>
      <c r="J990" s="17" t="n">
        <v>0.73</v>
      </c>
      <c r="K990" s="26" t="n">
        <v>0.27</v>
      </c>
      <c r="L990" s="3" t="inlineStr">
        <is>
          <t>2028-12-31</t>
        </is>
      </c>
      <c r="M990" s="27" t="n">
        <v>0</v>
      </c>
      <c r="N990" s="27" t="n">
        <v>902</v>
      </c>
      <c r="O990" s="3" t="inlineStr">
        <is>
          <t>confident</t>
        </is>
      </c>
      <c r="P990" s="3" t="inlineStr"/>
      <c r="Q990" s="3" t="inlineStr">
        <is>
          <t>epoch_user_site_equal_split_seed</t>
        </is>
      </c>
      <c r="R990" s="3" t="inlineStr">
        <is>
          <t>SRC_EPOCH_AI_DATA_CENTERS; EPOCH_NORMALIZED_USER_SITES</t>
        </is>
      </c>
      <c r="S990" s="3" t="inlineStr">
        <is>
          <t>Capacity weight is used only to weight accelerator mix, not to overwrite company total power in 02_Inputs.</t>
        </is>
      </c>
    </row>
    <row r="991">
      <c r="A991" s="3" t="inlineStr">
        <is>
          <t>Base|OpenAI|2030|OpenAI Stargate Wisconsin</t>
        </is>
      </c>
      <c r="B991" s="3" t="inlineStr">
        <is>
          <t>Base</t>
        </is>
      </c>
      <c r="C991" s="3" t="inlineStr">
        <is>
          <t>OpenAI</t>
        </is>
      </c>
      <c r="D991" s="3" t="n">
        <v>2030</v>
      </c>
      <c r="E991" s="3" t="inlineStr">
        <is>
          <t>OpenAI Stargate Wisconsin</t>
        </is>
      </c>
      <c r="F991" s="3" t="inlineStr">
        <is>
          <t>Oracle</t>
        </is>
      </c>
      <c r="G991" s="3" t="inlineStr">
        <is>
          <t>United States</t>
        </is>
      </c>
      <c r="H991" s="25" t="n">
        <v>902</v>
      </c>
      <c r="I991" s="17" t="n">
        <v>1</v>
      </c>
      <c r="J991" s="17" t="n">
        <v>0.78</v>
      </c>
      <c r="K991" s="26" t="n">
        <v>0.22</v>
      </c>
      <c r="L991" s="3" t="inlineStr">
        <is>
          <t>2028-12-31</t>
        </is>
      </c>
      <c r="M991" s="27" t="n">
        <v>0</v>
      </c>
      <c r="N991" s="27" t="n">
        <v>902</v>
      </c>
      <c r="O991" s="3" t="inlineStr">
        <is>
          <t>confident</t>
        </is>
      </c>
      <c r="P991" s="3" t="inlineStr"/>
      <c r="Q991" s="3" t="inlineStr">
        <is>
          <t>epoch_user_site_equal_split_seed</t>
        </is>
      </c>
      <c r="R991" s="3" t="inlineStr">
        <is>
          <t>SRC_EPOCH_AI_DATA_CENTERS; EPOCH_NORMALIZED_USER_SITES</t>
        </is>
      </c>
      <c r="S991" s="3" t="inlineStr">
        <is>
          <t>Capacity weight is used only to weight accelerator mix, not to overwrite company total power in 02_Inputs.</t>
        </is>
      </c>
    </row>
    <row r="992">
      <c r="A992" s="3" t="inlineStr">
        <is>
          <t>Bull|OpenAI|2028|OpenAI Stargate Wisconsin</t>
        </is>
      </c>
      <c r="B992" s="3" t="inlineStr">
        <is>
          <t>Bull</t>
        </is>
      </c>
      <c r="C992" s="3" t="inlineStr">
        <is>
          <t>OpenAI</t>
        </is>
      </c>
      <c r="D992" s="3" t="n">
        <v>2028</v>
      </c>
      <c r="E992" s="3" t="inlineStr">
        <is>
          <t>OpenAI Stargate Wisconsin</t>
        </is>
      </c>
      <c r="F992" s="3" t="inlineStr">
        <is>
          <t>Oracle</t>
        </is>
      </c>
      <c r="G992" s="3" t="inlineStr">
        <is>
          <t>United States</t>
        </is>
      </c>
      <c r="H992" s="25" t="n">
        <v>902</v>
      </c>
      <c r="I992" s="17" t="n">
        <v>1</v>
      </c>
      <c r="J992" s="17" t="n">
        <v>0.745</v>
      </c>
      <c r="K992" s="26" t="n">
        <v>0.255</v>
      </c>
      <c r="L992" s="3" t="inlineStr">
        <is>
          <t>2028-12-31</t>
        </is>
      </c>
      <c r="M992" s="27" t="n">
        <v>0</v>
      </c>
      <c r="N992" s="27" t="n">
        <v>902</v>
      </c>
      <c r="O992" s="3" t="inlineStr">
        <is>
          <t>confident</t>
        </is>
      </c>
      <c r="P992" s="3" t="inlineStr"/>
      <c r="Q992" s="3" t="inlineStr">
        <is>
          <t>epoch_user_site_equal_split_seed</t>
        </is>
      </c>
      <c r="R992" s="3" t="inlineStr">
        <is>
          <t>SRC_EPOCH_AI_DATA_CENTERS; EPOCH_NORMALIZED_USER_SITES</t>
        </is>
      </c>
      <c r="S992" s="3" t="inlineStr">
        <is>
          <t>Capacity weight is used only to weight accelerator mix, not to overwrite company total power in 02_Inputs.</t>
        </is>
      </c>
    </row>
    <row r="993">
      <c r="A993" s="3" t="inlineStr">
        <is>
          <t>Bull|OpenAI|2029|OpenAI Stargate Wisconsin</t>
        </is>
      </c>
      <c r="B993" s="3" t="inlineStr">
        <is>
          <t>Bull</t>
        </is>
      </c>
      <c r="C993" s="3" t="inlineStr">
        <is>
          <t>OpenAI</t>
        </is>
      </c>
      <c r="D993" s="3" t="n">
        <v>2029</v>
      </c>
      <c r="E993" s="3" t="inlineStr">
        <is>
          <t>OpenAI Stargate Wisconsin</t>
        </is>
      </c>
      <c r="F993" s="3" t="inlineStr">
        <is>
          <t>Oracle</t>
        </is>
      </c>
      <c r="G993" s="3" t="inlineStr">
        <is>
          <t>United States</t>
        </is>
      </c>
      <c r="H993" s="25" t="n">
        <v>902</v>
      </c>
      <c r="I993" s="17" t="n">
        <v>1</v>
      </c>
      <c r="J993" s="17" t="n">
        <v>0.802</v>
      </c>
      <c r="K993" s="26" t="n">
        <v>0.198</v>
      </c>
      <c r="L993" s="3" t="inlineStr">
        <is>
          <t>2028-12-31</t>
        </is>
      </c>
      <c r="M993" s="27" t="n">
        <v>0</v>
      </c>
      <c r="N993" s="27" t="n">
        <v>902</v>
      </c>
      <c r="O993" s="3" t="inlineStr">
        <is>
          <t>confident</t>
        </is>
      </c>
      <c r="P993" s="3" t="inlineStr"/>
      <c r="Q993" s="3" t="inlineStr">
        <is>
          <t>epoch_user_site_equal_split_seed</t>
        </is>
      </c>
      <c r="R993" s="3" t="inlineStr">
        <is>
          <t>SRC_EPOCH_AI_DATA_CENTERS; EPOCH_NORMALIZED_USER_SITES</t>
        </is>
      </c>
      <c r="S993" s="3" t="inlineStr">
        <is>
          <t>Capacity weight is used only to weight accelerator mix, not to overwrite company total power in 02_Inputs.</t>
        </is>
      </c>
    </row>
    <row r="994">
      <c r="A994" s="3" t="inlineStr">
        <is>
          <t>Bull|OpenAI|2030|OpenAI Stargate Wisconsin</t>
        </is>
      </c>
      <c r="B994" s="3" t="inlineStr">
        <is>
          <t>Bull</t>
        </is>
      </c>
      <c r="C994" s="3" t="inlineStr">
        <is>
          <t>OpenAI</t>
        </is>
      </c>
      <c r="D994" s="3" t="n">
        <v>2030</v>
      </c>
      <c r="E994" s="3" t="inlineStr">
        <is>
          <t>OpenAI Stargate Wisconsin</t>
        </is>
      </c>
      <c r="F994" s="3" t="inlineStr">
        <is>
          <t>Oracle</t>
        </is>
      </c>
      <c r="G994" s="3" t="inlineStr">
        <is>
          <t>United States</t>
        </is>
      </c>
      <c r="H994" s="25" t="n">
        <v>902</v>
      </c>
      <c r="I994" s="17" t="n">
        <v>1</v>
      </c>
      <c r="J994" s="17" t="n">
        <v>0.86</v>
      </c>
      <c r="K994" s="26" t="n">
        <v>0.14</v>
      </c>
      <c r="L994" s="3" t="inlineStr">
        <is>
          <t>2028-12-31</t>
        </is>
      </c>
      <c r="M994" s="27" t="n">
        <v>0</v>
      </c>
      <c r="N994" s="27" t="n">
        <v>902</v>
      </c>
      <c r="O994" s="3" t="inlineStr">
        <is>
          <t>confident</t>
        </is>
      </c>
      <c r="P994" s="3" t="inlineStr"/>
      <c r="Q994" s="3" t="inlineStr">
        <is>
          <t>epoch_user_site_equal_split_seed</t>
        </is>
      </c>
      <c r="R994" s="3" t="inlineStr">
        <is>
          <t>SRC_EPOCH_AI_DATA_CENTERS; EPOCH_NORMALIZED_USER_SITES</t>
        </is>
      </c>
      <c r="S994" s="3" t="inlineStr">
        <is>
          <t>Capacity weight is used only to weight accelerator mix, not to overwrite company total power in 02_Inputs.</t>
        </is>
      </c>
    </row>
    <row r="995">
      <c r="A995" s="3" t="inlineStr">
        <is>
          <t>Grid-Constrained / Efficiency-Upside|OpenAI|2028|OpenAI Stargate Wisconsin</t>
        </is>
      </c>
      <c r="B995" s="3" t="inlineStr">
        <is>
          <t>Grid-Constrained / Efficiency-Upside</t>
        </is>
      </c>
      <c r="C995" s="3" t="inlineStr">
        <is>
          <t>OpenAI</t>
        </is>
      </c>
      <c r="D995" s="3" t="n">
        <v>2028</v>
      </c>
      <c r="E995" s="3" t="inlineStr">
        <is>
          <t>OpenAI Stargate Wisconsin</t>
        </is>
      </c>
      <c r="F995" s="3" t="inlineStr">
        <is>
          <t>Oracle</t>
        </is>
      </c>
      <c r="G995" s="3" t="inlineStr">
        <is>
          <t>United States</t>
        </is>
      </c>
      <c r="H995" s="25" t="n">
        <v>902</v>
      </c>
      <c r="I995" s="17" t="n">
        <v>1</v>
      </c>
      <c r="J995" s="17" t="n">
        <v>0.71</v>
      </c>
      <c r="K995" s="26" t="n">
        <v>0.29</v>
      </c>
      <c r="L995" s="3" t="inlineStr">
        <is>
          <t>2028-12-31</t>
        </is>
      </c>
      <c r="M995" s="27" t="n">
        <v>0</v>
      </c>
      <c r="N995" s="27" t="n">
        <v>902</v>
      </c>
      <c r="O995" s="3" t="inlineStr">
        <is>
          <t>confident</t>
        </is>
      </c>
      <c r="P995" s="3" t="inlineStr"/>
      <c r="Q995" s="3" t="inlineStr">
        <is>
          <t>epoch_user_site_equal_split_seed</t>
        </is>
      </c>
      <c r="R995" s="3" t="inlineStr">
        <is>
          <t>SRC_EPOCH_AI_DATA_CENTERS; EPOCH_NORMALIZED_USER_SITES</t>
        </is>
      </c>
      <c r="S995" s="3" t="inlineStr">
        <is>
          <t>Capacity weight is used only to weight accelerator mix, not to overwrite company total power in 02_Inputs.</t>
        </is>
      </c>
    </row>
    <row r="996">
      <c r="A996" s="3" t="inlineStr">
        <is>
          <t>Grid-Constrained / Efficiency-Upside|OpenAI|2029|OpenAI Stargate Wisconsin</t>
        </is>
      </c>
      <c r="B996" s="3" t="inlineStr">
        <is>
          <t>Grid-Constrained / Efficiency-Upside</t>
        </is>
      </c>
      <c r="C996" s="3" t="inlineStr">
        <is>
          <t>OpenAI</t>
        </is>
      </c>
      <c r="D996" s="3" t="n">
        <v>2029</v>
      </c>
      <c r="E996" s="3" t="inlineStr">
        <is>
          <t>OpenAI Stargate Wisconsin</t>
        </is>
      </c>
      <c r="F996" s="3" t="inlineStr">
        <is>
          <t>Oracle</t>
        </is>
      </c>
      <c r="G996" s="3" t="inlineStr">
        <is>
          <t>United States</t>
        </is>
      </c>
      <c r="H996" s="25" t="n">
        <v>902</v>
      </c>
      <c r="I996" s="17" t="n">
        <v>1</v>
      </c>
      <c r="J996" s="17" t="n">
        <v>0.765</v>
      </c>
      <c r="K996" s="26" t="n">
        <v>0.235</v>
      </c>
      <c r="L996" s="3" t="inlineStr">
        <is>
          <t>2028-12-31</t>
        </is>
      </c>
      <c r="M996" s="27" t="n">
        <v>0</v>
      </c>
      <c r="N996" s="27" t="n">
        <v>902</v>
      </c>
      <c r="O996" s="3" t="inlineStr">
        <is>
          <t>confident</t>
        </is>
      </c>
      <c r="P996" s="3" t="inlineStr"/>
      <c r="Q996" s="3" t="inlineStr">
        <is>
          <t>epoch_user_site_equal_split_seed</t>
        </is>
      </c>
      <c r="R996" s="3" t="inlineStr">
        <is>
          <t>SRC_EPOCH_AI_DATA_CENTERS; EPOCH_NORMALIZED_USER_SITES</t>
        </is>
      </c>
      <c r="S996" s="3" t="inlineStr">
        <is>
          <t>Capacity weight is used only to weight accelerator mix, not to overwrite company total power in 02_Inputs.</t>
        </is>
      </c>
    </row>
    <row r="997">
      <c r="A997" s="3" t="inlineStr">
        <is>
          <t>Grid-Constrained / Efficiency-Upside|OpenAI|2030|OpenAI Stargate Wisconsin</t>
        </is>
      </c>
      <c r="B997" s="3" t="inlineStr">
        <is>
          <t>Grid-Constrained / Efficiency-Upside</t>
        </is>
      </c>
      <c r="C997" s="3" t="inlineStr">
        <is>
          <t>OpenAI</t>
        </is>
      </c>
      <c r="D997" s="3" t="n">
        <v>2030</v>
      </c>
      <c r="E997" s="3" t="inlineStr">
        <is>
          <t>OpenAI Stargate Wisconsin</t>
        </is>
      </c>
      <c r="F997" s="3" t="inlineStr">
        <is>
          <t>Oracle</t>
        </is>
      </c>
      <c r="G997" s="3" t="inlineStr">
        <is>
          <t>United States</t>
        </is>
      </c>
      <c r="H997" s="25" t="n">
        <v>902</v>
      </c>
      <c r="I997" s="17" t="n">
        <v>1</v>
      </c>
      <c r="J997" s="17" t="n">
        <v>0.82</v>
      </c>
      <c r="K997" s="26" t="n">
        <v>0.18</v>
      </c>
      <c r="L997" s="3" t="inlineStr">
        <is>
          <t>2028-12-31</t>
        </is>
      </c>
      <c r="M997" s="27" t="n">
        <v>0</v>
      </c>
      <c r="N997" s="27" t="n">
        <v>902</v>
      </c>
      <c r="O997" s="3" t="inlineStr">
        <is>
          <t>confident</t>
        </is>
      </c>
      <c r="P997" s="3" t="inlineStr"/>
      <c r="Q997" s="3" t="inlineStr">
        <is>
          <t>epoch_user_site_equal_split_seed</t>
        </is>
      </c>
      <c r="R997" s="3" t="inlineStr">
        <is>
          <t>SRC_EPOCH_AI_DATA_CENTERS; EPOCH_NORMALIZED_USER_SITES</t>
        </is>
      </c>
      <c r="S997" s="3" t="inlineStr">
        <is>
          <t>Capacity weight is used only to weight accelerator mix, not to overwrite company total power in 02_Inputs.</t>
        </is>
      </c>
    </row>
    <row r="998">
      <c r="A998" s="3" t="inlineStr">
        <is>
          <t>Bear|xAI|2026|Colossus 2</t>
        </is>
      </c>
      <c r="B998" s="3" t="inlineStr">
        <is>
          <t>Bear</t>
        </is>
      </c>
      <c r="C998" s="3" t="inlineStr">
        <is>
          <t>xAI</t>
        </is>
      </c>
      <c r="D998" s="3" t="n">
        <v>2026</v>
      </c>
      <c r="E998" s="3" t="inlineStr">
        <is>
          <t>Colossus 2</t>
        </is>
      </c>
      <c r="F998" s="3" t="inlineStr">
        <is>
          <t>SpaceXAI</t>
        </is>
      </c>
      <c r="G998" s="3" t="inlineStr">
        <is>
          <t>United States</t>
        </is>
      </c>
      <c r="H998" s="25" t="n">
        <v>315.333</v>
      </c>
      <c r="I998" s="17" t="n">
        <v>1</v>
      </c>
      <c r="J998" s="17" t="n">
        <v>0.37</v>
      </c>
      <c r="K998" s="26" t="n">
        <v>0.63</v>
      </c>
      <c r="L998" s="3" t="inlineStr">
        <is>
          <t>2026-07-01</t>
        </is>
      </c>
      <c r="M998" s="27" t="n">
        <v>315.3333333333333</v>
      </c>
      <c r="N998" s="27" t="n">
        <v>315.333</v>
      </c>
      <c r="O998" s="3" t="inlineStr">
        <is>
          <t>confident</t>
        </is>
      </c>
      <c r="P998" s="3" t="inlineStr">
        <is>
          <t>B200,B300</t>
        </is>
      </c>
      <c r="Q998" s="3" t="inlineStr">
        <is>
          <t>epoch_user_site_equal_split_seed</t>
        </is>
      </c>
      <c r="R998" s="3" t="inlineStr">
        <is>
          <t>SRC_EPOCH_AI_DATA_CENTERS; EPOCH_NORMALIZED_USER_SITES</t>
        </is>
      </c>
      <c r="S998" s="3" t="inlineStr">
        <is>
          <t>Capacity weight is used only to weight accelerator mix, not to overwrite company total power in 02_Inputs.</t>
        </is>
      </c>
    </row>
    <row r="999">
      <c r="A999" s="3" t="inlineStr">
        <is>
          <t>Bear|xAI|2027|Colossus 2</t>
        </is>
      </c>
      <c r="B999" s="3" t="inlineStr">
        <is>
          <t>Bear</t>
        </is>
      </c>
      <c r="C999" s="3" t="inlineStr">
        <is>
          <t>xAI</t>
        </is>
      </c>
      <c r="D999" s="3" t="n">
        <v>2027</v>
      </c>
      <c r="E999" s="3" t="inlineStr">
        <is>
          <t>Colossus 2</t>
        </is>
      </c>
      <c r="F999" s="3" t="inlineStr">
        <is>
          <t>SpaceXAI</t>
        </is>
      </c>
      <c r="G999" s="3" t="inlineStr">
        <is>
          <t>United States</t>
        </is>
      </c>
      <c r="H999" s="25" t="n">
        <v>315.333</v>
      </c>
      <c r="I999" s="17" t="n">
        <v>1</v>
      </c>
      <c r="J999" s="17" t="n">
        <v>0.427</v>
      </c>
      <c r="K999" s="26" t="n">
        <v>0.573</v>
      </c>
      <c r="L999" s="3" t="inlineStr">
        <is>
          <t>2026-07-01</t>
        </is>
      </c>
      <c r="M999" s="27" t="n">
        <v>315.3333333333333</v>
      </c>
      <c r="N999" s="27" t="n">
        <v>315.333</v>
      </c>
      <c r="O999" s="3" t="inlineStr">
        <is>
          <t>confident</t>
        </is>
      </c>
      <c r="P999" s="3" t="inlineStr">
        <is>
          <t>B200,B300</t>
        </is>
      </c>
      <c r="Q999" s="3" t="inlineStr">
        <is>
          <t>epoch_user_site_equal_split_seed</t>
        </is>
      </c>
      <c r="R999" s="3" t="inlineStr">
        <is>
          <t>SRC_EPOCH_AI_DATA_CENTERS; EPOCH_NORMALIZED_USER_SITES</t>
        </is>
      </c>
      <c r="S999" s="3" t="inlineStr">
        <is>
          <t>Capacity weight is used only to weight accelerator mix, not to overwrite company total power in 02_Inputs.</t>
        </is>
      </c>
    </row>
    <row r="1000">
      <c r="A1000" s="3" t="inlineStr">
        <is>
          <t>Bear|xAI|2028|Colossus 2</t>
        </is>
      </c>
      <c r="B1000" s="3" t="inlineStr">
        <is>
          <t>Bear</t>
        </is>
      </c>
      <c r="C1000" s="3" t="inlineStr">
        <is>
          <t>xAI</t>
        </is>
      </c>
      <c r="D1000" s="3" t="n">
        <v>2028</v>
      </c>
      <c r="E1000" s="3" t="inlineStr">
        <is>
          <t>Colossus 2</t>
        </is>
      </c>
      <c r="F1000" s="3" t="inlineStr">
        <is>
          <t>SpaceXAI</t>
        </is>
      </c>
      <c r="G1000" s="3" t="inlineStr">
        <is>
          <t>United States</t>
        </is>
      </c>
      <c r="H1000" s="25" t="n">
        <v>315.333</v>
      </c>
      <c r="I1000" s="17" t="n">
        <v>1</v>
      </c>
      <c r="J1000" s="17" t="n">
        <v>0.485</v>
      </c>
      <c r="K1000" s="26" t="n">
        <v>0.515</v>
      </c>
      <c r="L1000" s="3" t="inlineStr">
        <is>
          <t>2026-07-01</t>
        </is>
      </c>
      <c r="M1000" s="27" t="n">
        <v>315.3333333333333</v>
      </c>
      <c r="N1000" s="27" t="n">
        <v>315.333</v>
      </c>
      <c r="O1000" s="3" t="inlineStr">
        <is>
          <t>confident</t>
        </is>
      </c>
      <c r="P1000" s="3" t="inlineStr">
        <is>
          <t>B200,B300</t>
        </is>
      </c>
      <c r="Q1000" s="3" t="inlineStr">
        <is>
          <t>epoch_user_site_equal_split_seed</t>
        </is>
      </c>
      <c r="R1000" s="3" t="inlineStr">
        <is>
          <t>SRC_EPOCH_AI_DATA_CENTERS; EPOCH_NORMALIZED_USER_SITES</t>
        </is>
      </c>
      <c r="S1000" s="3" t="inlineStr">
        <is>
          <t>Capacity weight is used only to weight accelerator mix, not to overwrite company total power in 02_Inputs.</t>
        </is>
      </c>
    </row>
    <row r="1001">
      <c r="A1001" s="3" t="inlineStr">
        <is>
          <t>Bear|xAI|2029|Colossus 2</t>
        </is>
      </c>
      <c r="B1001" s="3" t="inlineStr">
        <is>
          <t>Bear</t>
        </is>
      </c>
      <c r="C1001" s="3" t="inlineStr">
        <is>
          <t>xAI</t>
        </is>
      </c>
      <c r="D1001" s="3" t="n">
        <v>2029</v>
      </c>
      <c r="E1001" s="3" t="inlineStr">
        <is>
          <t>Colossus 2</t>
        </is>
      </c>
      <c r="F1001" s="3" t="inlineStr">
        <is>
          <t>SpaceXAI</t>
        </is>
      </c>
      <c r="G1001" s="3" t="inlineStr">
        <is>
          <t>United States</t>
        </is>
      </c>
      <c r="H1001" s="25" t="n">
        <v>315.333</v>
      </c>
      <c r="I1001" s="17" t="n">
        <v>1</v>
      </c>
      <c r="J1001" s="17" t="n">
        <v>0.542</v>
      </c>
      <c r="K1001" s="26" t="n">
        <v>0.458</v>
      </c>
      <c r="L1001" s="3" t="inlineStr">
        <is>
          <t>2026-07-01</t>
        </is>
      </c>
      <c r="M1001" s="27" t="n">
        <v>315.3333333333333</v>
      </c>
      <c r="N1001" s="27" t="n">
        <v>315.333</v>
      </c>
      <c r="O1001" s="3" t="inlineStr">
        <is>
          <t>confident</t>
        </is>
      </c>
      <c r="P1001" s="3" t="inlineStr">
        <is>
          <t>B200,B300</t>
        </is>
      </c>
      <c r="Q1001" s="3" t="inlineStr">
        <is>
          <t>epoch_user_site_equal_split_seed</t>
        </is>
      </c>
      <c r="R1001" s="3" t="inlineStr">
        <is>
          <t>SRC_EPOCH_AI_DATA_CENTERS; EPOCH_NORMALIZED_USER_SITES</t>
        </is>
      </c>
      <c r="S1001" s="3" t="inlineStr">
        <is>
          <t>Capacity weight is used only to weight accelerator mix, not to overwrite company total power in 02_Inputs.</t>
        </is>
      </c>
    </row>
    <row r="1002">
      <c r="A1002" s="3" t="inlineStr">
        <is>
          <t>Bear|xAI|2030|Colossus 2</t>
        </is>
      </c>
      <c r="B1002" s="3" t="inlineStr">
        <is>
          <t>Bear</t>
        </is>
      </c>
      <c r="C1002" s="3" t="inlineStr">
        <is>
          <t>xAI</t>
        </is>
      </c>
      <c r="D1002" s="3" t="n">
        <v>2030</v>
      </c>
      <c r="E1002" s="3" t="inlineStr">
        <is>
          <t>Colossus 2</t>
        </is>
      </c>
      <c r="F1002" s="3" t="inlineStr">
        <is>
          <t>SpaceXAI</t>
        </is>
      </c>
      <c r="G1002" s="3" t="inlineStr">
        <is>
          <t>United States</t>
        </is>
      </c>
      <c r="H1002" s="25" t="n">
        <v>315.333</v>
      </c>
      <c r="I1002" s="17" t="n">
        <v>1</v>
      </c>
      <c r="J1002" s="17" t="n">
        <v>0.6</v>
      </c>
      <c r="K1002" s="26" t="n">
        <v>0.4</v>
      </c>
      <c r="L1002" s="3" t="inlineStr">
        <is>
          <t>2026-07-01</t>
        </is>
      </c>
      <c r="M1002" s="27" t="n">
        <v>315.3333333333333</v>
      </c>
      <c r="N1002" s="27" t="n">
        <v>315.333</v>
      </c>
      <c r="O1002" s="3" t="inlineStr">
        <is>
          <t>confident</t>
        </is>
      </c>
      <c r="P1002" s="3" t="inlineStr">
        <is>
          <t>B200,B300</t>
        </is>
      </c>
      <c r="Q1002" s="3" t="inlineStr">
        <is>
          <t>epoch_user_site_equal_split_seed</t>
        </is>
      </c>
      <c r="R1002" s="3" t="inlineStr">
        <is>
          <t>SRC_EPOCH_AI_DATA_CENTERS; EPOCH_NORMALIZED_USER_SITES</t>
        </is>
      </c>
      <c r="S1002" s="3" t="inlineStr">
        <is>
          <t>Capacity weight is used only to weight accelerator mix, not to overwrite company total power in 02_Inputs.</t>
        </is>
      </c>
    </row>
    <row r="1003">
      <c r="A1003" s="3" t="inlineStr">
        <is>
          <t>Base|xAI|2026|Colossus 2</t>
        </is>
      </c>
      <c r="B1003" s="3" t="inlineStr">
        <is>
          <t>Base</t>
        </is>
      </c>
      <c r="C1003" s="3" t="inlineStr">
        <is>
          <t>xAI</t>
        </is>
      </c>
      <c r="D1003" s="3" t="n">
        <v>2026</v>
      </c>
      <c r="E1003" s="3" t="inlineStr">
        <is>
          <t>Colossus 2</t>
        </is>
      </c>
      <c r="F1003" s="3" t="inlineStr">
        <is>
          <t>SpaceXAI</t>
        </is>
      </c>
      <c r="G1003" s="3" t="inlineStr">
        <is>
          <t>United States</t>
        </is>
      </c>
      <c r="H1003" s="25" t="n">
        <v>315.333</v>
      </c>
      <c r="I1003" s="17" t="n">
        <v>1</v>
      </c>
      <c r="J1003" s="17" t="n">
        <v>0.45</v>
      </c>
      <c r="K1003" s="26" t="n">
        <v>0.55</v>
      </c>
      <c r="L1003" s="3" t="inlineStr">
        <is>
          <t>2026-07-01</t>
        </is>
      </c>
      <c r="M1003" s="27" t="n">
        <v>315.3333333333333</v>
      </c>
      <c r="N1003" s="27" t="n">
        <v>315.333</v>
      </c>
      <c r="O1003" s="3" t="inlineStr">
        <is>
          <t>confident</t>
        </is>
      </c>
      <c r="P1003" s="3" t="inlineStr">
        <is>
          <t>B200,B300</t>
        </is>
      </c>
      <c r="Q1003" s="3" t="inlineStr">
        <is>
          <t>epoch_user_site_equal_split_seed</t>
        </is>
      </c>
      <c r="R1003" s="3" t="inlineStr">
        <is>
          <t>SRC_EPOCH_AI_DATA_CENTERS; EPOCH_NORMALIZED_USER_SITES</t>
        </is>
      </c>
      <c r="S1003" s="3" t="inlineStr">
        <is>
          <t>Capacity weight is used only to weight accelerator mix, not to overwrite company total power in 02_Inputs.</t>
        </is>
      </c>
    </row>
    <row r="1004">
      <c r="A1004" s="3" t="inlineStr">
        <is>
          <t>Base|xAI|2027|Colossus 2</t>
        </is>
      </c>
      <c r="B1004" s="3" t="inlineStr">
        <is>
          <t>Base</t>
        </is>
      </c>
      <c r="C1004" s="3" t="inlineStr">
        <is>
          <t>xAI</t>
        </is>
      </c>
      <c r="D1004" s="3" t="n">
        <v>2027</v>
      </c>
      <c r="E1004" s="3" t="inlineStr">
        <is>
          <t>Colossus 2</t>
        </is>
      </c>
      <c r="F1004" s="3" t="inlineStr">
        <is>
          <t>SpaceXAI</t>
        </is>
      </c>
      <c r="G1004" s="3" t="inlineStr">
        <is>
          <t>United States</t>
        </is>
      </c>
      <c r="H1004" s="25" t="n">
        <v>315.333</v>
      </c>
      <c r="I1004" s="17" t="n">
        <v>1</v>
      </c>
      <c r="J1004" s="17" t="n">
        <v>0.512</v>
      </c>
      <c r="K1004" s="26" t="n">
        <v>0.488</v>
      </c>
      <c r="L1004" s="3" t="inlineStr">
        <is>
          <t>2026-07-01</t>
        </is>
      </c>
      <c r="M1004" s="27" t="n">
        <v>315.3333333333333</v>
      </c>
      <c r="N1004" s="27" t="n">
        <v>315.333</v>
      </c>
      <c r="O1004" s="3" t="inlineStr">
        <is>
          <t>confident</t>
        </is>
      </c>
      <c r="P1004" s="3" t="inlineStr">
        <is>
          <t>B200,B300</t>
        </is>
      </c>
      <c r="Q1004" s="3" t="inlineStr">
        <is>
          <t>epoch_user_site_equal_split_seed</t>
        </is>
      </c>
      <c r="R1004" s="3" t="inlineStr">
        <is>
          <t>SRC_EPOCH_AI_DATA_CENTERS; EPOCH_NORMALIZED_USER_SITES</t>
        </is>
      </c>
      <c r="S1004" s="3" t="inlineStr">
        <is>
          <t>Capacity weight is used only to weight accelerator mix, not to overwrite company total power in 02_Inputs.</t>
        </is>
      </c>
    </row>
    <row r="1005">
      <c r="A1005" s="3" t="inlineStr">
        <is>
          <t>Base|xAI|2028|Colossus 2</t>
        </is>
      </c>
      <c r="B1005" s="3" t="inlineStr">
        <is>
          <t>Base</t>
        </is>
      </c>
      <c r="C1005" s="3" t="inlineStr">
        <is>
          <t>xAI</t>
        </is>
      </c>
      <c r="D1005" s="3" t="n">
        <v>2028</v>
      </c>
      <c r="E1005" s="3" t="inlineStr">
        <is>
          <t>Colossus 2</t>
        </is>
      </c>
      <c r="F1005" s="3" t="inlineStr">
        <is>
          <t>SpaceXAI</t>
        </is>
      </c>
      <c r="G1005" s="3" t="inlineStr">
        <is>
          <t>United States</t>
        </is>
      </c>
      <c r="H1005" s="25" t="n">
        <v>315.333</v>
      </c>
      <c r="I1005" s="17" t="n">
        <v>1</v>
      </c>
      <c r="J1005" s="17" t="n">
        <v>0.575</v>
      </c>
      <c r="K1005" s="26" t="n">
        <v>0.425</v>
      </c>
      <c r="L1005" s="3" t="inlineStr">
        <is>
          <t>2026-07-01</t>
        </is>
      </c>
      <c r="M1005" s="27" t="n">
        <v>315.3333333333333</v>
      </c>
      <c r="N1005" s="27" t="n">
        <v>315.333</v>
      </c>
      <c r="O1005" s="3" t="inlineStr">
        <is>
          <t>confident</t>
        </is>
      </c>
      <c r="P1005" s="3" t="inlineStr">
        <is>
          <t>B200,B300</t>
        </is>
      </c>
      <c r="Q1005" s="3" t="inlineStr">
        <is>
          <t>epoch_user_site_equal_split_seed</t>
        </is>
      </c>
      <c r="R1005" s="3" t="inlineStr">
        <is>
          <t>SRC_EPOCH_AI_DATA_CENTERS; EPOCH_NORMALIZED_USER_SITES</t>
        </is>
      </c>
      <c r="S1005" s="3" t="inlineStr">
        <is>
          <t>Capacity weight is used only to weight accelerator mix, not to overwrite company total power in 02_Inputs.</t>
        </is>
      </c>
    </row>
    <row r="1006">
      <c r="A1006" s="3" t="inlineStr">
        <is>
          <t>Base|xAI|2029|Colossus 2</t>
        </is>
      </c>
      <c r="B1006" s="3" t="inlineStr">
        <is>
          <t>Base</t>
        </is>
      </c>
      <c r="C1006" s="3" t="inlineStr">
        <is>
          <t>xAI</t>
        </is>
      </c>
      <c r="D1006" s="3" t="n">
        <v>2029</v>
      </c>
      <c r="E1006" s="3" t="inlineStr">
        <is>
          <t>Colossus 2</t>
        </is>
      </c>
      <c r="F1006" s="3" t="inlineStr">
        <is>
          <t>SpaceXAI</t>
        </is>
      </c>
      <c r="G1006" s="3" t="inlineStr">
        <is>
          <t>United States</t>
        </is>
      </c>
      <c r="H1006" s="25" t="n">
        <v>315.333</v>
      </c>
      <c r="I1006" s="17" t="n">
        <v>1</v>
      </c>
      <c r="J1006" s="17" t="n">
        <v>0.637</v>
      </c>
      <c r="K1006" s="26" t="n">
        <v>0.363</v>
      </c>
      <c r="L1006" s="3" t="inlineStr">
        <is>
          <t>2026-07-01</t>
        </is>
      </c>
      <c r="M1006" s="27" t="n">
        <v>315.3333333333333</v>
      </c>
      <c r="N1006" s="27" t="n">
        <v>315.333</v>
      </c>
      <c r="O1006" s="3" t="inlineStr">
        <is>
          <t>confident</t>
        </is>
      </c>
      <c r="P1006" s="3" t="inlineStr">
        <is>
          <t>B200,B300</t>
        </is>
      </c>
      <c r="Q1006" s="3" t="inlineStr">
        <is>
          <t>epoch_user_site_equal_split_seed</t>
        </is>
      </c>
      <c r="R1006" s="3" t="inlineStr">
        <is>
          <t>SRC_EPOCH_AI_DATA_CENTERS; EPOCH_NORMALIZED_USER_SITES</t>
        </is>
      </c>
      <c r="S1006" s="3" t="inlineStr">
        <is>
          <t>Capacity weight is used only to weight accelerator mix, not to overwrite company total power in 02_Inputs.</t>
        </is>
      </c>
    </row>
    <row r="1007">
      <c r="A1007" s="3" t="inlineStr">
        <is>
          <t>Base|xAI|2030|Colossus 2</t>
        </is>
      </c>
      <c r="B1007" s="3" t="inlineStr">
        <is>
          <t>Base</t>
        </is>
      </c>
      <c r="C1007" s="3" t="inlineStr">
        <is>
          <t>xAI</t>
        </is>
      </c>
      <c r="D1007" s="3" t="n">
        <v>2030</v>
      </c>
      <c r="E1007" s="3" t="inlineStr">
        <is>
          <t>Colossus 2</t>
        </is>
      </c>
      <c r="F1007" s="3" t="inlineStr">
        <is>
          <t>SpaceXAI</t>
        </is>
      </c>
      <c r="G1007" s="3" t="inlineStr">
        <is>
          <t>United States</t>
        </is>
      </c>
      <c r="H1007" s="25" t="n">
        <v>315.333</v>
      </c>
      <c r="I1007" s="17" t="n">
        <v>1</v>
      </c>
      <c r="J1007" s="17" t="n">
        <v>0.7</v>
      </c>
      <c r="K1007" s="26" t="n">
        <v>0.3</v>
      </c>
      <c r="L1007" s="3" t="inlineStr">
        <is>
          <t>2026-07-01</t>
        </is>
      </c>
      <c r="M1007" s="27" t="n">
        <v>315.3333333333333</v>
      </c>
      <c r="N1007" s="27" t="n">
        <v>315.333</v>
      </c>
      <c r="O1007" s="3" t="inlineStr">
        <is>
          <t>confident</t>
        </is>
      </c>
      <c r="P1007" s="3" t="inlineStr">
        <is>
          <t>B200,B300</t>
        </is>
      </c>
      <c r="Q1007" s="3" t="inlineStr">
        <is>
          <t>epoch_user_site_equal_split_seed</t>
        </is>
      </c>
      <c r="R1007" s="3" t="inlineStr">
        <is>
          <t>SRC_EPOCH_AI_DATA_CENTERS; EPOCH_NORMALIZED_USER_SITES</t>
        </is>
      </c>
      <c r="S1007" s="3" t="inlineStr">
        <is>
          <t>Capacity weight is used only to weight accelerator mix, not to overwrite company total power in 02_Inputs.</t>
        </is>
      </c>
    </row>
    <row r="1008">
      <c r="A1008" s="3" t="inlineStr">
        <is>
          <t>Bull|xAI|2026|Colossus 2</t>
        </is>
      </c>
      <c r="B1008" s="3" t="inlineStr">
        <is>
          <t>Bull</t>
        </is>
      </c>
      <c r="C1008" s="3" t="inlineStr">
        <is>
          <t>xAI</t>
        </is>
      </c>
      <c r="D1008" s="3" t="n">
        <v>2026</v>
      </c>
      <c r="E1008" s="3" t="inlineStr">
        <is>
          <t>Colossus 2</t>
        </is>
      </c>
      <c r="F1008" s="3" t="inlineStr">
        <is>
          <t>SpaceXAI</t>
        </is>
      </c>
      <c r="G1008" s="3" t="inlineStr">
        <is>
          <t>United States</t>
        </is>
      </c>
      <c r="H1008" s="25" t="n">
        <v>315.333</v>
      </c>
      <c r="I1008" s="17" t="n">
        <v>1</v>
      </c>
      <c r="J1008" s="17" t="n">
        <v>0.5</v>
      </c>
      <c r="K1008" s="26" t="n">
        <v>0.5</v>
      </c>
      <c r="L1008" s="3" t="inlineStr">
        <is>
          <t>2026-07-01</t>
        </is>
      </c>
      <c r="M1008" s="27" t="n">
        <v>315.3333333333333</v>
      </c>
      <c r="N1008" s="27" t="n">
        <v>315.333</v>
      </c>
      <c r="O1008" s="3" t="inlineStr">
        <is>
          <t>confident</t>
        </is>
      </c>
      <c r="P1008" s="3" t="inlineStr">
        <is>
          <t>B200,B300</t>
        </is>
      </c>
      <c r="Q1008" s="3" t="inlineStr">
        <is>
          <t>epoch_user_site_equal_split_seed</t>
        </is>
      </c>
      <c r="R1008" s="3" t="inlineStr">
        <is>
          <t>SRC_EPOCH_AI_DATA_CENTERS; EPOCH_NORMALIZED_USER_SITES</t>
        </is>
      </c>
      <c r="S1008" s="3" t="inlineStr">
        <is>
          <t>Capacity weight is used only to weight accelerator mix, not to overwrite company total power in 02_Inputs.</t>
        </is>
      </c>
    </row>
    <row r="1009">
      <c r="A1009" s="3" t="inlineStr">
        <is>
          <t>Bull|xAI|2027|Colossus 2</t>
        </is>
      </c>
      <c r="B1009" s="3" t="inlineStr">
        <is>
          <t>Bull</t>
        </is>
      </c>
      <c r="C1009" s="3" t="inlineStr">
        <is>
          <t>xAI</t>
        </is>
      </c>
      <c r="D1009" s="3" t="n">
        <v>2027</v>
      </c>
      <c r="E1009" s="3" t="inlineStr">
        <is>
          <t>Colossus 2</t>
        </is>
      </c>
      <c r="F1009" s="3" t="inlineStr">
        <is>
          <t>SpaceXAI</t>
        </is>
      </c>
      <c r="G1009" s="3" t="inlineStr">
        <is>
          <t>United States</t>
        </is>
      </c>
      <c r="H1009" s="25" t="n">
        <v>315.333</v>
      </c>
      <c r="I1009" s="17" t="n">
        <v>1</v>
      </c>
      <c r="J1009" s="17" t="n">
        <v>0.57</v>
      </c>
      <c r="K1009" s="26" t="n">
        <v>0.43</v>
      </c>
      <c r="L1009" s="3" t="inlineStr">
        <is>
          <t>2026-07-01</t>
        </is>
      </c>
      <c r="M1009" s="27" t="n">
        <v>315.3333333333333</v>
      </c>
      <c r="N1009" s="27" t="n">
        <v>315.333</v>
      </c>
      <c r="O1009" s="3" t="inlineStr">
        <is>
          <t>confident</t>
        </is>
      </c>
      <c r="P1009" s="3" t="inlineStr">
        <is>
          <t>B200,B300</t>
        </is>
      </c>
      <c r="Q1009" s="3" t="inlineStr">
        <is>
          <t>epoch_user_site_equal_split_seed</t>
        </is>
      </c>
      <c r="R1009" s="3" t="inlineStr">
        <is>
          <t>SRC_EPOCH_AI_DATA_CENTERS; EPOCH_NORMALIZED_USER_SITES</t>
        </is>
      </c>
      <c r="S1009" s="3" t="inlineStr">
        <is>
          <t>Capacity weight is used only to weight accelerator mix, not to overwrite company total power in 02_Inputs.</t>
        </is>
      </c>
    </row>
    <row r="1010">
      <c r="A1010" s="3" t="inlineStr">
        <is>
          <t>Bull|xAI|2028|Colossus 2</t>
        </is>
      </c>
      <c r="B1010" s="3" t="inlineStr">
        <is>
          <t>Bull</t>
        </is>
      </c>
      <c r="C1010" s="3" t="inlineStr">
        <is>
          <t>xAI</t>
        </is>
      </c>
      <c r="D1010" s="3" t="n">
        <v>2028</v>
      </c>
      <c r="E1010" s="3" t="inlineStr">
        <is>
          <t>Colossus 2</t>
        </is>
      </c>
      <c r="F1010" s="3" t="inlineStr">
        <is>
          <t>SpaceXAI</t>
        </is>
      </c>
      <c r="G1010" s="3" t="inlineStr">
        <is>
          <t>United States</t>
        </is>
      </c>
      <c r="H1010" s="25" t="n">
        <v>315.333</v>
      </c>
      <c r="I1010" s="17" t="n">
        <v>1</v>
      </c>
      <c r="J1010" s="17" t="n">
        <v>0.64</v>
      </c>
      <c r="K1010" s="26" t="n">
        <v>0.36</v>
      </c>
      <c r="L1010" s="3" t="inlineStr">
        <is>
          <t>2026-07-01</t>
        </is>
      </c>
      <c r="M1010" s="27" t="n">
        <v>315.3333333333333</v>
      </c>
      <c r="N1010" s="27" t="n">
        <v>315.333</v>
      </c>
      <c r="O1010" s="3" t="inlineStr">
        <is>
          <t>confident</t>
        </is>
      </c>
      <c r="P1010" s="3" t="inlineStr">
        <is>
          <t>B200,B300</t>
        </is>
      </c>
      <c r="Q1010" s="3" t="inlineStr">
        <is>
          <t>epoch_user_site_equal_split_seed</t>
        </is>
      </c>
      <c r="R1010" s="3" t="inlineStr">
        <is>
          <t>SRC_EPOCH_AI_DATA_CENTERS; EPOCH_NORMALIZED_USER_SITES</t>
        </is>
      </c>
      <c r="S1010" s="3" t="inlineStr">
        <is>
          <t>Capacity weight is used only to weight accelerator mix, not to overwrite company total power in 02_Inputs.</t>
        </is>
      </c>
    </row>
    <row r="1011">
      <c r="A1011" s="3" t="inlineStr">
        <is>
          <t>Bull|xAI|2029|Colossus 2</t>
        </is>
      </c>
      <c r="B1011" s="3" t="inlineStr">
        <is>
          <t>Bull</t>
        </is>
      </c>
      <c r="C1011" s="3" t="inlineStr">
        <is>
          <t>xAI</t>
        </is>
      </c>
      <c r="D1011" s="3" t="n">
        <v>2029</v>
      </c>
      <c r="E1011" s="3" t="inlineStr">
        <is>
          <t>Colossus 2</t>
        </is>
      </c>
      <c r="F1011" s="3" t="inlineStr">
        <is>
          <t>SpaceXAI</t>
        </is>
      </c>
      <c r="G1011" s="3" t="inlineStr">
        <is>
          <t>United States</t>
        </is>
      </c>
      <c r="H1011" s="25" t="n">
        <v>315.333</v>
      </c>
      <c r="I1011" s="17" t="n">
        <v>1</v>
      </c>
      <c r="J1011" s="17" t="n">
        <v>0.71</v>
      </c>
      <c r="K1011" s="26" t="n">
        <v>0.29</v>
      </c>
      <c r="L1011" s="3" t="inlineStr">
        <is>
          <t>2026-07-01</t>
        </is>
      </c>
      <c r="M1011" s="27" t="n">
        <v>315.3333333333333</v>
      </c>
      <c r="N1011" s="27" t="n">
        <v>315.333</v>
      </c>
      <c r="O1011" s="3" t="inlineStr">
        <is>
          <t>confident</t>
        </is>
      </c>
      <c r="P1011" s="3" t="inlineStr">
        <is>
          <t>B200,B300</t>
        </is>
      </c>
      <c r="Q1011" s="3" t="inlineStr">
        <is>
          <t>epoch_user_site_equal_split_seed</t>
        </is>
      </c>
      <c r="R1011" s="3" t="inlineStr">
        <is>
          <t>SRC_EPOCH_AI_DATA_CENTERS; EPOCH_NORMALIZED_USER_SITES</t>
        </is>
      </c>
      <c r="S1011" s="3" t="inlineStr">
        <is>
          <t>Capacity weight is used only to weight accelerator mix, not to overwrite company total power in 02_Inputs.</t>
        </is>
      </c>
    </row>
    <row r="1012">
      <c r="A1012" s="3" t="inlineStr">
        <is>
          <t>Bull|xAI|2030|Colossus 2</t>
        </is>
      </c>
      <c r="B1012" s="3" t="inlineStr">
        <is>
          <t>Bull</t>
        </is>
      </c>
      <c r="C1012" s="3" t="inlineStr">
        <is>
          <t>xAI</t>
        </is>
      </c>
      <c r="D1012" s="3" t="n">
        <v>2030</v>
      </c>
      <c r="E1012" s="3" t="inlineStr">
        <is>
          <t>Colossus 2</t>
        </is>
      </c>
      <c r="F1012" s="3" t="inlineStr">
        <is>
          <t>SpaceXAI</t>
        </is>
      </c>
      <c r="G1012" s="3" t="inlineStr">
        <is>
          <t>United States</t>
        </is>
      </c>
      <c r="H1012" s="25" t="n">
        <v>315.333</v>
      </c>
      <c r="I1012" s="17" t="n">
        <v>1</v>
      </c>
      <c r="J1012" s="17" t="n">
        <v>0.78</v>
      </c>
      <c r="K1012" s="26" t="n">
        <v>0.22</v>
      </c>
      <c r="L1012" s="3" t="inlineStr">
        <is>
          <t>2026-07-01</t>
        </is>
      </c>
      <c r="M1012" s="27" t="n">
        <v>315.3333333333333</v>
      </c>
      <c r="N1012" s="27" t="n">
        <v>315.333</v>
      </c>
      <c r="O1012" s="3" t="inlineStr">
        <is>
          <t>confident</t>
        </is>
      </c>
      <c r="P1012" s="3" t="inlineStr">
        <is>
          <t>B200,B300</t>
        </is>
      </c>
      <c r="Q1012" s="3" t="inlineStr">
        <is>
          <t>epoch_user_site_equal_split_seed</t>
        </is>
      </c>
      <c r="R1012" s="3" t="inlineStr">
        <is>
          <t>SRC_EPOCH_AI_DATA_CENTERS; EPOCH_NORMALIZED_USER_SITES</t>
        </is>
      </c>
      <c r="S1012" s="3" t="inlineStr">
        <is>
          <t>Capacity weight is used only to weight accelerator mix, not to overwrite company total power in 02_Inputs.</t>
        </is>
      </c>
    </row>
    <row r="1013">
      <c r="A1013" s="3" t="inlineStr">
        <is>
          <t>Grid-Constrained / Efficiency-Upside|xAI|2026|Colossus 2</t>
        </is>
      </c>
      <c r="B1013" s="3" t="inlineStr">
        <is>
          <t>Grid-Constrained / Efficiency-Upside</t>
        </is>
      </c>
      <c r="C1013" s="3" t="inlineStr">
        <is>
          <t>xAI</t>
        </is>
      </c>
      <c r="D1013" s="3" t="n">
        <v>2026</v>
      </c>
      <c r="E1013" s="3" t="inlineStr">
        <is>
          <t>Colossus 2</t>
        </is>
      </c>
      <c r="F1013" s="3" t="inlineStr">
        <is>
          <t>SpaceXAI</t>
        </is>
      </c>
      <c r="G1013" s="3" t="inlineStr">
        <is>
          <t>United States</t>
        </is>
      </c>
      <c r="H1013" s="25" t="n">
        <v>315.333</v>
      </c>
      <c r="I1013" s="17" t="n">
        <v>1</v>
      </c>
      <c r="J1013" s="17" t="n">
        <v>0.47</v>
      </c>
      <c r="K1013" s="26" t="n">
        <v>0.53</v>
      </c>
      <c r="L1013" s="3" t="inlineStr">
        <is>
          <t>2026-07-01</t>
        </is>
      </c>
      <c r="M1013" s="27" t="n">
        <v>315.3333333333333</v>
      </c>
      <c r="N1013" s="27" t="n">
        <v>315.333</v>
      </c>
      <c r="O1013" s="3" t="inlineStr">
        <is>
          <t>confident</t>
        </is>
      </c>
      <c r="P1013" s="3" t="inlineStr">
        <is>
          <t>B200,B300</t>
        </is>
      </c>
      <c r="Q1013" s="3" t="inlineStr">
        <is>
          <t>epoch_user_site_equal_split_seed</t>
        </is>
      </c>
      <c r="R1013" s="3" t="inlineStr">
        <is>
          <t>SRC_EPOCH_AI_DATA_CENTERS; EPOCH_NORMALIZED_USER_SITES</t>
        </is>
      </c>
      <c r="S1013" s="3" t="inlineStr">
        <is>
          <t>Capacity weight is used only to weight accelerator mix, not to overwrite company total power in 02_Inputs.</t>
        </is>
      </c>
    </row>
    <row r="1014">
      <c r="A1014" s="3" t="inlineStr">
        <is>
          <t>Grid-Constrained / Efficiency-Upside|xAI|2027|Colossus 2</t>
        </is>
      </c>
      <c r="B1014" s="3" t="inlineStr">
        <is>
          <t>Grid-Constrained / Efficiency-Upside</t>
        </is>
      </c>
      <c r="C1014" s="3" t="inlineStr">
        <is>
          <t>xAI</t>
        </is>
      </c>
      <c r="D1014" s="3" t="n">
        <v>2027</v>
      </c>
      <c r="E1014" s="3" t="inlineStr">
        <is>
          <t>Colossus 2</t>
        </is>
      </c>
      <c r="F1014" s="3" t="inlineStr">
        <is>
          <t>SpaceXAI</t>
        </is>
      </c>
      <c r="G1014" s="3" t="inlineStr">
        <is>
          <t>United States</t>
        </is>
      </c>
      <c r="H1014" s="25" t="n">
        <v>315.333</v>
      </c>
      <c r="I1014" s="17" t="n">
        <v>1</v>
      </c>
      <c r="J1014" s="17" t="n">
        <v>0.537</v>
      </c>
      <c r="K1014" s="26" t="n">
        <v>0.463</v>
      </c>
      <c r="L1014" s="3" t="inlineStr">
        <is>
          <t>2026-07-01</t>
        </is>
      </c>
      <c r="M1014" s="27" t="n">
        <v>315.3333333333333</v>
      </c>
      <c r="N1014" s="27" t="n">
        <v>315.333</v>
      </c>
      <c r="O1014" s="3" t="inlineStr">
        <is>
          <t>confident</t>
        </is>
      </c>
      <c r="P1014" s="3" t="inlineStr">
        <is>
          <t>B200,B300</t>
        </is>
      </c>
      <c r="Q1014" s="3" t="inlineStr">
        <is>
          <t>epoch_user_site_equal_split_seed</t>
        </is>
      </c>
      <c r="R1014" s="3" t="inlineStr">
        <is>
          <t>SRC_EPOCH_AI_DATA_CENTERS; EPOCH_NORMALIZED_USER_SITES</t>
        </is>
      </c>
      <c r="S1014" s="3" t="inlineStr">
        <is>
          <t>Capacity weight is used only to weight accelerator mix, not to overwrite company total power in 02_Inputs.</t>
        </is>
      </c>
    </row>
    <row r="1015">
      <c r="A1015" s="3" t="inlineStr">
        <is>
          <t>Grid-Constrained / Efficiency-Upside|xAI|2028|Colossus 2</t>
        </is>
      </c>
      <c r="B1015" s="3" t="inlineStr">
        <is>
          <t>Grid-Constrained / Efficiency-Upside</t>
        </is>
      </c>
      <c r="C1015" s="3" t="inlineStr">
        <is>
          <t>xAI</t>
        </is>
      </c>
      <c r="D1015" s="3" t="n">
        <v>2028</v>
      </c>
      <c r="E1015" s="3" t="inlineStr">
        <is>
          <t>Colossus 2</t>
        </is>
      </c>
      <c r="F1015" s="3" t="inlineStr">
        <is>
          <t>SpaceXAI</t>
        </is>
      </c>
      <c r="G1015" s="3" t="inlineStr">
        <is>
          <t>United States</t>
        </is>
      </c>
      <c r="H1015" s="25" t="n">
        <v>315.333</v>
      </c>
      <c r="I1015" s="17" t="n">
        <v>1</v>
      </c>
      <c r="J1015" s="17" t="n">
        <v>0.605</v>
      </c>
      <c r="K1015" s="26" t="n">
        <v>0.395</v>
      </c>
      <c r="L1015" s="3" t="inlineStr">
        <is>
          <t>2026-07-01</t>
        </is>
      </c>
      <c r="M1015" s="27" t="n">
        <v>315.3333333333333</v>
      </c>
      <c r="N1015" s="27" t="n">
        <v>315.333</v>
      </c>
      <c r="O1015" s="3" t="inlineStr">
        <is>
          <t>confident</t>
        </is>
      </c>
      <c r="P1015" s="3" t="inlineStr">
        <is>
          <t>B200,B300</t>
        </is>
      </c>
      <c r="Q1015" s="3" t="inlineStr">
        <is>
          <t>epoch_user_site_equal_split_seed</t>
        </is>
      </c>
      <c r="R1015" s="3" t="inlineStr">
        <is>
          <t>SRC_EPOCH_AI_DATA_CENTERS; EPOCH_NORMALIZED_USER_SITES</t>
        </is>
      </c>
      <c r="S1015" s="3" t="inlineStr">
        <is>
          <t>Capacity weight is used only to weight accelerator mix, not to overwrite company total power in 02_Inputs.</t>
        </is>
      </c>
    </row>
    <row r="1016">
      <c r="A1016" s="3" t="inlineStr">
        <is>
          <t>Grid-Constrained / Efficiency-Upside|xAI|2029|Colossus 2</t>
        </is>
      </c>
      <c r="B1016" s="3" t="inlineStr">
        <is>
          <t>Grid-Constrained / Efficiency-Upside</t>
        </is>
      </c>
      <c r="C1016" s="3" t="inlineStr">
        <is>
          <t>xAI</t>
        </is>
      </c>
      <c r="D1016" s="3" t="n">
        <v>2029</v>
      </c>
      <c r="E1016" s="3" t="inlineStr">
        <is>
          <t>Colossus 2</t>
        </is>
      </c>
      <c r="F1016" s="3" t="inlineStr">
        <is>
          <t>SpaceXAI</t>
        </is>
      </c>
      <c r="G1016" s="3" t="inlineStr">
        <is>
          <t>United States</t>
        </is>
      </c>
      <c r="H1016" s="25" t="n">
        <v>315.333</v>
      </c>
      <c r="I1016" s="17" t="n">
        <v>1</v>
      </c>
      <c r="J1016" s="17" t="n">
        <v>0.672</v>
      </c>
      <c r="K1016" s="26" t="n">
        <v>0.328</v>
      </c>
      <c r="L1016" s="3" t="inlineStr">
        <is>
          <t>2026-07-01</t>
        </is>
      </c>
      <c r="M1016" s="27" t="n">
        <v>315.3333333333333</v>
      </c>
      <c r="N1016" s="27" t="n">
        <v>315.333</v>
      </c>
      <c r="O1016" s="3" t="inlineStr">
        <is>
          <t>confident</t>
        </is>
      </c>
      <c r="P1016" s="3" t="inlineStr">
        <is>
          <t>B200,B300</t>
        </is>
      </c>
      <c r="Q1016" s="3" t="inlineStr">
        <is>
          <t>epoch_user_site_equal_split_seed</t>
        </is>
      </c>
      <c r="R1016" s="3" t="inlineStr">
        <is>
          <t>SRC_EPOCH_AI_DATA_CENTERS; EPOCH_NORMALIZED_USER_SITES</t>
        </is>
      </c>
      <c r="S1016" s="3" t="inlineStr">
        <is>
          <t>Capacity weight is used only to weight accelerator mix, not to overwrite company total power in 02_Inputs.</t>
        </is>
      </c>
    </row>
    <row r="1017">
      <c r="A1017" s="3" t="inlineStr">
        <is>
          <t>Grid-Constrained / Efficiency-Upside|xAI|2030|Colossus 2</t>
        </is>
      </c>
      <c r="B1017" s="3" t="inlineStr">
        <is>
          <t>Grid-Constrained / Efficiency-Upside</t>
        </is>
      </c>
      <c r="C1017" s="3" t="inlineStr">
        <is>
          <t>xAI</t>
        </is>
      </c>
      <c r="D1017" s="3" t="n">
        <v>2030</v>
      </c>
      <c r="E1017" s="3" t="inlineStr">
        <is>
          <t>Colossus 2</t>
        </is>
      </c>
      <c r="F1017" s="3" t="inlineStr">
        <is>
          <t>SpaceXAI</t>
        </is>
      </c>
      <c r="G1017" s="3" t="inlineStr">
        <is>
          <t>United States</t>
        </is>
      </c>
      <c r="H1017" s="25" t="n">
        <v>315.333</v>
      </c>
      <c r="I1017" s="17" t="n">
        <v>1</v>
      </c>
      <c r="J1017" s="17" t="n">
        <v>0.74</v>
      </c>
      <c r="K1017" s="26" t="n">
        <v>0.26</v>
      </c>
      <c r="L1017" s="3" t="inlineStr">
        <is>
          <t>2026-07-01</t>
        </is>
      </c>
      <c r="M1017" s="27" t="n">
        <v>315.3333333333333</v>
      </c>
      <c r="N1017" s="27" t="n">
        <v>315.333</v>
      </c>
      <c r="O1017" s="3" t="inlineStr">
        <is>
          <t>confident</t>
        </is>
      </c>
      <c r="P1017" s="3" t="inlineStr">
        <is>
          <t>B200,B300</t>
        </is>
      </c>
      <c r="Q1017" s="3" t="inlineStr">
        <is>
          <t>epoch_user_site_equal_split_seed</t>
        </is>
      </c>
      <c r="R1017" s="3" t="inlineStr">
        <is>
          <t>SRC_EPOCH_AI_DATA_CENTERS; EPOCH_NORMALIZED_USER_SITES</t>
        </is>
      </c>
      <c r="S1017" s="3" t="inlineStr">
        <is>
          <t>Capacity weight is used only to weight accelerator mix, not to overwrite company total power in 02_Inputs.</t>
        </is>
      </c>
    </row>
    <row r="1018">
      <c r="A1018" s="3" t="inlineStr">
        <is>
          <t>Bear|DeepSeek|2026|Legacy company envelope - DeepSeek</t>
        </is>
      </c>
      <c r="B1018" s="3" t="inlineStr">
        <is>
          <t>Bear</t>
        </is>
      </c>
      <c r="C1018" s="3" t="inlineStr">
        <is>
          <t>DeepSeek</t>
        </is>
      </c>
      <c r="D1018" s="3" t="n">
        <v>2026</v>
      </c>
      <c r="E1018" s="3" t="inlineStr">
        <is>
          <t>Legacy company envelope - DeepSeek</t>
        </is>
      </c>
      <c r="F1018" s="3" t="inlineStr">
        <is>
          <t>DeepSeek</t>
        </is>
      </c>
      <c r="G1018" s="3" t="inlineStr"/>
      <c r="H1018" s="25" t="n">
        <v>89</v>
      </c>
      <c r="I1018" s="17" t="n">
        <v>1</v>
      </c>
      <c r="J1018" s="17" t="n">
        <v>0.54</v>
      </c>
      <c r="K1018" s="26" t="n">
        <v>0.46</v>
      </c>
      <c r="L1018" s="3" t="inlineStr"/>
      <c r="M1018" s="27" t="inlineStr"/>
      <c r="N1018" s="27" t="inlineStr"/>
      <c r="O1018" s="3" t="inlineStr">
        <is>
          <t>Parameter High / Capacity Low-Medium</t>
        </is>
      </c>
      <c r="P1018" s="3" t="inlineStr"/>
      <c r="Q1018" s="3" t="inlineStr">
        <is>
          <t>legacy_company_envelope_fallback</t>
        </is>
      </c>
      <c r="R1018" s="3" t="inlineStr">
        <is>
          <t>SRC_DEEPSEEK_V3; SRC_DEEPSEEK_R1; SRC_DEEPSEEK_H800_INFERENCE</t>
        </is>
      </c>
      <c r="S1018" s="3" t="inlineStr">
        <is>
          <t>No mapped Epoch user-site rows were available, so the prior company-level accelerator mix remains as an editable fallback.</t>
        </is>
      </c>
    </row>
    <row r="1019">
      <c r="A1019" s="3" t="inlineStr">
        <is>
          <t>Bear|DeepSeek|2027|Legacy company envelope - DeepSeek</t>
        </is>
      </c>
      <c r="B1019" s="3" t="inlineStr">
        <is>
          <t>Bear</t>
        </is>
      </c>
      <c r="C1019" s="3" t="inlineStr">
        <is>
          <t>DeepSeek</t>
        </is>
      </c>
      <c r="D1019" s="3" t="n">
        <v>2027</v>
      </c>
      <c r="E1019" s="3" t="inlineStr">
        <is>
          <t>Legacy company envelope - DeepSeek</t>
        </is>
      </c>
      <c r="F1019" s="3" t="inlineStr">
        <is>
          <t>DeepSeek</t>
        </is>
      </c>
      <c r="G1019" s="3" t="inlineStr"/>
      <c r="H1019" s="25" t="n">
        <v>240</v>
      </c>
      <c r="I1019" s="17" t="n">
        <v>1</v>
      </c>
      <c r="J1019" s="17" t="n">
        <v>0.585</v>
      </c>
      <c r="K1019" s="26" t="n">
        <v>0.415</v>
      </c>
      <c r="L1019" s="3" t="inlineStr"/>
      <c r="M1019" s="27" t="inlineStr"/>
      <c r="N1019" s="27" t="inlineStr"/>
      <c r="O1019" s="3" t="inlineStr">
        <is>
          <t>Parameter High / Capacity Low-Medium</t>
        </is>
      </c>
      <c r="P1019" s="3" t="inlineStr"/>
      <c r="Q1019" s="3" t="inlineStr">
        <is>
          <t>legacy_company_envelope_fallback</t>
        </is>
      </c>
      <c r="R1019" s="3" t="inlineStr">
        <is>
          <t>SRC_DEEPSEEK_V3; SRC_DEEPSEEK_R1; SRC_DEEPSEEK_H800_INFERENCE</t>
        </is>
      </c>
      <c r="S1019" s="3" t="inlineStr">
        <is>
          <t>No mapped Epoch user-site rows were available, so the prior company-level accelerator mix remains as an editable fallback.</t>
        </is>
      </c>
    </row>
    <row r="1020">
      <c r="A1020" s="3" t="inlineStr">
        <is>
          <t>Bear|DeepSeek|2028|Legacy company envelope - DeepSeek</t>
        </is>
      </c>
      <c r="B1020" s="3" t="inlineStr">
        <is>
          <t>Bear</t>
        </is>
      </c>
      <c r="C1020" s="3" t="inlineStr">
        <is>
          <t>DeepSeek</t>
        </is>
      </c>
      <c r="D1020" s="3" t="n">
        <v>2028</v>
      </c>
      <c r="E1020" s="3" t="inlineStr">
        <is>
          <t>Legacy company envelope - DeepSeek</t>
        </is>
      </c>
      <c r="F1020" s="3" t="inlineStr">
        <is>
          <t>DeepSeek</t>
        </is>
      </c>
      <c r="G1020" s="3" t="inlineStr"/>
      <c r="H1020" s="25" t="n">
        <v>384</v>
      </c>
      <c r="I1020" s="17" t="n">
        <v>1</v>
      </c>
      <c r="J1020" s="17" t="n">
        <v>0.63</v>
      </c>
      <c r="K1020" s="26" t="n">
        <v>0.37</v>
      </c>
      <c r="L1020" s="3" t="inlineStr"/>
      <c r="M1020" s="27" t="inlineStr"/>
      <c r="N1020" s="27" t="inlineStr"/>
      <c r="O1020" s="3" t="inlineStr">
        <is>
          <t>Parameter High / Capacity Low-Medium</t>
        </is>
      </c>
      <c r="P1020" s="3" t="inlineStr"/>
      <c r="Q1020" s="3" t="inlineStr">
        <is>
          <t>legacy_company_envelope_fallback</t>
        </is>
      </c>
      <c r="R1020" s="3" t="inlineStr">
        <is>
          <t>SRC_DEEPSEEK_V3; SRC_DEEPSEEK_R1; SRC_DEEPSEEK_H800_INFERENCE</t>
        </is>
      </c>
      <c r="S1020" s="3" t="inlineStr">
        <is>
          <t>No mapped Epoch user-site rows were available, so the prior company-level accelerator mix remains as an editable fallback.</t>
        </is>
      </c>
    </row>
    <row r="1021">
      <c r="A1021" s="3" t="inlineStr">
        <is>
          <t>Bear|DeepSeek|2029|Legacy company envelope - DeepSeek</t>
        </is>
      </c>
      <c r="B1021" s="3" t="inlineStr">
        <is>
          <t>Bear</t>
        </is>
      </c>
      <c r="C1021" s="3" t="inlineStr">
        <is>
          <t>DeepSeek</t>
        </is>
      </c>
      <c r="D1021" s="3" t="n">
        <v>2029</v>
      </c>
      <c r="E1021" s="3" t="inlineStr">
        <is>
          <t>Legacy company envelope - DeepSeek</t>
        </is>
      </c>
      <c r="F1021" s="3" t="inlineStr">
        <is>
          <t>DeepSeek</t>
        </is>
      </c>
      <c r="G1021" s="3" t="inlineStr"/>
      <c r="H1021" s="25" t="n">
        <v>521</v>
      </c>
      <c r="I1021" s="17" t="n">
        <v>1</v>
      </c>
      <c r="J1021" s="17" t="n">
        <v>0.675</v>
      </c>
      <c r="K1021" s="26" t="n">
        <v>0.325</v>
      </c>
      <c r="L1021" s="3" t="inlineStr"/>
      <c r="M1021" s="27" t="inlineStr"/>
      <c r="N1021" s="27" t="inlineStr"/>
      <c r="O1021" s="3" t="inlineStr">
        <is>
          <t>Parameter High / Capacity Low-Medium</t>
        </is>
      </c>
      <c r="P1021" s="3" t="inlineStr"/>
      <c r="Q1021" s="3" t="inlineStr">
        <is>
          <t>legacy_company_envelope_fallback</t>
        </is>
      </c>
      <c r="R1021" s="3" t="inlineStr">
        <is>
          <t>SRC_DEEPSEEK_V3; SRC_DEEPSEEK_R1; SRC_DEEPSEEK_H800_INFERENCE</t>
        </is>
      </c>
      <c r="S1021" s="3" t="inlineStr">
        <is>
          <t>No mapped Epoch user-site rows were available, so the prior company-level accelerator mix remains as an editable fallback.</t>
        </is>
      </c>
    </row>
    <row r="1022">
      <c r="A1022" s="3" t="inlineStr">
        <is>
          <t>Bear|DeepSeek|2030|Legacy company envelope - DeepSeek</t>
        </is>
      </c>
      <c r="B1022" s="3" t="inlineStr">
        <is>
          <t>Bear</t>
        </is>
      </c>
      <c r="C1022" s="3" t="inlineStr">
        <is>
          <t>DeepSeek</t>
        </is>
      </c>
      <c r="D1022" s="3" t="n">
        <v>2030</v>
      </c>
      <c r="E1022" s="3" t="inlineStr">
        <is>
          <t>Legacy company envelope - DeepSeek</t>
        </is>
      </c>
      <c r="F1022" s="3" t="inlineStr">
        <is>
          <t>DeepSeek</t>
        </is>
      </c>
      <c r="G1022" s="3" t="inlineStr"/>
      <c r="H1022" s="25" t="n">
        <v>651</v>
      </c>
      <c r="I1022" s="17" t="n">
        <v>1</v>
      </c>
      <c r="J1022" s="17" t="n">
        <v>0.72</v>
      </c>
      <c r="K1022" s="26" t="n">
        <v>0.28</v>
      </c>
      <c r="L1022" s="3" t="inlineStr"/>
      <c r="M1022" s="27" t="inlineStr"/>
      <c r="N1022" s="27" t="inlineStr"/>
      <c r="O1022" s="3" t="inlineStr">
        <is>
          <t>Parameter High / Capacity Low-Medium</t>
        </is>
      </c>
      <c r="P1022" s="3" t="inlineStr"/>
      <c r="Q1022" s="3" t="inlineStr">
        <is>
          <t>legacy_company_envelope_fallback</t>
        </is>
      </c>
      <c r="R1022" s="3" t="inlineStr">
        <is>
          <t>SRC_DEEPSEEK_V3; SRC_DEEPSEEK_R1; SRC_DEEPSEEK_H800_INFERENCE</t>
        </is>
      </c>
      <c r="S1022" s="3" t="inlineStr">
        <is>
          <t>No mapped Epoch user-site rows were available, so the prior company-level accelerator mix remains as an editable fallback.</t>
        </is>
      </c>
    </row>
    <row r="1023">
      <c r="A1023" s="3" t="inlineStr">
        <is>
          <t>Bear|Tencent|2026|Legacy company envelope - Tencent</t>
        </is>
      </c>
      <c r="B1023" s="3" t="inlineStr">
        <is>
          <t>Bear</t>
        </is>
      </c>
      <c r="C1023" s="3" t="inlineStr">
        <is>
          <t>Tencent</t>
        </is>
      </c>
      <c r="D1023" s="3" t="n">
        <v>2026</v>
      </c>
      <c r="E1023" s="3" t="inlineStr">
        <is>
          <t>Legacy company envelope - Tencent</t>
        </is>
      </c>
      <c r="F1023" s="3" t="inlineStr">
        <is>
          <t>Tencent</t>
        </is>
      </c>
      <c r="G1023" s="3" t="inlineStr"/>
      <c r="H1023" s="25" t="n">
        <v>277</v>
      </c>
      <c r="I1023" s="17" t="n">
        <v>1</v>
      </c>
      <c r="J1023" s="17" t="n">
        <v>0.52</v>
      </c>
      <c r="K1023" s="26" t="n">
        <v>0.48</v>
      </c>
      <c r="L1023" s="3" t="inlineStr"/>
      <c r="M1023" s="27" t="inlineStr"/>
      <c r="N1023" s="27" t="inlineStr"/>
      <c r="O1023" s="3" t="inlineStr">
        <is>
          <t>Medium-Low</t>
        </is>
      </c>
      <c r="P1023" s="3" t="inlineStr"/>
      <c r="Q1023" s="3" t="inlineStr">
        <is>
          <t>legacy_company_envelope_fallback</t>
        </is>
      </c>
      <c r="R1023" s="3" t="inlineStr">
        <is>
          <t>SRC_TENCENT_HUNYUAN; SRC_TENCENT_HY3; SRC_TENCENT_AI_INFRA_MOE</t>
        </is>
      </c>
      <c r="S1023" s="3" t="inlineStr">
        <is>
          <t>No mapped Epoch user-site rows were available, so the prior company-level accelerator mix remains as an editable fallback.</t>
        </is>
      </c>
    </row>
    <row r="1024">
      <c r="A1024" s="3" t="inlineStr">
        <is>
          <t>Bear|Tencent|2027|Legacy company envelope - Tencent</t>
        </is>
      </c>
      <c r="B1024" s="3" t="inlineStr">
        <is>
          <t>Bear</t>
        </is>
      </c>
      <c r="C1024" s="3" t="inlineStr">
        <is>
          <t>Tencent</t>
        </is>
      </c>
      <c r="D1024" s="3" t="n">
        <v>2027</v>
      </c>
      <c r="E1024" s="3" t="inlineStr">
        <is>
          <t>Legacy company envelope - Tencent</t>
        </is>
      </c>
      <c r="F1024" s="3" t="inlineStr">
        <is>
          <t>Tencent</t>
        </is>
      </c>
      <c r="G1024" s="3" t="inlineStr"/>
      <c r="H1024" s="25" t="n">
        <v>563</v>
      </c>
      <c r="I1024" s="17" t="n">
        <v>1</v>
      </c>
      <c r="J1024" s="17" t="n">
        <v>0.5649999999999999</v>
      </c>
      <c r="K1024" s="26" t="n">
        <v>0.435</v>
      </c>
      <c r="L1024" s="3" t="inlineStr"/>
      <c r="M1024" s="27" t="inlineStr"/>
      <c r="N1024" s="27" t="inlineStr"/>
      <c r="O1024" s="3" t="inlineStr">
        <is>
          <t>Medium-Low</t>
        </is>
      </c>
      <c r="P1024" s="3" t="inlineStr"/>
      <c r="Q1024" s="3" t="inlineStr">
        <is>
          <t>legacy_company_envelope_fallback</t>
        </is>
      </c>
      <c r="R1024" s="3" t="inlineStr">
        <is>
          <t>SRC_TENCENT_HUNYUAN; SRC_TENCENT_HY3; SRC_TENCENT_AI_INFRA_MOE</t>
        </is>
      </c>
      <c r="S1024" s="3" t="inlineStr">
        <is>
          <t>No mapped Epoch user-site rows were available, so the prior company-level accelerator mix remains as an editable fallback.</t>
        </is>
      </c>
    </row>
    <row r="1025">
      <c r="A1025" s="3" t="inlineStr">
        <is>
          <t>Bear|Tencent|2028|Legacy company envelope - Tencent</t>
        </is>
      </c>
      <c r="B1025" s="3" t="inlineStr">
        <is>
          <t>Bear</t>
        </is>
      </c>
      <c r="C1025" s="3" t="inlineStr">
        <is>
          <t>Tencent</t>
        </is>
      </c>
      <c r="D1025" s="3" t="n">
        <v>2028</v>
      </c>
      <c r="E1025" s="3" t="inlineStr">
        <is>
          <t>Legacy company envelope - Tencent</t>
        </is>
      </c>
      <c r="F1025" s="3" t="inlineStr">
        <is>
          <t>Tencent</t>
        </is>
      </c>
      <c r="G1025" s="3" t="inlineStr"/>
      <c r="H1025" s="25" t="n">
        <v>837</v>
      </c>
      <c r="I1025" s="17" t="n">
        <v>1</v>
      </c>
      <c r="J1025" s="17" t="n">
        <v>0.61</v>
      </c>
      <c r="K1025" s="26" t="n">
        <v>0.39</v>
      </c>
      <c r="L1025" s="3" t="inlineStr"/>
      <c r="M1025" s="27" t="inlineStr"/>
      <c r="N1025" s="27" t="inlineStr"/>
      <c r="O1025" s="3" t="inlineStr">
        <is>
          <t>Medium-Low</t>
        </is>
      </c>
      <c r="P1025" s="3" t="inlineStr"/>
      <c r="Q1025" s="3" t="inlineStr">
        <is>
          <t>legacy_company_envelope_fallback</t>
        </is>
      </c>
      <c r="R1025" s="3" t="inlineStr">
        <is>
          <t>SRC_TENCENT_HUNYUAN; SRC_TENCENT_HY3; SRC_TENCENT_AI_INFRA_MOE</t>
        </is>
      </c>
      <c r="S1025" s="3" t="inlineStr">
        <is>
          <t>No mapped Epoch user-site rows were available, so the prior company-level accelerator mix remains as an editable fallback.</t>
        </is>
      </c>
    </row>
    <row r="1026">
      <c r="A1026" s="3" t="inlineStr">
        <is>
          <t>Bear|Tencent|2029|Legacy company envelope - Tencent</t>
        </is>
      </c>
      <c r="B1026" s="3" t="inlineStr">
        <is>
          <t>Bear</t>
        </is>
      </c>
      <c r="C1026" s="3" t="inlineStr">
        <is>
          <t>Tencent</t>
        </is>
      </c>
      <c r="D1026" s="3" t="n">
        <v>2029</v>
      </c>
      <c r="E1026" s="3" t="inlineStr">
        <is>
          <t>Legacy company envelope - Tencent</t>
        </is>
      </c>
      <c r="F1026" s="3" t="inlineStr">
        <is>
          <t>Tencent</t>
        </is>
      </c>
      <c r="G1026" s="3" t="inlineStr"/>
      <c r="H1026" s="25" t="n">
        <v>1097</v>
      </c>
      <c r="I1026" s="17" t="n">
        <v>1</v>
      </c>
      <c r="J1026" s="17" t="n">
        <v>0.655</v>
      </c>
      <c r="K1026" s="26" t="n">
        <v>0.345</v>
      </c>
      <c r="L1026" s="3" t="inlineStr"/>
      <c r="M1026" s="27" t="inlineStr"/>
      <c r="N1026" s="27" t="inlineStr"/>
      <c r="O1026" s="3" t="inlineStr">
        <is>
          <t>Medium-Low</t>
        </is>
      </c>
      <c r="P1026" s="3" t="inlineStr"/>
      <c r="Q1026" s="3" t="inlineStr">
        <is>
          <t>legacy_company_envelope_fallback</t>
        </is>
      </c>
      <c r="R1026" s="3" t="inlineStr">
        <is>
          <t>SRC_TENCENT_HUNYUAN; SRC_TENCENT_HY3; SRC_TENCENT_AI_INFRA_MOE</t>
        </is>
      </c>
      <c r="S1026" s="3" t="inlineStr">
        <is>
          <t>No mapped Epoch user-site rows were available, so the prior company-level accelerator mix remains as an editable fallback.</t>
        </is>
      </c>
    </row>
    <row r="1027">
      <c r="A1027" s="3" t="inlineStr">
        <is>
          <t>Bear|Tencent|2030|Legacy company envelope - Tencent</t>
        </is>
      </c>
      <c r="B1027" s="3" t="inlineStr">
        <is>
          <t>Bear</t>
        </is>
      </c>
      <c r="C1027" s="3" t="inlineStr">
        <is>
          <t>Tencent</t>
        </is>
      </c>
      <c r="D1027" s="3" t="n">
        <v>2030</v>
      </c>
      <c r="E1027" s="3" t="inlineStr">
        <is>
          <t>Legacy company envelope - Tencent</t>
        </is>
      </c>
      <c r="F1027" s="3" t="inlineStr">
        <is>
          <t>Tencent</t>
        </is>
      </c>
      <c r="G1027" s="3" t="inlineStr"/>
      <c r="H1027" s="25" t="n">
        <v>1344</v>
      </c>
      <c r="I1027" s="17" t="n">
        <v>1</v>
      </c>
      <c r="J1027" s="17" t="n">
        <v>0.7</v>
      </c>
      <c r="K1027" s="26" t="n">
        <v>0.3</v>
      </c>
      <c r="L1027" s="3" t="inlineStr"/>
      <c r="M1027" s="27" t="inlineStr"/>
      <c r="N1027" s="27" t="inlineStr"/>
      <c r="O1027" s="3" t="inlineStr">
        <is>
          <t>Medium-Low</t>
        </is>
      </c>
      <c r="P1027" s="3" t="inlineStr"/>
      <c r="Q1027" s="3" t="inlineStr">
        <is>
          <t>legacy_company_envelope_fallback</t>
        </is>
      </c>
      <c r="R1027" s="3" t="inlineStr">
        <is>
          <t>SRC_TENCENT_HUNYUAN; SRC_TENCENT_HY3; SRC_TENCENT_AI_INFRA_MOE</t>
        </is>
      </c>
      <c r="S1027" s="3" t="inlineStr">
        <is>
          <t>No mapped Epoch user-site rows were available, so the prior company-level accelerator mix remains as an editable fallback.</t>
        </is>
      </c>
    </row>
    <row r="1028">
      <c r="A1028" s="3" t="inlineStr">
        <is>
          <t>Base|DeepSeek|2026|Legacy company envelope - DeepSeek</t>
        </is>
      </c>
      <c r="B1028" s="3" t="inlineStr">
        <is>
          <t>Base</t>
        </is>
      </c>
      <c r="C1028" s="3" t="inlineStr">
        <is>
          <t>DeepSeek</t>
        </is>
      </c>
      <c r="D1028" s="3" t="n">
        <v>2026</v>
      </c>
      <c r="E1028" s="3" t="inlineStr">
        <is>
          <t>Legacy company envelope - DeepSeek</t>
        </is>
      </c>
      <c r="F1028" s="3" t="inlineStr">
        <is>
          <t>DeepSeek</t>
        </is>
      </c>
      <c r="G1028" s="3" t="inlineStr"/>
      <c r="H1028" s="25" t="n">
        <v>99</v>
      </c>
      <c r="I1028" s="17" t="n">
        <v>1</v>
      </c>
      <c r="J1028" s="17" t="n">
        <v>0.62</v>
      </c>
      <c r="K1028" s="26" t="n">
        <v>0.38</v>
      </c>
      <c r="L1028" s="3" t="inlineStr"/>
      <c r="M1028" s="27" t="inlineStr"/>
      <c r="N1028" s="27" t="inlineStr"/>
      <c r="O1028" s="3" t="inlineStr">
        <is>
          <t>Parameter High / Capacity Low-Medium</t>
        </is>
      </c>
      <c r="P1028" s="3" t="inlineStr"/>
      <c r="Q1028" s="3" t="inlineStr">
        <is>
          <t>legacy_company_envelope_fallback</t>
        </is>
      </c>
      <c r="R1028" s="3" t="inlineStr">
        <is>
          <t>SRC_DEEPSEEK_V3; SRC_DEEPSEEK_R1; SRC_DEEPSEEK_H800_INFERENCE</t>
        </is>
      </c>
      <c r="S1028" s="3" t="inlineStr">
        <is>
          <t>No mapped Epoch user-site rows were available, so the prior company-level accelerator mix remains as an editable fallback.</t>
        </is>
      </c>
    </row>
    <row r="1029">
      <c r="A1029" s="3" t="inlineStr">
        <is>
          <t>Base|DeepSeek|2027|Legacy company envelope - DeepSeek</t>
        </is>
      </c>
      <c r="B1029" s="3" t="inlineStr">
        <is>
          <t>Base</t>
        </is>
      </c>
      <c r="C1029" s="3" t="inlineStr">
        <is>
          <t>DeepSeek</t>
        </is>
      </c>
      <c r="D1029" s="3" t="n">
        <v>2027</v>
      </c>
      <c r="E1029" s="3" t="inlineStr">
        <is>
          <t>Legacy company envelope - DeepSeek</t>
        </is>
      </c>
      <c r="F1029" s="3" t="inlineStr">
        <is>
          <t>DeepSeek</t>
        </is>
      </c>
      <c r="G1029" s="3" t="inlineStr"/>
      <c r="H1029" s="25" t="n">
        <v>273</v>
      </c>
      <c r="I1029" s="17" t="n">
        <v>1</v>
      </c>
      <c r="J1029" s="17" t="n">
        <v>0.67</v>
      </c>
      <c r="K1029" s="26" t="n">
        <v>0.33</v>
      </c>
      <c r="L1029" s="3" t="inlineStr"/>
      <c r="M1029" s="27" t="inlineStr"/>
      <c r="N1029" s="27" t="inlineStr"/>
      <c r="O1029" s="3" t="inlineStr">
        <is>
          <t>Parameter High / Capacity Low-Medium</t>
        </is>
      </c>
      <c r="P1029" s="3" t="inlineStr"/>
      <c r="Q1029" s="3" t="inlineStr">
        <is>
          <t>legacy_company_envelope_fallback</t>
        </is>
      </c>
      <c r="R1029" s="3" t="inlineStr">
        <is>
          <t>SRC_DEEPSEEK_V3; SRC_DEEPSEEK_R1; SRC_DEEPSEEK_H800_INFERENCE</t>
        </is>
      </c>
      <c r="S1029" s="3" t="inlineStr">
        <is>
          <t>No mapped Epoch user-site rows were available, so the prior company-level accelerator mix remains as an editable fallback.</t>
        </is>
      </c>
    </row>
    <row r="1030">
      <c r="A1030" s="3" t="inlineStr">
        <is>
          <t>Base|DeepSeek|2028|Legacy company envelope - DeepSeek</t>
        </is>
      </c>
      <c r="B1030" s="3" t="inlineStr">
        <is>
          <t>Base</t>
        </is>
      </c>
      <c r="C1030" s="3" t="inlineStr">
        <is>
          <t>DeepSeek</t>
        </is>
      </c>
      <c r="D1030" s="3" t="n">
        <v>2028</v>
      </c>
      <c r="E1030" s="3" t="inlineStr">
        <is>
          <t>Legacy company envelope - DeepSeek</t>
        </is>
      </c>
      <c r="F1030" s="3" t="inlineStr">
        <is>
          <t>DeepSeek</t>
        </is>
      </c>
      <c r="G1030" s="3" t="inlineStr"/>
      <c r="H1030" s="25" t="n">
        <v>446</v>
      </c>
      <c r="I1030" s="17" t="n">
        <v>1</v>
      </c>
      <c r="J1030" s="17" t="n">
        <v>0.72</v>
      </c>
      <c r="K1030" s="26" t="n">
        <v>0.28</v>
      </c>
      <c r="L1030" s="3" t="inlineStr"/>
      <c r="M1030" s="27" t="inlineStr"/>
      <c r="N1030" s="27" t="inlineStr"/>
      <c r="O1030" s="3" t="inlineStr">
        <is>
          <t>Parameter High / Capacity Low-Medium</t>
        </is>
      </c>
      <c r="P1030" s="3" t="inlineStr"/>
      <c r="Q1030" s="3" t="inlineStr">
        <is>
          <t>legacy_company_envelope_fallback</t>
        </is>
      </c>
      <c r="R1030" s="3" t="inlineStr">
        <is>
          <t>SRC_DEEPSEEK_V3; SRC_DEEPSEEK_R1; SRC_DEEPSEEK_H800_INFERENCE</t>
        </is>
      </c>
      <c r="S1030" s="3" t="inlineStr">
        <is>
          <t>No mapped Epoch user-site rows were available, so the prior company-level accelerator mix remains as an editable fallback.</t>
        </is>
      </c>
    </row>
    <row r="1031">
      <c r="A1031" s="3" t="inlineStr">
        <is>
          <t>Base|DeepSeek|2029|Legacy company envelope - DeepSeek</t>
        </is>
      </c>
      <c r="B1031" s="3" t="inlineStr">
        <is>
          <t>Base</t>
        </is>
      </c>
      <c r="C1031" s="3" t="inlineStr">
        <is>
          <t>DeepSeek</t>
        </is>
      </c>
      <c r="D1031" s="3" t="n">
        <v>2029</v>
      </c>
      <c r="E1031" s="3" t="inlineStr">
        <is>
          <t>Legacy company envelope - DeepSeek</t>
        </is>
      </c>
      <c r="F1031" s="3" t="inlineStr">
        <is>
          <t>DeepSeek</t>
        </is>
      </c>
      <c r="G1031" s="3" t="inlineStr"/>
      <c r="H1031" s="25" t="n">
        <v>620</v>
      </c>
      <c r="I1031" s="17" t="n">
        <v>1</v>
      </c>
      <c r="J1031" s="17" t="n">
        <v>0.77</v>
      </c>
      <c r="K1031" s="26" t="n">
        <v>0.23</v>
      </c>
      <c r="L1031" s="3" t="inlineStr"/>
      <c r="M1031" s="27" t="inlineStr"/>
      <c r="N1031" s="27" t="inlineStr"/>
      <c r="O1031" s="3" t="inlineStr">
        <is>
          <t>Parameter High / Capacity Low-Medium</t>
        </is>
      </c>
      <c r="P1031" s="3" t="inlineStr"/>
      <c r="Q1031" s="3" t="inlineStr">
        <is>
          <t>legacy_company_envelope_fallback</t>
        </is>
      </c>
      <c r="R1031" s="3" t="inlineStr">
        <is>
          <t>SRC_DEEPSEEK_V3; SRC_DEEPSEEK_R1; SRC_DEEPSEEK_H800_INFERENCE</t>
        </is>
      </c>
      <c r="S1031" s="3" t="inlineStr">
        <is>
          <t>No mapped Epoch user-site rows were available, so the prior company-level accelerator mix remains as an editable fallback.</t>
        </is>
      </c>
    </row>
    <row r="1032">
      <c r="A1032" s="3" t="inlineStr">
        <is>
          <t>Base|DeepSeek|2030|Legacy company envelope - DeepSeek</t>
        </is>
      </c>
      <c r="B1032" s="3" t="inlineStr">
        <is>
          <t>Base</t>
        </is>
      </c>
      <c r="C1032" s="3" t="inlineStr">
        <is>
          <t>DeepSeek</t>
        </is>
      </c>
      <c r="D1032" s="3" t="n">
        <v>2030</v>
      </c>
      <c r="E1032" s="3" t="inlineStr">
        <is>
          <t>Legacy company envelope - DeepSeek</t>
        </is>
      </c>
      <c r="F1032" s="3" t="inlineStr">
        <is>
          <t>DeepSeek</t>
        </is>
      </c>
      <c r="G1032" s="3" t="inlineStr"/>
      <c r="H1032" s="25" t="n">
        <v>794</v>
      </c>
      <c r="I1032" s="17" t="n">
        <v>1</v>
      </c>
      <c r="J1032" s="17" t="n">
        <v>0.82</v>
      </c>
      <c r="K1032" s="26" t="n">
        <v>0.18</v>
      </c>
      <c r="L1032" s="3" t="inlineStr"/>
      <c r="M1032" s="27" t="inlineStr"/>
      <c r="N1032" s="27" t="inlineStr"/>
      <c r="O1032" s="3" t="inlineStr">
        <is>
          <t>Parameter High / Capacity Low-Medium</t>
        </is>
      </c>
      <c r="P1032" s="3" t="inlineStr"/>
      <c r="Q1032" s="3" t="inlineStr">
        <is>
          <t>legacy_company_envelope_fallback</t>
        </is>
      </c>
      <c r="R1032" s="3" t="inlineStr">
        <is>
          <t>SRC_DEEPSEEK_V3; SRC_DEEPSEEK_R1; SRC_DEEPSEEK_H800_INFERENCE</t>
        </is>
      </c>
      <c r="S1032" s="3" t="inlineStr">
        <is>
          <t>No mapped Epoch user-site rows were available, so the prior company-level accelerator mix remains as an editable fallback.</t>
        </is>
      </c>
    </row>
    <row r="1033">
      <c r="A1033" s="3" t="inlineStr">
        <is>
          <t>Base|Tencent|2026|Legacy company envelope - Tencent</t>
        </is>
      </c>
      <c r="B1033" s="3" t="inlineStr">
        <is>
          <t>Base</t>
        </is>
      </c>
      <c r="C1033" s="3" t="inlineStr">
        <is>
          <t>Tencent</t>
        </is>
      </c>
      <c r="D1033" s="3" t="n">
        <v>2026</v>
      </c>
      <c r="E1033" s="3" t="inlineStr">
        <is>
          <t>Legacy company envelope - Tencent</t>
        </is>
      </c>
      <c r="F1033" s="3" t="inlineStr">
        <is>
          <t>Tencent</t>
        </is>
      </c>
      <c r="G1033" s="3" t="inlineStr"/>
      <c r="H1033" s="25" t="n">
        <v>307</v>
      </c>
      <c r="I1033" s="17" t="n">
        <v>1</v>
      </c>
      <c r="J1033" s="17" t="n">
        <v>0.6</v>
      </c>
      <c r="K1033" s="26" t="n">
        <v>0.4</v>
      </c>
      <c r="L1033" s="3" t="inlineStr"/>
      <c r="M1033" s="27" t="inlineStr"/>
      <c r="N1033" s="27" t="inlineStr"/>
      <c r="O1033" s="3" t="inlineStr">
        <is>
          <t>Medium-Low</t>
        </is>
      </c>
      <c r="P1033" s="3" t="inlineStr"/>
      <c r="Q1033" s="3" t="inlineStr">
        <is>
          <t>legacy_company_envelope_fallback</t>
        </is>
      </c>
      <c r="R1033" s="3" t="inlineStr">
        <is>
          <t>SRC_TENCENT_HUNYUAN; SRC_TENCENT_HY3; SRC_TENCENT_AI_INFRA_MOE</t>
        </is>
      </c>
      <c r="S1033" s="3" t="inlineStr">
        <is>
          <t>No mapped Epoch user-site rows were available, so the prior company-level accelerator mix remains as an editable fallback.</t>
        </is>
      </c>
    </row>
    <row r="1034">
      <c r="A1034" s="3" t="inlineStr">
        <is>
          <t>Base|Tencent|2027|Legacy company envelope - Tencent</t>
        </is>
      </c>
      <c r="B1034" s="3" t="inlineStr">
        <is>
          <t>Base</t>
        </is>
      </c>
      <c r="C1034" s="3" t="inlineStr">
        <is>
          <t>Tencent</t>
        </is>
      </c>
      <c r="D1034" s="3" t="n">
        <v>2027</v>
      </c>
      <c r="E1034" s="3" t="inlineStr">
        <is>
          <t>Legacy company envelope - Tencent</t>
        </is>
      </c>
      <c r="F1034" s="3" t="inlineStr">
        <is>
          <t>Tencent</t>
        </is>
      </c>
      <c r="G1034" s="3" t="inlineStr"/>
      <c r="H1034" s="25" t="n">
        <v>640</v>
      </c>
      <c r="I1034" s="17" t="n">
        <v>1</v>
      </c>
      <c r="J1034" s="17" t="n">
        <v>0.65</v>
      </c>
      <c r="K1034" s="26" t="n">
        <v>0.35</v>
      </c>
      <c r="L1034" s="3" t="inlineStr"/>
      <c r="M1034" s="27" t="inlineStr"/>
      <c r="N1034" s="27" t="inlineStr"/>
      <c r="O1034" s="3" t="inlineStr">
        <is>
          <t>Medium-Low</t>
        </is>
      </c>
      <c r="P1034" s="3" t="inlineStr"/>
      <c r="Q1034" s="3" t="inlineStr">
        <is>
          <t>legacy_company_envelope_fallback</t>
        </is>
      </c>
      <c r="R1034" s="3" t="inlineStr">
        <is>
          <t>SRC_TENCENT_HUNYUAN; SRC_TENCENT_HY3; SRC_TENCENT_AI_INFRA_MOE</t>
        </is>
      </c>
      <c r="S1034" s="3" t="inlineStr">
        <is>
          <t>No mapped Epoch user-site rows were available, so the prior company-level accelerator mix remains as an editable fallback.</t>
        </is>
      </c>
    </row>
    <row r="1035">
      <c r="A1035" s="3" t="inlineStr">
        <is>
          <t>Base|Tencent|2028|Legacy company envelope - Tencent</t>
        </is>
      </c>
      <c r="B1035" s="3" t="inlineStr">
        <is>
          <t>Base</t>
        </is>
      </c>
      <c r="C1035" s="3" t="inlineStr">
        <is>
          <t>Tencent</t>
        </is>
      </c>
      <c r="D1035" s="3" t="n">
        <v>2028</v>
      </c>
      <c r="E1035" s="3" t="inlineStr">
        <is>
          <t>Legacy company envelope - Tencent</t>
        </is>
      </c>
      <c r="F1035" s="3" t="inlineStr">
        <is>
          <t>Tencent</t>
        </is>
      </c>
      <c r="G1035" s="3" t="inlineStr"/>
      <c r="H1035" s="25" t="n">
        <v>973</v>
      </c>
      <c r="I1035" s="17" t="n">
        <v>1</v>
      </c>
      <c r="J1035" s="17" t="n">
        <v>0.7</v>
      </c>
      <c r="K1035" s="26" t="n">
        <v>0.3</v>
      </c>
      <c r="L1035" s="3" t="inlineStr"/>
      <c r="M1035" s="27" t="inlineStr"/>
      <c r="N1035" s="27" t="inlineStr"/>
      <c r="O1035" s="3" t="inlineStr">
        <is>
          <t>Medium-Low</t>
        </is>
      </c>
      <c r="P1035" s="3" t="inlineStr"/>
      <c r="Q1035" s="3" t="inlineStr">
        <is>
          <t>legacy_company_envelope_fallback</t>
        </is>
      </c>
      <c r="R1035" s="3" t="inlineStr">
        <is>
          <t>SRC_TENCENT_HUNYUAN; SRC_TENCENT_HY3; SRC_TENCENT_AI_INFRA_MOE</t>
        </is>
      </c>
      <c r="S1035" s="3" t="inlineStr">
        <is>
          <t>No mapped Epoch user-site rows were available, so the prior company-level accelerator mix remains as an editable fallback.</t>
        </is>
      </c>
    </row>
    <row r="1036">
      <c r="A1036" s="3" t="inlineStr">
        <is>
          <t>Base|Tencent|2029|Legacy company envelope - Tencent</t>
        </is>
      </c>
      <c r="B1036" s="3" t="inlineStr">
        <is>
          <t>Base</t>
        </is>
      </c>
      <c r="C1036" s="3" t="inlineStr">
        <is>
          <t>Tencent</t>
        </is>
      </c>
      <c r="D1036" s="3" t="n">
        <v>2029</v>
      </c>
      <c r="E1036" s="3" t="inlineStr">
        <is>
          <t>Legacy company envelope - Tencent</t>
        </is>
      </c>
      <c r="F1036" s="3" t="inlineStr">
        <is>
          <t>Tencent</t>
        </is>
      </c>
      <c r="G1036" s="3" t="inlineStr"/>
      <c r="H1036" s="25" t="n">
        <v>1306</v>
      </c>
      <c r="I1036" s="17" t="n">
        <v>1</v>
      </c>
      <c r="J1036" s="17" t="n">
        <v>0.75</v>
      </c>
      <c r="K1036" s="26" t="n">
        <v>0.25</v>
      </c>
      <c r="L1036" s="3" t="inlineStr"/>
      <c r="M1036" s="27" t="inlineStr"/>
      <c r="N1036" s="27" t="inlineStr"/>
      <c r="O1036" s="3" t="inlineStr">
        <is>
          <t>Medium-Low</t>
        </is>
      </c>
      <c r="P1036" s="3" t="inlineStr"/>
      <c r="Q1036" s="3" t="inlineStr">
        <is>
          <t>legacy_company_envelope_fallback</t>
        </is>
      </c>
      <c r="R1036" s="3" t="inlineStr">
        <is>
          <t>SRC_TENCENT_HUNYUAN; SRC_TENCENT_HY3; SRC_TENCENT_AI_INFRA_MOE</t>
        </is>
      </c>
      <c r="S1036" s="3" t="inlineStr">
        <is>
          <t>No mapped Epoch user-site rows were available, so the prior company-level accelerator mix remains as an editable fallback.</t>
        </is>
      </c>
    </row>
    <row r="1037">
      <c r="A1037" s="3" t="inlineStr">
        <is>
          <t>Base|Tencent|2030|Legacy company envelope - Tencent</t>
        </is>
      </c>
      <c r="B1037" s="3" t="inlineStr">
        <is>
          <t>Base</t>
        </is>
      </c>
      <c r="C1037" s="3" t="inlineStr">
        <is>
          <t>Tencent</t>
        </is>
      </c>
      <c r="D1037" s="3" t="n">
        <v>2030</v>
      </c>
      <c r="E1037" s="3" t="inlineStr">
        <is>
          <t>Legacy company envelope - Tencent</t>
        </is>
      </c>
      <c r="F1037" s="3" t="inlineStr">
        <is>
          <t>Tencent</t>
        </is>
      </c>
      <c r="G1037" s="3" t="inlineStr"/>
      <c r="H1037" s="25" t="n">
        <v>1639</v>
      </c>
      <c r="I1037" s="17" t="n">
        <v>1</v>
      </c>
      <c r="J1037" s="17" t="n">
        <v>0.8</v>
      </c>
      <c r="K1037" s="26" t="n">
        <v>0.2</v>
      </c>
      <c r="L1037" s="3" t="inlineStr"/>
      <c r="M1037" s="27" t="inlineStr"/>
      <c r="N1037" s="27" t="inlineStr"/>
      <c r="O1037" s="3" t="inlineStr">
        <is>
          <t>Medium-Low</t>
        </is>
      </c>
      <c r="P1037" s="3" t="inlineStr"/>
      <c r="Q1037" s="3" t="inlineStr">
        <is>
          <t>legacy_company_envelope_fallback</t>
        </is>
      </c>
      <c r="R1037" s="3" t="inlineStr">
        <is>
          <t>SRC_TENCENT_HUNYUAN; SRC_TENCENT_HY3; SRC_TENCENT_AI_INFRA_MOE</t>
        </is>
      </c>
      <c r="S1037" s="3" t="inlineStr">
        <is>
          <t>No mapped Epoch user-site rows were available, so the prior company-level accelerator mix remains as an editable fallback.</t>
        </is>
      </c>
    </row>
    <row r="1038">
      <c r="A1038" s="3" t="inlineStr">
        <is>
          <t>Bull|DeepSeek|2026|Legacy company envelope - DeepSeek</t>
        </is>
      </c>
      <c r="B1038" s="3" t="inlineStr">
        <is>
          <t>Bull</t>
        </is>
      </c>
      <c r="C1038" s="3" t="inlineStr">
        <is>
          <t>DeepSeek</t>
        </is>
      </c>
      <c r="D1038" s="3" t="n">
        <v>2026</v>
      </c>
      <c r="E1038" s="3" t="inlineStr">
        <is>
          <t>Legacy company envelope - DeepSeek</t>
        </is>
      </c>
      <c r="F1038" s="3" t="inlineStr">
        <is>
          <t>DeepSeek</t>
        </is>
      </c>
      <c r="G1038" s="3" t="inlineStr"/>
      <c r="H1038" s="25" t="n">
        <v>104</v>
      </c>
      <c r="I1038" s="17" t="n">
        <v>1</v>
      </c>
      <c r="J1038" s="17" t="n">
        <v>0.67</v>
      </c>
      <c r="K1038" s="26" t="n">
        <v>0.33</v>
      </c>
      <c r="L1038" s="3" t="inlineStr"/>
      <c r="M1038" s="27" t="inlineStr"/>
      <c r="N1038" s="27" t="inlineStr"/>
      <c r="O1038" s="3" t="inlineStr">
        <is>
          <t>Parameter High / Capacity Low-Medium</t>
        </is>
      </c>
      <c r="P1038" s="3" t="inlineStr"/>
      <c r="Q1038" s="3" t="inlineStr">
        <is>
          <t>legacy_company_envelope_fallback</t>
        </is>
      </c>
      <c r="R1038" s="3" t="inlineStr">
        <is>
          <t>SRC_DEEPSEEK_V3; SRC_DEEPSEEK_R1; SRC_DEEPSEEK_H800_INFERENCE</t>
        </is>
      </c>
      <c r="S1038" s="3" t="inlineStr">
        <is>
          <t>No mapped Epoch user-site rows were available, so the prior company-level accelerator mix remains as an editable fallback.</t>
        </is>
      </c>
    </row>
    <row r="1039">
      <c r="A1039" s="3" t="inlineStr">
        <is>
          <t>Bull|DeepSeek|2027|Legacy company envelope - DeepSeek</t>
        </is>
      </c>
      <c r="B1039" s="3" t="inlineStr">
        <is>
          <t>Bull</t>
        </is>
      </c>
      <c r="C1039" s="3" t="inlineStr">
        <is>
          <t>DeepSeek</t>
        </is>
      </c>
      <c r="D1039" s="3" t="n">
        <v>2027</v>
      </c>
      <c r="E1039" s="3" t="inlineStr">
        <is>
          <t>Legacy company envelope - DeepSeek</t>
        </is>
      </c>
      <c r="F1039" s="3" t="inlineStr">
        <is>
          <t>DeepSeek</t>
        </is>
      </c>
      <c r="G1039" s="3" t="inlineStr"/>
      <c r="H1039" s="25" t="n">
        <v>295</v>
      </c>
      <c r="I1039" s="17" t="n">
        <v>1</v>
      </c>
      <c r="J1039" s="17" t="n">
        <v>0.727</v>
      </c>
      <c r="K1039" s="26" t="n">
        <v>0.273</v>
      </c>
      <c r="L1039" s="3" t="inlineStr"/>
      <c r="M1039" s="27" t="inlineStr"/>
      <c r="N1039" s="27" t="inlineStr"/>
      <c r="O1039" s="3" t="inlineStr">
        <is>
          <t>Parameter High / Capacity Low-Medium</t>
        </is>
      </c>
      <c r="P1039" s="3" t="inlineStr"/>
      <c r="Q1039" s="3" t="inlineStr">
        <is>
          <t>legacy_company_envelope_fallback</t>
        </is>
      </c>
      <c r="R1039" s="3" t="inlineStr">
        <is>
          <t>SRC_DEEPSEEK_V3; SRC_DEEPSEEK_R1; SRC_DEEPSEEK_H800_INFERENCE</t>
        </is>
      </c>
      <c r="S1039" s="3" t="inlineStr">
        <is>
          <t>No mapped Epoch user-site rows were available, so the prior company-level accelerator mix remains as an editable fallback.</t>
        </is>
      </c>
    </row>
    <row r="1040">
      <c r="A1040" s="3" t="inlineStr">
        <is>
          <t>Bull|DeepSeek|2028|Legacy company envelope - DeepSeek</t>
        </is>
      </c>
      <c r="B1040" s="3" t="inlineStr">
        <is>
          <t>Bull</t>
        </is>
      </c>
      <c r="C1040" s="3" t="inlineStr">
        <is>
          <t>DeepSeek</t>
        </is>
      </c>
      <c r="D1040" s="3" t="n">
        <v>2028</v>
      </c>
      <c r="E1040" s="3" t="inlineStr">
        <is>
          <t>Legacy company envelope - DeepSeek</t>
        </is>
      </c>
      <c r="F1040" s="3" t="inlineStr">
        <is>
          <t>DeepSeek</t>
        </is>
      </c>
      <c r="G1040" s="3" t="inlineStr"/>
      <c r="H1040" s="25" t="n">
        <v>498</v>
      </c>
      <c r="I1040" s="17" t="n">
        <v>1</v>
      </c>
      <c r="J1040" s="17" t="n">
        <v>0.785</v>
      </c>
      <c r="K1040" s="26" t="n">
        <v>0.215</v>
      </c>
      <c r="L1040" s="3" t="inlineStr"/>
      <c r="M1040" s="27" t="inlineStr"/>
      <c r="N1040" s="27" t="inlineStr"/>
      <c r="O1040" s="3" t="inlineStr">
        <is>
          <t>Parameter High / Capacity Low-Medium</t>
        </is>
      </c>
      <c r="P1040" s="3" t="inlineStr"/>
      <c r="Q1040" s="3" t="inlineStr">
        <is>
          <t>legacy_company_envelope_fallback</t>
        </is>
      </c>
      <c r="R1040" s="3" t="inlineStr">
        <is>
          <t>SRC_DEEPSEEK_V3; SRC_DEEPSEEK_R1; SRC_DEEPSEEK_H800_INFERENCE</t>
        </is>
      </c>
      <c r="S1040" s="3" t="inlineStr">
        <is>
          <t>No mapped Epoch user-site rows were available, so the prior company-level accelerator mix remains as an editable fallback.</t>
        </is>
      </c>
    </row>
    <row r="1041">
      <c r="A1041" s="3" t="inlineStr">
        <is>
          <t>Bull|DeepSeek|2029|Legacy company envelope - DeepSeek</t>
        </is>
      </c>
      <c r="B1041" s="3" t="inlineStr">
        <is>
          <t>Bull</t>
        </is>
      </c>
      <c r="C1041" s="3" t="inlineStr">
        <is>
          <t>DeepSeek</t>
        </is>
      </c>
      <c r="D1041" s="3" t="n">
        <v>2029</v>
      </c>
      <c r="E1041" s="3" t="inlineStr">
        <is>
          <t>Legacy company envelope - DeepSeek</t>
        </is>
      </c>
      <c r="F1041" s="3" t="inlineStr">
        <is>
          <t>DeepSeek</t>
        </is>
      </c>
      <c r="G1041" s="3" t="inlineStr"/>
      <c r="H1041" s="25" t="n">
        <v>711</v>
      </c>
      <c r="I1041" s="17" t="n">
        <v>1</v>
      </c>
      <c r="J1041" s="17" t="n">
        <v>0.843</v>
      </c>
      <c r="K1041" s="26" t="n">
        <v>0.157</v>
      </c>
      <c r="L1041" s="3" t="inlineStr"/>
      <c r="M1041" s="27" t="inlineStr"/>
      <c r="N1041" s="27" t="inlineStr"/>
      <c r="O1041" s="3" t="inlineStr">
        <is>
          <t>Parameter High / Capacity Low-Medium</t>
        </is>
      </c>
      <c r="P1041" s="3" t="inlineStr"/>
      <c r="Q1041" s="3" t="inlineStr">
        <is>
          <t>legacy_company_envelope_fallback</t>
        </is>
      </c>
      <c r="R1041" s="3" t="inlineStr">
        <is>
          <t>SRC_DEEPSEEK_V3; SRC_DEEPSEEK_R1; SRC_DEEPSEEK_H800_INFERENCE</t>
        </is>
      </c>
      <c r="S1041" s="3" t="inlineStr">
        <is>
          <t>No mapped Epoch user-site rows were available, so the prior company-level accelerator mix remains as an editable fallback.</t>
        </is>
      </c>
    </row>
    <row r="1042">
      <c r="A1042" s="3" t="inlineStr">
        <is>
          <t>Bull|DeepSeek|2030|Legacy company envelope - DeepSeek</t>
        </is>
      </c>
      <c r="B1042" s="3" t="inlineStr">
        <is>
          <t>Bull</t>
        </is>
      </c>
      <c r="C1042" s="3" t="inlineStr">
        <is>
          <t>DeepSeek</t>
        </is>
      </c>
      <c r="D1042" s="3" t="n">
        <v>2030</v>
      </c>
      <c r="E1042" s="3" t="inlineStr">
        <is>
          <t>Legacy company envelope - DeepSeek</t>
        </is>
      </c>
      <c r="F1042" s="3" t="inlineStr">
        <is>
          <t>DeepSeek</t>
        </is>
      </c>
      <c r="G1042" s="3" t="inlineStr"/>
      <c r="H1042" s="25" t="n">
        <v>936</v>
      </c>
      <c r="I1042" s="17" t="n">
        <v>1</v>
      </c>
      <c r="J1042" s="17" t="n">
        <v>0.9</v>
      </c>
      <c r="K1042" s="26" t="n">
        <v>0.1</v>
      </c>
      <c r="L1042" s="3" t="inlineStr"/>
      <c r="M1042" s="27" t="inlineStr"/>
      <c r="N1042" s="27" t="inlineStr"/>
      <c r="O1042" s="3" t="inlineStr">
        <is>
          <t>Parameter High / Capacity Low-Medium</t>
        </is>
      </c>
      <c r="P1042" s="3" t="inlineStr"/>
      <c r="Q1042" s="3" t="inlineStr">
        <is>
          <t>legacy_company_envelope_fallback</t>
        </is>
      </c>
      <c r="R1042" s="3" t="inlineStr">
        <is>
          <t>SRC_DEEPSEEK_V3; SRC_DEEPSEEK_R1; SRC_DEEPSEEK_H800_INFERENCE</t>
        </is>
      </c>
      <c r="S1042" s="3" t="inlineStr">
        <is>
          <t>No mapped Epoch user-site rows were available, so the prior company-level accelerator mix remains as an editable fallback.</t>
        </is>
      </c>
    </row>
    <row r="1043">
      <c r="A1043" s="3" t="inlineStr">
        <is>
          <t>Bull|Tencent|2026|Legacy company envelope - Tencent</t>
        </is>
      </c>
      <c r="B1043" s="3" t="inlineStr">
        <is>
          <t>Bull</t>
        </is>
      </c>
      <c r="C1043" s="3" t="inlineStr">
        <is>
          <t>Tencent</t>
        </is>
      </c>
      <c r="D1043" s="3" t="n">
        <v>2026</v>
      </c>
      <c r="E1043" s="3" t="inlineStr">
        <is>
          <t>Legacy company envelope - Tencent</t>
        </is>
      </c>
      <c r="F1043" s="3" t="inlineStr">
        <is>
          <t>Tencent</t>
        </is>
      </c>
      <c r="G1043" s="3" t="inlineStr"/>
      <c r="H1043" s="25" t="n">
        <v>323</v>
      </c>
      <c r="I1043" s="17" t="n">
        <v>1</v>
      </c>
      <c r="J1043" s="17" t="n">
        <v>0.65</v>
      </c>
      <c r="K1043" s="26" t="n">
        <v>0.35</v>
      </c>
      <c r="L1043" s="3" t="inlineStr"/>
      <c r="M1043" s="27" t="inlineStr"/>
      <c r="N1043" s="27" t="inlineStr"/>
      <c r="O1043" s="3" t="inlineStr">
        <is>
          <t>Medium-Low</t>
        </is>
      </c>
      <c r="P1043" s="3" t="inlineStr"/>
      <c r="Q1043" s="3" t="inlineStr">
        <is>
          <t>legacy_company_envelope_fallback</t>
        </is>
      </c>
      <c r="R1043" s="3" t="inlineStr">
        <is>
          <t>SRC_TENCENT_HUNYUAN; SRC_TENCENT_HY3; SRC_TENCENT_AI_INFRA_MOE</t>
        </is>
      </c>
      <c r="S1043" s="3" t="inlineStr">
        <is>
          <t>No mapped Epoch user-site rows were available, so the prior company-level accelerator mix remains as an editable fallback.</t>
        </is>
      </c>
    </row>
    <row r="1044">
      <c r="A1044" s="3" t="inlineStr">
        <is>
          <t>Bull|Tencent|2027|Legacy company envelope - Tencent</t>
        </is>
      </c>
      <c r="B1044" s="3" t="inlineStr">
        <is>
          <t>Bull</t>
        </is>
      </c>
      <c r="C1044" s="3" t="inlineStr">
        <is>
          <t>Tencent</t>
        </is>
      </c>
      <c r="D1044" s="3" t="n">
        <v>2027</v>
      </c>
      <c r="E1044" s="3" t="inlineStr">
        <is>
          <t>Legacy company envelope - Tencent</t>
        </is>
      </c>
      <c r="F1044" s="3" t="inlineStr">
        <is>
          <t>Tencent</t>
        </is>
      </c>
      <c r="G1044" s="3" t="inlineStr"/>
      <c r="H1044" s="25" t="n">
        <v>693</v>
      </c>
      <c r="I1044" s="17" t="n">
        <v>1</v>
      </c>
      <c r="J1044" s="17" t="n">
        <v>0.708</v>
      </c>
      <c r="K1044" s="26" t="n">
        <v>0.292</v>
      </c>
      <c r="L1044" s="3" t="inlineStr"/>
      <c r="M1044" s="27" t="inlineStr"/>
      <c r="N1044" s="27" t="inlineStr"/>
      <c r="O1044" s="3" t="inlineStr">
        <is>
          <t>Medium-Low</t>
        </is>
      </c>
      <c r="P1044" s="3" t="inlineStr"/>
      <c r="Q1044" s="3" t="inlineStr">
        <is>
          <t>legacy_company_envelope_fallback</t>
        </is>
      </c>
      <c r="R1044" s="3" t="inlineStr">
        <is>
          <t>SRC_TENCENT_HUNYUAN; SRC_TENCENT_HY3; SRC_TENCENT_AI_INFRA_MOE</t>
        </is>
      </c>
      <c r="S1044" s="3" t="inlineStr">
        <is>
          <t>No mapped Epoch user-site rows were available, so the prior company-level accelerator mix remains as an editable fallback.</t>
        </is>
      </c>
    </row>
    <row r="1045">
      <c r="A1045" s="3" t="inlineStr">
        <is>
          <t>Bull|Tencent|2028|Legacy company envelope - Tencent</t>
        </is>
      </c>
      <c r="B1045" s="3" t="inlineStr">
        <is>
          <t>Bull</t>
        </is>
      </c>
      <c r="C1045" s="3" t="inlineStr">
        <is>
          <t>Tencent</t>
        </is>
      </c>
      <c r="D1045" s="3" t="n">
        <v>2028</v>
      </c>
      <c r="E1045" s="3" t="inlineStr">
        <is>
          <t>Legacy company envelope - Tencent</t>
        </is>
      </c>
      <c r="F1045" s="3" t="inlineStr">
        <is>
          <t>Tencent</t>
        </is>
      </c>
      <c r="G1045" s="3" t="inlineStr"/>
      <c r="H1045" s="25" t="n">
        <v>1085</v>
      </c>
      <c r="I1045" s="17" t="n">
        <v>1</v>
      </c>
      <c r="J1045" s="17" t="n">
        <v>0.765</v>
      </c>
      <c r="K1045" s="26" t="n">
        <v>0.235</v>
      </c>
      <c r="L1045" s="3" t="inlineStr"/>
      <c r="M1045" s="27" t="inlineStr"/>
      <c r="N1045" s="27" t="inlineStr"/>
      <c r="O1045" s="3" t="inlineStr">
        <is>
          <t>Medium-Low</t>
        </is>
      </c>
      <c r="P1045" s="3" t="inlineStr"/>
      <c r="Q1045" s="3" t="inlineStr">
        <is>
          <t>legacy_company_envelope_fallback</t>
        </is>
      </c>
      <c r="R1045" s="3" t="inlineStr">
        <is>
          <t>SRC_TENCENT_HUNYUAN; SRC_TENCENT_HY3; SRC_TENCENT_AI_INFRA_MOE</t>
        </is>
      </c>
      <c r="S1045" s="3" t="inlineStr">
        <is>
          <t>No mapped Epoch user-site rows were available, so the prior company-level accelerator mix remains as an editable fallback.</t>
        </is>
      </c>
    </row>
    <row r="1046">
      <c r="A1046" s="3" t="inlineStr">
        <is>
          <t>Bull|Tencent|2029|Legacy company envelope - Tencent</t>
        </is>
      </c>
      <c r="B1046" s="3" t="inlineStr">
        <is>
          <t>Bull</t>
        </is>
      </c>
      <c r="C1046" s="3" t="inlineStr">
        <is>
          <t>Tencent</t>
        </is>
      </c>
      <c r="D1046" s="3" t="n">
        <v>2029</v>
      </c>
      <c r="E1046" s="3" t="inlineStr">
        <is>
          <t>Legacy company envelope - Tencent</t>
        </is>
      </c>
      <c r="F1046" s="3" t="inlineStr">
        <is>
          <t>Tencent</t>
        </is>
      </c>
      <c r="G1046" s="3" t="inlineStr"/>
      <c r="H1046" s="25" t="n">
        <v>1499</v>
      </c>
      <c r="I1046" s="17" t="n">
        <v>1</v>
      </c>
      <c r="J1046" s="17" t="n">
        <v>0.823</v>
      </c>
      <c r="K1046" s="26" t="n">
        <v>0.177</v>
      </c>
      <c r="L1046" s="3" t="inlineStr"/>
      <c r="M1046" s="27" t="inlineStr"/>
      <c r="N1046" s="27" t="inlineStr"/>
      <c r="O1046" s="3" t="inlineStr">
        <is>
          <t>Medium-Low</t>
        </is>
      </c>
      <c r="P1046" s="3" t="inlineStr"/>
      <c r="Q1046" s="3" t="inlineStr">
        <is>
          <t>legacy_company_envelope_fallback</t>
        </is>
      </c>
      <c r="R1046" s="3" t="inlineStr">
        <is>
          <t>SRC_TENCENT_HUNYUAN; SRC_TENCENT_HY3; SRC_TENCENT_AI_INFRA_MOE</t>
        </is>
      </c>
      <c r="S1046" s="3" t="inlineStr">
        <is>
          <t>No mapped Epoch user-site rows were available, so the prior company-level accelerator mix remains as an editable fallback.</t>
        </is>
      </c>
    </row>
    <row r="1047">
      <c r="A1047" s="3" t="inlineStr">
        <is>
          <t>Bull|Tencent|2030|Legacy company envelope - Tencent</t>
        </is>
      </c>
      <c r="B1047" s="3" t="inlineStr">
        <is>
          <t>Bull</t>
        </is>
      </c>
      <c r="C1047" s="3" t="inlineStr">
        <is>
          <t>Tencent</t>
        </is>
      </c>
      <c r="D1047" s="3" t="n">
        <v>2030</v>
      </c>
      <c r="E1047" s="3" t="inlineStr">
        <is>
          <t>Legacy company envelope - Tencent</t>
        </is>
      </c>
      <c r="F1047" s="3" t="inlineStr">
        <is>
          <t>Tencent</t>
        </is>
      </c>
      <c r="G1047" s="3" t="inlineStr"/>
      <c r="H1047" s="25" t="n">
        <v>1934</v>
      </c>
      <c r="I1047" s="17" t="n">
        <v>1</v>
      </c>
      <c r="J1047" s="17" t="n">
        <v>0.88</v>
      </c>
      <c r="K1047" s="26" t="n">
        <v>0.12</v>
      </c>
      <c r="L1047" s="3" t="inlineStr"/>
      <c r="M1047" s="27" t="inlineStr"/>
      <c r="N1047" s="27" t="inlineStr"/>
      <c r="O1047" s="3" t="inlineStr">
        <is>
          <t>Medium-Low</t>
        </is>
      </c>
      <c r="P1047" s="3" t="inlineStr"/>
      <c r="Q1047" s="3" t="inlineStr">
        <is>
          <t>legacy_company_envelope_fallback</t>
        </is>
      </c>
      <c r="R1047" s="3" t="inlineStr">
        <is>
          <t>SRC_TENCENT_HUNYUAN; SRC_TENCENT_HY3; SRC_TENCENT_AI_INFRA_MOE</t>
        </is>
      </c>
      <c r="S1047" s="3" t="inlineStr">
        <is>
          <t>No mapped Epoch user-site rows were available, so the prior company-level accelerator mix remains as an editable fallback.</t>
        </is>
      </c>
    </row>
    <row r="1048">
      <c r="A1048" s="3" t="inlineStr">
        <is>
          <t>Grid-Constrained / Efficiency-Upside|DeepSeek|2026|Legacy company envelope - DeepSeek</t>
        </is>
      </c>
      <c r="B1048" s="3" t="inlineStr">
        <is>
          <t>Grid-Constrained / Efficiency-Upside</t>
        </is>
      </c>
      <c r="C1048" s="3" t="inlineStr">
        <is>
          <t>DeepSeek</t>
        </is>
      </c>
      <c r="D1048" s="3" t="n">
        <v>2026</v>
      </c>
      <c r="E1048" s="3" t="inlineStr">
        <is>
          <t>Legacy company envelope - DeepSeek</t>
        </is>
      </c>
      <c r="F1048" s="3" t="inlineStr">
        <is>
          <t>DeepSeek</t>
        </is>
      </c>
      <c r="G1048" s="3" t="inlineStr"/>
      <c r="H1048" s="25" t="n">
        <v>87</v>
      </c>
      <c r="I1048" s="17" t="n">
        <v>1</v>
      </c>
      <c r="J1048" s="17" t="n">
        <v>0.64</v>
      </c>
      <c r="K1048" s="26" t="n">
        <v>0.36</v>
      </c>
      <c r="L1048" s="3" t="inlineStr"/>
      <c r="M1048" s="27" t="inlineStr"/>
      <c r="N1048" s="27" t="inlineStr"/>
      <c r="O1048" s="3" t="inlineStr">
        <is>
          <t>Parameter High / Capacity Low-Medium</t>
        </is>
      </c>
      <c r="P1048" s="3" t="inlineStr"/>
      <c r="Q1048" s="3" t="inlineStr">
        <is>
          <t>legacy_company_envelope_fallback</t>
        </is>
      </c>
      <c r="R1048" s="3" t="inlineStr">
        <is>
          <t>SRC_DEEPSEEK_V3; SRC_DEEPSEEK_R1; SRC_DEEPSEEK_H800_INFERENCE</t>
        </is>
      </c>
      <c r="S1048" s="3" t="inlineStr">
        <is>
          <t>No mapped Epoch user-site rows were available, so the prior company-level accelerator mix remains as an editable fallback.</t>
        </is>
      </c>
    </row>
    <row r="1049">
      <c r="A1049" s="3" t="inlineStr">
        <is>
          <t>Grid-Constrained / Efficiency-Upside|DeepSeek|2027|Legacy company envelope - DeepSeek</t>
        </is>
      </c>
      <c r="B1049" s="3" t="inlineStr">
        <is>
          <t>Grid-Constrained / Efficiency-Upside</t>
        </is>
      </c>
      <c r="C1049" s="3" t="inlineStr">
        <is>
          <t>DeepSeek</t>
        </is>
      </c>
      <c r="D1049" s="3" t="n">
        <v>2027</v>
      </c>
      <c r="E1049" s="3" t="inlineStr">
        <is>
          <t>Legacy company envelope - DeepSeek</t>
        </is>
      </c>
      <c r="F1049" s="3" t="inlineStr">
        <is>
          <t>DeepSeek</t>
        </is>
      </c>
      <c r="G1049" s="3" t="inlineStr"/>
      <c r="H1049" s="25" t="n">
        <v>229</v>
      </c>
      <c r="I1049" s="17" t="n">
        <v>1</v>
      </c>
      <c r="J1049" s="17" t="n">
        <v>0.695</v>
      </c>
      <c r="K1049" s="26" t="n">
        <v>0.305</v>
      </c>
      <c r="L1049" s="3" t="inlineStr"/>
      <c r="M1049" s="27" t="inlineStr"/>
      <c r="N1049" s="27" t="inlineStr"/>
      <c r="O1049" s="3" t="inlineStr">
        <is>
          <t>Parameter High / Capacity Low-Medium</t>
        </is>
      </c>
      <c r="P1049" s="3" t="inlineStr"/>
      <c r="Q1049" s="3" t="inlineStr">
        <is>
          <t>legacy_company_envelope_fallback</t>
        </is>
      </c>
      <c r="R1049" s="3" t="inlineStr">
        <is>
          <t>SRC_DEEPSEEK_V3; SRC_DEEPSEEK_R1; SRC_DEEPSEEK_H800_INFERENCE</t>
        </is>
      </c>
      <c r="S1049" s="3" t="inlineStr">
        <is>
          <t>No mapped Epoch user-site rows were available, so the prior company-level accelerator mix remains as an editable fallback.</t>
        </is>
      </c>
    </row>
    <row r="1050">
      <c r="A1050" s="3" t="inlineStr">
        <is>
          <t>Grid-Constrained / Efficiency-Upside|DeepSeek|2028|Legacy company envelope - DeepSeek</t>
        </is>
      </c>
      <c r="B1050" s="3" t="inlineStr">
        <is>
          <t>Grid-Constrained / Efficiency-Upside</t>
        </is>
      </c>
      <c r="C1050" s="3" t="inlineStr">
        <is>
          <t>DeepSeek</t>
        </is>
      </c>
      <c r="D1050" s="3" t="n">
        <v>2028</v>
      </c>
      <c r="E1050" s="3" t="inlineStr">
        <is>
          <t>Legacy company envelope - DeepSeek</t>
        </is>
      </c>
      <c r="F1050" s="3" t="inlineStr">
        <is>
          <t>DeepSeek</t>
        </is>
      </c>
      <c r="G1050" s="3" t="inlineStr"/>
      <c r="H1050" s="25" t="n">
        <v>357</v>
      </c>
      <c r="I1050" s="17" t="n">
        <v>1</v>
      </c>
      <c r="J1050" s="17" t="n">
        <v>0.75</v>
      </c>
      <c r="K1050" s="26" t="n">
        <v>0.25</v>
      </c>
      <c r="L1050" s="3" t="inlineStr"/>
      <c r="M1050" s="27" t="inlineStr"/>
      <c r="N1050" s="27" t="inlineStr"/>
      <c r="O1050" s="3" t="inlineStr">
        <is>
          <t>Parameter High / Capacity Low-Medium</t>
        </is>
      </c>
      <c r="P1050" s="3" t="inlineStr"/>
      <c r="Q1050" s="3" t="inlineStr">
        <is>
          <t>legacy_company_envelope_fallback</t>
        </is>
      </c>
      <c r="R1050" s="3" t="inlineStr">
        <is>
          <t>SRC_DEEPSEEK_V3; SRC_DEEPSEEK_R1; SRC_DEEPSEEK_H800_INFERENCE</t>
        </is>
      </c>
      <c r="S1050" s="3" t="inlineStr">
        <is>
          <t>No mapped Epoch user-site rows were available, so the prior company-level accelerator mix remains as an editable fallback.</t>
        </is>
      </c>
    </row>
    <row r="1051">
      <c r="A1051" s="3" t="inlineStr">
        <is>
          <t>Grid-Constrained / Efficiency-Upside|DeepSeek|2029|Legacy company envelope - DeepSeek</t>
        </is>
      </c>
      <c r="B1051" s="3" t="inlineStr">
        <is>
          <t>Grid-Constrained / Efficiency-Upside</t>
        </is>
      </c>
      <c r="C1051" s="3" t="inlineStr">
        <is>
          <t>DeepSeek</t>
        </is>
      </c>
      <c r="D1051" s="3" t="n">
        <v>2029</v>
      </c>
      <c r="E1051" s="3" t="inlineStr">
        <is>
          <t>Legacy company envelope - DeepSeek</t>
        </is>
      </c>
      <c r="F1051" s="3" t="inlineStr">
        <is>
          <t>DeepSeek</t>
        </is>
      </c>
      <c r="G1051" s="3" t="inlineStr"/>
      <c r="H1051" s="25" t="n">
        <v>471</v>
      </c>
      <c r="I1051" s="17" t="n">
        <v>1</v>
      </c>
      <c r="J1051" s="17" t="n">
        <v>0.805</v>
      </c>
      <c r="K1051" s="26" t="n">
        <v>0.195</v>
      </c>
      <c r="L1051" s="3" t="inlineStr"/>
      <c r="M1051" s="27" t="inlineStr"/>
      <c r="N1051" s="27" t="inlineStr"/>
      <c r="O1051" s="3" t="inlineStr">
        <is>
          <t>Parameter High / Capacity Low-Medium</t>
        </is>
      </c>
      <c r="P1051" s="3" t="inlineStr"/>
      <c r="Q1051" s="3" t="inlineStr">
        <is>
          <t>legacy_company_envelope_fallback</t>
        </is>
      </c>
      <c r="R1051" s="3" t="inlineStr">
        <is>
          <t>SRC_DEEPSEEK_V3; SRC_DEEPSEEK_R1; SRC_DEEPSEEK_H800_INFERENCE</t>
        </is>
      </c>
      <c r="S1051" s="3" t="inlineStr">
        <is>
          <t>No mapped Epoch user-site rows were available, so the prior company-level accelerator mix remains as an editable fallback.</t>
        </is>
      </c>
    </row>
    <row r="1052">
      <c r="A1052" s="3" t="inlineStr">
        <is>
          <t>Grid-Constrained / Efficiency-Upside|DeepSeek|2030|Legacy company envelope - DeepSeek</t>
        </is>
      </c>
      <c r="B1052" s="3" t="inlineStr">
        <is>
          <t>Grid-Constrained / Efficiency-Upside</t>
        </is>
      </c>
      <c r="C1052" s="3" t="inlineStr">
        <is>
          <t>DeepSeek</t>
        </is>
      </c>
      <c r="D1052" s="3" t="n">
        <v>2030</v>
      </c>
      <c r="E1052" s="3" t="inlineStr">
        <is>
          <t>Legacy company envelope - DeepSeek</t>
        </is>
      </c>
      <c r="F1052" s="3" t="inlineStr">
        <is>
          <t>DeepSeek</t>
        </is>
      </c>
      <c r="G1052" s="3" t="inlineStr"/>
      <c r="H1052" s="25" t="n">
        <v>571</v>
      </c>
      <c r="I1052" s="17" t="n">
        <v>1</v>
      </c>
      <c r="J1052" s="17" t="n">
        <v>0.86</v>
      </c>
      <c r="K1052" s="26" t="n">
        <v>0.14</v>
      </c>
      <c r="L1052" s="3" t="inlineStr"/>
      <c r="M1052" s="27" t="inlineStr"/>
      <c r="N1052" s="27" t="inlineStr"/>
      <c r="O1052" s="3" t="inlineStr">
        <is>
          <t>Parameter High / Capacity Low-Medium</t>
        </is>
      </c>
      <c r="P1052" s="3" t="inlineStr"/>
      <c r="Q1052" s="3" t="inlineStr">
        <is>
          <t>legacy_company_envelope_fallback</t>
        </is>
      </c>
      <c r="R1052" s="3" t="inlineStr">
        <is>
          <t>SRC_DEEPSEEK_V3; SRC_DEEPSEEK_R1; SRC_DEEPSEEK_H800_INFERENCE</t>
        </is>
      </c>
      <c r="S1052" s="3" t="inlineStr">
        <is>
          <t>No mapped Epoch user-site rows were available, so the prior company-level accelerator mix remains as an editable fallback.</t>
        </is>
      </c>
    </row>
    <row r="1053">
      <c r="A1053" s="3" t="inlineStr">
        <is>
          <t>Grid-Constrained / Efficiency-Upside|Tencent|2026|Legacy company envelope - Tencent</t>
        </is>
      </c>
      <c r="B1053" s="3" t="inlineStr">
        <is>
          <t>Grid-Constrained / Efficiency-Upside</t>
        </is>
      </c>
      <c r="C1053" s="3" t="inlineStr">
        <is>
          <t>Tencent</t>
        </is>
      </c>
      <c r="D1053" s="3" t="n">
        <v>2026</v>
      </c>
      <c r="E1053" s="3" t="inlineStr">
        <is>
          <t>Legacy company envelope - Tencent</t>
        </is>
      </c>
      <c r="F1053" s="3" t="inlineStr">
        <is>
          <t>Tencent</t>
        </is>
      </c>
      <c r="G1053" s="3" t="inlineStr"/>
      <c r="H1053" s="25" t="n">
        <v>270</v>
      </c>
      <c r="I1053" s="17" t="n">
        <v>1</v>
      </c>
      <c r="J1053" s="17" t="n">
        <v>0.62</v>
      </c>
      <c r="K1053" s="26" t="n">
        <v>0.38</v>
      </c>
      <c r="L1053" s="3" t="inlineStr"/>
      <c r="M1053" s="27" t="inlineStr"/>
      <c r="N1053" s="27" t="inlineStr"/>
      <c r="O1053" s="3" t="inlineStr">
        <is>
          <t>Medium-Low</t>
        </is>
      </c>
      <c r="P1053" s="3" t="inlineStr"/>
      <c r="Q1053" s="3" t="inlineStr">
        <is>
          <t>legacy_company_envelope_fallback</t>
        </is>
      </c>
      <c r="R1053" s="3" t="inlineStr">
        <is>
          <t>SRC_TENCENT_HUNYUAN; SRC_TENCENT_HY3; SRC_TENCENT_AI_INFRA_MOE</t>
        </is>
      </c>
      <c r="S1053" s="3" t="inlineStr">
        <is>
          <t>No mapped Epoch user-site rows were available, so the prior company-level accelerator mix remains as an editable fallback.</t>
        </is>
      </c>
    </row>
    <row r="1054">
      <c r="A1054" s="3" t="inlineStr">
        <is>
          <t>Grid-Constrained / Efficiency-Upside|Tencent|2027|Legacy company envelope - Tencent</t>
        </is>
      </c>
      <c r="B1054" s="3" t="inlineStr">
        <is>
          <t>Grid-Constrained / Efficiency-Upside</t>
        </is>
      </c>
      <c r="C1054" s="3" t="inlineStr">
        <is>
          <t>Tencent</t>
        </is>
      </c>
      <c r="D1054" s="3" t="n">
        <v>2027</v>
      </c>
      <c r="E1054" s="3" t="inlineStr">
        <is>
          <t>Legacy company envelope - Tencent</t>
        </is>
      </c>
      <c r="F1054" s="3" t="inlineStr">
        <is>
          <t>Tencent</t>
        </is>
      </c>
      <c r="G1054" s="3" t="inlineStr"/>
      <c r="H1054" s="25" t="n">
        <v>538</v>
      </c>
      <c r="I1054" s="17" t="n">
        <v>1</v>
      </c>
      <c r="J1054" s="17" t="n">
        <v>0.675</v>
      </c>
      <c r="K1054" s="26" t="n">
        <v>0.325</v>
      </c>
      <c r="L1054" s="3" t="inlineStr"/>
      <c r="M1054" s="27" t="inlineStr"/>
      <c r="N1054" s="27" t="inlineStr"/>
      <c r="O1054" s="3" t="inlineStr">
        <is>
          <t>Medium-Low</t>
        </is>
      </c>
      <c r="P1054" s="3" t="inlineStr"/>
      <c r="Q1054" s="3" t="inlineStr">
        <is>
          <t>legacy_company_envelope_fallback</t>
        </is>
      </c>
      <c r="R1054" s="3" t="inlineStr">
        <is>
          <t>SRC_TENCENT_HUNYUAN; SRC_TENCENT_HY3; SRC_TENCENT_AI_INFRA_MOE</t>
        </is>
      </c>
      <c r="S1054" s="3" t="inlineStr">
        <is>
          <t>No mapped Epoch user-site rows were available, so the prior company-level accelerator mix remains as an editable fallback.</t>
        </is>
      </c>
    </row>
    <row r="1055">
      <c r="A1055" s="3" t="inlineStr">
        <is>
          <t>Grid-Constrained / Efficiency-Upside|Tencent|2028|Legacy company envelope - Tencent</t>
        </is>
      </c>
      <c r="B1055" s="3" t="inlineStr">
        <is>
          <t>Grid-Constrained / Efficiency-Upside</t>
        </is>
      </c>
      <c r="C1055" s="3" t="inlineStr">
        <is>
          <t>Tencent</t>
        </is>
      </c>
      <c r="D1055" s="3" t="n">
        <v>2028</v>
      </c>
      <c r="E1055" s="3" t="inlineStr">
        <is>
          <t>Legacy company envelope - Tencent</t>
        </is>
      </c>
      <c r="F1055" s="3" t="inlineStr">
        <is>
          <t>Tencent</t>
        </is>
      </c>
      <c r="G1055" s="3" t="inlineStr"/>
      <c r="H1055" s="25" t="n">
        <v>779</v>
      </c>
      <c r="I1055" s="17" t="n">
        <v>1</v>
      </c>
      <c r="J1055" s="17" t="n">
        <v>0.73</v>
      </c>
      <c r="K1055" s="26" t="n">
        <v>0.27</v>
      </c>
      <c r="L1055" s="3" t="inlineStr"/>
      <c r="M1055" s="27" t="inlineStr"/>
      <c r="N1055" s="27" t="inlineStr"/>
      <c r="O1055" s="3" t="inlineStr">
        <is>
          <t>Medium-Low</t>
        </is>
      </c>
      <c r="P1055" s="3" t="inlineStr"/>
      <c r="Q1055" s="3" t="inlineStr">
        <is>
          <t>legacy_company_envelope_fallback</t>
        </is>
      </c>
      <c r="R1055" s="3" t="inlineStr">
        <is>
          <t>SRC_TENCENT_HUNYUAN; SRC_TENCENT_HY3; SRC_TENCENT_AI_INFRA_MOE</t>
        </is>
      </c>
      <c r="S1055" s="3" t="inlineStr">
        <is>
          <t>No mapped Epoch user-site rows were available, so the prior company-level accelerator mix remains as an editable fallback.</t>
        </is>
      </c>
    </row>
    <row r="1056">
      <c r="A1056" s="3" t="inlineStr">
        <is>
          <t>Grid-Constrained / Efficiency-Upside|Tencent|2029|Legacy company envelope - Tencent</t>
        </is>
      </c>
      <c r="B1056" s="3" t="inlineStr">
        <is>
          <t>Grid-Constrained / Efficiency-Upside</t>
        </is>
      </c>
      <c r="C1056" s="3" t="inlineStr">
        <is>
          <t>Tencent</t>
        </is>
      </c>
      <c r="D1056" s="3" t="n">
        <v>2029</v>
      </c>
      <c r="E1056" s="3" t="inlineStr">
        <is>
          <t>Legacy company envelope - Tencent</t>
        </is>
      </c>
      <c r="F1056" s="3" t="inlineStr">
        <is>
          <t>Tencent</t>
        </is>
      </c>
      <c r="G1056" s="3" t="inlineStr"/>
      <c r="H1056" s="25" t="n">
        <v>993</v>
      </c>
      <c r="I1056" s="17" t="n">
        <v>1</v>
      </c>
      <c r="J1056" s="17" t="n">
        <v>0.785</v>
      </c>
      <c r="K1056" s="26" t="n">
        <v>0.215</v>
      </c>
      <c r="L1056" s="3" t="inlineStr"/>
      <c r="M1056" s="27" t="inlineStr"/>
      <c r="N1056" s="27" t="inlineStr"/>
      <c r="O1056" s="3" t="inlineStr">
        <is>
          <t>Medium-Low</t>
        </is>
      </c>
      <c r="P1056" s="3" t="inlineStr"/>
      <c r="Q1056" s="3" t="inlineStr">
        <is>
          <t>legacy_company_envelope_fallback</t>
        </is>
      </c>
      <c r="R1056" s="3" t="inlineStr">
        <is>
          <t>SRC_TENCENT_HUNYUAN; SRC_TENCENT_HY3; SRC_TENCENT_AI_INFRA_MOE</t>
        </is>
      </c>
      <c r="S1056" s="3" t="inlineStr">
        <is>
          <t>No mapped Epoch user-site rows were available, so the prior company-level accelerator mix remains as an editable fallback.</t>
        </is>
      </c>
    </row>
    <row r="1057">
      <c r="A1057" s="3" t="inlineStr">
        <is>
          <t>Grid-Constrained / Efficiency-Upside|Tencent|2030|Legacy company envelope - Tencent</t>
        </is>
      </c>
      <c r="B1057" s="3" t="inlineStr">
        <is>
          <t>Grid-Constrained / Efficiency-Upside</t>
        </is>
      </c>
      <c r="C1057" s="3" t="inlineStr">
        <is>
          <t>Tencent</t>
        </is>
      </c>
      <c r="D1057" s="3" t="n">
        <v>2030</v>
      </c>
      <c r="E1057" s="3" t="inlineStr">
        <is>
          <t>Legacy company envelope - Tencent</t>
        </is>
      </c>
      <c r="F1057" s="3" t="inlineStr">
        <is>
          <t>Tencent</t>
        </is>
      </c>
      <c r="G1057" s="3" t="inlineStr"/>
      <c r="H1057" s="25" t="n">
        <v>1180</v>
      </c>
      <c r="I1057" s="17" t="n">
        <v>1</v>
      </c>
      <c r="J1057" s="17" t="n">
        <v>0.84</v>
      </c>
      <c r="K1057" s="26" t="n">
        <v>0.16</v>
      </c>
      <c r="L1057" s="3" t="inlineStr"/>
      <c r="M1057" s="27" t="inlineStr"/>
      <c r="N1057" s="27" t="inlineStr"/>
      <c r="O1057" s="3" t="inlineStr">
        <is>
          <t>Medium-Low</t>
        </is>
      </c>
      <c r="P1057" s="3" t="inlineStr"/>
      <c r="Q1057" s="3" t="inlineStr">
        <is>
          <t>legacy_company_envelope_fallback</t>
        </is>
      </c>
      <c r="R1057" s="3" t="inlineStr">
        <is>
          <t>SRC_TENCENT_HUNYUAN; SRC_TENCENT_HY3; SRC_TENCENT_AI_INFRA_MOE</t>
        </is>
      </c>
      <c r="S1057" s="3" t="inlineStr">
        <is>
          <t>No mapped Epoch user-site rows were available, so the prior company-level accelerator mix remains as an editable fallback.</t>
        </is>
      </c>
    </row>
  </sheetData>
  <autoFilter ref="A1:S105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8" customWidth="1" min="2" max="2"/>
    <col width="34" customWidth="1" min="3" max="3"/>
    <col width="12" customWidth="1" min="4" max="4"/>
    <col width="12" customWidth="1" min="5" max="5"/>
    <col width="22" customWidth="1" min="6" max="6"/>
    <col width="22" customWidth="1" min="7" max="7"/>
    <col width="23" customWidth="1" min="8" max="8"/>
    <col width="19" customWidth="1" min="9" max="9"/>
    <col width="12" customWidth="1" min="10" max="10"/>
    <col width="16" customWidth="1" min="11" max="11"/>
    <col width="12" customWidth="1" min="12" max="12"/>
    <col width="12" customWidth="1" min="13" max="13"/>
    <col width="13" customWidth="1" min="14" max="14"/>
    <col width="17" customWidth="1" min="15" max="15"/>
    <col width="33" customWidth="1" min="16" max="16"/>
    <col width="38" customWidth="1" min="17" max="17"/>
    <col width="72" customWidth="1" min="18" max="18"/>
  </cols>
  <sheetData>
    <row r="1">
      <c r="A1" s="4" t="inlineStr">
        <is>
          <t>mix_key</t>
        </is>
      </c>
      <c r="B1" s="4" t="inlineStr">
        <is>
          <t>scenario</t>
        </is>
      </c>
      <c r="C1" s="4" t="inlineStr">
        <is>
          <t>data_center</t>
        </is>
      </c>
      <c r="D1" s="4" t="inlineStr">
        <is>
          <t>year</t>
        </is>
      </c>
      <c r="E1" s="4" t="inlineStr">
        <is>
          <t>owner</t>
        </is>
      </c>
      <c r="F1" s="4" t="inlineStr">
        <is>
          <t>h200_reference_share</t>
        </is>
      </c>
      <c r="G1" s="4" t="inlineStr">
        <is>
          <t>b200_reference_share</t>
        </is>
      </c>
      <c r="H1" s="4" t="inlineStr">
        <is>
          <t>gb200_reference_share</t>
        </is>
      </c>
      <c r="I1" s="4" t="inlineStr">
        <is>
          <t>r200_future_share</t>
        </is>
      </c>
      <c r="J1" s="4" t="inlineStr">
        <is>
          <t>tpu_share</t>
        </is>
      </c>
      <c r="K1" s="4" t="inlineStr">
        <is>
          <t>trainium_share</t>
        </is>
      </c>
      <c r="L1" s="4" t="inlineStr">
        <is>
          <t>maia_share</t>
        </is>
      </c>
      <c r="M1" s="4" t="inlineStr">
        <is>
          <t>mtia_share</t>
        </is>
      </c>
      <c r="N1" s="4" t="inlineStr">
        <is>
          <t>other_share</t>
        </is>
      </c>
      <c r="O1" s="4" t="inlineStr">
        <is>
          <t>share_sum_check</t>
        </is>
      </c>
      <c r="P1" s="4" t="inlineStr">
        <is>
          <t>source_type</t>
        </is>
      </c>
      <c r="Q1" s="4" t="inlineStr">
        <is>
          <t>source_ids</t>
        </is>
      </c>
      <c r="R1" s="4" t="inlineStr">
        <is>
          <t>note</t>
        </is>
      </c>
    </row>
    <row r="2">
      <c r="A2" s="3" t="inlineStr">
        <is>
          <t>Bear|Alibaba Zhangbei|2026</t>
        </is>
      </c>
      <c r="B2" s="3" t="inlineStr">
        <is>
          <t>Bear</t>
        </is>
      </c>
      <c r="C2" s="3" t="inlineStr">
        <is>
          <t>Alibaba Zhangbei</t>
        </is>
      </c>
      <c r="D2" s="3" t="n">
        <v>2026</v>
      </c>
      <c r="E2" s="3" t="inlineStr">
        <is>
          <t>Alibaba</t>
        </is>
      </c>
      <c r="F2" s="17" t="n">
        <v>1</v>
      </c>
      <c r="G2" s="17" t="n">
        <v>0</v>
      </c>
      <c r="H2" s="17" t="n">
        <v>0</v>
      </c>
      <c r="I2" s="17" t="n">
        <v>0</v>
      </c>
      <c r="J2" s="17" t="n">
        <v>0</v>
      </c>
      <c r="K2" s="17" t="n">
        <v>0</v>
      </c>
      <c r="L2" s="17" t="n">
        <v>0</v>
      </c>
      <c r="M2" s="17" t="n">
        <v>0</v>
      </c>
      <c r="N2" s="17" t="n">
        <v>0</v>
      </c>
      <c r="O2" s="26" t="n">
        <v>1</v>
      </c>
      <c r="P2" s="3" t="inlineStr">
        <is>
          <t>epoch_chip_quantity_latest</t>
        </is>
      </c>
      <c r="Q2" s="3" t="inlineStr">
        <is>
          <t>SRC_EPOCH_AI_DATA_CENTERS; EPOCH_RAW_CHIP_QUANTITIES</t>
        </is>
      </c>
      <c r="R2" s="3" t="inlineStr">
        <is>
          <t>Latest chip quantity per chip type through year-end; normalized by unit count into benchmark buckets.</t>
        </is>
      </c>
    </row>
    <row r="3">
      <c r="A3" s="3" t="inlineStr">
        <is>
          <t>Bear|Alibaba Zhangbei|2027</t>
        </is>
      </c>
      <c r="B3" s="3" t="inlineStr">
        <is>
          <t>Bear</t>
        </is>
      </c>
      <c r="C3" s="3" t="inlineStr">
        <is>
          <t>Alibaba Zhangbei</t>
        </is>
      </c>
      <c r="D3" s="3" t="n">
        <v>2027</v>
      </c>
      <c r="E3" s="3" t="inlineStr">
        <is>
          <t>Alibaba</t>
        </is>
      </c>
      <c r="F3" s="17" t="n">
        <v>1</v>
      </c>
      <c r="G3" s="17" t="n">
        <v>0</v>
      </c>
      <c r="H3" s="17" t="n">
        <v>0</v>
      </c>
      <c r="I3" s="17" t="n">
        <v>0</v>
      </c>
      <c r="J3" s="17" t="n">
        <v>0</v>
      </c>
      <c r="K3" s="17" t="n">
        <v>0</v>
      </c>
      <c r="L3" s="17" t="n">
        <v>0</v>
      </c>
      <c r="M3" s="17" t="n">
        <v>0</v>
      </c>
      <c r="N3" s="17" t="n">
        <v>0</v>
      </c>
      <c r="O3" s="26" t="n">
        <v>1</v>
      </c>
      <c r="P3" s="3" t="inlineStr">
        <is>
          <t>epoch_chip_quantity_latest</t>
        </is>
      </c>
      <c r="Q3" s="3" t="inlineStr">
        <is>
          <t>SRC_EPOCH_AI_DATA_CENTERS; EPOCH_RAW_CHIP_QUANTITIES</t>
        </is>
      </c>
      <c r="R3" s="3" t="inlineStr">
        <is>
          <t>Latest chip quantity per chip type through year-end; normalized by unit count into benchmark buckets.</t>
        </is>
      </c>
    </row>
    <row r="4">
      <c r="A4" s="3" t="inlineStr">
        <is>
          <t>Bear|Alibaba Zhangbei|2028</t>
        </is>
      </c>
      <c r="B4" s="3" t="inlineStr">
        <is>
          <t>Bear</t>
        </is>
      </c>
      <c r="C4" s="3" t="inlineStr">
        <is>
          <t>Alibaba Zhangbei</t>
        </is>
      </c>
      <c r="D4" s="3" t="n">
        <v>2028</v>
      </c>
      <c r="E4" s="3" t="inlineStr">
        <is>
          <t>Alibaba</t>
        </is>
      </c>
      <c r="F4" s="17" t="n">
        <v>1</v>
      </c>
      <c r="G4" s="17" t="n">
        <v>0</v>
      </c>
      <c r="H4" s="17" t="n">
        <v>0</v>
      </c>
      <c r="I4" s="17" t="n">
        <v>0</v>
      </c>
      <c r="J4" s="17" t="n">
        <v>0</v>
      </c>
      <c r="K4" s="17" t="n">
        <v>0</v>
      </c>
      <c r="L4" s="17" t="n">
        <v>0</v>
      </c>
      <c r="M4" s="17" t="n">
        <v>0</v>
      </c>
      <c r="N4" s="17" t="n">
        <v>0</v>
      </c>
      <c r="O4" s="26" t="n">
        <v>1</v>
      </c>
      <c r="P4" s="3" t="inlineStr">
        <is>
          <t>epoch_chip_quantity_latest</t>
        </is>
      </c>
      <c r="Q4" s="3" t="inlineStr">
        <is>
          <t>SRC_EPOCH_AI_DATA_CENTERS; EPOCH_RAW_CHIP_QUANTITIES</t>
        </is>
      </c>
      <c r="R4" s="3" t="inlineStr">
        <is>
          <t>Latest chip quantity per chip type through year-end; normalized by unit count into benchmark buckets.</t>
        </is>
      </c>
    </row>
    <row r="5">
      <c r="A5" s="3" t="inlineStr">
        <is>
          <t>Bear|Alibaba Zhangbei|2029</t>
        </is>
      </c>
      <c r="B5" s="3" t="inlineStr">
        <is>
          <t>Bear</t>
        </is>
      </c>
      <c r="C5" s="3" t="inlineStr">
        <is>
          <t>Alibaba Zhangbei</t>
        </is>
      </c>
      <c r="D5" s="3" t="n">
        <v>2029</v>
      </c>
      <c r="E5" s="3" t="inlineStr">
        <is>
          <t>Alibaba</t>
        </is>
      </c>
      <c r="F5" s="17" t="n">
        <v>1</v>
      </c>
      <c r="G5" s="17" t="n">
        <v>0</v>
      </c>
      <c r="H5" s="17" t="n">
        <v>0</v>
      </c>
      <c r="I5" s="17" t="n">
        <v>0</v>
      </c>
      <c r="J5" s="17" t="n">
        <v>0</v>
      </c>
      <c r="K5" s="17" t="n">
        <v>0</v>
      </c>
      <c r="L5" s="17" t="n">
        <v>0</v>
      </c>
      <c r="M5" s="17" t="n">
        <v>0</v>
      </c>
      <c r="N5" s="17" t="n">
        <v>0</v>
      </c>
      <c r="O5" s="26" t="n">
        <v>1</v>
      </c>
      <c r="P5" s="3" t="inlineStr">
        <is>
          <t>epoch_chip_quantity_latest</t>
        </is>
      </c>
      <c r="Q5" s="3" t="inlineStr">
        <is>
          <t>SRC_EPOCH_AI_DATA_CENTERS; EPOCH_RAW_CHIP_QUANTITIES</t>
        </is>
      </c>
      <c r="R5" s="3" t="inlineStr">
        <is>
          <t>Latest chip quantity per chip type through year-end; normalized by unit count into benchmark buckets.</t>
        </is>
      </c>
    </row>
    <row r="6">
      <c r="A6" s="3" t="inlineStr">
        <is>
          <t>Bear|Alibaba Zhangbei|2030</t>
        </is>
      </c>
      <c r="B6" s="3" t="inlineStr">
        <is>
          <t>Bear</t>
        </is>
      </c>
      <c r="C6" s="3" t="inlineStr">
        <is>
          <t>Alibaba Zhangbei</t>
        </is>
      </c>
      <c r="D6" s="3" t="n">
        <v>2030</v>
      </c>
      <c r="E6" s="3" t="inlineStr">
        <is>
          <t>Alibaba</t>
        </is>
      </c>
      <c r="F6" s="17" t="n">
        <v>1</v>
      </c>
      <c r="G6" s="17" t="n">
        <v>0</v>
      </c>
      <c r="H6" s="17" t="n">
        <v>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26" t="n">
        <v>1</v>
      </c>
      <c r="P6" s="3" t="inlineStr">
        <is>
          <t>epoch_chip_quantity_latest</t>
        </is>
      </c>
      <c r="Q6" s="3" t="inlineStr">
        <is>
          <t>SRC_EPOCH_AI_DATA_CENTERS; EPOCH_RAW_CHIP_QUANTITIES</t>
        </is>
      </c>
      <c r="R6" s="3" t="inlineStr">
        <is>
          <t>Latest chip quantity per chip type through year-end; normalized by unit count into benchmark buckets.</t>
        </is>
      </c>
    </row>
    <row r="7">
      <c r="A7" s="3" t="inlineStr">
        <is>
          <t>Base|Alibaba Zhangbei|2026</t>
        </is>
      </c>
      <c r="B7" s="3" t="inlineStr">
        <is>
          <t>Base</t>
        </is>
      </c>
      <c r="C7" s="3" t="inlineStr">
        <is>
          <t>Alibaba Zhangbei</t>
        </is>
      </c>
      <c r="D7" s="3" t="n">
        <v>2026</v>
      </c>
      <c r="E7" s="3" t="inlineStr">
        <is>
          <t>Alibaba</t>
        </is>
      </c>
      <c r="F7" s="17" t="n">
        <v>1</v>
      </c>
      <c r="G7" s="17" t="n">
        <v>0</v>
      </c>
      <c r="H7" s="17" t="n">
        <v>0</v>
      </c>
      <c r="I7" s="17" t="n">
        <v>0</v>
      </c>
      <c r="J7" s="17" t="n">
        <v>0</v>
      </c>
      <c r="K7" s="17" t="n">
        <v>0</v>
      </c>
      <c r="L7" s="17" t="n">
        <v>0</v>
      </c>
      <c r="M7" s="17" t="n">
        <v>0</v>
      </c>
      <c r="N7" s="17" t="n">
        <v>0</v>
      </c>
      <c r="O7" s="26" t="n">
        <v>1</v>
      </c>
      <c r="P7" s="3" t="inlineStr">
        <is>
          <t>epoch_chip_quantity_latest</t>
        </is>
      </c>
      <c r="Q7" s="3" t="inlineStr">
        <is>
          <t>SRC_EPOCH_AI_DATA_CENTERS; EPOCH_RAW_CHIP_QUANTITIES</t>
        </is>
      </c>
      <c r="R7" s="3" t="inlineStr">
        <is>
          <t>Latest chip quantity per chip type through year-end; normalized by unit count into benchmark buckets.</t>
        </is>
      </c>
    </row>
    <row r="8">
      <c r="A8" s="3" t="inlineStr">
        <is>
          <t>Base|Alibaba Zhangbei|2027</t>
        </is>
      </c>
      <c r="B8" s="3" t="inlineStr">
        <is>
          <t>Base</t>
        </is>
      </c>
      <c r="C8" s="3" t="inlineStr">
        <is>
          <t>Alibaba Zhangbei</t>
        </is>
      </c>
      <c r="D8" s="3" t="n">
        <v>2027</v>
      </c>
      <c r="E8" s="3" t="inlineStr">
        <is>
          <t>Alibaba</t>
        </is>
      </c>
      <c r="F8" s="17" t="n">
        <v>1</v>
      </c>
      <c r="G8" s="17" t="n">
        <v>0</v>
      </c>
      <c r="H8" s="17" t="n">
        <v>0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  <c r="N8" s="17" t="n">
        <v>0</v>
      </c>
      <c r="O8" s="26" t="n">
        <v>1</v>
      </c>
      <c r="P8" s="3" t="inlineStr">
        <is>
          <t>epoch_chip_quantity_latest</t>
        </is>
      </c>
      <c r="Q8" s="3" t="inlineStr">
        <is>
          <t>SRC_EPOCH_AI_DATA_CENTERS; EPOCH_RAW_CHIP_QUANTITIES</t>
        </is>
      </c>
      <c r="R8" s="3" t="inlineStr">
        <is>
          <t>Latest chip quantity per chip type through year-end; normalized by unit count into benchmark buckets.</t>
        </is>
      </c>
    </row>
    <row r="9">
      <c r="A9" s="3" t="inlineStr">
        <is>
          <t>Base|Alibaba Zhangbei|2028</t>
        </is>
      </c>
      <c r="B9" s="3" t="inlineStr">
        <is>
          <t>Base</t>
        </is>
      </c>
      <c r="C9" s="3" t="inlineStr">
        <is>
          <t>Alibaba Zhangbei</t>
        </is>
      </c>
      <c r="D9" s="3" t="n">
        <v>2028</v>
      </c>
      <c r="E9" s="3" t="inlineStr">
        <is>
          <t>Alibaba</t>
        </is>
      </c>
      <c r="F9" s="17" t="n">
        <v>1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  <c r="L9" s="17" t="n">
        <v>0</v>
      </c>
      <c r="M9" s="17" t="n">
        <v>0</v>
      </c>
      <c r="N9" s="17" t="n">
        <v>0</v>
      </c>
      <c r="O9" s="26" t="n">
        <v>1</v>
      </c>
      <c r="P9" s="3" t="inlineStr">
        <is>
          <t>epoch_chip_quantity_latest</t>
        </is>
      </c>
      <c r="Q9" s="3" t="inlineStr">
        <is>
          <t>SRC_EPOCH_AI_DATA_CENTERS; EPOCH_RAW_CHIP_QUANTITIES</t>
        </is>
      </c>
      <c r="R9" s="3" t="inlineStr">
        <is>
          <t>Latest chip quantity per chip type through year-end; normalized by unit count into benchmark buckets.</t>
        </is>
      </c>
    </row>
    <row r="10">
      <c r="A10" s="3" t="inlineStr">
        <is>
          <t>Base|Alibaba Zhangbei|2029</t>
        </is>
      </c>
      <c r="B10" s="3" t="inlineStr">
        <is>
          <t>Base</t>
        </is>
      </c>
      <c r="C10" s="3" t="inlineStr">
        <is>
          <t>Alibaba Zhangbei</t>
        </is>
      </c>
      <c r="D10" s="3" t="n">
        <v>2029</v>
      </c>
      <c r="E10" s="3" t="inlineStr">
        <is>
          <t>Alibaba</t>
        </is>
      </c>
      <c r="F10" s="17" t="n">
        <v>1</v>
      </c>
      <c r="G10" s="17" t="n">
        <v>0</v>
      </c>
      <c r="H10" s="17" t="n">
        <v>0</v>
      </c>
      <c r="I10" s="17" t="n">
        <v>0</v>
      </c>
      <c r="J10" s="17" t="n">
        <v>0</v>
      </c>
      <c r="K10" s="17" t="n">
        <v>0</v>
      </c>
      <c r="L10" s="17" t="n">
        <v>0</v>
      </c>
      <c r="M10" s="17" t="n">
        <v>0</v>
      </c>
      <c r="N10" s="17" t="n">
        <v>0</v>
      </c>
      <c r="O10" s="26" t="n">
        <v>1</v>
      </c>
      <c r="P10" s="3" t="inlineStr">
        <is>
          <t>epoch_chip_quantity_latest</t>
        </is>
      </c>
      <c r="Q10" s="3" t="inlineStr">
        <is>
          <t>SRC_EPOCH_AI_DATA_CENTERS; EPOCH_RAW_CHIP_QUANTITIES</t>
        </is>
      </c>
      <c r="R10" s="3" t="inlineStr">
        <is>
          <t>Latest chip quantity per chip type through year-end; normalized by unit count into benchmark buckets.</t>
        </is>
      </c>
    </row>
    <row r="11">
      <c r="A11" s="3" t="inlineStr">
        <is>
          <t>Base|Alibaba Zhangbei|2030</t>
        </is>
      </c>
      <c r="B11" s="3" t="inlineStr">
        <is>
          <t>Base</t>
        </is>
      </c>
      <c r="C11" s="3" t="inlineStr">
        <is>
          <t>Alibaba Zhangbei</t>
        </is>
      </c>
      <c r="D11" s="3" t="n">
        <v>2030</v>
      </c>
      <c r="E11" s="3" t="inlineStr">
        <is>
          <t>Alibaba</t>
        </is>
      </c>
      <c r="F11" s="17" t="n">
        <v>1</v>
      </c>
      <c r="G11" s="17" t="n">
        <v>0</v>
      </c>
      <c r="H11" s="17" t="n">
        <v>0</v>
      </c>
      <c r="I11" s="17" t="n">
        <v>0</v>
      </c>
      <c r="J11" s="17" t="n">
        <v>0</v>
      </c>
      <c r="K11" s="17" t="n">
        <v>0</v>
      </c>
      <c r="L11" s="17" t="n">
        <v>0</v>
      </c>
      <c r="M11" s="17" t="n">
        <v>0</v>
      </c>
      <c r="N11" s="17" t="n">
        <v>0</v>
      </c>
      <c r="O11" s="26" t="n">
        <v>1</v>
      </c>
      <c r="P11" s="3" t="inlineStr">
        <is>
          <t>epoch_chip_quantity_latest</t>
        </is>
      </c>
      <c r="Q11" s="3" t="inlineStr">
        <is>
          <t>SRC_EPOCH_AI_DATA_CENTERS; EPOCH_RAW_CHIP_QUANTITIES</t>
        </is>
      </c>
      <c r="R11" s="3" t="inlineStr">
        <is>
          <t>Latest chip quantity per chip type through year-end; normalized by unit count into benchmark buckets.</t>
        </is>
      </c>
    </row>
    <row r="12">
      <c r="A12" s="3" t="inlineStr">
        <is>
          <t>Bull|Alibaba Zhangbei|2026</t>
        </is>
      </c>
      <c r="B12" s="3" t="inlineStr">
        <is>
          <t>Bull</t>
        </is>
      </c>
      <c r="C12" s="3" t="inlineStr">
        <is>
          <t>Alibaba Zhangbei</t>
        </is>
      </c>
      <c r="D12" s="3" t="n">
        <v>2026</v>
      </c>
      <c r="E12" s="3" t="inlineStr">
        <is>
          <t>Alibaba</t>
        </is>
      </c>
      <c r="F12" s="17" t="n">
        <v>1</v>
      </c>
      <c r="G12" s="17" t="n">
        <v>0</v>
      </c>
      <c r="H12" s="17" t="n">
        <v>0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26" t="n">
        <v>1</v>
      </c>
      <c r="P12" s="3" t="inlineStr">
        <is>
          <t>epoch_chip_quantity_latest</t>
        </is>
      </c>
      <c r="Q12" s="3" t="inlineStr">
        <is>
          <t>SRC_EPOCH_AI_DATA_CENTERS; EPOCH_RAW_CHIP_QUANTITIES</t>
        </is>
      </c>
      <c r="R12" s="3" t="inlineStr">
        <is>
          <t>Latest chip quantity per chip type through year-end; normalized by unit count into benchmark buckets.</t>
        </is>
      </c>
    </row>
    <row r="13">
      <c r="A13" s="3" t="inlineStr">
        <is>
          <t>Bull|Alibaba Zhangbei|2027</t>
        </is>
      </c>
      <c r="B13" s="3" t="inlineStr">
        <is>
          <t>Bull</t>
        </is>
      </c>
      <c r="C13" s="3" t="inlineStr">
        <is>
          <t>Alibaba Zhangbei</t>
        </is>
      </c>
      <c r="D13" s="3" t="n">
        <v>2027</v>
      </c>
      <c r="E13" s="3" t="inlineStr">
        <is>
          <t>Alibaba</t>
        </is>
      </c>
      <c r="F13" s="17" t="n">
        <v>1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26" t="n">
        <v>1</v>
      </c>
      <c r="P13" s="3" t="inlineStr">
        <is>
          <t>epoch_chip_quantity_latest</t>
        </is>
      </c>
      <c r="Q13" s="3" t="inlineStr">
        <is>
          <t>SRC_EPOCH_AI_DATA_CENTERS; EPOCH_RAW_CHIP_QUANTITIES</t>
        </is>
      </c>
      <c r="R13" s="3" t="inlineStr">
        <is>
          <t>Latest chip quantity per chip type through year-end; normalized by unit count into benchmark buckets.</t>
        </is>
      </c>
    </row>
    <row r="14">
      <c r="A14" s="3" t="inlineStr">
        <is>
          <t>Bull|Alibaba Zhangbei|2028</t>
        </is>
      </c>
      <c r="B14" s="3" t="inlineStr">
        <is>
          <t>Bull</t>
        </is>
      </c>
      <c r="C14" s="3" t="inlineStr">
        <is>
          <t>Alibaba Zhangbei</t>
        </is>
      </c>
      <c r="D14" s="3" t="n">
        <v>2028</v>
      </c>
      <c r="E14" s="3" t="inlineStr">
        <is>
          <t>Alibaba</t>
        </is>
      </c>
      <c r="F14" s="17" t="n">
        <v>1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 t="n">
        <v>0</v>
      </c>
      <c r="O14" s="26" t="n">
        <v>1</v>
      </c>
      <c r="P14" s="3" t="inlineStr">
        <is>
          <t>epoch_chip_quantity_latest</t>
        </is>
      </c>
      <c r="Q14" s="3" t="inlineStr">
        <is>
          <t>SRC_EPOCH_AI_DATA_CENTERS; EPOCH_RAW_CHIP_QUANTITIES</t>
        </is>
      </c>
      <c r="R14" s="3" t="inlineStr">
        <is>
          <t>Latest chip quantity per chip type through year-end; normalized by unit count into benchmark buckets.</t>
        </is>
      </c>
    </row>
    <row r="15">
      <c r="A15" s="3" t="inlineStr">
        <is>
          <t>Bull|Alibaba Zhangbei|2029</t>
        </is>
      </c>
      <c r="B15" s="3" t="inlineStr">
        <is>
          <t>Bull</t>
        </is>
      </c>
      <c r="C15" s="3" t="inlineStr">
        <is>
          <t>Alibaba Zhangbei</t>
        </is>
      </c>
      <c r="D15" s="3" t="n">
        <v>2029</v>
      </c>
      <c r="E15" s="3" t="inlineStr">
        <is>
          <t>Alibaba</t>
        </is>
      </c>
      <c r="F15" s="17" t="n">
        <v>1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0</v>
      </c>
      <c r="M15" s="17" t="n">
        <v>0</v>
      </c>
      <c r="N15" s="17" t="n">
        <v>0</v>
      </c>
      <c r="O15" s="26" t="n">
        <v>1</v>
      </c>
      <c r="P15" s="3" t="inlineStr">
        <is>
          <t>epoch_chip_quantity_latest</t>
        </is>
      </c>
      <c r="Q15" s="3" t="inlineStr">
        <is>
          <t>SRC_EPOCH_AI_DATA_CENTERS; EPOCH_RAW_CHIP_QUANTITIES</t>
        </is>
      </c>
      <c r="R15" s="3" t="inlineStr">
        <is>
          <t>Latest chip quantity per chip type through year-end; normalized by unit count into benchmark buckets.</t>
        </is>
      </c>
    </row>
    <row r="16">
      <c r="A16" s="3" t="inlineStr">
        <is>
          <t>Bull|Alibaba Zhangbei|2030</t>
        </is>
      </c>
      <c r="B16" s="3" t="inlineStr">
        <is>
          <t>Bull</t>
        </is>
      </c>
      <c r="C16" s="3" t="inlineStr">
        <is>
          <t>Alibaba Zhangbei</t>
        </is>
      </c>
      <c r="D16" s="3" t="n">
        <v>2030</v>
      </c>
      <c r="E16" s="3" t="inlineStr">
        <is>
          <t>Alibaba</t>
        </is>
      </c>
      <c r="F16" s="17" t="n">
        <v>1</v>
      </c>
      <c r="G16" s="17" t="n">
        <v>0</v>
      </c>
      <c r="H16" s="17" t="n">
        <v>0</v>
      </c>
      <c r="I16" s="17" t="n">
        <v>0</v>
      </c>
      <c r="J16" s="17" t="n">
        <v>0</v>
      </c>
      <c r="K16" s="17" t="n">
        <v>0</v>
      </c>
      <c r="L16" s="17" t="n">
        <v>0</v>
      </c>
      <c r="M16" s="17" t="n">
        <v>0</v>
      </c>
      <c r="N16" s="17" t="n">
        <v>0</v>
      </c>
      <c r="O16" s="26" t="n">
        <v>1</v>
      </c>
      <c r="P16" s="3" t="inlineStr">
        <is>
          <t>epoch_chip_quantity_latest</t>
        </is>
      </c>
      <c r="Q16" s="3" t="inlineStr">
        <is>
          <t>SRC_EPOCH_AI_DATA_CENTERS; EPOCH_RAW_CHIP_QUANTITIES</t>
        </is>
      </c>
      <c r="R16" s="3" t="inlineStr">
        <is>
          <t>Latest chip quantity per chip type through year-end; normalized by unit count into benchmark buckets.</t>
        </is>
      </c>
    </row>
    <row r="17">
      <c r="A17" s="3" t="inlineStr">
        <is>
          <t>Grid-Constrained / Efficiency-Upside|Alibaba Zhangbei|2026</t>
        </is>
      </c>
      <c r="B17" s="3" t="inlineStr">
        <is>
          <t>Grid-Constrained / Efficiency-Upside</t>
        </is>
      </c>
      <c r="C17" s="3" t="inlineStr">
        <is>
          <t>Alibaba Zhangbei</t>
        </is>
      </c>
      <c r="D17" s="3" t="n">
        <v>2026</v>
      </c>
      <c r="E17" s="3" t="inlineStr">
        <is>
          <t>Alibaba</t>
        </is>
      </c>
      <c r="F17" s="17" t="n">
        <v>1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 t="n">
        <v>0</v>
      </c>
      <c r="O17" s="26" t="n">
        <v>1</v>
      </c>
      <c r="P17" s="3" t="inlineStr">
        <is>
          <t>epoch_chip_quantity_latest</t>
        </is>
      </c>
      <c r="Q17" s="3" t="inlineStr">
        <is>
          <t>SRC_EPOCH_AI_DATA_CENTERS; EPOCH_RAW_CHIP_QUANTITIES</t>
        </is>
      </c>
      <c r="R17" s="3" t="inlineStr">
        <is>
          <t>Latest chip quantity per chip type through year-end; normalized by unit count into benchmark buckets.</t>
        </is>
      </c>
    </row>
    <row r="18">
      <c r="A18" s="3" t="inlineStr">
        <is>
          <t>Grid-Constrained / Efficiency-Upside|Alibaba Zhangbei|2027</t>
        </is>
      </c>
      <c r="B18" s="3" t="inlineStr">
        <is>
          <t>Grid-Constrained / Efficiency-Upside</t>
        </is>
      </c>
      <c r="C18" s="3" t="inlineStr">
        <is>
          <t>Alibaba Zhangbei</t>
        </is>
      </c>
      <c r="D18" s="3" t="n">
        <v>2027</v>
      </c>
      <c r="E18" s="3" t="inlineStr">
        <is>
          <t>Alibaba</t>
        </is>
      </c>
      <c r="F18" s="17" t="n">
        <v>1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 t="n">
        <v>0</v>
      </c>
      <c r="O18" s="26" t="n">
        <v>1</v>
      </c>
      <c r="P18" s="3" t="inlineStr">
        <is>
          <t>epoch_chip_quantity_latest</t>
        </is>
      </c>
      <c r="Q18" s="3" t="inlineStr">
        <is>
          <t>SRC_EPOCH_AI_DATA_CENTERS; EPOCH_RAW_CHIP_QUANTITIES</t>
        </is>
      </c>
      <c r="R18" s="3" t="inlineStr">
        <is>
          <t>Latest chip quantity per chip type through year-end; normalized by unit count into benchmark buckets.</t>
        </is>
      </c>
    </row>
    <row r="19">
      <c r="A19" s="3" t="inlineStr">
        <is>
          <t>Grid-Constrained / Efficiency-Upside|Alibaba Zhangbei|2028</t>
        </is>
      </c>
      <c r="B19" s="3" t="inlineStr">
        <is>
          <t>Grid-Constrained / Efficiency-Upside</t>
        </is>
      </c>
      <c r="C19" s="3" t="inlineStr">
        <is>
          <t>Alibaba Zhangbei</t>
        </is>
      </c>
      <c r="D19" s="3" t="n">
        <v>2028</v>
      </c>
      <c r="E19" s="3" t="inlineStr">
        <is>
          <t>Alibaba</t>
        </is>
      </c>
      <c r="F19" s="17" t="n">
        <v>1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 t="n">
        <v>0</v>
      </c>
      <c r="O19" s="26" t="n">
        <v>1</v>
      </c>
      <c r="P19" s="3" t="inlineStr">
        <is>
          <t>epoch_chip_quantity_latest</t>
        </is>
      </c>
      <c r="Q19" s="3" t="inlineStr">
        <is>
          <t>SRC_EPOCH_AI_DATA_CENTERS; EPOCH_RAW_CHIP_QUANTITIES</t>
        </is>
      </c>
      <c r="R19" s="3" t="inlineStr">
        <is>
          <t>Latest chip quantity per chip type through year-end; normalized by unit count into benchmark buckets.</t>
        </is>
      </c>
    </row>
    <row r="20">
      <c r="A20" s="3" t="inlineStr">
        <is>
          <t>Grid-Constrained / Efficiency-Upside|Alibaba Zhangbei|2029</t>
        </is>
      </c>
      <c r="B20" s="3" t="inlineStr">
        <is>
          <t>Grid-Constrained / Efficiency-Upside</t>
        </is>
      </c>
      <c r="C20" s="3" t="inlineStr">
        <is>
          <t>Alibaba Zhangbei</t>
        </is>
      </c>
      <c r="D20" s="3" t="n">
        <v>2029</v>
      </c>
      <c r="E20" s="3" t="inlineStr">
        <is>
          <t>Alibaba</t>
        </is>
      </c>
      <c r="F20" s="17" t="n">
        <v>1</v>
      </c>
      <c r="G20" s="17" t="n">
        <v>0</v>
      </c>
      <c r="H20" s="17" t="n">
        <v>0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26" t="n">
        <v>1</v>
      </c>
      <c r="P20" s="3" t="inlineStr">
        <is>
          <t>epoch_chip_quantity_latest</t>
        </is>
      </c>
      <c r="Q20" s="3" t="inlineStr">
        <is>
          <t>SRC_EPOCH_AI_DATA_CENTERS; EPOCH_RAW_CHIP_QUANTITIES</t>
        </is>
      </c>
      <c r="R20" s="3" t="inlineStr">
        <is>
          <t>Latest chip quantity per chip type through year-end; normalized by unit count into benchmark buckets.</t>
        </is>
      </c>
    </row>
    <row r="21">
      <c r="A21" s="3" t="inlineStr">
        <is>
          <t>Grid-Constrained / Efficiency-Upside|Alibaba Zhangbei|2030</t>
        </is>
      </c>
      <c r="B21" s="3" t="inlineStr">
        <is>
          <t>Grid-Constrained / Efficiency-Upside</t>
        </is>
      </c>
      <c r="C21" s="3" t="inlineStr">
        <is>
          <t>Alibaba Zhangbei</t>
        </is>
      </c>
      <c r="D21" s="3" t="n">
        <v>2030</v>
      </c>
      <c r="E21" s="3" t="inlineStr">
        <is>
          <t>Alibaba</t>
        </is>
      </c>
      <c r="F21" s="17" t="n">
        <v>1</v>
      </c>
      <c r="G21" s="17" t="n">
        <v>0</v>
      </c>
      <c r="H21" s="17" t="n">
        <v>0</v>
      </c>
      <c r="I21" s="17" t="n">
        <v>0</v>
      </c>
      <c r="J21" s="17" t="n">
        <v>0</v>
      </c>
      <c r="K21" s="17" t="n">
        <v>0</v>
      </c>
      <c r="L21" s="17" t="n">
        <v>0</v>
      </c>
      <c r="M21" s="17" t="n">
        <v>0</v>
      </c>
      <c r="N21" s="17" t="n">
        <v>0</v>
      </c>
      <c r="O21" s="26" t="n">
        <v>1</v>
      </c>
      <c r="P21" s="3" t="inlineStr">
        <is>
          <t>epoch_chip_quantity_latest</t>
        </is>
      </c>
      <c r="Q21" s="3" t="inlineStr">
        <is>
          <t>SRC_EPOCH_AI_DATA_CENTERS; EPOCH_RAW_CHIP_QUANTITIES</t>
        </is>
      </c>
      <c r="R21" s="3" t="inlineStr">
        <is>
          <t>Latest chip quantity per chip type through year-end; normalized by unit count into benchmark buckets.</t>
        </is>
      </c>
    </row>
    <row r="22">
      <c r="A22" s="3" t="inlineStr">
        <is>
          <t>Bear|Amazon Madison Mega Site|2026</t>
        </is>
      </c>
      <c r="B22" s="3" t="inlineStr">
        <is>
          <t>Bear</t>
        </is>
      </c>
      <c r="C22" s="3" t="inlineStr">
        <is>
          <t>Amazon Madison Mega Site</t>
        </is>
      </c>
      <c r="D22" s="3" t="n">
        <v>2026</v>
      </c>
      <c r="E22" s="3" t="inlineStr">
        <is>
          <t>Amazon</t>
        </is>
      </c>
      <c r="F22" s="17" t="n">
        <v>0</v>
      </c>
      <c r="G22" s="17" t="n">
        <v>0</v>
      </c>
      <c r="H22" s="17" t="n">
        <v>0</v>
      </c>
      <c r="I22" s="17" t="n">
        <v>0</v>
      </c>
      <c r="J22" s="17" t="n">
        <v>0</v>
      </c>
      <c r="K22" s="17" t="n">
        <v>1</v>
      </c>
      <c r="L22" s="17" t="n">
        <v>0</v>
      </c>
      <c r="M22" s="17" t="n">
        <v>0</v>
      </c>
      <c r="N22" s="17" t="n">
        <v>0</v>
      </c>
      <c r="O22" s="26" t="n">
        <v>1</v>
      </c>
      <c r="P22" s="3" t="inlineStr">
        <is>
          <t>epoch_chip_quantity_latest</t>
        </is>
      </c>
      <c r="Q22" s="3" t="inlineStr">
        <is>
          <t>SRC_EPOCH_AI_DATA_CENTERS; EPOCH_RAW_CHIP_QUANTITIES</t>
        </is>
      </c>
      <c r="R22" s="3" t="inlineStr">
        <is>
          <t>Latest chip quantity per chip type through year-end; normalized by unit count into benchmark buckets.</t>
        </is>
      </c>
    </row>
    <row r="23">
      <c r="A23" s="3" t="inlineStr">
        <is>
          <t>Bear|Amazon Madison Mega Site|2027</t>
        </is>
      </c>
      <c r="B23" s="3" t="inlineStr">
        <is>
          <t>Bear</t>
        </is>
      </c>
      <c r="C23" s="3" t="inlineStr">
        <is>
          <t>Amazon Madison Mega Site</t>
        </is>
      </c>
      <c r="D23" s="3" t="n">
        <v>2027</v>
      </c>
      <c r="E23" s="3" t="inlineStr">
        <is>
          <t>Amazon</t>
        </is>
      </c>
      <c r="F23" s="17" t="n">
        <v>0</v>
      </c>
      <c r="G23" s="17" t="n">
        <v>0</v>
      </c>
      <c r="H23" s="17" t="n">
        <v>0</v>
      </c>
      <c r="I23" s="17" t="n">
        <v>0</v>
      </c>
      <c r="J23" s="17" t="n">
        <v>0</v>
      </c>
      <c r="K23" s="17" t="n">
        <v>1</v>
      </c>
      <c r="L23" s="17" t="n">
        <v>0</v>
      </c>
      <c r="M23" s="17" t="n">
        <v>0</v>
      </c>
      <c r="N23" s="17" t="n">
        <v>0</v>
      </c>
      <c r="O23" s="26" t="n">
        <v>1</v>
      </c>
      <c r="P23" s="3" t="inlineStr">
        <is>
          <t>epoch_chip_quantity_latest</t>
        </is>
      </c>
      <c r="Q23" s="3" t="inlineStr">
        <is>
          <t>SRC_EPOCH_AI_DATA_CENTERS; EPOCH_RAW_CHIP_QUANTITIES</t>
        </is>
      </c>
      <c r="R23" s="3" t="inlineStr">
        <is>
          <t>Latest chip quantity per chip type through year-end; normalized by unit count into benchmark buckets.</t>
        </is>
      </c>
    </row>
    <row r="24">
      <c r="A24" s="3" t="inlineStr">
        <is>
          <t>Bear|Amazon Madison Mega Site|2028</t>
        </is>
      </c>
      <c r="B24" s="3" t="inlineStr">
        <is>
          <t>Bear</t>
        </is>
      </c>
      <c r="C24" s="3" t="inlineStr">
        <is>
          <t>Amazon Madison Mega Site</t>
        </is>
      </c>
      <c r="D24" s="3" t="n">
        <v>2028</v>
      </c>
      <c r="E24" s="3" t="inlineStr">
        <is>
          <t>Amazon</t>
        </is>
      </c>
      <c r="F24" s="17" t="n">
        <v>0</v>
      </c>
      <c r="G24" s="17" t="n">
        <v>0</v>
      </c>
      <c r="H24" s="17" t="n">
        <v>0</v>
      </c>
      <c r="I24" s="17" t="n">
        <v>0</v>
      </c>
      <c r="J24" s="17" t="n">
        <v>0</v>
      </c>
      <c r="K24" s="17" t="n">
        <v>1</v>
      </c>
      <c r="L24" s="17" t="n">
        <v>0</v>
      </c>
      <c r="M24" s="17" t="n">
        <v>0</v>
      </c>
      <c r="N24" s="17" t="n">
        <v>0</v>
      </c>
      <c r="O24" s="26" t="n">
        <v>1</v>
      </c>
      <c r="P24" s="3" t="inlineStr">
        <is>
          <t>epoch_chip_quantity_latest</t>
        </is>
      </c>
      <c r="Q24" s="3" t="inlineStr">
        <is>
          <t>SRC_EPOCH_AI_DATA_CENTERS; EPOCH_RAW_CHIP_QUANTITIES</t>
        </is>
      </c>
      <c r="R24" s="3" t="inlineStr">
        <is>
          <t>Latest chip quantity per chip type through year-end; normalized by unit count into benchmark buckets.</t>
        </is>
      </c>
    </row>
    <row r="25">
      <c r="A25" s="3" t="inlineStr">
        <is>
          <t>Bear|Amazon Madison Mega Site|2029</t>
        </is>
      </c>
      <c r="B25" s="3" t="inlineStr">
        <is>
          <t>Bear</t>
        </is>
      </c>
      <c r="C25" s="3" t="inlineStr">
        <is>
          <t>Amazon Madison Mega Site</t>
        </is>
      </c>
      <c r="D25" s="3" t="n">
        <v>2029</v>
      </c>
      <c r="E25" s="3" t="inlineStr">
        <is>
          <t>Amazon</t>
        </is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1</v>
      </c>
      <c r="L25" s="17" t="n">
        <v>0</v>
      </c>
      <c r="M25" s="17" t="n">
        <v>0</v>
      </c>
      <c r="N25" s="17" t="n">
        <v>0</v>
      </c>
      <c r="O25" s="26" t="n">
        <v>1</v>
      </c>
      <c r="P25" s="3" t="inlineStr">
        <is>
          <t>epoch_chip_quantity_latest</t>
        </is>
      </c>
      <c r="Q25" s="3" t="inlineStr">
        <is>
          <t>SRC_EPOCH_AI_DATA_CENTERS; EPOCH_RAW_CHIP_QUANTITIES</t>
        </is>
      </c>
      <c r="R25" s="3" t="inlineStr">
        <is>
          <t>Latest chip quantity per chip type through year-end; normalized by unit count into benchmark buckets.</t>
        </is>
      </c>
    </row>
    <row r="26">
      <c r="A26" s="3" t="inlineStr">
        <is>
          <t>Bear|Amazon Madison Mega Site|2030</t>
        </is>
      </c>
      <c r="B26" s="3" t="inlineStr">
        <is>
          <t>Bear</t>
        </is>
      </c>
      <c r="C26" s="3" t="inlineStr">
        <is>
          <t>Amazon Madison Mega Site</t>
        </is>
      </c>
      <c r="D26" s="3" t="n">
        <v>2030</v>
      </c>
      <c r="E26" s="3" t="inlineStr">
        <is>
          <t>Amazon</t>
        </is>
      </c>
      <c r="F26" s="17" t="n">
        <v>0</v>
      </c>
      <c r="G26" s="17" t="n">
        <v>0</v>
      </c>
      <c r="H26" s="17" t="n">
        <v>0</v>
      </c>
      <c r="I26" s="17" t="n">
        <v>0</v>
      </c>
      <c r="J26" s="17" t="n">
        <v>0</v>
      </c>
      <c r="K26" s="17" t="n">
        <v>1</v>
      </c>
      <c r="L26" s="17" t="n">
        <v>0</v>
      </c>
      <c r="M26" s="17" t="n">
        <v>0</v>
      </c>
      <c r="N26" s="17" t="n">
        <v>0</v>
      </c>
      <c r="O26" s="26" t="n">
        <v>1</v>
      </c>
      <c r="P26" s="3" t="inlineStr">
        <is>
          <t>epoch_chip_quantity_latest</t>
        </is>
      </c>
      <c r="Q26" s="3" t="inlineStr">
        <is>
          <t>SRC_EPOCH_AI_DATA_CENTERS; EPOCH_RAW_CHIP_QUANTITIES</t>
        </is>
      </c>
      <c r="R26" s="3" t="inlineStr">
        <is>
          <t>Latest chip quantity per chip type through year-end; normalized by unit count into benchmark buckets.</t>
        </is>
      </c>
    </row>
    <row r="27">
      <c r="A27" s="3" t="inlineStr">
        <is>
          <t>Base|Amazon Madison Mega Site|2026</t>
        </is>
      </c>
      <c r="B27" s="3" t="inlineStr">
        <is>
          <t>Base</t>
        </is>
      </c>
      <c r="C27" s="3" t="inlineStr">
        <is>
          <t>Amazon Madison Mega Site</t>
        </is>
      </c>
      <c r="D27" s="3" t="n">
        <v>2026</v>
      </c>
      <c r="E27" s="3" t="inlineStr">
        <is>
          <t>Amazon</t>
        </is>
      </c>
      <c r="F27" s="17" t="n">
        <v>0</v>
      </c>
      <c r="G27" s="17" t="n">
        <v>0</v>
      </c>
      <c r="H27" s="17" t="n">
        <v>0</v>
      </c>
      <c r="I27" s="17" t="n">
        <v>0</v>
      </c>
      <c r="J27" s="17" t="n">
        <v>0</v>
      </c>
      <c r="K27" s="17" t="n">
        <v>1</v>
      </c>
      <c r="L27" s="17" t="n">
        <v>0</v>
      </c>
      <c r="M27" s="17" t="n">
        <v>0</v>
      </c>
      <c r="N27" s="17" t="n">
        <v>0</v>
      </c>
      <c r="O27" s="26" t="n">
        <v>1</v>
      </c>
      <c r="P27" s="3" t="inlineStr">
        <is>
          <t>epoch_chip_quantity_latest</t>
        </is>
      </c>
      <c r="Q27" s="3" t="inlineStr">
        <is>
          <t>SRC_EPOCH_AI_DATA_CENTERS; EPOCH_RAW_CHIP_QUANTITIES</t>
        </is>
      </c>
      <c r="R27" s="3" t="inlineStr">
        <is>
          <t>Latest chip quantity per chip type through year-end; normalized by unit count into benchmark buckets.</t>
        </is>
      </c>
    </row>
    <row r="28">
      <c r="A28" s="3" t="inlineStr">
        <is>
          <t>Base|Amazon Madison Mega Site|2027</t>
        </is>
      </c>
      <c r="B28" s="3" t="inlineStr">
        <is>
          <t>Base</t>
        </is>
      </c>
      <c r="C28" s="3" t="inlineStr">
        <is>
          <t>Amazon Madison Mega Site</t>
        </is>
      </c>
      <c r="D28" s="3" t="n">
        <v>2027</v>
      </c>
      <c r="E28" s="3" t="inlineStr">
        <is>
          <t>Amazon</t>
        </is>
      </c>
      <c r="F28" s="17" t="n">
        <v>0</v>
      </c>
      <c r="G28" s="17" t="n">
        <v>0</v>
      </c>
      <c r="H28" s="17" t="n">
        <v>0</v>
      </c>
      <c r="I28" s="17" t="n">
        <v>0</v>
      </c>
      <c r="J28" s="17" t="n">
        <v>0</v>
      </c>
      <c r="K28" s="17" t="n">
        <v>1</v>
      </c>
      <c r="L28" s="17" t="n">
        <v>0</v>
      </c>
      <c r="M28" s="17" t="n">
        <v>0</v>
      </c>
      <c r="N28" s="17" t="n">
        <v>0</v>
      </c>
      <c r="O28" s="26" t="n">
        <v>1</v>
      </c>
      <c r="P28" s="3" t="inlineStr">
        <is>
          <t>epoch_chip_quantity_latest</t>
        </is>
      </c>
      <c r="Q28" s="3" t="inlineStr">
        <is>
          <t>SRC_EPOCH_AI_DATA_CENTERS; EPOCH_RAW_CHIP_QUANTITIES</t>
        </is>
      </c>
      <c r="R28" s="3" t="inlineStr">
        <is>
          <t>Latest chip quantity per chip type through year-end; normalized by unit count into benchmark buckets.</t>
        </is>
      </c>
    </row>
    <row r="29">
      <c r="A29" s="3" t="inlineStr">
        <is>
          <t>Base|Amazon Madison Mega Site|2028</t>
        </is>
      </c>
      <c r="B29" s="3" t="inlineStr">
        <is>
          <t>Base</t>
        </is>
      </c>
      <c r="C29" s="3" t="inlineStr">
        <is>
          <t>Amazon Madison Mega Site</t>
        </is>
      </c>
      <c r="D29" s="3" t="n">
        <v>2028</v>
      </c>
      <c r="E29" s="3" t="inlineStr">
        <is>
          <t>Amazon</t>
        </is>
      </c>
      <c r="F29" s="17" t="n">
        <v>0</v>
      </c>
      <c r="G29" s="17" t="n">
        <v>0</v>
      </c>
      <c r="H29" s="17" t="n">
        <v>0</v>
      </c>
      <c r="I29" s="17" t="n">
        <v>0</v>
      </c>
      <c r="J29" s="17" t="n">
        <v>0</v>
      </c>
      <c r="K29" s="17" t="n">
        <v>1</v>
      </c>
      <c r="L29" s="17" t="n">
        <v>0</v>
      </c>
      <c r="M29" s="17" t="n">
        <v>0</v>
      </c>
      <c r="N29" s="17" t="n">
        <v>0</v>
      </c>
      <c r="O29" s="26" t="n">
        <v>1</v>
      </c>
      <c r="P29" s="3" t="inlineStr">
        <is>
          <t>epoch_chip_quantity_latest</t>
        </is>
      </c>
      <c r="Q29" s="3" t="inlineStr">
        <is>
          <t>SRC_EPOCH_AI_DATA_CENTERS; EPOCH_RAW_CHIP_QUANTITIES</t>
        </is>
      </c>
      <c r="R29" s="3" t="inlineStr">
        <is>
          <t>Latest chip quantity per chip type through year-end; normalized by unit count into benchmark buckets.</t>
        </is>
      </c>
    </row>
    <row r="30">
      <c r="A30" s="3" t="inlineStr">
        <is>
          <t>Base|Amazon Madison Mega Site|2029</t>
        </is>
      </c>
      <c r="B30" s="3" t="inlineStr">
        <is>
          <t>Base</t>
        </is>
      </c>
      <c r="C30" s="3" t="inlineStr">
        <is>
          <t>Amazon Madison Mega Site</t>
        </is>
      </c>
      <c r="D30" s="3" t="n">
        <v>2029</v>
      </c>
      <c r="E30" s="3" t="inlineStr">
        <is>
          <t>Amazon</t>
        </is>
      </c>
      <c r="F30" s="17" t="n">
        <v>0</v>
      </c>
      <c r="G30" s="17" t="n">
        <v>0</v>
      </c>
      <c r="H30" s="17" t="n">
        <v>0</v>
      </c>
      <c r="I30" s="17" t="n">
        <v>0</v>
      </c>
      <c r="J30" s="17" t="n">
        <v>0</v>
      </c>
      <c r="K30" s="17" t="n">
        <v>1</v>
      </c>
      <c r="L30" s="17" t="n">
        <v>0</v>
      </c>
      <c r="M30" s="17" t="n">
        <v>0</v>
      </c>
      <c r="N30" s="17" t="n">
        <v>0</v>
      </c>
      <c r="O30" s="26" t="n">
        <v>1</v>
      </c>
      <c r="P30" s="3" t="inlineStr">
        <is>
          <t>epoch_chip_quantity_latest</t>
        </is>
      </c>
      <c r="Q30" s="3" t="inlineStr">
        <is>
          <t>SRC_EPOCH_AI_DATA_CENTERS; EPOCH_RAW_CHIP_QUANTITIES</t>
        </is>
      </c>
      <c r="R30" s="3" t="inlineStr">
        <is>
          <t>Latest chip quantity per chip type through year-end; normalized by unit count into benchmark buckets.</t>
        </is>
      </c>
    </row>
    <row r="31">
      <c r="A31" s="3" t="inlineStr">
        <is>
          <t>Base|Amazon Madison Mega Site|2030</t>
        </is>
      </c>
      <c r="B31" s="3" t="inlineStr">
        <is>
          <t>Base</t>
        </is>
      </c>
      <c r="C31" s="3" t="inlineStr">
        <is>
          <t>Amazon Madison Mega Site</t>
        </is>
      </c>
      <c r="D31" s="3" t="n">
        <v>2030</v>
      </c>
      <c r="E31" s="3" t="inlineStr">
        <is>
          <t>Amazon</t>
        </is>
      </c>
      <c r="F31" s="17" t="n">
        <v>0</v>
      </c>
      <c r="G31" s="17" t="n">
        <v>0</v>
      </c>
      <c r="H31" s="17" t="n">
        <v>0</v>
      </c>
      <c r="I31" s="17" t="n">
        <v>0</v>
      </c>
      <c r="J31" s="17" t="n">
        <v>0</v>
      </c>
      <c r="K31" s="17" t="n">
        <v>1</v>
      </c>
      <c r="L31" s="17" t="n">
        <v>0</v>
      </c>
      <c r="M31" s="17" t="n">
        <v>0</v>
      </c>
      <c r="N31" s="17" t="n">
        <v>0</v>
      </c>
      <c r="O31" s="26" t="n">
        <v>1</v>
      </c>
      <c r="P31" s="3" t="inlineStr">
        <is>
          <t>epoch_chip_quantity_latest</t>
        </is>
      </c>
      <c r="Q31" s="3" t="inlineStr">
        <is>
          <t>SRC_EPOCH_AI_DATA_CENTERS; EPOCH_RAW_CHIP_QUANTITIES</t>
        </is>
      </c>
      <c r="R31" s="3" t="inlineStr">
        <is>
          <t>Latest chip quantity per chip type through year-end; normalized by unit count into benchmark buckets.</t>
        </is>
      </c>
    </row>
    <row r="32">
      <c r="A32" s="3" t="inlineStr">
        <is>
          <t>Bull|Amazon Madison Mega Site|2026</t>
        </is>
      </c>
      <c r="B32" s="3" t="inlineStr">
        <is>
          <t>Bull</t>
        </is>
      </c>
      <c r="C32" s="3" t="inlineStr">
        <is>
          <t>Amazon Madison Mega Site</t>
        </is>
      </c>
      <c r="D32" s="3" t="n">
        <v>2026</v>
      </c>
      <c r="E32" s="3" t="inlineStr">
        <is>
          <t>Amazon</t>
        </is>
      </c>
      <c r="F32" s="17" t="n">
        <v>0</v>
      </c>
      <c r="G32" s="17" t="n">
        <v>0</v>
      </c>
      <c r="H32" s="17" t="n">
        <v>0</v>
      </c>
      <c r="I32" s="17" t="n">
        <v>0</v>
      </c>
      <c r="J32" s="17" t="n">
        <v>0</v>
      </c>
      <c r="K32" s="17" t="n">
        <v>1</v>
      </c>
      <c r="L32" s="17" t="n">
        <v>0</v>
      </c>
      <c r="M32" s="17" t="n">
        <v>0</v>
      </c>
      <c r="N32" s="17" t="n">
        <v>0</v>
      </c>
      <c r="O32" s="26" t="n">
        <v>1</v>
      </c>
      <c r="P32" s="3" t="inlineStr">
        <is>
          <t>epoch_chip_quantity_latest</t>
        </is>
      </c>
      <c r="Q32" s="3" t="inlineStr">
        <is>
          <t>SRC_EPOCH_AI_DATA_CENTERS; EPOCH_RAW_CHIP_QUANTITIES</t>
        </is>
      </c>
      <c r="R32" s="3" t="inlineStr">
        <is>
          <t>Latest chip quantity per chip type through year-end; normalized by unit count into benchmark buckets.</t>
        </is>
      </c>
    </row>
    <row r="33">
      <c r="A33" s="3" t="inlineStr">
        <is>
          <t>Bull|Amazon Madison Mega Site|2027</t>
        </is>
      </c>
      <c r="B33" s="3" t="inlineStr">
        <is>
          <t>Bull</t>
        </is>
      </c>
      <c r="C33" s="3" t="inlineStr">
        <is>
          <t>Amazon Madison Mega Site</t>
        </is>
      </c>
      <c r="D33" s="3" t="n">
        <v>2027</v>
      </c>
      <c r="E33" s="3" t="inlineStr">
        <is>
          <t>Amazon</t>
        </is>
      </c>
      <c r="F33" s="17" t="n">
        <v>0</v>
      </c>
      <c r="G33" s="17" t="n">
        <v>0</v>
      </c>
      <c r="H33" s="17" t="n">
        <v>0</v>
      </c>
      <c r="I33" s="17" t="n">
        <v>0</v>
      </c>
      <c r="J33" s="17" t="n">
        <v>0</v>
      </c>
      <c r="K33" s="17" t="n">
        <v>1</v>
      </c>
      <c r="L33" s="17" t="n">
        <v>0</v>
      </c>
      <c r="M33" s="17" t="n">
        <v>0</v>
      </c>
      <c r="N33" s="17" t="n">
        <v>0</v>
      </c>
      <c r="O33" s="26" t="n">
        <v>1</v>
      </c>
      <c r="P33" s="3" t="inlineStr">
        <is>
          <t>epoch_chip_quantity_latest</t>
        </is>
      </c>
      <c r="Q33" s="3" t="inlineStr">
        <is>
          <t>SRC_EPOCH_AI_DATA_CENTERS; EPOCH_RAW_CHIP_QUANTITIES</t>
        </is>
      </c>
      <c r="R33" s="3" t="inlineStr">
        <is>
          <t>Latest chip quantity per chip type through year-end; normalized by unit count into benchmark buckets.</t>
        </is>
      </c>
    </row>
    <row r="34">
      <c r="A34" s="3" t="inlineStr">
        <is>
          <t>Bull|Amazon Madison Mega Site|2028</t>
        </is>
      </c>
      <c r="B34" s="3" t="inlineStr">
        <is>
          <t>Bull</t>
        </is>
      </c>
      <c r="C34" s="3" t="inlineStr">
        <is>
          <t>Amazon Madison Mega Site</t>
        </is>
      </c>
      <c r="D34" s="3" t="n">
        <v>2028</v>
      </c>
      <c r="E34" s="3" t="inlineStr">
        <is>
          <t>Amazon</t>
        </is>
      </c>
      <c r="F34" s="17" t="n">
        <v>0</v>
      </c>
      <c r="G34" s="17" t="n">
        <v>0</v>
      </c>
      <c r="H34" s="17" t="n">
        <v>0</v>
      </c>
      <c r="I34" s="17" t="n">
        <v>0</v>
      </c>
      <c r="J34" s="17" t="n">
        <v>0</v>
      </c>
      <c r="K34" s="17" t="n">
        <v>1</v>
      </c>
      <c r="L34" s="17" t="n">
        <v>0</v>
      </c>
      <c r="M34" s="17" t="n">
        <v>0</v>
      </c>
      <c r="N34" s="17" t="n">
        <v>0</v>
      </c>
      <c r="O34" s="26" t="n">
        <v>1</v>
      </c>
      <c r="P34" s="3" t="inlineStr">
        <is>
          <t>epoch_chip_quantity_latest</t>
        </is>
      </c>
      <c r="Q34" s="3" t="inlineStr">
        <is>
          <t>SRC_EPOCH_AI_DATA_CENTERS; EPOCH_RAW_CHIP_QUANTITIES</t>
        </is>
      </c>
      <c r="R34" s="3" t="inlineStr">
        <is>
          <t>Latest chip quantity per chip type through year-end; normalized by unit count into benchmark buckets.</t>
        </is>
      </c>
    </row>
    <row r="35">
      <c r="A35" s="3" t="inlineStr">
        <is>
          <t>Bull|Amazon Madison Mega Site|2029</t>
        </is>
      </c>
      <c r="B35" s="3" t="inlineStr">
        <is>
          <t>Bull</t>
        </is>
      </c>
      <c r="C35" s="3" t="inlineStr">
        <is>
          <t>Amazon Madison Mega Site</t>
        </is>
      </c>
      <c r="D35" s="3" t="n">
        <v>2029</v>
      </c>
      <c r="E35" s="3" t="inlineStr">
        <is>
          <t>Amazon</t>
        </is>
      </c>
      <c r="F35" s="17" t="n">
        <v>0</v>
      </c>
      <c r="G35" s="17" t="n">
        <v>0</v>
      </c>
      <c r="H35" s="17" t="n">
        <v>0</v>
      </c>
      <c r="I35" s="17" t="n">
        <v>0</v>
      </c>
      <c r="J35" s="17" t="n">
        <v>0</v>
      </c>
      <c r="K35" s="17" t="n">
        <v>1</v>
      </c>
      <c r="L35" s="17" t="n">
        <v>0</v>
      </c>
      <c r="M35" s="17" t="n">
        <v>0</v>
      </c>
      <c r="N35" s="17" t="n">
        <v>0</v>
      </c>
      <c r="O35" s="26" t="n">
        <v>1</v>
      </c>
      <c r="P35" s="3" t="inlineStr">
        <is>
          <t>epoch_chip_quantity_latest</t>
        </is>
      </c>
      <c r="Q35" s="3" t="inlineStr">
        <is>
          <t>SRC_EPOCH_AI_DATA_CENTERS; EPOCH_RAW_CHIP_QUANTITIES</t>
        </is>
      </c>
      <c r="R35" s="3" t="inlineStr">
        <is>
          <t>Latest chip quantity per chip type through year-end; normalized by unit count into benchmark buckets.</t>
        </is>
      </c>
    </row>
    <row r="36">
      <c r="A36" s="3" t="inlineStr">
        <is>
          <t>Bull|Amazon Madison Mega Site|2030</t>
        </is>
      </c>
      <c r="B36" s="3" t="inlineStr">
        <is>
          <t>Bull</t>
        </is>
      </c>
      <c r="C36" s="3" t="inlineStr">
        <is>
          <t>Amazon Madison Mega Site</t>
        </is>
      </c>
      <c r="D36" s="3" t="n">
        <v>2030</v>
      </c>
      <c r="E36" s="3" t="inlineStr">
        <is>
          <t>Amazon</t>
        </is>
      </c>
      <c r="F36" s="17" t="n">
        <v>0</v>
      </c>
      <c r="G36" s="17" t="n">
        <v>0</v>
      </c>
      <c r="H36" s="17" t="n">
        <v>0</v>
      </c>
      <c r="I36" s="17" t="n">
        <v>0</v>
      </c>
      <c r="J36" s="17" t="n">
        <v>0</v>
      </c>
      <c r="K36" s="17" t="n">
        <v>1</v>
      </c>
      <c r="L36" s="17" t="n">
        <v>0</v>
      </c>
      <c r="M36" s="17" t="n">
        <v>0</v>
      </c>
      <c r="N36" s="17" t="n">
        <v>0</v>
      </c>
      <c r="O36" s="26" t="n">
        <v>1</v>
      </c>
      <c r="P36" s="3" t="inlineStr">
        <is>
          <t>epoch_chip_quantity_latest</t>
        </is>
      </c>
      <c r="Q36" s="3" t="inlineStr">
        <is>
          <t>SRC_EPOCH_AI_DATA_CENTERS; EPOCH_RAW_CHIP_QUANTITIES</t>
        </is>
      </c>
      <c r="R36" s="3" t="inlineStr">
        <is>
          <t>Latest chip quantity per chip type through year-end; normalized by unit count into benchmark buckets.</t>
        </is>
      </c>
    </row>
    <row r="37">
      <c r="A37" s="3" t="inlineStr">
        <is>
          <t>Grid-Constrained / Efficiency-Upside|Amazon Madison Mega Site|2026</t>
        </is>
      </c>
      <c r="B37" s="3" t="inlineStr">
        <is>
          <t>Grid-Constrained / Efficiency-Upside</t>
        </is>
      </c>
      <c r="C37" s="3" t="inlineStr">
        <is>
          <t>Amazon Madison Mega Site</t>
        </is>
      </c>
      <c r="D37" s="3" t="n">
        <v>2026</v>
      </c>
      <c r="E37" s="3" t="inlineStr">
        <is>
          <t>Amazon</t>
        </is>
      </c>
      <c r="F37" s="17" t="n">
        <v>0</v>
      </c>
      <c r="G37" s="17" t="n">
        <v>0</v>
      </c>
      <c r="H37" s="17" t="n">
        <v>0</v>
      </c>
      <c r="I37" s="17" t="n">
        <v>0</v>
      </c>
      <c r="J37" s="17" t="n">
        <v>0</v>
      </c>
      <c r="K37" s="17" t="n">
        <v>1</v>
      </c>
      <c r="L37" s="17" t="n">
        <v>0</v>
      </c>
      <c r="M37" s="17" t="n">
        <v>0</v>
      </c>
      <c r="N37" s="17" t="n">
        <v>0</v>
      </c>
      <c r="O37" s="26" t="n">
        <v>1</v>
      </c>
      <c r="P37" s="3" t="inlineStr">
        <is>
          <t>epoch_chip_quantity_latest</t>
        </is>
      </c>
      <c r="Q37" s="3" t="inlineStr">
        <is>
          <t>SRC_EPOCH_AI_DATA_CENTERS; EPOCH_RAW_CHIP_QUANTITIES</t>
        </is>
      </c>
      <c r="R37" s="3" t="inlineStr">
        <is>
          <t>Latest chip quantity per chip type through year-end; normalized by unit count into benchmark buckets.</t>
        </is>
      </c>
    </row>
    <row r="38">
      <c r="A38" s="3" t="inlineStr">
        <is>
          <t>Grid-Constrained / Efficiency-Upside|Amazon Madison Mega Site|2027</t>
        </is>
      </c>
      <c r="B38" s="3" t="inlineStr">
        <is>
          <t>Grid-Constrained / Efficiency-Upside</t>
        </is>
      </c>
      <c r="C38" s="3" t="inlineStr">
        <is>
          <t>Amazon Madison Mega Site</t>
        </is>
      </c>
      <c r="D38" s="3" t="n">
        <v>2027</v>
      </c>
      <c r="E38" s="3" t="inlineStr">
        <is>
          <t>Amazon</t>
        </is>
      </c>
      <c r="F38" s="17" t="n">
        <v>0</v>
      </c>
      <c r="G38" s="17" t="n">
        <v>0</v>
      </c>
      <c r="H38" s="17" t="n">
        <v>0</v>
      </c>
      <c r="I38" s="17" t="n">
        <v>0</v>
      </c>
      <c r="J38" s="17" t="n">
        <v>0</v>
      </c>
      <c r="K38" s="17" t="n">
        <v>1</v>
      </c>
      <c r="L38" s="17" t="n">
        <v>0</v>
      </c>
      <c r="M38" s="17" t="n">
        <v>0</v>
      </c>
      <c r="N38" s="17" t="n">
        <v>0</v>
      </c>
      <c r="O38" s="26" t="n">
        <v>1</v>
      </c>
      <c r="P38" s="3" t="inlineStr">
        <is>
          <t>epoch_chip_quantity_latest</t>
        </is>
      </c>
      <c r="Q38" s="3" t="inlineStr">
        <is>
          <t>SRC_EPOCH_AI_DATA_CENTERS; EPOCH_RAW_CHIP_QUANTITIES</t>
        </is>
      </c>
      <c r="R38" s="3" t="inlineStr">
        <is>
          <t>Latest chip quantity per chip type through year-end; normalized by unit count into benchmark buckets.</t>
        </is>
      </c>
    </row>
    <row r="39">
      <c r="A39" s="3" t="inlineStr">
        <is>
          <t>Grid-Constrained / Efficiency-Upside|Amazon Madison Mega Site|2028</t>
        </is>
      </c>
      <c r="B39" s="3" t="inlineStr">
        <is>
          <t>Grid-Constrained / Efficiency-Upside</t>
        </is>
      </c>
      <c r="C39" s="3" t="inlineStr">
        <is>
          <t>Amazon Madison Mega Site</t>
        </is>
      </c>
      <c r="D39" s="3" t="n">
        <v>2028</v>
      </c>
      <c r="E39" s="3" t="inlineStr">
        <is>
          <t>Amazon</t>
        </is>
      </c>
      <c r="F39" s="17" t="n">
        <v>0</v>
      </c>
      <c r="G39" s="17" t="n">
        <v>0</v>
      </c>
      <c r="H39" s="17" t="n">
        <v>0</v>
      </c>
      <c r="I39" s="17" t="n">
        <v>0</v>
      </c>
      <c r="J39" s="17" t="n">
        <v>0</v>
      </c>
      <c r="K39" s="17" t="n">
        <v>1</v>
      </c>
      <c r="L39" s="17" t="n">
        <v>0</v>
      </c>
      <c r="M39" s="17" t="n">
        <v>0</v>
      </c>
      <c r="N39" s="17" t="n">
        <v>0</v>
      </c>
      <c r="O39" s="26" t="n">
        <v>1</v>
      </c>
      <c r="P39" s="3" t="inlineStr">
        <is>
          <t>epoch_chip_quantity_latest</t>
        </is>
      </c>
      <c r="Q39" s="3" t="inlineStr">
        <is>
          <t>SRC_EPOCH_AI_DATA_CENTERS; EPOCH_RAW_CHIP_QUANTITIES</t>
        </is>
      </c>
      <c r="R39" s="3" t="inlineStr">
        <is>
          <t>Latest chip quantity per chip type through year-end; normalized by unit count into benchmark buckets.</t>
        </is>
      </c>
    </row>
    <row r="40">
      <c r="A40" s="3" t="inlineStr">
        <is>
          <t>Grid-Constrained / Efficiency-Upside|Amazon Madison Mega Site|2029</t>
        </is>
      </c>
      <c r="B40" s="3" t="inlineStr">
        <is>
          <t>Grid-Constrained / Efficiency-Upside</t>
        </is>
      </c>
      <c r="C40" s="3" t="inlineStr">
        <is>
          <t>Amazon Madison Mega Site</t>
        </is>
      </c>
      <c r="D40" s="3" t="n">
        <v>2029</v>
      </c>
      <c r="E40" s="3" t="inlineStr">
        <is>
          <t>Amazon</t>
        </is>
      </c>
      <c r="F40" s="17" t="n">
        <v>0</v>
      </c>
      <c r="G40" s="17" t="n">
        <v>0</v>
      </c>
      <c r="H40" s="17" t="n">
        <v>0</v>
      </c>
      <c r="I40" s="17" t="n">
        <v>0</v>
      </c>
      <c r="J40" s="17" t="n">
        <v>0</v>
      </c>
      <c r="K40" s="17" t="n">
        <v>1</v>
      </c>
      <c r="L40" s="17" t="n">
        <v>0</v>
      </c>
      <c r="M40" s="17" t="n">
        <v>0</v>
      </c>
      <c r="N40" s="17" t="n">
        <v>0</v>
      </c>
      <c r="O40" s="26" t="n">
        <v>1</v>
      </c>
      <c r="P40" s="3" t="inlineStr">
        <is>
          <t>epoch_chip_quantity_latest</t>
        </is>
      </c>
      <c r="Q40" s="3" t="inlineStr">
        <is>
          <t>SRC_EPOCH_AI_DATA_CENTERS; EPOCH_RAW_CHIP_QUANTITIES</t>
        </is>
      </c>
      <c r="R40" s="3" t="inlineStr">
        <is>
          <t>Latest chip quantity per chip type through year-end; normalized by unit count into benchmark buckets.</t>
        </is>
      </c>
    </row>
    <row r="41">
      <c r="A41" s="3" t="inlineStr">
        <is>
          <t>Grid-Constrained / Efficiency-Upside|Amazon Madison Mega Site|2030</t>
        </is>
      </c>
      <c r="B41" s="3" t="inlineStr">
        <is>
          <t>Grid-Constrained / Efficiency-Upside</t>
        </is>
      </c>
      <c r="C41" s="3" t="inlineStr">
        <is>
          <t>Amazon Madison Mega Site</t>
        </is>
      </c>
      <c r="D41" s="3" t="n">
        <v>2030</v>
      </c>
      <c r="E41" s="3" t="inlineStr">
        <is>
          <t>Amazon</t>
        </is>
      </c>
      <c r="F41" s="17" t="n">
        <v>0</v>
      </c>
      <c r="G41" s="17" t="n">
        <v>0</v>
      </c>
      <c r="H41" s="17" t="n">
        <v>0</v>
      </c>
      <c r="I41" s="17" t="n">
        <v>0</v>
      </c>
      <c r="J41" s="17" t="n">
        <v>0</v>
      </c>
      <c r="K41" s="17" t="n">
        <v>1</v>
      </c>
      <c r="L41" s="17" t="n">
        <v>0</v>
      </c>
      <c r="M41" s="17" t="n">
        <v>0</v>
      </c>
      <c r="N41" s="17" t="n">
        <v>0</v>
      </c>
      <c r="O41" s="26" t="n">
        <v>1</v>
      </c>
      <c r="P41" s="3" t="inlineStr">
        <is>
          <t>epoch_chip_quantity_latest</t>
        </is>
      </c>
      <c r="Q41" s="3" t="inlineStr">
        <is>
          <t>SRC_EPOCH_AI_DATA_CENTERS; EPOCH_RAW_CHIP_QUANTITIES</t>
        </is>
      </c>
      <c r="R41" s="3" t="inlineStr">
        <is>
          <t>Latest chip quantity per chip type through year-end; normalized by unit count into benchmark buckets.</t>
        </is>
      </c>
    </row>
    <row r="42">
      <c r="A42" s="3" t="inlineStr">
        <is>
          <t>Bear|Amazon Ridgeland|2026</t>
        </is>
      </c>
      <c r="B42" s="3" t="inlineStr">
        <is>
          <t>Bear</t>
        </is>
      </c>
      <c r="C42" s="3" t="inlineStr">
        <is>
          <t>Amazon Ridgeland</t>
        </is>
      </c>
      <c r="D42" s="3" t="n">
        <v>2026</v>
      </c>
      <c r="E42" s="3" t="inlineStr">
        <is>
          <t>Amazon</t>
        </is>
      </c>
      <c r="F42" s="17" t="n">
        <v>0</v>
      </c>
      <c r="G42" s="17" t="n">
        <v>0</v>
      </c>
      <c r="H42" s="17" t="n">
        <v>0</v>
      </c>
      <c r="I42" s="17" t="n">
        <v>0</v>
      </c>
      <c r="J42" s="17" t="n">
        <v>0</v>
      </c>
      <c r="K42" s="17" t="n">
        <v>1</v>
      </c>
      <c r="L42" s="17" t="n">
        <v>0</v>
      </c>
      <c r="M42" s="17" t="n">
        <v>0</v>
      </c>
      <c r="N42" s="17" t="n">
        <v>0</v>
      </c>
      <c r="O42" s="26" t="n">
        <v>1</v>
      </c>
      <c r="P42" s="3" t="inlineStr">
        <is>
          <t>epoch_chip_quantity_latest</t>
        </is>
      </c>
      <c r="Q42" s="3" t="inlineStr">
        <is>
          <t>SRC_EPOCH_AI_DATA_CENTERS; EPOCH_RAW_CHIP_QUANTITIES</t>
        </is>
      </c>
      <c r="R42" s="3" t="inlineStr">
        <is>
          <t>Latest chip quantity per chip type through year-end; normalized by unit count into benchmark buckets.</t>
        </is>
      </c>
    </row>
    <row r="43">
      <c r="A43" s="3" t="inlineStr">
        <is>
          <t>Bear|Amazon Ridgeland|2027</t>
        </is>
      </c>
      <c r="B43" s="3" t="inlineStr">
        <is>
          <t>Bear</t>
        </is>
      </c>
      <c r="C43" s="3" t="inlineStr">
        <is>
          <t>Amazon Ridgeland</t>
        </is>
      </c>
      <c r="D43" s="3" t="n">
        <v>2027</v>
      </c>
      <c r="E43" s="3" t="inlineStr">
        <is>
          <t>Amazon</t>
        </is>
      </c>
      <c r="F43" s="17" t="n">
        <v>0</v>
      </c>
      <c r="G43" s="17" t="n">
        <v>0</v>
      </c>
      <c r="H43" s="17" t="n">
        <v>0</v>
      </c>
      <c r="I43" s="17" t="n">
        <v>0</v>
      </c>
      <c r="J43" s="17" t="n">
        <v>0</v>
      </c>
      <c r="K43" s="17" t="n">
        <v>1</v>
      </c>
      <c r="L43" s="17" t="n">
        <v>0</v>
      </c>
      <c r="M43" s="17" t="n">
        <v>0</v>
      </c>
      <c r="N43" s="17" t="n">
        <v>0</v>
      </c>
      <c r="O43" s="26" t="n">
        <v>1</v>
      </c>
      <c r="P43" s="3" t="inlineStr">
        <is>
          <t>epoch_chip_quantity_latest</t>
        </is>
      </c>
      <c r="Q43" s="3" t="inlineStr">
        <is>
          <t>SRC_EPOCH_AI_DATA_CENTERS; EPOCH_RAW_CHIP_QUANTITIES</t>
        </is>
      </c>
      <c r="R43" s="3" t="inlineStr">
        <is>
          <t>Latest chip quantity per chip type through year-end; normalized by unit count into benchmark buckets.</t>
        </is>
      </c>
    </row>
    <row r="44">
      <c r="A44" s="3" t="inlineStr">
        <is>
          <t>Bear|Amazon Ridgeland|2028</t>
        </is>
      </c>
      <c r="B44" s="3" t="inlineStr">
        <is>
          <t>Bear</t>
        </is>
      </c>
      <c r="C44" s="3" t="inlineStr">
        <is>
          <t>Amazon Ridgeland</t>
        </is>
      </c>
      <c r="D44" s="3" t="n">
        <v>2028</v>
      </c>
      <c r="E44" s="3" t="inlineStr">
        <is>
          <t>Amazon</t>
        </is>
      </c>
      <c r="F44" s="17" t="n">
        <v>0</v>
      </c>
      <c r="G44" s="17" t="n">
        <v>0</v>
      </c>
      <c r="H44" s="17" t="n">
        <v>0</v>
      </c>
      <c r="I44" s="17" t="n">
        <v>0</v>
      </c>
      <c r="J44" s="17" t="n">
        <v>0</v>
      </c>
      <c r="K44" s="17" t="n">
        <v>1</v>
      </c>
      <c r="L44" s="17" t="n">
        <v>0</v>
      </c>
      <c r="M44" s="17" t="n">
        <v>0</v>
      </c>
      <c r="N44" s="17" t="n">
        <v>0</v>
      </c>
      <c r="O44" s="26" t="n">
        <v>1</v>
      </c>
      <c r="P44" s="3" t="inlineStr">
        <is>
          <t>epoch_chip_quantity_latest</t>
        </is>
      </c>
      <c r="Q44" s="3" t="inlineStr">
        <is>
          <t>SRC_EPOCH_AI_DATA_CENTERS; EPOCH_RAW_CHIP_QUANTITIES</t>
        </is>
      </c>
      <c r="R44" s="3" t="inlineStr">
        <is>
          <t>Latest chip quantity per chip type through year-end; normalized by unit count into benchmark buckets.</t>
        </is>
      </c>
    </row>
    <row r="45">
      <c r="A45" s="3" t="inlineStr">
        <is>
          <t>Bear|Amazon Ridgeland|2029</t>
        </is>
      </c>
      <c r="B45" s="3" t="inlineStr">
        <is>
          <t>Bear</t>
        </is>
      </c>
      <c r="C45" s="3" t="inlineStr">
        <is>
          <t>Amazon Ridgeland</t>
        </is>
      </c>
      <c r="D45" s="3" t="n">
        <v>2029</v>
      </c>
      <c r="E45" s="3" t="inlineStr">
        <is>
          <t>Amazon</t>
        </is>
      </c>
      <c r="F45" s="17" t="n">
        <v>0</v>
      </c>
      <c r="G45" s="17" t="n">
        <v>0</v>
      </c>
      <c r="H45" s="17" t="n">
        <v>0</v>
      </c>
      <c r="I45" s="17" t="n">
        <v>0</v>
      </c>
      <c r="J45" s="17" t="n">
        <v>0</v>
      </c>
      <c r="K45" s="17" t="n">
        <v>1</v>
      </c>
      <c r="L45" s="17" t="n">
        <v>0</v>
      </c>
      <c r="M45" s="17" t="n">
        <v>0</v>
      </c>
      <c r="N45" s="17" t="n">
        <v>0</v>
      </c>
      <c r="O45" s="26" t="n">
        <v>1</v>
      </c>
      <c r="P45" s="3" t="inlineStr">
        <is>
          <t>epoch_chip_quantity_latest</t>
        </is>
      </c>
      <c r="Q45" s="3" t="inlineStr">
        <is>
          <t>SRC_EPOCH_AI_DATA_CENTERS; EPOCH_RAW_CHIP_QUANTITIES</t>
        </is>
      </c>
      <c r="R45" s="3" t="inlineStr">
        <is>
          <t>Latest chip quantity per chip type through year-end; normalized by unit count into benchmark buckets.</t>
        </is>
      </c>
    </row>
    <row r="46">
      <c r="A46" s="3" t="inlineStr">
        <is>
          <t>Bear|Amazon Ridgeland|2030</t>
        </is>
      </c>
      <c r="B46" s="3" t="inlineStr">
        <is>
          <t>Bear</t>
        </is>
      </c>
      <c r="C46" s="3" t="inlineStr">
        <is>
          <t>Amazon Ridgeland</t>
        </is>
      </c>
      <c r="D46" s="3" t="n">
        <v>2030</v>
      </c>
      <c r="E46" s="3" t="inlineStr">
        <is>
          <t>Amazon</t>
        </is>
      </c>
      <c r="F46" s="17" t="n">
        <v>0</v>
      </c>
      <c r="G46" s="17" t="n">
        <v>0</v>
      </c>
      <c r="H46" s="17" t="n">
        <v>0</v>
      </c>
      <c r="I46" s="17" t="n">
        <v>0</v>
      </c>
      <c r="J46" s="17" t="n">
        <v>0</v>
      </c>
      <c r="K46" s="17" t="n">
        <v>1</v>
      </c>
      <c r="L46" s="17" t="n">
        <v>0</v>
      </c>
      <c r="M46" s="17" t="n">
        <v>0</v>
      </c>
      <c r="N46" s="17" t="n">
        <v>0</v>
      </c>
      <c r="O46" s="26" t="n">
        <v>1</v>
      </c>
      <c r="P46" s="3" t="inlineStr">
        <is>
          <t>epoch_chip_quantity_latest</t>
        </is>
      </c>
      <c r="Q46" s="3" t="inlineStr">
        <is>
          <t>SRC_EPOCH_AI_DATA_CENTERS; EPOCH_RAW_CHIP_QUANTITIES</t>
        </is>
      </c>
      <c r="R46" s="3" t="inlineStr">
        <is>
          <t>Latest chip quantity per chip type through year-end; normalized by unit count into benchmark buckets.</t>
        </is>
      </c>
    </row>
    <row r="47">
      <c r="A47" s="3" t="inlineStr">
        <is>
          <t>Base|Amazon Ridgeland|2026</t>
        </is>
      </c>
      <c r="B47" s="3" t="inlineStr">
        <is>
          <t>Base</t>
        </is>
      </c>
      <c r="C47" s="3" t="inlineStr">
        <is>
          <t>Amazon Ridgeland</t>
        </is>
      </c>
      <c r="D47" s="3" t="n">
        <v>2026</v>
      </c>
      <c r="E47" s="3" t="inlineStr">
        <is>
          <t>Amazon</t>
        </is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1</v>
      </c>
      <c r="L47" s="17" t="n">
        <v>0</v>
      </c>
      <c r="M47" s="17" t="n">
        <v>0</v>
      </c>
      <c r="N47" s="17" t="n">
        <v>0</v>
      </c>
      <c r="O47" s="26" t="n">
        <v>1</v>
      </c>
      <c r="P47" s="3" t="inlineStr">
        <is>
          <t>epoch_chip_quantity_latest</t>
        </is>
      </c>
      <c r="Q47" s="3" t="inlineStr">
        <is>
          <t>SRC_EPOCH_AI_DATA_CENTERS; EPOCH_RAW_CHIP_QUANTITIES</t>
        </is>
      </c>
      <c r="R47" s="3" t="inlineStr">
        <is>
          <t>Latest chip quantity per chip type through year-end; normalized by unit count into benchmark buckets.</t>
        </is>
      </c>
    </row>
    <row r="48">
      <c r="A48" s="3" t="inlineStr">
        <is>
          <t>Base|Amazon Ridgeland|2027</t>
        </is>
      </c>
      <c r="B48" s="3" t="inlineStr">
        <is>
          <t>Base</t>
        </is>
      </c>
      <c r="C48" s="3" t="inlineStr">
        <is>
          <t>Amazon Ridgeland</t>
        </is>
      </c>
      <c r="D48" s="3" t="n">
        <v>2027</v>
      </c>
      <c r="E48" s="3" t="inlineStr">
        <is>
          <t>Amazon</t>
        </is>
      </c>
      <c r="F48" s="17" t="n">
        <v>0</v>
      </c>
      <c r="G48" s="17" t="n">
        <v>0</v>
      </c>
      <c r="H48" s="17" t="n">
        <v>0</v>
      </c>
      <c r="I48" s="17" t="n">
        <v>0</v>
      </c>
      <c r="J48" s="17" t="n">
        <v>0</v>
      </c>
      <c r="K48" s="17" t="n">
        <v>1</v>
      </c>
      <c r="L48" s="17" t="n">
        <v>0</v>
      </c>
      <c r="M48" s="17" t="n">
        <v>0</v>
      </c>
      <c r="N48" s="17" t="n">
        <v>0</v>
      </c>
      <c r="O48" s="26" t="n">
        <v>1</v>
      </c>
      <c r="P48" s="3" t="inlineStr">
        <is>
          <t>epoch_chip_quantity_latest</t>
        </is>
      </c>
      <c r="Q48" s="3" t="inlineStr">
        <is>
          <t>SRC_EPOCH_AI_DATA_CENTERS; EPOCH_RAW_CHIP_QUANTITIES</t>
        </is>
      </c>
      <c r="R48" s="3" t="inlineStr">
        <is>
          <t>Latest chip quantity per chip type through year-end; normalized by unit count into benchmark buckets.</t>
        </is>
      </c>
    </row>
    <row r="49">
      <c r="A49" s="3" t="inlineStr">
        <is>
          <t>Base|Amazon Ridgeland|2028</t>
        </is>
      </c>
      <c r="B49" s="3" t="inlineStr">
        <is>
          <t>Base</t>
        </is>
      </c>
      <c r="C49" s="3" t="inlineStr">
        <is>
          <t>Amazon Ridgeland</t>
        </is>
      </c>
      <c r="D49" s="3" t="n">
        <v>2028</v>
      </c>
      <c r="E49" s="3" t="inlineStr">
        <is>
          <t>Amazon</t>
        </is>
      </c>
      <c r="F49" s="17" t="n">
        <v>0</v>
      </c>
      <c r="G49" s="17" t="n">
        <v>0</v>
      </c>
      <c r="H49" s="17" t="n">
        <v>0</v>
      </c>
      <c r="I49" s="17" t="n">
        <v>0</v>
      </c>
      <c r="J49" s="17" t="n">
        <v>0</v>
      </c>
      <c r="K49" s="17" t="n">
        <v>1</v>
      </c>
      <c r="L49" s="17" t="n">
        <v>0</v>
      </c>
      <c r="M49" s="17" t="n">
        <v>0</v>
      </c>
      <c r="N49" s="17" t="n">
        <v>0</v>
      </c>
      <c r="O49" s="26" t="n">
        <v>1</v>
      </c>
      <c r="P49" s="3" t="inlineStr">
        <is>
          <t>epoch_chip_quantity_latest</t>
        </is>
      </c>
      <c r="Q49" s="3" t="inlineStr">
        <is>
          <t>SRC_EPOCH_AI_DATA_CENTERS; EPOCH_RAW_CHIP_QUANTITIES</t>
        </is>
      </c>
      <c r="R49" s="3" t="inlineStr">
        <is>
          <t>Latest chip quantity per chip type through year-end; normalized by unit count into benchmark buckets.</t>
        </is>
      </c>
    </row>
    <row r="50">
      <c r="A50" s="3" t="inlineStr">
        <is>
          <t>Base|Amazon Ridgeland|2029</t>
        </is>
      </c>
      <c r="B50" s="3" t="inlineStr">
        <is>
          <t>Base</t>
        </is>
      </c>
      <c r="C50" s="3" t="inlineStr">
        <is>
          <t>Amazon Ridgeland</t>
        </is>
      </c>
      <c r="D50" s="3" t="n">
        <v>2029</v>
      </c>
      <c r="E50" s="3" t="inlineStr">
        <is>
          <t>Amazon</t>
        </is>
      </c>
      <c r="F50" s="17" t="n">
        <v>0</v>
      </c>
      <c r="G50" s="17" t="n">
        <v>0</v>
      </c>
      <c r="H50" s="17" t="n">
        <v>0</v>
      </c>
      <c r="I50" s="17" t="n">
        <v>0</v>
      </c>
      <c r="J50" s="17" t="n">
        <v>0</v>
      </c>
      <c r="K50" s="17" t="n">
        <v>1</v>
      </c>
      <c r="L50" s="17" t="n">
        <v>0</v>
      </c>
      <c r="M50" s="17" t="n">
        <v>0</v>
      </c>
      <c r="N50" s="17" t="n">
        <v>0</v>
      </c>
      <c r="O50" s="26" t="n">
        <v>1</v>
      </c>
      <c r="P50" s="3" t="inlineStr">
        <is>
          <t>epoch_chip_quantity_latest</t>
        </is>
      </c>
      <c r="Q50" s="3" t="inlineStr">
        <is>
          <t>SRC_EPOCH_AI_DATA_CENTERS; EPOCH_RAW_CHIP_QUANTITIES</t>
        </is>
      </c>
      <c r="R50" s="3" t="inlineStr">
        <is>
          <t>Latest chip quantity per chip type through year-end; normalized by unit count into benchmark buckets.</t>
        </is>
      </c>
    </row>
    <row r="51">
      <c r="A51" s="3" t="inlineStr">
        <is>
          <t>Base|Amazon Ridgeland|2030</t>
        </is>
      </c>
      <c r="B51" s="3" t="inlineStr">
        <is>
          <t>Base</t>
        </is>
      </c>
      <c r="C51" s="3" t="inlineStr">
        <is>
          <t>Amazon Ridgeland</t>
        </is>
      </c>
      <c r="D51" s="3" t="n">
        <v>2030</v>
      </c>
      <c r="E51" s="3" t="inlineStr">
        <is>
          <t>Amazon</t>
        </is>
      </c>
      <c r="F51" s="17" t="n">
        <v>0</v>
      </c>
      <c r="G51" s="17" t="n">
        <v>0</v>
      </c>
      <c r="H51" s="17" t="n">
        <v>0</v>
      </c>
      <c r="I51" s="17" t="n">
        <v>0</v>
      </c>
      <c r="J51" s="17" t="n">
        <v>0</v>
      </c>
      <c r="K51" s="17" t="n">
        <v>1</v>
      </c>
      <c r="L51" s="17" t="n">
        <v>0</v>
      </c>
      <c r="M51" s="17" t="n">
        <v>0</v>
      </c>
      <c r="N51" s="17" t="n">
        <v>0</v>
      </c>
      <c r="O51" s="26" t="n">
        <v>1</v>
      </c>
      <c r="P51" s="3" t="inlineStr">
        <is>
          <t>epoch_chip_quantity_latest</t>
        </is>
      </c>
      <c r="Q51" s="3" t="inlineStr">
        <is>
          <t>SRC_EPOCH_AI_DATA_CENTERS; EPOCH_RAW_CHIP_QUANTITIES</t>
        </is>
      </c>
      <c r="R51" s="3" t="inlineStr">
        <is>
          <t>Latest chip quantity per chip type through year-end; normalized by unit count into benchmark buckets.</t>
        </is>
      </c>
    </row>
    <row r="52">
      <c r="A52" s="3" t="inlineStr">
        <is>
          <t>Bull|Amazon Ridgeland|2026</t>
        </is>
      </c>
      <c r="B52" s="3" t="inlineStr">
        <is>
          <t>Bull</t>
        </is>
      </c>
      <c r="C52" s="3" t="inlineStr">
        <is>
          <t>Amazon Ridgeland</t>
        </is>
      </c>
      <c r="D52" s="3" t="n">
        <v>2026</v>
      </c>
      <c r="E52" s="3" t="inlineStr">
        <is>
          <t>Amazon</t>
        </is>
      </c>
      <c r="F52" s="17" t="n">
        <v>0</v>
      </c>
      <c r="G52" s="17" t="n">
        <v>0</v>
      </c>
      <c r="H52" s="17" t="n">
        <v>0</v>
      </c>
      <c r="I52" s="17" t="n">
        <v>0</v>
      </c>
      <c r="J52" s="17" t="n">
        <v>0</v>
      </c>
      <c r="K52" s="17" t="n">
        <v>1</v>
      </c>
      <c r="L52" s="17" t="n">
        <v>0</v>
      </c>
      <c r="M52" s="17" t="n">
        <v>0</v>
      </c>
      <c r="N52" s="17" t="n">
        <v>0</v>
      </c>
      <c r="O52" s="26" t="n">
        <v>1</v>
      </c>
      <c r="P52" s="3" t="inlineStr">
        <is>
          <t>epoch_chip_quantity_latest</t>
        </is>
      </c>
      <c r="Q52" s="3" t="inlineStr">
        <is>
          <t>SRC_EPOCH_AI_DATA_CENTERS; EPOCH_RAW_CHIP_QUANTITIES</t>
        </is>
      </c>
      <c r="R52" s="3" t="inlineStr">
        <is>
          <t>Latest chip quantity per chip type through year-end; normalized by unit count into benchmark buckets.</t>
        </is>
      </c>
    </row>
    <row r="53">
      <c r="A53" s="3" t="inlineStr">
        <is>
          <t>Bull|Amazon Ridgeland|2027</t>
        </is>
      </c>
      <c r="B53" s="3" t="inlineStr">
        <is>
          <t>Bull</t>
        </is>
      </c>
      <c r="C53" s="3" t="inlineStr">
        <is>
          <t>Amazon Ridgeland</t>
        </is>
      </c>
      <c r="D53" s="3" t="n">
        <v>2027</v>
      </c>
      <c r="E53" s="3" t="inlineStr">
        <is>
          <t>Amazon</t>
        </is>
      </c>
      <c r="F53" s="17" t="n">
        <v>0</v>
      </c>
      <c r="G53" s="17" t="n">
        <v>0</v>
      </c>
      <c r="H53" s="17" t="n">
        <v>0</v>
      </c>
      <c r="I53" s="17" t="n">
        <v>0</v>
      </c>
      <c r="J53" s="17" t="n">
        <v>0</v>
      </c>
      <c r="K53" s="17" t="n">
        <v>1</v>
      </c>
      <c r="L53" s="17" t="n">
        <v>0</v>
      </c>
      <c r="M53" s="17" t="n">
        <v>0</v>
      </c>
      <c r="N53" s="17" t="n">
        <v>0</v>
      </c>
      <c r="O53" s="26" t="n">
        <v>1</v>
      </c>
      <c r="P53" s="3" t="inlineStr">
        <is>
          <t>epoch_chip_quantity_latest</t>
        </is>
      </c>
      <c r="Q53" s="3" t="inlineStr">
        <is>
          <t>SRC_EPOCH_AI_DATA_CENTERS; EPOCH_RAW_CHIP_QUANTITIES</t>
        </is>
      </c>
      <c r="R53" s="3" t="inlineStr">
        <is>
          <t>Latest chip quantity per chip type through year-end; normalized by unit count into benchmark buckets.</t>
        </is>
      </c>
    </row>
    <row r="54">
      <c r="A54" s="3" t="inlineStr">
        <is>
          <t>Bull|Amazon Ridgeland|2028</t>
        </is>
      </c>
      <c r="B54" s="3" t="inlineStr">
        <is>
          <t>Bull</t>
        </is>
      </c>
      <c r="C54" s="3" t="inlineStr">
        <is>
          <t>Amazon Ridgeland</t>
        </is>
      </c>
      <c r="D54" s="3" t="n">
        <v>2028</v>
      </c>
      <c r="E54" s="3" t="inlineStr">
        <is>
          <t>Amazon</t>
        </is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1</v>
      </c>
      <c r="L54" s="17" t="n">
        <v>0</v>
      </c>
      <c r="M54" s="17" t="n">
        <v>0</v>
      </c>
      <c r="N54" s="17" t="n">
        <v>0</v>
      </c>
      <c r="O54" s="26" t="n">
        <v>1</v>
      </c>
      <c r="P54" s="3" t="inlineStr">
        <is>
          <t>epoch_chip_quantity_latest</t>
        </is>
      </c>
      <c r="Q54" s="3" t="inlineStr">
        <is>
          <t>SRC_EPOCH_AI_DATA_CENTERS; EPOCH_RAW_CHIP_QUANTITIES</t>
        </is>
      </c>
      <c r="R54" s="3" t="inlineStr">
        <is>
          <t>Latest chip quantity per chip type through year-end; normalized by unit count into benchmark buckets.</t>
        </is>
      </c>
    </row>
    <row r="55">
      <c r="A55" s="3" t="inlineStr">
        <is>
          <t>Bull|Amazon Ridgeland|2029</t>
        </is>
      </c>
      <c r="B55" s="3" t="inlineStr">
        <is>
          <t>Bull</t>
        </is>
      </c>
      <c r="C55" s="3" t="inlineStr">
        <is>
          <t>Amazon Ridgeland</t>
        </is>
      </c>
      <c r="D55" s="3" t="n">
        <v>2029</v>
      </c>
      <c r="E55" s="3" t="inlineStr">
        <is>
          <t>Amazon</t>
        </is>
      </c>
      <c r="F55" s="17" t="n">
        <v>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1</v>
      </c>
      <c r="L55" s="17" t="n">
        <v>0</v>
      </c>
      <c r="M55" s="17" t="n">
        <v>0</v>
      </c>
      <c r="N55" s="17" t="n">
        <v>0</v>
      </c>
      <c r="O55" s="26" t="n">
        <v>1</v>
      </c>
      <c r="P55" s="3" t="inlineStr">
        <is>
          <t>epoch_chip_quantity_latest</t>
        </is>
      </c>
      <c r="Q55" s="3" t="inlineStr">
        <is>
          <t>SRC_EPOCH_AI_DATA_CENTERS; EPOCH_RAW_CHIP_QUANTITIES</t>
        </is>
      </c>
      <c r="R55" s="3" t="inlineStr">
        <is>
          <t>Latest chip quantity per chip type through year-end; normalized by unit count into benchmark buckets.</t>
        </is>
      </c>
    </row>
    <row r="56">
      <c r="A56" s="3" t="inlineStr">
        <is>
          <t>Bull|Amazon Ridgeland|2030</t>
        </is>
      </c>
      <c r="B56" s="3" t="inlineStr">
        <is>
          <t>Bull</t>
        </is>
      </c>
      <c r="C56" s="3" t="inlineStr">
        <is>
          <t>Amazon Ridgeland</t>
        </is>
      </c>
      <c r="D56" s="3" t="n">
        <v>2030</v>
      </c>
      <c r="E56" s="3" t="inlineStr">
        <is>
          <t>Amazon</t>
        </is>
      </c>
      <c r="F56" s="17" t="n">
        <v>0</v>
      </c>
      <c r="G56" s="17" t="n">
        <v>0</v>
      </c>
      <c r="H56" s="17" t="n">
        <v>0</v>
      </c>
      <c r="I56" s="17" t="n">
        <v>0</v>
      </c>
      <c r="J56" s="17" t="n">
        <v>0</v>
      </c>
      <c r="K56" s="17" t="n">
        <v>1</v>
      </c>
      <c r="L56" s="17" t="n">
        <v>0</v>
      </c>
      <c r="M56" s="17" t="n">
        <v>0</v>
      </c>
      <c r="N56" s="17" t="n">
        <v>0</v>
      </c>
      <c r="O56" s="26" t="n">
        <v>1</v>
      </c>
      <c r="P56" s="3" t="inlineStr">
        <is>
          <t>epoch_chip_quantity_latest</t>
        </is>
      </c>
      <c r="Q56" s="3" t="inlineStr">
        <is>
          <t>SRC_EPOCH_AI_DATA_CENTERS; EPOCH_RAW_CHIP_QUANTITIES</t>
        </is>
      </c>
      <c r="R56" s="3" t="inlineStr">
        <is>
          <t>Latest chip quantity per chip type through year-end; normalized by unit count into benchmark buckets.</t>
        </is>
      </c>
    </row>
    <row r="57">
      <c r="A57" s="3" t="inlineStr">
        <is>
          <t>Grid-Constrained / Efficiency-Upside|Amazon Ridgeland|2026</t>
        </is>
      </c>
      <c r="B57" s="3" t="inlineStr">
        <is>
          <t>Grid-Constrained / Efficiency-Upside</t>
        </is>
      </c>
      <c r="C57" s="3" t="inlineStr">
        <is>
          <t>Amazon Ridgeland</t>
        </is>
      </c>
      <c r="D57" s="3" t="n">
        <v>2026</v>
      </c>
      <c r="E57" s="3" t="inlineStr">
        <is>
          <t>Amazon</t>
        </is>
      </c>
      <c r="F57" s="17" t="n">
        <v>0</v>
      </c>
      <c r="G57" s="17" t="n">
        <v>0</v>
      </c>
      <c r="H57" s="17" t="n">
        <v>0</v>
      </c>
      <c r="I57" s="17" t="n">
        <v>0</v>
      </c>
      <c r="J57" s="17" t="n">
        <v>0</v>
      </c>
      <c r="K57" s="17" t="n">
        <v>1</v>
      </c>
      <c r="L57" s="17" t="n">
        <v>0</v>
      </c>
      <c r="M57" s="17" t="n">
        <v>0</v>
      </c>
      <c r="N57" s="17" t="n">
        <v>0</v>
      </c>
      <c r="O57" s="26" t="n">
        <v>1</v>
      </c>
      <c r="P57" s="3" t="inlineStr">
        <is>
          <t>epoch_chip_quantity_latest</t>
        </is>
      </c>
      <c r="Q57" s="3" t="inlineStr">
        <is>
          <t>SRC_EPOCH_AI_DATA_CENTERS; EPOCH_RAW_CHIP_QUANTITIES</t>
        </is>
      </c>
      <c r="R57" s="3" t="inlineStr">
        <is>
          <t>Latest chip quantity per chip type through year-end; normalized by unit count into benchmark buckets.</t>
        </is>
      </c>
    </row>
    <row r="58">
      <c r="A58" s="3" t="inlineStr">
        <is>
          <t>Grid-Constrained / Efficiency-Upside|Amazon Ridgeland|2027</t>
        </is>
      </c>
      <c r="B58" s="3" t="inlineStr">
        <is>
          <t>Grid-Constrained / Efficiency-Upside</t>
        </is>
      </c>
      <c r="C58" s="3" t="inlineStr">
        <is>
          <t>Amazon Ridgeland</t>
        </is>
      </c>
      <c r="D58" s="3" t="n">
        <v>2027</v>
      </c>
      <c r="E58" s="3" t="inlineStr">
        <is>
          <t>Amazon</t>
        </is>
      </c>
      <c r="F58" s="17" t="n">
        <v>0</v>
      </c>
      <c r="G58" s="17" t="n">
        <v>0</v>
      </c>
      <c r="H58" s="17" t="n">
        <v>0</v>
      </c>
      <c r="I58" s="17" t="n">
        <v>0</v>
      </c>
      <c r="J58" s="17" t="n">
        <v>0</v>
      </c>
      <c r="K58" s="17" t="n">
        <v>1</v>
      </c>
      <c r="L58" s="17" t="n">
        <v>0</v>
      </c>
      <c r="M58" s="17" t="n">
        <v>0</v>
      </c>
      <c r="N58" s="17" t="n">
        <v>0</v>
      </c>
      <c r="O58" s="26" t="n">
        <v>1</v>
      </c>
      <c r="P58" s="3" t="inlineStr">
        <is>
          <t>epoch_chip_quantity_latest</t>
        </is>
      </c>
      <c r="Q58" s="3" t="inlineStr">
        <is>
          <t>SRC_EPOCH_AI_DATA_CENTERS; EPOCH_RAW_CHIP_QUANTITIES</t>
        </is>
      </c>
      <c r="R58" s="3" t="inlineStr">
        <is>
          <t>Latest chip quantity per chip type through year-end; normalized by unit count into benchmark buckets.</t>
        </is>
      </c>
    </row>
    <row r="59">
      <c r="A59" s="3" t="inlineStr">
        <is>
          <t>Grid-Constrained / Efficiency-Upside|Amazon Ridgeland|2028</t>
        </is>
      </c>
      <c r="B59" s="3" t="inlineStr">
        <is>
          <t>Grid-Constrained / Efficiency-Upside</t>
        </is>
      </c>
      <c r="C59" s="3" t="inlineStr">
        <is>
          <t>Amazon Ridgeland</t>
        </is>
      </c>
      <c r="D59" s="3" t="n">
        <v>2028</v>
      </c>
      <c r="E59" s="3" t="inlineStr">
        <is>
          <t>Amazon</t>
        </is>
      </c>
      <c r="F59" s="17" t="n">
        <v>0</v>
      </c>
      <c r="G59" s="17" t="n">
        <v>0</v>
      </c>
      <c r="H59" s="17" t="n">
        <v>0</v>
      </c>
      <c r="I59" s="17" t="n">
        <v>0</v>
      </c>
      <c r="J59" s="17" t="n">
        <v>0</v>
      </c>
      <c r="K59" s="17" t="n">
        <v>1</v>
      </c>
      <c r="L59" s="17" t="n">
        <v>0</v>
      </c>
      <c r="M59" s="17" t="n">
        <v>0</v>
      </c>
      <c r="N59" s="17" t="n">
        <v>0</v>
      </c>
      <c r="O59" s="26" t="n">
        <v>1</v>
      </c>
      <c r="P59" s="3" t="inlineStr">
        <is>
          <t>epoch_chip_quantity_latest</t>
        </is>
      </c>
      <c r="Q59" s="3" t="inlineStr">
        <is>
          <t>SRC_EPOCH_AI_DATA_CENTERS; EPOCH_RAW_CHIP_QUANTITIES</t>
        </is>
      </c>
      <c r="R59" s="3" t="inlineStr">
        <is>
          <t>Latest chip quantity per chip type through year-end; normalized by unit count into benchmark buckets.</t>
        </is>
      </c>
    </row>
    <row r="60">
      <c r="A60" s="3" t="inlineStr">
        <is>
          <t>Grid-Constrained / Efficiency-Upside|Amazon Ridgeland|2029</t>
        </is>
      </c>
      <c r="B60" s="3" t="inlineStr">
        <is>
          <t>Grid-Constrained / Efficiency-Upside</t>
        </is>
      </c>
      <c r="C60" s="3" t="inlineStr">
        <is>
          <t>Amazon Ridgeland</t>
        </is>
      </c>
      <c r="D60" s="3" t="n">
        <v>2029</v>
      </c>
      <c r="E60" s="3" t="inlineStr">
        <is>
          <t>Amazon</t>
        </is>
      </c>
      <c r="F60" s="17" t="n">
        <v>0</v>
      </c>
      <c r="G60" s="17" t="n">
        <v>0</v>
      </c>
      <c r="H60" s="17" t="n">
        <v>0</v>
      </c>
      <c r="I60" s="17" t="n">
        <v>0</v>
      </c>
      <c r="J60" s="17" t="n">
        <v>0</v>
      </c>
      <c r="K60" s="17" t="n">
        <v>1</v>
      </c>
      <c r="L60" s="17" t="n">
        <v>0</v>
      </c>
      <c r="M60" s="17" t="n">
        <v>0</v>
      </c>
      <c r="N60" s="17" t="n">
        <v>0</v>
      </c>
      <c r="O60" s="26" t="n">
        <v>1</v>
      </c>
      <c r="P60" s="3" t="inlineStr">
        <is>
          <t>epoch_chip_quantity_latest</t>
        </is>
      </c>
      <c r="Q60" s="3" t="inlineStr">
        <is>
          <t>SRC_EPOCH_AI_DATA_CENTERS; EPOCH_RAW_CHIP_QUANTITIES</t>
        </is>
      </c>
      <c r="R60" s="3" t="inlineStr">
        <is>
          <t>Latest chip quantity per chip type through year-end; normalized by unit count into benchmark buckets.</t>
        </is>
      </c>
    </row>
    <row r="61">
      <c r="A61" s="3" t="inlineStr">
        <is>
          <t>Grid-Constrained / Efficiency-Upside|Amazon Ridgeland|2030</t>
        </is>
      </c>
      <c r="B61" s="3" t="inlineStr">
        <is>
          <t>Grid-Constrained / Efficiency-Upside</t>
        </is>
      </c>
      <c r="C61" s="3" t="inlineStr">
        <is>
          <t>Amazon Ridgeland</t>
        </is>
      </c>
      <c r="D61" s="3" t="n">
        <v>2030</v>
      </c>
      <c r="E61" s="3" t="inlineStr">
        <is>
          <t>Amazon</t>
        </is>
      </c>
      <c r="F61" s="17" t="n">
        <v>0</v>
      </c>
      <c r="G61" s="17" t="n">
        <v>0</v>
      </c>
      <c r="H61" s="17" t="n">
        <v>0</v>
      </c>
      <c r="I61" s="17" t="n">
        <v>0</v>
      </c>
      <c r="J61" s="17" t="n">
        <v>0</v>
      </c>
      <c r="K61" s="17" t="n">
        <v>1</v>
      </c>
      <c r="L61" s="17" t="n">
        <v>0</v>
      </c>
      <c r="M61" s="17" t="n">
        <v>0</v>
      </c>
      <c r="N61" s="17" t="n">
        <v>0</v>
      </c>
      <c r="O61" s="26" t="n">
        <v>1</v>
      </c>
      <c r="P61" s="3" t="inlineStr">
        <is>
          <t>epoch_chip_quantity_latest</t>
        </is>
      </c>
      <c r="Q61" s="3" t="inlineStr">
        <is>
          <t>SRC_EPOCH_AI_DATA_CENTERS; EPOCH_RAW_CHIP_QUANTITIES</t>
        </is>
      </c>
      <c r="R61" s="3" t="inlineStr">
        <is>
          <t>Latest chip quantity per chip type through year-end; normalized by unit count into benchmark buckets.</t>
        </is>
      </c>
    </row>
    <row r="62">
      <c r="A62" s="3" t="inlineStr">
        <is>
          <t>Bear|Anthropic-Amazon New Carlisle|2026</t>
        </is>
      </c>
      <c r="B62" s="3" t="inlineStr">
        <is>
          <t>Bear</t>
        </is>
      </c>
      <c r="C62" s="3" t="inlineStr">
        <is>
          <t>Anthropic-Amazon New Carlisle</t>
        </is>
      </c>
      <c r="D62" s="3" t="n">
        <v>2026</v>
      </c>
      <c r="E62" s="3" t="inlineStr">
        <is>
          <t>Amazon</t>
        </is>
      </c>
      <c r="F62" s="17" t="n">
        <v>0</v>
      </c>
      <c r="G62" s="17" t="n">
        <v>0</v>
      </c>
      <c r="H62" s="17" t="n">
        <v>0</v>
      </c>
      <c r="I62" s="17" t="n">
        <v>0</v>
      </c>
      <c r="J62" s="17" t="n">
        <v>0</v>
      </c>
      <c r="K62" s="17" t="n">
        <v>1</v>
      </c>
      <c r="L62" s="17" t="n">
        <v>0</v>
      </c>
      <c r="M62" s="17" t="n">
        <v>0</v>
      </c>
      <c r="N62" s="17" t="n">
        <v>0</v>
      </c>
      <c r="O62" s="26" t="n">
        <v>1</v>
      </c>
      <c r="P62" s="3" t="inlineStr">
        <is>
          <t>epoch_chip_quantity_latest</t>
        </is>
      </c>
      <c r="Q62" s="3" t="inlineStr">
        <is>
          <t>SRC_EPOCH_AI_DATA_CENTERS; EPOCH_RAW_CHIP_QUANTITIES</t>
        </is>
      </c>
      <c r="R62" s="3" t="inlineStr">
        <is>
          <t>Latest chip quantity per chip type through year-end; normalized by unit count into benchmark buckets.</t>
        </is>
      </c>
    </row>
    <row r="63">
      <c r="A63" s="3" t="inlineStr">
        <is>
          <t>Bear|Anthropic-Amazon New Carlisle|2027</t>
        </is>
      </c>
      <c r="B63" s="3" t="inlineStr">
        <is>
          <t>Bear</t>
        </is>
      </c>
      <c r="C63" s="3" t="inlineStr">
        <is>
          <t>Anthropic-Amazon New Carlisle</t>
        </is>
      </c>
      <c r="D63" s="3" t="n">
        <v>2027</v>
      </c>
      <c r="E63" s="3" t="inlineStr">
        <is>
          <t>Amazon</t>
        </is>
      </c>
      <c r="F63" s="17" t="n">
        <v>0</v>
      </c>
      <c r="G63" s="17" t="n">
        <v>0</v>
      </c>
      <c r="H63" s="17" t="n">
        <v>0</v>
      </c>
      <c r="I63" s="17" t="n">
        <v>0</v>
      </c>
      <c r="J63" s="17" t="n">
        <v>0</v>
      </c>
      <c r="K63" s="17" t="n">
        <v>1</v>
      </c>
      <c r="L63" s="17" t="n">
        <v>0</v>
      </c>
      <c r="M63" s="17" t="n">
        <v>0</v>
      </c>
      <c r="N63" s="17" t="n">
        <v>0</v>
      </c>
      <c r="O63" s="26" t="n">
        <v>1</v>
      </c>
      <c r="P63" s="3" t="inlineStr">
        <is>
          <t>epoch_chip_quantity_latest</t>
        </is>
      </c>
      <c r="Q63" s="3" t="inlineStr">
        <is>
          <t>SRC_EPOCH_AI_DATA_CENTERS; EPOCH_RAW_CHIP_QUANTITIES</t>
        </is>
      </c>
      <c r="R63" s="3" t="inlineStr">
        <is>
          <t>Latest chip quantity per chip type through year-end; normalized by unit count into benchmark buckets.</t>
        </is>
      </c>
    </row>
    <row r="64">
      <c r="A64" s="3" t="inlineStr">
        <is>
          <t>Bear|Anthropic-Amazon New Carlisle|2028</t>
        </is>
      </c>
      <c r="B64" s="3" t="inlineStr">
        <is>
          <t>Bear</t>
        </is>
      </c>
      <c r="C64" s="3" t="inlineStr">
        <is>
          <t>Anthropic-Amazon New Carlisle</t>
        </is>
      </c>
      <c r="D64" s="3" t="n">
        <v>2028</v>
      </c>
      <c r="E64" s="3" t="inlineStr">
        <is>
          <t>Amazon</t>
        </is>
      </c>
      <c r="F64" s="17" t="n">
        <v>0</v>
      </c>
      <c r="G64" s="17" t="n">
        <v>0</v>
      </c>
      <c r="H64" s="17" t="n">
        <v>0</v>
      </c>
      <c r="I64" s="17" t="n">
        <v>0</v>
      </c>
      <c r="J64" s="17" t="n">
        <v>0</v>
      </c>
      <c r="K64" s="17" t="n">
        <v>1</v>
      </c>
      <c r="L64" s="17" t="n">
        <v>0</v>
      </c>
      <c r="M64" s="17" t="n">
        <v>0</v>
      </c>
      <c r="N64" s="17" t="n">
        <v>0</v>
      </c>
      <c r="O64" s="26" t="n">
        <v>1</v>
      </c>
      <c r="P64" s="3" t="inlineStr">
        <is>
          <t>epoch_chip_quantity_latest</t>
        </is>
      </c>
      <c r="Q64" s="3" t="inlineStr">
        <is>
          <t>SRC_EPOCH_AI_DATA_CENTERS; EPOCH_RAW_CHIP_QUANTITIES</t>
        </is>
      </c>
      <c r="R64" s="3" t="inlineStr">
        <is>
          <t>Latest chip quantity per chip type through year-end; normalized by unit count into benchmark buckets.</t>
        </is>
      </c>
    </row>
    <row r="65">
      <c r="A65" s="3" t="inlineStr">
        <is>
          <t>Bear|Anthropic-Amazon New Carlisle|2029</t>
        </is>
      </c>
      <c r="B65" s="3" t="inlineStr">
        <is>
          <t>Bear</t>
        </is>
      </c>
      <c r="C65" s="3" t="inlineStr">
        <is>
          <t>Anthropic-Amazon New Carlisle</t>
        </is>
      </c>
      <c r="D65" s="3" t="n">
        <v>2029</v>
      </c>
      <c r="E65" s="3" t="inlineStr">
        <is>
          <t>Amazon</t>
        </is>
      </c>
      <c r="F65" s="17" t="n">
        <v>0</v>
      </c>
      <c r="G65" s="17" t="n">
        <v>0</v>
      </c>
      <c r="H65" s="17" t="n">
        <v>0</v>
      </c>
      <c r="I65" s="17" t="n">
        <v>0</v>
      </c>
      <c r="J65" s="17" t="n">
        <v>0</v>
      </c>
      <c r="K65" s="17" t="n">
        <v>1</v>
      </c>
      <c r="L65" s="17" t="n">
        <v>0</v>
      </c>
      <c r="M65" s="17" t="n">
        <v>0</v>
      </c>
      <c r="N65" s="17" t="n">
        <v>0</v>
      </c>
      <c r="O65" s="26" t="n">
        <v>1</v>
      </c>
      <c r="P65" s="3" t="inlineStr">
        <is>
          <t>epoch_chip_quantity_latest</t>
        </is>
      </c>
      <c r="Q65" s="3" t="inlineStr">
        <is>
          <t>SRC_EPOCH_AI_DATA_CENTERS; EPOCH_RAW_CHIP_QUANTITIES</t>
        </is>
      </c>
      <c r="R65" s="3" t="inlineStr">
        <is>
          <t>Latest chip quantity per chip type through year-end; normalized by unit count into benchmark buckets.</t>
        </is>
      </c>
    </row>
    <row r="66">
      <c r="A66" s="3" t="inlineStr">
        <is>
          <t>Bear|Anthropic-Amazon New Carlisle|2030</t>
        </is>
      </c>
      <c r="B66" s="3" t="inlineStr">
        <is>
          <t>Bear</t>
        </is>
      </c>
      <c r="C66" s="3" t="inlineStr">
        <is>
          <t>Anthropic-Amazon New Carlisle</t>
        </is>
      </c>
      <c r="D66" s="3" t="n">
        <v>2030</v>
      </c>
      <c r="E66" s="3" t="inlineStr">
        <is>
          <t>Amazon</t>
        </is>
      </c>
      <c r="F66" s="17" t="n">
        <v>0</v>
      </c>
      <c r="G66" s="17" t="n">
        <v>0</v>
      </c>
      <c r="H66" s="17" t="n">
        <v>0</v>
      </c>
      <c r="I66" s="17" t="n">
        <v>0</v>
      </c>
      <c r="J66" s="17" t="n">
        <v>0</v>
      </c>
      <c r="K66" s="17" t="n">
        <v>1</v>
      </c>
      <c r="L66" s="17" t="n">
        <v>0</v>
      </c>
      <c r="M66" s="17" t="n">
        <v>0</v>
      </c>
      <c r="N66" s="17" t="n">
        <v>0</v>
      </c>
      <c r="O66" s="26" t="n">
        <v>1</v>
      </c>
      <c r="P66" s="3" t="inlineStr">
        <is>
          <t>epoch_chip_quantity_latest</t>
        </is>
      </c>
      <c r="Q66" s="3" t="inlineStr">
        <is>
          <t>SRC_EPOCH_AI_DATA_CENTERS; EPOCH_RAW_CHIP_QUANTITIES</t>
        </is>
      </c>
      <c r="R66" s="3" t="inlineStr">
        <is>
          <t>Latest chip quantity per chip type through year-end; normalized by unit count into benchmark buckets.</t>
        </is>
      </c>
    </row>
    <row r="67">
      <c r="A67" s="3" t="inlineStr">
        <is>
          <t>Base|Anthropic-Amazon New Carlisle|2026</t>
        </is>
      </c>
      <c r="B67" s="3" t="inlineStr">
        <is>
          <t>Base</t>
        </is>
      </c>
      <c r="C67" s="3" t="inlineStr">
        <is>
          <t>Anthropic-Amazon New Carlisle</t>
        </is>
      </c>
      <c r="D67" s="3" t="n">
        <v>2026</v>
      </c>
      <c r="E67" s="3" t="inlineStr">
        <is>
          <t>Amazon</t>
        </is>
      </c>
      <c r="F67" s="17" t="n">
        <v>0</v>
      </c>
      <c r="G67" s="17" t="n">
        <v>0</v>
      </c>
      <c r="H67" s="17" t="n">
        <v>0</v>
      </c>
      <c r="I67" s="17" t="n">
        <v>0</v>
      </c>
      <c r="J67" s="17" t="n">
        <v>0</v>
      </c>
      <c r="K67" s="17" t="n">
        <v>1</v>
      </c>
      <c r="L67" s="17" t="n">
        <v>0</v>
      </c>
      <c r="M67" s="17" t="n">
        <v>0</v>
      </c>
      <c r="N67" s="17" t="n">
        <v>0</v>
      </c>
      <c r="O67" s="26" t="n">
        <v>1</v>
      </c>
      <c r="P67" s="3" t="inlineStr">
        <is>
          <t>epoch_chip_quantity_latest</t>
        </is>
      </c>
      <c r="Q67" s="3" t="inlineStr">
        <is>
          <t>SRC_EPOCH_AI_DATA_CENTERS; EPOCH_RAW_CHIP_QUANTITIES</t>
        </is>
      </c>
      <c r="R67" s="3" t="inlineStr">
        <is>
          <t>Latest chip quantity per chip type through year-end; normalized by unit count into benchmark buckets.</t>
        </is>
      </c>
    </row>
    <row r="68">
      <c r="A68" s="3" t="inlineStr">
        <is>
          <t>Base|Anthropic-Amazon New Carlisle|2027</t>
        </is>
      </c>
      <c r="B68" s="3" t="inlineStr">
        <is>
          <t>Base</t>
        </is>
      </c>
      <c r="C68" s="3" t="inlineStr">
        <is>
          <t>Anthropic-Amazon New Carlisle</t>
        </is>
      </c>
      <c r="D68" s="3" t="n">
        <v>2027</v>
      </c>
      <c r="E68" s="3" t="inlineStr">
        <is>
          <t>Amazon</t>
        </is>
      </c>
      <c r="F68" s="17" t="n">
        <v>0</v>
      </c>
      <c r="G68" s="17" t="n">
        <v>0</v>
      </c>
      <c r="H68" s="17" t="n">
        <v>0</v>
      </c>
      <c r="I68" s="17" t="n">
        <v>0</v>
      </c>
      <c r="J68" s="17" t="n">
        <v>0</v>
      </c>
      <c r="K68" s="17" t="n">
        <v>1</v>
      </c>
      <c r="L68" s="17" t="n">
        <v>0</v>
      </c>
      <c r="M68" s="17" t="n">
        <v>0</v>
      </c>
      <c r="N68" s="17" t="n">
        <v>0</v>
      </c>
      <c r="O68" s="26" t="n">
        <v>1</v>
      </c>
      <c r="P68" s="3" t="inlineStr">
        <is>
          <t>epoch_chip_quantity_latest</t>
        </is>
      </c>
      <c r="Q68" s="3" t="inlineStr">
        <is>
          <t>SRC_EPOCH_AI_DATA_CENTERS; EPOCH_RAW_CHIP_QUANTITIES</t>
        </is>
      </c>
      <c r="R68" s="3" t="inlineStr">
        <is>
          <t>Latest chip quantity per chip type through year-end; normalized by unit count into benchmark buckets.</t>
        </is>
      </c>
    </row>
    <row r="69">
      <c r="A69" s="3" t="inlineStr">
        <is>
          <t>Base|Anthropic-Amazon New Carlisle|2028</t>
        </is>
      </c>
      <c r="B69" s="3" t="inlineStr">
        <is>
          <t>Base</t>
        </is>
      </c>
      <c r="C69" s="3" t="inlineStr">
        <is>
          <t>Anthropic-Amazon New Carlisle</t>
        </is>
      </c>
      <c r="D69" s="3" t="n">
        <v>2028</v>
      </c>
      <c r="E69" s="3" t="inlineStr">
        <is>
          <t>Amazon</t>
        </is>
      </c>
      <c r="F69" s="17" t="n">
        <v>0</v>
      </c>
      <c r="G69" s="17" t="n">
        <v>0</v>
      </c>
      <c r="H69" s="17" t="n">
        <v>0</v>
      </c>
      <c r="I69" s="17" t="n">
        <v>0</v>
      </c>
      <c r="J69" s="17" t="n">
        <v>0</v>
      </c>
      <c r="K69" s="17" t="n">
        <v>1</v>
      </c>
      <c r="L69" s="17" t="n">
        <v>0</v>
      </c>
      <c r="M69" s="17" t="n">
        <v>0</v>
      </c>
      <c r="N69" s="17" t="n">
        <v>0</v>
      </c>
      <c r="O69" s="26" t="n">
        <v>1</v>
      </c>
      <c r="P69" s="3" t="inlineStr">
        <is>
          <t>epoch_chip_quantity_latest</t>
        </is>
      </c>
      <c r="Q69" s="3" t="inlineStr">
        <is>
          <t>SRC_EPOCH_AI_DATA_CENTERS; EPOCH_RAW_CHIP_QUANTITIES</t>
        </is>
      </c>
      <c r="R69" s="3" t="inlineStr">
        <is>
          <t>Latest chip quantity per chip type through year-end; normalized by unit count into benchmark buckets.</t>
        </is>
      </c>
    </row>
    <row r="70">
      <c r="A70" s="3" t="inlineStr">
        <is>
          <t>Base|Anthropic-Amazon New Carlisle|2029</t>
        </is>
      </c>
      <c r="B70" s="3" t="inlineStr">
        <is>
          <t>Base</t>
        </is>
      </c>
      <c r="C70" s="3" t="inlineStr">
        <is>
          <t>Anthropic-Amazon New Carlisle</t>
        </is>
      </c>
      <c r="D70" s="3" t="n">
        <v>2029</v>
      </c>
      <c r="E70" s="3" t="inlineStr">
        <is>
          <t>Amazon</t>
        </is>
      </c>
      <c r="F70" s="17" t="n">
        <v>0</v>
      </c>
      <c r="G70" s="17" t="n">
        <v>0</v>
      </c>
      <c r="H70" s="17" t="n">
        <v>0</v>
      </c>
      <c r="I70" s="17" t="n">
        <v>0</v>
      </c>
      <c r="J70" s="17" t="n">
        <v>0</v>
      </c>
      <c r="K70" s="17" t="n">
        <v>1</v>
      </c>
      <c r="L70" s="17" t="n">
        <v>0</v>
      </c>
      <c r="M70" s="17" t="n">
        <v>0</v>
      </c>
      <c r="N70" s="17" t="n">
        <v>0</v>
      </c>
      <c r="O70" s="26" t="n">
        <v>1</v>
      </c>
      <c r="P70" s="3" t="inlineStr">
        <is>
          <t>epoch_chip_quantity_latest</t>
        </is>
      </c>
      <c r="Q70" s="3" t="inlineStr">
        <is>
          <t>SRC_EPOCH_AI_DATA_CENTERS; EPOCH_RAW_CHIP_QUANTITIES</t>
        </is>
      </c>
      <c r="R70" s="3" t="inlineStr">
        <is>
          <t>Latest chip quantity per chip type through year-end; normalized by unit count into benchmark buckets.</t>
        </is>
      </c>
    </row>
    <row r="71">
      <c r="A71" s="3" t="inlineStr">
        <is>
          <t>Base|Anthropic-Amazon New Carlisle|2030</t>
        </is>
      </c>
      <c r="B71" s="3" t="inlineStr">
        <is>
          <t>Base</t>
        </is>
      </c>
      <c r="C71" s="3" t="inlineStr">
        <is>
          <t>Anthropic-Amazon New Carlisle</t>
        </is>
      </c>
      <c r="D71" s="3" t="n">
        <v>2030</v>
      </c>
      <c r="E71" s="3" t="inlineStr">
        <is>
          <t>Amazon</t>
        </is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1</v>
      </c>
      <c r="L71" s="17" t="n">
        <v>0</v>
      </c>
      <c r="M71" s="17" t="n">
        <v>0</v>
      </c>
      <c r="N71" s="17" t="n">
        <v>0</v>
      </c>
      <c r="O71" s="26" t="n">
        <v>1</v>
      </c>
      <c r="P71" s="3" t="inlineStr">
        <is>
          <t>epoch_chip_quantity_latest</t>
        </is>
      </c>
      <c r="Q71" s="3" t="inlineStr">
        <is>
          <t>SRC_EPOCH_AI_DATA_CENTERS; EPOCH_RAW_CHIP_QUANTITIES</t>
        </is>
      </c>
      <c r="R71" s="3" t="inlineStr">
        <is>
          <t>Latest chip quantity per chip type through year-end; normalized by unit count into benchmark buckets.</t>
        </is>
      </c>
    </row>
    <row r="72">
      <c r="A72" s="3" t="inlineStr">
        <is>
          <t>Bull|Anthropic-Amazon New Carlisle|2026</t>
        </is>
      </c>
      <c r="B72" s="3" t="inlineStr">
        <is>
          <t>Bull</t>
        </is>
      </c>
      <c r="C72" s="3" t="inlineStr">
        <is>
          <t>Anthropic-Amazon New Carlisle</t>
        </is>
      </c>
      <c r="D72" s="3" t="n">
        <v>2026</v>
      </c>
      <c r="E72" s="3" t="inlineStr">
        <is>
          <t>Amazon</t>
        </is>
      </c>
      <c r="F72" s="17" t="n">
        <v>0</v>
      </c>
      <c r="G72" s="17" t="n">
        <v>0</v>
      </c>
      <c r="H72" s="17" t="n">
        <v>0</v>
      </c>
      <c r="I72" s="17" t="n">
        <v>0</v>
      </c>
      <c r="J72" s="17" t="n">
        <v>0</v>
      </c>
      <c r="K72" s="17" t="n">
        <v>1</v>
      </c>
      <c r="L72" s="17" t="n">
        <v>0</v>
      </c>
      <c r="M72" s="17" t="n">
        <v>0</v>
      </c>
      <c r="N72" s="17" t="n">
        <v>0</v>
      </c>
      <c r="O72" s="26" t="n">
        <v>1</v>
      </c>
      <c r="P72" s="3" t="inlineStr">
        <is>
          <t>epoch_chip_quantity_latest</t>
        </is>
      </c>
      <c r="Q72" s="3" t="inlineStr">
        <is>
          <t>SRC_EPOCH_AI_DATA_CENTERS; EPOCH_RAW_CHIP_QUANTITIES</t>
        </is>
      </c>
      <c r="R72" s="3" t="inlineStr">
        <is>
          <t>Latest chip quantity per chip type through year-end; normalized by unit count into benchmark buckets.</t>
        </is>
      </c>
    </row>
    <row r="73">
      <c r="A73" s="3" t="inlineStr">
        <is>
          <t>Bull|Anthropic-Amazon New Carlisle|2027</t>
        </is>
      </c>
      <c r="B73" s="3" t="inlineStr">
        <is>
          <t>Bull</t>
        </is>
      </c>
      <c r="C73" s="3" t="inlineStr">
        <is>
          <t>Anthropic-Amazon New Carlisle</t>
        </is>
      </c>
      <c r="D73" s="3" t="n">
        <v>2027</v>
      </c>
      <c r="E73" s="3" t="inlineStr">
        <is>
          <t>Amazon</t>
        </is>
      </c>
      <c r="F73" s="17" t="n">
        <v>0</v>
      </c>
      <c r="G73" s="17" t="n">
        <v>0</v>
      </c>
      <c r="H73" s="17" t="n">
        <v>0</v>
      </c>
      <c r="I73" s="17" t="n">
        <v>0</v>
      </c>
      <c r="J73" s="17" t="n">
        <v>0</v>
      </c>
      <c r="K73" s="17" t="n">
        <v>1</v>
      </c>
      <c r="L73" s="17" t="n">
        <v>0</v>
      </c>
      <c r="M73" s="17" t="n">
        <v>0</v>
      </c>
      <c r="N73" s="17" t="n">
        <v>0</v>
      </c>
      <c r="O73" s="26" t="n">
        <v>1</v>
      </c>
      <c r="P73" s="3" t="inlineStr">
        <is>
          <t>epoch_chip_quantity_latest</t>
        </is>
      </c>
      <c r="Q73" s="3" t="inlineStr">
        <is>
          <t>SRC_EPOCH_AI_DATA_CENTERS; EPOCH_RAW_CHIP_QUANTITIES</t>
        </is>
      </c>
      <c r="R73" s="3" t="inlineStr">
        <is>
          <t>Latest chip quantity per chip type through year-end; normalized by unit count into benchmark buckets.</t>
        </is>
      </c>
    </row>
    <row r="74">
      <c r="A74" s="3" t="inlineStr">
        <is>
          <t>Bull|Anthropic-Amazon New Carlisle|2028</t>
        </is>
      </c>
      <c r="B74" s="3" t="inlineStr">
        <is>
          <t>Bull</t>
        </is>
      </c>
      <c r="C74" s="3" t="inlineStr">
        <is>
          <t>Anthropic-Amazon New Carlisle</t>
        </is>
      </c>
      <c r="D74" s="3" t="n">
        <v>2028</v>
      </c>
      <c r="E74" s="3" t="inlineStr">
        <is>
          <t>Amazon</t>
        </is>
      </c>
      <c r="F74" s="17" t="n">
        <v>0</v>
      </c>
      <c r="G74" s="17" t="n">
        <v>0</v>
      </c>
      <c r="H74" s="17" t="n">
        <v>0</v>
      </c>
      <c r="I74" s="17" t="n">
        <v>0</v>
      </c>
      <c r="J74" s="17" t="n">
        <v>0</v>
      </c>
      <c r="K74" s="17" t="n">
        <v>1</v>
      </c>
      <c r="L74" s="17" t="n">
        <v>0</v>
      </c>
      <c r="M74" s="17" t="n">
        <v>0</v>
      </c>
      <c r="N74" s="17" t="n">
        <v>0</v>
      </c>
      <c r="O74" s="26" t="n">
        <v>1</v>
      </c>
      <c r="P74" s="3" t="inlineStr">
        <is>
          <t>epoch_chip_quantity_latest</t>
        </is>
      </c>
      <c r="Q74" s="3" t="inlineStr">
        <is>
          <t>SRC_EPOCH_AI_DATA_CENTERS; EPOCH_RAW_CHIP_QUANTITIES</t>
        </is>
      </c>
      <c r="R74" s="3" t="inlineStr">
        <is>
          <t>Latest chip quantity per chip type through year-end; normalized by unit count into benchmark buckets.</t>
        </is>
      </c>
    </row>
    <row r="75">
      <c r="A75" s="3" t="inlineStr">
        <is>
          <t>Bull|Anthropic-Amazon New Carlisle|2029</t>
        </is>
      </c>
      <c r="B75" s="3" t="inlineStr">
        <is>
          <t>Bull</t>
        </is>
      </c>
      <c r="C75" s="3" t="inlineStr">
        <is>
          <t>Anthropic-Amazon New Carlisle</t>
        </is>
      </c>
      <c r="D75" s="3" t="n">
        <v>2029</v>
      </c>
      <c r="E75" s="3" t="inlineStr">
        <is>
          <t>Amazon</t>
        </is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0</v>
      </c>
      <c r="K75" s="17" t="n">
        <v>1</v>
      </c>
      <c r="L75" s="17" t="n">
        <v>0</v>
      </c>
      <c r="M75" s="17" t="n">
        <v>0</v>
      </c>
      <c r="N75" s="17" t="n">
        <v>0</v>
      </c>
      <c r="O75" s="26" t="n">
        <v>1</v>
      </c>
      <c r="P75" s="3" t="inlineStr">
        <is>
          <t>epoch_chip_quantity_latest</t>
        </is>
      </c>
      <c r="Q75" s="3" t="inlineStr">
        <is>
          <t>SRC_EPOCH_AI_DATA_CENTERS; EPOCH_RAW_CHIP_QUANTITIES</t>
        </is>
      </c>
      <c r="R75" s="3" t="inlineStr">
        <is>
          <t>Latest chip quantity per chip type through year-end; normalized by unit count into benchmark buckets.</t>
        </is>
      </c>
    </row>
    <row r="76">
      <c r="A76" s="3" t="inlineStr">
        <is>
          <t>Bull|Anthropic-Amazon New Carlisle|2030</t>
        </is>
      </c>
      <c r="B76" s="3" t="inlineStr">
        <is>
          <t>Bull</t>
        </is>
      </c>
      <c r="C76" s="3" t="inlineStr">
        <is>
          <t>Anthropic-Amazon New Carlisle</t>
        </is>
      </c>
      <c r="D76" s="3" t="n">
        <v>2030</v>
      </c>
      <c r="E76" s="3" t="inlineStr">
        <is>
          <t>Amazon</t>
        </is>
      </c>
      <c r="F76" s="17" t="n">
        <v>0</v>
      </c>
      <c r="G76" s="17" t="n">
        <v>0</v>
      </c>
      <c r="H76" s="17" t="n">
        <v>0</v>
      </c>
      <c r="I76" s="17" t="n">
        <v>0</v>
      </c>
      <c r="J76" s="17" t="n">
        <v>0</v>
      </c>
      <c r="K76" s="17" t="n">
        <v>1</v>
      </c>
      <c r="L76" s="17" t="n">
        <v>0</v>
      </c>
      <c r="M76" s="17" t="n">
        <v>0</v>
      </c>
      <c r="N76" s="17" t="n">
        <v>0</v>
      </c>
      <c r="O76" s="26" t="n">
        <v>1</v>
      </c>
      <c r="P76" s="3" t="inlineStr">
        <is>
          <t>epoch_chip_quantity_latest</t>
        </is>
      </c>
      <c r="Q76" s="3" t="inlineStr">
        <is>
          <t>SRC_EPOCH_AI_DATA_CENTERS; EPOCH_RAW_CHIP_QUANTITIES</t>
        </is>
      </c>
      <c r="R76" s="3" t="inlineStr">
        <is>
          <t>Latest chip quantity per chip type through year-end; normalized by unit count into benchmark buckets.</t>
        </is>
      </c>
    </row>
    <row r="77">
      <c r="A77" s="3" t="inlineStr">
        <is>
          <t>Grid-Constrained / Efficiency-Upside|Anthropic-Amazon New Carlisle|2026</t>
        </is>
      </c>
      <c r="B77" s="3" t="inlineStr">
        <is>
          <t>Grid-Constrained / Efficiency-Upside</t>
        </is>
      </c>
      <c r="C77" s="3" t="inlineStr">
        <is>
          <t>Anthropic-Amazon New Carlisle</t>
        </is>
      </c>
      <c r="D77" s="3" t="n">
        <v>2026</v>
      </c>
      <c r="E77" s="3" t="inlineStr">
        <is>
          <t>Amazon</t>
        </is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1</v>
      </c>
      <c r="L77" s="17" t="n">
        <v>0</v>
      </c>
      <c r="M77" s="17" t="n">
        <v>0</v>
      </c>
      <c r="N77" s="17" t="n">
        <v>0</v>
      </c>
      <c r="O77" s="26" t="n">
        <v>1</v>
      </c>
      <c r="P77" s="3" t="inlineStr">
        <is>
          <t>epoch_chip_quantity_latest</t>
        </is>
      </c>
      <c r="Q77" s="3" t="inlineStr">
        <is>
          <t>SRC_EPOCH_AI_DATA_CENTERS; EPOCH_RAW_CHIP_QUANTITIES</t>
        </is>
      </c>
      <c r="R77" s="3" t="inlineStr">
        <is>
          <t>Latest chip quantity per chip type through year-end; normalized by unit count into benchmark buckets.</t>
        </is>
      </c>
    </row>
    <row r="78">
      <c r="A78" s="3" t="inlineStr">
        <is>
          <t>Grid-Constrained / Efficiency-Upside|Anthropic-Amazon New Carlisle|2027</t>
        </is>
      </c>
      <c r="B78" s="3" t="inlineStr">
        <is>
          <t>Grid-Constrained / Efficiency-Upside</t>
        </is>
      </c>
      <c r="C78" s="3" t="inlineStr">
        <is>
          <t>Anthropic-Amazon New Carlisle</t>
        </is>
      </c>
      <c r="D78" s="3" t="n">
        <v>2027</v>
      </c>
      <c r="E78" s="3" t="inlineStr">
        <is>
          <t>Amazon</t>
        </is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1</v>
      </c>
      <c r="L78" s="17" t="n">
        <v>0</v>
      </c>
      <c r="M78" s="17" t="n">
        <v>0</v>
      </c>
      <c r="N78" s="17" t="n">
        <v>0</v>
      </c>
      <c r="O78" s="26" t="n">
        <v>1</v>
      </c>
      <c r="P78" s="3" t="inlineStr">
        <is>
          <t>epoch_chip_quantity_latest</t>
        </is>
      </c>
      <c r="Q78" s="3" t="inlineStr">
        <is>
          <t>SRC_EPOCH_AI_DATA_CENTERS; EPOCH_RAW_CHIP_QUANTITIES</t>
        </is>
      </c>
      <c r="R78" s="3" t="inlineStr">
        <is>
          <t>Latest chip quantity per chip type through year-end; normalized by unit count into benchmark buckets.</t>
        </is>
      </c>
    </row>
    <row r="79">
      <c r="A79" s="3" t="inlineStr">
        <is>
          <t>Grid-Constrained / Efficiency-Upside|Anthropic-Amazon New Carlisle|2028</t>
        </is>
      </c>
      <c r="B79" s="3" t="inlineStr">
        <is>
          <t>Grid-Constrained / Efficiency-Upside</t>
        </is>
      </c>
      <c r="C79" s="3" t="inlineStr">
        <is>
          <t>Anthropic-Amazon New Carlisle</t>
        </is>
      </c>
      <c r="D79" s="3" t="n">
        <v>2028</v>
      </c>
      <c r="E79" s="3" t="inlineStr">
        <is>
          <t>Amazon</t>
        </is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1</v>
      </c>
      <c r="L79" s="17" t="n">
        <v>0</v>
      </c>
      <c r="M79" s="17" t="n">
        <v>0</v>
      </c>
      <c r="N79" s="17" t="n">
        <v>0</v>
      </c>
      <c r="O79" s="26" t="n">
        <v>1</v>
      </c>
      <c r="P79" s="3" t="inlineStr">
        <is>
          <t>epoch_chip_quantity_latest</t>
        </is>
      </c>
      <c r="Q79" s="3" t="inlineStr">
        <is>
          <t>SRC_EPOCH_AI_DATA_CENTERS; EPOCH_RAW_CHIP_QUANTITIES</t>
        </is>
      </c>
      <c r="R79" s="3" t="inlineStr">
        <is>
          <t>Latest chip quantity per chip type through year-end; normalized by unit count into benchmark buckets.</t>
        </is>
      </c>
    </row>
    <row r="80">
      <c r="A80" s="3" t="inlineStr">
        <is>
          <t>Grid-Constrained / Efficiency-Upside|Anthropic-Amazon New Carlisle|2029</t>
        </is>
      </c>
      <c r="B80" s="3" t="inlineStr">
        <is>
          <t>Grid-Constrained / Efficiency-Upside</t>
        </is>
      </c>
      <c r="C80" s="3" t="inlineStr">
        <is>
          <t>Anthropic-Amazon New Carlisle</t>
        </is>
      </c>
      <c r="D80" s="3" t="n">
        <v>2029</v>
      </c>
      <c r="E80" s="3" t="inlineStr">
        <is>
          <t>Amazon</t>
        </is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1</v>
      </c>
      <c r="L80" s="17" t="n">
        <v>0</v>
      </c>
      <c r="M80" s="17" t="n">
        <v>0</v>
      </c>
      <c r="N80" s="17" t="n">
        <v>0</v>
      </c>
      <c r="O80" s="26" t="n">
        <v>1</v>
      </c>
      <c r="P80" s="3" t="inlineStr">
        <is>
          <t>epoch_chip_quantity_latest</t>
        </is>
      </c>
      <c r="Q80" s="3" t="inlineStr">
        <is>
          <t>SRC_EPOCH_AI_DATA_CENTERS; EPOCH_RAW_CHIP_QUANTITIES</t>
        </is>
      </c>
      <c r="R80" s="3" t="inlineStr">
        <is>
          <t>Latest chip quantity per chip type through year-end; normalized by unit count into benchmark buckets.</t>
        </is>
      </c>
    </row>
    <row r="81">
      <c r="A81" s="3" t="inlineStr">
        <is>
          <t>Grid-Constrained / Efficiency-Upside|Anthropic-Amazon New Carlisle|2030</t>
        </is>
      </c>
      <c r="B81" s="3" t="inlineStr">
        <is>
          <t>Grid-Constrained / Efficiency-Upside</t>
        </is>
      </c>
      <c r="C81" s="3" t="inlineStr">
        <is>
          <t>Anthropic-Amazon New Carlisle</t>
        </is>
      </c>
      <c r="D81" s="3" t="n">
        <v>2030</v>
      </c>
      <c r="E81" s="3" t="inlineStr">
        <is>
          <t>Amazon</t>
        </is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1</v>
      </c>
      <c r="L81" s="17" t="n">
        <v>0</v>
      </c>
      <c r="M81" s="17" t="n">
        <v>0</v>
      </c>
      <c r="N81" s="17" t="n">
        <v>0</v>
      </c>
      <c r="O81" s="26" t="n">
        <v>1</v>
      </c>
      <c r="P81" s="3" t="inlineStr">
        <is>
          <t>epoch_chip_quantity_latest</t>
        </is>
      </c>
      <c r="Q81" s="3" t="inlineStr">
        <is>
          <t>SRC_EPOCH_AI_DATA_CENTERS; EPOCH_RAW_CHIP_QUANTITIES</t>
        </is>
      </c>
      <c r="R81" s="3" t="inlineStr">
        <is>
          <t>Latest chip quantity per chip type through year-end; normalized by unit count into benchmark buckets.</t>
        </is>
      </c>
    </row>
    <row r="82">
      <c r="A82" s="3" t="inlineStr">
        <is>
          <t>Bear|Colossus 1|2026</t>
        </is>
      </c>
      <c r="B82" s="3" t="inlineStr">
        <is>
          <t>Bear</t>
        </is>
      </c>
      <c r="C82" s="3" t="inlineStr">
        <is>
          <t>Colossus 1</t>
        </is>
      </c>
      <c r="D82" s="3" t="n">
        <v>2026</v>
      </c>
      <c r="E82" s="3" t="inlineStr">
        <is>
          <t>SpaceXAI</t>
        </is>
      </c>
      <c r="F82" s="17" t="n">
        <v>0.869565</v>
      </c>
      <c r="G82" s="17" t="n">
        <v>0.130435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26" t="n">
        <v>1</v>
      </c>
      <c r="P82" s="3" t="inlineStr">
        <is>
          <t>epoch_chip_quantity_latest</t>
        </is>
      </c>
      <c r="Q82" s="3" t="inlineStr">
        <is>
          <t>SRC_EPOCH_AI_DATA_CENTERS; EPOCH_RAW_CHIP_QUANTITIES</t>
        </is>
      </c>
      <c r="R82" s="3" t="inlineStr">
        <is>
          <t>Latest chip quantity per chip type through year-end; normalized by unit count into benchmark buckets.</t>
        </is>
      </c>
    </row>
    <row r="83">
      <c r="A83" s="3" t="inlineStr">
        <is>
          <t>Bear|Colossus 1|2027</t>
        </is>
      </c>
      <c r="B83" s="3" t="inlineStr">
        <is>
          <t>Bear</t>
        </is>
      </c>
      <c r="C83" s="3" t="inlineStr">
        <is>
          <t>Colossus 1</t>
        </is>
      </c>
      <c r="D83" s="3" t="n">
        <v>2027</v>
      </c>
      <c r="E83" s="3" t="inlineStr">
        <is>
          <t>SpaceXAI</t>
        </is>
      </c>
      <c r="F83" s="17" t="n">
        <v>0.869565</v>
      </c>
      <c r="G83" s="17" t="n">
        <v>0.130435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0</v>
      </c>
      <c r="N83" s="17" t="n">
        <v>0</v>
      </c>
      <c r="O83" s="26" t="n">
        <v>1</v>
      </c>
      <c r="P83" s="3" t="inlineStr">
        <is>
          <t>epoch_chip_quantity_latest</t>
        </is>
      </c>
      <c r="Q83" s="3" t="inlineStr">
        <is>
          <t>SRC_EPOCH_AI_DATA_CENTERS; EPOCH_RAW_CHIP_QUANTITIES</t>
        </is>
      </c>
      <c r="R83" s="3" t="inlineStr">
        <is>
          <t>Latest chip quantity per chip type through year-end; normalized by unit count into benchmark buckets.</t>
        </is>
      </c>
    </row>
    <row r="84">
      <c r="A84" s="3" t="inlineStr">
        <is>
          <t>Bear|Colossus 1|2028</t>
        </is>
      </c>
      <c r="B84" s="3" t="inlineStr">
        <is>
          <t>Bear</t>
        </is>
      </c>
      <c r="C84" s="3" t="inlineStr">
        <is>
          <t>Colossus 1</t>
        </is>
      </c>
      <c r="D84" s="3" t="n">
        <v>2028</v>
      </c>
      <c r="E84" s="3" t="inlineStr">
        <is>
          <t>SpaceXAI</t>
        </is>
      </c>
      <c r="F84" s="17" t="n">
        <v>0.869565</v>
      </c>
      <c r="G84" s="17" t="n">
        <v>0.130435</v>
      </c>
      <c r="H84" s="17" t="n">
        <v>0</v>
      </c>
      <c r="I84" s="17" t="n">
        <v>0</v>
      </c>
      <c r="J84" s="17" t="n">
        <v>0</v>
      </c>
      <c r="K84" s="17" t="n">
        <v>0</v>
      </c>
      <c r="L84" s="17" t="n">
        <v>0</v>
      </c>
      <c r="M84" s="17" t="n">
        <v>0</v>
      </c>
      <c r="N84" s="17" t="n">
        <v>0</v>
      </c>
      <c r="O84" s="26" t="n">
        <v>1</v>
      </c>
      <c r="P84" s="3" t="inlineStr">
        <is>
          <t>epoch_chip_quantity_latest</t>
        </is>
      </c>
      <c r="Q84" s="3" t="inlineStr">
        <is>
          <t>SRC_EPOCH_AI_DATA_CENTERS; EPOCH_RAW_CHIP_QUANTITIES</t>
        </is>
      </c>
      <c r="R84" s="3" t="inlineStr">
        <is>
          <t>Latest chip quantity per chip type through year-end; normalized by unit count into benchmark buckets.</t>
        </is>
      </c>
    </row>
    <row r="85">
      <c r="A85" s="3" t="inlineStr">
        <is>
          <t>Bear|Colossus 1|2029</t>
        </is>
      </c>
      <c r="B85" s="3" t="inlineStr">
        <is>
          <t>Bear</t>
        </is>
      </c>
      <c r="C85" s="3" t="inlineStr">
        <is>
          <t>Colossus 1</t>
        </is>
      </c>
      <c r="D85" s="3" t="n">
        <v>2029</v>
      </c>
      <c r="E85" s="3" t="inlineStr">
        <is>
          <t>SpaceXAI</t>
        </is>
      </c>
      <c r="F85" s="17" t="n">
        <v>0.869565</v>
      </c>
      <c r="G85" s="17" t="n">
        <v>0.130435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N85" s="17" t="n">
        <v>0</v>
      </c>
      <c r="O85" s="26" t="n">
        <v>1</v>
      </c>
      <c r="P85" s="3" t="inlineStr">
        <is>
          <t>epoch_chip_quantity_latest</t>
        </is>
      </c>
      <c r="Q85" s="3" t="inlineStr">
        <is>
          <t>SRC_EPOCH_AI_DATA_CENTERS; EPOCH_RAW_CHIP_QUANTITIES</t>
        </is>
      </c>
      <c r="R85" s="3" t="inlineStr">
        <is>
          <t>Latest chip quantity per chip type through year-end; normalized by unit count into benchmark buckets.</t>
        </is>
      </c>
    </row>
    <row r="86">
      <c r="A86" s="3" t="inlineStr">
        <is>
          <t>Bear|Colossus 1|2030</t>
        </is>
      </c>
      <c r="B86" s="3" t="inlineStr">
        <is>
          <t>Bear</t>
        </is>
      </c>
      <c r="C86" s="3" t="inlineStr">
        <is>
          <t>Colossus 1</t>
        </is>
      </c>
      <c r="D86" s="3" t="n">
        <v>2030</v>
      </c>
      <c r="E86" s="3" t="inlineStr">
        <is>
          <t>SpaceXAI</t>
        </is>
      </c>
      <c r="F86" s="17" t="n">
        <v>0.869565</v>
      </c>
      <c r="G86" s="17" t="n">
        <v>0.130435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N86" s="17" t="n">
        <v>0</v>
      </c>
      <c r="O86" s="26" t="n">
        <v>1</v>
      </c>
      <c r="P86" s="3" t="inlineStr">
        <is>
          <t>epoch_chip_quantity_latest</t>
        </is>
      </c>
      <c r="Q86" s="3" t="inlineStr">
        <is>
          <t>SRC_EPOCH_AI_DATA_CENTERS; EPOCH_RAW_CHIP_QUANTITIES</t>
        </is>
      </c>
      <c r="R86" s="3" t="inlineStr">
        <is>
          <t>Latest chip quantity per chip type through year-end; normalized by unit count into benchmark buckets.</t>
        </is>
      </c>
    </row>
    <row r="87">
      <c r="A87" s="3" t="inlineStr">
        <is>
          <t>Base|Colossus 1|2026</t>
        </is>
      </c>
      <c r="B87" s="3" t="inlineStr">
        <is>
          <t>Base</t>
        </is>
      </c>
      <c r="C87" s="3" t="inlineStr">
        <is>
          <t>Colossus 1</t>
        </is>
      </c>
      <c r="D87" s="3" t="n">
        <v>2026</v>
      </c>
      <c r="E87" s="3" t="inlineStr">
        <is>
          <t>SpaceXAI</t>
        </is>
      </c>
      <c r="F87" s="17" t="n">
        <v>0.869565</v>
      </c>
      <c r="G87" s="17" t="n">
        <v>0.130435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N87" s="17" t="n">
        <v>0</v>
      </c>
      <c r="O87" s="26" t="n">
        <v>1</v>
      </c>
      <c r="P87" s="3" t="inlineStr">
        <is>
          <t>epoch_chip_quantity_latest</t>
        </is>
      </c>
      <c r="Q87" s="3" t="inlineStr">
        <is>
          <t>SRC_EPOCH_AI_DATA_CENTERS; EPOCH_RAW_CHIP_QUANTITIES</t>
        </is>
      </c>
      <c r="R87" s="3" t="inlineStr">
        <is>
          <t>Latest chip quantity per chip type through year-end; normalized by unit count into benchmark buckets.</t>
        </is>
      </c>
    </row>
    <row r="88">
      <c r="A88" s="3" t="inlineStr">
        <is>
          <t>Base|Colossus 1|2027</t>
        </is>
      </c>
      <c r="B88" s="3" t="inlineStr">
        <is>
          <t>Base</t>
        </is>
      </c>
      <c r="C88" s="3" t="inlineStr">
        <is>
          <t>Colossus 1</t>
        </is>
      </c>
      <c r="D88" s="3" t="n">
        <v>2027</v>
      </c>
      <c r="E88" s="3" t="inlineStr">
        <is>
          <t>SpaceXAI</t>
        </is>
      </c>
      <c r="F88" s="17" t="n">
        <v>0.869565</v>
      </c>
      <c r="G88" s="17" t="n">
        <v>0.130435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26" t="n">
        <v>1</v>
      </c>
      <c r="P88" s="3" t="inlineStr">
        <is>
          <t>epoch_chip_quantity_latest</t>
        </is>
      </c>
      <c r="Q88" s="3" t="inlineStr">
        <is>
          <t>SRC_EPOCH_AI_DATA_CENTERS; EPOCH_RAW_CHIP_QUANTITIES</t>
        </is>
      </c>
      <c r="R88" s="3" t="inlineStr">
        <is>
          <t>Latest chip quantity per chip type through year-end; normalized by unit count into benchmark buckets.</t>
        </is>
      </c>
    </row>
    <row r="89">
      <c r="A89" s="3" t="inlineStr">
        <is>
          <t>Base|Colossus 1|2028</t>
        </is>
      </c>
      <c r="B89" s="3" t="inlineStr">
        <is>
          <t>Base</t>
        </is>
      </c>
      <c r="C89" s="3" t="inlineStr">
        <is>
          <t>Colossus 1</t>
        </is>
      </c>
      <c r="D89" s="3" t="n">
        <v>2028</v>
      </c>
      <c r="E89" s="3" t="inlineStr">
        <is>
          <t>SpaceXAI</t>
        </is>
      </c>
      <c r="F89" s="17" t="n">
        <v>0.869565</v>
      </c>
      <c r="G89" s="17" t="n">
        <v>0.130435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N89" s="17" t="n">
        <v>0</v>
      </c>
      <c r="O89" s="26" t="n">
        <v>1</v>
      </c>
      <c r="P89" s="3" t="inlineStr">
        <is>
          <t>epoch_chip_quantity_latest</t>
        </is>
      </c>
      <c r="Q89" s="3" t="inlineStr">
        <is>
          <t>SRC_EPOCH_AI_DATA_CENTERS; EPOCH_RAW_CHIP_QUANTITIES</t>
        </is>
      </c>
      <c r="R89" s="3" t="inlineStr">
        <is>
          <t>Latest chip quantity per chip type through year-end; normalized by unit count into benchmark buckets.</t>
        </is>
      </c>
    </row>
    <row r="90">
      <c r="A90" s="3" t="inlineStr">
        <is>
          <t>Base|Colossus 1|2029</t>
        </is>
      </c>
      <c r="B90" s="3" t="inlineStr">
        <is>
          <t>Base</t>
        </is>
      </c>
      <c r="C90" s="3" t="inlineStr">
        <is>
          <t>Colossus 1</t>
        </is>
      </c>
      <c r="D90" s="3" t="n">
        <v>2029</v>
      </c>
      <c r="E90" s="3" t="inlineStr">
        <is>
          <t>SpaceXAI</t>
        </is>
      </c>
      <c r="F90" s="17" t="n">
        <v>0.869565</v>
      </c>
      <c r="G90" s="17" t="n">
        <v>0.130435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26" t="n">
        <v>1</v>
      </c>
      <c r="P90" s="3" t="inlineStr">
        <is>
          <t>epoch_chip_quantity_latest</t>
        </is>
      </c>
      <c r="Q90" s="3" t="inlineStr">
        <is>
          <t>SRC_EPOCH_AI_DATA_CENTERS; EPOCH_RAW_CHIP_QUANTITIES</t>
        </is>
      </c>
      <c r="R90" s="3" t="inlineStr">
        <is>
          <t>Latest chip quantity per chip type through year-end; normalized by unit count into benchmark buckets.</t>
        </is>
      </c>
    </row>
    <row r="91">
      <c r="A91" s="3" t="inlineStr">
        <is>
          <t>Base|Colossus 1|2030</t>
        </is>
      </c>
      <c r="B91" s="3" t="inlineStr">
        <is>
          <t>Base</t>
        </is>
      </c>
      <c r="C91" s="3" t="inlineStr">
        <is>
          <t>Colossus 1</t>
        </is>
      </c>
      <c r="D91" s="3" t="n">
        <v>2030</v>
      </c>
      <c r="E91" s="3" t="inlineStr">
        <is>
          <t>SpaceXAI</t>
        </is>
      </c>
      <c r="F91" s="17" t="n">
        <v>0.869565</v>
      </c>
      <c r="G91" s="17" t="n">
        <v>0.130435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N91" s="17" t="n">
        <v>0</v>
      </c>
      <c r="O91" s="26" t="n">
        <v>1</v>
      </c>
      <c r="P91" s="3" t="inlineStr">
        <is>
          <t>epoch_chip_quantity_latest</t>
        </is>
      </c>
      <c r="Q91" s="3" t="inlineStr">
        <is>
          <t>SRC_EPOCH_AI_DATA_CENTERS; EPOCH_RAW_CHIP_QUANTITIES</t>
        </is>
      </c>
      <c r="R91" s="3" t="inlineStr">
        <is>
          <t>Latest chip quantity per chip type through year-end; normalized by unit count into benchmark buckets.</t>
        </is>
      </c>
    </row>
    <row r="92">
      <c r="A92" s="3" t="inlineStr">
        <is>
          <t>Bull|Colossus 1|2026</t>
        </is>
      </c>
      <c r="B92" s="3" t="inlineStr">
        <is>
          <t>Bull</t>
        </is>
      </c>
      <c r="C92" s="3" t="inlineStr">
        <is>
          <t>Colossus 1</t>
        </is>
      </c>
      <c r="D92" s="3" t="n">
        <v>2026</v>
      </c>
      <c r="E92" s="3" t="inlineStr">
        <is>
          <t>SpaceXAI</t>
        </is>
      </c>
      <c r="F92" s="17" t="n">
        <v>0.869565</v>
      </c>
      <c r="G92" s="17" t="n">
        <v>0.130435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26" t="n">
        <v>1</v>
      </c>
      <c r="P92" s="3" t="inlineStr">
        <is>
          <t>epoch_chip_quantity_latest</t>
        </is>
      </c>
      <c r="Q92" s="3" t="inlineStr">
        <is>
          <t>SRC_EPOCH_AI_DATA_CENTERS; EPOCH_RAW_CHIP_QUANTITIES</t>
        </is>
      </c>
      <c r="R92" s="3" t="inlineStr">
        <is>
          <t>Latest chip quantity per chip type through year-end; normalized by unit count into benchmark buckets.</t>
        </is>
      </c>
    </row>
    <row r="93">
      <c r="A93" s="3" t="inlineStr">
        <is>
          <t>Bull|Colossus 1|2027</t>
        </is>
      </c>
      <c r="B93" s="3" t="inlineStr">
        <is>
          <t>Bull</t>
        </is>
      </c>
      <c r="C93" s="3" t="inlineStr">
        <is>
          <t>Colossus 1</t>
        </is>
      </c>
      <c r="D93" s="3" t="n">
        <v>2027</v>
      </c>
      <c r="E93" s="3" t="inlineStr">
        <is>
          <t>SpaceXAI</t>
        </is>
      </c>
      <c r="F93" s="17" t="n">
        <v>0.869565</v>
      </c>
      <c r="G93" s="17" t="n">
        <v>0.130435</v>
      </c>
      <c r="H93" s="17" t="n">
        <v>0</v>
      </c>
      <c r="I93" s="17" t="n">
        <v>0</v>
      </c>
      <c r="J93" s="17" t="n">
        <v>0</v>
      </c>
      <c r="K93" s="17" t="n">
        <v>0</v>
      </c>
      <c r="L93" s="17" t="n">
        <v>0</v>
      </c>
      <c r="M93" s="17" t="n">
        <v>0</v>
      </c>
      <c r="N93" s="17" t="n">
        <v>0</v>
      </c>
      <c r="O93" s="26" t="n">
        <v>1</v>
      </c>
      <c r="P93" s="3" t="inlineStr">
        <is>
          <t>epoch_chip_quantity_latest</t>
        </is>
      </c>
      <c r="Q93" s="3" t="inlineStr">
        <is>
          <t>SRC_EPOCH_AI_DATA_CENTERS; EPOCH_RAW_CHIP_QUANTITIES</t>
        </is>
      </c>
      <c r="R93" s="3" t="inlineStr">
        <is>
          <t>Latest chip quantity per chip type through year-end; normalized by unit count into benchmark buckets.</t>
        </is>
      </c>
    </row>
    <row r="94">
      <c r="A94" s="3" t="inlineStr">
        <is>
          <t>Bull|Colossus 1|2028</t>
        </is>
      </c>
      <c r="B94" s="3" t="inlineStr">
        <is>
          <t>Bull</t>
        </is>
      </c>
      <c r="C94" s="3" t="inlineStr">
        <is>
          <t>Colossus 1</t>
        </is>
      </c>
      <c r="D94" s="3" t="n">
        <v>2028</v>
      </c>
      <c r="E94" s="3" t="inlineStr">
        <is>
          <t>SpaceXAI</t>
        </is>
      </c>
      <c r="F94" s="17" t="n">
        <v>0.869565</v>
      </c>
      <c r="G94" s="17" t="n">
        <v>0.130435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0</v>
      </c>
      <c r="N94" s="17" t="n">
        <v>0</v>
      </c>
      <c r="O94" s="26" t="n">
        <v>1</v>
      </c>
      <c r="P94" s="3" t="inlineStr">
        <is>
          <t>epoch_chip_quantity_latest</t>
        </is>
      </c>
      <c r="Q94" s="3" t="inlineStr">
        <is>
          <t>SRC_EPOCH_AI_DATA_CENTERS; EPOCH_RAW_CHIP_QUANTITIES</t>
        </is>
      </c>
      <c r="R94" s="3" t="inlineStr">
        <is>
          <t>Latest chip quantity per chip type through year-end; normalized by unit count into benchmark buckets.</t>
        </is>
      </c>
    </row>
    <row r="95">
      <c r="A95" s="3" t="inlineStr">
        <is>
          <t>Bull|Colossus 1|2029</t>
        </is>
      </c>
      <c r="B95" s="3" t="inlineStr">
        <is>
          <t>Bull</t>
        </is>
      </c>
      <c r="C95" s="3" t="inlineStr">
        <is>
          <t>Colossus 1</t>
        </is>
      </c>
      <c r="D95" s="3" t="n">
        <v>2029</v>
      </c>
      <c r="E95" s="3" t="inlineStr">
        <is>
          <t>SpaceXAI</t>
        </is>
      </c>
      <c r="F95" s="17" t="n">
        <v>0.869565</v>
      </c>
      <c r="G95" s="17" t="n">
        <v>0.130435</v>
      </c>
      <c r="H95" s="17" t="n">
        <v>0</v>
      </c>
      <c r="I95" s="17" t="n">
        <v>0</v>
      </c>
      <c r="J95" s="17" t="n">
        <v>0</v>
      </c>
      <c r="K95" s="17" t="n">
        <v>0</v>
      </c>
      <c r="L95" s="17" t="n">
        <v>0</v>
      </c>
      <c r="M95" s="17" t="n">
        <v>0</v>
      </c>
      <c r="N95" s="17" t="n">
        <v>0</v>
      </c>
      <c r="O95" s="26" t="n">
        <v>1</v>
      </c>
      <c r="P95" s="3" t="inlineStr">
        <is>
          <t>epoch_chip_quantity_latest</t>
        </is>
      </c>
      <c r="Q95" s="3" t="inlineStr">
        <is>
          <t>SRC_EPOCH_AI_DATA_CENTERS; EPOCH_RAW_CHIP_QUANTITIES</t>
        </is>
      </c>
      <c r="R95" s="3" t="inlineStr">
        <is>
          <t>Latest chip quantity per chip type through year-end; normalized by unit count into benchmark buckets.</t>
        </is>
      </c>
    </row>
    <row r="96">
      <c r="A96" s="3" t="inlineStr">
        <is>
          <t>Bull|Colossus 1|2030</t>
        </is>
      </c>
      <c r="B96" s="3" t="inlineStr">
        <is>
          <t>Bull</t>
        </is>
      </c>
      <c r="C96" s="3" t="inlineStr">
        <is>
          <t>Colossus 1</t>
        </is>
      </c>
      <c r="D96" s="3" t="n">
        <v>2030</v>
      </c>
      <c r="E96" s="3" t="inlineStr">
        <is>
          <t>SpaceXAI</t>
        </is>
      </c>
      <c r="F96" s="17" t="n">
        <v>0.869565</v>
      </c>
      <c r="G96" s="17" t="n">
        <v>0.130435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26" t="n">
        <v>1</v>
      </c>
      <c r="P96" s="3" t="inlineStr">
        <is>
          <t>epoch_chip_quantity_latest</t>
        </is>
      </c>
      <c r="Q96" s="3" t="inlineStr">
        <is>
          <t>SRC_EPOCH_AI_DATA_CENTERS; EPOCH_RAW_CHIP_QUANTITIES</t>
        </is>
      </c>
      <c r="R96" s="3" t="inlineStr">
        <is>
          <t>Latest chip quantity per chip type through year-end; normalized by unit count into benchmark buckets.</t>
        </is>
      </c>
    </row>
    <row r="97">
      <c r="A97" s="3" t="inlineStr">
        <is>
          <t>Grid-Constrained / Efficiency-Upside|Colossus 1|2026</t>
        </is>
      </c>
      <c r="B97" s="3" t="inlineStr">
        <is>
          <t>Grid-Constrained / Efficiency-Upside</t>
        </is>
      </c>
      <c r="C97" s="3" t="inlineStr">
        <is>
          <t>Colossus 1</t>
        </is>
      </c>
      <c r="D97" s="3" t="n">
        <v>2026</v>
      </c>
      <c r="E97" s="3" t="inlineStr">
        <is>
          <t>SpaceXAI</t>
        </is>
      </c>
      <c r="F97" s="17" t="n">
        <v>0.869565</v>
      </c>
      <c r="G97" s="17" t="n">
        <v>0.130435</v>
      </c>
      <c r="H97" s="17" t="n">
        <v>0</v>
      </c>
      <c r="I97" s="17" t="n">
        <v>0</v>
      </c>
      <c r="J97" s="17" t="n">
        <v>0</v>
      </c>
      <c r="K97" s="17" t="n">
        <v>0</v>
      </c>
      <c r="L97" s="17" t="n">
        <v>0</v>
      </c>
      <c r="M97" s="17" t="n">
        <v>0</v>
      </c>
      <c r="N97" s="17" t="n">
        <v>0</v>
      </c>
      <c r="O97" s="26" t="n">
        <v>1</v>
      </c>
      <c r="P97" s="3" t="inlineStr">
        <is>
          <t>epoch_chip_quantity_latest</t>
        </is>
      </c>
      <c r="Q97" s="3" t="inlineStr">
        <is>
          <t>SRC_EPOCH_AI_DATA_CENTERS; EPOCH_RAW_CHIP_QUANTITIES</t>
        </is>
      </c>
      <c r="R97" s="3" t="inlineStr">
        <is>
          <t>Latest chip quantity per chip type through year-end; normalized by unit count into benchmark buckets.</t>
        </is>
      </c>
    </row>
    <row r="98">
      <c r="A98" s="3" t="inlineStr">
        <is>
          <t>Grid-Constrained / Efficiency-Upside|Colossus 1|2027</t>
        </is>
      </c>
      <c r="B98" s="3" t="inlineStr">
        <is>
          <t>Grid-Constrained / Efficiency-Upside</t>
        </is>
      </c>
      <c r="C98" s="3" t="inlineStr">
        <is>
          <t>Colossus 1</t>
        </is>
      </c>
      <c r="D98" s="3" t="n">
        <v>2027</v>
      </c>
      <c r="E98" s="3" t="inlineStr">
        <is>
          <t>SpaceXAI</t>
        </is>
      </c>
      <c r="F98" s="17" t="n">
        <v>0.869565</v>
      </c>
      <c r="G98" s="17" t="n">
        <v>0.130435</v>
      </c>
      <c r="H98" s="17" t="n">
        <v>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26" t="n">
        <v>1</v>
      </c>
      <c r="P98" s="3" t="inlineStr">
        <is>
          <t>epoch_chip_quantity_latest</t>
        </is>
      </c>
      <c r="Q98" s="3" t="inlineStr">
        <is>
          <t>SRC_EPOCH_AI_DATA_CENTERS; EPOCH_RAW_CHIP_QUANTITIES</t>
        </is>
      </c>
      <c r="R98" s="3" t="inlineStr">
        <is>
          <t>Latest chip quantity per chip type through year-end; normalized by unit count into benchmark buckets.</t>
        </is>
      </c>
    </row>
    <row r="99">
      <c r="A99" s="3" t="inlineStr">
        <is>
          <t>Grid-Constrained / Efficiency-Upside|Colossus 1|2028</t>
        </is>
      </c>
      <c r="B99" s="3" t="inlineStr">
        <is>
          <t>Grid-Constrained / Efficiency-Upside</t>
        </is>
      </c>
      <c r="C99" s="3" t="inlineStr">
        <is>
          <t>Colossus 1</t>
        </is>
      </c>
      <c r="D99" s="3" t="n">
        <v>2028</v>
      </c>
      <c r="E99" s="3" t="inlineStr">
        <is>
          <t>SpaceXAI</t>
        </is>
      </c>
      <c r="F99" s="17" t="n">
        <v>0.869565</v>
      </c>
      <c r="G99" s="17" t="n">
        <v>0.130435</v>
      </c>
      <c r="H99" s="17" t="n">
        <v>0</v>
      </c>
      <c r="I99" s="17" t="n">
        <v>0</v>
      </c>
      <c r="J99" s="17" t="n">
        <v>0</v>
      </c>
      <c r="K99" s="17" t="n">
        <v>0</v>
      </c>
      <c r="L99" s="17" t="n">
        <v>0</v>
      </c>
      <c r="M99" s="17" t="n">
        <v>0</v>
      </c>
      <c r="N99" s="17" t="n">
        <v>0</v>
      </c>
      <c r="O99" s="26" t="n">
        <v>1</v>
      </c>
      <c r="P99" s="3" t="inlineStr">
        <is>
          <t>epoch_chip_quantity_latest</t>
        </is>
      </c>
      <c r="Q99" s="3" t="inlineStr">
        <is>
          <t>SRC_EPOCH_AI_DATA_CENTERS; EPOCH_RAW_CHIP_QUANTITIES</t>
        </is>
      </c>
      <c r="R99" s="3" t="inlineStr">
        <is>
          <t>Latest chip quantity per chip type through year-end; normalized by unit count into benchmark buckets.</t>
        </is>
      </c>
    </row>
    <row r="100">
      <c r="A100" s="3" t="inlineStr">
        <is>
          <t>Grid-Constrained / Efficiency-Upside|Colossus 1|2029</t>
        </is>
      </c>
      <c r="B100" s="3" t="inlineStr">
        <is>
          <t>Grid-Constrained / Efficiency-Upside</t>
        </is>
      </c>
      <c r="C100" s="3" t="inlineStr">
        <is>
          <t>Colossus 1</t>
        </is>
      </c>
      <c r="D100" s="3" t="n">
        <v>2029</v>
      </c>
      <c r="E100" s="3" t="inlineStr">
        <is>
          <t>SpaceXAI</t>
        </is>
      </c>
      <c r="F100" s="17" t="n">
        <v>0.869565</v>
      </c>
      <c r="G100" s="17" t="n">
        <v>0.130435</v>
      </c>
      <c r="H100" s="17" t="n">
        <v>0</v>
      </c>
      <c r="I100" s="17" t="n">
        <v>0</v>
      </c>
      <c r="J100" s="17" t="n">
        <v>0</v>
      </c>
      <c r="K100" s="17" t="n">
        <v>0</v>
      </c>
      <c r="L100" s="17" t="n">
        <v>0</v>
      </c>
      <c r="M100" s="17" t="n">
        <v>0</v>
      </c>
      <c r="N100" s="17" t="n">
        <v>0</v>
      </c>
      <c r="O100" s="26" t="n">
        <v>1</v>
      </c>
      <c r="P100" s="3" t="inlineStr">
        <is>
          <t>epoch_chip_quantity_latest</t>
        </is>
      </c>
      <c r="Q100" s="3" t="inlineStr">
        <is>
          <t>SRC_EPOCH_AI_DATA_CENTERS; EPOCH_RAW_CHIP_QUANTITIES</t>
        </is>
      </c>
      <c r="R100" s="3" t="inlineStr">
        <is>
          <t>Latest chip quantity per chip type through year-end; normalized by unit count into benchmark buckets.</t>
        </is>
      </c>
    </row>
    <row r="101">
      <c r="A101" s="3" t="inlineStr">
        <is>
          <t>Grid-Constrained / Efficiency-Upside|Colossus 1|2030</t>
        </is>
      </c>
      <c r="B101" s="3" t="inlineStr">
        <is>
          <t>Grid-Constrained / Efficiency-Upside</t>
        </is>
      </c>
      <c r="C101" s="3" t="inlineStr">
        <is>
          <t>Colossus 1</t>
        </is>
      </c>
      <c r="D101" s="3" t="n">
        <v>2030</v>
      </c>
      <c r="E101" s="3" t="inlineStr">
        <is>
          <t>SpaceXAI</t>
        </is>
      </c>
      <c r="F101" s="17" t="n">
        <v>0.869565</v>
      </c>
      <c r="G101" s="17" t="n">
        <v>0.130435</v>
      </c>
      <c r="H101" s="17" t="n">
        <v>0</v>
      </c>
      <c r="I101" s="17" t="n">
        <v>0</v>
      </c>
      <c r="J101" s="17" t="n">
        <v>0</v>
      </c>
      <c r="K101" s="17" t="n">
        <v>0</v>
      </c>
      <c r="L101" s="17" t="n">
        <v>0</v>
      </c>
      <c r="M101" s="17" t="n">
        <v>0</v>
      </c>
      <c r="N101" s="17" t="n">
        <v>0</v>
      </c>
      <c r="O101" s="26" t="n">
        <v>1</v>
      </c>
      <c r="P101" s="3" t="inlineStr">
        <is>
          <t>epoch_chip_quantity_latest</t>
        </is>
      </c>
      <c r="Q101" s="3" t="inlineStr">
        <is>
          <t>SRC_EPOCH_AI_DATA_CENTERS; EPOCH_RAW_CHIP_QUANTITIES</t>
        </is>
      </c>
      <c r="R101" s="3" t="inlineStr">
        <is>
          <t>Latest chip quantity per chip type through year-end; normalized by unit count into benchmark buckets.</t>
        </is>
      </c>
    </row>
    <row r="102">
      <c r="A102" s="3" t="inlineStr">
        <is>
          <t>Bear|Colossus 2|2026</t>
        </is>
      </c>
      <c r="B102" s="3" t="inlineStr">
        <is>
          <t>Bear</t>
        </is>
      </c>
      <c r="C102" s="3" t="inlineStr">
        <is>
          <t>Colossus 2</t>
        </is>
      </c>
      <c r="D102" s="3" t="n">
        <v>2026</v>
      </c>
      <c r="E102" s="3" t="inlineStr">
        <is>
          <t>SpaceXAI</t>
        </is>
      </c>
      <c r="F102" s="17" t="n">
        <v>0</v>
      </c>
      <c r="G102" s="17" t="n">
        <v>1</v>
      </c>
      <c r="H102" s="17" t="n">
        <v>0</v>
      </c>
      <c r="I102" s="17" t="n">
        <v>0</v>
      </c>
      <c r="J102" s="17" t="n">
        <v>0</v>
      </c>
      <c r="K102" s="17" t="n">
        <v>0</v>
      </c>
      <c r="L102" s="17" t="n">
        <v>0</v>
      </c>
      <c r="M102" s="17" t="n">
        <v>0</v>
      </c>
      <c r="N102" s="17" t="n">
        <v>0</v>
      </c>
      <c r="O102" s="26" t="n">
        <v>1</v>
      </c>
      <c r="P102" s="3" t="inlineStr">
        <is>
          <t>epoch_chip_quantity_latest</t>
        </is>
      </c>
      <c r="Q102" s="3" t="inlineStr">
        <is>
          <t>SRC_EPOCH_AI_DATA_CENTERS; EPOCH_RAW_CHIP_QUANTITIES</t>
        </is>
      </c>
      <c r="R102" s="3" t="inlineStr">
        <is>
          <t>Latest chip quantity per chip type through year-end; normalized by unit count into benchmark buckets.</t>
        </is>
      </c>
    </row>
    <row r="103">
      <c r="A103" s="3" t="inlineStr">
        <is>
          <t>Bear|Colossus 2|2027</t>
        </is>
      </c>
      <c r="B103" s="3" t="inlineStr">
        <is>
          <t>Bear</t>
        </is>
      </c>
      <c r="C103" s="3" t="inlineStr">
        <is>
          <t>Colossus 2</t>
        </is>
      </c>
      <c r="D103" s="3" t="n">
        <v>2027</v>
      </c>
      <c r="E103" s="3" t="inlineStr">
        <is>
          <t>SpaceXAI</t>
        </is>
      </c>
      <c r="F103" s="17" t="n">
        <v>0</v>
      </c>
      <c r="G103" s="17" t="n">
        <v>1</v>
      </c>
      <c r="H103" s="17" t="n">
        <v>0</v>
      </c>
      <c r="I103" s="17" t="n">
        <v>0</v>
      </c>
      <c r="J103" s="17" t="n">
        <v>0</v>
      </c>
      <c r="K103" s="17" t="n">
        <v>0</v>
      </c>
      <c r="L103" s="17" t="n">
        <v>0</v>
      </c>
      <c r="M103" s="17" t="n">
        <v>0</v>
      </c>
      <c r="N103" s="17" t="n">
        <v>0</v>
      </c>
      <c r="O103" s="26" t="n">
        <v>1</v>
      </c>
      <c r="P103" s="3" t="inlineStr">
        <is>
          <t>epoch_chip_quantity_latest</t>
        </is>
      </c>
      <c r="Q103" s="3" t="inlineStr">
        <is>
          <t>SRC_EPOCH_AI_DATA_CENTERS; EPOCH_RAW_CHIP_QUANTITIES</t>
        </is>
      </c>
      <c r="R103" s="3" t="inlineStr">
        <is>
          <t>Latest chip quantity per chip type through year-end; normalized by unit count into benchmark buckets.</t>
        </is>
      </c>
    </row>
    <row r="104">
      <c r="A104" s="3" t="inlineStr">
        <is>
          <t>Bear|Colossus 2|2028</t>
        </is>
      </c>
      <c r="B104" s="3" t="inlineStr">
        <is>
          <t>Bear</t>
        </is>
      </c>
      <c r="C104" s="3" t="inlineStr">
        <is>
          <t>Colossus 2</t>
        </is>
      </c>
      <c r="D104" s="3" t="n">
        <v>2028</v>
      </c>
      <c r="E104" s="3" t="inlineStr">
        <is>
          <t>SpaceXAI</t>
        </is>
      </c>
      <c r="F104" s="17" t="n">
        <v>0</v>
      </c>
      <c r="G104" s="17" t="n">
        <v>1</v>
      </c>
      <c r="H104" s="17" t="n">
        <v>0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26" t="n">
        <v>1</v>
      </c>
      <c r="P104" s="3" t="inlineStr">
        <is>
          <t>epoch_chip_quantity_latest</t>
        </is>
      </c>
      <c r="Q104" s="3" t="inlineStr">
        <is>
          <t>SRC_EPOCH_AI_DATA_CENTERS; EPOCH_RAW_CHIP_QUANTITIES</t>
        </is>
      </c>
      <c r="R104" s="3" t="inlineStr">
        <is>
          <t>Latest chip quantity per chip type through year-end; normalized by unit count into benchmark buckets.</t>
        </is>
      </c>
    </row>
    <row r="105">
      <c r="A105" s="3" t="inlineStr">
        <is>
          <t>Bear|Colossus 2|2029</t>
        </is>
      </c>
      <c r="B105" s="3" t="inlineStr">
        <is>
          <t>Bear</t>
        </is>
      </c>
      <c r="C105" s="3" t="inlineStr">
        <is>
          <t>Colossus 2</t>
        </is>
      </c>
      <c r="D105" s="3" t="n">
        <v>2029</v>
      </c>
      <c r="E105" s="3" t="inlineStr">
        <is>
          <t>SpaceXAI</t>
        </is>
      </c>
      <c r="F105" s="17" t="n">
        <v>0</v>
      </c>
      <c r="G105" s="17" t="n">
        <v>1</v>
      </c>
      <c r="H105" s="17" t="n">
        <v>0</v>
      </c>
      <c r="I105" s="17" t="n">
        <v>0</v>
      </c>
      <c r="J105" s="17" t="n">
        <v>0</v>
      </c>
      <c r="K105" s="17" t="n">
        <v>0</v>
      </c>
      <c r="L105" s="17" t="n">
        <v>0</v>
      </c>
      <c r="M105" s="17" t="n">
        <v>0</v>
      </c>
      <c r="N105" s="17" t="n">
        <v>0</v>
      </c>
      <c r="O105" s="26" t="n">
        <v>1</v>
      </c>
      <c r="P105" s="3" t="inlineStr">
        <is>
          <t>epoch_chip_quantity_latest</t>
        </is>
      </c>
      <c r="Q105" s="3" t="inlineStr">
        <is>
          <t>SRC_EPOCH_AI_DATA_CENTERS; EPOCH_RAW_CHIP_QUANTITIES</t>
        </is>
      </c>
      <c r="R105" s="3" t="inlineStr">
        <is>
          <t>Latest chip quantity per chip type through year-end; normalized by unit count into benchmark buckets.</t>
        </is>
      </c>
    </row>
    <row r="106">
      <c r="A106" s="3" t="inlineStr">
        <is>
          <t>Bear|Colossus 2|2030</t>
        </is>
      </c>
      <c r="B106" s="3" t="inlineStr">
        <is>
          <t>Bear</t>
        </is>
      </c>
      <c r="C106" s="3" t="inlineStr">
        <is>
          <t>Colossus 2</t>
        </is>
      </c>
      <c r="D106" s="3" t="n">
        <v>2030</v>
      </c>
      <c r="E106" s="3" t="inlineStr">
        <is>
          <t>SpaceXAI</t>
        </is>
      </c>
      <c r="F106" s="17" t="n">
        <v>0</v>
      </c>
      <c r="G106" s="17" t="n">
        <v>1</v>
      </c>
      <c r="H106" s="17" t="n">
        <v>0</v>
      </c>
      <c r="I106" s="17" t="n">
        <v>0</v>
      </c>
      <c r="J106" s="17" t="n">
        <v>0</v>
      </c>
      <c r="K106" s="17" t="n">
        <v>0</v>
      </c>
      <c r="L106" s="17" t="n">
        <v>0</v>
      </c>
      <c r="M106" s="17" t="n">
        <v>0</v>
      </c>
      <c r="N106" s="17" t="n">
        <v>0</v>
      </c>
      <c r="O106" s="26" t="n">
        <v>1</v>
      </c>
      <c r="P106" s="3" t="inlineStr">
        <is>
          <t>epoch_chip_quantity_latest</t>
        </is>
      </c>
      <c r="Q106" s="3" t="inlineStr">
        <is>
          <t>SRC_EPOCH_AI_DATA_CENTERS; EPOCH_RAW_CHIP_QUANTITIES</t>
        </is>
      </c>
      <c r="R106" s="3" t="inlineStr">
        <is>
          <t>Latest chip quantity per chip type through year-end; normalized by unit count into benchmark buckets.</t>
        </is>
      </c>
    </row>
    <row r="107">
      <c r="A107" s="3" t="inlineStr">
        <is>
          <t>Base|Colossus 2|2026</t>
        </is>
      </c>
      <c r="B107" s="3" t="inlineStr">
        <is>
          <t>Base</t>
        </is>
      </c>
      <c r="C107" s="3" t="inlineStr">
        <is>
          <t>Colossus 2</t>
        </is>
      </c>
      <c r="D107" s="3" t="n">
        <v>2026</v>
      </c>
      <c r="E107" s="3" t="inlineStr">
        <is>
          <t>SpaceXAI</t>
        </is>
      </c>
      <c r="F107" s="17" t="n">
        <v>0</v>
      </c>
      <c r="G107" s="17" t="n">
        <v>1</v>
      </c>
      <c r="H107" s="17" t="n">
        <v>0</v>
      </c>
      <c r="I107" s="17" t="n">
        <v>0</v>
      </c>
      <c r="J107" s="17" t="n">
        <v>0</v>
      </c>
      <c r="K107" s="17" t="n">
        <v>0</v>
      </c>
      <c r="L107" s="17" t="n">
        <v>0</v>
      </c>
      <c r="M107" s="17" t="n">
        <v>0</v>
      </c>
      <c r="N107" s="17" t="n">
        <v>0</v>
      </c>
      <c r="O107" s="26" t="n">
        <v>1</v>
      </c>
      <c r="P107" s="3" t="inlineStr">
        <is>
          <t>epoch_chip_quantity_latest</t>
        </is>
      </c>
      <c r="Q107" s="3" t="inlineStr">
        <is>
          <t>SRC_EPOCH_AI_DATA_CENTERS; EPOCH_RAW_CHIP_QUANTITIES</t>
        </is>
      </c>
      <c r="R107" s="3" t="inlineStr">
        <is>
          <t>Latest chip quantity per chip type through year-end; normalized by unit count into benchmark buckets.</t>
        </is>
      </c>
    </row>
    <row r="108">
      <c r="A108" s="3" t="inlineStr">
        <is>
          <t>Base|Colossus 2|2027</t>
        </is>
      </c>
      <c r="B108" s="3" t="inlineStr">
        <is>
          <t>Base</t>
        </is>
      </c>
      <c r="C108" s="3" t="inlineStr">
        <is>
          <t>Colossus 2</t>
        </is>
      </c>
      <c r="D108" s="3" t="n">
        <v>2027</v>
      </c>
      <c r="E108" s="3" t="inlineStr">
        <is>
          <t>SpaceXAI</t>
        </is>
      </c>
      <c r="F108" s="17" t="n">
        <v>0</v>
      </c>
      <c r="G108" s="17" t="n">
        <v>1</v>
      </c>
      <c r="H108" s="17" t="n">
        <v>0</v>
      </c>
      <c r="I108" s="17" t="n">
        <v>0</v>
      </c>
      <c r="J108" s="17" t="n">
        <v>0</v>
      </c>
      <c r="K108" s="17" t="n">
        <v>0</v>
      </c>
      <c r="L108" s="17" t="n">
        <v>0</v>
      </c>
      <c r="M108" s="17" t="n">
        <v>0</v>
      </c>
      <c r="N108" s="17" t="n">
        <v>0</v>
      </c>
      <c r="O108" s="26" t="n">
        <v>1</v>
      </c>
      <c r="P108" s="3" t="inlineStr">
        <is>
          <t>epoch_chip_quantity_latest</t>
        </is>
      </c>
      <c r="Q108" s="3" t="inlineStr">
        <is>
          <t>SRC_EPOCH_AI_DATA_CENTERS; EPOCH_RAW_CHIP_QUANTITIES</t>
        </is>
      </c>
      <c r="R108" s="3" t="inlineStr">
        <is>
          <t>Latest chip quantity per chip type through year-end; normalized by unit count into benchmark buckets.</t>
        </is>
      </c>
    </row>
    <row r="109">
      <c r="A109" s="3" t="inlineStr">
        <is>
          <t>Base|Colossus 2|2028</t>
        </is>
      </c>
      <c r="B109" s="3" t="inlineStr">
        <is>
          <t>Base</t>
        </is>
      </c>
      <c r="C109" s="3" t="inlineStr">
        <is>
          <t>Colossus 2</t>
        </is>
      </c>
      <c r="D109" s="3" t="n">
        <v>2028</v>
      </c>
      <c r="E109" s="3" t="inlineStr">
        <is>
          <t>SpaceXAI</t>
        </is>
      </c>
      <c r="F109" s="17" t="n">
        <v>0</v>
      </c>
      <c r="G109" s="17" t="n">
        <v>1</v>
      </c>
      <c r="H109" s="17" t="n">
        <v>0</v>
      </c>
      <c r="I109" s="17" t="n">
        <v>0</v>
      </c>
      <c r="J109" s="17" t="n">
        <v>0</v>
      </c>
      <c r="K109" s="17" t="n">
        <v>0</v>
      </c>
      <c r="L109" s="17" t="n">
        <v>0</v>
      </c>
      <c r="M109" s="17" t="n">
        <v>0</v>
      </c>
      <c r="N109" s="17" t="n">
        <v>0</v>
      </c>
      <c r="O109" s="26" t="n">
        <v>1</v>
      </c>
      <c r="P109" s="3" t="inlineStr">
        <is>
          <t>epoch_chip_quantity_latest</t>
        </is>
      </c>
      <c r="Q109" s="3" t="inlineStr">
        <is>
          <t>SRC_EPOCH_AI_DATA_CENTERS; EPOCH_RAW_CHIP_QUANTITIES</t>
        </is>
      </c>
      <c r="R109" s="3" t="inlineStr">
        <is>
          <t>Latest chip quantity per chip type through year-end; normalized by unit count into benchmark buckets.</t>
        </is>
      </c>
    </row>
    <row r="110">
      <c r="A110" s="3" t="inlineStr">
        <is>
          <t>Base|Colossus 2|2029</t>
        </is>
      </c>
      <c r="B110" s="3" t="inlineStr">
        <is>
          <t>Base</t>
        </is>
      </c>
      <c r="C110" s="3" t="inlineStr">
        <is>
          <t>Colossus 2</t>
        </is>
      </c>
      <c r="D110" s="3" t="n">
        <v>2029</v>
      </c>
      <c r="E110" s="3" t="inlineStr">
        <is>
          <t>SpaceXAI</t>
        </is>
      </c>
      <c r="F110" s="17" t="n">
        <v>0</v>
      </c>
      <c r="G110" s="17" t="n">
        <v>1</v>
      </c>
      <c r="H110" s="17" t="n">
        <v>0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26" t="n">
        <v>1</v>
      </c>
      <c r="P110" s="3" t="inlineStr">
        <is>
          <t>epoch_chip_quantity_latest</t>
        </is>
      </c>
      <c r="Q110" s="3" t="inlineStr">
        <is>
          <t>SRC_EPOCH_AI_DATA_CENTERS; EPOCH_RAW_CHIP_QUANTITIES</t>
        </is>
      </c>
      <c r="R110" s="3" t="inlineStr">
        <is>
          <t>Latest chip quantity per chip type through year-end; normalized by unit count into benchmark buckets.</t>
        </is>
      </c>
    </row>
    <row r="111">
      <c r="A111" s="3" t="inlineStr">
        <is>
          <t>Base|Colossus 2|2030</t>
        </is>
      </c>
      <c r="B111" s="3" t="inlineStr">
        <is>
          <t>Base</t>
        </is>
      </c>
      <c r="C111" s="3" t="inlineStr">
        <is>
          <t>Colossus 2</t>
        </is>
      </c>
      <c r="D111" s="3" t="n">
        <v>2030</v>
      </c>
      <c r="E111" s="3" t="inlineStr">
        <is>
          <t>SpaceXAI</t>
        </is>
      </c>
      <c r="F111" s="17" t="n">
        <v>0</v>
      </c>
      <c r="G111" s="17" t="n">
        <v>1</v>
      </c>
      <c r="H111" s="17" t="n">
        <v>0</v>
      </c>
      <c r="I111" s="17" t="n">
        <v>0</v>
      </c>
      <c r="J111" s="17" t="n">
        <v>0</v>
      </c>
      <c r="K111" s="17" t="n">
        <v>0</v>
      </c>
      <c r="L111" s="17" t="n">
        <v>0</v>
      </c>
      <c r="M111" s="17" t="n">
        <v>0</v>
      </c>
      <c r="N111" s="17" t="n">
        <v>0</v>
      </c>
      <c r="O111" s="26" t="n">
        <v>1</v>
      </c>
      <c r="P111" s="3" t="inlineStr">
        <is>
          <t>epoch_chip_quantity_latest</t>
        </is>
      </c>
      <c r="Q111" s="3" t="inlineStr">
        <is>
          <t>SRC_EPOCH_AI_DATA_CENTERS; EPOCH_RAW_CHIP_QUANTITIES</t>
        </is>
      </c>
      <c r="R111" s="3" t="inlineStr">
        <is>
          <t>Latest chip quantity per chip type through year-end; normalized by unit count into benchmark buckets.</t>
        </is>
      </c>
    </row>
    <row r="112">
      <c r="A112" s="3" t="inlineStr">
        <is>
          <t>Bull|Colossus 2|2026</t>
        </is>
      </c>
      <c r="B112" s="3" t="inlineStr">
        <is>
          <t>Bull</t>
        </is>
      </c>
      <c r="C112" s="3" t="inlineStr">
        <is>
          <t>Colossus 2</t>
        </is>
      </c>
      <c r="D112" s="3" t="n">
        <v>2026</v>
      </c>
      <c r="E112" s="3" t="inlineStr">
        <is>
          <t>SpaceXAI</t>
        </is>
      </c>
      <c r="F112" s="17" t="n">
        <v>0</v>
      </c>
      <c r="G112" s="17" t="n">
        <v>1</v>
      </c>
      <c r="H112" s="17" t="n">
        <v>0</v>
      </c>
      <c r="I112" s="17" t="n">
        <v>0</v>
      </c>
      <c r="J112" s="17" t="n">
        <v>0</v>
      </c>
      <c r="K112" s="17" t="n">
        <v>0</v>
      </c>
      <c r="L112" s="17" t="n">
        <v>0</v>
      </c>
      <c r="M112" s="17" t="n">
        <v>0</v>
      </c>
      <c r="N112" s="17" t="n">
        <v>0</v>
      </c>
      <c r="O112" s="26" t="n">
        <v>1</v>
      </c>
      <c r="P112" s="3" t="inlineStr">
        <is>
          <t>epoch_chip_quantity_latest</t>
        </is>
      </c>
      <c r="Q112" s="3" t="inlineStr">
        <is>
          <t>SRC_EPOCH_AI_DATA_CENTERS; EPOCH_RAW_CHIP_QUANTITIES</t>
        </is>
      </c>
      <c r="R112" s="3" t="inlineStr">
        <is>
          <t>Latest chip quantity per chip type through year-end; normalized by unit count into benchmark buckets.</t>
        </is>
      </c>
    </row>
    <row r="113">
      <c r="A113" s="3" t="inlineStr">
        <is>
          <t>Bull|Colossus 2|2027</t>
        </is>
      </c>
      <c r="B113" s="3" t="inlineStr">
        <is>
          <t>Bull</t>
        </is>
      </c>
      <c r="C113" s="3" t="inlineStr">
        <is>
          <t>Colossus 2</t>
        </is>
      </c>
      <c r="D113" s="3" t="n">
        <v>2027</v>
      </c>
      <c r="E113" s="3" t="inlineStr">
        <is>
          <t>SpaceXAI</t>
        </is>
      </c>
      <c r="F113" s="17" t="n">
        <v>0</v>
      </c>
      <c r="G113" s="17" t="n">
        <v>1</v>
      </c>
      <c r="H113" s="17" t="n">
        <v>0</v>
      </c>
      <c r="I113" s="17" t="n">
        <v>0</v>
      </c>
      <c r="J113" s="17" t="n">
        <v>0</v>
      </c>
      <c r="K113" s="17" t="n">
        <v>0</v>
      </c>
      <c r="L113" s="17" t="n">
        <v>0</v>
      </c>
      <c r="M113" s="17" t="n">
        <v>0</v>
      </c>
      <c r="N113" s="17" t="n">
        <v>0</v>
      </c>
      <c r="O113" s="26" t="n">
        <v>1</v>
      </c>
      <c r="P113" s="3" t="inlineStr">
        <is>
          <t>epoch_chip_quantity_latest</t>
        </is>
      </c>
      <c r="Q113" s="3" t="inlineStr">
        <is>
          <t>SRC_EPOCH_AI_DATA_CENTERS; EPOCH_RAW_CHIP_QUANTITIES</t>
        </is>
      </c>
      <c r="R113" s="3" t="inlineStr">
        <is>
          <t>Latest chip quantity per chip type through year-end; normalized by unit count into benchmark buckets.</t>
        </is>
      </c>
    </row>
    <row r="114">
      <c r="A114" s="3" t="inlineStr">
        <is>
          <t>Bull|Colossus 2|2028</t>
        </is>
      </c>
      <c r="B114" s="3" t="inlineStr">
        <is>
          <t>Bull</t>
        </is>
      </c>
      <c r="C114" s="3" t="inlineStr">
        <is>
          <t>Colossus 2</t>
        </is>
      </c>
      <c r="D114" s="3" t="n">
        <v>2028</v>
      </c>
      <c r="E114" s="3" t="inlineStr">
        <is>
          <t>SpaceXAI</t>
        </is>
      </c>
      <c r="F114" s="17" t="n">
        <v>0</v>
      </c>
      <c r="G114" s="17" t="n">
        <v>1</v>
      </c>
      <c r="H114" s="17" t="n">
        <v>0</v>
      </c>
      <c r="I114" s="17" t="n">
        <v>0</v>
      </c>
      <c r="J114" s="17" t="n">
        <v>0</v>
      </c>
      <c r="K114" s="17" t="n">
        <v>0</v>
      </c>
      <c r="L114" s="17" t="n">
        <v>0</v>
      </c>
      <c r="M114" s="17" t="n">
        <v>0</v>
      </c>
      <c r="N114" s="17" t="n">
        <v>0</v>
      </c>
      <c r="O114" s="26" t="n">
        <v>1</v>
      </c>
      <c r="P114" s="3" t="inlineStr">
        <is>
          <t>epoch_chip_quantity_latest</t>
        </is>
      </c>
      <c r="Q114" s="3" t="inlineStr">
        <is>
          <t>SRC_EPOCH_AI_DATA_CENTERS; EPOCH_RAW_CHIP_QUANTITIES</t>
        </is>
      </c>
      <c r="R114" s="3" t="inlineStr">
        <is>
          <t>Latest chip quantity per chip type through year-end; normalized by unit count into benchmark buckets.</t>
        </is>
      </c>
    </row>
    <row r="115">
      <c r="A115" s="3" t="inlineStr">
        <is>
          <t>Bull|Colossus 2|2029</t>
        </is>
      </c>
      <c r="B115" s="3" t="inlineStr">
        <is>
          <t>Bull</t>
        </is>
      </c>
      <c r="C115" s="3" t="inlineStr">
        <is>
          <t>Colossus 2</t>
        </is>
      </c>
      <c r="D115" s="3" t="n">
        <v>2029</v>
      </c>
      <c r="E115" s="3" t="inlineStr">
        <is>
          <t>SpaceXAI</t>
        </is>
      </c>
      <c r="F115" s="17" t="n">
        <v>0</v>
      </c>
      <c r="G115" s="17" t="n">
        <v>1</v>
      </c>
      <c r="H115" s="17" t="n">
        <v>0</v>
      </c>
      <c r="I115" s="17" t="n">
        <v>0</v>
      </c>
      <c r="J115" s="17" t="n">
        <v>0</v>
      </c>
      <c r="K115" s="17" t="n">
        <v>0</v>
      </c>
      <c r="L115" s="17" t="n">
        <v>0</v>
      </c>
      <c r="M115" s="17" t="n">
        <v>0</v>
      </c>
      <c r="N115" s="17" t="n">
        <v>0</v>
      </c>
      <c r="O115" s="26" t="n">
        <v>1</v>
      </c>
      <c r="P115" s="3" t="inlineStr">
        <is>
          <t>epoch_chip_quantity_latest</t>
        </is>
      </c>
      <c r="Q115" s="3" t="inlineStr">
        <is>
          <t>SRC_EPOCH_AI_DATA_CENTERS; EPOCH_RAW_CHIP_QUANTITIES</t>
        </is>
      </c>
      <c r="R115" s="3" t="inlineStr">
        <is>
          <t>Latest chip quantity per chip type through year-end; normalized by unit count into benchmark buckets.</t>
        </is>
      </c>
    </row>
    <row r="116">
      <c r="A116" s="3" t="inlineStr">
        <is>
          <t>Bull|Colossus 2|2030</t>
        </is>
      </c>
      <c r="B116" s="3" t="inlineStr">
        <is>
          <t>Bull</t>
        </is>
      </c>
      <c r="C116" s="3" t="inlineStr">
        <is>
          <t>Colossus 2</t>
        </is>
      </c>
      <c r="D116" s="3" t="n">
        <v>2030</v>
      </c>
      <c r="E116" s="3" t="inlineStr">
        <is>
          <t>SpaceXAI</t>
        </is>
      </c>
      <c r="F116" s="17" t="n">
        <v>0</v>
      </c>
      <c r="G116" s="17" t="n">
        <v>1</v>
      </c>
      <c r="H116" s="17" t="n">
        <v>0</v>
      </c>
      <c r="I116" s="17" t="n">
        <v>0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26" t="n">
        <v>1</v>
      </c>
      <c r="P116" s="3" t="inlineStr">
        <is>
          <t>epoch_chip_quantity_latest</t>
        </is>
      </c>
      <c r="Q116" s="3" t="inlineStr">
        <is>
          <t>SRC_EPOCH_AI_DATA_CENTERS; EPOCH_RAW_CHIP_QUANTITIES</t>
        </is>
      </c>
      <c r="R116" s="3" t="inlineStr">
        <is>
          <t>Latest chip quantity per chip type through year-end; normalized by unit count into benchmark buckets.</t>
        </is>
      </c>
    </row>
    <row r="117">
      <c r="A117" s="3" t="inlineStr">
        <is>
          <t>Grid-Constrained / Efficiency-Upside|Colossus 2|2026</t>
        </is>
      </c>
      <c r="B117" s="3" t="inlineStr">
        <is>
          <t>Grid-Constrained / Efficiency-Upside</t>
        </is>
      </c>
      <c r="C117" s="3" t="inlineStr">
        <is>
          <t>Colossus 2</t>
        </is>
      </c>
      <c r="D117" s="3" t="n">
        <v>2026</v>
      </c>
      <c r="E117" s="3" t="inlineStr">
        <is>
          <t>SpaceXAI</t>
        </is>
      </c>
      <c r="F117" s="17" t="n">
        <v>0</v>
      </c>
      <c r="G117" s="17" t="n">
        <v>1</v>
      </c>
      <c r="H117" s="17" t="n">
        <v>0</v>
      </c>
      <c r="I117" s="17" t="n">
        <v>0</v>
      </c>
      <c r="J117" s="17" t="n">
        <v>0</v>
      </c>
      <c r="K117" s="17" t="n">
        <v>0</v>
      </c>
      <c r="L117" s="17" t="n">
        <v>0</v>
      </c>
      <c r="M117" s="17" t="n">
        <v>0</v>
      </c>
      <c r="N117" s="17" t="n">
        <v>0</v>
      </c>
      <c r="O117" s="26" t="n">
        <v>1</v>
      </c>
      <c r="P117" s="3" t="inlineStr">
        <is>
          <t>epoch_chip_quantity_latest</t>
        </is>
      </c>
      <c r="Q117" s="3" t="inlineStr">
        <is>
          <t>SRC_EPOCH_AI_DATA_CENTERS; EPOCH_RAW_CHIP_QUANTITIES</t>
        </is>
      </c>
      <c r="R117" s="3" t="inlineStr">
        <is>
          <t>Latest chip quantity per chip type through year-end; normalized by unit count into benchmark buckets.</t>
        </is>
      </c>
    </row>
    <row r="118">
      <c r="A118" s="3" t="inlineStr">
        <is>
          <t>Grid-Constrained / Efficiency-Upside|Colossus 2|2027</t>
        </is>
      </c>
      <c r="B118" s="3" t="inlineStr">
        <is>
          <t>Grid-Constrained / Efficiency-Upside</t>
        </is>
      </c>
      <c r="C118" s="3" t="inlineStr">
        <is>
          <t>Colossus 2</t>
        </is>
      </c>
      <c r="D118" s="3" t="n">
        <v>2027</v>
      </c>
      <c r="E118" s="3" t="inlineStr">
        <is>
          <t>SpaceXAI</t>
        </is>
      </c>
      <c r="F118" s="17" t="n">
        <v>0</v>
      </c>
      <c r="G118" s="17" t="n">
        <v>1</v>
      </c>
      <c r="H118" s="17" t="n">
        <v>0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26" t="n">
        <v>1</v>
      </c>
      <c r="P118" s="3" t="inlineStr">
        <is>
          <t>epoch_chip_quantity_latest</t>
        </is>
      </c>
      <c r="Q118" s="3" t="inlineStr">
        <is>
          <t>SRC_EPOCH_AI_DATA_CENTERS; EPOCH_RAW_CHIP_QUANTITIES</t>
        </is>
      </c>
      <c r="R118" s="3" t="inlineStr">
        <is>
          <t>Latest chip quantity per chip type through year-end; normalized by unit count into benchmark buckets.</t>
        </is>
      </c>
    </row>
    <row r="119">
      <c r="A119" s="3" t="inlineStr">
        <is>
          <t>Grid-Constrained / Efficiency-Upside|Colossus 2|2028</t>
        </is>
      </c>
      <c r="B119" s="3" t="inlineStr">
        <is>
          <t>Grid-Constrained / Efficiency-Upside</t>
        </is>
      </c>
      <c r="C119" s="3" t="inlineStr">
        <is>
          <t>Colossus 2</t>
        </is>
      </c>
      <c r="D119" s="3" t="n">
        <v>2028</v>
      </c>
      <c r="E119" s="3" t="inlineStr">
        <is>
          <t>SpaceXAI</t>
        </is>
      </c>
      <c r="F119" s="17" t="n">
        <v>0</v>
      </c>
      <c r="G119" s="17" t="n">
        <v>1</v>
      </c>
      <c r="H119" s="17" t="n">
        <v>0</v>
      </c>
      <c r="I119" s="17" t="n">
        <v>0</v>
      </c>
      <c r="J119" s="17" t="n">
        <v>0</v>
      </c>
      <c r="K119" s="17" t="n">
        <v>0</v>
      </c>
      <c r="L119" s="17" t="n">
        <v>0</v>
      </c>
      <c r="M119" s="17" t="n">
        <v>0</v>
      </c>
      <c r="N119" s="17" t="n">
        <v>0</v>
      </c>
      <c r="O119" s="26" t="n">
        <v>1</v>
      </c>
      <c r="P119" s="3" t="inlineStr">
        <is>
          <t>epoch_chip_quantity_latest</t>
        </is>
      </c>
      <c r="Q119" s="3" t="inlineStr">
        <is>
          <t>SRC_EPOCH_AI_DATA_CENTERS; EPOCH_RAW_CHIP_QUANTITIES</t>
        </is>
      </c>
      <c r="R119" s="3" t="inlineStr">
        <is>
          <t>Latest chip quantity per chip type through year-end; normalized by unit count into benchmark buckets.</t>
        </is>
      </c>
    </row>
    <row r="120">
      <c r="A120" s="3" t="inlineStr">
        <is>
          <t>Grid-Constrained / Efficiency-Upside|Colossus 2|2029</t>
        </is>
      </c>
      <c r="B120" s="3" t="inlineStr">
        <is>
          <t>Grid-Constrained / Efficiency-Upside</t>
        </is>
      </c>
      <c r="C120" s="3" t="inlineStr">
        <is>
          <t>Colossus 2</t>
        </is>
      </c>
      <c r="D120" s="3" t="n">
        <v>2029</v>
      </c>
      <c r="E120" s="3" t="inlineStr">
        <is>
          <t>SpaceXAI</t>
        </is>
      </c>
      <c r="F120" s="17" t="n">
        <v>0</v>
      </c>
      <c r="G120" s="17" t="n">
        <v>1</v>
      </c>
      <c r="H120" s="17" t="n">
        <v>0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26" t="n">
        <v>1</v>
      </c>
      <c r="P120" s="3" t="inlineStr">
        <is>
          <t>epoch_chip_quantity_latest</t>
        </is>
      </c>
      <c r="Q120" s="3" t="inlineStr">
        <is>
          <t>SRC_EPOCH_AI_DATA_CENTERS; EPOCH_RAW_CHIP_QUANTITIES</t>
        </is>
      </c>
      <c r="R120" s="3" t="inlineStr">
        <is>
          <t>Latest chip quantity per chip type through year-end; normalized by unit count into benchmark buckets.</t>
        </is>
      </c>
    </row>
    <row r="121">
      <c r="A121" s="3" t="inlineStr">
        <is>
          <t>Grid-Constrained / Efficiency-Upside|Colossus 2|2030</t>
        </is>
      </c>
      <c r="B121" s="3" t="inlineStr">
        <is>
          <t>Grid-Constrained / Efficiency-Upside</t>
        </is>
      </c>
      <c r="C121" s="3" t="inlineStr">
        <is>
          <t>Colossus 2</t>
        </is>
      </c>
      <c r="D121" s="3" t="n">
        <v>2030</v>
      </c>
      <c r="E121" s="3" t="inlineStr">
        <is>
          <t>SpaceXAI</t>
        </is>
      </c>
      <c r="F121" s="17" t="n">
        <v>0</v>
      </c>
      <c r="G121" s="17" t="n">
        <v>1</v>
      </c>
      <c r="H121" s="17" t="n">
        <v>0</v>
      </c>
      <c r="I121" s="17" t="n">
        <v>0</v>
      </c>
      <c r="J121" s="17" t="n">
        <v>0</v>
      </c>
      <c r="K121" s="17" t="n">
        <v>0</v>
      </c>
      <c r="L121" s="17" t="n">
        <v>0</v>
      </c>
      <c r="M121" s="17" t="n">
        <v>0</v>
      </c>
      <c r="N121" s="17" t="n">
        <v>0</v>
      </c>
      <c r="O121" s="26" t="n">
        <v>1</v>
      </c>
      <c r="P121" s="3" t="inlineStr">
        <is>
          <t>epoch_chip_quantity_latest</t>
        </is>
      </c>
      <c r="Q121" s="3" t="inlineStr">
        <is>
          <t>SRC_EPOCH_AI_DATA_CENTERS; EPOCH_RAW_CHIP_QUANTITIES</t>
        </is>
      </c>
      <c r="R121" s="3" t="inlineStr">
        <is>
          <t>Latest chip quantity per chip type through year-end; normalized by unit count into benchmark buckets.</t>
        </is>
      </c>
    </row>
    <row r="122">
      <c r="A122" s="3" t="inlineStr">
        <is>
          <t>Bear|Fluidstack Lake Mariner|2026</t>
        </is>
      </c>
      <c r="B122" s="3" t="inlineStr">
        <is>
          <t>Bear</t>
        </is>
      </c>
      <c r="C122" s="3" t="inlineStr">
        <is>
          <t>Fluidstack Lake Mariner</t>
        </is>
      </c>
      <c r="D122" s="3" t="n">
        <v>2026</v>
      </c>
      <c r="E122" s="3" t="inlineStr">
        <is>
          <t>Fluidstack</t>
        </is>
      </c>
      <c r="F122" s="17" t="n">
        <v>0</v>
      </c>
      <c r="G122" s="17" t="n">
        <v>0.531195</v>
      </c>
      <c r="H122" s="17" t="n">
        <v>0</v>
      </c>
      <c r="I122" s="17" t="n">
        <v>0</v>
      </c>
      <c r="J122" s="17" t="n">
        <v>0.468805</v>
      </c>
      <c r="K122" s="17" t="n">
        <v>0</v>
      </c>
      <c r="L122" s="17" t="n">
        <v>0</v>
      </c>
      <c r="M122" s="17" t="n">
        <v>0</v>
      </c>
      <c r="N122" s="17" t="n">
        <v>0</v>
      </c>
      <c r="O122" s="26" t="n">
        <v>1</v>
      </c>
      <c r="P122" s="3" t="inlineStr">
        <is>
          <t>epoch_chip_quantity_latest</t>
        </is>
      </c>
      <c r="Q122" s="3" t="inlineStr">
        <is>
          <t>SRC_EPOCH_AI_DATA_CENTERS; EPOCH_RAW_CHIP_QUANTITIES</t>
        </is>
      </c>
      <c r="R122" s="3" t="inlineStr">
        <is>
          <t>Latest chip quantity per chip type through year-end; normalized by unit count into benchmark buckets.</t>
        </is>
      </c>
    </row>
    <row r="123">
      <c r="A123" s="3" t="inlineStr">
        <is>
          <t>Bear|Fluidstack Lake Mariner|2027</t>
        </is>
      </c>
      <c r="B123" s="3" t="inlineStr">
        <is>
          <t>Bear</t>
        </is>
      </c>
      <c r="C123" s="3" t="inlineStr">
        <is>
          <t>Fluidstack Lake Mariner</t>
        </is>
      </c>
      <c r="D123" s="3" t="n">
        <v>2027</v>
      </c>
      <c r="E123" s="3" t="inlineStr">
        <is>
          <t>Fluidstack</t>
        </is>
      </c>
      <c r="F123" s="17" t="n">
        <v>0</v>
      </c>
      <c r="G123" s="17" t="n">
        <v>0.531195</v>
      </c>
      <c r="H123" s="17" t="n">
        <v>0</v>
      </c>
      <c r="I123" s="17" t="n">
        <v>0</v>
      </c>
      <c r="J123" s="17" t="n">
        <v>0.468805</v>
      </c>
      <c r="K123" s="17" t="n">
        <v>0</v>
      </c>
      <c r="L123" s="17" t="n">
        <v>0</v>
      </c>
      <c r="M123" s="17" t="n">
        <v>0</v>
      </c>
      <c r="N123" s="17" t="n">
        <v>0</v>
      </c>
      <c r="O123" s="26" t="n">
        <v>1</v>
      </c>
      <c r="P123" s="3" t="inlineStr">
        <is>
          <t>epoch_chip_quantity_latest</t>
        </is>
      </c>
      <c r="Q123" s="3" t="inlineStr">
        <is>
          <t>SRC_EPOCH_AI_DATA_CENTERS; EPOCH_RAW_CHIP_QUANTITIES</t>
        </is>
      </c>
      <c r="R123" s="3" t="inlineStr">
        <is>
          <t>Latest chip quantity per chip type through year-end; normalized by unit count into benchmark buckets.</t>
        </is>
      </c>
    </row>
    <row r="124">
      <c r="A124" s="3" t="inlineStr">
        <is>
          <t>Bear|Fluidstack Lake Mariner|2028</t>
        </is>
      </c>
      <c r="B124" s="3" t="inlineStr">
        <is>
          <t>Bear</t>
        </is>
      </c>
      <c r="C124" s="3" t="inlineStr">
        <is>
          <t>Fluidstack Lake Mariner</t>
        </is>
      </c>
      <c r="D124" s="3" t="n">
        <v>2028</v>
      </c>
      <c r="E124" s="3" t="inlineStr">
        <is>
          <t>Fluidstack</t>
        </is>
      </c>
      <c r="F124" s="17" t="n">
        <v>0</v>
      </c>
      <c r="G124" s="17" t="n">
        <v>0.531195</v>
      </c>
      <c r="H124" s="17" t="n">
        <v>0</v>
      </c>
      <c r="I124" s="17" t="n">
        <v>0</v>
      </c>
      <c r="J124" s="17" t="n">
        <v>0.468805</v>
      </c>
      <c r="K124" s="17" t="n">
        <v>0</v>
      </c>
      <c r="L124" s="17" t="n">
        <v>0</v>
      </c>
      <c r="M124" s="17" t="n">
        <v>0</v>
      </c>
      <c r="N124" s="17" t="n">
        <v>0</v>
      </c>
      <c r="O124" s="26" t="n">
        <v>1</v>
      </c>
      <c r="P124" s="3" t="inlineStr">
        <is>
          <t>epoch_chip_quantity_latest</t>
        </is>
      </c>
      <c r="Q124" s="3" t="inlineStr">
        <is>
          <t>SRC_EPOCH_AI_DATA_CENTERS; EPOCH_RAW_CHIP_QUANTITIES</t>
        </is>
      </c>
      <c r="R124" s="3" t="inlineStr">
        <is>
          <t>Latest chip quantity per chip type through year-end; normalized by unit count into benchmark buckets.</t>
        </is>
      </c>
    </row>
    <row r="125">
      <c r="A125" s="3" t="inlineStr">
        <is>
          <t>Bear|Fluidstack Lake Mariner|2029</t>
        </is>
      </c>
      <c r="B125" s="3" t="inlineStr">
        <is>
          <t>Bear</t>
        </is>
      </c>
      <c r="C125" s="3" t="inlineStr">
        <is>
          <t>Fluidstack Lake Mariner</t>
        </is>
      </c>
      <c r="D125" s="3" t="n">
        <v>2029</v>
      </c>
      <c r="E125" s="3" t="inlineStr">
        <is>
          <t>Fluidstack</t>
        </is>
      </c>
      <c r="F125" s="17" t="n">
        <v>0</v>
      </c>
      <c r="G125" s="17" t="n">
        <v>0.531195</v>
      </c>
      <c r="H125" s="17" t="n">
        <v>0</v>
      </c>
      <c r="I125" s="17" t="n">
        <v>0</v>
      </c>
      <c r="J125" s="17" t="n">
        <v>0.468805</v>
      </c>
      <c r="K125" s="17" t="n">
        <v>0</v>
      </c>
      <c r="L125" s="17" t="n">
        <v>0</v>
      </c>
      <c r="M125" s="17" t="n">
        <v>0</v>
      </c>
      <c r="N125" s="17" t="n">
        <v>0</v>
      </c>
      <c r="O125" s="26" t="n">
        <v>1</v>
      </c>
      <c r="P125" s="3" t="inlineStr">
        <is>
          <t>epoch_chip_quantity_latest</t>
        </is>
      </c>
      <c r="Q125" s="3" t="inlineStr">
        <is>
          <t>SRC_EPOCH_AI_DATA_CENTERS; EPOCH_RAW_CHIP_QUANTITIES</t>
        </is>
      </c>
      <c r="R125" s="3" t="inlineStr">
        <is>
          <t>Latest chip quantity per chip type through year-end; normalized by unit count into benchmark buckets.</t>
        </is>
      </c>
    </row>
    <row r="126">
      <c r="A126" s="3" t="inlineStr">
        <is>
          <t>Bear|Fluidstack Lake Mariner|2030</t>
        </is>
      </c>
      <c r="B126" s="3" t="inlineStr">
        <is>
          <t>Bear</t>
        </is>
      </c>
      <c r="C126" s="3" t="inlineStr">
        <is>
          <t>Fluidstack Lake Mariner</t>
        </is>
      </c>
      <c r="D126" s="3" t="n">
        <v>2030</v>
      </c>
      <c r="E126" s="3" t="inlineStr">
        <is>
          <t>Fluidstack</t>
        </is>
      </c>
      <c r="F126" s="17" t="n">
        <v>0</v>
      </c>
      <c r="G126" s="17" t="n">
        <v>0.531195</v>
      </c>
      <c r="H126" s="17" t="n">
        <v>0</v>
      </c>
      <c r="I126" s="17" t="n">
        <v>0</v>
      </c>
      <c r="J126" s="17" t="n">
        <v>0.468805</v>
      </c>
      <c r="K126" s="17" t="n">
        <v>0</v>
      </c>
      <c r="L126" s="17" t="n">
        <v>0</v>
      </c>
      <c r="M126" s="17" t="n">
        <v>0</v>
      </c>
      <c r="N126" s="17" t="n">
        <v>0</v>
      </c>
      <c r="O126" s="26" t="n">
        <v>1</v>
      </c>
      <c r="P126" s="3" t="inlineStr">
        <is>
          <t>epoch_chip_quantity_latest</t>
        </is>
      </c>
      <c r="Q126" s="3" t="inlineStr">
        <is>
          <t>SRC_EPOCH_AI_DATA_CENTERS; EPOCH_RAW_CHIP_QUANTITIES</t>
        </is>
      </c>
      <c r="R126" s="3" t="inlineStr">
        <is>
          <t>Latest chip quantity per chip type through year-end; normalized by unit count into benchmark buckets.</t>
        </is>
      </c>
    </row>
    <row r="127">
      <c r="A127" s="3" t="inlineStr">
        <is>
          <t>Base|Fluidstack Lake Mariner|2026</t>
        </is>
      </c>
      <c r="B127" s="3" t="inlineStr">
        <is>
          <t>Base</t>
        </is>
      </c>
      <c r="C127" s="3" t="inlineStr">
        <is>
          <t>Fluidstack Lake Mariner</t>
        </is>
      </c>
      <c r="D127" s="3" t="n">
        <v>2026</v>
      </c>
      <c r="E127" s="3" t="inlineStr">
        <is>
          <t>Fluidstack</t>
        </is>
      </c>
      <c r="F127" s="17" t="n">
        <v>0</v>
      </c>
      <c r="G127" s="17" t="n">
        <v>0.531195</v>
      </c>
      <c r="H127" s="17" t="n">
        <v>0</v>
      </c>
      <c r="I127" s="17" t="n">
        <v>0</v>
      </c>
      <c r="J127" s="17" t="n">
        <v>0.468805</v>
      </c>
      <c r="K127" s="17" t="n">
        <v>0</v>
      </c>
      <c r="L127" s="17" t="n">
        <v>0</v>
      </c>
      <c r="M127" s="17" t="n">
        <v>0</v>
      </c>
      <c r="N127" s="17" t="n">
        <v>0</v>
      </c>
      <c r="O127" s="26" t="n">
        <v>1</v>
      </c>
      <c r="P127" s="3" t="inlineStr">
        <is>
          <t>epoch_chip_quantity_latest</t>
        </is>
      </c>
      <c r="Q127" s="3" t="inlineStr">
        <is>
          <t>SRC_EPOCH_AI_DATA_CENTERS; EPOCH_RAW_CHIP_QUANTITIES</t>
        </is>
      </c>
      <c r="R127" s="3" t="inlineStr">
        <is>
          <t>Latest chip quantity per chip type through year-end; normalized by unit count into benchmark buckets.</t>
        </is>
      </c>
    </row>
    <row r="128">
      <c r="A128" s="3" t="inlineStr">
        <is>
          <t>Base|Fluidstack Lake Mariner|2027</t>
        </is>
      </c>
      <c r="B128" s="3" t="inlineStr">
        <is>
          <t>Base</t>
        </is>
      </c>
      <c r="C128" s="3" t="inlineStr">
        <is>
          <t>Fluidstack Lake Mariner</t>
        </is>
      </c>
      <c r="D128" s="3" t="n">
        <v>2027</v>
      </c>
      <c r="E128" s="3" t="inlineStr">
        <is>
          <t>Fluidstack</t>
        </is>
      </c>
      <c r="F128" s="17" t="n">
        <v>0</v>
      </c>
      <c r="G128" s="17" t="n">
        <v>0.531195</v>
      </c>
      <c r="H128" s="17" t="n">
        <v>0</v>
      </c>
      <c r="I128" s="17" t="n">
        <v>0</v>
      </c>
      <c r="J128" s="17" t="n">
        <v>0.468805</v>
      </c>
      <c r="K128" s="17" t="n">
        <v>0</v>
      </c>
      <c r="L128" s="17" t="n">
        <v>0</v>
      </c>
      <c r="M128" s="17" t="n">
        <v>0</v>
      </c>
      <c r="N128" s="17" t="n">
        <v>0</v>
      </c>
      <c r="O128" s="26" t="n">
        <v>1</v>
      </c>
      <c r="P128" s="3" t="inlineStr">
        <is>
          <t>epoch_chip_quantity_latest</t>
        </is>
      </c>
      <c r="Q128" s="3" t="inlineStr">
        <is>
          <t>SRC_EPOCH_AI_DATA_CENTERS; EPOCH_RAW_CHIP_QUANTITIES</t>
        </is>
      </c>
      <c r="R128" s="3" t="inlineStr">
        <is>
          <t>Latest chip quantity per chip type through year-end; normalized by unit count into benchmark buckets.</t>
        </is>
      </c>
    </row>
    <row r="129">
      <c r="A129" s="3" t="inlineStr">
        <is>
          <t>Base|Fluidstack Lake Mariner|2028</t>
        </is>
      </c>
      <c r="B129" s="3" t="inlineStr">
        <is>
          <t>Base</t>
        </is>
      </c>
      <c r="C129" s="3" t="inlineStr">
        <is>
          <t>Fluidstack Lake Mariner</t>
        </is>
      </c>
      <c r="D129" s="3" t="n">
        <v>2028</v>
      </c>
      <c r="E129" s="3" t="inlineStr">
        <is>
          <t>Fluidstack</t>
        </is>
      </c>
      <c r="F129" s="17" t="n">
        <v>0</v>
      </c>
      <c r="G129" s="17" t="n">
        <v>0.531195</v>
      </c>
      <c r="H129" s="17" t="n">
        <v>0</v>
      </c>
      <c r="I129" s="17" t="n">
        <v>0</v>
      </c>
      <c r="J129" s="17" t="n">
        <v>0.468805</v>
      </c>
      <c r="K129" s="17" t="n">
        <v>0</v>
      </c>
      <c r="L129" s="17" t="n">
        <v>0</v>
      </c>
      <c r="M129" s="17" t="n">
        <v>0</v>
      </c>
      <c r="N129" s="17" t="n">
        <v>0</v>
      </c>
      <c r="O129" s="26" t="n">
        <v>1</v>
      </c>
      <c r="P129" s="3" t="inlineStr">
        <is>
          <t>epoch_chip_quantity_latest</t>
        </is>
      </c>
      <c r="Q129" s="3" t="inlineStr">
        <is>
          <t>SRC_EPOCH_AI_DATA_CENTERS; EPOCH_RAW_CHIP_QUANTITIES</t>
        </is>
      </c>
      <c r="R129" s="3" t="inlineStr">
        <is>
          <t>Latest chip quantity per chip type through year-end; normalized by unit count into benchmark buckets.</t>
        </is>
      </c>
    </row>
    <row r="130">
      <c r="A130" s="3" t="inlineStr">
        <is>
          <t>Base|Fluidstack Lake Mariner|2029</t>
        </is>
      </c>
      <c r="B130" s="3" t="inlineStr">
        <is>
          <t>Base</t>
        </is>
      </c>
      <c r="C130" s="3" t="inlineStr">
        <is>
          <t>Fluidstack Lake Mariner</t>
        </is>
      </c>
      <c r="D130" s="3" t="n">
        <v>2029</v>
      </c>
      <c r="E130" s="3" t="inlineStr">
        <is>
          <t>Fluidstack</t>
        </is>
      </c>
      <c r="F130" s="17" t="n">
        <v>0</v>
      </c>
      <c r="G130" s="17" t="n">
        <v>0.531195</v>
      </c>
      <c r="H130" s="17" t="n">
        <v>0</v>
      </c>
      <c r="I130" s="17" t="n">
        <v>0</v>
      </c>
      <c r="J130" s="17" t="n">
        <v>0.468805</v>
      </c>
      <c r="K130" s="17" t="n">
        <v>0</v>
      </c>
      <c r="L130" s="17" t="n">
        <v>0</v>
      </c>
      <c r="M130" s="17" t="n">
        <v>0</v>
      </c>
      <c r="N130" s="17" t="n">
        <v>0</v>
      </c>
      <c r="O130" s="26" t="n">
        <v>1</v>
      </c>
      <c r="P130" s="3" t="inlineStr">
        <is>
          <t>epoch_chip_quantity_latest</t>
        </is>
      </c>
      <c r="Q130" s="3" t="inlineStr">
        <is>
          <t>SRC_EPOCH_AI_DATA_CENTERS; EPOCH_RAW_CHIP_QUANTITIES</t>
        </is>
      </c>
      <c r="R130" s="3" t="inlineStr">
        <is>
          <t>Latest chip quantity per chip type through year-end; normalized by unit count into benchmark buckets.</t>
        </is>
      </c>
    </row>
    <row r="131">
      <c r="A131" s="3" t="inlineStr">
        <is>
          <t>Base|Fluidstack Lake Mariner|2030</t>
        </is>
      </c>
      <c r="B131" s="3" t="inlineStr">
        <is>
          <t>Base</t>
        </is>
      </c>
      <c r="C131" s="3" t="inlineStr">
        <is>
          <t>Fluidstack Lake Mariner</t>
        </is>
      </c>
      <c r="D131" s="3" t="n">
        <v>2030</v>
      </c>
      <c r="E131" s="3" t="inlineStr">
        <is>
          <t>Fluidstack</t>
        </is>
      </c>
      <c r="F131" s="17" t="n">
        <v>0</v>
      </c>
      <c r="G131" s="17" t="n">
        <v>0.531195</v>
      </c>
      <c r="H131" s="17" t="n">
        <v>0</v>
      </c>
      <c r="I131" s="17" t="n">
        <v>0</v>
      </c>
      <c r="J131" s="17" t="n">
        <v>0.468805</v>
      </c>
      <c r="K131" s="17" t="n">
        <v>0</v>
      </c>
      <c r="L131" s="17" t="n">
        <v>0</v>
      </c>
      <c r="M131" s="17" t="n">
        <v>0</v>
      </c>
      <c r="N131" s="17" t="n">
        <v>0</v>
      </c>
      <c r="O131" s="26" t="n">
        <v>1</v>
      </c>
      <c r="P131" s="3" t="inlineStr">
        <is>
          <t>epoch_chip_quantity_latest</t>
        </is>
      </c>
      <c r="Q131" s="3" t="inlineStr">
        <is>
          <t>SRC_EPOCH_AI_DATA_CENTERS; EPOCH_RAW_CHIP_QUANTITIES</t>
        </is>
      </c>
      <c r="R131" s="3" t="inlineStr">
        <is>
          <t>Latest chip quantity per chip type through year-end; normalized by unit count into benchmark buckets.</t>
        </is>
      </c>
    </row>
    <row r="132">
      <c r="A132" s="3" t="inlineStr">
        <is>
          <t>Bull|Fluidstack Lake Mariner|2026</t>
        </is>
      </c>
      <c r="B132" s="3" t="inlineStr">
        <is>
          <t>Bull</t>
        </is>
      </c>
      <c r="C132" s="3" t="inlineStr">
        <is>
          <t>Fluidstack Lake Mariner</t>
        </is>
      </c>
      <c r="D132" s="3" t="n">
        <v>2026</v>
      </c>
      <c r="E132" s="3" t="inlineStr">
        <is>
          <t>Fluidstack</t>
        </is>
      </c>
      <c r="F132" s="17" t="n">
        <v>0</v>
      </c>
      <c r="G132" s="17" t="n">
        <v>0.531195</v>
      </c>
      <c r="H132" s="17" t="n">
        <v>0</v>
      </c>
      <c r="I132" s="17" t="n">
        <v>0</v>
      </c>
      <c r="J132" s="17" t="n">
        <v>0.468805</v>
      </c>
      <c r="K132" s="17" t="n">
        <v>0</v>
      </c>
      <c r="L132" s="17" t="n">
        <v>0</v>
      </c>
      <c r="M132" s="17" t="n">
        <v>0</v>
      </c>
      <c r="N132" s="17" t="n">
        <v>0</v>
      </c>
      <c r="O132" s="26" t="n">
        <v>1</v>
      </c>
      <c r="P132" s="3" t="inlineStr">
        <is>
          <t>epoch_chip_quantity_latest</t>
        </is>
      </c>
      <c r="Q132" s="3" t="inlineStr">
        <is>
          <t>SRC_EPOCH_AI_DATA_CENTERS; EPOCH_RAW_CHIP_QUANTITIES</t>
        </is>
      </c>
      <c r="R132" s="3" t="inlineStr">
        <is>
          <t>Latest chip quantity per chip type through year-end; normalized by unit count into benchmark buckets.</t>
        </is>
      </c>
    </row>
    <row r="133">
      <c r="A133" s="3" t="inlineStr">
        <is>
          <t>Bull|Fluidstack Lake Mariner|2027</t>
        </is>
      </c>
      <c r="B133" s="3" t="inlineStr">
        <is>
          <t>Bull</t>
        </is>
      </c>
      <c r="C133" s="3" t="inlineStr">
        <is>
          <t>Fluidstack Lake Mariner</t>
        </is>
      </c>
      <c r="D133" s="3" t="n">
        <v>2027</v>
      </c>
      <c r="E133" s="3" t="inlineStr">
        <is>
          <t>Fluidstack</t>
        </is>
      </c>
      <c r="F133" s="17" t="n">
        <v>0</v>
      </c>
      <c r="G133" s="17" t="n">
        <v>0.531195</v>
      </c>
      <c r="H133" s="17" t="n">
        <v>0</v>
      </c>
      <c r="I133" s="17" t="n">
        <v>0</v>
      </c>
      <c r="J133" s="17" t="n">
        <v>0.468805</v>
      </c>
      <c r="K133" s="17" t="n">
        <v>0</v>
      </c>
      <c r="L133" s="17" t="n">
        <v>0</v>
      </c>
      <c r="M133" s="17" t="n">
        <v>0</v>
      </c>
      <c r="N133" s="17" t="n">
        <v>0</v>
      </c>
      <c r="O133" s="26" t="n">
        <v>1</v>
      </c>
      <c r="P133" s="3" t="inlineStr">
        <is>
          <t>epoch_chip_quantity_latest</t>
        </is>
      </c>
      <c r="Q133" s="3" t="inlineStr">
        <is>
          <t>SRC_EPOCH_AI_DATA_CENTERS; EPOCH_RAW_CHIP_QUANTITIES</t>
        </is>
      </c>
      <c r="R133" s="3" t="inlineStr">
        <is>
          <t>Latest chip quantity per chip type through year-end; normalized by unit count into benchmark buckets.</t>
        </is>
      </c>
    </row>
    <row r="134">
      <c r="A134" s="3" t="inlineStr">
        <is>
          <t>Bull|Fluidstack Lake Mariner|2028</t>
        </is>
      </c>
      <c r="B134" s="3" t="inlineStr">
        <is>
          <t>Bull</t>
        </is>
      </c>
      <c r="C134" s="3" t="inlineStr">
        <is>
          <t>Fluidstack Lake Mariner</t>
        </is>
      </c>
      <c r="D134" s="3" t="n">
        <v>2028</v>
      </c>
      <c r="E134" s="3" t="inlineStr">
        <is>
          <t>Fluidstack</t>
        </is>
      </c>
      <c r="F134" s="17" t="n">
        <v>0</v>
      </c>
      <c r="G134" s="17" t="n">
        <v>0.531195</v>
      </c>
      <c r="H134" s="17" t="n">
        <v>0</v>
      </c>
      <c r="I134" s="17" t="n">
        <v>0</v>
      </c>
      <c r="J134" s="17" t="n">
        <v>0.468805</v>
      </c>
      <c r="K134" s="17" t="n">
        <v>0</v>
      </c>
      <c r="L134" s="17" t="n">
        <v>0</v>
      </c>
      <c r="M134" s="17" t="n">
        <v>0</v>
      </c>
      <c r="N134" s="17" t="n">
        <v>0</v>
      </c>
      <c r="O134" s="26" t="n">
        <v>1</v>
      </c>
      <c r="P134" s="3" t="inlineStr">
        <is>
          <t>epoch_chip_quantity_latest</t>
        </is>
      </c>
      <c r="Q134" s="3" t="inlineStr">
        <is>
          <t>SRC_EPOCH_AI_DATA_CENTERS; EPOCH_RAW_CHIP_QUANTITIES</t>
        </is>
      </c>
      <c r="R134" s="3" t="inlineStr">
        <is>
          <t>Latest chip quantity per chip type through year-end; normalized by unit count into benchmark buckets.</t>
        </is>
      </c>
    </row>
    <row r="135">
      <c r="A135" s="3" t="inlineStr">
        <is>
          <t>Bull|Fluidstack Lake Mariner|2029</t>
        </is>
      </c>
      <c r="B135" s="3" t="inlineStr">
        <is>
          <t>Bull</t>
        </is>
      </c>
      <c r="C135" s="3" t="inlineStr">
        <is>
          <t>Fluidstack Lake Mariner</t>
        </is>
      </c>
      <c r="D135" s="3" t="n">
        <v>2029</v>
      </c>
      <c r="E135" s="3" t="inlineStr">
        <is>
          <t>Fluidstack</t>
        </is>
      </c>
      <c r="F135" s="17" t="n">
        <v>0</v>
      </c>
      <c r="G135" s="17" t="n">
        <v>0.531195</v>
      </c>
      <c r="H135" s="17" t="n">
        <v>0</v>
      </c>
      <c r="I135" s="17" t="n">
        <v>0</v>
      </c>
      <c r="J135" s="17" t="n">
        <v>0.468805</v>
      </c>
      <c r="K135" s="17" t="n">
        <v>0</v>
      </c>
      <c r="L135" s="17" t="n">
        <v>0</v>
      </c>
      <c r="M135" s="17" t="n">
        <v>0</v>
      </c>
      <c r="N135" s="17" t="n">
        <v>0</v>
      </c>
      <c r="O135" s="26" t="n">
        <v>1</v>
      </c>
      <c r="P135" s="3" t="inlineStr">
        <is>
          <t>epoch_chip_quantity_latest</t>
        </is>
      </c>
      <c r="Q135" s="3" t="inlineStr">
        <is>
          <t>SRC_EPOCH_AI_DATA_CENTERS; EPOCH_RAW_CHIP_QUANTITIES</t>
        </is>
      </c>
      <c r="R135" s="3" t="inlineStr">
        <is>
          <t>Latest chip quantity per chip type through year-end; normalized by unit count into benchmark buckets.</t>
        </is>
      </c>
    </row>
    <row r="136">
      <c r="A136" s="3" t="inlineStr">
        <is>
          <t>Bull|Fluidstack Lake Mariner|2030</t>
        </is>
      </c>
      <c r="B136" s="3" t="inlineStr">
        <is>
          <t>Bull</t>
        </is>
      </c>
      <c r="C136" s="3" t="inlineStr">
        <is>
          <t>Fluidstack Lake Mariner</t>
        </is>
      </c>
      <c r="D136" s="3" t="n">
        <v>2030</v>
      </c>
      <c r="E136" s="3" t="inlineStr">
        <is>
          <t>Fluidstack</t>
        </is>
      </c>
      <c r="F136" s="17" t="n">
        <v>0</v>
      </c>
      <c r="G136" s="17" t="n">
        <v>0.531195</v>
      </c>
      <c r="H136" s="17" t="n">
        <v>0</v>
      </c>
      <c r="I136" s="17" t="n">
        <v>0</v>
      </c>
      <c r="J136" s="17" t="n">
        <v>0.468805</v>
      </c>
      <c r="K136" s="17" t="n">
        <v>0</v>
      </c>
      <c r="L136" s="17" t="n">
        <v>0</v>
      </c>
      <c r="M136" s="17" t="n">
        <v>0</v>
      </c>
      <c r="N136" s="17" t="n">
        <v>0</v>
      </c>
      <c r="O136" s="26" t="n">
        <v>1</v>
      </c>
      <c r="P136" s="3" t="inlineStr">
        <is>
          <t>epoch_chip_quantity_latest</t>
        </is>
      </c>
      <c r="Q136" s="3" t="inlineStr">
        <is>
          <t>SRC_EPOCH_AI_DATA_CENTERS; EPOCH_RAW_CHIP_QUANTITIES</t>
        </is>
      </c>
      <c r="R136" s="3" t="inlineStr">
        <is>
          <t>Latest chip quantity per chip type through year-end; normalized by unit count into benchmark buckets.</t>
        </is>
      </c>
    </row>
    <row r="137">
      <c r="A137" s="3" t="inlineStr">
        <is>
          <t>Grid-Constrained / Efficiency-Upside|Fluidstack Lake Mariner|2026</t>
        </is>
      </c>
      <c r="B137" s="3" t="inlineStr">
        <is>
          <t>Grid-Constrained / Efficiency-Upside</t>
        </is>
      </c>
      <c r="C137" s="3" t="inlineStr">
        <is>
          <t>Fluidstack Lake Mariner</t>
        </is>
      </c>
      <c r="D137" s="3" t="n">
        <v>2026</v>
      </c>
      <c r="E137" s="3" t="inlineStr">
        <is>
          <t>Fluidstack</t>
        </is>
      </c>
      <c r="F137" s="17" t="n">
        <v>0</v>
      </c>
      <c r="G137" s="17" t="n">
        <v>0.531195</v>
      </c>
      <c r="H137" s="17" t="n">
        <v>0</v>
      </c>
      <c r="I137" s="17" t="n">
        <v>0</v>
      </c>
      <c r="J137" s="17" t="n">
        <v>0.468805</v>
      </c>
      <c r="K137" s="17" t="n">
        <v>0</v>
      </c>
      <c r="L137" s="17" t="n">
        <v>0</v>
      </c>
      <c r="M137" s="17" t="n">
        <v>0</v>
      </c>
      <c r="N137" s="17" t="n">
        <v>0</v>
      </c>
      <c r="O137" s="26" t="n">
        <v>1</v>
      </c>
      <c r="P137" s="3" t="inlineStr">
        <is>
          <t>epoch_chip_quantity_latest</t>
        </is>
      </c>
      <c r="Q137" s="3" t="inlineStr">
        <is>
          <t>SRC_EPOCH_AI_DATA_CENTERS; EPOCH_RAW_CHIP_QUANTITIES</t>
        </is>
      </c>
      <c r="R137" s="3" t="inlineStr">
        <is>
          <t>Latest chip quantity per chip type through year-end; normalized by unit count into benchmark buckets.</t>
        </is>
      </c>
    </row>
    <row r="138">
      <c r="A138" s="3" t="inlineStr">
        <is>
          <t>Grid-Constrained / Efficiency-Upside|Fluidstack Lake Mariner|2027</t>
        </is>
      </c>
      <c r="B138" s="3" t="inlineStr">
        <is>
          <t>Grid-Constrained / Efficiency-Upside</t>
        </is>
      </c>
      <c r="C138" s="3" t="inlineStr">
        <is>
          <t>Fluidstack Lake Mariner</t>
        </is>
      </c>
      <c r="D138" s="3" t="n">
        <v>2027</v>
      </c>
      <c r="E138" s="3" t="inlineStr">
        <is>
          <t>Fluidstack</t>
        </is>
      </c>
      <c r="F138" s="17" t="n">
        <v>0</v>
      </c>
      <c r="G138" s="17" t="n">
        <v>0.531195</v>
      </c>
      <c r="H138" s="17" t="n">
        <v>0</v>
      </c>
      <c r="I138" s="17" t="n">
        <v>0</v>
      </c>
      <c r="J138" s="17" t="n">
        <v>0.468805</v>
      </c>
      <c r="K138" s="17" t="n">
        <v>0</v>
      </c>
      <c r="L138" s="17" t="n">
        <v>0</v>
      </c>
      <c r="M138" s="17" t="n">
        <v>0</v>
      </c>
      <c r="N138" s="17" t="n">
        <v>0</v>
      </c>
      <c r="O138" s="26" t="n">
        <v>1</v>
      </c>
      <c r="P138" s="3" t="inlineStr">
        <is>
          <t>epoch_chip_quantity_latest</t>
        </is>
      </c>
      <c r="Q138" s="3" t="inlineStr">
        <is>
          <t>SRC_EPOCH_AI_DATA_CENTERS; EPOCH_RAW_CHIP_QUANTITIES</t>
        </is>
      </c>
      <c r="R138" s="3" t="inlineStr">
        <is>
          <t>Latest chip quantity per chip type through year-end; normalized by unit count into benchmark buckets.</t>
        </is>
      </c>
    </row>
    <row r="139">
      <c r="A139" s="3" t="inlineStr">
        <is>
          <t>Grid-Constrained / Efficiency-Upside|Fluidstack Lake Mariner|2028</t>
        </is>
      </c>
      <c r="B139" s="3" t="inlineStr">
        <is>
          <t>Grid-Constrained / Efficiency-Upside</t>
        </is>
      </c>
      <c r="C139" s="3" t="inlineStr">
        <is>
          <t>Fluidstack Lake Mariner</t>
        </is>
      </c>
      <c r="D139" s="3" t="n">
        <v>2028</v>
      </c>
      <c r="E139" s="3" t="inlineStr">
        <is>
          <t>Fluidstack</t>
        </is>
      </c>
      <c r="F139" s="17" t="n">
        <v>0</v>
      </c>
      <c r="G139" s="17" t="n">
        <v>0.531195</v>
      </c>
      <c r="H139" s="17" t="n">
        <v>0</v>
      </c>
      <c r="I139" s="17" t="n">
        <v>0</v>
      </c>
      <c r="J139" s="17" t="n">
        <v>0.468805</v>
      </c>
      <c r="K139" s="17" t="n">
        <v>0</v>
      </c>
      <c r="L139" s="17" t="n">
        <v>0</v>
      </c>
      <c r="M139" s="17" t="n">
        <v>0</v>
      </c>
      <c r="N139" s="17" t="n">
        <v>0</v>
      </c>
      <c r="O139" s="26" t="n">
        <v>1</v>
      </c>
      <c r="P139" s="3" t="inlineStr">
        <is>
          <t>epoch_chip_quantity_latest</t>
        </is>
      </c>
      <c r="Q139" s="3" t="inlineStr">
        <is>
          <t>SRC_EPOCH_AI_DATA_CENTERS; EPOCH_RAW_CHIP_QUANTITIES</t>
        </is>
      </c>
      <c r="R139" s="3" t="inlineStr">
        <is>
          <t>Latest chip quantity per chip type through year-end; normalized by unit count into benchmark buckets.</t>
        </is>
      </c>
    </row>
    <row r="140">
      <c r="A140" s="3" t="inlineStr">
        <is>
          <t>Grid-Constrained / Efficiency-Upside|Fluidstack Lake Mariner|2029</t>
        </is>
      </c>
      <c r="B140" s="3" t="inlineStr">
        <is>
          <t>Grid-Constrained / Efficiency-Upside</t>
        </is>
      </c>
      <c r="C140" s="3" t="inlineStr">
        <is>
          <t>Fluidstack Lake Mariner</t>
        </is>
      </c>
      <c r="D140" s="3" t="n">
        <v>2029</v>
      </c>
      <c r="E140" s="3" t="inlineStr">
        <is>
          <t>Fluidstack</t>
        </is>
      </c>
      <c r="F140" s="17" t="n">
        <v>0</v>
      </c>
      <c r="G140" s="17" t="n">
        <v>0.531195</v>
      </c>
      <c r="H140" s="17" t="n">
        <v>0</v>
      </c>
      <c r="I140" s="17" t="n">
        <v>0</v>
      </c>
      <c r="J140" s="17" t="n">
        <v>0.468805</v>
      </c>
      <c r="K140" s="17" t="n">
        <v>0</v>
      </c>
      <c r="L140" s="17" t="n">
        <v>0</v>
      </c>
      <c r="M140" s="17" t="n">
        <v>0</v>
      </c>
      <c r="N140" s="17" t="n">
        <v>0</v>
      </c>
      <c r="O140" s="26" t="n">
        <v>1</v>
      </c>
      <c r="P140" s="3" t="inlineStr">
        <is>
          <t>epoch_chip_quantity_latest</t>
        </is>
      </c>
      <c r="Q140" s="3" t="inlineStr">
        <is>
          <t>SRC_EPOCH_AI_DATA_CENTERS; EPOCH_RAW_CHIP_QUANTITIES</t>
        </is>
      </c>
      <c r="R140" s="3" t="inlineStr">
        <is>
          <t>Latest chip quantity per chip type through year-end; normalized by unit count into benchmark buckets.</t>
        </is>
      </c>
    </row>
    <row r="141">
      <c r="A141" s="3" t="inlineStr">
        <is>
          <t>Grid-Constrained / Efficiency-Upside|Fluidstack Lake Mariner|2030</t>
        </is>
      </c>
      <c r="B141" s="3" t="inlineStr">
        <is>
          <t>Grid-Constrained / Efficiency-Upside</t>
        </is>
      </c>
      <c r="C141" s="3" t="inlineStr">
        <is>
          <t>Fluidstack Lake Mariner</t>
        </is>
      </c>
      <c r="D141" s="3" t="n">
        <v>2030</v>
      </c>
      <c r="E141" s="3" t="inlineStr">
        <is>
          <t>Fluidstack</t>
        </is>
      </c>
      <c r="F141" s="17" t="n">
        <v>0</v>
      </c>
      <c r="G141" s="17" t="n">
        <v>0.531195</v>
      </c>
      <c r="H141" s="17" t="n">
        <v>0</v>
      </c>
      <c r="I141" s="17" t="n">
        <v>0</v>
      </c>
      <c r="J141" s="17" t="n">
        <v>0.468805</v>
      </c>
      <c r="K141" s="17" t="n">
        <v>0</v>
      </c>
      <c r="L141" s="17" t="n">
        <v>0</v>
      </c>
      <c r="M141" s="17" t="n">
        <v>0</v>
      </c>
      <c r="N141" s="17" t="n">
        <v>0</v>
      </c>
      <c r="O141" s="26" t="n">
        <v>1</v>
      </c>
      <c r="P141" s="3" t="inlineStr">
        <is>
          <t>epoch_chip_quantity_latest</t>
        </is>
      </c>
      <c r="Q141" s="3" t="inlineStr">
        <is>
          <t>SRC_EPOCH_AI_DATA_CENTERS; EPOCH_RAW_CHIP_QUANTITIES</t>
        </is>
      </c>
      <c r="R141" s="3" t="inlineStr">
        <is>
          <t>Latest chip quantity per chip type through year-end; normalized by unit count into benchmark buckets.</t>
        </is>
      </c>
    </row>
    <row r="142">
      <c r="A142" s="3" t="inlineStr">
        <is>
          <t>Bear|Goodnight|2027</t>
        </is>
      </c>
      <c r="B142" s="3" t="inlineStr">
        <is>
          <t>Bear</t>
        </is>
      </c>
      <c r="C142" s="3" t="inlineStr">
        <is>
          <t>Goodnight</t>
        </is>
      </c>
      <c r="D142" s="3" t="n">
        <v>2027</v>
      </c>
      <c r="E142" s="3" t="inlineStr">
        <is>
          <t>Google</t>
        </is>
      </c>
      <c r="F142" s="17" t="n">
        <v>0</v>
      </c>
      <c r="G142" s="17" t="n">
        <v>0.330887</v>
      </c>
      <c r="H142" s="17" t="n">
        <v>0</v>
      </c>
      <c r="I142" s="17" t="n">
        <v>0.669113</v>
      </c>
      <c r="J142" s="17" t="n">
        <v>0</v>
      </c>
      <c r="K142" s="17" t="n">
        <v>0</v>
      </c>
      <c r="L142" s="17" t="n">
        <v>0</v>
      </c>
      <c r="M142" s="17" t="n">
        <v>0</v>
      </c>
      <c r="N142" s="17" t="n">
        <v>0</v>
      </c>
      <c r="O142" s="26" t="n">
        <v>1</v>
      </c>
      <c r="P142" s="3" t="inlineStr">
        <is>
          <t>epoch_chip_quantity_latest</t>
        </is>
      </c>
      <c r="Q142" s="3" t="inlineStr">
        <is>
          <t>SRC_EPOCH_AI_DATA_CENTERS; EPOCH_RAW_CHIP_QUANTITIES</t>
        </is>
      </c>
      <c r="R142" s="3" t="inlineStr">
        <is>
          <t>Latest chip quantity per chip type through year-end; normalized by unit count into benchmark buckets.</t>
        </is>
      </c>
    </row>
    <row r="143">
      <c r="A143" s="3" t="inlineStr">
        <is>
          <t>Bear|Goodnight|2028</t>
        </is>
      </c>
      <c r="B143" s="3" t="inlineStr">
        <is>
          <t>Bear</t>
        </is>
      </c>
      <c r="C143" s="3" t="inlineStr">
        <is>
          <t>Goodnight</t>
        </is>
      </c>
      <c r="D143" s="3" t="n">
        <v>2028</v>
      </c>
      <c r="E143" s="3" t="inlineStr">
        <is>
          <t>Google</t>
        </is>
      </c>
      <c r="F143" s="17" t="n">
        <v>0</v>
      </c>
      <c r="G143" s="17" t="n">
        <v>0.330887</v>
      </c>
      <c r="H143" s="17" t="n">
        <v>0</v>
      </c>
      <c r="I143" s="17" t="n">
        <v>0.669113</v>
      </c>
      <c r="J143" s="17" t="n">
        <v>0</v>
      </c>
      <c r="K143" s="17" t="n">
        <v>0</v>
      </c>
      <c r="L143" s="17" t="n">
        <v>0</v>
      </c>
      <c r="M143" s="17" t="n">
        <v>0</v>
      </c>
      <c r="N143" s="17" t="n">
        <v>0</v>
      </c>
      <c r="O143" s="26" t="n">
        <v>1</v>
      </c>
      <c r="P143" s="3" t="inlineStr">
        <is>
          <t>epoch_chip_quantity_latest</t>
        </is>
      </c>
      <c r="Q143" s="3" t="inlineStr">
        <is>
          <t>SRC_EPOCH_AI_DATA_CENTERS; EPOCH_RAW_CHIP_QUANTITIES</t>
        </is>
      </c>
      <c r="R143" s="3" t="inlineStr">
        <is>
          <t>Latest chip quantity per chip type through year-end; normalized by unit count into benchmark buckets.</t>
        </is>
      </c>
    </row>
    <row r="144">
      <c r="A144" s="3" t="inlineStr">
        <is>
          <t>Bear|Goodnight|2029</t>
        </is>
      </c>
      <c r="B144" s="3" t="inlineStr">
        <is>
          <t>Bear</t>
        </is>
      </c>
      <c r="C144" s="3" t="inlineStr">
        <is>
          <t>Goodnight</t>
        </is>
      </c>
      <c r="D144" s="3" t="n">
        <v>2029</v>
      </c>
      <c r="E144" s="3" t="inlineStr">
        <is>
          <t>Google</t>
        </is>
      </c>
      <c r="F144" s="17" t="n">
        <v>0</v>
      </c>
      <c r="G144" s="17" t="n">
        <v>0.330887</v>
      </c>
      <c r="H144" s="17" t="n">
        <v>0</v>
      </c>
      <c r="I144" s="17" t="n">
        <v>0.669113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26" t="n">
        <v>1</v>
      </c>
      <c r="P144" s="3" t="inlineStr">
        <is>
          <t>epoch_chip_quantity_latest</t>
        </is>
      </c>
      <c r="Q144" s="3" t="inlineStr">
        <is>
          <t>SRC_EPOCH_AI_DATA_CENTERS; EPOCH_RAW_CHIP_QUANTITIES</t>
        </is>
      </c>
      <c r="R144" s="3" t="inlineStr">
        <is>
          <t>Latest chip quantity per chip type through year-end; normalized by unit count into benchmark buckets.</t>
        </is>
      </c>
    </row>
    <row r="145">
      <c r="A145" s="3" t="inlineStr">
        <is>
          <t>Bear|Goodnight|2030</t>
        </is>
      </c>
      <c r="B145" s="3" t="inlineStr">
        <is>
          <t>Bear</t>
        </is>
      </c>
      <c r="C145" s="3" t="inlineStr">
        <is>
          <t>Goodnight</t>
        </is>
      </c>
      <c r="D145" s="3" t="n">
        <v>2030</v>
      </c>
      <c r="E145" s="3" t="inlineStr">
        <is>
          <t>Google</t>
        </is>
      </c>
      <c r="F145" s="17" t="n">
        <v>0</v>
      </c>
      <c r="G145" s="17" t="n">
        <v>0.330887</v>
      </c>
      <c r="H145" s="17" t="n">
        <v>0</v>
      </c>
      <c r="I145" s="17" t="n">
        <v>0.669113</v>
      </c>
      <c r="J145" s="17" t="n">
        <v>0</v>
      </c>
      <c r="K145" s="17" t="n">
        <v>0</v>
      </c>
      <c r="L145" s="17" t="n">
        <v>0</v>
      </c>
      <c r="M145" s="17" t="n">
        <v>0</v>
      </c>
      <c r="N145" s="17" t="n">
        <v>0</v>
      </c>
      <c r="O145" s="26" t="n">
        <v>1</v>
      </c>
      <c r="P145" s="3" t="inlineStr">
        <is>
          <t>epoch_chip_quantity_latest</t>
        </is>
      </c>
      <c r="Q145" s="3" t="inlineStr">
        <is>
          <t>SRC_EPOCH_AI_DATA_CENTERS; EPOCH_RAW_CHIP_QUANTITIES</t>
        </is>
      </c>
      <c r="R145" s="3" t="inlineStr">
        <is>
          <t>Latest chip quantity per chip type through year-end; normalized by unit count into benchmark buckets.</t>
        </is>
      </c>
    </row>
    <row r="146">
      <c r="A146" s="3" t="inlineStr">
        <is>
          <t>Base|Goodnight|2027</t>
        </is>
      </c>
      <c r="B146" s="3" t="inlineStr">
        <is>
          <t>Base</t>
        </is>
      </c>
      <c r="C146" s="3" t="inlineStr">
        <is>
          <t>Goodnight</t>
        </is>
      </c>
      <c r="D146" s="3" t="n">
        <v>2027</v>
      </c>
      <c r="E146" s="3" t="inlineStr">
        <is>
          <t>Google</t>
        </is>
      </c>
      <c r="F146" s="17" t="n">
        <v>0</v>
      </c>
      <c r="G146" s="17" t="n">
        <v>0.330887</v>
      </c>
      <c r="H146" s="17" t="n">
        <v>0</v>
      </c>
      <c r="I146" s="17" t="n">
        <v>0.669113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26" t="n">
        <v>1</v>
      </c>
      <c r="P146" s="3" t="inlineStr">
        <is>
          <t>epoch_chip_quantity_latest</t>
        </is>
      </c>
      <c r="Q146" s="3" t="inlineStr">
        <is>
          <t>SRC_EPOCH_AI_DATA_CENTERS; EPOCH_RAW_CHIP_QUANTITIES</t>
        </is>
      </c>
      <c r="R146" s="3" t="inlineStr">
        <is>
          <t>Latest chip quantity per chip type through year-end; normalized by unit count into benchmark buckets.</t>
        </is>
      </c>
    </row>
    <row r="147">
      <c r="A147" s="3" t="inlineStr">
        <is>
          <t>Base|Goodnight|2028</t>
        </is>
      </c>
      <c r="B147" s="3" t="inlineStr">
        <is>
          <t>Base</t>
        </is>
      </c>
      <c r="C147" s="3" t="inlineStr">
        <is>
          <t>Goodnight</t>
        </is>
      </c>
      <c r="D147" s="3" t="n">
        <v>2028</v>
      </c>
      <c r="E147" s="3" t="inlineStr">
        <is>
          <t>Google</t>
        </is>
      </c>
      <c r="F147" s="17" t="n">
        <v>0</v>
      </c>
      <c r="G147" s="17" t="n">
        <v>0.330887</v>
      </c>
      <c r="H147" s="17" t="n">
        <v>0</v>
      </c>
      <c r="I147" s="17" t="n">
        <v>0.669113</v>
      </c>
      <c r="J147" s="17" t="n">
        <v>0</v>
      </c>
      <c r="K147" s="17" t="n">
        <v>0</v>
      </c>
      <c r="L147" s="17" t="n">
        <v>0</v>
      </c>
      <c r="M147" s="17" t="n">
        <v>0</v>
      </c>
      <c r="N147" s="17" t="n">
        <v>0</v>
      </c>
      <c r="O147" s="26" t="n">
        <v>1</v>
      </c>
      <c r="P147" s="3" t="inlineStr">
        <is>
          <t>epoch_chip_quantity_latest</t>
        </is>
      </c>
      <c r="Q147" s="3" t="inlineStr">
        <is>
          <t>SRC_EPOCH_AI_DATA_CENTERS; EPOCH_RAW_CHIP_QUANTITIES</t>
        </is>
      </c>
      <c r="R147" s="3" t="inlineStr">
        <is>
          <t>Latest chip quantity per chip type through year-end; normalized by unit count into benchmark buckets.</t>
        </is>
      </c>
    </row>
    <row r="148">
      <c r="A148" s="3" t="inlineStr">
        <is>
          <t>Base|Goodnight|2029</t>
        </is>
      </c>
      <c r="B148" s="3" t="inlineStr">
        <is>
          <t>Base</t>
        </is>
      </c>
      <c r="C148" s="3" t="inlineStr">
        <is>
          <t>Goodnight</t>
        </is>
      </c>
      <c r="D148" s="3" t="n">
        <v>2029</v>
      </c>
      <c r="E148" s="3" t="inlineStr">
        <is>
          <t>Google</t>
        </is>
      </c>
      <c r="F148" s="17" t="n">
        <v>0</v>
      </c>
      <c r="G148" s="17" t="n">
        <v>0.330887</v>
      </c>
      <c r="H148" s="17" t="n">
        <v>0</v>
      </c>
      <c r="I148" s="17" t="n">
        <v>0.669113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26" t="n">
        <v>1</v>
      </c>
      <c r="P148" s="3" t="inlineStr">
        <is>
          <t>epoch_chip_quantity_latest</t>
        </is>
      </c>
      <c r="Q148" s="3" t="inlineStr">
        <is>
          <t>SRC_EPOCH_AI_DATA_CENTERS; EPOCH_RAW_CHIP_QUANTITIES</t>
        </is>
      </c>
      <c r="R148" s="3" t="inlineStr">
        <is>
          <t>Latest chip quantity per chip type through year-end; normalized by unit count into benchmark buckets.</t>
        </is>
      </c>
    </row>
    <row r="149">
      <c r="A149" s="3" t="inlineStr">
        <is>
          <t>Base|Goodnight|2030</t>
        </is>
      </c>
      <c r="B149" s="3" t="inlineStr">
        <is>
          <t>Base</t>
        </is>
      </c>
      <c r="C149" s="3" t="inlineStr">
        <is>
          <t>Goodnight</t>
        </is>
      </c>
      <c r="D149" s="3" t="n">
        <v>2030</v>
      </c>
      <c r="E149" s="3" t="inlineStr">
        <is>
          <t>Google</t>
        </is>
      </c>
      <c r="F149" s="17" t="n">
        <v>0</v>
      </c>
      <c r="G149" s="17" t="n">
        <v>0.330887</v>
      </c>
      <c r="H149" s="17" t="n">
        <v>0</v>
      </c>
      <c r="I149" s="17" t="n">
        <v>0.669113</v>
      </c>
      <c r="J149" s="17" t="n">
        <v>0</v>
      </c>
      <c r="K149" s="17" t="n">
        <v>0</v>
      </c>
      <c r="L149" s="17" t="n">
        <v>0</v>
      </c>
      <c r="M149" s="17" t="n">
        <v>0</v>
      </c>
      <c r="N149" s="17" t="n">
        <v>0</v>
      </c>
      <c r="O149" s="26" t="n">
        <v>1</v>
      </c>
      <c r="P149" s="3" t="inlineStr">
        <is>
          <t>epoch_chip_quantity_latest</t>
        </is>
      </c>
      <c r="Q149" s="3" t="inlineStr">
        <is>
          <t>SRC_EPOCH_AI_DATA_CENTERS; EPOCH_RAW_CHIP_QUANTITIES</t>
        </is>
      </c>
      <c r="R149" s="3" t="inlineStr">
        <is>
          <t>Latest chip quantity per chip type through year-end; normalized by unit count into benchmark buckets.</t>
        </is>
      </c>
    </row>
    <row r="150">
      <c r="A150" s="3" t="inlineStr">
        <is>
          <t>Bull|Goodnight|2027</t>
        </is>
      </c>
      <c r="B150" s="3" t="inlineStr">
        <is>
          <t>Bull</t>
        </is>
      </c>
      <c r="C150" s="3" t="inlineStr">
        <is>
          <t>Goodnight</t>
        </is>
      </c>
      <c r="D150" s="3" t="n">
        <v>2027</v>
      </c>
      <c r="E150" s="3" t="inlineStr">
        <is>
          <t>Google</t>
        </is>
      </c>
      <c r="F150" s="17" t="n">
        <v>0</v>
      </c>
      <c r="G150" s="17" t="n">
        <v>0.330887</v>
      </c>
      <c r="H150" s="17" t="n">
        <v>0</v>
      </c>
      <c r="I150" s="17" t="n">
        <v>0.669113</v>
      </c>
      <c r="J150" s="17" t="n">
        <v>0</v>
      </c>
      <c r="K150" s="17" t="n">
        <v>0</v>
      </c>
      <c r="L150" s="17" t="n">
        <v>0</v>
      </c>
      <c r="M150" s="17" t="n">
        <v>0</v>
      </c>
      <c r="N150" s="17" t="n">
        <v>0</v>
      </c>
      <c r="O150" s="26" t="n">
        <v>1</v>
      </c>
      <c r="P150" s="3" t="inlineStr">
        <is>
          <t>epoch_chip_quantity_latest</t>
        </is>
      </c>
      <c r="Q150" s="3" t="inlineStr">
        <is>
          <t>SRC_EPOCH_AI_DATA_CENTERS; EPOCH_RAW_CHIP_QUANTITIES</t>
        </is>
      </c>
      <c r="R150" s="3" t="inlineStr">
        <is>
          <t>Latest chip quantity per chip type through year-end; normalized by unit count into benchmark buckets.</t>
        </is>
      </c>
    </row>
    <row r="151">
      <c r="A151" s="3" t="inlineStr">
        <is>
          <t>Bull|Goodnight|2028</t>
        </is>
      </c>
      <c r="B151" s="3" t="inlineStr">
        <is>
          <t>Bull</t>
        </is>
      </c>
      <c r="C151" s="3" t="inlineStr">
        <is>
          <t>Goodnight</t>
        </is>
      </c>
      <c r="D151" s="3" t="n">
        <v>2028</v>
      </c>
      <c r="E151" s="3" t="inlineStr">
        <is>
          <t>Google</t>
        </is>
      </c>
      <c r="F151" s="17" t="n">
        <v>0</v>
      </c>
      <c r="G151" s="17" t="n">
        <v>0.330887</v>
      </c>
      <c r="H151" s="17" t="n">
        <v>0</v>
      </c>
      <c r="I151" s="17" t="n">
        <v>0.669113</v>
      </c>
      <c r="J151" s="17" t="n">
        <v>0</v>
      </c>
      <c r="K151" s="17" t="n">
        <v>0</v>
      </c>
      <c r="L151" s="17" t="n">
        <v>0</v>
      </c>
      <c r="M151" s="17" t="n">
        <v>0</v>
      </c>
      <c r="N151" s="17" t="n">
        <v>0</v>
      </c>
      <c r="O151" s="26" t="n">
        <v>1</v>
      </c>
      <c r="P151" s="3" t="inlineStr">
        <is>
          <t>epoch_chip_quantity_latest</t>
        </is>
      </c>
      <c r="Q151" s="3" t="inlineStr">
        <is>
          <t>SRC_EPOCH_AI_DATA_CENTERS; EPOCH_RAW_CHIP_QUANTITIES</t>
        </is>
      </c>
      <c r="R151" s="3" t="inlineStr">
        <is>
          <t>Latest chip quantity per chip type through year-end; normalized by unit count into benchmark buckets.</t>
        </is>
      </c>
    </row>
    <row r="152">
      <c r="A152" s="3" t="inlineStr">
        <is>
          <t>Bull|Goodnight|2029</t>
        </is>
      </c>
      <c r="B152" s="3" t="inlineStr">
        <is>
          <t>Bull</t>
        </is>
      </c>
      <c r="C152" s="3" t="inlineStr">
        <is>
          <t>Goodnight</t>
        </is>
      </c>
      <c r="D152" s="3" t="n">
        <v>2029</v>
      </c>
      <c r="E152" s="3" t="inlineStr">
        <is>
          <t>Google</t>
        </is>
      </c>
      <c r="F152" s="17" t="n">
        <v>0</v>
      </c>
      <c r="G152" s="17" t="n">
        <v>0.330887</v>
      </c>
      <c r="H152" s="17" t="n">
        <v>0</v>
      </c>
      <c r="I152" s="17" t="n">
        <v>0.669113</v>
      </c>
      <c r="J152" s="17" t="n">
        <v>0</v>
      </c>
      <c r="K152" s="17" t="n">
        <v>0</v>
      </c>
      <c r="L152" s="17" t="n">
        <v>0</v>
      </c>
      <c r="M152" s="17" t="n">
        <v>0</v>
      </c>
      <c r="N152" s="17" t="n">
        <v>0</v>
      </c>
      <c r="O152" s="26" t="n">
        <v>1</v>
      </c>
      <c r="P152" s="3" t="inlineStr">
        <is>
          <t>epoch_chip_quantity_latest</t>
        </is>
      </c>
      <c r="Q152" s="3" t="inlineStr">
        <is>
          <t>SRC_EPOCH_AI_DATA_CENTERS; EPOCH_RAW_CHIP_QUANTITIES</t>
        </is>
      </c>
      <c r="R152" s="3" t="inlineStr">
        <is>
          <t>Latest chip quantity per chip type through year-end; normalized by unit count into benchmark buckets.</t>
        </is>
      </c>
    </row>
    <row r="153">
      <c r="A153" s="3" t="inlineStr">
        <is>
          <t>Bull|Goodnight|2030</t>
        </is>
      </c>
      <c r="B153" s="3" t="inlineStr">
        <is>
          <t>Bull</t>
        </is>
      </c>
      <c r="C153" s="3" t="inlineStr">
        <is>
          <t>Goodnight</t>
        </is>
      </c>
      <c r="D153" s="3" t="n">
        <v>2030</v>
      </c>
      <c r="E153" s="3" t="inlineStr">
        <is>
          <t>Google</t>
        </is>
      </c>
      <c r="F153" s="17" t="n">
        <v>0</v>
      </c>
      <c r="G153" s="17" t="n">
        <v>0.330887</v>
      </c>
      <c r="H153" s="17" t="n">
        <v>0</v>
      </c>
      <c r="I153" s="17" t="n">
        <v>0.669113</v>
      </c>
      <c r="J153" s="17" t="n">
        <v>0</v>
      </c>
      <c r="K153" s="17" t="n">
        <v>0</v>
      </c>
      <c r="L153" s="17" t="n">
        <v>0</v>
      </c>
      <c r="M153" s="17" t="n">
        <v>0</v>
      </c>
      <c r="N153" s="17" t="n">
        <v>0</v>
      </c>
      <c r="O153" s="26" t="n">
        <v>1</v>
      </c>
      <c r="P153" s="3" t="inlineStr">
        <is>
          <t>epoch_chip_quantity_latest</t>
        </is>
      </c>
      <c r="Q153" s="3" t="inlineStr">
        <is>
          <t>SRC_EPOCH_AI_DATA_CENTERS; EPOCH_RAW_CHIP_QUANTITIES</t>
        </is>
      </c>
      <c r="R153" s="3" t="inlineStr">
        <is>
          <t>Latest chip quantity per chip type through year-end; normalized by unit count into benchmark buckets.</t>
        </is>
      </c>
    </row>
    <row r="154">
      <c r="A154" s="3" t="inlineStr">
        <is>
          <t>Grid-Constrained / Efficiency-Upside|Goodnight|2027</t>
        </is>
      </c>
      <c r="B154" s="3" t="inlineStr">
        <is>
          <t>Grid-Constrained / Efficiency-Upside</t>
        </is>
      </c>
      <c r="C154" s="3" t="inlineStr">
        <is>
          <t>Goodnight</t>
        </is>
      </c>
      <c r="D154" s="3" t="n">
        <v>2027</v>
      </c>
      <c r="E154" s="3" t="inlineStr">
        <is>
          <t>Google</t>
        </is>
      </c>
      <c r="F154" s="17" t="n">
        <v>0</v>
      </c>
      <c r="G154" s="17" t="n">
        <v>0.330887</v>
      </c>
      <c r="H154" s="17" t="n">
        <v>0</v>
      </c>
      <c r="I154" s="17" t="n">
        <v>0.669113</v>
      </c>
      <c r="J154" s="17" t="n">
        <v>0</v>
      </c>
      <c r="K154" s="17" t="n">
        <v>0</v>
      </c>
      <c r="L154" s="17" t="n">
        <v>0</v>
      </c>
      <c r="M154" s="17" t="n">
        <v>0</v>
      </c>
      <c r="N154" s="17" t="n">
        <v>0</v>
      </c>
      <c r="O154" s="26" t="n">
        <v>1</v>
      </c>
      <c r="P154" s="3" t="inlineStr">
        <is>
          <t>epoch_chip_quantity_latest</t>
        </is>
      </c>
      <c r="Q154" s="3" t="inlineStr">
        <is>
          <t>SRC_EPOCH_AI_DATA_CENTERS; EPOCH_RAW_CHIP_QUANTITIES</t>
        </is>
      </c>
      <c r="R154" s="3" t="inlineStr">
        <is>
          <t>Latest chip quantity per chip type through year-end; normalized by unit count into benchmark buckets.</t>
        </is>
      </c>
    </row>
    <row r="155">
      <c r="A155" s="3" t="inlineStr">
        <is>
          <t>Grid-Constrained / Efficiency-Upside|Goodnight|2028</t>
        </is>
      </c>
      <c r="B155" s="3" t="inlineStr">
        <is>
          <t>Grid-Constrained / Efficiency-Upside</t>
        </is>
      </c>
      <c r="C155" s="3" t="inlineStr">
        <is>
          <t>Goodnight</t>
        </is>
      </c>
      <c r="D155" s="3" t="n">
        <v>2028</v>
      </c>
      <c r="E155" s="3" t="inlineStr">
        <is>
          <t>Google</t>
        </is>
      </c>
      <c r="F155" s="17" t="n">
        <v>0</v>
      </c>
      <c r="G155" s="17" t="n">
        <v>0.330887</v>
      </c>
      <c r="H155" s="17" t="n">
        <v>0</v>
      </c>
      <c r="I155" s="17" t="n">
        <v>0.669113</v>
      </c>
      <c r="J155" s="17" t="n">
        <v>0</v>
      </c>
      <c r="K155" s="17" t="n">
        <v>0</v>
      </c>
      <c r="L155" s="17" t="n">
        <v>0</v>
      </c>
      <c r="M155" s="17" t="n">
        <v>0</v>
      </c>
      <c r="N155" s="17" t="n">
        <v>0</v>
      </c>
      <c r="O155" s="26" t="n">
        <v>1</v>
      </c>
      <c r="P155" s="3" t="inlineStr">
        <is>
          <t>epoch_chip_quantity_latest</t>
        </is>
      </c>
      <c r="Q155" s="3" t="inlineStr">
        <is>
          <t>SRC_EPOCH_AI_DATA_CENTERS; EPOCH_RAW_CHIP_QUANTITIES</t>
        </is>
      </c>
      <c r="R155" s="3" t="inlineStr">
        <is>
          <t>Latest chip quantity per chip type through year-end; normalized by unit count into benchmark buckets.</t>
        </is>
      </c>
    </row>
    <row r="156">
      <c r="A156" s="3" t="inlineStr">
        <is>
          <t>Grid-Constrained / Efficiency-Upside|Goodnight|2029</t>
        </is>
      </c>
      <c r="B156" s="3" t="inlineStr">
        <is>
          <t>Grid-Constrained / Efficiency-Upside</t>
        </is>
      </c>
      <c r="C156" s="3" t="inlineStr">
        <is>
          <t>Goodnight</t>
        </is>
      </c>
      <c r="D156" s="3" t="n">
        <v>2029</v>
      </c>
      <c r="E156" s="3" t="inlineStr">
        <is>
          <t>Google</t>
        </is>
      </c>
      <c r="F156" s="17" t="n">
        <v>0</v>
      </c>
      <c r="G156" s="17" t="n">
        <v>0.330887</v>
      </c>
      <c r="H156" s="17" t="n">
        <v>0</v>
      </c>
      <c r="I156" s="17" t="n">
        <v>0.669113</v>
      </c>
      <c r="J156" s="17" t="n">
        <v>0</v>
      </c>
      <c r="K156" s="17" t="n">
        <v>0</v>
      </c>
      <c r="L156" s="17" t="n">
        <v>0</v>
      </c>
      <c r="M156" s="17" t="n">
        <v>0</v>
      </c>
      <c r="N156" s="17" t="n">
        <v>0</v>
      </c>
      <c r="O156" s="26" t="n">
        <v>1</v>
      </c>
      <c r="P156" s="3" t="inlineStr">
        <is>
          <t>epoch_chip_quantity_latest</t>
        </is>
      </c>
      <c r="Q156" s="3" t="inlineStr">
        <is>
          <t>SRC_EPOCH_AI_DATA_CENTERS; EPOCH_RAW_CHIP_QUANTITIES</t>
        </is>
      </c>
      <c r="R156" s="3" t="inlineStr">
        <is>
          <t>Latest chip quantity per chip type through year-end; normalized by unit count into benchmark buckets.</t>
        </is>
      </c>
    </row>
    <row r="157">
      <c r="A157" s="3" t="inlineStr">
        <is>
          <t>Grid-Constrained / Efficiency-Upside|Goodnight|2030</t>
        </is>
      </c>
      <c r="B157" s="3" t="inlineStr">
        <is>
          <t>Grid-Constrained / Efficiency-Upside</t>
        </is>
      </c>
      <c r="C157" s="3" t="inlineStr">
        <is>
          <t>Goodnight</t>
        </is>
      </c>
      <c r="D157" s="3" t="n">
        <v>2030</v>
      </c>
      <c r="E157" s="3" t="inlineStr">
        <is>
          <t>Google</t>
        </is>
      </c>
      <c r="F157" s="17" t="n">
        <v>0</v>
      </c>
      <c r="G157" s="17" t="n">
        <v>0.330887</v>
      </c>
      <c r="H157" s="17" t="n">
        <v>0</v>
      </c>
      <c r="I157" s="17" t="n">
        <v>0.669113</v>
      </c>
      <c r="J157" s="17" t="n">
        <v>0</v>
      </c>
      <c r="K157" s="17" t="n">
        <v>0</v>
      </c>
      <c r="L157" s="17" t="n">
        <v>0</v>
      </c>
      <c r="M157" s="17" t="n">
        <v>0</v>
      </c>
      <c r="N157" s="17" t="n">
        <v>0</v>
      </c>
      <c r="O157" s="26" t="n">
        <v>1</v>
      </c>
      <c r="P157" s="3" t="inlineStr">
        <is>
          <t>epoch_chip_quantity_latest</t>
        </is>
      </c>
      <c r="Q157" s="3" t="inlineStr">
        <is>
          <t>SRC_EPOCH_AI_DATA_CENTERS; EPOCH_RAW_CHIP_QUANTITIES</t>
        </is>
      </c>
      <c r="R157" s="3" t="inlineStr">
        <is>
          <t>Latest chip quantity per chip type through year-end; normalized by unit count into benchmark buckets.</t>
        </is>
      </c>
    </row>
    <row r="158">
      <c r="A158" s="3" t="inlineStr">
        <is>
          <t>Bear|Google Cedar Rapids|2027</t>
        </is>
      </c>
      <c r="B158" s="3" t="inlineStr">
        <is>
          <t>Bear</t>
        </is>
      </c>
      <c r="C158" s="3" t="inlineStr">
        <is>
          <t>Google Cedar Rapids</t>
        </is>
      </c>
      <c r="D158" s="3" t="n">
        <v>2027</v>
      </c>
      <c r="E158" s="3" t="inlineStr">
        <is>
          <t>Google</t>
        </is>
      </c>
      <c r="F158" s="17" t="n">
        <v>0.077</v>
      </c>
      <c r="G158" s="17" t="n">
        <v>0.068</v>
      </c>
      <c r="H158" s="17" t="n">
        <v>0.03</v>
      </c>
      <c r="I158" s="17" t="n">
        <v>0</v>
      </c>
      <c r="J158" s="17" t="n">
        <v>0</v>
      </c>
      <c r="K158" s="17" t="n">
        <v>0</v>
      </c>
      <c r="L158" s="17" t="n">
        <v>0</v>
      </c>
      <c r="M158" s="17" t="n">
        <v>0</v>
      </c>
      <c r="N158" s="17" t="n">
        <v>0.825</v>
      </c>
      <c r="O158" s="26" t="n">
        <v>1</v>
      </c>
      <c r="P158" s="3" t="inlineStr">
        <is>
          <t>legacy_company_gpu_mix_fallback</t>
        </is>
      </c>
      <c r="Q158" s="3" t="inlineStr">
        <is>
          <t>SRC_GOOGLE_GEMINI_TOKENS; SRC_GOOGLE_IRONWOOD; SRC_GOOGLE_TPU_V6E</t>
        </is>
      </c>
      <c r="R158" s="3" t="inlineStr">
        <is>
          <t>No site-level chip type was available; prior company-level GPU/ASIC mix is retained as fallback.</t>
        </is>
      </c>
    </row>
    <row r="159">
      <c r="A159" s="3" t="inlineStr">
        <is>
          <t>Bear|Google Cedar Rapids|2028</t>
        </is>
      </c>
      <c r="B159" s="3" t="inlineStr">
        <is>
          <t>Bear</t>
        </is>
      </c>
      <c r="C159" s="3" t="inlineStr">
        <is>
          <t>Google Cedar Rapids</t>
        </is>
      </c>
      <c r="D159" s="3" t="n">
        <v>2028</v>
      </c>
      <c r="E159" s="3" t="inlineStr">
        <is>
          <t>Google</t>
        </is>
      </c>
      <c r="F159" s="17" t="n">
        <v>0.049</v>
      </c>
      <c r="G159" s="17" t="n">
        <v>0.056</v>
      </c>
      <c r="H159" s="17" t="n">
        <v>0.045</v>
      </c>
      <c r="I159" s="17" t="n">
        <v>0</v>
      </c>
      <c r="J159" s="17" t="n">
        <v>0</v>
      </c>
      <c r="K159" s="17" t="n">
        <v>0</v>
      </c>
      <c r="L159" s="17" t="n">
        <v>0</v>
      </c>
      <c r="M159" s="17" t="n">
        <v>0</v>
      </c>
      <c r="N159" s="17" t="n">
        <v>0.85</v>
      </c>
      <c r="O159" s="26" t="n">
        <v>1</v>
      </c>
      <c r="P159" s="3" t="inlineStr">
        <is>
          <t>legacy_company_gpu_mix_fallback</t>
        </is>
      </c>
      <c r="Q159" s="3" t="inlineStr">
        <is>
          <t>SRC_GOOGLE_GEMINI_TOKENS; SRC_GOOGLE_IRONWOOD; SRC_GOOGLE_TPU_V6E</t>
        </is>
      </c>
      <c r="R159" s="3" t="inlineStr">
        <is>
          <t>No site-level chip type was available; prior company-level GPU/ASIC mix is retained as fallback.</t>
        </is>
      </c>
    </row>
    <row r="160">
      <c r="A160" s="3" t="inlineStr">
        <is>
          <t>Bear|Google Cedar Rapids|2029</t>
        </is>
      </c>
      <c r="B160" s="3" t="inlineStr">
        <is>
          <t>Bear</t>
        </is>
      </c>
      <c r="C160" s="3" t="inlineStr">
        <is>
          <t>Google Cedar Rapids</t>
        </is>
      </c>
      <c r="D160" s="3" t="n">
        <v>2029</v>
      </c>
      <c r="E160" s="3" t="inlineStr">
        <is>
          <t>Google</t>
        </is>
      </c>
      <c r="F160" s="17" t="n">
        <v>0.027</v>
      </c>
      <c r="G160" s="17" t="n">
        <v>0.045</v>
      </c>
      <c r="H160" s="17" t="n">
        <v>0.053</v>
      </c>
      <c r="I160" s="17" t="n">
        <v>0</v>
      </c>
      <c r="J160" s="17" t="n">
        <v>0</v>
      </c>
      <c r="K160" s="17" t="n">
        <v>0</v>
      </c>
      <c r="L160" s="17" t="n">
        <v>0</v>
      </c>
      <c r="M160" s="17" t="n">
        <v>0</v>
      </c>
      <c r="N160" s="17" t="n">
        <v>0.875</v>
      </c>
      <c r="O160" s="26" t="n">
        <v>1</v>
      </c>
      <c r="P160" s="3" t="inlineStr">
        <is>
          <t>legacy_company_gpu_mix_fallback</t>
        </is>
      </c>
      <c r="Q160" s="3" t="inlineStr">
        <is>
          <t>SRC_GOOGLE_GEMINI_TOKENS; SRC_GOOGLE_IRONWOOD; SRC_GOOGLE_TPU_V6E</t>
        </is>
      </c>
      <c r="R160" s="3" t="inlineStr">
        <is>
          <t>No site-level chip type was available; prior company-level GPU/ASIC mix is retained as fallback.</t>
        </is>
      </c>
    </row>
    <row r="161">
      <c r="A161" s="3" t="inlineStr">
        <is>
          <t>Bear|Google Cedar Rapids|2030</t>
        </is>
      </c>
      <c r="B161" s="3" t="inlineStr">
        <is>
          <t>Bear</t>
        </is>
      </c>
      <c r="C161" s="3" t="inlineStr">
        <is>
          <t>Google Cedar Rapids</t>
        </is>
      </c>
      <c r="D161" s="3" t="n">
        <v>2030</v>
      </c>
      <c r="E161" s="3" t="inlineStr">
        <is>
          <t>Google</t>
        </is>
      </c>
      <c r="F161" s="17" t="n">
        <v>0.01</v>
      </c>
      <c r="G161" s="17" t="n">
        <v>0.035</v>
      </c>
      <c r="H161" s="17" t="n">
        <v>0.055</v>
      </c>
      <c r="I161" s="17" t="n">
        <v>0</v>
      </c>
      <c r="J161" s="17" t="n">
        <v>0</v>
      </c>
      <c r="K161" s="17" t="n">
        <v>0</v>
      </c>
      <c r="L161" s="17" t="n">
        <v>0</v>
      </c>
      <c r="M161" s="17" t="n">
        <v>0</v>
      </c>
      <c r="N161" s="17" t="n">
        <v>0.9</v>
      </c>
      <c r="O161" s="26" t="n">
        <v>1</v>
      </c>
      <c r="P161" s="3" t="inlineStr">
        <is>
          <t>legacy_company_gpu_mix_fallback</t>
        </is>
      </c>
      <c r="Q161" s="3" t="inlineStr">
        <is>
          <t>SRC_GOOGLE_GEMINI_TOKENS; SRC_GOOGLE_IRONWOOD; SRC_GOOGLE_TPU_V6E</t>
        </is>
      </c>
      <c r="R161" s="3" t="inlineStr">
        <is>
          <t>No site-level chip type was available; prior company-level GPU/ASIC mix is retained as fallback.</t>
        </is>
      </c>
    </row>
    <row r="162">
      <c r="A162" s="3" t="inlineStr">
        <is>
          <t>Base|Google Cedar Rapids|2027</t>
        </is>
      </c>
      <c r="B162" s="3" t="inlineStr">
        <is>
          <t>Base</t>
        </is>
      </c>
      <c r="C162" s="3" t="inlineStr">
        <is>
          <t>Google Cedar Rapids</t>
        </is>
      </c>
      <c r="D162" s="3" t="n">
        <v>2027</v>
      </c>
      <c r="E162" s="3" t="inlineStr">
        <is>
          <t>Google</t>
        </is>
      </c>
      <c r="F162" s="17" t="n">
        <v>0.077</v>
      </c>
      <c r="G162" s="17" t="n">
        <v>0.068</v>
      </c>
      <c r="H162" s="17" t="n">
        <v>0.03</v>
      </c>
      <c r="I162" s="17" t="n">
        <v>0</v>
      </c>
      <c r="J162" s="17" t="n">
        <v>0</v>
      </c>
      <c r="K162" s="17" t="n">
        <v>0</v>
      </c>
      <c r="L162" s="17" t="n">
        <v>0</v>
      </c>
      <c r="M162" s="17" t="n">
        <v>0</v>
      </c>
      <c r="N162" s="17" t="n">
        <v>0.825</v>
      </c>
      <c r="O162" s="26" t="n">
        <v>1</v>
      </c>
      <c r="P162" s="3" t="inlineStr">
        <is>
          <t>legacy_company_gpu_mix_fallback</t>
        </is>
      </c>
      <c r="Q162" s="3" t="inlineStr">
        <is>
          <t>SRC_GOOGLE_GEMINI_TOKENS; SRC_GOOGLE_IRONWOOD; SRC_GOOGLE_TPU_V6E</t>
        </is>
      </c>
      <c r="R162" s="3" t="inlineStr">
        <is>
          <t>No site-level chip type was available; prior company-level GPU/ASIC mix is retained as fallback.</t>
        </is>
      </c>
    </row>
    <row r="163">
      <c r="A163" s="3" t="inlineStr">
        <is>
          <t>Base|Google Cedar Rapids|2028</t>
        </is>
      </c>
      <c r="B163" s="3" t="inlineStr">
        <is>
          <t>Base</t>
        </is>
      </c>
      <c r="C163" s="3" t="inlineStr">
        <is>
          <t>Google Cedar Rapids</t>
        </is>
      </c>
      <c r="D163" s="3" t="n">
        <v>2028</v>
      </c>
      <c r="E163" s="3" t="inlineStr">
        <is>
          <t>Google</t>
        </is>
      </c>
      <c r="F163" s="17" t="n">
        <v>0.049</v>
      </c>
      <c r="G163" s="17" t="n">
        <v>0.056</v>
      </c>
      <c r="H163" s="17" t="n">
        <v>0.045</v>
      </c>
      <c r="I163" s="17" t="n">
        <v>0</v>
      </c>
      <c r="J163" s="17" t="n">
        <v>0</v>
      </c>
      <c r="K163" s="17" t="n">
        <v>0</v>
      </c>
      <c r="L163" s="17" t="n">
        <v>0</v>
      </c>
      <c r="M163" s="17" t="n">
        <v>0</v>
      </c>
      <c r="N163" s="17" t="n">
        <v>0.85</v>
      </c>
      <c r="O163" s="26" t="n">
        <v>1</v>
      </c>
      <c r="P163" s="3" t="inlineStr">
        <is>
          <t>legacy_company_gpu_mix_fallback</t>
        </is>
      </c>
      <c r="Q163" s="3" t="inlineStr">
        <is>
          <t>SRC_GOOGLE_GEMINI_TOKENS; SRC_GOOGLE_IRONWOOD; SRC_GOOGLE_TPU_V6E</t>
        </is>
      </c>
      <c r="R163" s="3" t="inlineStr">
        <is>
          <t>No site-level chip type was available; prior company-level GPU/ASIC mix is retained as fallback.</t>
        </is>
      </c>
    </row>
    <row r="164">
      <c r="A164" s="3" t="inlineStr">
        <is>
          <t>Base|Google Cedar Rapids|2029</t>
        </is>
      </c>
      <c r="B164" s="3" t="inlineStr">
        <is>
          <t>Base</t>
        </is>
      </c>
      <c r="C164" s="3" t="inlineStr">
        <is>
          <t>Google Cedar Rapids</t>
        </is>
      </c>
      <c r="D164" s="3" t="n">
        <v>2029</v>
      </c>
      <c r="E164" s="3" t="inlineStr">
        <is>
          <t>Google</t>
        </is>
      </c>
      <c r="F164" s="17" t="n">
        <v>0.027</v>
      </c>
      <c r="G164" s="17" t="n">
        <v>0.045</v>
      </c>
      <c r="H164" s="17" t="n">
        <v>0.053</v>
      </c>
      <c r="I164" s="17" t="n">
        <v>0</v>
      </c>
      <c r="J164" s="17" t="n">
        <v>0</v>
      </c>
      <c r="K164" s="17" t="n">
        <v>0</v>
      </c>
      <c r="L164" s="17" t="n">
        <v>0</v>
      </c>
      <c r="M164" s="17" t="n">
        <v>0</v>
      </c>
      <c r="N164" s="17" t="n">
        <v>0.875</v>
      </c>
      <c r="O164" s="26" t="n">
        <v>1</v>
      </c>
      <c r="P164" s="3" t="inlineStr">
        <is>
          <t>legacy_company_gpu_mix_fallback</t>
        </is>
      </c>
      <c r="Q164" s="3" t="inlineStr">
        <is>
          <t>SRC_GOOGLE_GEMINI_TOKENS; SRC_GOOGLE_IRONWOOD; SRC_GOOGLE_TPU_V6E</t>
        </is>
      </c>
      <c r="R164" s="3" t="inlineStr">
        <is>
          <t>No site-level chip type was available; prior company-level GPU/ASIC mix is retained as fallback.</t>
        </is>
      </c>
    </row>
    <row r="165">
      <c r="A165" s="3" t="inlineStr">
        <is>
          <t>Base|Google Cedar Rapids|2030</t>
        </is>
      </c>
      <c r="B165" s="3" t="inlineStr">
        <is>
          <t>Base</t>
        </is>
      </c>
      <c r="C165" s="3" t="inlineStr">
        <is>
          <t>Google Cedar Rapids</t>
        </is>
      </c>
      <c r="D165" s="3" t="n">
        <v>2030</v>
      </c>
      <c r="E165" s="3" t="inlineStr">
        <is>
          <t>Google</t>
        </is>
      </c>
      <c r="F165" s="17" t="n">
        <v>0.01</v>
      </c>
      <c r="G165" s="17" t="n">
        <v>0.035</v>
      </c>
      <c r="H165" s="17" t="n">
        <v>0.055</v>
      </c>
      <c r="I165" s="17" t="n">
        <v>0</v>
      </c>
      <c r="J165" s="17" t="n">
        <v>0</v>
      </c>
      <c r="K165" s="17" t="n">
        <v>0</v>
      </c>
      <c r="L165" s="17" t="n">
        <v>0</v>
      </c>
      <c r="M165" s="17" t="n">
        <v>0</v>
      </c>
      <c r="N165" s="17" t="n">
        <v>0.9</v>
      </c>
      <c r="O165" s="26" t="n">
        <v>1</v>
      </c>
      <c r="P165" s="3" t="inlineStr">
        <is>
          <t>legacy_company_gpu_mix_fallback</t>
        </is>
      </c>
      <c r="Q165" s="3" t="inlineStr">
        <is>
          <t>SRC_GOOGLE_GEMINI_TOKENS; SRC_GOOGLE_IRONWOOD; SRC_GOOGLE_TPU_V6E</t>
        </is>
      </c>
      <c r="R165" s="3" t="inlineStr">
        <is>
          <t>No site-level chip type was available; prior company-level GPU/ASIC mix is retained as fallback.</t>
        </is>
      </c>
    </row>
    <row r="166">
      <c r="A166" s="3" t="inlineStr">
        <is>
          <t>Bull|Google Cedar Rapids|2027</t>
        </is>
      </c>
      <c r="B166" s="3" t="inlineStr">
        <is>
          <t>Bull</t>
        </is>
      </c>
      <c r="C166" s="3" t="inlineStr">
        <is>
          <t>Google Cedar Rapids</t>
        </is>
      </c>
      <c r="D166" s="3" t="n">
        <v>2027</v>
      </c>
      <c r="E166" s="3" t="inlineStr">
        <is>
          <t>Google</t>
        </is>
      </c>
      <c r="F166" s="17" t="n">
        <v>0.077</v>
      </c>
      <c r="G166" s="17" t="n">
        <v>0.068</v>
      </c>
      <c r="H166" s="17" t="n">
        <v>0.03</v>
      </c>
      <c r="I166" s="17" t="n">
        <v>0</v>
      </c>
      <c r="J166" s="17" t="n">
        <v>0</v>
      </c>
      <c r="K166" s="17" t="n">
        <v>0</v>
      </c>
      <c r="L166" s="17" t="n">
        <v>0</v>
      </c>
      <c r="M166" s="17" t="n">
        <v>0</v>
      </c>
      <c r="N166" s="17" t="n">
        <v>0.825</v>
      </c>
      <c r="O166" s="26" t="n">
        <v>1</v>
      </c>
      <c r="P166" s="3" t="inlineStr">
        <is>
          <t>legacy_company_gpu_mix_fallback</t>
        </is>
      </c>
      <c r="Q166" s="3" t="inlineStr">
        <is>
          <t>SRC_GOOGLE_GEMINI_TOKENS; SRC_GOOGLE_IRONWOOD; SRC_GOOGLE_TPU_V6E</t>
        </is>
      </c>
      <c r="R166" s="3" t="inlineStr">
        <is>
          <t>No site-level chip type was available; prior company-level GPU/ASIC mix is retained as fallback.</t>
        </is>
      </c>
    </row>
    <row r="167">
      <c r="A167" s="3" t="inlineStr">
        <is>
          <t>Bull|Google Cedar Rapids|2028</t>
        </is>
      </c>
      <c r="B167" s="3" t="inlineStr">
        <is>
          <t>Bull</t>
        </is>
      </c>
      <c r="C167" s="3" t="inlineStr">
        <is>
          <t>Google Cedar Rapids</t>
        </is>
      </c>
      <c r="D167" s="3" t="n">
        <v>2028</v>
      </c>
      <c r="E167" s="3" t="inlineStr">
        <is>
          <t>Google</t>
        </is>
      </c>
      <c r="F167" s="17" t="n">
        <v>0.049</v>
      </c>
      <c r="G167" s="17" t="n">
        <v>0.056</v>
      </c>
      <c r="H167" s="17" t="n">
        <v>0.045</v>
      </c>
      <c r="I167" s="17" t="n">
        <v>0</v>
      </c>
      <c r="J167" s="17" t="n">
        <v>0</v>
      </c>
      <c r="K167" s="17" t="n">
        <v>0</v>
      </c>
      <c r="L167" s="17" t="n">
        <v>0</v>
      </c>
      <c r="M167" s="17" t="n">
        <v>0</v>
      </c>
      <c r="N167" s="17" t="n">
        <v>0.85</v>
      </c>
      <c r="O167" s="26" t="n">
        <v>1</v>
      </c>
      <c r="P167" s="3" t="inlineStr">
        <is>
          <t>legacy_company_gpu_mix_fallback</t>
        </is>
      </c>
      <c r="Q167" s="3" t="inlineStr">
        <is>
          <t>SRC_GOOGLE_GEMINI_TOKENS; SRC_GOOGLE_IRONWOOD; SRC_GOOGLE_TPU_V6E</t>
        </is>
      </c>
      <c r="R167" s="3" t="inlineStr">
        <is>
          <t>No site-level chip type was available; prior company-level GPU/ASIC mix is retained as fallback.</t>
        </is>
      </c>
    </row>
    <row r="168">
      <c r="A168" s="3" t="inlineStr">
        <is>
          <t>Bull|Google Cedar Rapids|2029</t>
        </is>
      </c>
      <c r="B168" s="3" t="inlineStr">
        <is>
          <t>Bull</t>
        </is>
      </c>
      <c r="C168" s="3" t="inlineStr">
        <is>
          <t>Google Cedar Rapids</t>
        </is>
      </c>
      <c r="D168" s="3" t="n">
        <v>2029</v>
      </c>
      <c r="E168" s="3" t="inlineStr">
        <is>
          <t>Google</t>
        </is>
      </c>
      <c r="F168" s="17" t="n">
        <v>0.027</v>
      </c>
      <c r="G168" s="17" t="n">
        <v>0.045</v>
      </c>
      <c r="H168" s="17" t="n">
        <v>0.053</v>
      </c>
      <c r="I168" s="17" t="n">
        <v>0</v>
      </c>
      <c r="J168" s="17" t="n">
        <v>0</v>
      </c>
      <c r="K168" s="17" t="n">
        <v>0</v>
      </c>
      <c r="L168" s="17" t="n">
        <v>0</v>
      </c>
      <c r="M168" s="17" t="n">
        <v>0</v>
      </c>
      <c r="N168" s="17" t="n">
        <v>0.875</v>
      </c>
      <c r="O168" s="26" t="n">
        <v>1</v>
      </c>
      <c r="P168" s="3" t="inlineStr">
        <is>
          <t>legacy_company_gpu_mix_fallback</t>
        </is>
      </c>
      <c r="Q168" s="3" t="inlineStr">
        <is>
          <t>SRC_GOOGLE_GEMINI_TOKENS; SRC_GOOGLE_IRONWOOD; SRC_GOOGLE_TPU_V6E</t>
        </is>
      </c>
      <c r="R168" s="3" t="inlineStr">
        <is>
          <t>No site-level chip type was available; prior company-level GPU/ASIC mix is retained as fallback.</t>
        </is>
      </c>
    </row>
    <row r="169">
      <c r="A169" s="3" t="inlineStr">
        <is>
          <t>Bull|Google Cedar Rapids|2030</t>
        </is>
      </c>
      <c r="B169" s="3" t="inlineStr">
        <is>
          <t>Bull</t>
        </is>
      </c>
      <c r="C169" s="3" t="inlineStr">
        <is>
          <t>Google Cedar Rapids</t>
        </is>
      </c>
      <c r="D169" s="3" t="n">
        <v>2030</v>
      </c>
      <c r="E169" s="3" t="inlineStr">
        <is>
          <t>Google</t>
        </is>
      </c>
      <c r="F169" s="17" t="n">
        <v>0.01</v>
      </c>
      <c r="G169" s="17" t="n">
        <v>0.035</v>
      </c>
      <c r="H169" s="17" t="n">
        <v>0.055</v>
      </c>
      <c r="I169" s="17" t="n">
        <v>0</v>
      </c>
      <c r="J169" s="17" t="n">
        <v>0</v>
      </c>
      <c r="K169" s="17" t="n">
        <v>0</v>
      </c>
      <c r="L169" s="17" t="n">
        <v>0</v>
      </c>
      <c r="M169" s="17" t="n">
        <v>0</v>
      </c>
      <c r="N169" s="17" t="n">
        <v>0.9</v>
      </c>
      <c r="O169" s="26" t="n">
        <v>1</v>
      </c>
      <c r="P169" s="3" t="inlineStr">
        <is>
          <t>legacy_company_gpu_mix_fallback</t>
        </is>
      </c>
      <c r="Q169" s="3" t="inlineStr">
        <is>
          <t>SRC_GOOGLE_GEMINI_TOKENS; SRC_GOOGLE_IRONWOOD; SRC_GOOGLE_TPU_V6E</t>
        </is>
      </c>
      <c r="R169" s="3" t="inlineStr">
        <is>
          <t>No site-level chip type was available; prior company-level GPU/ASIC mix is retained as fallback.</t>
        </is>
      </c>
    </row>
    <row r="170">
      <c r="A170" s="3" t="inlineStr">
        <is>
          <t>Grid-Constrained / Efficiency-Upside|Google Cedar Rapids|2027</t>
        </is>
      </c>
      <c r="B170" s="3" t="inlineStr">
        <is>
          <t>Grid-Constrained / Efficiency-Upside</t>
        </is>
      </c>
      <c r="C170" s="3" t="inlineStr">
        <is>
          <t>Google Cedar Rapids</t>
        </is>
      </c>
      <c r="D170" s="3" t="n">
        <v>2027</v>
      </c>
      <c r="E170" s="3" t="inlineStr">
        <is>
          <t>Google</t>
        </is>
      </c>
      <c r="F170" s="17" t="n">
        <v>0.077</v>
      </c>
      <c r="G170" s="17" t="n">
        <v>0.068</v>
      </c>
      <c r="H170" s="17" t="n">
        <v>0.03</v>
      </c>
      <c r="I170" s="17" t="n">
        <v>0</v>
      </c>
      <c r="J170" s="17" t="n">
        <v>0</v>
      </c>
      <c r="K170" s="17" t="n">
        <v>0</v>
      </c>
      <c r="L170" s="17" t="n">
        <v>0</v>
      </c>
      <c r="M170" s="17" t="n">
        <v>0</v>
      </c>
      <c r="N170" s="17" t="n">
        <v>0.825</v>
      </c>
      <c r="O170" s="26" t="n">
        <v>1</v>
      </c>
      <c r="P170" s="3" t="inlineStr">
        <is>
          <t>legacy_company_gpu_mix_fallback</t>
        </is>
      </c>
      <c r="Q170" s="3" t="inlineStr">
        <is>
          <t>SRC_GOOGLE_GEMINI_TOKENS; SRC_GOOGLE_IRONWOOD; SRC_GOOGLE_TPU_V6E</t>
        </is>
      </c>
      <c r="R170" s="3" t="inlineStr">
        <is>
          <t>No site-level chip type was available; prior company-level GPU/ASIC mix is retained as fallback.</t>
        </is>
      </c>
    </row>
    <row r="171">
      <c r="A171" s="3" t="inlineStr">
        <is>
          <t>Grid-Constrained / Efficiency-Upside|Google Cedar Rapids|2028</t>
        </is>
      </c>
      <c r="B171" s="3" t="inlineStr">
        <is>
          <t>Grid-Constrained / Efficiency-Upside</t>
        </is>
      </c>
      <c r="C171" s="3" t="inlineStr">
        <is>
          <t>Google Cedar Rapids</t>
        </is>
      </c>
      <c r="D171" s="3" t="n">
        <v>2028</v>
      </c>
      <c r="E171" s="3" t="inlineStr">
        <is>
          <t>Google</t>
        </is>
      </c>
      <c r="F171" s="17" t="n">
        <v>0.049</v>
      </c>
      <c r="G171" s="17" t="n">
        <v>0.056</v>
      </c>
      <c r="H171" s="17" t="n">
        <v>0.045</v>
      </c>
      <c r="I171" s="17" t="n">
        <v>0</v>
      </c>
      <c r="J171" s="17" t="n">
        <v>0</v>
      </c>
      <c r="K171" s="17" t="n">
        <v>0</v>
      </c>
      <c r="L171" s="17" t="n">
        <v>0</v>
      </c>
      <c r="M171" s="17" t="n">
        <v>0</v>
      </c>
      <c r="N171" s="17" t="n">
        <v>0.85</v>
      </c>
      <c r="O171" s="26" t="n">
        <v>1</v>
      </c>
      <c r="P171" s="3" t="inlineStr">
        <is>
          <t>legacy_company_gpu_mix_fallback</t>
        </is>
      </c>
      <c r="Q171" s="3" t="inlineStr">
        <is>
          <t>SRC_GOOGLE_GEMINI_TOKENS; SRC_GOOGLE_IRONWOOD; SRC_GOOGLE_TPU_V6E</t>
        </is>
      </c>
      <c r="R171" s="3" t="inlineStr">
        <is>
          <t>No site-level chip type was available; prior company-level GPU/ASIC mix is retained as fallback.</t>
        </is>
      </c>
    </row>
    <row r="172">
      <c r="A172" s="3" t="inlineStr">
        <is>
          <t>Grid-Constrained / Efficiency-Upside|Google Cedar Rapids|2029</t>
        </is>
      </c>
      <c r="B172" s="3" t="inlineStr">
        <is>
          <t>Grid-Constrained / Efficiency-Upside</t>
        </is>
      </c>
      <c r="C172" s="3" t="inlineStr">
        <is>
          <t>Google Cedar Rapids</t>
        </is>
      </c>
      <c r="D172" s="3" t="n">
        <v>2029</v>
      </c>
      <c r="E172" s="3" t="inlineStr">
        <is>
          <t>Google</t>
        </is>
      </c>
      <c r="F172" s="17" t="n">
        <v>0.027</v>
      </c>
      <c r="G172" s="17" t="n">
        <v>0.045</v>
      </c>
      <c r="H172" s="17" t="n">
        <v>0.053</v>
      </c>
      <c r="I172" s="17" t="n">
        <v>0</v>
      </c>
      <c r="J172" s="17" t="n">
        <v>0</v>
      </c>
      <c r="K172" s="17" t="n">
        <v>0</v>
      </c>
      <c r="L172" s="17" t="n">
        <v>0</v>
      </c>
      <c r="M172" s="17" t="n">
        <v>0</v>
      </c>
      <c r="N172" s="17" t="n">
        <v>0.875</v>
      </c>
      <c r="O172" s="26" t="n">
        <v>1</v>
      </c>
      <c r="P172" s="3" t="inlineStr">
        <is>
          <t>legacy_company_gpu_mix_fallback</t>
        </is>
      </c>
      <c r="Q172" s="3" t="inlineStr">
        <is>
          <t>SRC_GOOGLE_GEMINI_TOKENS; SRC_GOOGLE_IRONWOOD; SRC_GOOGLE_TPU_V6E</t>
        </is>
      </c>
      <c r="R172" s="3" t="inlineStr">
        <is>
          <t>No site-level chip type was available; prior company-level GPU/ASIC mix is retained as fallback.</t>
        </is>
      </c>
    </row>
    <row r="173">
      <c r="A173" s="3" t="inlineStr">
        <is>
          <t>Grid-Constrained / Efficiency-Upside|Google Cedar Rapids|2030</t>
        </is>
      </c>
      <c r="B173" s="3" t="inlineStr">
        <is>
          <t>Grid-Constrained / Efficiency-Upside</t>
        </is>
      </c>
      <c r="C173" s="3" t="inlineStr">
        <is>
          <t>Google Cedar Rapids</t>
        </is>
      </c>
      <c r="D173" s="3" t="n">
        <v>2030</v>
      </c>
      <c r="E173" s="3" t="inlineStr">
        <is>
          <t>Google</t>
        </is>
      </c>
      <c r="F173" s="17" t="n">
        <v>0.01</v>
      </c>
      <c r="G173" s="17" t="n">
        <v>0.035</v>
      </c>
      <c r="H173" s="17" t="n">
        <v>0.055</v>
      </c>
      <c r="I173" s="17" t="n">
        <v>0</v>
      </c>
      <c r="J173" s="17" t="n">
        <v>0</v>
      </c>
      <c r="K173" s="17" t="n">
        <v>0</v>
      </c>
      <c r="L173" s="17" t="n">
        <v>0</v>
      </c>
      <c r="M173" s="17" t="n">
        <v>0</v>
      </c>
      <c r="N173" s="17" t="n">
        <v>0.9</v>
      </c>
      <c r="O173" s="26" t="n">
        <v>1</v>
      </c>
      <c r="P173" s="3" t="inlineStr">
        <is>
          <t>legacy_company_gpu_mix_fallback</t>
        </is>
      </c>
      <c r="Q173" s="3" t="inlineStr">
        <is>
          <t>SRC_GOOGLE_GEMINI_TOKENS; SRC_GOOGLE_IRONWOOD; SRC_GOOGLE_TPU_V6E</t>
        </is>
      </c>
      <c r="R173" s="3" t="inlineStr">
        <is>
          <t>No site-level chip type was available; prior company-level GPU/ASIC mix is retained as fallback.</t>
        </is>
      </c>
    </row>
    <row r="174">
      <c r="A174" s="3" t="inlineStr">
        <is>
          <t>Bear|Google Columbus|2026</t>
        </is>
      </c>
      <c r="B174" s="3" t="inlineStr">
        <is>
          <t>Bear</t>
        </is>
      </c>
      <c r="C174" s="3" t="inlineStr">
        <is>
          <t>Google Columbus</t>
        </is>
      </c>
      <c r="D174" s="3" t="n">
        <v>2026</v>
      </c>
      <c r="E174" s="3" t="inlineStr">
        <is>
          <t>Google</t>
        </is>
      </c>
      <c r="F174" s="17" t="n">
        <v>0</v>
      </c>
      <c r="G174" s="17" t="n">
        <v>0</v>
      </c>
      <c r="H174" s="17" t="n">
        <v>0</v>
      </c>
      <c r="I174" s="17" t="n">
        <v>0</v>
      </c>
      <c r="J174" s="17" t="n">
        <v>1</v>
      </c>
      <c r="K174" s="17" t="n">
        <v>0</v>
      </c>
      <c r="L174" s="17" t="n">
        <v>0</v>
      </c>
      <c r="M174" s="17" t="n">
        <v>0</v>
      </c>
      <c r="N174" s="17" t="n">
        <v>0</v>
      </c>
      <c r="O174" s="26" t="n">
        <v>1</v>
      </c>
      <c r="P174" s="3" t="inlineStr">
        <is>
          <t>epoch_chip_quantity_latest</t>
        </is>
      </c>
      <c r="Q174" s="3" t="inlineStr">
        <is>
          <t>SRC_EPOCH_AI_DATA_CENTERS; EPOCH_RAW_CHIP_QUANTITIES</t>
        </is>
      </c>
      <c r="R174" s="3" t="inlineStr">
        <is>
          <t>Latest chip quantity per chip type through year-end; normalized by unit count into benchmark buckets.</t>
        </is>
      </c>
    </row>
    <row r="175">
      <c r="A175" s="3" t="inlineStr">
        <is>
          <t>Bear|Google Columbus|2027</t>
        </is>
      </c>
      <c r="B175" s="3" t="inlineStr">
        <is>
          <t>Bear</t>
        </is>
      </c>
      <c r="C175" s="3" t="inlineStr">
        <is>
          <t>Google Columbus</t>
        </is>
      </c>
      <c r="D175" s="3" t="n">
        <v>2027</v>
      </c>
      <c r="E175" s="3" t="inlineStr">
        <is>
          <t>Google</t>
        </is>
      </c>
      <c r="F175" s="17" t="n">
        <v>0</v>
      </c>
      <c r="G175" s="17" t="n">
        <v>0</v>
      </c>
      <c r="H175" s="17" t="n">
        <v>0</v>
      </c>
      <c r="I175" s="17" t="n">
        <v>0</v>
      </c>
      <c r="J175" s="17" t="n">
        <v>1</v>
      </c>
      <c r="K175" s="17" t="n">
        <v>0</v>
      </c>
      <c r="L175" s="17" t="n">
        <v>0</v>
      </c>
      <c r="M175" s="17" t="n">
        <v>0</v>
      </c>
      <c r="N175" s="17" t="n">
        <v>0</v>
      </c>
      <c r="O175" s="26" t="n">
        <v>1</v>
      </c>
      <c r="P175" s="3" t="inlineStr">
        <is>
          <t>epoch_chip_quantity_latest</t>
        </is>
      </c>
      <c r="Q175" s="3" t="inlineStr">
        <is>
          <t>SRC_EPOCH_AI_DATA_CENTERS; EPOCH_RAW_CHIP_QUANTITIES</t>
        </is>
      </c>
      <c r="R175" s="3" t="inlineStr">
        <is>
          <t>Latest chip quantity per chip type through year-end; normalized by unit count into benchmark buckets.</t>
        </is>
      </c>
    </row>
    <row r="176">
      <c r="A176" s="3" t="inlineStr">
        <is>
          <t>Bear|Google Columbus|2028</t>
        </is>
      </c>
      <c r="B176" s="3" t="inlineStr">
        <is>
          <t>Bear</t>
        </is>
      </c>
      <c r="C176" s="3" t="inlineStr">
        <is>
          <t>Google Columbus</t>
        </is>
      </c>
      <c r="D176" s="3" t="n">
        <v>2028</v>
      </c>
      <c r="E176" s="3" t="inlineStr">
        <is>
          <t>Google</t>
        </is>
      </c>
      <c r="F176" s="17" t="n">
        <v>0</v>
      </c>
      <c r="G176" s="17" t="n">
        <v>0</v>
      </c>
      <c r="H176" s="17" t="n">
        <v>0</v>
      </c>
      <c r="I176" s="17" t="n">
        <v>0</v>
      </c>
      <c r="J176" s="17" t="n">
        <v>1</v>
      </c>
      <c r="K176" s="17" t="n">
        <v>0</v>
      </c>
      <c r="L176" s="17" t="n">
        <v>0</v>
      </c>
      <c r="M176" s="17" t="n">
        <v>0</v>
      </c>
      <c r="N176" s="17" t="n">
        <v>0</v>
      </c>
      <c r="O176" s="26" t="n">
        <v>1</v>
      </c>
      <c r="P176" s="3" t="inlineStr">
        <is>
          <t>epoch_chip_quantity_latest</t>
        </is>
      </c>
      <c r="Q176" s="3" t="inlineStr">
        <is>
          <t>SRC_EPOCH_AI_DATA_CENTERS; EPOCH_RAW_CHIP_QUANTITIES</t>
        </is>
      </c>
      <c r="R176" s="3" t="inlineStr">
        <is>
          <t>Latest chip quantity per chip type through year-end; normalized by unit count into benchmark buckets.</t>
        </is>
      </c>
    </row>
    <row r="177">
      <c r="A177" s="3" t="inlineStr">
        <is>
          <t>Bear|Google Columbus|2029</t>
        </is>
      </c>
      <c r="B177" s="3" t="inlineStr">
        <is>
          <t>Bear</t>
        </is>
      </c>
      <c r="C177" s="3" t="inlineStr">
        <is>
          <t>Google Columbus</t>
        </is>
      </c>
      <c r="D177" s="3" t="n">
        <v>2029</v>
      </c>
      <c r="E177" s="3" t="inlineStr">
        <is>
          <t>Google</t>
        </is>
      </c>
      <c r="F177" s="17" t="n">
        <v>0</v>
      </c>
      <c r="G177" s="17" t="n">
        <v>0</v>
      </c>
      <c r="H177" s="17" t="n">
        <v>0</v>
      </c>
      <c r="I177" s="17" t="n">
        <v>0</v>
      </c>
      <c r="J177" s="17" t="n">
        <v>1</v>
      </c>
      <c r="K177" s="17" t="n">
        <v>0</v>
      </c>
      <c r="L177" s="17" t="n">
        <v>0</v>
      </c>
      <c r="M177" s="17" t="n">
        <v>0</v>
      </c>
      <c r="N177" s="17" t="n">
        <v>0</v>
      </c>
      <c r="O177" s="26" t="n">
        <v>1</v>
      </c>
      <c r="P177" s="3" t="inlineStr">
        <is>
          <t>epoch_chip_quantity_latest</t>
        </is>
      </c>
      <c r="Q177" s="3" t="inlineStr">
        <is>
          <t>SRC_EPOCH_AI_DATA_CENTERS; EPOCH_RAW_CHIP_QUANTITIES</t>
        </is>
      </c>
      <c r="R177" s="3" t="inlineStr">
        <is>
          <t>Latest chip quantity per chip type through year-end; normalized by unit count into benchmark buckets.</t>
        </is>
      </c>
    </row>
    <row r="178">
      <c r="A178" s="3" t="inlineStr">
        <is>
          <t>Bear|Google Columbus|2030</t>
        </is>
      </c>
      <c r="B178" s="3" t="inlineStr">
        <is>
          <t>Bear</t>
        </is>
      </c>
      <c r="C178" s="3" t="inlineStr">
        <is>
          <t>Google Columbus</t>
        </is>
      </c>
      <c r="D178" s="3" t="n">
        <v>2030</v>
      </c>
      <c r="E178" s="3" t="inlineStr">
        <is>
          <t>Google</t>
        </is>
      </c>
      <c r="F178" s="17" t="n">
        <v>0</v>
      </c>
      <c r="G178" s="17" t="n">
        <v>0</v>
      </c>
      <c r="H178" s="17" t="n">
        <v>0</v>
      </c>
      <c r="I178" s="17" t="n">
        <v>0</v>
      </c>
      <c r="J178" s="17" t="n">
        <v>1</v>
      </c>
      <c r="K178" s="17" t="n">
        <v>0</v>
      </c>
      <c r="L178" s="17" t="n">
        <v>0</v>
      </c>
      <c r="M178" s="17" t="n">
        <v>0</v>
      </c>
      <c r="N178" s="17" t="n">
        <v>0</v>
      </c>
      <c r="O178" s="26" t="n">
        <v>1</v>
      </c>
      <c r="P178" s="3" t="inlineStr">
        <is>
          <t>epoch_chip_quantity_latest</t>
        </is>
      </c>
      <c r="Q178" s="3" t="inlineStr">
        <is>
          <t>SRC_EPOCH_AI_DATA_CENTERS; EPOCH_RAW_CHIP_QUANTITIES</t>
        </is>
      </c>
      <c r="R178" s="3" t="inlineStr">
        <is>
          <t>Latest chip quantity per chip type through year-end; normalized by unit count into benchmark buckets.</t>
        </is>
      </c>
    </row>
    <row r="179">
      <c r="A179" s="3" t="inlineStr">
        <is>
          <t>Base|Google Columbus|2026</t>
        </is>
      </c>
      <c r="B179" s="3" t="inlineStr">
        <is>
          <t>Base</t>
        </is>
      </c>
      <c r="C179" s="3" t="inlineStr">
        <is>
          <t>Google Columbus</t>
        </is>
      </c>
      <c r="D179" s="3" t="n">
        <v>2026</v>
      </c>
      <c r="E179" s="3" t="inlineStr">
        <is>
          <t>Google</t>
        </is>
      </c>
      <c r="F179" s="17" t="n">
        <v>0</v>
      </c>
      <c r="G179" s="17" t="n">
        <v>0</v>
      </c>
      <c r="H179" s="17" t="n">
        <v>0</v>
      </c>
      <c r="I179" s="17" t="n">
        <v>0</v>
      </c>
      <c r="J179" s="17" t="n">
        <v>1</v>
      </c>
      <c r="K179" s="17" t="n">
        <v>0</v>
      </c>
      <c r="L179" s="17" t="n">
        <v>0</v>
      </c>
      <c r="M179" s="17" t="n">
        <v>0</v>
      </c>
      <c r="N179" s="17" t="n">
        <v>0</v>
      </c>
      <c r="O179" s="26" t="n">
        <v>1</v>
      </c>
      <c r="P179" s="3" t="inlineStr">
        <is>
          <t>epoch_chip_quantity_latest</t>
        </is>
      </c>
      <c r="Q179" s="3" t="inlineStr">
        <is>
          <t>SRC_EPOCH_AI_DATA_CENTERS; EPOCH_RAW_CHIP_QUANTITIES</t>
        </is>
      </c>
      <c r="R179" s="3" t="inlineStr">
        <is>
          <t>Latest chip quantity per chip type through year-end; normalized by unit count into benchmark buckets.</t>
        </is>
      </c>
    </row>
    <row r="180">
      <c r="A180" s="3" t="inlineStr">
        <is>
          <t>Base|Google Columbus|2027</t>
        </is>
      </c>
      <c r="B180" s="3" t="inlineStr">
        <is>
          <t>Base</t>
        </is>
      </c>
      <c r="C180" s="3" t="inlineStr">
        <is>
          <t>Google Columbus</t>
        </is>
      </c>
      <c r="D180" s="3" t="n">
        <v>2027</v>
      </c>
      <c r="E180" s="3" t="inlineStr">
        <is>
          <t>Google</t>
        </is>
      </c>
      <c r="F180" s="17" t="n">
        <v>0</v>
      </c>
      <c r="G180" s="17" t="n">
        <v>0</v>
      </c>
      <c r="H180" s="17" t="n">
        <v>0</v>
      </c>
      <c r="I180" s="17" t="n">
        <v>0</v>
      </c>
      <c r="J180" s="17" t="n">
        <v>1</v>
      </c>
      <c r="K180" s="17" t="n">
        <v>0</v>
      </c>
      <c r="L180" s="17" t="n">
        <v>0</v>
      </c>
      <c r="M180" s="17" t="n">
        <v>0</v>
      </c>
      <c r="N180" s="17" t="n">
        <v>0</v>
      </c>
      <c r="O180" s="26" t="n">
        <v>1</v>
      </c>
      <c r="P180" s="3" t="inlineStr">
        <is>
          <t>epoch_chip_quantity_latest</t>
        </is>
      </c>
      <c r="Q180" s="3" t="inlineStr">
        <is>
          <t>SRC_EPOCH_AI_DATA_CENTERS; EPOCH_RAW_CHIP_QUANTITIES</t>
        </is>
      </c>
      <c r="R180" s="3" t="inlineStr">
        <is>
          <t>Latest chip quantity per chip type through year-end; normalized by unit count into benchmark buckets.</t>
        </is>
      </c>
    </row>
    <row r="181">
      <c r="A181" s="3" t="inlineStr">
        <is>
          <t>Base|Google Columbus|2028</t>
        </is>
      </c>
      <c r="B181" s="3" t="inlineStr">
        <is>
          <t>Base</t>
        </is>
      </c>
      <c r="C181" s="3" t="inlineStr">
        <is>
          <t>Google Columbus</t>
        </is>
      </c>
      <c r="D181" s="3" t="n">
        <v>2028</v>
      </c>
      <c r="E181" s="3" t="inlineStr">
        <is>
          <t>Google</t>
        </is>
      </c>
      <c r="F181" s="17" t="n">
        <v>0</v>
      </c>
      <c r="G181" s="17" t="n">
        <v>0</v>
      </c>
      <c r="H181" s="17" t="n">
        <v>0</v>
      </c>
      <c r="I181" s="17" t="n">
        <v>0</v>
      </c>
      <c r="J181" s="17" t="n">
        <v>1</v>
      </c>
      <c r="K181" s="17" t="n">
        <v>0</v>
      </c>
      <c r="L181" s="17" t="n">
        <v>0</v>
      </c>
      <c r="M181" s="17" t="n">
        <v>0</v>
      </c>
      <c r="N181" s="17" t="n">
        <v>0</v>
      </c>
      <c r="O181" s="26" t="n">
        <v>1</v>
      </c>
      <c r="P181" s="3" t="inlineStr">
        <is>
          <t>epoch_chip_quantity_latest</t>
        </is>
      </c>
      <c r="Q181" s="3" t="inlineStr">
        <is>
          <t>SRC_EPOCH_AI_DATA_CENTERS; EPOCH_RAW_CHIP_QUANTITIES</t>
        </is>
      </c>
      <c r="R181" s="3" t="inlineStr">
        <is>
          <t>Latest chip quantity per chip type through year-end; normalized by unit count into benchmark buckets.</t>
        </is>
      </c>
    </row>
    <row r="182">
      <c r="A182" s="3" t="inlineStr">
        <is>
          <t>Base|Google Columbus|2029</t>
        </is>
      </c>
      <c r="B182" s="3" t="inlineStr">
        <is>
          <t>Base</t>
        </is>
      </c>
      <c r="C182" s="3" t="inlineStr">
        <is>
          <t>Google Columbus</t>
        </is>
      </c>
      <c r="D182" s="3" t="n">
        <v>2029</v>
      </c>
      <c r="E182" s="3" t="inlineStr">
        <is>
          <t>Google</t>
        </is>
      </c>
      <c r="F182" s="17" t="n">
        <v>0</v>
      </c>
      <c r="G182" s="17" t="n">
        <v>0</v>
      </c>
      <c r="H182" s="17" t="n">
        <v>0</v>
      </c>
      <c r="I182" s="17" t="n">
        <v>0</v>
      </c>
      <c r="J182" s="17" t="n">
        <v>1</v>
      </c>
      <c r="K182" s="17" t="n">
        <v>0</v>
      </c>
      <c r="L182" s="17" t="n">
        <v>0</v>
      </c>
      <c r="M182" s="17" t="n">
        <v>0</v>
      </c>
      <c r="N182" s="17" t="n">
        <v>0</v>
      </c>
      <c r="O182" s="26" t="n">
        <v>1</v>
      </c>
      <c r="P182" s="3" t="inlineStr">
        <is>
          <t>epoch_chip_quantity_latest</t>
        </is>
      </c>
      <c r="Q182" s="3" t="inlineStr">
        <is>
          <t>SRC_EPOCH_AI_DATA_CENTERS; EPOCH_RAW_CHIP_QUANTITIES</t>
        </is>
      </c>
      <c r="R182" s="3" t="inlineStr">
        <is>
          <t>Latest chip quantity per chip type through year-end; normalized by unit count into benchmark buckets.</t>
        </is>
      </c>
    </row>
    <row r="183">
      <c r="A183" s="3" t="inlineStr">
        <is>
          <t>Base|Google Columbus|2030</t>
        </is>
      </c>
      <c r="B183" s="3" t="inlineStr">
        <is>
          <t>Base</t>
        </is>
      </c>
      <c r="C183" s="3" t="inlineStr">
        <is>
          <t>Google Columbus</t>
        </is>
      </c>
      <c r="D183" s="3" t="n">
        <v>2030</v>
      </c>
      <c r="E183" s="3" t="inlineStr">
        <is>
          <t>Google</t>
        </is>
      </c>
      <c r="F183" s="17" t="n">
        <v>0</v>
      </c>
      <c r="G183" s="17" t="n">
        <v>0</v>
      </c>
      <c r="H183" s="17" t="n">
        <v>0</v>
      </c>
      <c r="I183" s="17" t="n">
        <v>0</v>
      </c>
      <c r="J183" s="17" t="n">
        <v>1</v>
      </c>
      <c r="K183" s="17" t="n">
        <v>0</v>
      </c>
      <c r="L183" s="17" t="n">
        <v>0</v>
      </c>
      <c r="M183" s="17" t="n">
        <v>0</v>
      </c>
      <c r="N183" s="17" t="n">
        <v>0</v>
      </c>
      <c r="O183" s="26" t="n">
        <v>1</v>
      </c>
      <c r="P183" s="3" t="inlineStr">
        <is>
          <t>epoch_chip_quantity_latest</t>
        </is>
      </c>
      <c r="Q183" s="3" t="inlineStr">
        <is>
          <t>SRC_EPOCH_AI_DATA_CENTERS; EPOCH_RAW_CHIP_QUANTITIES</t>
        </is>
      </c>
      <c r="R183" s="3" t="inlineStr">
        <is>
          <t>Latest chip quantity per chip type through year-end; normalized by unit count into benchmark buckets.</t>
        </is>
      </c>
    </row>
    <row r="184">
      <c r="A184" s="3" t="inlineStr">
        <is>
          <t>Bull|Google Columbus|2026</t>
        </is>
      </c>
      <c r="B184" s="3" t="inlineStr">
        <is>
          <t>Bull</t>
        </is>
      </c>
      <c r="C184" s="3" t="inlineStr">
        <is>
          <t>Google Columbus</t>
        </is>
      </c>
      <c r="D184" s="3" t="n">
        <v>2026</v>
      </c>
      <c r="E184" s="3" t="inlineStr">
        <is>
          <t>Google</t>
        </is>
      </c>
      <c r="F184" s="17" t="n">
        <v>0</v>
      </c>
      <c r="G184" s="17" t="n">
        <v>0</v>
      </c>
      <c r="H184" s="17" t="n">
        <v>0</v>
      </c>
      <c r="I184" s="17" t="n">
        <v>0</v>
      </c>
      <c r="J184" s="17" t="n">
        <v>1</v>
      </c>
      <c r="K184" s="17" t="n">
        <v>0</v>
      </c>
      <c r="L184" s="17" t="n">
        <v>0</v>
      </c>
      <c r="M184" s="17" t="n">
        <v>0</v>
      </c>
      <c r="N184" s="17" t="n">
        <v>0</v>
      </c>
      <c r="O184" s="26" t="n">
        <v>1</v>
      </c>
      <c r="P184" s="3" t="inlineStr">
        <is>
          <t>epoch_chip_quantity_latest</t>
        </is>
      </c>
      <c r="Q184" s="3" t="inlineStr">
        <is>
          <t>SRC_EPOCH_AI_DATA_CENTERS; EPOCH_RAW_CHIP_QUANTITIES</t>
        </is>
      </c>
      <c r="R184" s="3" t="inlineStr">
        <is>
          <t>Latest chip quantity per chip type through year-end; normalized by unit count into benchmark buckets.</t>
        </is>
      </c>
    </row>
    <row r="185">
      <c r="A185" s="3" t="inlineStr">
        <is>
          <t>Bull|Google Columbus|2027</t>
        </is>
      </c>
      <c r="B185" s="3" t="inlineStr">
        <is>
          <t>Bull</t>
        </is>
      </c>
      <c r="C185" s="3" t="inlineStr">
        <is>
          <t>Google Columbus</t>
        </is>
      </c>
      <c r="D185" s="3" t="n">
        <v>2027</v>
      </c>
      <c r="E185" s="3" t="inlineStr">
        <is>
          <t>Google</t>
        </is>
      </c>
      <c r="F185" s="17" t="n">
        <v>0</v>
      </c>
      <c r="G185" s="17" t="n">
        <v>0</v>
      </c>
      <c r="H185" s="17" t="n">
        <v>0</v>
      </c>
      <c r="I185" s="17" t="n">
        <v>0</v>
      </c>
      <c r="J185" s="17" t="n">
        <v>1</v>
      </c>
      <c r="K185" s="17" t="n">
        <v>0</v>
      </c>
      <c r="L185" s="17" t="n">
        <v>0</v>
      </c>
      <c r="M185" s="17" t="n">
        <v>0</v>
      </c>
      <c r="N185" s="17" t="n">
        <v>0</v>
      </c>
      <c r="O185" s="26" t="n">
        <v>1</v>
      </c>
      <c r="P185" s="3" t="inlineStr">
        <is>
          <t>epoch_chip_quantity_latest</t>
        </is>
      </c>
      <c r="Q185" s="3" t="inlineStr">
        <is>
          <t>SRC_EPOCH_AI_DATA_CENTERS; EPOCH_RAW_CHIP_QUANTITIES</t>
        </is>
      </c>
      <c r="R185" s="3" t="inlineStr">
        <is>
          <t>Latest chip quantity per chip type through year-end; normalized by unit count into benchmark buckets.</t>
        </is>
      </c>
    </row>
    <row r="186">
      <c r="A186" s="3" t="inlineStr">
        <is>
          <t>Bull|Google Columbus|2028</t>
        </is>
      </c>
      <c r="B186" s="3" t="inlineStr">
        <is>
          <t>Bull</t>
        </is>
      </c>
      <c r="C186" s="3" t="inlineStr">
        <is>
          <t>Google Columbus</t>
        </is>
      </c>
      <c r="D186" s="3" t="n">
        <v>2028</v>
      </c>
      <c r="E186" s="3" t="inlineStr">
        <is>
          <t>Google</t>
        </is>
      </c>
      <c r="F186" s="17" t="n">
        <v>0</v>
      </c>
      <c r="G186" s="17" t="n">
        <v>0</v>
      </c>
      <c r="H186" s="17" t="n">
        <v>0</v>
      </c>
      <c r="I186" s="17" t="n">
        <v>0</v>
      </c>
      <c r="J186" s="17" t="n">
        <v>1</v>
      </c>
      <c r="K186" s="17" t="n">
        <v>0</v>
      </c>
      <c r="L186" s="17" t="n">
        <v>0</v>
      </c>
      <c r="M186" s="17" t="n">
        <v>0</v>
      </c>
      <c r="N186" s="17" t="n">
        <v>0</v>
      </c>
      <c r="O186" s="26" t="n">
        <v>1</v>
      </c>
      <c r="P186" s="3" t="inlineStr">
        <is>
          <t>epoch_chip_quantity_latest</t>
        </is>
      </c>
      <c r="Q186" s="3" t="inlineStr">
        <is>
          <t>SRC_EPOCH_AI_DATA_CENTERS; EPOCH_RAW_CHIP_QUANTITIES</t>
        </is>
      </c>
      <c r="R186" s="3" t="inlineStr">
        <is>
          <t>Latest chip quantity per chip type through year-end; normalized by unit count into benchmark buckets.</t>
        </is>
      </c>
    </row>
    <row r="187">
      <c r="A187" s="3" t="inlineStr">
        <is>
          <t>Bull|Google Columbus|2029</t>
        </is>
      </c>
      <c r="B187" s="3" t="inlineStr">
        <is>
          <t>Bull</t>
        </is>
      </c>
      <c r="C187" s="3" t="inlineStr">
        <is>
          <t>Google Columbus</t>
        </is>
      </c>
      <c r="D187" s="3" t="n">
        <v>2029</v>
      </c>
      <c r="E187" s="3" t="inlineStr">
        <is>
          <t>Google</t>
        </is>
      </c>
      <c r="F187" s="17" t="n">
        <v>0</v>
      </c>
      <c r="G187" s="17" t="n">
        <v>0</v>
      </c>
      <c r="H187" s="17" t="n">
        <v>0</v>
      </c>
      <c r="I187" s="17" t="n">
        <v>0</v>
      </c>
      <c r="J187" s="17" t="n">
        <v>1</v>
      </c>
      <c r="K187" s="17" t="n">
        <v>0</v>
      </c>
      <c r="L187" s="17" t="n">
        <v>0</v>
      </c>
      <c r="M187" s="17" t="n">
        <v>0</v>
      </c>
      <c r="N187" s="17" t="n">
        <v>0</v>
      </c>
      <c r="O187" s="26" t="n">
        <v>1</v>
      </c>
      <c r="P187" s="3" t="inlineStr">
        <is>
          <t>epoch_chip_quantity_latest</t>
        </is>
      </c>
      <c r="Q187" s="3" t="inlineStr">
        <is>
          <t>SRC_EPOCH_AI_DATA_CENTERS; EPOCH_RAW_CHIP_QUANTITIES</t>
        </is>
      </c>
      <c r="R187" s="3" t="inlineStr">
        <is>
          <t>Latest chip quantity per chip type through year-end; normalized by unit count into benchmark buckets.</t>
        </is>
      </c>
    </row>
    <row r="188">
      <c r="A188" s="3" t="inlineStr">
        <is>
          <t>Bull|Google Columbus|2030</t>
        </is>
      </c>
      <c r="B188" s="3" t="inlineStr">
        <is>
          <t>Bull</t>
        </is>
      </c>
      <c r="C188" s="3" t="inlineStr">
        <is>
          <t>Google Columbus</t>
        </is>
      </c>
      <c r="D188" s="3" t="n">
        <v>2030</v>
      </c>
      <c r="E188" s="3" t="inlineStr">
        <is>
          <t>Google</t>
        </is>
      </c>
      <c r="F188" s="17" t="n">
        <v>0</v>
      </c>
      <c r="G188" s="17" t="n">
        <v>0</v>
      </c>
      <c r="H188" s="17" t="n">
        <v>0</v>
      </c>
      <c r="I188" s="17" t="n">
        <v>0</v>
      </c>
      <c r="J188" s="17" t="n">
        <v>1</v>
      </c>
      <c r="K188" s="17" t="n">
        <v>0</v>
      </c>
      <c r="L188" s="17" t="n">
        <v>0</v>
      </c>
      <c r="M188" s="17" t="n">
        <v>0</v>
      </c>
      <c r="N188" s="17" t="n">
        <v>0</v>
      </c>
      <c r="O188" s="26" t="n">
        <v>1</v>
      </c>
      <c r="P188" s="3" t="inlineStr">
        <is>
          <t>epoch_chip_quantity_latest</t>
        </is>
      </c>
      <c r="Q188" s="3" t="inlineStr">
        <is>
          <t>SRC_EPOCH_AI_DATA_CENTERS; EPOCH_RAW_CHIP_QUANTITIES</t>
        </is>
      </c>
      <c r="R188" s="3" t="inlineStr">
        <is>
          <t>Latest chip quantity per chip type through year-end; normalized by unit count into benchmark buckets.</t>
        </is>
      </c>
    </row>
    <row r="189">
      <c r="A189" s="3" t="inlineStr">
        <is>
          <t>Grid-Constrained / Efficiency-Upside|Google Columbus|2026</t>
        </is>
      </c>
      <c r="B189" s="3" t="inlineStr">
        <is>
          <t>Grid-Constrained / Efficiency-Upside</t>
        </is>
      </c>
      <c r="C189" s="3" t="inlineStr">
        <is>
          <t>Google Columbus</t>
        </is>
      </c>
      <c r="D189" s="3" t="n">
        <v>2026</v>
      </c>
      <c r="E189" s="3" t="inlineStr">
        <is>
          <t>Google</t>
        </is>
      </c>
      <c r="F189" s="17" t="n">
        <v>0</v>
      </c>
      <c r="G189" s="17" t="n">
        <v>0</v>
      </c>
      <c r="H189" s="17" t="n">
        <v>0</v>
      </c>
      <c r="I189" s="17" t="n">
        <v>0</v>
      </c>
      <c r="J189" s="17" t="n">
        <v>1</v>
      </c>
      <c r="K189" s="17" t="n">
        <v>0</v>
      </c>
      <c r="L189" s="17" t="n">
        <v>0</v>
      </c>
      <c r="M189" s="17" t="n">
        <v>0</v>
      </c>
      <c r="N189" s="17" t="n">
        <v>0</v>
      </c>
      <c r="O189" s="26" t="n">
        <v>1</v>
      </c>
      <c r="P189" s="3" t="inlineStr">
        <is>
          <t>epoch_chip_quantity_latest</t>
        </is>
      </c>
      <c r="Q189" s="3" t="inlineStr">
        <is>
          <t>SRC_EPOCH_AI_DATA_CENTERS; EPOCH_RAW_CHIP_QUANTITIES</t>
        </is>
      </c>
      <c r="R189" s="3" t="inlineStr">
        <is>
          <t>Latest chip quantity per chip type through year-end; normalized by unit count into benchmark buckets.</t>
        </is>
      </c>
    </row>
    <row r="190">
      <c r="A190" s="3" t="inlineStr">
        <is>
          <t>Grid-Constrained / Efficiency-Upside|Google Columbus|2027</t>
        </is>
      </c>
      <c r="B190" s="3" t="inlineStr">
        <is>
          <t>Grid-Constrained / Efficiency-Upside</t>
        </is>
      </c>
      <c r="C190" s="3" t="inlineStr">
        <is>
          <t>Google Columbus</t>
        </is>
      </c>
      <c r="D190" s="3" t="n">
        <v>2027</v>
      </c>
      <c r="E190" s="3" t="inlineStr">
        <is>
          <t>Google</t>
        </is>
      </c>
      <c r="F190" s="17" t="n">
        <v>0</v>
      </c>
      <c r="G190" s="17" t="n">
        <v>0</v>
      </c>
      <c r="H190" s="17" t="n">
        <v>0</v>
      </c>
      <c r="I190" s="17" t="n">
        <v>0</v>
      </c>
      <c r="J190" s="17" t="n">
        <v>1</v>
      </c>
      <c r="K190" s="17" t="n">
        <v>0</v>
      </c>
      <c r="L190" s="17" t="n">
        <v>0</v>
      </c>
      <c r="M190" s="17" t="n">
        <v>0</v>
      </c>
      <c r="N190" s="17" t="n">
        <v>0</v>
      </c>
      <c r="O190" s="26" t="n">
        <v>1</v>
      </c>
      <c r="P190" s="3" t="inlineStr">
        <is>
          <t>epoch_chip_quantity_latest</t>
        </is>
      </c>
      <c r="Q190" s="3" t="inlineStr">
        <is>
          <t>SRC_EPOCH_AI_DATA_CENTERS; EPOCH_RAW_CHIP_QUANTITIES</t>
        </is>
      </c>
      <c r="R190" s="3" t="inlineStr">
        <is>
          <t>Latest chip quantity per chip type through year-end; normalized by unit count into benchmark buckets.</t>
        </is>
      </c>
    </row>
    <row r="191">
      <c r="A191" s="3" t="inlineStr">
        <is>
          <t>Grid-Constrained / Efficiency-Upside|Google Columbus|2028</t>
        </is>
      </c>
      <c r="B191" s="3" t="inlineStr">
        <is>
          <t>Grid-Constrained / Efficiency-Upside</t>
        </is>
      </c>
      <c r="C191" s="3" t="inlineStr">
        <is>
          <t>Google Columbus</t>
        </is>
      </c>
      <c r="D191" s="3" t="n">
        <v>2028</v>
      </c>
      <c r="E191" s="3" t="inlineStr">
        <is>
          <t>Google</t>
        </is>
      </c>
      <c r="F191" s="17" t="n">
        <v>0</v>
      </c>
      <c r="G191" s="17" t="n">
        <v>0</v>
      </c>
      <c r="H191" s="17" t="n">
        <v>0</v>
      </c>
      <c r="I191" s="17" t="n">
        <v>0</v>
      </c>
      <c r="J191" s="17" t="n">
        <v>1</v>
      </c>
      <c r="K191" s="17" t="n">
        <v>0</v>
      </c>
      <c r="L191" s="17" t="n">
        <v>0</v>
      </c>
      <c r="M191" s="17" t="n">
        <v>0</v>
      </c>
      <c r="N191" s="17" t="n">
        <v>0</v>
      </c>
      <c r="O191" s="26" t="n">
        <v>1</v>
      </c>
      <c r="P191" s="3" t="inlineStr">
        <is>
          <t>epoch_chip_quantity_latest</t>
        </is>
      </c>
      <c r="Q191" s="3" t="inlineStr">
        <is>
          <t>SRC_EPOCH_AI_DATA_CENTERS; EPOCH_RAW_CHIP_QUANTITIES</t>
        </is>
      </c>
      <c r="R191" s="3" t="inlineStr">
        <is>
          <t>Latest chip quantity per chip type through year-end; normalized by unit count into benchmark buckets.</t>
        </is>
      </c>
    </row>
    <row r="192">
      <c r="A192" s="3" t="inlineStr">
        <is>
          <t>Grid-Constrained / Efficiency-Upside|Google Columbus|2029</t>
        </is>
      </c>
      <c r="B192" s="3" t="inlineStr">
        <is>
          <t>Grid-Constrained / Efficiency-Upside</t>
        </is>
      </c>
      <c r="C192" s="3" t="inlineStr">
        <is>
          <t>Google Columbus</t>
        </is>
      </c>
      <c r="D192" s="3" t="n">
        <v>2029</v>
      </c>
      <c r="E192" s="3" t="inlineStr">
        <is>
          <t>Google</t>
        </is>
      </c>
      <c r="F192" s="17" t="n">
        <v>0</v>
      </c>
      <c r="G192" s="17" t="n">
        <v>0</v>
      </c>
      <c r="H192" s="17" t="n">
        <v>0</v>
      </c>
      <c r="I192" s="17" t="n">
        <v>0</v>
      </c>
      <c r="J192" s="17" t="n">
        <v>1</v>
      </c>
      <c r="K192" s="17" t="n">
        <v>0</v>
      </c>
      <c r="L192" s="17" t="n">
        <v>0</v>
      </c>
      <c r="M192" s="17" t="n">
        <v>0</v>
      </c>
      <c r="N192" s="17" t="n">
        <v>0</v>
      </c>
      <c r="O192" s="26" t="n">
        <v>1</v>
      </c>
      <c r="P192" s="3" t="inlineStr">
        <is>
          <t>epoch_chip_quantity_latest</t>
        </is>
      </c>
      <c r="Q192" s="3" t="inlineStr">
        <is>
          <t>SRC_EPOCH_AI_DATA_CENTERS; EPOCH_RAW_CHIP_QUANTITIES</t>
        </is>
      </c>
      <c r="R192" s="3" t="inlineStr">
        <is>
          <t>Latest chip quantity per chip type through year-end; normalized by unit count into benchmark buckets.</t>
        </is>
      </c>
    </row>
    <row r="193">
      <c r="A193" s="3" t="inlineStr">
        <is>
          <t>Grid-Constrained / Efficiency-Upside|Google Columbus|2030</t>
        </is>
      </c>
      <c r="B193" s="3" t="inlineStr">
        <is>
          <t>Grid-Constrained / Efficiency-Upside</t>
        </is>
      </c>
      <c r="C193" s="3" t="inlineStr">
        <is>
          <t>Google Columbus</t>
        </is>
      </c>
      <c r="D193" s="3" t="n">
        <v>2030</v>
      </c>
      <c r="E193" s="3" t="inlineStr">
        <is>
          <t>Google</t>
        </is>
      </c>
      <c r="F193" s="17" t="n">
        <v>0</v>
      </c>
      <c r="G193" s="17" t="n">
        <v>0</v>
      </c>
      <c r="H193" s="17" t="n">
        <v>0</v>
      </c>
      <c r="I193" s="17" t="n">
        <v>0</v>
      </c>
      <c r="J193" s="17" t="n">
        <v>1</v>
      </c>
      <c r="K193" s="17" t="n">
        <v>0</v>
      </c>
      <c r="L193" s="17" t="n">
        <v>0</v>
      </c>
      <c r="M193" s="17" t="n">
        <v>0</v>
      </c>
      <c r="N193" s="17" t="n">
        <v>0</v>
      </c>
      <c r="O193" s="26" t="n">
        <v>1</v>
      </c>
      <c r="P193" s="3" t="inlineStr">
        <is>
          <t>epoch_chip_quantity_latest</t>
        </is>
      </c>
      <c r="Q193" s="3" t="inlineStr">
        <is>
          <t>SRC_EPOCH_AI_DATA_CENTERS; EPOCH_RAW_CHIP_QUANTITIES</t>
        </is>
      </c>
      <c r="R193" s="3" t="inlineStr">
        <is>
          <t>Latest chip quantity per chip type through year-end; normalized by unit count into benchmark buckets.</t>
        </is>
      </c>
    </row>
    <row r="194">
      <c r="A194" s="3" t="inlineStr">
        <is>
          <t>Bear|Google Council Bluffs (East)|2026</t>
        </is>
      </c>
      <c r="B194" s="3" t="inlineStr">
        <is>
          <t>Bear</t>
        </is>
      </c>
      <c r="C194" s="3" t="inlineStr">
        <is>
          <t>Google Council Bluffs (East)</t>
        </is>
      </c>
      <c r="D194" s="3" t="n">
        <v>2026</v>
      </c>
      <c r="E194" s="3" t="inlineStr">
        <is>
          <t>Google</t>
        </is>
      </c>
      <c r="F194" s="17" t="n">
        <v>0</v>
      </c>
      <c r="G194" s="17" t="n">
        <v>0</v>
      </c>
      <c r="H194" s="17" t="n">
        <v>0</v>
      </c>
      <c r="I194" s="17" t="n">
        <v>0</v>
      </c>
      <c r="J194" s="17" t="n">
        <v>1</v>
      </c>
      <c r="K194" s="17" t="n">
        <v>0</v>
      </c>
      <c r="L194" s="17" t="n">
        <v>0</v>
      </c>
      <c r="M194" s="17" t="n">
        <v>0</v>
      </c>
      <c r="N194" s="17" t="n">
        <v>0</v>
      </c>
      <c r="O194" s="26" t="n">
        <v>1</v>
      </c>
      <c r="P194" s="3" t="inlineStr">
        <is>
          <t>epoch_chip_quantity_latest</t>
        </is>
      </c>
      <c r="Q194" s="3" t="inlineStr">
        <is>
          <t>SRC_EPOCH_AI_DATA_CENTERS; EPOCH_RAW_CHIP_QUANTITIES</t>
        </is>
      </c>
      <c r="R194" s="3" t="inlineStr">
        <is>
          <t>Latest chip quantity per chip type through year-end; normalized by unit count into benchmark buckets.</t>
        </is>
      </c>
    </row>
    <row r="195">
      <c r="A195" s="3" t="inlineStr">
        <is>
          <t>Bear|Google Council Bluffs (East)|2027</t>
        </is>
      </c>
      <c r="B195" s="3" t="inlineStr">
        <is>
          <t>Bear</t>
        </is>
      </c>
      <c r="C195" s="3" t="inlineStr">
        <is>
          <t>Google Council Bluffs (East)</t>
        </is>
      </c>
      <c r="D195" s="3" t="n">
        <v>2027</v>
      </c>
      <c r="E195" s="3" t="inlineStr">
        <is>
          <t>Google</t>
        </is>
      </c>
      <c r="F195" s="17" t="n">
        <v>0</v>
      </c>
      <c r="G195" s="17" t="n">
        <v>0</v>
      </c>
      <c r="H195" s="17" t="n">
        <v>0</v>
      </c>
      <c r="I195" s="17" t="n">
        <v>0</v>
      </c>
      <c r="J195" s="17" t="n">
        <v>1</v>
      </c>
      <c r="K195" s="17" t="n">
        <v>0</v>
      </c>
      <c r="L195" s="17" t="n">
        <v>0</v>
      </c>
      <c r="M195" s="17" t="n">
        <v>0</v>
      </c>
      <c r="N195" s="17" t="n">
        <v>0</v>
      </c>
      <c r="O195" s="26" t="n">
        <v>1</v>
      </c>
      <c r="P195" s="3" t="inlineStr">
        <is>
          <t>epoch_chip_quantity_latest</t>
        </is>
      </c>
      <c r="Q195" s="3" t="inlineStr">
        <is>
          <t>SRC_EPOCH_AI_DATA_CENTERS; EPOCH_RAW_CHIP_QUANTITIES</t>
        </is>
      </c>
      <c r="R195" s="3" t="inlineStr">
        <is>
          <t>Latest chip quantity per chip type through year-end; normalized by unit count into benchmark buckets.</t>
        </is>
      </c>
    </row>
    <row r="196">
      <c r="A196" s="3" t="inlineStr">
        <is>
          <t>Bear|Google Council Bluffs (East)|2028</t>
        </is>
      </c>
      <c r="B196" s="3" t="inlineStr">
        <is>
          <t>Bear</t>
        </is>
      </c>
      <c r="C196" s="3" t="inlineStr">
        <is>
          <t>Google Council Bluffs (East)</t>
        </is>
      </c>
      <c r="D196" s="3" t="n">
        <v>2028</v>
      </c>
      <c r="E196" s="3" t="inlineStr">
        <is>
          <t>Google</t>
        </is>
      </c>
      <c r="F196" s="17" t="n">
        <v>0</v>
      </c>
      <c r="G196" s="17" t="n">
        <v>0</v>
      </c>
      <c r="H196" s="17" t="n">
        <v>0</v>
      </c>
      <c r="I196" s="17" t="n">
        <v>0</v>
      </c>
      <c r="J196" s="17" t="n">
        <v>1</v>
      </c>
      <c r="K196" s="17" t="n">
        <v>0</v>
      </c>
      <c r="L196" s="17" t="n">
        <v>0</v>
      </c>
      <c r="M196" s="17" t="n">
        <v>0</v>
      </c>
      <c r="N196" s="17" t="n">
        <v>0</v>
      </c>
      <c r="O196" s="26" t="n">
        <v>1</v>
      </c>
      <c r="P196" s="3" t="inlineStr">
        <is>
          <t>epoch_chip_quantity_latest</t>
        </is>
      </c>
      <c r="Q196" s="3" t="inlineStr">
        <is>
          <t>SRC_EPOCH_AI_DATA_CENTERS; EPOCH_RAW_CHIP_QUANTITIES</t>
        </is>
      </c>
      <c r="R196" s="3" t="inlineStr">
        <is>
          <t>Latest chip quantity per chip type through year-end; normalized by unit count into benchmark buckets.</t>
        </is>
      </c>
    </row>
    <row r="197">
      <c r="A197" s="3" t="inlineStr">
        <is>
          <t>Bear|Google Council Bluffs (East)|2029</t>
        </is>
      </c>
      <c r="B197" s="3" t="inlineStr">
        <is>
          <t>Bear</t>
        </is>
      </c>
      <c r="C197" s="3" t="inlineStr">
        <is>
          <t>Google Council Bluffs (East)</t>
        </is>
      </c>
      <c r="D197" s="3" t="n">
        <v>2029</v>
      </c>
      <c r="E197" s="3" t="inlineStr">
        <is>
          <t>Google</t>
        </is>
      </c>
      <c r="F197" s="17" t="n">
        <v>0</v>
      </c>
      <c r="G197" s="17" t="n">
        <v>0</v>
      </c>
      <c r="H197" s="17" t="n">
        <v>0</v>
      </c>
      <c r="I197" s="17" t="n">
        <v>0</v>
      </c>
      <c r="J197" s="17" t="n">
        <v>1</v>
      </c>
      <c r="K197" s="17" t="n">
        <v>0</v>
      </c>
      <c r="L197" s="17" t="n">
        <v>0</v>
      </c>
      <c r="M197" s="17" t="n">
        <v>0</v>
      </c>
      <c r="N197" s="17" t="n">
        <v>0</v>
      </c>
      <c r="O197" s="26" t="n">
        <v>1</v>
      </c>
      <c r="P197" s="3" t="inlineStr">
        <is>
          <t>epoch_chip_quantity_latest</t>
        </is>
      </c>
      <c r="Q197" s="3" t="inlineStr">
        <is>
          <t>SRC_EPOCH_AI_DATA_CENTERS; EPOCH_RAW_CHIP_QUANTITIES</t>
        </is>
      </c>
      <c r="R197" s="3" t="inlineStr">
        <is>
          <t>Latest chip quantity per chip type through year-end; normalized by unit count into benchmark buckets.</t>
        </is>
      </c>
    </row>
    <row r="198">
      <c r="A198" s="3" t="inlineStr">
        <is>
          <t>Bear|Google Council Bluffs (East)|2030</t>
        </is>
      </c>
      <c r="B198" s="3" t="inlineStr">
        <is>
          <t>Bear</t>
        </is>
      </c>
      <c r="C198" s="3" t="inlineStr">
        <is>
          <t>Google Council Bluffs (East)</t>
        </is>
      </c>
      <c r="D198" s="3" t="n">
        <v>2030</v>
      </c>
      <c r="E198" s="3" t="inlineStr">
        <is>
          <t>Google</t>
        </is>
      </c>
      <c r="F198" s="17" t="n">
        <v>0</v>
      </c>
      <c r="G198" s="17" t="n">
        <v>0</v>
      </c>
      <c r="H198" s="17" t="n">
        <v>0</v>
      </c>
      <c r="I198" s="17" t="n">
        <v>0</v>
      </c>
      <c r="J198" s="17" t="n">
        <v>1</v>
      </c>
      <c r="K198" s="17" t="n">
        <v>0</v>
      </c>
      <c r="L198" s="17" t="n">
        <v>0</v>
      </c>
      <c r="M198" s="17" t="n">
        <v>0</v>
      </c>
      <c r="N198" s="17" t="n">
        <v>0</v>
      </c>
      <c r="O198" s="26" t="n">
        <v>1</v>
      </c>
      <c r="P198" s="3" t="inlineStr">
        <is>
          <t>epoch_chip_quantity_latest</t>
        </is>
      </c>
      <c r="Q198" s="3" t="inlineStr">
        <is>
          <t>SRC_EPOCH_AI_DATA_CENTERS; EPOCH_RAW_CHIP_QUANTITIES</t>
        </is>
      </c>
      <c r="R198" s="3" t="inlineStr">
        <is>
          <t>Latest chip quantity per chip type through year-end; normalized by unit count into benchmark buckets.</t>
        </is>
      </c>
    </row>
    <row r="199">
      <c r="A199" s="3" t="inlineStr">
        <is>
          <t>Base|Google Council Bluffs (East)|2026</t>
        </is>
      </c>
      <c r="B199" s="3" t="inlineStr">
        <is>
          <t>Base</t>
        </is>
      </c>
      <c r="C199" s="3" t="inlineStr">
        <is>
          <t>Google Council Bluffs (East)</t>
        </is>
      </c>
      <c r="D199" s="3" t="n">
        <v>2026</v>
      </c>
      <c r="E199" s="3" t="inlineStr">
        <is>
          <t>Google</t>
        </is>
      </c>
      <c r="F199" s="17" t="n">
        <v>0</v>
      </c>
      <c r="G199" s="17" t="n">
        <v>0</v>
      </c>
      <c r="H199" s="17" t="n">
        <v>0</v>
      </c>
      <c r="I199" s="17" t="n">
        <v>0</v>
      </c>
      <c r="J199" s="17" t="n">
        <v>1</v>
      </c>
      <c r="K199" s="17" t="n">
        <v>0</v>
      </c>
      <c r="L199" s="17" t="n">
        <v>0</v>
      </c>
      <c r="M199" s="17" t="n">
        <v>0</v>
      </c>
      <c r="N199" s="17" t="n">
        <v>0</v>
      </c>
      <c r="O199" s="26" t="n">
        <v>1</v>
      </c>
      <c r="P199" s="3" t="inlineStr">
        <is>
          <t>epoch_chip_quantity_latest</t>
        </is>
      </c>
      <c r="Q199" s="3" t="inlineStr">
        <is>
          <t>SRC_EPOCH_AI_DATA_CENTERS; EPOCH_RAW_CHIP_QUANTITIES</t>
        </is>
      </c>
      <c r="R199" s="3" t="inlineStr">
        <is>
          <t>Latest chip quantity per chip type through year-end; normalized by unit count into benchmark buckets.</t>
        </is>
      </c>
    </row>
    <row r="200">
      <c r="A200" s="3" t="inlineStr">
        <is>
          <t>Base|Google Council Bluffs (East)|2027</t>
        </is>
      </c>
      <c r="B200" s="3" t="inlineStr">
        <is>
          <t>Base</t>
        </is>
      </c>
      <c r="C200" s="3" t="inlineStr">
        <is>
          <t>Google Council Bluffs (East)</t>
        </is>
      </c>
      <c r="D200" s="3" t="n">
        <v>2027</v>
      </c>
      <c r="E200" s="3" t="inlineStr">
        <is>
          <t>Google</t>
        </is>
      </c>
      <c r="F200" s="17" t="n">
        <v>0</v>
      </c>
      <c r="G200" s="17" t="n">
        <v>0</v>
      </c>
      <c r="H200" s="17" t="n">
        <v>0</v>
      </c>
      <c r="I200" s="17" t="n">
        <v>0</v>
      </c>
      <c r="J200" s="17" t="n">
        <v>1</v>
      </c>
      <c r="K200" s="17" t="n">
        <v>0</v>
      </c>
      <c r="L200" s="17" t="n">
        <v>0</v>
      </c>
      <c r="M200" s="17" t="n">
        <v>0</v>
      </c>
      <c r="N200" s="17" t="n">
        <v>0</v>
      </c>
      <c r="O200" s="26" t="n">
        <v>1</v>
      </c>
      <c r="P200" s="3" t="inlineStr">
        <is>
          <t>epoch_chip_quantity_latest</t>
        </is>
      </c>
      <c r="Q200" s="3" t="inlineStr">
        <is>
          <t>SRC_EPOCH_AI_DATA_CENTERS; EPOCH_RAW_CHIP_QUANTITIES</t>
        </is>
      </c>
      <c r="R200" s="3" t="inlineStr">
        <is>
          <t>Latest chip quantity per chip type through year-end; normalized by unit count into benchmark buckets.</t>
        </is>
      </c>
    </row>
    <row r="201">
      <c r="A201" s="3" t="inlineStr">
        <is>
          <t>Base|Google Council Bluffs (East)|2028</t>
        </is>
      </c>
      <c r="B201" s="3" t="inlineStr">
        <is>
          <t>Base</t>
        </is>
      </c>
      <c r="C201" s="3" t="inlineStr">
        <is>
          <t>Google Council Bluffs (East)</t>
        </is>
      </c>
      <c r="D201" s="3" t="n">
        <v>2028</v>
      </c>
      <c r="E201" s="3" t="inlineStr">
        <is>
          <t>Google</t>
        </is>
      </c>
      <c r="F201" s="17" t="n">
        <v>0</v>
      </c>
      <c r="G201" s="17" t="n">
        <v>0</v>
      </c>
      <c r="H201" s="17" t="n">
        <v>0</v>
      </c>
      <c r="I201" s="17" t="n">
        <v>0</v>
      </c>
      <c r="J201" s="17" t="n">
        <v>1</v>
      </c>
      <c r="K201" s="17" t="n">
        <v>0</v>
      </c>
      <c r="L201" s="17" t="n">
        <v>0</v>
      </c>
      <c r="M201" s="17" t="n">
        <v>0</v>
      </c>
      <c r="N201" s="17" t="n">
        <v>0</v>
      </c>
      <c r="O201" s="26" t="n">
        <v>1</v>
      </c>
      <c r="P201" s="3" t="inlineStr">
        <is>
          <t>epoch_chip_quantity_latest</t>
        </is>
      </c>
      <c r="Q201" s="3" t="inlineStr">
        <is>
          <t>SRC_EPOCH_AI_DATA_CENTERS; EPOCH_RAW_CHIP_QUANTITIES</t>
        </is>
      </c>
      <c r="R201" s="3" t="inlineStr">
        <is>
          <t>Latest chip quantity per chip type through year-end; normalized by unit count into benchmark buckets.</t>
        </is>
      </c>
    </row>
    <row r="202">
      <c r="A202" s="3" t="inlineStr">
        <is>
          <t>Base|Google Council Bluffs (East)|2029</t>
        </is>
      </c>
      <c r="B202" s="3" t="inlineStr">
        <is>
          <t>Base</t>
        </is>
      </c>
      <c r="C202" s="3" t="inlineStr">
        <is>
          <t>Google Council Bluffs (East)</t>
        </is>
      </c>
      <c r="D202" s="3" t="n">
        <v>2029</v>
      </c>
      <c r="E202" s="3" t="inlineStr">
        <is>
          <t>Google</t>
        </is>
      </c>
      <c r="F202" s="17" t="n">
        <v>0</v>
      </c>
      <c r="G202" s="17" t="n">
        <v>0</v>
      </c>
      <c r="H202" s="17" t="n">
        <v>0</v>
      </c>
      <c r="I202" s="17" t="n">
        <v>0</v>
      </c>
      <c r="J202" s="17" t="n">
        <v>1</v>
      </c>
      <c r="K202" s="17" t="n">
        <v>0</v>
      </c>
      <c r="L202" s="17" t="n">
        <v>0</v>
      </c>
      <c r="M202" s="17" t="n">
        <v>0</v>
      </c>
      <c r="N202" s="17" t="n">
        <v>0</v>
      </c>
      <c r="O202" s="26" t="n">
        <v>1</v>
      </c>
      <c r="P202" s="3" t="inlineStr">
        <is>
          <t>epoch_chip_quantity_latest</t>
        </is>
      </c>
      <c r="Q202" s="3" t="inlineStr">
        <is>
          <t>SRC_EPOCH_AI_DATA_CENTERS; EPOCH_RAW_CHIP_QUANTITIES</t>
        </is>
      </c>
      <c r="R202" s="3" t="inlineStr">
        <is>
          <t>Latest chip quantity per chip type through year-end; normalized by unit count into benchmark buckets.</t>
        </is>
      </c>
    </row>
    <row r="203">
      <c r="A203" s="3" t="inlineStr">
        <is>
          <t>Base|Google Council Bluffs (East)|2030</t>
        </is>
      </c>
      <c r="B203" s="3" t="inlineStr">
        <is>
          <t>Base</t>
        </is>
      </c>
      <c r="C203" s="3" t="inlineStr">
        <is>
          <t>Google Council Bluffs (East)</t>
        </is>
      </c>
      <c r="D203" s="3" t="n">
        <v>2030</v>
      </c>
      <c r="E203" s="3" t="inlineStr">
        <is>
          <t>Google</t>
        </is>
      </c>
      <c r="F203" s="17" t="n">
        <v>0</v>
      </c>
      <c r="G203" s="17" t="n">
        <v>0</v>
      </c>
      <c r="H203" s="17" t="n">
        <v>0</v>
      </c>
      <c r="I203" s="17" t="n">
        <v>0</v>
      </c>
      <c r="J203" s="17" t="n">
        <v>1</v>
      </c>
      <c r="K203" s="17" t="n">
        <v>0</v>
      </c>
      <c r="L203" s="17" t="n">
        <v>0</v>
      </c>
      <c r="M203" s="17" t="n">
        <v>0</v>
      </c>
      <c r="N203" s="17" t="n">
        <v>0</v>
      </c>
      <c r="O203" s="26" t="n">
        <v>1</v>
      </c>
      <c r="P203" s="3" t="inlineStr">
        <is>
          <t>epoch_chip_quantity_latest</t>
        </is>
      </c>
      <c r="Q203" s="3" t="inlineStr">
        <is>
          <t>SRC_EPOCH_AI_DATA_CENTERS; EPOCH_RAW_CHIP_QUANTITIES</t>
        </is>
      </c>
      <c r="R203" s="3" t="inlineStr">
        <is>
          <t>Latest chip quantity per chip type through year-end; normalized by unit count into benchmark buckets.</t>
        </is>
      </c>
    </row>
    <row r="204">
      <c r="A204" s="3" t="inlineStr">
        <is>
          <t>Bull|Google Council Bluffs (East)|2026</t>
        </is>
      </c>
      <c r="B204" s="3" t="inlineStr">
        <is>
          <t>Bull</t>
        </is>
      </c>
      <c r="C204" s="3" t="inlineStr">
        <is>
          <t>Google Council Bluffs (East)</t>
        </is>
      </c>
      <c r="D204" s="3" t="n">
        <v>2026</v>
      </c>
      <c r="E204" s="3" t="inlineStr">
        <is>
          <t>Google</t>
        </is>
      </c>
      <c r="F204" s="17" t="n">
        <v>0</v>
      </c>
      <c r="G204" s="17" t="n">
        <v>0</v>
      </c>
      <c r="H204" s="17" t="n">
        <v>0</v>
      </c>
      <c r="I204" s="17" t="n">
        <v>0</v>
      </c>
      <c r="J204" s="17" t="n">
        <v>1</v>
      </c>
      <c r="K204" s="17" t="n">
        <v>0</v>
      </c>
      <c r="L204" s="17" t="n">
        <v>0</v>
      </c>
      <c r="M204" s="17" t="n">
        <v>0</v>
      </c>
      <c r="N204" s="17" t="n">
        <v>0</v>
      </c>
      <c r="O204" s="26" t="n">
        <v>1</v>
      </c>
      <c r="P204" s="3" t="inlineStr">
        <is>
          <t>epoch_chip_quantity_latest</t>
        </is>
      </c>
      <c r="Q204" s="3" t="inlineStr">
        <is>
          <t>SRC_EPOCH_AI_DATA_CENTERS; EPOCH_RAW_CHIP_QUANTITIES</t>
        </is>
      </c>
      <c r="R204" s="3" t="inlineStr">
        <is>
          <t>Latest chip quantity per chip type through year-end; normalized by unit count into benchmark buckets.</t>
        </is>
      </c>
    </row>
    <row r="205">
      <c r="A205" s="3" t="inlineStr">
        <is>
          <t>Bull|Google Council Bluffs (East)|2027</t>
        </is>
      </c>
      <c r="B205" s="3" t="inlineStr">
        <is>
          <t>Bull</t>
        </is>
      </c>
      <c r="C205" s="3" t="inlineStr">
        <is>
          <t>Google Council Bluffs (East)</t>
        </is>
      </c>
      <c r="D205" s="3" t="n">
        <v>2027</v>
      </c>
      <c r="E205" s="3" t="inlineStr">
        <is>
          <t>Google</t>
        </is>
      </c>
      <c r="F205" s="17" t="n">
        <v>0</v>
      </c>
      <c r="G205" s="17" t="n">
        <v>0</v>
      </c>
      <c r="H205" s="17" t="n">
        <v>0</v>
      </c>
      <c r="I205" s="17" t="n">
        <v>0</v>
      </c>
      <c r="J205" s="17" t="n">
        <v>1</v>
      </c>
      <c r="K205" s="17" t="n">
        <v>0</v>
      </c>
      <c r="L205" s="17" t="n">
        <v>0</v>
      </c>
      <c r="M205" s="17" t="n">
        <v>0</v>
      </c>
      <c r="N205" s="17" t="n">
        <v>0</v>
      </c>
      <c r="O205" s="26" t="n">
        <v>1</v>
      </c>
      <c r="P205" s="3" t="inlineStr">
        <is>
          <t>epoch_chip_quantity_latest</t>
        </is>
      </c>
      <c r="Q205" s="3" t="inlineStr">
        <is>
          <t>SRC_EPOCH_AI_DATA_CENTERS; EPOCH_RAW_CHIP_QUANTITIES</t>
        </is>
      </c>
      <c r="R205" s="3" t="inlineStr">
        <is>
          <t>Latest chip quantity per chip type through year-end; normalized by unit count into benchmark buckets.</t>
        </is>
      </c>
    </row>
    <row r="206">
      <c r="A206" s="3" t="inlineStr">
        <is>
          <t>Bull|Google Council Bluffs (East)|2028</t>
        </is>
      </c>
      <c r="B206" s="3" t="inlineStr">
        <is>
          <t>Bull</t>
        </is>
      </c>
      <c r="C206" s="3" t="inlineStr">
        <is>
          <t>Google Council Bluffs (East)</t>
        </is>
      </c>
      <c r="D206" s="3" t="n">
        <v>2028</v>
      </c>
      <c r="E206" s="3" t="inlineStr">
        <is>
          <t>Google</t>
        </is>
      </c>
      <c r="F206" s="17" t="n">
        <v>0</v>
      </c>
      <c r="G206" s="17" t="n">
        <v>0</v>
      </c>
      <c r="H206" s="17" t="n">
        <v>0</v>
      </c>
      <c r="I206" s="17" t="n">
        <v>0</v>
      </c>
      <c r="J206" s="17" t="n">
        <v>1</v>
      </c>
      <c r="K206" s="17" t="n">
        <v>0</v>
      </c>
      <c r="L206" s="17" t="n">
        <v>0</v>
      </c>
      <c r="M206" s="17" t="n">
        <v>0</v>
      </c>
      <c r="N206" s="17" t="n">
        <v>0</v>
      </c>
      <c r="O206" s="26" t="n">
        <v>1</v>
      </c>
      <c r="P206" s="3" t="inlineStr">
        <is>
          <t>epoch_chip_quantity_latest</t>
        </is>
      </c>
      <c r="Q206" s="3" t="inlineStr">
        <is>
          <t>SRC_EPOCH_AI_DATA_CENTERS; EPOCH_RAW_CHIP_QUANTITIES</t>
        </is>
      </c>
      <c r="R206" s="3" t="inlineStr">
        <is>
          <t>Latest chip quantity per chip type through year-end; normalized by unit count into benchmark buckets.</t>
        </is>
      </c>
    </row>
    <row r="207">
      <c r="A207" s="3" t="inlineStr">
        <is>
          <t>Bull|Google Council Bluffs (East)|2029</t>
        </is>
      </c>
      <c r="B207" s="3" t="inlineStr">
        <is>
          <t>Bull</t>
        </is>
      </c>
      <c r="C207" s="3" t="inlineStr">
        <is>
          <t>Google Council Bluffs (East)</t>
        </is>
      </c>
      <c r="D207" s="3" t="n">
        <v>2029</v>
      </c>
      <c r="E207" s="3" t="inlineStr">
        <is>
          <t>Google</t>
        </is>
      </c>
      <c r="F207" s="17" t="n">
        <v>0</v>
      </c>
      <c r="G207" s="17" t="n">
        <v>0</v>
      </c>
      <c r="H207" s="17" t="n">
        <v>0</v>
      </c>
      <c r="I207" s="17" t="n">
        <v>0</v>
      </c>
      <c r="J207" s="17" t="n">
        <v>1</v>
      </c>
      <c r="K207" s="17" t="n">
        <v>0</v>
      </c>
      <c r="L207" s="17" t="n">
        <v>0</v>
      </c>
      <c r="M207" s="17" t="n">
        <v>0</v>
      </c>
      <c r="N207" s="17" t="n">
        <v>0</v>
      </c>
      <c r="O207" s="26" t="n">
        <v>1</v>
      </c>
      <c r="P207" s="3" t="inlineStr">
        <is>
          <t>epoch_chip_quantity_latest</t>
        </is>
      </c>
      <c r="Q207" s="3" t="inlineStr">
        <is>
          <t>SRC_EPOCH_AI_DATA_CENTERS; EPOCH_RAW_CHIP_QUANTITIES</t>
        </is>
      </c>
      <c r="R207" s="3" t="inlineStr">
        <is>
          <t>Latest chip quantity per chip type through year-end; normalized by unit count into benchmark buckets.</t>
        </is>
      </c>
    </row>
    <row r="208">
      <c r="A208" s="3" t="inlineStr">
        <is>
          <t>Bull|Google Council Bluffs (East)|2030</t>
        </is>
      </c>
      <c r="B208" s="3" t="inlineStr">
        <is>
          <t>Bull</t>
        </is>
      </c>
      <c r="C208" s="3" t="inlineStr">
        <is>
          <t>Google Council Bluffs (East)</t>
        </is>
      </c>
      <c r="D208" s="3" t="n">
        <v>2030</v>
      </c>
      <c r="E208" s="3" t="inlineStr">
        <is>
          <t>Google</t>
        </is>
      </c>
      <c r="F208" s="17" t="n">
        <v>0</v>
      </c>
      <c r="G208" s="17" t="n">
        <v>0</v>
      </c>
      <c r="H208" s="17" t="n">
        <v>0</v>
      </c>
      <c r="I208" s="17" t="n">
        <v>0</v>
      </c>
      <c r="J208" s="17" t="n">
        <v>1</v>
      </c>
      <c r="K208" s="17" t="n">
        <v>0</v>
      </c>
      <c r="L208" s="17" t="n">
        <v>0</v>
      </c>
      <c r="M208" s="17" t="n">
        <v>0</v>
      </c>
      <c r="N208" s="17" t="n">
        <v>0</v>
      </c>
      <c r="O208" s="26" t="n">
        <v>1</v>
      </c>
      <c r="P208" s="3" t="inlineStr">
        <is>
          <t>epoch_chip_quantity_latest</t>
        </is>
      </c>
      <c r="Q208" s="3" t="inlineStr">
        <is>
          <t>SRC_EPOCH_AI_DATA_CENTERS; EPOCH_RAW_CHIP_QUANTITIES</t>
        </is>
      </c>
      <c r="R208" s="3" t="inlineStr">
        <is>
          <t>Latest chip quantity per chip type through year-end; normalized by unit count into benchmark buckets.</t>
        </is>
      </c>
    </row>
    <row r="209">
      <c r="A209" s="3" t="inlineStr">
        <is>
          <t>Grid-Constrained / Efficiency-Upside|Google Council Bluffs (East)|2026</t>
        </is>
      </c>
      <c r="B209" s="3" t="inlineStr">
        <is>
          <t>Grid-Constrained / Efficiency-Upside</t>
        </is>
      </c>
      <c r="C209" s="3" t="inlineStr">
        <is>
          <t>Google Council Bluffs (East)</t>
        </is>
      </c>
      <c r="D209" s="3" t="n">
        <v>2026</v>
      </c>
      <c r="E209" s="3" t="inlineStr">
        <is>
          <t>Google</t>
        </is>
      </c>
      <c r="F209" s="17" t="n">
        <v>0</v>
      </c>
      <c r="G209" s="17" t="n">
        <v>0</v>
      </c>
      <c r="H209" s="17" t="n">
        <v>0</v>
      </c>
      <c r="I209" s="17" t="n">
        <v>0</v>
      </c>
      <c r="J209" s="17" t="n">
        <v>1</v>
      </c>
      <c r="K209" s="17" t="n">
        <v>0</v>
      </c>
      <c r="L209" s="17" t="n">
        <v>0</v>
      </c>
      <c r="M209" s="17" t="n">
        <v>0</v>
      </c>
      <c r="N209" s="17" t="n">
        <v>0</v>
      </c>
      <c r="O209" s="26" t="n">
        <v>1</v>
      </c>
      <c r="P209" s="3" t="inlineStr">
        <is>
          <t>epoch_chip_quantity_latest</t>
        </is>
      </c>
      <c r="Q209" s="3" t="inlineStr">
        <is>
          <t>SRC_EPOCH_AI_DATA_CENTERS; EPOCH_RAW_CHIP_QUANTITIES</t>
        </is>
      </c>
      <c r="R209" s="3" t="inlineStr">
        <is>
          <t>Latest chip quantity per chip type through year-end; normalized by unit count into benchmark buckets.</t>
        </is>
      </c>
    </row>
    <row r="210">
      <c r="A210" s="3" t="inlineStr">
        <is>
          <t>Grid-Constrained / Efficiency-Upside|Google Council Bluffs (East)|2027</t>
        </is>
      </c>
      <c r="B210" s="3" t="inlineStr">
        <is>
          <t>Grid-Constrained / Efficiency-Upside</t>
        </is>
      </c>
      <c r="C210" s="3" t="inlineStr">
        <is>
          <t>Google Council Bluffs (East)</t>
        </is>
      </c>
      <c r="D210" s="3" t="n">
        <v>2027</v>
      </c>
      <c r="E210" s="3" t="inlineStr">
        <is>
          <t>Google</t>
        </is>
      </c>
      <c r="F210" s="17" t="n">
        <v>0</v>
      </c>
      <c r="G210" s="17" t="n">
        <v>0</v>
      </c>
      <c r="H210" s="17" t="n">
        <v>0</v>
      </c>
      <c r="I210" s="17" t="n">
        <v>0</v>
      </c>
      <c r="J210" s="17" t="n">
        <v>1</v>
      </c>
      <c r="K210" s="17" t="n">
        <v>0</v>
      </c>
      <c r="L210" s="17" t="n">
        <v>0</v>
      </c>
      <c r="M210" s="17" t="n">
        <v>0</v>
      </c>
      <c r="N210" s="17" t="n">
        <v>0</v>
      </c>
      <c r="O210" s="26" t="n">
        <v>1</v>
      </c>
      <c r="P210" s="3" t="inlineStr">
        <is>
          <t>epoch_chip_quantity_latest</t>
        </is>
      </c>
      <c r="Q210" s="3" t="inlineStr">
        <is>
          <t>SRC_EPOCH_AI_DATA_CENTERS; EPOCH_RAW_CHIP_QUANTITIES</t>
        </is>
      </c>
      <c r="R210" s="3" t="inlineStr">
        <is>
          <t>Latest chip quantity per chip type through year-end; normalized by unit count into benchmark buckets.</t>
        </is>
      </c>
    </row>
    <row r="211">
      <c r="A211" s="3" t="inlineStr">
        <is>
          <t>Grid-Constrained / Efficiency-Upside|Google Council Bluffs (East)|2028</t>
        </is>
      </c>
      <c r="B211" s="3" t="inlineStr">
        <is>
          <t>Grid-Constrained / Efficiency-Upside</t>
        </is>
      </c>
      <c r="C211" s="3" t="inlineStr">
        <is>
          <t>Google Council Bluffs (East)</t>
        </is>
      </c>
      <c r="D211" s="3" t="n">
        <v>2028</v>
      </c>
      <c r="E211" s="3" t="inlineStr">
        <is>
          <t>Google</t>
        </is>
      </c>
      <c r="F211" s="17" t="n">
        <v>0</v>
      </c>
      <c r="G211" s="17" t="n">
        <v>0</v>
      </c>
      <c r="H211" s="17" t="n">
        <v>0</v>
      </c>
      <c r="I211" s="17" t="n">
        <v>0</v>
      </c>
      <c r="J211" s="17" t="n">
        <v>1</v>
      </c>
      <c r="K211" s="17" t="n">
        <v>0</v>
      </c>
      <c r="L211" s="17" t="n">
        <v>0</v>
      </c>
      <c r="M211" s="17" t="n">
        <v>0</v>
      </c>
      <c r="N211" s="17" t="n">
        <v>0</v>
      </c>
      <c r="O211" s="26" t="n">
        <v>1</v>
      </c>
      <c r="P211" s="3" t="inlineStr">
        <is>
          <t>epoch_chip_quantity_latest</t>
        </is>
      </c>
      <c r="Q211" s="3" t="inlineStr">
        <is>
          <t>SRC_EPOCH_AI_DATA_CENTERS; EPOCH_RAW_CHIP_QUANTITIES</t>
        </is>
      </c>
      <c r="R211" s="3" t="inlineStr">
        <is>
          <t>Latest chip quantity per chip type through year-end; normalized by unit count into benchmark buckets.</t>
        </is>
      </c>
    </row>
    <row r="212">
      <c r="A212" s="3" t="inlineStr">
        <is>
          <t>Grid-Constrained / Efficiency-Upside|Google Council Bluffs (East)|2029</t>
        </is>
      </c>
      <c r="B212" s="3" t="inlineStr">
        <is>
          <t>Grid-Constrained / Efficiency-Upside</t>
        </is>
      </c>
      <c r="C212" s="3" t="inlineStr">
        <is>
          <t>Google Council Bluffs (East)</t>
        </is>
      </c>
      <c r="D212" s="3" t="n">
        <v>2029</v>
      </c>
      <c r="E212" s="3" t="inlineStr">
        <is>
          <t>Google</t>
        </is>
      </c>
      <c r="F212" s="17" t="n">
        <v>0</v>
      </c>
      <c r="G212" s="17" t="n">
        <v>0</v>
      </c>
      <c r="H212" s="17" t="n">
        <v>0</v>
      </c>
      <c r="I212" s="17" t="n">
        <v>0</v>
      </c>
      <c r="J212" s="17" t="n">
        <v>1</v>
      </c>
      <c r="K212" s="17" t="n">
        <v>0</v>
      </c>
      <c r="L212" s="17" t="n">
        <v>0</v>
      </c>
      <c r="M212" s="17" t="n">
        <v>0</v>
      </c>
      <c r="N212" s="17" t="n">
        <v>0</v>
      </c>
      <c r="O212" s="26" t="n">
        <v>1</v>
      </c>
      <c r="P212" s="3" t="inlineStr">
        <is>
          <t>epoch_chip_quantity_latest</t>
        </is>
      </c>
      <c r="Q212" s="3" t="inlineStr">
        <is>
          <t>SRC_EPOCH_AI_DATA_CENTERS; EPOCH_RAW_CHIP_QUANTITIES</t>
        </is>
      </c>
      <c r="R212" s="3" t="inlineStr">
        <is>
          <t>Latest chip quantity per chip type through year-end; normalized by unit count into benchmark buckets.</t>
        </is>
      </c>
    </row>
    <row r="213">
      <c r="A213" s="3" t="inlineStr">
        <is>
          <t>Grid-Constrained / Efficiency-Upside|Google Council Bluffs (East)|2030</t>
        </is>
      </c>
      <c r="B213" s="3" t="inlineStr">
        <is>
          <t>Grid-Constrained / Efficiency-Upside</t>
        </is>
      </c>
      <c r="C213" s="3" t="inlineStr">
        <is>
          <t>Google Council Bluffs (East)</t>
        </is>
      </c>
      <c r="D213" s="3" t="n">
        <v>2030</v>
      </c>
      <c r="E213" s="3" t="inlineStr">
        <is>
          <t>Google</t>
        </is>
      </c>
      <c r="F213" s="17" t="n">
        <v>0</v>
      </c>
      <c r="G213" s="17" t="n">
        <v>0</v>
      </c>
      <c r="H213" s="17" t="n">
        <v>0</v>
      </c>
      <c r="I213" s="17" t="n">
        <v>0</v>
      </c>
      <c r="J213" s="17" t="n">
        <v>1</v>
      </c>
      <c r="K213" s="17" t="n">
        <v>0</v>
      </c>
      <c r="L213" s="17" t="n">
        <v>0</v>
      </c>
      <c r="M213" s="17" t="n">
        <v>0</v>
      </c>
      <c r="N213" s="17" t="n">
        <v>0</v>
      </c>
      <c r="O213" s="26" t="n">
        <v>1</v>
      </c>
      <c r="P213" s="3" t="inlineStr">
        <is>
          <t>epoch_chip_quantity_latest</t>
        </is>
      </c>
      <c r="Q213" s="3" t="inlineStr">
        <is>
          <t>SRC_EPOCH_AI_DATA_CENTERS; EPOCH_RAW_CHIP_QUANTITIES</t>
        </is>
      </c>
      <c r="R213" s="3" t="inlineStr">
        <is>
          <t>Latest chip quantity per chip type through year-end; normalized by unit count into benchmark buckets.</t>
        </is>
      </c>
    </row>
    <row r="214">
      <c r="A214" s="3" t="inlineStr">
        <is>
          <t>Bear|Google Fort Wayne|2028</t>
        </is>
      </c>
      <c r="B214" s="3" t="inlineStr">
        <is>
          <t>Bear</t>
        </is>
      </c>
      <c r="C214" s="3" t="inlineStr">
        <is>
          <t>Google Fort Wayne</t>
        </is>
      </c>
      <c r="D214" s="3" t="n">
        <v>2028</v>
      </c>
      <c r="E214" s="3" t="inlineStr">
        <is>
          <t>Google</t>
        </is>
      </c>
      <c r="F214" s="17" t="n">
        <v>0.049</v>
      </c>
      <c r="G214" s="17" t="n">
        <v>0.056</v>
      </c>
      <c r="H214" s="17" t="n">
        <v>0.045</v>
      </c>
      <c r="I214" s="17" t="n">
        <v>0</v>
      </c>
      <c r="J214" s="17" t="n">
        <v>0</v>
      </c>
      <c r="K214" s="17" t="n">
        <v>0</v>
      </c>
      <c r="L214" s="17" t="n">
        <v>0</v>
      </c>
      <c r="M214" s="17" t="n">
        <v>0</v>
      </c>
      <c r="N214" s="17" t="n">
        <v>0.85</v>
      </c>
      <c r="O214" s="26" t="n">
        <v>1</v>
      </c>
      <c r="P214" s="3" t="inlineStr">
        <is>
          <t>legacy_company_gpu_mix_fallback</t>
        </is>
      </c>
      <c r="Q214" s="3" t="inlineStr">
        <is>
          <t>SRC_GOOGLE_GEMINI_TOKENS; SRC_GOOGLE_IRONWOOD; SRC_GOOGLE_TPU_V6E</t>
        </is>
      </c>
      <c r="R214" s="3" t="inlineStr">
        <is>
          <t>No site-level chip type was available; prior company-level GPU/ASIC mix is retained as fallback.</t>
        </is>
      </c>
    </row>
    <row r="215">
      <c r="A215" s="3" t="inlineStr">
        <is>
          <t>Bear|Google Fort Wayne|2029</t>
        </is>
      </c>
      <c r="B215" s="3" t="inlineStr">
        <is>
          <t>Bear</t>
        </is>
      </c>
      <c r="C215" s="3" t="inlineStr">
        <is>
          <t>Google Fort Wayne</t>
        </is>
      </c>
      <c r="D215" s="3" t="n">
        <v>2029</v>
      </c>
      <c r="E215" s="3" t="inlineStr">
        <is>
          <t>Google</t>
        </is>
      </c>
      <c r="F215" s="17" t="n">
        <v>0.027</v>
      </c>
      <c r="G215" s="17" t="n">
        <v>0.045</v>
      </c>
      <c r="H215" s="17" t="n">
        <v>0.053</v>
      </c>
      <c r="I215" s="17" t="n">
        <v>0</v>
      </c>
      <c r="J215" s="17" t="n">
        <v>0</v>
      </c>
      <c r="K215" s="17" t="n">
        <v>0</v>
      </c>
      <c r="L215" s="17" t="n">
        <v>0</v>
      </c>
      <c r="M215" s="17" t="n">
        <v>0</v>
      </c>
      <c r="N215" s="17" t="n">
        <v>0.875</v>
      </c>
      <c r="O215" s="26" t="n">
        <v>1</v>
      </c>
      <c r="P215" s="3" t="inlineStr">
        <is>
          <t>legacy_company_gpu_mix_fallback</t>
        </is>
      </c>
      <c r="Q215" s="3" t="inlineStr">
        <is>
          <t>SRC_GOOGLE_GEMINI_TOKENS; SRC_GOOGLE_IRONWOOD; SRC_GOOGLE_TPU_V6E</t>
        </is>
      </c>
      <c r="R215" s="3" t="inlineStr">
        <is>
          <t>No site-level chip type was available; prior company-level GPU/ASIC mix is retained as fallback.</t>
        </is>
      </c>
    </row>
    <row r="216">
      <c r="A216" s="3" t="inlineStr">
        <is>
          <t>Bear|Google Fort Wayne|2030</t>
        </is>
      </c>
      <c r="B216" s="3" t="inlineStr">
        <is>
          <t>Bear</t>
        </is>
      </c>
      <c r="C216" s="3" t="inlineStr">
        <is>
          <t>Google Fort Wayne</t>
        </is>
      </c>
      <c r="D216" s="3" t="n">
        <v>2030</v>
      </c>
      <c r="E216" s="3" t="inlineStr">
        <is>
          <t>Google</t>
        </is>
      </c>
      <c r="F216" s="17" t="n">
        <v>0.01</v>
      </c>
      <c r="G216" s="17" t="n">
        <v>0.035</v>
      </c>
      <c r="H216" s="17" t="n">
        <v>0.055</v>
      </c>
      <c r="I216" s="17" t="n">
        <v>0</v>
      </c>
      <c r="J216" s="17" t="n">
        <v>0</v>
      </c>
      <c r="K216" s="17" t="n">
        <v>0</v>
      </c>
      <c r="L216" s="17" t="n">
        <v>0</v>
      </c>
      <c r="M216" s="17" t="n">
        <v>0</v>
      </c>
      <c r="N216" s="17" t="n">
        <v>0.9</v>
      </c>
      <c r="O216" s="26" t="n">
        <v>1</v>
      </c>
      <c r="P216" s="3" t="inlineStr">
        <is>
          <t>legacy_company_gpu_mix_fallback</t>
        </is>
      </c>
      <c r="Q216" s="3" t="inlineStr">
        <is>
          <t>SRC_GOOGLE_GEMINI_TOKENS; SRC_GOOGLE_IRONWOOD; SRC_GOOGLE_TPU_V6E</t>
        </is>
      </c>
      <c r="R216" s="3" t="inlineStr">
        <is>
          <t>No site-level chip type was available; prior company-level GPU/ASIC mix is retained as fallback.</t>
        </is>
      </c>
    </row>
    <row r="217">
      <c r="A217" s="3" t="inlineStr">
        <is>
          <t>Base|Google Fort Wayne|2028</t>
        </is>
      </c>
      <c r="B217" s="3" t="inlineStr">
        <is>
          <t>Base</t>
        </is>
      </c>
      <c r="C217" s="3" t="inlineStr">
        <is>
          <t>Google Fort Wayne</t>
        </is>
      </c>
      <c r="D217" s="3" t="n">
        <v>2028</v>
      </c>
      <c r="E217" s="3" t="inlineStr">
        <is>
          <t>Google</t>
        </is>
      </c>
      <c r="F217" s="17" t="n">
        <v>0.049</v>
      </c>
      <c r="G217" s="17" t="n">
        <v>0.056</v>
      </c>
      <c r="H217" s="17" t="n">
        <v>0.045</v>
      </c>
      <c r="I217" s="17" t="n">
        <v>0</v>
      </c>
      <c r="J217" s="17" t="n">
        <v>0</v>
      </c>
      <c r="K217" s="17" t="n">
        <v>0</v>
      </c>
      <c r="L217" s="17" t="n">
        <v>0</v>
      </c>
      <c r="M217" s="17" t="n">
        <v>0</v>
      </c>
      <c r="N217" s="17" t="n">
        <v>0.85</v>
      </c>
      <c r="O217" s="26" t="n">
        <v>1</v>
      </c>
      <c r="P217" s="3" t="inlineStr">
        <is>
          <t>legacy_company_gpu_mix_fallback</t>
        </is>
      </c>
      <c r="Q217" s="3" t="inlineStr">
        <is>
          <t>SRC_GOOGLE_GEMINI_TOKENS; SRC_GOOGLE_IRONWOOD; SRC_GOOGLE_TPU_V6E</t>
        </is>
      </c>
      <c r="R217" s="3" t="inlineStr">
        <is>
          <t>No site-level chip type was available; prior company-level GPU/ASIC mix is retained as fallback.</t>
        </is>
      </c>
    </row>
    <row r="218">
      <c r="A218" s="3" t="inlineStr">
        <is>
          <t>Base|Google Fort Wayne|2029</t>
        </is>
      </c>
      <c r="B218" s="3" t="inlineStr">
        <is>
          <t>Base</t>
        </is>
      </c>
      <c r="C218" s="3" t="inlineStr">
        <is>
          <t>Google Fort Wayne</t>
        </is>
      </c>
      <c r="D218" s="3" t="n">
        <v>2029</v>
      </c>
      <c r="E218" s="3" t="inlineStr">
        <is>
          <t>Google</t>
        </is>
      </c>
      <c r="F218" s="17" t="n">
        <v>0.027</v>
      </c>
      <c r="G218" s="17" t="n">
        <v>0.045</v>
      </c>
      <c r="H218" s="17" t="n">
        <v>0.053</v>
      </c>
      <c r="I218" s="17" t="n">
        <v>0</v>
      </c>
      <c r="J218" s="17" t="n">
        <v>0</v>
      </c>
      <c r="K218" s="17" t="n">
        <v>0</v>
      </c>
      <c r="L218" s="17" t="n">
        <v>0</v>
      </c>
      <c r="M218" s="17" t="n">
        <v>0</v>
      </c>
      <c r="N218" s="17" t="n">
        <v>0.875</v>
      </c>
      <c r="O218" s="26" t="n">
        <v>1</v>
      </c>
      <c r="P218" s="3" t="inlineStr">
        <is>
          <t>legacy_company_gpu_mix_fallback</t>
        </is>
      </c>
      <c r="Q218" s="3" t="inlineStr">
        <is>
          <t>SRC_GOOGLE_GEMINI_TOKENS; SRC_GOOGLE_IRONWOOD; SRC_GOOGLE_TPU_V6E</t>
        </is>
      </c>
      <c r="R218" s="3" t="inlineStr">
        <is>
          <t>No site-level chip type was available; prior company-level GPU/ASIC mix is retained as fallback.</t>
        </is>
      </c>
    </row>
    <row r="219">
      <c r="A219" s="3" t="inlineStr">
        <is>
          <t>Base|Google Fort Wayne|2030</t>
        </is>
      </c>
      <c r="B219" s="3" t="inlineStr">
        <is>
          <t>Base</t>
        </is>
      </c>
      <c r="C219" s="3" t="inlineStr">
        <is>
          <t>Google Fort Wayne</t>
        </is>
      </c>
      <c r="D219" s="3" t="n">
        <v>2030</v>
      </c>
      <c r="E219" s="3" t="inlineStr">
        <is>
          <t>Google</t>
        </is>
      </c>
      <c r="F219" s="17" t="n">
        <v>0.01</v>
      </c>
      <c r="G219" s="17" t="n">
        <v>0.035</v>
      </c>
      <c r="H219" s="17" t="n">
        <v>0.055</v>
      </c>
      <c r="I219" s="17" t="n">
        <v>0</v>
      </c>
      <c r="J219" s="17" t="n">
        <v>0</v>
      </c>
      <c r="K219" s="17" t="n">
        <v>0</v>
      </c>
      <c r="L219" s="17" t="n">
        <v>0</v>
      </c>
      <c r="M219" s="17" t="n">
        <v>0</v>
      </c>
      <c r="N219" s="17" t="n">
        <v>0.9</v>
      </c>
      <c r="O219" s="26" t="n">
        <v>1</v>
      </c>
      <c r="P219" s="3" t="inlineStr">
        <is>
          <t>legacy_company_gpu_mix_fallback</t>
        </is>
      </c>
      <c r="Q219" s="3" t="inlineStr">
        <is>
          <t>SRC_GOOGLE_GEMINI_TOKENS; SRC_GOOGLE_IRONWOOD; SRC_GOOGLE_TPU_V6E</t>
        </is>
      </c>
      <c r="R219" s="3" t="inlineStr">
        <is>
          <t>No site-level chip type was available; prior company-level GPU/ASIC mix is retained as fallback.</t>
        </is>
      </c>
    </row>
    <row r="220">
      <c r="A220" s="3" t="inlineStr">
        <is>
          <t>Bull|Google Fort Wayne|2028</t>
        </is>
      </c>
      <c r="B220" s="3" t="inlineStr">
        <is>
          <t>Bull</t>
        </is>
      </c>
      <c r="C220" s="3" t="inlineStr">
        <is>
          <t>Google Fort Wayne</t>
        </is>
      </c>
      <c r="D220" s="3" t="n">
        <v>2028</v>
      </c>
      <c r="E220" s="3" t="inlineStr">
        <is>
          <t>Google</t>
        </is>
      </c>
      <c r="F220" s="17" t="n">
        <v>0.049</v>
      </c>
      <c r="G220" s="17" t="n">
        <v>0.056</v>
      </c>
      <c r="H220" s="17" t="n">
        <v>0.045</v>
      </c>
      <c r="I220" s="17" t="n">
        <v>0</v>
      </c>
      <c r="J220" s="17" t="n">
        <v>0</v>
      </c>
      <c r="K220" s="17" t="n">
        <v>0</v>
      </c>
      <c r="L220" s="17" t="n">
        <v>0</v>
      </c>
      <c r="M220" s="17" t="n">
        <v>0</v>
      </c>
      <c r="N220" s="17" t="n">
        <v>0.85</v>
      </c>
      <c r="O220" s="26" t="n">
        <v>1</v>
      </c>
      <c r="P220" s="3" t="inlineStr">
        <is>
          <t>legacy_company_gpu_mix_fallback</t>
        </is>
      </c>
      <c r="Q220" s="3" t="inlineStr">
        <is>
          <t>SRC_GOOGLE_GEMINI_TOKENS; SRC_GOOGLE_IRONWOOD; SRC_GOOGLE_TPU_V6E</t>
        </is>
      </c>
      <c r="R220" s="3" t="inlineStr">
        <is>
          <t>No site-level chip type was available; prior company-level GPU/ASIC mix is retained as fallback.</t>
        </is>
      </c>
    </row>
    <row r="221">
      <c r="A221" s="3" t="inlineStr">
        <is>
          <t>Bull|Google Fort Wayne|2029</t>
        </is>
      </c>
      <c r="B221" s="3" t="inlineStr">
        <is>
          <t>Bull</t>
        </is>
      </c>
      <c r="C221" s="3" t="inlineStr">
        <is>
          <t>Google Fort Wayne</t>
        </is>
      </c>
      <c r="D221" s="3" t="n">
        <v>2029</v>
      </c>
      <c r="E221" s="3" t="inlineStr">
        <is>
          <t>Google</t>
        </is>
      </c>
      <c r="F221" s="17" t="n">
        <v>0.027</v>
      </c>
      <c r="G221" s="17" t="n">
        <v>0.045</v>
      </c>
      <c r="H221" s="17" t="n">
        <v>0.053</v>
      </c>
      <c r="I221" s="17" t="n">
        <v>0</v>
      </c>
      <c r="J221" s="17" t="n">
        <v>0</v>
      </c>
      <c r="K221" s="17" t="n">
        <v>0</v>
      </c>
      <c r="L221" s="17" t="n">
        <v>0</v>
      </c>
      <c r="M221" s="17" t="n">
        <v>0</v>
      </c>
      <c r="N221" s="17" t="n">
        <v>0.875</v>
      </c>
      <c r="O221" s="26" t="n">
        <v>1</v>
      </c>
      <c r="P221" s="3" t="inlineStr">
        <is>
          <t>legacy_company_gpu_mix_fallback</t>
        </is>
      </c>
      <c r="Q221" s="3" t="inlineStr">
        <is>
          <t>SRC_GOOGLE_GEMINI_TOKENS; SRC_GOOGLE_IRONWOOD; SRC_GOOGLE_TPU_V6E</t>
        </is>
      </c>
      <c r="R221" s="3" t="inlineStr">
        <is>
          <t>No site-level chip type was available; prior company-level GPU/ASIC mix is retained as fallback.</t>
        </is>
      </c>
    </row>
    <row r="222">
      <c r="A222" s="3" t="inlineStr">
        <is>
          <t>Bull|Google Fort Wayne|2030</t>
        </is>
      </c>
      <c r="B222" s="3" t="inlineStr">
        <is>
          <t>Bull</t>
        </is>
      </c>
      <c r="C222" s="3" t="inlineStr">
        <is>
          <t>Google Fort Wayne</t>
        </is>
      </c>
      <c r="D222" s="3" t="n">
        <v>2030</v>
      </c>
      <c r="E222" s="3" t="inlineStr">
        <is>
          <t>Google</t>
        </is>
      </c>
      <c r="F222" s="17" t="n">
        <v>0.01</v>
      </c>
      <c r="G222" s="17" t="n">
        <v>0.035</v>
      </c>
      <c r="H222" s="17" t="n">
        <v>0.055</v>
      </c>
      <c r="I222" s="17" t="n">
        <v>0</v>
      </c>
      <c r="J222" s="17" t="n">
        <v>0</v>
      </c>
      <c r="K222" s="17" t="n">
        <v>0</v>
      </c>
      <c r="L222" s="17" t="n">
        <v>0</v>
      </c>
      <c r="M222" s="17" t="n">
        <v>0</v>
      </c>
      <c r="N222" s="17" t="n">
        <v>0.9</v>
      </c>
      <c r="O222" s="26" t="n">
        <v>1</v>
      </c>
      <c r="P222" s="3" t="inlineStr">
        <is>
          <t>legacy_company_gpu_mix_fallback</t>
        </is>
      </c>
      <c r="Q222" s="3" t="inlineStr">
        <is>
          <t>SRC_GOOGLE_GEMINI_TOKENS; SRC_GOOGLE_IRONWOOD; SRC_GOOGLE_TPU_V6E</t>
        </is>
      </c>
      <c r="R222" s="3" t="inlineStr">
        <is>
          <t>No site-level chip type was available; prior company-level GPU/ASIC mix is retained as fallback.</t>
        </is>
      </c>
    </row>
    <row r="223">
      <c r="A223" s="3" t="inlineStr">
        <is>
          <t>Grid-Constrained / Efficiency-Upside|Google Fort Wayne|2028</t>
        </is>
      </c>
      <c r="B223" s="3" t="inlineStr">
        <is>
          <t>Grid-Constrained / Efficiency-Upside</t>
        </is>
      </c>
      <c r="C223" s="3" t="inlineStr">
        <is>
          <t>Google Fort Wayne</t>
        </is>
      </c>
      <c r="D223" s="3" t="n">
        <v>2028</v>
      </c>
      <c r="E223" s="3" t="inlineStr">
        <is>
          <t>Google</t>
        </is>
      </c>
      <c r="F223" s="17" t="n">
        <v>0.049</v>
      </c>
      <c r="G223" s="17" t="n">
        <v>0.056</v>
      </c>
      <c r="H223" s="17" t="n">
        <v>0.045</v>
      </c>
      <c r="I223" s="17" t="n">
        <v>0</v>
      </c>
      <c r="J223" s="17" t="n">
        <v>0</v>
      </c>
      <c r="K223" s="17" t="n">
        <v>0</v>
      </c>
      <c r="L223" s="17" t="n">
        <v>0</v>
      </c>
      <c r="M223" s="17" t="n">
        <v>0</v>
      </c>
      <c r="N223" s="17" t="n">
        <v>0.85</v>
      </c>
      <c r="O223" s="26" t="n">
        <v>1</v>
      </c>
      <c r="P223" s="3" t="inlineStr">
        <is>
          <t>legacy_company_gpu_mix_fallback</t>
        </is>
      </c>
      <c r="Q223" s="3" t="inlineStr">
        <is>
          <t>SRC_GOOGLE_GEMINI_TOKENS; SRC_GOOGLE_IRONWOOD; SRC_GOOGLE_TPU_V6E</t>
        </is>
      </c>
      <c r="R223" s="3" t="inlineStr">
        <is>
          <t>No site-level chip type was available; prior company-level GPU/ASIC mix is retained as fallback.</t>
        </is>
      </c>
    </row>
    <row r="224">
      <c r="A224" s="3" t="inlineStr">
        <is>
          <t>Grid-Constrained / Efficiency-Upside|Google Fort Wayne|2029</t>
        </is>
      </c>
      <c r="B224" s="3" t="inlineStr">
        <is>
          <t>Grid-Constrained / Efficiency-Upside</t>
        </is>
      </c>
      <c r="C224" s="3" t="inlineStr">
        <is>
          <t>Google Fort Wayne</t>
        </is>
      </c>
      <c r="D224" s="3" t="n">
        <v>2029</v>
      </c>
      <c r="E224" s="3" t="inlineStr">
        <is>
          <t>Google</t>
        </is>
      </c>
      <c r="F224" s="17" t="n">
        <v>0.027</v>
      </c>
      <c r="G224" s="17" t="n">
        <v>0.045</v>
      </c>
      <c r="H224" s="17" t="n">
        <v>0.053</v>
      </c>
      <c r="I224" s="17" t="n">
        <v>0</v>
      </c>
      <c r="J224" s="17" t="n">
        <v>0</v>
      </c>
      <c r="K224" s="17" t="n">
        <v>0</v>
      </c>
      <c r="L224" s="17" t="n">
        <v>0</v>
      </c>
      <c r="M224" s="17" t="n">
        <v>0</v>
      </c>
      <c r="N224" s="17" t="n">
        <v>0.875</v>
      </c>
      <c r="O224" s="26" t="n">
        <v>1</v>
      </c>
      <c r="P224" s="3" t="inlineStr">
        <is>
          <t>legacy_company_gpu_mix_fallback</t>
        </is>
      </c>
      <c r="Q224" s="3" t="inlineStr">
        <is>
          <t>SRC_GOOGLE_GEMINI_TOKENS; SRC_GOOGLE_IRONWOOD; SRC_GOOGLE_TPU_V6E</t>
        </is>
      </c>
      <c r="R224" s="3" t="inlineStr">
        <is>
          <t>No site-level chip type was available; prior company-level GPU/ASIC mix is retained as fallback.</t>
        </is>
      </c>
    </row>
    <row r="225">
      <c r="A225" s="3" t="inlineStr">
        <is>
          <t>Grid-Constrained / Efficiency-Upside|Google Fort Wayne|2030</t>
        </is>
      </c>
      <c r="B225" s="3" t="inlineStr">
        <is>
          <t>Grid-Constrained / Efficiency-Upside</t>
        </is>
      </c>
      <c r="C225" s="3" t="inlineStr">
        <is>
          <t>Google Fort Wayne</t>
        </is>
      </c>
      <c r="D225" s="3" t="n">
        <v>2030</v>
      </c>
      <c r="E225" s="3" t="inlineStr">
        <is>
          <t>Google</t>
        </is>
      </c>
      <c r="F225" s="17" t="n">
        <v>0.01</v>
      </c>
      <c r="G225" s="17" t="n">
        <v>0.035</v>
      </c>
      <c r="H225" s="17" t="n">
        <v>0.055</v>
      </c>
      <c r="I225" s="17" t="n">
        <v>0</v>
      </c>
      <c r="J225" s="17" t="n">
        <v>0</v>
      </c>
      <c r="K225" s="17" t="n">
        <v>0</v>
      </c>
      <c r="L225" s="17" t="n">
        <v>0</v>
      </c>
      <c r="M225" s="17" t="n">
        <v>0</v>
      </c>
      <c r="N225" s="17" t="n">
        <v>0.9</v>
      </c>
      <c r="O225" s="26" t="n">
        <v>1</v>
      </c>
      <c r="P225" s="3" t="inlineStr">
        <is>
          <t>legacy_company_gpu_mix_fallback</t>
        </is>
      </c>
      <c r="Q225" s="3" t="inlineStr">
        <is>
          <t>SRC_GOOGLE_GEMINI_TOKENS; SRC_GOOGLE_IRONWOOD; SRC_GOOGLE_TPU_V6E</t>
        </is>
      </c>
      <c r="R225" s="3" t="inlineStr">
        <is>
          <t>No site-level chip type was available; prior company-level GPU/ASIC mix is retained as fallback.</t>
        </is>
      </c>
    </row>
    <row r="226">
      <c r="A226" s="3" t="inlineStr">
        <is>
          <t>Bear|Google New Albany|2026</t>
        </is>
      </c>
      <c r="B226" s="3" t="inlineStr">
        <is>
          <t>Bear</t>
        </is>
      </c>
      <c r="C226" s="3" t="inlineStr">
        <is>
          <t>Google New Albany</t>
        </is>
      </c>
      <c r="D226" s="3" t="n">
        <v>2026</v>
      </c>
      <c r="E226" s="3" t="inlineStr">
        <is>
          <t>Google</t>
        </is>
      </c>
      <c r="F226" s="17" t="n">
        <v>0</v>
      </c>
      <c r="G226" s="17" t="n">
        <v>0</v>
      </c>
      <c r="H226" s="17" t="n">
        <v>0</v>
      </c>
      <c r="I226" s="17" t="n">
        <v>0</v>
      </c>
      <c r="J226" s="17" t="n">
        <v>1</v>
      </c>
      <c r="K226" s="17" t="n">
        <v>0</v>
      </c>
      <c r="L226" s="17" t="n">
        <v>0</v>
      </c>
      <c r="M226" s="17" t="n">
        <v>0</v>
      </c>
      <c r="N226" s="17" t="n">
        <v>0</v>
      </c>
      <c r="O226" s="26" t="n">
        <v>1</v>
      </c>
      <c r="P226" s="3" t="inlineStr">
        <is>
          <t>epoch_chip_quantity_latest</t>
        </is>
      </c>
      <c r="Q226" s="3" t="inlineStr">
        <is>
          <t>SRC_EPOCH_AI_DATA_CENTERS; EPOCH_RAW_CHIP_QUANTITIES</t>
        </is>
      </c>
      <c r="R226" s="3" t="inlineStr">
        <is>
          <t>Latest chip quantity per chip type through year-end; normalized by unit count into benchmark buckets.</t>
        </is>
      </c>
    </row>
    <row r="227">
      <c r="A227" s="3" t="inlineStr">
        <is>
          <t>Bear|Google New Albany|2027</t>
        </is>
      </c>
      <c r="B227" s="3" t="inlineStr">
        <is>
          <t>Bear</t>
        </is>
      </c>
      <c r="C227" s="3" t="inlineStr">
        <is>
          <t>Google New Albany</t>
        </is>
      </c>
      <c r="D227" s="3" t="n">
        <v>2027</v>
      </c>
      <c r="E227" s="3" t="inlineStr">
        <is>
          <t>Google</t>
        </is>
      </c>
      <c r="F227" s="17" t="n">
        <v>0</v>
      </c>
      <c r="G227" s="17" t="n">
        <v>0</v>
      </c>
      <c r="H227" s="17" t="n">
        <v>0</v>
      </c>
      <c r="I227" s="17" t="n">
        <v>0</v>
      </c>
      <c r="J227" s="17" t="n">
        <v>1</v>
      </c>
      <c r="K227" s="17" t="n">
        <v>0</v>
      </c>
      <c r="L227" s="17" t="n">
        <v>0</v>
      </c>
      <c r="M227" s="17" t="n">
        <v>0</v>
      </c>
      <c r="N227" s="17" t="n">
        <v>0</v>
      </c>
      <c r="O227" s="26" t="n">
        <v>1</v>
      </c>
      <c r="P227" s="3" t="inlineStr">
        <is>
          <t>epoch_chip_quantity_latest</t>
        </is>
      </c>
      <c r="Q227" s="3" t="inlineStr">
        <is>
          <t>SRC_EPOCH_AI_DATA_CENTERS; EPOCH_RAW_CHIP_QUANTITIES</t>
        </is>
      </c>
      <c r="R227" s="3" t="inlineStr">
        <is>
          <t>Latest chip quantity per chip type through year-end; normalized by unit count into benchmark buckets.</t>
        </is>
      </c>
    </row>
    <row r="228">
      <c r="A228" s="3" t="inlineStr">
        <is>
          <t>Bear|Google New Albany|2028</t>
        </is>
      </c>
      <c r="B228" s="3" t="inlineStr">
        <is>
          <t>Bear</t>
        </is>
      </c>
      <c r="C228" s="3" t="inlineStr">
        <is>
          <t>Google New Albany</t>
        </is>
      </c>
      <c r="D228" s="3" t="n">
        <v>2028</v>
      </c>
      <c r="E228" s="3" t="inlineStr">
        <is>
          <t>Google</t>
        </is>
      </c>
      <c r="F228" s="17" t="n">
        <v>0</v>
      </c>
      <c r="G228" s="17" t="n">
        <v>0</v>
      </c>
      <c r="H228" s="17" t="n">
        <v>0</v>
      </c>
      <c r="I228" s="17" t="n">
        <v>0</v>
      </c>
      <c r="J228" s="17" t="n">
        <v>1</v>
      </c>
      <c r="K228" s="17" t="n">
        <v>0</v>
      </c>
      <c r="L228" s="17" t="n">
        <v>0</v>
      </c>
      <c r="M228" s="17" t="n">
        <v>0</v>
      </c>
      <c r="N228" s="17" t="n">
        <v>0</v>
      </c>
      <c r="O228" s="26" t="n">
        <v>1</v>
      </c>
      <c r="P228" s="3" t="inlineStr">
        <is>
          <t>epoch_chip_quantity_latest</t>
        </is>
      </c>
      <c r="Q228" s="3" t="inlineStr">
        <is>
          <t>SRC_EPOCH_AI_DATA_CENTERS; EPOCH_RAW_CHIP_QUANTITIES</t>
        </is>
      </c>
      <c r="R228" s="3" t="inlineStr">
        <is>
          <t>Latest chip quantity per chip type through year-end; normalized by unit count into benchmark buckets.</t>
        </is>
      </c>
    </row>
    <row r="229">
      <c r="A229" s="3" t="inlineStr">
        <is>
          <t>Bear|Google New Albany|2029</t>
        </is>
      </c>
      <c r="B229" s="3" t="inlineStr">
        <is>
          <t>Bear</t>
        </is>
      </c>
      <c r="C229" s="3" t="inlineStr">
        <is>
          <t>Google New Albany</t>
        </is>
      </c>
      <c r="D229" s="3" t="n">
        <v>2029</v>
      </c>
      <c r="E229" s="3" t="inlineStr">
        <is>
          <t>Google</t>
        </is>
      </c>
      <c r="F229" s="17" t="n">
        <v>0</v>
      </c>
      <c r="G229" s="17" t="n">
        <v>0</v>
      </c>
      <c r="H229" s="17" t="n">
        <v>0</v>
      </c>
      <c r="I229" s="17" t="n">
        <v>0</v>
      </c>
      <c r="J229" s="17" t="n">
        <v>1</v>
      </c>
      <c r="K229" s="17" t="n">
        <v>0</v>
      </c>
      <c r="L229" s="17" t="n">
        <v>0</v>
      </c>
      <c r="M229" s="17" t="n">
        <v>0</v>
      </c>
      <c r="N229" s="17" t="n">
        <v>0</v>
      </c>
      <c r="O229" s="26" t="n">
        <v>1</v>
      </c>
      <c r="P229" s="3" t="inlineStr">
        <is>
          <t>epoch_chip_quantity_latest</t>
        </is>
      </c>
      <c r="Q229" s="3" t="inlineStr">
        <is>
          <t>SRC_EPOCH_AI_DATA_CENTERS; EPOCH_RAW_CHIP_QUANTITIES</t>
        </is>
      </c>
      <c r="R229" s="3" t="inlineStr">
        <is>
          <t>Latest chip quantity per chip type through year-end; normalized by unit count into benchmark buckets.</t>
        </is>
      </c>
    </row>
    <row r="230">
      <c r="A230" s="3" t="inlineStr">
        <is>
          <t>Bear|Google New Albany|2030</t>
        </is>
      </c>
      <c r="B230" s="3" t="inlineStr">
        <is>
          <t>Bear</t>
        </is>
      </c>
      <c r="C230" s="3" t="inlineStr">
        <is>
          <t>Google New Albany</t>
        </is>
      </c>
      <c r="D230" s="3" t="n">
        <v>2030</v>
      </c>
      <c r="E230" s="3" t="inlineStr">
        <is>
          <t>Google</t>
        </is>
      </c>
      <c r="F230" s="17" t="n">
        <v>0</v>
      </c>
      <c r="G230" s="17" t="n">
        <v>0</v>
      </c>
      <c r="H230" s="17" t="n">
        <v>0</v>
      </c>
      <c r="I230" s="17" t="n">
        <v>0</v>
      </c>
      <c r="J230" s="17" t="n">
        <v>1</v>
      </c>
      <c r="K230" s="17" t="n">
        <v>0</v>
      </c>
      <c r="L230" s="17" t="n">
        <v>0</v>
      </c>
      <c r="M230" s="17" t="n">
        <v>0</v>
      </c>
      <c r="N230" s="17" t="n">
        <v>0</v>
      </c>
      <c r="O230" s="26" t="n">
        <v>1</v>
      </c>
      <c r="P230" s="3" t="inlineStr">
        <is>
          <t>epoch_chip_quantity_latest</t>
        </is>
      </c>
      <c r="Q230" s="3" t="inlineStr">
        <is>
          <t>SRC_EPOCH_AI_DATA_CENTERS; EPOCH_RAW_CHIP_QUANTITIES</t>
        </is>
      </c>
      <c r="R230" s="3" t="inlineStr">
        <is>
          <t>Latest chip quantity per chip type through year-end; normalized by unit count into benchmark buckets.</t>
        </is>
      </c>
    </row>
    <row r="231">
      <c r="A231" s="3" t="inlineStr">
        <is>
          <t>Base|Google New Albany|2026</t>
        </is>
      </c>
      <c r="B231" s="3" t="inlineStr">
        <is>
          <t>Base</t>
        </is>
      </c>
      <c r="C231" s="3" t="inlineStr">
        <is>
          <t>Google New Albany</t>
        </is>
      </c>
      <c r="D231" s="3" t="n">
        <v>2026</v>
      </c>
      <c r="E231" s="3" t="inlineStr">
        <is>
          <t>Google</t>
        </is>
      </c>
      <c r="F231" s="17" t="n">
        <v>0</v>
      </c>
      <c r="G231" s="17" t="n">
        <v>0</v>
      </c>
      <c r="H231" s="17" t="n">
        <v>0</v>
      </c>
      <c r="I231" s="17" t="n">
        <v>0</v>
      </c>
      <c r="J231" s="17" t="n">
        <v>1</v>
      </c>
      <c r="K231" s="17" t="n">
        <v>0</v>
      </c>
      <c r="L231" s="17" t="n">
        <v>0</v>
      </c>
      <c r="M231" s="17" t="n">
        <v>0</v>
      </c>
      <c r="N231" s="17" t="n">
        <v>0</v>
      </c>
      <c r="O231" s="26" t="n">
        <v>1</v>
      </c>
      <c r="P231" s="3" t="inlineStr">
        <is>
          <t>epoch_chip_quantity_latest</t>
        </is>
      </c>
      <c r="Q231" s="3" t="inlineStr">
        <is>
          <t>SRC_EPOCH_AI_DATA_CENTERS; EPOCH_RAW_CHIP_QUANTITIES</t>
        </is>
      </c>
      <c r="R231" s="3" t="inlineStr">
        <is>
          <t>Latest chip quantity per chip type through year-end; normalized by unit count into benchmark buckets.</t>
        </is>
      </c>
    </row>
    <row r="232">
      <c r="A232" s="3" t="inlineStr">
        <is>
          <t>Base|Google New Albany|2027</t>
        </is>
      </c>
      <c r="B232" s="3" t="inlineStr">
        <is>
          <t>Base</t>
        </is>
      </c>
      <c r="C232" s="3" t="inlineStr">
        <is>
          <t>Google New Albany</t>
        </is>
      </c>
      <c r="D232" s="3" t="n">
        <v>2027</v>
      </c>
      <c r="E232" s="3" t="inlineStr">
        <is>
          <t>Google</t>
        </is>
      </c>
      <c r="F232" s="17" t="n">
        <v>0</v>
      </c>
      <c r="G232" s="17" t="n">
        <v>0</v>
      </c>
      <c r="H232" s="17" t="n">
        <v>0</v>
      </c>
      <c r="I232" s="17" t="n">
        <v>0</v>
      </c>
      <c r="J232" s="17" t="n">
        <v>1</v>
      </c>
      <c r="K232" s="17" t="n">
        <v>0</v>
      </c>
      <c r="L232" s="17" t="n">
        <v>0</v>
      </c>
      <c r="M232" s="17" t="n">
        <v>0</v>
      </c>
      <c r="N232" s="17" t="n">
        <v>0</v>
      </c>
      <c r="O232" s="26" t="n">
        <v>1</v>
      </c>
      <c r="P232" s="3" t="inlineStr">
        <is>
          <t>epoch_chip_quantity_latest</t>
        </is>
      </c>
      <c r="Q232" s="3" t="inlineStr">
        <is>
          <t>SRC_EPOCH_AI_DATA_CENTERS; EPOCH_RAW_CHIP_QUANTITIES</t>
        </is>
      </c>
      <c r="R232" s="3" t="inlineStr">
        <is>
          <t>Latest chip quantity per chip type through year-end; normalized by unit count into benchmark buckets.</t>
        </is>
      </c>
    </row>
    <row r="233">
      <c r="A233" s="3" t="inlineStr">
        <is>
          <t>Base|Google New Albany|2028</t>
        </is>
      </c>
      <c r="B233" s="3" t="inlineStr">
        <is>
          <t>Base</t>
        </is>
      </c>
      <c r="C233" s="3" t="inlineStr">
        <is>
          <t>Google New Albany</t>
        </is>
      </c>
      <c r="D233" s="3" t="n">
        <v>2028</v>
      </c>
      <c r="E233" s="3" t="inlineStr">
        <is>
          <t>Google</t>
        </is>
      </c>
      <c r="F233" s="17" t="n">
        <v>0</v>
      </c>
      <c r="G233" s="17" t="n">
        <v>0</v>
      </c>
      <c r="H233" s="17" t="n">
        <v>0</v>
      </c>
      <c r="I233" s="17" t="n">
        <v>0</v>
      </c>
      <c r="J233" s="17" t="n">
        <v>1</v>
      </c>
      <c r="K233" s="17" t="n">
        <v>0</v>
      </c>
      <c r="L233" s="17" t="n">
        <v>0</v>
      </c>
      <c r="M233" s="17" t="n">
        <v>0</v>
      </c>
      <c r="N233" s="17" t="n">
        <v>0</v>
      </c>
      <c r="O233" s="26" t="n">
        <v>1</v>
      </c>
      <c r="P233" s="3" t="inlineStr">
        <is>
          <t>epoch_chip_quantity_latest</t>
        </is>
      </c>
      <c r="Q233" s="3" t="inlineStr">
        <is>
          <t>SRC_EPOCH_AI_DATA_CENTERS; EPOCH_RAW_CHIP_QUANTITIES</t>
        </is>
      </c>
      <c r="R233" s="3" t="inlineStr">
        <is>
          <t>Latest chip quantity per chip type through year-end; normalized by unit count into benchmark buckets.</t>
        </is>
      </c>
    </row>
    <row r="234">
      <c r="A234" s="3" t="inlineStr">
        <is>
          <t>Base|Google New Albany|2029</t>
        </is>
      </c>
      <c r="B234" s="3" t="inlineStr">
        <is>
          <t>Base</t>
        </is>
      </c>
      <c r="C234" s="3" t="inlineStr">
        <is>
          <t>Google New Albany</t>
        </is>
      </c>
      <c r="D234" s="3" t="n">
        <v>2029</v>
      </c>
      <c r="E234" s="3" t="inlineStr">
        <is>
          <t>Google</t>
        </is>
      </c>
      <c r="F234" s="17" t="n">
        <v>0</v>
      </c>
      <c r="G234" s="17" t="n">
        <v>0</v>
      </c>
      <c r="H234" s="17" t="n">
        <v>0</v>
      </c>
      <c r="I234" s="17" t="n">
        <v>0</v>
      </c>
      <c r="J234" s="17" t="n">
        <v>1</v>
      </c>
      <c r="K234" s="17" t="n">
        <v>0</v>
      </c>
      <c r="L234" s="17" t="n">
        <v>0</v>
      </c>
      <c r="M234" s="17" t="n">
        <v>0</v>
      </c>
      <c r="N234" s="17" t="n">
        <v>0</v>
      </c>
      <c r="O234" s="26" t="n">
        <v>1</v>
      </c>
      <c r="P234" s="3" t="inlineStr">
        <is>
          <t>epoch_chip_quantity_latest</t>
        </is>
      </c>
      <c r="Q234" s="3" t="inlineStr">
        <is>
          <t>SRC_EPOCH_AI_DATA_CENTERS; EPOCH_RAW_CHIP_QUANTITIES</t>
        </is>
      </c>
      <c r="R234" s="3" t="inlineStr">
        <is>
          <t>Latest chip quantity per chip type through year-end; normalized by unit count into benchmark buckets.</t>
        </is>
      </c>
    </row>
    <row r="235">
      <c r="A235" s="3" t="inlineStr">
        <is>
          <t>Base|Google New Albany|2030</t>
        </is>
      </c>
      <c r="B235" s="3" t="inlineStr">
        <is>
          <t>Base</t>
        </is>
      </c>
      <c r="C235" s="3" t="inlineStr">
        <is>
          <t>Google New Albany</t>
        </is>
      </c>
      <c r="D235" s="3" t="n">
        <v>2030</v>
      </c>
      <c r="E235" s="3" t="inlineStr">
        <is>
          <t>Google</t>
        </is>
      </c>
      <c r="F235" s="17" t="n">
        <v>0</v>
      </c>
      <c r="G235" s="17" t="n">
        <v>0</v>
      </c>
      <c r="H235" s="17" t="n">
        <v>0</v>
      </c>
      <c r="I235" s="17" t="n">
        <v>0</v>
      </c>
      <c r="J235" s="17" t="n">
        <v>1</v>
      </c>
      <c r="K235" s="17" t="n">
        <v>0</v>
      </c>
      <c r="L235" s="17" t="n">
        <v>0</v>
      </c>
      <c r="M235" s="17" t="n">
        <v>0</v>
      </c>
      <c r="N235" s="17" t="n">
        <v>0</v>
      </c>
      <c r="O235" s="26" t="n">
        <v>1</v>
      </c>
      <c r="P235" s="3" t="inlineStr">
        <is>
          <t>epoch_chip_quantity_latest</t>
        </is>
      </c>
      <c r="Q235" s="3" t="inlineStr">
        <is>
          <t>SRC_EPOCH_AI_DATA_CENTERS; EPOCH_RAW_CHIP_QUANTITIES</t>
        </is>
      </c>
      <c r="R235" s="3" t="inlineStr">
        <is>
          <t>Latest chip quantity per chip type through year-end; normalized by unit count into benchmark buckets.</t>
        </is>
      </c>
    </row>
    <row r="236">
      <c r="A236" s="3" t="inlineStr">
        <is>
          <t>Bull|Google New Albany|2026</t>
        </is>
      </c>
      <c r="B236" s="3" t="inlineStr">
        <is>
          <t>Bull</t>
        </is>
      </c>
      <c r="C236" s="3" t="inlineStr">
        <is>
          <t>Google New Albany</t>
        </is>
      </c>
      <c r="D236" s="3" t="n">
        <v>2026</v>
      </c>
      <c r="E236" s="3" t="inlineStr">
        <is>
          <t>Google</t>
        </is>
      </c>
      <c r="F236" s="17" t="n">
        <v>0</v>
      </c>
      <c r="G236" s="17" t="n">
        <v>0</v>
      </c>
      <c r="H236" s="17" t="n">
        <v>0</v>
      </c>
      <c r="I236" s="17" t="n">
        <v>0</v>
      </c>
      <c r="J236" s="17" t="n">
        <v>1</v>
      </c>
      <c r="K236" s="17" t="n">
        <v>0</v>
      </c>
      <c r="L236" s="17" t="n">
        <v>0</v>
      </c>
      <c r="M236" s="17" t="n">
        <v>0</v>
      </c>
      <c r="N236" s="17" t="n">
        <v>0</v>
      </c>
      <c r="O236" s="26" t="n">
        <v>1</v>
      </c>
      <c r="P236" s="3" t="inlineStr">
        <is>
          <t>epoch_chip_quantity_latest</t>
        </is>
      </c>
      <c r="Q236" s="3" t="inlineStr">
        <is>
          <t>SRC_EPOCH_AI_DATA_CENTERS; EPOCH_RAW_CHIP_QUANTITIES</t>
        </is>
      </c>
      <c r="R236" s="3" t="inlineStr">
        <is>
          <t>Latest chip quantity per chip type through year-end; normalized by unit count into benchmark buckets.</t>
        </is>
      </c>
    </row>
    <row r="237">
      <c r="A237" s="3" t="inlineStr">
        <is>
          <t>Bull|Google New Albany|2027</t>
        </is>
      </c>
      <c r="B237" s="3" t="inlineStr">
        <is>
          <t>Bull</t>
        </is>
      </c>
      <c r="C237" s="3" t="inlineStr">
        <is>
          <t>Google New Albany</t>
        </is>
      </c>
      <c r="D237" s="3" t="n">
        <v>2027</v>
      </c>
      <c r="E237" s="3" t="inlineStr">
        <is>
          <t>Google</t>
        </is>
      </c>
      <c r="F237" s="17" t="n">
        <v>0</v>
      </c>
      <c r="G237" s="17" t="n">
        <v>0</v>
      </c>
      <c r="H237" s="17" t="n">
        <v>0</v>
      </c>
      <c r="I237" s="17" t="n">
        <v>0</v>
      </c>
      <c r="J237" s="17" t="n">
        <v>1</v>
      </c>
      <c r="K237" s="17" t="n">
        <v>0</v>
      </c>
      <c r="L237" s="17" t="n">
        <v>0</v>
      </c>
      <c r="M237" s="17" t="n">
        <v>0</v>
      </c>
      <c r="N237" s="17" t="n">
        <v>0</v>
      </c>
      <c r="O237" s="26" t="n">
        <v>1</v>
      </c>
      <c r="P237" s="3" t="inlineStr">
        <is>
          <t>epoch_chip_quantity_latest</t>
        </is>
      </c>
      <c r="Q237" s="3" t="inlineStr">
        <is>
          <t>SRC_EPOCH_AI_DATA_CENTERS; EPOCH_RAW_CHIP_QUANTITIES</t>
        </is>
      </c>
      <c r="R237" s="3" t="inlineStr">
        <is>
          <t>Latest chip quantity per chip type through year-end; normalized by unit count into benchmark buckets.</t>
        </is>
      </c>
    </row>
    <row r="238">
      <c r="A238" s="3" t="inlineStr">
        <is>
          <t>Bull|Google New Albany|2028</t>
        </is>
      </c>
      <c r="B238" s="3" t="inlineStr">
        <is>
          <t>Bull</t>
        </is>
      </c>
      <c r="C238" s="3" t="inlineStr">
        <is>
          <t>Google New Albany</t>
        </is>
      </c>
      <c r="D238" s="3" t="n">
        <v>2028</v>
      </c>
      <c r="E238" s="3" t="inlineStr">
        <is>
          <t>Google</t>
        </is>
      </c>
      <c r="F238" s="17" t="n">
        <v>0</v>
      </c>
      <c r="G238" s="17" t="n">
        <v>0</v>
      </c>
      <c r="H238" s="17" t="n">
        <v>0</v>
      </c>
      <c r="I238" s="17" t="n">
        <v>0</v>
      </c>
      <c r="J238" s="17" t="n">
        <v>1</v>
      </c>
      <c r="K238" s="17" t="n">
        <v>0</v>
      </c>
      <c r="L238" s="17" t="n">
        <v>0</v>
      </c>
      <c r="M238" s="17" t="n">
        <v>0</v>
      </c>
      <c r="N238" s="17" t="n">
        <v>0</v>
      </c>
      <c r="O238" s="26" t="n">
        <v>1</v>
      </c>
      <c r="P238" s="3" t="inlineStr">
        <is>
          <t>epoch_chip_quantity_latest</t>
        </is>
      </c>
      <c r="Q238" s="3" t="inlineStr">
        <is>
          <t>SRC_EPOCH_AI_DATA_CENTERS; EPOCH_RAW_CHIP_QUANTITIES</t>
        </is>
      </c>
      <c r="R238" s="3" t="inlineStr">
        <is>
          <t>Latest chip quantity per chip type through year-end; normalized by unit count into benchmark buckets.</t>
        </is>
      </c>
    </row>
    <row r="239">
      <c r="A239" s="3" t="inlineStr">
        <is>
          <t>Bull|Google New Albany|2029</t>
        </is>
      </c>
      <c r="B239" s="3" t="inlineStr">
        <is>
          <t>Bull</t>
        </is>
      </c>
      <c r="C239" s="3" t="inlineStr">
        <is>
          <t>Google New Albany</t>
        </is>
      </c>
      <c r="D239" s="3" t="n">
        <v>2029</v>
      </c>
      <c r="E239" s="3" t="inlineStr">
        <is>
          <t>Google</t>
        </is>
      </c>
      <c r="F239" s="17" t="n">
        <v>0</v>
      </c>
      <c r="G239" s="17" t="n">
        <v>0</v>
      </c>
      <c r="H239" s="17" t="n">
        <v>0</v>
      </c>
      <c r="I239" s="17" t="n">
        <v>0</v>
      </c>
      <c r="J239" s="17" t="n">
        <v>1</v>
      </c>
      <c r="K239" s="17" t="n">
        <v>0</v>
      </c>
      <c r="L239" s="17" t="n">
        <v>0</v>
      </c>
      <c r="M239" s="17" t="n">
        <v>0</v>
      </c>
      <c r="N239" s="17" t="n">
        <v>0</v>
      </c>
      <c r="O239" s="26" t="n">
        <v>1</v>
      </c>
      <c r="P239" s="3" t="inlineStr">
        <is>
          <t>epoch_chip_quantity_latest</t>
        </is>
      </c>
      <c r="Q239" s="3" t="inlineStr">
        <is>
          <t>SRC_EPOCH_AI_DATA_CENTERS; EPOCH_RAW_CHIP_QUANTITIES</t>
        </is>
      </c>
      <c r="R239" s="3" t="inlineStr">
        <is>
          <t>Latest chip quantity per chip type through year-end; normalized by unit count into benchmark buckets.</t>
        </is>
      </c>
    </row>
    <row r="240">
      <c r="A240" s="3" t="inlineStr">
        <is>
          <t>Bull|Google New Albany|2030</t>
        </is>
      </c>
      <c r="B240" s="3" t="inlineStr">
        <is>
          <t>Bull</t>
        </is>
      </c>
      <c r="C240" s="3" t="inlineStr">
        <is>
          <t>Google New Albany</t>
        </is>
      </c>
      <c r="D240" s="3" t="n">
        <v>2030</v>
      </c>
      <c r="E240" s="3" t="inlineStr">
        <is>
          <t>Google</t>
        </is>
      </c>
      <c r="F240" s="17" t="n">
        <v>0</v>
      </c>
      <c r="G240" s="17" t="n">
        <v>0</v>
      </c>
      <c r="H240" s="17" t="n">
        <v>0</v>
      </c>
      <c r="I240" s="17" t="n">
        <v>0</v>
      </c>
      <c r="J240" s="17" t="n">
        <v>1</v>
      </c>
      <c r="K240" s="17" t="n">
        <v>0</v>
      </c>
      <c r="L240" s="17" t="n">
        <v>0</v>
      </c>
      <c r="M240" s="17" t="n">
        <v>0</v>
      </c>
      <c r="N240" s="17" t="n">
        <v>0</v>
      </c>
      <c r="O240" s="26" t="n">
        <v>1</v>
      </c>
      <c r="P240" s="3" t="inlineStr">
        <is>
          <t>epoch_chip_quantity_latest</t>
        </is>
      </c>
      <c r="Q240" s="3" t="inlineStr">
        <is>
          <t>SRC_EPOCH_AI_DATA_CENTERS; EPOCH_RAW_CHIP_QUANTITIES</t>
        </is>
      </c>
      <c r="R240" s="3" t="inlineStr">
        <is>
          <t>Latest chip quantity per chip type through year-end; normalized by unit count into benchmark buckets.</t>
        </is>
      </c>
    </row>
    <row r="241">
      <c r="A241" s="3" t="inlineStr">
        <is>
          <t>Grid-Constrained / Efficiency-Upside|Google New Albany|2026</t>
        </is>
      </c>
      <c r="B241" s="3" t="inlineStr">
        <is>
          <t>Grid-Constrained / Efficiency-Upside</t>
        </is>
      </c>
      <c r="C241" s="3" t="inlineStr">
        <is>
          <t>Google New Albany</t>
        </is>
      </c>
      <c r="D241" s="3" t="n">
        <v>2026</v>
      </c>
      <c r="E241" s="3" t="inlineStr">
        <is>
          <t>Google</t>
        </is>
      </c>
      <c r="F241" s="17" t="n">
        <v>0</v>
      </c>
      <c r="G241" s="17" t="n">
        <v>0</v>
      </c>
      <c r="H241" s="17" t="n">
        <v>0</v>
      </c>
      <c r="I241" s="17" t="n">
        <v>0</v>
      </c>
      <c r="J241" s="17" t="n">
        <v>1</v>
      </c>
      <c r="K241" s="17" t="n">
        <v>0</v>
      </c>
      <c r="L241" s="17" t="n">
        <v>0</v>
      </c>
      <c r="M241" s="17" t="n">
        <v>0</v>
      </c>
      <c r="N241" s="17" t="n">
        <v>0</v>
      </c>
      <c r="O241" s="26" t="n">
        <v>1</v>
      </c>
      <c r="P241" s="3" t="inlineStr">
        <is>
          <t>epoch_chip_quantity_latest</t>
        </is>
      </c>
      <c r="Q241" s="3" t="inlineStr">
        <is>
          <t>SRC_EPOCH_AI_DATA_CENTERS; EPOCH_RAW_CHIP_QUANTITIES</t>
        </is>
      </c>
      <c r="R241" s="3" t="inlineStr">
        <is>
          <t>Latest chip quantity per chip type through year-end; normalized by unit count into benchmark buckets.</t>
        </is>
      </c>
    </row>
    <row r="242">
      <c r="A242" s="3" t="inlineStr">
        <is>
          <t>Grid-Constrained / Efficiency-Upside|Google New Albany|2027</t>
        </is>
      </c>
      <c r="B242" s="3" t="inlineStr">
        <is>
          <t>Grid-Constrained / Efficiency-Upside</t>
        </is>
      </c>
      <c r="C242" s="3" t="inlineStr">
        <is>
          <t>Google New Albany</t>
        </is>
      </c>
      <c r="D242" s="3" t="n">
        <v>2027</v>
      </c>
      <c r="E242" s="3" t="inlineStr">
        <is>
          <t>Google</t>
        </is>
      </c>
      <c r="F242" s="17" t="n">
        <v>0</v>
      </c>
      <c r="G242" s="17" t="n">
        <v>0</v>
      </c>
      <c r="H242" s="17" t="n">
        <v>0</v>
      </c>
      <c r="I242" s="17" t="n">
        <v>0</v>
      </c>
      <c r="J242" s="17" t="n">
        <v>1</v>
      </c>
      <c r="K242" s="17" t="n">
        <v>0</v>
      </c>
      <c r="L242" s="17" t="n">
        <v>0</v>
      </c>
      <c r="M242" s="17" t="n">
        <v>0</v>
      </c>
      <c r="N242" s="17" t="n">
        <v>0</v>
      </c>
      <c r="O242" s="26" t="n">
        <v>1</v>
      </c>
      <c r="P242" s="3" t="inlineStr">
        <is>
          <t>epoch_chip_quantity_latest</t>
        </is>
      </c>
      <c r="Q242" s="3" t="inlineStr">
        <is>
          <t>SRC_EPOCH_AI_DATA_CENTERS; EPOCH_RAW_CHIP_QUANTITIES</t>
        </is>
      </c>
      <c r="R242" s="3" t="inlineStr">
        <is>
          <t>Latest chip quantity per chip type through year-end; normalized by unit count into benchmark buckets.</t>
        </is>
      </c>
    </row>
    <row r="243">
      <c r="A243" s="3" t="inlineStr">
        <is>
          <t>Grid-Constrained / Efficiency-Upside|Google New Albany|2028</t>
        </is>
      </c>
      <c r="B243" s="3" t="inlineStr">
        <is>
          <t>Grid-Constrained / Efficiency-Upside</t>
        </is>
      </c>
      <c r="C243" s="3" t="inlineStr">
        <is>
          <t>Google New Albany</t>
        </is>
      </c>
      <c r="D243" s="3" t="n">
        <v>2028</v>
      </c>
      <c r="E243" s="3" t="inlineStr">
        <is>
          <t>Google</t>
        </is>
      </c>
      <c r="F243" s="17" t="n">
        <v>0</v>
      </c>
      <c r="G243" s="17" t="n">
        <v>0</v>
      </c>
      <c r="H243" s="17" t="n">
        <v>0</v>
      </c>
      <c r="I243" s="17" t="n">
        <v>0</v>
      </c>
      <c r="J243" s="17" t="n">
        <v>1</v>
      </c>
      <c r="K243" s="17" t="n">
        <v>0</v>
      </c>
      <c r="L243" s="17" t="n">
        <v>0</v>
      </c>
      <c r="M243" s="17" t="n">
        <v>0</v>
      </c>
      <c r="N243" s="17" t="n">
        <v>0</v>
      </c>
      <c r="O243" s="26" t="n">
        <v>1</v>
      </c>
      <c r="P243" s="3" t="inlineStr">
        <is>
          <t>epoch_chip_quantity_latest</t>
        </is>
      </c>
      <c r="Q243" s="3" t="inlineStr">
        <is>
          <t>SRC_EPOCH_AI_DATA_CENTERS; EPOCH_RAW_CHIP_QUANTITIES</t>
        </is>
      </c>
      <c r="R243" s="3" t="inlineStr">
        <is>
          <t>Latest chip quantity per chip type through year-end; normalized by unit count into benchmark buckets.</t>
        </is>
      </c>
    </row>
    <row r="244">
      <c r="A244" s="3" t="inlineStr">
        <is>
          <t>Grid-Constrained / Efficiency-Upside|Google New Albany|2029</t>
        </is>
      </c>
      <c r="B244" s="3" t="inlineStr">
        <is>
          <t>Grid-Constrained / Efficiency-Upside</t>
        </is>
      </c>
      <c r="C244" s="3" t="inlineStr">
        <is>
          <t>Google New Albany</t>
        </is>
      </c>
      <c r="D244" s="3" t="n">
        <v>2029</v>
      </c>
      <c r="E244" s="3" t="inlineStr">
        <is>
          <t>Google</t>
        </is>
      </c>
      <c r="F244" s="17" t="n">
        <v>0</v>
      </c>
      <c r="G244" s="17" t="n">
        <v>0</v>
      </c>
      <c r="H244" s="17" t="n">
        <v>0</v>
      </c>
      <c r="I244" s="17" t="n">
        <v>0</v>
      </c>
      <c r="J244" s="17" t="n">
        <v>1</v>
      </c>
      <c r="K244" s="17" t="n">
        <v>0</v>
      </c>
      <c r="L244" s="17" t="n">
        <v>0</v>
      </c>
      <c r="M244" s="17" t="n">
        <v>0</v>
      </c>
      <c r="N244" s="17" t="n">
        <v>0</v>
      </c>
      <c r="O244" s="26" t="n">
        <v>1</v>
      </c>
      <c r="P244" s="3" t="inlineStr">
        <is>
          <t>epoch_chip_quantity_latest</t>
        </is>
      </c>
      <c r="Q244" s="3" t="inlineStr">
        <is>
          <t>SRC_EPOCH_AI_DATA_CENTERS; EPOCH_RAW_CHIP_QUANTITIES</t>
        </is>
      </c>
      <c r="R244" s="3" t="inlineStr">
        <is>
          <t>Latest chip quantity per chip type through year-end; normalized by unit count into benchmark buckets.</t>
        </is>
      </c>
    </row>
    <row r="245">
      <c r="A245" s="3" t="inlineStr">
        <is>
          <t>Grid-Constrained / Efficiency-Upside|Google New Albany|2030</t>
        </is>
      </c>
      <c r="B245" s="3" t="inlineStr">
        <is>
          <t>Grid-Constrained / Efficiency-Upside</t>
        </is>
      </c>
      <c r="C245" s="3" t="inlineStr">
        <is>
          <t>Google New Albany</t>
        </is>
      </c>
      <c r="D245" s="3" t="n">
        <v>2030</v>
      </c>
      <c r="E245" s="3" t="inlineStr">
        <is>
          <t>Google</t>
        </is>
      </c>
      <c r="F245" s="17" t="n">
        <v>0</v>
      </c>
      <c r="G245" s="17" t="n">
        <v>0</v>
      </c>
      <c r="H245" s="17" t="n">
        <v>0</v>
      </c>
      <c r="I245" s="17" t="n">
        <v>0</v>
      </c>
      <c r="J245" s="17" t="n">
        <v>1</v>
      </c>
      <c r="K245" s="17" t="n">
        <v>0</v>
      </c>
      <c r="L245" s="17" t="n">
        <v>0</v>
      </c>
      <c r="M245" s="17" t="n">
        <v>0</v>
      </c>
      <c r="N245" s="17" t="n">
        <v>0</v>
      </c>
      <c r="O245" s="26" t="n">
        <v>1</v>
      </c>
      <c r="P245" s="3" t="inlineStr">
        <is>
          <t>epoch_chip_quantity_latest</t>
        </is>
      </c>
      <c r="Q245" s="3" t="inlineStr">
        <is>
          <t>SRC_EPOCH_AI_DATA_CENTERS; EPOCH_RAW_CHIP_QUANTITIES</t>
        </is>
      </c>
      <c r="R245" s="3" t="inlineStr">
        <is>
          <t>Latest chip quantity per chip type through year-end; normalized by unit count into benchmark buckets.</t>
        </is>
      </c>
    </row>
    <row r="246">
      <c r="A246" s="3" t="inlineStr">
        <is>
          <t>Bear|Google Omaha|2026</t>
        </is>
      </c>
      <c r="B246" s="3" t="inlineStr">
        <is>
          <t>Bear</t>
        </is>
      </c>
      <c r="C246" s="3" t="inlineStr">
        <is>
          <t>Google Omaha</t>
        </is>
      </c>
      <c r="D246" s="3" t="n">
        <v>2026</v>
      </c>
      <c r="E246" s="3" t="inlineStr">
        <is>
          <t>Google</t>
        </is>
      </c>
      <c r="F246" s="17" t="n">
        <v>0</v>
      </c>
      <c r="G246" s="17" t="n">
        <v>0</v>
      </c>
      <c r="H246" s="17" t="n">
        <v>0</v>
      </c>
      <c r="I246" s="17" t="n">
        <v>0</v>
      </c>
      <c r="J246" s="17" t="n">
        <v>1</v>
      </c>
      <c r="K246" s="17" t="n">
        <v>0</v>
      </c>
      <c r="L246" s="17" t="n">
        <v>0</v>
      </c>
      <c r="M246" s="17" t="n">
        <v>0</v>
      </c>
      <c r="N246" s="17" t="n">
        <v>0</v>
      </c>
      <c r="O246" s="26" t="n">
        <v>1</v>
      </c>
      <c r="P246" s="3" t="inlineStr">
        <is>
          <t>epoch_chip_quantity_latest</t>
        </is>
      </c>
      <c r="Q246" s="3" t="inlineStr">
        <is>
          <t>SRC_EPOCH_AI_DATA_CENTERS; EPOCH_RAW_CHIP_QUANTITIES</t>
        </is>
      </c>
      <c r="R246" s="3" t="inlineStr">
        <is>
          <t>Latest chip quantity per chip type through year-end; normalized by unit count into benchmark buckets.</t>
        </is>
      </c>
    </row>
    <row r="247">
      <c r="A247" s="3" t="inlineStr">
        <is>
          <t>Bear|Google Omaha|2027</t>
        </is>
      </c>
      <c r="B247" s="3" t="inlineStr">
        <is>
          <t>Bear</t>
        </is>
      </c>
      <c r="C247" s="3" t="inlineStr">
        <is>
          <t>Google Omaha</t>
        </is>
      </c>
      <c r="D247" s="3" t="n">
        <v>2027</v>
      </c>
      <c r="E247" s="3" t="inlineStr">
        <is>
          <t>Google</t>
        </is>
      </c>
      <c r="F247" s="17" t="n">
        <v>0</v>
      </c>
      <c r="G247" s="17" t="n">
        <v>0</v>
      </c>
      <c r="H247" s="17" t="n">
        <v>0</v>
      </c>
      <c r="I247" s="17" t="n">
        <v>0</v>
      </c>
      <c r="J247" s="17" t="n">
        <v>1</v>
      </c>
      <c r="K247" s="17" t="n">
        <v>0</v>
      </c>
      <c r="L247" s="17" t="n">
        <v>0</v>
      </c>
      <c r="M247" s="17" t="n">
        <v>0</v>
      </c>
      <c r="N247" s="17" t="n">
        <v>0</v>
      </c>
      <c r="O247" s="26" t="n">
        <v>1</v>
      </c>
      <c r="P247" s="3" t="inlineStr">
        <is>
          <t>epoch_chip_quantity_latest</t>
        </is>
      </c>
      <c r="Q247" s="3" t="inlineStr">
        <is>
          <t>SRC_EPOCH_AI_DATA_CENTERS; EPOCH_RAW_CHIP_QUANTITIES</t>
        </is>
      </c>
      <c r="R247" s="3" t="inlineStr">
        <is>
          <t>Latest chip quantity per chip type through year-end; normalized by unit count into benchmark buckets.</t>
        </is>
      </c>
    </row>
    <row r="248">
      <c r="A248" s="3" t="inlineStr">
        <is>
          <t>Bear|Google Omaha|2028</t>
        </is>
      </c>
      <c r="B248" s="3" t="inlineStr">
        <is>
          <t>Bear</t>
        </is>
      </c>
      <c r="C248" s="3" t="inlineStr">
        <is>
          <t>Google Omaha</t>
        </is>
      </c>
      <c r="D248" s="3" t="n">
        <v>2028</v>
      </c>
      <c r="E248" s="3" t="inlineStr">
        <is>
          <t>Google</t>
        </is>
      </c>
      <c r="F248" s="17" t="n">
        <v>0</v>
      </c>
      <c r="G248" s="17" t="n">
        <v>0</v>
      </c>
      <c r="H248" s="17" t="n">
        <v>0</v>
      </c>
      <c r="I248" s="17" t="n">
        <v>0</v>
      </c>
      <c r="J248" s="17" t="n">
        <v>1</v>
      </c>
      <c r="K248" s="17" t="n">
        <v>0</v>
      </c>
      <c r="L248" s="17" t="n">
        <v>0</v>
      </c>
      <c r="M248" s="17" t="n">
        <v>0</v>
      </c>
      <c r="N248" s="17" t="n">
        <v>0</v>
      </c>
      <c r="O248" s="26" t="n">
        <v>1</v>
      </c>
      <c r="P248" s="3" t="inlineStr">
        <is>
          <t>epoch_chip_quantity_latest</t>
        </is>
      </c>
      <c r="Q248" s="3" t="inlineStr">
        <is>
          <t>SRC_EPOCH_AI_DATA_CENTERS; EPOCH_RAW_CHIP_QUANTITIES</t>
        </is>
      </c>
      <c r="R248" s="3" t="inlineStr">
        <is>
          <t>Latest chip quantity per chip type through year-end; normalized by unit count into benchmark buckets.</t>
        </is>
      </c>
    </row>
    <row r="249">
      <c r="A249" s="3" t="inlineStr">
        <is>
          <t>Bear|Google Omaha|2029</t>
        </is>
      </c>
      <c r="B249" s="3" t="inlineStr">
        <is>
          <t>Bear</t>
        </is>
      </c>
      <c r="C249" s="3" t="inlineStr">
        <is>
          <t>Google Omaha</t>
        </is>
      </c>
      <c r="D249" s="3" t="n">
        <v>2029</v>
      </c>
      <c r="E249" s="3" t="inlineStr">
        <is>
          <t>Google</t>
        </is>
      </c>
      <c r="F249" s="17" t="n">
        <v>0</v>
      </c>
      <c r="G249" s="17" t="n">
        <v>0</v>
      </c>
      <c r="H249" s="17" t="n">
        <v>0</v>
      </c>
      <c r="I249" s="17" t="n">
        <v>0</v>
      </c>
      <c r="J249" s="17" t="n">
        <v>1</v>
      </c>
      <c r="K249" s="17" t="n">
        <v>0</v>
      </c>
      <c r="L249" s="17" t="n">
        <v>0</v>
      </c>
      <c r="M249" s="17" t="n">
        <v>0</v>
      </c>
      <c r="N249" s="17" t="n">
        <v>0</v>
      </c>
      <c r="O249" s="26" t="n">
        <v>1</v>
      </c>
      <c r="P249" s="3" t="inlineStr">
        <is>
          <t>epoch_chip_quantity_latest</t>
        </is>
      </c>
      <c r="Q249" s="3" t="inlineStr">
        <is>
          <t>SRC_EPOCH_AI_DATA_CENTERS; EPOCH_RAW_CHIP_QUANTITIES</t>
        </is>
      </c>
      <c r="R249" s="3" t="inlineStr">
        <is>
          <t>Latest chip quantity per chip type through year-end; normalized by unit count into benchmark buckets.</t>
        </is>
      </c>
    </row>
    <row r="250">
      <c r="A250" s="3" t="inlineStr">
        <is>
          <t>Bear|Google Omaha|2030</t>
        </is>
      </c>
      <c r="B250" s="3" t="inlineStr">
        <is>
          <t>Bear</t>
        </is>
      </c>
      <c r="C250" s="3" t="inlineStr">
        <is>
          <t>Google Omaha</t>
        </is>
      </c>
      <c r="D250" s="3" t="n">
        <v>2030</v>
      </c>
      <c r="E250" s="3" t="inlineStr">
        <is>
          <t>Google</t>
        </is>
      </c>
      <c r="F250" s="17" t="n">
        <v>0</v>
      </c>
      <c r="G250" s="17" t="n">
        <v>0</v>
      </c>
      <c r="H250" s="17" t="n">
        <v>0</v>
      </c>
      <c r="I250" s="17" t="n">
        <v>0</v>
      </c>
      <c r="J250" s="17" t="n">
        <v>1</v>
      </c>
      <c r="K250" s="17" t="n">
        <v>0</v>
      </c>
      <c r="L250" s="17" t="n">
        <v>0</v>
      </c>
      <c r="M250" s="17" t="n">
        <v>0</v>
      </c>
      <c r="N250" s="17" t="n">
        <v>0</v>
      </c>
      <c r="O250" s="26" t="n">
        <v>1</v>
      </c>
      <c r="P250" s="3" t="inlineStr">
        <is>
          <t>epoch_chip_quantity_latest</t>
        </is>
      </c>
      <c r="Q250" s="3" t="inlineStr">
        <is>
          <t>SRC_EPOCH_AI_DATA_CENTERS; EPOCH_RAW_CHIP_QUANTITIES</t>
        </is>
      </c>
      <c r="R250" s="3" t="inlineStr">
        <is>
          <t>Latest chip quantity per chip type through year-end; normalized by unit count into benchmark buckets.</t>
        </is>
      </c>
    </row>
    <row r="251">
      <c r="A251" s="3" t="inlineStr">
        <is>
          <t>Base|Google Omaha|2026</t>
        </is>
      </c>
      <c r="B251" s="3" t="inlineStr">
        <is>
          <t>Base</t>
        </is>
      </c>
      <c r="C251" s="3" t="inlineStr">
        <is>
          <t>Google Omaha</t>
        </is>
      </c>
      <c r="D251" s="3" t="n">
        <v>2026</v>
      </c>
      <c r="E251" s="3" t="inlineStr">
        <is>
          <t>Google</t>
        </is>
      </c>
      <c r="F251" s="17" t="n">
        <v>0</v>
      </c>
      <c r="G251" s="17" t="n">
        <v>0</v>
      </c>
      <c r="H251" s="17" t="n">
        <v>0</v>
      </c>
      <c r="I251" s="17" t="n">
        <v>0</v>
      </c>
      <c r="J251" s="17" t="n">
        <v>1</v>
      </c>
      <c r="K251" s="17" t="n">
        <v>0</v>
      </c>
      <c r="L251" s="17" t="n">
        <v>0</v>
      </c>
      <c r="M251" s="17" t="n">
        <v>0</v>
      </c>
      <c r="N251" s="17" t="n">
        <v>0</v>
      </c>
      <c r="O251" s="26" t="n">
        <v>1</v>
      </c>
      <c r="P251" s="3" t="inlineStr">
        <is>
          <t>epoch_chip_quantity_latest</t>
        </is>
      </c>
      <c r="Q251" s="3" t="inlineStr">
        <is>
          <t>SRC_EPOCH_AI_DATA_CENTERS; EPOCH_RAW_CHIP_QUANTITIES</t>
        </is>
      </c>
      <c r="R251" s="3" t="inlineStr">
        <is>
          <t>Latest chip quantity per chip type through year-end; normalized by unit count into benchmark buckets.</t>
        </is>
      </c>
    </row>
    <row r="252">
      <c r="A252" s="3" t="inlineStr">
        <is>
          <t>Base|Google Omaha|2027</t>
        </is>
      </c>
      <c r="B252" s="3" t="inlineStr">
        <is>
          <t>Base</t>
        </is>
      </c>
      <c r="C252" s="3" t="inlineStr">
        <is>
          <t>Google Omaha</t>
        </is>
      </c>
      <c r="D252" s="3" t="n">
        <v>2027</v>
      </c>
      <c r="E252" s="3" t="inlineStr">
        <is>
          <t>Google</t>
        </is>
      </c>
      <c r="F252" s="17" t="n">
        <v>0</v>
      </c>
      <c r="G252" s="17" t="n">
        <v>0</v>
      </c>
      <c r="H252" s="17" t="n">
        <v>0</v>
      </c>
      <c r="I252" s="17" t="n">
        <v>0</v>
      </c>
      <c r="J252" s="17" t="n">
        <v>1</v>
      </c>
      <c r="K252" s="17" t="n">
        <v>0</v>
      </c>
      <c r="L252" s="17" t="n">
        <v>0</v>
      </c>
      <c r="M252" s="17" t="n">
        <v>0</v>
      </c>
      <c r="N252" s="17" t="n">
        <v>0</v>
      </c>
      <c r="O252" s="26" t="n">
        <v>1</v>
      </c>
      <c r="P252" s="3" t="inlineStr">
        <is>
          <t>epoch_chip_quantity_latest</t>
        </is>
      </c>
      <c r="Q252" s="3" t="inlineStr">
        <is>
          <t>SRC_EPOCH_AI_DATA_CENTERS; EPOCH_RAW_CHIP_QUANTITIES</t>
        </is>
      </c>
      <c r="R252" s="3" t="inlineStr">
        <is>
          <t>Latest chip quantity per chip type through year-end; normalized by unit count into benchmark buckets.</t>
        </is>
      </c>
    </row>
    <row r="253">
      <c r="A253" s="3" t="inlineStr">
        <is>
          <t>Base|Google Omaha|2028</t>
        </is>
      </c>
      <c r="B253" s="3" t="inlineStr">
        <is>
          <t>Base</t>
        </is>
      </c>
      <c r="C253" s="3" t="inlineStr">
        <is>
          <t>Google Omaha</t>
        </is>
      </c>
      <c r="D253" s="3" t="n">
        <v>2028</v>
      </c>
      <c r="E253" s="3" t="inlineStr">
        <is>
          <t>Google</t>
        </is>
      </c>
      <c r="F253" s="17" t="n">
        <v>0</v>
      </c>
      <c r="G253" s="17" t="n">
        <v>0</v>
      </c>
      <c r="H253" s="17" t="n">
        <v>0</v>
      </c>
      <c r="I253" s="17" t="n">
        <v>0</v>
      </c>
      <c r="J253" s="17" t="n">
        <v>1</v>
      </c>
      <c r="K253" s="17" t="n">
        <v>0</v>
      </c>
      <c r="L253" s="17" t="n">
        <v>0</v>
      </c>
      <c r="M253" s="17" t="n">
        <v>0</v>
      </c>
      <c r="N253" s="17" t="n">
        <v>0</v>
      </c>
      <c r="O253" s="26" t="n">
        <v>1</v>
      </c>
      <c r="P253" s="3" t="inlineStr">
        <is>
          <t>epoch_chip_quantity_latest</t>
        </is>
      </c>
      <c r="Q253" s="3" t="inlineStr">
        <is>
          <t>SRC_EPOCH_AI_DATA_CENTERS; EPOCH_RAW_CHIP_QUANTITIES</t>
        </is>
      </c>
      <c r="R253" s="3" t="inlineStr">
        <is>
          <t>Latest chip quantity per chip type through year-end; normalized by unit count into benchmark buckets.</t>
        </is>
      </c>
    </row>
    <row r="254">
      <c r="A254" s="3" t="inlineStr">
        <is>
          <t>Base|Google Omaha|2029</t>
        </is>
      </c>
      <c r="B254" s="3" t="inlineStr">
        <is>
          <t>Base</t>
        </is>
      </c>
      <c r="C254" s="3" t="inlineStr">
        <is>
          <t>Google Omaha</t>
        </is>
      </c>
      <c r="D254" s="3" t="n">
        <v>2029</v>
      </c>
      <c r="E254" s="3" t="inlineStr">
        <is>
          <t>Google</t>
        </is>
      </c>
      <c r="F254" s="17" t="n">
        <v>0</v>
      </c>
      <c r="G254" s="17" t="n">
        <v>0</v>
      </c>
      <c r="H254" s="17" t="n">
        <v>0</v>
      </c>
      <c r="I254" s="17" t="n">
        <v>0</v>
      </c>
      <c r="J254" s="17" t="n">
        <v>1</v>
      </c>
      <c r="K254" s="17" t="n">
        <v>0</v>
      </c>
      <c r="L254" s="17" t="n">
        <v>0</v>
      </c>
      <c r="M254" s="17" t="n">
        <v>0</v>
      </c>
      <c r="N254" s="17" t="n">
        <v>0</v>
      </c>
      <c r="O254" s="26" t="n">
        <v>1</v>
      </c>
      <c r="P254" s="3" t="inlineStr">
        <is>
          <t>epoch_chip_quantity_latest</t>
        </is>
      </c>
      <c r="Q254" s="3" t="inlineStr">
        <is>
          <t>SRC_EPOCH_AI_DATA_CENTERS; EPOCH_RAW_CHIP_QUANTITIES</t>
        </is>
      </c>
      <c r="R254" s="3" t="inlineStr">
        <is>
          <t>Latest chip quantity per chip type through year-end; normalized by unit count into benchmark buckets.</t>
        </is>
      </c>
    </row>
    <row r="255">
      <c r="A255" s="3" t="inlineStr">
        <is>
          <t>Base|Google Omaha|2030</t>
        </is>
      </c>
      <c r="B255" s="3" t="inlineStr">
        <is>
          <t>Base</t>
        </is>
      </c>
      <c r="C255" s="3" t="inlineStr">
        <is>
          <t>Google Omaha</t>
        </is>
      </c>
      <c r="D255" s="3" t="n">
        <v>2030</v>
      </c>
      <c r="E255" s="3" t="inlineStr">
        <is>
          <t>Google</t>
        </is>
      </c>
      <c r="F255" s="17" t="n">
        <v>0</v>
      </c>
      <c r="G255" s="17" t="n">
        <v>0</v>
      </c>
      <c r="H255" s="17" t="n">
        <v>0</v>
      </c>
      <c r="I255" s="17" t="n">
        <v>0</v>
      </c>
      <c r="J255" s="17" t="n">
        <v>1</v>
      </c>
      <c r="K255" s="17" t="n">
        <v>0</v>
      </c>
      <c r="L255" s="17" t="n">
        <v>0</v>
      </c>
      <c r="M255" s="17" t="n">
        <v>0</v>
      </c>
      <c r="N255" s="17" t="n">
        <v>0</v>
      </c>
      <c r="O255" s="26" t="n">
        <v>1</v>
      </c>
      <c r="P255" s="3" t="inlineStr">
        <is>
          <t>epoch_chip_quantity_latest</t>
        </is>
      </c>
      <c r="Q255" s="3" t="inlineStr">
        <is>
          <t>SRC_EPOCH_AI_DATA_CENTERS; EPOCH_RAW_CHIP_QUANTITIES</t>
        </is>
      </c>
      <c r="R255" s="3" t="inlineStr">
        <is>
          <t>Latest chip quantity per chip type through year-end; normalized by unit count into benchmark buckets.</t>
        </is>
      </c>
    </row>
    <row r="256">
      <c r="A256" s="3" t="inlineStr">
        <is>
          <t>Bull|Google Omaha|2026</t>
        </is>
      </c>
      <c r="B256" s="3" t="inlineStr">
        <is>
          <t>Bull</t>
        </is>
      </c>
      <c r="C256" s="3" t="inlineStr">
        <is>
          <t>Google Omaha</t>
        </is>
      </c>
      <c r="D256" s="3" t="n">
        <v>2026</v>
      </c>
      <c r="E256" s="3" t="inlineStr">
        <is>
          <t>Google</t>
        </is>
      </c>
      <c r="F256" s="17" t="n">
        <v>0</v>
      </c>
      <c r="G256" s="17" t="n">
        <v>0</v>
      </c>
      <c r="H256" s="17" t="n">
        <v>0</v>
      </c>
      <c r="I256" s="17" t="n">
        <v>0</v>
      </c>
      <c r="J256" s="17" t="n">
        <v>1</v>
      </c>
      <c r="K256" s="17" t="n">
        <v>0</v>
      </c>
      <c r="L256" s="17" t="n">
        <v>0</v>
      </c>
      <c r="M256" s="17" t="n">
        <v>0</v>
      </c>
      <c r="N256" s="17" t="n">
        <v>0</v>
      </c>
      <c r="O256" s="26" t="n">
        <v>1</v>
      </c>
      <c r="P256" s="3" t="inlineStr">
        <is>
          <t>epoch_chip_quantity_latest</t>
        </is>
      </c>
      <c r="Q256" s="3" t="inlineStr">
        <is>
          <t>SRC_EPOCH_AI_DATA_CENTERS; EPOCH_RAW_CHIP_QUANTITIES</t>
        </is>
      </c>
      <c r="R256" s="3" t="inlineStr">
        <is>
          <t>Latest chip quantity per chip type through year-end; normalized by unit count into benchmark buckets.</t>
        </is>
      </c>
    </row>
    <row r="257">
      <c r="A257" s="3" t="inlineStr">
        <is>
          <t>Bull|Google Omaha|2027</t>
        </is>
      </c>
      <c r="B257" s="3" t="inlineStr">
        <is>
          <t>Bull</t>
        </is>
      </c>
      <c r="C257" s="3" t="inlineStr">
        <is>
          <t>Google Omaha</t>
        </is>
      </c>
      <c r="D257" s="3" t="n">
        <v>2027</v>
      </c>
      <c r="E257" s="3" t="inlineStr">
        <is>
          <t>Google</t>
        </is>
      </c>
      <c r="F257" s="17" t="n">
        <v>0</v>
      </c>
      <c r="G257" s="17" t="n">
        <v>0</v>
      </c>
      <c r="H257" s="17" t="n">
        <v>0</v>
      </c>
      <c r="I257" s="17" t="n">
        <v>0</v>
      </c>
      <c r="J257" s="17" t="n">
        <v>1</v>
      </c>
      <c r="K257" s="17" t="n">
        <v>0</v>
      </c>
      <c r="L257" s="17" t="n">
        <v>0</v>
      </c>
      <c r="M257" s="17" t="n">
        <v>0</v>
      </c>
      <c r="N257" s="17" t="n">
        <v>0</v>
      </c>
      <c r="O257" s="26" t="n">
        <v>1</v>
      </c>
      <c r="P257" s="3" t="inlineStr">
        <is>
          <t>epoch_chip_quantity_latest</t>
        </is>
      </c>
      <c r="Q257" s="3" t="inlineStr">
        <is>
          <t>SRC_EPOCH_AI_DATA_CENTERS; EPOCH_RAW_CHIP_QUANTITIES</t>
        </is>
      </c>
      <c r="R257" s="3" t="inlineStr">
        <is>
          <t>Latest chip quantity per chip type through year-end; normalized by unit count into benchmark buckets.</t>
        </is>
      </c>
    </row>
    <row r="258">
      <c r="A258" s="3" t="inlineStr">
        <is>
          <t>Bull|Google Omaha|2028</t>
        </is>
      </c>
      <c r="B258" s="3" t="inlineStr">
        <is>
          <t>Bull</t>
        </is>
      </c>
      <c r="C258" s="3" t="inlineStr">
        <is>
          <t>Google Omaha</t>
        </is>
      </c>
      <c r="D258" s="3" t="n">
        <v>2028</v>
      </c>
      <c r="E258" s="3" t="inlineStr">
        <is>
          <t>Google</t>
        </is>
      </c>
      <c r="F258" s="17" t="n">
        <v>0</v>
      </c>
      <c r="G258" s="17" t="n">
        <v>0</v>
      </c>
      <c r="H258" s="17" t="n">
        <v>0</v>
      </c>
      <c r="I258" s="17" t="n">
        <v>0</v>
      </c>
      <c r="J258" s="17" t="n">
        <v>1</v>
      </c>
      <c r="K258" s="17" t="n">
        <v>0</v>
      </c>
      <c r="L258" s="17" t="n">
        <v>0</v>
      </c>
      <c r="M258" s="17" t="n">
        <v>0</v>
      </c>
      <c r="N258" s="17" t="n">
        <v>0</v>
      </c>
      <c r="O258" s="26" t="n">
        <v>1</v>
      </c>
      <c r="P258" s="3" t="inlineStr">
        <is>
          <t>epoch_chip_quantity_latest</t>
        </is>
      </c>
      <c r="Q258" s="3" t="inlineStr">
        <is>
          <t>SRC_EPOCH_AI_DATA_CENTERS; EPOCH_RAW_CHIP_QUANTITIES</t>
        </is>
      </c>
      <c r="R258" s="3" t="inlineStr">
        <is>
          <t>Latest chip quantity per chip type through year-end; normalized by unit count into benchmark buckets.</t>
        </is>
      </c>
    </row>
    <row r="259">
      <c r="A259" s="3" t="inlineStr">
        <is>
          <t>Bull|Google Omaha|2029</t>
        </is>
      </c>
      <c r="B259" s="3" t="inlineStr">
        <is>
          <t>Bull</t>
        </is>
      </c>
      <c r="C259" s="3" t="inlineStr">
        <is>
          <t>Google Omaha</t>
        </is>
      </c>
      <c r="D259" s="3" t="n">
        <v>2029</v>
      </c>
      <c r="E259" s="3" t="inlineStr">
        <is>
          <t>Google</t>
        </is>
      </c>
      <c r="F259" s="17" t="n">
        <v>0</v>
      </c>
      <c r="G259" s="17" t="n">
        <v>0</v>
      </c>
      <c r="H259" s="17" t="n">
        <v>0</v>
      </c>
      <c r="I259" s="17" t="n">
        <v>0</v>
      </c>
      <c r="J259" s="17" t="n">
        <v>1</v>
      </c>
      <c r="K259" s="17" t="n">
        <v>0</v>
      </c>
      <c r="L259" s="17" t="n">
        <v>0</v>
      </c>
      <c r="M259" s="17" t="n">
        <v>0</v>
      </c>
      <c r="N259" s="17" t="n">
        <v>0</v>
      </c>
      <c r="O259" s="26" t="n">
        <v>1</v>
      </c>
      <c r="P259" s="3" t="inlineStr">
        <is>
          <t>epoch_chip_quantity_latest</t>
        </is>
      </c>
      <c r="Q259" s="3" t="inlineStr">
        <is>
          <t>SRC_EPOCH_AI_DATA_CENTERS; EPOCH_RAW_CHIP_QUANTITIES</t>
        </is>
      </c>
      <c r="R259" s="3" t="inlineStr">
        <is>
          <t>Latest chip quantity per chip type through year-end; normalized by unit count into benchmark buckets.</t>
        </is>
      </c>
    </row>
    <row r="260">
      <c r="A260" s="3" t="inlineStr">
        <is>
          <t>Bull|Google Omaha|2030</t>
        </is>
      </c>
      <c r="B260" s="3" t="inlineStr">
        <is>
          <t>Bull</t>
        </is>
      </c>
      <c r="C260" s="3" t="inlineStr">
        <is>
          <t>Google Omaha</t>
        </is>
      </c>
      <c r="D260" s="3" t="n">
        <v>2030</v>
      </c>
      <c r="E260" s="3" t="inlineStr">
        <is>
          <t>Google</t>
        </is>
      </c>
      <c r="F260" s="17" t="n">
        <v>0</v>
      </c>
      <c r="G260" s="17" t="n">
        <v>0</v>
      </c>
      <c r="H260" s="17" t="n">
        <v>0</v>
      </c>
      <c r="I260" s="17" t="n">
        <v>0</v>
      </c>
      <c r="J260" s="17" t="n">
        <v>1</v>
      </c>
      <c r="K260" s="17" t="n">
        <v>0</v>
      </c>
      <c r="L260" s="17" t="n">
        <v>0</v>
      </c>
      <c r="M260" s="17" t="n">
        <v>0</v>
      </c>
      <c r="N260" s="17" t="n">
        <v>0</v>
      </c>
      <c r="O260" s="26" t="n">
        <v>1</v>
      </c>
      <c r="P260" s="3" t="inlineStr">
        <is>
          <t>epoch_chip_quantity_latest</t>
        </is>
      </c>
      <c r="Q260" s="3" t="inlineStr">
        <is>
          <t>SRC_EPOCH_AI_DATA_CENTERS; EPOCH_RAW_CHIP_QUANTITIES</t>
        </is>
      </c>
      <c r="R260" s="3" t="inlineStr">
        <is>
          <t>Latest chip quantity per chip type through year-end; normalized by unit count into benchmark buckets.</t>
        </is>
      </c>
    </row>
    <row r="261">
      <c r="A261" s="3" t="inlineStr">
        <is>
          <t>Grid-Constrained / Efficiency-Upside|Google Omaha|2026</t>
        </is>
      </c>
      <c r="B261" s="3" t="inlineStr">
        <is>
          <t>Grid-Constrained / Efficiency-Upside</t>
        </is>
      </c>
      <c r="C261" s="3" t="inlineStr">
        <is>
          <t>Google Omaha</t>
        </is>
      </c>
      <c r="D261" s="3" t="n">
        <v>2026</v>
      </c>
      <c r="E261" s="3" t="inlineStr">
        <is>
          <t>Google</t>
        </is>
      </c>
      <c r="F261" s="17" t="n">
        <v>0</v>
      </c>
      <c r="G261" s="17" t="n">
        <v>0</v>
      </c>
      <c r="H261" s="17" t="n">
        <v>0</v>
      </c>
      <c r="I261" s="17" t="n">
        <v>0</v>
      </c>
      <c r="J261" s="17" t="n">
        <v>1</v>
      </c>
      <c r="K261" s="17" t="n">
        <v>0</v>
      </c>
      <c r="L261" s="17" t="n">
        <v>0</v>
      </c>
      <c r="M261" s="17" t="n">
        <v>0</v>
      </c>
      <c r="N261" s="17" t="n">
        <v>0</v>
      </c>
      <c r="O261" s="26" t="n">
        <v>1</v>
      </c>
      <c r="P261" s="3" t="inlineStr">
        <is>
          <t>epoch_chip_quantity_latest</t>
        </is>
      </c>
      <c r="Q261" s="3" t="inlineStr">
        <is>
          <t>SRC_EPOCH_AI_DATA_CENTERS; EPOCH_RAW_CHIP_QUANTITIES</t>
        </is>
      </c>
      <c r="R261" s="3" t="inlineStr">
        <is>
          <t>Latest chip quantity per chip type through year-end; normalized by unit count into benchmark buckets.</t>
        </is>
      </c>
    </row>
    <row r="262">
      <c r="A262" s="3" t="inlineStr">
        <is>
          <t>Grid-Constrained / Efficiency-Upside|Google Omaha|2027</t>
        </is>
      </c>
      <c r="B262" s="3" t="inlineStr">
        <is>
          <t>Grid-Constrained / Efficiency-Upside</t>
        </is>
      </c>
      <c r="C262" s="3" t="inlineStr">
        <is>
          <t>Google Omaha</t>
        </is>
      </c>
      <c r="D262" s="3" t="n">
        <v>2027</v>
      </c>
      <c r="E262" s="3" t="inlineStr">
        <is>
          <t>Google</t>
        </is>
      </c>
      <c r="F262" s="17" t="n">
        <v>0</v>
      </c>
      <c r="G262" s="17" t="n">
        <v>0</v>
      </c>
      <c r="H262" s="17" t="n">
        <v>0</v>
      </c>
      <c r="I262" s="17" t="n">
        <v>0</v>
      </c>
      <c r="J262" s="17" t="n">
        <v>1</v>
      </c>
      <c r="K262" s="17" t="n">
        <v>0</v>
      </c>
      <c r="L262" s="17" t="n">
        <v>0</v>
      </c>
      <c r="M262" s="17" t="n">
        <v>0</v>
      </c>
      <c r="N262" s="17" t="n">
        <v>0</v>
      </c>
      <c r="O262" s="26" t="n">
        <v>1</v>
      </c>
      <c r="P262" s="3" t="inlineStr">
        <is>
          <t>epoch_chip_quantity_latest</t>
        </is>
      </c>
      <c r="Q262" s="3" t="inlineStr">
        <is>
          <t>SRC_EPOCH_AI_DATA_CENTERS; EPOCH_RAW_CHIP_QUANTITIES</t>
        </is>
      </c>
      <c r="R262" s="3" t="inlineStr">
        <is>
          <t>Latest chip quantity per chip type through year-end; normalized by unit count into benchmark buckets.</t>
        </is>
      </c>
    </row>
    <row r="263">
      <c r="A263" s="3" t="inlineStr">
        <is>
          <t>Grid-Constrained / Efficiency-Upside|Google Omaha|2028</t>
        </is>
      </c>
      <c r="B263" s="3" t="inlineStr">
        <is>
          <t>Grid-Constrained / Efficiency-Upside</t>
        </is>
      </c>
      <c r="C263" s="3" t="inlineStr">
        <is>
          <t>Google Omaha</t>
        </is>
      </c>
      <c r="D263" s="3" t="n">
        <v>2028</v>
      </c>
      <c r="E263" s="3" t="inlineStr">
        <is>
          <t>Google</t>
        </is>
      </c>
      <c r="F263" s="17" t="n">
        <v>0</v>
      </c>
      <c r="G263" s="17" t="n">
        <v>0</v>
      </c>
      <c r="H263" s="17" t="n">
        <v>0</v>
      </c>
      <c r="I263" s="17" t="n">
        <v>0</v>
      </c>
      <c r="J263" s="17" t="n">
        <v>1</v>
      </c>
      <c r="K263" s="17" t="n">
        <v>0</v>
      </c>
      <c r="L263" s="17" t="n">
        <v>0</v>
      </c>
      <c r="M263" s="17" t="n">
        <v>0</v>
      </c>
      <c r="N263" s="17" t="n">
        <v>0</v>
      </c>
      <c r="O263" s="26" t="n">
        <v>1</v>
      </c>
      <c r="P263" s="3" t="inlineStr">
        <is>
          <t>epoch_chip_quantity_latest</t>
        </is>
      </c>
      <c r="Q263" s="3" t="inlineStr">
        <is>
          <t>SRC_EPOCH_AI_DATA_CENTERS; EPOCH_RAW_CHIP_QUANTITIES</t>
        </is>
      </c>
      <c r="R263" s="3" t="inlineStr">
        <is>
          <t>Latest chip quantity per chip type through year-end; normalized by unit count into benchmark buckets.</t>
        </is>
      </c>
    </row>
    <row r="264">
      <c r="A264" s="3" t="inlineStr">
        <is>
          <t>Grid-Constrained / Efficiency-Upside|Google Omaha|2029</t>
        </is>
      </c>
      <c r="B264" s="3" t="inlineStr">
        <is>
          <t>Grid-Constrained / Efficiency-Upside</t>
        </is>
      </c>
      <c r="C264" s="3" t="inlineStr">
        <is>
          <t>Google Omaha</t>
        </is>
      </c>
      <c r="D264" s="3" t="n">
        <v>2029</v>
      </c>
      <c r="E264" s="3" t="inlineStr">
        <is>
          <t>Google</t>
        </is>
      </c>
      <c r="F264" s="17" t="n">
        <v>0</v>
      </c>
      <c r="G264" s="17" t="n">
        <v>0</v>
      </c>
      <c r="H264" s="17" t="n">
        <v>0</v>
      </c>
      <c r="I264" s="17" t="n">
        <v>0</v>
      </c>
      <c r="J264" s="17" t="n">
        <v>1</v>
      </c>
      <c r="K264" s="17" t="n">
        <v>0</v>
      </c>
      <c r="L264" s="17" t="n">
        <v>0</v>
      </c>
      <c r="M264" s="17" t="n">
        <v>0</v>
      </c>
      <c r="N264" s="17" t="n">
        <v>0</v>
      </c>
      <c r="O264" s="26" t="n">
        <v>1</v>
      </c>
      <c r="P264" s="3" t="inlineStr">
        <is>
          <t>epoch_chip_quantity_latest</t>
        </is>
      </c>
      <c r="Q264" s="3" t="inlineStr">
        <is>
          <t>SRC_EPOCH_AI_DATA_CENTERS; EPOCH_RAW_CHIP_QUANTITIES</t>
        </is>
      </c>
      <c r="R264" s="3" t="inlineStr">
        <is>
          <t>Latest chip quantity per chip type through year-end; normalized by unit count into benchmark buckets.</t>
        </is>
      </c>
    </row>
    <row r="265">
      <c r="A265" s="3" t="inlineStr">
        <is>
          <t>Grid-Constrained / Efficiency-Upside|Google Omaha|2030</t>
        </is>
      </c>
      <c r="B265" s="3" t="inlineStr">
        <is>
          <t>Grid-Constrained / Efficiency-Upside</t>
        </is>
      </c>
      <c r="C265" s="3" t="inlineStr">
        <is>
          <t>Google Omaha</t>
        </is>
      </c>
      <c r="D265" s="3" t="n">
        <v>2030</v>
      </c>
      <c r="E265" s="3" t="inlineStr">
        <is>
          <t>Google</t>
        </is>
      </c>
      <c r="F265" s="17" t="n">
        <v>0</v>
      </c>
      <c r="G265" s="17" t="n">
        <v>0</v>
      </c>
      <c r="H265" s="17" t="n">
        <v>0</v>
      </c>
      <c r="I265" s="17" t="n">
        <v>0</v>
      </c>
      <c r="J265" s="17" t="n">
        <v>1</v>
      </c>
      <c r="K265" s="17" t="n">
        <v>0</v>
      </c>
      <c r="L265" s="17" t="n">
        <v>0</v>
      </c>
      <c r="M265" s="17" t="n">
        <v>0</v>
      </c>
      <c r="N265" s="17" t="n">
        <v>0</v>
      </c>
      <c r="O265" s="26" t="n">
        <v>1</v>
      </c>
      <c r="P265" s="3" t="inlineStr">
        <is>
          <t>epoch_chip_quantity_latest</t>
        </is>
      </c>
      <c r="Q265" s="3" t="inlineStr">
        <is>
          <t>SRC_EPOCH_AI_DATA_CENTERS; EPOCH_RAW_CHIP_QUANTITIES</t>
        </is>
      </c>
      <c r="R265" s="3" t="inlineStr">
        <is>
          <t>Latest chip quantity per chip type through year-end; normalized by unit count into benchmark buckets.</t>
        </is>
      </c>
    </row>
    <row r="266">
      <c r="A266" s="3" t="inlineStr">
        <is>
          <t>Bear|Google Papillion|2026</t>
        </is>
      </c>
      <c r="B266" s="3" t="inlineStr">
        <is>
          <t>Bear</t>
        </is>
      </c>
      <c r="C266" s="3" t="inlineStr">
        <is>
          <t>Google Papillion</t>
        </is>
      </c>
      <c r="D266" s="3" t="n">
        <v>2026</v>
      </c>
      <c r="E266" s="3" t="inlineStr">
        <is>
          <t>Google</t>
        </is>
      </c>
      <c r="F266" s="17" t="n">
        <v>0</v>
      </c>
      <c r="G266" s="17" t="n">
        <v>0</v>
      </c>
      <c r="H266" s="17" t="n">
        <v>0</v>
      </c>
      <c r="I266" s="17" t="n">
        <v>0</v>
      </c>
      <c r="J266" s="17" t="n">
        <v>1</v>
      </c>
      <c r="K266" s="17" t="n">
        <v>0</v>
      </c>
      <c r="L266" s="17" t="n">
        <v>0</v>
      </c>
      <c r="M266" s="17" t="n">
        <v>0</v>
      </c>
      <c r="N266" s="17" t="n">
        <v>0</v>
      </c>
      <c r="O266" s="26" t="n">
        <v>1</v>
      </c>
      <c r="P266" s="3" t="inlineStr">
        <is>
          <t>epoch_chip_quantity_latest</t>
        </is>
      </c>
      <c r="Q266" s="3" t="inlineStr">
        <is>
          <t>SRC_EPOCH_AI_DATA_CENTERS; EPOCH_RAW_CHIP_QUANTITIES</t>
        </is>
      </c>
      <c r="R266" s="3" t="inlineStr">
        <is>
          <t>Latest chip quantity per chip type through year-end; normalized by unit count into benchmark buckets.</t>
        </is>
      </c>
    </row>
    <row r="267">
      <c r="A267" s="3" t="inlineStr">
        <is>
          <t>Bear|Google Papillion|2027</t>
        </is>
      </c>
      <c r="B267" s="3" t="inlineStr">
        <is>
          <t>Bear</t>
        </is>
      </c>
      <c r="C267" s="3" t="inlineStr">
        <is>
          <t>Google Papillion</t>
        </is>
      </c>
      <c r="D267" s="3" t="n">
        <v>2027</v>
      </c>
      <c r="E267" s="3" t="inlineStr">
        <is>
          <t>Google</t>
        </is>
      </c>
      <c r="F267" s="17" t="n">
        <v>0</v>
      </c>
      <c r="G267" s="17" t="n">
        <v>0</v>
      </c>
      <c r="H267" s="17" t="n">
        <v>0</v>
      </c>
      <c r="I267" s="17" t="n">
        <v>0</v>
      </c>
      <c r="J267" s="17" t="n">
        <v>1</v>
      </c>
      <c r="K267" s="17" t="n">
        <v>0</v>
      </c>
      <c r="L267" s="17" t="n">
        <v>0</v>
      </c>
      <c r="M267" s="17" t="n">
        <v>0</v>
      </c>
      <c r="N267" s="17" t="n">
        <v>0</v>
      </c>
      <c r="O267" s="26" t="n">
        <v>1</v>
      </c>
      <c r="P267" s="3" t="inlineStr">
        <is>
          <t>epoch_chip_quantity_latest</t>
        </is>
      </c>
      <c r="Q267" s="3" t="inlineStr">
        <is>
          <t>SRC_EPOCH_AI_DATA_CENTERS; EPOCH_RAW_CHIP_QUANTITIES</t>
        </is>
      </c>
      <c r="R267" s="3" t="inlineStr">
        <is>
          <t>Latest chip quantity per chip type through year-end; normalized by unit count into benchmark buckets.</t>
        </is>
      </c>
    </row>
    <row r="268">
      <c r="A268" s="3" t="inlineStr">
        <is>
          <t>Bear|Google Papillion|2028</t>
        </is>
      </c>
      <c r="B268" s="3" t="inlineStr">
        <is>
          <t>Bear</t>
        </is>
      </c>
      <c r="C268" s="3" t="inlineStr">
        <is>
          <t>Google Papillion</t>
        </is>
      </c>
      <c r="D268" s="3" t="n">
        <v>2028</v>
      </c>
      <c r="E268" s="3" t="inlineStr">
        <is>
          <t>Google</t>
        </is>
      </c>
      <c r="F268" s="17" t="n">
        <v>0</v>
      </c>
      <c r="G268" s="17" t="n">
        <v>0</v>
      </c>
      <c r="H268" s="17" t="n">
        <v>0</v>
      </c>
      <c r="I268" s="17" t="n">
        <v>0</v>
      </c>
      <c r="J268" s="17" t="n">
        <v>1</v>
      </c>
      <c r="K268" s="17" t="n">
        <v>0</v>
      </c>
      <c r="L268" s="17" t="n">
        <v>0</v>
      </c>
      <c r="M268" s="17" t="n">
        <v>0</v>
      </c>
      <c r="N268" s="17" t="n">
        <v>0</v>
      </c>
      <c r="O268" s="26" t="n">
        <v>1</v>
      </c>
      <c r="P268" s="3" t="inlineStr">
        <is>
          <t>epoch_chip_quantity_latest</t>
        </is>
      </c>
      <c r="Q268" s="3" t="inlineStr">
        <is>
          <t>SRC_EPOCH_AI_DATA_CENTERS; EPOCH_RAW_CHIP_QUANTITIES</t>
        </is>
      </c>
      <c r="R268" s="3" t="inlineStr">
        <is>
          <t>Latest chip quantity per chip type through year-end; normalized by unit count into benchmark buckets.</t>
        </is>
      </c>
    </row>
    <row r="269">
      <c r="A269" s="3" t="inlineStr">
        <is>
          <t>Bear|Google Papillion|2029</t>
        </is>
      </c>
      <c r="B269" s="3" t="inlineStr">
        <is>
          <t>Bear</t>
        </is>
      </c>
      <c r="C269" s="3" t="inlineStr">
        <is>
          <t>Google Papillion</t>
        </is>
      </c>
      <c r="D269" s="3" t="n">
        <v>2029</v>
      </c>
      <c r="E269" s="3" t="inlineStr">
        <is>
          <t>Google</t>
        </is>
      </c>
      <c r="F269" s="17" t="n">
        <v>0</v>
      </c>
      <c r="G269" s="17" t="n">
        <v>0</v>
      </c>
      <c r="H269" s="17" t="n">
        <v>0</v>
      </c>
      <c r="I269" s="17" t="n">
        <v>0</v>
      </c>
      <c r="J269" s="17" t="n">
        <v>1</v>
      </c>
      <c r="K269" s="17" t="n">
        <v>0</v>
      </c>
      <c r="L269" s="17" t="n">
        <v>0</v>
      </c>
      <c r="M269" s="17" t="n">
        <v>0</v>
      </c>
      <c r="N269" s="17" t="n">
        <v>0</v>
      </c>
      <c r="O269" s="26" t="n">
        <v>1</v>
      </c>
      <c r="P269" s="3" t="inlineStr">
        <is>
          <t>epoch_chip_quantity_latest</t>
        </is>
      </c>
      <c r="Q269" s="3" t="inlineStr">
        <is>
          <t>SRC_EPOCH_AI_DATA_CENTERS; EPOCH_RAW_CHIP_QUANTITIES</t>
        </is>
      </c>
      <c r="R269" s="3" t="inlineStr">
        <is>
          <t>Latest chip quantity per chip type through year-end; normalized by unit count into benchmark buckets.</t>
        </is>
      </c>
    </row>
    <row r="270">
      <c r="A270" s="3" t="inlineStr">
        <is>
          <t>Bear|Google Papillion|2030</t>
        </is>
      </c>
      <c r="B270" s="3" t="inlineStr">
        <is>
          <t>Bear</t>
        </is>
      </c>
      <c r="C270" s="3" t="inlineStr">
        <is>
          <t>Google Papillion</t>
        </is>
      </c>
      <c r="D270" s="3" t="n">
        <v>2030</v>
      </c>
      <c r="E270" s="3" t="inlineStr">
        <is>
          <t>Google</t>
        </is>
      </c>
      <c r="F270" s="17" t="n">
        <v>0</v>
      </c>
      <c r="G270" s="17" t="n">
        <v>0</v>
      </c>
      <c r="H270" s="17" t="n">
        <v>0</v>
      </c>
      <c r="I270" s="17" t="n">
        <v>0</v>
      </c>
      <c r="J270" s="17" t="n">
        <v>1</v>
      </c>
      <c r="K270" s="17" t="n">
        <v>0</v>
      </c>
      <c r="L270" s="17" t="n">
        <v>0</v>
      </c>
      <c r="M270" s="17" t="n">
        <v>0</v>
      </c>
      <c r="N270" s="17" t="n">
        <v>0</v>
      </c>
      <c r="O270" s="26" t="n">
        <v>1</v>
      </c>
      <c r="P270" s="3" t="inlineStr">
        <is>
          <t>epoch_chip_quantity_latest</t>
        </is>
      </c>
      <c r="Q270" s="3" t="inlineStr">
        <is>
          <t>SRC_EPOCH_AI_DATA_CENTERS; EPOCH_RAW_CHIP_QUANTITIES</t>
        </is>
      </c>
      <c r="R270" s="3" t="inlineStr">
        <is>
          <t>Latest chip quantity per chip type through year-end; normalized by unit count into benchmark buckets.</t>
        </is>
      </c>
    </row>
    <row r="271">
      <c r="A271" s="3" t="inlineStr">
        <is>
          <t>Base|Google Papillion|2026</t>
        </is>
      </c>
      <c r="B271" s="3" t="inlineStr">
        <is>
          <t>Base</t>
        </is>
      </c>
      <c r="C271" s="3" t="inlineStr">
        <is>
          <t>Google Papillion</t>
        </is>
      </c>
      <c r="D271" s="3" t="n">
        <v>2026</v>
      </c>
      <c r="E271" s="3" t="inlineStr">
        <is>
          <t>Google</t>
        </is>
      </c>
      <c r="F271" s="17" t="n">
        <v>0</v>
      </c>
      <c r="G271" s="17" t="n">
        <v>0</v>
      </c>
      <c r="H271" s="17" t="n">
        <v>0</v>
      </c>
      <c r="I271" s="17" t="n">
        <v>0</v>
      </c>
      <c r="J271" s="17" t="n">
        <v>1</v>
      </c>
      <c r="K271" s="17" t="n">
        <v>0</v>
      </c>
      <c r="L271" s="17" t="n">
        <v>0</v>
      </c>
      <c r="M271" s="17" t="n">
        <v>0</v>
      </c>
      <c r="N271" s="17" t="n">
        <v>0</v>
      </c>
      <c r="O271" s="26" t="n">
        <v>1</v>
      </c>
      <c r="P271" s="3" t="inlineStr">
        <is>
          <t>epoch_chip_quantity_latest</t>
        </is>
      </c>
      <c r="Q271" s="3" t="inlineStr">
        <is>
          <t>SRC_EPOCH_AI_DATA_CENTERS; EPOCH_RAW_CHIP_QUANTITIES</t>
        </is>
      </c>
      <c r="R271" s="3" t="inlineStr">
        <is>
          <t>Latest chip quantity per chip type through year-end; normalized by unit count into benchmark buckets.</t>
        </is>
      </c>
    </row>
    <row r="272">
      <c r="A272" s="3" t="inlineStr">
        <is>
          <t>Base|Google Papillion|2027</t>
        </is>
      </c>
      <c r="B272" s="3" t="inlineStr">
        <is>
          <t>Base</t>
        </is>
      </c>
      <c r="C272" s="3" t="inlineStr">
        <is>
          <t>Google Papillion</t>
        </is>
      </c>
      <c r="D272" s="3" t="n">
        <v>2027</v>
      </c>
      <c r="E272" s="3" t="inlineStr">
        <is>
          <t>Google</t>
        </is>
      </c>
      <c r="F272" s="17" t="n">
        <v>0</v>
      </c>
      <c r="G272" s="17" t="n">
        <v>0</v>
      </c>
      <c r="H272" s="17" t="n">
        <v>0</v>
      </c>
      <c r="I272" s="17" t="n">
        <v>0</v>
      </c>
      <c r="J272" s="17" t="n">
        <v>1</v>
      </c>
      <c r="K272" s="17" t="n">
        <v>0</v>
      </c>
      <c r="L272" s="17" t="n">
        <v>0</v>
      </c>
      <c r="M272" s="17" t="n">
        <v>0</v>
      </c>
      <c r="N272" s="17" t="n">
        <v>0</v>
      </c>
      <c r="O272" s="26" t="n">
        <v>1</v>
      </c>
      <c r="P272" s="3" t="inlineStr">
        <is>
          <t>epoch_chip_quantity_latest</t>
        </is>
      </c>
      <c r="Q272" s="3" t="inlineStr">
        <is>
          <t>SRC_EPOCH_AI_DATA_CENTERS; EPOCH_RAW_CHIP_QUANTITIES</t>
        </is>
      </c>
      <c r="R272" s="3" t="inlineStr">
        <is>
          <t>Latest chip quantity per chip type through year-end; normalized by unit count into benchmark buckets.</t>
        </is>
      </c>
    </row>
    <row r="273">
      <c r="A273" s="3" t="inlineStr">
        <is>
          <t>Base|Google Papillion|2028</t>
        </is>
      </c>
      <c r="B273" s="3" t="inlineStr">
        <is>
          <t>Base</t>
        </is>
      </c>
      <c r="C273" s="3" t="inlineStr">
        <is>
          <t>Google Papillion</t>
        </is>
      </c>
      <c r="D273" s="3" t="n">
        <v>2028</v>
      </c>
      <c r="E273" s="3" t="inlineStr">
        <is>
          <t>Google</t>
        </is>
      </c>
      <c r="F273" s="17" t="n">
        <v>0</v>
      </c>
      <c r="G273" s="17" t="n">
        <v>0</v>
      </c>
      <c r="H273" s="17" t="n">
        <v>0</v>
      </c>
      <c r="I273" s="17" t="n">
        <v>0</v>
      </c>
      <c r="J273" s="17" t="n">
        <v>1</v>
      </c>
      <c r="K273" s="17" t="n">
        <v>0</v>
      </c>
      <c r="L273" s="17" t="n">
        <v>0</v>
      </c>
      <c r="M273" s="17" t="n">
        <v>0</v>
      </c>
      <c r="N273" s="17" t="n">
        <v>0</v>
      </c>
      <c r="O273" s="26" t="n">
        <v>1</v>
      </c>
      <c r="P273" s="3" t="inlineStr">
        <is>
          <t>epoch_chip_quantity_latest</t>
        </is>
      </c>
      <c r="Q273" s="3" t="inlineStr">
        <is>
          <t>SRC_EPOCH_AI_DATA_CENTERS; EPOCH_RAW_CHIP_QUANTITIES</t>
        </is>
      </c>
      <c r="R273" s="3" t="inlineStr">
        <is>
          <t>Latest chip quantity per chip type through year-end; normalized by unit count into benchmark buckets.</t>
        </is>
      </c>
    </row>
    <row r="274">
      <c r="A274" s="3" t="inlineStr">
        <is>
          <t>Base|Google Papillion|2029</t>
        </is>
      </c>
      <c r="B274" s="3" t="inlineStr">
        <is>
          <t>Base</t>
        </is>
      </c>
      <c r="C274" s="3" t="inlineStr">
        <is>
          <t>Google Papillion</t>
        </is>
      </c>
      <c r="D274" s="3" t="n">
        <v>2029</v>
      </c>
      <c r="E274" s="3" t="inlineStr">
        <is>
          <t>Google</t>
        </is>
      </c>
      <c r="F274" s="17" t="n">
        <v>0</v>
      </c>
      <c r="G274" s="17" t="n">
        <v>0</v>
      </c>
      <c r="H274" s="17" t="n">
        <v>0</v>
      </c>
      <c r="I274" s="17" t="n">
        <v>0</v>
      </c>
      <c r="J274" s="17" t="n">
        <v>1</v>
      </c>
      <c r="K274" s="17" t="n">
        <v>0</v>
      </c>
      <c r="L274" s="17" t="n">
        <v>0</v>
      </c>
      <c r="M274" s="17" t="n">
        <v>0</v>
      </c>
      <c r="N274" s="17" t="n">
        <v>0</v>
      </c>
      <c r="O274" s="26" t="n">
        <v>1</v>
      </c>
      <c r="P274" s="3" t="inlineStr">
        <is>
          <t>epoch_chip_quantity_latest</t>
        </is>
      </c>
      <c r="Q274" s="3" t="inlineStr">
        <is>
          <t>SRC_EPOCH_AI_DATA_CENTERS; EPOCH_RAW_CHIP_QUANTITIES</t>
        </is>
      </c>
      <c r="R274" s="3" t="inlineStr">
        <is>
          <t>Latest chip quantity per chip type through year-end; normalized by unit count into benchmark buckets.</t>
        </is>
      </c>
    </row>
    <row r="275">
      <c r="A275" s="3" t="inlineStr">
        <is>
          <t>Base|Google Papillion|2030</t>
        </is>
      </c>
      <c r="B275" s="3" t="inlineStr">
        <is>
          <t>Base</t>
        </is>
      </c>
      <c r="C275" s="3" t="inlineStr">
        <is>
          <t>Google Papillion</t>
        </is>
      </c>
      <c r="D275" s="3" t="n">
        <v>2030</v>
      </c>
      <c r="E275" s="3" t="inlineStr">
        <is>
          <t>Google</t>
        </is>
      </c>
      <c r="F275" s="17" t="n">
        <v>0</v>
      </c>
      <c r="G275" s="17" t="n">
        <v>0</v>
      </c>
      <c r="H275" s="17" t="n">
        <v>0</v>
      </c>
      <c r="I275" s="17" t="n">
        <v>0</v>
      </c>
      <c r="J275" s="17" t="n">
        <v>1</v>
      </c>
      <c r="K275" s="17" t="n">
        <v>0</v>
      </c>
      <c r="L275" s="17" t="n">
        <v>0</v>
      </c>
      <c r="M275" s="17" t="n">
        <v>0</v>
      </c>
      <c r="N275" s="17" t="n">
        <v>0</v>
      </c>
      <c r="O275" s="26" t="n">
        <v>1</v>
      </c>
      <c r="P275" s="3" t="inlineStr">
        <is>
          <t>epoch_chip_quantity_latest</t>
        </is>
      </c>
      <c r="Q275" s="3" t="inlineStr">
        <is>
          <t>SRC_EPOCH_AI_DATA_CENTERS; EPOCH_RAW_CHIP_QUANTITIES</t>
        </is>
      </c>
      <c r="R275" s="3" t="inlineStr">
        <is>
          <t>Latest chip quantity per chip type through year-end; normalized by unit count into benchmark buckets.</t>
        </is>
      </c>
    </row>
    <row r="276">
      <c r="A276" s="3" t="inlineStr">
        <is>
          <t>Bull|Google Papillion|2026</t>
        </is>
      </c>
      <c r="B276" s="3" t="inlineStr">
        <is>
          <t>Bull</t>
        </is>
      </c>
      <c r="C276" s="3" t="inlineStr">
        <is>
          <t>Google Papillion</t>
        </is>
      </c>
      <c r="D276" s="3" t="n">
        <v>2026</v>
      </c>
      <c r="E276" s="3" t="inlineStr">
        <is>
          <t>Google</t>
        </is>
      </c>
      <c r="F276" s="17" t="n">
        <v>0</v>
      </c>
      <c r="G276" s="17" t="n">
        <v>0</v>
      </c>
      <c r="H276" s="17" t="n">
        <v>0</v>
      </c>
      <c r="I276" s="17" t="n">
        <v>0</v>
      </c>
      <c r="J276" s="17" t="n">
        <v>1</v>
      </c>
      <c r="K276" s="17" t="n">
        <v>0</v>
      </c>
      <c r="L276" s="17" t="n">
        <v>0</v>
      </c>
      <c r="M276" s="17" t="n">
        <v>0</v>
      </c>
      <c r="N276" s="17" t="n">
        <v>0</v>
      </c>
      <c r="O276" s="26" t="n">
        <v>1</v>
      </c>
      <c r="P276" s="3" t="inlineStr">
        <is>
          <t>epoch_chip_quantity_latest</t>
        </is>
      </c>
      <c r="Q276" s="3" t="inlineStr">
        <is>
          <t>SRC_EPOCH_AI_DATA_CENTERS; EPOCH_RAW_CHIP_QUANTITIES</t>
        </is>
      </c>
      <c r="R276" s="3" t="inlineStr">
        <is>
          <t>Latest chip quantity per chip type through year-end; normalized by unit count into benchmark buckets.</t>
        </is>
      </c>
    </row>
    <row r="277">
      <c r="A277" s="3" t="inlineStr">
        <is>
          <t>Bull|Google Papillion|2027</t>
        </is>
      </c>
      <c r="B277" s="3" t="inlineStr">
        <is>
          <t>Bull</t>
        </is>
      </c>
      <c r="C277" s="3" t="inlineStr">
        <is>
          <t>Google Papillion</t>
        </is>
      </c>
      <c r="D277" s="3" t="n">
        <v>2027</v>
      </c>
      <c r="E277" s="3" t="inlineStr">
        <is>
          <t>Google</t>
        </is>
      </c>
      <c r="F277" s="17" t="n">
        <v>0</v>
      </c>
      <c r="G277" s="17" t="n">
        <v>0</v>
      </c>
      <c r="H277" s="17" t="n">
        <v>0</v>
      </c>
      <c r="I277" s="17" t="n">
        <v>0</v>
      </c>
      <c r="J277" s="17" t="n">
        <v>1</v>
      </c>
      <c r="K277" s="17" t="n">
        <v>0</v>
      </c>
      <c r="L277" s="17" t="n">
        <v>0</v>
      </c>
      <c r="M277" s="17" t="n">
        <v>0</v>
      </c>
      <c r="N277" s="17" t="n">
        <v>0</v>
      </c>
      <c r="O277" s="26" t="n">
        <v>1</v>
      </c>
      <c r="P277" s="3" t="inlineStr">
        <is>
          <t>epoch_chip_quantity_latest</t>
        </is>
      </c>
      <c r="Q277" s="3" t="inlineStr">
        <is>
          <t>SRC_EPOCH_AI_DATA_CENTERS; EPOCH_RAW_CHIP_QUANTITIES</t>
        </is>
      </c>
      <c r="R277" s="3" t="inlineStr">
        <is>
          <t>Latest chip quantity per chip type through year-end; normalized by unit count into benchmark buckets.</t>
        </is>
      </c>
    </row>
    <row r="278">
      <c r="A278" s="3" t="inlineStr">
        <is>
          <t>Bull|Google Papillion|2028</t>
        </is>
      </c>
      <c r="B278" s="3" t="inlineStr">
        <is>
          <t>Bull</t>
        </is>
      </c>
      <c r="C278" s="3" t="inlineStr">
        <is>
          <t>Google Papillion</t>
        </is>
      </c>
      <c r="D278" s="3" t="n">
        <v>2028</v>
      </c>
      <c r="E278" s="3" t="inlineStr">
        <is>
          <t>Google</t>
        </is>
      </c>
      <c r="F278" s="17" t="n">
        <v>0</v>
      </c>
      <c r="G278" s="17" t="n">
        <v>0</v>
      </c>
      <c r="H278" s="17" t="n">
        <v>0</v>
      </c>
      <c r="I278" s="17" t="n">
        <v>0</v>
      </c>
      <c r="J278" s="17" t="n">
        <v>1</v>
      </c>
      <c r="K278" s="17" t="n">
        <v>0</v>
      </c>
      <c r="L278" s="17" t="n">
        <v>0</v>
      </c>
      <c r="M278" s="17" t="n">
        <v>0</v>
      </c>
      <c r="N278" s="17" t="n">
        <v>0</v>
      </c>
      <c r="O278" s="26" t="n">
        <v>1</v>
      </c>
      <c r="P278" s="3" t="inlineStr">
        <is>
          <t>epoch_chip_quantity_latest</t>
        </is>
      </c>
      <c r="Q278" s="3" t="inlineStr">
        <is>
          <t>SRC_EPOCH_AI_DATA_CENTERS; EPOCH_RAW_CHIP_QUANTITIES</t>
        </is>
      </c>
      <c r="R278" s="3" t="inlineStr">
        <is>
          <t>Latest chip quantity per chip type through year-end; normalized by unit count into benchmark buckets.</t>
        </is>
      </c>
    </row>
    <row r="279">
      <c r="A279" s="3" t="inlineStr">
        <is>
          <t>Bull|Google Papillion|2029</t>
        </is>
      </c>
      <c r="B279" s="3" t="inlineStr">
        <is>
          <t>Bull</t>
        </is>
      </c>
      <c r="C279" s="3" t="inlineStr">
        <is>
          <t>Google Papillion</t>
        </is>
      </c>
      <c r="D279" s="3" t="n">
        <v>2029</v>
      </c>
      <c r="E279" s="3" t="inlineStr">
        <is>
          <t>Google</t>
        </is>
      </c>
      <c r="F279" s="17" t="n">
        <v>0</v>
      </c>
      <c r="G279" s="17" t="n">
        <v>0</v>
      </c>
      <c r="H279" s="17" t="n">
        <v>0</v>
      </c>
      <c r="I279" s="17" t="n">
        <v>0</v>
      </c>
      <c r="J279" s="17" t="n">
        <v>1</v>
      </c>
      <c r="K279" s="17" t="n">
        <v>0</v>
      </c>
      <c r="L279" s="17" t="n">
        <v>0</v>
      </c>
      <c r="M279" s="17" t="n">
        <v>0</v>
      </c>
      <c r="N279" s="17" t="n">
        <v>0</v>
      </c>
      <c r="O279" s="26" t="n">
        <v>1</v>
      </c>
      <c r="P279" s="3" t="inlineStr">
        <is>
          <t>epoch_chip_quantity_latest</t>
        </is>
      </c>
      <c r="Q279" s="3" t="inlineStr">
        <is>
          <t>SRC_EPOCH_AI_DATA_CENTERS; EPOCH_RAW_CHIP_QUANTITIES</t>
        </is>
      </c>
      <c r="R279" s="3" t="inlineStr">
        <is>
          <t>Latest chip quantity per chip type through year-end; normalized by unit count into benchmark buckets.</t>
        </is>
      </c>
    </row>
    <row r="280">
      <c r="A280" s="3" t="inlineStr">
        <is>
          <t>Bull|Google Papillion|2030</t>
        </is>
      </c>
      <c r="B280" s="3" t="inlineStr">
        <is>
          <t>Bull</t>
        </is>
      </c>
      <c r="C280" s="3" t="inlineStr">
        <is>
          <t>Google Papillion</t>
        </is>
      </c>
      <c r="D280" s="3" t="n">
        <v>2030</v>
      </c>
      <c r="E280" s="3" t="inlineStr">
        <is>
          <t>Google</t>
        </is>
      </c>
      <c r="F280" s="17" t="n">
        <v>0</v>
      </c>
      <c r="G280" s="17" t="n">
        <v>0</v>
      </c>
      <c r="H280" s="17" t="n">
        <v>0</v>
      </c>
      <c r="I280" s="17" t="n">
        <v>0</v>
      </c>
      <c r="J280" s="17" t="n">
        <v>1</v>
      </c>
      <c r="K280" s="17" t="n">
        <v>0</v>
      </c>
      <c r="L280" s="17" t="n">
        <v>0</v>
      </c>
      <c r="M280" s="17" t="n">
        <v>0</v>
      </c>
      <c r="N280" s="17" t="n">
        <v>0</v>
      </c>
      <c r="O280" s="26" t="n">
        <v>1</v>
      </c>
      <c r="P280" s="3" t="inlineStr">
        <is>
          <t>epoch_chip_quantity_latest</t>
        </is>
      </c>
      <c r="Q280" s="3" t="inlineStr">
        <is>
          <t>SRC_EPOCH_AI_DATA_CENTERS; EPOCH_RAW_CHIP_QUANTITIES</t>
        </is>
      </c>
      <c r="R280" s="3" t="inlineStr">
        <is>
          <t>Latest chip quantity per chip type through year-end; normalized by unit count into benchmark buckets.</t>
        </is>
      </c>
    </row>
    <row r="281">
      <c r="A281" s="3" t="inlineStr">
        <is>
          <t>Grid-Constrained / Efficiency-Upside|Google Papillion|2026</t>
        </is>
      </c>
      <c r="B281" s="3" t="inlineStr">
        <is>
          <t>Grid-Constrained / Efficiency-Upside</t>
        </is>
      </c>
      <c r="C281" s="3" t="inlineStr">
        <is>
          <t>Google Papillion</t>
        </is>
      </c>
      <c r="D281" s="3" t="n">
        <v>2026</v>
      </c>
      <c r="E281" s="3" t="inlineStr">
        <is>
          <t>Google</t>
        </is>
      </c>
      <c r="F281" s="17" t="n">
        <v>0</v>
      </c>
      <c r="G281" s="17" t="n">
        <v>0</v>
      </c>
      <c r="H281" s="17" t="n">
        <v>0</v>
      </c>
      <c r="I281" s="17" t="n">
        <v>0</v>
      </c>
      <c r="J281" s="17" t="n">
        <v>1</v>
      </c>
      <c r="K281" s="17" t="n">
        <v>0</v>
      </c>
      <c r="L281" s="17" t="n">
        <v>0</v>
      </c>
      <c r="M281" s="17" t="n">
        <v>0</v>
      </c>
      <c r="N281" s="17" t="n">
        <v>0</v>
      </c>
      <c r="O281" s="26" t="n">
        <v>1</v>
      </c>
      <c r="P281" s="3" t="inlineStr">
        <is>
          <t>epoch_chip_quantity_latest</t>
        </is>
      </c>
      <c r="Q281" s="3" t="inlineStr">
        <is>
          <t>SRC_EPOCH_AI_DATA_CENTERS; EPOCH_RAW_CHIP_QUANTITIES</t>
        </is>
      </c>
      <c r="R281" s="3" t="inlineStr">
        <is>
          <t>Latest chip quantity per chip type through year-end; normalized by unit count into benchmark buckets.</t>
        </is>
      </c>
    </row>
    <row r="282">
      <c r="A282" s="3" t="inlineStr">
        <is>
          <t>Grid-Constrained / Efficiency-Upside|Google Papillion|2027</t>
        </is>
      </c>
      <c r="B282" s="3" t="inlineStr">
        <is>
          <t>Grid-Constrained / Efficiency-Upside</t>
        </is>
      </c>
      <c r="C282" s="3" t="inlineStr">
        <is>
          <t>Google Papillion</t>
        </is>
      </c>
      <c r="D282" s="3" t="n">
        <v>2027</v>
      </c>
      <c r="E282" s="3" t="inlineStr">
        <is>
          <t>Google</t>
        </is>
      </c>
      <c r="F282" s="17" t="n">
        <v>0</v>
      </c>
      <c r="G282" s="17" t="n">
        <v>0</v>
      </c>
      <c r="H282" s="17" t="n">
        <v>0</v>
      </c>
      <c r="I282" s="17" t="n">
        <v>0</v>
      </c>
      <c r="J282" s="17" t="n">
        <v>1</v>
      </c>
      <c r="K282" s="17" t="n">
        <v>0</v>
      </c>
      <c r="L282" s="17" t="n">
        <v>0</v>
      </c>
      <c r="M282" s="17" t="n">
        <v>0</v>
      </c>
      <c r="N282" s="17" t="n">
        <v>0</v>
      </c>
      <c r="O282" s="26" t="n">
        <v>1</v>
      </c>
      <c r="P282" s="3" t="inlineStr">
        <is>
          <t>epoch_chip_quantity_latest</t>
        </is>
      </c>
      <c r="Q282" s="3" t="inlineStr">
        <is>
          <t>SRC_EPOCH_AI_DATA_CENTERS; EPOCH_RAW_CHIP_QUANTITIES</t>
        </is>
      </c>
      <c r="R282" s="3" t="inlineStr">
        <is>
          <t>Latest chip quantity per chip type through year-end; normalized by unit count into benchmark buckets.</t>
        </is>
      </c>
    </row>
    <row r="283">
      <c r="A283" s="3" t="inlineStr">
        <is>
          <t>Grid-Constrained / Efficiency-Upside|Google Papillion|2028</t>
        </is>
      </c>
      <c r="B283" s="3" t="inlineStr">
        <is>
          <t>Grid-Constrained / Efficiency-Upside</t>
        </is>
      </c>
      <c r="C283" s="3" t="inlineStr">
        <is>
          <t>Google Papillion</t>
        </is>
      </c>
      <c r="D283" s="3" t="n">
        <v>2028</v>
      </c>
      <c r="E283" s="3" t="inlineStr">
        <is>
          <t>Google</t>
        </is>
      </c>
      <c r="F283" s="17" t="n">
        <v>0</v>
      </c>
      <c r="G283" s="17" t="n">
        <v>0</v>
      </c>
      <c r="H283" s="17" t="n">
        <v>0</v>
      </c>
      <c r="I283" s="17" t="n">
        <v>0</v>
      </c>
      <c r="J283" s="17" t="n">
        <v>1</v>
      </c>
      <c r="K283" s="17" t="n">
        <v>0</v>
      </c>
      <c r="L283" s="17" t="n">
        <v>0</v>
      </c>
      <c r="M283" s="17" t="n">
        <v>0</v>
      </c>
      <c r="N283" s="17" t="n">
        <v>0</v>
      </c>
      <c r="O283" s="26" t="n">
        <v>1</v>
      </c>
      <c r="P283" s="3" t="inlineStr">
        <is>
          <t>epoch_chip_quantity_latest</t>
        </is>
      </c>
      <c r="Q283" s="3" t="inlineStr">
        <is>
          <t>SRC_EPOCH_AI_DATA_CENTERS; EPOCH_RAW_CHIP_QUANTITIES</t>
        </is>
      </c>
      <c r="R283" s="3" t="inlineStr">
        <is>
          <t>Latest chip quantity per chip type through year-end; normalized by unit count into benchmark buckets.</t>
        </is>
      </c>
    </row>
    <row r="284">
      <c r="A284" s="3" t="inlineStr">
        <is>
          <t>Grid-Constrained / Efficiency-Upside|Google Papillion|2029</t>
        </is>
      </c>
      <c r="B284" s="3" t="inlineStr">
        <is>
          <t>Grid-Constrained / Efficiency-Upside</t>
        </is>
      </c>
      <c r="C284" s="3" t="inlineStr">
        <is>
          <t>Google Papillion</t>
        </is>
      </c>
      <c r="D284" s="3" t="n">
        <v>2029</v>
      </c>
      <c r="E284" s="3" t="inlineStr">
        <is>
          <t>Google</t>
        </is>
      </c>
      <c r="F284" s="17" t="n">
        <v>0</v>
      </c>
      <c r="G284" s="17" t="n">
        <v>0</v>
      </c>
      <c r="H284" s="17" t="n">
        <v>0</v>
      </c>
      <c r="I284" s="17" t="n">
        <v>0</v>
      </c>
      <c r="J284" s="17" t="n">
        <v>1</v>
      </c>
      <c r="K284" s="17" t="n">
        <v>0</v>
      </c>
      <c r="L284" s="17" t="n">
        <v>0</v>
      </c>
      <c r="M284" s="17" t="n">
        <v>0</v>
      </c>
      <c r="N284" s="17" t="n">
        <v>0</v>
      </c>
      <c r="O284" s="26" t="n">
        <v>1</v>
      </c>
      <c r="P284" s="3" t="inlineStr">
        <is>
          <t>epoch_chip_quantity_latest</t>
        </is>
      </c>
      <c r="Q284" s="3" t="inlineStr">
        <is>
          <t>SRC_EPOCH_AI_DATA_CENTERS; EPOCH_RAW_CHIP_QUANTITIES</t>
        </is>
      </c>
      <c r="R284" s="3" t="inlineStr">
        <is>
          <t>Latest chip quantity per chip type through year-end; normalized by unit count into benchmark buckets.</t>
        </is>
      </c>
    </row>
    <row r="285">
      <c r="A285" s="3" t="inlineStr">
        <is>
          <t>Grid-Constrained / Efficiency-Upside|Google Papillion|2030</t>
        </is>
      </c>
      <c r="B285" s="3" t="inlineStr">
        <is>
          <t>Grid-Constrained / Efficiency-Upside</t>
        </is>
      </c>
      <c r="C285" s="3" t="inlineStr">
        <is>
          <t>Google Papillion</t>
        </is>
      </c>
      <c r="D285" s="3" t="n">
        <v>2030</v>
      </c>
      <c r="E285" s="3" t="inlineStr">
        <is>
          <t>Google</t>
        </is>
      </c>
      <c r="F285" s="17" t="n">
        <v>0</v>
      </c>
      <c r="G285" s="17" t="n">
        <v>0</v>
      </c>
      <c r="H285" s="17" t="n">
        <v>0</v>
      </c>
      <c r="I285" s="17" t="n">
        <v>0</v>
      </c>
      <c r="J285" s="17" t="n">
        <v>1</v>
      </c>
      <c r="K285" s="17" t="n">
        <v>0</v>
      </c>
      <c r="L285" s="17" t="n">
        <v>0</v>
      </c>
      <c r="M285" s="17" t="n">
        <v>0</v>
      </c>
      <c r="N285" s="17" t="n">
        <v>0</v>
      </c>
      <c r="O285" s="26" t="n">
        <v>1</v>
      </c>
      <c r="P285" s="3" t="inlineStr">
        <is>
          <t>epoch_chip_quantity_latest</t>
        </is>
      </c>
      <c r="Q285" s="3" t="inlineStr">
        <is>
          <t>SRC_EPOCH_AI_DATA_CENTERS; EPOCH_RAW_CHIP_QUANTITIES</t>
        </is>
      </c>
      <c r="R285" s="3" t="inlineStr">
        <is>
          <t>Latest chip quantity per chip type through year-end; normalized by unit count into benchmark buckets.</t>
        </is>
      </c>
    </row>
    <row r="286">
      <c r="A286" s="3" t="inlineStr">
        <is>
          <t>Bear|Google Pryor (North)|2026</t>
        </is>
      </c>
      <c r="B286" s="3" t="inlineStr">
        <is>
          <t>Bear</t>
        </is>
      </c>
      <c r="C286" s="3" t="inlineStr">
        <is>
          <t>Google Pryor (North)</t>
        </is>
      </c>
      <c r="D286" s="3" t="n">
        <v>2026</v>
      </c>
      <c r="E286" s="3" t="inlineStr">
        <is>
          <t>Google</t>
        </is>
      </c>
      <c r="F286" s="17" t="n">
        <v>0</v>
      </c>
      <c r="G286" s="17" t="n">
        <v>0</v>
      </c>
      <c r="H286" s="17" t="n">
        <v>0</v>
      </c>
      <c r="I286" s="17" t="n">
        <v>0</v>
      </c>
      <c r="J286" s="17" t="n">
        <v>1</v>
      </c>
      <c r="K286" s="17" t="n">
        <v>0</v>
      </c>
      <c r="L286" s="17" t="n">
        <v>0</v>
      </c>
      <c r="M286" s="17" t="n">
        <v>0</v>
      </c>
      <c r="N286" s="17" t="n">
        <v>0</v>
      </c>
      <c r="O286" s="26" t="n">
        <v>1</v>
      </c>
      <c r="P286" s="3" t="inlineStr">
        <is>
          <t>epoch_chip_quantity_latest</t>
        </is>
      </c>
      <c r="Q286" s="3" t="inlineStr">
        <is>
          <t>SRC_EPOCH_AI_DATA_CENTERS; EPOCH_RAW_CHIP_QUANTITIES</t>
        </is>
      </c>
      <c r="R286" s="3" t="inlineStr">
        <is>
          <t>Latest chip quantity per chip type through year-end; normalized by unit count into benchmark buckets.</t>
        </is>
      </c>
    </row>
    <row r="287">
      <c r="A287" s="3" t="inlineStr">
        <is>
          <t>Bear|Google Pryor (North)|2027</t>
        </is>
      </c>
      <c r="B287" s="3" t="inlineStr">
        <is>
          <t>Bear</t>
        </is>
      </c>
      <c r="C287" s="3" t="inlineStr">
        <is>
          <t>Google Pryor (North)</t>
        </is>
      </c>
      <c r="D287" s="3" t="n">
        <v>2027</v>
      </c>
      <c r="E287" s="3" t="inlineStr">
        <is>
          <t>Google</t>
        </is>
      </c>
      <c r="F287" s="17" t="n">
        <v>0</v>
      </c>
      <c r="G287" s="17" t="n">
        <v>0</v>
      </c>
      <c r="H287" s="17" t="n">
        <v>0</v>
      </c>
      <c r="I287" s="17" t="n">
        <v>0</v>
      </c>
      <c r="J287" s="17" t="n">
        <v>1</v>
      </c>
      <c r="K287" s="17" t="n">
        <v>0</v>
      </c>
      <c r="L287" s="17" t="n">
        <v>0</v>
      </c>
      <c r="M287" s="17" t="n">
        <v>0</v>
      </c>
      <c r="N287" s="17" t="n">
        <v>0</v>
      </c>
      <c r="O287" s="26" t="n">
        <v>1</v>
      </c>
      <c r="P287" s="3" t="inlineStr">
        <is>
          <t>epoch_chip_quantity_latest</t>
        </is>
      </c>
      <c r="Q287" s="3" t="inlineStr">
        <is>
          <t>SRC_EPOCH_AI_DATA_CENTERS; EPOCH_RAW_CHIP_QUANTITIES</t>
        </is>
      </c>
      <c r="R287" s="3" t="inlineStr">
        <is>
          <t>Latest chip quantity per chip type through year-end; normalized by unit count into benchmark buckets.</t>
        </is>
      </c>
    </row>
    <row r="288">
      <c r="A288" s="3" t="inlineStr">
        <is>
          <t>Bear|Google Pryor (North)|2028</t>
        </is>
      </c>
      <c r="B288" s="3" t="inlineStr">
        <is>
          <t>Bear</t>
        </is>
      </c>
      <c r="C288" s="3" t="inlineStr">
        <is>
          <t>Google Pryor (North)</t>
        </is>
      </c>
      <c r="D288" s="3" t="n">
        <v>2028</v>
      </c>
      <c r="E288" s="3" t="inlineStr">
        <is>
          <t>Google</t>
        </is>
      </c>
      <c r="F288" s="17" t="n">
        <v>0</v>
      </c>
      <c r="G288" s="17" t="n">
        <v>0</v>
      </c>
      <c r="H288" s="17" t="n">
        <v>0</v>
      </c>
      <c r="I288" s="17" t="n">
        <v>0</v>
      </c>
      <c r="J288" s="17" t="n">
        <v>1</v>
      </c>
      <c r="K288" s="17" t="n">
        <v>0</v>
      </c>
      <c r="L288" s="17" t="n">
        <v>0</v>
      </c>
      <c r="M288" s="17" t="n">
        <v>0</v>
      </c>
      <c r="N288" s="17" t="n">
        <v>0</v>
      </c>
      <c r="O288" s="26" t="n">
        <v>1</v>
      </c>
      <c r="P288" s="3" t="inlineStr">
        <is>
          <t>epoch_chip_quantity_latest</t>
        </is>
      </c>
      <c r="Q288" s="3" t="inlineStr">
        <is>
          <t>SRC_EPOCH_AI_DATA_CENTERS; EPOCH_RAW_CHIP_QUANTITIES</t>
        </is>
      </c>
      <c r="R288" s="3" t="inlineStr">
        <is>
          <t>Latest chip quantity per chip type through year-end; normalized by unit count into benchmark buckets.</t>
        </is>
      </c>
    </row>
    <row r="289">
      <c r="A289" s="3" t="inlineStr">
        <is>
          <t>Bear|Google Pryor (North)|2029</t>
        </is>
      </c>
      <c r="B289" s="3" t="inlineStr">
        <is>
          <t>Bear</t>
        </is>
      </c>
      <c r="C289" s="3" t="inlineStr">
        <is>
          <t>Google Pryor (North)</t>
        </is>
      </c>
      <c r="D289" s="3" t="n">
        <v>2029</v>
      </c>
      <c r="E289" s="3" t="inlineStr">
        <is>
          <t>Google</t>
        </is>
      </c>
      <c r="F289" s="17" t="n">
        <v>0</v>
      </c>
      <c r="G289" s="17" t="n">
        <v>0</v>
      </c>
      <c r="H289" s="17" t="n">
        <v>0</v>
      </c>
      <c r="I289" s="17" t="n">
        <v>0</v>
      </c>
      <c r="J289" s="17" t="n">
        <v>1</v>
      </c>
      <c r="K289" s="17" t="n">
        <v>0</v>
      </c>
      <c r="L289" s="17" t="n">
        <v>0</v>
      </c>
      <c r="M289" s="17" t="n">
        <v>0</v>
      </c>
      <c r="N289" s="17" t="n">
        <v>0</v>
      </c>
      <c r="O289" s="26" t="n">
        <v>1</v>
      </c>
      <c r="P289" s="3" t="inlineStr">
        <is>
          <t>epoch_chip_quantity_latest</t>
        </is>
      </c>
      <c r="Q289" s="3" t="inlineStr">
        <is>
          <t>SRC_EPOCH_AI_DATA_CENTERS; EPOCH_RAW_CHIP_QUANTITIES</t>
        </is>
      </c>
      <c r="R289" s="3" t="inlineStr">
        <is>
          <t>Latest chip quantity per chip type through year-end; normalized by unit count into benchmark buckets.</t>
        </is>
      </c>
    </row>
    <row r="290">
      <c r="A290" s="3" t="inlineStr">
        <is>
          <t>Bear|Google Pryor (North)|2030</t>
        </is>
      </c>
      <c r="B290" s="3" t="inlineStr">
        <is>
          <t>Bear</t>
        </is>
      </c>
      <c r="C290" s="3" t="inlineStr">
        <is>
          <t>Google Pryor (North)</t>
        </is>
      </c>
      <c r="D290" s="3" t="n">
        <v>2030</v>
      </c>
      <c r="E290" s="3" t="inlineStr">
        <is>
          <t>Google</t>
        </is>
      </c>
      <c r="F290" s="17" t="n">
        <v>0</v>
      </c>
      <c r="G290" s="17" t="n">
        <v>0</v>
      </c>
      <c r="H290" s="17" t="n">
        <v>0</v>
      </c>
      <c r="I290" s="17" t="n">
        <v>0</v>
      </c>
      <c r="J290" s="17" t="n">
        <v>1</v>
      </c>
      <c r="K290" s="17" t="n">
        <v>0</v>
      </c>
      <c r="L290" s="17" t="n">
        <v>0</v>
      </c>
      <c r="M290" s="17" t="n">
        <v>0</v>
      </c>
      <c r="N290" s="17" t="n">
        <v>0</v>
      </c>
      <c r="O290" s="26" t="n">
        <v>1</v>
      </c>
      <c r="P290" s="3" t="inlineStr">
        <is>
          <t>epoch_chip_quantity_latest</t>
        </is>
      </c>
      <c r="Q290" s="3" t="inlineStr">
        <is>
          <t>SRC_EPOCH_AI_DATA_CENTERS; EPOCH_RAW_CHIP_QUANTITIES</t>
        </is>
      </c>
      <c r="R290" s="3" t="inlineStr">
        <is>
          <t>Latest chip quantity per chip type through year-end; normalized by unit count into benchmark buckets.</t>
        </is>
      </c>
    </row>
    <row r="291">
      <c r="A291" s="3" t="inlineStr">
        <is>
          <t>Base|Google Pryor (North)|2026</t>
        </is>
      </c>
      <c r="B291" s="3" t="inlineStr">
        <is>
          <t>Base</t>
        </is>
      </c>
      <c r="C291" s="3" t="inlineStr">
        <is>
          <t>Google Pryor (North)</t>
        </is>
      </c>
      <c r="D291" s="3" t="n">
        <v>2026</v>
      </c>
      <c r="E291" s="3" t="inlineStr">
        <is>
          <t>Google</t>
        </is>
      </c>
      <c r="F291" s="17" t="n">
        <v>0</v>
      </c>
      <c r="G291" s="17" t="n">
        <v>0</v>
      </c>
      <c r="H291" s="17" t="n">
        <v>0</v>
      </c>
      <c r="I291" s="17" t="n">
        <v>0</v>
      </c>
      <c r="J291" s="17" t="n">
        <v>1</v>
      </c>
      <c r="K291" s="17" t="n">
        <v>0</v>
      </c>
      <c r="L291" s="17" t="n">
        <v>0</v>
      </c>
      <c r="M291" s="17" t="n">
        <v>0</v>
      </c>
      <c r="N291" s="17" t="n">
        <v>0</v>
      </c>
      <c r="O291" s="26" t="n">
        <v>1</v>
      </c>
      <c r="P291" s="3" t="inlineStr">
        <is>
          <t>epoch_chip_quantity_latest</t>
        </is>
      </c>
      <c r="Q291" s="3" t="inlineStr">
        <is>
          <t>SRC_EPOCH_AI_DATA_CENTERS; EPOCH_RAW_CHIP_QUANTITIES</t>
        </is>
      </c>
      <c r="R291" s="3" t="inlineStr">
        <is>
          <t>Latest chip quantity per chip type through year-end; normalized by unit count into benchmark buckets.</t>
        </is>
      </c>
    </row>
    <row r="292">
      <c r="A292" s="3" t="inlineStr">
        <is>
          <t>Base|Google Pryor (North)|2027</t>
        </is>
      </c>
      <c r="B292" s="3" t="inlineStr">
        <is>
          <t>Base</t>
        </is>
      </c>
      <c r="C292" s="3" t="inlineStr">
        <is>
          <t>Google Pryor (North)</t>
        </is>
      </c>
      <c r="D292" s="3" t="n">
        <v>2027</v>
      </c>
      <c r="E292" s="3" t="inlineStr">
        <is>
          <t>Google</t>
        </is>
      </c>
      <c r="F292" s="17" t="n">
        <v>0</v>
      </c>
      <c r="G292" s="17" t="n">
        <v>0</v>
      </c>
      <c r="H292" s="17" t="n">
        <v>0</v>
      </c>
      <c r="I292" s="17" t="n">
        <v>0</v>
      </c>
      <c r="J292" s="17" t="n">
        <v>1</v>
      </c>
      <c r="K292" s="17" t="n">
        <v>0</v>
      </c>
      <c r="L292" s="17" t="n">
        <v>0</v>
      </c>
      <c r="M292" s="17" t="n">
        <v>0</v>
      </c>
      <c r="N292" s="17" t="n">
        <v>0</v>
      </c>
      <c r="O292" s="26" t="n">
        <v>1</v>
      </c>
      <c r="P292" s="3" t="inlineStr">
        <is>
          <t>epoch_chip_quantity_latest</t>
        </is>
      </c>
      <c r="Q292" s="3" t="inlineStr">
        <is>
          <t>SRC_EPOCH_AI_DATA_CENTERS; EPOCH_RAW_CHIP_QUANTITIES</t>
        </is>
      </c>
      <c r="R292" s="3" t="inlineStr">
        <is>
          <t>Latest chip quantity per chip type through year-end; normalized by unit count into benchmark buckets.</t>
        </is>
      </c>
    </row>
    <row r="293">
      <c r="A293" s="3" t="inlineStr">
        <is>
          <t>Base|Google Pryor (North)|2028</t>
        </is>
      </c>
      <c r="B293" s="3" t="inlineStr">
        <is>
          <t>Base</t>
        </is>
      </c>
      <c r="C293" s="3" t="inlineStr">
        <is>
          <t>Google Pryor (North)</t>
        </is>
      </c>
      <c r="D293" s="3" t="n">
        <v>2028</v>
      </c>
      <c r="E293" s="3" t="inlineStr">
        <is>
          <t>Google</t>
        </is>
      </c>
      <c r="F293" s="17" t="n">
        <v>0</v>
      </c>
      <c r="G293" s="17" t="n">
        <v>0</v>
      </c>
      <c r="H293" s="17" t="n">
        <v>0</v>
      </c>
      <c r="I293" s="17" t="n">
        <v>0</v>
      </c>
      <c r="J293" s="17" t="n">
        <v>1</v>
      </c>
      <c r="K293" s="17" t="n">
        <v>0</v>
      </c>
      <c r="L293" s="17" t="n">
        <v>0</v>
      </c>
      <c r="M293" s="17" t="n">
        <v>0</v>
      </c>
      <c r="N293" s="17" t="n">
        <v>0</v>
      </c>
      <c r="O293" s="26" t="n">
        <v>1</v>
      </c>
      <c r="P293" s="3" t="inlineStr">
        <is>
          <t>epoch_chip_quantity_latest</t>
        </is>
      </c>
      <c r="Q293" s="3" t="inlineStr">
        <is>
          <t>SRC_EPOCH_AI_DATA_CENTERS; EPOCH_RAW_CHIP_QUANTITIES</t>
        </is>
      </c>
      <c r="R293" s="3" t="inlineStr">
        <is>
          <t>Latest chip quantity per chip type through year-end; normalized by unit count into benchmark buckets.</t>
        </is>
      </c>
    </row>
    <row r="294">
      <c r="A294" s="3" t="inlineStr">
        <is>
          <t>Base|Google Pryor (North)|2029</t>
        </is>
      </c>
      <c r="B294" s="3" t="inlineStr">
        <is>
          <t>Base</t>
        </is>
      </c>
      <c r="C294" s="3" t="inlineStr">
        <is>
          <t>Google Pryor (North)</t>
        </is>
      </c>
      <c r="D294" s="3" t="n">
        <v>2029</v>
      </c>
      <c r="E294" s="3" t="inlineStr">
        <is>
          <t>Google</t>
        </is>
      </c>
      <c r="F294" s="17" t="n">
        <v>0</v>
      </c>
      <c r="G294" s="17" t="n">
        <v>0</v>
      </c>
      <c r="H294" s="17" t="n">
        <v>0</v>
      </c>
      <c r="I294" s="17" t="n">
        <v>0</v>
      </c>
      <c r="J294" s="17" t="n">
        <v>1</v>
      </c>
      <c r="K294" s="17" t="n">
        <v>0</v>
      </c>
      <c r="L294" s="17" t="n">
        <v>0</v>
      </c>
      <c r="M294" s="17" t="n">
        <v>0</v>
      </c>
      <c r="N294" s="17" t="n">
        <v>0</v>
      </c>
      <c r="O294" s="26" t="n">
        <v>1</v>
      </c>
      <c r="P294" s="3" t="inlineStr">
        <is>
          <t>epoch_chip_quantity_latest</t>
        </is>
      </c>
      <c r="Q294" s="3" t="inlineStr">
        <is>
          <t>SRC_EPOCH_AI_DATA_CENTERS; EPOCH_RAW_CHIP_QUANTITIES</t>
        </is>
      </c>
      <c r="R294" s="3" t="inlineStr">
        <is>
          <t>Latest chip quantity per chip type through year-end; normalized by unit count into benchmark buckets.</t>
        </is>
      </c>
    </row>
    <row r="295">
      <c r="A295" s="3" t="inlineStr">
        <is>
          <t>Base|Google Pryor (North)|2030</t>
        </is>
      </c>
      <c r="B295" s="3" t="inlineStr">
        <is>
          <t>Base</t>
        </is>
      </c>
      <c r="C295" s="3" t="inlineStr">
        <is>
          <t>Google Pryor (North)</t>
        </is>
      </c>
      <c r="D295" s="3" t="n">
        <v>2030</v>
      </c>
      <c r="E295" s="3" t="inlineStr">
        <is>
          <t>Google</t>
        </is>
      </c>
      <c r="F295" s="17" t="n">
        <v>0</v>
      </c>
      <c r="G295" s="17" t="n">
        <v>0</v>
      </c>
      <c r="H295" s="17" t="n">
        <v>0</v>
      </c>
      <c r="I295" s="17" t="n">
        <v>0</v>
      </c>
      <c r="J295" s="17" t="n">
        <v>1</v>
      </c>
      <c r="K295" s="17" t="n">
        <v>0</v>
      </c>
      <c r="L295" s="17" t="n">
        <v>0</v>
      </c>
      <c r="M295" s="17" t="n">
        <v>0</v>
      </c>
      <c r="N295" s="17" t="n">
        <v>0</v>
      </c>
      <c r="O295" s="26" t="n">
        <v>1</v>
      </c>
      <c r="P295" s="3" t="inlineStr">
        <is>
          <t>epoch_chip_quantity_latest</t>
        </is>
      </c>
      <c r="Q295" s="3" t="inlineStr">
        <is>
          <t>SRC_EPOCH_AI_DATA_CENTERS; EPOCH_RAW_CHIP_QUANTITIES</t>
        </is>
      </c>
      <c r="R295" s="3" t="inlineStr">
        <is>
          <t>Latest chip quantity per chip type through year-end; normalized by unit count into benchmark buckets.</t>
        </is>
      </c>
    </row>
    <row r="296">
      <c r="A296" s="3" t="inlineStr">
        <is>
          <t>Bull|Google Pryor (North)|2026</t>
        </is>
      </c>
      <c r="B296" s="3" t="inlineStr">
        <is>
          <t>Bull</t>
        </is>
      </c>
      <c r="C296" s="3" t="inlineStr">
        <is>
          <t>Google Pryor (North)</t>
        </is>
      </c>
      <c r="D296" s="3" t="n">
        <v>2026</v>
      </c>
      <c r="E296" s="3" t="inlineStr">
        <is>
          <t>Google</t>
        </is>
      </c>
      <c r="F296" s="17" t="n">
        <v>0</v>
      </c>
      <c r="G296" s="17" t="n">
        <v>0</v>
      </c>
      <c r="H296" s="17" t="n">
        <v>0</v>
      </c>
      <c r="I296" s="17" t="n">
        <v>0</v>
      </c>
      <c r="J296" s="17" t="n">
        <v>1</v>
      </c>
      <c r="K296" s="17" t="n">
        <v>0</v>
      </c>
      <c r="L296" s="17" t="n">
        <v>0</v>
      </c>
      <c r="M296" s="17" t="n">
        <v>0</v>
      </c>
      <c r="N296" s="17" t="n">
        <v>0</v>
      </c>
      <c r="O296" s="26" t="n">
        <v>1</v>
      </c>
      <c r="P296" s="3" t="inlineStr">
        <is>
          <t>epoch_chip_quantity_latest</t>
        </is>
      </c>
      <c r="Q296" s="3" t="inlineStr">
        <is>
          <t>SRC_EPOCH_AI_DATA_CENTERS; EPOCH_RAW_CHIP_QUANTITIES</t>
        </is>
      </c>
      <c r="R296" s="3" t="inlineStr">
        <is>
          <t>Latest chip quantity per chip type through year-end; normalized by unit count into benchmark buckets.</t>
        </is>
      </c>
    </row>
    <row r="297">
      <c r="A297" s="3" t="inlineStr">
        <is>
          <t>Bull|Google Pryor (North)|2027</t>
        </is>
      </c>
      <c r="B297" s="3" t="inlineStr">
        <is>
          <t>Bull</t>
        </is>
      </c>
      <c r="C297" s="3" t="inlineStr">
        <is>
          <t>Google Pryor (North)</t>
        </is>
      </c>
      <c r="D297" s="3" t="n">
        <v>2027</v>
      </c>
      <c r="E297" s="3" t="inlineStr">
        <is>
          <t>Google</t>
        </is>
      </c>
      <c r="F297" s="17" t="n">
        <v>0</v>
      </c>
      <c r="G297" s="17" t="n">
        <v>0</v>
      </c>
      <c r="H297" s="17" t="n">
        <v>0</v>
      </c>
      <c r="I297" s="17" t="n">
        <v>0</v>
      </c>
      <c r="J297" s="17" t="n">
        <v>1</v>
      </c>
      <c r="K297" s="17" t="n">
        <v>0</v>
      </c>
      <c r="L297" s="17" t="n">
        <v>0</v>
      </c>
      <c r="M297" s="17" t="n">
        <v>0</v>
      </c>
      <c r="N297" s="17" t="n">
        <v>0</v>
      </c>
      <c r="O297" s="26" t="n">
        <v>1</v>
      </c>
      <c r="P297" s="3" t="inlineStr">
        <is>
          <t>epoch_chip_quantity_latest</t>
        </is>
      </c>
      <c r="Q297" s="3" t="inlineStr">
        <is>
          <t>SRC_EPOCH_AI_DATA_CENTERS; EPOCH_RAW_CHIP_QUANTITIES</t>
        </is>
      </c>
      <c r="R297" s="3" t="inlineStr">
        <is>
          <t>Latest chip quantity per chip type through year-end; normalized by unit count into benchmark buckets.</t>
        </is>
      </c>
    </row>
    <row r="298">
      <c r="A298" s="3" t="inlineStr">
        <is>
          <t>Bull|Google Pryor (North)|2028</t>
        </is>
      </c>
      <c r="B298" s="3" t="inlineStr">
        <is>
          <t>Bull</t>
        </is>
      </c>
      <c r="C298" s="3" t="inlineStr">
        <is>
          <t>Google Pryor (North)</t>
        </is>
      </c>
      <c r="D298" s="3" t="n">
        <v>2028</v>
      </c>
      <c r="E298" s="3" t="inlineStr">
        <is>
          <t>Google</t>
        </is>
      </c>
      <c r="F298" s="17" t="n">
        <v>0</v>
      </c>
      <c r="G298" s="17" t="n">
        <v>0</v>
      </c>
      <c r="H298" s="17" t="n">
        <v>0</v>
      </c>
      <c r="I298" s="17" t="n">
        <v>0</v>
      </c>
      <c r="J298" s="17" t="n">
        <v>1</v>
      </c>
      <c r="K298" s="17" t="n">
        <v>0</v>
      </c>
      <c r="L298" s="17" t="n">
        <v>0</v>
      </c>
      <c r="M298" s="17" t="n">
        <v>0</v>
      </c>
      <c r="N298" s="17" t="n">
        <v>0</v>
      </c>
      <c r="O298" s="26" t="n">
        <v>1</v>
      </c>
      <c r="P298" s="3" t="inlineStr">
        <is>
          <t>epoch_chip_quantity_latest</t>
        </is>
      </c>
      <c r="Q298" s="3" t="inlineStr">
        <is>
          <t>SRC_EPOCH_AI_DATA_CENTERS; EPOCH_RAW_CHIP_QUANTITIES</t>
        </is>
      </c>
      <c r="R298" s="3" t="inlineStr">
        <is>
          <t>Latest chip quantity per chip type through year-end; normalized by unit count into benchmark buckets.</t>
        </is>
      </c>
    </row>
    <row r="299">
      <c r="A299" s="3" t="inlineStr">
        <is>
          <t>Bull|Google Pryor (North)|2029</t>
        </is>
      </c>
      <c r="B299" s="3" t="inlineStr">
        <is>
          <t>Bull</t>
        </is>
      </c>
      <c r="C299" s="3" t="inlineStr">
        <is>
          <t>Google Pryor (North)</t>
        </is>
      </c>
      <c r="D299" s="3" t="n">
        <v>2029</v>
      </c>
      <c r="E299" s="3" t="inlineStr">
        <is>
          <t>Google</t>
        </is>
      </c>
      <c r="F299" s="17" t="n">
        <v>0</v>
      </c>
      <c r="G299" s="17" t="n">
        <v>0</v>
      </c>
      <c r="H299" s="17" t="n">
        <v>0</v>
      </c>
      <c r="I299" s="17" t="n">
        <v>0</v>
      </c>
      <c r="J299" s="17" t="n">
        <v>1</v>
      </c>
      <c r="K299" s="17" t="n">
        <v>0</v>
      </c>
      <c r="L299" s="17" t="n">
        <v>0</v>
      </c>
      <c r="M299" s="17" t="n">
        <v>0</v>
      </c>
      <c r="N299" s="17" t="n">
        <v>0</v>
      </c>
      <c r="O299" s="26" t="n">
        <v>1</v>
      </c>
      <c r="P299" s="3" t="inlineStr">
        <is>
          <t>epoch_chip_quantity_latest</t>
        </is>
      </c>
      <c r="Q299" s="3" t="inlineStr">
        <is>
          <t>SRC_EPOCH_AI_DATA_CENTERS; EPOCH_RAW_CHIP_QUANTITIES</t>
        </is>
      </c>
      <c r="R299" s="3" t="inlineStr">
        <is>
          <t>Latest chip quantity per chip type through year-end; normalized by unit count into benchmark buckets.</t>
        </is>
      </c>
    </row>
    <row r="300">
      <c r="A300" s="3" t="inlineStr">
        <is>
          <t>Bull|Google Pryor (North)|2030</t>
        </is>
      </c>
      <c r="B300" s="3" t="inlineStr">
        <is>
          <t>Bull</t>
        </is>
      </c>
      <c r="C300" s="3" t="inlineStr">
        <is>
          <t>Google Pryor (North)</t>
        </is>
      </c>
      <c r="D300" s="3" t="n">
        <v>2030</v>
      </c>
      <c r="E300" s="3" t="inlineStr">
        <is>
          <t>Google</t>
        </is>
      </c>
      <c r="F300" s="17" t="n">
        <v>0</v>
      </c>
      <c r="G300" s="17" t="n">
        <v>0</v>
      </c>
      <c r="H300" s="17" t="n">
        <v>0</v>
      </c>
      <c r="I300" s="17" t="n">
        <v>0</v>
      </c>
      <c r="J300" s="17" t="n">
        <v>1</v>
      </c>
      <c r="K300" s="17" t="n">
        <v>0</v>
      </c>
      <c r="L300" s="17" t="n">
        <v>0</v>
      </c>
      <c r="M300" s="17" t="n">
        <v>0</v>
      </c>
      <c r="N300" s="17" t="n">
        <v>0</v>
      </c>
      <c r="O300" s="26" t="n">
        <v>1</v>
      </c>
      <c r="P300" s="3" t="inlineStr">
        <is>
          <t>epoch_chip_quantity_latest</t>
        </is>
      </c>
      <c r="Q300" s="3" t="inlineStr">
        <is>
          <t>SRC_EPOCH_AI_DATA_CENTERS; EPOCH_RAW_CHIP_QUANTITIES</t>
        </is>
      </c>
      <c r="R300" s="3" t="inlineStr">
        <is>
          <t>Latest chip quantity per chip type through year-end; normalized by unit count into benchmark buckets.</t>
        </is>
      </c>
    </row>
    <row r="301">
      <c r="A301" s="3" t="inlineStr">
        <is>
          <t>Grid-Constrained / Efficiency-Upside|Google Pryor (North)|2026</t>
        </is>
      </c>
      <c r="B301" s="3" t="inlineStr">
        <is>
          <t>Grid-Constrained / Efficiency-Upside</t>
        </is>
      </c>
      <c r="C301" s="3" t="inlineStr">
        <is>
          <t>Google Pryor (North)</t>
        </is>
      </c>
      <c r="D301" s="3" t="n">
        <v>2026</v>
      </c>
      <c r="E301" s="3" t="inlineStr">
        <is>
          <t>Google</t>
        </is>
      </c>
      <c r="F301" s="17" t="n">
        <v>0</v>
      </c>
      <c r="G301" s="17" t="n">
        <v>0</v>
      </c>
      <c r="H301" s="17" t="n">
        <v>0</v>
      </c>
      <c r="I301" s="17" t="n">
        <v>0</v>
      </c>
      <c r="J301" s="17" t="n">
        <v>1</v>
      </c>
      <c r="K301" s="17" t="n">
        <v>0</v>
      </c>
      <c r="L301" s="17" t="n">
        <v>0</v>
      </c>
      <c r="M301" s="17" t="n">
        <v>0</v>
      </c>
      <c r="N301" s="17" t="n">
        <v>0</v>
      </c>
      <c r="O301" s="26" t="n">
        <v>1</v>
      </c>
      <c r="P301" s="3" t="inlineStr">
        <is>
          <t>epoch_chip_quantity_latest</t>
        </is>
      </c>
      <c r="Q301" s="3" t="inlineStr">
        <is>
          <t>SRC_EPOCH_AI_DATA_CENTERS; EPOCH_RAW_CHIP_QUANTITIES</t>
        </is>
      </c>
      <c r="R301" s="3" t="inlineStr">
        <is>
          <t>Latest chip quantity per chip type through year-end; normalized by unit count into benchmark buckets.</t>
        </is>
      </c>
    </row>
    <row r="302">
      <c r="A302" s="3" t="inlineStr">
        <is>
          <t>Grid-Constrained / Efficiency-Upside|Google Pryor (North)|2027</t>
        </is>
      </c>
      <c r="B302" s="3" t="inlineStr">
        <is>
          <t>Grid-Constrained / Efficiency-Upside</t>
        </is>
      </c>
      <c r="C302" s="3" t="inlineStr">
        <is>
          <t>Google Pryor (North)</t>
        </is>
      </c>
      <c r="D302" s="3" t="n">
        <v>2027</v>
      </c>
      <c r="E302" s="3" t="inlineStr">
        <is>
          <t>Google</t>
        </is>
      </c>
      <c r="F302" s="17" t="n">
        <v>0</v>
      </c>
      <c r="G302" s="17" t="n">
        <v>0</v>
      </c>
      <c r="H302" s="17" t="n">
        <v>0</v>
      </c>
      <c r="I302" s="17" t="n">
        <v>0</v>
      </c>
      <c r="J302" s="17" t="n">
        <v>1</v>
      </c>
      <c r="K302" s="17" t="n">
        <v>0</v>
      </c>
      <c r="L302" s="17" t="n">
        <v>0</v>
      </c>
      <c r="M302" s="17" t="n">
        <v>0</v>
      </c>
      <c r="N302" s="17" t="n">
        <v>0</v>
      </c>
      <c r="O302" s="26" t="n">
        <v>1</v>
      </c>
      <c r="P302" s="3" t="inlineStr">
        <is>
          <t>epoch_chip_quantity_latest</t>
        </is>
      </c>
      <c r="Q302" s="3" t="inlineStr">
        <is>
          <t>SRC_EPOCH_AI_DATA_CENTERS; EPOCH_RAW_CHIP_QUANTITIES</t>
        </is>
      </c>
      <c r="R302" s="3" t="inlineStr">
        <is>
          <t>Latest chip quantity per chip type through year-end; normalized by unit count into benchmark buckets.</t>
        </is>
      </c>
    </row>
    <row r="303">
      <c r="A303" s="3" t="inlineStr">
        <is>
          <t>Grid-Constrained / Efficiency-Upside|Google Pryor (North)|2028</t>
        </is>
      </c>
      <c r="B303" s="3" t="inlineStr">
        <is>
          <t>Grid-Constrained / Efficiency-Upside</t>
        </is>
      </c>
      <c r="C303" s="3" t="inlineStr">
        <is>
          <t>Google Pryor (North)</t>
        </is>
      </c>
      <c r="D303" s="3" t="n">
        <v>2028</v>
      </c>
      <c r="E303" s="3" t="inlineStr">
        <is>
          <t>Google</t>
        </is>
      </c>
      <c r="F303" s="17" t="n">
        <v>0</v>
      </c>
      <c r="G303" s="17" t="n">
        <v>0</v>
      </c>
      <c r="H303" s="17" t="n">
        <v>0</v>
      </c>
      <c r="I303" s="17" t="n">
        <v>0</v>
      </c>
      <c r="J303" s="17" t="n">
        <v>1</v>
      </c>
      <c r="K303" s="17" t="n">
        <v>0</v>
      </c>
      <c r="L303" s="17" t="n">
        <v>0</v>
      </c>
      <c r="M303" s="17" t="n">
        <v>0</v>
      </c>
      <c r="N303" s="17" t="n">
        <v>0</v>
      </c>
      <c r="O303" s="26" t="n">
        <v>1</v>
      </c>
      <c r="P303" s="3" t="inlineStr">
        <is>
          <t>epoch_chip_quantity_latest</t>
        </is>
      </c>
      <c r="Q303" s="3" t="inlineStr">
        <is>
          <t>SRC_EPOCH_AI_DATA_CENTERS; EPOCH_RAW_CHIP_QUANTITIES</t>
        </is>
      </c>
      <c r="R303" s="3" t="inlineStr">
        <is>
          <t>Latest chip quantity per chip type through year-end; normalized by unit count into benchmark buckets.</t>
        </is>
      </c>
    </row>
    <row r="304">
      <c r="A304" s="3" t="inlineStr">
        <is>
          <t>Grid-Constrained / Efficiency-Upside|Google Pryor (North)|2029</t>
        </is>
      </c>
      <c r="B304" s="3" t="inlineStr">
        <is>
          <t>Grid-Constrained / Efficiency-Upside</t>
        </is>
      </c>
      <c r="C304" s="3" t="inlineStr">
        <is>
          <t>Google Pryor (North)</t>
        </is>
      </c>
      <c r="D304" s="3" t="n">
        <v>2029</v>
      </c>
      <c r="E304" s="3" t="inlineStr">
        <is>
          <t>Google</t>
        </is>
      </c>
      <c r="F304" s="17" t="n">
        <v>0</v>
      </c>
      <c r="G304" s="17" t="n">
        <v>0</v>
      </c>
      <c r="H304" s="17" t="n">
        <v>0</v>
      </c>
      <c r="I304" s="17" t="n">
        <v>0</v>
      </c>
      <c r="J304" s="17" t="n">
        <v>1</v>
      </c>
      <c r="K304" s="17" t="n">
        <v>0</v>
      </c>
      <c r="L304" s="17" t="n">
        <v>0</v>
      </c>
      <c r="M304" s="17" t="n">
        <v>0</v>
      </c>
      <c r="N304" s="17" t="n">
        <v>0</v>
      </c>
      <c r="O304" s="26" t="n">
        <v>1</v>
      </c>
      <c r="P304" s="3" t="inlineStr">
        <is>
          <t>epoch_chip_quantity_latest</t>
        </is>
      </c>
      <c r="Q304" s="3" t="inlineStr">
        <is>
          <t>SRC_EPOCH_AI_DATA_CENTERS; EPOCH_RAW_CHIP_QUANTITIES</t>
        </is>
      </c>
      <c r="R304" s="3" t="inlineStr">
        <is>
          <t>Latest chip quantity per chip type through year-end; normalized by unit count into benchmark buckets.</t>
        </is>
      </c>
    </row>
    <row r="305">
      <c r="A305" s="3" t="inlineStr">
        <is>
          <t>Grid-Constrained / Efficiency-Upside|Google Pryor (North)|2030</t>
        </is>
      </c>
      <c r="B305" s="3" t="inlineStr">
        <is>
          <t>Grid-Constrained / Efficiency-Upside</t>
        </is>
      </c>
      <c r="C305" s="3" t="inlineStr">
        <is>
          <t>Google Pryor (North)</t>
        </is>
      </c>
      <c r="D305" s="3" t="n">
        <v>2030</v>
      </c>
      <c r="E305" s="3" t="inlineStr">
        <is>
          <t>Google</t>
        </is>
      </c>
      <c r="F305" s="17" t="n">
        <v>0</v>
      </c>
      <c r="G305" s="17" t="n">
        <v>0</v>
      </c>
      <c r="H305" s="17" t="n">
        <v>0</v>
      </c>
      <c r="I305" s="17" t="n">
        <v>0</v>
      </c>
      <c r="J305" s="17" t="n">
        <v>1</v>
      </c>
      <c r="K305" s="17" t="n">
        <v>0</v>
      </c>
      <c r="L305" s="17" t="n">
        <v>0</v>
      </c>
      <c r="M305" s="17" t="n">
        <v>0</v>
      </c>
      <c r="N305" s="17" t="n">
        <v>0</v>
      </c>
      <c r="O305" s="26" t="n">
        <v>1</v>
      </c>
      <c r="P305" s="3" t="inlineStr">
        <is>
          <t>epoch_chip_quantity_latest</t>
        </is>
      </c>
      <c r="Q305" s="3" t="inlineStr">
        <is>
          <t>SRC_EPOCH_AI_DATA_CENTERS; EPOCH_RAW_CHIP_QUANTITIES</t>
        </is>
      </c>
      <c r="R305" s="3" t="inlineStr">
        <is>
          <t>Latest chip quantity per chip type through year-end; normalized by unit count into benchmark buckets.</t>
        </is>
      </c>
    </row>
    <row r="306">
      <c r="A306" s="3" t="inlineStr">
        <is>
          <t>Bear|Google Storey County|2026</t>
        </is>
      </c>
      <c r="B306" s="3" t="inlineStr">
        <is>
          <t>Bear</t>
        </is>
      </c>
      <c r="C306" s="3" t="inlineStr">
        <is>
          <t>Google Storey County</t>
        </is>
      </c>
      <c r="D306" s="3" t="n">
        <v>2026</v>
      </c>
      <c r="E306" s="3" t="inlineStr">
        <is>
          <t>Google</t>
        </is>
      </c>
      <c r="F306" s="17" t="n">
        <v>0</v>
      </c>
      <c r="G306" s="17" t="n">
        <v>0</v>
      </c>
      <c r="H306" s="17" t="n">
        <v>0</v>
      </c>
      <c r="I306" s="17" t="n">
        <v>0</v>
      </c>
      <c r="J306" s="17" t="n">
        <v>1</v>
      </c>
      <c r="K306" s="17" t="n">
        <v>0</v>
      </c>
      <c r="L306" s="17" t="n">
        <v>0</v>
      </c>
      <c r="M306" s="17" t="n">
        <v>0</v>
      </c>
      <c r="N306" s="17" t="n">
        <v>0</v>
      </c>
      <c r="O306" s="26" t="n">
        <v>1</v>
      </c>
      <c r="P306" s="3" t="inlineStr">
        <is>
          <t>epoch_chip_quantity_latest</t>
        </is>
      </c>
      <c r="Q306" s="3" t="inlineStr">
        <is>
          <t>SRC_EPOCH_AI_DATA_CENTERS; EPOCH_RAW_CHIP_QUANTITIES</t>
        </is>
      </c>
      <c r="R306" s="3" t="inlineStr">
        <is>
          <t>Latest chip quantity per chip type through year-end; normalized by unit count into benchmark buckets.</t>
        </is>
      </c>
    </row>
    <row r="307">
      <c r="A307" s="3" t="inlineStr">
        <is>
          <t>Bear|Google Storey County|2027</t>
        </is>
      </c>
      <c r="B307" s="3" t="inlineStr">
        <is>
          <t>Bear</t>
        </is>
      </c>
      <c r="C307" s="3" t="inlineStr">
        <is>
          <t>Google Storey County</t>
        </is>
      </c>
      <c r="D307" s="3" t="n">
        <v>2027</v>
      </c>
      <c r="E307" s="3" t="inlineStr">
        <is>
          <t>Google</t>
        </is>
      </c>
      <c r="F307" s="17" t="n">
        <v>0</v>
      </c>
      <c r="G307" s="17" t="n">
        <v>0</v>
      </c>
      <c r="H307" s="17" t="n">
        <v>0</v>
      </c>
      <c r="I307" s="17" t="n">
        <v>0</v>
      </c>
      <c r="J307" s="17" t="n">
        <v>1</v>
      </c>
      <c r="K307" s="17" t="n">
        <v>0</v>
      </c>
      <c r="L307" s="17" t="n">
        <v>0</v>
      </c>
      <c r="M307" s="17" t="n">
        <v>0</v>
      </c>
      <c r="N307" s="17" t="n">
        <v>0</v>
      </c>
      <c r="O307" s="26" t="n">
        <v>1</v>
      </c>
      <c r="P307" s="3" t="inlineStr">
        <is>
          <t>epoch_chip_quantity_latest</t>
        </is>
      </c>
      <c r="Q307" s="3" t="inlineStr">
        <is>
          <t>SRC_EPOCH_AI_DATA_CENTERS; EPOCH_RAW_CHIP_QUANTITIES</t>
        </is>
      </c>
      <c r="R307" s="3" t="inlineStr">
        <is>
          <t>Latest chip quantity per chip type through year-end; normalized by unit count into benchmark buckets.</t>
        </is>
      </c>
    </row>
    <row r="308">
      <c r="A308" s="3" t="inlineStr">
        <is>
          <t>Bear|Google Storey County|2028</t>
        </is>
      </c>
      <c r="B308" s="3" t="inlineStr">
        <is>
          <t>Bear</t>
        </is>
      </c>
      <c r="C308" s="3" t="inlineStr">
        <is>
          <t>Google Storey County</t>
        </is>
      </c>
      <c r="D308" s="3" t="n">
        <v>2028</v>
      </c>
      <c r="E308" s="3" t="inlineStr">
        <is>
          <t>Google</t>
        </is>
      </c>
      <c r="F308" s="17" t="n">
        <v>0</v>
      </c>
      <c r="G308" s="17" t="n">
        <v>0</v>
      </c>
      <c r="H308" s="17" t="n">
        <v>0</v>
      </c>
      <c r="I308" s="17" t="n">
        <v>0</v>
      </c>
      <c r="J308" s="17" t="n">
        <v>1</v>
      </c>
      <c r="K308" s="17" t="n">
        <v>0</v>
      </c>
      <c r="L308" s="17" t="n">
        <v>0</v>
      </c>
      <c r="M308" s="17" t="n">
        <v>0</v>
      </c>
      <c r="N308" s="17" t="n">
        <v>0</v>
      </c>
      <c r="O308" s="26" t="n">
        <v>1</v>
      </c>
      <c r="P308" s="3" t="inlineStr">
        <is>
          <t>epoch_chip_quantity_latest</t>
        </is>
      </c>
      <c r="Q308" s="3" t="inlineStr">
        <is>
          <t>SRC_EPOCH_AI_DATA_CENTERS; EPOCH_RAW_CHIP_QUANTITIES</t>
        </is>
      </c>
      <c r="R308" s="3" t="inlineStr">
        <is>
          <t>Latest chip quantity per chip type through year-end; normalized by unit count into benchmark buckets.</t>
        </is>
      </c>
    </row>
    <row r="309">
      <c r="A309" s="3" t="inlineStr">
        <is>
          <t>Bear|Google Storey County|2029</t>
        </is>
      </c>
      <c r="B309" s="3" t="inlineStr">
        <is>
          <t>Bear</t>
        </is>
      </c>
      <c r="C309" s="3" t="inlineStr">
        <is>
          <t>Google Storey County</t>
        </is>
      </c>
      <c r="D309" s="3" t="n">
        <v>2029</v>
      </c>
      <c r="E309" s="3" t="inlineStr">
        <is>
          <t>Google</t>
        </is>
      </c>
      <c r="F309" s="17" t="n">
        <v>0</v>
      </c>
      <c r="G309" s="17" t="n">
        <v>0</v>
      </c>
      <c r="H309" s="17" t="n">
        <v>0</v>
      </c>
      <c r="I309" s="17" t="n">
        <v>0</v>
      </c>
      <c r="J309" s="17" t="n">
        <v>1</v>
      </c>
      <c r="K309" s="17" t="n">
        <v>0</v>
      </c>
      <c r="L309" s="17" t="n">
        <v>0</v>
      </c>
      <c r="M309" s="17" t="n">
        <v>0</v>
      </c>
      <c r="N309" s="17" t="n">
        <v>0</v>
      </c>
      <c r="O309" s="26" t="n">
        <v>1</v>
      </c>
      <c r="P309" s="3" t="inlineStr">
        <is>
          <t>epoch_chip_quantity_latest</t>
        </is>
      </c>
      <c r="Q309" s="3" t="inlineStr">
        <is>
          <t>SRC_EPOCH_AI_DATA_CENTERS; EPOCH_RAW_CHIP_QUANTITIES</t>
        </is>
      </c>
      <c r="R309" s="3" t="inlineStr">
        <is>
          <t>Latest chip quantity per chip type through year-end; normalized by unit count into benchmark buckets.</t>
        </is>
      </c>
    </row>
    <row r="310">
      <c r="A310" s="3" t="inlineStr">
        <is>
          <t>Bear|Google Storey County|2030</t>
        </is>
      </c>
      <c r="B310" s="3" t="inlineStr">
        <is>
          <t>Bear</t>
        </is>
      </c>
      <c r="C310" s="3" t="inlineStr">
        <is>
          <t>Google Storey County</t>
        </is>
      </c>
      <c r="D310" s="3" t="n">
        <v>2030</v>
      </c>
      <c r="E310" s="3" t="inlineStr">
        <is>
          <t>Google</t>
        </is>
      </c>
      <c r="F310" s="17" t="n">
        <v>0</v>
      </c>
      <c r="G310" s="17" t="n">
        <v>0</v>
      </c>
      <c r="H310" s="17" t="n">
        <v>0</v>
      </c>
      <c r="I310" s="17" t="n">
        <v>0</v>
      </c>
      <c r="J310" s="17" t="n">
        <v>1</v>
      </c>
      <c r="K310" s="17" t="n">
        <v>0</v>
      </c>
      <c r="L310" s="17" t="n">
        <v>0</v>
      </c>
      <c r="M310" s="17" t="n">
        <v>0</v>
      </c>
      <c r="N310" s="17" t="n">
        <v>0</v>
      </c>
      <c r="O310" s="26" t="n">
        <v>1</v>
      </c>
      <c r="P310" s="3" t="inlineStr">
        <is>
          <t>epoch_chip_quantity_latest</t>
        </is>
      </c>
      <c r="Q310" s="3" t="inlineStr">
        <is>
          <t>SRC_EPOCH_AI_DATA_CENTERS; EPOCH_RAW_CHIP_QUANTITIES</t>
        </is>
      </c>
      <c r="R310" s="3" t="inlineStr">
        <is>
          <t>Latest chip quantity per chip type through year-end; normalized by unit count into benchmark buckets.</t>
        </is>
      </c>
    </row>
    <row r="311">
      <c r="A311" s="3" t="inlineStr">
        <is>
          <t>Base|Google Storey County|2026</t>
        </is>
      </c>
      <c r="B311" s="3" t="inlineStr">
        <is>
          <t>Base</t>
        </is>
      </c>
      <c r="C311" s="3" t="inlineStr">
        <is>
          <t>Google Storey County</t>
        </is>
      </c>
      <c r="D311" s="3" t="n">
        <v>2026</v>
      </c>
      <c r="E311" s="3" t="inlineStr">
        <is>
          <t>Google</t>
        </is>
      </c>
      <c r="F311" s="17" t="n">
        <v>0</v>
      </c>
      <c r="G311" s="17" t="n">
        <v>0</v>
      </c>
      <c r="H311" s="17" t="n">
        <v>0</v>
      </c>
      <c r="I311" s="17" t="n">
        <v>0</v>
      </c>
      <c r="J311" s="17" t="n">
        <v>1</v>
      </c>
      <c r="K311" s="17" t="n">
        <v>0</v>
      </c>
      <c r="L311" s="17" t="n">
        <v>0</v>
      </c>
      <c r="M311" s="17" t="n">
        <v>0</v>
      </c>
      <c r="N311" s="17" t="n">
        <v>0</v>
      </c>
      <c r="O311" s="26" t="n">
        <v>1</v>
      </c>
      <c r="P311" s="3" t="inlineStr">
        <is>
          <t>epoch_chip_quantity_latest</t>
        </is>
      </c>
      <c r="Q311" s="3" t="inlineStr">
        <is>
          <t>SRC_EPOCH_AI_DATA_CENTERS; EPOCH_RAW_CHIP_QUANTITIES</t>
        </is>
      </c>
      <c r="R311" s="3" t="inlineStr">
        <is>
          <t>Latest chip quantity per chip type through year-end; normalized by unit count into benchmark buckets.</t>
        </is>
      </c>
    </row>
    <row r="312">
      <c r="A312" s="3" t="inlineStr">
        <is>
          <t>Base|Google Storey County|2027</t>
        </is>
      </c>
      <c r="B312" s="3" t="inlineStr">
        <is>
          <t>Base</t>
        </is>
      </c>
      <c r="C312" s="3" t="inlineStr">
        <is>
          <t>Google Storey County</t>
        </is>
      </c>
      <c r="D312" s="3" t="n">
        <v>2027</v>
      </c>
      <c r="E312" s="3" t="inlineStr">
        <is>
          <t>Google</t>
        </is>
      </c>
      <c r="F312" s="17" t="n">
        <v>0</v>
      </c>
      <c r="G312" s="17" t="n">
        <v>0</v>
      </c>
      <c r="H312" s="17" t="n">
        <v>0</v>
      </c>
      <c r="I312" s="17" t="n">
        <v>0</v>
      </c>
      <c r="J312" s="17" t="n">
        <v>1</v>
      </c>
      <c r="K312" s="17" t="n">
        <v>0</v>
      </c>
      <c r="L312" s="17" t="n">
        <v>0</v>
      </c>
      <c r="M312" s="17" t="n">
        <v>0</v>
      </c>
      <c r="N312" s="17" t="n">
        <v>0</v>
      </c>
      <c r="O312" s="26" t="n">
        <v>1</v>
      </c>
      <c r="P312" s="3" t="inlineStr">
        <is>
          <t>epoch_chip_quantity_latest</t>
        </is>
      </c>
      <c r="Q312" s="3" t="inlineStr">
        <is>
          <t>SRC_EPOCH_AI_DATA_CENTERS; EPOCH_RAW_CHIP_QUANTITIES</t>
        </is>
      </c>
      <c r="R312" s="3" t="inlineStr">
        <is>
          <t>Latest chip quantity per chip type through year-end; normalized by unit count into benchmark buckets.</t>
        </is>
      </c>
    </row>
    <row r="313">
      <c r="A313" s="3" t="inlineStr">
        <is>
          <t>Base|Google Storey County|2028</t>
        </is>
      </c>
      <c r="B313" s="3" t="inlineStr">
        <is>
          <t>Base</t>
        </is>
      </c>
      <c r="C313" s="3" t="inlineStr">
        <is>
          <t>Google Storey County</t>
        </is>
      </c>
      <c r="D313" s="3" t="n">
        <v>2028</v>
      </c>
      <c r="E313" s="3" t="inlineStr">
        <is>
          <t>Google</t>
        </is>
      </c>
      <c r="F313" s="17" t="n">
        <v>0</v>
      </c>
      <c r="G313" s="17" t="n">
        <v>0</v>
      </c>
      <c r="H313" s="17" t="n">
        <v>0</v>
      </c>
      <c r="I313" s="17" t="n">
        <v>0</v>
      </c>
      <c r="J313" s="17" t="n">
        <v>1</v>
      </c>
      <c r="K313" s="17" t="n">
        <v>0</v>
      </c>
      <c r="L313" s="17" t="n">
        <v>0</v>
      </c>
      <c r="M313" s="17" t="n">
        <v>0</v>
      </c>
      <c r="N313" s="17" t="n">
        <v>0</v>
      </c>
      <c r="O313" s="26" t="n">
        <v>1</v>
      </c>
      <c r="P313" s="3" t="inlineStr">
        <is>
          <t>epoch_chip_quantity_latest</t>
        </is>
      </c>
      <c r="Q313" s="3" t="inlineStr">
        <is>
          <t>SRC_EPOCH_AI_DATA_CENTERS; EPOCH_RAW_CHIP_QUANTITIES</t>
        </is>
      </c>
      <c r="R313" s="3" t="inlineStr">
        <is>
          <t>Latest chip quantity per chip type through year-end; normalized by unit count into benchmark buckets.</t>
        </is>
      </c>
    </row>
    <row r="314">
      <c r="A314" s="3" t="inlineStr">
        <is>
          <t>Base|Google Storey County|2029</t>
        </is>
      </c>
      <c r="B314" s="3" t="inlineStr">
        <is>
          <t>Base</t>
        </is>
      </c>
      <c r="C314" s="3" t="inlineStr">
        <is>
          <t>Google Storey County</t>
        </is>
      </c>
      <c r="D314" s="3" t="n">
        <v>2029</v>
      </c>
      <c r="E314" s="3" t="inlineStr">
        <is>
          <t>Google</t>
        </is>
      </c>
      <c r="F314" s="17" t="n">
        <v>0</v>
      </c>
      <c r="G314" s="17" t="n">
        <v>0</v>
      </c>
      <c r="H314" s="17" t="n">
        <v>0</v>
      </c>
      <c r="I314" s="17" t="n">
        <v>0</v>
      </c>
      <c r="J314" s="17" t="n">
        <v>1</v>
      </c>
      <c r="K314" s="17" t="n">
        <v>0</v>
      </c>
      <c r="L314" s="17" t="n">
        <v>0</v>
      </c>
      <c r="M314" s="17" t="n">
        <v>0</v>
      </c>
      <c r="N314" s="17" t="n">
        <v>0</v>
      </c>
      <c r="O314" s="26" t="n">
        <v>1</v>
      </c>
      <c r="P314" s="3" t="inlineStr">
        <is>
          <t>epoch_chip_quantity_latest</t>
        </is>
      </c>
      <c r="Q314" s="3" t="inlineStr">
        <is>
          <t>SRC_EPOCH_AI_DATA_CENTERS; EPOCH_RAW_CHIP_QUANTITIES</t>
        </is>
      </c>
      <c r="R314" s="3" t="inlineStr">
        <is>
          <t>Latest chip quantity per chip type through year-end; normalized by unit count into benchmark buckets.</t>
        </is>
      </c>
    </row>
    <row r="315">
      <c r="A315" s="3" t="inlineStr">
        <is>
          <t>Base|Google Storey County|2030</t>
        </is>
      </c>
      <c r="B315" s="3" t="inlineStr">
        <is>
          <t>Base</t>
        </is>
      </c>
      <c r="C315" s="3" t="inlineStr">
        <is>
          <t>Google Storey County</t>
        </is>
      </c>
      <c r="D315" s="3" t="n">
        <v>2030</v>
      </c>
      <c r="E315" s="3" t="inlineStr">
        <is>
          <t>Google</t>
        </is>
      </c>
      <c r="F315" s="17" t="n">
        <v>0</v>
      </c>
      <c r="G315" s="17" t="n">
        <v>0</v>
      </c>
      <c r="H315" s="17" t="n">
        <v>0</v>
      </c>
      <c r="I315" s="17" t="n">
        <v>0</v>
      </c>
      <c r="J315" s="17" t="n">
        <v>1</v>
      </c>
      <c r="K315" s="17" t="n">
        <v>0</v>
      </c>
      <c r="L315" s="17" t="n">
        <v>0</v>
      </c>
      <c r="M315" s="17" t="n">
        <v>0</v>
      </c>
      <c r="N315" s="17" t="n">
        <v>0</v>
      </c>
      <c r="O315" s="26" t="n">
        <v>1</v>
      </c>
      <c r="P315" s="3" t="inlineStr">
        <is>
          <t>epoch_chip_quantity_latest</t>
        </is>
      </c>
      <c r="Q315" s="3" t="inlineStr">
        <is>
          <t>SRC_EPOCH_AI_DATA_CENTERS; EPOCH_RAW_CHIP_QUANTITIES</t>
        </is>
      </c>
      <c r="R315" s="3" t="inlineStr">
        <is>
          <t>Latest chip quantity per chip type through year-end; normalized by unit count into benchmark buckets.</t>
        </is>
      </c>
    </row>
    <row r="316">
      <c r="A316" s="3" t="inlineStr">
        <is>
          <t>Bull|Google Storey County|2026</t>
        </is>
      </c>
      <c r="B316" s="3" t="inlineStr">
        <is>
          <t>Bull</t>
        </is>
      </c>
      <c r="C316" s="3" t="inlineStr">
        <is>
          <t>Google Storey County</t>
        </is>
      </c>
      <c r="D316" s="3" t="n">
        <v>2026</v>
      </c>
      <c r="E316" s="3" t="inlineStr">
        <is>
          <t>Google</t>
        </is>
      </c>
      <c r="F316" s="17" t="n">
        <v>0</v>
      </c>
      <c r="G316" s="17" t="n">
        <v>0</v>
      </c>
      <c r="H316" s="17" t="n">
        <v>0</v>
      </c>
      <c r="I316" s="17" t="n">
        <v>0</v>
      </c>
      <c r="J316" s="17" t="n">
        <v>1</v>
      </c>
      <c r="K316" s="17" t="n">
        <v>0</v>
      </c>
      <c r="L316" s="17" t="n">
        <v>0</v>
      </c>
      <c r="M316" s="17" t="n">
        <v>0</v>
      </c>
      <c r="N316" s="17" t="n">
        <v>0</v>
      </c>
      <c r="O316" s="26" t="n">
        <v>1</v>
      </c>
      <c r="P316" s="3" t="inlineStr">
        <is>
          <t>epoch_chip_quantity_latest</t>
        </is>
      </c>
      <c r="Q316" s="3" t="inlineStr">
        <is>
          <t>SRC_EPOCH_AI_DATA_CENTERS; EPOCH_RAW_CHIP_QUANTITIES</t>
        </is>
      </c>
      <c r="R316" s="3" t="inlineStr">
        <is>
          <t>Latest chip quantity per chip type through year-end; normalized by unit count into benchmark buckets.</t>
        </is>
      </c>
    </row>
    <row r="317">
      <c r="A317" s="3" t="inlineStr">
        <is>
          <t>Bull|Google Storey County|2027</t>
        </is>
      </c>
      <c r="B317" s="3" t="inlineStr">
        <is>
          <t>Bull</t>
        </is>
      </c>
      <c r="C317" s="3" t="inlineStr">
        <is>
          <t>Google Storey County</t>
        </is>
      </c>
      <c r="D317" s="3" t="n">
        <v>2027</v>
      </c>
      <c r="E317" s="3" t="inlineStr">
        <is>
          <t>Google</t>
        </is>
      </c>
      <c r="F317" s="17" t="n">
        <v>0</v>
      </c>
      <c r="G317" s="17" t="n">
        <v>0</v>
      </c>
      <c r="H317" s="17" t="n">
        <v>0</v>
      </c>
      <c r="I317" s="17" t="n">
        <v>0</v>
      </c>
      <c r="J317" s="17" t="n">
        <v>1</v>
      </c>
      <c r="K317" s="17" t="n">
        <v>0</v>
      </c>
      <c r="L317" s="17" t="n">
        <v>0</v>
      </c>
      <c r="M317" s="17" t="n">
        <v>0</v>
      </c>
      <c r="N317" s="17" t="n">
        <v>0</v>
      </c>
      <c r="O317" s="26" t="n">
        <v>1</v>
      </c>
      <c r="P317" s="3" t="inlineStr">
        <is>
          <t>epoch_chip_quantity_latest</t>
        </is>
      </c>
      <c r="Q317" s="3" t="inlineStr">
        <is>
          <t>SRC_EPOCH_AI_DATA_CENTERS; EPOCH_RAW_CHIP_QUANTITIES</t>
        </is>
      </c>
      <c r="R317" s="3" t="inlineStr">
        <is>
          <t>Latest chip quantity per chip type through year-end; normalized by unit count into benchmark buckets.</t>
        </is>
      </c>
    </row>
    <row r="318">
      <c r="A318" s="3" t="inlineStr">
        <is>
          <t>Bull|Google Storey County|2028</t>
        </is>
      </c>
      <c r="B318" s="3" t="inlineStr">
        <is>
          <t>Bull</t>
        </is>
      </c>
      <c r="C318" s="3" t="inlineStr">
        <is>
          <t>Google Storey County</t>
        </is>
      </c>
      <c r="D318" s="3" t="n">
        <v>2028</v>
      </c>
      <c r="E318" s="3" t="inlineStr">
        <is>
          <t>Google</t>
        </is>
      </c>
      <c r="F318" s="17" t="n">
        <v>0</v>
      </c>
      <c r="G318" s="17" t="n">
        <v>0</v>
      </c>
      <c r="H318" s="17" t="n">
        <v>0</v>
      </c>
      <c r="I318" s="17" t="n">
        <v>0</v>
      </c>
      <c r="J318" s="17" t="n">
        <v>1</v>
      </c>
      <c r="K318" s="17" t="n">
        <v>0</v>
      </c>
      <c r="L318" s="17" t="n">
        <v>0</v>
      </c>
      <c r="M318" s="17" t="n">
        <v>0</v>
      </c>
      <c r="N318" s="17" t="n">
        <v>0</v>
      </c>
      <c r="O318" s="26" t="n">
        <v>1</v>
      </c>
      <c r="P318" s="3" t="inlineStr">
        <is>
          <t>epoch_chip_quantity_latest</t>
        </is>
      </c>
      <c r="Q318" s="3" t="inlineStr">
        <is>
          <t>SRC_EPOCH_AI_DATA_CENTERS; EPOCH_RAW_CHIP_QUANTITIES</t>
        </is>
      </c>
      <c r="R318" s="3" t="inlineStr">
        <is>
          <t>Latest chip quantity per chip type through year-end; normalized by unit count into benchmark buckets.</t>
        </is>
      </c>
    </row>
    <row r="319">
      <c r="A319" s="3" t="inlineStr">
        <is>
          <t>Bull|Google Storey County|2029</t>
        </is>
      </c>
      <c r="B319" s="3" t="inlineStr">
        <is>
          <t>Bull</t>
        </is>
      </c>
      <c r="C319" s="3" t="inlineStr">
        <is>
          <t>Google Storey County</t>
        </is>
      </c>
      <c r="D319" s="3" t="n">
        <v>2029</v>
      </c>
      <c r="E319" s="3" t="inlineStr">
        <is>
          <t>Google</t>
        </is>
      </c>
      <c r="F319" s="17" t="n">
        <v>0</v>
      </c>
      <c r="G319" s="17" t="n">
        <v>0</v>
      </c>
      <c r="H319" s="17" t="n">
        <v>0</v>
      </c>
      <c r="I319" s="17" t="n">
        <v>0</v>
      </c>
      <c r="J319" s="17" t="n">
        <v>1</v>
      </c>
      <c r="K319" s="17" t="n">
        <v>0</v>
      </c>
      <c r="L319" s="17" t="n">
        <v>0</v>
      </c>
      <c r="M319" s="17" t="n">
        <v>0</v>
      </c>
      <c r="N319" s="17" t="n">
        <v>0</v>
      </c>
      <c r="O319" s="26" t="n">
        <v>1</v>
      </c>
      <c r="P319" s="3" t="inlineStr">
        <is>
          <t>epoch_chip_quantity_latest</t>
        </is>
      </c>
      <c r="Q319" s="3" t="inlineStr">
        <is>
          <t>SRC_EPOCH_AI_DATA_CENTERS; EPOCH_RAW_CHIP_QUANTITIES</t>
        </is>
      </c>
      <c r="R319" s="3" t="inlineStr">
        <is>
          <t>Latest chip quantity per chip type through year-end; normalized by unit count into benchmark buckets.</t>
        </is>
      </c>
    </row>
    <row r="320">
      <c r="A320" s="3" t="inlineStr">
        <is>
          <t>Bull|Google Storey County|2030</t>
        </is>
      </c>
      <c r="B320" s="3" t="inlineStr">
        <is>
          <t>Bull</t>
        </is>
      </c>
      <c r="C320" s="3" t="inlineStr">
        <is>
          <t>Google Storey County</t>
        </is>
      </c>
      <c r="D320" s="3" t="n">
        <v>2030</v>
      </c>
      <c r="E320" s="3" t="inlineStr">
        <is>
          <t>Google</t>
        </is>
      </c>
      <c r="F320" s="17" t="n">
        <v>0</v>
      </c>
      <c r="G320" s="17" t="n">
        <v>0</v>
      </c>
      <c r="H320" s="17" t="n">
        <v>0</v>
      </c>
      <c r="I320" s="17" t="n">
        <v>0</v>
      </c>
      <c r="J320" s="17" t="n">
        <v>1</v>
      </c>
      <c r="K320" s="17" t="n">
        <v>0</v>
      </c>
      <c r="L320" s="17" t="n">
        <v>0</v>
      </c>
      <c r="M320" s="17" t="n">
        <v>0</v>
      </c>
      <c r="N320" s="17" t="n">
        <v>0</v>
      </c>
      <c r="O320" s="26" t="n">
        <v>1</v>
      </c>
      <c r="P320" s="3" t="inlineStr">
        <is>
          <t>epoch_chip_quantity_latest</t>
        </is>
      </c>
      <c r="Q320" s="3" t="inlineStr">
        <is>
          <t>SRC_EPOCH_AI_DATA_CENTERS; EPOCH_RAW_CHIP_QUANTITIES</t>
        </is>
      </c>
      <c r="R320" s="3" t="inlineStr">
        <is>
          <t>Latest chip quantity per chip type through year-end; normalized by unit count into benchmark buckets.</t>
        </is>
      </c>
    </row>
    <row r="321">
      <c r="A321" s="3" t="inlineStr">
        <is>
          <t>Grid-Constrained / Efficiency-Upside|Google Storey County|2026</t>
        </is>
      </c>
      <c r="B321" s="3" t="inlineStr">
        <is>
          <t>Grid-Constrained / Efficiency-Upside</t>
        </is>
      </c>
      <c r="C321" s="3" t="inlineStr">
        <is>
          <t>Google Storey County</t>
        </is>
      </c>
      <c r="D321" s="3" t="n">
        <v>2026</v>
      </c>
      <c r="E321" s="3" t="inlineStr">
        <is>
          <t>Google</t>
        </is>
      </c>
      <c r="F321" s="17" t="n">
        <v>0</v>
      </c>
      <c r="G321" s="17" t="n">
        <v>0</v>
      </c>
      <c r="H321" s="17" t="n">
        <v>0</v>
      </c>
      <c r="I321" s="17" t="n">
        <v>0</v>
      </c>
      <c r="J321" s="17" t="n">
        <v>1</v>
      </c>
      <c r="K321" s="17" t="n">
        <v>0</v>
      </c>
      <c r="L321" s="17" t="n">
        <v>0</v>
      </c>
      <c r="M321" s="17" t="n">
        <v>0</v>
      </c>
      <c r="N321" s="17" t="n">
        <v>0</v>
      </c>
      <c r="O321" s="26" t="n">
        <v>1</v>
      </c>
      <c r="P321" s="3" t="inlineStr">
        <is>
          <t>epoch_chip_quantity_latest</t>
        </is>
      </c>
      <c r="Q321" s="3" t="inlineStr">
        <is>
          <t>SRC_EPOCH_AI_DATA_CENTERS; EPOCH_RAW_CHIP_QUANTITIES</t>
        </is>
      </c>
      <c r="R321" s="3" t="inlineStr">
        <is>
          <t>Latest chip quantity per chip type through year-end; normalized by unit count into benchmark buckets.</t>
        </is>
      </c>
    </row>
    <row r="322">
      <c r="A322" s="3" t="inlineStr">
        <is>
          <t>Grid-Constrained / Efficiency-Upside|Google Storey County|2027</t>
        </is>
      </c>
      <c r="B322" s="3" t="inlineStr">
        <is>
          <t>Grid-Constrained / Efficiency-Upside</t>
        </is>
      </c>
      <c r="C322" s="3" t="inlineStr">
        <is>
          <t>Google Storey County</t>
        </is>
      </c>
      <c r="D322" s="3" t="n">
        <v>2027</v>
      </c>
      <c r="E322" s="3" t="inlineStr">
        <is>
          <t>Google</t>
        </is>
      </c>
      <c r="F322" s="17" t="n">
        <v>0</v>
      </c>
      <c r="G322" s="17" t="n">
        <v>0</v>
      </c>
      <c r="H322" s="17" t="n">
        <v>0</v>
      </c>
      <c r="I322" s="17" t="n">
        <v>0</v>
      </c>
      <c r="J322" s="17" t="n">
        <v>1</v>
      </c>
      <c r="K322" s="17" t="n">
        <v>0</v>
      </c>
      <c r="L322" s="17" t="n">
        <v>0</v>
      </c>
      <c r="M322" s="17" t="n">
        <v>0</v>
      </c>
      <c r="N322" s="17" t="n">
        <v>0</v>
      </c>
      <c r="O322" s="26" t="n">
        <v>1</v>
      </c>
      <c r="P322" s="3" t="inlineStr">
        <is>
          <t>epoch_chip_quantity_latest</t>
        </is>
      </c>
      <c r="Q322" s="3" t="inlineStr">
        <is>
          <t>SRC_EPOCH_AI_DATA_CENTERS; EPOCH_RAW_CHIP_QUANTITIES</t>
        </is>
      </c>
      <c r="R322" s="3" t="inlineStr">
        <is>
          <t>Latest chip quantity per chip type through year-end; normalized by unit count into benchmark buckets.</t>
        </is>
      </c>
    </row>
    <row r="323">
      <c r="A323" s="3" t="inlineStr">
        <is>
          <t>Grid-Constrained / Efficiency-Upside|Google Storey County|2028</t>
        </is>
      </c>
      <c r="B323" s="3" t="inlineStr">
        <is>
          <t>Grid-Constrained / Efficiency-Upside</t>
        </is>
      </c>
      <c r="C323" s="3" t="inlineStr">
        <is>
          <t>Google Storey County</t>
        </is>
      </c>
      <c r="D323" s="3" t="n">
        <v>2028</v>
      </c>
      <c r="E323" s="3" t="inlineStr">
        <is>
          <t>Google</t>
        </is>
      </c>
      <c r="F323" s="17" t="n">
        <v>0</v>
      </c>
      <c r="G323" s="17" t="n">
        <v>0</v>
      </c>
      <c r="H323" s="17" t="n">
        <v>0</v>
      </c>
      <c r="I323" s="17" t="n">
        <v>0</v>
      </c>
      <c r="J323" s="17" t="n">
        <v>1</v>
      </c>
      <c r="K323" s="17" t="n">
        <v>0</v>
      </c>
      <c r="L323" s="17" t="n">
        <v>0</v>
      </c>
      <c r="M323" s="17" t="n">
        <v>0</v>
      </c>
      <c r="N323" s="17" t="n">
        <v>0</v>
      </c>
      <c r="O323" s="26" t="n">
        <v>1</v>
      </c>
      <c r="P323" s="3" t="inlineStr">
        <is>
          <t>epoch_chip_quantity_latest</t>
        </is>
      </c>
      <c r="Q323" s="3" t="inlineStr">
        <is>
          <t>SRC_EPOCH_AI_DATA_CENTERS; EPOCH_RAW_CHIP_QUANTITIES</t>
        </is>
      </c>
      <c r="R323" s="3" t="inlineStr">
        <is>
          <t>Latest chip quantity per chip type through year-end; normalized by unit count into benchmark buckets.</t>
        </is>
      </c>
    </row>
    <row r="324">
      <c r="A324" s="3" t="inlineStr">
        <is>
          <t>Grid-Constrained / Efficiency-Upside|Google Storey County|2029</t>
        </is>
      </c>
      <c r="B324" s="3" t="inlineStr">
        <is>
          <t>Grid-Constrained / Efficiency-Upside</t>
        </is>
      </c>
      <c r="C324" s="3" t="inlineStr">
        <is>
          <t>Google Storey County</t>
        </is>
      </c>
      <c r="D324" s="3" t="n">
        <v>2029</v>
      </c>
      <c r="E324" s="3" t="inlineStr">
        <is>
          <t>Google</t>
        </is>
      </c>
      <c r="F324" s="17" t="n">
        <v>0</v>
      </c>
      <c r="G324" s="17" t="n">
        <v>0</v>
      </c>
      <c r="H324" s="17" t="n">
        <v>0</v>
      </c>
      <c r="I324" s="17" t="n">
        <v>0</v>
      </c>
      <c r="J324" s="17" t="n">
        <v>1</v>
      </c>
      <c r="K324" s="17" t="n">
        <v>0</v>
      </c>
      <c r="L324" s="17" t="n">
        <v>0</v>
      </c>
      <c r="M324" s="17" t="n">
        <v>0</v>
      </c>
      <c r="N324" s="17" t="n">
        <v>0</v>
      </c>
      <c r="O324" s="26" t="n">
        <v>1</v>
      </c>
      <c r="P324" s="3" t="inlineStr">
        <is>
          <t>epoch_chip_quantity_latest</t>
        </is>
      </c>
      <c r="Q324" s="3" t="inlineStr">
        <is>
          <t>SRC_EPOCH_AI_DATA_CENTERS; EPOCH_RAW_CHIP_QUANTITIES</t>
        </is>
      </c>
      <c r="R324" s="3" t="inlineStr">
        <is>
          <t>Latest chip quantity per chip type through year-end; normalized by unit count into benchmark buckets.</t>
        </is>
      </c>
    </row>
    <row r="325">
      <c r="A325" s="3" t="inlineStr">
        <is>
          <t>Grid-Constrained / Efficiency-Upside|Google Storey County|2030</t>
        </is>
      </c>
      <c r="B325" s="3" t="inlineStr">
        <is>
          <t>Grid-Constrained / Efficiency-Upside</t>
        </is>
      </c>
      <c r="C325" s="3" t="inlineStr">
        <is>
          <t>Google Storey County</t>
        </is>
      </c>
      <c r="D325" s="3" t="n">
        <v>2030</v>
      </c>
      <c r="E325" s="3" t="inlineStr">
        <is>
          <t>Google</t>
        </is>
      </c>
      <c r="F325" s="17" t="n">
        <v>0</v>
      </c>
      <c r="G325" s="17" t="n">
        <v>0</v>
      </c>
      <c r="H325" s="17" t="n">
        <v>0</v>
      </c>
      <c r="I325" s="17" t="n">
        <v>0</v>
      </c>
      <c r="J325" s="17" t="n">
        <v>1</v>
      </c>
      <c r="K325" s="17" t="n">
        <v>0</v>
      </c>
      <c r="L325" s="17" t="n">
        <v>0</v>
      </c>
      <c r="M325" s="17" t="n">
        <v>0</v>
      </c>
      <c r="N325" s="17" t="n">
        <v>0</v>
      </c>
      <c r="O325" s="26" t="n">
        <v>1</v>
      </c>
      <c r="P325" s="3" t="inlineStr">
        <is>
          <t>epoch_chip_quantity_latest</t>
        </is>
      </c>
      <c r="Q325" s="3" t="inlineStr">
        <is>
          <t>SRC_EPOCH_AI_DATA_CENTERS; EPOCH_RAW_CHIP_QUANTITIES</t>
        </is>
      </c>
      <c r="R325" s="3" t="inlineStr">
        <is>
          <t>Latest chip quantity per chip type through year-end; normalized by unit count into benchmark buckets.</t>
        </is>
      </c>
    </row>
    <row r="326">
      <c r="A326" s="3" t="inlineStr">
        <is>
          <t>Bear|Google Waltham Cross|2026</t>
        </is>
      </c>
      <c r="B326" s="3" t="inlineStr">
        <is>
          <t>Bear</t>
        </is>
      </c>
      <c r="C326" s="3" t="inlineStr">
        <is>
          <t>Google Waltham Cross</t>
        </is>
      </c>
      <c r="D326" s="3" t="n">
        <v>2026</v>
      </c>
      <c r="E326" s="3" t="inlineStr">
        <is>
          <t>Google</t>
        </is>
      </c>
      <c r="F326" s="17" t="n">
        <v>0</v>
      </c>
      <c r="G326" s="17" t="n">
        <v>0</v>
      </c>
      <c r="H326" s="17" t="n">
        <v>0</v>
      </c>
      <c r="I326" s="17" t="n">
        <v>0</v>
      </c>
      <c r="J326" s="17" t="n">
        <v>1</v>
      </c>
      <c r="K326" s="17" t="n">
        <v>0</v>
      </c>
      <c r="L326" s="17" t="n">
        <v>0</v>
      </c>
      <c r="M326" s="17" t="n">
        <v>0</v>
      </c>
      <c r="N326" s="17" t="n">
        <v>0</v>
      </c>
      <c r="O326" s="26" t="n">
        <v>1</v>
      </c>
      <c r="P326" s="3" t="inlineStr">
        <is>
          <t>epoch_chip_quantity_latest</t>
        </is>
      </c>
      <c r="Q326" s="3" t="inlineStr">
        <is>
          <t>SRC_EPOCH_AI_DATA_CENTERS; EPOCH_RAW_CHIP_QUANTITIES</t>
        </is>
      </c>
      <c r="R326" s="3" t="inlineStr">
        <is>
          <t>Latest chip quantity per chip type through year-end; normalized by unit count into benchmark buckets.</t>
        </is>
      </c>
    </row>
    <row r="327">
      <c r="A327" s="3" t="inlineStr">
        <is>
          <t>Bear|Google Waltham Cross|2027</t>
        </is>
      </c>
      <c r="B327" s="3" t="inlineStr">
        <is>
          <t>Bear</t>
        </is>
      </c>
      <c r="C327" s="3" t="inlineStr">
        <is>
          <t>Google Waltham Cross</t>
        </is>
      </c>
      <c r="D327" s="3" t="n">
        <v>2027</v>
      </c>
      <c r="E327" s="3" t="inlineStr">
        <is>
          <t>Google</t>
        </is>
      </c>
      <c r="F327" s="17" t="n">
        <v>0</v>
      </c>
      <c r="G327" s="17" t="n">
        <v>0</v>
      </c>
      <c r="H327" s="17" t="n">
        <v>0</v>
      </c>
      <c r="I327" s="17" t="n">
        <v>0</v>
      </c>
      <c r="J327" s="17" t="n">
        <v>1</v>
      </c>
      <c r="K327" s="17" t="n">
        <v>0</v>
      </c>
      <c r="L327" s="17" t="n">
        <v>0</v>
      </c>
      <c r="M327" s="17" t="n">
        <v>0</v>
      </c>
      <c r="N327" s="17" t="n">
        <v>0</v>
      </c>
      <c r="O327" s="26" t="n">
        <v>1</v>
      </c>
      <c r="P327" s="3" t="inlineStr">
        <is>
          <t>epoch_chip_quantity_latest</t>
        </is>
      </c>
      <c r="Q327" s="3" t="inlineStr">
        <is>
          <t>SRC_EPOCH_AI_DATA_CENTERS; EPOCH_RAW_CHIP_QUANTITIES</t>
        </is>
      </c>
      <c r="R327" s="3" t="inlineStr">
        <is>
          <t>Latest chip quantity per chip type through year-end; normalized by unit count into benchmark buckets.</t>
        </is>
      </c>
    </row>
    <row r="328">
      <c r="A328" s="3" t="inlineStr">
        <is>
          <t>Bear|Google Waltham Cross|2028</t>
        </is>
      </c>
      <c r="B328" s="3" t="inlineStr">
        <is>
          <t>Bear</t>
        </is>
      </c>
      <c r="C328" s="3" t="inlineStr">
        <is>
          <t>Google Waltham Cross</t>
        </is>
      </c>
      <c r="D328" s="3" t="n">
        <v>2028</v>
      </c>
      <c r="E328" s="3" t="inlineStr">
        <is>
          <t>Google</t>
        </is>
      </c>
      <c r="F328" s="17" t="n">
        <v>0</v>
      </c>
      <c r="G328" s="17" t="n">
        <v>0</v>
      </c>
      <c r="H328" s="17" t="n">
        <v>0</v>
      </c>
      <c r="I328" s="17" t="n">
        <v>0</v>
      </c>
      <c r="J328" s="17" t="n">
        <v>1</v>
      </c>
      <c r="K328" s="17" t="n">
        <v>0</v>
      </c>
      <c r="L328" s="17" t="n">
        <v>0</v>
      </c>
      <c r="M328" s="17" t="n">
        <v>0</v>
      </c>
      <c r="N328" s="17" t="n">
        <v>0</v>
      </c>
      <c r="O328" s="26" t="n">
        <v>1</v>
      </c>
      <c r="P328" s="3" t="inlineStr">
        <is>
          <t>epoch_chip_quantity_latest</t>
        </is>
      </c>
      <c r="Q328" s="3" t="inlineStr">
        <is>
          <t>SRC_EPOCH_AI_DATA_CENTERS; EPOCH_RAW_CHIP_QUANTITIES</t>
        </is>
      </c>
      <c r="R328" s="3" t="inlineStr">
        <is>
          <t>Latest chip quantity per chip type through year-end; normalized by unit count into benchmark buckets.</t>
        </is>
      </c>
    </row>
    <row r="329">
      <c r="A329" s="3" t="inlineStr">
        <is>
          <t>Bear|Google Waltham Cross|2029</t>
        </is>
      </c>
      <c r="B329" s="3" t="inlineStr">
        <is>
          <t>Bear</t>
        </is>
      </c>
      <c r="C329" s="3" t="inlineStr">
        <is>
          <t>Google Waltham Cross</t>
        </is>
      </c>
      <c r="D329" s="3" t="n">
        <v>2029</v>
      </c>
      <c r="E329" s="3" t="inlineStr">
        <is>
          <t>Google</t>
        </is>
      </c>
      <c r="F329" s="17" t="n">
        <v>0</v>
      </c>
      <c r="G329" s="17" t="n">
        <v>0</v>
      </c>
      <c r="H329" s="17" t="n">
        <v>0</v>
      </c>
      <c r="I329" s="17" t="n">
        <v>0</v>
      </c>
      <c r="J329" s="17" t="n">
        <v>1</v>
      </c>
      <c r="K329" s="17" t="n">
        <v>0</v>
      </c>
      <c r="L329" s="17" t="n">
        <v>0</v>
      </c>
      <c r="M329" s="17" t="n">
        <v>0</v>
      </c>
      <c r="N329" s="17" t="n">
        <v>0</v>
      </c>
      <c r="O329" s="26" t="n">
        <v>1</v>
      </c>
      <c r="P329" s="3" t="inlineStr">
        <is>
          <t>epoch_chip_quantity_latest</t>
        </is>
      </c>
      <c r="Q329" s="3" t="inlineStr">
        <is>
          <t>SRC_EPOCH_AI_DATA_CENTERS; EPOCH_RAW_CHIP_QUANTITIES</t>
        </is>
      </c>
      <c r="R329" s="3" t="inlineStr">
        <is>
          <t>Latest chip quantity per chip type through year-end; normalized by unit count into benchmark buckets.</t>
        </is>
      </c>
    </row>
    <row r="330">
      <c r="A330" s="3" t="inlineStr">
        <is>
          <t>Bear|Google Waltham Cross|2030</t>
        </is>
      </c>
      <c r="B330" s="3" t="inlineStr">
        <is>
          <t>Bear</t>
        </is>
      </c>
      <c r="C330" s="3" t="inlineStr">
        <is>
          <t>Google Waltham Cross</t>
        </is>
      </c>
      <c r="D330" s="3" t="n">
        <v>2030</v>
      </c>
      <c r="E330" s="3" t="inlineStr">
        <is>
          <t>Google</t>
        </is>
      </c>
      <c r="F330" s="17" t="n">
        <v>0</v>
      </c>
      <c r="G330" s="17" t="n">
        <v>0</v>
      </c>
      <c r="H330" s="17" t="n">
        <v>0</v>
      </c>
      <c r="I330" s="17" t="n">
        <v>0</v>
      </c>
      <c r="J330" s="17" t="n">
        <v>1</v>
      </c>
      <c r="K330" s="17" t="n">
        <v>0</v>
      </c>
      <c r="L330" s="17" t="n">
        <v>0</v>
      </c>
      <c r="M330" s="17" t="n">
        <v>0</v>
      </c>
      <c r="N330" s="17" t="n">
        <v>0</v>
      </c>
      <c r="O330" s="26" t="n">
        <v>1</v>
      </c>
      <c r="P330" s="3" t="inlineStr">
        <is>
          <t>epoch_chip_quantity_latest</t>
        </is>
      </c>
      <c r="Q330" s="3" t="inlineStr">
        <is>
          <t>SRC_EPOCH_AI_DATA_CENTERS; EPOCH_RAW_CHIP_QUANTITIES</t>
        </is>
      </c>
      <c r="R330" s="3" t="inlineStr">
        <is>
          <t>Latest chip quantity per chip type through year-end; normalized by unit count into benchmark buckets.</t>
        </is>
      </c>
    </row>
    <row r="331">
      <c r="A331" s="3" t="inlineStr">
        <is>
          <t>Base|Google Waltham Cross|2026</t>
        </is>
      </c>
      <c r="B331" s="3" t="inlineStr">
        <is>
          <t>Base</t>
        </is>
      </c>
      <c r="C331" s="3" t="inlineStr">
        <is>
          <t>Google Waltham Cross</t>
        </is>
      </c>
      <c r="D331" s="3" t="n">
        <v>2026</v>
      </c>
      <c r="E331" s="3" t="inlineStr">
        <is>
          <t>Google</t>
        </is>
      </c>
      <c r="F331" s="17" t="n">
        <v>0</v>
      </c>
      <c r="G331" s="17" t="n">
        <v>0</v>
      </c>
      <c r="H331" s="17" t="n">
        <v>0</v>
      </c>
      <c r="I331" s="17" t="n">
        <v>0</v>
      </c>
      <c r="J331" s="17" t="n">
        <v>1</v>
      </c>
      <c r="K331" s="17" t="n">
        <v>0</v>
      </c>
      <c r="L331" s="17" t="n">
        <v>0</v>
      </c>
      <c r="M331" s="17" t="n">
        <v>0</v>
      </c>
      <c r="N331" s="17" t="n">
        <v>0</v>
      </c>
      <c r="O331" s="26" t="n">
        <v>1</v>
      </c>
      <c r="P331" s="3" t="inlineStr">
        <is>
          <t>epoch_chip_quantity_latest</t>
        </is>
      </c>
      <c r="Q331" s="3" t="inlineStr">
        <is>
          <t>SRC_EPOCH_AI_DATA_CENTERS; EPOCH_RAW_CHIP_QUANTITIES</t>
        </is>
      </c>
      <c r="R331" s="3" t="inlineStr">
        <is>
          <t>Latest chip quantity per chip type through year-end; normalized by unit count into benchmark buckets.</t>
        </is>
      </c>
    </row>
    <row r="332">
      <c r="A332" s="3" t="inlineStr">
        <is>
          <t>Base|Google Waltham Cross|2027</t>
        </is>
      </c>
      <c r="B332" s="3" t="inlineStr">
        <is>
          <t>Base</t>
        </is>
      </c>
      <c r="C332" s="3" t="inlineStr">
        <is>
          <t>Google Waltham Cross</t>
        </is>
      </c>
      <c r="D332" s="3" t="n">
        <v>2027</v>
      </c>
      <c r="E332" s="3" t="inlineStr">
        <is>
          <t>Google</t>
        </is>
      </c>
      <c r="F332" s="17" t="n">
        <v>0</v>
      </c>
      <c r="G332" s="17" t="n">
        <v>0</v>
      </c>
      <c r="H332" s="17" t="n">
        <v>0</v>
      </c>
      <c r="I332" s="17" t="n">
        <v>0</v>
      </c>
      <c r="J332" s="17" t="n">
        <v>1</v>
      </c>
      <c r="K332" s="17" t="n">
        <v>0</v>
      </c>
      <c r="L332" s="17" t="n">
        <v>0</v>
      </c>
      <c r="M332" s="17" t="n">
        <v>0</v>
      </c>
      <c r="N332" s="17" t="n">
        <v>0</v>
      </c>
      <c r="O332" s="26" t="n">
        <v>1</v>
      </c>
      <c r="P332" s="3" t="inlineStr">
        <is>
          <t>epoch_chip_quantity_latest</t>
        </is>
      </c>
      <c r="Q332" s="3" t="inlineStr">
        <is>
          <t>SRC_EPOCH_AI_DATA_CENTERS; EPOCH_RAW_CHIP_QUANTITIES</t>
        </is>
      </c>
      <c r="R332" s="3" t="inlineStr">
        <is>
          <t>Latest chip quantity per chip type through year-end; normalized by unit count into benchmark buckets.</t>
        </is>
      </c>
    </row>
    <row r="333">
      <c r="A333" s="3" t="inlineStr">
        <is>
          <t>Base|Google Waltham Cross|2028</t>
        </is>
      </c>
      <c r="B333" s="3" t="inlineStr">
        <is>
          <t>Base</t>
        </is>
      </c>
      <c r="C333" s="3" t="inlineStr">
        <is>
          <t>Google Waltham Cross</t>
        </is>
      </c>
      <c r="D333" s="3" t="n">
        <v>2028</v>
      </c>
      <c r="E333" s="3" t="inlineStr">
        <is>
          <t>Google</t>
        </is>
      </c>
      <c r="F333" s="17" t="n">
        <v>0</v>
      </c>
      <c r="G333" s="17" t="n">
        <v>0</v>
      </c>
      <c r="H333" s="17" t="n">
        <v>0</v>
      </c>
      <c r="I333" s="17" t="n">
        <v>0</v>
      </c>
      <c r="J333" s="17" t="n">
        <v>1</v>
      </c>
      <c r="K333" s="17" t="n">
        <v>0</v>
      </c>
      <c r="L333" s="17" t="n">
        <v>0</v>
      </c>
      <c r="M333" s="17" t="n">
        <v>0</v>
      </c>
      <c r="N333" s="17" t="n">
        <v>0</v>
      </c>
      <c r="O333" s="26" t="n">
        <v>1</v>
      </c>
      <c r="P333" s="3" t="inlineStr">
        <is>
          <t>epoch_chip_quantity_latest</t>
        </is>
      </c>
      <c r="Q333" s="3" t="inlineStr">
        <is>
          <t>SRC_EPOCH_AI_DATA_CENTERS; EPOCH_RAW_CHIP_QUANTITIES</t>
        </is>
      </c>
      <c r="R333" s="3" t="inlineStr">
        <is>
          <t>Latest chip quantity per chip type through year-end; normalized by unit count into benchmark buckets.</t>
        </is>
      </c>
    </row>
    <row r="334">
      <c r="A334" s="3" t="inlineStr">
        <is>
          <t>Base|Google Waltham Cross|2029</t>
        </is>
      </c>
      <c r="B334" s="3" t="inlineStr">
        <is>
          <t>Base</t>
        </is>
      </c>
      <c r="C334" s="3" t="inlineStr">
        <is>
          <t>Google Waltham Cross</t>
        </is>
      </c>
      <c r="D334" s="3" t="n">
        <v>2029</v>
      </c>
      <c r="E334" s="3" t="inlineStr">
        <is>
          <t>Google</t>
        </is>
      </c>
      <c r="F334" s="17" t="n">
        <v>0</v>
      </c>
      <c r="G334" s="17" t="n">
        <v>0</v>
      </c>
      <c r="H334" s="17" t="n">
        <v>0</v>
      </c>
      <c r="I334" s="17" t="n">
        <v>0</v>
      </c>
      <c r="J334" s="17" t="n">
        <v>1</v>
      </c>
      <c r="K334" s="17" t="n">
        <v>0</v>
      </c>
      <c r="L334" s="17" t="n">
        <v>0</v>
      </c>
      <c r="M334" s="17" t="n">
        <v>0</v>
      </c>
      <c r="N334" s="17" t="n">
        <v>0</v>
      </c>
      <c r="O334" s="26" t="n">
        <v>1</v>
      </c>
      <c r="P334" s="3" t="inlineStr">
        <is>
          <t>epoch_chip_quantity_latest</t>
        </is>
      </c>
      <c r="Q334" s="3" t="inlineStr">
        <is>
          <t>SRC_EPOCH_AI_DATA_CENTERS; EPOCH_RAW_CHIP_QUANTITIES</t>
        </is>
      </c>
      <c r="R334" s="3" t="inlineStr">
        <is>
          <t>Latest chip quantity per chip type through year-end; normalized by unit count into benchmark buckets.</t>
        </is>
      </c>
    </row>
    <row r="335">
      <c r="A335" s="3" t="inlineStr">
        <is>
          <t>Base|Google Waltham Cross|2030</t>
        </is>
      </c>
      <c r="B335" s="3" t="inlineStr">
        <is>
          <t>Base</t>
        </is>
      </c>
      <c r="C335" s="3" t="inlineStr">
        <is>
          <t>Google Waltham Cross</t>
        </is>
      </c>
      <c r="D335" s="3" t="n">
        <v>2030</v>
      </c>
      <c r="E335" s="3" t="inlineStr">
        <is>
          <t>Google</t>
        </is>
      </c>
      <c r="F335" s="17" t="n">
        <v>0</v>
      </c>
      <c r="G335" s="17" t="n">
        <v>0</v>
      </c>
      <c r="H335" s="17" t="n">
        <v>0</v>
      </c>
      <c r="I335" s="17" t="n">
        <v>0</v>
      </c>
      <c r="J335" s="17" t="n">
        <v>1</v>
      </c>
      <c r="K335" s="17" t="n">
        <v>0</v>
      </c>
      <c r="L335" s="17" t="n">
        <v>0</v>
      </c>
      <c r="M335" s="17" t="n">
        <v>0</v>
      </c>
      <c r="N335" s="17" t="n">
        <v>0</v>
      </c>
      <c r="O335" s="26" t="n">
        <v>1</v>
      </c>
      <c r="P335" s="3" t="inlineStr">
        <is>
          <t>epoch_chip_quantity_latest</t>
        </is>
      </c>
      <c r="Q335" s="3" t="inlineStr">
        <is>
          <t>SRC_EPOCH_AI_DATA_CENTERS; EPOCH_RAW_CHIP_QUANTITIES</t>
        </is>
      </c>
      <c r="R335" s="3" t="inlineStr">
        <is>
          <t>Latest chip quantity per chip type through year-end; normalized by unit count into benchmark buckets.</t>
        </is>
      </c>
    </row>
    <row r="336">
      <c r="A336" s="3" t="inlineStr">
        <is>
          <t>Bull|Google Waltham Cross|2026</t>
        </is>
      </c>
      <c r="B336" s="3" t="inlineStr">
        <is>
          <t>Bull</t>
        </is>
      </c>
      <c r="C336" s="3" t="inlineStr">
        <is>
          <t>Google Waltham Cross</t>
        </is>
      </c>
      <c r="D336" s="3" t="n">
        <v>2026</v>
      </c>
      <c r="E336" s="3" t="inlineStr">
        <is>
          <t>Google</t>
        </is>
      </c>
      <c r="F336" s="17" t="n">
        <v>0</v>
      </c>
      <c r="G336" s="17" t="n">
        <v>0</v>
      </c>
      <c r="H336" s="17" t="n">
        <v>0</v>
      </c>
      <c r="I336" s="17" t="n">
        <v>0</v>
      </c>
      <c r="J336" s="17" t="n">
        <v>1</v>
      </c>
      <c r="K336" s="17" t="n">
        <v>0</v>
      </c>
      <c r="L336" s="17" t="n">
        <v>0</v>
      </c>
      <c r="M336" s="17" t="n">
        <v>0</v>
      </c>
      <c r="N336" s="17" t="n">
        <v>0</v>
      </c>
      <c r="O336" s="26" t="n">
        <v>1</v>
      </c>
      <c r="P336" s="3" t="inlineStr">
        <is>
          <t>epoch_chip_quantity_latest</t>
        </is>
      </c>
      <c r="Q336" s="3" t="inlineStr">
        <is>
          <t>SRC_EPOCH_AI_DATA_CENTERS; EPOCH_RAW_CHIP_QUANTITIES</t>
        </is>
      </c>
      <c r="R336" s="3" t="inlineStr">
        <is>
          <t>Latest chip quantity per chip type through year-end; normalized by unit count into benchmark buckets.</t>
        </is>
      </c>
    </row>
    <row r="337">
      <c r="A337" s="3" t="inlineStr">
        <is>
          <t>Bull|Google Waltham Cross|2027</t>
        </is>
      </c>
      <c r="B337" s="3" t="inlineStr">
        <is>
          <t>Bull</t>
        </is>
      </c>
      <c r="C337" s="3" t="inlineStr">
        <is>
          <t>Google Waltham Cross</t>
        </is>
      </c>
      <c r="D337" s="3" t="n">
        <v>2027</v>
      </c>
      <c r="E337" s="3" t="inlineStr">
        <is>
          <t>Google</t>
        </is>
      </c>
      <c r="F337" s="17" t="n">
        <v>0</v>
      </c>
      <c r="G337" s="17" t="n">
        <v>0</v>
      </c>
      <c r="H337" s="17" t="n">
        <v>0</v>
      </c>
      <c r="I337" s="17" t="n">
        <v>0</v>
      </c>
      <c r="J337" s="17" t="n">
        <v>1</v>
      </c>
      <c r="K337" s="17" t="n">
        <v>0</v>
      </c>
      <c r="L337" s="17" t="n">
        <v>0</v>
      </c>
      <c r="M337" s="17" t="n">
        <v>0</v>
      </c>
      <c r="N337" s="17" t="n">
        <v>0</v>
      </c>
      <c r="O337" s="26" t="n">
        <v>1</v>
      </c>
      <c r="P337" s="3" t="inlineStr">
        <is>
          <t>epoch_chip_quantity_latest</t>
        </is>
      </c>
      <c r="Q337" s="3" t="inlineStr">
        <is>
          <t>SRC_EPOCH_AI_DATA_CENTERS; EPOCH_RAW_CHIP_QUANTITIES</t>
        </is>
      </c>
      <c r="R337" s="3" t="inlineStr">
        <is>
          <t>Latest chip quantity per chip type through year-end; normalized by unit count into benchmark buckets.</t>
        </is>
      </c>
    </row>
    <row r="338">
      <c r="A338" s="3" t="inlineStr">
        <is>
          <t>Bull|Google Waltham Cross|2028</t>
        </is>
      </c>
      <c r="B338" s="3" t="inlineStr">
        <is>
          <t>Bull</t>
        </is>
      </c>
      <c r="C338" s="3" t="inlineStr">
        <is>
          <t>Google Waltham Cross</t>
        </is>
      </c>
      <c r="D338" s="3" t="n">
        <v>2028</v>
      </c>
      <c r="E338" s="3" t="inlineStr">
        <is>
          <t>Google</t>
        </is>
      </c>
      <c r="F338" s="17" t="n">
        <v>0</v>
      </c>
      <c r="G338" s="17" t="n">
        <v>0</v>
      </c>
      <c r="H338" s="17" t="n">
        <v>0</v>
      </c>
      <c r="I338" s="17" t="n">
        <v>0</v>
      </c>
      <c r="J338" s="17" t="n">
        <v>1</v>
      </c>
      <c r="K338" s="17" t="n">
        <v>0</v>
      </c>
      <c r="L338" s="17" t="n">
        <v>0</v>
      </c>
      <c r="M338" s="17" t="n">
        <v>0</v>
      </c>
      <c r="N338" s="17" t="n">
        <v>0</v>
      </c>
      <c r="O338" s="26" t="n">
        <v>1</v>
      </c>
      <c r="P338" s="3" t="inlineStr">
        <is>
          <t>epoch_chip_quantity_latest</t>
        </is>
      </c>
      <c r="Q338" s="3" t="inlineStr">
        <is>
          <t>SRC_EPOCH_AI_DATA_CENTERS; EPOCH_RAW_CHIP_QUANTITIES</t>
        </is>
      </c>
      <c r="R338" s="3" t="inlineStr">
        <is>
          <t>Latest chip quantity per chip type through year-end; normalized by unit count into benchmark buckets.</t>
        </is>
      </c>
    </row>
    <row r="339">
      <c r="A339" s="3" t="inlineStr">
        <is>
          <t>Bull|Google Waltham Cross|2029</t>
        </is>
      </c>
      <c r="B339" s="3" t="inlineStr">
        <is>
          <t>Bull</t>
        </is>
      </c>
      <c r="C339" s="3" t="inlineStr">
        <is>
          <t>Google Waltham Cross</t>
        </is>
      </c>
      <c r="D339" s="3" t="n">
        <v>2029</v>
      </c>
      <c r="E339" s="3" t="inlineStr">
        <is>
          <t>Google</t>
        </is>
      </c>
      <c r="F339" s="17" t="n">
        <v>0</v>
      </c>
      <c r="G339" s="17" t="n">
        <v>0</v>
      </c>
      <c r="H339" s="17" t="n">
        <v>0</v>
      </c>
      <c r="I339" s="17" t="n">
        <v>0</v>
      </c>
      <c r="J339" s="17" t="n">
        <v>1</v>
      </c>
      <c r="K339" s="17" t="n">
        <v>0</v>
      </c>
      <c r="L339" s="17" t="n">
        <v>0</v>
      </c>
      <c r="M339" s="17" t="n">
        <v>0</v>
      </c>
      <c r="N339" s="17" t="n">
        <v>0</v>
      </c>
      <c r="O339" s="26" t="n">
        <v>1</v>
      </c>
      <c r="P339" s="3" t="inlineStr">
        <is>
          <t>epoch_chip_quantity_latest</t>
        </is>
      </c>
      <c r="Q339" s="3" t="inlineStr">
        <is>
          <t>SRC_EPOCH_AI_DATA_CENTERS; EPOCH_RAW_CHIP_QUANTITIES</t>
        </is>
      </c>
      <c r="R339" s="3" t="inlineStr">
        <is>
          <t>Latest chip quantity per chip type through year-end; normalized by unit count into benchmark buckets.</t>
        </is>
      </c>
    </row>
    <row r="340">
      <c r="A340" s="3" t="inlineStr">
        <is>
          <t>Bull|Google Waltham Cross|2030</t>
        </is>
      </c>
      <c r="B340" s="3" t="inlineStr">
        <is>
          <t>Bull</t>
        </is>
      </c>
      <c r="C340" s="3" t="inlineStr">
        <is>
          <t>Google Waltham Cross</t>
        </is>
      </c>
      <c r="D340" s="3" t="n">
        <v>2030</v>
      </c>
      <c r="E340" s="3" t="inlineStr">
        <is>
          <t>Google</t>
        </is>
      </c>
      <c r="F340" s="17" t="n">
        <v>0</v>
      </c>
      <c r="G340" s="17" t="n">
        <v>0</v>
      </c>
      <c r="H340" s="17" t="n">
        <v>0</v>
      </c>
      <c r="I340" s="17" t="n">
        <v>0</v>
      </c>
      <c r="J340" s="17" t="n">
        <v>1</v>
      </c>
      <c r="K340" s="17" t="n">
        <v>0</v>
      </c>
      <c r="L340" s="17" t="n">
        <v>0</v>
      </c>
      <c r="M340" s="17" t="n">
        <v>0</v>
      </c>
      <c r="N340" s="17" t="n">
        <v>0</v>
      </c>
      <c r="O340" s="26" t="n">
        <v>1</v>
      </c>
      <c r="P340" s="3" t="inlineStr">
        <is>
          <t>epoch_chip_quantity_latest</t>
        </is>
      </c>
      <c r="Q340" s="3" t="inlineStr">
        <is>
          <t>SRC_EPOCH_AI_DATA_CENTERS; EPOCH_RAW_CHIP_QUANTITIES</t>
        </is>
      </c>
      <c r="R340" s="3" t="inlineStr">
        <is>
          <t>Latest chip quantity per chip type through year-end; normalized by unit count into benchmark buckets.</t>
        </is>
      </c>
    </row>
    <row r="341">
      <c r="A341" s="3" t="inlineStr">
        <is>
          <t>Grid-Constrained / Efficiency-Upside|Google Waltham Cross|2026</t>
        </is>
      </c>
      <c r="B341" s="3" t="inlineStr">
        <is>
          <t>Grid-Constrained / Efficiency-Upside</t>
        </is>
      </c>
      <c r="C341" s="3" t="inlineStr">
        <is>
          <t>Google Waltham Cross</t>
        </is>
      </c>
      <c r="D341" s="3" t="n">
        <v>2026</v>
      </c>
      <c r="E341" s="3" t="inlineStr">
        <is>
          <t>Google</t>
        </is>
      </c>
      <c r="F341" s="17" t="n">
        <v>0</v>
      </c>
      <c r="G341" s="17" t="n">
        <v>0</v>
      </c>
      <c r="H341" s="17" t="n">
        <v>0</v>
      </c>
      <c r="I341" s="17" t="n">
        <v>0</v>
      </c>
      <c r="J341" s="17" t="n">
        <v>1</v>
      </c>
      <c r="K341" s="17" t="n">
        <v>0</v>
      </c>
      <c r="L341" s="17" t="n">
        <v>0</v>
      </c>
      <c r="M341" s="17" t="n">
        <v>0</v>
      </c>
      <c r="N341" s="17" t="n">
        <v>0</v>
      </c>
      <c r="O341" s="26" t="n">
        <v>1</v>
      </c>
      <c r="P341" s="3" t="inlineStr">
        <is>
          <t>epoch_chip_quantity_latest</t>
        </is>
      </c>
      <c r="Q341" s="3" t="inlineStr">
        <is>
          <t>SRC_EPOCH_AI_DATA_CENTERS; EPOCH_RAW_CHIP_QUANTITIES</t>
        </is>
      </c>
      <c r="R341" s="3" t="inlineStr">
        <is>
          <t>Latest chip quantity per chip type through year-end; normalized by unit count into benchmark buckets.</t>
        </is>
      </c>
    </row>
    <row r="342">
      <c r="A342" s="3" t="inlineStr">
        <is>
          <t>Grid-Constrained / Efficiency-Upside|Google Waltham Cross|2027</t>
        </is>
      </c>
      <c r="B342" s="3" t="inlineStr">
        <is>
          <t>Grid-Constrained / Efficiency-Upside</t>
        </is>
      </c>
      <c r="C342" s="3" t="inlineStr">
        <is>
          <t>Google Waltham Cross</t>
        </is>
      </c>
      <c r="D342" s="3" t="n">
        <v>2027</v>
      </c>
      <c r="E342" s="3" t="inlineStr">
        <is>
          <t>Google</t>
        </is>
      </c>
      <c r="F342" s="17" t="n">
        <v>0</v>
      </c>
      <c r="G342" s="17" t="n">
        <v>0</v>
      </c>
      <c r="H342" s="17" t="n">
        <v>0</v>
      </c>
      <c r="I342" s="17" t="n">
        <v>0</v>
      </c>
      <c r="J342" s="17" t="n">
        <v>1</v>
      </c>
      <c r="K342" s="17" t="n">
        <v>0</v>
      </c>
      <c r="L342" s="17" t="n">
        <v>0</v>
      </c>
      <c r="M342" s="17" t="n">
        <v>0</v>
      </c>
      <c r="N342" s="17" t="n">
        <v>0</v>
      </c>
      <c r="O342" s="26" t="n">
        <v>1</v>
      </c>
      <c r="P342" s="3" t="inlineStr">
        <is>
          <t>epoch_chip_quantity_latest</t>
        </is>
      </c>
      <c r="Q342" s="3" t="inlineStr">
        <is>
          <t>SRC_EPOCH_AI_DATA_CENTERS; EPOCH_RAW_CHIP_QUANTITIES</t>
        </is>
      </c>
      <c r="R342" s="3" t="inlineStr">
        <is>
          <t>Latest chip quantity per chip type through year-end; normalized by unit count into benchmark buckets.</t>
        </is>
      </c>
    </row>
    <row r="343">
      <c r="A343" s="3" t="inlineStr">
        <is>
          <t>Grid-Constrained / Efficiency-Upside|Google Waltham Cross|2028</t>
        </is>
      </c>
      <c r="B343" s="3" t="inlineStr">
        <is>
          <t>Grid-Constrained / Efficiency-Upside</t>
        </is>
      </c>
      <c r="C343" s="3" t="inlineStr">
        <is>
          <t>Google Waltham Cross</t>
        </is>
      </c>
      <c r="D343" s="3" t="n">
        <v>2028</v>
      </c>
      <c r="E343" s="3" t="inlineStr">
        <is>
          <t>Google</t>
        </is>
      </c>
      <c r="F343" s="17" t="n">
        <v>0</v>
      </c>
      <c r="G343" s="17" t="n">
        <v>0</v>
      </c>
      <c r="H343" s="17" t="n">
        <v>0</v>
      </c>
      <c r="I343" s="17" t="n">
        <v>0</v>
      </c>
      <c r="J343" s="17" t="n">
        <v>1</v>
      </c>
      <c r="K343" s="17" t="n">
        <v>0</v>
      </c>
      <c r="L343" s="17" t="n">
        <v>0</v>
      </c>
      <c r="M343" s="17" t="n">
        <v>0</v>
      </c>
      <c r="N343" s="17" t="n">
        <v>0</v>
      </c>
      <c r="O343" s="26" t="n">
        <v>1</v>
      </c>
      <c r="P343" s="3" t="inlineStr">
        <is>
          <t>epoch_chip_quantity_latest</t>
        </is>
      </c>
      <c r="Q343" s="3" t="inlineStr">
        <is>
          <t>SRC_EPOCH_AI_DATA_CENTERS; EPOCH_RAW_CHIP_QUANTITIES</t>
        </is>
      </c>
      <c r="R343" s="3" t="inlineStr">
        <is>
          <t>Latest chip quantity per chip type through year-end; normalized by unit count into benchmark buckets.</t>
        </is>
      </c>
    </row>
    <row r="344">
      <c r="A344" s="3" t="inlineStr">
        <is>
          <t>Grid-Constrained / Efficiency-Upside|Google Waltham Cross|2029</t>
        </is>
      </c>
      <c r="B344" s="3" t="inlineStr">
        <is>
          <t>Grid-Constrained / Efficiency-Upside</t>
        </is>
      </c>
      <c r="C344" s="3" t="inlineStr">
        <is>
          <t>Google Waltham Cross</t>
        </is>
      </c>
      <c r="D344" s="3" t="n">
        <v>2029</v>
      </c>
      <c r="E344" s="3" t="inlineStr">
        <is>
          <t>Google</t>
        </is>
      </c>
      <c r="F344" s="17" t="n">
        <v>0</v>
      </c>
      <c r="G344" s="17" t="n">
        <v>0</v>
      </c>
      <c r="H344" s="17" t="n">
        <v>0</v>
      </c>
      <c r="I344" s="17" t="n">
        <v>0</v>
      </c>
      <c r="J344" s="17" t="n">
        <v>1</v>
      </c>
      <c r="K344" s="17" t="n">
        <v>0</v>
      </c>
      <c r="L344" s="17" t="n">
        <v>0</v>
      </c>
      <c r="M344" s="17" t="n">
        <v>0</v>
      </c>
      <c r="N344" s="17" t="n">
        <v>0</v>
      </c>
      <c r="O344" s="26" t="n">
        <v>1</v>
      </c>
      <c r="P344" s="3" t="inlineStr">
        <is>
          <t>epoch_chip_quantity_latest</t>
        </is>
      </c>
      <c r="Q344" s="3" t="inlineStr">
        <is>
          <t>SRC_EPOCH_AI_DATA_CENTERS; EPOCH_RAW_CHIP_QUANTITIES</t>
        </is>
      </c>
      <c r="R344" s="3" t="inlineStr">
        <is>
          <t>Latest chip quantity per chip type through year-end; normalized by unit count into benchmark buckets.</t>
        </is>
      </c>
    </row>
    <row r="345">
      <c r="A345" s="3" t="inlineStr">
        <is>
          <t>Grid-Constrained / Efficiency-Upside|Google Waltham Cross|2030</t>
        </is>
      </c>
      <c r="B345" s="3" t="inlineStr">
        <is>
          <t>Grid-Constrained / Efficiency-Upside</t>
        </is>
      </c>
      <c r="C345" s="3" t="inlineStr">
        <is>
          <t>Google Waltham Cross</t>
        </is>
      </c>
      <c r="D345" s="3" t="n">
        <v>2030</v>
      </c>
      <c r="E345" s="3" t="inlineStr">
        <is>
          <t>Google</t>
        </is>
      </c>
      <c r="F345" s="17" t="n">
        <v>0</v>
      </c>
      <c r="G345" s="17" t="n">
        <v>0</v>
      </c>
      <c r="H345" s="17" t="n">
        <v>0</v>
      </c>
      <c r="I345" s="17" t="n">
        <v>0</v>
      </c>
      <c r="J345" s="17" t="n">
        <v>1</v>
      </c>
      <c r="K345" s="17" t="n">
        <v>0</v>
      </c>
      <c r="L345" s="17" t="n">
        <v>0</v>
      </c>
      <c r="M345" s="17" t="n">
        <v>0</v>
      </c>
      <c r="N345" s="17" t="n">
        <v>0</v>
      </c>
      <c r="O345" s="26" t="n">
        <v>1</v>
      </c>
      <c r="P345" s="3" t="inlineStr">
        <is>
          <t>epoch_chip_quantity_latest</t>
        </is>
      </c>
      <c r="Q345" s="3" t="inlineStr">
        <is>
          <t>SRC_EPOCH_AI_DATA_CENTERS; EPOCH_RAW_CHIP_QUANTITIES</t>
        </is>
      </c>
      <c r="R345" s="3" t="inlineStr">
        <is>
          <t>Latest chip quantity per chip type through year-end; normalized by unit count into benchmark buckets.</t>
        </is>
      </c>
    </row>
    <row r="346">
      <c r="A346" s="3" t="inlineStr">
        <is>
          <t>Bear|Meta Aiken|2026</t>
        </is>
      </c>
      <c r="B346" s="3" t="inlineStr">
        <is>
          <t>Bear</t>
        </is>
      </c>
      <c r="C346" s="3" t="inlineStr">
        <is>
          <t>Meta Aiken</t>
        </is>
      </c>
      <c r="D346" s="3" t="n">
        <v>2026</v>
      </c>
      <c r="E346" s="3" t="inlineStr">
        <is>
          <t>Meta</t>
        </is>
      </c>
      <c r="F346" s="17" t="n">
        <v>0</v>
      </c>
      <c r="G346" s="17" t="n">
        <v>1</v>
      </c>
      <c r="H346" s="17" t="n">
        <v>0</v>
      </c>
      <c r="I346" s="17" t="n">
        <v>0</v>
      </c>
      <c r="J346" s="17" t="n">
        <v>0</v>
      </c>
      <c r="K346" s="17" t="n">
        <v>0</v>
      </c>
      <c r="L346" s="17" t="n">
        <v>0</v>
      </c>
      <c r="M346" s="17" t="n">
        <v>0</v>
      </c>
      <c r="N346" s="17" t="n">
        <v>0</v>
      </c>
      <c r="O346" s="26" t="n">
        <v>1</v>
      </c>
      <c r="P346" s="3" t="inlineStr">
        <is>
          <t>epoch_chip_quantity_latest</t>
        </is>
      </c>
      <c r="Q346" s="3" t="inlineStr">
        <is>
          <t>SRC_EPOCH_AI_DATA_CENTERS; EPOCH_RAW_CHIP_QUANTITIES</t>
        </is>
      </c>
      <c r="R346" s="3" t="inlineStr">
        <is>
          <t>Latest chip quantity per chip type through year-end; normalized by unit count into benchmark buckets.</t>
        </is>
      </c>
    </row>
    <row r="347">
      <c r="A347" s="3" t="inlineStr">
        <is>
          <t>Bear|Meta Aiken|2027</t>
        </is>
      </c>
      <c r="B347" s="3" t="inlineStr">
        <is>
          <t>Bear</t>
        </is>
      </c>
      <c r="C347" s="3" t="inlineStr">
        <is>
          <t>Meta Aiken</t>
        </is>
      </c>
      <c r="D347" s="3" t="n">
        <v>2027</v>
      </c>
      <c r="E347" s="3" t="inlineStr">
        <is>
          <t>Meta</t>
        </is>
      </c>
      <c r="F347" s="17" t="n">
        <v>0</v>
      </c>
      <c r="G347" s="17" t="n">
        <v>1</v>
      </c>
      <c r="H347" s="17" t="n">
        <v>0</v>
      </c>
      <c r="I347" s="17" t="n">
        <v>0</v>
      </c>
      <c r="J347" s="17" t="n">
        <v>0</v>
      </c>
      <c r="K347" s="17" t="n">
        <v>0</v>
      </c>
      <c r="L347" s="17" t="n">
        <v>0</v>
      </c>
      <c r="M347" s="17" t="n">
        <v>0</v>
      </c>
      <c r="N347" s="17" t="n">
        <v>0</v>
      </c>
      <c r="O347" s="26" t="n">
        <v>1</v>
      </c>
      <c r="P347" s="3" t="inlineStr">
        <is>
          <t>epoch_chip_quantity_latest</t>
        </is>
      </c>
      <c r="Q347" s="3" t="inlineStr">
        <is>
          <t>SRC_EPOCH_AI_DATA_CENTERS; EPOCH_RAW_CHIP_QUANTITIES</t>
        </is>
      </c>
      <c r="R347" s="3" t="inlineStr">
        <is>
          <t>Latest chip quantity per chip type through year-end; normalized by unit count into benchmark buckets.</t>
        </is>
      </c>
    </row>
    <row r="348">
      <c r="A348" s="3" t="inlineStr">
        <is>
          <t>Bear|Meta Aiken|2028</t>
        </is>
      </c>
      <c r="B348" s="3" t="inlineStr">
        <is>
          <t>Bear</t>
        </is>
      </c>
      <c r="C348" s="3" t="inlineStr">
        <is>
          <t>Meta Aiken</t>
        </is>
      </c>
      <c r="D348" s="3" t="n">
        <v>2028</v>
      </c>
      <c r="E348" s="3" t="inlineStr">
        <is>
          <t>Meta</t>
        </is>
      </c>
      <c r="F348" s="17" t="n">
        <v>0</v>
      </c>
      <c r="G348" s="17" t="n">
        <v>1</v>
      </c>
      <c r="H348" s="17" t="n">
        <v>0</v>
      </c>
      <c r="I348" s="17" t="n">
        <v>0</v>
      </c>
      <c r="J348" s="17" t="n">
        <v>0</v>
      </c>
      <c r="K348" s="17" t="n">
        <v>0</v>
      </c>
      <c r="L348" s="17" t="n">
        <v>0</v>
      </c>
      <c r="M348" s="17" t="n">
        <v>0</v>
      </c>
      <c r="N348" s="17" t="n">
        <v>0</v>
      </c>
      <c r="O348" s="26" t="n">
        <v>1</v>
      </c>
      <c r="P348" s="3" t="inlineStr">
        <is>
          <t>epoch_chip_quantity_latest</t>
        </is>
      </c>
      <c r="Q348" s="3" t="inlineStr">
        <is>
          <t>SRC_EPOCH_AI_DATA_CENTERS; EPOCH_RAW_CHIP_QUANTITIES</t>
        </is>
      </c>
      <c r="R348" s="3" t="inlineStr">
        <is>
          <t>Latest chip quantity per chip type through year-end; normalized by unit count into benchmark buckets.</t>
        </is>
      </c>
    </row>
    <row r="349">
      <c r="A349" s="3" t="inlineStr">
        <is>
          <t>Bear|Meta Aiken|2029</t>
        </is>
      </c>
      <c r="B349" s="3" t="inlineStr">
        <is>
          <t>Bear</t>
        </is>
      </c>
      <c r="C349" s="3" t="inlineStr">
        <is>
          <t>Meta Aiken</t>
        </is>
      </c>
      <c r="D349" s="3" t="n">
        <v>2029</v>
      </c>
      <c r="E349" s="3" t="inlineStr">
        <is>
          <t>Meta</t>
        </is>
      </c>
      <c r="F349" s="17" t="n">
        <v>0</v>
      </c>
      <c r="G349" s="17" t="n">
        <v>1</v>
      </c>
      <c r="H349" s="17" t="n">
        <v>0</v>
      </c>
      <c r="I349" s="17" t="n">
        <v>0</v>
      </c>
      <c r="J349" s="17" t="n">
        <v>0</v>
      </c>
      <c r="K349" s="17" t="n">
        <v>0</v>
      </c>
      <c r="L349" s="17" t="n">
        <v>0</v>
      </c>
      <c r="M349" s="17" t="n">
        <v>0</v>
      </c>
      <c r="N349" s="17" t="n">
        <v>0</v>
      </c>
      <c r="O349" s="26" t="n">
        <v>1</v>
      </c>
      <c r="P349" s="3" t="inlineStr">
        <is>
          <t>epoch_chip_quantity_latest</t>
        </is>
      </c>
      <c r="Q349" s="3" t="inlineStr">
        <is>
          <t>SRC_EPOCH_AI_DATA_CENTERS; EPOCH_RAW_CHIP_QUANTITIES</t>
        </is>
      </c>
      <c r="R349" s="3" t="inlineStr">
        <is>
          <t>Latest chip quantity per chip type through year-end; normalized by unit count into benchmark buckets.</t>
        </is>
      </c>
    </row>
    <row r="350">
      <c r="A350" s="3" t="inlineStr">
        <is>
          <t>Bear|Meta Aiken|2030</t>
        </is>
      </c>
      <c r="B350" s="3" t="inlineStr">
        <is>
          <t>Bear</t>
        </is>
      </c>
      <c r="C350" s="3" t="inlineStr">
        <is>
          <t>Meta Aiken</t>
        </is>
      </c>
      <c r="D350" s="3" t="n">
        <v>2030</v>
      </c>
      <c r="E350" s="3" t="inlineStr">
        <is>
          <t>Meta</t>
        </is>
      </c>
      <c r="F350" s="17" t="n">
        <v>0</v>
      </c>
      <c r="G350" s="17" t="n">
        <v>1</v>
      </c>
      <c r="H350" s="17" t="n">
        <v>0</v>
      </c>
      <c r="I350" s="17" t="n">
        <v>0</v>
      </c>
      <c r="J350" s="17" t="n">
        <v>0</v>
      </c>
      <c r="K350" s="17" t="n">
        <v>0</v>
      </c>
      <c r="L350" s="17" t="n">
        <v>0</v>
      </c>
      <c r="M350" s="17" t="n">
        <v>0</v>
      </c>
      <c r="N350" s="17" t="n">
        <v>0</v>
      </c>
      <c r="O350" s="26" t="n">
        <v>1</v>
      </c>
      <c r="P350" s="3" t="inlineStr">
        <is>
          <t>epoch_chip_quantity_latest</t>
        </is>
      </c>
      <c r="Q350" s="3" t="inlineStr">
        <is>
          <t>SRC_EPOCH_AI_DATA_CENTERS; EPOCH_RAW_CHIP_QUANTITIES</t>
        </is>
      </c>
      <c r="R350" s="3" t="inlineStr">
        <is>
          <t>Latest chip quantity per chip type through year-end; normalized by unit count into benchmark buckets.</t>
        </is>
      </c>
    </row>
    <row r="351">
      <c r="A351" s="3" t="inlineStr">
        <is>
          <t>Base|Meta Aiken|2026</t>
        </is>
      </c>
      <c r="B351" s="3" t="inlineStr">
        <is>
          <t>Base</t>
        </is>
      </c>
      <c r="C351" s="3" t="inlineStr">
        <is>
          <t>Meta Aiken</t>
        </is>
      </c>
      <c r="D351" s="3" t="n">
        <v>2026</v>
      </c>
      <c r="E351" s="3" t="inlineStr">
        <is>
          <t>Meta</t>
        </is>
      </c>
      <c r="F351" s="17" t="n">
        <v>0</v>
      </c>
      <c r="G351" s="17" t="n">
        <v>1</v>
      </c>
      <c r="H351" s="17" t="n">
        <v>0</v>
      </c>
      <c r="I351" s="17" t="n">
        <v>0</v>
      </c>
      <c r="J351" s="17" t="n">
        <v>0</v>
      </c>
      <c r="K351" s="17" t="n">
        <v>0</v>
      </c>
      <c r="L351" s="17" t="n">
        <v>0</v>
      </c>
      <c r="M351" s="17" t="n">
        <v>0</v>
      </c>
      <c r="N351" s="17" t="n">
        <v>0</v>
      </c>
      <c r="O351" s="26" t="n">
        <v>1</v>
      </c>
      <c r="P351" s="3" t="inlineStr">
        <is>
          <t>epoch_chip_quantity_latest</t>
        </is>
      </c>
      <c r="Q351" s="3" t="inlineStr">
        <is>
          <t>SRC_EPOCH_AI_DATA_CENTERS; EPOCH_RAW_CHIP_QUANTITIES</t>
        </is>
      </c>
      <c r="R351" s="3" t="inlineStr">
        <is>
          <t>Latest chip quantity per chip type through year-end; normalized by unit count into benchmark buckets.</t>
        </is>
      </c>
    </row>
    <row r="352">
      <c r="A352" s="3" t="inlineStr">
        <is>
          <t>Base|Meta Aiken|2027</t>
        </is>
      </c>
      <c r="B352" s="3" t="inlineStr">
        <is>
          <t>Base</t>
        </is>
      </c>
      <c r="C352" s="3" t="inlineStr">
        <is>
          <t>Meta Aiken</t>
        </is>
      </c>
      <c r="D352" s="3" t="n">
        <v>2027</v>
      </c>
      <c r="E352" s="3" t="inlineStr">
        <is>
          <t>Meta</t>
        </is>
      </c>
      <c r="F352" s="17" t="n">
        <v>0</v>
      </c>
      <c r="G352" s="17" t="n">
        <v>1</v>
      </c>
      <c r="H352" s="17" t="n">
        <v>0</v>
      </c>
      <c r="I352" s="17" t="n">
        <v>0</v>
      </c>
      <c r="J352" s="17" t="n">
        <v>0</v>
      </c>
      <c r="K352" s="17" t="n">
        <v>0</v>
      </c>
      <c r="L352" s="17" t="n">
        <v>0</v>
      </c>
      <c r="M352" s="17" t="n">
        <v>0</v>
      </c>
      <c r="N352" s="17" t="n">
        <v>0</v>
      </c>
      <c r="O352" s="26" t="n">
        <v>1</v>
      </c>
      <c r="P352" s="3" t="inlineStr">
        <is>
          <t>epoch_chip_quantity_latest</t>
        </is>
      </c>
      <c r="Q352" s="3" t="inlineStr">
        <is>
          <t>SRC_EPOCH_AI_DATA_CENTERS; EPOCH_RAW_CHIP_QUANTITIES</t>
        </is>
      </c>
      <c r="R352" s="3" t="inlineStr">
        <is>
          <t>Latest chip quantity per chip type through year-end; normalized by unit count into benchmark buckets.</t>
        </is>
      </c>
    </row>
    <row r="353">
      <c r="A353" s="3" t="inlineStr">
        <is>
          <t>Base|Meta Aiken|2028</t>
        </is>
      </c>
      <c r="B353" s="3" t="inlineStr">
        <is>
          <t>Base</t>
        </is>
      </c>
      <c r="C353" s="3" t="inlineStr">
        <is>
          <t>Meta Aiken</t>
        </is>
      </c>
      <c r="D353" s="3" t="n">
        <v>2028</v>
      </c>
      <c r="E353" s="3" t="inlineStr">
        <is>
          <t>Meta</t>
        </is>
      </c>
      <c r="F353" s="17" t="n">
        <v>0</v>
      </c>
      <c r="G353" s="17" t="n">
        <v>1</v>
      </c>
      <c r="H353" s="17" t="n">
        <v>0</v>
      </c>
      <c r="I353" s="17" t="n">
        <v>0</v>
      </c>
      <c r="J353" s="17" t="n">
        <v>0</v>
      </c>
      <c r="K353" s="17" t="n">
        <v>0</v>
      </c>
      <c r="L353" s="17" t="n">
        <v>0</v>
      </c>
      <c r="M353" s="17" t="n">
        <v>0</v>
      </c>
      <c r="N353" s="17" t="n">
        <v>0</v>
      </c>
      <c r="O353" s="26" t="n">
        <v>1</v>
      </c>
      <c r="P353" s="3" t="inlineStr">
        <is>
          <t>epoch_chip_quantity_latest</t>
        </is>
      </c>
      <c r="Q353" s="3" t="inlineStr">
        <is>
          <t>SRC_EPOCH_AI_DATA_CENTERS; EPOCH_RAW_CHIP_QUANTITIES</t>
        </is>
      </c>
      <c r="R353" s="3" t="inlineStr">
        <is>
          <t>Latest chip quantity per chip type through year-end; normalized by unit count into benchmark buckets.</t>
        </is>
      </c>
    </row>
    <row r="354">
      <c r="A354" s="3" t="inlineStr">
        <is>
          <t>Base|Meta Aiken|2029</t>
        </is>
      </c>
      <c r="B354" s="3" t="inlineStr">
        <is>
          <t>Base</t>
        </is>
      </c>
      <c r="C354" s="3" t="inlineStr">
        <is>
          <t>Meta Aiken</t>
        </is>
      </c>
      <c r="D354" s="3" t="n">
        <v>2029</v>
      </c>
      <c r="E354" s="3" t="inlineStr">
        <is>
          <t>Meta</t>
        </is>
      </c>
      <c r="F354" s="17" t="n">
        <v>0</v>
      </c>
      <c r="G354" s="17" t="n">
        <v>1</v>
      </c>
      <c r="H354" s="17" t="n">
        <v>0</v>
      </c>
      <c r="I354" s="17" t="n">
        <v>0</v>
      </c>
      <c r="J354" s="17" t="n">
        <v>0</v>
      </c>
      <c r="K354" s="17" t="n">
        <v>0</v>
      </c>
      <c r="L354" s="17" t="n">
        <v>0</v>
      </c>
      <c r="M354" s="17" t="n">
        <v>0</v>
      </c>
      <c r="N354" s="17" t="n">
        <v>0</v>
      </c>
      <c r="O354" s="26" t="n">
        <v>1</v>
      </c>
      <c r="P354" s="3" t="inlineStr">
        <is>
          <t>epoch_chip_quantity_latest</t>
        </is>
      </c>
      <c r="Q354" s="3" t="inlineStr">
        <is>
          <t>SRC_EPOCH_AI_DATA_CENTERS; EPOCH_RAW_CHIP_QUANTITIES</t>
        </is>
      </c>
      <c r="R354" s="3" t="inlineStr">
        <is>
          <t>Latest chip quantity per chip type through year-end; normalized by unit count into benchmark buckets.</t>
        </is>
      </c>
    </row>
    <row r="355">
      <c r="A355" s="3" t="inlineStr">
        <is>
          <t>Base|Meta Aiken|2030</t>
        </is>
      </c>
      <c r="B355" s="3" t="inlineStr">
        <is>
          <t>Base</t>
        </is>
      </c>
      <c r="C355" s="3" t="inlineStr">
        <is>
          <t>Meta Aiken</t>
        </is>
      </c>
      <c r="D355" s="3" t="n">
        <v>2030</v>
      </c>
      <c r="E355" s="3" t="inlineStr">
        <is>
          <t>Meta</t>
        </is>
      </c>
      <c r="F355" s="17" t="n">
        <v>0</v>
      </c>
      <c r="G355" s="17" t="n">
        <v>1</v>
      </c>
      <c r="H355" s="17" t="n">
        <v>0</v>
      </c>
      <c r="I355" s="17" t="n">
        <v>0</v>
      </c>
      <c r="J355" s="17" t="n">
        <v>0</v>
      </c>
      <c r="K355" s="17" t="n">
        <v>0</v>
      </c>
      <c r="L355" s="17" t="n">
        <v>0</v>
      </c>
      <c r="M355" s="17" t="n">
        <v>0</v>
      </c>
      <c r="N355" s="17" t="n">
        <v>0</v>
      </c>
      <c r="O355" s="26" t="n">
        <v>1</v>
      </c>
      <c r="P355" s="3" t="inlineStr">
        <is>
          <t>epoch_chip_quantity_latest</t>
        </is>
      </c>
      <c r="Q355" s="3" t="inlineStr">
        <is>
          <t>SRC_EPOCH_AI_DATA_CENTERS; EPOCH_RAW_CHIP_QUANTITIES</t>
        </is>
      </c>
      <c r="R355" s="3" t="inlineStr">
        <is>
          <t>Latest chip quantity per chip type through year-end; normalized by unit count into benchmark buckets.</t>
        </is>
      </c>
    </row>
    <row r="356">
      <c r="A356" s="3" t="inlineStr">
        <is>
          <t>Bull|Meta Aiken|2026</t>
        </is>
      </c>
      <c r="B356" s="3" t="inlineStr">
        <is>
          <t>Bull</t>
        </is>
      </c>
      <c r="C356" s="3" t="inlineStr">
        <is>
          <t>Meta Aiken</t>
        </is>
      </c>
      <c r="D356" s="3" t="n">
        <v>2026</v>
      </c>
      <c r="E356" s="3" t="inlineStr">
        <is>
          <t>Meta</t>
        </is>
      </c>
      <c r="F356" s="17" t="n">
        <v>0</v>
      </c>
      <c r="G356" s="17" t="n">
        <v>1</v>
      </c>
      <c r="H356" s="17" t="n">
        <v>0</v>
      </c>
      <c r="I356" s="17" t="n">
        <v>0</v>
      </c>
      <c r="J356" s="17" t="n">
        <v>0</v>
      </c>
      <c r="K356" s="17" t="n">
        <v>0</v>
      </c>
      <c r="L356" s="17" t="n">
        <v>0</v>
      </c>
      <c r="M356" s="17" t="n">
        <v>0</v>
      </c>
      <c r="N356" s="17" t="n">
        <v>0</v>
      </c>
      <c r="O356" s="26" t="n">
        <v>1</v>
      </c>
      <c r="P356" s="3" t="inlineStr">
        <is>
          <t>epoch_chip_quantity_latest</t>
        </is>
      </c>
      <c r="Q356" s="3" t="inlineStr">
        <is>
          <t>SRC_EPOCH_AI_DATA_CENTERS; EPOCH_RAW_CHIP_QUANTITIES</t>
        </is>
      </c>
      <c r="R356" s="3" t="inlineStr">
        <is>
          <t>Latest chip quantity per chip type through year-end; normalized by unit count into benchmark buckets.</t>
        </is>
      </c>
    </row>
    <row r="357">
      <c r="A357" s="3" t="inlineStr">
        <is>
          <t>Bull|Meta Aiken|2027</t>
        </is>
      </c>
      <c r="B357" s="3" t="inlineStr">
        <is>
          <t>Bull</t>
        </is>
      </c>
      <c r="C357" s="3" t="inlineStr">
        <is>
          <t>Meta Aiken</t>
        </is>
      </c>
      <c r="D357" s="3" t="n">
        <v>2027</v>
      </c>
      <c r="E357" s="3" t="inlineStr">
        <is>
          <t>Meta</t>
        </is>
      </c>
      <c r="F357" s="17" t="n">
        <v>0</v>
      </c>
      <c r="G357" s="17" t="n">
        <v>1</v>
      </c>
      <c r="H357" s="17" t="n">
        <v>0</v>
      </c>
      <c r="I357" s="17" t="n">
        <v>0</v>
      </c>
      <c r="J357" s="17" t="n">
        <v>0</v>
      </c>
      <c r="K357" s="17" t="n">
        <v>0</v>
      </c>
      <c r="L357" s="17" t="n">
        <v>0</v>
      </c>
      <c r="M357" s="17" t="n">
        <v>0</v>
      </c>
      <c r="N357" s="17" t="n">
        <v>0</v>
      </c>
      <c r="O357" s="26" t="n">
        <v>1</v>
      </c>
      <c r="P357" s="3" t="inlineStr">
        <is>
          <t>epoch_chip_quantity_latest</t>
        </is>
      </c>
      <c r="Q357" s="3" t="inlineStr">
        <is>
          <t>SRC_EPOCH_AI_DATA_CENTERS; EPOCH_RAW_CHIP_QUANTITIES</t>
        </is>
      </c>
      <c r="R357" s="3" t="inlineStr">
        <is>
          <t>Latest chip quantity per chip type through year-end; normalized by unit count into benchmark buckets.</t>
        </is>
      </c>
    </row>
    <row r="358">
      <c r="A358" s="3" t="inlineStr">
        <is>
          <t>Bull|Meta Aiken|2028</t>
        </is>
      </c>
      <c r="B358" s="3" t="inlineStr">
        <is>
          <t>Bull</t>
        </is>
      </c>
      <c r="C358" s="3" t="inlineStr">
        <is>
          <t>Meta Aiken</t>
        </is>
      </c>
      <c r="D358" s="3" t="n">
        <v>2028</v>
      </c>
      <c r="E358" s="3" t="inlineStr">
        <is>
          <t>Meta</t>
        </is>
      </c>
      <c r="F358" s="17" t="n">
        <v>0</v>
      </c>
      <c r="G358" s="17" t="n">
        <v>1</v>
      </c>
      <c r="H358" s="17" t="n">
        <v>0</v>
      </c>
      <c r="I358" s="17" t="n">
        <v>0</v>
      </c>
      <c r="J358" s="17" t="n">
        <v>0</v>
      </c>
      <c r="K358" s="17" t="n">
        <v>0</v>
      </c>
      <c r="L358" s="17" t="n">
        <v>0</v>
      </c>
      <c r="M358" s="17" t="n">
        <v>0</v>
      </c>
      <c r="N358" s="17" t="n">
        <v>0</v>
      </c>
      <c r="O358" s="26" t="n">
        <v>1</v>
      </c>
      <c r="P358" s="3" t="inlineStr">
        <is>
          <t>epoch_chip_quantity_latest</t>
        </is>
      </c>
      <c r="Q358" s="3" t="inlineStr">
        <is>
          <t>SRC_EPOCH_AI_DATA_CENTERS; EPOCH_RAW_CHIP_QUANTITIES</t>
        </is>
      </c>
      <c r="R358" s="3" t="inlineStr">
        <is>
          <t>Latest chip quantity per chip type through year-end; normalized by unit count into benchmark buckets.</t>
        </is>
      </c>
    </row>
    <row r="359">
      <c r="A359" s="3" t="inlineStr">
        <is>
          <t>Bull|Meta Aiken|2029</t>
        </is>
      </c>
      <c r="B359" s="3" t="inlineStr">
        <is>
          <t>Bull</t>
        </is>
      </c>
      <c r="C359" s="3" t="inlineStr">
        <is>
          <t>Meta Aiken</t>
        </is>
      </c>
      <c r="D359" s="3" t="n">
        <v>2029</v>
      </c>
      <c r="E359" s="3" t="inlineStr">
        <is>
          <t>Meta</t>
        </is>
      </c>
      <c r="F359" s="17" t="n">
        <v>0</v>
      </c>
      <c r="G359" s="17" t="n">
        <v>1</v>
      </c>
      <c r="H359" s="17" t="n">
        <v>0</v>
      </c>
      <c r="I359" s="17" t="n">
        <v>0</v>
      </c>
      <c r="J359" s="17" t="n">
        <v>0</v>
      </c>
      <c r="K359" s="17" t="n">
        <v>0</v>
      </c>
      <c r="L359" s="17" t="n">
        <v>0</v>
      </c>
      <c r="M359" s="17" t="n">
        <v>0</v>
      </c>
      <c r="N359" s="17" t="n">
        <v>0</v>
      </c>
      <c r="O359" s="26" t="n">
        <v>1</v>
      </c>
      <c r="P359" s="3" t="inlineStr">
        <is>
          <t>epoch_chip_quantity_latest</t>
        </is>
      </c>
      <c r="Q359" s="3" t="inlineStr">
        <is>
          <t>SRC_EPOCH_AI_DATA_CENTERS; EPOCH_RAW_CHIP_QUANTITIES</t>
        </is>
      </c>
      <c r="R359" s="3" t="inlineStr">
        <is>
          <t>Latest chip quantity per chip type through year-end; normalized by unit count into benchmark buckets.</t>
        </is>
      </c>
    </row>
    <row r="360">
      <c r="A360" s="3" t="inlineStr">
        <is>
          <t>Bull|Meta Aiken|2030</t>
        </is>
      </c>
      <c r="B360" s="3" t="inlineStr">
        <is>
          <t>Bull</t>
        </is>
      </c>
      <c r="C360" s="3" t="inlineStr">
        <is>
          <t>Meta Aiken</t>
        </is>
      </c>
      <c r="D360" s="3" t="n">
        <v>2030</v>
      </c>
      <c r="E360" s="3" t="inlineStr">
        <is>
          <t>Meta</t>
        </is>
      </c>
      <c r="F360" s="17" t="n">
        <v>0</v>
      </c>
      <c r="G360" s="17" t="n">
        <v>1</v>
      </c>
      <c r="H360" s="17" t="n">
        <v>0</v>
      </c>
      <c r="I360" s="17" t="n">
        <v>0</v>
      </c>
      <c r="J360" s="17" t="n">
        <v>0</v>
      </c>
      <c r="K360" s="17" t="n">
        <v>0</v>
      </c>
      <c r="L360" s="17" t="n">
        <v>0</v>
      </c>
      <c r="M360" s="17" t="n">
        <v>0</v>
      </c>
      <c r="N360" s="17" t="n">
        <v>0</v>
      </c>
      <c r="O360" s="26" t="n">
        <v>1</v>
      </c>
      <c r="P360" s="3" t="inlineStr">
        <is>
          <t>epoch_chip_quantity_latest</t>
        </is>
      </c>
      <c r="Q360" s="3" t="inlineStr">
        <is>
          <t>SRC_EPOCH_AI_DATA_CENTERS; EPOCH_RAW_CHIP_QUANTITIES</t>
        </is>
      </c>
      <c r="R360" s="3" t="inlineStr">
        <is>
          <t>Latest chip quantity per chip type through year-end; normalized by unit count into benchmark buckets.</t>
        </is>
      </c>
    </row>
    <row r="361">
      <c r="A361" s="3" t="inlineStr">
        <is>
          <t>Grid-Constrained / Efficiency-Upside|Meta Aiken|2026</t>
        </is>
      </c>
      <c r="B361" s="3" t="inlineStr">
        <is>
          <t>Grid-Constrained / Efficiency-Upside</t>
        </is>
      </c>
      <c r="C361" s="3" t="inlineStr">
        <is>
          <t>Meta Aiken</t>
        </is>
      </c>
      <c r="D361" s="3" t="n">
        <v>2026</v>
      </c>
      <c r="E361" s="3" t="inlineStr">
        <is>
          <t>Meta</t>
        </is>
      </c>
      <c r="F361" s="17" t="n">
        <v>0</v>
      </c>
      <c r="G361" s="17" t="n">
        <v>1</v>
      </c>
      <c r="H361" s="17" t="n">
        <v>0</v>
      </c>
      <c r="I361" s="17" t="n">
        <v>0</v>
      </c>
      <c r="J361" s="17" t="n">
        <v>0</v>
      </c>
      <c r="K361" s="17" t="n">
        <v>0</v>
      </c>
      <c r="L361" s="17" t="n">
        <v>0</v>
      </c>
      <c r="M361" s="17" t="n">
        <v>0</v>
      </c>
      <c r="N361" s="17" t="n">
        <v>0</v>
      </c>
      <c r="O361" s="26" t="n">
        <v>1</v>
      </c>
      <c r="P361" s="3" t="inlineStr">
        <is>
          <t>epoch_chip_quantity_latest</t>
        </is>
      </c>
      <c r="Q361" s="3" t="inlineStr">
        <is>
          <t>SRC_EPOCH_AI_DATA_CENTERS; EPOCH_RAW_CHIP_QUANTITIES</t>
        </is>
      </c>
      <c r="R361" s="3" t="inlineStr">
        <is>
          <t>Latest chip quantity per chip type through year-end; normalized by unit count into benchmark buckets.</t>
        </is>
      </c>
    </row>
    <row r="362">
      <c r="A362" s="3" t="inlineStr">
        <is>
          <t>Grid-Constrained / Efficiency-Upside|Meta Aiken|2027</t>
        </is>
      </c>
      <c r="B362" s="3" t="inlineStr">
        <is>
          <t>Grid-Constrained / Efficiency-Upside</t>
        </is>
      </c>
      <c r="C362" s="3" t="inlineStr">
        <is>
          <t>Meta Aiken</t>
        </is>
      </c>
      <c r="D362" s="3" t="n">
        <v>2027</v>
      </c>
      <c r="E362" s="3" t="inlineStr">
        <is>
          <t>Meta</t>
        </is>
      </c>
      <c r="F362" s="17" t="n">
        <v>0</v>
      </c>
      <c r="G362" s="17" t="n">
        <v>1</v>
      </c>
      <c r="H362" s="17" t="n">
        <v>0</v>
      </c>
      <c r="I362" s="17" t="n">
        <v>0</v>
      </c>
      <c r="J362" s="17" t="n">
        <v>0</v>
      </c>
      <c r="K362" s="17" t="n">
        <v>0</v>
      </c>
      <c r="L362" s="17" t="n">
        <v>0</v>
      </c>
      <c r="M362" s="17" t="n">
        <v>0</v>
      </c>
      <c r="N362" s="17" t="n">
        <v>0</v>
      </c>
      <c r="O362" s="26" t="n">
        <v>1</v>
      </c>
      <c r="P362" s="3" t="inlineStr">
        <is>
          <t>epoch_chip_quantity_latest</t>
        </is>
      </c>
      <c r="Q362" s="3" t="inlineStr">
        <is>
          <t>SRC_EPOCH_AI_DATA_CENTERS; EPOCH_RAW_CHIP_QUANTITIES</t>
        </is>
      </c>
      <c r="R362" s="3" t="inlineStr">
        <is>
          <t>Latest chip quantity per chip type through year-end; normalized by unit count into benchmark buckets.</t>
        </is>
      </c>
    </row>
    <row r="363">
      <c r="A363" s="3" t="inlineStr">
        <is>
          <t>Grid-Constrained / Efficiency-Upside|Meta Aiken|2028</t>
        </is>
      </c>
      <c r="B363" s="3" t="inlineStr">
        <is>
          <t>Grid-Constrained / Efficiency-Upside</t>
        </is>
      </c>
      <c r="C363" s="3" t="inlineStr">
        <is>
          <t>Meta Aiken</t>
        </is>
      </c>
      <c r="D363" s="3" t="n">
        <v>2028</v>
      </c>
      <c r="E363" s="3" t="inlineStr">
        <is>
          <t>Meta</t>
        </is>
      </c>
      <c r="F363" s="17" t="n">
        <v>0</v>
      </c>
      <c r="G363" s="17" t="n">
        <v>1</v>
      </c>
      <c r="H363" s="17" t="n">
        <v>0</v>
      </c>
      <c r="I363" s="17" t="n">
        <v>0</v>
      </c>
      <c r="J363" s="17" t="n">
        <v>0</v>
      </c>
      <c r="K363" s="17" t="n">
        <v>0</v>
      </c>
      <c r="L363" s="17" t="n">
        <v>0</v>
      </c>
      <c r="M363" s="17" t="n">
        <v>0</v>
      </c>
      <c r="N363" s="17" t="n">
        <v>0</v>
      </c>
      <c r="O363" s="26" t="n">
        <v>1</v>
      </c>
      <c r="P363" s="3" t="inlineStr">
        <is>
          <t>epoch_chip_quantity_latest</t>
        </is>
      </c>
      <c r="Q363" s="3" t="inlineStr">
        <is>
          <t>SRC_EPOCH_AI_DATA_CENTERS; EPOCH_RAW_CHIP_QUANTITIES</t>
        </is>
      </c>
      <c r="R363" s="3" t="inlineStr">
        <is>
          <t>Latest chip quantity per chip type through year-end; normalized by unit count into benchmark buckets.</t>
        </is>
      </c>
    </row>
    <row r="364">
      <c r="A364" s="3" t="inlineStr">
        <is>
          <t>Grid-Constrained / Efficiency-Upside|Meta Aiken|2029</t>
        </is>
      </c>
      <c r="B364" s="3" t="inlineStr">
        <is>
          <t>Grid-Constrained / Efficiency-Upside</t>
        </is>
      </c>
      <c r="C364" s="3" t="inlineStr">
        <is>
          <t>Meta Aiken</t>
        </is>
      </c>
      <c r="D364" s="3" t="n">
        <v>2029</v>
      </c>
      <c r="E364" s="3" t="inlineStr">
        <is>
          <t>Meta</t>
        </is>
      </c>
      <c r="F364" s="17" t="n">
        <v>0</v>
      </c>
      <c r="G364" s="17" t="n">
        <v>1</v>
      </c>
      <c r="H364" s="17" t="n">
        <v>0</v>
      </c>
      <c r="I364" s="17" t="n">
        <v>0</v>
      </c>
      <c r="J364" s="17" t="n">
        <v>0</v>
      </c>
      <c r="K364" s="17" t="n">
        <v>0</v>
      </c>
      <c r="L364" s="17" t="n">
        <v>0</v>
      </c>
      <c r="M364" s="17" t="n">
        <v>0</v>
      </c>
      <c r="N364" s="17" t="n">
        <v>0</v>
      </c>
      <c r="O364" s="26" t="n">
        <v>1</v>
      </c>
      <c r="P364" s="3" t="inlineStr">
        <is>
          <t>epoch_chip_quantity_latest</t>
        </is>
      </c>
      <c r="Q364" s="3" t="inlineStr">
        <is>
          <t>SRC_EPOCH_AI_DATA_CENTERS; EPOCH_RAW_CHIP_QUANTITIES</t>
        </is>
      </c>
      <c r="R364" s="3" t="inlineStr">
        <is>
          <t>Latest chip quantity per chip type through year-end; normalized by unit count into benchmark buckets.</t>
        </is>
      </c>
    </row>
    <row r="365">
      <c r="A365" s="3" t="inlineStr">
        <is>
          <t>Grid-Constrained / Efficiency-Upside|Meta Aiken|2030</t>
        </is>
      </c>
      <c r="B365" s="3" t="inlineStr">
        <is>
          <t>Grid-Constrained / Efficiency-Upside</t>
        </is>
      </c>
      <c r="C365" s="3" t="inlineStr">
        <is>
          <t>Meta Aiken</t>
        </is>
      </c>
      <c r="D365" s="3" t="n">
        <v>2030</v>
      </c>
      <c r="E365" s="3" t="inlineStr">
        <is>
          <t>Meta</t>
        </is>
      </c>
      <c r="F365" s="17" t="n">
        <v>0</v>
      </c>
      <c r="G365" s="17" t="n">
        <v>1</v>
      </c>
      <c r="H365" s="17" t="n">
        <v>0</v>
      </c>
      <c r="I365" s="17" t="n">
        <v>0</v>
      </c>
      <c r="J365" s="17" t="n">
        <v>0</v>
      </c>
      <c r="K365" s="17" t="n">
        <v>0</v>
      </c>
      <c r="L365" s="17" t="n">
        <v>0</v>
      </c>
      <c r="M365" s="17" t="n">
        <v>0</v>
      </c>
      <c r="N365" s="17" t="n">
        <v>0</v>
      </c>
      <c r="O365" s="26" t="n">
        <v>1</v>
      </c>
      <c r="P365" s="3" t="inlineStr">
        <is>
          <t>epoch_chip_quantity_latest</t>
        </is>
      </c>
      <c r="Q365" s="3" t="inlineStr">
        <is>
          <t>SRC_EPOCH_AI_DATA_CENTERS; EPOCH_RAW_CHIP_QUANTITIES</t>
        </is>
      </c>
      <c r="R365" s="3" t="inlineStr">
        <is>
          <t>Latest chip quantity per chip type through year-end; normalized by unit count into benchmark buckets.</t>
        </is>
      </c>
    </row>
    <row r="366">
      <c r="A366" s="3" t="inlineStr">
        <is>
          <t>Bear|Meta Cheyenne|2027</t>
        </is>
      </c>
      <c r="B366" s="3" t="inlineStr">
        <is>
          <t>Bear</t>
        </is>
      </c>
      <c r="C366" s="3" t="inlineStr">
        <is>
          <t>Meta Cheyenne</t>
        </is>
      </c>
      <c r="D366" s="3" t="n">
        <v>2027</v>
      </c>
      <c r="E366" s="3" t="inlineStr">
        <is>
          <t>Meta</t>
        </is>
      </c>
      <c r="F366" s="17" t="n">
        <v>0</v>
      </c>
      <c r="G366" s="17" t="n">
        <v>1</v>
      </c>
      <c r="H366" s="17" t="n">
        <v>0</v>
      </c>
      <c r="I366" s="17" t="n">
        <v>0</v>
      </c>
      <c r="J366" s="17" t="n">
        <v>0</v>
      </c>
      <c r="K366" s="17" t="n">
        <v>0</v>
      </c>
      <c r="L366" s="17" t="n">
        <v>0</v>
      </c>
      <c r="M366" s="17" t="n">
        <v>0</v>
      </c>
      <c r="N366" s="17" t="n">
        <v>0</v>
      </c>
      <c r="O366" s="26" t="n">
        <v>1</v>
      </c>
      <c r="P366" s="3" t="inlineStr">
        <is>
          <t>epoch_chip_quantity_latest</t>
        </is>
      </c>
      <c r="Q366" s="3" t="inlineStr">
        <is>
          <t>SRC_EPOCH_AI_DATA_CENTERS; EPOCH_RAW_CHIP_QUANTITIES</t>
        </is>
      </c>
      <c r="R366" s="3" t="inlineStr">
        <is>
          <t>Latest chip quantity per chip type through year-end; normalized by unit count into benchmark buckets.</t>
        </is>
      </c>
    </row>
    <row r="367">
      <c r="A367" s="3" t="inlineStr">
        <is>
          <t>Bear|Meta Cheyenne|2028</t>
        </is>
      </c>
      <c r="B367" s="3" t="inlineStr">
        <is>
          <t>Bear</t>
        </is>
      </c>
      <c r="C367" s="3" t="inlineStr">
        <is>
          <t>Meta Cheyenne</t>
        </is>
      </c>
      <c r="D367" s="3" t="n">
        <v>2028</v>
      </c>
      <c r="E367" s="3" t="inlineStr">
        <is>
          <t>Meta</t>
        </is>
      </c>
      <c r="F367" s="17" t="n">
        <v>0</v>
      </c>
      <c r="G367" s="17" t="n">
        <v>1</v>
      </c>
      <c r="H367" s="17" t="n">
        <v>0</v>
      </c>
      <c r="I367" s="17" t="n">
        <v>0</v>
      </c>
      <c r="J367" s="17" t="n">
        <v>0</v>
      </c>
      <c r="K367" s="17" t="n">
        <v>0</v>
      </c>
      <c r="L367" s="17" t="n">
        <v>0</v>
      </c>
      <c r="M367" s="17" t="n">
        <v>0</v>
      </c>
      <c r="N367" s="17" t="n">
        <v>0</v>
      </c>
      <c r="O367" s="26" t="n">
        <v>1</v>
      </c>
      <c r="P367" s="3" t="inlineStr">
        <is>
          <t>epoch_chip_quantity_latest</t>
        </is>
      </c>
      <c r="Q367" s="3" t="inlineStr">
        <is>
          <t>SRC_EPOCH_AI_DATA_CENTERS; EPOCH_RAW_CHIP_QUANTITIES</t>
        </is>
      </c>
      <c r="R367" s="3" t="inlineStr">
        <is>
          <t>Latest chip quantity per chip type through year-end; normalized by unit count into benchmark buckets.</t>
        </is>
      </c>
    </row>
    <row r="368">
      <c r="A368" s="3" t="inlineStr">
        <is>
          <t>Bear|Meta Cheyenne|2029</t>
        </is>
      </c>
      <c r="B368" s="3" t="inlineStr">
        <is>
          <t>Bear</t>
        </is>
      </c>
      <c r="C368" s="3" t="inlineStr">
        <is>
          <t>Meta Cheyenne</t>
        </is>
      </c>
      <c r="D368" s="3" t="n">
        <v>2029</v>
      </c>
      <c r="E368" s="3" t="inlineStr">
        <is>
          <t>Meta</t>
        </is>
      </c>
      <c r="F368" s="17" t="n">
        <v>0</v>
      </c>
      <c r="G368" s="17" t="n">
        <v>1</v>
      </c>
      <c r="H368" s="17" t="n">
        <v>0</v>
      </c>
      <c r="I368" s="17" t="n">
        <v>0</v>
      </c>
      <c r="J368" s="17" t="n">
        <v>0</v>
      </c>
      <c r="K368" s="17" t="n">
        <v>0</v>
      </c>
      <c r="L368" s="17" t="n">
        <v>0</v>
      </c>
      <c r="M368" s="17" t="n">
        <v>0</v>
      </c>
      <c r="N368" s="17" t="n">
        <v>0</v>
      </c>
      <c r="O368" s="26" t="n">
        <v>1</v>
      </c>
      <c r="P368" s="3" t="inlineStr">
        <is>
          <t>epoch_chip_quantity_latest</t>
        </is>
      </c>
      <c r="Q368" s="3" t="inlineStr">
        <is>
          <t>SRC_EPOCH_AI_DATA_CENTERS; EPOCH_RAW_CHIP_QUANTITIES</t>
        </is>
      </c>
      <c r="R368" s="3" t="inlineStr">
        <is>
          <t>Latest chip quantity per chip type through year-end; normalized by unit count into benchmark buckets.</t>
        </is>
      </c>
    </row>
    <row r="369">
      <c r="A369" s="3" t="inlineStr">
        <is>
          <t>Bear|Meta Cheyenne|2030</t>
        </is>
      </c>
      <c r="B369" s="3" t="inlineStr">
        <is>
          <t>Bear</t>
        </is>
      </c>
      <c r="C369" s="3" t="inlineStr">
        <is>
          <t>Meta Cheyenne</t>
        </is>
      </c>
      <c r="D369" s="3" t="n">
        <v>2030</v>
      </c>
      <c r="E369" s="3" t="inlineStr">
        <is>
          <t>Meta</t>
        </is>
      </c>
      <c r="F369" s="17" t="n">
        <v>0</v>
      </c>
      <c r="G369" s="17" t="n">
        <v>1</v>
      </c>
      <c r="H369" s="17" t="n">
        <v>0</v>
      </c>
      <c r="I369" s="17" t="n">
        <v>0</v>
      </c>
      <c r="J369" s="17" t="n">
        <v>0</v>
      </c>
      <c r="K369" s="17" t="n">
        <v>0</v>
      </c>
      <c r="L369" s="17" t="n">
        <v>0</v>
      </c>
      <c r="M369" s="17" t="n">
        <v>0</v>
      </c>
      <c r="N369" s="17" t="n">
        <v>0</v>
      </c>
      <c r="O369" s="26" t="n">
        <v>1</v>
      </c>
      <c r="P369" s="3" t="inlineStr">
        <is>
          <t>epoch_chip_quantity_latest</t>
        </is>
      </c>
      <c r="Q369" s="3" t="inlineStr">
        <is>
          <t>SRC_EPOCH_AI_DATA_CENTERS; EPOCH_RAW_CHIP_QUANTITIES</t>
        </is>
      </c>
      <c r="R369" s="3" t="inlineStr">
        <is>
          <t>Latest chip quantity per chip type through year-end; normalized by unit count into benchmark buckets.</t>
        </is>
      </c>
    </row>
    <row r="370">
      <c r="A370" s="3" t="inlineStr">
        <is>
          <t>Base|Meta Cheyenne|2027</t>
        </is>
      </c>
      <c r="B370" s="3" t="inlineStr">
        <is>
          <t>Base</t>
        </is>
      </c>
      <c r="C370" s="3" t="inlineStr">
        <is>
          <t>Meta Cheyenne</t>
        </is>
      </c>
      <c r="D370" s="3" t="n">
        <v>2027</v>
      </c>
      <c r="E370" s="3" t="inlineStr">
        <is>
          <t>Meta</t>
        </is>
      </c>
      <c r="F370" s="17" t="n">
        <v>0</v>
      </c>
      <c r="G370" s="17" t="n">
        <v>1</v>
      </c>
      <c r="H370" s="17" t="n">
        <v>0</v>
      </c>
      <c r="I370" s="17" t="n">
        <v>0</v>
      </c>
      <c r="J370" s="17" t="n">
        <v>0</v>
      </c>
      <c r="K370" s="17" t="n">
        <v>0</v>
      </c>
      <c r="L370" s="17" t="n">
        <v>0</v>
      </c>
      <c r="M370" s="17" t="n">
        <v>0</v>
      </c>
      <c r="N370" s="17" t="n">
        <v>0</v>
      </c>
      <c r="O370" s="26" t="n">
        <v>1</v>
      </c>
      <c r="P370" s="3" t="inlineStr">
        <is>
          <t>epoch_chip_quantity_latest</t>
        </is>
      </c>
      <c r="Q370" s="3" t="inlineStr">
        <is>
          <t>SRC_EPOCH_AI_DATA_CENTERS; EPOCH_RAW_CHIP_QUANTITIES</t>
        </is>
      </c>
      <c r="R370" s="3" t="inlineStr">
        <is>
          <t>Latest chip quantity per chip type through year-end; normalized by unit count into benchmark buckets.</t>
        </is>
      </c>
    </row>
    <row r="371">
      <c r="A371" s="3" t="inlineStr">
        <is>
          <t>Base|Meta Cheyenne|2028</t>
        </is>
      </c>
      <c r="B371" s="3" t="inlineStr">
        <is>
          <t>Base</t>
        </is>
      </c>
      <c r="C371" s="3" t="inlineStr">
        <is>
          <t>Meta Cheyenne</t>
        </is>
      </c>
      <c r="D371" s="3" t="n">
        <v>2028</v>
      </c>
      <c r="E371" s="3" t="inlineStr">
        <is>
          <t>Meta</t>
        </is>
      </c>
      <c r="F371" s="17" t="n">
        <v>0</v>
      </c>
      <c r="G371" s="17" t="n">
        <v>1</v>
      </c>
      <c r="H371" s="17" t="n">
        <v>0</v>
      </c>
      <c r="I371" s="17" t="n">
        <v>0</v>
      </c>
      <c r="J371" s="17" t="n">
        <v>0</v>
      </c>
      <c r="K371" s="17" t="n">
        <v>0</v>
      </c>
      <c r="L371" s="17" t="n">
        <v>0</v>
      </c>
      <c r="M371" s="17" t="n">
        <v>0</v>
      </c>
      <c r="N371" s="17" t="n">
        <v>0</v>
      </c>
      <c r="O371" s="26" t="n">
        <v>1</v>
      </c>
      <c r="P371" s="3" t="inlineStr">
        <is>
          <t>epoch_chip_quantity_latest</t>
        </is>
      </c>
      <c r="Q371" s="3" t="inlineStr">
        <is>
          <t>SRC_EPOCH_AI_DATA_CENTERS; EPOCH_RAW_CHIP_QUANTITIES</t>
        </is>
      </c>
      <c r="R371" s="3" t="inlineStr">
        <is>
          <t>Latest chip quantity per chip type through year-end; normalized by unit count into benchmark buckets.</t>
        </is>
      </c>
    </row>
    <row r="372">
      <c r="A372" s="3" t="inlineStr">
        <is>
          <t>Base|Meta Cheyenne|2029</t>
        </is>
      </c>
      <c r="B372" s="3" t="inlineStr">
        <is>
          <t>Base</t>
        </is>
      </c>
      <c r="C372" s="3" t="inlineStr">
        <is>
          <t>Meta Cheyenne</t>
        </is>
      </c>
      <c r="D372" s="3" t="n">
        <v>2029</v>
      </c>
      <c r="E372" s="3" t="inlineStr">
        <is>
          <t>Meta</t>
        </is>
      </c>
      <c r="F372" s="17" t="n">
        <v>0</v>
      </c>
      <c r="G372" s="17" t="n">
        <v>1</v>
      </c>
      <c r="H372" s="17" t="n">
        <v>0</v>
      </c>
      <c r="I372" s="17" t="n">
        <v>0</v>
      </c>
      <c r="J372" s="17" t="n">
        <v>0</v>
      </c>
      <c r="K372" s="17" t="n">
        <v>0</v>
      </c>
      <c r="L372" s="17" t="n">
        <v>0</v>
      </c>
      <c r="M372" s="17" t="n">
        <v>0</v>
      </c>
      <c r="N372" s="17" t="n">
        <v>0</v>
      </c>
      <c r="O372" s="26" t="n">
        <v>1</v>
      </c>
      <c r="P372" s="3" t="inlineStr">
        <is>
          <t>epoch_chip_quantity_latest</t>
        </is>
      </c>
      <c r="Q372" s="3" t="inlineStr">
        <is>
          <t>SRC_EPOCH_AI_DATA_CENTERS; EPOCH_RAW_CHIP_QUANTITIES</t>
        </is>
      </c>
      <c r="R372" s="3" t="inlineStr">
        <is>
          <t>Latest chip quantity per chip type through year-end; normalized by unit count into benchmark buckets.</t>
        </is>
      </c>
    </row>
    <row r="373">
      <c r="A373" s="3" t="inlineStr">
        <is>
          <t>Base|Meta Cheyenne|2030</t>
        </is>
      </c>
      <c r="B373" s="3" t="inlineStr">
        <is>
          <t>Base</t>
        </is>
      </c>
      <c r="C373" s="3" t="inlineStr">
        <is>
          <t>Meta Cheyenne</t>
        </is>
      </c>
      <c r="D373" s="3" t="n">
        <v>2030</v>
      </c>
      <c r="E373" s="3" t="inlineStr">
        <is>
          <t>Meta</t>
        </is>
      </c>
      <c r="F373" s="17" t="n">
        <v>0</v>
      </c>
      <c r="G373" s="17" t="n">
        <v>1</v>
      </c>
      <c r="H373" s="17" t="n">
        <v>0</v>
      </c>
      <c r="I373" s="17" t="n">
        <v>0</v>
      </c>
      <c r="J373" s="17" t="n">
        <v>0</v>
      </c>
      <c r="K373" s="17" t="n">
        <v>0</v>
      </c>
      <c r="L373" s="17" t="n">
        <v>0</v>
      </c>
      <c r="M373" s="17" t="n">
        <v>0</v>
      </c>
      <c r="N373" s="17" t="n">
        <v>0</v>
      </c>
      <c r="O373" s="26" t="n">
        <v>1</v>
      </c>
      <c r="P373" s="3" t="inlineStr">
        <is>
          <t>epoch_chip_quantity_latest</t>
        </is>
      </c>
      <c r="Q373" s="3" t="inlineStr">
        <is>
          <t>SRC_EPOCH_AI_DATA_CENTERS; EPOCH_RAW_CHIP_QUANTITIES</t>
        </is>
      </c>
      <c r="R373" s="3" t="inlineStr">
        <is>
          <t>Latest chip quantity per chip type through year-end; normalized by unit count into benchmark buckets.</t>
        </is>
      </c>
    </row>
    <row r="374">
      <c r="A374" s="3" t="inlineStr">
        <is>
          <t>Bull|Meta Cheyenne|2027</t>
        </is>
      </c>
      <c r="B374" s="3" t="inlineStr">
        <is>
          <t>Bull</t>
        </is>
      </c>
      <c r="C374" s="3" t="inlineStr">
        <is>
          <t>Meta Cheyenne</t>
        </is>
      </c>
      <c r="D374" s="3" t="n">
        <v>2027</v>
      </c>
      <c r="E374" s="3" t="inlineStr">
        <is>
          <t>Meta</t>
        </is>
      </c>
      <c r="F374" s="17" t="n">
        <v>0</v>
      </c>
      <c r="G374" s="17" t="n">
        <v>1</v>
      </c>
      <c r="H374" s="17" t="n">
        <v>0</v>
      </c>
      <c r="I374" s="17" t="n">
        <v>0</v>
      </c>
      <c r="J374" s="17" t="n">
        <v>0</v>
      </c>
      <c r="K374" s="17" t="n">
        <v>0</v>
      </c>
      <c r="L374" s="17" t="n">
        <v>0</v>
      </c>
      <c r="M374" s="17" t="n">
        <v>0</v>
      </c>
      <c r="N374" s="17" t="n">
        <v>0</v>
      </c>
      <c r="O374" s="26" t="n">
        <v>1</v>
      </c>
      <c r="P374" s="3" t="inlineStr">
        <is>
          <t>epoch_chip_quantity_latest</t>
        </is>
      </c>
      <c r="Q374" s="3" t="inlineStr">
        <is>
          <t>SRC_EPOCH_AI_DATA_CENTERS; EPOCH_RAW_CHIP_QUANTITIES</t>
        </is>
      </c>
      <c r="R374" s="3" t="inlineStr">
        <is>
          <t>Latest chip quantity per chip type through year-end; normalized by unit count into benchmark buckets.</t>
        </is>
      </c>
    </row>
    <row r="375">
      <c r="A375" s="3" t="inlineStr">
        <is>
          <t>Bull|Meta Cheyenne|2028</t>
        </is>
      </c>
      <c r="B375" s="3" t="inlineStr">
        <is>
          <t>Bull</t>
        </is>
      </c>
      <c r="C375" s="3" t="inlineStr">
        <is>
          <t>Meta Cheyenne</t>
        </is>
      </c>
      <c r="D375" s="3" t="n">
        <v>2028</v>
      </c>
      <c r="E375" s="3" t="inlineStr">
        <is>
          <t>Meta</t>
        </is>
      </c>
      <c r="F375" s="17" t="n">
        <v>0</v>
      </c>
      <c r="G375" s="17" t="n">
        <v>1</v>
      </c>
      <c r="H375" s="17" t="n">
        <v>0</v>
      </c>
      <c r="I375" s="17" t="n">
        <v>0</v>
      </c>
      <c r="J375" s="17" t="n">
        <v>0</v>
      </c>
      <c r="K375" s="17" t="n">
        <v>0</v>
      </c>
      <c r="L375" s="17" t="n">
        <v>0</v>
      </c>
      <c r="M375" s="17" t="n">
        <v>0</v>
      </c>
      <c r="N375" s="17" t="n">
        <v>0</v>
      </c>
      <c r="O375" s="26" t="n">
        <v>1</v>
      </c>
      <c r="P375" s="3" t="inlineStr">
        <is>
          <t>epoch_chip_quantity_latest</t>
        </is>
      </c>
      <c r="Q375" s="3" t="inlineStr">
        <is>
          <t>SRC_EPOCH_AI_DATA_CENTERS; EPOCH_RAW_CHIP_QUANTITIES</t>
        </is>
      </c>
      <c r="R375" s="3" t="inlineStr">
        <is>
          <t>Latest chip quantity per chip type through year-end; normalized by unit count into benchmark buckets.</t>
        </is>
      </c>
    </row>
    <row r="376">
      <c r="A376" s="3" t="inlineStr">
        <is>
          <t>Bull|Meta Cheyenne|2029</t>
        </is>
      </c>
      <c r="B376" s="3" t="inlineStr">
        <is>
          <t>Bull</t>
        </is>
      </c>
      <c r="C376" s="3" t="inlineStr">
        <is>
          <t>Meta Cheyenne</t>
        </is>
      </c>
      <c r="D376" s="3" t="n">
        <v>2029</v>
      </c>
      <c r="E376" s="3" t="inlineStr">
        <is>
          <t>Meta</t>
        </is>
      </c>
      <c r="F376" s="17" t="n">
        <v>0</v>
      </c>
      <c r="G376" s="17" t="n">
        <v>1</v>
      </c>
      <c r="H376" s="17" t="n">
        <v>0</v>
      </c>
      <c r="I376" s="17" t="n">
        <v>0</v>
      </c>
      <c r="J376" s="17" t="n">
        <v>0</v>
      </c>
      <c r="K376" s="17" t="n">
        <v>0</v>
      </c>
      <c r="L376" s="17" t="n">
        <v>0</v>
      </c>
      <c r="M376" s="17" t="n">
        <v>0</v>
      </c>
      <c r="N376" s="17" t="n">
        <v>0</v>
      </c>
      <c r="O376" s="26" t="n">
        <v>1</v>
      </c>
      <c r="P376" s="3" t="inlineStr">
        <is>
          <t>epoch_chip_quantity_latest</t>
        </is>
      </c>
      <c r="Q376" s="3" t="inlineStr">
        <is>
          <t>SRC_EPOCH_AI_DATA_CENTERS; EPOCH_RAW_CHIP_QUANTITIES</t>
        </is>
      </c>
      <c r="R376" s="3" t="inlineStr">
        <is>
          <t>Latest chip quantity per chip type through year-end; normalized by unit count into benchmark buckets.</t>
        </is>
      </c>
    </row>
    <row r="377">
      <c r="A377" s="3" t="inlineStr">
        <is>
          <t>Bull|Meta Cheyenne|2030</t>
        </is>
      </c>
      <c r="B377" s="3" t="inlineStr">
        <is>
          <t>Bull</t>
        </is>
      </c>
      <c r="C377" s="3" t="inlineStr">
        <is>
          <t>Meta Cheyenne</t>
        </is>
      </c>
      <c r="D377" s="3" t="n">
        <v>2030</v>
      </c>
      <c r="E377" s="3" t="inlineStr">
        <is>
          <t>Meta</t>
        </is>
      </c>
      <c r="F377" s="17" t="n">
        <v>0</v>
      </c>
      <c r="G377" s="17" t="n">
        <v>1</v>
      </c>
      <c r="H377" s="17" t="n">
        <v>0</v>
      </c>
      <c r="I377" s="17" t="n">
        <v>0</v>
      </c>
      <c r="J377" s="17" t="n">
        <v>0</v>
      </c>
      <c r="K377" s="17" t="n">
        <v>0</v>
      </c>
      <c r="L377" s="17" t="n">
        <v>0</v>
      </c>
      <c r="M377" s="17" t="n">
        <v>0</v>
      </c>
      <c r="N377" s="17" t="n">
        <v>0</v>
      </c>
      <c r="O377" s="26" t="n">
        <v>1</v>
      </c>
      <c r="P377" s="3" t="inlineStr">
        <is>
          <t>epoch_chip_quantity_latest</t>
        </is>
      </c>
      <c r="Q377" s="3" t="inlineStr">
        <is>
          <t>SRC_EPOCH_AI_DATA_CENTERS; EPOCH_RAW_CHIP_QUANTITIES</t>
        </is>
      </c>
      <c r="R377" s="3" t="inlineStr">
        <is>
          <t>Latest chip quantity per chip type through year-end; normalized by unit count into benchmark buckets.</t>
        </is>
      </c>
    </row>
    <row r="378">
      <c r="A378" s="3" t="inlineStr">
        <is>
          <t>Grid-Constrained / Efficiency-Upside|Meta Cheyenne|2027</t>
        </is>
      </c>
      <c r="B378" s="3" t="inlineStr">
        <is>
          <t>Grid-Constrained / Efficiency-Upside</t>
        </is>
      </c>
      <c r="C378" s="3" t="inlineStr">
        <is>
          <t>Meta Cheyenne</t>
        </is>
      </c>
      <c r="D378" s="3" t="n">
        <v>2027</v>
      </c>
      <c r="E378" s="3" t="inlineStr">
        <is>
          <t>Meta</t>
        </is>
      </c>
      <c r="F378" s="17" t="n">
        <v>0</v>
      </c>
      <c r="G378" s="17" t="n">
        <v>1</v>
      </c>
      <c r="H378" s="17" t="n">
        <v>0</v>
      </c>
      <c r="I378" s="17" t="n">
        <v>0</v>
      </c>
      <c r="J378" s="17" t="n">
        <v>0</v>
      </c>
      <c r="K378" s="17" t="n">
        <v>0</v>
      </c>
      <c r="L378" s="17" t="n">
        <v>0</v>
      </c>
      <c r="M378" s="17" t="n">
        <v>0</v>
      </c>
      <c r="N378" s="17" t="n">
        <v>0</v>
      </c>
      <c r="O378" s="26" t="n">
        <v>1</v>
      </c>
      <c r="P378" s="3" t="inlineStr">
        <is>
          <t>epoch_chip_quantity_latest</t>
        </is>
      </c>
      <c r="Q378" s="3" t="inlineStr">
        <is>
          <t>SRC_EPOCH_AI_DATA_CENTERS; EPOCH_RAW_CHIP_QUANTITIES</t>
        </is>
      </c>
      <c r="R378" s="3" t="inlineStr">
        <is>
          <t>Latest chip quantity per chip type through year-end; normalized by unit count into benchmark buckets.</t>
        </is>
      </c>
    </row>
    <row r="379">
      <c r="A379" s="3" t="inlineStr">
        <is>
          <t>Grid-Constrained / Efficiency-Upside|Meta Cheyenne|2028</t>
        </is>
      </c>
      <c r="B379" s="3" t="inlineStr">
        <is>
          <t>Grid-Constrained / Efficiency-Upside</t>
        </is>
      </c>
      <c r="C379" s="3" t="inlineStr">
        <is>
          <t>Meta Cheyenne</t>
        </is>
      </c>
      <c r="D379" s="3" t="n">
        <v>2028</v>
      </c>
      <c r="E379" s="3" t="inlineStr">
        <is>
          <t>Meta</t>
        </is>
      </c>
      <c r="F379" s="17" t="n">
        <v>0</v>
      </c>
      <c r="G379" s="17" t="n">
        <v>1</v>
      </c>
      <c r="H379" s="17" t="n">
        <v>0</v>
      </c>
      <c r="I379" s="17" t="n">
        <v>0</v>
      </c>
      <c r="J379" s="17" t="n">
        <v>0</v>
      </c>
      <c r="K379" s="17" t="n">
        <v>0</v>
      </c>
      <c r="L379" s="17" t="n">
        <v>0</v>
      </c>
      <c r="M379" s="17" t="n">
        <v>0</v>
      </c>
      <c r="N379" s="17" t="n">
        <v>0</v>
      </c>
      <c r="O379" s="26" t="n">
        <v>1</v>
      </c>
      <c r="P379" s="3" t="inlineStr">
        <is>
          <t>epoch_chip_quantity_latest</t>
        </is>
      </c>
      <c r="Q379" s="3" t="inlineStr">
        <is>
          <t>SRC_EPOCH_AI_DATA_CENTERS; EPOCH_RAW_CHIP_QUANTITIES</t>
        </is>
      </c>
      <c r="R379" s="3" t="inlineStr">
        <is>
          <t>Latest chip quantity per chip type through year-end; normalized by unit count into benchmark buckets.</t>
        </is>
      </c>
    </row>
    <row r="380">
      <c r="A380" s="3" t="inlineStr">
        <is>
          <t>Grid-Constrained / Efficiency-Upside|Meta Cheyenne|2029</t>
        </is>
      </c>
      <c r="B380" s="3" t="inlineStr">
        <is>
          <t>Grid-Constrained / Efficiency-Upside</t>
        </is>
      </c>
      <c r="C380" s="3" t="inlineStr">
        <is>
          <t>Meta Cheyenne</t>
        </is>
      </c>
      <c r="D380" s="3" t="n">
        <v>2029</v>
      </c>
      <c r="E380" s="3" t="inlineStr">
        <is>
          <t>Meta</t>
        </is>
      </c>
      <c r="F380" s="17" t="n">
        <v>0</v>
      </c>
      <c r="G380" s="17" t="n">
        <v>1</v>
      </c>
      <c r="H380" s="17" t="n">
        <v>0</v>
      </c>
      <c r="I380" s="17" t="n">
        <v>0</v>
      </c>
      <c r="J380" s="17" t="n">
        <v>0</v>
      </c>
      <c r="K380" s="17" t="n">
        <v>0</v>
      </c>
      <c r="L380" s="17" t="n">
        <v>0</v>
      </c>
      <c r="M380" s="17" t="n">
        <v>0</v>
      </c>
      <c r="N380" s="17" t="n">
        <v>0</v>
      </c>
      <c r="O380" s="26" t="n">
        <v>1</v>
      </c>
      <c r="P380" s="3" t="inlineStr">
        <is>
          <t>epoch_chip_quantity_latest</t>
        </is>
      </c>
      <c r="Q380" s="3" t="inlineStr">
        <is>
          <t>SRC_EPOCH_AI_DATA_CENTERS; EPOCH_RAW_CHIP_QUANTITIES</t>
        </is>
      </c>
      <c r="R380" s="3" t="inlineStr">
        <is>
          <t>Latest chip quantity per chip type through year-end; normalized by unit count into benchmark buckets.</t>
        </is>
      </c>
    </row>
    <row r="381">
      <c r="A381" s="3" t="inlineStr">
        <is>
          <t>Grid-Constrained / Efficiency-Upside|Meta Cheyenne|2030</t>
        </is>
      </c>
      <c r="B381" s="3" t="inlineStr">
        <is>
          <t>Grid-Constrained / Efficiency-Upside</t>
        </is>
      </c>
      <c r="C381" s="3" t="inlineStr">
        <is>
          <t>Meta Cheyenne</t>
        </is>
      </c>
      <c r="D381" s="3" t="n">
        <v>2030</v>
      </c>
      <c r="E381" s="3" t="inlineStr">
        <is>
          <t>Meta</t>
        </is>
      </c>
      <c r="F381" s="17" t="n">
        <v>0</v>
      </c>
      <c r="G381" s="17" t="n">
        <v>1</v>
      </c>
      <c r="H381" s="17" t="n">
        <v>0</v>
      </c>
      <c r="I381" s="17" t="n">
        <v>0</v>
      </c>
      <c r="J381" s="17" t="n">
        <v>0</v>
      </c>
      <c r="K381" s="17" t="n">
        <v>0</v>
      </c>
      <c r="L381" s="17" t="n">
        <v>0</v>
      </c>
      <c r="M381" s="17" t="n">
        <v>0</v>
      </c>
      <c r="N381" s="17" t="n">
        <v>0</v>
      </c>
      <c r="O381" s="26" t="n">
        <v>1</v>
      </c>
      <c r="P381" s="3" t="inlineStr">
        <is>
          <t>epoch_chip_quantity_latest</t>
        </is>
      </c>
      <c r="Q381" s="3" t="inlineStr">
        <is>
          <t>SRC_EPOCH_AI_DATA_CENTERS; EPOCH_RAW_CHIP_QUANTITIES</t>
        </is>
      </c>
      <c r="R381" s="3" t="inlineStr">
        <is>
          <t>Latest chip quantity per chip type through year-end; normalized by unit count into benchmark buckets.</t>
        </is>
      </c>
    </row>
    <row r="382">
      <c r="A382" s="3" t="inlineStr">
        <is>
          <t>Bear|Meta Eagle Mountain|2026</t>
        </is>
      </c>
      <c r="B382" s="3" t="inlineStr">
        <is>
          <t>Bear</t>
        </is>
      </c>
      <c r="C382" s="3" t="inlineStr">
        <is>
          <t>Meta Eagle Mountain</t>
        </is>
      </c>
      <c r="D382" s="3" t="n">
        <v>2026</v>
      </c>
      <c r="E382" s="3" t="inlineStr">
        <is>
          <t>Meta</t>
        </is>
      </c>
      <c r="F382" s="17" t="n">
        <v>0</v>
      </c>
      <c r="G382" s="17" t="n">
        <v>1</v>
      </c>
      <c r="H382" s="17" t="n">
        <v>0</v>
      </c>
      <c r="I382" s="17" t="n">
        <v>0</v>
      </c>
      <c r="J382" s="17" t="n">
        <v>0</v>
      </c>
      <c r="K382" s="17" t="n">
        <v>0</v>
      </c>
      <c r="L382" s="17" t="n">
        <v>0</v>
      </c>
      <c r="M382" s="17" t="n">
        <v>0</v>
      </c>
      <c r="N382" s="17" t="n">
        <v>0</v>
      </c>
      <c r="O382" s="26" t="n">
        <v>1</v>
      </c>
      <c r="P382" s="3" t="inlineStr">
        <is>
          <t>epoch_chip_quantity_latest</t>
        </is>
      </c>
      <c r="Q382" s="3" t="inlineStr">
        <is>
          <t>SRC_EPOCH_AI_DATA_CENTERS; EPOCH_RAW_CHIP_QUANTITIES</t>
        </is>
      </c>
      <c r="R382" s="3" t="inlineStr">
        <is>
          <t>Latest chip quantity per chip type through year-end; normalized by unit count into benchmark buckets.</t>
        </is>
      </c>
    </row>
    <row r="383">
      <c r="A383" s="3" t="inlineStr">
        <is>
          <t>Bear|Meta Eagle Mountain|2027</t>
        </is>
      </c>
      <c r="B383" s="3" t="inlineStr">
        <is>
          <t>Bear</t>
        </is>
      </c>
      <c r="C383" s="3" t="inlineStr">
        <is>
          <t>Meta Eagle Mountain</t>
        </is>
      </c>
      <c r="D383" s="3" t="n">
        <v>2027</v>
      </c>
      <c r="E383" s="3" t="inlineStr">
        <is>
          <t>Meta</t>
        </is>
      </c>
      <c r="F383" s="17" t="n">
        <v>0</v>
      </c>
      <c r="G383" s="17" t="n">
        <v>1</v>
      </c>
      <c r="H383" s="17" t="n">
        <v>0</v>
      </c>
      <c r="I383" s="17" t="n">
        <v>0</v>
      </c>
      <c r="J383" s="17" t="n">
        <v>0</v>
      </c>
      <c r="K383" s="17" t="n">
        <v>0</v>
      </c>
      <c r="L383" s="17" t="n">
        <v>0</v>
      </c>
      <c r="M383" s="17" t="n">
        <v>0</v>
      </c>
      <c r="N383" s="17" t="n">
        <v>0</v>
      </c>
      <c r="O383" s="26" t="n">
        <v>1</v>
      </c>
      <c r="P383" s="3" t="inlineStr">
        <is>
          <t>epoch_chip_quantity_latest</t>
        </is>
      </c>
      <c r="Q383" s="3" t="inlineStr">
        <is>
          <t>SRC_EPOCH_AI_DATA_CENTERS; EPOCH_RAW_CHIP_QUANTITIES</t>
        </is>
      </c>
      <c r="R383" s="3" t="inlineStr">
        <is>
          <t>Latest chip quantity per chip type through year-end; normalized by unit count into benchmark buckets.</t>
        </is>
      </c>
    </row>
    <row r="384">
      <c r="A384" s="3" t="inlineStr">
        <is>
          <t>Bear|Meta Eagle Mountain|2028</t>
        </is>
      </c>
      <c r="B384" s="3" t="inlineStr">
        <is>
          <t>Bear</t>
        </is>
      </c>
      <c r="C384" s="3" t="inlineStr">
        <is>
          <t>Meta Eagle Mountain</t>
        </is>
      </c>
      <c r="D384" s="3" t="n">
        <v>2028</v>
      </c>
      <c r="E384" s="3" t="inlineStr">
        <is>
          <t>Meta</t>
        </is>
      </c>
      <c r="F384" s="17" t="n">
        <v>0</v>
      </c>
      <c r="G384" s="17" t="n">
        <v>1</v>
      </c>
      <c r="H384" s="17" t="n">
        <v>0</v>
      </c>
      <c r="I384" s="17" t="n">
        <v>0</v>
      </c>
      <c r="J384" s="17" t="n">
        <v>0</v>
      </c>
      <c r="K384" s="17" t="n">
        <v>0</v>
      </c>
      <c r="L384" s="17" t="n">
        <v>0</v>
      </c>
      <c r="M384" s="17" t="n">
        <v>0</v>
      </c>
      <c r="N384" s="17" t="n">
        <v>0</v>
      </c>
      <c r="O384" s="26" t="n">
        <v>1</v>
      </c>
      <c r="P384" s="3" t="inlineStr">
        <is>
          <t>epoch_chip_quantity_latest</t>
        </is>
      </c>
      <c r="Q384" s="3" t="inlineStr">
        <is>
          <t>SRC_EPOCH_AI_DATA_CENTERS; EPOCH_RAW_CHIP_QUANTITIES</t>
        </is>
      </c>
      <c r="R384" s="3" t="inlineStr">
        <is>
          <t>Latest chip quantity per chip type through year-end; normalized by unit count into benchmark buckets.</t>
        </is>
      </c>
    </row>
    <row r="385">
      <c r="A385" s="3" t="inlineStr">
        <is>
          <t>Bear|Meta Eagle Mountain|2029</t>
        </is>
      </c>
      <c r="B385" s="3" t="inlineStr">
        <is>
          <t>Bear</t>
        </is>
      </c>
      <c r="C385" s="3" t="inlineStr">
        <is>
          <t>Meta Eagle Mountain</t>
        </is>
      </c>
      <c r="D385" s="3" t="n">
        <v>2029</v>
      </c>
      <c r="E385" s="3" t="inlineStr">
        <is>
          <t>Meta</t>
        </is>
      </c>
      <c r="F385" s="17" t="n">
        <v>0</v>
      </c>
      <c r="G385" s="17" t="n">
        <v>1</v>
      </c>
      <c r="H385" s="17" t="n">
        <v>0</v>
      </c>
      <c r="I385" s="17" t="n">
        <v>0</v>
      </c>
      <c r="J385" s="17" t="n">
        <v>0</v>
      </c>
      <c r="K385" s="17" t="n">
        <v>0</v>
      </c>
      <c r="L385" s="17" t="n">
        <v>0</v>
      </c>
      <c r="M385" s="17" t="n">
        <v>0</v>
      </c>
      <c r="N385" s="17" t="n">
        <v>0</v>
      </c>
      <c r="O385" s="26" t="n">
        <v>1</v>
      </c>
      <c r="P385" s="3" t="inlineStr">
        <is>
          <t>epoch_chip_quantity_latest</t>
        </is>
      </c>
      <c r="Q385" s="3" t="inlineStr">
        <is>
          <t>SRC_EPOCH_AI_DATA_CENTERS; EPOCH_RAW_CHIP_QUANTITIES</t>
        </is>
      </c>
      <c r="R385" s="3" t="inlineStr">
        <is>
          <t>Latest chip quantity per chip type through year-end; normalized by unit count into benchmark buckets.</t>
        </is>
      </c>
    </row>
    <row r="386">
      <c r="A386" s="3" t="inlineStr">
        <is>
          <t>Bear|Meta Eagle Mountain|2030</t>
        </is>
      </c>
      <c r="B386" s="3" t="inlineStr">
        <is>
          <t>Bear</t>
        </is>
      </c>
      <c r="C386" s="3" t="inlineStr">
        <is>
          <t>Meta Eagle Mountain</t>
        </is>
      </c>
      <c r="D386" s="3" t="n">
        <v>2030</v>
      </c>
      <c r="E386" s="3" t="inlineStr">
        <is>
          <t>Meta</t>
        </is>
      </c>
      <c r="F386" s="17" t="n">
        <v>0</v>
      </c>
      <c r="G386" s="17" t="n">
        <v>1</v>
      </c>
      <c r="H386" s="17" t="n">
        <v>0</v>
      </c>
      <c r="I386" s="17" t="n">
        <v>0</v>
      </c>
      <c r="J386" s="17" t="n">
        <v>0</v>
      </c>
      <c r="K386" s="17" t="n">
        <v>0</v>
      </c>
      <c r="L386" s="17" t="n">
        <v>0</v>
      </c>
      <c r="M386" s="17" t="n">
        <v>0</v>
      </c>
      <c r="N386" s="17" t="n">
        <v>0</v>
      </c>
      <c r="O386" s="26" t="n">
        <v>1</v>
      </c>
      <c r="P386" s="3" t="inlineStr">
        <is>
          <t>epoch_chip_quantity_latest</t>
        </is>
      </c>
      <c r="Q386" s="3" t="inlineStr">
        <is>
          <t>SRC_EPOCH_AI_DATA_CENTERS; EPOCH_RAW_CHIP_QUANTITIES</t>
        </is>
      </c>
      <c r="R386" s="3" t="inlineStr">
        <is>
          <t>Latest chip quantity per chip type through year-end; normalized by unit count into benchmark buckets.</t>
        </is>
      </c>
    </row>
    <row r="387">
      <c r="A387" s="3" t="inlineStr">
        <is>
          <t>Base|Meta Eagle Mountain|2026</t>
        </is>
      </c>
      <c r="B387" s="3" t="inlineStr">
        <is>
          <t>Base</t>
        </is>
      </c>
      <c r="C387" s="3" t="inlineStr">
        <is>
          <t>Meta Eagle Mountain</t>
        </is>
      </c>
      <c r="D387" s="3" t="n">
        <v>2026</v>
      </c>
      <c r="E387" s="3" t="inlineStr">
        <is>
          <t>Meta</t>
        </is>
      </c>
      <c r="F387" s="17" t="n">
        <v>0</v>
      </c>
      <c r="G387" s="17" t="n">
        <v>1</v>
      </c>
      <c r="H387" s="17" t="n">
        <v>0</v>
      </c>
      <c r="I387" s="17" t="n">
        <v>0</v>
      </c>
      <c r="J387" s="17" t="n">
        <v>0</v>
      </c>
      <c r="K387" s="17" t="n">
        <v>0</v>
      </c>
      <c r="L387" s="17" t="n">
        <v>0</v>
      </c>
      <c r="M387" s="17" t="n">
        <v>0</v>
      </c>
      <c r="N387" s="17" t="n">
        <v>0</v>
      </c>
      <c r="O387" s="26" t="n">
        <v>1</v>
      </c>
      <c r="P387" s="3" t="inlineStr">
        <is>
          <t>epoch_chip_quantity_latest</t>
        </is>
      </c>
      <c r="Q387" s="3" t="inlineStr">
        <is>
          <t>SRC_EPOCH_AI_DATA_CENTERS; EPOCH_RAW_CHIP_QUANTITIES</t>
        </is>
      </c>
      <c r="R387" s="3" t="inlineStr">
        <is>
          <t>Latest chip quantity per chip type through year-end; normalized by unit count into benchmark buckets.</t>
        </is>
      </c>
    </row>
    <row r="388">
      <c r="A388" s="3" t="inlineStr">
        <is>
          <t>Base|Meta Eagle Mountain|2027</t>
        </is>
      </c>
      <c r="B388" s="3" t="inlineStr">
        <is>
          <t>Base</t>
        </is>
      </c>
      <c r="C388" s="3" t="inlineStr">
        <is>
          <t>Meta Eagle Mountain</t>
        </is>
      </c>
      <c r="D388" s="3" t="n">
        <v>2027</v>
      </c>
      <c r="E388" s="3" t="inlineStr">
        <is>
          <t>Meta</t>
        </is>
      </c>
      <c r="F388" s="17" t="n">
        <v>0</v>
      </c>
      <c r="G388" s="17" t="n">
        <v>1</v>
      </c>
      <c r="H388" s="17" t="n">
        <v>0</v>
      </c>
      <c r="I388" s="17" t="n">
        <v>0</v>
      </c>
      <c r="J388" s="17" t="n">
        <v>0</v>
      </c>
      <c r="K388" s="17" t="n">
        <v>0</v>
      </c>
      <c r="L388" s="17" t="n">
        <v>0</v>
      </c>
      <c r="M388" s="17" t="n">
        <v>0</v>
      </c>
      <c r="N388" s="17" t="n">
        <v>0</v>
      </c>
      <c r="O388" s="26" t="n">
        <v>1</v>
      </c>
      <c r="P388" s="3" t="inlineStr">
        <is>
          <t>epoch_chip_quantity_latest</t>
        </is>
      </c>
      <c r="Q388" s="3" t="inlineStr">
        <is>
          <t>SRC_EPOCH_AI_DATA_CENTERS; EPOCH_RAW_CHIP_QUANTITIES</t>
        </is>
      </c>
      <c r="R388" s="3" t="inlineStr">
        <is>
          <t>Latest chip quantity per chip type through year-end; normalized by unit count into benchmark buckets.</t>
        </is>
      </c>
    </row>
    <row r="389">
      <c r="A389" s="3" t="inlineStr">
        <is>
          <t>Base|Meta Eagle Mountain|2028</t>
        </is>
      </c>
      <c r="B389" s="3" t="inlineStr">
        <is>
          <t>Base</t>
        </is>
      </c>
      <c r="C389" s="3" t="inlineStr">
        <is>
          <t>Meta Eagle Mountain</t>
        </is>
      </c>
      <c r="D389" s="3" t="n">
        <v>2028</v>
      </c>
      <c r="E389" s="3" t="inlineStr">
        <is>
          <t>Meta</t>
        </is>
      </c>
      <c r="F389" s="17" t="n">
        <v>0</v>
      </c>
      <c r="G389" s="17" t="n">
        <v>1</v>
      </c>
      <c r="H389" s="17" t="n">
        <v>0</v>
      </c>
      <c r="I389" s="17" t="n">
        <v>0</v>
      </c>
      <c r="J389" s="17" t="n">
        <v>0</v>
      </c>
      <c r="K389" s="17" t="n">
        <v>0</v>
      </c>
      <c r="L389" s="17" t="n">
        <v>0</v>
      </c>
      <c r="M389" s="17" t="n">
        <v>0</v>
      </c>
      <c r="N389" s="17" t="n">
        <v>0</v>
      </c>
      <c r="O389" s="26" t="n">
        <v>1</v>
      </c>
      <c r="P389" s="3" t="inlineStr">
        <is>
          <t>epoch_chip_quantity_latest</t>
        </is>
      </c>
      <c r="Q389" s="3" t="inlineStr">
        <is>
          <t>SRC_EPOCH_AI_DATA_CENTERS; EPOCH_RAW_CHIP_QUANTITIES</t>
        </is>
      </c>
      <c r="R389" s="3" t="inlineStr">
        <is>
          <t>Latest chip quantity per chip type through year-end; normalized by unit count into benchmark buckets.</t>
        </is>
      </c>
    </row>
    <row r="390">
      <c r="A390" s="3" t="inlineStr">
        <is>
          <t>Base|Meta Eagle Mountain|2029</t>
        </is>
      </c>
      <c r="B390" s="3" t="inlineStr">
        <is>
          <t>Base</t>
        </is>
      </c>
      <c r="C390" s="3" t="inlineStr">
        <is>
          <t>Meta Eagle Mountain</t>
        </is>
      </c>
      <c r="D390" s="3" t="n">
        <v>2029</v>
      </c>
      <c r="E390" s="3" t="inlineStr">
        <is>
          <t>Meta</t>
        </is>
      </c>
      <c r="F390" s="17" t="n">
        <v>0</v>
      </c>
      <c r="G390" s="17" t="n">
        <v>1</v>
      </c>
      <c r="H390" s="17" t="n">
        <v>0</v>
      </c>
      <c r="I390" s="17" t="n">
        <v>0</v>
      </c>
      <c r="J390" s="17" t="n">
        <v>0</v>
      </c>
      <c r="K390" s="17" t="n">
        <v>0</v>
      </c>
      <c r="L390" s="17" t="n">
        <v>0</v>
      </c>
      <c r="M390" s="17" t="n">
        <v>0</v>
      </c>
      <c r="N390" s="17" t="n">
        <v>0</v>
      </c>
      <c r="O390" s="26" t="n">
        <v>1</v>
      </c>
      <c r="P390" s="3" t="inlineStr">
        <is>
          <t>epoch_chip_quantity_latest</t>
        </is>
      </c>
      <c r="Q390" s="3" t="inlineStr">
        <is>
          <t>SRC_EPOCH_AI_DATA_CENTERS; EPOCH_RAW_CHIP_QUANTITIES</t>
        </is>
      </c>
      <c r="R390" s="3" t="inlineStr">
        <is>
          <t>Latest chip quantity per chip type through year-end; normalized by unit count into benchmark buckets.</t>
        </is>
      </c>
    </row>
    <row r="391">
      <c r="A391" s="3" t="inlineStr">
        <is>
          <t>Base|Meta Eagle Mountain|2030</t>
        </is>
      </c>
      <c r="B391" s="3" t="inlineStr">
        <is>
          <t>Base</t>
        </is>
      </c>
      <c r="C391" s="3" t="inlineStr">
        <is>
          <t>Meta Eagle Mountain</t>
        </is>
      </c>
      <c r="D391" s="3" t="n">
        <v>2030</v>
      </c>
      <c r="E391" s="3" t="inlineStr">
        <is>
          <t>Meta</t>
        </is>
      </c>
      <c r="F391" s="17" t="n">
        <v>0</v>
      </c>
      <c r="G391" s="17" t="n">
        <v>1</v>
      </c>
      <c r="H391" s="17" t="n">
        <v>0</v>
      </c>
      <c r="I391" s="17" t="n">
        <v>0</v>
      </c>
      <c r="J391" s="17" t="n">
        <v>0</v>
      </c>
      <c r="K391" s="17" t="n">
        <v>0</v>
      </c>
      <c r="L391" s="17" t="n">
        <v>0</v>
      </c>
      <c r="M391" s="17" t="n">
        <v>0</v>
      </c>
      <c r="N391" s="17" t="n">
        <v>0</v>
      </c>
      <c r="O391" s="26" t="n">
        <v>1</v>
      </c>
      <c r="P391" s="3" t="inlineStr">
        <is>
          <t>epoch_chip_quantity_latest</t>
        </is>
      </c>
      <c r="Q391" s="3" t="inlineStr">
        <is>
          <t>SRC_EPOCH_AI_DATA_CENTERS; EPOCH_RAW_CHIP_QUANTITIES</t>
        </is>
      </c>
      <c r="R391" s="3" t="inlineStr">
        <is>
          <t>Latest chip quantity per chip type through year-end; normalized by unit count into benchmark buckets.</t>
        </is>
      </c>
    </row>
    <row r="392">
      <c r="A392" s="3" t="inlineStr">
        <is>
          <t>Bull|Meta Eagle Mountain|2026</t>
        </is>
      </c>
      <c r="B392" s="3" t="inlineStr">
        <is>
          <t>Bull</t>
        </is>
      </c>
      <c r="C392" s="3" t="inlineStr">
        <is>
          <t>Meta Eagle Mountain</t>
        </is>
      </c>
      <c r="D392" s="3" t="n">
        <v>2026</v>
      </c>
      <c r="E392" s="3" t="inlineStr">
        <is>
          <t>Meta</t>
        </is>
      </c>
      <c r="F392" s="17" t="n">
        <v>0</v>
      </c>
      <c r="G392" s="17" t="n">
        <v>1</v>
      </c>
      <c r="H392" s="17" t="n">
        <v>0</v>
      </c>
      <c r="I392" s="17" t="n">
        <v>0</v>
      </c>
      <c r="J392" s="17" t="n">
        <v>0</v>
      </c>
      <c r="K392" s="17" t="n">
        <v>0</v>
      </c>
      <c r="L392" s="17" t="n">
        <v>0</v>
      </c>
      <c r="M392" s="17" t="n">
        <v>0</v>
      </c>
      <c r="N392" s="17" t="n">
        <v>0</v>
      </c>
      <c r="O392" s="26" t="n">
        <v>1</v>
      </c>
      <c r="P392" s="3" t="inlineStr">
        <is>
          <t>epoch_chip_quantity_latest</t>
        </is>
      </c>
      <c r="Q392" s="3" t="inlineStr">
        <is>
          <t>SRC_EPOCH_AI_DATA_CENTERS; EPOCH_RAW_CHIP_QUANTITIES</t>
        </is>
      </c>
      <c r="R392" s="3" t="inlineStr">
        <is>
          <t>Latest chip quantity per chip type through year-end; normalized by unit count into benchmark buckets.</t>
        </is>
      </c>
    </row>
    <row r="393">
      <c r="A393" s="3" t="inlineStr">
        <is>
          <t>Bull|Meta Eagle Mountain|2027</t>
        </is>
      </c>
      <c r="B393" s="3" t="inlineStr">
        <is>
          <t>Bull</t>
        </is>
      </c>
      <c r="C393" s="3" t="inlineStr">
        <is>
          <t>Meta Eagle Mountain</t>
        </is>
      </c>
      <c r="D393" s="3" t="n">
        <v>2027</v>
      </c>
      <c r="E393" s="3" t="inlineStr">
        <is>
          <t>Meta</t>
        </is>
      </c>
      <c r="F393" s="17" t="n">
        <v>0</v>
      </c>
      <c r="G393" s="17" t="n">
        <v>1</v>
      </c>
      <c r="H393" s="17" t="n">
        <v>0</v>
      </c>
      <c r="I393" s="17" t="n">
        <v>0</v>
      </c>
      <c r="J393" s="17" t="n">
        <v>0</v>
      </c>
      <c r="K393" s="17" t="n">
        <v>0</v>
      </c>
      <c r="L393" s="17" t="n">
        <v>0</v>
      </c>
      <c r="M393" s="17" t="n">
        <v>0</v>
      </c>
      <c r="N393" s="17" t="n">
        <v>0</v>
      </c>
      <c r="O393" s="26" t="n">
        <v>1</v>
      </c>
      <c r="P393" s="3" t="inlineStr">
        <is>
          <t>epoch_chip_quantity_latest</t>
        </is>
      </c>
      <c r="Q393" s="3" t="inlineStr">
        <is>
          <t>SRC_EPOCH_AI_DATA_CENTERS; EPOCH_RAW_CHIP_QUANTITIES</t>
        </is>
      </c>
      <c r="R393" s="3" t="inlineStr">
        <is>
          <t>Latest chip quantity per chip type through year-end; normalized by unit count into benchmark buckets.</t>
        </is>
      </c>
    </row>
    <row r="394">
      <c r="A394" s="3" t="inlineStr">
        <is>
          <t>Bull|Meta Eagle Mountain|2028</t>
        </is>
      </c>
      <c r="B394" s="3" t="inlineStr">
        <is>
          <t>Bull</t>
        </is>
      </c>
      <c r="C394" s="3" t="inlineStr">
        <is>
          <t>Meta Eagle Mountain</t>
        </is>
      </c>
      <c r="D394" s="3" t="n">
        <v>2028</v>
      </c>
      <c r="E394" s="3" t="inlineStr">
        <is>
          <t>Meta</t>
        </is>
      </c>
      <c r="F394" s="17" t="n">
        <v>0</v>
      </c>
      <c r="G394" s="17" t="n">
        <v>1</v>
      </c>
      <c r="H394" s="17" t="n">
        <v>0</v>
      </c>
      <c r="I394" s="17" t="n">
        <v>0</v>
      </c>
      <c r="J394" s="17" t="n">
        <v>0</v>
      </c>
      <c r="K394" s="17" t="n">
        <v>0</v>
      </c>
      <c r="L394" s="17" t="n">
        <v>0</v>
      </c>
      <c r="M394" s="17" t="n">
        <v>0</v>
      </c>
      <c r="N394" s="17" t="n">
        <v>0</v>
      </c>
      <c r="O394" s="26" t="n">
        <v>1</v>
      </c>
      <c r="P394" s="3" t="inlineStr">
        <is>
          <t>epoch_chip_quantity_latest</t>
        </is>
      </c>
      <c r="Q394" s="3" t="inlineStr">
        <is>
          <t>SRC_EPOCH_AI_DATA_CENTERS; EPOCH_RAW_CHIP_QUANTITIES</t>
        </is>
      </c>
      <c r="R394" s="3" t="inlineStr">
        <is>
          <t>Latest chip quantity per chip type through year-end; normalized by unit count into benchmark buckets.</t>
        </is>
      </c>
    </row>
    <row r="395">
      <c r="A395" s="3" t="inlineStr">
        <is>
          <t>Bull|Meta Eagle Mountain|2029</t>
        </is>
      </c>
      <c r="B395" s="3" t="inlineStr">
        <is>
          <t>Bull</t>
        </is>
      </c>
      <c r="C395" s="3" t="inlineStr">
        <is>
          <t>Meta Eagle Mountain</t>
        </is>
      </c>
      <c r="D395" s="3" t="n">
        <v>2029</v>
      </c>
      <c r="E395" s="3" t="inlineStr">
        <is>
          <t>Meta</t>
        </is>
      </c>
      <c r="F395" s="17" t="n">
        <v>0</v>
      </c>
      <c r="G395" s="17" t="n">
        <v>1</v>
      </c>
      <c r="H395" s="17" t="n">
        <v>0</v>
      </c>
      <c r="I395" s="17" t="n">
        <v>0</v>
      </c>
      <c r="J395" s="17" t="n">
        <v>0</v>
      </c>
      <c r="K395" s="17" t="n">
        <v>0</v>
      </c>
      <c r="L395" s="17" t="n">
        <v>0</v>
      </c>
      <c r="M395" s="17" t="n">
        <v>0</v>
      </c>
      <c r="N395" s="17" t="n">
        <v>0</v>
      </c>
      <c r="O395" s="26" t="n">
        <v>1</v>
      </c>
      <c r="P395" s="3" t="inlineStr">
        <is>
          <t>epoch_chip_quantity_latest</t>
        </is>
      </c>
      <c r="Q395" s="3" t="inlineStr">
        <is>
          <t>SRC_EPOCH_AI_DATA_CENTERS; EPOCH_RAW_CHIP_QUANTITIES</t>
        </is>
      </c>
      <c r="R395" s="3" t="inlineStr">
        <is>
          <t>Latest chip quantity per chip type through year-end; normalized by unit count into benchmark buckets.</t>
        </is>
      </c>
    </row>
    <row r="396">
      <c r="A396" s="3" t="inlineStr">
        <is>
          <t>Bull|Meta Eagle Mountain|2030</t>
        </is>
      </c>
      <c r="B396" s="3" t="inlineStr">
        <is>
          <t>Bull</t>
        </is>
      </c>
      <c r="C396" s="3" t="inlineStr">
        <is>
          <t>Meta Eagle Mountain</t>
        </is>
      </c>
      <c r="D396" s="3" t="n">
        <v>2030</v>
      </c>
      <c r="E396" s="3" t="inlineStr">
        <is>
          <t>Meta</t>
        </is>
      </c>
      <c r="F396" s="17" t="n">
        <v>0</v>
      </c>
      <c r="G396" s="17" t="n">
        <v>1</v>
      </c>
      <c r="H396" s="17" t="n">
        <v>0</v>
      </c>
      <c r="I396" s="17" t="n">
        <v>0</v>
      </c>
      <c r="J396" s="17" t="n">
        <v>0</v>
      </c>
      <c r="K396" s="17" t="n">
        <v>0</v>
      </c>
      <c r="L396" s="17" t="n">
        <v>0</v>
      </c>
      <c r="M396" s="17" t="n">
        <v>0</v>
      </c>
      <c r="N396" s="17" t="n">
        <v>0</v>
      </c>
      <c r="O396" s="26" t="n">
        <v>1</v>
      </c>
      <c r="P396" s="3" t="inlineStr">
        <is>
          <t>epoch_chip_quantity_latest</t>
        </is>
      </c>
      <c r="Q396" s="3" t="inlineStr">
        <is>
          <t>SRC_EPOCH_AI_DATA_CENTERS; EPOCH_RAW_CHIP_QUANTITIES</t>
        </is>
      </c>
      <c r="R396" s="3" t="inlineStr">
        <is>
          <t>Latest chip quantity per chip type through year-end; normalized by unit count into benchmark buckets.</t>
        </is>
      </c>
    </row>
    <row r="397">
      <c r="A397" s="3" t="inlineStr">
        <is>
          <t>Grid-Constrained / Efficiency-Upside|Meta Eagle Mountain|2026</t>
        </is>
      </c>
      <c r="B397" s="3" t="inlineStr">
        <is>
          <t>Grid-Constrained / Efficiency-Upside</t>
        </is>
      </c>
      <c r="C397" s="3" t="inlineStr">
        <is>
          <t>Meta Eagle Mountain</t>
        </is>
      </c>
      <c r="D397" s="3" t="n">
        <v>2026</v>
      </c>
      <c r="E397" s="3" t="inlineStr">
        <is>
          <t>Meta</t>
        </is>
      </c>
      <c r="F397" s="17" t="n">
        <v>0</v>
      </c>
      <c r="G397" s="17" t="n">
        <v>1</v>
      </c>
      <c r="H397" s="17" t="n">
        <v>0</v>
      </c>
      <c r="I397" s="17" t="n">
        <v>0</v>
      </c>
      <c r="J397" s="17" t="n">
        <v>0</v>
      </c>
      <c r="K397" s="17" t="n">
        <v>0</v>
      </c>
      <c r="L397" s="17" t="n">
        <v>0</v>
      </c>
      <c r="M397" s="17" t="n">
        <v>0</v>
      </c>
      <c r="N397" s="17" t="n">
        <v>0</v>
      </c>
      <c r="O397" s="26" t="n">
        <v>1</v>
      </c>
      <c r="P397" s="3" t="inlineStr">
        <is>
          <t>epoch_chip_quantity_latest</t>
        </is>
      </c>
      <c r="Q397" s="3" t="inlineStr">
        <is>
          <t>SRC_EPOCH_AI_DATA_CENTERS; EPOCH_RAW_CHIP_QUANTITIES</t>
        </is>
      </c>
      <c r="R397" s="3" t="inlineStr">
        <is>
          <t>Latest chip quantity per chip type through year-end; normalized by unit count into benchmark buckets.</t>
        </is>
      </c>
    </row>
    <row r="398">
      <c r="A398" s="3" t="inlineStr">
        <is>
          <t>Grid-Constrained / Efficiency-Upside|Meta Eagle Mountain|2027</t>
        </is>
      </c>
      <c r="B398" s="3" t="inlineStr">
        <is>
          <t>Grid-Constrained / Efficiency-Upside</t>
        </is>
      </c>
      <c r="C398" s="3" t="inlineStr">
        <is>
          <t>Meta Eagle Mountain</t>
        </is>
      </c>
      <c r="D398" s="3" t="n">
        <v>2027</v>
      </c>
      <c r="E398" s="3" t="inlineStr">
        <is>
          <t>Meta</t>
        </is>
      </c>
      <c r="F398" s="17" t="n">
        <v>0</v>
      </c>
      <c r="G398" s="17" t="n">
        <v>1</v>
      </c>
      <c r="H398" s="17" t="n">
        <v>0</v>
      </c>
      <c r="I398" s="17" t="n">
        <v>0</v>
      </c>
      <c r="J398" s="17" t="n">
        <v>0</v>
      </c>
      <c r="K398" s="17" t="n">
        <v>0</v>
      </c>
      <c r="L398" s="17" t="n">
        <v>0</v>
      </c>
      <c r="M398" s="17" t="n">
        <v>0</v>
      </c>
      <c r="N398" s="17" t="n">
        <v>0</v>
      </c>
      <c r="O398" s="26" t="n">
        <v>1</v>
      </c>
      <c r="P398" s="3" t="inlineStr">
        <is>
          <t>epoch_chip_quantity_latest</t>
        </is>
      </c>
      <c r="Q398" s="3" t="inlineStr">
        <is>
          <t>SRC_EPOCH_AI_DATA_CENTERS; EPOCH_RAW_CHIP_QUANTITIES</t>
        </is>
      </c>
      <c r="R398" s="3" t="inlineStr">
        <is>
          <t>Latest chip quantity per chip type through year-end; normalized by unit count into benchmark buckets.</t>
        </is>
      </c>
    </row>
    <row r="399">
      <c r="A399" s="3" t="inlineStr">
        <is>
          <t>Grid-Constrained / Efficiency-Upside|Meta Eagle Mountain|2028</t>
        </is>
      </c>
      <c r="B399" s="3" t="inlineStr">
        <is>
          <t>Grid-Constrained / Efficiency-Upside</t>
        </is>
      </c>
      <c r="C399" s="3" t="inlineStr">
        <is>
          <t>Meta Eagle Mountain</t>
        </is>
      </c>
      <c r="D399" s="3" t="n">
        <v>2028</v>
      </c>
      <c r="E399" s="3" t="inlineStr">
        <is>
          <t>Meta</t>
        </is>
      </c>
      <c r="F399" s="17" t="n">
        <v>0</v>
      </c>
      <c r="G399" s="17" t="n">
        <v>1</v>
      </c>
      <c r="H399" s="17" t="n">
        <v>0</v>
      </c>
      <c r="I399" s="17" t="n">
        <v>0</v>
      </c>
      <c r="J399" s="17" t="n">
        <v>0</v>
      </c>
      <c r="K399" s="17" t="n">
        <v>0</v>
      </c>
      <c r="L399" s="17" t="n">
        <v>0</v>
      </c>
      <c r="M399" s="17" t="n">
        <v>0</v>
      </c>
      <c r="N399" s="17" t="n">
        <v>0</v>
      </c>
      <c r="O399" s="26" t="n">
        <v>1</v>
      </c>
      <c r="P399" s="3" t="inlineStr">
        <is>
          <t>epoch_chip_quantity_latest</t>
        </is>
      </c>
      <c r="Q399" s="3" t="inlineStr">
        <is>
          <t>SRC_EPOCH_AI_DATA_CENTERS; EPOCH_RAW_CHIP_QUANTITIES</t>
        </is>
      </c>
      <c r="R399" s="3" t="inlineStr">
        <is>
          <t>Latest chip quantity per chip type through year-end; normalized by unit count into benchmark buckets.</t>
        </is>
      </c>
    </row>
    <row r="400">
      <c r="A400" s="3" t="inlineStr">
        <is>
          <t>Grid-Constrained / Efficiency-Upside|Meta Eagle Mountain|2029</t>
        </is>
      </c>
      <c r="B400" s="3" t="inlineStr">
        <is>
          <t>Grid-Constrained / Efficiency-Upside</t>
        </is>
      </c>
      <c r="C400" s="3" t="inlineStr">
        <is>
          <t>Meta Eagle Mountain</t>
        </is>
      </c>
      <c r="D400" s="3" t="n">
        <v>2029</v>
      </c>
      <c r="E400" s="3" t="inlineStr">
        <is>
          <t>Meta</t>
        </is>
      </c>
      <c r="F400" s="17" t="n">
        <v>0</v>
      </c>
      <c r="G400" s="17" t="n">
        <v>1</v>
      </c>
      <c r="H400" s="17" t="n">
        <v>0</v>
      </c>
      <c r="I400" s="17" t="n">
        <v>0</v>
      </c>
      <c r="J400" s="17" t="n">
        <v>0</v>
      </c>
      <c r="K400" s="17" t="n">
        <v>0</v>
      </c>
      <c r="L400" s="17" t="n">
        <v>0</v>
      </c>
      <c r="M400" s="17" t="n">
        <v>0</v>
      </c>
      <c r="N400" s="17" t="n">
        <v>0</v>
      </c>
      <c r="O400" s="26" t="n">
        <v>1</v>
      </c>
      <c r="P400" s="3" t="inlineStr">
        <is>
          <t>epoch_chip_quantity_latest</t>
        </is>
      </c>
      <c r="Q400" s="3" t="inlineStr">
        <is>
          <t>SRC_EPOCH_AI_DATA_CENTERS; EPOCH_RAW_CHIP_QUANTITIES</t>
        </is>
      </c>
      <c r="R400" s="3" t="inlineStr">
        <is>
          <t>Latest chip quantity per chip type through year-end; normalized by unit count into benchmark buckets.</t>
        </is>
      </c>
    </row>
    <row r="401">
      <c r="A401" s="3" t="inlineStr">
        <is>
          <t>Grid-Constrained / Efficiency-Upside|Meta Eagle Mountain|2030</t>
        </is>
      </c>
      <c r="B401" s="3" t="inlineStr">
        <is>
          <t>Grid-Constrained / Efficiency-Upside</t>
        </is>
      </c>
      <c r="C401" s="3" t="inlineStr">
        <is>
          <t>Meta Eagle Mountain</t>
        </is>
      </c>
      <c r="D401" s="3" t="n">
        <v>2030</v>
      </c>
      <c r="E401" s="3" t="inlineStr">
        <is>
          <t>Meta</t>
        </is>
      </c>
      <c r="F401" s="17" t="n">
        <v>0</v>
      </c>
      <c r="G401" s="17" t="n">
        <v>1</v>
      </c>
      <c r="H401" s="17" t="n">
        <v>0</v>
      </c>
      <c r="I401" s="17" t="n">
        <v>0</v>
      </c>
      <c r="J401" s="17" t="n">
        <v>0</v>
      </c>
      <c r="K401" s="17" t="n">
        <v>0</v>
      </c>
      <c r="L401" s="17" t="n">
        <v>0</v>
      </c>
      <c r="M401" s="17" t="n">
        <v>0</v>
      </c>
      <c r="N401" s="17" t="n">
        <v>0</v>
      </c>
      <c r="O401" s="26" t="n">
        <v>1</v>
      </c>
      <c r="P401" s="3" t="inlineStr">
        <is>
          <t>epoch_chip_quantity_latest</t>
        </is>
      </c>
      <c r="Q401" s="3" t="inlineStr">
        <is>
          <t>SRC_EPOCH_AI_DATA_CENTERS; EPOCH_RAW_CHIP_QUANTITIES</t>
        </is>
      </c>
      <c r="R401" s="3" t="inlineStr">
        <is>
          <t>Latest chip quantity per chip type through year-end; normalized by unit count into benchmark buckets.</t>
        </is>
      </c>
    </row>
    <row r="402">
      <c r="A402" s="3" t="inlineStr">
        <is>
          <t>Bear|Meta Gallatin|2026</t>
        </is>
      </c>
      <c r="B402" s="3" t="inlineStr">
        <is>
          <t>Bear</t>
        </is>
      </c>
      <c r="C402" s="3" t="inlineStr">
        <is>
          <t>Meta Gallatin</t>
        </is>
      </c>
      <c r="D402" s="3" t="n">
        <v>2026</v>
      </c>
      <c r="E402" s="3" t="inlineStr">
        <is>
          <t>Meta</t>
        </is>
      </c>
      <c r="F402" s="17" t="n">
        <v>0</v>
      </c>
      <c r="G402" s="17" t="n">
        <v>1</v>
      </c>
      <c r="H402" s="17" t="n">
        <v>0</v>
      </c>
      <c r="I402" s="17" t="n">
        <v>0</v>
      </c>
      <c r="J402" s="17" t="n">
        <v>0</v>
      </c>
      <c r="K402" s="17" t="n">
        <v>0</v>
      </c>
      <c r="L402" s="17" t="n">
        <v>0</v>
      </c>
      <c r="M402" s="17" t="n">
        <v>0</v>
      </c>
      <c r="N402" s="17" t="n">
        <v>0</v>
      </c>
      <c r="O402" s="26" t="n">
        <v>1</v>
      </c>
      <c r="P402" s="3" t="inlineStr">
        <is>
          <t>epoch_chip_quantity_latest</t>
        </is>
      </c>
      <c r="Q402" s="3" t="inlineStr">
        <is>
          <t>SRC_EPOCH_AI_DATA_CENTERS; EPOCH_RAW_CHIP_QUANTITIES</t>
        </is>
      </c>
      <c r="R402" s="3" t="inlineStr">
        <is>
          <t>Latest chip quantity per chip type through year-end; normalized by unit count into benchmark buckets.</t>
        </is>
      </c>
    </row>
    <row r="403">
      <c r="A403" s="3" t="inlineStr">
        <is>
          <t>Bear|Meta Gallatin|2027</t>
        </is>
      </c>
      <c r="B403" s="3" t="inlineStr">
        <is>
          <t>Bear</t>
        </is>
      </c>
      <c r="C403" s="3" t="inlineStr">
        <is>
          <t>Meta Gallatin</t>
        </is>
      </c>
      <c r="D403" s="3" t="n">
        <v>2027</v>
      </c>
      <c r="E403" s="3" t="inlineStr">
        <is>
          <t>Meta</t>
        </is>
      </c>
      <c r="F403" s="17" t="n">
        <v>0</v>
      </c>
      <c r="G403" s="17" t="n">
        <v>1</v>
      </c>
      <c r="H403" s="17" t="n">
        <v>0</v>
      </c>
      <c r="I403" s="17" t="n">
        <v>0</v>
      </c>
      <c r="J403" s="17" t="n">
        <v>0</v>
      </c>
      <c r="K403" s="17" t="n">
        <v>0</v>
      </c>
      <c r="L403" s="17" t="n">
        <v>0</v>
      </c>
      <c r="M403" s="17" t="n">
        <v>0</v>
      </c>
      <c r="N403" s="17" t="n">
        <v>0</v>
      </c>
      <c r="O403" s="26" t="n">
        <v>1</v>
      </c>
      <c r="P403" s="3" t="inlineStr">
        <is>
          <t>epoch_chip_quantity_latest</t>
        </is>
      </c>
      <c r="Q403" s="3" t="inlineStr">
        <is>
          <t>SRC_EPOCH_AI_DATA_CENTERS; EPOCH_RAW_CHIP_QUANTITIES</t>
        </is>
      </c>
      <c r="R403" s="3" t="inlineStr">
        <is>
          <t>Latest chip quantity per chip type through year-end; normalized by unit count into benchmark buckets.</t>
        </is>
      </c>
    </row>
    <row r="404">
      <c r="A404" s="3" t="inlineStr">
        <is>
          <t>Bear|Meta Gallatin|2028</t>
        </is>
      </c>
      <c r="B404" s="3" t="inlineStr">
        <is>
          <t>Bear</t>
        </is>
      </c>
      <c r="C404" s="3" t="inlineStr">
        <is>
          <t>Meta Gallatin</t>
        </is>
      </c>
      <c r="D404" s="3" t="n">
        <v>2028</v>
      </c>
      <c r="E404" s="3" t="inlineStr">
        <is>
          <t>Meta</t>
        </is>
      </c>
      <c r="F404" s="17" t="n">
        <v>0</v>
      </c>
      <c r="G404" s="17" t="n">
        <v>1</v>
      </c>
      <c r="H404" s="17" t="n">
        <v>0</v>
      </c>
      <c r="I404" s="17" t="n">
        <v>0</v>
      </c>
      <c r="J404" s="17" t="n">
        <v>0</v>
      </c>
      <c r="K404" s="17" t="n">
        <v>0</v>
      </c>
      <c r="L404" s="17" t="n">
        <v>0</v>
      </c>
      <c r="M404" s="17" t="n">
        <v>0</v>
      </c>
      <c r="N404" s="17" t="n">
        <v>0</v>
      </c>
      <c r="O404" s="26" t="n">
        <v>1</v>
      </c>
      <c r="P404" s="3" t="inlineStr">
        <is>
          <t>epoch_chip_quantity_latest</t>
        </is>
      </c>
      <c r="Q404" s="3" t="inlineStr">
        <is>
          <t>SRC_EPOCH_AI_DATA_CENTERS; EPOCH_RAW_CHIP_QUANTITIES</t>
        </is>
      </c>
      <c r="R404" s="3" t="inlineStr">
        <is>
          <t>Latest chip quantity per chip type through year-end; normalized by unit count into benchmark buckets.</t>
        </is>
      </c>
    </row>
    <row r="405">
      <c r="A405" s="3" t="inlineStr">
        <is>
          <t>Bear|Meta Gallatin|2029</t>
        </is>
      </c>
      <c r="B405" s="3" t="inlineStr">
        <is>
          <t>Bear</t>
        </is>
      </c>
      <c r="C405" s="3" t="inlineStr">
        <is>
          <t>Meta Gallatin</t>
        </is>
      </c>
      <c r="D405" s="3" t="n">
        <v>2029</v>
      </c>
      <c r="E405" s="3" t="inlineStr">
        <is>
          <t>Meta</t>
        </is>
      </c>
      <c r="F405" s="17" t="n">
        <v>0</v>
      </c>
      <c r="G405" s="17" t="n">
        <v>1</v>
      </c>
      <c r="H405" s="17" t="n">
        <v>0</v>
      </c>
      <c r="I405" s="17" t="n">
        <v>0</v>
      </c>
      <c r="J405" s="17" t="n">
        <v>0</v>
      </c>
      <c r="K405" s="17" t="n">
        <v>0</v>
      </c>
      <c r="L405" s="17" t="n">
        <v>0</v>
      </c>
      <c r="M405" s="17" t="n">
        <v>0</v>
      </c>
      <c r="N405" s="17" t="n">
        <v>0</v>
      </c>
      <c r="O405" s="26" t="n">
        <v>1</v>
      </c>
      <c r="P405" s="3" t="inlineStr">
        <is>
          <t>epoch_chip_quantity_latest</t>
        </is>
      </c>
      <c r="Q405" s="3" t="inlineStr">
        <is>
          <t>SRC_EPOCH_AI_DATA_CENTERS; EPOCH_RAW_CHIP_QUANTITIES</t>
        </is>
      </c>
      <c r="R405" s="3" t="inlineStr">
        <is>
          <t>Latest chip quantity per chip type through year-end; normalized by unit count into benchmark buckets.</t>
        </is>
      </c>
    </row>
    <row r="406">
      <c r="A406" s="3" t="inlineStr">
        <is>
          <t>Bear|Meta Gallatin|2030</t>
        </is>
      </c>
      <c r="B406" s="3" t="inlineStr">
        <is>
          <t>Bear</t>
        </is>
      </c>
      <c r="C406" s="3" t="inlineStr">
        <is>
          <t>Meta Gallatin</t>
        </is>
      </c>
      <c r="D406" s="3" t="n">
        <v>2030</v>
      </c>
      <c r="E406" s="3" t="inlineStr">
        <is>
          <t>Meta</t>
        </is>
      </c>
      <c r="F406" s="17" t="n">
        <v>0</v>
      </c>
      <c r="G406" s="17" t="n">
        <v>1</v>
      </c>
      <c r="H406" s="17" t="n">
        <v>0</v>
      </c>
      <c r="I406" s="17" t="n">
        <v>0</v>
      </c>
      <c r="J406" s="17" t="n">
        <v>0</v>
      </c>
      <c r="K406" s="17" t="n">
        <v>0</v>
      </c>
      <c r="L406" s="17" t="n">
        <v>0</v>
      </c>
      <c r="M406" s="17" t="n">
        <v>0</v>
      </c>
      <c r="N406" s="17" t="n">
        <v>0</v>
      </c>
      <c r="O406" s="26" t="n">
        <v>1</v>
      </c>
      <c r="P406" s="3" t="inlineStr">
        <is>
          <t>epoch_chip_quantity_latest</t>
        </is>
      </c>
      <c r="Q406" s="3" t="inlineStr">
        <is>
          <t>SRC_EPOCH_AI_DATA_CENTERS; EPOCH_RAW_CHIP_QUANTITIES</t>
        </is>
      </c>
      <c r="R406" s="3" t="inlineStr">
        <is>
          <t>Latest chip quantity per chip type through year-end; normalized by unit count into benchmark buckets.</t>
        </is>
      </c>
    </row>
    <row r="407">
      <c r="A407" s="3" t="inlineStr">
        <is>
          <t>Base|Meta Gallatin|2026</t>
        </is>
      </c>
      <c r="B407" s="3" t="inlineStr">
        <is>
          <t>Base</t>
        </is>
      </c>
      <c r="C407" s="3" t="inlineStr">
        <is>
          <t>Meta Gallatin</t>
        </is>
      </c>
      <c r="D407" s="3" t="n">
        <v>2026</v>
      </c>
      <c r="E407" s="3" t="inlineStr">
        <is>
          <t>Meta</t>
        </is>
      </c>
      <c r="F407" s="17" t="n">
        <v>0</v>
      </c>
      <c r="G407" s="17" t="n">
        <v>1</v>
      </c>
      <c r="H407" s="17" t="n">
        <v>0</v>
      </c>
      <c r="I407" s="17" t="n">
        <v>0</v>
      </c>
      <c r="J407" s="17" t="n">
        <v>0</v>
      </c>
      <c r="K407" s="17" t="n">
        <v>0</v>
      </c>
      <c r="L407" s="17" t="n">
        <v>0</v>
      </c>
      <c r="M407" s="17" t="n">
        <v>0</v>
      </c>
      <c r="N407" s="17" t="n">
        <v>0</v>
      </c>
      <c r="O407" s="26" t="n">
        <v>1</v>
      </c>
      <c r="P407" s="3" t="inlineStr">
        <is>
          <t>epoch_chip_quantity_latest</t>
        </is>
      </c>
      <c r="Q407" s="3" t="inlineStr">
        <is>
          <t>SRC_EPOCH_AI_DATA_CENTERS; EPOCH_RAW_CHIP_QUANTITIES</t>
        </is>
      </c>
      <c r="R407" s="3" t="inlineStr">
        <is>
          <t>Latest chip quantity per chip type through year-end; normalized by unit count into benchmark buckets.</t>
        </is>
      </c>
    </row>
    <row r="408">
      <c r="A408" s="3" t="inlineStr">
        <is>
          <t>Base|Meta Gallatin|2027</t>
        </is>
      </c>
      <c r="B408" s="3" t="inlineStr">
        <is>
          <t>Base</t>
        </is>
      </c>
      <c r="C408" s="3" t="inlineStr">
        <is>
          <t>Meta Gallatin</t>
        </is>
      </c>
      <c r="D408" s="3" t="n">
        <v>2027</v>
      </c>
      <c r="E408" s="3" t="inlineStr">
        <is>
          <t>Meta</t>
        </is>
      </c>
      <c r="F408" s="17" t="n">
        <v>0</v>
      </c>
      <c r="G408" s="17" t="n">
        <v>1</v>
      </c>
      <c r="H408" s="17" t="n">
        <v>0</v>
      </c>
      <c r="I408" s="17" t="n">
        <v>0</v>
      </c>
      <c r="J408" s="17" t="n">
        <v>0</v>
      </c>
      <c r="K408" s="17" t="n">
        <v>0</v>
      </c>
      <c r="L408" s="17" t="n">
        <v>0</v>
      </c>
      <c r="M408" s="17" t="n">
        <v>0</v>
      </c>
      <c r="N408" s="17" t="n">
        <v>0</v>
      </c>
      <c r="O408" s="26" t="n">
        <v>1</v>
      </c>
      <c r="P408" s="3" t="inlineStr">
        <is>
          <t>epoch_chip_quantity_latest</t>
        </is>
      </c>
      <c r="Q408" s="3" t="inlineStr">
        <is>
          <t>SRC_EPOCH_AI_DATA_CENTERS; EPOCH_RAW_CHIP_QUANTITIES</t>
        </is>
      </c>
      <c r="R408" s="3" t="inlineStr">
        <is>
          <t>Latest chip quantity per chip type through year-end; normalized by unit count into benchmark buckets.</t>
        </is>
      </c>
    </row>
    <row r="409">
      <c r="A409" s="3" t="inlineStr">
        <is>
          <t>Base|Meta Gallatin|2028</t>
        </is>
      </c>
      <c r="B409" s="3" t="inlineStr">
        <is>
          <t>Base</t>
        </is>
      </c>
      <c r="C409" s="3" t="inlineStr">
        <is>
          <t>Meta Gallatin</t>
        </is>
      </c>
      <c r="D409" s="3" t="n">
        <v>2028</v>
      </c>
      <c r="E409" s="3" t="inlineStr">
        <is>
          <t>Meta</t>
        </is>
      </c>
      <c r="F409" s="17" t="n">
        <v>0</v>
      </c>
      <c r="G409" s="17" t="n">
        <v>1</v>
      </c>
      <c r="H409" s="17" t="n">
        <v>0</v>
      </c>
      <c r="I409" s="17" t="n">
        <v>0</v>
      </c>
      <c r="J409" s="17" t="n">
        <v>0</v>
      </c>
      <c r="K409" s="17" t="n">
        <v>0</v>
      </c>
      <c r="L409" s="17" t="n">
        <v>0</v>
      </c>
      <c r="M409" s="17" t="n">
        <v>0</v>
      </c>
      <c r="N409" s="17" t="n">
        <v>0</v>
      </c>
      <c r="O409" s="26" t="n">
        <v>1</v>
      </c>
      <c r="P409" s="3" t="inlineStr">
        <is>
          <t>epoch_chip_quantity_latest</t>
        </is>
      </c>
      <c r="Q409" s="3" t="inlineStr">
        <is>
          <t>SRC_EPOCH_AI_DATA_CENTERS; EPOCH_RAW_CHIP_QUANTITIES</t>
        </is>
      </c>
      <c r="R409" s="3" t="inlineStr">
        <is>
          <t>Latest chip quantity per chip type through year-end; normalized by unit count into benchmark buckets.</t>
        </is>
      </c>
    </row>
    <row r="410">
      <c r="A410" s="3" t="inlineStr">
        <is>
          <t>Base|Meta Gallatin|2029</t>
        </is>
      </c>
      <c r="B410" s="3" t="inlineStr">
        <is>
          <t>Base</t>
        </is>
      </c>
      <c r="C410" s="3" t="inlineStr">
        <is>
          <t>Meta Gallatin</t>
        </is>
      </c>
      <c r="D410" s="3" t="n">
        <v>2029</v>
      </c>
      <c r="E410" s="3" t="inlineStr">
        <is>
          <t>Meta</t>
        </is>
      </c>
      <c r="F410" s="17" t="n">
        <v>0</v>
      </c>
      <c r="G410" s="17" t="n">
        <v>1</v>
      </c>
      <c r="H410" s="17" t="n">
        <v>0</v>
      </c>
      <c r="I410" s="17" t="n">
        <v>0</v>
      </c>
      <c r="J410" s="17" t="n">
        <v>0</v>
      </c>
      <c r="K410" s="17" t="n">
        <v>0</v>
      </c>
      <c r="L410" s="17" t="n">
        <v>0</v>
      </c>
      <c r="M410" s="17" t="n">
        <v>0</v>
      </c>
      <c r="N410" s="17" t="n">
        <v>0</v>
      </c>
      <c r="O410" s="26" t="n">
        <v>1</v>
      </c>
      <c r="P410" s="3" t="inlineStr">
        <is>
          <t>epoch_chip_quantity_latest</t>
        </is>
      </c>
      <c r="Q410" s="3" t="inlineStr">
        <is>
          <t>SRC_EPOCH_AI_DATA_CENTERS; EPOCH_RAW_CHIP_QUANTITIES</t>
        </is>
      </c>
      <c r="R410" s="3" t="inlineStr">
        <is>
          <t>Latest chip quantity per chip type through year-end; normalized by unit count into benchmark buckets.</t>
        </is>
      </c>
    </row>
    <row r="411">
      <c r="A411" s="3" t="inlineStr">
        <is>
          <t>Base|Meta Gallatin|2030</t>
        </is>
      </c>
      <c r="B411" s="3" t="inlineStr">
        <is>
          <t>Base</t>
        </is>
      </c>
      <c r="C411" s="3" t="inlineStr">
        <is>
          <t>Meta Gallatin</t>
        </is>
      </c>
      <c r="D411" s="3" t="n">
        <v>2030</v>
      </c>
      <c r="E411" s="3" t="inlineStr">
        <is>
          <t>Meta</t>
        </is>
      </c>
      <c r="F411" s="17" t="n">
        <v>0</v>
      </c>
      <c r="G411" s="17" t="n">
        <v>1</v>
      </c>
      <c r="H411" s="17" t="n">
        <v>0</v>
      </c>
      <c r="I411" s="17" t="n">
        <v>0</v>
      </c>
      <c r="J411" s="17" t="n">
        <v>0</v>
      </c>
      <c r="K411" s="17" t="n">
        <v>0</v>
      </c>
      <c r="L411" s="17" t="n">
        <v>0</v>
      </c>
      <c r="M411" s="17" t="n">
        <v>0</v>
      </c>
      <c r="N411" s="17" t="n">
        <v>0</v>
      </c>
      <c r="O411" s="26" t="n">
        <v>1</v>
      </c>
      <c r="P411" s="3" t="inlineStr">
        <is>
          <t>epoch_chip_quantity_latest</t>
        </is>
      </c>
      <c r="Q411" s="3" t="inlineStr">
        <is>
          <t>SRC_EPOCH_AI_DATA_CENTERS; EPOCH_RAW_CHIP_QUANTITIES</t>
        </is>
      </c>
      <c r="R411" s="3" t="inlineStr">
        <is>
          <t>Latest chip quantity per chip type through year-end; normalized by unit count into benchmark buckets.</t>
        </is>
      </c>
    </row>
    <row r="412">
      <c r="A412" s="3" t="inlineStr">
        <is>
          <t>Bull|Meta Gallatin|2026</t>
        </is>
      </c>
      <c r="B412" s="3" t="inlineStr">
        <is>
          <t>Bull</t>
        </is>
      </c>
      <c r="C412" s="3" t="inlineStr">
        <is>
          <t>Meta Gallatin</t>
        </is>
      </c>
      <c r="D412" s="3" t="n">
        <v>2026</v>
      </c>
      <c r="E412" s="3" t="inlineStr">
        <is>
          <t>Meta</t>
        </is>
      </c>
      <c r="F412" s="17" t="n">
        <v>0</v>
      </c>
      <c r="G412" s="17" t="n">
        <v>1</v>
      </c>
      <c r="H412" s="17" t="n">
        <v>0</v>
      </c>
      <c r="I412" s="17" t="n">
        <v>0</v>
      </c>
      <c r="J412" s="17" t="n">
        <v>0</v>
      </c>
      <c r="K412" s="17" t="n">
        <v>0</v>
      </c>
      <c r="L412" s="17" t="n">
        <v>0</v>
      </c>
      <c r="M412" s="17" t="n">
        <v>0</v>
      </c>
      <c r="N412" s="17" t="n">
        <v>0</v>
      </c>
      <c r="O412" s="26" t="n">
        <v>1</v>
      </c>
      <c r="P412" s="3" t="inlineStr">
        <is>
          <t>epoch_chip_quantity_latest</t>
        </is>
      </c>
      <c r="Q412" s="3" t="inlineStr">
        <is>
          <t>SRC_EPOCH_AI_DATA_CENTERS; EPOCH_RAW_CHIP_QUANTITIES</t>
        </is>
      </c>
      <c r="R412" s="3" t="inlineStr">
        <is>
          <t>Latest chip quantity per chip type through year-end; normalized by unit count into benchmark buckets.</t>
        </is>
      </c>
    </row>
    <row r="413">
      <c r="A413" s="3" t="inlineStr">
        <is>
          <t>Bull|Meta Gallatin|2027</t>
        </is>
      </c>
      <c r="B413" s="3" t="inlineStr">
        <is>
          <t>Bull</t>
        </is>
      </c>
      <c r="C413" s="3" t="inlineStr">
        <is>
          <t>Meta Gallatin</t>
        </is>
      </c>
      <c r="D413" s="3" t="n">
        <v>2027</v>
      </c>
      <c r="E413" s="3" t="inlineStr">
        <is>
          <t>Meta</t>
        </is>
      </c>
      <c r="F413" s="17" t="n">
        <v>0</v>
      </c>
      <c r="G413" s="17" t="n">
        <v>1</v>
      </c>
      <c r="H413" s="17" t="n">
        <v>0</v>
      </c>
      <c r="I413" s="17" t="n">
        <v>0</v>
      </c>
      <c r="J413" s="17" t="n">
        <v>0</v>
      </c>
      <c r="K413" s="17" t="n">
        <v>0</v>
      </c>
      <c r="L413" s="17" t="n">
        <v>0</v>
      </c>
      <c r="M413" s="17" t="n">
        <v>0</v>
      </c>
      <c r="N413" s="17" t="n">
        <v>0</v>
      </c>
      <c r="O413" s="26" t="n">
        <v>1</v>
      </c>
      <c r="P413" s="3" t="inlineStr">
        <is>
          <t>epoch_chip_quantity_latest</t>
        </is>
      </c>
      <c r="Q413" s="3" t="inlineStr">
        <is>
          <t>SRC_EPOCH_AI_DATA_CENTERS; EPOCH_RAW_CHIP_QUANTITIES</t>
        </is>
      </c>
      <c r="R413" s="3" t="inlineStr">
        <is>
          <t>Latest chip quantity per chip type through year-end; normalized by unit count into benchmark buckets.</t>
        </is>
      </c>
    </row>
    <row r="414">
      <c r="A414" s="3" t="inlineStr">
        <is>
          <t>Bull|Meta Gallatin|2028</t>
        </is>
      </c>
      <c r="B414" s="3" t="inlineStr">
        <is>
          <t>Bull</t>
        </is>
      </c>
      <c r="C414" s="3" t="inlineStr">
        <is>
          <t>Meta Gallatin</t>
        </is>
      </c>
      <c r="D414" s="3" t="n">
        <v>2028</v>
      </c>
      <c r="E414" s="3" t="inlineStr">
        <is>
          <t>Meta</t>
        </is>
      </c>
      <c r="F414" s="17" t="n">
        <v>0</v>
      </c>
      <c r="G414" s="17" t="n">
        <v>1</v>
      </c>
      <c r="H414" s="17" t="n">
        <v>0</v>
      </c>
      <c r="I414" s="17" t="n">
        <v>0</v>
      </c>
      <c r="J414" s="17" t="n">
        <v>0</v>
      </c>
      <c r="K414" s="17" t="n">
        <v>0</v>
      </c>
      <c r="L414" s="17" t="n">
        <v>0</v>
      </c>
      <c r="M414" s="17" t="n">
        <v>0</v>
      </c>
      <c r="N414" s="17" t="n">
        <v>0</v>
      </c>
      <c r="O414" s="26" t="n">
        <v>1</v>
      </c>
      <c r="P414" s="3" t="inlineStr">
        <is>
          <t>epoch_chip_quantity_latest</t>
        </is>
      </c>
      <c r="Q414" s="3" t="inlineStr">
        <is>
          <t>SRC_EPOCH_AI_DATA_CENTERS; EPOCH_RAW_CHIP_QUANTITIES</t>
        </is>
      </c>
      <c r="R414" s="3" t="inlineStr">
        <is>
          <t>Latest chip quantity per chip type through year-end; normalized by unit count into benchmark buckets.</t>
        </is>
      </c>
    </row>
    <row r="415">
      <c r="A415" s="3" t="inlineStr">
        <is>
          <t>Bull|Meta Gallatin|2029</t>
        </is>
      </c>
      <c r="B415" s="3" t="inlineStr">
        <is>
          <t>Bull</t>
        </is>
      </c>
      <c r="C415" s="3" t="inlineStr">
        <is>
          <t>Meta Gallatin</t>
        </is>
      </c>
      <c r="D415" s="3" t="n">
        <v>2029</v>
      </c>
      <c r="E415" s="3" t="inlineStr">
        <is>
          <t>Meta</t>
        </is>
      </c>
      <c r="F415" s="17" t="n">
        <v>0</v>
      </c>
      <c r="G415" s="17" t="n">
        <v>1</v>
      </c>
      <c r="H415" s="17" t="n">
        <v>0</v>
      </c>
      <c r="I415" s="17" t="n">
        <v>0</v>
      </c>
      <c r="J415" s="17" t="n">
        <v>0</v>
      </c>
      <c r="K415" s="17" t="n">
        <v>0</v>
      </c>
      <c r="L415" s="17" t="n">
        <v>0</v>
      </c>
      <c r="M415" s="17" t="n">
        <v>0</v>
      </c>
      <c r="N415" s="17" t="n">
        <v>0</v>
      </c>
      <c r="O415" s="26" t="n">
        <v>1</v>
      </c>
      <c r="P415" s="3" t="inlineStr">
        <is>
          <t>epoch_chip_quantity_latest</t>
        </is>
      </c>
      <c r="Q415" s="3" t="inlineStr">
        <is>
          <t>SRC_EPOCH_AI_DATA_CENTERS; EPOCH_RAW_CHIP_QUANTITIES</t>
        </is>
      </c>
      <c r="R415" s="3" t="inlineStr">
        <is>
          <t>Latest chip quantity per chip type through year-end; normalized by unit count into benchmark buckets.</t>
        </is>
      </c>
    </row>
    <row r="416">
      <c r="A416" s="3" t="inlineStr">
        <is>
          <t>Bull|Meta Gallatin|2030</t>
        </is>
      </c>
      <c r="B416" s="3" t="inlineStr">
        <is>
          <t>Bull</t>
        </is>
      </c>
      <c r="C416" s="3" t="inlineStr">
        <is>
          <t>Meta Gallatin</t>
        </is>
      </c>
      <c r="D416" s="3" t="n">
        <v>2030</v>
      </c>
      <c r="E416" s="3" t="inlineStr">
        <is>
          <t>Meta</t>
        </is>
      </c>
      <c r="F416" s="17" t="n">
        <v>0</v>
      </c>
      <c r="G416" s="17" t="n">
        <v>1</v>
      </c>
      <c r="H416" s="17" t="n">
        <v>0</v>
      </c>
      <c r="I416" s="17" t="n">
        <v>0</v>
      </c>
      <c r="J416" s="17" t="n">
        <v>0</v>
      </c>
      <c r="K416" s="17" t="n">
        <v>0</v>
      </c>
      <c r="L416" s="17" t="n">
        <v>0</v>
      </c>
      <c r="M416" s="17" t="n">
        <v>0</v>
      </c>
      <c r="N416" s="17" t="n">
        <v>0</v>
      </c>
      <c r="O416" s="26" t="n">
        <v>1</v>
      </c>
      <c r="P416" s="3" t="inlineStr">
        <is>
          <t>epoch_chip_quantity_latest</t>
        </is>
      </c>
      <c r="Q416" s="3" t="inlineStr">
        <is>
          <t>SRC_EPOCH_AI_DATA_CENTERS; EPOCH_RAW_CHIP_QUANTITIES</t>
        </is>
      </c>
      <c r="R416" s="3" t="inlineStr">
        <is>
          <t>Latest chip quantity per chip type through year-end; normalized by unit count into benchmark buckets.</t>
        </is>
      </c>
    </row>
    <row r="417">
      <c r="A417" s="3" t="inlineStr">
        <is>
          <t>Grid-Constrained / Efficiency-Upside|Meta Gallatin|2026</t>
        </is>
      </c>
      <c r="B417" s="3" t="inlineStr">
        <is>
          <t>Grid-Constrained / Efficiency-Upside</t>
        </is>
      </c>
      <c r="C417" s="3" t="inlineStr">
        <is>
          <t>Meta Gallatin</t>
        </is>
      </c>
      <c r="D417" s="3" t="n">
        <v>2026</v>
      </c>
      <c r="E417" s="3" t="inlineStr">
        <is>
          <t>Meta</t>
        </is>
      </c>
      <c r="F417" s="17" t="n">
        <v>0</v>
      </c>
      <c r="G417" s="17" t="n">
        <v>1</v>
      </c>
      <c r="H417" s="17" t="n">
        <v>0</v>
      </c>
      <c r="I417" s="17" t="n">
        <v>0</v>
      </c>
      <c r="J417" s="17" t="n">
        <v>0</v>
      </c>
      <c r="K417" s="17" t="n">
        <v>0</v>
      </c>
      <c r="L417" s="17" t="n">
        <v>0</v>
      </c>
      <c r="M417" s="17" t="n">
        <v>0</v>
      </c>
      <c r="N417" s="17" t="n">
        <v>0</v>
      </c>
      <c r="O417" s="26" t="n">
        <v>1</v>
      </c>
      <c r="P417" s="3" t="inlineStr">
        <is>
          <t>epoch_chip_quantity_latest</t>
        </is>
      </c>
      <c r="Q417" s="3" t="inlineStr">
        <is>
          <t>SRC_EPOCH_AI_DATA_CENTERS; EPOCH_RAW_CHIP_QUANTITIES</t>
        </is>
      </c>
      <c r="R417" s="3" t="inlineStr">
        <is>
          <t>Latest chip quantity per chip type through year-end; normalized by unit count into benchmark buckets.</t>
        </is>
      </c>
    </row>
    <row r="418">
      <c r="A418" s="3" t="inlineStr">
        <is>
          <t>Grid-Constrained / Efficiency-Upside|Meta Gallatin|2027</t>
        </is>
      </c>
      <c r="B418" s="3" t="inlineStr">
        <is>
          <t>Grid-Constrained / Efficiency-Upside</t>
        </is>
      </c>
      <c r="C418" s="3" t="inlineStr">
        <is>
          <t>Meta Gallatin</t>
        </is>
      </c>
      <c r="D418" s="3" t="n">
        <v>2027</v>
      </c>
      <c r="E418" s="3" t="inlineStr">
        <is>
          <t>Meta</t>
        </is>
      </c>
      <c r="F418" s="17" t="n">
        <v>0</v>
      </c>
      <c r="G418" s="17" t="n">
        <v>1</v>
      </c>
      <c r="H418" s="17" t="n">
        <v>0</v>
      </c>
      <c r="I418" s="17" t="n">
        <v>0</v>
      </c>
      <c r="J418" s="17" t="n">
        <v>0</v>
      </c>
      <c r="K418" s="17" t="n">
        <v>0</v>
      </c>
      <c r="L418" s="17" t="n">
        <v>0</v>
      </c>
      <c r="M418" s="17" t="n">
        <v>0</v>
      </c>
      <c r="N418" s="17" t="n">
        <v>0</v>
      </c>
      <c r="O418" s="26" t="n">
        <v>1</v>
      </c>
      <c r="P418" s="3" t="inlineStr">
        <is>
          <t>epoch_chip_quantity_latest</t>
        </is>
      </c>
      <c r="Q418" s="3" t="inlineStr">
        <is>
          <t>SRC_EPOCH_AI_DATA_CENTERS; EPOCH_RAW_CHIP_QUANTITIES</t>
        </is>
      </c>
      <c r="R418" s="3" t="inlineStr">
        <is>
          <t>Latest chip quantity per chip type through year-end; normalized by unit count into benchmark buckets.</t>
        </is>
      </c>
    </row>
    <row r="419">
      <c r="A419" s="3" t="inlineStr">
        <is>
          <t>Grid-Constrained / Efficiency-Upside|Meta Gallatin|2028</t>
        </is>
      </c>
      <c r="B419" s="3" t="inlineStr">
        <is>
          <t>Grid-Constrained / Efficiency-Upside</t>
        </is>
      </c>
      <c r="C419" s="3" t="inlineStr">
        <is>
          <t>Meta Gallatin</t>
        </is>
      </c>
      <c r="D419" s="3" t="n">
        <v>2028</v>
      </c>
      <c r="E419" s="3" t="inlineStr">
        <is>
          <t>Meta</t>
        </is>
      </c>
      <c r="F419" s="17" t="n">
        <v>0</v>
      </c>
      <c r="G419" s="17" t="n">
        <v>1</v>
      </c>
      <c r="H419" s="17" t="n">
        <v>0</v>
      </c>
      <c r="I419" s="17" t="n">
        <v>0</v>
      </c>
      <c r="J419" s="17" t="n">
        <v>0</v>
      </c>
      <c r="K419" s="17" t="n">
        <v>0</v>
      </c>
      <c r="L419" s="17" t="n">
        <v>0</v>
      </c>
      <c r="M419" s="17" t="n">
        <v>0</v>
      </c>
      <c r="N419" s="17" t="n">
        <v>0</v>
      </c>
      <c r="O419" s="26" t="n">
        <v>1</v>
      </c>
      <c r="P419" s="3" t="inlineStr">
        <is>
          <t>epoch_chip_quantity_latest</t>
        </is>
      </c>
      <c r="Q419" s="3" t="inlineStr">
        <is>
          <t>SRC_EPOCH_AI_DATA_CENTERS; EPOCH_RAW_CHIP_QUANTITIES</t>
        </is>
      </c>
      <c r="R419" s="3" t="inlineStr">
        <is>
          <t>Latest chip quantity per chip type through year-end; normalized by unit count into benchmark buckets.</t>
        </is>
      </c>
    </row>
    <row r="420">
      <c r="A420" s="3" t="inlineStr">
        <is>
          <t>Grid-Constrained / Efficiency-Upside|Meta Gallatin|2029</t>
        </is>
      </c>
      <c r="B420" s="3" t="inlineStr">
        <is>
          <t>Grid-Constrained / Efficiency-Upside</t>
        </is>
      </c>
      <c r="C420" s="3" t="inlineStr">
        <is>
          <t>Meta Gallatin</t>
        </is>
      </c>
      <c r="D420" s="3" t="n">
        <v>2029</v>
      </c>
      <c r="E420" s="3" t="inlineStr">
        <is>
          <t>Meta</t>
        </is>
      </c>
      <c r="F420" s="17" t="n">
        <v>0</v>
      </c>
      <c r="G420" s="17" t="n">
        <v>1</v>
      </c>
      <c r="H420" s="17" t="n">
        <v>0</v>
      </c>
      <c r="I420" s="17" t="n">
        <v>0</v>
      </c>
      <c r="J420" s="17" t="n">
        <v>0</v>
      </c>
      <c r="K420" s="17" t="n">
        <v>0</v>
      </c>
      <c r="L420" s="17" t="n">
        <v>0</v>
      </c>
      <c r="M420" s="17" t="n">
        <v>0</v>
      </c>
      <c r="N420" s="17" t="n">
        <v>0</v>
      </c>
      <c r="O420" s="26" t="n">
        <v>1</v>
      </c>
      <c r="P420" s="3" t="inlineStr">
        <is>
          <t>epoch_chip_quantity_latest</t>
        </is>
      </c>
      <c r="Q420" s="3" t="inlineStr">
        <is>
          <t>SRC_EPOCH_AI_DATA_CENTERS; EPOCH_RAW_CHIP_QUANTITIES</t>
        </is>
      </c>
      <c r="R420" s="3" t="inlineStr">
        <is>
          <t>Latest chip quantity per chip type through year-end; normalized by unit count into benchmark buckets.</t>
        </is>
      </c>
    </row>
    <row r="421">
      <c r="A421" s="3" t="inlineStr">
        <is>
          <t>Grid-Constrained / Efficiency-Upside|Meta Gallatin|2030</t>
        </is>
      </c>
      <c r="B421" s="3" t="inlineStr">
        <is>
          <t>Grid-Constrained / Efficiency-Upside</t>
        </is>
      </c>
      <c r="C421" s="3" t="inlineStr">
        <is>
          <t>Meta Gallatin</t>
        </is>
      </c>
      <c r="D421" s="3" t="n">
        <v>2030</v>
      </c>
      <c r="E421" s="3" t="inlineStr">
        <is>
          <t>Meta</t>
        </is>
      </c>
      <c r="F421" s="17" t="n">
        <v>0</v>
      </c>
      <c r="G421" s="17" t="n">
        <v>1</v>
      </c>
      <c r="H421" s="17" t="n">
        <v>0</v>
      </c>
      <c r="I421" s="17" t="n">
        <v>0</v>
      </c>
      <c r="J421" s="17" t="n">
        <v>0</v>
      </c>
      <c r="K421" s="17" t="n">
        <v>0</v>
      </c>
      <c r="L421" s="17" t="n">
        <v>0</v>
      </c>
      <c r="M421" s="17" t="n">
        <v>0</v>
      </c>
      <c r="N421" s="17" t="n">
        <v>0</v>
      </c>
      <c r="O421" s="26" t="n">
        <v>1</v>
      </c>
      <c r="P421" s="3" t="inlineStr">
        <is>
          <t>epoch_chip_quantity_latest</t>
        </is>
      </c>
      <c r="Q421" s="3" t="inlineStr">
        <is>
          <t>SRC_EPOCH_AI_DATA_CENTERS; EPOCH_RAW_CHIP_QUANTITIES</t>
        </is>
      </c>
      <c r="R421" s="3" t="inlineStr">
        <is>
          <t>Latest chip quantity per chip type through year-end; normalized by unit count into benchmark buckets.</t>
        </is>
      </c>
    </row>
    <row r="422">
      <c r="A422" s="3" t="inlineStr">
        <is>
          <t>Bear|Meta Hyperion|2028</t>
        </is>
      </c>
      <c r="B422" s="3" t="inlineStr">
        <is>
          <t>Bear</t>
        </is>
      </c>
      <c r="C422" s="3" t="inlineStr">
        <is>
          <t>Meta Hyperion</t>
        </is>
      </c>
      <c r="D422" s="3" t="n">
        <v>2028</v>
      </c>
      <c r="E422" s="3" t="inlineStr">
        <is>
          <t>Meta</t>
        </is>
      </c>
      <c r="F422" s="17" t="n">
        <v>0</v>
      </c>
      <c r="G422" s="17" t="n">
        <v>0</v>
      </c>
      <c r="H422" s="17" t="n">
        <v>0</v>
      </c>
      <c r="I422" s="17" t="n">
        <v>1</v>
      </c>
      <c r="J422" s="17" t="n">
        <v>0</v>
      </c>
      <c r="K422" s="17" t="n">
        <v>0</v>
      </c>
      <c r="L422" s="17" t="n">
        <v>0</v>
      </c>
      <c r="M422" s="17" t="n">
        <v>0</v>
      </c>
      <c r="N422" s="17" t="n">
        <v>0</v>
      </c>
      <c r="O422" s="26" t="n">
        <v>1</v>
      </c>
      <c r="P422" s="3" t="inlineStr">
        <is>
          <t>epoch_chip_quantity_latest</t>
        </is>
      </c>
      <c r="Q422" s="3" t="inlineStr">
        <is>
          <t>SRC_EPOCH_AI_DATA_CENTERS; EPOCH_RAW_CHIP_QUANTITIES</t>
        </is>
      </c>
      <c r="R422" s="3" t="inlineStr">
        <is>
          <t>Latest chip quantity per chip type through year-end; normalized by unit count into benchmark buckets.</t>
        </is>
      </c>
    </row>
    <row r="423">
      <c r="A423" s="3" t="inlineStr">
        <is>
          <t>Bear|Meta Hyperion|2029</t>
        </is>
      </c>
      <c r="B423" s="3" t="inlineStr">
        <is>
          <t>Bear</t>
        </is>
      </c>
      <c r="C423" s="3" t="inlineStr">
        <is>
          <t>Meta Hyperion</t>
        </is>
      </c>
      <c r="D423" s="3" t="n">
        <v>2029</v>
      </c>
      <c r="E423" s="3" t="inlineStr">
        <is>
          <t>Meta</t>
        </is>
      </c>
      <c r="F423" s="17" t="n">
        <v>0</v>
      </c>
      <c r="G423" s="17" t="n">
        <v>0</v>
      </c>
      <c r="H423" s="17" t="n">
        <v>0</v>
      </c>
      <c r="I423" s="17" t="n">
        <v>1</v>
      </c>
      <c r="J423" s="17" t="n">
        <v>0</v>
      </c>
      <c r="K423" s="17" t="n">
        <v>0</v>
      </c>
      <c r="L423" s="17" t="n">
        <v>0</v>
      </c>
      <c r="M423" s="17" t="n">
        <v>0</v>
      </c>
      <c r="N423" s="17" t="n">
        <v>0</v>
      </c>
      <c r="O423" s="26" t="n">
        <v>1</v>
      </c>
      <c r="P423" s="3" t="inlineStr">
        <is>
          <t>epoch_chip_quantity_latest</t>
        </is>
      </c>
      <c r="Q423" s="3" t="inlineStr">
        <is>
          <t>SRC_EPOCH_AI_DATA_CENTERS; EPOCH_RAW_CHIP_QUANTITIES</t>
        </is>
      </c>
      <c r="R423" s="3" t="inlineStr">
        <is>
          <t>Latest chip quantity per chip type through year-end; normalized by unit count into benchmark buckets.</t>
        </is>
      </c>
    </row>
    <row r="424">
      <c r="A424" s="3" t="inlineStr">
        <is>
          <t>Bear|Meta Hyperion|2030</t>
        </is>
      </c>
      <c r="B424" s="3" t="inlineStr">
        <is>
          <t>Bear</t>
        </is>
      </c>
      <c r="C424" s="3" t="inlineStr">
        <is>
          <t>Meta Hyperion</t>
        </is>
      </c>
      <c r="D424" s="3" t="n">
        <v>2030</v>
      </c>
      <c r="E424" s="3" t="inlineStr">
        <is>
          <t>Meta</t>
        </is>
      </c>
      <c r="F424" s="17" t="n">
        <v>0</v>
      </c>
      <c r="G424" s="17" t="n">
        <v>0</v>
      </c>
      <c r="H424" s="17" t="n">
        <v>0</v>
      </c>
      <c r="I424" s="17" t="n">
        <v>1</v>
      </c>
      <c r="J424" s="17" t="n">
        <v>0</v>
      </c>
      <c r="K424" s="17" t="n">
        <v>0</v>
      </c>
      <c r="L424" s="17" t="n">
        <v>0</v>
      </c>
      <c r="M424" s="17" t="n">
        <v>0</v>
      </c>
      <c r="N424" s="17" t="n">
        <v>0</v>
      </c>
      <c r="O424" s="26" t="n">
        <v>1</v>
      </c>
      <c r="P424" s="3" t="inlineStr">
        <is>
          <t>epoch_chip_quantity_latest</t>
        </is>
      </c>
      <c r="Q424" s="3" t="inlineStr">
        <is>
          <t>SRC_EPOCH_AI_DATA_CENTERS; EPOCH_RAW_CHIP_QUANTITIES</t>
        </is>
      </c>
      <c r="R424" s="3" t="inlineStr">
        <is>
          <t>Latest chip quantity per chip type through year-end; normalized by unit count into benchmark buckets.</t>
        </is>
      </c>
    </row>
    <row r="425">
      <c r="A425" s="3" t="inlineStr">
        <is>
          <t>Base|Meta Hyperion|2028</t>
        </is>
      </c>
      <c r="B425" s="3" t="inlineStr">
        <is>
          <t>Base</t>
        </is>
      </c>
      <c r="C425" s="3" t="inlineStr">
        <is>
          <t>Meta Hyperion</t>
        </is>
      </c>
      <c r="D425" s="3" t="n">
        <v>2028</v>
      </c>
      <c r="E425" s="3" t="inlineStr">
        <is>
          <t>Meta</t>
        </is>
      </c>
      <c r="F425" s="17" t="n">
        <v>0</v>
      </c>
      <c r="G425" s="17" t="n">
        <v>0</v>
      </c>
      <c r="H425" s="17" t="n">
        <v>0</v>
      </c>
      <c r="I425" s="17" t="n">
        <v>1</v>
      </c>
      <c r="J425" s="17" t="n">
        <v>0</v>
      </c>
      <c r="K425" s="17" t="n">
        <v>0</v>
      </c>
      <c r="L425" s="17" t="n">
        <v>0</v>
      </c>
      <c r="M425" s="17" t="n">
        <v>0</v>
      </c>
      <c r="N425" s="17" t="n">
        <v>0</v>
      </c>
      <c r="O425" s="26" t="n">
        <v>1</v>
      </c>
      <c r="P425" s="3" t="inlineStr">
        <is>
          <t>epoch_chip_quantity_latest</t>
        </is>
      </c>
      <c r="Q425" s="3" t="inlineStr">
        <is>
          <t>SRC_EPOCH_AI_DATA_CENTERS; EPOCH_RAW_CHIP_QUANTITIES</t>
        </is>
      </c>
      <c r="R425" s="3" t="inlineStr">
        <is>
          <t>Latest chip quantity per chip type through year-end; normalized by unit count into benchmark buckets.</t>
        </is>
      </c>
    </row>
    <row r="426">
      <c r="A426" s="3" t="inlineStr">
        <is>
          <t>Base|Meta Hyperion|2029</t>
        </is>
      </c>
      <c r="B426" s="3" t="inlineStr">
        <is>
          <t>Base</t>
        </is>
      </c>
      <c r="C426" s="3" t="inlineStr">
        <is>
          <t>Meta Hyperion</t>
        </is>
      </c>
      <c r="D426" s="3" t="n">
        <v>2029</v>
      </c>
      <c r="E426" s="3" t="inlineStr">
        <is>
          <t>Meta</t>
        </is>
      </c>
      <c r="F426" s="17" t="n">
        <v>0</v>
      </c>
      <c r="G426" s="17" t="n">
        <v>0</v>
      </c>
      <c r="H426" s="17" t="n">
        <v>0</v>
      </c>
      <c r="I426" s="17" t="n">
        <v>1</v>
      </c>
      <c r="J426" s="17" t="n">
        <v>0</v>
      </c>
      <c r="K426" s="17" t="n">
        <v>0</v>
      </c>
      <c r="L426" s="17" t="n">
        <v>0</v>
      </c>
      <c r="M426" s="17" t="n">
        <v>0</v>
      </c>
      <c r="N426" s="17" t="n">
        <v>0</v>
      </c>
      <c r="O426" s="26" t="n">
        <v>1</v>
      </c>
      <c r="P426" s="3" t="inlineStr">
        <is>
          <t>epoch_chip_quantity_latest</t>
        </is>
      </c>
      <c r="Q426" s="3" t="inlineStr">
        <is>
          <t>SRC_EPOCH_AI_DATA_CENTERS; EPOCH_RAW_CHIP_QUANTITIES</t>
        </is>
      </c>
      <c r="R426" s="3" t="inlineStr">
        <is>
          <t>Latest chip quantity per chip type through year-end; normalized by unit count into benchmark buckets.</t>
        </is>
      </c>
    </row>
    <row r="427">
      <c r="A427" s="3" t="inlineStr">
        <is>
          <t>Base|Meta Hyperion|2030</t>
        </is>
      </c>
      <c r="B427" s="3" t="inlineStr">
        <is>
          <t>Base</t>
        </is>
      </c>
      <c r="C427" s="3" t="inlineStr">
        <is>
          <t>Meta Hyperion</t>
        </is>
      </c>
      <c r="D427" s="3" t="n">
        <v>2030</v>
      </c>
      <c r="E427" s="3" t="inlineStr">
        <is>
          <t>Meta</t>
        </is>
      </c>
      <c r="F427" s="17" t="n">
        <v>0</v>
      </c>
      <c r="G427" s="17" t="n">
        <v>0</v>
      </c>
      <c r="H427" s="17" t="n">
        <v>0</v>
      </c>
      <c r="I427" s="17" t="n">
        <v>1</v>
      </c>
      <c r="J427" s="17" t="n">
        <v>0</v>
      </c>
      <c r="K427" s="17" t="n">
        <v>0</v>
      </c>
      <c r="L427" s="17" t="n">
        <v>0</v>
      </c>
      <c r="M427" s="17" t="n">
        <v>0</v>
      </c>
      <c r="N427" s="17" t="n">
        <v>0</v>
      </c>
      <c r="O427" s="26" t="n">
        <v>1</v>
      </c>
      <c r="P427" s="3" t="inlineStr">
        <is>
          <t>epoch_chip_quantity_latest</t>
        </is>
      </c>
      <c r="Q427" s="3" t="inlineStr">
        <is>
          <t>SRC_EPOCH_AI_DATA_CENTERS; EPOCH_RAW_CHIP_QUANTITIES</t>
        </is>
      </c>
      <c r="R427" s="3" t="inlineStr">
        <is>
          <t>Latest chip quantity per chip type through year-end; normalized by unit count into benchmark buckets.</t>
        </is>
      </c>
    </row>
    <row r="428">
      <c r="A428" s="3" t="inlineStr">
        <is>
          <t>Bull|Meta Hyperion|2028</t>
        </is>
      </c>
      <c r="B428" s="3" t="inlineStr">
        <is>
          <t>Bull</t>
        </is>
      </c>
      <c r="C428" s="3" t="inlineStr">
        <is>
          <t>Meta Hyperion</t>
        </is>
      </c>
      <c r="D428" s="3" t="n">
        <v>2028</v>
      </c>
      <c r="E428" s="3" t="inlineStr">
        <is>
          <t>Meta</t>
        </is>
      </c>
      <c r="F428" s="17" t="n">
        <v>0</v>
      </c>
      <c r="G428" s="17" t="n">
        <v>0</v>
      </c>
      <c r="H428" s="17" t="n">
        <v>0</v>
      </c>
      <c r="I428" s="17" t="n">
        <v>1</v>
      </c>
      <c r="J428" s="17" t="n">
        <v>0</v>
      </c>
      <c r="K428" s="17" t="n">
        <v>0</v>
      </c>
      <c r="L428" s="17" t="n">
        <v>0</v>
      </c>
      <c r="M428" s="17" t="n">
        <v>0</v>
      </c>
      <c r="N428" s="17" t="n">
        <v>0</v>
      </c>
      <c r="O428" s="26" t="n">
        <v>1</v>
      </c>
      <c r="P428" s="3" t="inlineStr">
        <is>
          <t>epoch_chip_quantity_latest</t>
        </is>
      </c>
      <c r="Q428" s="3" t="inlineStr">
        <is>
          <t>SRC_EPOCH_AI_DATA_CENTERS; EPOCH_RAW_CHIP_QUANTITIES</t>
        </is>
      </c>
      <c r="R428" s="3" t="inlineStr">
        <is>
          <t>Latest chip quantity per chip type through year-end; normalized by unit count into benchmark buckets.</t>
        </is>
      </c>
    </row>
    <row r="429">
      <c r="A429" s="3" t="inlineStr">
        <is>
          <t>Bull|Meta Hyperion|2029</t>
        </is>
      </c>
      <c r="B429" s="3" t="inlineStr">
        <is>
          <t>Bull</t>
        </is>
      </c>
      <c r="C429" s="3" t="inlineStr">
        <is>
          <t>Meta Hyperion</t>
        </is>
      </c>
      <c r="D429" s="3" t="n">
        <v>2029</v>
      </c>
      <c r="E429" s="3" t="inlineStr">
        <is>
          <t>Meta</t>
        </is>
      </c>
      <c r="F429" s="17" t="n">
        <v>0</v>
      </c>
      <c r="G429" s="17" t="n">
        <v>0</v>
      </c>
      <c r="H429" s="17" t="n">
        <v>0</v>
      </c>
      <c r="I429" s="17" t="n">
        <v>1</v>
      </c>
      <c r="J429" s="17" t="n">
        <v>0</v>
      </c>
      <c r="K429" s="17" t="n">
        <v>0</v>
      </c>
      <c r="L429" s="17" t="n">
        <v>0</v>
      </c>
      <c r="M429" s="17" t="n">
        <v>0</v>
      </c>
      <c r="N429" s="17" t="n">
        <v>0</v>
      </c>
      <c r="O429" s="26" t="n">
        <v>1</v>
      </c>
      <c r="P429" s="3" t="inlineStr">
        <is>
          <t>epoch_chip_quantity_latest</t>
        </is>
      </c>
      <c r="Q429" s="3" t="inlineStr">
        <is>
          <t>SRC_EPOCH_AI_DATA_CENTERS; EPOCH_RAW_CHIP_QUANTITIES</t>
        </is>
      </c>
      <c r="R429" s="3" t="inlineStr">
        <is>
          <t>Latest chip quantity per chip type through year-end; normalized by unit count into benchmark buckets.</t>
        </is>
      </c>
    </row>
    <row r="430">
      <c r="A430" s="3" t="inlineStr">
        <is>
          <t>Bull|Meta Hyperion|2030</t>
        </is>
      </c>
      <c r="B430" s="3" t="inlineStr">
        <is>
          <t>Bull</t>
        </is>
      </c>
      <c r="C430" s="3" t="inlineStr">
        <is>
          <t>Meta Hyperion</t>
        </is>
      </c>
      <c r="D430" s="3" t="n">
        <v>2030</v>
      </c>
      <c r="E430" s="3" t="inlineStr">
        <is>
          <t>Meta</t>
        </is>
      </c>
      <c r="F430" s="17" t="n">
        <v>0</v>
      </c>
      <c r="G430" s="17" t="n">
        <v>0</v>
      </c>
      <c r="H430" s="17" t="n">
        <v>0</v>
      </c>
      <c r="I430" s="17" t="n">
        <v>1</v>
      </c>
      <c r="J430" s="17" t="n">
        <v>0</v>
      </c>
      <c r="K430" s="17" t="n">
        <v>0</v>
      </c>
      <c r="L430" s="17" t="n">
        <v>0</v>
      </c>
      <c r="M430" s="17" t="n">
        <v>0</v>
      </c>
      <c r="N430" s="17" t="n">
        <v>0</v>
      </c>
      <c r="O430" s="26" t="n">
        <v>1</v>
      </c>
      <c r="P430" s="3" t="inlineStr">
        <is>
          <t>epoch_chip_quantity_latest</t>
        </is>
      </c>
      <c r="Q430" s="3" t="inlineStr">
        <is>
          <t>SRC_EPOCH_AI_DATA_CENTERS; EPOCH_RAW_CHIP_QUANTITIES</t>
        </is>
      </c>
      <c r="R430" s="3" t="inlineStr">
        <is>
          <t>Latest chip quantity per chip type through year-end; normalized by unit count into benchmark buckets.</t>
        </is>
      </c>
    </row>
    <row r="431">
      <c r="A431" s="3" t="inlineStr">
        <is>
          <t>Grid-Constrained / Efficiency-Upside|Meta Hyperion|2028</t>
        </is>
      </c>
      <c r="B431" s="3" t="inlineStr">
        <is>
          <t>Grid-Constrained / Efficiency-Upside</t>
        </is>
      </c>
      <c r="C431" s="3" t="inlineStr">
        <is>
          <t>Meta Hyperion</t>
        </is>
      </c>
      <c r="D431" s="3" t="n">
        <v>2028</v>
      </c>
      <c r="E431" s="3" t="inlineStr">
        <is>
          <t>Meta</t>
        </is>
      </c>
      <c r="F431" s="17" t="n">
        <v>0</v>
      </c>
      <c r="G431" s="17" t="n">
        <v>0</v>
      </c>
      <c r="H431" s="17" t="n">
        <v>0</v>
      </c>
      <c r="I431" s="17" t="n">
        <v>1</v>
      </c>
      <c r="J431" s="17" t="n">
        <v>0</v>
      </c>
      <c r="K431" s="17" t="n">
        <v>0</v>
      </c>
      <c r="L431" s="17" t="n">
        <v>0</v>
      </c>
      <c r="M431" s="17" t="n">
        <v>0</v>
      </c>
      <c r="N431" s="17" t="n">
        <v>0</v>
      </c>
      <c r="O431" s="26" t="n">
        <v>1</v>
      </c>
      <c r="P431" s="3" t="inlineStr">
        <is>
          <t>epoch_chip_quantity_latest</t>
        </is>
      </c>
      <c r="Q431" s="3" t="inlineStr">
        <is>
          <t>SRC_EPOCH_AI_DATA_CENTERS; EPOCH_RAW_CHIP_QUANTITIES</t>
        </is>
      </c>
      <c r="R431" s="3" t="inlineStr">
        <is>
          <t>Latest chip quantity per chip type through year-end; normalized by unit count into benchmark buckets.</t>
        </is>
      </c>
    </row>
    <row r="432">
      <c r="A432" s="3" t="inlineStr">
        <is>
          <t>Grid-Constrained / Efficiency-Upside|Meta Hyperion|2029</t>
        </is>
      </c>
      <c r="B432" s="3" t="inlineStr">
        <is>
          <t>Grid-Constrained / Efficiency-Upside</t>
        </is>
      </c>
      <c r="C432" s="3" t="inlineStr">
        <is>
          <t>Meta Hyperion</t>
        </is>
      </c>
      <c r="D432" s="3" t="n">
        <v>2029</v>
      </c>
      <c r="E432" s="3" t="inlineStr">
        <is>
          <t>Meta</t>
        </is>
      </c>
      <c r="F432" s="17" t="n">
        <v>0</v>
      </c>
      <c r="G432" s="17" t="n">
        <v>0</v>
      </c>
      <c r="H432" s="17" t="n">
        <v>0</v>
      </c>
      <c r="I432" s="17" t="n">
        <v>1</v>
      </c>
      <c r="J432" s="17" t="n">
        <v>0</v>
      </c>
      <c r="K432" s="17" t="n">
        <v>0</v>
      </c>
      <c r="L432" s="17" t="n">
        <v>0</v>
      </c>
      <c r="M432" s="17" t="n">
        <v>0</v>
      </c>
      <c r="N432" s="17" t="n">
        <v>0</v>
      </c>
      <c r="O432" s="26" t="n">
        <v>1</v>
      </c>
      <c r="P432" s="3" t="inlineStr">
        <is>
          <t>epoch_chip_quantity_latest</t>
        </is>
      </c>
      <c r="Q432" s="3" t="inlineStr">
        <is>
          <t>SRC_EPOCH_AI_DATA_CENTERS; EPOCH_RAW_CHIP_QUANTITIES</t>
        </is>
      </c>
      <c r="R432" s="3" t="inlineStr">
        <is>
          <t>Latest chip quantity per chip type through year-end; normalized by unit count into benchmark buckets.</t>
        </is>
      </c>
    </row>
    <row r="433">
      <c r="A433" s="3" t="inlineStr">
        <is>
          <t>Grid-Constrained / Efficiency-Upside|Meta Hyperion|2030</t>
        </is>
      </c>
      <c r="B433" s="3" t="inlineStr">
        <is>
          <t>Grid-Constrained / Efficiency-Upside</t>
        </is>
      </c>
      <c r="C433" s="3" t="inlineStr">
        <is>
          <t>Meta Hyperion</t>
        </is>
      </c>
      <c r="D433" s="3" t="n">
        <v>2030</v>
      </c>
      <c r="E433" s="3" t="inlineStr">
        <is>
          <t>Meta</t>
        </is>
      </c>
      <c r="F433" s="17" t="n">
        <v>0</v>
      </c>
      <c r="G433" s="17" t="n">
        <v>0</v>
      </c>
      <c r="H433" s="17" t="n">
        <v>0</v>
      </c>
      <c r="I433" s="17" t="n">
        <v>1</v>
      </c>
      <c r="J433" s="17" t="n">
        <v>0</v>
      </c>
      <c r="K433" s="17" t="n">
        <v>0</v>
      </c>
      <c r="L433" s="17" t="n">
        <v>0</v>
      </c>
      <c r="M433" s="17" t="n">
        <v>0</v>
      </c>
      <c r="N433" s="17" t="n">
        <v>0</v>
      </c>
      <c r="O433" s="26" t="n">
        <v>1</v>
      </c>
      <c r="P433" s="3" t="inlineStr">
        <is>
          <t>epoch_chip_quantity_latest</t>
        </is>
      </c>
      <c r="Q433" s="3" t="inlineStr">
        <is>
          <t>SRC_EPOCH_AI_DATA_CENTERS; EPOCH_RAW_CHIP_QUANTITIES</t>
        </is>
      </c>
      <c r="R433" s="3" t="inlineStr">
        <is>
          <t>Latest chip quantity per chip type through year-end; normalized by unit count into benchmark buckets.</t>
        </is>
      </c>
    </row>
    <row r="434">
      <c r="A434" s="3" t="inlineStr">
        <is>
          <t>Bear|Meta Jeffersonville|2026</t>
        </is>
      </c>
      <c r="B434" s="3" t="inlineStr">
        <is>
          <t>Bear</t>
        </is>
      </c>
      <c r="C434" s="3" t="inlineStr">
        <is>
          <t>Meta Jeffersonville</t>
        </is>
      </c>
      <c r="D434" s="3" t="n">
        <v>2026</v>
      </c>
      <c r="E434" s="3" t="inlineStr">
        <is>
          <t>Meta</t>
        </is>
      </c>
      <c r="F434" s="17" t="n">
        <v>0</v>
      </c>
      <c r="G434" s="17" t="n">
        <v>1</v>
      </c>
      <c r="H434" s="17" t="n">
        <v>0</v>
      </c>
      <c r="I434" s="17" t="n">
        <v>0</v>
      </c>
      <c r="J434" s="17" t="n">
        <v>0</v>
      </c>
      <c r="K434" s="17" t="n">
        <v>0</v>
      </c>
      <c r="L434" s="17" t="n">
        <v>0</v>
      </c>
      <c r="M434" s="17" t="n">
        <v>0</v>
      </c>
      <c r="N434" s="17" t="n">
        <v>0</v>
      </c>
      <c r="O434" s="26" t="n">
        <v>1</v>
      </c>
      <c r="P434" s="3" t="inlineStr">
        <is>
          <t>epoch_chip_quantity_latest</t>
        </is>
      </c>
      <c r="Q434" s="3" t="inlineStr">
        <is>
          <t>SRC_EPOCH_AI_DATA_CENTERS; EPOCH_RAW_CHIP_QUANTITIES</t>
        </is>
      </c>
      <c r="R434" s="3" t="inlineStr">
        <is>
          <t>Latest chip quantity per chip type through year-end; normalized by unit count into benchmark buckets.</t>
        </is>
      </c>
    </row>
    <row r="435">
      <c r="A435" s="3" t="inlineStr">
        <is>
          <t>Bear|Meta Jeffersonville|2027</t>
        </is>
      </c>
      <c r="B435" s="3" t="inlineStr">
        <is>
          <t>Bear</t>
        </is>
      </c>
      <c r="C435" s="3" t="inlineStr">
        <is>
          <t>Meta Jeffersonville</t>
        </is>
      </c>
      <c r="D435" s="3" t="n">
        <v>2027</v>
      </c>
      <c r="E435" s="3" t="inlineStr">
        <is>
          <t>Meta</t>
        </is>
      </c>
      <c r="F435" s="17" t="n">
        <v>0</v>
      </c>
      <c r="G435" s="17" t="n">
        <v>1</v>
      </c>
      <c r="H435" s="17" t="n">
        <v>0</v>
      </c>
      <c r="I435" s="17" t="n">
        <v>0</v>
      </c>
      <c r="J435" s="17" t="n">
        <v>0</v>
      </c>
      <c r="K435" s="17" t="n">
        <v>0</v>
      </c>
      <c r="L435" s="17" t="n">
        <v>0</v>
      </c>
      <c r="M435" s="17" t="n">
        <v>0</v>
      </c>
      <c r="N435" s="17" t="n">
        <v>0</v>
      </c>
      <c r="O435" s="26" t="n">
        <v>1</v>
      </c>
      <c r="P435" s="3" t="inlineStr">
        <is>
          <t>epoch_chip_quantity_latest</t>
        </is>
      </c>
      <c r="Q435" s="3" t="inlineStr">
        <is>
          <t>SRC_EPOCH_AI_DATA_CENTERS; EPOCH_RAW_CHIP_QUANTITIES</t>
        </is>
      </c>
      <c r="R435" s="3" t="inlineStr">
        <is>
          <t>Latest chip quantity per chip type through year-end; normalized by unit count into benchmark buckets.</t>
        </is>
      </c>
    </row>
    <row r="436">
      <c r="A436" s="3" t="inlineStr">
        <is>
          <t>Bear|Meta Jeffersonville|2028</t>
        </is>
      </c>
      <c r="B436" s="3" t="inlineStr">
        <is>
          <t>Bear</t>
        </is>
      </c>
      <c r="C436" s="3" t="inlineStr">
        <is>
          <t>Meta Jeffersonville</t>
        </is>
      </c>
      <c r="D436" s="3" t="n">
        <v>2028</v>
      </c>
      <c r="E436" s="3" t="inlineStr">
        <is>
          <t>Meta</t>
        </is>
      </c>
      <c r="F436" s="17" t="n">
        <v>0</v>
      </c>
      <c r="G436" s="17" t="n">
        <v>1</v>
      </c>
      <c r="H436" s="17" t="n">
        <v>0</v>
      </c>
      <c r="I436" s="17" t="n">
        <v>0</v>
      </c>
      <c r="J436" s="17" t="n">
        <v>0</v>
      </c>
      <c r="K436" s="17" t="n">
        <v>0</v>
      </c>
      <c r="L436" s="17" t="n">
        <v>0</v>
      </c>
      <c r="M436" s="17" t="n">
        <v>0</v>
      </c>
      <c r="N436" s="17" t="n">
        <v>0</v>
      </c>
      <c r="O436" s="26" t="n">
        <v>1</v>
      </c>
      <c r="P436" s="3" t="inlineStr">
        <is>
          <t>epoch_chip_quantity_latest</t>
        </is>
      </c>
      <c r="Q436" s="3" t="inlineStr">
        <is>
          <t>SRC_EPOCH_AI_DATA_CENTERS; EPOCH_RAW_CHIP_QUANTITIES</t>
        </is>
      </c>
      <c r="R436" s="3" t="inlineStr">
        <is>
          <t>Latest chip quantity per chip type through year-end; normalized by unit count into benchmark buckets.</t>
        </is>
      </c>
    </row>
    <row r="437">
      <c r="A437" s="3" t="inlineStr">
        <is>
          <t>Bear|Meta Jeffersonville|2029</t>
        </is>
      </c>
      <c r="B437" s="3" t="inlineStr">
        <is>
          <t>Bear</t>
        </is>
      </c>
      <c r="C437" s="3" t="inlineStr">
        <is>
          <t>Meta Jeffersonville</t>
        </is>
      </c>
      <c r="D437" s="3" t="n">
        <v>2029</v>
      </c>
      <c r="E437" s="3" t="inlineStr">
        <is>
          <t>Meta</t>
        </is>
      </c>
      <c r="F437" s="17" t="n">
        <v>0</v>
      </c>
      <c r="G437" s="17" t="n">
        <v>1</v>
      </c>
      <c r="H437" s="17" t="n">
        <v>0</v>
      </c>
      <c r="I437" s="17" t="n">
        <v>0</v>
      </c>
      <c r="J437" s="17" t="n">
        <v>0</v>
      </c>
      <c r="K437" s="17" t="n">
        <v>0</v>
      </c>
      <c r="L437" s="17" t="n">
        <v>0</v>
      </c>
      <c r="M437" s="17" t="n">
        <v>0</v>
      </c>
      <c r="N437" s="17" t="n">
        <v>0</v>
      </c>
      <c r="O437" s="26" t="n">
        <v>1</v>
      </c>
      <c r="P437" s="3" t="inlineStr">
        <is>
          <t>epoch_chip_quantity_latest</t>
        </is>
      </c>
      <c r="Q437" s="3" t="inlineStr">
        <is>
          <t>SRC_EPOCH_AI_DATA_CENTERS; EPOCH_RAW_CHIP_QUANTITIES</t>
        </is>
      </c>
      <c r="R437" s="3" t="inlineStr">
        <is>
          <t>Latest chip quantity per chip type through year-end; normalized by unit count into benchmark buckets.</t>
        </is>
      </c>
    </row>
    <row r="438">
      <c r="A438" s="3" t="inlineStr">
        <is>
          <t>Bear|Meta Jeffersonville|2030</t>
        </is>
      </c>
      <c r="B438" s="3" t="inlineStr">
        <is>
          <t>Bear</t>
        </is>
      </c>
      <c r="C438" s="3" t="inlineStr">
        <is>
          <t>Meta Jeffersonville</t>
        </is>
      </c>
      <c r="D438" s="3" t="n">
        <v>2030</v>
      </c>
      <c r="E438" s="3" t="inlineStr">
        <is>
          <t>Meta</t>
        </is>
      </c>
      <c r="F438" s="17" t="n">
        <v>0</v>
      </c>
      <c r="G438" s="17" t="n">
        <v>1</v>
      </c>
      <c r="H438" s="17" t="n">
        <v>0</v>
      </c>
      <c r="I438" s="17" t="n">
        <v>0</v>
      </c>
      <c r="J438" s="17" t="n">
        <v>0</v>
      </c>
      <c r="K438" s="17" t="n">
        <v>0</v>
      </c>
      <c r="L438" s="17" t="n">
        <v>0</v>
      </c>
      <c r="M438" s="17" t="n">
        <v>0</v>
      </c>
      <c r="N438" s="17" t="n">
        <v>0</v>
      </c>
      <c r="O438" s="26" t="n">
        <v>1</v>
      </c>
      <c r="P438" s="3" t="inlineStr">
        <is>
          <t>epoch_chip_quantity_latest</t>
        </is>
      </c>
      <c r="Q438" s="3" t="inlineStr">
        <is>
          <t>SRC_EPOCH_AI_DATA_CENTERS; EPOCH_RAW_CHIP_QUANTITIES</t>
        </is>
      </c>
      <c r="R438" s="3" t="inlineStr">
        <is>
          <t>Latest chip quantity per chip type through year-end; normalized by unit count into benchmark buckets.</t>
        </is>
      </c>
    </row>
    <row r="439">
      <c r="A439" s="3" t="inlineStr">
        <is>
          <t>Base|Meta Jeffersonville|2026</t>
        </is>
      </c>
      <c r="B439" s="3" t="inlineStr">
        <is>
          <t>Base</t>
        </is>
      </c>
      <c r="C439" s="3" t="inlineStr">
        <is>
          <t>Meta Jeffersonville</t>
        </is>
      </c>
      <c r="D439" s="3" t="n">
        <v>2026</v>
      </c>
      <c r="E439" s="3" t="inlineStr">
        <is>
          <t>Meta</t>
        </is>
      </c>
      <c r="F439" s="17" t="n">
        <v>0</v>
      </c>
      <c r="G439" s="17" t="n">
        <v>1</v>
      </c>
      <c r="H439" s="17" t="n">
        <v>0</v>
      </c>
      <c r="I439" s="17" t="n">
        <v>0</v>
      </c>
      <c r="J439" s="17" t="n">
        <v>0</v>
      </c>
      <c r="K439" s="17" t="n">
        <v>0</v>
      </c>
      <c r="L439" s="17" t="n">
        <v>0</v>
      </c>
      <c r="M439" s="17" t="n">
        <v>0</v>
      </c>
      <c r="N439" s="17" t="n">
        <v>0</v>
      </c>
      <c r="O439" s="26" t="n">
        <v>1</v>
      </c>
      <c r="P439" s="3" t="inlineStr">
        <is>
          <t>epoch_chip_quantity_latest</t>
        </is>
      </c>
      <c r="Q439" s="3" t="inlineStr">
        <is>
          <t>SRC_EPOCH_AI_DATA_CENTERS; EPOCH_RAW_CHIP_QUANTITIES</t>
        </is>
      </c>
      <c r="R439" s="3" t="inlineStr">
        <is>
          <t>Latest chip quantity per chip type through year-end; normalized by unit count into benchmark buckets.</t>
        </is>
      </c>
    </row>
    <row r="440">
      <c r="A440" s="3" t="inlineStr">
        <is>
          <t>Base|Meta Jeffersonville|2027</t>
        </is>
      </c>
      <c r="B440" s="3" t="inlineStr">
        <is>
          <t>Base</t>
        </is>
      </c>
      <c r="C440" s="3" t="inlineStr">
        <is>
          <t>Meta Jeffersonville</t>
        </is>
      </c>
      <c r="D440" s="3" t="n">
        <v>2027</v>
      </c>
      <c r="E440" s="3" t="inlineStr">
        <is>
          <t>Meta</t>
        </is>
      </c>
      <c r="F440" s="17" t="n">
        <v>0</v>
      </c>
      <c r="G440" s="17" t="n">
        <v>1</v>
      </c>
      <c r="H440" s="17" t="n">
        <v>0</v>
      </c>
      <c r="I440" s="17" t="n">
        <v>0</v>
      </c>
      <c r="J440" s="17" t="n">
        <v>0</v>
      </c>
      <c r="K440" s="17" t="n">
        <v>0</v>
      </c>
      <c r="L440" s="17" t="n">
        <v>0</v>
      </c>
      <c r="M440" s="17" t="n">
        <v>0</v>
      </c>
      <c r="N440" s="17" t="n">
        <v>0</v>
      </c>
      <c r="O440" s="26" t="n">
        <v>1</v>
      </c>
      <c r="P440" s="3" t="inlineStr">
        <is>
          <t>epoch_chip_quantity_latest</t>
        </is>
      </c>
      <c r="Q440" s="3" t="inlineStr">
        <is>
          <t>SRC_EPOCH_AI_DATA_CENTERS; EPOCH_RAW_CHIP_QUANTITIES</t>
        </is>
      </c>
      <c r="R440" s="3" t="inlineStr">
        <is>
          <t>Latest chip quantity per chip type through year-end; normalized by unit count into benchmark buckets.</t>
        </is>
      </c>
    </row>
    <row r="441">
      <c r="A441" s="3" t="inlineStr">
        <is>
          <t>Base|Meta Jeffersonville|2028</t>
        </is>
      </c>
      <c r="B441" s="3" t="inlineStr">
        <is>
          <t>Base</t>
        </is>
      </c>
      <c r="C441" s="3" t="inlineStr">
        <is>
          <t>Meta Jeffersonville</t>
        </is>
      </c>
      <c r="D441" s="3" t="n">
        <v>2028</v>
      </c>
      <c r="E441" s="3" t="inlineStr">
        <is>
          <t>Meta</t>
        </is>
      </c>
      <c r="F441" s="17" t="n">
        <v>0</v>
      </c>
      <c r="G441" s="17" t="n">
        <v>1</v>
      </c>
      <c r="H441" s="17" t="n">
        <v>0</v>
      </c>
      <c r="I441" s="17" t="n">
        <v>0</v>
      </c>
      <c r="J441" s="17" t="n">
        <v>0</v>
      </c>
      <c r="K441" s="17" t="n">
        <v>0</v>
      </c>
      <c r="L441" s="17" t="n">
        <v>0</v>
      </c>
      <c r="M441" s="17" t="n">
        <v>0</v>
      </c>
      <c r="N441" s="17" t="n">
        <v>0</v>
      </c>
      <c r="O441" s="26" t="n">
        <v>1</v>
      </c>
      <c r="P441" s="3" t="inlineStr">
        <is>
          <t>epoch_chip_quantity_latest</t>
        </is>
      </c>
      <c r="Q441" s="3" t="inlineStr">
        <is>
          <t>SRC_EPOCH_AI_DATA_CENTERS; EPOCH_RAW_CHIP_QUANTITIES</t>
        </is>
      </c>
      <c r="R441" s="3" t="inlineStr">
        <is>
          <t>Latest chip quantity per chip type through year-end; normalized by unit count into benchmark buckets.</t>
        </is>
      </c>
    </row>
    <row r="442">
      <c r="A442" s="3" t="inlineStr">
        <is>
          <t>Base|Meta Jeffersonville|2029</t>
        </is>
      </c>
      <c r="B442" s="3" t="inlineStr">
        <is>
          <t>Base</t>
        </is>
      </c>
      <c r="C442" s="3" t="inlineStr">
        <is>
          <t>Meta Jeffersonville</t>
        </is>
      </c>
      <c r="D442" s="3" t="n">
        <v>2029</v>
      </c>
      <c r="E442" s="3" t="inlineStr">
        <is>
          <t>Meta</t>
        </is>
      </c>
      <c r="F442" s="17" t="n">
        <v>0</v>
      </c>
      <c r="G442" s="17" t="n">
        <v>1</v>
      </c>
      <c r="H442" s="17" t="n">
        <v>0</v>
      </c>
      <c r="I442" s="17" t="n">
        <v>0</v>
      </c>
      <c r="J442" s="17" t="n">
        <v>0</v>
      </c>
      <c r="K442" s="17" t="n">
        <v>0</v>
      </c>
      <c r="L442" s="17" t="n">
        <v>0</v>
      </c>
      <c r="M442" s="17" t="n">
        <v>0</v>
      </c>
      <c r="N442" s="17" t="n">
        <v>0</v>
      </c>
      <c r="O442" s="26" t="n">
        <v>1</v>
      </c>
      <c r="P442" s="3" t="inlineStr">
        <is>
          <t>epoch_chip_quantity_latest</t>
        </is>
      </c>
      <c r="Q442" s="3" t="inlineStr">
        <is>
          <t>SRC_EPOCH_AI_DATA_CENTERS; EPOCH_RAW_CHIP_QUANTITIES</t>
        </is>
      </c>
      <c r="R442" s="3" t="inlineStr">
        <is>
          <t>Latest chip quantity per chip type through year-end; normalized by unit count into benchmark buckets.</t>
        </is>
      </c>
    </row>
    <row r="443">
      <c r="A443" s="3" t="inlineStr">
        <is>
          <t>Base|Meta Jeffersonville|2030</t>
        </is>
      </c>
      <c r="B443" s="3" t="inlineStr">
        <is>
          <t>Base</t>
        </is>
      </c>
      <c r="C443" s="3" t="inlineStr">
        <is>
          <t>Meta Jeffersonville</t>
        </is>
      </c>
      <c r="D443" s="3" t="n">
        <v>2030</v>
      </c>
      <c r="E443" s="3" t="inlineStr">
        <is>
          <t>Meta</t>
        </is>
      </c>
      <c r="F443" s="17" t="n">
        <v>0</v>
      </c>
      <c r="G443" s="17" t="n">
        <v>1</v>
      </c>
      <c r="H443" s="17" t="n">
        <v>0</v>
      </c>
      <c r="I443" s="17" t="n">
        <v>0</v>
      </c>
      <c r="J443" s="17" t="n">
        <v>0</v>
      </c>
      <c r="K443" s="17" t="n">
        <v>0</v>
      </c>
      <c r="L443" s="17" t="n">
        <v>0</v>
      </c>
      <c r="M443" s="17" t="n">
        <v>0</v>
      </c>
      <c r="N443" s="17" t="n">
        <v>0</v>
      </c>
      <c r="O443" s="26" t="n">
        <v>1</v>
      </c>
      <c r="P443" s="3" t="inlineStr">
        <is>
          <t>epoch_chip_quantity_latest</t>
        </is>
      </c>
      <c r="Q443" s="3" t="inlineStr">
        <is>
          <t>SRC_EPOCH_AI_DATA_CENTERS; EPOCH_RAW_CHIP_QUANTITIES</t>
        </is>
      </c>
      <c r="R443" s="3" t="inlineStr">
        <is>
          <t>Latest chip quantity per chip type through year-end; normalized by unit count into benchmark buckets.</t>
        </is>
      </c>
    </row>
    <row r="444">
      <c r="A444" s="3" t="inlineStr">
        <is>
          <t>Bull|Meta Jeffersonville|2026</t>
        </is>
      </c>
      <c r="B444" s="3" t="inlineStr">
        <is>
          <t>Bull</t>
        </is>
      </c>
      <c r="C444" s="3" t="inlineStr">
        <is>
          <t>Meta Jeffersonville</t>
        </is>
      </c>
      <c r="D444" s="3" t="n">
        <v>2026</v>
      </c>
      <c r="E444" s="3" t="inlineStr">
        <is>
          <t>Meta</t>
        </is>
      </c>
      <c r="F444" s="17" t="n">
        <v>0</v>
      </c>
      <c r="G444" s="17" t="n">
        <v>1</v>
      </c>
      <c r="H444" s="17" t="n">
        <v>0</v>
      </c>
      <c r="I444" s="17" t="n">
        <v>0</v>
      </c>
      <c r="J444" s="17" t="n">
        <v>0</v>
      </c>
      <c r="K444" s="17" t="n">
        <v>0</v>
      </c>
      <c r="L444" s="17" t="n">
        <v>0</v>
      </c>
      <c r="M444" s="17" t="n">
        <v>0</v>
      </c>
      <c r="N444" s="17" t="n">
        <v>0</v>
      </c>
      <c r="O444" s="26" t="n">
        <v>1</v>
      </c>
      <c r="P444" s="3" t="inlineStr">
        <is>
          <t>epoch_chip_quantity_latest</t>
        </is>
      </c>
      <c r="Q444" s="3" t="inlineStr">
        <is>
          <t>SRC_EPOCH_AI_DATA_CENTERS; EPOCH_RAW_CHIP_QUANTITIES</t>
        </is>
      </c>
      <c r="R444" s="3" t="inlineStr">
        <is>
          <t>Latest chip quantity per chip type through year-end; normalized by unit count into benchmark buckets.</t>
        </is>
      </c>
    </row>
    <row r="445">
      <c r="A445" s="3" t="inlineStr">
        <is>
          <t>Bull|Meta Jeffersonville|2027</t>
        </is>
      </c>
      <c r="B445" s="3" t="inlineStr">
        <is>
          <t>Bull</t>
        </is>
      </c>
      <c r="C445" s="3" t="inlineStr">
        <is>
          <t>Meta Jeffersonville</t>
        </is>
      </c>
      <c r="D445" s="3" t="n">
        <v>2027</v>
      </c>
      <c r="E445" s="3" t="inlineStr">
        <is>
          <t>Meta</t>
        </is>
      </c>
      <c r="F445" s="17" t="n">
        <v>0</v>
      </c>
      <c r="G445" s="17" t="n">
        <v>1</v>
      </c>
      <c r="H445" s="17" t="n">
        <v>0</v>
      </c>
      <c r="I445" s="17" t="n">
        <v>0</v>
      </c>
      <c r="J445" s="17" t="n">
        <v>0</v>
      </c>
      <c r="K445" s="17" t="n">
        <v>0</v>
      </c>
      <c r="L445" s="17" t="n">
        <v>0</v>
      </c>
      <c r="M445" s="17" t="n">
        <v>0</v>
      </c>
      <c r="N445" s="17" t="n">
        <v>0</v>
      </c>
      <c r="O445" s="26" t="n">
        <v>1</v>
      </c>
      <c r="P445" s="3" t="inlineStr">
        <is>
          <t>epoch_chip_quantity_latest</t>
        </is>
      </c>
      <c r="Q445" s="3" t="inlineStr">
        <is>
          <t>SRC_EPOCH_AI_DATA_CENTERS; EPOCH_RAW_CHIP_QUANTITIES</t>
        </is>
      </c>
      <c r="R445" s="3" t="inlineStr">
        <is>
          <t>Latest chip quantity per chip type through year-end; normalized by unit count into benchmark buckets.</t>
        </is>
      </c>
    </row>
    <row r="446">
      <c r="A446" s="3" t="inlineStr">
        <is>
          <t>Bull|Meta Jeffersonville|2028</t>
        </is>
      </c>
      <c r="B446" s="3" t="inlineStr">
        <is>
          <t>Bull</t>
        </is>
      </c>
      <c r="C446" s="3" t="inlineStr">
        <is>
          <t>Meta Jeffersonville</t>
        </is>
      </c>
      <c r="D446" s="3" t="n">
        <v>2028</v>
      </c>
      <c r="E446" s="3" t="inlineStr">
        <is>
          <t>Meta</t>
        </is>
      </c>
      <c r="F446" s="17" t="n">
        <v>0</v>
      </c>
      <c r="G446" s="17" t="n">
        <v>1</v>
      </c>
      <c r="H446" s="17" t="n">
        <v>0</v>
      </c>
      <c r="I446" s="17" t="n">
        <v>0</v>
      </c>
      <c r="J446" s="17" t="n">
        <v>0</v>
      </c>
      <c r="K446" s="17" t="n">
        <v>0</v>
      </c>
      <c r="L446" s="17" t="n">
        <v>0</v>
      </c>
      <c r="M446" s="17" t="n">
        <v>0</v>
      </c>
      <c r="N446" s="17" t="n">
        <v>0</v>
      </c>
      <c r="O446" s="26" t="n">
        <v>1</v>
      </c>
      <c r="P446" s="3" t="inlineStr">
        <is>
          <t>epoch_chip_quantity_latest</t>
        </is>
      </c>
      <c r="Q446" s="3" t="inlineStr">
        <is>
          <t>SRC_EPOCH_AI_DATA_CENTERS; EPOCH_RAW_CHIP_QUANTITIES</t>
        </is>
      </c>
      <c r="R446" s="3" t="inlineStr">
        <is>
          <t>Latest chip quantity per chip type through year-end; normalized by unit count into benchmark buckets.</t>
        </is>
      </c>
    </row>
    <row r="447">
      <c r="A447" s="3" t="inlineStr">
        <is>
          <t>Bull|Meta Jeffersonville|2029</t>
        </is>
      </c>
      <c r="B447" s="3" t="inlineStr">
        <is>
          <t>Bull</t>
        </is>
      </c>
      <c r="C447" s="3" t="inlineStr">
        <is>
          <t>Meta Jeffersonville</t>
        </is>
      </c>
      <c r="D447" s="3" t="n">
        <v>2029</v>
      </c>
      <c r="E447" s="3" t="inlineStr">
        <is>
          <t>Meta</t>
        </is>
      </c>
      <c r="F447" s="17" t="n">
        <v>0</v>
      </c>
      <c r="G447" s="17" t="n">
        <v>1</v>
      </c>
      <c r="H447" s="17" t="n">
        <v>0</v>
      </c>
      <c r="I447" s="17" t="n">
        <v>0</v>
      </c>
      <c r="J447" s="17" t="n">
        <v>0</v>
      </c>
      <c r="K447" s="17" t="n">
        <v>0</v>
      </c>
      <c r="L447" s="17" t="n">
        <v>0</v>
      </c>
      <c r="M447" s="17" t="n">
        <v>0</v>
      </c>
      <c r="N447" s="17" t="n">
        <v>0</v>
      </c>
      <c r="O447" s="26" t="n">
        <v>1</v>
      </c>
      <c r="P447" s="3" t="inlineStr">
        <is>
          <t>epoch_chip_quantity_latest</t>
        </is>
      </c>
      <c r="Q447" s="3" t="inlineStr">
        <is>
          <t>SRC_EPOCH_AI_DATA_CENTERS; EPOCH_RAW_CHIP_QUANTITIES</t>
        </is>
      </c>
      <c r="R447" s="3" t="inlineStr">
        <is>
          <t>Latest chip quantity per chip type through year-end; normalized by unit count into benchmark buckets.</t>
        </is>
      </c>
    </row>
    <row r="448">
      <c r="A448" s="3" t="inlineStr">
        <is>
          <t>Bull|Meta Jeffersonville|2030</t>
        </is>
      </c>
      <c r="B448" s="3" t="inlineStr">
        <is>
          <t>Bull</t>
        </is>
      </c>
      <c r="C448" s="3" t="inlineStr">
        <is>
          <t>Meta Jeffersonville</t>
        </is>
      </c>
      <c r="D448" s="3" t="n">
        <v>2030</v>
      </c>
      <c r="E448" s="3" t="inlineStr">
        <is>
          <t>Meta</t>
        </is>
      </c>
      <c r="F448" s="17" t="n">
        <v>0</v>
      </c>
      <c r="G448" s="17" t="n">
        <v>1</v>
      </c>
      <c r="H448" s="17" t="n">
        <v>0</v>
      </c>
      <c r="I448" s="17" t="n">
        <v>0</v>
      </c>
      <c r="J448" s="17" t="n">
        <v>0</v>
      </c>
      <c r="K448" s="17" t="n">
        <v>0</v>
      </c>
      <c r="L448" s="17" t="n">
        <v>0</v>
      </c>
      <c r="M448" s="17" t="n">
        <v>0</v>
      </c>
      <c r="N448" s="17" t="n">
        <v>0</v>
      </c>
      <c r="O448" s="26" t="n">
        <v>1</v>
      </c>
      <c r="P448" s="3" t="inlineStr">
        <is>
          <t>epoch_chip_quantity_latest</t>
        </is>
      </c>
      <c r="Q448" s="3" t="inlineStr">
        <is>
          <t>SRC_EPOCH_AI_DATA_CENTERS; EPOCH_RAW_CHIP_QUANTITIES</t>
        </is>
      </c>
      <c r="R448" s="3" t="inlineStr">
        <is>
          <t>Latest chip quantity per chip type through year-end; normalized by unit count into benchmark buckets.</t>
        </is>
      </c>
    </row>
    <row r="449">
      <c r="A449" s="3" t="inlineStr">
        <is>
          <t>Grid-Constrained / Efficiency-Upside|Meta Jeffersonville|2026</t>
        </is>
      </c>
      <c r="B449" s="3" t="inlineStr">
        <is>
          <t>Grid-Constrained / Efficiency-Upside</t>
        </is>
      </c>
      <c r="C449" s="3" t="inlineStr">
        <is>
          <t>Meta Jeffersonville</t>
        </is>
      </c>
      <c r="D449" s="3" t="n">
        <v>2026</v>
      </c>
      <c r="E449" s="3" t="inlineStr">
        <is>
          <t>Meta</t>
        </is>
      </c>
      <c r="F449" s="17" t="n">
        <v>0</v>
      </c>
      <c r="G449" s="17" t="n">
        <v>1</v>
      </c>
      <c r="H449" s="17" t="n">
        <v>0</v>
      </c>
      <c r="I449" s="17" t="n">
        <v>0</v>
      </c>
      <c r="J449" s="17" t="n">
        <v>0</v>
      </c>
      <c r="K449" s="17" t="n">
        <v>0</v>
      </c>
      <c r="L449" s="17" t="n">
        <v>0</v>
      </c>
      <c r="M449" s="17" t="n">
        <v>0</v>
      </c>
      <c r="N449" s="17" t="n">
        <v>0</v>
      </c>
      <c r="O449" s="26" t="n">
        <v>1</v>
      </c>
      <c r="P449" s="3" t="inlineStr">
        <is>
          <t>epoch_chip_quantity_latest</t>
        </is>
      </c>
      <c r="Q449" s="3" t="inlineStr">
        <is>
          <t>SRC_EPOCH_AI_DATA_CENTERS; EPOCH_RAW_CHIP_QUANTITIES</t>
        </is>
      </c>
      <c r="R449" s="3" t="inlineStr">
        <is>
          <t>Latest chip quantity per chip type through year-end; normalized by unit count into benchmark buckets.</t>
        </is>
      </c>
    </row>
    <row r="450">
      <c r="A450" s="3" t="inlineStr">
        <is>
          <t>Grid-Constrained / Efficiency-Upside|Meta Jeffersonville|2027</t>
        </is>
      </c>
      <c r="B450" s="3" t="inlineStr">
        <is>
          <t>Grid-Constrained / Efficiency-Upside</t>
        </is>
      </c>
      <c r="C450" s="3" t="inlineStr">
        <is>
          <t>Meta Jeffersonville</t>
        </is>
      </c>
      <c r="D450" s="3" t="n">
        <v>2027</v>
      </c>
      <c r="E450" s="3" t="inlineStr">
        <is>
          <t>Meta</t>
        </is>
      </c>
      <c r="F450" s="17" t="n">
        <v>0</v>
      </c>
      <c r="G450" s="17" t="n">
        <v>1</v>
      </c>
      <c r="H450" s="17" t="n">
        <v>0</v>
      </c>
      <c r="I450" s="17" t="n">
        <v>0</v>
      </c>
      <c r="J450" s="17" t="n">
        <v>0</v>
      </c>
      <c r="K450" s="17" t="n">
        <v>0</v>
      </c>
      <c r="L450" s="17" t="n">
        <v>0</v>
      </c>
      <c r="M450" s="17" t="n">
        <v>0</v>
      </c>
      <c r="N450" s="17" t="n">
        <v>0</v>
      </c>
      <c r="O450" s="26" t="n">
        <v>1</v>
      </c>
      <c r="P450" s="3" t="inlineStr">
        <is>
          <t>epoch_chip_quantity_latest</t>
        </is>
      </c>
      <c r="Q450" s="3" t="inlineStr">
        <is>
          <t>SRC_EPOCH_AI_DATA_CENTERS; EPOCH_RAW_CHIP_QUANTITIES</t>
        </is>
      </c>
      <c r="R450" s="3" t="inlineStr">
        <is>
          <t>Latest chip quantity per chip type through year-end; normalized by unit count into benchmark buckets.</t>
        </is>
      </c>
    </row>
    <row r="451">
      <c r="A451" s="3" t="inlineStr">
        <is>
          <t>Grid-Constrained / Efficiency-Upside|Meta Jeffersonville|2028</t>
        </is>
      </c>
      <c r="B451" s="3" t="inlineStr">
        <is>
          <t>Grid-Constrained / Efficiency-Upside</t>
        </is>
      </c>
      <c r="C451" s="3" t="inlineStr">
        <is>
          <t>Meta Jeffersonville</t>
        </is>
      </c>
      <c r="D451" s="3" t="n">
        <v>2028</v>
      </c>
      <c r="E451" s="3" t="inlineStr">
        <is>
          <t>Meta</t>
        </is>
      </c>
      <c r="F451" s="17" t="n">
        <v>0</v>
      </c>
      <c r="G451" s="17" t="n">
        <v>1</v>
      </c>
      <c r="H451" s="17" t="n">
        <v>0</v>
      </c>
      <c r="I451" s="17" t="n">
        <v>0</v>
      </c>
      <c r="J451" s="17" t="n">
        <v>0</v>
      </c>
      <c r="K451" s="17" t="n">
        <v>0</v>
      </c>
      <c r="L451" s="17" t="n">
        <v>0</v>
      </c>
      <c r="M451" s="17" t="n">
        <v>0</v>
      </c>
      <c r="N451" s="17" t="n">
        <v>0</v>
      </c>
      <c r="O451" s="26" t="n">
        <v>1</v>
      </c>
      <c r="P451" s="3" t="inlineStr">
        <is>
          <t>epoch_chip_quantity_latest</t>
        </is>
      </c>
      <c r="Q451" s="3" t="inlineStr">
        <is>
          <t>SRC_EPOCH_AI_DATA_CENTERS; EPOCH_RAW_CHIP_QUANTITIES</t>
        </is>
      </c>
      <c r="R451" s="3" t="inlineStr">
        <is>
          <t>Latest chip quantity per chip type through year-end; normalized by unit count into benchmark buckets.</t>
        </is>
      </c>
    </row>
    <row r="452">
      <c r="A452" s="3" t="inlineStr">
        <is>
          <t>Grid-Constrained / Efficiency-Upside|Meta Jeffersonville|2029</t>
        </is>
      </c>
      <c r="B452" s="3" t="inlineStr">
        <is>
          <t>Grid-Constrained / Efficiency-Upside</t>
        </is>
      </c>
      <c r="C452" s="3" t="inlineStr">
        <is>
          <t>Meta Jeffersonville</t>
        </is>
      </c>
      <c r="D452" s="3" t="n">
        <v>2029</v>
      </c>
      <c r="E452" s="3" t="inlineStr">
        <is>
          <t>Meta</t>
        </is>
      </c>
      <c r="F452" s="17" t="n">
        <v>0</v>
      </c>
      <c r="G452" s="17" t="n">
        <v>1</v>
      </c>
      <c r="H452" s="17" t="n">
        <v>0</v>
      </c>
      <c r="I452" s="17" t="n">
        <v>0</v>
      </c>
      <c r="J452" s="17" t="n">
        <v>0</v>
      </c>
      <c r="K452" s="17" t="n">
        <v>0</v>
      </c>
      <c r="L452" s="17" t="n">
        <v>0</v>
      </c>
      <c r="M452" s="17" t="n">
        <v>0</v>
      </c>
      <c r="N452" s="17" t="n">
        <v>0</v>
      </c>
      <c r="O452" s="26" t="n">
        <v>1</v>
      </c>
      <c r="P452" s="3" t="inlineStr">
        <is>
          <t>epoch_chip_quantity_latest</t>
        </is>
      </c>
      <c r="Q452" s="3" t="inlineStr">
        <is>
          <t>SRC_EPOCH_AI_DATA_CENTERS; EPOCH_RAW_CHIP_QUANTITIES</t>
        </is>
      </c>
      <c r="R452" s="3" t="inlineStr">
        <is>
          <t>Latest chip quantity per chip type through year-end; normalized by unit count into benchmark buckets.</t>
        </is>
      </c>
    </row>
    <row r="453">
      <c r="A453" s="3" t="inlineStr">
        <is>
          <t>Grid-Constrained / Efficiency-Upside|Meta Jeffersonville|2030</t>
        </is>
      </c>
      <c r="B453" s="3" t="inlineStr">
        <is>
          <t>Grid-Constrained / Efficiency-Upside</t>
        </is>
      </c>
      <c r="C453" s="3" t="inlineStr">
        <is>
          <t>Meta Jeffersonville</t>
        </is>
      </c>
      <c r="D453" s="3" t="n">
        <v>2030</v>
      </c>
      <c r="E453" s="3" t="inlineStr">
        <is>
          <t>Meta</t>
        </is>
      </c>
      <c r="F453" s="17" t="n">
        <v>0</v>
      </c>
      <c r="G453" s="17" t="n">
        <v>1</v>
      </c>
      <c r="H453" s="17" t="n">
        <v>0</v>
      </c>
      <c r="I453" s="17" t="n">
        <v>0</v>
      </c>
      <c r="J453" s="17" t="n">
        <v>0</v>
      </c>
      <c r="K453" s="17" t="n">
        <v>0</v>
      </c>
      <c r="L453" s="17" t="n">
        <v>0</v>
      </c>
      <c r="M453" s="17" t="n">
        <v>0</v>
      </c>
      <c r="N453" s="17" t="n">
        <v>0</v>
      </c>
      <c r="O453" s="26" t="n">
        <v>1</v>
      </c>
      <c r="P453" s="3" t="inlineStr">
        <is>
          <t>epoch_chip_quantity_latest</t>
        </is>
      </c>
      <c r="Q453" s="3" t="inlineStr">
        <is>
          <t>SRC_EPOCH_AI_DATA_CENTERS; EPOCH_RAW_CHIP_QUANTITIES</t>
        </is>
      </c>
      <c r="R453" s="3" t="inlineStr">
        <is>
          <t>Latest chip quantity per chip type through year-end; normalized by unit count into benchmark buckets.</t>
        </is>
      </c>
    </row>
    <row r="454">
      <c r="A454" s="3" t="inlineStr">
        <is>
          <t>Bear|Meta Kuna|2026</t>
        </is>
      </c>
      <c r="B454" s="3" t="inlineStr">
        <is>
          <t>Bear</t>
        </is>
      </c>
      <c r="C454" s="3" t="inlineStr">
        <is>
          <t>Meta Kuna</t>
        </is>
      </c>
      <c r="D454" s="3" t="n">
        <v>2026</v>
      </c>
      <c r="E454" s="3" t="inlineStr">
        <is>
          <t>Meta</t>
        </is>
      </c>
      <c r="F454" s="17" t="n">
        <v>0</v>
      </c>
      <c r="G454" s="17" t="n">
        <v>1</v>
      </c>
      <c r="H454" s="17" t="n">
        <v>0</v>
      </c>
      <c r="I454" s="17" t="n">
        <v>0</v>
      </c>
      <c r="J454" s="17" t="n">
        <v>0</v>
      </c>
      <c r="K454" s="17" t="n">
        <v>0</v>
      </c>
      <c r="L454" s="17" t="n">
        <v>0</v>
      </c>
      <c r="M454" s="17" t="n">
        <v>0</v>
      </c>
      <c r="N454" s="17" t="n">
        <v>0</v>
      </c>
      <c r="O454" s="26" t="n">
        <v>1</v>
      </c>
      <c r="P454" s="3" t="inlineStr">
        <is>
          <t>epoch_chip_quantity_latest</t>
        </is>
      </c>
      <c r="Q454" s="3" t="inlineStr">
        <is>
          <t>SRC_EPOCH_AI_DATA_CENTERS; EPOCH_RAW_CHIP_QUANTITIES</t>
        </is>
      </c>
      <c r="R454" s="3" t="inlineStr">
        <is>
          <t>Latest chip quantity per chip type through year-end; normalized by unit count into benchmark buckets.</t>
        </is>
      </c>
    </row>
    <row r="455">
      <c r="A455" s="3" t="inlineStr">
        <is>
          <t>Bear|Meta Kuna|2027</t>
        </is>
      </c>
      <c r="B455" s="3" t="inlineStr">
        <is>
          <t>Bear</t>
        </is>
      </c>
      <c r="C455" s="3" t="inlineStr">
        <is>
          <t>Meta Kuna</t>
        </is>
      </c>
      <c r="D455" s="3" t="n">
        <v>2027</v>
      </c>
      <c r="E455" s="3" t="inlineStr">
        <is>
          <t>Meta</t>
        </is>
      </c>
      <c r="F455" s="17" t="n">
        <v>0</v>
      </c>
      <c r="G455" s="17" t="n">
        <v>1</v>
      </c>
      <c r="H455" s="17" t="n">
        <v>0</v>
      </c>
      <c r="I455" s="17" t="n">
        <v>0</v>
      </c>
      <c r="J455" s="17" t="n">
        <v>0</v>
      </c>
      <c r="K455" s="17" t="n">
        <v>0</v>
      </c>
      <c r="L455" s="17" t="n">
        <v>0</v>
      </c>
      <c r="M455" s="17" t="n">
        <v>0</v>
      </c>
      <c r="N455" s="17" t="n">
        <v>0</v>
      </c>
      <c r="O455" s="26" t="n">
        <v>1</v>
      </c>
      <c r="P455" s="3" t="inlineStr">
        <is>
          <t>epoch_chip_quantity_latest</t>
        </is>
      </c>
      <c r="Q455" s="3" t="inlineStr">
        <is>
          <t>SRC_EPOCH_AI_DATA_CENTERS; EPOCH_RAW_CHIP_QUANTITIES</t>
        </is>
      </c>
      <c r="R455" s="3" t="inlineStr">
        <is>
          <t>Latest chip quantity per chip type through year-end; normalized by unit count into benchmark buckets.</t>
        </is>
      </c>
    </row>
    <row r="456">
      <c r="A456" s="3" t="inlineStr">
        <is>
          <t>Bear|Meta Kuna|2028</t>
        </is>
      </c>
      <c r="B456" s="3" t="inlineStr">
        <is>
          <t>Bear</t>
        </is>
      </c>
      <c r="C456" s="3" t="inlineStr">
        <is>
          <t>Meta Kuna</t>
        </is>
      </c>
      <c r="D456" s="3" t="n">
        <v>2028</v>
      </c>
      <c r="E456" s="3" t="inlineStr">
        <is>
          <t>Meta</t>
        </is>
      </c>
      <c r="F456" s="17" t="n">
        <v>0</v>
      </c>
      <c r="G456" s="17" t="n">
        <v>1</v>
      </c>
      <c r="H456" s="17" t="n">
        <v>0</v>
      </c>
      <c r="I456" s="17" t="n">
        <v>0</v>
      </c>
      <c r="J456" s="17" t="n">
        <v>0</v>
      </c>
      <c r="K456" s="17" t="n">
        <v>0</v>
      </c>
      <c r="L456" s="17" t="n">
        <v>0</v>
      </c>
      <c r="M456" s="17" t="n">
        <v>0</v>
      </c>
      <c r="N456" s="17" t="n">
        <v>0</v>
      </c>
      <c r="O456" s="26" t="n">
        <v>1</v>
      </c>
      <c r="P456" s="3" t="inlineStr">
        <is>
          <t>epoch_chip_quantity_latest</t>
        </is>
      </c>
      <c r="Q456" s="3" t="inlineStr">
        <is>
          <t>SRC_EPOCH_AI_DATA_CENTERS; EPOCH_RAW_CHIP_QUANTITIES</t>
        </is>
      </c>
      <c r="R456" s="3" t="inlineStr">
        <is>
          <t>Latest chip quantity per chip type through year-end; normalized by unit count into benchmark buckets.</t>
        </is>
      </c>
    </row>
    <row r="457">
      <c r="A457" s="3" t="inlineStr">
        <is>
          <t>Bear|Meta Kuna|2029</t>
        </is>
      </c>
      <c r="B457" s="3" t="inlineStr">
        <is>
          <t>Bear</t>
        </is>
      </c>
      <c r="C457" s="3" t="inlineStr">
        <is>
          <t>Meta Kuna</t>
        </is>
      </c>
      <c r="D457" s="3" t="n">
        <v>2029</v>
      </c>
      <c r="E457" s="3" t="inlineStr">
        <is>
          <t>Meta</t>
        </is>
      </c>
      <c r="F457" s="17" t="n">
        <v>0</v>
      </c>
      <c r="G457" s="17" t="n">
        <v>1</v>
      </c>
      <c r="H457" s="17" t="n">
        <v>0</v>
      </c>
      <c r="I457" s="17" t="n">
        <v>0</v>
      </c>
      <c r="J457" s="17" t="n">
        <v>0</v>
      </c>
      <c r="K457" s="17" t="n">
        <v>0</v>
      </c>
      <c r="L457" s="17" t="n">
        <v>0</v>
      </c>
      <c r="M457" s="17" t="n">
        <v>0</v>
      </c>
      <c r="N457" s="17" t="n">
        <v>0</v>
      </c>
      <c r="O457" s="26" t="n">
        <v>1</v>
      </c>
      <c r="P457" s="3" t="inlineStr">
        <is>
          <t>epoch_chip_quantity_latest</t>
        </is>
      </c>
      <c r="Q457" s="3" t="inlineStr">
        <is>
          <t>SRC_EPOCH_AI_DATA_CENTERS; EPOCH_RAW_CHIP_QUANTITIES</t>
        </is>
      </c>
      <c r="R457" s="3" t="inlineStr">
        <is>
          <t>Latest chip quantity per chip type through year-end; normalized by unit count into benchmark buckets.</t>
        </is>
      </c>
    </row>
    <row r="458">
      <c r="A458" s="3" t="inlineStr">
        <is>
          <t>Bear|Meta Kuna|2030</t>
        </is>
      </c>
      <c r="B458" s="3" t="inlineStr">
        <is>
          <t>Bear</t>
        </is>
      </c>
      <c r="C458" s="3" t="inlineStr">
        <is>
          <t>Meta Kuna</t>
        </is>
      </c>
      <c r="D458" s="3" t="n">
        <v>2030</v>
      </c>
      <c r="E458" s="3" t="inlineStr">
        <is>
          <t>Meta</t>
        </is>
      </c>
      <c r="F458" s="17" t="n">
        <v>0</v>
      </c>
      <c r="G458" s="17" t="n">
        <v>1</v>
      </c>
      <c r="H458" s="17" t="n">
        <v>0</v>
      </c>
      <c r="I458" s="17" t="n">
        <v>0</v>
      </c>
      <c r="J458" s="17" t="n">
        <v>0</v>
      </c>
      <c r="K458" s="17" t="n">
        <v>0</v>
      </c>
      <c r="L458" s="17" t="n">
        <v>0</v>
      </c>
      <c r="M458" s="17" t="n">
        <v>0</v>
      </c>
      <c r="N458" s="17" t="n">
        <v>0</v>
      </c>
      <c r="O458" s="26" t="n">
        <v>1</v>
      </c>
      <c r="P458" s="3" t="inlineStr">
        <is>
          <t>epoch_chip_quantity_latest</t>
        </is>
      </c>
      <c r="Q458" s="3" t="inlineStr">
        <is>
          <t>SRC_EPOCH_AI_DATA_CENTERS; EPOCH_RAW_CHIP_QUANTITIES</t>
        </is>
      </c>
      <c r="R458" s="3" t="inlineStr">
        <is>
          <t>Latest chip quantity per chip type through year-end; normalized by unit count into benchmark buckets.</t>
        </is>
      </c>
    </row>
    <row r="459">
      <c r="A459" s="3" t="inlineStr">
        <is>
          <t>Base|Meta Kuna|2026</t>
        </is>
      </c>
      <c r="B459" s="3" t="inlineStr">
        <is>
          <t>Base</t>
        </is>
      </c>
      <c r="C459" s="3" t="inlineStr">
        <is>
          <t>Meta Kuna</t>
        </is>
      </c>
      <c r="D459" s="3" t="n">
        <v>2026</v>
      </c>
      <c r="E459" s="3" t="inlineStr">
        <is>
          <t>Meta</t>
        </is>
      </c>
      <c r="F459" s="17" t="n">
        <v>0</v>
      </c>
      <c r="G459" s="17" t="n">
        <v>1</v>
      </c>
      <c r="H459" s="17" t="n">
        <v>0</v>
      </c>
      <c r="I459" s="17" t="n">
        <v>0</v>
      </c>
      <c r="J459" s="17" t="n">
        <v>0</v>
      </c>
      <c r="K459" s="17" t="n">
        <v>0</v>
      </c>
      <c r="L459" s="17" t="n">
        <v>0</v>
      </c>
      <c r="M459" s="17" t="n">
        <v>0</v>
      </c>
      <c r="N459" s="17" t="n">
        <v>0</v>
      </c>
      <c r="O459" s="26" t="n">
        <v>1</v>
      </c>
      <c r="P459" s="3" t="inlineStr">
        <is>
          <t>epoch_chip_quantity_latest</t>
        </is>
      </c>
      <c r="Q459" s="3" t="inlineStr">
        <is>
          <t>SRC_EPOCH_AI_DATA_CENTERS; EPOCH_RAW_CHIP_QUANTITIES</t>
        </is>
      </c>
      <c r="R459" s="3" t="inlineStr">
        <is>
          <t>Latest chip quantity per chip type through year-end; normalized by unit count into benchmark buckets.</t>
        </is>
      </c>
    </row>
    <row r="460">
      <c r="A460" s="3" t="inlineStr">
        <is>
          <t>Base|Meta Kuna|2027</t>
        </is>
      </c>
      <c r="B460" s="3" t="inlineStr">
        <is>
          <t>Base</t>
        </is>
      </c>
      <c r="C460" s="3" t="inlineStr">
        <is>
          <t>Meta Kuna</t>
        </is>
      </c>
      <c r="D460" s="3" t="n">
        <v>2027</v>
      </c>
      <c r="E460" s="3" t="inlineStr">
        <is>
          <t>Meta</t>
        </is>
      </c>
      <c r="F460" s="17" t="n">
        <v>0</v>
      </c>
      <c r="G460" s="17" t="n">
        <v>1</v>
      </c>
      <c r="H460" s="17" t="n">
        <v>0</v>
      </c>
      <c r="I460" s="17" t="n">
        <v>0</v>
      </c>
      <c r="J460" s="17" t="n">
        <v>0</v>
      </c>
      <c r="K460" s="17" t="n">
        <v>0</v>
      </c>
      <c r="L460" s="17" t="n">
        <v>0</v>
      </c>
      <c r="M460" s="17" t="n">
        <v>0</v>
      </c>
      <c r="N460" s="17" t="n">
        <v>0</v>
      </c>
      <c r="O460" s="26" t="n">
        <v>1</v>
      </c>
      <c r="P460" s="3" t="inlineStr">
        <is>
          <t>epoch_chip_quantity_latest</t>
        </is>
      </c>
      <c r="Q460" s="3" t="inlineStr">
        <is>
          <t>SRC_EPOCH_AI_DATA_CENTERS; EPOCH_RAW_CHIP_QUANTITIES</t>
        </is>
      </c>
      <c r="R460" s="3" t="inlineStr">
        <is>
          <t>Latest chip quantity per chip type through year-end; normalized by unit count into benchmark buckets.</t>
        </is>
      </c>
    </row>
    <row r="461">
      <c r="A461" s="3" t="inlineStr">
        <is>
          <t>Base|Meta Kuna|2028</t>
        </is>
      </c>
      <c r="B461" s="3" t="inlineStr">
        <is>
          <t>Base</t>
        </is>
      </c>
      <c r="C461" s="3" t="inlineStr">
        <is>
          <t>Meta Kuna</t>
        </is>
      </c>
      <c r="D461" s="3" t="n">
        <v>2028</v>
      </c>
      <c r="E461" s="3" t="inlineStr">
        <is>
          <t>Meta</t>
        </is>
      </c>
      <c r="F461" s="17" t="n">
        <v>0</v>
      </c>
      <c r="G461" s="17" t="n">
        <v>1</v>
      </c>
      <c r="H461" s="17" t="n">
        <v>0</v>
      </c>
      <c r="I461" s="17" t="n">
        <v>0</v>
      </c>
      <c r="J461" s="17" t="n">
        <v>0</v>
      </c>
      <c r="K461" s="17" t="n">
        <v>0</v>
      </c>
      <c r="L461" s="17" t="n">
        <v>0</v>
      </c>
      <c r="M461" s="17" t="n">
        <v>0</v>
      </c>
      <c r="N461" s="17" t="n">
        <v>0</v>
      </c>
      <c r="O461" s="26" t="n">
        <v>1</v>
      </c>
      <c r="P461" s="3" t="inlineStr">
        <is>
          <t>epoch_chip_quantity_latest</t>
        </is>
      </c>
      <c r="Q461" s="3" t="inlineStr">
        <is>
          <t>SRC_EPOCH_AI_DATA_CENTERS; EPOCH_RAW_CHIP_QUANTITIES</t>
        </is>
      </c>
      <c r="R461" s="3" t="inlineStr">
        <is>
          <t>Latest chip quantity per chip type through year-end; normalized by unit count into benchmark buckets.</t>
        </is>
      </c>
    </row>
    <row r="462">
      <c r="A462" s="3" t="inlineStr">
        <is>
          <t>Base|Meta Kuna|2029</t>
        </is>
      </c>
      <c r="B462" s="3" t="inlineStr">
        <is>
          <t>Base</t>
        </is>
      </c>
      <c r="C462" s="3" t="inlineStr">
        <is>
          <t>Meta Kuna</t>
        </is>
      </c>
      <c r="D462" s="3" t="n">
        <v>2029</v>
      </c>
      <c r="E462" s="3" t="inlineStr">
        <is>
          <t>Meta</t>
        </is>
      </c>
      <c r="F462" s="17" t="n">
        <v>0</v>
      </c>
      <c r="G462" s="17" t="n">
        <v>1</v>
      </c>
      <c r="H462" s="17" t="n">
        <v>0</v>
      </c>
      <c r="I462" s="17" t="n">
        <v>0</v>
      </c>
      <c r="J462" s="17" t="n">
        <v>0</v>
      </c>
      <c r="K462" s="17" t="n">
        <v>0</v>
      </c>
      <c r="L462" s="17" t="n">
        <v>0</v>
      </c>
      <c r="M462" s="17" t="n">
        <v>0</v>
      </c>
      <c r="N462" s="17" t="n">
        <v>0</v>
      </c>
      <c r="O462" s="26" t="n">
        <v>1</v>
      </c>
      <c r="P462" s="3" t="inlineStr">
        <is>
          <t>epoch_chip_quantity_latest</t>
        </is>
      </c>
      <c r="Q462" s="3" t="inlineStr">
        <is>
          <t>SRC_EPOCH_AI_DATA_CENTERS; EPOCH_RAW_CHIP_QUANTITIES</t>
        </is>
      </c>
      <c r="R462" s="3" t="inlineStr">
        <is>
          <t>Latest chip quantity per chip type through year-end; normalized by unit count into benchmark buckets.</t>
        </is>
      </c>
    </row>
    <row r="463">
      <c r="A463" s="3" t="inlineStr">
        <is>
          <t>Base|Meta Kuna|2030</t>
        </is>
      </c>
      <c r="B463" s="3" t="inlineStr">
        <is>
          <t>Base</t>
        </is>
      </c>
      <c r="C463" s="3" t="inlineStr">
        <is>
          <t>Meta Kuna</t>
        </is>
      </c>
      <c r="D463" s="3" t="n">
        <v>2030</v>
      </c>
      <c r="E463" s="3" t="inlineStr">
        <is>
          <t>Meta</t>
        </is>
      </c>
      <c r="F463" s="17" t="n">
        <v>0</v>
      </c>
      <c r="G463" s="17" t="n">
        <v>1</v>
      </c>
      <c r="H463" s="17" t="n">
        <v>0</v>
      </c>
      <c r="I463" s="17" t="n">
        <v>0</v>
      </c>
      <c r="J463" s="17" t="n">
        <v>0</v>
      </c>
      <c r="K463" s="17" t="n">
        <v>0</v>
      </c>
      <c r="L463" s="17" t="n">
        <v>0</v>
      </c>
      <c r="M463" s="17" t="n">
        <v>0</v>
      </c>
      <c r="N463" s="17" t="n">
        <v>0</v>
      </c>
      <c r="O463" s="26" t="n">
        <v>1</v>
      </c>
      <c r="P463" s="3" t="inlineStr">
        <is>
          <t>epoch_chip_quantity_latest</t>
        </is>
      </c>
      <c r="Q463" s="3" t="inlineStr">
        <is>
          <t>SRC_EPOCH_AI_DATA_CENTERS; EPOCH_RAW_CHIP_QUANTITIES</t>
        </is>
      </c>
      <c r="R463" s="3" t="inlineStr">
        <is>
          <t>Latest chip quantity per chip type through year-end; normalized by unit count into benchmark buckets.</t>
        </is>
      </c>
    </row>
    <row r="464">
      <c r="A464" s="3" t="inlineStr">
        <is>
          <t>Bull|Meta Kuna|2026</t>
        </is>
      </c>
      <c r="B464" s="3" t="inlineStr">
        <is>
          <t>Bull</t>
        </is>
      </c>
      <c r="C464" s="3" t="inlineStr">
        <is>
          <t>Meta Kuna</t>
        </is>
      </c>
      <c r="D464" s="3" t="n">
        <v>2026</v>
      </c>
      <c r="E464" s="3" t="inlineStr">
        <is>
          <t>Meta</t>
        </is>
      </c>
      <c r="F464" s="17" t="n">
        <v>0</v>
      </c>
      <c r="G464" s="17" t="n">
        <v>1</v>
      </c>
      <c r="H464" s="17" t="n">
        <v>0</v>
      </c>
      <c r="I464" s="17" t="n">
        <v>0</v>
      </c>
      <c r="J464" s="17" t="n">
        <v>0</v>
      </c>
      <c r="K464" s="17" t="n">
        <v>0</v>
      </c>
      <c r="L464" s="17" t="n">
        <v>0</v>
      </c>
      <c r="M464" s="17" t="n">
        <v>0</v>
      </c>
      <c r="N464" s="17" t="n">
        <v>0</v>
      </c>
      <c r="O464" s="26" t="n">
        <v>1</v>
      </c>
      <c r="P464" s="3" t="inlineStr">
        <is>
          <t>epoch_chip_quantity_latest</t>
        </is>
      </c>
      <c r="Q464" s="3" t="inlineStr">
        <is>
          <t>SRC_EPOCH_AI_DATA_CENTERS; EPOCH_RAW_CHIP_QUANTITIES</t>
        </is>
      </c>
      <c r="R464" s="3" t="inlineStr">
        <is>
          <t>Latest chip quantity per chip type through year-end; normalized by unit count into benchmark buckets.</t>
        </is>
      </c>
    </row>
    <row r="465">
      <c r="A465" s="3" t="inlineStr">
        <is>
          <t>Bull|Meta Kuna|2027</t>
        </is>
      </c>
      <c r="B465" s="3" t="inlineStr">
        <is>
          <t>Bull</t>
        </is>
      </c>
      <c r="C465" s="3" t="inlineStr">
        <is>
          <t>Meta Kuna</t>
        </is>
      </c>
      <c r="D465" s="3" t="n">
        <v>2027</v>
      </c>
      <c r="E465" s="3" t="inlineStr">
        <is>
          <t>Meta</t>
        </is>
      </c>
      <c r="F465" s="17" t="n">
        <v>0</v>
      </c>
      <c r="G465" s="17" t="n">
        <v>1</v>
      </c>
      <c r="H465" s="17" t="n">
        <v>0</v>
      </c>
      <c r="I465" s="17" t="n">
        <v>0</v>
      </c>
      <c r="J465" s="17" t="n">
        <v>0</v>
      </c>
      <c r="K465" s="17" t="n">
        <v>0</v>
      </c>
      <c r="L465" s="17" t="n">
        <v>0</v>
      </c>
      <c r="M465" s="17" t="n">
        <v>0</v>
      </c>
      <c r="N465" s="17" t="n">
        <v>0</v>
      </c>
      <c r="O465" s="26" t="n">
        <v>1</v>
      </c>
      <c r="P465" s="3" t="inlineStr">
        <is>
          <t>epoch_chip_quantity_latest</t>
        </is>
      </c>
      <c r="Q465" s="3" t="inlineStr">
        <is>
          <t>SRC_EPOCH_AI_DATA_CENTERS; EPOCH_RAW_CHIP_QUANTITIES</t>
        </is>
      </c>
      <c r="R465" s="3" t="inlineStr">
        <is>
          <t>Latest chip quantity per chip type through year-end; normalized by unit count into benchmark buckets.</t>
        </is>
      </c>
    </row>
    <row r="466">
      <c r="A466" s="3" t="inlineStr">
        <is>
          <t>Bull|Meta Kuna|2028</t>
        </is>
      </c>
      <c r="B466" s="3" t="inlineStr">
        <is>
          <t>Bull</t>
        </is>
      </c>
      <c r="C466" s="3" t="inlineStr">
        <is>
          <t>Meta Kuna</t>
        </is>
      </c>
      <c r="D466" s="3" t="n">
        <v>2028</v>
      </c>
      <c r="E466" s="3" t="inlineStr">
        <is>
          <t>Meta</t>
        </is>
      </c>
      <c r="F466" s="17" t="n">
        <v>0</v>
      </c>
      <c r="G466" s="17" t="n">
        <v>1</v>
      </c>
      <c r="H466" s="17" t="n">
        <v>0</v>
      </c>
      <c r="I466" s="17" t="n">
        <v>0</v>
      </c>
      <c r="J466" s="17" t="n">
        <v>0</v>
      </c>
      <c r="K466" s="17" t="n">
        <v>0</v>
      </c>
      <c r="L466" s="17" t="n">
        <v>0</v>
      </c>
      <c r="M466" s="17" t="n">
        <v>0</v>
      </c>
      <c r="N466" s="17" t="n">
        <v>0</v>
      </c>
      <c r="O466" s="26" t="n">
        <v>1</v>
      </c>
      <c r="P466" s="3" t="inlineStr">
        <is>
          <t>epoch_chip_quantity_latest</t>
        </is>
      </c>
      <c r="Q466" s="3" t="inlineStr">
        <is>
          <t>SRC_EPOCH_AI_DATA_CENTERS; EPOCH_RAW_CHIP_QUANTITIES</t>
        </is>
      </c>
      <c r="R466" s="3" t="inlineStr">
        <is>
          <t>Latest chip quantity per chip type through year-end; normalized by unit count into benchmark buckets.</t>
        </is>
      </c>
    </row>
    <row r="467">
      <c r="A467" s="3" t="inlineStr">
        <is>
          <t>Bull|Meta Kuna|2029</t>
        </is>
      </c>
      <c r="B467" s="3" t="inlineStr">
        <is>
          <t>Bull</t>
        </is>
      </c>
      <c r="C467" s="3" t="inlineStr">
        <is>
          <t>Meta Kuna</t>
        </is>
      </c>
      <c r="D467" s="3" t="n">
        <v>2029</v>
      </c>
      <c r="E467" s="3" t="inlineStr">
        <is>
          <t>Meta</t>
        </is>
      </c>
      <c r="F467" s="17" t="n">
        <v>0</v>
      </c>
      <c r="G467" s="17" t="n">
        <v>1</v>
      </c>
      <c r="H467" s="17" t="n">
        <v>0</v>
      </c>
      <c r="I467" s="17" t="n">
        <v>0</v>
      </c>
      <c r="J467" s="17" t="n">
        <v>0</v>
      </c>
      <c r="K467" s="17" t="n">
        <v>0</v>
      </c>
      <c r="L467" s="17" t="n">
        <v>0</v>
      </c>
      <c r="M467" s="17" t="n">
        <v>0</v>
      </c>
      <c r="N467" s="17" t="n">
        <v>0</v>
      </c>
      <c r="O467" s="26" t="n">
        <v>1</v>
      </c>
      <c r="P467" s="3" t="inlineStr">
        <is>
          <t>epoch_chip_quantity_latest</t>
        </is>
      </c>
      <c r="Q467" s="3" t="inlineStr">
        <is>
          <t>SRC_EPOCH_AI_DATA_CENTERS; EPOCH_RAW_CHIP_QUANTITIES</t>
        </is>
      </c>
      <c r="R467" s="3" t="inlineStr">
        <is>
          <t>Latest chip quantity per chip type through year-end; normalized by unit count into benchmark buckets.</t>
        </is>
      </c>
    </row>
    <row r="468">
      <c r="A468" s="3" t="inlineStr">
        <is>
          <t>Bull|Meta Kuna|2030</t>
        </is>
      </c>
      <c r="B468" s="3" t="inlineStr">
        <is>
          <t>Bull</t>
        </is>
      </c>
      <c r="C468" s="3" t="inlineStr">
        <is>
          <t>Meta Kuna</t>
        </is>
      </c>
      <c r="D468" s="3" t="n">
        <v>2030</v>
      </c>
      <c r="E468" s="3" t="inlineStr">
        <is>
          <t>Meta</t>
        </is>
      </c>
      <c r="F468" s="17" t="n">
        <v>0</v>
      </c>
      <c r="G468" s="17" t="n">
        <v>1</v>
      </c>
      <c r="H468" s="17" t="n">
        <v>0</v>
      </c>
      <c r="I468" s="17" t="n">
        <v>0</v>
      </c>
      <c r="J468" s="17" t="n">
        <v>0</v>
      </c>
      <c r="K468" s="17" t="n">
        <v>0</v>
      </c>
      <c r="L468" s="17" t="n">
        <v>0</v>
      </c>
      <c r="M468" s="17" t="n">
        <v>0</v>
      </c>
      <c r="N468" s="17" t="n">
        <v>0</v>
      </c>
      <c r="O468" s="26" t="n">
        <v>1</v>
      </c>
      <c r="P468" s="3" t="inlineStr">
        <is>
          <t>epoch_chip_quantity_latest</t>
        </is>
      </c>
      <c r="Q468" s="3" t="inlineStr">
        <is>
          <t>SRC_EPOCH_AI_DATA_CENTERS; EPOCH_RAW_CHIP_QUANTITIES</t>
        </is>
      </c>
      <c r="R468" s="3" t="inlineStr">
        <is>
          <t>Latest chip quantity per chip type through year-end; normalized by unit count into benchmark buckets.</t>
        </is>
      </c>
    </row>
    <row r="469">
      <c r="A469" s="3" t="inlineStr">
        <is>
          <t>Grid-Constrained / Efficiency-Upside|Meta Kuna|2026</t>
        </is>
      </c>
      <c r="B469" s="3" t="inlineStr">
        <is>
          <t>Grid-Constrained / Efficiency-Upside</t>
        </is>
      </c>
      <c r="C469" s="3" t="inlineStr">
        <is>
          <t>Meta Kuna</t>
        </is>
      </c>
      <c r="D469" s="3" t="n">
        <v>2026</v>
      </c>
      <c r="E469" s="3" t="inlineStr">
        <is>
          <t>Meta</t>
        </is>
      </c>
      <c r="F469" s="17" t="n">
        <v>0</v>
      </c>
      <c r="G469" s="17" t="n">
        <v>1</v>
      </c>
      <c r="H469" s="17" t="n">
        <v>0</v>
      </c>
      <c r="I469" s="17" t="n">
        <v>0</v>
      </c>
      <c r="J469" s="17" t="n">
        <v>0</v>
      </c>
      <c r="K469" s="17" t="n">
        <v>0</v>
      </c>
      <c r="L469" s="17" t="n">
        <v>0</v>
      </c>
      <c r="M469" s="17" t="n">
        <v>0</v>
      </c>
      <c r="N469" s="17" t="n">
        <v>0</v>
      </c>
      <c r="O469" s="26" t="n">
        <v>1</v>
      </c>
      <c r="P469" s="3" t="inlineStr">
        <is>
          <t>epoch_chip_quantity_latest</t>
        </is>
      </c>
      <c r="Q469" s="3" t="inlineStr">
        <is>
          <t>SRC_EPOCH_AI_DATA_CENTERS; EPOCH_RAW_CHIP_QUANTITIES</t>
        </is>
      </c>
      <c r="R469" s="3" t="inlineStr">
        <is>
          <t>Latest chip quantity per chip type through year-end; normalized by unit count into benchmark buckets.</t>
        </is>
      </c>
    </row>
    <row r="470">
      <c r="A470" s="3" t="inlineStr">
        <is>
          <t>Grid-Constrained / Efficiency-Upside|Meta Kuna|2027</t>
        </is>
      </c>
      <c r="B470" s="3" t="inlineStr">
        <is>
          <t>Grid-Constrained / Efficiency-Upside</t>
        </is>
      </c>
      <c r="C470" s="3" t="inlineStr">
        <is>
          <t>Meta Kuna</t>
        </is>
      </c>
      <c r="D470" s="3" t="n">
        <v>2027</v>
      </c>
      <c r="E470" s="3" t="inlineStr">
        <is>
          <t>Meta</t>
        </is>
      </c>
      <c r="F470" s="17" t="n">
        <v>0</v>
      </c>
      <c r="G470" s="17" t="n">
        <v>1</v>
      </c>
      <c r="H470" s="17" t="n">
        <v>0</v>
      </c>
      <c r="I470" s="17" t="n">
        <v>0</v>
      </c>
      <c r="J470" s="17" t="n">
        <v>0</v>
      </c>
      <c r="K470" s="17" t="n">
        <v>0</v>
      </c>
      <c r="L470" s="17" t="n">
        <v>0</v>
      </c>
      <c r="M470" s="17" t="n">
        <v>0</v>
      </c>
      <c r="N470" s="17" t="n">
        <v>0</v>
      </c>
      <c r="O470" s="26" t="n">
        <v>1</v>
      </c>
      <c r="P470" s="3" t="inlineStr">
        <is>
          <t>epoch_chip_quantity_latest</t>
        </is>
      </c>
      <c r="Q470" s="3" t="inlineStr">
        <is>
          <t>SRC_EPOCH_AI_DATA_CENTERS; EPOCH_RAW_CHIP_QUANTITIES</t>
        </is>
      </c>
      <c r="R470" s="3" t="inlineStr">
        <is>
          <t>Latest chip quantity per chip type through year-end; normalized by unit count into benchmark buckets.</t>
        </is>
      </c>
    </row>
    <row r="471">
      <c r="A471" s="3" t="inlineStr">
        <is>
          <t>Grid-Constrained / Efficiency-Upside|Meta Kuna|2028</t>
        </is>
      </c>
      <c r="B471" s="3" t="inlineStr">
        <is>
          <t>Grid-Constrained / Efficiency-Upside</t>
        </is>
      </c>
      <c r="C471" s="3" t="inlineStr">
        <is>
          <t>Meta Kuna</t>
        </is>
      </c>
      <c r="D471" s="3" t="n">
        <v>2028</v>
      </c>
      <c r="E471" s="3" t="inlineStr">
        <is>
          <t>Meta</t>
        </is>
      </c>
      <c r="F471" s="17" t="n">
        <v>0</v>
      </c>
      <c r="G471" s="17" t="n">
        <v>1</v>
      </c>
      <c r="H471" s="17" t="n">
        <v>0</v>
      </c>
      <c r="I471" s="17" t="n">
        <v>0</v>
      </c>
      <c r="J471" s="17" t="n">
        <v>0</v>
      </c>
      <c r="K471" s="17" t="n">
        <v>0</v>
      </c>
      <c r="L471" s="17" t="n">
        <v>0</v>
      </c>
      <c r="M471" s="17" t="n">
        <v>0</v>
      </c>
      <c r="N471" s="17" t="n">
        <v>0</v>
      </c>
      <c r="O471" s="26" t="n">
        <v>1</v>
      </c>
      <c r="P471" s="3" t="inlineStr">
        <is>
          <t>epoch_chip_quantity_latest</t>
        </is>
      </c>
      <c r="Q471" s="3" t="inlineStr">
        <is>
          <t>SRC_EPOCH_AI_DATA_CENTERS; EPOCH_RAW_CHIP_QUANTITIES</t>
        </is>
      </c>
      <c r="R471" s="3" t="inlineStr">
        <is>
          <t>Latest chip quantity per chip type through year-end; normalized by unit count into benchmark buckets.</t>
        </is>
      </c>
    </row>
    <row r="472">
      <c r="A472" s="3" t="inlineStr">
        <is>
          <t>Grid-Constrained / Efficiency-Upside|Meta Kuna|2029</t>
        </is>
      </c>
      <c r="B472" s="3" t="inlineStr">
        <is>
          <t>Grid-Constrained / Efficiency-Upside</t>
        </is>
      </c>
      <c r="C472" s="3" t="inlineStr">
        <is>
          <t>Meta Kuna</t>
        </is>
      </c>
      <c r="D472" s="3" t="n">
        <v>2029</v>
      </c>
      <c r="E472" s="3" t="inlineStr">
        <is>
          <t>Meta</t>
        </is>
      </c>
      <c r="F472" s="17" t="n">
        <v>0</v>
      </c>
      <c r="G472" s="17" t="n">
        <v>1</v>
      </c>
      <c r="H472" s="17" t="n">
        <v>0</v>
      </c>
      <c r="I472" s="17" t="n">
        <v>0</v>
      </c>
      <c r="J472" s="17" t="n">
        <v>0</v>
      </c>
      <c r="K472" s="17" t="n">
        <v>0</v>
      </c>
      <c r="L472" s="17" t="n">
        <v>0</v>
      </c>
      <c r="M472" s="17" t="n">
        <v>0</v>
      </c>
      <c r="N472" s="17" t="n">
        <v>0</v>
      </c>
      <c r="O472" s="26" t="n">
        <v>1</v>
      </c>
      <c r="P472" s="3" t="inlineStr">
        <is>
          <t>epoch_chip_quantity_latest</t>
        </is>
      </c>
      <c r="Q472" s="3" t="inlineStr">
        <is>
          <t>SRC_EPOCH_AI_DATA_CENTERS; EPOCH_RAW_CHIP_QUANTITIES</t>
        </is>
      </c>
      <c r="R472" s="3" t="inlineStr">
        <is>
          <t>Latest chip quantity per chip type through year-end; normalized by unit count into benchmark buckets.</t>
        </is>
      </c>
    </row>
    <row r="473">
      <c r="A473" s="3" t="inlineStr">
        <is>
          <t>Grid-Constrained / Efficiency-Upside|Meta Kuna|2030</t>
        </is>
      </c>
      <c r="B473" s="3" t="inlineStr">
        <is>
          <t>Grid-Constrained / Efficiency-Upside</t>
        </is>
      </c>
      <c r="C473" s="3" t="inlineStr">
        <is>
          <t>Meta Kuna</t>
        </is>
      </c>
      <c r="D473" s="3" t="n">
        <v>2030</v>
      </c>
      <c r="E473" s="3" t="inlineStr">
        <is>
          <t>Meta</t>
        </is>
      </c>
      <c r="F473" s="17" t="n">
        <v>0</v>
      </c>
      <c r="G473" s="17" t="n">
        <v>1</v>
      </c>
      <c r="H473" s="17" t="n">
        <v>0</v>
      </c>
      <c r="I473" s="17" t="n">
        <v>0</v>
      </c>
      <c r="J473" s="17" t="n">
        <v>0</v>
      </c>
      <c r="K473" s="17" t="n">
        <v>0</v>
      </c>
      <c r="L473" s="17" t="n">
        <v>0</v>
      </c>
      <c r="M473" s="17" t="n">
        <v>0</v>
      </c>
      <c r="N473" s="17" t="n">
        <v>0</v>
      </c>
      <c r="O473" s="26" t="n">
        <v>1</v>
      </c>
      <c r="P473" s="3" t="inlineStr">
        <is>
          <t>epoch_chip_quantity_latest</t>
        </is>
      </c>
      <c r="Q473" s="3" t="inlineStr">
        <is>
          <t>SRC_EPOCH_AI_DATA_CENTERS; EPOCH_RAW_CHIP_QUANTITIES</t>
        </is>
      </c>
      <c r="R473" s="3" t="inlineStr">
        <is>
          <t>Latest chip quantity per chip type through year-end; normalized by unit count into benchmark buckets.</t>
        </is>
      </c>
    </row>
    <row r="474">
      <c r="A474" s="3" t="inlineStr">
        <is>
          <t>Bear|Meta Los Lunas|2026</t>
        </is>
      </c>
      <c r="B474" s="3" t="inlineStr">
        <is>
          <t>Bear</t>
        </is>
      </c>
      <c r="C474" s="3" t="inlineStr">
        <is>
          <t>Meta Los Lunas</t>
        </is>
      </c>
      <c r="D474" s="3" t="n">
        <v>2026</v>
      </c>
      <c r="E474" s="3" t="inlineStr">
        <is>
          <t>Meta</t>
        </is>
      </c>
      <c r="F474" s="17" t="n">
        <v>0</v>
      </c>
      <c r="G474" s="17" t="n">
        <v>1</v>
      </c>
      <c r="H474" s="17" t="n">
        <v>0</v>
      </c>
      <c r="I474" s="17" t="n">
        <v>0</v>
      </c>
      <c r="J474" s="17" t="n">
        <v>0</v>
      </c>
      <c r="K474" s="17" t="n">
        <v>0</v>
      </c>
      <c r="L474" s="17" t="n">
        <v>0</v>
      </c>
      <c r="M474" s="17" t="n">
        <v>0</v>
      </c>
      <c r="N474" s="17" t="n">
        <v>0</v>
      </c>
      <c r="O474" s="26" t="n">
        <v>1</v>
      </c>
      <c r="P474" s="3" t="inlineStr">
        <is>
          <t>epoch_chip_quantity_latest</t>
        </is>
      </c>
      <c r="Q474" s="3" t="inlineStr">
        <is>
          <t>SRC_EPOCH_AI_DATA_CENTERS; EPOCH_RAW_CHIP_QUANTITIES</t>
        </is>
      </c>
      <c r="R474" s="3" t="inlineStr">
        <is>
          <t>Latest chip quantity per chip type through year-end; normalized by unit count into benchmark buckets.</t>
        </is>
      </c>
    </row>
    <row r="475">
      <c r="A475" s="3" t="inlineStr">
        <is>
          <t>Bear|Meta Los Lunas|2027</t>
        </is>
      </c>
      <c r="B475" s="3" t="inlineStr">
        <is>
          <t>Bear</t>
        </is>
      </c>
      <c r="C475" s="3" t="inlineStr">
        <is>
          <t>Meta Los Lunas</t>
        </is>
      </c>
      <c r="D475" s="3" t="n">
        <v>2027</v>
      </c>
      <c r="E475" s="3" t="inlineStr">
        <is>
          <t>Meta</t>
        </is>
      </c>
      <c r="F475" s="17" t="n">
        <v>0</v>
      </c>
      <c r="G475" s="17" t="n">
        <v>1</v>
      </c>
      <c r="H475" s="17" t="n">
        <v>0</v>
      </c>
      <c r="I475" s="17" t="n">
        <v>0</v>
      </c>
      <c r="J475" s="17" t="n">
        <v>0</v>
      </c>
      <c r="K475" s="17" t="n">
        <v>0</v>
      </c>
      <c r="L475" s="17" t="n">
        <v>0</v>
      </c>
      <c r="M475" s="17" t="n">
        <v>0</v>
      </c>
      <c r="N475" s="17" t="n">
        <v>0</v>
      </c>
      <c r="O475" s="26" t="n">
        <v>1</v>
      </c>
      <c r="P475" s="3" t="inlineStr">
        <is>
          <t>epoch_chip_quantity_latest</t>
        </is>
      </c>
      <c r="Q475" s="3" t="inlineStr">
        <is>
          <t>SRC_EPOCH_AI_DATA_CENTERS; EPOCH_RAW_CHIP_QUANTITIES</t>
        </is>
      </c>
      <c r="R475" s="3" t="inlineStr">
        <is>
          <t>Latest chip quantity per chip type through year-end; normalized by unit count into benchmark buckets.</t>
        </is>
      </c>
    </row>
    <row r="476">
      <c r="A476" s="3" t="inlineStr">
        <is>
          <t>Bear|Meta Los Lunas|2028</t>
        </is>
      </c>
      <c r="B476" s="3" t="inlineStr">
        <is>
          <t>Bear</t>
        </is>
      </c>
      <c r="C476" s="3" t="inlineStr">
        <is>
          <t>Meta Los Lunas</t>
        </is>
      </c>
      <c r="D476" s="3" t="n">
        <v>2028</v>
      </c>
      <c r="E476" s="3" t="inlineStr">
        <is>
          <t>Meta</t>
        </is>
      </c>
      <c r="F476" s="17" t="n">
        <v>0</v>
      </c>
      <c r="G476" s="17" t="n">
        <v>1</v>
      </c>
      <c r="H476" s="17" t="n">
        <v>0</v>
      </c>
      <c r="I476" s="17" t="n">
        <v>0</v>
      </c>
      <c r="J476" s="17" t="n">
        <v>0</v>
      </c>
      <c r="K476" s="17" t="n">
        <v>0</v>
      </c>
      <c r="L476" s="17" t="n">
        <v>0</v>
      </c>
      <c r="M476" s="17" t="n">
        <v>0</v>
      </c>
      <c r="N476" s="17" t="n">
        <v>0</v>
      </c>
      <c r="O476" s="26" t="n">
        <v>1</v>
      </c>
      <c r="P476" s="3" t="inlineStr">
        <is>
          <t>epoch_chip_quantity_latest</t>
        </is>
      </c>
      <c r="Q476" s="3" t="inlineStr">
        <is>
          <t>SRC_EPOCH_AI_DATA_CENTERS; EPOCH_RAW_CHIP_QUANTITIES</t>
        </is>
      </c>
      <c r="R476" s="3" t="inlineStr">
        <is>
          <t>Latest chip quantity per chip type through year-end; normalized by unit count into benchmark buckets.</t>
        </is>
      </c>
    </row>
    <row r="477">
      <c r="A477" s="3" t="inlineStr">
        <is>
          <t>Bear|Meta Los Lunas|2029</t>
        </is>
      </c>
      <c r="B477" s="3" t="inlineStr">
        <is>
          <t>Bear</t>
        </is>
      </c>
      <c r="C477" s="3" t="inlineStr">
        <is>
          <t>Meta Los Lunas</t>
        </is>
      </c>
      <c r="D477" s="3" t="n">
        <v>2029</v>
      </c>
      <c r="E477" s="3" t="inlineStr">
        <is>
          <t>Meta</t>
        </is>
      </c>
      <c r="F477" s="17" t="n">
        <v>0</v>
      </c>
      <c r="G477" s="17" t="n">
        <v>1</v>
      </c>
      <c r="H477" s="17" t="n">
        <v>0</v>
      </c>
      <c r="I477" s="17" t="n">
        <v>0</v>
      </c>
      <c r="J477" s="17" t="n">
        <v>0</v>
      </c>
      <c r="K477" s="17" t="n">
        <v>0</v>
      </c>
      <c r="L477" s="17" t="n">
        <v>0</v>
      </c>
      <c r="M477" s="17" t="n">
        <v>0</v>
      </c>
      <c r="N477" s="17" t="n">
        <v>0</v>
      </c>
      <c r="O477" s="26" t="n">
        <v>1</v>
      </c>
      <c r="P477" s="3" t="inlineStr">
        <is>
          <t>epoch_chip_quantity_latest</t>
        </is>
      </c>
      <c r="Q477" s="3" t="inlineStr">
        <is>
          <t>SRC_EPOCH_AI_DATA_CENTERS; EPOCH_RAW_CHIP_QUANTITIES</t>
        </is>
      </c>
      <c r="R477" s="3" t="inlineStr">
        <is>
          <t>Latest chip quantity per chip type through year-end; normalized by unit count into benchmark buckets.</t>
        </is>
      </c>
    </row>
    <row r="478">
      <c r="A478" s="3" t="inlineStr">
        <is>
          <t>Bear|Meta Los Lunas|2030</t>
        </is>
      </c>
      <c r="B478" s="3" t="inlineStr">
        <is>
          <t>Bear</t>
        </is>
      </c>
      <c r="C478" s="3" t="inlineStr">
        <is>
          <t>Meta Los Lunas</t>
        </is>
      </c>
      <c r="D478" s="3" t="n">
        <v>2030</v>
      </c>
      <c r="E478" s="3" t="inlineStr">
        <is>
          <t>Meta</t>
        </is>
      </c>
      <c r="F478" s="17" t="n">
        <v>0</v>
      </c>
      <c r="G478" s="17" t="n">
        <v>1</v>
      </c>
      <c r="H478" s="17" t="n">
        <v>0</v>
      </c>
      <c r="I478" s="17" t="n">
        <v>0</v>
      </c>
      <c r="J478" s="17" t="n">
        <v>0</v>
      </c>
      <c r="K478" s="17" t="n">
        <v>0</v>
      </c>
      <c r="L478" s="17" t="n">
        <v>0</v>
      </c>
      <c r="M478" s="17" t="n">
        <v>0</v>
      </c>
      <c r="N478" s="17" t="n">
        <v>0</v>
      </c>
      <c r="O478" s="26" t="n">
        <v>1</v>
      </c>
      <c r="P478" s="3" t="inlineStr">
        <is>
          <t>epoch_chip_quantity_latest</t>
        </is>
      </c>
      <c r="Q478" s="3" t="inlineStr">
        <is>
          <t>SRC_EPOCH_AI_DATA_CENTERS; EPOCH_RAW_CHIP_QUANTITIES</t>
        </is>
      </c>
      <c r="R478" s="3" t="inlineStr">
        <is>
          <t>Latest chip quantity per chip type through year-end; normalized by unit count into benchmark buckets.</t>
        </is>
      </c>
    </row>
    <row r="479">
      <c r="A479" s="3" t="inlineStr">
        <is>
          <t>Base|Meta Los Lunas|2026</t>
        </is>
      </c>
      <c r="B479" s="3" t="inlineStr">
        <is>
          <t>Base</t>
        </is>
      </c>
      <c r="C479" s="3" t="inlineStr">
        <is>
          <t>Meta Los Lunas</t>
        </is>
      </c>
      <c r="D479" s="3" t="n">
        <v>2026</v>
      </c>
      <c r="E479" s="3" t="inlineStr">
        <is>
          <t>Meta</t>
        </is>
      </c>
      <c r="F479" s="17" t="n">
        <v>0</v>
      </c>
      <c r="G479" s="17" t="n">
        <v>1</v>
      </c>
      <c r="H479" s="17" t="n">
        <v>0</v>
      </c>
      <c r="I479" s="17" t="n">
        <v>0</v>
      </c>
      <c r="J479" s="17" t="n">
        <v>0</v>
      </c>
      <c r="K479" s="17" t="n">
        <v>0</v>
      </c>
      <c r="L479" s="17" t="n">
        <v>0</v>
      </c>
      <c r="M479" s="17" t="n">
        <v>0</v>
      </c>
      <c r="N479" s="17" t="n">
        <v>0</v>
      </c>
      <c r="O479" s="26" t="n">
        <v>1</v>
      </c>
      <c r="P479" s="3" t="inlineStr">
        <is>
          <t>epoch_chip_quantity_latest</t>
        </is>
      </c>
      <c r="Q479" s="3" t="inlineStr">
        <is>
          <t>SRC_EPOCH_AI_DATA_CENTERS; EPOCH_RAW_CHIP_QUANTITIES</t>
        </is>
      </c>
      <c r="R479" s="3" t="inlineStr">
        <is>
          <t>Latest chip quantity per chip type through year-end; normalized by unit count into benchmark buckets.</t>
        </is>
      </c>
    </row>
    <row r="480">
      <c r="A480" s="3" t="inlineStr">
        <is>
          <t>Base|Meta Los Lunas|2027</t>
        </is>
      </c>
      <c r="B480" s="3" t="inlineStr">
        <is>
          <t>Base</t>
        </is>
      </c>
      <c r="C480" s="3" t="inlineStr">
        <is>
          <t>Meta Los Lunas</t>
        </is>
      </c>
      <c r="D480" s="3" t="n">
        <v>2027</v>
      </c>
      <c r="E480" s="3" t="inlineStr">
        <is>
          <t>Meta</t>
        </is>
      </c>
      <c r="F480" s="17" t="n">
        <v>0</v>
      </c>
      <c r="G480" s="17" t="n">
        <v>1</v>
      </c>
      <c r="H480" s="17" t="n">
        <v>0</v>
      </c>
      <c r="I480" s="17" t="n">
        <v>0</v>
      </c>
      <c r="J480" s="17" t="n">
        <v>0</v>
      </c>
      <c r="K480" s="17" t="n">
        <v>0</v>
      </c>
      <c r="L480" s="17" t="n">
        <v>0</v>
      </c>
      <c r="M480" s="17" t="n">
        <v>0</v>
      </c>
      <c r="N480" s="17" t="n">
        <v>0</v>
      </c>
      <c r="O480" s="26" t="n">
        <v>1</v>
      </c>
      <c r="P480" s="3" t="inlineStr">
        <is>
          <t>epoch_chip_quantity_latest</t>
        </is>
      </c>
      <c r="Q480" s="3" t="inlineStr">
        <is>
          <t>SRC_EPOCH_AI_DATA_CENTERS; EPOCH_RAW_CHIP_QUANTITIES</t>
        </is>
      </c>
      <c r="R480" s="3" t="inlineStr">
        <is>
          <t>Latest chip quantity per chip type through year-end; normalized by unit count into benchmark buckets.</t>
        </is>
      </c>
    </row>
    <row r="481">
      <c r="A481" s="3" t="inlineStr">
        <is>
          <t>Base|Meta Los Lunas|2028</t>
        </is>
      </c>
      <c r="B481" s="3" t="inlineStr">
        <is>
          <t>Base</t>
        </is>
      </c>
      <c r="C481" s="3" t="inlineStr">
        <is>
          <t>Meta Los Lunas</t>
        </is>
      </c>
      <c r="D481" s="3" t="n">
        <v>2028</v>
      </c>
      <c r="E481" s="3" t="inlineStr">
        <is>
          <t>Meta</t>
        </is>
      </c>
      <c r="F481" s="17" t="n">
        <v>0</v>
      </c>
      <c r="G481" s="17" t="n">
        <v>1</v>
      </c>
      <c r="H481" s="17" t="n">
        <v>0</v>
      </c>
      <c r="I481" s="17" t="n">
        <v>0</v>
      </c>
      <c r="J481" s="17" t="n">
        <v>0</v>
      </c>
      <c r="K481" s="17" t="n">
        <v>0</v>
      </c>
      <c r="L481" s="17" t="n">
        <v>0</v>
      </c>
      <c r="M481" s="17" t="n">
        <v>0</v>
      </c>
      <c r="N481" s="17" t="n">
        <v>0</v>
      </c>
      <c r="O481" s="26" t="n">
        <v>1</v>
      </c>
      <c r="P481" s="3" t="inlineStr">
        <is>
          <t>epoch_chip_quantity_latest</t>
        </is>
      </c>
      <c r="Q481" s="3" t="inlineStr">
        <is>
          <t>SRC_EPOCH_AI_DATA_CENTERS; EPOCH_RAW_CHIP_QUANTITIES</t>
        </is>
      </c>
      <c r="R481" s="3" t="inlineStr">
        <is>
          <t>Latest chip quantity per chip type through year-end; normalized by unit count into benchmark buckets.</t>
        </is>
      </c>
    </row>
    <row r="482">
      <c r="A482" s="3" t="inlineStr">
        <is>
          <t>Base|Meta Los Lunas|2029</t>
        </is>
      </c>
      <c r="B482" s="3" t="inlineStr">
        <is>
          <t>Base</t>
        </is>
      </c>
      <c r="C482" s="3" t="inlineStr">
        <is>
          <t>Meta Los Lunas</t>
        </is>
      </c>
      <c r="D482" s="3" t="n">
        <v>2029</v>
      </c>
      <c r="E482" s="3" t="inlineStr">
        <is>
          <t>Meta</t>
        </is>
      </c>
      <c r="F482" s="17" t="n">
        <v>0</v>
      </c>
      <c r="G482" s="17" t="n">
        <v>1</v>
      </c>
      <c r="H482" s="17" t="n">
        <v>0</v>
      </c>
      <c r="I482" s="17" t="n">
        <v>0</v>
      </c>
      <c r="J482" s="17" t="n">
        <v>0</v>
      </c>
      <c r="K482" s="17" t="n">
        <v>0</v>
      </c>
      <c r="L482" s="17" t="n">
        <v>0</v>
      </c>
      <c r="M482" s="17" t="n">
        <v>0</v>
      </c>
      <c r="N482" s="17" t="n">
        <v>0</v>
      </c>
      <c r="O482" s="26" t="n">
        <v>1</v>
      </c>
      <c r="P482" s="3" t="inlineStr">
        <is>
          <t>epoch_chip_quantity_latest</t>
        </is>
      </c>
      <c r="Q482" s="3" t="inlineStr">
        <is>
          <t>SRC_EPOCH_AI_DATA_CENTERS; EPOCH_RAW_CHIP_QUANTITIES</t>
        </is>
      </c>
      <c r="R482" s="3" t="inlineStr">
        <is>
          <t>Latest chip quantity per chip type through year-end; normalized by unit count into benchmark buckets.</t>
        </is>
      </c>
    </row>
    <row r="483">
      <c r="A483" s="3" t="inlineStr">
        <is>
          <t>Base|Meta Los Lunas|2030</t>
        </is>
      </c>
      <c r="B483" s="3" t="inlineStr">
        <is>
          <t>Base</t>
        </is>
      </c>
      <c r="C483" s="3" t="inlineStr">
        <is>
          <t>Meta Los Lunas</t>
        </is>
      </c>
      <c r="D483" s="3" t="n">
        <v>2030</v>
      </c>
      <c r="E483" s="3" t="inlineStr">
        <is>
          <t>Meta</t>
        </is>
      </c>
      <c r="F483" s="17" t="n">
        <v>0</v>
      </c>
      <c r="G483" s="17" t="n">
        <v>1</v>
      </c>
      <c r="H483" s="17" t="n">
        <v>0</v>
      </c>
      <c r="I483" s="17" t="n">
        <v>0</v>
      </c>
      <c r="J483" s="17" t="n">
        <v>0</v>
      </c>
      <c r="K483" s="17" t="n">
        <v>0</v>
      </c>
      <c r="L483" s="17" t="n">
        <v>0</v>
      </c>
      <c r="M483" s="17" t="n">
        <v>0</v>
      </c>
      <c r="N483" s="17" t="n">
        <v>0</v>
      </c>
      <c r="O483" s="26" t="n">
        <v>1</v>
      </c>
      <c r="P483" s="3" t="inlineStr">
        <is>
          <t>epoch_chip_quantity_latest</t>
        </is>
      </c>
      <c r="Q483" s="3" t="inlineStr">
        <is>
          <t>SRC_EPOCH_AI_DATA_CENTERS; EPOCH_RAW_CHIP_QUANTITIES</t>
        </is>
      </c>
      <c r="R483" s="3" t="inlineStr">
        <is>
          <t>Latest chip quantity per chip type through year-end; normalized by unit count into benchmark buckets.</t>
        </is>
      </c>
    </row>
    <row r="484">
      <c r="A484" s="3" t="inlineStr">
        <is>
          <t>Bull|Meta Los Lunas|2026</t>
        </is>
      </c>
      <c r="B484" s="3" t="inlineStr">
        <is>
          <t>Bull</t>
        </is>
      </c>
      <c r="C484" s="3" t="inlineStr">
        <is>
          <t>Meta Los Lunas</t>
        </is>
      </c>
      <c r="D484" s="3" t="n">
        <v>2026</v>
      </c>
      <c r="E484" s="3" t="inlineStr">
        <is>
          <t>Meta</t>
        </is>
      </c>
      <c r="F484" s="17" t="n">
        <v>0</v>
      </c>
      <c r="G484" s="17" t="n">
        <v>1</v>
      </c>
      <c r="H484" s="17" t="n">
        <v>0</v>
      </c>
      <c r="I484" s="17" t="n">
        <v>0</v>
      </c>
      <c r="J484" s="17" t="n">
        <v>0</v>
      </c>
      <c r="K484" s="17" t="n">
        <v>0</v>
      </c>
      <c r="L484" s="17" t="n">
        <v>0</v>
      </c>
      <c r="M484" s="17" t="n">
        <v>0</v>
      </c>
      <c r="N484" s="17" t="n">
        <v>0</v>
      </c>
      <c r="O484" s="26" t="n">
        <v>1</v>
      </c>
      <c r="P484" s="3" t="inlineStr">
        <is>
          <t>epoch_chip_quantity_latest</t>
        </is>
      </c>
      <c r="Q484" s="3" t="inlineStr">
        <is>
          <t>SRC_EPOCH_AI_DATA_CENTERS; EPOCH_RAW_CHIP_QUANTITIES</t>
        </is>
      </c>
      <c r="R484" s="3" t="inlineStr">
        <is>
          <t>Latest chip quantity per chip type through year-end; normalized by unit count into benchmark buckets.</t>
        </is>
      </c>
    </row>
    <row r="485">
      <c r="A485" s="3" t="inlineStr">
        <is>
          <t>Bull|Meta Los Lunas|2027</t>
        </is>
      </c>
      <c r="B485" s="3" t="inlineStr">
        <is>
          <t>Bull</t>
        </is>
      </c>
      <c r="C485" s="3" t="inlineStr">
        <is>
          <t>Meta Los Lunas</t>
        </is>
      </c>
      <c r="D485" s="3" t="n">
        <v>2027</v>
      </c>
      <c r="E485" s="3" t="inlineStr">
        <is>
          <t>Meta</t>
        </is>
      </c>
      <c r="F485" s="17" t="n">
        <v>0</v>
      </c>
      <c r="G485" s="17" t="n">
        <v>1</v>
      </c>
      <c r="H485" s="17" t="n">
        <v>0</v>
      </c>
      <c r="I485" s="17" t="n">
        <v>0</v>
      </c>
      <c r="J485" s="17" t="n">
        <v>0</v>
      </c>
      <c r="K485" s="17" t="n">
        <v>0</v>
      </c>
      <c r="L485" s="17" t="n">
        <v>0</v>
      </c>
      <c r="M485" s="17" t="n">
        <v>0</v>
      </c>
      <c r="N485" s="17" t="n">
        <v>0</v>
      </c>
      <c r="O485" s="26" t="n">
        <v>1</v>
      </c>
      <c r="P485" s="3" t="inlineStr">
        <is>
          <t>epoch_chip_quantity_latest</t>
        </is>
      </c>
      <c r="Q485" s="3" t="inlineStr">
        <is>
          <t>SRC_EPOCH_AI_DATA_CENTERS; EPOCH_RAW_CHIP_QUANTITIES</t>
        </is>
      </c>
      <c r="R485" s="3" t="inlineStr">
        <is>
          <t>Latest chip quantity per chip type through year-end; normalized by unit count into benchmark buckets.</t>
        </is>
      </c>
    </row>
    <row r="486">
      <c r="A486" s="3" t="inlineStr">
        <is>
          <t>Bull|Meta Los Lunas|2028</t>
        </is>
      </c>
      <c r="B486" s="3" t="inlineStr">
        <is>
          <t>Bull</t>
        </is>
      </c>
      <c r="C486" s="3" t="inlineStr">
        <is>
          <t>Meta Los Lunas</t>
        </is>
      </c>
      <c r="D486" s="3" t="n">
        <v>2028</v>
      </c>
      <c r="E486" s="3" t="inlineStr">
        <is>
          <t>Meta</t>
        </is>
      </c>
      <c r="F486" s="17" t="n">
        <v>0</v>
      </c>
      <c r="G486" s="17" t="n">
        <v>1</v>
      </c>
      <c r="H486" s="17" t="n">
        <v>0</v>
      </c>
      <c r="I486" s="17" t="n">
        <v>0</v>
      </c>
      <c r="J486" s="17" t="n">
        <v>0</v>
      </c>
      <c r="K486" s="17" t="n">
        <v>0</v>
      </c>
      <c r="L486" s="17" t="n">
        <v>0</v>
      </c>
      <c r="M486" s="17" t="n">
        <v>0</v>
      </c>
      <c r="N486" s="17" t="n">
        <v>0</v>
      </c>
      <c r="O486" s="26" t="n">
        <v>1</v>
      </c>
      <c r="P486" s="3" t="inlineStr">
        <is>
          <t>epoch_chip_quantity_latest</t>
        </is>
      </c>
      <c r="Q486" s="3" t="inlineStr">
        <is>
          <t>SRC_EPOCH_AI_DATA_CENTERS; EPOCH_RAW_CHIP_QUANTITIES</t>
        </is>
      </c>
      <c r="R486" s="3" t="inlineStr">
        <is>
          <t>Latest chip quantity per chip type through year-end; normalized by unit count into benchmark buckets.</t>
        </is>
      </c>
    </row>
    <row r="487">
      <c r="A487" s="3" t="inlineStr">
        <is>
          <t>Bull|Meta Los Lunas|2029</t>
        </is>
      </c>
      <c r="B487" s="3" t="inlineStr">
        <is>
          <t>Bull</t>
        </is>
      </c>
      <c r="C487" s="3" t="inlineStr">
        <is>
          <t>Meta Los Lunas</t>
        </is>
      </c>
      <c r="D487" s="3" t="n">
        <v>2029</v>
      </c>
      <c r="E487" s="3" t="inlineStr">
        <is>
          <t>Meta</t>
        </is>
      </c>
      <c r="F487" s="17" t="n">
        <v>0</v>
      </c>
      <c r="G487" s="17" t="n">
        <v>1</v>
      </c>
      <c r="H487" s="17" t="n">
        <v>0</v>
      </c>
      <c r="I487" s="17" t="n">
        <v>0</v>
      </c>
      <c r="J487" s="17" t="n">
        <v>0</v>
      </c>
      <c r="K487" s="17" t="n">
        <v>0</v>
      </c>
      <c r="L487" s="17" t="n">
        <v>0</v>
      </c>
      <c r="M487" s="17" t="n">
        <v>0</v>
      </c>
      <c r="N487" s="17" t="n">
        <v>0</v>
      </c>
      <c r="O487" s="26" t="n">
        <v>1</v>
      </c>
      <c r="P487" s="3" t="inlineStr">
        <is>
          <t>epoch_chip_quantity_latest</t>
        </is>
      </c>
      <c r="Q487" s="3" t="inlineStr">
        <is>
          <t>SRC_EPOCH_AI_DATA_CENTERS; EPOCH_RAW_CHIP_QUANTITIES</t>
        </is>
      </c>
      <c r="R487" s="3" t="inlineStr">
        <is>
          <t>Latest chip quantity per chip type through year-end; normalized by unit count into benchmark buckets.</t>
        </is>
      </c>
    </row>
    <row r="488">
      <c r="A488" s="3" t="inlineStr">
        <is>
          <t>Bull|Meta Los Lunas|2030</t>
        </is>
      </c>
      <c r="B488" s="3" t="inlineStr">
        <is>
          <t>Bull</t>
        </is>
      </c>
      <c r="C488" s="3" t="inlineStr">
        <is>
          <t>Meta Los Lunas</t>
        </is>
      </c>
      <c r="D488" s="3" t="n">
        <v>2030</v>
      </c>
      <c r="E488" s="3" t="inlineStr">
        <is>
          <t>Meta</t>
        </is>
      </c>
      <c r="F488" s="17" t="n">
        <v>0</v>
      </c>
      <c r="G488" s="17" t="n">
        <v>1</v>
      </c>
      <c r="H488" s="17" t="n">
        <v>0</v>
      </c>
      <c r="I488" s="17" t="n">
        <v>0</v>
      </c>
      <c r="J488" s="17" t="n">
        <v>0</v>
      </c>
      <c r="K488" s="17" t="n">
        <v>0</v>
      </c>
      <c r="L488" s="17" t="n">
        <v>0</v>
      </c>
      <c r="M488" s="17" t="n">
        <v>0</v>
      </c>
      <c r="N488" s="17" t="n">
        <v>0</v>
      </c>
      <c r="O488" s="26" t="n">
        <v>1</v>
      </c>
      <c r="P488" s="3" t="inlineStr">
        <is>
          <t>epoch_chip_quantity_latest</t>
        </is>
      </c>
      <c r="Q488" s="3" t="inlineStr">
        <is>
          <t>SRC_EPOCH_AI_DATA_CENTERS; EPOCH_RAW_CHIP_QUANTITIES</t>
        </is>
      </c>
      <c r="R488" s="3" t="inlineStr">
        <is>
          <t>Latest chip quantity per chip type through year-end; normalized by unit count into benchmark buckets.</t>
        </is>
      </c>
    </row>
    <row r="489">
      <c r="A489" s="3" t="inlineStr">
        <is>
          <t>Grid-Constrained / Efficiency-Upside|Meta Los Lunas|2026</t>
        </is>
      </c>
      <c r="B489" s="3" t="inlineStr">
        <is>
          <t>Grid-Constrained / Efficiency-Upside</t>
        </is>
      </c>
      <c r="C489" s="3" t="inlineStr">
        <is>
          <t>Meta Los Lunas</t>
        </is>
      </c>
      <c r="D489" s="3" t="n">
        <v>2026</v>
      </c>
      <c r="E489" s="3" t="inlineStr">
        <is>
          <t>Meta</t>
        </is>
      </c>
      <c r="F489" s="17" t="n">
        <v>0</v>
      </c>
      <c r="G489" s="17" t="n">
        <v>1</v>
      </c>
      <c r="H489" s="17" t="n">
        <v>0</v>
      </c>
      <c r="I489" s="17" t="n">
        <v>0</v>
      </c>
      <c r="J489" s="17" t="n">
        <v>0</v>
      </c>
      <c r="K489" s="17" t="n">
        <v>0</v>
      </c>
      <c r="L489" s="17" t="n">
        <v>0</v>
      </c>
      <c r="M489" s="17" t="n">
        <v>0</v>
      </c>
      <c r="N489" s="17" t="n">
        <v>0</v>
      </c>
      <c r="O489" s="26" t="n">
        <v>1</v>
      </c>
      <c r="P489" s="3" t="inlineStr">
        <is>
          <t>epoch_chip_quantity_latest</t>
        </is>
      </c>
      <c r="Q489" s="3" t="inlineStr">
        <is>
          <t>SRC_EPOCH_AI_DATA_CENTERS; EPOCH_RAW_CHIP_QUANTITIES</t>
        </is>
      </c>
      <c r="R489" s="3" t="inlineStr">
        <is>
          <t>Latest chip quantity per chip type through year-end; normalized by unit count into benchmark buckets.</t>
        </is>
      </c>
    </row>
    <row r="490">
      <c r="A490" s="3" t="inlineStr">
        <is>
          <t>Grid-Constrained / Efficiency-Upside|Meta Los Lunas|2027</t>
        </is>
      </c>
      <c r="B490" s="3" t="inlineStr">
        <is>
          <t>Grid-Constrained / Efficiency-Upside</t>
        </is>
      </c>
      <c r="C490" s="3" t="inlineStr">
        <is>
          <t>Meta Los Lunas</t>
        </is>
      </c>
      <c r="D490" s="3" t="n">
        <v>2027</v>
      </c>
      <c r="E490" s="3" t="inlineStr">
        <is>
          <t>Meta</t>
        </is>
      </c>
      <c r="F490" s="17" t="n">
        <v>0</v>
      </c>
      <c r="G490" s="17" t="n">
        <v>1</v>
      </c>
      <c r="H490" s="17" t="n">
        <v>0</v>
      </c>
      <c r="I490" s="17" t="n">
        <v>0</v>
      </c>
      <c r="J490" s="17" t="n">
        <v>0</v>
      </c>
      <c r="K490" s="17" t="n">
        <v>0</v>
      </c>
      <c r="L490" s="17" t="n">
        <v>0</v>
      </c>
      <c r="M490" s="17" t="n">
        <v>0</v>
      </c>
      <c r="N490" s="17" t="n">
        <v>0</v>
      </c>
      <c r="O490" s="26" t="n">
        <v>1</v>
      </c>
      <c r="P490" s="3" t="inlineStr">
        <is>
          <t>epoch_chip_quantity_latest</t>
        </is>
      </c>
      <c r="Q490" s="3" t="inlineStr">
        <is>
          <t>SRC_EPOCH_AI_DATA_CENTERS; EPOCH_RAW_CHIP_QUANTITIES</t>
        </is>
      </c>
      <c r="R490" s="3" t="inlineStr">
        <is>
          <t>Latest chip quantity per chip type through year-end; normalized by unit count into benchmark buckets.</t>
        </is>
      </c>
    </row>
    <row r="491">
      <c r="A491" s="3" t="inlineStr">
        <is>
          <t>Grid-Constrained / Efficiency-Upside|Meta Los Lunas|2028</t>
        </is>
      </c>
      <c r="B491" s="3" t="inlineStr">
        <is>
          <t>Grid-Constrained / Efficiency-Upside</t>
        </is>
      </c>
      <c r="C491" s="3" t="inlineStr">
        <is>
          <t>Meta Los Lunas</t>
        </is>
      </c>
      <c r="D491" s="3" t="n">
        <v>2028</v>
      </c>
      <c r="E491" s="3" t="inlineStr">
        <is>
          <t>Meta</t>
        </is>
      </c>
      <c r="F491" s="17" t="n">
        <v>0</v>
      </c>
      <c r="G491" s="17" t="n">
        <v>1</v>
      </c>
      <c r="H491" s="17" t="n">
        <v>0</v>
      </c>
      <c r="I491" s="17" t="n">
        <v>0</v>
      </c>
      <c r="J491" s="17" t="n">
        <v>0</v>
      </c>
      <c r="K491" s="17" t="n">
        <v>0</v>
      </c>
      <c r="L491" s="17" t="n">
        <v>0</v>
      </c>
      <c r="M491" s="17" t="n">
        <v>0</v>
      </c>
      <c r="N491" s="17" t="n">
        <v>0</v>
      </c>
      <c r="O491" s="26" t="n">
        <v>1</v>
      </c>
      <c r="P491" s="3" t="inlineStr">
        <is>
          <t>epoch_chip_quantity_latest</t>
        </is>
      </c>
      <c r="Q491" s="3" t="inlineStr">
        <is>
          <t>SRC_EPOCH_AI_DATA_CENTERS; EPOCH_RAW_CHIP_QUANTITIES</t>
        </is>
      </c>
      <c r="R491" s="3" t="inlineStr">
        <is>
          <t>Latest chip quantity per chip type through year-end; normalized by unit count into benchmark buckets.</t>
        </is>
      </c>
    </row>
    <row r="492">
      <c r="A492" s="3" t="inlineStr">
        <is>
          <t>Grid-Constrained / Efficiency-Upside|Meta Los Lunas|2029</t>
        </is>
      </c>
      <c r="B492" s="3" t="inlineStr">
        <is>
          <t>Grid-Constrained / Efficiency-Upside</t>
        </is>
      </c>
      <c r="C492" s="3" t="inlineStr">
        <is>
          <t>Meta Los Lunas</t>
        </is>
      </c>
      <c r="D492" s="3" t="n">
        <v>2029</v>
      </c>
      <c r="E492" s="3" t="inlineStr">
        <is>
          <t>Meta</t>
        </is>
      </c>
      <c r="F492" s="17" t="n">
        <v>0</v>
      </c>
      <c r="G492" s="17" t="n">
        <v>1</v>
      </c>
      <c r="H492" s="17" t="n">
        <v>0</v>
      </c>
      <c r="I492" s="17" t="n">
        <v>0</v>
      </c>
      <c r="J492" s="17" t="n">
        <v>0</v>
      </c>
      <c r="K492" s="17" t="n">
        <v>0</v>
      </c>
      <c r="L492" s="17" t="n">
        <v>0</v>
      </c>
      <c r="M492" s="17" t="n">
        <v>0</v>
      </c>
      <c r="N492" s="17" t="n">
        <v>0</v>
      </c>
      <c r="O492" s="26" t="n">
        <v>1</v>
      </c>
      <c r="P492" s="3" t="inlineStr">
        <is>
          <t>epoch_chip_quantity_latest</t>
        </is>
      </c>
      <c r="Q492" s="3" t="inlineStr">
        <is>
          <t>SRC_EPOCH_AI_DATA_CENTERS; EPOCH_RAW_CHIP_QUANTITIES</t>
        </is>
      </c>
      <c r="R492" s="3" t="inlineStr">
        <is>
          <t>Latest chip quantity per chip type through year-end; normalized by unit count into benchmark buckets.</t>
        </is>
      </c>
    </row>
    <row r="493">
      <c r="A493" s="3" t="inlineStr">
        <is>
          <t>Grid-Constrained / Efficiency-Upside|Meta Los Lunas|2030</t>
        </is>
      </c>
      <c r="B493" s="3" t="inlineStr">
        <is>
          <t>Grid-Constrained / Efficiency-Upside</t>
        </is>
      </c>
      <c r="C493" s="3" t="inlineStr">
        <is>
          <t>Meta Los Lunas</t>
        </is>
      </c>
      <c r="D493" s="3" t="n">
        <v>2030</v>
      </c>
      <c r="E493" s="3" t="inlineStr">
        <is>
          <t>Meta</t>
        </is>
      </c>
      <c r="F493" s="17" t="n">
        <v>0</v>
      </c>
      <c r="G493" s="17" t="n">
        <v>1</v>
      </c>
      <c r="H493" s="17" t="n">
        <v>0</v>
      </c>
      <c r="I493" s="17" t="n">
        <v>0</v>
      </c>
      <c r="J493" s="17" t="n">
        <v>0</v>
      </c>
      <c r="K493" s="17" t="n">
        <v>0</v>
      </c>
      <c r="L493" s="17" t="n">
        <v>0</v>
      </c>
      <c r="M493" s="17" t="n">
        <v>0</v>
      </c>
      <c r="N493" s="17" t="n">
        <v>0</v>
      </c>
      <c r="O493" s="26" t="n">
        <v>1</v>
      </c>
      <c r="P493" s="3" t="inlineStr">
        <is>
          <t>epoch_chip_quantity_latest</t>
        </is>
      </c>
      <c r="Q493" s="3" t="inlineStr">
        <is>
          <t>SRC_EPOCH_AI_DATA_CENTERS; EPOCH_RAW_CHIP_QUANTITIES</t>
        </is>
      </c>
      <c r="R493" s="3" t="inlineStr">
        <is>
          <t>Latest chip quantity per chip type through year-end; normalized by unit count into benchmark buckets.</t>
        </is>
      </c>
    </row>
    <row r="494">
      <c r="A494" s="3" t="inlineStr">
        <is>
          <t>Bear|Meta Montgomery|2026</t>
        </is>
      </c>
      <c r="B494" s="3" t="inlineStr">
        <is>
          <t>Bear</t>
        </is>
      </c>
      <c r="C494" s="3" t="inlineStr">
        <is>
          <t>Meta Montgomery</t>
        </is>
      </c>
      <c r="D494" s="3" t="n">
        <v>2026</v>
      </c>
      <c r="E494" s="3" t="inlineStr">
        <is>
          <t>Meta</t>
        </is>
      </c>
      <c r="F494" s="17" t="n">
        <v>0</v>
      </c>
      <c r="G494" s="17" t="n">
        <v>1</v>
      </c>
      <c r="H494" s="17" t="n">
        <v>0</v>
      </c>
      <c r="I494" s="17" t="n">
        <v>0</v>
      </c>
      <c r="J494" s="17" t="n">
        <v>0</v>
      </c>
      <c r="K494" s="17" t="n">
        <v>0</v>
      </c>
      <c r="L494" s="17" t="n">
        <v>0</v>
      </c>
      <c r="M494" s="17" t="n">
        <v>0</v>
      </c>
      <c r="N494" s="17" t="n">
        <v>0</v>
      </c>
      <c r="O494" s="26" t="n">
        <v>1</v>
      </c>
      <c r="P494" s="3" t="inlineStr">
        <is>
          <t>epoch_chip_quantity_latest</t>
        </is>
      </c>
      <c r="Q494" s="3" t="inlineStr">
        <is>
          <t>SRC_EPOCH_AI_DATA_CENTERS; EPOCH_RAW_CHIP_QUANTITIES</t>
        </is>
      </c>
      <c r="R494" s="3" t="inlineStr">
        <is>
          <t>Latest chip quantity per chip type through year-end; normalized by unit count into benchmark buckets.</t>
        </is>
      </c>
    </row>
    <row r="495">
      <c r="A495" s="3" t="inlineStr">
        <is>
          <t>Bear|Meta Montgomery|2027</t>
        </is>
      </c>
      <c r="B495" s="3" t="inlineStr">
        <is>
          <t>Bear</t>
        </is>
      </c>
      <c r="C495" s="3" t="inlineStr">
        <is>
          <t>Meta Montgomery</t>
        </is>
      </c>
      <c r="D495" s="3" t="n">
        <v>2027</v>
      </c>
      <c r="E495" s="3" t="inlineStr">
        <is>
          <t>Meta</t>
        </is>
      </c>
      <c r="F495" s="17" t="n">
        <v>0</v>
      </c>
      <c r="G495" s="17" t="n">
        <v>1</v>
      </c>
      <c r="H495" s="17" t="n">
        <v>0</v>
      </c>
      <c r="I495" s="17" t="n">
        <v>0</v>
      </c>
      <c r="J495" s="17" t="n">
        <v>0</v>
      </c>
      <c r="K495" s="17" t="n">
        <v>0</v>
      </c>
      <c r="L495" s="17" t="n">
        <v>0</v>
      </c>
      <c r="M495" s="17" t="n">
        <v>0</v>
      </c>
      <c r="N495" s="17" t="n">
        <v>0</v>
      </c>
      <c r="O495" s="26" t="n">
        <v>1</v>
      </c>
      <c r="P495" s="3" t="inlineStr">
        <is>
          <t>epoch_chip_quantity_latest</t>
        </is>
      </c>
      <c r="Q495" s="3" t="inlineStr">
        <is>
          <t>SRC_EPOCH_AI_DATA_CENTERS; EPOCH_RAW_CHIP_QUANTITIES</t>
        </is>
      </c>
      <c r="R495" s="3" t="inlineStr">
        <is>
          <t>Latest chip quantity per chip type through year-end; normalized by unit count into benchmark buckets.</t>
        </is>
      </c>
    </row>
    <row r="496">
      <c r="A496" s="3" t="inlineStr">
        <is>
          <t>Bear|Meta Montgomery|2028</t>
        </is>
      </c>
      <c r="B496" s="3" t="inlineStr">
        <is>
          <t>Bear</t>
        </is>
      </c>
      <c r="C496" s="3" t="inlineStr">
        <is>
          <t>Meta Montgomery</t>
        </is>
      </c>
      <c r="D496" s="3" t="n">
        <v>2028</v>
      </c>
      <c r="E496" s="3" t="inlineStr">
        <is>
          <t>Meta</t>
        </is>
      </c>
      <c r="F496" s="17" t="n">
        <v>0</v>
      </c>
      <c r="G496" s="17" t="n">
        <v>1</v>
      </c>
      <c r="H496" s="17" t="n">
        <v>0</v>
      </c>
      <c r="I496" s="17" t="n">
        <v>0</v>
      </c>
      <c r="J496" s="17" t="n">
        <v>0</v>
      </c>
      <c r="K496" s="17" t="n">
        <v>0</v>
      </c>
      <c r="L496" s="17" t="n">
        <v>0</v>
      </c>
      <c r="M496" s="17" t="n">
        <v>0</v>
      </c>
      <c r="N496" s="17" t="n">
        <v>0</v>
      </c>
      <c r="O496" s="26" t="n">
        <v>1</v>
      </c>
      <c r="P496" s="3" t="inlineStr">
        <is>
          <t>epoch_chip_quantity_latest</t>
        </is>
      </c>
      <c r="Q496" s="3" t="inlineStr">
        <is>
          <t>SRC_EPOCH_AI_DATA_CENTERS; EPOCH_RAW_CHIP_QUANTITIES</t>
        </is>
      </c>
      <c r="R496" s="3" t="inlineStr">
        <is>
          <t>Latest chip quantity per chip type through year-end; normalized by unit count into benchmark buckets.</t>
        </is>
      </c>
    </row>
    <row r="497">
      <c r="A497" s="3" t="inlineStr">
        <is>
          <t>Bear|Meta Montgomery|2029</t>
        </is>
      </c>
      <c r="B497" s="3" t="inlineStr">
        <is>
          <t>Bear</t>
        </is>
      </c>
      <c r="C497" s="3" t="inlineStr">
        <is>
          <t>Meta Montgomery</t>
        </is>
      </c>
      <c r="D497" s="3" t="n">
        <v>2029</v>
      </c>
      <c r="E497" s="3" t="inlineStr">
        <is>
          <t>Meta</t>
        </is>
      </c>
      <c r="F497" s="17" t="n">
        <v>0</v>
      </c>
      <c r="G497" s="17" t="n">
        <v>1</v>
      </c>
      <c r="H497" s="17" t="n">
        <v>0</v>
      </c>
      <c r="I497" s="17" t="n">
        <v>0</v>
      </c>
      <c r="J497" s="17" t="n">
        <v>0</v>
      </c>
      <c r="K497" s="17" t="n">
        <v>0</v>
      </c>
      <c r="L497" s="17" t="n">
        <v>0</v>
      </c>
      <c r="M497" s="17" t="n">
        <v>0</v>
      </c>
      <c r="N497" s="17" t="n">
        <v>0</v>
      </c>
      <c r="O497" s="26" t="n">
        <v>1</v>
      </c>
      <c r="P497" s="3" t="inlineStr">
        <is>
          <t>epoch_chip_quantity_latest</t>
        </is>
      </c>
      <c r="Q497" s="3" t="inlineStr">
        <is>
          <t>SRC_EPOCH_AI_DATA_CENTERS; EPOCH_RAW_CHIP_QUANTITIES</t>
        </is>
      </c>
      <c r="R497" s="3" t="inlineStr">
        <is>
          <t>Latest chip quantity per chip type through year-end; normalized by unit count into benchmark buckets.</t>
        </is>
      </c>
    </row>
    <row r="498">
      <c r="A498" s="3" t="inlineStr">
        <is>
          <t>Bear|Meta Montgomery|2030</t>
        </is>
      </c>
      <c r="B498" s="3" t="inlineStr">
        <is>
          <t>Bear</t>
        </is>
      </c>
      <c r="C498" s="3" t="inlineStr">
        <is>
          <t>Meta Montgomery</t>
        </is>
      </c>
      <c r="D498" s="3" t="n">
        <v>2030</v>
      </c>
      <c r="E498" s="3" t="inlineStr">
        <is>
          <t>Meta</t>
        </is>
      </c>
      <c r="F498" s="17" t="n">
        <v>0</v>
      </c>
      <c r="G498" s="17" t="n">
        <v>1</v>
      </c>
      <c r="H498" s="17" t="n">
        <v>0</v>
      </c>
      <c r="I498" s="17" t="n">
        <v>0</v>
      </c>
      <c r="J498" s="17" t="n">
        <v>0</v>
      </c>
      <c r="K498" s="17" t="n">
        <v>0</v>
      </c>
      <c r="L498" s="17" t="n">
        <v>0</v>
      </c>
      <c r="M498" s="17" t="n">
        <v>0</v>
      </c>
      <c r="N498" s="17" t="n">
        <v>0</v>
      </c>
      <c r="O498" s="26" t="n">
        <v>1</v>
      </c>
      <c r="P498" s="3" t="inlineStr">
        <is>
          <t>epoch_chip_quantity_latest</t>
        </is>
      </c>
      <c r="Q498" s="3" t="inlineStr">
        <is>
          <t>SRC_EPOCH_AI_DATA_CENTERS; EPOCH_RAW_CHIP_QUANTITIES</t>
        </is>
      </c>
      <c r="R498" s="3" t="inlineStr">
        <is>
          <t>Latest chip quantity per chip type through year-end; normalized by unit count into benchmark buckets.</t>
        </is>
      </c>
    </row>
    <row r="499">
      <c r="A499" s="3" t="inlineStr">
        <is>
          <t>Base|Meta Montgomery|2026</t>
        </is>
      </c>
      <c r="B499" s="3" t="inlineStr">
        <is>
          <t>Base</t>
        </is>
      </c>
      <c r="C499" s="3" t="inlineStr">
        <is>
          <t>Meta Montgomery</t>
        </is>
      </c>
      <c r="D499" s="3" t="n">
        <v>2026</v>
      </c>
      <c r="E499" s="3" t="inlineStr">
        <is>
          <t>Meta</t>
        </is>
      </c>
      <c r="F499" s="17" t="n">
        <v>0</v>
      </c>
      <c r="G499" s="17" t="n">
        <v>1</v>
      </c>
      <c r="H499" s="17" t="n">
        <v>0</v>
      </c>
      <c r="I499" s="17" t="n">
        <v>0</v>
      </c>
      <c r="J499" s="17" t="n">
        <v>0</v>
      </c>
      <c r="K499" s="17" t="n">
        <v>0</v>
      </c>
      <c r="L499" s="17" t="n">
        <v>0</v>
      </c>
      <c r="M499" s="17" t="n">
        <v>0</v>
      </c>
      <c r="N499" s="17" t="n">
        <v>0</v>
      </c>
      <c r="O499" s="26" t="n">
        <v>1</v>
      </c>
      <c r="P499" s="3" t="inlineStr">
        <is>
          <t>epoch_chip_quantity_latest</t>
        </is>
      </c>
      <c r="Q499" s="3" t="inlineStr">
        <is>
          <t>SRC_EPOCH_AI_DATA_CENTERS; EPOCH_RAW_CHIP_QUANTITIES</t>
        </is>
      </c>
      <c r="R499" s="3" t="inlineStr">
        <is>
          <t>Latest chip quantity per chip type through year-end; normalized by unit count into benchmark buckets.</t>
        </is>
      </c>
    </row>
    <row r="500">
      <c r="A500" s="3" t="inlineStr">
        <is>
          <t>Base|Meta Montgomery|2027</t>
        </is>
      </c>
      <c r="B500" s="3" t="inlineStr">
        <is>
          <t>Base</t>
        </is>
      </c>
      <c r="C500" s="3" t="inlineStr">
        <is>
          <t>Meta Montgomery</t>
        </is>
      </c>
      <c r="D500" s="3" t="n">
        <v>2027</v>
      </c>
      <c r="E500" s="3" t="inlineStr">
        <is>
          <t>Meta</t>
        </is>
      </c>
      <c r="F500" s="17" t="n">
        <v>0</v>
      </c>
      <c r="G500" s="17" t="n">
        <v>1</v>
      </c>
      <c r="H500" s="17" t="n">
        <v>0</v>
      </c>
      <c r="I500" s="17" t="n">
        <v>0</v>
      </c>
      <c r="J500" s="17" t="n">
        <v>0</v>
      </c>
      <c r="K500" s="17" t="n">
        <v>0</v>
      </c>
      <c r="L500" s="17" t="n">
        <v>0</v>
      </c>
      <c r="M500" s="17" t="n">
        <v>0</v>
      </c>
      <c r="N500" s="17" t="n">
        <v>0</v>
      </c>
      <c r="O500" s="26" t="n">
        <v>1</v>
      </c>
      <c r="P500" s="3" t="inlineStr">
        <is>
          <t>epoch_chip_quantity_latest</t>
        </is>
      </c>
      <c r="Q500" s="3" t="inlineStr">
        <is>
          <t>SRC_EPOCH_AI_DATA_CENTERS; EPOCH_RAW_CHIP_QUANTITIES</t>
        </is>
      </c>
      <c r="R500" s="3" t="inlineStr">
        <is>
          <t>Latest chip quantity per chip type through year-end; normalized by unit count into benchmark buckets.</t>
        </is>
      </c>
    </row>
    <row r="501">
      <c r="A501" s="3" t="inlineStr">
        <is>
          <t>Base|Meta Montgomery|2028</t>
        </is>
      </c>
      <c r="B501" s="3" t="inlineStr">
        <is>
          <t>Base</t>
        </is>
      </c>
      <c r="C501" s="3" t="inlineStr">
        <is>
          <t>Meta Montgomery</t>
        </is>
      </c>
      <c r="D501" s="3" t="n">
        <v>2028</v>
      </c>
      <c r="E501" s="3" t="inlineStr">
        <is>
          <t>Meta</t>
        </is>
      </c>
      <c r="F501" s="17" t="n">
        <v>0</v>
      </c>
      <c r="G501" s="17" t="n">
        <v>1</v>
      </c>
      <c r="H501" s="17" t="n">
        <v>0</v>
      </c>
      <c r="I501" s="17" t="n">
        <v>0</v>
      </c>
      <c r="J501" s="17" t="n">
        <v>0</v>
      </c>
      <c r="K501" s="17" t="n">
        <v>0</v>
      </c>
      <c r="L501" s="17" t="n">
        <v>0</v>
      </c>
      <c r="M501" s="17" t="n">
        <v>0</v>
      </c>
      <c r="N501" s="17" t="n">
        <v>0</v>
      </c>
      <c r="O501" s="26" t="n">
        <v>1</v>
      </c>
      <c r="P501" s="3" t="inlineStr">
        <is>
          <t>epoch_chip_quantity_latest</t>
        </is>
      </c>
      <c r="Q501" s="3" t="inlineStr">
        <is>
          <t>SRC_EPOCH_AI_DATA_CENTERS; EPOCH_RAW_CHIP_QUANTITIES</t>
        </is>
      </c>
      <c r="R501" s="3" t="inlineStr">
        <is>
          <t>Latest chip quantity per chip type through year-end; normalized by unit count into benchmark buckets.</t>
        </is>
      </c>
    </row>
    <row r="502">
      <c r="A502" s="3" t="inlineStr">
        <is>
          <t>Base|Meta Montgomery|2029</t>
        </is>
      </c>
      <c r="B502" s="3" t="inlineStr">
        <is>
          <t>Base</t>
        </is>
      </c>
      <c r="C502" s="3" t="inlineStr">
        <is>
          <t>Meta Montgomery</t>
        </is>
      </c>
      <c r="D502" s="3" t="n">
        <v>2029</v>
      </c>
      <c r="E502" s="3" t="inlineStr">
        <is>
          <t>Meta</t>
        </is>
      </c>
      <c r="F502" s="17" t="n">
        <v>0</v>
      </c>
      <c r="G502" s="17" t="n">
        <v>1</v>
      </c>
      <c r="H502" s="17" t="n">
        <v>0</v>
      </c>
      <c r="I502" s="17" t="n">
        <v>0</v>
      </c>
      <c r="J502" s="17" t="n">
        <v>0</v>
      </c>
      <c r="K502" s="17" t="n">
        <v>0</v>
      </c>
      <c r="L502" s="17" t="n">
        <v>0</v>
      </c>
      <c r="M502" s="17" t="n">
        <v>0</v>
      </c>
      <c r="N502" s="17" t="n">
        <v>0</v>
      </c>
      <c r="O502" s="26" t="n">
        <v>1</v>
      </c>
      <c r="P502" s="3" t="inlineStr">
        <is>
          <t>epoch_chip_quantity_latest</t>
        </is>
      </c>
      <c r="Q502" s="3" t="inlineStr">
        <is>
          <t>SRC_EPOCH_AI_DATA_CENTERS; EPOCH_RAW_CHIP_QUANTITIES</t>
        </is>
      </c>
      <c r="R502" s="3" t="inlineStr">
        <is>
          <t>Latest chip quantity per chip type through year-end; normalized by unit count into benchmark buckets.</t>
        </is>
      </c>
    </row>
    <row r="503">
      <c r="A503" s="3" t="inlineStr">
        <is>
          <t>Base|Meta Montgomery|2030</t>
        </is>
      </c>
      <c r="B503" s="3" t="inlineStr">
        <is>
          <t>Base</t>
        </is>
      </c>
      <c r="C503" s="3" t="inlineStr">
        <is>
          <t>Meta Montgomery</t>
        </is>
      </c>
      <c r="D503" s="3" t="n">
        <v>2030</v>
      </c>
      <c r="E503" s="3" t="inlineStr">
        <is>
          <t>Meta</t>
        </is>
      </c>
      <c r="F503" s="17" t="n">
        <v>0</v>
      </c>
      <c r="G503" s="17" t="n">
        <v>1</v>
      </c>
      <c r="H503" s="17" t="n">
        <v>0</v>
      </c>
      <c r="I503" s="17" t="n">
        <v>0</v>
      </c>
      <c r="J503" s="17" t="n">
        <v>0</v>
      </c>
      <c r="K503" s="17" t="n">
        <v>0</v>
      </c>
      <c r="L503" s="17" t="n">
        <v>0</v>
      </c>
      <c r="M503" s="17" t="n">
        <v>0</v>
      </c>
      <c r="N503" s="17" t="n">
        <v>0</v>
      </c>
      <c r="O503" s="26" t="n">
        <v>1</v>
      </c>
      <c r="P503" s="3" t="inlineStr">
        <is>
          <t>epoch_chip_quantity_latest</t>
        </is>
      </c>
      <c r="Q503" s="3" t="inlineStr">
        <is>
          <t>SRC_EPOCH_AI_DATA_CENTERS; EPOCH_RAW_CHIP_QUANTITIES</t>
        </is>
      </c>
      <c r="R503" s="3" t="inlineStr">
        <is>
          <t>Latest chip quantity per chip type through year-end; normalized by unit count into benchmark buckets.</t>
        </is>
      </c>
    </row>
    <row r="504">
      <c r="A504" s="3" t="inlineStr">
        <is>
          <t>Bull|Meta Montgomery|2026</t>
        </is>
      </c>
      <c r="B504" s="3" t="inlineStr">
        <is>
          <t>Bull</t>
        </is>
      </c>
      <c r="C504" s="3" t="inlineStr">
        <is>
          <t>Meta Montgomery</t>
        </is>
      </c>
      <c r="D504" s="3" t="n">
        <v>2026</v>
      </c>
      <c r="E504" s="3" t="inlineStr">
        <is>
          <t>Meta</t>
        </is>
      </c>
      <c r="F504" s="17" t="n">
        <v>0</v>
      </c>
      <c r="G504" s="17" t="n">
        <v>1</v>
      </c>
      <c r="H504" s="17" t="n">
        <v>0</v>
      </c>
      <c r="I504" s="17" t="n">
        <v>0</v>
      </c>
      <c r="J504" s="17" t="n">
        <v>0</v>
      </c>
      <c r="K504" s="17" t="n">
        <v>0</v>
      </c>
      <c r="L504" s="17" t="n">
        <v>0</v>
      </c>
      <c r="M504" s="17" t="n">
        <v>0</v>
      </c>
      <c r="N504" s="17" t="n">
        <v>0</v>
      </c>
      <c r="O504" s="26" t="n">
        <v>1</v>
      </c>
      <c r="P504" s="3" t="inlineStr">
        <is>
          <t>epoch_chip_quantity_latest</t>
        </is>
      </c>
      <c r="Q504" s="3" t="inlineStr">
        <is>
          <t>SRC_EPOCH_AI_DATA_CENTERS; EPOCH_RAW_CHIP_QUANTITIES</t>
        </is>
      </c>
      <c r="R504" s="3" t="inlineStr">
        <is>
          <t>Latest chip quantity per chip type through year-end; normalized by unit count into benchmark buckets.</t>
        </is>
      </c>
    </row>
    <row r="505">
      <c r="A505" s="3" t="inlineStr">
        <is>
          <t>Bull|Meta Montgomery|2027</t>
        </is>
      </c>
      <c r="B505" s="3" t="inlineStr">
        <is>
          <t>Bull</t>
        </is>
      </c>
      <c r="C505" s="3" t="inlineStr">
        <is>
          <t>Meta Montgomery</t>
        </is>
      </c>
      <c r="D505" s="3" t="n">
        <v>2027</v>
      </c>
      <c r="E505" s="3" t="inlineStr">
        <is>
          <t>Meta</t>
        </is>
      </c>
      <c r="F505" s="17" t="n">
        <v>0</v>
      </c>
      <c r="G505" s="17" t="n">
        <v>1</v>
      </c>
      <c r="H505" s="17" t="n">
        <v>0</v>
      </c>
      <c r="I505" s="17" t="n">
        <v>0</v>
      </c>
      <c r="J505" s="17" t="n">
        <v>0</v>
      </c>
      <c r="K505" s="17" t="n">
        <v>0</v>
      </c>
      <c r="L505" s="17" t="n">
        <v>0</v>
      </c>
      <c r="M505" s="17" t="n">
        <v>0</v>
      </c>
      <c r="N505" s="17" t="n">
        <v>0</v>
      </c>
      <c r="O505" s="26" t="n">
        <v>1</v>
      </c>
      <c r="P505" s="3" t="inlineStr">
        <is>
          <t>epoch_chip_quantity_latest</t>
        </is>
      </c>
      <c r="Q505" s="3" t="inlineStr">
        <is>
          <t>SRC_EPOCH_AI_DATA_CENTERS; EPOCH_RAW_CHIP_QUANTITIES</t>
        </is>
      </c>
      <c r="R505" s="3" t="inlineStr">
        <is>
          <t>Latest chip quantity per chip type through year-end; normalized by unit count into benchmark buckets.</t>
        </is>
      </c>
    </row>
    <row r="506">
      <c r="A506" s="3" t="inlineStr">
        <is>
          <t>Bull|Meta Montgomery|2028</t>
        </is>
      </c>
      <c r="B506" s="3" t="inlineStr">
        <is>
          <t>Bull</t>
        </is>
      </c>
      <c r="C506" s="3" t="inlineStr">
        <is>
          <t>Meta Montgomery</t>
        </is>
      </c>
      <c r="D506" s="3" t="n">
        <v>2028</v>
      </c>
      <c r="E506" s="3" t="inlineStr">
        <is>
          <t>Meta</t>
        </is>
      </c>
      <c r="F506" s="17" t="n">
        <v>0</v>
      </c>
      <c r="G506" s="17" t="n">
        <v>1</v>
      </c>
      <c r="H506" s="17" t="n">
        <v>0</v>
      </c>
      <c r="I506" s="17" t="n">
        <v>0</v>
      </c>
      <c r="J506" s="17" t="n">
        <v>0</v>
      </c>
      <c r="K506" s="17" t="n">
        <v>0</v>
      </c>
      <c r="L506" s="17" t="n">
        <v>0</v>
      </c>
      <c r="M506" s="17" t="n">
        <v>0</v>
      </c>
      <c r="N506" s="17" t="n">
        <v>0</v>
      </c>
      <c r="O506" s="26" t="n">
        <v>1</v>
      </c>
      <c r="P506" s="3" t="inlineStr">
        <is>
          <t>epoch_chip_quantity_latest</t>
        </is>
      </c>
      <c r="Q506" s="3" t="inlineStr">
        <is>
          <t>SRC_EPOCH_AI_DATA_CENTERS; EPOCH_RAW_CHIP_QUANTITIES</t>
        </is>
      </c>
      <c r="R506" s="3" t="inlineStr">
        <is>
          <t>Latest chip quantity per chip type through year-end; normalized by unit count into benchmark buckets.</t>
        </is>
      </c>
    </row>
    <row r="507">
      <c r="A507" s="3" t="inlineStr">
        <is>
          <t>Bull|Meta Montgomery|2029</t>
        </is>
      </c>
      <c r="B507" s="3" t="inlineStr">
        <is>
          <t>Bull</t>
        </is>
      </c>
      <c r="C507" s="3" t="inlineStr">
        <is>
          <t>Meta Montgomery</t>
        </is>
      </c>
      <c r="D507" s="3" t="n">
        <v>2029</v>
      </c>
      <c r="E507" s="3" t="inlineStr">
        <is>
          <t>Meta</t>
        </is>
      </c>
      <c r="F507" s="17" t="n">
        <v>0</v>
      </c>
      <c r="G507" s="17" t="n">
        <v>1</v>
      </c>
      <c r="H507" s="17" t="n">
        <v>0</v>
      </c>
      <c r="I507" s="17" t="n">
        <v>0</v>
      </c>
      <c r="J507" s="17" t="n">
        <v>0</v>
      </c>
      <c r="K507" s="17" t="n">
        <v>0</v>
      </c>
      <c r="L507" s="17" t="n">
        <v>0</v>
      </c>
      <c r="M507" s="17" t="n">
        <v>0</v>
      </c>
      <c r="N507" s="17" t="n">
        <v>0</v>
      </c>
      <c r="O507" s="26" t="n">
        <v>1</v>
      </c>
      <c r="P507" s="3" t="inlineStr">
        <is>
          <t>epoch_chip_quantity_latest</t>
        </is>
      </c>
      <c r="Q507" s="3" t="inlineStr">
        <is>
          <t>SRC_EPOCH_AI_DATA_CENTERS; EPOCH_RAW_CHIP_QUANTITIES</t>
        </is>
      </c>
      <c r="R507" s="3" t="inlineStr">
        <is>
          <t>Latest chip quantity per chip type through year-end; normalized by unit count into benchmark buckets.</t>
        </is>
      </c>
    </row>
    <row r="508">
      <c r="A508" s="3" t="inlineStr">
        <is>
          <t>Bull|Meta Montgomery|2030</t>
        </is>
      </c>
      <c r="B508" s="3" t="inlineStr">
        <is>
          <t>Bull</t>
        </is>
      </c>
      <c r="C508" s="3" t="inlineStr">
        <is>
          <t>Meta Montgomery</t>
        </is>
      </c>
      <c r="D508" s="3" t="n">
        <v>2030</v>
      </c>
      <c r="E508" s="3" t="inlineStr">
        <is>
          <t>Meta</t>
        </is>
      </c>
      <c r="F508" s="17" t="n">
        <v>0</v>
      </c>
      <c r="G508" s="17" t="n">
        <v>1</v>
      </c>
      <c r="H508" s="17" t="n">
        <v>0</v>
      </c>
      <c r="I508" s="17" t="n">
        <v>0</v>
      </c>
      <c r="J508" s="17" t="n">
        <v>0</v>
      </c>
      <c r="K508" s="17" t="n">
        <v>0</v>
      </c>
      <c r="L508" s="17" t="n">
        <v>0</v>
      </c>
      <c r="M508" s="17" t="n">
        <v>0</v>
      </c>
      <c r="N508" s="17" t="n">
        <v>0</v>
      </c>
      <c r="O508" s="26" t="n">
        <v>1</v>
      </c>
      <c r="P508" s="3" t="inlineStr">
        <is>
          <t>epoch_chip_quantity_latest</t>
        </is>
      </c>
      <c r="Q508" s="3" t="inlineStr">
        <is>
          <t>SRC_EPOCH_AI_DATA_CENTERS; EPOCH_RAW_CHIP_QUANTITIES</t>
        </is>
      </c>
      <c r="R508" s="3" t="inlineStr">
        <is>
          <t>Latest chip quantity per chip type through year-end; normalized by unit count into benchmark buckets.</t>
        </is>
      </c>
    </row>
    <row r="509">
      <c r="A509" s="3" t="inlineStr">
        <is>
          <t>Grid-Constrained / Efficiency-Upside|Meta Montgomery|2026</t>
        </is>
      </c>
      <c r="B509" s="3" t="inlineStr">
        <is>
          <t>Grid-Constrained / Efficiency-Upside</t>
        </is>
      </c>
      <c r="C509" s="3" t="inlineStr">
        <is>
          <t>Meta Montgomery</t>
        </is>
      </c>
      <c r="D509" s="3" t="n">
        <v>2026</v>
      </c>
      <c r="E509" s="3" t="inlineStr">
        <is>
          <t>Meta</t>
        </is>
      </c>
      <c r="F509" s="17" t="n">
        <v>0</v>
      </c>
      <c r="G509" s="17" t="n">
        <v>1</v>
      </c>
      <c r="H509" s="17" t="n">
        <v>0</v>
      </c>
      <c r="I509" s="17" t="n">
        <v>0</v>
      </c>
      <c r="J509" s="17" t="n">
        <v>0</v>
      </c>
      <c r="K509" s="17" t="n">
        <v>0</v>
      </c>
      <c r="L509" s="17" t="n">
        <v>0</v>
      </c>
      <c r="M509" s="17" t="n">
        <v>0</v>
      </c>
      <c r="N509" s="17" t="n">
        <v>0</v>
      </c>
      <c r="O509" s="26" t="n">
        <v>1</v>
      </c>
      <c r="P509" s="3" t="inlineStr">
        <is>
          <t>epoch_chip_quantity_latest</t>
        </is>
      </c>
      <c r="Q509" s="3" t="inlineStr">
        <is>
          <t>SRC_EPOCH_AI_DATA_CENTERS; EPOCH_RAW_CHIP_QUANTITIES</t>
        </is>
      </c>
      <c r="R509" s="3" t="inlineStr">
        <is>
          <t>Latest chip quantity per chip type through year-end; normalized by unit count into benchmark buckets.</t>
        </is>
      </c>
    </row>
    <row r="510">
      <c r="A510" s="3" t="inlineStr">
        <is>
          <t>Grid-Constrained / Efficiency-Upside|Meta Montgomery|2027</t>
        </is>
      </c>
      <c r="B510" s="3" t="inlineStr">
        <is>
          <t>Grid-Constrained / Efficiency-Upside</t>
        </is>
      </c>
      <c r="C510" s="3" t="inlineStr">
        <is>
          <t>Meta Montgomery</t>
        </is>
      </c>
      <c r="D510" s="3" t="n">
        <v>2027</v>
      </c>
      <c r="E510" s="3" t="inlineStr">
        <is>
          <t>Meta</t>
        </is>
      </c>
      <c r="F510" s="17" t="n">
        <v>0</v>
      </c>
      <c r="G510" s="17" t="n">
        <v>1</v>
      </c>
      <c r="H510" s="17" t="n">
        <v>0</v>
      </c>
      <c r="I510" s="17" t="n">
        <v>0</v>
      </c>
      <c r="J510" s="17" t="n">
        <v>0</v>
      </c>
      <c r="K510" s="17" t="n">
        <v>0</v>
      </c>
      <c r="L510" s="17" t="n">
        <v>0</v>
      </c>
      <c r="M510" s="17" t="n">
        <v>0</v>
      </c>
      <c r="N510" s="17" t="n">
        <v>0</v>
      </c>
      <c r="O510" s="26" t="n">
        <v>1</v>
      </c>
      <c r="P510" s="3" t="inlineStr">
        <is>
          <t>epoch_chip_quantity_latest</t>
        </is>
      </c>
      <c r="Q510" s="3" t="inlineStr">
        <is>
          <t>SRC_EPOCH_AI_DATA_CENTERS; EPOCH_RAW_CHIP_QUANTITIES</t>
        </is>
      </c>
      <c r="R510" s="3" t="inlineStr">
        <is>
          <t>Latest chip quantity per chip type through year-end; normalized by unit count into benchmark buckets.</t>
        </is>
      </c>
    </row>
    <row r="511">
      <c r="A511" s="3" t="inlineStr">
        <is>
          <t>Grid-Constrained / Efficiency-Upside|Meta Montgomery|2028</t>
        </is>
      </c>
      <c r="B511" s="3" t="inlineStr">
        <is>
          <t>Grid-Constrained / Efficiency-Upside</t>
        </is>
      </c>
      <c r="C511" s="3" t="inlineStr">
        <is>
          <t>Meta Montgomery</t>
        </is>
      </c>
      <c r="D511" s="3" t="n">
        <v>2028</v>
      </c>
      <c r="E511" s="3" t="inlineStr">
        <is>
          <t>Meta</t>
        </is>
      </c>
      <c r="F511" s="17" t="n">
        <v>0</v>
      </c>
      <c r="G511" s="17" t="n">
        <v>1</v>
      </c>
      <c r="H511" s="17" t="n">
        <v>0</v>
      </c>
      <c r="I511" s="17" t="n">
        <v>0</v>
      </c>
      <c r="J511" s="17" t="n">
        <v>0</v>
      </c>
      <c r="K511" s="17" t="n">
        <v>0</v>
      </c>
      <c r="L511" s="17" t="n">
        <v>0</v>
      </c>
      <c r="M511" s="17" t="n">
        <v>0</v>
      </c>
      <c r="N511" s="17" t="n">
        <v>0</v>
      </c>
      <c r="O511" s="26" t="n">
        <v>1</v>
      </c>
      <c r="P511" s="3" t="inlineStr">
        <is>
          <t>epoch_chip_quantity_latest</t>
        </is>
      </c>
      <c r="Q511" s="3" t="inlineStr">
        <is>
          <t>SRC_EPOCH_AI_DATA_CENTERS; EPOCH_RAW_CHIP_QUANTITIES</t>
        </is>
      </c>
      <c r="R511" s="3" t="inlineStr">
        <is>
          <t>Latest chip quantity per chip type through year-end; normalized by unit count into benchmark buckets.</t>
        </is>
      </c>
    </row>
    <row r="512">
      <c r="A512" s="3" t="inlineStr">
        <is>
          <t>Grid-Constrained / Efficiency-Upside|Meta Montgomery|2029</t>
        </is>
      </c>
      <c r="B512" s="3" t="inlineStr">
        <is>
          <t>Grid-Constrained / Efficiency-Upside</t>
        </is>
      </c>
      <c r="C512" s="3" t="inlineStr">
        <is>
          <t>Meta Montgomery</t>
        </is>
      </c>
      <c r="D512" s="3" t="n">
        <v>2029</v>
      </c>
      <c r="E512" s="3" t="inlineStr">
        <is>
          <t>Meta</t>
        </is>
      </c>
      <c r="F512" s="17" t="n">
        <v>0</v>
      </c>
      <c r="G512" s="17" t="n">
        <v>1</v>
      </c>
      <c r="H512" s="17" t="n">
        <v>0</v>
      </c>
      <c r="I512" s="17" t="n">
        <v>0</v>
      </c>
      <c r="J512" s="17" t="n">
        <v>0</v>
      </c>
      <c r="K512" s="17" t="n">
        <v>0</v>
      </c>
      <c r="L512" s="17" t="n">
        <v>0</v>
      </c>
      <c r="M512" s="17" t="n">
        <v>0</v>
      </c>
      <c r="N512" s="17" t="n">
        <v>0</v>
      </c>
      <c r="O512" s="26" t="n">
        <v>1</v>
      </c>
      <c r="P512" s="3" t="inlineStr">
        <is>
          <t>epoch_chip_quantity_latest</t>
        </is>
      </c>
      <c r="Q512" s="3" t="inlineStr">
        <is>
          <t>SRC_EPOCH_AI_DATA_CENTERS; EPOCH_RAW_CHIP_QUANTITIES</t>
        </is>
      </c>
      <c r="R512" s="3" t="inlineStr">
        <is>
          <t>Latest chip quantity per chip type through year-end; normalized by unit count into benchmark buckets.</t>
        </is>
      </c>
    </row>
    <row r="513">
      <c r="A513" s="3" t="inlineStr">
        <is>
          <t>Grid-Constrained / Efficiency-Upside|Meta Montgomery|2030</t>
        </is>
      </c>
      <c r="B513" s="3" t="inlineStr">
        <is>
          <t>Grid-Constrained / Efficiency-Upside</t>
        </is>
      </c>
      <c r="C513" s="3" t="inlineStr">
        <is>
          <t>Meta Montgomery</t>
        </is>
      </c>
      <c r="D513" s="3" t="n">
        <v>2030</v>
      </c>
      <c r="E513" s="3" t="inlineStr">
        <is>
          <t>Meta</t>
        </is>
      </c>
      <c r="F513" s="17" t="n">
        <v>0</v>
      </c>
      <c r="G513" s="17" t="n">
        <v>1</v>
      </c>
      <c r="H513" s="17" t="n">
        <v>0</v>
      </c>
      <c r="I513" s="17" t="n">
        <v>0</v>
      </c>
      <c r="J513" s="17" t="n">
        <v>0</v>
      </c>
      <c r="K513" s="17" t="n">
        <v>0</v>
      </c>
      <c r="L513" s="17" t="n">
        <v>0</v>
      </c>
      <c r="M513" s="17" t="n">
        <v>0</v>
      </c>
      <c r="N513" s="17" t="n">
        <v>0</v>
      </c>
      <c r="O513" s="26" t="n">
        <v>1</v>
      </c>
      <c r="P513" s="3" t="inlineStr">
        <is>
          <t>epoch_chip_quantity_latest</t>
        </is>
      </c>
      <c r="Q513" s="3" t="inlineStr">
        <is>
          <t>SRC_EPOCH_AI_DATA_CENTERS; EPOCH_RAW_CHIP_QUANTITIES</t>
        </is>
      </c>
      <c r="R513" s="3" t="inlineStr">
        <is>
          <t>Latest chip quantity per chip type through year-end; normalized by unit count into benchmark buckets.</t>
        </is>
      </c>
    </row>
    <row r="514">
      <c r="A514" s="3" t="inlineStr">
        <is>
          <t>Bear|Meta Prometheus|2026</t>
        </is>
      </c>
      <c r="B514" s="3" t="inlineStr">
        <is>
          <t>Bear</t>
        </is>
      </c>
      <c r="C514" s="3" t="inlineStr">
        <is>
          <t>Meta Prometheus</t>
        </is>
      </c>
      <c r="D514" s="3" t="n">
        <v>2026</v>
      </c>
      <c r="E514" s="3" t="inlineStr">
        <is>
          <t>Meta</t>
        </is>
      </c>
      <c r="F514" s="17" t="n">
        <v>0</v>
      </c>
      <c r="G514" s="17" t="n">
        <v>1</v>
      </c>
      <c r="H514" s="17" t="n">
        <v>0</v>
      </c>
      <c r="I514" s="17" t="n">
        <v>0</v>
      </c>
      <c r="J514" s="17" t="n">
        <v>0</v>
      </c>
      <c r="K514" s="17" t="n">
        <v>0</v>
      </c>
      <c r="L514" s="17" t="n">
        <v>0</v>
      </c>
      <c r="M514" s="17" t="n">
        <v>0</v>
      </c>
      <c r="N514" s="17" t="n">
        <v>0</v>
      </c>
      <c r="O514" s="26" t="n">
        <v>1</v>
      </c>
      <c r="P514" s="3" t="inlineStr">
        <is>
          <t>epoch_chip_quantity_latest</t>
        </is>
      </c>
      <c r="Q514" s="3" t="inlineStr">
        <is>
          <t>SRC_EPOCH_AI_DATA_CENTERS; EPOCH_RAW_CHIP_QUANTITIES</t>
        </is>
      </c>
      <c r="R514" s="3" t="inlineStr">
        <is>
          <t>Latest chip quantity per chip type through year-end; normalized by unit count into benchmark buckets.</t>
        </is>
      </c>
    </row>
    <row r="515">
      <c r="A515" s="3" t="inlineStr">
        <is>
          <t>Bear|Meta Prometheus|2027</t>
        </is>
      </c>
      <c r="B515" s="3" t="inlineStr">
        <is>
          <t>Bear</t>
        </is>
      </c>
      <c r="C515" s="3" t="inlineStr">
        <is>
          <t>Meta Prometheus</t>
        </is>
      </c>
      <c r="D515" s="3" t="n">
        <v>2027</v>
      </c>
      <c r="E515" s="3" t="inlineStr">
        <is>
          <t>Meta</t>
        </is>
      </c>
      <c r="F515" s="17" t="n">
        <v>0</v>
      </c>
      <c r="G515" s="17" t="n">
        <v>1</v>
      </c>
      <c r="H515" s="17" t="n">
        <v>0</v>
      </c>
      <c r="I515" s="17" t="n">
        <v>0</v>
      </c>
      <c r="J515" s="17" t="n">
        <v>0</v>
      </c>
      <c r="K515" s="17" t="n">
        <v>0</v>
      </c>
      <c r="L515" s="17" t="n">
        <v>0</v>
      </c>
      <c r="M515" s="17" t="n">
        <v>0</v>
      </c>
      <c r="N515" s="17" t="n">
        <v>0</v>
      </c>
      <c r="O515" s="26" t="n">
        <v>1</v>
      </c>
      <c r="P515" s="3" t="inlineStr">
        <is>
          <t>epoch_chip_quantity_latest</t>
        </is>
      </c>
      <c r="Q515" s="3" t="inlineStr">
        <is>
          <t>SRC_EPOCH_AI_DATA_CENTERS; EPOCH_RAW_CHIP_QUANTITIES</t>
        </is>
      </c>
      <c r="R515" s="3" t="inlineStr">
        <is>
          <t>Latest chip quantity per chip type through year-end; normalized by unit count into benchmark buckets.</t>
        </is>
      </c>
    </row>
    <row r="516">
      <c r="A516" s="3" t="inlineStr">
        <is>
          <t>Bear|Meta Prometheus|2028</t>
        </is>
      </c>
      <c r="B516" s="3" t="inlineStr">
        <is>
          <t>Bear</t>
        </is>
      </c>
      <c r="C516" s="3" t="inlineStr">
        <is>
          <t>Meta Prometheus</t>
        </is>
      </c>
      <c r="D516" s="3" t="n">
        <v>2028</v>
      </c>
      <c r="E516" s="3" t="inlineStr">
        <is>
          <t>Meta</t>
        </is>
      </c>
      <c r="F516" s="17" t="n">
        <v>0</v>
      </c>
      <c r="G516" s="17" t="n">
        <v>1</v>
      </c>
      <c r="H516" s="17" t="n">
        <v>0</v>
      </c>
      <c r="I516" s="17" t="n">
        <v>0</v>
      </c>
      <c r="J516" s="17" t="n">
        <v>0</v>
      </c>
      <c r="K516" s="17" t="n">
        <v>0</v>
      </c>
      <c r="L516" s="17" t="n">
        <v>0</v>
      </c>
      <c r="M516" s="17" t="n">
        <v>0</v>
      </c>
      <c r="N516" s="17" t="n">
        <v>0</v>
      </c>
      <c r="O516" s="26" t="n">
        <v>1</v>
      </c>
      <c r="P516" s="3" t="inlineStr">
        <is>
          <t>epoch_chip_quantity_latest</t>
        </is>
      </c>
      <c r="Q516" s="3" t="inlineStr">
        <is>
          <t>SRC_EPOCH_AI_DATA_CENTERS; EPOCH_RAW_CHIP_QUANTITIES</t>
        </is>
      </c>
      <c r="R516" s="3" t="inlineStr">
        <is>
          <t>Latest chip quantity per chip type through year-end; normalized by unit count into benchmark buckets.</t>
        </is>
      </c>
    </row>
    <row r="517">
      <c r="A517" s="3" t="inlineStr">
        <is>
          <t>Bear|Meta Prometheus|2029</t>
        </is>
      </c>
      <c r="B517" s="3" t="inlineStr">
        <is>
          <t>Bear</t>
        </is>
      </c>
      <c r="C517" s="3" t="inlineStr">
        <is>
          <t>Meta Prometheus</t>
        </is>
      </c>
      <c r="D517" s="3" t="n">
        <v>2029</v>
      </c>
      <c r="E517" s="3" t="inlineStr">
        <is>
          <t>Meta</t>
        </is>
      </c>
      <c r="F517" s="17" t="n">
        <v>0</v>
      </c>
      <c r="G517" s="17" t="n">
        <v>1</v>
      </c>
      <c r="H517" s="17" t="n">
        <v>0</v>
      </c>
      <c r="I517" s="17" t="n">
        <v>0</v>
      </c>
      <c r="J517" s="17" t="n">
        <v>0</v>
      </c>
      <c r="K517" s="17" t="n">
        <v>0</v>
      </c>
      <c r="L517" s="17" t="n">
        <v>0</v>
      </c>
      <c r="M517" s="17" t="n">
        <v>0</v>
      </c>
      <c r="N517" s="17" t="n">
        <v>0</v>
      </c>
      <c r="O517" s="26" t="n">
        <v>1</v>
      </c>
      <c r="P517" s="3" t="inlineStr">
        <is>
          <t>epoch_chip_quantity_latest</t>
        </is>
      </c>
      <c r="Q517" s="3" t="inlineStr">
        <is>
          <t>SRC_EPOCH_AI_DATA_CENTERS; EPOCH_RAW_CHIP_QUANTITIES</t>
        </is>
      </c>
      <c r="R517" s="3" t="inlineStr">
        <is>
          <t>Latest chip quantity per chip type through year-end; normalized by unit count into benchmark buckets.</t>
        </is>
      </c>
    </row>
    <row r="518">
      <c r="A518" s="3" t="inlineStr">
        <is>
          <t>Bear|Meta Prometheus|2030</t>
        </is>
      </c>
      <c r="B518" s="3" t="inlineStr">
        <is>
          <t>Bear</t>
        </is>
      </c>
      <c r="C518" s="3" t="inlineStr">
        <is>
          <t>Meta Prometheus</t>
        </is>
      </c>
      <c r="D518" s="3" t="n">
        <v>2030</v>
      </c>
      <c r="E518" s="3" t="inlineStr">
        <is>
          <t>Meta</t>
        </is>
      </c>
      <c r="F518" s="17" t="n">
        <v>0</v>
      </c>
      <c r="G518" s="17" t="n">
        <v>1</v>
      </c>
      <c r="H518" s="17" t="n">
        <v>0</v>
      </c>
      <c r="I518" s="17" t="n">
        <v>0</v>
      </c>
      <c r="J518" s="17" t="n">
        <v>0</v>
      </c>
      <c r="K518" s="17" t="n">
        <v>0</v>
      </c>
      <c r="L518" s="17" t="n">
        <v>0</v>
      </c>
      <c r="M518" s="17" t="n">
        <v>0</v>
      </c>
      <c r="N518" s="17" t="n">
        <v>0</v>
      </c>
      <c r="O518" s="26" t="n">
        <v>1</v>
      </c>
      <c r="P518" s="3" t="inlineStr">
        <is>
          <t>epoch_chip_quantity_latest</t>
        </is>
      </c>
      <c r="Q518" s="3" t="inlineStr">
        <is>
          <t>SRC_EPOCH_AI_DATA_CENTERS; EPOCH_RAW_CHIP_QUANTITIES</t>
        </is>
      </c>
      <c r="R518" s="3" t="inlineStr">
        <is>
          <t>Latest chip quantity per chip type through year-end; normalized by unit count into benchmark buckets.</t>
        </is>
      </c>
    </row>
    <row r="519">
      <c r="A519" s="3" t="inlineStr">
        <is>
          <t>Base|Meta Prometheus|2026</t>
        </is>
      </c>
      <c r="B519" s="3" t="inlineStr">
        <is>
          <t>Base</t>
        </is>
      </c>
      <c r="C519" s="3" t="inlineStr">
        <is>
          <t>Meta Prometheus</t>
        </is>
      </c>
      <c r="D519" s="3" t="n">
        <v>2026</v>
      </c>
      <c r="E519" s="3" t="inlineStr">
        <is>
          <t>Meta</t>
        </is>
      </c>
      <c r="F519" s="17" t="n">
        <v>0</v>
      </c>
      <c r="G519" s="17" t="n">
        <v>1</v>
      </c>
      <c r="H519" s="17" t="n">
        <v>0</v>
      </c>
      <c r="I519" s="17" t="n">
        <v>0</v>
      </c>
      <c r="J519" s="17" t="n">
        <v>0</v>
      </c>
      <c r="K519" s="17" t="n">
        <v>0</v>
      </c>
      <c r="L519" s="17" t="n">
        <v>0</v>
      </c>
      <c r="M519" s="17" t="n">
        <v>0</v>
      </c>
      <c r="N519" s="17" t="n">
        <v>0</v>
      </c>
      <c r="O519" s="26" t="n">
        <v>1</v>
      </c>
      <c r="P519" s="3" t="inlineStr">
        <is>
          <t>epoch_chip_quantity_latest</t>
        </is>
      </c>
      <c r="Q519" s="3" t="inlineStr">
        <is>
          <t>SRC_EPOCH_AI_DATA_CENTERS; EPOCH_RAW_CHIP_QUANTITIES</t>
        </is>
      </c>
      <c r="R519" s="3" t="inlineStr">
        <is>
          <t>Latest chip quantity per chip type through year-end; normalized by unit count into benchmark buckets.</t>
        </is>
      </c>
    </row>
    <row r="520">
      <c r="A520" s="3" t="inlineStr">
        <is>
          <t>Base|Meta Prometheus|2027</t>
        </is>
      </c>
      <c r="B520" s="3" t="inlineStr">
        <is>
          <t>Base</t>
        </is>
      </c>
      <c r="C520" s="3" t="inlineStr">
        <is>
          <t>Meta Prometheus</t>
        </is>
      </c>
      <c r="D520" s="3" t="n">
        <v>2027</v>
      </c>
      <c r="E520" s="3" t="inlineStr">
        <is>
          <t>Meta</t>
        </is>
      </c>
      <c r="F520" s="17" t="n">
        <v>0</v>
      </c>
      <c r="G520" s="17" t="n">
        <v>1</v>
      </c>
      <c r="H520" s="17" t="n">
        <v>0</v>
      </c>
      <c r="I520" s="17" t="n">
        <v>0</v>
      </c>
      <c r="J520" s="17" t="n">
        <v>0</v>
      </c>
      <c r="K520" s="17" t="n">
        <v>0</v>
      </c>
      <c r="L520" s="17" t="n">
        <v>0</v>
      </c>
      <c r="M520" s="17" t="n">
        <v>0</v>
      </c>
      <c r="N520" s="17" t="n">
        <v>0</v>
      </c>
      <c r="O520" s="26" t="n">
        <v>1</v>
      </c>
      <c r="P520" s="3" t="inlineStr">
        <is>
          <t>epoch_chip_quantity_latest</t>
        </is>
      </c>
      <c r="Q520" s="3" t="inlineStr">
        <is>
          <t>SRC_EPOCH_AI_DATA_CENTERS; EPOCH_RAW_CHIP_QUANTITIES</t>
        </is>
      </c>
      <c r="R520" s="3" t="inlineStr">
        <is>
          <t>Latest chip quantity per chip type through year-end; normalized by unit count into benchmark buckets.</t>
        </is>
      </c>
    </row>
    <row r="521">
      <c r="A521" s="3" t="inlineStr">
        <is>
          <t>Base|Meta Prometheus|2028</t>
        </is>
      </c>
      <c r="B521" s="3" t="inlineStr">
        <is>
          <t>Base</t>
        </is>
      </c>
      <c r="C521" s="3" t="inlineStr">
        <is>
          <t>Meta Prometheus</t>
        </is>
      </c>
      <c r="D521" s="3" t="n">
        <v>2028</v>
      </c>
      <c r="E521" s="3" t="inlineStr">
        <is>
          <t>Meta</t>
        </is>
      </c>
      <c r="F521" s="17" t="n">
        <v>0</v>
      </c>
      <c r="G521" s="17" t="n">
        <v>1</v>
      </c>
      <c r="H521" s="17" t="n">
        <v>0</v>
      </c>
      <c r="I521" s="17" t="n">
        <v>0</v>
      </c>
      <c r="J521" s="17" t="n">
        <v>0</v>
      </c>
      <c r="K521" s="17" t="n">
        <v>0</v>
      </c>
      <c r="L521" s="17" t="n">
        <v>0</v>
      </c>
      <c r="M521" s="17" t="n">
        <v>0</v>
      </c>
      <c r="N521" s="17" t="n">
        <v>0</v>
      </c>
      <c r="O521" s="26" t="n">
        <v>1</v>
      </c>
      <c r="P521" s="3" t="inlineStr">
        <is>
          <t>epoch_chip_quantity_latest</t>
        </is>
      </c>
      <c r="Q521" s="3" t="inlineStr">
        <is>
          <t>SRC_EPOCH_AI_DATA_CENTERS; EPOCH_RAW_CHIP_QUANTITIES</t>
        </is>
      </c>
      <c r="R521" s="3" t="inlineStr">
        <is>
          <t>Latest chip quantity per chip type through year-end; normalized by unit count into benchmark buckets.</t>
        </is>
      </c>
    </row>
    <row r="522">
      <c r="A522" s="3" t="inlineStr">
        <is>
          <t>Base|Meta Prometheus|2029</t>
        </is>
      </c>
      <c r="B522" s="3" t="inlineStr">
        <is>
          <t>Base</t>
        </is>
      </c>
      <c r="C522" s="3" t="inlineStr">
        <is>
          <t>Meta Prometheus</t>
        </is>
      </c>
      <c r="D522" s="3" t="n">
        <v>2029</v>
      </c>
      <c r="E522" s="3" t="inlineStr">
        <is>
          <t>Meta</t>
        </is>
      </c>
      <c r="F522" s="17" t="n">
        <v>0</v>
      </c>
      <c r="G522" s="17" t="n">
        <v>1</v>
      </c>
      <c r="H522" s="17" t="n">
        <v>0</v>
      </c>
      <c r="I522" s="17" t="n">
        <v>0</v>
      </c>
      <c r="J522" s="17" t="n">
        <v>0</v>
      </c>
      <c r="K522" s="17" t="n">
        <v>0</v>
      </c>
      <c r="L522" s="17" t="n">
        <v>0</v>
      </c>
      <c r="M522" s="17" t="n">
        <v>0</v>
      </c>
      <c r="N522" s="17" t="n">
        <v>0</v>
      </c>
      <c r="O522" s="26" t="n">
        <v>1</v>
      </c>
      <c r="P522" s="3" t="inlineStr">
        <is>
          <t>epoch_chip_quantity_latest</t>
        </is>
      </c>
      <c r="Q522" s="3" t="inlineStr">
        <is>
          <t>SRC_EPOCH_AI_DATA_CENTERS; EPOCH_RAW_CHIP_QUANTITIES</t>
        </is>
      </c>
      <c r="R522" s="3" t="inlineStr">
        <is>
          <t>Latest chip quantity per chip type through year-end; normalized by unit count into benchmark buckets.</t>
        </is>
      </c>
    </row>
    <row r="523">
      <c r="A523" s="3" t="inlineStr">
        <is>
          <t>Base|Meta Prometheus|2030</t>
        </is>
      </c>
      <c r="B523" s="3" t="inlineStr">
        <is>
          <t>Base</t>
        </is>
      </c>
      <c r="C523" s="3" t="inlineStr">
        <is>
          <t>Meta Prometheus</t>
        </is>
      </c>
      <c r="D523" s="3" t="n">
        <v>2030</v>
      </c>
      <c r="E523" s="3" t="inlineStr">
        <is>
          <t>Meta</t>
        </is>
      </c>
      <c r="F523" s="17" t="n">
        <v>0</v>
      </c>
      <c r="G523" s="17" t="n">
        <v>1</v>
      </c>
      <c r="H523" s="17" t="n">
        <v>0</v>
      </c>
      <c r="I523" s="17" t="n">
        <v>0</v>
      </c>
      <c r="J523" s="17" t="n">
        <v>0</v>
      </c>
      <c r="K523" s="17" t="n">
        <v>0</v>
      </c>
      <c r="L523" s="17" t="n">
        <v>0</v>
      </c>
      <c r="M523" s="17" t="n">
        <v>0</v>
      </c>
      <c r="N523" s="17" t="n">
        <v>0</v>
      </c>
      <c r="O523" s="26" t="n">
        <v>1</v>
      </c>
      <c r="P523" s="3" t="inlineStr">
        <is>
          <t>epoch_chip_quantity_latest</t>
        </is>
      </c>
      <c r="Q523" s="3" t="inlineStr">
        <is>
          <t>SRC_EPOCH_AI_DATA_CENTERS; EPOCH_RAW_CHIP_QUANTITIES</t>
        </is>
      </c>
      <c r="R523" s="3" t="inlineStr">
        <is>
          <t>Latest chip quantity per chip type through year-end; normalized by unit count into benchmark buckets.</t>
        </is>
      </c>
    </row>
    <row r="524">
      <c r="A524" s="3" t="inlineStr">
        <is>
          <t>Bull|Meta Prometheus|2026</t>
        </is>
      </c>
      <c r="B524" s="3" t="inlineStr">
        <is>
          <t>Bull</t>
        </is>
      </c>
      <c r="C524" s="3" t="inlineStr">
        <is>
          <t>Meta Prometheus</t>
        </is>
      </c>
      <c r="D524" s="3" t="n">
        <v>2026</v>
      </c>
      <c r="E524" s="3" t="inlineStr">
        <is>
          <t>Meta</t>
        </is>
      </c>
      <c r="F524" s="17" t="n">
        <v>0</v>
      </c>
      <c r="G524" s="17" t="n">
        <v>1</v>
      </c>
      <c r="H524" s="17" t="n">
        <v>0</v>
      </c>
      <c r="I524" s="17" t="n">
        <v>0</v>
      </c>
      <c r="J524" s="17" t="n">
        <v>0</v>
      </c>
      <c r="K524" s="17" t="n">
        <v>0</v>
      </c>
      <c r="L524" s="17" t="n">
        <v>0</v>
      </c>
      <c r="M524" s="17" t="n">
        <v>0</v>
      </c>
      <c r="N524" s="17" t="n">
        <v>0</v>
      </c>
      <c r="O524" s="26" t="n">
        <v>1</v>
      </c>
      <c r="P524" s="3" t="inlineStr">
        <is>
          <t>epoch_chip_quantity_latest</t>
        </is>
      </c>
      <c r="Q524" s="3" t="inlineStr">
        <is>
          <t>SRC_EPOCH_AI_DATA_CENTERS; EPOCH_RAW_CHIP_QUANTITIES</t>
        </is>
      </c>
      <c r="R524" s="3" t="inlineStr">
        <is>
          <t>Latest chip quantity per chip type through year-end; normalized by unit count into benchmark buckets.</t>
        </is>
      </c>
    </row>
    <row r="525">
      <c r="A525" s="3" t="inlineStr">
        <is>
          <t>Bull|Meta Prometheus|2027</t>
        </is>
      </c>
      <c r="B525" s="3" t="inlineStr">
        <is>
          <t>Bull</t>
        </is>
      </c>
      <c r="C525" s="3" t="inlineStr">
        <is>
          <t>Meta Prometheus</t>
        </is>
      </c>
      <c r="D525" s="3" t="n">
        <v>2027</v>
      </c>
      <c r="E525" s="3" t="inlineStr">
        <is>
          <t>Meta</t>
        </is>
      </c>
      <c r="F525" s="17" t="n">
        <v>0</v>
      </c>
      <c r="G525" s="17" t="n">
        <v>1</v>
      </c>
      <c r="H525" s="17" t="n">
        <v>0</v>
      </c>
      <c r="I525" s="17" t="n">
        <v>0</v>
      </c>
      <c r="J525" s="17" t="n">
        <v>0</v>
      </c>
      <c r="K525" s="17" t="n">
        <v>0</v>
      </c>
      <c r="L525" s="17" t="n">
        <v>0</v>
      </c>
      <c r="M525" s="17" t="n">
        <v>0</v>
      </c>
      <c r="N525" s="17" t="n">
        <v>0</v>
      </c>
      <c r="O525" s="26" t="n">
        <v>1</v>
      </c>
      <c r="P525" s="3" t="inlineStr">
        <is>
          <t>epoch_chip_quantity_latest</t>
        </is>
      </c>
      <c r="Q525" s="3" t="inlineStr">
        <is>
          <t>SRC_EPOCH_AI_DATA_CENTERS; EPOCH_RAW_CHIP_QUANTITIES</t>
        </is>
      </c>
      <c r="R525" s="3" t="inlineStr">
        <is>
          <t>Latest chip quantity per chip type through year-end; normalized by unit count into benchmark buckets.</t>
        </is>
      </c>
    </row>
    <row r="526">
      <c r="A526" s="3" t="inlineStr">
        <is>
          <t>Bull|Meta Prometheus|2028</t>
        </is>
      </c>
      <c r="B526" s="3" t="inlineStr">
        <is>
          <t>Bull</t>
        </is>
      </c>
      <c r="C526" s="3" t="inlineStr">
        <is>
          <t>Meta Prometheus</t>
        </is>
      </c>
      <c r="D526" s="3" t="n">
        <v>2028</v>
      </c>
      <c r="E526" s="3" t="inlineStr">
        <is>
          <t>Meta</t>
        </is>
      </c>
      <c r="F526" s="17" t="n">
        <v>0</v>
      </c>
      <c r="G526" s="17" t="n">
        <v>1</v>
      </c>
      <c r="H526" s="17" t="n">
        <v>0</v>
      </c>
      <c r="I526" s="17" t="n">
        <v>0</v>
      </c>
      <c r="J526" s="17" t="n">
        <v>0</v>
      </c>
      <c r="K526" s="17" t="n">
        <v>0</v>
      </c>
      <c r="L526" s="17" t="n">
        <v>0</v>
      </c>
      <c r="M526" s="17" t="n">
        <v>0</v>
      </c>
      <c r="N526" s="17" t="n">
        <v>0</v>
      </c>
      <c r="O526" s="26" t="n">
        <v>1</v>
      </c>
      <c r="P526" s="3" t="inlineStr">
        <is>
          <t>epoch_chip_quantity_latest</t>
        </is>
      </c>
      <c r="Q526" s="3" t="inlineStr">
        <is>
          <t>SRC_EPOCH_AI_DATA_CENTERS; EPOCH_RAW_CHIP_QUANTITIES</t>
        </is>
      </c>
      <c r="R526" s="3" t="inlineStr">
        <is>
          <t>Latest chip quantity per chip type through year-end; normalized by unit count into benchmark buckets.</t>
        </is>
      </c>
    </row>
    <row r="527">
      <c r="A527" s="3" t="inlineStr">
        <is>
          <t>Bull|Meta Prometheus|2029</t>
        </is>
      </c>
      <c r="B527" s="3" t="inlineStr">
        <is>
          <t>Bull</t>
        </is>
      </c>
      <c r="C527" s="3" t="inlineStr">
        <is>
          <t>Meta Prometheus</t>
        </is>
      </c>
      <c r="D527" s="3" t="n">
        <v>2029</v>
      </c>
      <c r="E527" s="3" t="inlineStr">
        <is>
          <t>Meta</t>
        </is>
      </c>
      <c r="F527" s="17" t="n">
        <v>0</v>
      </c>
      <c r="G527" s="17" t="n">
        <v>1</v>
      </c>
      <c r="H527" s="17" t="n">
        <v>0</v>
      </c>
      <c r="I527" s="17" t="n">
        <v>0</v>
      </c>
      <c r="J527" s="17" t="n">
        <v>0</v>
      </c>
      <c r="K527" s="17" t="n">
        <v>0</v>
      </c>
      <c r="L527" s="17" t="n">
        <v>0</v>
      </c>
      <c r="M527" s="17" t="n">
        <v>0</v>
      </c>
      <c r="N527" s="17" t="n">
        <v>0</v>
      </c>
      <c r="O527" s="26" t="n">
        <v>1</v>
      </c>
      <c r="P527" s="3" t="inlineStr">
        <is>
          <t>epoch_chip_quantity_latest</t>
        </is>
      </c>
      <c r="Q527" s="3" t="inlineStr">
        <is>
          <t>SRC_EPOCH_AI_DATA_CENTERS; EPOCH_RAW_CHIP_QUANTITIES</t>
        </is>
      </c>
      <c r="R527" s="3" t="inlineStr">
        <is>
          <t>Latest chip quantity per chip type through year-end; normalized by unit count into benchmark buckets.</t>
        </is>
      </c>
    </row>
    <row r="528">
      <c r="A528" s="3" t="inlineStr">
        <is>
          <t>Bull|Meta Prometheus|2030</t>
        </is>
      </c>
      <c r="B528" s="3" t="inlineStr">
        <is>
          <t>Bull</t>
        </is>
      </c>
      <c r="C528" s="3" t="inlineStr">
        <is>
          <t>Meta Prometheus</t>
        </is>
      </c>
      <c r="D528" s="3" t="n">
        <v>2030</v>
      </c>
      <c r="E528" s="3" t="inlineStr">
        <is>
          <t>Meta</t>
        </is>
      </c>
      <c r="F528" s="17" t="n">
        <v>0</v>
      </c>
      <c r="G528" s="17" t="n">
        <v>1</v>
      </c>
      <c r="H528" s="17" t="n">
        <v>0</v>
      </c>
      <c r="I528" s="17" t="n">
        <v>0</v>
      </c>
      <c r="J528" s="17" t="n">
        <v>0</v>
      </c>
      <c r="K528" s="17" t="n">
        <v>0</v>
      </c>
      <c r="L528" s="17" t="n">
        <v>0</v>
      </c>
      <c r="M528" s="17" t="n">
        <v>0</v>
      </c>
      <c r="N528" s="17" t="n">
        <v>0</v>
      </c>
      <c r="O528" s="26" t="n">
        <v>1</v>
      </c>
      <c r="P528" s="3" t="inlineStr">
        <is>
          <t>epoch_chip_quantity_latest</t>
        </is>
      </c>
      <c r="Q528" s="3" t="inlineStr">
        <is>
          <t>SRC_EPOCH_AI_DATA_CENTERS; EPOCH_RAW_CHIP_QUANTITIES</t>
        </is>
      </c>
      <c r="R528" s="3" t="inlineStr">
        <is>
          <t>Latest chip quantity per chip type through year-end; normalized by unit count into benchmark buckets.</t>
        </is>
      </c>
    </row>
    <row r="529">
      <c r="A529" s="3" t="inlineStr">
        <is>
          <t>Grid-Constrained / Efficiency-Upside|Meta Prometheus|2026</t>
        </is>
      </c>
      <c r="B529" s="3" t="inlineStr">
        <is>
          <t>Grid-Constrained / Efficiency-Upside</t>
        </is>
      </c>
      <c r="C529" s="3" t="inlineStr">
        <is>
          <t>Meta Prometheus</t>
        </is>
      </c>
      <c r="D529" s="3" t="n">
        <v>2026</v>
      </c>
      <c r="E529" s="3" t="inlineStr">
        <is>
          <t>Meta</t>
        </is>
      </c>
      <c r="F529" s="17" t="n">
        <v>0</v>
      </c>
      <c r="G529" s="17" t="n">
        <v>1</v>
      </c>
      <c r="H529" s="17" t="n">
        <v>0</v>
      </c>
      <c r="I529" s="17" t="n">
        <v>0</v>
      </c>
      <c r="J529" s="17" t="n">
        <v>0</v>
      </c>
      <c r="K529" s="17" t="n">
        <v>0</v>
      </c>
      <c r="L529" s="17" t="n">
        <v>0</v>
      </c>
      <c r="M529" s="17" t="n">
        <v>0</v>
      </c>
      <c r="N529" s="17" t="n">
        <v>0</v>
      </c>
      <c r="O529" s="26" t="n">
        <v>1</v>
      </c>
      <c r="P529" s="3" t="inlineStr">
        <is>
          <t>epoch_chip_quantity_latest</t>
        </is>
      </c>
      <c r="Q529" s="3" t="inlineStr">
        <is>
          <t>SRC_EPOCH_AI_DATA_CENTERS; EPOCH_RAW_CHIP_QUANTITIES</t>
        </is>
      </c>
      <c r="R529" s="3" t="inlineStr">
        <is>
          <t>Latest chip quantity per chip type through year-end; normalized by unit count into benchmark buckets.</t>
        </is>
      </c>
    </row>
    <row r="530">
      <c r="A530" s="3" t="inlineStr">
        <is>
          <t>Grid-Constrained / Efficiency-Upside|Meta Prometheus|2027</t>
        </is>
      </c>
      <c r="B530" s="3" t="inlineStr">
        <is>
          <t>Grid-Constrained / Efficiency-Upside</t>
        </is>
      </c>
      <c r="C530" s="3" t="inlineStr">
        <is>
          <t>Meta Prometheus</t>
        </is>
      </c>
      <c r="D530" s="3" t="n">
        <v>2027</v>
      </c>
      <c r="E530" s="3" t="inlineStr">
        <is>
          <t>Meta</t>
        </is>
      </c>
      <c r="F530" s="17" t="n">
        <v>0</v>
      </c>
      <c r="G530" s="17" t="n">
        <v>1</v>
      </c>
      <c r="H530" s="17" t="n">
        <v>0</v>
      </c>
      <c r="I530" s="17" t="n">
        <v>0</v>
      </c>
      <c r="J530" s="17" t="n">
        <v>0</v>
      </c>
      <c r="K530" s="17" t="n">
        <v>0</v>
      </c>
      <c r="L530" s="17" t="n">
        <v>0</v>
      </c>
      <c r="M530" s="17" t="n">
        <v>0</v>
      </c>
      <c r="N530" s="17" t="n">
        <v>0</v>
      </c>
      <c r="O530" s="26" t="n">
        <v>1</v>
      </c>
      <c r="P530" s="3" t="inlineStr">
        <is>
          <t>epoch_chip_quantity_latest</t>
        </is>
      </c>
      <c r="Q530" s="3" t="inlineStr">
        <is>
          <t>SRC_EPOCH_AI_DATA_CENTERS; EPOCH_RAW_CHIP_QUANTITIES</t>
        </is>
      </c>
      <c r="R530" s="3" t="inlineStr">
        <is>
          <t>Latest chip quantity per chip type through year-end; normalized by unit count into benchmark buckets.</t>
        </is>
      </c>
    </row>
    <row r="531">
      <c r="A531" s="3" t="inlineStr">
        <is>
          <t>Grid-Constrained / Efficiency-Upside|Meta Prometheus|2028</t>
        </is>
      </c>
      <c r="B531" s="3" t="inlineStr">
        <is>
          <t>Grid-Constrained / Efficiency-Upside</t>
        </is>
      </c>
      <c r="C531" s="3" t="inlineStr">
        <is>
          <t>Meta Prometheus</t>
        </is>
      </c>
      <c r="D531" s="3" t="n">
        <v>2028</v>
      </c>
      <c r="E531" s="3" t="inlineStr">
        <is>
          <t>Meta</t>
        </is>
      </c>
      <c r="F531" s="17" t="n">
        <v>0</v>
      </c>
      <c r="G531" s="17" t="n">
        <v>1</v>
      </c>
      <c r="H531" s="17" t="n">
        <v>0</v>
      </c>
      <c r="I531" s="17" t="n">
        <v>0</v>
      </c>
      <c r="J531" s="17" t="n">
        <v>0</v>
      </c>
      <c r="K531" s="17" t="n">
        <v>0</v>
      </c>
      <c r="L531" s="17" t="n">
        <v>0</v>
      </c>
      <c r="M531" s="17" t="n">
        <v>0</v>
      </c>
      <c r="N531" s="17" t="n">
        <v>0</v>
      </c>
      <c r="O531" s="26" t="n">
        <v>1</v>
      </c>
      <c r="P531" s="3" t="inlineStr">
        <is>
          <t>epoch_chip_quantity_latest</t>
        </is>
      </c>
      <c r="Q531" s="3" t="inlineStr">
        <is>
          <t>SRC_EPOCH_AI_DATA_CENTERS; EPOCH_RAW_CHIP_QUANTITIES</t>
        </is>
      </c>
      <c r="R531" s="3" t="inlineStr">
        <is>
          <t>Latest chip quantity per chip type through year-end; normalized by unit count into benchmark buckets.</t>
        </is>
      </c>
    </row>
    <row r="532">
      <c r="A532" s="3" t="inlineStr">
        <is>
          <t>Grid-Constrained / Efficiency-Upside|Meta Prometheus|2029</t>
        </is>
      </c>
      <c r="B532" s="3" t="inlineStr">
        <is>
          <t>Grid-Constrained / Efficiency-Upside</t>
        </is>
      </c>
      <c r="C532" s="3" t="inlineStr">
        <is>
          <t>Meta Prometheus</t>
        </is>
      </c>
      <c r="D532" s="3" t="n">
        <v>2029</v>
      </c>
      <c r="E532" s="3" t="inlineStr">
        <is>
          <t>Meta</t>
        </is>
      </c>
      <c r="F532" s="17" t="n">
        <v>0</v>
      </c>
      <c r="G532" s="17" t="n">
        <v>1</v>
      </c>
      <c r="H532" s="17" t="n">
        <v>0</v>
      </c>
      <c r="I532" s="17" t="n">
        <v>0</v>
      </c>
      <c r="J532" s="17" t="n">
        <v>0</v>
      </c>
      <c r="K532" s="17" t="n">
        <v>0</v>
      </c>
      <c r="L532" s="17" t="n">
        <v>0</v>
      </c>
      <c r="M532" s="17" t="n">
        <v>0</v>
      </c>
      <c r="N532" s="17" t="n">
        <v>0</v>
      </c>
      <c r="O532" s="26" t="n">
        <v>1</v>
      </c>
      <c r="P532" s="3" t="inlineStr">
        <is>
          <t>epoch_chip_quantity_latest</t>
        </is>
      </c>
      <c r="Q532" s="3" t="inlineStr">
        <is>
          <t>SRC_EPOCH_AI_DATA_CENTERS; EPOCH_RAW_CHIP_QUANTITIES</t>
        </is>
      </c>
      <c r="R532" s="3" t="inlineStr">
        <is>
          <t>Latest chip quantity per chip type through year-end; normalized by unit count into benchmark buckets.</t>
        </is>
      </c>
    </row>
    <row r="533">
      <c r="A533" s="3" t="inlineStr">
        <is>
          <t>Grid-Constrained / Efficiency-Upside|Meta Prometheus|2030</t>
        </is>
      </c>
      <c r="B533" s="3" t="inlineStr">
        <is>
          <t>Grid-Constrained / Efficiency-Upside</t>
        </is>
      </c>
      <c r="C533" s="3" t="inlineStr">
        <is>
          <t>Meta Prometheus</t>
        </is>
      </c>
      <c r="D533" s="3" t="n">
        <v>2030</v>
      </c>
      <c r="E533" s="3" t="inlineStr">
        <is>
          <t>Meta</t>
        </is>
      </c>
      <c r="F533" s="17" t="n">
        <v>0</v>
      </c>
      <c r="G533" s="17" t="n">
        <v>1</v>
      </c>
      <c r="H533" s="17" t="n">
        <v>0</v>
      </c>
      <c r="I533" s="17" t="n">
        <v>0</v>
      </c>
      <c r="J533" s="17" t="n">
        <v>0</v>
      </c>
      <c r="K533" s="17" t="n">
        <v>0</v>
      </c>
      <c r="L533" s="17" t="n">
        <v>0</v>
      </c>
      <c r="M533" s="17" t="n">
        <v>0</v>
      </c>
      <c r="N533" s="17" t="n">
        <v>0</v>
      </c>
      <c r="O533" s="26" t="n">
        <v>1</v>
      </c>
      <c r="P533" s="3" t="inlineStr">
        <is>
          <t>epoch_chip_quantity_latest</t>
        </is>
      </c>
      <c r="Q533" s="3" t="inlineStr">
        <is>
          <t>SRC_EPOCH_AI_DATA_CENTERS; EPOCH_RAW_CHIP_QUANTITIES</t>
        </is>
      </c>
      <c r="R533" s="3" t="inlineStr">
        <is>
          <t>Latest chip quantity per chip type through year-end; normalized by unit count into benchmark buckets.</t>
        </is>
      </c>
    </row>
    <row r="534">
      <c r="A534" s="3" t="inlineStr">
        <is>
          <t>Bear|Meta Rosemount|2026</t>
        </is>
      </c>
      <c r="B534" s="3" t="inlineStr">
        <is>
          <t>Bear</t>
        </is>
      </c>
      <c r="C534" s="3" t="inlineStr">
        <is>
          <t>Meta Rosemount</t>
        </is>
      </c>
      <c r="D534" s="3" t="n">
        <v>2026</v>
      </c>
      <c r="E534" s="3" t="inlineStr">
        <is>
          <t>Meta</t>
        </is>
      </c>
      <c r="F534" s="17" t="n">
        <v>0</v>
      </c>
      <c r="G534" s="17" t="n">
        <v>1</v>
      </c>
      <c r="H534" s="17" t="n">
        <v>0</v>
      </c>
      <c r="I534" s="17" t="n">
        <v>0</v>
      </c>
      <c r="J534" s="17" t="n">
        <v>0</v>
      </c>
      <c r="K534" s="17" t="n">
        <v>0</v>
      </c>
      <c r="L534" s="17" t="n">
        <v>0</v>
      </c>
      <c r="M534" s="17" t="n">
        <v>0</v>
      </c>
      <c r="N534" s="17" t="n">
        <v>0</v>
      </c>
      <c r="O534" s="26" t="n">
        <v>1</v>
      </c>
      <c r="P534" s="3" t="inlineStr">
        <is>
          <t>epoch_chip_quantity_latest</t>
        </is>
      </c>
      <c r="Q534" s="3" t="inlineStr">
        <is>
          <t>SRC_EPOCH_AI_DATA_CENTERS; EPOCH_RAW_CHIP_QUANTITIES</t>
        </is>
      </c>
      <c r="R534" s="3" t="inlineStr">
        <is>
          <t>Latest chip quantity per chip type through year-end; normalized by unit count into benchmark buckets.</t>
        </is>
      </c>
    </row>
    <row r="535">
      <c r="A535" s="3" t="inlineStr">
        <is>
          <t>Bear|Meta Rosemount|2027</t>
        </is>
      </c>
      <c r="B535" s="3" t="inlineStr">
        <is>
          <t>Bear</t>
        </is>
      </c>
      <c r="C535" s="3" t="inlineStr">
        <is>
          <t>Meta Rosemount</t>
        </is>
      </c>
      <c r="D535" s="3" t="n">
        <v>2027</v>
      </c>
      <c r="E535" s="3" t="inlineStr">
        <is>
          <t>Meta</t>
        </is>
      </c>
      <c r="F535" s="17" t="n">
        <v>0</v>
      </c>
      <c r="G535" s="17" t="n">
        <v>1</v>
      </c>
      <c r="H535" s="17" t="n">
        <v>0</v>
      </c>
      <c r="I535" s="17" t="n">
        <v>0</v>
      </c>
      <c r="J535" s="17" t="n">
        <v>0</v>
      </c>
      <c r="K535" s="17" t="n">
        <v>0</v>
      </c>
      <c r="L535" s="17" t="n">
        <v>0</v>
      </c>
      <c r="M535" s="17" t="n">
        <v>0</v>
      </c>
      <c r="N535" s="17" t="n">
        <v>0</v>
      </c>
      <c r="O535" s="26" t="n">
        <v>1</v>
      </c>
      <c r="P535" s="3" t="inlineStr">
        <is>
          <t>epoch_chip_quantity_latest</t>
        </is>
      </c>
      <c r="Q535" s="3" t="inlineStr">
        <is>
          <t>SRC_EPOCH_AI_DATA_CENTERS; EPOCH_RAW_CHIP_QUANTITIES</t>
        </is>
      </c>
      <c r="R535" s="3" t="inlineStr">
        <is>
          <t>Latest chip quantity per chip type through year-end; normalized by unit count into benchmark buckets.</t>
        </is>
      </c>
    </row>
    <row r="536">
      <c r="A536" s="3" t="inlineStr">
        <is>
          <t>Bear|Meta Rosemount|2028</t>
        </is>
      </c>
      <c r="B536" s="3" t="inlineStr">
        <is>
          <t>Bear</t>
        </is>
      </c>
      <c r="C536" s="3" t="inlineStr">
        <is>
          <t>Meta Rosemount</t>
        </is>
      </c>
      <c r="D536" s="3" t="n">
        <v>2028</v>
      </c>
      <c r="E536" s="3" t="inlineStr">
        <is>
          <t>Meta</t>
        </is>
      </c>
      <c r="F536" s="17" t="n">
        <v>0</v>
      </c>
      <c r="G536" s="17" t="n">
        <v>1</v>
      </c>
      <c r="H536" s="17" t="n">
        <v>0</v>
      </c>
      <c r="I536" s="17" t="n">
        <v>0</v>
      </c>
      <c r="J536" s="17" t="n">
        <v>0</v>
      </c>
      <c r="K536" s="17" t="n">
        <v>0</v>
      </c>
      <c r="L536" s="17" t="n">
        <v>0</v>
      </c>
      <c r="M536" s="17" t="n">
        <v>0</v>
      </c>
      <c r="N536" s="17" t="n">
        <v>0</v>
      </c>
      <c r="O536" s="26" t="n">
        <v>1</v>
      </c>
      <c r="P536" s="3" t="inlineStr">
        <is>
          <t>epoch_chip_quantity_latest</t>
        </is>
      </c>
      <c r="Q536" s="3" t="inlineStr">
        <is>
          <t>SRC_EPOCH_AI_DATA_CENTERS; EPOCH_RAW_CHIP_QUANTITIES</t>
        </is>
      </c>
      <c r="R536" s="3" t="inlineStr">
        <is>
          <t>Latest chip quantity per chip type through year-end; normalized by unit count into benchmark buckets.</t>
        </is>
      </c>
    </row>
    <row r="537">
      <c r="A537" s="3" t="inlineStr">
        <is>
          <t>Bear|Meta Rosemount|2029</t>
        </is>
      </c>
      <c r="B537" s="3" t="inlineStr">
        <is>
          <t>Bear</t>
        </is>
      </c>
      <c r="C537" s="3" t="inlineStr">
        <is>
          <t>Meta Rosemount</t>
        </is>
      </c>
      <c r="D537" s="3" t="n">
        <v>2029</v>
      </c>
      <c r="E537" s="3" t="inlineStr">
        <is>
          <t>Meta</t>
        </is>
      </c>
      <c r="F537" s="17" t="n">
        <v>0</v>
      </c>
      <c r="G537" s="17" t="n">
        <v>1</v>
      </c>
      <c r="H537" s="17" t="n">
        <v>0</v>
      </c>
      <c r="I537" s="17" t="n">
        <v>0</v>
      </c>
      <c r="J537" s="17" t="n">
        <v>0</v>
      </c>
      <c r="K537" s="17" t="n">
        <v>0</v>
      </c>
      <c r="L537" s="17" t="n">
        <v>0</v>
      </c>
      <c r="M537" s="17" t="n">
        <v>0</v>
      </c>
      <c r="N537" s="17" t="n">
        <v>0</v>
      </c>
      <c r="O537" s="26" t="n">
        <v>1</v>
      </c>
      <c r="P537" s="3" t="inlineStr">
        <is>
          <t>epoch_chip_quantity_latest</t>
        </is>
      </c>
      <c r="Q537" s="3" t="inlineStr">
        <is>
          <t>SRC_EPOCH_AI_DATA_CENTERS; EPOCH_RAW_CHIP_QUANTITIES</t>
        </is>
      </c>
      <c r="R537" s="3" t="inlineStr">
        <is>
          <t>Latest chip quantity per chip type through year-end; normalized by unit count into benchmark buckets.</t>
        </is>
      </c>
    </row>
    <row r="538">
      <c r="A538" s="3" t="inlineStr">
        <is>
          <t>Bear|Meta Rosemount|2030</t>
        </is>
      </c>
      <c r="B538" s="3" t="inlineStr">
        <is>
          <t>Bear</t>
        </is>
      </c>
      <c r="C538" s="3" t="inlineStr">
        <is>
          <t>Meta Rosemount</t>
        </is>
      </c>
      <c r="D538" s="3" t="n">
        <v>2030</v>
      </c>
      <c r="E538" s="3" t="inlineStr">
        <is>
          <t>Meta</t>
        </is>
      </c>
      <c r="F538" s="17" t="n">
        <v>0</v>
      </c>
      <c r="G538" s="17" t="n">
        <v>1</v>
      </c>
      <c r="H538" s="17" t="n">
        <v>0</v>
      </c>
      <c r="I538" s="17" t="n">
        <v>0</v>
      </c>
      <c r="J538" s="17" t="n">
        <v>0</v>
      </c>
      <c r="K538" s="17" t="n">
        <v>0</v>
      </c>
      <c r="L538" s="17" t="n">
        <v>0</v>
      </c>
      <c r="M538" s="17" t="n">
        <v>0</v>
      </c>
      <c r="N538" s="17" t="n">
        <v>0</v>
      </c>
      <c r="O538" s="26" t="n">
        <v>1</v>
      </c>
      <c r="P538" s="3" t="inlineStr">
        <is>
          <t>epoch_chip_quantity_latest</t>
        </is>
      </c>
      <c r="Q538" s="3" t="inlineStr">
        <is>
          <t>SRC_EPOCH_AI_DATA_CENTERS; EPOCH_RAW_CHIP_QUANTITIES</t>
        </is>
      </c>
      <c r="R538" s="3" t="inlineStr">
        <is>
          <t>Latest chip quantity per chip type through year-end; normalized by unit count into benchmark buckets.</t>
        </is>
      </c>
    </row>
    <row r="539">
      <c r="A539" s="3" t="inlineStr">
        <is>
          <t>Base|Meta Rosemount|2026</t>
        </is>
      </c>
      <c r="B539" s="3" t="inlineStr">
        <is>
          <t>Base</t>
        </is>
      </c>
      <c r="C539" s="3" t="inlineStr">
        <is>
          <t>Meta Rosemount</t>
        </is>
      </c>
      <c r="D539" s="3" t="n">
        <v>2026</v>
      </c>
      <c r="E539" s="3" t="inlineStr">
        <is>
          <t>Meta</t>
        </is>
      </c>
      <c r="F539" s="17" t="n">
        <v>0</v>
      </c>
      <c r="G539" s="17" t="n">
        <v>1</v>
      </c>
      <c r="H539" s="17" t="n">
        <v>0</v>
      </c>
      <c r="I539" s="17" t="n">
        <v>0</v>
      </c>
      <c r="J539" s="17" t="n">
        <v>0</v>
      </c>
      <c r="K539" s="17" t="n">
        <v>0</v>
      </c>
      <c r="L539" s="17" t="n">
        <v>0</v>
      </c>
      <c r="M539" s="17" t="n">
        <v>0</v>
      </c>
      <c r="N539" s="17" t="n">
        <v>0</v>
      </c>
      <c r="O539" s="26" t="n">
        <v>1</v>
      </c>
      <c r="P539" s="3" t="inlineStr">
        <is>
          <t>epoch_chip_quantity_latest</t>
        </is>
      </c>
      <c r="Q539" s="3" t="inlineStr">
        <is>
          <t>SRC_EPOCH_AI_DATA_CENTERS; EPOCH_RAW_CHIP_QUANTITIES</t>
        </is>
      </c>
      <c r="R539" s="3" t="inlineStr">
        <is>
          <t>Latest chip quantity per chip type through year-end; normalized by unit count into benchmark buckets.</t>
        </is>
      </c>
    </row>
    <row r="540">
      <c r="A540" s="3" t="inlineStr">
        <is>
          <t>Base|Meta Rosemount|2027</t>
        </is>
      </c>
      <c r="B540" s="3" t="inlineStr">
        <is>
          <t>Base</t>
        </is>
      </c>
      <c r="C540" s="3" t="inlineStr">
        <is>
          <t>Meta Rosemount</t>
        </is>
      </c>
      <c r="D540" s="3" t="n">
        <v>2027</v>
      </c>
      <c r="E540" s="3" t="inlineStr">
        <is>
          <t>Meta</t>
        </is>
      </c>
      <c r="F540" s="17" t="n">
        <v>0</v>
      </c>
      <c r="G540" s="17" t="n">
        <v>1</v>
      </c>
      <c r="H540" s="17" t="n">
        <v>0</v>
      </c>
      <c r="I540" s="17" t="n">
        <v>0</v>
      </c>
      <c r="J540" s="17" t="n">
        <v>0</v>
      </c>
      <c r="K540" s="17" t="n">
        <v>0</v>
      </c>
      <c r="L540" s="17" t="n">
        <v>0</v>
      </c>
      <c r="M540" s="17" t="n">
        <v>0</v>
      </c>
      <c r="N540" s="17" t="n">
        <v>0</v>
      </c>
      <c r="O540" s="26" t="n">
        <v>1</v>
      </c>
      <c r="P540" s="3" t="inlineStr">
        <is>
          <t>epoch_chip_quantity_latest</t>
        </is>
      </c>
      <c r="Q540" s="3" t="inlineStr">
        <is>
          <t>SRC_EPOCH_AI_DATA_CENTERS; EPOCH_RAW_CHIP_QUANTITIES</t>
        </is>
      </c>
      <c r="R540" s="3" t="inlineStr">
        <is>
          <t>Latest chip quantity per chip type through year-end; normalized by unit count into benchmark buckets.</t>
        </is>
      </c>
    </row>
    <row r="541">
      <c r="A541" s="3" t="inlineStr">
        <is>
          <t>Base|Meta Rosemount|2028</t>
        </is>
      </c>
      <c r="B541" s="3" t="inlineStr">
        <is>
          <t>Base</t>
        </is>
      </c>
      <c r="C541" s="3" t="inlineStr">
        <is>
          <t>Meta Rosemount</t>
        </is>
      </c>
      <c r="D541" s="3" t="n">
        <v>2028</v>
      </c>
      <c r="E541" s="3" t="inlineStr">
        <is>
          <t>Meta</t>
        </is>
      </c>
      <c r="F541" s="17" t="n">
        <v>0</v>
      </c>
      <c r="G541" s="17" t="n">
        <v>1</v>
      </c>
      <c r="H541" s="17" t="n">
        <v>0</v>
      </c>
      <c r="I541" s="17" t="n">
        <v>0</v>
      </c>
      <c r="J541" s="17" t="n">
        <v>0</v>
      </c>
      <c r="K541" s="17" t="n">
        <v>0</v>
      </c>
      <c r="L541" s="17" t="n">
        <v>0</v>
      </c>
      <c r="M541" s="17" t="n">
        <v>0</v>
      </c>
      <c r="N541" s="17" t="n">
        <v>0</v>
      </c>
      <c r="O541" s="26" t="n">
        <v>1</v>
      </c>
      <c r="P541" s="3" t="inlineStr">
        <is>
          <t>epoch_chip_quantity_latest</t>
        </is>
      </c>
      <c r="Q541" s="3" t="inlineStr">
        <is>
          <t>SRC_EPOCH_AI_DATA_CENTERS; EPOCH_RAW_CHIP_QUANTITIES</t>
        </is>
      </c>
      <c r="R541" s="3" t="inlineStr">
        <is>
          <t>Latest chip quantity per chip type through year-end; normalized by unit count into benchmark buckets.</t>
        </is>
      </c>
    </row>
    <row r="542">
      <c r="A542" s="3" t="inlineStr">
        <is>
          <t>Base|Meta Rosemount|2029</t>
        </is>
      </c>
      <c r="B542" s="3" t="inlineStr">
        <is>
          <t>Base</t>
        </is>
      </c>
      <c r="C542" s="3" t="inlineStr">
        <is>
          <t>Meta Rosemount</t>
        </is>
      </c>
      <c r="D542" s="3" t="n">
        <v>2029</v>
      </c>
      <c r="E542" s="3" t="inlineStr">
        <is>
          <t>Meta</t>
        </is>
      </c>
      <c r="F542" s="17" t="n">
        <v>0</v>
      </c>
      <c r="G542" s="17" t="n">
        <v>1</v>
      </c>
      <c r="H542" s="17" t="n">
        <v>0</v>
      </c>
      <c r="I542" s="17" t="n">
        <v>0</v>
      </c>
      <c r="J542" s="17" t="n">
        <v>0</v>
      </c>
      <c r="K542" s="17" t="n">
        <v>0</v>
      </c>
      <c r="L542" s="17" t="n">
        <v>0</v>
      </c>
      <c r="M542" s="17" t="n">
        <v>0</v>
      </c>
      <c r="N542" s="17" t="n">
        <v>0</v>
      </c>
      <c r="O542" s="26" t="n">
        <v>1</v>
      </c>
      <c r="P542" s="3" t="inlineStr">
        <is>
          <t>epoch_chip_quantity_latest</t>
        </is>
      </c>
      <c r="Q542" s="3" t="inlineStr">
        <is>
          <t>SRC_EPOCH_AI_DATA_CENTERS; EPOCH_RAW_CHIP_QUANTITIES</t>
        </is>
      </c>
      <c r="R542" s="3" t="inlineStr">
        <is>
          <t>Latest chip quantity per chip type through year-end; normalized by unit count into benchmark buckets.</t>
        </is>
      </c>
    </row>
    <row r="543">
      <c r="A543" s="3" t="inlineStr">
        <is>
          <t>Base|Meta Rosemount|2030</t>
        </is>
      </c>
      <c r="B543" s="3" t="inlineStr">
        <is>
          <t>Base</t>
        </is>
      </c>
      <c r="C543" s="3" t="inlineStr">
        <is>
          <t>Meta Rosemount</t>
        </is>
      </c>
      <c r="D543" s="3" t="n">
        <v>2030</v>
      </c>
      <c r="E543" s="3" t="inlineStr">
        <is>
          <t>Meta</t>
        </is>
      </c>
      <c r="F543" s="17" t="n">
        <v>0</v>
      </c>
      <c r="G543" s="17" t="n">
        <v>1</v>
      </c>
      <c r="H543" s="17" t="n">
        <v>0</v>
      </c>
      <c r="I543" s="17" t="n">
        <v>0</v>
      </c>
      <c r="J543" s="17" t="n">
        <v>0</v>
      </c>
      <c r="K543" s="17" t="n">
        <v>0</v>
      </c>
      <c r="L543" s="17" t="n">
        <v>0</v>
      </c>
      <c r="M543" s="17" t="n">
        <v>0</v>
      </c>
      <c r="N543" s="17" t="n">
        <v>0</v>
      </c>
      <c r="O543" s="26" t="n">
        <v>1</v>
      </c>
      <c r="P543" s="3" t="inlineStr">
        <is>
          <t>epoch_chip_quantity_latest</t>
        </is>
      </c>
      <c r="Q543" s="3" t="inlineStr">
        <is>
          <t>SRC_EPOCH_AI_DATA_CENTERS; EPOCH_RAW_CHIP_QUANTITIES</t>
        </is>
      </c>
      <c r="R543" s="3" t="inlineStr">
        <is>
          <t>Latest chip quantity per chip type through year-end; normalized by unit count into benchmark buckets.</t>
        </is>
      </c>
    </row>
    <row r="544">
      <c r="A544" s="3" t="inlineStr">
        <is>
          <t>Bull|Meta Rosemount|2026</t>
        </is>
      </c>
      <c r="B544" s="3" t="inlineStr">
        <is>
          <t>Bull</t>
        </is>
      </c>
      <c r="C544" s="3" t="inlineStr">
        <is>
          <t>Meta Rosemount</t>
        </is>
      </c>
      <c r="D544" s="3" t="n">
        <v>2026</v>
      </c>
      <c r="E544" s="3" t="inlineStr">
        <is>
          <t>Meta</t>
        </is>
      </c>
      <c r="F544" s="17" t="n">
        <v>0</v>
      </c>
      <c r="G544" s="17" t="n">
        <v>1</v>
      </c>
      <c r="H544" s="17" t="n">
        <v>0</v>
      </c>
      <c r="I544" s="17" t="n">
        <v>0</v>
      </c>
      <c r="J544" s="17" t="n">
        <v>0</v>
      </c>
      <c r="K544" s="17" t="n">
        <v>0</v>
      </c>
      <c r="L544" s="17" t="n">
        <v>0</v>
      </c>
      <c r="M544" s="17" t="n">
        <v>0</v>
      </c>
      <c r="N544" s="17" t="n">
        <v>0</v>
      </c>
      <c r="O544" s="26" t="n">
        <v>1</v>
      </c>
      <c r="P544" s="3" t="inlineStr">
        <is>
          <t>epoch_chip_quantity_latest</t>
        </is>
      </c>
      <c r="Q544" s="3" t="inlineStr">
        <is>
          <t>SRC_EPOCH_AI_DATA_CENTERS; EPOCH_RAW_CHIP_QUANTITIES</t>
        </is>
      </c>
      <c r="R544" s="3" t="inlineStr">
        <is>
          <t>Latest chip quantity per chip type through year-end; normalized by unit count into benchmark buckets.</t>
        </is>
      </c>
    </row>
    <row r="545">
      <c r="A545" s="3" t="inlineStr">
        <is>
          <t>Bull|Meta Rosemount|2027</t>
        </is>
      </c>
      <c r="B545" s="3" t="inlineStr">
        <is>
          <t>Bull</t>
        </is>
      </c>
      <c r="C545" s="3" t="inlineStr">
        <is>
          <t>Meta Rosemount</t>
        </is>
      </c>
      <c r="D545" s="3" t="n">
        <v>2027</v>
      </c>
      <c r="E545" s="3" t="inlineStr">
        <is>
          <t>Meta</t>
        </is>
      </c>
      <c r="F545" s="17" t="n">
        <v>0</v>
      </c>
      <c r="G545" s="17" t="n">
        <v>1</v>
      </c>
      <c r="H545" s="17" t="n">
        <v>0</v>
      </c>
      <c r="I545" s="17" t="n">
        <v>0</v>
      </c>
      <c r="J545" s="17" t="n">
        <v>0</v>
      </c>
      <c r="K545" s="17" t="n">
        <v>0</v>
      </c>
      <c r="L545" s="17" t="n">
        <v>0</v>
      </c>
      <c r="M545" s="17" t="n">
        <v>0</v>
      </c>
      <c r="N545" s="17" t="n">
        <v>0</v>
      </c>
      <c r="O545" s="26" t="n">
        <v>1</v>
      </c>
      <c r="P545" s="3" t="inlineStr">
        <is>
          <t>epoch_chip_quantity_latest</t>
        </is>
      </c>
      <c r="Q545" s="3" t="inlineStr">
        <is>
          <t>SRC_EPOCH_AI_DATA_CENTERS; EPOCH_RAW_CHIP_QUANTITIES</t>
        </is>
      </c>
      <c r="R545" s="3" t="inlineStr">
        <is>
          <t>Latest chip quantity per chip type through year-end; normalized by unit count into benchmark buckets.</t>
        </is>
      </c>
    </row>
    <row r="546">
      <c r="A546" s="3" t="inlineStr">
        <is>
          <t>Bull|Meta Rosemount|2028</t>
        </is>
      </c>
      <c r="B546" s="3" t="inlineStr">
        <is>
          <t>Bull</t>
        </is>
      </c>
      <c r="C546" s="3" t="inlineStr">
        <is>
          <t>Meta Rosemount</t>
        </is>
      </c>
      <c r="D546" s="3" t="n">
        <v>2028</v>
      </c>
      <c r="E546" s="3" t="inlineStr">
        <is>
          <t>Meta</t>
        </is>
      </c>
      <c r="F546" s="17" t="n">
        <v>0</v>
      </c>
      <c r="G546" s="17" t="n">
        <v>1</v>
      </c>
      <c r="H546" s="17" t="n">
        <v>0</v>
      </c>
      <c r="I546" s="17" t="n">
        <v>0</v>
      </c>
      <c r="J546" s="17" t="n">
        <v>0</v>
      </c>
      <c r="K546" s="17" t="n">
        <v>0</v>
      </c>
      <c r="L546" s="17" t="n">
        <v>0</v>
      </c>
      <c r="M546" s="17" t="n">
        <v>0</v>
      </c>
      <c r="N546" s="17" t="n">
        <v>0</v>
      </c>
      <c r="O546" s="26" t="n">
        <v>1</v>
      </c>
      <c r="P546" s="3" t="inlineStr">
        <is>
          <t>epoch_chip_quantity_latest</t>
        </is>
      </c>
      <c r="Q546" s="3" t="inlineStr">
        <is>
          <t>SRC_EPOCH_AI_DATA_CENTERS; EPOCH_RAW_CHIP_QUANTITIES</t>
        </is>
      </c>
      <c r="R546" s="3" t="inlineStr">
        <is>
          <t>Latest chip quantity per chip type through year-end; normalized by unit count into benchmark buckets.</t>
        </is>
      </c>
    </row>
    <row r="547">
      <c r="A547" s="3" t="inlineStr">
        <is>
          <t>Bull|Meta Rosemount|2029</t>
        </is>
      </c>
      <c r="B547" s="3" t="inlineStr">
        <is>
          <t>Bull</t>
        </is>
      </c>
      <c r="C547" s="3" t="inlineStr">
        <is>
          <t>Meta Rosemount</t>
        </is>
      </c>
      <c r="D547" s="3" t="n">
        <v>2029</v>
      </c>
      <c r="E547" s="3" t="inlineStr">
        <is>
          <t>Meta</t>
        </is>
      </c>
      <c r="F547" s="17" t="n">
        <v>0</v>
      </c>
      <c r="G547" s="17" t="n">
        <v>1</v>
      </c>
      <c r="H547" s="17" t="n">
        <v>0</v>
      </c>
      <c r="I547" s="17" t="n">
        <v>0</v>
      </c>
      <c r="J547" s="17" t="n">
        <v>0</v>
      </c>
      <c r="K547" s="17" t="n">
        <v>0</v>
      </c>
      <c r="L547" s="17" t="n">
        <v>0</v>
      </c>
      <c r="M547" s="17" t="n">
        <v>0</v>
      </c>
      <c r="N547" s="17" t="n">
        <v>0</v>
      </c>
      <c r="O547" s="26" t="n">
        <v>1</v>
      </c>
      <c r="P547" s="3" t="inlineStr">
        <is>
          <t>epoch_chip_quantity_latest</t>
        </is>
      </c>
      <c r="Q547" s="3" t="inlineStr">
        <is>
          <t>SRC_EPOCH_AI_DATA_CENTERS; EPOCH_RAW_CHIP_QUANTITIES</t>
        </is>
      </c>
      <c r="R547" s="3" t="inlineStr">
        <is>
          <t>Latest chip quantity per chip type through year-end; normalized by unit count into benchmark buckets.</t>
        </is>
      </c>
    </row>
    <row r="548">
      <c r="A548" s="3" t="inlineStr">
        <is>
          <t>Bull|Meta Rosemount|2030</t>
        </is>
      </c>
      <c r="B548" s="3" t="inlineStr">
        <is>
          <t>Bull</t>
        </is>
      </c>
      <c r="C548" s="3" t="inlineStr">
        <is>
          <t>Meta Rosemount</t>
        </is>
      </c>
      <c r="D548" s="3" t="n">
        <v>2030</v>
      </c>
      <c r="E548" s="3" t="inlineStr">
        <is>
          <t>Meta</t>
        </is>
      </c>
      <c r="F548" s="17" t="n">
        <v>0</v>
      </c>
      <c r="G548" s="17" t="n">
        <v>1</v>
      </c>
      <c r="H548" s="17" t="n">
        <v>0</v>
      </c>
      <c r="I548" s="17" t="n">
        <v>0</v>
      </c>
      <c r="J548" s="17" t="n">
        <v>0</v>
      </c>
      <c r="K548" s="17" t="n">
        <v>0</v>
      </c>
      <c r="L548" s="17" t="n">
        <v>0</v>
      </c>
      <c r="M548" s="17" t="n">
        <v>0</v>
      </c>
      <c r="N548" s="17" t="n">
        <v>0</v>
      </c>
      <c r="O548" s="26" t="n">
        <v>1</v>
      </c>
      <c r="P548" s="3" t="inlineStr">
        <is>
          <t>epoch_chip_quantity_latest</t>
        </is>
      </c>
      <c r="Q548" s="3" t="inlineStr">
        <is>
          <t>SRC_EPOCH_AI_DATA_CENTERS; EPOCH_RAW_CHIP_QUANTITIES</t>
        </is>
      </c>
      <c r="R548" s="3" t="inlineStr">
        <is>
          <t>Latest chip quantity per chip type through year-end; normalized by unit count into benchmark buckets.</t>
        </is>
      </c>
    </row>
    <row r="549">
      <c r="A549" s="3" t="inlineStr">
        <is>
          <t>Grid-Constrained / Efficiency-Upside|Meta Rosemount|2026</t>
        </is>
      </c>
      <c r="B549" s="3" t="inlineStr">
        <is>
          <t>Grid-Constrained / Efficiency-Upside</t>
        </is>
      </c>
      <c r="C549" s="3" t="inlineStr">
        <is>
          <t>Meta Rosemount</t>
        </is>
      </c>
      <c r="D549" s="3" t="n">
        <v>2026</v>
      </c>
      <c r="E549" s="3" t="inlineStr">
        <is>
          <t>Meta</t>
        </is>
      </c>
      <c r="F549" s="17" t="n">
        <v>0</v>
      </c>
      <c r="G549" s="17" t="n">
        <v>1</v>
      </c>
      <c r="H549" s="17" t="n">
        <v>0</v>
      </c>
      <c r="I549" s="17" t="n">
        <v>0</v>
      </c>
      <c r="J549" s="17" t="n">
        <v>0</v>
      </c>
      <c r="K549" s="17" t="n">
        <v>0</v>
      </c>
      <c r="L549" s="17" t="n">
        <v>0</v>
      </c>
      <c r="M549" s="17" t="n">
        <v>0</v>
      </c>
      <c r="N549" s="17" t="n">
        <v>0</v>
      </c>
      <c r="O549" s="26" t="n">
        <v>1</v>
      </c>
      <c r="P549" s="3" t="inlineStr">
        <is>
          <t>epoch_chip_quantity_latest</t>
        </is>
      </c>
      <c r="Q549" s="3" t="inlineStr">
        <is>
          <t>SRC_EPOCH_AI_DATA_CENTERS; EPOCH_RAW_CHIP_QUANTITIES</t>
        </is>
      </c>
      <c r="R549" s="3" t="inlineStr">
        <is>
          <t>Latest chip quantity per chip type through year-end; normalized by unit count into benchmark buckets.</t>
        </is>
      </c>
    </row>
    <row r="550">
      <c r="A550" s="3" t="inlineStr">
        <is>
          <t>Grid-Constrained / Efficiency-Upside|Meta Rosemount|2027</t>
        </is>
      </c>
      <c r="B550" s="3" t="inlineStr">
        <is>
          <t>Grid-Constrained / Efficiency-Upside</t>
        </is>
      </c>
      <c r="C550" s="3" t="inlineStr">
        <is>
          <t>Meta Rosemount</t>
        </is>
      </c>
      <c r="D550" s="3" t="n">
        <v>2027</v>
      </c>
      <c r="E550" s="3" t="inlineStr">
        <is>
          <t>Meta</t>
        </is>
      </c>
      <c r="F550" s="17" t="n">
        <v>0</v>
      </c>
      <c r="G550" s="17" t="n">
        <v>1</v>
      </c>
      <c r="H550" s="17" t="n">
        <v>0</v>
      </c>
      <c r="I550" s="17" t="n">
        <v>0</v>
      </c>
      <c r="J550" s="17" t="n">
        <v>0</v>
      </c>
      <c r="K550" s="17" t="n">
        <v>0</v>
      </c>
      <c r="L550" s="17" t="n">
        <v>0</v>
      </c>
      <c r="M550" s="17" t="n">
        <v>0</v>
      </c>
      <c r="N550" s="17" t="n">
        <v>0</v>
      </c>
      <c r="O550" s="26" t="n">
        <v>1</v>
      </c>
      <c r="P550" s="3" t="inlineStr">
        <is>
          <t>epoch_chip_quantity_latest</t>
        </is>
      </c>
      <c r="Q550" s="3" t="inlineStr">
        <is>
          <t>SRC_EPOCH_AI_DATA_CENTERS; EPOCH_RAW_CHIP_QUANTITIES</t>
        </is>
      </c>
      <c r="R550" s="3" t="inlineStr">
        <is>
          <t>Latest chip quantity per chip type through year-end; normalized by unit count into benchmark buckets.</t>
        </is>
      </c>
    </row>
    <row r="551">
      <c r="A551" s="3" t="inlineStr">
        <is>
          <t>Grid-Constrained / Efficiency-Upside|Meta Rosemount|2028</t>
        </is>
      </c>
      <c r="B551" s="3" t="inlineStr">
        <is>
          <t>Grid-Constrained / Efficiency-Upside</t>
        </is>
      </c>
      <c r="C551" s="3" t="inlineStr">
        <is>
          <t>Meta Rosemount</t>
        </is>
      </c>
      <c r="D551" s="3" t="n">
        <v>2028</v>
      </c>
      <c r="E551" s="3" t="inlineStr">
        <is>
          <t>Meta</t>
        </is>
      </c>
      <c r="F551" s="17" t="n">
        <v>0</v>
      </c>
      <c r="G551" s="17" t="n">
        <v>1</v>
      </c>
      <c r="H551" s="17" t="n">
        <v>0</v>
      </c>
      <c r="I551" s="17" t="n">
        <v>0</v>
      </c>
      <c r="J551" s="17" t="n">
        <v>0</v>
      </c>
      <c r="K551" s="17" t="n">
        <v>0</v>
      </c>
      <c r="L551" s="17" t="n">
        <v>0</v>
      </c>
      <c r="M551" s="17" t="n">
        <v>0</v>
      </c>
      <c r="N551" s="17" t="n">
        <v>0</v>
      </c>
      <c r="O551" s="26" t="n">
        <v>1</v>
      </c>
      <c r="P551" s="3" t="inlineStr">
        <is>
          <t>epoch_chip_quantity_latest</t>
        </is>
      </c>
      <c r="Q551" s="3" t="inlineStr">
        <is>
          <t>SRC_EPOCH_AI_DATA_CENTERS; EPOCH_RAW_CHIP_QUANTITIES</t>
        </is>
      </c>
      <c r="R551" s="3" t="inlineStr">
        <is>
          <t>Latest chip quantity per chip type through year-end; normalized by unit count into benchmark buckets.</t>
        </is>
      </c>
    </row>
    <row r="552">
      <c r="A552" s="3" t="inlineStr">
        <is>
          <t>Grid-Constrained / Efficiency-Upside|Meta Rosemount|2029</t>
        </is>
      </c>
      <c r="B552" s="3" t="inlineStr">
        <is>
          <t>Grid-Constrained / Efficiency-Upside</t>
        </is>
      </c>
      <c r="C552" s="3" t="inlineStr">
        <is>
          <t>Meta Rosemount</t>
        </is>
      </c>
      <c r="D552" s="3" t="n">
        <v>2029</v>
      </c>
      <c r="E552" s="3" t="inlineStr">
        <is>
          <t>Meta</t>
        </is>
      </c>
      <c r="F552" s="17" t="n">
        <v>0</v>
      </c>
      <c r="G552" s="17" t="n">
        <v>1</v>
      </c>
      <c r="H552" s="17" t="n">
        <v>0</v>
      </c>
      <c r="I552" s="17" t="n">
        <v>0</v>
      </c>
      <c r="J552" s="17" t="n">
        <v>0</v>
      </c>
      <c r="K552" s="17" t="n">
        <v>0</v>
      </c>
      <c r="L552" s="17" t="n">
        <v>0</v>
      </c>
      <c r="M552" s="17" t="n">
        <v>0</v>
      </c>
      <c r="N552" s="17" t="n">
        <v>0</v>
      </c>
      <c r="O552" s="26" t="n">
        <v>1</v>
      </c>
      <c r="P552" s="3" t="inlineStr">
        <is>
          <t>epoch_chip_quantity_latest</t>
        </is>
      </c>
      <c r="Q552" s="3" t="inlineStr">
        <is>
          <t>SRC_EPOCH_AI_DATA_CENTERS; EPOCH_RAW_CHIP_QUANTITIES</t>
        </is>
      </c>
      <c r="R552" s="3" t="inlineStr">
        <is>
          <t>Latest chip quantity per chip type through year-end; normalized by unit count into benchmark buckets.</t>
        </is>
      </c>
    </row>
    <row r="553">
      <c r="A553" s="3" t="inlineStr">
        <is>
          <t>Grid-Constrained / Efficiency-Upside|Meta Rosemount|2030</t>
        </is>
      </c>
      <c r="B553" s="3" t="inlineStr">
        <is>
          <t>Grid-Constrained / Efficiency-Upside</t>
        </is>
      </c>
      <c r="C553" s="3" t="inlineStr">
        <is>
          <t>Meta Rosemount</t>
        </is>
      </c>
      <c r="D553" s="3" t="n">
        <v>2030</v>
      </c>
      <c r="E553" s="3" t="inlineStr">
        <is>
          <t>Meta</t>
        </is>
      </c>
      <c r="F553" s="17" t="n">
        <v>0</v>
      </c>
      <c r="G553" s="17" t="n">
        <v>1</v>
      </c>
      <c r="H553" s="17" t="n">
        <v>0</v>
      </c>
      <c r="I553" s="17" t="n">
        <v>0</v>
      </c>
      <c r="J553" s="17" t="n">
        <v>0</v>
      </c>
      <c r="K553" s="17" t="n">
        <v>0</v>
      </c>
      <c r="L553" s="17" t="n">
        <v>0</v>
      </c>
      <c r="M553" s="17" t="n">
        <v>0</v>
      </c>
      <c r="N553" s="17" t="n">
        <v>0</v>
      </c>
      <c r="O553" s="26" t="n">
        <v>1</v>
      </c>
      <c r="P553" s="3" t="inlineStr">
        <is>
          <t>epoch_chip_quantity_latest</t>
        </is>
      </c>
      <c r="Q553" s="3" t="inlineStr">
        <is>
          <t>SRC_EPOCH_AI_DATA_CENTERS; EPOCH_RAW_CHIP_QUANTITIES</t>
        </is>
      </c>
      <c r="R553" s="3" t="inlineStr">
        <is>
          <t>Latest chip quantity per chip type through year-end; normalized by unit count into benchmark buckets.</t>
        </is>
      </c>
    </row>
    <row r="554">
      <c r="A554" s="3" t="inlineStr">
        <is>
          <t>Bear|Meta Sarpy|2026</t>
        </is>
      </c>
      <c r="B554" s="3" t="inlineStr">
        <is>
          <t>Bear</t>
        </is>
      </c>
      <c r="C554" s="3" t="inlineStr">
        <is>
          <t>Meta Sarpy</t>
        </is>
      </c>
      <c r="D554" s="3" t="n">
        <v>2026</v>
      </c>
      <c r="E554" s="3" t="inlineStr">
        <is>
          <t>Meta</t>
        </is>
      </c>
      <c r="F554" s="17" t="n">
        <v>0</v>
      </c>
      <c r="G554" s="17" t="n">
        <v>1</v>
      </c>
      <c r="H554" s="17" t="n">
        <v>0</v>
      </c>
      <c r="I554" s="17" t="n">
        <v>0</v>
      </c>
      <c r="J554" s="17" t="n">
        <v>0</v>
      </c>
      <c r="K554" s="17" t="n">
        <v>0</v>
      </c>
      <c r="L554" s="17" t="n">
        <v>0</v>
      </c>
      <c r="M554" s="17" t="n">
        <v>0</v>
      </c>
      <c r="N554" s="17" t="n">
        <v>0</v>
      </c>
      <c r="O554" s="26" t="n">
        <v>1</v>
      </c>
      <c r="P554" s="3" t="inlineStr">
        <is>
          <t>epoch_chip_quantity_latest</t>
        </is>
      </c>
      <c r="Q554" s="3" t="inlineStr">
        <is>
          <t>SRC_EPOCH_AI_DATA_CENTERS; EPOCH_RAW_CHIP_QUANTITIES</t>
        </is>
      </c>
      <c r="R554" s="3" t="inlineStr">
        <is>
          <t>Latest chip quantity per chip type through year-end; normalized by unit count into benchmark buckets.</t>
        </is>
      </c>
    </row>
    <row r="555">
      <c r="A555" s="3" t="inlineStr">
        <is>
          <t>Bear|Meta Sarpy|2027</t>
        </is>
      </c>
      <c r="B555" s="3" t="inlineStr">
        <is>
          <t>Bear</t>
        </is>
      </c>
      <c r="C555" s="3" t="inlineStr">
        <is>
          <t>Meta Sarpy</t>
        </is>
      </c>
      <c r="D555" s="3" t="n">
        <v>2027</v>
      </c>
      <c r="E555" s="3" t="inlineStr">
        <is>
          <t>Meta</t>
        </is>
      </c>
      <c r="F555" s="17" t="n">
        <v>0</v>
      </c>
      <c r="G555" s="17" t="n">
        <v>1</v>
      </c>
      <c r="H555" s="17" t="n">
        <v>0</v>
      </c>
      <c r="I555" s="17" t="n">
        <v>0</v>
      </c>
      <c r="J555" s="17" t="n">
        <v>0</v>
      </c>
      <c r="K555" s="17" t="n">
        <v>0</v>
      </c>
      <c r="L555" s="17" t="n">
        <v>0</v>
      </c>
      <c r="M555" s="17" t="n">
        <v>0</v>
      </c>
      <c r="N555" s="17" t="n">
        <v>0</v>
      </c>
      <c r="O555" s="26" t="n">
        <v>1</v>
      </c>
      <c r="P555" s="3" t="inlineStr">
        <is>
          <t>epoch_chip_quantity_latest</t>
        </is>
      </c>
      <c r="Q555" s="3" t="inlineStr">
        <is>
          <t>SRC_EPOCH_AI_DATA_CENTERS; EPOCH_RAW_CHIP_QUANTITIES</t>
        </is>
      </c>
      <c r="R555" s="3" t="inlineStr">
        <is>
          <t>Latest chip quantity per chip type through year-end; normalized by unit count into benchmark buckets.</t>
        </is>
      </c>
    </row>
    <row r="556">
      <c r="A556" s="3" t="inlineStr">
        <is>
          <t>Bear|Meta Sarpy|2028</t>
        </is>
      </c>
      <c r="B556" s="3" t="inlineStr">
        <is>
          <t>Bear</t>
        </is>
      </c>
      <c r="C556" s="3" t="inlineStr">
        <is>
          <t>Meta Sarpy</t>
        </is>
      </c>
      <c r="D556" s="3" t="n">
        <v>2028</v>
      </c>
      <c r="E556" s="3" t="inlineStr">
        <is>
          <t>Meta</t>
        </is>
      </c>
      <c r="F556" s="17" t="n">
        <v>0</v>
      </c>
      <c r="G556" s="17" t="n">
        <v>1</v>
      </c>
      <c r="H556" s="17" t="n">
        <v>0</v>
      </c>
      <c r="I556" s="17" t="n">
        <v>0</v>
      </c>
      <c r="J556" s="17" t="n">
        <v>0</v>
      </c>
      <c r="K556" s="17" t="n">
        <v>0</v>
      </c>
      <c r="L556" s="17" t="n">
        <v>0</v>
      </c>
      <c r="M556" s="17" t="n">
        <v>0</v>
      </c>
      <c r="N556" s="17" t="n">
        <v>0</v>
      </c>
      <c r="O556" s="26" t="n">
        <v>1</v>
      </c>
      <c r="P556" s="3" t="inlineStr">
        <is>
          <t>epoch_chip_quantity_latest</t>
        </is>
      </c>
      <c r="Q556" s="3" t="inlineStr">
        <is>
          <t>SRC_EPOCH_AI_DATA_CENTERS; EPOCH_RAW_CHIP_QUANTITIES</t>
        </is>
      </c>
      <c r="R556" s="3" t="inlineStr">
        <is>
          <t>Latest chip quantity per chip type through year-end; normalized by unit count into benchmark buckets.</t>
        </is>
      </c>
    </row>
    <row r="557">
      <c r="A557" s="3" t="inlineStr">
        <is>
          <t>Bear|Meta Sarpy|2029</t>
        </is>
      </c>
      <c r="B557" s="3" t="inlineStr">
        <is>
          <t>Bear</t>
        </is>
      </c>
      <c r="C557" s="3" t="inlineStr">
        <is>
          <t>Meta Sarpy</t>
        </is>
      </c>
      <c r="D557" s="3" t="n">
        <v>2029</v>
      </c>
      <c r="E557" s="3" t="inlineStr">
        <is>
          <t>Meta</t>
        </is>
      </c>
      <c r="F557" s="17" t="n">
        <v>0</v>
      </c>
      <c r="G557" s="17" t="n">
        <v>1</v>
      </c>
      <c r="H557" s="17" t="n">
        <v>0</v>
      </c>
      <c r="I557" s="17" t="n">
        <v>0</v>
      </c>
      <c r="J557" s="17" t="n">
        <v>0</v>
      </c>
      <c r="K557" s="17" t="n">
        <v>0</v>
      </c>
      <c r="L557" s="17" t="n">
        <v>0</v>
      </c>
      <c r="M557" s="17" t="n">
        <v>0</v>
      </c>
      <c r="N557" s="17" t="n">
        <v>0</v>
      </c>
      <c r="O557" s="26" t="n">
        <v>1</v>
      </c>
      <c r="P557" s="3" t="inlineStr">
        <is>
          <t>epoch_chip_quantity_latest</t>
        </is>
      </c>
      <c r="Q557" s="3" t="inlineStr">
        <is>
          <t>SRC_EPOCH_AI_DATA_CENTERS; EPOCH_RAW_CHIP_QUANTITIES</t>
        </is>
      </c>
      <c r="R557" s="3" t="inlineStr">
        <is>
          <t>Latest chip quantity per chip type through year-end; normalized by unit count into benchmark buckets.</t>
        </is>
      </c>
    </row>
    <row r="558">
      <c r="A558" s="3" t="inlineStr">
        <is>
          <t>Bear|Meta Sarpy|2030</t>
        </is>
      </c>
      <c r="B558" s="3" t="inlineStr">
        <is>
          <t>Bear</t>
        </is>
      </c>
      <c r="C558" s="3" t="inlineStr">
        <is>
          <t>Meta Sarpy</t>
        </is>
      </c>
      <c r="D558" s="3" t="n">
        <v>2030</v>
      </c>
      <c r="E558" s="3" t="inlineStr">
        <is>
          <t>Meta</t>
        </is>
      </c>
      <c r="F558" s="17" t="n">
        <v>0</v>
      </c>
      <c r="G558" s="17" t="n">
        <v>1</v>
      </c>
      <c r="H558" s="17" t="n">
        <v>0</v>
      </c>
      <c r="I558" s="17" t="n">
        <v>0</v>
      </c>
      <c r="J558" s="17" t="n">
        <v>0</v>
      </c>
      <c r="K558" s="17" t="n">
        <v>0</v>
      </c>
      <c r="L558" s="17" t="n">
        <v>0</v>
      </c>
      <c r="M558" s="17" t="n">
        <v>0</v>
      </c>
      <c r="N558" s="17" t="n">
        <v>0</v>
      </c>
      <c r="O558" s="26" t="n">
        <v>1</v>
      </c>
      <c r="P558" s="3" t="inlineStr">
        <is>
          <t>epoch_chip_quantity_latest</t>
        </is>
      </c>
      <c r="Q558" s="3" t="inlineStr">
        <is>
          <t>SRC_EPOCH_AI_DATA_CENTERS; EPOCH_RAW_CHIP_QUANTITIES</t>
        </is>
      </c>
      <c r="R558" s="3" t="inlineStr">
        <is>
          <t>Latest chip quantity per chip type through year-end; normalized by unit count into benchmark buckets.</t>
        </is>
      </c>
    </row>
    <row r="559">
      <c r="A559" s="3" t="inlineStr">
        <is>
          <t>Base|Meta Sarpy|2026</t>
        </is>
      </c>
      <c r="B559" s="3" t="inlineStr">
        <is>
          <t>Base</t>
        </is>
      </c>
      <c r="C559" s="3" t="inlineStr">
        <is>
          <t>Meta Sarpy</t>
        </is>
      </c>
      <c r="D559" s="3" t="n">
        <v>2026</v>
      </c>
      <c r="E559" s="3" t="inlineStr">
        <is>
          <t>Meta</t>
        </is>
      </c>
      <c r="F559" s="17" t="n">
        <v>0</v>
      </c>
      <c r="G559" s="17" t="n">
        <v>1</v>
      </c>
      <c r="H559" s="17" t="n">
        <v>0</v>
      </c>
      <c r="I559" s="17" t="n">
        <v>0</v>
      </c>
      <c r="J559" s="17" t="n">
        <v>0</v>
      </c>
      <c r="K559" s="17" t="n">
        <v>0</v>
      </c>
      <c r="L559" s="17" t="n">
        <v>0</v>
      </c>
      <c r="M559" s="17" t="n">
        <v>0</v>
      </c>
      <c r="N559" s="17" t="n">
        <v>0</v>
      </c>
      <c r="O559" s="26" t="n">
        <v>1</v>
      </c>
      <c r="P559" s="3" t="inlineStr">
        <is>
          <t>epoch_chip_quantity_latest</t>
        </is>
      </c>
      <c r="Q559" s="3" t="inlineStr">
        <is>
          <t>SRC_EPOCH_AI_DATA_CENTERS; EPOCH_RAW_CHIP_QUANTITIES</t>
        </is>
      </c>
      <c r="R559" s="3" t="inlineStr">
        <is>
          <t>Latest chip quantity per chip type through year-end; normalized by unit count into benchmark buckets.</t>
        </is>
      </c>
    </row>
    <row r="560">
      <c r="A560" s="3" t="inlineStr">
        <is>
          <t>Base|Meta Sarpy|2027</t>
        </is>
      </c>
      <c r="B560" s="3" t="inlineStr">
        <is>
          <t>Base</t>
        </is>
      </c>
      <c r="C560" s="3" t="inlineStr">
        <is>
          <t>Meta Sarpy</t>
        </is>
      </c>
      <c r="D560" s="3" t="n">
        <v>2027</v>
      </c>
      <c r="E560" s="3" t="inlineStr">
        <is>
          <t>Meta</t>
        </is>
      </c>
      <c r="F560" s="17" t="n">
        <v>0</v>
      </c>
      <c r="G560" s="17" t="n">
        <v>1</v>
      </c>
      <c r="H560" s="17" t="n">
        <v>0</v>
      </c>
      <c r="I560" s="17" t="n">
        <v>0</v>
      </c>
      <c r="J560" s="17" t="n">
        <v>0</v>
      </c>
      <c r="K560" s="17" t="n">
        <v>0</v>
      </c>
      <c r="L560" s="17" t="n">
        <v>0</v>
      </c>
      <c r="M560" s="17" t="n">
        <v>0</v>
      </c>
      <c r="N560" s="17" t="n">
        <v>0</v>
      </c>
      <c r="O560" s="26" t="n">
        <v>1</v>
      </c>
      <c r="P560" s="3" t="inlineStr">
        <is>
          <t>epoch_chip_quantity_latest</t>
        </is>
      </c>
      <c r="Q560" s="3" t="inlineStr">
        <is>
          <t>SRC_EPOCH_AI_DATA_CENTERS; EPOCH_RAW_CHIP_QUANTITIES</t>
        </is>
      </c>
      <c r="R560" s="3" t="inlineStr">
        <is>
          <t>Latest chip quantity per chip type through year-end; normalized by unit count into benchmark buckets.</t>
        </is>
      </c>
    </row>
    <row r="561">
      <c r="A561" s="3" t="inlineStr">
        <is>
          <t>Base|Meta Sarpy|2028</t>
        </is>
      </c>
      <c r="B561" s="3" t="inlineStr">
        <is>
          <t>Base</t>
        </is>
      </c>
      <c r="C561" s="3" t="inlineStr">
        <is>
          <t>Meta Sarpy</t>
        </is>
      </c>
      <c r="D561" s="3" t="n">
        <v>2028</v>
      </c>
      <c r="E561" s="3" t="inlineStr">
        <is>
          <t>Meta</t>
        </is>
      </c>
      <c r="F561" s="17" t="n">
        <v>0</v>
      </c>
      <c r="G561" s="17" t="n">
        <v>1</v>
      </c>
      <c r="H561" s="17" t="n">
        <v>0</v>
      </c>
      <c r="I561" s="17" t="n">
        <v>0</v>
      </c>
      <c r="J561" s="17" t="n">
        <v>0</v>
      </c>
      <c r="K561" s="17" t="n">
        <v>0</v>
      </c>
      <c r="L561" s="17" t="n">
        <v>0</v>
      </c>
      <c r="M561" s="17" t="n">
        <v>0</v>
      </c>
      <c r="N561" s="17" t="n">
        <v>0</v>
      </c>
      <c r="O561" s="26" t="n">
        <v>1</v>
      </c>
      <c r="P561" s="3" t="inlineStr">
        <is>
          <t>epoch_chip_quantity_latest</t>
        </is>
      </c>
      <c r="Q561" s="3" t="inlineStr">
        <is>
          <t>SRC_EPOCH_AI_DATA_CENTERS; EPOCH_RAW_CHIP_QUANTITIES</t>
        </is>
      </c>
      <c r="R561" s="3" t="inlineStr">
        <is>
          <t>Latest chip quantity per chip type through year-end; normalized by unit count into benchmark buckets.</t>
        </is>
      </c>
    </row>
    <row r="562">
      <c r="A562" s="3" t="inlineStr">
        <is>
          <t>Base|Meta Sarpy|2029</t>
        </is>
      </c>
      <c r="B562" s="3" t="inlineStr">
        <is>
          <t>Base</t>
        </is>
      </c>
      <c r="C562" s="3" t="inlineStr">
        <is>
          <t>Meta Sarpy</t>
        </is>
      </c>
      <c r="D562" s="3" t="n">
        <v>2029</v>
      </c>
      <c r="E562" s="3" t="inlineStr">
        <is>
          <t>Meta</t>
        </is>
      </c>
      <c r="F562" s="17" t="n">
        <v>0</v>
      </c>
      <c r="G562" s="17" t="n">
        <v>1</v>
      </c>
      <c r="H562" s="17" t="n">
        <v>0</v>
      </c>
      <c r="I562" s="17" t="n">
        <v>0</v>
      </c>
      <c r="J562" s="17" t="n">
        <v>0</v>
      </c>
      <c r="K562" s="17" t="n">
        <v>0</v>
      </c>
      <c r="L562" s="17" t="n">
        <v>0</v>
      </c>
      <c r="M562" s="17" t="n">
        <v>0</v>
      </c>
      <c r="N562" s="17" t="n">
        <v>0</v>
      </c>
      <c r="O562" s="26" t="n">
        <v>1</v>
      </c>
      <c r="P562" s="3" t="inlineStr">
        <is>
          <t>epoch_chip_quantity_latest</t>
        </is>
      </c>
      <c r="Q562" s="3" t="inlineStr">
        <is>
          <t>SRC_EPOCH_AI_DATA_CENTERS; EPOCH_RAW_CHIP_QUANTITIES</t>
        </is>
      </c>
      <c r="R562" s="3" t="inlineStr">
        <is>
          <t>Latest chip quantity per chip type through year-end; normalized by unit count into benchmark buckets.</t>
        </is>
      </c>
    </row>
    <row r="563">
      <c r="A563" s="3" t="inlineStr">
        <is>
          <t>Base|Meta Sarpy|2030</t>
        </is>
      </c>
      <c r="B563" s="3" t="inlineStr">
        <is>
          <t>Base</t>
        </is>
      </c>
      <c r="C563" s="3" t="inlineStr">
        <is>
          <t>Meta Sarpy</t>
        </is>
      </c>
      <c r="D563" s="3" t="n">
        <v>2030</v>
      </c>
      <c r="E563" s="3" t="inlineStr">
        <is>
          <t>Meta</t>
        </is>
      </c>
      <c r="F563" s="17" t="n">
        <v>0</v>
      </c>
      <c r="G563" s="17" t="n">
        <v>1</v>
      </c>
      <c r="H563" s="17" t="n">
        <v>0</v>
      </c>
      <c r="I563" s="17" t="n">
        <v>0</v>
      </c>
      <c r="J563" s="17" t="n">
        <v>0</v>
      </c>
      <c r="K563" s="17" t="n">
        <v>0</v>
      </c>
      <c r="L563" s="17" t="n">
        <v>0</v>
      </c>
      <c r="M563" s="17" t="n">
        <v>0</v>
      </c>
      <c r="N563" s="17" t="n">
        <v>0</v>
      </c>
      <c r="O563" s="26" t="n">
        <v>1</v>
      </c>
      <c r="P563" s="3" t="inlineStr">
        <is>
          <t>epoch_chip_quantity_latest</t>
        </is>
      </c>
      <c r="Q563" s="3" t="inlineStr">
        <is>
          <t>SRC_EPOCH_AI_DATA_CENTERS; EPOCH_RAW_CHIP_QUANTITIES</t>
        </is>
      </c>
      <c r="R563" s="3" t="inlineStr">
        <is>
          <t>Latest chip quantity per chip type through year-end; normalized by unit count into benchmark buckets.</t>
        </is>
      </c>
    </row>
    <row r="564">
      <c r="A564" s="3" t="inlineStr">
        <is>
          <t>Bull|Meta Sarpy|2026</t>
        </is>
      </c>
      <c r="B564" s="3" t="inlineStr">
        <is>
          <t>Bull</t>
        </is>
      </c>
      <c r="C564" s="3" t="inlineStr">
        <is>
          <t>Meta Sarpy</t>
        </is>
      </c>
      <c r="D564" s="3" t="n">
        <v>2026</v>
      </c>
      <c r="E564" s="3" t="inlineStr">
        <is>
          <t>Meta</t>
        </is>
      </c>
      <c r="F564" s="17" t="n">
        <v>0</v>
      </c>
      <c r="G564" s="17" t="n">
        <v>1</v>
      </c>
      <c r="H564" s="17" t="n">
        <v>0</v>
      </c>
      <c r="I564" s="17" t="n">
        <v>0</v>
      </c>
      <c r="J564" s="17" t="n">
        <v>0</v>
      </c>
      <c r="K564" s="17" t="n">
        <v>0</v>
      </c>
      <c r="L564" s="17" t="n">
        <v>0</v>
      </c>
      <c r="M564" s="17" t="n">
        <v>0</v>
      </c>
      <c r="N564" s="17" t="n">
        <v>0</v>
      </c>
      <c r="O564" s="26" t="n">
        <v>1</v>
      </c>
      <c r="P564" s="3" t="inlineStr">
        <is>
          <t>epoch_chip_quantity_latest</t>
        </is>
      </c>
      <c r="Q564" s="3" t="inlineStr">
        <is>
          <t>SRC_EPOCH_AI_DATA_CENTERS; EPOCH_RAW_CHIP_QUANTITIES</t>
        </is>
      </c>
      <c r="R564" s="3" t="inlineStr">
        <is>
          <t>Latest chip quantity per chip type through year-end; normalized by unit count into benchmark buckets.</t>
        </is>
      </c>
    </row>
    <row r="565">
      <c r="A565" s="3" t="inlineStr">
        <is>
          <t>Bull|Meta Sarpy|2027</t>
        </is>
      </c>
      <c r="B565" s="3" t="inlineStr">
        <is>
          <t>Bull</t>
        </is>
      </c>
      <c r="C565" s="3" t="inlineStr">
        <is>
          <t>Meta Sarpy</t>
        </is>
      </c>
      <c r="D565" s="3" t="n">
        <v>2027</v>
      </c>
      <c r="E565" s="3" t="inlineStr">
        <is>
          <t>Meta</t>
        </is>
      </c>
      <c r="F565" s="17" t="n">
        <v>0</v>
      </c>
      <c r="G565" s="17" t="n">
        <v>1</v>
      </c>
      <c r="H565" s="17" t="n">
        <v>0</v>
      </c>
      <c r="I565" s="17" t="n">
        <v>0</v>
      </c>
      <c r="J565" s="17" t="n">
        <v>0</v>
      </c>
      <c r="K565" s="17" t="n">
        <v>0</v>
      </c>
      <c r="L565" s="17" t="n">
        <v>0</v>
      </c>
      <c r="M565" s="17" t="n">
        <v>0</v>
      </c>
      <c r="N565" s="17" t="n">
        <v>0</v>
      </c>
      <c r="O565" s="26" t="n">
        <v>1</v>
      </c>
      <c r="P565" s="3" t="inlineStr">
        <is>
          <t>epoch_chip_quantity_latest</t>
        </is>
      </c>
      <c r="Q565" s="3" t="inlineStr">
        <is>
          <t>SRC_EPOCH_AI_DATA_CENTERS; EPOCH_RAW_CHIP_QUANTITIES</t>
        </is>
      </c>
      <c r="R565" s="3" t="inlineStr">
        <is>
          <t>Latest chip quantity per chip type through year-end; normalized by unit count into benchmark buckets.</t>
        </is>
      </c>
    </row>
    <row r="566">
      <c r="A566" s="3" t="inlineStr">
        <is>
          <t>Bull|Meta Sarpy|2028</t>
        </is>
      </c>
      <c r="B566" s="3" t="inlineStr">
        <is>
          <t>Bull</t>
        </is>
      </c>
      <c r="C566" s="3" t="inlineStr">
        <is>
          <t>Meta Sarpy</t>
        </is>
      </c>
      <c r="D566" s="3" t="n">
        <v>2028</v>
      </c>
      <c r="E566" s="3" t="inlineStr">
        <is>
          <t>Meta</t>
        </is>
      </c>
      <c r="F566" s="17" t="n">
        <v>0</v>
      </c>
      <c r="G566" s="17" t="n">
        <v>1</v>
      </c>
      <c r="H566" s="17" t="n">
        <v>0</v>
      </c>
      <c r="I566" s="17" t="n">
        <v>0</v>
      </c>
      <c r="J566" s="17" t="n">
        <v>0</v>
      </c>
      <c r="K566" s="17" t="n">
        <v>0</v>
      </c>
      <c r="L566" s="17" t="n">
        <v>0</v>
      </c>
      <c r="M566" s="17" t="n">
        <v>0</v>
      </c>
      <c r="N566" s="17" t="n">
        <v>0</v>
      </c>
      <c r="O566" s="26" t="n">
        <v>1</v>
      </c>
      <c r="P566" s="3" t="inlineStr">
        <is>
          <t>epoch_chip_quantity_latest</t>
        </is>
      </c>
      <c r="Q566" s="3" t="inlineStr">
        <is>
          <t>SRC_EPOCH_AI_DATA_CENTERS; EPOCH_RAW_CHIP_QUANTITIES</t>
        </is>
      </c>
      <c r="R566" s="3" t="inlineStr">
        <is>
          <t>Latest chip quantity per chip type through year-end; normalized by unit count into benchmark buckets.</t>
        </is>
      </c>
    </row>
    <row r="567">
      <c r="A567" s="3" t="inlineStr">
        <is>
          <t>Bull|Meta Sarpy|2029</t>
        </is>
      </c>
      <c r="B567" s="3" t="inlineStr">
        <is>
          <t>Bull</t>
        </is>
      </c>
      <c r="C567" s="3" t="inlineStr">
        <is>
          <t>Meta Sarpy</t>
        </is>
      </c>
      <c r="D567" s="3" t="n">
        <v>2029</v>
      </c>
      <c r="E567" s="3" t="inlineStr">
        <is>
          <t>Meta</t>
        </is>
      </c>
      <c r="F567" s="17" t="n">
        <v>0</v>
      </c>
      <c r="G567" s="17" t="n">
        <v>1</v>
      </c>
      <c r="H567" s="17" t="n">
        <v>0</v>
      </c>
      <c r="I567" s="17" t="n">
        <v>0</v>
      </c>
      <c r="J567" s="17" t="n">
        <v>0</v>
      </c>
      <c r="K567" s="17" t="n">
        <v>0</v>
      </c>
      <c r="L567" s="17" t="n">
        <v>0</v>
      </c>
      <c r="M567" s="17" t="n">
        <v>0</v>
      </c>
      <c r="N567" s="17" t="n">
        <v>0</v>
      </c>
      <c r="O567" s="26" t="n">
        <v>1</v>
      </c>
      <c r="P567" s="3" t="inlineStr">
        <is>
          <t>epoch_chip_quantity_latest</t>
        </is>
      </c>
      <c r="Q567" s="3" t="inlineStr">
        <is>
          <t>SRC_EPOCH_AI_DATA_CENTERS; EPOCH_RAW_CHIP_QUANTITIES</t>
        </is>
      </c>
      <c r="R567" s="3" t="inlineStr">
        <is>
          <t>Latest chip quantity per chip type through year-end; normalized by unit count into benchmark buckets.</t>
        </is>
      </c>
    </row>
    <row r="568">
      <c r="A568" s="3" t="inlineStr">
        <is>
          <t>Bull|Meta Sarpy|2030</t>
        </is>
      </c>
      <c r="B568" s="3" t="inlineStr">
        <is>
          <t>Bull</t>
        </is>
      </c>
      <c r="C568" s="3" t="inlineStr">
        <is>
          <t>Meta Sarpy</t>
        </is>
      </c>
      <c r="D568" s="3" t="n">
        <v>2030</v>
      </c>
      <c r="E568" s="3" t="inlineStr">
        <is>
          <t>Meta</t>
        </is>
      </c>
      <c r="F568" s="17" t="n">
        <v>0</v>
      </c>
      <c r="G568" s="17" t="n">
        <v>1</v>
      </c>
      <c r="H568" s="17" t="n">
        <v>0</v>
      </c>
      <c r="I568" s="17" t="n">
        <v>0</v>
      </c>
      <c r="J568" s="17" t="n">
        <v>0</v>
      </c>
      <c r="K568" s="17" t="n">
        <v>0</v>
      </c>
      <c r="L568" s="17" t="n">
        <v>0</v>
      </c>
      <c r="M568" s="17" t="n">
        <v>0</v>
      </c>
      <c r="N568" s="17" t="n">
        <v>0</v>
      </c>
      <c r="O568" s="26" t="n">
        <v>1</v>
      </c>
      <c r="P568" s="3" t="inlineStr">
        <is>
          <t>epoch_chip_quantity_latest</t>
        </is>
      </c>
      <c r="Q568" s="3" t="inlineStr">
        <is>
          <t>SRC_EPOCH_AI_DATA_CENTERS; EPOCH_RAW_CHIP_QUANTITIES</t>
        </is>
      </c>
      <c r="R568" s="3" t="inlineStr">
        <is>
          <t>Latest chip quantity per chip type through year-end; normalized by unit count into benchmark buckets.</t>
        </is>
      </c>
    </row>
    <row r="569">
      <c r="A569" s="3" t="inlineStr">
        <is>
          <t>Grid-Constrained / Efficiency-Upside|Meta Sarpy|2026</t>
        </is>
      </c>
      <c r="B569" s="3" t="inlineStr">
        <is>
          <t>Grid-Constrained / Efficiency-Upside</t>
        </is>
      </c>
      <c r="C569" s="3" t="inlineStr">
        <is>
          <t>Meta Sarpy</t>
        </is>
      </c>
      <c r="D569" s="3" t="n">
        <v>2026</v>
      </c>
      <c r="E569" s="3" t="inlineStr">
        <is>
          <t>Meta</t>
        </is>
      </c>
      <c r="F569" s="17" t="n">
        <v>0</v>
      </c>
      <c r="G569" s="17" t="n">
        <v>1</v>
      </c>
      <c r="H569" s="17" t="n">
        <v>0</v>
      </c>
      <c r="I569" s="17" t="n">
        <v>0</v>
      </c>
      <c r="J569" s="17" t="n">
        <v>0</v>
      </c>
      <c r="K569" s="17" t="n">
        <v>0</v>
      </c>
      <c r="L569" s="17" t="n">
        <v>0</v>
      </c>
      <c r="M569" s="17" t="n">
        <v>0</v>
      </c>
      <c r="N569" s="17" t="n">
        <v>0</v>
      </c>
      <c r="O569" s="26" t="n">
        <v>1</v>
      </c>
      <c r="P569" s="3" t="inlineStr">
        <is>
          <t>epoch_chip_quantity_latest</t>
        </is>
      </c>
      <c r="Q569" s="3" t="inlineStr">
        <is>
          <t>SRC_EPOCH_AI_DATA_CENTERS; EPOCH_RAW_CHIP_QUANTITIES</t>
        </is>
      </c>
      <c r="R569" s="3" t="inlineStr">
        <is>
          <t>Latest chip quantity per chip type through year-end; normalized by unit count into benchmark buckets.</t>
        </is>
      </c>
    </row>
    <row r="570">
      <c r="A570" s="3" t="inlineStr">
        <is>
          <t>Grid-Constrained / Efficiency-Upside|Meta Sarpy|2027</t>
        </is>
      </c>
      <c r="B570" s="3" t="inlineStr">
        <is>
          <t>Grid-Constrained / Efficiency-Upside</t>
        </is>
      </c>
      <c r="C570" s="3" t="inlineStr">
        <is>
          <t>Meta Sarpy</t>
        </is>
      </c>
      <c r="D570" s="3" t="n">
        <v>2027</v>
      </c>
      <c r="E570" s="3" t="inlineStr">
        <is>
          <t>Meta</t>
        </is>
      </c>
      <c r="F570" s="17" t="n">
        <v>0</v>
      </c>
      <c r="G570" s="17" t="n">
        <v>1</v>
      </c>
      <c r="H570" s="17" t="n">
        <v>0</v>
      </c>
      <c r="I570" s="17" t="n">
        <v>0</v>
      </c>
      <c r="J570" s="17" t="n">
        <v>0</v>
      </c>
      <c r="K570" s="17" t="n">
        <v>0</v>
      </c>
      <c r="L570" s="17" t="n">
        <v>0</v>
      </c>
      <c r="M570" s="17" t="n">
        <v>0</v>
      </c>
      <c r="N570" s="17" t="n">
        <v>0</v>
      </c>
      <c r="O570" s="26" t="n">
        <v>1</v>
      </c>
      <c r="P570" s="3" t="inlineStr">
        <is>
          <t>epoch_chip_quantity_latest</t>
        </is>
      </c>
      <c r="Q570" s="3" t="inlineStr">
        <is>
          <t>SRC_EPOCH_AI_DATA_CENTERS; EPOCH_RAW_CHIP_QUANTITIES</t>
        </is>
      </c>
      <c r="R570" s="3" t="inlineStr">
        <is>
          <t>Latest chip quantity per chip type through year-end; normalized by unit count into benchmark buckets.</t>
        </is>
      </c>
    </row>
    <row r="571">
      <c r="A571" s="3" t="inlineStr">
        <is>
          <t>Grid-Constrained / Efficiency-Upside|Meta Sarpy|2028</t>
        </is>
      </c>
      <c r="B571" s="3" t="inlineStr">
        <is>
          <t>Grid-Constrained / Efficiency-Upside</t>
        </is>
      </c>
      <c r="C571" s="3" t="inlineStr">
        <is>
          <t>Meta Sarpy</t>
        </is>
      </c>
      <c r="D571" s="3" t="n">
        <v>2028</v>
      </c>
      <c r="E571" s="3" t="inlineStr">
        <is>
          <t>Meta</t>
        </is>
      </c>
      <c r="F571" s="17" t="n">
        <v>0</v>
      </c>
      <c r="G571" s="17" t="n">
        <v>1</v>
      </c>
      <c r="H571" s="17" t="n">
        <v>0</v>
      </c>
      <c r="I571" s="17" t="n">
        <v>0</v>
      </c>
      <c r="J571" s="17" t="n">
        <v>0</v>
      </c>
      <c r="K571" s="17" t="n">
        <v>0</v>
      </c>
      <c r="L571" s="17" t="n">
        <v>0</v>
      </c>
      <c r="M571" s="17" t="n">
        <v>0</v>
      </c>
      <c r="N571" s="17" t="n">
        <v>0</v>
      </c>
      <c r="O571" s="26" t="n">
        <v>1</v>
      </c>
      <c r="P571" s="3" t="inlineStr">
        <is>
          <t>epoch_chip_quantity_latest</t>
        </is>
      </c>
      <c r="Q571" s="3" t="inlineStr">
        <is>
          <t>SRC_EPOCH_AI_DATA_CENTERS; EPOCH_RAW_CHIP_QUANTITIES</t>
        </is>
      </c>
      <c r="R571" s="3" t="inlineStr">
        <is>
          <t>Latest chip quantity per chip type through year-end; normalized by unit count into benchmark buckets.</t>
        </is>
      </c>
    </row>
    <row r="572">
      <c r="A572" s="3" t="inlineStr">
        <is>
          <t>Grid-Constrained / Efficiency-Upside|Meta Sarpy|2029</t>
        </is>
      </c>
      <c r="B572" s="3" t="inlineStr">
        <is>
          <t>Grid-Constrained / Efficiency-Upside</t>
        </is>
      </c>
      <c r="C572" s="3" t="inlineStr">
        <is>
          <t>Meta Sarpy</t>
        </is>
      </c>
      <c r="D572" s="3" t="n">
        <v>2029</v>
      </c>
      <c r="E572" s="3" t="inlineStr">
        <is>
          <t>Meta</t>
        </is>
      </c>
      <c r="F572" s="17" t="n">
        <v>0</v>
      </c>
      <c r="G572" s="17" t="n">
        <v>1</v>
      </c>
      <c r="H572" s="17" t="n">
        <v>0</v>
      </c>
      <c r="I572" s="17" t="n">
        <v>0</v>
      </c>
      <c r="J572" s="17" t="n">
        <v>0</v>
      </c>
      <c r="K572" s="17" t="n">
        <v>0</v>
      </c>
      <c r="L572" s="17" t="n">
        <v>0</v>
      </c>
      <c r="M572" s="17" t="n">
        <v>0</v>
      </c>
      <c r="N572" s="17" t="n">
        <v>0</v>
      </c>
      <c r="O572" s="26" t="n">
        <v>1</v>
      </c>
      <c r="P572" s="3" t="inlineStr">
        <is>
          <t>epoch_chip_quantity_latest</t>
        </is>
      </c>
      <c r="Q572" s="3" t="inlineStr">
        <is>
          <t>SRC_EPOCH_AI_DATA_CENTERS; EPOCH_RAW_CHIP_QUANTITIES</t>
        </is>
      </c>
      <c r="R572" s="3" t="inlineStr">
        <is>
          <t>Latest chip quantity per chip type through year-end; normalized by unit count into benchmark buckets.</t>
        </is>
      </c>
    </row>
    <row r="573">
      <c r="A573" s="3" t="inlineStr">
        <is>
          <t>Grid-Constrained / Efficiency-Upside|Meta Sarpy|2030</t>
        </is>
      </c>
      <c r="B573" s="3" t="inlineStr">
        <is>
          <t>Grid-Constrained / Efficiency-Upside</t>
        </is>
      </c>
      <c r="C573" s="3" t="inlineStr">
        <is>
          <t>Meta Sarpy</t>
        </is>
      </c>
      <c r="D573" s="3" t="n">
        <v>2030</v>
      </c>
      <c r="E573" s="3" t="inlineStr">
        <is>
          <t>Meta</t>
        </is>
      </c>
      <c r="F573" s="17" t="n">
        <v>0</v>
      </c>
      <c r="G573" s="17" t="n">
        <v>1</v>
      </c>
      <c r="H573" s="17" t="n">
        <v>0</v>
      </c>
      <c r="I573" s="17" t="n">
        <v>0</v>
      </c>
      <c r="J573" s="17" t="n">
        <v>0</v>
      </c>
      <c r="K573" s="17" t="n">
        <v>0</v>
      </c>
      <c r="L573" s="17" t="n">
        <v>0</v>
      </c>
      <c r="M573" s="17" t="n">
        <v>0</v>
      </c>
      <c r="N573" s="17" t="n">
        <v>0</v>
      </c>
      <c r="O573" s="26" t="n">
        <v>1</v>
      </c>
      <c r="P573" s="3" t="inlineStr">
        <is>
          <t>epoch_chip_quantity_latest</t>
        </is>
      </c>
      <c r="Q573" s="3" t="inlineStr">
        <is>
          <t>SRC_EPOCH_AI_DATA_CENTERS; EPOCH_RAW_CHIP_QUANTITIES</t>
        </is>
      </c>
      <c r="R573" s="3" t="inlineStr">
        <is>
          <t>Latest chip quantity per chip type through year-end; normalized by unit count into benchmark buckets.</t>
        </is>
      </c>
    </row>
    <row r="574">
      <c r="A574" s="3" t="inlineStr">
        <is>
          <t>Bear|Meta Temple|2026</t>
        </is>
      </c>
      <c r="B574" s="3" t="inlineStr">
        <is>
          <t>Bear</t>
        </is>
      </c>
      <c r="C574" s="3" t="inlineStr">
        <is>
          <t>Meta Temple</t>
        </is>
      </c>
      <c r="D574" s="3" t="n">
        <v>2026</v>
      </c>
      <c r="E574" s="3" t="inlineStr">
        <is>
          <t>Meta</t>
        </is>
      </c>
      <c r="F574" s="17" t="n">
        <v>0</v>
      </c>
      <c r="G574" s="17" t="n">
        <v>1</v>
      </c>
      <c r="H574" s="17" t="n">
        <v>0</v>
      </c>
      <c r="I574" s="17" t="n">
        <v>0</v>
      </c>
      <c r="J574" s="17" t="n">
        <v>0</v>
      </c>
      <c r="K574" s="17" t="n">
        <v>0</v>
      </c>
      <c r="L574" s="17" t="n">
        <v>0</v>
      </c>
      <c r="M574" s="17" t="n">
        <v>0</v>
      </c>
      <c r="N574" s="17" t="n">
        <v>0</v>
      </c>
      <c r="O574" s="26" t="n">
        <v>1</v>
      </c>
      <c r="P574" s="3" t="inlineStr">
        <is>
          <t>epoch_chip_quantity_latest</t>
        </is>
      </c>
      <c r="Q574" s="3" t="inlineStr">
        <is>
          <t>SRC_EPOCH_AI_DATA_CENTERS; EPOCH_RAW_CHIP_QUANTITIES</t>
        </is>
      </c>
      <c r="R574" s="3" t="inlineStr">
        <is>
          <t>Latest chip quantity per chip type through year-end; normalized by unit count into benchmark buckets.</t>
        </is>
      </c>
    </row>
    <row r="575">
      <c r="A575" s="3" t="inlineStr">
        <is>
          <t>Bear|Meta Temple|2027</t>
        </is>
      </c>
      <c r="B575" s="3" t="inlineStr">
        <is>
          <t>Bear</t>
        </is>
      </c>
      <c r="C575" s="3" t="inlineStr">
        <is>
          <t>Meta Temple</t>
        </is>
      </c>
      <c r="D575" s="3" t="n">
        <v>2027</v>
      </c>
      <c r="E575" s="3" t="inlineStr">
        <is>
          <t>Meta</t>
        </is>
      </c>
      <c r="F575" s="17" t="n">
        <v>0</v>
      </c>
      <c r="G575" s="17" t="n">
        <v>1</v>
      </c>
      <c r="H575" s="17" t="n">
        <v>0</v>
      </c>
      <c r="I575" s="17" t="n">
        <v>0</v>
      </c>
      <c r="J575" s="17" t="n">
        <v>0</v>
      </c>
      <c r="K575" s="17" t="n">
        <v>0</v>
      </c>
      <c r="L575" s="17" t="n">
        <v>0</v>
      </c>
      <c r="M575" s="17" t="n">
        <v>0</v>
      </c>
      <c r="N575" s="17" t="n">
        <v>0</v>
      </c>
      <c r="O575" s="26" t="n">
        <v>1</v>
      </c>
      <c r="P575" s="3" t="inlineStr">
        <is>
          <t>epoch_chip_quantity_latest</t>
        </is>
      </c>
      <c r="Q575" s="3" t="inlineStr">
        <is>
          <t>SRC_EPOCH_AI_DATA_CENTERS; EPOCH_RAW_CHIP_QUANTITIES</t>
        </is>
      </c>
      <c r="R575" s="3" t="inlineStr">
        <is>
          <t>Latest chip quantity per chip type through year-end; normalized by unit count into benchmark buckets.</t>
        </is>
      </c>
    </row>
    <row r="576">
      <c r="A576" s="3" t="inlineStr">
        <is>
          <t>Bear|Meta Temple|2028</t>
        </is>
      </c>
      <c r="B576" s="3" t="inlineStr">
        <is>
          <t>Bear</t>
        </is>
      </c>
      <c r="C576" s="3" t="inlineStr">
        <is>
          <t>Meta Temple</t>
        </is>
      </c>
      <c r="D576" s="3" t="n">
        <v>2028</v>
      </c>
      <c r="E576" s="3" t="inlineStr">
        <is>
          <t>Meta</t>
        </is>
      </c>
      <c r="F576" s="17" t="n">
        <v>0</v>
      </c>
      <c r="G576" s="17" t="n">
        <v>1</v>
      </c>
      <c r="H576" s="17" t="n">
        <v>0</v>
      </c>
      <c r="I576" s="17" t="n">
        <v>0</v>
      </c>
      <c r="J576" s="17" t="n">
        <v>0</v>
      </c>
      <c r="K576" s="17" t="n">
        <v>0</v>
      </c>
      <c r="L576" s="17" t="n">
        <v>0</v>
      </c>
      <c r="M576" s="17" t="n">
        <v>0</v>
      </c>
      <c r="N576" s="17" t="n">
        <v>0</v>
      </c>
      <c r="O576" s="26" t="n">
        <v>1</v>
      </c>
      <c r="P576" s="3" t="inlineStr">
        <is>
          <t>epoch_chip_quantity_latest</t>
        </is>
      </c>
      <c r="Q576" s="3" t="inlineStr">
        <is>
          <t>SRC_EPOCH_AI_DATA_CENTERS; EPOCH_RAW_CHIP_QUANTITIES</t>
        </is>
      </c>
      <c r="R576" s="3" t="inlineStr">
        <is>
          <t>Latest chip quantity per chip type through year-end; normalized by unit count into benchmark buckets.</t>
        </is>
      </c>
    </row>
    <row r="577">
      <c r="A577" s="3" t="inlineStr">
        <is>
          <t>Bear|Meta Temple|2029</t>
        </is>
      </c>
      <c r="B577" s="3" t="inlineStr">
        <is>
          <t>Bear</t>
        </is>
      </c>
      <c r="C577" s="3" t="inlineStr">
        <is>
          <t>Meta Temple</t>
        </is>
      </c>
      <c r="D577" s="3" t="n">
        <v>2029</v>
      </c>
      <c r="E577" s="3" t="inlineStr">
        <is>
          <t>Meta</t>
        </is>
      </c>
      <c r="F577" s="17" t="n">
        <v>0</v>
      </c>
      <c r="G577" s="17" t="n">
        <v>1</v>
      </c>
      <c r="H577" s="17" t="n">
        <v>0</v>
      </c>
      <c r="I577" s="17" t="n">
        <v>0</v>
      </c>
      <c r="J577" s="17" t="n">
        <v>0</v>
      </c>
      <c r="K577" s="17" t="n">
        <v>0</v>
      </c>
      <c r="L577" s="17" t="n">
        <v>0</v>
      </c>
      <c r="M577" s="17" t="n">
        <v>0</v>
      </c>
      <c r="N577" s="17" t="n">
        <v>0</v>
      </c>
      <c r="O577" s="26" t="n">
        <v>1</v>
      </c>
      <c r="P577" s="3" t="inlineStr">
        <is>
          <t>epoch_chip_quantity_latest</t>
        </is>
      </c>
      <c r="Q577" s="3" t="inlineStr">
        <is>
          <t>SRC_EPOCH_AI_DATA_CENTERS; EPOCH_RAW_CHIP_QUANTITIES</t>
        </is>
      </c>
      <c r="R577" s="3" t="inlineStr">
        <is>
          <t>Latest chip quantity per chip type through year-end; normalized by unit count into benchmark buckets.</t>
        </is>
      </c>
    </row>
    <row r="578">
      <c r="A578" s="3" t="inlineStr">
        <is>
          <t>Bear|Meta Temple|2030</t>
        </is>
      </c>
      <c r="B578" s="3" t="inlineStr">
        <is>
          <t>Bear</t>
        </is>
      </c>
      <c r="C578" s="3" t="inlineStr">
        <is>
          <t>Meta Temple</t>
        </is>
      </c>
      <c r="D578" s="3" t="n">
        <v>2030</v>
      </c>
      <c r="E578" s="3" t="inlineStr">
        <is>
          <t>Meta</t>
        </is>
      </c>
      <c r="F578" s="17" t="n">
        <v>0</v>
      </c>
      <c r="G578" s="17" t="n">
        <v>1</v>
      </c>
      <c r="H578" s="17" t="n">
        <v>0</v>
      </c>
      <c r="I578" s="17" t="n">
        <v>0</v>
      </c>
      <c r="J578" s="17" t="n">
        <v>0</v>
      </c>
      <c r="K578" s="17" t="n">
        <v>0</v>
      </c>
      <c r="L578" s="17" t="n">
        <v>0</v>
      </c>
      <c r="M578" s="17" t="n">
        <v>0</v>
      </c>
      <c r="N578" s="17" t="n">
        <v>0</v>
      </c>
      <c r="O578" s="26" t="n">
        <v>1</v>
      </c>
      <c r="P578" s="3" t="inlineStr">
        <is>
          <t>epoch_chip_quantity_latest</t>
        </is>
      </c>
      <c r="Q578" s="3" t="inlineStr">
        <is>
          <t>SRC_EPOCH_AI_DATA_CENTERS; EPOCH_RAW_CHIP_QUANTITIES</t>
        </is>
      </c>
      <c r="R578" s="3" t="inlineStr">
        <is>
          <t>Latest chip quantity per chip type through year-end; normalized by unit count into benchmark buckets.</t>
        </is>
      </c>
    </row>
    <row r="579">
      <c r="A579" s="3" t="inlineStr">
        <is>
          <t>Base|Meta Temple|2026</t>
        </is>
      </c>
      <c r="B579" s="3" t="inlineStr">
        <is>
          <t>Base</t>
        </is>
      </c>
      <c r="C579" s="3" t="inlineStr">
        <is>
          <t>Meta Temple</t>
        </is>
      </c>
      <c r="D579" s="3" t="n">
        <v>2026</v>
      </c>
      <c r="E579" s="3" t="inlineStr">
        <is>
          <t>Meta</t>
        </is>
      </c>
      <c r="F579" s="17" t="n">
        <v>0</v>
      </c>
      <c r="G579" s="17" t="n">
        <v>1</v>
      </c>
      <c r="H579" s="17" t="n">
        <v>0</v>
      </c>
      <c r="I579" s="17" t="n">
        <v>0</v>
      </c>
      <c r="J579" s="17" t="n">
        <v>0</v>
      </c>
      <c r="K579" s="17" t="n">
        <v>0</v>
      </c>
      <c r="L579" s="17" t="n">
        <v>0</v>
      </c>
      <c r="M579" s="17" t="n">
        <v>0</v>
      </c>
      <c r="N579" s="17" t="n">
        <v>0</v>
      </c>
      <c r="O579" s="26" t="n">
        <v>1</v>
      </c>
      <c r="P579" s="3" t="inlineStr">
        <is>
          <t>epoch_chip_quantity_latest</t>
        </is>
      </c>
      <c r="Q579" s="3" t="inlineStr">
        <is>
          <t>SRC_EPOCH_AI_DATA_CENTERS; EPOCH_RAW_CHIP_QUANTITIES</t>
        </is>
      </c>
      <c r="R579" s="3" t="inlineStr">
        <is>
          <t>Latest chip quantity per chip type through year-end; normalized by unit count into benchmark buckets.</t>
        </is>
      </c>
    </row>
    <row r="580">
      <c r="A580" s="3" t="inlineStr">
        <is>
          <t>Base|Meta Temple|2027</t>
        </is>
      </c>
      <c r="B580" s="3" t="inlineStr">
        <is>
          <t>Base</t>
        </is>
      </c>
      <c r="C580" s="3" t="inlineStr">
        <is>
          <t>Meta Temple</t>
        </is>
      </c>
      <c r="D580" s="3" t="n">
        <v>2027</v>
      </c>
      <c r="E580" s="3" t="inlineStr">
        <is>
          <t>Meta</t>
        </is>
      </c>
      <c r="F580" s="17" t="n">
        <v>0</v>
      </c>
      <c r="G580" s="17" t="n">
        <v>1</v>
      </c>
      <c r="H580" s="17" t="n">
        <v>0</v>
      </c>
      <c r="I580" s="17" t="n">
        <v>0</v>
      </c>
      <c r="J580" s="17" t="n">
        <v>0</v>
      </c>
      <c r="K580" s="17" t="n">
        <v>0</v>
      </c>
      <c r="L580" s="17" t="n">
        <v>0</v>
      </c>
      <c r="M580" s="17" t="n">
        <v>0</v>
      </c>
      <c r="N580" s="17" t="n">
        <v>0</v>
      </c>
      <c r="O580" s="26" t="n">
        <v>1</v>
      </c>
      <c r="P580" s="3" t="inlineStr">
        <is>
          <t>epoch_chip_quantity_latest</t>
        </is>
      </c>
      <c r="Q580" s="3" t="inlineStr">
        <is>
          <t>SRC_EPOCH_AI_DATA_CENTERS; EPOCH_RAW_CHIP_QUANTITIES</t>
        </is>
      </c>
      <c r="R580" s="3" t="inlineStr">
        <is>
          <t>Latest chip quantity per chip type through year-end; normalized by unit count into benchmark buckets.</t>
        </is>
      </c>
    </row>
    <row r="581">
      <c r="A581" s="3" t="inlineStr">
        <is>
          <t>Base|Meta Temple|2028</t>
        </is>
      </c>
      <c r="B581" s="3" t="inlineStr">
        <is>
          <t>Base</t>
        </is>
      </c>
      <c r="C581" s="3" t="inlineStr">
        <is>
          <t>Meta Temple</t>
        </is>
      </c>
      <c r="D581" s="3" t="n">
        <v>2028</v>
      </c>
      <c r="E581" s="3" t="inlineStr">
        <is>
          <t>Meta</t>
        </is>
      </c>
      <c r="F581" s="17" t="n">
        <v>0</v>
      </c>
      <c r="G581" s="17" t="n">
        <v>1</v>
      </c>
      <c r="H581" s="17" t="n">
        <v>0</v>
      </c>
      <c r="I581" s="17" t="n">
        <v>0</v>
      </c>
      <c r="J581" s="17" t="n">
        <v>0</v>
      </c>
      <c r="K581" s="17" t="n">
        <v>0</v>
      </c>
      <c r="L581" s="17" t="n">
        <v>0</v>
      </c>
      <c r="M581" s="17" t="n">
        <v>0</v>
      </c>
      <c r="N581" s="17" t="n">
        <v>0</v>
      </c>
      <c r="O581" s="26" t="n">
        <v>1</v>
      </c>
      <c r="P581" s="3" t="inlineStr">
        <is>
          <t>epoch_chip_quantity_latest</t>
        </is>
      </c>
      <c r="Q581" s="3" t="inlineStr">
        <is>
          <t>SRC_EPOCH_AI_DATA_CENTERS; EPOCH_RAW_CHIP_QUANTITIES</t>
        </is>
      </c>
      <c r="R581" s="3" t="inlineStr">
        <is>
          <t>Latest chip quantity per chip type through year-end; normalized by unit count into benchmark buckets.</t>
        </is>
      </c>
    </row>
    <row r="582">
      <c r="A582" s="3" t="inlineStr">
        <is>
          <t>Base|Meta Temple|2029</t>
        </is>
      </c>
      <c r="B582" s="3" t="inlineStr">
        <is>
          <t>Base</t>
        </is>
      </c>
      <c r="C582" s="3" t="inlineStr">
        <is>
          <t>Meta Temple</t>
        </is>
      </c>
      <c r="D582" s="3" t="n">
        <v>2029</v>
      </c>
      <c r="E582" s="3" t="inlineStr">
        <is>
          <t>Meta</t>
        </is>
      </c>
      <c r="F582" s="17" t="n">
        <v>0</v>
      </c>
      <c r="G582" s="17" t="n">
        <v>1</v>
      </c>
      <c r="H582" s="17" t="n">
        <v>0</v>
      </c>
      <c r="I582" s="17" t="n">
        <v>0</v>
      </c>
      <c r="J582" s="17" t="n">
        <v>0</v>
      </c>
      <c r="K582" s="17" t="n">
        <v>0</v>
      </c>
      <c r="L582" s="17" t="n">
        <v>0</v>
      </c>
      <c r="M582" s="17" t="n">
        <v>0</v>
      </c>
      <c r="N582" s="17" t="n">
        <v>0</v>
      </c>
      <c r="O582" s="26" t="n">
        <v>1</v>
      </c>
      <c r="P582" s="3" t="inlineStr">
        <is>
          <t>epoch_chip_quantity_latest</t>
        </is>
      </c>
      <c r="Q582" s="3" t="inlineStr">
        <is>
          <t>SRC_EPOCH_AI_DATA_CENTERS; EPOCH_RAW_CHIP_QUANTITIES</t>
        </is>
      </c>
      <c r="R582" s="3" t="inlineStr">
        <is>
          <t>Latest chip quantity per chip type through year-end; normalized by unit count into benchmark buckets.</t>
        </is>
      </c>
    </row>
    <row r="583">
      <c r="A583" s="3" t="inlineStr">
        <is>
          <t>Base|Meta Temple|2030</t>
        </is>
      </c>
      <c r="B583" s="3" t="inlineStr">
        <is>
          <t>Base</t>
        </is>
      </c>
      <c r="C583" s="3" t="inlineStr">
        <is>
          <t>Meta Temple</t>
        </is>
      </c>
      <c r="D583" s="3" t="n">
        <v>2030</v>
      </c>
      <c r="E583" s="3" t="inlineStr">
        <is>
          <t>Meta</t>
        </is>
      </c>
      <c r="F583" s="17" t="n">
        <v>0</v>
      </c>
      <c r="G583" s="17" t="n">
        <v>1</v>
      </c>
      <c r="H583" s="17" t="n">
        <v>0</v>
      </c>
      <c r="I583" s="17" t="n">
        <v>0</v>
      </c>
      <c r="J583" s="17" t="n">
        <v>0</v>
      </c>
      <c r="K583" s="17" t="n">
        <v>0</v>
      </c>
      <c r="L583" s="17" t="n">
        <v>0</v>
      </c>
      <c r="M583" s="17" t="n">
        <v>0</v>
      </c>
      <c r="N583" s="17" t="n">
        <v>0</v>
      </c>
      <c r="O583" s="26" t="n">
        <v>1</v>
      </c>
      <c r="P583" s="3" t="inlineStr">
        <is>
          <t>epoch_chip_quantity_latest</t>
        </is>
      </c>
      <c r="Q583" s="3" t="inlineStr">
        <is>
          <t>SRC_EPOCH_AI_DATA_CENTERS; EPOCH_RAW_CHIP_QUANTITIES</t>
        </is>
      </c>
      <c r="R583" s="3" t="inlineStr">
        <is>
          <t>Latest chip quantity per chip type through year-end; normalized by unit count into benchmark buckets.</t>
        </is>
      </c>
    </row>
    <row r="584">
      <c r="A584" s="3" t="inlineStr">
        <is>
          <t>Bull|Meta Temple|2026</t>
        </is>
      </c>
      <c r="B584" s="3" t="inlineStr">
        <is>
          <t>Bull</t>
        </is>
      </c>
      <c r="C584" s="3" t="inlineStr">
        <is>
          <t>Meta Temple</t>
        </is>
      </c>
      <c r="D584" s="3" t="n">
        <v>2026</v>
      </c>
      <c r="E584" s="3" t="inlineStr">
        <is>
          <t>Meta</t>
        </is>
      </c>
      <c r="F584" s="17" t="n">
        <v>0</v>
      </c>
      <c r="G584" s="17" t="n">
        <v>1</v>
      </c>
      <c r="H584" s="17" t="n">
        <v>0</v>
      </c>
      <c r="I584" s="17" t="n">
        <v>0</v>
      </c>
      <c r="J584" s="17" t="n">
        <v>0</v>
      </c>
      <c r="K584" s="17" t="n">
        <v>0</v>
      </c>
      <c r="L584" s="17" t="n">
        <v>0</v>
      </c>
      <c r="M584" s="17" t="n">
        <v>0</v>
      </c>
      <c r="N584" s="17" t="n">
        <v>0</v>
      </c>
      <c r="O584" s="26" t="n">
        <v>1</v>
      </c>
      <c r="P584" s="3" t="inlineStr">
        <is>
          <t>epoch_chip_quantity_latest</t>
        </is>
      </c>
      <c r="Q584" s="3" t="inlineStr">
        <is>
          <t>SRC_EPOCH_AI_DATA_CENTERS; EPOCH_RAW_CHIP_QUANTITIES</t>
        </is>
      </c>
      <c r="R584" s="3" t="inlineStr">
        <is>
          <t>Latest chip quantity per chip type through year-end; normalized by unit count into benchmark buckets.</t>
        </is>
      </c>
    </row>
    <row r="585">
      <c r="A585" s="3" t="inlineStr">
        <is>
          <t>Bull|Meta Temple|2027</t>
        </is>
      </c>
      <c r="B585" s="3" t="inlineStr">
        <is>
          <t>Bull</t>
        </is>
      </c>
      <c r="C585" s="3" t="inlineStr">
        <is>
          <t>Meta Temple</t>
        </is>
      </c>
      <c r="D585" s="3" t="n">
        <v>2027</v>
      </c>
      <c r="E585" s="3" t="inlineStr">
        <is>
          <t>Meta</t>
        </is>
      </c>
      <c r="F585" s="17" t="n">
        <v>0</v>
      </c>
      <c r="G585" s="17" t="n">
        <v>1</v>
      </c>
      <c r="H585" s="17" t="n">
        <v>0</v>
      </c>
      <c r="I585" s="17" t="n">
        <v>0</v>
      </c>
      <c r="J585" s="17" t="n">
        <v>0</v>
      </c>
      <c r="K585" s="17" t="n">
        <v>0</v>
      </c>
      <c r="L585" s="17" t="n">
        <v>0</v>
      </c>
      <c r="M585" s="17" t="n">
        <v>0</v>
      </c>
      <c r="N585" s="17" t="n">
        <v>0</v>
      </c>
      <c r="O585" s="26" t="n">
        <v>1</v>
      </c>
      <c r="P585" s="3" t="inlineStr">
        <is>
          <t>epoch_chip_quantity_latest</t>
        </is>
      </c>
      <c r="Q585" s="3" t="inlineStr">
        <is>
          <t>SRC_EPOCH_AI_DATA_CENTERS; EPOCH_RAW_CHIP_QUANTITIES</t>
        </is>
      </c>
      <c r="R585" s="3" t="inlineStr">
        <is>
          <t>Latest chip quantity per chip type through year-end; normalized by unit count into benchmark buckets.</t>
        </is>
      </c>
    </row>
    <row r="586">
      <c r="A586" s="3" t="inlineStr">
        <is>
          <t>Bull|Meta Temple|2028</t>
        </is>
      </c>
      <c r="B586" s="3" t="inlineStr">
        <is>
          <t>Bull</t>
        </is>
      </c>
      <c r="C586" s="3" t="inlineStr">
        <is>
          <t>Meta Temple</t>
        </is>
      </c>
      <c r="D586" s="3" t="n">
        <v>2028</v>
      </c>
      <c r="E586" s="3" t="inlineStr">
        <is>
          <t>Meta</t>
        </is>
      </c>
      <c r="F586" s="17" t="n">
        <v>0</v>
      </c>
      <c r="G586" s="17" t="n">
        <v>1</v>
      </c>
      <c r="H586" s="17" t="n">
        <v>0</v>
      </c>
      <c r="I586" s="17" t="n">
        <v>0</v>
      </c>
      <c r="J586" s="17" t="n">
        <v>0</v>
      </c>
      <c r="K586" s="17" t="n">
        <v>0</v>
      </c>
      <c r="L586" s="17" t="n">
        <v>0</v>
      </c>
      <c r="M586" s="17" t="n">
        <v>0</v>
      </c>
      <c r="N586" s="17" t="n">
        <v>0</v>
      </c>
      <c r="O586" s="26" t="n">
        <v>1</v>
      </c>
      <c r="P586" s="3" t="inlineStr">
        <is>
          <t>epoch_chip_quantity_latest</t>
        </is>
      </c>
      <c r="Q586" s="3" t="inlineStr">
        <is>
          <t>SRC_EPOCH_AI_DATA_CENTERS; EPOCH_RAW_CHIP_QUANTITIES</t>
        </is>
      </c>
      <c r="R586" s="3" t="inlineStr">
        <is>
          <t>Latest chip quantity per chip type through year-end; normalized by unit count into benchmark buckets.</t>
        </is>
      </c>
    </row>
    <row r="587">
      <c r="A587" s="3" t="inlineStr">
        <is>
          <t>Bull|Meta Temple|2029</t>
        </is>
      </c>
      <c r="B587" s="3" t="inlineStr">
        <is>
          <t>Bull</t>
        </is>
      </c>
      <c r="C587" s="3" t="inlineStr">
        <is>
          <t>Meta Temple</t>
        </is>
      </c>
      <c r="D587" s="3" t="n">
        <v>2029</v>
      </c>
      <c r="E587" s="3" t="inlineStr">
        <is>
          <t>Meta</t>
        </is>
      </c>
      <c r="F587" s="17" t="n">
        <v>0</v>
      </c>
      <c r="G587" s="17" t="n">
        <v>1</v>
      </c>
      <c r="H587" s="17" t="n">
        <v>0</v>
      </c>
      <c r="I587" s="17" t="n">
        <v>0</v>
      </c>
      <c r="J587" s="17" t="n">
        <v>0</v>
      </c>
      <c r="K587" s="17" t="n">
        <v>0</v>
      </c>
      <c r="L587" s="17" t="n">
        <v>0</v>
      </c>
      <c r="M587" s="17" t="n">
        <v>0</v>
      </c>
      <c r="N587" s="17" t="n">
        <v>0</v>
      </c>
      <c r="O587" s="26" t="n">
        <v>1</v>
      </c>
      <c r="P587" s="3" t="inlineStr">
        <is>
          <t>epoch_chip_quantity_latest</t>
        </is>
      </c>
      <c r="Q587" s="3" t="inlineStr">
        <is>
          <t>SRC_EPOCH_AI_DATA_CENTERS; EPOCH_RAW_CHIP_QUANTITIES</t>
        </is>
      </c>
      <c r="R587" s="3" t="inlineStr">
        <is>
          <t>Latest chip quantity per chip type through year-end; normalized by unit count into benchmark buckets.</t>
        </is>
      </c>
    </row>
    <row r="588">
      <c r="A588" s="3" t="inlineStr">
        <is>
          <t>Bull|Meta Temple|2030</t>
        </is>
      </c>
      <c r="B588" s="3" t="inlineStr">
        <is>
          <t>Bull</t>
        </is>
      </c>
      <c r="C588" s="3" t="inlineStr">
        <is>
          <t>Meta Temple</t>
        </is>
      </c>
      <c r="D588" s="3" t="n">
        <v>2030</v>
      </c>
      <c r="E588" s="3" t="inlineStr">
        <is>
          <t>Meta</t>
        </is>
      </c>
      <c r="F588" s="17" t="n">
        <v>0</v>
      </c>
      <c r="G588" s="17" t="n">
        <v>1</v>
      </c>
      <c r="H588" s="17" t="n">
        <v>0</v>
      </c>
      <c r="I588" s="17" t="n">
        <v>0</v>
      </c>
      <c r="J588" s="17" t="n">
        <v>0</v>
      </c>
      <c r="K588" s="17" t="n">
        <v>0</v>
      </c>
      <c r="L588" s="17" t="n">
        <v>0</v>
      </c>
      <c r="M588" s="17" t="n">
        <v>0</v>
      </c>
      <c r="N588" s="17" t="n">
        <v>0</v>
      </c>
      <c r="O588" s="26" t="n">
        <v>1</v>
      </c>
      <c r="P588" s="3" t="inlineStr">
        <is>
          <t>epoch_chip_quantity_latest</t>
        </is>
      </c>
      <c r="Q588" s="3" t="inlineStr">
        <is>
          <t>SRC_EPOCH_AI_DATA_CENTERS; EPOCH_RAW_CHIP_QUANTITIES</t>
        </is>
      </c>
      <c r="R588" s="3" t="inlineStr">
        <is>
          <t>Latest chip quantity per chip type through year-end; normalized by unit count into benchmark buckets.</t>
        </is>
      </c>
    </row>
    <row r="589">
      <c r="A589" s="3" t="inlineStr">
        <is>
          <t>Grid-Constrained / Efficiency-Upside|Meta Temple|2026</t>
        </is>
      </c>
      <c r="B589" s="3" t="inlineStr">
        <is>
          <t>Grid-Constrained / Efficiency-Upside</t>
        </is>
      </c>
      <c r="C589" s="3" t="inlineStr">
        <is>
          <t>Meta Temple</t>
        </is>
      </c>
      <c r="D589" s="3" t="n">
        <v>2026</v>
      </c>
      <c r="E589" s="3" t="inlineStr">
        <is>
          <t>Meta</t>
        </is>
      </c>
      <c r="F589" s="17" t="n">
        <v>0</v>
      </c>
      <c r="G589" s="17" t="n">
        <v>1</v>
      </c>
      <c r="H589" s="17" t="n">
        <v>0</v>
      </c>
      <c r="I589" s="17" t="n">
        <v>0</v>
      </c>
      <c r="J589" s="17" t="n">
        <v>0</v>
      </c>
      <c r="K589" s="17" t="n">
        <v>0</v>
      </c>
      <c r="L589" s="17" t="n">
        <v>0</v>
      </c>
      <c r="M589" s="17" t="n">
        <v>0</v>
      </c>
      <c r="N589" s="17" t="n">
        <v>0</v>
      </c>
      <c r="O589" s="26" t="n">
        <v>1</v>
      </c>
      <c r="P589" s="3" t="inlineStr">
        <is>
          <t>epoch_chip_quantity_latest</t>
        </is>
      </c>
      <c r="Q589" s="3" t="inlineStr">
        <is>
          <t>SRC_EPOCH_AI_DATA_CENTERS; EPOCH_RAW_CHIP_QUANTITIES</t>
        </is>
      </c>
      <c r="R589" s="3" t="inlineStr">
        <is>
          <t>Latest chip quantity per chip type through year-end; normalized by unit count into benchmark buckets.</t>
        </is>
      </c>
    </row>
    <row r="590">
      <c r="A590" s="3" t="inlineStr">
        <is>
          <t>Grid-Constrained / Efficiency-Upside|Meta Temple|2027</t>
        </is>
      </c>
      <c r="B590" s="3" t="inlineStr">
        <is>
          <t>Grid-Constrained / Efficiency-Upside</t>
        </is>
      </c>
      <c r="C590" s="3" t="inlineStr">
        <is>
          <t>Meta Temple</t>
        </is>
      </c>
      <c r="D590" s="3" t="n">
        <v>2027</v>
      </c>
      <c r="E590" s="3" t="inlineStr">
        <is>
          <t>Meta</t>
        </is>
      </c>
      <c r="F590" s="17" t="n">
        <v>0</v>
      </c>
      <c r="G590" s="17" t="n">
        <v>1</v>
      </c>
      <c r="H590" s="17" t="n">
        <v>0</v>
      </c>
      <c r="I590" s="17" t="n">
        <v>0</v>
      </c>
      <c r="J590" s="17" t="n">
        <v>0</v>
      </c>
      <c r="K590" s="17" t="n">
        <v>0</v>
      </c>
      <c r="L590" s="17" t="n">
        <v>0</v>
      </c>
      <c r="M590" s="17" t="n">
        <v>0</v>
      </c>
      <c r="N590" s="17" t="n">
        <v>0</v>
      </c>
      <c r="O590" s="26" t="n">
        <v>1</v>
      </c>
      <c r="P590" s="3" t="inlineStr">
        <is>
          <t>epoch_chip_quantity_latest</t>
        </is>
      </c>
      <c r="Q590" s="3" t="inlineStr">
        <is>
          <t>SRC_EPOCH_AI_DATA_CENTERS; EPOCH_RAW_CHIP_QUANTITIES</t>
        </is>
      </c>
      <c r="R590" s="3" t="inlineStr">
        <is>
          <t>Latest chip quantity per chip type through year-end; normalized by unit count into benchmark buckets.</t>
        </is>
      </c>
    </row>
    <row r="591">
      <c r="A591" s="3" t="inlineStr">
        <is>
          <t>Grid-Constrained / Efficiency-Upside|Meta Temple|2028</t>
        </is>
      </c>
      <c r="B591" s="3" t="inlineStr">
        <is>
          <t>Grid-Constrained / Efficiency-Upside</t>
        </is>
      </c>
      <c r="C591" s="3" t="inlineStr">
        <is>
          <t>Meta Temple</t>
        </is>
      </c>
      <c r="D591" s="3" t="n">
        <v>2028</v>
      </c>
      <c r="E591" s="3" t="inlineStr">
        <is>
          <t>Meta</t>
        </is>
      </c>
      <c r="F591" s="17" t="n">
        <v>0</v>
      </c>
      <c r="G591" s="17" t="n">
        <v>1</v>
      </c>
      <c r="H591" s="17" t="n">
        <v>0</v>
      </c>
      <c r="I591" s="17" t="n">
        <v>0</v>
      </c>
      <c r="J591" s="17" t="n">
        <v>0</v>
      </c>
      <c r="K591" s="17" t="n">
        <v>0</v>
      </c>
      <c r="L591" s="17" t="n">
        <v>0</v>
      </c>
      <c r="M591" s="17" t="n">
        <v>0</v>
      </c>
      <c r="N591" s="17" t="n">
        <v>0</v>
      </c>
      <c r="O591" s="26" t="n">
        <v>1</v>
      </c>
      <c r="P591" s="3" t="inlineStr">
        <is>
          <t>epoch_chip_quantity_latest</t>
        </is>
      </c>
      <c r="Q591" s="3" t="inlineStr">
        <is>
          <t>SRC_EPOCH_AI_DATA_CENTERS; EPOCH_RAW_CHIP_QUANTITIES</t>
        </is>
      </c>
      <c r="R591" s="3" t="inlineStr">
        <is>
          <t>Latest chip quantity per chip type through year-end; normalized by unit count into benchmark buckets.</t>
        </is>
      </c>
    </row>
    <row r="592">
      <c r="A592" s="3" t="inlineStr">
        <is>
          <t>Grid-Constrained / Efficiency-Upside|Meta Temple|2029</t>
        </is>
      </c>
      <c r="B592" s="3" t="inlineStr">
        <is>
          <t>Grid-Constrained / Efficiency-Upside</t>
        </is>
      </c>
      <c r="C592" s="3" t="inlineStr">
        <is>
          <t>Meta Temple</t>
        </is>
      </c>
      <c r="D592" s="3" t="n">
        <v>2029</v>
      </c>
      <c r="E592" s="3" t="inlineStr">
        <is>
          <t>Meta</t>
        </is>
      </c>
      <c r="F592" s="17" t="n">
        <v>0</v>
      </c>
      <c r="G592" s="17" t="n">
        <v>1</v>
      </c>
      <c r="H592" s="17" t="n">
        <v>0</v>
      </c>
      <c r="I592" s="17" t="n">
        <v>0</v>
      </c>
      <c r="J592" s="17" t="n">
        <v>0</v>
      </c>
      <c r="K592" s="17" t="n">
        <v>0</v>
      </c>
      <c r="L592" s="17" t="n">
        <v>0</v>
      </c>
      <c r="M592" s="17" t="n">
        <v>0</v>
      </c>
      <c r="N592" s="17" t="n">
        <v>0</v>
      </c>
      <c r="O592" s="26" t="n">
        <v>1</v>
      </c>
      <c r="P592" s="3" t="inlineStr">
        <is>
          <t>epoch_chip_quantity_latest</t>
        </is>
      </c>
      <c r="Q592" s="3" t="inlineStr">
        <is>
          <t>SRC_EPOCH_AI_DATA_CENTERS; EPOCH_RAW_CHIP_QUANTITIES</t>
        </is>
      </c>
      <c r="R592" s="3" t="inlineStr">
        <is>
          <t>Latest chip quantity per chip type through year-end; normalized by unit count into benchmark buckets.</t>
        </is>
      </c>
    </row>
    <row r="593">
      <c r="A593" s="3" t="inlineStr">
        <is>
          <t>Grid-Constrained / Efficiency-Upside|Meta Temple|2030</t>
        </is>
      </c>
      <c r="B593" s="3" t="inlineStr">
        <is>
          <t>Grid-Constrained / Efficiency-Upside</t>
        </is>
      </c>
      <c r="C593" s="3" t="inlineStr">
        <is>
          <t>Meta Temple</t>
        </is>
      </c>
      <c r="D593" s="3" t="n">
        <v>2030</v>
      </c>
      <c r="E593" s="3" t="inlineStr">
        <is>
          <t>Meta</t>
        </is>
      </c>
      <c r="F593" s="17" t="n">
        <v>0</v>
      </c>
      <c r="G593" s="17" t="n">
        <v>1</v>
      </c>
      <c r="H593" s="17" t="n">
        <v>0</v>
      </c>
      <c r="I593" s="17" t="n">
        <v>0</v>
      </c>
      <c r="J593" s="17" t="n">
        <v>0</v>
      </c>
      <c r="K593" s="17" t="n">
        <v>0</v>
      </c>
      <c r="L593" s="17" t="n">
        <v>0</v>
      </c>
      <c r="M593" s="17" t="n">
        <v>0</v>
      </c>
      <c r="N593" s="17" t="n">
        <v>0</v>
      </c>
      <c r="O593" s="26" t="n">
        <v>1</v>
      </c>
      <c r="P593" s="3" t="inlineStr">
        <is>
          <t>epoch_chip_quantity_latest</t>
        </is>
      </c>
      <c r="Q593" s="3" t="inlineStr">
        <is>
          <t>SRC_EPOCH_AI_DATA_CENTERS; EPOCH_RAW_CHIP_QUANTITIES</t>
        </is>
      </c>
      <c r="R593" s="3" t="inlineStr">
        <is>
          <t>Latest chip quantity per chip type through year-end; normalized by unit count into benchmark buckets.</t>
        </is>
      </c>
    </row>
    <row r="594">
      <c r="A594" s="3" t="inlineStr">
        <is>
          <t>Bear|Crusoe Abilene Expansion|2027</t>
        </is>
      </c>
      <c r="B594" s="3" t="inlineStr">
        <is>
          <t>Bear</t>
        </is>
      </c>
      <c r="C594" s="3" t="inlineStr">
        <is>
          <t>Crusoe Abilene Expansion</t>
        </is>
      </c>
      <c r="D594" s="3" t="n">
        <v>2027</v>
      </c>
      <c r="E594" s="3" t="inlineStr">
        <is>
          <t>Microsoft</t>
        </is>
      </c>
      <c r="F594" s="17" t="n">
        <v>0</v>
      </c>
      <c r="G594" s="17" t="n">
        <v>0</v>
      </c>
      <c r="H594" s="17" t="n">
        <v>0</v>
      </c>
      <c r="I594" s="17" t="n">
        <v>1</v>
      </c>
      <c r="J594" s="17" t="n">
        <v>0</v>
      </c>
      <c r="K594" s="17" t="n">
        <v>0</v>
      </c>
      <c r="L594" s="17" t="n">
        <v>0</v>
      </c>
      <c r="M594" s="17" t="n">
        <v>0</v>
      </c>
      <c r="N594" s="17" t="n">
        <v>0</v>
      </c>
      <c r="O594" s="26" t="n">
        <v>1</v>
      </c>
      <c r="P594" s="3" t="inlineStr">
        <is>
          <t>epoch_chip_quantity_latest</t>
        </is>
      </c>
      <c r="Q594" s="3" t="inlineStr">
        <is>
          <t>SRC_EPOCH_AI_DATA_CENTERS; EPOCH_RAW_CHIP_QUANTITIES</t>
        </is>
      </c>
      <c r="R594" s="3" t="inlineStr">
        <is>
          <t>Latest chip quantity per chip type through year-end; normalized by unit count into benchmark buckets.</t>
        </is>
      </c>
    </row>
    <row r="595">
      <c r="A595" s="3" t="inlineStr">
        <is>
          <t>Bear|Crusoe Abilene Expansion|2028</t>
        </is>
      </c>
      <c r="B595" s="3" t="inlineStr">
        <is>
          <t>Bear</t>
        </is>
      </c>
      <c r="C595" s="3" t="inlineStr">
        <is>
          <t>Crusoe Abilene Expansion</t>
        </is>
      </c>
      <c r="D595" s="3" t="n">
        <v>2028</v>
      </c>
      <c r="E595" s="3" t="inlineStr">
        <is>
          <t>Microsoft</t>
        </is>
      </c>
      <c r="F595" s="17" t="n">
        <v>0</v>
      </c>
      <c r="G595" s="17" t="n">
        <v>0</v>
      </c>
      <c r="H595" s="17" t="n">
        <v>0</v>
      </c>
      <c r="I595" s="17" t="n">
        <v>1</v>
      </c>
      <c r="J595" s="17" t="n">
        <v>0</v>
      </c>
      <c r="K595" s="17" t="n">
        <v>0</v>
      </c>
      <c r="L595" s="17" t="n">
        <v>0</v>
      </c>
      <c r="M595" s="17" t="n">
        <v>0</v>
      </c>
      <c r="N595" s="17" t="n">
        <v>0</v>
      </c>
      <c r="O595" s="26" t="n">
        <v>1</v>
      </c>
      <c r="P595" s="3" t="inlineStr">
        <is>
          <t>epoch_chip_quantity_latest</t>
        </is>
      </c>
      <c r="Q595" s="3" t="inlineStr">
        <is>
          <t>SRC_EPOCH_AI_DATA_CENTERS; EPOCH_RAW_CHIP_QUANTITIES</t>
        </is>
      </c>
      <c r="R595" s="3" t="inlineStr">
        <is>
          <t>Latest chip quantity per chip type through year-end; normalized by unit count into benchmark buckets.</t>
        </is>
      </c>
    </row>
    <row r="596">
      <c r="A596" s="3" t="inlineStr">
        <is>
          <t>Bear|Crusoe Abilene Expansion|2029</t>
        </is>
      </c>
      <c r="B596" s="3" t="inlineStr">
        <is>
          <t>Bear</t>
        </is>
      </c>
      <c r="C596" s="3" t="inlineStr">
        <is>
          <t>Crusoe Abilene Expansion</t>
        </is>
      </c>
      <c r="D596" s="3" t="n">
        <v>2029</v>
      </c>
      <c r="E596" s="3" t="inlineStr">
        <is>
          <t>Microsoft</t>
        </is>
      </c>
      <c r="F596" s="17" t="n">
        <v>0</v>
      </c>
      <c r="G596" s="17" t="n">
        <v>0</v>
      </c>
      <c r="H596" s="17" t="n">
        <v>0</v>
      </c>
      <c r="I596" s="17" t="n">
        <v>1</v>
      </c>
      <c r="J596" s="17" t="n">
        <v>0</v>
      </c>
      <c r="K596" s="17" t="n">
        <v>0</v>
      </c>
      <c r="L596" s="17" t="n">
        <v>0</v>
      </c>
      <c r="M596" s="17" t="n">
        <v>0</v>
      </c>
      <c r="N596" s="17" t="n">
        <v>0</v>
      </c>
      <c r="O596" s="26" t="n">
        <v>1</v>
      </c>
      <c r="P596" s="3" t="inlineStr">
        <is>
          <t>epoch_chip_quantity_latest</t>
        </is>
      </c>
      <c r="Q596" s="3" t="inlineStr">
        <is>
          <t>SRC_EPOCH_AI_DATA_CENTERS; EPOCH_RAW_CHIP_QUANTITIES</t>
        </is>
      </c>
      <c r="R596" s="3" t="inlineStr">
        <is>
          <t>Latest chip quantity per chip type through year-end; normalized by unit count into benchmark buckets.</t>
        </is>
      </c>
    </row>
    <row r="597">
      <c r="A597" s="3" t="inlineStr">
        <is>
          <t>Bear|Crusoe Abilene Expansion|2030</t>
        </is>
      </c>
      <c r="B597" s="3" t="inlineStr">
        <is>
          <t>Bear</t>
        </is>
      </c>
      <c r="C597" s="3" t="inlineStr">
        <is>
          <t>Crusoe Abilene Expansion</t>
        </is>
      </c>
      <c r="D597" s="3" t="n">
        <v>2030</v>
      </c>
      <c r="E597" s="3" t="inlineStr">
        <is>
          <t>Microsoft</t>
        </is>
      </c>
      <c r="F597" s="17" t="n">
        <v>0</v>
      </c>
      <c r="G597" s="17" t="n">
        <v>0</v>
      </c>
      <c r="H597" s="17" t="n">
        <v>0</v>
      </c>
      <c r="I597" s="17" t="n">
        <v>1</v>
      </c>
      <c r="J597" s="17" t="n">
        <v>0</v>
      </c>
      <c r="K597" s="17" t="n">
        <v>0</v>
      </c>
      <c r="L597" s="17" t="n">
        <v>0</v>
      </c>
      <c r="M597" s="17" t="n">
        <v>0</v>
      </c>
      <c r="N597" s="17" t="n">
        <v>0</v>
      </c>
      <c r="O597" s="26" t="n">
        <v>1</v>
      </c>
      <c r="P597" s="3" t="inlineStr">
        <is>
          <t>epoch_chip_quantity_latest</t>
        </is>
      </c>
      <c r="Q597" s="3" t="inlineStr">
        <is>
          <t>SRC_EPOCH_AI_DATA_CENTERS; EPOCH_RAW_CHIP_QUANTITIES</t>
        </is>
      </c>
      <c r="R597" s="3" t="inlineStr">
        <is>
          <t>Latest chip quantity per chip type through year-end; normalized by unit count into benchmark buckets.</t>
        </is>
      </c>
    </row>
    <row r="598">
      <c r="A598" s="3" t="inlineStr">
        <is>
          <t>Base|Crusoe Abilene Expansion|2027</t>
        </is>
      </c>
      <c r="B598" s="3" t="inlineStr">
        <is>
          <t>Base</t>
        </is>
      </c>
      <c r="C598" s="3" t="inlineStr">
        <is>
          <t>Crusoe Abilene Expansion</t>
        </is>
      </c>
      <c r="D598" s="3" t="n">
        <v>2027</v>
      </c>
      <c r="E598" s="3" t="inlineStr">
        <is>
          <t>Microsoft</t>
        </is>
      </c>
      <c r="F598" s="17" t="n">
        <v>0</v>
      </c>
      <c r="G598" s="17" t="n">
        <v>0</v>
      </c>
      <c r="H598" s="17" t="n">
        <v>0</v>
      </c>
      <c r="I598" s="17" t="n">
        <v>1</v>
      </c>
      <c r="J598" s="17" t="n">
        <v>0</v>
      </c>
      <c r="K598" s="17" t="n">
        <v>0</v>
      </c>
      <c r="L598" s="17" t="n">
        <v>0</v>
      </c>
      <c r="M598" s="17" t="n">
        <v>0</v>
      </c>
      <c r="N598" s="17" t="n">
        <v>0</v>
      </c>
      <c r="O598" s="26" t="n">
        <v>1</v>
      </c>
      <c r="P598" s="3" t="inlineStr">
        <is>
          <t>epoch_chip_quantity_latest</t>
        </is>
      </c>
      <c r="Q598" s="3" t="inlineStr">
        <is>
          <t>SRC_EPOCH_AI_DATA_CENTERS; EPOCH_RAW_CHIP_QUANTITIES</t>
        </is>
      </c>
      <c r="R598" s="3" t="inlineStr">
        <is>
          <t>Latest chip quantity per chip type through year-end; normalized by unit count into benchmark buckets.</t>
        </is>
      </c>
    </row>
    <row r="599">
      <c r="A599" s="3" t="inlineStr">
        <is>
          <t>Base|Crusoe Abilene Expansion|2028</t>
        </is>
      </c>
      <c r="B599" s="3" t="inlineStr">
        <is>
          <t>Base</t>
        </is>
      </c>
      <c r="C599" s="3" t="inlineStr">
        <is>
          <t>Crusoe Abilene Expansion</t>
        </is>
      </c>
      <c r="D599" s="3" t="n">
        <v>2028</v>
      </c>
      <c r="E599" s="3" t="inlineStr">
        <is>
          <t>Microsoft</t>
        </is>
      </c>
      <c r="F599" s="17" t="n">
        <v>0</v>
      </c>
      <c r="G599" s="17" t="n">
        <v>0</v>
      </c>
      <c r="H599" s="17" t="n">
        <v>0</v>
      </c>
      <c r="I599" s="17" t="n">
        <v>1</v>
      </c>
      <c r="J599" s="17" t="n">
        <v>0</v>
      </c>
      <c r="K599" s="17" t="n">
        <v>0</v>
      </c>
      <c r="L599" s="17" t="n">
        <v>0</v>
      </c>
      <c r="M599" s="17" t="n">
        <v>0</v>
      </c>
      <c r="N599" s="17" t="n">
        <v>0</v>
      </c>
      <c r="O599" s="26" t="n">
        <v>1</v>
      </c>
      <c r="P599" s="3" t="inlineStr">
        <is>
          <t>epoch_chip_quantity_latest</t>
        </is>
      </c>
      <c r="Q599" s="3" t="inlineStr">
        <is>
          <t>SRC_EPOCH_AI_DATA_CENTERS; EPOCH_RAW_CHIP_QUANTITIES</t>
        </is>
      </c>
      <c r="R599" s="3" t="inlineStr">
        <is>
          <t>Latest chip quantity per chip type through year-end; normalized by unit count into benchmark buckets.</t>
        </is>
      </c>
    </row>
    <row r="600">
      <c r="A600" s="3" t="inlineStr">
        <is>
          <t>Base|Crusoe Abilene Expansion|2029</t>
        </is>
      </c>
      <c r="B600" s="3" t="inlineStr">
        <is>
          <t>Base</t>
        </is>
      </c>
      <c r="C600" s="3" t="inlineStr">
        <is>
          <t>Crusoe Abilene Expansion</t>
        </is>
      </c>
      <c r="D600" s="3" t="n">
        <v>2029</v>
      </c>
      <c r="E600" s="3" t="inlineStr">
        <is>
          <t>Microsoft</t>
        </is>
      </c>
      <c r="F600" s="17" t="n">
        <v>0</v>
      </c>
      <c r="G600" s="17" t="n">
        <v>0</v>
      </c>
      <c r="H600" s="17" t="n">
        <v>0</v>
      </c>
      <c r="I600" s="17" t="n">
        <v>1</v>
      </c>
      <c r="J600" s="17" t="n">
        <v>0</v>
      </c>
      <c r="K600" s="17" t="n">
        <v>0</v>
      </c>
      <c r="L600" s="17" t="n">
        <v>0</v>
      </c>
      <c r="M600" s="17" t="n">
        <v>0</v>
      </c>
      <c r="N600" s="17" t="n">
        <v>0</v>
      </c>
      <c r="O600" s="26" t="n">
        <v>1</v>
      </c>
      <c r="P600" s="3" t="inlineStr">
        <is>
          <t>epoch_chip_quantity_latest</t>
        </is>
      </c>
      <c r="Q600" s="3" t="inlineStr">
        <is>
          <t>SRC_EPOCH_AI_DATA_CENTERS; EPOCH_RAW_CHIP_QUANTITIES</t>
        </is>
      </c>
      <c r="R600" s="3" t="inlineStr">
        <is>
          <t>Latest chip quantity per chip type through year-end; normalized by unit count into benchmark buckets.</t>
        </is>
      </c>
    </row>
    <row r="601">
      <c r="A601" s="3" t="inlineStr">
        <is>
          <t>Base|Crusoe Abilene Expansion|2030</t>
        </is>
      </c>
      <c r="B601" s="3" t="inlineStr">
        <is>
          <t>Base</t>
        </is>
      </c>
      <c r="C601" s="3" t="inlineStr">
        <is>
          <t>Crusoe Abilene Expansion</t>
        </is>
      </c>
      <c r="D601" s="3" t="n">
        <v>2030</v>
      </c>
      <c r="E601" s="3" t="inlineStr">
        <is>
          <t>Microsoft</t>
        </is>
      </c>
      <c r="F601" s="17" t="n">
        <v>0</v>
      </c>
      <c r="G601" s="17" t="n">
        <v>0</v>
      </c>
      <c r="H601" s="17" t="n">
        <v>0</v>
      </c>
      <c r="I601" s="17" t="n">
        <v>1</v>
      </c>
      <c r="J601" s="17" t="n">
        <v>0</v>
      </c>
      <c r="K601" s="17" t="n">
        <v>0</v>
      </c>
      <c r="L601" s="17" t="n">
        <v>0</v>
      </c>
      <c r="M601" s="17" t="n">
        <v>0</v>
      </c>
      <c r="N601" s="17" t="n">
        <v>0</v>
      </c>
      <c r="O601" s="26" t="n">
        <v>1</v>
      </c>
      <c r="P601" s="3" t="inlineStr">
        <is>
          <t>epoch_chip_quantity_latest</t>
        </is>
      </c>
      <c r="Q601" s="3" t="inlineStr">
        <is>
          <t>SRC_EPOCH_AI_DATA_CENTERS; EPOCH_RAW_CHIP_QUANTITIES</t>
        </is>
      </c>
      <c r="R601" s="3" t="inlineStr">
        <is>
          <t>Latest chip quantity per chip type through year-end; normalized by unit count into benchmark buckets.</t>
        </is>
      </c>
    </row>
    <row r="602">
      <c r="A602" s="3" t="inlineStr">
        <is>
          <t>Bull|Crusoe Abilene Expansion|2027</t>
        </is>
      </c>
      <c r="B602" s="3" t="inlineStr">
        <is>
          <t>Bull</t>
        </is>
      </c>
      <c r="C602" s="3" t="inlineStr">
        <is>
          <t>Crusoe Abilene Expansion</t>
        </is>
      </c>
      <c r="D602" s="3" t="n">
        <v>2027</v>
      </c>
      <c r="E602" s="3" t="inlineStr">
        <is>
          <t>Microsoft</t>
        </is>
      </c>
      <c r="F602" s="17" t="n">
        <v>0</v>
      </c>
      <c r="G602" s="17" t="n">
        <v>0</v>
      </c>
      <c r="H602" s="17" t="n">
        <v>0</v>
      </c>
      <c r="I602" s="17" t="n">
        <v>1</v>
      </c>
      <c r="J602" s="17" t="n">
        <v>0</v>
      </c>
      <c r="K602" s="17" t="n">
        <v>0</v>
      </c>
      <c r="L602" s="17" t="n">
        <v>0</v>
      </c>
      <c r="M602" s="17" t="n">
        <v>0</v>
      </c>
      <c r="N602" s="17" t="n">
        <v>0</v>
      </c>
      <c r="O602" s="26" t="n">
        <v>1</v>
      </c>
      <c r="P602" s="3" t="inlineStr">
        <is>
          <t>epoch_chip_quantity_latest</t>
        </is>
      </c>
      <c r="Q602" s="3" t="inlineStr">
        <is>
          <t>SRC_EPOCH_AI_DATA_CENTERS; EPOCH_RAW_CHIP_QUANTITIES</t>
        </is>
      </c>
      <c r="R602" s="3" t="inlineStr">
        <is>
          <t>Latest chip quantity per chip type through year-end; normalized by unit count into benchmark buckets.</t>
        </is>
      </c>
    </row>
    <row r="603">
      <c r="A603" s="3" t="inlineStr">
        <is>
          <t>Bull|Crusoe Abilene Expansion|2028</t>
        </is>
      </c>
      <c r="B603" s="3" t="inlineStr">
        <is>
          <t>Bull</t>
        </is>
      </c>
      <c r="C603" s="3" t="inlineStr">
        <is>
          <t>Crusoe Abilene Expansion</t>
        </is>
      </c>
      <c r="D603" s="3" t="n">
        <v>2028</v>
      </c>
      <c r="E603" s="3" t="inlineStr">
        <is>
          <t>Microsoft</t>
        </is>
      </c>
      <c r="F603" s="17" t="n">
        <v>0</v>
      </c>
      <c r="G603" s="17" t="n">
        <v>0</v>
      </c>
      <c r="H603" s="17" t="n">
        <v>0</v>
      </c>
      <c r="I603" s="17" t="n">
        <v>1</v>
      </c>
      <c r="J603" s="17" t="n">
        <v>0</v>
      </c>
      <c r="K603" s="17" t="n">
        <v>0</v>
      </c>
      <c r="L603" s="17" t="n">
        <v>0</v>
      </c>
      <c r="M603" s="17" t="n">
        <v>0</v>
      </c>
      <c r="N603" s="17" t="n">
        <v>0</v>
      </c>
      <c r="O603" s="26" t="n">
        <v>1</v>
      </c>
      <c r="P603" s="3" t="inlineStr">
        <is>
          <t>epoch_chip_quantity_latest</t>
        </is>
      </c>
      <c r="Q603" s="3" t="inlineStr">
        <is>
          <t>SRC_EPOCH_AI_DATA_CENTERS; EPOCH_RAW_CHIP_QUANTITIES</t>
        </is>
      </c>
      <c r="R603" s="3" t="inlineStr">
        <is>
          <t>Latest chip quantity per chip type through year-end; normalized by unit count into benchmark buckets.</t>
        </is>
      </c>
    </row>
    <row r="604">
      <c r="A604" s="3" t="inlineStr">
        <is>
          <t>Bull|Crusoe Abilene Expansion|2029</t>
        </is>
      </c>
      <c r="B604" s="3" t="inlineStr">
        <is>
          <t>Bull</t>
        </is>
      </c>
      <c r="C604" s="3" t="inlineStr">
        <is>
          <t>Crusoe Abilene Expansion</t>
        </is>
      </c>
      <c r="D604" s="3" t="n">
        <v>2029</v>
      </c>
      <c r="E604" s="3" t="inlineStr">
        <is>
          <t>Microsoft</t>
        </is>
      </c>
      <c r="F604" s="17" t="n">
        <v>0</v>
      </c>
      <c r="G604" s="17" t="n">
        <v>0</v>
      </c>
      <c r="H604" s="17" t="n">
        <v>0</v>
      </c>
      <c r="I604" s="17" t="n">
        <v>1</v>
      </c>
      <c r="J604" s="17" t="n">
        <v>0</v>
      </c>
      <c r="K604" s="17" t="n">
        <v>0</v>
      </c>
      <c r="L604" s="17" t="n">
        <v>0</v>
      </c>
      <c r="M604" s="17" t="n">
        <v>0</v>
      </c>
      <c r="N604" s="17" t="n">
        <v>0</v>
      </c>
      <c r="O604" s="26" t="n">
        <v>1</v>
      </c>
      <c r="P604" s="3" t="inlineStr">
        <is>
          <t>epoch_chip_quantity_latest</t>
        </is>
      </c>
      <c r="Q604" s="3" t="inlineStr">
        <is>
          <t>SRC_EPOCH_AI_DATA_CENTERS; EPOCH_RAW_CHIP_QUANTITIES</t>
        </is>
      </c>
      <c r="R604" s="3" t="inlineStr">
        <is>
          <t>Latest chip quantity per chip type through year-end; normalized by unit count into benchmark buckets.</t>
        </is>
      </c>
    </row>
    <row r="605">
      <c r="A605" s="3" t="inlineStr">
        <is>
          <t>Bull|Crusoe Abilene Expansion|2030</t>
        </is>
      </c>
      <c r="B605" s="3" t="inlineStr">
        <is>
          <t>Bull</t>
        </is>
      </c>
      <c r="C605" s="3" t="inlineStr">
        <is>
          <t>Crusoe Abilene Expansion</t>
        </is>
      </c>
      <c r="D605" s="3" t="n">
        <v>2030</v>
      </c>
      <c r="E605" s="3" t="inlineStr">
        <is>
          <t>Microsoft</t>
        </is>
      </c>
      <c r="F605" s="17" t="n">
        <v>0</v>
      </c>
      <c r="G605" s="17" t="n">
        <v>0</v>
      </c>
      <c r="H605" s="17" t="n">
        <v>0</v>
      </c>
      <c r="I605" s="17" t="n">
        <v>1</v>
      </c>
      <c r="J605" s="17" t="n">
        <v>0</v>
      </c>
      <c r="K605" s="17" t="n">
        <v>0</v>
      </c>
      <c r="L605" s="17" t="n">
        <v>0</v>
      </c>
      <c r="M605" s="17" t="n">
        <v>0</v>
      </c>
      <c r="N605" s="17" t="n">
        <v>0</v>
      </c>
      <c r="O605" s="26" t="n">
        <v>1</v>
      </c>
      <c r="P605" s="3" t="inlineStr">
        <is>
          <t>epoch_chip_quantity_latest</t>
        </is>
      </c>
      <c r="Q605" s="3" t="inlineStr">
        <is>
          <t>SRC_EPOCH_AI_DATA_CENTERS; EPOCH_RAW_CHIP_QUANTITIES</t>
        </is>
      </c>
      <c r="R605" s="3" t="inlineStr">
        <is>
          <t>Latest chip quantity per chip type through year-end; normalized by unit count into benchmark buckets.</t>
        </is>
      </c>
    </row>
    <row r="606">
      <c r="A606" s="3" t="inlineStr">
        <is>
          <t>Grid-Constrained / Efficiency-Upside|Crusoe Abilene Expansion|2027</t>
        </is>
      </c>
      <c r="B606" s="3" t="inlineStr">
        <is>
          <t>Grid-Constrained / Efficiency-Upside</t>
        </is>
      </c>
      <c r="C606" s="3" t="inlineStr">
        <is>
          <t>Crusoe Abilene Expansion</t>
        </is>
      </c>
      <c r="D606" s="3" t="n">
        <v>2027</v>
      </c>
      <c r="E606" s="3" t="inlineStr">
        <is>
          <t>Microsoft</t>
        </is>
      </c>
      <c r="F606" s="17" t="n">
        <v>0</v>
      </c>
      <c r="G606" s="17" t="n">
        <v>0</v>
      </c>
      <c r="H606" s="17" t="n">
        <v>0</v>
      </c>
      <c r="I606" s="17" t="n">
        <v>1</v>
      </c>
      <c r="J606" s="17" t="n">
        <v>0</v>
      </c>
      <c r="K606" s="17" t="n">
        <v>0</v>
      </c>
      <c r="L606" s="17" t="n">
        <v>0</v>
      </c>
      <c r="M606" s="17" t="n">
        <v>0</v>
      </c>
      <c r="N606" s="17" t="n">
        <v>0</v>
      </c>
      <c r="O606" s="26" t="n">
        <v>1</v>
      </c>
      <c r="P606" s="3" t="inlineStr">
        <is>
          <t>epoch_chip_quantity_latest</t>
        </is>
      </c>
      <c r="Q606" s="3" t="inlineStr">
        <is>
          <t>SRC_EPOCH_AI_DATA_CENTERS; EPOCH_RAW_CHIP_QUANTITIES</t>
        </is>
      </c>
      <c r="R606" s="3" t="inlineStr">
        <is>
          <t>Latest chip quantity per chip type through year-end; normalized by unit count into benchmark buckets.</t>
        </is>
      </c>
    </row>
    <row r="607">
      <c r="A607" s="3" t="inlineStr">
        <is>
          <t>Grid-Constrained / Efficiency-Upside|Crusoe Abilene Expansion|2028</t>
        </is>
      </c>
      <c r="B607" s="3" t="inlineStr">
        <is>
          <t>Grid-Constrained / Efficiency-Upside</t>
        </is>
      </c>
      <c r="C607" s="3" t="inlineStr">
        <is>
          <t>Crusoe Abilene Expansion</t>
        </is>
      </c>
      <c r="D607" s="3" t="n">
        <v>2028</v>
      </c>
      <c r="E607" s="3" t="inlineStr">
        <is>
          <t>Microsoft</t>
        </is>
      </c>
      <c r="F607" s="17" t="n">
        <v>0</v>
      </c>
      <c r="G607" s="17" t="n">
        <v>0</v>
      </c>
      <c r="H607" s="17" t="n">
        <v>0</v>
      </c>
      <c r="I607" s="17" t="n">
        <v>1</v>
      </c>
      <c r="J607" s="17" t="n">
        <v>0</v>
      </c>
      <c r="K607" s="17" t="n">
        <v>0</v>
      </c>
      <c r="L607" s="17" t="n">
        <v>0</v>
      </c>
      <c r="M607" s="17" t="n">
        <v>0</v>
      </c>
      <c r="N607" s="17" t="n">
        <v>0</v>
      </c>
      <c r="O607" s="26" t="n">
        <v>1</v>
      </c>
      <c r="P607" s="3" t="inlineStr">
        <is>
          <t>epoch_chip_quantity_latest</t>
        </is>
      </c>
      <c r="Q607" s="3" t="inlineStr">
        <is>
          <t>SRC_EPOCH_AI_DATA_CENTERS; EPOCH_RAW_CHIP_QUANTITIES</t>
        </is>
      </c>
      <c r="R607" s="3" t="inlineStr">
        <is>
          <t>Latest chip quantity per chip type through year-end; normalized by unit count into benchmark buckets.</t>
        </is>
      </c>
    </row>
    <row r="608">
      <c r="A608" s="3" t="inlineStr">
        <is>
          <t>Grid-Constrained / Efficiency-Upside|Crusoe Abilene Expansion|2029</t>
        </is>
      </c>
      <c r="B608" s="3" t="inlineStr">
        <is>
          <t>Grid-Constrained / Efficiency-Upside</t>
        </is>
      </c>
      <c r="C608" s="3" t="inlineStr">
        <is>
          <t>Crusoe Abilene Expansion</t>
        </is>
      </c>
      <c r="D608" s="3" t="n">
        <v>2029</v>
      </c>
      <c r="E608" s="3" t="inlineStr">
        <is>
          <t>Microsoft</t>
        </is>
      </c>
      <c r="F608" s="17" t="n">
        <v>0</v>
      </c>
      <c r="G608" s="17" t="n">
        <v>0</v>
      </c>
      <c r="H608" s="17" t="n">
        <v>0</v>
      </c>
      <c r="I608" s="17" t="n">
        <v>1</v>
      </c>
      <c r="J608" s="17" t="n">
        <v>0</v>
      </c>
      <c r="K608" s="17" t="n">
        <v>0</v>
      </c>
      <c r="L608" s="17" t="n">
        <v>0</v>
      </c>
      <c r="M608" s="17" t="n">
        <v>0</v>
      </c>
      <c r="N608" s="17" t="n">
        <v>0</v>
      </c>
      <c r="O608" s="26" t="n">
        <v>1</v>
      </c>
      <c r="P608" s="3" t="inlineStr">
        <is>
          <t>epoch_chip_quantity_latest</t>
        </is>
      </c>
      <c r="Q608" s="3" t="inlineStr">
        <is>
          <t>SRC_EPOCH_AI_DATA_CENTERS; EPOCH_RAW_CHIP_QUANTITIES</t>
        </is>
      </c>
      <c r="R608" s="3" t="inlineStr">
        <is>
          <t>Latest chip quantity per chip type through year-end; normalized by unit count into benchmark buckets.</t>
        </is>
      </c>
    </row>
    <row r="609">
      <c r="A609" s="3" t="inlineStr">
        <is>
          <t>Grid-Constrained / Efficiency-Upside|Crusoe Abilene Expansion|2030</t>
        </is>
      </c>
      <c r="B609" s="3" t="inlineStr">
        <is>
          <t>Grid-Constrained / Efficiency-Upside</t>
        </is>
      </c>
      <c r="C609" s="3" t="inlineStr">
        <is>
          <t>Crusoe Abilene Expansion</t>
        </is>
      </c>
      <c r="D609" s="3" t="n">
        <v>2030</v>
      </c>
      <c r="E609" s="3" t="inlineStr">
        <is>
          <t>Microsoft</t>
        </is>
      </c>
      <c r="F609" s="17" t="n">
        <v>0</v>
      </c>
      <c r="G609" s="17" t="n">
        <v>0</v>
      </c>
      <c r="H609" s="17" t="n">
        <v>0</v>
      </c>
      <c r="I609" s="17" t="n">
        <v>1</v>
      </c>
      <c r="J609" s="17" t="n">
        <v>0</v>
      </c>
      <c r="K609" s="17" t="n">
        <v>0</v>
      </c>
      <c r="L609" s="17" t="n">
        <v>0</v>
      </c>
      <c r="M609" s="17" t="n">
        <v>0</v>
      </c>
      <c r="N609" s="17" t="n">
        <v>0</v>
      </c>
      <c r="O609" s="26" t="n">
        <v>1</v>
      </c>
      <c r="P609" s="3" t="inlineStr">
        <is>
          <t>epoch_chip_quantity_latest</t>
        </is>
      </c>
      <c r="Q609" s="3" t="inlineStr">
        <is>
          <t>SRC_EPOCH_AI_DATA_CENTERS; EPOCH_RAW_CHIP_QUANTITIES</t>
        </is>
      </c>
      <c r="R609" s="3" t="inlineStr">
        <is>
          <t>Latest chip quantity per chip type through year-end; normalized by unit count into benchmark buckets.</t>
        </is>
      </c>
    </row>
    <row r="610">
      <c r="A610" s="3" t="inlineStr">
        <is>
          <t>Bear|Microsoft Fairwater Atlanta|2026</t>
        </is>
      </c>
      <c r="B610" s="3" t="inlineStr">
        <is>
          <t>Bear</t>
        </is>
      </c>
      <c r="C610" s="3" t="inlineStr">
        <is>
          <t>Microsoft Fairwater Atlanta</t>
        </is>
      </c>
      <c r="D610" s="3" t="n">
        <v>2026</v>
      </c>
      <c r="E610" s="3" t="inlineStr">
        <is>
          <t>Microsoft</t>
        </is>
      </c>
      <c r="F610" s="17" t="n">
        <v>0</v>
      </c>
      <c r="G610" s="17" t="n">
        <v>1</v>
      </c>
      <c r="H610" s="17" t="n">
        <v>0</v>
      </c>
      <c r="I610" s="17" t="n">
        <v>0</v>
      </c>
      <c r="J610" s="17" t="n">
        <v>0</v>
      </c>
      <c r="K610" s="17" t="n">
        <v>0</v>
      </c>
      <c r="L610" s="17" t="n">
        <v>0</v>
      </c>
      <c r="M610" s="17" t="n">
        <v>0</v>
      </c>
      <c r="N610" s="17" t="n">
        <v>0</v>
      </c>
      <c r="O610" s="26" t="n">
        <v>1</v>
      </c>
      <c r="P610" s="3" t="inlineStr">
        <is>
          <t>epoch_chip_quantity_latest</t>
        </is>
      </c>
      <c r="Q610" s="3" t="inlineStr">
        <is>
          <t>SRC_EPOCH_AI_DATA_CENTERS; EPOCH_RAW_CHIP_QUANTITIES</t>
        </is>
      </c>
      <c r="R610" s="3" t="inlineStr">
        <is>
          <t>Latest chip quantity per chip type through year-end; normalized by unit count into benchmark buckets.</t>
        </is>
      </c>
    </row>
    <row r="611">
      <c r="A611" s="3" t="inlineStr">
        <is>
          <t>Bear|Microsoft Fairwater Atlanta|2027</t>
        </is>
      </c>
      <c r="B611" s="3" t="inlineStr">
        <is>
          <t>Bear</t>
        </is>
      </c>
      <c r="C611" s="3" t="inlineStr">
        <is>
          <t>Microsoft Fairwater Atlanta</t>
        </is>
      </c>
      <c r="D611" s="3" t="n">
        <v>2027</v>
      </c>
      <c r="E611" s="3" t="inlineStr">
        <is>
          <t>Microsoft</t>
        </is>
      </c>
      <c r="F611" s="17" t="n">
        <v>0</v>
      </c>
      <c r="G611" s="17" t="n">
        <v>1</v>
      </c>
      <c r="H611" s="17" t="n">
        <v>0</v>
      </c>
      <c r="I611" s="17" t="n">
        <v>0</v>
      </c>
      <c r="J611" s="17" t="n">
        <v>0</v>
      </c>
      <c r="K611" s="17" t="n">
        <v>0</v>
      </c>
      <c r="L611" s="17" t="n">
        <v>0</v>
      </c>
      <c r="M611" s="17" t="n">
        <v>0</v>
      </c>
      <c r="N611" s="17" t="n">
        <v>0</v>
      </c>
      <c r="O611" s="26" t="n">
        <v>1</v>
      </c>
      <c r="P611" s="3" t="inlineStr">
        <is>
          <t>epoch_chip_quantity_latest</t>
        </is>
      </c>
      <c r="Q611" s="3" t="inlineStr">
        <is>
          <t>SRC_EPOCH_AI_DATA_CENTERS; EPOCH_RAW_CHIP_QUANTITIES</t>
        </is>
      </c>
      <c r="R611" s="3" t="inlineStr">
        <is>
          <t>Latest chip quantity per chip type through year-end; normalized by unit count into benchmark buckets.</t>
        </is>
      </c>
    </row>
    <row r="612">
      <c r="A612" s="3" t="inlineStr">
        <is>
          <t>Bear|Microsoft Fairwater Atlanta|2028</t>
        </is>
      </c>
      <c r="B612" s="3" t="inlineStr">
        <is>
          <t>Bear</t>
        </is>
      </c>
      <c r="C612" s="3" t="inlineStr">
        <is>
          <t>Microsoft Fairwater Atlanta</t>
        </is>
      </c>
      <c r="D612" s="3" t="n">
        <v>2028</v>
      </c>
      <c r="E612" s="3" t="inlineStr">
        <is>
          <t>Microsoft</t>
        </is>
      </c>
      <c r="F612" s="17" t="n">
        <v>0</v>
      </c>
      <c r="G612" s="17" t="n">
        <v>1</v>
      </c>
      <c r="H612" s="17" t="n">
        <v>0</v>
      </c>
      <c r="I612" s="17" t="n">
        <v>0</v>
      </c>
      <c r="J612" s="17" t="n">
        <v>0</v>
      </c>
      <c r="K612" s="17" t="n">
        <v>0</v>
      </c>
      <c r="L612" s="17" t="n">
        <v>0</v>
      </c>
      <c r="M612" s="17" t="n">
        <v>0</v>
      </c>
      <c r="N612" s="17" t="n">
        <v>0</v>
      </c>
      <c r="O612" s="26" t="n">
        <v>1</v>
      </c>
      <c r="P612" s="3" t="inlineStr">
        <is>
          <t>epoch_chip_quantity_latest</t>
        </is>
      </c>
      <c r="Q612" s="3" t="inlineStr">
        <is>
          <t>SRC_EPOCH_AI_DATA_CENTERS; EPOCH_RAW_CHIP_QUANTITIES</t>
        </is>
      </c>
      <c r="R612" s="3" t="inlineStr">
        <is>
          <t>Latest chip quantity per chip type through year-end; normalized by unit count into benchmark buckets.</t>
        </is>
      </c>
    </row>
    <row r="613">
      <c r="A613" s="3" t="inlineStr">
        <is>
          <t>Bear|Microsoft Fairwater Atlanta|2029</t>
        </is>
      </c>
      <c r="B613" s="3" t="inlineStr">
        <is>
          <t>Bear</t>
        </is>
      </c>
      <c r="C613" s="3" t="inlineStr">
        <is>
          <t>Microsoft Fairwater Atlanta</t>
        </is>
      </c>
      <c r="D613" s="3" t="n">
        <v>2029</v>
      </c>
      <c r="E613" s="3" t="inlineStr">
        <is>
          <t>Microsoft</t>
        </is>
      </c>
      <c r="F613" s="17" t="n">
        <v>0</v>
      </c>
      <c r="G613" s="17" t="n">
        <v>1</v>
      </c>
      <c r="H613" s="17" t="n">
        <v>0</v>
      </c>
      <c r="I613" s="17" t="n">
        <v>0</v>
      </c>
      <c r="J613" s="17" t="n">
        <v>0</v>
      </c>
      <c r="K613" s="17" t="n">
        <v>0</v>
      </c>
      <c r="L613" s="17" t="n">
        <v>0</v>
      </c>
      <c r="M613" s="17" t="n">
        <v>0</v>
      </c>
      <c r="N613" s="17" t="n">
        <v>0</v>
      </c>
      <c r="O613" s="26" t="n">
        <v>1</v>
      </c>
      <c r="P613" s="3" t="inlineStr">
        <is>
          <t>epoch_chip_quantity_latest</t>
        </is>
      </c>
      <c r="Q613" s="3" t="inlineStr">
        <is>
          <t>SRC_EPOCH_AI_DATA_CENTERS; EPOCH_RAW_CHIP_QUANTITIES</t>
        </is>
      </c>
      <c r="R613" s="3" t="inlineStr">
        <is>
          <t>Latest chip quantity per chip type through year-end; normalized by unit count into benchmark buckets.</t>
        </is>
      </c>
    </row>
    <row r="614">
      <c r="A614" s="3" t="inlineStr">
        <is>
          <t>Bear|Microsoft Fairwater Atlanta|2030</t>
        </is>
      </c>
      <c r="B614" s="3" t="inlineStr">
        <is>
          <t>Bear</t>
        </is>
      </c>
      <c r="C614" s="3" t="inlineStr">
        <is>
          <t>Microsoft Fairwater Atlanta</t>
        </is>
      </c>
      <c r="D614" s="3" t="n">
        <v>2030</v>
      </c>
      <c r="E614" s="3" t="inlineStr">
        <is>
          <t>Microsoft</t>
        </is>
      </c>
      <c r="F614" s="17" t="n">
        <v>0</v>
      </c>
      <c r="G614" s="17" t="n">
        <v>1</v>
      </c>
      <c r="H614" s="17" t="n">
        <v>0</v>
      </c>
      <c r="I614" s="17" t="n">
        <v>0</v>
      </c>
      <c r="J614" s="17" t="n">
        <v>0</v>
      </c>
      <c r="K614" s="17" t="n">
        <v>0</v>
      </c>
      <c r="L614" s="17" t="n">
        <v>0</v>
      </c>
      <c r="M614" s="17" t="n">
        <v>0</v>
      </c>
      <c r="N614" s="17" t="n">
        <v>0</v>
      </c>
      <c r="O614" s="26" t="n">
        <v>1</v>
      </c>
      <c r="P614" s="3" t="inlineStr">
        <is>
          <t>epoch_chip_quantity_latest</t>
        </is>
      </c>
      <c r="Q614" s="3" t="inlineStr">
        <is>
          <t>SRC_EPOCH_AI_DATA_CENTERS; EPOCH_RAW_CHIP_QUANTITIES</t>
        </is>
      </c>
      <c r="R614" s="3" t="inlineStr">
        <is>
          <t>Latest chip quantity per chip type through year-end; normalized by unit count into benchmark buckets.</t>
        </is>
      </c>
    </row>
    <row r="615">
      <c r="A615" s="3" t="inlineStr">
        <is>
          <t>Base|Microsoft Fairwater Atlanta|2026</t>
        </is>
      </c>
      <c r="B615" s="3" t="inlineStr">
        <is>
          <t>Base</t>
        </is>
      </c>
      <c r="C615" s="3" t="inlineStr">
        <is>
          <t>Microsoft Fairwater Atlanta</t>
        </is>
      </c>
      <c r="D615" s="3" t="n">
        <v>2026</v>
      </c>
      <c r="E615" s="3" t="inlineStr">
        <is>
          <t>Microsoft</t>
        </is>
      </c>
      <c r="F615" s="17" t="n">
        <v>0</v>
      </c>
      <c r="G615" s="17" t="n">
        <v>1</v>
      </c>
      <c r="H615" s="17" t="n">
        <v>0</v>
      </c>
      <c r="I615" s="17" t="n">
        <v>0</v>
      </c>
      <c r="J615" s="17" t="n">
        <v>0</v>
      </c>
      <c r="K615" s="17" t="n">
        <v>0</v>
      </c>
      <c r="L615" s="17" t="n">
        <v>0</v>
      </c>
      <c r="M615" s="17" t="n">
        <v>0</v>
      </c>
      <c r="N615" s="17" t="n">
        <v>0</v>
      </c>
      <c r="O615" s="26" t="n">
        <v>1</v>
      </c>
      <c r="P615" s="3" t="inlineStr">
        <is>
          <t>epoch_chip_quantity_latest</t>
        </is>
      </c>
      <c r="Q615" s="3" t="inlineStr">
        <is>
          <t>SRC_EPOCH_AI_DATA_CENTERS; EPOCH_RAW_CHIP_QUANTITIES</t>
        </is>
      </c>
      <c r="R615" s="3" t="inlineStr">
        <is>
          <t>Latest chip quantity per chip type through year-end; normalized by unit count into benchmark buckets.</t>
        </is>
      </c>
    </row>
    <row r="616">
      <c r="A616" s="3" t="inlineStr">
        <is>
          <t>Base|Microsoft Fairwater Atlanta|2027</t>
        </is>
      </c>
      <c r="B616" s="3" t="inlineStr">
        <is>
          <t>Base</t>
        </is>
      </c>
      <c r="C616" s="3" t="inlineStr">
        <is>
          <t>Microsoft Fairwater Atlanta</t>
        </is>
      </c>
      <c r="D616" s="3" t="n">
        <v>2027</v>
      </c>
      <c r="E616" s="3" t="inlineStr">
        <is>
          <t>Microsoft</t>
        </is>
      </c>
      <c r="F616" s="17" t="n">
        <v>0</v>
      </c>
      <c r="G616" s="17" t="n">
        <v>1</v>
      </c>
      <c r="H616" s="17" t="n">
        <v>0</v>
      </c>
      <c r="I616" s="17" t="n">
        <v>0</v>
      </c>
      <c r="J616" s="17" t="n">
        <v>0</v>
      </c>
      <c r="K616" s="17" t="n">
        <v>0</v>
      </c>
      <c r="L616" s="17" t="n">
        <v>0</v>
      </c>
      <c r="M616" s="17" t="n">
        <v>0</v>
      </c>
      <c r="N616" s="17" t="n">
        <v>0</v>
      </c>
      <c r="O616" s="26" t="n">
        <v>1</v>
      </c>
      <c r="P616" s="3" t="inlineStr">
        <is>
          <t>epoch_chip_quantity_latest</t>
        </is>
      </c>
      <c r="Q616" s="3" t="inlineStr">
        <is>
          <t>SRC_EPOCH_AI_DATA_CENTERS; EPOCH_RAW_CHIP_QUANTITIES</t>
        </is>
      </c>
      <c r="R616" s="3" t="inlineStr">
        <is>
          <t>Latest chip quantity per chip type through year-end; normalized by unit count into benchmark buckets.</t>
        </is>
      </c>
    </row>
    <row r="617">
      <c r="A617" s="3" t="inlineStr">
        <is>
          <t>Base|Microsoft Fairwater Atlanta|2028</t>
        </is>
      </c>
      <c r="B617" s="3" t="inlineStr">
        <is>
          <t>Base</t>
        </is>
      </c>
      <c r="C617" s="3" t="inlineStr">
        <is>
          <t>Microsoft Fairwater Atlanta</t>
        </is>
      </c>
      <c r="D617" s="3" t="n">
        <v>2028</v>
      </c>
      <c r="E617" s="3" t="inlineStr">
        <is>
          <t>Microsoft</t>
        </is>
      </c>
      <c r="F617" s="17" t="n">
        <v>0</v>
      </c>
      <c r="G617" s="17" t="n">
        <v>1</v>
      </c>
      <c r="H617" s="17" t="n">
        <v>0</v>
      </c>
      <c r="I617" s="17" t="n">
        <v>0</v>
      </c>
      <c r="J617" s="17" t="n">
        <v>0</v>
      </c>
      <c r="K617" s="17" t="n">
        <v>0</v>
      </c>
      <c r="L617" s="17" t="n">
        <v>0</v>
      </c>
      <c r="M617" s="17" t="n">
        <v>0</v>
      </c>
      <c r="N617" s="17" t="n">
        <v>0</v>
      </c>
      <c r="O617" s="26" t="n">
        <v>1</v>
      </c>
      <c r="P617" s="3" t="inlineStr">
        <is>
          <t>epoch_chip_quantity_latest</t>
        </is>
      </c>
      <c r="Q617" s="3" t="inlineStr">
        <is>
          <t>SRC_EPOCH_AI_DATA_CENTERS; EPOCH_RAW_CHIP_QUANTITIES</t>
        </is>
      </c>
      <c r="R617" s="3" t="inlineStr">
        <is>
          <t>Latest chip quantity per chip type through year-end; normalized by unit count into benchmark buckets.</t>
        </is>
      </c>
    </row>
    <row r="618">
      <c r="A618" s="3" t="inlineStr">
        <is>
          <t>Base|Microsoft Fairwater Atlanta|2029</t>
        </is>
      </c>
      <c r="B618" s="3" t="inlineStr">
        <is>
          <t>Base</t>
        </is>
      </c>
      <c r="C618" s="3" t="inlineStr">
        <is>
          <t>Microsoft Fairwater Atlanta</t>
        </is>
      </c>
      <c r="D618" s="3" t="n">
        <v>2029</v>
      </c>
      <c r="E618" s="3" t="inlineStr">
        <is>
          <t>Microsoft</t>
        </is>
      </c>
      <c r="F618" s="17" t="n">
        <v>0</v>
      </c>
      <c r="G618" s="17" t="n">
        <v>1</v>
      </c>
      <c r="H618" s="17" t="n">
        <v>0</v>
      </c>
      <c r="I618" s="17" t="n">
        <v>0</v>
      </c>
      <c r="J618" s="17" t="n">
        <v>0</v>
      </c>
      <c r="K618" s="17" t="n">
        <v>0</v>
      </c>
      <c r="L618" s="17" t="n">
        <v>0</v>
      </c>
      <c r="M618" s="17" t="n">
        <v>0</v>
      </c>
      <c r="N618" s="17" t="n">
        <v>0</v>
      </c>
      <c r="O618" s="26" t="n">
        <v>1</v>
      </c>
      <c r="P618" s="3" t="inlineStr">
        <is>
          <t>epoch_chip_quantity_latest</t>
        </is>
      </c>
      <c r="Q618" s="3" t="inlineStr">
        <is>
          <t>SRC_EPOCH_AI_DATA_CENTERS; EPOCH_RAW_CHIP_QUANTITIES</t>
        </is>
      </c>
      <c r="R618" s="3" t="inlineStr">
        <is>
          <t>Latest chip quantity per chip type through year-end; normalized by unit count into benchmark buckets.</t>
        </is>
      </c>
    </row>
    <row r="619">
      <c r="A619" s="3" t="inlineStr">
        <is>
          <t>Base|Microsoft Fairwater Atlanta|2030</t>
        </is>
      </c>
      <c r="B619" s="3" t="inlineStr">
        <is>
          <t>Base</t>
        </is>
      </c>
      <c r="C619" s="3" t="inlineStr">
        <is>
          <t>Microsoft Fairwater Atlanta</t>
        </is>
      </c>
      <c r="D619" s="3" t="n">
        <v>2030</v>
      </c>
      <c r="E619" s="3" t="inlineStr">
        <is>
          <t>Microsoft</t>
        </is>
      </c>
      <c r="F619" s="17" t="n">
        <v>0</v>
      </c>
      <c r="G619" s="17" t="n">
        <v>1</v>
      </c>
      <c r="H619" s="17" t="n">
        <v>0</v>
      </c>
      <c r="I619" s="17" t="n">
        <v>0</v>
      </c>
      <c r="J619" s="17" t="n">
        <v>0</v>
      </c>
      <c r="K619" s="17" t="n">
        <v>0</v>
      </c>
      <c r="L619" s="17" t="n">
        <v>0</v>
      </c>
      <c r="M619" s="17" t="n">
        <v>0</v>
      </c>
      <c r="N619" s="17" t="n">
        <v>0</v>
      </c>
      <c r="O619" s="26" t="n">
        <v>1</v>
      </c>
      <c r="P619" s="3" t="inlineStr">
        <is>
          <t>epoch_chip_quantity_latest</t>
        </is>
      </c>
      <c r="Q619" s="3" t="inlineStr">
        <is>
          <t>SRC_EPOCH_AI_DATA_CENTERS; EPOCH_RAW_CHIP_QUANTITIES</t>
        </is>
      </c>
      <c r="R619" s="3" t="inlineStr">
        <is>
          <t>Latest chip quantity per chip type through year-end; normalized by unit count into benchmark buckets.</t>
        </is>
      </c>
    </row>
    <row r="620">
      <c r="A620" s="3" t="inlineStr">
        <is>
          <t>Bull|Microsoft Fairwater Atlanta|2026</t>
        </is>
      </c>
      <c r="B620" s="3" t="inlineStr">
        <is>
          <t>Bull</t>
        </is>
      </c>
      <c r="C620" s="3" t="inlineStr">
        <is>
          <t>Microsoft Fairwater Atlanta</t>
        </is>
      </c>
      <c r="D620" s="3" t="n">
        <v>2026</v>
      </c>
      <c r="E620" s="3" t="inlineStr">
        <is>
          <t>Microsoft</t>
        </is>
      </c>
      <c r="F620" s="17" t="n">
        <v>0</v>
      </c>
      <c r="G620" s="17" t="n">
        <v>1</v>
      </c>
      <c r="H620" s="17" t="n">
        <v>0</v>
      </c>
      <c r="I620" s="17" t="n">
        <v>0</v>
      </c>
      <c r="J620" s="17" t="n">
        <v>0</v>
      </c>
      <c r="K620" s="17" t="n">
        <v>0</v>
      </c>
      <c r="L620" s="17" t="n">
        <v>0</v>
      </c>
      <c r="M620" s="17" t="n">
        <v>0</v>
      </c>
      <c r="N620" s="17" t="n">
        <v>0</v>
      </c>
      <c r="O620" s="26" t="n">
        <v>1</v>
      </c>
      <c r="P620" s="3" t="inlineStr">
        <is>
          <t>epoch_chip_quantity_latest</t>
        </is>
      </c>
      <c r="Q620" s="3" t="inlineStr">
        <is>
          <t>SRC_EPOCH_AI_DATA_CENTERS; EPOCH_RAW_CHIP_QUANTITIES</t>
        </is>
      </c>
      <c r="R620" s="3" t="inlineStr">
        <is>
          <t>Latest chip quantity per chip type through year-end; normalized by unit count into benchmark buckets.</t>
        </is>
      </c>
    </row>
    <row r="621">
      <c r="A621" s="3" t="inlineStr">
        <is>
          <t>Bull|Microsoft Fairwater Atlanta|2027</t>
        </is>
      </c>
      <c r="B621" s="3" t="inlineStr">
        <is>
          <t>Bull</t>
        </is>
      </c>
      <c r="C621" s="3" t="inlineStr">
        <is>
          <t>Microsoft Fairwater Atlanta</t>
        </is>
      </c>
      <c r="D621" s="3" t="n">
        <v>2027</v>
      </c>
      <c r="E621" s="3" t="inlineStr">
        <is>
          <t>Microsoft</t>
        </is>
      </c>
      <c r="F621" s="17" t="n">
        <v>0</v>
      </c>
      <c r="G621" s="17" t="n">
        <v>1</v>
      </c>
      <c r="H621" s="17" t="n">
        <v>0</v>
      </c>
      <c r="I621" s="17" t="n">
        <v>0</v>
      </c>
      <c r="J621" s="17" t="n">
        <v>0</v>
      </c>
      <c r="K621" s="17" t="n">
        <v>0</v>
      </c>
      <c r="L621" s="17" t="n">
        <v>0</v>
      </c>
      <c r="M621" s="17" t="n">
        <v>0</v>
      </c>
      <c r="N621" s="17" t="n">
        <v>0</v>
      </c>
      <c r="O621" s="26" t="n">
        <v>1</v>
      </c>
      <c r="P621" s="3" t="inlineStr">
        <is>
          <t>epoch_chip_quantity_latest</t>
        </is>
      </c>
      <c r="Q621" s="3" t="inlineStr">
        <is>
          <t>SRC_EPOCH_AI_DATA_CENTERS; EPOCH_RAW_CHIP_QUANTITIES</t>
        </is>
      </c>
      <c r="R621" s="3" t="inlineStr">
        <is>
          <t>Latest chip quantity per chip type through year-end; normalized by unit count into benchmark buckets.</t>
        </is>
      </c>
    </row>
    <row r="622">
      <c r="A622" s="3" t="inlineStr">
        <is>
          <t>Bull|Microsoft Fairwater Atlanta|2028</t>
        </is>
      </c>
      <c r="B622" s="3" t="inlineStr">
        <is>
          <t>Bull</t>
        </is>
      </c>
      <c r="C622" s="3" t="inlineStr">
        <is>
          <t>Microsoft Fairwater Atlanta</t>
        </is>
      </c>
      <c r="D622" s="3" t="n">
        <v>2028</v>
      </c>
      <c r="E622" s="3" t="inlineStr">
        <is>
          <t>Microsoft</t>
        </is>
      </c>
      <c r="F622" s="17" t="n">
        <v>0</v>
      </c>
      <c r="G622" s="17" t="n">
        <v>1</v>
      </c>
      <c r="H622" s="17" t="n">
        <v>0</v>
      </c>
      <c r="I622" s="17" t="n">
        <v>0</v>
      </c>
      <c r="J622" s="17" t="n">
        <v>0</v>
      </c>
      <c r="K622" s="17" t="n">
        <v>0</v>
      </c>
      <c r="L622" s="17" t="n">
        <v>0</v>
      </c>
      <c r="M622" s="17" t="n">
        <v>0</v>
      </c>
      <c r="N622" s="17" t="n">
        <v>0</v>
      </c>
      <c r="O622" s="26" t="n">
        <v>1</v>
      </c>
      <c r="P622" s="3" t="inlineStr">
        <is>
          <t>epoch_chip_quantity_latest</t>
        </is>
      </c>
      <c r="Q622" s="3" t="inlineStr">
        <is>
          <t>SRC_EPOCH_AI_DATA_CENTERS; EPOCH_RAW_CHIP_QUANTITIES</t>
        </is>
      </c>
      <c r="R622" s="3" t="inlineStr">
        <is>
          <t>Latest chip quantity per chip type through year-end; normalized by unit count into benchmark buckets.</t>
        </is>
      </c>
    </row>
    <row r="623">
      <c r="A623" s="3" t="inlineStr">
        <is>
          <t>Bull|Microsoft Fairwater Atlanta|2029</t>
        </is>
      </c>
      <c r="B623" s="3" t="inlineStr">
        <is>
          <t>Bull</t>
        </is>
      </c>
      <c r="C623" s="3" t="inlineStr">
        <is>
          <t>Microsoft Fairwater Atlanta</t>
        </is>
      </c>
      <c r="D623" s="3" t="n">
        <v>2029</v>
      </c>
      <c r="E623" s="3" t="inlineStr">
        <is>
          <t>Microsoft</t>
        </is>
      </c>
      <c r="F623" s="17" t="n">
        <v>0</v>
      </c>
      <c r="G623" s="17" t="n">
        <v>1</v>
      </c>
      <c r="H623" s="17" t="n">
        <v>0</v>
      </c>
      <c r="I623" s="17" t="n">
        <v>0</v>
      </c>
      <c r="J623" s="17" t="n">
        <v>0</v>
      </c>
      <c r="K623" s="17" t="n">
        <v>0</v>
      </c>
      <c r="L623" s="17" t="n">
        <v>0</v>
      </c>
      <c r="M623" s="17" t="n">
        <v>0</v>
      </c>
      <c r="N623" s="17" t="n">
        <v>0</v>
      </c>
      <c r="O623" s="26" t="n">
        <v>1</v>
      </c>
      <c r="P623" s="3" t="inlineStr">
        <is>
          <t>epoch_chip_quantity_latest</t>
        </is>
      </c>
      <c r="Q623" s="3" t="inlineStr">
        <is>
          <t>SRC_EPOCH_AI_DATA_CENTERS; EPOCH_RAW_CHIP_QUANTITIES</t>
        </is>
      </c>
      <c r="R623" s="3" t="inlineStr">
        <is>
          <t>Latest chip quantity per chip type through year-end; normalized by unit count into benchmark buckets.</t>
        </is>
      </c>
    </row>
    <row r="624">
      <c r="A624" s="3" t="inlineStr">
        <is>
          <t>Bull|Microsoft Fairwater Atlanta|2030</t>
        </is>
      </c>
      <c r="B624" s="3" t="inlineStr">
        <is>
          <t>Bull</t>
        </is>
      </c>
      <c r="C624" s="3" t="inlineStr">
        <is>
          <t>Microsoft Fairwater Atlanta</t>
        </is>
      </c>
      <c r="D624" s="3" t="n">
        <v>2030</v>
      </c>
      <c r="E624" s="3" t="inlineStr">
        <is>
          <t>Microsoft</t>
        </is>
      </c>
      <c r="F624" s="17" t="n">
        <v>0</v>
      </c>
      <c r="G624" s="17" t="n">
        <v>1</v>
      </c>
      <c r="H624" s="17" t="n">
        <v>0</v>
      </c>
      <c r="I624" s="17" t="n">
        <v>0</v>
      </c>
      <c r="J624" s="17" t="n">
        <v>0</v>
      </c>
      <c r="K624" s="17" t="n">
        <v>0</v>
      </c>
      <c r="L624" s="17" t="n">
        <v>0</v>
      </c>
      <c r="M624" s="17" t="n">
        <v>0</v>
      </c>
      <c r="N624" s="17" t="n">
        <v>0</v>
      </c>
      <c r="O624" s="26" t="n">
        <v>1</v>
      </c>
      <c r="P624" s="3" t="inlineStr">
        <is>
          <t>epoch_chip_quantity_latest</t>
        </is>
      </c>
      <c r="Q624" s="3" t="inlineStr">
        <is>
          <t>SRC_EPOCH_AI_DATA_CENTERS; EPOCH_RAW_CHIP_QUANTITIES</t>
        </is>
      </c>
      <c r="R624" s="3" t="inlineStr">
        <is>
          <t>Latest chip quantity per chip type through year-end; normalized by unit count into benchmark buckets.</t>
        </is>
      </c>
    </row>
    <row r="625">
      <c r="A625" s="3" t="inlineStr">
        <is>
          <t>Grid-Constrained / Efficiency-Upside|Microsoft Fairwater Atlanta|2026</t>
        </is>
      </c>
      <c r="B625" s="3" t="inlineStr">
        <is>
          <t>Grid-Constrained / Efficiency-Upside</t>
        </is>
      </c>
      <c r="C625" s="3" t="inlineStr">
        <is>
          <t>Microsoft Fairwater Atlanta</t>
        </is>
      </c>
      <c r="D625" s="3" t="n">
        <v>2026</v>
      </c>
      <c r="E625" s="3" t="inlineStr">
        <is>
          <t>Microsoft</t>
        </is>
      </c>
      <c r="F625" s="17" t="n">
        <v>0</v>
      </c>
      <c r="G625" s="17" t="n">
        <v>1</v>
      </c>
      <c r="H625" s="17" t="n">
        <v>0</v>
      </c>
      <c r="I625" s="17" t="n">
        <v>0</v>
      </c>
      <c r="J625" s="17" t="n">
        <v>0</v>
      </c>
      <c r="K625" s="17" t="n">
        <v>0</v>
      </c>
      <c r="L625" s="17" t="n">
        <v>0</v>
      </c>
      <c r="M625" s="17" t="n">
        <v>0</v>
      </c>
      <c r="N625" s="17" t="n">
        <v>0</v>
      </c>
      <c r="O625" s="26" t="n">
        <v>1</v>
      </c>
      <c r="P625" s="3" t="inlineStr">
        <is>
          <t>epoch_chip_quantity_latest</t>
        </is>
      </c>
      <c r="Q625" s="3" t="inlineStr">
        <is>
          <t>SRC_EPOCH_AI_DATA_CENTERS; EPOCH_RAW_CHIP_QUANTITIES</t>
        </is>
      </c>
      <c r="R625" s="3" t="inlineStr">
        <is>
          <t>Latest chip quantity per chip type through year-end; normalized by unit count into benchmark buckets.</t>
        </is>
      </c>
    </row>
    <row r="626">
      <c r="A626" s="3" t="inlineStr">
        <is>
          <t>Grid-Constrained / Efficiency-Upside|Microsoft Fairwater Atlanta|2027</t>
        </is>
      </c>
      <c r="B626" s="3" t="inlineStr">
        <is>
          <t>Grid-Constrained / Efficiency-Upside</t>
        </is>
      </c>
      <c r="C626" s="3" t="inlineStr">
        <is>
          <t>Microsoft Fairwater Atlanta</t>
        </is>
      </c>
      <c r="D626" s="3" t="n">
        <v>2027</v>
      </c>
      <c r="E626" s="3" t="inlineStr">
        <is>
          <t>Microsoft</t>
        </is>
      </c>
      <c r="F626" s="17" t="n">
        <v>0</v>
      </c>
      <c r="G626" s="17" t="n">
        <v>1</v>
      </c>
      <c r="H626" s="17" t="n">
        <v>0</v>
      </c>
      <c r="I626" s="17" t="n">
        <v>0</v>
      </c>
      <c r="J626" s="17" t="n">
        <v>0</v>
      </c>
      <c r="K626" s="17" t="n">
        <v>0</v>
      </c>
      <c r="L626" s="17" t="n">
        <v>0</v>
      </c>
      <c r="M626" s="17" t="n">
        <v>0</v>
      </c>
      <c r="N626" s="17" t="n">
        <v>0</v>
      </c>
      <c r="O626" s="26" t="n">
        <v>1</v>
      </c>
      <c r="P626" s="3" t="inlineStr">
        <is>
          <t>epoch_chip_quantity_latest</t>
        </is>
      </c>
      <c r="Q626" s="3" t="inlineStr">
        <is>
          <t>SRC_EPOCH_AI_DATA_CENTERS; EPOCH_RAW_CHIP_QUANTITIES</t>
        </is>
      </c>
      <c r="R626" s="3" t="inlineStr">
        <is>
          <t>Latest chip quantity per chip type through year-end; normalized by unit count into benchmark buckets.</t>
        </is>
      </c>
    </row>
    <row r="627">
      <c r="A627" s="3" t="inlineStr">
        <is>
          <t>Grid-Constrained / Efficiency-Upside|Microsoft Fairwater Atlanta|2028</t>
        </is>
      </c>
      <c r="B627" s="3" t="inlineStr">
        <is>
          <t>Grid-Constrained / Efficiency-Upside</t>
        </is>
      </c>
      <c r="C627" s="3" t="inlineStr">
        <is>
          <t>Microsoft Fairwater Atlanta</t>
        </is>
      </c>
      <c r="D627" s="3" t="n">
        <v>2028</v>
      </c>
      <c r="E627" s="3" t="inlineStr">
        <is>
          <t>Microsoft</t>
        </is>
      </c>
      <c r="F627" s="17" t="n">
        <v>0</v>
      </c>
      <c r="G627" s="17" t="n">
        <v>1</v>
      </c>
      <c r="H627" s="17" t="n">
        <v>0</v>
      </c>
      <c r="I627" s="17" t="n">
        <v>0</v>
      </c>
      <c r="J627" s="17" t="n">
        <v>0</v>
      </c>
      <c r="K627" s="17" t="n">
        <v>0</v>
      </c>
      <c r="L627" s="17" t="n">
        <v>0</v>
      </c>
      <c r="M627" s="17" t="n">
        <v>0</v>
      </c>
      <c r="N627" s="17" t="n">
        <v>0</v>
      </c>
      <c r="O627" s="26" t="n">
        <v>1</v>
      </c>
      <c r="P627" s="3" t="inlineStr">
        <is>
          <t>epoch_chip_quantity_latest</t>
        </is>
      </c>
      <c r="Q627" s="3" t="inlineStr">
        <is>
          <t>SRC_EPOCH_AI_DATA_CENTERS; EPOCH_RAW_CHIP_QUANTITIES</t>
        </is>
      </c>
      <c r="R627" s="3" t="inlineStr">
        <is>
          <t>Latest chip quantity per chip type through year-end; normalized by unit count into benchmark buckets.</t>
        </is>
      </c>
    </row>
    <row r="628">
      <c r="A628" s="3" t="inlineStr">
        <is>
          <t>Grid-Constrained / Efficiency-Upside|Microsoft Fairwater Atlanta|2029</t>
        </is>
      </c>
      <c r="B628" s="3" t="inlineStr">
        <is>
          <t>Grid-Constrained / Efficiency-Upside</t>
        </is>
      </c>
      <c r="C628" s="3" t="inlineStr">
        <is>
          <t>Microsoft Fairwater Atlanta</t>
        </is>
      </c>
      <c r="D628" s="3" t="n">
        <v>2029</v>
      </c>
      <c r="E628" s="3" t="inlineStr">
        <is>
          <t>Microsoft</t>
        </is>
      </c>
      <c r="F628" s="17" t="n">
        <v>0</v>
      </c>
      <c r="G628" s="17" t="n">
        <v>1</v>
      </c>
      <c r="H628" s="17" t="n">
        <v>0</v>
      </c>
      <c r="I628" s="17" t="n">
        <v>0</v>
      </c>
      <c r="J628" s="17" t="n">
        <v>0</v>
      </c>
      <c r="K628" s="17" t="n">
        <v>0</v>
      </c>
      <c r="L628" s="17" t="n">
        <v>0</v>
      </c>
      <c r="M628" s="17" t="n">
        <v>0</v>
      </c>
      <c r="N628" s="17" t="n">
        <v>0</v>
      </c>
      <c r="O628" s="26" t="n">
        <v>1</v>
      </c>
      <c r="P628" s="3" t="inlineStr">
        <is>
          <t>epoch_chip_quantity_latest</t>
        </is>
      </c>
      <c r="Q628" s="3" t="inlineStr">
        <is>
          <t>SRC_EPOCH_AI_DATA_CENTERS; EPOCH_RAW_CHIP_QUANTITIES</t>
        </is>
      </c>
      <c r="R628" s="3" t="inlineStr">
        <is>
          <t>Latest chip quantity per chip type through year-end; normalized by unit count into benchmark buckets.</t>
        </is>
      </c>
    </row>
    <row r="629">
      <c r="A629" s="3" t="inlineStr">
        <is>
          <t>Grid-Constrained / Efficiency-Upside|Microsoft Fairwater Atlanta|2030</t>
        </is>
      </c>
      <c r="B629" s="3" t="inlineStr">
        <is>
          <t>Grid-Constrained / Efficiency-Upside</t>
        </is>
      </c>
      <c r="C629" s="3" t="inlineStr">
        <is>
          <t>Microsoft Fairwater Atlanta</t>
        </is>
      </c>
      <c r="D629" s="3" t="n">
        <v>2030</v>
      </c>
      <c r="E629" s="3" t="inlineStr">
        <is>
          <t>Microsoft</t>
        </is>
      </c>
      <c r="F629" s="17" t="n">
        <v>0</v>
      </c>
      <c r="G629" s="17" t="n">
        <v>1</v>
      </c>
      <c r="H629" s="17" t="n">
        <v>0</v>
      </c>
      <c r="I629" s="17" t="n">
        <v>0</v>
      </c>
      <c r="J629" s="17" t="n">
        <v>0</v>
      </c>
      <c r="K629" s="17" t="n">
        <v>0</v>
      </c>
      <c r="L629" s="17" t="n">
        <v>0</v>
      </c>
      <c r="M629" s="17" t="n">
        <v>0</v>
      </c>
      <c r="N629" s="17" t="n">
        <v>0</v>
      </c>
      <c r="O629" s="26" t="n">
        <v>1</v>
      </c>
      <c r="P629" s="3" t="inlineStr">
        <is>
          <t>epoch_chip_quantity_latest</t>
        </is>
      </c>
      <c r="Q629" s="3" t="inlineStr">
        <is>
          <t>SRC_EPOCH_AI_DATA_CENTERS; EPOCH_RAW_CHIP_QUANTITIES</t>
        </is>
      </c>
      <c r="R629" s="3" t="inlineStr">
        <is>
          <t>Latest chip quantity per chip type through year-end; normalized by unit count into benchmark buckets.</t>
        </is>
      </c>
    </row>
    <row r="630">
      <c r="A630" s="3" t="inlineStr">
        <is>
          <t>Bear|Microsoft Fairwater Wisconsin|2026</t>
        </is>
      </c>
      <c r="B630" s="3" t="inlineStr">
        <is>
          <t>Bear</t>
        </is>
      </c>
      <c r="C630" s="3" t="inlineStr">
        <is>
          <t>Microsoft Fairwater Wisconsin</t>
        </is>
      </c>
      <c r="D630" s="3" t="n">
        <v>2026</v>
      </c>
      <c r="E630" s="3" t="inlineStr">
        <is>
          <t>Microsoft</t>
        </is>
      </c>
      <c r="F630" s="17" t="n">
        <v>0</v>
      </c>
      <c r="G630" s="17" t="n">
        <v>1</v>
      </c>
      <c r="H630" s="17" t="n">
        <v>0</v>
      </c>
      <c r="I630" s="17" t="n">
        <v>0</v>
      </c>
      <c r="J630" s="17" t="n">
        <v>0</v>
      </c>
      <c r="K630" s="17" t="n">
        <v>0</v>
      </c>
      <c r="L630" s="17" t="n">
        <v>0</v>
      </c>
      <c r="M630" s="17" t="n">
        <v>0</v>
      </c>
      <c r="N630" s="17" t="n">
        <v>0</v>
      </c>
      <c r="O630" s="26" t="n">
        <v>1</v>
      </c>
      <c r="P630" s="3" t="inlineStr">
        <is>
          <t>epoch_chip_quantity_latest</t>
        </is>
      </c>
      <c r="Q630" s="3" t="inlineStr">
        <is>
          <t>SRC_EPOCH_AI_DATA_CENTERS; EPOCH_RAW_CHIP_QUANTITIES</t>
        </is>
      </c>
      <c r="R630" s="3" t="inlineStr">
        <is>
          <t>Latest chip quantity per chip type through year-end; normalized by unit count into benchmark buckets.</t>
        </is>
      </c>
    </row>
    <row r="631">
      <c r="A631" s="3" t="inlineStr">
        <is>
          <t>Bear|Microsoft Fairwater Wisconsin|2027</t>
        </is>
      </c>
      <c r="B631" s="3" t="inlineStr">
        <is>
          <t>Bear</t>
        </is>
      </c>
      <c r="C631" s="3" t="inlineStr">
        <is>
          <t>Microsoft Fairwater Wisconsin</t>
        </is>
      </c>
      <c r="D631" s="3" t="n">
        <v>2027</v>
      </c>
      <c r="E631" s="3" t="inlineStr">
        <is>
          <t>Microsoft</t>
        </is>
      </c>
      <c r="F631" s="17" t="n">
        <v>0</v>
      </c>
      <c r="G631" s="17" t="n">
        <v>1</v>
      </c>
      <c r="H631" s="17" t="n">
        <v>0</v>
      </c>
      <c r="I631" s="17" t="n">
        <v>0</v>
      </c>
      <c r="J631" s="17" t="n">
        <v>0</v>
      </c>
      <c r="K631" s="17" t="n">
        <v>0</v>
      </c>
      <c r="L631" s="17" t="n">
        <v>0</v>
      </c>
      <c r="M631" s="17" t="n">
        <v>0</v>
      </c>
      <c r="N631" s="17" t="n">
        <v>0</v>
      </c>
      <c r="O631" s="26" t="n">
        <v>1</v>
      </c>
      <c r="P631" s="3" t="inlineStr">
        <is>
          <t>epoch_chip_quantity_latest</t>
        </is>
      </c>
      <c r="Q631" s="3" t="inlineStr">
        <is>
          <t>SRC_EPOCH_AI_DATA_CENTERS; EPOCH_RAW_CHIP_QUANTITIES</t>
        </is>
      </c>
      <c r="R631" s="3" t="inlineStr">
        <is>
          <t>Latest chip quantity per chip type through year-end; normalized by unit count into benchmark buckets.</t>
        </is>
      </c>
    </row>
    <row r="632">
      <c r="A632" s="3" t="inlineStr">
        <is>
          <t>Bear|Microsoft Fairwater Wisconsin|2028</t>
        </is>
      </c>
      <c r="B632" s="3" t="inlineStr">
        <is>
          <t>Bear</t>
        </is>
      </c>
      <c r="C632" s="3" t="inlineStr">
        <is>
          <t>Microsoft Fairwater Wisconsin</t>
        </is>
      </c>
      <c r="D632" s="3" t="n">
        <v>2028</v>
      </c>
      <c r="E632" s="3" t="inlineStr">
        <is>
          <t>Microsoft</t>
        </is>
      </c>
      <c r="F632" s="17" t="n">
        <v>0</v>
      </c>
      <c r="G632" s="17" t="n">
        <v>1</v>
      </c>
      <c r="H632" s="17" t="n">
        <v>0</v>
      </c>
      <c r="I632" s="17" t="n">
        <v>0</v>
      </c>
      <c r="J632" s="17" t="n">
        <v>0</v>
      </c>
      <c r="K632" s="17" t="n">
        <v>0</v>
      </c>
      <c r="L632" s="17" t="n">
        <v>0</v>
      </c>
      <c r="M632" s="17" t="n">
        <v>0</v>
      </c>
      <c r="N632" s="17" t="n">
        <v>0</v>
      </c>
      <c r="O632" s="26" t="n">
        <v>1</v>
      </c>
      <c r="P632" s="3" t="inlineStr">
        <is>
          <t>epoch_chip_quantity_latest</t>
        </is>
      </c>
      <c r="Q632" s="3" t="inlineStr">
        <is>
          <t>SRC_EPOCH_AI_DATA_CENTERS; EPOCH_RAW_CHIP_QUANTITIES</t>
        </is>
      </c>
      <c r="R632" s="3" t="inlineStr">
        <is>
          <t>Latest chip quantity per chip type through year-end; normalized by unit count into benchmark buckets.</t>
        </is>
      </c>
    </row>
    <row r="633">
      <c r="A633" s="3" t="inlineStr">
        <is>
          <t>Bear|Microsoft Fairwater Wisconsin|2029</t>
        </is>
      </c>
      <c r="B633" s="3" t="inlineStr">
        <is>
          <t>Bear</t>
        </is>
      </c>
      <c r="C633" s="3" t="inlineStr">
        <is>
          <t>Microsoft Fairwater Wisconsin</t>
        </is>
      </c>
      <c r="D633" s="3" t="n">
        <v>2029</v>
      </c>
      <c r="E633" s="3" t="inlineStr">
        <is>
          <t>Microsoft</t>
        </is>
      </c>
      <c r="F633" s="17" t="n">
        <v>0</v>
      </c>
      <c r="G633" s="17" t="n">
        <v>1</v>
      </c>
      <c r="H633" s="17" t="n">
        <v>0</v>
      </c>
      <c r="I633" s="17" t="n">
        <v>0</v>
      </c>
      <c r="J633" s="17" t="n">
        <v>0</v>
      </c>
      <c r="K633" s="17" t="n">
        <v>0</v>
      </c>
      <c r="L633" s="17" t="n">
        <v>0</v>
      </c>
      <c r="M633" s="17" t="n">
        <v>0</v>
      </c>
      <c r="N633" s="17" t="n">
        <v>0</v>
      </c>
      <c r="O633" s="26" t="n">
        <v>1</v>
      </c>
      <c r="P633" s="3" t="inlineStr">
        <is>
          <t>epoch_chip_quantity_latest</t>
        </is>
      </c>
      <c r="Q633" s="3" t="inlineStr">
        <is>
          <t>SRC_EPOCH_AI_DATA_CENTERS; EPOCH_RAW_CHIP_QUANTITIES</t>
        </is>
      </c>
      <c r="R633" s="3" t="inlineStr">
        <is>
          <t>Latest chip quantity per chip type through year-end; normalized by unit count into benchmark buckets.</t>
        </is>
      </c>
    </row>
    <row r="634">
      <c r="A634" s="3" t="inlineStr">
        <is>
          <t>Bear|Microsoft Fairwater Wisconsin|2030</t>
        </is>
      </c>
      <c r="B634" s="3" t="inlineStr">
        <is>
          <t>Bear</t>
        </is>
      </c>
      <c r="C634" s="3" t="inlineStr">
        <is>
          <t>Microsoft Fairwater Wisconsin</t>
        </is>
      </c>
      <c r="D634" s="3" t="n">
        <v>2030</v>
      </c>
      <c r="E634" s="3" t="inlineStr">
        <is>
          <t>Microsoft</t>
        </is>
      </c>
      <c r="F634" s="17" t="n">
        <v>0</v>
      </c>
      <c r="G634" s="17" t="n">
        <v>1</v>
      </c>
      <c r="H634" s="17" t="n">
        <v>0</v>
      </c>
      <c r="I634" s="17" t="n">
        <v>0</v>
      </c>
      <c r="J634" s="17" t="n">
        <v>0</v>
      </c>
      <c r="K634" s="17" t="n">
        <v>0</v>
      </c>
      <c r="L634" s="17" t="n">
        <v>0</v>
      </c>
      <c r="M634" s="17" t="n">
        <v>0</v>
      </c>
      <c r="N634" s="17" t="n">
        <v>0</v>
      </c>
      <c r="O634" s="26" t="n">
        <v>1</v>
      </c>
      <c r="P634" s="3" t="inlineStr">
        <is>
          <t>epoch_chip_quantity_latest</t>
        </is>
      </c>
      <c r="Q634" s="3" t="inlineStr">
        <is>
          <t>SRC_EPOCH_AI_DATA_CENTERS; EPOCH_RAW_CHIP_QUANTITIES</t>
        </is>
      </c>
      <c r="R634" s="3" t="inlineStr">
        <is>
          <t>Latest chip quantity per chip type through year-end; normalized by unit count into benchmark buckets.</t>
        </is>
      </c>
    </row>
    <row r="635">
      <c r="A635" s="3" t="inlineStr">
        <is>
          <t>Base|Microsoft Fairwater Wisconsin|2026</t>
        </is>
      </c>
      <c r="B635" s="3" t="inlineStr">
        <is>
          <t>Base</t>
        </is>
      </c>
      <c r="C635" s="3" t="inlineStr">
        <is>
          <t>Microsoft Fairwater Wisconsin</t>
        </is>
      </c>
      <c r="D635" s="3" t="n">
        <v>2026</v>
      </c>
      <c r="E635" s="3" t="inlineStr">
        <is>
          <t>Microsoft</t>
        </is>
      </c>
      <c r="F635" s="17" t="n">
        <v>0</v>
      </c>
      <c r="G635" s="17" t="n">
        <v>1</v>
      </c>
      <c r="H635" s="17" t="n">
        <v>0</v>
      </c>
      <c r="I635" s="17" t="n">
        <v>0</v>
      </c>
      <c r="J635" s="17" t="n">
        <v>0</v>
      </c>
      <c r="K635" s="17" t="n">
        <v>0</v>
      </c>
      <c r="L635" s="17" t="n">
        <v>0</v>
      </c>
      <c r="M635" s="17" t="n">
        <v>0</v>
      </c>
      <c r="N635" s="17" t="n">
        <v>0</v>
      </c>
      <c r="O635" s="26" t="n">
        <v>1</v>
      </c>
      <c r="P635" s="3" t="inlineStr">
        <is>
          <t>epoch_chip_quantity_latest</t>
        </is>
      </c>
      <c r="Q635" s="3" t="inlineStr">
        <is>
          <t>SRC_EPOCH_AI_DATA_CENTERS; EPOCH_RAW_CHIP_QUANTITIES</t>
        </is>
      </c>
      <c r="R635" s="3" t="inlineStr">
        <is>
          <t>Latest chip quantity per chip type through year-end; normalized by unit count into benchmark buckets.</t>
        </is>
      </c>
    </row>
    <row r="636">
      <c r="A636" s="3" t="inlineStr">
        <is>
          <t>Base|Microsoft Fairwater Wisconsin|2027</t>
        </is>
      </c>
      <c r="B636" s="3" t="inlineStr">
        <is>
          <t>Base</t>
        </is>
      </c>
      <c r="C636" s="3" t="inlineStr">
        <is>
          <t>Microsoft Fairwater Wisconsin</t>
        </is>
      </c>
      <c r="D636" s="3" t="n">
        <v>2027</v>
      </c>
      <c r="E636" s="3" t="inlineStr">
        <is>
          <t>Microsoft</t>
        </is>
      </c>
      <c r="F636" s="17" t="n">
        <v>0</v>
      </c>
      <c r="G636" s="17" t="n">
        <v>1</v>
      </c>
      <c r="H636" s="17" t="n">
        <v>0</v>
      </c>
      <c r="I636" s="17" t="n">
        <v>0</v>
      </c>
      <c r="J636" s="17" t="n">
        <v>0</v>
      </c>
      <c r="K636" s="17" t="n">
        <v>0</v>
      </c>
      <c r="L636" s="17" t="n">
        <v>0</v>
      </c>
      <c r="M636" s="17" t="n">
        <v>0</v>
      </c>
      <c r="N636" s="17" t="n">
        <v>0</v>
      </c>
      <c r="O636" s="26" t="n">
        <v>1</v>
      </c>
      <c r="P636" s="3" t="inlineStr">
        <is>
          <t>epoch_chip_quantity_latest</t>
        </is>
      </c>
      <c r="Q636" s="3" t="inlineStr">
        <is>
          <t>SRC_EPOCH_AI_DATA_CENTERS; EPOCH_RAW_CHIP_QUANTITIES</t>
        </is>
      </c>
      <c r="R636" s="3" t="inlineStr">
        <is>
          <t>Latest chip quantity per chip type through year-end; normalized by unit count into benchmark buckets.</t>
        </is>
      </c>
    </row>
    <row r="637">
      <c r="A637" s="3" t="inlineStr">
        <is>
          <t>Base|Microsoft Fairwater Wisconsin|2028</t>
        </is>
      </c>
      <c r="B637" s="3" t="inlineStr">
        <is>
          <t>Base</t>
        </is>
      </c>
      <c r="C637" s="3" t="inlineStr">
        <is>
          <t>Microsoft Fairwater Wisconsin</t>
        </is>
      </c>
      <c r="D637" s="3" t="n">
        <v>2028</v>
      </c>
      <c r="E637" s="3" t="inlineStr">
        <is>
          <t>Microsoft</t>
        </is>
      </c>
      <c r="F637" s="17" t="n">
        <v>0</v>
      </c>
      <c r="G637" s="17" t="n">
        <v>1</v>
      </c>
      <c r="H637" s="17" t="n">
        <v>0</v>
      </c>
      <c r="I637" s="17" t="n">
        <v>0</v>
      </c>
      <c r="J637" s="17" t="n">
        <v>0</v>
      </c>
      <c r="K637" s="17" t="n">
        <v>0</v>
      </c>
      <c r="L637" s="17" t="n">
        <v>0</v>
      </c>
      <c r="M637" s="17" t="n">
        <v>0</v>
      </c>
      <c r="N637" s="17" t="n">
        <v>0</v>
      </c>
      <c r="O637" s="26" t="n">
        <v>1</v>
      </c>
      <c r="P637" s="3" t="inlineStr">
        <is>
          <t>epoch_chip_quantity_latest</t>
        </is>
      </c>
      <c r="Q637" s="3" t="inlineStr">
        <is>
          <t>SRC_EPOCH_AI_DATA_CENTERS; EPOCH_RAW_CHIP_QUANTITIES</t>
        </is>
      </c>
      <c r="R637" s="3" t="inlineStr">
        <is>
          <t>Latest chip quantity per chip type through year-end; normalized by unit count into benchmark buckets.</t>
        </is>
      </c>
    </row>
    <row r="638">
      <c r="A638" s="3" t="inlineStr">
        <is>
          <t>Base|Microsoft Fairwater Wisconsin|2029</t>
        </is>
      </c>
      <c r="B638" s="3" t="inlineStr">
        <is>
          <t>Base</t>
        </is>
      </c>
      <c r="C638" s="3" t="inlineStr">
        <is>
          <t>Microsoft Fairwater Wisconsin</t>
        </is>
      </c>
      <c r="D638" s="3" t="n">
        <v>2029</v>
      </c>
      <c r="E638" s="3" t="inlineStr">
        <is>
          <t>Microsoft</t>
        </is>
      </c>
      <c r="F638" s="17" t="n">
        <v>0</v>
      </c>
      <c r="G638" s="17" t="n">
        <v>1</v>
      </c>
      <c r="H638" s="17" t="n">
        <v>0</v>
      </c>
      <c r="I638" s="17" t="n">
        <v>0</v>
      </c>
      <c r="J638" s="17" t="n">
        <v>0</v>
      </c>
      <c r="K638" s="17" t="n">
        <v>0</v>
      </c>
      <c r="L638" s="17" t="n">
        <v>0</v>
      </c>
      <c r="M638" s="17" t="n">
        <v>0</v>
      </c>
      <c r="N638" s="17" t="n">
        <v>0</v>
      </c>
      <c r="O638" s="26" t="n">
        <v>1</v>
      </c>
      <c r="P638" s="3" t="inlineStr">
        <is>
          <t>epoch_chip_quantity_latest</t>
        </is>
      </c>
      <c r="Q638" s="3" t="inlineStr">
        <is>
          <t>SRC_EPOCH_AI_DATA_CENTERS; EPOCH_RAW_CHIP_QUANTITIES</t>
        </is>
      </c>
      <c r="R638" s="3" t="inlineStr">
        <is>
          <t>Latest chip quantity per chip type through year-end; normalized by unit count into benchmark buckets.</t>
        </is>
      </c>
    </row>
    <row r="639">
      <c r="A639" s="3" t="inlineStr">
        <is>
          <t>Base|Microsoft Fairwater Wisconsin|2030</t>
        </is>
      </c>
      <c r="B639" s="3" t="inlineStr">
        <is>
          <t>Base</t>
        </is>
      </c>
      <c r="C639" s="3" t="inlineStr">
        <is>
          <t>Microsoft Fairwater Wisconsin</t>
        </is>
      </c>
      <c r="D639" s="3" t="n">
        <v>2030</v>
      </c>
      <c r="E639" s="3" t="inlineStr">
        <is>
          <t>Microsoft</t>
        </is>
      </c>
      <c r="F639" s="17" t="n">
        <v>0</v>
      </c>
      <c r="G639" s="17" t="n">
        <v>1</v>
      </c>
      <c r="H639" s="17" t="n">
        <v>0</v>
      </c>
      <c r="I639" s="17" t="n">
        <v>0</v>
      </c>
      <c r="J639" s="17" t="n">
        <v>0</v>
      </c>
      <c r="K639" s="17" t="n">
        <v>0</v>
      </c>
      <c r="L639" s="17" t="n">
        <v>0</v>
      </c>
      <c r="M639" s="17" t="n">
        <v>0</v>
      </c>
      <c r="N639" s="17" t="n">
        <v>0</v>
      </c>
      <c r="O639" s="26" t="n">
        <v>1</v>
      </c>
      <c r="P639" s="3" t="inlineStr">
        <is>
          <t>epoch_chip_quantity_latest</t>
        </is>
      </c>
      <c r="Q639" s="3" t="inlineStr">
        <is>
          <t>SRC_EPOCH_AI_DATA_CENTERS; EPOCH_RAW_CHIP_QUANTITIES</t>
        </is>
      </c>
      <c r="R639" s="3" t="inlineStr">
        <is>
          <t>Latest chip quantity per chip type through year-end; normalized by unit count into benchmark buckets.</t>
        </is>
      </c>
    </row>
    <row r="640">
      <c r="A640" s="3" t="inlineStr">
        <is>
          <t>Bull|Microsoft Fairwater Wisconsin|2026</t>
        </is>
      </c>
      <c r="B640" s="3" t="inlineStr">
        <is>
          <t>Bull</t>
        </is>
      </c>
      <c r="C640" s="3" t="inlineStr">
        <is>
          <t>Microsoft Fairwater Wisconsin</t>
        </is>
      </c>
      <c r="D640" s="3" t="n">
        <v>2026</v>
      </c>
      <c r="E640" s="3" t="inlineStr">
        <is>
          <t>Microsoft</t>
        </is>
      </c>
      <c r="F640" s="17" t="n">
        <v>0</v>
      </c>
      <c r="G640" s="17" t="n">
        <v>1</v>
      </c>
      <c r="H640" s="17" t="n">
        <v>0</v>
      </c>
      <c r="I640" s="17" t="n">
        <v>0</v>
      </c>
      <c r="J640" s="17" t="n">
        <v>0</v>
      </c>
      <c r="K640" s="17" t="n">
        <v>0</v>
      </c>
      <c r="L640" s="17" t="n">
        <v>0</v>
      </c>
      <c r="M640" s="17" t="n">
        <v>0</v>
      </c>
      <c r="N640" s="17" t="n">
        <v>0</v>
      </c>
      <c r="O640" s="26" t="n">
        <v>1</v>
      </c>
      <c r="P640" s="3" t="inlineStr">
        <is>
          <t>epoch_chip_quantity_latest</t>
        </is>
      </c>
      <c r="Q640" s="3" t="inlineStr">
        <is>
          <t>SRC_EPOCH_AI_DATA_CENTERS; EPOCH_RAW_CHIP_QUANTITIES</t>
        </is>
      </c>
      <c r="R640" s="3" t="inlineStr">
        <is>
          <t>Latest chip quantity per chip type through year-end; normalized by unit count into benchmark buckets.</t>
        </is>
      </c>
    </row>
    <row r="641">
      <c r="A641" s="3" t="inlineStr">
        <is>
          <t>Bull|Microsoft Fairwater Wisconsin|2027</t>
        </is>
      </c>
      <c r="B641" s="3" t="inlineStr">
        <is>
          <t>Bull</t>
        </is>
      </c>
      <c r="C641" s="3" t="inlineStr">
        <is>
          <t>Microsoft Fairwater Wisconsin</t>
        </is>
      </c>
      <c r="D641" s="3" t="n">
        <v>2027</v>
      </c>
      <c r="E641" s="3" t="inlineStr">
        <is>
          <t>Microsoft</t>
        </is>
      </c>
      <c r="F641" s="17" t="n">
        <v>0</v>
      </c>
      <c r="G641" s="17" t="n">
        <v>1</v>
      </c>
      <c r="H641" s="17" t="n">
        <v>0</v>
      </c>
      <c r="I641" s="17" t="n">
        <v>0</v>
      </c>
      <c r="J641" s="17" t="n">
        <v>0</v>
      </c>
      <c r="K641" s="17" t="n">
        <v>0</v>
      </c>
      <c r="L641" s="17" t="n">
        <v>0</v>
      </c>
      <c r="M641" s="17" t="n">
        <v>0</v>
      </c>
      <c r="N641" s="17" t="n">
        <v>0</v>
      </c>
      <c r="O641" s="26" t="n">
        <v>1</v>
      </c>
      <c r="P641" s="3" t="inlineStr">
        <is>
          <t>epoch_chip_quantity_latest</t>
        </is>
      </c>
      <c r="Q641" s="3" t="inlineStr">
        <is>
          <t>SRC_EPOCH_AI_DATA_CENTERS; EPOCH_RAW_CHIP_QUANTITIES</t>
        </is>
      </c>
      <c r="R641" s="3" t="inlineStr">
        <is>
          <t>Latest chip quantity per chip type through year-end; normalized by unit count into benchmark buckets.</t>
        </is>
      </c>
    </row>
    <row r="642">
      <c r="A642" s="3" t="inlineStr">
        <is>
          <t>Bull|Microsoft Fairwater Wisconsin|2028</t>
        </is>
      </c>
      <c r="B642" s="3" t="inlineStr">
        <is>
          <t>Bull</t>
        </is>
      </c>
      <c r="C642" s="3" t="inlineStr">
        <is>
          <t>Microsoft Fairwater Wisconsin</t>
        </is>
      </c>
      <c r="D642" s="3" t="n">
        <v>2028</v>
      </c>
      <c r="E642" s="3" t="inlineStr">
        <is>
          <t>Microsoft</t>
        </is>
      </c>
      <c r="F642" s="17" t="n">
        <v>0</v>
      </c>
      <c r="G642" s="17" t="n">
        <v>1</v>
      </c>
      <c r="H642" s="17" t="n">
        <v>0</v>
      </c>
      <c r="I642" s="17" t="n">
        <v>0</v>
      </c>
      <c r="J642" s="17" t="n">
        <v>0</v>
      </c>
      <c r="K642" s="17" t="n">
        <v>0</v>
      </c>
      <c r="L642" s="17" t="n">
        <v>0</v>
      </c>
      <c r="M642" s="17" t="n">
        <v>0</v>
      </c>
      <c r="N642" s="17" t="n">
        <v>0</v>
      </c>
      <c r="O642" s="26" t="n">
        <v>1</v>
      </c>
      <c r="P642" s="3" t="inlineStr">
        <is>
          <t>epoch_chip_quantity_latest</t>
        </is>
      </c>
      <c r="Q642" s="3" t="inlineStr">
        <is>
          <t>SRC_EPOCH_AI_DATA_CENTERS; EPOCH_RAW_CHIP_QUANTITIES</t>
        </is>
      </c>
      <c r="R642" s="3" t="inlineStr">
        <is>
          <t>Latest chip quantity per chip type through year-end; normalized by unit count into benchmark buckets.</t>
        </is>
      </c>
    </row>
    <row r="643">
      <c r="A643" s="3" t="inlineStr">
        <is>
          <t>Bull|Microsoft Fairwater Wisconsin|2029</t>
        </is>
      </c>
      <c r="B643" s="3" t="inlineStr">
        <is>
          <t>Bull</t>
        </is>
      </c>
      <c r="C643" s="3" t="inlineStr">
        <is>
          <t>Microsoft Fairwater Wisconsin</t>
        </is>
      </c>
      <c r="D643" s="3" t="n">
        <v>2029</v>
      </c>
      <c r="E643" s="3" t="inlineStr">
        <is>
          <t>Microsoft</t>
        </is>
      </c>
      <c r="F643" s="17" t="n">
        <v>0</v>
      </c>
      <c r="G643" s="17" t="n">
        <v>1</v>
      </c>
      <c r="H643" s="17" t="n">
        <v>0</v>
      </c>
      <c r="I643" s="17" t="n">
        <v>0</v>
      </c>
      <c r="J643" s="17" t="n">
        <v>0</v>
      </c>
      <c r="K643" s="17" t="n">
        <v>0</v>
      </c>
      <c r="L643" s="17" t="n">
        <v>0</v>
      </c>
      <c r="M643" s="17" t="n">
        <v>0</v>
      </c>
      <c r="N643" s="17" t="n">
        <v>0</v>
      </c>
      <c r="O643" s="26" t="n">
        <v>1</v>
      </c>
      <c r="P643" s="3" t="inlineStr">
        <is>
          <t>epoch_chip_quantity_latest</t>
        </is>
      </c>
      <c r="Q643" s="3" t="inlineStr">
        <is>
          <t>SRC_EPOCH_AI_DATA_CENTERS; EPOCH_RAW_CHIP_QUANTITIES</t>
        </is>
      </c>
      <c r="R643" s="3" t="inlineStr">
        <is>
          <t>Latest chip quantity per chip type through year-end; normalized by unit count into benchmark buckets.</t>
        </is>
      </c>
    </row>
    <row r="644">
      <c r="A644" s="3" t="inlineStr">
        <is>
          <t>Bull|Microsoft Fairwater Wisconsin|2030</t>
        </is>
      </c>
      <c r="B644" s="3" t="inlineStr">
        <is>
          <t>Bull</t>
        </is>
      </c>
      <c r="C644" s="3" t="inlineStr">
        <is>
          <t>Microsoft Fairwater Wisconsin</t>
        </is>
      </c>
      <c r="D644" s="3" t="n">
        <v>2030</v>
      </c>
      <c r="E644" s="3" t="inlineStr">
        <is>
          <t>Microsoft</t>
        </is>
      </c>
      <c r="F644" s="17" t="n">
        <v>0</v>
      </c>
      <c r="G644" s="17" t="n">
        <v>1</v>
      </c>
      <c r="H644" s="17" t="n">
        <v>0</v>
      </c>
      <c r="I644" s="17" t="n">
        <v>0</v>
      </c>
      <c r="J644" s="17" t="n">
        <v>0</v>
      </c>
      <c r="K644" s="17" t="n">
        <v>0</v>
      </c>
      <c r="L644" s="17" t="n">
        <v>0</v>
      </c>
      <c r="M644" s="17" t="n">
        <v>0</v>
      </c>
      <c r="N644" s="17" t="n">
        <v>0</v>
      </c>
      <c r="O644" s="26" t="n">
        <v>1</v>
      </c>
      <c r="P644" s="3" t="inlineStr">
        <is>
          <t>epoch_chip_quantity_latest</t>
        </is>
      </c>
      <c r="Q644" s="3" t="inlineStr">
        <is>
          <t>SRC_EPOCH_AI_DATA_CENTERS; EPOCH_RAW_CHIP_QUANTITIES</t>
        </is>
      </c>
      <c r="R644" s="3" t="inlineStr">
        <is>
          <t>Latest chip quantity per chip type through year-end; normalized by unit count into benchmark buckets.</t>
        </is>
      </c>
    </row>
    <row r="645">
      <c r="A645" s="3" t="inlineStr">
        <is>
          <t>Grid-Constrained / Efficiency-Upside|Microsoft Fairwater Wisconsin|2026</t>
        </is>
      </c>
      <c r="B645" s="3" t="inlineStr">
        <is>
          <t>Grid-Constrained / Efficiency-Upside</t>
        </is>
      </c>
      <c r="C645" s="3" t="inlineStr">
        <is>
          <t>Microsoft Fairwater Wisconsin</t>
        </is>
      </c>
      <c r="D645" s="3" t="n">
        <v>2026</v>
      </c>
      <c r="E645" s="3" t="inlineStr">
        <is>
          <t>Microsoft</t>
        </is>
      </c>
      <c r="F645" s="17" t="n">
        <v>0</v>
      </c>
      <c r="G645" s="17" t="n">
        <v>1</v>
      </c>
      <c r="H645" s="17" t="n">
        <v>0</v>
      </c>
      <c r="I645" s="17" t="n">
        <v>0</v>
      </c>
      <c r="J645" s="17" t="n">
        <v>0</v>
      </c>
      <c r="K645" s="17" t="n">
        <v>0</v>
      </c>
      <c r="L645" s="17" t="n">
        <v>0</v>
      </c>
      <c r="M645" s="17" t="n">
        <v>0</v>
      </c>
      <c r="N645" s="17" t="n">
        <v>0</v>
      </c>
      <c r="O645" s="26" t="n">
        <v>1</v>
      </c>
      <c r="P645" s="3" t="inlineStr">
        <is>
          <t>epoch_chip_quantity_latest</t>
        </is>
      </c>
      <c r="Q645" s="3" t="inlineStr">
        <is>
          <t>SRC_EPOCH_AI_DATA_CENTERS; EPOCH_RAW_CHIP_QUANTITIES</t>
        </is>
      </c>
      <c r="R645" s="3" t="inlineStr">
        <is>
          <t>Latest chip quantity per chip type through year-end; normalized by unit count into benchmark buckets.</t>
        </is>
      </c>
    </row>
    <row r="646">
      <c r="A646" s="3" t="inlineStr">
        <is>
          <t>Grid-Constrained / Efficiency-Upside|Microsoft Fairwater Wisconsin|2027</t>
        </is>
      </c>
      <c r="B646" s="3" t="inlineStr">
        <is>
          <t>Grid-Constrained / Efficiency-Upside</t>
        </is>
      </c>
      <c r="C646" s="3" t="inlineStr">
        <is>
          <t>Microsoft Fairwater Wisconsin</t>
        </is>
      </c>
      <c r="D646" s="3" t="n">
        <v>2027</v>
      </c>
      <c r="E646" s="3" t="inlineStr">
        <is>
          <t>Microsoft</t>
        </is>
      </c>
      <c r="F646" s="17" t="n">
        <v>0</v>
      </c>
      <c r="G646" s="17" t="n">
        <v>1</v>
      </c>
      <c r="H646" s="17" t="n">
        <v>0</v>
      </c>
      <c r="I646" s="17" t="n">
        <v>0</v>
      </c>
      <c r="J646" s="17" t="n">
        <v>0</v>
      </c>
      <c r="K646" s="17" t="n">
        <v>0</v>
      </c>
      <c r="L646" s="17" t="n">
        <v>0</v>
      </c>
      <c r="M646" s="17" t="n">
        <v>0</v>
      </c>
      <c r="N646" s="17" t="n">
        <v>0</v>
      </c>
      <c r="O646" s="26" t="n">
        <v>1</v>
      </c>
      <c r="P646" s="3" t="inlineStr">
        <is>
          <t>epoch_chip_quantity_latest</t>
        </is>
      </c>
      <c r="Q646" s="3" t="inlineStr">
        <is>
          <t>SRC_EPOCH_AI_DATA_CENTERS; EPOCH_RAW_CHIP_QUANTITIES</t>
        </is>
      </c>
      <c r="R646" s="3" t="inlineStr">
        <is>
          <t>Latest chip quantity per chip type through year-end; normalized by unit count into benchmark buckets.</t>
        </is>
      </c>
    </row>
    <row r="647">
      <c r="A647" s="3" t="inlineStr">
        <is>
          <t>Grid-Constrained / Efficiency-Upside|Microsoft Fairwater Wisconsin|2028</t>
        </is>
      </c>
      <c r="B647" s="3" t="inlineStr">
        <is>
          <t>Grid-Constrained / Efficiency-Upside</t>
        </is>
      </c>
      <c r="C647" s="3" t="inlineStr">
        <is>
          <t>Microsoft Fairwater Wisconsin</t>
        </is>
      </c>
      <c r="D647" s="3" t="n">
        <v>2028</v>
      </c>
      <c r="E647" s="3" t="inlineStr">
        <is>
          <t>Microsoft</t>
        </is>
      </c>
      <c r="F647" s="17" t="n">
        <v>0</v>
      </c>
      <c r="G647" s="17" t="n">
        <v>1</v>
      </c>
      <c r="H647" s="17" t="n">
        <v>0</v>
      </c>
      <c r="I647" s="17" t="n">
        <v>0</v>
      </c>
      <c r="J647" s="17" t="n">
        <v>0</v>
      </c>
      <c r="K647" s="17" t="n">
        <v>0</v>
      </c>
      <c r="L647" s="17" t="n">
        <v>0</v>
      </c>
      <c r="M647" s="17" t="n">
        <v>0</v>
      </c>
      <c r="N647" s="17" t="n">
        <v>0</v>
      </c>
      <c r="O647" s="26" t="n">
        <v>1</v>
      </c>
      <c r="P647" s="3" t="inlineStr">
        <is>
          <t>epoch_chip_quantity_latest</t>
        </is>
      </c>
      <c r="Q647" s="3" t="inlineStr">
        <is>
          <t>SRC_EPOCH_AI_DATA_CENTERS; EPOCH_RAW_CHIP_QUANTITIES</t>
        </is>
      </c>
      <c r="R647" s="3" t="inlineStr">
        <is>
          <t>Latest chip quantity per chip type through year-end; normalized by unit count into benchmark buckets.</t>
        </is>
      </c>
    </row>
    <row r="648">
      <c r="A648" s="3" t="inlineStr">
        <is>
          <t>Grid-Constrained / Efficiency-Upside|Microsoft Fairwater Wisconsin|2029</t>
        </is>
      </c>
      <c r="B648" s="3" t="inlineStr">
        <is>
          <t>Grid-Constrained / Efficiency-Upside</t>
        </is>
      </c>
      <c r="C648" s="3" t="inlineStr">
        <is>
          <t>Microsoft Fairwater Wisconsin</t>
        </is>
      </c>
      <c r="D648" s="3" t="n">
        <v>2029</v>
      </c>
      <c r="E648" s="3" t="inlineStr">
        <is>
          <t>Microsoft</t>
        </is>
      </c>
      <c r="F648" s="17" t="n">
        <v>0</v>
      </c>
      <c r="G648" s="17" t="n">
        <v>1</v>
      </c>
      <c r="H648" s="17" t="n">
        <v>0</v>
      </c>
      <c r="I648" s="17" t="n">
        <v>0</v>
      </c>
      <c r="J648" s="17" t="n">
        <v>0</v>
      </c>
      <c r="K648" s="17" t="n">
        <v>0</v>
      </c>
      <c r="L648" s="17" t="n">
        <v>0</v>
      </c>
      <c r="M648" s="17" t="n">
        <v>0</v>
      </c>
      <c r="N648" s="17" t="n">
        <v>0</v>
      </c>
      <c r="O648" s="26" t="n">
        <v>1</v>
      </c>
      <c r="P648" s="3" t="inlineStr">
        <is>
          <t>epoch_chip_quantity_latest</t>
        </is>
      </c>
      <c r="Q648" s="3" t="inlineStr">
        <is>
          <t>SRC_EPOCH_AI_DATA_CENTERS; EPOCH_RAW_CHIP_QUANTITIES</t>
        </is>
      </c>
      <c r="R648" s="3" t="inlineStr">
        <is>
          <t>Latest chip quantity per chip type through year-end; normalized by unit count into benchmark buckets.</t>
        </is>
      </c>
    </row>
    <row r="649">
      <c r="A649" s="3" t="inlineStr">
        <is>
          <t>Grid-Constrained / Efficiency-Upside|Microsoft Fairwater Wisconsin|2030</t>
        </is>
      </c>
      <c r="B649" s="3" t="inlineStr">
        <is>
          <t>Grid-Constrained / Efficiency-Upside</t>
        </is>
      </c>
      <c r="C649" s="3" t="inlineStr">
        <is>
          <t>Microsoft Fairwater Wisconsin</t>
        </is>
      </c>
      <c r="D649" s="3" t="n">
        <v>2030</v>
      </c>
      <c r="E649" s="3" t="inlineStr">
        <is>
          <t>Microsoft</t>
        </is>
      </c>
      <c r="F649" s="17" t="n">
        <v>0</v>
      </c>
      <c r="G649" s="17" t="n">
        <v>1</v>
      </c>
      <c r="H649" s="17" t="n">
        <v>0</v>
      </c>
      <c r="I649" s="17" t="n">
        <v>0</v>
      </c>
      <c r="J649" s="17" t="n">
        <v>0</v>
      </c>
      <c r="K649" s="17" t="n">
        <v>0</v>
      </c>
      <c r="L649" s="17" t="n">
        <v>0</v>
      </c>
      <c r="M649" s="17" t="n">
        <v>0</v>
      </c>
      <c r="N649" s="17" t="n">
        <v>0</v>
      </c>
      <c r="O649" s="26" t="n">
        <v>1</v>
      </c>
      <c r="P649" s="3" t="inlineStr">
        <is>
          <t>epoch_chip_quantity_latest</t>
        </is>
      </c>
      <c r="Q649" s="3" t="inlineStr">
        <is>
          <t>SRC_EPOCH_AI_DATA_CENTERS; EPOCH_RAW_CHIP_QUANTITIES</t>
        </is>
      </c>
      <c r="R649" s="3" t="inlineStr">
        <is>
          <t>Latest chip quantity per chip type through year-end; normalized by unit count into benchmark buckets.</t>
        </is>
      </c>
    </row>
    <row r="650">
      <c r="A650" s="3" t="inlineStr">
        <is>
          <t>Bear|Microsoft Goodyear|2026</t>
        </is>
      </c>
      <c r="B650" s="3" t="inlineStr">
        <is>
          <t>Bear</t>
        </is>
      </c>
      <c r="C650" s="3" t="inlineStr">
        <is>
          <t>Microsoft Goodyear</t>
        </is>
      </c>
      <c r="D650" s="3" t="n">
        <v>2026</v>
      </c>
      <c r="E650" s="3" t="inlineStr">
        <is>
          <t>Microsoft</t>
        </is>
      </c>
      <c r="F650" s="17" t="n">
        <v>0.500777</v>
      </c>
      <c r="G650" s="17" t="n">
        <v>0.499223</v>
      </c>
      <c r="H650" s="17" t="n">
        <v>0</v>
      </c>
      <c r="I650" s="17" t="n">
        <v>0</v>
      </c>
      <c r="J650" s="17" t="n">
        <v>0</v>
      </c>
      <c r="K650" s="17" t="n">
        <v>0</v>
      </c>
      <c r="L650" s="17" t="n">
        <v>0</v>
      </c>
      <c r="M650" s="17" t="n">
        <v>0</v>
      </c>
      <c r="N650" s="17" t="n">
        <v>0</v>
      </c>
      <c r="O650" s="26" t="n">
        <v>1</v>
      </c>
      <c r="P650" s="3" t="inlineStr">
        <is>
          <t>epoch_chip_quantity_latest</t>
        </is>
      </c>
      <c r="Q650" s="3" t="inlineStr">
        <is>
          <t>SRC_EPOCH_AI_DATA_CENTERS; EPOCH_RAW_CHIP_QUANTITIES</t>
        </is>
      </c>
      <c r="R650" s="3" t="inlineStr">
        <is>
          <t>Latest chip quantity per chip type through year-end; normalized by unit count into benchmark buckets.</t>
        </is>
      </c>
    </row>
    <row r="651">
      <c r="A651" s="3" t="inlineStr">
        <is>
          <t>Bear|Microsoft Goodyear|2027</t>
        </is>
      </c>
      <c r="B651" s="3" t="inlineStr">
        <is>
          <t>Bear</t>
        </is>
      </c>
      <c r="C651" s="3" t="inlineStr">
        <is>
          <t>Microsoft Goodyear</t>
        </is>
      </c>
      <c r="D651" s="3" t="n">
        <v>2027</v>
      </c>
      <c r="E651" s="3" t="inlineStr">
        <is>
          <t>Microsoft</t>
        </is>
      </c>
      <c r="F651" s="17" t="n">
        <v>0.500777</v>
      </c>
      <c r="G651" s="17" t="n">
        <v>0.499223</v>
      </c>
      <c r="H651" s="17" t="n">
        <v>0</v>
      </c>
      <c r="I651" s="17" t="n">
        <v>0</v>
      </c>
      <c r="J651" s="17" t="n">
        <v>0</v>
      </c>
      <c r="K651" s="17" t="n">
        <v>0</v>
      </c>
      <c r="L651" s="17" t="n">
        <v>0</v>
      </c>
      <c r="M651" s="17" t="n">
        <v>0</v>
      </c>
      <c r="N651" s="17" t="n">
        <v>0</v>
      </c>
      <c r="O651" s="26" t="n">
        <v>1</v>
      </c>
      <c r="P651" s="3" t="inlineStr">
        <is>
          <t>epoch_chip_quantity_latest</t>
        </is>
      </c>
      <c r="Q651" s="3" t="inlineStr">
        <is>
          <t>SRC_EPOCH_AI_DATA_CENTERS; EPOCH_RAW_CHIP_QUANTITIES</t>
        </is>
      </c>
      <c r="R651" s="3" t="inlineStr">
        <is>
          <t>Latest chip quantity per chip type through year-end; normalized by unit count into benchmark buckets.</t>
        </is>
      </c>
    </row>
    <row r="652">
      <c r="A652" s="3" t="inlineStr">
        <is>
          <t>Bear|Microsoft Goodyear|2028</t>
        </is>
      </c>
      <c r="B652" s="3" t="inlineStr">
        <is>
          <t>Bear</t>
        </is>
      </c>
      <c r="C652" s="3" t="inlineStr">
        <is>
          <t>Microsoft Goodyear</t>
        </is>
      </c>
      <c r="D652" s="3" t="n">
        <v>2028</v>
      </c>
      <c r="E652" s="3" t="inlineStr">
        <is>
          <t>Microsoft</t>
        </is>
      </c>
      <c r="F652" s="17" t="n">
        <v>0.500777</v>
      </c>
      <c r="G652" s="17" t="n">
        <v>0.499223</v>
      </c>
      <c r="H652" s="17" t="n">
        <v>0</v>
      </c>
      <c r="I652" s="17" t="n">
        <v>0</v>
      </c>
      <c r="J652" s="17" t="n">
        <v>0</v>
      </c>
      <c r="K652" s="17" t="n">
        <v>0</v>
      </c>
      <c r="L652" s="17" t="n">
        <v>0</v>
      </c>
      <c r="M652" s="17" t="n">
        <v>0</v>
      </c>
      <c r="N652" s="17" t="n">
        <v>0</v>
      </c>
      <c r="O652" s="26" t="n">
        <v>1</v>
      </c>
      <c r="P652" s="3" t="inlineStr">
        <is>
          <t>epoch_chip_quantity_latest</t>
        </is>
      </c>
      <c r="Q652" s="3" t="inlineStr">
        <is>
          <t>SRC_EPOCH_AI_DATA_CENTERS; EPOCH_RAW_CHIP_QUANTITIES</t>
        </is>
      </c>
      <c r="R652" s="3" t="inlineStr">
        <is>
          <t>Latest chip quantity per chip type through year-end; normalized by unit count into benchmark buckets.</t>
        </is>
      </c>
    </row>
    <row r="653">
      <c r="A653" s="3" t="inlineStr">
        <is>
          <t>Bear|Microsoft Goodyear|2029</t>
        </is>
      </c>
      <c r="B653" s="3" t="inlineStr">
        <is>
          <t>Bear</t>
        </is>
      </c>
      <c r="C653" s="3" t="inlineStr">
        <is>
          <t>Microsoft Goodyear</t>
        </is>
      </c>
      <c r="D653" s="3" t="n">
        <v>2029</v>
      </c>
      <c r="E653" s="3" t="inlineStr">
        <is>
          <t>Microsoft</t>
        </is>
      </c>
      <c r="F653" s="17" t="n">
        <v>0.500777</v>
      </c>
      <c r="G653" s="17" t="n">
        <v>0.499223</v>
      </c>
      <c r="H653" s="17" t="n">
        <v>0</v>
      </c>
      <c r="I653" s="17" t="n">
        <v>0</v>
      </c>
      <c r="J653" s="17" t="n">
        <v>0</v>
      </c>
      <c r="K653" s="17" t="n">
        <v>0</v>
      </c>
      <c r="L653" s="17" t="n">
        <v>0</v>
      </c>
      <c r="M653" s="17" t="n">
        <v>0</v>
      </c>
      <c r="N653" s="17" t="n">
        <v>0</v>
      </c>
      <c r="O653" s="26" t="n">
        <v>1</v>
      </c>
      <c r="P653" s="3" t="inlineStr">
        <is>
          <t>epoch_chip_quantity_latest</t>
        </is>
      </c>
      <c r="Q653" s="3" t="inlineStr">
        <is>
          <t>SRC_EPOCH_AI_DATA_CENTERS; EPOCH_RAW_CHIP_QUANTITIES</t>
        </is>
      </c>
      <c r="R653" s="3" t="inlineStr">
        <is>
          <t>Latest chip quantity per chip type through year-end; normalized by unit count into benchmark buckets.</t>
        </is>
      </c>
    </row>
    <row r="654">
      <c r="A654" s="3" t="inlineStr">
        <is>
          <t>Bear|Microsoft Goodyear|2030</t>
        </is>
      </c>
      <c r="B654" s="3" t="inlineStr">
        <is>
          <t>Bear</t>
        </is>
      </c>
      <c r="C654" s="3" t="inlineStr">
        <is>
          <t>Microsoft Goodyear</t>
        </is>
      </c>
      <c r="D654" s="3" t="n">
        <v>2030</v>
      </c>
      <c r="E654" s="3" t="inlineStr">
        <is>
          <t>Microsoft</t>
        </is>
      </c>
      <c r="F654" s="17" t="n">
        <v>0.500777</v>
      </c>
      <c r="G654" s="17" t="n">
        <v>0.499223</v>
      </c>
      <c r="H654" s="17" t="n">
        <v>0</v>
      </c>
      <c r="I654" s="17" t="n">
        <v>0</v>
      </c>
      <c r="J654" s="17" t="n">
        <v>0</v>
      </c>
      <c r="K654" s="17" t="n">
        <v>0</v>
      </c>
      <c r="L654" s="17" t="n">
        <v>0</v>
      </c>
      <c r="M654" s="17" t="n">
        <v>0</v>
      </c>
      <c r="N654" s="17" t="n">
        <v>0</v>
      </c>
      <c r="O654" s="26" t="n">
        <v>1</v>
      </c>
      <c r="P654" s="3" t="inlineStr">
        <is>
          <t>epoch_chip_quantity_latest</t>
        </is>
      </c>
      <c r="Q654" s="3" t="inlineStr">
        <is>
          <t>SRC_EPOCH_AI_DATA_CENTERS; EPOCH_RAW_CHIP_QUANTITIES</t>
        </is>
      </c>
      <c r="R654" s="3" t="inlineStr">
        <is>
          <t>Latest chip quantity per chip type through year-end; normalized by unit count into benchmark buckets.</t>
        </is>
      </c>
    </row>
    <row r="655">
      <c r="A655" s="3" t="inlineStr">
        <is>
          <t>Base|Microsoft Goodyear|2026</t>
        </is>
      </c>
      <c r="B655" s="3" t="inlineStr">
        <is>
          <t>Base</t>
        </is>
      </c>
      <c r="C655" s="3" t="inlineStr">
        <is>
          <t>Microsoft Goodyear</t>
        </is>
      </c>
      <c r="D655" s="3" t="n">
        <v>2026</v>
      </c>
      <c r="E655" s="3" t="inlineStr">
        <is>
          <t>Microsoft</t>
        </is>
      </c>
      <c r="F655" s="17" t="n">
        <v>0.500777</v>
      </c>
      <c r="G655" s="17" t="n">
        <v>0.499223</v>
      </c>
      <c r="H655" s="17" t="n">
        <v>0</v>
      </c>
      <c r="I655" s="17" t="n">
        <v>0</v>
      </c>
      <c r="J655" s="17" t="n">
        <v>0</v>
      </c>
      <c r="K655" s="17" t="n">
        <v>0</v>
      </c>
      <c r="L655" s="17" t="n">
        <v>0</v>
      </c>
      <c r="M655" s="17" t="n">
        <v>0</v>
      </c>
      <c r="N655" s="17" t="n">
        <v>0</v>
      </c>
      <c r="O655" s="26" t="n">
        <v>1</v>
      </c>
      <c r="P655" s="3" t="inlineStr">
        <is>
          <t>epoch_chip_quantity_latest</t>
        </is>
      </c>
      <c r="Q655" s="3" t="inlineStr">
        <is>
          <t>SRC_EPOCH_AI_DATA_CENTERS; EPOCH_RAW_CHIP_QUANTITIES</t>
        </is>
      </c>
      <c r="R655" s="3" t="inlineStr">
        <is>
          <t>Latest chip quantity per chip type through year-end; normalized by unit count into benchmark buckets.</t>
        </is>
      </c>
    </row>
    <row r="656">
      <c r="A656" s="3" t="inlineStr">
        <is>
          <t>Base|Microsoft Goodyear|2027</t>
        </is>
      </c>
      <c r="B656" s="3" t="inlineStr">
        <is>
          <t>Base</t>
        </is>
      </c>
      <c r="C656" s="3" t="inlineStr">
        <is>
          <t>Microsoft Goodyear</t>
        </is>
      </c>
      <c r="D656" s="3" t="n">
        <v>2027</v>
      </c>
      <c r="E656" s="3" t="inlineStr">
        <is>
          <t>Microsoft</t>
        </is>
      </c>
      <c r="F656" s="17" t="n">
        <v>0.500777</v>
      </c>
      <c r="G656" s="17" t="n">
        <v>0.499223</v>
      </c>
      <c r="H656" s="17" t="n">
        <v>0</v>
      </c>
      <c r="I656" s="17" t="n">
        <v>0</v>
      </c>
      <c r="J656" s="17" t="n">
        <v>0</v>
      </c>
      <c r="K656" s="17" t="n">
        <v>0</v>
      </c>
      <c r="L656" s="17" t="n">
        <v>0</v>
      </c>
      <c r="M656" s="17" t="n">
        <v>0</v>
      </c>
      <c r="N656" s="17" t="n">
        <v>0</v>
      </c>
      <c r="O656" s="26" t="n">
        <v>1</v>
      </c>
      <c r="P656" s="3" t="inlineStr">
        <is>
          <t>epoch_chip_quantity_latest</t>
        </is>
      </c>
      <c r="Q656" s="3" t="inlineStr">
        <is>
          <t>SRC_EPOCH_AI_DATA_CENTERS; EPOCH_RAW_CHIP_QUANTITIES</t>
        </is>
      </c>
      <c r="R656" s="3" t="inlineStr">
        <is>
          <t>Latest chip quantity per chip type through year-end; normalized by unit count into benchmark buckets.</t>
        </is>
      </c>
    </row>
    <row r="657">
      <c r="A657" s="3" t="inlineStr">
        <is>
          <t>Base|Microsoft Goodyear|2028</t>
        </is>
      </c>
      <c r="B657" s="3" t="inlineStr">
        <is>
          <t>Base</t>
        </is>
      </c>
      <c r="C657" s="3" t="inlineStr">
        <is>
          <t>Microsoft Goodyear</t>
        </is>
      </c>
      <c r="D657" s="3" t="n">
        <v>2028</v>
      </c>
      <c r="E657" s="3" t="inlineStr">
        <is>
          <t>Microsoft</t>
        </is>
      </c>
      <c r="F657" s="17" t="n">
        <v>0.500777</v>
      </c>
      <c r="G657" s="17" t="n">
        <v>0.499223</v>
      </c>
      <c r="H657" s="17" t="n">
        <v>0</v>
      </c>
      <c r="I657" s="17" t="n">
        <v>0</v>
      </c>
      <c r="J657" s="17" t="n">
        <v>0</v>
      </c>
      <c r="K657" s="17" t="n">
        <v>0</v>
      </c>
      <c r="L657" s="17" t="n">
        <v>0</v>
      </c>
      <c r="M657" s="17" t="n">
        <v>0</v>
      </c>
      <c r="N657" s="17" t="n">
        <v>0</v>
      </c>
      <c r="O657" s="26" t="n">
        <v>1</v>
      </c>
      <c r="P657" s="3" t="inlineStr">
        <is>
          <t>epoch_chip_quantity_latest</t>
        </is>
      </c>
      <c r="Q657" s="3" t="inlineStr">
        <is>
          <t>SRC_EPOCH_AI_DATA_CENTERS; EPOCH_RAW_CHIP_QUANTITIES</t>
        </is>
      </c>
      <c r="R657" s="3" t="inlineStr">
        <is>
          <t>Latest chip quantity per chip type through year-end; normalized by unit count into benchmark buckets.</t>
        </is>
      </c>
    </row>
    <row r="658">
      <c r="A658" s="3" t="inlineStr">
        <is>
          <t>Base|Microsoft Goodyear|2029</t>
        </is>
      </c>
      <c r="B658" s="3" t="inlineStr">
        <is>
          <t>Base</t>
        </is>
      </c>
      <c r="C658" s="3" t="inlineStr">
        <is>
          <t>Microsoft Goodyear</t>
        </is>
      </c>
      <c r="D658" s="3" t="n">
        <v>2029</v>
      </c>
      <c r="E658" s="3" t="inlineStr">
        <is>
          <t>Microsoft</t>
        </is>
      </c>
      <c r="F658" s="17" t="n">
        <v>0.500777</v>
      </c>
      <c r="G658" s="17" t="n">
        <v>0.499223</v>
      </c>
      <c r="H658" s="17" t="n">
        <v>0</v>
      </c>
      <c r="I658" s="17" t="n">
        <v>0</v>
      </c>
      <c r="J658" s="17" t="n">
        <v>0</v>
      </c>
      <c r="K658" s="17" t="n">
        <v>0</v>
      </c>
      <c r="L658" s="17" t="n">
        <v>0</v>
      </c>
      <c r="M658" s="17" t="n">
        <v>0</v>
      </c>
      <c r="N658" s="17" t="n">
        <v>0</v>
      </c>
      <c r="O658" s="26" t="n">
        <v>1</v>
      </c>
      <c r="P658" s="3" t="inlineStr">
        <is>
          <t>epoch_chip_quantity_latest</t>
        </is>
      </c>
      <c r="Q658" s="3" t="inlineStr">
        <is>
          <t>SRC_EPOCH_AI_DATA_CENTERS; EPOCH_RAW_CHIP_QUANTITIES</t>
        </is>
      </c>
      <c r="R658" s="3" t="inlineStr">
        <is>
          <t>Latest chip quantity per chip type through year-end; normalized by unit count into benchmark buckets.</t>
        </is>
      </c>
    </row>
    <row r="659">
      <c r="A659" s="3" t="inlineStr">
        <is>
          <t>Base|Microsoft Goodyear|2030</t>
        </is>
      </c>
      <c r="B659" s="3" t="inlineStr">
        <is>
          <t>Base</t>
        </is>
      </c>
      <c r="C659" s="3" t="inlineStr">
        <is>
          <t>Microsoft Goodyear</t>
        </is>
      </c>
      <c r="D659" s="3" t="n">
        <v>2030</v>
      </c>
      <c r="E659" s="3" t="inlineStr">
        <is>
          <t>Microsoft</t>
        </is>
      </c>
      <c r="F659" s="17" t="n">
        <v>0.500777</v>
      </c>
      <c r="G659" s="17" t="n">
        <v>0.499223</v>
      </c>
      <c r="H659" s="17" t="n">
        <v>0</v>
      </c>
      <c r="I659" s="17" t="n">
        <v>0</v>
      </c>
      <c r="J659" s="17" t="n">
        <v>0</v>
      </c>
      <c r="K659" s="17" t="n">
        <v>0</v>
      </c>
      <c r="L659" s="17" t="n">
        <v>0</v>
      </c>
      <c r="M659" s="17" t="n">
        <v>0</v>
      </c>
      <c r="N659" s="17" t="n">
        <v>0</v>
      </c>
      <c r="O659" s="26" t="n">
        <v>1</v>
      </c>
      <c r="P659" s="3" t="inlineStr">
        <is>
          <t>epoch_chip_quantity_latest</t>
        </is>
      </c>
      <c r="Q659" s="3" t="inlineStr">
        <is>
          <t>SRC_EPOCH_AI_DATA_CENTERS; EPOCH_RAW_CHIP_QUANTITIES</t>
        </is>
      </c>
      <c r="R659" s="3" t="inlineStr">
        <is>
          <t>Latest chip quantity per chip type through year-end; normalized by unit count into benchmark buckets.</t>
        </is>
      </c>
    </row>
    <row r="660">
      <c r="A660" s="3" t="inlineStr">
        <is>
          <t>Bull|Microsoft Goodyear|2026</t>
        </is>
      </c>
      <c r="B660" s="3" t="inlineStr">
        <is>
          <t>Bull</t>
        </is>
      </c>
      <c r="C660" s="3" t="inlineStr">
        <is>
          <t>Microsoft Goodyear</t>
        </is>
      </c>
      <c r="D660" s="3" t="n">
        <v>2026</v>
      </c>
      <c r="E660" s="3" t="inlineStr">
        <is>
          <t>Microsoft</t>
        </is>
      </c>
      <c r="F660" s="17" t="n">
        <v>0.500777</v>
      </c>
      <c r="G660" s="17" t="n">
        <v>0.499223</v>
      </c>
      <c r="H660" s="17" t="n">
        <v>0</v>
      </c>
      <c r="I660" s="17" t="n">
        <v>0</v>
      </c>
      <c r="J660" s="17" t="n">
        <v>0</v>
      </c>
      <c r="K660" s="17" t="n">
        <v>0</v>
      </c>
      <c r="L660" s="17" t="n">
        <v>0</v>
      </c>
      <c r="M660" s="17" t="n">
        <v>0</v>
      </c>
      <c r="N660" s="17" t="n">
        <v>0</v>
      </c>
      <c r="O660" s="26" t="n">
        <v>1</v>
      </c>
      <c r="P660" s="3" t="inlineStr">
        <is>
          <t>epoch_chip_quantity_latest</t>
        </is>
      </c>
      <c r="Q660" s="3" t="inlineStr">
        <is>
          <t>SRC_EPOCH_AI_DATA_CENTERS; EPOCH_RAW_CHIP_QUANTITIES</t>
        </is>
      </c>
      <c r="R660" s="3" t="inlineStr">
        <is>
          <t>Latest chip quantity per chip type through year-end; normalized by unit count into benchmark buckets.</t>
        </is>
      </c>
    </row>
    <row r="661">
      <c r="A661" s="3" t="inlineStr">
        <is>
          <t>Bull|Microsoft Goodyear|2027</t>
        </is>
      </c>
      <c r="B661" s="3" t="inlineStr">
        <is>
          <t>Bull</t>
        </is>
      </c>
      <c r="C661" s="3" t="inlineStr">
        <is>
          <t>Microsoft Goodyear</t>
        </is>
      </c>
      <c r="D661" s="3" t="n">
        <v>2027</v>
      </c>
      <c r="E661" s="3" t="inlineStr">
        <is>
          <t>Microsoft</t>
        </is>
      </c>
      <c r="F661" s="17" t="n">
        <v>0.500777</v>
      </c>
      <c r="G661" s="17" t="n">
        <v>0.499223</v>
      </c>
      <c r="H661" s="17" t="n">
        <v>0</v>
      </c>
      <c r="I661" s="17" t="n">
        <v>0</v>
      </c>
      <c r="J661" s="17" t="n">
        <v>0</v>
      </c>
      <c r="K661" s="17" t="n">
        <v>0</v>
      </c>
      <c r="L661" s="17" t="n">
        <v>0</v>
      </c>
      <c r="M661" s="17" t="n">
        <v>0</v>
      </c>
      <c r="N661" s="17" t="n">
        <v>0</v>
      </c>
      <c r="O661" s="26" t="n">
        <v>1</v>
      </c>
      <c r="P661" s="3" t="inlineStr">
        <is>
          <t>epoch_chip_quantity_latest</t>
        </is>
      </c>
      <c r="Q661" s="3" t="inlineStr">
        <is>
          <t>SRC_EPOCH_AI_DATA_CENTERS; EPOCH_RAW_CHIP_QUANTITIES</t>
        </is>
      </c>
      <c r="R661" s="3" t="inlineStr">
        <is>
          <t>Latest chip quantity per chip type through year-end; normalized by unit count into benchmark buckets.</t>
        </is>
      </c>
    </row>
    <row r="662">
      <c r="A662" s="3" t="inlineStr">
        <is>
          <t>Bull|Microsoft Goodyear|2028</t>
        </is>
      </c>
      <c r="B662" s="3" t="inlineStr">
        <is>
          <t>Bull</t>
        </is>
      </c>
      <c r="C662" s="3" t="inlineStr">
        <is>
          <t>Microsoft Goodyear</t>
        </is>
      </c>
      <c r="D662" s="3" t="n">
        <v>2028</v>
      </c>
      <c r="E662" s="3" t="inlineStr">
        <is>
          <t>Microsoft</t>
        </is>
      </c>
      <c r="F662" s="17" t="n">
        <v>0.500777</v>
      </c>
      <c r="G662" s="17" t="n">
        <v>0.499223</v>
      </c>
      <c r="H662" s="17" t="n">
        <v>0</v>
      </c>
      <c r="I662" s="17" t="n">
        <v>0</v>
      </c>
      <c r="J662" s="17" t="n">
        <v>0</v>
      </c>
      <c r="K662" s="17" t="n">
        <v>0</v>
      </c>
      <c r="L662" s="17" t="n">
        <v>0</v>
      </c>
      <c r="M662" s="17" t="n">
        <v>0</v>
      </c>
      <c r="N662" s="17" t="n">
        <v>0</v>
      </c>
      <c r="O662" s="26" t="n">
        <v>1</v>
      </c>
      <c r="P662" s="3" t="inlineStr">
        <is>
          <t>epoch_chip_quantity_latest</t>
        </is>
      </c>
      <c r="Q662" s="3" t="inlineStr">
        <is>
          <t>SRC_EPOCH_AI_DATA_CENTERS; EPOCH_RAW_CHIP_QUANTITIES</t>
        </is>
      </c>
      <c r="R662" s="3" t="inlineStr">
        <is>
          <t>Latest chip quantity per chip type through year-end; normalized by unit count into benchmark buckets.</t>
        </is>
      </c>
    </row>
    <row r="663">
      <c r="A663" s="3" t="inlineStr">
        <is>
          <t>Bull|Microsoft Goodyear|2029</t>
        </is>
      </c>
      <c r="B663" s="3" t="inlineStr">
        <is>
          <t>Bull</t>
        </is>
      </c>
      <c r="C663" s="3" t="inlineStr">
        <is>
          <t>Microsoft Goodyear</t>
        </is>
      </c>
      <c r="D663" s="3" t="n">
        <v>2029</v>
      </c>
      <c r="E663" s="3" t="inlineStr">
        <is>
          <t>Microsoft</t>
        </is>
      </c>
      <c r="F663" s="17" t="n">
        <v>0.500777</v>
      </c>
      <c r="G663" s="17" t="n">
        <v>0.499223</v>
      </c>
      <c r="H663" s="17" t="n">
        <v>0</v>
      </c>
      <c r="I663" s="17" t="n">
        <v>0</v>
      </c>
      <c r="J663" s="17" t="n">
        <v>0</v>
      </c>
      <c r="K663" s="17" t="n">
        <v>0</v>
      </c>
      <c r="L663" s="17" t="n">
        <v>0</v>
      </c>
      <c r="M663" s="17" t="n">
        <v>0</v>
      </c>
      <c r="N663" s="17" t="n">
        <v>0</v>
      </c>
      <c r="O663" s="26" t="n">
        <v>1</v>
      </c>
      <c r="P663" s="3" t="inlineStr">
        <is>
          <t>epoch_chip_quantity_latest</t>
        </is>
      </c>
      <c r="Q663" s="3" t="inlineStr">
        <is>
          <t>SRC_EPOCH_AI_DATA_CENTERS; EPOCH_RAW_CHIP_QUANTITIES</t>
        </is>
      </c>
      <c r="R663" s="3" t="inlineStr">
        <is>
          <t>Latest chip quantity per chip type through year-end; normalized by unit count into benchmark buckets.</t>
        </is>
      </c>
    </row>
    <row r="664">
      <c r="A664" s="3" t="inlineStr">
        <is>
          <t>Bull|Microsoft Goodyear|2030</t>
        </is>
      </c>
      <c r="B664" s="3" t="inlineStr">
        <is>
          <t>Bull</t>
        </is>
      </c>
      <c r="C664" s="3" t="inlineStr">
        <is>
          <t>Microsoft Goodyear</t>
        </is>
      </c>
      <c r="D664" s="3" t="n">
        <v>2030</v>
      </c>
      <c r="E664" s="3" t="inlineStr">
        <is>
          <t>Microsoft</t>
        </is>
      </c>
      <c r="F664" s="17" t="n">
        <v>0.500777</v>
      </c>
      <c r="G664" s="17" t="n">
        <v>0.499223</v>
      </c>
      <c r="H664" s="17" t="n">
        <v>0</v>
      </c>
      <c r="I664" s="17" t="n">
        <v>0</v>
      </c>
      <c r="J664" s="17" t="n">
        <v>0</v>
      </c>
      <c r="K664" s="17" t="n">
        <v>0</v>
      </c>
      <c r="L664" s="17" t="n">
        <v>0</v>
      </c>
      <c r="M664" s="17" t="n">
        <v>0</v>
      </c>
      <c r="N664" s="17" t="n">
        <v>0</v>
      </c>
      <c r="O664" s="26" t="n">
        <v>1</v>
      </c>
      <c r="P664" s="3" t="inlineStr">
        <is>
          <t>epoch_chip_quantity_latest</t>
        </is>
      </c>
      <c r="Q664" s="3" t="inlineStr">
        <is>
          <t>SRC_EPOCH_AI_DATA_CENTERS; EPOCH_RAW_CHIP_QUANTITIES</t>
        </is>
      </c>
      <c r="R664" s="3" t="inlineStr">
        <is>
          <t>Latest chip quantity per chip type through year-end; normalized by unit count into benchmark buckets.</t>
        </is>
      </c>
    </row>
    <row r="665">
      <c r="A665" s="3" t="inlineStr">
        <is>
          <t>Grid-Constrained / Efficiency-Upside|Microsoft Goodyear|2026</t>
        </is>
      </c>
      <c r="B665" s="3" t="inlineStr">
        <is>
          <t>Grid-Constrained / Efficiency-Upside</t>
        </is>
      </c>
      <c r="C665" s="3" t="inlineStr">
        <is>
          <t>Microsoft Goodyear</t>
        </is>
      </c>
      <c r="D665" s="3" t="n">
        <v>2026</v>
      </c>
      <c r="E665" s="3" t="inlineStr">
        <is>
          <t>Microsoft</t>
        </is>
      </c>
      <c r="F665" s="17" t="n">
        <v>0.500777</v>
      </c>
      <c r="G665" s="17" t="n">
        <v>0.499223</v>
      </c>
      <c r="H665" s="17" t="n">
        <v>0</v>
      </c>
      <c r="I665" s="17" t="n">
        <v>0</v>
      </c>
      <c r="J665" s="17" t="n">
        <v>0</v>
      </c>
      <c r="K665" s="17" t="n">
        <v>0</v>
      </c>
      <c r="L665" s="17" t="n">
        <v>0</v>
      </c>
      <c r="M665" s="17" t="n">
        <v>0</v>
      </c>
      <c r="N665" s="17" t="n">
        <v>0</v>
      </c>
      <c r="O665" s="26" t="n">
        <v>1</v>
      </c>
      <c r="P665" s="3" t="inlineStr">
        <is>
          <t>epoch_chip_quantity_latest</t>
        </is>
      </c>
      <c r="Q665" s="3" t="inlineStr">
        <is>
          <t>SRC_EPOCH_AI_DATA_CENTERS; EPOCH_RAW_CHIP_QUANTITIES</t>
        </is>
      </c>
      <c r="R665" s="3" t="inlineStr">
        <is>
          <t>Latest chip quantity per chip type through year-end; normalized by unit count into benchmark buckets.</t>
        </is>
      </c>
    </row>
    <row r="666">
      <c r="A666" s="3" t="inlineStr">
        <is>
          <t>Grid-Constrained / Efficiency-Upside|Microsoft Goodyear|2027</t>
        </is>
      </c>
      <c r="B666" s="3" t="inlineStr">
        <is>
          <t>Grid-Constrained / Efficiency-Upside</t>
        </is>
      </c>
      <c r="C666" s="3" t="inlineStr">
        <is>
          <t>Microsoft Goodyear</t>
        </is>
      </c>
      <c r="D666" s="3" t="n">
        <v>2027</v>
      </c>
      <c r="E666" s="3" t="inlineStr">
        <is>
          <t>Microsoft</t>
        </is>
      </c>
      <c r="F666" s="17" t="n">
        <v>0.500777</v>
      </c>
      <c r="G666" s="17" t="n">
        <v>0.499223</v>
      </c>
      <c r="H666" s="17" t="n">
        <v>0</v>
      </c>
      <c r="I666" s="17" t="n">
        <v>0</v>
      </c>
      <c r="J666" s="17" t="n">
        <v>0</v>
      </c>
      <c r="K666" s="17" t="n">
        <v>0</v>
      </c>
      <c r="L666" s="17" t="n">
        <v>0</v>
      </c>
      <c r="M666" s="17" t="n">
        <v>0</v>
      </c>
      <c r="N666" s="17" t="n">
        <v>0</v>
      </c>
      <c r="O666" s="26" t="n">
        <v>1</v>
      </c>
      <c r="P666" s="3" t="inlineStr">
        <is>
          <t>epoch_chip_quantity_latest</t>
        </is>
      </c>
      <c r="Q666" s="3" t="inlineStr">
        <is>
          <t>SRC_EPOCH_AI_DATA_CENTERS; EPOCH_RAW_CHIP_QUANTITIES</t>
        </is>
      </c>
      <c r="R666" s="3" t="inlineStr">
        <is>
          <t>Latest chip quantity per chip type through year-end; normalized by unit count into benchmark buckets.</t>
        </is>
      </c>
    </row>
    <row r="667">
      <c r="A667" s="3" t="inlineStr">
        <is>
          <t>Grid-Constrained / Efficiency-Upside|Microsoft Goodyear|2028</t>
        </is>
      </c>
      <c r="B667" s="3" t="inlineStr">
        <is>
          <t>Grid-Constrained / Efficiency-Upside</t>
        </is>
      </c>
      <c r="C667" s="3" t="inlineStr">
        <is>
          <t>Microsoft Goodyear</t>
        </is>
      </c>
      <c r="D667" s="3" t="n">
        <v>2028</v>
      </c>
      <c r="E667" s="3" t="inlineStr">
        <is>
          <t>Microsoft</t>
        </is>
      </c>
      <c r="F667" s="17" t="n">
        <v>0.500777</v>
      </c>
      <c r="G667" s="17" t="n">
        <v>0.499223</v>
      </c>
      <c r="H667" s="17" t="n">
        <v>0</v>
      </c>
      <c r="I667" s="17" t="n">
        <v>0</v>
      </c>
      <c r="J667" s="17" t="n">
        <v>0</v>
      </c>
      <c r="K667" s="17" t="n">
        <v>0</v>
      </c>
      <c r="L667" s="17" t="n">
        <v>0</v>
      </c>
      <c r="M667" s="17" t="n">
        <v>0</v>
      </c>
      <c r="N667" s="17" t="n">
        <v>0</v>
      </c>
      <c r="O667" s="26" t="n">
        <v>1</v>
      </c>
      <c r="P667" s="3" t="inlineStr">
        <is>
          <t>epoch_chip_quantity_latest</t>
        </is>
      </c>
      <c r="Q667" s="3" t="inlineStr">
        <is>
          <t>SRC_EPOCH_AI_DATA_CENTERS; EPOCH_RAW_CHIP_QUANTITIES</t>
        </is>
      </c>
      <c r="R667" s="3" t="inlineStr">
        <is>
          <t>Latest chip quantity per chip type through year-end; normalized by unit count into benchmark buckets.</t>
        </is>
      </c>
    </row>
    <row r="668">
      <c r="A668" s="3" t="inlineStr">
        <is>
          <t>Grid-Constrained / Efficiency-Upside|Microsoft Goodyear|2029</t>
        </is>
      </c>
      <c r="B668" s="3" t="inlineStr">
        <is>
          <t>Grid-Constrained / Efficiency-Upside</t>
        </is>
      </c>
      <c r="C668" s="3" t="inlineStr">
        <is>
          <t>Microsoft Goodyear</t>
        </is>
      </c>
      <c r="D668" s="3" t="n">
        <v>2029</v>
      </c>
      <c r="E668" s="3" t="inlineStr">
        <is>
          <t>Microsoft</t>
        </is>
      </c>
      <c r="F668" s="17" t="n">
        <v>0.500777</v>
      </c>
      <c r="G668" s="17" t="n">
        <v>0.499223</v>
      </c>
      <c r="H668" s="17" t="n">
        <v>0</v>
      </c>
      <c r="I668" s="17" t="n">
        <v>0</v>
      </c>
      <c r="J668" s="17" t="n">
        <v>0</v>
      </c>
      <c r="K668" s="17" t="n">
        <v>0</v>
      </c>
      <c r="L668" s="17" t="n">
        <v>0</v>
      </c>
      <c r="M668" s="17" t="n">
        <v>0</v>
      </c>
      <c r="N668" s="17" t="n">
        <v>0</v>
      </c>
      <c r="O668" s="26" t="n">
        <v>1</v>
      </c>
      <c r="P668" s="3" t="inlineStr">
        <is>
          <t>epoch_chip_quantity_latest</t>
        </is>
      </c>
      <c r="Q668" s="3" t="inlineStr">
        <is>
          <t>SRC_EPOCH_AI_DATA_CENTERS; EPOCH_RAW_CHIP_QUANTITIES</t>
        </is>
      </c>
      <c r="R668" s="3" t="inlineStr">
        <is>
          <t>Latest chip quantity per chip type through year-end; normalized by unit count into benchmark buckets.</t>
        </is>
      </c>
    </row>
    <row r="669">
      <c r="A669" s="3" t="inlineStr">
        <is>
          <t>Grid-Constrained / Efficiency-Upside|Microsoft Goodyear|2030</t>
        </is>
      </c>
      <c r="B669" s="3" t="inlineStr">
        <is>
          <t>Grid-Constrained / Efficiency-Upside</t>
        </is>
      </c>
      <c r="C669" s="3" t="inlineStr">
        <is>
          <t>Microsoft Goodyear</t>
        </is>
      </c>
      <c r="D669" s="3" t="n">
        <v>2030</v>
      </c>
      <c r="E669" s="3" t="inlineStr">
        <is>
          <t>Microsoft</t>
        </is>
      </c>
      <c r="F669" s="17" t="n">
        <v>0.500777</v>
      </c>
      <c r="G669" s="17" t="n">
        <v>0.499223</v>
      </c>
      <c r="H669" s="17" t="n">
        <v>0</v>
      </c>
      <c r="I669" s="17" t="n">
        <v>0</v>
      </c>
      <c r="J669" s="17" t="n">
        <v>0</v>
      </c>
      <c r="K669" s="17" t="n">
        <v>0</v>
      </c>
      <c r="L669" s="17" t="n">
        <v>0</v>
      </c>
      <c r="M669" s="17" t="n">
        <v>0</v>
      </c>
      <c r="N669" s="17" t="n">
        <v>0</v>
      </c>
      <c r="O669" s="26" t="n">
        <v>1</v>
      </c>
      <c r="P669" s="3" t="inlineStr">
        <is>
          <t>epoch_chip_quantity_latest</t>
        </is>
      </c>
      <c r="Q669" s="3" t="inlineStr">
        <is>
          <t>SRC_EPOCH_AI_DATA_CENTERS; EPOCH_RAW_CHIP_QUANTITIES</t>
        </is>
      </c>
      <c r="R669" s="3" t="inlineStr">
        <is>
          <t>Latest chip quantity per chip type through year-end; normalized by unit count into benchmark buckets.</t>
        </is>
      </c>
    </row>
    <row r="670">
      <c r="A670" s="3" t="inlineStr">
        <is>
          <t>Bear|Start Campus Sines Data Campus|2026</t>
        </is>
      </c>
      <c r="B670" s="3" t="inlineStr">
        <is>
          <t>Bear</t>
        </is>
      </c>
      <c r="C670" s="3" t="inlineStr">
        <is>
          <t>Start Campus Sines Data Campus</t>
        </is>
      </c>
      <c r="D670" s="3" t="n">
        <v>2026</v>
      </c>
      <c r="E670" s="3" t="inlineStr">
        <is>
          <t>Nscale</t>
        </is>
      </c>
      <c r="F670" s="17" t="n">
        <v>0</v>
      </c>
      <c r="G670" s="17" t="n">
        <v>1</v>
      </c>
      <c r="H670" s="17" t="n">
        <v>0</v>
      </c>
      <c r="I670" s="17" t="n">
        <v>0</v>
      </c>
      <c r="J670" s="17" t="n">
        <v>0</v>
      </c>
      <c r="K670" s="17" t="n">
        <v>0</v>
      </c>
      <c r="L670" s="17" t="n">
        <v>0</v>
      </c>
      <c r="M670" s="17" t="n">
        <v>0</v>
      </c>
      <c r="N670" s="17" t="n">
        <v>0</v>
      </c>
      <c r="O670" s="26" t="n">
        <v>1</v>
      </c>
      <c r="P670" s="3" t="inlineStr">
        <is>
          <t>epoch_chip_quantity_latest</t>
        </is>
      </c>
      <c r="Q670" s="3" t="inlineStr">
        <is>
          <t>SRC_EPOCH_AI_DATA_CENTERS; EPOCH_RAW_CHIP_QUANTITIES</t>
        </is>
      </c>
      <c r="R670" s="3" t="inlineStr">
        <is>
          <t>Latest chip quantity per chip type through year-end; normalized by unit count into benchmark buckets.</t>
        </is>
      </c>
    </row>
    <row r="671">
      <c r="A671" s="3" t="inlineStr">
        <is>
          <t>Bear|Start Campus Sines Data Campus|2027</t>
        </is>
      </c>
      <c r="B671" s="3" t="inlineStr">
        <is>
          <t>Bear</t>
        </is>
      </c>
      <c r="C671" s="3" t="inlineStr">
        <is>
          <t>Start Campus Sines Data Campus</t>
        </is>
      </c>
      <c r="D671" s="3" t="n">
        <v>2027</v>
      </c>
      <c r="E671" s="3" t="inlineStr">
        <is>
          <t>Nscale</t>
        </is>
      </c>
      <c r="F671" s="17" t="n">
        <v>0</v>
      </c>
      <c r="G671" s="17" t="n">
        <v>1</v>
      </c>
      <c r="H671" s="17" t="n">
        <v>0</v>
      </c>
      <c r="I671" s="17" t="n">
        <v>0</v>
      </c>
      <c r="J671" s="17" t="n">
        <v>0</v>
      </c>
      <c r="K671" s="17" t="n">
        <v>0</v>
      </c>
      <c r="L671" s="17" t="n">
        <v>0</v>
      </c>
      <c r="M671" s="17" t="n">
        <v>0</v>
      </c>
      <c r="N671" s="17" t="n">
        <v>0</v>
      </c>
      <c r="O671" s="26" t="n">
        <v>1</v>
      </c>
      <c r="P671" s="3" t="inlineStr">
        <is>
          <t>epoch_chip_quantity_latest</t>
        </is>
      </c>
      <c r="Q671" s="3" t="inlineStr">
        <is>
          <t>SRC_EPOCH_AI_DATA_CENTERS; EPOCH_RAW_CHIP_QUANTITIES</t>
        </is>
      </c>
      <c r="R671" s="3" t="inlineStr">
        <is>
          <t>Latest chip quantity per chip type through year-end; normalized by unit count into benchmark buckets.</t>
        </is>
      </c>
    </row>
    <row r="672">
      <c r="A672" s="3" t="inlineStr">
        <is>
          <t>Bear|Start Campus Sines Data Campus|2028</t>
        </is>
      </c>
      <c r="B672" s="3" t="inlineStr">
        <is>
          <t>Bear</t>
        </is>
      </c>
      <c r="C672" s="3" t="inlineStr">
        <is>
          <t>Start Campus Sines Data Campus</t>
        </is>
      </c>
      <c r="D672" s="3" t="n">
        <v>2028</v>
      </c>
      <c r="E672" s="3" t="inlineStr">
        <is>
          <t>Nscale</t>
        </is>
      </c>
      <c r="F672" s="17" t="n">
        <v>0</v>
      </c>
      <c r="G672" s="17" t="n">
        <v>1</v>
      </c>
      <c r="H672" s="17" t="n">
        <v>0</v>
      </c>
      <c r="I672" s="17" t="n">
        <v>0</v>
      </c>
      <c r="J672" s="17" t="n">
        <v>0</v>
      </c>
      <c r="K672" s="17" t="n">
        <v>0</v>
      </c>
      <c r="L672" s="17" t="n">
        <v>0</v>
      </c>
      <c r="M672" s="17" t="n">
        <v>0</v>
      </c>
      <c r="N672" s="17" t="n">
        <v>0</v>
      </c>
      <c r="O672" s="26" t="n">
        <v>1</v>
      </c>
      <c r="P672" s="3" t="inlineStr">
        <is>
          <t>epoch_chip_quantity_latest</t>
        </is>
      </c>
      <c r="Q672" s="3" t="inlineStr">
        <is>
          <t>SRC_EPOCH_AI_DATA_CENTERS; EPOCH_RAW_CHIP_QUANTITIES</t>
        </is>
      </c>
      <c r="R672" s="3" t="inlineStr">
        <is>
          <t>Latest chip quantity per chip type through year-end; normalized by unit count into benchmark buckets.</t>
        </is>
      </c>
    </row>
    <row r="673">
      <c r="A673" s="3" t="inlineStr">
        <is>
          <t>Bear|Start Campus Sines Data Campus|2029</t>
        </is>
      </c>
      <c r="B673" s="3" t="inlineStr">
        <is>
          <t>Bear</t>
        </is>
      </c>
      <c r="C673" s="3" t="inlineStr">
        <is>
          <t>Start Campus Sines Data Campus</t>
        </is>
      </c>
      <c r="D673" s="3" t="n">
        <v>2029</v>
      </c>
      <c r="E673" s="3" t="inlineStr">
        <is>
          <t>Nscale</t>
        </is>
      </c>
      <c r="F673" s="17" t="n">
        <v>0</v>
      </c>
      <c r="G673" s="17" t="n">
        <v>1</v>
      </c>
      <c r="H673" s="17" t="n">
        <v>0</v>
      </c>
      <c r="I673" s="17" t="n">
        <v>0</v>
      </c>
      <c r="J673" s="17" t="n">
        <v>0</v>
      </c>
      <c r="K673" s="17" t="n">
        <v>0</v>
      </c>
      <c r="L673" s="17" t="n">
        <v>0</v>
      </c>
      <c r="M673" s="17" t="n">
        <v>0</v>
      </c>
      <c r="N673" s="17" t="n">
        <v>0</v>
      </c>
      <c r="O673" s="26" t="n">
        <v>1</v>
      </c>
      <c r="P673" s="3" t="inlineStr">
        <is>
          <t>epoch_chip_quantity_latest</t>
        </is>
      </c>
      <c r="Q673" s="3" t="inlineStr">
        <is>
          <t>SRC_EPOCH_AI_DATA_CENTERS; EPOCH_RAW_CHIP_QUANTITIES</t>
        </is>
      </c>
      <c r="R673" s="3" t="inlineStr">
        <is>
          <t>Latest chip quantity per chip type through year-end; normalized by unit count into benchmark buckets.</t>
        </is>
      </c>
    </row>
    <row r="674">
      <c r="A674" s="3" t="inlineStr">
        <is>
          <t>Bear|Start Campus Sines Data Campus|2030</t>
        </is>
      </c>
      <c r="B674" s="3" t="inlineStr">
        <is>
          <t>Bear</t>
        </is>
      </c>
      <c r="C674" s="3" t="inlineStr">
        <is>
          <t>Start Campus Sines Data Campus</t>
        </is>
      </c>
      <c r="D674" s="3" t="n">
        <v>2030</v>
      </c>
      <c r="E674" s="3" t="inlineStr">
        <is>
          <t>Nscale</t>
        </is>
      </c>
      <c r="F674" s="17" t="n">
        <v>0</v>
      </c>
      <c r="G674" s="17" t="n">
        <v>1</v>
      </c>
      <c r="H674" s="17" t="n">
        <v>0</v>
      </c>
      <c r="I674" s="17" t="n">
        <v>0</v>
      </c>
      <c r="J674" s="17" t="n">
        <v>0</v>
      </c>
      <c r="K674" s="17" t="n">
        <v>0</v>
      </c>
      <c r="L674" s="17" t="n">
        <v>0</v>
      </c>
      <c r="M674" s="17" t="n">
        <v>0</v>
      </c>
      <c r="N674" s="17" t="n">
        <v>0</v>
      </c>
      <c r="O674" s="26" t="n">
        <v>1</v>
      </c>
      <c r="P674" s="3" t="inlineStr">
        <is>
          <t>epoch_chip_quantity_latest</t>
        </is>
      </c>
      <c r="Q674" s="3" t="inlineStr">
        <is>
          <t>SRC_EPOCH_AI_DATA_CENTERS; EPOCH_RAW_CHIP_QUANTITIES</t>
        </is>
      </c>
      <c r="R674" s="3" t="inlineStr">
        <is>
          <t>Latest chip quantity per chip type through year-end; normalized by unit count into benchmark buckets.</t>
        </is>
      </c>
    </row>
    <row r="675">
      <c r="A675" s="3" t="inlineStr">
        <is>
          <t>Base|Start Campus Sines Data Campus|2026</t>
        </is>
      </c>
      <c r="B675" s="3" t="inlineStr">
        <is>
          <t>Base</t>
        </is>
      </c>
      <c r="C675" s="3" t="inlineStr">
        <is>
          <t>Start Campus Sines Data Campus</t>
        </is>
      </c>
      <c r="D675" s="3" t="n">
        <v>2026</v>
      </c>
      <c r="E675" s="3" t="inlineStr">
        <is>
          <t>Nscale</t>
        </is>
      </c>
      <c r="F675" s="17" t="n">
        <v>0</v>
      </c>
      <c r="G675" s="17" t="n">
        <v>1</v>
      </c>
      <c r="H675" s="17" t="n">
        <v>0</v>
      </c>
      <c r="I675" s="17" t="n">
        <v>0</v>
      </c>
      <c r="J675" s="17" t="n">
        <v>0</v>
      </c>
      <c r="K675" s="17" t="n">
        <v>0</v>
      </c>
      <c r="L675" s="17" t="n">
        <v>0</v>
      </c>
      <c r="M675" s="17" t="n">
        <v>0</v>
      </c>
      <c r="N675" s="17" t="n">
        <v>0</v>
      </c>
      <c r="O675" s="26" t="n">
        <v>1</v>
      </c>
      <c r="P675" s="3" t="inlineStr">
        <is>
          <t>epoch_chip_quantity_latest</t>
        </is>
      </c>
      <c r="Q675" s="3" t="inlineStr">
        <is>
          <t>SRC_EPOCH_AI_DATA_CENTERS; EPOCH_RAW_CHIP_QUANTITIES</t>
        </is>
      </c>
      <c r="R675" s="3" t="inlineStr">
        <is>
          <t>Latest chip quantity per chip type through year-end; normalized by unit count into benchmark buckets.</t>
        </is>
      </c>
    </row>
    <row r="676">
      <c r="A676" s="3" t="inlineStr">
        <is>
          <t>Base|Start Campus Sines Data Campus|2027</t>
        </is>
      </c>
      <c r="B676" s="3" t="inlineStr">
        <is>
          <t>Base</t>
        </is>
      </c>
      <c r="C676" s="3" t="inlineStr">
        <is>
          <t>Start Campus Sines Data Campus</t>
        </is>
      </c>
      <c r="D676" s="3" t="n">
        <v>2027</v>
      </c>
      <c r="E676" s="3" t="inlineStr">
        <is>
          <t>Nscale</t>
        </is>
      </c>
      <c r="F676" s="17" t="n">
        <v>0</v>
      </c>
      <c r="G676" s="17" t="n">
        <v>1</v>
      </c>
      <c r="H676" s="17" t="n">
        <v>0</v>
      </c>
      <c r="I676" s="17" t="n">
        <v>0</v>
      </c>
      <c r="J676" s="17" t="n">
        <v>0</v>
      </c>
      <c r="K676" s="17" t="n">
        <v>0</v>
      </c>
      <c r="L676" s="17" t="n">
        <v>0</v>
      </c>
      <c r="M676" s="17" t="n">
        <v>0</v>
      </c>
      <c r="N676" s="17" t="n">
        <v>0</v>
      </c>
      <c r="O676" s="26" t="n">
        <v>1</v>
      </c>
      <c r="P676" s="3" t="inlineStr">
        <is>
          <t>epoch_chip_quantity_latest</t>
        </is>
      </c>
      <c r="Q676" s="3" t="inlineStr">
        <is>
          <t>SRC_EPOCH_AI_DATA_CENTERS; EPOCH_RAW_CHIP_QUANTITIES</t>
        </is>
      </c>
      <c r="R676" s="3" t="inlineStr">
        <is>
          <t>Latest chip quantity per chip type through year-end; normalized by unit count into benchmark buckets.</t>
        </is>
      </c>
    </row>
    <row r="677">
      <c r="A677" s="3" t="inlineStr">
        <is>
          <t>Base|Start Campus Sines Data Campus|2028</t>
        </is>
      </c>
      <c r="B677" s="3" t="inlineStr">
        <is>
          <t>Base</t>
        </is>
      </c>
      <c r="C677" s="3" t="inlineStr">
        <is>
          <t>Start Campus Sines Data Campus</t>
        </is>
      </c>
      <c r="D677" s="3" t="n">
        <v>2028</v>
      </c>
      <c r="E677" s="3" t="inlineStr">
        <is>
          <t>Nscale</t>
        </is>
      </c>
      <c r="F677" s="17" t="n">
        <v>0</v>
      </c>
      <c r="G677" s="17" t="n">
        <v>1</v>
      </c>
      <c r="H677" s="17" t="n">
        <v>0</v>
      </c>
      <c r="I677" s="17" t="n">
        <v>0</v>
      </c>
      <c r="J677" s="17" t="n">
        <v>0</v>
      </c>
      <c r="K677" s="17" t="n">
        <v>0</v>
      </c>
      <c r="L677" s="17" t="n">
        <v>0</v>
      </c>
      <c r="M677" s="17" t="n">
        <v>0</v>
      </c>
      <c r="N677" s="17" t="n">
        <v>0</v>
      </c>
      <c r="O677" s="26" t="n">
        <v>1</v>
      </c>
      <c r="P677" s="3" t="inlineStr">
        <is>
          <t>epoch_chip_quantity_latest</t>
        </is>
      </c>
      <c r="Q677" s="3" t="inlineStr">
        <is>
          <t>SRC_EPOCH_AI_DATA_CENTERS; EPOCH_RAW_CHIP_QUANTITIES</t>
        </is>
      </c>
      <c r="R677" s="3" t="inlineStr">
        <is>
          <t>Latest chip quantity per chip type through year-end; normalized by unit count into benchmark buckets.</t>
        </is>
      </c>
    </row>
    <row r="678">
      <c r="A678" s="3" t="inlineStr">
        <is>
          <t>Base|Start Campus Sines Data Campus|2029</t>
        </is>
      </c>
      <c r="B678" s="3" t="inlineStr">
        <is>
          <t>Base</t>
        </is>
      </c>
      <c r="C678" s="3" t="inlineStr">
        <is>
          <t>Start Campus Sines Data Campus</t>
        </is>
      </c>
      <c r="D678" s="3" t="n">
        <v>2029</v>
      </c>
      <c r="E678" s="3" t="inlineStr">
        <is>
          <t>Nscale</t>
        </is>
      </c>
      <c r="F678" s="17" t="n">
        <v>0</v>
      </c>
      <c r="G678" s="17" t="n">
        <v>1</v>
      </c>
      <c r="H678" s="17" t="n">
        <v>0</v>
      </c>
      <c r="I678" s="17" t="n">
        <v>0</v>
      </c>
      <c r="J678" s="17" t="n">
        <v>0</v>
      </c>
      <c r="K678" s="17" t="n">
        <v>0</v>
      </c>
      <c r="L678" s="17" t="n">
        <v>0</v>
      </c>
      <c r="M678" s="17" t="n">
        <v>0</v>
      </c>
      <c r="N678" s="17" t="n">
        <v>0</v>
      </c>
      <c r="O678" s="26" t="n">
        <v>1</v>
      </c>
      <c r="P678" s="3" t="inlineStr">
        <is>
          <t>epoch_chip_quantity_latest</t>
        </is>
      </c>
      <c r="Q678" s="3" t="inlineStr">
        <is>
          <t>SRC_EPOCH_AI_DATA_CENTERS; EPOCH_RAW_CHIP_QUANTITIES</t>
        </is>
      </c>
      <c r="R678" s="3" t="inlineStr">
        <is>
          <t>Latest chip quantity per chip type through year-end; normalized by unit count into benchmark buckets.</t>
        </is>
      </c>
    </row>
    <row r="679">
      <c r="A679" s="3" t="inlineStr">
        <is>
          <t>Base|Start Campus Sines Data Campus|2030</t>
        </is>
      </c>
      <c r="B679" s="3" t="inlineStr">
        <is>
          <t>Base</t>
        </is>
      </c>
      <c r="C679" s="3" t="inlineStr">
        <is>
          <t>Start Campus Sines Data Campus</t>
        </is>
      </c>
      <c r="D679" s="3" t="n">
        <v>2030</v>
      </c>
      <c r="E679" s="3" t="inlineStr">
        <is>
          <t>Nscale</t>
        </is>
      </c>
      <c r="F679" s="17" t="n">
        <v>0</v>
      </c>
      <c r="G679" s="17" t="n">
        <v>1</v>
      </c>
      <c r="H679" s="17" t="n">
        <v>0</v>
      </c>
      <c r="I679" s="17" t="n">
        <v>0</v>
      </c>
      <c r="J679" s="17" t="n">
        <v>0</v>
      </c>
      <c r="K679" s="17" t="n">
        <v>0</v>
      </c>
      <c r="L679" s="17" t="n">
        <v>0</v>
      </c>
      <c r="M679" s="17" t="n">
        <v>0</v>
      </c>
      <c r="N679" s="17" t="n">
        <v>0</v>
      </c>
      <c r="O679" s="26" t="n">
        <v>1</v>
      </c>
      <c r="P679" s="3" t="inlineStr">
        <is>
          <t>epoch_chip_quantity_latest</t>
        </is>
      </c>
      <c r="Q679" s="3" t="inlineStr">
        <is>
          <t>SRC_EPOCH_AI_DATA_CENTERS; EPOCH_RAW_CHIP_QUANTITIES</t>
        </is>
      </c>
      <c r="R679" s="3" t="inlineStr">
        <is>
          <t>Latest chip quantity per chip type through year-end; normalized by unit count into benchmark buckets.</t>
        </is>
      </c>
    </row>
    <row r="680">
      <c r="A680" s="3" t="inlineStr">
        <is>
          <t>Bull|Start Campus Sines Data Campus|2026</t>
        </is>
      </c>
      <c r="B680" s="3" t="inlineStr">
        <is>
          <t>Bull</t>
        </is>
      </c>
      <c r="C680" s="3" t="inlineStr">
        <is>
          <t>Start Campus Sines Data Campus</t>
        </is>
      </c>
      <c r="D680" s="3" t="n">
        <v>2026</v>
      </c>
      <c r="E680" s="3" t="inlineStr">
        <is>
          <t>Nscale</t>
        </is>
      </c>
      <c r="F680" s="17" t="n">
        <v>0</v>
      </c>
      <c r="G680" s="17" t="n">
        <v>1</v>
      </c>
      <c r="H680" s="17" t="n">
        <v>0</v>
      </c>
      <c r="I680" s="17" t="n">
        <v>0</v>
      </c>
      <c r="J680" s="17" t="n">
        <v>0</v>
      </c>
      <c r="K680" s="17" t="n">
        <v>0</v>
      </c>
      <c r="L680" s="17" t="n">
        <v>0</v>
      </c>
      <c r="M680" s="17" t="n">
        <v>0</v>
      </c>
      <c r="N680" s="17" t="n">
        <v>0</v>
      </c>
      <c r="O680" s="26" t="n">
        <v>1</v>
      </c>
      <c r="P680" s="3" t="inlineStr">
        <is>
          <t>epoch_chip_quantity_latest</t>
        </is>
      </c>
      <c r="Q680" s="3" t="inlineStr">
        <is>
          <t>SRC_EPOCH_AI_DATA_CENTERS; EPOCH_RAW_CHIP_QUANTITIES</t>
        </is>
      </c>
      <c r="R680" s="3" t="inlineStr">
        <is>
          <t>Latest chip quantity per chip type through year-end; normalized by unit count into benchmark buckets.</t>
        </is>
      </c>
    </row>
    <row r="681">
      <c r="A681" s="3" t="inlineStr">
        <is>
          <t>Bull|Start Campus Sines Data Campus|2027</t>
        </is>
      </c>
      <c r="B681" s="3" t="inlineStr">
        <is>
          <t>Bull</t>
        </is>
      </c>
      <c r="C681" s="3" t="inlineStr">
        <is>
          <t>Start Campus Sines Data Campus</t>
        </is>
      </c>
      <c r="D681" s="3" t="n">
        <v>2027</v>
      </c>
      <c r="E681" s="3" t="inlineStr">
        <is>
          <t>Nscale</t>
        </is>
      </c>
      <c r="F681" s="17" t="n">
        <v>0</v>
      </c>
      <c r="G681" s="17" t="n">
        <v>1</v>
      </c>
      <c r="H681" s="17" t="n">
        <v>0</v>
      </c>
      <c r="I681" s="17" t="n">
        <v>0</v>
      </c>
      <c r="J681" s="17" t="n">
        <v>0</v>
      </c>
      <c r="K681" s="17" t="n">
        <v>0</v>
      </c>
      <c r="L681" s="17" t="n">
        <v>0</v>
      </c>
      <c r="M681" s="17" t="n">
        <v>0</v>
      </c>
      <c r="N681" s="17" t="n">
        <v>0</v>
      </c>
      <c r="O681" s="26" t="n">
        <v>1</v>
      </c>
      <c r="P681" s="3" t="inlineStr">
        <is>
          <t>epoch_chip_quantity_latest</t>
        </is>
      </c>
      <c r="Q681" s="3" t="inlineStr">
        <is>
          <t>SRC_EPOCH_AI_DATA_CENTERS; EPOCH_RAW_CHIP_QUANTITIES</t>
        </is>
      </c>
      <c r="R681" s="3" t="inlineStr">
        <is>
          <t>Latest chip quantity per chip type through year-end; normalized by unit count into benchmark buckets.</t>
        </is>
      </c>
    </row>
    <row r="682">
      <c r="A682" s="3" t="inlineStr">
        <is>
          <t>Bull|Start Campus Sines Data Campus|2028</t>
        </is>
      </c>
      <c r="B682" s="3" t="inlineStr">
        <is>
          <t>Bull</t>
        </is>
      </c>
      <c r="C682" s="3" t="inlineStr">
        <is>
          <t>Start Campus Sines Data Campus</t>
        </is>
      </c>
      <c r="D682" s="3" t="n">
        <v>2028</v>
      </c>
      <c r="E682" s="3" t="inlineStr">
        <is>
          <t>Nscale</t>
        </is>
      </c>
      <c r="F682" s="17" t="n">
        <v>0</v>
      </c>
      <c r="G682" s="17" t="n">
        <v>1</v>
      </c>
      <c r="H682" s="17" t="n">
        <v>0</v>
      </c>
      <c r="I682" s="17" t="n">
        <v>0</v>
      </c>
      <c r="J682" s="17" t="n">
        <v>0</v>
      </c>
      <c r="K682" s="17" t="n">
        <v>0</v>
      </c>
      <c r="L682" s="17" t="n">
        <v>0</v>
      </c>
      <c r="M682" s="17" t="n">
        <v>0</v>
      </c>
      <c r="N682" s="17" t="n">
        <v>0</v>
      </c>
      <c r="O682" s="26" t="n">
        <v>1</v>
      </c>
      <c r="P682" s="3" t="inlineStr">
        <is>
          <t>epoch_chip_quantity_latest</t>
        </is>
      </c>
      <c r="Q682" s="3" t="inlineStr">
        <is>
          <t>SRC_EPOCH_AI_DATA_CENTERS; EPOCH_RAW_CHIP_QUANTITIES</t>
        </is>
      </c>
      <c r="R682" s="3" t="inlineStr">
        <is>
          <t>Latest chip quantity per chip type through year-end; normalized by unit count into benchmark buckets.</t>
        </is>
      </c>
    </row>
    <row r="683">
      <c r="A683" s="3" t="inlineStr">
        <is>
          <t>Bull|Start Campus Sines Data Campus|2029</t>
        </is>
      </c>
      <c r="B683" s="3" t="inlineStr">
        <is>
          <t>Bull</t>
        </is>
      </c>
      <c r="C683" s="3" t="inlineStr">
        <is>
          <t>Start Campus Sines Data Campus</t>
        </is>
      </c>
      <c r="D683" s="3" t="n">
        <v>2029</v>
      </c>
      <c r="E683" s="3" t="inlineStr">
        <is>
          <t>Nscale</t>
        </is>
      </c>
      <c r="F683" s="17" t="n">
        <v>0</v>
      </c>
      <c r="G683" s="17" t="n">
        <v>1</v>
      </c>
      <c r="H683" s="17" t="n">
        <v>0</v>
      </c>
      <c r="I683" s="17" t="n">
        <v>0</v>
      </c>
      <c r="J683" s="17" t="n">
        <v>0</v>
      </c>
      <c r="K683" s="17" t="n">
        <v>0</v>
      </c>
      <c r="L683" s="17" t="n">
        <v>0</v>
      </c>
      <c r="M683" s="17" t="n">
        <v>0</v>
      </c>
      <c r="N683" s="17" t="n">
        <v>0</v>
      </c>
      <c r="O683" s="26" t="n">
        <v>1</v>
      </c>
      <c r="P683" s="3" t="inlineStr">
        <is>
          <t>epoch_chip_quantity_latest</t>
        </is>
      </c>
      <c r="Q683" s="3" t="inlineStr">
        <is>
          <t>SRC_EPOCH_AI_DATA_CENTERS; EPOCH_RAW_CHIP_QUANTITIES</t>
        </is>
      </c>
      <c r="R683" s="3" t="inlineStr">
        <is>
          <t>Latest chip quantity per chip type through year-end; normalized by unit count into benchmark buckets.</t>
        </is>
      </c>
    </row>
    <row r="684">
      <c r="A684" s="3" t="inlineStr">
        <is>
          <t>Bull|Start Campus Sines Data Campus|2030</t>
        </is>
      </c>
      <c r="B684" s="3" t="inlineStr">
        <is>
          <t>Bull</t>
        </is>
      </c>
      <c r="C684" s="3" t="inlineStr">
        <is>
          <t>Start Campus Sines Data Campus</t>
        </is>
      </c>
      <c r="D684" s="3" t="n">
        <v>2030</v>
      </c>
      <c r="E684" s="3" t="inlineStr">
        <is>
          <t>Nscale</t>
        </is>
      </c>
      <c r="F684" s="17" t="n">
        <v>0</v>
      </c>
      <c r="G684" s="17" t="n">
        <v>1</v>
      </c>
      <c r="H684" s="17" t="n">
        <v>0</v>
      </c>
      <c r="I684" s="17" t="n">
        <v>0</v>
      </c>
      <c r="J684" s="17" t="n">
        <v>0</v>
      </c>
      <c r="K684" s="17" t="n">
        <v>0</v>
      </c>
      <c r="L684" s="17" t="n">
        <v>0</v>
      </c>
      <c r="M684" s="17" t="n">
        <v>0</v>
      </c>
      <c r="N684" s="17" t="n">
        <v>0</v>
      </c>
      <c r="O684" s="26" t="n">
        <v>1</v>
      </c>
      <c r="P684" s="3" t="inlineStr">
        <is>
          <t>epoch_chip_quantity_latest</t>
        </is>
      </c>
      <c r="Q684" s="3" t="inlineStr">
        <is>
          <t>SRC_EPOCH_AI_DATA_CENTERS; EPOCH_RAW_CHIP_QUANTITIES</t>
        </is>
      </c>
      <c r="R684" s="3" t="inlineStr">
        <is>
          <t>Latest chip quantity per chip type through year-end; normalized by unit count into benchmark buckets.</t>
        </is>
      </c>
    </row>
    <row r="685">
      <c r="A685" s="3" t="inlineStr">
        <is>
          <t>Grid-Constrained / Efficiency-Upside|Start Campus Sines Data Campus|2026</t>
        </is>
      </c>
      <c r="B685" s="3" t="inlineStr">
        <is>
          <t>Grid-Constrained / Efficiency-Upside</t>
        </is>
      </c>
      <c r="C685" s="3" t="inlineStr">
        <is>
          <t>Start Campus Sines Data Campus</t>
        </is>
      </c>
      <c r="D685" s="3" t="n">
        <v>2026</v>
      </c>
      <c r="E685" s="3" t="inlineStr">
        <is>
          <t>Nscale</t>
        </is>
      </c>
      <c r="F685" s="17" t="n">
        <v>0</v>
      </c>
      <c r="G685" s="17" t="n">
        <v>1</v>
      </c>
      <c r="H685" s="17" t="n">
        <v>0</v>
      </c>
      <c r="I685" s="17" t="n">
        <v>0</v>
      </c>
      <c r="J685" s="17" t="n">
        <v>0</v>
      </c>
      <c r="K685" s="17" t="n">
        <v>0</v>
      </c>
      <c r="L685" s="17" t="n">
        <v>0</v>
      </c>
      <c r="M685" s="17" t="n">
        <v>0</v>
      </c>
      <c r="N685" s="17" t="n">
        <v>0</v>
      </c>
      <c r="O685" s="26" t="n">
        <v>1</v>
      </c>
      <c r="P685" s="3" t="inlineStr">
        <is>
          <t>epoch_chip_quantity_latest</t>
        </is>
      </c>
      <c r="Q685" s="3" t="inlineStr">
        <is>
          <t>SRC_EPOCH_AI_DATA_CENTERS; EPOCH_RAW_CHIP_QUANTITIES</t>
        </is>
      </c>
      <c r="R685" s="3" t="inlineStr">
        <is>
          <t>Latest chip quantity per chip type through year-end; normalized by unit count into benchmark buckets.</t>
        </is>
      </c>
    </row>
    <row r="686">
      <c r="A686" s="3" t="inlineStr">
        <is>
          <t>Grid-Constrained / Efficiency-Upside|Start Campus Sines Data Campus|2027</t>
        </is>
      </c>
      <c r="B686" s="3" t="inlineStr">
        <is>
          <t>Grid-Constrained / Efficiency-Upside</t>
        </is>
      </c>
      <c r="C686" s="3" t="inlineStr">
        <is>
          <t>Start Campus Sines Data Campus</t>
        </is>
      </c>
      <c r="D686" s="3" t="n">
        <v>2027</v>
      </c>
      <c r="E686" s="3" t="inlineStr">
        <is>
          <t>Nscale</t>
        </is>
      </c>
      <c r="F686" s="17" t="n">
        <v>0</v>
      </c>
      <c r="G686" s="17" t="n">
        <v>1</v>
      </c>
      <c r="H686" s="17" t="n">
        <v>0</v>
      </c>
      <c r="I686" s="17" t="n">
        <v>0</v>
      </c>
      <c r="J686" s="17" t="n">
        <v>0</v>
      </c>
      <c r="K686" s="17" t="n">
        <v>0</v>
      </c>
      <c r="L686" s="17" t="n">
        <v>0</v>
      </c>
      <c r="M686" s="17" t="n">
        <v>0</v>
      </c>
      <c r="N686" s="17" t="n">
        <v>0</v>
      </c>
      <c r="O686" s="26" t="n">
        <v>1</v>
      </c>
      <c r="P686" s="3" t="inlineStr">
        <is>
          <t>epoch_chip_quantity_latest</t>
        </is>
      </c>
      <c r="Q686" s="3" t="inlineStr">
        <is>
          <t>SRC_EPOCH_AI_DATA_CENTERS; EPOCH_RAW_CHIP_QUANTITIES</t>
        </is>
      </c>
      <c r="R686" s="3" t="inlineStr">
        <is>
          <t>Latest chip quantity per chip type through year-end; normalized by unit count into benchmark buckets.</t>
        </is>
      </c>
    </row>
    <row r="687">
      <c r="A687" s="3" t="inlineStr">
        <is>
          <t>Grid-Constrained / Efficiency-Upside|Start Campus Sines Data Campus|2028</t>
        </is>
      </c>
      <c r="B687" s="3" t="inlineStr">
        <is>
          <t>Grid-Constrained / Efficiency-Upside</t>
        </is>
      </c>
      <c r="C687" s="3" t="inlineStr">
        <is>
          <t>Start Campus Sines Data Campus</t>
        </is>
      </c>
      <c r="D687" s="3" t="n">
        <v>2028</v>
      </c>
      <c r="E687" s="3" t="inlineStr">
        <is>
          <t>Nscale</t>
        </is>
      </c>
      <c r="F687" s="17" t="n">
        <v>0</v>
      </c>
      <c r="G687" s="17" t="n">
        <v>1</v>
      </c>
      <c r="H687" s="17" t="n">
        <v>0</v>
      </c>
      <c r="I687" s="17" t="n">
        <v>0</v>
      </c>
      <c r="J687" s="17" t="n">
        <v>0</v>
      </c>
      <c r="K687" s="17" t="n">
        <v>0</v>
      </c>
      <c r="L687" s="17" t="n">
        <v>0</v>
      </c>
      <c r="M687" s="17" t="n">
        <v>0</v>
      </c>
      <c r="N687" s="17" t="n">
        <v>0</v>
      </c>
      <c r="O687" s="26" t="n">
        <v>1</v>
      </c>
      <c r="P687" s="3" t="inlineStr">
        <is>
          <t>epoch_chip_quantity_latest</t>
        </is>
      </c>
      <c r="Q687" s="3" t="inlineStr">
        <is>
          <t>SRC_EPOCH_AI_DATA_CENTERS; EPOCH_RAW_CHIP_QUANTITIES</t>
        </is>
      </c>
      <c r="R687" s="3" t="inlineStr">
        <is>
          <t>Latest chip quantity per chip type through year-end; normalized by unit count into benchmark buckets.</t>
        </is>
      </c>
    </row>
    <row r="688">
      <c r="A688" s="3" t="inlineStr">
        <is>
          <t>Grid-Constrained / Efficiency-Upside|Start Campus Sines Data Campus|2029</t>
        </is>
      </c>
      <c r="B688" s="3" t="inlineStr">
        <is>
          <t>Grid-Constrained / Efficiency-Upside</t>
        </is>
      </c>
      <c r="C688" s="3" t="inlineStr">
        <is>
          <t>Start Campus Sines Data Campus</t>
        </is>
      </c>
      <c r="D688" s="3" t="n">
        <v>2029</v>
      </c>
      <c r="E688" s="3" t="inlineStr">
        <is>
          <t>Nscale</t>
        </is>
      </c>
      <c r="F688" s="17" t="n">
        <v>0</v>
      </c>
      <c r="G688" s="17" t="n">
        <v>1</v>
      </c>
      <c r="H688" s="17" t="n">
        <v>0</v>
      </c>
      <c r="I688" s="17" t="n">
        <v>0</v>
      </c>
      <c r="J688" s="17" t="n">
        <v>0</v>
      </c>
      <c r="K688" s="17" t="n">
        <v>0</v>
      </c>
      <c r="L688" s="17" t="n">
        <v>0</v>
      </c>
      <c r="M688" s="17" t="n">
        <v>0</v>
      </c>
      <c r="N688" s="17" t="n">
        <v>0</v>
      </c>
      <c r="O688" s="26" t="n">
        <v>1</v>
      </c>
      <c r="P688" s="3" t="inlineStr">
        <is>
          <t>epoch_chip_quantity_latest</t>
        </is>
      </c>
      <c r="Q688" s="3" t="inlineStr">
        <is>
          <t>SRC_EPOCH_AI_DATA_CENTERS; EPOCH_RAW_CHIP_QUANTITIES</t>
        </is>
      </c>
      <c r="R688" s="3" t="inlineStr">
        <is>
          <t>Latest chip quantity per chip type through year-end; normalized by unit count into benchmark buckets.</t>
        </is>
      </c>
    </row>
    <row r="689">
      <c r="A689" s="3" t="inlineStr">
        <is>
          <t>Grid-Constrained / Efficiency-Upside|Start Campus Sines Data Campus|2030</t>
        </is>
      </c>
      <c r="B689" s="3" t="inlineStr">
        <is>
          <t>Grid-Constrained / Efficiency-Upside</t>
        </is>
      </c>
      <c r="C689" s="3" t="inlineStr">
        <is>
          <t>Start Campus Sines Data Campus</t>
        </is>
      </c>
      <c r="D689" s="3" t="n">
        <v>2030</v>
      </c>
      <c r="E689" s="3" t="inlineStr">
        <is>
          <t>Nscale</t>
        </is>
      </c>
      <c r="F689" s="17" t="n">
        <v>0</v>
      </c>
      <c r="G689" s="17" t="n">
        <v>1</v>
      </c>
      <c r="H689" s="17" t="n">
        <v>0</v>
      </c>
      <c r="I689" s="17" t="n">
        <v>0</v>
      </c>
      <c r="J689" s="17" t="n">
        <v>0</v>
      </c>
      <c r="K689" s="17" t="n">
        <v>0</v>
      </c>
      <c r="L689" s="17" t="n">
        <v>0</v>
      </c>
      <c r="M689" s="17" t="n">
        <v>0</v>
      </c>
      <c r="N689" s="17" t="n">
        <v>0</v>
      </c>
      <c r="O689" s="26" t="n">
        <v>1</v>
      </c>
      <c r="P689" s="3" t="inlineStr">
        <is>
          <t>epoch_chip_quantity_latest</t>
        </is>
      </c>
      <c r="Q689" s="3" t="inlineStr">
        <is>
          <t>SRC_EPOCH_AI_DATA_CENTERS; EPOCH_RAW_CHIP_QUANTITIES</t>
        </is>
      </c>
      <c r="R689" s="3" t="inlineStr">
        <is>
          <t>Latest chip quantity per chip type through year-end; normalized by unit count into benchmark buckets.</t>
        </is>
      </c>
    </row>
    <row r="690">
      <c r="A690" s="3" t="inlineStr">
        <is>
          <t>Bear|CoreWeave Chester VA|2026</t>
        </is>
      </c>
      <c r="B690" s="3" t="inlineStr">
        <is>
          <t>Bear</t>
        </is>
      </c>
      <c r="C690" s="3" t="inlineStr">
        <is>
          <t>CoreWeave Chester VA</t>
        </is>
      </c>
      <c r="D690" s="3" t="n">
        <v>2026</v>
      </c>
      <c r="E690" s="3" t="inlineStr">
        <is>
          <t>CoreWeave</t>
        </is>
      </c>
      <c r="F690" s="17" t="n">
        <v>0.457917</v>
      </c>
      <c r="G690" s="17" t="n">
        <v>0.542083</v>
      </c>
      <c r="H690" s="17" t="n">
        <v>0</v>
      </c>
      <c r="I690" s="17" t="n">
        <v>0</v>
      </c>
      <c r="J690" s="17" t="n">
        <v>0</v>
      </c>
      <c r="K690" s="17" t="n">
        <v>0</v>
      </c>
      <c r="L690" s="17" t="n">
        <v>0</v>
      </c>
      <c r="M690" s="17" t="n">
        <v>0</v>
      </c>
      <c r="N690" s="17" t="n">
        <v>0</v>
      </c>
      <c r="O690" s="26" t="n">
        <v>1</v>
      </c>
      <c r="P690" s="3" t="inlineStr">
        <is>
          <t>epoch_chip_quantity_latest</t>
        </is>
      </c>
      <c r="Q690" s="3" t="inlineStr">
        <is>
          <t>SRC_EPOCH_AI_DATA_CENTERS; EPOCH_RAW_CHIP_QUANTITIES</t>
        </is>
      </c>
      <c r="R690" s="3" t="inlineStr">
        <is>
          <t>Latest chip quantity per chip type through year-end; normalized by unit count into benchmark buckets.</t>
        </is>
      </c>
    </row>
    <row r="691">
      <c r="A691" s="3" t="inlineStr">
        <is>
          <t>Bear|CoreWeave Chester VA|2027</t>
        </is>
      </c>
      <c r="B691" s="3" t="inlineStr">
        <is>
          <t>Bear</t>
        </is>
      </c>
      <c r="C691" s="3" t="inlineStr">
        <is>
          <t>CoreWeave Chester VA</t>
        </is>
      </c>
      <c r="D691" s="3" t="n">
        <v>2027</v>
      </c>
      <c r="E691" s="3" t="inlineStr">
        <is>
          <t>CoreWeave</t>
        </is>
      </c>
      <c r="F691" s="17" t="n">
        <v>0.350171</v>
      </c>
      <c r="G691" s="17" t="n">
        <v>0.649829</v>
      </c>
      <c r="H691" s="17" t="n">
        <v>0</v>
      </c>
      <c r="I691" s="17" t="n">
        <v>0</v>
      </c>
      <c r="J691" s="17" t="n">
        <v>0</v>
      </c>
      <c r="K691" s="17" t="n">
        <v>0</v>
      </c>
      <c r="L691" s="17" t="n">
        <v>0</v>
      </c>
      <c r="M691" s="17" t="n">
        <v>0</v>
      </c>
      <c r="N691" s="17" t="n">
        <v>0</v>
      </c>
      <c r="O691" s="26" t="n">
        <v>1</v>
      </c>
      <c r="P691" s="3" t="inlineStr">
        <is>
          <t>epoch_chip_quantity_latest</t>
        </is>
      </c>
      <c r="Q691" s="3" t="inlineStr">
        <is>
          <t>SRC_EPOCH_AI_DATA_CENTERS; EPOCH_RAW_CHIP_QUANTITIES</t>
        </is>
      </c>
      <c r="R691" s="3" t="inlineStr">
        <is>
          <t>Latest chip quantity per chip type through year-end; normalized by unit count into benchmark buckets.</t>
        </is>
      </c>
    </row>
    <row r="692">
      <c r="A692" s="3" t="inlineStr">
        <is>
          <t>Bear|CoreWeave Chester VA|2028</t>
        </is>
      </c>
      <c r="B692" s="3" t="inlineStr">
        <is>
          <t>Bear</t>
        </is>
      </c>
      <c r="C692" s="3" t="inlineStr">
        <is>
          <t>CoreWeave Chester VA</t>
        </is>
      </c>
      <c r="D692" s="3" t="n">
        <v>2028</v>
      </c>
      <c r="E692" s="3" t="inlineStr">
        <is>
          <t>CoreWeave</t>
        </is>
      </c>
      <c r="F692" s="17" t="n">
        <v>0.350171</v>
      </c>
      <c r="G692" s="17" t="n">
        <v>0.649829</v>
      </c>
      <c r="H692" s="17" t="n">
        <v>0</v>
      </c>
      <c r="I692" s="17" t="n">
        <v>0</v>
      </c>
      <c r="J692" s="17" t="n">
        <v>0</v>
      </c>
      <c r="K692" s="17" t="n">
        <v>0</v>
      </c>
      <c r="L692" s="17" t="n">
        <v>0</v>
      </c>
      <c r="M692" s="17" t="n">
        <v>0</v>
      </c>
      <c r="N692" s="17" t="n">
        <v>0</v>
      </c>
      <c r="O692" s="26" t="n">
        <v>1</v>
      </c>
      <c r="P692" s="3" t="inlineStr">
        <is>
          <t>epoch_chip_quantity_latest</t>
        </is>
      </c>
      <c r="Q692" s="3" t="inlineStr">
        <is>
          <t>SRC_EPOCH_AI_DATA_CENTERS; EPOCH_RAW_CHIP_QUANTITIES</t>
        </is>
      </c>
      <c r="R692" s="3" t="inlineStr">
        <is>
          <t>Latest chip quantity per chip type through year-end; normalized by unit count into benchmark buckets.</t>
        </is>
      </c>
    </row>
    <row r="693">
      <c r="A693" s="3" t="inlineStr">
        <is>
          <t>Bear|CoreWeave Chester VA|2029</t>
        </is>
      </c>
      <c r="B693" s="3" t="inlineStr">
        <is>
          <t>Bear</t>
        </is>
      </c>
      <c r="C693" s="3" t="inlineStr">
        <is>
          <t>CoreWeave Chester VA</t>
        </is>
      </c>
      <c r="D693" s="3" t="n">
        <v>2029</v>
      </c>
      <c r="E693" s="3" t="inlineStr">
        <is>
          <t>CoreWeave</t>
        </is>
      </c>
      <c r="F693" s="17" t="n">
        <v>0.350171</v>
      </c>
      <c r="G693" s="17" t="n">
        <v>0.649829</v>
      </c>
      <c r="H693" s="17" t="n">
        <v>0</v>
      </c>
      <c r="I693" s="17" t="n">
        <v>0</v>
      </c>
      <c r="J693" s="17" t="n">
        <v>0</v>
      </c>
      <c r="K693" s="17" t="n">
        <v>0</v>
      </c>
      <c r="L693" s="17" t="n">
        <v>0</v>
      </c>
      <c r="M693" s="17" t="n">
        <v>0</v>
      </c>
      <c r="N693" s="17" t="n">
        <v>0</v>
      </c>
      <c r="O693" s="26" t="n">
        <v>1</v>
      </c>
      <c r="P693" s="3" t="inlineStr">
        <is>
          <t>epoch_chip_quantity_latest</t>
        </is>
      </c>
      <c r="Q693" s="3" t="inlineStr">
        <is>
          <t>SRC_EPOCH_AI_DATA_CENTERS; EPOCH_RAW_CHIP_QUANTITIES</t>
        </is>
      </c>
      <c r="R693" s="3" t="inlineStr">
        <is>
          <t>Latest chip quantity per chip type through year-end; normalized by unit count into benchmark buckets.</t>
        </is>
      </c>
    </row>
    <row r="694">
      <c r="A694" s="3" t="inlineStr">
        <is>
          <t>Bear|CoreWeave Chester VA|2030</t>
        </is>
      </c>
      <c r="B694" s="3" t="inlineStr">
        <is>
          <t>Bear</t>
        </is>
      </c>
      <c r="C694" s="3" t="inlineStr">
        <is>
          <t>CoreWeave Chester VA</t>
        </is>
      </c>
      <c r="D694" s="3" t="n">
        <v>2030</v>
      </c>
      <c r="E694" s="3" t="inlineStr">
        <is>
          <t>CoreWeave</t>
        </is>
      </c>
      <c r="F694" s="17" t="n">
        <v>0.350171</v>
      </c>
      <c r="G694" s="17" t="n">
        <v>0.649829</v>
      </c>
      <c r="H694" s="17" t="n">
        <v>0</v>
      </c>
      <c r="I694" s="17" t="n">
        <v>0</v>
      </c>
      <c r="J694" s="17" t="n">
        <v>0</v>
      </c>
      <c r="K694" s="17" t="n">
        <v>0</v>
      </c>
      <c r="L694" s="17" t="n">
        <v>0</v>
      </c>
      <c r="M694" s="17" t="n">
        <v>0</v>
      </c>
      <c r="N694" s="17" t="n">
        <v>0</v>
      </c>
      <c r="O694" s="26" t="n">
        <v>1</v>
      </c>
      <c r="P694" s="3" t="inlineStr">
        <is>
          <t>epoch_chip_quantity_latest</t>
        </is>
      </c>
      <c r="Q694" s="3" t="inlineStr">
        <is>
          <t>SRC_EPOCH_AI_DATA_CENTERS; EPOCH_RAW_CHIP_QUANTITIES</t>
        </is>
      </c>
      <c r="R694" s="3" t="inlineStr">
        <is>
          <t>Latest chip quantity per chip type through year-end; normalized by unit count into benchmark buckets.</t>
        </is>
      </c>
    </row>
    <row r="695">
      <c r="A695" s="3" t="inlineStr">
        <is>
          <t>Base|CoreWeave Chester VA|2026</t>
        </is>
      </c>
      <c r="B695" s="3" t="inlineStr">
        <is>
          <t>Base</t>
        </is>
      </c>
      <c r="C695" s="3" t="inlineStr">
        <is>
          <t>CoreWeave Chester VA</t>
        </is>
      </c>
      <c r="D695" s="3" t="n">
        <v>2026</v>
      </c>
      <c r="E695" s="3" t="inlineStr">
        <is>
          <t>CoreWeave</t>
        </is>
      </c>
      <c r="F695" s="17" t="n">
        <v>0.457917</v>
      </c>
      <c r="G695" s="17" t="n">
        <v>0.542083</v>
      </c>
      <c r="H695" s="17" t="n">
        <v>0</v>
      </c>
      <c r="I695" s="17" t="n">
        <v>0</v>
      </c>
      <c r="J695" s="17" t="n">
        <v>0</v>
      </c>
      <c r="K695" s="17" t="n">
        <v>0</v>
      </c>
      <c r="L695" s="17" t="n">
        <v>0</v>
      </c>
      <c r="M695" s="17" t="n">
        <v>0</v>
      </c>
      <c r="N695" s="17" t="n">
        <v>0</v>
      </c>
      <c r="O695" s="26" t="n">
        <v>1</v>
      </c>
      <c r="P695" s="3" t="inlineStr">
        <is>
          <t>epoch_chip_quantity_latest</t>
        </is>
      </c>
      <c r="Q695" s="3" t="inlineStr">
        <is>
          <t>SRC_EPOCH_AI_DATA_CENTERS; EPOCH_RAW_CHIP_QUANTITIES</t>
        </is>
      </c>
      <c r="R695" s="3" t="inlineStr">
        <is>
          <t>Latest chip quantity per chip type through year-end; normalized by unit count into benchmark buckets.</t>
        </is>
      </c>
    </row>
    <row r="696">
      <c r="A696" s="3" t="inlineStr">
        <is>
          <t>Base|CoreWeave Chester VA|2027</t>
        </is>
      </c>
      <c r="B696" s="3" t="inlineStr">
        <is>
          <t>Base</t>
        </is>
      </c>
      <c r="C696" s="3" t="inlineStr">
        <is>
          <t>CoreWeave Chester VA</t>
        </is>
      </c>
      <c r="D696" s="3" t="n">
        <v>2027</v>
      </c>
      <c r="E696" s="3" t="inlineStr">
        <is>
          <t>CoreWeave</t>
        </is>
      </c>
      <c r="F696" s="17" t="n">
        <v>0.350171</v>
      </c>
      <c r="G696" s="17" t="n">
        <v>0.649829</v>
      </c>
      <c r="H696" s="17" t="n">
        <v>0</v>
      </c>
      <c r="I696" s="17" t="n">
        <v>0</v>
      </c>
      <c r="J696" s="17" t="n">
        <v>0</v>
      </c>
      <c r="K696" s="17" t="n">
        <v>0</v>
      </c>
      <c r="L696" s="17" t="n">
        <v>0</v>
      </c>
      <c r="M696" s="17" t="n">
        <v>0</v>
      </c>
      <c r="N696" s="17" t="n">
        <v>0</v>
      </c>
      <c r="O696" s="26" t="n">
        <v>1</v>
      </c>
      <c r="P696" s="3" t="inlineStr">
        <is>
          <t>epoch_chip_quantity_latest</t>
        </is>
      </c>
      <c r="Q696" s="3" t="inlineStr">
        <is>
          <t>SRC_EPOCH_AI_DATA_CENTERS; EPOCH_RAW_CHIP_QUANTITIES</t>
        </is>
      </c>
      <c r="R696" s="3" t="inlineStr">
        <is>
          <t>Latest chip quantity per chip type through year-end; normalized by unit count into benchmark buckets.</t>
        </is>
      </c>
    </row>
    <row r="697">
      <c r="A697" s="3" t="inlineStr">
        <is>
          <t>Base|CoreWeave Chester VA|2028</t>
        </is>
      </c>
      <c r="B697" s="3" t="inlineStr">
        <is>
          <t>Base</t>
        </is>
      </c>
      <c r="C697" s="3" t="inlineStr">
        <is>
          <t>CoreWeave Chester VA</t>
        </is>
      </c>
      <c r="D697" s="3" t="n">
        <v>2028</v>
      </c>
      <c r="E697" s="3" t="inlineStr">
        <is>
          <t>CoreWeave</t>
        </is>
      </c>
      <c r="F697" s="17" t="n">
        <v>0.350171</v>
      </c>
      <c r="G697" s="17" t="n">
        <v>0.649829</v>
      </c>
      <c r="H697" s="17" t="n">
        <v>0</v>
      </c>
      <c r="I697" s="17" t="n">
        <v>0</v>
      </c>
      <c r="J697" s="17" t="n">
        <v>0</v>
      </c>
      <c r="K697" s="17" t="n">
        <v>0</v>
      </c>
      <c r="L697" s="17" t="n">
        <v>0</v>
      </c>
      <c r="M697" s="17" t="n">
        <v>0</v>
      </c>
      <c r="N697" s="17" t="n">
        <v>0</v>
      </c>
      <c r="O697" s="26" t="n">
        <v>1</v>
      </c>
      <c r="P697" s="3" t="inlineStr">
        <is>
          <t>epoch_chip_quantity_latest</t>
        </is>
      </c>
      <c r="Q697" s="3" t="inlineStr">
        <is>
          <t>SRC_EPOCH_AI_DATA_CENTERS; EPOCH_RAW_CHIP_QUANTITIES</t>
        </is>
      </c>
      <c r="R697" s="3" t="inlineStr">
        <is>
          <t>Latest chip quantity per chip type through year-end; normalized by unit count into benchmark buckets.</t>
        </is>
      </c>
    </row>
    <row r="698">
      <c r="A698" s="3" t="inlineStr">
        <is>
          <t>Base|CoreWeave Chester VA|2029</t>
        </is>
      </c>
      <c r="B698" s="3" t="inlineStr">
        <is>
          <t>Base</t>
        </is>
      </c>
      <c r="C698" s="3" t="inlineStr">
        <is>
          <t>CoreWeave Chester VA</t>
        </is>
      </c>
      <c r="D698" s="3" t="n">
        <v>2029</v>
      </c>
      <c r="E698" s="3" t="inlineStr">
        <is>
          <t>CoreWeave</t>
        </is>
      </c>
      <c r="F698" s="17" t="n">
        <v>0.350171</v>
      </c>
      <c r="G698" s="17" t="n">
        <v>0.649829</v>
      </c>
      <c r="H698" s="17" t="n">
        <v>0</v>
      </c>
      <c r="I698" s="17" t="n">
        <v>0</v>
      </c>
      <c r="J698" s="17" t="n">
        <v>0</v>
      </c>
      <c r="K698" s="17" t="n">
        <v>0</v>
      </c>
      <c r="L698" s="17" t="n">
        <v>0</v>
      </c>
      <c r="M698" s="17" t="n">
        <v>0</v>
      </c>
      <c r="N698" s="17" t="n">
        <v>0</v>
      </c>
      <c r="O698" s="26" t="n">
        <v>1</v>
      </c>
      <c r="P698" s="3" t="inlineStr">
        <is>
          <t>epoch_chip_quantity_latest</t>
        </is>
      </c>
      <c r="Q698" s="3" t="inlineStr">
        <is>
          <t>SRC_EPOCH_AI_DATA_CENTERS; EPOCH_RAW_CHIP_QUANTITIES</t>
        </is>
      </c>
      <c r="R698" s="3" t="inlineStr">
        <is>
          <t>Latest chip quantity per chip type through year-end; normalized by unit count into benchmark buckets.</t>
        </is>
      </c>
    </row>
    <row r="699">
      <c r="A699" s="3" t="inlineStr">
        <is>
          <t>Base|CoreWeave Chester VA|2030</t>
        </is>
      </c>
      <c r="B699" s="3" t="inlineStr">
        <is>
          <t>Base</t>
        </is>
      </c>
      <c r="C699" s="3" t="inlineStr">
        <is>
          <t>CoreWeave Chester VA</t>
        </is>
      </c>
      <c r="D699" s="3" t="n">
        <v>2030</v>
      </c>
      <c r="E699" s="3" t="inlineStr">
        <is>
          <t>CoreWeave</t>
        </is>
      </c>
      <c r="F699" s="17" t="n">
        <v>0.350171</v>
      </c>
      <c r="G699" s="17" t="n">
        <v>0.649829</v>
      </c>
      <c r="H699" s="17" t="n">
        <v>0</v>
      </c>
      <c r="I699" s="17" t="n">
        <v>0</v>
      </c>
      <c r="J699" s="17" t="n">
        <v>0</v>
      </c>
      <c r="K699" s="17" t="n">
        <v>0</v>
      </c>
      <c r="L699" s="17" t="n">
        <v>0</v>
      </c>
      <c r="M699" s="17" t="n">
        <v>0</v>
      </c>
      <c r="N699" s="17" t="n">
        <v>0</v>
      </c>
      <c r="O699" s="26" t="n">
        <v>1</v>
      </c>
      <c r="P699" s="3" t="inlineStr">
        <is>
          <t>epoch_chip_quantity_latest</t>
        </is>
      </c>
      <c r="Q699" s="3" t="inlineStr">
        <is>
          <t>SRC_EPOCH_AI_DATA_CENTERS; EPOCH_RAW_CHIP_QUANTITIES</t>
        </is>
      </c>
      <c r="R699" s="3" t="inlineStr">
        <is>
          <t>Latest chip quantity per chip type through year-end; normalized by unit count into benchmark buckets.</t>
        </is>
      </c>
    </row>
    <row r="700">
      <c r="A700" s="3" t="inlineStr">
        <is>
          <t>Bull|CoreWeave Chester VA|2026</t>
        </is>
      </c>
      <c r="B700" s="3" t="inlineStr">
        <is>
          <t>Bull</t>
        </is>
      </c>
      <c r="C700" s="3" t="inlineStr">
        <is>
          <t>CoreWeave Chester VA</t>
        </is>
      </c>
      <c r="D700" s="3" t="n">
        <v>2026</v>
      </c>
      <c r="E700" s="3" t="inlineStr">
        <is>
          <t>CoreWeave</t>
        </is>
      </c>
      <c r="F700" s="17" t="n">
        <v>0.457917</v>
      </c>
      <c r="G700" s="17" t="n">
        <v>0.542083</v>
      </c>
      <c r="H700" s="17" t="n">
        <v>0</v>
      </c>
      <c r="I700" s="17" t="n">
        <v>0</v>
      </c>
      <c r="J700" s="17" t="n">
        <v>0</v>
      </c>
      <c r="K700" s="17" t="n">
        <v>0</v>
      </c>
      <c r="L700" s="17" t="n">
        <v>0</v>
      </c>
      <c r="M700" s="17" t="n">
        <v>0</v>
      </c>
      <c r="N700" s="17" t="n">
        <v>0</v>
      </c>
      <c r="O700" s="26" t="n">
        <v>1</v>
      </c>
      <c r="P700" s="3" t="inlineStr">
        <is>
          <t>epoch_chip_quantity_latest</t>
        </is>
      </c>
      <c r="Q700" s="3" t="inlineStr">
        <is>
          <t>SRC_EPOCH_AI_DATA_CENTERS; EPOCH_RAW_CHIP_QUANTITIES</t>
        </is>
      </c>
      <c r="R700" s="3" t="inlineStr">
        <is>
          <t>Latest chip quantity per chip type through year-end; normalized by unit count into benchmark buckets.</t>
        </is>
      </c>
    </row>
    <row r="701">
      <c r="A701" s="3" t="inlineStr">
        <is>
          <t>Bull|CoreWeave Chester VA|2027</t>
        </is>
      </c>
      <c r="B701" s="3" t="inlineStr">
        <is>
          <t>Bull</t>
        </is>
      </c>
      <c r="C701" s="3" t="inlineStr">
        <is>
          <t>CoreWeave Chester VA</t>
        </is>
      </c>
      <c r="D701" s="3" t="n">
        <v>2027</v>
      </c>
      <c r="E701" s="3" t="inlineStr">
        <is>
          <t>CoreWeave</t>
        </is>
      </c>
      <c r="F701" s="17" t="n">
        <v>0.350171</v>
      </c>
      <c r="G701" s="17" t="n">
        <v>0.649829</v>
      </c>
      <c r="H701" s="17" t="n">
        <v>0</v>
      </c>
      <c r="I701" s="17" t="n">
        <v>0</v>
      </c>
      <c r="J701" s="17" t="n">
        <v>0</v>
      </c>
      <c r="K701" s="17" t="n">
        <v>0</v>
      </c>
      <c r="L701" s="17" t="n">
        <v>0</v>
      </c>
      <c r="M701" s="17" t="n">
        <v>0</v>
      </c>
      <c r="N701" s="17" t="n">
        <v>0</v>
      </c>
      <c r="O701" s="26" t="n">
        <v>1</v>
      </c>
      <c r="P701" s="3" t="inlineStr">
        <is>
          <t>epoch_chip_quantity_latest</t>
        </is>
      </c>
      <c r="Q701" s="3" t="inlineStr">
        <is>
          <t>SRC_EPOCH_AI_DATA_CENTERS; EPOCH_RAW_CHIP_QUANTITIES</t>
        </is>
      </c>
      <c r="R701" s="3" t="inlineStr">
        <is>
          <t>Latest chip quantity per chip type through year-end; normalized by unit count into benchmark buckets.</t>
        </is>
      </c>
    </row>
    <row r="702">
      <c r="A702" s="3" t="inlineStr">
        <is>
          <t>Bull|CoreWeave Chester VA|2028</t>
        </is>
      </c>
      <c r="B702" s="3" t="inlineStr">
        <is>
          <t>Bull</t>
        </is>
      </c>
      <c r="C702" s="3" t="inlineStr">
        <is>
          <t>CoreWeave Chester VA</t>
        </is>
      </c>
      <c r="D702" s="3" t="n">
        <v>2028</v>
      </c>
      <c r="E702" s="3" t="inlineStr">
        <is>
          <t>CoreWeave</t>
        </is>
      </c>
      <c r="F702" s="17" t="n">
        <v>0.350171</v>
      </c>
      <c r="G702" s="17" t="n">
        <v>0.649829</v>
      </c>
      <c r="H702" s="17" t="n">
        <v>0</v>
      </c>
      <c r="I702" s="17" t="n">
        <v>0</v>
      </c>
      <c r="J702" s="17" t="n">
        <v>0</v>
      </c>
      <c r="K702" s="17" t="n">
        <v>0</v>
      </c>
      <c r="L702" s="17" t="n">
        <v>0</v>
      </c>
      <c r="M702" s="17" t="n">
        <v>0</v>
      </c>
      <c r="N702" s="17" t="n">
        <v>0</v>
      </c>
      <c r="O702" s="26" t="n">
        <v>1</v>
      </c>
      <c r="P702" s="3" t="inlineStr">
        <is>
          <t>epoch_chip_quantity_latest</t>
        </is>
      </c>
      <c r="Q702" s="3" t="inlineStr">
        <is>
          <t>SRC_EPOCH_AI_DATA_CENTERS; EPOCH_RAW_CHIP_QUANTITIES</t>
        </is>
      </c>
      <c r="R702" s="3" t="inlineStr">
        <is>
          <t>Latest chip quantity per chip type through year-end; normalized by unit count into benchmark buckets.</t>
        </is>
      </c>
    </row>
    <row r="703">
      <c r="A703" s="3" t="inlineStr">
        <is>
          <t>Bull|CoreWeave Chester VA|2029</t>
        </is>
      </c>
      <c r="B703" s="3" t="inlineStr">
        <is>
          <t>Bull</t>
        </is>
      </c>
      <c r="C703" s="3" t="inlineStr">
        <is>
          <t>CoreWeave Chester VA</t>
        </is>
      </c>
      <c r="D703" s="3" t="n">
        <v>2029</v>
      </c>
      <c r="E703" s="3" t="inlineStr">
        <is>
          <t>CoreWeave</t>
        </is>
      </c>
      <c r="F703" s="17" t="n">
        <v>0.350171</v>
      </c>
      <c r="G703" s="17" t="n">
        <v>0.649829</v>
      </c>
      <c r="H703" s="17" t="n">
        <v>0</v>
      </c>
      <c r="I703" s="17" t="n">
        <v>0</v>
      </c>
      <c r="J703" s="17" t="n">
        <v>0</v>
      </c>
      <c r="K703" s="17" t="n">
        <v>0</v>
      </c>
      <c r="L703" s="17" t="n">
        <v>0</v>
      </c>
      <c r="M703" s="17" t="n">
        <v>0</v>
      </c>
      <c r="N703" s="17" t="n">
        <v>0</v>
      </c>
      <c r="O703" s="26" t="n">
        <v>1</v>
      </c>
      <c r="P703" s="3" t="inlineStr">
        <is>
          <t>epoch_chip_quantity_latest</t>
        </is>
      </c>
      <c r="Q703" s="3" t="inlineStr">
        <is>
          <t>SRC_EPOCH_AI_DATA_CENTERS; EPOCH_RAW_CHIP_QUANTITIES</t>
        </is>
      </c>
      <c r="R703" s="3" t="inlineStr">
        <is>
          <t>Latest chip quantity per chip type through year-end; normalized by unit count into benchmark buckets.</t>
        </is>
      </c>
    </row>
    <row r="704">
      <c r="A704" s="3" t="inlineStr">
        <is>
          <t>Bull|CoreWeave Chester VA|2030</t>
        </is>
      </c>
      <c r="B704" s="3" t="inlineStr">
        <is>
          <t>Bull</t>
        </is>
      </c>
      <c r="C704" s="3" t="inlineStr">
        <is>
          <t>CoreWeave Chester VA</t>
        </is>
      </c>
      <c r="D704" s="3" t="n">
        <v>2030</v>
      </c>
      <c r="E704" s="3" t="inlineStr">
        <is>
          <t>CoreWeave</t>
        </is>
      </c>
      <c r="F704" s="17" t="n">
        <v>0.350171</v>
      </c>
      <c r="G704" s="17" t="n">
        <v>0.649829</v>
      </c>
      <c r="H704" s="17" t="n">
        <v>0</v>
      </c>
      <c r="I704" s="17" t="n">
        <v>0</v>
      </c>
      <c r="J704" s="17" t="n">
        <v>0</v>
      </c>
      <c r="K704" s="17" t="n">
        <v>0</v>
      </c>
      <c r="L704" s="17" t="n">
        <v>0</v>
      </c>
      <c r="M704" s="17" t="n">
        <v>0</v>
      </c>
      <c r="N704" s="17" t="n">
        <v>0</v>
      </c>
      <c r="O704" s="26" t="n">
        <v>1</v>
      </c>
      <c r="P704" s="3" t="inlineStr">
        <is>
          <t>epoch_chip_quantity_latest</t>
        </is>
      </c>
      <c r="Q704" s="3" t="inlineStr">
        <is>
          <t>SRC_EPOCH_AI_DATA_CENTERS; EPOCH_RAW_CHIP_QUANTITIES</t>
        </is>
      </c>
      <c r="R704" s="3" t="inlineStr">
        <is>
          <t>Latest chip quantity per chip type through year-end; normalized by unit count into benchmark buckets.</t>
        </is>
      </c>
    </row>
    <row r="705">
      <c r="A705" s="3" t="inlineStr">
        <is>
          <t>Grid-Constrained / Efficiency-Upside|CoreWeave Chester VA|2026</t>
        </is>
      </c>
      <c r="B705" s="3" t="inlineStr">
        <is>
          <t>Grid-Constrained / Efficiency-Upside</t>
        </is>
      </c>
      <c r="C705" s="3" t="inlineStr">
        <is>
          <t>CoreWeave Chester VA</t>
        </is>
      </c>
      <c r="D705" s="3" t="n">
        <v>2026</v>
      </c>
      <c r="E705" s="3" t="inlineStr">
        <is>
          <t>CoreWeave</t>
        </is>
      </c>
      <c r="F705" s="17" t="n">
        <v>0.457917</v>
      </c>
      <c r="G705" s="17" t="n">
        <v>0.542083</v>
      </c>
      <c r="H705" s="17" t="n">
        <v>0</v>
      </c>
      <c r="I705" s="17" t="n">
        <v>0</v>
      </c>
      <c r="J705" s="17" t="n">
        <v>0</v>
      </c>
      <c r="K705" s="17" t="n">
        <v>0</v>
      </c>
      <c r="L705" s="17" t="n">
        <v>0</v>
      </c>
      <c r="M705" s="17" t="n">
        <v>0</v>
      </c>
      <c r="N705" s="17" t="n">
        <v>0</v>
      </c>
      <c r="O705" s="26" t="n">
        <v>1</v>
      </c>
      <c r="P705" s="3" t="inlineStr">
        <is>
          <t>epoch_chip_quantity_latest</t>
        </is>
      </c>
      <c r="Q705" s="3" t="inlineStr">
        <is>
          <t>SRC_EPOCH_AI_DATA_CENTERS; EPOCH_RAW_CHIP_QUANTITIES</t>
        </is>
      </c>
      <c r="R705" s="3" t="inlineStr">
        <is>
          <t>Latest chip quantity per chip type through year-end; normalized by unit count into benchmark buckets.</t>
        </is>
      </c>
    </row>
    <row r="706">
      <c r="A706" s="3" t="inlineStr">
        <is>
          <t>Grid-Constrained / Efficiency-Upside|CoreWeave Chester VA|2027</t>
        </is>
      </c>
      <c r="B706" s="3" t="inlineStr">
        <is>
          <t>Grid-Constrained / Efficiency-Upside</t>
        </is>
      </c>
      <c r="C706" s="3" t="inlineStr">
        <is>
          <t>CoreWeave Chester VA</t>
        </is>
      </c>
      <c r="D706" s="3" t="n">
        <v>2027</v>
      </c>
      <c r="E706" s="3" t="inlineStr">
        <is>
          <t>CoreWeave</t>
        </is>
      </c>
      <c r="F706" s="17" t="n">
        <v>0.350171</v>
      </c>
      <c r="G706" s="17" t="n">
        <v>0.649829</v>
      </c>
      <c r="H706" s="17" t="n">
        <v>0</v>
      </c>
      <c r="I706" s="17" t="n">
        <v>0</v>
      </c>
      <c r="J706" s="17" t="n">
        <v>0</v>
      </c>
      <c r="K706" s="17" t="n">
        <v>0</v>
      </c>
      <c r="L706" s="17" t="n">
        <v>0</v>
      </c>
      <c r="M706" s="17" t="n">
        <v>0</v>
      </c>
      <c r="N706" s="17" t="n">
        <v>0</v>
      </c>
      <c r="O706" s="26" t="n">
        <v>1</v>
      </c>
      <c r="P706" s="3" t="inlineStr">
        <is>
          <t>epoch_chip_quantity_latest</t>
        </is>
      </c>
      <c r="Q706" s="3" t="inlineStr">
        <is>
          <t>SRC_EPOCH_AI_DATA_CENTERS; EPOCH_RAW_CHIP_QUANTITIES</t>
        </is>
      </c>
      <c r="R706" s="3" t="inlineStr">
        <is>
          <t>Latest chip quantity per chip type through year-end; normalized by unit count into benchmark buckets.</t>
        </is>
      </c>
    </row>
    <row r="707">
      <c r="A707" s="3" t="inlineStr">
        <is>
          <t>Grid-Constrained / Efficiency-Upside|CoreWeave Chester VA|2028</t>
        </is>
      </c>
      <c r="B707" s="3" t="inlineStr">
        <is>
          <t>Grid-Constrained / Efficiency-Upside</t>
        </is>
      </c>
      <c r="C707" s="3" t="inlineStr">
        <is>
          <t>CoreWeave Chester VA</t>
        </is>
      </c>
      <c r="D707" s="3" t="n">
        <v>2028</v>
      </c>
      <c r="E707" s="3" t="inlineStr">
        <is>
          <t>CoreWeave</t>
        </is>
      </c>
      <c r="F707" s="17" t="n">
        <v>0.350171</v>
      </c>
      <c r="G707" s="17" t="n">
        <v>0.649829</v>
      </c>
      <c r="H707" s="17" t="n">
        <v>0</v>
      </c>
      <c r="I707" s="17" t="n">
        <v>0</v>
      </c>
      <c r="J707" s="17" t="n">
        <v>0</v>
      </c>
      <c r="K707" s="17" t="n">
        <v>0</v>
      </c>
      <c r="L707" s="17" t="n">
        <v>0</v>
      </c>
      <c r="M707" s="17" t="n">
        <v>0</v>
      </c>
      <c r="N707" s="17" t="n">
        <v>0</v>
      </c>
      <c r="O707" s="26" t="n">
        <v>1</v>
      </c>
      <c r="P707" s="3" t="inlineStr">
        <is>
          <t>epoch_chip_quantity_latest</t>
        </is>
      </c>
      <c r="Q707" s="3" t="inlineStr">
        <is>
          <t>SRC_EPOCH_AI_DATA_CENTERS; EPOCH_RAW_CHIP_QUANTITIES</t>
        </is>
      </c>
      <c r="R707" s="3" t="inlineStr">
        <is>
          <t>Latest chip quantity per chip type through year-end; normalized by unit count into benchmark buckets.</t>
        </is>
      </c>
    </row>
    <row r="708">
      <c r="A708" s="3" t="inlineStr">
        <is>
          <t>Grid-Constrained / Efficiency-Upside|CoreWeave Chester VA|2029</t>
        </is>
      </c>
      <c r="B708" s="3" t="inlineStr">
        <is>
          <t>Grid-Constrained / Efficiency-Upside</t>
        </is>
      </c>
      <c r="C708" s="3" t="inlineStr">
        <is>
          <t>CoreWeave Chester VA</t>
        </is>
      </c>
      <c r="D708" s="3" t="n">
        <v>2029</v>
      </c>
      <c r="E708" s="3" t="inlineStr">
        <is>
          <t>CoreWeave</t>
        </is>
      </c>
      <c r="F708" s="17" t="n">
        <v>0.350171</v>
      </c>
      <c r="G708" s="17" t="n">
        <v>0.649829</v>
      </c>
      <c r="H708" s="17" t="n">
        <v>0</v>
      </c>
      <c r="I708" s="17" t="n">
        <v>0</v>
      </c>
      <c r="J708" s="17" t="n">
        <v>0</v>
      </c>
      <c r="K708" s="17" t="n">
        <v>0</v>
      </c>
      <c r="L708" s="17" t="n">
        <v>0</v>
      </c>
      <c r="M708" s="17" t="n">
        <v>0</v>
      </c>
      <c r="N708" s="17" t="n">
        <v>0</v>
      </c>
      <c r="O708" s="26" t="n">
        <v>1</v>
      </c>
      <c r="P708" s="3" t="inlineStr">
        <is>
          <t>epoch_chip_quantity_latest</t>
        </is>
      </c>
      <c r="Q708" s="3" t="inlineStr">
        <is>
          <t>SRC_EPOCH_AI_DATA_CENTERS; EPOCH_RAW_CHIP_QUANTITIES</t>
        </is>
      </c>
      <c r="R708" s="3" t="inlineStr">
        <is>
          <t>Latest chip quantity per chip type through year-end; normalized by unit count into benchmark buckets.</t>
        </is>
      </c>
    </row>
    <row r="709">
      <c r="A709" s="3" t="inlineStr">
        <is>
          <t>Grid-Constrained / Efficiency-Upside|CoreWeave Chester VA|2030</t>
        </is>
      </c>
      <c r="B709" s="3" t="inlineStr">
        <is>
          <t>Grid-Constrained / Efficiency-Upside</t>
        </is>
      </c>
      <c r="C709" s="3" t="inlineStr">
        <is>
          <t>CoreWeave Chester VA</t>
        </is>
      </c>
      <c r="D709" s="3" t="n">
        <v>2030</v>
      </c>
      <c r="E709" s="3" t="inlineStr">
        <is>
          <t>CoreWeave</t>
        </is>
      </c>
      <c r="F709" s="17" t="n">
        <v>0.350171</v>
      </c>
      <c r="G709" s="17" t="n">
        <v>0.649829</v>
      </c>
      <c r="H709" s="17" t="n">
        <v>0</v>
      </c>
      <c r="I709" s="17" t="n">
        <v>0</v>
      </c>
      <c r="J709" s="17" t="n">
        <v>0</v>
      </c>
      <c r="K709" s="17" t="n">
        <v>0</v>
      </c>
      <c r="L709" s="17" t="n">
        <v>0</v>
      </c>
      <c r="M709" s="17" t="n">
        <v>0</v>
      </c>
      <c r="N709" s="17" t="n">
        <v>0</v>
      </c>
      <c r="O709" s="26" t="n">
        <v>1</v>
      </c>
      <c r="P709" s="3" t="inlineStr">
        <is>
          <t>epoch_chip_quantity_latest</t>
        </is>
      </c>
      <c r="Q709" s="3" t="inlineStr">
        <is>
          <t>SRC_EPOCH_AI_DATA_CENTERS; EPOCH_RAW_CHIP_QUANTITIES</t>
        </is>
      </c>
      <c r="R709" s="3" t="inlineStr">
        <is>
          <t>Latest chip quantity per chip type through year-end; normalized by unit count into benchmark buckets.</t>
        </is>
      </c>
    </row>
    <row r="710">
      <c r="A710" s="3" t="inlineStr">
        <is>
          <t>Bear|CoreWeave Dalton 1 &amp; 2|2026</t>
        </is>
      </c>
      <c r="B710" s="3" t="inlineStr">
        <is>
          <t>Bear</t>
        </is>
      </c>
      <c r="C710" s="3" t="inlineStr">
        <is>
          <t>CoreWeave Dalton 1 &amp; 2</t>
        </is>
      </c>
      <c r="D710" s="3" t="n">
        <v>2026</v>
      </c>
      <c r="E710" s="3" t="inlineStr">
        <is>
          <t>CoreWeave</t>
        </is>
      </c>
      <c r="F710" s="17" t="n">
        <v>0</v>
      </c>
      <c r="G710" s="17" t="n">
        <v>1</v>
      </c>
      <c r="H710" s="17" t="n">
        <v>0</v>
      </c>
      <c r="I710" s="17" t="n">
        <v>0</v>
      </c>
      <c r="J710" s="17" t="n">
        <v>0</v>
      </c>
      <c r="K710" s="17" t="n">
        <v>0</v>
      </c>
      <c r="L710" s="17" t="n">
        <v>0</v>
      </c>
      <c r="M710" s="17" t="n">
        <v>0</v>
      </c>
      <c r="N710" s="17" t="n">
        <v>0</v>
      </c>
      <c r="O710" s="26" t="n">
        <v>1</v>
      </c>
      <c r="P710" s="3" t="inlineStr">
        <is>
          <t>epoch_chip_quantity_latest</t>
        </is>
      </c>
      <c r="Q710" s="3" t="inlineStr">
        <is>
          <t>SRC_EPOCH_AI_DATA_CENTERS; EPOCH_RAW_CHIP_QUANTITIES</t>
        </is>
      </c>
      <c r="R710" s="3" t="inlineStr">
        <is>
          <t>Latest chip quantity per chip type through year-end; normalized by unit count into benchmark buckets.</t>
        </is>
      </c>
    </row>
    <row r="711">
      <c r="A711" s="3" t="inlineStr">
        <is>
          <t>Bear|CoreWeave Dalton 1 &amp; 2|2027</t>
        </is>
      </c>
      <c r="B711" s="3" t="inlineStr">
        <is>
          <t>Bear</t>
        </is>
      </c>
      <c r="C711" s="3" t="inlineStr">
        <is>
          <t>CoreWeave Dalton 1 &amp; 2</t>
        </is>
      </c>
      <c r="D711" s="3" t="n">
        <v>2027</v>
      </c>
      <c r="E711" s="3" t="inlineStr">
        <is>
          <t>CoreWeave</t>
        </is>
      </c>
      <c r="F711" s="17" t="n">
        <v>0</v>
      </c>
      <c r="G711" s="17" t="n">
        <v>1</v>
      </c>
      <c r="H711" s="17" t="n">
        <v>0</v>
      </c>
      <c r="I711" s="17" t="n">
        <v>0</v>
      </c>
      <c r="J711" s="17" t="n">
        <v>0</v>
      </c>
      <c r="K711" s="17" t="n">
        <v>0</v>
      </c>
      <c r="L711" s="17" t="n">
        <v>0</v>
      </c>
      <c r="M711" s="17" t="n">
        <v>0</v>
      </c>
      <c r="N711" s="17" t="n">
        <v>0</v>
      </c>
      <c r="O711" s="26" t="n">
        <v>1</v>
      </c>
      <c r="P711" s="3" t="inlineStr">
        <is>
          <t>epoch_chip_quantity_latest</t>
        </is>
      </c>
      <c r="Q711" s="3" t="inlineStr">
        <is>
          <t>SRC_EPOCH_AI_DATA_CENTERS; EPOCH_RAW_CHIP_QUANTITIES</t>
        </is>
      </c>
      <c r="R711" s="3" t="inlineStr">
        <is>
          <t>Latest chip quantity per chip type through year-end; normalized by unit count into benchmark buckets.</t>
        </is>
      </c>
    </row>
    <row r="712">
      <c r="A712" s="3" t="inlineStr">
        <is>
          <t>Bear|CoreWeave Dalton 1 &amp; 2|2028</t>
        </is>
      </c>
      <c r="B712" s="3" t="inlineStr">
        <is>
          <t>Bear</t>
        </is>
      </c>
      <c r="C712" s="3" t="inlineStr">
        <is>
          <t>CoreWeave Dalton 1 &amp; 2</t>
        </is>
      </c>
      <c r="D712" s="3" t="n">
        <v>2028</v>
      </c>
      <c r="E712" s="3" t="inlineStr">
        <is>
          <t>CoreWeave</t>
        </is>
      </c>
      <c r="F712" s="17" t="n">
        <v>0</v>
      </c>
      <c r="G712" s="17" t="n">
        <v>1</v>
      </c>
      <c r="H712" s="17" t="n">
        <v>0</v>
      </c>
      <c r="I712" s="17" t="n">
        <v>0</v>
      </c>
      <c r="J712" s="17" t="n">
        <v>0</v>
      </c>
      <c r="K712" s="17" t="n">
        <v>0</v>
      </c>
      <c r="L712" s="17" t="n">
        <v>0</v>
      </c>
      <c r="M712" s="17" t="n">
        <v>0</v>
      </c>
      <c r="N712" s="17" t="n">
        <v>0</v>
      </c>
      <c r="O712" s="26" t="n">
        <v>1</v>
      </c>
      <c r="P712" s="3" t="inlineStr">
        <is>
          <t>epoch_chip_quantity_latest</t>
        </is>
      </c>
      <c r="Q712" s="3" t="inlineStr">
        <is>
          <t>SRC_EPOCH_AI_DATA_CENTERS; EPOCH_RAW_CHIP_QUANTITIES</t>
        </is>
      </c>
      <c r="R712" s="3" t="inlineStr">
        <is>
          <t>Latest chip quantity per chip type through year-end; normalized by unit count into benchmark buckets.</t>
        </is>
      </c>
    </row>
    <row r="713">
      <c r="A713" s="3" t="inlineStr">
        <is>
          <t>Bear|CoreWeave Dalton 1 &amp; 2|2029</t>
        </is>
      </c>
      <c r="B713" s="3" t="inlineStr">
        <is>
          <t>Bear</t>
        </is>
      </c>
      <c r="C713" s="3" t="inlineStr">
        <is>
          <t>CoreWeave Dalton 1 &amp; 2</t>
        </is>
      </c>
      <c r="D713" s="3" t="n">
        <v>2029</v>
      </c>
      <c r="E713" s="3" t="inlineStr">
        <is>
          <t>CoreWeave</t>
        </is>
      </c>
      <c r="F713" s="17" t="n">
        <v>0</v>
      </c>
      <c r="G713" s="17" t="n">
        <v>1</v>
      </c>
      <c r="H713" s="17" t="n">
        <v>0</v>
      </c>
      <c r="I713" s="17" t="n">
        <v>0</v>
      </c>
      <c r="J713" s="17" t="n">
        <v>0</v>
      </c>
      <c r="K713" s="17" t="n">
        <v>0</v>
      </c>
      <c r="L713" s="17" t="n">
        <v>0</v>
      </c>
      <c r="M713" s="17" t="n">
        <v>0</v>
      </c>
      <c r="N713" s="17" t="n">
        <v>0</v>
      </c>
      <c r="O713" s="26" t="n">
        <v>1</v>
      </c>
      <c r="P713" s="3" t="inlineStr">
        <is>
          <t>epoch_chip_quantity_latest</t>
        </is>
      </c>
      <c r="Q713" s="3" t="inlineStr">
        <is>
          <t>SRC_EPOCH_AI_DATA_CENTERS; EPOCH_RAW_CHIP_QUANTITIES</t>
        </is>
      </c>
      <c r="R713" s="3" t="inlineStr">
        <is>
          <t>Latest chip quantity per chip type through year-end; normalized by unit count into benchmark buckets.</t>
        </is>
      </c>
    </row>
    <row r="714">
      <c r="A714" s="3" t="inlineStr">
        <is>
          <t>Bear|CoreWeave Dalton 1 &amp; 2|2030</t>
        </is>
      </c>
      <c r="B714" s="3" t="inlineStr">
        <is>
          <t>Bear</t>
        </is>
      </c>
      <c r="C714" s="3" t="inlineStr">
        <is>
          <t>CoreWeave Dalton 1 &amp; 2</t>
        </is>
      </c>
      <c r="D714" s="3" t="n">
        <v>2030</v>
      </c>
      <c r="E714" s="3" t="inlineStr">
        <is>
          <t>CoreWeave</t>
        </is>
      </c>
      <c r="F714" s="17" t="n">
        <v>0</v>
      </c>
      <c r="G714" s="17" t="n">
        <v>1</v>
      </c>
      <c r="H714" s="17" t="n">
        <v>0</v>
      </c>
      <c r="I714" s="17" t="n">
        <v>0</v>
      </c>
      <c r="J714" s="17" t="n">
        <v>0</v>
      </c>
      <c r="K714" s="17" t="n">
        <v>0</v>
      </c>
      <c r="L714" s="17" t="n">
        <v>0</v>
      </c>
      <c r="M714" s="17" t="n">
        <v>0</v>
      </c>
      <c r="N714" s="17" t="n">
        <v>0</v>
      </c>
      <c r="O714" s="26" t="n">
        <v>1</v>
      </c>
      <c r="P714" s="3" t="inlineStr">
        <is>
          <t>epoch_chip_quantity_latest</t>
        </is>
      </c>
      <c r="Q714" s="3" t="inlineStr">
        <is>
          <t>SRC_EPOCH_AI_DATA_CENTERS; EPOCH_RAW_CHIP_QUANTITIES</t>
        </is>
      </c>
      <c r="R714" s="3" t="inlineStr">
        <is>
          <t>Latest chip quantity per chip type through year-end; normalized by unit count into benchmark buckets.</t>
        </is>
      </c>
    </row>
    <row r="715">
      <c r="A715" s="3" t="inlineStr">
        <is>
          <t>Base|CoreWeave Dalton 1 &amp; 2|2026</t>
        </is>
      </c>
      <c r="B715" s="3" t="inlineStr">
        <is>
          <t>Base</t>
        </is>
      </c>
      <c r="C715" s="3" t="inlineStr">
        <is>
          <t>CoreWeave Dalton 1 &amp; 2</t>
        </is>
      </c>
      <c r="D715" s="3" t="n">
        <v>2026</v>
      </c>
      <c r="E715" s="3" t="inlineStr">
        <is>
          <t>CoreWeave</t>
        </is>
      </c>
      <c r="F715" s="17" t="n">
        <v>0</v>
      </c>
      <c r="G715" s="17" t="n">
        <v>1</v>
      </c>
      <c r="H715" s="17" t="n">
        <v>0</v>
      </c>
      <c r="I715" s="17" t="n">
        <v>0</v>
      </c>
      <c r="J715" s="17" t="n">
        <v>0</v>
      </c>
      <c r="K715" s="17" t="n">
        <v>0</v>
      </c>
      <c r="L715" s="17" t="n">
        <v>0</v>
      </c>
      <c r="M715" s="17" t="n">
        <v>0</v>
      </c>
      <c r="N715" s="17" t="n">
        <v>0</v>
      </c>
      <c r="O715" s="26" t="n">
        <v>1</v>
      </c>
      <c r="P715" s="3" t="inlineStr">
        <is>
          <t>epoch_chip_quantity_latest</t>
        </is>
      </c>
      <c r="Q715" s="3" t="inlineStr">
        <is>
          <t>SRC_EPOCH_AI_DATA_CENTERS; EPOCH_RAW_CHIP_QUANTITIES</t>
        </is>
      </c>
      <c r="R715" s="3" t="inlineStr">
        <is>
          <t>Latest chip quantity per chip type through year-end; normalized by unit count into benchmark buckets.</t>
        </is>
      </c>
    </row>
    <row r="716">
      <c r="A716" s="3" t="inlineStr">
        <is>
          <t>Base|CoreWeave Dalton 1 &amp; 2|2027</t>
        </is>
      </c>
      <c r="B716" s="3" t="inlineStr">
        <is>
          <t>Base</t>
        </is>
      </c>
      <c r="C716" s="3" t="inlineStr">
        <is>
          <t>CoreWeave Dalton 1 &amp; 2</t>
        </is>
      </c>
      <c r="D716" s="3" t="n">
        <v>2027</v>
      </c>
      <c r="E716" s="3" t="inlineStr">
        <is>
          <t>CoreWeave</t>
        </is>
      </c>
      <c r="F716" s="17" t="n">
        <v>0</v>
      </c>
      <c r="G716" s="17" t="n">
        <v>1</v>
      </c>
      <c r="H716" s="17" t="n">
        <v>0</v>
      </c>
      <c r="I716" s="17" t="n">
        <v>0</v>
      </c>
      <c r="J716" s="17" t="n">
        <v>0</v>
      </c>
      <c r="K716" s="17" t="n">
        <v>0</v>
      </c>
      <c r="L716" s="17" t="n">
        <v>0</v>
      </c>
      <c r="M716" s="17" t="n">
        <v>0</v>
      </c>
      <c r="N716" s="17" t="n">
        <v>0</v>
      </c>
      <c r="O716" s="26" t="n">
        <v>1</v>
      </c>
      <c r="P716" s="3" t="inlineStr">
        <is>
          <t>epoch_chip_quantity_latest</t>
        </is>
      </c>
      <c r="Q716" s="3" t="inlineStr">
        <is>
          <t>SRC_EPOCH_AI_DATA_CENTERS; EPOCH_RAW_CHIP_QUANTITIES</t>
        </is>
      </c>
      <c r="R716" s="3" t="inlineStr">
        <is>
          <t>Latest chip quantity per chip type through year-end; normalized by unit count into benchmark buckets.</t>
        </is>
      </c>
    </row>
    <row r="717">
      <c r="A717" s="3" t="inlineStr">
        <is>
          <t>Base|CoreWeave Dalton 1 &amp; 2|2028</t>
        </is>
      </c>
      <c r="B717" s="3" t="inlineStr">
        <is>
          <t>Base</t>
        </is>
      </c>
      <c r="C717" s="3" t="inlineStr">
        <is>
          <t>CoreWeave Dalton 1 &amp; 2</t>
        </is>
      </c>
      <c r="D717" s="3" t="n">
        <v>2028</v>
      </c>
      <c r="E717" s="3" t="inlineStr">
        <is>
          <t>CoreWeave</t>
        </is>
      </c>
      <c r="F717" s="17" t="n">
        <v>0</v>
      </c>
      <c r="G717" s="17" t="n">
        <v>1</v>
      </c>
      <c r="H717" s="17" t="n">
        <v>0</v>
      </c>
      <c r="I717" s="17" t="n">
        <v>0</v>
      </c>
      <c r="J717" s="17" t="n">
        <v>0</v>
      </c>
      <c r="K717" s="17" t="n">
        <v>0</v>
      </c>
      <c r="L717" s="17" t="n">
        <v>0</v>
      </c>
      <c r="M717" s="17" t="n">
        <v>0</v>
      </c>
      <c r="N717" s="17" t="n">
        <v>0</v>
      </c>
      <c r="O717" s="26" t="n">
        <v>1</v>
      </c>
      <c r="P717" s="3" t="inlineStr">
        <is>
          <t>epoch_chip_quantity_latest</t>
        </is>
      </c>
      <c r="Q717" s="3" t="inlineStr">
        <is>
          <t>SRC_EPOCH_AI_DATA_CENTERS; EPOCH_RAW_CHIP_QUANTITIES</t>
        </is>
      </c>
      <c r="R717" s="3" t="inlineStr">
        <is>
          <t>Latest chip quantity per chip type through year-end; normalized by unit count into benchmark buckets.</t>
        </is>
      </c>
    </row>
    <row r="718">
      <c r="A718" s="3" t="inlineStr">
        <is>
          <t>Base|CoreWeave Dalton 1 &amp; 2|2029</t>
        </is>
      </c>
      <c r="B718" s="3" t="inlineStr">
        <is>
          <t>Base</t>
        </is>
      </c>
      <c r="C718" s="3" t="inlineStr">
        <is>
          <t>CoreWeave Dalton 1 &amp; 2</t>
        </is>
      </c>
      <c r="D718" s="3" t="n">
        <v>2029</v>
      </c>
      <c r="E718" s="3" t="inlineStr">
        <is>
          <t>CoreWeave</t>
        </is>
      </c>
      <c r="F718" s="17" t="n">
        <v>0</v>
      </c>
      <c r="G718" s="17" t="n">
        <v>1</v>
      </c>
      <c r="H718" s="17" t="n">
        <v>0</v>
      </c>
      <c r="I718" s="17" t="n">
        <v>0</v>
      </c>
      <c r="J718" s="17" t="n">
        <v>0</v>
      </c>
      <c r="K718" s="17" t="n">
        <v>0</v>
      </c>
      <c r="L718" s="17" t="n">
        <v>0</v>
      </c>
      <c r="M718" s="17" t="n">
        <v>0</v>
      </c>
      <c r="N718" s="17" t="n">
        <v>0</v>
      </c>
      <c r="O718" s="26" t="n">
        <v>1</v>
      </c>
      <c r="P718" s="3" t="inlineStr">
        <is>
          <t>epoch_chip_quantity_latest</t>
        </is>
      </c>
      <c r="Q718" s="3" t="inlineStr">
        <is>
          <t>SRC_EPOCH_AI_DATA_CENTERS; EPOCH_RAW_CHIP_QUANTITIES</t>
        </is>
      </c>
      <c r="R718" s="3" t="inlineStr">
        <is>
          <t>Latest chip quantity per chip type through year-end; normalized by unit count into benchmark buckets.</t>
        </is>
      </c>
    </row>
    <row r="719">
      <c r="A719" s="3" t="inlineStr">
        <is>
          <t>Base|CoreWeave Dalton 1 &amp; 2|2030</t>
        </is>
      </c>
      <c r="B719" s="3" t="inlineStr">
        <is>
          <t>Base</t>
        </is>
      </c>
      <c r="C719" s="3" t="inlineStr">
        <is>
          <t>CoreWeave Dalton 1 &amp; 2</t>
        </is>
      </c>
      <c r="D719" s="3" t="n">
        <v>2030</v>
      </c>
      <c r="E719" s="3" t="inlineStr">
        <is>
          <t>CoreWeave</t>
        </is>
      </c>
      <c r="F719" s="17" t="n">
        <v>0</v>
      </c>
      <c r="G719" s="17" t="n">
        <v>1</v>
      </c>
      <c r="H719" s="17" t="n">
        <v>0</v>
      </c>
      <c r="I719" s="17" t="n">
        <v>0</v>
      </c>
      <c r="J719" s="17" t="n">
        <v>0</v>
      </c>
      <c r="K719" s="17" t="n">
        <v>0</v>
      </c>
      <c r="L719" s="17" t="n">
        <v>0</v>
      </c>
      <c r="M719" s="17" t="n">
        <v>0</v>
      </c>
      <c r="N719" s="17" t="n">
        <v>0</v>
      </c>
      <c r="O719" s="26" t="n">
        <v>1</v>
      </c>
      <c r="P719" s="3" t="inlineStr">
        <is>
          <t>epoch_chip_quantity_latest</t>
        </is>
      </c>
      <c r="Q719" s="3" t="inlineStr">
        <is>
          <t>SRC_EPOCH_AI_DATA_CENTERS; EPOCH_RAW_CHIP_QUANTITIES</t>
        </is>
      </c>
      <c r="R719" s="3" t="inlineStr">
        <is>
          <t>Latest chip quantity per chip type through year-end; normalized by unit count into benchmark buckets.</t>
        </is>
      </c>
    </row>
    <row r="720">
      <c r="A720" s="3" t="inlineStr">
        <is>
          <t>Bull|CoreWeave Dalton 1 &amp; 2|2026</t>
        </is>
      </c>
      <c r="B720" s="3" t="inlineStr">
        <is>
          <t>Bull</t>
        </is>
      </c>
      <c r="C720" s="3" t="inlineStr">
        <is>
          <t>CoreWeave Dalton 1 &amp; 2</t>
        </is>
      </c>
      <c r="D720" s="3" t="n">
        <v>2026</v>
      </c>
      <c r="E720" s="3" t="inlineStr">
        <is>
          <t>CoreWeave</t>
        </is>
      </c>
      <c r="F720" s="17" t="n">
        <v>0</v>
      </c>
      <c r="G720" s="17" t="n">
        <v>1</v>
      </c>
      <c r="H720" s="17" t="n">
        <v>0</v>
      </c>
      <c r="I720" s="17" t="n">
        <v>0</v>
      </c>
      <c r="J720" s="17" t="n">
        <v>0</v>
      </c>
      <c r="K720" s="17" t="n">
        <v>0</v>
      </c>
      <c r="L720" s="17" t="n">
        <v>0</v>
      </c>
      <c r="M720" s="17" t="n">
        <v>0</v>
      </c>
      <c r="N720" s="17" t="n">
        <v>0</v>
      </c>
      <c r="O720" s="26" t="n">
        <v>1</v>
      </c>
      <c r="P720" s="3" t="inlineStr">
        <is>
          <t>epoch_chip_quantity_latest</t>
        </is>
      </c>
      <c r="Q720" s="3" t="inlineStr">
        <is>
          <t>SRC_EPOCH_AI_DATA_CENTERS; EPOCH_RAW_CHIP_QUANTITIES</t>
        </is>
      </c>
      <c r="R720" s="3" t="inlineStr">
        <is>
          <t>Latest chip quantity per chip type through year-end; normalized by unit count into benchmark buckets.</t>
        </is>
      </c>
    </row>
    <row r="721">
      <c r="A721" s="3" t="inlineStr">
        <is>
          <t>Bull|CoreWeave Dalton 1 &amp; 2|2027</t>
        </is>
      </c>
      <c r="B721" s="3" t="inlineStr">
        <is>
          <t>Bull</t>
        </is>
      </c>
      <c r="C721" s="3" t="inlineStr">
        <is>
          <t>CoreWeave Dalton 1 &amp; 2</t>
        </is>
      </c>
      <c r="D721" s="3" t="n">
        <v>2027</v>
      </c>
      <c r="E721" s="3" t="inlineStr">
        <is>
          <t>CoreWeave</t>
        </is>
      </c>
      <c r="F721" s="17" t="n">
        <v>0</v>
      </c>
      <c r="G721" s="17" t="n">
        <v>1</v>
      </c>
      <c r="H721" s="17" t="n">
        <v>0</v>
      </c>
      <c r="I721" s="17" t="n">
        <v>0</v>
      </c>
      <c r="J721" s="17" t="n">
        <v>0</v>
      </c>
      <c r="K721" s="17" t="n">
        <v>0</v>
      </c>
      <c r="L721" s="17" t="n">
        <v>0</v>
      </c>
      <c r="M721" s="17" t="n">
        <v>0</v>
      </c>
      <c r="N721" s="17" t="n">
        <v>0</v>
      </c>
      <c r="O721" s="26" t="n">
        <v>1</v>
      </c>
      <c r="P721" s="3" t="inlineStr">
        <is>
          <t>epoch_chip_quantity_latest</t>
        </is>
      </c>
      <c r="Q721" s="3" t="inlineStr">
        <is>
          <t>SRC_EPOCH_AI_DATA_CENTERS; EPOCH_RAW_CHIP_QUANTITIES</t>
        </is>
      </c>
      <c r="R721" s="3" t="inlineStr">
        <is>
          <t>Latest chip quantity per chip type through year-end; normalized by unit count into benchmark buckets.</t>
        </is>
      </c>
    </row>
    <row r="722">
      <c r="A722" s="3" t="inlineStr">
        <is>
          <t>Bull|CoreWeave Dalton 1 &amp; 2|2028</t>
        </is>
      </c>
      <c r="B722" s="3" t="inlineStr">
        <is>
          <t>Bull</t>
        </is>
      </c>
      <c r="C722" s="3" t="inlineStr">
        <is>
          <t>CoreWeave Dalton 1 &amp; 2</t>
        </is>
      </c>
      <c r="D722" s="3" t="n">
        <v>2028</v>
      </c>
      <c r="E722" s="3" t="inlineStr">
        <is>
          <t>CoreWeave</t>
        </is>
      </c>
      <c r="F722" s="17" t="n">
        <v>0</v>
      </c>
      <c r="G722" s="17" t="n">
        <v>1</v>
      </c>
      <c r="H722" s="17" t="n">
        <v>0</v>
      </c>
      <c r="I722" s="17" t="n">
        <v>0</v>
      </c>
      <c r="J722" s="17" t="n">
        <v>0</v>
      </c>
      <c r="K722" s="17" t="n">
        <v>0</v>
      </c>
      <c r="L722" s="17" t="n">
        <v>0</v>
      </c>
      <c r="M722" s="17" t="n">
        <v>0</v>
      </c>
      <c r="N722" s="17" t="n">
        <v>0</v>
      </c>
      <c r="O722" s="26" t="n">
        <v>1</v>
      </c>
      <c r="P722" s="3" t="inlineStr">
        <is>
          <t>epoch_chip_quantity_latest</t>
        </is>
      </c>
      <c r="Q722" s="3" t="inlineStr">
        <is>
          <t>SRC_EPOCH_AI_DATA_CENTERS; EPOCH_RAW_CHIP_QUANTITIES</t>
        </is>
      </c>
      <c r="R722" s="3" t="inlineStr">
        <is>
          <t>Latest chip quantity per chip type through year-end; normalized by unit count into benchmark buckets.</t>
        </is>
      </c>
    </row>
    <row r="723">
      <c r="A723" s="3" t="inlineStr">
        <is>
          <t>Bull|CoreWeave Dalton 1 &amp; 2|2029</t>
        </is>
      </c>
      <c r="B723" s="3" t="inlineStr">
        <is>
          <t>Bull</t>
        </is>
      </c>
      <c r="C723" s="3" t="inlineStr">
        <is>
          <t>CoreWeave Dalton 1 &amp; 2</t>
        </is>
      </c>
      <c r="D723" s="3" t="n">
        <v>2029</v>
      </c>
      <c r="E723" s="3" t="inlineStr">
        <is>
          <t>CoreWeave</t>
        </is>
      </c>
      <c r="F723" s="17" t="n">
        <v>0</v>
      </c>
      <c r="G723" s="17" t="n">
        <v>1</v>
      </c>
      <c r="H723" s="17" t="n">
        <v>0</v>
      </c>
      <c r="I723" s="17" t="n">
        <v>0</v>
      </c>
      <c r="J723" s="17" t="n">
        <v>0</v>
      </c>
      <c r="K723" s="17" t="n">
        <v>0</v>
      </c>
      <c r="L723" s="17" t="n">
        <v>0</v>
      </c>
      <c r="M723" s="17" t="n">
        <v>0</v>
      </c>
      <c r="N723" s="17" t="n">
        <v>0</v>
      </c>
      <c r="O723" s="26" t="n">
        <v>1</v>
      </c>
      <c r="P723" s="3" t="inlineStr">
        <is>
          <t>epoch_chip_quantity_latest</t>
        </is>
      </c>
      <c r="Q723" s="3" t="inlineStr">
        <is>
          <t>SRC_EPOCH_AI_DATA_CENTERS; EPOCH_RAW_CHIP_QUANTITIES</t>
        </is>
      </c>
      <c r="R723" s="3" t="inlineStr">
        <is>
          <t>Latest chip quantity per chip type through year-end; normalized by unit count into benchmark buckets.</t>
        </is>
      </c>
    </row>
    <row r="724">
      <c r="A724" s="3" t="inlineStr">
        <is>
          <t>Bull|CoreWeave Dalton 1 &amp; 2|2030</t>
        </is>
      </c>
      <c r="B724" s="3" t="inlineStr">
        <is>
          <t>Bull</t>
        </is>
      </c>
      <c r="C724" s="3" t="inlineStr">
        <is>
          <t>CoreWeave Dalton 1 &amp; 2</t>
        </is>
      </c>
      <c r="D724" s="3" t="n">
        <v>2030</v>
      </c>
      <c r="E724" s="3" t="inlineStr">
        <is>
          <t>CoreWeave</t>
        </is>
      </c>
      <c r="F724" s="17" t="n">
        <v>0</v>
      </c>
      <c r="G724" s="17" t="n">
        <v>1</v>
      </c>
      <c r="H724" s="17" t="n">
        <v>0</v>
      </c>
      <c r="I724" s="17" t="n">
        <v>0</v>
      </c>
      <c r="J724" s="17" t="n">
        <v>0</v>
      </c>
      <c r="K724" s="17" t="n">
        <v>0</v>
      </c>
      <c r="L724" s="17" t="n">
        <v>0</v>
      </c>
      <c r="M724" s="17" t="n">
        <v>0</v>
      </c>
      <c r="N724" s="17" t="n">
        <v>0</v>
      </c>
      <c r="O724" s="26" t="n">
        <v>1</v>
      </c>
      <c r="P724" s="3" t="inlineStr">
        <is>
          <t>epoch_chip_quantity_latest</t>
        </is>
      </c>
      <c r="Q724" s="3" t="inlineStr">
        <is>
          <t>SRC_EPOCH_AI_DATA_CENTERS; EPOCH_RAW_CHIP_QUANTITIES</t>
        </is>
      </c>
      <c r="R724" s="3" t="inlineStr">
        <is>
          <t>Latest chip quantity per chip type through year-end; normalized by unit count into benchmark buckets.</t>
        </is>
      </c>
    </row>
    <row r="725">
      <c r="A725" s="3" t="inlineStr">
        <is>
          <t>Grid-Constrained / Efficiency-Upside|CoreWeave Dalton 1 &amp; 2|2026</t>
        </is>
      </c>
      <c r="B725" s="3" t="inlineStr">
        <is>
          <t>Grid-Constrained / Efficiency-Upside</t>
        </is>
      </c>
      <c r="C725" s="3" t="inlineStr">
        <is>
          <t>CoreWeave Dalton 1 &amp; 2</t>
        </is>
      </c>
      <c r="D725" s="3" t="n">
        <v>2026</v>
      </c>
      <c r="E725" s="3" t="inlineStr">
        <is>
          <t>CoreWeave</t>
        </is>
      </c>
      <c r="F725" s="17" t="n">
        <v>0</v>
      </c>
      <c r="G725" s="17" t="n">
        <v>1</v>
      </c>
      <c r="H725" s="17" t="n">
        <v>0</v>
      </c>
      <c r="I725" s="17" t="n">
        <v>0</v>
      </c>
      <c r="J725" s="17" t="n">
        <v>0</v>
      </c>
      <c r="K725" s="17" t="n">
        <v>0</v>
      </c>
      <c r="L725" s="17" t="n">
        <v>0</v>
      </c>
      <c r="M725" s="17" t="n">
        <v>0</v>
      </c>
      <c r="N725" s="17" t="n">
        <v>0</v>
      </c>
      <c r="O725" s="26" t="n">
        <v>1</v>
      </c>
      <c r="P725" s="3" t="inlineStr">
        <is>
          <t>epoch_chip_quantity_latest</t>
        </is>
      </c>
      <c r="Q725" s="3" t="inlineStr">
        <is>
          <t>SRC_EPOCH_AI_DATA_CENTERS; EPOCH_RAW_CHIP_QUANTITIES</t>
        </is>
      </c>
      <c r="R725" s="3" t="inlineStr">
        <is>
          <t>Latest chip quantity per chip type through year-end; normalized by unit count into benchmark buckets.</t>
        </is>
      </c>
    </row>
    <row r="726">
      <c r="A726" s="3" t="inlineStr">
        <is>
          <t>Grid-Constrained / Efficiency-Upside|CoreWeave Dalton 1 &amp; 2|2027</t>
        </is>
      </c>
      <c r="B726" s="3" t="inlineStr">
        <is>
          <t>Grid-Constrained / Efficiency-Upside</t>
        </is>
      </c>
      <c r="C726" s="3" t="inlineStr">
        <is>
          <t>CoreWeave Dalton 1 &amp; 2</t>
        </is>
      </c>
      <c r="D726" s="3" t="n">
        <v>2027</v>
      </c>
      <c r="E726" s="3" t="inlineStr">
        <is>
          <t>CoreWeave</t>
        </is>
      </c>
      <c r="F726" s="17" t="n">
        <v>0</v>
      </c>
      <c r="G726" s="17" t="n">
        <v>1</v>
      </c>
      <c r="H726" s="17" t="n">
        <v>0</v>
      </c>
      <c r="I726" s="17" t="n">
        <v>0</v>
      </c>
      <c r="J726" s="17" t="n">
        <v>0</v>
      </c>
      <c r="K726" s="17" t="n">
        <v>0</v>
      </c>
      <c r="L726" s="17" t="n">
        <v>0</v>
      </c>
      <c r="M726" s="17" t="n">
        <v>0</v>
      </c>
      <c r="N726" s="17" t="n">
        <v>0</v>
      </c>
      <c r="O726" s="26" t="n">
        <v>1</v>
      </c>
      <c r="P726" s="3" t="inlineStr">
        <is>
          <t>epoch_chip_quantity_latest</t>
        </is>
      </c>
      <c r="Q726" s="3" t="inlineStr">
        <is>
          <t>SRC_EPOCH_AI_DATA_CENTERS; EPOCH_RAW_CHIP_QUANTITIES</t>
        </is>
      </c>
      <c r="R726" s="3" t="inlineStr">
        <is>
          <t>Latest chip quantity per chip type through year-end; normalized by unit count into benchmark buckets.</t>
        </is>
      </c>
    </row>
    <row r="727">
      <c r="A727" s="3" t="inlineStr">
        <is>
          <t>Grid-Constrained / Efficiency-Upside|CoreWeave Dalton 1 &amp; 2|2028</t>
        </is>
      </c>
      <c r="B727" s="3" t="inlineStr">
        <is>
          <t>Grid-Constrained / Efficiency-Upside</t>
        </is>
      </c>
      <c r="C727" s="3" t="inlineStr">
        <is>
          <t>CoreWeave Dalton 1 &amp; 2</t>
        </is>
      </c>
      <c r="D727" s="3" t="n">
        <v>2028</v>
      </c>
      <c r="E727" s="3" t="inlineStr">
        <is>
          <t>CoreWeave</t>
        </is>
      </c>
      <c r="F727" s="17" t="n">
        <v>0</v>
      </c>
      <c r="G727" s="17" t="n">
        <v>1</v>
      </c>
      <c r="H727" s="17" t="n">
        <v>0</v>
      </c>
      <c r="I727" s="17" t="n">
        <v>0</v>
      </c>
      <c r="J727" s="17" t="n">
        <v>0</v>
      </c>
      <c r="K727" s="17" t="n">
        <v>0</v>
      </c>
      <c r="L727" s="17" t="n">
        <v>0</v>
      </c>
      <c r="M727" s="17" t="n">
        <v>0</v>
      </c>
      <c r="N727" s="17" t="n">
        <v>0</v>
      </c>
      <c r="O727" s="26" t="n">
        <v>1</v>
      </c>
      <c r="P727" s="3" t="inlineStr">
        <is>
          <t>epoch_chip_quantity_latest</t>
        </is>
      </c>
      <c r="Q727" s="3" t="inlineStr">
        <is>
          <t>SRC_EPOCH_AI_DATA_CENTERS; EPOCH_RAW_CHIP_QUANTITIES</t>
        </is>
      </c>
      <c r="R727" s="3" t="inlineStr">
        <is>
          <t>Latest chip quantity per chip type through year-end; normalized by unit count into benchmark buckets.</t>
        </is>
      </c>
    </row>
    <row r="728">
      <c r="A728" s="3" t="inlineStr">
        <is>
          <t>Grid-Constrained / Efficiency-Upside|CoreWeave Dalton 1 &amp; 2|2029</t>
        </is>
      </c>
      <c r="B728" s="3" t="inlineStr">
        <is>
          <t>Grid-Constrained / Efficiency-Upside</t>
        </is>
      </c>
      <c r="C728" s="3" t="inlineStr">
        <is>
          <t>CoreWeave Dalton 1 &amp; 2</t>
        </is>
      </c>
      <c r="D728" s="3" t="n">
        <v>2029</v>
      </c>
      <c r="E728" s="3" t="inlineStr">
        <is>
          <t>CoreWeave</t>
        </is>
      </c>
      <c r="F728" s="17" t="n">
        <v>0</v>
      </c>
      <c r="G728" s="17" t="n">
        <v>1</v>
      </c>
      <c r="H728" s="17" t="n">
        <v>0</v>
      </c>
      <c r="I728" s="17" t="n">
        <v>0</v>
      </c>
      <c r="J728" s="17" t="n">
        <v>0</v>
      </c>
      <c r="K728" s="17" t="n">
        <v>0</v>
      </c>
      <c r="L728" s="17" t="n">
        <v>0</v>
      </c>
      <c r="M728" s="17" t="n">
        <v>0</v>
      </c>
      <c r="N728" s="17" t="n">
        <v>0</v>
      </c>
      <c r="O728" s="26" t="n">
        <v>1</v>
      </c>
      <c r="P728" s="3" t="inlineStr">
        <is>
          <t>epoch_chip_quantity_latest</t>
        </is>
      </c>
      <c r="Q728" s="3" t="inlineStr">
        <is>
          <t>SRC_EPOCH_AI_DATA_CENTERS; EPOCH_RAW_CHIP_QUANTITIES</t>
        </is>
      </c>
      <c r="R728" s="3" t="inlineStr">
        <is>
          <t>Latest chip quantity per chip type through year-end; normalized by unit count into benchmark buckets.</t>
        </is>
      </c>
    </row>
    <row r="729">
      <c r="A729" s="3" t="inlineStr">
        <is>
          <t>Grid-Constrained / Efficiency-Upside|CoreWeave Dalton 1 &amp; 2|2030</t>
        </is>
      </c>
      <c r="B729" s="3" t="inlineStr">
        <is>
          <t>Grid-Constrained / Efficiency-Upside</t>
        </is>
      </c>
      <c r="C729" s="3" t="inlineStr">
        <is>
          <t>CoreWeave Dalton 1 &amp; 2</t>
        </is>
      </c>
      <c r="D729" s="3" t="n">
        <v>2030</v>
      </c>
      <c r="E729" s="3" t="inlineStr">
        <is>
          <t>CoreWeave</t>
        </is>
      </c>
      <c r="F729" s="17" t="n">
        <v>0</v>
      </c>
      <c r="G729" s="17" t="n">
        <v>1</v>
      </c>
      <c r="H729" s="17" t="n">
        <v>0</v>
      </c>
      <c r="I729" s="17" t="n">
        <v>0</v>
      </c>
      <c r="J729" s="17" t="n">
        <v>0</v>
      </c>
      <c r="K729" s="17" t="n">
        <v>0</v>
      </c>
      <c r="L729" s="17" t="n">
        <v>0</v>
      </c>
      <c r="M729" s="17" t="n">
        <v>0</v>
      </c>
      <c r="N729" s="17" t="n">
        <v>0</v>
      </c>
      <c r="O729" s="26" t="n">
        <v>1</v>
      </c>
      <c r="P729" s="3" t="inlineStr">
        <is>
          <t>epoch_chip_quantity_latest</t>
        </is>
      </c>
      <c r="Q729" s="3" t="inlineStr">
        <is>
          <t>SRC_EPOCH_AI_DATA_CENTERS; EPOCH_RAW_CHIP_QUANTITIES</t>
        </is>
      </c>
      <c r="R729" s="3" t="inlineStr">
        <is>
          <t>Latest chip quantity per chip type through year-end; normalized by unit count into benchmark buckets.</t>
        </is>
      </c>
    </row>
    <row r="730">
      <c r="A730" s="3" t="inlineStr">
        <is>
          <t>Bear|CoreWeave Denton TX|2026</t>
        </is>
      </c>
      <c r="B730" s="3" t="inlineStr">
        <is>
          <t>Bear</t>
        </is>
      </c>
      <c r="C730" s="3" t="inlineStr">
        <is>
          <t>CoreWeave Denton TX</t>
        </is>
      </c>
      <c r="D730" s="3" t="n">
        <v>2026</v>
      </c>
      <c r="E730" s="3" t="inlineStr">
        <is>
          <t>CoreWeave</t>
        </is>
      </c>
      <c r="F730" s="17" t="n">
        <v>0</v>
      </c>
      <c r="G730" s="17" t="n">
        <v>1</v>
      </c>
      <c r="H730" s="17" t="n">
        <v>0</v>
      </c>
      <c r="I730" s="17" t="n">
        <v>0</v>
      </c>
      <c r="J730" s="17" t="n">
        <v>0</v>
      </c>
      <c r="K730" s="17" t="n">
        <v>0</v>
      </c>
      <c r="L730" s="17" t="n">
        <v>0</v>
      </c>
      <c r="M730" s="17" t="n">
        <v>0</v>
      </c>
      <c r="N730" s="17" t="n">
        <v>0</v>
      </c>
      <c r="O730" s="26" t="n">
        <v>1</v>
      </c>
      <c r="P730" s="3" t="inlineStr">
        <is>
          <t>epoch_chip_quantity_latest</t>
        </is>
      </c>
      <c r="Q730" s="3" t="inlineStr">
        <is>
          <t>SRC_EPOCH_AI_DATA_CENTERS; EPOCH_RAW_CHIP_QUANTITIES</t>
        </is>
      </c>
      <c r="R730" s="3" t="inlineStr">
        <is>
          <t>Latest chip quantity per chip type through year-end; normalized by unit count into benchmark buckets.</t>
        </is>
      </c>
    </row>
    <row r="731">
      <c r="A731" s="3" t="inlineStr">
        <is>
          <t>Bear|CoreWeave Denton TX|2027</t>
        </is>
      </c>
      <c r="B731" s="3" t="inlineStr">
        <is>
          <t>Bear</t>
        </is>
      </c>
      <c r="C731" s="3" t="inlineStr">
        <is>
          <t>CoreWeave Denton TX</t>
        </is>
      </c>
      <c r="D731" s="3" t="n">
        <v>2027</v>
      </c>
      <c r="E731" s="3" t="inlineStr">
        <is>
          <t>CoreWeave</t>
        </is>
      </c>
      <c r="F731" s="17" t="n">
        <v>0</v>
      </c>
      <c r="G731" s="17" t="n">
        <v>1</v>
      </c>
      <c r="H731" s="17" t="n">
        <v>0</v>
      </c>
      <c r="I731" s="17" t="n">
        <v>0</v>
      </c>
      <c r="J731" s="17" t="n">
        <v>0</v>
      </c>
      <c r="K731" s="17" t="n">
        <v>0</v>
      </c>
      <c r="L731" s="17" t="n">
        <v>0</v>
      </c>
      <c r="M731" s="17" t="n">
        <v>0</v>
      </c>
      <c r="N731" s="17" t="n">
        <v>0</v>
      </c>
      <c r="O731" s="26" t="n">
        <v>1</v>
      </c>
      <c r="P731" s="3" t="inlineStr">
        <is>
          <t>epoch_chip_quantity_latest</t>
        </is>
      </c>
      <c r="Q731" s="3" t="inlineStr">
        <is>
          <t>SRC_EPOCH_AI_DATA_CENTERS; EPOCH_RAW_CHIP_QUANTITIES</t>
        </is>
      </c>
      <c r="R731" s="3" t="inlineStr">
        <is>
          <t>Latest chip quantity per chip type through year-end; normalized by unit count into benchmark buckets.</t>
        </is>
      </c>
    </row>
    <row r="732">
      <c r="A732" s="3" t="inlineStr">
        <is>
          <t>Bear|CoreWeave Denton TX|2028</t>
        </is>
      </c>
      <c r="B732" s="3" t="inlineStr">
        <is>
          <t>Bear</t>
        </is>
      </c>
      <c r="C732" s="3" t="inlineStr">
        <is>
          <t>CoreWeave Denton TX</t>
        </is>
      </c>
      <c r="D732" s="3" t="n">
        <v>2028</v>
      </c>
      <c r="E732" s="3" t="inlineStr">
        <is>
          <t>CoreWeave</t>
        </is>
      </c>
      <c r="F732" s="17" t="n">
        <v>0</v>
      </c>
      <c r="G732" s="17" t="n">
        <v>1</v>
      </c>
      <c r="H732" s="17" t="n">
        <v>0</v>
      </c>
      <c r="I732" s="17" t="n">
        <v>0</v>
      </c>
      <c r="J732" s="17" t="n">
        <v>0</v>
      </c>
      <c r="K732" s="17" t="n">
        <v>0</v>
      </c>
      <c r="L732" s="17" t="n">
        <v>0</v>
      </c>
      <c r="M732" s="17" t="n">
        <v>0</v>
      </c>
      <c r="N732" s="17" t="n">
        <v>0</v>
      </c>
      <c r="O732" s="26" t="n">
        <v>1</v>
      </c>
      <c r="P732" s="3" t="inlineStr">
        <is>
          <t>epoch_chip_quantity_latest</t>
        </is>
      </c>
      <c r="Q732" s="3" t="inlineStr">
        <is>
          <t>SRC_EPOCH_AI_DATA_CENTERS; EPOCH_RAW_CHIP_QUANTITIES</t>
        </is>
      </c>
      <c r="R732" s="3" t="inlineStr">
        <is>
          <t>Latest chip quantity per chip type through year-end; normalized by unit count into benchmark buckets.</t>
        </is>
      </c>
    </row>
    <row r="733">
      <c r="A733" s="3" t="inlineStr">
        <is>
          <t>Bear|CoreWeave Denton TX|2029</t>
        </is>
      </c>
      <c r="B733" s="3" t="inlineStr">
        <is>
          <t>Bear</t>
        </is>
      </c>
      <c r="C733" s="3" t="inlineStr">
        <is>
          <t>CoreWeave Denton TX</t>
        </is>
      </c>
      <c r="D733" s="3" t="n">
        <v>2029</v>
      </c>
      <c r="E733" s="3" t="inlineStr">
        <is>
          <t>CoreWeave</t>
        </is>
      </c>
      <c r="F733" s="17" t="n">
        <v>0</v>
      </c>
      <c r="G733" s="17" t="n">
        <v>1</v>
      </c>
      <c r="H733" s="17" t="n">
        <v>0</v>
      </c>
      <c r="I733" s="17" t="n">
        <v>0</v>
      </c>
      <c r="J733" s="17" t="n">
        <v>0</v>
      </c>
      <c r="K733" s="17" t="n">
        <v>0</v>
      </c>
      <c r="L733" s="17" t="n">
        <v>0</v>
      </c>
      <c r="M733" s="17" t="n">
        <v>0</v>
      </c>
      <c r="N733" s="17" t="n">
        <v>0</v>
      </c>
      <c r="O733" s="26" t="n">
        <v>1</v>
      </c>
      <c r="P733" s="3" t="inlineStr">
        <is>
          <t>epoch_chip_quantity_latest</t>
        </is>
      </c>
      <c r="Q733" s="3" t="inlineStr">
        <is>
          <t>SRC_EPOCH_AI_DATA_CENTERS; EPOCH_RAW_CHIP_QUANTITIES</t>
        </is>
      </c>
      <c r="R733" s="3" t="inlineStr">
        <is>
          <t>Latest chip quantity per chip type through year-end; normalized by unit count into benchmark buckets.</t>
        </is>
      </c>
    </row>
    <row r="734">
      <c r="A734" s="3" t="inlineStr">
        <is>
          <t>Bear|CoreWeave Denton TX|2030</t>
        </is>
      </c>
      <c r="B734" s="3" t="inlineStr">
        <is>
          <t>Bear</t>
        </is>
      </c>
      <c r="C734" s="3" t="inlineStr">
        <is>
          <t>CoreWeave Denton TX</t>
        </is>
      </c>
      <c r="D734" s="3" t="n">
        <v>2030</v>
      </c>
      <c r="E734" s="3" t="inlineStr">
        <is>
          <t>CoreWeave</t>
        </is>
      </c>
      <c r="F734" s="17" t="n">
        <v>0</v>
      </c>
      <c r="G734" s="17" t="n">
        <v>1</v>
      </c>
      <c r="H734" s="17" t="n">
        <v>0</v>
      </c>
      <c r="I734" s="17" t="n">
        <v>0</v>
      </c>
      <c r="J734" s="17" t="n">
        <v>0</v>
      </c>
      <c r="K734" s="17" t="n">
        <v>0</v>
      </c>
      <c r="L734" s="17" t="n">
        <v>0</v>
      </c>
      <c r="M734" s="17" t="n">
        <v>0</v>
      </c>
      <c r="N734" s="17" t="n">
        <v>0</v>
      </c>
      <c r="O734" s="26" t="n">
        <v>1</v>
      </c>
      <c r="P734" s="3" t="inlineStr">
        <is>
          <t>epoch_chip_quantity_latest</t>
        </is>
      </c>
      <c r="Q734" s="3" t="inlineStr">
        <is>
          <t>SRC_EPOCH_AI_DATA_CENTERS; EPOCH_RAW_CHIP_QUANTITIES</t>
        </is>
      </c>
      <c r="R734" s="3" t="inlineStr">
        <is>
          <t>Latest chip quantity per chip type through year-end; normalized by unit count into benchmark buckets.</t>
        </is>
      </c>
    </row>
    <row r="735">
      <c r="A735" s="3" t="inlineStr">
        <is>
          <t>Base|CoreWeave Denton TX|2026</t>
        </is>
      </c>
      <c r="B735" s="3" t="inlineStr">
        <is>
          <t>Base</t>
        </is>
      </c>
      <c r="C735" s="3" t="inlineStr">
        <is>
          <t>CoreWeave Denton TX</t>
        </is>
      </c>
      <c r="D735" s="3" t="n">
        <v>2026</v>
      </c>
      <c r="E735" s="3" t="inlineStr">
        <is>
          <t>CoreWeave</t>
        </is>
      </c>
      <c r="F735" s="17" t="n">
        <v>0</v>
      </c>
      <c r="G735" s="17" t="n">
        <v>1</v>
      </c>
      <c r="H735" s="17" t="n">
        <v>0</v>
      </c>
      <c r="I735" s="17" t="n">
        <v>0</v>
      </c>
      <c r="J735" s="17" t="n">
        <v>0</v>
      </c>
      <c r="K735" s="17" t="n">
        <v>0</v>
      </c>
      <c r="L735" s="17" t="n">
        <v>0</v>
      </c>
      <c r="M735" s="17" t="n">
        <v>0</v>
      </c>
      <c r="N735" s="17" t="n">
        <v>0</v>
      </c>
      <c r="O735" s="26" t="n">
        <v>1</v>
      </c>
      <c r="P735" s="3" t="inlineStr">
        <is>
          <t>epoch_chip_quantity_latest</t>
        </is>
      </c>
      <c r="Q735" s="3" t="inlineStr">
        <is>
          <t>SRC_EPOCH_AI_DATA_CENTERS; EPOCH_RAW_CHIP_QUANTITIES</t>
        </is>
      </c>
      <c r="R735" s="3" t="inlineStr">
        <is>
          <t>Latest chip quantity per chip type through year-end; normalized by unit count into benchmark buckets.</t>
        </is>
      </c>
    </row>
    <row r="736">
      <c r="A736" s="3" t="inlineStr">
        <is>
          <t>Base|CoreWeave Denton TX|2027</t>
        </is>
      </c>
      <c r="B736" s="3" t="inlineStr">
        <is>
          <t>Base</t>
        </is>
      </c>
      <c r="C736" s="3" t="inlineStr">
        <is>
          <t>CoreWeave Denton TX</t>
        </is>
      </c>
      <c r="D736" s="3" t="n">
        <v>2027</v>
      </c>
      <c r="E736" s="3" t="inlineStr">
        <is>
          <t>CoreWeave</t>
        </is>
      </c>
      <c r="F736" s="17" t="n">
        <v>0</v>
      </c>
      <c r="G736" s="17" t="n">
        <v>1</v>
      </c>
      <c r="H736" s="17" t="n">
        <v>0</v>
      </c>
      <c r="I736" s="17" t="n">
        <v>0</v>
      </c>
      <c r="J736" s="17" t="n">
        <v>0</v>
      </c>
      <c r="K736" s="17" t="n">
        <v>0</v>
      </c>
      <c r="L736" s="17" t="n">
        <v>0</v>
      </c>
      <c r="M736" s="17" t="n">
        <v>0</v>
      </c>
      <c r="N736" s="17" t="n">
        <v>0</v>
      </c>
      <c r="O736" s="26" t="n">
        <v>1</v>
      </c>
      <c r="P736" s="3" t="inlineStr">
        <is>
          <t>epoch_chip_quantity_latest</t>
        </is>
      </c>
      <c r="Q736" s="3" t="inlineStr">
        <is>
          <t>SRC_EPOCH_AI_DATA_CENTERS; EPOCH_RAW_CHIP_QUANTITIES</t>
        </is>
      </c>
      <c r="R736" s="3" t="inlineStr">
        <is>
          <t>Latest chip quantity per chip type through year-end; normalized by unit count into benchmark buckets.</t>
        </is>
      </c>
    </row>
    <row r="737">
      <c r="A737" s="3" t="inlineStr">
        <is>
          <t>Base|CoreWeave Denton TX|2028</t>
        </is>
      </c>
      <c r="B737" s="3" t="inlineStr">
        <is>
          <t>Base</t>
        </is>
      </c>
      <c r="C737" s="3" t="inlineStr">
        <is>
          <t>CoreWeave Denton TX</t>
        </is>
      </c>
      <c r="D737" s="3" t="n">
        <v>2028</v>
      </c>
      <c r="E737" s="3" t="inlineStr">
        <is>
          <t>CoreWeave</t>
        </is>
      </c>
      <c r="F737" s="17" t="n">
        <v>0</v>
      </c>
      <c r="G737" s="17" t="n">
        <v>1</v>
      </c>
      <c r="H737" s="17" t="n">
        <v>0</v>
      </c>
      <c r="I737" s="17" t="n">
        <v>0</v>
      </c>
      <c r="J737" s="17" t="n">
        <v>0</v>
      </c>
      <c r="K737" s="17" t="n">
        <v>0</v>
      </c>
      <c r="L737" s="17" t="n">
        <v>0</v>
      </c>
      <c r="M737" s="17" t="n">
        <v>0</v>
      </c>
      <c r="N737" s="17" t="n">
        <v>0</v>
      </c>
      <c r="O737" s="26" t="n">
        <v>1</v>
      </c>
      <c r="P737" s="3" t="inlineStr">
        <is>
          <t>epoch_chip_quantity_latest</t>
        </is>
      </c>
      <c r="Q737" s="3" t="inlineStr">
        <is>
          <t>SRC_EPOCH_AI_DATA_CENTERS; EPOCH_RAW_CHIP_QUANTITIES</t>
        </is>
      </c>
      <c r="R737" s="3" t="inlineStr">
        <is>
          <t>Latest chip quantity per chip type through year-end; normalized by unit count into benchmark buckets.</t>
        </is>
      </c>
    </row>
    <row r="738">
      <c r="A738" s="3" t="inlineStr">
        <is>
          <t>Base|CoreWeave Denton TX|2029</t>
        </is>
      </c>
      <c r="B738" s="3" t="inlineStr">
        <is>
          <t>Base</t>
        </is>
      </c>
      <c r="C738" s="3" t="inlineStr">
        <is>
          <t>CoreWeave Denton TX</t>
        </is>
      </c>
      <c r="D738" s="3" t="n">
        <v>2029</v>
      </c>
      <c r="E738" s="3" t="inlineStr">
        <is>
          <t>CoreWeave</t>
        </is>
      </c>
      <c r="F738" s="17" t="n">
        <v>0</v>
      </c>
      <c r="G738" s="17" t="n">
        <v>1</v>
      </c>
      <c r="H738" s="17" t="n">
        <v>0</v>
      </c>
      <c r="I738" s="17" t="n">
        <v>0</v>
      </c>
      <c r="J738" s="17" t="n">
        <v>0</v>
      </c>
      <c r="K738" s="17" t="n">
        <v>0</v>
      </c>
      <c r="L738" s="17" t="n">
        <v>0</v>
      </c>
      <c r="M738" s="17" t="n">
        <v>0</v>
      </c>
      <c r="N738" s="17" t="n">
        <v>0</v>
      </c>
      <c r="O738" s="26" t="n">
        <v>1</v>
      </c>
      <c r="P738" s="3" t="inlineStr">
        <is>
          <t>epoch_chip_quantity_latest</t>
        </is>
      </c>
      <c r="Q738" s="3" t="inlineStr">
        <is>
          <t>SRC_EPOCH_AI_DATA_CENTERS; EPOCH_RAW_CHIP_QUANTITIES</t>
        </is>
      </c>
      <c r="R738" s="3" t="inlineStr">
        <is>
          <t>Latest chip quantity per chip type through year-end; normalized by unit count into benchmark buckets.</t>
        </is>
      </c>
    </row>
    <row r="739">
      <c r="A739" s="3" t="inlineStr">
        <is>
          <t>Base|CoreWeave Denton TX|2030</t>
        </is>
      </c>
      <c r="B739" s="3" t="inlineStr">
        <is>
          <t>Base</t>
        </is>
      </c>
      <c r="C739" s="3" t="inlineStr">
        <is>
          <t>CoreWeave Denton TX</t>
        </is>
      </c>
      <c r="D739" s="3" t="n">
        <v>2030</v>
      </c>
      <c r="E739" s="3" t="inlineStr">
        <is>
          <t>CoreWeave</t>
        </is>
      </c>
      <c r="F739" s="17" t="n">
        <v>0</v>
      </c>
      <c r="G739" s="17" t="n">
        <v>1</v>
      </c>
      <c r="H739" s="17" t="n">
        <v>0</v>
      </c>
      <c r="I739" s="17" t="n">
        <v>0</v>
      </c>
      <c r="J739" s="17" t="n">
        <v>0</v>
      </c>
      <c r="K739" s="17" t="n">
        <v>0</v>
      </c>
      <c r="L739" s="17" t="n">
        <v>0</v>
      </c>
      <c r="M739" s="17" t="n">
        <v>0</v>
      </c>
      <c r="N739" s="17" t="n">
        <v>0</v>
      </c>
      <c r="O739" s="26" t="n">
        <v>1</v>
      </c>
      <c r="P739" s="3" t="inlineStr">
        <is>
          <t>epoch_chip_quantity_latest</t>
        </is>
      </c>
      <c r="Q739" s="3" t="inlineStr">
        <is>
          <t>SRC_EPOCH_AI_DATA_CENTERS; EPOCH_RAW_CHIP_QUANTITIES</t>
        </is>
      </c>
      <c r="R739" s="3" t="inlineStr">
        <is>
          <t>Latest chip quantity per chip type through year-end; normalized by unit count into benchmark buckets.</t>
        </is>
      </c>
    </row>
    <row r="740">
      <c r="A740" s="3" t="inlineStr">
        <is>
          <t>Bull|CoreWeave Denton TX|2026</t>
        </is>
      </c>
      <c r="B740" s="3" t="inlineStr">
        <is>
          <t>Bull</t>
        </is>
      </c>
      <c r="C740" s="3" t="inlineStr">
        <is>
          <t>CoreWeave Denton TX</t>
        </is>
      </c>
      <c r="D740" s="3" t="n">
        <v>2026</v>
      </c>
      <c r="E740" s="3" t="inlineStr">
        <is>
          <t>CoreWeave</t>
        </is>
      </c>
      <c r="F740" s="17" t="n">
        <v>0</v>
      </c>
      <c r="G740" s="17" t="n">
        <v>1</v>
      </c>
      <c r="H740" s="17" t="n">
        <v>0</v>
      </c>
      <c r="I740" s="17" t="n">
        <v>0</v>
      </c>
      <c r="J740" s="17" t="n">
        <v>0</v>
      </c>
      <c r="K740" s="17" t="n">
        <v>0</v>
      </c>
      <c r="L740" s="17" t="n">
        <v>0</v>
      </c>
      <c r="M740" s="17" t="n">
        <v>0</v>
      </c>
      <c r="N740" s="17" t="n">
        <v>0</v>
      </c>
      <c r="O740" s="26" t="n">
        <v>1</v>
      </c>
      <c r="P740" s="3" t="inlineStr">
        <is>
          <t>epoch_chip_quantity_latest</t>
        </is>
      </c>
      <c r="Q740" s="3" t="inlineStr">
        <is>
          <t>SRC_EPOCH_AI_DATA_CENTERS; EPOCH_RAW_CHIP_QUANTITIES</t>
        </is>
      </c>
      <c r="R740" s="3" t="inlineStr">
        <is>
          <t>Latest chip quantity per chip type through year-end; normalized by unit count into benchmark buckets.</t>
        </is>
      </c>
    </row>
    <row r="741">
      <c r="A741" s="3" t="inlineStr">
        <is>
          <t>Bull|CoreWeave Denton TX|2027</t>
        </is>
      </c>
      <c r="B741" s="3" t="inlineStr">
        <is>
          <t>Bull</t>
        </is>
      </c>
      <c r="C741" s="3" t="inlineStr">
        <is>
          <t>CoreWeave Denton TX</t>
        </is>
      </c>
      <c r="D741" s="3" t="n">
        <v>2027</v>
      </c>
      <c r="E741" s="3" t="inlineStr">
        <is>
          <t>CoreWeave</t>
        </is>
      </c>
      <c r="F741" s="17" t="n">
        <v>0</v>
      </c>
      <c r="G741" s="17" t="n">
        <v>1</v>
      </c>
      <c r="H741" s="17" t="n">
        <v>0</v>
      </c>
      <c r="I741" s="17" t="n">
        <v>0</v>
      </c>
      <c r="J741" s="17" t="n">
        <v>0</v>
      </c>
      <c r="K741" s="17" t="n">
        <v>0</v>
      </c>
      <c r="L741" s="17" t="n">
        <v>0</v>
      </c>
      <c r="M741" s="17" t="n">
        <v>0</v>
      </c>
      <c r="N741" s="17" t="n">
        <v>0</v>
      </c>
      <c r="O741" s="26" t="n">
        <v>1</v>
      </c>
      <c r="P741" s="3" t="inlineStr">
        <is>
          <t>epoch_chip_quantity_latest</t>
        </is>
      </c>
      <c r="Q741" s="3" t="inlineStr">
        <is>
          <t>SRC_EPOCH_AI_DATA_CENTERS; EPOCH_RAW_CHIP_QUANTITIES</t>
        </is>
      </c>
      <c r="R741" s="3" t="inlineStr">
        <is>
          <t>Latest chip quantity per chip type through year-end; normalized by unit count into benchmark buckets.</t>
        </is>
      </c>
    </row>
    <row r="742">
      <c r="A742" s="3" t="inlineStr">
        <is>
          <t>Bull|CoreWeave Denton TX|2028</t>
        </is>
      </c>
      <c r="B742" s="3" t="inlineStr">
        <is>
          <t>Bull</t>
        </is>
      </c>
      <c r="C742" s="3" t="inlineStr">
        <is>
          <t>CoreWeave Denton TX</t>
        </is>
      </c>
      <c r="D742" s="3" t="n">
        <v>2028</v>
      </c>
      <c r="E742" s="3" t="inlineStr">
        <is>
          <t>CoreWeave</t>
        </is>
      </c>
      <c r="F742" s="17" t="n">
        <v>0</v>
      </c>
      <c r="G742" s="17" t="n">
        <v>1</v>
      </c>
      <c r="H742" s="17" t="n">
        <v>0</v>
      </c>
      <c r="I742" s="17" t="n">
        <v>0</v>
      </c>
      <c r="J742" s="17" t="n">
        <v>0</v>
      </c>
      <c r="K742" s="17" t="n">
        <v>0</v>
      </c>
      <c r="L742" s="17" t="n">
        <v>0</v>
      </c>
      <c r="M742" s="17" t="n">
        <v>0</v>
      </c>
      <c r="N742" s="17" t="n">
        <v>0</v>
      </c>
      <c r="O742" s="26" t="n">
        <v>1</v>
      </c>
      <c r="P742" s="3" t="inlineStr">
        <is>
          <t>epoch_chip_quantity_latest</t>
        </is>
      </c>
      <c r="Q742" s="3" t="inlineStr">
        <is>
          <t>SRC_EPOCH_AI_DATA_CENTERS; EPOCH_RAW_CHIP_QUANTITIES</t>
        </is>
      </c>
      <c r="R742" s="3" t="inlineStr">
        <is>
          <t>Latest chip quantity per chip type through year-end; normalized by unit count into benchmark buckets.</t>
        </is>
      </c>
    </row>
    <row r="743">
      <c r="A743" s="3" t="inlineStr">
        <is>
          <t>Bull|CoreWeave Denton TX|2029</t>
        </is>
      </c>
      <c r="B743" s="3" t="inlineStr">
        <is>
          <t>Bull</t>
        </is>
      </c>
      <c r="C743" s="3" t="inlineStr">
        <is>
          <t>CoreWeave Denton TX</t>
        </is>
      </c>
      <c r="D743" s="3" t="n">
        <v>2029</v>
      </c>
      <c r="E743" s="3" t="inlineStr">
        <is>
          <t>CoreWeave</t>
        </is>
      </c>
      <c r="F743" s="17" t="n">
        <v>0</v>
      </c>
      <c r="G743" s="17" t="n">
        <v>1</v>
      </c>
      <c r="H743" s="17" t="n">
        <v>0</v>
      </c>
      <c r="I743" s="17" t="n">
        <v>0</v>
      </c>
      <c r="J743" s="17" t="n">
        <v>0</v>
      </c>
      <c r="K743" s="17" t="n">
        <v>0</v>
      </c>
      <c r="L743" s="17" t="n">
        <v>0</v>
      </c>
      <c r="M743" s="17" t="n">
        <v>0</v>
      </c>
      <c r="N743" s="17" t="n">
        <v>0</v>
      </c>
      <c r="O743" s="26" t="n">
        <v>1</v>
      </c>
      <c r="P743" s="3" t="inlineStr">
        <is>
          <t>epoch_chip_quantity_latest</t>
        </is>
      </c>
      <c r="Q743" s="3" t="inlineStr">
        <is>
          <t>SRC_EPOCH_AI_DATA_CENTERS; EPOCH_RAW_CHIP_QUANTITIES</t>
        </is>
      </c>
      <c r="R743" s="3" t="inlineStr">
        <is>
          <t>Latest chip quantity per chip type through year-end; normalized by unit count into benchmark buckets.</t>
        </is>
      </c>
    </row>
    <row r="744">
      <c r="A744" s="3" t="inlineStr">
        <is>
          <t>Bull|CoreWeave Denton TX|2030</t>
        </is>
      </c>
      <c r="B744" s="3" t="inlineStr">
        <is>
          <t>Bull</t>
        </is>
      </c>
      <c r="C744" s="3" t="inlineStr">
        <is>
          <t>CoreWeave Denton TX</t>
        </is>
      </c>
      <c r="D744" s="3" t="n">
        <v>2030</v>
      </c>
      <c r="E744" s="3" t="inlineStr">
        <is>
          <t>CoreWeave</t>
        </is>
      </c>
      <c r="F744" s="17" t="n">
        <v>0</v>
      </c>
      <c r="G744" s="17" t="n">
        <v>1</v>
      </c>
      <c r="H744" s="17" t="n">
        <v>0</v>
      </c>
      <c r="I744" s="17" t="n">
        <v>0</v>
      </c>
      <c r="J744" s="17" t="n">
        <v>0</v>
      </c>
      <c r="K744" s="17" t="n">
        <v>0</v>
      </c>
      <c r="L744" s="17" t="n">
        <v>0</v>
      </c>
      <c r="M744" s="17" t="n">
        <v>0</v>
      </c>
      <c r="N744" s="17" t="n">
        <v>0</v>
      </c>
      <c r="O744" s="26" t="n">
        <v>1</v>
      </c>
      <c r="P744" s="3" t="inlineStr">
        <is>
          <t>epoch_chip_quantity_latest</t>
        </is>
      </c>
      <c r="Q744" s="3" t="inlineStr">
        <is>
          <t>SRC_EPOCH_AI_DATA_CENTERS; EPOCH_RAW_CHIP_QUANTITIES</t>
        </is>
      </c>
      <c r="R744" s="3" t="inlineStr">
        <is>
          <t>Latest chip quantity per chip type through year-end; normalized by unit count into benchmark buckets.</t>
        </is>
      </c>
    </row>
    <row r="745">
      <c r="A745" s="3" t="inlineStr">
        <is>
          <t>Grid-Constrained / Efficiency-Upside|CoreWeave Denton TX|2026</t>
        </is>
      </c>
      <c r="B745" s="3" t="inlineStr">
        <is>
          <t>Grid-Constrained / Efficiency-Upside</t>
        </is>
      </c>
      <c r="C745" s="3" t="inlineStr">
        <is>
          <t>CoreWeave Denton TX</t>
        </is>
      </c>
      <c r="D745" s="3" t="n">
        <v>2026</v>
      </c>
      <c r="E745" s="3" t="inlineStr">
        <is>
          <t>CoreWeave</t>
        </is>
      </c>
      <c r="F745" s="17" t="n">
        <v>0</v>
      </c>
      <c r="G745" s="17" t="n">
        <v>1</v>
      </c>
      <c r="H745" s="17" t="n">
        <v>0</v>
      </c>
      <c r="I745" s="17" t="n">
        <v>0</v>
      </c>
      <c r="J745" s="17" t="n">
        <v>0</v>
      </c>
      <c r="K745" s="17" t="n">
        <v>0</v>
      </c>
      <c r="L745" s="17" t="n">
        <v>0</v>
      </c>
      <c r="M745" s="17" t="n">
        <v>0</v>
      </c>
      <c r="N745" s="17" t="n">
        <v>0</v>
      </c>
      <c r="O745" s="26" t="n">
        <v>1</v>
      </c>
      <c r="P745" s="3" t="inlineStr">
        <is>
          <t>epoch_chip_quantity_latest</t>
        </is>
      </c>
      <c r="Q745" s="3" t="inlineStr">
        <is>
          <t>SRC_EPOCH_AI_DATA_CENTERS; EPOCH_RAW_CHIP_QUANTITIES</t>
        </is>
      </c>
      <c r="R745" s="3" t="inlineStr">
        <is>
          <t>Latest chip quantity per chip type through year-end; normalized by unit count into benchmark buckets.</t>
        </is>
      </c>
    </row>
    <row r="746">
      <c r="A746" s="3" t="inlineStr">
        <is>
          <t>Grid-Constrained / Efficiency-Upside|CoreWeave Denton TX|2027</t>
        </is>
      </c>
      <c r="B746" s="3" t="inlineStr">
        <is>
          <t>Grid-Constrained / Efficiency-Upside</t>
        </is>
      </c>
      <c r="C746" s="3" t="inlineStr">
        <is>
          <t>CoreWeave Denton TX</t>
        </is>
      </c>
      <c r="D746" s="3" t="n">
        <v>2027</v>
      </c>
      <c r="E746" s="3" t="inlineStr">
        <is>
          <t>CoreWeave</t>
        </is>
      </c>
      <c r="F746" s="17" t="n">
        <v>0</v>
      </c>
      <c r="G746" s="17" t="n">
        <v>1</v>
      </c>
      <c r="H746" s="17" t="n">
        <v>0</v>
      </c>
      <c r="I746" s="17" t="n">
        <v>0</v>
      </c>
      <c r="J746" s="17" t="n">
        <v>0</v>
      </c>
      <c r="K746" s="17" t="n">
        <v>0</v>
      </c>
      <c r="L746" s="17" t="n">
        <v>0</v>
      </c>
      <c r="M746" s="17" t="n">
        <v>0</v>
      </c>
      <c r="N746" s="17" t="n">
        <v>0</v>
      </c>
      <c r="O746" s="26" t="n">
        <v>1</v>
      </c>
      <c r="P746" s="3" t="inlineStr">
        <is>
          <t>epoch_chip_quantity_latest</t>
        </is>
      </c>
      <c r="Q746" s="3" t="inlineStr">
        <is>
          <t>SRC_EPOCH_AI_DATA_CENTERS; EPOCH_RAW_CHIP_QUANTITIES</t>
        </is>
      </c>
      <c r="R746" s="3" t="inlineStr">
        <is>
          <t>Latest chip quantity per chip type through year-end; normalized by unit count into benchmark buckets.</t>
        </is>
      </c>
    </row>
    <row r="747">
      <c r="A747" s="3" t="inlineStr">
        <is>
          <t>Grid-Constrained / Efficiency-Upside|CoreWeave Denton TX|2028</t>
        </is>
      </c>
      <c r="B747" s="3" t="inlineStr">
        <is>
          <t>Grid-Constrained / Efficiency-Upside</t>
        </is>
      </c>
      <c r="C747" s="3" t="inlineStr">
        <is>
          <t>CoreWeave Denton TX</t>
        </is>
      </c>
      <c r="D747" s="3" t="n">
        <v>2028</v>
      </c>
      <c r="E747" s="3" t="inlineStr">
        <is>
          <t>CoreWeave</t>
        </is>
      </c>
      <c r="F747" s="17" t="n">
        <v>0</v>
      </c>
      <c r="G747" s="17" t="n">
        <v>1</v>
      </c>
      <c r="H747" s="17" t="n">
        <v>0</v>
      </c>
      <c r="I747" s="17" t="n">
        <v>0</v>
      </c>
      <c r="J747" s="17" t="n">
        <v>0</v>
      </c>
      <c r="K747" s="17" t="n">
        <v>0</v>
      </c>
      <c r="L747" s="17" t="n">
        <v>0</v>
      </c>
      <c r="M747" s="17" t="n">
        <v>0</v>
      </c>
      <c r="N747" s="17" t="n">
        <v>0</v>
      </c>
      <c r="O747" s="26" t="n">
        <v>1</v>
      </c>
      <c r="P747" s="3" t="inlineStr">
        <is>
          <t>epoch_chip_quantity_latest</t>
        </is>
      </c>
      <c r="Q747" s="3" t="inlineStr">
        <is>
          <t>SRC_EPOCH_AI_DATA_CENTERS; EPOCH_RAW_CHIP_QUANTITIES</t>
        </is>
      </c>
      <c r="R747" s="3" t="inlineStr">
        <is>
          <t>Latest chip quantity per chip type through year-end; normalized by unit count into benchmark buckets.</t>
        </is>
      </c>
    </row>
    <row r="748">
      <c r="A748" s="3" t="inlineStr">
        <is>
          <t>Grid-Constrained / Efficiency-Upside|CoreWeave Denton TX|2029</t>
        </is>
      </c>
      <c r="B748" s="3" t="inlineStr">
        <is>
          <t>Grid-Constrained / Efficiency-Upside</t>
        </is>
      </c>
      <c r="C748" s="3" t="inlineStr">
        <is>
          <t>CoreWeave Denton TX</t>
        </is>
      </c>
      <c r="D748" s="3" t="n">
        <v>2029</v>
      </c>
      <c r="E748" s="3" t="inlineStr">
        <is>
          <t>CoreWeave</t>
        </is>
      </c>
      <c r="F748" s="17" t="n">
        <v>0</v>
      </c>
      <c r="G748" s="17" t="n">
        <v>1</v>
      </c>
      <c r="H748" s="17" t="n">
        <v>0</v>
      </c>
      <c r="I748" s="17" t="n">
        <v>0</v>
      </c>
      <c r="J748" s="17" t="n">
        <v>0</v>
      </c>
      <c r="K748" s="17" t="n">
        <v>0</v>
      </c>
      <c r="L748" s="17" t="n">
        <v>0</v>
      </c>
      <c r="M748" s="17" t="n">
        <v>0</v>
      </c>
      <c r="N748" s="17" t="n">
        <v>0</v>
      </c>
      <c r="O748" s="26" t="n">
        <v>1</v>
      </c>
      <c r="P748" s="3" t="inlineStr">
        <is>
          <t>epoch_chip_quantity_latest</t>
        </is>
      </c>
      <c r="Q748" s="3" t="inlineStr">
        <is>
          <t>SRC_EPOCH_AI_DATA_CENTERS; EPOCH_RAW_CHIP_QUANTITIES</t>
        </is>
      </c>
      <c r="R748" s="3" t="inlineStr">
        <is>
          <t>Latest chip quantity per chip type through year-end; normalized by unit count into benchmark buckets.</t>
        </is>
      </c>
    </row>
    <row r="749">
      <c r="A749" s="3" t="inlineStr">
        <is>
          <t>Grid-Constrained / Efficiency-Upside|CoreWeave Denton TX|2030</t>
        </is>
      </c>
      <c r="B749" s="3" t="inlineStr">
        <is>
          <t>Grid-Constrained / Efficiency-Upside</t>
        </is>
      </c>
      <c r="C749" s="3" t="inlineStr">
        <is>
          <t>CoreWeave Denton TX</t>
        </is>
      </c>
      <c r="D749" s="3" t="n">
        <v>2030</v>
      </c>
      <c r="E749" s="3" t="inlineStr">
        <is>
          <t>CoreWeave</t>
        </is>
      </c>
      <c r="F749" s="17" t="n">
        <v>0</v>
      </c>
      <c r="G749" s="17" t="n">
        <v>1</v>
      </c>
      <c r="H749" s="17" t="n">
        <v>0</v>
      </c>
      <c r="I749" s="17" t="n">
        <v>0</v>
      </c>
      <c r="J749" s="17" t="n">
        <v>0</v>
      </c>
      <c r="K749" s="17" t="n">
        <v>0</v>
      </c>
      <c r="L749" s="17" t="n">
        <v>0</v>
      </c>
      <c r="M749" s="17" t="n">
        <v>0</v>
      </c>
      <c r="N749" s="17" t="n">
        <v>0</v>
      </c>
      <c r="O749" s="26" t="n">
        <v>1</v>
      </c>
      <c r="P749" s="3" t="inlineStr">
        <is>
          <t>epoch_chip_quantity_latest</t>
        </is>
      </c>
      <c r="Q749" s="3" t="inlineStr">
        <is>
          <t>SRC_EPOCH_AI_DATA_CENTERS; EPOCH_RAW_CHIP_QUANTITIES</t>
        </is>
      </c>
      <c r="R749" s="3" t="inlineStr">
        <is>
          <t>Latest chip quantity per chip type through year-end; normalized by unit count into benchmark buckets.</t>
        </is>
      </c>
    </row>
    <row r="750">
      <c r="A750" s="3" t="inlineStr">
        <is>
          <t>Bear|CoreWeave Ellendale ND|2026</t>
        </is>
      </c>
      <c r="B750" s="3" t="inlineStr">
        <is>
          <t>Bear</t>
        </is>
      </c>
      <c r="C750" s="3" t="inlineStr">
        <is>
          <t>CoreWeave Ellendale ND</t>
        </is>
      </c>
      <c r="D750" s="3" t="n">
        <v>2026</v>
      </c>
      <c r="E750" s="3" t="inlineStr">
        <is>
          <t>CoreWeave</t>
        </is>
      </c>
      <c r="F750" s="17" t="n">
        <v>0</v>
      </c>
      <c r="G750" s="17" t="n">
        <v>1</v>
      </c>
      <c r="H750" s="17" t="n">
        <v>0</v>
      </c>
      <c r="I750" s="17" t="n">
        <v>0</v>
      </c>
      <c r="J750" s="17" t="n">
        <v>0</v>
      </c>
      <c r="K750" s="17" t="n">
        <v>0</v>
      </c>
      <c r="L750" s="17" t="n">
        <v>0</v>
      </c>
      <c r="M750" s="17" t="n">
        <v>0</v>
      </c>
      <c r="N750" s="17" t="n">
        <v>0</v>
      </c>
      <c r="O750" s="26" t="n">
        <v>1</v>
      </c>
      <c r="P750" s="3" t="inlineStr">
        <is>
          <t>epoch_chip_quantity_latest</t>
        </is>
      </c>
      <c r="Q750" s="3" t="inlineStr">
        <is>
          <t>SRC_EPOCH_AI_DATA_CENTERS; EPOCH_RAW_CHIP_QUANTITIES</t>
        </is>
      </c>
      <c r="R750" s="3" t="inlineStr">
        <is>
          <t>Latest chip quantity per chip type through year-end; normalized by unit count into benchmark buckets.</t>
        </is>
      </c>
    </row>
    <row r="751">
      <c r="A751" s="3" t="inlineStr">
        <is>
          <t>Bear|CoreWeave Ellendale ND|2027</t>
        </is>
      </c>
      <c r="B751" s="3" t="inlineStr">
        <is>
          <t>Bear</t>
        </is>
      </c>
      <c r="C751" s="3" t="inlineStr">
        <is>
          <t>CoreWeave Ellendale ND</t>
        </is>
      </c>
      <c r="D751" s="3" t="n">
        <v>2027</v>
      </c>
      <c r="E751" s="3" t="inlineStr">
        <is>
          <t>CoreWeave</t>
        </is>
      </c>
      <c r="F751" s="17" t="n">
        <v>0</v>
      </c>
      <c r="G751" s="17" t="n">
        <v>1</v>
      </c>
      <c r="H751" s="17" t="n">
        <v>0</v>
      </c>
      <c r="I751" s="17" t="n">
        <v>0</v>
      </c>
      <c r="J751" s="17" t="n">
        <v>0</v>
      </c>
      <c r="K751" s="17" t="n">
        <v>0</v>
      </c>
      <c r="L751" s="17" t="n">
        <v>0</v>
      </c>
      <c r="M751" s="17" t="n">
        <v>0</v>
      </c>
      <c r="N751" s="17" t="n">
        <v>0</v>
      </c>
      <c r="O751" s="26" t="n">
        <v>1</v>
      </c>
      <c r="P751" s="3" t="inlineStr">
        <is>
          <t>epoch_chip_quantity_latest</t>
        </is>
      </c>
      <c r="Q751" s="3" t="inlineStr">
        <is>
          <t>SRC_EPOCH_AI_DATA_CENTERS; EPOCH_RAW_CHIP_QUANTITIES</t>
        </is>
      </c>
      <c r="R751" s="3" t="inlineStr">
        <is>
          <t>Latest chip quantity per chip type through year-end; normalized by unit count into benchmark buckets.</t>
        </is>
      </c>
    </row>
    <row r="752">
      <c r="A752" s="3" t="inlineStr">
        <is>
          <t>Bear|CoreWeave Ellendale ND|2028</t>
        </is>
      </c>
      <c r="B752" s="3" t="inlineStr">
        <is>
          <t>Bear</t>
        </is>
      </c>
      <c r="C752" s="3" t="inlineStr">
        <is>
          <t>CoreWeave Ellendale ND</t>
        </is>
      </c>
      <c r="D752" s="3" t="n">
        <v>2028</v>
      </c>
      <c r="E752" s="3" t="inlineStr">
        <is>
          <t>CoreWeave</t>
        </is>
      </c>
      <c r="F752" s="17" t="n">
        <v>0</v>
      </c>
      <c r="G752" s="17" t="n">
        <v>1</v>
      </c>
      <c r="H752" s="17" t="n">
        <v>0</v>
      </c>
      <c r="I752" s="17" t="n">
        <v>0</v>
      </c>
      <c r="J752" s="17" t="n">
        <v>0</v>
      </c>
      <c r="K752" s="17" t="n">
        <v>0</v>
      </c>
      <c r="L752" s="17" t="n">
        <v>0</v>
      </c>
      <c r="M752" s="17" t="n">
        <v>0</v>
      </c>
      <c r="N752" s="17" t="n">
        <v>0</v>
      </c>
      <c r="O752" s="26" t="n">
        <v>1</v>
      </c>
      <c r="P752" s="3" t="inlineStr">
        <is>
          <t>epoch_chip_quantity_latest</t>
        </is>
      </c>
      <c r="Q752" s="3" t="inlineStr">
        <is>
          <t>SRC_EPOCH_AI_DATA_CENTERS; EPOCH_RAW_CHIP_QUANTITIES</t>
        </is>
      </c>
      <c r="R752" s="3" t="inlineStr">
        <is>
          <t>Latest chip quantity per chip type through year-end; normalized by unit count into benchmark buckets.</t>
        </is>
      </c>
    </row>
    <row r="753">
      <c r="A753" s="3" t="inlineStr">
        <is>
          <t>Bear|CoreWeave Ellendale ND|2029</t>
        </is>
      </c>
      <c r="B753" s="3" t="inlineStr">
        <is>
          <t>Bear</t>
        </is>
      </c>
      <c r="C753" s="3" t="inlineStr">
        <is>
          <t>CoreWeave Ellendale ND</t>
        </is>
      </c>
      <c r="D753" s="3" t="n">
        <v>2029</v>
      </c>
      <c r="E753" s="3" t="inlineStr">
        <is>
          <t>CoreWeave</t>
        </is>
      </c>
      <c r="F753" s="17" t="n">
        <v>0</v>
      </c>
      <c r="G753" s="17" t="n">
        <v>1</v>
      </c>
      <c r="H753" s="17" t="n">
        <v>0</v>
      </c>
      <c r="I753" s="17" t="n">
        <v>0</v>
      </c>
      <c r="J753" s="17" t="n">
        <v>0</v>
      </c>
      <c r="K753" s="17" t="n">
        <v>0</v>
      </c>
      <c r="L753" s="17" t="n">
        <v>0</v>
      </c>
      <c r="M753" s="17" t="n">
        <v>0</v>
      </c>
      <c r="N753" s="17" t="n">
        <v>0</v>
      </c>
      <c r="O753" s="26" t="n">
        <v>1</v>
      </c>
      <c r="P753" s="3" t="inlineStr">
        <is>
          <t>epoch_chip_quantity_latest</t>
        </is>
      </c>
      <c r="Q753" s="3" t="inlineStr">
        <is>
          <t>SRC_EPOCH_AI_DATA_CENTERS; EPOCH_RAW_CHIP_QUANTITIES</t>
        </is>
      </c>
      <c r="R753" s="3" t="inlineStr">
        <is>
          <t>Latest chip quantity per chip type through year-end; normalized by unit count into benchmark buckets.</t>
        </is>
      </c>
    </row>
    <row r="754">
      <c r="A754" s="3" t="inlineStr">
        <is>
          <t>Bear|CoreWeave Ellendale ND|2030</t>
        </is>
      </c>
      <c r="B754" s="3" t="inlineStr">
        <is>
          <t>Bear</t>
        </is>
      </c>
      <c r="C754" s="3" t="inlineStr">
        <is>
          <t>CoreWeave Ellendale ND</t>
        </is>
      </c>
      <c r="D754" s="3" t="n">
        <v>2030</v>
      </c>
      <c r="E754" s="3" t="inlineStr">
        <is>
          <t>CoreWeave</t>
        </is>
      </c>
      <c r="F754" s="17" t="n">
        <v>0</v>
      </c>
      <c r="G754" s="17" t="n">
        <v>1</v>
      </c>
      <c r="H754" s="17" t="n">
        <v>0</v>
      </c>
      <c r="I754" s="17" t="n">
        <v>0</v>
      </c>
      <c r="J754" s="17" t="n">
        <v>0</v>
      </c>
      <c r="K754" s="17" t="n">
        <v>0</v>
      </c>
      <c r="L754" s="17" t="n">
        <v>0</v>
      </c>
      <c r="M754" s="17" t="n">
        <v>0</v>
      </c>
      <c r="N754" s="17" t="n">
        <v>0</v>
      </c>
      <c r="O754" s="26" t="n">
        <v>1</v>
      </c>
      <c r="P754" s="3" t="inlineStr">
        <is>
          <t>epoch_chip_quantity_latest</t>
        </is>
      </c>
      <c r="Q754" s="3" t="inlineStr">
        <is>
          <t>SRC_EPOCH_AI_DATA_CENTERS; EPOCH_RAW_CHIP_QUANTITIES</t>
        </is>
      </c>
      <c r="R754" s="3" t="inlineStr">
        <is>
          <t>Latest chip quantity per chip type through year-end; normalized by unit count into benchmark buckets.</t>
        </is>
      </c>
    </row>
    <row r="755">
      <c r="A755" s="3" t="inlineStr">
        <is>
          <t>Base|CoreWeave Ellendale ND|2026</t>
        </is>
      </c>
      <c r="B755" s="3" t="inlineStr">
        <is>
          <t>Base</t>
        </is>
      </c>
      <c r="C755" s="3" t="inlineStr">
        <is>
          <t>CoreWeave Ellendale ND</t>
        </is>
      </c>
      <c r="D755" s="3" t="n">
        <v>2026</v>
      </c>
      <c r="E755" s="3" t="inlineStr">
        <is>
          <t>CoreWeave</t>
        </is>
      </c>
      <c r="F755" s="17" t="n">
        <v>0</v>
      </c>
      <c r="G755" s="17" t="n">
        <v>1</v>
      </c>
      <c r="H755" s="17" t="n">
        <v>0</v>
      </c>
      <c r="I755" s="17" t="n">
        <v>0</v>
      </c>
      <c r="J755" s="17" t="n">
        <v>0</v>
      </c>
      <c r="K755" s="17" t="n">
        <v>0</v>
      </c>
      <c r="L755" s="17" t="n">
        <v>0</v>
      </c>
      <c r="M755" s="17" t="n">
        <v>0</v>
      </c>
      <c r="N755" s="17" t="n">
        <v>0</v>
      </c>
      <c r="O755" s="26" t="n">
        <v>1</v>
      </c>
      <c r="P755" s="3" t="inlineStr">
        <is>
          <t>epoch_chip_quantity_latest</t>
        </is>
      </c>
      <c r="Q755" s="3" t="inlineStr">
        <is>
          <t>SRC_EPOCH_AI_DATA_CENTERS; EPOCH_RAW_CHIP_QUANTITIES</t>
        </is>
      </c>
      <c r="R755" s="3" t="inlineStr">
        <is>
          <t>Latest chip quantity per chip type through year-end; normalized by unit count into benchmark buckets.</t>
        </is>
      </c>
    </row>
    <row r="756">
      <c r="A756" s="3" t="inlineStr">
        <is>
          <t>Base|CoreWeave Ellendale ND|2027</t>
        </is>
      </c>
      <c r="B756" s="3" t="inlineStr">
        <is>
          <t>Base</t>
        </is>
      </c>
      <c r="C756" s="3" t="inlineStr">
        <is>
          <t>CoreWeave Ellendale ND</t>
        </is>
      </c>
      <c r="D756" s="3" t="n">
        <v>2027</v>
      </c>
      <c r="E756" s="3" t="inlineStr">
        <is>
          <t>CoreWeave</t>
        </is>
      </c>
      <c r="F756" s="17" t="n">
        <v>0</v>
      </c>
      <c r="G756" s="17" t="n">
        <v>1</v>
      </c>
      <c r="H756" s="17" t="n">
        <v>0</v>
      </c>
      <c r="I756" s="17" t="n">
        <v>0</v>
      </c>
      <c r="J756" s="17" t="n">
        <v>0</v>
      </c>
      <c r="K756" s="17" t="n">
        <v>0</v>
      </c>
      <c r="L756" s="17" t="n">
        <v>0</v>
      </c>
      <c r="M756" s="17" t="n">
        <v>0</v>
      </c>
      <c r="N756" s="17" t="n">
        <v>0</v>
      </c>
      <c r="O756" s="26" t="n">
        <v>1</v>
      </c>
      <c r="P756" s="3" t="inlineStr">
        <is>
          <t>epoch_chip_quantity_latest</t>
        </is>
      </c>
      <c r="Q756" s="3" t="inlineStr">
        <is>
          <t>SRC_EPOCH_AI_DATA_CENTERS; EPOCH_RAW_CHIP_QUANTITIES</t>
        </is>
      </c>
      <c r="R756" s="3" t="inlineStr">
        <is>
          <t>Latest chip quantity per chip type through year-end; normalized by unit count into benchmark buckets.</t>
        </is>
      </c>
    </row>
    <row r="757">
      <c r="A757" s="3" t="inlineStr">
        <is>
          <t>Base|CoreWeave Ellendale ND|2028</t>
        </is>
      </c>
      <c r="B757" s="3" t="inlineStr">
        <is>
          <t>Base</t>
        </is>
      </c>
      <c r="C757" s="3" t="inlineStr">
        <is>
          <t>CoreWeave Ellendale ND</t>
        </is>
      </c>
      <c r="D757" s="3" t="n">
        <v>2028</v>
      </c>
      <c r="E757" s="3" t="inlineStr">
        <is>
          <t>CoreWeave</t>
        </is>
      </c>
      <c r="F757" s="17" t="n">
        <v>0</v>
      </c>
      <c r="G757" s="17" t="n">
        <v>1</v>
      </c>
      <c r="H757" s="17" t="n">
        <v>0</v>
      </c>
      <c r="I757" s="17" t="n">
        <v>0</v>
      </c>
      <c r="J757" s="17" t="n">
        <v>0</v>
      </c>
      <c r="K757" s="17" t="n">
        <v>0</v>
      </c>
      <c r="L757" s="17" t="n">
        <v>0</v>
      </c>
      <c r="M757" s="17" t="n">
        <v>0</v>
      </c>
      <c r="N757" s="17" t="n">
        <v>0</v>
      </c>
      <c r="O757" s="26" t="n">
        <v>1</v>
      </c>
      <c r="P757" s="3" t="inlineStr">
        <is>
          <t>epoch_chip_quantity_latest</t>
        </is>
      </c>
      <c r="Q757" s="3" t="inlineStr">
        <is>
          <t>SRC_EPOCH_AI_DATA_CENTERS; EPOCH_RAW_CHIP_QUANTITIES</t>
        </is>
      </c>
      <c r="R757" s="3" t="inlineStr">
        <is>
          <t>Latest chip quantity per chip type through year-end; normalized by unit count into benchmark buckets.</t>
        </is>
      </c>
    </row>
    <row r="758">
      <c r="A758" s="3" t="inlineStr">
        <is>
          <t>Base|CoreWeave Ellendale ND|2029</t>
        </is>
      </c>
      <c r="B758" s="3" t="inlineStr">
        <is>
          <t>Base</t>
        </is>
      </c>
      <c r="C758" s="3" t="inlineStr">
        <is>
          <t>CoreWeave Ellendale ND</t>
        </is>
      </c>
      <c r="D758" s="3" t="n">
        <v>2029</v>
      </c>
      <c r="E758" s="3" t="inlineStr">
        <is>
          <t>CoreWeave</t>
        </is>
      </c>
      <c r="F758" s="17" t="n">
        <v>0</v>
      </c>
      <c r="G758" s="17" t="n">
        <v>1</v>
      </c>
      <c r="H758" s="17" t="n">
        <v>0</v>
      </c>
      <c r="I758" s="17" t="n">
        <v>0</v>
      </c>
      <c r="J758" s="17" t="n">
        <v>0</v>
      </c>
      <c r="K758" s="17" t="n">
        <v>0</v>
      </c>
      <c r="L758" s="17" t="n">
        <v>0</v>
      </c>
      <c r="M758" s="17" t="n">
        <v>0</v>
      </c>
      <c r="N758" s="17" t="n">
        <v>0</v>
      </c>
      <c r="O758" s="26" t="n">
        <v>1</v>
      </c>
      <c r="P758" s="3" t="inlineStr">
        <is>
          <t>epoch_chip_quantity_latest</t>
        </is>
      </c>
      <c r="Q758" s="3" t="inlineStr">
        <is>
          <t>SRC_EPOCH_AI_DATA_CENTERS; EPOCH_RAW_CHIP_QUANTITIES</t>
        </is>
      </c>
      <c r="R758" s="3" t="inlineStr">
        <is>
          <t>Latest chip quantity per chip type through year-end; normalized by unit count into benchmark buckets.</t>
        </is>
      </c>
    </row>
    <row r="759">
      <c r="A759" s="3" t="inlineStr">
        <is>
          <t>Base|CoreWeave Ellendale ND|2030</t>
        </is>
      </c>
      <c r="B759" s="3" t="inlineStr">
        <is>
          <t>Base</t>
        </is>
      </c>
      <c r="C759" s="3" t="inlineStr">
        <is>
          <t>CoreWeave Ellendale ND</t>
        </is>
      </c>
      <c r="D759" s="3" t="n">
        <v>2030</v>
      </c>
      <c r="E759" s="3" t="inlineStr">
        <is>
          <t>CoreWeave</t>
        </is>
      </c>
      <c r="F759" s="17" t="n">
        <v>0</v>
      </c>
      <c r="G759" s="17" t="n">
        <v>1</v>
      </c>
      <c r="H759" s="17" t="n">
        <v>0</v>
      </c>
      <c r="I759" s="17" t="n">
        <v>0</v>
      </c>
      <c r="J759" s="17" t="n">
        <v>0</v>
      </c>
      <c r="K759" s="17" t="n">
        <v>0</v>
      </c>
      <c r="L759" s="17" t="n">
        <v>0</v>
      </c>
      <c r="M759" s="17" t="n">
        <v>0</v>
      </c>
      <c r="N759" s="17" t="n">
        <v>0</v>
      </c>
      <c r="O759" s="26" t="n">
        <v>1</v>
      </c>
      <c r="P759" s="3" t="inlineStr">
        <is>
          <t>epoch_chip_quantity_latest</t>
        </is>
      </c>
      <c r="Q759" s="3" t="inlineStr">
        <is>
          <t>SRC_EPOCH_AI_DATA_CENTERS; EPOCH_RAW_CHIP_QUANTITIES</t>
        </is>
      </c>
      <c r="R759" s="3" t="inlineStr">
        <is>
          <t>Latest chip quantity per chip type through year-end; normalized by unit count into benchmark buckets.</t>
        </is>
      </c>
    </row>
    <row r="760">
      <c r="A760" s="3" t="inlineStr">
        <is>
          <t>Bull|CoreWeave Ellendale ND|2026</t>
        </is>
      </c>
      <c r="B760" s="3" t="inlineStr">
        <is>
          <t>Bull</t>
        </is>
      </c>
      <c r="C760" s="3" t="inlineStr">
        <is>
          <t>CoreWeave Ellendale ND</t>
        </is>
      </c>
      <c r="D760" s="3" t="n">
        <v>2026</v>
      </c>
      <c r="E760" s="3" t="inlineStr">
        <is>
          <t>CoreWeave</t>
        </is>
      </c>
      <c r="F760" s="17" t="n">
        <v>0</v>
      </c>
      <c r="G760" s="17" t="n">
        <v>1</v>
      </c>
      <c r="H760" s="17" t="n">
        <v>0</v>
      </c>
      <c r="I760" s="17" t="n">
        <v>0</v>
      </c>
      <c r="J760" s="17" t="n">
        <v>0</v>
      </c>
      <c r="K760" s="17" t="n">
        <v>0</v>
      </c>
      <c r="L760" s="17" t="n">
        <v>0</v>
      </c>
      <c r="M760" s="17" t="n">
        <v>0</v>
      </c>
      <c r="N760" s="17" t="n">
        <v>0</v>
      </c>
      <c r="O760" s="26" t="n">
        <v>1</v>
      </c>
      <c r="P760" s="3" t="inlineStr">
        <is>
          <t>epoch_chip_quantity_latest</t>
        </is>
      </c>
      <c r="Q760" s="3" t="inlineStr">
        <is>
          <t>SRC_EPOCH_AI_DATA_CENTERS; EPOCH_RAW_CHIP_QUANTITIES</t>
        </is>
      </c>
      <c r="R760" s="3" t="inlineStr">
        <is>
          <t>Latest chip quantity per chip type through year-end; normalized by unit count into benchmark buckets.</t>
        </is>
      </c>
    </row>
    <row r="761">
      <c r="A761" s="3" t="inlineStr">
        <is>
          <t>Bull|CoreWeave Ellendale ND|2027</t>
        </is>
      </c>
      <c r="B761" s="3" t="inlineStr">
        <is>
          <t>Bull</t>
        </is>
      </c>
      <c r="C761" s="3" t="inlineStr">
        <is>
          <t>CoreWeave Ellendale ND</t>
        </is>
      </c>
      <c r="D761" s="3" t="n">
        <v>2027</v>
      </c>
      <c r="E761" s="3" t="inlineStr">
        <is>
          <t>CoreWeave</t>
        </is>
      </c>
      <c r="F761" s="17" t="n">
        <v>0</v>
      </c>
      <c r="G761" s="17" t="n">
        <v>1</v>
      </c>
      <c r="H761" s="17" t="n">
        <v>0</v>
      </c>
      <c r="I761" s="17" t="n">
        <v>0</v>
      </c>
      <c r="J761" s="17" t="n">
        <v>0</v>
      </c>
      <c r="K761" s="17" t="n">
        <v>0</v>
      </c>
      <c r="L761" s="17" t="n">
        <v>0</v>
      </c>
      <c r="M761" s="17" t="n">
        <v>0</v>
      </c>
      <c r="N761" s="17" t="n">
        <v>0</v>
      </c>
      <c r="O761" s="26" t="n">
        <v>1</v>
      </c>
      <c r="P761" s="3" t="inlineStr">
        <is>
          <t>epoch_chip_quantity_latest</t>
        </is>
      </c>
      <c r="Q761" s="3" t="inlineStr">
        <is>
          <t>SRC_EPOCH_AI_DATA_CENTERS; EPOCH_RAW_CHIP_QUANTITIES</t>
        </is>
      </c>
      <c r="R761" s="3" t="inlineStr">
        <is>
          <t>Latest chip quantity per chip type through year-end; normalized by unit count into benchmark buckets.</t>
        </is>
      </c>
    </row>
    <row r="762">
      <c r="A762" s="3" t="inlineStr">
        <is>
          <t>Bull|CoreWeave Ellendale ND|2028</t>
        </is>
      </c>
      <c r="B762" s="3" t="inlineStr">
        <is>
          <t>Bull</t>
        </is>
      </c>
      <c r="C762" s="3" t="inlineStr">
        <is>
          <t>CoreWeave Ellendale ND</t>
        </is>
      </c>
      <c r="D762" s="3" t="n">
        <v>2028</v>
      </c>
      <c r="E762" s="3" t="inlineStr">
        <is>
          <t>CoreWeave</t>
        </is>
      </c>
      <c r="F762" s="17" t="n">
        <v>0</v>
      </c>
      <c r="G762" s="17" t="n">
        <v>1</v>
      </c>
      <c r="H762" s="17" t="n">
        <v>0</v>
      </c>
      <c r="I762" s="17" t="n">
        <v>0</v>
      </c>
      <c r="J762" s="17" t="n">
        <v>0</v>
      </c>
      <c r="K762" s="17" t="n">
        <v>0</v>
      </c>
      <c r="L762" s="17" t="n">
        <v>0</v>
      </c>
      <c r="M762" s="17" t="n">
        <v>0</v>
      </c>
      <c r="N762" s="17" t="n">
        <v>0</v>
      </c>
      <c r="O762" s="26" t="n">
        <v>1</v>
      </c>
      <c r="P762" s="3" t="inlineStr">
        <is>
          <t>epoch_chip_quantity_latest</t>
        </is>
      </c>
      <c r="Q762" s="3" t="inlineStr">
        <is>
          <t>SRC_EPOCH_AI_DATA_CENTERS; EPOCH_RAW_CHIP_QUANTITIES</t>
        </is>
      </c>
      <c r="R762" s="3" t="inlineStr">
        <is>
          <t>Latest chip quantity per chip type through year-end; normalized by unit count into benchmark buckets.</t>
        </is>
      </c>
    </row>
    <row r="763">
      <c r="A763" s="3" t="inlineStr">
        <is>
          <t>Bull|CoreWeave Ellendale ND|2029</t>
        </is>
      </c>
      <c r="B763" s="3" t="inlineStr">
        <is>
          <t>Bull</t>
        </is>
      </c>
      <c r="C763" s="3" t="inlineStr">
        <is>
          <t>CoreWeave Ellendale ND</t>
        </is>
      </c>
      <c r="D763" s="3" t="n">
        <v>2029</v>
      </c>
      <c r="E763" s="3" t="inlineStr">
        <is>
          <t>CoreWeave</t>
        </is>
      </c>
      <c r="F763" s="17" t="n">
        <v>0</v>
      </c>
      <c r="G763" s="17" t="n">
        <v>1</v>
      </c>
      <c r="H763" s="17" t="n">
        <v>0</v>
      </c>
      <c r="I763" s="17" t="n">
        <v>0</v>
      </c>
      <c r="J763" s="17" t="n">
        <v>0</v>
      </c>
      <c r="K763" s="17" t="n">
        <v>0</v>
      </c>
      <c r="L763" s="17" t="n">
        <v>0</v>
      </c>
      <c r="M763" s="17" t="n">
        <v>0</v>
      </c>
      <c r="N763" s="17" t="n">
        <v>0</v>
      </c>
      <c r="O763" s="26" t="n">
        <v>1</v>
      </c>
      <c r="P763" s="3" t="inlineStr">
        <is>
          <t>epoch_chip_quantity_latest</t>
        </is>
      </c>
      <c r="Q763" s="3" t="inlineStr">
        <is>
          <t>SRC_EPOCH_AI_DATA_CENTERS; EPOCH_RAW_CHIP_QUANTITIES</t>
        </is>
      </c>
      <c r="R763" s="3" t="inlineStr">
        <is>
          <t>Latest chip quantity per chip type through year-end; normalized by unit count into benchmark buckets.</t>
        </is>
      </c>
    </row>
    <row r="764">
      <c r="A764" s="3" t="inlineStr">
        <is>
          <t>Bull|CoreWeave Ellendale ND|2030</t>
        </is>
      </c>
      <c r="B764" s="3" t="inlineStr">
        <is>
          <t>Bull</t>
        </is>
      </c>
      <c r="C764" s="3" t="inlineStr">
        <is>
          <t>CoreWeave Ellendale ND</t>
        </is>
      </c>
      <c r="D764" s="3" t="n">
        <v>2030</v>
      </c>
      <c r="E764" s="3" t="inlineStr">
        <is>
          <t>CoreWeave</t>
        </is>
      </c>
      <c r="F764" s="17" t="n">
        <v>0</v>
      </c>
      <c r="G764" s="17" t="n">
        <v>1</v>
      </c>
      <c r="H764" s="17" t="n">
        <v>0</v>
      </c>
      <c r="I764" s="17" t="n">
        <v>0</v>
      </c>
      <c r="J764" s="17" t="n">
        <v>0</v>
      </c>
      <c r="K764" s="17" t="n">
        <v>0</v>
      </c>
      <c r="L764" s="17" t="n">
        <v>0</v>
      </c>
      <c r="M764" s="17" t="n">
        <v>0</v>
      </c>
      <c r="N764" s="17" t="n">
        <v>0</v>
      </c>
      <c r="O764" s="26" t="n">
        <v>1</v>
      </c>
      <c r="P764" s="3" t="inlineStr">
        <is>
          <t>epoch_chip_quantity_latest</t>
        </is>
      </c>
      <c r="Q764" s="3" t="inlineStr">
        <is>
          <t>SRC_EPOCH_AI_DATA_CENTERS; EPOCH_RAW_CHIP_QUANTITIES</t>
        </is>
      </c>
      <c r="R764" s="3" t="inlineStr">
        <is>
          <t>Latest chip quantity per chip type through year-end; normalized by unit count into benchmark buckets.</t>
        </is>
      </c>
    </row>
    <row r="765">
      <c r="A765" s="3" t="inlineStr">
        <is>
          <t>Grid-Constrained / Efficiency-Upside|CoreWeave Ellendale ND|2026</t>
        </is>
      </c>
      <c r="B765" s="3" t="inlineStr">
        <is>
          <t>Grid-Constrained / Efficiency-Upside</t>
        </is>
      </c>
      <c r="C765" s="3" t="inlineStr">
        <is>
          <t>CoreWeave Ellendale ND</t>
        </is>
      </c>
      <c r="D765" s="3" t="n">
        <v>2026</v>
      </c>
      <c r="E765" s="3" t="inlineStr">
        <is>
          <t>CoreWeave</t>
        </is>
      </c>
      <c r="F765" s="17" t="n">
        <v>0</v>
      </c>
      <c r="G765" s="17" t="n">
        <v>1</v>
      </c>
      <c r="H765" s="17" t="n">
        <v>0</v>
      </c>
      <c r="I765" s="17" t="n">
        <v>0</v>
      </c>
      <c r="J765" s="17" t="n">
        <v>0</v>
      </c>
      <c r="K765" s="17" t="n">
        <v>0</v>
      </c>
      <c r="L765" s="17" t="n">
        <v>0</v>
      </c>
      <c r="M765" s="17" t="n">
        <v>0</v>
      </c>
      <c r="N765" s="17" t="n">
        <v>0</v>
      </c>
      <c r="O765" s="26" t="n">
        <v>1</v>
      </c>
      <c r="P765" s="3" t="inlineStr">
        <is>
          <t>epoch_chip_quantity_latest</t>
        </is>
      </c>
      <c r="Q765" s="3" t="inlineStr">
        <is>
          <t>SRC_EPOCH_AI_DATA_CENTERS; EPOCH_RAW_CHIP_QUANTITIES</t>
        </is>
      </c>
      <c r="R765" s="3" t="inlineStr">
        <is>
          <t>Latest chip quantity per chip type through year-end; normalized by unit count into benchmark buckets.</t>
        </is>
      </c>
    </row>
    <row r="766">
      <c r="A766" s="3" t="inlineStr">
        <is>
          <t>Grid-Constrained / Efficiency-Upside|CoreWeave Ellendale ND|2027</t>
        </is>
      </c>
      <c r="B766" s="3" t="inlineStr">
        <is>
          <t>Grid-Constrained / Efficiency-Upside</t>
        </is>
      </c>
      <c r="C766" s="3" t="inlineStr">
        <is>
          <t>CoreWeave Ellendale ND</t>
        </is>
      </c>
      <c r="D766" s="3" t="n">
        <v>2027</v>
      </c>
      <c r="E766" s="3" t="inlineStr">
        <is>
          <t>CoreWeave</t>
        </is>
      </c>
      <c r="F766" s="17" t="n">
        <v>0</v>
      </c>
      <c r="G766" s="17" t="n">
        <v>1</v>
      </c>
      <c r="H766" s="17" t="n">
        <v>0</v>
      </c>
      <c r="I766" s="17" t="n">
        <v>0</v>
      </c>
      <c r="J766" s="17" t="n">
        <v>0</v>
      </c>
      <c r="K766" s="17" t="n">
        <v>0</v>
      </c>
      <c r="L766" s="17" t="n">
        <v>0</v>
      </c>
      <c r="M766" s="17" t="n">
        <v>0</v>
      </c>
      <c r="N766" s="17" t="n">
        <v>0</v>
      </c>
      <c r="O766" s="26" t="n">
        <v>1</v>
      </c>
      <c r="P766" s="3" t="inlineStr">
        <is>
          <t>epoch_chip_quantity_latest</t>
        </is>
      </c>
      <c r="Q766" s="3" t="inlineStr">
        <is>
          <t>SRC_EPOCH_AI_DATA_CENTERS; EPOCH_RAW_CHIP_QUANTITIES</t>
        </is>
      </c>
      <c r="R766" s="3" t="inlineStr">
        <is>
          <t>Latest chip quantity per chip type through year-end; normalized by unit count into benchmark buckets.</t>
        </is>
      </c>
    </row>
    <row r="767">
      <c r="A767" s="3" t="inlineStr">
        <is>
          <t>Grid-Constrained / Efficiency-Upside|CoreWeave Ellendale ND|2028</t>
        </is>
      </c>
      <c r="B767" s="3" t="inlineStr">
        <is>
          <t>Grid-Constrained / Efficiency-Upside</t>
        </is>
      </c>
      <c r="C767" s="3" t="inlineStr">
        <is>
          <t>CoreWeave Ellendale ND</t>
        </is>
      </c>
      <c r="D767" s="3" t="n">
        <v>2028</v>
      </c>
      <c r="E767" s="3" t="inlineStr">
        <is>
          <t>CoreWeave</t>
        </is>
      </c>
      <c r="F767" s="17" t="n">
        <v>0</v>
      </c>
      <c r="G767" s="17" t="n">
        <v>1</v>
      </c>
      <c r="H767" s="17" t="n">
        <v>0</v>
      </c>
      <c r="I767" s="17" t="n">
        <v>0</v>
      </c>
      <c r="J767" s="17" t="n">
        <v>0</v>
      </c>
      <c r="K767" s="17" t="n">
        <v>0</v>
      </c>
      <c r="L767" s="17" t="n">
        <v>0</v>
      </c>
      <c r="M767" s="17" t="n">
        <v>0</v>
      </c>
      <c r="N767" s="17" t="n">
        <v>0</v>
      </c>
      <c r="O767" s="26" t="n">
        <v>1</v>
      </c>
      <c r="P767" s="3" t="inlineStr">
        <is>
          <t>epoch_chip_quantity_latest</t>
        </is>
      </c>
      <c r="Q767" s="3" t="inlineStr">
        <is>
          <t>SRC_EPOCH_AI_DATA_CENTERS; EPOCH_RAW_CHIP_QUANTITIES</t>
        </is>
      </c>
      <c r="R767" s="3" t="inlineStr">
        <is>
          <t>Latest chip quantity per chip type through year-end; normalized by unit count into benchmark buckets.</t>
        </is>
      </c>
    </row>
    <row r="768">
      <c r="A768" s="3" t="inlineStr">
        <is>
          <t>Grid-Constrained / Efficiency-Upside|CoreWeave Ellendale ND|2029</t>
        </is>
      </c>
      <c r="B768" s="3" t="inlineStr">
        <is>
          <t>Grid-Constrained / Efficiency-Upside</t>
        </is>
      </c>
      <c r="C768" s="3" t="inlineStr">
        <is>
          <t>CoreWeave Ellendale ND</t>
        </is>
      </c>
      <c r="D768" s="3" t="n">
        <v>2029</v>
      </c>
      <c r="E768" s="3" t="inlineStr">
        <is>
          <t>CoreWeave</t>
        </is>
      </c>
      <c r="F768" s="17" t="n">
        <v>0</v>
      </c>
      <c r="G768" s="17" t="n">
        <v>1</v>
      </c>
      <c r="H768" s="17" t="n">
        <v>0</v>
      </c>
      <c r="I768" s="17" t="n">
        <v>0</v>
      </c>
      <c r="J768" s="17" t="n">
        <v>0</v>
      </c>
      <c r="K768" s="17" t="n">
        <v>0</v>
      </c>
      <c r="L768" s="17" t="n">
        <v>0</v>
      </c>
      <c r="M768" s="17" t="n">
        <v>0</v>
      </c>
      <c r="N768" s="17" t="n">
        <v>0</v>
      </c>
      <c r="O768" s="26" t="n">
        <v>1</v>
      </c>
      <c r="P768" s="3" t="inlineStr">
        <is>
          <t>epoch_chip_quantity_latest</t>
        </is>
      </c>
      <c r="Q768" s="3" t="inlineStr">
        <is>
          <t>SRC_EPOCH_AI_DATA_CENTERS; EPOCH_RAW_CHIP_QUANTITIES</t>
        </is>
      </c>
      <c r="R768" s="3" t="inlineStr">
        <is>
          <t>Latest chip quantity per chip type through year-end; normalized by unit count into benchmark buckets.</t>
        </is>
      </c>
    </row>
    <row r="769">
      <c r="A769" s="3" t="inlineStr">
        <is>
          <t>Grid-Constrained / Efficiency-Upside|CoreWeave Ellendale ND|2030</t>
        </is>
      </c>
      <c r="B769" s="3" t="inlineStr">
        <is>
          <t>Grid-Constrained / Efficiency-Upside</t>
        </is>
      </c>
      <c r="C769" s="3" t="inlineStr">
        <is>
          <t>CoreWeave Ellendale ND</t>
        </is>
      </c>
      <c r="D769" s="3" t="n">
        <v>2030</v>
      </c>
      <c r="E769" s="3" t="inlineStr">
        <is>
          <t>CoreWeave</t>
        </is>
      </c>
      <c r="F769" s="17" t="n">
        <v>0</v>
      </c>
      <c r="G769" s="17" t="n">
        <v>1</v>
      </c>
      <c r="H769" s="17" t="n">
        <v>0</v>
      </c>
      <c r="I769" s="17" t="n">
        <v>0</v>
      </c>
      <c r="J769" s="17" t="n">
        <v>0</v>
      </c>
      <c r="K769" s="17" t="n">
        <v>0</v>
      </c>
      <c r="L769" s="17" t="n">
        <v>0</v>
      </c>
      <c r="M769" s="17" t="n">
        <v>0</v>
      </c>
      <c r="N769" s="17" t="n">
        <v>0</v>
      </c>
      <c r="O769" s="26" t="n">
        <v>1</v>
      </c>
      <c r="P769" s="3" t="inlineStr">
        <is>
          <t>epoch_chip_quantity_latest</t>
        </is>
      </c>
      <c r="Q769" s="3" t="inlineStr">
        <is>
          <t>SRC_EPOCH_AI_DATA_CENTERS; EPOCH_RAW_CHIP_QUANTITIES</t>
        </is>
      </c>
      <c r="R769" s="3" t="inlineStr">
        <is>
          <t>Latest chip quantity per chip type through year-end; normalized by unit count into benchmark buckets.</t>
        </is>
      </c>
    </row>
    <row r="770">
      <c r="A770" s="3" t="inlineStr">
        <is>
          <t>Bear|CoreWeave Marble NC|2026</t>
        </is>
      </c>
      <c r="B770" s="3" t="inlineStr">
        <is>
          <t>Bear</t>
        </is>
      </c>
      <c r="C770" s="3" t="inlineStr">
        <is>
          <t>CoreWeave Marble NC</t>
        </is>
      </c>
      <c r="D770" s="3" t="n">
        <v>2026</v>
      </c>
      <c r="E770" s="3" t="inlineStr">
        <is>
          <t>CoreWeave</t>
        </is>
      </c>
      <c r="F770" s="17" t="n">
        <v>0</v>
      </c>
      <c r="G770" s="17" t="n">
        <v>1</v>
      </c>
      <c r="H770" s="17" t="n">
        <v>0</v>
      </c>
      <c r="I770" s="17" t="n">
        <v>0</v>
      </c>
      <c r="J770" s="17" t="n">
        <v>0</v>
      </c>
      <c r="K770" s="17" t="n">
        <v>0</v>
      </c>
      <c r="L770" s="17" t="n">
        <v>0</v>
      </c>
      <c r="M770" s="17" t="n">
        <v>0</v>
      </c>
      <c r="N770" s="17" t="n">
        <v>0</v>
      </c>
      <c r="O770" s="26" t="n">
        <v>1</v>
      </c>
      <c r="P770" s="3" t="inlineStr">
        <is>
          <t>epoch_chip_quantity_latest</t>
        </is>
      </c>
      <c r="Q770" s="3" t="inlineStr">
        <is>
          <t>SRC_EPOCH_AI_DATA_CENTERS; EPOCH_RAW_CHIP_QUANTITIES</t>
        </is>
      </c>
      <c r="R770" s="3" t="inlineStr">
        <is>
          <t>Latest chip quantity per chip type through year-end; normalized by unit count into benchmark buckets.</t>
        </is>
      </c>
    </row>
    <row r="771">
      <c r="A771" s="3" t="inlineStr">
        <is>
          <t>Bear|CoreWeave Marble NC|2027</t>
        </is>
      </c>
      <c r="B771" s="3" t="inlineStr">
        <is>
          <t>Bear</t>
        </is>
      </c>
      <c r="C771" s="3" t="inlineStr">
        <is>
          <t>CoreWeave Marble NC</t>
        </is>
      </c>
      <c r="D771" s="3" t="n">
        <v>2027</v>
      </c>
      <c r="E771" s="3" t="inlineStr">
        <is>
          <t>CoreWeave</t>
        </is>
      </c>
      <c r="F771" s="17" t="n">
        <v>0</v>
      </c>
      <c r="G771" s="17" t="n">
        <v>1</v>
      </c>
      <c r="H771" s="17" t="n">
        <v>0</v>
      </c>
      <c r="I771" s="17" t="n">
        <v>0</v>
      </c>
      <c r="J771" s="17" t="n">
        <v>0</v>
      </c>
      <c r="K771" s="17" t="n">
        <v>0</v>
      </c>
      <c r="L771" s="17" t="n">
        <v>0</v>
      </c>
      <c r="M771" s="17" t="n">
        <v>0</v>
      </c>
      <c r="N771" s="17" t="n">
        <v>0</v>
      </c>
      <c r="O771" s="26" t="n">
        <v>1</v>
      </c>
      <c r="P771" s="3" t="inlineStr">
        <is>
          <t>epoch_chip_quantity_latest</t>
        </is>
      </c>
      <c r="Q771" s="3" t="inlineStr">
        <is>
          <t>SRC_EPOCH_AI_DATA_CENTERS; EPOCH_RAW_CHIP_QUANTITIES</t>
        </is>
      </c>
      <c r="R771" s="3" t="inlineStr">
        <is>
          <t>Latest chip quantity per chip type through year-end; normalized by unit count into benchmark buckets.</t>
        </is>
      </c>
    </row>
    <row r="772">
      <c r="A772" s="3" t="inlineStr">
        <is>
          <t>Bear|CoreWeave Marble NC|2028</t>
        </is>
      </c>
      <c r="B772" s="3" t="inlineStr">
        <is>
          <t>Bear</t>
        </is>
      </c>
      <c r="C772" s="3" t="inlineStr">
        <is>
          <t>CoreWeave Marble NC</t>
        </is>
      </c>
      <c r="D772" s="3" t="n">
        <v>2028</v>
      </c>
      <c r="E772" s="3" t="inlineStr">
        <is>
          <t>CoreWeave</t>
        </is>
      </c>
      <c r="F772" s="17" t="n">
        <v>0</v>
      </c>
      <c r="G772" s="17" t="n">
        <v>1</v>
      </c>
      <c r="H772" s="17" t="n">
        <v>0</v>
      </c>
      <c r="I772" s="17" t="n">
        <v>0</v>
      </c>
      <c r="J772" s="17" t="n">
        <v>0</v>
      </c>
      <c r="K772" s="17" t="n">
        <v>0</v>
      </c>
      <c r="L772" s="17" t="n">
        <v>0</v>
      </c>
      <c r="M772" s="17" t="n">
        <v>0</v>
      </c>
      <c r="N772" s="17" t="n">
        <v>0</v>
      </c>
      <c r="O772" s="26" t="n">
        <v>1</v>
      </c>
      <c r="P772" s="3" t="inlineStr">
        <is>
          <t>epoch_chip_quantity_latest</t>
        </is>
      </c>
      <c r="Q772" s="3" t="inlineStr">
        <is>
          <t>SRC_EPOCH_AI_DATA_CENTERS; EPOCH_RAW_CHIP_QUANTITIES</t>
        </is>
      </c>
      <c r="R772" s="3" t="inlineStr">
        <is>
          <t>Latest chip quantity per chip type through year-end; normalized by unit count into benchmark buckets.</t>
        </is>
      </c>
    </row>
    <row r="773">
      <c r="A773" s="3" t="inlineStr">
        <is>
          <t>Bear|CoreWeave Marble NC|2029</t>
        </is>
      </c>
      <c r="B773" s="3" t="inlineStr">
        <is>
          <t>Bear</t>
        </is>
      </c>
      <c r="C773" s="3" t="inlineStr">
        <is>
          <t>CoreWeave Marble NC</t>
        </is>
      </c>
      <c r="D773" s="3" t="n">
        <v>2029</v>
      </c>
      <c r="E773" s="3" t="inlineStr">
        <is>
          <t>CoreWeave</t>
        </is>
      </c>
      <c r="F773" s="17" t="n">
        <v>0</v>
      </c>
      <c r="G773" s="17" t="n">
        <v>1</v>
      </c>
      <c r="H773" s="17" t="n">
        <v>0</v>
      </c>
      <c r="I773" s="17" t="n">
        <v>0</v>
      </c>
      <c r="J773" s="17" t="n">
        <v>0</v>
      </c>
      <c r="K773" s="17" t="n">
        <v>0</v>
      </c>
      <c r="L773" s="17" t="n">
        <v>0</v>
      </c>
      <c r="M773" s="17" t="n">
        <v>0</v>
      </c>
      <c r="N773" s="17" t="n">
        <v>0</v>
      </c>
      <c r="O773" s="26" t="n">
        <v>1</v>
      </c>
      <c r="P773" s="3" t="inlineStr">
        <is>
          <t>epoch_chip_quantity_latest</t>
        </is>
      </c>
      <c r="Q773" s="3" t="inlineStr">
        <is>
          <t>SRC_EPOCH_AI_DATA_CENTERS; EPOCH_RAW_CHIP_QUANTITIES</t>
        </is>
      </c>
      <c r="R773" s="3" t="inlineStr">
        <is>
          <t>Latest chip quantity per chip type through year-end; normalized by unit count into benchmark buckets.</t>
        </is>
      </c>
    </row>
    <row r="774">
      <c r="A774" s="3" t="inlineStr">
        <is>
          <t>Bear|CoreWeave Marble NC|2030</t>
        </is>
      </c>
      <c r="B774" s="3" t="inlineStr">
        <is>
          <t>Bear</t>
        </is>
      </c>
      <c r="C774" s="3" t="inlineStr">
        <is>
          <t>CoreWeave Marble NC</t>
        </is>
      </c>
      <c r="D774" s="3" t="n">
        <v>2030</v>
      </c>
      <c r="E774" s="3" t="inlineStr">
        <is>
          <t>CoreWeave</t>
        </is>
      </c>
      <c r="F774" s="17" t="n">
        <v>0</v>
      </c>
      <c r="G774" s="17" t="n">
        <v>1</v>
      </c>
      <c r="H774" s="17" t="n">
        <v>0</v>
      </c>
      <c r="I774" s="17" t="n">
        <v>0</v>
      </c>
      <c r="J774" s="17" t="n">
        <v>0</v>
      </c>
      <c r="K774" s="17" t="n">
        <v>0</v>
      </c>
      <c r="L774" s="17" t="n">
        <v>0</v>
      </c>
      <c r="M774" s="17" t="n">
        <v>0</v>
      </c>
      <c r="N774" s="17" t="n">
        <v>0</v>
      </c>
      <c r="O774" s="26" t="n">
        <v>1</v>
      </c>
      <c r="P774" s="3" t="inlineStr">
        <is>
          <t>epoch_chip_quantity_latest</t>
        </is>
      </c>
      <c r="Q774" s="3" t="inlineStr">
        <is>
          <t>SRC_EPOCH_AI_DATA_CENTERS; EPOCH_RAW_CHIP_QUANTITIES</t>
        </is>
      </c>
      <c r="R774" s="3" t="inlineStr">
        <is>
          <t>Latest chip quantity per chip type through year-end; normalized by unit count into benchmark buckets.</t>
        </is>
      </c>
    </row>
    <row r="775">
      <c r="A775" s="3" t="inlineStr">
        <is>
          <t>Base|CoreWeave Marble NC|2026</t>
        </is>
      </c>
      <c r="B775" s="3" t="inlineStr">
        <is>
          <t>Base</t>
        </is>
      </c>
      <c r="C775" s="3" t="inlineStr">
        <is>
          <t>CoreWeave Marble NC</t>
        </is>
      </c>
      <c r="D775" s="3" t="n">
        <v>2026</v>
      </c>
      <c r="E775" s="3" t="inlineStr">
        <is>
          <t>CoreWeave</t>
        </is>
      </c>
      <c r="F775" s="17" t="n">
        <v>0</v>
      </c>
      <c r="G775" s="17" t="n">
        <v>1</v>
      </c>
      <c r="H775" s="17" t="n">
        <v>0</v>
      </c>
      <c r="I775" s="17" t="n">
        <v>0</v>
      </c>
      <c r="J775" s="17" t="n">
        <v>0</v>
      </c>
      <c r="K775" s="17" t="n">
        <v>0</v>
      </c>
      <c r="L775" s="17" t="n">
        <v>0</v>
      </c>
      <c r="M775" s="17" t="n">
        <v>0</v>
      </c>
      <c r="N775" s="17" t="n">
        <v>0</v>
      </c>
      <c r="O775" s="26" t="n">
        <v>1</v>
      </c>
      <c r="P775" s="3" t="inlineStr">
        <is>
          <t>epoch_chip_quantity_latest</t>
        </is>
      </c>
      <c r="Q775" s="3" t="inlineStr">
        <is>
          <t>SRC_EPOCH_AI_DATA_CENTERS; EPOCH_RAW_CHIP_QUANTITIES</t>
        </is>
      </c>
      <c r="R775" s="3" t="inlineStr">
        <is>
          <t>Latest chip quantity per chip type through year-end; normalized by unit count into benchmark buckets.</t>
        </is>
      </c>
    </row>
    <row r="776">
      <c r="A776" s="3" t="inlineStr">
        <is>
          <t>Base|CoreWeave Marble NC|2027</t>
        </is>
      </c>
      <c r="B776" s="3" t="inlineStr">
        <is>
          <t>Base</t>
        </is>
      </c>
      <c r="C776" s="3" t="inlineStr">
        <is>
          <t>CoreWeave Marble NC</t>
        </is>
      </c>
      <c r="D776" s="3" t="n">
        <v>2027</v>
      </c>
      <c r="E776" s="3" t="inlineStr">
        <is>
          <t>CoreWeave</t>
        </is>
      </c>
      <c r="F776" s="17" t="n">
        <v>0</v>
      </c>
      <c r="G776" s="17" t="n">
        <v>1</v>
      </c>
      <c r="H776" s="17" t="n">
        <v>0</v>
      </c>
      <c r="I776" s="17" t="n">
        <v>0</v>
      </c>
      <c r="J776" s="17" t="n">
        <v>0</v>
      </c>
      <c r="K776" s="17" t="n">
        <v>0</v>
      </c>
      <c r="L776" s="17" t="n">
        <v>0</v>
      </c>
      <c r="M776" s="17" t="n">
        <v>0</v>
      </c>
      <c r="N776" s="17" t="n">
        <v>0</v>
      </c>
      <c r="O776" s="26" t="n">
        <v>1</v>
      </c>
      <c r="P776" s="3" t="inlineStr">
        <is>
          <t>epoch_chip_quantity_latest</t>
        </is>
      </c>
      <c r="Q776" s="3" t="inlineStr">
        <is>
          <t>SRC_EPOCH_AI_DATA_CENTERS; EPOCH_RAW_CHIP_QUANTITIES</t>
        </is>
      </c>
      <c r="R776" s="3" t="inlineStr">
        <is>
          <t>Latest chip quantity per chip type through year-end; normalized by unit count into benchmark buckets.</t>
        </is>
      </c>
    </row>
    <row r="777">
      <c r="A777" s="3" t="inlineStr">
        <is>
          <t>Base|CoreWeave Marble NC|2028</t>
        </is>
      </c>
      <c r="B777" s="3" t="inlineStr">
        <is>
          <t>Base</t>
        </is>
      </c>
      <c r="C777" s="3" t="inlineStr">
        <is>
          <t>CoreWeave Marble NC</t>
        </is>
      </c>
      <c r="D777" s="3" t="n">
        <v>2028</v>
      </c>
      <c r="E777" s="3" t="inlineStr">
        <is>
          <t>CoreWeave</t>
        </is>
      </c>
      <c r="F777" s="17" t="n">
        <v>0</v>
      </c>
      <c r="G777" s="17" t="n">
        <v>1</v>
      </c>
      <c r="H777" s="17" t="n">
        <v>0</v>
      </c>
      <c r="I777" s="17" t="n">
        <v>0</v>
      </c>
      <c r="J777" s="17" t="n">
        <v>0</v>
      </c>
      <c r="K777" s="17" t="n">
        <v>0</v>
      </c>
      <c r="L777" s="17" t="n">
        <v>0</v>
      </c>
      <c r="M777" s="17" t="n">
        <v>0</v>
      </c>
      <c r="N777" s="17" t="n">
        <v>0</v>
      </c>
      <c r="O777" s="26" t="n">
        <v>1</v>
      </c>
      <c r="P777" s="3" t="inlineStr">
        <is>
          <t>epoch_chip_quantity_latest</t>
        </is>
      </c>
      <c r="Q777" s="3" t="inlineStr">
        <is>
          <t>SRC_EPOCH_AI_DATA_CENTERS; EPOCH_RAW_CHIP_QUANTITIES</t>
        </is>
      </c>
      <c r="R777" s="3" t="inlineStr">
        <is>
          <t>Latest chip quantity per chip type through year-end; normalized by unit count into benchmark buckets.</t>
        </is>
      </c>
    </row>
    <row r="778">
      <c r="A778" s="3" t="inlineStr">
        <is>
          <t>Base|CoreWeave Marble NC|2029</t>
        </is>
      </c>
      <c r="B778" s="3" t="inlineStr">
        <is>
          <t>Base</t>
        </is>
      </c>
      <c r="C778" s="3" t="inlineStr">
        <is>
          <t>CoreWeave Marble NC</t>
        </is>
      </c>
      <c r="D778" s="3" t="n">
        <v>2029</v>
      </c>
      <c r="E778" s="3" t="inlineStr">
        <is>
          <t>CoreWeave</t>
        </is>
      </c>
      <c r="F778" s="17" t="n">
        <v>0</v>
      </c>
      <c r="G778" s="17" t="n">
        <v>1</v>
      </c>
      <c r="H778" s="17" t="n">
        <v>0</v>
      </c>
      <c r="I778" s="17" t="n">
        <v>0</v>
      </c>
      <c r="J778" s="17" t="n">
        <v>0</v>
      </c>
      <c r="K778" s="17" t="n">
        <v>0</v>
      </c>
      <c r="L778" s="17" t="n">
        <v>0</v>
      </c>
      <c r="M778" s="17" t="n">
        <v>0</v>
      </c>
      <c r="N778" s="17" t="n">
        <v>0</v>
      </c>
      <c r="O778" s="26" t="n">
        <v>1</v>
      </c>
      <c r="P778" s="3" t="inlineStr">
        <is>
          <t>epoch_chip_quantity_latest</t>
        </is>
      </c>
      <c r="Q778" s="3" t="inlineStr">
        <is>
          <t>SRC_EPOCH_AI_DATA_CENTERS; EPOCH_RAW_CHIP_QUANTITIES</t>
        </is>
      </c>
      <c r="R778" s="3" t="inlineStr">
        <is>
          <t>Latest chip quantity per chip type through year-end; normalized by unit count into benchmark buckets.</t>
        </is>
      </c>
    </row>
    <row r="779">
      <c r="A779" s="3" t="inlineStr">
        <is>
          <t>Base|CoreWeave Marble NC|2030</t>
        </is>
      </c>
      <c r="B779" s="3" t="inlineStr">
        <is>
          <t>Base</t>
        </is>
      </c>
      <c r="C779" s="3" t="inlineStr">
        <is>
          <t>CoreWeave Marble NC</t>
        </is>
      </c>
      <c r="D779" s="3" t="n">
        <v>2030</v>
      </c>
      <c r="E779" s="3" t="inlineStr">
        <is>
          <t>CoreWeave</t>
        </is>
      </c>
      <c r="F779" s="17" t="n">
        <v>0</v>
      </c>
      <c r="G779" s="17" t="n">
        <v>1</v>
      </c>
      <c r="H779" s="17" t="n">
        <v>0</v>
      </c>
      <c r="I779" s="17" t="n">
        <v>0</v>
      </c>
      <c r="J779" s="17" t="n">
        <v>0</v>
      </c>
      <c r="K779" s="17" t="n">
        <v>0</v>
      </c>
      <c r="L779" s="17" t="n">
        <v>0</v>
      </c>
      <c r="M779" s="17" t="n">
        <v>0</v>
      </c>
      <c r="N779" s="17" t="n">
        <v>0</v>
      </c>
      <c r="O779" s="26" t="n">
        <v>1</v>
      </c>
      <c r="P779" s="3" t="inlineStr">
        <is>
          <t>epoch_chip_quantity_latest</t>
        </is>
      </c>
      <c r="Q779" s="3" t="inlineStr">
        <is>
          <t>SRC_EPOCH_AI_DATA_CENTERS; EPOCH_RAW_CHIP_QUANTITIES</t>
        </is>
      </c>
      <c r="R779" s="3" t="inlineStr">
        <is>
          <t>Latest chip quantity per chip type through year-end; normalized by unit count into benchmark buckets.</t>
        </is>
      </c>
    </row>
    <row r="780">
      <c r="A780" s="3" t="inlineStr">
        <is>
          <t>Bull|CoreWeave Marble NC|2026</t>
        </is>
      </c>
      <c r="B780" s="3" t="inlineStr">
        <is>
          <t>Bull</t>
        </is>
      </c>
      <c r="C780" s="3" t="inlineStr">
        <is>
          <t>CoreWeave Marble NC</t>
        </is>
      </c>
      <c r="D780" s="3" t="n">
        <v>2026</v>
      </c>
      <c r="E780" s="3" t="inlineStr">
        <is>
          <t>CoreWeave</t>
        </is>
      </c>
      <c r="F780" s="17" t="n">
        <v>0</v>
      </c>
      <c r="G780" s="17" t="n">
        <v>1</v>
      </c>
      <c r="H780" s="17" t="n">
        <v>0</v>
      </c>
      <c r="I780" s="17" t="n">
        <v>0</v>
      </c>
      <c r="J780" s="17" t="n">
        <v>0</v>
      </c>
      <c r="K780" s="17" t="n">
        <v>0</v>
      </c>
      <c r="L780" s="17" t="n">
        <v>0</v>
      </c>
      <c r="M780" s="17" t="n">
        <v>0</v>
      </c>
      <c r="N780" s="17" t="n">
        <v>0</v>
      </c>
      <c r="O780" s="26" t="n">
        <v>1</v>
      </c>
      <c r="P780" s="3" t="inlineStr">
        <is>
          <t>epoch_chip_quantity_latest</t>
        </is>
      </c>
      <c r="Q780" s="3" t="inlineStr">
        <is>
          <t>SRC_EPOCH_AI_DATA_CENTERS; EPOCH_RAW_CHIP_QUANTITIES</t>
        </is>
      </c>
      <c r="R780" s="3" t="inlineStr">
        <is>
          <t>Latest chip quantity per chip type through year-end; normalized by unit count into benchmark buckets.</t>
        </is>
      </c>
    </row>
    <row r="781">
      <c r="A781" s="3" t="inlineStr">
        <is>
          <t>Bull|CoreWeave Marble NC|2027</t>
        </is>
      </c>
      <c r="B781" s="3" t="inlineStr">
        <is>
          <t>Bull</t>
        </is>
      </c>
      <c r="C781" s="3" t="inlineStr">
        <is>
          <t>CoreWeave Marble NC</t>
        </is>
      </c>
      <c r="D781" s="3" t="n">
        <v>2027</v>
      </c>
      <c r="E781" s="3" t="inlineStr">
        <is>
          <t>CoreWeave</t>
        </is>
      </c>
      <c r="F781" s="17" t="n">
        <v>0</v>
      </c>
      <c r="G781" s="17" t="n">
        <v>1</v>
      </c>
      <c r="H781" s="17" t="n">
        <v>0</v>
      </c>
      <c r="I781" s="17" t="n">
        <v>0</v>
      </c>
      <c r="J781" s="17" t="n">
        <v>0</v>
      </c>
      <c r="K781" s="17" t="n">
        <v>0</v>
      </c>
      <c r="L781" s="17" t="n">
        <v>0</v>
      </c>
      <c r="M781" s="17" t="n">
        <v>0</v>
      </c>
      <c r="N781" s="17" t="n">
        <v>0</v>
      </c>
      <c r="O781" s="26" t="n">
        <v>1</v>
      </c>
      <c r="P781" s="3" t="inlineStr">
        <is>
          <t>epoch_chip_quantity_latest</t>
        </is>
      </c>
      <c r="Q781" s="3" t="inlineStr">
        <is>
          <t>SRC_EPOCH_AI_DATA_CENTERS; EPOCH_RAW_CHIP_QUANTITIES</t>
        </is>
      </c>
      <c r="R781" s="3" t="inlineStr">
        <is>
          <t>Latest chip quantity per chip type through year-end; normalized by unit count into benchmark buckets.</t>
        </is>
      </c>
    </row>
    <row r="782">
      <c r="A782" s="3" t="inlineStr">
        <is>
          <t>Bull|CoreWeave Marble NC|2028</t>
        </is>
      </c>
      <c r="B782" s="3" t="inlineStr">
        <is>
          <t>Bull</t>
        </is>
      </c>
      <c r="C782" s="3" t="inlineStr">
        <is>
          <t>CoreWeave Marble NC</t>
        </is>
      </c>
      <c r="D782" s="3" t="n">
        <v>2028</v>
      </c>
      <c r="E782" s="3" t="inlineStr">
        <is>
          <t>CoreWeave</t>
        </is>
      </c>
      <c r="F782" s="17" t="n">
        <v>0</v>
      </c>
      <c r="G782" s="17" t="n">
        <v>1</v>
      </c>
      <c r="H782" s="17" t="n">
        <v>0</v>
      </c>
      <c r="I782" s="17" t="n">
        <v>0</v>
      </c>
      <c r="J782" s="17" t="n">
        <v>0</v>
      </c>
      <c r="K782" s="17" t="n">
        <v>0</v>
      </c>
      <c r="L782" s="17" t="n">
        <v>0</v>
      </c>
      <c r="M782" s="17" t="n">
        <v>0</v>
      </c>
      <c r="N782" s="17" t="n">
        <v>0</v>
      </c>
      <c r="O782" s="26" t="n">
        <v>1</v>
      </c>
      <c r="P782" s="3" t="inlineStr">
        <is>
          <t>epoch_chip_quantity_latest</t>
        </is>
      </c>
      <c r="Q782" s="3" t="inlineStr">
        <is>
          <t>SRC_EPOCH_AI_DATA_CENTERS; EPOCH_RAW_CHIP_QUANTITIES</t>
        </is>
      </c>
      <c r="R782" s="3" t="inlineStr">
        <is>
          <t>Latest chip quantity per chip type through year-end; normalized by unit count into benchmark buckets.</t>
        </is>
      </c>
    </row>
    <row r="783">
      <c r="A783" s="3" t="inlineStr">
        <is>
          <t>Bull|CoreWeave Marble NC|2029</t>
        </is>
      </c>
      <c r="B783" s="3" t="inlineStr">
        <is>
          <t>Bull</t>
        </is>
      </c>
      <c r="C783" s="3" t="inlineStr">
        <is>
          <t>CoreWeave Marble NC</t>
        </is>
      </c>
      <c r="D783" s="3" t="n">
        <v>2029</v>
      </c>
      <c r="E783" s="3" t="inlineStr">
        <is>
          <t>CoreWeave</t>
        </is>
      </c>
      <c r="F783" s="17" t="n">
        <v>0</v>
      </c>
      <c r="G783" s="17" t="n">
        <v>1</v>
      </c>
      <c r="H783" s="17" t="n">
        <v>0</v>
      </c>
      <c r="I783" s="17" t="n">
        <v>0</v>
      </c>
      <c r="J783" s="17" t="n">
        <v>0</v>
      </c>
      <c r="K783" s="17" t="n">
        <v>0</v>
      </c>
      <c r="L783" s="17" t="n">
        <v>0</v>
      </c>
      <c r="M783" s="17" t="n">
        <v>0</v>
      </c>
      <c r="N783" s="17" t="n">
        <v>0</v>
      </c>
      <c r="O783" s="26" t="n">
        <v>1</v>
      </c>
      <c r="P783" s="3" t="inlineStr">
        <is>
          <t>epoch_chip_quantity_latest</t>
        </is>
      </c>
      <c r="Q783" s="3" t="inlineStr">
        <is>
          <t>SRC_EPOCH_AI_DATA_CENTERS; EPOCH_RAW_CHIP_QUANTITIES</t>
        </is>
      </c>
      <c r="R783" s="3" t="inlineStr">
        <is>
          <t>Latest chip quantity per chip type through year-end; normalized by unit count into benchmark buckets.</t>
        </is>
      </c>
    </row>
    <row r="784">
      <c r="A784" s="3" t="inlineStr">
        <is>
          <t>Bull|CoreWeave Marble NC|2030</t>
        </is>
      </c>
      <c r="B784" s="3" t="inlineStr">
        <is>
          <t>Bull</t>
        </is>
      </c>
      <c r="C784" s="3" t="inlineStr">
        <is>
          <t>CoreWeave Marble NC</t>
        </is>
      </c>
      <c r="D784" s="3" t="n">
        <v>2030</v>
      </c>
      <c r="E784" s="3" t="inlineStr">
        <is>
          <t>CoreWeave</t>
        </is>
      </c>
      <c r="F784" s="17" t="n">
        <v>0</v>
      </c>
      <c r="G784" s="17" t="n">
        <v>1</v>
      </c>
      <c r="H784" s="17" t="n">
        <v>0</v>
      </c>
      <c r="I784" s="17" t="n">
        <v>0</v>
      </c>
      <c r="J784" s="17" t="n">
        <v>0</v>
      </c>
      <c r="K784" s="17" t="n">
        <v>0</v>
      </c>
      <c r="L784" s="17" t="n">
        <v>0</v>
      </c>
      <c r="M784" s="17" t="n">
        <v>0</v>
      </c>
      <c r="N784" s="17" t="n">
        <v>0</v>
      </c>
      <c r="O784" s="26" t="n">
        <v>1</v>
      </c>
      <c r="P784" s="3" t="inlineStr">
        <is>
          <t>epoch_chip_quantity_latest</t>
        </is>
      </c>
      <c r="Q784" s="3" t="inlineStr">
        <is>
          <t>SRC_EPOCH_AI_DATA_CENTERS; EPOCH_RAW_CHIP_QUANTITIES</t>
        </is>
      </c>
      <c r="R784" s="3" t="inlineStr">
        <is>
          <t>Latest chip quantity per chip type through year-end; normalized by unit count into benchmark buckets.</t>
        </is>
      </c>
    </row>
    <row r="785">
      <c r="A785" s="3" t="inlineStr">
        <is>
          <t>Grid-Constrained / Efficiency-Upside|CoreWeave Marble NC|2026</t>
        </is>
      </c>
      <c r="B785" s="3" t="inlineStr">
        <is>
          <t>Grid-Constrained / Efficiency-Upside</t>
        </is>
      </c>
      <c r="C785" s="3" t="inlineStr">
        <is>
          <t>CoreWeave Marble NC</t>
        </is>
      </c>
      <c r="D785" s="3" t="n">
        <v>2026</v>
      </c>
      <c r="E785" s="3" t="inlineStr">
        <is>
          <t>CoreWeave</t>
        </is>
      </c>
      <c r="F785" s="17" t="n">
        <v>0</v>
      </c>
      <c r="G785" s="17" t="n">
        <v>1</v>
      </c>
      <c r="H785" s="17" t="n">
        <v>0</v>
      </c>
      <c r="I785" s="17" t="n">
        <v>0</v>
      </c>
      <c r="J785" s="17" t="n">
        <v>0</v>
      </c>
      <c r="K785" s="17" t="n">
        <v>0</v>
      </c>
      <c r="L785" s="17" t="n">
        <v>0</v>
      </c>
      <c r="M785" s="17" t="n">
        <v>0</v>
      </c>
      <c r="N785" s="17" t="n">
        <v>0</v>
      </c>
      <c r="O785" s="26" t="n">
        <v>1</v>
      </c>
      <c r="P785" s="3" t="inlineStr">
        <is>
          <t>epoch_chip_quantity_latest</t>
        </is>
      </c>
      <c r="Q785" s="3" t="inlineStr">
        <is>
          <t>SRC_EPOCH_AI_DATA_CENTERS; EPOCH_RAW_CHIP_QUANTITIES</t>
        </is>
      </c>
      <c r="R785" s="3" t="inlineStr">
        <is>
          <t>Latest chip quantity per chip type through year-end; normalized by unit count into benchmark buckets.</t>
        </is>
      </c>
    </row>
    <row r="786">
      <c r="A786" s="3" t="inlineStr">
        <is>
          <t>Grid-Constrained / Efficiency-Upside|CoreWeave Marble NC|2027</t>
        </is>
      </c>
      <c r="B786" s="3" t="inlineStr">
        <is>
          <t>Grid-Constrained / Efficiency-Upside</t>
        </is>
      </c>
      <c r="C786" s="3" t="inlineStr">
        <is>
          <t>CoreWeave Marble NC</t>
        </is>
      </c>
      <c r="D786" s="3" t="n">
        <v>2027</v>
      </c>
      <c r="E786" s="3" t="inlineStr">
        <is>
          <t>CoreWeave</t>
        </is>
      </c>
      <c r="F786" s="17" t="n">
        <v>0</v>
      </c>
      <c r="G786" s="17" t="n">
        <v>1</v>
      </c>
      <c r="H786" s="17" t="n">
        <v>0</v>
      </c>
      <c r="I786" s="17" t="n">
        <v>0</v>
      </c>
      <c r="J786" s="17" t="n">
        <v>0</v>
      </c>
      <c r="K786" s="17" t="n">
        <v>0</v>
      </c>
      <c r="L786" s="17" t="n">
        <v>0</v>
      </c>
      <c r="M786" s="17" t="n">
        <v>0</v>
      </c>
      <c r="N786" s="17" t="n">
        <v>0</v>
      </c>
      <c r="O786" s="26" t="n">
        <v>1</v>
      </c>
      <c r="P786" s="3" t="inlineStr">
        <is>
          <t>epoch_chip_quantity_latest</t>
        </is>
      </c>
      <c r="Q786" s="3" t="inlineStr">
        <is>
          <t>SRC_EPOCH_AI_DATA_CENTERS; EPOCH_RAW_CHIP_QUANTITIES</t>
        </is>
      </c>
      <c r="R786" s="3" t="inlineStr">
        <is>
          <t>Latest chip quantity per chip type through year-end; normalized by unit count into benchmark buckets.</t>
        </is>
      </c>
    </row>
    <row r="787">
      <c r="A787" s="3" t="inlineStr">
        <is>
          <t>Grid-Constrained / Efficiency-Upside|CoreWeave Marble NC|2028</t>
        </is>
      </c>
      <c r="B787" s="3" t="inlineStr">
        <is>
          <t>Grid-Constrained / Efficiency-Upside</t>
        </is>
      </c>
      <c r="C787" s="3" t="inlineStr">
        <is>
          <t>CoreWeave Marble NC</t>
        </is>
      </c>
      <c r="D787" s="3" t="n">
        <v>2028</v>
      </c>
      <c r="E787" s="3" t="inlineStr">
        <is>
          <t>CoreWeave</t>
        </is>
      </c>
      <c r="F787" s="17" t="n">
        <v>0</v>
      </c>
      <c r="G787" s="17" t="n">
        <v>1</v>
      </c>
      <c r="H787" s="17" t="n">
        <v>0</v>
      </c>
      <c r="I787" s="17" t="n">
        <v>0</v>
      </c>
      <c r="J787" s="17" t="n">
        <v>0</v>
      </c>
      <c r="K787" s="17" t="n">
        <v>0</v>
      </c>
      <c r="L787" s="17" t="n">
        <v>0</v>
      </c>
      <c r="M787" s="17" t="n">
        <v>0</v>
      </c>
      <c r="N787" s="17" t="n">
        <v>0</v>
      </c>
      <c r="O787" s="26" t="n">
        <v>1</v>
      </c>
      <c r="P787" s="3" t="inlineStr">
        <is>
          <t>epoch_chip_quantity_latest</t>
        </is>
      </c>
      <c r="Q787" s="3" t="inlineStr">
        <is>
          <t>SRC_EPOCH_AI_DATA_CENTERS; EPOCH_RAW_CHIP_QUANTITIES</t>
        </is>
      </c>
      <c r="R787" s="3" t="inlineStr">
        <is>
          <t>Latest chip quantity per chip type through year-end; normalized by unit count into benchmark buckets.</t>
        </is>
      </c>
    </row>
    <row r="788">
      <c r="A788" s="3" t="inlineStr">
        <is>
          <t>Grid-Constrained / Efficiency-Upside|CoreWeave Marble NC|2029</t>
        </is>
      </c>
      <c r="B788" s="3" t="inlineStr">
        <is>
          <t>Grid-Constrained / Efficiency-Upside</t>
        </is>
      </c>
      <c r="C788" s="3" t="inlineStr">
        <is>
          <t>CoreWeave Marble NC</t>
        </is>
      </c>
      <c r="D788" s="3" t="n">
        <v>2029</v>
      </c>
      <c r="E788" s="3" t="inlineStr">
        <is>
          <t>CoreWeave</t>
        </is>
      </c>
      <c r="F788" s="17" t="n">
        <v>0</v>
      </c>
      <c r="G788" s="17" t="n">
        <v>1</v>
      </c>
      <c r="H788" s="17" t="n">
        <v>0</v>
      </c>
      <c r="I788" s="17" t="n">
        <v>0</v>
      </c>
      <c r="J788" s="17" t="n">
        <v>0</v>
      </c>
      <c r="K788" s="17" t="n">
        <v>0</v>
      </c>
      <c r="L788" s="17" t="n">
        <v>0</v>
      </c>
      <c r="M788" s="17" t="n">
        <v>0</v>
      </c>
      <c r="N788" s="17" t="n">
        <v>0</v>
      </c>
      <c r="O788" s="26" t="n">
        <v>1</v>
      </c>
      <c r="P788" s="3" t="inlineStr">
        <is>
          <t>epoch_chip_quantity_latest</t>
        </is>
      </c>
      <c r="Q788" s="3" t="inlineStr">
        <is>
          <t>SRC_EPOCH_AI_DATA_CENTERS; EPOCH_RAW_CHIP_QUANTITIES</t>
        </is>
      </c>
      <c r="R788" s="3" t="inlineStr">
        <is>
          <t>Latest chip quantity per chip type through year-end; normalized by unit count into benchmark buckets.</t>
        </is>
      </c>
    </row>
    <row r="789">
      <c r="A789" s="3" t="inlineStr">
        <is>
          <t>Grid-Constrained / Efficiency-Upside|CoreWeave Marble NC|2030</t>
        </is>
      </c>
      <c r="B789" s="3" t="inlineStr">
        <is>
          <t>Grid-Constrained / Efficiency-Upside</t>
        </is>
      </c>
      <c r="C789" s="3" t="inlineStr">
        <is>
          <t>CoreWeave Marble NC</t>
        </is>
      </c>
      <c r="D789" s="3" t="n">
        <v>2030</v>
      </c>
      <c r="E789" s="3" t="inlineStr">
        <is>
          <t>CoreWeave</t>
        </is>
      </c>
      <c r="F789" s="17" t="n">
        <v>0</v>
      </c>
      <c r="G789" s="17" t="n">
        <v>1</v>
      </c>
      <c r="H789" s="17" t="n">
        <v>0</v>
      </c>
      <c r="I789" s="17" t="n">
        <v>0</v>
      </c>
      <c r="J789" s="17" t="n">
        <v>0</v>
      </c>
      <c r="K789" s="17" t="n">
        <v>0</v>
      </c>
      <c r="L789" s="17" t="n">
        <v>0</v>
      </c>
      <c r="M789" s="17" t="n">
        <v>0</v>
      </c>
      <c r="N789" s="17" t="n">
        <v>0</v>
      </c>
      <c r="O789" s="26" t="n">
        <v>1</v>
      </c>
      <c r="P789" s="3" t="inlineStr">
        <is>
          <t>epoch_chip_quantity_latest</t>
        </is>
      </c>
      <c r="Q789" s="3" t="inlineStr">
        <is>
          <t>SRC_EPOCH_AI_DATA_CENTERS; EPOCH_RAW_CHIP_QUANTITIES</t>
        </is>
      </c>
      <c r="R789" s="3" t="inlineStr">
        <is>
          <t>Latest chip quantity per chip type through year-end; normalized by unit count into benchmark buckets.</t>
        </is>
      </c>
    </row>
    <row r="790">
      <c r="A790" s="3" t="inlineStr">
        <is>
          <t>Bear|CoreWeave Muskogee OK|2027</t>
        </is>
      </c>
      <c r="B790" s="3" t="inlineStr">
        <is>
          <t>Bear</t>
        </is>
      </c>
      <c r="C790" s="3" t="inlineStr">
        <is>
          <t>CoreWeave Muskogee OK</t>
        </is>
      </c>
      <c r="D790" s="3" t="n">
        <v>2027</v>
      </c>
      <c r="E790" s="3" t="inlineStr">
        <is>
          <t>CoreWeave</t>
        </is>
      </c>
      <c r="F790" s="17" t="n">
        <v>0</v>
      </c>
      <c r="G790" s="17" t="n">
        <v>1</v>
      </c>
      <c r="H790" s="17" t="n">
        <v>0</v>
      </c>
      <c r="I790" s="17" t="n">
        <v>0</v>
      </c>
      <c r="J790" s="17" t="n">
        <v>0</v>
      </c>
      <c r="K790" s="17" t="n">
        <v>0</v>
      </c>
      <c r="L790" s="17" t="n">
        <v>0</v>
      </c>
      <c r="M790" s="17" t="n">
        <v>0</v>
      </c>
      <c r="N790" s="17" t="n">
        <v>0</v>
      </c>
      <c r="O790" s="26" t="n">
        <v>1</v>
      </c>
      <c r="P790" s="3" t="inlineStr">
        <is>
          <t>epoch_chip_quantity_latest</t>
        </is>
      </c>
      <c r="Q790" s="3" t="inlineStr">
        <is>
          <t>SRC_EPOCH_AI_DATA_CENTERS; EPOCH_RAW_CHIP_QUANTITIES</t>
        </is>
      </c>
      <c r="R790" s="3" t="inlineStr">
        <is>
          <t>Latest chip quantity per chip type through year-end; normalized by unit count into benchmark buckets.</t>
        </is>
      </c>
    </row>
    <row r="791">
      <c r="A791" s="3" t="inlineStr">
        <is>
          <t>Bear|CoreWeave Muskogee OK|2028</t>
        </is>
      </c>
      <c r="B791" s="3" t="inlineStr">
        <is>
          <t>Bear</t>
        </is>
      </c>
      <c r="C791" s="3" t="inlineStr">
        <is>
          <t>CoreWeave Muskogee OK</t>
        </is>
      </c>
      <c r="D791" s="3" t="n">
        <v>2028</v>
      </c>
      <c r="E791" s="3" t="inlineStr">
        <is>
          <t>CoreWeave</t>
        </is>
      </c>
      <c r="F791" s="17" t="n">
        <v>0</v>
      </c>
      <c r="G791" s="17" t="n">
        <v>1</v>
      </c>
      <c r="H791" s="17" t="n">
        <v>0</v>
      </c>
      <c r="I791" s="17" t="n">
        <v>0</v>
      </c>
      <c r="J791" s="17" t="n">
        <v>0</v>
      </c>
      <c r="K791" s="17" t="n">
        <v>0</v>
      </c>
      <c r="L791" s="17" t="n">
        <v>0</v>
      </c>
      <c r="M791" s="17" t="n">
        <v>0</v>
      </c>
      <c r="N791" s="17" t="n">
        <v>0</v>
      </c>
      <c r="O791" s="26" t="n">
        <v>1</v>
      </c>
      <c r="P791" s="3" t="inlineStr">
        <is>
          <t>epoch_chip_quantity_latest</t>
        </is>
      </c>
      <c r="Q791" s="3" t="inlineStr">
        <is>
          <t>SRC_EPOCH_AI_DATA_CENTERS; EPOCH_RAW_CHIP_QUANTITIES</t>
        </is>
      </c>
      <c r="R791" s="3" t="inlineStr">
        <is>
          <t>Latest chip quantity per chip type through year-end; normalized by unit count into benchmark buckets.</t>
        </is>
      </c>
    </row>
    <row r="792">
      <c r="A792" s="3" t="inlineStr">
        <is>
          <t>Bear|CoreWeave Muskogee OK|2029</t>
        </is>
      </c>
      <c r="B792" s="3" t="inlineStr">
        <is>
          <t>Bear</t>
        </is>
      </c>
      <c r="C792" s="3" t="inlineStr">
        <is>
          <t>CoreWeave Muskogee OK</t>
        </is>
      </c>
      <c r="D792" s="3" t="n">
        <v>2029</v>
      </c>
      <c r="E792" s="3" t="inlineStr">
        <is>
          <t>CoreWeave</t>
        </is>
      </c>
      <c r="F792" s="17" t="n">
        <v>0</v>
      </c>
      <c r="G792" s="17" t="n">
        <v>1</v>
      </c>
      <c r="H792" s="17" t="n">
        <v>0</v>
      </c>
      <c r="I792" s="17" t="n">
        <v>0</v>
      </c>
      <c r="J792" s="17" t="n">
        <v>0</v>
      </c>
      <c r="K792" s="17" t="n">
        <v>0</v>
      </c>
      <c r="L792" s="17" t="n">
        <v>0</v>
      </c>
      <c r="M792" s="17" t="n">
        <v>0</v>
      </c>
      <c r="N792" s="17" t="n">
        <v>0</v>
      </c>
      <c r="O792" s="26" t="n">
        <v>1</v>
      </c>
      <c r="P792" s="3" t="inlineStr">
        <is>
          <t>epoch_chip_quantity_latest</t>
        </is>
      </c>
      <c r="Q792" s="3" t="inlineStr">
        <is>
          <t>SRC_EPOCH_AI_DATA_CENTERS; EPOCH_RAW_CHIP_QUANTITIES</t>
        </is>
      </c>
      <c r="R792" s="3" t="inlineStr">
        <is>
          <t>Latest chip quantity per chip type through year-end; normalized by unit count into benchmark buckets.</t>
        </is>
      </c>
    </row>
    <row r="793">
      <c r="A793" s="3" t="inlineStr">
        <is>
          <t>Bear|CoreWeave Muskogee OK|2030</t>
        </is>
      </c>
      <c r="B793" s="3" t="inlineStr">
        <is>
          <t>Bear</t>
        </is>
      </c>
      <c r="C793" s="3" t="inlineStr">
        <is>
          <t>CoreWeave Muskogee OK</t>
        </is>
      </c>
      <c r="D793" s="3" t="n">
        <v>2030</v>
      </c>
      <c r="E793" s="3" t="inlineStr">
        <is>
          <t>CoreWeave</t>
        </is>
      </c>
      <c r="F793" s="17" t="n">
        <v>0</v>
      </c>
      <c r="G793" s="17" t="n">
        <v>1</v>
      </c>
      <c r="H793" s="17" t="n">
        <v>0</v>
      </c>
      <c r="I793" s="17" t="n">
        <v>0</v>
      </c>
      <c r="J793" s="17" t="n">
        <v>0</v>
      </c>
      <c r="K793" s="17" t="n">
        <v>0</v>
      </c>
      <c r="L793" s="17" t="n">
        <v>0</v>
      </c>
      <c r="M793" s="17" t="n">
        <v>0</v>
      </c>
      <c r="N793" s="17" t="n">
        <v>0</v>
      </c>
      <c r="O793" s="26" t="n">
        <v>1</v>
      </c>
      <c r="P793" s="3" t="inlineStr">
        <is>
          <t>epoch_chip_quantity_latest</t>
        </is>
      </c>
      <c r="Q793" s="3" t="inlineStr">
        <is>
          <t>SRC_EPOCH_AI_DATA_CENTERS; EPOCH_RAW_CHIP_QUANTITIES</t>
        </is>
      </c>
      <c r="R793" s="3" t="inlineStr">
        <is>
          <t>Latest chip quantity per chip type through year-end; normalized by unit count into benchmark buckets.</t>
        </is>
      </c>
    </row>
    <row r="794">
      <c r="A794" s="3" t="inlineStr">
        <is>
          <t>Base|CoreWeave Muskogee OK|2027</t>
        </is>
      </c>
      <c r="B794" s="3" t="inlineStr">
        <is>
          <t>Base</t>
        </is>
      </c>
      <c r="C794" s="3" t="inlineStr">
        <is>
          <t>CoreWeave Muskogee OK</t>
        </is>
      </c>
      <c r="D794" s="3" t="n">
        <v>2027</v>
      </c>
      <c r="E794" s="3" t="inlineStr">
        <is>
          <t>CoreWeave</t>
        </is>
      </c>
      <c r="F794" s="17" t="n">
        <v>0</v>
      </c>
      <c r="G794" s="17" t="n">
        <v>1</v>
      </c>
      <c r="H794" s="17" t="n">
        <v>0</v>
      </c>
      <c r="I794" s="17" t="n">
        <v>0</v>
      </c>
      <c r="J794" s="17" t="n">
        <v>0</v>
      </c>
      <c r="K794" s="17" t="n">
        <v>0</v>
      </c>
      <c r="L794" s="17" t="n">
        <v>0</v>
      </c>
      <c r="M794" s="17" t="n">
        <v>0</v>
      </c>
      <c r="N794" s="17" t="n">
        <v>0</v>
      </c>
      <c r="O794" s="26" t="n">
        <v>1</v>
      </c>
      <c r="P794" s="3" t="inlineStr">
        <is>
          <t>epoch_chip_quantity_latest</t>
        </is>
      </c>
      <c r="Q794" s="3" t="inlineStr">
        <is>
          <t>SRC_EPOCH_AI_DATA_CENTERS; EPOCH_RAW_CHIP_QUANTITIES</t>
        </is>
      </c>
      <c r="R794" s="3" t="inlineStr">
        <is>
          <t>Latest chip quantity per chip type through year-end; normalized by unit count into benchmark buckets.</t>
        </is>
      </c>
    </row>
    <row r="795">
      <c r="A795" s="3" t="inlineStr">
        <is>
          <t>Base|CoreWeave Muskogee OK|2028</t>
        </is>
      </c>
      <c r="B795" s="3" t="inlineStr">
        <is>
          <t>Base</t>
        </is>
      </c>
      <c r="C795" s="3" t="inlineStr">
        <is>
          <t>CoreWeave Muskogee OK</t>
        </is>
      </c>
      <c r="D795" s="3" t="n">
        <v>2028</v>
      </c>
      <c r="E795" s="3" t="inlineStr">
        <is>
          <t>CoreWeave</t>
        </is>
      </c>
      <c r="F795" s="17" t="n">
        <v>0</v>
      </c>
      <c r="G795" s="17" t="n">
        <v>1</v>
      </c>
      <c r="H795" s="17" t="n">
        <v>0</v>
      </c>
      <c r="I795" s="17" t="n">
        <v>0</v>
      </c>
      <c r="J795" s="17" t="n">
        <v>0</v>
      </c>
      <c r="K795" s="17" t="n">
        <v>0</v>
      </c>
      <c r="L795" s="17" t="n">
        <v>0</v>
      </c>
      <c r="M795" s="17" t="n">
        <v>0</v>
      </c>
      <c r="N795" s="17" t="n">
        <v>0</v>
      </c>
      <c r="O795" s="26" t="n">
        <v>1</v>
      </c>
      <c r="P795" s="3" t="inlineStr">
        <is>
          <t>epoch_chip_quantity_latest</t>
        </is>
      </c>
      <c r="Q795" s="3" t="inlineStr">
        <is>
          <t>SRC_EPOCH_AI_DATA_CENTERS; EPOCH_RAW_CHIP_QUANTITIES</t>
        </is>
      </c>
      <c r="R795" s="3" t="inlineStr">
        <is>
          <t>Latest chip quantity per chip type through year-end; normalized by unit count into benchmark buckets.</t>
        </is>
      </c>
    </row>
    <row r="796">
      <c r="A796" s="3" t="inlineStr">
        <is>
          <t>Base|CoreWeave Muskogee OK|2029</t>
        </is>
      </c>
      <c r="B796" s="3" t="inlineStr">
        <is>
          <t>Base</t>
        </is>
      </c>
      <c r="C796" s="3" t="inlineStr">
        <is>
          <t>CoreWeave Muskogee OK</t>
        </is>
      </c>
      <c r="D796" s="3" t="n">
        <v>2029</v>
      </c>
      <c r="E796" s="3" t="inlineStr">
        <is>
          <t>CoreWeave</t>
        </is>
      </c>
      <c r="F796" s="17" t="n">
        <v>0</v>
      </c>
      <c r="G796" s="17" t="n">
        <v>1</v>
      </c>
      <c r="H796" s="17" t="n">
        <v>0</v>
      </c>
      <c r="I796" s="17" t="n">
        <v>0</v>
      </c>
      <c r="J796" s="17" t="n">
        <v>0</v>
      </c>
      <c r="K796" s="17" t="n">
        <v>0</v>
      </c>
      <c r="L796" s="17" t="n">
        <v>0</v>
      </c>
      <c r="M796" s="17" t="n">
        <v>0</v>
      </c>
      <c r="N796" s="17" t="n">
        <v>0</v>
      </c>
      <c r="O796" s="26" t="n">
        <v>1</v>
      </c>
      <c r="P796" s="3" t="inlineStr">
        <is>
          <t>epoch_chip_quantity_latest</t>
        </is>
      </c>
      <c r="Q796" s="3" t="inlineStr">
        <is>
          <t>SRC_EPOCH_AI_DATA_CENTERS; EPOCH_RAW_CHIP_QUANTITIES</t>
        </is>
      </c>
      <c r="R796" s="3" t="inlineStr">
        <is>
          <t>Latest chip quantity per chip type through year-end; normalized by unit count into benchmark buckets.</t>
        </is>
      </c>
    </row>
    <row r="797">
      <c r="A797" s="3" t="inlineStr">
        <is>
          <t>Base|CoreWeave Muskogee OK|2030</t>
        </is>
      </c>
      <c r="B797" s="3" t="inlineStr">
        <is>
          <t>Base</t>
        </is>
      </c>
      <c r="C797" s="3" t="inlineStr">
        <is>
          <t>CoreWeave Muskogee OK</t>
        </is>
      </c>
      <c r="D797" s="3" t="n">
        <v>2030</v>
      </c>
      <c r="E797" s="3" t="inlineStr">
        <is>
          <t>CoreWeave</t>
        </is>
      </c>
      <c r="F797" s="17" t="n">
        <v>0</v>
      </c>
      <c r="G797" s="17" t="n">
        <v>1</v>
      </c>
      <c r="H797" s="17" t="n">
        <v>0</v>
      </c>
      <c r="I797" s="17" t="n">
        <v>0</v>
      </c>
      <c r="J797" s="17" t="n">
        <v>0</v>
      </c>
      <c r="K797" s="17" t="n">
        <v>0</v>
      </c>
      <c r="L797" s="17" t="n">
        <v>0</v>
      </c>
      <c r="M797" s="17" t="n">
        <v>0</v>
      </c>
      <c r="N797" s="17" t="n">
        <v>0</v>
      </c>
      <c r="O797" s="26" t="n">
        <v>1</v>
      </c>
      <c r="P797" s="3" t="inlineStr">
        <is>
          <t>epoch_chip_quantity_latest</t>
        </is>
      </c>
      <c r="Q797" s="3" t="inlineStr">
        <is>
          <t>SRC_EPOCH_AI_DATA_CENTERS; EPOCH_RAW_CHIP_QUANTITIES</t>
        </is>
      </c>
      <c r="R797" s="3" t="inlineStr">
        <is>
          <t>Latest chip quantity per chip type through year-end; normalized by unit count into benchmark buckets.</t>
        </is>
      </c>
    </row>
    <row r="798">
      <c r="A798" s="3" t="inlineStr">
        <is>
          <t>Bull|CoreWeave Muskogee OK|2027</t>
        </is>
      </c>
      <c r="B798" s="3" t="inlineStr">
        <is>
          <t>Bull</t>
        </is>
      </c>
      <c r="C798" s="3" t="inlineStr">
        <is>
          <t>CoreWeave Muskogee OK</t>
        </is>
      </c>
      <c r="D798" s="3" t="n">
        <v>2027</v>
      </c>
      <c r="E798" s="3" t="inlineStr">
        <is>
          <t>CoreWeave</t>
        </is>
      </c>
      <c r="F798" s="17" t="n">
        <v>0</v>
      </c>
      <c r="G798" s="17" t="n">
        <v>1</v>
      </c>
      <c r="H798" s="17" t="n">
        <v>0</v>
      </c>
      <c r="I798" s="17" t="n">
        <v>0</v>
      </c>
      <c r="J798" s="17" t="n">
        <v>0</v>
      </c>
      <c r="K798" s="17" t="n">
        <v>0</v>
      </c>
      <c r="L798" s="17" t="n">
        <v>0</v>
      </c>
      <c r="M798" s="17" t="n">
        <v>0</v>
      </c>
      <c r="N798" s="17" t="n">
        <v>0</v>
      </c>
      <c r="O798" s="26" t="n">
        <v>1</v>
      </c>
      <c r="P798" s="3" t="inlineStr">
        <is>
          <t>epoch_chip_quantity_latest</t>
        </is>
      </c>
      <c r="Q798" s="3" t="inlineStr">
        <is>
          <t>SRC_EPOCH_AI_DATA_CENTERS; EPOCH_RAW_CHIP_QUANTITIES</t>
        </is>
      </c>
      <c r="R798" s="3" t="inlineStr">
        <is>
          <t>Latest chip quantity per chip type through year-end; normalized by unit count into benchmark buckets.</t>
        </is>
      </c>
    </row>
    <row r="799">
      <c r="A799" s="3" t="inlineStr">
        <is>
          <t>Bull|CoreWeave Muskogee OK|2028</t>
        </is>
      </c>
      <c r="B799" s="3" t="inlineStr">
        <is>
          <t>Bull</t>
        </is>
      </c>
      <c r="C799" s="3" t="inlineStr">
        <is>
          <t>CoreWeave Muskogee OK</t>
        </is>
      </c>
      <c r="D799" s="3" t="n">
        <v>2028</v>
      </c>
      <c r="E799" s="3" t="inlineStr">
        <is>
          <t>CoreWeave</t>
        </is>
      </c>
      <c r="F799" s="17" t="n">
        <v>0</v>
      </c>
      <c r="G799" s="17" t="n">
        <v>1</v>
      </c>
      <c r="H799" s="17" t="n">
        <v>0</v>
      </c>
      <c r="I799" s="17" t="n">
        <v>0</v>
      </c>
      <c r="J799" s="17" t="n">
        <v>0</v>
      </c>
      <c r="K799" s="17" t="n">
        <v>0</v>
      </c>
      <c r="L799" s="17" t="n">
        <v>0</v>
      </c>
      <c r="M799" s="17" t="n">
        <v>0</v>
      </c>
      <c r="N799" s="17" t="n">
        <v>0</v>
      </c>
      <c r="O799" s="26" t="n">
        <v>1</v>
      </c>
      <c r="P799" s="3" t="inlineStr">
        <is>
          <t>epoch_chip_quantity_latest</t>
        </is>
      </c>
      <c r="Q799" s="3" t="inlineStr">
        <is>
          <t>SRC_EPOCH_AI_DATA_CENTERS; EPOCH_RAW_CHIP_QUANTITIES</t>
        </is>
      </c>
      <c r="R799" s="3" t="inlineStr">
        <is>
          <t>Latest chip quantity per chip type through year-end; normalized by unit count into benchmark buckets.</t>
        </is>
      </c>
    </row>
    <row r="800">
      <c r="A800" s="3" t="inlineStr">
        <is>
          <t>Bull|CoreWeave Muskogee OK|2029</t>
        </is>
      </c>
      <c r="B800" s="3" t="inlineStr">
        <is>
          <t>Bull</t>
        </is>
      </c>
      <c r="C800" s="3" t="inlineStr">
        <is>
          <t>CoreWeave Muskogee OK</t>
        </is>
      </c>
      <c r="D800" s="3" t="n">
        <v>2029</v>
      </c>
      <c r="E800" s="3" t="inlineStr">
        <is>
          <t>CoreWeave</t>
        </is>
      </c>
      <c r="F800" s="17" t="n">
        <v>0</v>
      </c>
      <c r="G800" s="17" t="n">
        <v>1</v>
      </c>
      <c r="H800" s="17" t="n">
        <v>0</v>
      </c>
      <c r="I800" s="17" t="n">
        <v>0</v>
      </c>
      <c r="J800" s="17" t="n">
        <v>0</v>
      </c>
      <c r="K800" s="17" t="n">
        <v>0</v>
      </c>
      <c r="L800" s="17" t="n">
        <v>0</v>
      </c>
      <c r="M800" s="17" t="n">
        <v>0</v>
      </c>
      <c r="N800" s="17" t="n">
        <v>0</v>
      </c>
      <c r="O800" s="26" t="n">
        <v>1</v>
      </c>
      <c r="P800" s="3" t="inlineStr">
        <is>
          <t>epoch_chip_quantity_latest</t>
        </is>
      </c>
      <c r="Q800" s="3" t="inlineStr">
        <is>
          <t>SRC_EPOCH_AI_DATA_CENTERS; EPOCH_RAW_CHIP_QUANTITIES</t>
        </is>
      </c>
      <c r="R800" s="3" t="inlineStr">
        <is>
          <t>Latest chip quantity per chip type through year-end; normalized by unit count into benchmark buckets.</t>
        </is>
      </c>
    </row>
    <row r="801">
      <c r="A801" s="3" t="inlineStr">
        <is>
          <t>Bull|CoreWeave Muskogee OK|2030</t>
        </is>
      </c>
      <c r="B801" s="3" t="inlineStr">
        <is>
          <t>Bull</t>
        </is>
      </c>
      <c r="C801" s="3" t="inlineStr">
        <is>
          <t>CoreWeave Muskogee OK</t>
        </is>
      </c>
      <c r="D801" s="3" t="n">
        <v>2030</v>
      </c>
      <c r="E801" s="3" t="inlineStr">
        <is>
          <t>CoreWeave</t>
        </is>
      </c>
      <c r="F801" s="17" t="n">
        <v>0</v>
      </c>
      <c r="G801" s="17" t="n">
        <v>1</v>
      </c>
      <c r="H801" s="17" t="n">
        <v>0</v>
      </c>
      <c r="I801" s="17" t="n">
        <v>0</v>
      </c>
      <c r="J801" s="17" t="n">
        <v>0</v>
      </c>
      <c r="K801" s="17" t="n">
        <v>0</v>
      </c>
      <c r="L801" s="17" t="n">
        <v>0</v>
      </c>
      <c r="M801" s="17" t="n">
        <v>0</v>
      </c>
      <c r="N801" s="17" t="n">
        <v>0</v>
      </c>
      <c r="O801" s="26" t="n">
        <v>1</v>
      </c>
      <c r="P801" s="3" t="inlineStr">
        <is>
          <t>epoch_chip_quantity_latest</t>
        </is>
      </c>
      <c r="Q801" s="3" t="inlineStr">
        <is>
          <t>SRC_EPOCH_AI_DATA_CENTERS; EPOCH_RAW_CHIP_QUANTITIES</t>
        </is>
      </c>
      <c r="R801" s="3" t="inlineStr">
        <is>
          <t>Latest chip quantity per chip type through year-end; normalized by unit count into benchmark buckets.</t>
        </is>
      </c>
    </row>
    <row r="802">
      <c r="A802" s="3" t="inlineStr">
        <is>
          <t>Grid-Constrained / Efficiency-Upside|CoreWeave Muskogee OK|2027</t>
        </is>
      </c>
      <c r="B802" s="3" t="inlineStr">
        <is>
          <t>Grid-Constrained / Efficiency-Upside</t>
        </is>
      </c>
      <c r="C802" s="3" t="inlineStr">
        <is>
          <t>CoreWeave Muskogee OK</t>
        </is>
      </c>
      <c r="D802" s="3" t="n">
        <v>2027</v>
      </c>
      <c r="E802" s="3" t="inlineStr">
        <is>
          <t>CoreWeave</t>
        </is>
      </c>
      <c r="F802" s="17" t="n">
        <v>0</v>
      </c>
      <c r="G802" s="17" t="n">
        <v>1</v>
      </c>
      <c r="H802" s="17" t="n">
        <v>0</v>
      </c>
      <c r="I802" s="17" t="n">
        <v>0</v>
      </c>
      <c r="J802" s="17" t="n">
        <v>0</v>
      </c>
      <c r="K802" s="17" t="n">
        <v>0</v>
      </c>
      <c r="L802" s="17" t="n">
        <v>0</v>
      </c>
      <c r="M802" s="17" t="n">
        <v>0</v>
      </c>
      <c r="N802" s="17" t="n">
        <v>0</v>
      </c>
      <c r="O802" s="26" t="n">
        <v>1</v>
      </c>
      <c r="P802" s="3" t="inlineStr">
        <is>
          <t>epoch_chip_quantity_latest</t>
        </is>
      </c>
      <c r="Q802" s="3" t="inlineStr">
        <is>
          <t>SRC_EPOCH_AI_DATA_CENTERS; EPOCH_RAW_CHIP_QUANTITIES</t>
        </is>
      </c>
      <c r="R802" s="3" t="inlineStr">
        <is>
          <t>Latest chip quantity per chip type through year-end; normalized by unit count into benchmark buckets.</t>
        </is>
      </c>
    </row>
    <row r="803">
      <c r="A803" s="3" t="inlineStr">
        <is>
          <t>Grid-Constrained / Efficiency-Upside|CoreWeave Muskogee OK|2028</t>
        </is>
      </c>
      <c r="B803" s="3" t="inlineStr">
        <is>
          <t>Grid-Constrained / Efficiency-Upside</t>
        </is>
      </c>
      <c r="C803" s="3" t="inlineStr">
        <is>
          <t>CoreWeave Muskogee OK</t>
        </is>
      </c>
      <c r="D803" s="3" t="n">
        <v>2028</v>
      </c>
      <c r="E803" s="3" t="inlineStr">
        <is>
          <t>CoreWeave</t>
        </is>
      </c>
      <c r="F803" s="17" t="n">
        <v>0</v>
      </c>
      <c r="G803" s="17" t="n">
        <v>1</v>
      </c>
      <c r="H803" s="17" t="n">
        <v>0</v>
      </c>
      <c r="I803" s="17" t="n">
        <v>0</v>
      </c>
      <c r="J803" s="17" t="n">
        <v>0</v>
      </c>
      <c r="K803" s="17" t="n">
        <v>0</v>
      </c>
      <c r="L803" s="17" t="n">
        <v>0</v>
      </c>
      <c r="M803" s="17" t="n">
        <v>0</v>
      </c>
      <c r="N803" s="17" t="n">
        <v>0</v>
      </c>
      <c r="O803" s="26" t="n">
        <v>1</v>
      </c>
      <c r="P803" s="3" t="inlineStr">
        <is>
          <t>epoch_chip_quantity_latest</t>
        </is>
      </c>
      <c r="Q803" s="3" t="inlineStr">
        <is>
          <t>SRC_EPOCH_AI_DATA_CENTERS; EPOCH_RAW_CHIP_QUANTITIES</t>
        </is>
      </c>
      <c r="R803" s="3" t="inlineStr">
        <is>
          <t>Latest chip quantity per chip type through year-end; normalized by unit count into benchmark buckets.</t>
        </is>
      </c>
    </row>
    <row r="804">
      <c r="A804" s="3" t="inlineStr">
        <is>
          <t>Grid-Constrained / Efficiency-Upside|CoreWeave Muskogee OK|2029</t>
        </is>
      </c>
      <c r="B804" s="3" t="inlineStr">
        <is>
          <t>Grid-Constrained / Efficiency-Upside</t>
        </is>
      </c>
      <c r="C804" s="3" t="inlineStr">
        <is>
          <t>CoreWeave Muskogee OK</t>
        </is>
      </c>
      <c r="D804" s="3" t="n">
        <v>2029</v>
      </c>
      <c r="E804" s="3" t="inlineStr">
        <is>
          <t>CoreWeave</t>
        </is>
      </c>
      <c r="F804" s="17" t="n">
        <v>0</v>
      </c>
      <c r="G804" s="17" t="n">
        <v>1</v>
      </c>
      <c r="H804" s="17" t="n">
        <v>0</v>
      </c>
      <c r="I804" s="17" t="n">
        <v>0</v>
      </c>
      <c r="J804" s="17" t="n">
        <v>0</v>
      </c>
      <c r="K804" s="17" t="n">
        <v>0</v>
      </c>
      <c r="L804" s="17" t="n">
        <v>0</v>
      </c>
      <c r="M804" s="17" t="n">
        <v>0</v>
      </c>
      <c r="N804" s="17" t="n">
        <v>0</v>
      </c>
      <c r="O804" s="26" t="n">
        <v>1</v>
      </c>
      <c r="P804" s="3" t="inlineStr">
        <is>
          <t>epoch_chip_quantity_latest</t>
        </is>
      </c>
      <c r="Q804" s="3" t="inlineStr">
        <is>
          <t>SRC_EPOCH_AI_DATA_CENTERS; EPOCH_RAW_CHIP_QUANTITIES</t>
        </is>
      </c>
      <c r="R804" s="3" t="inlineStr">
        <is>
          <t>Latest chip quantity per chip type through year-end; normalized by unit count into benchmark buckets.</t>
        </is>
      </c>
    </row>
    <row r="805">
      <c r="A805" s="3" t="inlineStr">
        <is>
          <t>Grid-Constrained / Efficiency-Upside|CoreWeave Muskogee OK|2030</t>
        </is>
      </c>
      <c r="B805" s="3" t="inlineStr">
        <is>
          <t>Grid-Constrained / Efficiency-Upside</t>
        </is>
      </c>
      <c r="C805" s="3" t="inlineStr">
        <is>
          <t>CoreWeave Muskogee OK</t>
        </is>
      </c>
      <c r="D805" s="3" t="n">
        <v>2030</v>
      </c>
      <c r="E805" s="3" t="inlineStr">
        <is>
          <t>CoreWeave</t>
        </is>
      </c>
      <c r="F805" s="17" t="n">
        <v>0</v>
      </c>
      <c r="G805" s="17" t="n">
        <v>1</v>
      </c>
      <c r="H805" s="17" t="n">
        <v>0</v>
      </c>
      <c r="I805" s="17" t="n">
        <v>0</v>
      </c>
      <c r="J805" s="17" t="n">
        <v>0</v>
      </c>
      <c r="K805" s="17" t="n">
        <v>0</v>
      </c>
      <c r="L805" s="17" t="n">
        <v>0</v>
      </c>
      <c r="M805" s="17" t="n">
        <v>0</v>
      </c>
      <c r="N805" s="17" t="n">
        <v>0</v>
      </c>
      <c r="O805" s="26" t="n">
        <v>1</v>
      </c>
      <c r="P805" s="3" t="inlineStr">
        <is>
          <t>epoch_chip_quantity_latest</t>
        </is>
      </c>
      <c r="Q805" s="3" t="inlineStr">
        <is>
          <t>SRC_EPOCH_AI_DATA_CENTERS; EPOCH_RAW_CHIP_QUANTITIES</t>
        </is>
      </c>
      <c r="R805" s="3" t="inlineStr">
        <is>
          <t>Latest chip quantity per chip type through year-end; normalized by unit count into benchmark buckets.</t>
        </is>
      </c>
    </row>
    <row r="806">
      <c r="A806" s="3" t="inlineStr">
        <is>
          <t>Bear|Coreweave Helios|2026</t>
        </is>
      </c>
      <c r="B806" s="3" t="inlineStr">
        <is>
          <t>Bear</t>
        </is>
      </c>
      <c r="C806" s="3" t="inlineStr">
        <is>
          <t>Coreweave Helios</t>
        </is>
      </c>
      <c r="D806" s="3" t="n">
        <v>2026</v>
      </c>
      <c r="E806" s="3" t="inlineStr">
        <is>
          <t>CoreWeave</t>
        </is>
      </c>
      <c r="F806" s="17" t="n">
        <v>0</v>
      </c>
      <c r="G806" s="17" t="n">
        <v>1</v>
      </c>
      <c r="H806" s="17" t="n">
        <v>0</v>
      </c>
      <c r="I806" s="17" t="n">
        <v>0</v>
      </c>
      <c r="J806" s="17" t="n">
        <v>0</v>
      </c>
      <c r="K806" s="17" t="n">
        <v>0</v>
      </c>
      <c r="L806" s="17" t="n">
        <v>0</v>
      </c>
      <c r="M806" s="17" t="n">
        <v>0</v>
      </c>
      <c r="N806" s="17" t="n">
        <v>0</v>
      </c>
      <c r="O806" s="26" t="n">
        <v>1</v>
      </c>
      <c r="P806" s="3" t="inlineStr">
        <is>
          <t>epoch_chip_quantity_latest</t>
        </is>
      </c>
      <c r="Q806" s="3" t="inlineStr">
        <is>
          <t>SRC_EPOCH_AI_DATA_CENTERS; EPOCH_RAW_CHIP_QUANTITIES</t>
        </is>
      </c>
      <c r="R806" s="3" t="inlineStr">
        <is>
          <t>Latest chip quantity per chip type through year-end; normalized by unit count into benchmark buckets.</t>
        </is>
      </c>
    </row>
    <row r="807">
      <c r="A807" s="3" t="inlineStr">
        <is>
          <t>Bear|Coreweave Helios|2027</t>
        </is>
      </c>
      <c r="B807" s="3" t="inlineStr">
        <is>
          <t>Bear</t>
        </is>
      </c>
      <c r="C807" s="3" t="inlineStr">
        <is>
          <t>Coreweave Helios</t>
        </is>
      </c>
      <c r="D807" s="3" t="n">
        <v>2027</v>
      </c>
      <c r="E807" s="3" t="inlineStr">
        <is>
          <t>CoreWeave</t>
        </is>
      </c>
      <c r="F807" s="17" t="n">
        <v>0</v>
      </c>
      <c r="G807" s="17" t="n">
        <v>1</v>
      </c>
      <c r="H807" s="17" t="n">
        <v>0</v>
      </c>
      <c r="I807" s="17" t="n">
        <v>0</v>
      </c>
      <c r="J807" s="17" t="n">
        <v>0</v>
      </c>
      <c r="K807" s="17" t="n">
        <v>0</v>
      </c>
      <c r="L807" s="17" t="n">
        <v>0</v>
      </c>
      <c r="M807" s="17" t="n">
        <v>0</v>
      </c>
      <c r="N807" s="17" t="n">
        <v>0</v>
      </c>
      <c r="O807" s="26" t="n">
        <v>1</v>
      </c>
      <c r="P807" s="3" t="inlineStr">
        <is>
          <t>epoch_chip_quantity_latest</t>
        </is>
      </c>
      <c r="Q807" s="3" t="inlineStr">
        <is>
          <t>SRC_EPOCH_AI_DATA_CENTERS; EPOCH_RAW_CHIP_QUANTITIES</t>
        </is>
      </c>
      <c r="R807" s="3" t="inlineStr">
        <is>
          <t>Latest chip quantity per chip type through year-end; normalized by unit count into benchmark buckets.</t>
        </is>
      </c>
    </row>
    <row r="808">
      <c r="A808" s="3" t="inlineStr">
        <is>
          <t>Bear|Coreweave Helios|2028</t>
        </is>
      </c>
      <c r="B808" s="3" t="inlineStr">
        <is>
          <t>Bear</t>
        </is>
      </c>
      <c r="C808" s="3" t="inlineStr">
        <is>
          <t>Coreweave Helios</t>
        </is>
      </c>
      <c r="D808" s="3" t="n">
        <v>2028</v>
      </c>
      <c r="E808" s="3" t="inlineStr">
        <is>
          <t>CoreWeave</t>
        </is>
      </c>
      <c r="F808" s="17" t="n">
        <v>0</v>
      </c>
      <c r="G808" s="17" t="n">
        <v>1</v>
      </c>
      <c r="H808" s="17" t="n">
        <v>0</v>
      </c>
      <c r="I808" s="17" t="n">
        <v>0</v>
      </c>
      <c r="J808" s="17" t="n">
        <v>0</v>
      </c>
      <c r="K808" s="17" t="n">
        <v>0</v>
      </c>
      <c r="L808" s="17" t="n">
        <v>0</v>
      </c>
      <c r="M808" s="17" t="n">
        <v>0</v>
      </c>
      <c r="N808" s="17" t="n">
        <v>0</v>
      </c>
      <c r="O808" s="26" t="n">
        <v>1</v>
      </c>
      <c r="P808" s="3" t="inlineStr">
        <is>
          <t>epoch_chip_quantity_latest</t>
        </is>
      </c>
      <c r="Q808" s="3" t="inlineStr">
        <is>
          <t>SRC_EPOCH_AI_DATA_CENTERS; EPOCH_RAW_CHIP_QUANTITIES</t>
        </is>
      </c>
      <c r="R808" s="3" t="inlineStr">
        <is>
          <t>Latest chip quantity per chip type through year-end; normalized by unit count into benchmark buckets.</t>
        </is>
      </c>
    </row>
    <row r="809">
      <c r="A809" s="3" t="inlineStr">
        <is>
          <t>Bear|Coreweave Helios|2029</t>
        </is>
      </c>
      <c r="B809" s="3" t="inlineStr">
        <is>
          <t>Bear</t>
        </is>
      </c>
      <c r="C809" s="3" t="inlineStr">
        <is>
          <t>Coreweave Helios</t>
        </is>
      </c>
      <c r="D809" s="3" t="n">
        <v>2029</v>
      </c>
      <c r="E809" s="3" t="inlineStr">
        <is>
          <t>CoreWeave</t>
        </is>
      </c>
      <c r="F809" s="17" t="n">
        <v>0</v>
      </c>
      <c r="G809" s="17" t="n">
        <v>1</v>
      </c>
      <c r="H809" s="17" t="n">
        <v>0</v>
      </c>
      <c r="I809" s="17" t="n">
        <v>0</v>
      </c>
      <c r="J809" s="17" t="n">
        <v>0</v>
      </c>
      <c r="K809" s="17" t="n">
        <v>0</v>
      </c>
      <c r="L809" s="17" t="n">
        <v>0</v>
      </c>
      <c r="M809" s="17" t="n">
        <v>0</v>
      </c>
      <c r="N809" s="17" t="n">
        <v>0</v>
      </c>
      <c r="O809" s="26" t="n">
        <v>1</v>
      </c>
      <c r="P809" s="3" t="inlineStr">
        <is>
          <t>epoch_chip_quantity_latest</t>
        </is>
      </c>
      <c r="Q809" s="3" t="inlineStr">
        <is>
          <t>SRC_EPOCH_AI_DATA_CENTERS; EPOCH_RAW_CHIP_QUANTITIES</t>
        </is>
      </c>
      <c r="R809" s="3" t="inlineStr">
        <is>
          <t>Latest chip quantity per chip type through year-end; normalized by unit count into benchmark buckets.</t>
        </is>
      </c>
    </row>
    <row r="810">
      <c r="A810" s="3" t="inlineStr">
        <is>
          <t>Bear|Coreweave Helios|2030</t>
        </is>
      </c>
      <c r="B810" s="3" t="inlineStr">
        <is>
          <t>Bear</t>
        </is>
      </c>
      <c r="C810" s="3" t="inlineStr">
        <is>
          <t>Coreweave Helios</t>
        </is>
      </c>
      <c r="D810" s="3" t="n">
        <v>2030</v>
      </c>
      <c r="E810" s="3" t="inlineStr">
        <is>
          <t>CoreWeave</t>
        </is>
      </c>
      <c r="F810" s="17" t="n">
        <v>0</v>
      </c>
      <c r="G810" s="17" t="n">
        <v>1</v>
      </c>
      <c r="H810" s="17" t="n">
        <v>0</v>
      </c>
      <c r="I810" s="17" t="n">
        <v>0</v>
      </c>
      <c r="J810" s="17" t="n">
        <v>0</v>
      </c>
      <c r="K810" s="17" t="n">
        <v>0</v>
      </c>
      <c r="L810" s="17" t="n">
        <v>0</v>
      </c>
      <c r="M810" s="17" t="n">
        <v>0</v>
      </c>
      <c r="N810" s="17" t="n">
        <v>0</v>
      </c>
      <c r="O810" s="26" t="n">
        <v>1</v>
      </c>
      <c r="P810" s="3" t="inlineStr">
        <is>
          <t>epoch_chip_quantity_latest</t>
        </is>
      </c>
      <c r="Q810" s="3" t="inlineStr">
        <is>
          <t>SRC_EPOCH_AI_DATA_CENTERS; EPOCH_RAW_CHIP_QUANTITIES</t>
        </is>
      </c>
      <c r="R810" s="3" t="inlineStr">
        <is>
          <t>Latest chip quantity per chip type through year-end; normalized by unit count into benchmark buckets.</t>
        </is>
      </c>
    </row>
    <row r="811">
      <c r="A811" s="3" t="inlineStr">
        <is>
          <t>Base|Coreweave Helios|2026</t>
        </is>
      </c>
      <c r="B811" s="3" t="inlineStr">
        <is>
          <t>Base</t>
        </is>
      </c>
      <c r="C811" s="3" t="inlineStr">
        <is>
          <t>Coreweave Helios</t>
        </is>
      </c>
      <c r="D811" s="3" t="n">
        <v>2026</v>
      </c>
      <c r="E811" s="3" t="inlineStr">
        <is>
          <t>CoreWeave</t>
        </is>
      </c>
      <c r="F811" s="17" t="n">
        <v>0</v>
      </c>
      <c r="G811" s="17" t="n">
        <v>1</v>
      </c>
      <c r="H811" s="17" t="n">
        <v>0</v>
      </c>
      <c r="I811" s="17" t="n">
        <v>0</v>
      </c>
      <c r="J811" s="17" t="n">
        <v>0</v>
      </c>
      <c r="K811" s="17" t="n">
        <v>0</v>
      </c>
      <c r="L811" s="17" t="n">
        <v>0</v>
      </c>
      <c r="M811" s="17" t="n">
        <v>0</v>
      </c>
      <c r="N811" s="17" t="n">
        <v>0</v>
      </c>
      <c r="O811" s="26" t="n">
        <v>1</v>
      </c>
      <c r="P811" s="3" t="inlineStr">
        <is>
          <t>epoch_chip_quantity_latest</t>
        </is>
      </c>
      <c r="Q811" s="3" t="inlineStr">
        <is>
          <t>SRC_EPOCH_AI_DATA_CENTERS; EPOCH_RAW_CHIP_QUANTITIES</t>
        </is>
      </c>
      <c r="R811" s="3" t="inlineStr">
        <is>
          <t>Latest chip quantity per chip type through year-end; normalized by unit count into benchmark buckets.</t>
        </is>
      </c>
    </row>
    <row r="812">
      <c r="A812" s="3" t="inlineStr">
        <is>
          <t>Base|Coreweave Helios|2027</t>
        </is>
      </c>
      <c r="B812" s="3" t="inlineStr">
        <is>
          <t>Base</t>
        </is>
      </c>
      <c r="C812" s="3" t="inlineStr">
        <is>
          <t>Coreweave Helios</t>
        </is>
      </c>
      <c r="D812" s="3" t="n">
        <v>2027</v>
      </c>
      <c r="E812" s="3" t="inlineStr">
        <is>
          <t>CoreWeave</t>
        </is>
      </c>
      <c r="F812" s="17" t="n">
        <v>0</v>
      </c>
      <c r="G812" s="17" t="n">
        <v>1</v>
      </c>
      <c r="H812" s="17" t="n">
        <v>0</v>
      </c>
      <c r="I812" s="17" t="n">
        <v>0</v>
      </c>
      <c r="J812" s="17" t="n">
        <v>0</v>
      </c>
      <c r="K812" s="17" t="n">
        <v>0</v>
      </c>
      <c r="L812" s="17" t="n">
        <v>0</v>
      </c>
      <c r="M812" s="17" t="n">
        <v>0</v>
      </c>
      <c r="N812" s="17" t="n">
        <v>0</v>
      </c>
      <c r="O812" s="26" t="n">
        <v>1</v>
      </c>
      <c r="P812" s="3" t="inlineStr">
        <is>
          <t>epoch_chip_quantity_latest</t>
        </is>
      </c>
      <c r="Q812" s="3" t="inlineStr">
        <is>
          <t>SRC_EPOCH_AI_DATA_CENTERS; EPOCH_RAW_CHIP_QUANTITIES</t>
        </is>
      </c>
      <c r="R812" s="3" t="inlineStr">
        <is>
          <t>Latest chip quantity per chip type through year-end; normalized by unit count into benchmark buckets.</t>
        </is>
      </c>
    </row>
    <row r="813">
      <c r="A813" s="3" t="inlineStr">
        <is>
          <t>Base|Coreweave Helios|2028</t>
        </is>
      </c>
      <c r="B813" s="3" t="inlineStr">
        <is>
          <t>Base</t>
        </is>
      </c>
      <c r="C813" s="3" t="inlineStr">
        <is>
          <t>Coreweave Helios</t>
        </is>
      </c>
      <c r="D813" s="3" t="n">
        <v>2028</v>
      </c>
      <c r="E813" s="3" t="inlineStr">
        <is>
          <t>CoreWeave</t>
        </is>
      </c>
      <c r="F813" s="17" t="n">
        <v>0</v>
      </c>
      <c r="G813" s="17" t="n">
        <v>1</v>
      </c>
      <c r="H813" s="17" t="n">
        <v>0</v>
      </c>
      <c r="I813" s="17" t="n">
        <v>0</v>
      </c>
      <c r="J813" s="17" t="n">
        <v>0</v>
      </c>
      <c r="K813" s="17" t="n">
        <v>0</v>
      </c>
      <c r="L813" s="17" t="n">
        <v>0</v>
      </c>
      <c r="M813" s="17" t="n">
        <v>0</v>
      </c>
      <c r="N813" s="17" t="n">
        <v>0</v>
      </c>
      <c r="O813" s="26" t="n">
        <v>1</v>
      </c>
      <c r="P813" s="3" t="inlineStr">
        <is>
          <t>epoch_chip_quantity_latest</t>
        </is>
      </c>
      <c r="Q813" s="3" t="inlineStr">
        <is>
          <t>SRC_EPOCH_AI_DATA_CENTERS; EPOCH_RAW_CHIP_QUANTITIES</t>
        </is>
      </c>
      <c r="R813" s="3" t="inlineStr">
        <is>
          <t>Latest chip quantity per chip type through year-end; normalized by unit count into benchmark buckets.</t>
        </is>
      </c>
    </row>
    <row r="814">
      <c r="A814" s="3" t="inlineStr">
        <is>
          <t>Base|Coreweave Helios|2029</t>
        </is>
      </c>
      <c r="B814" s="3" t="inlineStr">
        <is>
          <t>Base</t>
        </is>
      </c>
      <c r="C814" s="3" t="inlineStr">
        <is>
          <t>Coreweave Helios</t>
        </is>
      </c>
      <c r="D814" s="3" t="n">
        <v>2029</v>
      </c>
      <c r="E814" s="3" t="inlineStr">
        <is>
          <t>CoreWeave</t>
        </is>
      </c>
      <c r="F814" s="17" t="n">
        <v>0</v>
      </c>
      <c r="G814" s="17" t="n">
        <v>1</v>
      </c>
      <c r="H814" s="17" t="n">
        <v>0</v>
      </c>
      <c r="I814" s="17" t="n">
        <v>0</v>
      </c>
      <c r="J814" s="17" t="n">
        <v>0</v>
      </c>
      <c r="K814" s="17" t="n">
        <v>0</v>
      </c>
      <c r="L814" s="17" t="n">
        <v>0</v>
      </c>
      <c r="M814" s="17" t="n">
        <v>0</v>
      </c>
      <c r="N814" s="17" t="n">
        <v>0</v>
      </c>
      <c r="O814" s="26" t="n">
        <v>1</v>
      </c>
      <c r="P814" s="3" t="inlineStr">
        <is>
          <t>epoch_chip_quantity_latest</t>
        </is>
      </c>
      <c r="Q814" s="3" t="inlineStr">
        <is>
          <t>SRC_EPOCH_AI_DATA_CENTERS; EPOCH_RAW_CHIP_QUANTITIES</t>
        </is>
      </c>
      <c r="R814" s="3" t="inlineStr">
        <is>
          <t>Latest chip quantity per chip type through year-end; normalized by unit count into benchmark buckets.</t>
        </is>
      </c>
    </row>
    <row r="815">
      <c r="A815" s="3" t="inlineStr">
        <is>
          <t>Base|Coreweave Helios|2030</t>
        </is>
      </c>
      <c r="B815" s="3" t="inlineStr">
        <is>
          <t>Base</t>
        </is>
      </c>
      <c r="C815" s="3" t="inlineStr">
        <is>
          <t>Coreweave Helios</t>
        </is>
      </c>
      <c r="D815" s="3" t="n">
        <v>2030</v>
      </c>
      <c r="E815" s="3" t="inlineStr">
        <is>
          <t>CoreWeave</t>
        </is>
      </c>
      <c r="F815" s="17" t="n">
        <v>0</v>
      </c>
      <c r="G815" s="17" t="n">
        <v>1</v>
      </c>
      <c r="H815" s="17" t="n">
        <v>0</v>
      </c>
      <c r="I815" s="17" t="n">
        <v>0</v>
      </c>
      <c r="J815" s="17" t="n">
        <v>0</v>
      </c>
      <c r="K815" s="17" t="n">
        <v>0</v>
      </c>
      <c r="L815" s="17" t="n">
        <v>0</v>
      </c>
      <c r="M815" s="17" t="n">
        <v>0</v>
      </c>
      <c r="N815" s="17" t="n">
        <v>0</v>
      </c>
      <c r="O815" s="26" t="n">
        <v>1</v>
      </c>
      <c r="P815" s="3" t="inlineStr">
        <is>
          <t>epoch_chip_quantity_latest</t>
        </is>
      </c>
      <c r="Q815" s="3" t="inlineStr">
        <is>
          <t>SRC_EPOCH_AI_DATA_CENTERS; EPOCH_RAW_CHIP_QUANTITIES</t>
        </is>
      </c>
      <c r="R815" s="3" t="inlineStr">
        <is>
          <t>Latest chip quantity per chip type through year-end; normalized by unit count into benchmark buckets.</t>
        </is>
      </c>
    </row>
    <row r="816">
      <c r="A816" s="3" t="inlineStr">
        <is>
          <t>Bull|Coreweave Helios|2026</t>
        </is>
      </c>
      <c r="B816" s="3" t="inlineStr">
        <is>
          <t>Bull</t>
        </is>
      </c>
      <c r="C816" s="3" t="inlineStr">
        <is>
          <t>Coreweave Helios</t>
        </is>
      </c>
      <c r="D816" s="3" t="n">
        <v>2026</v>
      </c>
      <c r="E816" s="3" t="inlineStr">
        <is>
          <t>CoreWeave</t>
        </is>
      </c>
      <c r="F816" s="17" t="n">
        <v>0</v>
      </c>
      <c r="G816" s="17" t="n">
        <v>1</v>
      </c>
      <c r="H816" s="17" t="n">
        <v>0</v>
      </c>
      <c r="I816" s="17" t="n">
        <v>0</v>
      </c>
      <c r="J816" s="17" t="n">
        <v>0</v>
      </c>
      <c r="K816" s="17" t="n">
        <v>0</v>
      </c>
      <c r="L816" s="17" t="n">
        <v>0</v>
      </c>
      <c r="M816" s="17" t="n">
        <v>0</v>
      </c>
      <c r="N816" s="17" t="n">
        <v>0</v>
      </c>
      <c r="O816" s="26" t="n">
        <v>1</v>
      </c>
      <c r="P816" s="3" t="inlineStr">
        <is>
          <t>epoch_chip_quantity_latest</t>
        </is>
      </c>
      <c r="Q816" s="3" t="inlineStr">
        <is>
          <t>SRC_EPOCH_AI_DATA_CENTERS; EPOCH_RAW_CHIP_QUANTITIES</t>
        </is>
      </c>
      <c r="R816" s="3" t="inlineStr">
        <is>
          <t>Latest chip quantity per chip type through year-end; normalized by unit count into benchmark buckets.</t>
        </is>
      </c>
    </row>
    <row r="817">
      <c r="A817" s="3" t="inlineStr">
        <is>
          <t>Bull|Coreweave Helios|2027</t>
        </is>
      </c>
      <c r="B817" s="3" t="inlineStr">
        <is>
          <t>Bull</t>
        </is>
      </c>
      <c r="C817" s="3" t="inlineStr">
        <is>
          <t>Coreweave Helios</t>
        </is>
      </c>
      <c r="D817" s="3" t="n">
        <v>2027</v>
      </c>
      <c r="E817" s="3" t="inlineStr">
        <is>
          <t>CoreWeave</t>
        </is>
      </c>
      <c r="F817" s="17" t="n">
        <v>0</v>
      </c>
      <c r="G817" s="17" t="n">
        <v>1</v>
      </c>
      <c r="H817" s="17" t="n">
        <v>0</v>
      </c>
      <c r="I817" s="17" t="n">
        <v>0</v>
      </c>
      <c r="J817" s="17" t="n">
        <v>0</v>
      </c>
      <c r="K817" s="17" t="n">
        <v>0</v>
      </c>
      <c r="L817" s="17" t="n">
        <v>0</v>
      </c>
      <c r="M817" s="17" t="n">
        <v>0</v>
      </c>
      <c r="N817" s="17" t="n">
        <v>0</v>
      </c>
      <c r="O817" s="26" t="n">
        <v>1</v>
      </c>
      <c r="P817" s="3" t="inlineStr">
        <is>
          <t>epoch_chip_quantity_latest</t>
        </is>
      </c>
      <c r="Q817" s="3" t="inlineStr">
        <is>
          <t>SRC_EPOCH_AI_DATA_CENTERS; EPOCH_RAW_CHIP_QUANTITIES</t>
        </is>
      </c>
      <c r="R817" s="3" t="inlineStr">
        <is>
          <t>Latest chip quantity per chip type through year-end; normalized by unit count into benchmark buckets.</t>
        </is>
      </c>
    </row>
    <row r="818">
      <c r="A818" s="3" t="inlineStr">
        <is>
          <t>Bull|Coreweave Helios|2028</t>
        </is>
      </c>
      <c r="B818" s="3" t="inlineStr">
        <is>
          <t>Bull</t>
        </is>
      </c>
      <c r="C818" s="3" t="inlineStr">
        <is>
          <t>Coreweave Helios</t>
        </is>
      </c>
      <c r="D818" s="3" t="n">
        <v>2028</v>
      </c>
      <c r="E818" s="3" t="inlineStr">
        <is>
          <t>CoreWeave</t>
        </is>
      </c>
      <c r="F818" s="17" t="n">
        <v>0</v>
      </c>
      <c r="G818" s="17" t="n">
        <v>1</v>
      </c>
      <c r="H818" s="17" t="n">
        <v>0</v>
      </c>
      <c r="I818" s="17" t="n">
        <v>0</v>
      </c>
      <c r="J818" s="17" t="n">
        <v>0</v>
      </c>
      <c r="K818" s="17" t="n">
        <v>0</v>
      </c>
      <c r="L818" s="17" t="n">
        <v>0</v>
      </c>
      <c r="M818" s="17" t="n">
        <v>0</v>
      </c>
      <c r="N818" s="17" t="n">
        <v>0</v>
      </c>
      <c r="O818" s="26" t="n">
        <v>1</v>
      </c>
      <c r="P818" s="3" t="inlineStr">
        <is>
          <t>epoch_chip_quantity_latest</t>
        </is>
      </c>
      <c r="Q818" s="3" t="inlineStr">
        <is>
          <t>SRC_EPOCH_AI_DATA_CENTERS; EPOCH_RAW_CHIP_QUANTITIES</t>
        </is>
      </c>
      <c r="R818" s="3" t="inlineStr">
        <is>
          <t>Latest chip quantity per chip type through year-end; normalized by unit count into benchmark buckets.</t>
        </is>
      </c>
    </row>
    <row r="819">
      <c r="A819" s="3" t="inlineStr">
        <is>
          <t>Bull|Coreweave Helios|2029</t>
        </is>
      </c>
      <c r="B819" s="3" t="inlineStr">
        <is>
          <t>Bull</t>
        </is>
      </c>
      <c r="C819" s="3" t="inlineStr">
        <is>
          <t>Coreweave Helios</t>
        </is>
      </c>
      <c r="D819" s="3" t="n">
        <v>2029</v>
      </c>
      <c r="E819" s="3" t="inlineStr">
        <is>
          <t>CoreWeave</t>
        </is>
      </c>
      <c r="F819" s="17" t="n">
        <v>0</v>
      </c>
      <c r="G819" s="17" t="n">
        <v>1</v>
      </c>
      <c r="H819" s="17" t="n">
        <v>0</v>
      </c>
      <c r="I819" s="17" t="n">
        <v>0</v>
      </c>
      <c r="J819" s="17" t="n">
        <v>0</v>
      </c>
      <c r="K819" s="17" t="n">
        <v>0</v>
      </c>
      <c r="L819" s="17" t="n">
        <v>0</v>
      </c>
      <c r="M819" s="17" t="n">
        <v>0</v>
      </c>
      <c r="N819" s="17" t="n">
        <v>0</v>
      </c>
      <c r="O819" s="26" t="n">
        <v>1</v>
      </c>
      <c r="P819" s="3" t="inlineStr">
        <is>
          <t>epoch_chip_quantity_latest</t>
        </is>
      </c>
      <c r="Q819" s="3" t="inlineStr">
        <is>
          <t>SRC_EPOCH_AI_DATA_CENTERS; EPOCH_RAW_CHIP_QUANTITIES</t>
        </is>
      </c>
      <c r="R819" s="3" t="inlineStr">
        <is>
          <t>Latest chip quantity per chip type through year-end; normalized by unit count into benchmark buckets.</t>
        </is>
      </c>
    </row>
    <row r="820">
      <c r="A820" s="3" t="inlineStr">
        <is>
          <t>Bull|Coreweave Helios|2030</t>
        </is>
      </c>
      <c r="B820" s="3" t="inlineStr">
        <is>
          <t>Bull</t>
        </is>
      </c>
      <c r="C820" s="3" t="inlineStr">
        <is>
          <t>Coreweave Helios</t>
        </is>
      </c>
      <c r="D820" s="3" t="n">
        <v>2030</v>
      </c>
      <c r="E820" s="3" t="inlineStr">
        <is>
          <t>CoreWeave</t>
        </is>
      </c>
      <c r="F820" s="17" t="n">
        <v>0</v>
      </c>
      <c r="G820" s="17" t="n">
        <v>1</v>
      </c>
      <c r="H820" s="17" t="n">
        <v>0</v>
      </c>
      <c r="I820" s="17" t="n">
        <v>0</v>
      </c>
      <c r="J820" s="17" t="n">
        <v>0</v>
      </c>
      <c r="K820" s="17" t="n">
        <v>0</v>
      </c>
      <c r="L820" s="17" t="n">
        <v>0</v>
      </c>
      <c r="M820" s="17" t="n">
        <v>0</v>
      </c>
      <c r="N820" s="17" t="n">
        <v>0</v>
      </c>
      <c r="O820" s="26" t="n">
        <v>1</v>
      </c>
      <c r="P820" s="3" t="inlineStr">
        <is>
          <t>epoch_chip_quantity_latest</t>
        </is>
      </c>
      <c r="Q820" s="3" t="inlineStr">
        <is>
          <t>SRC_EPOCH_AI_DATA_CENTERS; EPOCH_RAW_CHIP_QUANTITIES</t>
        </is>
      </c>
      <c r="R820" s="3" t="inlineStr">
        <is>
          <t>Latest chip quantity per chip type through year-end; normalized by unit count into benchmark buckets.</t>
        </is>
      </c>
    </row>
    <row r="821">
      <c r="A821" s="3" t="inlineStr">
        <is>
          <t>Grid-Constrained / Efficiency-Upside|Coreweave Helios|2026</t>
        </is>
      </c>
      <c r="B821" s="3" t="inlineStr">
        <is>
          <t>Grid-Constrained / Efficiency-Upside</t>
        </is>
      </c>
      <c r="C821" s="3" t="inlineStr">
        <is>
          <t>Coreweave Helios</t>
        </is>
      </c>
      <c r="D821" s="3" t="n">
        <v>2026</v>
      </c>
      <c r="E821" s="3" t="inlineStr">
        <is>
          <t>CoreWeave</t>
        </is>
      </c>
      <c r="F821" s="17" t="n">
        <v>0</v>
      </c>
      <c r="G821" s="17" t="n">
        <v>1</v>
      </c>
      <c r="H821" s="17" t="n">
        <v>0</v>
      </c>
      <c r="I821" s="17" t="n">
        <v>0</v>
      </c>
      <c r="J821" s="17" t="n">
        <v>0</v>
      </c>
      <c r="K821" s="17" t="n">
        <v>0</v>
      </c>
      <c r="L821" s="17" t="n">
        <v>0</v>
      </c>
      <c r="M821" s="17" t="n">
        <v>0</v>
      </c>
      <c r="N821" s="17" t="n">
        <v>0</v>
      </c>
      <c r="O821" s="26" t="n">
        <v>1</v>
      </c>
      <c r="P821" s="3" t="inlineStr">
        <is>
          <t>epoch_chip_quantity_latest</t>
        </is>
      </c>
      <c r="Q821" s="3" t="inlineStr">
        <is>
          <t>SRC_EPOCH_AI_DATA_CENTERS; EPOCH_RAW_CHIP_QUANTITIES</t>
        </is>
      </c>
      <c r="R821" s="3" t="inlineStr">
        <is>
          <t>Latest chip quantity per chip type through year-end; normalized by unit count into benchmark buckets.</t>
        </is>
      </c>
    </row>
    <row r="822">
      <c r="A822" s="3" t="inlineStr">
        <is>
          <t>Grid-Constrained / Efficiency-Upside|Coreweave Helios|2027</t>
        </is>
      </c>
      <c r="B822" s="3" t="inlineStr">
        <is>
          <t>Grid-Constrained / Efficiency-Upside</t>
        </is>
      </c>
      <c r="C822" s="3" t="inlineStr">
        <is>
          <t>Coreweave Helios</t>
        </is>
      </c>
      <c r="D822" s="3" t="n">
        <v>2027</v>
      </c>
      <c r="E822" s="3" t="inlineStr">
        <is>
          <t>CoreWeave</t>
        </is>
      </c>
      <c r="F822" s="17" t="n">
        <v>0</v>
      </c>
      <c r="G822" s="17" t="n">
        <v>1</v>
      </c>
      <c r="H822" s="17" t="n">
        <v>0</v>
      </c>
      <c r="I822" s="17" t="n">
        <v>0</v>
      </c>
      <c r="J822" s="17" t="n">
        <v>0</v>
      </c>
      <c r="K822" s="17" t="n">
        <v>0</v>
      </c>
      <c r="L822" s="17" t="n">
        <v>0</v>
      </c>
      <c r="M822" s="17" t="n">
        <v>0</v>
      </c>
      <c r="N822" s="17" t="n">
        <v>0</v>
      </c>
      <c r="O822" s="26" t="n">
        <v>1</v>
      </c>
      <c r="P822" s="3" t="inlineStr">
        <is>
          <t>epoch_chip_quantity_latest</t>
        </is>
      </c>
      <c r="Q822" s="3" t="inlineStr">
        <is>
          <t>SRC_EPOCH_AI_DATA_CENTERS; EPOCH_RAW_CHIP_QUANTITIES</t>
        </is>
      </c>
      <c r="R822" s="3" t="inlineStr">
        <is>
          <t>Latest chip quantity per chip type through year-end; normalized by unit count into benchmark buckets.</t>
        </is>
      </c>
    </row>
    <row r="823">
      <c r="A823" s="3" t="inlineStr">
        <is>
          <t>Grid-Constrained / Efficiency-Upside|Coreweave Helios|2028</t>
        </is>
      </c>
      <c r="B823" s="3" t="inlineStr">
        <is>
          <t>Grid-Constrained / Efficiency-Upside</t>
        </is>
      </c>
      <c r="C823" s="3" t="inlineStr">
        <is>
          <t>Coreweave Helios</t>
        </is>
      </c>
      <c r="D823" s="3" t="n">
        <v>2028</v>
      </c>
      <c r="E823" s="3" t="inlineStr">
        <is>
          <t>CoreWeave</t>
        </is>
      </c>
      <c r="F823" s="17" t="n">
        <v>0</v>
      </c>
      <c r="G823" s="17" t="n">
        <v>1</v>
      </c>
      <c r="H823" s="17" t="n">
        <v>0</v>
      </c>
      <c r="I823" s="17" t="n">
        <v>0</v>
      </c>
      <c r="J823" s="17" t="n">
        <v>0</v>
      </c>
      <c r="K823" s="17" t="n">
        <v>0</v>
      </c>
      <c r="L823" s="17" t="n">
        <v>0</v>
      </c>
      <c r="M823" s="17" t="n">
        <v>0</v>
      </c>
      <c r="N823" s="17" t="n">
        <v>0</v>
      </c>
      <c r="O823" s="26" t="n">
        <v>1</v>
      </c>
      <c r="P823" s="3" t="inlineStr">
        <is>
          <t>epoch_chip_quantity_latest</t>
        </is>
      </c>
      <c r="Q823" s="3" t="inlineStr">
        <is>
          <t>SRC_EPOCH_AI_DATA_CENTERS; EPOCH_RAW_CHIP_QUANTITIES</t>
        </is>
      </c>
      <c r="R823" s="3" t="inlineStr">
        <is>
          <t>Latest chip quantity per chip type through year-end; normalized by unit count into benchmark buckets.</t>
        </is>
      </c>
    </row>
    <row r="824">
      <c r="A824" s="3" t="inlineStr">
        <is>
          <t>Grid-Constrained / Efficiency-Upside|Coreweave Helios|2029</t>
        </is>
      </c>
      <c r="B824" s="3" t="inlineStr">
        <is>
          <t>Grid-Constrained / Efficiency-Upside</t>
        </is>
      </c>
      <c r="C824" s="3" t="inlineStr">
        <is>
          <t>Coreweave Helios</t>
        </is>
      </c>
      <c r="D824" s="3" t="n">
        <v>2029</v>
      </c>
      <c r="E824" s="3" t="inlineStr">
        <is>
          <t>CoreWeave</t>
        </is>
      </c>
      <c r="F824" s="17" t="n">
        <v>0</v>
      </c>
      <c r="G824" s="17" t="n">
        <v>1</v>
      </c>
      <c r="H824" s="17" t="n">
        <v>0</v>
      </c>
      <c r="I824" s="17" t="n">
        <v>0</v>
      </c>
      <c r="J824" s="17" t="n">
        <v>0</v>
      </c>
      <c r="K824" s="17" t="n">
        <v>0</v>
      </c>
      <c r="L824" s="17" t="n">
        <v>0</v>
      </c>
      <c r="M824" s="17" t="n">
        <v>0</v>
      </c>
      <c r="N824" s="17" t="n">
        <v>0</v>
      </c>
      <c r="O824" s="26" t="n">
        <v>1</v>
      </c>
      <c r="P824" s="3" t="inlineStr">
        <is>
          <t>epoch_chip_quantity_latest</t>
        </is>
      </c>
      <c r="Q824" s="3" t="inlineStr">
        <is>
          <t>SRC_EPOCH_AI_DATA_CENTERS; EPOCH_RAW_CHIP_QUANTITIES</t>
        </is>
      </c>
      <c r="R824" s="3" t="inlineStr">
        <is>
          <t>Latest chip quantity per chip type through year-end; normalized by unit count into benchmark buckets.</t>
        </is>
      </c>
    </row>
    <row r="825">
      <c r="A825" s="3" t="inlineStr">
        <is>
          <t>Grid-Constrained / Efficiency-Upside|Coreweave Helios|2030</t>
        </is>
      </c>
      <c r="B825" s="3" t="inlineStr">
        <is>
          <t>Grid-Constrained / Efficiency-Upside</t>
        </is>
      </c>
      <c r="C825" s="3" t="inlineStr">
        <is>
          <t>Coreweave Helios</t>
        </is>
      </c>
      <c r="D825" s="3" t="n">
        <v>2030</v>
      </c>
      <c r="E825" s="3" t="inlineStr">
        <is>
          <t>CoreWeave</t>
        </is>
      </c>
      <c r="F825" s="17" t="n">
        <v>0</v>
      </c>
      <c r="G825" s="17" t="n">
        <v>1</v>
      </c>
      <c r="H825" s="17" t="n">
        <v>0</v>
      </c>
      <c r="I825" s="17" t="n">
        <v>0</v>
      </c>
      <c r="J825" s="17" t="n">
        <v>0</v>
      </c>
      <c r="K825" s="17" t="n">
        <v>0</v>
      </c>
      <c r="L825" s="17" t="n">
        <v>0</v>
      </c>
      <c r="M825" s="17" t="n">
        <v>0</v>
      </c>
      <c r="N825" s="17" t="n">
        <v>0</v>
      </c>
      <c r="O825" s="26" t="n">
        <v>1</v>
      </c>
      <c r="P825" s="3" t="inlineStr">
        <is>
          <t>epoch_chip_quantity_latest</t>
        </is>
      </c>
      <c r="Q825" s="3" t="inlineStr">
        <is>
          <t>SRC_EPOCH_AI_DATA_CENTERS; EPOCH_RAW_CHIP_QUANTITIES</t>
        </is>
      </c>
      <c r="R825" s="3" t="inlineStr">
        <is>
          <t>Latest chip quantity per chip type through year-end; normalized by unit count into benchmark buckets.</t>
        </is>
      </c>
    </row>
    <row r="826">
      <c r="A826" s="3" t="inlineStr">
        <is>
          <t>Bear|Microsoft Project Osmium|2026</t>
        </is>
      </c>
      <c r="B826" s="3" t="inlineStr">
        <is>
          <t>Bear</t>
        </is>
      </c>
      <c r="C826" s="3" t="inlineStr">
        <is>
          <t>Microsoft Project Osmium</t>
        </is>
      </c>
      <c r="D826" s="3" t="n">
        <v>2026</v>
      </c>
      <c r="E826" s="3" t="inlineStr">
        <is>
          <t>Microsoft</t>
        </is>
      </c>
      <c r="F826" s="17" t="n">
        <v>0.559267</v>
      </c>
      <c r="G826" s="17" t="n">
        <v>0.440733</v>
      </c>
      <c r="H826" s="17" t="n">
        <v>0</v>
      </c>
      <c r="I826" s="17" t="n">
        <v>0</v>
      </c>
      <c r="J826" s="17" t="n">
        <v>0</v>
      </c>
      <c r="K826" s="17" t="n">
        <v>0</v>
      </c>
      <c r="L826" s="17" t="n">
        <v>0</v>
      </c>
      <c r="M826" s="17" t="n">
        <v>0</v>
      </c>
      <c r="N826" s="17" t="n">
        <v>0</v>
      </c>
      <c r="O826" s="26" t="n">
        <v>1</v>
      </c>
      <c r="P826" s="3" t="inlineStr">
        <is>
          <t>epoch_chip_quantity_latest</t>
        </is>
      </c>
      <c r="Q826" s="3" t="inlineStr">
        <is>
          <t>SRC_EPOCH_AI_DATA_CENTERS; EPOCH_RAW_CHIP_QUANTITIES</t>
        </is>
      </c>
      <c r="R826" s="3" t="inlineStr">
        <is>
          <t>Latest chip quantity per chip type through year-end; normalized by unit count into benchmark buckets.</t>
        </is>
      </c>
    </row>
    <row r="827">
      <c r="A827" s="3" t="inlineStr">
        <is>
          <t>Bear|Microsoft Project Osmium|2027</t>
        </is>
      </c>
      <c r="B827" s="3" t="inlineStr">
        <is>
          <t>Bear</t>
        </is>
      </c>
      <c r="C827" s="3" t="inlineStr">
        <is>
          <t>Microsoft Project Osmium</t>
        </is>
      </c>
      <c r="D827" s="3" t="n">
        <v>2027</v>
      </c>
      <c r="E827" s="3" t="inlineStr">
        <is>
          <t>Microsoft</t>
        </is>
      </c>
      <c r="F827" s="17" t="n">
        <v>0.559267</v>
      </c>
      <c r="G827" s="17" t="n">
        <v>0.440733</v>
      </c>
      <c r="H827" s="17" t="n">
        <v>0</v>
      </c>
      <c r="I827" s="17" t="n">
        <v>0</v>
      </c>
      <c r="J827" s="17" t="n">
        <v>0</v>
      </c>
      <c r="K827" s="17" t="n">
        <v>0</v>
      </c>
      <c r="L827" s="17" t="n">
        <v>0</v>
      </c>
      <c r="M827" s="17" t="n">
        <v>0</v>
      </c>
      <c r="N827" s="17" t="n">
        <v>0</v>
      </c>
      <c r="O827" s="26" t="n">
        <v>1</v>
      </c>
      <c r="P827" s="3" t="inlineStr">
        <is>
          <t>epoch_chip_quantity_latest</t>
        </is>
      </c>
      <c r="Q827" s="3" t="inlineStr">
        <is>
          <t>SRC_EPOCH_AI_DATA_CENTERS; EPOCH_RAW_CHIP_QUANTITIES</t>
        </is>
      </c>
      <c r="R827" s="3" t="inlineStr">
        <is>
          <t>Latest chip quantity per chip type through year-end; normalized by unit count into benchmark buckets.</t>
        </is>
      </c>
    </row>
    <row r="828">
      <c r="A828" s="3" t="inlineStr">
        <is>
          <t>Bear|Microsoft Project Osmium|2028</t>
        </is>
      </c>
      <c r="B828" s="3" t="inlineStr">
        <is>
          <t>Bear</t>
        </is>
      </c>
      <c r="C828" s="3" t="inlineStr">
        <is>
          <t>Microsoft Project Osmium</t>
        </is>
      </c>
      <c r="D828" s="3" t="n">
        <v>2028</v>
      </c>
      <c r="E828" s="3" t="inlineStr">
        <is>
          <t>Microsoft</t>
        </is>
      </c>
      <c r="F828" s="17" t="n">
        <v>0.559267</v>
      </c>
      <c r="G828" s="17" t="n">
        <v>0.440733</v>
      </c>
      <c r="H828" s="17" t="n">
        <v>0</v>
      </c>
      <c r="I828" s="17" t="n">
        <v>0</v>
      </c>
      <c r="J828" s="17" t="n">
        <v>0</v>
      </c>
      <c r="K828" s="17" t="n">
        <v>0</v>
      </c>
      <c r="L828" s="17" t="n">
        <v>0</v>
      </c>
      <c r="M828" s="17" t="n">
        <v>0</v>
      </c>
      <c r="N828" s="17" t="n">
        <v>0</v>
      </c>
      <c r="O828" s="26" t="n">
        <v>1</v>
      </c>
      <c r="P828" s="3" t="inlineStr">
        <is>
          <t>epoch_chip_quantity_latest</t>
        </is>
      </c>
      <c r="Q828" s="3" t="inlineStr">
        <is>
          <t>SRC_EPOCH_AI_DATA_CENTERS; EPOCH_RAW_CHIP_QUANTITIES</t>
        </is>
      </c>
      <c r="R828" s="3" t="inlineStr">
        <is>
          <t>Latest chip quantity per chip type through year-end; normalized by unit count into benchmark buckets.</t>
        </is>
      </c>
    </row>
    <row r="829">
      <c r="A829" s="3" t="inlineStr">
        <is>
          <t>Bear|Microsoft Project Osmium|2029</t>
        </is>
      </c>
      <c r="B829" s="3" t="inlineStr">
        <is>
          <t>Bear</t>
        </is>
      </c>
      <c r="C829" s="3" t="inlineStr">
        <is>
          <t>Microsoft Project Osmium</t>
        </is>
      </c>
      <c r="D829" s="3" t="n">
        <v>2029</v>
      </c>
      <c r="E829" s="3" t="inlineStr">
        <is>
          <t>Microsoft</t>
        </is>
      </c>
      <c r="F829" s="17" t="n">
        <v>0.559267</v>
      </c>
      <c r="G829" s="17" t="n">
        <v>0.440733</v>
      </c>
      <c r="H829" s="17" t="n">
        <v>0</v>
      </c>
      <c r="I829" s="17" t="n">
        <v>0</v>
      </c>
      <c r="J829" s="17" t="n">
        <v>0</v>
      </c>
      <c r="K829" s="17" t="n">
        <v>0</v>
      </c>
      <c r="L829" s="17" t="n">
        <v>0</v>
      </c>
      <c r="M829" s="17" t="n">
        <v>0</v>
      </c>
      <c r="N829" s="17" t="n">
        <v>0</v>
      </c>
      <c r="O829" s="26" t="n">
        <v>1</v>
      </c>
      <c r="P829" s="3" t="inlineStr">
        <is>
          <t>epoch_chip_quantity_latest</t>
        </is>
      </c>
      <c r="Q829" s="3" t="inlineStr">
        <is>
          <t>SRC_EPOCH_AI_DATA_CENTERS; EPOCH_RAW_CHIP_QUANTITIES</t>
        </is>
      </c>
      <c r="R829" s="3" t="inlineStr">
        <is>
          <t>Latest chip quantity per chip type through year-end; normalized by unit count into benchmark buckets.</t>
        </is>
      </c>
    </row>
    <row r="830">
      <c r="A830" s="3" t="inlineStr">
        <is>
          <t>Bear|Microsoft Project Osmium|2030</t>
        </is>
      </c>
      <c r="B830" s="3" t="inlineStr">
        <is>
          <t>Bear</t>
        </is>
      </c>
      <c r="C830" s="3" t="inlineStr">
        <is>
          <t>Microsoft Project Osmium</t>
        </is>
      </c>
      <c r="D830" s="3" t="n">
        <v>2030</v>
      </c>
      <c r="E830" s="3" t="inlineStr">
        <is>
          <t>Microsoft</t>
        </is>
      </c>
      <c r="F830" s="17" t="n">
        <v>0.559267</v>
      </c>
      <c r="G830" s="17" t="n">
        <v>0.440733</v>
      </c>
      <c r="H830" s="17" t="n">
        <v>0</v>
      </c>
      <c r="I830" s="17" t="n">
        <v>0</v>
      </c>
      <c r="J830" s="17" t="n">
        <v>0</v>
      </c>
      <c r="K830" s="17" t="n">
        <v>0</v>
      </c>
      <c r="L830" s="17" t="n">
        <v>0</v>
      </c>
      <c r="M830" s="17" t="n">
        <v>0</v>
      </c>
      <c r="N830" s="17" t="n">
        <v>0</v>
      </c>
      <c r="O830" s="26" t="n">
        <v>1</v>
      </c>
      <c r="P830" s="3" t="inlineStr">
        <is>
          <t>epoch_chip_quantity_latest</t>
        </is>
      </c>
      <c r="Q830" s="3" t="inlineStr">
        <is>
          <t>SRC_EPOCH_AI_DATA_CENTERS; EPOCH_RAW_CHIP_QUANTITIES</t>
        </is>
      </c>
      <c r="R830" s="3" t="inlineStr">
        <is>
          <t>Latest chip quantity per chip type through year-end; normalized by unit count into benchmark buckets.</t>
        </is>
      </c>
    </row>
    <row r="831">
      <c r="A831" s="3" t="inlineStr">
        <is>
          <t>Base|Microsoft Project Osmium|2026</t>
        </is>
      </c>
      <c r="B831" s="3" t="inlineStr">
        <is>
          <t>Base</t>
        </is>
      </c>
      <c r="C831" s="3" t="inlineStr">
        <is>
          <t>Microsoft Project Osmium</t>
        </is>
      </c>
      <c r="D831" s="3" t="n">
        <v>2026</v>
      </c>
      <c r="E831" s="3" t="inlineStr">
        <is>
          <t>Microsoft</t>
        </is>
      </c>
      <c r="F831" s="17" t="n">
        <v>0.559267</v>
      </c>
      <c r="G831" s="17" t="n">
        <v>0.440733</v>
      </c>
      <c r="H831" s="17" t="n">
        <v>0</v>
      </c>
      <c r="I831" s="17" t="n">
        <v>0</v>
      </c>
      <c r="J831" s="17" t="n">
        <v>0</v>
      </c>
      <c r="K831" s="17" t="n">
        <v>0</v>
      </c>
      <c r="L831" s="17" t="n">
        <v>0</v>
      </c>
      <c r="M831" s="17" t="n">
        <v>0</v>
      </c>
      <c r="N831" s="17" t="n">
        <v>0</v>
      </c>
      <c r="O831" s="26" t="n">
        <v>1</v>
      </c>
      <c r="P831" s="3" t="inlineStr">
        <is>
          <t>epoch_chip_quantity_latest</t>
        </is>
      </c>
      <c r="Q831" s="3" t="inlineStr">
        <is>
          <t>SRC_EPOCH_AI_DATA_CENTERS; EPOCH_RAW_CHIP_QUANTITIES</t>
        </is>
      </c>
      <c r="R831" s="3" t="inlineStr">
        <is>
          <t>Latest chip quantity per chip type through year-end; normalized by unit count into benchmark buckets.</t>
        </is>
      </c>
    </row>
    <row r="832">
      <c r="A832" s="3" t="inlineStr">
        <is>
          <t>Base|Microsoft Project Osmium|2027</t>
        </is>
      </c>
      <c r="B832" s="3" t="inlineStr">
        <is>
          <t>Base</t>
        </is>
      </c>
      <c r="C832" s="3" t="inlineStr">
        <is>
          <t>Microsoft Project Osmium</t>
        </is>
      </c>
      <c r="D832" s="3" t="n">
        <v>2027</v>
      </c>
      <c r="E832" s="3" t="inlineStr">
        <is>
          <t>Microsoft</t>
        </is>
      </c>
      <c r="F832" s="17" t="n">
        <v>0.559267</v>
      </c>
      <c r="G832" s="17" t="n">
        <v>0.440733</v>
      </c>
      <c r="H832" s="17" t="n">
        <v>0</v>
      </c>
      <c r="I832" s="17" t="n">
        <v>0</v>
      </c>
      <c r="J832" s="17" t="n">
        <v>0</v>
      </c>
      <c r="K832" s="17" t="n">
        <v>0</v>
      </c>
      <c r="L832" s="17" t="n">
        <v>0</v>
      </c>
      <c r="M832" s="17" t="n">
        <v>0</v>
      </c>
      <c r="N832" s="17" t="n">
        <v>0</v>
      </c>
      <c r="O832" s="26" t="n">
        <v>1</v>
      </c>
      <c r="P832" s="3" t="inlineStr">
        <is>
          <t>epoch_chip_quantity_latest</t>
        </is>
      </c>
      <c r="Q832" s="3" t="inlineStr">
        <is>
          <t>SRC_EPOCH_AI_DATA_CENTERS; EPOCH_RAW_CHIP_QUANTITIES</t>
        </is>
      </c>
      <c r="R832" s="3" t="inlineStr">
        <is>
          <t>Latest chip quantity per chip type through year-end; normalized by unit count into benchmark buckets.</t>
        </is>
      </c>
    </row>
    <row r="833">
      <c r="A833" s="3" t="inlineStr">
        <is>
          <t>Base|Microsoft Project Osmium|2028</t>
        </is>
      </c>
      <c r="B833" s="3" t="inlineStr">
        <is>
          <t>Base</t>
        </is>
      </c>
      <c r="C833" s="3" t="inlineStr">
        <is>
          <t>Microsoft Project Osmium</t>
        </is>
      </c>
      <c r="D833" s="3" t="n">
        <v>2028</v>
      </c>
      <c r="E833" s="3" t="inlineStr">
        <is>
          <t>Microsoft</t>
        </is>
      </c>
      <c r="F833" s="17" t="n">
        <v>0.559267</v>
      </c>
      <c r="G833" s="17" t="n">
        <v>0.440733</v>
      </c>
      <c r="H833" s="17" t="n">
        <v>0</v>
      </c>
      <c r="I833" s="17" t="n">
        <v>0</v>
      </c>
      <c r="J833" s="17" t="n">
        <v>0</v>
      </c>
      <c r="K833" s="17" t="n">
        <v>0</v>
      </c>
      <c r="L833" s="17" t="n">
        <v>0</v>
      </c>
      <c r="M833" s="17" t="n">
        <v>0</v>
      </c>
      <c r="N833" s="17" t="n">
        <v>0</v>
      </c>
      <c r="O833" s="26" t="n">
        <v>1</v>
      </c>
      <c r="P833" s="3" t="inlineStr">
        <is>
          <t>epoch_chip_quantity_latest</t>
        </is>
      </c>
      <c r="Q833" s="3" t="inlineStr">
        <is>
          <t>SRC_EPOCH_AI_DATA_CENTERS; EPOCH_RAW_CHIP_QUANTITIES</t>
        </is>
      </c>
      <c r="R833" s="3" t="inlineStr">
        <is>
          <t>Latest chip quantity per chip type through year-end; normalized by unit count into benchmark buckets.</t>
        </is>
      </c>
    </row>
    <row r="834">
      <c r="A834" s="3" t="inlineStr">
        <is>
          <t>Base|Microsoft Project Osmium|2029</t>
        </is>
      </c>
      <c r="B834" s="3" t="inlineStr">
        <is>
          <t>Base</t>
        </is>
      </c>
      <c r="C834" s="3" t="inlineStr">
        <is>
          <t>Microsoft Project Osmium</t>
        </is>
      </c>
      <c r="D834" s="3" t="n">
        <v>2029</v>
      </c>
      <c r="E834" s="3" t="inlineStr">
        <is>
          <t>Microsoft</t>
        </is>
      </c>
      <c r="F834" s="17" t="n">
        <v>0.559267</v>
      </c>
      <c r="G834" s="17" t="n">
        <v>0.440733</v>
      </c>
      <c r="H834" s="17" t="n">
        <v>0</v>
      </c>
      <c r="I834" s="17" t="n">
        <v>0</v>
      </c>
      <c r="J834" s="17" t="n">
        <v>0</v>
      </c>
      <c r="K834" s="17" t="n">
        <v>0</v>
      </c>
      <c r="L834" s="17" t="n">
        <v>0</v>
      </c>
      <c r="M834" s="17" t="n">
        <v>0</v>
      </c>
      <c r="N834" s="17" t="n">
        <v>0</v>
      </c>
      <c r="O834" s="26" t="n">
        <v>1</v>
      </c>
      <c r="P834" s="3" t="inlineStr">
        <is>
          <t>epoch_chip_quantity_latest</t>
        </is>
      </c>
      <c r="Q834" s="3" t="inlineStr">
        <is>
          <t>SRC_EPOCH_AI_DATA_CENTERS; EPOCH_RAW_CHIP_QUANTITIES</t>
        </is>
      </c>
      <c r="R834" s="3" t="inlineStr">
        <is>
          <t>Latest chip quantity per chip type through year-end; normalized by unit count into benchmark buckets.</t>
        </is>
      </c>
    </row>
    <row r="835">
      <c r="A835" s="3" t="inlineStr">
        <is>
          <t>Base|Microsoft Project Osmium|2030</t>
        </is>
      </c>
      <c r="B835" s="3" t="inlineStr">
        <is>
          <t>Base</t>
        </is>
      </c>
      <c r="C835" s="3" t="inlineStr">
        <is>
          <t>Microsoft Project Osmium</t>
        </is>
      </c>
      <c r="D835" s="3" t="n">
        <v>2030</v>
      </c>
      <c r="E835" s="3" t="inlineStr">
        <is>
          <t>Microsoft</t>
        </is>
      </c>
      <c r="F835" s="17" t="n">
        <v>0.559267</v>
      </c>
      <c r="G835" s="17" t="n">
        <v>0.440733</v>
      </c>
      <c r="H835" s="17" t="n">
        <v>0</v>
      </c>
      <c r="I835" s="17" t="n">
        <v>0</v>
      </c>
      <c r="J835" s="17" t="n">
        <v>0</v>
      </c>
      <c r="K835" s="17" t="n">
        <v>0</v>
      </c>
      <c r="L835" s="17" t="n">
        <v>0</v>
      </c>
      <c r="M835" s="17" t="n">
        <v>0</v>
      </c>
      <c r="N835" s="17" t="n">
        <v>0</v>
      </c>
      <c r="O835" s="26" t="n">
        <v>1</v>
      </c>
      <c r="P835" s="3" t="inlineStr">
        <is>
          <t>epoch_chip_quantity_latest</t>
        </is>
      </c>
      <c r="Q835" s="3" t="inlineStr">
        <is>
          <t>SRC_EPOCH_AI_DATA_CENTERS; EPOCH_RAW_CHIP_QUANTITIES</t>
        </is>
      </c>
      <c r="R835" s="3" t="inlineStr">
        <is>
          <t>Latest chip quantity per chip type through year-end; normalized by unit count into benchmark buckets.</t>
        </is>
      </c>
    </row>
    <row r="836">
      <c r="A836" s="3" t="inlineStr">
        <is>
          <t>Bull|Microsoft Project Osmium|2026</t>
        </is>
      </c>
      <c r="B836" s="3" t="inlineStr">
        <is>
          <t>Bull</t>
        </is>
      </c>
      <c r="C836" s="3" t="inlineStr">
        <is>
          <t>Microsoft Project Osmium</t>
        </is>
      </c>
      <c r="D836" s="3" t="n">
        <v>2026</v>
      </c>
      <c r="E836" s="3" t="inlineStr">
        <is>
          <t>Microsoft</t>
        </is>
      </c>
      <c r="F836" s="17" t="n">
        <v>0.559267</v>
      </c>
      <c r="G836" s="17" t="n">
        <v>0.440733</v>
      </c>
      <c r="H836" s="17" t="n">
        <v>0</v>
      </c>
      <c r="I836" s="17" t="n">
        <v>0</v>
      </c>
      <c r="J836" s="17" t="n">
        <v>0</v>
      </c>
      <c r="K836" s="17" t="n">
        <v>0</v>
      </c>
      <c r="L836" s="17" t="n">
        <v>0</v>
      </c>
      <c r="M836" s="17" t="n">
        <v>0</v>
      </c>
      <c r="N836" s="17" t="n">
        <v>0</v>
      </c>
      <c r="O836" s="26" t="n">
        <v>1</v>
      </c>
      <c r="P836" s="3" t="inlineStr">
        <is>
          <t>epoch_chip_quantity_latest</t>
        </is>
      </c>
      <c r="Q836" s="3" t="inlineStr">
        <is>
          <t>SRC_EPOCH_AI_DATA_CENTERS; EPOCH_RAW_CHIP_QUANTITIES</t>
        </is>
      </c>
      <c r="R836" s="3" t="inlineStr">
        <is>
          <t>Latest chip quantity per chip type through year-end; normalized by unit count into benchmark buckets.</t>
        </is>
      </c>
    </row>
    <row r="837">
      <c r="A837" s="3" t="inlineStr">
        <is>
          <t>Bull|Microsoft Project Osmium|2027</t>
        </is>
      </c>
      <c r="B837" s="3" t="inlineStr">
        <is>
          <t>Bull</t>
        </is>
      </c>
      <c r="C837" s="3" t="inlineStr">
        <is>
          <t>Microsoft Project Osmium</t>
        </is>
      </c>
      <c r="D837" s="3" t="n">
        <v>2027</v>
      </c>
      <c r="E837" s="3" t="inlineStr">
        <is>
          <t>Microsoft</t>
        </is>
      </c>
      <c r="F837" s="17" t="n">
        <v>0.559267</v>
      </c>
      <c r="G837" s="17" t="n">
        <v>0.440733</v>
      </c>
      <c r="H837" s="17" t="n">
        <v>0</v>
      </c>
      <c r="I837" s="17" t="n">
        <v>0</v>
      </c>
      <c r="J837" s="17" t="n">
        <v>0</v>
      </c>
      <c r="K837" s="17" t="n">
        <v>0</v>
      </c>
      <c r="L837" s="17" t="n">
        <v>0</v>
      </c>
      <c r="M837" s="17" t="n">
        <v>0</v>
      </c>
      <c r="N837" s="17" t="n">
        <v>0</v>
      </c>
      <c r="O837" s="26" t="n">
        <v>1</v>
      </c>
      <c r="P837" s="3" t="inlineStr">
        <is>
          <t>epoch_chip_quantity_latest</t>
        </is>
      </c>
      <c r="Q837" s="3" t="inlineStr">
        <is>
          <t>SRC_EPOCH_AI_DATA_CENTERS; EPOCH_RAW_CHIP_QUANTITIES</t>
        </is>
      </c>
      <c r="R837" s="3" t="inlineStr">
        <is>
          <t>Latest chip quantity per chip type through year-end; normalized by unit count into benchmark buckets.</t>
        </is>
      </c>
    </row>
    <row r="838">
      <c r="A838" s="3" t="inlineStr">
        <is>
          <t>Bull|Microsoft Project Osmium|2028</t>
        </is>
      </c>
      <c r="B838" s="3" t="inlineStr">
        <is>
          <t>Bull</t>
        </is>
      </c>
      <c r="C838" s="3" t="inlineStr">
        <is>
          <t>Microsoft Project Osmium</t>
        </is>
      </c>
      <c r="D838" s="3" t="n">
        <v>2028</v>
      </c>
      <c r="E838" s="3" t="inlineStr">
        <is>
          <t>Microsoft</t>
        </is>
      </c>
      <c r="F838" s="17" t="n">
        <v>0.559267</v>
      </c>
      <c r="G838" s="17" t="n">
        <v>0.440733</v>
      </c>
      <c r="H838" s="17" t="n">
        <v>0</v>
      </c>
      <c r="I838" s="17" t="n">
        <v>0</v>
      </c>
      <c r="J838" s="17" t="n">
        <v>0</v>
      </c>
      <c r="K838" s="17" t="n">
        <v>0</v>
      </c>
      <c r="L838" s="17" t="n">
        <v>0</v>
      </c>
      <c r="M838" s="17" t="n">
        <v>0</v>
      </c>
      <c r="N838" s="17" t="n">
        <v>0</v>
      </c>
      <c r="O838" s="26" t="n">
        <v>1</v>
      </c>
      <c r="P838" s="3" t="inlineStr">
        <is>
          <t>epoch_chip_quantity_latest</t>
        </is>
      </c>
      <c r="Q838" s="3" t="inlineStr">
        <is>
          <t>SRC_EPOCH_AI_DATA_CENTERS; EPOCH_RAW_CHIP_QUANTITIES</t>
        </is>
      </c>
      <c r="R838" s="3" t="inlineStr">
        <is>
          <t>Latest chip quantity per chip type through year-end; normalized by unit count into benchmark buckets.</t>
        </is>
      </c>
    </row>
    <row r="839">
      <c r="A839" s="3" t="inlineStr">
        <is>
          <t>Bull|Microsoft Project Osmium|2029</t>
        </is>
      </c>
      <c r="B839" s="3" t="inlineStr">
        <is>
          <t>Bull</t>
        </is>
      </c>
      <c r="C839" s="3" t="inlineStr">
        <is>
          <t>Microsoft Project Osmium</t>
        </is>
      </c>
      <c r="D839" s="3" t="n">
        <v>2029</v>
      </c>
      <c r="E839" s="3" t="inlineStr">
        <is>
          <t>Microsoft</t>
        </is>
      </c>
      <c r="F839" s="17" t="n">
        <v>0.559267</v>
      </c>
      <c r="G839" s="17" t="n">
        <v>0.440733</v>
      </c>
      <c r="H839" s="17" t="n">
        <v>0</v>
      </c>
      <c r="I839" s="17" t="n">
        <v>0</v>
      </c>
      <c r="J839" s="17" t="n">
        <v>0</v>
      </c>
      <c r="K839" s="17" t="n">
        <v>0</v>
      </c>
      <c r="L839" s="17" t="n">
        <v>0</v>
      </c>
      <c r="M839" s="17" t="n">
        <v>0</v>
      </c>
      <c r="N839" s="17" t="n">
        <v>0</v>
      </c>
      <c r="O839" s="26" t="n">
        <v>1</v>
      </c>
      <c r="P839" s="3" t="inlineStr">
        <is>
          <t>epoch_chip_quantity_latest</t>
        </is>
      </c>
      <c r="Q839" s="3" t="inlineStr">
        <is>
          <t>SRC_EPOCH_AI_DATA_CENTERS; EPOCH_RAW_CHIP_QUANTITIES</t>
        </is>
      </c>
      <c r="R839" s="3" t="inlineStr">
        <is>
          <t>Latest chip quantity per chip type through year-end; normalized by unit count into benchmark buckets.</t>
        </is>
      </c>
    </row>
    <row r="840">
      <c r="A840" s="3" t="inlineStr">
        <is>
          <t>Bull|Microsoft Project Osmium|2030</t>
        </is>
      </c>
      <c r="B840" s="3" t="inlineStr">
        <is>
          <t>Bull</t>
        </is>
      </c>
      <c r="C840" s="3" t="inlineStr">
        <is>
          <t>Microsoft Project Osmium</t>
        </is>
      </c>
      <c r="D840" s="3" t="n">
        <v>2030</v>
      </c>
      <c r="E840" s="3" t="inlineStr">
        <is>
          <t>Microsoft</t>
        </is>
      </c>
      <c r="F840" s="17" t="n">
        <v>0.559267</v>
      </c>
      <c r="G840" s="17" t="n">
        <v>0.440733</v>
      </c>
      <c r="H840" s="17" t="n">
        <v>0</v>
      </c>
      <c r="I840" s="17" t="n">
        <v>0</v>
      </c>
      <c r="J840" s="17" t="n">
        <v>0</v>
      </c>
      <c r="K840" s="17" t="n">
        <v>0</v>
      </c>
      <c r="L840" s="17" t="n">
        <v>0</v>
      </c>
      <c r="M840" s="17" t="n">
        <v>0</v>
      </c>
      <c r="N840" s="17" t="n">
        <v>0</v>
      </c>
      <c r="O840" s="26" t="n">
        <v>1</v>
      </c>
      <c r="P840" s="3" t="inlineStr">
        <is>
          <t>epoch_chip_quantity_latest</t>
        </is>
      </c>
      <c r="Q840" s="3" t="inlineStr">
        <is>
          <t>SRC_EPOCH_AI_DATA_CENTERS; EPOCH_RAW_CHIP_QUANTITIES</t>
        </is>
      </c>
      <c r="R840" s="3" t="inlineStr">
        <is>
          <t>Latest chip quantity per chip type through year-end; normalized by unit count into benchmark buckets.</t>
        </is>
      </c>
    </row>
    <row r="841">
      <c r="A841" s="3" t="inlineStr">
        <is>
          <t>Grid-Constrained / Efficiency-Upside|Microsoft Project Osmium|2026</t>
        </is>
      </c>
      <c r="B841" s="3" t="inlineStr">
        <is>
          <t>Grid-Constrained / Efficiency-Upside</t>
        </is>
      </c>
      <c r="C841" s="3" t="inlineStr">
        <is>
          <t>Microsoft Project Osmium</t>
        </is>
      </c>
      <c r="D841" s="3" t="n">
        <v>2026</v>
      </c>
      <c r="E841" s="3" t="inlineStr">
        <is>
          <t>Microsoft</t>
        </is>
      </c>
      <c r="F841" s="17" t="n">
        <v>0.559267</v>
      </c>
      <c r="G841" s="17" t="n">
        <v>0.440733</v>
      </c>
      <c r="H841" s="17" t="n">
        <v>0</v>
      </c>
      <c r="I841" s="17" t="n">
        <v>0</v>
      </c>
      <c r="J841" s="17" t="n">
        <v>0</v>
      </c>
      <c r="K841" s="17" t="n">
        <v>0</v>
      </c>
      <c r="L841" s="17" t="n">
        <v>0</v>
      </c>
      <c r="M841" s="17" t="n">
        <v>0</v>
      </c>
      <c r="N841" s="17" t="n">
        <v>0</v>
      </c>
      <c r="O841" s="26" t="n">
        <v>1</v>
      </c>
      <c r="P841" s="3" t="inlineStr">
        <is>
          <t>epoch_chip_quantity_latest</t>
        </is>
      </c>
      <c r="Q841" s="3" t="inlineStr">
        <is>
          <t>SRC_EPOCH_AI_DATA_CENTERS; EPOCH_RAW_CHIP_QUANTITIES</t>
        </is>
      </c>
      <c r="R841" s="3" t="inlineStr">
        <is>
          <t>Latest chip quantity per chip type through year-end; normalized by unit count into benchmark buckets.</t>
        </is>
      </c>
    </row>
    <row r="842">
      <c r="A842" s="3" t="inlineStr">
        <is>
          <t>Grid-Constrained / Efficiency-Upside|Microsoft Project Osmium|2027</t>
        </is>
      </c>
      <c r="B842" s="3" t="inlineStr">
        <is>
          <t>Grid-Constrained / Efficiency-Upside</t>
        </is>
      </c>
      <c r="C842" s="3" t="inlineStr">
        <is>
          <t>Microsoft Project Osmium</t>
        </is>
      </c>
      <c r="D842" s="3" t="n">
        <v>2027</v>
      </c>
      <c r="E842" s="3" t="inlineStr">
        <is>
          <t>Microsoft</t>
        </is>
      </c>
      <c r="F842" s="17" t="n">
        <v>0.559267</v>
      </c>
      <c r="G842" s="17" t="n">
        <v>0.440733</v>
      </c>
      <c r="H842" s="17" t="n">
        <v>0</v>
      </c>
      <c r="I842" s="17" t="n">
        <v>0</v>
      </c>
      <c r="J842" s="17" t="n">
        <v>0</v>
      </c>
      <c r="K842" s="17" t="n">
        <v>0</v>
      </c>
      <c r="L842" s="17" t="n">
        <v>0</v>
      </c>
      <c r="M842" s="17" t="n">
        <v>0</v>
      </c>
      <c r="N842" s="17" t="n">
        <v>0</v>
      </c>
      <c r="O842" s="26" t="n">
        <v>1</v>
      </c>
      <c r="P842" s="3" t="inlineStr">
        <is>
          <t>epoch_chip_quantity_latest</t>
        </is>
      </c>
      <c r="Q842" s="3" t="inlineStr">
        <is>
          <t>SRC_EPOCH_AI_DATA_CENTERS; EPOCH_RAW_CHIP_QUANTITIES</t>
        </is>
      </c>
      <c r="R842" s="3" t="inlineStr">
        <is>
          <t>Latest chip quantity per chip type through year-end; normalized by unit count into benchmark buckets.</t>
        </is>
      </c>
    </row>
    <row r="843">
      <c r="A843" s="3" t="inlineStr">
        <is>
          <t>Grid-Constrained / Efficiency-Upside|Microsoft Project Osmium|2028</t>
        </is>
      </c>
      <c r="B843" s="3" t="inlineStr">
        <is>
          <t>Grid-Constrained / Efficiency-Upside</t>
        </is>
      </c>
      <c r="C843" s="3" t="inlineStr">
        <is>
          <t>Microsoft Project Osmium</t>
        </is>
      </c>
      <c r="D843" s="3" t="n">
        <v>2028</v>
      </c>
      <c r="E843" s="3" t="inlineStr">
        <is>
          <t>Microsoft</t>
        </is>
      </c>
      <c r="F843" s="17" t="n">
        <v>0.559267</v>
      </c>
      <c r="G843" s="17" t="n">
        <v>0.440733</v>
      </c>
      <c r="H843" s="17" t="n">
        <v>0</v>
      </c>
      <c r="I843" s="17" t="n">
        <v>0</v>
      </c>
      <c r="J843" s="17" t="n">
        <v>0</v>
      </c>
      <c r="K843" s="17" t="n">
        <v>0</v>
      </c>
      <c r="L843" s="17" t="n">
        <v>0</v>
      </c>
      <c r="M843" s="17" t="n">
        <v>0</v>
      </c>
      <c r="N843" s="17" t="n">
        <v>0</v>
      </c>
      <c r="O843" s="26" t="n">
        <v>1</v>
      </c>
      <c r="P843" s="3" t="inlineStr">
        <is>
          <t>epoch_chip_quantity_latest</t>
        </is>
      </c>
      <c r="Q843" s="3" t="inlineStr">
        <is>
          <t>SRC_EPOCH_AI_DATA_CENTERS; EPOCH_RAW_CHIP_QUANTITIES</t>
        </is>
      </c>
      <c r="R843" s="3" t="inlineStr">
        <is>
          <t>Latest chip quantity per chip type through year-end; normalized by unit count into benchmark buckets.</t>
        </is>
      </c>
    </row>
    <row r="844">
      <c r="A844" s="3" t="inlineStr">
        <is>
          <t>Grid-Constrained / Efficiency-Upside|Microsoft Project Osmium|2029</t>
        </is>
      </c>
      <c r="B844" s="3" t="inlineStr">
        <is>
          <t>Grid-Constrained / Efficiency-Upside</t>
        </is>
      </c>
      <c r="C844" s="3" t="inlineStr">
        <is>
          <t>Microsoft Project Osmium</t>
        </is>
      </c>
      <c r="D844" s="3" t="n">
        <v>2029</v>
      </c>
      <c r="E844" s="3" t="inlineStr">
        <is>
          <t>Microsoft</t>
        </is>
      </c>
      <c r="F844" s="17" t="n">
        <v>0.559267</v>
      </c>
      <c r="G844" s="17" t="n">
        <v>0.440733</v>
      </c>
      <c r="H844" s="17" t="n">
        <v>0</v>
      </c>
      <c r="I844" s="17" t="n">
        <v>0</v>
      </c>
      <c r="J844" s="17" t="n">
        <v>0</v>
      </c>
      <c r="K844" s="17" t="n">
        <v>0</v>
      </c>
      <c r="L844" s="17" t="n">
        <v>0</v>
      </c>
      <c r="M844" s="17" t="n">
        <v>0</v>
      </c>
      <c r="N844" s="17" t="n">
        <v>0</v>
      </c>
      <c r="O844" s="26" t="n">
        <v>1</v>
      </c>
      <c r="P844" s="3" t="inlineStr">
        <is>
          <t>epoch_chip_quantity_latest</t>
        </is>
      </c>
      <c r="Q844" s="3" t="inlineStr">
        <is>
          <t>SRC_EPOCH_AI_DATA_CENTERS; EPOCH_RAW_CHIP_QUANTITIES</t>
        </is>
      </c>
      <c r="R844" s="3" t="inlineStr">
        <is>
          <t>Latest chip quantity per chip type through year-end; normalized by unit count into benchmark buckets.</t>
        </is>
      </c>
    </row>
    <row r="845">
      <c r="A845" s="3" t="inlineStr">
        <is>
          <t>Grid-Constrained / Efficiency-Upside|Microsoft Project Osmium|2030</t>
        </is>
      </c>
      <c r="B845" s="3" t="inlineStr">
        <is>
          <t>Grid-Constrained / Efficiency-Upside</t>
        </is>
      </c>
      <c r="C845" s="3" t="inlineStr">
        <is>
          <t>Microsoft Project Osmium</t>
        </is>
      </c>
      <c r="D845" s="3" t="n">
        <v>2030</v>
      </c>
      <c r="E845" s="3" t="inlineStr">
        <is>
          <t>Microsoft</t>
        </is>
      </c>
      <c r="F845" s="17" t="n">
        <v>0.559267</v>
      </c>
      <c r="G845" s="17" t="n">
        <v>0.440733</v>
      </c>
      <c r="H845" s="17" t="n">
        <v>0</v>
      </c>
      <c r="I845" s="17" t="n">
        <v>0</v>
      </c>
      <c r="J845" s="17" t="n">
        <v>0</v>
      </c>
      <c r="K845" s="17" t="n">
        <v>0</v>
      </c>
      <c r="L845" s="17" t="n">
        <v>0</v>
      </c>
      <c r="M845" s="17" t="n">
        <v>0</v>
      </c>
      <c r="N845" s="17" t="n">
        <v>0</v>
      </c>
      <c r="O845" s="26" t="n">
        <v>1</v>
      </c>
      <c r="P845" s="3" t="inlineStr">
        <is>
          <t>epoch_chip_quantity_latest</t>
        </is>
      </c>
      <c r="Q845" s="3" t="inlineStr">
        <is>
          <t>SRC_EPOCH_AI_DATA_CENTERS; EPOCH_RAW_CHIP_QUANTITIES</t>
        </is>
      </c>
      <c r="R845" s="3" t="inlineStr">
        <is>
          <t>Latest chip quantity per chip type through year-end; normalized by unit count into benchmark buckets.</t>
        </is>
      </c>
    </row>
    <row r="846">
      <c r="A846" s="3" t="inlineStr">
        <is>
          <t>Bear|OpenAI Stargate Abilene|2026</t>
        </is>
      </c>
      <c r="B846" s="3" t="inlineStr">
        <is>
          <t>Bear</t>
        </is>
      </c>
      <c r="C846" s="3" t="inlineStr">
        <is>
          <t>OpenAI Stargate Abilene</t>
        </is>
      </c>
      <c r="D846" s="3" t="n">
        <v>2026</v>
      </c>
      <c r="E846" s="3" t="inlineStr">
        <is>
          <t>Oracle</t>
        </is>
      </c>
      <c r="F846" s="17" t="n">
        <v>0</v>
      </c>
      <c r="G846" s="17" t="n">
        <v>1</v>
      </c>
      <c r="H846" s="17" t="n">
        <v>0</v>
      </c>
      <c r="I846" s="17" t="n">
        <v>0</v>
      </c>
      <c r="J846" s="17" t="n">
        <v>0</v>
      </c>
      <c r="K846" s="17" t="n">
        <v>0</v>
      </c>
      <c r="L846" s="17" t="n">
        <v>0</v>
      </c>
      <c r="M846" s="17" t="n">
        <v>0</v>
      </c>
      <c r="N846" s="17" t="n">
        <v>0</v>
      </c>
      <c r="O846" s="26" t="n">
        <v>1</v>
      </c>
      <c r="P846" s="3" t="inlineStr">
        <is>
          <t>epoch_chip_quantity_latest</t>
        </is>
      </c>
      <c r="Q846" s="3" t="inlineStr">
        <is>
          <t>SRC_EPOCH_AI_DATA_CENTERS; EPOCH_RAW_CHIP_QUANTITIES</t>
        </is>
      </c>
      <c r="R846" s="3" t="inlineStr">
        <is>
          <t>Latest chip quantity per chip type through year-end; normalized by unit count into benchmark buckets.</t>
        </is>
      </c>
    </row>
    <row r="847">
      <c r="A847" s="3" t="inlineStr">
        <is>
          <t>Bear|OpenAI Stargate Abilene|2027</t>
        </is>
      </c>
      <c r="B847" s="3" t="inlineStr">
        <is>
          <t>Bear</t>
        </is>
      </c>
      <c r="C847" s="3" t="inlineStr">
        <is>
          <t>OpenAI Stargate Abilene</t>
        </is>
      </c>
      <c r="D847" s="3" t="n">
        <v>2027</v>
      </c>
      <c r="E847" s="3" t="inlineStr">
        <is>
          <t>Oracle</t>
        </is>
      </c>
      <c r="F847" s="17" t="n">
        <v>0</v>
      </c>
      <c r="G847" s="17" t="n">
        <v>1</v>
      </c>
      <c r="H847" s="17" t="n">
        <v>0</v>
      </c>
      <c r="I847" s="17" t="n">
        <v>0</v>
      </c>
      <c r="J847" s="17" t="n">
        <v>0</v>
      </c>
      <c r="K847" s="17" t="n">
        <v>0</v>
      </c>
      <c r="L847" s="17" t="n">
        <v>0</v>
      </c>
      <c r="M847" s="17" t="n">
        <v>0</v>
      </c>
      <c r="N847" s="17" t="n">
        <v>0</v>
      </c>
      <c r="O847" s="26" t="n">
        <v>1</v>
      </c>
      <c r="P847" s="3" t="inlineStr">
        <is>
          <t>epoch_chip_quantity_latest</t>
        </is>
      </c>
      <c r="Q847" s="3" t="inlineStr">
        <is>
          <t>SRC_EPOCH_AI_DATA_CENTERS; EPOCH_RAW_CHIP_QUANTITIES</t>
        </is>
      </c>
      <c r="R847" s="3" t="inlineStr">
        <is>
          <t>Latest chip quantity per chip type through year-end; normalized by unit count into benchmark buckets.</t>
        </is>
      </c>
    </row>
    <row r="848">
      <c r="A848" s="3" t="inlineStr">
        <is>
          <t>Bear|OpenAI Stargate Abilene|2028</t>
        </is>
      </c>
      <c r="B848" s="3" t="inlineStr">
        <is>
          <t>Bear</t>
        </is>
      </c>
      <c r="C848" s="3" t="inlineStr">
        <is>
          <t>OpenAI Stargate Abilene</t>
        </is>
      </c>
      <c r="D848" s="3" t="n">
        <v>2028</v>
      </c>
      <c r="E848" s="3" t="inlineStr">
        <is>
          <t>Oracle</t>
        </is>
      </c>
      <c r="F848" s="17" t="n">
        <v>0</v>
      </c>
      <c r="G848" s="17" t="n">
        <v>1</v>
      </c>
      <c r="H848" s="17" t="n">
        <v>0</v>
      </c>
      <c r="I848" s="17" t="n">
        <v>0</v>
      </c>
      <c r="J848" s="17" t="n">
        <v>0</v>
      </c>
      <c r="K848" s="17" t="n">
        <v>0</v>
      </c>
      <c r="L848" s="17" t="n">
        <v>0</v>
      </c>
      <c r="M848" s="17" t="n">
        <v>0</v>
      </c>
      <c r="N848" s="17" t="n">
        <v>0</v>
      </c>
      <c r="O848" s="26" t="n">
        <v>1</v>
      </c>
      <c r="P848" s="3" t="inlineStr">
        <is>
          <t>epoch_chip_quantity_latest</t>
        </is>
      </c>
      <c r="Q848" s="3" t="inlineStr">
        <is>
          <t>SRC_EPOCH_AI_DATA_CENTERS; EPOCH_RAW_CHIP_QUANTITIES</t>
        </is>
      </c>
      <c r="R848" s="3" t="inlineStr">
        <is>
          <t>Latest chip quantity per chip type through year-end; normalized by unit count into benchmark buckets.</t>
        </is>
      </c>
    </row>
    <row r="849">
      <c r="A849" s="3" t="inlineStr">
        <is>
          <t>Bear|OpenAI Stargate Abilene|2029</t>
        </is>
      </c>
      <c r="B849" s="3" t="inlineStr">
        <is>
          <t>Bear</t>
        </is>
      </c>
      <c r="C849" s="3" t="inlineStr">
        <is>
          <t>OpenAI Stargate Abilene</t>
        </is>
      </c>
      <c r="D849" s="3" t="n">
        <v>2029</v>
      </c>
      <c r="E849" s="3" t="inlineStr">
        <is>
          <t>Oracle</t>
        </is>
      </c>
      <c r="F849" s="17" t="n">
        <v>0</v>
      </c>
      <c r="G849" s="17" t="n">
        <v>1</v>
      </c>
      <c r="H849" s="17" t="n">
        <v>0</v>
      </c>
      <c r="I849" s="17" t="n">
        <v>0</v>
      </c>
      <c r="J849" s="17" t="n">
        <v>0</v>
      </c>
      <c r="K849" s="17" t="n">
        <v>0</v>
      </c>
      <c r="L849" s="17" t="n">
        <v>0</v>
      </c>
      <c r="M849" s="17" t="n">
        <v>0</v>
      </c>
      <c r="N849" s="17" t="n">
        <v>0</v>
      </c>
      <c r="O849" s="26" t="n">
        <v>1</v>
      </c>
      <c r="P849" s="3" t="inlineStr">
        <is>
          <t>epoch_chip_quantity_latest</t>
        </is>
      </c>
      <c r="Q849" s="3" t="inlineStr">
        <is>
          <t>SRC_EPOCH_AI_DATA_CENTERS; EPOCH_RAW_CHIP_QUANTITIES</t>
        </is>
      </c>
      <c r="R849" s="3" t="inlineStr">
        <is>
          <t>Latest chip quantity per chip type through year-end; normalized by unit count into benchmark buckets.</t>
        </is>
      </c>
    </row>
    <row r="850">
      <c r="A850" s="3" t="inlineStr">
        <is>
          <t>Bear|OpenAI Stargate Abilene|2030</t>
        </is>
      </c>
      <c r="B850" s="3" t="inlineStr">
        <is>
          <t>Bear</t>
        </is>
      </c>
      <c r="C850" s="3" t="inlineStr">
        <is>
          <t>OpenAI Stargate Abilene</t>
        </is>
      </c>
      <c r="D850" s="3" t="n">
        <v>2030</v>
      </c>
      <c r="E850" s="3" t="inlineStr">
        <is>
          <t>Oracle</t>
        </is>
      </c>
      <c r="F850" s="17" t="n">
        <v>0</v>
      </c>
      <c r="G850" s="17" t="n">
        <v>1</v>
      </c>
      <c r="H850" s="17" t="n">
        <v>0</v>
      </c>
      <c r="I850" s="17" t="n">
        <v>0</v>
      </c>
      <c r="J850" s="17" t="n">
        <v>0</v>
      </c>
      <c r="K850" s="17" t="n">
        <v>0</v>
      </c>
      <c r="L850" s="17" t="n">
        <v>0</v>
      </c>
      <c r="M850" s="17" t="n">
        <v>0</v>
      </c>
      <c r="N850" s="17" t="n">
        <v>0</v>
      </c>
      <c r="O850" s="26" t="n">
        <v>1</v>
      </c>
      <c r="P850" s="3" t="inlineStr">
        <is>
          <t>epoch_chip_quantity_latest</t>
        </is>
      </c>
      <c r="Q850" s="3" t="inlineStr">
        <is>
          <t>SRC_EPOCH_AI_DATA_CENTERS; EPOCH_RAW_CHIP_QUANTITIES</t>
        </is>
      </c>
      <c r="R850" s="3" t="inlineStr">
        <is>
          <t>Latest chip quantity per chip type through year-end; normalized by unit count into benchmark buckets.</t>
        </is>
      </c>
    </row>
    <row r="851">
      <c r="A851" s="3" t="inlineStr">
        <is>
          <t>Base|OpenAI Stargate Abilene|2026</t>
        </is>
      </c>
      <c r="B851" s="3" t="inlineStr">
        <is>
          <t>Base</t>
        </is>
      </c>
      <c r="C851" s="3" t="inlineStr">
        <is>
          <t>OpenAI Stargate Abilene</t>
        </is>
      </c>
      <c r="D851" s="3" t="n">
        <v>2026</v>
      </c>
      <c r="E851" s="3" t="inlineStr">
        <is>
          <t>Oracle</t>
        </is>
      </c>
      <c r="F851" s="17" t="n">
        <v>0</v>
      </c>
      <c r="G851" s="17" t="n">
        <v>1</v>
      </c>
      <c r="H851" s="17" t="n">
        <v>0</v>
      </c>
      <c r="I851" s="17" t="n">
        <v>0</v>
      </c>
      <c r="J851" s="17" t="n">
        <v>0</v>
      </c>
      <c r="K851" s="17" t="n">
        <v>0</v>
      </c>
      <c r="L851" s="17" t="n">
        <v>0</v>
      </c>
      <c r="M851" s="17" t="n">
        <v>0</v>
      </c>
      <c r="N851" s="17" t="n">
        <v>0</v>
      </c>
      <c r="O851" s="26" t="n">
        <v>1</v>
      </c>
      <c r="P851" s="3" t="inlineStr">
        <is>
          <t>epoch_chip_quantity_latest</t>
        </is>
      </c>
      <c r="Q851" s="3" t="inlineStr">
        <is>
          <t>SRC_EPOCH_AI_DATA_CENTERS; EPOCH_RAW_CHIP_QUANTITIES</t>
        </is>
      </c>
      <c r="R851" s="3" t="inlineStr">
        <is>
          <t>Latest chip quantity per chip type through year-end; normalized by unit count into benchmark buckets.</t>
        </is>
      </c>
    </row>
    <row r="852">
      <c r="A852" s="3" t="inlineStr">
        <is>
          <t>Base|OpenAI Stargate Abilene|2027</t>
        </is>
      </c>
      <c r="B852" s="3" t="inlineStr">
        <is>
          <t>Base</t>
        </is>
      </c>
      <c r="C852" s="3" t="inlineStr">
        <is>
          <t>OpenAI Stargate Abilene</t>
        </is>
      </c>
      <c r="D852" s="3" t="n">
        <v>2027</v>
      </c>
      <c r="E852" s="3" t="inlineStr">
        <is>
          <t>Oracle</t>
        </is>
      </c>
      <c r="F852" s="17" t="n">
        <v>0</v>
      </c>
      <c r="G852" s="17" t="n">
        <v>1</v>
      </c>
      <c r="H852" s="17" t="n">
        <v>0</v>
      </c>
      <c r="I852" s="17" t="n">
        <v>0</v>
      </c>
      <c r="J852" s="17" t="n">
        <v>0</v>
      </c>
      <c r="K852" s="17" t="n">
        <v>0</v>
      </c>
      <c r="L852" s="17" t="n">
        <v>0</v>
      </c>
      <c r="M852" s="17" t="n">
        <v>0</v>
      </c>
      <c r="N852" s="17" t="n">
        <v>0</v>
      </c>
      <c r="O852" s="26" t="n">
        <v>1</v>
      </c>
      <c r="P852" s="3" t="inlineStr">
        <is>
          <t>epoch_chip_quantity_latest</t>
        </is>
      </c>
      <c r="Q852" s="3" t="inlineStr">
        <is>
          <t>SRC_EPOCH_AI_DATA_CENTERS; EPOCH_RAW_CHIP_QUANTITIES</t>
        </is>
      </c>
      <c r="R852" s="3" t="inlineStr">
        <is>
          <t>Latest chip quantity per chip type through year-end; normalized by unit count into benchmark buckets.</t>
        </is>
      </c>
    </row>
    <row r="853">
      <c r="A853" s="3" t="inlineStr">
        <is>
          <t>Base|OpenAI Stargate Abilene|2028</t>
        </is>
      </c>
      <c r="B853" s="3" t="inlineStr">
        <is>
          <t>Base</t>
        </is>
      </c>
      <c r="C853" s="3" t="inlineStr">
        <is>
          <t>OpenAI Stargate Abilene</t>
        </is>
      </c>
      <c r="D853" s="3" t="n">
        <v>2028</v>
      </c>
      <c r="E853" s="3" t="inlineStr">
        <is>
          <t>Oracle</t>
        </is>
      </c>
      <c r="F853" s="17" t="n">
        <v>0</v>
      </c>
      <c r="G853" s="17" t="n">
        <v>1</v>
      </c>
      <c r="H853" s="17" t="n">
        <v>0</v>
      </c>
      <c r="I853" s="17" t="n">
        <v>0</v>
      </c>
      <c r="J853" s="17" t="n">
        <v>0</v>
      </c>
      <c r="K853" s="17" t="n">
        <v>0</v>
      </c>
      <c r="L853" s="17" t="n">
        <v>0</v>
      </c>
      <c r="M853" s="17" t="n">
        <v>0</v>
      </c>
      <c r="N853" s="17" t="n">
        <v>0</v>
      </c>
      <c r="O853" s="26" t="n">
        <v>1</v>
      </c>
      <c r="P853" s="3" t="inlineStr">
        <is>
          <t>epoch_chip_quantity_latest</t>
        </is>
      </c>
      <c r="Q853" s="3" t="inlineStr">
        <is>
          <t>SRC_EPOCH_AI_DATA_CENTERS; EPOCH_RAW_CHIP_QUANTITIES</t>
        </is>
      </c>
      <c r="R853" s="3" t="inlineStr">
        <is>
          <t>Latest chip quantity per chip type through year-end; normalized by unit count into benchmark buckets.</t>
        </is>
      </c>
    </row>
    <row r="854">
      <c r="A854" s="3" t="inlineStr">
        <is>
          <t>Base|OpenAI Stargate Abilene|2029</t>
        </is>
      </c>
      <c r="B854" s="3" t="inlineStr">
        <is>
          <t>Base</t>
        </is>
      </c>
      <c r="C854" s="3" t="inlineStr">
        <is>
          <t>OpenAI Stargate Abilene</t>
        </is>
      </c>
      <c r="D854" s="3" t="n">
        <v>2029</v>
      </c>
      <c r="E854" s="3" t="inlineStr">
        <is>
          <t>Oracle</t>
        </is>
      </c>
      <c r="F854" s="17" t="n">
        <v>0</v>
      </c>
      <c r="G854" s="17" t="n">
        <v>1</v>
      </c>
      <c r="H854" s="17" t="n">
        <v>0</v>
      </c>
      <c r="I854" s="17" t="n">
        <v>0</v>
      </c>
      <c r="J854" s="17" t="n">
        <v>0</v>
      </c>
      <c r="K854" s="17" t="n">
        <v>0</v>
      </c>
      <c r="L854" s="17" t="n">
        <v>0</v>
      </c>
      <c r="M854" s="17" t="n">
        <v>0</v>
      </c>
      <c r="N854" s="17" t="n">
        <v>0</v>
      </c>
      <c r="O854" s="26" t="n">
        <v>1</v>
      </c>
      <c r="P854" s="3" t="inlineStr">
        <is>
          <t>epoch_chip_quantity_latest</t>
        </is>
      </c>
      <c r="Q854" s="3" t="inlineStr">
        <is>
          <t>SRC_EPOCH_AI_DATA_CENTERS; EPOCH_RAW_CHIP_QUANTITIES</t>
        </is>
      </c>
      <c r="R854" s="3" t="inlineStr">
        <is>
          <t>Latest chip quantity per chip type through year-end; normalized by unit count into benchmark buckets.</t>
        </is>
      </c>
    </row>
    <row r="855">
      <c r="A855" s="3" t="inlineStr">
        <is>
          <t>Base|OpenAI Stargate Abilene|2030</t>
        </is>
      </c>
      <c r="B855" s="3" t="inlineStr">
        <is>
          <t>Base</t>
        </is>
      </c>
      <c r="C855" s="3" t="inlineStr">
        <is>
          <t>OpenAI Stargate Abilene</t>
        </is>
      </c>
      <c r="D855" s="3" t="n">
        <v>2030</v>
      </c>
      <c r="E855" s="3" t="inlineStr">
        <is>
          <t>Oracle</t>
        </is>
      </c>
      <c r="F855" s="17" t="n">
        <v>0</v>
      </c>
      <c r="G855" s="17" t="n">
        <v>1</v>
      </c>
      <c r="H855" s="17" t="n">
        <v>0</v>
      </c>
      <c r="I855" s="17" t="n">
        <v>0</v>
      </c>
      <c r="J855" s="17" t="n">
        <v>0</v>
      </c>
      <c r="K855" s="17" t="n">
        <v>0</v>
      </c>
      <c r="L855" s="17" t="n">
        <v>0</v>
      </c>
      <c r="M855" s="17" t="n">
        <v>0</v>
      </c>
      <c r="N855" s="17" t="n">
        <v>0</v>
      </c>
      <c r="O855" s="26" t="n">
        <v>1</v>
      </c>
      <c r="P855" s="3" t="inlineStr">
        <is>
          <t>epoch_chip_quantity_latest</t>
        </is>
      </c>
      <c r="Q855" s="3" t="inlineStr">
        <is>
          <t>SRC_EPOCH_AI_DATA_CENTERS; EPOCH_RAW_CHIP_QUANTITIES</t>
        </is>
      </c>
      <c r="R855" s="3" t="inlineStr">
        <is>
          <t>Latest chip quantity per chip type through year-end; normalized by unit count into benchmark buckets.</t>
        </is>
      </c>
    </row>
    <row r="856">
      <c r="A856" s="3" t="inlineStr">
        <is>
          <t>Bull|OpenAI Stargate Abilene|2026</t>
        </is>
      </c>
      <c r="B856" s="3" t="inlineStr">
        <is>
          <t>Bull</t>
        </is>
      </c>
      <c r="C856" s="3" t="inlineStr">
        <is>
          <t>OpenAI Stargate Abilene</t>
        </is>
      </c>
      <c r="D856" s="3" t="n">
        <v>2026</v>
      </c>
      <c r="E856" s="3" t="inlineStr">
        <is>
          <t>Oracle</t>
        </is>
      </c>
      <c r="F856" s="17" t="n">
        <v>0</v>
      </c>
      <c r="G856" s="17" t="n">
        <v>1</v>
      </c>
      <c r="H856" s="17" t="n">
        <v>0</v>
      </c>
      <c r="I856" s="17" t="n">
        <v>0</v>
      </c>
      <c r="J856" s="17" t="n">
        <v>0</v>
      </c>
      <c r="K856" s="17" t="n">
        <v>0</v>
      </c>
      <c r="L856" s="17" t="n">
        <v>0</v>
      </c>
      <c r="M856" s="17" t="n">
        <v>0</v>
      </c>
      <c r="N856" s="17" t="n">
        <v>0</v>
      </c>
      <c r="O856" s="26" t="n">
        <v>1</v>
      </c>
      <c r="P856" s="3" t="inlineStr">
        <is>
          <t>epoch_chip_quantity_latest</t>
        </is>
      </c>
      <c r="Q856" s="3" t="inlineStr">
        <is>
          <t>SRC_EPOCH_AI_DATA_CENTERS; EPOCH_RAW_CHIP_QUANTITIES</t>
        </is>
      </c>
      <c r="R856" s="3" t="inlineStr">
        <is>
          <t>Latest chip quantity per chip type through year-end; normalized by unit count into benchmark buckets.</t>
        </is>
      </c>
    </row>
    <row r="857">
      <c r="A857" s="3" t="inlineStr">
        <is>
          <t>Bull|OpenAI Stargate Abilene|2027</t>
        </is>
      </c>
      <c r="B857" s="3" t="inlineStr">
        <is>
          <t>Bull</t>
        </is>
      </c>
      <c r="C857" s="3" t="inlineStr">
        <is>
          <t>OpenAI Stargate Abilene</t>
        </is>
      </c>
      <c r="D857" s="3" t="n">
        <v>2027</v>
      </c>
      <c r="E857" s="3" t="inlineStr">
        <is>
          <t>Oracle</t>
        </is>
      </c>
      <c r="F857" s="17" t="n">
        <v>0</v>
      </c>
      <c r="G857" s="17" t="n">
        <v>1</v>
      </c>
      <c r="H857" s="17" t="n">
        <v>0</v>
      </c>
      <c r="I857" s="17" t="n">
        <v>0</v>
      </c>
      <c r="J857" s="17" t="n">
        <v>0</v>
      </c>
      <c r="K857" s="17" t="n">
        <v>0</v>
      </c>
      <c r="L857" s="17" t="n">
        <v>0</v>
      </c>
      <c r="M857" s="17" t="n">
        <v>0</v>
      </c>
      <c r="N857" s="17" t="n">
        <v>0</v>
      </c>
      <c r="O857" s="26" t="n">
        <v>1</v>
      </c>
      <c r="P857" s="3" t="inlineStr">
        <is>
          <t>epoch_chip_quantity_latest</t>
        </is>
      </c>
      <c r="Q857" s="3" t="inlineStr">
        <is>
          <t>SRC_EPOCH_AI_DATA_CENTERS; EPOCH_RAW_CHIP_QUANTITIES</t>
        </is>
      </c>
      <c r="R857" s="3" t="inlineStr">
        <is>
          <t>Latest chip quantity per chip type through year-end; normalized by unit count into benchmark buckets.</t>
        </is>
      </c>
    </row>
    <row r="858">
      <c r="A858" s="3" t="inlineStr">
        <is>
          <t>Bull|OpenAI Stargate Abilene|2028</t>
        </is>
      </c>
      <c r="B858" s="3" t="inlineStr">
        <is>
          <t>Bull</t>
        </is>
      </c>
      <c r="C858" s="3" t="inlineStr">
        <is>
          <t>OpenAI Stargate Abilene</t>
        </is>
      </c>
      <c r="D858" s="3" t="n">
        <v>2028</v>
      </c>
      <c r="E858" s="3" t="inlineStr">
        <is>
          <t>Oracle</t>
        </is>
      </c>
      <c r="F858" s="17" t="n">
        <v>0</v>
      </c>
      <c r="G858" s="17" t="n">
        <v>1</v>
      </c>
      <c r="H858" s="17" t="n">
        <v>0</v>
      </c>
      <c r="I858" s="17" t="n">
        <v>0</v>
      </c>
      <c r="J858" s="17" t="n">
        <v>0</v>
      </c>
      <c r="K858" s="17" t="n">
        <v>0</v>
      </c>
      <c r="L858" s="17" t="n">
        <v>0</v>
      </c>
      <c r="M858" s="17" t="n">
        <v>0</v>
      </c>
      <c r="N858" s="17" t="n">
        <v>0</v>
      </c>
      <c r="O858" s="26" t="n">
        <v>1</v>
      </c>
      <c r="P858" s="3" t="inlineStr">
        <is>
          <t>epoch_chip_quantity_latest</t>
        </is>
      </c>
      <c r="Q858" s="3" t="inlineStr">
        <is>
          <t>SRC_EPOCH_AI_DATA_CENTERS; EPOCH_RAW_CHIP_QUANTITIES</t>
        </is>
      </c>
      <c r="R858" s="3" t="inlineStr">
        <is>
          <t>Latest chip quantity per chip type through year-end; normalized by unit count into benchmark buckets.</t>
        </is>
      </c>
    </row>
    <row r="859">
      <c r="A859" s="3" t="inlineStr">
        <is>
          <t>Bull|OpenAI Stargate Abilene|2029</t>
        </is>
      </c>
      <c r="B859" s="3" t="inlineStr">
        <is>
          <t>Bull</t>
        </is>
      </c>
      <c r="C859" s="3" t="inlineStr">
        <is>
          <t>OpenAI Stargate Abilene</t>
        </is>
      </c>
      <c r="D859" s="3" t="n">
        <v>2029</v>
      </c>
      <c r="E859" s="3" t="inlineStr">
        <is>
          <t>Oracle</t>
        </is>
      </c>
      <c r="F859" s="17" t="n">
        <v>0</v>
      </c>
      <c r="G859" s="17" t="n">
        <v>1</v>
      </c>
      <c r="H859" s="17" t="n">
        <v>0</v>
      </c>
      <c r="I859" s="17" t="n">
        <v>0</v>
      </c>
      <c r="J859" s="17" t="n">
        <v>0</v>
      </c>
      <c r="K859" s="17" t="n">
        <v>0</v>
      </c>
      <c r="L859" s="17" t="n">
        <v>0</v>
      </c>
      <c r="M859" s="17" t="n">
        <v>0</v>
      </c>
      <c r="N859" s="17" t="n">
        <v>0</v>
      </c>
      <c r="O859" s="26" t="n">
        <v>1</v>
      </c>
      <c r="P859" s="3" t="inlineStr">
        <is>
          <t>epoch_chip_quantity_latest</t>
        </is>
      </c>
      <c r="Q859" s="3" t="inlineStr">
        <is>
          <t>SRC_EPOCH_AI_DATA_CENTERS; EPOCH_RAW_CHIP_QUANTITIES</t>
        </is>
      </c>
      <c r="R859" s="3" t="inlineStr">
        <is>
          <t>Latest chip quantity per chip type through year-end; normalized by unit count into benchmark buckets.</t>
        </is>
      </c>
    </row>
    <row r="860">
      <c r="A860" s="3" t="inlineStr">
        <is>
          <t>Bull|OpenAI Stargate Abilene|2030</t>
        </is>
      </c>
      <c r="B860" s="3" t="inlineStr">
        <is>
          <t>Bull</t>
        </is>
      </c>
      <c r="C860" s="3" t="inlineStr">
        <is>
          <t>OpenAI Stargate Abilene</t>
        </is>
      </c>
      <c r="D860" s="3" t="n">
        <v>2030</v>
      </c>
      <c r="E860" s="3" t="inlineStr">
        <is>
          <t>Oracle</t>
        </is>
      </c>
      <c r="F860" s="17" t="n">
        <v>0</v>
      </c>
      <c r="G860" s="17" t="n">
        <v>1</v>
      </c>
      <c r="H860" s="17" t="n">
        <v>0</v>
      </c>
      <c r="I860" s="17" t="n">
        <v>0</v>
      </c>
      <c r="J860" s="17" t="n">
        <v>0</v>
      </c>
      <c r="K860" s="17" t="n">
        <v>0</v>
      </c>
      <c r="L860" s="17" t="n">
        <v>0</v>
      </c>
      <c r="M860" s="17" t="n">
        <v>0</v>
      </c>
      <c r="N860" s="17" t="n">
        <v>0</v>
      </c>
      <c r="O860" s="26" t="n">
        <v>1</v>
      </c>
      <c r="P860" s="3" t="inlineStr">
        <is>
          <t>epoch_chip_quantity_latest</t>
        </is>
      </c>
      <c r="Q860" s="3" t="inlineStr">
        <is>
          <t>SRC_EPOCH_AI_DATA_CENTERS; EPOCH_RAW_CHIP_QUANTITIES</t>
        </is>
      </c>
      <c r="R860" s="3" t="inlineStr">
        <is>
          <t>Latest chip quantity per chip type through year-end; normalized by unit count into benchmark buckets.</t>
        </is>
      </c>
    </row>
    <row r="861">
      <c r="A861" s="3" t="inlineStr">
        <is>
          <t>Grid-Constrained / Efficiency-Upside|OpenAI Stargate Abilene|2026</t>
        </is>
      </c>
      <c r="B861" s="3" t="inlineStr">
        <is>
          <t>Grid-Constrained / Efficiency-Upside</t>
        </is>
      </c>
      <c r="C861" s="3" t="inlineStr">
        <is>
          <t>OpenAI Stargate Abilene</t>
        </is>
      </c>
      <c r="D861" s="3" t="n">
        <v>2026</v>
      </c>
      <c r="E861" s="3" t="inlineStr">
        <is>
          <t>Oracle</t>
        </is>
      </c>
      <c r="F861" s="17" t="n">
        <v>0</v>
      </c>
      <c r="G861" s="17" t="n">
        <v>1</v>
      </c>
      <c r="H861" s="17" t="n">
        <v>0</v>
      </c>
      <c r="I861" s="17" t="n">
        <v>0</v>
      </c>
      <c r="J861" s="17" t="n">
        <v>0</v>
      </c>
      <c r="K861" s="17" t="n">
        <v>0</v>
      </c>
      <c r="L861" s="17" t="n">
        <v>0</v>
      </c>
      <c r="M861" s="17" t="n">
        <v>0</v>
      </c>
      <c r="N861" s="17" t="n">
        <v>0</v>
      </c>
      <c r="O861" s="26" t="n">
        <v>1</v>
      </c>
      <c r="P861" s="3" t="inlineStr">
        <is>
          <t>epoch_chip_quantity_latest</t>
        </is>
      </c>
      <c r="Q861" s="3" t="inlineStr">
        <is>
          <t>SRC_EPOCH_AI_DATA_CENTERS; EPOCH_RAW_CHIP_QUANTITIES</t>
        </is>
      </c>
      <c r="R861" s="3" t="inlineStr">
        <is>
          <t>Latest chip quantity per chip type through year-end; normalized by unit count into benchmark buckets.</t>
        </is>
      </c>
    </row>
    <row r="862">
      <c r="A862" s="3" t="inlineStr">
        <is>
          <t>Grid-Constrained / Efficiency-Upside|OpenAI Stargate Abilene|2027</t>
        </is>
      </c>
      <c r="B862" s="3" t="inlineStr">
        <is>
          <t>Grid-Constrained / Efficiency-Upside</t>
        </is>
      </c>
      <c r="C862" s="3" t="inlineStr">
        <is>
          <t>OpenAI Stargate Abilene</t>
        </is>
      </c>
      <c r="D862" s="3" t="n">
        <v>2027</v>
      </c>
      <c r="E862" s="3" t="inlineStr">
        <is>
          <t>Oracle</t>
        </is>
      </c>
      <c r="F862" s="17" t="n">
        <v>0</v>
      </c>
      <c r="G862" s="17" t="n">
        <v>1</v>
      </c>
      <c r="H862" s="17" t="n">
        <v>0</v>
      </c>
      <c r="I862" s="17" t="n">
        <v>0</v>
      </c>
      <c r="J862" s="17" t="n">
        <v>0</v>
      </c>
      <c r="K862" s="17" t="n">
        <v>0</v>
      </c>
      <c r="L862" s="17" t="n">
        <v>0</v>
      </c>
      <c r="M862" s="17" t="n">
        <v>0</v>
      </c>
      <c r="N862" s="17" t="n">
        <v>0</v>
      </c>
      <c r="O862" s="26" t="n">
        <v>1</v>
      </c>
      <c r="P862" s="3" t="inlineStr">
        <is>
          <t>epoch_chip_quantity_latest</t>
        </is>
      </c>
      <c r="Q862" s="3" t="inlineStr">
        <is>
          <t>SRC_EPOCH_AI_DATA_CENTERS; EPOCH_RAW_CHIP_QUANTITIES</t>
        </is>
      </c>
      <c r="R862" s="3" t="inlineStr">
        <is>
          <t>Latest chip quantity per chip type through year-end; normalized by unit count into benchmark buckets.</t>
        </is>
      </c>
    </row>
    <row r="863">
      <c r="A863" s="3" t="inlineStr">
        <is>
          <t>Grid-Constrained / Efficiency-Upside|OpenAI Stargate Abilene|2028</t>
        </is>
      </c>
      <c r="B863" s="3" t="inlineStr">
        <is>
          <t>Grid-Constrained / Efficiency-Upside</t>
        </is>
      </c>
      <c r="C863" s="3" t="inlineStr">
        <is>
          <t>OpenAI Stargate Abilene</t>
        </is>
      </c>
      <c r="D863" s="3" t="n">
        <v>2028</v>
      </c>
      <c r="E863" s="3" t="inlineStr">
        <is>
          <t>Oracle</t>
        </is>
      </c>
      <c r="F863" s="17" t="n">
        <v>0</v>
      </c>
      <c r="G863" s="17" t="n">
        <v>1</v>
      </c>
      <c r="H863" s="17" t="n">
        <v>0</v>
      </c>
      <c r="I863" s="17" t="n">
        <v>0</v>
      </c>
      <c r="J863" s="17" t="n">
        <v>0</v>
      </c>
      <c r="K863" s="17" t="n">
        <v>0</v>
      </c>
      <c r="L863" s="17" t="n">
        <v>0</v>
      </c>
      <c r="M863" s="17" t="n">
        <v>0</v>
      </c>
      <c r="N863" s="17" t="n">
        <v>0</v>
      </c>
      <c r="O863" s="26" t="n">
        <v>1</v>
      </c>
      <c r="P863" s="3" t="inlineStr">
        <is>
          <t>epoch_chip_quantity_latest</t>
        </is>
      </c>
      <c r="Q863" s="3" t="inlineStr">
        <is>
          <t>SRC_EPOCH_AI_DATA_CENTERS; EPOCH_RAW_CHIP_QUANTITIES</t>
        </is>
      </c>
      <c r="R863" s="3" t="inlineStr">
        <is>
          <t>Latest chip quantity per chip type through year-end; normalized by unit count into benchmark buckets.</t>
        </is>
      </c>
    </row>
    <row r="864">
      <c r="A864" s="3" t="inlineStr">
        <is>
          <t>Grid-Constrained / Efficiency-Upside|OpenAI Stargate Abilene|2029</t>
        </is>
      </c>
      <c r="B864" s="3" t="inlineStr">
        <is>
          <t>Grid-Constrained / Efficiency-Upside</t>
        </is>
      </c>
      <c r="C864" s="3" t="inlineStr">
        <is>
          <t>OpenAI Stargate Abilene</t>
        </is>
      </c>
      <c r="D864" s="3" t="n">
        <v>2029</v>
      </c>
      <c r="E864" s="3" t="inlineStr">
        <is>
          <t>Oracle</t>
        </is>
      </c>
      <c r="F864" s="17" t="n">
        <v>0</v>
      </c>
      <c r="G864" s="17" t="n">
        <v>1</v>
      </c>
      <c r="H864" s="17" t="n">
        <v>0</v>
      </c>
      <c r="I864" s="17" t="n">
        <v>0</v>
      </c>
      <c r="J864" s="17" t="n">
        <v>0</v>
      </c>
      <c r="K864" s="17" t="n">
        <v>0</v>
      </c>
      <c r="L864" s="17" t="n">
        <v>0</v>
      </c>
      <c r="M864" s="17" t="n">
        <v>0</v>
      </c>
      <c r="N864" s="17" t="n">
        <v>0</v>
      </c>
      <c r="O864" s="26" t="n">
        <v>1</v>
      </c>
      <c r="P864" s="3" t="inlineStr">
        <is>
          <t>epoch_chip_quantity_latest</t>
        </is>
      </c>
      <c r="Q864" s="3" t="inlineStr">
        <is>
          <t>SRC_EPOCH_AI_DATA_CENTERS; EPOCH_RAW_CHIP_QUANTITIES</t>
        </is>
      </c>
      <c r="R864" s="3" t="inlineStr">
        <is>
          <t>Latest chip quantity per chip type through year-end; normalized by unit count into benchmark buckets.</t>
        </is>
      </c>
    </row>
    <row r="865">
      <c r="A865" s="3" t="inlineStr">
        <is>
          <t>Grid-Constrained / Efficiency-Upside|OpenAI Stargate Abilene|2030</t>
        </is>
      </c>
      <c r="B865" s="3" t="inlineStr">
        <is>
          <t>Grid-Constrained / Efficiency-Upside</t>
        </is>
      </c>
      <c r="C865" s="3" t="inlineStr">
        <is>
          <t>OpenAI Stargate Abilene</t>
        </is>
      </c>
      <c r="D865" s="3" t="n">
        <v>2030</v>
      </c>
      <c r="E865" s="3" t="inlineStr">
        <is>
          <t>Oracle</t>
        </is>
      </c>
      <c r="F865" s="17" t="n">
        <v>0</v>
      </c>
      <c r="G865" s="17" t="n">
        <v>1</v>
      </c>
      <c r="H865" s="17" t="n">
        <v>0</v>
      </c>
      <c r="I865" s="17" t="n">
        <v>0</v>
      </c>
      <c r="J865" s="17" t="n">
        <v>0</v>
      </c>
      <c r="K865" s="17" t="n">
        <v>0</v>
      </c>
      <c r="L865" s="17" t="n">
        <v>0</v>
      </c>
      <c r="M865" s="17" t="n">
        <v>0</v>
      </c>
      <c r="N865" s="17" t="n">
        <v>0</v>
      </c>
      <c r="O865" s="26" t="n">
        <v>1</v>
      </c>
      <c r="P865" s="3" t="inlineStr">
        <is>
          <t>epoch_chip_quantity_latest</t>
        </is>
      </c>
      <c r="Q865" s="3" t="inlineStr">
        <is>
          <t>SRC_EPOCH_AI_DATA_CENTERS; EPOCH_RAW_CHIP_QUANTITIES</t>
        </is>
      </c>
      <c r="R865" s="3" t="inlineStr">
        <is>
          <t>Latest chip quantity per chip type through year-end; normalized by unit count into benchmark buckets.</t>
        </is>
      </c>
    </row>
    <row r="866">
      <c r="A866" s="3" t="inlineStr">
        <is>
          <t>Bear|OpenAI Stargate Michigan|2028</t>
        </is>
      </c>
      <c r="B866" s="3" t="inlineStr">
        <is>
          <t>Bear</t>
        </is>
      </c>
      <c r="C866" s="3" t="inlineStr">
        <is>
          <t>OpenAI Stargate Michigan</t>
        </is>
      </c>
      <c r="D866" s="3" t="n">
        <v>2028</v>
      </c>
      <c r="E866" s="3" t="inlineStr">
        <is>
          <t>Oracle</t>
        </is>
      </c>
      <c r="F866" s="17" t="n">
        <v>0.325</v>
      </c>
      <c r="G866" s="17" t="n">
        <v>0.375</v>
      </c>
      <c r="H866" s="17" t="n">
        <v>0.3</v>
      </c>
      <c r="I866" s="17" t="n">
        <v>0</v>
      </c>
      <c r="J866" s="17" t="n">
        <v>0</v>
      </c>
      <c r="K866" s="17" t="n">
        <v>0</v>
      </c>
      <c r="L866" s="17" t="n">
        <v>0</v>
      </c>
      <c r="M866" s="17" t="n">
        <v>0</v>
      </c>
      <c r="N866" s="17" t="n">
        <v>0</v>
      </c>
      <c r="O866" s="26" t="n">
        <v>1</v>
      </c>
      <c r="P866" s="3" t="inlineStr">
        <is>
          <t>legacy_company_gpu_mix_fallback</t>
        </is>
      </c>
      <c r="Q866" s="3" t="inlineStr">
        <is>
          <t>SRC_OPENAI_GPT41_DOCS; SRC_OPENAI_STARGATE_ORACLE; SRC_OPENAI_STARGATE_PROGRESS</t>
        </is>
      </c>
      <c r="R866" s="3" t="inlineStr">
        <is>
          <t>No site-level chip type was available; prior company-level GPU/ASIC mix is retained as fallback.</t>
        </is>
      </c>
    </row>
    <row r="867">
      <c r="A867" s="3" t="inlineStr">
        <is>
          <t>Bear|OpenAI Stargate Michigan|2029</t>
        </is>
      </c>
      <c r="B867" s="3" t="inlineStr">
        <is>
          <t>Bear</t>
        </is>
      </c>
      <c r="C867" s="3" t="inlineStr">
        <is>
          <t>OpenAI Stargate Michigan</t>
        </is>
      </c>
      <c r="D867" s="3" t="n">
        <v>2029</v>
      </c>
      <c r="E867" s="3" t="inlineStr">
        <is>
          <t>Oracle</t>
        </is>
      </c>
      <c r="F867" s="17" t="n">
        <v>0.213</v>
      </c>
      <c r="G867" s="17" t="n">
        <v>0.362</v>
      </c>
      <c r="H867" s="17" t="n">
        <v>0.425</v>
      </c>
      <c r="I867" s="17" t="n">
        <v>0</v>
      </c>
      <c r="J867" s="17" t="n">
        <v>0</v>
      </c>
      <c r="K867" s="17" t="n">
        <v>0</v>
      </c>
      <c r="L867" s="17" t="n">
        <v>0</v>
      </c>
      <c r="M867" s="17" t="n">
        <v>0</v>
      </c>
      <c r="N867" s="17" t="n">
        <v>0</v>
      </c>
      <c r="O867" s="26" t="n">
        <v>1</v>
      </c>
      <c r="P867" s="3" t="inlineStr">
        <is>
          <t>legacy_company_gpu_mix_fallback</t>
        </is>
      </c>
      <c r="Q867" s="3" t="inlineStr">
        <is>
          <t>SRC_OPENAI_GPT41_DOCS; SRC_OPENAI_STARGATE_ORACLE; SRC_OPENAI_STARGATE_PROGRESS</t>
        </is>
      </c>
      <c r="R867" s="3" t="inlineStr">
        <is>
          <t>No site-level chip type was available; prior company-level GPU/ASIC mix is retained as fallback.</t>
        </is>
      </c>
    </row>
    <row r="868">
      <c r="A868" s="3" t="inlineStr">
        <is>
          <t>Bear|OpenAI Stargate Michigan|2030</t>
        </is>
      </c>
      <c r="B868" s="3" t="inlineStr">
        <is>
          <t>Bear</t>
        </is>
      </c>
      <c r="C868" s="3" t="inlineStr">
        <is>
          <t>OpenAI Stargate Michigan</t>
        </is>
      </c>
      <c r="D868" s="3" t="n">
        <v>2030</v>
      </c>
      <c r="E868" s="3" t="inlineStr">
        <is>
          <t>Oracle</t>
        </is>
      </c>
      <c r="F868" s="17" t="n">
        <v>0.1</v>
      </c>
      <c r="G868" s="17" t="n">
        <v>0.35</v>
      </c>
      <c r="H868" s="17" t="n">
        <v>0.55</v>
      </c>
      <c r="I868" s="17" t="n">
        <v>0</v>
      </c>
      <c r="J868" s="17" t="n">
        <v>0</v>
      </c>
      <c r="K868" s="17" t="n">
        <v>0</v>
      </c>
      <c r="L868" s="17" t="n">
        <v>0</v>
      </c>
      <c r="M868" s="17" t="n">
        <v>0</v>
      </c>
      <c r="N868" s="17" t="n">
        <v>0</v>
      </c>
      <c r="O868" s="26" t="n">
        <v>1</v>
      </c>
      <c r="P868" s="3" t="inlineStr">
        <is>
          <t>legacy_company_gpu_mix_fallback</t>
        </is>
      </c>
      <c r="Q868" s="3" t="inlineStr">
        <is>
          <t>SRC_OPENAI_GPT41_DOCS; SRC_OPENAI_STARGATE_ORACLE; SRC_OPENAI_STARGATE_PROGRESS</t>
        </is>
      </c>
      <c r="R868" s="3" t="inlineStr">
        <is>
          <t>No site-level chip type was available; prior company-level GPU/ASIC mix is retained as fallback.</t>
        </is>
      </c>
    </row>
    <row r="869">
      <c r="A869" s="3" t="inlineStr">
        <is>
          <t>Base|OpenAI Stargate Michigan|2028</t>
        </is>
      </c>
      <c r="B869" s="3" t="inlineStr">
        <is>
          <t>Base</t>
        </is>
      </c>
      <c r="C869" s="3" t="inlineStr">
        <is>
          <t>OpenAI Stargate Michigan</t>
        </is>
      </c>
      <c r="D869" s="3" t="n">
        <v>2028</v>
      </c>
      <c r="E869" s="3" t="inlineStr">
        <is>
          <t>Oracle</t>
        </is>
      </c>
      <c r="F869" s="17" t="n">
        <v>0.325</v>
      </c>
      <c r="G869" s="17" t="n">
        <v>0.375</v>
      </c>
      <c r="H869" s="17" t="n">
        <v>0.3</v>
      </c>
      <c r="I869" s="17" t="n">
        <v>0</v>
      </c>
      <c r="J869" s="17" t="n">
        <v>0</v>
      </c>
      <c r="K869" s="17" t="n">
        <v>0</v>
      </c>
      <c r="L869" s="17" t="n">
        <v>0</v>
      </c>
      <c r="M869" s="17" t="n">
        <v>0</v>
      </c>
      <c r="N869" s="17" t="n">
        <v>0</v>
      </c>
      <c r="O869" s="26" t="n">
        <v>1</v>
      </c>
      <c r="P869" s="3" t="inlineStr">
        <is>
          <t>legacy_company_gpu_mix_fallback</t>
        </is>
      </c>
      <c r="Q869" s="3" t="inlineStr">
        <is>
          <t>SRC_OPENAI_GPT41_DOCS; SRC_OPENAI_STARGATE_ORACLE; SRC_OPENAI_STARGATE_PROGRESS</t>
        </is>
      </c>
      <c r="R869" s="3" t="inlineStr">
        <is>
          <t>No site-level chip type was available; prior company-level GPU/ASIC mix is retained as fallback.</t>
        </is>
      </c>
    </row>
    <row r="870">
      <c r="A870" s="3" t="inlineStr">
        <is>
          <t>Base|OpenAI Stargate Michigan|2029</t>
        </is>
      </c>
      <c r="B870" s="3" t="inlineStr">
        <is>
          <t>Base</t>
        </is>
      </c>
      <c r="C870" s="3" t="inlineStr">
        <is>
          <t>OpenAI Stargate Michigan</t>
        </is>
      </c>
      <c r="D870" s="3" t="n">
        <v>2029</v>
      </c>
      <c r="E870" s="3" t="inlineStr">
        <is>
          <t>Oracle</t>
        </is>
      </c>
      <c r="F870" s="17" t="n">
        <v>0.213</v>
      </c>
      <c r="G870" s="17" t="n">
        <v>0.362</v>
      </c>
      <c r="H870" s="17" t="n">
        <v>0.425</v>
      </c>
      <c r="I870" s="17" t="n">
        <v>0</v>
      </c>
      <c r="J870" s="17" t="n">
        <v>0</v>
      </c>
      <c r="K870" s="17" t="n">
        <v>0</v>
      </c>
      <c r="L870" s="17" t="n">
        <v>0</v>
      </c>
      <c r="M870" s="17" t="n">
        <v>0</v>
      </c>
      <c r="N870" s="17" t="n">
        <v>0</v>
      </c>
      <c r="O870" s="26" t="n">
        <v>1</v>
      </c>
      <c r="P870" s="3" t="inlineStr">
        <is>
          <t>legacy_company_gpu_mix_fallback</t>
        </is>
      </c>
      <c r="Q870" s="3" t="inlineStr">
        <is>
          <t>SRC_OPENAI_GPT41_DOCS; SRC_OPENAI_STARGATE_ORACLE; SRC_OPENAI_STARGATE_PROGRESS</t>
        </is>
      </c>
      <c r="R870" s="3" t="inlineStr">
        <is>
          <t>No site-level chip type was available; prior company-level GPU/ASIC mix is retained as fallback.</t>
        </is>
      </c>
    </row>
    <row r="871">
      <c r="A871" s="3" t="inlineStr">
        <is>
          <t>Base|OpenAI Stargate Michigan|2030</t>
        </is>
      </c>
      <c r="B871" s="3" t="inlineStr">
        <is>
          <t>Base</t>
        </is>
      </c>
      <c r="C871" s="3" t="inlineStr">
        <is>
          <t>OpenAI Stargate Michigan</t>
        </is>
      </c>
      <c r="D871" s="3" t="n">
        <v>2030</v>
      </c>
      <c r="E871" s="3" t="inlineStr">
        <is>
          <t>Oracle</t>
        </is>
      </c>
      <c r="F871" s="17" t="n">
        <v>0.1</v>
      </c>
      <c r="G871" s="17" t="n">
        <v>0.35</v>
      </c>
      <c r="H871" s="17" t="n">
        <v>0.55</v>
      </c>
      <c r="I871" s="17" t="n">
        <v>0</v>
      </c>
      <c r="J871" s="17" t="n">
        <v>0</v>
      </c>
      <c r="K871" s="17" t="n">
        <v>0</v>
      </c>
      <c r="L871" s="17" t="n">
        <v>0</v>
      </c>
      <c r="M871" s="17" t="n">
        <v>0</v>
      </c>
      <c r="N871" s="17" t="n">
        <v>0</v>
      </c>
      <c r="O871" s="26" t="n">
        <v>1</v>
      </c>
      <c r="P871" s="3" t="inlineStr">
        <is>
          <t>legacy_company_gpu_mix_fallback</t>
        </is>
      </c>
      <c r="Q871" s="3" t="inlineStr">
        <is>
          <t>SRC_OPENAI_GPT41_DOCS; SRC_OPENAI_STARGATE_ORACLE; SRC_OPENAI_STARGATE_PROGRESS</t>
        </is>
      </c>
      <c r="R871" s="3" t="inlineStr">
        <is>
          <t>No site-level chip type was available; prior company-level GPU/ASIC mix is retained as fallback.</t>
        </is>
      </c>
    </row>
    <row r="872">
      <c r="A872" s="3" t="inlineStr">
        <is>
          <t>Bull|OpenAI Stargate Michigan|2028</t>
        </is>
      </c>
      <c r="B872" s="3" t="inlineStr">
        <is>
          <t>Bull</t>
        </is>
      </c>
      <c r="C872" s="3" t="inlineStr">
        <is>
          <t>OpenAI Stargate Michigan</t>
        </is>
      </c>
      <c r="D872" s="3" t="n">
        <v>2028</v>
      </c>
      <c r="E872" s="3" t="inlineStr">
        <is>
          <t>Oracle</t>
        </is>
      </c>
      <c r="F872" s="17" t="n">
        <v>0.325</v>
      </c>
      <c r="G872" s="17" t="n">
        <v>0.375</v>
      </c>
      <c r="H872" s="17" t="n">
        <v>0.3</v>
      </c>
      <c r="I872" s="17" t="n">
        <v>0</v>
      </c>
      <c r="J872" s="17" t="n">
        <v>0</v>
      </c>
      <c r="K872" s="17" t="n">
        <v>0</v>
      </c>
      <c r="L872" s="17" t="n">
        <v>0</v>
      </c>
      <c r="M872" s="17" t="n">
        <v>0</v>
      </c>
      <c r="N872" s="17" t="n">
        <v>0</v>
      </c>
      <c r="O872" s="26" t="n">
        <v>1</v>
      </c>
      <c r="P872" s="3" t="inlineStr">
        <is>
          <t>legacy_company_gpu_mix_fallback</t>
        </is>
      </c>
      <c r="Q872" s="3" t="inlineStr">
        <is>
          <t>SRC_OPENAI_GPT41_DOCS; SRC_OPENAI_STARGATE_ORACLE; SRC_OPENAI_STARGATE_PROGRESS</t>
        </is>
      </c>
      <c r="R872" s="3" t="inlineStr">
        <is>
          <t>No site-level chip type was available; prior company-level GPU/ASIC mix is retained as fallback.</t>
        </is>
      </c>
    </row>
    <row r="873">
      <c r="A873" s="3" t="inlineStr">
        <is>
          <t>Bull|OpenAI Stargate Michigan|2029</t>
        </is>
      </c>
      <c r="B873" s="3" t="inlineStr">
        <is>
          <t>Bull</t>
        </is>
      </c>
      <c r="C873" s="3" t="inlineStr">
        <is>
          <t>OpenAI Stargate Michigan</t>
        </is>
      </c>
      <c r="D873" s="3" t="n">
        <v>2029</v>
      </c>
      <c r="E873" s="3" t="inlineStr">
        <is>
          <t>Oracle</t>
        </is>
      </c>
      <c r="F873" s="17" t="n">
        <v>0.213</v>
      </c>
      <c r="G873" s="17" t="n">
        <v>0.362</v>
      </c>
      <c r="H873" s="17" t="n">
        <v>0.425</v>
      </c>
      <c r="I873" s="17" t="n">
        <v>0</v>
      </c>
      <c r="J873" s="17" t="n">
        <v>0</v>
      </c>
      <c r="K873" s="17" t="n">
        <v>0</v>
      </c>
      <c r="L873" s="17" t="n">
        <v>0</v>
      </c>
      <c r="M873" s="17" t="n">
        <v>0</v>
      </c>
      <c r="N873" s="17" t="n">
        <v>0</v>
      </c>
      <c r="O873" s="26" t="n">
        <v>1</v>
      </c>
      <c r="P873" s="3" t="inlineStr">
        <is>
          <t>legacy_company_gpu_mix_fallback</t>
        </is>
      </c>
      <c r="Q873" s="3" t="inlineStr">
        <is>
          <t>SRC_OPENAI_GPT41_DOCS; SRC_OPENAI_STARGATE_ORACLE; SRC_OPENAI_STARGATE_PROGRESS</t>
        </is>
      </c>
      <c r="R873" s="3" t="inlineStr">
        <is>
          <t>No site-level chip type was available; prior company-level GPU/ASIC mix is retained as fallback.</t>
        </is>
      </c>
    </row>
    <row r="874">
      <c r="A874" s="3" t="inlineStr">
        <is>
          <t>Bull|OpenAI Stargate Michigan|2030</t>
        </is>
      </c>
      <c r="B874" s="3" t="inlineStr">
        <is>
          <t>Bull</t>
        </is>
      </c>
      <c r="C874" s="3" t="inlineStr">
        <is>
          <t>OpenAI Stargate Michigan</t>
        </is>
      </c>
      <c r="D874" s="3" t="n">
        <v>2030</v>
      </c>
      <c r="E874" s="3" t="inlineStr">
        <is>
          <t>Oracle</t>
        </is>
      </c>
      <c r="F874" s="17" t="n">
        <v>0.1</v>
      </c>
      <c r="G874" s="17" t="n">
        <v>0.35</v>
      </c>
      <c r="H874" s="17" t="n">
        <v>0.55</v>
      </c>
      <c r="I874" s="17" t="n">
        <v>0</v>
      </c>
      <c r="J874" s="17" t="n">
        <v>0</v>
      </c>
      <c r="K874" s="17" t="n">
        <v>0</v>
      </c>
      <c r="L874" s="17" t="n">
        <v>0</v>
      </c>
      <c r="M874" s="17" t="n">
        <v>0</v>
      </c>
      <c r="N874" s="17" t="n">
        <v>0</v>
      </c>
      <c r="O874" s="26" t="n">
        <v>1</v>
      </c>
      <c r="P874" s="3" t="inlineStr">
        <is>
          <t>legacy_company_gpu_mix_fallback</t>
        </is>
      </c>
      <c r="Q874" s="3" t="inlineStr">
        <is>
          <t>SRC_OPENAI_GPT41_DOCS; SRC_OPENAI_STARGATE_ORACLE; SRC_OPENAI_STARGATE_PROGRESS</t>
        </is>
      </c>
      <c r="R874" s="3" t="inlineStr">
        <is>
          <t>No site-level chip type was available; prior company-level GPU/ASIC mix is retained as fallback.</t>
        </is>
      </c>
    </row>
    <row r="875">
      <c r="A875" s="3" t="inlineStr">
        <is>
          <t>Grid-Constrained / Efficiency-Upside|OpenAI Stargate Michigan|2028</t>
        </is>
      </c>
      <c r="B875" s="3" t="inlineStr">
        <is>
          <t>Grid-Constrained / Efficiency-Upside</t>
        </is>
      </c>
      <c r="C875" s="3" t="inlineStr">
        <is>
          <t>OpenAI Stargate Michigan</t>
        </is>
      </c>
      <c r="D875" s="3" t="n">
        <v>2028</v>
      </c>
      <c r="E875" s="3" t="inlineStr">
        <is>
          <t>Oracle</t>
        </is>
      </c>
      <c r="F875" s="17" t="n">
        <v>0.325</v>
      </c>
      <c r="G875" s="17" t="n">
        <v>0.375</v>
      </c>
      <c r="H875" s="17" t="n">
        <v>0.3</v>
      </c>
      <c r="I875" s="17" t="n">
        <v>0</v>
      </c>
      <c r="J875" s="17" t="n">
        <v>0</v>
      </c>
      <c r="K875" s="17" t="n">
        <v>0</v>
      </c>
      <c r="L875" s="17" t="n">
        <v>0</v>
      </c>
      <c r="M875" s="17" t="n">
        <v>0</v>
      </c>
      <c r="N875" s="17" t="n">
        <v>0</v>
      </c>
      <c r="O875" s="26" t="n">
        <v>1</v>
      </c>
      <c r="P875" s="3" t="inlineStr">
        <is>
          <t>legacy_company_gpu_mix_fallback</t>
        </is>
      </c>
      <c r="Q875" s="3" t="inlineStr">
        <is>
          <t>SRC_OPENAI_GPT41_DOCS; SRC_OPENAI_STARGATE_ORACLE; SRC_OPENAI_STARGATE_PROGRESS</t>
        </is>
      </c>
      <c r="R875" s="3" t="inlineStr">
        <is>
          <t>No site-level chip type was available; prior company-level GPU/ASIC mix is retained as fallback.</t>
        </is>
      </c>
    </row>
    <row r="876">
      <c r="A876" s="3" t="inlineStr">
        <is>
          <t>Grid-Constrained / Efficiency-Upside|OpenAI Stargate Michigan|2029</t>
        </is>
      </c>
      <c r="B876" s="3" t="inlineStr">
        <is>
          <t>Grid-Constrained / Efficiency-Upside</t>
        </is>
      </c>
      <c r="C876" s="3" t="inlineStr">
        <is>
          <t>OpenAI Stargate Michigan</t>
        </is>
      </c>
      <c r="D876" s="3" t="n">
        <v>2029</v>
      </c>
      <c r="E876" s="3" t="inlineStr">
        <is>
          <t>Oracle</t>
        </is>
      </c>
      <c r="F876" s="17" t="n">
        <v>0.213</v>
      </c>
      <c r="G876" s="17" t="n">
        <v>0.362</v>
      </c>
      <c r="H876" s="17" t="n">
        <v>0.425</v>
      </c>
      <c r="I876" s="17" t="n">
        <v>0</v>
      </c>
      <c r="J876" s="17" t="n">
        <v>0</v>
      </c>
      <c r="K876" s="17" t="n">
        <v>0</v>
      </c>
      <c r="L876" s="17" t="n">
        <v>0</v>
      </c>
      <c r="M876" s="17" t="n">
        <v>0</v>
      </c>
      <c r="N876" s="17" t="n">
        <v>0</v>
      </c>
      <c r="O876" s="26" t="n">
        <v>1</v>
      </c>
      <c r="P876" s="3" t="inlineStr">
        <is>
          <t>legacy_company_gpu_mix_fallback</t>
        </is>
      </c>
      <c r="Q876" s="3" t="inlineStr">
        <is>
          <t>SRC_OPENAI_GPT41_DOCS; SRC_OPENAI_STARGATE_ORACLE; SRC_OPENAI_STARGATE_PROGRESS</t>
        </is>
      </c>
      <c r="R876" s="3" t="inlineStr">
        <is>
          <t>No site-level chip type was available; prior company-level GPU/ASIC mix is retained as fallback.</t>
        </is>
      </c>
    </row>
    <row r="877">
      <c r="A877" s="3" t="inlineStr">
        <is>
          <t>Grid-Constrained / Efficiency-Upside|OpenAI Stargate Michigan|2030</t>
        </is>
      </c>
      <c r="B877" s="3" t="inlineStr">
        <is>
          <t>Grid-Constrained / Efficiency-Upside</t>
        </is>
      </c>
      <c r="C877" s="3" t="inlineStr">
        <is>
          <t>OpenAI Stargate Michigan</t>
        </is>
      </c>
      <c r="D877" s="3" t="n">
        <v>2030</v>
      </c>
      <c r="E877" s="3" t="inlineStr">
        <is>
          <t>Oracle</t>
        </is>
      </c>
      <c r="F877" s="17" t="n">
        <v>0.1</v>
      </c>
      <c r="G877" s="17" t="n">
        <v>0.35</v>
      </c>
      <c r="H877" s="17" t="n">
        <v>0.55</v>
      </c>
      <c r="I877" s="17" t="n">
        <v>0</v>
      </c>
      <c r="J877" s="17" t="n">
        <v>0</v>
      </c>
      <c r="K877" s="17" t="n">
        <v>0</v>
      </c>
      <c r="L877" s="17" t="n">
        <v>0</v>
      </c>
      <c r="M877" s="17" t="n">
        <v>0</v>
      </c>
      <c r="N877" s="17" t="n">
        <v>0</v>
      </c>
      <c r="O877" s="26" t="n">
        <v>1</v>
      </c>
      <c r="P877" s="3" t="inlineStr">
        <is>
          <t>legacy_company_gpu_mix_fallback</t>
        </is>
      </c>
      <c r="Q877" s="3" t="inlineStr">
        <is>
          <t>SRC_OPENAI_GPT41_DOCS; SRC_OPENAI_STARGATE_ORACLE; SRC_OPENAI_STARGATE_PROGRESS</t>
        </is>
      </c>
      <c r="R877" s="3" t="inlineStr">
        <is>
          <t>No site-level chip type was available; prior company-level GPU/ASIC mix is retained as fallback.</t>
        </is>
      </c>
    </row>
    <row r="878">
      <c r="A878" s="3" t="inlineStr">
        <is>
          <t>Bear|OpenAI Stargate Milam|2028</t>
        </is>
      </c>
      <c r="B878" s="3" t="inlineStr">
        <is>
          <t>Bear</t>
        </is>
      </c>
      <c r="C878" s="3" t="inlineStr">
        <is>
          <t>OpenAI Stargate Milam</t>
        </is>
      </c>
      <c r="D878" s="3" t="n">
        <v>2028</v>
      </c>
      <c r="E878" s="3" t="inlineStr">
        <is>
          <t>Softbank</t>
        </is>
      </c>
      <c r="F878" s="17" t="n">
        <v>0.325</v>
      </c>
      <c r="G878" s="17" t="n">
        <v>0.375</v>
      </c>
      <c r="H878" s="17" t="n">
        <v>0.3</v>
      </c>
      <c r="I878" s="17" t="n">
        <v>0</v>
      </c>
      <c r="J878" s="17" t="n">
        <v>0</v>
      </c>
      <c r="K878" s="17" t="n">
        <v>0</v>
      </c>
      <c r="L878" s="17" t="n">
        <v>0</v>
      </c>
      <c r="M878" s="17" t="n">
        <v>0</v>
      </c>
      <c r="N878" s="17" t="n">
        <v>0</v>
      </c>
      <c r="O878" s="26" t="n">
        <v>1</v>
      </c>
      <c r="P878" s="3" t="inlineStr">
        <is>
          <t>legacy_company_gpu_mix_fallback</t>
        </is>
      </c>
      <c r="Q878" s="3" t="inlineStr">
        <is>
          <t>SRC_OPENAI_GPT41_DOCS; SRC_OPENAI_STARGATE_ORACLE; SRC_OPENAI_STARGATE_PROGRESS</t>
        </is>
      </c>
      <c r="R878" s="3" t="inlineStr">
        <is>
          <t>No site-level chip type was available; prior company-level GPU/ASIC mix is retained as fallback.</t>
        </is>
      </c>
    </row>
    <row r="879">
      <c r="A879" s="3" t="inlineStr">
        <is>
          <t>Bear|OpenAI Stargate Milam|2029</t>
        </is>
      </c>
      <c r="B879" s="3" t="inlineStr">
        <is>
          <t>Bear</t>
        </is>
      </c>
      <c r="C879" s="3" t="inlineStr">
        <is>
          <t>OpenAI Stargate Milam</t>
        </is>
      </c>
      <c r="D879" s="3" t="n">
        <v>2029</v>
      </c>
      <c r="E879" s="3" t="inlineStr">
        <is>
          <t>Softbank</t>
        </is>
      </c>
      <c r="F879" s="17" t="n">
        <v>0.213</v>
      </c>
      <c r="G879" s="17" t="n">
        <v>0.362</v>
      </c>
      <c r="H879" s="17" t="n">
        <v>0.425</v>
      </c>
      <c r="I879" s="17" t="n">
        <v>0</v>
      </c>
      <c r="J879" s="17" t="n">
        <v>0</v>
      </c>
      <c r="K879" s="17" t="n">
        <v>0</v>
      </c>
      <c r="L879" s="17" t="n">
        <v>0</v>
      </c>
      <c r="M879" s="17" t="n">
        <v>0</v>
      </c>
      <c r="N879" s="17" t="n">
        <v>0</v>
      </c>
      <c r="O879" s="26" t="n">
        <v>1</v>
      </c>
      <c r="P879" s="3" t="inlineStr">
        <is>
          <t>legacy_company_gpu_mix_fallback</t>
        </is>
      </c>
      <c r="Q879" s="3" t="inlineStr">
        <is>
          <t>SRC_OPENAI_GPT41_DOCS; SRC_OPENAI_STARGATE_ORACLE; SRC_OPENAI_STARGATE_PROGRESS</t>
        </is>
      </c>
      <c r="R879" s="3" t="inlineStr">
        <is>
          <t>No site-level chip type was available; prior company-level GPU/ASIC mix is retained as fallback.</t>
        </is>
      </c>
    </row>
    <row r="880">
      <c r="A880" s="3" t="inlineStr">
        <is>
          <t>Bear|OpenAI Stargate Milam|2030</t>
        </is>
      </c>
      <c r="B880" s="3" t="inlineStr">
        <is>
          <t>Bear</t>
        </is>
      </c>
      <c r="C880" s="3" t="inlineStr">
        <is>
          <t>OpenAI Stargate Milam</t>
        </is>
      </c>
      <c r="D880" s="3" t="n">
        <v>2030</v>
      </c>
      <c r="E880" s="3" t="inlineStr">
        <is>
          <t>Softbank</t>
        </is>
      </c>
      <c r="F880" s="17" t="n">
        <v>0.1</v>
      </c>
      <c r="G880" s="17" t="n">
        <v>0.35</v>
      </c>
      <c r="H880" s="17" t="n">
        <v>0.55</v>
      </c>
      <c r="I880" s="17" t="n">
        <v>0</v>
      </c>
      <c r="J880" s="17" t="n">
        <v>0</v>
      </c>
      <c r="K880" s="17" t="n">
        <v>0</v>
      </c>
      <c r="L880" s="17" t="n">
        <v>0</v>
      </c>
      <c r="M880" s="17" t="n">
        <v>0</v>
      </c>
      <c r="N880" s="17" t="n">
        <v>0</v>
      </c>
      <c r="O880" s="26" t="n">
        <v>1</v>
      </c>
      <c r="P880" s="3" t="inlineStr">
        <is>
          <t>legacy_company_gpu_mix_fallback</t>
        </is>
      </c>
      <c r="Q880" s="3" t="inlineStr">
        <is>
          <t>SRC_OPENAI_GPT41_DOCS; SRC_OPENAI_STARGATE_ORACLE; SRC_OPENAI_STARGATE_PROGRESS</t>
        </is>
      </c>
      <c r="R880" s="3" t="inlineStr">
        <is>
          <t>No site-level chip type was available; prior company-level GPU/ASIC mix is retained as fallback.</t>
        </is>
      </c>
    </row>
    <row r="881">
      <c r="A881" s="3" t="inlineStr">
        <is>
          <t>Base|OpenAI Stargate Milam|2028</t>
        </is>
      </c>
      <c r="B881" s="3" t="inlineStr">
        <is>
          <t>Base</t>
        </is>
      </c>
      <c r="C881" s="3" t="inlineStr">
        <is>
          <t>OpenAI Stargate Milam</t>
        </is>
      </c>
      <c r="D881" s="3" t="n">
        <v>2028</v>
      </c>
      <c r="E881" s="3" t="inlineStr">
        <is>
          <t>Softbank</t>
        </is>
      </c>
      <c r="F881" s="17" t="n">
        <v>0.325</v>
      </c>
      <c r="G881" s="17" t="n">
        <v>0.375</v>
      </c>
      <c r="H881" s="17" t="n">
        <v>0.3</v>
      </c>
      <c r="I881" s="17" t="n">
        <v>0</v>
      </c>
      <c r="J881" s="17" t="n">
        <v>0</v>
      </c>
      <c r="K881" s="17" t="n">
        <v>0</v>
      </c>
      <c r="L881" s="17" t="n">
        <v>0</v>
      </c>
      <c r="M881" s="17" t="n">
        <v>0</v>
      </c>
      <c r="N881" s="17" t="n">
        <v>0</v>
      </c>
      <c r="O881" s="26" t="n">
        <v>1</v>
      </c>
      <c r="P881" s="3" t="inlineStr">
        <is>
          <t>legacy_company_gpu_mix_fallback</t>
        </is>
      </c>
      <c r="Q881" s="3" t="inlineStr">
        <is>
          <t>SRC_OPENAI_GPT41_DOCS; SRC_OPENAI_STARGATE_ORACLE; SRC_OPENAI_STARGATE_PROGRESS</t>
        </is>
      </c>
      <c r="R881" s="3" t="inlineStr">
        <is>
          <t>No site-level chip type was available; prior company-level GPU/ASIC mix is retained as fallback.</t>
        </is>
      </c>
    </row>
    <row r="882">
      <c r="A882" s="3" t="inlineStr">
        <is>
          <t>Base|OpenAI Stargate Milam|2029</t>
        </is>
      </c>
      <c r="B882" s="3" t="inlineStr">
        <is>
          <t>Base</t>
        </is>
      </c>
      <c r="C882" s="3" t="inlineStr">
        <is>
          <t>OpenAI Stargate Milam</t>
        </is>
      </c>
      <c r="D882" s="3" t="n">
        <v>2029</v>
      </c>
      <c r="E882" s="3" t="inlineStr">
        <is>
          <t>Softbank</t>
        </is>
      </c>
      <c r="F882" s="17" t="n">
        <v>0.213</v>
      </c>
      <c r="G882" s="17" t="n">
        <v>0.362</v>
      </c>
      <c r="H882" s="17" t="n">
        <v>0.425</v>
      </c>
      <c r="I882" s="17" t="n">
        <v>0</v>
      </c>
      <c r="J882" s="17" t="n">
        <v>0</v>
      </c>
      <c r="K882" s="17" t="n">
        <v>0</v>
      </c>
      <c r="L882" s="17" t="n">
        <v>0</v>
      </c>
      <c r="M882" s="17" t="n">
        <v>0</v>
      </c>
      <c r="N882" s="17" t="n">
        <v>0</v>
      </c>
      <c r="O882" s="26" t="n">
        <v>1</v>
      </c>
      <c r="P882" s="3" t="inlineStr">
        <is>
          <t>legacy_company_gpu_mix_fallback</t>
        </is>
      </c>
      <c r="Q882" s="3" t="inlineStr">
        <is>
          <t>SRC_OPENAI_GPT41_DOCS; SRC_OPENAI_STARGATE_ORACLE; SRC_OPENAI_STARGATE_PROGRESS</t>
        </is>
      </c>
      <c r="R882" s="3" t="inlineStr">
        <is>
          <t>No site-level chip type was available; prior company-level GPU/ASIC mix is retained as fallback.</t>
        </is>
      </c>
    </row>
    <row r="883">
      <c r="A883" s="3" t="inlineStr">
        <is>
          <t>Base|OpenAI Stargate Milam|2030</t>
        </is>
      </c>
      <c r="B883" s="3" t="inlineStr">
        <is>
          <t>Base</t>
        </is>
      </c>
      <c r="C883" s="3" t="inlineStr">
        <is>
          <t>OpenAI Stargate Milam</t>
        </is>
      </c>
      <c r="D883" s="3" t="n">
        <v>2030</v>
      </c>
      <c r="E883" s="3" t="inlineStr">
        <is>
          <t>Softbank</t>
        </is>
      </c>
      <c r="F883" s="17" t="n">
        <v>0.1</v>
      </c>
      <c r="G883" s="17" t="n">
        <v>0.35</v>
      </c>
      <c r="H883" s="17" t="n">
        <v>0.55</v>
      </c>
      <c r="I883" s="17" t="n">
        <v>0</v>
      </c>
      <c r="J883" s="17" t="n">
        <v>0</v>
      </c>
      <c r="K883" s="17" t="n">
        <v>0</v>
      </c>
      <c r="L883" s="17" t="n">
        <v>0</v>
      </c>
      <c r="M883" s="17" t="n">
        <v>0</v>
      </c>
      <c r="N883" s="17" t="n">
        <v>0</v>
      </c>
      <c r="O883" s="26" t="n">
        <v>1</v>
      </c>
      <c r="P883" s="3" t="inlineStr">
        <is>
          <t>legacy_company_gpu_mix_fallback</t>
        </is>
      </c>
      <c r="Q883" s="3" t="inlineStr">
        <is>
          <t>SRC_OPENAI_GPT41_DOCS; SRC_OPENAI_STARGATE_ORACLE; SRC_OPENAI_STARGATE_PROGRESS</t>
        </is>
      </c>
      <c r="R883" s="3" t="inlineStr">
        <is>
          <t>No site-level chip type was available; prior company-level GPU/ASIC mix is retained as fallback.</t>
        </is>
      </c>
    </row>
    <row r="884">
      <c r="A884" s="3" t="inlineStr">
        <is>
          <t>Bull|OpenAI Stargate Milam|2028</t>
        </is>
      </c>
      <c r="B884" s="3" t="inlineStr">
        <is>
          <t>Bull</t>
        </is>
      </c>
      <c r="C884" s="3" t="inlineStr">
        <is>
          <t>OpenAI Stargate Milam</t>
        </is>
      </c>
      <c r="D884" s="3" t="n">
        <v>2028</v>
      </c>
      <c r="E884" s="3" t="inlineStr">
        <is>
          <t>Softbank</t>
        </is>
      </c>
      <c r="F884" s="17" t="n">
        <v>0.325</v>
      </c>
      <c r="G884" s="17" t="n">
        <v>0.375</v>
      </c>
      <c r="H884" s="17" t="n">
        <v>0.3</v>
      </c>
      <c r="I884" s="17" t="n">
        <v>0</v>
      </c>
      <c r="J884" s="17" t="n">
        <v>0</v>
      </c>
      <c r="K884" s="17" t="n">
        <v>0</v>
      </c>
      <c r="L884" s="17" t="n">
        <v>0</v>
      </c>
      <c r="M884" s="17" t="n">
        <v>0</v>
      </c>
      <c r="N884" s="17" t="n">
        <v>0</v>
      </c>
      <c r="O884" s="26" t="n">
        <v>1</v>
      </c>
      <c r="P884" s="3" t="inlineStr">
        <is>
          <t>legacy_company_gpu_mix_fallback</t>
        </is>
      </c>
      <c r="Q884" s="3" t="inlineStr">
        <is>
          <t>SRC_OPENAI_GPT41_DOCS; SRC_OPENAI_STARGATE_ORACLE; SRC_OPENAI_STARGATE_PROGRESS</t>
        </is>
      </c>
      <c r="R884" s="3" t="inlineStr">
        <is>
          <t>No site-level chip type was available; prior company-level GPU/ASIC mix is retained as fallback.</t>
        </is>
      </c>
    </row>
    <row r="885">
      <c r="A885" s="3" t="inlineStr">
        <is>
          <t>Bull|OpenAI Stargate Milam|2029</t>
        </is>
      </c>
      <c r="B885" s="3" t="inlineStr">
        <is>
          <t>Bull</t>
        </is>
      </c>
      <c r="C885" s="3" t="inlineStr">
        <is>
          <t>OpenAI Stargate Milam</t>
        </is>
      </c>
      <c r="D885" s="3" t="n">
        <v>2029</v>
      </c>
      <c r="E885" s="3" t="inlineStr">
        <is>
          <t>Softbank</t>
        </is>
      </c>
      <c r="F885" s="17" t="n">
        <v>0.213</v>
      </c>
      <c r="G885" s="17" t="n">
        <v>0.362</v>
      </c>
      <c r="H885" s="17" t="n">
        <v>0.425</v>
      </c>
      <c r="I885" s="17" t="n">
        <v>0</v>
      </c>
      <c r="J885" s="17" t="n">
        <v>0</v>
      </c>
      <c r="K885" s="17" t="n">
        <v>0</v>
      </c>
      <c r="L885" s="17" t="n">
        <v>0</v>
      </c>
      <c r="M885" s="17" t="n">
        <v>0</v>
      </c>
      <c r="N885" s="17" t="n">
        <v>0</v>
      </c>
      <c r="O885" s="26" t="n">
        <v>1</v>
      </c>
      <c r="P885" s="3" t="inlineStr">
        <is>
          <t>legacy_company_gpu_mix_fallback</t>
        </is>
      </c>
      <c r="Q885" s="3" t="inlineStr">
        <is>
          <t>SRC_OPENAI_GPT41_DOCS; SRC_OPENAI_STARGATE_ORACLE; SRC_OPENAI_STARGATE_PROGRESS</t>
        </is>
      </c>
      <c r="R885" s="3" t="inlineStr">
        <is>
          <t>No site-level chip type was available; prior company-level GPU/ASIC mix is retained as fallback.</t>
        </is>
      </c>
    </row>
    <row r="886">
      <c r="A886" s="3" t="inlineStr">
        <is>
          <t>Bull|OpenAI Stargate Milam|2030</t>
        </is>
      </c>
      <c r="B886" s="3" t="inlineStr">
        <is>
          <t>Bull</t>
        </is>
      </c>
      <c r="C886" s="3" t="inlineStr">
        <is>
          <t>OpenAI Stargate Milam</t>
        </is>
      </c>
      <c r="D886" s="3" t="n">
        <v>2030</v>
      </c>
      <c r="E886" s="3" t="inlineStr">
        <is>
          <t>Softbank</t>
        </is>
      </c>
      <c r="F886" s="17" t="n">
        <v>0.1</v>
      </c>
      <c r="G886" s="17" t="n">
        <v>0.35</v>
      </c>
      <c r="H886" s="17" t="n">
        <v>0.55</v>
      </c>
      <c r="I886" s="17" t="n">
        <v>0</v>
      </c>
      <c r="J886" s="17" t="n">
        <v>0</v>
      </c>
      <c r="K886" s="17" t="n">
        <v>0</v>
      </c>
      <c r="L886" s="17" t="n">
        <v>0</v>
      </c>
      <c r="M886" s="17" t="n">
        <v>0</v>
      </c>
      <c r="N886" s="17" t="n">
        <v>0</v>
      </c>
      <c r="O886" s="26" t="n">
        <v>1</v>
      </c>
      <c r="P886" s="3" t="inlineStr">
        <is>
          <t>legacy_company_gpu_mix_fallback</t>
        </is>
      </c>
      <c r="Q886" s="3" t="inlineStr">
        <is>
          <t>SRC_OPENAI_GPT41_DOCS; SRC_OPENAI_STARGATE_ORACLE; SRC_OPENAI_STARGATE_PROGRESS</t>
        </is>
      </c>
      <c r="R886" s="3" t="inlineStr">
        <is>
          <t>No site-level chip type was available; prior company-level GPU/ASIC mix is retained as fallback.</t>
        </is>
      </c>
    </row>
    <row r="887">
      <c r="A887" s="3" t="inlineStr">
        <is>
          <t>Grid-Constrained / Efficiency-Upside|OpenAI Stargate Milam|2028</t>
        </is>
      </c>
      <c r="B887" s="3" t="inlineStr">
        <is>
          <t>Grid-Constrained / Efficiency-Upside</t>
        </is>
      </c>
      <c r="C887" s="3" t="inlineStr">
        <is>
          <t>OpenAI Stargate Milam</t>
        </is>
      </c>
      <c r="D887" s="3" t="n">
        <v>2028</v>
      </c>
      <c r="E887" s="3" t="inlineStr">
        <is>
          <t>Softbank</t>
        </is>
      </c>
      <c r="F887" s="17" t="n">
        <v>0.325</v>
      </c>
      <c r="G887" s="17" t="n">
        <v>0.375</v>
      </c>
      <c r="H887" s="17" t="n">
        <v>0.3</v>
      </c>
      <c r="I887" s="17" t="n">
        <v>0</v>
      </c>
      <c r="J887" s="17" t="n">
        <v>0</v>
      </c>
      <c r="K887" s="17" t="n">
        <v>0</v>
      </c>
      <c r="L887" s="17" t="n">
        <v>0</v>
      </c>
      <c r="M887" s="17" t="n">
        <v>0</v>
      </c>
      <c r="N887" s="17" t="n">
        <v>0</v>
      </c>
      <c r="O887" s="26" t="n">
        <v>1</v>
      </c>
      <c r="P887" s="3" t="inlineStr">
        <is>
          <t>legacy_company_gpu_mix_fallback</t>
        </is>
      </c>
      <c r="Q887" s="3" t="inlineStr">
        <is>
          <t>SRC_OPENAI_GPT41_DOCS; SRC_OPENAI_STARGATE_ORACLE; SRC_OPENAI_STARGATE_PROGRESS</t>
        </is>
      </c>
      <c r="R887" s="3" t="inlineStr">
        <is>
          <t>No site-level chip type was available; prior company-level GPU/ASIC mix is retained as fallback.</t>
        </is>
      </c>
    </row>
    <row r="888">
      <c r="A888" s="3" t="inlineStr">
        <is>
          <t>Grid-Constrained / Efficiency-Upside|OpenAI Stargate Milam|2029</t>
        </is>
      </c>
      <c r="B888" s="3" t="inlineStr">
        <is>
          <t>Grid-Constrained / Efficiency-Upside</t>
        </is>
      </c>
      <c r="C888" s="3" t="inlineStr">
        <is>
          <t>OpenAI Stargate Milam</t>
        </is>
      </c>
      <c r="D888" s="3" t="n">
        <v>2029</v>
      </c>
      <c r="E888" s="3" t="inlineStr">
        <is>
          <t>Softbank</t>
        </is>
      </c>
      <c r="F888" s="17" t="n">
        <v>0.213</v>
      </c>
      <c r="G888" s="17" t="n">
        <v>0.362</v>
      </c>
      <c r="H888" s="17" t="n">
        <v>0.425</v>
      </c>
      <c r="I888" s="17" t="n">
        <v>0</v>
      </c>
      <c r="J888" s="17" t="n">
        <v>0</v>
      </c>
      <c r="K888" s="17" t="n">
        <v>0</v>
      </c>
      <c r="L888" s="17" t="n">
        <v>0</v>
      </c>
      <c r="M888" s="17" t="n">
        <v>0</v>
      </c>
      <c r="N888" s="17" t="n">
        <v>0</v>
      </c>
      <c r="O888" s="26" t="n">
        <v>1</v>
      </c>
      <c r="P888" s="3" t="inlineStr">
        <is>
          <t>legacy_company_gpu_mix_fallback</t>
        </is>
      </c>
      <c r="Q888" s="3" t="inlineStr">
        <is>
          <t>SRC_OPENAI_GPT41_DOCS; SRC_OPENAI_STARGATE_ORACLE; SRC_OPENAI_STARGATE_PROGRESS</t>
        </is>
      </c>
      <c r="R888" s="3" t="inlineStr">
        <is>
          <t>No site-level chip type was available; prior company-level GPU/ASIC mix is retained as fallback.</t>
        </is>
      </c>
    </row>
    <row r="889">
      <c r="A889" s="3" t="inlineStr">
        <is>
          <t>Grid-Constrained / Efficiency-Upside|OpenAI Stargate Milam|2030</t>
        </is>
      </c>
      <c r="B889" s="3" t="inlineStr">
        <is>
          <t>Grid-Constrained / Efficiency-Upside</t>
        </is>
      </c>
      <c r="C889" s="3" t="inlineStr">
        <is>
          <t>OpenAI Stargate Milam</t>
        </is>
      </c>
      <c r="D889" s="3" t="n">
        <v>2030</v>
      </c>
      <c r="E889" s="3" t="inlineStr">
        <is>
          <t>Softbank</t>
        </is>
      </c>
      <c r="F889" s="17" t="n">
        <v>0.1</v>
      </c>
      <c r="G889" s="17" t="n">
        <v>0.35</v>
      </c>
      <c r="H889" s="17" t="n">
        <v>0.55</v>
      </c>
      <c r="I889" s="17" t="n">
        <v>0</v>
      </c>
      <c r="J889" s="17" t="n">
        <v>0</v>
      </c>
      <c r="K889" s="17" t="n">
        <v>0</v>
      </c>
      <c r="L889" s="17" t="n">
        <v>0</v>
      </c>
      <c r="M889" s="17" t="n">
        <v>0</v>
      </c>
      <c r="N889" s="17" t="n">
        <v>0</v>
      </c>
      <c r="O889" s="26" t="n">
        <v>1</v>
      </c>
      <c r="P889" s="3" t="inlineStr">
        <is>
          <t>legacy_company_gpu_mix_fallback</t>
        </is>
      </c>
      <c r="Q889" s="3" t="inlineStr">
        <is>
          <t>SRC_OPENAI_GPT41_DOCS; SRC_OPENAI_STARGATE_ORACLE; SRC_OPENAI_STARGATE_PROGRESS</t>
        </is>
      </c>
      <c r="R889" s="3" t="inlineStr">
        <is>
          <t>No site-level chip type was available; prior company-level GPU/ASIC mix is retained as fallback.</t>
        </is>
      </c>
    </row>
    <row r="890">
      <c r="A890" s="3" t="inlineStr">
        <is>
          <t>Bear|OpenAI Stargate New Mexico|2028</t>
        </is>
      </c>
      <c r="B890" s="3" t="inlineStr">
        <is>
          <t>Bear</t>
        </is>
      </c>
      <c r="C890" s="3" t="inlineStr">
        <is>
          <t>OpenAI Stargate New Mexico</t>
        </is>
      </c>
      <c r="D890" s="3" t="n">
        <v>2028</v>
      </c>
      <c r="E890" s="3" t="inlineStr">
        <is>
          <t>Oracle</t>
        </is>
      </c>
      <c r="F890" s="17" t="n">
        <v>0.325</v>
      </c>
      <c r="G890" s="17" t="n">
        <v>0.375</v>
      </c>
      <c r="H890" s="17" t="n">
        <v>0.3</v>
      </c>
      <c r="I890" s="17" t="n">
        <v>0</v>
      </c>
      <c r="J890" s="17" t="n">
        <v>0</v>
      </c>
      <c r="K890" s="17" t="n">
        <v>0</v>
      </c>
      <c r="L890" s="17" t="n">
        <v>0</v>
      </c>
      <c r="M890" s="17" t="n">
        <v>0</v>
      </c>
      <c r="N890" s="17" t="n">
        <v>0</v>
      </c>
      <c r="O890" s="26" t="n">
        <v>1</v>
      </c>
      <c r="P890" s="3" t="inlineStr">
        <is>
          <t>legacy_company_gpu_mix_fallback</t>
        </is>
      </c>
      <c r="Q890" s="3" t="inlineStr">
        <is>
          <t>SRC_OPENAI_GPT41_DOCS; SRC_OPENAI_STARGATE_ORACLE; SRC_OPENAI_STARGATE_PROGRESS</t>
        </is>
      </c>
      <c r="R890" s="3" t="inlineStr">
        <is>
          <t>No site-level chip type was available; prior company-level GPU/ASIC mix is retained as fallback.</t>
        </is>
      </c>
    </row>
    <row r="891">
      <c r="A891" s="3" t="inlineStr">
        <is>
          <t>Bear|OpenAI Stargate New Mexico|2029</t>
        </is>
      </c>
      <c r="B891" s="3" t="inlineStr">
        <is>
          <t>Bear</t>
        </is>
      </c>
      <c r="C891" s="3" t="inlineStr">
        <is>
          <t>OpenAI Stargate New Mexico</t>
        </is>
      </c>
      <c r="D891" s="3" t="n">
        <v>2029</v>
      </c>
      <c r="E891" s="3" t="inlineStr">
        <is>
          <t>Oracle</t>
        </is>
      </c>
      <c r="F891" s="17" t="n">
        <v>0.213</v>
      </c>
      <c r="G891" s="17" t="n">
        <v>0.362</v>
      </c>
      <c r="H891" s="17" t="n">
        <v>0.425</v>
      </c>
      <c r="I891" s="17" t="n">
        <v>0</v>
      </c>
      <c r="J891" s="17" t="n">
        <v>0</v>
      </c>
      <c r="K891" s="17" t="n">
        <v>0</v>
      </c>
      <c r="L891" s="17" t="n">
        <v>0</v>
      </c>
      <c r="M891" s="17" t="n">
        <v>0</v>
      </c>
      <c r="N891" s="17" t="n">
        <v>0</v>
      </c>
      <c r="O891" s="26" t="n">
        <v>1</v>
      </c>
      <c r="P891" s="3" t="inlineStr">
        <is>
          <t>legacy_company_gpu_mix_fallback</t>
        </is>
      </c>
      <c r="Q891" s="3" t="inlineStr">
        <is>
          <t>SRC_OPENAI_GPT41_DOCS; SRC_OPENAI_STARGATE_ORACLE; SRC_OPENAI_STARGATE_PROGRESS</t>
        </is>
      </c>
      <c r="R891" s="3" t="inlineStr">
        <is>
          <t>No site-level chip type was available; prior company-level GPU/ASIC mix is retained as fallback.</t>
        </is>
      </c>
    </row>
    <row r="892">
      <c r="A892" s="3" t="inlineStr">
        <is>
          <t>Bear|OpenAI Stargate New Mexico|2030</t>
        </is>
      </c>
      <c r="B892" s="3" t="inlineStr">
        <is>
          <t>Bear</t>
        </is>
      </c>
      <c r="C892" s="3" t="inlineStr">
        <is>
          <t>OpenAI Stargate New Mexico</t>
        </is>
      </c>
      <c r="D892" s="3" t="n">
        <v>2030</v>
      </c>
      <c r="E892" s="3" t="inlineStr">
        <is>
          <t>Oracle</t>
        </is>
      </c>
      <c r="F892" s="17" t="n">
        <v>0.1</v>
      </c>
      <c r="G892" s="17" t="n">
        <v>0.35</v>
      </c>
      <c r="H892" s="17" t="n">
        <v>0.55</v>
      </c>
      <c r="I892" s="17" t="n">
        <v>0</v>
      </c>
      <c r="J892" s="17" t="n">
        <v>0</v>
      </c>
      <c r="K892" s="17" t="n">
        <v>0</v>
      </c>
      <c r="L892" s="17" t="n">
        <v>0</v>
      </c>
      <c r="M892" s="17" t="n">
        <v>0</v>
      </c>
      <c r="N892" s="17" t="n">
        <v>0</v>
      </c>
      <c r="O892" s="26" t="n">
        <v>1</v>
      </c>
      <c r="P892" s="3" t="inlineStr">
        <is>
          <t>legacy_company_gpu_mix_fallback</t>
        </is>
      </c>
      <c r="Q892" s="3" t="inlineStr">
        <is>
          <t>SRC_OPENAI_GPT41_DOCS; SRC_OPENAI_STARGATE_ORACLE; SRC_OPENAI_STARGATE_PROGRESS</t>
        </is>
      </c>
      <c r="R892" s="3" t="inlineStr">
        <is>
          <t>No site-level chip type was available; prior company-level GPU/ASIC mix is retained as fallback.</t>
        </is>
      </c>
    </row>
    <row r="893">
      <c r="A893" s="3" t="inlineStr">
        <is>
          <t>Base|OpenAI Stargate New Mexico|2028</t>
        </is>
      </c>
      <c r="B893" s="3" t="inlineStr">
        <is>
          <t>Base</t>
        </is>
      </c>
      <c r="C893" s="3" t="inlineStr">
        <is>
          <t>OpenAI Stargate New Mexico</t>
        </is>
      </c>
      <c r="D893" s="3" t="n">
        <v>2028</v>
      </c>
      <c r="E893" s="3" t="inlineStr">
        <is>
          <t>Oracle</t>
        </is>
      </c>
      <c r="F893" s="17" t="n">
        <v>0.325</v>
      </c>
      <c r="G893" s="17" t="n">
        <v>0.375</v>
      </c>
      <c r="H893" s="17" t="n">
        <v>0.3</v>
      </c>
      <c r="I893" s="17" t="n">
        <v>0</v>
      </c>
      <c r="J893" s="17" t="n">
        <v>0</v>
      </c>
      <c r="K893" s="17" t="n">
        <v>0</v>
      </c>
      <c r="L893" s="17" t="n">
        <v>0</v>
      </c>
      <c r="M893" s="17" t="n">
        <v>0</v>
      </c>
      <c r="N893" s="17" t="n">
        <v>0</v>
      </c>
      <c r="O893" s="26" t="n">
        <v>1</v>
      </c>
      <c r="P893" s="3" t="inlineStr">
        <is>
          <t>legacy_company_gpu_mix_fallback</t>
        </is>
      </c>
      <c r="Q893" s="3" t="inlineStr">
        <is>
          <t>SRC_OPENAI_GPT41_DOCS; SRC_OPENAI_STARGATE_ORACLE; SRC_OPENAI_STARGATE_PROGRESS</t>
        </is>
      </c>
      <c r="R893" s="3" t="inlineStr">
        <is>
          <t>No site-level chip type was available; prior company-level GPU/ASIC mix is retained as fallback.</t>
        </is>
      </c>
    </row>
    <row r="894">
      <c r="A894" s="3" t="inlineStr">
        <is>
          <t>Base|OpenAI Stargate New Mexico|2029</t>
        </is>
      </c>
      <c r="B894" s="3" t="inlineStr">
        <is>
          <t>Base</t>
        </is>
      </c>
      <c r="C894" s="3" t="inlineStr">
        <is>
          <t>OpenAI Stargate New Mexico</t>
        </is>
      </c>
      <c r="D894" s="3" t="n">
        <v>2029</v>
      </c>
      <c r="E894" s="3" t="inlineStr">
        <is>
          <t>Oracle</t>
        </is>
      </c>
      <c r="F894" s="17" t="n">
        <v>0.213</v>
      </c>
      <c r="G894" s="17" t="n">
        <v>0.362</v>
      </c>
      <c r="H894" s="17" t="n">
        <v>0.425</v>
      </c>
      <c r="I894" s="17" t="n">
        <v>0</v>
      </c>
      <c r="J894" s="17" t="n">
        <v>0</v>
      </c>
      <c r="K894" s="17" t="n">
        <v>0</v>
      </c>
      <c r="L894" s="17" t="n">
        <v>0</v>
      </c>
      <c r="M894" s="17" t="n">
        <v>0</v>
      </c>
      <c r="N894" s="17" t="n">
        <v>0</v>
      </c>
      <c r="O894" s="26" t="n">
        <v>1</v>
      </c>
      <c r="P894" s="3" t="inlineStr">
        <is>
          <t>legacy_company_gpu_mix_fallback</t>
        </is>
      </c>
      <c r="Q894" s="3" t="inlineStr">
        <is>
          <t>SRC_OPENAI_GPT41_DOCS; SRC_OPENAI_STARGATE_ORACLE; SRC_OPENAI_STARGATE_PROGRESS</t>
        </is>
      </c>
      <c r="R894" s="3" t="inlineStr">
        <is>
          <t>No site-level chip type was available; prior company-level GPU/ASIC mix is retained as fallback.</t>
        </is>
      </c>
    </row>
    <row r="895">
      <c r="A895" s="3" t="inlineStr">
        <is>
          <t>Base|OpenAI Stargate New Mexico|2030</t>
        </is>
      </c>
      <c r="B895" s="3" t="inlineStr">
        <is>
          <t>Base</t>
        </is>
      </c>
      <c r="C895" s="3" t="inlineStr">
        <is>
          <t>OpenAI Stargate New Mexico</t>
        </is>
      </c>
      <c r="D895" s="3" t="n">
        <v>2030</v>
      </c>
      <c r="E895" s="3" t="inlineStr">
        <is>
          <t>Oracle</t>
        </is>
      </c>
      <c r="F895" s="17" t="n">
        <v>0.1</v>
      </c>
      <c r="G895" s="17" t="n">
        <v>0.35</v>
      </c>
      <c r="H895" s="17" t="n">
        <v>0.55</v>
      </c>
      <c r="I895" s="17" t="n">
        <v>0</v>
      </c>
      <c r="J895" s="17" t="n">
        <v>0</v>
      </c>
      <c r="K895" s="17" t="n">
        <v>0</v>
      </c>
      <c r="L895" s="17" t="n">
        <v>0</v>
      </c>
      <c r="M895" s="17" t="n">
        <v>0</v>
      </c>
      <c r="N895" s="17" t="n">
        <v>0</v>
      </c>
      <c r="O895" s="26" t="n">
        <v>1</v>
      </c>
      <c r="P895" s="3" t="inlineStr">
        <is>
          <t>legacy_company_gpu_mix_fallback</t>
        </is>
      </c>
      <c r="Q895" s="3" t="inlineStr">
        <is>
          <t>SRC_OPENAI_GPT41_DOCS; SRC_OPENAI_STARGATE_ORACLE; SRC_OPENAI_STARGATE_PROGRESS</t>
        </is>
      </c>
      <c r="R895" s="3" t="inlineStr">
        <is>
          <t>No site-level chip type was available; prior company-level GPU/ASIC mix is retained as fallback.</t>
        </is>
      </c>
    </row>
    <row r="896">
      <c r="A896" s="3" t="inlineStr">
        <is>
          <t>Bull|OpenAI Stargate New Mexico|2028</t>
        </is>
      </c>
      <c r="B896" s="3" t="inlineStr">
        <is>
          <t>Bull</t>
        </is>
      </c>
      <c r="C896" s="3" t="inlineStr">
        <is>
          <t>OpenAI Stargate New Mexico</t>
        </is>
      </c>
      <c r="D896" s="3" t="n">
        <v>2028</v>
      </c>
      <c r="E896" s="3" t="inlineStr">
        <is>
          <t>Oracle</t>
        </is>
      </c>
      <c r="F896" s="17" t="n">
        <v>0.325</v>
      </c>
      <c r="G896" s="17" t="n">
        <v>0.375</v>
      </c>
      <c r="H896" s="17" t="n">
        <v>0.3</v>
      </c>
      <c r="I896" s="17" t="n">
        <v>0</v>
      </c>
      <c r="J896" s="17" t="n">
        <v>0</v>
      </c>
      <c r="K896" s="17" t="n">
        <v>0</v>
      </c>
      <c r="L896" s="17" t="n">
        <v>0</v>
      </c>
      <c r="M896" s="17" t="n">
        <v>0</v>
      </c>
      <c r="N896" s="17" t="n">
        <v>0</v>
      </c>
      <c r="O896" s="26" t="n">
        <v>1</v>
      </c>
      <c r="P896" s="3" t="inlineStr">
        <is>
          <t>legacy_company_gpu_mix_fallback</t>
        </is>
      </c>
      <c r="Q896" s="3" t="inlineStr">
        <is>
          <t>SRC_OPENAI_GPT41_DOCS; SRC_OPENAI_STARGATE_ORACLE; SRC_OPENAI_STARGATE_PROGRESS</t>
        </is>
      </c>
      <c r="R896" s="3" t="inlineStr">
        <is>
          <t>No site-level chip type was available; prior company-level GPU/ASIC mix is retained as fallback.</t>
        </is>
      </c>
    </row>
    <row r="897">
      <c r="A897" s="3" t="inlineStr">
        <is>
          <t>Bull|OpenAI Stargate New Mexico|2029</t>
        </is>
      </c>
      <c r="B897" s="3" t="inlineStr">
        <is>
          <t>Bull</t>
        </is>
      </c>
      <c r="C897" s="3" t="inlineStr">
        <is>
          <t>OpenAI Stargate New Mexico</t>
        </is>
      </c>
      <c r="D897" s="3" t="n">
        <v>2029</v>
      </c>
      <c r="E897" s="3" t="inlineStr">
        <is>
          <t>Oracle</t>
        </is>
      </c>
      <c r="F897" s="17" t="n">
        <v>0.213</v>
      </c>
      <c r="G897" s="17" t="n">
        <v>0.362</v>
      </c>
      <c r="H897" s="17" t="n">
        <v>0.425</v>
      </c>
      <c r="I897" s="17" t="n">
        <v>0</v>
      </c>
      <c r="J897" s="17" t="n">
        <v>0</v>
      </c>
      <c r="K897" s="17" t="n">
        <v>0</v>
      </c>
      <c r="L897" s="17" t="n">
        <v>0</v>
      </c>
      <c r="M897" s="17" t="n">
        <v>0</v>
      </c>
      <c r="N897" s="17" t="n">
        <v>0</v>
      </c>
      <c r="O897" s="26" t="n">
        <v>1</v>
      </c>
      <c r="P897" s="3" t="inlineStr">
        <is>
          <t>legacy_company_gpu_mix_fallback</t>
        </is>
      </c>
      <c r="Q897" s="3" t="inlineStr">
        <is>
          <t>SRC_OPENAI_GPT41_DOCS; SRC_OPENAI_STARGATE_ORACLE; SRC_OPENAI_STARGATE_PROGRESS</t>
        </is>
      </c>
      <c r="R897" s="3" t="inlineStr">
        <is>
          <t>No site-level chip type was available; prior company-level GPU/ASIC mix is retained as fallback.</t>
        </is>
      </c>
    </row>
    <row r="898">
      <c r="A898" s="3" t="inlineStr">
        <is>
          <t>Bull|OpenAI Stargate New Mexico|2030</t>
        </is>
      </c>
      <c r="B898" s="3" t="inlineStr">
        <is>
          <t>Bull</t>
        </is>
      </c>
      <c r="C898" s="3" t="inlineStr">
        <is>
          <t>OpenAI Stargate New Mexico</t>
        </is>
      </c>
      <c r="D898" s="3" t="n">
        <v>2030</v>
      </c>
      <c r="E898" s="3" t="inlineStr">
        <is>
          <t>Oracle</t>
        </is>
      </c>
      <c r="F898" s="17" t="n">
        <v>0.1</v>
      </c>
      <c r="G898" s="17" t="n">
        <v>0.35</v>
      </c>
      <c r="H898" s="17" t="n">
        <v>0.55</v>
      </c>
      <c r="I898" s="17" t="n">
        <v>0</v>
      </c>
      <c r="J898" s="17" t="n">
        <v>0</v>
      </c>
      <c r="K898" s="17" t="n">
        <v>0</v>
      </c>
      <c r="L898" s="17" t="n">
        <v>0</v>
      </c>
      <c r="M898" s="17" t="n">
        <v>0</v>
      </c>
      <c r="N898" s="17" t="n">
        <v>0</v>
      </c>
      <c r="O898" s="26" t="n">
        <v>1</v>
      </c>
      <c r="P898" s="3" t="inlineStr">
        <is>
          <t>legacy_company_gpu_mix_fallback</t>
        </is>
      </c>
      <c r="Q898" s="3" t="inlineStr">
        <is>
          <t>SRC_OPENAI_GPT41_DOCS; SRC_OPENAI_STARGATE_ORACLE; SRC_OPENAI_STARGATE_PROGRESS</t>
        </is>
      </c>
      <c r="R898" s="3" t="inlineStr">
        <is>
          <t>No site-level chip type was available; prior company-level GPU/ASIC mix is retained as fallback.</t>
        </is>
      </c>
    </row>
    <row r="899">
      <c r="A899" s="3" t="inlineStr">
        <is>
          <t>Grid-Constrained / Efficiency-Upside|OpenAI Stargate New Mexico|2028</t>
        </is>
      </c>
      <c r="B899" s="3" t="inlineStr">
        <is>
          <t>Grid-Constrained / Efficiency-Upside</t>
        </is>
      </c>
      <c r="C899" s="3" t="inlineStr">
        <is>
          <t>OpenAI Stargate New Mexico</t>
        </is>
      </c>
      <c r="D899" s="3" t="n">
        <v>2028</v>
      </c>
      <c r="E899" s="3" t="inlineStr">
        <is>
          <t>Oracle</t>
        </is>
      </c>
      <c r="F899" s="17" t="n">
        <v>0.325</v>
      </c>
      <c r="G899" s="17" t="n">
        <v>0.375</v>
      </c>
      <c r="H899" s="17" t="n">
        <v>0.3</v>
      </c>
      <c r="I899" s="17" t="n">
        <v>0</v>
      </c>
      <c r="J899" s="17" t="n">
        <v>0</v>
      </c>
      <c r="K899" s="17" t="n">
        <v>0</v>
      </c>
      <c r="L899" s="17" t="n">
        <v>0</v>
      </c>
      <c r="M899" s="17" t="n">
        <v>0</v>
      </c>
      <c r="N899" s="17" t="n">
        <v>0</v>
      </c>
      <c r="O899" s="26" t="n">
        <v>1</v>
      </c>
      <c r="P899" s="3" t="inlineStr">
        <is>
          <t>legacy_company_gpu_mix_fallback</t>
        </is>
      </c>
      <c r="Q899" s="3" t="inlineStr">
        <is>
          <t>SRC_OPENAI_GPT41_DOCS; SRC_OPENAI_STARGATE_ORACLE; SRC_OPENAI_STARGATE_PROGRESS</t>
        </is>
      </c>
      <c r="R899" s="3" t="inlineStr">
        <is>
          <t>No site-level chip type was available; prior company-level GPU/ASIC mix is retained as fallback.</t>
        </is>
      </c>
    </row>
    <row r="900">
      <c r="A900" s="3" t="inlineStr">
        <is>
          <t>Grid-Constrained / Efficiency-Upside|OpenAI Stargate New Mexico|2029</t>
        </is>
      </c>
      <c r="B900" s="3" t="inlineStr">
        <is>
          <t>Grid-Constrained / Efficiency-Upside</t>
        </is>
      </c>
      <c r="C900" s="3" t="inlineStr">
        <is>
          <t>OpenAI Stargate New Mexico</t>
        </is>
      </c>
      <c r="D900" s="3" t="n">
        <v>2029</v>
      </c>
      <c r="E900" s="3" t="inlineStr">
        <is>
          <t>Oracle</t>
        </is>
      </c>
      <c r="F900" s="17" t="n">
        <v>0.213</v>
      </c>
      <c r="G900" s="17" t="n">
        <v>0.362</v>
      </c>
      <c r="H900" s="17" t="n">
        <v>0.425</v>
      </c>
      <c r="I900" s="17" t="n">
        <v>0</v>
      </c>
      <c r="J900" s="17" t="n">
        <v>0</v>
      </c>
      <c r="K900" s="17" t="n">
        <v>0</v>
      </c>
      <c r="L900" s="17" t="n">
        <v>0</v>
      </c>
      <c r="M900" s="17" t="n">
        <v>0</v>
      </c>
      <c r="N900" s="17" t="n">
        <v>0</v>
      </c>
      <c r="O900" s="26" t="n">
        <v>1</v>
      </c>
      <c r="P900" s="3" t="inlineStr">
        <is>
          <t>legacy_company_gpu_mix_fallback</t>
        </is>
      </c>
      <c r="Q900" s="3" t="inlineStr">
        <is>
          <t>SRC_OPENAI_GPT41_DOCS; SRC_OPENAI_STARGATE_ORACLE; SRC_OPENAI_STARGATE_PROGRESS</t>
        </is>
      </c>
      <c r="R900" s="3" t="inlineStr">
        <is>
          <t>No site-level chip type was available; prior company-level GPU/ASIC mix is retained as fallback.</t>
        </is>
      </c>
    </row>
    <row r="901">
      <c r="A901" s="3" t="inlineStr">
        <is>
          <t>Grid-Constrained / Efficiency-Upside|OpenAI Stargate New Mexico|2030</t>
        </is>
      </c>
      <c r="B901" s="3" t="inlineStr">
        <is>
          <t>Grid-Constrained / Efficiency-Upside</t>
        </is>
      </c>
      <c r="C901" s="3" t="inlineStr">
        <is>
          <t>OpenAI Stargate New Mexico</t>
        </is>
      </c>
      <c r="D901" s="3" t="n">
        <v>2030</v>
      </c>
      <c r="E901" s="3" t="inlineStr">
        <is>
          <t>Oracle</t>
        </is>
      </c>
      <c r="F901" s="17" t="n">
        <v>0.1</v>
      </c>
      <c r="G901" s="17" t="n">
        <v>0.35</v>
      </c>
      <c r="H901" s="17" t="n">
        <v>0.55</v>
      </c>
      <c r="I901" s="17" t="n">
        <v>0</v>
      </c>
      <c r="J901" s="17" t="n">
        <v>0</v>
      </c>
      <c r="K901" s="17" t="n">
        <v>0</v>
      </c>
      <c r="L901" s="17" t="n">
        <v>0</v>
      </c>
      <c r="M901" s="17" t="n">
        <v>0</v>
      </c>
      <c r="N901" s="17" t="n">
        <v>0</v>
      </c>
      <c r="O901" s="26" t="n">
        <v>1</v>
      </c>
      <c r="P901" s="3" t="inlineStr">
        <is>
          <t>legacy_company_gpu_mix_fallback</t>
        </is>
      </c>
      <c r="Q901" s="3" t="inlineStr">
        <is>
          <t>SRC_OPENAI_GPT41_DOCS; SRC_OPENAI_STARGATE_ORACLE; SRC_OPENAI_STARGATE_PROGRESS</t>
        </is>
      </c>
      <c r="R901" s="3" t="inlineStr">
        <is>
          <t>No site-level chip type was available; prior company-level GPU/ASIC mix is retained as fallback.</t>
        </is>
      </c>
    </row>
    <row r="902">
      <c r="A902" s="3" t="inlineStr">
        <is>
          <t>Bear|OpenAI Stargate Shackelford|2028</t>
        </is>
      </c>
      <c r="B902" s="3" t="inlineStr">
        <is>
          <t>Bear</t>
        </is>
      </c>
      <c r="C902" s="3" t="inlineStr">
        <is>
          <t>OpenAI Stargate Shackelford</t>
        </is>
      </c>
      <c r="D902" s="3" t="n">
        <v>2028</v>
      </c>
      <c r="E902" s="3" t="inlineStr">
        <is>
          <t>Oracle</t>
        </is>
      </c>
      <c r="F902" s="17" t="n">
        <v>0</v>
      </c>
      <c r="G902" s="17" t="n">
        <v>0</v>
      </c>
      <c r="H902" s="17" t="n">
        <v>0</v>
      </c>
      <c r="I902" s="17" t="n">
        <v>1</v>
      </c>
      <c r="J902" s="17" t="n">
        <v>0</v>
      </c>
      <c r="K902" s="17" t="n">
        <v>0</v>
      </c>
      <c r="L902" s="17" t="n">
        <v>0</v>
      </c>
      <c r="M902" s="17" t="n">
        <v>0</v>
      </c>
      <c r="N902" s="17" t="n">
        <v>0</v>
      </c>
      <c r="O902" s="26" t="n">
        <v>1</v>
      </c>
      <c r="P902" s="3" t="inlineStr">
        <is>
          <t>epoch_chip_quantity_latest</t>
        </is>
      </c>
      <c r="Q902" s="3" t="inlineStr">
        <is>
          <t>SRC_EPOCH_AI_DATA_CENTERS; EPOCH_RAW_CHIP_QUANTITIES</t>
        </is>
      </c>
      <c r="R902" s="3" t="inlineStr">
        <is>
          <t>Latest chip quantity per chip type through year-end; normalized by unit count into benchmark buckets.</t>
        </is>
      </c>
    </row>
    <row r="903">
      <c r="A903" s="3" t="inlineStr">
        <is>
          <t>Bear|OpenAI Stargate Shackelford|2029</t>
        </is>
      </c>
      <c r="B903" s="3" t="inlineStr">
        <is>
          <t>Bear</t>
        </is>
      </c>
      <c r="C903" s="3" t="inlineStr">
        <is>
          <t>OpenAI Stargate Shackelford</t>
        </is>
      </c>
      <c r="D903" s="3" t="n">
        <v>2029</v>
      </c>
      <c r="E903" s="3" t="inlineStr">
        <is>
          <t>Oracle</t>
        </is>
      </c>
      <c r="F903" s="17" t="n">
        <v>0</v>
      </c>
      <c r="G903" s="17" t="n">
        <v>0</v>
      </c>
      <c r="H903" s="17" t="n">
        <v>0</v>
      </c>
      <c r="I903" s="17" t="n">
        <v>1</v>
      </c>
      <c r="J903" s="17" t="n">
        <v>0</v>
      </c>
      <c r="K903" s="17" t="n">
        <v>0</v>
      </c>
      <c r="L903" s="17" t="n">
        <v>0</v>
      </c>
      <c r="M903" s="17" t="n">
        <v>0</v>
      </c>
      <c r="N903" s="17" t="n">
        <v>0</v>
      </c>
      <c r="O903" s="26" t="n">
        <v>1</v>
      </c>
      <c r="P903" s="3" t="inlineStr">
        <is>
          <t>epoch_chip_quantity_latest</t>
        </is>
      </c>
      <c r="Q903" s="3" t="inlineStr">
        <is>
          <t>SRC_EPOCH_AI_DATA_CENTERS; EPOCH_RAW_CHIP_QUANTITIES</t>
        </is>
      </c>
      <c r="R903" s="3" t="inlineStr">
        <is>
          <t>Latest chip quantity per chip type through year-end; normalized by unit count into benchmark buckets.</t>
        </is>
      </c>
    </row>
    <row r="904">
      <c r="A904" s="3" t="inlineStr">
        <is>
          <t>Bear|OpenAI Stargate Shackelford|2030</t>
        </is>
      </c>
      <c r="B904" s="3" t="inlineStr">
        <is>
          <t>Bear</t>
        </is>
      </c>
      <c r="C904" s="3" t="inlineStr">
        <is>
          <t>OpenAI Stargate Shackelford</t>
        </is>
      </c>
      <c r="D904" s="3" t="n">
        <v>2030</v>
      </c>
      <c r="E904" s="3" t="inlineStr">
        <is>
          <t>Oracle</t>
        </is>
      </c>
      <c r="F904" s="17" t="n">
        <v>0</v>
      </c>
      <c r="G904" s="17" t="n">
        <v>0</v>
      </c>
      <c r="H904" s="17" t="n">
        <v>0</v>
      </c>
      <c r="I904" s="17" t="n">
        <v>1</v>
      </c>
      <c r="J904" s="17" t="n">
        <v>0</v>
      </c>
      <c r="K904" s="17" t="n">
        <v>0</v>
      </c>
      <c r="L904" s="17" t="n">
        <v>0</v>
      </c>
      <c r="M904" s="17" t="n">
        <v>0</v>
      </c>
      <c r="N904" s="17" t="n">
        <v>0</v>
      </c>
      <c r="O904" s="26" t="n">
        <v>1</v>
      </c>
      <c r="P904" s="3" t="inlineStr">
        <is>
          <t>epoch_chip_quantity_latest</t>
        </is>
      </c>
      <c r="Q904" s="3" t="inlineStr">
        <is>
          <t>SRC_EPOCH_AI_DATA_CENTERS; EPOCH_RAW_CHIP_QUANTITIES</t>
        </is>
      </c>
      <c r="R904" s="3" t="inlineStr">
        <is>
          <t>Latest chip quantity per chip type through year-end; normalized by unit count into benchmark buckets.</t>
        </is>
      </c>
    </row>
    <row r="905">
      <c r="A905" s="3" t="inlineStr">
        <is>
          <t>Base|OpenAI Stargate Shackelford|2028</t>
        </is>
      </c>
      <c r="B905" s="3" t="inlineStr">
        <is>
          <t>Base</t>
        </is>
      </c>
      <c r="C905" s="3" t="inlineStr">
        <is>
          <t>OpenAI Stargate Shackelford</t>
        </is>
      </c>
      <c r="D905" s="3" t="n">
        <v>2028</v>
      </c>
      <c r="E905" s="3" t="inlineStr">
        <is>
          <t>Oracle</t>
        </is>
      </c>
      <c r="F905" s="17" t="n">
        <v>0</v>
      </c>
      <c r="G905" s="17" t="n">
        <v>0</v>
      </c>
      <c r="H905" s="17" t="n">
        <v>0</v>
      </c>
      <c r="I905" s="17" t="n">
        <v>1</v>
      </c>
      <c r="J905" s="17" t="n">
        <v>0</v>
      </c>
      <c r="K905" s="17" t="n">
        <v>0</v>
      </c>
      <c r="L905" s="17" t="n">
        <v>0</v>
      </c>
      <c r="M905" s="17" t="n">
        <v>0</v>
      </c>
      <c r="N905" s="17" t="n">
        <v>0</v>
      </c>
      <c r="O905" s="26" t="n">
        <v>1</v>
      </c>
      <c r="P905" s="3" t="inlineStr">
        <is>
          <t>epoch_chip_quantity_latest</t>
        </is>
      </c>
      <c r="Q905" s="3" t="inlineStr">
        <is>
          <t>SRC_EPOCH_AI_DATA_CENTERS; EPOCH_RAW_CHIP_QUANTITIES</t>
        </is>
      </c>
      <c r="R905" s="3" t="inlineStr">
        <is>
          <t>Latest chip quantity per chip type through year-end; normalized by unit count into benchmark buckets.</t>
        </is>
      </c>
    </row>
    <row r="906">
      <c r="A906" s="3" t="inlineStr">
        <is>
          <t>Base|OpenAI Stargate Shackelford|2029</t>
        </is>
      </c>
      <c r="B906" s="3" t="inlineStr">
        <is>
          <t>Base</t>
        </is>
      </c>
      <c r="C906" s="3" t="inlineStr">
        <is>
          <t>OpenAI Stargate Shackelford</t>
        </is>
      </c>
      <c r="D906" s="3" t="n">
        <v>2029</v>
      </c>
      <c r="E906" s="3" t="inlineStr">
        <is>
          <t>Oracle</t>
        </is>
      </c>
      <c r="F906" s="17" t="n">
        <v>0</v>
      </c>
      <c r="G906" s="17" t="n">
        <v>0</v>
      </c>
      <c r="H906" s="17" t="n">
        <v>0</v>
      </c>
      <c r="I906" s="17" t="n">
        <v>1</v>
      </c>
      <c r="J906" s="17" t="n">
        <v>0</v>
      </c>
      <c r="K906" s="17" t="n">
        <v>0</v>
      </c>
      <c r="L906" s="17" t="n">
        <v>0</v>
      </c>
      <c r="M906" s="17" t="n">
        <v>0</v>
      </c>
      <c r="N906" s="17" t="n">
        <v>0</v>
      </c>
      <c r="O906" s="26" t="n">
        <v>1</v>
      </c>
      <c r="P906" s="3" t="inlineStr">
        <is>
          <t>epoch_chip_quantity_latest</t>
        </is>
      </c>
      <c r="Q906" s="3" t="inlineStr">
        <is>
          <t>SRC_EPOCH_AI_DATA_CENTERS; EPOCH_RAW_CHIP_QUANTITIES</t>
        </is>
      </c>
      <c r="R906" s="3" t="inlineStr">
        <is>
          <t>Latest chip quantity per chip type through year-end; normalized by unit count into benchmark buckets.</t>
        </is>
      </c>
    </row>
    <row r="907">
      <c r="A907" s="3" t="inlineStr">
        <is>
          <t>Base|OpenAI Stargate Shackelford|2030</t>
        </is>
      </c>
      <c r="B907" s="3" t="inlineStr">
        <is>
          <t>Base</t>
        </is>
      </c>
      <c r="C907" s="3" t="inlineStr">
        <is>
          <t>OpenAI Stargate Shackelford</t>
        </is>
      </c>
      <c r="D907" s="3" t="n">
        <v>2030</v>
      </c>
      <c r="E907" s="3" t="inlineStr">
        <is>
          <t>Oracle</t>
        </is>
      </c>
      <c r="F907" s="17" t="n">
        <v>0</v>
      </c>
      <c r="G907" s="17" t="n">
        <v>0</v>
      </c>
      <c r="H907" s="17" t="n">
        <v>0</v>
      </c>
      <c r="I907" s="17" t="n">
        <v>1</v>
      </c>
      <c r="J907" s="17" t="n">
        <v>0</v>
      </c>
      <c r="K907" s="17" t="n">
        <v>0</v>
      </c>
      <c r="L907" s="17" t="n">
        <v>0</v>
      </c>
      <c r="M907" s="17" t="n">
        <v>0</v>
      </c>
      <c r="N907" s="17" t="n">
        <v>0</v>
      </c>
      <c r="O907" s="26" t="n">
        <v>1</v>
      </c>
      <c r="P907" s="3" t="inlineStr">
        <is>
          <t>epoch_chip_quantity_latest</t>
        </is>
      </c>
      <c r="Q907" s="3" t="inlineStr">
        <is>
          <t>SRC_EPOCH_AI_DATA_CENTERS; EPOCH_RAW_CHIP_QUANTITIES</t>
        </is>
      </c>
      <c r="R907" s="3" t="inlineStr">
        <is>
          <t>Latest chip quantity per chip type through year-end; normalized by unit count into benchmark buckets.</t>
        </is>
      </c>
    </row>
    <row r="908">
      <c r="A908" s="3" t="inlineStr">
        <is>
          <t>Bull|OpenAI Stargate Shackelford|2028</t>
        </is>
      </c>
      <c r="B908" s="3" t="inlineStr">
        <is>
          <t>Bull</t>
        </is>
      </c>
      <c r="C908" s="3" t="inlineStr">
        <is>
          <t>OpenAI Stargate Shackelford</t>
        </is>
      </c>
      <c r="D908" s="3" t="n">
        <v>2028</v>
      </c>
      <c r="E908" s="3" t="inlineStr">
        <is>
          <t>Oracle</t>
        </is>
      </c>
      <c r="F908" s="17" t="n">
        <v>0</v>
      </c>
      <c r="G908" s="17" t="n">
        <v>0</v>
      </c>
      <c r="H908" s="17" t="n">
        <v>0</v>
      </c>
      <c r="I908" s="17" t="n">
        <v>1</v>
      </c>
      <c r="J908" s="17" t="n">
        <v>0</v>
      </c>
      <c r="K908" s="17" t="n">
        <v>0</v>
      </c>
      <c r="L908" s="17" t="n">
        <v>0</v>
      </c>
      <c r="M908" s="17" t="n">
        <v>0</v>
      </c>
      <c r="N908" s="17" t="n">
        <v>0</v>
      </c>
      <c r="O908" s="26" t="n">
        <v>1</v>
      </c>
      <c r="P908" s="3" t="inlineStr">
        <is>
          <t>epoch_chip_quantity_latest</t>
        </is>
      </c>
      <c r="Q908" s="3" t="inlineStr">
        <is>
          <t>SRC_EPOCH_AI_DATA_CENTERS; EPOCH_RAW_CHIP_QUANTITIES</t>
        </is>
      </c>
      <c r="R908" s="3" t="inlineStr">
        <is>
          <t>Latest chip quantity per chip type through year-end; normalized by unit count into benchmark buckets.</t>
        </is>
      </c>
    </row>
    <row r="909">
      <c r="A909" s="3" t="inlineStr">
        <is>
          <t>Bull|OpenAI Stargate Shackelford|2029</t>
        </is>
      </c>
      <c r="B909" s="3" t="inlineStr">
        <is>
          <t>Bull</t>
        </is>
      </c>
      <c r="C909" s="3" t="inlineStr">
        <is>
          <t>OpenAI Stargate Shackelford</t>
        </is>
      </c>
      <c r="D909" s="3" t="n">
        <v>2029</v>
      </c>
      <c r="E909" s="3" t="inlineStr">
        <is>
          <t>Oracle</t>
        </is>
      </c>
      <c r="F909" s="17" t="n">
        <v>0</v>
      </c>
      <c r="G909" s="17" t="n">
        <v>0</v>
      </c>
      <c r="H909" s="17" t="n">
        <v>0</v>
      </c>
      <c r="I909" s="17" t="n">
        <v>1</v>
      </c>
      <c r="J909" s="17" t="n">
        <v>0</v>
      </c>
      <c r="K909" s="17" t="n">
        <v>0</v>
      </c>
      <c r="L909" s="17" t="n">
        <v>0</v>
      </c>
      <c r="M909" s="17" t="n">
        <v>0</v>
      </c>
      <c r="N909" s="17" t="n">
        <v>0</v>
      </c>
      <c r="O909" s="26" t="n">
        <v>1</v>
      </c>
      <c r="P909" s="3" t="inlineStr">
        <is>
          <t>epoch_chip_quantity_latest</t>
        </is>
      </c>
      <c r="Q909" s="3" t="inlineStr">
        <is>
          <t>SRC_EPOCH_AI_DATA_CENTERS; EPOCH_RAW_CHIP_QUANTITIES</t>
        </is>
      </c>
      <c r="R909" s="3" t="inlineStr">
        <is>
          <t>Latest chip quantity per chip type through year-end; normalized by unit count into benchmark buckets.</t>
        </is>
      </c>
    </row>
    <row r="910">
      <c r="A910" s="3" t="inlineStr">
        <is>
          <t>Bull|OpenAI Stargate Shackelford|2030</t>
        </is>
      </c>
      <c r="B910" s="3" t="inlineStr">
        <is>
          <t>Bull</t>
        </is>
      </c>
      <c r="C910" s="3" t="inlineStr">
        <is>
          <t>OpenAI Stargate Shackelford</t>
        </is>
      </c>
      <c r="D910" s="3" t="n">
        <v>2030</v>
      </c>
      <c r="E910" s="3" t="inlineStr">
        <is>
          <t>Oracle</t>
        </is>
      </c>
      <c r="F910" s="17" t="n">
        <v>0</v>
      </c>
      <c r="G910" s="17" t="n">
        <v>0</v>
      </c>
      <c r="H910" s="17" t="n">
        <v>0</v>
      </c>
      <c r="I910" s="17" t="n">
        <v>1</v>
      </c>
      <c r="J910" s="17" t="n">
        <v>0</v>
      </c>
      <c r="K910" s="17" t="n">
        <v>0</v>
      </c>
      <c r="L910" s="17" t="n">
        <v>0</v>
      </c>
      <c r="M910" s="17" t="n">
        <v>0</v>
      </c>
      <c r="N910" s="17" t="n">
        <v>0</v>
      </c>
      <c r="O910" s="26" t="n">
        <v>1</v>
      </c>
      <c r="P910" s="3" t="inlineStr">
        <is>
          <t>epoch_chip_quantity_latest</t>
        </is>
      </c>
      <c r="Q910" s="3" t="inlineStr">
        <is>
          <t>SRC_EPOCH_AI_DATA_CENTERS; EPOCH_RAW_CHIP_QUANTITIES</t>
        </is>
      </c>
      <c r="R910" s="3" t="inlineStr">
        <is>
          <t>Latest chip quantity per chip type through year-end; normalized by unit count into benchmark buckets.</t>
        </is>
      </c>
    </row>
    <row r="911">
      <c r="A911" s="3" t="inlineStr">
        <is>
          <t>Grid-Constrained / Efficiency-Upside|OpenAI Stargate Shackelford|2028</t>
        </is>
      </c>
      <c r="B911" s="3" t="inlineStr">
        <is>
          <t>Grid-Constrained / Efficiency-Upside</t>
        </is>
      </c>
      <c r="C911" s="3" t="inlineStr">
        <is>
          <t>OpenAI Stargate Shackelford</t>
        </is>
      </c>
      <c r="D911" s="3" t="n">
        <v>2028</v>
      </c>
      <c r="E911" s="3" t="inlineStr">
        <is>
          <t>Oracle</t>
        </is>
      </c>
      <c r="F911" s="17" t="n">
        <v>0</v>
      </c>
      <c r="G911" s="17" t="n">
        <v>0</v>
      </c>
      <c r="H911" s="17" t="n">
        <v>0</v>
      </c>
      <c r="I911" s="17" t="n">
        <v>1</v>
      </c>
      <c r="J911" s="17" t="n">
        <v>0</v>
      </c>
      <c r="K911" s="17" t="n">
        <v>0</v>
      </c>
      <c r="L911" s="17" t="n">
        <v>0</v>
      </c>
      <c r="M911" s="17" t="n">
        <v>0</v>
      </c>
      <c r="N911" s="17" t="n">
        <v>0</v>
      </c>
      <c r="O911" s="26" t="n">
        <v>1</v>
      </c>
      <c r="P911" s="3" t="inlineStr">
        <is>
          <t>epoch_chip_quantity_latest</t>
        </is>
      </c>
      <c r="Q911" s="3" t="inlineStr">
        <is>
          <t>SRC_EPOCH_AI_DATA_CENTERS; EPOCH_RAW_CHIP_QUANTITIES</t>
        </is>
      </c>
      <c r="R911" s="3" t="inlineStr">
        <is>
          <t>Latest chip quantity per chip type through year-end; normalized by unit count into benchmark buckets.</t>
        </is>
      </c>
    </row>
    <row r="912">
      <c r="A912" s="3" t="inlineStr">
        <is>
          <t>Grid-Constrained / Efficiency-Upside|OpenAI Stargate Shackelford|2029</t>
        </is>
      </c>
      <c r="B912" s="3" t="inlineStr">
        <is>
          <t>Grid-Constrained / Efficiency-Upside</t>
        </is>
      </c>
      <c r="C912" s="3" t="inlineStr">
        <is>
          <t>OpenAI Stargate Shackelford</t>
        </is>
      </c>
      <c r="D912" s="3" t="n">
        <v>2029</v>
      </c>
      <c r="E912" s="3" t="inlineStr">
        <is>
          <t>Oracle</t>
        </is>
      </c>
      <c r="F912" s="17" t="n">
        <v>0</v>
      </c>
      <c r="G912" s="17" t="n">
        <v>0</v>
      </c>
      <c r="H912" s="17" t="n">
        <v>0</v>
      </c>
      <c r="I912" s="17" t="n">
        <v>1</v>
      </c>
      <c r="J912" s="17" t="n">
        <v>0</v>
      </c>
      <c r="K912" s="17" t="n">
        <v>0</v>
      </c>
      <c r="L912" s="17" t="n">
        <v>0</v>
      </c>
      <c r="M912" s="17" t="n">
        <v>0</v>
      </c>
      <c r="N912" s="17" t="n">
        <v>0</v>
      </c>
      <c r="O912" s="26" t="n">
        <v>1</v>
      </c>
      <c r="P912" s="3" t="inlineStr">
        <is>
          <t>epoch_chip_quantity_latest</t>
        </is>
      </c>
      <c r="Q912" s="3" t="inlineStr">
        <is>
          <t>SRC_EPOCH_AI_DATA_CENTERS; EPOCH_RAW_CHIP_QUANTITIES</t>
        </is>
      </c>
      <c r="R912" s="3" t="inlineStr">
        <is>
          <t>Latest chip quantity per chip type through year-end; normalized by unit count into benchmark buckets.</t>
        </is>
      </c>
    </row>
    <row r="913">
      <c r="A913" s="3" t="inlineStr">
        <is>
          <t>Grid-Constrained / Efficiency-Upside|OpenAI Stargate Shackelford|2030</t>
        </is>
      </c>
      <c r="B913" s="3" t="inlineStr">
        <is>
          <t>Grid-Constrained / Efficiency-Upside</t>
        </is>
      </c>
      <c r="C913" s="3" t="inlineStr">
        <is>
          <t>OpenAI Stargate Shackelford</t>
        </is>
      </c>
      <c r="D913" s="3" t="n">
        <v>2030</v>
      </c>
      <c r="E913" s="3" t="inlineStr">
        <is>
          <t>Oracle</t>
        </is>
      </c>
      <c r="F913" s="17" t="n">
        <v>0</v>
      </c>
      <c r="G913" s="17" t="n">
        <v>0</v>
      </c>
      <c r="H913" s="17" t="n">
        <v>0</v>
      </c>
      <c r="I913" s="17" t="n">
        <v>1</v>
      </c>
      <c r="J913" s="17" t="n">
        <v>0</v>
      </c>
      <c r="K913" s="17" t="n">
        <v>0</v>
      </c>
      <c r="L913" s="17" t="n">
        <v>0</v>
      </c>
      <c r="M913" s="17" t="n">
        <v>0</v>
      </c>
      <c r="N913" s="17" t="n">
        <v>0</v>
      </c>
      <c r="O913" s="26" t="n">
        <v>1</v>
      </c>
      <c r="P913" s="3" t="inlineStr">
        <is>
          <t>epoch_chip_quantity_latest</t>
        </is>
      </c>
      <c r="Q913" s="3" t="inlineStr">
        <is>
          <t>SRC_EPOCH_AI_DATA_CENTERS; EPOCH_RAW_CHIP_QUANTITIES</t>
        </is>
      </c>
      <c r="R913" s="3" t="inlineStr">
        <is>
          <t>Latest chip quantity per chip type through year-end; normalized by unit count into benchmark buckets.</t>
        </is>
      </c>
    </row>
    <row r="914">
      <c r="A914" s="3" t="inlineStr">
        <is>
          <t>Bear|OpenAI Stargate UAE|2028</t>
        </is>
      </c>
      <c r="B914" s="3" t="inlineStr">
        <is>
          <t>Bear</t>
        </is>
      </c>
      <c r="C914" s="3" t="inlineStr">
        <is>
          <t>OpenAI Stargate UAE</t>
        </is>
      </c>
      <c r="D914" s="3" t="n">
        <v>2028</v>
      </c>
      <c r="E914" s="3" t="inlineStr">
        <is>
          <t>G42</t>
        </is>
      </c>
      <c r="F914" s="17" t="n">
        <v>0</v>
      </c>
      <c r="G914" s="17" t="n">
        <v>0.25</v>
      </c>
      <c r="H914" s="17" t="n">
        <v>0</v>
      </c>
      <c r="I914" s="17" t="n">
        <v>0.75</v>
      </c>
      <c r="J914" s="17" t="n">
        <v>0</v>
      </c>
      <c r="K914" s="17" t="n">
        <v>0</v>
      </c>
      <c r="L914" s="17" t="n">
        <v>0</v>
      </c>
      <c r="M914" s="17" t="n">
        <v>0</v>
      </c>
      <c r="N914" s="17" t="n">
        <v>0</v>
      </c>
      <c r="O914" s="26" t="n">
        <v>1</v>
      </c>
      <c r="P914" s="3" t="inlineStr">
        <is>
          <t>epoch_chip_quantity_latest</t>
        </is>
      </c>
      <c r="Q914" s="3" t="inlineStr">
        <is>
          <t>SRC_EPOCH_AI_DATA_CENTERS; EPOCH_RAW_CHIP_QUANTITIES</t>
        </is>
      </c>
      <c r="R914" s="3" t="inlineStr">
        <is>
          <t>Latest chip quantity per chip type through year-end; normalized by unit count into benchmark buckets.</t>
        </is>
      </c>
    </row>
    <row r="915">
      <c r="A915" s="3" t="inlineStr">
        <is>
          <t>Bear|OpenAI Stargate UAE|2029</t>
        </is>
      </c>
      <c r="B915" s="3" t="inlineStr">
        <is>
          <t>Bear</t>
        </is>
      </c>
      <c r="C915" s="3" t="inlineStr">
        <is>
          <t>OpenAI Stargate UAE</t>
        </is>
      </c>
      <c r="D915" s="3" t="n">
        <v>2029</v>
      </c>
      <c r="E915" s="3" t="inlineStr">
        <is>
          <t>G42</t>
        </is>
      </c>
      <c r="F915" s="17" t="n">
        <v>0</v>
      </c>
      <c r="G915" s="17" t="n">
        <v>0.25</v>
      </c>
      <c r="H915" s="17" t="n">
        <v>0</v>
      </c>
      <c r="I915" s="17" t="n">
        <v>0.75</v>
      </c>
      <c r="J915" s="17" t="n">
        <v>0</v>
      </c>
      <c r="K915" s="17" t="n">
        <v>0</v>
      </c>
      <c r="L915" s="17" t="n">
        <v>0</v>
      </c>
      <c r="M915" s="17" t="n">
        <v>0</v>
      </c>
      <c r="N915" s="17" t="n">
        <v>0</v>
      </c>
      <c r="O915" s="26" t="n">
        <v>1</v>
      </c>
      <c r="P915" s="3" t="inlineStr">
        <is>
          <t>epoch_chip_quantity_latest</t>
        </is>
      </c>
      <c r="Q915" s="3" t="inlineStr">
        <is>
          <t>SRC_EPOCH_AI_DATA_CENTERS; EPOCH_RAW_CHIP_QUANTITIES</t>
        </is>
      </c>
      <c r="R915" s="3" t="inlineStr">
        <is>
          <t>Latest chip quantity per chip type through year-end; normalized by unit count into benchmark buckets.</t>
        </is>
      </c>
    </row>
    <row r="916">
      <c r="A916" s="3" t="inlineStr">
        <is>
          <t>Bear|OpenAI Stargate UAE|2030</t>
        </is>
      </c>
      <c r="B916" s="3" t="inlineStr">
        <is>
          <t>Bear</t>
        </is>
      </c>
      <c r="C916" s="3" t="inlineStr">
        <is>
          <t>OpenAI Stargate UAE</t>
        </is>
      </c>
      <c r="D916" s="3" t="n">
        <v>2030</v>
      </c>
      <c r="E916" s="3" t="inlineStr">
        <is>
          <t>G42</t>
        </is>
      </c>
      <c r="F916" s="17" t="n">
        <v>0</v>
      </c>
      <c r="G916" s="17" t="n">
        <v>0.25</v>
      </c>
      <c r="H916" s="17" t="n">
        <v>0</v>
      </c>
      <c r="I916" s="17" t="n">
        <v>0.75</v>
      </c>
      <c r="J916" s="17" t="n">
        <v>0</v>
      </c>
      <c r="K916" s="17" t="n">
        <v>0</v>
      </c>
      <c r="L916" s="17" t="n">
        <v>0</v>
      </c>
      <c r="M916" s="17" t="n">
        <v>0</v>
      </c>
      <c r="N916" s="17" t="n">
        <v>0</v>
      </c>
      <c r="O916" s="26" t="n">
        <v>1</v>
      </c>
      <c r="P916" s="3" t="inlineStr">
        <is>
          <t>epoch_chip_quantity_latest</t>
        </is>
      </c>
      <c r="Q916" s="3" t="inlineStr">
        <is>
          <t>SRC_EPOCH_AI_DATA_CENTERS; EPOCH_RAW_CHIP_QUANTITIES</t>
        </is>
      </c>
      <c r="R916" s="3" t="inlineStr">
        <is>
          <t>Latest chip quantity per chip type through year-end; normalized by unit count into benchmark buckets.</t>
        </is>
      </c>
    </row>
    <row r="917">
      <c r="A917" s="3" t="inlineStr">
        <is>
          <t>Base|OpenAI Stargate UAE|2028</t>
        </is>
      </c>
      <c r="B917" s="3" t="inlineStr">
        <is>
          <t>Base</t>
        </is>
      </c>
      <c r="C917" s="3" t="inlineStr">
        <is>
          <t>OpenAI Stargate UAE</t>
        </is>
      </c>
      <c r="D917" s="3" t="n">
        <v>2028</v>
      </c>
      <c r="E917" s="3" t="inlineStr">
        <is>
          <t>G42</t>
        </is>
      </c>
      <c r="F917" s="17" t="n">
        <v>0</v>
      </c>
      <c r="G917" s="17" t="n">
        <v>0.25</v>
      </c>
      <c r="H917" s="17" t="n">
        <v>0</v>
      </c>
      <c r="I917" s="17" t="n">
        <v>0.75</v>
      </c>
      <c r="J917" s="17" t="n">
        <v>0</v>
      </c>
      <c r="K917" s="17" t="n">
        <v>0</v>
      </c>
      <c r="L917" s="17" t="n">
        <v>0</v>
      </c>
      <c r="M917" s="17" t="n">
        <v>0</v>
      </c>
      <c r="N917" s="17" t="n">
        <v>0</v>
      </c>
      <c r="O917" s="26" t="n">
        <v>1</v>
      </c>
      <c r="P917" s="3" t="inlineStr">
        <is>
          <t>epoch_chip_quantity_latest</t>
        </is>
      </c>
      <c r="Q917" s="3" t="inlineStr">
        <is>
          <t>SRC_EPOCH_AI_DATA_CENTERS; EPOCH_RAW_CHIP_QUANTITIES</t>
        </is>
      </c>
      <c r="R917" s="3" t="inlineStr">
        <is>
          <t>Latest chip quantity per chip type through year-end; normalized by unit count into benchmark buckets.</t>
        </is>
      </c>
    </row>
    <row r="918">
      <c r="A918" s="3" t="inlineStr">
        <is>
          <t>Base|OpenAI Stargate UAE|2029</t>
        </is>
      </c>
      <c r="B918" s="3" t="inlineStr">
        <is>
          <t>Base</t>
        </is>
      </c>
      <c r="C918" s="3" t="inlineStr">
        <is>
          <t>OpenAI Stargate UAE</t>
        </is>
      </c>
      <c r="D918" s="3" t="n">
        <v>2029</v>
      </c>
      <c r="E918" s="3" t="inlineStr">
        <is>
          <t>G42</t>
        </is>
      </c>
      <c r="F918" s="17" t="n">
        <v>0</v>
      </c>
      <c r="G918" s="17" t="n">
        <v>0.25</v>
      </c>
      <c r="H918" s="17" t="n">
        <v>0</v>
      </c>
      <c r="I918" s="17" t="n">
        <v>0.75</v>
      </c>
      <c r="J918" s="17" t="n">
        <v>0</v>
      </c>
      <c r="K918" s="17" t="n">
        <v>0</v>
      </c>
      <c r="L918" s="17" t="n">
        <v>0</v>
      </c>
      <c r="M918" s="17" t="n">
        <v>0</v>
      </c>
      <c r="N918" s="17" t="n">
        <v>0</v>
      </c>
      <c r="O918" s="26" t="n">
        <v>1</v>
      </c>
      <c r="P918" s="3" t="inlineStr">
        <is>
          <t>epoch_chip_quantity_latest</t>
        </is>
      </c>
      <c r="Q918" s="3" t="inlineStr">
        <is>
          <t>SRC_EPOCH_AI_DATA_CENTERS; EPOCH_RAW_CHIP_QUANTITIES</t>
        </is>
      </c>
      <c r="R918" s="3" t="inlineStr">
        <is>
          <t>Latest chip quantity per chip type through year-end; normalized by unit count into benchmark buckets.</t>
        </is>
      </c>
    </row>
    <row r="919">
      <c r="A919" s="3" t="inlineStr">
        <is>
          <t>Base|OpenAI Stargate UAE|2030</t>
        </is>
      </c>
      <c r="B919" s="3" t="inlineStr">
        <is>
          <t>Base</t>
        </is>
      </c>
      <c r="C919" s="3" t="inlineStr">
        <is>
          <t>OpenAI Stargate UAE</t>
        </is>
      </c>
      <c r="D919" s="3" t="n">
        <v>2030</v>
      </c>
      <c r="E919" s="3" t="inlineStr">
        <is>
          <t>G42</t>
        </is>
      </c>
      <c r="F919" s="17" t="n">
        <v>0</v>
      </c>
      <c r="G919" s="17" t="n">
        <v>0.25</v>
      </c>
      <c r="H919" s="17" t="n">
        <v>0</v>
      </c>
      <c r="I919" s="17" t="n">
        <v>0.75</v>
      </c>
      <c r="J919" s="17" t="n">
        <v>0</v>
      </c>
      <c r="K919" s="17" t="n">
        <v>0</v>
      </c>
      <c r="L919" s="17" t="n">
        <v>0</v>
      </c>
      <c r="M919" s="17" t="n">
        <v>0</v>
      </c>
      <c r="N919" s="17" t="n">
        <v>0</v>
      </c>
      <c r="O919" s="26" t="n">
        <v>1</v>
      </c>
      <c r="P919" s="3" t="inlineStr">
        <is>
          <t>epoch_chip_quantity_latest</t>
        </is>
      </c>
      <c r="Q919" s="3" t="inlineStr">
        <is>
          <t>SRC_EPOCH_AI_DATA_CENTERS; EPOCH_RAW_CHIP_QUANTITIES</t>
        </is>
      </c>
      <c r="R919" s="3" t="inlineStr">
        <is>
          <t>Latest chip quantity per chip type through year-end; normalized by unit count into benchmark buckets.</t>
        </is>
      </c>
    </row>
    <row r="920">
      <c r="A920" s="3" t="inlineStr">
        <is>
          <t>Bull|OpenAI Stargate UAE|2028</t>
        </is>
      </c>
      <c r="B920" s="3" t="inlineStr">
        <is>
          <t>Bull</t>
        </is>
      </c>
      <c r="C920" s="3" t="inlineStr">
        <is>
          <t>OpenAI Stargate UAE</t>
        </is>
      </c>
      <c r="D920" s="3" t="n">
        <v>2028</v>
      </c>
      <c r="E920" s="3" t="inlineStr">
        <is>
          <t>G42</t>
        </is>
      </c>
      <c r="F920" s="17" t="n">
        <v>0</v>
      </c>
      <c r="G920" s="17" t="n">
        <v>0.25</v>
      </c>
      <c r="H920" s="17" t="n">
        <v>0</v>
      </c>
      <c r="I920" s="17" t="n">
        <v>0.75</v>
      </c>
      <c r="J920" s="17" t="n">
        <v>0</v>
      </c>
      <c r="K920" s="17" t="n">
        <v>0</v>
      </c>
      <c r="L920" s="17" t="n">
        <v>0</v>
      </c>
      <c r="M920" s="17" t="n">
        <v>0</v>
      </c>
      <c r="N920" s="17" t="n">
        <v>0</v>
      </c>
      <c r="O920" s="26" t="n">
        <v>1</v>
      </c>
      <c r="P920" s="3" t="inlineStr">
        <is>
          <t>epoch_chip_quantity_latest</t>
        </is>
      </c>
      <c r="Q920" s="3" t="inlineStr">
        <is>
          <t>SRC_EPOCH_AI_DATA_CENTERS; EPOCH_RAW_CHIP_QUANTITIES</t>
        </is>
      </c>
      <c r="R920" s="3" t="inlineStr">
        <is>
          <t>Latest chip quantity per chip type through year-end; normalized by unit count into benchmark buckets.</t>
        </is>
      </c>
    </row>
    <row r="921">
      <c r="A921" s="3" t="inlineStr">
        <is>
          <t>Bull|OpenAI Stargate UAE|2029</t>
        </is>
      </c>
      <c r="B921" s="3" t="inlineStr">
        <is>
          <t>Bull</t>
        </is>
      </c>
      <c r="C921" s="3" t="inlineStr">
        <is>
          <t>OpenAI Stargate UAE</t>
        </is>
      </c>
      <c r="D921" s="3" t="n">
        <v>2029</v>
      </c>
      <c r="E921" s="3" t="inlineStr">
        <is>
          <t>G42</t>
        </is>
      </c>
      <c r="F921" s="17" t="n">
        <v>0</v>
      </c>
      <c r="G921" s="17" t="n">
        <v>0.25</v>
      </c>
      <c r="H921" s="17" t="n">
        <v>0</v>
      </c>
      <c r="I921" s="17" t="n">
        <v>0.75</v>
      </c>
      <c r="J921" s="17" t="n">
        <v>0</v>
      </c>
      <c r="K921" s="17" t="n">
        <v>0</v>
      </c>
      <c r="L921" s="17" t="n">
        <v>0</v>
      </c>
      <c r="M921" s="17" t="n">
        <v>0</v>
      </c>
      <c r="N921" s="17" t="n">
        <v>0</v>
      </c>
      <c r="O921" s="26" t="n">
        <v>1</v>
      </c>
      <c r="P921" s="3" t="inlineStr">
        <is>
          <t>epoch_chip_quantity_latest</t>
        </is>
      </c>
      <c r="Q921" s="3" t="inlineStr">
        <is>
          <t>SRC_EPOCH_AI_DATA_CENTERS; EPOCH_RAW_CHIP_QUANTITIES</t>
        </is>
      </c>
      <c r="R921" s="3" t="inlineStr">
        <is>
          <t>Latest chip quantity per chip type through year-end; normalized by unit count into benchmark buckets.</t>
        </is>
      </c>
    </row>
    <row r="922">
      <c r="A922" s="3" t="inlineStr">
        <is>
          <t>Bull|OpenAI Stargate UAE|2030</t>
        </is>
      </c>
      <c r="B922" s="3" t="inlineStr">
        <is>
          <t>Bull</t>
        </is>
      </c>
      <c r="C922" s="3" t="inlineStr">
        <is>
          <t>OpenAI Stargate UAE</t>
        </is>
      </c>
      <c r="D922" s="3" t="n">
        <v>2030</v>
      </c>
      <c r="E922" s="3" t="inlineStr">
        <is>
          <t>G42</t>
        </is>
      </c>
      <c r="F922" s="17" t="n">
        <v>0</v>
      </c>
      <c r="G922" s="17" t="n">
        <v>0.25</v>
      </c>
      <c r="H922" s="17" t="n">
        <v>0</v>
      </c>
      <c r="I922" s="17" t="n">
        <v>0.75</v>
      </c>
      <c r="J922" s="17" t="n">
        <v>0</v>
      </c>
      <c r="K922" s="17" t="n">
        <v>0</v>
      </c>
      <c r="L922" s="17" t="n">
        <v>0</v>
      </c>
      <c r="M922" s="17" t="n">
        <v>0</v>
      </c>
      <c r="N922" s="17" t="n">
        <v>0</v>
      </c>
      <c r="O922" s="26" t="n">
        <v>1</v>
      </c>
      <c r="P922" s="3" t="inlineStr">
        <is>
          <t>epoch_chip_quantity_latest</t>
        </is>
      </c>
      <c r="Q922" s="3" t="inlineStr">
        <is>
          <t>SRC_EPOCH_AI_DATA_CENTERS; EPOCH_RAW_CHIP_QUANTITIES</t>
        </is>
      </c>
      <c r="R922" s="3" t="inlineStr">
        <is>
          <t>Latest chip quantity per chip type through year-end; normalized by unit count into benchmark buckets.</t>
        </is>
      </c>
    </row>
    <row r="923">
      <c r="A923" s="3" t="inlineStr">
        <is>
          <t>Grid-Constrained / Efficiency-Upside|OpenAI Stargate UAE|2028</t>
        </is>
      </c>
      <c r="B923" s="3" t="inlineStr">
        <is>
          <t>Grid-Constrained / Efficiency-Upside</t>
        </is>
      </c>
      <c r="C923" s="3" t="inlineStr">
        <is>
          <t>OpenAI Stargate UAE</t>
        </is>
      </c>
      <c r="D923" s="3" t="n">
        <v>2028</v>
      </c>
      <c r="E923" s="3" t="inlineStr">
        <is>
          <t>G42</t>
        </is>
      </c>
      <c r="F923" s="17" t="n">
        <v>0</v>
      </c>
      <c r="G923" s="17" t="n">
        <v>0.25</v>
      </c>
      <c r="H923" s="17" t="n">
        <v>0</v>
      </c>
      <c r="I923" s="17" t="n">
        <v>0.75</v>
      </c>
      <c r="J923" s="17" t="n">
        <v>0</v>
      </c>
      <c r="K923" s="17" t="n">
        <v>0</v>
      </c>
      <c r="L923" s="17" t="n">
        <v>0</v>
      </c>
      <c r="M923" s="17" t="n">
        <v>0</v>
      </c>
      <c r="N923" s="17" t="n">
        <v>0</v>
      </c>
      <c r="O923" s="26" t="n">
        <v>1</v>
      </c>
      <c r="P923" s="3" t="inlineStr">
        <is>
          <t>epoch_chip_quantity_latest</t>
        </is>
      </c>
      <c r="Q923" s="3" t="inlineStr">
        <is>
          <t>SRC_EPOCH_AI_DATA_CENTERS; EPOCH_RAW_CHIP_QUANTITIES</t>
        </is>
      </c>
      <c r="R923" s="3" t="inlineStr">
        <is>
          <t>Latest chip quantity per chip type through year-end; normalized by unit count into benchmark buckets.</t>
        </is>
      </c>
    </row>
    <row r="924">
      <c r="A924" s="3" t="inlineStr">
        <is>
          <t>Grid-Constrained / Efficiency-Upside|OpenAI Stargate UAE|2029</t>
        </is>
      </c>
      <c r="B924" s="3" t="inlineStr">
        <is>
          <t>Grid-Constrained / Efficiency-Upside</t>
        </is>
      </c>
      <c r="C924" s="3" t="inlineStr">
        <is>
          <t>OpenAI Stargate UAE</t>
        </is>
      </c>
      <c r="D924" s="3" t="n">
        <v>2029</v>
      </c>
      <c r="E924" s="3" t="inlineStr">
        <is>
          <t>G42</t>
        </is>
      </c>
      <c r="F924" s="17" t="n">
        <v>0</v>
      </c>
      <c r="G924" s="17" t="n">
        <v>0.25</v>
      </c>
      <c r="H924" s="17" t="n">
        <v>0</v>
      </c>
      <c r="I924" s="17" t="n">
        <v>0.75</v>
      </c>
      <c r="J924" s="17" t="n">
        <v>0</v>
      </c>
      <c r="K924" s="17" t="n">
        <v>0</v>
      </c>
      <c r="L924" s="17" t="n">
        <v>0</v>
      </c>
      <c r="M924" s="17" t="n">
        <v>0</v>
      </c>
      <c r="N924" s="17" t="n">
        <v>0</v>
      </c>
      <c r="O924" s="26" t="n">
        <v>1</v>
      </c>
      <c r="P924" s="3" t="inlineStr">
        <is>
          <t>epoch_chip_quantity_latest</t>
        </is>
      </c>
      <c r="Q924" s="3" t="inlineStr">
        <is>
          <t>SRC_EPOCH_AI_DATA_CENTERS; EPOCH_RAW_CHIP_QUANTITIES</t>
        </is>
      </c>
      <c r="R924" s="3" t="inlineStr">
        <is>
          <t>Latest chip quantity per chip type through year-end; normalized by unit count into benchmark buckets.</t>
        </is>
      </c>
    </row>
    <row r="925">
      <c r="A925" s="3" t="inlineStr">
        <is>
          <t>Grid-Constrained / Efficiency-Upside|OpenAI Stargate UAE|2030</t>
        </is>
      </c>
      <c r="B925" s="3" t="inlineStr">
        <is>
          <t>Grid-Constrained / Efficiency-Upside</t>
        </is>
      </c>
      <c r="C925" s="3" t="inlineStr">
        <is>
          <t>OpenAI Stargate UAE</t>
        </is>
      </c>
      <c r="D925" s="3" t="n">
        <v>2030</v>
      </c>
      <c r="E925" s="3" t="inlineStr">
        <is>
          <t>G42</t>
        </is>
      </c>
      <c r="F925" s="17" t="n">
        <v>0</v>
      </c>
      <c r="G925" s="17" t="n">
        <v>0.25</v>
      </c>
      <c r="H925" s="17" t="n">
        <v>0</v>
      </c>
      <c r="I925" s="17" t="n">
        <v>0.75</v>
      </c>
      <c r="J925" s="17" t="n">
        <v>0</v>
      </c>
      <c r="K925" s="17" t="n">
        <v>0</v>
      </c>
      <c r="L925" s="17" t="n">
        <v>0</v>
      </c>
      <c r="M925" s="17" t="n">
        <v>0</v>
      </c>
      <c r="N925" s="17" t="n">
        <v>0</v>
      </c>
      <c r="O925" s="26" t="n">
        <v>1</v>
      </c>
      <c r="P925" s="3" t="inlineStr">
        <is>
          <t>epoch_chip_quantity_latest</t>
        </is>
      </c>
      <c r="Q925" s="3" t="inlineStr">
        <is>
          <t>SRC_EPOCH_AI_DATA_CENTERS; EPOCH_RAW_CHIP_QUANTITIES</t>
        </is>
      </c>
      <c r="R925" s="3" t="inlineStr">
        <is>
          <t>Latest chip quantity per chip type through year-end; normalized by unit count into benchmark buckets.</t>
        </is>
      </c>
    </row>
    <row r="926">
      <c r="A926" s="3" t="inlineStr">
        <is>
          <t>Bear|OpenAI Stargate Wisconsin|2028</t>
        </is>
      </c>
      <c r="B926" s="3" t="inlineStr">
        <is>
          <t>Bear</t>
        </is>
      </c>
      <c r="C926" s="3" t="inlineStr">
        <is>
          <t>OpenAI Stargate Wisconsin</t>
        </is>
      </c>
      <c r="D926" s="3" t="n">
        <v>2028</v>
      </c>
      <c r="E926" s="3" t="inlineStr">
        <is>
          <t>Oracle</t>
        </is>
      </c>
      <c r="F926" s="17" t="n">
        <v>0.325</v>
      </c>
      <c r="G926" s="17" t="n">
        <v>0.375</v>
      </c>
      <c r="H926" s="17" t="n">
        <v>0.3</v>
      </c>
      <c r="I926" s="17" t="n">
        <v>0</v>
      </c>
      <c r="J926" s="17" t="n">
        <v>0</v>
      </c>
      <c r="K926" s="17" t="n">
        <v>0</v>
      </c>
      <c r="L926" s="17" t="n">
        <v>0</v>
      </c>
      <c r="M926" s="17" t="n">
        <v>0</v>
      </c>
      <c r="N926" s="17" t="n">
        <v>0</v>
      </c>
      <c r="O926" s="26" t="n">
        <v>1</v>
      </c>
      <c r="P926" s="3" t="inlineStr">
        <is>
          <t>legacy_company_gpu_mix_fallback</t>
        </is>
      </c>
      <c r="Q926" s="3" t="inlineStr">
        <is>
          <t>SRC_OPENAI_GPT41_DOCS; SRC_OPENAI_STARGATE_ORACLE; SRC_OPENAI_STARGATE_PROGRESS</t>
        </is>
      </c>
      <c r="R926" s="3" t="inlineStr">
        <is>
          <t>No site-level chip type was available; prior company-level GPU/ASIC mix is retained as fallback.</t>
        </is>
      </c>
    </row>
    <row r="927">
      <c r="A927" s="3" t="inlineStr">
        <is>
          <t>Bear|OpenAI Stargate Wisconsin|2029</t>
        </is>
      </c>
      <c r="B927" s="3" t="inlineStr">
        <is>
          <t>Bear</t>
        </is>
      </c>
      <c r="C927" s="3" t="inlineStr">
        <is>
          <t>OpenAI Stargate Wisconsin</t>
        </is>
      </c>
      <c r="D927" s="3" t="n">
        <v>2029</v>
      </c>
      <c r="E927" s="3" t="inlineStr">
        <is>
          <t>Oracle</t>
        </is>
      </c>
      <c r="F927" s="17" t="n">
        <v>0.213</v>
      </c>
      <c r="G927" s="17" t="n">
        <v>0.362</v>
      </c>
      <c r="H927" s="17" t="n">
        <v>0.425</v>
      </c>
      <c r="I927" s="17" t="n">
        <v>0</v>
      </c>
      <c r="J927" s="17" t="n">
        <v>0</v>
      </c>
      <c r="K927" s="17" t="n">
        <v>0</v>
      </c>
      <c r="L927" s="17" t="n">
        <v>0</v>
      </c>
      <c r="M927" s="17" t="n">
        <v>0</v>
      </c>
      <c r="N927" s="17" t="n">
        <v>0</v>
      </c>
      <c r="O927" s="26" t="n">
        <v>1</v>
      </c>
      <c r="P927" s="3" t="inlineStr">
        <is>
          <t>legacy_company_gpu_mix_fallback</t>
        </is>
      </c>
      <c r="Q927" s="3" t="inlineStr">
        <is>
          <t>SRC_OPENAI_GPT41_DOCS; SRC_OPENAI_STARGATE_ORACLE; SRC_OPENAI_STARGATE_PROGRESS</t>
        </is>
      </c>
      <c r="R927" s="3" t="inlineStr">
        <is>
          <t>No site-level chip type was available; prior company-level GPU/ASIC mix is retained as fallback.</t>
        </is>
      </c>
    </row>
    <row r="928">
      <c r="A928" s="3" t="inlineStr">
        <is>
          <t>Bear|OpenAI Stargate Wisconsin|2030</t>
        </is>
      </c>
      <c r="B928" s="3" t="inlineStr">
        <is>
          <t>Bear</t>
        </is>
      </c>
      <c r="C928" s="3" t="inlineStr">
        <is>
          <t>OpenAI Stargate Wisconsin</t>
        </is>
      </c>
      <c r="D928" s="3" t="n">
        <v>2030</v>
      </c>
      <c r="E928" s="3" t="inlineStr">
        <is>
          <t>Oracle</t>
        </is>
      </c>
      <c r="F928" s="17" t="n">
        <v>0.1</v>
      </c>
      <c r="G928" s="17" t="n">
        <v>0.35</v>
      </c>
      <c r="H928" s="17" t="n">
        <v>0.55</v>
      </c>
      <c r="I928" s="17" t="n">
        <v>0</v>
      </c>
      <c r="J928" s="17" t="n">
        <v>0</v>
      </c>
      <c r="K928" s="17" t="n">
        <v>0</v>
      </c>
      <c r="L928" s="17" t="n">
        <v>0</v>
      </c>
      <c r="M928" s="17" t="n">
        <v>0</v>
      </c>
      <c r="N928" s="17" t="n">
        <v>0</v>
      </c>
      <c r="O928" s="26" t="n">
        <v>1</v>
      </c>
      <c r="P928" s="3" t="inlineStr">
        <is>
          <t>legacy_company_gpu_mix_fallback</t>
        </is>
      </c>
      <c r="Q928" s="3" t="inlineStr">
        <is>
          <t>SRC_OPENAI_GPT41_DOCS; SRC_OPENAI_STARGATE_ORACLE; SRC_OPENAI_STARGATE_PROGRESS</t>
        </is>
      </c>
      <c r="R928" s="3" t="inlineStr">
        <is>
          <t>No site-level chip type was available; prior company-level GPU/ASIC mix is retained as fallback.</t>
        </is>
      </c>
    </row>
    <row r="929">
      <c r="A929" s="3" t="inlineStr">
        <is>
          <t>Base|OpenAI Stargate Wisconsin|2028</t>
        </is>
      </c>
      <c r="B929" s="3" t="inlineStr">
        <is>
          <t>Base</t>
        </is>
      </c>
      <c r="C929" s="3" t="inlineStr">
        <is>
          <t>OpenAI Stargate Wisconsin</t>
        </is>
      </c>
      <c r="D929" s="3" t="n">
        <v>2028</v>
      </c>
      <c r="E929" s="3" t="inlineStr">
        <is>
          <t>Oracle</t>
        </is>
      </c>
      <c r="F929" s="17" t="n">
        <v>0.325</v>
      </c>
      <c r="G929" s="17" t="n">
        <v>0.375</v>
      </c>
      <c r="H929" s="17" t="n">
        <v>0.3</v>
      </c>
      <c r="I929" s="17" t="n">
        <v>0</v>
      </c>
      <c r="J929" s="17" t="n">
        <v>0</v>
      </c>
      <c r="K929" s="17" t="n">
        <v>0</v>
      </c>
      <c r="L929" s="17" t="n">
        <v>0</v>
      </c>
      <c r="M929" s="17" t="n">
        <v>0</v>
      </c>
      <c r="N929" s="17" t="n">
        <v>0</v>
      </c>
      <c r="O929" s="26" t="n">
        <v>1</v>
      </c>
      <c r="P929" s="3" t="inlineStr">
        <is>
          <t>legacy_company_gpu_mix_fallback</t>
        </is>
      </c>
      <c r="Q929" s="3" t="inlineStr">
        <is>
          <t>SRC_OPENAI_GPT41_DOCS; SRC_OPENAI_STARGATE_ORACLE; SRC_OPENAI_STARGATE_PROGRESS</t>
        </is>
      </c>
      <c r="R929" s="3" t="inlineStr">
        <is>
          <t>No site-level chip type was available; prior company-level GPU/ASIC mix is retained as fallback.</t>
        </is>
      </c>
    </row>
    <row r="930">
      <c r="A930" s="3" t="inlineStr">
        <is>
          <t>Base|OpenAI Stargate Wisconsin|2029</t>
        </is>
      </c>
      <c r="B930" s="3" t="inlineStr">
        <is>
          <t>Base</t>
        </is>
      </c>
      <c r="C930" s="3" t="inlineStr">
        <is>
          <t>OpenAI Stargate Wisconsin</t>
        </is>
      </c>
      <c r="D930" s="3" t="n">
        <v>2029</v>
      </c>
      <c r="E930" s="3" t="inlineStr">
        <is>
          <t>Oracle</t>
        </is>
      </c>
      <c r="F930" s="17" t="n">
        <v>0.213</v>
      </c>
      <c r="G930" s="17" t="n">
        <v>0.362</v>
      </c>
      <c r="H930" s="17" t="n">
        <v>0.425</v>
      </c>
      <c r="I930" s="17" t="n">
        <v>0</v>
      </c>
      <c r="J930" s="17" t="n">
        <v>0</v>
      </c>
      <c r="K930" s="17" t="n">
        <v>0</v>
      </c>
      <c r="L930" s="17" t="n">
        <v>0</v>
      </c>
      <c r="M930" s="17" t="n">
        <v>0</v>
      </c>
      <c r="N930" s="17" t="n">
        <v>0</v>
      </c>
      <c r="O930" s="26" t="n">
        <v>1</v>
      </c>
      <c r="P930" s="3" t="inlineStr">
        <is>
          <t>legacy_company_gpu_mix_fallback</t>
        </is>
      </c>
      <c r="Q930" s="3" t="inlineStr">
        <is>
          <t>SRC_OPENAI_GPT41_DOCS; SRC_OPENAI_STARGATE_ORACLE; SRC_OPENAI_STARGATE_PROGRESS</t>
        </is>
      </c>
      <c r="R930" s="3" t="inlineStr">
        <is>
          <t>No site-level chip type was available; prior company-level GPU/ASIC mix is retained as fallback.</t>
        </is>
      </c>
    </row>
    <row r="931">
      <c r="A931" s="3" t="inlineStr">
        <is>
          <t>Base|OpenAI Stargate Wisconsin|2030</t>
        </is>
      </c>
      <c r="B931" s="3" t="inlineStr">
        <is>
          <t>Base</t>
        </is>
      </c>
      <c r="C931" s="3" t="inlineStr">
        <is>
          <t>OpenAI Stargate Wisconsin</t>
        </is>
      </c>
      <c r="D931" s="3" t="n">
        <v>2030</v>
      </c>
      <c r="E931" s="3" t="inlineStr">
        <is>
          <t>Oracle</t>
        </is>
      </c>
      <c r="F931" s="17" t="n">
        <v>0.1</v>
      </c>
      <c r="G931" s="17" t="n">
        <v>0.35</v>
      </c>
      <c r="H931" s="17" t="n">
        <v>0.55</v>
      </c>
      <c r="I931" s="17" t="n">
        <v>0</v>
      </c>
      <c r="J931" s="17" t="n">
        <v>0</v>
      </c>
      <c r="K931" s="17" t="n">
        <v>0</v>
      </c>
      <c r="L931" s="17" t="n">
        <v>0</v>
      </c>
      <c r="M931" s="17" t="n">
        <v>0</v>
      </c>
      <c r="N931" s="17" t="n">
        <v>0</v>
      </c>
      <c r="O931" s="26" t="n">
        <v>1</v>
      </c>
      <c r="P931" s="3" t="inlineStr">
        <is>
          <t>legacy_company_gpu_mix_fallback</t>
        </is>
      </c>
      <c r="Q931" s="3" t="inlineStr">
        <is>
          <t>SRC_OPENAI_GPT41_DOCS; SRC_OPENAI_STARGATE_ORACLE; SRC_OPENAI_STARGATE_PROGRESS</t>
        </is>
      </c>
      <c r="R931" s="3" t="inlineStr">
        <is>
          <t>No site-level chip type was available; prior company-level GPU/ASIC mix is retained as fallback.</t>
        </is>
      </c>
    </row>
    <row r="932">
      <c r="A932" s="3" t="inlineStr">
        <is>
          <t>Bull|OpenAI Stargate Wisconsin|2028</t>
        </is>
      </c>
      <c r="B932" s="3" t="inlineStr">
        <is>
          <t>Bull</t>
        </is>
      </c>
      <c r="C932" s="3" t="inlineStr">
        <is>
          <t>OpenAI Stargate Wisconsin</t>
        </is>
      </c>
      <c r="D932" s="3" t="n">
        <v>2028</v>
      </c>
      <c r="E932" s="3" t="inlineStr">
        <is>
          <t>Oracle</t>
        </is>
      </c>
      <c r="F932" s="17" t="n">
        <v>0.325</v>
      </c>
      <c r="G932" s="17" t="n">
        <v>0.375</v>
      </c>
      <c r="H932" s="17" t="n">
        <v>0.3</v>
      </c>
      <c r="I932" s="17" t="n">
        <v>0</v>
      </c>
      <c r="J932" s="17" t="n">
        <v>0</v>
      </c>
      <c r="K932" s="17" t="n">
        <v>0</v>
      </c>
      <c r="L932" s="17" t="n">
        <v>0</v>
      </c>
      <c r="M932" s="17" t="n">
        <v>0</v>
      </c>
      <c r="N932" s="17" t="n">
        <v>0</v>
      </c>
      <c r="O932" s="26" t="n">
        <v>1</v>
      </c>
      <c r="P932" s="3" t="inlineStr">
        <is>
          <t>legacy_company_gpu_mix_fallback</t>
        </is>
      </c>
      <c r="Q932" s="3" t="inlineStr">
        <is>
          <t>SRC_OPENAI_GPT41_DOCS; SRC_OPENAI_STARGATE_ORACLE; SRC_OPENAI_STARGATE_PROGRESS</t>
        </is>
      </c>
      <c r="R932" s="3" t="inlineStr">
        <is>
          <t>No site-level chip type was available; prior company-level GPU/ASIC mix is retained as fallback.</t>
        </is>
      </c>
    </row>
    <row r="933">
      <c r="A933" s="3" t="inlineStr">
        <is>
          <t>Bull|OpenAI Stargate Wisconsin|2029</t>
        </is>
      </c>
      <c r="B933" s="3" t="inlineStr">
        <is>
          <t>Bull</t>
        </is>
      </c>
      <c r="C933" s="3" t="inlineStr">
        <is>
          <t>OpenAI Stargate Wisconsin</t>
        </is>
      </c>
      <c r="D933" s="3" t="n">
        <v>2029</v>
      </c>
      <c r="E933" s="3" t="inlineStr">
        <is>
          <t>Oracle</t>
        </is>
      </c>
      <c r="F933" s="17" t="n">
        <v>0.213</v>
      </c>
      <c r="G933" s="17" t="n">
        <v>0.362</v>
      </c>
      <c r="H933" s="17" t="n">
        <v>0.425</v>
      </c>
      <c r="I933" s="17" t="n">
        <v>0</v>
      </c>
      <c r="J933" s="17" t="n">
        <v>0</v>
      </c>
      <c r="K933" s="17" t="n">
        <v>0</v>
      </c>
      <c r="L933" s="17" t="n">
        <v>0</v>
      </c>
      <c r="M933" s="17" t="n">
        <v>0</v>
      </c>
      <c r="N933" s="17" t="n">
        <v>0</v>
      </c>
      <c r="O933" s="26" t="n">
        <v>1</v>
      </c>
      <c r="P933" s="3" t="inlineStr">
        <is>
          <t>legacy_company_gpu_mix_fallback</t>
        </is>
      </c>
      <c r="Q933" s="3" t="inlineStr">
        <is>
          <t>SRC_OPENAI_GPT41_DOCS; SRC_OPENAI_STARGATE_ORACLE; SRC_OPENAI_STARGATE_PROGRESS</t>
        </is>
      </c>
      <c r="R933" s="3" t="inlineStr">
        <is>
          <t>No site-level chip type was available; prior company-level GPU/ASIC mix is retained as fallback.</t>
        </is>
      </c>
    </row>
    <row r="934">
      <c r="A934" s="3" t="inlineStr">
        <is>
          <t>Bull|OpenAI Stargate Wisconsin|2030</t>
        </is>
      </c>
      <c r="B934" s="3" t="inlineStr">
        <is>
          <t>Bull</t>
        </is>
      </c>
      <c r="C934" s="3" t="inlineStr">
        <is>
          <t>OpenAI Stargate Wisconsin</t>
        </is>
      </c>
      <c r="D934" s="3" t="n">
        <v>2030</v>
      </c>
      <c r="E934" s="3" t="inlineStr">
        <is>
          <t>Oracle</t>
        </is>
      </c>
      <c r="F934" s="17" t="n">
        <v>0.1</v>
      </c>
      <c r="G934" s="17" t="n">
        <v>0.35</v>
      </c>
      <c r="H934" s="17" t="n">
        <v>0.55</v>
      </c>
      <c r="I934" s="17" t="n">
        <v>0</v>
      </c>
      <c r="J934" s="17" t="n">
        <v>0</v>
      </c>
      <c r="K934" s="17" t="n">
        <v>0</v>
      </c>
      <c r="L934" s="17" t="n">
        <v>0</v>
      </c>
      <c r="M934" s="17" t="n">
        <v>0</v>
      </c>
      <c r="N934" s="17" t="n">
        <v>0</v>
      </c>
      <c r="O934" s="26" t="n">
        <v>1</v>
      </c>
      <c r="P934" s="3" t="inlineStr">
        <is>
          <t>legacy_company_gpu_mix_fallback</t>
        </is>
      </c>
      <c r="Q934" s="3" t="inlineStr">
        <is>
          <t>SRC_OPENAI_GPT41_DOCS; SRC_OPENAI_STARGATE_ORACLE; SRC_OPENAI_STARGATE_PROGRESS</t>
        </is>
      </c>
      <c r="R934" s="3" t="inlineStr">
        <is>
          <t>No site-level chip type was available; prior company-level GPU/ASIC mix is retained as fallback.</t>
        </is>
      </c>
    </row>
    <row r="935">
      <c r="A935" s="3" t="inlineStr">
        <is>
          <t>Grid-Constrained / Efficiency-Upside|OpenAI Stargate Wisconsin|2028</t>
        </is>
      </c>
      <c r="B935" s="3" t="inlineStr">
        <is>
          <t>Grid-Constrained / Efficiency-Upside</t>
        </is>
      </c>
      <c r="C935" s="3" t="inlineStr">
        <is>
          <t>OpenAI Stargate Wisconsin</t>
        </is>
      </c>
      <c r="D935" s="3" t="n">
        <v>2028</v>
      </c>
      <c r="E935" s="3" t="inlineStr">
        <is>
          <t>Oracle</t>
        </is>
      </c>
      <c r="F935" s="17" t="n">
        <v>0.325</v>
      </c>
      <c r="G935" s="17" t="n">
        <v>0.375</v>
      </c>
      <c r="H935" s="17" t="n">
        <v>0.3</v>
      </c>
      <c r="I935" s="17" t="n">
        <v>0</v>
      </c>
      <c r="J935" s="17" t="n">
        <v>0</v>
      </c>
      <c r="K935" s="17" t="n">
        <v>0</v>
      </c>
      <c r="L935" s="17" t="n">
        <v>0</v>
      </c>
      <c r="M935" s="17" t="n">
        <v>0</v>
      </c>
      <c r="N935" s="17" t="n">
        <v>0</v>
      </c>
      <c r="O935" s="26" t="n">
        <v>1</v>
      </c>
      <c r="P935" s="3" t="inlineStr">
        <is>
          <t>legacy_company_gpu_mix_fallback</t>
        </is>
      </c>
      <c r="Q935" s="3" t="inlineStr">
        <is>
          <t>SRC_OPENAI_GPT41_DOCS; SRC_OPENAI_STARGATE_ORACLE; SRC_OPENAI_STARGATE_PROGRESS</t>
        </is>
      </c>
      <c r="R935" s="3" t="inlineStr">
        <is>
          <t>No site-level chip type was available; prior company-level GPU/ASIC mix is retained as fallback.</t>
        </is>
      </c>
    </row>
    <row r="936">
      <c r="A936" s="3" t="inlineStr">
        <is>
          <t>Grid-Constrained / Efficiency-Upside|OpenAI Stargate Wisconsin|2029</t>
        </is>
      </c>
      <c r="B936" s="3" t="inlineStr">
        <is>
          <t>Grid-Constrained / Efficiency-Upside</t>
        </is>
      </c>
      <c r="C936" s="3" t="inlineStr">
        <is>
          <t>OpenAI Stargate Wisconsin</t>
        </is>
      </c>
      <c r="D936" s="3" t="n">
        <v>2029</v>
      </c>
      <c r="E936" s="3" t="inlineStr">
        <is>
          <t>Oracle</t>
        </is>
      </c>
      <c r="F936" s="17" t="n">
        <v>0.213</v>
      </c>
      <c r="G936" s="17" t="n">
        <v>0.362</v>
      </c>
      <c r="H936" s="17" t="n">
        <v>0.425</v>
      </c>
      <c r="I936" s="17" t="n">
        <v>0</v>
      </c>
      <c r="J936" s="17" t="n">
        <v>0</v>
      </c>
      <c r="K936" s="17" t="n">
        <v>0</v>
      </c>
      <c r="L936" s="17" t="n">
        <v>0</v>
      </c>
      <c r="M936" s="17" t="n">
        <v>0</v>
      </c>
      <c r="N936" s="17" t="n">
        <v>0</v>
      </c>
      <c r="O936" s="26" t="n">
        <v>1</v>
      </c>
      <c r="P936" s="3" t="inlineStr">
        <is>
          <t>legacy_company_gpu_mix_fallback</t>
        </is>
      </c>
      <c r="Q936" s="3" t="inlineStr">
        <is>
          <t>SRC_OPENAI_GPT41_DOCS; SRC_OPENAI_STARGATE_ORACLE; SRC_OPENAI_STARGATE_PROGRESS</t>
        </is>
      </c>
      <c r="R936" s="3" t="inlineStr">
        <is>
          <t>No site-level chip type was available; prior company-level GPU/ASIC mix is retained as fallback.</t>
        </is>
      </c>
    </row>
    <row r="937">
      <c r="A937" s="3" t="inlineStr">
        <is>
          <t>Grid-Constrained / Efficiency-Upside|OpenAI Stargate Wisconsin|2030</t>
        </is>
      </c>
      <c r="B937" s="3" t="inlineStr">
        <is>
          <t>Grid-Constrained / Efficiency-Upside</t>
        </is>
      </c>
      <c r="C937" s="3" t="inlineStr">
        <is>
          <t>OpenAI Stargate Wisconsin</t>
        </is>
      </c>
      <c r="D937" s="3" t="n">
        <v>2030</v>
      </c>
      <c r="E937" s="3" t="inlineStr">
        <is>
          <t>Oracle</t>
        </is>
      </c>
      <c r="F937" s="17" t="n">
        <v>0.1</v>
      </c>
      <c r="G937" s="17" t="n">
        <v>0.35</v>
      </c>
      <c r="H937" s="17" t="n">
        <v>0.55</v>
      </c>
      <c r="I937" s="17" t="n">
        <v>0</v>
      </c>
      <c r="J937" s="17" t="n">
        <v>0</v>
      </c>
      <c r="K937" s="17" t="n">
        <v>0</v>
      </c>
      <c r="L937" s="17" t="n">
        <v>0</v>
      </c>
      <c r="M937" s="17" t="n">
        <v>0</v>
      </c>
      <c r="N937" s="17" t="n">
        <v>0</v>
      </c>
      <c r="O937" s="26" t="n">
        <v>1</v>
      </c>
      <c r="P937" s="3" t="inlineStr">
        <is>
          <t>legacy_company_gpu_mix_fallback</t>
        </is>
      </c>
      <c r="Q937" s="3" t="inlineStr">
        <is>
          <t>SRC_OPENAI_GPT41_DOCS; SRC_OPENAI_STARGATE_ORACLE; SRC_OPENAI_STARGATE_PROGRESS</t>
        </is>
      </c>
      <c r="R937" s="3" t="inlineStr">
        <is>
          <t>No site-level chip type was available; prior company-level GPU/ASIC mix is retained as fallback.</t>
        </is>
      </c>
    </row>
    <row r="938">
      <c r="A938" s="3" t="inlineStr">
        <is>
          <t>Bear|Legacy company envelope - DeepSeek|2026</t>
        </is>
      </c>
      <c r="B938" s="3" t="inlineStr">
        <is>
          <t>Bear</t>
        </is>
      </c>
      <c r="C938" s="3" t="inlineStr">
        <is>
          <t>Legacy company envelope - DeepSeek</t>
        </is>
      </c>
      <c r="D938" s="3" t="n">
        <v>2026</v>
      </c>
      <c r="E938" s="3" t="inlineStr">
        <is>
          <t>DeepSeek</t>
        </is>
      </c>
      <c r="F938" s="17" t="n">
        <v>0.55</v>
      </c>
      <c r="G938" s="17" t="n">
        <v>0.4</v>
      </c>
      <c r="H938" s="17" t="n">
        <v>0.05</v>
      </c>
      <c r="I938" s="17" t="n">
        <v>0</v>
      </c>
      <c r="J938" s="17" t="n">
        <v>0</v>
      </c>
      <c r="K938" s="17" t="n">
        <v>0</v>
      </c>
      <c r="L938" s="17" t="n">
        <v>0</v>
      </c>
      <c r="M938" s="17" t="n">
        <v>0</v>
      </c>
      <c r="N938" s="17" t="n">
        <v>0</v>
      </c>
      <c r="O938" s="26" t="n">
        <v>1</v>
      </c>
      <c r="P938" s="3" t="inlineStr">
        <is>
          <t>legacy_company_gpu_mix_fallback</t>
        </is>
      </c>
      <c r="Q938" s="3" t="inlineStr">
        <is>
          <t>SRC_DEEPSEEK_V3; SRC_DEEPSEEK_R1; SRC_DEEPSEEK_H800_INFERENCE</t>
        </is>
      </c>
      <c r="R938" s="3" t="inlineStr">
        <is>
          <t>No site-level chip type was available; prior company-level GPU/ASIC mix is retained as fallback.</t>
        </is>
      </c>
    </row>
    <row r="939">
      <c r="A939" s="3" t="inlineStr">
        <is>
          <t>Bear|Legacy company envelope - DeepSeek|2027</t>
        </is>
      </c>
      <c r="B939" s="3" t="inlineStr">
        <is>
          <t>Bear</t>
        </is>
      </c>
      <c r="C939" s="3" t="inlineStr">
        <is>
          <t>Legacy company envelope - DeepSeek</t>
        </is>
      </c>
      <c r="D939" s="3" t="n">
        <v>2027</v>
      </c>
      <c r="E939" s="3" t="inlineStr">
        <is>
          <t>DeepSeek</t>
        </is>
      </c>
      <c r="F939" s="17" t="n">
        <v>0.438</v>
      </c>
      <c r="G939" s="17" t="n">
        <v>0.388</v>
      </c>
      <c r="H939" s="17" t="n">
        <v>0.174</v>
      </c>
      <c r="I939" s="17" t="n">
        <v>0</v>
      </c>
      <c r="J939" s="17" t="n">
        <v>0</v>
      </c>
      <c r="K939" s="17" t="n">
        <v>0</v>
      </c>
      <c r="L939" s="17" t="n">
        <v>0</v>
      </c>
      <c r="M939" s="17" t="n">
        <v>0</v>
      </c>
      <c r="N939" s="17" t="n">
        <v>0</v>
      </c>
      <c r="O939" s="26" t="n">
        <v>1</v>
      </c>
      <c r="P939" s="3" t="inlineStr">
        <is>
          <t>legacy_company_gpu_mix_fallback</t>
        </is>
      </c>
      <c r="Q939" s="3" t="inlineStr">
        <is>
          <t>SRC_DEEPSEEK_V3; SRC_DEEPSEEK_R1; SRC_DEEPSEEK_H800_INFERENCE</t>
        </is>
      </c>
      <c r="R939" s="3" t="inlineStr">
        <is>
          <t>No site-level chip type was available; prior company-level GPU/ASIC mix is retained as fallback.</t>
        </is>
      </c>
    </row>
    <row r="940">
      <c r="A940" s="3" t="inlineStr">
        <is>
          <t>Bear|Legacy company envelope - DeepSeek|2028</t>
        </is>
      </c>
      <c r="B940" s="3" t="inlineStr">
        <is>
          <t>Bear</t>
        </is>
      </c>
      <c r="C940" s="3" t="inlineStr">
        <is>
          <t>Legacy company envelope - DeepSeek</t>
        </is>
      </c>
      <c r="D940" s="3" t="n">
        <v>2028</v>
      </c>
      <c r="E940" s="3" t="inlineStr">
        <is>
          <t>DeepSeek</t>
        </is>
      </c>
      <c r="F940" s="17" t="n">
        <v>0.325</v>
      </c>
      <c r="G940" s="17" t="n">
        <v>0.375</v>
      </c>
      <c r="H940" s="17" t="n">
        <v>0.3</v>
      </c>
      <c r="I940" s="17" t="n">
        <v>0</v>
      </c>
      <c r="J940" s="17" t="n">
        <v>0</v>
      </c>
      <c r="K940" s="17" t="n">
        <v>0</v>
      </c>
      <c r="L940" s="17" t="n">
        <v>0</v>
      </c>
      <c r="M940" s="17" t="n">
        <v>0</v>
      </c>
      <c r="N940" s="17" t="n">
        <v>0</v>
      </c>
      <c r="O940" s="26" t="n">
        <v>1</v>
      </c>
      <c r="P940" s="3" t="inlineStr">
        <is>
          <t>legacy_company_gpu_mix_fallback</t>
        </is>
      </c>
      <c r="Q940" s="3" t="inlineStr">
        <is>
          <t>SRC_DEEPSEEK_V3; SRC_DEEPSEEK_R1; SRC_DEEPSEEK_H800_INFERENCE</t>
        </is>
      </c>
      <c r="R940" s="3" t="inlineStr">
        <is>
          <t>No site-level chip type was available; prior company-level GPU/ASIC mix is retained as fallback.</t>
        </is>
      </c>
    </row>
    <row r="941">
      <c r="A941" s="3" t="inlineStr">
        <is>
          <t>Bear|Legacy company envelope - DeepSeek|2029</t>
        </is>
      </c>
      <c r="B941" s="3" t="inlineStr">
        <is>
          <t>Bear</t>
        </is>
      </c>
      <c r="C941" s="3" t="inlineStr">
        <is>
          <t>Legacy company envelope - DeepSeek</t>
        </is>
      </c>
      <c r="D941" s="3" t="n">
        <v>2029</v>
      </c>
      <c r="E941" s="3" t="inlineStr">
        <is>
          <t>DeepSeek</t>
        </is>
      </c>
      <c r="F941" s="17" t="n">
        <v>0.213</v>
      </c>
      <c r="G941" s="17" t="n">
        <v>0.362</v>
      </c>
      <c r="H941" s="17" t="n">
        <v>0.425</v>
      </c>
      <c r="I941" s="17" t="n">
        <v>0</v>
      </c>
      <c r="J941" s="17" t="n">
        <v>0</v>
      </c>
      <c r="K941" s="17" t="n">
        <v>0</v>
      </c>
      <c r="L941" s="17" t="n">
        <v>0</v>
      </c>
      <c r="M941" s="17" t="n">
        <v>0</v>
      </c>
      <c r="N941" s="17" t="n">
        <v>0</v>
      </c>
      <c r="O941" s="26" t="n">
        <v>1</v>
      </c>
      <c r="P941" s="3" t="inlineStr">
        <is>
          <t>legacy_company_gpu_mix_fallback</t>
        </is>
      </c>
      <c r="Q941" s="3" t="inlineStr">
        <is>
          <t>SRC_DEEPSEEK_V3; SRC_DEEPSEEK_R1; SRC_DEEPSEEK_H800_INFERENCE</t>
        </is>
      </c>
      <c r="R941" s="3" t="inlineStr">
        <is>
          <t>No site-level chip type was available; prior company-level GPU/ASIC mix is retained as fallback.</t>
        </is>
      </c>
    </row>
    <row r="942">
      <c r="A942" s="3" t="inlineStr">
        <is>
          <t>Bear|Legacy company envelope - DeepSeek|2030</t>
        </is>
      </c>
      <c r="B942" s="3" t="inlineStr">
        <is>
          <t>Bear</t>
        </is>
      </c>
      <c r="C942" s="3" t="inlineStr">
        <is>
          <t>Legacy company envelope - DeepSeek</t>
        </is>
      </c>
      <c r="D942" s="3" t="n">
        <v>2030</v>
      </c>
      <c r="E942" s="3" t="inlineStr">
        <is>
          <t>DeepSeek</t>
        </is>
      </c>
      <c r="F942" s="17" t="n">
        <v>0.1</v>
      </c>
      <c r="G942" s="17" t="n">
        <v>0.35</v>
      </c>
      <c r="H942" s="17" t="n">
        <v>0.55</v>
      </c>
      <c r="I942" s="17" t="n">
        <v>0</v>
      </c>
      <c r="J942" s="17" t="n">
        <v>0</v>
      </c>
      <c r="K942" s="17" t="n">
        <v>0</v>
      </c>
      <c r="L942" s="17" t="n">
        <v>0</v>
      </c>
      <c r="M942" s="17" t="n">
        <v>0</v>
      </c>
      <c r="N942" s="17" t="n">
        <v>0</v>
      </c>
      <c r="O942" s="26" t="n">
        <v>1</v>
      </c>
      <c r="P942" s="3" t="inlineStr">
        <is>
          <t>legacy_company_gpu_mix_fallback</t>
        </is>
      </c>
      <c r="Q942" s="3" t="inlineStr">
        <is>
          <t>SRC_DEEPSEEK_V3; SRC_DEEPSEEK_R1; SRC_DEEPSEEK_H800_INFERENCE</t>
        </is>
      </c>
      <c r="R942" s="3" t="inlineStr">
        <is>
          <t>No site-level chip type was available; prior company-level GPU/ASIC mix is retained as fallback.</t>
        </is>
      </c>
    </row>
    <row r="943">
      <c r="A943" s="3" t="inlineStr">
        <is>
          <t>Bear|Legacy company envelope - Tencent|2026</t>
        </is>
      </c>
      <c r="B943" s="3" t="inlineStr">
        <is>
          <t>Bear</t>
        </is>
      </c>
      <c r="C943" s="3" t="inlineStr">
        <is>
          <t>Legacy company envelope - Tencent</t>
        </is>
      </c>
      <c r="D943" s="3" t="n">
        <v>2026</v>
      </c>
      <c r="E943" s="3" t="inlineStr">
        <is>
          <t>Tencent</t>
        </is>
      </c>
      <c r="F943" s="17" t="n">
        <v>0.55</v>
      </c>
      <c r="G943" s="17" t="n">
        <v>0.4</v>
      </c>
      <c r="H943" s="17" t="n">
        <v>0.05</v>
      </c>
      <c r="I943" s="17" t="n">
        <v>0</v>
      </c>
      <c r="J943" s="17" t="n">
        <v>0</v>
      </c>
      <c r="K943" s="17" t="n">
        <v>0</v>
      </c>
      <c r="L943" s="17" t="n">
        <v>0</v>
      </c>
      <c r="M943" s="17" t="n">
        <v>0</v>
      </c>
      <c r="N943" s="17" t="n">
        <v>0</v>
      </c>
      <c r="O943" s="26" t="n">
        <v>1</v>
      </c>
      <c r="P943" s="3" t="inlineStr">
        <is>
          <t>legacy_company_gpu_mix_fallback</t>
        </is>
      </c>
      <c r="Q943" s="3" t="inlineStr">
        <is>
          <t>SRC_TENCENT_HUNYUAN; SRC_TENCENT_HY3; SRC_TENCENT_AI_INFRA_MOE</t>
        </is>
      </c>
      <c r="R943" s="3" t="inlineStr">
        <is>
          <t>No site-level chip type was available; prior company-level GPU/ASIC mix is retained as fallback.</t>
        </is>
      </c>
    </row>
    <row r="944">
      <c r="A944" s="3" t="inlineStr">
        <is>
          <t>Bear|Legacy company envelope - Tencent|2027</t>
        </is>
      </c>
      <c r="B944" s="3" t="inlineStr">
        <is>
          <t>Bear</t>
        </is>
      </c>
      <c r="C944" s="3" t="inlineStr">
        <is>
          <t>Legacy company envelope - Tencent</t>
        </is>
      </c>
      <c r="D944" s="3" t="n">
        <v>2027</v>
      </c>
      <c r="E944" s="3" t="inlineStr">
        <is>
          <t>Tencent</t>
        </is>
      </c>
      <c r="F944" s="17" t="n">
        <v>0.438</v>
      </c>
      <c r="G944" s="17" t="n">
        <v>0.388</v>
      </c>
      <c r="H944" s="17" t="n">
        <v>0.174</v>
      </c>
      <c r="I944" s="17" t="n">
        <v>0</v>
      </c>
      <c r="J944" s="17" t="n">
        <v>0</v>
      </c>
      <c r="K944" s="17" t="n">
        <v>0</v>
      </c>
      <c r="L944" s="17" t="n">
        <v>0</v>
      </c>
      <c r="M944" s="17" t="n">
        <v>0</v>
      </c>
      <c r="N944" s="17" t="n">
        <v>0</v>
      </c>
      <c r="O944" s="26" t="n">
        <v>1</v>
      </c>
      <c r="P944" s="3" t="inlineStr">
        <is>
          <t>legacy_company_gpu_mix_fallback</t>
        </is>
      </c>
      <c r="Q944" s="3" t="inlineStr">
        <is>
          <t>SRC_TENCENT_HUNYUAN; SRC_TENCENT_HY3; SRC_TENCENT_AI_INFRA_MOE</t>
        </is>
      </c>
      <c r="R944" s="3" t="inlineStr">
        <is>
          <t>No site-level chip type was available; prior company-level GPU/ASIC mix is retained as fallback.</t>
        </is>
      </c>
    </row>
    <row r="945">
      <c r="A945" s="3" t="inlineStr">
        <is>
          <t>Bear|Legacy company envelope - Tencent|2028</t>
        </is>
      </c>
      <c r="B945" s="3" t="inlineStr">
        <is>
          <t>Bear</t>
        </is>
      </c>
      <c r="C945" s="3" t="inlineStr">
        <is>
          <t>Legacy company envelope - Tencent</t>
        </is>
      </c>
      <c r="D945" s="3" t="n">
        <v>2028</v>
      </c>
      <c r="E945" s="3" t="inlineStr">
        <is>
          <t>Tencent</t>
        </is>
      </c>
      <c r="F945" s="17" t="n">
        <v>0.325</v>
      </c>
      <c r="G945" s="17" t="n">
        <v>0.375</v>
      </c>
      <c r="H945" s="17" t="n">
        <v>0.3</v>
      </c>
      <c r="I945" s="17" t="n">
        <v>0</v>
      </c>
      <c r="J945" s="17" t="n">
        <v>0</v>
      </c>
      <c r="K945" s="17" t="n">
        <v>0</v>
      </c>
      <c r="L945" s="17" t="n">
        <v>0</v>
      </c>
      <c r="M945" s="17" t="n">
        <v>0</v>
      </c>
      <c r="N945" s="17" t="n">
        <v>0</v>
      </c>
      <c r="O945" s="26" t="n">
        <v>1</v>
      </c>
      <c r="P945" s="3" t="inlineStr">
        <is>
          <t>legacy_company_gpu_mix_fallback</t>
        </is>
      </c>
      <c r="Q945" s="3" t="inlineStr">
        <is>
          <t>SRC_TENCENT_HUNYUAN; SRC_TENCENT_HY3; SRC_TENCENT_AI_INFRA_MOE</t>
        </is>
      </c>
      <c r="R945" s="3" t="inlineStr">
        <is>
          <t>No site-level chip type was available; prior company-level GPU/ASIC mix is retained as fallback.</t>
        </is>
      </c>
    </row>
    <row r="946">
      <c r="A946" s="3" t="inlineStr">
        <is>
          <t>Bear|Legacy company envelope - Tencent|2029</t>
        </is>
      </c>
      <c r="B946" s="3" t="inlineStr">
        <is>
          <t>Bear</t>
        </is>
      </c>
      <c r="C946" s="3" t="inlineStr">
        <is>
          <t>Legacy company envelope - Tencent</t>
        </is>
      </c>
      <c r="D946" s="3" t="n">
        <v>2029</v>
      </c>
      <c r="E946" s="3" t="inlineStr">
        <is>
          <t>Tencent</t>
        </is>
      </c>
      <c r="F946" s="17" t="n">
        <v>0.213</v>
      </c>
      <c r="G946" s="17" t="n">
        <v>0.362</v>
      </c>
      <c r="H946" s="17" t="n">
        <v>0.425</v>
      </c>
      <c r="I946" s="17" t="n">
        <v>0</v>
      </c>
      <c r="J946" s="17" t="n">
        <v>0</v>
      </c>
      <c r="K946" s="17" t="n">
        <v>0</v>
      </c>
      <c r="L946" s="17" t="n">
        <v>0</v>
      </c>
      <c r="M946" s="17" t="n">
        <v>0</v>
      </c>
      <c r="N946" s="17" t="n">
        <v>0</v>
      </c>
      <c r="O946" s="26" t="n">
        <v>1</v>
      </c>
      <c r="P946" s="3" t="inlineStr">
        <is>
          <t>legacy_company_gpu_mix_fallback</t>
        </is>
      </c>
      <c r="Q946" s="3" t="inlineStr">
        <is>
          <t>SRC_TENCENT_HUNYUAN; SRC_TENCENT_HY3; SRC_TENCENT_AI_INFRA_MOE</t>
        </is>
      </c>
      <c r="R946" s="3" t="inlineStr">
        <is>
          <t>No site-level chip type was available; prior company-level GPU/ASIC mix is retained as fallback.</t>
        </is>
      </c>
    </row>
    <row r="947">
      <c r="A947" s="3" t="inlineStr">
        <is>
          <t>Bear|Legacy company envelope - Tencent|2030</t>
        </is>
      </c>
      <c r="B947" s="3" t="inlineStr">
        <is>
          <t>Bear</t>
        </is>
      </c>
      <c r="C947" s="3" t="inlineStr">
        <is>
          <t>Legacy company envelope - Tencent</t>
        </is>
      </c>
      <c r="D947" s="3" t="n">
        <v>2030</v>
      </c>
      <c r="E947" s="3" t="inlineStr">
        <is>
          <t>Tencent</t>
        </is>
      </c>
      <c r="F947" s="17" t="n">
        <v>0.1</v>
      </c>
      <c r="G947" s="17" t="n">
        <v>0.35</v>
      </c>
      <c r="H947" s="17" t="n">
        <v>0.55</v>
      </c>
      <c r="I947" s="17" t="n">
        <v>0</v>
      </c>
      <c r="J947" s="17" t="n">
        <v>0</v>
      </c>
      <c r="K947" s="17" t="n">
        <v>0</v>
      </c>
      <c r="L947" s="17" t="n">
        <v>0</v>
      </c>
      <c r="M947" s="17" t="n">
        <v>0</v>
      </c>
      <c r="N947" s="17" t="n">
        <v>0</v>
      </c>
      <c r="O947" s="26" t="n">
        <v>1</v>
      </c>
      <c r="P947" s="3" t="inlineStr">
        <is>
          <t>legacy_company_gpu_mix_fallback</t>
        </is>
      </c>
      <c r="Q947" s="3" t="inlineStr">
        <is>
          <t>SRC_TENCENT_HUNYUAN; SRC_TENCENT_HY3; SRC_TENCENT_AI_INFRA_MOE</t>
        </is>
      </c>
      <c r="R947" s="3" t="inlineStr">
        <is>
          <t>No site-level chip type was available; prior company-level GPU/ASIC mix is retained as fallback.</t>
        </is>
      </c>
    </row>
    <row r="948">
      <c r="A948" s="3" t="inlineStr">
        <is>
          <t>Base|Legacy company envelope - DeepSeek|2026</t>
        </is>
      </c>
      <c r="B948" s="3" t="inlineStr">
        <is>
          <t>Base</t>
        </is>
      </c>
      <c r="C948" s="3" t="inlineStr">
        <is>
          <t>Legacy company envelope - DeepSeek</t>
        </is>
      </c>
      <c r="D948" s="3" t="n">
        <v>2026</v>
      </c>
      <c r="E948" s="3" t="inlineStr">
        <is>
          <t>DeepSeek</t>
        </is>
      </c>
      <c r="F948" s="17" t="n">
        <v>0.55</v>
      </c>
      <c r="G948" s="17" t="n">
        <v>0.4</v>
      </c>
      <c r="H948" s="17" t="n">
        <v>0.05</v>
      </c>
      <c r="I948" s="17" t="n">
        <v>0</v>
      </c>
      <c r="J948" s="17" t="n">
        <v>0</v>
      </c>
      <c r="K948" s="17" t="n">
        <v>0</v>
      </c>
      <c r="L948" s="17" t="n">
        <v>0</v>
      </c>
      <c r="M948" s="17" t="n">
        <v>0</v>
      </c>
      <c r="N948" s="17" t="n">
        <v>0</v>
      </c>
      <c r="O948" s="26" t="n">
        <v>1</v>
      </c>
      <c r="P948" s="3" t="inlineStr">
        <is>
          <t>legacy_company_gpu_mix_fallback</t>
        </is>
      </c>
      <c r="Q948" s="3" t="inlineStr">
        <is>
          <t>SRC_DEEPSEEK_V3; SRC_DEEPSEEK_R1; SRC_DEEPSEEK_H800_INFERENCE</t>
        </is>
      </c>
      <c r="R948" s="3" t="inlineStr">
        <is>
          <t>No site-level chip type was available; prior company-level GPU/ASIC mix is retained as fallback.</t>
        </is>
      </c>
    </row>
    <row r="949">
      <c r="A949" s="3" t="inlineStr">
        <is>
          <t>Base|Legacy company envelope - DeepSeek|2027</t>
        </is>
      </c>
      <c r="B949" s="3" t="inlineStr">
        <is>
          <t>Base</t>
        </is>
      </c>
      <c r="C949" s="3" t="inlineStr">
        <is>
          <t>Legacy company envelope - DeepSeek</t>
        </is>
      </c>
      <c r="D949" s="3" t="n">
        <v>2027</v>
      </c>
      <c r="E949" s="3" t="inlineStr">
        <is>
          <t>DeepSeek</t>
        </is>
      </c>
      <c r="F949" s="17" t="n">
        <v>0.438</v>
      </c>
      <c r="G949" s="17" t="n">
        <v>0.388</v>
      </c>
      <c r="H949" s="17" t="n">
        <v>0.174</v>
      </c>
      <c r="I949" s="17" t="n">
        <v>0</v>
      </c>
      <c r="J949" s="17" t="n">
        <v>0</v>
      </c>
      <c r="K949" s="17" t="n">
        <v>0</v>
      </c>
      <c r="L949" s="17" t="n">
        <v>0</v>
      </c>
      <c r="M949" s="17" t="n">
        <v>0</v>
      </c>
      <c r="N949" s="17" t="n">
        <v>0</v>
      </c>
      <c r="O949" s="26" t="n">
        <v>1</v>
      </c>
      <c r="P949" s="3" t="inlineStr">
        <is>
          <t>legacy_company_gpu_mix_fallback</t>
        </is>
      </c>
      <c r="Q949" s="3" t="inlineStr">
        <is>
          <t>SRC_DEEPSEEK_V3; SRC_DEEPSEEK_R1; SRC_DEEPSEEK_H800_INFERENCE</t>
        </is>
      </c>
      <c r="R949" s="3" t="inlineStr">
        <is>
          <t>No site-level chip type was available; prior company-level GPU/ASIC mix is retained as fallback.</t>
        </is>
      </c>
    </row>
    <row r="950">
      <c r="A950" s="3" t="inlineStr">
        <is>
          <t>Base|Legacy company envelope - DeepSeek|2028</t>
        </is>
      </c>
      <c r="B950" s="3" t="inlineStr">
        <is>
          <t>Base</t>
        </is>
      </c>
      <c r="C950" s="3" t="inlineStr">
        <is>
          <t>Legacy company envelope - DeepSeek</t>
        </is>
      </c>
      <c r="D950" s="3" t="n">
        <v>2028</v>
      </c>
      <c r="E950" s="3" t="inlineStr">
        <is>
          <t>DeepSeek</t>
        </is>
      </c>
      <c r="F950" s="17" t="n">
        <v>0.325</v>
      </c>
      <c r="G950" s="17" t="n">
        <v>0.375</v>
      </c>
      <c r="H950" s="17" t="n">
        <v>0.3</v>
      </c>
      <c r="I950" s="17" t="n">
        <v>0</v>
      </c>
      <c r="J950" s="17" t="n">
        <v>0</v>
      </c>
      <c r="K950" s="17" t="n">
        <v>0</v>
      </c>
      <c r="L950" s="17" t="n">
        <v>0</v>
      </c>
      <c r="M950" s="17" t="n">
        <v>0</v>
      </c>
      <c r="N950" s="17" t="n">
        <v>0</v>
      </c>
      <c r="O950" s="26" t="n">
        <v>1</v>
      </c>
      <c r="P950" s="3" t="inlineStr">
        <is>
          <t>legacy_company_gpu_mix_fallback</t>
        </is>
      </c>
      <c r="Q950" s="3" t="inlineStr">
        <is>
          <t>SRC_DEEPSEEK_V3; SRC_DEEPSEEK_R1; SRC_DEEPSEEK_H800_INFERENCE</t>
        </is>
      </c>
      <c r="R950" s="3" t="inlineStr">
        <is>
          <t>No site-level chip type was available; prior company-level GPU/ASIC mix is retained as fallback.</t>
        </is>
      </c>
    </row>
    <row r="951">
      <c r="A951" s="3" t="inlineStr">
        <is>
          <t>Base|Legacy company envelope - DeepSeek|2029</t>
        </is>
      </c>
      <c r="B951" s="3" t="inlineStr">
        <is>
          <t>Base</t>
        </is>
      </c>
      <c r="C951" s="3" t="inlineStr">
        <is>
          <t>Legacy company envelope - DeepSeek</t>
        </is>
      </c>
      <c r="D951" s="3" t="n">
        <v>2029</v>
      </c>
      <c r="E951" s="3" t="inlineStr">
        <is>
          <t>DeepSeek</t>
        </is>
      </c>
      <c r="F951" s="17" t="n">
        <v>0.213</v>
      </c>
      <c r="G951" s="17" t="n">
        <v>0.362</v>
      </c>
      <c r="H951" s="17" t="n">
        <v>0.425</v>
      </c>
      <c r="I951" s="17" t="n">
        <v>0</v>
      </c>
      <c r="J951" s="17" t="n">
        <v>0</v>
      </c>
      <c r="K951" s="17" t="n">
        <v>0</v>
      </c>
      <c r="L951" s="17" t="n">
        <v>0</v>
      </c>
      <c r="M951" s="17" t="n">
        <v>0</v>
      </c>
      <c r="N951" s="17" t="n">
        <v>0</v>
      </c>
      <c r="O951" s="26" t="n">
        <v>1</v>
      </c>
      <c r="P951" s="3" t="inlineStr">
        <is>
          <t>legacy_company_gpu_mix_fallback</t>
        </is>
      </c>
      <c r="Q951" s="3" t="inlineStr">
        <is>
          <t>SRC_DEEPSEEK_V3; SRC_DEEPSEEK_R1; SRC_DEEPSEEK_H800_INFERENCE</t>
        </is>
      </c>
      <c r="R951" s="3" t="inlineStr">
        <is>
          <t>No site-level chip type was available; prior company-level GPU/ASIC mix is retained as fallback.</t>
        </is>
      </c>
    </row>
    <row r="952">
      <c r="A952" s="3" t="inlineStr">
        <is>
          <t>Base|Legacy company envelope - DeepSeek|2030</t>
        </is>
      </c>
      <c r="B952" s="3" t="inlineStr">
        <is>
          <t>Base</t>
        </is>
      </c>
      <c r="C952" s="3" t="inlineStr">
        <is>
          <t>Legacy company envelope - DeepSeek</t>
        </is>
      </c>
      <c r="D952" s="3" t="n">
        <v>2030</v>
      </c>
      <c r="E952" s="3" t="inlineStr">
        <is>
          <t>DeepSeek</t>
        </is>
      </c>
      <c r="F952" s="17" t="n">
        <v>0.1</v>
      </c>
      <c r="G952" s="17" t="n">
        <v>0.35</v>
      </c>
      <c r="H952" s="17" t="n">
        <v>0.55</v>
      </c>
      <c r="I952" s="17" t="n">
        <v>0</v>
      </c>
      <c r="J952" s="17" t="n">
        <v>0</v>
      </c>
      <c r="K952" s="17" t="n">
        <v>0</v>
      </c>
      <c r="L952" s="17" t="n">
        <v>0</v>
      </c>
      <c r="M952" s="17" t="n">
        <v>0</v>
      </c>
      <c r="N952" s="17" t="n">
        <v>0</v>
      </c>
      <c r="O952" s="26" t="n">
        <v>1</v>
      </c>
      <c r="P952" s="3" t="inlineStr">
        <is>
          <t>legacy_company_gpu_mix_fallback</t>
        </is>
      </c>
      <c r="Q952" s="3" t="inlineStr">
        <is>
          <t>SRC_DEEPSEEK_V3; SRC_DEEPSEEK_R1; SRC_DEEPSEEK_H800_INFERENCE</t>
        </is>
      </c>
      <c r="R952" s="3" t="inlineStr">
        <is>
          <t>No site-level chip type was available; prior company-level GPU/ASIC mix is retained as fallback.</t>
        </is>
      </c>
    </row>
    <row r="953">
      <c r="A953" s="3" t="inlineStr">
        <is>
          <t>Base|Legacy company envelope - Tencent|2026</t>
        </is>
      </c>
      <c r="B953" s="3" t="inlineStr">
        <is>
          <t>Base</t>
        </is>
      </c>
      <c r="C953" s="3" t="inlineStr">
        <is>
          <t>Legacy company envelope - Tencent</t>
        </is>
      </c>
      <c r="D953" s="3" t="n">
        <v>2026</v>
      </c>
      <c r="E953" s="3" t="inlineStr">
        <is>
          <t>Tencent</t>
        </is>
      </c>
      <c r="F953" s="17" t="n">
        <v>0.55</v>
      </c>
      <c r="G953" s="17" t="n">
        <v>0.4</v>
      </c>
      <c r="H953" s="17" t="n">
        <v>0.05</v>
      </c>
      <c r="I953" s="17" t="n">
        <v>0</v>
      </c>
      <c r="J953" s="17" t="n">
        <v>0</v>
      </c>
      <c r="K953" s="17" t="n">
        <v>0</v>
      </c>
      <c r="L953" s="17" t="n">
        <v>0</v>
      </c>
      <c r="M953" s="17" t="n">
        <v>0</v>
      </c>
      <c r="N953" s="17" t="n">
        <v>0</v>
      </c>
      <c r="O953" s="26" t="n">
        <v>1</v>
      </c>
      <c r="P953" s="3" t="inlineStr">
        <is>
          <t>legacy_company_gpu_mix_fallback</t>
        </is>
      </c>
      <c r="Q953" s="3" t="inlineStr">
        <is>
          <t>SRC_TENCENT_HUNYUAN; SRC_TENCENT_HY3; SRC_TENCENT_AI_INFRA_MOE</t>
        </is>
      </c>
      <c r="R953" s="3" t="inlineStr">
        <is>
          <t>No site-level chip type was available; prior company-level GPU/ASIC mix is retained as fallback.</t>
        </is>
      </c>
    </row>
    <row r="954">
      <c r="A954" s="3" t="inlineStr">
        <is>
          <t>Base|Legacy company envelope - Tencent|2027</t>
        </is>
      </c>
      <c r="B954" s="3" t="inlineStr">
        <is>
          <t>Base</t>
        </is>
      </c>
      <c r="C954" s="3" t="inlineStr">
        <is>
          <t>Legacy company envelope - Tencent</t>
        </is>
      </c>
      <c r="D954" s="3" t="n">
        <v>2027</v>
      </c>
      <c r="E954" s="3" t="inlineStr">
        <is>
          <t>Tencent</t>
        </is>
      </c>
      <c r="F954" s="17" t="n">
        <v>0.438</v>
      </c>
      <c r="G954" s="17" t="n">
        <v>0.388</v>
      </c>
      <c r="H954" s="17" t="n">
        <v>0.174</v>
      </c>
      <c r="I954" s="17" t="n">
        <v>0</v>
      </c>
      <c r="J954" s="17" t="n">
        <v>0</v>
      </c>
      <c r="K954" s="17" t="n">
        <v>0</v>
      </c>
      <c r="L954" s="17" t="n">
        <v>0</v>
      </c>
      <c r="M954" s="17" t="n">
        <v>0</v>
      </c>
      <c r="N954" s="17" t="n">
        <v>0</v>
      </c>
      <c r="O954" s="26" t="n">
        <v>1</v>
      </c>
      <c r="P954" s="3" t="inlineStr">
        <is>
          <t>legacy_company_gpu_mix_fallback</t>
        </is>
      </c>
      <c r="Q954" s="3" t="inlineStr">
        <is>
          <t>SRC_TENCENT_HUNYUAN; SRC_TENCENT_HY3; SRC_TENCENT_AI_INFRA_MOE</t>
        </is>
      </c>
      <c r="R954" s="3" t="inlineStr">
        <is>
          <t>No site-level chip type was available; prior company-level GPU/ASIC mix is retained as fallback.</t>
        </is>
      </c>
    </row>
    <row r="955">
      <c r="A955" s="3" t="inlineStr">
        <is>
          <t>Base|Legacy company envelope - Tencent|2028</t>
        </is>
      </c>
      <c r="B955" s="3" t="inlineStr">
        <is>
          <t>Base</t>
        </is>
      </c>
      <c r="C955" s="3" t="inlineStr">
        <is>
          <t>Legacy company envelope - Tencent</t>
        </is>
      </c>
      <c r="D955" s="3" t="n">
        <v>2028</v>
      </c>
      <c r="E955" s="3" t="inlineStr">
        <is>
          <t>Tencent</t>
        </is>
      </c>
      <c r="F955" s="17" t="n">
        <v>0.325</v>
      </c>
      <c r="G955" s="17" t="n">
        <v>0.375</v>
      </c>
      <c r="H955" s="17" t="n">
        <v>0.3</v>
      </c>
      <c r="I955" s="17" t="n">
        <v>0</v>
      </c>
      <c r="J955" s="17" t="n">
        <v>0</v>
      </c>
      <c r="K955" s="17" t="n">
        <v>0</v>
      </c>
      <c r="L955" s="17" t="n">
        <v>0</v>
      </c>
      <c r="M955" s="17" t="n">
        <v>0</v>
      </c>
      <c r="N955" s="17" t="n">
        <v>0</v>
      </c>
      <c r="O955" s="26" t="n">
        <v>1</v>
      </c>
      <c r="P955" s="3" t="inlineStr">
        <is>
          <t>legacy_company_gpu_mix_fallback</t>
        </is>
      </c>
      <c r="Q955" s="3" t="inlineStr">
        <is>
          <t>SRC_TENCENT_HUNYUAN; SRC_TENCENT_HY3; SRC_TENCENT_AI_INFRA_MOE</t>
        </is>
      </c>
      <c r="R955" s="3" t="inlineStr">
        <is>
          <t>No site-level chip type was available; prior company-level GPU/ASIC mix is retained as fallback.</t>
        </is>
      </c>
    </row>
    <row r="956">
      <c r="A956" s="3" t="inlineStr">
        <is>
          <t>Base|Legacy company envelope - Tencent|2029</t>
        </is>
      </c>
      <c r="B956" s="3" t="inlineStr">
        <is>
          <t>Base</t>
        </is>
      </c>
      <c r="C956" s="3" t="inlineStr">
        <is>
          <t>Legacy company envelope - Tencent</t>
        </is>
      </c>
      <c r="D956" s="3" t="n">
        <v>2029</v>
      </c>
      <c r="E956" s="3" t="inlineStr">
        <is>
          <t>Tencent</t>
        </is>
      </c>
      <c r="F956" s="17" t="n">
        <v>0.213</v>
      </c>
      <c r="G956" s="17" t="n">
        <v>0.362</v>
      </c>
      <c r="H956" s="17" t="n">
        <v>0.425</v>
      </c>
      <c r="I956" s="17" t="n">
        <v>0</v>
      </c>
      <c r="J956" s="17" t="n">
        <v>0</v>
      </c>
      <c r="K956" s="17" t="n">
        <v>0</v>
      </c>
      <c r="L956" s="17" t="n">
        <v>0</v>
      </c>
      <c r="M956" s="17" t="n">
        <v>0</v>
      </c>
      <c r="N956" s="17" t="n">
        <v>0</v>
      </c>
      <c r="O956" s="26" t="n">
        <v>1</v>
      </c>
      <c r="P956" s="3" t="inlineStr">
        <is>
          <t>legacy_company_gpu_mix_fallback</t>
        </is>
      </c>
      <c r="Q956" s="3" t="inlineStr">
        <is>
          <t>SRC_TENCENT_HUNYUAN; SRC_TENCENT_HY3; SRC_TENCENT_AI_INFRA_MOE</t>
        </is>
      </c>
      <c r="R956" s="3" t="inlineStr">
        <is>
          <t>No site-level chip type was available; prior company-level GPU/ASIC mix is retained as fallback.</t>
        </is>
      </c>
    </row>
    <row r="957">
      <c r="A957" s="3" t="inlineStr">
        <is>
          <t>Base|Legacy company envelope - Tencent|2030</t>
        </is>
      </c>
      <c r="B957" s="3" t="inlineStr">
        <is>
          <t>Base</t>
        </is>
      </c>
      <c r="C957" s="3" t="inlineStr">
        <is>
          <t>Legacy company envelope - Tencent</t>
        </is>
      </c>
      <c r="D957" s="3" t="n">
        <v>2030</v>
      </c>
      <c r="E957" s="3" t="inlineStr">
        <is>
          <t>Tencent</t>
        </is>
      </c>
      <c r="F957" s="17" t="n">
        <v>0.1</v>
      </c>
      <c r="G957" s="17" t="n">
        <v>0.35</v>
      </c>
      <c r="H957" s="17" t="n">
        <v>0.55</v>
      </c>
      <c r="I957" s="17" t="n">
        <v>0</v>
      </c>
      <c r="J957" s="17" t="n">
        <v>0</v>
      </c>
      <c r="K957" s="17" t="n">
        <v>0</v>
      </c>
      <c r="L957" s="17" t="n">
        <v>0</v>
      </c>
      <c r="M957" s="17" t="n">
        <v>0</v>
      </c>
      <c r="N957" s="17" t="n">
        <v>0</v>
      </c>
      <c r="O957" s="26" t="n">
        <v>1</v>
      </c>
      <c r="P957" s="3" t="inlineStr">
        <is>
          <t>legacy_company_gpu_mix_fallback</t>
        </is>
      </c>
      <c r="Q957" s="3" t="inlineStr">
        <is>
          <t>SRC_TENCENT_HUNYUAN; SRC_TENCENT_HY3; SRC_TENCENT_AI_INFRA_MOE</t>
        </is>
      </c>
      <c r="R957" s="3" t="inlineStr">
        <is>
          <t>No site-level chip type was available; prior company-level GPU/ASIC mix is retained as fallback.</t>
        </is>
      </c>
    </row>
    <row r="958">
      <c r="A958" s="3" t="inlineStr">
        <is>
          <t>Bull|Legacy company envelope - DeepSeek|2026</t>
        </is>
      </c>
      <c r="B958" s="3" t="inlineStr">
        <is>
          <t>Bull</t>
        </is>
      </c>
      <c r="C958" s="3" t="inlineStr">
        <is>
          <t>Legacy company envelope - DeepSeek</t>
        </is>
      </c>
      <c r="D958" s="3" t="n">
        <v>2026</v>
      </c>
      <c r="E958" s="3" t="inlineStr">
        <is>
          <t>DeepSeek</t>
        </is>
      </c>
      <c r="F958" s="17" t="n">
        <v>0.55</v>
      </c>
      <c r="G958" s="17" t="n">
        <v>0.4</v>
      </c>
      <c r="H958" s="17" t="n">
        <v>0.05</v>
      </c>
      <c r="I958" s="17" t="n">
        <v>0</v>
      </c>
      <c r="J958" s="17" t="n">
        <v>0</v>
      </c>
      <c r="K958" s="17" t="n">
        <v>0</v>
      </c>
      <c r="L958" s="17" t="n">
        <v>0</v>
      </c>
      <c r="M958" s="17" t="n">
        <v>0</v>
      </c>
      <c r="N958" s="17" t="n">
        <v>0</v>
      </c>
      <c r="O958" s="26" t="n">
        <v>1</v>
      </c>
      <c r="P958" s="3" t="inlineStr">
        <is>
          <t>legacy_company_gpu_mix_fallback</t>
        </is>
      </c>
      <c r="Q958" s="3" t="inlineStr">
        <is>
          <t>SRC_DEEPSEEK_V3; SRC_DEEPSEEK_R1; SRC_DEEPSEEK_H800_INFERENCE</t>
        </is>
      </c>
      <c r="R958" s="3" t="inlineStr">
        <is>
          <t>No site-level chip type was available; prior company-level GPU/ASIC mix is retained as fallback.</t>
        </is>
      </c>
    </row>
    <row r="959">
      <c r="A959" s="3" t="inlineStr">
        <is>
          <t>Bull|Legacy company envelope - DeepSeek|2027</t>
        </is>
      </c>
      <c r="B959" s="3" t="inlineStr">
        <is>
          <t>Bull</t>
        </is>
      </c>
      <c r="C959" s="3" t="inlineStr">
        <is>
          <t>Legacy company envelope - DeepSeek</t>
        </is>
      </c>
      <c r="D959" s="3" t="n">
        <v>2027</v>
      </c>
      <c r="E959" s="3" t="inlineStr">
        <is>
          <t>DeepSeek</t>
        </is>
      </c>
      <c r="F959" s="17" t="n">
        <v>0.438</v>
      </c>
      <c r="G959" s="17" t="n">
        <v>0.388</v>
      </c>
      <c r="H959" s="17" t="n">
        <v>0.174</v>
      </c>
      <c r="I959" s="17" t="n">
        <v>0</v>
      </c>
      <c r="J959" s="17" t="n">
        <v>0</v>
      </c>
      <c r="K959" s="17" t="n">
        <v>0</v>
      </c>
      <c r="L959" s="17" t="n">
        <v>0</v>
      </c>
      <c r="M959" s="17" t="n">
        <v>0</v>
      </c>
      <c r="N959" s="17" t="n">
        <v>0</v>
      </c>
      <c r="O959" s="26" t="n">
        <v>1</v>
      </c>
      <c r="P959" s="3" t="inlineStr">
        <is>
          <t>legacy_company_gpu_mix_fallback</t>
        </is>
      </c>
      <c r="Q959" s="3" t="inlineStr">
        <is>
          <t>SRC_DEEPSEEK_V3; SRC_DEEPSEEK_R1; SRC_DEEPSEEK_H800_INFERENCE</t>
        </is>
      </c>
      <c r="R959" s="3" t="inlineStr">
        <is>
          <t>No site-level chip type was available; prior company-level GPU/ASIC mix is retained as fallback.</t>
        </is>
      </c>
    </row>
    <row r="960">
      <c r="A960" s="3" t="inlineStr">
        <is>
          <t>Bull|Legacy company envelope - DeepSeek|2028</t>
        </is>
      </c>
      <c r="B960" s="3" t="inlineStr">
        <is>
          <t>Bull</t>
        </is>
      </c>
      <c r="C960" s="3" t="inlineStr">
        <is>
          <t>Legacy company envelope - DeepSeek</t>
        </is>
      </c>
      <c r="D960" s="3" t="n">
        <v>2028</v>
      </c>
      <c r="E960" s="3" t="inlineStr">
        <is>
          <t>DeepSeek</t>
        </is>
      </c>
      <c r="F960" s="17" t="n">
        <v>0.325</v>
      </c>
      <c r="G960" s="17" t="n">
        <v>0.375</v>
      </c>
      <c r="H960" s="17" t="n">
        <v>0.3</v>
      </c>
      <c r="I960" s="17" t="n">
        <v>0</v>
      </c>
      <c r="J960" s="17" t="n">
        <v>0</v>
      </c>
      <c r="K960" s="17" t="n">
        <v>0</v>
      </c>
      <c r="L960" s="17" t="n">
        <v>0</v>
      </c>
      <c r="M960" s="17" t="n">
        <v>0</v>
      </c>
      <c r="N960" s="17" t="n">
        <v>0</v>
      </c>
      <c r="O960" s="26" t="n">
        <v>1</v>
      </c>
      <c r="P960" s="3" t="inlineStr">
        <is>
          <t>legacy_company_gpu_mix_fallback</t>
        </is>
      </c>
      <c r="Q960" s="3" t="inlineStr">
        <is>
          <t>SRC_DEEPSEEK_V3; SRC_DEEPSEEK_R1; SRC_DEEPSEEK_H800_INFERENCE</t>
        </is>
      </c>
      <c r="R960" s="3" t="inlineStr">
        <is>
          <t>No site-level chip type was available; prior company-level GPU/ASIC mix is retained as fallback.</t>
        </is>
      </c>
    </row>
    <row r="961">
      <c r="A961" s="3" t="inlineStr">
        <is>
          <t>Bull|Legacy company envelope - DeepSeek|2029</t>
        </is>
      </c>
      <c r="B961" s="3" t="inlineStr">
        <is>
          <t>Bull</t>
        </is>
      </c>
      <c r="C961" s="3" t="inlineStr">
        <is>
          <t>Legacy company envelope - DeepSeek</t>
        </is>
      </c>
      <c r="D961" s="3" t="n">
        <v>2029</v>
      </c>
      <c r="E961" s="3" t="inlineStr">
        <is>
          <t>DeepSeek</t>
        </is>
      </c>
      <c r="F961" s="17" t="n">
        <v>0.213</v>
      </c>
      <c r="G961" s="17" t="n">
        <v>0.362</v>
      </c>
      <c r="H961" s="17" t="n">
        <v>0.425</v>
      </c>
      <c r="I961" s="17" t="n">
        <v>0</v>
      </c>
      <c r="J961" s="17" t="n">
        <v>0</v>
      </c>
      <c r="K961" s="17" t="n">
        <v>0</v>
      </c>
      <c r="L961" s="17" t="n">
        <v>0</v>
      </c>
      <c r="M961" s="17" t="n">
        <v>0</v>
      </c>
      <c r="N961" s="17" t="n">
        <v>0</v>
      </c>
      <c r="O961" s="26" t="n">
        <v>1</v>
      </c>
      <c r="P961" s="3" t="inlineStr">
        <is>
          <t>legacy_company_gpu_mix_fallback</t>
        </is>
      </c>
      <c r="Q961" s="3" t="inlineStr">
        <is>
          <t>SRC_DEEPSEEK_V3; SRC_DEEPSEEK_R1; SRC_DEEPSEEK_H800_INFERENCE</t>
        </is>
      </c>
      <c r="R961" s="3" t="inlineStr">
        <is>
          <t>No site-level chip type was available; prior company-level GPU/ASIC mix is retained as fallback.</t>
        </is>
      </c>
    </row>
    <row r="962">
      <c r="A962" s="3" t="inlineStr">
        <is>
          <t>Bull|Legacy company envelope - DeepSeek|2030</t>
        </is>
      </c>
      <c r="B962" s="3" t="inlineStr">
        <is>
          <t>Bull</t>
        </is>
      </c>
      <c r="C962" s="3" t="inlineStr">
        <is>
          <t>Legacy company envelope - DeepSeek</t>
        </is>
      </c>
      <c r="D962" s="3" t="n">
        <v>2030</v>
      </c>
      <c r="E962" s="3" t="inlineStr">
        <is>
          <t>DeepSeek</t>
        </is>
      </c>
      <c r="F962" s="17" t="n">
        <v>0.1</v>
      </c>
      <c r="G962" s="17" t="n">
        <v>0.35</v>
      </c>
      <c r="H962" s="17" t="n">
        <v>0.55</v>
      </c>
      <c r="I962" s="17" t="n">
        <v>0</v>
      </c>
      <c r="J962" s="17" t="n">
        <v>0</v>
      </c>
      <c r="K962" s="17" t="n">
        <v>0</v>
      </c>
      <c r="L962" s="17" t="n">
        <v>0</v>
      </c>
      <c r="M962" s="17" t="n">
        <v>0</v>
      </c>
      <c r="N962" s="17" t="n">
        <v>0</v>
      </c>
      <c r="O962" s="26" t="n">
        <v>1</v>
      </c>
      <c r="P962" s="3" t="inlineStr">
        <is>
          <t>legacy_company_gpu_mix_fallback</t>
        </is>
      </c>
      <c r="Q962" s="3" t="inlineStr">
        <is>
          <t>SRC_DEEPSEEK_V3; SRC_DEEPSEEK_R1; SRC_DEEPSEEK_H800_INFERENCE</t>
        </is>
      </c>
      <c r="R962" s="3" t="inlineStr">
        <is>
          <t>No site-level chip type was available; prior company-level GPU/ASIC mix is retained as fallback.</t>
        </is>
      </c>
    </row>
    <row r="963">
      <c r="A963" s="3" t="inlineStr">
        <is>
          <t>Bull|Legacy company envelope - Tencent|2026</t>
        </is>
      </c>
      <c r="B963" s="3" t="inlineStr">
        <is>
          <t>Bull</t>
        </is>
      </c>
      <c r="C963" s="3" t="inlineStr">
        <is>
          <t>Legacy company envelope - Tencent</t>
        </is>
      </c>
      <c r="D963" s="3" t="n">
        <v>2026</v>
      </c>
      <c r="E963" s="3" t="inlineStr">
        <is>
          <t>Tencent</t>
        </is>
      </c>
      <c r="F963" s="17" t="n">
        <v>0.55</v>
      </c>
      <c r="G963" s="17" t="n">
        <v>0.4</v>
      </c>
      <c r="H963" s="17" t="n">
        <v>0.05</v>
      </c>
      <c r="I963" s="17" t="n">
        <v>0</v>
      </c>
      <c r="J963" s="17" t="n">
        <v>0</v>
      </c>
      <c r="K963" s="17" t="n">
        <v>0</v>
      </c>
      <c r="L963" s="17" t="n">
        <v>0</v>
      </c>
      <c r="M963" s="17" t="n">
        <v>0</v>
      </c>
      <c r="N963" s="17" t="n">
        <v>0</v>
      </c>
      <c r="O963" s="26" t="n">
        <v>1</v>
      </c>
      <c r="P963" s="3" t="inlineStr">
        <is>
          <t>legacy_company_gpu_mix_fallback</t>
        </is>
      </c>
      <c r="Q963" s="3" t="inlineStr">
        <is>
          <t>SRC_TENCENT_HUNYUAN; SRC_TENCENT_HY3; SRC_TENCENT_AI_INFRA_MOE</t>
        </is>
      </c>
      <c r="R963" s="3" t="inlineStr">
        <is>
          <t>No site-level chip type was available; prior company-level GPU/ASIC mix is retained as fallback.</t>
        </is>
      </c>
    </row>
    <row r="964">
      <c r="A964" s="3" t="inlineStr">
        <is>
          <t>Bull|Legacy company envelope - Tencent|2027</t>
        </is>
      </c>
      <c r="B964" s="3" t="inlineStr">
        <is>
          <t>Bull</t>
        </is>
      </c>
      <c r="C964" s="3" t="inlineStr">
        <is>
          <t>Legacy company envelope - Tencent</t>
        </is>
      </c>
      <c r="D964" s="3" t="n">
        <v>2027</v>
      </c>
      <c r="E964" s="3" t="inlineStr">
        <is>
          <t>Tencent</t>
        </is>
      </c>
      <c r="F964" s="17" t="n">
        <v>0.438</v>
      </c>
      <c r="G964" s="17" t="n">
        <v>0.388</v>
      </c>
      <c r="H964" s="17" t="n">
        <v>0.174</v>
      </c>
      <c r="I964" s="17" t="n">
        <v>0</v>
      </c>
      <c r="J964" s="17" t="n">
        <v>0</v>
      </c>
      <c r="K964" s="17" t="n">
        <v>0</v>
      </c>
      <c r="L964" s="17" t="n">
        <v>0</v>
      </c>
      <c r="M964" s="17" t="n">
        <v>0</v>
      </c>
      <c r="N964" s="17" t="n">
        <v>0</v>
      </c>
      <c r="O964" s="26" t="n">
        <v>1</v>
      </c>
      <c r="P964" s="3" t="inlineStr">
        <is>
          <t>legacy_company_gpu_mix_fallback</t>
        </is>
      </c>
      <c r="Q964" s="3" t="inlineStr">
        <is>
          <t>SRC_TENCENT_HUNYUAN; SRC_TENCENT_HY3; SRC_TENCENT_AI_INFRA_MOE</t>
        </is>
      </c>
      <c r="R964" s="3" t="inlineStr">
        <is>
          <t>No site-level chip type was available; prior company-level GPU/ASIC mix is retained as fallback.</t>
        </is>
      </c>
    </row>
    <row r="965">
      <c r="A965" s="3" t="inlineStr">
        <is>
          <t>Bull|Legacy company envelope - Tencent|2028</t>
        </is>
      </c>
      <c r="B965" s="3" t="inlineStr">
        <is>
          <t>Bull</t>
        </is>
      </c>
      <c r="C965" s="3" t="inlineStr">
        <is>
          <t>Legacy company envelope - Tencent</t>
        </is>
      </c>
      <c r="D965" s="3" t="n">
        <v>2028</v>
      </c>
      <c r="E965" s="3" t="inlineStr">
        <is>
          <t>Tencent</t>
        </is>
      </c>
      <c r="F965" s="17" t="n">
        <v>0.325</v>
      </c>
      <c r="G965" s="17" t="n">
        <v>0.375</v>
      </c>
      <c r="H965" s="17" t="n">
        <v>0.3</v>
      </c>
      <c r="I965" s="17" t="n">
        <v>0</v>
      </c>
      <c r="J965" s="17" t="n">
        <v>0</v>
      </c>
      <c r="K965" s="17" t="n">
        <v>0</v>
      </c>
      <c r="L965" s="17" t="n">
        <v>0</v>
      </c>
      <c r="M965" s="17" t="n">
        <v>0</v>
      </c>
      <c r="N965" s="17" t="n">
        <v>0</v>
      </c>
      <c r="O965" s="26" t="n">
        <v>1</v>
      </c>
      <c r="P965" s="3" t="inlineStr">
        <is>
          <t>legacy_company_gpu_mix_fallback</t>
        </is>
      </c>
      <c r="Q965" s="3" t="inlineStr">
        <is>
          <t>SRC_TENCENT_HUNYUAN; SRC_TENCENT_HY3; SRC_TENCENT_AI_INFRA_MOE</t>
        </is>
      </c>
      <c r="R965" s="3" t="inlineStr">
        <is>
          <t>No site-level chip type was available; prior company-level GPU/ASIC mix is retained as fallback.</t>
        </is>
      </c>
    </row>
    <row r="966">
      <c r="A966" s="3" t="inlineStr">
        <is>
          <t>Bull|Legacy company envelope - Tencent|2029</t>
        </is>
      </c>
      <c r="B966" s="3" t="inlineStr">
        <is>
          <t>Bull</t>
        </is>
      </c>
      <c r="C966" s="3" t="inlineStr">
        <is>
          <t>Legacy company envelope - Tencent</t>
        </is>
      </c>
      <c r="D966" s="3" t="n">
        <v>2029</v>
      </c>
      <c r="E966" s="3" t="inlineStr">
        <is>
          <t>Tencent</t>
        </is>
      </c>
      <c r="F966" s="17" t="n">
        <v>0.213</v>
      </c>
      <c r="G966" s="17" t="n">
        <v>0.362</v>
      </c>
      <c r="H966" s="17" t="n">
        <v>0.425</v>
      </c>
      <c r="I966" s="17" t="n">
        <v>0</v>
      </c>
      <c r="J966" s="17" t="n">
        <v>0</v>
      </c>
      <c r="K966" s="17" t="n">
        <v>0</v>
      </c>
      <c r="L966" s="17" t="n">
        <v>0</v>
      </c>
      <c r="M966" s="17" t="n">
        <v>0</v>
      </c>
      <c r="N966" s="17" t="n">
        <v>0</v>
      </c>
      <c r="O966" s="26" t="n">
        <v>1</v>
      </c>
      <c r="P966" s="3" t="inlineStr">
        <is>
          <t>legacy_company_gpu_mix_fallback</t>
        </is>
      </c>
      <c r="Q966" s="3" t="inlineStr">
        <is>
          <t>SRC_TENCENT_HUNYUAN; SRC_TENCENT_HY3; SRC_TENCENT_AI_INFRA_MOE</t>
        </is>
      </c>
      <c r="R966" s="3" t="inlineStr">
        <is>
          <t>No site-level chip type was available; prior company-level GPU/ASIC mix is retained as fallback.</t>
        </is>
      </c>
    </row>
    <row r="967">
      <c r="A967" s="3" t="inlineStr">
        <is>
          <t>Bull|Legacy company envelope - Tencent|2030</t>
        </is>
      </c>
      <c r="B967" s="3" t="inlineStr">
        <is>
          <t>Bull</t>
        </is>
      </c>
      <c r="C967" s="3" t="inlineStr">
        <is>
          <t>Legacy company envelope - Tencent</t>
        </is>
      </c>
      <c r="D967" s="3" t="n">
        <v>2030</v>
      </c>
      <c r="E967" s="3" t="inlineStr">
        <is>
          <t>Tencent</t>
        </is>
      </c>
      <c r="F967" s="17" t="n">
        <v>0.1</v>
      </c>
      <c r="G967" s="17" t="n">
        <v>0.35</v>
      </c>
      <c r="H967" s="17" t="n">
        <v>0.55</v>
      </c>
      <c r="I967" s="17" t="n">
        <v>0</v>
      </c>
      <c r="J967" s="17" t="n">
        <v>0</v>
      </c>
      <c r="K967" s="17" t="n">
        <v>0</v>
      </c>
      <c r="L967" s="17" t="n">
        <v>0</v>
      </c>
      <c r="M967" s="17" t="n">
        <v>0</v>
      </c>
      <c r="N967" s="17" t="n">
        <v>0</v>
      </c>
      <c r="O967" s="26" t="n">
        <v>1</v>
      </c>
      <c r="P967" s="3" t="inlineStr">
        <is>
          <t>legacy_company_gpu_mix_fallback</t>
        </is>
      </c>
      <c r="Q967" s="3" t="inlineStr">
        <is>
          <t>SRC_TENCENT_HUNYUAN; SRC_TENCENT_HY3; SRC_TENCENT_AI_INFRA_MOE</t>
        </is>
      </c>
      <c r="R967" s="3" t="inlineStr">
        <is>
          <t>No site-level chip type was available; prior company-level GPU/ASIC mix is retained as fallback.</t>
        </is>
      </c>
    </row>
    <row r="968">
      <c r="A968" s="3" t="inlineStr">
        <is>
          <t>Grid-Constrained / Efficiency-Upside|Legacy company envelope - DeepSeek|2026</t>
        </is>
      </c>
      <c r="B968" s="3" t="inlineStr">
        <is>
          <t>Grid-Constrained / Efficiency-Upside</t>
        </is>
      </c>
      <c r="C968" s="3" t="inlineStr">
        <is>
          <t>Legacy company envelope - DeepSeek</t>
        </is>
      </c>
      <c r="D968" s="3" t="n">
        <v>2026</v>
      </c>
      <c r="E968" s="3" t="inlineStr">
        <is>
          <t>DeepSeek</t>
        </is>
      </c>
      <c r="F968" s="17" t="n">
        <v>0.55</v>
      </c>
      <c r="G968" s="17" t="n">
        <v>0.4</v>
      </c>
      <c r="H968" s="17" t="n">
        <v>0.05</v>
      </c>
      <c r="I968" s="17" t="n">
        <v>0</v>
      </c>
      <c r="J968" s="17" t="n">
        <v>0</v>
      </c>
      <c r="K968" s="17" t="n">
        <v>0</v>
      </c>
      <c r="L968" s="17" t="n">
        <v>0</v>
      </c>
      <c r="M968" s="17" t="n">
        <v>0</v>
      </c>
      <c r="N968" s="17" t="n">
        <v>0</v>
      </c>
      <c r="O968" s="26" t="n">
        <v>1</v>
      </c>
      <c r="P968" s="3" t="inlineStr">
        <is>
          <t>legacy_company_gpu_mix_fallback</t>
        </is>
      </c>
      <c r="Q968" s="3" t="inlineStr">
        <is>
          <t>SRC_DEEPSEEK_V3; SRC_DEEPSEEK_R1; SRC_DEEPSEEK_H800_INFERENCE</t>
        </is>
      </c>
      <c r="R968" s="3" t="inlineStr">
        <is>
          <t>No site-level chip type was available; prior company-level GPU/ASIC mix is retained as fallback.</t>
        </is>
      </c>
    </row>
    <row r="969">
      <c r="A969" s="3" t="inlineStr">
        <is>
          <t>Grid-Constrained / Efficiency-Upside|Legacy company envelope - DeepSeek|2027</t>
        </is>
      </c>
      <c r="B969" s="3" t="inlineStr">
        <is>
          <t>Grid-Constrained / Efficiency-Upside</t>
        </is>
      </c>
      <c r="C969" s="3" t="inlineStr">
        <is>
          <t>Legacy company envelope - DeepSeek</t>
        </is>
      </c>
      <c r="D969" s="3" t="n">
        <v>2027</v>
      </c>
      <c r="E969" s="3" t="inlineStr">
        <is>
          <t>DeepSeek</t>
        </is>
      </c>
      <c r="F969" s="17" t="n">
        <v>0.438</v>
      </c>
      <c r="G969" s="17" t="n">
        <v>0.388</v>
      </c>
      <c r="H969" s="17" t="n">
        <v>0.174</v>
      </c>
      <c r="I969" s="17" t="n">
        <v>0</v>
      </c>
      <c r="J969" s="17" t="n">
        <v>0</v>
      </c>
      <c r="K969" s="17" t="n">
        <v>0</v>
      </c>
      <c r="L969" s="17" t="n">
        <v>0</v>
      </c>
      <c r="M969" s="17" t="n">
        <v>0</v>
      </c>
      <c r="N969" s="17" t="n">
        <v>0</v>
      </c>
      <c r="O969" s="26" t="n">
        <v>1</v>
      </c>
      <c r="P969" s="3" t="inlineStr">
        <is>
          <t>legacy_company_gpu_mix_fallback</t>
        </is>
      </c>
      <c r="Q969" s="3" t="inlineStr">
        <is>
          <t>SRC_DEEPSEEK_V3; SRC_DEEPSEEK_R1; SRC_DEEPSEEK_H800_INFERENCE</t>
        </is>
      </c>
      <c r="R969" s="3" t="inlineStr">
        <is>
          <t>No site-level chip type was available; prior company-level GPU/ASIC mix is retained as fallback.</t>
        </is>
      </c>
    </row>
    <row r="970">
      <c r="A970" s="3" t="inlineStr">
        <is>
          <t>Grid-Constrained / Efficiency-Upside|Legacy company envelope - DeepSeek|2028</t>
        </is>
      </c>
      <c r="B970" s="3" t="inlineStr">
        <is>
          <t>Grid-Constrained / Efficiency-Upside</t>
        </is>
      </c>
      <c r="C970" s="3" t="inlineStr">
        <is>
          <t>Legacy company envelope - DeepSeek</t>
        </is>
      </c>
      <c r="D970" s="3" t="n">
        <v>2028</v>
      </c>
      <c r="E970" s="3" t="inlineStr">
        <is>
          <t>DeepSeek</t>
        </is>
      </c>
      <c r="F970" s="17" t="n">
        <v>0.325</v>
      </c>
      <c r="G970" s="17" t="n">
        <v>0.375</v>
      </c>
      <c r="H970" s="17" t="n">
        <v>0.3</v>
      </c>
      <c r="I970" s="17" t="n">
        <v>0</v>
      </c>
      <c r="J970" s="17" t="n">
        <v>0</v>
      </c>
      <c r="K970" s="17" t="n">
        <v>0</v>
      </c>
      <c r="L970" s="17" t="n">
        <v>0</v>
      </c>
      <c r="M970" s="17" t="n">
        <v>0</v>
      </c>
      <c r="N970" s="17" t="n">
        <v>0</v>
      </c>
      <c r="O970" s="26" t="n">
        <v>1</v>
      </c>
      <c r="P970" s="3" t="inlineStr">
        <is>
          <t>legacy_company_gpu_mix_fallback</t>
        </is>
      </c>
      <c r="Q970" s="3" t="inlineStr">
        <is>
          <t>SRC_DEEPSEEK_V3; SRC_DEEPSEEK_R1; SRC_DEEPSEEK_H800_INFERENCE</t>
        </is>
      </c>
      <c r="R970" s="3" t="inlineStr">
        <is>
          <t>No site-level chip type was available; prior company-level GPU/ASIC mix is retained as fallback.</t>
        </is>
      </c>
    </row>
    <row r="971">
      <c r="A971" s="3" t="inlineStr">
        <is>
          <t>Grid-Constrained / Efficiency-Upside|Legacy company envelope - DeepSeek|2029</t>
        </is>
      </c>
      <c r="B971" s="3" t="inlineStr">
        <is>
          <t>Grid-Constrained / Efficiency-Upside</t>
        </is>
      </c>
      <c r="C971" s="3" t="inlineStr">
        <is>
          <t>Legacy company envelope - DeepSeek</t>
        </is>
      </c>
      <c r="D971" s="3" t="n">
        <v>2029</v>
      </c>
      <c r="E971" s="3" t="inlineStr">
        <is>
          <t>DeepSeek</t>
        </is>
      </c>
      <c r="F971" s="17" t="n">
        <v>0.213</v>
      </c>
      <c r="G971" s="17" t="n">
        <v>0.362</v>
      </c>
      <c r="H971" s="17" t="n">
        <v>0.425</v>
      </c>
      <c r="I971" s="17" t="n">
        <v>0</v>
      </c>
      <c r="J971" s="17" t="n">
        <v>0</v>
      </c>
      <c r="K971" s="17" t="n">
        <v>0</v>
      </c>
      <c r="L971" s="17" t="n">
        <v>0</v>
      </c>
      <c r="M971" s="17" t="n">
        <v>0</v>
      </c>
      <c r="N971" s="17" t="n">
        <v>0</v>
      </c>
      <c r="O971" s="26" t="n">
        <v>1</v>
      </c>
      <c r="P971" s="3" t="inlineStr">
        <is>
          <t>legacy_company_gpu_mix_fallback</t>
        </is>
      </c>
      <c r="Q971" s="3" t="inlineStr">
        <is>
          <t>SRC_DEEPSEEK_V3; SRC_DEEPSEEK_R1; SRC_DEEPSEEK_H800_INFERENCE</t>
        </is>
      </c>
      <c r="R971" s="3" t="inlineStr">
        <is>
          <t>No site-level chip type was available; prior company-level GPU/ASIC mix is retained as fallback.</t>
        </is>
      </c>
    </row>
    <row r="972">
      <c r="A972" s="3" t="inlineStr">
        <is>
          <t>Grid-Constrained / Efficiency-Upside|Legacy company envelope - DeepSeek|2030</t>
        </is>
      </c>
      <c r="B972" s="3" t="inlineStr">
        <is>
          <t>Grid-Constrained / Efficiency-Upside</t>
        </is>
      </c>
      <c r="C972" s="3" t="inlineStr">
        <is>
          <t>Legacy company envelope - DeepSeek</t>
        </is>
      </c>
      <c r="D972" s="3" t="n">
        <v>2030</v>
      </c>
      <c r="E972" s="3" t="inlineStr">
        <is>
          <t>DeepSeek</t>
        </is>
      </c>
      <c r="F972" s="17" t="n">
        <v>0.1</v>
      </c>
      <c r="G972" s="17" t="n">
        <v>0.35</v>
      </c>
      <c r="H972" s="17" t="n">
        <v>0.55</v>
      </c>
      <c r="I972" s="17" t="n">
        <v>0</v>
      </c>
      <c r="J972" s="17" t="n">
        <v>0</v>
      </c>
      <c r="K972" s="17" t="n">
        <v>0</v>
      </c>
      <c r="L972" s="17" t="n">
        <v>0</v>
      </c>
      <c r="M972" s="17" t="n">
        <v>0</v>
      </c>
      <c r="N972" s="17" t="n">
        <v>0</v>
      </c>
      <c r="O972" s="26" t="n">
        <v>1</v>
      </c>
      <c r="P972" s="3" t="inlineStr">
        <is>
          <t>legacy_company_gpu_mix_fallback</t>
        </is>
      </c>
      <c r="Q972" s="3" t="inlineStr">
        <is>
          <t>SRC_DEEPSEEK_V3; SRC_DEEPSEEK_R1; SRC_DEEPSEEK_H800_INFERENCE</t>
        </is>
      </c>
      <c r="R972" s="3" t="inlineStr">
        <is>
          <t>No site-level chip type was available; prior company-level GPU/ASIC mix is retained as fallback.</t>
        </is>
      </c>
    </row>
    <row r="973">
      <c r="A973" s="3" t="inlineStr">
        <is>
          <t>Grid-Constrained / Efficiency-Upside|Legacy company envelope - Tencent|2026</t>
        </is>
      </c>
      <c r="B973" s="3" t="inlineStr">
        <is>
          <t>Grid-Constrained / Efficiency-Upside</t>
        </is>
      </c>
      <c r="C973" s="3" t="inlineStr">
        <is>
          <t>Legacy company envelope - Tencent</t>
        </is>
      </c>
      <c r="D973" s="3" t="n">
        <v>2026</v>
      </c>
      <c r="E973" s="3" t="inlineStr">
        <is>
          <t>Tencent</t>
        </is>
      </c>
      <c r="F973" s="17" t="n">
        <v>0.55</v>
      </c>
      <c r="G973" s="17" t="n">
        <v>0.4</v>
      </c>
      <c r="H973" s="17" t="n">
        <v>0.05</v>
      </c>
      <c r="I973" s="17" t="n">
        <v>0</v>
      </c>
      <c r="J973" s="17" t="n">
        <v>0</v>
      </c>
      <c r="K973" s="17" t="n">
        <v>0</v>
      </c>
      <c r="L973" s="17" t="n">
        <v>0</v>
      </c>
      <c r="M973" s="17" t="n">
        <v>0</v>
      </c>
      <c r="N973" s="17" t="n">
        <v>0</v>
      </c>
      <c r="O973" s="26" t="n">
        <v>1</v>
      </c>
      <c r="P973" s="3" t="inlineStr">
        <is>
          <t>legacy_company_gpu_mix_fallback</t>
        </is>
      </c>
      <c r="Q973" s="3" t="inlineStr">
        <is>
          <t>SRC_TENCENT_HUNYUAN; SRC_TENCENT_HY3; SRC_TENCENT_AI_INFRA_MOE</t>
        </is>
      </c>
      <c r="R973" s="3" t="inlineStr">
        <is>
          <t>No site-level chip type was available; prior company-level GPU/ASIC mix is retained as fallback.</t>
        </is>
      </c>
    </row>
    <row r="974">
      <c r="A974" s="3" t="inlineStr">
        <is>
          <t>Grid-Constrained / Efficiency-Upside|Legacy company envelope - Tencent|2027</t>
        </is>
      </c>
      <c r="B974" s="3" t="inlineStr">
        <is>
          <t>Grid-Constrained / Efficiency-Upside</t>
        </is>
      </c>
      <c r="C974" s="3" t="inlineStr">
        <is>
          <t>Legacy company envelope - Tencent</t>
        </is>
      </c>
      <c r="D974" s="3" t="n">
        <v>2027</v>
      </c>
      <c r="E974" s="3" t="inlineStr">
        <is>
          <t>Tencent</t>
        </is>
      </c>
      <c r="F974" s="17" t="n">
        <v>0.438</v>
      </c>
      <c r="G974" s="17" t="n">
        <v>0.388</v>
      </c>
      <c r="H974" s="17" t="n">
        <v>0.174</v>
      </c>
      <c r="I974" s="17" t="n">
        <v>0</v>
      </c>
      <c r="J974" s="17" t="n">
        <v>0</v>
      </c>
      <c r="K974" s="17" t="n">
        <v>0</v>
      </c>
      <c r="L974" s="17" t="n">
        <v>0</v>
      </c>
      <c r="M974" s="17" t="n">
        <v>0</v>
      </c>
      <c r="N974" s="17" t="n">
        <v>0</v>
      </c>
      <c r="O974" s="26" t="n">
        <v>1</v>
      </c>
      <c r="P974" s="3" t="inlineStr">
        <is>
          <t>legacy_company_gpu_mix_fallback</t>
        </is>
      </c>
      <c r="Q974" s="3" t="inlineStr">
        <is>
          <t>SRC_TENCENT_HUNYUAN; SRC_TENCENT_HY3; SRC_TENCENT_AI_INFRA_MOE</t>
        </is>
      </c>
      <c r="R974" s="3" t="inlineStr">
        <is>
          <t>No site-level chip type was available; prior company-level GPU/ASIC mix is retained as fallback.</t>
        </is>
      </c>
    </row>
    <row r="975">
      <c r="A975" s="3" t="inlineStr">
        <is>
          <t>Grid-Constrained / Efficiency-Upside|Legacy company envelope - Tencent|2028</t>
        </is>
      </c>
      <c r="B975" s="3" t="inlineStr">
        <is>
          <t>Grid-Constrained / Efficiency-Upside</t>
        </is>
      </c>
      <c r="C975" s="3" t="inlineStr">
        <is>
          <t>Legacy company envelope - Tencent</t>
        </is>
      </c>
      <c r="D975" s="3" t="n">
        <v>2028</v>
      </c>
      <c r="E975" s="3" t="inlineStr">
        <is>
          <t>Tencent</t>
        </is>
      </c>
      <c r="F975" s="17" t="n">
        <v>0.325</v>
      </c>
      <c r="G975" s="17" t="n">
        <v>0.375</v>
      </c>
      <c r="H975" s="17" t="n">
        <v>0.3</v>
      </c>
      <c r="I975" s="17" t="n">
        <v>0</v>
      </c>
      <c r="J975" s="17" t="n">
        <v>0</v>
      </c>
      <c r="K975" s="17" t="n">
        <v>0</v>
      </c>
      <c r="L975" s="17" t="n">
        <v>0</v>
      </c>
      <c r="M975" s="17" t="n">
        <v>0</v>
      </c>
      <c r="N975" s="17" t="n">
        <v>0</v>
      </c>
      <c r="O975" s="26" t="n">
        <v>1</v>
      </c>
      <c r="P975" s="3" t="inlineStr">
        <is>
          <t>legacy_company_gpu_mix_fallback</t>
        </is>
      </c>
      <c r="Q975" s="3" t="inlineStr">
        <is>
          <t>SRC_TENCENT_HUNYUAN; SRC_TENCENT_HY3; SRC_TENCENT_AI_INFRA_MOE</t>
        </is>
      </c>
      <c r="R975" s="3" t="inlineStr">
        <is>
          <t>No site-level chip type was available; prior company-level GPU/ASIC mix is retained as fallback.</t>
        </is>
      </c>
    </row>
    <row r="976">
      <c r="A976" s="3" t="inlineStr">
        <is>
          <t>Grid-Constrained / Efficiency-Upside|Legacy company envelope - Tencent|2029</t>
        </is>
      </c>
      <c r="B976" s="3" t="inlineStr">
        <is>
          <t>Grid-Constrained / Efficiency-Upside</t>
        </is>
      </c>
      <c r="C976" s="3" t="inlineStr">
        <is>
          <t>Legacy company envelope - Tencent</t>
        </is>
      </c>
      <c r="D976" s="3" t="n">
        <v>2029</v>
      </c>
      <c r="E976" s="3" t="inlineStr">
        <is>
          <t>Tencent</t>
        </is>
      </c>
      <c r="F976" s="17" t="n">
        <v>0.213</v>
      </c>
      <c r="G976" s="17" t="n">
        <v>0.362</v>
      </c>
      <c r="H976" s="17" t="n">
        <v>0.425</v>
      </c>
      <c r="I976" s="17" t="n">
        <v>0</v>
      </c>
      <c r="J976" s="17" t="n">
        <v>0</v>
      </c>
      <c r="K976" s="17" t="n">
        <v>0</v>
      </c>
      <c r="L976" s="17" t="n">
        <v>0</v>
      </c>
      <c r="M976" s="17" t="n">
        <v>0</v>
      </c>
      <c r="N976" s="17" t="n">
        <v>0</v>
      </c>
      <c r="O976" s="26" t="n">
        <v>1</v>
      </c>
      <c r="P976" s="3" t="inlineStr">
        <is>
          <t>legacy_company_gpu_mix_fallback</t>
        </is>
      </c>
      <c r="Q976" s="3" t="inlineStr">
        <is>
          <t>SRC_TENCENT_HUNYUAN; SRC_TENCENT_HY3; SRC_TENCENT_AI_INFRA_MOE</t>
        </is>
      </c>
      <c r="R976" s="3" t="inlineStr">
        <is>
          <t>No site-level chip type was available; prior company-level GPU/ASIC mix is retained as fallback.</t>
        </is>
      </c>
    </row>
    <row r="977">
      <c r="A977" s="3" t="inlineStr">
        <is>
          <t>Grid-Constrained / Efficiency-Upside|Legacy company envelope - Tencent|2030</t>
        </is>
      </c>
      <c r="B977" s="3" t="inlineStr">
        <is>
          <t>Grid-Constrained / Efficiency-Upside</t>
        </is>
      </c>
      <c r="C977" s="3" t="inlineStr">
        <is>
          <t>Legacy company envelope - Tencent</t>
        </is>
      </c>
      <c r="D977" s="3" t="n">
        <v>2030</v>
      </c>
      <c r="E977" s="3" t="inlineStr">
        <is>
          <t>Tencent</t>
        </is>
      </c>
      <c r="F977" s="17" t="n">
        <v>0.1</v>
      </c>
      <c r="G977" s="17" t="n">
        <v>0.35</v>
      </c>
      <c r="H977" s="17" t="n">
        <v>0.55</v>
      </c>
      <c r="I977" s="17" t="n">
        <v>0</v>
      </c>
      <c r="J977" s="17" t="n">
        <v>0</v>
      </c>
      <c r="K977" s="17" t="n">
        <v>0</v>
      </c>
      <c r="L977" s="17" t="n">
        <v>0</v>
      </c>
      <c r="M977" s="17" t="n">
        <v>0</v>
      </c>
      <c r="N977" s="17" t="n">
        <v>0</v>
      </c>
      <c r="O977" s="26" t="n">
        <v>1</v>
      </c>
      <c r="P977" s="3" t="inlineStr">
        <is>
          <t>legacy_company_gpu_mix_fallback</t>
        </is>
      </c>
      <c r="Q977" s="3" t="inlineStr">
        <is>
          <t>SRC_TENCENT_HUNYUAN; SRC_TENCENT_HY3; SRC_TENCENT_AI_INFRA_MOE</t>
        </is>
      </c>
      <c r="R977" s="3" t="inlineStr">
        <is>
          <t>No site-level chip type was available; prior company-level GPU/ASIC mix is retained as fallback.</t>
        </is>
      </c>
    </row>
  </sheetData>
  <autoFilter ref="A1:R97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2" customWidth="1" min="2" max="2"/>
    <col width="32" customWidth="1" min="3" max="3"/>
    <col width="32" customWidth="1" min="4" max="4"/>
    <col width="34" customWidth="1" min="5" max="5"/>
    <col width="32" customWidth="1" min="6" max="6"/>
    <col width="28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  <col width="38" customWidth="1" min="13" max="13"/>
    <col width="38" customWidth="1" min="14" max="14"/>
    <col width="38" customWidth="1" min="15" max="15"/>
    <col width="38" customWidth="1" min="16" max="16"/>
    <col width="38" customWidth="1" min="17" max="17"/>
    <col width="25" customWidth="1" min="18" max="18"/>
    <col width="25" customWidth="1" min="19" max="19"/>
    <col width="26" customWidth="1" min="20" max="20"/>
    <col width="22" customWidth="1" min="21" max="21"/>
    <col width="14" customWidth="1" min="22" max="22"/>
    <col width="19" customWidth="1" min="23" max="23"/>
    <col width="15" customWidth="1" min="24" max="24"/>
    <col width="15" customWidth="1" min="25" max="25"/>
    <col width="16" customWidth="1" min="26" max="26"/>
    <col width="35" customWidth="1" min="27" max="27"/>
    <col width="38" customWidth="1" min="28" max="28"/>
  </cols>
  <sheetData>
    <row r="1">
      <c r="A1" s="4" t="inlineStr">
        <is>
          <t>bridge_key</t>
        </is>
      </c>
      <c r="B1" s="4" t="inlineStr">
        <is>
          <t>scenario</t>
        </is>
      </c>
      <c r="C1" s="4" t="inlineStr">
        <is>
          <t>company</t>
        </is>
      </c>
      <c r="D1" s="4" t="inlineStr">
        <is>
          <t>year</t>
        </is>
      </c>
      <c r="E1" s="4" t="inlineStr">
        <is>
          <t>data_center</t>
        </is>
      </c>
      <c r="F1" s="4" t="inlineStr">
        <is>
          <t>owner</t>
        </is>
      </c>
      <c r="G1" s="4" t="inlineStr">
        <is>
          <t>mix_key</t>
        </is>
      </c>
      <c r="H1" s="4" t="inlineStr">
        <is>
          <t>inference_weight_mw</t>
        </is>
      </c>
      <c r="I1" s="4" t="inlineStr">
        <is>
          <t>h200_reference_share</t>
        </is>
      </c>
      <c r="J1" s="4" t="inlineStr">
        <is>
          <t>b200_reference_share</t>
        </is>
      </c>
      <c r="K1" s="4" t="inlineStr">
        <is>
          <t>gb200_reference_share</t>
        </is>
      </c>
      <c r="L1" s="4" t="inlineStr">
        <is>
          <t>r200_future_share</t>
        </is>
      </c>
      <c r="M1" s="4" t="inlineStr">
        <is>
          <t>tpu_share</t>
        </is>
      </c>
      <c r="N1" s="4" t="inlineStr">
        <is>
          <t>trainium_share</t>
        </is>
      </c>
      <c r="O1" s="4" t="inlineStr">
        <is>
          <t>maia_share</t>
        </is>
      </c>
      <c r="P1" s="4" t="inlineStr">
        <is>
          <t>mtia_share</t>
        </is>
      </c>
      <c r="Q1" s="4" t="inlineStr">
        <is>
          <t>other_share</t>
        </is>
      </c>
      <c r="R1" s="4" t="inlineStr">
        <is>
          <t>weighted_h200_reference</t>
        </is>
      </c>
      <c r="S1" s="4" t="inlineStr">
        <is>
          <t>weighted_b200_reference</t>
        </is>
      </c>
      <c r="T1" s="4" t="inlineStr">
        <is>
          <t>weighted_gb200_reference</t>
        </is>
      </c>
      <c r="U1" s="4" t="inlineStr">
        <is>
          <t>weighted_r200_future</t>
        </is>
      </c>
      <c r="V1" s="4" t="inlineStr">
        <is>
          <t>weighted_tpu</t>
        </is>
      </c>
      <c r="W1" s="4" t="inlineStr">
        <is>
          <t>weighted_trainium</t>
        </is>
      </c>
      <c r="X1" s="4" t="inlineStr">
        <is>
          <t>weighted_maia</t>
        </is>
      </c>
      <c r="Y1" s="4" t="inlineStr">
        <is>
          <t>weighted_mtia</t>
        </is>
      </c>
      <c r="Z1" s="4" t="inlineStr">
        <is>
          <t>weighted_other</t>
        </is>
      </c>
      <c r="AA1" s="4" t="inlineStr">
        <is>
          <t>weighted_purpose_or_unbenchmarked</t>
        </is>
      </c>
      <c r="AB1" s="4" t="inlineStr">
        <is>
          <t>mix_lookup_status</t>
        </is>
      </c>
    </row>
    <row r="2">
      <c r="A2" s="5">
        <f>'02a_DC_Capacity_Alloc'!A2</f>
        <v/>
      </c>
      <c r="B2" s="5">
        <f>'02a_DC_Capacity_Alloc'!B2</f>
        <v/>
      </c>
      <c r="C2" s="5">
        <f>'02a_DC_Capacity_Alloc'!C2</f>
        <v/>
      </c>
      <c r="D2" s="5">
        <f>'02a_DC_Capacity_Alloc'!D2</f>
        <v/>
      </c>
      <c r="E2" s="5">
        <f>'02a_DC_Capacity_Alloc'!E2</f>
        <v/>
      </c>
      <c r="F2" s="5">
        <f>'02a_DC_Capacity_Alloc'!F2</f>
        <v/>
      </c>
      <c r="G2" s="5">
        <f>B2&amp;"|"&amp;E2&amp;"|"&amp;D2</f>
        <v/>
      </c>
      <c r="H2" s="28">
        <f>'02a_DC_Capacity_Alloc'!H2*'02a_DC_Capacity_Alloc'!I2*'02a_DC_Capacity_Alloc'!J2</f>
        <v/>
      </c>
      <c r="I2" s="6">
        <f>IFERROR(INDEX('02b_DC_Accelerator_Mix'!$F$2:$F$977,MATCH(G2,'02b_DC_Accelerator_Mix'!$A$2:$A$977,0)),0)</f>
        <v/>
      </c>
      <c r="J2" s="6">
        <f>IFERROR(INDEX('02b_DC_Accelerator_Mix'!$G$2:$G$977,MATCH(G2,'02b_DC_Accelerator_Mix'!$A$2:$A$977,0)),0)</f>
        <v/>
      </c>
      <c r="K2" s="6">
        <f>IFERROR(INDEX('02b_DC_Accelerator_Mix'!$H$2:$H$977,MATCH(G2,'02b_DC_Accelerator_Mix'!$A$2:$A$977,0)),0)</f>
        <v/>
      </c>
      <c r="L2" s="6">
        <f>IFERROR(INDEX('02b_DC_Accelerator_Mix'!$I$2:$I$977,MATCH(G2,'02b_DC_Accelerator_Mix'!$A$2:$A$977,0)),0)</f>
        <v/>
      </c>
      <c r="M2" s="6">
        <f>IFERROR(INDEX('02b_DC_Accelerator_Mix'!$J$2:$J$977,MATCH(G2,'02b_DC_Accelerator_Mix'!$A$2:$A$977,0)),0)</f>
        <v/>
      </c>
      <c r="N2" s="6">
        <f>IFERROR(INDEX('02b_DC_Accelerator_Mix'!$K$2:$K$977,MATCH(G2,'02b_DC_Accelerator_Mix'!$A$2:$A$977,0)),0)</f>
        <v/>
      </c>
      <c r="O2" s="6">
        <f>IFERROR(INDEX('02b_DC_Accelerator_Mix'!$L$2:$L$977,MATCH(G2,'02b_DC_Accelerator_Mix'!$A$2:$A$977,0)),0)</f>
        <v/>
      </c>
      <c r="P2" s="6">
        <f>IFERROR(INDEX('02b_DC_Accelerator_Mix'!$M$2:$M$977,MATCH(G2,'02b_DC_Accelerator_Mix'!$A$2:$A$977,0)),0)</f>
        <v/>
      </c>
      <c r="Q2" s="6">
        <f>IFERROR(INDEX('02b_DC_Accelerator_Mix'!$N$2:$N$977,MATCH(G2,'02b_DC_Accelerator_Mix'!$A$2:$A$977,0)),0)</f>
        <v/>
      </c>
      <c r="R2" s="28">
        <f>H2*I2</f>
        <v/>
      </c>
      <c r="S2" s="28">
        <f>H2*J2</f>
        <v/>
      </c>
      <c r="T2" s="28">
        <f>H2*K2</f>
        <v/>
      </c>
      <c r="U2" s="28">
        <f>H2*L2</f>
        <v/>
      </c>
      <c r="V2" s="28">
        <f>H2*M2</f>
        <v/>
      </c>
      <c r="W2" s="28">
        <f>H2*N2</f>
        <v/>
      </c>
      <c r="X2" s="28">
        <f>H2*O2</f>
        <v/>
      </c>
      <c r="Y2" s="28">
        <f>H2*P2</f>
        <v/>
      </c>
      <c r="Z2" s="28">
        <f>H2*Q2</f>
        <v/>
      </c>
      <c r="AA2" s="28">
        <f>SUM(U2:Z2)</f>
        <v/>
      </c>
      <c r="AB2" s="5">
        <f>IF(COUNTIF('02b_DC_Accelerator_Mix'!$A$2:$A$977,G2)&gt;0,"matched","missing_mix")</f>
        <v/>
      </c>
    </row>
    <row r="3">
      <c r="A3" s="5">
        <f>'02a_DC_Capacity_Alloc'!A3</f>
        <v/>
      </c>
      <c r="B3" s="5">
        <f>'02a_DC_Capacity_Alloc'!B3</f>
        <v/>
      </c>
      <c r="C3" s="5">
        <f>'02a_DC_Capacity_Alloc'!C3</f>
        <v/>
      </c>
      <c r="D3" s="5">
        <f>'02a_DC_Capacity_Alloc'!D3</f>
        <v/>
      </c>
      <c r="E3" s="5">
        <f>'02a_DC_Capacity_Alloc'!E3</f>
        <v/>
      </c>
      <c r="F3" s="5">
        <f>'02a_DC_Capacity_Alloc'!F3</f>
        <v/>
      </c>
      <c r="G3" s="5">
        <f>B3&amp;"|"&amp;E3&amp;"|"&amp;D3</f>
        <v/>
      </c>
      <c r="H3" s="28">
        <f>'02a_DC_Capacity_Alloc'!H3*'02a_DC_Capacity_Alloc'!I3*'02a_DC_Capacity_Alloc'!J3</f>
        <v/>
      </c>
      <c r="I3" s="6">
        <f>IFERROR(INDEX('02b_DC_Accelerator_Mix'!$F$2:$F$977,MATCH(G3,'02b_DC_Accelerator_Mix'!$A$2:$A$977,0)),0)</f>
        <v/>
      </c>
      <c r="J3" s="6">
        <f>IFERROR(INDEX('02b_DC_Accelerator_Mix'!$G$2:$G$977,MATCH(G3,'02b_DC_Accelerator_Mix'!$A$2:$A$977,0)),0)</f>
        <v/>
      </c>
      <c r="K3" s="6">
        <f>IFERROR(INDEX('02b_DC_Accelerator_Mix'!$H$2:$H$977,MATCH(G3,'02b_DC_Accelerator_Mix'!$A$2:$A$977,0)),0)</f>
        <v/>
      </c>
      <c r="L3" s="6">
        <f>IFERROR(INDEX('02b_DC_Accelerator_Mix'!$I$2:$I$977,MATCH(G3,'02b_DC_Accelerator_Mix'!$A$2:$A$977,0)),0)</f>
        <v/>
      </c>
      <c r="M3" s="6">
        <f>IFERROR(INDEX('02b_DC_Accelerator_Mix'!$J$2:$J$977,MATCH(G3,'02b_DC_Accelerator_Mix'!$A$2:$A$977,0)),0)</f>
        <v/>
      </c>
      <c r="N3" s="6">
        <f>IFERROR(INDEX('02b_DC_Accelerator_Mix'!$K$2:$K$977,MATCH(G3,'02b_DC_Accelerator_Mix'!$A$2:$A$977,0)),0)</f>
        <v/>
      </c>
      <c r="O3" s="6">
        <f>IFERROR(INDEX('02b_DC_Accelerator_Mix'!$L$2:$L$977,MATCH(G3,'02b_DC_Accelerator_Mix'!$A$2:$A$977,0)),0)</f>
        <v/>
      </c>
      <c r="P3" s="6">
        <f>IFERROR(INDEX('02b_DC_Accelerator_Mix'!$M$2:$M$977,MATCH(G3,'02b_DC_Accelerator_Mix'!$A$2:$A$977,0)),0)</f>
        <v/>
      </c>
      <c r="Q3" s="6">
        <f>IFERROR(INDEX('02b_DC_Accelerator_Mix'!$N$2:$N$977,MATCH(G3,'02b_DC_Accelerator_Mix'!$A$2:$A$977,0)),0)</f>
        <v/>
      </c>
      <c r="R3" s="28">
        <f>H3*I3</f>
        <v/>
      </c>
      <c r="S3" s="28">
        <f>H3*J3</f>
        <v/>
      </c>
      <c r="T3" s="28">
        <f>H3*K3</f>
        <v/>
      </c>
      <c r="U3" s="28">
        <f>H3*L3</f>
        <v/>
      </c>
      <c r="V3" s="28">
        <f>H3*M3</f>
        <v/>
      </c>
      <c r="W3" s="28">
        <f>H3*N3</f>
        <v/>
      </c>
      <c r="X3" s="28">
        <f>H3*O3</f>
        <v/>
      </c>
      <c r="Y3" s="28">
        <f>H3*P3</f>
        <v/>
      </c>
      <c r="Z3" s="28">
        <f>H3*Q3</f>
        <v/>
      </c>
      <c r="AA3" s="28">
        <f>SUM(U3:Z3)</f>
        <v/>
      </c>
      <c r="AB3" s="5">
        <f>IF(COUNTIF('02b_DC_Accelerator_Mix'!$A$2:$A$977,G3)&gt;0,"matched","missing_mix")</f>
        <v/>
      </c>
    </row>
    <row r="4">
      <c r="A4" s="5">
        <f>'02a_DC_Capacity_Alloc'!A4</f>
        <v/>
      </c>
      <c r="B4" s="5">
        <f>'02a_DC_Capacity_Alloc'!B4</f>
        <v/>
      </c>
      <c r="C4" s="5">
        <f>'02a_DC_Capacity_Alloc'!C4</f>
        <v/>
      </c>
      <c r="D4" s="5">
        <f>'02a_DC_Capacity_Alloc'!D4</f>
        <v/>
      </c>
      <c r="E4" s="5">
        <f>'02a_DC_Capacity_Alloc'!E4</f>
        <v/>
      </c>
      <c r="F4" s="5">
        <f>'02a_DC_Capacity_Alloc'!F4</f>
        <v/>
      </c>
      <c r="G4" s="5">
        <f>B4&amp;"|"&amp;E4&amp;"|"&amp;D4</f>
        <v/>
      </c>
      <c r="H4" s="28">
        <f>'02a_DC_Capacity_Alloc'!H4*'02a_DC_Capacity_Alloc'!I4*'02a_DC_Capacity_Alloc'!J4</f>
        <v/>
      </c>
      <c r="I4" s="6">
        <f>IFERROR(INDEX('02b_DC_Accelerator_Mix'!$F$2:$F$977,MATCH(G4,'02b_DC_Accelerator_Mix'!$A$2:$A$977,0)),0)</f>
        <v/>
      </c>
      <c r="J4" s="6">
        <f>IFERROR(INDEX('02b_DC_Accelerator_Mix'!$G$2:$G$977,MATCH(G4,'02b_DC_Accelerator_Mix'!$A$2:$A$977,0)),0)</f>
        <v/>
      </c>
      <c r="K4" s="6">
        <f>IFERROR(INDEX('02b_DC_Accelerator_Mix'!$H$2:$H$977,MATCH(G4,'02b_DC_Accelerator_Mix'!$A$2:$A$977,0)),0)</f>
        <v/>
      </c>
      <c r="L4" s="6">
        <f>IFERROR(INDEX('02b_DC_Accelerator_Mix'!$I$2:$I$977,MATCH(G4,'02b_DC_Accelerator_Mix'!$A$2:$A$977,0)),0)</f>
        <v/>
      </c>
      <c r="M4" s="6">
        <f>IFERROR(INDEX('02b_DC_Accelerator_Mix'!$J$2:$J$977,MATCH(G4,'02b_DC_Accelerator_Mix'!$A$2:$A$977,0)),0)</f>
        <v/>
      </c>
      <c r="N4" s="6">
        <f>IFERROR(INDEX('02b_DC_Accelerator_Mix'!$K$2:$K$977,MATCH(G4,'02b_DC_Accelerator_Mix'!$A$2:$A$977,0)),0)</f>
        <v/>
      </c>
      <c r="O4" s="6">
        <f>IFERROR(INDEX('02b_DC_Accelerator_Mix'!$L$2:$L$977,MATCH(G4,'02b_DC_Accelerator_Mix'!$A$2:$A$977,0)),0)</f>
        <v/>
      </c>
      <c r="P4" s="6">
        <f>IFERROR(INDEX('02b_DC_Accelerator_Mix'!$M$2:$M$977,MATCH(G4,'02b_DC_Accelerator_Mix'!$A$2:$A$977,0)),0)</f>
        <v/>
      </c>
      <c r="Q4" s="6">
        <f>IFERROR(INDEX('02b_DC_Accelerator_Mix'!$N$2:$N$977,MATCH(G4,'02b_DC_Accelerator_Mix'!$A$2:$A$977,0)),0)</f>
        <v/>
      </c>
      <c r="R4" s="28">
        <f>H4*I4</f>
        <v/>
      </c>
      <c r="S4" s="28">
        <f>H4*J4</f>
        <v/>
      </c>
      <c r="T4" s="28">
        <f>H4*K4</f>
        <v/>
      </c>
      <c r="U4" s="28">
        <f>H4*L4</f>
        <v/>
      </c>
      <c r="V4" s="28">
        <f>H4*M4</f>
        <v/>
      </c>
      <c r="W4" s="28">
        <f>H4*N4</f>
        <v/>
      </c>
      <c r="X4" s="28">
        <f>H4*O4</f>
        <v/>
      </c>
      <c r="Y4" s="28">
        <f>H4*P4</f>
        <v/>
      </c>
      <c r="Z4" s="28">
        <f>H4*Q4</f>
        <v/>
      </c>
      <c r="AA4" s="28">
        <f>SUM(U4:Z4)</f>
        <v/>
      </c>
      <c r="AB4" s="5">
        <f>IF(COUNTIF('02b_DC_Accelerator_Mix'!$A$2:$A$977,G4)&gt;0,"matched","missing_mix")</f>
        <v/>
      </c>
    </row>
    <row r="5">
      <c r="A5" s="5">
        <f>'02a_DC_Capacity_Alloc'!A5</f>
        <v/>
      </c>
      <c r="B5" s="5">
        <f>'02a_DC_Capacity_Alloc'!B5</f>
        <v/>
      </c>
      <c r="C5" s="5">
        <f>'02a_DC_Capacity_Alloc'!C5</f>
        <v/>
      </c>
      <c r="D5" s="5">
        <f>'02a_DC_Capacity_Alloc'!D5</f>
        <v/>
      </c>
      <c r="E5" s="5">
        <f>'02a_DC_Capacity_Alloc'!E5</f>
        <v/>
      </c>
      <c r="F5" s="5">
        <f>'02a_DC_Capacity_Alloc'!F5</f>
        <v/>
      </c>
      <c r="G5" s="5">
        <f>B5&amp;"|"&amp;E5&amp;"|"&amp;D5</f>
        <v/>
      </c>
      <c r="H5" s="28">
        <f>'02a_DC_Capacity_Alloc'!H5*'02a_DC_Capacity_Alloc'!I5*'02a_DC_Capacity_Alloc'!J5</f>
        <v/>
      </c>
      <c r="I5" s="6">
        <f>IFERROR(INDEX('02b_DC_Accelerator_Mix'!$F$2:$F$977,MATCH(G5,'02b_DC_Accelerator_Mix'!$A$2:$A$977,0)),0)</f>
        <v/>
      </c>
      <c r="J5" s="6">
        <f>IFERROR(INDEX('02b_DC_Accelerator_Mix'!$G$2:$G$977,MATCH(G5,'02b_DC_Accelerator_Mix'!$A$2:$A$977,0)),0)</f>
        <v/>
      </c>
      <c r="K5" s="6">
        <f>IFERROR(INDEX('02b_DC_Accelerator_Mix'!$H$2:$H$977,MATCH(G5,'02b_DC_Accelerator_Mix'!$A$2:$A$977,0)),0)</f>
        <v/>
      </c>
      <c r="L5" s="6">
        <f>IFERROR(INDEX('02b_DC_Accelerator_Mix'!$I$2:$I$977,MATCH(G5,'02b_DC_Accelerator_Mix'!$A$2:$A$977,0)),0)</f>
        <v/>
      </c>
      <c r="M5" s="6">
        <f>IFERROR(INDEX('02b_DC_Accelerator_Mix'!$J$2:$J$977,MATCH(G5,'02b_DC_Accelerator_Mix'!$A$2:$A$977,0)),0)</f>
        <v/>
      </c>
      <c r="N5" s="6">
        <f>IFERROR(INDEX('02b_DC_Accelerator_Mix'!$K$2:$K$977,MATCH(G5,'02b_DC_Accelerator_Mix'!$A$2:$A$977,0)),0)</f>
        <v/>
      </c>
      <c r="O5" s="6">
        <f>IFERROR(INDEX('02b_DC_Accelerator_Mix'!$L$2:$L$977,MATCH(G5,'02b_DC_Accelerator_Mix'!$A$2:$A$977,0)),0)</f>
        <v/>
      </c>
      <c r="P5" s="6">
        <f>IFERROR(INDEX('02b_DC_Accelerator_Mix'!$M$2:$M$977,MATCH(G5,'02b_DC_Accelerator_Mix'!$A$2:$A$977,0)),0)</f>
        <v/>
      </c>
      <c r="Q5" s="6">
        <f>IFERROR(INDEX('02b_DC_Accelerator_Mix'!$N$2:$N$977,MATCH(G5,'02b_DC_Accelerator_Mix'!$A$2:$A$977,0)),0)</f>
        <v/>
      </c>
      <c r="R5" s="28">
        <f>H5*I5</f>
        <v/>
      </c>
      <c r="S5" s="28">
        <f>H5*J5</f>
        <v/>
      </c>
      <c r="T5" s="28">
        <f>H5*K5</f>
        <v/>
      </c>
      <c r="U5" s="28">
        <f>H5*L5</f>
        <v/>
      </c>
      <c r="V5" s="28">
        <f>H5*M5</f>
        <v/>
      </c>
      <c r="W5" s="28">
        <f>H5*N5</f>
        <v/>
      </c>
      <c r="X5" s="28">
        <f>H5*O5</f>
        <v/>
      </c>
      <c r="Y5" s="28">
        <f>H5*P5</f>
        <v/>
      </c>
      <c r="Z5" s="28">
        <f>H5*Q5</f>
        <v/>
      </c>
      <c r="AA5" s="28">
        <f>SUM(U5:Z5)</f>
        <v/>
      </c>
      <c r="AB5" s="5">
        <f>IF(COUNTIF('02b_DC_Accelerator_Mix'!$A$2:$A$977,G5)&gt;0,"matched","missing_mix")</f>
        <v/>
      </c>
    </row>
    <row r="6">
      <c r="A6" s="5">
        <f>'02a_DC_Capacity_Alloc'!A6</f>
        <v/>
      </c>
      <c r="B6" s="5">
        <f>'02a_DC_Capacity_Alloc'!B6</f>
        <v/>
      </c>
      <c r="C6" s="5">
        <f>'02a_DC_Capacity_Alloc'!C6</f>
        <v/>
      </c>
      <c r="D6" s="5">
        <f>'02a_DC_Capacity_Alloc'!D6</f>
        <v/>
      </c>
      <c r="E6" s="5">
        <f>'02a_DC_Capacity_Alloc'!E6</f>
        <v/>
      </c>
      <c r="F6" s="5">
        <f>'02a_DC_Capacity_Alloc'!F6</f>
        <v/>
      </c>
      <c r="G6" s="5">
        <f>B6&amp;"|"&amp;E6&amp;"|"&amp;D6</f>
        <v/>
      </c>
      <c r="H6" s="28">
        <f>'02a_DC_Capacity_Alloc'!H6*'02a_DC_Capacity_Alloc'!I6*'02a_DC_Capacity_Alloc'!J6</f>
        <v/>
      </c>
      <c r="I6" s="6">
        <f>IFERROR(INDEX('02b_DC_Accelerator_Mix'!$F$2:$F$977,MATCH(G6,'02b_DC_Accelerator_Mix'!$A$2:$A$977,0)),0)</f>
        <v/>
      </c>
      <c r="J6" s="6">
        <f>IFERROR(INDEX('02b_DC_Accelerator_Mix'!$G$2:$G$977,MATCH(G6,'02b_DC_Accelerator_Mix'!$A$2:$A$977,0)),0)</f>
        <v/>
      </c>
      <c r="K6" s="6">
        <f>IFERROR(INDEX('02b_DC_Accelerator_Mix'!$H$2:$H$977,MATCH(G6,'02b_DC_Accelerator_Mix'!$A$2:$A$977,0)),0)</f>
        <v/>
      </c>
      <c r="L6" s="6">
        <f>IFERROR(INDEX('02b_DC_Accelerator_Mix'!$I$2:$I$977,MATCH(G6,'02b_DC_Accelerator_Mix'!$A$2:$A$977,0)),0)</f>
        <v/>
      </c>
      <c r="M6" s="6">
        <f>IFERROR(INDEX('02b_DC_Accelerator_Mix'!$J$2:$J$977,MATCH(G6,'02b_DC_Accelerator_Mix'!$A$2:$A$977,0)),0)</f>
        <v/>
      </c>
      <c r="N6" s="6">
        <f>IFERROR(INDEX('02b_DC_Accelerator_Mix'!$K$2:$K$977,MATCH(G6,'02b_DC_Accelerator_Mix'!$A$2:$A$977,0)),0)</f>
        <v/>
      </c>
      <c r="O6" s="6">
        <f>IFERROR(INDEX('02b_DC_Accelerator_Mix'!$L$2:$L$977,MATCH(G6,'02b_DC_Accelerator_Mix'!$A$2:$A$977,0)),0)</f>
        <v/>
      </c>
      <c r="P6" s="6">
        <f>IFERROR(INDEX('02b_DC_Accelerator_Mix'!$M$2:$M$977,MATCH(G6,'02b_DC_Accelerator_Mix'!$A$2:$A$977,0)),0)</f>
        <v/>
      </c>
      <c r="Q6" s="6">
        <f>IFERROR(INDEX('02b_DC_Accelerator_Mix'!$N$2:$N$977,MATCH(G6,'02b_DC_Accelerator_Mix'!$A$2:$A$977,0)),0)</f>
        <v/>
      </c>
      <c r="R6" s="28">
        <f>H6*I6</f>
        <v/>
      </c>
      <c r="S6" s="28">
        <f>H6*J6</f>
        <v/>
      </c>
      <c r="T6" s="28">
        <f>H6*K6</f>
        <v/>
      </c>
      <c r="U6" s="28">
        <f>H6*L6</f>
        <v/>
      </c>
      <c r="V6" s="28">
        <f>H6*M6</f>
        <v/>
      </c>
      <c r="W6" s="28">
        <f>H6*N6</f>
        <v/>
      </c>
      <c r="X6" s="28">
        <f>H6*O6</f>
        <v/>
      </c>
      <c r="Y6" s="28">
        <f>H6*P6</f>
        <v/>
      </c>
      <c r="Z6" s="28">
        <f>H6*Q6</f>
        <v/>
      </c>
      <c r="AA6" s="28">
        <f>SUM(U6:Z6)</f>
        <v/>
      </c>
      <c r="AB6" s="5">
        <f>IF(COUNTIF('02b_DC_Accelerator_Mix'!$A$2:$A$977,G6)&gt;0,"matched","missing_mix")</f>
        <v/>
      </c>
    </row>
    <row r="7">
      <c r="A7" s="5">
        <f>'02a_DC_Capacity_Alloc'!A7</f>
        <v/>
      </c>
      <c r="B7" s="5">
        <f>'02a_DC_Capacity_Alloc'!B7</f>
        <v/>
      </c>
      <c r="C7" s="5">
        <f>'02a_DC_Capacity_Alloc'!C7</f>
        <v/>
      </c>
      <c r="D7" s="5">
        <f>'02a_DC_Capacity_Alloc'!D7</f>
        <v/>
      </c>
      <c r="E7" s="5">
        <f>'02a_DC_Capacity_Alloc'!E7</f>
        <v/>
      </c>
      <c r="F7" s="5">
        <f>'02a_DC_Capacity_Alloc'!F7</f>
        <v/>
      </c>
      <c r="G7" s="5">
        <f>B7&amp;"|"&amp;E7&amp;"|"&amp;D7</f>
        <v/>
      </c>
      <c r="H7" s="28">
        <f>'02a_DC_Capacity_Alloc'!H7*'02a_DC_Capacity_Alloc'!I7*'02a_DC_Capacity_Alloc'!J7</f>
        <v/>
      </c>
      <c r="I7" s="6">
        <f>IFERROR(INDEX('02b_DC_Accelerator_Mix'!$F$2:$F$977,MATCH(G7,'02b_DC_Accelerator_Mix'!$A$2:$A$977,0)),0)</f>
        <v/>
      </c>
      <c r="J7" s="6">
        <f>IFERROR(INDEX('02b_DC_Accelerator_Mix'!$G$2:$G$977,MATCH(G7,'02b_DC_Accelerator_Mix'!$A$2:$A$977,0)),0)</f>
        <v/>
      </c>
      <c r="K7" s="6">
        <f>IFERROR(INDEX('02b_DC_Accelerator_Mix'!$H$2:$H$977,MATCH(G7,'02b_DC_Accelerator_Mix'!$A$2:$A$977,0)),0)</f>
        <v/>
      </c>
      <c r="L7" s="6">
        <f>IFERROR(INDEX('02b_DC_Accelerator_Mix'!$I$2:$I$977,MATCH(G7,'02b_DC_Accelerator_Mix'!$A$2:$A$977,0)),0)</f>
        <v/>
      </c>
      <c r="M7" s="6">
        <f>IFERROR(INDEX('02b_DC_Accelerator_Mix'!$J$2:$J$977,MATCH(G7,'02b_DC_Accelerator_Mix'!$A$2:$A$977,0)),0)</f>
        <v/>
      </c>
      <c r="N7" s="6">
        <f>IFERROR(INDEX('02b_DC_Accelerator_Mix'!$K$2:$K$977,MATCH(G7,'02b_DC_Accelerator_Mix'!$A$2:$A$977,0)),0)</f>
        <v/>
      </c>
      <c r="O7" s="6">
        <f>IFERROR(INDEX('02b_DC_Accelerator_Mix'!$L$2:$L$977,MATCH(G7,'02b_DC_Accelerator_Mix'!$A$2:$A$977,0)),0)</f>
        <v/>
      </c>
      <c r="P7" s="6">
        <f>IFERROR(INDEX('02b_DC_Accelerator_Mix'!$M$2:$M$977,MATCH(G7,'02b_DC_Accelerator_Mix'!$A$2:$A$977,0)),0)</f>
        <v/>
      </c>
      <c r="Q7" s="6">
        <f>IFERROR(INDEX('02b_DC_Accelerator_Mix'!$N$2:$N$977,MATCH(G7,'02b_DC_Accelerator_Mix'!$A$2:$A$977,0)),0)</f>
        <v/>
      </c>
      <c r="R7" s="28">
        <f>H7*I7</f>
        <v/>
      </c>
      <c r="S7" s="28">
        <f>H7*J7</f>
        <v/>
      </c>
      <c r="T7" s="28">
        <f>H7*K7</f>
        <v/>
      </c>
      <c r="U7" s="28">
        <f>H7*L7</f>
        <v/>
      </c>
      <c r="V7" s="28">
        <f>H7*M7</f>
        <v/>
      </c>
      <c r="W7" s="28">
        <f>H7*N7</f>
        <v/>
      </c>
      <c r="X7" s="28">
        <f>H7*O7</f>
        <v/>
      </c>
      <c r="Y7" s="28">
        <f>H7*P7</f>
        <v/>
      </c>
      <c r="Z7" s="28">
        <f>H7*Q7</f>
        <v/>
      </c>
      <c r="AA7" s="28">
        <f>SUM(U7:Z7)</f>
        <v/>
      </c>
      <c r="AB7" s="5">
        <f>IF(COUNTIF('02b_DC_Accelerator_Mix'!$A$2:$A$977,G7)&gt;0,"matched","missing_mix")</f>
        <v/>
      </c>
    </row>
    <row r="8">
      <c r="A8" s="5">
        <f>'02a_DC_Capacity_Alloc'!A8</f>
        <v/>
      </c>
      <c r="B8" s="5">
        <f>'02a_DC_Capacity_Alloc'!B8</f>
        <v/>
      </c>
      <c r="C8" s="5">
        <f>'02a_DC_Capacity_Alloc'!C8</f>
        <v/>
      </c>
      <c r="D8" s="5">
        <f>'02a_DC_Capacity_Alloc'!D8</f>
        <v/>
      </c>
      <c r="E8" s="5">
        <f>'02a_DC_Capacity_Alloc'!E8</f>
        <v/>
      </c>
      <c r="F8" s="5">
        <f>'02a_DC_Capacity_Alloc'!F8</f>
        <v/>
      </c>
      <c r="G8" s="5">
        <f>B8&amp;"|"&amp;E8&amp;"|"&amp;D8</f>
        <v/>
      </c>
      <c r="H8" s="28">
        <f>'02a_DC_Capacity_Alloc'!H8*'02a_DC_Capacity_Alloc'!I8*'02a_DC_Capacity_Alloc'!J8</f>
        <v/>
      </c>
      <c r="I8" s="6">
        <f>IFERROR(INDEX('02b_DC_Accelerator_Mix'!$F$2:$F$977,MATCH(G8,'02b_DC_Accelerator_Mix'!$A$2:$A$977,0)),0)</f>
        <v/>
      </c>
      <c r="J8" s="6">
        <f>IFERROR(INDEX('02b_DC_Accelerator_Mix'!$G$2:$G$977,MATCH(G8,'02b_DC_Accelerator_Mix'!$A$2:$A$977,0)),0)</f>
        <v/>
      </c>
      <c r="K8" s="6">
        <f>IFERROR(INDEX('02b_DC_Accelerator_Mix'!$H$2:$H$977,MATCH(G8,'02b_DC_Accelerator_Mix'!$A$2:$A$977,0)),0)</f>
        <v/>
      </c>
      <c r="L8" s="6">
        <f>IFERROR(INDEX('02b_DC_Accelerator_Mix'!$I$2:$I$977,MATCH(G8,'02b_DC_Accelerator_Mix'!$A$2:$A$977,0)),0)</f>
        <v/>
      </c>
      <c r="M8" s="6">
        <f>IFERROR(INDEX('02b_DC_Accelerator_Mix'!$J$2:$J$977,MATCH(G8,'02b_DC_Accelerator_Mix'!$A$2:$A$977,0)),0)</f>
        <v/>
      </c>
      <c r="N8" s="6">
        <f>IFERROR(INDEX('02b_DC_Accelerator_Mix'!$K$2:$K$977,MATCH(G8,'02b_DC_Accelerator_Mix'!$A$2:$A$977,0)),0)</f>
        <v/>
      </c>
      <c r="O8" s="6">
        <f>IFERROR(INDEX('02b_DC_Accelerator_Mix'!$L$2:$L$977,MATCH(G8,'02b_DC_Accelerator_Mix'!$A$2:$A$977,0)),0)</f>
        <v/>
      </c>
      <c r="P8" s="6">
        <f>IFERROR(INDEX('02b_DC_Accelerator_Mix'!$M$2:$M$977,MATCH(G8,'02b_DC_Accelerator_Mix'!$A$2:$A$977,0)),0)</f>
        <v/>
      </c>
      <c r="Q8" s="6">
        <f>IFERROR(INDEX('02b_DC_Accelerator_Mix'!$N$2:$N$977,MATCH(G8,'02b_DC_Accelerator_Mix'!$A$2:$A$977,0)),0)</f>
        <v/>
      </c>
      <c r="R8" s="28">
        <f>H8*I8</f>
        <v/>
      </c>
      <c r="S8" s="28">
        <f>H8*J8</f>
        <v/>
      </c>
      <c r="T8" s="28">
        <f>H8*K8</f>
        <v/>
      </c>
      <c r="U8" s="28">
        <f>H8*L8</f>
        <v/>
      </c>
      <c r="V8" s="28">
        <f>H8*M8</f>
        <v/>
      </c>
      <c r="W8" s="28">
        <f>H8*N8</f>
        <v/>
      </c>
      <c r="X8" s="28">
        <f>H8*O8</f>
        <v/>
      </c>
      <c r="Y8" s="28">
        <f>H8*P8</f>
        <v/>
      </c>
      <c r="Z8" s="28">
        <f>H8*Q8</f>
        <v/>
      </c>
      <c r="AA8" s="28">
        <f>SUM(U8:Z8)</f>
        <v/>
      </c>
      <c r="AB8" s="5">
        <f>IF(COUNTIF('02b_DC_Accelerator_Mix'!$A$2:$A$977,G8)&gt;0,"matched","missing_mix")</f>
        <v/>
      </c>
    </row>
    <row r="9">
      <c r="A9" s="5">
        <f>'02a_DC_Capacity_Alloc'!A9</f>
        <v/>
      </c>
      <c r="B9" s="5">
        <f>'02a_DC_Capacity_Alloc'!B9</f>
        <v/>
      </c>
      <c r="C9" s="5">
        <f>'02a_DC_Capacity_Alloc'!C9</f>
        <v/>
      </c>
      <c r="D9" s="5">
        <f>'02a_DC_Capacity_Alloc'!D9</f>
        <v/>
      </c>
      <c r="E9" s="5">
        <f>'02a_DC_Capacity_Alloc'!E9</f>
        <v/>
      </c>
      <c r="F9" s="5">
        <f>'02a_DC_Capacity_Alloc'!F9</f>
        <v/>
      </c>
      <c r="G9" s="5">
        <f>B9&amp;"|"&amp;E9&amp;"|"&amp;D9</f>
        <v/>
      </c>
      <c r="H9" s="28">
        <f>'02a_DC_Capacity_Alloc'!H9*'02a_DC_Capacity_Alloc'!I9*'02a_DC_Capacity_Alloc'!J9</f>
        <v/>
      </c>
      <c r="I9" s="6">
        <f>IFERROR(INDEX('02b_DC_Accelerator_Mix'!$F$2:$F$977,MATCH(G9,'02b_DC_Accelerator_Mix'!$A$2:$A$977,0)),0)</f>
        <v/>
      </c>
      <c r="J9" s="6">
        <f>IFERROR(INDEX('02b_DC_Accelerator_Mix'!$G$2:$G$977,MATCH(G9,'02b_DC_Accelerator_Mix'!$A$2:$A$977,0)),0)</f>
        <v/>
      </c>
      <c r="K9" s="6">
        <f>IFERROR(INDEX('02b_DC_Accelerator_Mix'!$H$2:$H$977,MATCH(G9,'02b_DC_Accelerator_Mix'!$A$2:$A$977,0)),0)</f>
        <v/>
      </c>
      <c r="L9" s="6">
        <f>IFERROR(INDEX('02b_DC_Accelerator_Mix'!$I$2:$I$977,MATCH(G9,'02b_DC_Accelerator_Mix'!$A$2:$A$977,0)),0)</f>
        <v/>
      </c>
      <c r="M9" s="6">
        <f>IFERROR(INDEX('02b_DC_Accelerator_Mix'!$J$2:$J$977,MATCH(G9,'02b_DC_Accelerator_Mix'!$A$2:$A$977,0)),0)</f>
        <v/>
      </c>
      <c r="N9" s="6">
        <f>IFERROR(INDEX('02b_DC_Accelerator_Mix'!$K$2:$K$977,MATCH(G9,'02b_DC_Accelerator_Mix'!$A$2:$A$977,0)),0)</f>
        <v/>
      </c>
      <c r="O9" s="6">
        <f>IFERROR(INDEX('02b_DC_Accelerator_Mix'!$L$2:$L$977,MATCH(G9,'02b_DC_Accelerator_Mix'!$A$2:$A$977,0)),0)</f>
        <v/>
      </c>
      <c r="P9" s="6">
        <f>IFERROR(INDEX('02b_DC_Accelerator_Mix'!$M$2:$M$977,MATCH(G9,'02b_DC_Accelerator_Mix'!$A$2:$A$977,0)),0)</f>
        <v/>
      </c>
      <c r="Q9" s="6">
        <f>IFERROR(INDEX('02b_DC_Accelerator_Mix'!$N$2:$N$977,MATCH(G9,'02b_DC_Accelerator_Mix'!$A$2:$A$977,0)),0)</f>
        <v/>
      </c>
      <c r="R9" s="28">
        <f>H9*I9</f>
        <v/>
      </c>
      <c r="S9" s="28">
        <f>H9*J9</f>
        <v/>
      </c>
      <c r="T9" s="28">
        <f>H9*K9</f>
        <v/>
      </c>
      <c r="U9" s="28">
        <f>H9*L9</f>
        <v/>
      </c>
      <c r="V9" s="28">
        <f>H9*M9</f>
        <v/>
      </c>
      <c r="W9" s="28">
        <f>H9*N9</f>
        <v/>
      </c>
      <c r="X9" s="28">
        <f>H9*O9</f>
        <v/>
      </c>
      <c r="Y9" s="28">
        <f>H9*P9</f>
        <v/>
      </c>
      <c r="Z9" s="28">
        <f>H9*Q9</f>
        <v/>
      </c>
      <c r="AA9" s="28">
        <f>SUM(U9:Z9)</f>
        <v/>
      </c>
      <c r="AB9" s="5">
        <f>IF(COUNTIF('02b_DC_Accelerator_Mix'!$A$2:$A$977,G9)&gt;0,"matched","missing_mix")</f>
        <v/>
      </c>
    </row>
    <row r="10">
      <c r="A10" s="5">
        <f>'02a_DC_Capacity_Alloc'!A10</f>
        <v/>
      </c>
      <c r="B10" s="5">
        <f>'02a_DC_Capacity_Alloc'!B10</f>
        <v/>
      </c>
      <c r="C10" s="5">
        <f>'02a_DC_Capacity_Alloc'!C10</f>
        <v/>
      </c>
      <c r="D10" s="5">
        <f>'02a_DC_Capacity_Alloc'!D10</f>
        <v/>
      </c>
      <c r="E10" s="5">
        <f>'02a_DC_Capacity_Alloc'!E10</f>
        <v/>
      </c>
      <c r="F10" s="5">
        <f>'02a_DC_Capacity_Alloc'!F10</f>
        <v/>
      </c>
      <c r="G10" s="5">
        <f>B10&amp;"|"&amp;E10&amp;"|"&amp;D10</f>
        <v/>
      </c>
      <c r="H10" s="28">
        <f>'02a_DC_Capacity_Alloc'!H10*'02a_DC_Capacity_Alloc'!I10*'02a_DC_Capacity_Alloc'!J10</f>
        <v/>
      </c>
      <c r="I10" s="6">
        <f>IFERROR(INDEX('02b_DC_Accelerator_Mix'!$F$2:$F$977,MATCH(G10,'02b_DC_Accelerator_Mix'!$A$2:$A$977,0)),0)</f>
        <v/>
      </c>
      <c r="J10" s="6">
        <f>IFERROR(INDEX('02b_DC_Accelerator_Mix'!$G$2:$G$977,MATCH(G10,'02b_DC_Accelerator_Mix'!$A$2:$A$977,0)),0)</f>
        <v/>
      </c>
      <c r="K10" s="6">
        <f>IFERROR(INDEX('02b_DC_Accelerator_Mix'!$H$2:$H$977,MATCH(G10,'02b_DC_Accelerator_Mix'!$A$2:$A$977,0)),0)</f>
        <v/>
      </c>
      <c r="L10" s="6">
        <f>IFERROR(INDEX('02b_DC_Accelerator_Mix'!$I$2:$I$977,MATCH(G10,'02b_DC_Accelerator_Mix'!$A$2:$A$977,0)),0)</f>
        <v/>
      </c>
      <c r="M10" s="6">
        <f>IFERROR(INDEX('02b_DC_Accelerator_Mix'!$J$2:$J$977,MATCH(G10,'02b_DC_Accelerator_Mix'!$A$2:$A$977,0)),0)</f>
        <v/>
      </c>
      <c r="N10" s="6">
        <f>IFERROR(INDEX('02b_DC_Accelerator_Mix'!$K$2:$K$977,MATCH(G10,'02b_DC_Accelerator_Mix'!$A$2:$A$977,0)),0)</f>
        <v/>
      </c>
      <c r="O10" s="6">
        <f>IFERROR(INDEX('02b_DC_Accelerator_Mix'!$L$2:$L$977,MATCH(G10,'02b_DC_Accelerator_Mix'!$A$2:$A$977,0)),0)</f>
        <v/>
      </c>
      <c r="P10" s="6">
        <f>IFERROR(INDEX('02b_DC_Accelerator_Mix'!$M$2:$M$977,MATCH(G10,'02b_DC_Accelerator_Mix'!$A$2:$A$977,0)),0)</f>
        <v/>
      </c>
      <c r="Q10" s="6">
        <f>IFERROR(INDEX('02b_DC_Accelerator_Mix'!$N$2:$N$977,MATCH(G10,'02b_DC_Accelerator_Mix'!$A$2:$A$977,0)),0)</f>
        <v/>
      </c>
      <c r="R10" s="28">
        <f>H10*I10</f>
        <v/>
      </c>
      <c r="S10" s="28">
        <f>H10*J10</f>
        <v/>
      </c>
      <c r="T10" s="28">
        <f>H10*K10</f>
        <v/>
      </c>
      <c r="U10" s="28">
        <f>H10*L10</f>
        <v/>
      </c>
      <c r="V10" s="28">
        <f>H10*M10</f>
        <v/>
      </c>
      <c r="W10" s="28">
        <f>H10*N10</f>
        <v/>
      </c>
      <c r="X10" s="28">
        <f>H10*O10</f>
        <v/>
      </c>
      <c r="Y10" s="28">
        <f>H10*P10</f>
        <v/>
      </c>
      <c r="Z10" s="28">
        <f>H10*Q10</f>
        <v/>
      </c>
      <c r="AA10" s="28">
        <f>SUM(U10:Z10)</f>
        <v/>
      </c>
      <c r="AB10" s="5">
        <f>IF(COUNTIF('02b_DC_Accelerator_Mix'!$A$2:$A$977,G10)&gt;0,"matched","missing_mix")</f>
        <v/>
      </c>
    </row>
    <row r="11">
      <c r="A11" s="5">
        <f>'02a_DC_Capacity_Alloc'!A11</f>
        <v/>
      </c>
      <c r="B11" s="5">
        <f>'02a_DC_Capacity_Alloc'!B11</f>
        <v/>
      </c>
      <c r="C11" s="5">
        <f>'02a_DC_Capacity_Alloc'!C11</f>
        <v/>
      </c>
      <c r="D11" s="5">
        <f>'02a_DC_Capacity_Alloc'!D11</f>
        <v/>
      </c>
      <c r="E11" s="5">
        <f>'02a_DC_Capacity_Alloc'!E11</f>
        <v/>
      </c>
      <c r="F11" s="5">
        <f>'02a_DC_Capacity_Alloc'!F11</f>
        <v/>
      </c>
      <c r="G11" s="5">
        <f>B11&amp;"|"&amp;E11&amp;"|"&amp;D11</f>
        <v/>
      </c>
      <c r="H11" s="28">
        <f>'02a_DC_Capacity_Alloc'!H11*'02a_DC_Capacity_Alloc'!I11*'02a_DC_Capacity_Alloc'!J11</f>
        <v/>
      </c>
      <c r="I11" s="6">
        <f>IFERROR(INDEX('02b_DC_Accelerator_Mix'!$F$2:$F$977,MATCH(G11,'02b_DC_Accelerator_Mix'!$A$2:$A$977,0)),0)</f>
        <v/>
      </c>
      <c r="J11" s="6">
        <f>IFERROR(INDEX('02b_DC_Accelerator_Mix'!$G$2:$G$977,MATCH(G11,'02b_DC_Accelerator_Mix'!$A$2:$A$977,0)),0)</f>
        <v/>
      </c>
      <c r="K11" s="6">
        <f>IFERROR(INDEX('02b_DC_Accelerator_Mix'!$H$2:$H$977,MATCH(G11,'02b_DC_Accelerator_Mix'!$A$2:$A$977,0)),0)</f>
        <v/>
      </c>
      <c r="L11" s="6">
        <f>IFERROR(INDEX('02b_DC_Accelerator_Mix'!$I$2:$I$977,MATCH(G11,'02b_DC_Accelerator_Mix'!$A$2:$A$977,0)),0)</f>
        <v/>
      </c>
      <c r="M11" s="6">
        <f>IFERROR(INDEX('02b_DC_Accelerator_Mix'!$J$2:$J$977,MATCH(G11,'02b_DC_Accelerator_Mix'!$A$2:$A$977,0)),0)</f>
        <v/>
      </c>
      <c r="N11" s="6">
        <f>IFERROR(INDEX('02b_DC_Accelerator_Mix'!$K$2:$K$977,MATCH(G11,'02b_DC_Accelerator_Mix'!$A$2:$A$977,0)),0)</f>
        <v/>
      </c>
      <c r="O11" s="6">
        <f>IFERROR(INDEX('02b_DC_Accelerator_Mix'!$L$2:$L$977,MATCH(G11,'02b_DC_Accelerator_Mix'!$A$2:$A$977,0)),0)</f>
        <v/>
      </c>
      <c r="P11" s="6">
        <f>IFERROR(INDEX('02b_DC_Accelerator_Mix'!$M$2:$M$977,MATCH(G11,'02b_DC_Accelerator_Mix'!$A$2:$A$977,0)),0)</f>
        <v/>
      </c>
      <c r="Q11" s="6">
        <f>IFERROR(INDEX('02b_DC_Accelerator_Mix'!$N$2:$N$977,MATCH(G11,'02b_DC_Accelerator_Mix'!$A$2:$A$977,0)),0)</f>
        <v/>
      </c>
      <c r="R11" s="28">
        <f>H11*I11</f>
        <v/>
      </c>
      <c r="S11" s="28">
        <f>H11*J11</f>
        <v/>
      </c>
      <c r="T11" s="28">
        <f>H11*K11</f>
        <v/>
      </c>
      <c r="U11" s="28">
        <f>H11*L11</f>
        <v/>
      </c>
      <c r="V11" s="28">
        <f>H11*M11</f>
        <v/>
      </c>
      <c r="W11" s="28">
        <f>H11*N11</f>
        <v/>
      </c>
      <c r="X11" s="28">
        <f>H11*O11</f>
        <v/>
      </c>
      <c r="Y11" s="28">
        <f>H11*P11</f>
        <v/>
      </c>
      <c r="Z11" s="28">
        <f>H11*Q11</f>
        <v/>
      </c>
      <c r="AA11" s="28">
        <f>SUM(U11:Z11)</f>
        <v/>
      </c>
      <c r="AB11" s="5">
        <f>IF(COUNTIF('02b_DC_Accelerator_Mix'!$A$2:$A$977,G11)&gt;0,"matched","missing_mix")</f>
        <v/>
      </c>
    </row>
    <row r="12">
      <c r="A12" s="5">
        <f>'02a_DC_Capacity_Alloc'!A12</f>
        <v/>
      </c>
      <c r="B12" s="5">
        <f>'02a_DC_Capacity_Alloc'!B12</f>
        <v/>
      </c>
      <c r="C12" s="5">
        <f>'02a_DC_Capacity_Alloc'!C12</f>
        <v/>
      </c>
      <c r="D12" s="5">
        <f>'02a_DC_Capacity_Alloc'!D12</f>
        <v/>
      </c>
      <c r="E12" s="5">
        <f>'02a_DC_Capacity_Alloc'!E12</f>
        <v/>
      </c>
      <c r="F12" s="5">
        <f>'02a_DC_Capacity_Alloc'!F12</f>
        <v/>
      </c>
      <c r="G12" s="5">
        <f>B12&amp;"|"&amp;E12&amp;"|"&amp;D12</f>
        <v/>
      </c>
      <c r="H12" s="28">
        <f>'02a_DC_Capacity_Alloc'!H12*'02a_DC_Capacity_Alloc'!I12*'02a_DC_Capacity_Alloc'!J12</f>
        <v/>
      </c>
      <c r="I12" s="6">
        <f>IFERROR(INDEX('02b_DC_Accelerator_Mix'!$F$2:$F$977,MATCH(G12,'02b_DC_Accelerator_Mix'!$A$2:$A$977,0)),0)</f>
        <v/>
      </c>
      <c r="J12" s="6">
        <f>IFERROR(INDEX('02b_DC_Accelerator_Mix'!$G$2:$G$977,MATCH(G12,'02b_DC_Accelerator_Mix'!$A$2:$A$977,0)),0)</f>
        <v/>
      </c>
      <c r="K12" s="6">
        <f>IFERROR(INDEX('02b_DC_Accelerator_Mix'!$H$2:$H$977,MATCH(G12,'02b_DC_Accelerator_Mix'!$A$2:$A$977,0)),0)</f>
        <v/>
      </c>
      <c r="L12" s="6">
        <f>IFERROR(INDEX('02b_DC_Accelerator_Mix'!$I$2:$I$977,MATCH(G12,'02b_DC_Accelerator_Mix'!$A$2:$A$977,0)),0)</f>
        <v/>
      </c>
      <c r="M12" s="6">
        <f>IFERROR(INDEX('02b_DC_Accelerator_Mix'!$J$2:$J$977,MATCH(G12,'02b_DC_Accelerator_Mix'!$A$2:$A$977,0)),0)</f>
        <v/>
      </c>
      <c r="N12" s="6">
        <f>IFERROR(INDEX('02b_DC_Accelerator_Mix'!$K$2:$K$977,MATCH(G12,'02b_DC_Accelerator_Mix'!$A$2:$A$977,0)),0)</f>
        <v/>
      </c>
      <c r="O12" s="6">
        <f>IFERROR(INDEX('02b_DC_Accelerator_Mix'!$L$2:$L$977,MATCH(G12,'02b_DC_Accelerator_Mix'!$A$2:$A$977,0)),0)</f>
        <v/>
      </c>
      <c r="P12" s="6">
        <f>IFERROR(INDEX('02b_DC_Accelerator_Mix'!$M$2:$M$977,MATCH(G12,'02b_DC_Accelerator_Mix'!$A$2:$A$977,0)),0)</f>
        <v/>
      </c>
      <c r="Q12" s="6">
        <f>IFERROR(INDEX('02b_DC_Accelerator_Mix'!$N$2:$N$977,MATCH(G12,'02b_DC_Accelerator_Mix'!$A$2:$A$977,0)),0)</f>
        <v/>
      </c>
      <c r="R12" s="28">
        <f>H12*I12</f>
        <v/>
      </c>
      <c r="S12" s="28">
        <f>H12*J12</f>
        <v/>
      </c>
      <c r="T12" s="28">
        <f>H12*K12</f>
        <v/>
      </c>
      <c r="U12" s="28">
        <f>H12*L12</f>
        <v/>
      </c>
      <c r="V12" s="28">
        <f>H12*M12</f>
        <v/>
      </c>
      <c r="W12" s="28">
        <f>H12*N12</f>
        <v/>
      </c>
      <c r="X12" s="28">
        <f>H12*O12</f>
        <v/>
      </c>
      <c r="Y12" s="28">
        <f>H12*P12</f>
        <v/>
      </c>
      <c r="Z12" s="28">
        <f>H12*Q12</f>
        <v/>
      </c>
      <c r="AA12" s="28">
        <f>SUM(U12:Z12)</f>
        <v/>
      </c>
      <c r="AB12" s="5">
        <f>IF(COUNTIF('02b_DC_Accelerator_Mix'!$A$2:$A$977,G12)&gt;0,"matched","missing_mix")</f>
        <v/>
      </c>
    </row>
    <row r="13">
      <c r="A13" s="5">
        <f>'02a_DC_Capacity_Alloc'!A13</f>
        <v/>
      </c>
      <c r="B13" s="5">
        <f>'02a_DC_Capacity_Alloc'!B13</f>
        <v/>
      </c>
      <c r="C13" s="5">
        <f>'02a_DC_Capacity_Alloc'!C13</f>
        <v/>
      </c>
      <c r="D13" s="5">
        <f>'02a_DC_Capacity_Alloc'!D13</f>
        <v/>
      </c>
      <c r="E13" s="5">
        <f>'02a_DC_Capacity_Alloc'!E13</f>
        <v/>
      </c>
      <c r="F13" s="5">
        <f>'02a_DC_Capacity_Alloc'!F13</f>
        <v/>
      </c>
      <c r="G13" s="5">
        <f>B13&amp;"|"&amp;E13&amp;"|"&amp;D13</f>
        <v/>
      </c>
      <c r="H13" s="28">
        <f>'02a_DC_Capacity_Alloc'!H13*'02a_DC_Capacity_Alloc'!I13*'02a_DC_Capacity_Alloc'!J13</f>
        <v/>
      </c>
      <c r="I13" s="6">
        <f>IFERROR(INDEX('02b_DC_Accelerator_Mix'!$F$2:$F$977,MATCH(G13,'02b_DC_Accelerator_Mix'!$A$2:$A$977,0)),0)</f>
        <v/>
      </c>
      <c r="J13" s="6">
        <f>IFERROR(INDEX('02b_DC_Accelerator_Mix'!$G$2:$G$977,MATCH(G13,'02b_DC_Accelerator_Mix'!$A$2:$A$977,0)),0)</f>
        <v/>
      </c>
      <c r="K13" s="6">
        <f>IFERROR(INDEX('02b_DC_Accelerator_Mix'!$H$2:$H$977,MATCH(G13,'02b_DC_Accelerator_Mix'!$A$2:$A$977,0)),0)</f>
        <v/>
      </c>
      <c r="L13" s="6">
        <f>IFERROR(INDEX('02b_DC_Accelerator_Mix'!$I$2:$I$977,MATCH(G13,'02b_DC_Accelerator_Mix'!$A$2:$A$977,0)),0)</f>
        <v/>
      </c>
      <c r="M13" s="6">
        <f>IFERROR(INDEX('02b_DC_Accelerator_Mix'!$J$2:$J$977,MATCH(G13,'02b_DC_Accelerator_Mix'!$A$2:$A$977,0)),0)</f>
        <v/>
      </c>
      <c r="N13" s="6">
        <f>IFERROR(INDEX('02b_DC_Accelerator_Mix'!$K$2:$K$977,MATCH(G13,'02b_DC_Accelerator_Mix'!$A$2:$A$977,0)),0)</f>
        <v/>
      </c>
      <c r="O13" s="6">
        <f>IFERROR(INDEX('02b_DC_Accelerator_Mix'!$L$2:$L$977,MATCH(G13,'02b_DC_Accelerator_Mix'!$A$2:$A$977,0)),0)</f>
        <v/>
      </c>
      <c r="P13" s="6">
        <f>IFERROR(INDEX('02b_DC_Accelerator_Mix'!$M$2:$M$977,MATCH(G13,'02b_DC_Accelerator_Mix'!$A$2:$A$977,0)),0)</f>
        <v/>
      </c>
      <c r="Q13" s="6">
        <f>IFERROR(INDEX('02b_DC_Accelerator_Mix'!$N$2:$N$977,MATCH(G13,'02b_DC_Accelerator_Mix'!$A$2:$A$977,0)),0)</f>
        <v/>
      </c>
      <c r="R13" s="28">
        <f>H13*I13</f>
        <v/>
      </c>
      <c r="S13" s="28">
        <f>H13*J13</f>
        <v/>
      </c>
      <c r="T13" s="28">
        <f>H13*K13</f>
        <v/>
      </c>
      <c r="U13" s="28">
        <f>H13*L13</f>
        <v/>
      </c>
      <c r="V13" s="28">
        <f>H13*M13</f>
        <v/>
      </c>
      <c r="W13" s="28">
        <f>H13*N13</f>
        <v/>
      </c>
      <c r="X13" s="28">
        <f>H13*O13</f>
        <v/>
      </c>
      <c r="Y13" s="28">
        <f>H13*P13</f>
        <v/>
      </c>
      <c r="Z13" s="28">
        <f>H13*Q13</f>
        <v/>
      </c>
      <c r="AA13" s="28">
        <f>SUM(U13:Z13)</f>
        <v/>
      </c>
      <c r="AB13" s="5">
        <f>IF(COUNTIF('02b_DC_Accelerator_Mix'!$A$2:$A$977,G13)&gt;0,"matched","missing_mix")</f>
        <v/>
      </c>
    </row>
    <row r="14">
      <c r="A14" s="5">
        <f>'02a_DC_Capacity_Alloc'!A14</f>
        <v/>
      </c>
      <c r="B14" s="5">
        <f>'02a_DC_Capacity_Alloc'!B14</f>
        <v/>
      </c>
      <c r="C14" s="5">
        <f>'02a_DC_Capacity_Alloc'!C14</f>
        <v/>
      </c>
      <c r="D14" s="5">
        <f>'02a_DC_Capacity_Alloc'!D14</f>
        <v/>
      </c>
      <c r="E14" s="5">
        <f>'02a_DC_Capacity_Alloc'!E14</f>
        <v/>
      </c>
      <c r="F14" s="5">
        <f>'02a_DC_Capacity_Alloc'!F14</f>
        <v/>
      </c>
      <c r="G14" s="5">
        <f>B14&amp;"|"&amp;E14&amp;"|"&amp;D14</f>
        <v/>
      </c>
      <c r="H14" s="28">
        <f>'02a_DC_Capacity_Alloc'!H14*'02a_DC_Capacity_Alloc'!I14*'02a_DC_Capacity_Alloc'!J14</f>
        <v/>
      </c>
      <c r="I14" s="6">
        <f>IFERROR(INDEX('02b_DC_Accelerator_Mix'!$F$2:$F$977,MATCH(G14,'02b_DC_Accelerator_Mix'!$A$2:$A$977,0)),0)</f>
        <v/>
      </c>
      <c r="J14" s="6">
        <f>IFERROR(INDEX('02b_DC_Accelerator_Mix'!$G$2:$G$977,MATCH(G14,'02b_DC_Accelerator_Mix'!$A$2:$A$977,0)),0)</f>
        <v/>
      </c>
      <c r="K14" s="6">
        <f>IFERROR(INDEX('02b_DC_Accelerator_Mix'!$H$2:$H$977,MATCH(G14,'02b_DC_Accelerator_Mix'!$A$2:$A$977,0)),0)</f>
        <v/>
      </c>
      <c r="L14" s="6">
        <f>IFERROR(INDEX('02b_DC_Accelerator_Mix'!$I$2:$I$977,MATCH(G14,'02b_DC_Accelerator_Mix'!$A$2:$A$977,0)),0)</f>
        <v/>
      </c>
      <c r="M14" s="6">
        <f>IFERROR(INDEX('02b_DC_Accelerator_Mix'!$J$2:$J$977,MATCH(G14,'02b_DC_Accelerator_Mix'!$A$2:$A$977,0)),0)</f>
        <v/>
      </c>
      <c r="N14" s="6">
        <f>IFERROR(INDEX('02b_DC_Accelerator_Mix'!$K$2:$K$977,MATCH(G14,'02b_DC_Accelerator_Mix'!$A$2:$A$977,0)),0)</f>
        <v/>
      </c>
      <c r="O14" s="6">
        <f>IFERROR(INDEX('02b_DC_Accelerator_Mix'!$L$2:$L$977,MATCH(G14,'02b_DC_Accelerator_Mix'!$A$2:$A$977,0)),0)</f>
        <v/>
      </c>
      <c r="P14" s="6">
        <f>IFERROR(INDEX('02b_DC_Accelerator_Mix'!$M$2:$M$977,MATCH(G14,'02b_DC_Accelerator_Mix'!$A$2:$A$977,0)),0)</f>
        <v/>
      </c>
      <c r="Q14" s="6">
        <f>IFERROR(INDEX('02b_DC_Accelerator_Mix'!$N$2:$N$977,MATCH(G14,'02b_DC_Accelerator_Mix'!$A$2:$A$977,0)),0)</f>
        <v/>
      </c>
      <c r="R14" s="28">
        <f>H14*I14</f>
        <v/>
      </c>
      <c r="S14" s="28">
        <f>H14*J14</f>
        <v/>
      </c>
      <c r="T14" s="28">
        <f>H14*K14</f>
        <v/>
      </c>
      <c r="U14" s="28">
        <f>H14*L14</f>
        <v/>
      </c>
      <c r="V14" s="28">
        <f>H14*M14</f>
        <v/>
      </c>
      <c r="W14" s="28">
        <f>H14*N14</f>
        <v/>
      </c>
      <c r="X14" s="28">
        <f>H14*O14</f>
        <v/>
      </c>
      <c r="Y14" s="28">
        <f>H14*P14</f>
        <v/>
      </c>
      <c r="Z14" s="28">
        <f>H14*Q14</f>
        <v/>
      </c>
      <c r="AA14" s="28">
        <f>SUM(U14:Z14)</f>
        <v/>
      </c>
      <c r="AB14" s="5">
        <f>IF(COUNTIF('02b_DC_Accelerator_Mix'!$A$2:$A$977,G14)&gt;0,"matched","missing_mix")</f>
        <v/>
      </c>
    </row>
    <row r="15">
      <c r="A15" s="5">
        <f>'02a_DC_Capacity_Alloc'!A15</f>
        <v/>
      </c>
      <c r="B15" s="5">
        <f>'02a_DC_Capacity_Alloc'!B15</f>
        <v/>
      </c>
      <c r="C15" s="5">
        <f>'02a_DC_Capacity_Alloc'!C15</f>
        <v/>
      </c>
      <c r="D15" s="5">
        <f>'02a_DC_Capacity_Alloc'!D15</f>
        <v/>
      </c>
      <c r="E15" s="5">
        <f>'02a_DC_Capacity_Alloc'!E15</f>
        <v/>
      </c>
      <c r="F15" s="5">
        <f>'02a_DC_Capacity_Alloc'!F15</f>
        <v/>
      </c>
      <c r="G15" s="5">
        <f>B15&amp;"|"&amp;E15&amp;"|"&amp;D15</f>
        <v/>
      </c>
      <c r="H15" s="28">
        <f>'02a_DC_Capacity_Alloc'!H15*'02a_DC_Capacity_Alloc'!I15*'02a_DC_Capacity_Alloc'!J15</f>
        <v/>
      </c>
      <c r="I15" s="6">
        <f>IFERROR(INDEX('02b_DC_Accelerator_Mix'!$F$2:$F$977,MATCH(G15,'02b_DC_Accelerator_Mix'!$A$2:$A$977,0)),0)</f>
        <v/>
      </c>
      <c r="J15" s="6">
        <f>IFERROR(INDEX('02b_DC_Accelerator_Mix'!$G$2:$G$977,MATCH(G15,'02b_DC_Accelerator_Mix'!$A$2:$A$977,0)),0)</f>
        <v/>
      </c>
      <c r="K15" s="6">
        <f>IFERROR(INDEX('02b_DC_Accelerator_Mix'!$H$2:$H$977,MATCH(G15,'02b_DC_Accelerator_Mix'!$A$2:$A$977,0)),0)</f>
        <v/>
      </c>
      <c r="L15" s="6">
        <f>IFERROR(INDEX('02b_DC_Accelerator_Mix'!$I$2:$I$977,MATCH(G15,'02b_DC_Accelerator_Mix'!$A$2:$A$977,0)),0)</f>
        <v/>
      </c>
      <c r="M15" s="6">
        <f>IFERROR(INDEX('02b_DC_Accelerator_Mix'!$J$2:$J$977,MATCH(G15,'02b_DC_Accelerator_Mix'!$A$2:$A$977,0)),0)</f>
        <v/>
      </c>
      <c r="N15" s="6">
        <f>IFERROR(INDEX('02b_DC_Accelerator_Mix'!$K$2:$K$977,MATCH(G15,'02b_DC_Accelerator_Mix'!$A$2:$A$977,0)),0)</f>
        <v/>
      </c>
      <c r="O15" s="6">
        <f>IFERROR(INDEX('02b_DC_Accelerator_Mix'!$L$2:$L$977,MATCH(G15,'02b_DC_Accelerator_Mix'!$A$2:$A$977,0)),0)</f>
        <v/>
      </c>
      <c r="P15" s="6">
        <f>IFERROR(INDEX('02b_DC_Accelerator_Mix'!$M$2:$M$977,MATCH(G15,'02b_DC_Accelerator_Mix'!$A$2:$A$977,0)),0)</f>
        <v/>
      </c>
      <c r="Q15" s="6">
        <f>IFERROR(INDEX('02b_DC_Accelerator_Mix'!$N$2:$N$977,MATCH(G15,'02b_DC_Accelerator_Mix'!$A$2:$A$977,0)),0)</f>
        <v/>
      </c>
      <c r="R15" s="28">
        <f>H15*I15</f>
        <v/>
      </c>
      <c r="S15" s="28">
        <f>H15*J15</f>
        <v/>
      </c>
      <c r="T15" s="28">
        <f>H15*K15</f>
        <v/>
      </c>
      <c r="U15" s="28">
        <f>H15*L15</f>
        <v/>
      </c>
      <c r="V15" s="28">
        <f>H15*M15</f>
        <v/>
      </c>
      <c r="W15" s="28">
        <f>H15*N15</f>
        <v/>
      </c>
      <c r="X15" s="28">
        <f>H15*O15</f>
        <v/>
      </c>
      <c r="Y15" s="28">
        <f>H15*P15</f>
        <v/>
      </c>
      <c r="Z15" s="28">
        <f>H15*Q15</f>
        <v/>
      </c>
      <c r="AA15" s="28">
        <f>SUM(U15:Z15)</f>
        <v/>
      </c>
      <c r="AB15" s="5">
        <f>IF(COUNTIF('02b_DC_Accelerator_Mix'!$A$2:$A$977,G15)&gt;0,"matched","missing_mix")</f>
        <v/>
      </c>
    </row>
    <row r="16">
      <c r="A16" s="5">
        <f>'02a_DC_Capacity_Alloc'!A16</f>
        <v/>
      </c>
      <c r="B16" s="5">
        <f>'02a_DC_Capacity_Alloc'!B16</f>
        <v/>
      </c>
      <c r="C16" s="5">
        <f>'02a_DC_Capacity_Alloc'!C16</f>
        <v/>
      </c>
      <c r="D16" s="5">
        <f>'02a_DC_Capacity_Alloc'!D16</f>
        <v/>
      </c>
      <c r="E16" s="5">
        <f>'02a_DC_Capacity_Alloc'!E16</f>
        <v/>
      </c>
      <c r="F16" s="5">
        <f>'02a_DC_Capacity_Alloc'!F16</f>
        <v/>
      </c>
      <c r="G16" s="5">
        <f>B16&amp;"|"&amp;E16&amp;"|"&amp;D16</f>
        <v/>
      </c>
      <c r="H16" s="28">
        <f>'02a_DC_Capacity_Alloc'!H16*'02a_DC_Capacity_Alloc'!I16*'02a_DC_Capacity_Alloc'!J16</f>
        <v/>
      </c>
      <c r="I16" s="6">
        <f>IFERROR(INDEX('02b_DC_Accelerator_Mix'!$F$2:$F$977,MATCH(G16,'02b_DC_Accelerator_Mix'!$A$2:$A$977,0)),0)</f>
        <v/>
      </c>
      <c r="J16" s="6">
        <f>IFERROR(INDEX('02b_DC_Accelerator_Mix'!$G$2:$G$977,MATCH(G16,'02b_DC_Accelerator_Mix'!$A$2:$A$977,0)),0)</f>
        <v/>
      </c>
      <c r="K16" s="6">
        <f>IFERROR(INDEX('02b_DC_Accelerator_Mix'!$H$2:$H$977,MATCH(G16,'02b_DC_Accelerator_Mix'!$A$2:$A$977,0)),0)</f>
        <v/>
      </c>
      <c r="L16" s="6">
        <f>IFERROR(INDEX('02b_DC_Accelerator_Mix'!$I$2:$I$977,MATCH(G16,'02b_DC_Accelerator_Mix'!$A$2:$A$977,0)),0)</f>
        <v/>
      </c>
      <c r="M16" s="6">
        <f>IFERROR(INDEX('02b_DC_Accelerator_Mix'!$J$2:$J$977,MATCH(G16,'02b_DC_Accelerator_Mix'!$A$2:$A$977,0)),0)</f>
        <v/>
      </c>
      <c r="N16" s="6">
        <f>IFERROR(INDEX('02b_DC_Accelerator_Mix'!$K$2:$K$977,MATCH(G16,'02b_DC_Accelerator_Mix'!$A$2:$A$977,0)),0)</f>
        <v/>
      </c>
      <c r="O16" s="6">
        <f>IFERROR(INDEX('02b_DC_Accelerator_Mix'!$L$2:$L$977,MATCH(G16,'02b_DC_Accelerator_Mix'!$A$2:$A$977,0)),0)</f>
        <v/>
      </c>
      <c r="P16" s="6">
        <f>IFERROR(INDEX('02b_DC_Accelerator_Mix'!$M$2:$M$977,MATCH(G16,'02b_DC_Accelerator_Mix'!$A$2:$A$977,0)),0)</f>
        <v/>
      </c>
      <c r="Q16" s="6">
        <f>IFERROR(INDEX('02b_DC_Accelerator_Mix'!$N$2:$N$977,MATCH(G16,'02b_DC_Accelerator_Mix'!$A$2:$A$977,0)),0)</f>
        <v/>
      </c>
      <c r="R16" s="28">
        <f>H16*I16</f>
        <v/>
      </c>
      <c r="S16" s="28">
        <f>H16*J16</f>
        <v/>
      </c>
      <c r="T16" s="28">
        <f>H16*K16</f>
        <v/>
      </c>
      <c r="U16" s="28">
        <f>H16*L16</f>
        <v/>
      </c>
      <c r="V16" s="28">
        <f>H16*M16</f>
        <v/>
      </c>
      <c r="W16" s="28">
        <f>H16*N16</f>
        <v/>
      </c>
      <c r="X16" s="28">
        <f>H16*O16</f>
        <v/>
      </c>
      <c r="Y16" s="28">
        <f>H16*P16</f>
        <v/>
      </c>
      <c r="Z16" s="28">
        <f>H16*Q16</f>
        <v/>
      </c>
      <c r="AA16" s="28">
        <f>SUM(U16:Z16)</f>
        <v/>
      </c>
      <c r="AB16" s="5">
        <f>IF(COUNTIF('02b_DC_Accelerator_Mix'!$A$2:$A$977,G16)&gt;0,"matched","missing_mix")</f>
        <v/>
      </c>
    </row>
    <row r="17">
      <c r="A17" s="5">
        <f>'02a_DC_Capacity_Alloc'!A17</f>
        <v/>
      </c>
      <c r="B17" s="5">
        <f>'02a_DC_Capacity_Alloc'!B17</f>
        <v/>
      </c>
      <c r="C17" s="5">
        <f>'02a_DC_Capacity_Alloc'!C17</f>
        <v/>
      </c>
      <c r="D17" s="5">
        <f>'02a_DC_Capacity_Alloc'!D17</f>
        <v/>
      </c>
      <c r="E17" s="5">
        <f>'02a_DC_Capacity_Alloc'!E17</f>
        <v/>
      </c>
      <c r="F17" s="5">
        <f>'02a_DC_Capacity_Alloc'!F17</f>
        <v/>
      </c>
      <c r="G17" s="5">
        <f>B17&amp;"|"&amp;E17&amp;"|"&amp;D17</f>
        <v/>
      </c>
      <c r="H17" s="28">
        <f>'02a_DC_Capacity_Alloc'!H17*'02a_DC_Capacity_Alloc'!I17*'02a_DC_Capacity_Alloc'!J17</f>
        <v/>
      </c>
      <c r="I17" s="6">
        <f>IFERROR(INDEX('02b_DC_Accelerator_Mix'!$F$2:$F$977,MATCH(G17,'02b_DC_Accelerator_Mix'!$A$2:$A$977,0)),0)</f>
        <v/>
      </c>
      <c r="J17" s="6">
        <f>IFERROR(INDEX('02b_DC_Accelerator_Mix'!$G$2:$G$977,MATCH(G17,'02b_DC_Accelerator_Mix'!$A$2:$A$977,0)),0)</f>
        <v/>
      </c>
      <c r="K17" s="6">
        <f>IFERROR(INDEX('02b_DC_Accelerator_Mix'!$H$2:$H$977,MATCH(G17,'02b_DC_Accelerator_Mix'!$A$2:$A$977,0)),0)</f>
        <v/>
      </c>
      <c r="L17" s="6">
        <f>IFERROR(INDEX('02b_DC_Accelerator_Mix'!$I$2:$I$977,MATCH(G17,'02b_DC_Accelerator_Mix'!$A$2:$A$977,0)),0)</f>
        <v/>
      </c>
      <c r="M17" s="6">
        <f>IFERROR(INDEX('02b_DC_Accelerator_Mix'!$J$2:$J$977,MATCH(G17,'02b_DC_Accelerator_Mix'!$A$2:$A$977,0)),0)</f>
        <v/>
      </c>
      <c r="N17" s="6">
        <f>IFERROR(INDEX('02b_DC_Accelerator_Mix'!$K$2:$K$977,MATCH(G17,'02b_DC_Accelerator_Mix'!$A$2:$A$977,0)),0)</f>
        <v/>
      </c>
      <c r="O17" s="6">
        <f>IFERROR(INDEX('02b_DC_Accelerator_Mix'!$L$2:$L$977,MATCH(G17,'02b_DC_Accelerator_Mix'!$A$2:$A$977,0)),0)</f>
        <v/>
      </c>
      <c r="P17" s="6">
        <f>IFERROR(INDEX('02b_DC_Accelerator_Mix'!$M$2:$M$977,MATCH(G17,'02b_DC_Accelerator_Mix'!$A$2:$A$977,0)),0)</f>
        <v/>
      </c>
      <c r="Q17" s="6">
        <f>IFERROR(INDEX('02b_DC_Accelerator_Mix'!$N$2:$N$977,MATCH(G17,'02b_DC_Accelerator_Mix'!$A$2:$A$977,0)),0)</f>
        <v/>
      </c>
      <c r="R17" s="28">
        <f>H17*I17</f>
        <v/>
      </c>
      <c r="S17" s="28">
        <f>H17*J17</f>
        <v/>
      </c>
      <c r="T17" s="28">
        <f>H17*K17</f>
        <v/>
      </c>
      <c r="U17" s="28">
        <f>H17*L17</f>
        <v/>
      </c>
      <c r="V17" s="28">
        <f>H17*M17</f>
        <v/>
      </c>
      <c r="W17" s="28">
        <f>H17*N17</f>
        <v/>
      </c>
      <c r="X17" s="28">
        <f>H17*O17</f>
        <v/>
      </c>
      <c r="Y17" s="28">
        <f>H17*P17</f>
        <v/>
      </c>
      <c r="Z17" s="28">
        <f>H17*Q17</f>
        <v/>
      </c>
      <c r="AA17" s="28">
        <f>SUM(U17:Z17)</f>
        <v/>
      </c>
      <c r="AB17" s="5">
        <f>IF(COUNTIF('02b_DC_Accelerator_Mix'!$A$2:$A$977,G17)&gt;0,"matched","missing_mix")</f>
        <v/>
      </c>
    </row>
    <row r="18">
      <c r="A18" s="5">
        <f>'02a_DC_Capacity_Alloc'!A18</f>
        <v/>
      </c>
      <c r="B18" s="5">
        <f>'02a_DC_Capacity_Alloc'!B18</f>
        <v/>
      </c>
      <c r="C18" s="5">
        <f>'02a_DC_Capacity_Alloc'!C18</f>
        <v/>
      </c>
      <c r="D18" s="5">
        <f>'02a_DC_Capacity_Alloc'!D18</f>
        <v/>
      </c>
      <c r="E18" s="5">
        <f>'02a_DC_Capacity_Alloc'!E18</f>
        <v/>
      </c>
      <c r="F18" s="5">
        <f>'02a_DC_Capacity_Alloc'!F18</f>
        <v/>
      </c>
      <c r="G18" s="5">
        <f>B18&amp;"|"&amp;E18&amp;"|"&amp;D18</f>
        <v/>
      </c>
      <c r="H18" s="28">
        <f>'02a_DC_Capacity_Alloc'!H18*'02a_DC_Capacity_Alloc'!I18*'02a_DC_Capacity_Alloc'!J18</f>
        <v/>
      </c>
      <c r="I18" s="6">
        <f>IFERROR(INDEX('02b_DC_Accelerator_Mix'!$F$2:$F$977,MATCH(G18,'02b_DC_Accelerator_Mix'!$A$2:$A$977,0)),0)</f>
        <v/>
      </c>
      <c r="J18" s="6">
        <f>IFERROR(INDEX('02b_DC_Accelerator_Mix'!$G$2:$G$977,MATCH(G18,'02b_DC_Accelerator_Mix'!$A$2:$A$977,0)),0)</f>
        <v/>
      </c>
      <c r="K18" s="6">
        <f>IFERROR(INDEX('02b_DC_Accelerator_Mix'!$H$2:$H$977,MATCH(G18,'02b_DC_Accelerator_Mix'!$A$2:$A$977,0)),0)</f>
        <v/>
      </c>
      <c r="L18" s="6">
        <f>IFERROR(INDEX('02b_DC_Accelerator_Mix'!$I$2:$I$977,MATCH(G18,'02b_DC_Accelerator_Mix'!$A$2:$A$977,0)),0)</f>
        <v/>
      </c>
      <c r="M18" s="6">
        <f>IFERROR(INDEX('02b_DC_Accelerator_Mix'!$J$2:$J$977,MATCH(G18,'02b_DC_Accelerator_Mix'!$A$2:$A$977,0)),0)</f>
        <v/>
      </c>
      <c r="N18" s="6">
        <f>IFERROR(INDEX('02b_DC_Accelerator_Mix'!$K$2:$K$977,MATCH(G18,'02b_DC_Accelerator_Mix'!$A$2:$A$977,0)),0)</f>
        <v/>
      </c>
      <c r="O18" s="6">
        <f>IFERROR(INDEX('02b_DC_Accelerator_Mix'!$L$2:$L$977,MATCH(G18,'02b_DC_Accelerator_Mix'!$A$2:$A$977,0)),0)</f>
        <v/>
      </c>
      <c r="P18" s="6">
        <f>IFERROR(INDEX('02b_DC_Accelerator_Mix'!$M$2:$M$977,MATCH(G18,'02b_DC_Accelerator_Mix'!$A$2:$A$977,0)),0)</f>
        <v/>
      </c>
      <c r="Q18" s="6">
        <f>IFERROR(INDEX('02b_DC_Accelerator_Mix'!$N$2:$N$977,MATCH(G18,'02b_DC_Accelerator_Mix'!$A$2:$A$977,0)),0)</f>
        <v/>
      </c>
      <c r="R18" s="28">
        <f>H18*I18</f>
        <v/>
      </c>
      <c r="S18" s="28">
        <f>H18*J18</f>
        <v/>
      </c>
      <c r="T18" s="28">
        <f>H18*K18</f>
        <v/>
      </c>
      <c r="U18" s="28">
        <f>H18*L18</f>
        <v/>
      </c>
      <c r="V18" s="28">
        <f>H18*M18</f>
        <v/>
      </c>
      <c r="W18" s="28">
        <f>H18*N18</f>
        <v/>
      </c>
      <c r="X18" s="28">
        <f>H18*O18</f>
        <v/>
      </c>
      <c r="Y18" s="28">
        <f>H18*P18</f>
        <v/>
      </c>
      <c r="Z18" s="28">
        <f>H18*Q18</f>
        <v/>
      </c>
      <c r="AA18" s="28">
        <f>SUM(U18:Z18)</f>
        <v/>
      </c>
      <c r="AB18" s="5">
        <f>IF(COUNTIF('02b_DC_Accelerator_Mix'!$A$2:$A$977,G18)&gt;0,"matched","missing_mix")</f>
        <v/>
      </c>
    </row>
    <row r="19">
      <c r="A19" s="5">
        <f>'02a_DC_Capacity_Alloc'!A19</f>
        <v/>
      </c>
      <c r="B19" s="5">
        <f>'02a_DC_Capacity_Alloc'!B19</f>
        <v/>
      </c>
      <c r="C19" s="5">
        <f>'02a_DC_Capacity_Alloc'!C19</f>
        <v/>
      </c>
      <c r="D19" s="5">
        <f>'02a_DC_Capacity_Alloc'!D19</f>
        <v/>
      </c>
      <c r="E19" s="5">
        <f>'02a_DC_Capacity_Alloc'!E19</f>
        <v/>
      </c>
      <c r="F19" s="5">
        <f>'02a_DC_Capacity_Alloc'!F19</f>
        <v/>
      </c>
      <c r="G19" s="5">
        <f>B19&amp;"|"&amp;E19&amp;"|"&amp;D19</f>
        <v/>
      </c>
      <c r="H19" s="28">
        <f>'02a_DC_Capacity_Alloc'!H19*'02a_DC_Capacity_Alloc'!I19*'02a_DC_Capacity_Alloc'!J19</f>
        <v/>
      </c>
      <c r="I19" s="6">
        <f>IFERROR(INDEX('02b_DC_Accelerator_Mix'!$F$2:$F$977,MATCH(G19,'02b_DC_Accelerator_Mix'!$A$2:$A$977,0)),0)</f>
        <v/>
      </c>
      <c r="J19" s="6">
        <f>IFERROR(INDEX('02b_DC_Accelerator_Mix'!$G$2:$G$977,MATCH(G19,'02b_DC_Accelerator_Mix'!$A$2:$A$977,0)),0)</f>
        <v/>
      </c>
      <c r="K19" s="6">
        <f>IFERROR(INDEX('02b_DC_Accelerator_Mix'!$H$2:$H$977,MATCH(G19,'02b_DC_Accelerator_Mix'!$A$2:$A$977,0)),0)</f>
        <v/>
      </c>
      <c r="L19" s="6">
        <f>IFERROR(INDEX('02b_DC_Accelerator_Mix'!$I$2:$I$977,MATCH(G19,'02b_DC_Accelerator_Mix'!$A$2:$A$977,0)),0)</f>
        <v/>
      </c>
      <c r="M19" s="6">
        <f>IFERROR(INDEX('02b_DC_Accelerator_Mix'!$J$2:$J$977,MATCH(G19,'02b_DC_Accelerator_Mix'!$A$2:$A$977,0)),0)</f>
        <v/>
      </c>
      <c r="N19" s="6">
        <f>IFERROR(INDEX('02b_DC_Accelerator_Mix'!$K$2:$K$977,MATCH(G19,'02b_DC_Accelerator_Mix'!$A$2:$A$977,0)),0)</f>
        <v/>
      </c>
      <c r="O19" s="6">
        <f>IFERROR(INDEX('02b_DC_Accelerator_Mix'!$L$2:$L$977,MATCH(G19,'02b_DC_Accelerator_Mix'!$A$2:$A$977,0)),0)</f>
        <v/>
      </c>
      <c r="P19" s="6">
        <f>IFERROR(INDEX('02b_DC_Accelerator_Mix'!$M$2:$M$977,MATCH(G19,'02b_DC_Accelerator_Mix'!$A$2:$A$977,0)),0)</f>
        <v/>
      </c>
      <c r="Q19" s="6">
        <f>IFERROR(INDEX('02b_DC_Accelerator_Mix'!$N$2:$N$977,MATCH(G19,'02b_DC_Accelerator_Mix'!$A$2:$A$977,0)),0)</f>
        <v/>
      </c>
      <c r="R19" s="28">
        <f>H19*I19</f>
        <v/>
      </c>
      <c r="S19" s="28">
        <f>H19*J19</f>
        <v/>
      </c>
      <c r="T19" s="28">
        <f>H19*K19</f>
        <v/>
      </c>
      <c r="U19" s="28">
        <f>H19*L19</f>
        <v/>
      </c>
      <c r="V19" s="28">
        <f>H19*M19</f>
        <v/>
      </c>
      <c r="W19" s="28">
        <f>H19*N19</f>
        <v/>
      </c>
      <c r="X19" s="28">
        <f>H19*O19</f>
        <v/>
      </c>
      <c r="Y19" s="28">
        <f>H19*P19</f>
        <v/>
      </c>
      <c r="Z19" s="28">
        <f>H19*Q19</f>
        <v/>
      </c>
      <c r="AA19" s="28">
        <f>SUM(U19:Z19)</f>
        <v/>
      </c>
      <c r="AB19" s="5">
        <f>IF(COUNTIF('02b_DC_Accelerator_Mix'!$A$2:$A$977,G19)&gt;0,"matched","missing_mix")</f>
        <v/>
      </c>
    </row>
    <row r="20">
      <c r="A20" s="5">
        <f>'02a_DC_Capacity_Alloc'!A20</f>
        <v/>
      </c>
      <c r="B20" s="5">
        <f>'02a_DC_Capacity_Alloc'!B20</f>
        <v/>
      </c>
      <c r="C20" s="5">
        <f>'02a_DC_Capacity_Alloc'!C20</f>
        <v/>
      </c>
      <c r="D20" s="5">
        <f>'02a_DC_Capacity_Alloc'!D20</f>
        <v/>
      </c>
      <c r="E20" s="5">
        <f>'02a_DC_Capacity_Alloc'!E20</f>
        <v/>
      </c>
      <c r="F20" s="5">
        <f>'02a_DC_Capacity_Alloc'!F20</f>
        <v/>
      </c>
      <c r="G20" s="5">
        <f>B20&amp;"|"&amp;E20&amp;"|"&amp;D20</f>
        <v/>
      </c>
      <c r="H20" s="28">
        <f>'02a_DC_Capacity_Alloc'!H20*'02a_DC_Capacity_Alloc'!I20*'02a_DC_Capacity_Alloc'!J20</f>
        <v/>
      </c>
      <c r="I20" s="6">
        <f>IFERROR(INDEX('02b_DC_Accelerator_Mix'!$F$2:$F$977,MATCH(G20,'02b_DC_Accelerator_Mix'!$A$2:$A$977,0)),0)</f>
        <v/>
      </c>
      <c r="J20" s="6">
        <f>IFERROR(INDEX('02b_DC_Accelerator_Mix'!$G$2:$G$977,MATCH(G20,'02b_DC_Accelerator_Mix'!$A$2:$A$977,0)),0)</f>
        <v/>
      </c>
      <c r="K20" s="6">
        <f>IFERROR(INDEX('02b_DC_Accelerator_Mix'!$H$2:$H$977,MATCH(G20,'02b_DC_Accelerator_Mix'!$A$2:$A$977,0)),0)</f>
        <v/>
      </c>
      <c r="L20" s="6">
        <f>IFERROR(INDEX('02b_DC_Accelerator_Mix'!$I$2:$I$977,MATCH(G20,'02b_DC_Accelerator_Mix'!$A$2:$A$977,0)),0)</f>
        <v/>
      </c>
      <c r="M20" s="6">
        <f>IFERROR(INDEX('02b_DC_Accelerator_Mix'!$J$2:$J$977,MATCH(G20,'02b_DC_Accelerator_Mix'!$A$2:$A$977,0)),0)</f>
        <v/>
      </c>
      <c r="N20" s="6">
        <f>IFERROR(INDEX('02b_DC_Accelerator_Mix'!$K$2:$K$977,MATCH(G20,'02b_DC_Accelerator_Mix'!$A$2:$A$977,0)),0)</f>
        <v/>
      </c>
      <c r="O20" s="6">
        <f>IFERROR(INDEX('02b_DC_Accelerator_Mix'!$L$2:$L$977,MATCH(G20,'02b_DC_Accelerator_Mix'!$A$2:$A$977,0)),0)</f>
        <v/>
      </c>
      <c r="P20" s="6">
        <f>IFERROR(INDEX('02b_DC_Accelerator_Mix'!$M$2:$M$977,MATCH(G20,'02b_DC_Accelerator_Mix'!$A$2:$A$977,0)),0)</f>
        <v/>
      </c>
      <c r="Q20" s="6">
        <f>IFERROR(INDEX('02b_DC_Accelerator_Mix'!$N$2:$N$977,MATCH(G20,'02b_DC_Accelerator_Mix'!$A$2:$A$977,0)),0)</f>
        <v/>
      </c>
      <c r="R20" s="28">
        <f>H20*I20</f>
        <v/>
      </c>
      <c r="S20" s="28">
        <f>H20*J20</f>
        <v/>
      </c>
      <c r="T20" s="28">
        <f>H20*K20</f>
        <v/>
      </c>
      <c r="U20" s="28">
        <f>H20*L20</f>
        <v/>
      </c>
      <c r="V20" s="28">
        <f>H20*M20</f>
        <v/>
      </c>
      <c r="W20" s="28">
        <f>H20*N20</f>
        <v/>
      </c>
      <c r="X20" s="28">
        <f>H20*O20</f>
        <v/>
      </c>
      <c r="Y20" s="28">
        <f>H20*P20</f>
        <v/>
      </c>
      <c r="Z20" s="28">
        <f>H20*Q20</f>
        <v/>
      </c>
      <c r="AA20" s="28">
        <f>SUM(U20:Z20)</f>
        <v/>
      </c>
      <c r="AB20" s="5">
        <f>IF(COUNTIF('02b_DC_Accelerator_Mix'!$A$2:$A$977,G20)&gt;0,"matched","missing_mix")</f>
        <v/>
      </c>
    </row>
    <row r="21">
      <c r="A21" s="5">
        <f>'02a_DC_Capacity_Alloc'!A21</f>
        <v/>
      </c>
      <c r="B21" s="5">
        <f>'02a_DC_Capacity_Alloc'!B21</f>
        <v/>
      </c>
      <c r="C21" s="5">
        <f>'02a_DC_Capacity_Alloc'!C21</f>
        <v/>
      </c>
      <c r="D21" s="5">
        <f>'02a_DC_Capacity_Alloc'!D21</f>
        <v/>
      </c>
      <c r="E21" s="5">
        <f>'02a_DC_Capacity_Alloc'!E21</f>
        <v/>
      </c>
      <c r="F21" s="5">
        <f>'02a_DC_Capacity_Alloc'!F21</f>
        <v/>
      </c>
      <c r="G21" s="5">
        <f>B21&amp;"|"&amp;E21&amp;"|"&amp;D21</f>
        <v/>
      </c>
      <c r="H21" s="28">
        <f>'02a_DC_Capacity_Alloc'!H21*'02a_DC_Capacity_Alloc'!I21*'02a_DC_Capacity_Alloc'!J21</f>
        <v/>
      </c>
      <c r="I21" s="6">
        <f>IFERROR(INDEX('02b_DC_Accelerator_Mix'!$F$2:$F$977,MATCH(G21,'02b_DC_Accelerator_Mix'!$A$2:$A$977,0)),0)</f>
        <v/>
      </c>
      <c r="J21" s="6">
        <f>IFERROR(INDEX('02b_DC_Accelerator_Mix'!$G$2:$G$977,MATCH(G21,'02b_DC_Accelerator_Mix'!$A$2:$A$977,0)),0)</f>
        <v/>
      </c>
      <c r="K21" s="6">
        <f>IFERROR(INDEX('02b_DC_Accelerator_Mix'!$H$2:$H$977,MATCH(G21,'02b_DC_Accelerator_Mix'!$A$2:$A$977,0)),0)</f>
        <v/>
      </c>
      <c r="L21" s="6">
        <f>IFERROR(INDEX('02b_DC_Accelerator_Mix'!$I$2:$I$977,MATCH(G21,'02b_DC_Accelerator_Mix'!$A$2:$A$977,0)),0)</f>
        <v/>
      </c>
      <c r="M21" s="6">
        <f>IFERROR(INDEX('02b_DC_Accelerator_Mix'!$J$2:$J$977,MATCH(G21,'02b_DC_Accelerator_Mix'!$A$2:$A$977,0)),0)</f>
        <v/>
      </c>
      <c r="N21" s="6">
        <f>IFERROR(INDEX('02b_DC_Accelerator_Mix'!$K$2:$K$977,MATCH(G21,'02b_DC_Accelerator_Mix'!$A$2:$A$977,0)),0)</f>
        <v/>
      </c>
      <c r="O21" s="6">
        <f>IFERROR(INDEX('02b_DC_Accelerator_Mix'!$L$2:$L$977,MATCH(G21,'02b_DC_Accelerator_Mix'!$A$2:$A$977,0)),0)</f>
        <v/>
      </c>
      <c r="P21" s="6">
        <f>IFERROR(INDEX('02b_DC_Accelerator_Mix'!$M$2:$M$977,MATCH(G21,'02b_DC_Accelerator_Mix'!$A$2:$A$977,0)),0)</f>
        <v/>
      </c>
      <c r="Q21" s="6">
        <f>IFERROR(INDEX('02b_DC_Accelerator_Mix'!$N$2:$N$977,MATCH(G21,'02b_DC_Accelerator_Mix'!$A$2:$A$977,0)),0)</f>
        <v/>
      </c>
      <c r="R21" s="28">
        <f>H21*I21</f>
        <v/>
      </c>
      <c r="S21" s="28">
        <f>H21*J21</f>
        <v/>
      </c>
      <c r="T21" s="28">
        <f>H21*K21</f>
        <v/>
      </c>
      <c r="U21" s="28">
        <f>H21*L21</f>
        <v/>
      </c>
      <c r="V21" s="28">
        <f>H21*M21</f>
        <v/>
      </c>
      <c r="W21" s="28">
        <f>H21*N21</f>
        <v/>
      </c>
      <c r="X21" s="28">
        <f>H21*O21</f>
        <v/>
      </c>
      <c r="Y21" s="28">
        <f>H21*P21</f>
        <v/>
      </c>
      <c r="Z21" s="28">
        <f>H21*Q21</f>
        <v/>
      </c>
      <c r="AA21" s="28">
        <f>SUM(U21:Z21)</f>
        <v/>
      </c>
      <c r="AB21" s="5">
        <f>IF(COUNTIF('02b_DC_Accelerator_Mix'!$A$2:$A$977,G21)&gt;0,"matched","missing_mix")</f>
        <v/>
      </c>
    </row>
    <row r="22">
      <c r="A22" s="5">
        <f>'02a_DC_Capacity_Alloc'!A22</f>
        <v/>
      </c>
      <c r="B22" s="5">
        <f>'02a_DC_Capacity_Alloc'!B22</f>
        <v/>
      </c>
      <c r="C22" s="5">
        <f>'02a_DC_Capacity_Alloc'!C22</f>
        <v/>
      </c>
      <c r="D22" s="5">
        <f>'02a_DC_Capacity_Alloc'!D22</f>
        <v/>
      </c>
      <c r="E22" s="5">
        <f>'02a_DC_Capacity_Alloc'!E22</f>
        <v/>
      </c>
      <c r="F22" s="5">
        <f>'02a_DC_Capacity_Alloc'!F22</f>
        <v/>
      </c>
      <c r="G22" s="5">
        <f>B22&amp;"|"&amp;E22&amp;"|"&amp;D22</f>
        <v/>
      </c>
      <c r="H22" s="28">
        <f>'02a_DC_Capacity_Alloc'!H22*'02a_DC_Capacity_Alloc'!I22*'02a_DC_Capacity_Alloc'!J22</f>
        <v/>
      </c>
      <c r="I22" s="6">
        <f>IFERROR(INDEX('02b_DC_Accelerator_Mix'!$F$2:$F$977,MATCH(G22,'02b_DC_Accelerator_Mix'!$A$2:$A$977,0)),0)</f>
        <v/>
      </c>
      <c r="J22" s="6">
        <f>IFERROR(INDEX('02b_DC_Accelerator_Mix'!$G$2:$G$977,MATCH(G22,'02b_DC_Accelerator_Mix'!$A$2:$A$977,0)),0)</f>
        <v/>
      </c>
      <c r="K22" s="6">
        <f>IFERROR(INDEX('02b_DC_Accelerator_Mix'!$H$2:$H$977,MATCH(G22,'02b_DC_Accelerator_Mix'!$A$2:$A$977,0)),0)</f>
        <v/>
      </c>
      <c r="L22" s="6">
        <f>IFERROR(INDEX('02b_DC_Accelerator_Mix'!$I$2:$I$977,MATCH(G22,'02b_DC_Accelerator_Mix'!$A$2:$A$977,0)),0)</f>
        <v/>
      </c>
      <c r="M22" s="6">
        <f>IFERROR(INDEX('02b_DC_Accelerator_Mix'!$J$2:$J$977,MATCH(G22,'02b_DC_Accelerator_Mix'!$A$2:$A$977,0)),0)</f>
        <v/>
      </c>
      <c r="N22" s="6">
        <f>IFERROR(INDEX('02b_DC_Accelerator_Mix'!$K$2:$K$977,MATCH(G22,'02b_DC_Accelerator_Mix'!$A$2:$A$977,0)),0)</f>
        <v/>
      </c>
      <c r="O22" s="6">
        <f>IFERROR(INDEX('02b_DC_Accelerator_Mix'!$L$2:$L$977,MATCH(G22,'02b_DC_Accelerator_Mix'!$A$2:$A$977,0)),0)</f>
        <v/>
      </c>
      <c r="P22" s="6">
        <f>IFERROR(INDEX('02b_DC_Accelerator_Mix'!$M$2:$M$977,MATCH(G22,'02b_DC_Accelerator_Mix'!$A$2:$A$977,0)),0)</f>
        <v/>
      </c>
      <c r="Q22" s="6">
        <f>IFERROR(INDEX('02b_DC_Accelerator_Mix'!$N$2:$N$977,MATCH(G22,'02b_DC_Accelerator_Mix'!$A$2:$A$977,0)),0)</f>
        <v/>
      </c>
      <c r="R22" s="28">
        <f>H22*I22</f>
        <v/>
      </c>
      <c r="S22" s="28">
        <f>H22*J22</f>
        <v/>
      </c>
      <c r="T22" s="28">
        <f>H22*K22</f>
        <v/>
      </c>
      <c r="U22" s="28">
        <f>H22*L22</f>
        <v/>
      </c>
      <c r="V22" s="28">
        <f>H22*M22</f>
        <v/>
      </c>
      <c r="W22" s="28">
        <f>H22*N22</f>
        <v/>
      </c>
      <c r="X22" s="28">
        <f>H22*O22</f>
        <v/>
      </c>
      <c r="Y22" s="28">
        <f>H22*P22</f>
        <v/>
      </c>
      <c r="Z22" s="28">
        <f>H22*Q22</f>
        <v/>
      </c>
      <c r="AA22" s="28">
        <f>SUM(U22:Z22)</f>
        <v/>
      </c>
      <c r="AB22" s="5">
        <f>IF(COUNTIF('02b_DC_Accelerator_Mix'!$A$2:$A$977,G22)&gt;0,"matched","missing_mix")</f>
        <v/>
      </c>
    </row>
    <row r="23">
      <c r="A23" s="5">
        <f>'02a_DC_Capacity_Alloc'!A23</f>
        <v/>
      </c>
      <c r="B23" s="5">
        <f>'02a_DC_Capacity_Alloc'!B23</f>
        <v/>
      </c>
      <c r="C23" s="5">
        <f>'02a_DC_Capacity_Alloc'!C23</f>
        <v/>
      </c>
      <c r="D23" s="5">
        <f>'02a_DC_Capacity_Alloc'!D23</f>
        <v/>
      </c>
      <c r="E23" s="5">
        <f>'02a_DC_Capacity_Alloc'!E23</f>
        <v/>
      </c>
      <c r="F23" s="5">
        <f>'02a_DC_Capacity_Alloc'!F23</f>
        <v/>
      </c>
      <c r="G23" s="5">
        <f>B23&amp;"|"&amp;E23&amp;"|"&amp;D23</f>
        <v/>
      </c>
      <c r="H23" s="28">
        <f>'02a_DC_Capacity_Alloc'!H23*'02a_DC_Capacity_Alloc'!I23*'02a_DC_Capacity_Alloc'!J23</f>
        <v/>
      </c>
      <c r="I23" s="6">
        <f>IFERROR(INDEX('02b_DC_Accelerator_Mix'!$F$2:$F$977,MATCH(G23,'02b_DC_Accelerator_Mix'!$A$2:$A$977,0)),0)</f>
        <v/>
      </c>
      <c r="J23" s="6">
        <f>IFERROR(INDEX('02b_DC_Accelerator_Mix'!$G$2:$G$977,MATCH(G23,'02b_DC_Accelerator_Mix'!$A$2:$A$977,0)),0)</f>
        <v/>
      </c>
      <c r="K23" s="6">
        <f>IFERROR(INDEX('02b_DC_Accelerator_Mix'!$H$2:$H$977,MATCH(G23,'02b_DC_Accelerator_Mix'!$A$2:$A$977,0)),0)</f>
        <v/>
      </c>
      <c r="L23" s="6">
        <f>IFERROR(INDEX('02b_DC_Accelerator_Mix'!$I$2:$I$977,MATCH(G23,'02b_DC_Accelerator_Mix'!$A$2:$A$977,0)),0)</f>
        <v/>
      </c>
      <c r="M23" s="6">
        <f>IFERROR(INDEX('02b_DC_Accelerator_Mix'!$J$2:$J$977,MATCH(G23,'02b_DC_Accelerator_Mix'!$A$2:$A$977,0)),0)</f>
        <v/>
      </c>
      <c r="N23" s="6">
        <f>IFERROR(INDEX('02b_DC_Accelerator_Mix'!$K$2:$K$977,MATCH(G23,'02b_DC_Accelerator_Mix'!$A$2:$A$977,0)),0)</f>
        <v/>
      </c>
      <c r="O23" s="6">
        <f>IFERROR(INDEX('02b_DC_Accelerator_Mix'!$L$2:$L$977,MATCH(G23,'02b_DC_Accelerator_Mix'!$A$2:$A$977,0)),0)</f>
        <v/>
      </c>
      <c r="P23" s="6">
        <f>IFERROR(INDEX('02b_DC_Accelerator_Mix'!$M$2:$M$977,MATCH(G23,'02b_DC_Accelerator_Mix'!$A$2:$A$977,0)),0)</f>
        <v/>
      </c>
      <c r="Q23" s="6">
        <f>IFERROR(INDEX('02b_DC_Accelerator_Mix'!$N$2:$N$977,MATCH(G23,'02b_DC_Accelerator_Mix'!$A$2:$A$977,0)),0)</f>
        <v/>
      </c>
      <c r="R23" s="28">
        <f>H23*I23</f>
        <v/>
      </c>
      <c r="S23" s="28">
        <f>H23*J23</f>
        <v/>
      </c>
      <c r="T23" s="28">
        <f>H23*K23</f>
        <v/>
      </c>
      <c r="U23" s="28">
        <f>H23*L23</f>
        <v/>
      </c>
      <c r="V23" s="28">
        <f>H23*M23</f>
        <v/>
      </c>
      <c r="W23" s="28">
        <f>H23*N23</f>
        <v/>
      </c>
      <c r="X23" s="28">
        <f>H23*O23</f>
        <v/>
      </c>
      <c r="Y23" s="28">
        <f>H23*P23</f>
        <v/>
      </c>
      <c r="Z23" s="28">
        <f>H23*Q23</f>
        <v/>
      </c>
      <c r="AA23" s="28">
        <f>SUM(U23:Z23)</f>
        <v/>
      </c>
      <c r="AB23" s="5">
        <f>IF(COUNTIF('02b_DC_Accelerator_Mix'!$A$2:$A$977,G23)&gt;0,"matched","missing_mix")</f>
        <v/>
      </c>
    </row>
    <row r="24">
      <c r="A24" s="5">
        <f>'02a_DC_Capacity_Alloc'!A24</f>
        <v/>
      </c>
      <c r="B24" s="5">
        <f>'02a_DC_Capacity_Alloc'!B24</f>
        <v/>
      </c>
      <c r="C24" s="5">
        <f>'02a_DC_Capacity_Alloc'!C24</f>
        <v/>
      </c>
      <c r="D24" s="5">
        <f>'02a_DC_Capacity_Alloc'!D24</f>
        <v/>
      </c>
      <c r="E24" s="5">
        <f>'02a_DC_Capacity_Alloc'!E24</f>
        <v/>
      </c>
      <c r="F24" s="5">
        <f>'02a_DC_Capacity_Alloc'!F24</f>
        <v/>
      </c>
      <c r="G24" s="5">
        <f>B24&amp;"|"&amp;E24&amp;"|"&amp;D24</f>
        <v/>
      </c>
      <c r="H24" s="28">
        <f>'02a_DC_Capacity_Alloc'!H24*'02a_DC_Capacity_Alloc'!I24*'02a_DC_Capacity_Alloc'!J24</f>
        <v/>
      </c>
      <c r="I24" s="6">
        <f>IFERROR(INDEX('02b_DC_Accelerator_Mix'!$F$2:$F$977,MATCH(G24,'02b_DC_Accelerator_Mix'!$A$2:$A$977,0)),0)</f>
        <v/>
      </c>
      <c r="J24" s="6">
        <f>IFERROR(INDEX('02b_DC_Accelerator_Mix'!$G$2:$G$977,MATCH(G24,'02b_DC_Accelerator_Mix'!$A$2:$A$977,0)),0)</f>
        <v/>
      </c>
      <c r="K24" s="6">
        <f>IFERROR(INDEX('02b_DC_Accelerator_Mix'!$H$2:$H$977,MATCH(G24,'02b_DC_Accelerator_Mix'!$A$2:$A$977,0)),0)</f>
        <v/>
      </c>
      <c r="L24" s="6">
        <f>IFERROR(INDEX('02b_DC_Accelerator_Mix'!$I$2:$I$977,MATCH(G24,'02b_DC_Accelerator_Mix'!$A$2:$A$977,0)),0)</f>
        <v/>
      </c>
      <c r="M24" s="6">
        <f>IFERROR(INDEX('02b_DC_Accelerator_Mix'!$J$2:$J$977,MATCH(G24,'02b_DC_Accelerator_Mix'!$A$2:$A$977,0)),0)</f>
        <v/>
      </c>
      <c r="N24" s="6">
        <f>IFERROR(INDEX('02b_DC_Accelerator_Mix'!$K$2:$K$977,MATCH(G24,'02b_DC_Accelerator_Mix'!$A$2:$A$977,0)),0)</f>
        <v/>
      </c>
      <c r="O24" s="6">
        <f>IFERROR(INDEX('02b_DC_Accelerator_Mix'!$L$2:$L$977,MATCH(G24,'02b_DC_Accelerator_Mix'!$A$2:$A$977,0)),0)</f>
        <v/>
      </c>
      <c r="P24" s="6">
        <f>IFERROR(INDEX('02b_DC_Accelerator_Mix'!$M$2:$M$977,MATCH(G24,'02b_DC_Accelerator_Mix'!$A$2:$A$977,0)),0)</f>
        <v/>
      </c>
      <c r="Q24" s="6">
        <f>IFERROR(INDEX('02b_DC_Accelerator_Mix'!$N$2:$N$977,MATCH(G24,'02b_DC_Accelerator_Mix'!$A$2:$A$977,0)),0)</f>
        <v/>
      </c>
      <c r="R24" s="28">
        <f>H24*I24</f>
        <v/>
      </c>
      <c r="S24" s="28">
        <f>H24*J24</f>
        <v/>
      </c>
      <c r="T24" s="28">
        <f>H24*K24</f>
        <v/>
      </c>
      <c r="U24" s="28">
        <f>H24*L24</f>
        <v/>
      </c>
      <c r="V24" s="28">
        <f>H24*M24</f>
        <v/>
      </c>
      <c r="W24" s="28">
        <f>H24*N24</f>
        <v/>
      </c>
      <c r="X24" s="28">
        <f>H24*O24</f>
        <v/>
      </c>
      <c r="Y24" s="28">
        <f>H24*P24</f>
        <v/>
      </c>
      <c r="Z24" s="28">
        <f>H24*Q24</f>
        <v/>
      </c>
      <c r="AA24" s="28">
        <f>SUM(U24:Z24)</f>
        <v/>
      </c>
      <c r="AB24" s="5">
        <f>IF(COUNTIF('02b_DC_Accelerator_Mix'!$A$2:$A$977,G24)&gt;0,"matched","missing_mix")</f>
        <v/>
      </c>
    </row>
    <row r="25">
      <c r="A25" s="5">
        <f>'02a_DC_Capacity_Alloc'!A25</f>
        <v/>
      </c>
      <c r="B25" s="5">
        <f>'02a_DC_Capacity_Alloc'!B25</f>
        <v/>
      </c>
      <c r="C25" s="5">
        <f>'02a_DC_Capacity_Alloc'!C25</f>
        <v/>
      </c>
      <c r="D25" s="5">
        <f>'02a_DC_Capacity_Alloc'!D25</f>
        <v/>
      </c>
      <c r="E25" s="5">
        <f>'02a_DC_Capacity_Alloc'!E25</f>
        <v/>
      </c>
      <c r="F25" s="5">
        <f>'02a_DC_Capacity_Alloc'!F25</f>
        <v/>
      </c>
      <c r="G25" s="5">
        <f>B25&amp;"|"&amp;E25&amp;"|"&amp;D25</f>
        <v/>
      </c>
      <c r="H25" s="28">
        <f>'02a_DC_Capacity_Alloc'!H25*'02a_DC_Capacity_Alloc'!I25*'02a_DC_Capacity_Alloc'!J25</f>
        <v/>
      </c>
      <c r="I25" s="6">
        <f>IFERROR(INDEX('02b_DC_Accelerator_Mix'!$F$2:$F$977,MATCH(G25,'02b_DC_Accelerator_Mix'!$A$2:$A$977,0)),0)</f>
        <v/>
      </c>
      <c r="J25" s="6">
        <f>IFERROR(INDEX('02b_DC_Accelerator_Mix'!$G$2:$G$977,MATCH(G25,'02b_DC_Accelerator_Mix'!$A$2:$A$977,0)),0)</f>
        <v/>
      </c>
      <c r="K25" s="6">
        <f>IFERROR(INDEX('02b_DC_Accelerator_Mix'!$H$2:$H$977,MATCH(G25,'02b_DC_Accelerator_Mix'!$A$2:$A$977,0)),0)</f>
        <v/>
      </c>
      <c r="L25" s="6">
        <f>IFERROR(INDEX('02b_DC_Accelerator_Mix'!$I$2:$I$977,MATCH(G25,'02b_DC_Accelerator_Mix'!$A$2:$A$977,0)),0)</f>
        <v/>
      </c>
      <c r="M25" s="6">
        <f>IFERROR(INDEX('02b_DC_Accelerator_Mix'!$J$2:$J$977,MATCH(G25,'02b_DC_Accelerator_Mix'!$A$2:$A$977,0)),0)</f>
        <v/>
      </c>
      <c r="N25" s="6">
        <f>IFERROR(INDEX('02b_DC_Accelerator_Mix'!$K$2:$K$977,MATCH(G25,'02b_DC_Accelerator_Mix'!$A$2:$A$977,0)),0)</f>
        <v/>
      </c>
      <c r="O25" s="6">
        <f>IFERROR(INDEX('02b_DC_Accelerator_Mix'!$L$2:$L$977,MATCH(G25,'02b_DC_Accelerator_Mix'!$A$2:$A$977,0)),0)</f>
        <v/>
      </c>
      <c r="P25" s="6">
        <f>IFERROR(INDEX('02b_DC_Accelerator_Mix'!$M$2:$M$977,MATCH(G25,'02b_DC_Accelerator_Mix'!$A$2:$A$977,0)),0)</f>
        <v/>
      </c>
      <c r="Q25" s="6">
        <f>IFERROR(INDEX('02b_DC_Accelerator_Mix'!$N$2:$N$977,MATCH(G25,'02b_DC_Accelerator_Mix'!$A$2:$A$977,0)),0)</f>
        <v/>
      </c>
      <c r="R25" s="28">
        <f>H25*I25</f>
        <v/>
      </c>
      <c r="S25" s="28">
        <f>H25*J25</f>
        <v/>
      </c>
      <c r="T25" s="28">
        <f>H25*K25</f>
        <v/>
      </c>
      <c r="U25" s="28">
        <f>H25*L25</f>
        <v/>
      </c>
      <c r="V25" s="28">
        <f>H25*M25</f>
        <v/>
      </c>
      <c r="W25" s="28">
        <f>H25*N25</f>
        <v/>
      </c>
      <c r="X25" s="28">
        <f>H25*O25</f>
        <v/>
      </c>
      <c r="Y25" s="28">
        <f>H25*P25</f>
        <v/>
      </c>
      <c r="Z25" s="28">
        <f>H25*Q25</f>
        <v/>
      </c>
      <c r="AA25" s="28">
        <f>SUM(U25:Z25)</f>
        <v/>
      </c>
      <c r="AB25" s="5">
        <f>IF(COUNTIF('02b_DC_Accelerator_Mix'!$A$2:$A$977,G25)&gt;0,"matched","missing_mix")</f>
        <v/>
      </c>
    </row>
    <row r="26">
      <c r="A26" s="5">
        <f>'02a_DC_Capacity_Alloc'!A26</f>
        <v/>
      </c>
      <c r="B26" s="5">
        <f>'02a_DC_Capacity_Alloc'!B26</f>
        <v/>
      </c>
      <c r="C26" s="5">
        <f>'02a_DC_Capacity_Alloc'!C26</f>
        <v/>
      </c>
      <c r="D26" s="5">
        <f>'02a_DC_Capacity_Alloc'!D26</f>
        <v/>
      </c>
      <c r="E26" s="5">
        <f>'02a_DC_Capacity_Alloc'!E26</f>
        <v/>
      </c>
      <c r="F26" s="5">
        <f>'02a_DC_Capacity_Alloc'!F26</f>
        <v/>
      </c>
      <c r="G26" s="5">
        <f>B26&amp;"|"&amp;E26&amp;"|"&amp;D26</f>
        <v/>
      </c>
      <c r="H26" s="28">
        <f>'02a_DC_Capacity_Alloc'!H26*'02a_DC_Capacity_Alloc'!I26*'02a_DC_Capacity_Alloc'!J26</f>
        <v/>
      </c>
      <c r="I26" s="6">
        <f>IFERROR(INDEX('02b_DC_Accelerator_Mix'!$F$2:$F$977,MATCH(G26,'02b_DC_Accelerator_Mix'!$A$2:$A$977,0)),0)</f>
        <v/>
      </c>
      <c r="J26" s="6">
        <f>IFERROR(INDEX('02b_DC_Accelerator_Mix'!$G$2:$G$977,MATCH(G26,'02b_DC_Accelerator_Mix'!$A$2:$A$977,0)),0)</f>
        <v/>
      </c>
      <c r="K26" s="6">
        <f>IFERROR(INDEX('02b_DC_Accelerator_Mix'!$H$2:$H$977,MATCH(G26,'02b_DC_Accelerator_Mix'!$A$2:$A$977,0)),0)</f>
        <v/>
      </c>
      <c r="L26" s="6">
        <f>IFERROR(INDEX('02b_DC_Accelerator_Mix'!$I$2:$I$977,MATCH(G26,'02b_DC_Accelerator_Mix'!$A$2:$A$977,0)),0)</f>
        <v/>
      </c>
      <c r="M26" s="6">
        <f>IFERROR(INDEX('02b_DC_Accelerator_Mix'!$J$2:$J$977,MATCH(G26,'02b_DC_Accelerator_Mix'!$A$2:$A$977,0)),0)</f>
        <v/>
      </c>
      <c r="N26" s="6">
        <f>IFERROR(INDEX('02b_DC_Accelerator_Mix'!$K$2:$K$977,MATCH(G26,'02b_DC_Accelerator_Mix'!$A$2:$A$977,0)),0)</f>
        <v/>
      </c>
      <c r="O26" s="6">
        <f>IFERROR(INDEX('02b_DC_Accelerator_Mix'!$L$2:$L$977,MATCH(G26,'02b_DC_Accelerator_Mix'!$A$2:$A$977,0)),0)</f>
        <v/>
      </c>
      <c r="P26" s="6">
        <f>IFERROR(INDEX('02b_DC_Accelerator_Mix'!$M$2:$M$977,MATCH(G26,'02b_DC_Accelerator_Mix'!$A$2:$A$977,0)),0)</f>
        <v/>
      </c>
      <c r="Q26" s="6">
        <f>IFERROR(INDEX('02b_DC_Accelerator_Mix'!$N$2:$N$977,MATCH(G26,'02b_DC_Accelerator_Mix'!$A$2:$A$977,0)),0)</f>
        <v/>
      </c>
      <c r="R26" s="28">
        <f>H26*I26</f>
        <v/>
      </c>
      <c r="S26" s="28">
        <f>H26*J26</f>
        <v/>
      </c>
      <c r="T26" s="28">
        <f>H26*K26</f>
        <v/>
      </c>
      <c r="U26" s="28">
        <f>H26*L26</f>
        <v/>
      </c>
      <c r="V26" s="28">
        <f>H26*M26</f>
        <v/>
      </c>
      <c r="W26" s="28">
        <f>H26*N26</f>
        <v/>
      </c>
      <c r="X26" s="28">
        <f>H26*O26</f>
        <v/>
      </c>
      <c r="Y26" s="28">
        <f>H26*P26</f>
        <v/>
      </c>
      <c r="Z26" s="28">
        <f>H26*Q26</f>
        <v/>
      </c>
      <c r="AA26" s="28">
        <f>SUM(U26:Z26)</f>
        <v/>
      </c>
      <c r="AB26" s="5">
        <f>IF(COUNTIF('02b_DC_Accelerator_Mix'!$A$2:$A$977,G26)&gt;0,"matched","missing_mix")</f>
        <v/>
      </c>
    </row>
    <row r="27">
      <c r="A27" s="5">
        <f>'02a_DC_Capacity_Alloc'!A27</f>
        <v/>
      </c>
      <c r="B27" s="5">
        <f>'02a_DC_Capacity_Alloc'!B27</f>
        <v/>
      </c>
      <c r="C27" s="5">
        <f>'02a_DC_Capacity_Alloc'!C27</f>
        <v/>
      </c>
      <c r="D27" s="5">
        <f>'02a_DC_Capacity_Alloc'!D27</f>
        <v/>
      </c>
      <c r="E27" s="5">
        <f>'02a_DC_Capacity_Alloc'!E27</f>
        <v/>
      </c>
      <c r="F27" s="5">
        <f>'02a_DC_Capacity_Alloc'!F27</f>
        <v/>
      </c>
      <c r="G27" s="5">
        <f>B27&amp;"|"&amp;E27&amp;"|"&amp;D27</f>
        <v/>
      </c>
      <c r="H27" s="28">
        <f>'02a_DC_Capacity_Alloc'!H27*'02a_DC_Capacity_Alloc'!I27*'02a_DC_Capacity_Alloc'!J27</f>
        <v/>
      </c>
      <c r="I27" s="6">
        <f>IFERROR(INDEX('02b_DC_Accelerator_Mix'!$F$2:$F$977,MATCH(G27,'02b_DC_Accelerator_Mix'!$A$2:$A$977,0)),0)</f>
        <v/>
      </c>
      <c r="J27" s="6">
        <f>IFERROR(INDEX('02b_DC_Accelerator_Mix'!$G$2:$G$977,MATCH(G27,'02b_DC_Accelerator_Mix'!$A$2:$A$977,0)),0)</f>
        <v/>
      </c>
      <c r="K27" s="6">
        <f>IFERROR(INDEX('02b_DC_Accelerator_Mix'!$H$2:$H$977,MATCH(G27,'02b_DC_Accelerator_Mix'!$A$2:$A$977,0)),0)</f>
        <v/>
      </c>
      <c r="L27" s="6">
        <f>IFERROR(INDEX('02b_DC_Accelerator_Mix'!$I$2:$I$977,MATCH(G27,'02b_DC_Accelerator_Mix'!$A$2:$A$977,0)),0)</f>
        <v/>
      </c>
      <c r="M27" s="6">
        <f>IFERROR(INDEX('02b_DC_Accelerator_Mix'!$J$2:$J$977,MATCH(G27,'02b_DC_Accelerator_Mix'!$A$2:$A$977,0)),0)</f>
        <v/>
      </c>
      <c r="N27" s="6">
        <f>IFERROR(INDEX('02b_DC_Accelerator_Mix'!$K$2:$K$977,MATCH(G27,'02b_DC_Accelerator_Mix'!$A$2:$A$977,0)),0)</f>
        <v/>
      </c>
      <c r="O27" s="6">
        <f>IFERROR(INDEX('02b_DC_Accelerator_Mix'!$L$2:$L$977,MATCH(G27,'02b_DC_Accelerator_Mix'!$A$2:$A$977,0)),0)</f>
        <v/>
      </c>
      <c r="P27" s="6">
        <f>IFERROR(INDEX('02b_DC_Accelerator_Mix'!$M$2:$M$977,MATCH(G27,'02b_DC_Accelerator_Mix'!$A$2:$A$977,0)),0)</f>
        <v/>
      </c>
      <c r="Q27" s="6">
        <f>IFERROR(INDEX('02b_DC_Accelerator_Mix'!$N$2:$N$977,MATCH(G27,'02b_DC_Accelerator_Mix'!$A$2:$A$977,0)),0)</f>
        <v/>
      </c>
      <c r="R27" s="28">
        <f>H27*I27</f>
        <v/>
      </c>
      <c r="S27" s="28">
        <f>H27*J27</f>
        <v/>
      </c>
      <c r="T27" s="28">
        <f>H27*K27</f>
        <v/>
      </c>
      <c r="U27" s="28">
        <f>H27*L27</f>
        <v/>
      </c>
      <c r="V27" s="28">
        <f>H27*M27</f>
        <v/>
      </c>
      <c r="W27" s="28">
        <f>H27*N27</f>
        <v/>
      </c>
      <c r="X27" s="28">
        <f>H27*O27</f>
        <v/>
      </c>
      <c r="Y27" s="28">
        <f>H27*P27</f>
        <v/>
      </c>
      <c r="Z27" s="28">
        <f>H27*Q27</f>
        <v/>
      </c>
      <c r="AA27" s="28">
        <f>SUM(U27:Z27)</f>
        <v/>
      </c>
      <c r="AB27" s="5">
        <f>IF(COUNTIF('02b_DC_Accelerator_Mix'!$A$2:$A$977,G27)&gt;0,"matched","missing_mix")</f>
        <v/>
      </c>
    </row>
    <row r="28">
      <c r="A28" s="5">
        <f>'02a_DC_Capacity_Alloc'!A28</f>
        <v/>
      </c>
      <c r="B28" s="5">
        <f>'02a_DC_Capacity_Alloc'!B28</f>
        <v/>
      </c>
      <c r="C28" s="5">
        <f>'02a_DC_Capacity_Alloc'!C28</f>
        <v/>
      </c>
      <c r="D28" s="5">
        <f>'02a_DC_Capacity_Alloc'!D28</f>
        <v/>
      </c>
      <c r="E28" s="5">
        <f>'02a_DC_Capacity_Alloc'!E28</f>
        <v/>
      </c>
      <c r="F28" s="5">
        <f>'02a_DC_Capacity_Alloc'!F28</f>
        <v/>
      </c>
      <c r="G28" s="5">
        <f>B28&amp;"|"&amp;E28&amp;"|"&amp;D28</f>
        <v/>
      </c>
      <c r="H28" s="28">
        <f>'02a_DC_Capacity_Alloc'!H28*'02a_DC_Capacity_Alloc'!I28*'02a_DC_Capacity_Alloc'!J28</f>
        <v/>
      </c>
      <c r="I28" s="6">
        <f>IFERROR(INDEX('02b_DC_Accelerator_Mix'!$F$2:$F$977,MATCH(G28,'02b_DC_Accelerator_Mix'!$A$2:$A$977,0)),0)</f>
        <v/>
      </c>
      <c r="J28" s="6">
        <f>IFERROR(INDEX('02b_DC_Accelerator_Mix'!$G$2:$G$977,MATCH(G28,'02b_DC_Accelerator_Mix'!$A$2:$A$977,0)),0)</f>
        <v/>
      </c>
      <c r="K28" s="6">
        <f>IFERROR(INDEX('02b_DC_Accelerator_Mix'!$H$2:$H$977,MATCH(G28,'02b_DC_Accelerator_Mix'!$A$2:$A$977,0)),0)</f>
        <v/>
      </c>
      <c r="L28" s="6">
        <f>IFERROR(INDEX('02b_DC_Accelerator_Mix'!$I$2:$I$977,MATCH(G28,'02b_DC_Accelerator_Mix'!$A$2:$A$977,0)),0)</f>
        <v/>
      </c>
      <c r="M28" s="6">
        <f>IFERROR(INDEX('02b_DC_Accelerator_Mix'!$J$2:$J$977,MATCH(G28,'02b_DC_Accelerator_Mix'!$A$2:$A$977,0)),0)</f>
        <v/>
      </c>
      <c r="N28" s="6">
        <f>IFERROR(INDEX('02b_DC_Accelerator_Mix'!$K$2:$K$977,MATCH(G28,'02b_DC_Accelerator_Mix'!$A$2:$A$977,0)),0)</f>
        <v/>
      </c>
      <c r="O28" s="6">
        <f>IFERROR(INDEX('02b_DC_Accelerator_Mix'!$L$2:$L$977,MATCH(G28,'02b_DC_Accelerator_Mix'!$A$2:$A$977,0)),0)</f>
        <v/>
      </c>
      <c r="P28" s="6">
        <f>IFERROR(INDEX('02b_DC_Accelerator_Mix'!$M$2:$M$977,MATCH(G28,'02b_DC_Accelerator_Mix'!$A$2:$A$977,0)),0)</f>
        <v/>
      </c>
      <c r="Q28" s="6">
        <f>IFERROR(INDEX('02b_DC_Accelerator_Mix'!$N$2:$N$977,MATCH(G28,'02b_DC_Accelerator_Mix'!$A$2:$A$977,0)),0)</f>
        <v/>
      </c>
      <c r="R28" s="28">
        <f>H28*I28</f>
        <v/>
      </c>
      <c r="S28" s="28">
        <f>H28*J28</f>
        <v/>
      </c>
      <c r="T28" s="28">
        <f>H28*K28</f>
        <v/>
      </c>
      <c r="U28" s="28">
        <f>H28*L28</f>
        <v/>
      </c>
      <c r="V28" s="28">
        <f>H28*M28</f>
        <v/>
      </c>
      <c r="W28" s="28">
        <f>H28*N28</f>
        <v/>
      </c>
      <c r="X28" s="28">
        <f>H28*O28</f>
        <v/>
      </c>
      <c r="Y28" s="28">
        <f>H28*P28</f>
        <v/>
      </c>
      <c r="Z28" s="28">
        <f>H28*Q28</f>
        <v/>
      </c>
      <c r="AA28" s="28">
        <f>SUM(U28:Z28)</f>
        <v/>
      </c>
      <c r="AB28" s="5">
        <f>IF(COUNTIF('02b_DC_Accelerator_Mix'!$A$2:$A$977,G28)&gt;0,"matched","missing_mix")</f>
        <v/>
      </c>
    </row>
    <row r="29">
      <c r="A29" s="5">
        <f>'02a_DC_Capacity_Alloc'!A29</f>
        <v/>
      </c>
      <c r="B29" s="5">
        <f>'02a_DC_Capacity_Alloc'!B29</f>
        <v/>
      </c>
      <c r="C29" s="5">
        <f>'02a_DC_Capacity_Alloc'!C29</f>
        <v/>
      </c>
      <c r="D29" s="5">
        <f>'02a_DC_Capacity_Alloc'!D29</f>
        <v/>
      </c>
      <c r="E29" s="5">
        <f>'02a_DC_Capacity_Alloc'!E29</f>
        <v/>
      </c>
      <c r="F29" s="5">
        <f>'02a_DC_Capacity_Alloc'!F29</f>
        <v/>
      </c>
      <c r="G29" s="5">
        <f>B29&amp;"|"&amp;E29&amp;"|"&amp;D29</f>
        <v/>
      </c>
      <c r="H29" s="28">
        <f>'02a_DC_Capacity_Alloc'!H29*'02a_DC_Capacity_Alloc'!I29*'02a_DC_Capacity_Alloc'!J29</f>
        <v/>
      </c>
      <c r="I29" s="6">
        <f>IFERROR(INDEX('02b_DC_Accelerator_Mix'!$F$2:$F$977,MATCH(G29,'02b_DC_Accelerator_Mix'!$A$2:$A$977,0)),0)</f>
        <v/>
      </c>
      <c r="J29" s="6">
        <f>IFERROR(INDEX('02b_DC_Accelerator_Mix'!$G$2:$G$977,MATCH(G29,'02b_DC_Accelerator_Mix'!$A$2:$A$977,0)),0)</f>
        <v/>
      </c>
      <c r="K29" s="6">
        <f>IFERROR(INDEX('02b_DC_Accelerator_Mix'!$H$2:$H$977,MATCH(G29,'02b_DC_Accelerator_Mix'!$A$2:$A$977,0)),0)</f>
        <v/>
      </c>
      <c r="L29" s="6">
        <f>IFERROR(INDEX('02b_DC_Accelerator_Mix'!$I$2:$I$977,MATCH(G29,'02b_DC_Accelerator_Mix'!$A$2:$A$977,0)),0)</f>
        <v/>
      </c>
      <c r="M29" s="6">
        <f>IFERROR(INDEX('02b_DC_Accelerator_Mix'!$J$2:$J$977,MATCH(G29,'02b_DC_Accelerator_Mix'!$A$2:$A$977,0)),0)</f>
        <v/>
      </c>
      <c r="N29" s="6">
        <f>IFERROR(INDEX('02b_DC_Accelerator_Mix'!$K$2:$K$977,MATCH(G29,'02b_DC_Accelerator_Mix'!$A$2:$A$977,0)),0)</f>
        <v/>
      </c>
      <c r="O29" s="6">
        <f>IFERROR(INDEX('02b_DC_Accelerator_Mix'!$L$2:$L$977,MATCH(G29,'02b_DC_Accelerator_Mix'!$A$2:$A$977,0)),0)</f>
        <v/>
      </c>
      <c r="P29" s="6">
        <f>IFERROR(INDEX('02b_DC_Accelerator_Mix'!$M$2:$M$977,MATCH(G29,'02b_DC_Accelerator_Mix'!$A$2:$A$977,0)),0)</f>
        <v/>
      </c>
      <c r="Q29" s="6">
        <f>IFERROR(INDEX('02b_DC_Accelerator_Mix'!$N$2:$N$977,MATCH(G29,'02b_DC_Accelerator_Mix'!$A$2:$A$977,0)),0)</f>
        <v/>
      </c>
      <c r="R29" s="28">
        <f>H29*I29</f>
        <v/>
      </c>
      <c r="S29" s="28">
        <f>H29*J29</f>
        <v/>
      </c>
      <c r="T29" s="28">
        <f>H29*K29</f>
        <v/>
      </c>
      <c r="U29" s="28">
        <f>H29*L29</f>
        <v/>
      </c>
      <c r="V29" s="28">
        <f>H29*M29</f>
        <v/>
      </c>
      <c r="W29" s="28">
        <f>H29*N29</f>
        <v/>
      </c>
      <c r="X29" s="28">
        <f>H29*O29</f>
        <v/>
      </c>
      <c r="Y29" s="28">
        <f>H29*P29</f>
        <v/>
      </c>
      <c r="Z29" s="28">
        <f>H29*Q29</f>
        <v/>
      </c>
      <c r="AA29" s="28">
        <f>SUM(U29:Z29)</f>
        <v/>
      </c>
      <c r="AB29" s="5">
        <f>IF(COUNTIF('02b_DC_Accelerator_Mix'!$A$2:$A$977,G29)&gt;0,"matched","missing_mix")</f>
        <v/>
      </c>
    </row>
    <row r="30">
      <c r="A30" s="5">
        <f>'02a_DC_Capacity_Alloc'!A30</f>
        <v/>
      </c>
      <c r="B30" s="5">
        <f>'02a_DC_Capacity_Alloc'!B30</f>
        <v/>
      </c>
      <c r="C30" s="5">
        <f>'02a_DC_Capacity_Alloc'!C30</f>
        <v/>
      </c>
      <c r="D30" s="5">
        <f>'02a_DC_Capacity_Alloc'!D30</f>
        <v/>
      </c>
      <c r="E30" s="5">
        <f>'02a_DC_Capacity_Alloc'!E30</f>
        <v/>
      </c>
      <c r="F30" s="5">
        <f>'02a_DC_Capacity_Alloc'!F30</f>
        <v/>
      </c>
      <c r="G30" s="5">
        <f>B30&amp;"|"&amp;E30&amp;"|"&amp;D30</f>
        <v/>
      </c>
      <c r="H30" s="28">
        <f>'02a_DC_Capacity_Alloc'!H30*'02a_DC_Capacity_Alloc'!I30*'02a_DC_Capacity_Alloc'!J30</f>
        <v/>
      </c>
      <c r="I30" s="6">
        <f>IFERROR(INDEX('02b_DC_Accelerator_Mix'!$F$2:$F$977,MATCH(G30,'02b_DC_Accelerator_Mix'!$A$2:$A$977,0)),0)</f>
        <v/>
      </c>
      <c r="J30" s="6">
        <f>IFERROR(INDEX('02b_DC_Accelerator_Mix'!$G$2:$G$977,MATCH(G30,'02b_DC_Accelerator_Mix'!$A$2:$A$977,0)),0)</f>
        <v/>
      </c>
      <c r="K30" s="6">
        <f>IFERROR(INDEX('02b_DC_Accelerator_Mix'!$H$2:$H$977,MATCH(G30,'02b_DC_Accelerator_Mix'!$A$2:$A$977,0)),0)</f>
        <v/>
      </c>
      <c r="L30" s="6">
        <f>IFERROR(INDEX('02b_DC_Accelerator_Mix'!$I$2:$I$977,MATCH(G30,'02b_DC_Accelerator_Mix'!$A$2:$A$977,0)),0)</f>
        <v/>
      </c>
      <c r="M30" s="6">
        <f>IFERROR(INDEX('02b_DC_Accelerator_Mix'!$J$2:$J$977,MATCH(G30,'02b_DC_Accelerator_Mix'!$A$2:$A$977,0)),0)</f>
        <v/>
      </c>
      <c r="N30" s="6">
        <f>IFERROR(INDEX('02b_DC_Accelerator_Mix'!$K$2:$K$977,MATCH(G30,'02b_DC_Accelerator_Mix'!$A$2:$A$977,0)),0)</f>
        <v/>
      </c>
      <c r="O30" s="6">
        <f>IFERROR(INDEX('02b_DC_Accelerator_Mix'!$L$2:$L$977,MATCH(G30,'02b_DC_Accelerator_Mix'!$A$2:$A$977,0)),0)</f>
        <v/>
      </c>
      <c r="P30" s="6">
        <f>IFERROR(INDEX('02b_DC_Accelerator_Mix'!$M$2:$M$977,MATCH(G30,'02b_DC_Accelerator_Mix'!$A$2:$A$977,0)),0)</f>
        <v/>
      </c>
      <c r="Q30" s="6">
        <f>IFERROR(INDEX('02b_DC_Accelerator_Mix'!$N$2:$N$977,MATCH(G30,'02b_DC_Accelerator_Mix'!$A$2:$A$977,0)),0)</f>
        <v/>
      </c>
      <c r="R30" s="28">
        <f>H30*I30</f>
        <v/>
      </c>
      <c r="S30" s="28">
        <f>H30*J30</f>
        <v/>
      </c>
      <c r="T30" s="28">
        <f>H30*K30</f>
        <v/>
      </c>
      <c r="U30" s="28">
        <f>H30*L30</f>
        <v/>
      </c>
      <c r="V30" s="28">
        <f>H30*M30</f>
        <v/>
      </c>
      <c r="W30" s="28">
        <f>H30*N30</f>
        <v/>
      </c>
      <c r="X30" s="28">
        <f>H30*O30</f>
        <v/>
      </c>
      <c r="Y30" s="28">
        <f>H30*P30</f>
        <v/>
      </c>
      <c r="Z30" s="28">
        <f>H30*Q30</f>
        <v/>
      </c>
      <c r="AA30" s="28">
        <f>SUM(U30:Z30)</f>
        <v/>
      </c>
      <c r="AB30" s="5">
        <f>IF(COUNTIF('02b_DC_Accelerator_Mix'!$A$2:$A$977,G30)&gt;0,"matched","missing_mix")</f>
        <v/>
      </c>
    </row>
    <row r="31">
      <c r="A31" s="5">
        <f>'02a_DC_Capacity_Alloc'!A31</f>
        <v/>
      </c>
      <c r="B31" s="5">
        <f>'02a_DC_Capacity_Alloc'!B31</f>
        <v/>
      </c>
      <c r="C31" s="5">
        <f>'02a_DC_Capacity_Alloc'!C31</f>
        <v/>
      </c>
      <c r="D31" s="5">
        <f>'02a_DC_Capacity_Alloc'!D31</f>
        <v/>
      </c>
      <c r="E31" s="5">
        <f>'02a_DC_Capacity_Alloc'!E31</f>
        <v/>
      </c>
      <c r="F31" s="5">
        <f>'02a_DC_Capacity_Alloc'!F31</f>
        <v/>
      </c>
      <c r="G31" s="5">
        <f>B31&amp;"|"&amp;E31&amp;"|"&amp;D31</f>
        <v/>
      </c>
      <c r="H31" s="28">
        <f>'02a_DC_Capacity_Alloc'!H31*'02a_DC_Capacity_Alloc'!I31*'02a_DC_Capacity_Alloc'!J31</f>
        <v/>
      </c>
      <c r="I31" s="6">
        <f>IFERROR(INDEX('02b_DC_Accelerator_Mix'!$F$2:$F$977,MATCH(G31,'02b_DC_Accelerator_Mix'!$A$2:$A$977,0)),0)</f>
        <v/>
      </c>
      <c r="J31" s="6">
        <f>IFERROR(INDEX('02b_DC_Accelerator_Mix'!$G$2:$G$977,MATCH(G31,'02b_DC_Accelerator_Mix'!$A$2:$A$977,0)),0)</f>
        <v/>
      </c>
      <c r="K31" s="6">
        <f>IFERROR(INDEX('02b_DC_Accelerator_Mix'!$H$2:$H$977,MATCH(G31,'02b_DC_Accelerator_Mix'!$A$2:$A$977,0)),0)</f>
        <v/>
      </c>
      <c r="L31" s="6">
        <f>IFERROR(INDEX('02b_DC_Accelerator_Mix'!$I$2:$I$977,MATCH(G31,'02b_DC_Accelerator_Mix'!$A$2:$A$977,0)),0)</f>
        <v/>
      </c>
      <c r="M31" s="6">
        <f>IFERROR(INDEX('02b_DC_Accelerator_Mix'!$J$2:$J$977,MATCH(G31,'02b_DC_Accelerator_Mix'!$A$2:$A$977,0)),0)</f>
        <v/>
      </c>
      <c r="N31" s="6">
        <f>IFERROR(INDEX('02b_DC_Accelerator_Mix'!$K$2:$K$977,MATCH(G31,'02b_DC_Accelerator_Mix'!$A$2:$A$977,0)),0)</f>
        <v/>
      </c>
      <c r="O31" s="6">
        <f>IFERROR(INDEX('02b_DC_Accelerator_Mix'!$L$2:$L$977,MATCH(G31,'02b_DC_Accelerator_Mix'!$A$2:$A$977,0)),0)</f>
        <v/>
      </c>
      <c r="P31" s="6">
        <f>IFERROR(INDEX('02b_DC_Accelerator_Mix'!$M$2:$M$977,MATCH(G31,'02b_DC_Accelerator_Mix'!$A$2:$A$977,0)),0)</f>
        <v/>
      </c>
      <c r="Q31" s="6">
        <f>IFERROR(INDEX('02b_DC_Accelerator_Mix'!$N$2:$N$977,MATCH(G31,'02b_DC_Accelerator_Mix'!$A$2:$A$977,0)),0)</f>
        <v/>
      </c>
      <c r="R31" s="28">
        <f>H31*I31</f>
        <v/>
      </c>
      <c r="S31" s="28">
        <f>H31*J31</f>
        <v/>
      </c>
      <c r="T31" s="28">
        <f>H31*K31</f>
        <v/>
      </c>
      <c r="U31" s="28">
        <f>H31*L31</f>
        <v/>
      </c>
      <c r="V31" s="28">
        <f>H31*M31</f>
        <v/>
      </c>
      <c r="W31" s="28">
        <f>H31*N31</f>
        <v/>
      </c>
      <c r="X31" s="28">
        <f>H31*O31</f>
        <v/>
      </c>
      <c r="Y31" s="28">
        <f>H31*P31</f>
        <v/>
      </c>
      <c r="Z31" s="28">
        <f>H31*Q31</f>
        <v/>
      </c>
      <c r="AA31" s="28">
        <f>SUM(U31:Z31)</f>
        <v/>
      </c>
      <c r="AB31" s="5">
        <f>IF(COUNTIF('02b_DC_Accelerator_Mix'!$A$2:$A$977,G31)&gt;0,"matched","missing_mix")</f>
        <v/>
      </c>
    </row>
    <row r="32">
      <c r="A32" s="5">
        <f>'02a_DC_Capacity_Alloc'!A32</f>
        <v/>
      </c>
      <c r="B32" s="5">
        <f>'02a_DC_Capacity_Alloc'!B32</f>
        <v/>
      </c>
      <c r="C32" s="5">
        <f>'02a_DC_Capacity_Alloc'!C32</f>
        <v/>
      </c>
      <c r="D32" s="5">
        <f>'02a_DC_Capacity_Alloc'!D32</f>
        <v/>
      </c>
      <c r="E32" s="5">
        <f>'02a_DC_Capacity_Alloc'!E32</f>
        <v/>
      </c>
      <c r="F32" s="5">
        <f>'02a_DC_Capacity_Alloc'!F32</f>
        <v/>
      </c>
      <c r="G32" s="5">
        <f>B32&amp;"|"&amp;E32&amp;"|"&amp;D32</f>
        <v/>
      </c>
      <c r="H32" s="28">
        <f>'02a_DC_Capacity_Alloc'!H32*'02a_DC_Capacity_Alloc'!I32*'02a_DC_Capacity_Alloc'!J32</f>
        <v/>
      </c>
      <c r="I32" s="6">
        <f>IFERROR(INDEX('02b_DC_Accelerator_Mix'!$F$2:$F$977,MATCH(G32,'02b_DC_Accelerator_Mix'!$A$2:$A$977,0)),0)</f>
        <v/>
      </c>
      <c r="J32" s="6">
        <f>IFERROR(INDEX('02b_DC_Accelerator_Mix'!$G$2:$G$977,MATCH(G32,'02b_DC_Accelerator_Mix'!$A$2:$A$977,0)),0)</f>
        <v/>
      </c>
      <c r="K32" s="6">
        <f>IFERROR(INDEX('02b_DC_Accelerator_Mix'!$H$2:$H$977,MATCH(G32,'02b_DC_Accelerator_Mix'!$A$2:$A$977,0)),0)</f>
        <v/>
      </c>
      <c r="L32" s="6">
        <f>IFERROR(INDEX('02b_DC_Accelerator_Mix'!$I$2:$I$977,MATCH(G32,'02b_DC_Accelerator_Mix'!$A$2:$A$977,0)),0)</f>
        <v/>
      </c>
      <c r="M32" s="6">
        <f>IFERROR(INDEX('02b_DC_Accelerator_Mix'!$J$2:$J$977,MATCH(G32,'02b_DC_Accelerator_Mix'!$A$2:$A$977,0)),0)</f>
        <v/>
      </c>
      <c r="N32" s="6">
        <f>IFERROR(INDEX('02b_DC_Accelerator_Mix'!$K$2:$K$977,MATCH(G32,'02b_DC_Accelerator_Mix'!$A$2:$A$977,0)),0)</f>
        <v/>
      </c>
      <c r="O32" s="6">
        <f>IFERROR(INDEX('02b_DC_Accelerator_Mix'!$L$2:$L$977,MATCH(G32,'02b_DC_Accelerator_Mix'!$A$2:$A$977,0)),0)</f>
        <v/>
      </c>
      <c r="P32" s="6">
        <f>IFERROR(INDEX('02b_DC_Accelerator_Mix'!$M$2:$M$977,MATCH(G32,'02b_DC_Accelerator_Mix'!$A$2:$A$977,0)),0)</f>
        <v/>
      </c>
      <c r="Q32" s="6">
        <f>IFERROR(INDEX('02b_DC_Accelerator_Mix'!$N$2:$N$977,MATCH(G32,'02b_DC_Accelerator_Mix'!$A$2:$A$977,0)),0)</f>
        <v/>
      </c>
      <c r="R32" s="28">
        <f>H32*I32</f>
        <v/>
      </c>
      <c r="S32" s="28">
        <f>H32*J32</f>
        <v/>
      </c>
      <c r="T32" s="28">
        <f>H32*K32</f>
        <v/>
      </c>
      <c r="U32" s="28">
        <f>H32*L32</f>
        <v/>
      </c>
      <c r="V32" s="28">
        <f>H32*M32</f>
        <v/>
      </c>
      <c r="W32" s="28">
        <f>H32*N32</f>
        <v/>
      </c>
      <c r="X32" s="28">
        <f>H32*O32</f>
        <v/>
      </c>
      <c r="Y32" s="28">
        <f>H32*P32</f>
        <v/>
      </c>
      <c r="Z32" s="28">
        <f>H32*Q32</f>
        <v/>
      </c>
      <c r="AA32" s="28">
        <f>SUM(U32:Z32)</f>
        <v/>
      </c>
      <c r="AB32" s="5">
        <f>IF(COUNTIF('02b_DC_Accelerator_Mix'!$A$2:$A$977,G32)&gt;0,"matched","missing_mix")</f>
        <v/>
      </c>
    </row>
    <row r="33">
      <c r="A33" s="5">
        <f>'02a_DC_Capacity_Alloc'!A33</f>
        <v/>
      </c>
      <c r="B33" s="5">
        <f>'02a_DC_Capacity_Alloc'!B33</f>
        <v/>
      </c>
      <c r="C33" s="5">
        <f>'02a_DC_Capacity_Alloc'!C33</f>
        <v/>
      </c>
      <c r="D33" s="5">
        <f>'02a_DC_Capacity_Alloc'!D33</f>
        <v/>
      </c>
      <c r="E33" s="5">
        <f>'02a_DC_Capacity_Alloc'!E33</f>
        <v/>
      </c>
      <c r="F33" s="5">
        <f>'02a_DC_Capacity_Alloc'!F33</f>
        <v/>
      </c>
      <c r="G33" s="5">
        <f>B33&amp;"|"&amp;E33&amp;"|"&amp;D33</f>
        <v/>
      </c>
      <c r="H33" s="28">
        <f>'02a_DC_Capacity_Alloc'!H33*'02a_DC_Capacity_Alloc'!I33*'02a_DC_Capacity_Alloc'!J33</f>
        <v/>
      </c>
      <c r="I33" s="6">
        <f>IFERROR(INDEX('02b_DC_Accelerator_Mix'!$F$2:$F$977,MATCH(G33,'02b_DC_Accelerator_Mix'!$A$2:$A$977,0)),0)</f>
        <v/>
      </c>
      <c r="J33" s="6">
        <f>IFERROR(INDEX('02b_DC_Accelerator_Mix'!$G$2:$G$977,MATCH(G33,'02b_DC_Accelerator_Mix'!$A$2:$A$977,0)),0)</f>
        <v/>
      </c>
      <c r="K33" s="6">
        <f>IFERROR(INDEX('02b_DC_Accelerator_Mix'!$H$2:$H$977,MATCH(G33,'02b_DC_Accelerator_Mix'!$A$2:$A$977,0)),0)</f>
        <v/>
      </c>
      <c r="L33" s="6">
        <f>IFERROR(INDEX('02b_DC_Accelerator_Mix'!$I$2:$I$977,MATCH(G33,'02b_DC_Accelerator_Mix'!$A$2:$A$977,0)),0)</f>
        <v/>
      </c>
      <c r="M33" s="6">
        <f>IFERROR(INDEX('02b_DC_Accelerator_Mix'!$J$2:$J$977,MATCH(G33,'02b_DC_Accelerator_Mix'!$A$2:$A$977,0)),0)</f>
        <v/>
      </c>
      <c r="N33" s="6">
        <f>IFERROR(INDEX('02b_DC_Accelerator_Mix'!$K$2:$K$977,MATCH(G33,'02b_DC_Accelerator_Mix'!$A$2:$A$977,0)),0)</f>
        <v/>
      </c>
      <c r="O33" s="6">
        <f>IFERROR(INDEX('02b_DC_Accelerator_Mix'!$L$2:$L$977,MATCH(G33,'02b_DC_Accelerator_Mix'!$A$2:$A$977,0)),0)</f>
        <v/>
      </c>
      <c r="P33" s="6">
        <f>IFERROR(INDEX('02b_DC_Accelerator_Mix'!$M$2:$M$977,MATCH(G33,'02b_DC_Accelerator_Mix'!$A$2:$A$977,0)),0)</f>
        <v/>
      </c>
      <c r="Q33" s="6">
        <f>IFERROR(INDEX('02b_DC_Accelerator_Mix'!$N$2:$N$977,MATCH(G33,'02b_DC_Accelerator_Mix'!$A$2:$A$977,0)),0)</f>
        <v/>
      </c>
      <c r="R33" s="28">
        <f>H33*I33</f>
        <v/>
      </c>
      <c r="S33" s="28">
        <f>H33*J33</f>
        <v/>
      </c>
      <c r="T33" s="28">
        <f>H33*K33</f>
        <v/>
      </c>
      <c r="U33" s="28">
        <f>H33*L33</f>
        <v/>
      </c>
      <c r="V33" s="28">
        <f>H33*M33</f>
        <v/>
      </c>
      <c r="W33" s="28">
        <f>H33*N33</f>
        <v/>
      </c>
      <c r="X33" s="28">
        <f>H33*O33</f>
        <v/>
      </c>
      <c r="Y33" s="28">
        <f>H33*P33</f>
        <v/>
      </c>
      <c r="Z33" s="28">
        <f>H33*Q33</f>
        <v/>
      </c>
      <c r="AA33" s="28">
        <f>SUM(U33:Z33)</f>
        <v/>
      </c>
      <c r="AB33" s="5">
        <f>IF(COUNTIF('02b_DC_Accelerator_Mix'!$A$2:$A$977,G33)&gt;0,"matched","missing_mix")</f>
        <v/>
      </c>
    </row>
    <row r="34">
      <c r="A34" s="5">
        <f>'02a_DC_Capacity_Alloc'!A34</f>
        <v/>
      </c>
      <c r="B34" s="5">
        <f>'02a_DC_Capacity_Alloc'!B34</f>
        <v/>
      </c>
      <c r="C34" s="5">
        <f>'02a_DC_Capacity_Alloc'!C34</f>
        <v/>
      </c>
      <c r="D34" s="5">
        <f>'02a_DC_Capacity_Alloc'!D34</f>
        <v/>
      </c>
      <c r="E34" s="5">
        <f>'02a_DC_Capacity_Alloc'!E34</f>
        <v/>
      </c>
      <c r="F34" s="5">
        <f>'02a_DC_Capacity_Alloc'!F34</f>
        <v/>
      </c>
      <c r="G34" s="5">
        <f>B34&amp;"|"&amp;E34&amp;"|"&amp;D34</f>
        <v/>
      </c>
      <c r="H34" s="28">
        <f>'02a_DC_Capacity_Alloc'!H34*'02a_DC_Capacity_Alloc'!I34*'02a_DC_Capacity_Alloc'!J34</f>
        <v/>
      </c>
      <c r="I34" s="6">
        <f>IFERROR(INDEX('02b_DC_Accelerator_Mix'!$F$2:$F$977,MATCH(G34,'02b_DC_Accelerator_Mix'!$A$2:$A$977,0)),0)</f>
        <v/>
      </c>
      <c r="J34" s="6">
        <f>IFERROR(INDEX('02b_DC_Accelerator_Mix'!$G$2:$G$977,MATCH(G34,'02b_DC_Accelerator_Mix'!$A$2:$A$977,0)),0)</f>
        <v/>
      </c>
      <c r="K34" s="6">
        <f>IFERROR(INDEX('02b_DC_Accelerator_Mix'!$H$2:$H$977,MATCH(G34,'02b_DC_Accelerator_Mix'!$A$2:$A$977,0)),0)</f>
        <v/>
      </c>
      <c r="L34" s="6">
        <f>IFERROR(INDEX('02b_DC_Accelerator_Mix'!$I$2:$I$977,MATCH(G34,'02b_DC_Accelerator_Mix'!$A$2:$A$977,0)),0)</f>
        <v/>
      </c>
      <c r="M34" s="6">
        <f>IFERROR(INDEX('02b_DC_Accelerator_Mix'!$J$2:$J$977,MATCH(G34,'02b_DC_Accelerator_Mix'!$A$2:$A$977,0)),0)</f>
        <v/>
      </c>
      <c r="N34" s="6">
        <f>IFERROR(INDEX('02b_DC_Accelerator_Mix'!$K$2:$K$977,MATCH(G34,'02b_DC_Accelerator_Mix'!$A$2:$A$977,0)),0)</f>
        <v/>
      </c>
      <c r="O34" s="6">
        <f>IFERROR(INDEX('02b_DC_Accelerator_Mix'!$L$2:$L$977,MATCH(G34,'02b_DC_Accelerator_Mix'!$A$2:$A$977,0)),0)</f>
        <v/>
      </c>
      <c r="P34" s="6">
        <f>IFERROR(INDEX('02b_DC_Accelerator_Mix'!$M$2:$M$977,MATCH(G34,'02b_DC_Accelerator_Mix'!$A$2:$A$977,0)),0)</f>
        <v/>
      </c>
      <c r="Q34" s="6">
        <f>IFERROR(INDEX('02b_DC_Accelerator_Mix'!$N$2:$N$977,MATCH(G34,'02b_DC_Accelerator_Mix'!$A$2:$A$977,0)),0)</f>
        <v/>
      </c>
      <c r="R34" s="28">
        <f>H34*I34</f>
        <v/>
      </c>
      <c r="S34" s="28">
        <f>H34*J34</f>
        <v/>
      </c>
      <c r="T34" s="28">
        <f>H34*K34</f>
        <v/>
      </c>
      <c r="U34" s="28">
        <f>H34*L34</f>
        <v/>
      </c>
      <c r="V34" s="28">
        <f>H34*M34</f>
        <v/>
      </c>
      <c r="W34" s="28">
        <f>H34*N34</f>
        <v/>
      </c>
      <c r="X34" s="28">
        <f>H34*O34</f>
        <v/>
      </c>
      <c r="Y34" s="28">
        <f>H34*P34</f>
        <v/>
      </c>
      <c r="Z34" s="28">
        <f>H34*Q34</f>
        <v/>
      </c>
      <c r="AA34" s="28">
        <f>SUM(U34:Z34)</f>
        <v/>
      </c>
      <c r="AB34" s="5">
        <f>IF(COUNTIF('02b_DC_Accelerator_Mix'!$A$2:$A$977,G34)&gt;0,"matched","missing_mix")</f>
        <v/>
      </c>
    </row>
    <row r="35">
      <c r="A35" s="5">
        <f>'02a_DC_Capacity_Alloc'!A35</f>
        <v/>
      </c>
      <c r="B35" s="5">
        <f>'02a_DC_Capacity_Alloc'!B35</f>
        <v/>
      </c>
      <c r="C35" s="5">
        <f>'02a_DC_Capacity_Alloc'!C35</f>
        <v/>
      </c>
      <c r="D35" s="5">
        <f>'02a_DC_Capacity_Alloc'!D35</f>
        <v/>
      </c>
      <c r="E35" s="5">
        <f>'02a_DC_Capacity_Alloc'!E35</f>
        <v/>
      </c>
      <c r="F35" s="5">
        <f>'02a_DC_Capacity_Alloc'!F35</f>
        <v/>
      </c>
      <c r="G35" s="5">
        <f>B35&amp;"|"&amp;E35&amp;"|"&amp;D35</f>
        <v/>
      </c>
      <c r="H35" s="28">
        <f>'02a_DC_Capacity_Alloc'!H35*'02a_DC_Capacity_Alloc'!I35*'02a_DC_Capacity_Alloc'!J35</f>
        <v/>
      </c>
      <c r="I35" s="6">
        <f>IFERROR(INDEX('02b_DC_Accelerator_Mix'!$F$2:$F$977,MATCH(G35,'02b_DC_Accelerator_Mix'!$A$2:$A$977,0)),0)</f>
        <v/>
      </c>
      <c r="J35" s="6">
        <f>IFERROR(INDEX('02b_DC_Accelerator_Mix'!$G$2:$G$977,MATCH(G35,'02b_DC_Accelerator_Mix'!$A$2:$A$977,0)),0)</f>
        <v/>
      </c>
      <c r="K35" s="6">
        <f>IFERROR(INDEX('02b_DC_Accelerator_Mix'!$H$2:$H$977,MATCH(G35,'02b_DC_Accelerator_Mix'!$A$2:$A$977,0)),0)</f>
        <v/>
      </c>
      <c r="L35" s="6">
        <f>IFERROR(INDEX('02b_DC_Accelerator_Mix'!$I$2:$I$977,MATCH(G35,'02b_DC_Accelerator_Mix'!$A$2:$A$977,0)),0)</f>
        <v/>
      </c>
      <c r="M35" s="6">
        <f>IFERROR(INDEX('02b_DC_Accelerator_Mix'!$J$2:$J$977,MATCH(G35,'02b_DC_Accelerator_Mix'!$A$2:$A$977,0)),0)</f>
        <v/>
      </c>
      <c r="N35" s="6">
        <f>IFERROR(INDEX('02b_DC_Accelerator_Mix'!$K$2:$K$977,MATCH(G35,'02b_DC_Accelerator_Mix'!$A$2:$A$977,0)),0)</f>
        <v/>
      </c>
      <c r="O35" s="6">
        <f>IFERROR(INDEX('02b_DC_Accelerator_Mix'!$L$2:$L$977,MATCH(G35,'02b_DC_Accelerator_Mix'!$A$2:$A$977,0)),0)</f>
        <v/>
      </c>
      <c r="P35" s="6">
        <f>IFERROR(INDEX('02b_DC_Accelerator_Mix'!$M$2:$M$977,MATCH(G35,'02b_DC_Accelerator_Mix'!$A$2:$A$977,0)),0)</f>
        <v/>
      </c>
      <c r="Q35" s="6">
        <f>IFERROR(INDEX('02b_DC_Accelerator_Mix'!$N$2:$N$977,MATCH(G35,'02b_DC_Accelerator_Mix'!$A$2:$A$977,0)),0)</f>
        <v/>
      </c>
      <c r="R35" s="28">
        <f>H35*I35</f>
        <v/>
      </c>
      <c r="S35" s="28">
        <f>H35*J35</f>
        <v/>
      </c>
      <c r="T35" s="28">
        <f>H35*K35</f>
        <v/>
      </c>
      <c r="U35" s="28">
        <f>H35*L35</f>
        <v/>
      </c>
      <c r="V35" s="28">
        <f>H35*M35</f>
        <v/>
      </c>
      <c r="W35" s="28">
        <f>H35*N35</f>
        <v/>
      </c>
      <c r="X35" s="28">
        <f>H35*O35</f>
        <v/>
      </c>
      <c r="Y35" s="28">
        <f>H35*P35</f>
        <v/>
      </c>
      <c r="Z35" s="28">
        <f>H35*Q35</f>
        <v/>
      </c>
      <c r="AA35" s="28">
        <f>SUM(U35:Z35)</f>
        <v/>
      </c>
      <c r="AB35" s="5">
        <f>IF(COUNTIF('02b_DC_Accelerator_Mix'!$A$2:$A$977,G35)&gt;0,"matched","missing_mix")</f>
        <v/>
      </c>
    </row>
    <row r="36">
      <c r="A36" s="5">
        <f>'02a_DC_Capacity_Alloc'!A36</f>
        <v/>
      </c>
      <c r="B36" s="5">
        <f>'02a_DC_Capacity_Alloc'!B36</f>
        <v/>
      </c>
      <c r="C36" s="5">
        <f>'02a_DC_Capacity_Alloc'!C36</f>
        <v/>
      </c>
      <c r="D36" s="5">
        <f>'02a_DC_Capacity_Alloc'!D36</f>
        <v/>
      </c>
      <c r="E36" s="5">
        <f>'02a_DC_Capacity_Alloc'!E36</f>
        <v/>
      </c>
      <c r="F36" s="5">
        <f>'02a_DC_Capacity_Alloc'!F36</f>
        <v/>
      </c>
      <c r="G36" s="5">
        <f>B36&amp;"|"&amp;E36&amp;"|"&amp;D36</f>
        <v/>
      </c>
      <c r="H36" s="28">
        <f>'02a_DC_Capacity_Alloc'!H36*'02a_DC_Capacity_Alloc'!I36*'02a_DC_Capacity_Alloc'!J36</f>
        <v/>
      </c>
      <c r="I36" s="6">
        <f>IFERROR(INDEX('02b_DC_Accelerator_Mix'!$F$2:$F$977,MATCH(G36,'02b_DC_Accelerator_Mix'!$A$2:$A$977,0)),0)</f>
        <v/>
      </c>
      <c r="J36" s="6">
        <f>IFERROR(INDEX('02b_DC_Accelerator_Mix'!$G$2:$G$977,MATCH(G36,'02b_DC_Accelerator_Mix'!$A$2:$A$977,0)),0)</f>
        <v/>
      </c>
      <c r="K36" s="6">
        <f>IFERROR(INDEX('02b_DC_Accelerator_Mix'!$H$2:$H$977,MATCH(G36,'02b_DC_Accelerator_Mix'!$A$2:$A$977,0)),0)</f>
        <v/>
      </c>
      <c r="L36" s="6">
        <f>IFERROR(INDEX('02b_DC_Accelerator_Mix'!$I$2:$I$977,MATCH(G36,'02b_DC_Accelerator_Mix'!$A$2:$A$977,0)),0)</f>
        <v/>
      </c>
      <c r="M36" s="6">
        <f>IFERROR(INDEX('02b_DC_Accelerator_Mix'!$J$2:$J$977,MATCH(G36,'02b_DC_Accelerator_Mix'!$A$2:$A$977,0)),0)</f>
        <v/>
      </c>
      <c r="N36" s="6">
        <f>IFERROR(INDEX('02b_DC_Accelerator_Mix'!$K$2:$K$977,MATCH(G36,'02b_DC_Accelerator_Mix'!$A$2:$A$977,0)),0)</f>
        <v/>
      </c>
      <c r="O36" s="6">
        <f>IFERROR(INDEX('02b_DC_Accelerator_Mix'!$L$2:$L$977,MATCH(G36,'02b_DC_Accelerator_Mix'!$A$2:$A$977,0)),0)</f>
        <v/>
      </c>
      <c r="P36" s="6">
        <f>IFERROR(INDEX('02b_DC_Accelerator_Mix'!$M$2:$M$977,MATCH(G36,'02b_DC_Accelerator_Mix'!$A$2:$A$977,0)),0)</f>
        <v/>
      </c>
      <c r="Q36" s="6">
        <f>IFERROR(INDEX('02b_DC_Accelerator_Mix'!$N$2:$N$977,MATCH(G36,'02b_DC_Accelerator_Mix'!$A$2:$A$977,0)),0)</f>
        <v/>
      </c>
      <c r="R36" s="28">
        <f>H36*I36</f>
        <v/>
      </c>
      <c r="S36" s="28">
        <f>H36*J36</f>
        <v/>
      </c>
      <c r="T36" s="28">
        <f>H36*K36</f>
        <v/>
      </c>
      <c r="U36" s="28">
        <f>H36*L36</f>
        <v/>
      </c>
      <c r="V36" s="28">
        <f>H36*M36</f>
        <v/>
      </c>
      <c r="W36" s="28">
        <f>H36*N36</f>
        <v/>
      </c>
      <c r="X36" s="28">
        <f>H36*O36</f>
        <v/>
      </c>
      <c r="Y36" s="28">
        <f>H36*P36</f>
        <v/>
      </c>
      <c r="Z36" s="28">
        <f>H36*Q36</f>
        <v/>
      </c>
      <c r="AA36" s="28">
        <f>SUM(U36:Z36)</f>
        <v/>
      </c>
      <c r="AB36" s="5">
        <f>IF(COUNTIF('02b_DC_Accelerator_Mix'!$A$2:$A$977,G36)&gt;0,"matched","missing_mix")</f>
        <v/>
      </c>
    </row>
    <row r="37">
      <c r="A37" s="5">
        <f>'02a_DC_Capacity_Alloc'!A37</f>
        <v/>
      </c>
      <c r="B37" s="5">
        <f>'02a_DC_Capacity_Alloc'!B37</f>
        <v/>
      </c>
      <c r="C37" s="5">
        <f>'02a_DC_Capacity_Alloc'!C37</f>
        <v/>
      </c>
      <c r="D37" s="5">
        <f>'02a_DC_Capacity_Alloc'!D37</f>
        <v/>
      </c>
      <c r="E37" s="5">
        <f>'02a_DC_Capacity_Alloc'!E37</f>
        <v/>
      </c>
      <c r="F37" s="5">
        <f>'02a_DC_Capacity_Alloc'!F37</f>
        <v/>
      </c>
      <c r="G37" s="5">
        <f>B37&amp;"|"&amp;E37&amp;"|"&amp;D37</f>
        <v/>
      </c>
      <c r="H37" s="28">
        <f>'02a_DC_Capacity_Alloc'!H37*'02a_DC_Capacity_Alloc'!I37*'02a_DC_Capacity_Alloc'!J37</f>
        <v/>
      </c>
      <c r="I37" s="6">
        <f>IFERROR(INDEX('02b_DC_Accelerator_Mix'!$F$2:$F$977,MATCH(G37,'02b_DC_Accelerator_Mix'!$A$2:$A$977,0)),0)</f>
        <v/>
      </c>
      <c r="J37" s="6">
        <f>IFERROR(INDEX('02b_DC_Accelerator_Mix'!$G$2:$G$977,MATCH(G37,'02b_DC_Accelerator_Mix'!$A$2:$A$977,0)),0)</f>
        <v/>
      </c>
      <c r="K37" s="6">
        <f>IFERROR(INDEX('02b_DC_Accelerator_Mix'!$H$2:$H$977,MATCH(G37,'02b_DC_Accelerator_Mix'!$A$2:$A$977,0)),0)</f>
        <v/>
      </c>
      <c r="L37" s="6">
        <f>IFERROR(INDEX('02b_DC_Accelerator_Mix'!$I$2:$I$977,MATCH(G37,'02b_DC_Accelerator_Mix'!$A$2:$A$977,0)),0)</f>
        <v/>
      </c>
      <c r="M37" s="6">
        <f>IFERROR(INDEX('02b_DC_Accelerator_Mix'!$J$2:$J$977,MATCH(G37,'02b_DC_Accelerator_Mix'!$A$2:$A$977,0)),0)</f>
        <v/>
      </c>
      <c r="N37" s="6">
        <f>IFERROR(INDEX('02b_DC_Accelerator_Mix'!$K$2:$K$977,MATCH(G37,'02b_DC_Accelerator_Mix'!$A$2:$A$977,0)),0)</f>
        <v/>
      </c>
      <c r="O37" s="6">
        <f>IFERROR(INDEX('02b_DC_Accelerator_Mix'!$L$2:$L$977,MATCH(G37,'02b_DC_Accelerator_Mix'!$A$2:$A$977,0)),0)</f>
        <v/>
      </c>
      <c r="P37" s="6">
        <f>IFERROR(INDEX('02b_DC_Accelerator_Mix'!$M$2:$M$977,MATCH(G37,'02b_DC_Accelerator_Mix'!$A$2:$A$977,0)),0)</f>
        <v/>
      </c>
      <c r="Q37" s="6">
        <f>IFERROR(INDEX('02b_DC_Accelerator_Mix'!$N$2:$N$977,MATCH(G37,'02b_DC_Accelerator_Mix'!$A$2:$A$977,0)),0)</f>
        <v/>
      </c>
      <c r="R37" s="28">
        <f>H37*I37</f>
        <v/>
      </c>
      <c r="S37" s="28">
        <f>H37*J37</f>
        <v/>
      </c>
      <c r="T37" s="28">
        <f>H37*K37</f>
        <v/>
      </c>
      <c r="U37" s="28">
        <f>H37*L37</f>
        <v/>
      </c>
      <c r="V37" s="28">
        <f>H37*M37</f>
        <v/>
      </c>
      <c r="W37" s="28">
        <f>H37*N37</f>
        <v/>
      </c>
      <c r="X37" s="28">
        <f>H37*O37</f>
        <v/>
      </c>
      <c r="Y37" s="28">
        <f>H37*P37</f>
        <v/>
      </c>
      <c r="Z37" s="28">
        <f>H37*Q37</f>
        <v/>
      </c>
      <c r="AA37" s="28">
        <f>SUM(U37:Z37)</f>
        <v/>
      </c>
      <c r="AB37" s="5">
        <f>IF(COUNTIF('02b_DC_Accelerator_Mix'!$A$2:$A$977,G37)&gt;0,"matched","missing_mix")</f>
        <v/>
      </c>
    </row>
    <row r="38">
      <c r="A38" s="5">
        <f>'02a_DC_Capacity_Alloc'!A38</f>
        <v/>
      </c>
      <c r="B38" s="5">
        <f>'02a_DC_Capacity_Alloc'!B38</f>
        <v/>
      </c>
      <c r="C38" s="5">
        <f>'02a_DC_Capacity_Alloc'!C38</f>
        <v/>
      </c>
      <c r="D38" s="5">
        <f>'02a_DC_Capacity_Alloc'!D38</f>
        <v/>
      </c>
      <c r="E38" s="5">
        <f>'02a_DC_Capacity_Alloc'!E38</f>
        <v/>
      </c>
      <c r="F38" s="5">
        <f>'02a_DC_Capacity_Alloc'!F38</f>
        <v/>
      </c>
      <c r="G38" s="5">
        <f>B38&amp;"|"&amp;E38&amp;"|"&amp;D38</f>
        <v/>
      </c>
      <c r="H38" s="28">
        <f>'02a_DC_Capacity_Alloc'!H38*'02a_DC_Capacity_Alloc'!I38*'02a_DC_Capacity_Alloc'!J38</f>
        <v/>
      </c>
      <c r="I38" s="6">
        <f>IFERROR(INDEX('02b_DC_Accelerator_Mix'!$F$2:$F$977,MATCH(G38,'02b_DC_Accelerator_Mix'!$A$2:$A$977,0)),0)</f>
        <v/>
      </c>
      <c r="J38" s="6">
        <f>IFERROR(INDEX('02b_DC_Accelerator_Mix'!$G$2:$G$977,MATCH(G38,'02b_DC_Accelerator_Mix'!$A$2:$A$977,0)),0)</f>
        <v/>
      </c>
      <c r="K38" s="6">
        <f>IFERROR(INDEX('02b_DC_Accelerator_Mix'!$H$2:$H$977,MATCH(G38,'02b_DC_Accelerator_Mix'!$A$2:$A$977,0)),0)</f>
        <v/>
      </c>
      <c r="L38" s="6">
        <f>IFERROR(INDEX('02b_DC_Accelerator_Mix'!$I$2:$I$977,MATCH(G38,'02b_DC_Accelerator_Mix'!$A$2:$A$977,0)),0)</f>
        <v/>
      </c>
      <c r="M38" s="6">
        <f>IFERROR(INDEX('02b_DC_Accelerator_Mix'!$J$2:$J$977,MATCH(G38,'02b_DC_Accelerator_Mix'!$A$2:$A$977,0)),0)</f>
        <v/>
      </c>
      <c r="N38" s="6">
        <f>IFERROR(INDEX('02b_DC_Accelerator_Mix'!$K$2:$K$977,MATCH(G38,'02b_DC_Accelerator_Mix'!$A$2:$A$977,0)),0)</f>
        <v/>
      </c>
      <c r="O38" s="6">
        <f>IFERROR(INDEX('02b_DC_Accelerator_Mix'!$L$2:$L$977,MATCH(G38,'02b_DC_Accelerator_Mix'!$A$2:$A$977,0)),0)</f>
        <v/>
      </c>
      <c r="P38" s="6">
        <f>IFERROR(INDEX('02b_DC_Accelerator_Mix'!$M$2:$M$977,MATCH(G38,'02b_DC_Accelerator_Mix'!$A$2:$A$977,0)),0)</f>
        <v/>
      </c>
      <c r="Q38" s="6">
        <f>IFERROR(INDEX('02b_DC_Accelerator_Mix'!$N$2:$N$977,MATCH(G38,'02b_DC_Accelerator_Mix'!$A$2:$A$977,0)),0)</f>
        <v/>
      </c>
      <c r="R38" s="28">
        <f>H38*I38</f>
        <v/>
      </c>
      <c r="S38" s="28">
        <f>H38*J38</f>
        <v/>
      </c>
      <c r="T38" s="28">
        <f>H38*K38</f>
        <v/>
      </c>
      <c r="U38" s="28">
        <f>H38*L38</f>
        <v/>
      </c>
      <c r="V38" s="28">
        <f>H38*M38</f>
        <v/>
      </c>
      <c r="W38" s="28">
        <f>H38*N38</f>
        <v/>
      </c>
      <c r="X38" s="28">
        <f>H38*O38</f>
        <v/>
      </c>
      <c r="Y38" s="28">
        <f>H38*P38</f>
        <v/>
      </c>
      <c r="Z38" s="28">
        <f>H38*Q38</f>
        <v/>
      </c>
      <c r="AA38" s="28">
        <f>SUM(U38:Z38)</f>
        <v/>
      </c>
      <c r="AB38" s="5">
        <f>IF(COUNTIF('02b_DC_Accelerator_Mix'!$A$2:$A$977,G38)&gt;0,"matched","missing_mix")</f>
        <v/>
      </c>
    </row>
    <row r="39">
      <c r="A39" s="5">
        <f>'02a_DC_Capacity_Alloc'!A39</f>
        <v/>
      </c>
      <c r="B39" s="5">
        <f>'02a_DC_Capacity_Alloc'!B39</f>
        <v/>
      </c>
      <c r="C39" s="5">
        <f>'02a_DC_Capacity_Alloc'!C39</f>
        <v/>
      </c>
      <c r="D39" s="5">
        <f>'02a_DC_Capacity_Alloc'!D39</f>
        <v/>
      </c>
      <c r="E39" s="5">
        <f>'02a_DC_Capacity_Alloc'!E39</f>
        <v/>
      </c>
      <c r="F39" s="5">
        <f>'02a_DC_Capacity_Alloc'!F39</f>
        <v/>
      </c>
      <c r="G39" s="5">
        <f>B39&amp;"|"&amp;E39&amp;"|"&amp;D39</f>
        <v/>
      </c>
      <c r="H39" s="28">
        <f>'02a_DC_Capacity_Alloc'!H39*'02a_DC_Capacity_Alloc'!I39*'02a_DC_Capacity_Alloc'!J39</f>
        <v/>
      </c>
      <c r="I39" s="6">
        <f>IFERROR(INDEX('02b_DC_Accelerator_Mix'!$F$2:$F$977,MATCH(G39,'02b_DC_Accelerator_Mix'!$A$2:$A$977,0)),0)</f>
        <v/>
      </c>
      <c r="J39" s="6">
        <f>IFERROR(INDEX('02b_DC_Accelerator_Mix'!$G$2:$G$977,MATCH(G39,'02b_DC_Accelerator_Mix'!$A$2:$A$977,0)),0)</f>
        <v/>
      </c>
      <c r="K39" s="6">
        <f>IFERROR(INDEX('02b_DC_Accelerator_Mix'!$H$2:$H$977,MATCH(G39,'02b_DC_Accelerator_Mix'!$A$2:$A$977,0)),0)</f>
        <v/>
      </c>
      <c r="L39" s="6">
        <f>IFERROR(INDEX('02b_DC_Accelerator_Mix'!$I$2:$I$977,MATCH(G39,'02b_DC_Accelerator_Mix'!$A$2:$A$977,0)),0)</f>
        <v/>
      </c>
      <c r="M39" s="6">
        <f>IFERROR(INDEX('02b_DC_Accelerator_Mix'!$J$2:$J$977,MATCH(G39,'02b_DC_Accelerator_Mix'!$A$2:$A$977,0)),0)</f>
        <v/>
      </c>
      <c r="N39" s="6">
        <f>IFERROR(INDEX('02b_DC_Accelerator_Mix'!$K$2:$K$977,MATCH(G39,'02b_DC_Accelerator_Mix'!$A$2:$A$977,0)),0)</f>
        <v/>
      </c>
      <c r="O39" s="6">
        <f>IFERROR(INDEX('02b_DC_Accelerator_Mix'!$L$2:$L$977,MATCH(G39,'02b_DC_Accelerator_Mix'!$A$2:$A$977,0)),0)</f>
        <v/>
      </c>
      <c r="P39" s="6">
        <f>IFERROR(INDEX('02b_DC_Accelerator_Mix'!$M$2:$M$977,MATCH(G39,'02b_DC_Accelerator_Mix'!$A$2:$A$977,0)),0)</f>
        <v/>
      </c>
      <c r="Q39" s="6">
        <f>IFERROR(INDEX('02b_DC_Accelerator_Mix'!$N$2:$N$977,MATCH(G39,'02b_DC_Accelerator_Mix'!$A$2:$A$977,0)),0)</f>
        <v/>
      </c>
      <c r="R39" s="28">
        <f>H39*I39</f>
        <v/>
      </c>
      <c r="S39" s="28">
        <f>H39*J39</f>
        <v/>
      </c>
      <c r="T39" s="28">
        <f>H39*K39</f>
        <v/>
      </c>
      <c r="U39" s="28">
        <f>H39*L39</f>
        <v/>
      </c>
      <c r="V39" s="28">
        <f>H39*M39</f>
        <v/>
      </c>
      <c r="W39" s="28">
        <f>H39*N39</f>
        <v/>
      </c>
      <c r="X39" s="28">
        <f>H39*O39</f>
        <v/>
      </c>
      <c r="Y39" s="28">
        <f>H39*P39</f>
        <v/>
      </c>
      <c r="Z39" s="28">
        <f>H39*Q39</f>
        <v/>
      </c>
      <c r="AA39" s="28">
        <f>SUM(U39:Z39)</f>
        <v/>
      </c>
      <c r="AB39" s="5">
        <f>IF(COUNTIF('02b_DC_Accelerator_Mix'!$A$2:$A$977,G39)&gt;0,"matched","missing_mix")</f>
        <v/>
      </c>
    </row>
    <row r="40">
      <c r="A40" s="5">
        <f>'02a_DC_Capacity_Alloc'!A40</f>
        <v/>
      </c>
      <c r="B40" s="5">
        <f>'02a_DC_Capacity_Alloc'!B40</f>
        <v/>
      </c>
      <c r="C40" s="5">
        <f>'02a_DC_Capacity_Alloc'!C40</f>
        <v/>
      </c>
      <c r="D40" s="5">
        <f>'02a_DC_Capacity_Alloc'!D40</f>
        <v/>
      </c>
      <c r="E40" s="5">
        <f>'02a_DC_Capacity_Alloc'!E40</f>
        <v/>
      </c>
      <c r="F40" s="5">
        <f>'02a_DC_Capacity_Alloc'!F40</f>
        <v/>
      </c>
      <c r="G40" s="5">
        <f>B40&amp;"|"&amp;E40&amp;"|"&amp;D40</f>
        <v/>
      </c>
      <c r="H40" s="28">
        <f>'02a_DC_Capacity_Alloc'!H40*'02a_DC_Capacity_Alloc'!I40*'02a_DC_Capacity_Alloc'!J40</f>
        <v/>
      </c>
      <c r="I40" s="6">
        <f>IFERROR(INDEX('02b_DC_Accelerator_Mix'!$F$2:$F$977,MATCH(G40,'02b_DC_Accelerator_Mix'!$A$2:$A$977,0)),0)</f>
        <v/>
      </c>
      <c r="J40" s="6">
        <f>IFERROR(INDEX('02b_DC_Accelerator_Mix'!$G$2:$G$977,MATCH(G40,'02b_DC_Accelerator_Mix'!$A$2:$A$977,0)),0)</f>
        <v/>
      </c>
      <c r="K40" s="6">
        <f>IFERROR(INDEX('02b_DC_Accelerator_Mix'!$H$2:$H$977,MATCH(G40,'02b_DC_Accelerator_Mix'!$A$2:$A$977,0)),0)</f>
        <v/>
      </c>
      <c r="L40" s="6">
        <f>IFERROR(INDEX('02b_DC_Accelerator_Mix'!$I$2:$I$977,MATCH(G40,'02b_DC_Accelerator_Mix'!$A$2:$A$977,0)),0)</f>
        <v/>
      </c>
      <c r="M40" s="6">
        <f>IFERROR(INDEX('02b_DC_Accelerator_Mix'!$J$2:$J$977,MATCH(G40,'02b_DC_Accelerator_Mix'!$A$2:$A$977,0)),0)</f>
        <v/>
      </c>
      <c r="N40" s="6">
        <f>IFERROR(INDEX('02b_DC_Accelerator_Mix'!$K$2:$K$977,MATCH(G40,'02b_DC_Accelerator_Mix'!$A$2:$A$977,0)),0)</f>
        <v/>
      </c>
      <c r="O40" s="6">
        <f>IFERROR(INDEX('02b_DC_Accelerator_Mix'!$L$2:$L$977,MATCH(G40,'02b_DC_Accelerator_Mix'!$A$2:$A$977,0)),0)</f>
        <v/>
      </c>
      <c r="P40" s="6">
        <f>IFERROR(INDEX('02b_DC_Accelerator_Mix'!$M$2:$M$977,MATCH(G40,'02b_DC_Accelerator_Mix'!$A$2:$A$977,0)),0)</f>
        <v/>
      </c>
      <c r="Q40" s="6">
        <f>IFERROR(INDEX('02b_DC_Accelerator_Mix'!$N$2:$N$977,MATCH(G40,'02b_DC_Accelerator_Mix'!$A$2:$A$977,0)),0)</f>
        <v/>
      </c>
      <c r="R40" s="28">
        <f>H40*I40</f>
        <v/>
      </c>
      <c r="S40" s="28">
        <f>H40*J40</f>
        <v/>
      </c>
      <c r="T40" s="28">
        <f>H40*K40</f>
        <v/>
      </c>
      <c r="U40" s="28">
        <f>H40*L40</f>
        <v/>
      </c>
      <c r="V40" s="28">
        <f>H40*M40</f>
        <v/>
      </c>
      <c r="W40" s="28">
        <f>H40*N40</f>
        <v/>
      </c>
      <c r="X40" s="28">
        <f>H40*O40</f>
        <v/>
      </c>
      <c r="Y40" s="28">
        <f>H40*P40</f>
        <v/>
      </c>
      <c r="Z40" s="28">
        <f>H40*Q40</f>
        <v/>
      </c>
      <c r="AA40" s="28">
        <f>SUM(U40:Z40)</f>
        <v/>
      </c>
      <c r="AB40" s="5">
        <f>IF(COUNTIF('02b_DC_Accelerator_Mix'!$A$2:$A$977,G40)&gt;0,"matched","missing_mix")</f>
        <v/>
      </c>
    </row>
    <row r="41">
      <c r="A41" s="5">
        <f>'02a_DC_Capacity_Alloc'!A41</f>
        <v/>
      </c>
      <c r="B41" s="5">
        <f>'02a_DC_Capacity_Alloc'!B41</f>
        <v/>
      </c>
      <c r="C41" s="5">
        <f>'02a_DC_Capacity_Alloc'!C41</f>
        <v/>
      </c>
      <c r="D41" s="5">
        <f>'02a_DC_Capacity_Alloc'!D41</f>
        <v/>
      </c>
      <c r="E41" s="5">
        <f>'02a_DC_Capacity_Alloc'!E41</f>
        <v/>
      </c>
      <c r="F41" s="5">
        <f>'02a_DC_Capacity_Alloc'!F41</f>
        <v/>
      </c>
      <c r="G41" s="5">
        <f>B41&amp;"|"&amp;E41&amp;"|"&amp;D41</f>
        <v/>
      </c>
      <c r="H41" s="28">
        <f>'02a_DC_Capacity_Alloc'!H41*'02a_DC_Capacity_Alloc'!I41*'02a_DC_Capacity_Alloc'!J41</f>
        <v/>
      </c>
      <c r="I41" s="6">
        <f>IFERROR(INDEX('02b_DC_Accelerator_Mix'!$F$2:$F$977,MATCH(G41,'02b_DC_Accelerator_Mix'!$A$2:$A$977,0)),0)</f>
        <v/>
      </c>
      <c r="J41" s="6">
        <f>IFERROR(INDEX('02b_DC_Accelerator_Mix'!$G$2:$G$977,MATCH(G41,'02b_DC_Accelerator_Mix'!$A$2:$A$977,0)),0)</f>
        <v/>
      </c>
      <c r="K41" s="6">
        <f>IFERROR(INDEX('02b_DC_Accelerator_Mix'!$H$2:$H$977,MATCH(G41,'02b_DC_Accelerator_Mix'!$A$2:$A$977,0)),0)</f>
        <v/>
      </c>
      <c r="L41" s="6">
        <f>IFERROR(INDEX('02b_DC_Accelerator_Mix'!$I$2:$I$977,MATCH(G41,'02b_DC_Accelerator_Mix'!$A$2:$A$977,0)),0)</f>
        <v/>
      </c>
      <c r="M41" s="6">
        <f>IFERROR(INDEX('02b_DC_Accelerator_Mix'!$J$2:$J$977,MATCH(G41,'02b_DC_Accelerator_Mix'!$A$2:$A$977,0)),0)</f>
        <v/>
      </c>
      <c r="N41" s="6">
        <f>IFERROR(INDEX('02b_DC_Accelerator_Mix'!$K$2:$K$977,MATCH(G41,'02b_DC_Accelerator_Mix'!$A$2:$A$977,0)),0)</f>
        <v/>
      </c>
      <c r="O41" s="6">
        <f>IFERROR(INDEX('02b_DC_Accelerator_Mix'!$L$2:$L$977,MATCH(G41,'02b_DC_Accelerator_Mix'!$A$2:$A$977,0)),0)</f>
        <v/>
      </c>
      <c r="P41" s="6">
        <f>IFERROR(INDEX('02b_DC_Accelerator_Mix'!$M$2:$M$977,MATCH(G41,'02b_DC_Accelerator_Mix'!$A$2:$A$977,0)),0)</f>
        <v/>
      </c>
      <c r="Q41" s="6">
        <f>IFERROR(INDEX('02b_DC_Accelerator_Mix'!$N$2:$N$977,MATCH(G41,'02b_DC_Accelerator_Mix'!$A$2:$A$977,0)),0)</f>
        <v/>
      </c>
      <c r="R41" s="28">
        <f>H41*I41</f>
        <v/>
      </c>
      <c r="S41" s="28">
        <f>H41*J41</f>
        <v/>
      </c>
      <c r="T41" s="28">
        <f>H41*K41</f>
        <v/>
      </c>
      <c r="U41" s="28">
        <f>H41*L41</f>
        <v/>
      </c>
      <c r="V41" s="28">
        <f>H41*M41</f>
        <v/>
      </c>
      <c r="W41" s="28">
        <f>H41*N41</f>
        <v/>
      </c>
      <c r="X41" s="28">
        <f>H41*O41</f>
        <v/>
      </c>
      <c r="Y41" s="28">
        <f>H41*P41</f>
        <v/>
      </c>
      <c r="Z41" s="28">
        <f>H41*Q41</f>
        <v/>
      </c>
      <c r="AA41" s="28">
        <f>SUM(U41:Z41)</f>
        <v/>
      </c>
      <c r="AB41" s="5">
        <f>IF(COUNTIF('02b_DC_Accelerator_Mix'!$A$2:$A$977,G41)&gt;0,"matched","missing_mix")</f>
        <v/>
      </c>
    </row>
    <row r="42">
      <c r="A42" s="5">
        <f>'02a_DC_Capacity_Alloc'!A42</f>
        <v/>
      </c>
      <c r="B42" s="5">
        <f>'02a_DC_Capacity_Alloc'!B42</f>
        <v/>
      </c>
      <c r="C42" s="5">
        <f>'02a_DC_Capacity_Alloc'!C42</f>
        <v/>
      </c>
      <c r="D42" s="5">
        <f>'02a_DC_Capacity_Alloc'!D42</f>
        <v/>
      </c>
      <c r="E42" s="5">
        <f>'02a_DC_Capacity_Alloc'!E42</f>
        <v/>
      </c>
      <c r="F42" s="5">
        <f>'02a_DC_Capacity_Alloc'!F42</f>
        <v/>
      </c>
      <c r="G42" s="5">
        <f>B42&amp;"|"&amp;E42&amp;"|"&amp;D42</f>
        <v/>
      </c>
      <c r="H42" s="28">
        <f>'02a_DC_Capacity_Alloc'!H42*'02a_DC_Capacity_Alloc'!I42*'02a_DC_Capacity_Alloc'!J42</f>
        <v/>
      </c>
      <c r="I42" s="6">
        <f>IFERROR(INDEX('02b_DC_Accelerator_Mix'!$F$2:$F$977,MATCH(G42,'02b_DC_Accelerator_Mix'!$A$2:$A$977,0)),0)</f>
        <v/>
      </c>
      <c r="J42" s="6">
        <f>IFERROR(INDEX('02b_DC_Accelerator_Mix'!$G$2:$G$977,MATCH(G42,'02b_DC_Accelerator_Mix'!$A$2:$A$977,0)),0)</f>
        <v/>
      </c>
      <c r="K42" s="6">
        <f>IFERROR(INDEX('02b_DC_Accelerator_Mix'!$H$2:$H$977,MATCH(G42,'02b_DC_Accelerator_Mix'!$A$2:$A$977,0)),0)</f>
        <v/>
      </c>
      <c r="L42" s="6">
        <f>IFERROR(INDEX('02b_DC_Accelerator_Mix'!$I$2:$I$977,MATCH(G42,'02b_DC_Accelerator_Mix'!$A$2:$A$977,0)),0)</f>
        <v/>
      </c>
      <c r="M42" s="6">
        <f>IFERROR(INDEX('02b_DC_Accelerator_Mix'!$J$2:$J$977,MATCH(G42,'02b_DC_Accelerator_Mix'!$A$2:$A$977,0)),0)</f>
        <v/>
      </c>
      <c r="N42" s="6">
        <f>IFERROR(INDEX('02b_DC_Accelerator_Mix'!$K$2:$K$977,MATCH(G42,'02b_DC_Accelerator_Mix'!$A$2:$A$977,0)),0)</f>
        <v/>
      </c>
      <c r="O42" s="6">
        <f>IFERROR(INDEX('02b_DC_Accelerator_Mix'!$L$2:$L$977,MATCH(G42,'02b_DC_Accelerator_Mix'!$A$2:$A$977,0)),0)</f>
        <v/>
      </c>
      <c r="P42" s="6">
        <f>IFERROR(INDEX('02b_DC_Accelerator_Mix'!$M$2:$M$977,MATCH(G42,'02b_DC_Accelerator_Mix'!$A$2:$A$977,0)),0)</f>
        <v/>
      </c>
      <c r="Q42" s="6">
        <f>IFERROR(INDEX('02b_DC_Accelerator_Mix'!$N$2:$N$977,MATCH(G42,'02b_DC_Accelerator_Mix'!$A$2:$A$977,0)),0)</f>
        <v/>
      </c>
      <c r="R42" s="28">
        <f>H42*I42</f>
        <v/>
      </c>
      <c r="S42" s="28">
        <f>H42*J42</f>
        <v/>
      </c>
      <c r="T42" s="28">
        <f>H42*K42</f>
        <v/>
      </c>
      <c r="U42" s="28">
        <f>H42*L42</f>
        <v/>
      </c>
      <c r="V42" s="28">
        <f>H42*M42</f>
        <v/>
      </c>
      <c r="W42" s="28">
        <f>H42*N42</f>
        <v/>
      </c>
      <c r="X42" s="28">
        <f>H42*O42</f>
        <v/>
      </c>
      <c r="Y42" s="28">
        <f>H42*P42</f>
        <v/>
      </c>
      <c r="Z42" s="28">
        <f>H42*Q42</f>
        <v/>
      </c>
      <c r="AA42" s="28">
        <f>SUM(U42:Z42)</f>
        <v/>
      </c>
      <c r="AB42" s="5">
        <f>IF(COUNTIF('02b_DC_Accelerator_Mix'!$A$2:$A$977,G42)&gt;0,"matched","missing_mix")</f>
        <v/>
      </c>
    </row>
    <row r="43">
      <c r="A43" s="5">
        <f>'02a_DC_Capacity_Alloc'!A43</f>
        <v/>
      </c>
      <c r="B43" s="5">
        <f>'02a_DC_Capacity_Alloc'!B43</f>
        <v/>
      </c>
      <c r="C43" s="5">
        <f>'02a_DC_Capacity_Alloc'!C43</f>
        <v/>
      </c>
      <c r="D43" s="5">
        <f>'02a_DC_Capacity_Alloc'!D43</f>
        <v/>
      </c>
      <c r="E43" s="5">
        <f>'02a_DC_Capacity_Alloc'!E43</f>
        <v/>
      </c>
      <c r="F43" s="5">
        <f>'02a_DC_Capacity_Alloc'!F43</f>
        <v/>
      </c>
      <c r="G43" s="5">
        <f>B43&amp;"|"&amp;E43&amp;"|"&amp;D43</f>
        <v/>
      </c>
      <c r="H43" s="28">
        <f>'02a_DC_Capacity_Alloc'!H43*'02a_DC_Capacity_Alloc'!I43*'02a_DC_Capacity_Alloc'!J43</f>
        <v/>
      </c>
      <c r="I43" s="6">
        <f>IFERROR(INDEX('02b_DC_Accelerator_Mix'!$F$2:$F$977,MATCH(G43,'02b_DC_Accelerator_Mix'!$A$2:$A$977,0)),0)</f>
        <v/>
      </c>
      <c r="J43" s="6">
        <f>IFERROR(INDEX('02b_DC_Accelerator_Mix'!$G$2:$G$977,MATCH(G43,'02b_DC_Accelerator_Mix'!$A$2:$A$977,0)),0)</f>
        <v/>
      </c>
      <c r="K43" s="6">
        <f>IFERROR(INDEX('02b_DC_Accelerator_Mix'!$H$2:$H$977,MATCH(G43,'02b_DC_Accelerator_Mix'!$A$2:$A$977,0)),0)</f>
        <v/>
      </c>
      <c r="L43" s="6">
        <f>IFERROR(INDEX('02b_DC_Accelerator_Mix'!$I$2:$I$977,MATCH(G43,'02b_DC_Accelerator_Mix'!$A$2:$A$977,0)),0)</f>
        <v/>
      </c>
      <c r="M43" s="6">
        <f>IFERROR(INDEX('02b_DC_Accelerator_Mix'!$J$2:$J$977,MATCH(G43,'02b_DC_Accelerator_Mix'!$A$2:$A$977,0)),0)</f>
        <v/>
      </c>
      <c r="N43" s="6">
        <f>IFERROR(INDEX('02b_DC_Accelerator_Mix'!$K$2:$K$977,MATCH(G43,'02b_DC_Accelerator_Mix'!$A$2:$A$977,0)),0)</f>
        <v/>
      </c>
      <c r="O43" s="6">
        <f>IFERROR(INDEX('02b_DC_Accelerator_Mix'!$L$2:$L$977,MATCH(G43,'02b_DC_Accelerator_Mix'!$A$2:$A$977,0)),0)</f>
        <v/>
      </c>
      <c r="P43" s="6">
        <f>IFERROR(INDEX('02b_DC_Accelerator_Mix'!$M$2:$M$977,MATCH(G43,'02b_DC_Accelerator_Mix'!$A$2:$A$977,0)),0)</f>
        <v/>
      </c>
      <c r="Q43" s="6">
        <f>IFERROR(INDEX('02b_DC_Accelerator_Mix'!$N$2:$N$977,MATCH(G43,'02b_DC_Accelerator_Mix'!$A$2:$A$977,0)),0)</f>
        <v/>
      </c>
      <c r="R43" s="28">
        <f>H43*I43</f>
        <v/>
      </c>
      <c r="S43" s="28">
        <f>H43*J43</f>
        <v/>
      </c>
      <c r="T43" s="28">
        <f>H43*K43</f>
        <v/>
      </c>
      <c r="U43" s="28">
        <f>H43*L43</f>
        <v/>
      </c>
      <c r="V43" s="28">
        <f>H43*M43</f>
        <v/>
      </c>
      <c r="W43" s="28">
        <f>H43*N43</f>
        <v/>
      </c>
      <c r="X43" s="28">
        <f>H43*O43</f>
        <v/>
      </c>
      <c r="Y43" s="28">
        <f>H43*P43</f>
        <v/>
      </c>
      <c r="Z43" s="28">
        <f>H43*Q43</f>
        <v/>
      </c>
      <c r="AA43" s="28">
        <f>SUM(U43:Z43)</f>
        <v/>
      </c>
      <c r="AB43" s="5">
        <f>IF(COUNTIF('02b_DC_Accelerator_Mix'!$A$2:$A$977,G43)&gt;0,"matched","missing_mix")</f>
        <v/>
      </c>
    </row>
    <row r="44">
      <c r="A44" s="5">
        <f>'02a_DC_Capacity_Alloc'!A44</f>
        <v/>
      </c>
      <c r="B44" s="5">
        <f>'02a_DC_Capacity_Alloc'!B44</f>
        <v/>
      </c>
      <c r="C44" s="5">
        <f>'02a_DC_Capacity_Alloc'!C44</f>
        <v/>
      </c>
      <c r="D44" s="5">
        <f>'02a_DC_Capacity_Alloc'!D44</f>
        <v/>
      </c>
      <c r="E44" s="5">
        <f>'02a_DC_Capacity_Alloc'!E44</f>
        <v/>
      </c>
      <c r="F44" s="5">
        <f>'02a_DC_Capacity_Alloc'!F44</f>
        <v/>
      </c>
      <c r="G44" s="5">
        <f>B44&amp;"|"&amp;E44&amp;"|"&amp;D44</f>
        <v/>
      </c>
      <c r="H44" s="28">
        <f>'02a_DC_Capacity_Alloc'!H44*'02a_DC_Capacity_Alloc'!I44*'02a_DC_Capacity_Alloc'!J44</f>
        <v/>
      </c>
      <c r="I44" s="6">
        <f>IFERROR(INDEX('02b_DC_Accelerator_Mix'!$F$2:$F$977,MATCH(G44,'02b_DC_Accelerator_Mix'!$A$2:$A$977,0)),0)</f>
        <v/>
      </c>
      <c r="J44" s="6">
        <f>IFERROR(INDEX('02b_DC_Accelerator_Mix'!$G$2:$G$977,MATCH(G44,'02b_DC_Accelerator_Mix'!$A$2:$A$977,0)),0)</f>
        <v/>
      </c>
      <c r="K44" s="6">
        <f>IFERROR(INDEX('02b_DC_Accelerator_Mix'!$H$2:$H$977,MATCH(G44,'02b_DC_Accelerator_Mix'!$A$2:$A$977,0)),0)</f>
        <v/>
      </c>
      <c r="L44" s="6">
        <f>IFERROR(INDEX('02b_DC_Accelerator_Mix'!$I$2:$I$977,MATCH(G44,'02b_DC_Accelerator_Mix'!$A$2:$A$977,0)),0)</f>
        <v/>
      </c>
      <c r="M44" s="6">
        <f>IFERROR(INDEX('02b_DC_Accelerator_Mix'!$J$2:$J$977,MATCH(G44,'02b_DC_Accelerator_Mix'!$A$2:$A$977,0)),0)</f>
        <v/>
      </c>
      <c r="N44" s="6">
        <f>IFERROR(INDEX('02b_DC_Accelerator_Mix'!$K$2:$K$977,MATCH(G44,'02b_DC_Accelerator_Mix'!$A$2:$A$977,0)),0)</f>
        <v/>
      </c>
      <c r="O44" s="6">
        <f>IFERROR(INDEX('02b_DC_Accelerator_Mix'!$L$2:$L$977,MATCH(G44,'02b_DC_Accelerator_Mix'!$A$2:$A$977,0)),0)</f>
        <v/>
      </c>
      <c r="P44" s="6">
        <f>IFERROR(INDEX('02b_DC_Accelerator_Mix'!$M$2:$M$977,MATCH(G44,'02b_DC_Accelerator_Mix'!$A$2:$A$977,0)),0)</f>
        <v/>
      </c>
      <c r="Q44" s="6">
        <f>IFERROR(INDEX('02b_DC_Accelerator_Mix'!$N$2:$N$977,MATCH(G44,'02b_DC_Accelerator_Mix'!$A$2:$A$977,0)),0)</f>
        <v/>
      </c>
      <c r="R44" s="28">
        <f>H44*I44</f>
        <v/>
      </c>
      <c r="S44" s="28">
        <f>H44*J44</f>
        <v/>
      </c>
      <c r="T44" s="28">
        <f>H44*K44</f>
        <v/>
      </c>
      <c r="U44" s="28">
        <f>H44*L44</f>
        <v/>
      </c>
      <c r="V44" s="28">
        <f>H44*M44</f>
        <v/>
      </c>
      <c r="W44" s="28">
        <f>H44*N44</f>
        <v/>
      </c>
      <c r="X44" s="28">
        <f>H44*O44</f>
        <v/>
      </c>
      <c r="Y44" s="28">
        <f>H44*P44</f>
        <v/>
      </c>
      <c r="Z44" s="28">
        <f>H44*Q44</f>
        <v/>
      </c>
      <c r="AA44" s="28">
        <f>SUM(U44:Z44)</f>
        <v/>
      </c>
      <c r="AB44" s="5">
        <f>IF(COUNTIF('02b_DC_Accelerator_Mix'!$A$2:$A$977,G44)&gt;0,"matched","missing_mix")</f>
        <v/>
      </c>
    </row>
    <row r="45">
      <c r="A45" s="5">
        <f>'02a_DC_Capacity_Alloc'!A45</f>
        <v/>
      </c>
      <c r="B45" s="5">
        <f>'02a_DC_Capacity_Alloc'!B45</f>
        <v/>
      </c>
      <c r="C45" s="5">
        <f>'02a_DC_Capacity_Alloc'!C45</f>
        <v/>
      </c>
      <c r="D45" s="5">
        <f>'02a_DC_Capacity_Alloc'!D45</f>
        <v/>
      </c>
      <c r="E45" s="5">
        <f>'02a_DC_Capacity_Alloc'!E45</f>
        <v/>
      </c>
      <c r="F45" s="5">
        <f>'02a_DC_Capacity_Alloc'!F45</f>
        <v/>
      </c>
      <c r="G45" s="5">
        <f>B45&amp;"|"&amp;E45&amp;"|"&amp;D45</f>
        <v/>
      </c>
      <c r="H45" s="28">
        <f>'02a_DC_Capacity_Alloc'!H45*'02a_DC_Capacity_Alloc'!I45*'02a_DC_Capacity_Alloc'!J45</f>
        <v/>
      </c>
      <c r="I45" s="6">
        <f>IFERROR(INDEX('02b_DC_Accelerator_Mix'!$F$2:$F$977,MATCH(G45,'02b_DC_Accelerator_Mix'!$A$2:$A$977,0)),0)</f>
        <v/>
      </c>
      <c r="J45" s="6">
        <f>IFERROR(INDEX('02b_DC_Accelerator_Mix'!$G$2:$G$977,MATCH(G45,'02b_DC_Accelerator_Mix'!$A$2:$A$977,0)),0)</f>
        <v/>
      </c>
      <c r="K45" s="6">
        <f>IFERROR(INDEX('02b_DC_Accelerator_Mix'!$H$2:$H$977,MATCH(G45,'02b_DC_Accelerator_Mix'!$A$2:$A$977,0)),0)</f>
        <v/>
      </c>
      <c r="L45" s="6">
        <f>IFERROR(INDEX('02b_DC_Accelerator_Mix'!$I$2:$I$977,MATCH(G45,'02b_DC_Accelerator_Mix'!$A$2:$A$977,0)),0)</f>
        <v/>
      </c>
      <c r="M45" s="6">
        <f>IFERROR(INDEX('02b_DC_Accelerator_Mix'!$J$2:$J$977,MATCH(G45,'02b_DC_Accelerator_Mix'!$A$2:$A$977,0)),0)</f>
        <v/>
      </c>
      <c r="N45" s="6">
        <f>IFERROR(INDEX('02b_DC_Accelerator_Mix'!$K$2:$K$977,MATCH(G45,'02b_DC_Accelerator_Mix'!$A$2:$A$977,0)),0)</f>
        <v/>
      </c>
      <c r="O45" s="6">
        <f>IFERROR(INDEX('02b_DC_Accelerator_Mix'!$L$2:$L$977,MATCH(G45,'02b_DC_Accelerator_Mix'!$A$2:$A$977,0)),0)</f>
        <v/>
      </c>
      <c r="P45" s="6">
        <f>IFERROR(INDEX('02b_DC_Accelerator_Mix'!$M$2:$M$977,MATCH(G45,'02b_DC_Accelerator_Mix'!$A$2:$A$977,0)),0)</f>
        <v/>
      </c>
      <c r="Q45" s="6">
        <f>IFERROR(INDEX('02b_DC_Accelerator_Mix'!$N$2:$N$977,MATCH(G45,'02b_DC_Accelerator_Mix'!$A$2:$A$977,0)),0)</f>
        <v/>
      </c>
      <c r="R45" s="28">
        <f>H45*I45</f>
        <v/>
      </c>
      <c r="S45" s="28">
        <f>H45*J45</f>
        <v/>
      </c>
      <c r="T45" s="28">
        <f>H45*K45</f>
        <v/>
      </c>
      <c r="U45" s="28">
        <f>H45*L45</f>
        <v/>
      </c>
      <c r="V45" s="28">
        <f>H45*M45</f>
        <v/>
      </c>
      <c r="W45" s="28">
        <f>H45*N45</f>
        <v/>
      </c>
      <c r="X45" s="28">
        <f>H45*O45</f>
        <v/>
      </c>
      <c r="Y45" s="28">
        <f>H45*P45</f>
        <v/>
      </c>
      <c r="Z45" s="28">
        <f>H45*Q45</f>
        <v/>
      </c>
      <c r="AA45" s="28">
        <f>SUM(U45:Z45)</f>
        <v/>
      </c>
      <c r="AB45" s="5">
        <f>IF(COUNTIF('02b_DC_Accelerator_Mix'!$A$2:$A$977,G45)&gt;0,"matched","missing_mix")</f>
        <v/>
      </c>
    </row>
    <row r="46">
      <c r="A46" s="5">
        <f>'02a_DC_Capacity_Alloc'!A46</f>
        <v/>
      </c>
      <c r="B46" s="5">
        <f>'02a_DC_Capacity_Alloc'!B46</f>
        <v/>
      </c>
      <c r="C46" s="5">
        <f>'02a_DC_Capacity_Alloc'!C46</f>
        <v/>
      </c>
      <c r="D46" s="5">
        <f>'02a_DC_Capacity_Alloc'!D46</f>
        <v/>
      </c>
      <c r="E46" s="5">
        <f>'02a_DC_Capacity_Alloc'!E46</f>
        <v/>
      </c>
      <c r="F46" s="5">
        <f>'02a_DC_Capacity_Alloc'!F46</f>
        <v/>
      </c>
      <c r="G46" s="5">
        <f>B46&amp;"|"&amp;E46&amp;"|"&amp;D46</f>
        <v/>
      </c>
      <c r="H46" s="28">
        <f>'02a_DC_Capacity_Alloc'!H46*'02a_DC_Capacity_Alloc'!I46*'02a_DC_Capacity_Alloc'!J46</f>
        <v/>
      </c>
      <c r="I46" s="6">
        <f>IFERROR(INDEX('02b_DC_Accelerator_Mix'!$F$2:$F$977,MATCH(G46,'02b_DC_Accelerator_Mix'!$A$2:$A$977,0)),0)</f>
        <v/>
      </c>
      <c r="J46" s="6">
        <f>IFERROR(INDEX('02b_DC_Accelerator_Mix'!$G$2:$G$977,MATCH(G46,'02b_DC_Accelerator_Mix'!$A$2:$A$977,0)),0)</f>
        <v/>
      </c>
      <c r="K46" s="6">
        <f>IFERROR(INDEX('02b_DC_Accelerator_Mix'!$H$2:$H$977,MATCH(G46,'02b_DC_Accelerator_Mix'!$A$2:$A$977,0)),0)</f>
        <v/>
      </c>
      <c r="L46" s="6">
        <f>IFERROR(INDEX('02b_DC_Accelerator_Mix'!$I$2:$I$977,MATCH(G46,'02b_DC_Accelerator_Mix'!$A$2:$A$977,0)),0)</f>
        <v/>
      </c>
      <c r="M46" s="6">
        <f>IFERROR(INDEX('02b_DC_Accelerator_Mix'!$J$2:$J$977,MATCH(G46,'02b_DC_Accelerator_Mix'!$A$2:$A$977,0)),0)</f>
        <v/>
      </c>
      <c r="N46" s="6">
        <f>IFERROR(INDEX('02b_DC_Accelerator_Mix'!$K$2:$K$977,MATCH(G46,'02b_DC_Accelerator_Mix'!$A$2:$A$977,0)),0)</f>
        <v/>
      </c>
      <c r="O46" s="6">
        <f>IFERROR(INDEX('02b_DC_Accelerator_Mix'!$L$2:$L$977,MATCH(G46,'02b_DC_Accelerator_Mix'!$A$2:$A$977,0)),0)</f>
        <v/>
      </c>
      <c r="P46" s="6">
        <f>IFERROR(INDEX('02b_DC_Accelerator_Mix'!$M$2:$M$977,MATCH(G46,'02b_DC_Accelerator_Mix'!$A$2:$A$977,0)),0)</f>
        <v/>
      </c>
      <c r="Q46" s="6">
        <f>IFERROR(INDEX('02b_DC_Accelerator_Mix'!$N$2:$N$977,MATCH(G46,'02b_DC_Accelerator_Mix'!$A$2:$A$977,0)),0)</f>
        <v/>
      </c>
      <c r="R46" s="28">
        <f>H46*I46</f>
        <v/>
      </c>
      <c r="S46" s="28">
        <f>H46*J46</f>
        <v/>
      </c>
      <c r="T46" s="28">
        <f>H46*K46</f>
        <v/>
      </c>
      <c r="U46" s="28">
        <f>H46*L46</f>
        <v/>
      </c>
      <c r="V46" s="28">
        <f>H46*M46</f>
        <v/>
      </c>
      <c r="W46" s="28">
        <f>H46*N46</f>
        <v/>
      </c>
      <c r="X46" s="28">
        <f>H46*O46</f>
        <v/>
      </c>
      <c r="Y46" s="28">
        <f>H46*P46</f>
        <v/>
      </c>
      <c r="Z46" s="28">
        <f>H46*Q46</f>
        <v/>
      </c>
      <c r="AA46" s="28">
        <f>SUM(U46:Z46)</f>
        <v/>
      </c>
      <c r="AB46" s="5">
        <f>IF(COUNTIF('02b_DC_Accelerator_Mix'!$A$2:$A$977,G46)&gt;0,"matched","missing_mix")</f>
        <v/>
      </c>
    </row>
    <row r="47">
      <c r="A47" s="5">
        <f>'02a_DC_Capacity_Alloc'!A47</f>
        <v/>
      </c>
      <c r="B47" s="5">
        <f>'02a_DC_Capacity_Alloc'!B47</f>
        <v/>
      </c>
      <c r="C47" s="5">
        <f>'02a_DC_Capacity_Alloc'!C47</f>
        <v/>
      </c>
      <c r="D47" s="5">
        <f>'02a_DC_Capacity_Alloc'!D47</f>
        <v/>
      </c>
      <c r="E47" s="5">
        <f>'02a_DC_Capacity_Alloc'!E47</f>
        <v/>
      </c>
      <c r="F47" s="5">
        <f>'02a_DC_Capacity_Alloc'!F47</f>
        <v/>
      </c>
      <c r="G47" s="5">
        <f>B47&amp;"|"&amp;E47&amp;"|"&amp;D47</f>
        <v/>
      </c>
      <c r="H47" s="28">
        <f>'02a_DC_Capacity_Alloc'!H47*'02a_DC_Capacity_Alloc'!I47*'02a_DC_Capacity_Alloc'!J47</f>
        <v/>
      </c>
      <c r="I47" s="6">
        <f>IFERROR(INDEX('02b_DC_Accelerator_Mix'!$F$2:$F$977,MATCH(G47,'02b_DC_Accelerator_Mix'!$A$2:$A$977,0)),0)</f>
        <v/>
      </c>
      <c r="J47" s="6">
        <f>IFERROR(INDEX('02b_DC_Accelerator_Mix'!$G$2:$G$977,MATCH(G47,'02b_DC_Accelerator_Mix'!$A$2:$A$977,0)),0)</f>
        <v/>
      </c>
      <c r="K47" s="6">
        <f>IFERROR(INDEX('02b_DC_Accelerator_Mix'!$H$2:$H$977,MATCH(G47,'02b_DC_Accelerator_Mix'!$A$2:$A$977,0)),0)</f>
        <v/>
      </c>
      <c r="L47" s="6">
        <f>IFERROR(INDEX('02b_DC_Accelerator_Mix'!$I$2:$I$977,MATCH(G47,'02b_DC_Accelerator_Mix'!$A$2:$A$977,0)),0)</f>
        <v/>
      </c>
      <c r="M47" s="6">
        <f>IFERROR(INDEX('02b_DC_Accelerator_Mix'!$J$2:$J$977,MATCH(G47,'02b_DC_Accelerator_Mix'!$A$2:$A$977,0)),0)</f>
        <v/>
      </c>
      <c r="N47" s="6">
        <f>IFERROR(INDEX('02b_DC_Accelerator_Mix'!$K$2:$K$977,MATCH(G47,'02b_DC_Accelerator_Mix'!$A$2:$A$977,0)),0)</f>
        <v/>
      </c>
      <c r="O47" s="6">
        <f>IFERROR(INDEX('02b_DC_Accelerator_Mix'!$L$2:$L$977,MATCH(G47,'02b_DC_Accelerator_Mix'!$A$2:$A$977,0)),0)</f>
        <v/>
      </c>
      <c r="P47" s="6">
        <f>IFERROR(INDEX('02b_DC_Accelerator_Mix'!$M$2:$M$977,MATCH(G47,'02b_DC_Accelerator_Mix'!$A$2:$A$977,0)),0)</f>
        <v/>
      </c>
      <c r="Q47" s="6">
        <f>IFERROR(INDEX('02b_DC_Accelerator_Mix'!$N$2:$N$977,MATCH(G47,'02b_DC_Accelerator_Mix'!$A$2:$A$977,0)),0)</f>
        <v/>
      </c>
      <c r="R47" s="28">
        <f>H47*I47</f>
        <v/>
      </c>
      <c r="S47" s="28">
        <f>H47*J47</f>
        <v/>
      </c>
      <c r="T47" s="28">
        <f>H47*K47</f>
        <v/>
      </c>
      <c r="U47" s="28">
        <f>H47*L47</f>
        <v/>
      </c>
      <c r="V47" s="28">
        <f>H47*M47</f>
        <v/>
      </c>
      <c r="W47" s="28">
        <f>H47*N47</f>
        <v/>
      </c>
      <c r="X47" s="28">
        <f>H47*O47</f>
        <v/>
      </c>
      <c r="Y47" s="28">
        <f>H47*P47</f>
        <v/>
      </c>
      <c r="Z47" s="28">
        <f>H47*Q47</f>
        <v/>
      </c>
      <c r="AA47" s="28">
        <f>SUM(U47:Z47)</f>
        <v/>
      </c>
      <c r="AB47" s="5">
        <f>IF(COUNTIF('02b_DC_Accelerator_Mix'!$A$2:$A$977,G47)&gt;0,"matched","missing_mix")</f>
        <v/>
      </c>
    </row>
    <row r="48">
      <c r="A48" s="5">
        <f>'02a_DC_Capacity_Alloc'!A48</f>
        <v/>
      </c>
      <c r="B48" s="5">
        <f>'02a_DC_Capacity_Alloc'!B48</f>
        <v/>
      </c>
      <c r="C48" s="5">
        <f>'02a_DC_Capacity_Alloc'!C48</f>
        <v/>
      </c>
      <c r="D48" s="5">
        <f>'02a_DC_Capacity_Alloc'!D48</f>
        <v/>
      </c>
      <c r="E48" s="5">
        <f>'02a_DC_Capacity_Alloc'!E48</f>
        <v/>
      </c>
      <c r="F48" s="5">
        <f>'02a_DC_Capacity_Alloc'!F48</f>
        <v/>
      </c>
      <c r="G48" s="5">
        <f>B48&amp;"|"&amp;E48&amp;"|"&amp;D48</f>
        <v/>
      </c>
      <c r="H48" s="28">
        <f>'02a_DC_Capacity_Alloc'!H48*'02a_DC_Capacity_Alloc'!I48*'02a_DC_Capacity_Alloc'!J48</f>
        <v/>
      </c>
      <c r="I48" s="6">
        <f>IFERROR(INDEX('02b_DC_Accelerator_Mix'!$F$2:$F$977,MATCH(G48,'02b_DC_Accelerator_Mix'!$A$2:$A$977,0)),0)</f>
        <v/>
      </c>
      <c r="J48" s="6">
        <f>IFERROR(INDEX('02b_DC_Accelerator_Mix'!$G$2:$G$977,MATCH(G48,'02b_DC_Accelerator_Mix'!$A$2:$A$977,0)),0)</f>
        <v/>
      </c>
      <c r="K48" s="6">
        <f>IFERROR(INDEX('02b_DC_Accelerator_Mix'!$H$2:$H$977,MATCH(G48,'02b_DC_Accelerator_Mix'!$A$2:$A$977,0)),0)</f>
        <v/>
      </c>
      <c r="L48" s="6">
        <f>IFERROR(INDEX('02b_DC_Accelerator_Mix'!$I$2:$I$977,MATCH(G48,'02b_DC_Accelerator_Mix'!$A$2:$A$977,0)),0)</f>
        <v/>
      </c>
      <c r="M48" s="6">
        <f>IFERROR(INDEX('02b_DC_Accelerator_Mix'!$J$2:$J$977,MATCH(G48,'02b_DC_Accelerator_Mix'!$A$2:$A$977,0)),0)</f>
        <v/>
      </c>
      <c r="N48" s="6">
        <f>IFERROR(INDEX('02b_DC_Accelerator_Mix'!$K$2:$K$977,MATCH(G48,'02b_DC_Accelerator_Mix'!$A$2:$A$977,0)),0)</f>
        <v/>
      </c>
      <c r="O48" s="6">
        <f>IFERROR(INDEX('02b_DC_Accelerator_Mix'!$L$2:$L$977,MATCH(G48,'02b_DC_Accelerator_Mix'!$A$2:$A$977,0)),0)</f>
        <v/>
      </c>
      <c r="P48" s="6">
        <f>IFERROR(INDEX('02b_DC_Accelerator_Mix'!$M$2:$M$977,MATCH(G48,'02b_DC_Accelerator_Mix'!$A$2:$A$977,0)),0)</f>
        <v/>
      </c>
      <c r="Q48" s="6">
        <f>IFERROR(INDEX('02b_DC_Accelerator_Mix'!$N$2:$N$977,MATCH(G48,'02b_DC_Accelerator_Mix'!$A$2:$A$977,0)),0)</f>
        <v/>
      </c>
      <c r="R48" s="28">
        <f>H48*I48</f>
        <v/>
      </c>
      <c r="S48" s="28">
        <f>H48*J48</f>
        <v/>
      </c>
      <c r="T48" s="28">
        <f>H48*K48</f>
        <v/>
      </c>
      <c r="U48" s="28">
        <f>H48*L48</f>
        <v/>
      </c>
      <c r="V48" s="28">
        <f>H48*M48</f>
        <v/>
      </c>
      <c r="W48" s="28">
        <f>H48*N48</f>
        <v/>
      </c>
      <c r="X48" s="28">
        <f>H48*O48</f>
        <v/>
      </c>
      <c r="Y48" s="28">
        <f>H48*P48</f>
        <v/>
      </c>
      <c r="Z48" s="28">
        <f>H48*Q48</f>
        <v/>
      </c>
      <c r="AA48" s="28">
        <f>SUM(U48:Z48)</f>
        <v/>
      </c>
      <c r="AB48" s="5">
        <f>IF(COUNTIF('02b_DC_Accelerator_Mix'!$A$2:$A$977,G48)&gt;0,"matched","missing_mix")</f>
        <v/>
      </c>
    </row>
    <row r="49">
      <c r="A49" s="5">
        <f>'02a_DC_Capacity_Alloc'!A49</f>
        <v/>
      </c>
      <c r="B49" s="5">
        <f>'02a_DC_Capacity_Alloc'!B49</f>
        <v/>
      </c>
      <c r="C49" s="5">
        <f>'02a_DC_Capacity_Alloc'!C49</f>
        <v/>
      </c>
      <c r="D49" s="5">
        <f>'02a_DC_Capacity_Alloc'!D49</f>
        <v/>
      </c>
      <c r="E49" s="5">
        <f>'02a_DC_Capacity_Alloc'!E49</f>
        <v/>
      </c>
      <c r="F49" s="5">
        <f>'02a_DC_Capacity_Alloc'!F49</f>
        <v/>
      </c>
      <c r="G49" s="5">
        <f>B49&amp;"|"&amp;E49&amp;"|"&amp;D49</f>
        <v/>
      </c>
      <c r="H49" s="28">
        <f>'02a_DC_Capacity_Alloc'!H49*'02a_DC_Capacity_Alloc'!I49*'02a_DC_Capacity_Alloc'!J49</f>
        <v/>
      </c>
      <c r="I49" s="6">
        <f>IFERROR(INDEX('02b_DC_Accelerator_Mix'!$F$2:$F$977,MATCH(G49,'02b_DC_Accelerator_Mix'!$A$2:$A$977,0)),0)</f>
        <v/>
      </c>
      <c r="J49" s="6">
        <f>IFERROR(INDEX('02b_DC_Accelerator_Mix'!$G$2:$G$977,MATCH(G49,'02b_DC_Accelerator_Mix'!$A$2:$A$977,0)),0)</f>
        <v/>
      </c>
      <c r="K49" s="6">
        <f>IFERROR(INDEX('02b_DC_Accelerator_Mix'!$H$2:$H$977,MATCH(G49,'02b_DC_Accelerator_Mix'!$A$2:$A$977,0)),0)</f>
        <v/>
      </c>
      <c r="L49" s="6">
        <f>IFERROR(INDEX('02b_DC_Accelerator_Mix'!$I$2:$I$977,MATCH(G49,'02b_DC_Accelerator_Mix'!$A$2:$A$977,0)),0)</f>
        <v/>
      </c>
      <c r="M49" s="6">
        <f>IFERROR(INDEX('02b_DC_Accelerator_Mix'!$J$2:$J$977,MATCH(G49,'02b_DC_Accelerator_Mix'!$A$2:$A$977,0)),0)</f>
        <v/>
      </c>
      <c r="N49" s="6">
        <f>IFERROR(INDEX('02b_DC_Accelerator_Mix'!$K$2:$K$977,MATCH(G49,'02b_DC_Accelerator_Mix'!$A$2:$A$977,0)),0)</f>
        <v/>
      </c>
      <c r="O49" s="6">
        <f>IFERROR(INDEX('02b_DC_Accelerator_Mix'!$L$2:$L$977,MATCH(G49,'02b_DC_Accelerator_Mix'!$A$2:$A$977,0)),0)</f>
        <v/>
      </c>
      <c r="P49" s="6">
        <f>IFERROR(INDEX('02b_DC_Accelerator_Mix'!$M$2:$M$977,MATCH(G49,'02b_DC_Accelerator_Mix'!$A$2:$A$977,0)),0)</f>
        <v/>
      </c>
      <c r="Q49" s="6">
        <f>IFERROR(INDEX('02b_DC_Accelerator_Mix'!$N$2:$N$977,MATCH(G49,'02b_DC_Accelerator_Mix'!$A$2:$A$977,0)),0)</f>
        <v/>
      </c>
      <c r="R49" s="28">
        <f>H49*I49</f>
        <v/>
      </c>
      <c r="S49" s="28">
        <f>H49*J49</f>
        <v/>
      </c>
      <c r="T49" s="28">
        <f>H49*K49</f>
        <v/>
      </c>
      <c r="U49" s="28">
        <f>H49*L49</f>
        <v/>
      </c>
      <c r="V49" s="28">
        <f>H49*M49</f>
        <v/>
      </c>
      <c r="W49" s="28">
        <f>H49*N49</f>
        <v/>
      </c>
      <c r="X49" s="28">
        <f>H49*O49</f>
        <v/>
      </c>
      <c r="Y49" s="28">
        <f>H49*P49</f>
        <v/>
      </c>
      <c r="Z49" s="28">
        <f>H49*Q49</f>
        <v/>
      </c>
      <c r="AA49" s="28">
        <f>SUM(U49:Z49)</f>
        <v/>
      </c>
      <c r="AB49" s="5">
        <f>IF(COUNTIF('02b_DC_Accelerator_Mix'!$A$2:$A$977,G49)&gt;0,"matched","missing_mix")</f>
        <v/>
      </c>
    </row>
    <row r="50">
      <c r="A50" s="5">
        <f>'02a_DC_Capacity_Alloc'!A50</f>
        <v/>
      </c>
      <c r="B50" s="5">
        <f>'02a_DC_Capacity_Alloc'!B50</f>
        <v/>
      </c>
      <c r="C50" s="5">
        <f>'02a_DC_Capacity_Alloc'!C50</f>
        <v/>
      </c>
      <c r="D50" s="5">
        <f>'02a_DC_Capacity_Alloc'!D50</f>
        <v/>
      </c>
      <c r="E50" s="5">
        <f>'02a_DC_Capacity_Alloc'!E50</f>
        <v/>
      </c>
      <c r="F50" s="5">
        <f>'02a_DC_Capacity_Alloc'!F50</f>
        <v/>
      </c>
      <c r="G50" s="5">
        <f>B50&amp;"|"&amp;E50&amp;"|"&amp;D50</f>
        <v/>
      </c>
      <c r="H50" s="28">
        <f>'02a_DC_Capacity_Alloc'!H50*'02a_DC_Capacity_Alloc'!I50*'02a_DC_Capacity_Alloc'!J50</f>
        <v/>
      </c>
      <c r="I50" s="6">
        <f>IFERROR(INDEX('02b_DC_Accelerator_Mix'!$F$2:$F$977,MATCH(G50,'02b_DC_Accelerator_Mix'!$A$2:$A$977,0)),0)</f>
        <v/>
      </c>
      <c r="J50" s="6">
        <f>IFERROR(INDEX('02b_DC_Accelerator_Mix'!$G$2:$G$977,MATCH(G50,'02b_DC_Accelerator_Mix'!$A$2:$A$977,0)),0)</f>
        <v/>
      </c>
      <c r="K50" s="6">
        <f>IFERROR(INDEX('02b_DC_Accelerator_Mix'!$H$2:$H$977,MATCH(G50,'02b_DC_Accelerator_Mix'!$A$2:$A$977,0)),0)</f>
        <v/>
      </c>
      <c r="L50" s="6">
        <f>IFERROR(INDEX('02b_DC_Accelerator_Mix'!$I$2:$I$977,MATCH(G50,'02b_DC_Accelerator_Mix'!$A$2:$A$977,0)),0)</f>
        <v/>
      </c>
      <c r="M50" s="6">
        <f>IFERROR(INDEX('02b_DC_Accelerator_Mix'!$J$2:$J$977,MATCH(G50,'02b_DC_Accelerator_Mix'!$A$2:$A$977,0)),0)</f>
        <v/>
      </c>
      <c r="N50" s="6">
        <f>IFERROR(INDEX('02b_DC_Accelerator_Mix'!$K$2:$K$977,MATCH(G50,'02b_DC_Accelerator_Mix'!$A$2:$A$977,0)),0)</f>
        <v/>
      </c>
      <c r="O50" s="6">
        <f>IFERROR(INDEX('02b_DC_Accelerator_Mix'!$L$2:$L$977,MATCH(G50,'02b_DC_Accelerator_Mix'!$A$2:$A$977,0)),0)</f>
        <v/>
      </c>
      <c r="P50" s="6">
        <f>IFERROR(INDEX('02b_DC_Accelerator_Mix'!$M$2:$M$977,MATCH(G50,'02b_DC_Accelerator_Mix'!$A$2:$A$977,0)),0)</f>
        <v/>
      </c>
      <c r="Q50" s="6">
        <f>IFERROR(INDEX('02b_DC_Accelerator_Mix'!$N$2:$N$977,MATCH(G50,'02b_DC_Accelerator_Mix'!$A$2:$A$977,0)),0)</f>
        <v/>
      </c>
      <c r="R50" s="28">
        <f>H50*I50</f>
        <v/>
      </c>
      <c r="S50" s="28">
        <f>H50*J50</f>
        <v/>
      </c>
      <c r="T50" s="28">
        <f>H50*K50</f>
        <v/>
      </c>
      <c r="U50" s="28">
        <f>H50*L50</f>
        <v/>
      </c>
      <c r="V50" s="28">
        <f>H50*M50</f>
        <v/>
      </c>
      <c r="W50" s="28">
        <f>H50*N50</f>
        <v/>
      </c>
      <c r="X50" s="28">
        <f>H50*O50</f>
        <v/>
      </c>
      <c r="Y50" s="28">
        <f>H50*P50</f>
        <v/>
      </c>
      <c r="Z50" s="28">
        <f>H50*Q50</f>
        <v/>
      </c>
      <c r="AA50" s="28">
        <f>SUM(U50:Z50)</f>
        <v/>
      </c>
      <c r="AB50" s="5">
        <f>IF(COUNTIF('02b_DC_Accelerator_Mix'!$A$2:$A$977,G50)&gt;0,"matched","missing_mix")</f>
        <v/>
      </c>
    </row>
    <row r="51">
      <c r="A51" s="5">
        <f>'02a_DC_Capacity_Alloc'!A51</f>
        <v/>
      </c>
      <c r="B51" s="5">
        <f>'02a_DC_Capacity_Alloc'!B51</f>
        <v/>
      </c>
      <c r="C51" s="5">
        <f>'02a_DC_Capacity_Alloc'!C51</f>
        <v/>
      </c>
      <c r="D51" s="5">
        <f>'02a_DC_Capacity_Alloc'!D51</f>
        <v/>
      </c>
      <c r="E51" s="5">
        <f>'02a_DC_Capacity_Alloc'!E51</f>
        <v/>
      </c>
      <c r="F51" s="5">
        <f>'02a_DC_Capacity_Alloc'!F51</f>
        <v/>
      </c>
      <c r="G51" s="5">
        <f>B51&amp;"|"&amp;E51&amp;"|"&amp;D51</f>
        <v/>
      </c>
      <c r="H51" s="28">
        <f>'02a_DC_Capacity_Alloc'!H51*'02a_DC_Capacity_Alloc'!I51*'02a_DC_Capacity_Alloc'!J51</f>
        <v/>
      </c>
      <c r="I51" s="6">
        <f>IFERROR(INDEX('02b_DC_Accelerator_Mix'!$F$2:$F$977,MATCH(G51,'02b_DC_Accelerator_Mix'!$A$2:$A$977,0)),0)</f>
        <v/>
      </c>
      <c r="J51" s="6">
        <f>IFERROR(INDEX('02b_DC_Accelerator_Mix'!$G$2:$G$977,MATCH(G51,'02b_DC_Accelerator_Mix'!$A$2:$A$977,0)),0)</f>
        <v/>
      </c>
      <c r="K51" s="6">
        <f>IFERROR(INDEX('02b_DC_Accelerator_Mix'!$H$2:$H$977,MATCH(G51,'02b_DC_Accelerator_Mix'!$A$2:$A$977,0)),0)</f>
        <v/>
      </c>
      <c r="L51" s="6">
        <f>IFERROR(INDEX('02b_DC_Accelerator_Mix'!$I$2:$I$977,MATCH(G51,'02b_DC_Accelerator_Mix'!$A$2:$A$977,0)),0)</f>
        <v/>
      </c>
      <c r="M51" s="6">
        <f>IFERROR(INDEX('02b_DC_Accelerator_Mix'!$J$2:$J$977,MATCH(G51,'02b_DC_Accelerator_Mix'!$A$2:$A$977,0)),0)</f>
        <v/>
      </c>
      <c r="N51" s="6">
        <f>IFERROR(INDEX('02b_DC_Accelerator_Mix'!$K$2:$K$977,MATCH(G51,'02b_DC_Accelerator_Mix'!$A$2:$A$977,0)),0)</f>
        <v/>
      </c>
      <c r="O51" s="6">
        <f>IFERROR(INDEX('02b_DC_Accelerator_Mix'!$L$2:$L$977,MATCH(G51,'02b_DC_Accelerator_Mix'!$A$2:$A$977,0)),0)</f>
        <v/>
      </c>
      <c r="P51" s="6">
        <f>IFERROR(INDEX('02b_DC_Accelerator_Mix'!$M$2:$M$977,MATCH(G51,'02b_DC_Accelerator_Mix'!$A$2:$A$977,0)),0)</f>
        <v/>
      </c>
      <c r="Q51" s="6">
        <f>IFERROR(INDEX('02b_DC_Accelerator_Mix'!$N$2:$N$977,MATCH(G51,'02b_DC_Accelerator_Mix'!$A$2:$A$977,0)),0)</f>
        <v/>
      </c>
      <c r="R51" s="28">
        <f>H51*I51</f>
        <v/>
      </c>
      <c r="S51" s="28">
        <f>H51*J51</f>
        <v/>
      </c>
      <c r="T51" s="28">
        <f>H51*K51</f>
        <v/>
      </c>
      <c r="U51" s="28">
        <f>H51*L51</f>
        <v/>
      </c>
      <c r="V51" s="28">
        <f>H51*M51</f>
        <v/>
      </c>
      <c r="W51" s="28">
        <f>H51*N51</f>
        <v/>
      </c>
      <c r="X51" s="28">
        <f>H51*O51</f>
        <v/>
      </c>
      <c r="Y51" s="28">
        <f>H51*P51</f>
        <v/>
      </c>
      <c r="Z51" s="28">
        <f>H51*Q51</f>
        <v/>
      </c>
      <c r="AA51" s="28">
        <f>SUM(U51:Z51)</f>
        <v/>
      </c>
      <c r="AB51" s="5">
        <f>IF(COUNTIF('02b_DC_Accelerator_Mix'!$A$2:$A$977,G51)&gt;0,"matched","missing_mix")</f>
        <v/>
      </c>
    </row>
    <row r="52">
      <c r="A52" s="5">
        <f>'02a_DC_Capacity_Alloc'!A52</f>
        <v/>
      </c>
      <c r="B52" s="5">
        <f>'02a_DC_Capacity_Alloc'!B52</f>
        <v/>
      </c>
      <c r="C52" s="5">
        <f>'02a_DC_Capacity_Alloc'!C52</f>
        <v/>
      </c>
      <c r="D52" s="5">
        <f>'02a_DC_Capacity_Alloc'!D52</f>
        <v/>
      </c>
      <c r="E52" s="5">
        <f>'02a_DC_Capacity_Alloc'!E52</f>
        <v/>
      </c>
      <c r="F52" s="5">
        <f>'02a_DC_Capacity_Alloc'!F52</f>
        <v/>
      </c>
      <c r="G52" s="5">
        <f>B52&amp;"|"&amp;E52&amp;"|"&amp;D52</f>
        <v/>
      </c>
      <c r="H52" s="28">
        <f>'02a_DC_Capacity_Alloc'!H52*'02a_DC_Capacity_Alloc'!I52*'02a_DC_Capacity_Alloc'!J52</f>
        <v/>
      </c>
      <c r="I52" s="6">
        <f>IFERROR(INDEX('02b_DC_Accelerator_Mix'!$F$2:$F$977,MATCH(G52,'02b_DC_Accelerator_Mix'!$A$2:$A$977,0)),0)</f>
        <v/>
      </c>
      <c r="J52" s="6">
        <f>IFERROR(INDEX('02b_DC_Accelerator_Mix'!$G$2:$G$977,MATCH(G52,'02b_DC_Accelerator_Mix'!$A$2:$A$977,0)),0)</f>
        <v/>
      </c>
      <c r="K52" s="6">
        <f>IFERROR(INDEX('02b_DC_Accelerator_Mix'!$H$2:$H$977,MATCH(G52,'02b_DC_Accelerator_Mix'!$A$2:$A$977,0)),0)</f>
        <v/>
      </c>
      <c r="L52" s="6">
        <f>IFERROR(INDEX('02b_DC_Accelerator_Mix'!$I$2:$I$977,MATCH(G52,'02b_DC_Accelerator_Mix'!$A$2:$A$977,0)),0)</f>
        <v/>
      </c>
      <c r="M52" s="6">
        <f>IFERROR(INDEX('02b_DC_Accelerator_Mix'!$J$2:$J$977,MATCH(G52,'02b_DC_Accelerator_Mix'!$A$2:$A$977,0)),0)</f>
        <v/>
      </c>
      <c r="N52" s="6">
        <f>IFERROR(INDEX('02b_DC_Accelerator_Mix'!$K$2:$K$977,MATCH(G52,'02b_DC_Accelerator_Mix'!$A$2:$A$977,0)),0)</f>
        <v/>
      </c>
      <c r="O52" s="6">
        <f>IFERROR(INDEX('02b_DC_Accelerator_Mix'!$L$2:$L$977,MATCH(G52,'02b_DC_Accelerator_Mix'!$A$2:$A$977,0)),0)</f>
        <v/>
      </c>
      <c r="P52" s="6">
        <f>IFERROR(INDEX('02b_DC_Accelerator_Mix'!$M$2:$M$977,MATCH(G52,'02b_DC_Accelerator_Mix'!$A$2:$A$977,0)),0)</f>
        <v/>
      </c>
      <c r="Q52" s="6">
        <f>IFERROR(INDEX('02b_DC_Accelerator_Mix'!$N$2:$N$977,MATCH(G52,'02b_DC_Accelerator_Mix'!$A$2:$A$977,0)),0)</f>
        <v/>
      </c>
      <c r="R52" s="28">
        <f>H52*I52</f>
        <v/>
      </c>
      <c r="S52" s="28">
        <f>H52*J52</f>
        <v/>
      </c>
      <c r="T52" s="28">
        <f>H52*K52</f>
        <v/>
      </c>
      <c r="U52" s="28">
        <f>H52*L52</f>
        <v/>
      </c>
      <c r="V52" s="28">
        <f>H52*M52</f>
        <v/>
      </c>
      <c r="W52" s="28">
        <f>H52*N52</f>
        <v/>
      </c>
      <c r="X52" s="28">
        <f>H52*O52</f>
        <v/>
      </c>
      <c r="Y52" s="28">
        <f>H52*P52</f>
        <v/>
      </c>
      <c r="Z52" s="28">
        <f>H52*Q52</f>
        <v/>
      </c>
      <c r="AA52" s="28">
        <f>SUM(U52:Z52)</f>
        <v/>
      </c>
      <c r="AB52" s="5">
        <f>IF(COUNTIF('02b_DC_Accelerator_Mix'!$A$2:$A$977,G52)&gt;0,"matched","missing_mix")</f>
        <v/>
      </c>
    </row>
    <row r="53">
      <c r="A53" s="5">
        <f>'02a_DC_Capacity_Alloc'!A53</f>
        <v/>
      </c>
      <c r="B53" s="5">
        <f>'02a_DC_Capacity_Alloc'!B53</f>
        <v/>
      </c>
      <c r="C53" s="5">
        <f>'02a_DC_Capacity_Alloc'!C53</f>
        <v/>
      </c>
      <c r="D53" s="5">
        <f>'02a_DC_Capacity_Alloc'!D53</f>
        <v/>
      </c>
      <c r="E53" s="5">
        <f>'02a_DC_Capacity_Alloc'!E53</f>
        <v/>
      </c>
      <c r="F53" s="5">
        <f>'02a_DC_Capacity_Alloc'!F53</f>
        <v/>
      </c>
      <c r="G53" s="5">
        <f>B53&amp;"|"&amp;E53&amp;"|"&amp;D53</f>
        <v/>
      </c>
      <c r="H53" s="28">
        <f>'02a_DC_Capacity_Alloc'!H53*'02a_DC_Capacity_Alloc'!I53*'02a_DC_Capacity_Alloc'!J53</f>
        <v/>
      </c>
      <c r="I53" s="6">
        <f>IFERROR(INDEX('02b_DC_Accelerator_Mix'!$F$2:$F$977,MATCH(G53,'02b_DC_Accelerator_Mix'!$A$2:$A$977,0)),0)</f>
        <v/>
      </c>
      <c r="J53" s="6">
        <f>IFERROR(INDEX('02b_DC_Accelerator_Mix'!$G$2:$G$977,MATCH(G53,'02b_DC_Accelerator_Mix'!$A$2:$A$977,0)),0)</f>
        <v/>
      </c>
      <c r="K53" s="6">
        <f>IFERROR(INDEX('02b_DC_Accelerator_Mix'!$H$2:$H$977,MATCH(G53,'02b_DC_Accelerator_Mix'!$A$2:$A$977,0)),0)</f>
        <v/>
      </c>
      <c r="L53" s="6">
        <f>IFERROR(INDEX('02b_DC_Accelerator_Mix'!$I$2:$I$977,MATCH(G53,'02b_DC_Accelerator_Mix'!$A$2:$A$977,0)),0)</f>
        <v/>
      </c>
      <c r="M53" s="6">
        <f>IFERROR(INDEX('02b_DC_Accelerator_Mix'!$J$2:$J$977,MATCH(G53,'02b_DC_Accelerator_Mix'!$A$2:$A$977,0)),0)</f>
        <v/>
      </c>
      <c r="N53" s="6">
        <f>IFERROR(INDEX('02b_DC_Accelerator_Mix'!$K$2:$K$977,MATCH(G53,'02b_DC_Accelerator_Mix'!$A$2:$A$977,0)),0)</f>
        <v/>
      </c>
      <c r="O53" s="6">
        <f>IFERROR(INDEX('02b_DC_Accelerator_Mix'!$L$2:$L$977,MATCH(G53,'02b_DC_Accelerator_Mix'!$A$2:$A$977,0)),0)</f>
        <v/>
      </c>
      <c r="P53" s="6">
        <f>IFERROR(INDEX('02b_DC_Accelerator_Mix'!$M$2:$M$977,MATCH(G53,'02b_DC_Accelerator_Mix'!$A$2:$A$977,0)),0)</f>
        <v/>
      </c>
      <c r="Q53" s="6">
        <f>IFERROR(INDEX('02b_DC_Accelerator_Mix'!$N$2:$N$977,MATCH(G53,'02b_DC_Accelerator_Mix'!$A$2:$A$977,0)),0)</f>
        <v/>
      </c>
      <c r="R53" s="28">
        <f>H53*I53</f>
        <v/>
      </c>
      <c r="S53" s="28">
        <f>H53*J53</f>
        <v/>
      </c>
      <c r="T53" s="28">
        <f>H53*K53</f>
        <v/>
      </c>
      <c r="U53" s="28">
        <f>H53*L53</f>
        <v/>
      </c>
      <c r="V53" s="28">
        <f>H53*M53</f>
        <v/>
      </c>
      <c r="W53" s="28">
        <f>H53*N53</f>
        <v/>
      </c>
      <c r="X53" s="28">
        <f>H53*O53</f>
        <v/>
      </c>
      <c r="Y53" s="28">
        <f>H53*P53</f>
        <v/>
      </c>
      <c r="Z53" s="28">
        <f>H53*Q53</f>
        <v/>
      </c>
      <c r="AA53" s="28">
        <f>SUM(U53:Z53)</f>
        <v/>
      </c>
      <c r="AB53" s="5">
        <f>IF(COUNTIF('02b_DC_Accelerator_Mix'!$A$2:$A$977,G53)&gt;0,"matched","missing_mix")</f>
        <v/>
      </c>
    </row>
    <row r="54">
      <c r="A54" s="5">
        <f>'02a_DC_Capacity_Alloc'!A54</f>
        <v/>
      </c>
      <c r="B54" s="5">
        <f>'02a_DC_Capacity_Alloc'!B54</f>
        <v/>
      </c>
      <c r="C54" s="5">
        <f>'02a_DC_Capacity_Alloc'!C54</f>
        <v/>
      </c>
      <c r="D54" s="5">
        <f>'02a_DC_Capacity_Alloc'!D54</f>
        <v/>
      </c>
      <c r="E54" s="5">
        <f>'02a_DC_Capacity_Alloc'!E54</f>
        <v/>
      </c>
      <c r="F54" s="5">
        <f>'02a_DC_Capacity_Alloc'!F54</f>
        <v/>
      </c>
      <c r="G54" s="5">
        <f>B54&amp;"|"&amp;E54&amp;"|"&amp;D54</f>
        <v/>
      </c>
      <c r="H54" s="28">
        <f>'02a_DC_Capacity_Alloc'!H54*'02a_DC_Capacity_Alloc'!I54*'02a_DC_Capacity_Alloc'!J54</f>
        <v/>
      </c>
      <c r="I54" s="6">
        <f>IFERROR(INDEX('02b_DC_Accelerator_Mix'!$F$2:$F$977,MATCH(G54,'02b_DC_Accelerator_Mix'!$A$2:$A$977,0)),0)</f>
        <v/>
      </c>
      <c r="J54" s="6">
        <f>IFERROR(INDEX('02b_DC_Accelerator_Mix'!$G$2:$G$977,MATCH(G54,'02b_DC_Accelerator_Mix'!$A$2:$A$977,0)),0)</f>
        <v/>
      </c>
      <c r="K54" s="6">
        <f>IFERROR(INDEX('02b_DC_Accelerator_Mix'!$H$2:$H$977,MATCH(G54,'02b_DC_Accelerator_Mix'!$A$2:$A$977,0)),0)</f>
        <v/>
      </c>
      <c r="L54" s="6">
        <f>IFERROR(INDEX('02b_DC_Accelerator_Mix'!$I$2:$I$977,MATCH(G54,'02b_DC_Accelerator_Mix'!$A$2:$A$977,0)),0)</f>
        <v/>
      </c>
      <c r="M54" s="6">
        <f>IFERROR(INDEX('02b_DC_Accelerator_Mix'!$J$2:$J$977,MATCH(G54,'02b_DC_Accelerator_Mix'!$A$2:$A$977,0)),0)</f>
        <v/>
      </c>
      <c r="N54" s="6">
        <f>IFERROR(INDEX('02b_DC_Accelerator_Mix'!$K$2:$K$977,MATCH(G54,'02b_DC_Accelerator_Mix'!$A$2:$A$977,0)),0)</f>
        <v/>
      </c>
      <c r="O54" s="6">
        <f>IFERROR(INDEX('02b_DC_Accelerator_Mix'!$L$2:$L$977,MATCH(G54,'02b_DC_Accelerator_Mix'!$A$2:$A$977,0)),0)</f>
        <v/>
      </c>
      <c r="P54" s="6">
        <f>IFERROR(INDEX('02b_DC_Accelerator_Mix'!$M$2:$M$977,MATCH(G54,'02b_DC_Accelerator_Mix'!$A$2:$A$977,0)),0)</f>
        <v/>
      </c>
      <c r="Q54" s="6">
        <f>IFERROR(INDEX('02b_DC_Accelerator_Mix'!$N$2:$N$977,MATCH(G54,'02b_DC_Accelerator_Mix'!$A$2:$A$977,0)),0)</f>
        <v/>
      </c>
      <c r="R54" s="28">
        <f>H54*I54</f>
        <v/>
      </c>
      <c r="S54" s="28">
        <f>H54*J54</f>
        <v/>
      </c>
      <c r="T54" s="28">
        <f>H54*K54</f>
        <v/>
      </c>
      <c r="U54" s="28">
        <f>H54*L54</f>
        <v/>
      </c>
      <c r="V54" s="28">
        <f>H54*M54</f>
        <v/>
      </c>
      <c r="W54" s="28">
        <f>H54*N54</f>
        <v/>
      </c>
      <c r="X54" s="28">
        <f>H54*O54</f>
        <v/>
      </c>
      <c r="Y54" s="28">
        <f>H54*P54</f>
        <v/>
      </c>
      <c r="Z54" s="28">
        <f>H54*Q54</f>
        <v/>
      </c>
      <c r="AA54" s="28">
        <f>SUM(U54:Z54)</f>
        <v/>
      </c>
      <c r="AB54" s="5">
        <f>IF(COUNTIF('02b_DC_Accelerator_Mix'!$A$2:$A$977,G54)&gt;0,"matched","missing_mix")</f>
        <v/>
      </c>
    </row>
    <row r="55">
      <c r="A55" s="5">
        <f>'02a_DC_Capacity_Alloc'!A55</f>
        <v/>
      </c>
      <c r="B55" s="5">
        <f>'02a_DC_Capacity_Alloc'!B55</f>
        <v/>
      </c>
      <c r="C55" s="5">
        <f>'02a_DC_Capacity_Alloc'!C55</f>
        <v/>
      </c>
      <c r="D55" s="5">
        <f>'02a_DC_Capacity_Alloc'!D55</f>
        <v/>
      </c>
      <c r="E55" s="5">
        <f>'02a_DC_Capacity_Alloc'!E55</f>
        <v/>
      </c>
      <c r="F55" s="5">
        <f>'02a_DC_Capacity_Alloc'!F55</f>
        <v/>
      </c>
      <c r="G55" s="5">
        <f>B55&amp;"|"&amp;E55&amp;"|"&amp;D55</f>
        <v/>
      </c>
      <c r="H55" s="28">
        <f>'02a_DC_Capacity_Alloc'!H55*'02a_DC_Capacity_Alloc'!I55*'02a_DC_Capacity_Alloc'!J55</f>
        <v/>
      </c>
      <c r="I55" s="6">
        <f>IFERROR(INDEX('02b_DC_Accelerator_Mix'!$F$2:$F$977,MATCH(G55,'02b_DC_Accelerator_Mix'!$A$2:$A$977,0)),0)</f>
        <v/>
      </c>
      <c r="J55" s="6">
        <f>IFERROR(INDEX('02b_DC_Accelerator_Mix'!$G$2:$G$977,MATCH(G55,'02b_DC_Accelerator_Mix'!$A$2:$A$977,0)),0)</f>
        <v/>
      </c>
      <c r="K55" s="6">
        <f>IFERROR(INDEX('02b_DC_Accelerator_Mix'!$H$2:$H$977,MATCH(G55,'02b_DC_Accelerator_Mix'!$A$2:$A$977,0)),0)</f>
        <v/>
      </c>
      <c r="L55" s="6">
        <f>IFERROR(INDEX('02b_DC_Accelerator_Mix'!$I$2:$I$977,MATCH(G55,'02b_DC_Accelerator_Mix'!$A$2:$A$977,0)),0)</f>
        <v/>
      </c>
      <c r="M55" s="6">
        <f>IFERROR(INDEX('02b_DC_Accelerator_Mix'!$J$2:$J$977,MATCH(G55,'02b_DC_Accelerator_Mix'!$A$2:$A$977,0)),0)</f>
        <v/>
      </c>
      <c r="N55" s="6">
        <f>IFERROR(INDEX('02b_DC_Accelerator_Mix'!$K$2:$K$977,MATCH(G55,'02b_DC_Accelerator_Mix'!$A$2:$A$977,0)),0)</f>
        <v/>
      </c>
      <c r="O55" s="6">
        <f>IFERROR(INDEX('02b_DC_Accelerator_Mix'!$L$2:$L$977,MATCH(G55,'02b_DC_Accelerator_Mix'!$A$2:$A$977,0)),0)</f>
        <v/>
      </c>
      <c r="P55" s="6">
        <f>IFERROR(INDEX('02b_DC_Accelerator_Mix'!$M$2:$M$977,MATCH(G55,'02b_DC_Accelerator_Mix'!$A$2:$A$977,0)),0)</f>
        <v/>
      </c>
      <c r="Q55" s="6">
        <f>IFERROR(INDEX('02b_DC_Accelerator_Mix'!$N$2:$N$977,MATCH(G55,'02b_DC_Accelerator_Mix'!$A$2:$A$977,0)),0)</f>
        <v/>
      </c>
      <c r="R55" s="28">
        <f>H55*I55</f>
        <v/>
      </c>
      <c r="S55" s="28">
        <f>H55*J55</f>
        <v/>
      </c>
      <c r="T55" s="28">
        <f>H55*K55</f>
        <v/>
      </c>
      <c r="U55" s="28">
        <f>H55*L55</f>
        <v/>
      </c>
      <c r="V55" s="28">
        <f>H55*M55</f>
        <v/>
      </c>
      <c r="W55" s="28">
        <f>H55*N55</f>
        <v/>
      </c>
      <c r="X55" s="28">
        <f>H55*O55</f>
        <v/>
      </c>
      <c r="Y55" s="28">
        <f>H55*P55</f>
        <v/>
      </c>
      <c r="Z55" s="28">
        <f>H55*Q55</f>
        <v/>
      </c>
      <c r="AA55" s="28">
        <f>SUM(U55:Z55)</f>
        <v/>
      </c>
      <c r="AB55" s="5">
        <f>IF(COUNTIF('02b_DC_Accelerator_Mix'!$A$2:$A$977,G55)&gt;0,"matched","missing_mix")</f>
        <v/>
      </c>
    </row>
    <row r="56">
      <c r="A56" s="5">
        <f>'02a_DC_Capacity_Alloc'!A56</f>
        <v/>
      </c>
      <c r="B56" s="5">
        <f>'02a_DC_Capacity_Alloc'!B56</f>
        <v/>
      </c>
      <c r="C56" s="5">
        <f>'02a_DC_Capacity_Alloc'!C56</f>
        <v/>
      </c>
      <c r="D56" s="5">
        <f>'02a_DC_Capacity_Alloc'!D56</f>
        <v/>
      </c>
      <c r="E56" s="5">
        <f>'02a_DC_Capacity_Alloc'!E56</f>
        <v/>
      </c>
      <c r="F56" s="5">
        <f>'02a_DC_Capacity_Alloc'!F56</f>
        <v/>
      </c>
      <c r="G56" s="5">
        <f>B56&amp;"|"&amp;E56&amp;"|"&amp;D56</f>
        <v/>
      </c>
      <c r="H56" s="28">
        <f>'02a_DC_Capacity_Alloc'!H56*'02a_DC_Capacity_Alloc'!I56*'02a_DC_Capacity_Alloc'!J56</f>
        <v/>
      </c>
      <c r="I56" s="6">
        <f>IFERROR(INDEX('02b_DC_Accelerator_Mix'!$F$2:$F$977,MATCH(G56,'02b_DC_Accelerator_Mix'!$A$2:$A$977,0)),0)</f>
        <v/>
      </c>
      <c r="J56" s="6">
        <f>IFERROR(INDEX('02b_DC_Accelerator_Mix'!$G$2:$G$977,MATCH(G56,'02b_DC_Accelerator_Mix'!$A$2:$A$977,0)),0)</f>
        <v/>
      </c>
      <c r="K56" s="6">
        <f>IFERROR(INDEX('02b_DC_Accelerator_Mix'!$H$2:$H$977,MATCH(G56,'02b_DC_Accelerator_Mix'!$A$2:$A$977,0)),0)</f>
        <v/>
      </c>
      <c r="L56" s="6">
        <f>IFERROR(INDEX('02b_DC_Accelerator_Mix'!$I$2:$I$977,MATCH(G56,'02b_DC_Accelerator_Mix'!$A$2:$A$977,0)),0)</f>
        <v/>
      </c>
      <c r="M56" s="6">
        <f>IFERROR(INDEX('02b_DC_Accelerator_Mix'!$J$2:$J$977,MATCH(G56,'02b_DC_Accelerator_Mix'!$A$2:$A$977,0)),0)</f>
        <v/>
      </c>
      <c r="N56" s="6">
        <f>IFERROR(INDEX('02b_DC_Accelerator_Mix'!$K$2:$K$977,MATCH(G56,'02b_DC_Accelerator_Mix'!$A$2:$A$977,0)),0)</f>
        <v/>
      </c>
      <c r="O56" s="6">
        <f>IFERROR(INDEX('02b_DC_Accelerator_Mix'!$L$2:$L$977,MATCH(G56,'02b_DC_Accelerator_Mix'!$A$2:$A$977,0)),0)</f>
        <v/>
      </c>
      <c r="P56" s="6">
        <f>IFERROR(INDEX('02b_DC_Accelerator_Mix'!$M$2:$M$977,MATCH(G56,'02b_DC_Accelerator_Mix'!$A$2:$A$977,0)),0)</f>
        <v/>
      </c>
      <c r="Q56" s="6">
        <f>IFERROR(INDEX('02b_DC_Accelerator_Mix'!$N$2:$N$977,MATCH(G56,'02b_DC_Accelerator_Mix'!$A$2:$A$977,0)),0)</f>
        <v/>
      </c>
      <c r="R56" s="28">
        <f>H56*I56</f>
        <v/>
      </c>
      <c r="S56" s="28">
        <f>H56*J56</f>
        <v/>
      </c>
      <c r="T56" s="28">
        <f>H56*K56</f>
        <v/>
      </c>
      <c r="U56" s="28">
        <f>H56*L56</f>
        <v/>
      </c>
      <c r="V56" s="28">
        <f>H56*M56</f>
        <v/>
      </c>
      <c r="W56" s="28">
        <f>H56*N56</f>
        <v/>
      </c>
      <c r="X56" s="28">
        <f>H56*O56</f>
        <v/>
      </c>
      <c r="Y56" s="28">
        <f>H56*P56</f>
        <v/>
      </c>
      <c r="Z56" s="28">
        <f>H56*Q56</f>
        <v/>
      </c>
      <c r="AA56" s="28">
        <f>SUM(U56:Z56)</f>
        <v/>
      </c>
      <c r="AB56" s="5">
        <f>IF(COUNTIF('02b_DC_Accelerator_Mix'!$A$2:$A$977,G56)&gt;0,"matched","missing_mix")</f>
        <v/>
      </c>
    </row>
    <row r="57">
      <c r="A57" s="5">
        <f>'02a_DC_Capacity_Alloc'!A57</f>
        <v/>
      </c>
      <c r="B57" s="5">
        <f>'02a_DC_Capacity_Alloc'!B57</f>
        <v/>
      </c>
      <c r="C57" s="5">
        <f>'02a_DC_Capacity_Alloc'!C57</f>
        <v/>
      </c>
      <c r="D57" s="5">
        <f>'02a_DC_Capacity_Alloc'!D57</f>
        <v/>
      </c>
      <c r="E57" s="5">
        <f>'02a_DC_Capacity_Alloc'!E57</f>
        <v/>
      </c>
      <c r="F57" s="5">
        <f>'02a_DC_Capacity_Alloc'!F57</f>
        <v/>
      </c>
      <c r="G57" s="5">
        <f>B57&amp;"|"&amp;E57&amp;"|"&amp;D57</f>
        <v/>
      </c>
      <c r="H57" s="28">
        <f>'02a_DC_Capacity_Alloc'!H57*'02a_DC_Capacity_Alloc'!I57*'02a_DC_Capacity_Alloc'!J57</f>
        <v/>
      </c>
      <c r="I57" s="6">
        <f>IFERROR(INDEX('02b_DC_Accelerator_Mix'!$F$2:$F$977,MATCH(G57,'02b_DC_Accelerator_Mix'!$A$2:$A$977,0)),0)</f>
        <v/>
      </c>
      <c r="J57" s="6">
        <f>IFERROR(INDEX('02b_DC_Accelerator_Mix'!$G$2:$G$977,MATCH(G57,'02b_DC_Accelerator_Mix'!$A$2:$A$977,0)),0)</f>
        <v/>
      </c>
      <c r="K57" s="6">
        <f>IFERROR(INDEX('02b_DC_Accelerator_Mix'!$H$2:$H$977,MATCH(G57,'02b_DC_Accelerator_Mix'!$A$2:$A$977,0)),0)</f>
        <v/>
      </c>
      <c r="L57" s="6">
        <f>IFERROR(INDEX('02b_DC_Accelerator_Mix'!$I$2:$I$977,MATCH(G57,'02b_DC_Accelerator_Mix'!$A$2:$A$977,0)),0)</f>
        <v/>
      </c>
      <c r="M57" s="6">
        <f>IFERROR(INDEX('02b_DC_Accelerator_Mix'!$J$2:$J$977,MATCH(G57,'02b_DC_Accelerator_Mix'!$A$2:$A$977,0)),0)</f>
        <v/>
      </c>
      <c r="N57" s="6">
        <f>IFERROR(INDEX('02b_DC_Accelerator_Mix'!$K$2:$K$977,MATCH(G57,'02b_DC_Accelerator_Mix'!$A$2:$A$977,0)),0)</f>
        <v/>
      </c>
      <c r="O57" s="6">
        <f>IFERROR(INDEX('02b_DC_Accelerator_Mix'!$L$2:$L$977,MATCH(G57,'02b_DC_Accelerator_Mix'!$A$2:$A$977,0)),0)</f>
        <v/>
      </c>
      <c r="P57" s="6">
        <f>IFERROR(INDEX('02b_DC_Accelerator_Mix'!$M$2:$M$977,MATCH(G57,'02b_DC_Accelerator_Mix'!$A$2:$A$977,0)),0)</f>
        <v/>
      </c>
      <c r="Q57" s="6">
        <f>IFERROR(INDEX('02b_DC_Accelerator_Mix'!$N$2:$N$977,MATCH(G57,'02b_DC_Accelerator_Mix'!$A$2:$A$977,0)),0)</f>
        <v/>
      </c>
      <c r="R57" s="28">
        <f>H57*I57</f>
        <v/>
      </c>
      <c r="S57" s="28">
        <f>H57*J57</f>
        <v/>
      </c>
      <c r="T57" s="28">
        <f>H57*K57</f>
        <v/>
      </c>
      <c r="U57" s="28">
        <f>H57*L57</f>
        <v/>
      </c>
      <c r="V57" s="28">
        <f>H57*M57</f>
        <v/>
      </c>
      <c r="W57" s="28">
        <f>H57*N57</f>
        <v/>
      </c>
      <c r="X57" s="28">
        <f>H57*O57</f>
        <v/>
      </c>
      <c r="Y57" s="28">
        <f>H57*P57</f>
        <v/>
      </c>
      <c r="Z57" s="28">
        <f>H57*Q57</f>
        <v/>
      </c>
      <c r="AA57" s="28">
        <f>SUM(U57:Z57)</f>
        <v/>
      </c>
      <c r="AB57" s="5">
        <f>IF(COUNTIF('02b_DC_Accelerator_Mix'!$A$2:$A$977,G57)&gt;0,"matched","missing_mix")</f>
        <v/>
      </c>
    </row>
    <row r="58">
      <c r="A58" s="5">
        <f>'02a_DC_Capacity_Alloc'!A58</f>
        <v/>
      </c>
      <c r="B58" s="5">
        <f>'02a_DC_Capacity_Alloc'!B58</f>
        <v/>
      </c>
      <c r="C58" s="5">
        <f>'02a_DC_Capacity_Alloc'!C58</f>
        <v/>
      </c>
      <c r="D58" s="5">
        <f>'02a_DC_Capacity_Alloc'!D58</f>
        <v/>
      </c>
      <c r="E58" s="5">
        <f>'02a_DC_Capacity_Alloc'!E58</f>
        <v/>
      </c>
      <c r="F58" s="5">
        <f>'02a_DC_Capacity_Alloc'!F58</f>
        <v/>
      </c>
      <c r="G58" s="5">
        <f>B58&amp;"|"&amp;E58&amp;"|"&amp;D58</f>
        <v/>
      </c>
      <c r="H58" s="28">
        <f>'02a_DC_Capacity_Alloc'!H58*'02a_DC_Capacity_Alloc'!I58*'02a_DC_Capacity_Alloc'!J58</f>
        <v/>
      </c>
      <c r="I58" s="6">
        <f>IFERROR(INDEX('02b_DC_Accelerator_Mix'!$F$2:$F$977,MATCH(G58,'02b_DC_Accelerator_Mix'!$A$2:$A$977,0)),0)</f>
        <v/>
      </c>
      <c r="J58" s="6">
        <f>IFERROR(INDEX('02b_DC_Accelerator_Mix'!$G$2:$G$977,MATCH(G58,'02b_DC_Accelerator_Mix'!$A$2:$A$977,0)),0)</f>
        <v/>
      </c>
      <c r="K58" s="6">
        <f>IFERROR(INDEX('02b_DC_Accelerator_Mix'!$H$2:$H$977,MATCH(G58,'02b_DC_Accelerator_Mix'!$A$2:$A$977,0)),0)</f>
        <v/>
      </c>
      <c r="L58" s="6">
        <f>IFERROR(INDEX('02b_DC_Accelerator_Mix'!$I$2:$I$977,MATCH(G58,'02b_DC_Accelerator_Mix'!$A$2:$A$977,0)),0)</f>
        <v/>
      </c>
      <c r="M58" s="6">
        <f>IFERROR(INDEX('02b_DC_Accelerator_Mix'!$J$2:$J$977,MATCH(G58,'02b_DC_Accelerator_Mix'!$A$2:$A$977,0)),0)</f>
        <v/>
      </c>
      <c r="N58" s="6">
        <f>IFERROR(INDEX('02b_DC_Accelerator_Mix'!$K$2:$K$977,MATCH(G58,'02b_DC_Accelerator_Mix'!$A$2:$A$977,0)),0)</f>
        <v/>
      </c>
      <c r="O58" s="6">
        <f>IFERROR(INDEX('02b_DC_Accelerator_Mix'!$L$2:$L$977,MATCH(G58,'02b_DC_Accelerator_Mix'!$A$2:$A$977,0)),0)</f>
        <v/>
      </c>
      <c r="P58" s="6">
        <f>IFERROR(INDEX('02b_DC_Accelerator_Mix'!$M$2:$M$977,MATCH(G58,'02b_DC_Accelerator_Mix'!$A$2:$A$977,0)),0)</f>
        <v/>
      </c>
      <c r="Q58" s="6">
        <f>IFERROR(INDEX('02b_DC_Accelerator_Mix'!$N$2:$N$977,MATCH(G58,'02b_DC_Accelerator_Mix'!$A$2:$A$977,0)),0)</f>
        <v/>
      </c>
      <c r="R58" s="28">
        <f>H58*I58</f>
        <v/>
      </c>
      <c r="S58" s="28">
        <f>H58*J58</f>
        <v/>
      </c>
      <c r="T58" s="28">
        <f>H58*K58</f>
        <v/>
      </c>
      <c r="U58" s="28">
        <f>H58*L58</f>
        <v/>
      </c>
      <c r="V58" s="28">
        <f>H58*M58</f>
        <v/>
      </c>
      <c r="W58" s="28">
        <f>H58*N58</f>
        <v/>
      </c>
      <c r="X58" s="28">
        <f>H58*O58</f>
        <v/>
      </c>
      <c r="Y58" s="28">
        <f>H58*P58</f>
        <v/>
      </c>
      <c r="Z58" s="28">
        <f>H58*Q58</f>
        <v/>
      </c>
      <c r="AA58" s="28">
        <f>SUM(U58:Z58)</f>
        <v/>
      </c>
      <c r="AB58" s="5">
        <f>IF(COUNTIF('02b_DC_Accelerator_Mix'!$A$2:$A$977,G58)&gt;0,"matched","missing_mix")</f>
        <v/>
      </c>
    </row>
    <row r="59">
      <c r="A59" s="5">
        <f>'02a_DC_Capacity_Alloc'!A59</f>
        <v/>
      </c>
      <c r="B59" s="5">
        <f>'02a_DC_Capacity_Alloc'!B59</f>
        <v/>
      </c>
      <c r="C59" s="5">
        <f>'02a_DC_Capacity_Alloc'!C59</f>
        <v/>
      </c>
      <c r="D59" s="5">
        <f>'02a_DC_Capacity_Alloc'!D59</f>
        <v/>
      </c>
      <c r="E59" s="5">
        <f>'02a_DC_Capacity_Alloc'!E59</f>
        <v/>
      </c>
      <c r="F59" s="5">
        <f>'02a_DC_Capacity_Alloc'!F59</f>
        <v/>
      </c>
      <c r="G59" s="5">
        <f>B59&amp;"|"&amp;E59&amp;"|"&amp;D59</f>
        <v/>
      </c>
      <c r="H59" s="28">
        <f>'02a_DC_Capacity_Alloc'!H59*'02a_DC_Capacity_Alloc'!I59*'02a_DC_Capacity_Alloc'!J59</f>
        <v/>
      </c>
      <c r="I59" s="6">
        <f>IFERROR(INDEX('02b_DC_Accelerator_Mix'!$F$2:$F$977,MATCH(G59,'02b_DC_Accelerator_Mix'!$A$2:$A$977,0)),0)</f>
        <v/>
      </c>
      <c r="J59" s="6">
        <f>IFERROR(INDEX('02b_DC_Accelerator_Mix'!$G$2:$G$977,MATCH(G59,'02b_DC_Accelerator_Mix'!$A$2:$A$977,0)),0)</f>
        <v/>
      </c>
      <c r="K59" s="6">
        <f>IFERROR(INDEX('02b_DC_Accelerator_Mix'!$H$2:$H$977,MATCH(G59,'02b_DC_Accelerator_Mix'!$A$2:$A$977,0)),0)</f>
        <v/>
      </c>
      <c r="L59" s="6">
        <f>IFERROR(INDEX('02b_DC_Accelerator_Mix'!$I$2:$I$977,MATCH(G59,'02b_DC_Accelerator_Mix'!$A$2:$A$977,0)),0)</f>
        <v/>
      </c>
      <c r="M59" s="6">
        <f>IFERROR(INDEX('02b_DC_Accelerator_Mix'!$J$2:$J$977,MATCH(G59,'02b_DC_Accelerator_Mix'!$A$2:$A$977,0)),0)</f>
        <v/>
      </c>
      <c r="N59" s="6">
        <f>IFERROR(INDEX('02b_DC_Accelerator_Mix'!$K$2:$K$977,MATCH(G59,'02b_DC_Accelerator_Mix'!$A$2:$A$977,0)),0)</f>
        <v/>
      </c>
      <c r="O59" s="6">
        <f>IFERROR(INDEX('02b_DC_Accelerator_Mix'!$L$2:$L$977,MATCH(G59,'02b_DC_Accelerator_Mix'!$A$2:$A$977,0)),0)</f>
        <v/>
      </c>
      <c r="P59" s="6">
        <f>IFERROR(INDEX('02b_DC_Accelerator_Mix'!$M$2:$M$977,MATCH(G59,'02b_DC_Accelerator_Mix'!$A$2:$A$977,0)),0)</f>
        <v/>
      </c>
      <c r="Q59" s="6">
        <f>IFERROR(INDEX('02b_DC_Accelerator_Mix'!$N$2:$N$977,MATCH(G59,'02b_DC_Accelerator_Mix'!$A$2:$A$977,0)),0)</f>
        <v/>
      </c>
      <c r="R59" s="28">
        <f>H59*I59</f>
        <v/>
      </c>
      <c r="S59" s="28">
        <f>H59*J59</f>
        <v/>
      </c>
      <c r="T59" s="28">
        <f>H59*K59</f>
        <v/>
      </c>
      <c r="U59" s="28">
        <f>H59*L59</f>
        <v/>
      </c>
      <c r="V59" s="28">
        <f>H59*M59</f>
        <v/>
      </c>
      <c r="W59" s="28">
        <f>H59*N59</f>
        <v/>
      </c>
      <c r="X59" s="28">
        <f>H59*O59</f>
        <v/>
      </c>
      <c r="Y59" s="28">
        <f>H59*P59</f>
        <v/>
      </c>
      <c r="Z59" s="28">
        <f>H59*Q59</f>
        <v/>
      </c>
      <c r="AA59" s="28">
        <f>SUM(U59:Z59)</f>
        <v/>
      </c>
      <c r="AB59" s="5">
        <f>IF(COUNTIF('02b_DC_Accelerator_Mix'!$A$2:$A$977,G59)&gt;0,"matched","missing_mix")</f>
        <v/>
      </c>
    </row>
    <row r="60">
      <c r="A60" s="5">
        <f>'02a_DC_Capacity_Alloc'!A60</f>
        <v/>
      </c>
      <c r="B60" s="5">
        <f>'02a_DC_Capacity_Alloc'!B60</f>
        <v/>
      </c>
      <c r="C60" s="5">
        <f>'02a_DC_Capacity_Alloc'!C60</f>
        <v/>
      </c>
      <c r="D60" s="5">
        <f>'02a_DC_Capacity_Alloc'!D60</f>
        <v/>
      </c>
      <c r="E60" s="5">
        <f>'02a_DC_Capacity_Alloc'!E60</f>
        <v/>
      </c>
      <c r="F60" s="5">
        <f>'02a_DC_Capacity_Alloc'!F60</f>
        <v/>
      </c>
      <c r="G60" s="5">
        <f>B60&amp;"|"&amp;E60&amp;"|"&amp;D60</f>
        <v/>
      </c>
      <c r="H60" s="28">
        <f>'02a_DC_Capacity_Alloc'!H60*'02a_DC_Capacity_Alloc'!I60*'02a_DC_Capacity_Alloc'!J60</f>
        <v/>
      </c>
      <c r="I60" s="6">
        <f>IFERROR(INDEX('02b_DC_Accelerator_Mix'!$F$2:$F$977,MATCH(G60,'02b_DC_Accelerator_Mix'!$A$2:$A$977,0)),0)</f>
        <v/>
      </c>
      <c r="J60" s="6">
        <f>IFERROR(INDEX('02b_DC_Accelerator_Mix'!$G$2:$G$977,MATCH(G60,'02b_DC_Accelerator_Mix'!$A$2:$A$977,0)),0)</f>
        <v/>
      </c>
      <c r="K60" s="6">
        <f>IFERROR(INDEX('02b_DC_Accelerator_Mix'!$H$2:$H$977,MATCH(G60,'02b_DC_Accelerator_Mix'!$A$2:$A$977,0)),0)</f>
        <v/>
      </c>
      <c r="L60" s="6">
        <f>IFERROR(INDEX('02b_DC_Accelerator_Mix'!$I$2:$I$977,MATCH(G60,'02b_DC_Accelerator_Mix'!$A$2:$A$977,0)),0)</f>
        <v/>
      </c>
      <c r="M60" s="6">
        <f>IFERROR(INDEX('02b_DC_Accelerator_Mix'!$J$2:$J$977,MATCH(G60,'02b_DC_Accelerator_Mix'!$A$2:$A$977,0)),0)</f>
        <v/>
      </c>
      <c r="N60" s="6">
        <f>IFERROR(INDEX('02b_DC_Accelerator_Mix'!$K$2:$K$977,MATCH(G60,'02b_DC_Accelerator_Mix'!$A$2:$A$977,0)),0)</f>
        <v/>
      </c>
      <c r="O60" s="6">
        <f>IFERROR(INDEX('02b_DC_Accelerator_Mix'!$L$2:$L$977,MATCH(G60,'02b_DC_Accelerator_Mix'!$A$2:$A$977,0)),0)</f>
        <v/>
      </c>
      <c r="P60" s="6">
        <f>IFERROR(INDEX('02b_DC_Accelerator_Mix'!$M$2:$M$977,MATCH(G60,'02b_DC_Accelerator_Mix'!$A$2:$A$977,0)),0)</f>
        <v/>
      </c>
      <c r="Q60" s="6">
        <f>IFERROR(INDEX('02b_DC_Accelerator_Mix'!$N$2:$N$977,MATCH(G60,'02b_DC_Accelerator_Mix'!$A$2:$A$977,0)),0)</f>
        <v/>
      </c>
      <c r="R60" s="28">
        <f>H60*I60</f>
        <v/>
      </c>
      <c r="S60" s="28">
        <f>H60*J60</f>
        <v/>
      </c>
      <c r="T60" s="28">
        <f>H60*K60</f>
        <v/>
      </c>
      <c r="U60" s="28">
        <f>H60*L60</f>
        <v/>
      </c>
      <c r="V60" s="28">
        <f>H60*M60</f>
        <v/>
      </c>
      <c r="W60" s="28">
        <f>H60*N60</f>
        <v/>
      </c>
      <c r="X60" s="28">
        <f>H60*O60</f>
        <v/>
      </c>
      <c r="Y60" s="28">
        <f>H60*P60</f>
        <v/>
      </c>
      <c r="Z60" s="28">
        <f>H60*Q60</f>
        <v/>
      </c>
      <c r="AA60" s="28">
        <f>SUM(U60:Z60)</f>
        <v/>
      </c>
      <c r="AB60" s="5">
        <f>IF(COUNTIF('02b_DC_Accelerator_Mix'!$A$2:$A$977,G60)&gt;0,"matched","missing_mix")</f>
        <v/>
      </c>
    </row>
    <row r="61">
      <c r="A61" s="5">
        <f>'02a_DC_Capacity_Alloc'!A61</f>
        <v/>
      </c>
      <c r="B61" s="5">
        <f>'02a_DC_Capacity_Alloc'!B61</f>
        <v/>
      </c>
      <c r="C61" s="5">
        <f>'02a_DC_Capacity_Alloc'!C61</f>
        <v/>
      </c>
      <c r="D61" s="5">
        <f>'02a_DC_Capacity_Alloc'!D61</f>
        <v/>
      </c>
      <c r="E61" s="5">
        <f>'02a_DC_Capacity_Alloc'!E61</f>
        <v/>
      </c>
      <c r="F61" s="5">
        <f>'02a_DC_Capacity_Alloc'!F61</f>
        <v/>
      </c>
      <c r="G61" s="5">
        <f>B61&amp;"|"&amp;E61&amp;"|"&amp;D61</f>
        <v/>
      </c>
      <c r="H61" s="28">
        <f>'02a_DC_Capacity_Alloc'!H61*'02a_DC_Capacity_Alloc'!I61*'02a_DC_Capacity_Alloc'!J61</f>
        <v/>
      </c>
      <c r="I61" s="6">
        <f>IFERROR(INDEX('02b_DC_Accelerator_Mix'!$F$2:$F$977,MATCH(G61,'02b_DC_Accelerator_Mix'!$A$2:$A$977,0)),0)</f>
        <v/>
      </c>
      <c r="J61" s="6">
        <f>IFERROR(INDEX('02b_DC_Accelerator_Mix'!$G$2:$G$977,MATCH(G61,'02b_DC_Accelerator_Mix'!$A$2:$A$977,0)),0)</f>
        <v/>
      </c>
      <c r="K61" s="6">
        <f>IFERROR(INDEX('02b_DC_Accelerator_Mix'!$H$2:$H$977,MATCH(G61,'02b_DC_Accelerator_Mix'!$A$2:$A$977,0)),0)</f>
        <v/>
      </c>
      <c r="L61" s="6">
        <f>IFERROR(INDEX('02b_DC_Accelerator_Mix'!$I$2:$I$977,MATCH(G61,'02b_DC_Accelerator_Mix'!$A$2:$A$977,0)),0)</f>
        <v/>
      </c>
      <c r="M61" s="6">
        <f>IFERROR(INDEX('02b_DC_Accelerator_Mix'!$J$2:$J$977,MATCH(G61,'02b_DC_Accelerator_Mix'!$A$2:$A$977,0)),0)</f>
        <v/>
      </c>
      <c r="N61" s="6">
        <f>IFERROR(INDEX('02b_DC_Accelerator_Mix'!$K$2:$K$977,MATCH(G61,'02b_DC_Accelerator_Mix'!$A$2:$A$977,0)),0)</f>
        <v/>
      </c>
      <c r="O61" s="6">
        <f>IFERROR(INDEX('02b_DC_Accelerator_Mix'!$L$2:$L$977,MATCH(G61,'02b_DC_Accelerator_Mix'!$A$2:$A$977,0)),0)</f>
        <v/>
      </c>
      <c r="P61" s="6">
        <f>IFERROR(INDEX('02b_DC_Accelerator_Mix'!$M$2:$M$977,MATCH(G61,'02b_DC_Accelerator_Mix'!$A$2:$A$977,0)),0)</f>
        <v/>
      </c>
      <c r="Q61" s="6">
        <f>IFERROR(INDEX('02b_DC_Accelerator_Mix'!$N$2:$N$977,MATCH(G61,'02b_DC_Accelerator_Mix'!$A$2:$A$977,0)),0)</f>
        <v/>
      </c>
      <c r="R61" s="28">
        <f>H61*I61</f>
        <v/>
      </c>
      <c r="S61" s="28">
        <f>H61*J61</f>
        <v/>
      </c>
      <c r="T61" s="28">
        <f>H61*K61</f>
        <v/>
      </c>
      <c r="U61" s="28">
        <f>H61*L61</f>
        <v/>
      </c>
      <c r="V61" s="28">
        <f>H61*M61</f>
        <v/>
      </c>
      <c r="W61" s="28">
        <f>H61*N61</f>
        <v/>
      </c>
      <c r="X61" s="28">
        <f>H61*O61</f>
        <v/>
      </c>
      <c r="Y61" s="28">
        <f>H61*P61</f>
        <v/>
      </c>
      <c r="Z61" s="28">
        <f>H61*Q61</f>
        <v/>
      </c>
      <c r="AA61" s="28">
        <f>SUM(U61:Z61)</f>
        <v/>
      </c>
      <c r="AB61" s="5">
        <f>IF(COUNTIF('02b_DC_Accelerator_Mix'!$A$2:$A$977,G61)&gt;0,"matched","missing_mix")</f>
        <v/>
      </c>
    </row>
    <row r="62">
      <c r="A62" s="5">
        <f>'02a_DC_Capacity_Alloc'!A62</f>
        <v/>
      </c>
      <c r="B62" s="5">
        <f>'02a_DC_Capacity_Alloc'!B62</f>
        <v/>
      </c>
      <c r="C62" s="5">
        <f>'02a_DC_Capacity_Alloc'!C62</f>
        <v/>
      </c>
      <c r="D62" s="5">
        <f>'02a_DC_Capacity_Alloc'!D62</f>
        <v/>
      </c>
      <c r="E62" s="5">
        <f>'02a_DC_Capacity_Alloc'!E62</f>
        <v/>
      </c>
      <c r="F62" s="5">
        <f>'02a_DC_Capacity_Alloc'!F62</f>
        <v/>
      </c>
      <c r="G62" s="5">
        <f>B62&amp;"|"&amp;E62&amp;"|"&amp;D62</f>
        <v/>
      </c>
      <c r="H62" s="28">
        <f>'02a_DC_Capacity_Alloc'!H62*'02a_DC_Capacity_Alloc'!I62*'02a_DC_Capacity_Alloc'!J62</f>
        <v/>
      </c>
      <c r="I62" s="6">
        <f>IFERROR(INDEX('02b_DC_Accelerator_Mix'!$F$2:$F$977,MATCH(G62,'02b_DC_Accelerator_Mix'!$A$2:$A$977,0)),0)</f>
        <v/>
      </c>
      <c r="J62" s="6">
        <f>IFERROR(INDEX('02b_DC_Accelerator_Mix'!$G$2:$G$977,MATCH(G62,'02b_DC_Accelerator_Mix'!$A$2:$A$977,0)),0)</f>
        <v/>
      </c>
      <c r="K62" s="6">
        <f>IFERROR(INDEX('02b_DC_Accelerator_Mix'!$H$2:$H$977,MATCH(G62,'02b_DC_Accelerator_Mix'!$A$2:$A$977,0)),0)</f>
        <v/>
      </c>
      <c r="L62" s="6">
        <f>IFERROR(INDEX('02b_DC_Accelerator_Mix'!$I$2:$I$977,MATCH(G62,'02b_DC_Accelerator_Mix'!$A$2:$A$977,0)),0)</f>
        <v/>
      </c>
      <c r="M62" s="6">
        <f>IFERROR(INDEX('02b_DC_Accelerator_Mix'!$J$2:$J$977,MATCH(G62,'02b_DC_Accelerator_Mix'!$A$2:$A$977,0)),0)</f>
        <v/>
      </c>
      <c r="N62" s="6">
        <f>IFERROR(INDEX('02b_DC_Accelerator_Mix'!$K$2:$K$977,MATCH(G62,'02b_DC_Accelerator_Mix'!$A$2:$A$977,0)),0)</f>
        <v/>
      </c>
      <c r="O62" s="6">
        <f>IFERROR(INDEX('02b_DC_Accelerator_Mix'!$L$2:$L$977,MATCH(G62,'02b_DC_Accelerator_Mix'!$A$2:$A$977,0)),0)</f>
        <v/>
      </c>
      <c r="P62" s="6">
        <f>IFERROR(INDEX('02b_DC_Accelerator_Mix'!$M$2:$M$977,MATCH(G62,'02b_DC_Accelerator_Mix'!$A$2:$A$977,0)),0)</f>
        <v/>
      </c>
      <c r="Q62" s="6">
        <f>IFERROR(INDEX('02b_DC_Accelerator_Mix'!$N$2:$N$977,MATCH(G62,'02b_DC_Accelerator_Mix'!$A$2:$A$977,0)),0)</f>
        <v/>
      </c>
      <c r="R62" s="28">
        <f>H62*I62</f>
        <v/>
      </c>
      <c r="S62" s="28">
        <f>H62*J62</f>
        <v/>
      </c>
      <c r="T62" s="28">
        <f>H62*K62</f>
        <v/>
      </c>
      <c r="U62" s="28">
        <f>H62*L62</f>
        <v/>
      </c>
      <c r="V62" s="28">
        <f>H62*M62</f>
        <v/>
      </c>
      <c r="W62" s="28">
        <f>H62*N62</f>
        <v/>
      </c>
      <c r="X62" s="28">
        <f>H62*O62</f>
        <v/>
      </c>
      <c r="Y62" s="28">
        <f>H62*P62</f>
        <v/>
      </c>
      <c r="Z62" s="28">
        <f>H62*Q62</f>
        <v/>
      </c>
      <c r="AA62" s="28">
        <f>SUM(U62:Z62)</f>
        <v/>
      </c>
      <c r="AB62" s="5">
        <f>IF(COUNTIF('02b_DC_Accelerator_Mix'!$A$2:$A$977,G62)&gt;0,"matched","missing_mix")</f>
        <v/>
      </c>
    </row>
    <row r="63">
      <c r="A63" s="5">
        <f>'02a_DC_Capacity_Alloc'!A63</f>
        <v/>
      </c>
      <c r="B63" s="5">
        <f>'02a_DC_Capacity_Alloc'!B63</f>
        <v/>
      </c>
      <c r="C63" s="5">
        <f>'02a_DC_Capacity_Alloc'!C63</f>
        <v/>
      </c>
      <c r="D63" s="5">
        <f>'02a_DC_Capacity_Alloc'!D63</f>
        <v/>
      </c>
      <c r="E63" s="5">
        <f>'02a_DC_Capacity_Alloc'!E63</f>
        <v/>
      </c>
      <c r="F63" s="5">
        <f>'02a_DC_Capacity_Alloc'!F63</f>
        <v/>
      </c>
      <c r="G63" s="5">
        <f>B63&amp;"|"&amp;E63&amp;"|"&amp;D63</f>
        <v/>
      </c>
      <c r="H63" s="28">
        <f>'02a_DC_Capacity_Alloc'!H63*'02a_DC_Capacity_Alloc'!I63*'02a_DC_Capacity_Alloc'!J63</f>
        <v/>
      </c>
      <c r="I63" s="6">
        <f>IFERROR(INDEX('02b_DC_Accelerator_Mix'!$F$2:$F$977,MATCH(G63,'02b_DC_Accelerator_Mix'!$A$2:$A$977,0)),0)</f>
        <v/>
      </c>
      <c r="J63" s="6">
        <f>IFERROR(INDEX('02b_DC_Accelerator_Mix'!$G$2:$G$977,MATCH(G63,'02b_DC_Accelerator_Mix'!$A$2:$A$977,0)),0)</f>
        <v/>
      </c>
      <c r="K63" s="6">
        <f>IFERROR(INDEX('02b_DC_Accelerator_Mix'!$H$2:$H$977,MATCH(G63,'02b_DC_Accelerator_Mix'!$A$2:$A$977,0)),0)</f>
        <v/>
      </c>
      <c r="L63" s="6">
        <f>IFERROR(INDEX('02b_DC_Accelerator_Mix'!$I$2:$I$977,MATCH(G63,'02b_DC_Accelerator_Mix'!$A$2:$A$977,0)),0)</f>
        <v/>
      </c>
      <c r="M63" s="6">
        <f>IFERROR(INDEX('02b_DC_Accelerator_Mix'!$J$2:$J$977,MATCH(G63,'02b_DC_Accelerator_Mix'!$A$2:$A$977,0)),0)</f>
        <v/>
      </c>
      <c r="N63" s="6">
        <f>IFERROR(INDEX('02b_DC_Accelerator_Mix'!$K$2:$K$977,MATCH(G63,'02b_DC_Accelerator_Mix'!$A$2:$A$977,0)),0)</f>
        <v/>
      </c>
      <c r="O63" s="6">
        <f>IFERROR(INDEX('02b_DC_Accelerator_Mix'!$L$2:$L$977,MATCH(G63,'02b_DC_Accelerator_Mix'!$A$2:$A$977,0)),0)</f>
        <v/>
      </c>
      <c r="P63" s="6">
        <f>IFERROR(INDEX('02b_DC_Accelerator_Mix'!$M$2:$M$977,MATCH(G63,'02b_DC_Accelerator_Mix'!$A$2:$A$977,0)),0)</f>
        <v/>
      </c>
      <c r="Q63" s="6">
        <f>IFERROR(INDEX('02b_DC_Accelerator_Mix'!$N$2:$N$977,MATCH(G63,'02b_DC_Accelerator_Mix'!$A$2:$A$977,0)),0)</f>
        <v/>
      </c>
      <c r="R63" s="28">
        <f>H63*I63</f>
        <v/>
      </c>
      <c r="S63" s="28">
        <f>H63*J63</f>
        <v/>
      </c>
      <c r="T63" s="28">
        <f>H63*K63</f>
        <v/>
      </c>
      <c r="U63" s="28">
        <f>H63*L63</f>
        <v/>
      </c>
      <c r="V63" s="28">
        <f>H63*M63</f>
        <v/>
      </c>
      <c r="W63" s="28">
        <f>H63*N63</f>
        <v/>
      </c>
      <c r="X63" s="28">
        <f>H63*O63</f>
        <v/>
      </c>
      <c r="Y63" s="28">
        <f>H63*P63</f>
        <v/>
      </c>
      <c r="Z63" s="28">
        <f>H63*Q63</f>
        <v/>
      </c>
      <c r="AA63" s="28">
        <f>SUM(U63:Z63)</f>
        <v/>
      </c>
      <c r="AB63" s="5">
        <f>IF(COUNTIF('02b_DC_Accelerator_Mix'!$A$2:$A$977,G63)&gt;0,"matched","missing_mix")</f>
        <v/>
      </c>
    </row>
    <row r="64">
      <c r="A64" s="5">
        <f>'02a_DC_Capacity_Alloc'!A64</f>
        <v/>
      </c>
      <c r="B64" s="5">
        <f>'02a_DC_Capacity_Alloc'!B64</f>
        <v/>
      </c>
      <c r="C64" s="5">
        <f>'02a_DC_Capacity_Alloc'!C64</f>
        <v/>
      </c>
      <c r="D64" s="5">
        <f>'02a_DC_Capacity_Alloc'!D64</f>
        <v/>
      </c>
      <c r="E64" s="5">
        <f>'02a_DC_Capacity_Alloc'!E64</f>
        <v/>
      </c>
      <c r="F64" s="5">
        <f>'02a_DC_Capacity_Alloc'!F64</f>
        <v/>
      </c>
      <c r="G64" s="5">
        <f>B64&amp;"|"&amp;E64&amp;"|"&amp;D64</f>
        <v/>
      </c>
      <c r="H64" s="28">
        <f>'02a_DC_Capacity_Alloc'!H64*'02a_DC_Capacity_Alloc'!I64*'02a_DC_Capacity_Alloc'!J64</f>
        <v/>
      </c>
      <c r="I64" s="6">
        <f>IFERROR(INDEX('02b_DC_Accelerator_Mix'!$F$2:$F$977,MATCH(G64,'02b_DC_Accelerator_Mix'!$A$2:$A$977,0)),0)</f>
        <v/>
      </c>
      <c r="J64" s="6">
        <f>IFERROR(INDEX('02b_DC_Accelerator_Mix'!$G$2:$G$977,MATCH(G64,'02b_DC_Accelerator_Mix'!$A$2:$A$977,0)),0)</f>
        <v/>
      </c>
      <c r="K64" s="6">
        <f>IFERROR(INDEX('02b_DC_Accelerator_Mix'!$H$2:$H$977,MATCH(G64,'02b_DC_Accelerator_Mix'!$A$2:$A$977,0)),0)</f>
        <v/>
      </c>
      <c r="L64" s="6">
        <f>IFERROR(INDEX('02b_DC_Accelerator_Mix'!$I$2:$I$977,MATCH(G64,'02b_DC_Accelerator_Mix'!$A$2:$A$977,0)),0)</f>
        <v/>
      </c>
      <c r="M64" s="6">
        <f>IFERROR(INDEX('02b_DC_Accelerator_Mix'!$J$2:$J$977,MATCH(G64,'02b_DC_Accelerator_Mix'!$A$2:$A$977,0)),0)</f>
        <v/>
      </c>
      <c r="N64" s="6">
        <f>IFERROR(INDEX('02b_DC_Accelerator_Mix'!$K$2:$K$977,MATCH(G64,'02b_DC_Accelerator_Mix'!$A$2:$A$977,0)),0)</f>
        <v/>
      </c>
      <c r="O64" s="6">
        <f>IFERROR(INDEX('02b_DC_Accelerator_Mix'!$L$2:$L$977,MATCH(G64,'02b_DC_Accelerator_Mix'!$A$2:$A$977,0)),0)</f>
        <v/>
      </c>
      <c r="P64" s="6">
        <f>IFERROR(INDEX('02b_DC_Accelerator_Mix'!$M$2:$M$977,MATCH(G64,'02b_DC_Accelerator_Mix'!$A$2:$A$977,0)),0)</f>
        <v/>
      </c>
      <c r="Q64" s="6">
        <f>IFERROR(INDEX('02b_DC_Accelerator_Mix'!$N$2:$N$977,MATCH(G64,'02b_DC_Accelerator_Mix'!$A$2:$A$977,0)),0)</f>
        <v/>
      </c>
      <c r="R64" s="28">
        <f>H64*I64</f>
        <v/>
      </c>
      <c r="S64" s="28">
        <f>H64*J64</f>
        <v/>
      </c>
      <c r="T64" s="28">
        <f>H64*K64</f>
        <v/>
      </c>
      <c r="U64" s="28">
        <f>H64*L64</f>
        <v/>
      </c>
      <c r="V64" s="28">
        <f>H64*M64</f>
        <v/>
      </c>
      <c r="W64" s="28">
        <f>H64*N64</f>
        <v/>
      </c>
      <c r="X64" s="28">
        <f>H64*O64</f>
        <v/>
      </c>
      <c r="Y64" s="28">
        <f>H64*P64</f>
        <v/>
      </c>
      <c r="Z64" s="28">
        <f>H64*Q64</f>
        <v/>
      </c>
      <c r="AA64" s="28">
        <f>SUM(U64:Z64)</f>
        <v/>
      </c>
      <c r="AB64" s="5">
        <f>IF(COUNTIF('02b_DC_Accelerator_Mix'!$A$2:$A$977,G64)&gt;0,"matched","missing_mix")</f>
        <v/>
      </c>
    </row>
    <row r="65">
      <c r="A65" s="5">
        <f>'02a_DC_Capacity_Alloc'!A65</f>
        <v/>
      </c>
      <c r="B65" s="5">
        <f>'02a_DC_Capacity_Alloc'!B65</f>
        <v/>
      </c>
      <c r="C65" s="5">
        <f>'02a_DC_Capacity_Alloc'!C65</f>
        <v/>
      </c>
      <c r="D65" s="5">
        <f>'02a_DC_Capacity_Alloc'!D65</f>
        <v/>
      </c>
      <c r="E65" s="5">
        <f>'02a_DC_Capacity_Alloc'!E65</f>
        <v/>
      </c>
      <c r="F65" s="5">
        <f>'02a_DC_Capacity_Alloc'!F65</f>
        <v/>
      </c>
      <c r="G65" s="5">
        <f>B65&amp;"|"&amp;E65&amp;"|"&amp;D65</f>
        <v/>
      </c>
      <c r="H65" s="28">
        <f>'02a_DC_Capacity_Alloc'!H65*'02a_DC_Capacity_Alloc'!I65*'02a_DC_Capacity_Alloc'!J65</f>
        <v/>
      </c>
      <c r="I65" s="6">
        <f>IFERROR(INDEX('02b_DC_Accelerator_Mix'!$F$2:$F$977,MATCH(G65,'02b_DC_Accelerator_Mix'!$A$2:$A$977,0)),0)</f>
        <v/>
      </c>
      <c r="J65" s="6">
        <f>IFERROR(INDEX('02b_DC_Accelerator_Mix'!$G$2:$G$977,MATCH(G65,'02b_DC_Accelerator_Mix'!$A$2:$A$977,0)),0)</f>
        <v/>
      </c>
      <c r="K65" s="6">
        <f>IFERROR(INDEX('02b_DC_Accelerator_Mix'!$H$2:$H$977,MATCH(G65,'02b_DC_Accelerator_Mix'!$A$2:$A$977,0)),0)</f>
        <v/>
      </c>
      <c r="L65" s="6">
        <f>IFERROR(INDEX('02b_DC_Accelerator_Mix'!$I$2:$I$977,MATCH(G65,'02b_DC_Accelerator_Mix'!$A$2:$A$977,0)),0)</f>
        <v/>
      </c>
      <c r="M65" s="6">
        <f>IFERROR(INDEX('02b_DC_Accelerator_Mix'!$J$2:$J$977,MATCH(G65,'02b_DC_Accelerator_Mix'!$A$2:$A$977,0)),0)</f>
        <v/>
      </c>
      <c r="N65" s="6">
        <f>IFERROR(INDEX('02b_DC_Accelerator_Mix'!$K$2:$K$977,MATCH(G65,'02b_DC_Accelerator_Mix'!$A$2:$A$977,0)),0)</f>
        <v/>
      </c>
      <c r="O65" s="6">
        <f>IFERROR(INDEX('02b_DC_Accelerator_Mix'!$L$2:$L$977,MATCH(G65,'02b_DC_Accelerator_Mix'!$A$2:$A$977,0)),0)</f>
        <v/>
      </c>
      <c r="P65" s="6">
        <f>IFERROR(INDEX('02b_DC_Accelerator_Mix'!$M$2:$M$977,MATCH(G65,'02b_DC_Accelerator_Mix'!$A$2:$A$977,0)),0)</f>
        <v/>
      </c>
      <c r="Q65" s="6">
        <f>IFERROR(INDEX('02b_DC_Accelerator_Mix'!$N$2:$N$977,MATCH(G65,'02b_DC_Accelerator_Mix'!$A$2:$A$977,0)),0)</f>
        <v/>
      </c>
      <c r="R65" s="28">
        <f>H65*I65</f>
        <v/>
      </c>
      <c r="S65" s="28">
        <f>H65*J65</f>
        <v/>
      </c>
      <c r="T65" s="28">
        <f>H65*K65</f>
        <v/>
      </c>
      <c r="U65" s="28">
        <f>H65*L65</f>
        <v/>
      </c>
      <c r="V65" s="28">
        <f>H65*M65</f>
        <v/>
      </c>
      <c r="W65" s="28">
        <f>H65*N65</f>
        <v/>
      </c>
      <c r="X65" s="28">
        <f>H65*O65</f>
        <v/>
      </c>
      <c r="Y65" s="28">
        <f>H65*P65</f>
        <v/>
      </c>
      <c r="Z65" s="28">
        <f>H65*Q65</f>
        <v/>
      </c>
      <c r="AA65" s="28">
        <f>SUM(U65:Z65)</f>
        <v/>
      </c>
      <c r="AB65" s="5">
        <f>IF(COUNTIF('02b_DC_Accelerator_Mix'!$A$2:$A$977,G65)&gt;0,"matched","missing_mix")</f>
        <v/>
      </c>
    </row>
    <row r="66">
      <c r="A66" s="5">
        <f>'02a_DC_Capacity_Alloc'!A66</f>
        <v/>
      </c>
      <c r="B66" s="5">
        <f>'02a_DC_Capacity_Alloc'!B66</f>
        <v/>
      </c>
      <c r="C66" s="5">
        <f>'02a_DC_Capacity_Alloc'!C66</f>
        <v/>
      </c>
      <c r="D66" s="5">
        <f>'02a_DC_Capacity_Alloc'!D66</f>
        <v/>
      </c>
      <c r="E66" s="5">
        <f>'02a_DC_Capacity_Alloc'!E66</f>
        <v/>
      </c>
      <c r="F66" s="5">
        <f>'02a_DC_Capacity_Alloc'!F66</f>
        <v/>
      </c>
      <c r="G66" s="5">
        <f>B66&amp;"|"&amp;E66&amp;"|"&amp;D66</f>
        <v/>
      </c>
      <c r="H66" s="28">
        <f>'02a_DC_Capacity_Alloc'!H66*'02a_DC_Capacity_Alloc'!I66*'02a_DC_Capacity_Alloc'!J66</f>
        <v/>
      </c>
      <c r="I66" s="6">
        <f>IFERROR(INDEX('02b_DC_Accelerator_Mix'!$F$2:$F$977,MATCH(G66,'02b_DC_Accelerator_Mix'!$A$2:$A$977,0)),0)</f>
        <v/>
      </c>
      <c r="J66" s="6">
        <f>IFERROR(INDEX('02b_DC_Accelerator_Mix'!$G$2:$G$977,MATCH(G66,'02b_DC_Accelerator_Mix'!$A$2:$A$977,0)),0)</f>
        <v/>
      </c>
      <c r="K66" s="6">
        <f>IFERROR(INDEX('02b_DC_Accelerator_Mix'!$H$2:$H$977,MATCH(G66,'02b_DC_Accelerator_Mix'!$A$2:$A$977,0)),0)</f>
        <v/>
      </c>
      <c r="L66" s="6">
        <f>IFERROR(INDEX('02b_DC_Accelerator_Mix'!$I$2:$I$977,MATCH(G66,'02b_DC_Accelerator_Mix'!$A$2:$A$977,0)),0)</f>
        <v/>
      </c>
      <c r="M66" s="6">
        <f>IFERROR(INDEX('02b_DC_Accelerator_Mix'!$J$2:$J$977,MATCH(G66,'02b_DC_Accelerator_Mix'!$A$2:$A$977,0)),0)</f>
        <v/>
      </c>
      <c r="N66" s="6">
        <f>IFERROR(INDEX('02b_DC_Accelerator_Mix'!$K$2:$K$977,MATCH(G66,'02b_DC_Accelerator_Mix'!$A$2:$A$977,0)),0)</f>
        <v/>
      </c>
      <c r="O66" s="6">
        <f>IFERROR(INDEX('02b_DC_Accelerator_Mix'!$L$2:$L$977,MATCH(G66,'02b_DC_Accelerator_Mix'!$A$2:$A$977,0)),0)</f>
        <v/>
      </c>
      <c r="P66" s="6">
        <f>IFERROR(INDEX('02b_DC_Accelerator_Mix'!$M$2:$M$977,MATCH(G66,'02b_DC_Accelerator_Mix'!$A$2:$A$977,0)),0)</f>
        <v/>
      </c>
      <c r="Q66" s="6">
        <f>IFERROR(INDEX('02b_DC_Accelerator_Mix'!$N$2:$N$977,MATCH(G66,'02b_DC_Accelerator_Mix'!$A$2:$A$977,0)),0)</f>
        <v/>
      </c>
      <c r="R66" s="28">
        <f>H66*I66</f>
        <v/>
      </c>
      <c r="S66" s="28">
        <f>H66*J66</f>
        <v/>
      </c>
      <c r="T66" s="28">
        <f>H66*K66</f>
        <v/>
      </c>
      <c r="U66" s="28">
        <f>H66*L66</f>
        <v/>
      </c>
      <c r="V66" s="28">
        <f>H66*M66</f>
        <v/>
      </c>
      <c r="W66" s="28">
        <f>H66*N66</f>
        <v/>
      </c>
      <c r="X66" s="28">
        <f>H66*O66</f>
        <v/>
      </c>
      <c r="Y66" s="28">
        <f>H66*P66</f>
        <v/>
      </c>
      <c r="Z66" s="28">
        <f>H66*Q66</f>
        <v/>
      </c>
      <c r="AA66" s="28">
        <f>SUM(U66:Z66)</f>
        <v/>
      </c>
      <c r="AB66" s="5">
        <f>IF(COUNTIF('02b_DC_Accelerator_Mix'!$A$2:$A$977,G66)&gt;0,"matched","missing_mix")</f>
        <v/>
      </c>
    </row>
    <row r="67">
      <c r="A67" s="5">
        <f>'02a_DC_Capacity_Alloc'!A67</f>
        <v/>
      </c>
      <c r="B67" s="5">
        <f>'02a_DC_Capacity_Alloc'!B67</f>
        <v/>
      </c>
      <c r="C67" s="5">
        <f>'02a_DC_Capacity_Alloc'!C67</f>
        <v/>
      </c>
      <c r="D67" s="5">
        <f>'02a_DC_Capacity_Alloc'!D67</f>
        <v/>
      </c>
      <c r="E67" s="5">
        <f>'02a_DC_Capacity_Alloc'!E67</f>
        <v/>
      </c>
      <c r="F67" s="5">
        <f>'02a_DC_Capacity_Alloc'!F67</f>
        <v/>
      </c>
      <c r="G67" s="5">
        <f>B67&amp;"|"&amp;E67&amp;"|"&amp;D67</f>
        <v/>
      </c>
      <c r="H67" s="28">
        <f>'02a_DC_Capacity_Alloc'!H67*'02a_DC_Capacity_Alloc'!I67*'02a_DC_Capacity_Alloc'!J67</f>
        <v/>
      </c>
      <c r="I67" s="6">
        <f>IFERROR(INDEX('02b_DC_Accelerator_Mix'!$F$2:$F$977,MATCH(G67,'02b_DC_Accelerator_Mix'!$A$2:$A$977,0)),0)</f>
        <v/>
      </c>
      <c r="J67" s="6">
        <f>IFERROR(INDEX('02b_DC_Accelerator_Mix'!$G$2:$G$977,MATCH(G67,'02b_DC_Accelerator_Mix'!$A$2:$A$977,0)),0)</f>
        <v/>
      </c>
      <c r="K67" s="6">
        <f>IFERROR(INDEX('02b_DC_Accelerator_Mix'!$H$2:$H$977,MATCH(G67,'02b_DC_Accelerator_Mix'!$A$2:$A$977,0)),0)</f>
        <v/>
      </c>
      <c r="L67" s="6">
        <f>IFERROR(INDEX('02b_DC_Accelerator_Mix'!$I$2:$I$977,MATCH(G67,'02b_DC_Accelerator_Mix'!$A$2:$A$977,0)),0)</f>
        <v/>
      </c>
      <c r="M67" s="6">
        <f>IFERROR(INDEX('02b_DC_Accelerator_Mix'!$J$2:$J$977,MATCH(G67,'02b_DC_Accelerator_Mix'!$A$2:$A$977,0)),0)</f>
        <v/>
      </c>
      <c r="N67" s="6">
        <f>IFERROR(INDEX('02b_DC_Accelerator_Mix'!$K$2:$K$977,MATCH(G67,'02b_DC_Accelerator_Mix'!$A$2:$A$977,0)),0)</f>
        <v/>
      </c>
      <c r="O67" s="6">
        <f>IFERROR(INDEX('02b_DC_Accelerator_Mix'!$L$2:$L$977,MATCH(G67,'02b_DC_Accelerator_Mix'!$A$2:$A$977,0)),0)</f>
        <v/>
      </c>
      <c r="P67" s="6">
        <f>IFERROR(INDEX('02b_DC_Accelerator_Mix'!$M$2:$M$977,MATCH(G67,'02b_DC_Accelerator_Mix'!$A$2:$A$977,0)),0)</f>
        <v/>
      </c>
      <c r="Q67" s="6">
        <f>IFERROR(INDEX('02b_DC_Accelerator_Mix'!$N$2:$N$977,MATCH(G67,'02b_DC_Accelerator_Mix'!$A$2:$A$977,0)),0)</f>
        <v/>
      </c>
      <c r="R67" s="28">
        <f>H67*I67</f>
        <v/>
      </c>
      <c r="S67" s="28">
        <f>H67*J67</f>
        <v/>
      </c>
      <c r="T67" s="28">
        <f>H67*K67</f>
        <v/>
      </c>
      <c r="U67" s="28">
        <f>H67*L67</f>
        <v/>
      </c>
      <c r="V67" s="28">
        <f>H67*M67</f>
        <v/>
      </c>
      <c r="W67" s="28">
        <f>H67*N67</f>
        <v/>
      </c>
      <c r="X67" s="28">
        <f>H67*O67</f>
        <v/>
      </c>
      <c r="Y67" s="28">
        <f>H67*P67</f>
        <v/>
      </c>
      <c r="Z67" s="28">
        <f>H67*Q67</f>
        <v/>
      </c>
      <c r="AA67" s="28">
        <f>SUM(U67:Z67)</f>
        <v/>
      </c>
      <c r="AB67" s="5">
        <f>IF(COUNTIF('02b_DC_Accelerator_Mix'!$A$2:$A$977,G67)&gt;0,"matched","missing_mix")</f>
        <v/>
      </c>
    </row>
    <row r="68">
      <c r="A68" s="5">
        <f>'02a_DC_Capacity_Alloc'!A68</f>
        <v/>
      </c>
      <c r="B68" s="5">
        <f>'02a_DC_Capacity_Alloc'!B68</f>
        <v/>
      </c>
      <c r="C68" s="5">
        <f>'02a_DC_Capacity_Alloc'!C68</f>
        <v/>
      </c>
      <c r="D68" s="5">
        <f>'02a_DC_Capacity_Alloc'!D68</f>
        <v/>
      </c>
      <c r="E68" s="5">
        <f>'02a_DC_Capacity_Alloc'!E68</f>
        <v/>
      </c>
      <c r="F68" s="5">
        <f>'02a_DC_Capacity_Alloc'!F68</f>
        <v/>
      </c>
      <c r="G68" s="5">
        <f>B68&amp;"|"&amp;E68&amp;"|"&amp;D68</f>
        <v/>
      </c>
      <c r="H68" s="28">
        <f>'02a_DC_Capacity_Alloc'!H68*'02a_DC_Capacity_Alloc'!I68*'02a_DC_Capacity_Alloc'!J68</f>
        <v/>
      </c>
      <c r="I68" s="6">
        <f>IFERROR(INDEX('02b_DC_Accelerator_Mix'!$F$2:$F$977,MATCH(G68,'02b_DC_Accelerator_Mix'!$A$2:$A$977,0)),0)</f>
        <v/>
      </c>
      <c r="J68" s="6">
        <f>IFERROR(INDEX('02b_DC_Accelerator_Mix'!$G$2:$G$977,MATCH(G68,'02b_DC_Accelerator_Mix'!$A$2:$A$977,0)),0)</f>
        <v/>
      </c>
      <c r="K68" s="6">
        <f>IFERROR(INDEX('02b_DC_Accelerator_Mix'!$H$2:$H$977,MATCH(G68,'02b_DC_Accelerator_Mix'!$A$2:$A$977,0)),0)</f>
        <v/>
      </c>
      <c r="L68" s="6">
        <f>IFERROR(INDEX('02b_DC_Accelerator_Mix'!$I$2:$I$977,MATCH(G68,'02b_DC_Accelerator_Mix'!$A$2:$A$977,0)),0)</f>
        <v/>
      </c>
      <c r="M68" s="6">
        <f>IFERROR(INDEX('02b_DC_Accelerator_Mix'!$J$2:$J$977,MATCH(G68,'02b_DC_Accelerator_Mix'!$A$2:$A$977,0)),0)</f>
        <v/>
      </c>
      <c r="N68" s="6">
        <f>IFERROR(INDEX('02b_DC_Accelerator_Mix'!$K$2:$K$977,MATCH(G68,'02b_DC_Accelerator_Mix'!$A$2:$A$977,0)),0)</f>
        <v/>
      </c>
      <c r="O68" s="6">
        <f>IFERROR(INDEX('02b_DC_Accelerator_Mix'!$L$2:$L$977,MATCH(G68,'02b_DC_Accelerator_Mix'!$A$2:$A$977,0)),0)</f>
        <v/>
      </c>
      <c r="P68" s="6">
        <f>IFERROR(INDEX('02b_DC_Accelerator_Mix'!$M$2:$M$977,MATCH(G68,'02b_DC_Accelerator_Mix'!$A$2:$A$977,0)),0)</f>
        <v/>
      </c>
      <c r="Q68" s="6">
        <f>IFERROR(INDEX('02b_DC_Accelerator_Mix'!$N$2:$N$977,MATCH(G68,'02b_DC_Accelerator_Mix'!$A$2:$A$977,0)),0)</f>
        <v/>
      </c>
      <c r="R68" s="28">
        <f>H68*I68</f>
        <v/>
      </c>
      <c r="S68" s="28">
        <f>H68*J68</f>
        <v/>
      </c>
      <c r="T68" s="28">
        <f>H68*K68</f>
        <v/>
      </c>
      <c r="U68" s="28">
        <f>H68*L68</f>
        <v/>
      </c>
      <c r="V68" s="28">
        <f>H68*M68</f>
        <v/>
      </c>
      <c r="W68" s="28">
        <f>H68*N68</f>
        <v/>
      </c>
      <c r="X68" s="28">
        <f>H68*O68</f>
        <v/>
      </c>
      <c r="Y68" s="28">
        <f>H68*P68</f>
        <v/>
      </c>
      <c r="Z68" s="28">
        <f>H68*Q68</f>
        <v/>
      </c>
      <c r="AA68" s="28">
        <f>SUM(U68:Z68)</f>
        <v/>
      </c>
      <c r="AB68" s="5">
        <f>IF(COUNTIF('02b_DC_Accelerator_Mix'!$A$2:$A$977,G68)&gt;0,"matched","missing_mix")</f>
        <v/>
      </c>
    </row>
    <row r="69">
      <c r="A69" s="5">
        <f>'02a_DC_Capacity_Alloc'!A69</f>
        <v/>
      </c>
      <c r="B69" s="5">
        <f>'02a_DC_Capacity_Alloc'!B69</f>
        <v/>
      </c>
      <c r="C69" s="5">
        <f>'02a_DC_Capacity_Alloc'!C69</f>
        <v/>
      </c>
      <c r="D69" s="5">
        <f>'02a_DC_Capacity_Alloc'!D69</f>
        <v/>
      </c>
      <c r="E69" s="5">
        <f>'02a_DC_Capacity_Alloc'!E69</f>
        <v/>
      </c>
      <c r="F69" s="5">
        <f>'02a_DC_Capacity_Alloc'!F69</f>
        <v/>
      </c>
      <c r="G69" s="5">
        <f>B69&amp;"|"&amp;E69&amp;"|"&amp;D69</f>
        <v/>
      </c>
      <c r="H69" s="28">
        <f>'02a_DC_Capacity_Alloc'!H69*'02a_DC_Capacity_Alloc'!I69*'02a_DC_Capacity_Alloc'!J69</f>
        <v/>
      </c>
      <c r="I69" s="6">
        <f>IFERROR(INDEX('02b_DC_Accelerator_Mix'!$F$2:$F$977,MATCH(G69,'02b_DC_Accelerator_Mix'!$A$2:$A$977,0)),0)</f>
        <v/>
      </c>
      <c r="J69" s="6">
        <f>IFERROR(INDEX('02b_DC_Accelerator_Mix'!$G$2:$G$977,MATCH(G69,'02b_DC_Accelerator_Mix'!$A$2:$A$977,0)),0)</f>
        <v/>
      </c>
      <c r="K69" s="6">
        <f>IFERROR(INDEX('02b_DC_Accelerator_Mix'!$H$2:$H$977,MATCH(G69,'02b_DC_Accelerator_Mix'!$A$2:$A$977,0)),0)</f>
        <v/>
      </c>
      <c r="L69" s="6">
        <f>IFERROR(INDEX('02b_DC_Accelerator_Mix'!$I$2:$I$977,MATCH(G69,'02b_DC_Accelerator_Mix'!$A$2:$A$977,0)),0)</f>
        <v/>
      </c>
      <c r="M69" s="6">
        <f>IFERROR(INDEX('02b_DC_Accelerator_Mix'!$J$2:$J$977,MATCH(G69,'02b_DC_Accelerator_Mix'!$A$2:$A$977,0)),0)</f>
        <v/>
      </c>
      <c r="N69" s="6">
        <f>IFERROR(INDEX('02b_DC_Accelerator_Mix'!$K$2:$K$977,MATCH(G69,'02b_DC_Accelerator_Mix'!$A$2:$A$977,0)),0)</f>
        <v/>
      </c>
      <c r="O69" s="6">
        <f>IFERROR(INDEX('02b_DC_Accelerator_Mix'!$L$2:$L$977,MATCH(G69,'02b_DC_Accelerator_Mix'!$A$2:$A$977,0)),0)</f>
        <v/>
      </c>
      <c r="P69" s="6">
        <f>IFERROR(INDEX('02b_DC_Accelerator_Mix'!$M$2:$M$977,MATCH(G69,'02b_DC_Accelerator_Mix'!$A$2:$A$977,0)),0)</f>
        <v/>
      </c>
      <c r="Q69" s="6">
        <f>IFERROR(INDEX('02b_DC_Accelerator_Mix'!$N$2:$N$977,MATCH(G69,'02b_DC_Accelerator_Mix'!$A$2:$A$977,0)),0)</f>
        <v/>
      </c>
      <c r="R69" s="28">
        <f>H69*I69</f>
        <v/>
      </c>
      <c r="S69" s="28">
        <f>H69*J69</f>
        <v/>
      </c>
      <c r="T69" s="28">
        <f>H69*K69</f>
        <v/>
      </c>
      <c r="U69" s="28">
        <f>H69*L69</f>
        <v/>
      </c>
      <c r="V69" s="28">
        <f>H69*M69</f>
        <v/>
      </c>
      <c r="W69" s="28">
        <f>H69*N69</f>
        <v/>
      </c>
      <c r="X69" s="28">
        <f>H69*O69</f>
        <v/>
      </c>
      <c r="Y69" s="28">
        <f>H69*P69</f>
        <v/>
      </c>
      <c r="Z69" s="28">
        <f>H69*Q69</f>
        <v/>
      </c>
      <c r="AA69" s="28">
        <f>SUM(U69:Z69)</f>
        <v/>
      </c>
      <c r="AB69" s="5">
        <f>IF(COUNTIF('02b_DC_Accelerator_Mix'!$A$2:$A$977,G69)&gt;0,"matched","missing_mix")</f>
        <v/>
      </c>
    </row>
    <row r="70">
      <c r="A70" s="5">
        <f>'02a_DC_Capacity_Alloc'!A70</f>
        <v/>
      </c>
      <c r="B70" s="5">
        <f>'02a_DC_Capacity_Alloc'!B70</f>
        <v/>
      </c>
      <c r="C70" s="5">
        <f>'02a_DC_Capacity_Alloc'!C70</f>
        <v/>
      </c>
      <c r="D70" s="5">
        <f>'02a_DC_Capacity_Alloc'!D70</f>
        <v/>
      </c>
      <c r="E70" s="5">
        <f>'02a_DC_Capacity_Alloc'!E70</f>
        <v/>
      </c>
      <c r="F70" s="5">
        <f>'02a_DC_Capacity_Alloc'!F70</f>
        <v/>
      </c>
      <c r="G70" s="5">
        <f>B70&amp;"|"&amp;E70&amp;"|"&amp;D70</f>
        <v/>
      </c>
      <c r="H70" s="28">
        <f>'02a_DC_Capacity_Alloc'!H70*'02a_DC_Capacity_Alloc'!I70*'02a_DC_Capacity_Alloc'!J70</f>
        <v/>
      </c>
      <c r="I70" s="6">
        <f>IFERROR(INDEX('02b_DC_Accelerator_Mix'!$F$2:$F$977,MATCH(G70,'02b_DC_Accelerator_Mix'!$A$2:$A$977,0)),0)</f>
        <v/>
      </c>
      <c r="J70" s="6">
        <f>IFERROR(INDEX('02b_DC_Accelerator_Mix'!$G$2:$G$977,MATCH(G70,'02b_DC_Accelerator_Mix'!$A$2:$A$977,0)),0)</f>
        <v/>
      </c>
      <c r="K70" s="6">
        <f>IFERROR(INDEX('02b_DC_Accelerator_Mix'!$H$2:$H$977,MATCH(G70,'02b_DC_Accelerator_Mix'!$A$2:$A$977,0)),0)</f>
        <v/>
      </c>
      <c r="L70" s="6">
        <f>IFERROR(INDEX('02b_DC_Accelerator_Mix'!$I$2:$I$977,MATCH(G70,'02b_DC_Accelerator_Mix'!$A$2:$A$977,0)),0)</f>
        <v/>
      </c>
      <c r="M70" s="6">
        <f>IFERROR(INDEX('02b_DC_Accelerator_Mix'!$J$2:$J$977,MATCH(G70,'02b_DC_Accelerator_Mix'!$A$2:$A$977,0)),0)</f>
        <v/>
      </c>
      <c r="N70" s="6">
        <f>IFERROR(INDEX('02b_DC_Accelerator_Mix'!$K$2:$K$977,MATCH(G70,'02b_DC_Accelerator_Mix'!$A$2:$A$977,0)),0)</f>
        <v/>
      </c>
      <c r="O70" s="6">
        <f>IFERROR(INDEX('02b_DC_Accelerator_Mix'!$L$2:$L$977,MATCH(G70,'02b_DC_Accelerator_Mix'!$A$2:$A$977,0)),0)</f>
        <v/>
      </c>
      <c r="P70" s="6">
        <f>IFERROR(INDEX('02b_DC_Accelerator_Mix'!$M$2:$M$977,MATCH(G70,'02b_DC_Accelerator_Mix'!$A$2:$A$977,0)),0)</f>
        <v/>
      </c>
      <c r="Q70" s="6">
        <f>IFERROR(INDEX('02b_DC_Accelerator_Mix'!$N$2:$N$977,MATCH(G70,'02b_DC_Accelerator_Mix'!$A$2:$A$977,0)),0)</f>
        <v/>
      </c>
      <c r="R70" s="28">
        <f>H70*I70</f>
        <v/>
      </c>
      <c r="S70" s="28">
        <f>H70*J70</f>
        <v/>
      </c>
      <c r="T70" s="28">
        <f>H70*K70</f>
        <v/>
      </c>
      <c r="U70" s="28">
        <f>H70*L70</f>
        <v/>
      </c>
      <c r="V70" s="28">
        <f>H70*M70</f>
        <v/>
      </c>
      <c r="W70" s="28">
        <f>H70*N70</f>
        <v/>
      </c>
      <c r="X70" s="28">
        <f>H70*O70</f>
        <v/>
      </c>
      <c r="Y70" s="28">
        <f>H70*P70</f>
        <v/>
      </c>
      <c r="Z70" s="28">
        <f>H70*Q70</f>
        <v/>
      </c>
      <c r="AA70" s="28">
        <f>SUM(U70:Z70)</f>
        <v/>
      </c>
      <c r="AB70" s="5">
        <f>IF(COUNTIF('02b_DC_Accelerator_Mix'!$A$2:$A$977,G70)&gt;0,"matched","missing_mix")</f>
        <v/>
      </c>
    </row>
    <row r="71">
      <c r="A71" s="5">
        <f>'02a_DC_Capacity_Alloc'!A71</f>
        <v/>
      </c>
      <c r="B71" s="5">
        <f>'02a_DC_Capacity_Alloc'!B71</f>
        <v/>
      </c>
      <c r="C71" s="5">
        <f>'02a_DC_Capacity_Alloc'!C71</f>
        <v/>
      </c>
      <c r="D71" s="5">
        <f>'02a_DC_Capacity_Alloc'!D71</f>
        <v/>
      </c>
      <c r="E71" s="5">
        <f>'02a_DC_Capacity_Alloc'!E71</f>
        <v/>
      </c>
      <c r="F71" s="5">
        <f>'02a_DC_Capacity_Alloc'!F71</f>
        <v/>
      </c>
      <c r="G71" s="5">
        <f>B71&amp;"|"&amp;E71&amp;"|"&amp;D71</f>
        <v/>
      </c>
      <c r="H71" s="28">
        <f>'02a_DC_Capacity_Alloc'!H71*'02a_DC_Capacity_Alloc'!I71*'02a_DC_Capacity_Alloc'!J71</f>
        <v/>
      </c>
      <c r="I71" s="6">
        <f>IFERROR(INDEX('02b_DC_Accelerator_Mix'!$F$2:$F$977,MATCH(G71,'02b_DC_Accelerator_Mix'!$A$2:$A$977,0)),0)</f>
        <v/>
      </c>
      <c r="J71" s="6">
        <f>IFERROR(INDEX('02b_DC_Accelerator_Mix'!$G$2:$G$977,MATCH(G71,'02b_DC_Accelerator_Mix'!$A$2:$A$977,0)),0)</f>
        <v/>
      </c>
      <c r="K71" s="6">
        <f>IFERROR(INDEX('02b_DC_Accelerator_Mix'!$H$2:$H$977,MATCH(G71,'02b_DC_Accelerator_Mix'!$A$2:$A$977,0)),0)</f>
        <v/>
      </c>
      <c r="L71" s="6">
        <f>IFERROR(INDEX('02b_DC_Accelerator_Mix'!$I$2:$I$977,MATCH(G71,'02b_DC_Accelerator_Mix'!$A$2:$A$977,0)),0)</f>
        <v/>
      </c>
      <c r="M71" s="6">
        <f>IFERROR(INDEX('02b_DC_Accelerator_Mix'!$J$2:$J$977,MATCH(G71,'02b_DC_Accelerator_Mix'!$A$2:$A$977,0)),0)</f>
        <v/>
      </c>
      <c r="N71" s="6">
        <f>IFERROR(INDEX('02b_DC_Accelerator_Mix'!$K$2:$K$977,MATCH(G71,'02b_DC_Accelerator_Mix'!$A$2:$A$977,0)),0)</f>
        <v/>
      </c>
      <c r="O71" s="6">
        <f>IFERROR(INDEX('02b_DC_Accelerator_Mix'!$L$2:$L$977,MATCH(G71,'02b_DC_Accelerator_Mix'!$A$2:$A$977,0)),0)</f>
        <v/>
      </c>
      <c r="P71" s="6">
        <f>IFERROR(INDEX('02b_DC_Accelerator_Mix'!$M$2:$M$977,MATCH(G71,'02b_DC_Accelerator_Mix'!$A$2:$A$977,0)),0)</f>
        <v/>
      </c>
      <c r="Q71" s="6">
        <f>IFERROR(INDEX('02b_DC_Accelerator_Mix'!$N$2:$N$977,MATCH(G71,'02b_DC_Accelerator_Mix'!$A$2:$A$977,0)),0)</f>
        <v/>
      </c>
      <c r="R71" s="28">
        <f>H71*I71</f>
        <v/>
      </c>
      <c r="S71" s="28">
        <f>H71*J71</f>
        <v/>
      </c>
      <c r="T71" s="28">
        <f>H71*K71</f>
        <v/>
      </c>
      <c r="U71" s="28">
        <f>H71*L71</f>
        <v/>
      </c>
      <c r="V71" s="28">
        <f>H71*M71</f>
        <v/>
      </c>
      <c r="W71" s="28">
        <f>H71*N71</f>
        <v/>
      </c>
      <c r="X71" s="28">
        <f>H71*O71</f>
        <v/>
      </c>
      <c r="Y71" s="28">
        <f>H71*P71</f>
        <v/>
      </c>
      <c r="Z71" s="28">
        <f>H71*Q71</f>
        <v/>
      </c>
      <c r="AA71" s="28">
        <f>SUM(U71:Z71)</f>
        <v/>
      </c>
      <c r="AB71" s="5">
        <f>IF(COUNTIF('02b_DC_Accelerator_Mix'!$A$2:$A$977,G71)&gt;0,"matched","missing_mix")</f>
        <v/>
      </c>
    </row>
    <row r="72">
      <c r="A72" s="5">
        <f>'02a_DC_Capacity_Alloc'!A72</f>
        <v/>
      </c>
      <c r="B72" s="5">
        <f>'02a_DC_Capacity_Alloc'!B72</f>
        <v/>
      </c>
      <c r="C72" s="5">
        <f>'02a_DC_Capacity_Alloc'!C72</f>
        <v/>
      </c>
      <c r="D72" s="5">
        <f>'02a_DC_Capacity_Alloc'!D72</f>
        <v/>
      </c>
      <c r="E72" s="5">
        <f>'02a_DC_Capacity_Alloc'!E72</f>
        <v/>
      </c>
      <c r="F72" s="5">
        <f>'02a_DC_Capacity_Alloc'!F72</f>
        <v/>
      </c>
      <c r="G72" s="5">
        <f>B72&amp;"|"&amp;E72&amp;"|"&amp;D72</f>
        <v/>
      </c>
      <c r="H72" s="28">
        <f>'02a_DC_Capacity_Alloc'!H72*'02a_DC_Capacity_Alloc'!I72*'02a_DC_Capacity_Alloc'!J72</f>
        <v/>
      </c>
      <c r="I72" s="6">
        <f>IFERROR(INDEX('02b_DC_Accelerator_Mix'!$F$2:$F$977,MATCH(G72,'02b_DC_Accelerator_Mix'!$A$2:$A$977,0)),0)</f>
        <v/>
      </c>
      <c r="J72" s="6">
        <f>IFERROR(INDEX('02b_DC_Accelerator_Mix'!$G$2:$G$977,MATCH(G72,'02b_DC_Accelerator_Mix'!$A$2:$A$977,0)),0)</f>
        <v/>
      </c>
      <c r="K72" s="6">
        <f>IFERROR(INDEX('02b_DC_Accelerator_Mix'!$H$2:$H$977,MATCH(G72,'02b_DC_Accelerator_Mix'!$A$2:$A$977,0)),0)</f>
        <v/>
      </c>
      <c r="L72" s="6">
        <f>IFERROR(INDEX('02b_DC_Accelerator_Mix'!$I$2:$I$977,MATCH(G72,'02b_DC_Accelerator_Mix'!$A$2:$A$977,0)),0)</f>
        <v/>
      </c>
      <c r="M72" s="6">
        <f>IFERROR(INDEX('02b_DC_Accelerator_Mix'!$J$2:$J$977,MATCH(G72,'02b_DC_Accelerator_Mix'!$A$2:$A$977,0)),0)</f>
        <v/>
      </c>
      <c r="N72" s="6">
        <f>IFERROR(INDEX('02b_DC_Accelerator_Mix'!$K$2:$K$977,MATCH(G72,'02b_DC_Accelerator_Mix'!$A$2:$A$977,0)),0)</f>
        <v/>
      </c>
      <c r="O72" s="6">
        <f>IFERROR(INDEX('02b_DC_Accelerator_Mix'!$L$2:$L$977,MATCH(G72,'02b_DC_Accelerator_Mix'!$A$2:$A$977,0)),0)</f>
        <v/>
      </c>
      <c r="P72" s="6">
        <f>IFERROR(INDEX('02b_DC_Accelerator_Mix'!$M$2:$M$977,MATCH(G72,'02b_DC_Accelerator_Mix'!$A$2:$A$977,0)),0)</f>
        <v/>
      </c>
      <c r="Q72" s="6">
        <f>IFERROR(INDEX('02b_DC_Accelerator_Mix'!$N$2:$N$977,MATCH(G72,'02b_DC_Accelerator_Mix'!$A$2:$A$977,0)),0)</f>
        <v/>
      </c>
      <c r="R72" s="28">
        <f>H72*I72</f>
        <v/>
      </c>
      <c r="S72" s="28">
        <f>H72*J72</f>
        <v/>
      </c>
      <c r="T72" s="28">
        <f>H72*K72</f>
        <v/>
      </c>
      <c r="U72" s="28">
        <f>H72*L72</f>
        <v/>
      </c>
      <c r="V72" s="28">
        <f>H72*M72</f>
        <v/>
      </c>
      <c r="W72" s="28">
        <f>H72*N72</f>
        <v/>
      </c>
      <c r="X72" s="28">
        <f>H72*O72</f>
        <v/>
      </c>
      <c r="Y72" s="28">
        <f>H72*P72</f>
        <v/>
      </c>
      <c r="Z72" s="28">
        <f>H72*Q72</f>
        <v/>
      </c>
      <c r="AA72" s="28">
        <f>SUM(U72:Z72)</f>
        <v/>
      </c>
      <c r="AB72" s="5">
        <f>IF(COUNTIF('02b_DC_Accelerator_Mix'!$A$2:$A$977,G72)&gt;0,"matched","missing_mix")</f>
        <v/>
      </c>
    </row>
    <row r="73">
      <c r="A73" s="5">
        <f>'02a_DC_Capacity_Alloc'!A73</f>
        <v/>
      </c>
      <c r="B73" s="5">
        <f>'02a_DC_Capacity_Alloc'!B73</f>
        <v/>
      </c>
      <c r="C73" s="5">
        <f>'02a_DC_Capacity_Alloc'!C73</f>
        <v/>
      </c>
      <c r="D73" s="5">
        <f>'02a_DC_Capacity_Alloc'!D73</f>
        <v/>
      </c>
      <c r="E73" s="5">
        <f>'02a_DC_Capacity_Alloc'!E73</f>
        <v/>
      </c>
      <c r="F73" s="5">
        <f>'02a_DC_Capacity_Alloc'!F73</f>
        <v/>
      </c>
      <c r="G73" s="5">
        <f>B73&amp;"|"&amp;E73&amp;"|"&amp;D73</f>
        <v/>
      </c>
      <c r="H73" s="28">
        <f>'02a_DC_Capacity_Alloc'!H73*'02a_DC_Capacity_Alloc'!I73*'02a_DC_Capacity_Alloc'!J73</f>
        <v/>
      </c>
      <c r="I73" s="6">
        <f>IFERROR(INDEX('02b_DC_Accelerator_Mix'!$F$2:$F$977,MATCH(G73,'02b_DC_Accelerator_Mix'!$A$2:$A$977,0)),0)</f>
        <v/>
      </c>
      <c r="J73" s="6">
        <f>IFERROR(INDEX('02b_DC_Accelerator_Mix'!$G$2:$G$977,MATCH(G73,'02b_DC_Accelerator_Mix'!$A$2:$A$977,0)),0)</f>
        <v/>
      </c>
      <c r="K73" s="6">
        <f>IFERROR(INDEX('02b_DC_Accelerator_Mix'!$H$2:$H$977,MATCH(G73,'02b_DC_Accelerator_Mix'!$A$2:$A$977,0)),0)</f>
        <v/>
      </c>
      <c r="L73" s="6">
        <f>IFERROR(INDEX('02b_DC_Accelerator_Mix'!$I$2:$I$977,MATCH(G73,'02b_DC_Accelerator_Mix'!$A$2:$A$977,0)),0)</f>
        <v/>
      </c>
      <c r="M73" s="6">
        <f>IFERROR(INDEX('02b_DC_Accelerator_Mix'!$J$2:$J$977,MATCH(G73,'02b_DC_Accelerator_Mix'!$A$2:$A$977,0)),0)</f>
        <v/>
      </c>
      <c r="N73" s="6">
        <f>IFERROR(INDEX('02b_DC_Accelerator_Mix'!$K$2:$K$977,MATCH(G73,'02b_DC_Accelerator_Mix'!$A$2:$A$977,0)),0)</f>
        <v/>
      </c>
      <c r="O73" s="6">
        <f>IFERROR(INDEX('02b_DC_Accelerator_Mix'!$L$2:$L$977,MATCH(G73,'02b_DC_Accelerator_Mix'!$A$2:$A$977,0)),0)</f>
        <v/>
      </c>
      <c r="P73" s="6">
        <f>IFERROR(INDEX('02b_DC_Accelerator_Mix'!$M$2:$M$977,MATCH(G73,'02b_DC_Accelerator_Mix'!$A$2:$A$977,0)),0)</f>
        <v/>
      </c>
      <c r="Q73" s="6">
        <f>IFERROR(INDEX('02b_DC_Accelerator_Mix'!$N$2:$N$977,MATCH(G73,'02b_DC_Accelerator_Mix'!$A$2:$A$977,0)),0)</f>
        <v/>
      </c>
      <c r="R73" s="28">
        <f>H73*I73</f>
        <v/>
      </c>
      <c r="S73" s="28">
        <f>H73*J73</f>
        <v/>
      </c>
      <c r="T73" s="28">
        <f>H73*K73</f>
        <v/>
      </c>
      <c r="U73" s="28">
        <f>H73*L73</f>
        <v/>
      </c>
      <c r="V73" s="28">
        <f>H73*M73</f>
        <v/>
      </c>
      <c r="W73" s="28">
        <f>H73*N73</f>
        <v/>
      </c>
      <c r="X73" s="28">
        <f>H73*O73</f>
        <v/>
      </c>
      <c r="Y73" s="28">
        <f>H73*P73</f>
        <v/>
      </c>
      <c r="Z73" s="28">
        <f>H73*Q73</f>
        <v/>
      </c>
      <c r="AA73" s="28">
        <f>SUM(U73:Z73)</f>
        <v/>
      </c>
      <c r="AB73" s="5">
        <f>IF(COUNTIF('02b_DC_Accelerator_Mix'!$A$2:$A$977,G73)&gt;0,"matched","missing_mix")</f>
        <v/>
      </c>
    </row>
    <row r="74">
      <c r="A74" s="5">
        <f>'02a_DC_Capacity_Alloc'!A74</f>
        <v/>
      </c>
      <c r="B74" s="5">
        <f>'02a_DC_Capacity_Alloc'!B74</f>
        <v/>
      </c>
      <c r="C74" s="5">
        <f>'02a_DC_Capacity_Alloc'!C74</f>
        <v/>
      </c>
      <c r="D74" s="5">
        <f>'02a_DC_Capacity_Alloc'!D74</f>
        <v/>
      </c>
      <c r="E74" s="5">
        <f>'02a_DC_Capacity_Alloc'!E74</f>
        <v/>
      </c>
      <c r="F74" s="5">
        <f>'02a_DC_Capacity_Alloc'!F74</f>
        <v/>
      </c>
      <c r="G74" s="5">
        <f>B74&amp;"|"&amp;E74&amp;"|"&amp;D74</f>
        <v/>
      </c>
      <c r="H74" s="28">
        <f>'02a_DC_Capacity_Alloc'!H74*'02a_DC_Capacity_Alloc'!I74*'02a_DC_Capacity_Alloc'!J74</f>
        <v/>
      </c>
      <c r="I74" s="6">
        <f>IFERROR(INDEX('02b_DC_Accelerator_Mix'!$F$2:$F$977,MATCH(G74,'02b_DC_Accelerator_Mix'!$A$2:$A$977,0)),0)</f>
        <v/>
      </c>
      <c r="J74" s="6">
        <f>IFERROR(INDEX('02b_DC_Accelerator_Mix'!$G$2:$G$977,MATCH(G74,'02b_DC_Accelerator_Mix'!$A$2:$A$977,0)),0)</f>
        <v/>
      </c>
      <c r="K74" s="6">
        <f>IFERROR(INDEX('02b_DC_Accelerator_Mix'!$H$2:$H$977,MATCH(G74,'02b_DC_Accelerator_Mix'!$A$2:$A$977,0)),0)</f>
        <v/>
      </c>
      <c r="L74" s="6">
        <f>IFERROR(INDEX('02b_DC_Accelerator_Mix'!$I$2:$I$977,MATCH(G74,'02b_DC_Accelerator_Mix'!$A$2:$A$977,0)),0)</f>
        <v/>
      </c>
      <c r="M74" s="6">
        <f>IFERROR(INDEX('02b_DC_Accelerator_Mix'!$J$2:$J$977,MATCH(G74,'02b_DC_Accelerator_Mix'!$A$2:$A$977,0)),0)</f>
        <v/>
      </c>
      <c r="N74" s="6">
        <f>IFERROR(INDEX('02b_DC_Accelerator_Mix'!$K$2:$K$977,MATCH(G74,'02b_DC_Accelerator_Mix'!$A$2:$A$977,0)),0)</f>
        <v/>
      </c>
      <c r="O74" s="6">
        <f>IFERROR(INDEX('02b_DC_Accelerator_Mix'!$L$2:$L$977,MATCH(G74,'02b_DC_Accelerator_Mix'!$A$2:$A$977,0)),0)</f>
        <v/>
      </c>
      <c r="P74" s="6">
        <f>IFERROR(INDEX('02b_DC_Accelerator_Mix'!$M$2:$M$977,MATCH(G74,'02b_DC_Accelerator_Mix'!$A$2:$A$977,0)),0)</f>
        <v/>
      </c>
      <c r="Q74" s="6">
        <f>IFERROR(INDEX('02b_DC_Accelerator_Mix'!$N$2:$N$977,MATCH(G74,'02b_DC_Accelerator_Mix'!$A$2:$A$977,0)),0)</f>
        <v/>
      </c>
      <c r="R74" s="28">
        <f>H74*I74</f>
        <v/>
      </c>
      <c r="S74" s="28">
        <f>H74*J74</f>
        <v/>
      </c>
      <c r="T74" s="28">
        <f>H74*K74</f>
        <v/>
      </c>
      <c r="U74" s="28">
        <f>H74*L74</f>
        <v/>
      </c>
      <c r="V74" s="28">
        <f>H74*M74</f>
        <v/>
      </c>
      <c r="W74" s="28">
        <f>H74*N74</f>
        <v/>
      </c>
      <c r="X74" s="28">
        <f>H74*O74</f>
        <v/>
      </c>
      <c r="Y74" s="28">
        <f>H74*P74</f>
        <v/>
      </c>
      <c r="Z74" s="28">
        <f>H74*Q74</f>
        <v/>
      </c>
      <c r="AA74" s="28">
        <f>SUM(U74:Z74)</f>
        <v/>
      </c>
      <c r="AB74" s="5">
        <f>IF(COUNTIF('02b_DC_Accelerator_Mix'!$A$2:$A$977,G74)&gt;0,"matched","missing_mix")</f>
        <v/>
      </c>
    </row>
    <row r="75">
      <c r="A75" s="5">
        <f>'02a_DC_Capacity_Alloc'!A75</f>
        <v/>
      </c>
      <c r="B75" s="5">
        <f>'02a_DC_Capacity_Alloc'!B75</f>
        <v/>
      </c>
      <c r="C75" s="5">
        <f>'02a_DC_Capacity_Alloc'!C75</f>
        <v/>
      </c>
      <c r="D75" s="5">
        <f>'02a_DC_Capacity_Alloc'!D75</f>
        <v/>
      </c>
      <c r="E75" s="5">
        <f>'02a_DC_Capacity_Alloc'!E75</f>
        <v/>
      </c>
      <c r="F75" s="5">
        <f>'02a_DC_Capacity_Alloc'!F75</f>
        <v/>
      </c>
      <c r="G75" s="5">
        <f>B75&amp;"|"&amp;E75&amp;"|"&amp;D75</f>
        <v/>
      </c>
      <c r="H75" s="28">
        <f>'02a_DC_Capacity_Alloc'!H75*'02a_DC_Capacity_Alloc'!I75*'02a_DC_Capacity_Alloc'!J75</f>
        <v/>
      </c>
      <c r="I75" s="6">
        <f>IFERROR(INDEX('02b_DC_Accelerator_Mix'!$F$2:$F$977,MATCH(G75,'02b_DC_Accelerator_Mix'!$A$2:$A$977,0)),0)</f>
        <v/>
      </c>
      <c r="J75" s="6">
        <f>IFERROR(INDEX('02b_DC_Accelerator_Mix'!$G$2:$G$977,MATCH(G75,'02b_DC_Accelerator_Mix'!$A$2:$A$977,0)),0)</f>
        <v/>
      </c>
      <c r="K75" s="6">
        <f>IFERROR(INDEX('02b_DC_Accelerator_Mix'!$H$2:$H$977,MATCH(G75,'02b_DC_Accelerator_Mix'!$A$2:$A$977,0)),0)</f>
        <v/>
      </c>
      <c r="L75" s="6">
        <f>IFERROR(INDEX('02b_DC_Accelerator_Mix'!$I$2:$I$977,MATCH(G75,'02b_DC_Accelerator_Mix'!$A$2:$A$977,0)),0)</f>
        <v/>
      </c>
      <c r="M75" s="6">
        <f>IFERROR(INDEX('02b_DC_Accelerator_Mix'!$J$2:$J$977,MATCH(G75,'02b_DC_Accelerator_Mix'!$A$2:$A$977,0)),0)</f>
        <v/>
      </c>
      <c r="N75" s="6">
        <f>IFERROR(INDEX('02b_DC_Accelerator_Mix'!$K$2:$K$977,MATCH(G75,'02b_DC_Accelerator_Mix'!$A$2:$A$977,0)),0)</f>
        <v/>
      </c>
      <c r="O75" s="6">
        <f>IFERROR(INDEX('02b_DC_Accelerator_Mix'!$L$2:$L$977,MATCH(G75,'02b_DC_Accelerator_Mix'!$A$2:$A$977,0)),0)</f>
        <v/>
      </c>
      <c r="P75" s="6">
        <f>IFERROR(INDEX('02b_DC_Accelerator_Mix'!$M$2:$M$977,MATCH(G75,'02b_DC_Accelerator_Mix'!$A$2:$A$977,0)),0)</f>
        <v/>
      </c>
      <c r="Q75" s="6">
        <f>IFERROR(INDEX('02b_DC_Accelerator_Mix'!$N$2:$N$977,MATCH(G75,'02b_DC_Accelerator_Mix'!$A$2:$A$977,0)),0)</f>
        <v/>
      </c>
      <c r="R75" s="28">
        <f>H75*I75</f>
        <v/>
      </c>
      <c r="S75" s="28">
        <f>H75*J75</f>
        <v/>
      </c>
      <c r="T75" s="28">
        <f>H75*K75</f>
        <v/>
      </c>
      <c r="U75" s="28">
        <f>H75*L75</f>
        <v/>
      </c>
      <c r="V75" s="28">
        <f>H75*M75</f>
        <v/>
      </c>
      <c r="W75" s="28">
        <f>H75*N75</f>
        <v/>
      </c>
      <c r="X75" s="28">
        <f>H75*O75</f>
        <v/>
      </c>
      <c r="Y75" s="28">
        <f>H75*P75</f>
        <v/>
      </c>
      <c r="Z75" s="28">
        <f>H75*Q75</f>
        <v/>
      </c>
      <c r="AA75" s="28">
        <f>SUM(U75:Z75)</f>
        <v/>
      </c>
      <c r="AB75" s="5">
        <f>IF(COUNTIF('02b_DC_Accelerator_Mix'!$A$2:$A$977,G75)&gt;0,"matched","missing_mix")</f>
        <v/>
      </c>
    </row>
    <row r="76">
      <c r="A76" s="5">
        <f>'02a_DC_Capacity_Alloc'!A76</f>
        <v/>
      </c>
      <c r="B76" s="5">
        <f>'02a_DC_Capacity_Alloc'!B76</f>
        <v/>
      </c>
      <c r="C76" s="5">
        <f>'02a_DC_Capacity_Alloc'!C76</f>
        <v/>
      </c>
      <c r="D76" s="5">
        <f>'02a_DC_Capacity_Alloc'!D76</f>
        <v/>
      </c>
      <c r="E76" s="5">
        <f>'02a_DC_Capacity_Alloc'!E76</f>
        <v/>
      </c>
      <c r="F76" s="5">
        <f>'02a_DC_Capacity_Alloc'!F76</f>
        <v/>
      </c>
      <c r="G76" s="5">
        <f>B76&amp;"|"&amp;E76&amp;"|"&amp;D76</f>
        <v/>
      </c>
      <c r="H76" s="28">
        <f>'02a_DC_Capacity_Alloc'!H76*'02a_DC_Capacity_Alloc'!I76*'02a_DC_Capacity_Alloc'!J76</f>
        <v/>
      </c>
      <c r="I76" s="6">
        <f>IFERROR(INDEX('02b_DC_Accelerator_Mix'!$F$2:$F$977,MATCH(G76,'02b_DC_Accelerator_Mix'!$A$2:$A$977,0)),0)</f>
        <v/>
      </c>
      <c r="J76" s="6">
        <f>IFERROR(INDEX('02b_DC_Accelerator_Mix'!$G$2:$G$977,MATCH(G76,'02b_DC_Accelerator_Mix'!$A$2:$A$977,0)),0)</f>
        <v/>
      </c>
      <c r="K76" s="6">
        <f>IFERROR(INDEX('02b_DC_Accelerator_Mix'!$H$2:$H$977,MATCH(G76,'02b_DC_Accelerator_Mix'!$A$2:$A$977,0)),0)</f>
        <v/>
      </c>
      <c r="L76" s="6">
        <f>IFERROR(INDEX('02b_DC_Accelerator_Mix'!$I$2:$I$977,MATCH(G76,'02b_DC_Accelerator_Mix'!$A$2:$A$977,0)),0)</f>
        <v/>
      </c>
      <c r="M76" s="6">
        <f>IFERROR(INDEX('02b_DC_Accelerator_Mix'!$J$2:$J$977,MATCH(G76,'02b_DC_Accelerator_Mix'!$A$2:$A$977,0)),0)</f>
        <v/>
      </c>
      <c r="N76" s="6">
        <f>IFERROR(INDEX('02b_DC_Accelerator_Mix'!$K$2:$K$977,MATCH(G76,'02b_DC_Accelerator_Mix'!$A$2:$A$977,0)),0)</f>
        <v/>
      </c>
      <c r="O76" s="6">
        <f>IFERROR(INDEX('02b_DC_Accelerator_Mix'!$L$2:$L$977,MATCH(G76,'02b_DC_Accelerator_Mix'!$A$2:$A$977,0)),0)</f>
        <v/>
      </c>
      <c r="P76" s="6">
        <f>IFERROR(INDEX('02b_DC_Accelerator_Mix'!$M$2:$M$977,MATCH(G76,'02b_DC_Accelerator_Mix'!$A$2:$A$977,0)),0)</f>
        <v/>
      </c>
      <c r="Q76" s="6">
        <f>IFERROR(INDEX('02b_DC_Accelerator_Mix'!$N$2:$N$977,MATCH(G76,'02b_DC_Accelerator_Mix'!$A$2:$A$977,0)),0)</f>
        <v/>
      </c>
      <c r="R76" s="28">
        <f>H76*I76</f>
        <v/>
      </c>
      <c r="S76" s="28">
        <f>H76*J76</f>
        <v/>
      </c>
      <c r="T76" s="28">
        <f>H76*K76</f>
        <v/>
      </c>
      <c r="U76" s="28">
        <f>H76*L76</f>
        <v/>
      </c>
      <c r="V76" s="28">
        <f>H76*M76</f>
        <v/>
      </c>
      <c r="W76" s="28">
        <f>H76*N76</f>
        <v/>
      </c>
      <c r="X76" s="28">
        <f>H76*O76</f>
        <v/>
      </c>
      <c r="Y76" s="28">
        <f>H76*P76</f>
        <v/>
      </c>
      <c r="Z76" s="28">
        <f>H76*Q76</f>
        <v/>
      </c>
      <c r="AA76" s="28">
        <f>SUM(U76:Z76)</f>
        <v/>
      </c>
      <c r="AB76" s="5">
        <f>IF(COUNTIF('02b_DC_Accelerator_Mix'!$A$2:$A$977,G76)&gt;0,"matched","missing_mix")</f>
        <v/>
      </c>
    </row>
    <row r="77">
      <c r="A77" s="5">
        <f>'02a_DC_Capacity_Alloc'!A77</f>
        <v/>
      </c>
      <c r="B77" s="5">
        <f>'02a_DC_Capacity_Alloc'!B77</f>
        <v/>
      </c>
      <c r="C77" s="5">
        <f>'02a_DC_Capacity_Alloc'!C77</f>
        <v/>
      </c>
      <c r="D77" s="5">
        <f>'02a_DC_Capacity_Alloc'!D77</f>
        <v/>
      </c>
      <c r="E77" s="5">
        <f>'02a_DC_Capacity_Alloc'!E77</f>
        <v/>
      </c>
      <c r="F77" s="5">
        <f>'02a_DC_Capacity_Alloc'!F77</f>
        <v/>
      </c>
      <c r="G77" s="5">
        <f>B77&amp;"|"&amp;E77&amp;"|"&amp;D77</f>
        <v/>
      </c>
      <c r="H77" s="28">
        <f>'02a_DC_Capacity_Alloc'!H77*'02a_DC_Capacity_Alloc'!I77*'02a_DC_Capacity_Alloc'!J77</f>
        <v/>
      </c>
      <c r="I77" s="6">
        <f>IFERROR(INDEX('02b_DC_Accelerator_Mix'!$F$2:$F$977,MATCH(G77,'02b_DC_Accelerator_Mix'!$A$2:$A$977,0)),0)</f>
        <v/>
      </c>
      <c r="J77" s="6">
        <f>IFERROR(INDEX('02b_DC_Accelerator_Mix'!$G$2:$G$977,MATCH(G77,'02b_DC_Accelerator_Mix'!$A$2:$A$977,0)),0)</f>
        <v/>
      </c>
      <c r="K77" s="6">
        <f>IFERROR(INDEX('02b_DC_Accelerator_Mix'!$H$2:$H$977,MATCH(G77,'02b_DC_Accelerator_Mix'!$A$2:$A$977,0)),0)</f>
        <v/>
      </c>
      <c r="L77" s="6">
        <f>IFERROR(INDEX('02b_DC_Accelerator_Mix'!$I$2:$I$977,MATCH(G77,'02b_DC_Accelerator_Mix'!$A$2:$A$977,0)),0)</f>
        <v/>
      </c>
      <c r="M77" s="6">
        <f>IFERROR(INDEX('02b_DC_Accelerator_Mix'!$J$2:$J$977,MATCH(G77,'02b_DC_Accelerator_Mix'!$A$2:$A$977,0)),0)</f>
        <v/>
      </c>
      <c r="N77" s="6">
        <f>IFERROR(INDEX('02b_DC_Accelerator_Mix'!$K$2:$K$977,MATCH(G77,'02b_DC_Accelerator_Mix'!$A$2:$A$977,0)),0)</f>
        <v/>
      </c>
      <c r="O77" s="6">
        <f>IFERROR(INDEX('02b_DC_Accelerator_Mix'!$L$2:$L$977,MATCH(G77,'02b_DC_Accelerator_Mix'!$A$2:$A$977,0)),0)</f>
        <v/>
      </c>
      <c r="P77" s="6">
        <f>IFERROR(INDEX('02b_DC_Accelerator_Mix'!$M$2:$M$977,MATCH(G77,'02b_DC_Accelerator_Mix'!$A$2:$A$977,0)),0)</f>
        <v/>
      </c>
      <c r="Q77" s="6">
        <f>IFERROR(INDEX('02b_DC_Accelerator_Mix'!$N$2:$N$977,MATCH(G77,'02b_DC_Accelerator_Mix'!$A$2:$A$977,0)),0)</f>
        <v/>
      </c>
      <c r="R77" s="28">
        <f>H77*I77</f>
        <v/>
      </c>
      <c r="S77" s="28">
        <f>H77*J77</f>
        <v/>
      </c>
      <c r="T77" s="28">
        <f>H77*K77</f>
        <v/>
      </c>
      <c r="U77" s="28">
        <f>H77*L77</f>
        <v/>
      </c>
      <c r="V77" s="28">
        <f>H77*M77</f>
        <v/>
      </c>
      <c r="W77" s="28">
        <f>H77*N77</f>
        <v/>
      </c>
      <c r="X77" s="28">
        <f>H77*O77</f>
        <v/>
      </c>
      <c r="Y77" s="28">
        <f>H77*P77</f>
        <v/>
      </c>
      <c r="Z77" s="28">
        <f>H77*Q77</f>
        <v/>
      </c>
      <c r="AA77" s="28">
        <f>SUM(U77:Z77)</f>
        <v/>
      </c>
      <c r="AB77" s="5">
        <f>IF(COUNTIF('02b_DC_Accelerator_Mix'!$A$2:$A$977,G77)&gt;0,"matched","missing_mix")</f>
        <v/>
      </c>
    </row>
    <row r="78">
      <c r="A78" s="5">
        <f>'02a_DC_Capacity_Alloc'!A78</f>
        <v/>
      </c>
      <c r="B78" s="5">
        <f>'02a_DC_Capacity_Alloc'!B78</f>
        <v/>
      </c>
      <c r="C78" s="5">
        <f>'02a_DC_Capacity_Alloc'!C78</f>
        <v/>
      </c>
      <c r="D78" s="5">
        <f>'02a_DC_Capacity_Alloc'!D78</f>
        <v/>
      </c>
      <c r="E78" s="5">
        <f>'02a_DC_Capacity_Alloc'!E78</f>
        <v/>
      </c>
      <c r="F78" s="5">
        <f>'02a_DC_Capacity_Alloc'!F78</f>
        <v/>
      </c>
      <c r="G78" s="5">
        <f>B78&amp;"|"&amp;E78&amp;"|"&amp;D78</f>
        <v/>
      </c>
      <c r="H78" s="28">
        <f>'02a_DC_Capacity_Alloc'!H78*'02a_DC_Capacity_Alloc'!I78*'02a_DC_Capacity_Alloc'!J78</f>
        <v/>
      </c>
      <c r="I78" s="6">
        <f>IFERROR(INDEX('02b_DC_Accelerator_Mix'!$F$2:$F$977,MATCH(G78,'02b_DC_Accelerator_Mix'!$A$2:$A$977,0)),0)</f>
        <v/>
      </c>
      <c r="J78" s="6">
        <f>IFERROR(INDEX('02b_DC_Accelerator_Mix'!$G$2:$G$977,MATCH(G78,'02b_DC_Accelerator_Mix'!$A$2:$A$977,0)),0)</f>
        <v/>
      </c>
      <c r="K78" s="6">
        <f>IFERROR(INDEX('02b_DC_Accelerator_Mix'!$H$2:$H$977,MATCH(G78,'02b_DC_Accelerator_Mix'!$A$2:$A$977,0)),0)</f>
        <v/>
      </c>
      <c r="L78" s="6">
        <f>IFERROR(INDEX('02b_DC_Accelerator_Mix'!$I$2:$I$977,MATCH(G78,'02b_DC_Accelerator_Mix'!$A$2:$A$977,0)),0)</f>
        <v/>
      </c>
      <c r="M78" s="6">
        <f>IFERROR(INDEX('02b_DC_Accelerator_Mix'!$J$2:$J$977,MATCH(G78,'02b_DC_Accelerator_Mix'!$A$2:$A$977,0)),0)</f>
        <v/>
      </c>
      <c r="N78" s="6">
        <f>IFERROR(INDEX('02b_DC_Accelerator_Mix'!$K$2:$K$977,MATCH(G78,'02b_DC_Accelerator_Mix'!$A$2:$A$977,0)),0)</f>
        <v/>
      </c>
      <c r="O78" s="6">
        <f>IFERROR(INDEX('02b_DC_Accelerator_Mix'!$L$2:$L$977,MATCH(G78,'02b_DC_Accelerator_Mix'!$A$2:$A$977,0)),0)</f>
        <v/>
      </c>
      <c r="P78" s="6">
        <f>IFERROR(INDEX('02b_DC_Accelerator_Mix'!$M$2:$M$977,MATCH(G78,'02b_DC_Accelerator_Mix'!$A$2:$A$977,0)),0)</f>
        <v/>
      </c>
      <c r="Q78" s="6">
        <f>IFERROR(INDEX('02b_DC_Accelerator_Mix'!$N$2:$N$977,MATCH(G78,'02b_DC_Accelerator_Mix'!$A$2:$A$977,0)),0)</f>
        <v/>
      </c>
      <c r="R78" s="28">
        <f>H78*I78</f>
        <v/>
      </c>
      <c r="S78" s="28">
        <f>H78*J78</f>
        <v/>
      </c>
      <c r="T78" s="28">
        <f>H78*K78</f>
        <v/>
      </c>
      <c r="U78" s="28">
        <f>H78*L78</f>
        <v/>
      </c>
      <c r="V78" s="28">
        <f>H78*M78</f>
        <v/>
      </c>
      <c r="W78" s="28">
        <f>H78*N78</f>
        <v/>
      </c>
      <c r="X78" s="28">
        <f>H78*O78</f>
        <v/>
      </c>
      <c r="Y78" s="28">
        <f>H78*P78</f>
        <v/>
      </c>
      <c r="Z78" s="28">
        <f>H78*Q78</f>
        <v/>
      </c>
      <c r="AA78" s="28">
        <f>SUM(U78:Z78)</f>
        <v/>
      </c>
      <c r="AB78" s="5">
        <f>IF(COUNTIF('02b_DC_Accelerator_Mix'!$A$2:$A$977,G78)&gt;0,"matched","missing_mix")</f>
        <v/>
      </c>
    </row>
    <row r="79">
      <c r="A79" s="5">
        <f>'02a_DC_Capacity_Alloc'!A79</f>
        <v/>
      </c>
      <c r="B79" s="5">
        <f>'02a_DC_Capacity_Alloc'!B79</f>
        <v/>
      </c>
      <c r="C79" s="5">
        <f>'02a_DC_Capacity_Alloc'!C79</f>
        <v/>
      </c>
      <c r="D79" s="5">
        <f>'02a_DC_Capacity_Alloc'!D79</f>
        <v/>
      </c>
      <c r="E79" s="5">
        <f>'02a_DC_Capacity_Alloc'!E79</f>
        <v/>
      </c>
      <c r="F79" s="5">
        <f>'02a_DC_Capacity_Alloc'!F79</f>
        <v/>
      </c>
      <c r="G79" s="5">
        <f>B79&amp;"|"&amp;E79&amp;"|"&amp;D79</f>
        <v/>
      </c>
      <c r="H79" s="28">
        <f>'02a_DC_Capacity_Alloc'!H79*'02a_DC_Capacity_Alloc'!I79*'02a_DC_Capacity_Alloc'!J79</f>
        <v/>
      </c>
      <c r="I79" s="6">
        <f>IFERROR(INDEX('02b_DC_Accelerator_Mix'!$F$2:$F$977,MATCH(G79,'02b_DC_Accelerator_Mix'!$A$2:$A$977,0)),0)</f>
        <v/>
      </c>
      <c r="J79" s="6">
        <f>IFERROR(INDEX('02b_DC_Accelerator_Mix'!$G$2:$G$977,MATCH(G79,'02b_DC_Accelerator_Mix'!$A$2:$A$977,0)),0)</f>
        <v/>
      </c>
      <c r="K79" s="6">
        <f>IFERROR(INDEX('02b_DC_Accelerator_Mix'!$H$2:$H$977,MATCH(G79,'02b_DC_Accelerator_Mix'!$A$2:$A$977,0)),0)</f>
        <v/>
      </c>
      <c r="L79" s="6">
        <f>IFERROR(INDEX('02b_DC_Accelerator_Mix'!$I$2:$I$977,MATCH(G79,'02b_DC_Accelerator_Mix'!$A$2:$A$977,0)),0)</f>
        <v/>
      </c>
      <c r="M79" s="6">
        <f>IFERROR(INDEX('02b_DC_Accelerator_Mix'!$J$2:$J$977,MATCH(G79,'02b_DC_Accelerator_Mix'!$A$2:$A$977,0)),0)</f>
        <v/>
      </c>
      <c r="N79" s="6">
        <f>IFERROR(INDEX('02b_DC_Accelerator_Mix'!$K$2:$K$977,MATCH(G79,'02b_DC_Accelerator_Mix'!$A$2:$A$977,0)),0)</f>
        <v/>
      </c>
      <c r="O79" s="6">
        <f>IFERROR(INDEX('02b_DC_Accelerator_Mix'!$L$2:$L$977,MATCH(G79,'02b_DC_Accelerator_Mix'!$A$2:$A$977,0)),0)</f>
        <v/>
      </c>
      <c r="P79" s="6">
        <f>IFERROR(INDEX('02b_DC_Accelerator_Mix'!$M$2:$M$977,MATCH(G79,'02b_DC_Accelerator_Mix'!$A$2:$A$977,0)),0)</f>
        <v/>
      </c>
      <c r="Q79" s="6">
        <f>IFERROR(INDEX('02b_DC_Accelerator_Mix'!$N$2:$N$977,MATCH(G79,'02b_DC_Accelerator_Mix'!$A$2:$A$977,0)),0)</f>
        <v/>
      </c>
      <c r="R79" s="28">
        <f>H79*I79</f>
        <v/>
      </c>
      <c r="S79" s="28">
        <f>H79*J79</f>
        <v/>
      </c>
      <c r="T79" s="28">
        <f>H79*K79</f>
        <v/>
      </c>
      <c r="U79" s="28">
        <f>H79*L79</f>
        <v/>
      </c>
      <c r="V79" s="28">
        <f>H79*M79</f>
        <v/>
      </c>
      <c r="W79" s="28">
        <f>H79*N79</f>
        <v/>
      </c>
      <c r="X79" s="28">
        <f>H79*O79</f>
        <v/>
      </c>
      <c r="Y79" s="28">
        <f>H79*P79</f>
        <v/>
      </c>
      <c r="Z79" s="28">
        <f>H79*Q79</f>
        <v/>
      </c>
      <c r="AA79" s="28">
        <f>SUM(U79:Z79)</f>
        <v/>
      </c>
      <c r="AB79" s="5">
        <f>IF(COUNTIF('02b_DC_Accelerator_Mix'!$A$2:$A$977,G79)&gt;0,"matched","missing_mix")</f>
        <v/>
      </c>
    </row>
    <row r="80">
      <c r="A80" s="5">
        <f>'02a_DC_Capacity_Alloc'!A80</f>
        <v/>
      </c>
      <c r="B80" s="5">
        <f>'02a_DC_Capacity_Alloc'!B80</f>
        <v/>
      </c>
      <c r="C80" s="5">
        <f>'02a_DC_Capacity_Alloc'!C80</f>
        <v/>
      </c>
      <c r="D80" s="5">
        <f>'02a_DC_Capacity_Alloc'!D80</f>
        <v/>
      </c>
      <c r="E80" s="5">
        <f>'02a_DC_Capacity_Alloc'!E80</f>
        <v/>
      </c>
      <c r="F80" s="5">
        <f>'02a_DC_Capacity_Alloc'!F80</f>
        <v/>
      </c>
      <c r="G80" s="5">
        <f>B80&amp;"|"&amp;E80&amp;"|"&amp;D80</f>
        <v/>
      </c>
      <c r="H80" s="28">
        <f>'02a_DC_Capacity_Alloc'!H80*'02a_DC_Capacity_Alloc'!I80*'02a_DC_Capacity_Alloc'!J80</f>
        <v/>
      </c>
      <c r="I80" s="6">
        <f>IFERROR(INDEX('02b_DC_Accelerator_Mix'!$F$2:$F$977,MATCH(G80,'02b_DC_Accelerator_Mix'!$A$2:$A$977,0)),0)</f>
        <v/>
      </c>
      <c r="J80" s="6">
        <f>IFERROR(INDEX('02b_DC_Accelerator_Mix'!$G$2:$G$977,MATCH(G80,'02b_DC_Accelerator_Mix'!$A$2:$A$977,0)),0)</f>
        <v/>
      </c>
      <c r="K80" s="6">
        <f>IFERROR(INDEX('02b_DC_Accelerator_Mix'!$H$2:$H$977,MATCH(G80,'02b_DC_Accelerator_Mix'!$A$2:$A$977,0)),0)</f>
        <v/>
      </c>
      <c r="L80" s="6">
        <f>IFERROR(INDEX('02b_DC_Accelerator_Mix'!$I$2:$I$977,MATCH(G80,'02b_DC_Accelerator_Mix'!$A$2:$A$977,0)),0)</f>
        <v/>
      </c>
      <c r="M80" s="6">
        <f>IFERROR(INDEX('02b_DC_Accelerator_Mix'!$J$2:$J$977,MATCH(G80,'02b_DC_Accelerator_Mix'!$A$2:$A$977,0)),0)</f>
        <v/>
      </c>
      <c r="N80" s="6">
        <f>IFERROR(INDEX('02b_DC_Accelerator_Mix'!$K$2:$K$977,MATCH(G80,'02b_DC_Accelerator_Mix'!$A$2:$A$977,0)),0)</f>
        <v/>
      </c>
      <c r="O80" s="6">
        <f>IFERROR(INDEX('02b_DC_Accelerator_Mix'!$L$2:$L$977,MATCH(G80,'02b_DC_Accelerator_Mix'!$A$2:$A$977,0)),0)</f>
        <v/>
      </c>
      <c r="P80" s="6">
        <f>IFERROR(INDEX('02b_DC_Accelerator_Mix'!$M$2:$M$977,MATCH(G80,'02b_DC_Accelerator_Mix'!$A$2:$A$977,0)),0)</f>
        <v/>
      </c>
      <c r="Q80" s="6">
        <f>IFERROR(INDEX('02b_DC_Accelerator_Mix'!$N$2:$N$977,MATCH(G80,'02b_DC_Accelerator_Mix'!$A$2:$A$977,0)),0)</f>
        <v/>
      </c>
      <c r="R80" s="28">
        <f>H80*I80</f>
        <v/>
      </c>
      <c r="S80" s="28">
        <f>H80*J80</f>
        <v/>
      </c>
      <c r="T80" s="28">
        <f>H80*K80</f>
        <v/>
      </c>
      <c r="U80" s="28">
        <f>H80*L80</f>
        <v/>
      </c>
      <c r="V80" s="28">
        <f>H80*M80</f>
        <v/>
      </c>
      <c r="W80" s="28">
        <f>H80*N80</f>
        <v/>
      </c>
      <c r="X80" s="28">
        <f>H80*O80</f>
        <v/>
      </c>
      <c r="Y80" s="28">
        <f>H80*P80</f>
        <v/>
      </c>
      <c r="Z80" s="28">
        <f>H80*Q80</f>
        <v/>
      </c>
      <c r="AA80" s="28">
        <f>SUM(U80:Z80)</f>
        <v/>
      </c>
      <c r="AB80" s="5">
        <f>IF(COUNTIF('02b_DC_Accelerator_Mix'!$A$2:$A$977,G80)&gt;0,"matched","missing_mix")</f>
        <v/>
      </c>
    </row>
    <row r="81">
      <c r="A81" s="5">
        <f>'02a_DC_Capacity_Alloc'!A81</f>
        <v/>
      </c>
      <c r="B81" s="5">
        <f>'02a_DC_Capacity_Alloc'!B81</f>
        <v/>
      </c>
      <c r="C81" s="5">
        <f>'02a_DC_Capacity_Alloc'!C81</f>
        <v/>
      </c>
      <c r="D81" s="5">
        <f>'02a_DC_Capacity_Alloc'!D81</f>
        <v/>
      </c>
      <c r="E81" s="5">
        <f>'02a_DC_Capacity_Alloc'!E81</f>
        <v/>
      </c>
      <c r="F81" s="5">
        <f>'02a_DC_Capacity_Alloc'!F81</f>
        <v/>
      </c>
      <c r="G81" s="5">
        <f>B81&amp;"|"&amp;E81&amp;"|"&amp;D81</f>
        <v/>
      </c>
      <c r="H81" s="28">
        <f>'02a_DC_Capacity_Alloc'!H81*'02a_DC_Capacity_Alloc'!I81*'02a_DC_Capacity_Alloc'!J81</f>
        <v/>
      </c>
      <c r="I81" s="6">
        <f>IFERROR(INDEX('02b_DC_Accelerator_Mix'!$F$2:$F$977,MATCH(G81,'02b_DC_Accelerator_Mix'!$A$2:$A$977,0)),0)</f>
        <v/>
      </c>
      <c r="J81" s="6">
        <f>IFERROR(INDEX('02b_DC_Accelerator_Mix'!$G$2:$G$977,MATCH(G81,'02b_DC_Accelerator_Mix'!$A$2:$A$977,0)),0)</f>
        <v/>
      </c>
      <c r="K81" s="6">
        <f>IFERROR(INDEX('02b_DC_Accelerator_Mix'!$H$2:$H$977,MATCH(G81,'02b_DC_Accelerator_Mix'!$A$2:$A$977,0)),0)</f>
        <v/>
      </c>
      <c r="L81" s="6">
        <f>IFERROR(INDEX('02b_DC_Accelerator_Mix'!$I$2:$I$977,MATCH(G81,'02b_DC_Accelerator_Mix'!$A$2:$A$977,0)),0)</f>
        <v/>
      </c>
      <c r="M81" s="6">
        <f>IFERROR(INDEX('02b_DC_Accelerator_Mix'!$J$2:$J$977,MATCH(G81,'02b_DC_Accelerator_Mix'!$A$2:$A$977,0)),0)</f>
        <v/>
      </c>
      <c r="N81" s="6">
        <f>IFERROR(INDEX('02b_DC_Accelerator_Mix'!$K$2:$K$977,MATCH(G81,'02b_DC_Accelerator_Mix'!$A$2:$A$977,0)),0)</f>
        <v/>
      </c>
      <c r="O81" s="6">
        <f>IFERROR(INDEX('02b_DC_Accelerator_Mix'!$L$2:$L$977,MATCH(G81,'02b_DC_Accelerator_Mix'!$A$2:$A$977,0)),0)</f>
        <v/>
      </c>
      <c r="P81" s="6">
        <f>IFERROR(INDEX('02b_DC_Accelerator_Mix'!$M$2:$M$977,MATCH(G81,'02b_DC_Accelerator_Mix'!$A$2:$A$977,0)),0)</f>
        <v/>
      </c>
      <c r="Q81" s="6">
        <f>IFERROR(INDEX('02b_DC_Accelerator_Mix'!$N$2:$N$977,MATCH(G81,'02b_DC_Accelerator_Mix'!$A$2:$A$977,0)),0)</f>
        <v/>
      </c>
      <c r="R81" s="28">
        <f>H81*I81</f>
        <v/>
      </c>
      <c r="S81" s="28">
        <f>H81*J81</f>
        <v/>
      </c>
      <c r="T81" s="28">
        <f>H81*K81</f>
        <v/>
      </c>
      <c r="U81" s="28">
        <f>H81*L81</f>
        <v/>
      </c>
      <c r="V81" s="28">
        <f>H81*M81</f>
        <v/>
      </c>
      <c r="W81" s="28">
        <f>H81*N81</f>
        <v/>
      </c>
      <c r="X81" s="28">
        <f>H81*O81</f>
        <v/>
      </c>
      <c r="Y81" s="28">
        <f>H81*P81</f>
        <v/>
      </c>
      <c r="Z81" s="28">
        <f>H81*Q81</f>
        <v/>
      </c>
      <c r="AA81" s="28">
        <f>SUM(U81:Z81)</f>
        <v/>
      </c>
      <c r="AB81" s="5">
        <f>IF(COUNTIF('02b_DC_Accelerator_Mix'!$A$2:$A$977,G81)&gt;0,"matched","missing_mix")</f>
        <v/>
      </c>
    </row>
    <row r="82">
      <c r="A82" s="5">
        <f>'02a_DC_Capacity_Alloc'!A82</f>
        <v/>
      </c>
      <c r="B82" s="5">
        <f>'02a_DC_Capacity_Alloc'!B82</f>
        <v/>
      </c>
      <c r="C82" s="5">
        <f>'02a_DC_Capacity_Alloc'!C82</f>
        <v/>
      </c>
      <c r="D82" s="5">
        <f>'02a_DC_Capacity_Alloc'!D82</f>
        <v/>
      </c>
      <c r="E82" s="5">
        <f>'02a_DC_Capacity_Alloc'!E82</f>
        <v/>
      </c>
      <c r="F82" s="5">
        <f>'02a_DC_Capacity_Alloc'!F82</f>
        <v/>
      </c>
      <c r="G82" s="5">
        <f>B82&amp;"|"&amp;E82&amp;"|"&amp;D82</f>
        <v/>
      </c>
      <c r="H82" s="28">
        <f>'02a_DC_Capacity_Alloc'!H82*'02a_DC_Capacity_Alloc'!I82*'02a_DC_Capacity_Alloc'!J82</f>
        <v/>
      </c>
      <c r="I82" s="6">
        <f>IFERROR(INDEX('02b_DC_Accelerator_Mix'!$F$2:$F$977,MATCH(G82,'02b_DC_Accelerator_Mix'!$A$2:$A$977,0)),0)</f>
        <v/>
      </c>
      <c r="J82" s="6">
        <f>IFERROR(INDEX('02b_DC_Accelerator_Mix'!$G$2:$G$977,MATCH(G82,'02b_DC_Accelerator_Mix'!$A$2:$A$977,0)),0)</f>
        <v/>
      </c>
      <c r="K82" s="6">
        <f>IFERROR(INDEX('02b_DC_Accelerator_Mix'!$H$2:$H$977,MATCH(G82,'02b_DC_Accelerator_Mix'!$A$2:$A$977,0)),0)</f>
        <v/>
      </c>
      <c r="L82" s="6">
        <f>IFERROR(INDEX('02b_DC_Accelerator_Mix'!$I$2:$I$977,MATCH(G82,'02b_DC_Accelerator_Mix'!$A$2:$A$977,0)),0)</f>
        <v/>
      </c>
      <c r="M82" s="6">
        <f>IFERROR(INDEX('02b_DC_Accelerator_Mix'!$J$2:$J$977,MATCH(G82,'02b_DC_Accelerator_Mix'!$A$2:$A$977,0)),0)</f>
        <v/>
      </c>
      <c r="N82" s="6">
        <f>IFERROR(INDEX('02b_DC_Accelerator_Mix'!$K$2:$K$977,MATCH(G82,'02b_DC_Accelerator_Mix'!$A$2:$A$977,0)),0)</f>
        <v/>
      </c>
      <c r="O82" s="6">
        <f>IFERROR(INDEX('02b_DC_Accelerator_Mix'!$L$2:$L$977,MATCH(G82,'02b_DC_Accelerator_Mix'!$A$2:$A$977,0)),0)</f>
        <v/>
      </c>
      <c r="P82" s="6">
        <f>IFERROR(INDEX('02b_DC_Accelerator_Mix'!$M$2:$M$977,MATCH(G82,'02b_DC_Accelerator_Mix'!$A$2:$A$977,0)),0)</f>
        <v/>
      </c>
      <c r="Q82" s="6">
        <f>IFERROR(INDEX('02b_DC_Accelerator_Mix'!$N$2:$N$977,MATCH(G82,'02b_DC_Accelerator_Mix'!$A$2:$A$977,0)),0)</f>
        <v/>
      </c>
      <c r="R82" s="28">
        <f>H82*I82</f>
        <v/>
      </c>
      <c r="S82" s="28">
        <f>H82*J82</f>
        <v/>
      </c>
      <c r="T82" s="28">
        <f>H82*K82</f>
        <v/>
      </c>
      <c r="U82" s="28">
        <f>H82*L82</f>
        <v/>
      </c>
      <c r="V82" s="28">
        <f>H82*M82</f>
        <v/>
      </c>
      <c r="W82" s="28">
        <f>H82*N82</f>
        <v/>
      </c>
      <c r="X82" s="28">
        <f>H82*O82</f>
        <v/>
      </c>
      <c r="Y82" s="28">
        <f>H82*P82</f>
        <v/>
      </c>
      <c r="Z82" s="28">
        <f>H82*Q82</f>
        <v/>
      </c>
      <c r="AA82" s="28">
        <f>SUM(U82:Z82)</f>
        <v/>
      </c>
      <c r="AB82" s="5">
        <f>IF(COUNTIF('02b_DC_Accelerator_Mix'!$A$2:$A$977,G82)&gt;0,"matched","missing_mix")</f>
        <v/>
      </c>
    </row>
    <row r="83">
      <c r="A83" s="5">
        <f>'02a_DC_Capacity_Alloc'!A83</f>
        <v/>
      </c>
      <c r="B83" s="5">
        <f>'02a_DC_Capacity_Alloc'!B83</f>
        <v/>
      </c>
      <c r="C83" s="5">
        <f>'02a_DC_Capacity_Alloc'!C83</f>
        <v/>
      </c>
      <c r="D83" s="5">
        <f>'02a_DC_Capacity_Alloc'!D83</f>
        <v/>
      </c>
      <c r="E83" s="5">
        <f>'02a_DC_Capacity_Alloc'!E83</f>
        <v/>
      </c>
      <c r="F83" s="5">
        <f>'02a_DC_Capacity_Alloc'!F83</f>
        <v/>
      </c>
      <c r="G83" s="5">
        <f>B83&amp;"|"&amp;E83&amp;"|"&amp;D83</f>
        <v/>
      </c>
      <c r="H83" s="28">
        <f>'02a_DC_Capacity_Alloc'!H83*'02a_DC_Capacity_Alloc'!I83*'02a_DC_Capacity_Alloc'!J83</f>
        <v/>
      </c>
      <c r="I83" s="6">
        <f>IFERROR(INDEX('02b_DC_Accelerator_Mix'!$F$2:$F$977,MATCH(G83,'02b_DC_Accelerator_Mix'!$A$2:$A$977,0)),0)</f>
        <v/>
      </c>
      <c r="J83" s="6">
        <f>IFERROR(INDEX('02b_DC_Accelerator_Mix'!$G$2:$G$977,MATCH(G83,'02b_DC_Accelerator_Mix'!$A$2:$A$977,0)),0)</f>
        <v/>
      </c>
      <c r="K83" s="6">
        <f>IFERROR(INDEX('02b_DC_Accelerator_Mix'!$H$2:$H$977,MATCH(G83,'02b_DC_Accelerator_Mix'!$A$2:$A$977,0)),0)</f>
        <v/>
      </c>
      <c r="L83" s="6">
        <f>IFERROR(INDEX('02b_DC_Accelerator_Mix'!$I$2:$I$977,MATCH(G83,'02b_DC_Accelerator_Mix'!$A$2:$A$977,0)),0)</f>
        <v/>
      </c>
      <c r="M83" s="6">
        <f>IFERROR(INDEX('02b_DC_Accelerator_Mix'!$J$2:$J$977,MATCH(G83,'02b_DC_Accelerator_Mix'!$A$2:$A$977,0)),0)</f>
        <v/>
      </c>
      <c r="N83" s="6">
        <f>IFERROR(INDEX('02b_DC_Accelerator_Mix'!$K$2:$K$977,MATCH(G83,'02b_DC_Accelerator_Mix'!$A$2:$A$977,0)),0)</f>
        <v/>
      </c>
      <c r="O83" s="6">
        <f>IFERROR(INDEX('02b_DC_Accelerator_Mix'!$L$2:$L$977,MATCH(G83,'02b_DC_Accelerator_Mix'!$A$2:$A$977,0)),0)</f>
        <v/>
      </c>
      <c r="P83" s="6">
        <f>IFERROR(INDEX('02b_DC_Accelerator_Mix'!$M$2:$M$977,MATCH(G83,'02b_DC_Accelerator_Mix'!$A$2:$A$977,0)),0)</f>
        <v/>
      </c>
      <c r="Q83" s="6">
        <f>IFERROR(INDEX('02b_DC_Accelerator_Mix'!$N$2:$N$977,MATCH(G83,'02b_DC_Accelerator_Mix'!$A$2:$A$977,0)),0)</f>
        <v/>
      </c>
      <c r="R83" s="28">
        <f>H83*I83</f>
        <v/>
      </c>
      <c r="S83" s="28">
        <f>H83*J83</f>
        <v/>
      </c>
      <c r="T83" s="28">
        <f>H83*K83</f>
        <v/>
      </c>
      <c r="U83" s="28">
        <f>H83*L83</f>
        <v/>
      </c>
      <c r="V83" s="28">
        <f>H83*M83</f>
        <v/>
      </c>
      <c r="W83" s="28">
        <f>H83*N83</f>
        <v/>
      </c>
      <c r="X83" s="28">
        <f>H83*O83</f>
        <v/>
      </c>
      <c r="Y83" s="28">
        <f>H83*P83</f>
        <v/>
      </c>
      <c r="Z83" s="28">
        <f>H83*Q83</f>
        <v/>
      </c>
      <c r="AA83" s="28">
        <f>SUM(U83:Z83)</f>
        <v/>
      </c>
      <c r="AB83" s="5">
        <f>IF(COUNTIF('02b_DC_Accelerator_Mix'!$A$2:$A$977,G83)&gt;0,"matched","missing_mix")</f>
        <v/>
      </c>
    </row>
    <row r="84">
      <c r="A84" s="5">
        <f>'02a_DC_Capacity_Alloc'!A84</f>
        <v/>
      </c>
      <c r="B84" s="5">
        <f>'02a_DC_Capacity_Alloc'!B84</f>
        <v/>
      </c>
      <c r="C84" s="5">
        <f>'02a_DC_Capacity_Alloc'!C84</f>
        <v/>
      </c>
      <c r="D84" s="5">
        <f>'02a_DC_Capacity_Alloc'!D84</f>
        <v/>
      </c>
      <c r="E84" s="5">
        <f>'02a_DC_Capacity_Alloc'!E84</f>
        <v/>
      </c>
      <c r="F84" s="5">
        <f>'02a_DC_Capacity_Alloc'!F84</f>
        <v/>
      </c>
      <c r="G84" s="5">
        <f>B84&amp;"|"&amp;E84&amp;"|"&amp;D84</f>
        <v/>
      </c>
      <c r="H84" s="28">
        <f>'02a_DC_Capacity_Alloc'!H84*'02a_DC_Capacity_Alloc'!I84*'02a_DC_Capacity_Alloc'!J84</f>
        <v/>
      </c>
      <c r="I84" s="6">
        <f>IFERROR(INDEX('02b_DC_Accelerator_Mix'!$F$2:$F$977,MATCH(G84,'02b_DC_Accelerator_Mix'!$A$2:$A$977,0)),0)</f>
        <v/>
      </c>
      <c r="J84" s="6">
        <f>IFERROR(INDEX('02b_DC_Accelerator_Mix'!$G$2:$G$977,MATCH(G84,'02b_DC_Accelerator_Mix'!$A$2:$A$977,0)),0)</f>
        <v/>
      </c>
      <c r="K84" s="6">
        <f>IFERROR(INDEX('02b_DC_Accelerator_Mix'!$H$2:$H$977,MATCH(G84,'02b_DC_Accelerator_Mix'!$A$2:$A$977,0)),0)</f>
        <v/>
      </c>
      <c r="L84" s="6">
        <f>IFERROR(INDEX('02b_DC_Accelerator_Mix'!$I$2:$I$977,MATCH(G84,'02b_DC_Accelerator_Mix'!$A$2:$A$977,0)),0)</f>
        <v/>
      </c>
      <c r="M84" s="6">
        <f>IFERROR(INDEX('02b_DC_Accelerator_Mix'!$J$2:$J$977,MATCH(G84,'02b_DC_Accelerator_Mix'!$A$2:$A$977,0)),0)</f>
        <v/>
      </c>
      <c r="N84" s="6">
        <f>IFERROR(INDEX('02b_DC_Accelerator_Mix'!$K$2:$K$977,MATCH(G84,'02b_DC_Accelerator_Mix'!$A$2:$A$977,0)),0)</f>
        <v/>
      </c>
      <c r="O84" s="6">
        <f>IFERROR(INDEX('02b_DC_Accelerator_Mix'!$L$2:$L$977,MATCH(G84,'02b_DC_Accelerator_Mix'!$A$2:$A$977,0)),0)</f>
        <v/>
      </c>
      <c r="P84" s="6">
        <f>IFERROR(INDEX('02b_DC_Accelerator_Mix'!$M$2:$M$977,MATCH(G84,'02b_DC_Accelerator_Mix'!$A$2:$A$977,0)),0)</f>
        <v/>
      </c>
      <c r="Q84" s="6">
        <f>IFERROR(INDEX('02b_DC_Accelerator_Mix'!$N$2:$N$977,MATCH(G84,'02b_DC_Accelerator_Mix'!$A$2:$A$977,0)),0)</f>
        <v/>
      </c>
      <c r="R84" s="28">
        <f>H84*I84</f>
        <v/>
      </c>
      <c r="S84" s="28">
        <f>H84*J84</f>
        <v/>
      </c>
      <c r="T84" s="28">
        <f>H84*K84</f>
        <v/>
      </c>
      <c r="U84" s="28">
        <f>H84*L84</f>
        <v/>
      </c>
      <c r="V84" s="28">
        <f>H84*M84</f>
        <v/>
      </c>
      <c r="W84" s="28">
        <f>H84*N84</f>
        <v/>
      </c>
      <c r="X84" s="28">
        <f>H84*O84</f>
        <v/>
      </c>
      <c r="Y84" s="28">
        <f>H84*P84</f>
        <v/>
      </c>
      <c r="Z84" s="28">
        <f>H84*Q84</f>
        <v/>
      </c>
      <c r="AA84" s="28">
        <f>SUM(U84:Z84)</f>
        <v/>
      </c>
      <c r="AB84" s="5">
        <f>IF(COUNTIF('02b_DC_Accelerator_Mix'!$A$2:$A$977,G84)&gt;0,"matched","missing_mix")</f>
        <v/>
      </c>
    </row>
    <row r="85">
      <c r="A85" s="5">
        <f>'02a_DC_Capacity_Alloc'!A85</f>
        <v/>
      </c>
      <c r="B85" s="5">
        <f>'02a_DC_Capacity_Alloc'!B85</f>
        <v/>
      </c>
      <c r="C85" s="5">
        <f>'02a_DC_Capacity_Alloc'!C85</f>
        <v/>
      </c>
      <c r="D85" s="5">
        <f>'02a_DC_Capacity_Alloc'!D85</f>
        <v/>
      </c>
      <c r="E85" s="5">
        <f>'02a_DC_Capacity_Alloc'!E85</f>
        <v/>
      </c>
      <c r="F85" s="5">
        <f>'02a_DC_Capacity_Alloc'!F85</f>
        <v/>
      </c>
      <c r="G85" s="5">
        <f>B85&amp;"|"&amp;E85&amp;"|"&amp;D85</f>
        <v/>
      </c>
      <c r="H85" s="28">
        <f>'02a_DC_Capacity_Alloc'!H85*'02a_DC_Capacity_Alloc'!I85*'02a_DC_Capacity_Alloc'!J85</f>
        <v/>
      </c>
      <c r="I85" s="6">
        <f>IFERROR(INDEX('02b_DC_Accelerator_Mix'!$F$2:$F$977,MATCH(G85,'02b_DC_Accelerator_Mix'!$A$2:$A$977,0)),0)</f>
        <v/>
      </c>
      <c r="J85" s="6">
        <f>IFERROR(INDEX('02b_DC_Accelerator_Mix'!$G$2:$G$977,MATCH(G85,'02b_DC_Accelerator_Mix'!$A$2:$A$977,0)),0)</f>
        <v/>
      </c>
      <c r="K85" s="6">
        <f>IFERROR(INDEX('02b_DC_Accelerator_Mix'!$H$2:$H$977,MATCH(G85,'02b_DC_Accelerator_Mix'!$A$2:$A$977,0)),0)</f>
        <v/>
      </c>
      <c r="L85" s="6">
        <f>IFERROR(INDEX('02b_DC_Accelerator_Mix'!$I$2:$I$977,MATCH(G85,'02b_DC_Accelerator_Mix'!$A$2:$A$977,0)),0)</f>
        <v/>
      </c>
      <c r="M85" s="6">
        <f>IFERROR(INDEX('02b_DC_Accelerator_Mix'!$J$2:$J$977,MATCH(G85,'02b_DC_Accelerator_Mix'!$A$2:$A$977,0)),0)</f>
        <v/>
      </c>
      <c r="N85" s="6">
        <f>IFERROR(INDEX('02b_DC_Accelerator_Mix'!$K$2:$K$977,MATCH(G85,'02b_DC_Accelerator_Mix'!$A$2:$A$977,0)),0)</f>
        <v/>
      </c>
      <c r="O85" s="6">
        <f>IFERROR(INDEX('02b_DC_Accelerator_Mix'!$L$2:$L$977,MATCH(G85,'02b_DC_Accelerator_Mix'!$A$2:$A$977,0)),0)</f>
        <v/>
      </c>
      <c r="P85" s="6">
        <f>IFERROR(INDEX('02b_DC_Accelerator_Mix'!$M$2:$M$977,MATCH(G85,'02b_DC_Accelerator_Mix'!$A$2:$A$977,0)),0)</f>
        <v/>
      </c>
      <c r="Q85" s="6">
        <f>IFERROR(INDEX('02b_DC_Accelerator_Mix'!$N$2:$N$977,MATCH(G85,'02b_DC_Accelerator_Mix'!$A$2:$A$977,0)),0)</f>
        <v/>
      </c>
      <c r="R85" s="28">
        <f>H85*I85</f>
        <v/>
      </c>
      <c r="S85" s="28">
        <f>H85*J85</f>
        <v/>
      </c>
      <c r="T85" s="28">
        <f>H85*K85</f>
        <v/>
      </c>
      <c r="U85" s="28">
        <f>H85*L85</f>
        <v/>
      </c>
      <c r="V85" s="28">
        <f>H85*M85</f>
        <v/>
      </c>
      <c r="W85" s="28">
        <f>H85*N85</f>
        <v/>
      </c>
      <c r="X85" s="28">
        <f>H85*O85</f>
        <v/>
      </c>
      <c r="Y85" s="28">
        <f>H85*P85</f>
        <v/>
      </c>
      <c r="Z85" s="28">
        <f>H85*Q85</f>
        <v/>
      </c>
      <c r="AA85" s="28">
        <f>SUM(U85:Z85)</f>
        <v/>
      </c>
      <c r="AB85" s="5">
        <f>IF(COUNTIF('02b_DC_Accelerator_Mix'!$A$2:$A$977,G85)&gt;0,"matched","missing_mix")</f>
        <v/>
      </c>
    </row>
    <row r="86">
      <c r="A86" s="5">
        <f>'02a_DC_Capacity_Alloc'!A86</f>
        <v/>
      </c>
      <c r="B86" s="5">
        <f>'02a_DC_Capacity_Alloc'!B86</f>
        <v/>
      </c>
      <c r="C86" s="5">
        <f>'02a_DC_Capacity_Alloc'!C86</f>
        <v/>
      </c>
      <c r="D86" s="5">
        <f>'02a_DC_Capacity_Alloc'!D86</f>
        <v/>
      </c>
      <c r="E86" s="5">
        <f>'02a_DC_Capacity_Alloc'!E86</f>
        <v/>
      </c>
      <c r="F86" s="5">
        <f>'02a_DC_Capacity_Alloc'!F86</f>
        <v/>
      </c>
      <c r="G86" s="5">
        <f>B86&amp;"|"&amp;E86&amp;"|"&amp;D86</f>
        <v/>
      </c>
      <c r="H86" s="28">
        <f>'02a_DC_Capacity_Alloc'!H86*'02a_DC_Capacity_Alloc'!I86*'02a_DC_Capacity_Alloc'!J86</f>
        <v/>
      </c>
      <c r="I86" s="6">
        <f>IFERROR(INDEX('02b_DC_Accelerator_Mix'!$F$2:$F$977,MATCH(G86,'02b_DC_Accelerator_Mix'!$A$2:$A$977,0)),0)</f>
        <v/>
      </c>
      <c r="J86" s="6">
        <f>IFERROR(INDEX('02b_DC_Accelerator_Mix'!$G$2:$G$977,MATCH(G86,'02b_DC_Accelerator_Mix'!$A$2:$A$977,0)),0)</f>
        <v/>
      </c>
      <c r="K86" s="6">
        <f>IFERROR(INDEX('02b_DC_Accelerator_Mix'!$H$2:$H$977,MATCH(G86,'02b_DC_Accelerator_Mix'!$A$2:$A$977,0)),0)</f>
        <v/>
      </c>
      <c r="L86" s="6">
        <f>IFERROR(INDEX('02b_DC_Accelerator_Mix'!$I$2:$I$977,MATCH(G86,'02b_DC_Accelerator_Mix'!$A$2:$A$977,0)),0)</f>
        <v/>
      </c>
      <c r="M86" s="6">
        <f>IFERROR(INDEX('02b_DC_Accelerator_Mix'!$J$2:$J$977,MATCH(G86,'02b_DC_Accelerator_Mix'!$A$2:$A$977,0)),0)</f>
        <v/>
      </c>
      <c r="N86" s="6">
        <f>IFERROR(INDEX('02b_DC_Accelerator_Mix'!$K$2:$K$977,MATCH(G86,'02b_DC_Accelerator_Mix'!$A$2:$A$977,0)),0)</f>
        <v/>
      </c>
      <c r="O86" s="6">
        <f>IFERROR(INDEX('02b_DC_Accelerator_Mix'!$L$2:$L$977,MATCH(G86,'02b_DC_Accelerator_Mix'!$A$2:$A$977,0)),0)</f>
        <v/>
      </c>
      <c r="P86" s="6">
        <f>IFERROR(INDEX('02b_DC_Accelerator_Mix'!$M$2:$M$977,MATCH(G86,'02b_DC_Accelerator_Mix'!$A$2:$A$977,0)),0)</f>
        <v/>
      </c>
      <c r="Q86" s="6">
        <f>IFERROR(INDEX('02b_DC_Accelerator_Mix'!$N$2:$N$977,MATCH(G86,'02b_DC_Accelerator_Mix'!$A$2:$A$977,0)),0)</f>
        <v/>
      </c>
      <c r="R86" s="28">
        <f>H86*I86</f>
        <v/>
      </c>
      <c r="S86" s="28">
        <f>H86*J86</f>
        <v/>
      </c>
      <c r="T86" s="28">
        <f>H86*K86</f>
        <v/>
      </c>
      <c r="U86" s="28">
        <f>H86*L86</f>
        <v/>
      </c>
      <c r="V86" s="28">
        <f>H86*M86</f>
        <v/>
      </c>
      <c r="W86" s="28">
        <f>H86*N86</f>
        <v/>
      </c>
      <c r="X86" s="28">
        <f>H86*O86</f>
        <v/>
      </c>
      <c r="Y86" s="28">
        <f>H86*P86</f>
        <v/>
      </c>
      <c r="Z86" s="28">
        <f>H86*Q86</f>
        <v/>
      </c>
      <c r="AA86" s="28">
        <f>SUM(U86:Z86)</f>
        <v/>
      </c>
      <c r="AB86" s="5">
        <f>IF(COUNTIF('02b_DC_Accelerator_Mix'!$A$2:$A$977,G86)&gt;0,"matched","missing_mix")</f>
        <v/>
      </c>
    </row>
    <row r="87">
      <c r="A87" s="5">
        <f>'02a_DC_Capacity_Alloc'!A87</f>
        <v/>
      </c>
      <c r="B87" s="5">
        <f>'02a_DC_Capacity_Alloc'!B87</f>
        <v/>
      </c>
      <c r="C87" s="5">
        <f>'02a_DC_Capacity_Alloc'!C87</f>
        <v/>
      </c>
      <c r="D87" s="5">
        <f>'02a_DC_Capacity_Alloc'!D87</f>
        <v/>
      </c>
      <c r="E87" s="5">
        <f>'02a_DC_Capacity_Alloc'!E87</f>
        <v/>
      </c>
      <c r="F87" s="5">
        <f>'02a_DC_Capacity_Alloc'!F87</f>
        <v/>
      </c>
      <c r="G87" s="5">
        <f>B87&amp;"|"&amp;E87&amp;"|"&amp;D87</f>
        <v/>
      </c>
      <c r="H87" s="28">
        <f>'02a_DC_Capacity_Alloc'!H87*'02a_DC_Capacity_Alloc'!I87*'02a_DC_Capacity_Alloc'!J87</f>
        <v/>
      </c>
      <c r="I87" s="6">
        <f>IFERROR(INDEX('02b_DC_Accelerator_Mix'!$F$2:$F$977,MATCH(G87,'02b_DC_Accelerator_Mix'!$A$2:$A$977,0)),0)</f>
        <v/>
      </c>
      <c r="J87" s="6">
        <f>IFERROR(INDEX('02b_DC_Accelerator_Mix'!$G$2:$G$977,MATCH(G87,'02b_DC_Accelerator_Mix'!$A$2:$A$977,0)),0)</f>
        <v/>
      </c>
      <c r="K87" s="6">
        <f>IFERROR(INDEX('02b_DC_Accelerator_Mix'!$H$2:$H$977,MATCH(G87,'02b_DC_Accelerator_Mix'!$A$2:$A$977,0)),0)</f>
        <v/>
      </c>
      <c r="L87" s="6">
        <f>IFERROR(INDEX('02b_DC_Accelerator_Mix'!$I$2:$I$977,MATCH(G87,'02b_DC_Accelerator_Mix'!$A$2:$A$977,0)),0)</f>
        <v/>
      </c>
      <c r="M87" s="6">
        <f>IFERROR(INDEX('02b_DC_Accelerator_Mix'!$J$2:$J$977,MATCH(G87,'02b_DC_Accelerator_Mix'!$A$2:$A$977,0)),0)</f>
        <v/>
      </c>
      <c r="N87" s="6">
        <f>IFERROR(INDEX('02b_DC_Accelerator_Mix'!$K$2:$K$977,MATCH(G87,'02b_DC_Accelerator_Mix'!$A$2:$A$977,0)),0)</f>
        <v/>
      </c>
      <c r="O87" s="6">
        <f>IFERROR(INDEX('02b_DC_Accelerator_Mix'!$L$2:$L$977,MATCH(G87,'02b_DC_Accelerator_Mix'!$A$2:$A$977,0)),0)</f>
        <v/>
      </c>
      <c r="P87" s="6">
        <f>IFERROR(INDEX('02b_DC_Accelerator_Mix'!$M$2:$M$977,MATCH(G87,'02b_DC_Accelerator_Mix'!$A$2:$A$977,0)),0)</f>
        <v/>
      </c>
      <c r="Q87" s="6">
        <f>IFERROR(INDEX('02b_DC_Accelerator_Mix'!$N$2:$N$977,MATCH(G87,'02b_DC_Accelerator_Mix'!$A$2:$A$977,0)),0)</f>
        <v/>
      </c>
      <c r="R87" s="28">
        <f>H87*I87</f>
        <v/>
      </c>
      <c r="S87" s="28">
        <f>H87*J87</f>
        <v/>
      </c>
      <c r="T87" s="28">
        <f>H87*K87</f>
        <v/>
      </c>
      <c r="U87" s="28">
        <f>H87*L87</f>
        <v/>
      </c>
      <c r="V87" s="28">
        <f>H87*M87</f>
        <v/>
      </c>
      <c r="W87" s="28">
        <f>H87*N87</f>
        <v/>
      </c>
      <c r="X87" s="28">
        <f>H87*O87</f>
        <v/>
      </c>
      <c r="Y87" s="28">
        <f>H87*P87</f>
        <v/>
      </c>
      <c r="Z87" s="28">
        <f>H87*Q87</f>
        <v/>
      </c>
      <c r="AA87" s="28">
        <f>SUM(U87:Z87)</f>
        <v/>
      </c>
      <c r="AB87" s="5">
        <f>IF(COUNTIF('02b_DC_Accelerator_Mix'!$A$2:$A$977,G87)&gt;0,"matched","missing_mix")</f>
        <v/>
      </c>
    </row>
    <row r="88">
      <c r="A88" s="5">
        <f>'02a_DC_Capacity_Alloc'!A88</f>
        <v/>
      </c>
      <c r="B88" s="5">
        <f>'02a_DC_Capacity_Alloc'!B88</f>
        <v/>
      </c>
      <c r="C88" s="5">
        <f>'02a_DC_Capacity_Alloc'!C88</f>
        <v/>
      </c>
      <c r="D88" s="5">
        <f>'02a_DC_Capacity_Alloc'!D88</f>
        <v/>
      </c>
      <c r="E88" s="5">
        <f>'02a_DC_Capacity_Alloc'!E88</f>
        <v/>
      </c>
      <c r="F88" s="5">
        <f>'02a_DC_Capacity_Alloc'!F88</f>
        <v/>
      </c>
      <c r="G88" s="5">
        <f>B88&amp;"|"&amp;E88&amp;"|"&amp;D88</f>
        <v/>
      </c>
      <c r="H88" s="28">
        <f>'02a_DC_Capacity_Alloc'!H88*'02a_DC_Capacity_Alloc'!I88*'02a_DC_Capacity_Alloc'!J88</f>
        <v/>
      </c>
      <c r="I88" s="6">
        <f>IFERROR(INDEX('02b_DC_Accelerator_Mix'!$F$2:$F$977,MATCH(G88,'02b_DC_Accelerator_Mix'!$A$2:$A$977,0)),0)</f>
        <v/>
      </c>
      <c r="J88" s="6">
        <f>IFERROR(INDEX('02b_DC_Accelerator_Mix'!$G$2:$G$977,MATCH(G88,'02b_DC_Accelerator_Mix'!$A$2:$A$977,0)),0)</f>
        <v/>
      </c>
      <c r="K88" s="6">
        <f>IFERROR(INDEX('02b_DC_Accelerator_Mix'!$H$2:$H$977,MATCH(G88,'02b_DC_Accelerator_Mix'!$A$2:$A$977,0)),0)</f>
        <v/>
      </c>
      <c r="L88" s="6">
        <f>IFERROR(INDEX('02b_DC_Accelerator_Mix'!$I$2:$I$977,MATCH(G88,'02b_DC_Accelerator_Mix'!$A$2:$A$977,0)),0)</f>
        <v/>
      </c>
      <c r="M88" s="6">
        <f>IFERROR(INDEX('02b_DC_Accelerator_Mix'!$J$2:$J$977,MATCH(G88,'02b_DC_Accelerator_Mix'!$A$2:$A$977,0)),0)</f>
        <v/>
      </c>
      <c r="N88" s="6">
        <f>IFERROR(INDEX('02b_DC_Accelerator_Mix'!$K$2:$K$977,MATCH(G88,'02b_DC_Accelerator_Mix'!$A$2:$A$977,0)),0)</f>
        <v/>
      </c>
      <c r="O88" s="6">
        <f>IFERROR(INDEX('02b_DC_Accelerator_Mix'!$L$2:$L$977,MATCH(G88,'02b_DC_Accelerator_Mix'!$A$2:$A$977,0)),0)</f>
        <v/>
      </c>
      <c r="P88" s="6">
        <f>IFERROR(INDEX('02b_DC_Accelerator_Mix'!$M$2:$M$977,MATCH(G88,'02b_DC_Accelerator_Mix'!$A$2:$A$977,0)),0)</f>
        <v/>
      </c>
      <c r="Q88" s="6">
        <f>IFERROR(INDEX('02b_DC_Accelerator_Mix'!$N$2:$N$977,MATCH(G88,'02b_DC_Accelerator_Mix'!$A$2:$A$977,0)),0)</f>
        <v/>
      </c>
      <c r="R88" s="28">
        <f>H88*I88</f>
        <v/>
      </c>
      <c r="S88" s="28">
        <f>H88*J88</f>
        <v/>
      </c>
      <c r="T88" s="28">
        <f>H88*K88</f>
        <v/>
      </c>
      <c r="U88" s="28">
        <f>H88*L88</f>
        <v/>
      </c>
      <c r="V88" s="28">
        <f>H88*M88</f>
        <v/>
      </c>
      <c r="W88" s="28">
        <f>H88*N88</f>
        <v/>
      </c>
      <c r="X88" s="28">
        <f>H88*O88</f>
        <v/>
      </c>
      <c r="Y88" s="28">
        <f>H88*P88</f>
        <v/>
      </c>
      <c r="Z88" s="28">
        <f>H88*Q88</f>
        <v/>
      </c>
      <c r="AA88" s="28">
        <f>SUM(U88:Z88)</f>
        <v/>
      </c>
      <c r="AB88" s="5">
        <f>IF(COUNTIF('02b_DC_Accelerator_Mix'!$A$2:$A$977,G88)&gt;0,"matched","missing_mix")</f>
        <v/>
      </c>
    </row>
    <row r="89">
      <c r="A89" s="5">
        <f>'02a_DC_Capacity_Alloc'!A89</f>
        <v/>
      </c>
      <c r="B89" s="5">
        <f>'02a_DC_Capacity_Alloc'!B89</f>
        <v/>
      </c>
      <c r="C89" s="5">
        <f>'02a_DC_Capacity_Alloc'!C89</f>
        <v/>
      </c>
      <c r="D89" s="5">
        <f>'02a_DC_Capacity_Alloc'!D89</f>
        <v/>
      </c>
      <c r="E89" s="5">
        <f>'02a_DC_Capacity_Alloc'!E89</f>
        <v/>
      </c>
      <c r="F89" s="5">
        <f>'02a_DC_Capacity_Alloc'!F89</f>
        <v/>
      </c>
      <c r="G89" s="5">
        <f>B89&amp;"|"&amp;E89&amp;"|"&amp;D89</f>
        <v/>
      </c>
      <c r="H89" s="28">
        <f>'02a_DC_Capacity_Alloc'!H89*'02a_DC_Capacity_Alloc'!I89*'02a_DC_Capacity_Alloc'!J89</f>
        <v/>
      </c>
      <c r="I89" s="6">
        <f>IFERROR(INDEX('02b_DC_Accelerator_Mix'!$F$2:$F$977,MATCH(G89,'02b_DC_Accelerator_Mix'!$A$2:$A$977,0)),0)</f>
        <v/>
      </c>
      <c r="J89" s="6">
        <f>IFERROR(INDEX('02b_DC_Accelerator_Mix'!$G$2:$G$977,MATCH(G89,'02b_DC_Accelerator_Mix'!$A$2:$A$977,0)),0)</f>
        <v/>
      </c>
      <c r="K89" s="6">
        <f>IFERROR(INDEX('02b_DC_Accelerator_Mix'!$H$2:$H$977,MATCH(G89,'02b_DC_Accelerator_Mix'!$A$2:$A$977,0)),0)</f>
        <v/>
      </c>
      <c r="L89" s="6">
        <f>IFERROR(INDEX('02b_DC_Accelerator_Mix'!$I$2:$I$977,MATCH(G89,'02b_DC_Accelerator_Mix'!$A$2:$A$977,0)),0)</f>
        <v/>
      </c>
      <c r="M89" s="6">
        <f>IFERROR(INDEX('02b_DC_Accelerator_Mix'!$J$2:$J$977,MATCH(G89,'02b_DC_Accelerator_Mix'!$A$2:$A$977,0)),0)</f>
        <v/>
      </c>
      <c r="N89" s="6">
        <f>IFERROR(INDEX('02b_DC_Accelerator_Mix'!$K$2:$K$977,MATCH(G89,'02b_DC_Accelerator_Mix'!$A$2:$A$977,0)),0)</f>
        <v/>
      </c>
      <c r="O89" s="6">
        <f>IFERROR(INDEX('02b_DC_Accelerator_Mix'!$L$2:$L$977,MATCH(G89,'02b_DC_Accelerator_Mix'!$A$2:$A$977,0)),0)</f>
        <v/>
      </c>
      <c r="P89" s="6">
        <f>IFERROR(INDEX('02b_DC_Accelerator_Mix'!$M$2:$M$977,MATCH(G89,'02b_DC_Accelerator_Mix'!$A$2:$A$977,0)),0)</f>
        <v/>
      </c>
      <c r="Q89" s="6">
        <f>IFERROR(INDEX('02b_DC_Accelerator_Mix'!$N$2:$N$977,MATCH(G89,'02b_DC_Accelerator_Mix'!$A$2:$A$977,0)),0)</f>
        <v/>
      </c>
      <c r="R89" s="28">
        <f>H89*I89</f>
        <v/>
      </c>
      <c r="S89" s="28">
        <f>H89*J89</f>
        <v/>
      </c>
      <c r="T89" s="28">
        <f>H89*K89</f>
        <v/>
      </c>
      <c r="U89" s="28">
        <f>H89*L89</f>
        <v/>
      </c>
      <c r="V89" s="28">
        <f>H89*M89</f>
        <v/>
      </c>
      <c r="W89" s="28">
        <f>H89*N89</f>
        <v/>
      </c>
      <c r="X89" s="28">
        <f>H89*O89</f>
        <v/>
      </c>
      <c r="Y89" s="28">
        <f>H89*P89</f>
        <v/>
      </c>
      <c r="Z89" s="28">
        <f>H89*Q89</f>
        <v/>
      </c>
      <c r="AA89" s="28">
        <f>SUM(U89:Z89)</f>
        <v/>
      </c>
      <c r="AB89" s="5">
        <f>IF(COUNTIF('02b_DC_Accelerator_Mix'!$A$2:$A$977,G89)&gt;0,"matched","missing_mix")</f>
        <v/>
      </c>
    </row>
    <row r="90">
      <c r="A90" s="5">
        <f>'02a_DC_Capacity_Alloc'!A90</f>
        <v/>
      </c>
      <c r="B90" s="5">
        <f>'02a_DC_Capacity_Alloc'!B90</f>
        <v/>
      </c>
      <c r="C90" s="5">
        <f>'02a_DC_Capacity_Alloc'!C90</f>
        <v/>
      </c>
      <c r="D90" s="5">
        <f>'02a_DC_Capacity_Alloc'!D90</f>
        <v/>
      </c>
      <c r="E90" s="5">
        <f>'02a_DC_Capacity_Alloc'!E90</f>
        <v/>
      </c>
      <c r="F90" s="5">
        <f>'02a_DC_Capacity_Alloc'!F90</f>
        <v/>
      </c>
      <c r="G90" s="5">
        <f>B90&amp;"|"&amp;E90&amp;"|"&amp;D90</f>
        <v/>
      </c>
      <c r="H90" s="28">
        <f>'02a_DC_Capacity_Alloc'!H90*'02a_DC_Capacity_Alloc'!I90*'02a_DC_Capacity_Alloc'!J90</f>
        <v/>
      </c>
      <c r="I90" s="6">
        <f>IFERROR(INDEX('02b_DC_Accelerator_Mix'!$F$2:$F$977,MATCH(G90,'02b_DC_Accelerator_Mix'!$A$2:$A$977,0)),0)</f>
        <v/>
      </c>
      <c r="J90" s="6">
        <f>IFERROR(INDEX('02b_DC_Accelerator_Mix'!$G$2:$G$977,MATCH(G90,'02b_DC_Accelerator_Mix'!$A$2:$A$977,0)),0)</f>
        <v/>
      </c>
      <c r="K90" s="6">
        <f>IFERROR(INDEX('02b_DC_Accelerator_Mix'!$H$2:$H$977,MATCH(G90,'02b_DC_Accelerator_Mix'!$A$2:$A$977,0)),0)</f>
        <v/>
      </c>
      <c r="L90" s="6">
        <f>IFERROR(INDEX('02b_DC_Accelerator_Mix'!$I$2:$I$977,MATCH(G90,'02b_DC_Accelerator_Mix'!$A$2:$A$977,0)),0)</f>
        <v/>
      </c>
      <c r="M90" s="6">
        <f>IFERROR(INDEX('02b_DC_Accelerator_Mix'!$J$2:$J$977,MATCH(G90,'02b_DC_Accelerator_Mix'!$A$2:$A$977,0)),0)</f>
        <v/>
      </c>
      <c r="N90" s="6">
        <f>IFERROR(INDEX('02b_DC_Accelerator_Mix'!$K$2:$K$977,MATCH(G90,'02b_DC_Accelerator_Mix'!$A$2:$A$977,0)),0)</f>
        <v/>
      </c>
      <c r="O90" s="6">
        <f>IFERROR(INDEX('02b_DC_Accelerator_Mix'!$L$2:$L$977,MATCH(G90,'02b_DC_Accelerator_Mix'!$A$2:$A$977,0)),0)</f>
        <v/>
      </c>
      <c r="P90" s="6">
        <f>IFERROR(INDEX('02b_DC_Accelerator_Mix'!$M$2:$M$977,MATCH(G90,'02b_DC_Accelerator_Mix'!$A$2:$A$977,0)),0)</f>
        <v/>
      </c>
      <c r="Q90" s="6">
        <f>IFERROR(INDEX('02b_DC_Accelerator_Mix'!$N$2:$N$977,MATCH(G90,'02b_DC_Accelerator_Mix'!$A$2:$A$977,0)),0)</f>
        <v/>
      </c>
      <c r="R90" s="28">
        <f>H90*I90</f>
        <v/>
      </c>
      <c r="S90" s="28">
        <f>H90*J90</f>
        <v/>
      </c>
      <c r="T90" s="28">
        <f>H90*K90</f>
        <v/>
      </c>
      <c r="U90" s="28">
        <f>H90*L90</f>
        <v/>
      </c>
      <c r="V90" s="28">
        <f>H90*M90</f>
        <v/>
      </c>
      <c r="W90" s="28">
        <f>H90*N90</f>
        <v/>
      </c>
      <c r="X90" s="28">
        <f>H90*O90</f>
        <v/>
      </c>
      <c r="Y90" s="28">
        <f>H90*P90</f>
        <v/>
      </c>
      <c r="Z90" s="28">
        <f>H90*Q90</f>
        <v/>
      </c>
      <c r="AA90" s="28">
        <f>SUM(U90:Z90)</f>
        <v/>
      </c>
      <c r="AB90" s="5">
        <f>IF(COUNTIF('02b_DC_Accelerator_Mix'!$A$2:$A$977,G90)&gt;0,"matched","missing_mix")</f>
        <v/>
      </c>
    </row>
    <row r="91">
      <c r="A91" s="5">
        <f>'02a_DC_Capacity_Alloc'!A91</f>
        <v/>
      </c>
      <c r="B91" s="5">
        <f>'02a_DC_Capacity_Alloc'!B91</f>
        <v/>
      </c>
      <c r="C91" s="5">
        <f>'02a_DC_Capacity_Alloc'!C91</f>
        <v/>
      </c>
      <c r="D91" s="5">
        <f>'02a_DC_Capacity_Alloc'!D91</f>
        <v/>
      </c>
      <c r="E91" s="5">
        <f>'02a_DC_Capacity_Alloc'!E91</f>
        <v/>
      </c>
      <c r="F91" s="5">
        <f>'02a_DC_Capacity_Alloc'!F91</f>
        <v/>
      </c>
      <c r="G91" s="5">
        <f>B91&amp;"|"&amp;E91&amp;"|"&amp;D91</f>
        <v/>
      </c>
      <c r="H91" s="28">
        <f>'02a_DC_Capacity_Alloc'!H91*'02a_DC_Capacity_Alloc'!I91*'02a_DC_Capacity_Alloc'!J91</f>
        <v/>
      </c>
      <c r="I91" s="6">
        <f>IFERROR(INDEX('02b_DC_Accelerator_Mix'!$F$2:$F$977,MATCH(G91,'02b_DC_Accelerator_Mix'!$A$2:$A$977,0)),0)</f>
        <v/>
      </c>
      <c r="J91" s="6">
        <f>IFERROR(INDEX('02b_DC_Accelerator_Mix'!$G$2:$G$977,MATCH(G91,'02b_DC_Accelerator_Mix'!$A$2:$A$977,0)),0)</f>
        <v/>
      </c>
      <c r="K91" s="6">
        <f>IFERROR(INDEX('02b_DC_Accelerator_Mix'!$H$2:$H$977,MATCH(G91,'02b_DC_Accelerator_Mix'!$A$2:$A$977,0)),0)</f>
        <v/>
      </c>
      <c r="L91" s="6">
        <f>IFERROR(INDEX('02b_DC_Accelerator_Mix'!$I$2:$I$977,MATCH(G91,'02b_DC_Accelerator_Mix'!$A$2:$A$977,0)),0)</f>
        <v/>
      </c>
      <c r="M91" s="6">
        <f>IFERROR(INDEX('02b_DC_Accelerator_Mix'!$J$2:$J$977,MATCH(G91,'02b_DC_Accelerator_Mix'!$A$2:$A$977,0)),0)</f>
        <v/>
      </c>
      <c r="N91" s="6">
        <f>IFERROR(INDEX('02b_DC_Accelerator_Mix'!$K$2:$K$977,MATCH(G91,'02b_DC_Accelerator_Mix'!$A$2:$A$977,0)),0)</f>
        <v/>
      </c>
      <c r="O91" s="6">
        <f>IFERROR(INDEX('02b_DC_Accelerator_Mix'!$L$2:$L$977,MATCH(G91,'02b_DC_Accelerator_Mix'!$A$2:$A$977,0)),0)</f>
        <v/>
      </c>
      <c r="P91" s="6">
        <f>IFERROR(INDEX('02b_DC_Accelerator_Mix'!$M$2:$M$977,MATCH(G91,'02b_DC_Accelerator_Mix'!$A$2:$A$977,0)),0)</f>
        <v/>
      </c>
      <c r="Q91" s="6">
        <f>IFERROR(INDEX('02b_DC_Accelerator_Mix'!$N$2:$N$977,MATCH(G91,'02b_DC_Accelerator_Mix'!$A$2:$A$977,0)),0)</f>
        <v/>
      </c>
      <c r="R91" s="28">
        <f>H91*I91</f>
        <v/>
      </c>
      <c r="S91" s="28">
        <f>H91*J91</f>
        <v/>
      </c>
      <c r="T91" s="28">
        <f>H91*K91</f>
        <v/>
      </c>
      <c r="U91" s="28">
        <f>H91*L91</f>
        <v/>
      </c>
      <c r="V91" s="28">
        <f>H91*M91</f>
        <v/>
      </c>
      <c r="W91" s="28">
        <f>H91*N91</f>
        <v/>
      </c>
      <c r="X91" s="28">
        <f>H91*O91</f>
        <v/>
      </c>
      <c r="Y91" s="28">
        <f>H91*P91</f>
        <v/>
      </c>
      <c r="Z91" s="28">
        <f>H91*Q91</f>
        <v/>
      </c>
      <c r="AA91" s="28">
        <f>SUM(U91:Z91)</f>
        <v/>
      </c>
      <c r="AB91" s="5">
        <f>IF(COUNTIF('02b_DC_Accelerator_Mix'!$A$2:$A$977,G91)&gt;0,"matched","missing_mix")</f>
        <v/>
      </c>
    </row>
    <row r="92">
      <c r="A92" s="5">
        <f>'02a_DC_Capacity_Alloc'!A92</f>
        <v/>
      </c>
      <c r="B92" s="5">
        <f>'02a_DC_Capacity_Alloc'!B92</f>
        <v/>
      </c>
      <c r="C92" s="5">
        <f>'02a_DC_Capacity_Alloc'!C92</f>
        <v/>
      </c>
      <c r="D92" s="5">
        <f>'02a_DC_Capacity_Alloc'!D92</f>
        <v/>
      </c>
      <c r="E92" s="5">
        <f>'02a_DC_Capacity_Alloc'!E92</f>
        <v/>
      </c>
      <c r="F92" s="5">
        <f>'02a_DC_Capacity_Alloc'!F92</f>
        <v/>
      </c>
      <c r="G92" s="5">
        <f>B92&amp;"|"&amp;E92&amp;"|"&amp;D92</f>
        <v/>
      </c>
      <c r="H92" s="28">
        <f>'02a_DC_Capacity_Alloc'!H92*'02a_DC_Capacity_Alloc'!I92*'02a_DC_Capacity_Alloc'!J92</f>
        <v/>
      </c>
      <c r="I92" s="6">
        <f>IFERROR(INDEX('02b_DC_Accelerator_Mix'!$F$2:$F$977,MATCH(G92,'02b_DC_Accelerator_Mix'!$A$2:$A$977,0)),0)</f>
        <v/>
      </c>
      <c r="J92" s="6">
        <f>IFERROR(INDEX('02b_DC_Accelerator_Mix'!$G$2:$G$977,MATCH(G92,'02b_DC_Accelerator_Mix'!$A$2:$A$977,0)),0)</f>
        <v/>
      </c>
      <c r="K92" s="6">
        <f>IFERROR(INDEX('02b_DC_Accelerator_Mix'!$H$2:$H$977,MATCH(G92,'02b_DC_Accelerator_Mix'!$A$2:$A$977,0)),0)</f>
        <v/>
      </c>
      <c r="L92" s="6">
        <f>IFERROR(INDEX('02b_DC_Accelerator_Mix'!$I$2:$I$977,MATCH(G92,'02b_DC_Accelerator_Mix'!$A$2:$A$977,0)),0)</f>
        <v/>
      </c>
      <c r="M92" s="6">
        <f>IFERROR(INDEX('02b_DC_Accelerator_Mix'!$J$2:$J$977,MATCH(G92,'02b_DC_Accelerator_Mix'!$A$2:$A$977,0)),0)</f>
        <v/>
      </c>
      <c r="N92" s="6">
        <f>IFERROR(INDEX('02b_DC_Accelerator_Mix'!$K$2:$K$977,MATCH(G92,'02b_DC_Accelerator_Mix'!$A$2:$A$977,0)),0)</f>
        <v/>
      </c>
      <c r="O92" s="6">
        <f>IFERROR(INDEX('02b_DC_Accelerator_Mix'!$L$2:$L$977,MATCH(G92,'02b_DC_Accelerator_Mix'!$A$2:$A$977,0)),0)</f>
        <v/>
      </c>
      <c r="P92" s="6">
        <f>IFERROR(INDEX('02b_DC_Accelerator_Mix'!$M$2:$M$977,MATCH(G92,'02b_DC_Accelerator_Mix'!$A$2:$A$977,0)),0)</f>
        <v/>
      </c>
      <c r="Q92" s="6">
        <f>IFERROR(INDEX('02b_DC_Accelerator_Mix'!$N$2:$N$977,MATCH(G92,'02b_DC_Accelerator_Mix'!$A$2:$A$977,0)),0)</f>
        <v/>
      </c>
      <c r="R92" s="28">
        <f>H92*I92</f>
        <v/>
      </c>
      <c r="S92" s="28">
        <f>H92*J92</f>
        <v/>
      </c>
      <c r="T92" s="28">
        <f>H92*K92</f>
        <v/>
      </c>
      <c r="U92" s="28">
        <f>H92*L92</f>
        <v/>
      </c>
      <c r="V92" s="28">
        <f>H92*M92</f>
        <v/>
      </c>
      <c r="W92" s="28">
        <f>H92*N92</f>
        <v/>
      </c>
      <c r="X92" s="28">
        <f>H92*O92</f>
        <v/>
      </c>
      <c r="Y92" s="28">
        <f>H92*P92</f>
        <v/>
      </c>
      <c r="Z92" s="28">
        <f>H92*Q92</f>
        <v/>
      </c>
      <c r="AA92" s="28">
        <f>SUM(U92:Z92)</f>
        <v/>
      </c>
      <c r="AB92" s="5">
        <f>IF(COUNTIF('02b_DC_Accelerator_Mix'!$A$2:$A$977,G92)&gt;0,"matched","missing_mix")</f>
        <v/>
      </c>
    </row>
    <row r="93">
      <c r="A93" s="5">
        <f>'02a_DC_Capacity_Alloc'!A93</f>
        <v/>
      </c>
      <c r="B93" s="5">
        <f>'02a_DC_Capacity_Alloc'!B93</f>
        <v/>
      </c>
      <c r="C93" s="5">
        <f>'02a_DC_Capacity_Alloc'!C93</f>
        <v/>
      </c>
      <c r="D93" s="5">
        <f>'02a_DC_Capacity_Alloc'!D93</f>
        <v/>
      </c>
      <c r="E93" s="5">
        <f>'02a_DC_Capacity_Alloc'!E93</f>
        <v/>
      </c>
      <c r="F93" s="5">
        <f>'02a_DC_Capacity_Alloc'!F93</f>
        <v/>
      </c>
      <c r="G93" s="5">
        <f>B93&amp;"|"&amp;E93&amp;"|"&amp;D93</f>
        <v/>
      </c>
      <c r="H93" s="28">
        <f>'02a_DC_Capacity_Alloc'!H93*'02a_DC_Capacity_Alloc'!I93*'02a_DC_Capacity_Alloc'!J93</f>
        <v/>
      </c>
      <c r="I93" s="6">
        <f>IFERROR(INDEX('02b_DC_Accelerator_Mix'!$F$2:$F$977,MATCH(G93,'02b_DC_Accelerator_Mix'!$A$2:$A$977,0)),0)</f>
        <v/>
      </c>
      <c r="J93" s="6">
        <f>IFERROR(INDEX('02b_DC_Accelerator_Mix'!$G$2:$G$977,MATCH(G93,'02b_DC_Accelerator_Mix'!$A$2:$A$977,0)),0)</f>
        <v/>
      </c>
      <c r="K93" s="6">
        <f>IFERROR(INDEX('02b_DC_Accelerator_Mix'!$H$2:$H$977,MATCH(G93,'02b_DC_Accelerator_Mix'!$A$2:$A$977,0)),0)</f>
        <v/>
      </c>
      <c r="L93" s="6">
        <f>IFERROR(INDEX('02b_DC_Accelerator_Mix'!$I$2:$I$977,MATCH(G93,'02b_DC_Accelerator_Mix'!$A$2:$A$977,0)),0)</f>
        <v/>
      </c>
      <c r="M93" s="6">
        <f>IFERROR(INDEX('02b_DC_Accelerator_Mix'!$J$2:$J$977,MATCH(G93,'02b_DC_Accelerator_Mix'!$A$2:$A$977,0)),0)</f>
        <v/>
      </c>
      <c r="N93" s="6">
        <f>IFERROR(INDEX('02b_DC_Accelerator_Mix'!$K$2:$K$977,MATCH(G93,'02b_DC_Accelerator_Mix'!$A$2:$A$977,0)),0)</f>
        <v/>
      </c>
      <c r="O93" s="6">
        <f>IFERROR(INDEX('02b_DC_Accelerator_Mix'!$L$2:$L$977,MATCH(G93,'02b_DC_Accelerator_Mix'!$A$2:$A$977,0)),0)</f>
        <v/>
      </c>
      <c r="P93" s="6">
        <f>IFERROR(INDEX('02b_DC_Accelerator_Mix'!$M$2:$M$977,MATCH(G93,'02b_DC_Accelerator_Mix'!$A$2:$A$977,0)),0)</f>
        <v/>
      </c>
      <c r="Q93" s="6">
        <f>IFERROR(INDEX('02b_DC_Accelerator_Mix'!$N$2:$N$977,MATCH(G93,'02b_DC_Accelerator_Mix'!$A$2:$A$977,0)),0)</f>
        <v/>
      </c>
      <c r="R93" s="28">
        <f>H93*I93</f>
        <v/>
      </c>
      <c r="S93" s="28">
        <f>H93*J93</f>
        <v/>
      </c>
      <c r="T93" s="28">
        <f>H93*K93</f>
        <v/>
      </c>
      <c r="U93" s="28">
        <f>H93*L93</f>
        <v/>
      </c>
      <c r="V93" s="28">
        <f>H93*M93</f>
        <v/>
      </c>
      <c r="W93" s="28">
        <f>H93*N93</f>
        <v/>
      </c>
      <c r="X93" s="28">
        <f>H93*O93</f>
        <v/>
      </c>
      <c r="Y93" s="28">
        <f>H93*P93</f>
        <v/>
      </c>
      <c r="Z93" s="28">
        <f>H93*Q93</f>
        <v/>
      </c>
      <c r="AA93" s="28">
        <f>SUM(U93:Z93)</f>
        <v/>
      </c>
      <c r="AB93" s="5">
        <f>IF(COUNTIF('02b_DC_Accelerator_Mix'!$A$2:$A$977,G93)&gt;0,"matched","missing_mix")</f>
        <v/>
      </c>
    </row>
    <row r="94">
      <c r="A94" s="5">
        <f>'02a_DC_Capacity_Alloc'!A94</f>
        <v/>
      </c>
      <c r="B94" s="5">
        <f>'02a_DC_Capacity_Alloc'!B94</f>
        <v/>
      </c>
      <c r="C94" s="5">
        <f>'02a_DC_Capacity_Alloc'!C94</f>
        <v/>
      </c>
      <c r="D94" s="5">
        <f>'02a_DC_Capacity_Alloc'!D94</f>
        <v/>
      </c>
      <c r="E94" s="5">
        <f>'02a_DC_Capacity_Alloc'!E94</f>
        <v/>
      </c>
      <c r="F94" s="5">
        <f>'02a_DC_Capacity_Alloc'!F94</f>
        <v/>
      </c>
      <c r="G94" s="5">
        <f>B94&amp;"|"&amp;E94&amp;"|"&amp;D94</f>
        <v/>
      </c>
      <c r="H94" s="28">
        <f>'02a_DC_Capacity_Alloc'!H94*'02a_DC_Capacity_Alloc'!I94*'02a_DC_Capacity_Alloc'!J94</f>
        <v/>
      </c>
      <c r="I94" s="6">
        <f>IFERROR(INDEX('02b_DC_Accelerator_Mix'!$F$2:$F$977,MATCH(G94,'02b_DC_Accelerator_Mix'!$A$2:$A$977,0)),0)</f>
        <v/>
      </c>
      <c r="J94" s="6">
        <f>IFERROR(INDEX('02b_DC_Accelerator_Mix'!$G$2:$G$977,MATCH(G94,'02b_DC_Accelerator_Mix'!$A$2:$A$977,0)),0)</f>
        <v/>
      </c>
      <c r="K94" s="6">
        <f>IFERROR(INDEX('02b_DC_Accelerator_Mix'!$H$2:$H$977,MATCH(G94,'02b_DC_Accelerator_Mix'!$A$2:$A$977,0)),0)</f>
        <v/>
      </c>
      <c r="L94" s="6">
        <f>IFERROR(INDEX('02b_DC_Accelerator_Mix'!$I$2:$I$977,MATCH(G94,'02b_DC_Accelerator_Mix'!$A$2:$A$977,0)),0)</f>
        <v/>
      </c>
      <c r="M94" s="6">
        <f>IFERROR(INDEX('02b_DC_Accelerator_Mix'!$J$2:$J$977,MATCH(G94,'02b_DC_Accelerator_Mix'!$A$2:$A$977,0)),0)</f>
        <v/>
      </c>
      <c r="N94" s="6">
        <f>IFERROR(INDEX('02b_DC_Accelerator_Mix'!$K$2:$K$977,MATCH(G94,'02b_DC_Accelerator_Mix'!$A$2:$A$977,0)),0)</f>
        <v/>
      </c>
      <c r="O94" s="6">
        <f>IFERROR(INDEX('02b_DC_Accelerator_Mix'!$L$2:$L$977,MATCH(G94,'02b_DC_Accelerator_Mix'!$A$2:$A$977,0)),0)</f>
        <v/>
      </c>
      <c r="P94" s="6">
        <f>IFERROR(INDEX('02b_DC_Accelerator_Mix'!$M$2:$M$977,MATCH(G94,'02b_DC_Accelerator_Mix'!$A$2:$A$977,0)),0)</f>
        <v/>
      </c>
      <c r="Q94" s="6">
        <f>IFERROR(INDEX('02b_DC_Accelerator_Mix'!$N$2:$N$977,MATCH(G94,'02b_DC_Accelerator_Mix'!$A$2:$A$977,0)),0)</f>
        <v/>
      </c>
      <c r="R94" s="28">
        <f>H94*I94</f>
        <v/>
      </c>
      <c r="S94" s="28">
        <f>H94*J94</f>
        <v/>
      </c>
      <c r="T94" s="28">
        <f>H94*K94</f>
        <v/>
      </c>
      <c r="U94" s="28">
        <f>H94*L94</f>
        <v/>
      </c>
      <c r="V94" s="28">
        <f>H94*M94</f>
        <v/>
      </c>
      <c r="W94" s="28">
        <f>H94*N94</f>
        <v/>
      </c>
      <c r="X94" s="28">
        <f>H94*O94</f>
        <v/>
      </c>
      <c r="Y94" s="28">
        <f>H94*P94</f>
        <v/>
      </c>
      <c r="Z94" s="28">
        <f>H94*Q94</f>
        <v/>
      </c>
      <c r="AA94" s="28">
        <f>SUM(U94:Z94)</f>
        <v/>
      </c>
      <c r="AB94" s="5">
        <f>IF(COUNTIF('02b_DC_Accelerator_Mix'!$A$2:$A$977,G94)&gt;0,"matched","missing_mix")</f>
        <v/>
      </c>
    </row>
    <row r="95">
      <c r="A95" s="5">
        <f>'02a_DC_Capacity_Alloc'!A95</f>
        <v/>
      </c>
      <c r="B95" s="5">
        <f>'02a_DC_Capacity_Alloc'!B95</f>
        <v/>
      </c>
      <c r="C95" s="5">
        <f>'02a_DC_Capacity_Alloc'!C95</f>
        <v/>
      </c>
      <c r="D95" s="5">
        <f>'02a_DC_Capacity_Alloc'!D95</f>
        <v/>
      </c>
      <c r="E95" s="5">
        <f>'02a_DC_Capacity_Alloc'!E95</f>
        <v/>
      </c>
      <c r="F95" s="5">
        <f>'02a_DC_Capacity_Alloc'!F95</f>
        <v/>
      </c>
      <c r="G95" s="5">
        <f>B95&amp;"|"&amp;E95&amp;"|"&amp;D95</f>
        <v/>
      </c>
      <c r="H95" s="28">
        <f>'02a_DC_Capacity_Alloc'!H95*'02a_DC_Capacity_Alloc'!I95*'02a_DC_Capacity_Alloc'!J95</f>
        <v/>
      </c>
      <c r="I95" s="6">
        <f>IFERROR(INDEX('02b_DC_Accelerator_Mix'!$F$2:$F$977,MATCH(G95,'02b_DC_Accelerator_Mix'!$A$2:$A$977,0)),0)</f>
        <v/>
      </c>
      <c r="J95" s="6">
        <f>IFERROR(INDEX('02b_DC_Accelerator_Mix'!$G$2:$G$977,MATCH(G95,'02b_DC_Accelerator_Mix'!$A$2:$A$977,0)),0)</f>
        <v/>
      </c>
      <c r="K95" s="6">
        <f>IFERROR(INDEX('02b_DC_Accelerator_Mix'!$H$2:$H$977,MATCH(G95,'02b_DC_Accelerator_Mix'!$A$2:$A$977,0)),0)</f>
        <v/>
      </c>
      <c r="L95" s="6">
        <f>IFERROR(INDEX('02b_DC_Accelerator_Mix'!$I$2:$I$977,MATCH(G95,'02b_DC_Accelerator_Mix'!$A$2:$A$977,0)),0)</f>
        <v/>
      </c>
      <c r="M95" s="6">
        <f>IFERROR(INDEX('02b_DC_Accelerator_Mix'!$J$2:$J$977,MATCH(G95,'02b_DC_Accelerator_Mix'!$A$2:$A$977,0)),0)</f>
        <v/>
      </c>
      <c r="N95" s="6">
        <f>IFERROR(INDEX('02b_DC_Accelerator_Mix'!$K$2:$K$977,MATCH(G95,'02b_DC_Accelerator_Mix'!$A$2:$A$977,0)),0)</f>
        <v/>
      </c>
      <c r="O95" s="6">
        <f>IFERROR(INDEX('02b_DC_Accelerator_Mix'!$L$2:$L$977,MATCH(G95,'02b_DC_Accelerator_Mix'!$A$2:$A$977,0)),0)</f>
        <v/>
      </c>
      <c r="P95" s="6">
        <f>IFERROR(INDEX('02b_DC_Accelerator_Mix'!$M$2:$M$977,MATCH(G95,'02b_DC_Accelerator_Mix'!$A$2:$A$977,0)),0)</f>
        <v/>
      </c>
      <c r="Q95" s="6">
        <f>IFERROR(INDEX('02b_DC_Accelerator_Mix'!$N$2:$N$977,MATCH(G95,'02b_DC_Accelerator_Mix'!$A$2:$A$977,0)),0)</f>
        <v/>
      </c>
      <c r="R95" s="28">
        <f>H95*I95</f>
        <v/>
      </c>
      <c r="S95" s="28">
        <f>H95*J95</f>
        <v/>
      </c>
      <c r="T95" s="28">
        <f>H95*K95</f>
        <v/>
      </c>
      <c r="U95" s="28">
        <f>H95*L95</f>
        <v/>
      </c>
      <c r="V95" s="28">
        <f>H95*M95</f>
        <v/>
      </c>
      <c r="W95" s="28">
        <f>H95*N95</f>
        <v/>
      </c>
      <c r="X95" s="28">
        <f>H95*O95</f>
        <v/>
      </c>
      <c r="Y95" s="28">
        <f>H95*P95</f>
        <v/>
      </c>
      <c r="Z95" s="28">
        <f>H95*Q95</f>
        <v/>
      </c>
      <c r="AA95" s="28">
        <f>SUM(U95:Z95)</f>
        <v/>
      </c>
      <c r="AB95" s="5">
        <f>IF(COUNTIF('02b_DC_Accelerator_Mix'!$A$2:$A$977,G95)&gt;0,"matched","missing_mix")</f>
        <v/>
      </c>
    </row>
    <row r="96">
      <c r="A96" s="5">
        <f>'02a_DC_Capacity_Alloc'!A96</f>
        <v/>
      </c>
      <c r="B96" s="5">
        <f>'02a_DC_Capacity_Alloc'!B96</f>
        <v/>
      </c>
      <c r="C96" s="5">
        <f>'02a_DC_Capacity_Alloc'!C96</f>
        <v/>
      </c>
      <c r="D96" s="5">
        <f>'02a_DC_Capacity_Alloc'!D96</f>
        <v/>
      </c>
      <c r="E96" s="5">
        <f>'02a_DC_Capacity_Alloc'!E96</f>
        <v/>
      </c>
      <c r="F96" s="5">
        <f>'02a_DC_Capacity_Alloc'!F96</f>
        <v/>
      </c>
      <c r="G96" s="5">
        <f>B96&amp;"|"&amp;E96&amp;"|"&amp;D96</f>
        <v/>
      </c>
      <c r="H96" s="28">
        <f>'02a_DC_Capacity_Alloc'!H96*'02a_DC_Capacity_Alloc'!I96*'02a_DC_Capacity_Alloc'!J96</f>
        <v/>
      </c>
      <c r="I96" s="6">
        <f>IFERROR(INDEX('02b_DC_Accelerator_Mix'!$F$2:$F$977,MATCH(G96,'02b_DC_Accelerator_Mix'!$A$2:$A$977,0)),0)</f>
        <v/>
      </c>
      <c r="J96" s="6">
        <f>IFERROR(INDEX('02b_DC_Accelerator_Mix'!$G$2:$G$977,MATCH(G96,'02b_DC_Accelerator_Mix'!$A$2:$A$977,0)),0)</f>
        <v/>
      </c>
      <c r="K96" s="6">
        <f>IFERROR(INDEX('02b_DC_Accelerator_Mix'!$H$2:$H$977,MATCH(G96,'02b_DC_Accelerator_Mix'!$A$2:$A$977,0)),0)</f>
        <v/>
      </c>
      <c r="L96" s="6">
        <f>IFERROR(INDEX('02b_DC_Accelerator_Mix'!$I$2:$I$977,MATCH(G96,'02b_DC_Accelerator_Mix'!$A$2:$A$977,0)),0)</f>
        <v/>
      </c>
      <c r="M96" s="6">
        <f>IFERROR(INDEX('02b_DC_Accelerator_Mix'!$J$2:$J$977,MATCH(G96,'02b_DC_Accelerator_Mix'!$A$2:$A$977,0)),0)</f>
        <v/>
      </c>
      <c r="N96" s="6">
        <f>IFERROR(INDEX('02b_DC_Accelerator_Mix'!$K$2:$K$977,MATCH(G96,'02b_DC_Accelerator_Mix'!$A$2:$A$977,0)),0)</f>
        <v/>
      </c>
      <c r="O96" s="6">
        <f>IFERROR(INDEX('02b_DC_Accelerator_Mix'!$L$2:$L$977,MATCH(G96,'02b_DC_Accelerator_Mix'!$A$2:$A$977,0)),0)</f>
        <v/>
      </c>
      <c r="P96" s="6">
        <f>IFERROR(INDEX('02b_DC_Accelerator_Mix'!$M$2:$M$977,MATCH(G96,'02b_DC_Accelerator_Mix'!$A$2:$A$977,0)),0)</f>
        <v/>
      </c>
      <c r="Q96" s="6">
        <f>IFERROR(INDEX('02b_DC_Accelerator_Mix'!$N$2:$N$977,MATCH(G96,'02b_DC_Accelerator_Mix'!$A$2:$A$977,0)),0)</f>
        <v/>
      </c>
      <c r="R96" s="28">
        <f>H96*I96</f>
        <v/>
      </c>
      <c r="S96" s="28">
        <f>H96*J96</f>
        <v/>
      </c>
      <c r="T96" s="28">
        <f>H96*K96</f>
        <v/>
      </c>
      <c r="U96" s="28">
        <f>H96*L96</f>
        <v/>
      </c>
      <c r="V96" s="28">
        <f>H96*M96</f>
        <v/>
      </c>
      <c r="W96" s="28">
        <f>H96*N96</f>
        <v/>
      </c>
      <c r="X96" s="28">
        <f>H96*O96</f>
        <v/>
      </c>
      <c r="Y96" s="28">
        <f>H96*P96</f>
        <v/>
      </c>
      <c r="Z96" s="28">
        <f>H96*Q96</f>
        <v/>
      </c>
      <c r="AA96" s="28">
        <f>SUM(U96:Z96)</f>
        <v/>
      </c>
      <c r="AB96" s="5">
        <f>IF(COUNTIF('02b_DC_Accelerator_Mix'!$A$2:$A$977,G96)&gt;0,"matched","missing_mix")</f>
        <v/>
      </c>
    </row>
    <row r="97">
      <c r="A97" s="5">
        <f>'02a_DC_Capacity_Alloc'!A97</f>
        <v/>
      </c>
      <c r="B97" s="5">
        <f>'02a_DC_Capacity_Alloc'!B97</f>
        <v/>
      </c>
      <c r="C97" s="5">
        <f>'02a_DC_Capacity_Alloc'!C97</f>
        <v/>
      </c>
      <c r="D97" s="5">
        <f>'02a_DC_Capacity_Alloc'!D97</f>
        <v/>
      </c>
      <c r="E97" s="5">
        <f>'02a_DC_Capacity_Alloc'!E97</f>
        <v/>
      </c>
      <c r="F97" s="5">
        <f>'02a_DC_Capacity_Alloc'!F97</f>
        <v/>
      </c>
      <c r="G97" s="5">
        <f>B97&amp;"|"&amp;E97&amp;"|"&amp;D97</f>
        <v/>
      </c>
      <c r="H97" s="28">
        <f>'02a_DC_Capacity_Alloc'!H97*'02a_DC_Capacity_Alloc'!I97*'02a_DC_Capacity_Alloc'!J97</f>
        <v/>
      </c>
      <c r="I97" s="6">
        <f>IFERROR(INDEX('02b_DC_Accelerator_Mix'!$F$2:$F$977,MATCH(G97,'02b_DC_Accelerator_Mix'!$A$2:$A$977,0)),0)</f>
        <v/>
      </c>
      <c r="J97" s="6">
        <f>IFERROR(INDEX('02b_DC_Accelerator_Mix'!$G$2:$G$977,MATCH(G97,'02b_DC_Accelerator_Mix'!$A$2:$A$977,0)),0)</f>
        <v/>
      </c>
      <c r="K97" s="6">
        <f>IFERROR(INDEX('02b_DC_Accelerator_Mix'!$H$2:$H$977,MATCH(G97,'02b_DC_Accelerator_Mix'!$A$2:$A$977,0)),0)</f>
        <v/>
      </c>
      <c r="L97" s="6">
        <f>IFERROR(INDEX('02b_DC_Accelerator_Mix'!$I$2:$I$977,MATCH(G97,'02b_DC_Accelerator_Mix'!$A$2:$A$977,0)),0)</f>
        <v/>
      </c>
      <c r="M97" s="6">
        <f>IFERROR(INDEX('02b_DC_Accelerator_Mix'!$J$2:$J$977,MATCH(G97,'02b_DC_Accelerator_Mix'!$A$2:$A$977,0)),0)</f>
        <v/>
      </c>
      <c r="N97" s="6">
        <f>IFERROR(INDEX('02b_DC_Accelerator_Mix'!$K$2:$K$977,MATCH(G97,'02b_DC_Accelerator_Mix'!$A$2:$A$977,0)),0)</f>
        <v/>
      </c>
      <c r="O97" s="6">
        <f>IFERROR(INDEX('02b_DC_Accelerator_Mix'!$L$2:$L$977,MATCH(G97,'02b_DC_Accelerator_Mix'!$A$2:$A$977,0)),0)</f>
        <v/>
      </c>
      <c r="P97" s="6">
        <f>IFERROR(INDEX('02b_DC_Accelerator_Mix'!$M$2:$M$977,MATCH(G97,'02b_DC_Accelerator_Mix'!$A$2:$A$977,0)),0)</f>
        <v/>
      </c>
      <c r="Q97" s="6">
        <f>IFERROR(INDEX('02b_DC_Accelerator_Mix'!$N$2:$N$977,MATCH(G97,'02b_DC_Accelerator_Mix'!$A$2:$A$977,0)),0)</f>
        <v/>
      </c>
      <c r="R97" s="28">
        <f>H97*I97</f>
        <v/>
      </c>
      <c r="S97" s="28">
        <f>H97*J97</f>
        <v/>
      </c>
      <c r="T97" s="28">
        <f>H97*K97</f>
        <v/>
      </c>
      <c r="U97" s="28">
        <f>H97*L97</f>
        <v/>
      </c>
      <c r="V97" s="28">
        <f>H97*M97</f>
        <v/>
      </c>
      <c r="W97" s="28">
        <f>H97*N97</f>
        <v/>
      </c>
      <c r="X97" s="28">
        <f>H97*O97</f>
        <v/>
      </c>
      <c r="Y97" s="28">
        <f>H97*P97</f>
        <v/>
      </c>
      <c r="Z97" s="28">
        <f>H97*Q97</f>
        <v/>
      </c>
      <c r="AA97" s="28">
        <f>SUM(U97:Z97)</f>
        <v/>
      </c>
      <c r="AB97" s="5">
        <f>IF(COUNTIF('02b_DC_Accelerator_Mix'!$A$2:$A$977,G97)&gt;0,"matched","missing_mix")</f>
        <v/>
      </c>
    </row>
    <row r="98">
      <c r="A98" s="5">
        <f>'02a_DC_Capacity_Alloc'!A98</f>
        <v/>
      </c>
      <c r="B98" s="5">
        <f>'02a_DC_Capacity_Alloc'!B98</f>
        <v/>
      </c>
      <c r="C98" s="5">
        <f>'02a_DC_Capacity_Alloc'!C98</f>
        <v/>
      </c>
      <c r="D98" s="5">
        <f>'02a_DC_Capacity_Alloc'!D98</f>
        <v/>
      </c>
      <c r="E98" s="5">
        <f>'02a_DC_Capacity_Alloc'!E98</f>
        <v/>
      </c>
      <c r="F98" s="5">
        <f>'02a_DC_Capacity_Alloc'!F98</f>
        <v/>
      </c>
      <c r="G98" s="5">
        <f>B98&amp;"|"&amp;E98&amp;"|"&amp;D98</f>
        <v/>
      </c>
      <c r="H98" s="28">
        <f>'02a_DC_Capacity_Alloc'!H98*'02a_DC_Capacity_Alloc'!I98*'02a_DC_Capacity_Alloc'!J98</f>
        <v/>
      </c>
      <c r="I98" s="6">
        <f>IFERROR(INDEX('02b_DC_Accelerator_Mix'!$F$2:$F$977,MATCH(G98,'02b_DC_Accelerator_Mix'!$A$2:$A$977,0)),0)</f>
        <v/>
      </c>
      <c r="J98" s="6">
        <f>IFERROR(INDEX('02b_DC_Accelerator_Mix'!$G$2:$G$977,MATCH(G98,'02b_DC_Accelerator_Mix'!$A$2:$A$977,0)),0)</f>
        <v/>
      </c>
      <c r="K98" s="6">
        <f>IFERROR(INDEX('02b_DC_Accelerator_Mix'!$H$2:$H$977,MATCH(G98,'02b_DC_Accelerator_Mix'!$A$2:$A$977,0)),0)</f>
        <v/>
      </c>
      <c r="L98" s="6">
        <f>IFERROR(INDEX('02b_DC_Accelerator_Mix'!$I$2:$I$977,MATCH(G98,'02b_DC_Accelerator_Mix'!$A$2:$A$977,0)),0)</f>
        <v/>
      </c>
      <c r="M98" s="6">
        <f>IFERROR(INDEX('02b_DC_Accelerator_Mix'!$J$2:$J$977,MATCH(G98,'02b_DC_Accelerator_Mix'!$A$2:$A$977,0)),0)</f>
        <v/>
      </c>
      <c r="N98" s="6">
        <f>IFERROR(INDEX('02b_DC_Accelerator_Mix'!$K$2:$K$977,MATCH(G98,'02b_DC_Accelerator_Mix'!$A$2:$A$977,0)),0)</f>
        <v/>
      </c>
      <c r="O98" s="6">
        <f>IFERROR(INDEX('02b_DC_Accelerator_Mix'!$L$2:$L$977,MATCH(G98,'02b_DC_Accelerator_Mix'!$A$2:$A$977,0)),0)</f>
        <v/>
      </c>
      <c r="P98" s="6">
        <f>IFERROR(INDEX('02b_DC_Accelerator_Mix'!$M$2:$M$977,MATCH(G98,'02b_DC_Accelerator_Mix'!$A$2:$A$977,0)),0)</f>
        <v/>
      </c>
      <c r="Q98" s="6">
        <f>IFERROR(INDEX('02b_DC_Accelerator_Mix'!$N$2:$N$977,MATCH(G98,'02b_DC_Accelerator_Mix'!$A$2:$A$977,0)),0)</f>
        <v/>
      </c>
      <c r="R98" s="28">
        <f>H98*I98</f>
        <v/>
      </c>
      <c r="S98" s="28">
        <f>H98*J98</f>
        <v/>
      </c>
      <c r="T98" s="28">
        <f>H98*K98</f>
        <v/>
      </c>
      <c r="U98" s="28">
        <f>H98*L98</f>
        <v/>
      </c>
      <c r="V98" s="28">
        <f>H98*M98</f>
        <v/>
      </c>
      <c r="W98" s="28">
        <f>H98*N98</f>
        <v/>
      </c>
      <c r="X98" s="28">
        <f>H98*O98</f>
        <v/>
      </c>
      <c r="Y98" s="28">
        <f>H98*P98</f>
        <v/>
      </c>
      <c r="Z98" s="28">
        <f>H98*Q98</f>
        <v/>
      </c>
      <c r="AA98" s="28">
        <f>SUM(U98:Z98)</f>
        <v/>
      </c>
      <c r="AB98" s="5">
        <f>IF(COUNTIF('02b_DC_Accelerator_Mix'!$A$2:$A$977,G98)&gt;0,"matched","missing_mix")</f>
        <v/>
      </c>
    </row>
    <row r="99">
      <c r="A99" s="5">
        <f>'02a_DC_Capacity_Alloc'!A99</f>
        <v/>
      </c>
      <c r="B99" s="5">
        <f>'02a_DC_Capacity_Alloc'!B99</f>
        <v/>
      </c>
      <c r="C99" s="5">
        <f>'02a_DC_Capacity_Alloc'!C99</f>
        <v/>
      </c>
      <c r="D99" s="5">
        <f>'02a_DC_Capacity_Alloc'!D99</f>
        <v/>
      </c>
      <c r="E99" s="5">
        <f>'02a_DC_Capacity_Alloc'!E99</f>
        <v/>
      </c>
      <c r="F99" s="5">
        <f>'02a_DC_Capacity_Alloc'!F99</f>
        <v/>
      </c>
      <c r="G99" s="5">
        <f>B99&amp;"|"&amp;E99&amp;"|"&amp;D99</f>
        <v/>
      </c>
      <c r="H99" s="28">
        <f>'02a_DC_Capacity_Alloc'!H99*'02a_DC_Capacity_Alloc'!I99*'02a_DC_Capacity_Alloc'!J99</f>
        <v/>
      </c>
      <c r="I99" s="6">
        <f>IFERROR(INDEX('02b_DC_Accelerator_Mix'!$F$2:$F$977,MATCH(G99,'02b_DC_Accelerator_Mix'!$A$2:$A$977,0)),0)</f>
        <v/>
      </c>
      <c r="J99" s="6">
        <f>IFERROR(INDEX('02b_DC_Accelerator_Mix'!$G$2:$G$977,MATCH(G99,'02b_DC_Accelerator_Mix'!$A$2:$A$977,0)),0)</f>
        <v/>
      </c>
      <c r="K99" s="6">
        <f>IFERROR(INDEX('02b_DC_Accelerator_Mix'!$H$2:$H$977,MATCH(G99,'02b_DC_Accelerator_Mix'!$A$2:$A$977,0)),0)</f>
        <v/>
      </c>
      <c r="L99" s="6">
        <f>IFERROR(INDEX('02b_DC_Accelerator_Mix'!$I$2:$I$977,MATCH(G99,'02b_DC_Accelerator_Mix'!$A$2:$A$977,0)),0)</f>
        <v/>
      </c>
      <c r="M99" s="6">
        <f>IFERROR(INDEX('02b_DC_Accelerator_Mix'!$J$2:$J$977,MATCH(G99,'02b_DC_Accelerator_Mix'!$A$2:$A$977,0)),0)</f>
        <v/>
      </c>
      <c r="N99" s="6">
        <f>IFERROR(INDEX('02b_DC_Accelerator_Mix'!$K$2:$K$977,MATCH(G99,'02b_DC_Accelerator_Mix'!$A$2:$A$977,0)),0)</f>
        <v/>
      </c>
      <c r="O99" s="6">
        <f>IFERROR(INDEX('02b_DC_Accelerator_Mix'!$L$2:$L$977,MATCH(G99,'02b_DC_Accelerator_Mix'!$A$2:$A$977,0)),0)</f>
        <v/>
      </c>
      <c r="P99" s="6">
        <f>IFERROR(INDEX('02b_DC_Accelerator_Mix'!$M$2:$M$977,MATCH(G99,'02b_DC_Accelerator_Mix'!$A$2:$A$977,0)),0)</f>
        <v/>
      </c>
      <c r="Q99" s="6">
        <f>IFERROR(INDEX('02b_DC_Accelerator_Mix'!$N$2:$N$977,MATCH(G99,'02b_DC_Accelerator_Mix'!$A$2:$A$977,0)),0)</f>
        <v/>
      </c>
      <c r="R99" s="28">
        <f>H99*I99</f>
        <v/>
      </c>
      <c r="S99" s="28">
        <f>H99*J99</f>
        <v/>
      </c>
      <c r="T99" s="28">
        <f>H99*K99</f>
        <v/>
      </c>
      <c r="U99" s="28">
        <f>H99*L99</f>
        <v/>
      </c>
      <c r="V99" s="28">
        <f>H99*M99</f>
        <v/>
      </c>
      <c r="W99" s="28">
        <f>H99*N99</f>
        <v/>
      </c>
      <c r="X99" s="28">
        <f>H99*O99</f>
        <v/>
      </c>
      <c r="Y99" s="28">
        <f>H99*P99</f>
        <v/>
      </c>
      <c r="Z99" s="28">
        <f>H99*Q99</f>
        <v/>
      </c>
      <c r="AA99" s="28">
        <f>SUM(U99:Z99)</f>
        <v/>
      </c>
      <c r="AB99" s="5">
        <f>IF(COUNTIF('02b_DC_Accelerator_Mix'!$A$2:$A$977,G99)&gt;0,"matched","missing_mix")</f>
        <v/>
      </c>
    </row>
    <row r="100">
      <c r="A100" s="5">
        <f>'02a_DC_Capacity_Alloc'!A100</f>
        <v/>
      </c>
      <c r="B100" s="5">
        <f>'02a_DC_Capacity_Alloc'!B100</f>
        <v/>
      </c>
      <c r="C100" s="5">
        <f>'02a_DC_Capacity_Alloc'!C100</f>
        <v/>
      </c>
      <c r="D100" s="5">
        <f>'02a_DC_Capacity_Alloc'!D100</f>
        <v/>
      </c>
      <c r="E100" s="5">
        <f>'02a_DC_Capacity_Alloc'!E100</f>
        <v/>
      </c>
      <c r="F100" s="5">
        <f>'02a_DC_Capacity_Alloc'!F100</f>
        <v/>
      </c>
      <c r="G100" s="5">
        <f>B100&amp;"|"&amp;E100&amp;"|"&amp;D100</f>
        <v/>
      </c>
      <c r="H100" s="28">
        <f>'02a_DC_Capacity_Alloc'!H100*'02a_DC_Capacity_Alloc'!I100*'02a_DC_Capacity_Alloc'!J100</f>
        <v/>
      </c>
      <c r="I100" s="6">
        <f>IFERROR(INDEX('02b_DC_Accelerator_Mix'!$F$2:$F$977,MATCH(G100,'02b_DC_Accelerator_Mix'!$A$2:$A$977,0)),0)</f>
        <v/>
      </c>
      <c r="J100" s="6">
        <f>IFERROR(INDEX('02b_DC_Accelerator_Mix'!$G$2:$G$977,MATCH(G100,'02b_DC_Accelerator_Mix'!$A$2:$A$977,0)),0)</f>
        <v/>
      </c>
      <c r="K100" s="6">
        <f>IFERROR(INDEX('02b_DC_Accelerator_Mix'!$H$2:$H$977,MATCH(G100,'02b_DC_Accelerator_Mix'!$A$2:$A$977,0)),0)</f>
        <v/>
      </c>
      <c r="L100" s="6">
        <f>IFERROR(INDEX('02b_DC_Accelerator_Mix'!$I$2:$I$977,MATCH(G100,'02b_DC_Accelerator_Mix'!$A$2:$A$977,0)),0)</f>
        <v/>
      </c>
      <c r="M100" s="6">
        <f>IFERROR(INDEX('02b_DC_Accelerator_Mix'!$J$2:$J$977,MATCH(G100,'02b_DC_Accelerator_Mix'!$A$2:$A$977,0)),0)</f>
        <v/>
      </c>
      <c r="N100" s="6">
        <f>IFERROR(INDEX('02b_DC_Accelerator_Mix'!$K$2:$K$977,MATCH(G100,'02b_DC_Accelerator_Mix'!$A$2:$A$977,0)),0)</f>
        <v/>
      </c>
      <c r="O100" s="6">
        <f>IFERROR(INDEX('02b_DC_Accelerator_Mix'!$L$2:$L$977,MATCH(G100,'02b_DC_Accelerator_Mix'!$A$2:$A$977,0)),0)</f>
        <v/>
      </c>
      <c r="P100" s="6">
        <f>IFERROR(INDEX('02b_DC_Accelerator_Mix'!$M$2:$M$977,MATCH(G100,'02b_DC_Accelerator_Mix'!$A$2:$A$977,0)),0)</f>
        <v/>
      </c>
      <c r="Q100" s="6">
        <f>IFERROR(INDEX('02b_DC_Accelerator_Mix'!$N$2:$N$977,MATCH(G100,'02b_DC_Accelerator_Mix'!$A$2:$A$977,0)),0)</f>
        <v/>
      </c>
      <c r="R100" s="28">
        <f>H100*I100</f>
        <v/>
      </c>
      <c r="S100" s="28">
        <f>H100*J100</f>
        <v/>
      </c>
      <c r="T100" s="28">
        <f>H100*K100</f>
        <v/>
      </c>
      <c r="U100" s="28">
        <f>H100*L100</f>
        <v/>
      </c>
      <c r="V100" s="28">
        <f>H100*M100</f>
        <v/>
      </c>
      <c r="W100" s="28">
        <f>H100*N100</f>
        <v/>
      </c>
      <c r="X100" s="28">
        <f>H100*O100</f>
        <v/>
      </c>
      <c r="Y100" s="28">
        <f>H100*P100</f>
        <v/>
      </c>
      <c r="Z100" s="28">
        <f>H100*Q100</f>
        <v/>
      </c>
      <c r="AA100" s="28">
        <f>SUM(U100:Z100)</f>
        <v/>
      </c>
      <c r="AB100" s="5">
        <f>IF(COUNTIF('02b_DC_Accelerator_Mix'!$A$2:$A$977,G100)&gt;0,"matched","missing_mix")</f>
        <v/>
      </c>
    </row>
    <row r="101">
      <c r="A101" s="5">
        <f>'02a_DC_Capacity_Alloc'!A101</f>
        <v/>
      </c>
      <c r="B101" s="5">
        <f>'02a_DC_Capacity_Alloc'!B101</f>
        <v/>
      </c>
      <c r="C101" s="5">
        <f>'02a_DC_Capacity_Alloc'!C101</f>
        <v/>
      </c>
      <c r="D101" s="5">
        <f>'02a_DC_Capacity_Alloc'!D101</f>
        <v/>
      </c>
      <c r="E101" s="5">
        <f>'02a_DC_Capacity_Alloc'!E101</f>
        <v/>
      </c>
      <c r="F101" s="5">
        <f>'02a_DC_Capacity_Alloc'!F101</f>
        <v/>
      </c>
      <c r="G101" s="5">
        <f>B101&amp;"|"&amp;E101&amp;"|"&amp;D101</f>
        <v/>
      </c>
      <c r="H101" s="28">
        <f>'02a_DC_Capacity_Alloc'!H101*'02a_DC_Capacity_Alloc'!I101*'02a_DC_Capacity_Alloc'!J101</f>
        <v/>
      </c>
      <c r="I101" s="6">
        <f>IFERROR(INDEX('02b_DC_Accelerator_Mix'!$F$2:$F$977,MATCH(G101,'02b_DC_Accelerator_Mix'!$A$2:$A$977,0)),0)</f>
        <v/>
      </c>
      <c r="J101" s="6">
        <f>IFERROR(INDEX('02b_DC_Accelerator_Mix'!$G$2:$G$977,MATCH(G101,'02b_DC_Accelerator_Mix'!$A$2:$A$977,0)),0)</f>
        <v/>
      </c>
      <c r="K101" s="6">
        <f>IFERROR(INDEX('02b_DC_Accelerator_Mix'!$H$2:$H$977,MATCH(G101,'02b_DC_Accelerator_Mix'!$A$2:$A$977,0)),0)</f>
        <v/>
      </c>
      <c r="L101" s="6">
        <f>IFERROR(INDEX('02b_DC_Accelerator_Mix'!$I$2:$I$977,MATCH(G101,'02b_DC_Accelerator_Mix'!$A$2:$A$977,0)),0)</f>
        <v/>
      </c>
      <c r="M101" s="6">
        <f>IFERROR(INDEX('02b_DC_Accelerator_Mix'!$J$2:$J$977,MATCH(G101,'02b_DC_Accelerator_Mix'!$A$2:$A$977,0)),0)</f>
        <v/>
      </c>
      <c r="N101" s="6">
        <f>IFERROR(INDEX('02b_DC_Accelerator_Mix'!$K$2:$K$977,MATCH(G101,'02b_DC_Accelerator_Mix'!$A$2:$A$977,0)),0)</f>
        <v/>
      </c>
      <c r="O101" s="6">
        <f>IFERROR(INDEX('02b_DC_Accelerator_Mix'!$L$2:$L$977,MATCH(G101,'02b_DC_Accelerator_Mix'!$A$2:$A$977,0)),0)</f>
        <v/>
      </c>
      <c r="P101" s="6">
        <f>IFERROR(INDEX('02b_DC_Accelerator_Mix'!$M$2:$M$977,MATCH(G101,'02b_DC_Accelerator_Mix'!$A$2:$A$977,0)),0)</f>
        <v/>
      </c>
      <c r="Q101" s="6">
        <f>IFERROR(INDEX('02b_DC_Accelerator_Mix'!$N$2:$N$977,MATCH(G101,'02b_DC_Accelerator_Mix'!$A$2:$A$977,0)),0)</f>
        <v/>
      </c>
      <c r="R101" s="28">
        <f>H101*I101</f>
        <v/>
      </c>
      <c r="S101" s="28">
        <f>H101*J101</f>
        <v/>
      </c>
      <c r="T101" s="28">
        <f>H101*K101</f>
        <v/>
      </c>
      <c r="U101" s="28">
        <f>H101*L101</f>
        <v/>
      </c>
      <c r="V101" s="28">
        <f>H101*M101</f>
        <v/>
      </c>
      <c r="W101" s="28">
        <f>H101*N101</f>
        <v/>
      </c>
      <c r="X101" s="28">
        <f>H101*O101</f>
        <v/>
      </c>
      <c r="Y101" s="28">
        <f>H101*P101</f>
        <v/>
      </c>
      <c r="Z101" s="28">
        <f>H101*Q101</f>
        <v/>
      </c>
      <c r="AA101" s="28">
        <f>SUM(U101:Z101)</f>
        <v/>
      </c>
      <c r="AB101" s="5">
        <f>IF(COUNTIF('02b_DC_Accelerator_Mix'!$A$2:$A$977,G101)&gt;0,"matched","missing_mix")</f>
        <v/>
      </c>
    </row>
    <row r="102">
      <c r="A102" s="5">
        <f>'02a_DC_Capacity_Alloc'!A102</f>
        <v/>
      </c>
      <c r="B102" s="5">
        <f>'02a_DC_Capacity_Alloc'!B102</f>
        <v/>
      </c>
      <c r="C102" s="5">
        <f>'02a_DC_Capacity_Alloc'!C102</f>
        <v/>
      </c>
      <c r="D102" s="5">
        <f>'02a_DC_Capacity_Alloc'!D102</f>
        <v/>
      </c>
      <c r="E102" s="5">
        <f>'02a_DC_Capacity_Alloc'!E102</f>
        <v/>
      </c>
      <c r="F102" s="5">
        <f>'02a_DC_Capacity_Alloc'!F102</f>
        <v/>
      </c>
      <c r="G102" s="5">
        <f>B102&amp;"|"&amp;E102&amp;"|"&amp;D102</f>
        <v/>
      </c>
      <c r="H102" s="28">
        <f>'02a_DC_Capacity_Alloc'!H102*'02a_DC_Capacity_Alloc'!I102*'02a_DC_Capacity_Alloc'!J102</f>
        <v/>
      </c>
      <c r="I102" s="6">
        <f>IFERROR(INDEX('02b_DC_Accelerator_Mix'!$F$2:$F$977,MATCH(G102,'02b_DC_Accelerator_Mix'!$A$2:$A$977,0)),0)</f>
        <v/>
      </c>
      <c r="J102" s="6">
        <f>IFERROR(INDEX('02b_DC_Accelerator_Mix'!$G$2:$G$977,MATCH(G102,'02b_DC_Accelerator_Mix'!$A$2:$A$977,0)),0)</f>
        <v/>
      </c>
      <c r="K102" s="6">
        <f>IFERROR(INDEX('02b_DC_Accelerator_Mix'!$H$2:$H$977,MATCH(G102,'02b_DC_Accelerator_Mix'!$A$2:$A$977,0)),0)</f>
        <v/>
      </c>
      <c r="L102" s="6">
        <f>IFERROR(INDEX('02b_DC_Accelerator_Mix'!$I$2:$I$977,MATCH(G102,'02b_DC_Accelerator_Mix'!$A$2:$A$977,0)),0)</f>
        <v/>
      </c>
      <c r="M102" s="6">
        <f>IFERROR(INDEX('02b_DC_Accelerator_Mix'!$J$2:$J$977,MATCH(G102,'02b_DC_Accelerator_Mix'!$A$2:$A$977,0)),0)</f>
        <v/>
      </c>
      <c r="N102" s="6">
        <f>IFERROR(INDEX('02b_DC_Accelerator_Mix'!$K$2:$K$977,MATCH(G102,'02b_DC_Accelerator_Mix'!$A$2:$A$977,0)),0)</f>
        <v/>
      </c>
      <c r="O102" s="6">
        <f>IFERROR(INDEX('02b_DC_Accelerator_Mix'!$L$2:$L$977,MATCH(G102,'02b_DC_Accelerator_Mix'!$A$2:$A$977,0)),0)</f>
        <v/>
      </c>
      <c r="P102" s="6">
        <f>IFERROR(INDEX('02b_DC_Accelerator_Mix'!$M$2:$M$977,MATCH(G102,'02b_DC_Accelerator_Mix'!$A$2:$A$977,0)),0)</f>
        <v/>
      </c>
      <c r="Q102" s="6">
        <f>IFERROR(INDEX('02b_DC_Accelerator_Mix'!$N$2:$N$977,MATCH(G102,'02b_DC_Accelerator_Mix'!$A$2:$A$977,0)),0)</f>
        <v/>
      </c>
      <c r="R102" s="28">
        <f>H102*I102</f>
        <v/>
      </c>
      <c r="S102" s="28">
        <f>H102*J102</f>
        <v/>
      </c>
      <c r="T102" s="28">
        <f>H102*K102</f>
        <v/>
      </c>
      <c r="U102" s="28">
        <f>H102*L102</f>
        <v/>
      </c>
      <c r="V102" s="28">
        <f>H102*M102</f>
        <v/>
      </c>
      <c r="W102" s="28">
        <f>H102*N102</f>
        <v/>
      </c>
      <c r="X102" s="28">
        <f>H102*O102</f>
        <v/>
      </c>
      <c r="Y102" s="28">
        <f>H102*P102</f>
        <v/>
      </c>
      <c r="Z102" s="28">
        <f>H102*Q102</f>
        <v/>
      </c>
      <c r="AA102" s="28">
        <f>SUM(U102:Z102)</f>
        <v/>
      </c>
      <c r="AB102" s="5">
        <f>IF(COUNTIF('02b_DC_Accelerator_Mix'!$A$2:$A$977,G102)&gt;0,"matched","missing_mix")</f>
        <v/>
      </c>
    </row>
    <row r="103">
      <c r="A103" s="5">
        <f>'02a_DC_Capacity_Alloc'!A103</f>
        <v/>
      </c>
      <c r="B103" s="5">
        <f>'02a_DC_Capacity_Alloc'!B103</f>
        <v/>
      </c>
      <c r="C103" s="5">
        <f>'02a_DC_Capacity_Alloc'!C103</f>
        <v/>
      </c>
      <c r="D103" s="5">
        <f>'02a_DC_Capacity_Alloc'!D103</f>
        <v/>
      </c>
      <c r="E103" s="5">
        <f>'02a_DC_Capacity_Alloc'!E103</f>
        <v/>
      </c>
      <c r="F103" s="5">
        <f>'02a_DC_Capacity_Alloc'!F103</f>
        <v/>
      </c>
      <c r="G103" s="5">
        <f>B103&amp;"|"&amp;E103&amp;"|"&amp;D103</f>
        <v/>
      </c>
      <c r="H103" s="28">
        <f>'02a_DC_Capacity_Alloc'!H103*'02a_DC_Capacity_Alloc'!I103*'02a_DC_Capacity_Alloc'!J103</f>
        <v/>
      </c>
      <c r="I103" s="6">
        <f>IFERROR(INDEX('02b_DC_Accelerator_Mix'!$F$2:$F$977,MATCH(G103,'02b_DC_Accelerator_Mix'!$A$2:$A$977,0)),0)</f>
        <v/>
      </c>
      <c r="J103" s="6">
        <f>IFERROR(INDEX('02b_DC_Accelerator_Mix'!$G$2:$G$977,MATCH(G103,'02b_DC_Accelerator_Mix'!$A$2:$A$977,0)),0)</f>
        <v/>
      </c>
      <c r="K103" s="6">
        <f>IFERROR(INDEX('02b_DC_Accelerator_Mix'!$H$2:$H$977,MATCH(G103,'02b_DC_Accelerator_Mix'!$A$2:$A$977,0)),0)</f>
        <v/>
      </c>
      <c r="L103" s="6">
        <f>IFERROR(INDEX('02b_DC_Accelerator_Mix'!$I$2:$I$977,MATCH(G103,'02b_DC_Accelerator_Mix'!$A$2:$A$977,0)),0)</f>
        <v/>
      </c>
      <c r="M103" s="6">
        <f>IFERROR(INDEX('02b_DC_Accelerator_Mix'!$J$2:$J$977,MATCH(G103,'02b_DC_Accelerator_Mix'!$A$2:$A$977,0)),0)</f>
        <v/>
      </c>
      <c r="N103" s="6">
        <f>IFERROR(INDEX('02b_DC_Accelerator_Mix'!$K$2:$K$977,MATCH(G103,'02b_DC_Accelerator_Mix'!$A$2:$A$977,0)),0)</f>
        <v/>
      </c>
      <c r="O103" s="6">
        <f>IFERROR(INDEX('02b_DC_Accelerator_Mix'!$L$2:$L$977,MATCH(G103,'02b_DC_Accelerator_Mix'!$A$2:$A$977,0)),0)</f>
        <v/>
      </c>
      <c r="P103" s="6">
        <f>IFERROR(INDEX('02b_DC_Accelerator_Mix'!$M$2:$M$977,MATCH(G103,'02b_DC_Accelerator_Mix'!$A$2:$A$977,0)),0)</f>
        <v/>
      </c>
      <c r="Q103" s="6">
        <f>IFERROR(INDEX('02b_DC_Accelerator_Mix'!$N$2:$N$977,MATCH(G103,'02b_DC_Accelerator_Mix'!$A$2:$A$977,0)),0)</f>
        <v/>
      </c>
      <c r="R103" s="28">
        <f>H103*I103</f>
        <v/>
      </c>
      <c r="S103" s="28">
        <f>H103*J103</f>
        <v/>
      </c>
      <c r="T103" s="28">
        <f>H103*K103</f>
        <v/>
      </c>
      <c r="U103" s="28">
        <f>H103*L103</f>
        <v/>
      </c>
      <c r="V103" s="28">
        <f>H103*M103</f>
        <v/>
      </c>
      <c r="W103" s="28">
        <f>H103*N103</f>
        <v/>
      </c>
      <c r="X103" s="28">
        <f>H103*O103</f>
        <v/>
      </c>
      <c r="Y103" s="28">
        <f>H103*P103</f>
        <v/>
      </c>
      <c r="Z103" s="28">
        <f>H103*Q103</f>
        <v/>
      </c>
      <c r="AA103" s="28">
        <f>SUM(U103:Z103)</f>
        <v/>
      </c>
      <c r="AB103" s="5">
        <f>IF(COUNTIF('02b_DC_Accelerator_Mix'!$A$2:$A$977,G103)&gt;0,"matched","missing_mix")</f>
        <v/>
      </c>
    </row>
    <row r="104">
      <c r="A104" s="5">
        <f>'02a_DC_Capacity_Alloc'!A104</f>
        <v/>
      </c>
      <c r="B104" s="5">
        <f>'02a_DC_Capacity_Alloc'!B104</f>
        <v/>
      </c>
      <c r="C104" s="5">
        <f>'02a_DC_Capacity_Alloc'!C104</f>
        <v/>
      </c>
      <c r="D104" s="5">
        <f>'02a_DC_Capacity_Alloc'!D104</f>
        <v/>
      </c>
      <c r="E104" s="5">
        <f>'02a_DC_Capacity_Alloc'!E104</f>
        <v/>
      </c>
      <c r="F104" s="5">
        <f>'02a_DC_Capacity_Alloc'!F104</f>
        <v/>
      </c>
      <c r="G104" s="5">
        <f>B104&amp;"|"&amp;E104&amp;"|"&amp;D104</f>
        <v/>
      </c>
      <c r="H104" s="28">
        <f>'02a_DC_Capacity_Alloc'!H104*'02a_DC_Capacity_Alloc'!I104*'02a_DC_Capacity_Alloc'!J104</f>
        <v/>
      </c>
      <c r="I104" s="6">
        <f>IFERROR(INDEX('02b_DC_Accelerator_Mix'!$F$2:$F$977,MATCH(G104,'02b_DC_Accelerator_Mix'!$A$2:$A$977,0)),0)</f>
        <v/>
      </c>
      <c r="J104" s="6">
        <f>IFERROR(INDEX('02b_DC_Accelerator_Mix'!$G$2:$G$977,MATCH(G104,'02b_DC_Accelerator_Mix'!$A$2:$A$977,0)),0)</f>
        <v/>
      </c>
      <c r="K104" s="6">
        <f>IFERROR(INDEX('02b_DC_Accelerator_Mix'!$H$2:$H$977,MATCH(G104,'02b_DC_Accelerator_Mix'!$A$2:$A$977,0)),0)</f>
        <v/>
      </c>
      <c r="L104" s="6">
        <f>IFERROR(INDEX('02b_DC_Accelerator_Mix'!$I$2:$I$977,MATCH(G104,'02b_DC_Accelerator_Mix'!$A$2:$A$977,0)),0)</f>
        <v/>
      </c>
      <c r="M104" s="6">
        <f>IFERROR(INDEX('02b_DC_Accelerator_Mix'!$J$2:$J$977,MATCH(G104,'02b_DC_Accelerator_Mix'!$A$2:$A$977,0)),0)</f>
        <v/>
      </c>
      <c r="N104" s="6">
        <f>IFERROR(INDEX('02b_DC_Accelerator_Mix'!$K$2:$K$977,MATCH(G104,'02b_DC_Accelerator_Mix'!$A$2:$A$977,0)),0)</f>
        <v/>
      </c>
      <c r="O104" s="6">
        <f>IFERROR(INDEX('02b_DC_Accelerator_Mix'!$L$2:$L$977,MATCH(G104,'02b_DC_Accelerator_Mix'!$A$2:$A$977,0)),0)</f>
        <v/>
      </c>
      <c r="P104" s="6">
        <f>IFERROR(INDEX('02b_DC_Accelerator_Mix'!$M$2:$M$977,MATCH(G104,'02b_DC_Accelerator_Mix'!$A$2:$A$977,0)),0)</f>
        <v/>
      </c>
      <c r="Q104" s="6">
        <f>IFERROR(INDEX('02b_DC_Accelerator_Mix'!$N$2:$N$977,MATCH(G104,'02b_DC_Accelerator_Mix'!$A$2:$A$977,0)),0)</f>
        <v/>
      </c>
      <c r="R104" s="28">
        <f>H104*I104</f>
        <v/>
      </c>
      <c r="S104" s="28">
        <f>H104*J104</f>
        <v/>
      </c>
      <c r="T104" s="28">
        <f>H104*K104</f>
        <v/>
      </c>
      <c r="U104" s="28">
        <f>H104*L104</f>
        <v/>
      </c>
      <c r="V104" s="28">
        <f>H104*M104</f>
        <v/>
      </c>
      <c r="W104" s="28">
        <f>H104*N104</f>
        <v/>
      </c>
      <c r="X104" s="28">
        <f>H104*O104</f>
        <v/>
      </c>
      <c r="Y104" s="28">
        <f>H104*P104</f>
        <v/>
      </c>
      <c r="Z104" s="28">
        <f>H104*Q104</f>
        <v/>
      </c>
      <c r="AA104" s="28">
        <f>SUM(U104:Z104)</f>
        <v/>
      </c>
      <c r="AB104" s="5">
        <f>IF(COUNTIF('02b_DC_Accelerator_Mix'!$A$2:$A$977,G104)&gt;0,"matched","missing_mix")</f>
        <v/>
      </c>
    </row>
    <row r="105">
      <c r="A105" s="5">
        <f>'02a_DC_Capacity_Alloc'!A105</f>
        <v/>
      </c>
      <c r="B105" s="5">
        <f>'02a_DC_Capacity_Alloc'!B105</f>
        <v/>
      </c>
      <c r="C105" s="5">
        <f>'02a_DC_Capacity_Alloc'!C105</f>
        <v/>
      </c>
      <c r="D105" s="5">
        <f>'02a_DC_Capacity_Alloc'!D105</f>
        <v/>
      </c>
      <c r="E105" s="5">
        <f>'02a_DC_Capacity_Alloc'!E105</f>
        <v/>
      </c>
      <c r="F105" s="5">
        <f>'02a_DC_Capacity_Alloc'!F105</f>
        <v/>
      </c>
      <c r="G105" s="5">
        <f>B105&amp;"|"&amp;E105&amp;"|"&amp;D105</f>
        <v/>
      </c>
      <c r="H105" s="28">
        <f>'02a_DC_Capacity_Alloc'!H105*'02a_DC_Capacity_Alloc'!I105*'02a_DC_Capacity_Alloc'!J105</f>
        <v/>
      </c>
      <c r="I105" s="6">
        <f>IFERROR(INDEX('02b_DC_Accelerator_Mix'!$F$2:$F$977,MATCH(G105,'02b_DC_Accelerator_Mix'!$A$2:$A$977,0)),0)</f>
        <v/>
      </c>
      <c r="J105" s="6">
        <f>IFERROR(INDEX('02b_DC_Accelerator_Mix'!$G$2:$G$977,MATCH(G105,'02b_DC_Accelerator_Mix'!$A$2:$A$977,0)),0)</f>
        <v/>
      </c>
      <c r="K105" s="6">
        <f>IFERROR(INDEX('02b_DC_Accelerator_Mix'!$H$2:$H$977,MATCH(G105,'02b_DC_Accelerator_Mix'!$A$2:$A$977,0)),0)</f>
        <v/>
      </c>
      <c r="L105" s="6">
        <f>IFERROR(INDEX('02b_DC_Accelerator_Mix'!$I$2:$I$977,MATCH(G105,'02b_DC_Accelerator_Mix'!$A$2:$A$977,0)),0)</f>
        <v/>
      </c>
      <c r="M105" s="6">
        <f>IFERROR(INDEX('02b_DC_Accelerator_Mix'!$J$2:$J$977,MATCH(G105,'02b_DC_Accelerator_Mix'!$A$2:$A$977,0)),0)</f>
        <v/>
      </c>
      <c r="N105" s="6">
        <f>IFERROR(INDEX('02b_DC_Accelerator_Mix'!$K$2:$K$977,MATCH(G105,'02b_DC_Accelerator_Mix'!$A$2:$A$977,0)),0)</f>
        <v/>
      </c>
      <c r="O105" s="6">
        <f>IFERROR(INDEX('02b_DC_Accelerator_Mix'!$L$2:$L$977,MATCH(G105,'02b_DC_Accelerator_Mix'!$A$2:$A$977,0)),0)</f>
        <v/>
      </c>
      <c r="P105" s="6">
        <f>IFERROR(INDEX('02b_DC_Accelerator_Mix'!$M$2:$M$977,MATCH(G105,'02b_DC_Accelerator_Mix'!$A$2:$A$977,0)),0)</f>
        <v/>
      </c>
      <c r="Q105" s="6">
        <f>IFERROR(INDEX('02b_DC_Accelerator_Mix'!$N$2:$N$977,MATCH(G105,'02b_DC_Accelerator_Mix'!$A$2:$A$977,0)),0)</f>
        <v/>
      </c>
      <c r="R105" s="28">
        <f>H105*I105</f>
        <v/>
      </c>
      <c r="S105" s="28">
        <f>H105*J105</f>
        <v/>
      </c>
      <c r="T105" s="28">
        <f>H105*K105</f>
        <v/>
      </c>
      <c r="U105" s="28">
        <f>H105*L105</f>
        <v/>
      </c>
      <c r="V105" s="28">
        <f>H105*M105</f>
        <v/>
      </c>
      <c r="W105" s="28">
        <f>H105*N105</f>
        <v/>
      </c>
      <c r="X105" s="28">
        <f>H105*O105</f>
        <v/>
      </c>
      <c r="Y105" s="28">
        <f>H105*P105</f>
        <v/>
      </c>
      <c r="Z105" s="28">
        <f>H105*Q105</f>
        <v/>
      </c>
      <c r="AA105" s="28">
        <f>SUM(U105:Z105)</f>
        <v/>
      </c>
      <c r="AB105" s="5">
        <f>IF(COUNTIF('02b_DC_Accelerator_Mix'!$A$2:$A$977,G105)&gt;0,"matched","missing_mix")</f>
        <v/>
      </c>
    </row>
    <row r="106">
      <c r="A106" s="5">
        <f>'02a_DC_Capacity_Alloc'!A106</f>
        <v/>
      </c>
      <c r="B106" s="5">
        <f>'02a_DC_Capacity_Alloc'!B106</f>
        <v/>
      </c>
      <c r="C106" s="5">
        <f>'02a_DC_Capacity_Alloc'!C106</f>
        <v/>
      </c>
      <c r="D106" s="5">
        <f>'02a_DC_Capacity_Alloc'!D106</f>
        <v/>
      </c>
      <c r="E106" s="5">
        <f>'02a_DC_Capacity_Alloc'!E106</f>
        <v/>
      </c>
      <c r="F106" s="5">
        <f>'02a_DC_Capacity_Alloc'!F106</f>
        <v/>
      </c>
      <c r="G106" s="5">
        <f>B106&amp;"|"&amp;E106&amp;"|"&amp;D106</f>
        <v/>
      </c>
      <c r="H106" s="28">
        <f>'02a_DC_Capacity_Alloc'!H106*'02a_DC_Capacity_Alloc'!I106*'02a_DC_Capacity_Alloc'!J106</f>
        <v/>
      </c>
      <c r="I106" s="6">
        <f>IFERROR(INDEX('02b_DC_Accelerator_Mix'!$F$2:$F$977,MATCH(G106,'02b_DC_Accelerator_Mix'!$A$2:$A$977,0)),0)</f>
        <v/>
      </c>
      <c r="J106" s="6">
        <f>IFERROR(INDEX('02b_DC_Accelerator_Mix'!$G$2:$G$977,MATCH(G106,'02b_DC_Accelerator_Mix'!$A$2:$A$977,0)),0)</f>
        <v/>
      </c>
      <c r="K106" s="6">
        <f>IFERROR(INDEX('02b_DC_Accelerator_Mix'!$H$2:$H$977,MATCH(G106,'02b_DC_Accelerator_Mix'!$A$2:$A$977,0)),0)</f>
        <v/>
      </c>
      <c r="L106" s="6">
        <f>IFERROR(INDEX('02b_DC_Accelerator_Mix'!$I$2:$I$977,MATCH(G106,'02b_DC_Accelerator_Mix'!$A$2:$A$977,0)),0)</f>
        <v/>
      </c>
      <c r="M106" s="6">
        <f>IFERROR(INDEX('02b_DC_Accelerator_Mix'!$J$2:$J$977,MATCH(G106,'02b_DC_Accelerator_Mix'!$A$2:$A$977,0)),0)</f>
        <v/>
      </c>
      <c r="N106" s="6">
        <f>IFERROR(INDEX('02b_DC_Accelerator_Mix'!$K$2:$K$977,MATCH(G106,'02b_DC_Accelerator_Mix'!$A$2:$A$977,0)),0)</f>
        <v/>
      </c>
      <c r="O106" s="6">
        <f>IFERROR(INDEX('02b_DC_Accelerator_Mix'!$L$2:$L$977,MATCH(G106,'02b_DC_Accelerator_Mix'!$A$2:$A$977,0)),0)</f>
        <v/>
      </c>
      <c r="P106" s="6">
        <f>IFERROR(INDEX('02b_DC_Accelerator_Mix'!$M$2:$M$977,MATCH(G106,'02b_DC_Accelerator_Mix'!$A$2:$A$977,0)),0)</f>
        <v/>
      </c>
      <c r="Q106" s="6">
        <f>IFERROR(INDEX('02b_DC_Accelerator_Mix'!$N$2:$N$977,MATCH(G106,'02b_DC_Accelerator_Mix'!$A$2:$A$977,0)),0)</f>
        <v/>
      </c>
      <c r="R106" s="28">
        <f>H106*I106</f>
        <v/>
      </c>
      <c r="S106" s="28">
        <f>H106*J106</f>
        <v/>
      </c>
      <c r="T106" s="28">
        <f>H106*K106</f>
        <v/>
      </c>
      <c r="U106" s="28">
        <f>H106*L106</f>
        <v/>
      </c>
      <c r="V106" s="28">
        <f>H106*M106</f>
        <v/>
      </c>
      <c r="W106" s="28">
        <f>H106*N106</f>
        <v/>
      </c>
      <c r="X106" s="28">
        <f>H106*O106</f>
        <v/>
      </c>
      <c r="Y106" s="28">
        <f>H106*P106</f>
        <v/>
      </c>
      <c r="Z106" s="28">
        <f>H106*Q106</f>
        <v/>
      </c>
      <c r="AA106" s="28">
        <f>SUM(U106:Z106)</f>
        <v/>
      </c>
      <c r="AB106" s="5">
        <f>IF(COUNTIF('02b_DC_Accelerator_Mix'!$A$2:$A$977,G106)&gt;0,"matched","missing_mix")</f>
        <v/>
      </c>
    </row>
    <row r="107">
      <c r="A107" s="5">
        <f>'02a_DC_Capacity_Alloc'!A107</f>
        <v/>
      </c>
      <c r="B107" s="5">
        <f>'02a_DC_Capacity_Alloc'!B107</f>
        <v/>
      </c>
      <c r="C107" s="5">
        <f>'02a_DC_Capacity_Alloc'!C107</f>
        <v/>
      </c>
      <c r="D107" s="5">
        <f>'02a_DC_Capacity_Alloc'!D107</f>
        <v/>
      </c>
      <c r="E107" s="5">
        <f>'02a_DC_Capacity_Alloc'!E107</f>
        <v/>
      </c>
      <c r="F107" s="5">
        <f>'02a_DC_Capacity_Alloc'!F107</f>
        <v/>
      </c>
      <c r="G107" s="5">
        <f>B107&amp;"|"&amp;E107&amp;"|"&amp;D107</f>
        <v/>
      </c>
      <c r="H107" s="28">
        <f>'02a_DC_Capacity_Alloc'!H107*'02a_DC_Capacity_Alloc'!I107*'02a_DC_Capacity_Alloc'!J107</f>
        <v/>
      </c>
      <c r="I107" s="6">
        <f>IFERROR(INDEX('02b_DC_Accelerator_Mix'!$F$2:$F$977,MATCH(G107,'02b_DC_Accelerator_Mix'!$A$2:$A$977,0)),0)</f>
        <v/>
      </c>
      <c r="J107" s="6">
        <f>IFERROR(INDEX('02b_DC_Accelerator_Mix'!$G$2:$G$977,MATCH(G107,'02b_DC_Accelerator_Mix'!$A$2:$A$977,0)),0)</f>
        <v/>
      </c>
      <c r="K107" s="6">
        <f>IFERROR(INDEX('02b_DC_Accelerator_Mix'!$H$2:$H$977,MATCH(G107,'02b_DC_Accelerator_Mix'!$A$2:$A$977,0)),0)</f>
        <v/>
      </c>
      <c r="L107" s="6">
        <f>IFERROR(INDEX('02b_DC_Accelerator_Mix'!$I$2:$I$977,MATCH(G107,'02b_DC_Accelerator_Mix'!$A$2:$A$977,0)),0)</f>
        <v/>
      </c>
      <c r="M107" s="6">
        <f>IFERROR(INDEX('02b_DC_Accelerator_Mix'!$J$2:$J$977,MATCH(G107,'02b_DC_Accelerator_Mix'!$A$2:$A$977,0)),0)</f>
        <v/>
      </c>
      <c r="N107" s="6">
        <f>IFERROR(INDEX('02b_DC_Accelerator_Mix'!$K$2:$K$977,MATCH(G107,'02b_DC_Accelerator_Mix'!$A$2:$A$977,0)),0)</f>
        <v/>
      </c>
      <c r="O107" s="6">
        <f>IFERROR(INDEX('02b_DC_Accelerator_Mix'!$L$2:$L$977,MATCH(G107,'02b_DC_Accelerator_Mix'!$A$2:$A$977,0)),0)</f>
        <v/>
      </c>
      <c r="P107" s="6">
        <f>IFERROR(INDEX('02b_DC_Accelerator_Mix'!$M$2:$M$977,MATCH(G107,'02b_DC_Accelerator_Mix'!$A$2:$A$977,0)),0)</f>
        <v/>
      </c>
      <c r="Q107" s="6">
        <f>IFERROR(INDEX('02b_DC_Accelerator_Mix'!$N$2:$N$977,MATCH(G107,'02b_DC_Accelerator_Mix'!$A$2:$A$977,0)),0)</f>
        <v/>
      </c>
      <c r="R107" s="28">
        <f>H107*I107</f>
        <v/>
      </c>
      <c r="S107" s="28">
        <f>H107*J107</f>
        <v/>
      </c>
      <c r="T107" s="28">
        <f>H107*K107</f>
        <v/>
      </c>
      <c r="U107" s="28">
        <f>H107*L107</f>
        <v/>
      </c>
      <c r="V107" s="28">
        <f>H107*M107</f>
        <v/>
      </c>
      <c r="W107" s="28">
        <f>H107*N107</f>
        <v/>
      </c>
      <c r="X107" s="28">
        <f>H107*O107</f>
        <v/>
      </c>
      <c r="Y107" s="28">
        <f>H107*P107</f>
        <v/>
      </c>
      <c r="Z107" s="28">
        <f>H107*Q107</f>
        <v/>
      </c>
      <c r="AA107" s="28">
        <f>SUM(U107:Z107)</f>
        <v/>
      </c>
      <c r="AB107" s="5">
        <f>IF(COUNTIF('02b_DC_Accelerator_Mix'!$A$2:$A$977,G107)&gt;0,"matched","missing_mix")</f>
        <v/>
      </c>
    </row>
    <row r="108">
      <c r="A108" s="5">
        <f>'02a_DC_Capacity_Alloc'!A108</f>
        <v/>
      </c>
      <c r="B108" s="5">
        <f>'02a_DC_Capacity_Alloc'!B108</f>
        <v/>
      </c>
      <c r="C108" s="5">
        <f>'02a_DC_Capacity_Alloc'!C108</f>
        <v/>
      </c>
      <c r="D108" s="5">
        <f>'02a_DC_Capacity_Alloc'!D108</f>
        <v/>
      </c>
      <c r="E108" s="5">
        <f>'02a_DC_Capacity_Alloc'!E108</f>
        <v/>
      </c>
      <c r="F108" s="5">
        <f>'02a_DC_Capacity_Alloc'!F108</f>
        <v/>
      </c>
      <c r="G108" s="5">
        <f>B108&amp;"|"&amp;E108&amp;"|"&amp;D108</f>
        <v/>
      </c>
      <c r="H108" s="28">
        <f>'02a_DC_Capacity_Alloc'!H108*'02a_DC_Capacity_Alloc'!I108*'02a_DC_Capacity_Alloc'!J108</f>
        <v/>
      </c>
      <c r="I108" s="6">
        <f>IFERROR(INDEX('02b_DC_Accelerator_Mix'!$F$2:$F$977,MATCH(G108,'02b_DC_Accelerator_Mix'!$A$2:$A$977,0)),0)</f>
        <v/>
      </c>
      <c r="J108" s="6">
        <f>IFERROR(INDEX('02b_DC_Accelerator_Mix'!$G$2:$G$977,MATCH(G108,'02b_DC_Accelerator_Mix'!$A$2:$A$977,0)),0)</f>
        <v/>
      </c>
      <c r="K108" s="6">
        <f>IFERROR(INDEX('02b_DC_Accelerator_Mix'!$H$2:$H$977,MATCH(G108,'02b_DC_Accelerator_Mix'!$A$2:$A$977,0)),0)</f>
        <v/>
      </c>
      <c r="L108" s="6">
        <f>IFERROR(INDEX('02b_DC_Accelerator_Mix'!$I$2:$I$977,MATCH(G108,'02b_DC_Accelerator_Mix'!$A$2:$A$977,0)),0)</f>
        <v/>
      </c>
      <c r="M108" s="6">
        <f>IFERROR(INDEX('02b_DC_Accelerator_Mix'!$J$2:$J$977,MATCH(G108,'02b_DC_Accelerator_Mix'!$A$2:$A$977,0)),0)</f>
        <v/>
      </c>
      <c r="N108" s="6">
        <f>IFERROR(INDEX('02b_DC_Accelerator_Mix'!$K$2:$K$977,MATCH(G108,'02b_DC_Accelerator_Mix'!$A$2:$A$977,0)),0)</f>
        <v/>
      </c>
      <c r="O108" s="6">
        <f>IFERROR(INDEX('02b_DC_Accelerator_Mix'!$L$2:$L$977,MATCH(G108,'02b_DC_Accelerator_Mix'!$A$2:$A$977,0)),0)</f>
        <v/>
      </c>
      <c r="P108" s="6">
        <f>IFERROR(INDEX('02b_DC_Accelerator_Mix'!$M$2:$M$977,MATCH(G108,'02b_DC_Accelerator_Mix'!$A$2:$A$977,0)),0)</f>
        <v/>
      </c>
      <c r="Q108" s="6">
        <f>IFERROR(INDEX('02b_DC_Accelerator_Mix'!$N$2:$N$977,MATCH(G108,'02b_DC_Accelerator_Mix'!$A$2:$A$977,0)),0)</f>
        <v/>
      </c>
      <c r="R108" s="28">
        <f>H108*I108</f>
        <v/>
      </c>
      <c r="S108" s="28">
        <f>H108*J108</f>
        <v/>
      </c>
      <c r="T108" s="28">
        <f>H108*K108</f>
        <v/>
      </c>
      <c r="U108" s="28">
        <f>H108*L108</f>
        <v/>
      </c>
      <c r="V108" s="28">
        <f>H108*M108</f>
        <v/>
      </c>
      <c r="W108" s="28">
        <f>H108*N108</f>
        <v/>
      </c>
      <c r="X108" s="28">
        <f>H108*O108</f>
        <v/>
      </c>
      <c r="Y108" s="28">
        <f>H108*P108</f>
        <v/>
      </c>
      <c r="Z108" s="28">
        <f>H108*Q108</f>
        <v/>
      </c>
      <c r="AA108" s="28">
        <f>SUM(U108:Z108)</f>
        <v/>
      </c>
      <c r="AB108" s="5">
        <f>IF(COUNTIF('02b_DC_Accelerator_Mix'!$A$2:$A$977,G108)&gt;0,"matched","missing_mix")</f>
        <v/>
      </c>
    </row>
    <row r="109">
      <c r="A109" s="5">
        <f>'02a_DC_Capacity_Alloc'!A109</f>
        <v/>
      </c>
      <c r="B109" s="5">
        <f>'02a_DC_Capacity_Alloc'!B109</f>
        <v/>
      </c>
      <c r="C109" s="5">
        <f>'02a_DC_Capacity_Alloc'!C109</f>
        <v/>
      </c>
      <c r="D109" s="5">
        <f>'02a_DC_Capacity_Alloc'!D109</f>
        <v/>
      </c>
      <c r="E109" s="5">
        <f>'02a_DC_Capacity_Alloc'!E109</f>
        <v/>
      </c>
      <c r="F109" s="5">
        <f>'02a_DC_Capacity_Alloc'!F109</f>
        <v/>
      </c>
      <c r="G109" s="5">
        <f>B109&amp;"|"&amp;E109&amp;"|"&amp;D109</f>
        <v/>
      </c>
      <c r="H109" s="28">
        <f>'02a_DC_Capacity_Alloc'!H109*'02a_DC_Capacity_Alloc'!I109*'02a_DC_Capacity_Alloc'!J109</f>
        <v/>
      </c>
      <c r="I109" s="6">
        <f>IFERROR(INDEX('02b_DC_Accelerator_Mix'!$F$2:$F$977,MATCH(G109,'02b_DC_Accelerator_Mix'!$A$2:$A$977,0)),0)</f>
        <v/>
      </c>
      <c r="J109" s="6">
        <f>IFERROR(INDEX('02b_DC_Accelerator_Mix'!$G$2:$G$977,MATCH(G109,'02b_DC_Accelerator_Mix'!$A$2:$A$977,0)),0)</f>
        <v/>
      </c>
      <c r="K109" s="6">
        <f>IFERROR(INDEX('02b_DC_Accelerator_Mix'!$H$2:$H$977,MATCH(G109,'02b_DC_Accelerator_Mix'!$A$2:$A$977,0)),0)</f>
        <v/>
      </c>
      <c r="L109" s="6">
        <f>IFERROR(INDEX('02b_DC_Accelerator_Mix'!$I$2:$I$977,MATCH(G109,'02b_DC_Accelerator_Mix'!$A$2:$A$977,0)),0)</f>
        <v/>
      </c>
      <c r="M109" s="6">
        <f>IFERROR(INDEX('02b_DC_Accelerator_Mix'!$J$2:$J$977,MATCH(G109,'02b_DC_Accelerator_Mix'!$A$2:$A$977,0)),0)</f>
        <v/>
      </c>
      <c r="N109" s="6">
        <f>IFERROR(INDEX('02b_DC_Accelerator_Mix'!$K$2:$K$977,MATCH(G109,'02b_DC_Accelerator_Mix'!$A$2:$A$977,0)),0)</f>
        <v/>
      </c>
      <c r="O109" s="6">
        <f>IFERROR(INDEX('02b_DC_Accelerator_Mix'!$L$2:$L$977,MATCH(G109,'02b_DC_Accelerator_Mix'!$A$2:$A$977,0)),0)</f>
        <v/>
      </c>
      <c r="P109" s="6">
        <f>IFERROR(INDEX('02b_DC_Accelerator_Mix'!$M$2:$M$977,MATCH(G109,'02b_DC_Accelerator_Mix'!$A$2:$A$977,0)),0)</f>
        <v/>
      </c>
      <c r="Q109" s="6">
        <f>IFERROR(INDEX('02b_DC_Accelerator_Mix'!$N$2:$N$977,MATCH(G109,'02b_DC_Accelerator_Mix'!$A$2:$A$977,0)),0)</f>
        <v/>
      </c>
      <c r="R109" s="28">
        <f>H109*I109</f>
        <v/>
      </c>
      <c r="S109" s="28">
        <f>H109*J109</f>
        <v/>
      </c>
      <c r="T109" s="28">
        <f>H109*K109</f>
        <v/>
      </c>
      <c r="U109" s="28">
        <f>H109*L109</f>
        <v/>
      </c>
      <c r="V109" s="28">
        <f>H109*M109</f>
        <v/>
      </c>
      <c r="W109" s="28">
        <f>H109*N109</f>
        <v/>
      </c>
      <c r="X109" s="28">
        <f>H109*O109</f>
        <v/>
      </c>
      <c r="Y109" s="28">
        <f>H109*P109</f>
        <v/>
      </c>
      <c r="Z109" s="28">
        <f>H109*Q109</f>
        <v/>
      </c>
      <c r="AA109" s="28">
        <f>SUM(U109:Z109)</f>
        <v/>
      </c>
      <c r="AB109" s="5">
        <f>IF(COUNTIF('02b_DC_Accelerator_Mix'!$A$2:$A$977,G109)&gt;0,"matched","missing_mix")</f>
        <v/>
      </c>
    </row>
    <row r="110">
      <c r="A110" s="5">
        <f>'02a_DC_Capacity_Alloc'!A110</f>
        <v/>
      </c>
      <c r="B110" s="5">
        <f>'02a_DC_Capacity_Alloc'!B110</f>
        <v/>
      </c>
      <c r="C110" s="5">
        <f>'02a_DC_Capacity_Alloc'!C110</f>
        <v/>
      </c>
      <c r="D110" s="5">
        <f>'02a_DC_Capacity_Alloc'!D110</f>
        <v/>
      </c>
      <c r="E110" s="5">
        <f>'02a_DC_Capacity_Alloc'!E110</f>
        <v/>
      </c>
      <c r="F110" s="5">
        <f>'02a_DC_Capacity_Alloc'!F110</f>
        <v/>
      </c>
      <c r="G110" s="5">
        <f>B110&amp;"|"&amp;E110&amp;"|"&amp;D110</f>
        <v/>
      </c>
      <c r="H110" s="28">
        <f>'02a_DC_Capacity_Alloc'!H110*'02a_DC_Capacity_Alloc'!I110*'02a_DC_Capacity_Alloc'!J110</f>
        <v/>
      </c>
      <c r="I110" s="6">
        <f>IFERROR(INDEX('02b_DC_Accelerator_Mix'!$F$2:$F$977,MATCH(G110,'02b_DC_Accelerator_Mix'!$A$2:$A$977,0)),0)</f>
        <v/>
      </c>
      <c r="J110" s="6">
        <f>IFERROR(INDEX('02b_DC_Accelerator_Mix'!$G$2:$G$977,MATCH(G110,'02b_DC_Accelerator_Mix'!$A$2:$A$977,0)),0)</f>
        <v/>
      </c>
      <c r="K110" s="6">
        <f>IFERROR(INDEX('02b_DC_Accelerator_Mix'!$H$2:$H$977,MATCH(G110,'02b_DC_Accelerator_Mix'!$A$2:$A$977,0)),0)</f>
        <v/>
      </c>
      <c r="L110" s="6">
        <f>IFERROR(INDEX('02b_DC_Accelerator_Mix'!$I$2:$I$977,MATCH(G110,'02b_DC_Accelerator_Mix'!$A$2:$A$977,0)),0)</f>
        <v/>
      </c>
      <c r="M110" s="6">
        <f>IFERROR(INDEX('02b_DC_Accelerator_Mix'!$J$2:$J$977,MATCH(G110,'02b_DC_Accelerator_Mix'!$A$2:$A$977,0)),0)</f>
        <v/>
      </c>
      <c r="N110" s="6">
        <f>IFERROR(INDEX('02b_DC_Accelerator_Mix'!$K$2:$K$977,MATCH(G110,'02b_DC_Accelerator_Mix'!$A$2:$A$977,0)),0)</f>
        <v/>
      </c>
      <c r="O110" s="6">
        <f>IFERROR(INDEX('02b_DC_Accelerator_Mix'!$L$2:$L$977,MATCH(G110,'02b_DC_Accelerator_Mix'!$A$2:$A$977,0)),0)</f>
        <v/>
      </c>
      <c r="P110" s="6">
        <f>IFERROR(INDEX('02b_DC_Accelerator_Mix'!$M$2:$M$977,MATCH(G110,'02b_DC_Accelerator_Mix'!$A$2:$A$977,0)),0)</f>
        <v/>
      </c>
      <c r="Q110" s="6">
        <f>IFERROR(INDEX('02b_DC_Accelerator_Mix'!$N$2:$N$977,MATCH(G110,'02b_DC_Accelerator_Mix'!$A$2:$A$977,0)),0)</f>
        <v/>
      </c>
      <c r="R110" s="28">
        <f>H110*I110</f>
        <v/>
      </c>
      <c r="S110" s="28">
        <f>H110*J110</f>
        <v/>
      </c>
      <c r="T110" s="28">
        <f>H110*K110</f>
        <v/>
      </c>
      <c r="U110" s="28">
        <f>H110*L110</f>
        <v/>
      </c>
      <c r="V110" s="28">
        <f>H110*M110</f>
        <v/>
      </c>
      <c r="W110" s="28">
        <f>H110*N110</f>
        <v/>
      </c>
      <c r="X110" s="28">
        <f>H110*O110</f>
        <v/>
      </c>
      <c r="Y110" s="28">
        <f>H110*P110</f>
        <v/>
      </c>
      <c r="Z110" s="28">
        <f>H110*Q110</f>
        <v/>
      </c>
      <c r="AA110" s="28">
        <f>SUM(U110:Z110)</f>
        <v/>
      </c>
      <c r="AB110" s="5">
        <f>IF(COUNTIF('02b_DC_Accelerator_Mix'!$A$2:$A$977,G110)&gt;0,"matched","missing_mix")</f>
        <v/>
      </c>
    </row>
    <row r="111">
      <c r="A111" s="5">
        <f>'02a_DC_Capacity_Alloc'!A111</f>
        <v/>
      </c>
      <c r="B111" s="5">
        <f>'02a_DC_Capacity_Alloc'!B111</f>
        <v/>
      </c>
      <c r="C111" s="5">
        <f>'02a_DC_Capacity_Alloc'!C111</f>
        <v/>
      </c>
      <c r="D111" s="5">
        <f>'02a_DC_Capacity_Alloc'!D111</f>
        <v/>
      </c>
      <c r="E111" s="5">
        <f>'02a_DC_Capacity_Alloc'!E111</f>
        <v/>
      </c>
      <c r="F111" s="5">
        <f>'02a_DC_Capacity_Alloc'!F111</f>
        <v/>
      </c>
      <c r="G111" s="5">
        <f>B111&amp;"|"&amp;E111&amp;"|"&amp;D111</f>
        <v/>
      </c>
      <c r="H111" s="28">
        <f>'02a_DC_Capacity_Alloc'!H111*'02a_DC_Capacity_Alloc'!I111*'02a_DC_Capacity_Alloc'!J111</f>
        <v/>
      </c>
      <c r="I111" s="6">
        <f>IFERROR(INDEX('02b_DC_Accelerator_Mix'!$F$2:$F$977,MATCH(G111,'02b_DC_Accelerator_Mix'!$A$2:$A$977,0)),0)</f>
        <v/>
      </c>
      <c r="J111" s="6">
        <f>IFERROR(INDEX('02b_DC_Accelerator_Mix'!$G$2:$G$977,MATCH(G111,'02b_DC_Accelerator_Mix'!$A$2:$A$977,0)),0)</f>
        <v/>
      </c>
      <c r="K111" s="6">
        <f>IFERROR(INDEX('02b_DC_Accelerator_Mix'!$H$2:$H$977,MATCH(G111,'02b_DC_Accelerator_Mix'!$A$2:$A$977,0)),0)</f>
        <v/>
      </c>
      <c r="L111" s="6">
        <f>IFERROR(INDEX('02b_DC_Accelerator_Mix'!$I$2:$I$977,MATCH(G111,'02b_DC_Accelerator_Mix'!$A$2:$A$977,0)),0)</f>
        <v/>
      </c>
      <c r="M111" s="6">
        <f>IFERROR(INDEX('02b_DC_Accelerator_Mix'!$J$2:$J$977,MATCH(G111,'02b_DC_Accelerator_Mix'!$A$2:$A$977,0)),0)</f>
        <v/>
      </c>
      <c r="N111" s="6">
        <f>IFERROR(INDEX('02b_DC_Accelerator_Mix'!$K$2:$K$977,MATCH(G111,'02b_DC_Accelerator_Mix'!$A$2:$A$977,0)),0)</f>
        <v/>
      </c>
      <c r="O111" s="6">
        <f>IFERROR(INDEX('02b_DC_Accelerator_Mix'!$L$2:$L$977,MATCH(G111,'02b_DC_Accelerator_Mix'!$A$2:$A$977,0)),0)</f>
        <v/>
      </c>
      <c r="P111" s="6">
        <f>IFERROR(INDEX('02b_DC_Accelerator_Mix'!$M$2:$M$977,MATCH(G111,'02b_DC_Accelerator_Mix'!$A$2:$A$977,0)),0)</f>
        <v/>
      </c>
      <c r="Q111" s="6">
        <f>IFERROR(INDEX('02b_DC_Accelerator_Mix'!$N$2:$N$977,MATCH(G111,'02b_DC_Accelerator_Mix'!$A$2:$A$977,0)),0)</f>
        <v/>
      </c>
      <c r="R111" s="28">
        <f>H111*I111</f>
        <v/>
      </c>
      <c r="S111" s="28">
        <f>H111*J111</f>
        <v/>
      </c>
      <c r="T111" s="28">
        <f>H111*K111</f>
        <v/>
      </c>
      <c r="U111" s="28">
        <f>H111*L111</f>
        <v/>
      </c>
      <c r="V111" s="28">
        <f>H111*M111</f>
        <v/>
      </c>
      <c r="W111" s="28">
        <f>H111*N111</f>
        <v/>
      </c>
      <c r="X111" s="28">
        <f>H111*O111</f>
        <v/>
      </c>
      <c r="Y111" s="28">
        <f>H111*P111</f>
        <v/>
      </c>
      <c r="Z111" s="28">
        <f>H111*Q111</f>
        <v/>
      </c>
      <c r="AA111" s="28">
        <f>SUM(U111:Z111)</f>
        <v/>
      </c>
      <c r="AB111" s="5">
        <f>IF(COUNTIF('02b_DC_Accelerator_Mix'!$A$2:$A$977,G111)&gt;0,"matched","missing_mix")</f>
        <v/>
      </c>
    </row>
    <row r="112">
      <c r="A112" s="5">
        <f>'02a_DC_Capacity_Alloc'!A112</f>
        <v/>
      </c>
      <c r="B112" s="5">
        <f>'02a_DC_Capacity_Alloc'!B112</f>
        <v/>
      </c>
      <c r="C112" s="5">
        <f>'02a_DC_Capacity_Alloc'!C112</f>
        <v/>
      </c>
      <c r="D112" s="5">
        <f>'02a_DC_Capacity_Alloc'!D112</f>
        <v/>
      </c>
      <c r="E112" s="5">
        <f>'02a_DC_Capacity_Alloc'!E112</f>
        <v/>
      </c>
      <c r="F112" s="5">
        <f>'02a_DC_Capacity_Alloc'!F112</f>
        <v/>
      </c>
      <c r="G112" s="5">
        <f>B112&amp;"|"&amp;E112&amp;"|"&amp;D112</f>
        <v/>
      </c>
      <c r="H112" s="28">
        <f>'02a_DC_Capacity_Alloc'!H112*'02a_DC_Capacity_Alloc'!I112*'02a_DC_Capacity_Alloc'!J112</f>
        <v/>
      </c>
      <c r="I112" s="6">
        <f>IFERROR(INDEX('02b_DC_Accelerator_Mix'!$F$2:$F$977,MATCH(G112,'02b_DC_Accelerator_Mix'!$A$2:$A$977,0)),0)</f>
        <v/>
      </c>
      <c r="J112" s="6">
        <f>IFERROR(INDEX('02b_DC_Accelerator_Mix'!$G$2:$G$977,MATCH(G112,'02b_DC_Accelerator_Mix'!$A$2:$A$977,0)),0)</f>
        <v/>
      </c>
      <c r="K112" s="6">
        <f>IFERROR(INDEX('02b_DC_Accelerator_Mix'!$H$2:$H$977,MATCH(G112,'02b_DC_Accelerator_Mix'!$A$2:$A$977,0)),0)</f>
        <v/>
      </c>
      <c r="L112" s="6">
        <f>IFERROR(INDEX('02b_DC_Accelerator_Mix'!$I$2:$I$977,MATCH(G112,'02b_DC_Accelerator_Mix'!$A$2:$A$977,0)),0)</f>
        <v/>
      </c>
      <c r="M112" s="6">
        <f>IFERROR(INDEX('02b_DC_Accelerator_Mix'!$J$2:$J$977,MATCH(G112,'02b_DC_Accelerator_Mix'!$A$2:$A$977,0)),0)</f>
        <v/>
      </c>
      <c r="N112" s="6">
        <f>IFERROR(INDEX('02b_DC_Accelerator_Mix'!$K$2:$K$977,MATCH(G112,'02b_DC_Accelerator_Mix'!$A$2:$A$977,0)),0)</f>
        <v/>
      </c>
      <c r="O112" s="6">
        <f>IFERROR(INDEX('02b_DC_Accelerator_Mix'!$L$2:$L$977,MATCH(G112,'02b_DC_Accelerator_Mix'!$A$2:$A$977,0)),0)</f>
        <v/>
      </c>
      <c r="P112" s="6">
        <f>IFERROR(INDEX('02b_DC_Accelerator_Mix'!$M$2:$M$977,MATCH(G112,'02b_DC_Accelerator_Mix'!$A$2:$A$977,0)),0)</f>
        <v/>
      </c>
      <c r="Q112" s="6">
        <f>IFERROR(INDEX('02b_DC_Accelerator_Mix'!$N$2:$N$977,MATCH(G112,'02b_DC_Accelerator_Mix'!$A$2:$A$977,0)),0)</f>
        <v/>
      </c>
      <c r="R112" s="28">
        <f>H112*I112</f>
        <v/>
      </c>
      <c r="S112" s="28">
        <f>H112*J112</f>
        <v/>
      </c>
      <c r="T112" s="28">
        <f>H112*K112</f>
        <v/>
      </c>
      <c r="U112" s="28">
        <f>H112*L112</f>
        <v/>
      </c>
      <c r="V112" s="28">
        <f>H112*M112</f>
        <v/>
      </c>
      <c r="W112" s="28">
        <f>H112*N112</f>
        <v/>
      </c>
      <c r="X112" s="28">
        <f>H112*O112</f>
        <v/>
      </c>
      <c r="Y112" s="28">
        <f>H112*P112</f>
        <v/>
      </c>
      <c r="Z112" s="28">
        <f>H112*Q112</f>
        <v/>
      </c>
      <c r="AA112" s="28">
        <f>SUM(U112:Z112)</f>
        <v/>
      </c>
      <c r="AB112" s="5">
        <f>IF(COUNTIF('02b_DC_Accelerator_Mix'!$A$2:$A$977,G112)&gt;0,"matched","missing_mix")</f>
        <v/>
      </c>
    </row>
    <row r="113">
      <c r="A113" s="5">
        <f>'02a_DC_Capacity_Alloc'!A113</f>
        <v/>
      </c>
      <c r="B113" s="5">
        <f>'02a_DC_Capacity_Alloc'!B113</f>
        <v/>
      </c>
      <c r="C113" s="5">
        <f>'02a_DC_Capacity_Alloc'!C113</f>
        <v/>
      </c>
      <c r="D113" s="5">
        <f>'02a_DC_Capacity_Alloc'!D113</f>
        <v/>
      </c>
      <c r="E113" s="5">
        <f>'02a_DC_Capacity_Alloc'!E113</f>
        <v/>
      </c>
      <c r="F113" s="5">
        <f>'02a_DC_Capacity_Alloc'!F113</f>
        <v/>
      </c>
      <c r="G113" s="5">
        <f>B113&amp;"|"&amp;E113&amp;"|"&amp;D113</f>
        <v/>
      </c>
      <c r="H113" s="28">
        <f>'02a_DC_Capacity_Alloc'!H113*'02a_DC_Capacity_Alloc'!I113*'02a_DC_Capacity_Alloc'!J113</f>
        <v/>
      </c>
      <c r="I113" s="6">
        <f>IFERROR(INDEX('02b_DC_Accelerator_Mix'!$F$2:$F$977,MATCH(G113,'02b_DC_Accelerator_Mix'!$A$2:$A$977,0)),0)</f>
        <v/>
      </c>
      <c r="J113" s="6">
        <f>IFERROR(INDEX('02b_DC_Accelerator_Mix'!$G$2:$G$977,MATCH(G113,'02b_DC_Accelerator_Mix'!$A$2:$A$977,0)),0)</f>
        <v/>
      </c>
      <c r="K113" s="6">
        <f>IFERROR(INDEX('02b_DC_Accelerator_Mix'!$H$2:$H$977,MATCH(G113,'02b_DC_Accelerator_Mix'!$A$2:$A$977,0)),0)</f>
        <v/>
      </c>
      <c r="L113" s="6">
        <f>IFERROR(INDEX('02b_DC_Accelerator_Mix'!$I$2:$I$977,MATCH(G113,'02b_DC_Accelerator_Mix'!$A$2:$A$977,0)),0)</f>
        <v/>
      </c>
      <c r="M113" s="6">
        <f>IFERROR(INDEX('02b_DC_Accelerator_Mix'!$J$2:$J$977,MATCH(G113,'02b_DC_Accelerator_Mix'!$A$2:$A$977,0)),0)</f>
        <v/>
      </c>
      <c r="N113" s="6">
        <f>IFERROR(INDEX('02b_DC_Accelerator_Mix'!$K$2:$K$977,MATCH(G113,'02b_DC_Accelerator_Mix'!$A$2:$A$977,0)),0)</f>
        <v/>
      </c>
      <c r="O113" s="6">
        <f>IFERROR(INDEX('02b_DC_Accelerator_Mix'!$L$2:$L$977,MATCH(G113,'02b_DC_Accelerator_Mix'!$A$2:$A$977,0)),0)</f>
        <v/>
      </c>
      <c r="P113" s="6">
        <f>IFERROR(INDEX('02b_DC_Accelerator_Mix'!$M$2:$M$977,MATCH(G113,'02b_DC_Accelerator_Mix'!$A$2:$A$977,0)),0)</f>
        <v/>
      </c>
      <c r="Q113" s="6">
        <f>IFERROR(INDEX('02b_DC_Accelerator_Mix'!$N$2:$N$977,MATCH(G113,'02b_DC_Accelerator_Mix'!$A$2:$A$977,0)),0)</f>
        <v/>
      </c>
      <c r="R113" s="28">
        <f>H113*I113</f>
        <v/>
      </c>
      <c r="S113" s="28">
        <f>H113*J113</f>
        <v/>
      </c>
      <c r="T113" s="28">
        <f>H113*K113</f>
        <v/>
      </c>
      <c r="U113" s="28">
        <f>H113*L113</f>
        <v/>
      </c>
      <c r="V113" s="28">
        <f>H113*M113</f>
        <v/>
      </c>
      <c r="W113" s="28">
        <f>H113*N113</f>
        <v/>
      </c>
      <c r="X113" s="28">
        <f>H113*O113</f>
        <v/>
      </c>
      <c r="Y113" s="28">
        <f>H113*P113</f>
        <v/>
      </c>
      <c r="Z113" s="28">
        <f>H113*Q113</f>
        <v/>
      </c>
      <c r="AA113" s="28">
        <f>SUM(U113:Z113)</f>
        <v/>
      </c>
      <c r="AB113" s="5">
        <f>IF(COUNTIF('02b_DC_Accelerator_Mix'!$A$2:$A$977,G113)&gt;0,"matched","missing_mix")</f>
        <v/>
      </c>
    </row>
    <row r="114">
      <c r="A114" s="5">
        <f>'02a_DC_Capacity_Alloc'!A114</f>
        <v/>
      </c>
      <c r="B114" s="5">
        <f>'02a_DC_Capacity_Alloc'!B114</f>
        <v/>
      </c>
      <c r="C114" s="5">
        <f>'02a_DC_Capacity_Alloc'!C114</f>
        <v/>
      </c>
      <c r="D114" s="5">
        <f>'02a_DC_Capacity_Alloc'!D114</f>
        <v/>
      </c>
      <c r="E114" s="5">
        <f>'02a_DC_Capacity_Alloc'!E114</f>
        <v/>
      </c>
      <c r="F114" s="5">
        <f>'02a_DC_Capacity_Alloc'!F114</f>
        <v/>
      </c>
      <c r="G114" s="5">
        <f>B114&amp;"|"&amp;E114&amp;"|"&amp;D114</f>
        <v/>
      </c>
      <c r="H114" s="28">
        <f>'02a_DC_Capacity_Alloc'!H114*'02a_DC_Capacity_Alloc'!I114*'02a_DC_Capacity_Alloc'!J114</f>
        <v/>
      </c>
      <c r="I114" s="6">
        <f>IFERROR(INDEX('02b_DC_Accelerator_Mix'!$F$2:$F$977,MATCH(G114,'02b_DC_Accelerator_Mix'!$A$2:$A$977,0)),0)</f>
        <v/>
      </c>
      <c r="J114" s="6">
        <f>IFERROR(INDEX('02b_DC_Accelerator_Mix'!$G$2:$G$977,MATCH(G114,'02b_DC_Accelerator_Mix'!$A$2:$A$977,0)),0)</f>
        <v/>
      </c>
      <c r="K114" s="6">
        <f>IFERROR(INDEX('02b_DC_Accelerator_Mix'!$H$2:$H$977,MATCH(G114,'02b_DC_Accelerator_Mix'!$A$2:$A$977,0)),0)</f>
        <v/>
      </c>
      <c r="L114" s="6">
        <f>IFERROR(INDEX('02b_DC_Accelerator_Mix'!$I$2:$I$977,MATCH(G114,'02b_DC_Accelerator_Mix'!$A$2:$A$977,0)),0)</f>
        <v/>
      </c>
      <c r="M114" s="6">
        <f>IFERROR(INDEX('02b_DC_Accelerator_Mix'!$J$2:$J$977,MATCH(G114,'02b_DC_Accelerator_Mix'!$A$2:$A$977,0)),0)</f>
        <v/>
      </c>
      <c r="N114" s="6">
        <f>IFERROR(INDEX('02b_DC_Accelerator_Mix'!$K$2:$K$977,MATCH(G114,'02b_DC_Accelerator_Mix'!$A$2:$A$977,0)),0)</f>
        <v/>
      </c>
      <c r="O114" s="6">
        <f>IFERROR(INDEX('02b_DC_Accelerator_Mix'!$L$2:$L$977,MATCH(G114,'02b_DC_Accelerator_Mix'!$A$2:$A$977,0)),0)</f>
        <v/>
      </c>
      <c r="P114" s="6">
        <f>IFERROR(INDEX('02b_DC_Accelerator_Mix'!$M$2:$M$977,MATCH(G114,'02b_DC_Accelerator_Mix'!$A$2:$A$977,0)),0)</f>
        <v/>
      </c>
      <c r="Q114" s="6">
        <f>IFERROR(INDEX('02b_DC_Accelerator_Mix'!$N$2:$N$977,MATCH(G114,'02b_DC_Accelerator_Mix'!$A$2:$A$977,0)),0)</f>
        <v/>
      </c>
      <c r="R114" s="28">
        <f>H114*I114</f>
        <v/>
      </c>
      <c r="S114" s="28">
        <f>H114*J114</f>
        <v/>
      </c>
      <c r="T114" s="28">
        <f>H114*K114</f>
        <v/>
      </c>
      <c r="U114" s="28">
        <f>H114*L114</f>
        <v/>
      </c>
      <c r="V114" s="28">
        <f>H114*M114</f>
        <v/>
      </c>
      <c r="W114" s="28">
        <f>H114*N114</f>
        <v/>
      </c>
      <c r="X114" s="28">
        <f>H114*O114</f>
        <v/>
      </c>
      <c r="Y114" s="28">
        <f>H114*P114</f>
        <v/>
      </c>
      <c r="Z114" s="28">
        <f>H114*Q114</f>
        <v/>
      </c>
      <c r="AA114" s="28">
        <f>SUM(U114:Z114)</f>
        <v/>
      </c>
      <c r="AB114" s="5">
        <f>IF(COUNTIF('02b_DC_Accelerator_Mix'!$A$2:$A$977,G114)&gt;0,"matched","missing_mix")</f>
        <v/>
      </c>
    </row>
    <row r="115">
      <c r="A115" s="5">
        <f>'02a_DC_Capacity_Alloc'!A115</f>
        <v/>
      </c>
      <c r="B115" s="5">
        <f>'02a_DC_Capacity_Alloc'!B115</f>
        <v/>
      </c>
      <c r="C115" s="5">
        <f>'02a_DC_Capacity_Alloc'!C115</f>
        <v/>
      </c>
      <c r="D115" s="5">
        <f>'02a_DC_Capacity_Alloc'!D115</f>
        <v/>
      </c>
      <c r="E115" s="5">
        <f>'02a_DC_Capacity_Alloc'!E115</f>
        <v/>
      </c>
      <c r="F115" s="5">
        <f>'02a_DC_Capacity_Alloc'!F115</f>
        <v/>
      </c>
      <c r="G115" s="5">
        <f>B115&amp;"|"&amp;E115&amp;"|"&amp;D115</f>
        <v/>
      </c>
      <c r="H115" s="28">
        <f>'02a_DC_Capacity_Alloc'!H115*'02a_DC_Capacity_Alloc'!I115*'02a_DC_Capacity_Alloc'!J115</f>
        <v/>
      </c>
      <c r="I115" s="6">
        <f>IFERROR(INDEX('02b_DC_Accelerator_Mix'!$F$2:$F$977,MATCH(G115,'02b_DC_Accelerator_Mix'!$A$2:$A$977,0)),0)</f>
        <v/>
      </c>
      <c r="J115" s="6">
        <f>IFERROR(INDEX('02b_DC_Accelerator_Mix'!$G$2:$G$977,MATCH(G115,'02b_DC_Accelerator_Mix'!$A$2:$A$977,0)),0)</f>
        <v/>
      </c>
      <c r="K115" s="6">
        <f>IFERROR(INDEX('02b_DC_Accelerator_Mix'!$H$2:$H$977,MATCH(G115,'02b_DC_Accelerator_Mix'!$A$2:$A$977,0)),0)</f>
        <v/>
      </c>
      <c r="L115" s="6">
        <f>IFERROR(INDEX('02b_DC_Accelerator_Mix'!$I$2:$I$977,MATCH(G115,'02b_DC_Accelerator_Mix'!$A$2:$A$977,0)),0)</f>
        <v/>
      </c>
      <c r="M115" s="6">
        <f>IFERROR(INDEX('02b_DC_Accelerator_Mix'!$J$2:$J$977,MATCH(G115,'02b_DC_Accelerator_Mix'!$A$2:$A$977,0)),0)</f>
        <v/>
      </c>
      <c r="N115" s="6">
        <f>IFERROR(INDEX('02b_DC_Accelerator_Mix'!$K$2:$K$977,MATCH(G115,'02b_DC_Accelerator_Mix'!$A$2:$A$977,0)),0)</f>
        <v/>
      </c>
      <c r="O115" s="6">
        <f>IFERROR(INDEX('02b_DC_Accelerator_Mix'!$L$2:$L$977,MATCH(G115,'02b_DC_Accelerator_Mix'!$A$2:$A$977,0)),0)</f>
        <v/>
      </c>
      <c r="P115" s="6">
        <f>IFERROR(INDEX('02b_DC_Accelerator_Mix'!$M$2:$M$977,MATCH(G115,'02b_DC_Accelerator_Mix'!$A$2:$A$977,0)),0)</f>
        <v/>
      </c>
      <c r="Q115" s="6">
        <f>IFERROR(INDEX('02b_DC_Accelerator_Mix'!$N$2:$N$977,MATCH(G115,'02b_DC_Accelerator_Mix'!$A$2:$A$977,0)),0)</f>
        <v/>
      </c>
      <c r="R115" s="28">
        <f>H115*I115</f>
        <v/>
      </c>
      <c r="S115" s="28">
        <f>H115*J115</f>
        <v/>
      </c>
      <c r="T115" s="28">
        <f>H115*K115</f>
        <v/>
      </c>
      <c r="U115" s="28">
        <f>H115*L115</f>
        <v/>
      </c>
      <c r="V115" s="28">
        <f>H115*M115</f>
        <v/>
      </c>
      <c r="W115" s="28">
        <f>H115*N115</f>
        <v/>
      </c>
      <c r="X115" s="28">
        <f>H115*O115</f>
        <v/>
      </c>
      <c r="Y115" s="28">
        <f>H115*P115</f>
        <v/>
      </c>
      <c r="Z115" s="28">
        <f>H115*Q115</f>
        <v/>
      </c>
      <c r="AA115" s="28">
        <f>SUM(U115:Z115)</f>
        <v/>
      </c>
      <c r="AB115" s="5">
        <f>IF(COUNTIF('02b_DC_Accelerator_Mix'!$A$2:$A$977,G115)&gt;0,"matched","missing_mix")</f>
        <v/>
      </c>
    </row>
    <row r="116">
      <c r="A116" s="5">
        <f>'02a_DC_Capacity_Alloc'!A116</f>
        <v/>
      </c>
      <c r="B116" s="5">
        <f>'02a_DC_Capacity_Alloc'!B116</f>
        <v/>
      </c>
      <c r="C116" s="5">
        <f>'02a_DC_Capacity_Alloc'!C116</f>
        <v/>
      </c>
      <c r="D116" s="5">
        <f>'02a_DC_Capacity_Alloc'!D116</f>
        <v/>
      </c>
      <c r="E116" s="5">
        <f>'02a_DC_Capacity_Alloc'!E116</f>
        <v/>
      </c>
      <c r="F116" s="5">
        <f>'02a_DC_Capacity_Alloc'!F116</f>
        <v/>
      </c>
      <c r="G116" s="5">
        <f>B116&amp;"|"&amp;E116&amp;"|"&amp;D116</f>
        <v/>
      </c>
      <c r="H116" s="28">
        <f>'02a_DC_Capacity_Alloc'!H116*'02a_DC_Capacity_Alloc'!I116*'02a_DC_Capacity_Alloc'!J116</f>
        <v/>
      </c>
      <c r="I116" s="6">
        <f>IFERROR(INDEX('02b_DC_Accelerator_Mix'!$F$2:$F$977,MATCH(G116,'02b_DC_Accelerator_Mix'!$A$2:$A$977,0)),0)</f>
        <v/>
      </c>
      <c r="J116" s="6">
        <f>IFERROR(INDEX('02b_DC_Accelerator_Mix'!$G$2:$G$977,MATCH(G116,'02b_DC_Accelerator_Mix'!$A$2:$A$977,0)),0)</f>
        <v/>
      </c>
      <c r="K116" s="6">
        <f>IFERROR(INDEX('02b_DC_Accelerator_Mix'!$H$2:$H$977,MATCH(G116,'02b_DC_Accelerator_Mix'!$A$2:$A$977,0)),0)</f>
        <v/>
      </c>
      <c r="L116" s="6">
        <f>IFERROR(INDEX('02b_DC_Accelerator_Mix'!$I$2:$I$977,MATCH(G116,'02b_DC_Accelerator_Mix'!$A$2:$A$977,0)),0)</f>
        <v/>
      </c>
      <c r="M116" s="6">
        <f>IFERROR(INDEX('02b_DC_Accelerator_Mix'!$J$2:$J$977,MATCH(G116,'02b_DC_Accelerator_Mix'!$A$2:$A$977,0)),0)</f>
        <v/>
      </c>
      <c r="N116" s="6">
        <f>IFERROR(INDEX('02b_DC_Accelerator_Mix'!$K$2:$K$977,MATCH(G116,'02b_DC_Accelerator_Mix'!$A$2:$A$977,0)),0)</f>
        <v/>
      </c>
      <c r="O116" s="6">
        <f>IFERROR(INDEX('02b_DC_Accelerator_Mix'!$L$2:$L$977,MATCH(G116,'02b_DC_Accelerator_Mix'!$A$2:$A$977,0)),0)</f>
        <v/>
      </c>
      <c r="P116" s="6">
        <f>IFERROR(INDEX('02b_DC_Accelerator_Mix'!$M$2:$M$977,MATCH(G116,'02b_DC_Accelerator_Mix'!$A$2:$A$977,0)),0)</f>
        <v/>
      </c>
      <c r="Q116" s="6">
        <f>IFERROR(INDEX('02b_DC_Accelerator_Mix'!$N$2:$N$977,MATCH(G116,'02b_DC_Accelerator_Mix'!$A$2:$A$977,0)),0)</f>
        <v/>
      </c>
      <c r="R116" s="28">
        <f>H116*I116</f>
        <v/>
      </c>
      <c r="S116" s="28">
        <f>H116*J116</f>
        <v/>
      </c>
      <c r="T116" s="28">
        <f>H116*K116</f>
        <v/>
      </c>
      <c r="U116" s="28">
        <f>H116*L116</f>
        <v/>
      </c>
      <c r="V116" s="28">
        <f>H116*M116</f>
        <v/>
      </c>
      <c r="W116" s="28">
        <f>H116*N116</f>
        <v/>
      </c>
      <c r="X116" s="28">
        <f>H116*O116</f>
        <v/>
      </c>
      <c r="Y116" s="28">
        <f>H116*P116</f>
        <v/>
      </c>
      <c r="Z116" s="28">
        <f>H116*Q116</f>
        <v/>
      </c>
      <c r="AA116" s="28">
        <f>SUM(U116:Z116)</f>
        <v/>
      </c>
      <c r="AB116" s="5">
        <f>IF(COUNTIF('02b_DC_Accelerator_Mix'!$A$2:$A$977,G116)&gt;0,"matched","missing_mix")</f>
        <v/>
      </c>
    </row>
    <row r="117">
      <c r="A117" s="5">
        <f>'02a_DC_Capacity_Alloc'!A117</f>
        <v/>
      </c>
      <c r="B117" s="5">
        <f>'02a_DC_Capacity_Alloc'!B117</f>
        <v/>
      </c>
      <c r="C117" s="5">
        <f>'02a_DC_Capacity_Alloc'!C117</f>
        <v/>
      </c>
      <c r="D117" s="5">
        <f>'02a_DC_Capacity_Alloc'!D117</f>
        <v/>
      </c>
      <c r="E117" s="5">
        <f>'02a_DC_Capacity_Alloc'!E117</f>
        <v/>
      </c>
      <c r="F117" s="5">
        <f>'02a_DC_Capacity_Alloc'!F117</f>
        <v/>
      </c>
      <c r="G117" s="5">
        <f>B117&amp;"|"&amp;E117&amp;"|"&amp;D117</f>
        <v/>
      </c>
      <c r="H117" s="28">
        <f>'02a_DC_Capacity_Alloc'!H117*'02a_DC_Capacity_Alloc'!I117*'02a_DC_Capacity_Alloc'!J117</f>
        <v/>
      </c>
      <c r="I117" s="6">
        <f>IFERROR(INDEX('02b_DC_Accelerator_Mix'!$F$2:$F$977,MATCH(G117,'02b_DC_Accelerator_Mix'!$A$2:$A$977,0)),0)</f>
        <v/>
      </c>
      <c r="J117" s="6">
        <f>IFERROR(INDEX('02b_DC_Accelerator_Mix'!$G$2:$G$977,MATCH(G117,'02b_DC_Accelerator_Mix'!$A$2:$A$977,0)),0)</f>
        <v/>
      </c>
      <c r="K117" s="6">
        <f>IFERROR(INDEX('02b_DC_Accelerator_Mix'!$H$2:$H$977,MATCH(G117,'02b_DC_Accelerator_Mix'!$A$2:$A$977,0)),0)</f>
        <v/>
      </c>
      <c r="L117" s="6">
        <f>IFERROR(INDEX('02b_DC_Accelerator_Mix'!$I$2:$I$977,MATCH(G117,'02b_DC_Accelerator_Mix'!$A$2:$A$977,0)),0)</f>
        <v/>
      </c>
      <c r="M117" s="6">
        <f>IFERROR(INDEX('02b_DC_Accelerator_Mix'!$J$2:$J$977,MATCH(G117,'02b_DC_Accelerator_Mix'!$A$2:$A$977,0)),0)</f>
        <v/>
      </c>
      <c r="N117" s="6">
        <f>IFERROR(INDEX('02b_DC_Accelerator_Mix'!$K$2:$K$977,MATCH(G117,'02b_DC_Accelerator_Mix'!$A$2:$A$977,0)),0)</f>
        <v/>
      </c>
      <c r="O117" s="6">
        <f>IFERROR(INDEX('02b_DC_Accelerator_Mix'!$L$2:$L$977,MATCH(G117,'02b_DC_Accelerator_Mix'!$A$2:$A$977,0)),0)</f>
        <v/>
      </c>
      <c r="P117" s="6">
        <f>IFERROR(INDEX('02b_DC_Accelerator_Mix'!$M$2:$M$977,MATCH(G117,'02b_DC_Accelerator_Mix'!$A$2:$A$977,0)),0)</f>
        <v/>
      </c>
      <c r="Q117" s="6">
        <f>IFERROR(INDEX('02b_DC_Accelerator_Mix'!$N$2:$N$977,MATCH(G117,'02b_DC_Accelerator_Mix'!$A$2:$A$977,0)),0)</f>
        <v/>
      </c>
      <c r="R117" s="28">
        <f>H117*I117</f>
        <v/>
      </c>
      <c r="S117" s="28">
        <f>H117*J117</f>
        <v/>
      </c>
      <c r="T117" s="28">
        <f>H117*K117</f>
        <v/>
      </c>
      <c r="U117" s="28">
        <f>H117*L117</f>
        <v/>
      </c>
      <c r="V117" s="28">
        <f>H117*M117</f>
        <v/>
      </c>
      <c r="W117" s="28">
        <f>H117*N117</f>
        <v/>
      </c>
      <c r="X117" s="28">
        <f>H117*O117</f>
        <v/>
      </c>
      <c r="Y117" s="28">
        <f>H117*P117</f>
        <v/>
      </c>
      <c r="Z117" s="28">
        <f>H117*Q117</f>
        <v/>
      </c>
      <c r="AA117" s="28">
        <f>SUM(U117:Z117)</f>
        <v/>
      </c>
      <c r="AB117" s="5">
        <f>IF(COUNTIF('02b_DC_Accelerator_Mix'!$A$2:$A$977,G117)&gt;0,"matched","missing_mix")</f>
        <v/>
      </c>
    </row>
    <row r="118">
      <c r="A118" s="5">
        <f>'02a_DC_Capacity_Alloc'!A118</f>
        <v/>
      </c>
      <c r="B118" s="5">
        <f>'02a_DC_Capacity_Alloc'!B118</f>
        <v/>
      </c>
      <c r="C118" s="5">
        <f>'02a_DC_Capacity_Alloc'!C118</f>
        <v/>
      </c>
      <c r="D118" s="5">
        <f>'02a_DC_Capacity_Alloc'!D118</f>
        <v/>
      </c>
      <c r="E118" s="5">
        <f>'02a_DC_Capacity_Alloc'!E118</f>
        <v/>
      </c>
      <c r="F118" s="5">
        <f>'02a_DC_Capacity_Alloc'!F118</f>
        <v/>
      </c>
      <c r="G118" s="5">
        <f>B118&amp;"|"&amp;E118&amp;"|"&amp;D118</f>
        <v/>
      </c>
      <c r="H118" s="28">
        <f>'02a_DC_Capacity_Alloc'!H118*'02a_DC_Capacity_Alloc'!I118*'02a_DC_Capacity_Alloc'!J118</f>
        <v/>
      </c>
      <c r="I118" s="6">
        <f>IFERROR(INDEX('02b_DC_Accelerator_Mix'!$F$2:$F$977,MATCH(G118,'02b_DC_Accelerator_Mix'!$A$2:$A$977,0)),0)</f>
        <v/>
      </c>
      <c r="J118" s="6">
        <f>IFERROR(INDEX('02b_DC_Accelerator_Mix'!$G$2:$G$977,MATCH(G118,'02b_DC_Accelerator_Mix'!$A$2:$A$977,0)),0)</f>
        <v/>
      </c>
      <c r="K118" s="6">
        <f>IFERROR(INDEX('02b_DC_Accelerator_Mix'!$H$2:$H$977,MATCH(G118,'02b_DC_Accelerator_Mix'!$A$2:$A$977,0)),0)</f>
        <v/>
      </c>
      <c r="L118" s="6">
        <f>IFERROR(INDEX('02b_DC_Accelerator_Mix'!$I$2:$I$977,MATCH(G118,'02b_DC_Accelerator_Mix'!$A$2:$A$977,0)),0)</f>
        <v/>
      </c>
      <c r="M118" s="6">
        <f>IFERROR(INDEX('02b_DC_Accelerator_Mix'!$J$2:$J$977,MATCH(G118,'02b_DC_Accelerator_Mix'!$A$2:$A$977,0)),0)</f>
        <v/>
      </c>
      <c r="N118" s="6">
        <f>IFERROR(INDEX('02b_DC_Accelerator_Mix'!$K$2:$K$977,MATCH(G118,'02b_DC_Accelerator_Mix'!$A$2:$A$977,0)),0)</f>
        <v/>
      </c>
      <c r="O118" s="6">
        <f>IFERROR(INDEX('02b_DC_Accelerator_Mix'!$L$2:$L$977,MATCH(G118,'02b_DC_Accelerator_Mix'!$A$2:$A$977,0)),0)</f>
        <v/>
      </c>
      <c r="P118" s="6">
        <f>IFERROR(INDEX('02b_DC_Accelerator_Mix'!$M$2:$M$977,MATCH(G118,'02b_DC_Accelerator_Mix'!$A$2:$A$977,0)),0)</f>
        <v/>
      </c>
      <c r="Q118" s="6">
        <f>IFERROR(INDEX('02b_DC_Accelerator_Mix'!$N$2:$N$977,MATCH(G118,'02b_DC_Accelerator_Mix'!$A$2:$A$977,0)),0)</f>
        <v/>
      </c>
      <c r="R118" s="28">
        <f>H118*I118</f>
        <v/>
      </c>
      <c r="S118" s="28">
        <f>H118*J118</f>
        <v/>
      </c>
      <c r="T118" s="28">
        <f>H118*K118</f>
        <v/>
      </c>
      <c r="U118" s="28">
        <f>H118*L118</f>
        <v/>
      </c>
      <c r="V118" s="28">
        <f>H118*M118</f>
        <v/>
      </c>
      <c r="W118" s="28">
        <f>H118*N118</f>
        <v/>
      </c>
      <c r="X118" s="28">
        <f>H118*O118</f>
        <v/>
      </c>
      <c r="Y118" s="28">
        <f>H118*P118</f>
        <v/>
      </c>
      <c r="Z118" s="28">
        <f>H118*Q118</f>
        <v/>
      </c>
      <c r="AA118" s="28">
        <f>SUM(U118:Z118)</f>
        <v/>
      </c>
      <c r="AB118" s="5">
        <f>IF(COUNTIF('02b_DC_Accelerator_Mix'!$A$2:$A$977,G118)&gt;0,"matched","missing_mix")</f>
        <v/>
      </c>
    </row>
    <row r="119">
      <c r="A119" s="5">
        <f>'02a_DC_Capacity_Alloc'!A119</f>
        <v/>
      </c>
      <c r="B119" s="5">
        <f>'02a_DC_Capacity_Alloc'!B119</f>
        <v/>
      </c>
      <c r="C119" s="5">
        <f>'02a_DC_Capacity_Alloc'!C119</f>
        <v/>
      </c>
      <c r="D119" s="5">
        <f>'02a_DC_Capacity_Alloc'!D119</f>
        <v/>
      </c>
      <c r="E119" s="5">
        <f>'02a_DC_Capacity_Alloc'!E119</f>
        <v/>
      </c>
      <c r="F119" s="5">
        <f>'02a_DC_Capacity_Alloc'!F119</f>
        <v/>
      </c>
      <c r="G119" s="5">
        <f>B119&amp;"|"&amp;E119&amp;"|"&amp;D119</f>
        <v/>
      </c>
      <c r="H119" s="28">
        <f>'02a_DC_Capacity_Alloc'!H119*'02a_DC_Capacity_Alloc'!I119*'02a_DC_Capacity_Alloc'!J119</f>
        <v/>
      </c>
      <c r="I119" s="6">
        <f>IFERROR(INDEX('02b_DC_Accelerator_Mix'!$F$2:$F$977,MATCH(G119,'02b_DC_Accelerator_Mix'!$A$2:$A$977,0)),0)</f>
        <v/>
      </c>
      <c r="J119" s="6">
        <f>IFERROR(INDEX('02b_DC_Accelerator_Mix'!$G$2:$G$977,MATCH(G119,'02b_DC_Accelerator_Mix'!$A$2:$A$977,0)),0)</f>
        <v/>
      </c>
      <c r="K119" s="6">
        <f>IFERROR(INDEX('02b_DC_Accelerator_Mix'!$H$2:$H$977,MATCH(G119,'02b_DC_Accelerator_Mix'!$A$2:$A$977,0)),0)</f>
        <v/>
      </c>
      <c r="L119" s="6">
        <f>IFERROR(INDEX('02b_DC_Accelerator_Mix'!$I$2:$I$977,MATCH(G119,'02b_DC_Accelerator_Mix'!$A$2:$A$977,0)),0)</f>
        <v/>
      </c>
      <c r="M119" s="6">
        <f>IFERROR(INDEX('02b_DC_Accelerator_Mix'!$J$2:$J$977,MATCH(G119,'02b_DC_Accelerator_Mix'!$A$2:$A$977,0)),0)</f>
        <v/>
      </c>
      <c r="N119" s="6">
        <f>IFERROR(INDEX('02b_DC_Accelerator_Mix'!$K$2:$K$977,MATCH(G119,'02b_DC_Accelerator_Mix'!$A$2:$A$977,0)),0)</f>
        <v/>
      </c>
      <c r="O119" s="6">
        <f>IFERROR(INDEX('02b_DC_Accelerator_Mix'!$L$2:$L$977,MATCH(G119,'02b_DC_Accelerator_Mix'!$A$2:$A$977,0)),0)</f>
        <v/>
      </c>
      <c r="P119" s="6">
        <f>IFERROR(INDEX('02b_DC_Accelerator_Mix'!$M$2:$M$977,MATCH(G119,'02b_DC_Accelerator_Mix'!$A$2:$A$977,0)),0)</f>
        <v/>
      </c>
      <c r="Q119" s="6">
        <f>IFERROR(INDEX('02b_DC_Accelerator_Mix'!$N$2:$N$977,MATCH(G119,'02b_DC_Accelerator_Mix'!$A$2:$A$977,0)),0)</f>
        <v/>
      </c>
      <c r="R119" s="28">
        <f>H119*I119</f>
        <v/>
      </c>
      <c r="S119" s="28">
        <f>H119*J119</f>
        <v/>
      </c>
      <c r="T119" s="28">
        <f>H119*K119</f>
        <v/>
      </c>
      <c r="U119" s="28">
        <f>H119*L119</f>
        <v/>
      </c>
      <c r="V119" s="28">
        <f>H119*M119</f>
        <v/>
      </c>
      <c r="W119" s="28">
        <f>H119*N119</f>
        <v/>
      </c>
      <c r="X119" s="28">
        <f>H119*O119</f>
        <v/>
      </c>
      <c r="Y119" s="28">
        <f>H119*P119</f>
        <v/>
      </c>
      <c r="Z119" s="28">
        <f>H119*Q119</f>
        <v/>
      </c>
      <c r="AA119" s="28">
        <f>SUM(U119:Z119)</f>
        <v/>
      </c>
      <c r="AB119" s="5">
        <f>IF(COUNTIF('02b_DC_Accelerator_Mix'!$A$2:$A$977,G119)&gt;0,"matched","missing_mix")</f>
        <v/>
      </c>
    </row>
    <row r="120">
      <c r="A120" s="5">
        <f>'02a_DC_Capacity_Alloc'!A120</f>
        <v/>
      </c>
      <c r="B120" s="5">
        <f>'02a_DC_Capacity_Alloc'!B120</f>
        <v/>
      </c>
      <c r="C120" s="5">
        <f>'02a_DC_Capacity_Alloc'!C120</f>
        <v/>
      </c>
      <c r="D120" s="5">
        <f>'02a_DC_Capacity_Alloc'!D120</f>
        <v/>
      </c>
      <c r="E120" s="5">
        <f>'02a_DC_Capacity_Alloc'!E120</f>
        <v/>
      </c>
      <c r="F120" s="5">
        <f>'02a_DC_Capacity_Alloc'!F120</f>
        <v/>
      </c>
      <c r="G120" s="5">
        <f>B120&amp;"|"&amp;E120&amp;"|"&amp;D120</f>
        <v/>
      </c>
      <c r="H120" s="28">
        <f>'02a_DC_Capacity_Alloc'!H120*'02a_DC_Capacity_Alloc'!I120*'02a_DC_Capacity_Alloc'!J120</f>
        <v/>
      </c>
      <c r="I120" s="6">
        <f>IFERROR(INDEX('02b_DC_Accelerator_Mix'!$F$2:$F$977,MATCH(G120,'02b_DC_Accelerator_Mix'!$A$2:$A$977,0)),0)</f>
        <v/>
      </c>
      <c r="J120" s="6">
        <f>IFERROR(INDEX('02b_DC_Accelerator_Mix'!$G$2:$G$977,MATCH(G120,'02b_DC_Accelerator_Mix'!$A$2:$A$977,0)),0)</f>
        <v/>
      </c>
      <c r="K120" s="6">
        <f>IFERROR(INDEX('02b_DC_Accelerator_Mix'!$H$2:$H$977,MATCH(G120,'02b_DC_Accelerator_Mix'!$A$2:$A$977,0)),0)</f>
        <v/>
      </c>
      <c r="L120" s="6">
        <f>IFERROR(INDEX('02b_DC_Accelerator_Mix'!$I$2:$I$977,MATCH(G120,'02b_DC_Accelerator_Mix'!$A$2:$A$977,0)),0)</f>
        <v/>
      </c>
      <c r="M120" s="6">
        <f>IFERROR(INDEX('02b_DC_Accelerator_Mix'!$J$2:$J$977,MATCH(G120,'02b_DC_Accelerator_Mix'!$A$2:$A$977,0)),0)</f>
        <v/>
      </c>
      <c r="N120" s="6">
        <f>IFERROR(INDEX('02b_DC_Accelerator_Mix'!$K$2:$K$977,MATCH(G120,'02b_DC_Accelerator_Mix'!$A$2:$A$977,0)),0)</f>
        <v/>
      </c>
      <c r="O120" s="6">
        <f>IFERROR(INDEX('02b_DC_Accelerator_Mix'!$L$2:$L$977,MATCH(G120,'02b_DC_Accelerator_Mix'!$A$2:$A$977,0)),0)</f>
        <v/>
      </c>
      <c r="P120" s="6">
        <f>IFERROR(INDEX('02b_DC_Accelerator_Mix'!$M$2:$M$977,MATCH(G120,'02b_DC_Accelerator_Mix'!$A$2:$A$977,0)),0)</f>
        <v/>
      </c>
      <c r="Q120" s="6">
        <f>IFERROR(INDEX('02b_DC_Accelerator_Mix'!$N$2:$N$977,MATCH(G120,'02b_DC_Accelerator_Mix'!$A$2:$A$977,0)),0)</f>
        <v/>
      </c>
      <c r="R120" s="28">
        <f>H120*I120</f>
        <v/>
      </c>
      <c r="S120" s="28">
        <f>H120*J120</f>
        <v/>
      </c>
      <c r="T120" s="28">
        <f>H120*K120</f>
        <v/>
      </c>
      <c r="U120" s="28">
        <f>H120*L120</f>
        <v/>
      </c>
      <c r="V120" s="28">
        <f>H120*M120</f>
        <v/>
      </c>
      <c r="W120" s="28">
        <f>H120*N120</f>
        <v/>
      </c>
      <c r="X120" s="28">
        <f>H120*O120</f>
        <v/>
      </c>
      <c r="Y120" s="28">
        <f>H120*P120</f>
        <v/>
      </c>
      <c r="Z120" s="28">
        <f>H120*Q120</f>
        <v/>
      </c>
      <c r="AA120" s="28">
        <f>SUM(U120:Z120)</f>
        <v/>
      </c>
      <c r="AB120" s="5">
        <f>IF(COUNTIF('02b_DC_Accelerator_Mix'!$A$2:$A$977,G120)&gt;0,"matched","missing_mix")</f>
        <v/>
      </c>
    </row>
    <row r="121">
      <c r="A121" s="5">
        <f>'02a_DC_Capacity_Alloc'!A121</f>
        <v/>
      </c>
      <c r="B121" s="5">
        <f>'02a_DC_Capacity_Alloc'!B121</f>
        <v/>
      </c>
      <c r="C121" s="5">
        <f>'02a_DC_Capacity_Alloc'!C121</f>
        <v/>
      </c>
      <c r="D121" s="5">
        <f>'02a_DC_Capacity_Alloc'!D121</f>
        <v/>
      </c>
      <c r="E121" s="5">
        <f>'02a_DC_Capacity_Alloc'!E121</f>
        <v/>
      </c>
      <c r="F121" s="5">
        <f>'02a_DC_Capacity_Alloc'!F121</f>
        <v/>
      </c>
      <c r="G121" s="5">
        <f>B121&amp;"|"&amp;E121&amp;"|"&amp;D121</f>
        <v/>
      </c>
      <c r="H121" s="28">
        <f>'02a_DC_Capacity_Alloc'!H121*'02a_DC_Capacity_Alloc'!I121*'02a_DC_Capacity_Alloc'!J121</f>
        <v/>
      </c>
      <c r="I121" s="6">
        <f>IFERROR(INDEX('02b_DC_Accelerator_Mix'!$F$2:$F$977,MATCH(G121,'02b_DC_Accelerator_Mix'!$A$2:$A$977,0)),0)</f>
        <v/>
      </c>
      <c r="J121" s="6">
        <f>IFERROR(INDEX('02b_DC_Accelerator_Mix'!$G$2:$G$977,MATCH(G121,'02b_DC_Accelerator_Mix'!$A$2:$A$977,0)),0)</f>
        <v/>
      </c>
      <c r="K121" s="6">
        <f>IFERROR(INDEX('02b_DC_Accelerator_Mix'!$H$2:$H$977,MATCH(G121,'02b_DC_Accelerator_Mix'!$A$2:$A$977,0)),0)</f>
        <v/>
      </c>
      <c r="L121" s="6">
        <f>IFERROR(INDEX('02b_DC_Accelerator_Mix'!$I$2:$I$977,MATCH(G121,'02b_DC_Accelerator_Mix'!$A$2:$A$977,0)),0)</f>
        <v/>
      </c>
      <c r="M121" s="6">
        <f>IFERROR(INDEX('02b_DC_Accelerator_Mix'!$J$2:$J$977,MATCH(G121,'02b_DC_Accelerator_Mix'!$A$2:$A$977,0)),0)</f>
        <v/>
      </c>
      <c r="N121" s="6">
        <f>IFERROR(INDEX('02b_DC_Accelerator_Mix'!$K$2:$K$977,MATCH(G121,'02b_DC_Accelerator_Mix'!$A$2:$A$977,0)),0)</f>
        <v/>
      </c>
      <c r="O121" s="6">
        <f>IFERROR(INDEX('02b_DC_Accelerator_Mix'!$L$2:$L$977,MATCH(G121,'02b_DC_Accelerator_Mix'!$A$2:$A$977,0)),0)</f>
        <v/>
      </c>
      <c r="P121" s="6">
        <f>IFERROR(INDEX('02b_DC_Accelerator_Mix'!$M$2:$M$977,MATCH(G121,'02b_DC_Accelerator_Mix'!$A$2:$A$977,0)),0)</f>
        <v/>
      </c>
      <c r="Q121" s="6">
        <f>IFERROR(INDEX('02b_DC_Accelerator_Mix'!$N$2:$N$977,MATCH(G121,'02b_DC_Accelerator_Mix'!$A$2:$A$977,0)),0)</f>
        <v/>
      </c>
      <c r="R121" s="28">
        <f>H121*I121</f>
        <v/>
      </c>
      <c r="S121" s="28">
        <f>H121*J121</f>
        <v/>
      </c>
      <c r="T121" s="28">
        <f>H121*K121</f>
        <v/>
      </c>
      <c r="U121" s="28">
        <f>H121*L121</f>
        <v/>
      </c>
      <c r="V121" s="28">
        <f>H121*M121</f>
        <v/>
      </c>
      <c r="W121" s="28">
        <f>H121*N121</f>
        <v/>
      </c>
      <c r="X121" s="28">
        <f>H121*O121</f>
        <v/>
      </c>
      <c r="Y121" s="28">
        <f>H121*P121</f>
        <v/>
      </c>
      <c r="Z121" s="28">
        <f>H121*Q121</f>
        <v/>
      </c>
      <c r="AA121" s="28">
        <f>SUM(U121:Z121)</f>
        <v/>
      </c>
      <c r="AB121" s="5">
        <f>IF(COUNTIF('02b_DC_Accelerator_Mix'!$A$2:$A$977,G121)&gt;0,"matched","missing_mix")</f>
        <v/>
      </c>
    </row>
    <row r="122">
      <c r="A122" s="5">
        <f>'02a_DC_Capacity_Alloc'!A122</f>
        <v/>
      </c>
      <c r="B122" s="5">
        <f>'02a_DC_Capacity_Alloc'!B122</f>
        <v/>
      </c>
      <c r="C122" s="5">
        <f>'02a_DC_Capacity_Alloc'!C122</f>
        <v/>
      </c>
      <c r="D122" s="5">
        <f>'02a_DC_Capacity_Alloc'!D122</f>
        <v/>
      </c>
      <c r="E122" s="5">
        <f>'02a_DC_Capacity_Alloc'!E122</f>
        <v/>
      </c>
      <c r="F122" s="5">
        <f>'02a_DC_Capacity_Alloc'!F122</f>
        <v/>
      </c>
      <c r="G122" s="5">
        <f>B122&amp;"|"&amp;E122&amp;"|"&amp;D122</f>
        <v/>
      </c>
      <c r="H122" s="28">
        <f>'02a_DC_Capacity_Alloc'!H122*'02a_DC_Capacity_Alloc'!I122*'02a_DC_Capacity_Alloc'!J122</f>
        <v/>
      </c>
      <c r="I122" s="6">
        <f>IFERROR(INDEX('02b_DC_Accelerator_Mix'!$F$2:$F$977,MATCH(G122,'02b_DC_Accelerator_Mix'!$A$2:$A$977,0)),0)</f>
        <v/>
      </c>
      <c r="J122" s="6">
        <f>IFERROR(INDEX('02b_DC_Accelerator_Mix'!$G$2:$G$977,MATCH(G122,'02b_DC_Accelerator_Mix'!$A$2:$A$977,0)),0)</f>
        <v/>
      </c>
      <c r="K122" s="6">
        <f>IFERROR(INDEX('02b_DC_Accelerator_Mix'!$H$2:$H$977,MATCH(G122,'02b_DC_Accelerator_Mix'!$A$2:$A$977,0)),0)</f>
        <v/>
      </c>
      <c r="L122" s="6">
        <f>IFERROR(INDEX('02b_DC_Accelerator_Mix'!$I$2:$I$977,MATCH(G122,'02b_DC_Accelerator_Mix'!$A$2:$A$977,0)),0)</f>
        <v/>
      </c>
      <c r="M122" s="6">
        <f>IFERROR(INDEX('02b_DC_Accelerator_Mix'!$J$2:$J$977,MATCH(G122,'02b_DC_Accelerator_Mix'!$A$2:$A$977,0)),0)</f>
        <v/>
      </c>
      <c r="N122" s="6">
        <f>IFERROR(INDEX('02b_DC_Accelerator_Mix'!$K$2:$K$977,MATCH(G122,'02b_DC_Accelerator_Mix'!$A$2:$A$977,0)),0)</f>
        <v/>
      </c>
      <c r="O122" s="6">
        <f>IFERROR(INDEX('02b_DC_Accelerator_Mix'!$L$2:$L$977,MATCH(G122,'02b_DC_Accelerator_Mix'!$A$2:$A$977,0)),0)</f>
        <v/>
      </c>
      <c r="P122" s="6">
        <f>IFERROR(INDEX('02b_DC_Accelerator_Mix'!$M$2:$M$977,MATCH(G122,'02b_DC_Accelerator_Mix'!$A$2:$A$977,0)),0)</f>
        <v/>
      </c>
      <c r="Q122" s="6">
        <f>IFERROR(INDEX('02b_DC_Accelerator_Mix'!$N$2:$N$977,MATCH(G122,'02b_DC_Accelerator_Mix'!$A$2:$A$977,0)),0)</f>
        <v/>
      </c>
      <c r="R122" s="28">
        <f>H122*I122</f>
        <v/>
      </c>
      <c r="S122" s="28">
        <f>H122*J122</f>
        <v/>
      </c>
      <c r="T122" s="28">
        <f>H122*K122</f>
        <v/>
      </c>
      <c r="U122" s="28">
        <f>H122*L122</f>
        <v/>
      </c>
      <c r="V122" s="28">
        <f>H122*M122</f>
        <v/>
      </c>
      <c r="W122" s="28">
        <f>H122*N122</f>
        <v/>
      </c>
      <c r="X122" s="28">
        <f>H122*O122</f>
        <v/>
      </c>
      <c r="Y122" s="28">
        <f>H122*P122</f>
        <v/>
      </c>
      <c r="Z122" s="28">
        <f>H122*Q122</f>
        <v/>
      </c>
      <c r="AA122" s="28">
        <f>SUM(U122:Z122)</f>
        <v/>
      </c>
      <c r="AB122" s="5">
        <f>IF(COUNTIF('02b_DC_Accelerator_Mix'!$A$2:$A$977,G122)&gt;0,"matched","missing_mix")</f>
        <v/>
      </c>
    </row>
    <row r="123">
      <c r="A123" s="5">
        <f>'02a_DC_Capacity_Alloc'!A123</f>
        <v/>
      </c>
      <c r="B123" s="5">
        <f>'02a_DC_Capacity_Alloc'!B123</f>
        <v/>
      </c>
      <c r="C123" s="5">
        <f>'02a_DC_Capacity_Alloc'!C123</f>
        <v/>
      </c>
      <c r="D123" s="5">
        <f>'02a_DC_Capacity_Alloc'!D123</f>
        <v/>
      </c>
      <c r="E123" s="5">
        <f>'02a_DC_Capacity_Alloc'!E123</f>
        <v/>
      </c>
      <c r="F123" s="5">
        <f>'02a_DC_Capacity_Alloc'!F123</f>
        <v/>
      </c>
      <c r="G123" s="5">
        <f>B123&amp;"|"&amp;E123&amp;"|"&amp;D123</f>
        <v/>
      </c>
      <c r="H123" s="28">
        <f>'02a_DC_Capacity_Alloc'!H123*'02a_DC_Capacity_Alloc'!I123*'02a_DC_Capacity_Alloc'!J123</f>
        <v/>
      </c>
      <c r="I123" s="6">
        <f>IFERROR(INDEX('02b_DC_Accelerator_Mix'!$F$2:$F$977,MATCH(G123,'02b_DC_Accelerator_Mix'!$A$2:$A$977,0)),0)</f>
        <v/>
      </c>
      <c r="J123" s="6">
        <f>IFERROR(INDEX('02b_DC_Accelerator_Mix'!$G$2:$G$977,MATCH(G123,'02b_DC_Accelerator_Mix'!$A$2:$A$977,0)),0)</f>
        <v/>
      </c>
      <c r="K123" s="6">
        <f>IFERROR(INDEX('02b_DC_Accelerator_Mix'!$H$2:$H$977,MATCH(G123,'02b_DC_Accelerator_Mix'!$A$2:$A$977,0)),0)</f>
        <v/>
      </c>
      <c r="L123" s="6">
        <f>IFERROR(INDEX('02b_DC_Accelerator_Mix'!$I$2:$I$977,MATCH(G123,'02b_DC_Accelerator_Mix'!$A$2:$A$977,0)),0)</f>
        <v/>
      </c>
      <c r="M123" s="6">
        <f>IFERROR(INDEX('02b_DC_Accelerator_Mix'!$J$2:$J$977,MATCH(G123,'02b_DC_Accelerator_Mix'!$A$2:$A$977,0)),0)</f>
        <v/>
      </c>
      <c r="N123" s="6">
        <f>IFERROR(INDEX('02b_DC_Accelerator_Mix'!$K$2:$K$977,MATCH(G123,'02b_DC_Accelerator_Mix'!$A$2:$A$977,0)),0)</f>
        <v/>
      </c>
      <c r="O123" s="6">
        <f>IFERROR(INDEX('02b_DC_Accelerator_Mix'!$L$2:$L$977,MATCH(G123,'02b_DC_Accelerator_Mix'!$A$2:$A$977,0)),0)</f>
        <v/>
      </c>
      <c r="P123" s="6">
        <f>IFERROR(INDEX('02b_DC_Accelerator_Mix'!$M$2:$M$977,MATCH(G123,'02b_DC_Accelerator_Mix'!$A$2:$A$977,0)),0)</f>
        <v/>
      </c>
      <c r="Q123" s="6">
        <f>IFERROR(INDEX('02b_DC_Accelerator_Mix'!$N$2:$N$977,MATCH(G123,'02b_DC_Accelerator_Mix'!$A$2:$A$977,0)),0)</f>
        <v/>
      </c>
      <c r="R123" s="28">
        <f>H123*I123</f>
        <v/>
      </c>
      <c r="S123" s="28">
        <f>H123*J123</f>
        <v/>
      </c>
      <c r="T123" s="28">
        <f>H123*K123</f>
        <v/>
      </c>
      <c r="U123" s="28">
        <f>H123*L123</f>
        <v/>
      </c>
      <c r="V123" s="28">
        <f>H123*M123</f>
        <v/>
      </c>
      <c r="W123" s="28">
        <f>H123*N123</f>
        <v/>
      </c>
      <c r="X123" s="28">
        <f>H123*O123</f>
        <v/>
      </c>
      <c r="Y123" s="28">
        <f>H123*P123</f>
        <v/>
      </c>
      <c r="Z123" s="28">
        <f>H123*Q123</f>
        <v/>
      </c>
      <c r="AA123" s="28">
        <f>SUM(U123:Z123)</f>
        <v/>
      </c>
      <c r="AB123" s="5">
        <f>IF(COUNTIF('02b_DC_Accelerator_Mix'!$A$2:$A$977,G123)&gt;0,"matched","missing_mix")</f>
        <v/>
      </c>
    </row>
    <row r="124">
      <c r="A124" s="5">
        <f>'02a_DC_Capacity_Alloc'!A124</f>
        <v/>
      </c>
      <c r="B124" s="5">
        <f>'02a_DC_Capacity_Alloc'!B124</f>
        <v/>
      </c>
      <c r="C124" s="5">
        <f>'02a_DC_Capacity_Alloc'!C124</f>
        <v/>
      </c>
      <c r="D124" s="5">
        <f>'02a_DC_Capacity_Alloc'!D124</f>
        <v/>
      </c>
      <c r="E124" s="5">
        <f>'02a_DC_Capacity_Alloc'!E124</f>
        <v/>
      </c>
      <c r="F124" s="5">
        <f>'02a_DC_Capacity_Alloc'!F124</f>
        <v/>
      </c>
      <c r="G124" s="5">
        <f>B124&amp;"|"&amp;E124&amp;"|"&amp;D124</f>
        <v/>
      </c>
      <c r="H124" s="28">
        <f>'02a_DC_Capacity_Alloc'!H124*'02a_DC_Capacity_Alloc'!I124*'02a_DC_Capacity_Alloc'!J124</f>
        <v/>
      </c>
      <c r="I124" s="6">
        <f>IFERROR(INDEX('02b_DC_Accelerator_Mix'!$F$2:$F$977,MATCH(G124,'02b_DC_Accelerator_Mix'!$A$2:$A$977,0)),0)</f>
        <v/>
      </c>
      <c r="J124" s="6">
        <f>IFERROR(INDEX('02b_DC_Accelerator_Mix'!$G$2:$G$977,MATCH(G124,'02b_DC_Accelerator_Mix'!$A$2:$A$977,0)),0)</f>
        <v/>
      </c>
      <c r="K124" s="6">
        <f>IFERROR(INDEX('02b_DC_Accelerator_Mix'!$H$2:$H$977,MATCH(G124,'02b_DC_Accelerator_Mix'!$A$2:$A$977,0)),0)</f>
        <v/>
      </c>
      <c r="L124" s="6">
        <f>IFERROR(INDEX('02b_DC_Accelerator_Mix'!$I$2:$I$977,MATCH(G124,'02b_DC_Accelerator_Mix'!$A$2:$A$977,0)),0)</f>
        <v/>
      </c>
      <c r="M124" s="6">
        <f>IFERROR(INDEX('02b_DC_Accelerator_Mix'!$J$2:$J$977,MATCH(G124,'02b_DC_Accelerator_Mix'!$A$2:$A$977,0)),0)</f>
        <v/>
      </c>
      <c r="N124" s="6">
        <f>IFERROR(INDEX('02b_DC_Accelerator_Mix'!$K$2:$K$977,MATCH(G124,'02b_DC_Accelerator_Mix'!$A$2:$A$977,0)),0)</f>
        <v/>
      </c>
      <c r="O124" s="6">
        <f>IFERROR(INDEX('02b_DC_Accelerator_Mix'!$L$2:$L$977,MATCH(G124,'02b_DC_Accelerator_Mix'!$A$2:$A$977,0)),0)</f>
        <v/>
      </c>
      <c r="P124" s="6">
        <f>IFERROR(INDEX('02b_DC_Accelerator_Mix'!$M$2:$M$977,MATCH(G124,'02b_DC_Accelerator_Mix'!$A$2:$A$977,0)),0)</f>
        <v/>
      </c>
      <c r="Q124" s="6">
        <f>IFERROR(INDEX('02b_DC_Accelerator_Mix'!$N$2:$N$977,MATCH(G124,'02b_DC_Accelerator_Mix'!$A$2:$A$977,0)),0)</f>
        <v/>
      </c>
      <c r="R124" s="28">
        <f>H124*I124</f>
        <v/>
      </c>
      <c r="S124" s="28">
        <f>H124*J124</f>
        <v/>
      </c>
      <c r="T124" s="28">
        <f>H124*K124</f>
        <v/>
      </c>
      <c r="U124" s="28">
        <f>H124*L124</f>
        <v/>
      </c>
      <c r="V124" s="28">
        <f>H124*M124</f>
        <v/>
      </c>
      <c r="W124" s="28">
        <f>H124*N124</f>
        <v/>
      </c>
      <c r="X124" s="28">
        <f>H124*O124</f>
        <v/>
      </c>
      <c r="Y124" s="28">
        <f>H124*P124</f>
        <v/>
      </c>
      <c r="Z124" s="28">
        <f>H124*Q124</f>
        <v/>
      </c>
      <c r="AA124" s="28">
        <f>SUM(U124:Z124)</f>
        <v/>
      </c>
      <c r="AB124" s="5">
        <f>IF(COUNTIF('02b_DC_Accelerator_Mix'!$A$2:$A$977,G124)&gt;0,"matched","missing_mix")</f>
        <v/>
      </c>
    </row>
    <row r="125">
      <c r="A125" s="5">
        <f>'02a_DC_Capacity_Alloc'!A125</f>
        <v/>
      </c>
      <c r="B125" s="5">
        <f>'02a_DC_Capacity_Alloc'!B125</f>
        <v/>
      </c>
      <c r="C125" s="5">
        <f>'02a_DC_Capacity_Alloc'!C125</f>
        <v/>
      </c>
      <c r="D125" s="5">
        <f>'02a_DC_Capacity_Alloc'!D125</f>
        <v/>
      </c>
      <c r="E125" s="5">
        <f>'02a_DC_Capacity_Alloc'!E125</f>
        <v/>
      </c>
      <c r="F125" s="5">
        <f>'02a_DC_Capacity_Alloc'!F125</f>
        <v/>
      </c>
      <c r="G125" s="5">
        <f>B125&amp;"|"&amp;E125&amp;"|"&amp;D125</f>
        <v/>
      </c>
      <c r="H125" s="28">
        <f>'02a_DC_Capacity_Alloc'!H125*'02a_DC_Capacity_Alloc'!I125*'02a_DC_Capacity_Alloc'!J125</f>
        <v/>
      </c>
      <c r="I125" s="6">
        <f>IFERROR(INDEX('02b_DC_Accelerator_Mix'!$F$2:$F$977,MATCH(G125,'02b_DC_Accelerator_Mix'!$A$2:$A$977,0)),0)</f>
        <v/>
      </c>
      <c r="J125" s="6">
        <f>IFERROR(INDEX('02b_DC_Accelerator_Mix'!$G$2:$G$977,MATCH(G125,'02b_DC_Accelerator_Mix'!$A$2:$A$977,0)),0)</f>
        <v/>
      </c>
      <c r="K125" s="6">
        <f>IFERROR(INDEX('02b_DC_Accelerator_Mix'!$H$2:$H$977,MATCH(G125,'02b_DC_Accelerator_Mix'!$A$2:$A$977,0)),0)</f>
        <v/>
      </c>
      <c r="L125" s="6">
        <f>IFERROR(INDEX('02b_DC_Accelerator_Mix'!$I$2:$I$977,MATCH(G125,'02b_DC_Accelerator_Mix'!$A$2:$A$977,0)),0)</f>
        <v/>
      </c>
      <c r="M125" s="6">
        <f>IFERROR(INDEX('02b_DC_Accelerator_Mix'!$J$2:$J$977,MATCH(G125,'02b_DC_Accelerator_Mix'!$A$2:$A$977,0)),0)</f>
        <v/>
      </c>
      <c r="N125" s="6">
        <f>IFERROR(INDEX('02b_DC_Accelerator_Mix'!$K$2:$K$977,MATCH(G125,'02b_DC_Accelerator_Mix'!$A$2:$A$977,0)),0)</f>
        <v/>
      </c>
      <c r="O125" s="6">
        <f>IFERROR(INDEX('02b_DC_Accelerator_Mix'!$L$2:$L$977,MATCH(G125,'02b_DC_Accelerator_Mix'!$A$2:$A$977,0)),0)</f>
        <v/>
      </c>
      <c r="P125" s="6">
        <f>IFERROR(INDEX('02b_DC_Accelerator_Mix'!$M$2:$M$977,MATCH(G125,'02b_DC_Accelerator_Mix'!$A$2:$A$977,0)),0)</f>
        <v/>
      </c>
      <c r="Q125" s="6">
        <f>IFERROR(INDEX('02b_DC_Accelerator_Mix'!$N$2:$N$977,MATCH(G125,'02b_DC_Accelerator_Mix'!$A$2:$A$977,0)),0)</f>
        <v/>
      </c>
      <c r="R125" s="28">
        <f>H125*I125</f>
        <v/>
      </c>
      <c r="S125" s="28">
        <f>H125*J125</f>
        <v/>
      </c>
      <c r="T125" s="28">
        <f>H125*K125</f>
        <v/>
      </c>
      <c r="U125" s="28">
        <f>H125*L125</f>
        <v/>
      </c>
      <c r="V125" s="28">
        <f>H125*M125</f>
        <v/>
      </c>
      <c r="W125" s="28">
        <f>H125*N125</f>
        <v/>
      </c>
      <c r="X125" s="28">
        <f>H125*O125</f>
        <v/>
      </c>
      <c r="Y125" s="28">
        <f>H125*P125</f>
        <v/>
      </c>
      <c r="Z125" s="28">
        <f>H125*Q125</f>
        <v/>
      </c>
      <c r="AA125" s="28">
        <f>SUM(U125:Z125)</f>
        <v/>
      </c>
      <c r="AB125" s="5">
        <f>IF(COUNTIF('02b_DC_Accelerator_Mix'!$A$2:$A$977,G125)&gt;0,"matched","missing_mix")</f>
        <v/>
      </c>
    </row>
    <row r="126">
      <c r="A126" s="5">
        <f>'02a_DC_Capacity_Alloc'!A126</f>
        <v/>
      </c>
      <c r="B126" s="5">
        <f>'02a_DC_Capacity_Alloc'!B126</f>
        <v/>
      </c>
      <c r="C126" s="5">
        <f>'02a_DC_Capacity_Alloc'!C126</f>
        <v/>
      </c>
      <c r="D126" s="5">
        <f>'02a_DC_Capacity_Alloc'!D126</f>
        <v/>
      </c>
      <c r="E126" s="5">
        <f>'02a_DC_Capacity_Alloc'!E126</f>
        <v/>
      </c>
      <c r="F126" s="5">
        <f>'02a_DC_Capacity_Alloc'!F126</f>
        <v/>
      </c>
      <c r="G126" s="5">
        <f>B126&amp;"|"&amp;E126&amp;"|"&amp;D126</f>
        <v/>
      </c>
      <c r="H126" s="28">
        <f>'02a_DC_Capacity_Alloc'!H126*'02a_DC_Capacity_Alloc'!I126*'02a_DC_Capacity_Alloc'!J126</f>
        <v/>
      </c>
      <c r="I126" s="6">
        <f>IFERROR(INDEX('02b_DC_Accelerator_Mix'!$F$2:$F$977,MATCH(G126,'02b_DC_Accelerator_Mix'!$A$2:$A$977,0)),0)</f>
        <v/>
      </c>
      <c r="J126" s="6">
        <f>IFERROR(INDEX('02b_DC_Accelerator_Mix'!$G$2:$G$977,MATCH(G126,'02b_DC_Accelerator_Mix'!$A$2:$A$977,0)),0)</f>
        <v/>
      </c>
      <c r="K126" s="6">
        <f>IFERROR(INDEX('02b_DC_Accelerator_Mix'!$H$2:$H$977,MATCH(G126,'02b_DC_Accelerator_Mix'!$A$2:$A$977,0)),0)</f>
        <v/>
      </c>
      <c r="L126" s="6">
        <f>IFERROR(INDEX('02b_DC_Accelerator_Mix'!$I$2:$I$977,MATCH(G126,'02b_DC_Accelerator_Mix'!$A$2:$A$977,0)),0)</f>
        <v/>
      </c>
      <c r="M126" s="6">
        <f>IFERROR(INDEX('02b_DC_Accelerator_Mix'!$J$2:$J$977,MATCH(G126,'02b_DC_Accelerator_Mix'!$A$2:$A$977,0)),0)</f>
        <v/>
      </c>
      <c r="N126" s="6">
        <f>IFERROR(INDEX('02b_DC_Accelerator_Mix'!$K$2:$K$977,MATCH(G126,'02b_DC_Accelerator_Mix'!$A$2:$A$977,0)),0)</f>
        <v/>
      </c>
      <c r="O126" s="6">
        <f>IFERROR(INDEX('02b_DC_Accelerator_Mix'!$L$2:$L$977,MATCH(G126,'02b_DC_Accelerator_Mix'!$A$2:$A$977,0)),0)</f>
        <v/>
      </c>
      <c r="P126" s="6">
        <f>IFERROR(INDEX('02b_DC_Accelerator_Mix'!$M$2:$M$977,MATCH(G126,'02b_DC_Accelerator_Mix'!$A$2:$A$977,0)),0)</f>
        <v/>
      </c>
      <c r="Q126" s="6">
        <f>IFERROR(INDEX('02b_DC_Accelerator_Mix'!$N$2:$N$977,MATCH(G126,'02b_DC_Accelerator_Mix'!$A$2:$A$977,0)),0)</f>
        <v/>
      </c>
      <c r="R126" s="28">
        <f>H126*I126</f>
        <v/>
      </c>
      <c r="S126" s="28">
        <f>H126*J126</f>
        <v/>
      </c>
      <c r="T126" s="28">
        <f>H126*K126</f>
        <v/>
      </c>
      <c r="U126" s="28">
        <f>H126*L126</f>
        <v/>
      </c>
      <c r="V126" s="28">
        <f>H126*M126</f>
        <v/>
      </c>
      <c r="W126" s="28">
        <f>H126*N126</f>
        <v/>
      </c>
      <c r="X126" s="28">
        <f>H126*O126</f>
        <v/>
      </c>
      <c r="Y126" s="28">
        <f>H126*P126</f>
        <v/>
      </c>
      <c r="Z126" s="28">
        <f>H126*Q126</f>
        <v/>
      </c>
      <c r="AA126" s="28">
        <f>SUM(U126:Z126)</f>
        <v/>
      </c>
      <c r="AB126" s="5">
        <f>IF(COUNTIF('02b_DC_Accelerator_Mix'!$A$2:$A$977,G126)&gt;0,"matched","missing_mix")</f>
        <v/>
      </c>
    </row>
    <row r="127">
      <c r="A127" s="5">
        <f>'02a_DC_Capacity_Alloc'!A127</f>
        <v/>
      </c>
      <c r="B127" s="5">
        <f>'02a_DC_Capacity_Alloc'!B127</f>
        <v/>
      </c>
      <c r="C127" s="5">
        <f>'02a_DC_Capacity_Alloc'!C127</f>
        <v/>
      </c>
      <c r="D127" s="5">
        <f>'02a_DC_Capacity_Alloc'!D127</f>
        <v/>
      </c>
      <c r="E127" s="5">
        <f>'02a_DC_Capacity_Alloc'!E127</f>
        <v/>
      </c>
      <c r="F127" s="5">
        <f>'02a_DC_Capacity_Alloc'!F127</f>
        <v/>
      </c>
      <c r="G127" s="5">
        <f>B127&amp;"|"&amp;E127&amp;"|"&amp;D127</f>
        <v/>
      </c>
      <c r="H127" s="28">
        <f>'02a_DC_Capacity_Alloc'!H127*'02a_DC_Capacity_Alloc'!I127*'02a_DC_Capacity_Alloc'!J127</f>
        <v/>
      </c>
      <c r="I127" s="6">
        <f>IFERROR(INDEX('02b_DC_Accelerator_Mix'!$F$2:$F$977,MATCH(G127,'02b_DC_Accelerator_Mix'!$A$2:$A$977,0)),0)</f>
        <v/>
      </c>
      <c r="J127" s="6">
        <f>IFERROR(INDEX('02b_DC_Accelerator_Mix'!$G$2:$G$977,MATCH(G127,'02b_DC_Accelerator_Mix'!$A$2:$A$977,0)),0)</f>
        <v/>
      </c>
      <c r="K127" s="6">
        <f>IFERROR(INDEX('02b_DC_Accelerator_Mix'!$H$2:$H$977,MATCH(G127,'02b_DC_Accelerator_Mix'!$A$2:$A$977,0)),0)</f>
        <v/>
      </c>
      <c r="L127" s="6">
        <f>IFERROR(INDEX('02b_DC_Accelerator_Mix'!$I$2:$I$977,MATCH(G127,'02b_DC_Accelerator_Mix'!$A$2:$A$977,0)),0)</f>
        <v/>
      </c>
      <c r="M127" s="6">
        <f>IFERROR(INDEX('02b_DC_Accelerator_Mix'!$J$2:$J$977,MATCH(G127,'02b_DC_Accelerator_Mix'!$A$2:$A$977,0)),0)</f>
        <v/>
      </c>
      <c r="N127" s="6">
        <f>IFERROR(INDEX('02b_DC_Accelerator_Mix'!$K$2:$K$977,MATCH(G127,'02b_DC_Accelerator_Mix'!$A$2:$A$977,0)),0)</f>
        <v/>
      </c>
      <c r="O127" s="6">
        <f>IFERROR(INDEX('02b_DC_Accelerator_Mix'!$L$2:$L$977,MATCH(G127,'02b_DC_Accelerator_Mix'!$A$2:$A$977,0)),0)</f>
        <v/>
      </c>
      <c r="P127" s="6">
        <f>IFERROR(INDEX('02b_DC_Accelerator_Mix'!$M$2:$M$977,MATCH(G127,'02b_DC_Accelerator_Mix'!$A$2:$A$977,0)),0)</f>
        <v/>
      </c>
      <c r="Q127" s="6">
        <f>IFERROR(INDEX('02b_DC_Accelerator_Mix'!$N$2:$N$977,MATCH(G127,'02b_DC_Accelerator_Mix'!$A$2:$A$977,0)),0)</f>
        <v/>
      </c>
      <c r="R127" s="28">
        <f>H127*I127</f>
        <v/>
      </c>
      <c r="S127" s="28">
        <f>H127*J127</f>
        <v/>
      </c>
      <c r="T127" s="28">
        <f>H127*K127</f>
        <v/>
      </c>
      <c r="U127" s="28">
        <f>H127*L127</f>
        <v/>
      </c>
      <c r="V127" s="28">
        <f>H127*M127</f>
        <v/>
      </c>
      <c r="W127" s="28">
        <f>H127*N127</f>
        <v/>
      </c>
      <c r="X127" s="28">
        <f>H127*O127</f>
        <v/>
      </c>
      <c r="Y127" s="28">
        <f>H127*P127</f>
        <v/>
      </c>
      <c r="Z127" s="28">
        <f>H127*Q127</f>
        <v/>
      </c>
      <c r="AA127" s="28">
        <f>SUM(U127:Z127)</f>
        <v/>
      </c>
      <c r="AB127" s="5">
        <f>IF(COUNTIF('02b_DC_Accelerator_Mix'!$A$2:$A$977,G127)&gt;0,"matched","missing_mix")</f>
        <v/>
      </c>
    </row>
    <row r="128">
      <c r="A128" s="5">
        <f>'02a_DC_Capacity_Alloc'!A128</f>
        <v/>
      </c>
      <c r="B128" s="5">
        <f>'02a_DC_Capacity_Alloc'!B128</f>
        <v/>
      </c>
      <c r="C128" s="5">
        <f>'02a_DC_Capacity_Alloc'!C128</f>
        <v/>
      </c>
      <c r="D128" s="5">
        <f>'02a_DC_Capacity_Alloc'!D128</f>
        <v/>
      </c>
      <c r="E128" s="5">
        <f>'02a_DC_Capacity_Alloc'!E128</f>
        <v/>
      </c>
      <c r="F128" s="5">
        <f>'02a_DC_Capacity_Alloc'!F128</f>
        <v/>
      </c>
      <c r="G128" s="5">
        <f>B128&amp;"|"&amp;E128&amp;"|"&amp;D128</f>
        <v/>
      </c>
      <c r="H128" s="28">
        <f>'02a_DC_Capacity_Alloc'!H128*'02a_DC_Capacity_Alloc'!I128*'02a_DC_Capacity_Alloc'!J128</f>
        <v/>
      </c>
      <c r="I128" s="6">
        <f>IFERROR(INDEX('02b_DC_Accelerator_Mix'!$F$2:$F$977,MATCH(G128,'02b_DC_Accelerator_Mix'!$A$2:$A$977,0)),0)</f>
        <v/>
      </c>
      <c r="J128" s="6">
        <f>IFERROR(INDEX('02b_DC_Accelerator_Mix'!$G$2:$G$977,MATCH(G128,'02b_DC_Accelerator_Mix'!$A$2:$A$977,0)),0)</f>
        <v/>
      </c>
      <c r="K128" s="6">
        <f>IFERROR(INDEX('02b_DC_Accelerator_Mix'!$H$2:$H$977,MATCH(G128,'02b_DC_Accelerator_Mix'!$A$2:$A$977,0)),0)</f>
        <v/>
      </c>
      <c r="L128" s="6">
        <f>IFERROR(INDEX('02b_DC_Accelerator_Mix'!$I$2:$I$977,MATCH(G128,'02b_DC_Accelerator_Mix'!$A$2:$A$977,0)),0)</f>
        <v/>
      </c>
      <c r="M128" s="6">
        <f>IFERROR(INDEX('02b_DC_Accelerator_Mix'!$J$2:$J$977,MATCH(G128,'02b_DC_Accelerator_Mix'!$A$2:$A$977,0)),0)</f>
        <v/>
      </c>
      <c r="N128" s="6">
        <f>IFERROR(INDEX('02b_DC_Accelerator_Mix'!$K$2:$K$977,MATCH(G128,'02b_DC_Accelerator_Mix'!$A$2:$A$977,0)),0)</f>
        <v/>
      </c>
      <c r="O128" s="6">
        <f>IFERROR(INDEX('02b_DC_Accelerator_Mix'!$L$2:$L$977,MATCH(G128,'02b_DC_Accelerator_Mix'!$A$2:$A$977,0)),0)</f>
        <v/>
      </c>
      <c r="P128" s="6">
        <f>IFERROR(INDEX('02b_DC_Accelerator_Mix'!$M$2:$M$977,MATCH(G128,'02b_DC_Accelerator_Mix'!$A$2:$A$977,0)),0)</f>
        <v/>
      </c>
      <c r="Q128" s="6">
        <f>IFERROR(INDEX('02b_DC_Accelerator_Mix'!$N$2:$N$977,MATCH(G128,'02b_DC_Accelerator_Mix'!$A$2:$A$977,0)),0)</f>
        <v/>
      </c>
      <c r="R128" s="28">
        <f>H128*I128</f>
        <v/>
      </c>
      <c r="S128" s="28">
        <f>H128*J128</f>
        <v/>
      </c>
      <c r="T128" s="28">
        <f>H128*K128</f>
        <v/>
      </c>
      <c r="U128" s="28">
        <f>H128*L128</f>
        <v/>
      </c>
      <c r="V128" s="28">
        <f>H128*M128</f>
        <v/>
      </c>
      <c r="W128" s="28">
        <f>H128*N128</f>
        <v/>
      </c>
      <c r="X128" s="28">
        <f>H128*O128</f>
        <v/>
      </c>
      <c r="Y128" s="28">
        <f>H128*P128</f>
        <v/>
      </c>
      <c r="Z128" s="28">
        <f>H128*Q128</f>
        <v/>
      </c>
      <c r="AA128" s="28">
        <f>SUM(U128:Z128)</f>
        <v/>
      </c>
      <c r="AB128" s="5">
        <f>IF(COUNTIF('02b_DC_Accelerator_Mix'!$A$2:$A$977,G128)&gt;0,"matched","missing_mix")</f>
        <v/>
      </c>
    </row>
    <row r="129">
      <c r="A129" s="5">
        <f>'02a_DC_Capacity_Alloc'!A129</f>
        <v/>
      </c>
      <c r="B129" s="5">
        <f>'02a_DC_Capacity_Alloc'!B129</f>
        <v/>
      </c>
      <c r="C129" s="5">
        <f>'02a_DC_Capacity_Alloc'!C129</f>
        <v/>
      </c>
      <c r="D129" s="5">
        <f>'02a_DC_Capacity_Alloc'!D129</f>
        <v/>
      </c>
      <c r="E129" s="5">
        <f>'02a_DC_Capacity_Alloc'!E129</f>
        <v/>
      </c>
      <c r="F129" s="5">
        <f>'02a_DC_Capacity_Alloc'!F129</f>
        <v/>
      </c>
      <c r="G129" s="5">
        <f>B129&amp;"|"&amp;E129&amp;"|"&amp;D129</f>
        <v/>
      </c>
      <c r="H129" s="28">
        <f>'02a_DC_Capacity_Alloc'!H129*'02a_DC_Capacity_Alloc'!I129*'02a_DC_Capacity_Alloc'!J129</f>
        <v/>
      </c>
      <c r="I129" s="6">
        <f>IFERROR(INDEX('02b_DC_Accelerator_Mix'!$F$2:$F$977,MATCH(G129,'02b_DC_Accelerator_Mix'!$A$2:$A$977,0)),0)</f>
        <v/>
      </c>
      <c r="J129" s="6">
        <f>IFERROR(INDEX('02b_DC_Accelerator_Mix'!$G$2:$G$977,MATCH(G129,'02b_DC_Accelerator_Mix'!$A$2:$A$977,0)),0)</f>
        <v/>
      </c>
      <c r="K129" s="6">
        <f>IFERROR(INDEX('02b_DC_Accelerator_Mix'!$H$2:$H$977,MATCH(G129,'02b_DC_Accelerator_Mix'!$A$2:$A$977,0)),0)</f>
        <v/>
      </c>
      <c r="L129" s="6">
        <f>IFERROR(INDEX('02b_DC_Accelerator_Mix'!$I$2:$I$977,MATCH(G129,'02b_DC_Accelerator_Mix'!$A$2:$A$977,0)),0)</f>
        <v/>
      </c>
      <c r="M129" s="6">
        <f>IFERROR(INDEX('02b_DC_Accelerator_Mix'!$J$2:$J$977,MATCH(G129,'02b_DC_Accelerator_Mix'!$A$2:$A$977,0)),0)</f>
        <v/>
      </c>
      <c r="N129" s="6">
        <f>IFERROR(INDEX('02b_DC_Accelerator_Mix'!$K$2:$K$977,MATCH(G129,'02b_DC_Accelerator_Mix'!$A$2:$A$977,0)),0)</f>
        <v/>
      </c>
      <c r="O129" s="6">
        <f>IFERROR(INDEX('02b_DC_Accelerator_Mix'!$L$2:$L$977,MATCH(G129,'02b_DC_Accelerator_Mix'!$A$2:$A$977,0)),0)</f>
        <v/>
      </c>
      <c r="P129" s="6">
        <f>IFERROR(INDEX('02b_DC_Accelerator_Mix'!$M$2:$M$977,MATCH(G129,'02b_DC_Accelerator_Mix'!$A$2:$A$977,0)),0)</f>
        <v/>
      </c>
      <c r="Q129" s="6">
        <f>IFERROR(INDEX('02b_DC_Accelerator_Mix'!$N$2:$N$977,MATCH(G129,'02b_DC_Accelerator_Mix'!$A$2:$A$977,0)),0)</f>
        <v/>
      </c>
      <c r="R129" s="28">
        <f>H129*I129</f>
        <v/>
      </c>
      <c r="S129" s="28">
        <f>H129*J129</f>
        <v/>
      </c>
      <c r="T129" s="28">
        <f>H129*K129</f>
        <v/>
      </c>
      <c r="U129" s="28">
        <f>H129*L129</f>
        <v/>
      </c>
      <c r="V129" s="28">
        <f>H129*M129</f>
        <v/>
      </c>
      <c r="W129" s="28">
        <f>H129*N129</f>
        <v/>
      </c>
      <c r="X129" s="28">
        <f>H129*O129</f>
        <v/>
      </c>
      <c r="Y129" s="28">
        <f>H129*P129</f>
        <v/>
      </c>
      <c r="Z129" s="28">
        <f>H129*Q129</f>
        <v/>
      </c>
      <c r="AA129" s="28">
        <f>SUM(U129:Z129)</f>
        <v/>
      </c>
      <c r="AB129" s="5">
        <f>IF(COUNTIF('02b_DC_Accelerator_Mix'!$A$2:$A$977,G129)&gt;0,"matched","missing_mix")</f>
        <v/>
      </c>
    </row>
    <row r="130">
      <c r="A130" s="5">
        <f>'02a_DC_Capacity_Alloc'!A130</f>
        <v/>
      </c>
      <c r="B130" s="5">
        <f>'02a_DC_Capacity_Alloc'!B130</f>
        <v/>
      </c>
      <c r="C130" s="5">
        <f>'02a_DC_Capacity_Alloc'!C130</f>
        <v/>
      </c>
      <c r="D130" s="5">
        <f>'02a_DC_Capacity_Alloc'!D130</f>
        <v/>
      </c>
      <c r="E130" s="5">
        <f>'02a_DC_Capacity_Alloc'!E130</f>
        <v/>
      </c>
      <c r="F130" s="5">
        <f>'02a_DC_Capacity_Alloc'!F130</f>
        <v/>
      </c>
      <c r="G130" s="5">
        <f>B130&amp;"|"&amp;E130&amp;"|"&amp;D130</f>
        <v/>
      </c>
      <c r="H130" s="28">
        <f>'02a_DC_Capacity_Alloc'!H130*'02a_DC_Capacity_Alloc'!I130*'02a_DC_Capacity_Alloc'!J130</f>
        <v/>
      </c>
      <c r="I130" s="6">
        <f>IFERROR(INDEX('02b_DC_Accelerator_Mix'!$F$2:$F$977,MATCH(G130,'02b_DC_Accelerator_Mix'!$A$2:$A$977,0)),0)</f>
        <v/>
      </c>
      <c r="J130" s="6">
        <f>IFERROR(INDEX('02b_DC_Accelerator_Mix'!$G$2:$G$977,MATCH(G130,'02b_DC_Accelerator_Mix'!$A$2:$A$977,0)),0)</f>
        <v/>
      </c>
      <c r="K130" s="6">
        <f>IFERROR(INDEX('02b_DC_Accelerator_Mix'!$H$2:$H$977,MATCH(G130,'02b_DC_Accelerator_Mix'!$A$2:$A$977,0)),0)</f>
        <v/>
      </c>
      <c r="L130" s="6">
        <f>IFERROR(INDEX('02b_DC_Accelerator_Mix'!$I$2:$I$977,MATCH(G130,'02b_DC_Accelerator_Mix'!$A$2:$A$977,0)),0)</f>
        <v/>
      </c>
      <c r="M130" s="6">
        <f>IFERROR(INDEX('02b_DC_Accelerator_Mix'!$J$2:$J$977,MATCH(G130,'02b_DC_Accelerator_Mix'!$A$2:$A$977,0)),0)</f>
        <v/>
      </c>
      <c r="N130" s="6">
        <f>IFERROR(INDEX('02b_DC_Accelerator_Mix'!$K$2:$K$977,MATCH(G130,'02b_DC_Accelerator_Mix'!$A$2:$A$977,0)),0)</f>
        <v/>
      </c>
      <c r="O130" s="6">
        <f>IFERROR(INDEX('02b_DC_Accelerator_Mix'!$L$2:$L$977,MATCH(G130,'02b_DC_Accelerator_Mix'!$A$2:$A$977,0)),0)</f>
        <v/>
      </c>
      <c r="P130" s="6">
        <f>IFERROR(INDEX('02b_DC_Accelerator_Mix'!$M$2:$M$977,MATCH(G130,'02b_DC_Accelerator_Mix'!$A$2:$A$977,0)),0)</f>
        <v/>
      </c>
      <c r="Q130" s="6">
        <f>IFERROR(INDEX('02b_DC_Accelerator_Mix'!$N$2:$N$977,MATCH(G130,'02b_DC_Accelerator_Mix'!$A$2:$A$977,0)),0)</f>
        <v/>
      </c>
      <c r="R130" s="28">
        <f>H130*I130</f>
        <v/>
      </c>
      <c r="S130" s="28">
        <f>H130*J130</f>
        <v/>
      </c>
      <c r="T130" s="28">
        <f>H130*K130</f>
        <v/>
      </c>
      <c r="U130" s="28">
        <f>H130*L130</f>
        <v/>
      </c>
      <c r="V130" s="28">
        <f>H130*M130</f>
        <v/>
      </c>
      <c r="W130" s="28">
        <f>H130*N130</f>
        <v/>
      </c>
      <c r="X130" s="28">
        <f>H130*O130</f>
        <v/>
      </c>
      <c r="Y130" s="28">
        <f>H130*P130</f>
        <v/>
      </c>
      <c r="Z130" s="28">
        <f>H130*Q130</f>
        <v/>
      </c>
      <c r="AA130" s="28">
        <f>SUM(U130:Z130)</f>
        <v/>
      </c>
      <c r="AB130" s="5">
        <f>IF(COUNTIF('02b_DC_Accelerator_Mix'!$A$2:$A$977,G130)&gt;0,"matched","missing_mix")</f>
        <v/>
      </c>
    </row>
    <row r="131">
      <c r="A131" s="5">
        <f>'02a_DC_Capacity_Alloc'!A131</f>
        <v/>
      </c>
      <c r="B131" s="5">
        <f>'02a_DC_Capacity_Alloc'!B131</f>
        <v/>
      </c>
      <c r="C131" s="5">
        <f>'02a_DC_Capacity_Alloc'!C131</f>
        <v/>
      </c>
      <c r="D131" s="5">
        <f>'02a_DC_Capacity_Alloc'!D131</f>
        <v/>
      </c>
      <c r="E131" s="5">
        <f>'02a_DC_Capacity_Alloc'!E131</f>
        <v/>
      </c>
      <c r="F131" s="5">
        <f>'02a_DC_Capacity_Alloc'!F131</f>
        <v/>
      </c>
      <c r="G131" s="5">
        <f>B131&amp;"|"&amp;E131&amp;"|"&amp;D131</f>
        <v/>
      </c>
      <c r="H131" s="28">
        <f>'02a_DC_Capacity_Alloc'!H131*'02a_DC_Capacity_Alloc'!I131*'02a_DC_Capacity_Alloc'!J131</f>
        <v/>
      </c>
      <c r="I131" s="6">
        <f>IFERROR(INDEX('02b_DC_Accelerator_Mix'!$F$2:$F$977,MATCH(G131,'02b_DC_Accelerator_Mix'!$A$2:$A$977,0)),0)</f>
        <v/>
      </c>
      <c r="J131" s="6">
        <f>IFERROR(INDEX('02b_DC_Accelerator_Mix'!$G$2:$G$977,MATCH(G131,'02b_DC_Accelerator_Mix'!$A$2:$A$977,0)),0)</f>
        <v/>
      </c>
      <c r="K131" s="6">
        <f>IFERROR(INDEX('02b_DC_Accelerator_Mix'!$H$2:$H$977,MATCH(G131,'02b_DC_Accelerator_Mix'!$A$2:$A$977,0)),0)</f>
        <v/>
      </c>
      <c r="L131" s="6">
        <f>IFERROR(INDEX('02b_DC_Accelerator_Mix'!$I$2:$I$977,MATCH(G131,'02b_DC_Accelerator_Mix'!$A$2:$A$977,0)),0)</f>
        <v/>
      </c>
      <c r="M131" s="6">
        <f>IFERROR(INDEX('02b_DC_Accelerator_Mix'!$J$2:$J$977,MATCH(G131,'02b_DC_Accelerator_Mix'!$A$2:$A$977,0)),0)</f>
        <v/>
      </c>
      <c r="N131" s="6">
        <f>IFERROR(INDEX('02b_DC_Accelerator_Mix'!$K$2:$K$977,MATCH(G131,'02b_DC_Accelerator_Mix'!$A$2:$A$977,0)),0)</f>
        <v/>
      </c>
      <c r="O131" s="6">
        <f>IFERROR(INDEX('02b_DC_Accelerator_Mix'!$L$2:$L$977,MATCH(G131,'02b_DC_Accelerator_Mix'!$A$2:$A$977,0)),0)</f>
        <v/>
      </c>
      <c r="P131" s="6">
        <f>IFERROR(INDEX('02b_DC_Accelerator_Mix'!$M$2:$M$977,MATCH(G131,'02b_DC_Accelerator_Mix'!$A$2:$A$977,0)),0)</f>
        <v/>
      </c>
      <c r="Q131" s="6">
        <f>IFERROR(INDEX('02b_DC_Accelerator_Mix'!$N$2:$N$977,MATCH(G131,'02b_DC_Accelerator_Mix'!$A$2:$A$977,0)),0)</f>
        <v/>
      </c>
      <c r="R131" s="28">
        <f>H131*I131</f>
        <v/>
      </c>
      <c r="S131" s="28">
        <f>H131*J131</f>
        <v/>
      </c>
      <c r="T131" s="28">
        <f>H131*K131</f>
        <v/>
      </c>
      <c r="U131" s="28">
        <f>H131*L131</f>
        <v/>
      </c>
      <c r="V131" s="28">
        <f>H131*M131</f>
        <v/>
      </c>
      <c r="W131" s="28">
        <f>H131*N131</f>
        <v/>
      </c>
      <c r="X131" s="28">
        <f>H131*O131</f>
        <v/>
      </c>
      <c r="Y131" s="28">
        <f>H131*P131</f>
        <v/>
      </c>
      <c r="Z131" s="28">
        <f>H131*Q131</f>
        <v/>
      </c>
      <c r="AA131" s="28">
        <f>SUM(U131:Z131)</f>
        <v/>
      </c>
      <c r="AB131" s="5">
        <f>IF(COUNTIF('02b_DC_Accelerator_Mix'!$A$2:$A$977,G131)&gt;0,"matched","missing_mix")</f>
        <v/>
      </c>
    </row>
    <row r="132">
      <c r="A132" s="5">
        <f>'02a_DC_Capacity_Alloc'!A132</f>
        <v/>
      </c>
      <c r="B132" s="5">
        <f>'02a_DC_Capacity_Alloc'!B132</f>
        <v/>
      </c>
      <c r="C132" s="5">
        <f>'02a_DC_Capacity_Alloc'!C132</f>
        <v/>
      </c>
      <c r="D132" s="5">
        <f>'02a_DC_Capacity_Alloc'!D132</f>
        <v/>
      </c>
      <c r="E132" s="5">
        <f>'02a_DC_Capacity_Alloc'!E132</f>
        <v/>
      </c>
      <c r="F132" s="5">
        <f>'02a_DC_Capacity_Alloc'!F132</f>
        <v/>
      </c>
      <c r="G132" s="5">
        <f>B132&amp;"|"&amp;E132&amp;"|"&amp;D132</f>
        <v/>
      </c>
      <c r="H132" s="28">
        <f>'02a_DC_Capacity_Alloc'!H132*'02a_DC_Capacity_Alloc'!I132*'02a_DC_Capacity_Alloc'!J132</f>
        <v/>
      </c>
      <c r="I132" s="6">
        <f>IFERROR(INDEX('02b_DC_Accelerator_Mix'!$F$2:$F$977,MATCH(G132,'02b_DC_Accelerator_Mix'!$A$2:$A$977,0)),0)</f>
        <v/>
      </c>
      <c r="J132" s="6">
        <f>IFERROR(INDEX('02b_DC_Accelerator_Mix'!$G$2:$G$977,MATCH(G132,'02b_DC_Accelerator_Mix'!$A$2:$A$977,0)),0)</f>
        <v/>
      </c>
      <c r="K132" s="6">
        <f>IFERROR(INDEX('02b_DC_Accelerator_Mix'!$H$2:$H$977,MATCH(G132,'02b_DC_Accelerator_Mix'!$A$2:$A$977,0)),0)</f>
        <v/>
      </c>
      <c r="L132" s="6">
        <f>IFERROR(INDEX('02b_DC_Accelerator_Mix'!$I$2:$I$977,MATCH(G132,'02b_DC_Accelerator_Mix'!$A$2:$A$977,0)),0)</f>
        <v/>
      </c>
      <c r="M132" s="6">
        <f>IFERROR(INDEX('02b_DC_Accelerator_Mix'!$J$2:$J$977,MATCH(G132,'02b_DC_Accelerator_Mix'!$A$2:$A$977,0)),0)</f>
        <v/>
      </c>
      <c r="N132" s="6">
        <f>IFERROR(INDEX('02b_DC_Accelerator_Mix'!$K$2:$K$977,MATCH(G132,'02b_DC_Accelerator_Mix'!$A$2:$A$977,0)),0)</f>
        <v/>
      </c>
      <c r="O132" s="6">
        <f>IFERROR(INDEX('02b_DC_Accelerator_Mix'!$L$2:$L$977,MATCH(G132,'02b_DC_Accelerator_Mix'!$A$2:$A$977,0)),0)</f>
        <v/>
      </c>
      <c r="P132" s="6">
        <f>IFERROR(INDEX('02b_DC_Accelerator_Mix'!$M$2:$M$977,MATCH(G132,'02b_DC_Accelerator_Mix'!$A$2:$A$977,0)),0)</f>
        <v/>
      </c>
      <c r="Q132" s="6">
        <f>IFERROR(INDEX('02b_DC_Accelerator_Mix'!$N$2:$N$977,MATCH(G132,'02b_DC_Accelerator_Mix'!$A$2:$A$977,0)),0)</f>
        <v/>
      </c>
      <c r="R132" s="28">
        <f>H132*I132</f>
        <v/>
      </c>
      <c r="S132" s="28">
        <f>H132*J132</f>
        <v/>
      </c>
      <c r="T132" s="28">
        <f>H132*K132</f>
        <v/>
      </c>
      <c r="U132" s="28">
        <f>H132*L132</f>
        <v/>
      </c>
      <c r="V132" s="28">
        <f>H132*M132</f>
        <v/>
      </c>
      <c r="W132" s="28">
        <f>H132*N132</f>
        <v/>
      </c>
      <c r="X132" s="28">
        <f>H132*O132</f>
        <v/>
      </c>
      <c r="Y132" s="28">
        <f>H132*P132</f>
        <v/>
      </c>
      <c r="Z132" s="28">
        <f>H132*Q132</f>
        <v/>
      </c>
      <c r="AA132" s="28">
        <f>SUM(U132:Z132)</f>
        <v/>
      </c>
      <c r="AB132" s="5">
        <f>IF(COUNTIF('02b_DC_Accelerator_Mix'!$A$2:$A$977,G132)&gt;0,"matched","missing_mix")</f>
        <v/>
      </c>
    </row>
    <row r="133">
      <c r="A133" s="5">
        <f>'02a_DC_Capacity_Alloc'!A133</f>
        <v/>
      </c>
      <c r="B133" s="5">
        <f>'02a_DC_Capacity_Alloc'!B133</f>
        <v/>
      </c>
      <c r="C133" s="5">
        <f>'02a_DC_Capacity_Alloc'!C133</f>
        <v/>
      </c>
      <c r="D133" s="5">
        <f>'02a_DC_Capacity_Alloc'!D133</f>
        <v/>
      </c>
      <c r="E133" s="5">
        <f>'02a_DC_Capacity_Alloc'!E133</f>
        <v/>
      </c>
      <c r="F133" s="5">
        <f>'02a_DC_Capacity_Alloc'!F133</f>
        <v/>
      </c>
      <c r="G133" s="5">
        <f>B133&amp;"|"&amp;E133&amp;"|"&amp;D133</f>
        <v/>
      </c>
      <c r="H133" s="28">
        <f>'02a_DC_Capacity_Alloc'!H133*'02a_DC_Capacity_Alloc'!I133*'02a_DC_Capacity_Alloc'!J133</f>
        <v/>
      </c>
      <c r="I133" s="6">
        <f>IFERROR(INDEX('02b_DC_Accelerator_Mix'!$F$2:$F$977,MATCH(G133,'02b_DC_Accelerator_Mix'!$A$2:$A$977,0)),0)</f>
        <v/>
      </c>
      <c r="J133" s="6">
        <f>IFERROR(INDEX('02b_DC_Accelerator_Mix'!$G$2:$G$977,MATCH(G133,'02b_DC_Accelerator_Mix'!$A$2:$A$977,0)),0)</f>
        <v/>
      </c>
      <c r="K133" s="6">
        <f>IFERROR(INDEX('02b_DC_Accelerator_Mix'!$H$2:$H$977,MATCH(G133,'02b_DC_Accelerator_Mix'!$A$2:$A$977,0)),0)</f>
        <v/>
      </c>
      <c r="L133" s="6">
        <f>IFERROR(INDEX('02b_DC_Accelerator_Mix'!$I$2:$I$977,MATCH(G133,'02b_DC_Accelerator_Mix'!$A$2:$A$977,0)),0)</f>
        <v/>
      </c>
      <c r="M133" s="6">
        <f>IFERROR(INDEX('02b_DC_Accelerator_Mix'!$J$2:$J$977,MATCH(G133,'02b_DC_Accelerator_Mix'!$A$2:$A$977,0)),0)</f>
        <v/>
      </c>
      <c r="N133" s="6">
        <f>IFERROR(INDEX('02b_DC_Accelerator_Mix'!$K$2:$K$977,MATCH(G133,'02b_DC_Accelerator_Mix'!$A$2:$A$977,0)),0)</f>
        <v/>
      </c>
      <c r="O133" s="6">
        <f>IFERROR(INDEX('02b_DC_Accelerator_Mix'!$L$2:$L$977,MATCH(G133,'02b_DC_Accelerator_Mix'!$A$2:$A$977,0)),0)</f>
        <v/>
      </c>
      <c r="P133" s="6">
        <f>IFERROR(INDEX('02b_DC_Accelerator_Mix'!$M$2:$M$977,MATCH(G133,'02b_DC_Accelerator_Mix'!$A$2:$A$977,0)),0)</f>
        <v/>
      </c>
      <c r="Q133" s="6">
        <f>IFERROR(INDEX('02b_DC_Accelerator_Mix'!$N$2:$N$977,MATCH(G133,'02b_DC_Accelerator_Mix'!$A$2:$A$977,0)),0)</f>
        <v/>
      </c>
      <c r="R133" s="28">
        <f>H133*I133</f>
        <v/>
      </c>
      <c r="S133" s="28">
        <f>H133*J133</f>
        <v/>
      </c>
      <c r="T133" s="28">
        <f>H133*K133</f>
        <v/>
      </c>
      <c r="U133" s="28">
        <f>H133*L133</f>
        <v/>
      </c>
      <c r="V133" s="28">
        <f>H133*M133</f>
        <v/>
      </c>
      <c r="W133" s="28">
        <f>H133*N133</f>
        <v/>
      </c>
      <c r="X133" s="28">
        <f>H133*O133</f>
        <v/>
      </c>
      <c r="Y133" s="28">
        <f>H133*P133</f>
        <v/>
      </c>
      <c r="Z133" s="28">
        <f>H133*Q133</f>
        <v/>
      </c>
      <c r="AA133" s="28">
        <f>SUM(U133:Z133)</f>
        <v/>
      </c>
      <c r="AB133" s="5">
        <f>IF(COUNTIF('02b_DC_Accelerator_Mix'!$A$2:$A$977,G133)&gt;0,"matched","missing_mix")</f>
        <v/>
      </c>
    </row>
    <row r="134">
      <c r="A134" s="5">
        <f>'02a_DC_Capacity_Alloc'!A134</f>
        <v/>
      </c>
      <c r="B134" s="5">
        <f>'02a_DC_Capacity_Alloc'!B134</f>
        <v/>
      </c>
      <c r="C134" s="5">
        <f>'02a_DC_Capacity_Alloc'!C134</f>
        <v/>
      </c>
      <c r="D134" s="5">
        <f>'02a_DC_Capacity_Alloc'!D134</f>
        <v/>
      </c>
      <c r="E134" s="5">
        <f>'02a_DC_Capacity_Alloc'!E134</f>
        <v/>
      </c>
      <c r="F134" s="5">
        <f>'02a_DC_Capacity_Alloc'!F134</f>
        <v/>
      </c>
      <c r="G134" s="5">
        <f>B134&amp;"|"&amp;E134&amp;"|"&amp;D134</f>
        <v/>
      </c>
      <c r="H134" s="28">
        <f>'02a_DC_Capacity_Alloc'!H134*'02a_DC_Capacity_Alloc'!I134*'02a_DC_Capacity_Alloc'!J134</f>
        <v/>
      </c>
      <c r="I134" s="6">
        <f>IFERROR(INDEX('02b_DC_Accelerator_Mix'!$F$2:$F$977,MATCH(G134,'02b_DC_Accelerator_Mix'!$A$2:$A$977,0)),0)</f>
        <v/>
      </c>
      <c r="J134" s="6">
        <f>IFERROR(INDEX('02b_DC_Accelerator_Mix'!$G$2:$G$977,MATCH(G134,'02b_DC_Accelerator_Mix'!$A$2:$A$977,0)),0)</f>
        <v/>
      </c>
      <c r="K134" s="6">
        <f>IFERROR(INDEX('02b_DC_Accelerator_Mix'!$H$2:$H$977,MATCH(G134,'02b_DC_Accelerator_Mix'!$A$2:$A$977,0)),0)</f>
        <v/>
      </c>
      <c r="L134" s="6">
        <f>IFERROR(INDEX('02b_DC_Accelerator_Mix'!$I$2:$I$977,MATCH(G134,'02b_DC_Accelerator_Mix'!$A$2:$A$977,0)),0)</f>
        <v/>
      </c>
      <c r="M134" s="6">
        <f>IFERROR(INDEX('02b_DC_Accelerator_Mix'!$J$2:$J$977,MATCH(G134,'02b_DC_Accelerator_Mix'!$A$2:$A$977,0)),0)</f>
        <v/>
      </c>
      <c r="N134" s="6">
        <f>IFERROR(INDEX('02b_DC_Accelerator_Mix'!$K$2:$K$977,MATCH(G134,'02b_DC_Accelerator_Mix'!$A$2:$A$977,0)),0)</f>
        <v/>
      </c>
      <c r="O134" s="6">
        <f>IFERROR(INDEX('02b_DC_Accelerator_Mix'!$L$2:$L$977,MATCH(G134,'02b_DC_Accelerator_Mix'!$A$2:$A$977,0)),0)</f>
        <v/>
      </c>
      <c r="P134" s="6">
        <f>IFERROR(INDEX('02b_DC_Accelerator_Mix'!$M$2:$M$977,MATCH(G134,'02b_DC_Accelerator_Mix'!$A$2:$A$977,0)),0)</f>
        <v/>
      </c>
      <c r="Q134" s="6">
        <f>IFERROR(INDEX('02b_DC_Accelerator_Mix'!$N$2:$N$977,MATCH(G134,'02b_DC_Accelerator_Mix'!$A$2:$A$977,0)),0)</f>
        <v/>
      </c>
      <c r="R134" s="28">
        <f>H134*I134</f>
        <v/>
      </c>
      <c r="S134" s="28">
        <f>H134*J134</f>
        <v/>
      </c>
      <c r="T134" s="28">
        <f>H134*K134</f>
        <v/>
      </c>
      <c r="U134" s="28">
        <f>H134*L134</f>
        <v/>
      </c>
      <c r="V134" s="28">
        <f>H134*M134</f>
        <v/>
      </c>
      <c r="W134" s="28">
        <f>H134*N134</f>
        <v/>
      </c>
      <c r="X134" s="28">
        <f>H134*O134</f>
        <v/>
      </c>
      <c r="Y134" s="28">
        <f>H134*P134</f>
        <v/>
      </c>
      <c r="Z134" s="28">
        <f>H134*Q134</f>
        <v/>
      </c>
      <c r="AA134" s="28">
        <f>SUM(U134:Z134)</f>
        <v/>
      </c>
      <c r="AB134" s="5">
        <f>IF(COUNTIF('02b_DC_Accelerator_Mix'!$A$2:$A$977,G134)&gt;0,"matched","missing_mix")</f>
        <v/>
      </c>
    </row>
    <row r="135">
      <c r="A135" s="5">
        <f>'02a_DC_Capacity_Alloc'!A135</f>
        <v/>
      </c>
      <c r="B135" s="5">
        <f>'02a_DC_Capacity_Alloc'!B135</f>
        <v/>
      </c>
      <c r="C135" s="5">
        <f>'02a_DC_Capacity_Alloc'!C135</f>
        <v/>
      </c>
      <c r="D135" s="5">
        <f>'02a_DC_Capacity_Alloc'!D135</f>
        <v/>
      </c>
      <c r="E135" s="5">
        <f>'02a_DC_Capacity_Alloc'!E135</f>
        <v/>
      </c>
      <c r="F135" s="5">
        <f>'02a_DC_Capacity_Alloc'!F135</f>
        <v/>
      </c>
      <c r="G135" s="5">
        <f>B135&amp;"|"&amp;E135&amp;"|"&amp;D135</f>
        <v/>
      </c>
      <c r="H135" s="28">
        <f>'02a_DC_Capacity_Alloc'!H135*'02a_DC_Capacity_Alloc'!I135*'02a_DC_Capacity_Alloc'!J135</f>
        <v/>
      </c>
      <c r="I135" s="6">
        <f>IFERROR(INDEX('02b_DC_Accelerator_Mix'!$F$2:$F$977,MATCH(G135,'02b_DC_Accelerator_Mix'!$A$2:$A$977,0)),0)</f>
        <v/>
      </c>
      <c r="J135" s="6">
        <f>IFERROR(INDEX('02b_DC_Accelerator_Mix'!$G$2:$G$977,MATCH(G135,'02b_DC_Accelerator_Mix'!$A$2:$A$977,0)),0)</f>
        <v/>
      </c>
      <c r="K135" s="6">
        <f>IFERROR(INDEX('02b_DC_Accelerator_Mix'!$H$2:$H$977,MATCH(G135,'02b_DC_Accelerator_Mix'!$A$2:$A$977,0)),0)</f>
        <v/>
      </c>
      <c r="L135" s="6">
        <f>IFERROR(INDEX('02b_DC_Accelerator_Mix'!$I$2:$I$977,MATCH(G135,'02b_DC_Accelerator_Mix'!$A$2:$A$977,0)),0)</f>
        <v/>
      </c>
      <c r="M135" s="6">
        <f>IFERROR(INDEX('02b_DC_Accelerator_Mix'!$J$2:$J$977,MATCH(G135,'02b_DC_Accelerator_Mix'!$A$2:$A$977,0)),0)</f>
        <v/>
      </c>
      <c r="N135" s="6">
        <f>IFERROR(INDEX('02b_DC_Accelerator_Mix'!$K$2:$K$977,MATCH(G135,'02b_DC_Accelerator_Mix'!$A$2:$A$977,0)),0)</f>
        <v/>
      </c>
      <c r="O135" s="6">
        <f>IFERROR(INDEX('02b_DC_Accelerator_Mix'!$L$2:$L$977,MATCH(G135,'02b_DC_Accelerator_Mix'!$A$2:$A$977,0)),0)</f>
        <v/>
      </c>
      <c r="P135" s="6">
        <f>IFERROR(INDEX('02b_DC_Accelerator_Mix'!$M$2:$M$977,MATCH(G135,'02b_DC_Accelerator_Mix'!$A$2:$A$977,0)),0)</f>
        <v/>
      </c>
      <c r="Q135" s="6">
        <f>IFERROR(INDEX('02b_DC_Accelerator_Mix'!$N$2:$N$977,MATCH(G135,'02b_DC_Accelerator_Mix'!$A$2:$A$977,0)),0)</f>
        <v/>
      </c>
      <c r="R135" s="28">
        <f>H135*I135</f>
        <v/>
      </c>
      <c r="S135" s="28">
        <f>H135*J135</f>
        <v/>
      </c>
      <c r="T135" s="28">
        <f>H135*K135</f>
        <v/>
      </c>
      <c r="U135" s="28">
        <f>H135*L135</f>
        <v/>
      </c>
      <c r="V135" s="28">
        <f>H135*M135</f>
        <v/>
      </c>
      <c r="W135" s="28">
        <f>H135*N135</f>
        <v/>
      </c>
      <c r="X135" s="28">
        <f>H135*O135</f>
        <v/>
      </c>
      <c r="Y135" s="28">
        <f>H135*P135</f>
        <v/>
      </c>
      <c r="Z135" s="28">
        <f>H135*Q135</f>
        <v/>
      </c>
      <c r="AA135" s="28">
        <f>SUM(U135:Z135)</f>
        <v/>
      </c>
      <c r="AB135" s="5">
        <f>IF(COUNTIF('02b_DC_Accelerator_Mix'!$A$2:$A$977,G135)&gt;0,"matched","missing_mix")</f>
        <v/>
      </c>
    </row>
    <row r="136">
      <c r="A136" s="5">
        <f>'02a_DC_Capacity_Alloc'!A136</f>
        <v/>
      </c>
      <c r="B136" s="5">
        <f>'02a_DC_Capacity_Alloc'!B136</f>
        <v/>
      </c>
      <c r="C136" s="5">
        <f>'02a_DC_Capacity_Alloc'!C136</f>
        <v/>
      </c>
      <c r="D136" s="5">
        <f>'02a_DC_Capacity_Alloc'!D136</f>
        <v/>
      </c>
      <c r="E136" s="5">
        <f>'02a_DC_Capacity_Alloc'!E136</f>
        <v/>
      </c>
      <c r="F136" s="5">
        <f>'02a_DC_Capacity_Alloc'!F136</f>
        <v/>
      </c>
      <c r="G136" s="5">
        <f>B136&amp;"|"&amp;E136&amp;"|"&amp;D136</f>
        <v/>
      </c>
      <c r="H136" s="28">
        <f>'02a_DC_Capacity_Alloc'!H136*'02a_DC_Capacity_Alloc'!I136*'02a_DC_Capacity_Alloc'!J136</f>
        <v/>
      </c>
      <c r="I136" s="6">
        <f>IFERROR(INDEX('02b_DC_Accelerator_Mix'!$F$2:$F$977,MATCH(G136,'02b_DC_Accelerator_Mix'!$A$2:$A$977,0)),0)</f>
        <v/>
      </c>
      <c r="J136" s="6">
        <f>IFERROR(INDEX('02b_DC_Accelerator_Mix'!$G$2:$G$977,MATCH(G136,'02b_DC_Accelerator_Mix'!$A$2:$A$977,0)),0)</f>
        <v/>
      </c>
      <c r="K136" s="6">
        <f>IFERROR(INDEX('02b_DC_Accelerator_Mix'!$H$2:$H$977,MATCH(G136,'02b_DC_Accelerator_Mix'!$A$2:$A$977,0)),0)</f>
        <v/>
      </c>
      <c r="L136" s="6">
        <f>IFERROR(INDEX('02b_DC_Accelerator_Mix'!$I$2:$I$977,MATCH(G136,'02b_DC_Accelerator_Mix'!$A$2:$A$977,0)),0)</f>
        <v/>
      </c>
      <c r="M136" s="6">
        <f>IFERROR(INDEX('02b_DC_Accelerator_Mix'!$J$2:$J$977,MATCH(G136,'02b_DC_Accelerator_Mix'!$A$2:$A$977,0)),0)</f>
        <v/>
      </c>
      <c r="N136" s="6">
        <f>IFERROR(INDEX('02b_DC_Accelerator_Mix'!$K$2:$K$977,MATCH(G136,'02b_DC_Accelerator_Mix'!$A$2:$A$977,0)),0)</f>
        <v/>
      </c>
      <c r="O136" s="6">
        <f>IFERROR(INDEX('02b_DC_Accelerator_Mix'!$L$2:$L$977,MATCH(G136,'02b_DC_Accelerator_Mix'!$A$2:$A$977,0)),0)</f>
        <v/>
      </c>
      <c r="P136" s="6">
        <f>IFERROR(INDEX('02b_DC_Accelerator_Mix'!$M$2:$M$977,MATCH(G136,'02b_DC_Accelerator_Mix'!$A$2:$A$977,0)),0)</f>
        <v/>
      </c>
      <c r="Q136" s="6">
        <f>IFERROR(INDEX('02b_DC_Accelerator_Mix'!$N$2:$N$977,MATCH(G136,'02b_DC_Accelerator_Mix'!$A$2:$A$977,0)),0)</f>
        <v/>
      </c>
      <c r="R136" s="28">
        <f>H136*I136</f>
        <v/>
      </c>
      <c r="S136" s="28">
        <f>H136*J136</f>
        <v/>
      </c>
      <c r="T136" s="28">
        <f>H136*K136</f>
        <v/>
      </c>
      <c r="U136" s="28">
        <f>H136*L136</f>
        <v/>
      </c>
      <c r="V136" s="28">
        <f>H136*M136</f>
        <v/>
      </c>
      <c r="W136" s="28">
        <f>H136*N136</f>
        <v/>
      </c>
      <c r="X136" s="28">
        <f>H136*O136</f>
        <v/>
      </c>
      <c r="Y136" s="28">
        <f>H136*P136</f>
        <v/>
      </c>
      <c r="Z136" s="28">
        <f>H136*Q136</f>
        <v/>
      </c>
      <c r="AA136" s="28">
        <f>SUM(U136:Z136)</f>
        <v/>
      </c>
      <c r="AB136" s="5">
        <f>IF(COUNTIF('02b_DC_Accelerator_Mix'!$A$2:$A$977,G136)&gt;0,"matched","missing_mix")</f>
        <v/>
      </c>
    </row>
    <row r="137">
      <c r="A137" s="5">
        <f>'02a_DC_Capacity_Alloc'!A137</f>
        <v/>
      </c>
      <c r="B137" s="5">
        <f>'02a_DC_Capacity_Alloc'!B137</f>
        <v/>
      </c>
      <c r="C137" s="5">
        <f>'02a_DC_Capacity_Alloc'!C137</f>
        <v/>
      </c>
      <c r="D137" s="5">
        <f>'02a_DC_Capacity_Alloc'!D137</f>
        <v/>
      </c>
      <c r="E137" s="5">
        <f>'02a_DC_Capacity_Alloc'!E137</f>
        <v/>
      </c>
      <c r="F137" s="5">
        <f>'02a_DC_Capacity_Alloc'!F137</f>
        <v/>
      </c>
      <c r="G137" s="5">
        <f>B137&amp;"|"&amp;E137&amp;"|"&amp;D137</f>
        <v/>
      </c>
      <c r="H137" s="28">
        <f>'02a_DC_Capacity_Alloc'!H137*'02a_DC_Capacity_Alloc'!I137*'02a_DC_Capacity_Alloc'!J137</f>
        <v/>
      </c>
      <c r="I137" s="6">
        <f>IFERROR(INDEX('02b_DC_Accelerator_Mix'!$F$2:$F$977,MATCH(G137,'02b_DC_Accelerator_Mix'!$A$2:$A$977,0)),0)</f>
        <v/>
      </c>
      <c r="J137" s="6">
        <f>IFERROR(INDEX('02b_DC_Accelerator_Mix'!$G$2:$G$977,MATCH(G137,'02b_DC_Accelerator_Mix'!$A$2:$A$977,0)),0)</f>
        <v/>
      </c>
      <c r="K137" s="6">
        <f>IFERROR(INDEX('02b_DC_Accelerator_Mix'!$H$2:$H$977,MATCH(G137,'02b_DC_Accelerator_Mix'!$A$2:$A$977,0)),0)</f>
        <v/>
      </c>
      <c r="L137" s="6">
        <f>IFERROR(INDEX('02b_DC_Accelerator_Mix'!$I$2:$I$977,MATCH(G137,'02b_DC_Accelerator_Mix'!$A$2:$A$977,0)),0)</f>
        <v/>
      </c>
      <c r="M137" s="6">
        <f>IFERROR(INDEX('02b_DC_Accelerator_Mix'!$J$2:$J$977,MATCH(G137,'02b_DC_Accelerator_Mix'!$A$2:$A$977,0)),0)</f>
        <v/>
      </c>
      <c r="N137" s="6">
        <f>IFERROR(INDEX('02b_DC_Accelerator_Mix'!$K$2:$K$977,MATCH(G137,'02b_DC_Accelerator_Mix'!$A$2:$A$977,0)),0)</f>
        <v/>
      </c>
      <c r="O137" s="6">
        <f>IFERROR(INDEX('02b_DC_Accelerator_Mix'!$L$2:$L$977,MATCH(G137,'02b_DC_Accelerator_Mix'!$A$2:$A$977,0)),0)</f>
        <v/>
      </c>
      <c r="P137" s="6">
        <f>IFERROR(INDEX('02b_DC_Accelerator_Mix'!$M$2:$M$977,MATCH(G137,'02b_DC_Accelerator_Mix'!$A$2:$A$977,0)),0)</f>
        <v/>
      </c>
      <c r="Q137" s="6">
        <f>IFERROR(INDEX('02b_DC_Accelerator_Mix'!$N$2:$N$977,MATCH(G137,'02b_DC_Accelerator_Mix'!$A$2:$A$977,0)),0)</f>
        <v/>
      </c>
      <c r="R137" s="28">
        <f>H137*I137</f>
        <v/>
      </c>
      <c r="S137" s="28">
        <f>H137*J137</f>
        <v/>
      </c>
      <c r="T137" s="28">
        <f>H137*K137</f>
        <v/>
      </c>
      <c r="U137" s="28">
        <f>H137*L137</f>
        <v/>
      </c>
      <c r="V137" s="28">
        <f>H137*M137</f>
        <v/>
      </c>
      <c r="W137" s="28">
        <f>H137*N137</f>
        <v/>
      </c>
      <c r="X137" s="28">
        <f>H137*O137</f>
        <v/>
      </c>
      <c r="Y137" s="28">
        <f>H137*P137</f>
        <v/>
      </c>
      <c r="Z137" s="28">
        <f>H137*Q137</f>
        <v/>
      </c>
      <c r="AA137" s="28">
        <f>SUM(U137:Z137)</f>
        <v/>
      </c>
      <c r="AB137" s="5">
        <f>IF(COUNTIF('02b_DC_Accelerator_Mix'!$A$2:$A$977,G137)&gt;0,"matched","missing_mix")</f>
        <v/>
      </c>
    </row>
    <row r="138">
      <c r="A138" s="5">
        <f>'02a_DC_Capacity_Alloc'!A138</f>
        <v/>
      </c>
      <c r="B138" s="5">
        <f>'02a_DC_Capacity_Alloc'!B138</f>
        <v/>
      </c>
      <c r="C138" s="5">
        <f>'02a_DC_Capacity_Alloc'!C138</f>
        <v/>
      </c>
      <c r="D138" s="5">
        <f>'02a_DC_Capacity_Alloc'!D138</f>
        <v/>
      </c>
      <c r="E138" s="5">
        <f>'02a_DC_Capacity_Alloc'!E138</f>
        <v/>
      </c>
      <c r="F138" s="5">
        <f>'02a_DC_Capacity_Alloc'!F138</f>
        <v/>
      </c>
      <c r="G138" s="5">
        <f>B138&amp;"|"&amp;E138&amp;"|"&amp;D138</f>
        <v/>
      </c>
      <c r="H138" s="28">
        <f>'02a_DC_Capacity_Alloc'!H138*'02a_DC_Capacity_Alloc'!I138*'02a_DC_Capacity_Alloc'!J138</f>
        <v/>
      </c>
      <c r="I138" s="6">
        <f>IFERROR(INDEX('02b_DC_Accelerator_Mix'!$F$2:$F$977,MATCH(G138,'02b_DC_Accelerator_Mix'!$A$2:$A$977,0)),0)</f>
        <v/>
      </c>
      <c r="J138" s="6">
        <f>IFERROR(INDEX('02b_DC_Accelerator_Mix'!$G$2:$G$977,MATCH(G138,'02b_DC_Accelerator_Mix'!$A$2:$A$977,0)),0)</f>
        <v/>
      </c>
      <c r="K138" s="6">
        <f>IFERROR(INDEX('02b_DC_Accelerator_Mix'!$H$2:$H$977,MATCH(G138,'02b_DC_Accelerator_Mix'!$A$2:$A$977,0)),0)</f>
        <v/>
      </c>
      <c r="L138" s="6">
        <f>IFERROR(INDEX('02b_DC_Accelerator_Mix'!$I$2:$I$977,MATCH(G138,'02b_DC_Accelerator_Mix'!$A$2:$A$977,0)),0)</f>
        <v/>
      </c>
      <c r="M138" s="6">
        <f>IFERROR(INDEX('02b_DC_Accelerator_Mix'!$J$2:$J$977,MATCH(G138,'02b_DC_Accelerator_Mix'!$A$2:$A$977,0)),0)</f>
        <v/>
      </c>
      <c r="N138" s="6">
        <f>IFERROR(INDEX('02b_DC_Accelerator_Mix'!$K$2:$K$977,MATCH(G138,'02b_DC_Accelerator_Mix'!$A$2:$A$977,0)),0)</f>
        <v/>
      </c>
      <c r="O138" s="6">
        <f>IFERROR(INDEX('02b_DC_Accelerator_Mix'!$L$2:$L$977,MATCH(G138,'02b_DC_Accelerator_Mix'!$A$2:$A$977,0)),0)</f>
        <v/>
      </c>
      <c r="P138" s="6">
        <f>IFERROR(INDEX('02b_DC_Accelerator_Mix'!$M$2:$M$977,MATCH(G138,'02b_DC_Accelerator_Mix'!$A$2:$A$977,0)),0)</f>
        <v/>
      </c>
      <c r="Q138" s="6">
        <f>IFERROR(INDEX('02b_DC_Accelerator_Mix'!$N$2:$N$977,MATCH(G138,'02b_DC_Accelerator_Mix'!$A$2:$A$977,0)),0)</f>
        <v/>
      </c>
      <c r="R138" s="28">
        <f>H138*I138</f>
        <v/>
      </c>
      <c r="S138" s="28">
        <f>H138*J138</f>
        <v/>
      </c>
      <c r="T138" s="28">
        <f>H138*K138</f>
        <v/>
      </c>
      <c r="U138" s="28">
        <f>H138*L138</f>
        <v/>
      </c>
      <c r="V138" s="28">
        <f>H138*M138</f>
        <v/>
      </c>
      <c r="W138" s="28">
        <f>H138*N138</f>
        <v/>
      </c>
      <c r="X138" s="28">
        <f>H138*O138</f>
        <v/>
      </c>
      <c r="Y138" s="28">
        <f>H138*P138</f>
        <v/>
      </c>
      <c r="Z138" s="28">
        <f>H138*Q138</f>
        <v/>
      </c>
      <c r="AA138" s="28">
        <f>SUM(U138:Z138)</f>
        <v/>
      </c>
      <c r="AB138" s="5">
        <f>IF(COUNTIF('02b_DC_Accelerator_Mix'!$A$2:$A$977,G138)&gt;0,"matched","missing_mix")</f>
        <v/>
      </c>
    </row>
    <row r="139">
      <c r="A139" s="5">
        <f>'02a_DC_Capacity_Alloc'!A139</f>
        <v/>
      </c>
      <c r="B139" s="5">
        <f>'02a_DC_Capacity_Alloc'!B139</f>
        <v/>
      </c>
      <c r="C139" s="5">
        <f>'02a_DC_Capacity_Alloc'!C139</f>
        <v/>
      </c>
      <c r="D139" s="5">
        <f>'02a_DC_Capacity_Alloc'!D139</f>
        <v/>
      </c>
      <c r="E139" s="5">
        <f>'02a_DC_Capacity_Alloc'!E139</f>
        <v/>
      </c>
      <c r="F139" s="5">
        <f>'02a_DC_Capacity_Alloc'!F139</f>
        <v/>
      </c>
      <c r="G139" s="5">
        <f>B139&amp;"|"&amp;E139&amp;"|"&amp;D139</f>
        <v/>
      </c>
      <c r="H139" s="28">
        <f>'02a_DC_Capacity_Alloc'!H139*'02a_DC_Capacity_Alloc'!I139*'02a_DC_Capacity_Alloc'!J139</f>
        <v/>
      </c>
      <c r="I139" s="6">
        <f>IFERROR(INDEX('02b_DC_Accelerator_Mix'!$F$2:$F$977,MATCH(G139,'02b_DC_Accelerator_Mix'!$A$2:$A$977,0)),0)</f>
        <v/>
      </c>
      <c r="J139" s="6">
        <f>IFERROR(INDEX('02b_DC_Accelerator_Mix'!$G$2:$G$977,MATCH(G139,'02b_DC_Accelerator_Mix'!$A$2:$A$977,0)),0)</f>
        <v/>
      </c>
      <c r="K139" s="6">
        <f>IFERROR(INDEX('02b_DC_Accelerator_Mix'!$H$2:$H$977,MATCH(G139,'02b_DC_Accelerator_Mix'!$A$2:$A$977,0)),0)</f>
        <v/>
      </c>
      <c r="L139" s="6">
        <f>IFERROR(INDEX('02b_DC_Accelerator_Mix'!$I$2:$I$977,MATCH(G139,'02b_DC_Accelerator_Mix'!$A$2:$A$977,0)),0)</f>
        <v/>
      </c>
      <c r="M139" s="6">
        <f>IFERROR(INDEX('02b_DC_Accelerator_Mix'!$J$2:$J$977,MATCH(G139,'02b_DC_Accelerator_Mix'!$A$2:$A$977,0)),0)</f>
        <v/>
      </c>
      <c r="N139" s="6">
        <f>IFERROR(INDEX('02b_DC_Accelerator_Mix'!$K$2:$K$977,MATCH(G139,'02b_DC_Accelerator_Mix'!$A$2:$A$977,0)),0)</f>
        <v/>
      </c>
      <c r="O139" s="6">
        <f>IFERROR(INDEX('02b_DC_Accelerator_Mix'!$L$2:$L$977,MATCH(G139,'02b_DC_Accelerator_Mix'!$A$2:$A$977,0)),0)</f>
        <v/>
      </c>
      <c r="P139" s="6">
        <f>IFERROR(INDEX('02b_DC_Accelerator_Mix'!$M$2:$M$977,MATCH(G139,'02b_DC_Accelerator_Mix'!$A$2:$A$977,0)),0)</f>
        <v/>
      </c>
      <c r="Q139" s="6">
        <f>IFERROR(INDEX('02b_DC_Accelerator_Mix'!$N$2:$N$977,MATCH(G139,'02b_DC_Accelerator_Mix'!$A$2:$A$977,0)),0)</f>
        <v/>
      </c>
      <c r="R139" s="28">
        <f>H139*I139</f>
        <v/>
      </c>
      <c r="S139" s="28">
        <f>H139*J139</f>
        <v/>
      </c>
      <c r="T139" s="28">
        <f>H139*K139</f>
        <v/>
      </c>
      <c r="U139" s="28">
        <f>H139*L139</f>
        <v/>
      </c>
      <c r="V139" s="28">
        <f>H139*M139</f>
        <v/>
      </c>
      <c r="W139" s="28">
        <f>H139*N139</f>
        <v/>
      </c>
      <c r="X139" s="28">
        <f>H139*O139</f>
        <v/>
      </c>
      <c r="Y139" s="28">
        <f>H139*P139</f>
        <v/>
      </c>
      <c r="Z139" s="28">
        <f>H139*Q139</f>
        <v/>
      </c>
      <c r="AA139" s="28">
        <f>SUM(U139:Z139)</f>
        <v/>
      </c>
      <c r="AB139" s="5">
        <f>IF(COUNTIF('02b_DC_Accelerator_Mix'!$A$2:$A$977,G139)&gt;0,"matched","missing_mix")</f>
        <v/>
      </c>
    </row>
    <row r="140">
      <c r="A140" s="5">
        <f>'02a_DC_Capacity_Alloc'!A140</f>
        <v/>
      </c>
      <c r="B140" s="5">
        <f>'02a_DC_Capacity_Alloc'!B140</f>
        <v/>
      </c>
      <c r="C140" s="5">
        <f>'02a_DC_Capacity_Alloc'!C140</f>
        <v/>
      </c>
      <c r="D140" s="5">
        <f>'02a_DC_Capacity_Alloc'!D140</f>
        <v/>
      </c>
      <c r="E140" s="5">
        <f>'02a_DC_Capacity_Alloc'!E140</f>
        <v/>
      </c>
      <c r="F140" s="5">
        <f>'02a_DC_Capacity_Alloc'!F140</f>
        <v/>
      </c>
      <c r="G140" s="5">
        <f>B140&amp;"|"&amp;E140&amp;"|"&amp;D140</f>
        <v/>
      </c>
      <c r="H140" s="28">
        <f>'02a_DC_Capacity_Alloc'!H140*'02a_DC_Capacity_Alloc'!I140*'02a_DC_Capacity_Alloc'!J140</f>
        <v/>
      </c>
      <c r="I140" s="6">
        <f>IFERROR(INDEX('02b_DC_Accelerator_Mix'!$F$2:$F$977,MATCH(G140,'02b_DC_Accelerator_Mix'!$A$2:$A$977,0)),0)</f>
        <v/>
      </c>
      <c r="J140" s="6">
        <f>IFERROR(INDEX('02b_DC_Accelerator_Mix'!$G$2:$G$977,MATCH(G140,'02b_DC_Accelerator_Mix'!$A$2:$A$977,0)),0)</f>
        <v/>
      </c>
      <c r="K140" s="6">
        <f>IFERROR(INDEX('02b_DC_Accelerator_Mix'!$H$2:$H$977,MATCH(G140,'02b_DC_Accelerator_Mix'!$A$2:$A$977,0)),0)</f>
        <v/>
      </c>
      <c r="L140" s="6">
        <f>IFERROR(INDEX('02b_DC_Accelerator_Mix'!$I$2:$I$977,MATCH(G140,'02b_DC_Accelerator_Mix'!$A$2:$A$977,0)),0)</f>
        <v/>
      </c>
      <c r="M140" s="6">
        <f>IFERROR(INDEX('02b_DC_Accelerator_Mix'!$J$2:$J$977,MATCH(G140,'02b_DC_Accelerator_Mix'!$A$2:$A$977,0)),0)</f>
        <v/>
      </c>
      <c r="N140" s="6">
        <f>IFERROR(INDEX('02b_DC_Accelerator_Mix'!$K$2:$K$977,MATCH(G140,'02b_DC_Accelerator_Mix'!$A$2:$A$977,0)),0)</f>
        <v/>
      </c>
      <c r="O140" s="6">
        <f>IFERROR(INDEX('02b_DC_Accelerator_Mix'!$L$2:$L$977,MATCH(G140,'02b_DC_Accelerator_Mix'!$A$2:$A$977,0)),0)</f>
        <v/>
      </c>
      <c r="P140" s="6">
        <f>IFERROR(INDEX('02b_DC_Accelerator_Mix'!$M$2:$M$977,MATCH(G140,'02b_DC_Accelerator_Mix'!$A$2:$A$977,0)),0)</f>
        <v/>
      </c>
      <c r="Q140" s="6">
        <f>IFERROR(INDEX('02b_DC_Accelerator_Mix'!$N$2:$N$977,MATCH(G140,'02b_DC_Accelerator_Mix'!$A$2:$A$977,0)),0)</f>
        <v/>
      </c>
      <c r="R140" s="28">
        <f>H140*I140</f>
        <v/>
      </c>
      <c r="S140" s="28">
        <f>H140*J140</f>
        <v/>
      </c>
      <c r="T140" s="28">
        <f>H140*K140</f>
        <v/>
      </c>
      <c r="U140" s="28">
        <f>H140*L140</f>
        <v/>
      </c>
      <c r="V140" s="28">
        <f>H140*M140</f>
        <v/>
      </c>
      <c r="W140" s="28">
        <f>H140*N140</f>
        <v/>
      </c>
      <c r="X140" s="28">
        <f>H140*O140</f>
        <v/>
      </c>
      <c r="Y140" s="28">
        <f>H140*P140</f>
        <v/>
      </c>
      <c r="Z140" s="28">
        <f>H140*Q140</f>
        <v/>
      </c>
      <c r="AA140" s="28">
        <f>SUM(U140:Z140)</f>
        <v/>
      </c>
      <c r="AB140" s="5">
        <f>IF(COUNTIF('02b_DC_Accelerator_Mix'!$A$2:$A$977,G140)&gt;0,"matched","missing_mix")</f>
        <v/>
      </c>
    </row>
    <row r="141">
      <c r="A141" s="5">
        <f>'02a_DC_Capacity_Alloc'!A141</f>
        <v/>
      </c>
      <c r="B141" s="5">
        <f>'02a_DC_Capacity_Alloc'!B141</f>
        <v/>
      </c>
      <c r="C141" s="5">
        <f>'02a_DC_Capacity_Alloc'!C141</f>
        <v/>
      </c>
      <c r="D141" s="5">
        <f>'02a_DC_Capacity_Alloc'!D141</f>
        <v/>
      </c>
      <c r="E141" s="5">
        <f>'02a_DC_Capacity_Alloc'!E141</f>
        <v/>
      </c>
      <c r="F141" s="5">
        <f>'02a_DC_Capacity_Alloc'!F141</f>
        <v/>
      </c>
      <c r="G141" s="5">
        <f>B141&amp;"|"&amp;E141&amp;"|"&amp;D141</f>
        <v/>
      </c>
      <c r="H141" s="28">
        <f>'02a_DC_Capacity_Alloc'!H141*'02a_DC_Capacity_Alloc'!I141*'02a_DC_Capacity_Alloc'!J141</f>
        <v/>
      </c>
      <c r="I141" s="6">
        <f>IFERROR(INDEX('02b_DC_Accelerator_Mix'!$F$2:$F$977,MATCH(G141,'02b_DC_Accelerator_Mix'!$A$2:$A$977,0)),0)</f>
        <v/>
      </c>
      <c r="J141" s="6">
        <f>IFERROR(INDEX('02b_DC_Accelerator_Mix'!$G$2:$G$977,MATCH(G141,'02b_DC_Accelerator_Mix'!$A$2:$A$977,0)),0)</f>
        <v/>
      </c>
      <c r="K141" s="6">
        <f>IFERROR(INDEX('02b_DC_Accelerator_Mix'!$H$2:$H$977,MATCH(G141,'02b_DC_Accelerator_Mix'!$A$2:$A$977,0)),0)</f>
        <v/>
      </c>
      <c r="L141" s="6">
        <f>IFERROR(INDEX('02b_DC_Accelerator_Mix'!$I$2:$I$977,MATCH(G141,'02b_DC_Accelerator_Mix'!$A$2:$A$977,0)),0)</f>
        <v/>
      </c>
      <c r="M141" s="6">
        <f>IFERROR(INDEX('02b_DC_Accelerator_Mix'!$J$2:$J$977,MATCH(G141,'02b_DC_Accelerator_Mix'!$A$2:$A$977,0)),0)</f>
        <v/>
      </c>
      <c r="N141" s="6">
        <f>IFERROR(INDEX('02b_DC_Accelerator_Mix'!$K$2:$K$977,MATCH(G141,'02b_DC_Accelerator_Mix'!$A$2:$A$977,0)),0)</f>
        <v/>
      </c>
      <c r="O141" s="6">
        <f>IFERROR(INDEX('02b_DC_Accelerator_Mix'!$L$2:$L$977,MATCH(G141,'02b_DC_Accelerator_Mix'!$A$2:$A$977,0)),0)</f>
        <v/>
      </c>
      <c r="P141" s="6">
        <f>IFERROR(INDEX('02b_DC_Accelerator_Mix'!$M$2:$M$977,MATCH(G141,'02b_DC_Accelerator_Mix'!$A$2:$A$977,0)),0)</f>
        <v/>
      </c>
      <c r="Q141" s="6">
        <f>IFERROR(INDEX('02b_DC_Accelerator_Mix'!$N$2:$N$977,MATCH(G141,'02b_DC_Accelerator_Mix'!$A$2:$A$977,0)),0)</f>
        <v/>
      </c>
      <c r="R141" s="28">
        <f>H141*I141</f>
        <v/>
      </c>
      <c r="S141" s="28">
        <f>H141*J141</f>
        <v/>
      </c>
      <c r="T141" s="28">
        <f>H141*K141</f>
        <v/>
      </c>
      <c r="U141" s="28">
        <f>H141*L141</f>
        <v/>
      </c>
      <c r="V141" s="28">
        <f>H141*M141</f>
        <v/>
      </c>
      <c r="W141" s="28">
        <f>H141*N141</f>
        <v/>
      </c>
      <c r="X141" s="28">
        <f>H141*O141</f>
        <v/>
      </c>
      <c r="Y141" s="28">
        <f>H141*P141</f>
        <v/>
      </c>
      <c r="Z141" s="28">
        <f>H141*Q141</f>
        <v/>
      </c>
      <c r="AA141" s="28">
        <f>SUM(U141:Z141)</f>
        <v/>
      </c>
      <c r="AB141" s="5">
        <f>IF(COUNTIF('02b_DC_Accelerator_Mix'!$A$2:$A$977,G141)&gt;0,"matched","missing_mix")</f>
        <v/>
      </c>
    </row>
    <row r="142">
      <c r="A142" s="5">
        <f>'02a_DC_Capacity_Alloc'!A142</f>
        <v/>
      </c>
      <c r="B142" s="5">
        <f>'02a_DC_Capacity_Alloc'!B142</f>
        <v/>
      </c>
      <c r="C142" s="5">
        <f>'02a_DC_Capacity_Alloc'!C142</f>
        <v/>
      </c>
      <c r="D142" s="5">
        <f>'02a_DC_Capacity_Alloc'!D142</f>
        <v/>
      </c>
      <c r="E142" s="5">
        <f>'02a_DC_Capacity_Alloc'!E142</f>
        <v/>
      </c>
      <c r="F142" s="5">
        <f>'02a_DC_Capacity_Alloc'!F142</f>
        <v/>
      </c>
      <c r="G142" s="5">
        <f>B142&amp;"|"&amp;E142&amp;"|"&amp;D142</f>
        <v/>
      </c>
      <c r="H142" s="28">
        <f>'02a_DC_Capacity_Alloc'!H142*'02a_DC_Capacity_Alloc'!I142*'02a_DC_Capacity_Alloc'!J142</f>
        <v/>
      </c>
      <c r="I142" s="6">
        <f>IFERROR(INDEX('02b_DC_Accelerator_Mix'!$F$2:$F$977,MATCH(G142,'02b_DC_Accelerator_Mix'!$A$2:$A$977,0)),0)</f>
        <v/>
      </c>
      <c r="J142" s="6">
        <f>IFERROR(INDEX('02b_DC_Accelerator_Mix'!$G$2:$G$977,MATCH(G142,'02b_DC_Accelerator_Mix'!$A$2:$A$977,0)),0)</f>
        <v/>
      </c>
      <c r="K142" s="6">
        <f>IFERROR(INDEX('02b_DC_Accelerator_Mix'!$H$2:$H$977,MATCH(G142,'02b_DC_Accelerator_Mix'!$A$2:$A$977,0)),0)</f>
        <v/>
      </c>
      <c r="L142" s="6">
        <f>IFERROR(INDEX('02b_DC_Accelerator_Mix'!$I$2:$I$977,MATCH(G142,'02b_DC_Accelerator_Mix'!$A$2:$A$977,0)),0)</f>
        <v/>
      </c>
      <c r="M142" s="6">
        <f>IFERROR(INDEX('02b_DC_Accelerator_Mix'!$J$2:$J$977,MATCH(G142,'02b_DC_Accelerator_Mix'!$A$2:$A$977,0)),0)</f>
        <v/>
      </c>
      <c r="N142" s="6">
        <f>IFERROR(INDEX('02b_DC_Accelerator_Mix'!$K$2:$K$977,MATCH(G142,'02b_DC_Accelerator_Mix'!$A$2:$A$977,0)),0)</f>
        <v/>
      </c>
      <c r="O142" s="6">
        <f>IFERROR(INDEX('02b_DC_Accelerator_Mix'!$L$2:$L$977,MATCH(G142,'02b_DC_Accelerator_Mix'!$A$2:$A$977,0)),0)</f>
        <v/>
      </c>
      <c r="P142" s="6">
        <f>IFERROR(INDEX('02b_DC_Accelerator_Mix'!$M$2:$M$977,MATCH(G142,'02b_DC_Accelerator_Mix'!$A$2:$A$977,0)),0)</f>
        <v/>
      </c>
      <c r="Q142" s="6">
        <f>IFERROR(INDEX('02b_DC_Accelerator_Mix'!$N$2:$N$977,MATCH(G142,'02b_DC_Accelerator_Mix'!$A$2:$A$977,0)),0)</f>
        <v/>
      </c>
      <c r="R142" s="28">
        <f>H142*I142</f>
        <v/>
      </c>
      <c r="S142" s="28">
        <f>H142*J142</f>
        <v/>
      </c>
      <c r="T142" s="28">
        <f>H142*K142</f>
        <v/>
      </c>
      <c r="U142" s="28">
        <f>H142*L142</f>
        <v/>
      </c>
      <c r="V142" s="28">
        <f>H142*M142</f>
        <v/>
      </c>
      <c r="W142" s="28">
        <f>H142*N142</f>
        <v/>
      </c>
      <c r="X142" s="28">
        <f>H142*O142</f>
        <v/>
      </c>
      <c r="Y142" s="28">
        <f>H142*P142</f>
        <v/>
      </c>
      <c r="Z142" s="28">
        <f>H142*Q142</f>
        <v/>
      </c>
      <c r="AA142" s="28">
        <f>SUM(U142:Z142)</f>
        <v/>
      </c>
      <c r="AB142" s="5">
        <f>IF(COUNTIF('02b_DC_Accelerator_Mix'!$A$2:$A$977,G142)&gt;0,"matched","missing_mix")</f>
        <v/>
      </c>
    </row>
    <row r="143">
      <c r="A143" s="5">
        <f>'02a_DC_Capacity_Alloc'!A143</f>
        <v/>
      </c>
      <c r="B143" s="5">
        <f>'02a_DC_Capacity_Alloc'!B143</f>
        <v/>
      </c>
      <c r="C143" s="5">
        <f>'02a_DC_Capacity_Alloc'!C143</f>
        <v/>
      </c>
      <c r="D143" s="5">
        <f>'02a_DC_Capacity_Alloc'!D143</f>
        <v/>
      </c>
      <c r="E143" s="5">
        <f>'02a_DC_Capacity_Alloc'!E143</f>
        <v/>
      </c>
      <c r="F143" s="5">
        <f>'02a_DC_Capacity_Alloc'!F143</f>
        <v/>
      </c>
      <c r="G143" s="5">
        <f>B143&amp;"|"&amp;E143&amp;"|"&amp;D143</f>
        <v/>
      </c>
      <c r="H143" s="28">
        <f>'02a_DC_Capacity_Alloc'!H143*'02a_DC_Capacity_Alloc'!I143*'02a_DC_Capacity_Alloc'!J143</f>
        <v/>
      </c>
      <c r="I143" s="6">
        <f>IFERROR(INDEX('02b_DC_Accelerator_Mix'!$F$2:$F$977,MATCH(G143,'02b_DC_Accelerator_Mix'!$A$2:$A$977,0)),0)</f>
        <v/>
      </c>
      <c r="J143" s="6">
        <f>IFERROR(INDEX('02b_DC_Accelerator_Mix'!$G$2:$G$977,MATCH(G143,'02b_DC_Accelerator_Mix'!$A$2:$A$977,0)),0)</f>
        <v/>
      </c>
      <c r="K143" s="6">
        <f>IFERROR(INDEX('02b_DC_Accelerator_Mix'!$H$2:$H$977,MATCH(G143,'02b_DC_Accelerator_Mix'!$A$2:$A$977,0)),0)</f>
        <v/>
      </c>
      <c r="L143" s="6">
        <f>IFERROR(INDEX('02b_DC_Accelerator_Mix'!$I$2:$I$977,MATCH(G143,'02b_DC_Accelerator_Mix'!$A$2:$A$977,0)),0)</f>
        <v/>
      </c>
      <c r="M143" s="6">
        <f>IFERROR(INDEX('02b_DC_Accelerator_Mix'!$J$2:$J$977,MATCH(G143,'02b_DC_Accelerator_Mix'!$A$2:$A$977,0)),0)</f>
        <v/>
      </c>
      <c r="N143" s="6">
        <f>IFERROR(INDEX('02b_DC_Accelerator_Mix'!$K$2:$K$977,MATCH(G143,'02b_DC_Accelerator_Mix'!$A$2:$A$977,0)),0)</f>
        <v/>
      </c>
      <c r="O143" s="6">
        <f>IFERROR(INDEX('02b_DC_Accelerator_Mix'!$L$2:$L$977,MATCH(G143,'02b_DC_Accelerator_Mix'!$A$2:$A$977,0)),0)</f>
        <v/>
      </c>
      <c r="P143" s="6">
        <f>IFERROR(INDEX('02b_DC_Accelerator_Mix'!$M$2:$M$977,MATCH(G143,'02b_DC_Accelerator_Mix'!$A$2:$A$977,0)),0)</f>
        <v/>
      </c>
      <c r="Q143" s="6">
        <f>IFERROR(INDEX('02b_DC_Accelerator_Mix'!$N$2:$N$977,MATCH(G143,'02b_DC_Accelerator_Mix'!$A$2:$A$977,0)),0)</f>
        <v/>
      </c>
      <c r="R143" s="28">
        <f>H143*I143</f>
        <v/>
      </c>
      <c r="S143" s="28">
        <f>H143*J143</f>
        <v/>
      </c>
      <c r="T143" s="28">
        <f>H143*K143</f>
        <v/>
      </c>
      <c r="U143" s="28">
        <f>H143*L143</f>
        <v/>
      </c>
      <c r="V143" s="28">
        <f>H143*M143</f>
        <v/>
      </c>
      <c r="W143" s="28">
        <f>H143*N143</f>
        <v/>
      </c>
      <c r="X143" s="28">
        <f>H143*O143</f>
        <v/>
      </c>
      <c r="Y143" s="28">
        <f>H143*P143</f>
        <v/>
      </c>
      <c r="Z143" s="28">
        <f>H143*Q143</f>
        <v/>
      </c>
      <c r="AA143" s="28">
        <f>SUM(U143:Z143)</f>
        <v/>
      </c>
      <c r="AB143" s="5">
        <f>IF(COUNTIF('02b_DC_Accelerator_Mix'!$A$2:$A$977,G143)&gt;0,"matched","missing_mix")</f>
        <v/>
      </c>
    </row>
    <row r="144">
      <c r="A144" s="5">
        <f>'02a_DC_Capacity_Alloc'!A144</f>
        <v/>
      </c>
      <c r="B144" s="5">
        <f>'02a_DC_Capacity_Alloc'!B144</f>
        <v/>
      </c>
      <c r="C144" s="5">
        <f>'02a_DC_Capacity_Alloc'!C144</f>
        <v/>
      </c>
      <c r="D144" s="5">
        <f>'02a_DC_Capacity_Alloc'!D144</f>
        <v/>
      </c>
      <c r="E144" s="5">
        <f>'02a_DC_Capacity_Alloc'!E144</f>
        <v/>
      </c>
      <c r="F144" s="5">
        <f>'02a_DC_Capacity_Alloc'!F144</f>
        <v/>
      </c>
      <c r="G144" s="5">
        <f>B144&amp;"|"&amp;E144&amp;"|"&amp;D144</f>
        <v/>
      </c>
      <c r="H144" s="28">
        <f>'02a_DC_Capacity_Alloc'!H144*'02a_DC_Capacity_Alloc'!I144*'02a_DC_Capacity_Alloc'!J144</f>
        <v/>
      </c>
      <c r="I144" s="6">
        <f>IFERROR(INDEX('02b_DC_Accelerator_Mix'!$F$2:$F$977,MATCH(G144,'02b_DC_Accelerator_Mix'!$A$2:$A$977,0)),0)</f>
        <v/>
      </c>
      <c r="J144" s="6">
        <f>IFERROR(INDEX('02b_DC_Accelerator_Mix'!$G$2:$G$977,MATCH(G144,'02b_DC_Accelerator_Mix'!$A$2:$A$977,0)),0)</f>
        <v/>
      </c>
      <c r="K144" s="6">
        <f>IFERROR(INDEX('02b_DC_Accelerator_Mix'!$H$2:$H$977,MATCH(G144,'02b_DC_Accelerator_Mix'!$A$2:$A$977,0)),0)</f>
        <v/>
      </c>
      <c r="L144" s="6">
        <f>IFERROR(INDEX('02b_DC_Accelerator_Mix'!$I$2:$I$977,MATCH(G144,'02b_DC_Accelerator_Mix'!$A$2:$A$977,0)),0)</f>
        <v/>
      </c>
      <c r="M144" s="6">
        <f>IFERROR(INDEX('02b_DC_Accelerator_Mix'!$J$2:$J$977,MATCH(G144,'02b_DC_Accelerator_Mix'!$A$2:$A$977,0)),0)</f>
        <v/>
      </c>
      <c r="N144" s="6">
        <f>IFERROR(INDEX('02b_DC_Accelerator_Mix'!$K$2:$K$977,MATCH(G144,'02b_DC_Accelerator_Mix'!$A$2:$A$977,0)),0)</f>
        <v/>
      </c>
      <c r="O144" s="6">
        <f>IFERROR(INDEX('02b_DC_Accelerator_Mix'!$L$2:$L$977,MATCH(G144,'02b_DC_Accelerator_Mix'!$A$2:$A$977,0)),0)</f>
        <v/>
      </c>
      <c r="P144" s="6">
        <f>IFERROR(INDEX('02b_DC_Accelerator_Mix'!$M$2:$M$977,MATCH(G144,'02b_DC_Accelerator_Mix'!$A$2:$A$977,0)),0)</f>
        <v/>
      </c>
      <c r="Q144" s="6">
        <f>IFERROR(INDEX('02b_DC_Accelerator_Mix'!$N$2:$N$977,MATCH(G144,'02b_DC_Accelerator_Mix'!$A$2:$A$977,0)),0)</f>
        <v/>
      </c>
      <c r="R144" s="28">
        <f>H144*I144</f>
        <v/>
      </c>
      <c r="S144" s="28">
        <f>H144*J144</f>
        <v/>
      </c>
      <c r="T144" s="28">
        <f>H144*K144</f>
        <v/>
      </c>
      <c r="U144" s="28">
        <f>H144*L144</f>
        <v/>
      </c>
      <c r="V144" s="28">
        <f>H144*M144</f>
        <v/>
      </c>
      <c r="W144" s="28">
        <f>H144*N144</f>
        <v/>
      </c>
      <c r="X144" s="28">
        <f>H144*O144</f>
        <v/>
      </c>
      <c r="Y144" s="28">
        <f>H144*P144</f>
        <v/>
      </c>
      <c r="Z144" s="28">
        <f>H144*Q144</f>
        <v/>
      </c>
      <c r="AA144" s="28">
        <f>SUM(U144:Z144)</f>
        <v/>
      </c>
      <c r="AB144" s="5">
        <f>IF(COUNTIF('02b_DC_Accelerator_Mix'!$A$2:$A$977,G144)&gt;0,"matched","missing_mix")</f>
        <v/>
      </c>
    </row>
    <row r="145">
      <c r="A145" s="5">
        <f>'02a_DC_Capacity_Alloc'!A145</f>
        <v/>
      </c>
      <c r="B145" s="5">
        <f>'02a_DC_Capacity_Alloc'!B145</f>
        <v/>
      </c>
      <c r="C145" s="5">
        <f>'02a_DC_Capacity_Alloc'!C145</f>
        <v/>
      </c>
      <c r="D145" s="5">
        <f>'02a_DC_Capacity_Alloc'!D145</f>
        <v/>
      </c>
      <c r="E145" s="5">
        <f>'02a_DC_Capacity_Alloc'!E145</f>
        <v/>
      </c>
      <c r="F145" s="5">
        <f>'02a_DC_Capacity_Alloc'!F145</f>
        <v/>
      </c>
      <c r="G145" s="5">
        <f>B145&amp;"|"&amp;E145&amp;"|"&amp;D145</f>
        <v/>
      </c>
      <c r="H145" s="28">
        <f>'02a_DC_Capacity_Alloc'!H145*'02a_DC_Capacity_Alloc'!I145*'02a_DC_Capacity_Alloc'!J145</f>
        <v/>
      </c>
      <c r="I145" s="6">
        <f>IFERROR(INDEX('02b_DC_Accelerator_Mix'!$F$2:$F$977,MATCH(G145,'02b_DC_Accelerator_Mix'!$A$2:$A$977,0)),0)</f>
        <v/>
      </c>
      <c r="J145" s="6">
        <f>IFERROR(INDEX('02b_DC_Accelerator_Mix'!$G$2:$G$977,MATCH(G145,'02b_DC_Accelerator_Mix'!$A$2:$A$977,0)),0)</f>
        <v/>
      </c>
      <c r="K145" s="6">
        <f>IFERROR(INDEX('02b_DC_Accelerator_Mix'!$H$2:$H$977,MATCH(G145,'02b_DC_Accelerator_Mix'!$A$2:$A$977,0)),0)</f>
        <v/>
      </c>
      <c r="L145" s="6">
        <f>IFERROR(INDEX('02b_DC_Accelerator_Mix'!$I$2:$I$977,MATCH(G145,'02b_DC_Accelerator_Mix'!$A$2:$A$977,0)),0)</f>
        <v/>
      </c>
      <c r="M145" s="6">
        <f>IFERROR(INDEX('02b_DC_Accelerator_Mix'!$J$2:$J$977,MATCH(G145,'02b_DC_Accelerator_Mix'!$A$2:$A$977,0)),0)</f>
        <v/>
      </c>
      <c r="N145" s="6">
        <f>IFERROR(INDEX('02b_DC_Accelerator_Mix'!$K$2:$K$977,MATCH(G145,'02b_DC_Accelerator_Mix'!$A$2:$A$977,0)),0)</f>
        <v/>
      </c>
      <c r="O145" s="6">
        <f>IFERROR(INDEX('02b_DC_Accelerator_Mix'!$L$2:$L$977,MATCH(G145,'02b_DC_Accelerator_Mix'!$A$2:$A$977,0)),0)</f>
        <v/>
      </c>
      <c r="P145" s="6">
        <f>IFERROR(INDEX('02b_DC_Accelerator_Mix'!$M$2:$M$977,MATCH(G145,'02b_DC_Accelerator_Mix'!$A$2:$A$977,0)),0)</f>
        <v/>
      </c>
      <c r="Q145" s="6">
        <f>IFERROR(INDEX('02b_DC_Accelerator_Mix'!$N$2:$N$977,MATCH(G145,'02b_DC_Accelerator_Mix'!$A$2:$A$977,0)),0)</f>
        <v/>
      </c>
      <c r="R145" s="28">
        <f>H145*I145</f>
        <v/>
      </c>
      <c r="S145" s="28">
        <f>H145*J145</f>
        <v/>
      </c>
      <c r="T145" s="28">
        <f>H145*K145</f>
        <v/>
      </c>
      <c r="U145" s="28">
        <f>H145*L145</f>
        <v/>
      </c>
      <c r="V145" s="28">
        <f>H145*M145</f>
        <v/>
      </c>
      <c r="W145" s="28">
        <f>H145*N145</f>
        <v/>
      </c>
      <c r="X145" s="28">
        <f>H145*O145</f>
        <v/>
      </c>
      <c r="Y145" s="28">
        <f>H145*P145</f>
        <v/>
      </c>
      <c r="Z145" s="28">
        <f>H145*Q145</f>
        <v/>
      </c>
      <c r="AA145" s="28">
        <f>SUM(U145:Z145)</f>
        <v/>
      </c>
      <c r="AB145" s="5">
        <f>IF(COUNTIF('02b_DC_Accelerator_Mix'!$A$2:$A$977,G145)&gt;0,"matched","missing_mix")</f>
        <v/>
      </c>
    </row>
    <row r="146">
      <c r="A146" s="5">
        <f>'02a_DC_Capacity_Alloc'!A146</f>
        <v/>
      </c>
      <c r="B146" s="5">
        <f>'02a_DC_Capacity_Alloc'!B146</f>
        <v/>
      </c>
      <c r="C146" s="5">
        <f>'02a_DC_Capacity_Alloc'!C146</f>
        <v/>
      </c>
      <c r="D146" s="5">
        <f>'02a_DC_Capacity_Alloc'!D146</f>
        <v/>
      </c>
      <c r="E146" s="5">
        <f>'02a_DC_Capacity_Alloc'!E146</f>
        <v/>
      </c>
      <c r="F146" s="5">
        <f>'02a_DC_Capacity_Alloc'!F146</f>
        <v/>
      </c>
      <c r="G146" s="5">
        <f>B146&amp;"|"&amp;E146&amp;"|"&amp;D146</f>
        <v/>
      </c>
      <c r="H146" s="28">
        <f>'02a_DC_Capacity_Alloc'!H146*'02a_DC_Capacity_Alloc'!I146*'02a_DC_Capacity_Alloc'!J146</f>
        <v/>
      </c>
      <c r="I146" s="6">
        <f>IFERROR(INDEX('02b_DC_Accelerator_Mix'!$F$2:$F$977,MATCH(G146,'02b_DC_Accelerator_Mix'!$A$2:$A$977,0)),0)</f>
        <v/>
      </c>
      <c r="J146" s="6">
        <f>IFERROR(INDEX('02b_DC_Accelerator_Mix'!$G$2:$G$977,MATCH(G146,'02b_DC_Accelerator_Mix'!$A$2:$A$977,0)),0)</f>
        <v/>
      </c>
      <c r="K146" s="6">
        <f>IFERROR(INDEX('02b_DC_Accelerator_Mix'!$H$2:$H$977,MATCH(G146,'02b_DC_Accelerator_Mix'!$A$2:$A$977,0)),0)</f>
        <v/>
      </c>
      <c r="L146" s="6">
        <f>IFERROR(INDEX('02b_DC_Accelerator_Mix'!$I$2:$I$977,MATCH(G146,'02b_DC_Accelerator_Mix'!$A$2:$A$977,0)),0)</f>
        <v/>
      </c>
      <c r="M146" s="6">
        <f>IFERROR(INDEX('02b_DC_Accelerator_Mix'!$J$2:$J$977,MATCH(G146,'02b_DC_Accelerator_Mix'!$A$2:$A$977,0)),0)</f>
        <v/>
      </c>
      <c r="N146" s="6">
        <f>IFERROR(INDEX('02b_DC_Accelerator_Mix'!$K$2:$K$977,MATCH(G146,'02b_DC_Accelerator_Mix'!$A$2:$A$977,0)),0)</f>
        <v/>
      </c>
      <c r="O146" s="6">
        <f>IFERROR(INDEX('02b_DC_Accelerator_Mix'!$L$2:$L$977,MATCH(G146,'02b_DC_Accelerator_Mix'!$A$2:$A$977,0)),0)</f>
        <v/>
      </c>
      <c r="P146" s="6">
        <f>IFERROR(INDEX('02b_DC_Accelerator_Mix'!$M$2:$M$977,MATCH(G146,'02b_DC_Accelerator_Mix'!$A$2:$A$977,0)),0)</f>
        <v/>
      </c>
      <c r="Q146" s="6">
        <f>IFERROR(INDEX('02b_DC_Accelerator_Mix'!$N$2:$N$977,MATCH(G146,'02b_DC_Accelerator_Mix'!$A$2:$A$977,0)),0)</f>
        <v/>
      </c>
      <c r="R146" s="28">
        <f>H146*I146</f>
        <v/>
      </c>
      <c r="S146" s="28">
        <f>H146*J146</f>
        <v/>
      </c>
      <c r="T146" s="28">
        <f>H146*K146</f>
        <v/>
      </c>
      <c r="U146" s="28">
        <f>H146*L146</f>
        <v/>
      </c>
      <c r="V146" s="28">
        <f>H146*M146</f>
        <v/>
      </c>
      <c r="W146" s="28">
        <f>H146*N146</f>
        <v/>
      </c>
      <c r="X146" s="28">
        <f>H146*O146</f>
        <v/>
      </c>
      <c r="Y146" s="28">
        <f>H146*P146</f>
        <v/>
      </c>
      <c r="Z146" s="28">
        <f>H146*Q146</f>
        <v/>
      </c>
      <c r="AA146" s="28">
        <f>SUM(U146:Z146)</f>
        <v/>
      </c>
      <c r="AB146" s="5">
        <f>IF(COUNTIF('02b_DC_Accelerator_Mix'!$A$2:$A$977,G146)&gt;0,"matched","missing_mix")</f>
        <v/>
      </c>
    </row>
    <row r="147">
      <c r="A147" s="5">
        <f>'02a_DC_Capacity_Alloc'!A147</f>
        <v/>
      </c>
      <c r="B147" s="5">
        <f>'02a_DC_Capacity_Alloc'!B147</f>
        <v/>
      </c>
      <c r="C147" s="5">
        <f>'02a_DC_Capacity_Alloc'!C147</f>
        <v/>
      </c>
      <c r="D147" s="5">
        <f>'02a_DC_Capacity_Alloc'!D147</f>
        <v/>
      </c>
      <c r="E147" s="5">
        <f>'02a_DC_Capacity_Alloc'!E147</f>
        <v/>
      </c>
      <c r="F147" s="5">
        <f>'02a_DC_Capacity_Alloc'!F147</f>
        <v/>
      </c>
      <c r="G147" s="5">
        <f>B147&amp;"|"&amp;E147&amp;"|"&amp;D147</f>
        <v/>
      </c>
      <c r="H147" s="28">
        <f>'02a_DC_Capacity_Alloc'!H147*'02a_DC_Capacity_Alloc'!I147*'02a_DC_Capacity_Alloc'!J147</f>
        <v/>
      </c>
      <c r="I147" s="6">
        <f>IFERROR(INDEX('02b_DC_Accelerator_Mix'!$F$2:$F$977,MATCH(G147,'02b_DC_Accelerator_Mix'!$A$2:$A$977,0)),0)</f>
        <v/>
      </c>
      <c r="J147" s="6">
        <f>IFERROR(INDEX('02b_DC_Accelerator_Mix'!$G$2:$G$977,MATCH(G147,'02b_DC_Accelerator_Mix'!$A$2:$A$977,0)),0)</f>
        <v/>
      </c>
      <c r="K147" s="6">
        <f>IFERROR(INDEX('02b_DC_Accelerator_Mix'!$H$2:$H$977,MATCH(G147,'02b_DC_Accelerator_Mix'!$A$2:$A$977,0)),0)</f>
        <v/>
      </c>
      <c r="L147" s="6">
        <f>IFERROR(INDEX('02b_DC_Accelerator_Mix'!$I$2:$I$977,MATCH(G147,'02b_DC_Accelerator_Mix'!$A$2:$A$977,0)),0)</f>
        <v/>
      </c>
      <c r="M147" s="6">
        <f>IFERROR(INDEX('02b_DC_Accelerator_Mix'!$J$2:$J$977,MATCH(G147,'02b_DC_Accelerator_Mix'!$A$2:$A$977,0)),0)</f>
        <v/>
      </c>
      <c r="N147" s="6">
        <f>IFERROR(INDEX('02b_DC_Accelerator_Mix'!$K$2:$K$977,MATCH(G147,'02b_DC_Accelerator_Mix'!$A$2:$A$977,0)),0)</f>
        <v/>
      </c>
      <c r="O147" s="6">
        <f>IFERROR(INDEX('02b_DC_Accelerator_Mix'!$L$2:$L$977,MATCH(G147,'02b_DC_Accelerator_Mix'!$A$2:$A$977,0)),0)</f>
        <v/>
      </c>
      <c r="P147" s="6">
        <f>IFERROR(INDEX('02b_DC_Accelerator_Mix'!$M$2:$M$977,MATCH(G147,'02b_DC_Accelerator_Mix'!$A$2:$A$977,0)),0)</f>
        <v/>
      </c>
      <c r="Q147" s="6">
        <f>IFERROR(INDEX('02b_DC_Accelerator_Mix'!$N$2:$N$977,MATCH(G147,'02b_DC_Accelerator_Mix'!$A$2:$A$977,0)),0)</f>
        <v/>
      </c>
      <c r="R147" s="28">
        <f>H147*I147</f>
        <v/>
      </c>
      <c r="S147" s="28">
        <f>H147*J147</f>
        <v/>
      </c>
      <c r="T147" s="28">
        <f>H147*K147</f>
        <v/>
      </c>
      <c r="U147" s="28">
        <f>H147*L147</f>
        <v/>
      </c>
      <c r="V147" s="28">
        <f>H147*M147</f>
        <v/>
      </c>
      <c r="W147" s="28">
        <f>H147*N147</f>
        <v/>
      </c>
      <c r="X147" s="28">
        <f>H147*O147</f>
        <v/>
      </c>
      <c r="Y147" s="28">
        <f>H147*P147</f>
        <v/>
      </c>
      <c r="Z147" s="28">
        <f>H147*Q147</f>
        <v/>
      </c>
      <c r="AA147" s="28">
        <f>SUM(U147:Z147)</f>
        <v/>
      </c>
      <c r="AB147" s="5">
        <f>IF(COUNTIF('02b_DC_Accelerator_Mix'!$A$2:$A$977,G147)&gt;0,"matched","missing_mix")</f>
        <v/>
      </c>
    </row>
    <row r="148">
      <c r="A148" s="5">
        <f>'02a_DC_Capacity_Alloc'!A148</f>
        <v/>
      </c>
      <c r="B148" s="5">
        <f>'02a_DC_Capacity_Alloc'!B148</f>
        <v/>
      </c>
      <c r="C148" s="5">
        <f>'02a_DC_Capacity_Alloc'!C148</f>
        <v/>
      </c>
      <c r="D148" s="5">
        <f>'02a_DC_Capacity_Alloc'!D148</f>
        <v/>
      </c>
      <c r="E148" s="5">
        <f>'02a_DC_Capacity_Alloc'!E148</f>
        <v/>
      </c>
      <c r="F148" s="5">
        <f>'02a_DC_Capacity_Alloc'!F148</f>
        <v/>
      </c>
      <c r="G148" s="5">
        <f>B148&amp;"|"&amp;E148&amp;"|"&amp;D148</f>
        <v/>
      </c>
      <c r="H148" s="28">
        <f>'02a_DC_Capacity_Alloc'!H148*'02a_DC_Capacity_Alloc'!I148*'02a_DC_Capacity_Alloc'!J148</f>
        <v/>
      </c>
      <c r="I148" s="6">
        <f>IFERROR(INDEX('02b_DC_Accelerator_Mix'!$F$2:$F$977,MATCH(G148,'02b_DC_Accelerator_Mix'!$A$2:$A$977,0)),0)</f>
        <v/>
      </c>
      <c r="J148" s="6">
        <f>IFERROR(INDEX('02b_DC_Accelerator_Mix'!$G$2:$G$977,MATCH(G148,'02b_DC_Accelerator_Mix'!$A$2:$A$977,0)),0)</f>
        <v/>
      </c>
      <c r="K148" s="6">
        <f>IFERROR(INDEX('02b_DC_Accelerator_Mix'!$H$2:$H$977,MATCH(G148,'02b_DC_Accelerator_Mix'!$A$2:$A$977,0)),0)</f>
        <v/>
      </c>
      <c r="L148" s="6">
        <f>IFERROR(INDEX('02b_DC_Accelerator_Mix'!$I$2:$I$977,MATCH(G148,'02b_DC_Accelerator_Mix'!$A$2:$A$977,0)),0)</f>
        <v/>
      </c>
      <c r="M148" s="6">
        <f>IFERROR(INDEX('02b_DC_Accelerator_Mix'!$J$2:$J$977,MATCH(G148,'02b_DC_Accelerator_Mix'!$A$2:$A$977,0)),0)</f>
        <v/>
      </c>
      <c r="N148" s="6">
        <f>IFERROR(INDEX('02b_DC_Accelerator_Mix'!$K$2:$K$977,MATCH(G148,'02b_DC_Accelerator_Mix'!$A$2:$A$977,0)),0)</f>
        <v/>
      </c>
      <c r="O148" s="6">
        <f>IFERROR(INDEX('02b_DC_Accelerator_Mix'!$L$2:$L$977,MATCH(G148,'02b_DC_Accelerator_Mix'!$A$2:$A$977,0)),0)</f>
        <v/>
      </c>
      <c r="P148" s="6">
        <f>IFERROR(INDEX('02b_DC_Accelerator_Mix'!$M$2:$M$977,MATCH(G148,'02b_DC_Accelerator_Mix'!$A$2:$A$977,0)),0)</f>
        <v/>
      </c>
      <c r="Q148" s="6">
        <f>IFERROR(INDEX('02b_DC_Accelerator_Mix'!$N$2:$N$977,MATCH(G148,'02b_DC_Accelerator_Mix'!$A$2:$A$977,0)),0)</f>
        <v/>
      </c>
      <c r="R148" s="28">
        <f>H148*I148</f>
        <v/>
      </c>
      <c r="S148" s="28">
        <f>H148*J148</f>
        <v/>
      </c>
      <c r="T148" s="28">
        <f>H148*K148</f>
        <v/>
      </c>
      <c r="U148" s="28">
        <f>H148*L148</f>
        <v/>
      </c>
      <c r="V148" s="28">
        <f>H148*M148</f>
        <v/>
      </c>
      <c r="W148" s="28">
        <f>H148*N148</f>
        <v/>
      </c>
      <c r="X148" s="28">
        <f>H148*O148</f>
        <v/>
      </c>
      <c r="Y148" s="28">
        <f>H148*P148</f>
        <v/>
      </c>
      <c r="Z148" s="28">
        <f>H148*Q148</f>
        <v/>
      </c>
      <c r="AA148" s="28">
        <f>SUM(U148:Z148)</f>
        <v/>
      </c>
      <c r="AB148" s="5">
        <f>IF(COUNTIF('02b_DC_Accelerator_Mix'!$A$2:$A$977,G148)&gt;0,"matched","missing_mix")</f>
        <v/>
      </c>
    </row>
    <row r="149">
      <c r="A149" s="5">
        <f>'02a_DC_Capacity_Alloc'!A149</f>
        <v/>
      </c>
      <c r="B149" s="5">
        <f>'02a_DC_Capacity_Alloc'!B149</f>
        <v/>
      </c>
      <c r="C149" s="5">
        <f>'02a_DC_Capacity_Alloc'!C149</f>
        <v/>
      </c>
      <c r="D149" s="5">
        <f>'02a_DC_Capacity_Alloc'!D149</f>
        <v/>
      </c>
      <c r="E149" s="5">
        <f>'02a_DC_Capacity_Alloc'!E149</f>
        <v/>
      </c>
      <c r="F149" s="5">
        <f>'02a_DC_Capacity_Alloc'!F149</f>
        <v/>
      </c>
      <c r="G149" s="5">
        <f>B149&amp;"|"&amp;E149&amp;"|"&amp;D149</f>
        <v/>
      </c>
      <c r="H149" s="28">
        <f>'02a_DC_Capacity_Alloc'!H149*'02a_DC_Capacity_Alloc'!I149*'02a_DC_Capacity_Alloc'!J149</f>
        <v/>
      </c>
      <c r="I149" s="6">
        <f>IFERROR(INDEX('02b_DC_Accelerator_Mix'!$F$2:$F$977,MATCH(G149,'02b_DC_Accelerator_Mix'!$A$2:$A$977,0)),0)</f>
        <v/>
      </c>
      <c r="J149" s="6">
        <f>IFERROR(INDEX('02b_DC_Accelerator_Mix'!$G$2:$G$977,MATCH(G149,'02b_DC_Accelerator_Mix'!$A$2:$A$977,0)),0)</f>
        <v/>
      </c>
      <c r="K149" s="6">
        <f>IFERROR(INDEX('02b_DC_Accelerator_Mix'!$H$2:$H$977,MATCH(G149,'02b_DC_Accelerator_Mix'!$A$2:$A$977,0)),0)</f>
        <v/>
      </c>
      <c r="L149" s="6">
        <f>IFERROR(INDEX('02b_DC_Accelerator_Mix'!$I$2:$I$977,MATCH(G149,'02b_DC_Accelerator_Mix'!$A$2:$A$977,0)),0)</f>
        <v/>
      </c>
      <c r="M149" s="6">
        <f>IFERROR(INDEX('02b_DC_Accelerator_Mix'!$J$2:$J$977,MATCH(G149,'02b_DC_Accelerator_Mix'!$A$2:$A$977,0)),0)</f>
        <v/>
      </c>
      <c r="N149" s="6">
        <f>IFERROR(INDEX('02b_DC_Accelerator_Mix'!$K$2:$K$977,MATCH(G149,'02b_DC_Accelerator_Mix'!$A$2:$A$977,0)),0)</f>
        <v/>
      </c>
      <c r="O149" s="6">
        <f>IFERROR(INDEX('02b_DC_Accelerator_Mix'!$L$2:$L$977,MATCH(G149,'02b_DC_Accelerator_Mix'!$A$2:$A$977,0)),0)</f>
        <v/>
      </c>
      <c r="P149" s="6">
        <f>IFERROR(INDEX('02b_DC_Accelerator_Mix'!$M$2:$M$977,MATCH(G149,'02b_DC_Accelerator_Mix'!$A$2:$A$977,0)),0)</f>
        <v/>
      </c>
      <c r="Q149" s="6">
        <f>IFERROR(INDEX('02b_DC_Accelerator_Mix'!$N$2:$N$977,MATCH(G149,'02b_DC_Accelerator_Mix'!$A$2:$A$977,0)),0)</f>
        <v/>
      </c>
      <c r="R149" s="28">
        <f>H149*I149</f>
        <v/>
      </c>
      <c r="S149" s="28">
        <f>H149*J149</f>
        <v/>
      </c>
      <c r="T149" s="28">
        <f>H149*K149</f>
        <v/>
      </c>
      <c r="U149" s="28">
        <f>H149*L149</f>
        <v/>
      </c>
      <c r="V149" s="28">
        <f>H149*M149</f>
        <v/>
      </c>
      <c r="W149" s="28">
        <f>H149*N149</f>
        <v/>
      </c>
      <c r="X149" s="28">
        <f>H149*O149</f>
        <v/>
      </c>
      <c r="Y149" s="28">
        <f>H149*P149</f>
        <v/>
      </c>
      <c r="Z149" s="28">
        <f>H149*Q149</f>
        <v/>
      </c>
      <c r="AA149" s="28">
        <f>SUM(U149:Z149)</f>
        <v/>
      </c>
      <c r="AB149" s="5">
        <f>IF(COUNTIF('02b_DC_Accelerator_Mix'!$A$2:$A$977,G149)&gt;0,"matched","missing_mix")</f>
        <v/>
      </c>
    </row>
    <row r="150">
      <c r="A150" s="5">
        <f>'02a_DC_Capacity_Alloc'!A150</f>
        <v/>
      </c>
      <c r="B150" s="5">
        <f>'02a_DC_Capacity_Alloc'!B150</f>
        <v/>
      </c>
      <c r="C150" s="5">
        <f>'02a_DC_Capacity_Alloc'!C150</f>
        <v/>
      </c>
      <c r="D150" s="5">
        <f>'02a_DC_Capacity_Alloc'!D150</f>
        <v/>
      </c>
      <c r="E150" s="5">
        <f>'02a_DC_Capacity_Alloc'!E150</f>
        <v/>
      </c>
      <c r="F150" s="5">
        <f>'02a_DC_Capacity_Alloc'!F150</f>
        <v/>
      </c>
      <c r="G150" s="5">
        <f>B150&amp;"|"&amp;E150&amp;"|"&amp;D150</f>
        <v/>
      </c>
      <c r="H150" s="28">
        <f>'02a_DC_Capacity_Alloc'!H150*'02a_DC_Capacity_Alloc'!I150*'02a_DC_Capacity_Alloc'!J150</f>
        <v/>
      </c>
      <c r="I150" s="6">
        <f>IFERROR(INDEX('02b_DC_Accelerator_Mix'!$F$2:$F$977,MATCH(G150,'02b_DC_Accelerator_Mix'!$A$2:$A$977,0)),0)</f>
        <v/>
      </c>
      <c r="J150" s="6">
        <f>IFERROR(INDEX('02b_DC_Accelerator_Mix'!$G$2:$G$977,MATCH(G150,'02b_DC_Accelerator_Mix'!$A$2:$A$977,0)),0)</f>
        <v/>
      </c>
      <c r="K150" s="6">
        <f>IFERROR(INDEX('02b_DC_Accelerator_Mix'!$H$2:$H$977,MATCH(G150,'02b_DC_Accelerator_Mix'!$A$2:$A$977,0)),0)</f>
        <v/>
      </c>
      <c r="L150" s="6">
        <f>IFERROR(INDEX('02b_DC_Accelerator_Mix'!$I$2:$I$977,MATCH(G150,'02b_DC_Accelerator_Mix'!$A$2:$A$977,0)),0)</f>
        <v/>
      </c>
      <c r="M150" s="6">
        <f>IFERROR(INDEX('02b_DC_Accelerator_Mix'!$J$2:$J$977,MATCH(G150,'02b_DC_Accelerator_Mix'!$A$2:$A$977,0)),0)</f>
        <v/>
      </c>
      <c r="N150" s="6">
        <f>IFERROR(INDEX('02b_DC_Accelerator_Mix'!$K$2:$K$977,MATCH(G150,'02b_DC_Accelerator_Mix'!$A$2:$A$977,0)),0)</f>
        <v/>
      </c>
      <c r="O150" s="6">
        <f>IFERROR(INDEX('02b_DC_Accelerator_Mix'!$L$2:$L$977,MATCH(G150,'02b_DC_Accelerator_Mix'!$A$2:$A$977,0)),0)</f>
        <v/>
      </c>
      <c r="P150" s="6">
        <f>IFERROR(INDEX('02b_DC_Accelerator_Mix'!$M$2:$M$977,MATCH(G150,'02b_DC_Accelerator_Mix'!$A$2:$A$977,0)),0)</f>
        <v/>
      </c>
      <c r="Q150" s="6">
        <f>IFERROR(INDEX('02b_DC_Accelerator_Mix'!$N$2:$N$977,MATCH(G150,'02b_DC_Accelerator_Mix'!$A$2:$A$977,0)),0)</f>
        <v/>
      </c>
      <c r="R150" s="28">
        <f>H150*I150</f>
        <v/>
      </c>
      <c r="S150" s="28">
        <f>H150*J150</f>
        <v/>
      </c>
      <c r="T150" s="28">
        <f>H150*K150</f>
        <v/>
      </c>
      <c r="U150" s="28">
        <f>H150*L150</f>
        <v/>
      </c>
      <c r="V150" s="28">
        <f>H150*M150</f>
        <v/>
      </c>
      <c r="W150" s="28">
        <f>H150*N150</f>
        <v/>
      </c>
      <c r="X150" s="28">
        <f>H150*O150</f>
        <v/>
      </c>
      <c r="Y150" s="28">
        <f>H150*P150</f>
        <v/>
      </c>
      <c r="Z150" s="28">
        <f>H150*Q150</f>
        <v/>
      </c>
      <c r="AA150" s="28">
        <f>SUM(U150:Z150)</f>
        <v/>
      </c>
      <c r="AB150" s="5">
        <f>IF(COUNTIF('02b_DC_Accelerator_Mix'!$A$2:$A$977,G150)&gt;0,"matched","missing_mix")</f>
        <v/>
      </c>
    </row>
    <row r="151">
      <c r="A151" s="5">
        <f>'02a_DC_Capacity_Alloc'!A151</f>
        <v/>
      </c>
      <c r="B151" s="5">
        <f>'02a_DC_Capacity_Alloc'!B151</f>
        <v/>
      </c>
      <c r="C151" s="5">
        <f>'02a_DC_Capacity_Alloc'!C151</f>
        <v/>
      </c>
      <c r="D151" s="5">
        <f>'02a_DC_Capacity_Alloc'!D151</f>
        <v/>
      </c>
      <c r="E151" s="5">
        <f>'02a_DC_Capacity_Alloc'!E151</f>
        <v/>
      </c>
      <c r="F151" s="5">
        <f>'02a_DC_Capacity_Alloc'!F151</f>
        <v/>
      </c>
      <c r="G151" s="5">
        <f>B151&amp;"|"&amp;E151&amp;"|"&amp;D151</f>
        <v/>
      </c>
      <c r="H151" s="28">
        <f>'02a_DC_Capacity_Alloc'!H151*'02a_DC_Capacity_Alloc'!I151*'02a_DC_Capacity_Alloc'!J151</f>
        <v/>
      </c>
      <c r="I151" s="6">
        <f>IFERROR(INDEX('02b_DC_Accelerator_Mix'!$F$2:$F$977,MATCH(G151,'02b_DC_Accelerator_Mix'!$A$2:$A$977,0)),0)</f>
        <v/>
      </c>
      <c r="J151" s="6">
        <f>IFERROR(INDEX('02b_DC_Accelerator_Mix'!$G$2:$G$977,MATCH(G151,'02b_DC_Accelerator_Mix'!$A$2:$A$977,0)),0)</f>
        <v/>
      </c>
      <c r="K151" s="6">
        <f>IFERROR(INDEX('02b_DC_Accelerator_Mix'!$H$2:$H$977,MATCH(G151,'02b_DC_Accelerator_Mix'!$A$2:$A$977,0)),0)</f>
        <v/>
      </c>
      <c r="L151" s="6">
        <f>IFERROR(INDEX('02b_DC_Accelerator_Mix'!$I$2:$I$977,MATCH(G151,'02b_DC_Accelerator_Mix'!$A$2:$A$977,0)),0)</f>
        <v/>
      </c>
      <c r="M151" s="6">
        <f>IFERROR(INDEX('02b_DC_Accelerator_Mix'!$J$2:$J$977,MATCH(G151,'02b_DC_Accelerator_Mix'!$A$2:$A$977,0)),0)</f>
        <v/>
      </c>
      <c r="N151" s="6">
        <f>IFERROR(INDEX('02b_DC_Accelerator_Mix'!$K$2:$K$977,MATCH(G151,'02b_DC_Accelerator_Mix'!$A$2:$A$977,0)),0)</f>
        <v/>
      </c>
      <c r="O151" s="6">
        <f>IFERROR(INDEX('02b_DC_Accelerator_Mix'!$L$2:$L$977,MATCH(G151,'02b_DC_Accelerator_Mix'!$A$2:$A$977,0)),0)</f>
        <v/>
      </c>
      <c r="P151" s="6">
        <f>IFERROR(INDEX('02b_DC_Accelerator_Mix'!$M$2:$M$977,MATCH(G151,'02b_DC_Accelerator_Mix'!$A$2:$A$977,0)),0)</f>
        <v/>
      </c>
      <c r="Q151" s="6">
        <f>IFERROR(INDEX('02b_DC_Accelerator_Mix'!$N$2:$N$977,MATCH(G151,'02b_DC_Accelerator_Mix'!$A$2:$A$977,0)),0)</f>
        <v/>
      </c>
      <c r="R151" s="28">
        <f>H151*I151</f>
        <v/>
      </c>
      <c r="S151" s="28">
        <f>H151*J151</f>
        <v/>
      </c>
      <c r="T151" s="28">
        <f>H151*K151</f>
        <v/>
      </c>
      <c r="U151" s="28">
        <f>H151*L151</f>
        <v/>
      </c>
      <c r="V151" s="28">
        <f>H151*M151</f>
        <v/>
      </c>
      <c r="W151" s="28">
        <f>H151*N151</f>
        <v/>
      </c>
      <c r="X151" s="28">
        <f>H151*O151</f>
        <v/>
      </c>
      <c r="Y151" s="28">
        <f>H151*P151</f>
        <v/>
      </c>
      <c r="Z151" s="28">
        <f>H151*Q151</f>
        <v/>
      </c>
      <c r="AA151" s="28">
        <f>SUM(U151:Z151)</f>
        <v/>
      </c>
      <c r="AB151" s="5">
        <f>IF(COUNTIF('02b_DC_Accelerator_Mix'!$A$2:$A$977,G151)&gt;0,"matched","missing_mix")</f>
        <v/>
      </c>
    </row>
    <row r="152">
      <c r="A152" s="5">
        <f>'02a_DC_Capacity_Alloc'!A152</f>
        <v/>
      </c>
      <c r="B152" s="5">
        <f>'02a_DC_Capacity_Alloc'!B152</f>
        <v/>
      </c>
      <c r="C152" s="5">
        <f>'02a_DC_Capacity_Alloc'!C152</f>
        <v/>
      </c>
      <c r="D152" s="5">
        <f>'02a_DC_Capacity_Alloc'!D152</f>
        <v/>
      </c>
      <c r="E152" s="5">
        <f>'02a_DC_Capacity_Alloc'!E152</f>
        <v/>
      </c>
      <c r="F152" s="5">
        <f>'02a_DC_Capacity_Alloc'!F152</f>
        <v/>
      </c>
      <c r="G152" s="5">
        <f>B152&amp;"|"&amp;E152&amp;"|"&amp;D152</f>
        <v/>
      </c>
      <c r="H152" s="28">
        <f>'02a_DC_Capacity_Alloc'!H152*'02a_DC_Capacity_Alloc'!I152*'02a_DC_Capacity_Alloc'!J152</f>
        <v/>
      </c>
      <c r="I152" s="6">
        <f>IFERROR(INDEX('02b_DC_Accelerator_Mix'!$F$2:$F$977,MATCH(G152,'02b_DC_Accelerator_Mix'!$A$2:$A$977,0)),0)</f>
        <v/>
      </c>
      <c r="J152" s="6">
        <f>IFERROR(INDEX('02b_DC_Accelerator_Mix'!$G$2:$G$977,MATCH(G152,'02b_DC_Accelerator_Mix'!$A$2:$A$977,0)),0)</f>
        <v/>
      </c>
      <c r="K152" s="6">
        <f>IFERROR(INDEX('02b_DC_Accelerator_Mix'!$H$2:$H$977,MATCH(G152,'02b_DC_Accelerator_Mix'!$A$2:$A$977,0)),0)</f>
        <v/>
      </c>
      <c r="L152" s="6">
        <f>IFERROR(INDEX('02b_DC_Accelerator_Mix'!$I$2:$I$977,MATCH(G152,'02b_DC_Accelerator_Mix'!$A$2:$A$977,0)),0)</f>
        <v/>
      </c>
      <c r="M152" s="6">
        <f>IFERROR(INDEX('02b_DC_Accelerator_Mix'!$J$2:$J$977,MATCH(G152,'02b_DC_Accelerator_Mix'!$A$2:$A$977,0)),0)</f>
        <v/>
      </c>
      <c r="N152" s="6">
        <f>IFERROR(INDEX('02b_DC_Accelerator_Mix'!$K$2:$K$977,MATCH(G152,'02b_DC_Accelerator_Mix'!$A$2:$A$977,0)),0)</f>
        <v/>
      </c>
      <c r="O152" s="6">
        <f>IFERROR(INDEX('02b_DC_Accelerator_Mix'!$L$2:$L$977,MATCH(G152,'02b_DC_Accelerator_Mix'!$A$2:$A$977,0)),0)</f>
        <v/>
      </c>
      <c r="P152" s="6">
        <f>IFERROR(INDEX('02b_DC_Accelerator_Mix'!$M$2:$M$977,MATCH(G152,'02b_DC_Accelerator_Mix'!$A$2:$A$977,0)),0)</f>
        <v/>
      </c>
      <c r="Q152" s="6">
        <f>IFERROR(INDEX('02b_DC_Accelerator_Mix'!$N$2:$N$977,MATCH(G152,'02b_DC_Accelerator_Mix'!$A$2:$A$977,0)),0)</f>
        <v/>
      </c>
      <c r="R152" s="28">
        <f>H152*I152</f>
        <v/>
      </c>
      <c r="S152" s="28">
        <f>H152*J152</f>
        <v/>
      </c>
      <c r="T152" s="28">
        <f>H152*K152</f>
        <v/>
      </c>
      <c r="U152" s="28">
        <f>H152*L152</f>
        <v/>
      </c>
      <c r="V152" s="28">
        <f>H152*M152</f>
        <v/>
      </c>
      <c r="W152" s="28">
        <f>H152*N152</f>
        <v/>
      </c>
      <c r="X152" s="28">
        <f>H152*O152</f>
        <v/>
      </c>
      <c r="Y152" s="28">
        <f>H152*P152</f>
        <v/>
      </c>
      <c r="Z152" s="28">
        <f>H152*Q152</f>
        <v/>
      </c>
      <c r="AA152" s="28">
        <f>SUM(U152:Z152)</f>
        <v/>
      </c>
      <c r="AB152" s="5">
        <f>IF(COUNTIF('02b_DC_Accelerator_Mix'!$A$2:$A$977,G152)&gt;0,"matched","missing_mix")</f>
        <v/>
      </c>
    </row>
    <row r="153">
      <c r="A153" s="5">
        <f>'02a_DC_Capacity_Alloc'!A153</f>
        <v/>
      </c>
      <c r="B153" s="5">
        <f>'02a_DC_Capacity_Alloc'!B153</f>
        <v/>
      </c>
      <c r="C153" s="5">
        <f>'02a_DC_Capacity_Alloc'!C153</f>
        <v/>
      </c>
      <c r="D153" s="5">
        <f>'02a_DC_Capacity_Alloc'!D153</f>
        <v/>
      </c>
      <c r="E153" s="5">
        <f>'02a_DC_Capacity_Alloc'!E153</f>
        <v/>
      </c>
      <c r="F153" s="5">
        <f>'02a_DC_Capacity_Alloc'!F153</f>
        <v/>
      </c>
      <c r="G153" s="5">
        <f>B153&amp;"|"&amp;E153&amp;"|"&amp;D153</f>
        <v/>
      </c>
      <c r="H153" s="28">
        <f>'02a_DC_Capacity_Alloc'!H153*'02a_DC_Capacity_Alloc'!I153*'02a_DC_Capacity_Alloc'!J153</f>
        <v/>
      </c>
      <c r="I153" s="6">
        <f>IFERROR(INDEX('02b_DC_Accelerator_Mix'!$F$2:$F$977,MATCH(G153,'02b_DC_Accelerator_Mix'!$A$2:$A$977,0)),0)</f>
        <v/>
      </c>
      <c r="J153" s="6">
        <f>IFERROR(INDEX('02b_DC_Accelerator_Mix'!$G$2:$G$977,MATCH(G153,'02b_DC_Accelerator_Mix'!$A$2:$A$977,0)),0)</f>
        <v/>
      </c>
      <c r="K153" s="6">
        <f>IFERROR(INDEX('02b_DC_Accelerator_Mix'!$H$2:$H$977,MATCH(G153,'02b_DC_Accelerator_Mix'!$A$2:$A$977,0)),0)</f>
        <v/>
      </c>
      <c r="L153" s="6">
        <f>IFERROR(INDEX('02b_DC_Accelerator_Mix'!$I$2:$I$977,MATCH(G153,'02b_DC_Accelerator_Mix'!$A$2:$A$977,0)),0)</f>
        <v/>
      </c>
      <c r="M153" s="6">
        <f>IFERROR(INDEX('02b_DC_Accelerator_Mix'!$J$2:$J$977,MATCH(G153,'02b_DC_Accelerator_Mix'!$A$2:$A$977,0)),0)</f>
        <v/>
      </c>
      <c r="N153" s="6">
        <f>IFERROR(INDEX('02b_DC_Accelerator_Mix'!$K$2:$K$977,MATCH(G153,'02b_DC_Accelerator_Mix'!$A$2:$A$977,0)),0)</f>
        <v/>
      </c>
      <c r="O153" s="6">
        <f>IFERROR(INDEX('02b_DC_Accelerator_Mix'!$L$2:$L$977,MATCH(G153,'02b_DC_Accelerator_Mix'!$A$2:$A$977,0)),0)</f>
        <v/>
      </c>
      <c r="P153" s="6">
        <f>IFERROR(INDEX('02b_DC_Accelerator_Mix'!$M$2:$M$977,MATCH(G153,'02b_DC_Accelerator_Mix'!$A$2:$A$977,0)),0)</f>
        <v/>
      </c>
      <c r="Q153" s="6">
        <f>IFERROR(INDEX('02b_DC_Accelerator_Mix'!$N$2:$N$977,MATCH(G153,'02b_DC_Accelerator_Mix'!$A$2:$A$977,0)),0)</f>
        <v/>
      </c>
      <c r="R153" s="28">
        <f>H153*I153</f>
        <v/>
      </c>
      <c r="S153" s="28">
        <f>H153*J153</f>
        <v/>
      </c>
      <c r="T153" s="28">
        <f>H153*K153</f>
        <v/>
      </c>
      <c r="U153" s="28">
        <f>H153*L153</f>
        <v/>
      </c>
      <c r="V153" s="28">
        <f>H153*M153</f>
        <v/>
      </c>
      <c r="W153" s="28">
        <f>H153*N153</f>
        <v/>
      </c>
      <c r="X153" s="28">
        <f>H153*O153</f>
        <v/>
      </c>
      <c r="Y153" s="28">
        <f>H153*P153</f>
        <v/>
      </c>
      <c r="Z153" s="28">
        <f>H153*Q153</f>
        <v/>
      </c>
      <c r="AA153" s="28">
        <f>SUM(U153:Z153)</f>
        <v/>
      </c>
      <c r="AB153" s="5">
        <f>IF(COUNTIF('02b_DC_Accelerator_Mix'!$A$2:$A$977,G153)&gt;0,"matched","missing_mix")</f>
        <v/>
      </c>
    </row>
    <row r="154">
      <c r="A154" s="5">
        <f>'02a_DC_Capacity_Alloc'!A154</f>
        <v/>
      </c>
      <c r="B154" s="5">
        <f>'02a_DC_Capacity_Alloc'!B154</f>
        <v/>
      </c>
      <c r="C154" s="5">
        <f>'02a_DC_Capacity_Alloc'!C154</f>
        <v/>
      </c>
      <c r="D154" s="5">
        <f>'02a_DC_Capacity_Alloc'!D154</f>
        <v/>
      </c>
      <c r="E154" s="5">
        <f>'02a_DC_Capacity_Alloc'!E154</f>
        <v/>
      </c>
      <c r="F154" s="5">
        <f>'02a_DC_Capacity_Alloc'!F154</f>
        <v/>
      </c>
      <c r="G154" s="5">
        <f>B154&amp;"|"&amp;E154&amp;"|"&amp;D154</f>
        <v/>
      </c>
      <c r="H154" s="28">
        <f>'02a_DC_Capacity_Alloc'!H154*'02a_DC_Capacity_Alloc'!I154*'02a_DC_Capacity_Alloc'!J154</f>
        <v/>
      </c>
      <c r="I154" s="6">
        <f>IFERROR(INDEX('02b_DC_Accelerator_Mix'!$F$2:$F$977,MATCH(G154,'02b_DC_Accelerator_Mix'!$A$2:$A$977,0)),0)</f>
        <v/>
      </c>
      <c r="J154" s="6">
        <f>IFERROR(INDEX('02b_DC_Accelerator_Mix'!$G$2:$G$977,MATCH(G154,'02b_DC_Accelerator_Mix'!$A$2:$A$977,0)),0)</f>
        <v/>
      </c>
      <c r="K154" s="6">
        <f>IFERROR(INDEX('02b_DC_Accelerator_Mix'!$H$2:$H$977,MATCH(G154,'02b_DC_Accelerator_Mix'!$A$2:$A$977,0)),0)</f>
        <v/>
      </c>
      <c r="L154" s="6">
        <f>IFERROR(INDEX('02b_DC_Accelerator_Mix'!$I$2:$I$977,MATCH(G154,'02b_DC_Accelerator_Mix'!$A$2:$A$977,0)),0)</f>
        <v/>
      </c>
      <c r="M154" s="6">
        <f>IFERROR(INDEX('02b_DC_Accelerator_Mix'!$J$2:$J$977,MATCH(G154,'02b_DC_Accelerator_Mix'!$A$2:$A$977,0)),0)</f>
        <v/>
      </c>
      <c r="N154" s="6">
        <f>IFERROR(INDEX('02b_DC_Accelerator_Mix'!$K$2:$K$977,MATCH(G154,'02b_DC_Accelerator_Mix'!$A$2:$A$977,0)),0)</f>
        <v/>
      </c>
      <c r="O154" s="6">
        <f>IFERROR(INDEX('02b_DC_Accelerator_Mix'!$L$2:$L$977,MATCH(G154,'02b_DC_Accelerator_Mix'!$A$2:$A$977,0)),0)</f>
        <v/>
      </c>
      <c r="P154" s="6">
        <f>IFERROR(INDEX('02b_DC_Accelerator_Mix'!$M$2:$M$977,MATCH(G154,'02b_DC_Accelerator_Mix'!$A$2:$A$977,0)),0)</f>
        <v/>
      </c>
      <c r="Q154" s="6">
        <f>IFERROR(INDEX('02b_DC_Accelerator_Mix'!$N$2:$N$977,MATCH(G154,'02b_DC_Accelerator_Mix'!$A$2:$A$977,0)),0)</f>
        <v/>
      </c>
      <c r="R154" s="28">
        <f>H154*I154</f>
        <v/>
      </c>
      <c r="S154" s="28">
        <f>H154*J154</f>
        <v/>
      </c>
      <c r="T154" s="28">
        <f>H154*K154</f>
        <v/>
      </c>
      <c r="U154" s="28">
        <f>H154*L154</f>
        <v/>
      </c>
      <c r="V154" s="28">
        <f>H154*M154</f>
        <v/>
      </c>
      <c r="W154" s="28">
        <f>H154*N154</f>
        <v/>
      </c>
      <c r="X154" s="28">
        <f>H154*O154</f>
        <v/>
      </c>
      <c r="Y154" s="28">
        <f>H154*P154</f>
        <v/>
      </c>
      <c r="Z154" s="28">
        <f>H154*Q154</f>
        <v/>
      </c>
      <c r="AA154" s="28">
        <f>SUM(U154:Z154)</f>
        <v/>
      </c>
      <c r="AB154" s="5">
        <f>IF(COUNTIF('02b_DC_Accelerator_Mix'!$A$2:$A$977,G154)&gt;0,"matched","missing_mix")</f>
        <v/>
      </c>
    </row>
    <row r="155">
      <c r="A155" s="5">
        <f>'02a_DC_Capacity_Alloc'!A155</f>
        <v/>
      </c>
      <c r="B155" s="5">
        <f>'02a_DC_Capacity_Alloc'!B155</f>
        <v/>
      </c>
      <c r="C155" s="5">
        <f>'02a_DC_Capacity_Alloc'!C155</f>
        <v/>
      </c>
      <c r="D155" s="5">
        <f>'02a_DC_Capacity_Alloc'!D155</f>
        <v/>
      </c>
      <c r="E155" s="5">
        <f>'02a_DC_Capacity_Alloc'!E155</f>
        <v/>
      </c>
      <c r="F155" s="5">
        <f>'02a_DC_Capacity_Alloc'!F155</f>
        <v/>
      </c>
      <c r="G155" s="5">
        <f>B155&amp;"|"&amp;E155&amp;"|"&amp;D155</f>
        <v/>
      </c>
      <c r="H155" s="28">
        <f>'02a_DC_Capacity_Alloc'!H155*'02a_DC_Capacity_Alloc'!I155*'02a_DC_Capacity_Alloc'!J155</f>
        <v/>
      </c>
      <c r="I155" s="6">
        <f>IFERROR(INDEX('02b_DC_Accelerator_Mix'!$F$2:$F$977,MATCH(G155,'02b_DC_Accelerator_Mix'!$A$2:$A$977,0)),0)</f>
        <v/>
      </c>
      <c r="J155" s="6">
        <f>IFERROR(INDEX('02b_DC_Accelerator_Mix'!$G$2:$G$977,MATCH(G155,'02b_DC_Accelerator_Mix'!$A$2:$A$977,0)),0)</f>
        <v/>
      </c>
      <c r="K155" s="6">
        <f>IFERROR(INDEX('02b_DC_Accelerator_Mix'!$H$2:$H$977,MATCH(G155,'02b_DC_Accelerator_Mix'!$A$2:$A$977,0)),0)</f>
        <v/>
      </c>
      <c r="L155" s="6">
        <f>IFERROR(INDEX('02b_DC_Accelerator_Mix'!$I$2:$I$977,MATCH(G155,'02b_DC_Accelerator_Mix'!$A$2:$A$977,0)),0)</f>
        <v/>
      </c>
      <c r="M155" s="6">
        <f>IFERROR(INDEX('02b_DC_Accelerator_Mix'!$J$2:$J$977,MATCH(G155,'02b_DC_Accelerator_Mix'!$A$2:$A$977,0)),0)</f>
        <v/>
      </c>
      <c r="N155" s="6">
        <f>IFERROR(INDEX('02b_DC_Accelerator_Mix'!$K$2:$K$977,MATCH(G155,'02b_DC_Accelerator_Mix'!$A$2:$A$977,0)),0)</f>
        <v/>
      </c>
      <c r="O155" s="6">
        <f>IFERROR(INDEX('02b_DC_Accelerator_Mix'!$L$2:$L$977,MATCH(G155,'02b_DC_Accelerator_Mix'!$A$2:$A$977,0)),0)</f>
        <v/>
      </c>
      <c r="P155" s="6">
        <f>IFERROR(INDEX('02b_DC_Accelerator_Mix'!$M$2:$M$977,MATCH(G155,'02b_DC_Accelerator_Mix'!$A$2:$A$977,0)),0)</f>
        <v/>
      </c>
      <c r="Q155" s="6">
        <f>IFERROR(INDEX('02b_DC_Accelerator_Mix'!$N$2:$N$977,MATCH(G155,'02b_DC_Accelerator_Mix'!$A$2:$A$977,0)),0)</f>
        <v/>
      </c>
      <c r="R155" s="28">
        <f>H155*I155</f>
        <v/>
      </c>
      <c r="S155" s="28">
        <f>H155*J155</f>
        <v/>
      </c>
      <c r="T155" s="28">
        <f>H155*K155</f>
        <v/>
      </c>
      <c r="U155" s="28">
        <f>H155*L155</f>
        <v/>
      </c>
      <c r="V155" s="28">
        <f>H155*M155</f>
        <v/>
      </c>
      <c r="W155" s="28">
        <f>H155*N155</f>
        <v/>
      </c>
      <c r="X155" s="28">
        <f>H155*O155</f>
        <v/>
      </c>
      <c r="Y155" s="28">
        <f>H155*P155</f>
        <v/>
      </c>
      <c r="Z155" s="28">
        <f>H155*Q155</f>
        <v/>
      </c>
      <c r="AA155" s="28">
        <f>SUM(U155:Z155)</f>
        <v/>
      </c>
      <c r="AB155" s="5">
        <f>IF(COUNTIF('02b_DC_Accelerator_Mix'!$A$2:$A$977,G155)&gt;0,"matched","missing_mix")</f>
        <v/>
      </c>
    </row>
    <row r="156">
      <c r="A156" s="5">
        <f>'02a_DC_Capacity_Alloc'!A156</f>
        <v/>
      </c>
      <c r="B156" s="5">
        <f>'02a_DC_Capacity_Alloc'!B156</f>
        <v/>
      </c>
      <c r="C156" s="5">
        <f>'02a_DC_Capacity_Alloc'!C156</f>
        <v/>
      </c>
      <c r="D156" s="5">
        <f>'02a_DC_Capacity_Alloc'!D156</f>
        <v/>
      </c>
      <c r="E156" s="5">
        <f>'02a_DC_Capacity_Alloc'!E156</f>
        <v/>
      </c>
      <c r="F156" s="5">
        <f>'02a_DC_Capacity_Alloc'!F156</f>
        <v/>
      </c>
      <c r="G156" s="5">
        <f>B156&amp;"|"&amp;E156&amp;"|"&amp;D156</f>
        <v/>
      </c>
      <c r="H156" s="28">
        <f>'02a_DC_Capacity_Alloc'!H156*'02a_DC_Capacity_Alloc'!I156*'02a_DC_Capacity_Alloc'!J156</f>
        <v/>
      </c>
      <c r="I156" s="6">
        <f>IFERROR(INDEX('02b_DC_Accelerator_Mix'!$F$2:$F$977,MATCH(G156,'02b_DC_Accelerator_Mix'!$A$2:$A$977,0)),0)</f>
        <v/>
      </c>
      <c r="J156" s="6">
        <f>IFERROR(INDEX('02b_DC_Accelerator_Mix'!$G$2:$G$977,MATCH(G156,'02b_DC_Accelerator_Mix'!$A$2:$A$977,0)),0)</f>
        <v/>
      </c>
      <c r="K156" s="6">
        <f>IFERROR(INDEX('02b_DC_Accelerator_Mix'!$H$2:$H$977,MATCH(G156,'02b_DC_Accelerator_Mix'!$A$2:$A$977,0)),0)</f>
        <v/>
      </c>
      <c r="L156" s="6">
        <f>IFERROR(INDEX('02b_DC_Accelerator_Mix'!$I$2:$I$977,MATCH(G156,'02b_DC_Accelerator_Mix'!$A$2:$A$977,0)),0)</f>
        <v/>
      </c>
      <c r="M156" s="6">
        <f>IFERROR(INDEX('02b_DC_Accelerator_Mix'!$J$2:$J$977,MATCH(G156,'02b_DC_Accelerator_Mix'!$A$2:$A$977,0)),0)</f>
        <v/>
      </c>
      <c r="N156" s="6">
        <f>IFERROR(INDEX('02b_DC_Accelerator_Mix'!$K$2:$K$977,MATCH(G156,'02b_DC_Accelerator_Mix'!$A$2:$A$977,0)),0)</f>
        <v/>
      </c>
      <c r="O156" s="6">
        <f>IFERROR(INDEX('02b_DC_Accelerator_Mix'!$L$2:$L$977,MATCH(G156,'02b_DC_Accelerator_Mix'!$A$2:$A$977,0)),0)</f>
        <v/>
      </c>
      <c r="P156" s="6">
        <f>IFERROR(INDEX('02b_DC_Accelerator_Mix'!$M$2:$M$977,MATCH(G156,'02b_DC_Accelerator_Mix'!$A$2:$A$977,0)),0)</f>
        <v/>
      </c>
      <c r="Q156" s="6">
        <f>IFERROR(INDEX('02b_DC_Accelerator_Mix'!$N$2:$N$977,MATCH(G156,'02b_DC_Accelerator_Mix'!$A$2:$A$977,0)),0)</f>
        <v/>
      </c>
      <c r="R156" s="28">
        <f>H156*I156</f>
        <v/>
      </c>
      <c r="S156" s="28">
        <f>H156*J156</f>
        <v/>
      </c>
      <c r="T156" s="28">
        <f>H156*K156</f>
        <v/>
      </c>
      <c r="U156" s="28">
        <f>H156*L156</f>
        <v/>
      </c>
      <c r="V156" s="28">
        <f>H156*M156</f>
        <v/>
      </c>
      <c r="W156" s="28">
        <f>H156*N156</f>
        <v/>
      </c>
      <c r="X156" s="28">
        <f>H156*O156</f>
        <v/>
      </c>
      <c r="Y156" s="28">
        <f>H156*P156</f>
        <v/>
      </c>
      <c r="Z156" s="28">
        <f>H156*Q156</f>
        <v/>
      </c>
      <c r="AA156" s="28">
        <f>SUM(U156:Z156)</f>
        <v/>
      </c>
      <c r="AB156" s="5">
        <f>IF(COUNTIF('02b_DC_Accelerator_Mix'!$A$2:$A$977,G156)&gt;0,"matched","missing_mix")</f>
        <v/>
      </c>
    </row>
    <row r="157">
      <c r="A157" s="5">
        <f>'02a_DC_Capacity_Alloc'!A157</f>
        <v/>
      </c>
      <c r="B157" s="5">
        <f>'02a_DC_Capacity_Alloc'!B157</f>
        <v/>
      </c>
      <c r="C157" s="5">
        <f>'02a_DC_Capacity_Alloc'!C157</f>
        <v/>
      </c>
      <c r="D157" s="5">
        <f>'02a_DC_Capacity_Alloc'!D157</f>
        <v/>
      </c>
      <c r="E157" s="5">
        <f>'02a_DC_Capacity_Alloc'!E157</f>
        <v/>
      </c>
      <c r="F157" s="5">
        <f>'02a_DC_Capacity_Alloc'!F157</f>
        <v/>
      </c>
      <c r="G157" s="5">
        <f>B157&amp;"|"&amp;E157&amp;"|"&amp;D157</f>
        <v/>
      </c>
      <c r="H157" s="28">
        <f>'02a_DC_Capacity_Alloc'!H157*'02a_DC_Capacity_Alloc'!I157*'02a_DC_Capacity_Alloc'!J157</f>
        <v/>
      </c>
      <c r="I157" s="6">
        <f>IFERROR(INDEX('02b_DC_Accelerator_Mix'!$F$2:$F$977,MATCH(G157,'02b_DC_Accelerator_Mix'!$A$2:$A$977,0)),0)</f>
        <v/>
      </c>
      <c r="J157" s="6">
        <f>IFERROR(INDEX('02b_DC_Accelerator_Mix'!$G$2:$G$977,MATCH(G157,'02b_DC_Accelerator_Mix'!$A$2:$A$977,0)),0)</f>
        <v/>
      </c>
      <c r="K157" s="6">
        <f>IFERROR(INDEX('02b_DC_Accelerator_Mix'!$H$2:$H$977,MATCH(G157,'02b_DC_Accelerator_Mix'!$A$2:$A$977,0)),0)</f>
        <v/>
      </c>
      <c r="L157" s="6">
        <f>IFERROR(INDEX('02b_DC_Accelerator_Mix'!$I$2:$I$977,MATCH(G157,'02b_DC_Accelerator_Mix'!$A$2:$A$977,0)),0)</f>
        <v/>
      </c>
      <c r="M157" s="6">
        <f>IFERROR(INDEX('02b_DC_Accelerator_Mix'!$J$2:$J$977,MATCH(G157,'02b_DC_Accelerator_Mix'!$A$2:$A$977,0)),0)</f>
        <v/>
      </c>
      <c r="N157" s="6">
        <f>IFERROR(INDEX('02b_DC_Accelerator_Mix'!$K$2:$K$977,MATCH(G157,'02b_DC_Accelerator_Mix'!$A$2:$A$977,0)),0)</f>
        <v/>
      </c>
      <c r="O157" s="6">
        <f>IFERROR(INDEX('02b_DC_Accelerator_Mix'!$L$2:$L$977,MATCH(G157,'02b_DC_Accelerator_Mix'!$A$2:$A$977,0)),0)</f>
        <v/>
      </c>
      <c r="P157" s="6">
        <f>IFERROR(INDEX('02b_DC_Accelerator_Mix'!$M$2:$M$977,MATCH(G157,'02b_DC_Accelerator_Mix'!$A$2:$A$977,0)),0)</f>
        <v/>
      </c>
      <c r="Q157" s="6">
        <f>IFERROR(INDEX('02b_DC_Accelerator_Mix'!$N$2:$N$977,MATCH(G157,'02b_DC_Accelerator_Mix'!$A$2:$A$977,0)),0)</f>
        <v/>
      </c>
      <c r="R157" s="28">
        <f>H157*I157</f>
        <v/>
      </c>
      <c r="S157" s="28">
        <f>H157*J157</f>
        <v/>
      </c>
      <c r="T157" s="28">
        <f>H157*K157</f>
        <v/>
      </c>
      <c r="U157" s="28">
        <f>H157*L157</f>
        <v/>
      </c>
      <c r="V157" s="28">
        <f>H157*M157</f>
        <v/>
      </c>
      <c r="W157" s="28">
        <f>H157*N157</f>
        <v/>
      </c>
      <c r="X157" s="28">
        <f>H157*O157</f>
        <v/>
      </c>
      <c r="Y157" s="28">
        <f>H157*P157</f>
        <v/>
      </c>
      <c r="Z157" s="28">
        <f>H157*Q157</f>
        <v/>
      </c>
      <c r="AA157" s="28">
        <f>SUM(U157:Z157)</f>
        <v/>
      </c>
      <c r="AB157" s="5">
        <f>IF(COUNTIF('02b_DC_Accelerator_Mix'!$A$2:$A$977,G157)&gt;0,"matched","missing_mix")</f>
        <v/>
      </c>
    </row>
    <row r="158">
      <c r="A158" s="5">
        <f>'02a_DC_Capacity_Alloc'!A158</f>
        <v/>
      </c>
      <c r="B158" s="5">
        <f>'02a_DC_Capacity_Alloc'!B158</f>
        <v/>
      </c>
      <c r="C158" s="5">
        <f>'02a_DC_Capacity_Alloc'!C158</f>
        <v/>
      </c>
      <c r="D158" s="5">
        <f>'02a_DC_Capacity_Alloc'!D158</f>
        <v/>
      </c>
      <c r="E158" s="5">
        <f>'02a_DC_Capacity_Alloc'!E158</f>
        <v/>
      </c>
      <c r="F158" s="5">
        <f>'02a_DC_Capacity_Alloc'!F158</f>
        <v/>
      </c>
      <c r="G158" s="5">
        <f>B158&amp;"|"&amp;E158&amp;"|"&amp;D158</f>
        <v/>
      </c>
      <c r="H158" s="28">
        <f>'02a_DC_Capacity_Alloc'!H158*'02a_DC_Capacity_Alloc'!I158*'02a_DC_Capacity_Alloc'!J158</f>
        <v/>
      </c>
      <c r="I158" s="6">
        <f>IFERROR(INDEX('02b_DC_Accelerator_Mix'!$F$2:$F$977,MATCH(G158,'02b_DC_Accelerator_Mix'!$A$2:$A$977,0)),0)</f>
        <v/>
      </c>
      <c r="J158" s="6">
        <f>IFERROR(INDEX('02b_DC_Accelerator_Mix'!$G$2:$G$977,MATCH(G158,'02b_DC_Accelerator_Mix'!$A$2:$A$977,0)),0)</f>
        <v/>
      </c>
      <c r="K158" s="6">
        <f>IFERROR(INDEX('02b_DC_Accelerator_Mix'!$H$2:$H$977,MATCH(G158,'02b_DC_Accelerator_Mix'!$A$2:$A$977,0)),0)</f>
        <v/>
      </c>
      <c r="L158" s="6">
        <f>IFERROR(INDEX('02b_DC_Accelerator_Mix'!$I$2:$I$977,MATCH(G158,'02b_DC_Accelerator_Mix'!$A$2:$A$977,0)),0)</f>
        <v/>
      </c>
      <c r="M158" s="6">
        <f>IFERROR(INDEX('02b_DC_Accelerator_Mix'!$J$2:$J$977,MATCH(G158,'02b_DC_Accelerator_Mix'!$A$2:$A$977,0)),0)</f>
        <v/>
      </c>
      <c r="N158" s="6">
        <f>IFERROR(INDEX('02b_DC_Accelerator_Mix'!$K$2:$K$977,MATCH(G158,'02b_DC_Accelerator_Mix'!$A$2:$A$977,0)),0)</f>
        <v/>
      </c>
      <c r="O158" s="6">
        <f>IFERROR(INDEX('02b_DC_Accelerator_Mix'!$L$2:$L$977,MATCH(G158,'02b_DC_Accelerator_Mix'!$A$2:$A$977,0)),0)</f>
        <v/>
      </c>
      <c r="P158" s="6">
        <f>IFERROR(INDEX('02b_DC_Accelerator_Mix'!$M$2:$M$977,MATCH(G158,'02b_DC_Accelerator_Mix'!$A$2:$A$977,0)),0)</f>
        <v/>
      </c>
      <c r="Q158" s="6">
        <f>IFERROR(INDEX('02b_DC_Accelerator_Mix'!$N$2:$N$977,MATCH(G158,'02b_DC_Accelerator_Mix'!$A$2:$A$977,0)),0)</f>
        <v/>
      </c>
      <c r="R158" s="28">
        <f>H158*I158</f>
        <v/>
      </c>
      <c r="S158" s="28">
        <f>H158*J158</f>
        <v/>
      </c>
      <c r="T158" s="28">
        <f>H158*K158</f>
        <v/>
      </c>
      <c r="U158" s="28">
        <f>H158*L158</f>
        <v/>
      </c>
      <c r="V158" s="28">
        <f>H158*M158</f>
        <v/>
      </c>
      <c r="W158" s="28">
        <f>H158*N158</f>
        <v/>
      </c>
      <c r="X158" s="28">
        <f>H158*O158</f>
        <v/>
      </c>
      <c r="Y158" s="28">
        <f>H158*P158</f>
        <v/>
      </c>
      <c r="Z158" s="28">
        <f>H158*Q158</f>
        <v/>
      </c>
      <c r="AA158" s="28">
        <f>SUM(U158:Z158)</f>
        <v/>
      </c>
      <c r="AB158" s="5">
        <f>IF(COUNTIF('02b_DC_Accelerator_Mix'!$A$2:$A$977,G158)&gt;0,"matched","missing_mix")</f>
        <v/>
      </c>
    </row>
    <row r="159">
      <c r="A159" s="5">
        <f>'02a_DC_Capacity_Alloc'!A159</f>
        <v/>
      </c>
      <c r="B159" s="5">
        <f>'02a_DC_Capacity_Alloc'!B159</f>
        <v/>
      </c>
      <c r="C159" s="5">
        <f>'02a_DC_Capacity_Alloc'!C159</f>
        <v/>
      </c>
      <c r="D159" s="5">
        <f>'02a_DC_Capacity_Alloc'!D159</f>
        <v/>
      </c>
      <c r="E159" s="5">
        <f>'02a_DC_Capacity_Alloc'!E159</f>
        <v/>
      </c>
      <c r="F159" s="5">
        <f>'02a_DC_Capacity_Alloc'!F159</f>
        <v/>
      </c>
      <c r="G159" s="5">
        <f>B159&amp;"|"&amp;E159&amp;"|"&amp;D159</f>
        <v/>
      </c>
      <c r="H159" s="28">
        <f>'02a_DC_Capacity_Alloc'!H159*'02a_DC_Capacity_Alloc'!I159*'02a_DC_Capacity_Alloc'!J159</f>
        <v/>
      </c>
      <c r="I159" s="6">
        <f>IFERROR(INDEX('02b_DC_Accelerator_Mix'!$F$2:$F$977,MATCH(G159,'02b_DC_Accelerator_Mix'!$A$2:$A$977,0)),0)</f>
        <v/>
      </c>
      <c r="J159" s="6">
        <f>IFERROR(INDEX('02b_DC_Accelerator_Mix'!$G$2:$G$977,MATCH(G159,'02b_DC_Accelerator_Mix'!$A$2:$A$977,0)),0)</f>
        <v/>
      </c>
      <c r="K159" s="6">
        <f>IFERROR(INDEX('02b_DC_Accelerator_Mix'!$H$2:$H$977,MATCH(G159,'02b_DC_Accelerator_Mix'!$A$2:$A$977,0)),0)</f>
        <v/>
      </c>
      <c r="L159" s="6">
        <f>IFERROR(INDEX('02b_DC_Accelerator_Mix'!$I$2:$I$977,MATCH(G159,'02b_DC_Accelerator_Mix'!$A$2:$A$977,0)),0)</f>
        <v/>
      </c>
      <c r="M159" s="6">
        <f>IFERROR(INDEX('02b_DC_Accelerator_Mix'!$J$2:$J$977,MATCH(G159,'02b_DC_Accelerator_Mix'!$A$2:$A$977,0)),0)</f>
        <v/>
      </c>
      <c r="N159" s="6">
        <f>IFERROR(INDEX('02b_DC_Accelerator_Mix'!$K$2:$K$977,MATCH(G159,'02b_DC_Accelerator_Mix'!$A$2:$A$977,0)),0)</f>
        <v/>
      </c>
      <c r="O159" s="6">
        <f>IFERROR(INDEX('02b_DC_Accelerator_Mix'!$L$2:$L$977,MATCH(G159,'02b_DC_Accelerator_Mix'!$A$2:$A$977,0)),0)</f>
        <v/>
      </c>
      <c r="P159" s="6">
        <f>IFERROR(INDEX('02b_DC_Accelerator_Mix'!$M$2:$M$977,MATCH(G159,'02b_DC_Accelerator_Mix'!$A$2:$A$977,0)),0)</f>
        <v/>
      </c>
      <c r="Q159" s="6">
        <f>IFERROR(INDEX('02b_DC_Accelerator_Mix'!$N$2:$N$977,MATCH(G159,'02b_DC_Accelerator_Mix'!$A$2:$A$977,0)),0)</f>
        <v/>
      </c>
      <c r="R159" s="28">
        <f>H159*I159</f>
        <v/>
      </c>
      <c r="S159" s="28">
        <f>H159*J159</f>
        <v/>
      </c>
      <c r="T159" s="28">
        <f>H159*K159</f>
        <v/>
      </c>
      <c r="U159" s="28">
        <f>H159*L159</f>
        <v/>
      </c>
      <c r="V159" s="28">
        <f>H159*M159</f>
        <v/>
      </c>
      <c r="W159" s="28">
        <f>H159*N159</f>
        <v/>
      </c>
      <c r="X159" s="28">
        <f>H159*O159</f>
        <v/>
      </c>
      <c r="Y159" s="28">
        <f>H159*P159</f>
        <v/>
      </c>
      <c r="Z159" s="28">
        <f>H159*Q159</f>
        <v/>
      </c>
      <c r="AA159" s="28">
        <f>SUM(U159:Z159)</f>
        <v/>
      </c>
      <c r="AB159" s="5">
        <f>IF(COUNTIF('02b_DC_Accelerator_Mix'!$A$2:$A$977,G159)&gt;0,"matched","missing_mix")</f>
        <v/>
      </c>
    </row>
    <row r="160">
      <c r="A160" s="5">
        <f>'02a_DC_Capacity_Alloc'!A160</f>
        <v/>
      </c>
      <c r="B160" s="5">
        <f>'02a_DC_Capacity_Alloc'!B160</f>
        <v/>
      </c>
      <c r="C160" s="5">
        <f>'02a_DC_Capacity_Alloc'!C160</f>
        <v/>
      </c>
      <c r="D160" s="5">
        <f>'02a_DC_Capacity_Alloc'!D160</f>
        <v/>
      </c>
      <c r="E160" s="5">
        <f>'02a_DC_Capacity_Alloc'!E160</f>
        <v/>
      </c>
      <c r="F160" s="5">
        <f>'02a_DC_Capacity_Alloc'!F160</f>
        <v/>
      </c>
      <c r="G160" s="5">
        <f>B160&amp;"|"&amp;E160&amp;"|"&amp;D160</f>
        <v/>
      </c>
      <c r="H160" s="28">
        <f>'02a_DC_Capacity_Alloc'!H160*'02a_DC_Capacity_Alloc'!I160*'02a_DC_Capacity_Alloc'!J160</f>
        <v/>
      </c>
      <c r="I160" s="6">
        <f>IFERROR(INDEX('02b_DC_Accelerator_Mix'!$F$2:$F$977,MATCH(G160,'02b_DC_Accelerator_Mix'!$A$2:$A$977,0)),0)</f>
        <v/>
      </c>
      <c r="J160" s="6">
        <f>IFERROR(INDEX('02b_DC_Accelerator_Mix'!$G$2:$G$977,MATCH(G160,'02b_DC_Accelerator_Mix'!$A$2:$A$977,0)),0)</f>
        <v/>
      </c>
      <c r="K160" s="6">
        <f>IFERROR(INDEX('02b_DC_Accelerator_Mix'!$H$2:$H$977,MATCH(G160,'02b_DC_Accelerator_Mix'!$A$2:$A$977,0)),0)</f>
        <v/>
      </c>
      <c r="L160" s="6">
        <f>IFERROR(INDEX('02b_DC_Accelerator_Mix'!$I$2:$I$977,MATCH(G160,'02b_DC_Accelerator_Mix'!$A$2:$A$977,0)),0)</f>
        <v/>
      </c>
      <c r="M160" s="6">
        <f>IFERROR(INDEX('02b_DC_Accelerator_Mix'!$J$2:$J$977,MATCH(G160,'02b_DC_Accelerator_Mix'!$A$2:$A$977,0)),0)</f>
        <v/>
      </c>
      <c r="N160" s="6">
        <f>IFERROR(INDEX('02b_DC_Accelerator_Mix'!$K$2:$K$977,MATCH(G160,'02b_DC_Accelerator_Mix'!$A$2:$A$977,0)),0)</f>
        <v/>
      </c>
      <c r="O160" s="6">
        <f>IFERROR(INDEX('02b_DC_Accelerator_Mix'!$L$2:$L$977,MATCH(G160,'02b_DC_Accelerator_Mix'!$A$2:$A$977,0)),0)</f>
        <v/>
      </c>
      <c r="P160" s="6">
        <f>IFERROR(INDEX('02b_DC_Accelerator_Mix'!$M$2:$M$977,MATCH(G160,'02b_DC_Accelerator_Mix'!$A$2:$A$977,0)),0)</f>
        <v/>
      </c>
      <c r="Q160" s="6">
        <f>IFERROR(INDEX('02b_DC_Accelerator_Mix'!$N$2:$N$977,MATCH(G160,'02b_DC_Accelerator_Mix'!$A$2:$A$977,0)),0)</f>
        <v/>
      </c>
      <c r="R160" s="28">
        <f>H160*I160</f>
        <v/>
      </c>
      <c r="S160" s="28">
        <f>H160*J160</f>
        <v/>
      </c>
      <c r="T160" s="28">
        <f>H160*K160</f>
        <v/>
      </c>
      <c r="U160" s="28">
        <f>H160*L160</f>
        <v/>
      </c>
      <c r="V160" s="28">
        <f>H160*M160</f>
        <v/>
      </c>
      <c r="W160" s="28">
        <f>H160*N160</f>
        <v/>
      </c>
      <c r="X160" s="28">
        <f>H160*O160</f>
        <v/>
      </c>
      <c r="Y160" s="28">
        <f>H160*P160</f>
        <v/>
      </c>
      <c r="Z160" s="28">
        <f>H160*Q160</f>
        <v/>
      </c>
      <c r="AA160" s="28">
        <f>SUM(U160:Z160)</f>
        <v/>
      </c>
      <c r="AB160" s="5">
        <f>IF(COUNTIF('02b_DC_Accelerator_Mix'!$A$2:$A$977,G160)&gt;0,"matched","missing_mix")</f>
        <v/>
      </c>
    </row>
    <row r="161">
      <c r="A161" s="5">
        <f>'02a_DC_Capacity_Alloc'!A161</f>
        <v/>
      </c>
      <c r="B161" s="5">
        <f>'02a_DC_Capacity_Alloc'!B161</f>
        <v/>
      </c>
      <c r="C161" s="5">
        <f>'02a_DC_Capacity_Alloc'!C161</f>
        <v/>
      </c>
      <c r="D161" s="5">
        <f>'02a_DC_Capacity_Alloc'!D161</f>
        <v/>
      </c>
      <c r="E161" s="5">
        <f>'02a_DC_Capacity_Alloc'!E161</f>
        <v/>
      </c>
      <c r="F161" s="5">
        <f>'02a_DC_Capacity_Alloc'!F161</f>
        <v/>
      </c>
      <c r="G161" s="5">
        <f>B161&amp;"|"&amp;E161&amp;"|"&amp;D161</f>
        <v/>
      </c>
      <c r="H161" s="28">
        <f>'02a_DC_Capacity_Alloc'!H161*'02a_DC_Capacity_Alloc'!I161*'02a_DC_Capacity_Alloc'!J161</f>
        <v/>
      </c>
      <c r="I161" s="6">
        <f>IFERROR(INDEX('02b_DC_Accelerator_Mix'!$F$2:$F$977,MATCH(G161,'02b_DC_Accelerator_Mix'!$A$2:$A$977,0)),0)</f>
        <v/>
      </c>
      <c r="J161" s="6">
        <f>IFERROR(INDEX('02b_DC_Accelerator_Mix'!$G$2:$G$977,MATCH(G161,'02b_DC_Accelerator_Mix'!$A$2:$A$977,0)),0)</f>
        <v/>
      </c>
      <c r="K161" s="6">
        <f>IFERROR(INDEX('02b_DC_Accelerator_Mix'!$H$2:$H$977,MATCH(G161,'02b_DC_Accelerator_Mix'!$A$2:$A$977,0)),0)</f>
        <v/>
      </c>
      <c r="L161" s="6">
        <f>IFERROR(INDEX('02b_DC_Accelerator_Mix'!$I$2:$I$977,MATCH(G161,'02b_DC_Accelerator_Mix'!$A$2:$A$977,0)),0)</f>
        <v/>
      </c>
      <c r="M161" s="6">
        <f>IFERROR(INDEX('02b_DC_Accelerator_Mix'!$J$2:$J$977,MATCH(G161,'02b_DC_Accelerator_Mix'!$A$2:$A$977,0)),0)</f>
        <v/>
      </c>
      <c r="N161" s="6">
        <f>IFERROR(INDEX('02b_DC_Accelerator_Mix'!$K$2:$K$977,MATCH(G161,'02b_DC_Accelerator_Mix'!$A$2:$A$977,0)),0)</f>
        <v/>
      </c>
      <c r="O161" s="6">
        <f>IFERROR(INDEX('02b_DC_Accelerator_Mix'!$L$2:$L$977,MATCH(G161,'02b_DC_Accelerator_Mix'!$A$2:$A$977,0)),0)</f>
        <v/>
      </c>
      <c r="P161" s="6">
        <f>IFERROR(INDEX('02b_DC_Accelerator_Mix'!$M$2:$M$977,MATCH(G161,'02b_DC_Accelerator_Mix'!$A$2:$A$977,0)),0)</f>
        <v/>
      </c>
      <c r="Q161" s="6">
        <f>IFERROR(INDEX('02b_DC_Accelerator_Mix'!$N$2:$N$977,MATCH(G161,'02b_DC_Accelerator_Mix'!$A$2:$A$977,0)),0)</f>
        <v/>
      </c>
      <c r="R161" s="28">
        <f>H161*I161</f>
        <v/>
      </c>
      <c r="S161" s="28">
        <f>H161*J161</f>
        <v/>
      </c>
      <c r="T161" s="28">
        <f>H161*K161</f>
        <v/>
      </c>
      <c r="U161" s="28">
        <f>H161*L161</f>
        <v/>
      </c>
      <c r="V161" s="28">
        <f>H161*M161</f>
        <v/>
      </c>
      <c r="W161" s="28">
        <f>H161*N161</f>
        <v/>
      </c>
      <c r="X161" s="28">
        <f>H161*O161</f>
        <v/>
      </c>
      <c r="Y161" s="28">
        <f>H161*P161</f>
        <v/>
      </c>
      <c r="Z161" s="28">
        <f>H161*Q161</f>
        <v/>
      </c>
      <c r="AA161" s="28">
        <f>SUM(U161:Z161)</f>
        <v/>
      </c>
      <c r="AB161" s="5">
        <f>IF(COUNTIF('02b_DC_Accelerator_Mix'!$A$2:$A$977,G161)&gt;0,"matched","missing_mix")</f>
        <v/>
      </c>
    </row>
    <row r="162">
      <c r="A162" s="5">
        <f>'02a_DC_Capacity_Alloc'!A162</f>
        <v/>
      </c>
      <c r="B162" s="5">
        <f>'02a_DC_Capacity_Alloc'!B162</f>
        <v/>
      </c>
      <c r="C162" s="5">
        <f>'02a_DC_Capacity_Alloc'!C162</f>
        <v/>
      </c>
      <c r="D162" s="5">
        <f>'02a_DC_Capacity_Alloc'!D162</f>
        <v/>
      </c>
      <c r="E162" s="5">
        <f>'02a_DC_Capacity_Alloc'!E162</f>
        <v/>
      </c>
      <c r="F162" s="5">
        <f>'02a_DC_Capacity_Alloc'!F162</f>
        <v/>
      </c>
      <c r="G162" s="5">
        <f>B162&amp;"|"&amp;E162&amp;"|"&amp;D162</f>
        <v/>
      </c>
      <c r="H162" s="28">
        <f>'02a_DC_Capacity_Alloc'!H162*'02a_DC_Capacity_Alloc'!I162*'02a_DC_Capacity_Alloc'!J162</f>
        <v/>
      </c>
      <c r="I162" s="6">
        <f>IFERROR(INDEX('02b_DC_Accelerator_Mix'!$F$2:$F$977,MATCH(G162,'02b_DC_Accelerator_Mix'!$A$2:$A$977,0)),0)</f>
        <v/>
      </c>
      <c r="J162" s="6">
        <f>IFERROR(INDEX('02b_DC_Accelerator_Mix'!$G$2:$G$977,MATCH(G162,'02b_DC_Accelerator_Mix'!$A$2:$A$977,0)),0)</f>
        <v/>
      </c>
      <c r="K162" s="6">
        <f>IFERROR(INDEX('02b_DC_Accelerator_Mix'!$H$2:$H$977,MATCH(G162,'02b_DC_Accelerator_Mix'!$A$2:$A$977,0)),0)</f>
        <v/>
      </c>
      <c r="L162" s="6">
        <f>IFERROR(INDEX('02b_DC_Accelerator_Mix'!$I$2:$I$977,MATCH(G162,'02b_DC_Accelerator_Mix'!$A$2:$A$977,0)),0)</f>
        <v/>
      </c>
      <c r="M162" s="6">
        <f>IFERROR(INDEX('02b_DC_Accelerator_Mix'!$J$2:$J$977,MATCH(G162,'02b_DC_Accelerator_Mix'!$A$2:$A$977,0)),0)</f>
        <v/>
      </c>
      <c r="N162" s="6">
        <f>IFERROR(INDEX('02b_DC_Accelerator_Mix'!$K$2:$K$977,MATCH(G162,'02b_DC_Accelerator_Mix'!$A$2:$A$977,0)),0)</f>
        <v/>
      </c>
      <c r="O162" s="6">
        <f>IFERROR(INDEX('02b_DC_Accelerator_Mix'!$L$2:$L$977,MATCH(G162,'02b_DC_Accelerator_Mix'!$A$2:$A$977,0)),0)</f>
        <v/>
      </c>
      <c r="P162" s="6">
        <f>IFERROR(INDEX('02b_DC_Accelerator_Mix'!$M$2:$M$977,MATCH(G162,'02b_DC_Accelerator_Mix'!$A$2:$A$977,0)),0)</f>
        <v/>
      </c>
      <c r="Q162" s="6">
        <f>IFERROR(INDEX('02b_DC_Accelerator_Mix'!$N$2:$N$977,MATCH(G162,'02b_DC_Accelerator_Mix'!$A$2:$A$977,0)),0)</f>
        <v/>
      </c>
      <c r="R162" s="28">
        <f>H162*I162</f>
        <v/>
      </c>
      <c r="S162" s="28">
        <f>H162*J162</f>
        <v/>
      </c>
      <c r="T162" s="28">
        <f>H162*K162</f>
        <v/>
      </c>
      <c r="U162" s="28">
        <f>H162*L162</f>
        <v/>
      </c>
      <c r="V162" s="28">
        <f>H162*M162</f>
        <v/>
      </c>
      <c r="W162" s="28">
        <f>H162*N162</f>
        <v/>
      </c>
      <c r="X162" s="28">
        <f>H162*O162</f>
        <v/>
      </c>
      <c r="Y162" s="28">
        <f>H162*P162</f>
        <v/>
      </c>
      <c r="Z162" s="28">
        <f>H162*Q162</f>
        <v/>
      </c>
      <c r="AA162" s="28">
        <f>SUM(U162:Z162)</f>
        <v/>
      </c>
      <c r="AB162" s="5">
        <f>IF(COUNTIF('02b_DC_Accelerator_Mix'!$A$2:$A$977,G162)&gt;0,"matched","missing_mix")</f>
        <v/>
      </c>
    </row>
    <row r="163">
      <c r="A163" s="5">
        <f>'02a_DC_Capacity_Alloc'!A163</f>
        <v/>
      </c>
      <c r="B163" s="5">
        <f>'02a_DC_Capacity_Alloc'!B163</f>
        <v/>
      </c>
      <c r="C163" s="5">
        <f>'02a_DC_Capacity_Alloc'!C163</f>
        <v/>
      </c>
      <c r="D163" s="5">
        <f>'02a_DC_Capacity_Alloc'!D163</f>
        <v/>
      </c>
      <c r="E163" s="5">
        <f>'02a_DC_Capacity_Alloc'!E163</f>
        <v/>
      </c>
      <c r="F163" s="5">
        <f>'02a_DC_Capacity_Alloc'!F163</f>
        <v/>
      </c>
      <c r="G163" s="5">
        <f>B163&amp;"|"&amp;E163&amp;"|"&amp;D163</f>
        <v/>
      </c>
      <c r="H163" s="28">
        <f>'02a_DC_Capacity_Alloc'!H163*'02a_DC_Capacity_Alloc'!I163*'02a_DC_Capacity_Alloc'!J163</f>
        <v/>
      </c>
      <c r="I163" s="6">
        <f>IFERROR(INDEX('02b_DC_Accelerator_Mix'!$F$2:$F$977,MATCH(G163,'02b_DC_Accelerator_Mix'!$A$2:$A$977,0)),0)</f>
        <v/>
      </c>
      <c r="J163" s="6">
        <f>IFERROR(INDEX('02b_DC_Accelerator_Mix'!$G$2:$G$977,MATCH(G163,'02b_DC_Accelerator_Mix'!$A$2:$A$977,0)),0)</f>
        <v/>
      </c>
      <c r="K163" s="6">
        <f>IFERROR(INDEX('02b_DC_Accelerator_Mix'!$H$2:$H$977,MATCH(G163,'02b_DC_Accelerator_Mix'!$A$2:$A$977,0)),0)</f>
        <v/>
      </c>
      <c r="L163" s="6">
        <f>IFERROR(INDEX('02b_DC_Accelerator_Mix'!$I$2:$I$977,MATCH(G163,'02b_DC_Accelerator_Mix'!$A$2:$A$977,0)),0)</f>
        <v/>
      </c>
      <c r="M163" s="6">
        <f>IFERROR(INDEX('02b_DC_Accelerator_Mix'!$J$2:$J$977,MATCH(G163,'02b_DC_Accelerator_Mix'!$A$2:$A$977,0)),0)</f>
        <v/>
      </c>
      <c r="N163" s="6">
        <f>IFERROR(INDEX('02b_DC_Accelerator_Mix'!$K$2:$K$977,MATCH(G163,'02b_DC_Accelerator_Mix'!$A$2:$A$977,0)),0)</f>
        <v/>
      </c>
      <c r="O163" s="6">
        <f>IFERROR(INDEX('02b_DC_Accelerator_Mix'!$L$2:$L$977,MATCH(G163,'02b_DC_Accelerator_Mix'!$A$2:$A$977,0)),0)</f>
        <v/>
      </c>
      <c r="P163" s="6">
        <f>IFERROR(INDEX('02b_DC_Accelerator_Mix'!$M$2:$M$977,MATCH(G163,'02b_DC_Accelerator_Mix'!$A$2:$A$977,0)),0)</f>
        <v/>
      </c>
      <c r="Q163" s="6">
        <f>IFERROR(INDEX('02b_DC_Accelerator_Mix'!$N$2:$N$977,MATCH(G163,'02b_DC_Accelerator_Mix'!$A$2:$A$977,0)),0)</f>
        <v/>
      </c>
      <c r="R163" s="28">
        <f>H163*I163</f>
        <v/>
      </c>
      <c r="S163" s="28">
        <f>H163*J163</f>
        <v/>
      </c>
      <c r="T163" s="28">
        <f>H163*K163</f>
        <v/>
      </c>
      <c r="U163" s="28">
        <f>H163*L163</f>
        <v/>
      </c>
      <c r="V163" s="28">
        <f>H163*M163</f>
        <v/>
      </c>
      <c r="W163" s="28">
        <f>H163*N163</f>
        <v/>
      </c>
      <c r="X163" s="28">
        <f>H163*O163</f>
        <v/>
      </c>
      <c r="Y163" s="28">
        <f>H163*P163</f>
        <v/>
      </c>
      <c r="Z163" s="28">
        <f>H163*Q163</f>
        <v/>
      </c>
      <c r="AA163" s="28">
        <f>SUM(U163:Z163)</f>
        <v/>
      </c>
      <c r="AB163" s="5">
        <f>IF(COUNTIF('02b_DC_Accelerator_Mix'!$A$2:$A$977,G163)&gt;0,"matched","missing_mix")</f>
        <v/>
      </c>
    </row>
    <row r="164">
      <c r="A164" s="5">
        <f>'02a_DC_Capacity_Alloc'!A164</f>
        <v/>
      </c>
      <c r="B164" s="5">
        <f>'02a_DC_Capacity_Alloc'!B164</f>
        <v/>
      </c>
      <c r="C164" s="5">
        <f>'02a_DC_Capacity_Alloc'!C164</f>
        <v/>
      </c>
      <c r="D164" s="5">
        <f>'02a_DC_Capacity_Alloc'!D164</f>
        <v/>
      </c>
      <c r="E164" s="5">
        <f>'02a_DC_Capacity_Alloc'!E164</f>
        <v/>
      </c>
      <c r="F164" s="5">
        <f>'02a_DC_Capacity_Alloc'!F164</f>
        <v/>
      </c>
      <c r="G164" s="5">
        <f>B164&amp;"|"&amp;E164&amp;"|"&amp;D164</f>
        <v/>
      </c>
      <c r="H164" s="28">
        <f>'02a_DC_Capacity_Alloc'!H164*'02a_DC_Capacity_Alloc'!I164*'02a_DC_Capacity_Alloc'!J164</f>
        <v/>
      </c>
      <c r="I164" s="6">
        <f>IFERROR(INDEX('02b_DC_Accelerator_Mix'!$F$2:$F$977,MATCH(G164,'02b_DC_Accelerator_Mix'!$A$2:$A$977,0)),0)</f>
        <v/>
      </c>
      <c r="J164" s="6">
        <f>IFERROR(INDEX('02b_DC_Accelerator_Mix'!$G$2:$G$977,MATCH(G164,'02b_DC_Accelerator_Mix'!$A$2:$A$977,0)),0)</f>
        <v/>
      </c>
      <c r="K164" s="6">
        <f>IFERROR(INDEX('02b_DC_Accelerator_Mix'!$H$2:$H$977,MATCH(G164,'02b_DC_Accelerator_Mix'!$A$2:$A$977,0)),0)</f>
        <v/>
      </c>
      <c r="L164" s="6">
        <f>IFERROR(INDEX('02b_DC_Accelerator_Mix'!$I$2:$I$977,MATCH(G164,'02b_DC_Accelerator_Mix'!$A$2:$A$977,0)),0)</f>
        <v/>
      </c>
      <c r="M164" s="6">
        <f>IFERROR(INDEX('02b_DC_Accelerator_Mix'!$J$2:$J$977,MATCH(G164,'02b_DC_Accelerator_Mix'!$A$2:$A$977,0)),0)</f>
        <v/>
      </c>
      <c r="N164" s="6">
        <f>IFERROR(INDEX('02b_DC_Accelerator_Mix'!$K$2:$K$977,MATCH(G164,'02b_DC_Accelerator_Mix'!$A$2:$A$977,0)),0)</f>
        <v/>
      </c>
      <c r="O164" s="6">
        <f>IFERROR(INDEX('02b_DC_Accelerator_Mix'!$L$2:$L$977,MATCH(G164,'02b_DC_Accelerator_Mix'!$A$2:$A$977,0)),0)</f>
        <v/>
      </c>
      <c r="P164" s="6">
        <f>IFERROR(INDEX('02b_DC_Accelerator_Mix'!$M$2:$M$977,MATCH(G164,'02b_DC_Accelerator_Mix'!$A$2:$A$977,0)),0)</f>
        <v/>
      </c>
      <c r="Q164" s="6">
        <f>IFERROR(INDEX('02b_DC_Accelerator_Mix'!$N$2:$N$977,MATCH(G164,'02b_DC_Accelerator_Mix'!$A$2:$A$977,0)),0)</f>
        <v/>
      </c>
      <c r="R164" s="28">
        <f>H164*I164</f>
        <v/>
      </c>
      <c r="S164" s="28">
        <f>H164*J164</f>
        <v/>
      </c>
      <c r="T164" s="28">
        <f>H164*K164</f>
        <v/>
      </c>
      <c r="U164" s="28">
        <f>H164*L164</f>
        <v/>
      </c>
      <c r="V164" s="28">
        <f>H164*M164</f>
        <v/>
      </c>
      <c r="W164" s="28">
        <f>H164*N164</f>
        <v/>
      </c>
      <c r="X164" s="28">
        <f>H164*O164</f>
        <v/>
      </c>
      <c r="Y164" s="28">
        <f>H164*P164</f>
        <v/>
      </c>
      <c r="Z164" s="28">
        <f>H164*Q164</f>
        <v/>
      </c>
      <c r="AA164" s="28">
        <f>SUM(U164:Z164)</f>
        <v/>
      </c>
      <c r="AB164" s="5">
        <f>IF(COUNTIF('02b_DC_Accelerator_Mix'!$A$2:$A$977,G164)&gt;0,"matched","missing_mix")</f>
        <v/>
      </c>
    </row>
    <row r="165">
      <c r="A165" s="5">
        <f>'02a_DC_Capacity_Alloc'!A165</f>
        <v/>
      </c>
      <c r="B165" s="5">
        <f>'02a_DC_Capacity_Alloc'!B165</f>
        <v/>
      </c>
      <c r="C165" s="5">
        <f>'02a_DC_Capacity_Alloc'!C165</f>
        <v/>
      </c>
      <c r="D165" s="5">
        <f>'02a_DC_Capacity_Alloc'!D165</f>
        <v/>
      </c>
      <c r="E165" s="5">
        <f>'02a_DC_Capacity_Alloc'!E165</f>
        <v/>
      </c>
      <c r="F165" s="5">
        <f>'02a_DC_Capacity_Alloc'!F165</f>
        <v/>
      </c>
      <c r="G165" s="5">
        <f>B165&amp;"|"&amp;E165&amp;"|"&amp;D165</f>
        <v/>
      </c>
      <c r="H165" s="28">
        <f>'02a_DC_Capacity_Alloc'!H165*'02a_DC_Capacity_Alloc'!I165*'02a_DC_Capacity_Alloc'!J165</f>
        <v/>
      </c>
      <c r="I165" s="6">
        <f>IFERROR(INDEX('02b_DC_Accelerator_Mix'!$F$2:$F$977,MATCH(G165,'02b_DC_Accelerator_Mix'!$A$2:$A$977,0)),0)</f>
        <v/>
      </c>
      <c r="J165" s="6">
        <f>IFERROR(INDEX('02b_DC_Accelerator_Mix'!$G$2:$G$977,MATCH(G165,'02b_DC_Accelerator_Mix'!$A$2:$A$977,0)),0)</f>
        <v/>
      </c>
      <c r="K165" s="6">
        <f>IFERROR(INDEX('02b_DC_Accelerator_Mix'!$H$2:$H$977,MATCH(G165,'02b_DC_Accelerator_Mix'!$A$2:$A$977,0)),0)</f>
        <v/>
      </c>
      <c r="L165" s="6">
        <f>IFERROR(INDEX('02b_DC_Accelerator_Mix'!$I$2:$I$977,MATCH(G165,'02b_DC_Accelerator_Mix'!$A$2:$A$977,0)),0)</f>
        <v/>
      </c>
      <c r="M165" s="6">
        <f>IFERROR(INDEX('02b_DC_Accelerator_Mix'!$J$2:$J$977,MATCH(G165,'02b_DC_Accelerator_Mix'!$A$2:$A$977,0)),0)</f>
        <v/>
      </c>
      <c r="N165" s="6">
        <f>IFERROR(INDEX('02b_DC_Accelerator_Mix'!$K$2:$K$977,MATCH(G165,'02b_DC_Accelerator_Mix'!$A$2:$A$977,0)),0)</f>
        <v/>
      </c>
      <c r="O165" s="6">
        <f>IFERROR(INDEX('02b_DC_Accelerator_Mix'!$L$2:$L$977,MATCH(G165,'02b_DC_Accelerator_Mix'!$A$2:$A$977,0)),0)</f>
        <v/>
      </c>
      <c r="P165" s="6">
        <f>IFERROR(INDEX('02b_DC_Accelerator_Mix'!$M$2:$M$977,MATCH(G165,'02b_DC_Accelerator_Mix'!$A$2:$A$977,0)),0)</f>
        <v/>
      </c>
      <c r="Q165" s="6">
        <f>IFERROR(INDEX('02b_DC_Accelerator_Mix'!$N$2:$N$977,MATCH(G165,'02b_DC_Accelerator_Mix'!$A$2:$A$977,0)),0)</f>
        <v/>
      </c>
      <c r="R165" s="28">
        <f>H165*I165</f>
        <v/>
      </c>
      <c r="S165" s="28">
        <f>H165*J165</f>
        <v/>
      </c>
      <c r="T165" s="28">
        <f>H165*K165</f>
        <v/>
      </c>
      <c r="U165" s="28">
        <f>H165*L165</f>
        <v/>
      </c>
      <c r="V165" s="28">
        <f>H165*M165</f>
        <v/>
      </c>
      <c r="W165" s="28">
        <f>H165*N165</f>
        <v/>
      </c>
      <c r="X165" s="28">
        <f>H165*O165</f>
        <v/>
      </c>
      <c r="Y165" s="28">
        <f>H165*P165</f>
        <v/>
      </c>
      <c r="Z165" s="28">
        <f>H165*Q165</f>
        <v/>
      </c>
      <c r="AA165" s="28">
        <f>SUM(U165:Z165)</f>
        <v/>
      </c>
      <c r="AB165" s="5">
        <f>IF(COUNTIF('02b_DC_Accelerator_Mix'!$A$2:$A$977,G165)&gt;0,"matched","missing_mix")</f>
        <v/>
      </c>
    </row>
    <row r="166">
      <c r="A166" s="5">
        <f>'02a_DC_Capacity_Alloc'!A166</f>
        <v/>
      </c>
      <c r="B166" s="5">
        <f>'02a_DC_Capacity_Alloc'!B166</f>
        <v/>
      </c>
      <c r="C166" s="5">
        <f>'02a_DC_Capacity_Alloc'!C166</f>
        <v/>
      </c>
      <c r="D166" s="5">
        <f>'02a_DC_Capacity_Alloc'!D166</f>
        <v/>
      </c>
      <c r="E166" s="5">
        <f>'02a_DC_Capacity_Alloc'!E166</f>
        <v/>
      </c>
      <c r="F166" s="5">
        <f>'02a_DC_Capacity_Alloc'!F166</f>
        <v/>
      </c>
      <c r="G166" s="5">
        <f>B166&amp;"|"&amp;E166&amp;"|"&amp;D166</f>
        <v/>
      </c>
      <c r="H166" s="28">
        <f>'02a_DC_Capacity_Alloc'!H166*'02a_DC_Capacity_Alloc'!I166*'02a_DC_Capacity_Alloc'!J166</f>
        <v/>
      </c>
      <c r="I166" s="6">
        <f>IFERROR(INDEX('02b_DC_Accelerator_Mix'!$F$2:$F$977,MATCH(G166,'02b_DC_Accelerator_Mix'!$A$2:$A$977,0)),0)</f>
        <v/>
      </c>
      <c r="J166" s="6">
        <f>IFERROR(INDEX('02b_DC_Accelerator_Mix'!$G$2:$G$977,MATCH(G166,'02b_DC_Accelerator_Mix'!$A$2:$A$977,0)),0)</f>
        <v/>
      </c>
      <c r="K166" s="6">
        <f>IFERROR(INDEX('02b_DC_Accelerator_Mix'!$H$2:$H$977,MATCH(G166,'02b_DC_Accelerator_Mix'!$A$2:$A$977,0)),0)</f>
        <v/>
      </c>
      <c r="L166" s="6">
        <f>IFERROR(INDEX('02b_DC_Accelerator_Mix'!$I$2:$I$977,MATCH(G166,'02b_DC_Accelerator_Mix'!$A$2:$A$977,0)),0)</f>
        <v/>
      </c>
      <c r="M166" s="6">
        <f>IFERROR(INDEX('02b_DC_Accelerator_Mix'!$J$2:$J$977,MATCH(G166,'02b_DC_Accelerator_Mix'!$A$2:$A$977,0)),0)</f>
        <v/>
      </c>
      <c r="N166" s="6">
        <f>IFERROR(INDEX('02b_DC_Accelerator_Mix'!$K$2:$K$977,MATCH(G166,'02b_DC_Accelerator_Mix'!$A$2:$A$977,0)),0)</f>
        <v/>
      </c>
      <c r="O166" s="6">
        <f>IFERROR(INDEX('02b_DC_Accelerator_Mix'!$L$2:$L$977,MATCH(G166,'02b_DC_Accelerator_Mix'!$A$2:$A$977,0)),0)</f>
        <v/>
      </c>
      <c r="P166" s="6">
        <f>IFERROR(INDEX('02b_DC_Accelerator_Mix'!$M$2:$M$977,MATCH(G166,'02b_DC_Accelerator_Mix'!$A$2:$A$977,0)),0)</f>
        <v/>
      </c>
      <c r="Q166" s="6">
        <f>IFERROR(INDEX('02b_DC_Accelerator_Mix'!$N$2:$N$977,MATCH(G166,'02b_DC_Accelerator_Mix'!$A$2:$A$977,0)),0)</f>
        <v/>
      </c>
      <c r="R166" s="28">
        <f>H166*I166</f>
        <v/>
      </c>
      <c r="S166" s="28">
        <f>H166*J166</f>
        <v/>
      </c>
      <c r="T166" s="28">
        <f>H166*K166</f>
        <v/>
      </c>
      <c r="U166" s="28">
        <f>H166*L166</f>
        <v/>
      </c>
      <c r="V166" s="28">
        <f>H166*M166</f>
        <v/>
      </c>
      <c r="W166" s="28">
        <f>H166*N166</f>
        <v/>
      </c>
      <c r="X166" s="28">
        <f>H166*O166</f>
        <v/>
      </c>
      <c r="Y166" s="28">
        <f>H166*P166</f>
        <v/>
      </c>
      <c r="Z166" s="28">
        <f>H166*Q166</f>
        <v/>
      </c>
      <c r="AA166" s="28">
        <f>SUM(U166:Z166)</f>
        <v/>
      </c>
      <c r="AB166" s="5">
        <f>IF(COUNTIF('02b_DC_Accelerator_Mix'!$A$2:$A$977,G166)&gt;0,"matched","missing_mix")</f>
        <v/>
      </c>
    </row>
    <row r="167">
      <c r="A167" s="5">
        <f>'02a_DC_Capacity_Alloc'!A167</f>
        <v/>
      </c>
      <c r="B167" s="5">
        <f>'02a_DC_Capacity_Alloc'!B167</f>
        <v/>
      </c>
      <c r="C167" s="5">
        <f>'02a_DC_Capacity_Alloc'!C167</f>
        <v/>
      </c>
      <c r="D167" s="5">
        <f>'02a_DC_Capacity_Alloc'!D167</f>
        <v/>
      </c>
      <c r="E167" s="5">
        <f>'02a_DC_Capacity_Alloc'!E167</f>
        <v/>
      </c>
      <c r="F167" s="5">
        <f>'02a_DC_Capacity_Alloc'!F167</f>
        <v/>
      </c>
      <c r="G167" s="5">
        <f>B167&amp;"|"&amp;E167&amp;"|"&amp;D167</f>
        <v/>
      </c>
      <c r="H167" s="28">
        <f>'02a_DC_Capacity_Alloc'!H167*'02a_DC_Capacity_Alloc'!I167*'02a_DC_Capacity_Alloc'!J167</f>
        <v/>
      </c>
      <c r="I167" s="6">
        <f>IFERROR(INDEX('02b_DC_Accelerator_Mix'!$F$2:$F$977,MATCH(G167,'02b_DC_Accelerator_Mix'!$A$2:$A$977,0)),0)</f>
        <v/>
      </c>
      <c r="J167" s="6">
        <f>IFERROR(INDEX('02b_DC_Accelerator_Mix'!$G$2:$G$977,MATCH(G167,'02b_DC_Accelerator_Mix'!$A$2:$A$977,0)),0)</f>
        <v/>
      </c>
      <c r="K167" s="6">
        <f>IFERROR(INDEX('02b_DC_Accelerator_Mix'!$H$2:$H$977,MATCH(G167,'02b_DC_Accelerator_Mix'!$A$2:$A$977,0)),0)</f>
        <v/>
      </c>
      <c r="L167" s="6">
        <f>IFERROR(INDEX('02b_DC_Accelerator_Mix'!$I$2:$I$977,MATCH(G167,'02b_DC_Accelerator_Mix'!$A$2:$A$977,0)),0)</f>
        <v/>
      </c>
      <c r="M167" s="6">
        <f>IFERROR(INDEX('02b_DC_Accelerator_Mix'!$J$2:$J$977,MATCH(G167,'02b_DC_Accelerator_Mix'!$A$2:$A$977,0)),0)</f>
        <v/>
      </c>
      <c r="N167" s="6">
        <f>IFERROR(INDEX('02b_DC_Accelerator_Mix'!$K$2:$K$977,MATCH(G167,'02b_DC_Accelerator_Mix'!$A$2:$A$977,0)),0)</f>
        <v/>
      </c>
      <c r="O167" s="6">
        <f>IFERROR(INDEX('02b_DC_Accelerator_Mix'!$L$2:$L$977,MATCH(G167,'02b_DC_Accelerator_Mix'!$A$2:$A$977,0)),0)</f>
        <v/>
      </c>
      <c r="P167" s="6">
        <f>IFERROR(INDEX('02b_DC_Accelerator_Mix'!$M$2:$M$977,MATCH(G167,'02b_DC_Accelerator_Mix'!$A$2:$A$977,0)),0)</f>
        <v/>
      </c>
      <c r="Q167" s="6">
        <f>IFERROR(INDEX('02b_DC_Accelerator_Mix'!$N$2:$N$977,MATCH(G167,'02b_DC_Accelerator_Mix'!$A$2:$A$977,0)),0)</f>
        <v/>
      </c>
      <c r="R167" s="28">
        <f>H167*I167</f>
        <v/>
      </c>
      <c r="S167" s="28">
        <f>H167*J167</f>
        <v/>
      </c>
      <c r="T167" s="28">
        <f>H167*K167</f>
        <v/>
      </c>
      <c r="U167" s="28">
        <f>H167*L167</f>
        <v/>
      </c>
      <c r="V167" s="28">
        <f>H167*M167</f>
        <v/>
      </c>
      <c r="W167" s="28">
        <f>H167*N167</f>
        <v/>
      </c>
      <c r="X167" s="28">
        <f>H167*O167</f>
        <v/>
      </c>
      <c r="Y167" s="28">
        <f>H167*P167</f>
        <v/>
      </c>
      <c r="Z167" s="28">
        <f>H167*Q167</f>
        <v/>
      </c>
      <c r="AA167" s="28">
        <f>SUM(U167:Z167)</f>
        <v/>
      </c>
      <c r="AB167" s="5">
        <f>IF(COUNTIF('02b_DC_Accelerator_Mix'!$A$2:$A$977,G167)&gt;0,"matched","missing_mix")</f>
        <v/>
      </c>
    </row>
    <row r="168">
      <c r="A168" s="5">
        <f>'02a_DC_Capacity_Alloc'!A168</f>
        <v/>
      </c>
      <c r="B168" s="5">
        <f>'02a_DC_Capacity_Alloc'!B168</f>
        <v/>
      </c>
      <c r="C168" s="5">
        <f>'02a_DC_Capacity_Alloc'!C168</f>
        <v/>
      </c>
      <c r="D168" s="5">
        <f>'02a_DC_Capacity_Alloc'!D168</f>
        <v/>
      </c>
      <c r="E168" s="5">
        <f>'02a_DC_Capacity_Alloc'!E168</f>
        <v/>
      </c>
      <c r="F168" s="5">
        <f>'02a_DC_Capacity_Alloc'!F168</f>
        <v/>
      </c>
      <c r="G168" s="5">
        <f>B168&amp;"|"&amp;E168&amp;"|"&amp;D168</f>
        <v/>
      </c>
      <c r="H168" s="28">
        <f>'02a_DC_Capacity_Alloc'!H168*'02a_DC_Capacity_Alloc'!I168*'02a_DC_Capacity_Alloc'!J168</f>
        <v/>
      </c>
      <c r="I168" s="6">
        <f>IFERROR(INDEX('02b_DC_Accelerator_Mix'!$F$2:$F$977,MATCH(G168,'02b_DC_Accelerator_Mix'!$A$2:$A$977,0)),0)</f>
        <v/>
      </c>
      <c r="J168" s="6">
        <f>IFERROR(INDEX('02b_DC_Accelerator_Mix'!$G$2:$G$977,MATCH(G168,'02b_DC_Accelerator_Mix'!$A$2:$A$977,0)),0)</f>
        <v/>
      </c>
      <c r="K168" s="6">
        <f>IFERROR(INDEX('02b_DC_Accelerator_Mix'!$H$2:$H$977,MATCH(G168,'02b_DC_Accelerator_Mix'!$A$2:$A$977,0)),0)</f>
        <v/>
      </c>
      <c r="L168" s="6">
        <f>IFERROR(INDEX('02b_DC_Accelerator_Mix'!$I$2:$I$977,MATCH(G168,'02b_DC_Accelerator_Mix'!$A$2:$A$977,0)),0)</f>
        <v/>
      </c>
      <c r="M168" s="6">
        <f>IFERROR(INDEX('02b_DC_Accelerator_Mix'!$J$2:$J$977,MATCH(G168,'02b_DC_Accelerator_Mix'!$A$2:$A$977,0)),0)</f>
        <v/>
      </c>
      <c r="N168" s="6">
        <f>IFERROR(INDEX('02b_DC_Accelerator_Mix'!$K$2:$K$977,MATCH(G168,'02b_DC_Accelerator_Mix'!$A$2:$A$977,0)),0)</f>
        <v/>
      </c>
      <c r="O168" s="6">
        <f>IFERROR(INDEX('02b_DC_Accelerator_Mix'!$L$2:$L$977,MATCH(G168,'02b_DC_Accelerator_Mix'!$A$2:$A$977,0)),0)</f>
        <v/>
      </c>
      <c r="P168" s="6">
        <f>IFERROR(INDEX('02b_DC_Accelerator_Mix'!$M$2:$M$977,MATCH(G168,'02b_DC_Accelerator_Mix'!$A$2:$A$977,0)),0)</f>
        <v/>
      </c>
      <c r="Q168" s="6">
        <f>IFERROR(INDEX('02b_DC_Accelerator_Mix'!$N$2:$N$977,MATCH(G168,'02b_DC_Accelerator_Mix'!$A$2:$A$977,0)),0)</f>
        <v/>
      </c>
      <c r="R168" s="28">
        <f>H168*I168</f>
        <v/>
      </c>
      <c r="S168" s="28">
        <f>H168*J168</f>
        <v/>
      </c>
      <c r="T168" s="28">
        <f>H168*K168</f>
        <v/>
      </c>
      <c r="U168" s="28">
        <f>H168*L168</f>
        <v/>
      </c>
      <c r="V168" s="28">
        <f>H168*M168</f>
        <v/>
      </c>
      <c r="W168" s="28">
        <f>H168*N168</f>
        <v/>
      </c>
      <c r="X168" s="28">
        <f>H168*O168</f>
        <v/>
      </c>
      <c r="Y168" s="28">
        <f>H168*P168</f>
        <v/>
      </c>
      <c r="Z168" s="28">
        <f>H168*Q168</f>
        <v/>
      </c>
      <c r="AA168" s="28">
        <f>SUM(U168:Z168)</f>
        <v/>
      </c>
      <c r="AB168" s="5">
        <f>IF(COUNTIF('02b_DC_Accelerator_Mix'!$A$2:$A$977,G168)&gt;0,"matched","missing_mix")</f>
        <v/>
      </c>
    </row>
    <row r="169">
      <c r="A169" s="5">
        <f>'02a_DC_Capacity_Alloc'!A169</f>
        <v/>
      </c>
      <c r="B169" s="5">
        <f>'02a_DC_Capacity_Alloc'!B169</f>
        <v/>
      </c>
      <c r="C169" s="5">
        <f>'02a_DC_Capacity_Alloc'!C169</f>
        <v/>
      </c>
      <c r="D169" s="5">
        <f>'02a_DC_Capacity_Alloc'!D169</f>
        <v/>
      </c>
      <c r="E169" s="5">
        <f>'02a_DC_Capacity_Alloc'!E169</f>
        <v/>
      </c>
      <c r="F169" s="5">
        <f>'02a_DC_Capacity_Alloc'!F169</f>
        <v/>
      </c>
      <c r="G169" s="5">
        <f>B169&amp;"|"&amp;E169&amp;"|"&amp;D169</f>
        <v/>
      </c>
      <c r="H169" s="28">
        <f>'02a_DC_Capacity_Alloc'!H169*'02a_DC_Capacity_Alloc'!I169*'02a_DC_Capacity_Alloc'!J169</f>
        <v/>
      </c>
      <c r="I169" s="6">
        <f>IFERROR(INDEX('02b_DC_Accelerator_Mix'!$F$2:$F$977,MATCH(G169,'02b_DC_Accelerator_Mix'!$A$2:$A$977,0)),0)</f>
        <v/>
      </c>
      <c r="J169" s="6">
        <f>IFERROR(INDEX('02b_DC_Accelerator_Mix'!$G$2:$G$977,MATCH(G169,'02b_DC_Accelerator_Mix'!$A$2:$A$977,0)),0)</f>
        <v/>
      </c>
      <c r="K169" s="6">
        <f>IFERROR(INDEX('02b_DC_Accelerator_Mix'!$H$2:$H$977,MATCH(G169,'02b_DC_Accelerator_Mix'!$A$2:$A$977,0)),0)</f>
        <v/>
      </c>
      <c r="L169" s="6">
        <f>IFERROR(INDEX('02b_DC_Accelerator_Mix'!$I$2:$I$977,MATCH(G169,'02b_DC_Accelerator_Mix'!$A$2:$A$977,0)),0)</f>
        <v/>
      </c>
      <c r="M169" s="6">
        <f>IFERROR(INDEX('02b_DC_Accelerator_Mix'!$J$2:$J$977,MATCH(G169,'02b_DC_Accelerator_Mix'!$A$2:$A$977,0)),0)</f>
        <v/>
      </c>
      <c r="N169" s="6">
        <f>IFERROR(INDEX('02b_DC_Accelerator_Mix'!$K$2:$K$977,MATCH(G169,'02b_DC_Accelerator_Mix'!$A$2:$A$977,0)),0)</f>
        <v/>
      </c>
      <c r="O169" s="6">
        <f>IFERROR(INDEX('02b_DC_Accelerator_Mix'!$L$2:$L$977,MATCH(G169,'02b_DC_Accelerator_Mix'!$A$2:$A$977,0)),0)</f>
        <v/>
      </c>
      <c r="P169" s="6">
        <f>IFERROR(INDEX('02b_DC_Accelerator_Mix'!$M$2:$M$977,MATCH(G169,'02b_DC_Accelerator_Mix'!$A$2:$A$977,0)),0)</f>
        <v/>
      </c>
      <c r="Q169" s="6">
        <f>IFERROR(INDEX('02b_DC_Accelerator_Mix'!$N$2:$N$977,MATCH(G169,'02b_DC_Accelerator_Mix'!$A$2:$A$977,0)),0)</f>
        <v/>
      </c>
      <c r="R169" s="28">
        <f>H169*I169</f>
        <v/>
      </c>
      <c r="S169" s="28">
        <f>H169*J169</f>
        <v/>
      </c>
      <c r="T169" s="28">
        <f>H169*K169</f>
        <v/>
      </c>
      <c r="U169" s="28">
        <f>H169*L169</f>
        <v/>
      </c>
      <c r="V169" s="28">
        <f>H169*M169</f>
        <v/>
      </c>
      <c r="W169" s="28">
        <f>H169*N169</f>
        <v/>
      </c>
      <c r="X169" s="28">
        <f>H169*O169</f>
        <v/>
      </c>
      <c r="Y169" s="28">
        <f>H169*P169</f>
        <v/>
      </c>
      <c r="Z169" s="28">
        <f>H169*Q169</f>
        <v/>
      </c>
      <c r="AA169" s="28">
        <f>SUM(U169:Z169)</f>
        <v/>
      </c>
      <c r="AB169" s="5">
        <f>IF(COUNTIF('02b_DC_Accelerator_Mix'!$A$2:$A$977,G169)&gt;0,"matched","missing_mix")</f>
        <v/>
      </c>
    </row>
    <row r="170">
      <c r="A170" s="5">
        <f>'02a_DC_Capacity_Alloc'!A170</f>
        <v/>
      </c>
      <c r="B170" s="5">
        <f>'02a_DC_Capacity_Alloc'!B170</f>
        <v/>
      </c>
      <c r="C170" s="5">
        <f>'02a_DC_Capacity_Alloc'!C170</f>
        <v/>
      </c>
      <c r="D170" s="5">
        <f>'02a_DC_Capacity_Alloc'!D170</f>
        <v/>
      </c>
      <c r="E170" s="5">
        <f>'02a_DC_Capacity_Alloc'!E170</f>
        <v/>
      </c>
      <c r="F170" s="5">
        <f>'02a_DC_Capacity_Alloc'!F170</f>
        <v/>
      </c>
      <c r="G170" s="5">
        <f>B170&amp;"|"&amp;E170&amp;"|"&amp;D170</f>
        <v/>
      </c>
      <c r="H170" s="28">
        <f>'02a_DC_Capacity_Alloc'!H170*'02a_DC_Capacity_Alloc'!I170*'02a_DC_Capacity_Alloc'!J170</f>
        <v/>
      </c>
      <c r="I170" s="6">
        <f>IFERROR(INDEX('02b_DC_Accelerator_Mix'!$F$2:$F$977,MATCH(G170,'02b_DC_Accelerator_Mix'!$A$2:$A$977,0)),0)</f>
        <v/>
      </c>
      <c r="J170" s="6">
        <f>IFERROR(INDEX('02b_DC_Accelerator_Mix'!$G$2:$G$977,MATCH(G170,'02b_DC_Accelerator_Mix'!$A$2:$A$977,0)),0)</f>
        <v/>
      </c>
      <c r="K170" s="6">
        <f>IFERROR(INDEX('02b_DC_Accelerator_Mix'!$H$2:$H$977,MATCH(G170,'02b_DC_Accelerator_Mix'!$A$2:$A$977,0)),0)</f>
        <v/>
      </c>
      <c r="L170" s="6">
        <f>IFERROR(INDEX('02b_DC_Accelerator_Mix'!$I$2:$I$977,MATCH(G170,'02b_DC_Accelerator_Mix'!$A$2:$A$977,0)),0)</f>
        <v/>
      </c>
      <c r="M170" s="6">
        <f>IFERROR(INDEX('02b_DC_Accelerator_Mix'!$J$2:$J$977,MATCH(G170,'02b_DC_Accelerator_Mix'!$A$2:$A$977,0)),0)</f>
        <v/>
      </c>
      <c r="N170" s="6">
        <f>IFERROR(INDEX('02b_DC_Accelerator_Mix'!$K$2:$K$977,MATCH(G170,'02b_DC_Accelerator_Mix'!$A$2:$A$977,0)),0)</f>
        <v/>
      </c>
      <c r="O170" s="6">
        <f>IFERROR(INDEX('02b_DC_Accelerator_Mix'!$L$2:$L$977,MATCH(G170,'02b_DC_Accelerator_Mix'!$A$2:$A$977,0)),0)</f>
        <v/>
      </c>
      <c r="P170" s="6">
        <f>IFERROR(INDEX('02b_DC_Accelerator_Mix'!$M$2:$M$977,MATCH(G170,'02b_DC_Accelerator_Mix'!$A$2:$A$977,0)),0)</f>
        <v/>
      </c>
      <c r="Q170" s="6">
        <f>IFERROR(INDEX('02b_DC_Accelerator_Mix'!$N$2:$N$977,MATCH(G170,'02b_DC_Accelerator_Mix'!$A$2:$A$977,0)),0)</f>
        <v/>
      </c>
      <c r="R170" s="28">
        <f>H170*I170</f>
        <v/>
      </c>
      <c r="S170" s="28">
        <f>H170*J170</f>
        <v/>
      </c>
      <c r="T170" s="28">
        <f>H170*K170</f>
        <v/>
      </c>
      <c r="U170" s="28">
        <f>H170*L170</f>
        <v/>
      </c>
      <c r="V170" s="28">
        <f>H170*M170</f>
        <v/>
      </c>
      <c r="W170" s="28">
        <f>H170*N170</f>
        <v/>
      </c>
      <c r="X170" s="28">
        <f>H170*O170</f>
        <v/>
      </c>
      <c r="Y170" s="28">
        <f>H170*P170</f>
        <v/>
      </c>
      <c r="Z170" s="28">
        <f>H170*Q170</f>
        <v/>
      </c>
      <c r="AA170" s="28">
        <f>SUM(U170:Z170)</f>
        <v/>
      </c>
      <c r="AB170" s="5">
        <f>IF(COUNTIF('02b_DC_Accelerator_Mix'!$A$2:$A$977,G170)&gt;0,"matched","missing_mix")</f>
        <v/>
      </c>
    </row>
    <row r="171">
      <c r="A171" s="5">
        <f>'02a_DC_Capacity_Alloc'!A171</f>
        <v/>
      </c>
      <c r="B171" s="5">
        <f>'02a_DC_Capacity_Alloc'!B171</f>
        <v/>
      </c>
      <c r="C171" s="5">
        <f>'02a_DC_Capacity_Alloc'!C171</f>
        <v/>
      </c>
      <c r="D171" s="5">
        <f>'02a_DC_Capacity_Alloc'!D171</f>
        <v/>
      </c>
      <c r="E171" s="5">
        <f>'02a_DC_Capacity_Alloc'!E171</f>
        <v/>
      </c>
      <c r="F171" s="5">
        <f>'02a_DC_Capacity_Alloc'!F171</f>
        <v/>
      </c>
      <c r="G171" s="5">
        <f>B171&amp;"|"&amp;E171&amp;"|"&amp;D171</f>
        <v/>
      </c>
      <c r="H171" s="28">
        <f>'02a_DC_Capacity_Alloc'!H171*'02a_DC_Capacity_Alloc'!I171*'02a_DC_Capacity_Alloc'!J171</f>
        <v/>
      </c>
      <c r="I171" s="6">
        <f>IFERROR(INDEX('02b_DC_Accelerator_Mix'!$F$2:$F$977,MATCH(G171,'02b_DC_Accelerator_Mix'!$A$2:$A$977,0)),0)</f>
        <v/>
      </c>
      <c r="J171" s="6">
        <f>IFERROR(INDEX('02b_DC_Accelerator_Mix'!$G$2:$G$977,MATCH(G171,'02b_DC_Accelerator_Mix'!$A$2:$A$977,0)),0)</f>
        <v/>
      </c>
      <c r="K171" s="6">
        <f>IFERROR(INDEX('02b_DC_Accelerator_Mix'!$H$2:$H$977,MATCH(G171,'02b_DC_Accelerator_Mix'!$A$2:$A$977,0)),0)</f>
        <v/>
      </c>
      <c r="L171" s="6">
        <f>IFERROR(INDEX('02b_DC_Accelerator_Mix'!$I$2:$I$977,MATCH(G171,'02b_DC_Accelerator_Mix'!$A$2:$A$977,0)),0)</f>
        <v/>
      </c>
      <c r="M171" s="6">
        <f>IFERROR(INDEX('02b_DC_Accelerator_Mix'!$J$2:$J$977,MATCH(G171,'02b_DC_Accelerator_Mix'!$A$2:$A$977,0)),0)</f>
        <v/>
      </c>
      <c r="N171" s="6">
        <f>IFERROR(INDEX('02b_DC_Accelerator_Mix'!$K$2:$K$977,MATCH(G171,'02b_DC_Accelerator_Mix'!$A$2:$A$977,0)),0)</f>
        <v/>
      </c>
      <c r="O171" s="6">
        <f>IFERROR(INDEX('02b_DC_Accelerator_Mix'!$L$2:$L$977,MATCH(G171,'02b_DC_Accelerator_Mix'!$A$2:$A$977,0)),0)</f>
        <v/>
      </c>
      <c r="P171" s="6">
        <f>IFERROR(INDEX('02b_DC_Accelerator_Mix'!$M$2:$M$977,MATCH(G171,'02b_DC_Accelerator_Mix'!$A$2:$A$977,0)),0)</f>
        <v/>
      </c>
      <c r="Q171" s="6">
        <f>IFERROR(INDEX('02b_DC_Accelerator_Mix'!$N$2:$N$977,MATCH(G171,'02b_DC_Accelerator_Mix'!$A$2:$A$977,0)),0)</f>
        <v/>
      </c>
      <c r="R171" s="28">
        <f>H171*I171</f>
        <v/>
      </c>
      <c r="S171" s="28">
        <f>H171*J171</f>
        <v/>
      </c>
      <c r="T171" s="28">
        <f>H171*K171</f>
        <v/>
      </c>
      <c r="U171" s="28">
        <f>H171*L171</f>
        <v/>
      </c>
      <c r="V171" s="28">
        <f>H171*M171</f>
        <v/>
      </c>
      <c r="W171" s="28">
        <f>H171*N171</f>
        <v/>
      </c>
      <c r="X171" s="28">
        <f>H171*O171</f>
        <v/>
      </c>
      <c r="Y171" s="28">
        <f>H171*P171</f>
        <v/>
      </c>
      <c r="Z171" s="28">
        <f>H171*Q171</f>
        <v/>
      </c>
      <c r="AA171" s="28">
        <f>SUM(U171:Z171)</f>
        <v/>
      </c>
      <c r="AB171" s="5">
        <f>IF(COUNTIF('02b_DC_Accelerator_Mix'!$A$2:$A$977,G171)&gt;0,"matched","missing_mix")</f>
        <v/>
      </c>
    </row>
    <row r="172">
      <c r="A172" s="5">
        <f>'02a_DC_Capacity_Alloc'!A172</f>
        <v/>
      </c>
      <c r="B172" s="5">
        <f>'02a_DC_Capacity_Alloc'!B172</f>
        <v/>
      </c>
      <c r="C172" s="5">
        <f>'02a_DC_Capacity_Alloc'!C172</f>
        <v/>
      </c>
      <c r="D172" s="5">
        <f>'02a_DC_Capacity_Alloc'!D172</f>
        <v/>
      </c>
      <c r="E172" s="5">
        <f>'02a_DC_Capacity_Alloc'!E172</f>
        <v/>
      </c>
      <c r="F172" s="5">
        <f>'02a_DC_Capacity_Alloc'!F172</f>
        <v/>
      </c>
      <c r="G172" s="5">
        <f>B172&amp;"|"&amp;E172&amp;"|"&amp;D172</f>
        <v/>
      </c>
      <c r="H172" s="28">
        <f>'02a_DC_Capacity_Alloc'!H172*'02a_DC_Capacity_Alloc'!I172*'02a_DC_Capacity_Alloc'!J172</f>
        <v/>
      </c>
      <c r="I172" s="6">
        <f>IFERROR(INDEX('02b_DC_Accelerator_Mix'!$F$2:$F$977,MATCH(G172,'02b_DC_Accelerator_Mix'!$A$2:$A$977,0)),0)</f>
        <v/>
      </c>
      <c r="J172" s="6">
        <f>IFERROR(INDEX('02b_DC_Accelerator_Mix'!$G$2:$G$977,MATCH(G172,'02b_DC_Accelerator_Mix'!$A$2:$A$977,0)),0)</f>
        <v/>
      </c>
      <c r="K172" s="6">
        <f>IFERROR(INDEX('02b_DC_Accelerator_Mix'!$H$2:$H$977,MATCH(G172,'02b_DC_Accelerator_Mix'!$A$2:$A$977,0)),0)</f>
        <v/>
      </c>
      <c r="L172" s="6">
        <f>IFERROR(INDEX('02b_DC_Accelerator_Mix'!$I$2:$I$977,MATCH(G172,'02b_DC_Accelerator_Mix'!$A$2:$A$977,0)),0)</f>
        <v/>
      </c>
      <c r="M172" s="6">
        <f>IFERROR(INDEX('02b_DC_Accelerator_Mix'!$J$2:$J$977,MATCH(G172,'02b_DC_Accelerator_Mix'!$A$2:$A$977,0)),0)</f>
        <v/>
      </c>
      <c r="N172" s="6">
        <f>IFERROR(INDEX('02b_DC_Accelerator_Mix'!$K$2:$K$977,MATCH(G172,'02b_DC_Accelerator_Mix'!$A$2:$A$977,0)),0)</f>
        <v/>
      </c>
      <c r="O172" s="6">
        <f>IFERROR(INDEX('02b_DC_Accelerator_Mix'!$L$2:$L$977,MATCH(G172,'02b_DC_Accelerator_Mix'!$A$2:$A$977,0)),0)</f>
        <v/>
      </c>
      <c r="P172" s="6">
        <f>IFERROR(INDEX('02b_DC_Accelerator_Mix'!$M$2:$M$977,MATCH(G172,'02b_DC_Accelerator_Mix'!$A$2:$A$977,0)),0)</f>
        <v/>
      </c>
      <c r="Q172" s="6">
        <f>IFERROR(INDEX('02b_DC_Accelerator_Mix'!$N$2:$N$977,MATCH(G172,'02b_DC_Accelerator_Mix'!$A$2:$A$977,0)),0)</f>
        <v/>
      </c>
      <c r="R172" s="28">
        <f>H172*I172</f>
        <v/>
      </c>
      <c r="S172" s="28">
        <f>H172*J172</f>
        <v/>
      </c>
      <c r="T172" s="28">
        <f>H172*K172</f>
        <v/>
      </c>
      <c r="U172" s="28">
        <f>H172*L172</f>
        <v/>
      </c>
      <c r="V172" s="28">
        <f>H172*M172</f>
        <v/>
      </c>
      <c r="W172" s="28">
        <f>H172*N172</f>
        <v/>
      </c>
      <c r="X172" s="28">
        <f>H172*O172</f>
        <v/>
      </c>
      <c r="Y172" s="28">
        <f>H172*P172</f>
        <v/>
      </c>
      <c r="Z172" s="28">
        <f>H172*Q172</f>
        <v/>
      </c>
      <c r="AA172" s="28">
        <f>SUM(U172:Z172)</f>
        <v/>
      </c>
      <c r="AB172" s="5">
        <f>IF(COUNTIF('02b_DC_Accelerator_Mix'!$A$2:$A$977,G172)&gt;0,"matched","missing_mix")</f>
        <v/>
      </c>
    </row>
    <row r="173">
      <c r="A173" s="5">
        <f>'02a_DC_Capacity_Alloc'!A173</f>
        <v/>
      </c>
      <c r="B173" s="5">
        <f>'02a_DC_Capacity_Alloc'!B173</f>
        <v/>
      </c>
      <c r="C173" s="5">
        <f>'02a_DC_Capacity_Alloc'!C173</f>
        <v/>
      </c>
      <c r="D173" s="5">
        <f>'02a_DC_Capacity_Alloc'!D173</f>
        <v/>
      </c>
      <c r="E173" s="5">
        <f>'02a_DC_Capacity_Alloc'!E173</f>
        <v/>
      </c>
      <c r="F173" s="5">
        <f>'02a_DC_Capacity_Alloc'!F173</f>
        <v/>
      </c>
      <c r="G173" s="5">
        <f>B173&amp;"|"&amp;E173&amp;"|"&amp;D173</f>
        <v/>
      </c>
      <c r="H173" s="28">
        <f>'02a_DC_Capacity_Alloc'!H173*'02a_DC_Capacity_Alloc'!I173*'02a_DC_Capacity_Alloc'!J173</f>
        <v/>
      </c>
      <c r="I173" s="6">
        <f>IFERROR(INDEX('02b_DC_Accelerator_Mix'!$F$2:$F$977,MATCH(G173,'02b_DC_Accelerator_Mix'!$A$2:$A$977,0)),0)</f>
        <v/>
      </c>
      <c r="J173" s="6">
        <f>IFERROR(INDEX('02b_DC_Accelerator_Mix'!$G$2:$G$977,MATCH(G173,'02b_DC_Accelerator_Mix'!$A$2:$A$977,0)),0)</f>
        <v/>
      </c>
      <c r="K173" s="6">
        <f>IFERROR(INDEX('02b_DC_Accelerator_Mix'!$H$2:$H$977,MATCH(G173,'02b_DC_Accelerator_Mix'!$A$2:$A$977,0)),0)</f>
        <v/>
      </c>
      <c r="L173" s="6">
        <f>IFERROR(INDEX('02b_DC_Accelerator_Mix'!$I$2:$I$977,MATCH(G173,'02b_DC_Accelerator_Mix'!$A$2:$A$977,0)),0)</f>
        <v/>
      </c>
      <c r="M173" s="6">
        <f>IFERROR(INDEX('02b_DC_Accelerator_Mix'!$J$2:$J$977,MATCH(G173,'02b_DC_Accelerator_Mix'!$A$2:$A$977,0)),0)</f>
        <v/>
      </c>
      <c r="N173" s="6">
        <f>IFERROR(INDEX('02b_DC_Accelerator_Mix'!$K$2:$K$977,MATCH(G173,'02b_DC_Accelerator_Mix'!$A$2:$A$977,0)),0)</f>
        <v/>
      </c>
      <c r="O173" s="6">
        <f>IFERROR(INDEX('02b_DC_Accelerator_Mix'!$L$2:$L$977,MATCH(G173,'02b_DC_Accelerator_Mix'!$A$2:$A$977,0)),0)</f>
        <v/>
      </c>
      <c r="P173" s="6">
        <f>IFERROR(INDEX('02b_DC_Accelerator_Mix'!$M$2:$M$977,MATCH(G173,'02b_DC_Accelerator_Mix'!$A$2:$A$977,0)),0)</f>
        <v/>
      </c>
      <c r="Q173" s="6">
        <f>IFERROR(INDEX('02b_DC_Accelerator_Mix'!$N$2:$N$977,MATCH(G173,'02b_DC_Accelerator_Mix'!$A$2:$A$977,0)),0)</f>
        <v/>
      </c>
      <c r="R173" s="28">
        <f>H173*I173</f>
        <v/>
      </c>
      <c r="S173" s="28">
        <f>H173*J173</f>
        <v/>
      </c>
      <c r="T173" s="28">
        <f>H173*K173</f>
        <v/>
      </c>
      <c r="U173" s="28">
        <f>H173*L173</f>
        <v/>
      </c>
      <c r="V173" s="28">
        <f>H173*M173</f>
        <v/>
      </c>
      <c r="W173" s="28">
        <f>H173*N173</f>
        <v/>
      </c>
      <c r="X173" s="28">
        <f>H173*O173</f>
        <v/>
      </c>
      <c r="Y173" s="28">
        <f>H173*P173</f>
        <v/>
      </c>
      <c r="Z173" s="28">
        <f>H173*Q173</f>
        <v/>
      </c>
      <c r="AA173" s="28">
        <f>SUM(U173:Z173)</f>
        <v/>
      </c>
      <c r="AB173" s="5">
        <f>IF(COUNTIF('02b_DC_Accelerator_Mix'!$A$2:$A$977,G173)&gt;0,"matched","missing_mix")</f>
        <v/>
      </c>
    </row>
    <row r="174">
      <c r="A174" s="5">
        <f>'02a_DC_Capacity_Alloc'!A174</f>
        <v/>
      </c>
      <c r="B174" s="5">
        <f>'02a_DC_Capacity_Alloc'!B174</f>
        <v/>
      </c>
      <c r="C174" s="5">
        <f>'02a_DC_Capacity_Alloc'!C174</f>
        <v/>
      </c>
      <c r="D174" s="5">
        <f>'02a_DC_Capacity_Alloc'!D174</f>
        <v/>
      </c>
      <c r="E174" s="5">
        <f>'02a_DC_Capacity_Alloc'!E174</f>
        <v/>
      </c>
      <c r="F174" s="5">
        <f>'02a_DC_Capacity_Alloc'!F174</f>
        <v/>
      </c>
      <c r="G174" s="5">
        <f>B174&amp;"|"&amp;E174&amp;"|"&amp;D174</f>
        <v/>
      </c>
      <c r="H174" s="28">
        <f>'02a_DC_Capacity_Alloc'!H174*'02a_DC_Capacity_Alloc'!I174*'02a_DC_Capacity_Alloc'!J174</f>
        <v/>
      </c>
      <c r="I174" s="6">
        <f>IFERROR(INDEX('02b_DC_Accelerator_Mix'!$F$2:$F$977,MATCH(G174,'02b_DC_Accelerator_Mix'!$A$2:$A$977,0)),0)</f>
        <v/>
      </c>
      <c r="J174" s="6">
        <f>IFERROR(INDEX('02b_DC_Accelerator_Mix'!$G$2:$G$977,MATCH(G174,'02b_DC_Accelerator_Mix'!$A$2:$A$977,0)),0)</f>
        <v/>
      </c>
      <c r="K174" s="6">
        <f>IFERROR(INDEX('02b_DC_Accelerator_Mix'!$H$2:$H$977,MATCH(G174,'02b_DC_Accelerator_Mix'!$A$2:$A$977,0)),0)</f>
        <v/>
      </c>
      <c r="L174" s="6">
        <f>IFERROR(INDEX('02b_DC_Accelerator_Mix'!$I$2:$I$977,MATCH(G174,'02b_DC_Accelerator_Mix'!$A$2:$A$977,0)),0)</f>
        <v/>
      </c>
      <c r="M174" s="6">
        <f>IFERROR(INDEX('02b_DC_Accelerator_Mix'!$J$2:$J$977,MATCH(G174,'02b_DC_Accelerator_Mix'!$A$2:$A$977,0)),0)</f>
        <v/>
      </c>
      <c r="N174" s="6">
        <f>IFERROR(INDEX('02b_DC_Accelerator_Mix'!$K$2:$K$977,MATCH(G174,'02b_DC_Accelerator_Mix'!$A$2:$A$977,0)),0)</f>
        <v/>
      </c>
      <c r="O174" s="6">
        <f>IFERROR(INDEX('02b_DC_Accelerator_Mix'!$L$2:$L$977,MATCH(G174,'02b_DC_Accelerator_Mix'!$A$2:$A$977,0)),0)</f>
        <v/>
      </c>
      <c r="P174" s="6">
        <f>IFERROR(INDEX('02b_DC_Accelerator_Mix'!$M$2:$M$977,MATCH(G174,'02b_DC_Accelerator_Mix'!$A$2:$A$977,0)),0)</f>
        <v/>
      </c>
      <c r="Q174" s="6">
        <f>IFERROR(INDEX('02b_DC_Accelerator_Mix'!$N$2:$N$977,MATCH(G174,'02b_DC_Accelerator_Mix'!$A$2:$A$977,0)),0)</f>
        <v/>
      </c>
      <c r="R174" s="28">
        <f>H174*I174</f>
        <v/>
      </c>
      <c r="S174" s="28">
        <f>H174*J174</f>
        <v/>
      </c>
      <c r="T174" s="28">
        <f>H174*K174</f>
        <v/>
      </c>
      <c r="U174" s="28">
        <f>H174*L174</f>
        <v/>
      </c>
      <c r="V174" s="28">
        <f>H174*M174</f>
        <v/>
      </c>
      <c r="W174" s="28">
        <f>H174*N174</f>
        <v/>
      </c>
      <c r="X174" s="28">
        <f>H174*O174</f>
        <v/>
      </c>
      <c r="Y174" s="28">
        <f>H174*P174</f>
        <v/>
      </c>
      <c r="Z174" s="28">
        <f>H174*Q174</f>
        <v/>
      </c>
      <c r="AA174" s="28">
        <f>SUM(U174:Z174)</f>
        <v/>
      </c>
      <c r="AB174" s="5">
        <f>IF(COUNTIF('02b_DC_Accelerator_Mix'!$A$2:$A$977,G174)&gt;0,"matched","missing_mix")</f>
        <v/>
      </c>
    </row>
    <row r="175">
      <c r="A175" s="5">
        <f>'02a_DC_Capacity_Alloc'!A175</f>
        <v/>
      </c>
      <c r="B175" s="5">
        <f>'02a_DC_Capacity_Alloc'!B175</f>
        <v/>
      </c>
      <c r="C175" s="5">
        <f>'02a_DC_Capacity_Alloc'!C175</f>
        <v/>
      </c>
      <c r="D175" s="5">
        <f>'02a_DC_Capacity_Alloc'!D175</f>
        <v/>
      </c>
      <c r="E175" s="5">
        <f>'02a_DC_Capacity_Alloc'!E175</f>
        <v/>
      </c>
      <c r="F175" s="5">
        <f>'02a_DC_Capacity_Alloc'!F175</f>
        <v/>
      </c>
      <c r="G175" s="5">
        <f>B175&amp;"|"&amp;E175&amp;"|"&amp;D175</f>
        <v/>
      </c>
      <c r="H175" s="28">
        <f>'02a_DC_Capacity_Alloc'!H175*'02a_DC_Capacity_Alloc'!I175*'02a_DC_Capacity_Alloc'!J175</f>
        <v/>
      </c>
      <c r="I175" s="6">
        <f>IFERROR(INDEX('02b_DC_Accelerator_Mix'!$F$2:$F$977,MATCH(G175,'02b_DC_Accelerator_Mix'!$A$2:$A$977,0)),0)</f>
        <v/>
      </c>
      <c r="J175" s="6">
        <f>IFERROR(INDEX('02b_DC_Accelerator_Mix'!$G$2:$G$977,MATCH(G175,'02b_DC_Accelerator_Mix'!$A$2:$A$977,0)),0)</f>
        <v/>
      </c>
      <c r="K175" s="6">
        <f>IFERROR(INDEX('02b_DC_Accelerator_Mix'!$H$2:$H$977,MATCH(G175,'02b_DC_Accelerator_Mix'!$A$2:$A$977,0)),0)</f>
        <v/>
      </c>
      <c r="L175" s="6">
        <f>IFERROR(INDEX('02b_DC_Accelerator_Mix'!$I$2:$I$977,MATCH(G175,'02b_DC_Accelerator_Mix'!$A$2:$A$977,0)),0)</f>
        <v/>
      </c>
      <c r="M175" s="6">
        <f>IFERROR(INDEX('02b_DC_Accelerator_Mix'!$J$2:$J$977,MATCH(G175,'02b_DC_Accelerator_Mix'!$A$2:$A$977,0)),0)</f>
        <v/>
      </c>
      <c r="N175" s="6">
        <f>IFERROR(INDEX('02b_DC_Accelerator_Mix'!$K$2:$K$977,MATCH(G175,'02b_DC_Accelerator_Mix'!$A$2:$A$977,0)),0)</f>
        <v/>
      </c>
      <c r="O175" s="6">
        <f>IFERROR(INDEX('02b_DC_Accelerator_Mix'!$L$2:$L$977,MATCH(G175,'02b_DC_Accelerator_Mix'!$A$2:$A$977,0)),0)</f>
        <v/>
      </c>
      <c r="P175" s="6">
        <f>IFERROR(INDEX('02b_DC_Accelerator_Mix'!$M$2:$M$977,MATCH(G175,'02b_DC_Accelerator_Mix'!$A$2:$A$977,0)),0)</f>
        <v/>
      </c>
      <c r="Q175" s="6">
        <f>IFERROR(INDEX('02b_DC_Accelerator_Mix'!$N$2:$N$977,MATCH(G175,'02b_DC_Accelerator_Mix'!$A$2:$A$977,0)),0)</f>
        <v/>
      </c>
      <c r="R175" s="28">
        <f>H175*I175</f>
        <v/>
      </c>
      <c r="S175" s="28">
        <f>H175*J175</f>
        <v/>
      </c>
      <c r="T175" s="28">
        <f>H175*K175</f>
        <v/>
      </c>
      <c r="U175" s="28">
        <f>H175*L175</f>
        <v/>
      </c>
      <c r="V175" s="28">
        <f>H175*M175</f>
        <v/>
      </c>
      <c r="W175" s="28">
        <f>H175*N175</f>
        <v/>
      </c>
      <c r="X175" s="28">
        <f>H175*O175</f>
        <v/>
      </c>
      <c r="Y175" s="28">
        <f>H175*P175</f>
        <v/>
      </c>
      <c r="Z175" s="28">
        <f>H175*Q175</f>
        <v/>
      </c>
      <c r="AA175" s="28">
        <f>SUM(U175:Z175)</f>
        <v/>
      </c>
      <c r="AB175" s="5">
        <f>IF(COUNTIF('02b_DC_Accelerator_Mix'!$A$2:$A$977,G175)&gt;0,"matched","missing_mix")</f>
        <v/>
      </c>
    </row>
    <row r="176">
      <c r="A176" s="5">
        <f>'02a_DC_Capacity_Alloc'!A176</f>
        <v/>
      </c>
      <c r="B176" s="5">
        <f>'02a_DC_Capacity_Alloc'!B176</f>
        <v/>
      </c>
      <c r="C176" s="5">
        <f>'02a_DC_Capacity_Alloc'!C176</f>
        <v/>
      </c>
      <c r="D176" s="5">
        <f>'02a_DC_Capacity_Alloc'!D176</f>
        <v/>
      </c>
      <c r="E176" s="5">
        <f>'02a_DC_Capacity_Alloc'!E176</f>
        <v/>
      </c>
      <c r="F176" s="5">
        <f>'02a_DC_Capacity_Alloc'!F176</f>
        <v/>
      </c>
      <c r="G176" s="5">
        <f>B176&amp;"|"&amp;E176&amp;"|"&amp;D176</f>
        <v/>
      </c>
      <c r="H176" s="28">
        <f>'02a_DC_Capacity_Alloc'!H176*'02a_DC_Capacity_Alloc'!I176*'02a_DC_Capacity_Alloc'!J176</f>
        <v/>
      </c>
      <c r="I176" s="6">
        <f>IFERROR(INDEX('02b_DC_Accelerator_Mix'!$F$2:$F$977,MATCH(G176,'02b_DC_Accelerator_Mix'!$A$2:$A$977,0)),0)</f>
        <v/>
      </c>
      <c r="J176" s="6">
        <f>IFERROR(INDEX('02b_DC_Accelerator_Mix'!$G$2:$G$977,MATCH(G176,'02b_DC_Accelerator_Mix'!$A$2:$A$977,0)),0)</f>
        <v/>
      </c>
      <c r="K176" s="6">
        <f>IFERROR(INDEX('02b_DC_Accelerator_Mix'!$H$2:$H$977,MATCH(G176,'02b_DC_Accelerator_Mix'!$A$2:$A$977,0)),0)</f>
        <v/>
      </c>
      <c r="L176" s="6">
        <f>IFERROR(INDEX('02b_DC_Accelerator_Mix'!$I$2:$I$977,MATCH(G176,'02b_DC_Accelerator_Mix'!$A$2:$A$977,0)),0)</f>
        <v/>
      </c>
      <c r="M176" s="6">
        <f>IFERROR(INDEX('02b_DC_Accelerator_Mix'!$J$2:$J$977,MATCH(G176,'02b_DC_Accelerator_Mix'!$A$2:$A$977,0)),0)</f>
        <v/>
      </c>
      <c r="N176" s="6">
        <f>IFERROR(INDEX('02b_DC_Accelerator_Mix'!$K$2:$K$977,MATCH(G176,'02b_DC_Accelerator_Mix'!$A$2:$A$977,0)),0)</f>
        <v/>
      </c>
      <c r="O176" s="6">
        <f>IFERROR(INDEX('02b_DC_Accelerator_Mix'!$L$2:$L$977,MATCH(G176,'02b_DC_Accelerator_Mix'!$A$2:$A$977,0)),0)</f>
        <v/>
      </c>
      <c r="P176" s="6">
        <f>IFERROR(INDEX('02b_DC_Accelerator_Mix'!$M$2:$M$977,MATCH(G176,'02b_DC_Accelerator_Mix'!$A$2:$A$977,0)),0)</f>
        <v/>
      </c>
      <c r="Q176" s="6">
        <f>IFERROR(INDEX('02b_DC_Accelerator_Mix'!$N$2:$N$977,MATCH(G176,'02b_DC_Accelerator_Mix'!$A$2:$A$977,0)),0)</f>
        <v/>
      </c>
      <c r="R176" s="28">
        <f>H176*I176</f>
        <v/>
      </c>
      <c r="S176" s="28">
        <f>H176*J176</f>
        <v/>
      </c>
      <c r="T176" s="28">
        <f>H176*K176</f>
        <v/>
      </c>
      <c r="U176" s="28">
        <f>H176*L176</f>
        <v/>
      </c>
      <c r="V176" s="28">
        <f>H176*M176</f>
        <v/>
      </c>
      <c r="W176" s="28">
        <f>H176*N176</f>
        <v/>
      </c>
      <c r="X176" s="28">
        <f>H176*O176</f>
        <v/>
      </c>
      <c r="Y176" s="28">
        <f>H176*P176</f>
        <v/>
      </c>
      <c r="Z176" s="28">
        <f>H176*Q176</f>
        <v/>
      </c>
      <c r="AA176" s="28">
        <f>SUM(U176:Z176)</f>
        <v/>
      </c>
      <c r="AB176" s="5">
        <f>IF(COUNTIF('02b_DC_Accelerator_Mix'!$A$2:$A$977,G176)&gt;0,"matched","missing_mix")</f>
        <v/>
      </c>
    </row>
    <row r="177">
      <c r="A177" s="5">
        <f>'02a_DC_Capacity_Alloc'!A177</f>
        <v/>
      </c>
      <c r="B177" s="5">
        <f>'02a_DC_Capacity_Alloc'!B177</f>
        <v/>
      </c>
      <c r="C177" s="5">
        <f>'02a_DC_Capacity_Alloc'!C177</f>
        <v/>
      </c>
      <c r="D177" s="5">
        <f>'02a_DC_Capacity_Alloc'!D177</f>
        <v/>
      </c>
      <c r="E177" s="5">
        <f>'02a_DC_Capacity_Alloc'!E177</f>
        <v/>
      </c>
      <c r="F177" s="5">
        <f>'02a_DC_Capacity_Alloc'!F177</f>
        <v/>
      </c>
      <c r="G177" s="5">
        <f>B177&amp;"|"&amp;E177&amp;"|"&amp;D177</f>
        <v/>
      </c>
      <c r="H177" s="28">
        <f>'02a_DC_Capacity_Alloc'!H177*'02a_DC_Capacity_Alloc'!I177*'02a_DC_Capacity_Alloc'!J177</f>
        <v/>
      </c>
      <c r="I177" s="6">
        <f>IFERROR(INDEX('02b_DC_Accelerator_Mix'!$F$2:$F$977,MATCH(G177,'02b_DC_Accelerator_Mix'!$A$2:$A$977,0)),0)</f>
        <v/>
      </c>
      <c r="J177" s="6">
        <f>IFERROR(INDEX('02b_DC_Accelerator_Mix'!$G$2:$G$977,MATCH(G177,'02b_DC_Accelerator_Mix'!$A$2:$A$977,0)),0)</f>
        <v/>
      </c>
      <c r="K177" s="6">
        <f>IFERROR(INDEX('02b_DC_Accelerator_Mix'!$H$2:$H$977,MATCH(G177,'02b_DC_Accelerator_Mix'!$A$2:$A$977,0)),0)</f>
        <v/>
      </c>
      <c r="L177" s="6">
        <f>IFERROR(INDEX('02b_DC_Accelerator_Mix'!$I$2:$I$977,MATCH(G177,'02b_DC_Accelerator_Mix'!$A$2:$A$977,0)),0)</f>
        <v/>
      </c>
      <c r="M177" s="6">
        <f>IFERROR(INDEX('02b_DC_Accelerator_Mix'!$J$2:$J$977,MATCH(G177,'02b_DC_Accelerator_Mix'!$A$2:$A$977,0)),0)</f>
        <v/>
      </c>
      <c r="N177" s="6">
        <f>IFERROR(INDEX('02b_DC_Accelerator_Mix'!$K$2:$K$977,MATCH(G177,'02b_DC_Accelerator_Mix'!$A$2:$A$977,0)),0)</f>
        <v/>
      </c>
      <c r="O177" s="6">
        <f>IFERROR(INDEX('02b_DC_Accelerator_Mix'!$L$2:$L$977,MATCH(G177,'02b_DC_Accelerator_Mix'!$A$2:$A$977,0)),0)</f>
        <v/>
      </c>
      <c r="P177" s="6">
        <f>IFERROR(INDEX('02b_DC_Accelerator_Mix'!$M$2:$M$977,MATCH(G177,'02b_DC_Accelerator_Mix'!$A$2:$A$977,0)),0)</f>
        <v/>
      </c>
      <c r="Q177" s="6">
        <f>IFERROR(INDEX('02b_DC_Accelerator_Mix'!$N$2:$N$977,MATCH(G177,'02b_DC_Accelerator_Mix'!$A$2:$A$977,0)),0)</f>
        <v/>
      </c>
      <c r="R177" s="28">
        <f>H177*I177</f>
        <v/>
      </c>
      <c r="S177" s="28">
        <f>H177*J177</f>
        <v/>
      </c>
      <c r="T177" s="28">
        <f>H177*K177</f>
        <v/>
      </c>
      <c r="U177" s="28">
        <f>H177*L177</f>
        <v/>
      </c>
      <c r="V177" s="28">
        <f>H177*M177</f>
        <v/>
      </c>
      <c r="W177" s="28">
        <f>H177*N177</f>
        <v/>
      </c>
      <c r="X177" s="28">
        <f>H177*O177</f>
        <v/>
      </c>
      <c r="Y177" s="28">
        <f>H177*P177</f>
        <v/>
      </c>
      <c r="Z177" s="28">
        <f>H177*Q177</f>
        <v/>
      </c>
      <c r="AA177" s="28">
        <f>SUM(U177:Z177)</f>
        <v/>
      </c>
      <c r="AB177" s="5">
        <f>IF(COUNTIF('02b_DC_Accelerator_Mix'!$A$2:$A$977,G177)&gt;0,"matched","missing_mix")</f>
        <v/>
      </c>
    </row>
    <row r="178">
      <c r="A178" s="5">
        <f>'02a_DC_Capacity_Alloc'!A178</f>
        <v/>
      </c>
      <c r="B178" s="5">
        <f>'02a_DC_Capacity_Alloc'!B178</f>
        <v/>
      </c>
      <c r="C178" s="5">
        <f>'02a_DC_Capacity_Alloc'!C178</f>
        <v/>
      </c>
      <c r="D178" s="5">
        <f>'02a_DC_Capacity_Alloc'!D178</f>
        <v/>
      </c>
      <c r="E178" s="5">
        <f>'02a_DC_Capacity_Alloc'!E178</f>
        <v/>
      </c>
      <c r="F178" s="5">
        <f>'02a_DC_Capacity_Alloc'!F178</f>
        <v/>
      </c>
      <c r="G178" s="5">
        <f>B178&amp;"|"&amp;E178&amp;"|"&amp;D178</f>
        <v/>
      </c>
      <c r="H178" s="28">
        <f>'02a_DC_Capacity_Alloc'!H178*'02a_DC_Capacity_Alloc'!I178*'02a_DC_Capacity_Alloc'!J178</f>
        <v/>
      </c>
      <c r="I178" s="6">
        <f>IFERROR(INDEX('02b_DC_Accelerator_Mix'!$F$2:$F$977,MATCH(G178,'02b_DC_Accelerator_Mix'!$A$2:$A$977,0)),0)</f>
        <v/>
      </c>
      <c r="J178" s="6">
        <f>IFERROR(INDEX('02b_DC_Accelerator_Mix'!$G$2:$G$977,MATCH(G178,'02b_DC_Accelerator_Mix'!$A$2:$A$977,0)),0)</f>
        <v/>
      </c>
      <c r="K178" s="6">
        <f>IFERROR(INDEX('02b_DC_Accelerator_Mix'!$H$2:$H$977,MATCH(G178,'02b_DC_Accelerator_Mix'!$A$2:$A$977,0)),0)</f>
        <v/>
      </c>
      <c r="L178" s="6">
        <f>IFERROR(INDEX('02b_DC_Accelerator_Mix'!$I$2:$I$977,MATCH(G178,'02b_DC_Accelerator_Mix'!$A$2:$A$977,0)),0)</f>
        <v/>
      </c>
      <c r="M178" s="6">
        <f>IFERROR(INDEX('02b_DC_Accelerator_Mix'!$J$2:$J$977,MATCH(G178,'02b_DC_Accelerator_Mix'!$A$2:$A$977,0)),0)</f>
        <v/>
      </c>
      <c r="N178" s="6">
        <f>IFERROR(INDEX('02b_DC_Accelerator_Mix'!$K$2:$K$977,MATCH(G178,'02b_DC_Accelerator_Mix'!$A$2:$A$977,0)),0)</f>
        <v/>
      </c>
      <c r="O178" s="6">
        <f>IFERROR(INDEX('02b_DC_Accelerator_Mix'!$L$2:$L$977,MATCH(G178,'02b_DC_Accelerator_Mix'!$A$2:$A$977,0)),0)</f>
        <v/>
      </c>
      <c r="P178" s="6">
        <f>IFERROR(INDEX('02b_DC_Accelerator_Mix'!$M$2:$M$977,MATCH(G178,'02b_DC_Accelerator_Mix'!$A$2:$A$977,0)),0)</f>
        <v/>
      </c>
      <c r="Q178" s="6">
        <f>IFERROR(INDEX('02b_DC_Accelerator_Mix'!$N$2:$N$977,MATCH(G178,'02b_DC_Accelerator_Mix'!$A$2:$A$977,0)),0)</f>
        <v/>
      </c>
      <c r="R178" s="28">
        <f>H178*I178</f>
        <v/>
      </c>
      <c r="S178" s="28">
        <f>H178*J178</f>
        <v/>
      </c>
      <c r="T178" s="28">
        <f>H178*K178</f>
        <v/>
      </c>
      <c r="U178" s="28">
        <f>H178*L178</f>
        <v/>
      </c>
      <c r="V178" s="28">
        <f>H178*M178</f>
        <v/>
      </c>
      <c r="W178" s="28">
        <f>H178*N178</f>
        <v/>
      </c>
      <c r="X178" s="28">
        <f>H178*O178</f>
        <v/>
      </c>
      <c r="Y178" s="28">
        <f>H178*P178</f>
        <v/>
      </c>
      <c r="Z178" s="28">
        <f>H178*Q178</f>
        <v/>
      </c>
      <c r="AA178" s="28">
        <f>SUM(U178:Z178)</f>
        <v/>
      </c>
      <c r="AB178" s="5">
        <f>IF(COUNTIF('02b_DC_Accelerator_Mix'!$A$2:$A$977,G178)&gt;0,"matched","missing_mix")</f>
        <v/>
      </c>
    </row>
    <row r="179">
      <c r="A179" s="5">
        <f>'02a_DC_Capacity_Alloc'!A179</f>
        <v/>
      </c>
      <c r="B179" s="5">
        <f>'02a_DC_Capacity_Alloc'!B179</f>
        <v/>
      </c>
      <c r="C179" s="5">
        <f>'02a_DC_Capacity_Alloc'!C179</f>
        <v/>
      </c>
      <c r="D179" s="5">
        <f>'02a_DC_Capacity_Alloc'!D179</f>
        <v/>
      </c>
      <c r="E179" s="5">
        <f>'02a_DC_Capacity_Alloc'!E179</f>
        <v/>
      </c>
      <c r="F179" s="5">
        <f>'02a_DC_Capacity_Alloc'!F179</f>
        <v/>
      </c>
      <c r="G179" s="5">
        <f>B179&amp;"|"&amp;E179&amp;"|"&amp;D179</f>
        <v/>
      </c>
      <c r="H179" s="28">
        <f>'02a_DC_Capacity_Alloc'!H179*'02a_DC_Capacity_Alloc'!I179*'02a_DC_Capacity_Alloc'!J179</f>
        <v/>
      </c>
      <c r="I179" s="6">
        <f>IFERROR(INDEX('02b_DC_Accelerator_Mix'!$F$2:$F$977,MATCH(G179,'02b_DC_Accelerator_Mix'!$A$2:$A$977,0)),0)</f>
        <v/>
      </c>
      <c r="J179" s="6">
        <f>IFERROR(INDEX('02b_DC_Accelerator_Mix'!$G$2:$G$977,MATCH(G179,'02b_DC_Accelerator_Mix'!$A$2:$A$977,0)),0)</f>
        <v/>
      </c>
      <c r="K179" s="6">
        <f>IFERROR(INDEX('02b_DC_Accelerator_Mix'!$H$2:$H$977,MATCH(G179,'02b_DC_Accelerator_Mix'!$A$2:$A$977,0)),0)</f>
        <v/>
      </c>
      <c r="L179" s="6">
        <f>IFERROR(INDEX('02b_DC_Accelerator_Mix'!$I$2:$I$977,MATCH(G179,'02b_DC_Accelerator_Mix'!$A$2:$A$977,0)),0)</f>
        <v/>
      </c>
      <c r="M179" s="6">
        <f>IFERROR(INDEX('02b_DC_Accelerator_Mix'!$J$2:$J$977,MATCH(G179,'02b_DC_Accelerator_Mix'!$A$2:$A$977,0)),0)</f>
        <v/>
      </c>
      <c r="N179" s="6">
        <f>IFERROR(INDEX('02b_DC_Accelerator_Mix'!$K$2:$K$977,MATCH(G179,'02b_DC_Accelerator_Mix'!$A$2:$A$977,0)),0)</f>
        <v/>
      </c>
      <c r="O179" s="6">
        <f>IFERROR(INDEX('02b_DC_Accelerator_Mix'!$L$2:$L$977,MATCH(G179,'02b_DC_Accelerator_Mix'!$A$2:$A$977,0)),0)</f>
        <v/>
      </c>
      <c r="P179" s="6">
        <f>IFERROR(INDEX('02b_DC_Accelerator_Mix'!$M$2:$M$977,MATCH(G179,'02b_DC_Accelerator_Mix'!$A$2:$A$977,0)),0)</f>
        <v/>
      </c>
      <c r="Q179" s="6">
        <f>IFERROR(INDEX('02b_DC_Accelerator_Mix'!$N$2:$N$977,MATCH(G179,'02b_DC_Accelerator_Mix'!$A$2:$A$977,0)),0)</f>
        <v/>
      </c>
      <c r="R179" s="28">
        <f>H179*I179</f>
        <v/>
      </c>
      <c r="S179" s="28">
        <f>H179*J179</f>
        <v/>
      </c>
      <c r="T179" s="28">
        <f>H179*K179</f>
        <v/>
      </c>
      <c r="U179" s="28">
        <f>H179*L179</f>
        <v/>
      </c>
      <c r="V179" s="28">
        <f>H179*M179</f>
        <v/>
      </c>
      <c r="W179" s="28">
        <f>H179*N179</f>
        <v/>
      </c>
      <c r="X179" s="28">
        <f>H179*O179</f>
        <v/>
      </c>
      <c r="Y179" s="28">
        <f>H179*P179</f>
        <v/>
      </c>
      <c r="Z179" s="28">
        <f>H179*Q179</f>
        <v/>
      </c>
      <c r="AA179" s="28">
        <f>SUM(U179:Z179)</f>
        <v/>
      </c>
      <c r="AB179" s="5">
        <f>IF(COUNTIF('02b_DC_Accelerator_Mix'!$A$2:$A$977,G179)&gt;0,"matched","missing_mix")</f>
        <v/>
      </c>
    </row>
    <row r="180">
      <c r="A180" s="5">
        <f>'02a_DC_Capacity_Alloc'!A180</f>
        <v/>
      </c>
      <c r="B180" s="5">
        <f>'02a_DC_Capacity_Alloc'!B180</f>
        <v/>
      </c>
      <c r="C180" s="5">
        <f>'02a_DC_Capacity_Alloc'!C180</f>
        <v/>
      </c>
      <c r="D180" s="5">
        <f>'02a_DC_Capacity_Alloc'!D180</f>
        <v/>
      </c>
      <c r="E180" s="5">
        <f>'02a_DC_Capacity_Alloc'!E180</f>
        <v/>
      </c>
      <c r="F180" s="5">
        <f>'02a_DC_Capacity_Alloc'!F180</f>
        <v/>
      </c>
      <c r="G180" s="5">
        <f>B180&amp;"|"&amp;E180&amp;"|"&amp;D180</f>
        <v/>
      </c>
      <c r="H180" s="28">
        <f>'02a_DC_Capacity_Alloc'!H180*'02a_DC_Capacity_Alloc'!I180*'02a_DC_Capacity_Alloc'!J180</f>
        <v/>
      </c>
      <c r="I180" s="6">
        <f>IFERROR(INDEX('02b_DC_Accelerator_Mix'!$F$2:$F$977,MATCH(G180,'02b_DC_Accelerator_Mix'!$A$2:$A$977,0)),0)</f>
        <v/>
      </c>
      <c r="J180" s="6">
        <f>IFERROR(INDEX('02b_DC_Accelerator_Mix'!$G$2:$G$977,MATCH(G180,'02b_DC_Accelerator_Mix'!$A$2:$A$977,0)),0)</f>
        <v/>
      </c>
      <c r="K180" s="6">
        <f>IFERROR(INDEX('02b_DC_Accelerator_Mix'!$H$2:$H$977,MATCH(G180,'02b_DC_Accelerator_Mix'!$A$2:$A$977,0)),0)</f>
        <v/>
      </c>
      <c r="L180" s="6">
        <f>IFERROR(INDEX('02b_DC_Accelerator_Mix'!$I$2:$I$977,MATCH(G180,'02b_DC_Accelerator_Mix'!$A$2:$A$977,0)),0)</f>
        <v/>
      </c>
      <c r="M180" s="6">
        <f>IFERROR(INDEX('02b_DC_Accelerator_Mix'!$J$2:$J$977,MATCH(G180,'02b_DC_Accelerator_Mix'!$A$2:$A$977,0)),0)</f>
        <v/>
      </c>
      <c r="N180" s="6">
        <f>IFERROR(INDEX('02b_DC_Accelerator_Mix'!$K$2:$K$977,MATCH(G180,'02b_DC_Accelerator_Mix'!$A$2:$A$977,0)),0)</f>
        <v/>
      </c>
      <c r="O180" s="6">
        <f>IFERROR(INDEX('02b_DC_Accelerator_Mix'!$L$2:$L$977,MATCH(G180,'02b_DC_Accelerator_Mix'!$A$2:$A$977,0)),0)</f>
        <v/>
      </c>
      <c r="P180" s="6">
        <f>IFERROR(INDEX('02b_DC_Accelerator_Mix'!$M$2:$M$977,MATCH(G180,'02b_DC_Accelerator_Mix'!$A$2:$A$977,0)),0)</f>
        <v/>
      </c>
      <c r="Q180" s="6">
        <f>IFERROR(INDEX('02b_DC_Accelerator_Mix'!$N$2:$N$977,MATCH(G180,'02b_DC_Accelerator_Mix'!$A$2:$A$977,0)),0)</f>
        <v/>
      </c>
      <c r="R180" s="28">
        <f>H180*I180</f>
        <v/>
      </c>
      <c r="S180" s="28">
        <f>H180*J180</f>
        <v/>
      </c>
      <c r="T180" s="28">
        <f>H180*K180</f>
        <v/>
      </c>
      <c r="U180" s="28">
        <f>H180*L180</f>
        <v/>
      </c>
      <c r="V180" s="28">
        <f>H180*M180</f>
        <v/>
      </c>
      <c r="W180" s="28">
        <f>H180*N180</f>
        <v/>
      </c>
      <c r="X180" s="28">
        <f>H180*O180</f>
        <v/>
      </c>
      <c r="Y180" s="28">
        <f>H180*P180</f>
        <v/>
      </c>
      <c r="Z180" s="28">
        <f>H180*Q180</f>
        <v/>
      </c>
      <c r="AA180" s="28">
        <f>SUM(U180:Z180)</f>
        <v/>
      </c>
      <c r="AB180" s="5">
        <f>IF(COUNTIF('02b_DC_Accelerator_Mix'!$A$2:$A$977,G180)&gt;0,"matched","missing_mix")</f>
        <v/>
      </c>
    </row>
    <row r="181">
      <c r="A181" s="5">
        <f>'02a_DC_Capacity_Alloc'!A181</f>
        <v/>
      </c>
      <c r="B181" s="5">
        <f>'02a_DC_Capacity_Alloc'!B181</f>
        <v/>
      </c>
      <c r="C181" s="5">
        <f>'02a_DC_Capacity_Alloc'!C181</f>
        <v/>
      </c>
      <c r="D181" s="5">
        <f>'02a_DC_Capacity_Alloc'!D181</f>
        <v/>
      </c>
      <c r="E181" s="5">
        <f>'02a_DC_Capacity_Alloc'!E181</f>
        <v/>
      </c>
      <c r="F181" s="5">
        <f>'02a_DC_Capacity_Alloc'!F181</f>
        <v/>
      </c>
      <c r="G181" s="5">
        <f>B181&amp;"|"&amp;E181&amp;"|"&amp;D181</f>
        <v/>
      </c>
      <c r="H181" s="28">
        <f>'02a_DC_Capacity_Alloc'!H181*'02a_DC_Capacity_Alloc'!I181*'02a_DC_Capacity_Alloc'!J181</f>
        <v/>
      </c>
      <c r="I181" s="6">
        <f>IFERROR(INDEX('02b_DC_Accelerator_Mix'!$F$2:$F$977,MATCH(G181,'02b_DC_Accelerator_Mix'!$A$2:$A$977,0)),0)</f>
        <v/>
      </c>
      <c r="J181" s="6">
        <f>IFERROR(INDEX('02b_DC_Accelerator_Mix'!$G$2:$G$977,MATCH(G181,'02b_DC_Accelerator_Mix'!$A$2:$A$977,0)),0)</f>
        <v/>
      </c>
      <c r="K181" s="6">
        <f>IFERROR(INDEX('02b_DC_Accelerator_Mix'!$H$2:$H$977,MATCH(G181,'02b_DC_Accelerator_Mix'!$A$2:$A$977,0)),0)</f>
        <v/>
      </c>
      <c r="L181" s="6">
        <f>IFERROR(INDEX('02b_DC_Accelerator_Mix'!$I$2:$I$977,MATCH(G181,'02b_DC_Accelerator_Mix'!$A$2:$A$977,0)),0)</f>
        <v/>
      </c>
      <c r="M181" s="6">
        <f>IFERROR(INDEX('02b_DC_Accelerator_Mix'!$J$2:$J$977,MATCH(G181,'02b_DC_Accelerator_Mix'!$A$2:$A$977,0)),0)</f>
        <v/>
      </c>
      <c r="N181" s="6">
        <f>IFERROR(INDEX('02b_DC_Accelerator_Mix'!$K$2:$K$977,MATCH(G181,'02b_DC_Accelerator_Mix'!$A$2:$A$977,0)),0)</f>
        <v/>
      </c>
      <c r="O181" s="6">
        <f>IFERROR(INDEX('02b_DC_Accelerator_Mix'!$L$2:$L$977,MATCH(G181,'02b_DC_Accelerator_Mix'!$A$2:$A$977,0)),0)</f>
        <v/>
      </c>
      <c r="P181" s="6">
        <f>IFERROR(INDEX('02b_DC_Accelerator_Mix'!$M$2:$M$977,MATCH(G181,'02b_DC_Accelerator_Mix'!$A$2:$A$977,0)),0)</f>
        <v/>
      </c>
      <c r="Q181" s="6">
        <f>IFERROR(INDEX('02b_DC_Accelerator_Mix'!$N$2:$N$977,MATCH(G181,'02b_DC_Accelerator_Mix'!$A$2:$A$977,0)),0)</f>
        <v/>
      </c>
      <c r="R181" s="28">
        <f>H181*I181</f>
        <v/>
      </c>
      <c r="S181" s="28">
        <f>H181*J181</f>
        <v/>
      </c>
      <c r="T181" s="28">
        <f>H181*K181</f>
        <v/>
      </c>
      <c r="U181" s="28">
        <f>H181*L181</f>
        <v/>
      </c>
      <c r="V181" s="28">
        <f>H181*M181</f>
        <v/>
      </c>
      <c r="W181" s="28">
        <f>H181*N181</f>
        <v/>
      </c>
      <c r="X181" s="28">
        <f>H181*O181</f>
        <v/>
      </c>
      <c r="Y181" s="28">
        <f>H181*P181</f>
        <v/>
      </c>
      <c r="Z181" s="28">
        <f>H181*Q181</f>
        <v/>
      </c>
      <c r="AA181" s="28">
        <f>SUM(U181:Z181)</f>
        <v/>
      </c>
      <c r="AB181" s="5">
        <f>IF(COUNTIF('02b_DC_Accelerator_Mix'!$A$2:$A$977,G181)&gt;0,"matched","missing_mix")</f>
        <v/>
      </c>
    </row>
    <row r="182">
      <c r="A182" s="5">
        <f>'02a_DC_Capacity_Alloc'!A182</f>
        <v/>
      </c>
      <c r="B182" s="5">
        <f>'02a_DC_Capacity_Alloc'!B182</f>
        <v/>
      </c>
      <c r="C182" s="5">
        <f>'02a_DC_Capacity_Alloc'!C182</f>
        <v/>
      </c>
      <c r="D182" s="5">
        <f>'02a_DC_Capacity_Alloc'!D182</f>
        <v/>
      </c>
      <c r="E182" s="5">
        <f>'02a_DC_Capacity_Alloc'!E182</f>
        <v/>
      </c>
      <c r="F182" s="5">
        <f>'02a_DC_Capacity_Alloc'!F182</f>
        <v/>
      </c>
      <c r="G182" s="5">
        <f>B182&amp;"|"&amp;E182&amp;"|"&amp;D182</f>
        <v/>
      </c>
      <c r="H182" s="28">
        <f>'02a_DC_Capacity_Alloc'!H182*'02a_DC_Capacity_Alloc'!I182*'02a_DC_Capacity_Alloc'!J182</f>
        <v/>
      </c>
      <c r="I182" s="6">
        <f>IFERROR(INDEX('02b_DC_Accelerator_Mix'!$F$2:$F$977,MATCH(G182,'02b_DC_Accelerator_Mix'!$A$2:$A$977,0)),0)</f>
        <v/>
      </c>
      <c r="J182" s="6">
        <f>IFERROR(INDEX('02b_DC_Accelerator_Mix'!$G$2:$G$977,MATCH(G182,'02b_DC_Accelerator_Mix'!$A$2:$A$977,0)),0)</f>
        <v/>
      </c>
      <c r="K182" s="6">
        <f>IFERROR(INDEX('02b_DC_Accelerator_Mix'!$H$2:$H$977,MATCH(G182,'02b_DC_Accelerator_Mix'!$A$2:$A$977,0)),0)</f>
        <v/>
      </c>
      <c r="L182" s="6">
        <f>IFERROR(INDEX('02b_DC_Accelerator_Mix'!$I$2:$I$977,MATCH(G182,'02b_DC_Accelerator_Mix'!$A$2:$A$977,0)),0)</f>
        <v/>
      </c>
      <c r="M182" s="6">
        <f>IFERROR(INDEX('02b_DC_Accelerator_Mix'!$J$2:$J$977,MATCH(G182,'02b_DC_Accelerator_Mix'!$A$2:$A$977,0)),0)</f>
        <v/>
      </c>
      <c r="N182" s="6">
        <f>IFERROR(INDEX('02b_DC_Accelerator_Mix'!$K$2:$K$977,MATCH(G182,'02b_DC_Accelerator_Mix'!$A$2:$A$977,0)),0)</f>
        <v/>
      </c>
      <c r="O182" s="6">
        <f>IFERROR(INDEX('02b_DC_Accelerator_Mix'!$L$2:$L$977,MATCH(G182,'02b_DC_Accelerator_Mix'!$A$2:$A$977,0)),0)</f>
        <v/>
      </c>
      <c r="P182" s="6">
        <f>IFERROR(INDEX('02b_DC_Accelerator_Mix'!$M$2:$M$977,MATCH(G182,'02b_DC_Accelerator_Mix'!$A$2:$A$977,0)),0)</f>
        <v/>
      </c>
      <c r="Q182" s="6">
        <f>IFERROR(INDEX('02b_DC_Accelerator_Mix'!$N$2:$N$977,MATCH(G182,'02b_DC_Accelerator_Mix'!$A$2:$A$977,0)),0)</f>
        <v/>
      </c>
      <c r="R182" s="28">
        <f>H182*I182</f>
        <v/>
      </c>
      <c r="S182" s="28">
        <f>H182*J182</f>
        <v/>
      </c>
      <c r="T182" s="28">
        <f>H182*K182</f>
        <v/>
      </c>
      <c r="U182" s="28">
        <f>H182*L182</f>
        <v/>
      </c>
      <c r="V182" s="28">
        <f>H182*M182</f>
        <v/>
      </c>
      <c r="W182" s="28">
        <f>H182*N182</f>
        <v/>
      </c>
      <c r="X182" s="28">
        <f>H182*O182</f>
        <v/>
      </c>
      <c r="Y182" s="28">
        <f>H182*P182</f>
        <v/>
      </c>
      <c r="Z182" s="28">
        <f>H182*Q182</f>
        <v/>
      </c>
      <c r="AA182" s="28">
        <f>SUM(U182:Z182)</f>
        <v/>
      </c>
      <c r="AB182" s="5">
        <f>IF(COUNTIF('02b_DC_Accelerator_Mix'!$A$2:$A$977,G182)&gt;0,"matched","missing_mix")</f>
        <v/>
      </c>
    </row>
    <row r="183">
      <c r="A183" s="5">
        <f>'02a_DC_Capacity_Alloc'!A183</f>
        <v/>
      </c>
      <c r="B183" s="5">
        <f>'02a_DC_Capacity_Alloc'!B183</f>
        <v/>
      </c>
      <c r="C183" s="5">
        <f>'02a_DC_Capacity_Alloc'!C183</f>
        <v/>
      </c>
      <c r="D183" s="5">
        <f>'02a_DC_Capacity_Alloc'!D183</f>
        <v/>
      </c>
      <c r="E183" s="5">
        <f>'02a_DC_Capacity_Alloc'!E183</f>
        <v/>
      </c>
      <c r="F183" s="5">
        <f>'02a_DC_Capacity_Alloc'!F183</f>
        <v/>
      </c>
      <c r="G183" s="5">
        <f>B183&amp;"|"&amp;E183&amp;"|"&amp;D183</f>
        <v/>
      </c>
      <c r="H183" s="28">
        <f>'02a_DC_Capacity_Alloc'!H183*'02a_DC_Capacity_Alloc'!I183*'02a_DC_Capacity_Alloc'!J183</f>
        <v/>
      </c>
      <c r="I183" s="6">
        <f>IFERROR(INDEX('02b_DC_Accelerator_Mix'!$F$2:$F$977,MATCH(G183,'02b_DC_Accelerator_Mix'!$A$2:$A$977,0)),0)</f>
        <v/>
      </c>
      <c r="J183" s="6">
        <f>IFERROR(INDEX('02b_DC_Accelerator_Mix'!$G$2:$G$977,MATCH(G183,'02b_DC_Accelerator_Mix'!$A$2:$A$977,0)),0)</f>
        <v/>
      </c>
      <c r="K183" s="6">
        <f>IFERROR(INDEX('02b_DC_Accelerator_Mix'!$H$2:$H$977,MATCH(G183,'02b_DC_Accelerator_Mix'!$A$2:$A$977,0)),0)</f>
        <v/>
      </c>
      <c r="L183" s="6">
        <f>IFERROR(INDEX('02b_DC_Accelerator_Mix'!$I$2:$I$977,MATCH(G183,'02b_DC_Accelerator_Mix'!$A$2:$A$977,0)),0)</f>
        <v/>
      </c>
      <c r="M183" s="6">
        <f>IFERROR(INDEX('02b_DC_Accelerator_Mix'!$J$2:$J$977,MATCH(G183,'02b_DC_Accelerator_Mix'!$A$2:$A$977,0)),0)</f>
        <v/>
      </c>
      <c r="N183" s="6">
        <f>IFERROR(INDEX('02b_DC_Accelerator_Mix'!$K$2:$K$977,MATCH(G183,'02b_DC_Accelerator_Mix'!$A$2:$A$977,0)),0)</f>
        <v/>
      </c>
      <c r="O183" s="6">
        <f>IFERROR(INDEX('02b_DC_Accelerator_Mix'!$L$2:$L$977,MATCH(G183,'02b_DC_Accelerator_Mix'!$A$2:$A$977,0)),0)</f>
        <v/>
      </c>
      <c r="P183" s="6">
        <f>IFERROR(INDEX('02b_DC_Accelerator_Mix'!$M$2:$M$977,MATCH(G183,'02b_DC_Accelerator_Mix'!$A$2:$A$977,0)),0)</f>
        <v/>
      </c>
      <c r="Q183" s="6">
        <f>IFERROR(INDEX('02b_DC_Accelerator_Mix'!$N$2:$N$977,MATCH(G183,'02b_DC_Accelerator_Mix'!$A$2:$A$977,0)),0)</f>
        <v/>
      </c>
      <c r="R183" s="28">
        <f>H183*I183</f>
        <v/>
      </c>
      <c r="S183" s="28">
        <f>H183*J183</f>
        <v/>
      </c>
      <c r="T183" s="28">
        <f>H183*K183</f>
        <v/>
      </c>
      <c r="U183" s="28">
        <f>H183*L183</f>
        <v/>
      </c>
      <c r="V183" s="28">
        <f>H183*M183</f>
        <v/>
      </c>
      <c r="W183" s="28">
        <f>H183*N183</f>
        <v/>
      </c>
      <c r="X183" s="28">
        <f>H183*O183</f>
        <v/>
      </c>
      <c r="Y183" s="28">
        <f>H183*P183</f>
        <v/>
      </c>
      <c r="Z183" s="28">
        <f>H183*Q183</f>
        <v/>
      </c>
      <c r="AA183" s="28">
        <f>SUM(U183:Z183)</f>
        <v/>
      </c>
      <c r="AB183" s="5">
        <f>IF(COUNTIF('02b_DC_Accelerator_Mix'!$A$2:$A$977,G183)&gt;0,"matched","missing_mix")</f>
        <v/>
      </c>
    </row>
    <row r="184">
      <c r="A184" s="5">
        <f>'02a_DC_Capacity_Alloc'!A184</f>
        <v/>
      </c>
      <c r="B184" s="5">
        <f>'02a_DC_Capacity_Alloc'!B184</f>
        <v/>
      </c>
      <c r="C184" s="5">
        <f>'02a_DC_Capacity_Alloc'!C184</f>
        <v/>
      </c>
      <c r="D184" s="5">
        <f>'02a_DC_Capacity_Alloc'!D184</f>
        <v/>
      </c>
      <c r="E184" s="5">
        <f>'02a_DC_Capacity_Alloc'!E184</f>
        <v/>
      </c>
      <c r="F184" s="5">
        <f>'02a_DC_Capacity_Alloc'!F184</f>
        <v/>
      </c>
      <c r="G184" s="5">
        <f>B184&amp;"|"&amp;E184&amp;"|"&amp;D184</f>
        <v/>
      </c>
      <c r="H184" s="28">
        <f>'02a_DC_Capacity_Alloc'!H184*'02a_DC_Capacity_Alloc'!I184*'02a_DC_Capacity_Alloc'!J184</f>
        <v/>
      </c>
      <c r="I184" s="6">
        <f>IFERROR(INDEX('02b_DC_Accelerator_Mix'!$F$2:$F$977,MATCH(G184,'02b_DC_Accelerator_Mix'!$A$2:$A$977,0)),0)</f>
        <v/>
      </c>
      <c r="J184" s="6">
        <f>IFERROR(INDEX('02b_DC_Accelerator_Mix'!$G$2:$G$977,MATCH(G184,'02b_DC_Accelerator_Mix'!$A$2:$A$977,0)),0)</f>
        <v/>
      </c>
      <c r="K184" s="6">
        <f>IFERROR(INDEX('02b_DC_Accelerator_Mix'!$H$2:$H$977,MATCH(G184,'02b_DC_Accelerator_Mix'!$A$2:$A$977,0)),0)</f>
        <v/>
      </c>
      <c r="L184" s="6">
        <f>IFERROR(INDEX('02b_DC_Accelerator_Mix'!$I$2:$I$977,MATCH(G184,'02b_DC_Accelerator_Mix'!$A$2:$A$977,0)),0)</f>
        <v/>
      </c>
      <c r="M184" s="6">
        <f>IFERROR(INDEX('02b_DC_Accelerator_Mix'!$J$2:$J$977,MATCH(G184,'02b_DC_Accelerator_Mix'!$A$2:$A$977,0)),0)</f>
        <v/>
      </c>
      <c r="N184" s="6">
        <f>IFERROR(INDEX('02b_DC_Accelerator_Mix'!$K$2:$K$977,MATCH(G184,'02b_DC_Accelerator_Mix'!$A$2:$A$977,0)),0)</f>
        <v/>
      </c>
      <c r="O184" s="6">
        <f>IFERROR(INDEX('02b_DC_Accelerator_Mix'!$L$2:$L$977,MATCH(G184,'02b_DC_Accelerator_Mix'!$A$2:$A$977,0)),0)</f>
        <v/>
      </c>
      <c r="P184" s="6">
        <f>IFERROR(INDEX('02b_DC_Accelerator_Mix'!$M$2:$M$977,MATCH(G184,'02b_DC_Accelerator_Mix'!$A$2:$A$977,0)),0)</f>
        <v/>
      </c>
      <c r="Q184" s="6">
        <f>IFERROR(INDEX('02b_DC_Accelerator_Mix'!$N$2:$N$977,MATCH(G184,'02b_DC_Accelerator_Mix'!$A$2:$A$977,0)),0)</f>
        <v/>
      </c>
      <c r="R184" s="28">
        <f>H184*I184</f>
        <v/>
      </c>
      <c r="S184" s="28">
        <f>H184*J184</f>
        <v/>
      </c>
      <c r="T184" s="28">
        <f>H184*K184</f>
        <v/>
      </c>
      <c r="U184" s="28">
        <f>H184*L184</f>
        <v/>
      </c>
      <c r="V184" s="28">
        <f>H184*M184</f>
        <v/>
      </c>
      <c r="W184" s="28">
        <f>H184*N184</f>
        <v/>
      </c>
      <c r="X184" s="28">
        <f>H184*O184</f>
        <v/>
      </c>
      <c r="Y184" s="28">
        <f>H184*P184</f>
        <v/>
      </c>
      <c r="Z184" s="28">
        <f>H184*Q184</f>
        <v/>
      </c>
      <c r="AA184" s="28">
        <f>SUM(U184:Z184)</f>
        <v/>
      </c>
      <c r="AB184" s="5">
        <f>IF(COUNTIF('02b_DC_Accelerator_Mix'!$A$2:$A$977,G184)&gt;0,"matched","missing_mix")</f>
        <v/>
      </c>
    </row>
    <row r="185">
      <c r="A185" s="5">
        <f>'02a_DC_Capacity_Alloc'!A185</f>
        <v/>
      </c>
      <c r="B185" s="5">
        <f>'02a_DC_Capacity_Alloc'!B185</f>
        <v/>
      </c>
      <c r="C185" s="5">
        <f>'02a_DC_Capacity_Alloc'!C185</f>
        <v/>
      </c>
      <c r="D185" s="5">
        <f>'02a_DC_Capacity_Alloc'!D185</f>
        <v/>
      </c>
      <c r="E185" s="5">
        <f>'02a_DC_Capacity_Alloc'!E185</f>
        <v/>
      </c>
      <c r="F185" s="5">
        <f>'02a_DC_Capacity_Alloc'!F185</f>
        <v/>
      </c>
      <c r="G185" s="5">
        <f>B185&amp;"|"&amp;E185&amp;"|"&amp;D185</f>
        <v/>
      </c>
      <c r="H185" s="28">
        <f>'02a_DC_Capacity_Alloc'!H185*'02a_DC_Capacity_Alloc'!I185*'02a_DC_Capacity_Alloc'!J185</f>
        <v/>
      </c>
      <c r="I185" s="6">
        <f>IFERROR(INDEX('02b_DC_Accelerator_Mix'!$F$2:$F$977,MATCH(G185,'02b_DC_Accelerator_Mix'!$A$2:$A$977,0)),0)</f>
        <v/>
      </c>
      <c r="J185" s="6">
        <f>IFERROR(INDEX('02b_DC_Accelerator_Mix'!$G$2:$G$977,MATCH(G185,'02b_DC_Accelerator_Mix'!$A$2:$A$977,0)),0)</f>
        <v/>
      </c>
      <c r="K185" s="6">
        <f>IFERROR(INDEX('02b_DC_Accelerator_Mix'!$H$2:$H$977,MATCH(G185,'02b_DC_Accelerator_Mix'!$A$2:$A$977,0)),0)</f>
        <v/>
      </c>
      <c r="L185" s="6">
        <f>IFERROR(INDEX('02b_DC_Accelerator_Mix'!$I$2:$I$977,MATCH(G185,'02b_DC_Accelerator_Mix'!$A$2:$A$977,0)),0)</f>
        <v/>
      </c>
      <c r="M185" s="6">
        <f>IFERROR(INDEX('02b_DC_Accelerator_Mix'!$J$2:$J$977,MATCH(G185,'02b_DC_Accelerator_Mix'!$A$2:$A$977,0)),0)</f>
        <v/>
      </c>
      <c r="N185" s="6">
        <f>IFERROR(INDEX('02b_DC_Accelerator_Mix'!$K$2:$K$977,MATCH(G185,'02b_DC_Accelerator_Mix'!$A$2:$A$977,0)),0)</f>
        <v/>
      </c>
      <c r="O185" s="6">
        <f>IFERROR(INDEX('02b_DC_Accelerator_Mix'!$L$2:$L$977,MATCH(G185,'02b_DC_Accelerator_Mix'!$A$2:$A$977,0)),0)</f>
        <v/>
      </c>
      <c r="P185" s="6">
        <f>IFERROR(INDEX('02b_DC_Accelerator_Mix'!$M$2:$M$977,MATCH(G185,'02b_DC_Accelerator_Mix'!$A$2:$A$977,0)),0)</f>
        <v/>
      </c>
      <c r="Q185" s="6">
        <f>IFERROR(INDEX('02b_DC_Accelerator_Mix'!$N$2:$N$977,MATCH(G185,'02b_DC_Accelerator_Mix'!$A$2:$A$977,0)),0)</f>
        <v/>
      </c>
      <c r="R185" s="28">
        <f>H185*I185</f>
        <v/>
      </c>
      <c r="S185" s="28">
        <f>H185*J185</f>
        <v/>
      </c>
      <c r="T185" s="28">
        <f>H185*K185</f>
        <v/>
      </c>
      <c r="U185" s="28">
        <f>H185*L185</f>
        <v/>
      </c>
      <c r="V185" s="28">
        <f>H185*M185</f>
        <v/>
      </c>
      <c r="W185" s="28">
        <f>H185*N185</f>
        <v/>
      </c>
      <c r="X185" s="28">
        <f>H185*O185</f>
        <v/>
      </c>
      <c r="Y185" s="28">
        <f>H185*P185</f>
        <v/>
      </c>
      <c r="Z185" s="28">
        <f>H185*Q185</f>
        <v/>
      </c>
      <c r="AA185" s="28">
        <f>SUM(U185:Z185)</f>
        <v/>
      </c>
      <c r="AB185" s="5">
        <f>IF(COUNTIF('02b_DC_Accelerator_Mix'!$A$2:$A$977,G185)&gt;0,"matched","missing_mix")</f>
        <v/>
      </c>
    </row>
    <row r="186">
      <c r="A186" s="5">
        <f>'02a_DC_Capacity_Alloc'!A186</f>
        <v/>
      </c>
      <c r="B186" s="5">
        <f>'02a_DC_Capacity_Alloc'!B186</f>
        <v/>
      </c>
      <c r="C186" s="5">
        <f>'02a_DC_Capacity_Alloc'!C186</f>
        <v/>
      </c>
      <c r="D186" s="5">
        <f>'02a_DC_Capacity_Alloc'!D186</f>
        <v/>
      </c>
      <c r="E186" s="5">
        <f>'02a_DC_Capacity_Alloc'!E186</f>
        <v/>
      </c>
      <c r="F186" s="5">
        <f>'02a_DC_Capacity_Alloc'!F186</f>
        <v/>
      </c>
      <c r="G186" s="5">
        <f>B186&amp;"|"&amp;E186&amp;"|"&amp;D186</f>
        <v/>
      </c>
      <c r="H186" s="28">
        <f>'02a_DC_Capacity_Alloc'!H186*'02a_DC_Capacity_Alloc'!I186*'02a_DC_Capacity_Alloc'!J186</f>
        <v/>
      </c>
      <c r="I186" s="6">
        <f>IFERROR(INDEX('02b_DC_Accelerator_Mix'!$F$2:$F$977,MATCH(G186,'02b_DC_Accelerator_Mix'!$A$2:$A$977,0)),0)</f>
        <v/>
      </c>
      <c r="J186" s="6">
        <f>IFERROR(INDEX('02b_DC_Accelerator_Mix'!$G$2:$G$977,MATCH(G186,'02b_DC_Accelerator_Mix'!$A$2:$A$977,0)),0)</f>
        <v/>
      </c>
      <c r="K186" s="6">
        <f>IFERROR(INDEX('02b_DC_Accelerator_Mix'!$H$2:$H$977,MATCH(G186,'02b_DC_Accelerator_Mix'!$A$2:$A$977,0)),0)</f>
        <v/>
      </c>
      <c r="L186" s="6">
        <f>IFERROR(INDEX('02b_DC_Accelerator_Mix'!$I$2:$I$977,MATCH(G186,'02b_DC_Accelerator_Mix'!$A$2:$A$977,0)),0)</f>
        <v/>
      </c>
      <c r="M186" s="6">
        <f>IFERROR(INDEX('02b_DC_Accelerator_Mix'!$J$2:$J$977,MATCH(G186,'02b_DC_Accelerator_Mix'!$A$2:$A$977,0)),0)</f>
        <v/>
      </c>
      <c r="N186" s="6">
        <f>IFERROR(INDEX('02b_DC_Accelerator_Mix'!$K$2:$K$977,MATCH(G186,'02b_DC_Accelerator_Mix'!$A$2:$A$977,0)),0)</f>
        <v/>
      </c>
      <c r="O186" s="6">
        <f>IFERROR(INDEX('02b_DC_Accelerator_Mix'!$L$2:$L$977,MATCH(G186,'02b_DC_Accelerator_Mix'!$A$2:$A$977,0)),0)</f>
        <v/>
      </c>
      <c r="P186" s="6">
        <f>IFERROR(INDEX('02b_DC_Accelerator_Mix'!$M$2:$M$977,MATCH(G186,'02b_DC_Accelerator_Mix'!$A$2:$A$977,0)),0)</f>
        <v/>
      </c>
      <c r="Q186" s="6">
        <f>IFERROR(INDEX('02b_DC_Accelerator_Mix'!$N$2:$N$977,MATCH(G186,'02b_DC_Accelerator_Mix'!$A$2:$A$977,0)),0)</f>
        <v/>
      </c>
      <c r="R186" s="28">
        <f>H186*I186</f>
        <v/>
      </c>
      <c r="S186" s="28">
        <f>H186*J186</f>
        <v/>
      </c>
      <c r="T186" s="28">
        <f>H186*K186</f>
        <v/>
      </c>
      <c r="U186" s="28">
        <f>H186*L186</f>
        <v/>
      </c>
      <c r="V186" s="28">
        <f>H186*M186</f>
        <v/>
      </c>
      <c r="W186" s="28">
        <f>H186*N186</f>
        <v/>
      </c>
      <c r="X186" s="28">
        <f>H186*O186</f>
        <v/>
      </c>
      <c r="Y186" s="28">
        <f>H186*P186</f>
        <v/>
      </c>
      <c r="Z186" s="28">
        <f>H186*Q186</f>
        <v/>
      </c>
      <c r="AA186" s="28">
        <f>SUM(U186:Z186)</f>
        <v/>
      </c>
      <c r="AB186" s="5">
        <f>IF(COUNTIF('02b_DC_Accelerator_Mix'!$A$2:$A$977,G186)&gt;0,"matched","missing_mix")</f>
        <v/>
      </c>
    </row>
    <row r="187">
      <c r="A187" s="5">
        <f>'02a_DC_Capacity_Alloc'!A187</f>
        <v/>
      </c>
      <c r="B187" s="5">
        <f>'02a_DC_Capacity_Alloc'!B187</f>
        <v/>
      </c>
      <c r="C187" s="5">
        <f>'02a_DC_Capacity_Alloc'!C187</f>
        <v/>
      </c>
      <c r="D187" s="5">
        <f>'02a_DC_Capacity_Alloc'!D187</f>
        <v/>
      </c>
      <c r="E187" s="5">
        <f>'02a_DC_Capacity_Alloc'!E187</f>
        <v/>
      </c>
      <c r="F187" s="5">
        <f>'02a_DC_Capacity_Alloc'!F187</f>
        <v/>
      </c>
      <c r="G187" s="5">
        <f>B187&amp;"|"&amp;E187&amp;"|"&amp;D187</f>
        <v/>
      </c>
      <c r="H187" s="28">
        <f>'02a_DC_Capacity_Alloc'!H187*'02a_DC_Capacity_Alloc'!I187*'02a_DC_Capacity_Alloc'!J187</f>
        <v/>
      </c>
      <c r="I187" s="6">
        <f>IFERROR(INDEX('02b_DC_Accelerator_Mix'!$F$2:$F$977,MATCH(G187,'02b_DC_Accelerator_Mix'!$A$2:$A$977,0)),0)</f>
        <v/>
      </c>
      <c r="J187" s="6">
        <f>IFERROR(INDEX('02b_DC_Accelerator_Mix'!$G$2:$G$977,MATCH(G187,'02b_DC_Accelerator_Mix'!$A$2:$A$977,0)),0)</f>
        <v/>
      </c>
      <c r="K187" s="6">
        <f>IFERROR(INDEX('02b_DC_Accelerator_Mix'!$H$2:$H$977,MATCH(G187,'02b_DC_Accelerator_Mix'!$A$2:$A$977,0)),0)</f>
        <v/>
      </c>
      <c r="L187" s="6">
        <f>IFERROR(INDEX('02b_DC_Accelerator_Mix'!$I$2:$I$977,MATCH(G187,'02b_DC_Accelerator_Mix'!$A$2:$A$977,0)),0)</f>
        <v/>
      </c>
      <c r="M187" s="6">
        <f>IFERROR(INDEX('02b_DC_Accelerator_Mix'!$J$2:$J$977,MATCH(G187,'02b_DC_Accelerator_Mix'!$A$2:$A$977,0)),0)</f>
        <v/>
      </c>
      <c r="N187" s="6">
        <f>IFERROR(INDEX('02b_DC_Accelerator_Mix'!$K$2:$K$977,MATCH(G187,'02b_DC_Accelerator_Mix'!$A$2:$A$977,0)),0)</f>
        <v/>
      </c>
      <c r="O187" s="6">
        <f>IFERROR(INDEX('02b_DC_Accelerator_Mix'!$L$2:$L$977,MATCH(G187,'02b_DC_Accelerator_Mix'!$A$2:$A$977,0)),0)</f>
        <v/>
      </c>
      <c r="P187" s="6">
        <f>IFERROR(INDEX('02b_DC_Accelerator_Mix'!$M$2:$M$977,MATCH(G187,'02b_DC_Accelerator_Mix'!$A$2:$A$977,0)),0)</f>
        <v/>
      </c>
      <c r="Q187" s="6">
        <f>IFERROR(INDEX('02b_DC_Accelerator_Mix'!$N$2:$N$977,MATCH(G187,'02b_DC_Accelerator_Mix'!$A$2:$A$977,0)),0)</f>
        <v/>
      </c>
      <c r="R187" s="28">
        <f>H187*I187</f>
        <v/>
      </c>
      <c r="S187" s="28">
        <f>H187*J187</f>
        <v/>
      </c>
      <c r="T187" s="28">
        <f>H187*K187</f>
        <v/>
      </c>
      <c r="U187" s="28">
        <f>H187*L187</f>
        <v/>
      </c>
      <c r="V187" s="28">
        <f>H187*M187</f>
        <v/>
      </c>
      <c r="W187" s="28">
        <f>H187*N187</f>
        <v/>
      </c>
      <c r="X187" s="28">
        <f>H187*O187</f>
        <v/>
      </c>
      <c r="Y187" s="28">
        <f>H187*P187</f>
        <v/>
      </c>
      <c r="Z187" s="28">
        <f>H187*Q187</f>
        <v/>
      </c>
      <c r="AA187" s="28">
        <f>SUM(U187:Z187)</f>
        <v/>
      </c>
      <c r="AB187" s="5">
        <f>IF(COUNTIF('02b_DC_Accelerator_Mix'!$A$2:$A$977,G187)&gt;0,"matched","missing_mix")</f>
        <v/>
      </c>
    </row>
    <row r="188">
      <c r="A188" s="5">
        <f>'02a_DC_Capacity_Alloc'!A188</f>
        <v/>
      </c>
      <c r="B188" s="5">
        <f>'02a_DC_Capacity_Alloc'!B188</f>
        <v/>
      </c>
      <c r="C188" s="5">
        <f>'02a_DC_Capacity_Alloc'!C188</f>
        <v/>
      </c>
      <c r="D188" s="5">
        <f>'02a_DC_Capacity_Alloc'!D188</f>
        <v/>
      </c>
      <c r="E188" s="5">
        <f>'02a_DC_Capacity_Alloc'!E188</f>
        <v/>
      </c>
      <c r="F188" s="5">
        <f>'02a_DC_Capacity_Alloc'!F188</f>
        <v/>
      </c>
      <c r="G188" s="5">
        <f>B188&amp;"|"&amp;E188&amp;"|"&amp;D188</f>
        <v/>
      </c>
      <c r="H188" s="28">
        <f>'02a_DC_Capacity_Alloc'!H188*'02a_DC_Capacity_Alloc'!I188*'02a_DC_Capacity_Alloc'!J188</f>
        <v/>
      </c>
      <c r="I188" s="6">
        <f>IFERROR(INDEX('02b_DC_Accelerator_Mix'!$F$2:$F$977,MATCH(G188,'02b_DC_Accelerator_Mix'!$A$2:$A$977,0)),0)</f>
        <v/>
      </c>
      <c r="J188" s="6">
        <f>IFERROR(INDEX('02b_DC_Accelerator_Mix'!$G$2:$G$977,MATCH(G188,'02b_DC_Accelerator_Mix'!$A$2:$A$977,0)),0)</f>
        <v/>
      </c>
      <c r="K188" s="6">
        <f>IFERROR(INDEX('02b_DC_Accelerator_Mix'!$H$2:$H$977,MATCH(G188,'02b_DC_Accelerator_Mix'!$A$2:$A$977,0)),0)</f>
        <v/>
      </c>
      <c r="L188" s="6">
        <f>IFERROR(INDEX('02b_DC_Accelerator_Mix'!$I$2:$I$977,MATCH(G188,'02b_DC_Accelerator_Mix'!$A$2:$A$977,0)),0)</f>
        <v/>
      </c>
      <c r="M188" s="6">
        <f>IFERROR(INDEX('02b_DC_Accelerator_Mix'!$J$2:$J$977,MATCH(G188,'02b_DC_Accelerator_Mix'!$A$2:$A$977,0)),0)</f>
        <v/>
      </c>
      <c r="N188" s="6">
        <f>IFERROR(INDEX('02b_DC_Accelerator_Mix'!$K$2:$K$977,MATCH(G188,'02b_DC_Accelerator_Mix'!$A$2:$A$977,0)),0)</f>
        <v/>
      </c>
      <c r="O188" s="6">
        <f>IFERROR(INDEX('02b_DC_Accelerator_Mix'!$L$2:$L$977,MATCH(G188,'02b_DC_Accelerator_Mix'!$A$2:$A$977,0)),0)</f>
        <v/>
      </c>
      <c r="P188" s="6">
        <f>IFERROR(INDEX('02b_DC_Accelerator_Mix'!$M$2:$M$977,MATCH(G188,'02b_DC_Accelerator_Mix'!$A$2:$A$977,0)),0)</f>
        <v/>
      </c>
      <c r="Q188" s="6">
        <f>IFERROR(INDEX('02b_DC_Accelerator_Mix'!$N$2:$N$977,MATCH(G188,'02b_DC_Accelerator_Mix'!$A$2:$A$977,0)),0)</f>
        <v/>
      </c>
      <c r="R188" s="28">
        <f>H188*I188</f>
        <v/>
      </c>
      <c r="S188" s="28">
        <f>H188*J188</f>
        <v/>
      </c>
      <c r="T188" s="28">
        <f>H188*K188</f>
        <v/>
      </c>
      <c r="U188" s="28">
        <f>H188*L188</f>
        <v/>
      </c>
      <c r="V188" s="28">
        <f>H188*M188</f>
        <v/>
      </c>
      <c r="W188" s="28">
        <f>H188*N188</f>
        <v/>
      </c>
      <c r="X188" s="28">
        <f>H188*O188</f>
        <v/>
      </c>
      <c r="Y188" s="28">
        <f>H188*P188</f>
        <v/>
      </c>
      <c r="Z188" s="28">
        <f>H188*Q188</f>
        <v/>
      </c>
      <c r="AA188" s="28">
        <f>SUM(U188:Z188)</f>
        <v/>
      </c>
      <c r="AB188" s="5">
        <f>IF(COUNTIF('02b_DC_Accelerator_Mix'!$A$2:$A$977,G188)&gt;0,"matched","missing_mix")</f>
        <v/>
      </c>
    </row>
    <row r="189">
      <c r="A189" s="5">
        <f>'02a_DC_Capacity_Alloc'!A189</f>
        <v/>
      </c>
      <c r="B189" s="5">
        <f>'02a_DC_Capacity_Alloc'!B189</f>
        <v/>
      </c>
      <c r="C189" s="5">
        <f>'02a_DC_Capacity_Alloc'!C189</f>
        <v/>
      </c>
      <c r="D189" s="5">
        <f>'02a_DC_Capacity_Alloc'!D189</f>
        <v/>
      </c>
      <c r="E189" s="5">
        <f>'02a_DC_Capacity_Alloc'!E189</f>
        <v/>
      </c>
      <c r="F189" s="5">
        <f>'02a_DC_Capacity_Alloc'!F189</f>
        <v/>
      </c>
      <c r="G189" s="5">
        <f>B189&amp;"|"&amp;E189&amp;"|"&amp;D189</f>
        <v/>
      </c>
      <c r="H189" s="28">
        <f>'02a_DC_Capacity_Alloc'!H189*'02a_DC_Capacity_Alloc'!I189*'02a_DC_Capacity_Alloc'!J189</f>
        <v/>
      </c>
      <c r="I189" s="6">
        <f>IFERROR(INDEX('02b_DC_Accelerator_Mix'!$F$2:$F$977,MATCH(G189,'02b_DC_Accelerator_Mix'!$A$2:$A$977,0)),0)</f>
        <v/>
      </c>
      <c r="J189" s="6">
        <f>IFERROR(INDEX('02b_DC_Accelerator_Mix'!$G$2:$G$977,MATCH(G189,'02b_DC_Accelerator_Mix'!$A$2:$A$977,0)),0)</f>
        <v/>
      </c>
      <c r="K189" s="6">
        <f>IFERROR(INDEX('02b_DC_Accelerator_Mix'!$H$2:$H$977,MATCH(G189,'02b_DC_Accelerator_Mix'!$A$2:$A$977,0)),0)</f>
        <v/>
      </c>
      <c r="L189" s="6">
        <f>IFERROR(INDEX('02b_DC_Accelerator_Mix'!$I$2:$I$977,MATCH(G189,'02b_DC_Accelerator_Mix'!$A$2:$A$977,0)),0)</f>
        <v/>
      </c>
      <c r="M189" s="6">
        <f>IFERROR(INDEX('02b_DC_Accelerator_Mix'!$J$2:$J$977,MATCH(G189,'02b_DC_Accelerator_Mix'!$A$2:$A$977,0)),0)</f>
        <v/>
      </c>
      <c r="N189" s="6">
        <f>IFERROR(INDEX('02b_DC_Accelerator_Mix'!$K$2:$K$977,MATCH(G189,'02b_DC_Accelerator_Mix'!$A$2:$A$977,0)),0)</f>
        <v/>
      </c>
      <c r="O189" s="6">
        <f>IFERROR(INDEX('02b_DC_Accelerator_Mix'!$L$2:$L$977,MATCH(G189,'02b_DC_Accelerator_Mix'!$A$2:$A$977,0)),0)</f>
        <v/>
      </c>
      <c r="P189" s="6">
        <f>IFERROR(INDEX('02b_DC_Accelerator_Mix'!$M$2:$M$977,MATCH(G189,'02b_DC_Accelerator_Mix'!$A$2:$A$977,0)),0)</f>
        <v/>
      </c>
      <c r="Q189" s="6">
        <f>IFERROR(INDEX('02b_DC_Accelerator_Mix'!$N$2:$N$977,MATCH(G189,'02b_DC_Accelerator_Mix'!$A$2:$A$977,0)),0)</f>
        <v/>
      </c>
      <c r="R189" s="28">
        <f>H189*I189</f>
        <v/>
      </c>
      <c r="S189" s="28">
        <f>H189*J189</f>
        <v/>
      </c>
      <c r="T189" s="28">
        <f>H189*K189</f>
        <v/>
      </c>
      <c r="U189" s="28">
        <f>H189*L189</f>
        <v/>
      </c>
      <c r="V189" s="28">
        <f>H189*M189</f>
        <v/>
      </c>
      <c r="W189" s="28">
        <f>H189*N189</f>
        <v/>
      </c>
      <c r="X189" s="28">
        <f>H189*O189</f>
        <v/>
      </c>
      <c r="Y189" s="28">
        <f>H189*P189</f>
        <v/>
      </c>
      <c r="Z189" s="28">
        <f>H189*Q189</f>
        <v/>
      </c>
      <c r="AA189" s="28">
        <f>SUM(U189:Z189)</f>
        <v/>
      </c>
      <c r="AB189" s="5">
        <f>IF(COUNTIF('02b_DC_Accelerator_Mix'!$A$2:$A$977,G189)&gt;0,"matched","missing_mix")</f>
        <v/>
      </c>
    </row>
    <row r="190">
      <c r="A190" s="5">
        <f>'02a_DC_Capacity_Alloc'!A190</f>
        <v/>
      </c>
      <c r="B190" s="5">
        <f>'02a_DC_Capacity_Alloc'!B190</f>
        <v/>
      </c>
      <c r="C190" s="5">
        <f>'02a_DC_Capacity_Alloc'!C190</f>
        <v/>
      </c>
      <c r="D190" s="5">
        <f>'02a_DC_Capacity_Alloc'!D190</f>
        <v/>
      </c>
      <c r="E190" s="5">
        <f>'02a_DC_Capacity_Alloc'!E190</f>
        <v/>
      </c>
      <c r="F190" s="5">
        <f>'02a_DC_Capacity_Alloc'!F190</f>
        <v/>
      </c>
      <c r="G190" s="5">
        <f>B190&amp;"|"&amp;E190&amp;"|"&amp;D190</f>
        <v/>
      </c>
      <c r="H190" s="28">
        <f>'02a_DC_Capacity_Alloc'!H190*'02a_DC_Capacity_Alloc'!I190*'02a_DC_Capacity_Alloc'!J190</f>
        <v/>
      </c>
      <c r="I190" s="6">
        <f>IFERROR(INDEX('02b_DC_Accelerator_Mix'!$F$2:$F$977,MATCH(G190,'02b_DC_Accelerator_Mix'!$A$2:$A$977,0)),0)</f>
        <v/>
      </c>
      <c r="J190" s="6">
        <f>IFERROR(INDEX('02b_DC_Accelerator_Mix'!$G$2:$G$977,MATCH(G190,'02b_DC_Accelerator_Mix'!$A$2:$A$977,0)),0)</f>
        <v/>
      </c>
      <c r="K190" s="6">
        <f>IFERROR(INDEX('02b_DC_Accelerator_Mix'!$H$2:$H$977,MATCH(G190,'02b_DC_Accelerator_Mix'!$A$2:$A$977,0)),0)</f>
        <v/>
      </c>
      <c r="L190" s="6">
        <f>IFERROR(INDEX('02b_DC_Accelerator_Mix'!$I$2:$I$977,MATCH(G190,'02b_DC_Accelerator_Mix'!$A$2:$A$977,0)),0)</f>
        <v/>
      </c>
      <c r="M190" s="6">
        <f>IFERROR(INDEX('02b_DC_Accelerator_Mix'!$J$2:$J$977,MATCH(G190,'02b_DC_Accelerator_Mix'!$A$2:$A$977,0)),0)</f>
        <v/>
      </c>
      <c r="N190" s="6">
        <f>IFERROR(INDEX('02b_DC_Accelerator_Mix'!$K$2:$K$977,MATCH(G190,'02b_DC_Accelerator_Mix'!$A$2:$A$977,0)),0)</f>
        <v/>
      </c>
      <c r="O190" s="6">
        <f>IFERROR(INDEX('02b_DC_Accelerator_Mix'!$L$2:$L$977,MATCH(G190,'02b_DC_Accelerator_Mix'!$A$2:$A$977,0)),0)</f>
        <v/>
      </c>
      <c r="P190" s="6">
        <f>IFERROR(INDEX('02b_DC_Accelerator_Mix'!$M$2:$M$977,MATCH(G190,'02b_DC_Accelerator_Mix'!$A$2:$A$977,0)),0)</f>
        <v/>
      </c>
      <c r="Q190" s="6">
        <f>IFERROR(INDEX('02b_DC_Accelerator_Mix'!$N$2:$N$977,MATCH(G190,'02b_DC_Accelerator_Mix'!$A$2:$A$977,0)),0)</f>
        <v/>
      </c>
      <c r="R190" s="28">
        <f>H190*I190</f>
        <v/>
      </c>
      <c r="S190" s="28">
        <f>H190*J190</f>
        <v/>
      </c>
      <c r="T190" s="28">
        <f>H190*K190</f>
        <v/>
      </c>
      <c r="U190" s="28">
        <f>H190*L190</f>
        <v/>
      </c>
      <c r="V190" s="28">
        <f>H190*M190</f>
        <v/>
      </c>
      <c r="W190" s="28">
        <f>H190*N190</f>
        <v/>
      </c>
      <c r="X190" s="28">
        <f>H190*O190</f>
        <v/>
      </c>
      <c r="Y190" s="28">
        <f>H190*P190</f>
        <v/>
      </c>
      <c r="Z190" s="28">
        <f>H190*Q190</f>
        <v/>
      </c>
      <c r="AA190" s="28">
        <f>SUM(U190:Z190)</f>
        <v/>
      </c>
      <c r="AB190" s="5">
        <f>IF(COUNTIF('02b_DC_Accelerator_Mix'!$A$2:$A$977,G190)&gt;0,"matched","missing_mix")</f>
        <v/>
      </c>
    </row>
    <row r="191">
      <c r="A191" s="5">
        <f>'02a_DC_Capacity_Alloc'!A191</f>
        <v/>
      </c>
      <c r="B191" s="5">
        <f>'02a_DC_Capacity_Alloc'!B191</f>
        <v/>
      </c>
      <c r="C191" s="5">
        <f>'02a_DC_Capacity_Alloc'!C191</f>
        <v/>
      </c>
      <c r="D191" s="5">
        <f>'02a_DC_Capacity_Alloc'!D191</f>
        <v/>
      </c>
      <c r="E191" s="5">
        <f>'02a_DC_Capacity_Alloc'!E191</f>
        <v/>
      </c>
      <c r="F191" s="5">
        <f>'02a_DC_Capacity_Alloc'!F191</f>
        <v/>
      </c>
      <c r="G191" s="5">
        <f>B191&amp;"|"&amp;E191&amp;"|"&amp;D191</f>
        <v/>
      </c>
      <c r="H191" s="28">
        <f>'02a_DC_Capacity_Alloc'!H191*'02a_DC_Capacity_Alloc'!I191*'02a_DC_Capacity_Alloc'!J191</f>
        <v/>
      </c>
      <c r="I191" s="6">
        <f>IFERROR(INDEX('02b_DC_Accelerator_Mix'!$F$2:$F$977,MATCH(G191,'02b_DC_Accelerator_Mix'!$A$2:$A$977,0)),0)</f>
        <v/>
      </c>
      <c r="J191" s="6">
        <f>IFERROR(INDEX('02b_DC_Accelerator_Mix'!$G$2:$G$977,MATCH(G191,'02b_DC_Accelerator_Mix'!$A$2:$A$977,0)),0)</f>
        <v/>
      </c>
      <c r="K191" s="6">
        <f>IFERROR(INDEX('02b_DC_Accelerator_Mix'!$H$2:$H$977,MATCH(G191,'02b_DC_Accelerator_Mix'!$A$2:$A$977,0)),0)</f>
        <v/>
      </c>
      <c r="L191" s="6">
        <f>IFERROR(INDEX('02b_DC_Accelerator_Mix'!$I$2:$I$977,MATCH(G191,'02b_DC_Accelerator_Mix'!$A$2:$A$977,0)),0)</f>
        <v/>
      </c>
      <c r="M191" s="6">
        <f>IFERROR(INDEX('02b_DC_Accelerator_Mix'!$J$2:$J$977,MATCH(G191,'02b_DC_Accelerator_Mix'!$A$2:$A$977,0)),0)</f>
        <v/>
      </c>
      <c r="N191" s="6">
        <f>IFERROR(INDEX('02b_DC_Accelerator_Mix'!$K$2:$K$977,MATCH(G191,'02b_DC_Accelerator_Mix'!$A$2:$A$977,0)),0)</f>
        <v/>
      </c>
      <c r="O191" s="6">
        <f>IFERROR(INDEX('02b_DC_Accelerator_Mix'!$L$2:$L$977,MATCH(G191,'02b_DC_Accelerator_Mix'!$A$2:$A$977,0)),0)</f>
        <v/>
      </c>
      <c r="P191" s="6">
        <f>IFERROR(INDEX('02b_DC_Accelerator_Mix'!$M$2:$M$977,MATCH(G191,'02b_DC_Accelerator_Mix'!$A$2:$A$977,0)),0)</f>
        <v/>
      </c>
      <c r="Q191" s="6">
        <f>IFERROR(INDEX('02b_DC_Accelerator_Mix'!$N$2:$N$977,MATCH(G191,'02b_DC_Accelerator_Mix'!$A$2:$A$977,0)),0)</f>
        <v/>
      </c>
      <c r="R191" s="28">
        <f>H191*I191</f>
        <v/>
      </c>
      <c r="S191" s="28">
        <f>H191*J191</f>
        <v/>
      </c>
      <c r="T191" s="28">
        <f>H191*K191</f>
        <v/>
      </c>
      <c r="U191" s="28">
        <f>H191*L191</f>
        <v/>
      </c>
      <c r="V191" s="28">
        <f>H191*M191</f>
        <v/>
      </c>
      <c r="W191" s="28">
        <f>H191*N191</f>
        <v/>
      </c>
      <c r="X191" s="28">
        <f>H191*O191</f>
        <v/>
      </c>
      <c r="Y191" s="28">
        <f>H191*P191</f>
        <v/>
      </c>
      <c r="Z191" s="28">
        <f>H191*Q191</f>
        <v/>
      </c>
      <c r="AA191" s="28">
        <f>SUM(U191:Z191)</f>
        <v/>
      </c>
      <c r="AB191" s="5">
        <f>IF(COUNTIF('02b_DC_Accelerator_Mix'!$A$2:$A$977,G191)&gt;0,"matched","missing_mix")</f>
        <v/>
      </c>
    </row>
    <row r="192">
      <c r="A192" s="5">
        <f>'02a_DC_Capacity_Alloc'!A192</f>
        <v/>
      </c>
      <c r="B192" s="5">
        <f>'02a_DC_Capacity_Alloc'!B192</f>
        <v/>
      </c>
      <c r="C192" s="5">
        <f>'02a_DC_Capacity_Alloc'!C192</f>
        <v/>
      </c>
      <c r="D192" s="5">
        <f>'02a_DC_Capacity_Alloc'!D192</f>
        <v/>
      </c>
      <c r="E192" s="5">
        <f>'02a_DC_Capacity_Alloc'!E192</f>
        <v/>
      </c>
      <c r="F192" s="5">
        <f>'02a_DC_Capacity_Alloc'!F192</f>
        <v/>
      </c>
      <c r="G192" s="5">
        <f>B192&amp;"|"&amp;E192&amp;"|"&amp;D192</f>
        <v/>
      </c>
      <c r="H192" s="28">
        <f>'02a_DC_Capacity_Alloc'!H192*'02a_DC_Capacity_Alloc'!I192*'02a_DC_Capacity_Alloc'!J192</f>
        <v/>
      </c>
      <c r="I192" s="6">
        <f>IFERROR(INDEX('02b_DC_Accelerator_Mix'!$F$2:$F$977,MATCH(G192,'02b_DC_Accelerator_Mix'!$A$2:$A$977,0)),0)</f>
        <v/>
      </c>
      <c r="J192" s="6">
        <f>IFERROR(INDEX('02b_DC_Accelerator_Mix'!$G$2:$G$977,MATCH(G192,'02b_DC_Accelerator_Mix'!$A$2:$A$977,0)),0)</f>
        <v/>
      </c>
      <c r="K192" s="6">
        <f>IFERROR(INDEX('02b_DC_Accelerator_Mix'!$H$2:$H$977,MATCH(G192,'02b_DC_Accelerator_Mix'!$A$2:$A$977,0)),0)</f>
        <v/>
      </c>
      <c r="L192" s="6">
        <f>IFERROR(INDEX('02b_DC_Accelerator_Mix'!$I$2:$I$977,MATCH(G192,'02b_DC_Accelerator_Mix'!$A$2:$A$977,0)),0)</f>
        <v/>
      </c>
      <c r="M192" s="6">
        <f>IFERROR(INDEX('02b_DC_Accelerator_Mix'!$J$2:$J$977,MATCH(G192,'02b_DC_Accelerator_Mix'!$A$2:$A$977,0)),0)</f>
        <v/>
      </c>
      <c r="N192" s="6">
        <f>IFERROR(INDEX('02b_DC_Accelerator_Mix'!$K$2:$K$977,MATCH(G192,'02b_DC_Accelerator_Mix'!$A$2:$A$977,0)),0)</f>
        <v/>
      </c>
      <c r="O192" s="6">
        <f>IFERROR(INDEX('02b_DC_Accelerator_Mix'!$L$2:$L$977,MATCH(G192,'02b_DC_Accelerator_Mix'!$A$2:$A$977,0)),0)</f>
        <v/>
      </c>
      <c r="P192" s="6">
        <f>IFERROR(INDEX('02b_DC_Accelerator_Mix'!$M$2:$M$977,MATCH(G192,'02b_DC_Accelerator_Mix'!$A$2:$A$977,0)),0)</f>
        <v/>
      </c>
      <c r="Q192" s="6">
        <f>IFERROR(INDEX('02b_DC_Accelerator_Mix'!$N$2:$N$977,MATCH(G192,'02b_DC_Accelerator_Mix'!$A$2:$A$977,0)),0)</f>
        <v/>
      </c>
      <c r="R192" s="28">
        <f>H192*I192</f>
        <v/>
      </c>
      <c r="S192" s="28">
        <f>H192*J192</f>
        <v/>
      </c>
      <c r="T192" s="28">
        <f>H192*K192</f>
        <v/>
      </c>
      <c r="U192" s="28">
        <f>H192*L192</f>
        <v/>
      </c>
      <c r="V192" s="28">
        <f>H192*M192</f>
        <v/>
      </c>
      <c r="W192" s="28">
        <f>H192*N192</f>
        <v/>
      </c>
      <c r="X192" s="28">
        <f>H192*O192</f>
        <v/>
      </c>
      <c r="Y192" s="28">
        <f>H192*P192</f>
        <v/>
      </c>
      <c r="Z192" s="28">
        <f>H192*Q192</f>
        <v/>
      </c>
      <c r="AA192" s="28">
        <f>SUM(U192:Z192)</f>
        <v/>
      </c>
      <c r="AB192" s="5">
        <f>IF(COUNTIF('02b_DC_Accelerator_Mix'!$A$2:$A$977,G192)&gt;0,"matched","missing_mix")</f>
        <v/>
      </c>
    </row>
    <row r="193">
      <c r="A193" s="5">
        <f>'02a_DC_Capacity_Alloc'!A193</f>
        <v/>
      </c>
      <c r="B193" s="5">
        <f>'02a_DC_Capacity_Alloc'!B193</f>
        <v/>
      </c>
      <c r="C193" s="5">
        <f>'02a_DC_Capacity_Alloc'!C193</f>
        <v/>
      </c>
      <c r="D193" s="5">
        <f>'02a_DC_Capacity_Alloc'!D193</f>
        <v/>
      </c>
      <c r="E193" s="5">
        <f>'02a_DC_Capacity_Alloc'!E193</f>
        <v/>
      </c>
      <c r="F193" s="5">
        <f>'02a_DC_Capacity_Alloc'!F193</f>
        <v/>
      </c>
      <c r="G193" s="5">
        <f>B193&amp;"|"&amp;E193&amp;"|"&amp;D193</f>
        <v/>
      </c>
      <c r="H193" s="28">
        <f>'02a_DC_Capacity_Alloc'!H193*'02a_DC_Capacity_Alloc'!I193*'02a_DC_Capacity_Alloc'!J193</f>
        <v/>
      </c>
      <c r="I193" s="6">
        <f>IFERROR(INDEX('02b_DC_Accelerator_Mix'!$F$2:$F$977,MATCH(G193,'02b_DC_Accelerator_Mix'!$A$2:$A$977,0)),0)</f>
        <v/>
      </c>
      <c r="J193" s="6">
        <f>IFERROR(INDEX('02b_DC_Accelerator_Mix'!$G$2:$G$977,MATCH(G193,'02b_DC_Accelerator_Mix'!$A$2:$A$977,0)),0)</f>
        <v/>
      </c>
      <c r="K193" s="6">
        <f>IFERROR(INDEX('02b_DC_Accelerator_Mix'!$H$2:$H$977,MATCH(G193,'02b_DC_Accelerator_Mix'!$A$2:$A$977,0)),0)</f>
        <v/>
      </c>
      <c r="L193" s="6">
        <f>IFERROR(INDEX('02b_DC_Accelerator_Mix'!$I$2:$I$977,MATCH(G193,'02b_DC_Accelerator_Mix'!$A$2:$A$977,0)),0)</f>
        <v/>
      </c>
      <c r="M193" s="6">
        <f>IFERROR(INDEX('02b_DC_Accelerator_Mix'!$J$2:$J$977,MATCH(G193,'02b_DC_Accelerator_Mix'!$A$2:$A$977,0)),0)</f>
        <v/>
      </c>
      <c r="N193" s="6">
        <f>IFERROR(INDEX('02b_DC_Accelerator_Mix'!$K$2:$K$977,MATCH(G193,'02b_DC_Accelerator_Mix'!$A$2:$A$977,0)),0)</f>
        <v/>
      </c>
      <c r="O193" s="6">
        <f>IFERROR(INDEX('02b_DC_Accelerator_Mix'!$L$2:$L$977,MATCH(G193,'02b_DC_Accelerator_Mix'!$A$2:$A$977,0)),0)</f>
        <v/>
      </c>
      <c r="P193" s="6">
        <f>IFERROR(INDEX('02b_DC_Accelerator_Mix'!$M$2:$M$977,MATCH(G193,'02b_DC_Accelerator_Mix'!$A$2:$A$977,0)),0)</f>
        <v/>
      </c>
      <c r="Q193" s="6">
        <f>IFERROR(INDEX('02b_DC_Accelerator_Mix'!$N$2:$N$977,MATCH(G193,'02b_DC_Accelerator_Mix'!$A$2:$A$977,0)),0)</f>
        <v/>
      </c>
      <c r="R193" s="28">
        <f>H193*I193</f>
        <v/>
      </c>
      <c r="S193" s="28">
        <f>H193*J193</f>
        <v/>
      </c>
      <c r="T193" s="28">
        <f>H193*K193</f>
        <v/>
      </c>
      <c r="U193" s="28">
        <f>H193*L193</f>
        <v/>
      </c>
      <c r="V193" s="28">
        <f>H193*M193</f>
        <v/>
      </c>
      <c r="W193" s="28">
        <f>H193*N193</f>
        <v/>
      </c>
      <c r="X193" s="28">
        <f>H193*O193</f>
        <v/>
      </c>
      <c r="Y193" s="28">
        <f>H193*P193</f>
        <v/>
      </c>
      <c r="Z193" s="28">
        <f>H193*Q193</f>
        <v/>
      </c>
      <c r="AA193" s="28">
        <f>SUM(U193:Z193)</f>
        <v/>
      </c>
      <c r="AB193" s="5">
        <f>IF(COUNTIF('02b_DC_Accelerator_Mix'!$A$2:$A$977,G193)&gt;0,"matched","missing_mix")</f>
        <v/>
      </c>
    </row>
    <row r="194">
      <c r="A194" s="5">
        <f>'02a_DC_Capacity_Alloc'!A194</f>
        <v/>
      </c>
      <c r="B194" s="5">
        <f>'02a_DC_Capacity_Alloc'!B194</f>
        <v/>
      </c>
      <c r="C194" s="5">
        <f>'02a_DC_Capacity_Alloc'!C194</f>
        <v/>
      </c>
      <c r="D194" s="5">
        <f>'02a_DC_Capacity_Alloc'!D194</f>
        <v/>
      </c>
      <c r="E194" s="5">
        <f>'02a_DC_Capacity_Alloc'!E194</f>
        <v/>
      </c>
      <c r="F194" s="5">
        <f>'02a_DC_Capacity_Alloc'!F194</f>
        <v/>
      </c>
      <c r="G194" s="5">
        <f>B194&amp;"|"&amp;E194&amp;"|"&amp;D194</f>
        <v/>
      </c>
      <c r="H194" s="28">
        <f>'02a_DC_Capacity_Alloc'!H194*'02a_DC_Capacity_Alloc'!I194*'02a_DC_Capacity_Alloc'!J194</f>
        <v/>
      </c>
      <c r="I194" s="6">
        <f>IFERROR(INDEX('02b_DC_Accelerator_Mix'!$F$2:$F$977,MATCH(G194,'02b_DC_Accelerator_Mix'!$A$2:$A$977,0)),0)</f>
        <v/>
      </c>
      <c r="J194" s="6">
        <f>IFERROR(INDEX('02b_DC_Accelerator_Mix'!$G$2:$G$977,MATCH(G194,'02b_DC_Accelerator_Mix'!$A$2:$A$977,0)),0)</f>
        <v/>
      </c>
      <c r="K194" s="6">
        <f>IFERROR(INDEX('02b_DC_Accelerator_Mix'!$H$2:$H$977,MATCH(G194,'02b_DC_Accelerator_Mix'!$A$2:$A$977,0)),0)</f>
        <v/>
      </c>
      <c r="L194" s="6">
        <f>IFERROR(INDEX('02b_DC_Accelerator_Mix'!$I$2:$I$977,MATCH(G194,'02b_DC_Accelerator_Mix'!$A$2:$A$977,0)),0)</f>
        <v/>
      </c>
      <c r="M194" s="6">
        <f>IFERROR(INDEX('02b_DC_Accelerator_Mix'!$J$2:$J$977,MATCH(G194,'02b_DC_Accelerator_Mix'!$A$2:$A$977,0)),0)</f>
        <v/>
      </c>
      <c r="N194" s="6">
        <f>IFERROR(INDEX('02b_DC_Accelerator_Mix'!$K$2:$K$977,MATCH(G194,'02b_DC_Accelerator_Mix'!$A$2:$A$977,0)),0)</f>
        <v/>
      </c>
      <c r="O194" s="6">
        <f>IFERROR(INDEX('02b_DC_Accelerator_Mix'!$L$2:$L$977,MATCH(G194,'02b_DC_Accelerator_Mix'!$A$2:$A$977,0)),0)</f>
        <v/>
      </c>
      <c r="P194" s="6">
        <f>IFERROR(INDEX('02b_DC_Accelerator_Mix'!$M$2:$M$977,MATCH(G194,'02b_DC_Accelerator_Mix'!$A$2:$A$977,0)),0)</f>
        <v/>
      </c>
      <c r="Q194" s="6">
        <f>IFERROR(INDEX('02b_DC_Accelerator_Mix'!$N$2:$N$977,MATCH(G194,'02b_DC_Accelerator_Mix'!$A$2:$A$977,0)),0)</f>
        <v/>
      </c>
      <c r="R194" s="28">
        <f>H194*I194</f>
        <v/>
      </c>
      <c r="S194" s="28">
        <f>H194*J194</f>
        <v/>
      </c>
      <c r="T194" s="28">
        <f>H194*K194</f>
        <v/>
      </c>
      <c r="U194" s="28">
        <f>H194*L194</f>
        <v/>
      </c>
      <c r="V194" s="28">
        <f>H194*M194</f>
        <v/>
      </c>
      <c r="W194" s="28">
        <f>H194*N194</f>
        <v/>
      </c>
      <c r="X194" s="28">
        <f>H194*O194</f>
        <v/>
      </c>
      <c r="Y194" s="28">
        <f>H194*P194</f>
        <v/>
      </c>
      <c r="Z194" s="28">
        <f>H194*Q194</f>
        <v/>
      </c>
      <c r="AA194" s="28">
        <f>SUM(U194:Z194)</f>
        <v/>
      </c>
      <c r="AB194" s="5">
        <f>IF(COUNTIF('02b_DC_Accelerator_Mix'!$A$2:$A$977,G194)&gt;0,"matched","missing_mix")</f>
        <v/>
      </c>
    </row>
    <row r="195">
      <c r="A195" s="5">
        <f>'02a_DC_Capacity_Alloc'!A195</f>
        <v/>
      </c>
      <c r="B195" s="5">
        <f>'02a_DC_Capacity_Alloc'!B195</f>
        <v/>
      </c>
      <c r="C195" s="5">
        <f>'02a_DC_Capacity_Alloc'!C195</f>
        <v/>
      </c>
      <c r="D195" s="5">
        <f>'02a_DC_Capacity_Alloc'!D195</f>
        <v/>
      </c>
      <c r="E195" s="5">
        <f>'02a_DC_Capacity_Alloc'!E195</f>
        <v/>
      </c>
      <c r="F195" s="5">
        <f>'02a_DC_Capacity_Alloc'!F195</f>
        <v/>
      </c>
      <c r="G195" s="5">
        <f>B195&amp;"|"&amp;E195&amp;"|"&amp;D195</f>
        <v/>
      </c>
      <c r="H195" s="28">
        <f>'02a_DC_Capacity_Alloc'!H195*'02a_DC_Capacity_Alloc'!I195*'02a_DC_Capacity_Alloc'!J195</f>
        <v/>
      </c>
      <c r="I195" s="6">
        <f>IFERROR(INDEX('02b_DC_Accelerator_Mix'!$F$2:$F$977,MATCH(G195,'02b_DC_Accelerator_Mix'!$A$2:$A$977,0)),0)</f>
        <v/>
      </c>
      <c r="J195" s="6">
        <f>IFERROR(INDEX('02b_DC_Accelerator_Mix'!$G$2:$G$977,MATCH(G195,'02b_DC_Accelerator_Mix'!$A$2:$A$977,0)),0)</f>
        <v/>
      </c>
      <c r="K195" s="6">
        <f>IFERROR(INDEX('02b_DC_Accelerator_Mix'!$H$2:$H$977,MATCH(G195,'02b_DC_Accelerator_Mix'!$A$2:$A$977,0)),0)</f>
        <v/>
      </c>
      <c r="L195" s="6">
        <f>IFERROR(INDEX('02b_DC_Accelerator_Mix'!$I$2:$I$977,MATCH(G195,'02b_DC_Accelerator_Mix'!$A$2:$A$977,0)),0)</f>
        <v/>
      </c>
      <c r="M195" s="6">
        <f>IFERROR(INDEX('02b_DC_Accelerator_Mix'!$J$2:$J$977,MATCH(G195,'02b_DC_Accelerator_Mix'!$A$2:$A$977,0)),0)</f>
        <v/>
      </c>
      <c r="N195" s="6">
        <f>IFERROR(INDEX('02b_DC_Accelerator_Mix'!$K$2:$K$977,MATCH(G195,'02b_DC_Accelerator_Mix'!$A$2:$A$977,0)),0)</f>
        <v/>
      </c>
      <c r="O195" s="6">
        <f>IFERROR(INDEX('02b_DC_Accelerator_Mix'!$L$2:$L$977,MATCH(G195,'02b_DC_Accelerator_Mix'!$A$2:$A$977,0)),0)</f>
        <v/>
      </c>
      <c r="P195" s="6">
        <f>IFERROR(INDEX('02b_DC_Accelerator_Mix'!$M$2:$M$977,MATCH(G195,'02b_DC_Accelerator_Mix'!$A$2:$A$977,0)),0)</f>
        <v/>
      </c>
      <c r="Q195" s="6">
        <f>IFERROR(INDEX('02b_DC_Accelerator_Mix'!$N$2:$N$977,MATCH(G195,'02b_DC_Accelerator_Mix'!$A$2:$A$977,0)),0)</f>
        <v/>
      </c>
      <c r="R195" s="28">
        <f>H195*I195</f>
        <v/>
      </c>
      <c r="S195" s="28">
        <f>H195*J195</f>
        <v/>
      </c>
      <c r="T195" s="28">
        <f>H195*K195</f>
        <v/>
      </c>
      <c r="U195" s="28">
        <f>H195*L195</f>
        <v/>
      </c>
      <c r="V195" s="28">
        <f>H195*M195</f>
        <v/>
      </c>
      <c r="W195" s="28">
        <f>H195*N195</f>
        <v/>
      </c>
      <c r="X195" s="28">
        <f>H195*O195</f>
        <v/>
      </c>
      <c r="Y195" s="28">
        <f>H195*P195</f>
        <v/>
      </c>
      <c r="Z195" s="28">
        <f>H195*Q195</f>
        <v/>
      </c>
      <c r="AA195" s="28">
        <f>SUM(U195:Z195)</f>
        <v/>
      </c>
      <c r="AB195" s="5">
        <f>IF(COUNTIF('02b_DC_Accelerator_Mix'!$A$2:$A$977,G195)&gt;0,"matched","missing_mix")</f>
        <v/>
      </c>
    </row>
    <row r="196">
      <c r="A196" s="5">
        <f>'02a_DC_Capacity_Alloc'!A196</f>
        <v/>
      </c>
      <c r="B196" s="5">
        <f>'02a_DC_Capacity_Alloc'!B196</f>
        <v/>
      </c>
      <c r="C196" s="5">
        <f>'02a_DC_Capacity_Alloc'!C196</f>
        <v/>
      </c>
      <c r="D196" s="5">
        <f>'02a_DC_Capacity_Alloc'!D196</f>
        <v/>
      </c>
      <c r="E196" s="5">
        <f>'02a_DC_Capacity_Alloc'!E196</f>
        <v/>
      </c>
      <c r="F196" s="5">
        <f>'02a_DC_Capacity_Alloc'!F196</f>
        <v/>
      </c>
      <c r="G196" s="5">
        <f>B196&amp;"|"&amp;E196&amp;"|"&amp;D196</f>
        <v/>
      </c>
      <c r="H196" s="28">
        <f>'02a_DC_Capacity_Alloc'!H196*'02a_DC_Capacity_Alloc'!I196*'02a_DC_Capacity_Alloc'!J196</f>
        <v/>
      </c>
      <c r="I196" s="6">
        <f>IFERROR(INDEX('02b_DC_Accelerator_Mix'!$F$2:$F$977,MATCH(G196,'02b_DC_Accelerator_Mix'!$A$2:$A$977,0)),0)</f>
        <v/>
      </c>
      <c r="J196" s="6">
        <f>IFERROR(INDEX('02b_DC_Accelerator_Mix'!$G$2:$G$977,MATCH(G196,'02b_DC_Accelerator_Mix'!$A$2:$A$977,0)),0)</f>
        <v/>
      </c>
      <c r="K196" s="6">
        <f>IFERROR(INDEX('02b_DC_Accelerator_Mix'!$H$2:$H$977,MATCH(G196,'02b_DC_Accelerator_Mix'!$A$2:$A$977,0)),0)</f>
        <v/>
      </c>
      <c r="L196" s="6">
        <f>IFERROR(INDEX('02b_DC_Accelerator_Mix'!$I$2:$I$977,MATCH(G196,'02b_DC_Accelerator_Mix'!$A$2:$A$977,0)),0)</f>
        <v/>
      </c>
      <c r="M196" s="6">
        <f>IFERROR(INDEX('02b_DC_Accelerator_Mix'!$J$2:$J$977,MATCH(G196,'02b_DC_Accelerator_Mix'!$A$2:$A$977,0)),0)</f>
        <v/>
      </c>
      <c r="N196" s="6">
        <f>IFERROR(INDEX('02b_DC_Accelerator_Mix'!$K$2:$K$977,MATCH(G196,'02b_DC_Accelerator_Mix'!$A$2:$A$977,0)),0)</f>
        <v/>
      </c>
      <c r="O196" s="6">
        <f>IFERROR(INDEX('02b_DC_Accelerator_Mix'!$L$2:$L$977,MATCH(G196,'02b_DC_Accelerator_Mix'!$A$2:$A$977,0)),0)</f>
        <v/>
      </c>
      <c r="P196" s="6">
        <f>IFERROR(INDEX('02b_DC_Accelerator_Mix'!$M$2:$M$977,MATCH(G196,'02b_DC_Accelerator_Mix'!$A$2:$A$977,0)),0)</f>
        <v/>
      </c>
      <c r="Q196" s="6">
        <f>IFERROR(INDEX('02b_DC_Accelerator_Mix'!$N$2:$N$977,MATCH(G196,'02b_DC_Accelerator_Mix'!$A$2:$A$977,0)),0)</f>
        <v/>
      </c>
      <c r="R196" s="28">
        <f>H196*I196</f>
        <v/>
      </c>
      <c r="S196" s="28">
        <f>H196*J196</f>
        <v/>
      </c>
      <c r="T196" s="28">
        <f>H196*K196</f>
        <v/>
      </c>
      <c r="U196" s="28">
        <f>H196*L196</f>
        <v/>
      </c>
      <c r="V196" s="28">
        <f>H196*M196</f>
        <v/>
      </c>
      <c r="W196" s="28">
        <f>H196*N196</f>
        <v/>
      </c>
      <c r="X196" s="28">
        <f>H196*O196</f>
        <v/>
      </c>
      <c r="Y196" s="28">
        <f>H196*P196</f>
        <v/>
      </c>
      <c r="Z196" s="28">
        <f>H196*Q196</f>
        <v/>
      </c>
      <c r="AA196" s="28">
        <f>SUM(U196:Z196)</f>
        <v/>
      </c>
      <c r="AB196" s="5">
        <f>IF(COUNTIF('02b_DC_Accelerator_Mix'!$A$2:$A$977,G196)&gt;0,"matched","missing_mix")</f>
        <v/>
      </c>
    </row>
    <row r="197">
      <c r="A197" s="5">
        <f>'02a_DC_Capacity_Alloc'!A197</f>
        <v/>
      </c>
      <c r="B197" s="5">
        <f>'02a_DC_Capacity_Alloc'!B197</f>
        <v/>
      </c>
      <c r="C197" s="5">
        <f>'02a_DC_Capacity_Alloc'!C197</f>
        <v/>
      </c>
      <c r="D197" s="5">
        <f>'02a_DC_Capacity_Alloc'!D197</f>
        <v/>
      </c>
      <c r="E197" s="5">
        <f>'02a_DC_Capacity_Alloc'!E197</f>
        <v/>
      </c>
      <c r="F197" s="5">
        <f>'02a_DC_Capacity_Alloc'!F197</f>
        <v/>
      </c>
      <c r="G197" s="5">
        <f>B197&amp;"|"&amp;E197&amp;"|"&amp;D197</f>
        <v/>
      </c>
      <c r="H197" s="28">
        <f>'02a_DC_Capacity_Alloc'!H197*'02a_DC_Capacity_Alloc'!I197*'02a_DC_Capacity_Alloc'!J197</f>
        <v/>
      </c>
      <c r="I197" s="6">
        <f>IFERROR(INDEX('02b_DC_Accelerator_Mix'!$F$2:$F$977,MATCH(G197,'02b_DC_Accelerator_Mix'!$A$2:$A$977,0)),0)</f>
        <v/>
      </c>
      <c r="J197" s="6">
        <f>IFERROR(INDEX('02b_DC_Accelerator_Mix'!$G$2:$G$977,MATCH(G197,'02b_DC_Accelerator_Mix'!$A$2:$A$977,0)),0)</f>
        <v/>
      </c>
      <c r="K197" s="6">
        <f>IFERROR(INDEX('02b_DC_Accelerator_Mix'!$H$2:$H$977,MATCH(G197,'02b_DC_Accelerator_Mix'!$A$2:$A$977,0)),0)</f>
        <v/>
      </c>
      <c r="L197" s="6">
        <f>IFERROR(INDEX('02b_DC_Accelerator_Mix'!$I$2:$I$977,MATCH(G197,'02b_DC_Accelerator_Mix'!$A$2:$A$977,0)),0)</f>
        <v/>
      </c>
      <c r="M197" s="6">
        <f>IFERROR(INDEX('02b_DC_Accelerator_Mix'!$J$2:$J$977,MATCH(G197,'02b_DC_Accelerator_Mix'!$A$2:$A$977,0)),0)</f>
        <v/>
      </c>
      <c r="N197" s="6">
        <f>IFERROR(INDEX('02b_DC_Accelerator_Mix'!$K$2:$K$977,MATCH(G197,'02b_DC_Accelerator_Mix'!$A$2:$A$977,0)),0)</f>
        <v/>
      </c>
      <c r="O197" s="6">
        <f>IFERROR(INDEX('02b_DC_Accelerator_Mix'!$L$2:$L$977,MATCH(G197,'02b_DC_Accelerator_Mix'!$A$2:$A$977,0)),0)</f>
        <v/>
      </c>
      <c r="P197" s="6">
        <f>IFERROR(INDEX('02b_DC_Accelerator_Mix'!$M$2:$M$977,MATCH(G197,'02b_DC_Accelerator_Mix'!$A$2:$A$977,0)),0)</f>
        <v/>
      </c>
      <c r="Q197" s="6">
        <f>IFERROR(INDEX('02b_DC_Accelerator_Mix'!$N$2:$N$977,MATCH(G197,'02b_DC_Accelerator_Mix'!$A$2:$A$977,0)),0)</f>
        <v/>
      </c>
      <c r="R197" s="28">
        <f>H197*I197</f>
        <v/>
      </c>
      <c r="S197" s="28">
        <f>H197*J197</f>
        <v/>
      </c>
      <c r="T197" s="28">
        <f>H197*K197</f>
        <v/>
      </c>
      <c r="U197" s="28">
        <f>H197*L197</f>
        <v/>
      </c>
      <c r="V197" s="28">
        <f>H197*M197</f>
        <v/>
      </c>
      <c r="W197" s="28">
        <f>H197*N197</f>
        <v/>
      </c>
      <c r="X197" s="28">
        <f>H197*O197</f>
        <v/>
      </c>
      <c r="Y197" s="28">
        <f>H197*P197</f>
        <v/>
      </c>
      <c r="Z197" s="28">
        <f>H197*Q197</f>
        <v/>
      </c>
      <c r="AA197" s="28">
        <f>SUM(U197:Z197)</f>
        <v/>
      </c>
      <c r="AB197" s="5">
        <f>IF(COUNTIF('02b_DC_Accelerator_Mix'!$A$2:$A$977,G197)&gt;0,"matched","missing_mix")</f>
        <v/>
      </c>
    </row>
    <row r="198">
      <c r="A198" s="5">
        <f>'02a_DC_Capacity_Alloc'!A198</f>
        <v/>
      </c>
      <c r="B198" s="5">
        <f>'02a_DC_Capacity_Alloc'!B198</f>
        <v/>
      </c>
      <c r="C198" s="5">
        <f>'02a_DC_Capacity_Alloc'!C198</f>
        <v/>
      </c>
      <c r="D198" s="5">
        <f>'02a_DC_Capacity_Alloc'!D198</f>
        <v/>
      </c>
      <c r="E198" s="5">
        <f>'02a_DC_Capacity_Alloc'!E198</f>
        <v/>
      </c>
      <c r="F198" s="5">
        <f>'02a_DC_Capacity_Alloc'!F198</f>
        <v/>
      </c>
      <c r="G198" s="5">
        <f>B198&amp;"|"&amp;E198&amp;"|"&amp;D198</f>
        <v/>
      </c>
      <c r="H198" s="28">
        <f>'02a_DC_Capacity_Alloc'!H198*'02a_DC_Capacity_Alloc'!I198*'02a_DC_Capacity_Alloc'!J198</f>
        <v/>
      </c>
      <c r="I198" s="6">
        <f>IFERROR(INDEX('02b_DC_Accelerator_Mix'!$F$2:$F$977,MATCH(G198,'02b_DC_Accelerator_Mix'!$A$2:$A$977,0)),0)</f>
        <v/>
      </c>
      <c r="J198" s="6">
        <f>IFERROR(INDEX('02b_DC_Accelerator_Mix'!$G$2:$G$977,MATCH(G198,'02b_DC_Accelerator_Mix'!$A$2:$A$977,0)),0)</f>
        <v/>
      </c>
      <c r="K198" s="6">
        <f>IFERROR(INDEX('02b_DC_Accelerator_Mix'!$H$2:$H$977,MATCH(G198,'02b_DC_Accelerator_Mix'!$A$2:$A$977,0)),0)</f>
        <v/>
      </c>
      <c r="L198" s="6">
        <f>IFERROR(INDEX('02b_DC_Accelerator_Mix'!$I$2:$I$977,MATCH(G198,'02b_DC_Accelerator_Mix'!$A$2:$A$977,0)),0)</f>
        <v/>
      </c>
      <c r="M198" s="6">
        <f>IFERROR(INDEX('02b_DC_Accelerator_Mix'!$J$2:$J$977,MATCH(G198,'02b_DC_Accelerator_Mix'!$A$2:$A$977,0)),0)</f>
        <v/>
      </c>
      <c r="N198" s="6">
        <f>IFERROR(INDEX('02b_DC_Accelerator_Mix'!$K$2:$K$977,MATCH(G198,'02b_DC_Accelerator_Mix'!$A$2:$A$977,0)),0)</f>
        <v/>
      </c>
      <c r="O198" s="6">
        <f>IFERROR(INDEX('02b_DC_Accelerator_Mix'!$L$2:$L$977,MATCH(G198,'02b_DC_Accelerator_Mix'!$A$2:$A$977,0)),0)</f>
        <v/>
      </c>
      <c r="P198" s="6">
        <f>IFERROR(INDEX('02b_DC_Accelerator_Mix'!$M$2:$M$977,MATCH(G198,'02b_DC_Accelerator_Mix'!$A$2:$A$977,0)),0)</f>
        <v/>
      </c>
      <c r="Q198" s="6">
        <f>IFERROR(INDEX('02b_DC_Accelerator_Mix'!$N$2:$N$977,MATCH(G198,'02b_DC_Accelerator_Mix'!$A$2:$A$977,0)),0)</f>
        <v/>
      </c>
      <c r="R198" s="28">
        <f>H198*I198</f>
        <v/>
      </c>
      <c r="S198" s="28">
        <f>H198*J198</f>
        <v/>
      </c>
      <c r="T198" s="28">
        <f>H198*K198</f>
        <v/>
      </c>
      <c r="U198" s="28">
        <f>H198*L198</f>
        <v/>
      </c>
      <c r="V198" s="28">
        <f>H198*M198</f>
        <v/>
      </c>
      <c r="W198" s="28">
        <f>H198*N198</f>
        <v/>
      </c>
      <c r="X198" s="28">
        <f>H198*O198</f>
        <v/>
      </c>
      <c r="Y198" s="28">
        <f>H198*P198</f>
        <v/>
      </c>
      <c r="Z198" s="28">
        <f>H198*Q198</f>
        <v/>
      </c>
      <c r="AA198" s="28">
        <f>SUM(U198:Z198)</f>
        <v/>
      </c>
      <c r="AB198" s="5">
        <f>IF(COUNTIF('02b_DC_Accelerator_Mix'!$A$2:$A$977,G198)&gt;0,"matched","missing_mix")</f>
        <v/>
      </c>
    </row>
    <row r="199">
      <c r="A199" s="5">
        <f>'02a_DC_Capacity_Alloc'!A199</f>
        <v/>
      </c>
      <c r="B199" s="5">
        <f>'02a_DC_Capacity_Alloc'!B199</f>
        <v/>
      </c>
      <c r="C199" s="5">
        <f>'02a_DC_Capacity_Alloc'!C199</f>
        <v/>
      </c>
      <c r="D199" s="5">
        <f>'02a_DC_Capacity_Alloc'!D199</f>
        <v/>
      </c>
      <c r="E199" s="5">
        <f>'02a_DC_Capacity_Alloc'!E199</f>
        <v/>
      </c>
      <c r="F199" s="5">
        <f>'02a_DC_Capacity_Alloc'!F199</f>
        <v/>
      </c>
      <c r="G199" s="5">
        <f>B199&amp;"|"&amp;E199&amp;"|"&amp;D199</f>
        <v/>
      </c>
      <c r="H199" s="28">
        <f>'02a_DC_Capacity_Alloc'!H199*'02a_DC_Capacity_Alloc'!I199*'02a_DC_Capacity_Alloc'!J199</f>
        <v/>
      </c>
      <c r="I199" s="6">
        <f>IFERROR(INDEX('02b_DC_Accelerator_Mix'!$F$2:$F$977,MATCH(G199,'02b_DC_Accelerator_Mix'!$A$2:$A$977,0)),0)</f>
        <v/>
      </c>
      <c r="J199" s="6">
        <f>IFERROR(INDEX('02b_DC_Accelerator_Mix'!$G$2:$G$977,MATCH(G199,'02b_DC_Accelerator_Mix'!$A$2:$A$977,0)),0)</f>
        <v/>
      </c>
      <c r="K199" s="6">
        <f>IFERROR(INDEX('02b_DC_Accelerator_Mix'!$H$2:$H$977,MATCH(G199,'02b_DC_Accelerator_Mix'!$A$2:$A$977,0)),0)</f>
        <v/>
      </c>
      <c r="L199" s="6">
        <f>IFERROR(INDEX('02b_DC_Accelerator_Mix'!$I$2:$I$977,MATCH(G199,'02b_DC_Accelerator_Mix'!$A$2:$A$977,0)),0)</f>
        <v/>
      </c>
      <c r="M199" s="6">
        <f>IFERROR(INDEX('02b_DC_Accelerator_Mix'!$J$2:$J$977,MATCH(G199,'02b_DC_Accelerator_Mix'!$A$2:$A$977,0)),0)</f>
        <v/>
      </c>
      <c r="N199" s="6">
        <f>IFERROR(INDEX('02b_DC_Accelerator_Mix'!$K$2:$K$977,MATCH(G199,'02b_DC_Accelerator_Mix'!$A$2:$A$977,0)),0)</f>
        <v/>
      </c>
      <c r="O199" s="6">
        <f>IFERROR(INDEX('02b_DC_Accelerator_Mix'!$L$2:$L$977,MATCH(G199,'02b_DC_Accelerator_Mix'!$A$2:$A$977,0)),0)</f>
        <v/>
      </c>
      <c r="P199" s="6">
        <f>IFERROR(INDEX('02b_DC_Accelerator_Mix'!$M$2:$M$977,MATCH(G199,'02b_DC_Accelerator_Mix'!$A$2:$A$977,0)),0)</f>
        <v/>
      </c>
      <c r="Q199" s="6">
        <f>IFERROR(INDEX('02b_DC_Accelerator_Mix'!$N$2:$N$977,MATCH(G199,'02b_DC_Accelerator_Mix'!$A$2:$A$977,0)),0)</f>
        <v/>
      </c>
      <c r="R199" s="28">
        <f>H199*I199</f>
        <v/>
      </c>
      <c r="S199" s="28">
        <f>H199*J199</f>
        <v/>
      </c>
      <c r="T199" s="28">
        <f>H199*K199</f>
        <v/>
      </c>
      <c r="U199" s="28">
        <f>H199*L199</f>
        <v/>
      </c>
      <c r="V199" s="28">
        <f>H199*M199</f>
        <v/>
      </c>
      <c r="W199" s="28">
        <f>H199*N199</f>
        <v/>
      </c>
      <c r="X199" s="28">
        <f>H199*O199</f>
        <v/>
      </c>
      <c r="Y199" s="28">
        <f>H199*P199</f>
        <v/>
      </c>
      <c r="Z199" s="28">
        <f>H199*Q199</f>
        <v/>
      </c>
      <c r="AA199" s="28">
        <f>SUM(U199:Z199)</f>
        <v/>
      </c>
      <c r="AB199" s="5">
        <f>IF(COUNTIF('02b_DC_Accelerator_Mix'!$A$2:$A$977,G199)&gt;0,"matched","missing_mix")</f>
        <v/>
      </c>
    </row>
    <row r="200">
      <c r="A200" s="5">
        <f>'02a_DC_Capacity_Alloc'!A200</f>
        <v/>
      </c>
      <c r="B200" s="5">
        <f>'02a_DC_Capacity_Alloc'!B200</f>
        <v/>
      </c>
      <c r="C200" s="5">
        <f>'02a_DC_Capacity_Alloc'!C200</f>
        <v/>
      </c>
      <c r="D200" s="5">
        <f>'02a_DC_Capacity_Alloc'!D200</f>
        <v/>
      </c>
      <c r="E200" s="5">
        <f>'02a_DC_Capacity_Alloc'!E200</f>
        <v/>
      </c>
      <c r="F200" s="5">
        <f>'02a_DC_Capacity_Alloc'!F200</f>
        <v/>
      </c>
      <c r="G200" s="5">
        <f>B200&amp;"|"&amp;E200&amp;"|"&amp;D200</f>
        <v/>
      </c>
      <c r="H200" s="28">
        <f>'02a_DC_Capacity_Alloc'!H200*'02a_DC_Capacity_Alloc'!I200*'02a_DC_Capacity_Alloc'!J200</f>
        <v/>
      </c>
      <c r="I200" s="6">
        <f>IFERROR(INDEX('02b_DC_Accelerator_Mix'!$F$2:$F$977,MATCH(G200,'02b_DC_Accelerator_Mix'!$A$2:$A$977,0)),0)</f>
        <v/>
      </c>
      <c r="J200" s="6">
        <f>IFERROR(INDEX('02b_DC_Accelerator_Mix'!$G$2:$G$977,MATCH(G200,'02b_DC_Accelerator_Mix'!$A$2:$A$977,0)),0)</f>
        <v/>
      </c>
      <c r="K200" s="6">
        <f>IFERROR(INDEX('02b_DC_Accelerator_Mix'!$H$2:$H$977,MATCH(G200,'02b_DC_Accelerator_Mix'!$A$2:$A$977,0)),0)</f>
        <v/>
      </c>
      <c r="L200" s="6">
        <f>IFERROR(INDEX('02b_DC_Accelerator_Mix'!$I$2:$I$977,MATCH(G200,'02b_DC_Accelerator_Mix'!$A$2:$A$977,0)),0)</f>
        <v/>
      </c>
      <c r="M200" s="6">
        <f>IFERROR(INDEX('02b_DC_Accelerator_Mix'!$J$2:$J$977,MATCH(G200,'02b_DC_Accelerator_Mix'!$A$2:$A$977,0)),0)</f>
        <v/>
      </c>
      <c r="N200" s="6">
        <f>IFERROR(INDEX('02b_DC_Accelerator_Mix'!$K$2:$K$977,MATCH(G200,'02b_DC_Accelerator_Mix'!$A$2:$A$977,0)),0)</f>
        <v/>
      </c>
      <c r="O200" s="6">
        <f>IFERROR(INDEX('02b_DC_Accelerator_Mix'!$L$2:$L$977,MATCH(G200,'02b_DC_Accelerator_Mix'!$A$2:$A$977,0)),0)</f>
        <v/>
      </c>
      <c r="P200" s="6">
        <f>IFERROR(INDEX('02b_DC_Accelerator_Mix'!$M$2:$M$977,MATCH(G200,'02b_DC_Accelerator_Mix'!$A$2:$A$977,0)),0)</f>
        <v/>
      </c>
      <c r="Q200" s="6">
        <f>IFERROR(INDEX('02b_DC_Accelerator_Mix'!$N$2:$N$977,MATCH(G200,'02b_DC_Accelerator_Mix'!$A$2:$A$977,0)),0)</f>
        <v/>
      </c>
      <c r="R200" s="28">
        <f>H200*I200</f>
        <v/>
      </c>
      <c r="S200" s="28">
        <f>H200*J200</f>
        <v/>
      </c>
      <c r="T200" s="28">
        <f>H200*K200</f>
        <v/>
      </c>
      <c r="U200" s="28">
        <f>H200*L200</f>
        <v/>
      </c>
      <c r="V200" s="28">
        <f>H200*M200</f>
        <v/>
      </c>
      <c r="W200" s="28">
        <f>H200*N200</f>
        <v/>
      </c>
      <c r="X200" s="28">
        <f>H200*O200</f>
        <v/>
      </c>
      <c r="Y200" s="28">
        <f>H200*P200</f>
        <v/>
      </c>
      <c r="Z200" s="28">
        <f>H200*Q200</f>
        <v/>
      </c>
      <c r="AA200" s="28">
        <f>SUM(U200:Z200)</f>
        <v/>
      </c>
      <c r="AB200" s="5">
        <f>IF(COUNTIF('02b_DC_Accelerator_Mix'!$A$2:$A$977,G200)&gt;0,"matched","missing_mix")</f>
        <v/>
      </c>
    </row>
    <row r="201">
      <c r="A201" s="5">
        <f>'02a_DC_Capacity_Alloc'!A201</f>
        <v/>
      </c>
      <c r="B201" s="5">
        <f>'02a_DC_Capacity_Alloc'!B201</f>
        <v/>
      </c>
      <c r="C201" s="5">
        <f>'02a_DC_Capacity_Alloc'!C201</f>
        <v/>
      </c>
      <c r="D201" s="5">
        <f>'02a_DC_Capacity_Alloc'!D201</f>
        <v/>
      </c>
      <c r="E201" s="5">
        <f>'02a_DC_Capacity_Alloc'!E201</f>
        <v/>
      </c>
      <c r="F201" s="5">
        <f>'02a_DC_Capacity_Alloc'!F201</f>
        <v/>
      </c>
      <c r="G201" s="5">
        <f>B201&amp;"|"&amp;E201&amp;"|"&amp;D201</f>
        <v/>
      </c>
      <c r="H201" s="28">
        <f>'02a_DC_Capacity_Alloc'!H201*'02a_DC_Capacity_Alloc'!I201*'02a_DC_Capacity_Alloc'!J201</f>
        <v/>
      </c>
      <c r="I201" s="6">
        <f>IFERROR(INDEX('02b_DC_Accelerator_Mix'!$F$2:$F$977,MATCH(G201,'02b_DC_Accelerator_Mix'!$A$2:$A$977,0)),0)</f>
        <v/>
      </c>
      <c r="J201" s="6">
        <f>IFERROR(INDEX('02b_DC_Accelerator_Mix'!$G$2:$G$977,MATCH(G201,'02b_DC_Accelerator_Mix'!$A$2:$A$977,0)),0)</f>
        <v/>
      </c>
      <c r="K201" s="6">
        <f>IFERROR(INDEX('02b_DC_Accelerator_Mix'!$H$2:$H$977,MATCH(G201,'02b_DC_Accelerator_Mix'!$A$2:$A$977,0)),0)</f>
        <v/>
      </c>
      <c r="L201" s="6">
        <f>IFERROR(INDEX('02b_DC_Accelerator_Mix'!$I$2:$I$977,MATCH(G201,'02b_DC_Accelerator_Mix'!$A$2:$A$977,0)),0)</f>
        <v/>
      </c>
      <c r="M201" s="6">
        <f>IFERROR(INDEX('02b_DC_Accelerator_Mix'!$J$2:$J$977,MATCH(G201,'02b_DC_Accelerator_Mix'!$A$2:$A$977,0)),0)</f>
        <v/>
      </c>
      <c r="N201" s="6">
        <f>IFERROR(INDEX('02b_DC_Accelerator_Mix'!$K$2:$K$977,MATCH(G201,'02b_DC_Accelerator_Mix'!$A$2:$A$977,0)),0)</f>
        <v/>
      </c>
      <c r="O201" s="6">
        <f>IFERROR(INDEX('02b_DC_Accelerator_Mix'!$L$2:$L$977,MATCH(G201,'02b_DC_Accelerator_Mix'!$A$2:$A$977,0)),0)</f>
        <v/>
      </c>
      <c r="P201" s="6">
        <f>IFERROR(INDEX('02b_DC_Accelerator_Mix'!$M$2:$M$977,MATCH(G201,'02b_DC_Accelerator_Mix'!$A$2:$A$977,0)),0)</f>
        <v/>
      </c>
      <c r="Q201" s="6">
        <f>IFERROR(INDEX('02b_DC_Accelerator_Mix'!$N$2:$N$977,MATCH(G201,'02b_DC_Accelerator_Mix'!$A$2:$A$977,0)),0)</f>
        <v/>
      </c>
      <c r="R201" s="28">
        <f>H201*I201</f>
        <v/>
      </c>
      <c r="S201" s="28">
        <f>H201*J201</f>
        <v/>
      </c>
      <c r="T201" s="28">
        <f>H201*K201</f>
        <v/>
      </c>
      <c r="U201" s="28">
        <f>H201*L201</f>
        <v/>
      </c>
      <c r="V201" s="28">
        <f>H201*M201</f>
        <v/>
      </c>
      <c r="W201" s="28">
        <f>H201*N201</f>
        <v/>
      </c>
      <c r="X201" s="28">
        <f>H201*O201</f>
        <v/>
      </c>
      <c r="Y201" s="28">
        <f>H201*P201</f>
        <v/>
      </c>
      <c r="Z201" s="28">
        <f>H201*Q201</f>
        <v/>
      </c>
      <c r="AA201" s="28">
        <f>SUM(U201:Z201)</f>
        <v/>
      </c>
      <c r="AB201" s="5">
        <f>IF(COUNTIF('02b_DC_Accelerator_Mix'!$A$2:$A$977,G201)&gt;0,"matched","missing_mix")</f>
        <v/>
      </c>
    </row>
    <row r="202">
      <c r="A202" s="5">
        <f>'02a_DC_Capacity_Alloc'!A202</f>
        <v/>
      </c>
      <c r="B202" s="5">
        <f>'02a_DC_Capacity_Alloc'!B202</f>
        <v/>
      </c>
      <c r="C202" s="5">
        <f>'02a_DC_Capacity_Alloc'!C202</f>
        <v/>
      </c>
      <c r="D202" s="5">
        <f>'02a_DC_Capacity_Alloc'!D202</f>
        <v/>
      </c>
      <c r="E202" s="5">
        <f>'02a_DC_Capacity_Alloc'!E202</f>
        <v/>
      </c>
      <c r="F202" s="5">
        <f>'02a_DC_Capacity_Alloc'!F202</f>
        <v/>
      </c>
      <c r="G202" s="5">
        <f>B202&amp;"|"&amp;E202&amp;"|"&amp;D202</f>
        <v/>
      </c>
      <c r="H202" s="28">
        <f>'02a_DC_Capacity_Alloc'!H202*'02a_DC_Capacity_Alloc'!I202*'02a_DC_Capacity_Alloc'!J202</f>
        <v/>
      </c>
      <c r="I202" s="6">
        <f>IFERROR(INDEX('02b_DC_Accelerator_Mix'!$F$2:$F$977,MATCH(G202,'02b_DC_Accelerator_Mix'!$A$2:$A$977,0)),0)</f>
        <v/>
      </c>
      <c r="J202" s="6">
        <f>IFERROR(INDEX('02b_DC_Accelerator_Mix'!$G$2:$G$977,MATCH(G202,'02b_DC_Accelerator_Mix'!$A$2:$A$977,0)),0)</f>
        <v/>
      </c>
      <c r="K202" s="6">
        <f>IFERROR(INDEX('02b_DC_Accelerator_Mix'!$H$2:$H$977,MATCH(G202,'02b_DC_Accelerator_Mix'!$A$2:$A$977,0)),0)</f>
        <v/>
      </c>
      <c r="L202" s="6">
        <f>IFERROR(INDEX('02b_DC_Accelerator_Mix'!$I$2:$I$977,MATCH(G202,'02b_DC_Accelerator_Mix'!$A$2:$A$977,0)),0)</f>
        <v/>
      </c>
      <c r="M202" s="6">
        <f>IFERROR(INDEX('02b_DC_Accelerator_Mix'!$J$2:$J$977,MATCH(G202,'02b_DC_Accelerator_Mix'!$A$2:$A$977,0)),0)</f>
        <v/>
      </c>
      <c r="N202" s="6">
        <f>IFERROR(INDEX('02b_DC_Accelerator_Mix'!$K$2:$K$977,MATCH(G202,'02b_DC_Accelerator_Mix'!$A$2:$A$977,0)),0)</f>
        <v/>
      </c>
      <c r="O202" s="6">
        <f>IFERROR(INDEX('02b_DC_Accelerator_Mix'!$L$2:$L$977,MATCH(G202,'02b_DC_Accelerator_Mix'!$A$2:$A$977,0)),0)</f>
        <v/>
      </c>
      <c r="P202" s="6">
        <f>IFERROR(INDEX('02b_DC_Accelerator_Mix'!$M$2:$M$977,MATCH(G202,'02b_DC_Accelerator_Mix'!$A$2:$A$977,0)),0)</f>
        <v/>
      </c>
      <c r="Q202" s="6">
        <f>IFERROR(INDEX('02b_DC_Accelerator_Mix'!$N$2:$N$977,MATCH(G202,'02b_DC_Accelerator_Mix'!$A$2:$A$977,0)),0)</f>
        <v/>
      </c>
      <c r="R202" s="28">
        <f>H202*I202</f>
        <v/>
      </c>
      <c r="S202" s="28">
        <f>H202*J202</f>
        <v/>
      </c>
      <c r="T202" s="28">
        <f>H202*K202</f>
        <v/>
      </c>
      <c r="U202" s="28">
        <f>H202*L202</f>
        <v/>
      </c>
      <c r="V202" s="28">
        <f>H202*M202</f>
        <v/>
      </c>
      <c r="W202" s="28">
        <f>H202*N202</f>
        <v/>
      </c>
      <c r="X202" s="28">
        <f>H202*O202</f>
        <v/>
      </c>
      <c r="Y202" s="28">
        <f>H202*P202</f>
        <v/>
      </c>
      <c r="Z202" s="28">
        <f>H202*Q202</f>
        <v/>
      </c>
      <c r="AA202" s="28">
        <f>SUM(U202:Z202)</f>
        <v/>
      </c>
      <c r="AB202" s="5">
        <f>IF(COUNTIF('02b_DC_Accelerator_Mix'!$A$2:$A$977,G202)&gt;0,"matched","missing_mix")</f>
        <v/>
      </c>
    </row>
    <row r="203">
      <c r="A203" s="5">
        <f>'02a_DC_Capacity_Alloc'!A203</f>
        <v/>
      </c>
      <c r="B203" s="5">
        <f>'02a_DC_Capacity_Alloc'!B203</f>
        <v/>
      </c>
      <c r="C203" s="5">
        <f>'02a_DC_Capacity_Alloc'!C203</f>
        <v/>
      </c>
      <c r="D203" s="5">
        <f>'02a_DC_Capacity_Alloc'!D203</f>
        <v/>
      </c>
      <c r="E203" s="5">
        <f>'02a_DC_Capacity_Alloc'!E203</f>
        <v/>
      </c>
      <c r="F203" s="5">
        <f>'02a_DC_Capacity_Alloc'!F203</f>
        <v/>
      </c>
      <c r="G203" s="5">
        <f>B203&amp;"|"&amp;E203&amp;"|"&amp;D203</f>
        <v/>
      </c>
      <c r="H203" s="28">
        <f>'02a_DC_Capacity_Alloc'!H203*'02a_DC_Capacity_Alloc'!I203*'02a_DC_Capacity_Alloc'!J203</f>
        <v/>
      </c>
      <c r="I203" s="6">
        <f>IFERROR(INDEX('02b_DC_Accelerator_Mix'!$F$2:$F$977,MATCH(G203,'02b_DC_Accelerator_Mix'!$A$2:$A$977,0)),0)</f>
        <v/>
      </c>
      <c r="J203" s="6">
        <f>IFERROR(INDEX('02b_DC_Accelerator_Mix'!$G$2:$G$977,MATCH(G203,'02b_DC_Accelerator_Mix'!$A$2:$A$977,0)),0)</f>
        <v/>
      </c>
      <c r="K203" s="6">
        <f>IFERROR(INDEX('02b_DC_Accelerator_Mix'!$H$2:$H$977,MATCH(G203,'02b_DC_Accelerator_Mix'!$A$2:$A$977,0)),0)</f>
        <v/>
      </c>
      <c r="L203" s="6">
        <f>IFERROR(INDEX('02b_DC_Accelerator_Mix'!$I$2:$I$977,MATCH(G203,'02b_DC_Accelerator_Mix'!$A$2:$A$977,0)),0)</f>
        <v/>
      </c>
      <c r="M203" s="6">
        <f>IFERROR(INDEX('02b_DC_Accelerator_Mix'!$J$2:$J$977,MATCH(G203,'02b_DC_Accelerator_Mix'!$A$2:$A$977,0)),0)</f>
        <v/>
      </c>
      <c r="N203" s="6">
        <f>IFERROR(INDEX('02b_DC_Accelerator_Mix'!$K$2:$K$977,MATCH(G203,'02b_DC_Accelerator_Mix'!$A$2:$A$977,0)),0)</f>
        <v/>
      </c>
      <c r="O203" s="6">
        <f>IFERROR(INDEX('02b_DC_Accelerator_Mix'!$L$2:$L$977,MATCH(G203,'02b_DC_Accelerator_Mix'!$A$2:$A$977,0)),0)</f>
        <v/>
      </c>
      <c r="P203" s="6">
        <f>IFERROR(INDEX('02b_DC_Accelerator_Mix'!$M$2:$M$977,MATCH(G203,'02b_DC_Accelerator_Mix'!$A$2:$A$977,0)),0)</f>
        <v/>
      </c>
      <c r="Q203" s="6">
        <f>IFERROR(INDEX('02b_DC_Accelerator_Mix'!$N$2:$N$977,MATCH(G203,'02b_DC_Accelerator_Mix'!$A$2:$A$977,0)),0)</f>
        <v/>
      </c>
      <c r="R203" s="28">
        <f>H203*I203</f>
        <v/>
      </c>
      <c r="S203" s="28">
        <f>H203*J203</f>
        <v/>
      </c>
      <c r="T203" s="28">
        <f>H203*K203</f>
        <v/>
      </c>
      <c r="U203" s="28">
        <f>H203*L203</f>
        <v/>
      </c>
      <c r="V203" s="28">
        <f>H203*M203</f>
        <v/>
      </c>
      <c r="W203" s="28">
        <f>H203*N203</f>
        <v/>
      </c>
      <c r="X203" s="28">
        <f>H203*O203</f>
        <v/>
      </c>
      <c r="Y203" s="28">
        <f>H203*P203</f>
        <v/>
      </c>
      <c r="Z203" s="28">
        <f>H203*Q203</f>
        <v/>
      </c>
      <c r="AA203" s="28">
        <f>SUM(U203:Z203)</f>
        <v/>
      </c>
      <c r="AB203" s="5">
        <f>IF(COUNTIF('02b_DC_Accelerator_Mix'!$A$2:$A$977,G203)&gt;0,"matched","missing_mix")</f>
        <v/>
      </c>
    </row>
    <row r="204">
      <c r="A204" s="5">
        <f>'02a_DC_Capacity_Alloc'!A204</f>
        <v/>
      </c>
      <c r="B204" s="5">
        <f>'02a_DC_Capacity_Alloc'!B204</f>
        <v/>
      </c>
      <c r="C204" s="5">
        <f>'02a_DC_Capacity_Alloc'!C204</f>
        <v/>
      </c>
      <c r="D204" s="5">
        <f>'02a_DC_Capacity_Alloc'!D204</f>
        <v/>
      </c>
      <c r="E204" s="5">
        <f>'02a_DC_Capacity_Alloc'!E204</f>
        <v/>
      </c>
      <c r="F204" s="5">
        <f>'02a_DC_Capacity_Alloc'!F204</f>
        <v/>
      </c>
      <c r="G204" s="5">
        <f>B204&amp;"|"&amp;E204&amp;"|"&amp;D204</f>
        <v/>
      </c>
      <c r="H204" s="28">
        <f>'02a_DC_Capacity_Alloc'!H204*'02a_DC_Capacity_Alloc'!I204*'02a_DC_Capacity_Alloc'!J204</f>
        <v/>
      </c>
      <c r="I204" s="6">
        <f>IFERROR(INDEX('02b_DC_Accelerator_Mix'!$F$2:$F$977,MATCH(G204,'02b_DC_Accelerator_Mix'!$A$2:$A$977,0)),0)</f>
        <v/>
      </c>
      <c r="J204" s="6">
        <f>IFERROR(INDEX('02b_DC_Accelerator_Mix'!$G$2:$G$977,MATCH(G204,'02b_DC_Accelerator_Mix'!$A$2:$A$977,0)),0)</f>
        <v/>
      </c>
      <c r="K204" s="6">
        <f>IFERROR(INDEX('02b_DC_Accelerator_Mix'!$H$2:$H$977,MATCH(G204,'02b_DC_Accelerator_Mix'!$A$2:$A$977,0)),0)</f>
        <v/>
      </c>
      <c r="L204" s="6">
        <f>IFERROR(INDEX('02b_DC_Accelerator_Mix'!$I$2:$I$977,MATCH(G204,'02b_DC_Accelerator_Mix'!$A$2:$A$977,0)),0)</f>
        <v/>
      </c>
      <c r="M204" s="6">
        <f>IFERROR(INDEX('02b_DC_Accelerator_Mix'!$J$2:$J$977,MATCH(G204,'02b_DC_Accelerator_Mix'!$A$2:$A$977,0)),0)</f>
        <v/>
      </c>
      <c r="N204" s="6">
        <f>IFERROR(INDEX('02b_DC_Accelerator_Mix'!$K$2:$K$977,MATCH(G204,'02b_DC_Accelerator_Mix'!$A$2:$A$977,0)),0)</f>
        <v/>
      </c>
      <c r="O204" s="6">
        <f>IFERROR(INDEX('02b_DC_Accelerator_Mix'!$L$2:$L$977,MATCH(G204,'02b_DC_Accelerator_Mix'!$A$2:$A$977,0)),0)</f>
        <v/>
      </c>
      <c r="P204" s="6">
        <f>IFERROR(INDEX('02b_DC_Accelerator_Mix'!$M$2:$M$977,MATCH(G204,'02b_DC_Accelerator_Mix'!$A$2:$A$977,0)),0)</f>
        <v/>
      </c>
      <c r="Q204" s="6">
        <f>IFERROR(INDEX('02b_DC_Accelerator_Mix'!$N$2:$N$977,MATCH(G204,'02b_DC_Accelerator_Mix'!$A$2:$A$977,0)),0)</f>
        <v/>
      </c>
      <c r="R204" s="28">
        <f>H204*I204</f>
        <v/>
      </c>
      <c r="S204" s="28">
        <f>H204*J204</f>
        <v/>
      </c>
      <c r="T204" s="28">
        <f>H204*K204</f>
        <v/>
      </c>
      <c r="U204" s="28">
        <f>H204*L204</f>
        <v/>
      </c>
      <c r="V204" s="28">
        <f>H204*M204</f>
        <v/>
      </c>
      <c r="W204" s="28">
        <f>H204*N204</f>
        <v/>
      </c>
      <c r="X204" s="28">
        <f>H204*O204</f>
        <v/>
      </c>
      <c r="Y204" s="28">
        <f>H204*P204</f>
        <v/>
      </c>
      <c r="Z204" s="28">
        <f>H204*Q204</f>
        <v/>
      </c>
      <c r="AA204" s="28">
        <f>SUM(U204:Z204)</f>
        <v/>
      </c>
      <c r="AB204" s="5">
        <f>IF(COUNTIF('02b_DC_Accelerator_Mix'!$A$2:$A$977,G204)&gt;0,"matched","missing_mix")</f>
        <v/>
      </c>
    </row>
    <row r="205">
      <c r="A205" s="5">
        <f>'02a_DC_Capacity_Alloc'!A205</f>
        <v/>
      </c>
      <c r="B205" s="5">
        <f>'02a_DC_Capacity_Alloc'!B205</f>
        <v/>
      </c>
      <c r="C205" s="5">
        <f>'02a_DC_Capacity_Alloc'!C205</f>
        <v/>
      </c>
      <c r="D205" s="5">
        <f>'02a_DC_Capacity_Alloc'!D205</f>
        <v/>
      </c>
      <c r="E205" s="5">
        <f>'02a_DC_Capacity_Alloc'!E205</f>
        <v/>
      </c>
      <c r="F205" s="5">
        <f>'02a_DC_Capacity_Alloc'!F205</f>
        <v/>
      </c>
      <c r="G205" s="5">
        <f>B205&amp;"|"&amp;E205&amp;"|"&amp;D205</f>
        <v/>
      </c>
      <c r="H205" s="28">
        <f>'02a_DC_Capacity_Alloc'!H205*'02a_DC_Capacity_Alloc'!I205*'02a_DC_Capacity_Alloc'!J205</f>
        <v/>
      </c>
      <c r="I205" s="6">
        <f>IFERROR(INDEX('02b_DC_Accelerator_Mix'!$F$2:$F$977,MATCH(G205,'02b_DC_Accelerator_Mix'!$A$2:$A$977,0)),0)</f>
        <v/>
      </c>
      <c r="J205" s="6">
        <f>IFERROR(INDEX('02b_DC_Accelerator_Mix'!$G$2:$G$977,MATCH(G205,'02b_DC_Accelerator_Mix'!$A$2:$A$977,0)),0)</f>
        <v/>
      </c>
      <c r="K205" s="6">
        <f>IFERROR(INDEX('02b_DC_Accelerator_Mix'!$H$2:$H$977,MATCH(G205,'02b_DC_Accelerator_Mix'!$A$2:$A$977,0)),0)</f>
        <v/>
      </c>
      <c r="L205" s="6">
        <f>IFERROR(INDEX('02b_DC_Accelerator_Mix'!$I$2:$I$977,MATCH(G205,'02b_DC_Accelerator_Mix'!$A$2:$A$977,0)),0)</f>
        <v/>
      </c>
      <c r="M205" s="6">
        <f>IFERROR(INDEX('02b_DC_Accelerator_Mix'!$J$2:$J$977,MATCH(G205,'02b_DC_Accelerator_Mix'!$A$2:$A$977,0)),0)</f>
        <v/>
      </c>
      <c r="N205" s="6">
        <f>IFERROR(INDEX('02b_DC_Accelerator_Mix'!$K$2:$K$977,MATCH(G205,'02b_DC_Accelerator_Mix'!$A$2:$A$977,0)),0)</f>
        <v/>
      </c>
      <c r="O205" s="6">
        <f>IFERROR(INDEX('02b_DC_Accelerator_Mix'!$L$2:$L$977,MATCH(G205,'02b_DC_Accelerator_Mix'!$A$2:$A$977,0)),0)</f>
        <v/>
      </c>
      <c r="P205" s="6">
        <f>IFERROR(INDEX('02b_DC_Accelerator_Mix'!$M$2:$M$977,MATCH(G205,'02b_DC_Accelerator_Mix'!$A$2:$A$977,0)),0)</f>
        <v/>
      </c>
      <c r="Q205" s="6">
        <f>IFERROR(INDEX('02b_DC_Accelerator_Mix'!$N$2:$N$977,MATCH(G205,'02b_DC_Accelerator_Mix'!$A$2:$A$977,0)),0)</f>
        <v/>
      </c>
      <c r="R205" s="28">
        <f>H205*I205</f>
        <v/>
      </c>
      <c r="S205" s="28">
        <f>H205*J205</f>
        <v/>
      </c>
      <c r="T205" s="28">
        <f>H205*K205</f>
        <v/>
      </c>
      <c r="U205" s="28">
        <f>H205*L205</f>
        <v/>
      </c>
      <c r="V205" s="28">
        <f>H205*M205</f>
        <v/>
      </c>
      <c r="W205" s="28">
        <f>H205*N205</f>
        <v/>
      </c>
      <c r="X205" s="28">
        <f>H205*O205</f>
        <v/>
      </c>
      <c r="Y205" s="28">
        <f>H205*P205</f>
        <v/>
      </c>
      <c r="Z205" s="28">
        <f>H205*Q205</f>
        <v/>
      </c>
      <c r="AA205" s="28">
        <f>SUM(U205:Z205)</f>
        <v/>
      </c>
      <c r="AB205" s="5">
        <f>IF(COUNTIF('02b_DC_Accelerator_Mix'!$A$2:$A$977,G205)&gt;0,"matched","missing_mix")</f>
        <v/>
      </c>
    </row>
    <row r="206">
      <c r="A206" s="5">
        <f>'02a_DC_Capacity_Alloc'!A206</f>
        <v/>
      </c>
      <c r="B206" s="5">
        <f>'02a_DC_Capacity_Alloc'!B206</f>
        <v/>
      </c>
      <c r="C206" s="5">
        <f>'02a_DC_Capacity_Alloc'!C206</f>
        <v/>
      </c>
      <c r="D206" s="5">
        <f>'02a_DC_Capacity_Alloc'!D206</f>
        <v/>
      </c>
      <c r="E206" s="5">
        <f>'02a_DC_Capacity_Alloc'!E206</f>
        <v/>
      </c>
      <c r="F206" s="5">
        <f>'02a_DC_Capacity_Alloc'!F206</f>
        <v/>
      </c>
      <c r="G206" s="5">
        <f>B206&amp;"|"&amp;E206&amp;"|"&amp;D206</f>
        <v/>
      </c>
      <c r="H206" s="28">
        <f>'02a_DC_Capacity_Alloc'!H206*'02a_DC_Capacity_Alloc'!I206*'02a_DC_Capacity_Alloc'!J206</f>
        <v/>
      </c>
      <c r="I206" s="6">
        <f>IFERROR(INDEX('02b_DC_Accelerator_Mix'!$F$2:$F$977,MATCH(G206,'02b_DC_Accelerator_Mix'!$A$2:$A$977,0)),0)</f>
        <v/>
      </c>
      <c r="J206" s="6">
        <f>IFERROR(INDEX('02b_DC_Accelerator_Mix'!$G$2:$G$977,MATCH(G206,'02b_DC_Accelerator_Mix'!$A$2:$A$977,0)),0)</f>
        <v/>
      </c>
      <c r="K206" s="6">
        <f>IFERROR(INDEX('02b_DC_Accelerator_Mix'!$H$2:$H$977,MATCH(G206,'02b_DC_Accelerator_Mix'!$A$2:$A$977,0)),0)</f>
        <v/>
      </c>
      <c r="L206" s="6">
        <f>IFERROR(INDEX('02b_DC_Accelerator_Mix'!$I$2:$I$977,MATCH(G206,'02b_DC_Accelerator_Mix'!$A$2:$A$977,0)),0)</f>
        <v/>
      </c>
      <c r="M206" s="6">
        <f>IFERROR(INDEX('02b_DC_Accelerator_Mix'!$J$2:$J$977,MATCH(G206,'02b_DC_Accelerator_Mix'!$A$2:$A$977,0)),0)</f>
        <v/>
      </c>
      <c r="N206" s="6">
        <f>IFERROR(INDEX('02b_DC_Accelerator_Mix'!$K$2:$K$977,MATCH(G206,'02b_DC_Accelerator_Mix'!$A$2:$A$977,0)),0)</f>
        <v/>
      </c>
      <c r="O206" s="6">
        <f>IFERROR(INDEX('02b_DC_Accelerator_Mix'!$L$2:$L$977,MATCH(G206,'02b_DC_Accelerator_Mix'!$A$2:$A$977,0)),0)</f>
        <v/>
      </c>
      <c r="P206" s="6">
        <f>IFERROR(INDEX('02b_DC_Accelerator_Mix'!$M$2:$M$977,MATCH(G206,'02b_DC_Accelerator_Mix'!$A$2:$A$977,0)),0)</f>
        <v/>
      </c>
      <c r="Q206" s="6">
        <f>IFERROR(INDEX('02b_DC_Accelerator_Mix'!$N$2:$N$977,MATCH(G206,'02b_DC_Accelerator_Mix'!$A$2:$A$977,0)),0)</f>
        <v/>
      </c>
      <c r="R206" s="28">
        <f>H206*I206</f>
        <v/>
      </c>
      <c r="S206" s="28">
        <f>H206*J206</f>
        <v/>
      </c>
      <c r="T206" s="28">
        <f>H206*K206</f>
        <v/>
      </c>
      <c r="U206" s="28">
        <f>H206*L206</f>
        <v/>
      </c>
      <c r="V206" s="28">
        <f>H206*M206</f>
        <v/>
      </c>
      <c r="W206" s="28">
        <f>H206*N206</f>
        <v/>
      </c>
      <c r="X206" s="28">
        <f>H206*O206</f>
        <v/>
      </c>
      <c r="Y206" s="28">
        <f>H206*P206</f>
        <v/>
      </c>
      <c r="Z206" s="28">
        <f>H206*Q206</f>
        <v/>
      </c>
      <c r="AA206" s="28">
        <f>SUM(U206:Z206)</f>
        <v/>
      </c>
      <c r="AB206" s="5">
        <f>IF(COUNTIF('02b_DC_Accelerator_Mix'!$A$2:$A$977,G206)&gt;0,"matched","missing_mix")</f>
        <v/>
      </c>
    </row>
    <row r="207">
      <c r="A207" s="5">
        <f>'02a_DC_Capacity_Alloc'!A207</f>
        <v/>
      </c>
      <c r="B207" s="5">
        <f>'02a_DC_Capacity_Alloc'!B207</f>
        <v/>
      </c>
      <c r="C207" s="5">
        <f>'02a_DC_Capacity_Alloc'!C207</f>
        <v/>
      </c>
      <c r="D207" s="5">
        <f>'02a_DC_Capacity_Alloc'!D207</f>
        <v/>
      </c>
      <c r="E207" s="5">
        <f>'02a_DC_Capacity_Alloc'!E207</f>
        <v/>
      </c>
      <c r="F207" s="5">
        <f>'02a_DC_Capacity_Alloc'!F207</f>
        <v/>
      </c>
      <c r="G207" s="5">
        <f>B207&amp;"|"&amp;E207&amp;"|"&amp;D207</f>
        <v/>
      </c>
      <c r="H207" s="28">
        <f>'02a_DC_Capacity_Alloc'!H207*'02a_DC_Capacity_Alloc'!I207*'02a_DC_Capacity_Alloc'!J207</f>
        <v/>
      </c>
      <c r="I207" s="6">
        <f>IFERROR(INDEX('02b_DC_Accelerator_Mix'!$F$2:$F$977,MATCH(G207,'02b_DC_Accelerator_Mix'!$A$2:$A$977,0)),0)</f>
        <v/>
      </c>
      <c r="J207" s="6">
        <f>IFERROR(INDEX('02b_DC_Accelerator_Mix'!$G$2:$G$977,MATCH(G207,'02b_DC_Accelerator_Mix'!$A$2:$A$977,0)),0)</f>
        <v/>
      </c>
      <c r="K207" s="6">
        <f>IFERROR(INDEX('02b_DC_Accelerator_Mix'!$H$2:$H$977,MATCH(G207,'02b_DC_Accelerator_Mix'!$A$2:$A$977,0)),0)</f>
        <v/>
      </c>
      <c r="L207" s="6">
        <f>IFERROR(INDEX('02b_DC_Accelerator_Mix'!$I$2:$I$977,MATCH(G207,'02b_DC_Accelerator_Mix'!$A$2:$A$977,0)),0)</f>
        <v/>
      </c>
      <c r="M207" s="6">
        <f>IFERROR(INDEX('02b_DC_Accelerator_Mix'!$J$2:$J$977,MATCH(G207,'02b_DC_Accelerator_Mix'!$A$2:$A$977,0)),0)</f>
        <v/>
      </c>
      <c r="N207" s="6">
        <f>IFERROR(INDEX('02b_DC_Accelerator_Mix'!$K$2:$K$977,MATCH(G207,'02b_DC_Accelerator_Mix'!$A$2:$A$977,0)),0)</f>
        <v/>
      </c>
      <c r="O207" s="6">
        <f>IFERROR(INDEX('02b_DC_Accelerator_Mix'!$L$2:$L$977,MATCH(G207,'02b_DC_Accelerator_Mix'!$A$2:$A$977,0)),0)</f>
        <v/>
      </c>
      <c r="P207" s="6">
        <f>IFERROR(INDEX('02b_DC_Accelerator_Mix'!$M$2:$M$977,MATCH(G207,'02b_DC_Accelerator_Mix'!$A$2:$A$977,0)),0)</f>
        <v/>
      </c>
      <c r="Q207" s="6">
        <f>IFERROR(INDEX('02b_DC_Accelerator_Mix'!$N$2:$N$977,MATCH(G207,'02b_DC_Accelerator_Mix'!$A$2:$A$977,0)),0)</f>
        <v/>
      </c>
      <c r="R207" s="28">
        <f>H207*I207</f>
        <v/>
      </c>
      <c r="S207" s="28">
        <f>H207*J207</f>
        <v/>
      </c>
      <c r="T207" s="28">
        <f>H207*K207</f>
        <v/>
      </c>
      <c r="U207" s="28">
        <f>H207*L207</f>
        <v/>
      </c>
      <c r="V207" s="28">
        <f>H207*M207</f>
        <v/>
      </c>
      <c r="W207" s="28">
        <f>H207*N207</f>
        <v/>
      </c>
      <c r="X207" s="28">
        <f>H207*O207</f>
        <v/>
      </c>
      <c r="Y207" s="28">
        <f>H207*P207</f>
        <v/>
      </c>
      <c r="Z207" s="28">
        <f>H207*Q207</f>
        <v/>
      </c>
      <c r="AA207" s="28">
        <f>SUM(U207:Z207)</f>
        <v/>
      </c>
      <c r="AB207" s="5">
        <f>IF(COUNTIF('02b_DC_Accelerator_Mix'!$A$2:$A$977,G207)&gt;0,"matched","missing_mix")</f>
        <v/>
      </c>
    </row>
    <row r="208">
      <c r="A208" s="5">
        <f>'02a_DC_Capacity_Alloc'!A208</f>
        <v/>
      </c>
      <c r="B208" s="5">
        <f>'02a_DC_Capacity_Alloc'!B208</f>
        <v/>
      </c>
      <c r="C208" s="5">
        <f>'02a_DC_Capacity_Alloc'!C208</f>
        <v/>
      </c>
      <c r="D208" s="5">
        <f>'02a_DC_Capacity_Alloc'!D208</f>
        <v/>
      </c>
      <c r="E208" s="5">
        <f>'02a_DC_Capacity_Alloc'!E208</f>
        <v/>
      </c>
      <c r="F208" s="5">
        <f>'02a_DC_Capacity_Alloc'!F208</f>
        <v/>
      </c>
      <c r="G208" s="5">
        <f>B208&amp;"|"&amp;E208&amp;"|"&amp;D208</f>
        <v/>
      </c>
      <c r="H208" s="28">
        <f>'02a_DC_Capacity_Alloc'!H208*'02a_DC_Capacity_Alloc'!I208*'02a_DC_Capacity_Alloc'!J208</f>
        <v/>
      </c>
      <c r="I208" s="6">
        <f>IFERROR(INDEX('02b_DC_Accelerator_Mix'!$F$2:$F$977,MATCH(G208,'02b_DC_Accelerator_Mix'!$A$2:$A$977,0)),0)</f>
        <v/>
      </c>
      <c r="J208" s="6">
        <f>IFERROR(INDEX('02b_DC_Accelerator_Mix'!$G$2:$G$977,MATCH(G208,'02b_DC_Accelerator_Mix'!$A$2:$A$977,0)),0)</f>
        <v/>
      </c>
      <c r="K208" s="6">
        <f>IFERROR(INDEX('02b_DC_Accelerator_Mix'!$H$2:$H$977,MATCH(G208,'02b_DC_Accelerator_Mix'!$A$2:$A$977,0)),0)</f>
        <v/>
      </c>
      <c r="L208" s="6">
        <f>IFERROR(INDEX('02b_DC_Accelerator_Mix'!$I$2:$I$977,MATCH(G208,'02b_DC_Accelerator_Mix'!$A$2:$A$977,0)),0)</f>
        <v/>
      </c>
      <c r="M208" s="6">
        <f>IFERROR(INDEX('02b_DC_Accelerator_Mix'!$J$2:$J$977,MATCH(G208,'02b_DC_Accelerator_Mix'!$A$2:$A$977,0)),0)</f>
        <v/>
      </c>
      <c r="N208" s="6">
        <f>IFERROR(INDEX('02b_DC_Accelerator_Mix'!$K$2:$K$977,MATCH(G208,'02b_DC_Accelerator_Mix'!$A$2:$A$977,0)),0)</f>
        <v/>
      </c>
      <c r="O208" s="6">
        <f>IFERROR(INDEX('02b_DC_Accelerator_Mix'!$L$2:$L$977,MATCH(G208,'02b_DC_Accelerator_Mix'!$A$2:$A$977,0)),0)</f>
        <v/>
      </c>
      <c r="P208" s="6">
        <f>IFERROR(INDEX('02b_DC_Accelerator_Mix'!$M$2:$M$977,MATCH(G208,'02b_DC_Accelerator_Mix'!$A$2:$A$977,0)),0)</f>
        <v/>
      </c>
      <c r="Q208" s="6">
        <f>IFERROR(INDEX('02b_DC_Accelerator_Mix'!$N$2:$N$977,MATCH(G208,'02b_DC_Accelerator_Mix'!$A$2:$A$977,0)),0)</f>
        <v/>
      </c>
      <c r="R208" s="28">
        <f>H208*I208</f>
        <v/>
      </c>
      <c r="S208" s="28">
        <f>H208*J208</f>
        <v/>
      </c>
      <c r="T208" s="28">
        <f>H208*K208</f>
        <v/>
      </c>
      <c r="U208" s="28">
        <f>H208*L208</f>
        <v/>
      </c>
      <c r="V208" s="28">
        <f>H208*M208</f>
        <v/>
      </c>
      <c r="W208" s="28">
        <f>H208*N208</f>
        <v/>
      </c>
      <c r="X208" s="28">
        <f>H208*O208</f>
        <v/>
      </c>
      <c r="Y208" s="28">
        <f>H208*P208</f>
        <v/>
      </c>
      <c r="Z208" s="28">
        <f>H208*Q208</f>
        <v/>
      </c>
      <c r="AA208" s="28">
        <f>SUM(U208:Z208)</f>
        <v/>
      </c>
      <c r="AB208" s="5">
        <f>IF(COUNTIF('02b_DC_Accelerator_Mix'!$A$2:$A$977,G208)&gt;0,"matched","missing_mix")</f>
        <v/>
      </c>
    </row>
    <row r="209">
      <c r="A209" s="5">
        <f>'02a_DC_Capacity_Alloc'!A209</f>
        <v/>
      </c>
      <c r="B209" s="5">
        <f>'02a_DC_Capacity_Alloc'!B209</f>
        <v/>
      </c>
      <c r="C209" s="5">
        <f>'02a_DC_Capacity_Alloc'!C209</f>
        <v/>
      </c>
      <c r="D209" s="5">
        <f>'02a_DC_Capacity_Alloc'!D209</f>
        <v/>
      </c>
      <c r="E209" s="5">
        <f>'02a_DC_Capacity_Alloc'!E209</f>
        <v/>
      </c>
      <c r="F209" s="5">
        <f>'02a_DC_Capacity_Alloc'!F209</f>
        <v/>
      </c>
      <c r="G209" s="5">
        <f>B209&amp;"|"&amp;E209&amp;"|"&amp;D209</f>
        <v/>
      </c>
      <c r="H209" s="28">
        <f>'02a_DC_Capacity_Alloc'!H209*'02a_DC_Capacity_Alloc'!I209*'02a_DC_Capacity_Alloc'!J209</f>
        <v/>
      </c>
      <c r="I209" s="6">
        <f>IFERROR(INDEX('02b_DC_Accelerator_Mix'!$F$2:$F$977,MATCH(G209,'02b_DC_Accelerator_Mix'!$A$2:$A$977,0)),0)</f>
        <v/>
      </c>
      <c r="J209" s="6">
        <f>IFERROR(INDEX('02b_DC_Accelerator_Mix'!$G$2:$G$977,MATCH(G209,'02b_DC_Accelerator_Mix'!$A$2:$A$977,0)),0)</f>
        <v/>
      </c>
      <c r="K209" s="6">
        <f>IFERROR(INDEX('02b_DC_Accelerator_Mix'!$H$2:$H$977,MATCH(G209,'02b_DC_Accelerator_Mix'!$A$2:$A$977,0)),0)</f>
        <v/>
      </c>
      <c r="L209" s="6">
        <f>IFERROR(INDEX('02b_DC_Accelerator_Mix'!$I$2:$I$977,MATCH(G209,'02b_DC_Accelerator_Mix'!$A$2:$A$977,0)),0)</f>
        <v/>
      </c>
      <c r="M209" s="6">
        <f>IFERROR(INDEX('02b_DC_Accelerator_Mix'!$J$2:$J$977,MATCH(G209,'02b_DC_Accelerator_Mix'!$A$2:$A$977,0)),0)</f>
        <v/>
      </c>
      <c r="N209" s="6">
        <f>IFERROR(INDEX('02b_DC_Accelerator_Mix'!$K$2:$K$977,MATCH(G209,'02b_DC_Accelerator_Mix'!$A$2:$A$977,0)),0)</f>
        <v/>
      </c>
      <c r="O209" s="6">
        <f>IFERROR(INDEX('02b_DC_Accelerator_Mix'!$L$2:$L$977,MATCH(G209,'02b_DC_Accelerator_Mix'!$A$2:$A$977,0)),0)</f>
        <v/>
      </c>
      <c r="P209" s="6">
        <f>IFERROR(INDEX('02b_DC_Accelerator_Mix'!$M$2:$M$977,MATCH(G209,'02b_DC_Accelerator_Mix'!$A$2:$A$977,0)),0)</f>
        <v/>
      </c>
      <c r="Q209" s="6">
        <f>IFERROR(INDEX('02b_DC_Accelerator_Mix'!$N$2:$N$977,MATCH(G209,'02b_DC_Accelerator_Mix'!$A$2:$A$977,0)),0)</f>
        <v/>
      </c>
      <c r="R209" s="28">
        <f>H209*I209</f>
        <v/>
      </c>
      <c r="S209" s="28">
        <f>H209*J209</f>
        <v/>
      </c>
      <c r="T209" s="28">
        <f>H209*K209</f>
        <v/>
      </c>
      <c r="U209" s="28">
        <f>H209*L209</f>
        <v/>
      </c>
      <c r="V209" s="28">
        <f>H209*M209</f>
        <v/>
      </c>
      <c r="W209" s="28">
        <f>H209*N209</f>
        <v/>
      </c>
      <c r="X209" s="28">
        <f>H209*O209</f>
        <v/>
      </c>
      <c r="Y209" s="28">
        <f>H209*P209</f>
        <v/>
      </c>
      <c r="Z209" s="28">
        <f>H209*Q209</f>
        <v/>
      </c>
      <c r="AA209" s="28">
        <f>SUM(U209:Z209)</f>
        <v/>
      </c>
      <c r="AB209" s="5">
        <f>IF(COUNTIF('02b_DC_Accelerator_Mix'!$A$2:$A$977,G209)&gt;0,"matched","missing_mix")</f>
        <v/>
      </c>
    </row>
    <row r="210">
      <c r="A210" s="5">
        <f>'02a_DC_Capacity_Alloc'!A210</f>
        <v/>
      </c>
      <c r="B210" s="5">
        <f>'02a_DC_Capacity_Alloc'!B210</f>
        <v/>
      </c>
      <c r="C210" s="5">
        <f>'02a_DC_Capacity_Alloc'!C210</f>
        <v/>
      </c>
      <c r="D210" s="5">
        <f>'02a_DC_Capacity_Alloc'!D210</f>
        <v/>
      </c>
      <c r="E210" s="5">
        <f>'02a_DC_Capacity_Alloc'!E210</f>
        <v/>
      </c>
      <c r="F210" s="5">
        <f>'02a_DC_Capacity_Alloc'!F210</f>
        <v/>
      </c>
      <c r="G210" s="5">
        <f>B210&amp;"|"&amp;E210&amp;"|"&amp;D210</f>
        <v/>
      </c>
      <c r="H210" s="28">
        <f>'02a_DC_Capacity_Alloc'!H210*'02a_DC_Capacity_Alloc'!I210*'02a_DC_Capacity_Alloc'!J210</f>
        <v/>
      </c>
      <c r="I210" s="6">
        <f>IFERROR(INDEX('02b_DC_Accelerator_Mix'!$F$2:$F$977,MATCH(G210,'02b_DC_Accelerator_Mix'!$A$2:$A$977,0)),0)</f>
        <v/>
      </c>
      <c r="J210" s="6">
        <f>IFERROR(INDEX('02b_DC_Accelerator_Mix'!$G$2:$G$977,MATCH(G210,'02b_DC_Accelerator_Mix'!$A$2:$A$977,0)),0)</f>
        <v/>
      </c>
      <c r="K210" s="6">
        <f>IFERROR(INDEX('02b_DC_Accelerator_Mix'!$H$2:$H$977,MATCH(G210,'02b_DC_Accelerator_Mix'!$A$2:$A$977,0)),0)</f>
        <v/>
      </c>
      <c r="L210" s="6">
        <f>IFERROR(INDEX('02b_DC_Accelerator_Mix'!$I$2:$I$977,MATCH(G210,'02b_DC_Accelerator_Mix'!$A$2:$A$977,0)),0)</f>
        <v/>
      </c>
      <c r="M210" s="6">
        <f>IFERROR(INDEX('02b_DC_Accelerator_Mix'!$J$2:$J$977,MATCH(G210,'02b_DC_Accelerator_Mix'!$A$2:$A$977,0)),0)</f>
        <v/>
      </c>
      <c r="N210" s="6">
        <f>IFERROR(INDEX('02b_DC_Accelerator_Mix'!$K$2:$K$977,MATCH(G210,'02b_DC_Accelerator_Mix'!$A$2:$A$977,0)),0)</f>
        <v/>
      </c>
      <c r="O210" s="6">
        <f>IFERROR(INDEX('02b_DC_Accelerator_Mix'!$L$2:$L$977,MATCH(G210,'02b_DC_Accelerator_Mix'!$A$2:$A$977,0)),0)</f>
        <v/>
      </c>
      <c r="P210" s="6">
        <f>IFERROR(INDEX('02b_DC_Accelerator_Mix'!$M$2:$M$977,MATCH(G210,'02b_DC_Accelerator_Mix'!$A$2:$A$977,0)),0)</f>
        <v/>
      </c>
      <c r="Q210" s="6">
        <f>IFERROR(INDEX('02b_DC_Accelerator_Mix'!$N$2:$N$977,MATCH(G210,'02b_DC_Accelerator_Mix'!$A$2:$A$977,0)),0)</f>
        <v/>
      </c>
      <c r="R210" s="28">
        <f>H210*I210</f>
        <v/>
      </c>
      <c r="S210" s="28">
        <f>H210*J210</f>
        <v/>
      </c>
      <c r="T210" s="28">
        <f>H210*K210</f>
        <v/>
      </c>
      <c r="U210" s="28">
        <f>H210*L210</f>
        <v/>
      </c>
      <c r="V210" s="28">
        <f>H210*M210</f>
        <v/>
      </c>
      <c r="W210" s="28">
        <f>H210*N210</f>
        <v/>
      </c>
      <c r="X210" s="28">
        <f>H210*O210</f>
        <v/>
      </c>
      <c r="Y210" s="28">
        <f>H210*P210</f>
        <v/>
      </c>
      <c r="Z210" s="28">
        <f>H210*Q210</f>
        <v/>
      </c>
      <c r="AA210" s="28">
        <f>SUM(U210:Z210)</f>
        <v/>
      </c>
      <c r="AB210" s="5">
        <f>IF(COUNTIF('02b_DC_Accelerator_Mix'!$A$2:$A$977,G210)&gt;0,"matched","missing_mix")</f>
        <v/>
      </c>
    </row>
    <row r="211">
      <c r="A211" s="5">
        <f>'02a_DC_Capacity_Alloc'!A211</f>
        <v/>
      </c>
      <c r="B211" s="5">
        <f>'02a_DC_Capacity_Alloc'!B211</f>
        <v/>
      </c>
      <c r="C211" s="5">
        <f>'02a_DC_Capacity_Alloc'!C211</f>
        <v/>
      </c>
      <c r="D211" s="5">
        <f>'02a_DC_Capacity_Alloc'!D211</f>
        <v/>
      </c>
      <c r="E211" s="5">
        <f>'02a_DC_Capacity_Alloc'!E211</f>
        <v/>
      </c>
      <c r="F211" s="5">
        <f>'02a_DC_Capacity_Alloc'!F211</f>
        <v/>
      </c>
      <c r="G211" s="5">
        <f>B211&amp;"|"&amp;E211&amp;"|"&amp;D211</f>
        <v/>
      </c>
      <c r="H211" s="28">
        <f>'02a_DC_Capacity_Alloc'!H211*'02a_DC_Capacity_Alloc'!I211*'02a_DC_Capacity_Alloc'!J211</f>
        <v/>
      </c>
      <c r="I211" s="6">
        <f>IFERROR(INDEX('02b_DC_Accelerator_Mix'!$F$2:$F$977,MATCH(G211,'02b_DC_Accelerator_Mix'!$A$2:$A$977,0)),0)</f>
        <v/>
      </c>
      <c r="J211" s="6">
        <f>IFERROR(INDEX('02b_DC_Accelerator_Mix'!$G$2:$G$977,MATCH(G211,'02b_DC_Accelerator_Mix'!$A$2:$A$977,0)),0)</f>
        <v/>
      </c>
      <c r="K211" s="6">
        <f>IFERROR(INDEX('02b_DC_Accelerator_Mix'!$H$2:$H$977,MATCH(G211,'02b_DC_Accelerator_Mix'!$A$2:$A$977,0)),0)</f>
        <v/>
      </c>
      <c r="L211" s="6">
        <f>IFERROR(INDEX('02b_DC_Accelerator_Mix'!$I$2:$I$977,MATCH(G211,'02b_DC_Accelerator_Mix'!$A$2:$A$977,0)),0)</f>
        <v/>
      </c>
      <c r="M211" s="6">
        <f>IFERROR(INDEX('02b_DC_Accelerator_Mix'!$J$2:$J$977,MATCH(G211,'02b_DC_Accelerator_Mix'!$A$2:$A$977,0)),0)</f>
        <v/>
      </c>
      <c r="N211" s="6">
        <f>IFERROR(INDEX('02b_DC_Accelerator_Mix'!$K$2:$K$977,MATCH(G211,'02b_DC_Accelerator_Mix'!$A$2:$A$977,0)),0)</f>
        <v/>
      </c>
      <c r="O211" s="6">
        <f>IFERROR(INDEX('02b_DC_Accelerator_Mix'!$L$2:$L$977,MATCH(G211,'02b_DC_Accelerator_Mix'!$A$2:$A$977,0)),0)</f>
        <v/>
      </c>
      <c r="P211" s="6">
        <f>IFERROR(INDEX('02b_DC_Accelerator_Mix'!$M$2:$M$977,MATCH(G211,'02b_DC_Accelerator_Mix'!$A$2:$A$977,0)),0)</f>
        <v/>
      </c>
      <c r="Q211" s="6">
        <f>IFERROR(INDEX('02b_DC_Accelerator_Mix'!$N$2:$N$977,MATCH(G211,'02b_DC_Accelerator_Mix'!$A$2:$A$977,0)),0)</f>
        <v/>
      </c>
      <c r="R211" s="28">
        <f>H211*I211</f>
        <v/>
      </c>
      <c r="S211" s="28">
        <f>H211*J211</f>
        <v/>
      </c>
      <c r="T211" s="28">
        <f>H211*K211</f>
        <v/>
      </c>
      <c r="U211" s="28">
        <f>H211*L211</f>
        <v/>
      </c>
      <c r="V211" s="28">
        <f>H211*M211</f>
        <v/>
      </c>
      <c r="W211" s="28">
        <f>H211*N211</f>
        <v/>
      </c>
      <c r="X211" s="28">
        <f>H211*O211</f>
        <v/>
      </c>
      <c r="Y211" s="28">
        <f>H211*P211</f>
        <v/>
      </c>
      <c r="Z211" s="28">
        <f>H211*Q211</f>
        <v/>
      </c>
      <c r="AA211" s="28">
        <f>SUM(U211:Z211)</f>
        <v/>
      </c>
      <c r="AB211" s="5">
        <f>IF(COUNTIF('02b_DC_Accelerator_Mix'!$A$2:$A$977,G211)&gt;0,"matched","missing_mix")</f>
        <v/>
      </c>
    </row>
    <row r="212">
      <c r="A212" s="5">
        <f>'02a_DC_Capacity_Alloc'!A212</f>
        <v/>
      </c>
      <c r="B212" s="5">
        <f>'02a_DC_Capacity_Alloc'!B212</f>
        <v/>
      </c>
      <c r="C212" s="5">
        <f>'02a_DC_Capacity_Alloc'!C212</f>
        <v/>
      </c>
      <c r="D212" s="5">
        <f>'02a_DC_Capacity_Alloc'!D212</f>
        <v/>
      </c>
      <c r="E212" s="5">
        <f>'02a_DC_Capacity_Alloc'!E212</f>
        <v/>
      </c>
      <c r="F212" s="5">
        <f>'02a_DC_Capacity_Alloc'!F212</f>
        <v/>
      </c>
      <c r="G212" s="5">
        <f>B212&amp;"|"&amp;E212&amp;"|"&amp;D212</f>
        <v/>
      </c>
      <c r="H212" s="28">
        <f>'02a_DC_Capacity_Alloc'!H212*'02a_DC_Capacity_Alloc'!I212*'02a_DC_Capacity_Alloc'!J212</f>
        <v/>
      </c>
      <c r="I212" s="6">
        <f>IFERROR(INDEX('02b_DC_Accelerator_Mix'!$F$2:$F$977,MATCH(G212,'02b_DC_Accelerator_Mix'!$A$2:$A$977,0)),0)</f>
        <v/>
      </c>
      <c r="J212" s="6">
        <f>IFERROR(INDEX('02b_DC_Accelerator_Mix'!$G$2:$G$977,MATCH(G212,'02b_DC_Accelerator_Mix'!$A$2:$A$977,0)),0)</f>
        <v/>
      </c>
      <c r="K212" s="6">
        <f>IFERROR(INDEX('02b_DC_Accelerator_Mix'!$H$2:$H$977,MATCH(G212,'02b_DC_Accelerator_Mix'!$A$2:$A$977,0)),0)</f>
        <v/>
      </c>
      <c r="L212" s="6">
        <f>IFERROR(INDEX('02b_DC_Accelerator_Mix'!$I$2:$I$977,MATCH(G212,'02b_DC_Accelerator_Mix'!$A$2:$A$977,0)),0)</f>
        <v/>
      </c>
      <c r="M212" s="6">
        <f>IFERROR(INDEX('02b_DC_Accelerator_Mix'!$J$2:$J$977,MATCH(G212,'02b_DC_Accelerator_Mix'!$A$2:$A$977,0)),0)</f>
        <v/>
      </c>
      <c r="N212" s="6">
        <f>IFERROR(INDEX('02b_DC_Accelerator_Mix'!$K$2:$K$977,MATCH(G212,'02b_DC_Accelerator_Mix'!$A$2:$A$977,0)),0)</f>
        <v/>
      </c>
      <c r="O212" s="6">
        <f>IFERROR(INDEX('02b_DC_Accelerator_Mix'!$L$2:$L$977,MATCH(G212,'02b_DC_Accelerator_Mix'!$A$2:$A$977,0)),0)</f>
        <v/>
      </c>
      <c r="P212" s="6">
        <f>IFERROR(INDEX('02b_DC_Accelerator_Mix'!$M$2:$M$977,MATCH(G212,'02b_DC_Accelerator_Mix'!$A$2:$A$977,0)),0)</f>
        <v/>
      </c>
      <c r="Q212" s="6">
        <f>IFERROR(INDEX('02b_DC_Accelerator_Mix'!$N$2:$N$977,MATCH(G212,'02b_DC_Accelerator_Mix'!$A$2:$A$977,0)),0)</f>
        <v/>
      </c>
      <c r="R212" s="28">
        <f>H212*I212</f>
        <v/>
      </c>
      <c r="S212" s="28">
        <f>H212*J212</f>
        <v/>
      </c>
      <c r="T212" s="28">
        <f>H212*K212</f>
        <v/>
      </c>
      <c r="U212" s="28">
        <f>H212*L212</f>
        <v/>
      </c>
      <c r="V212" s="28">
        <f>H212*M212</f>
        <v/>
      </c>
      <c r="W212" s="28">
        <f>H212*N212</f>
        <v/>
      </c>
      <c r="X212" s="28">
        <f>H212*O212</f>
        <v/>
      </c>
      <c r="Y212" s="28">
        <f>H212*P212</f>
        <v/>
      </c>
      <c r="Z212" s="28">
        <f>H212*Q212</f>
        <v/>
      </c>
      <c r="AA212" s="28">
        <f>SUM(U212:Z212)</f>
        <v/>
      </c>
      <c r="AB212" s="5">
        <f>IF(COUNTIF('02b_DC_Accelerator_Mix'!$A$2:$A$977,G212)&gt;0,"matched","missing_mix")</f>
        <v/>
      </c>
    </row>
    <row r="213">
      <c r="A213" s="5">
        <f>'02a_DC_Capacity_Alloc'!A213</f>
        <v/>
      </c>
      <c r="B213" s="5">
        <f>'02a_DC_Capacity_Alloc'!B213</f>
        <v/>
      </c>
      <c r="C213" s="5">
        <f>'02a_DC_Capacity_Alloc'!C213</f>
        <v/>
      </c>
      <c r="D213" s="5">
        <f>'02a_DC_Capacity_Alloc'!D213</f>
        <v/>
      </c>
      <c r="E213" s="5">
        <f>'02a_DC_Capacity_Alloc'!E213</f>
        <v/>
      </c>
      <c r="F213" s="5">
        <f>'02a_DC_Capacity_Alloc'!F213</f>
        <v/>
      </c>
      <c r="G213" s="5">
        <f>B213&amp;"|"&amp;E213&amp;"|"&amp;D213</f>
        <v/>
      </c>
      <c r="H213" s="28">
        <f>'02a_DC_Capacity_Alloc'!H213*'02a_DC_Capacity_Alloc'!I213*'02a_DC_Capacity_Alloc'!J213</f>
        <v/>
      </c>
      <c r="I213" s="6">
        <f>IFERROR(INDEX('02b_DC_Accelerator_Mix'!$F$2:$F$977,MATCH(G213,'02b_DC_Accelerator_Mix'!$A$2:$A$977,0)),0)</f>
        <v/>
      </c>
      <c r="J213" s="6">
        <f>IFERROR(INDEX('02b_DC_Accelerator_Mix'!$G$2:$G$977,MATCH(G213,'02b_DC_Accelerator_Mix'!$A$2:$A$977,0)),0)</f>
        <v/>
      </c>
      <c r="K213" s="6">
        <f>IFERROR(INDEX('02b_DC_Accelerator_Mix'!$H$2:$H$977,MATCH(G213,'02b_DC_Accelerator_Mix'!$A$2:$A$977,0)),0)</f>
        <v/>
      </c>
      <c r="L213" s="6">
        <f>IFERROR(INDEX('02b_DC_Accelerator_Mix'!$I$2:$I$977,MATCH(G213,'02b_DC_Accelerator_Mix'!$A$2:$A$977,0)),0)</f>
        <v/>
      </c>
      <c r="M213" s="6">
        <f>IFERROR(INDEX('02b_DC_Accelerator_Mix'!$J$2:$J$977,MATCH(G213,'02b_DC_Accelerator_Mix'!$A$2:$A$977,0)),0)</f>
        <v/>
      </c>
      <c r="N213" s="6">
        <f>IFERROR(INDEX('02b_DC_Accelerator_Mix'!$K$2:$K$977,MATCH(G213,'02b_DC_Accelerator_Mix'!$A$2:$A$977,0)),0)</f>
        <v/>
      </c>
      <c r="O213" s="6">
        <f>IFERROR(INDEX('02b_DC_Accelerator_Mix'!$L$2:$L$977,MATCH(G213,'02b_DC_Accelerator_Mix'!$A$2:$A$977,0)),0)</f>
        <v/>
      </c>
      <c r="P213" s="6">
        <f>IFERROR(INDEX('02b_DC_Accelerator_Mix'!$M$2:$M$977,MATCH(G213,'02b_DC_Accelerator_Mix'!$A$2:$A$977,0)),0)</f>
        <v/>
      </c>
      <c r="Q213" s="6">
        <f>IFERROR(INDEX('02b_DC_Accelerator_Mix'!$N$2:$N$977,MATCH(G213,'02b_DC_Accelerator_Mix'!$A$2:$A$977,0)),0)</f>
        <v/>
      </c>
      <c r="R213" s="28">
        <f>H213*I213</f>
        <v/>
      </c>
      <c r="S213" s="28">
        <f>H213*J213</f>
        <v/>
      </c>
      <c r="T213" s="28">
        <f>H213*K213</f>
        <v/>
      </c>
      <c r="U213" s="28">
        <f>H213*L213</f>
        <v/>
      </c>
      <c r="V213" s="28">
        <f>H213*M213</f>
        <v/>
      </c>
      <c r="W213" s="28">
        <f>H213*N213</f>
        <v/>
      </c>
      <c r="X213" s="28">
        <f>H213*O213</f>
        <v/>
      </c>
      <c r="Y213" s="28">
        <f>H213*P213</f>
        <v/>
      </c>
      <c r="Z213" s="28">
        <f>H213*Q213</f>
        <v/>
      </c>
      <c r="AA213" s="28">
        <f>SUM(U213:Z213)</f>
        <v/>
      </c>
      <c r="AB213" s="5">
        <f>IF(COUNTIF('02b_DC_Accelerator_Mix'!$A$2:$A$977,G213)&gt;0,"matched","missing_mix")</f>
        <v/>
      </c>
    </row>
    <row r="214">
      <c r="A214" s="5">
        <f>'02a_DC_Capacity_Alloc'!A214</f>
        <v/>
      </c>
      <c r="B214" s="5">
        <f>'02a_DC_Capacity_Alloc'!B214</f>
        <v/>
      </c>
      <c r="C214" s="5">
        <f>'02a_DC_Capacity_Alloc'!C214</f>
        <v/>
      </c>
      <c r="D214" s="5">
        <f>'02a_DC_Capacity_Alloc'!D214</f>
        <v/>
      </c>
      <c r="E214" s="5">
        <f>'02a_DC_Capacity_Alloc'!E214</f>
        <v/>
      </c>
      <c r="F214" s="5">
        <f>'02a_DC_Capacity_Alloc'!F214</f>
        <v/>
      </c>
      <c r="G214" s="5">
        <f>B214&amp;"|"&amp;E214&amp;"|"&amp;D214</f>
        <v/>
      </c>
      <c r="H214" s="28">
        <f>'02a_DC_Capacity_Alloc'!H214*'02a_DC_Capacity_Alloc'!I214*'02a_DC_Capacity_Alloc'!J214</f>
        <v/>
      </c>
      <c r="I214" s="6">
        <f>IFERROR(INDEX('02b_DC_Accelerator_Mix'!$F$2:$F$977,MATCH(G214,'02b_DC_Accelerator_Mix'!$A$2:$A$977,0)),0)</f>
        <v/>
      </c>
      <c r="J214" s="6">
        <f>IFERROR(INDEX('02b_DC_Accelerator_Mix'!$G$2:$G$977,MATCH(G214,'02b_DC_Accelerator_Mix'!$A$2:$A$977,0)),0)</f>
        <v/>
      </c>
      <c r="K214" s="6">
        <f>IFERROR(INDEX('02b_DC_Accelerator_Mix'!$H$2:$H$977,MATCH(G214,'02b_DC_Accelerator_Mix'!$A$2:$A$977,0)),0)</f>
        <v/>
      </c>
      <c r="L214" s="6">
        <f>IFERROR(INDEX('02b_DC_Accelerator_Mix'!$I$2:$I$977,MATCH(G214,'02b_DC_Accelerator_Mix'!$A$2:$A$977,0)),0)</f>
        <v/>
      </c>
      <c r="M214" s="6">
        <f>IFERROR(INDEX('02b_DC_Accelerator_Mix'!$J$2:$J$977,MATCH(G214,'02b_DC_Accelerator_Mix'!$A$2:$A$977,0)),0)</f>
        <v/>
      </c>
      <c r="N214" s="6">
        <f>IFERROR(INDEX('02b_DC_Accelerator_Mix'!$K$2:$K$977,MATCH(G214,'02b_DC_Accelerator_Mix'!$A$2:$A$977,0)),0)</f>
        <v/>
      </c>
      <c r="O214" s="6">
        <f>IFERROR(INDEX('02b_DC_Accelerator_Mix'!$L$2:$L$977,MATCH(G214,'02b_DC_Accelerator_Mix'!$A$2:$A$977,0)),0)</f>
        <v/>
      </c>
      <c r="P214" s="6">
        <f>IFERROR(INDEX('02b_DC_Accelerator_Mix'!$M$2:$M$977,MATCH(G214,'02b_DC_Accelerator_Mix'!$A$2:$A$977,0)),0)</f>
        <v/>
      </c>
      <c r="Q214" s="6">
        <f>IFERROR(INDEX('02b_DC_Accelerator_Mix'!$N$2:$N$977,MATCH(G214,'02b_DC_Accelerator_Mix'!$A$2:$A$977,0)),0)</f>
        <v/>
      </c>
      <c r="R214" s="28">
        <f>H214*I214</f>
        <v/>
      </c>
      <c r="S214" s="28">
        <f>H214*J214</f>
        <v/>
      </c>
      <c r="T214" s="28">
        <f>H214*K214</f>
        <v/>
      </c>
      <c r="U214" s="28">
        <f>H214*L214</f>
        <v/>
      </c>
      <c r="V214" s="28">
        <f>H214*M214</f>
        <v/>
      </c>
      <c r="W214" s="28">
        <f>H214*N214</f>
        <v/>
      </c>
      <c r="X214" s="28">
        <f>H214*O214</f>
        <v/>
      </c>
      <c r="Y214" s="28">
        <f>H214*P214</f>
        <v/>
      </c>
      <c r="Z214" s="28">
        <f>H214*Q214</f>
        <v/>
      </c>
      <c r="AA214" s="28">
        <f>SUM(U214:Z214)</f>
        <v/>
      </c>
      <c r="AB214" s="5">
        <f>IF(COUNTIF('02b_DC_Accelerator_Mix'!$A$2:$A$977,G214)&gt;0,"matched","missing_mix")</f>
        <v/>
      </c>
    </row>
    <row r="215">
      <c r="A215" s="5">
        <f>'02a_DC_Capacity_Alloc'!A215</f>
        <v/>
      </c>
      <c r="B215" s="5">
        <f>'02a_DC_Capacity_Alloc'!B215</f>
        <v/>
      </c>
      <c r="C215" s="5">
        <f>'02a_DC_Capacity_Alloc'!C215</f>
        <v/>
      </c>
      <c r="D215" s="5">
        <f>'02a_DC_Capacity_Alloc'!D215</f>
        <v/>
      </c>
      <c r="E215" s="5">
        <f>'02a_DC_Capacity_Alloc'!E215</f>
        <v/>
      </c>
      <c r="F215" s="5">
        <f>'02a_DC_Capacity_Alloc'!F215</f>
        <v/>
      </c>
      <c r="G215" s="5">
        <f>B215&amp;"|"&amp;E215&amp;"|"&amp;D215</f>
        <v/>
      </c>
      <c r="H215" s="28">
        <f>'02a_DC_Capacity_Alloc'!H215*'02a_DC_Capacity_Alloc'!I215*'02a_DC_Capacity_Alloc'!J215</f>
        <v/>
      </c>
      <c r="I215" s="6">
        <f>IFERROR(INDEX('02b_DC_Accelerator_Mix'!$F$2:$F$977,MATCH(G215,'02b_DC_Accelerator_Mix'!$A$2:$A$977,0)),0)</f>
        <v/>
      </c>
      <c r="J215" s="6">
        <f>IFERROR(INDEX('02b_DC_Accelerator_Mix'!$G$2:$G$977,MATCH(G215,'02b_DC_Accelerator_Mix'!$A$2:$A$977,0)),0)</f>
        <v/>
      </c>
      <c r="K215" s="6">
        <f>IFERROR(INDEX('02b_DC_Accelerator_Mix'!$H$2:$H$977,MATCH(G215,'02b_DC_Accelerator_Mix'!$A$2:$A$977,0)),0)</f>
        <v/>
      </c>
      <c r="L215" s="6">
        <f>IFERROR(INDEX('02b_DC_Accelerator_Mix'!$I$2:$I$977,MATCH(G215,'02b_DC_Accelerator_Mix'!$A$2:$A$977,0)),0)</f>
        <v/>
      </c>
      <c r="M215" s="6">
        <f>IFERROR(INDEX('02b_DC_Accelerator_Mix'!$J$2:$J$977,MATCH(G215,'02b_DC_Accelerator_Mix'!$A$2:$A$977,0)),0)</f>
        <v/>
      </c>
      <c r="N215" s="6">
        <f>IFERROR(INDEX('02b_DC_Accelerator_Mix'!$K$2:$K$977,MATCH(G215,'02b_DC_Accelerator_Mix'!$A$2:$A$977,0)),0)</f>
        <v/>
      </c>
      <c r="O215" s="6">
        <f>IFERROR(INDEX('02b_DC_Accelerator_Mix'!$L$2:$L$977,MATCH(G215,'02b_DC_Accelerator_Mix'!$A$2:$A$977,0)),0)</f>
        <v/>
      </c>
      <c r="P215" s="6">
        <f>IFERROR(INDEX('02b_DC_Accelerator_Mix'!$M$2:$M$977,MATCH(G215,'02b_DC_Accelerator_Mix'!$A$2:$A$977,0)),0)</f>
        <v/>
      </c>
      <c r="Q215" s="6">
        <f>IFERROR(INDEX('02b_DC_Accelerator_Mix'!$N$2:$N$977,MATCH(G215,'02b_DC_Accelerator_Mix'!$A$2:$A$977,0)),0)</f>
        <v/>
      </c>
      <c r="R215" s="28">
        <f>H215*I215</f>
        <v/>
      </c>
      <c r="S215" s="28">
        <f>H215*J215</f>
        <v/>
      </c>
      <c r="T215" s="28">
        <f>H215*K215</f>
        <v/>
      </c>
      <c r="U215" s="28">
        <f>H215*L215</f>
        <v/>
      </c>
      <c r="V215" s="28">
        <f>H215*M215</f>
        <v/>
      </c>
      <c r="W215" s="28">
        <f>H215*N215</f>
        <v/>
      </c>
      <c r="X215" s="28">
        <f>H215*O215</f>
        <v/>
      </c>
      <c r="Y215" s="28">
        <f>H215*P215</f>
        <v/>
      </c>
      <c r="Z215" s="28">
        <f>H215*Q215</f>
        <v/>
      </c>
      <c r="AA215" s="28">
        <f>SUM(U215:Z215)</f>
        <v/>
      </c>
      <c r="AB215" s="5">
        <f>IF(COUNTIF('02b_DC_Accelerator_Mix'!$A$2:$A$977,G215)&gt;0,"matched","missing_mix")</f>
        <v/>
      </c>
    </row>
    <row r="216">
      <c r="A216" s="5">
        <f>'02a_DC_Capacity_Alloc'!A216</f>
        <v/>
      </c>
      <c r="B216" s="5">
        <f>'02a_DC_Capacity_Alloc'!B216</f>
        <v/>
      </c>
      <c r="C216" s="5">
        <f>'02a_DC_Capacity_Alloc'!C216</f>
        <v/>
      </c>
      <c r="D216" s="5">
        <f>'02a_DC_Capacity_Alloc'!D216</f>
        <v/>
      </c>
      <c r="E216" s="5">
        <f>'02a_DC_Capacity_Alloc'!E216</f>
        <v/>
      </c>
      <c r="F216" s="5">
        <f>'02a_DC_Capacity_Alloc'!F216</f>
        <v/>
      </c>
      <c r="G216" s="5">
        <f>B216&amp;"|"&amp;E216&amp;"|"&amp;D216</f>
        <v/>
      </c>
      <c r="H216" s="28">
        <f>'02a_DC_Capacity_Alloc'!H216*'02a_DC_Capacity_Alloc'!I216*'02a_DC_Capacity_Alloc'!J216</f>
        <v/>
      </c>
      <c r="I216" s="6">
        <f>IFERROR(INDEX('02b_DC_Accelerator_Mix'!$F$2:$F$977,MATCH(G216,'02b_DC_Accelerator_Mix'!$A$2:$A$977,0)),0)</f>
        <v/>
      </c>
      <c r="J216" s="6">
        <f>IFERROR(INDEX('02b_DC_Accelerator_Mix'!$G$2:$G$977,MATCH(G216,'02b_DC_Accelerator_Mix'!$A$2:$A$977,0)),0)</f>
        <v/>
      </c>
      <c r="K216" s="6">
        <f>IFERROR(INDEX('02b_DC_Accelerator_Mix'!$H$2:$H$977,MATCH(G216,'02b_DC_Accelerator_Mix'!$A$2:$A$977,0)),0)</f>
        <v/>
      </c>
      <c r="L216" s="6">
        <f>IFERROR(INDEX('02b_DC_Accelerator_Mix'!$I$2:$I$977,MATCH(G216,'02b_DC_Accelerator_Mix'!$A$2:$A$977,0)),0)</f>
        <v/>
      </c>
      <c r="M216" s="6">
        <f>IFERROR(INDEX('02b_DC_Accelerator_Mix'!$J$2:$J$977,MATCH(G216,'02b_DC_Accelerator_Mix'!$A$2:$A$977,0)),0)</f>
        <v/>
      </c>
      <c r="N216" s="6">
        <f>IFERROR(INDEX('02b_DC_Accelerator_Mix'!$K$2:$K$977,MATCH(G216,'02b_DC_Accelerator_Mix'!$A$2:$A$977,0)),0)</f>
        <v/>
      </c>
      <c r="O216" s="6">
        <f>IFERROR(INDEX('02b_DC_Accelerator_Mix'!$L$2:$L$977,MATCH(G216,'02b_DC_Accelerator_Mix'!$A$2:$A$977,0)),0)</f>
        <v/>
      </c>
      <c r="P216" s="6">
        <f>IFERROR(INDEX('02b_DC_Accelerator_Mix'!$M$2:$M$977,MATCH(G216,'02b_DC_Accelerator_Mix'!$A$2:$A$977,0)),0)</f>
        <v/>
      </c>
      <c r="Q216" s="6">
        <f>IFERROR(INDEX('02b_DC_Accelerator_Mix'!$N$2:$N$977,MATCH(G216,'02b_DC_Accelerator_Mix'!$A$2:$A$977,0)),0)</f>
        <v/>
      </c>
      <c r="R216" s="28">
        <f>H216*I216</f>
        <v/>
      </c>
      <c r="S216" s="28">
        <f>H216*J216</f>
        <v/>
      </c>
      <c r="T216" s="28">
        <f>H216*K216</f>
        <v/>
      </c>
      <c r="U216" s="28">
        <f>H216*L216</f>
        <v/>
      </c>
      <c r="V216" s="28">
        <f>H216*M216</f>
        <v/>
      </c>
      <c r="W216" s="28">
        <f>H216*N216</f>
        <v/>
      </c>
      <c r="X216" s="28">
        <f>H216*O216</f>
        <v/>
      </c>
      <c r="Y216" s="28">
        <f>H216*P216</f>
        <v/>
      </c>
      <c r="Z216" s="28">
        <f>H216*Q216</f>
        <v/>
      </c>
      <c r="AA216" s="28">
        <f>SUM(U216:Z216)</f>
        <v/>
      </c>
      <c r="AB216" s="5">
        <f>IF(COUNTIF('02b_DC_Accelerator_Mix'!$A$2:$A$977,G216)&gt;0,"matched","missing_mix")</f>
        <v/>
      </c>
    </row>
    <row r="217">
      <c r="A217" s="5">
        <f>'02a_DC_Capacity_Alloc'!A217</f>
        <v/>
      </c>
      <c r="B217" s="5">
        <f>'02a_DC_Capacity_Alloc'!B217</f>
        <v/>
      </c>
      <c r="C217" s="5">
        <f>'02a_DC_Capacity_Alloc'!C217</f>
        <v/>
      </c>
      <c r="D217" s="5">
        <f>'02a_DC_Capacity_Alloc'!D217</f>
        <v/>
      </c>
      <c r="E217" s="5">
        <f>'02a_DC_Capacity_Alloc'!E217</f>
        <v/>
      </c>
      <c r="F217" s="5">
        <f>'02a_DC_Capacity_Alloc'!F217</f>
        <v/>
      </c>
      <c r="G217" s="5">
        <f>B217&amp;"|"&amp;E217&amp;"|"&amp;D217</f>
        <v/>
      </c>
      <c r="H217" s="28">
        <f>'02a_DC_Capacity_Alloc'!H217*'02a_DC_Capacity_Alloc'!I217*'02a_DC_Capacity_Alloc'!J217</f>
        <v/>
      </c>
      <c r="I217" s="6">
        <f>IFERROR(INDEX('02b_DC_Accelerator_Mix'!$F$2:$F$977,MATCH(G217,'02b_DC_Accelerator_Mix'!$A$2:$A$977,0)),0)</f>
        <v/>
      </c>
      <c r="J217" s="6">
        <f>IFERROR(INDEX('02b_DC_Accelerator_Mix'!$G$2:$G$977,MATCH(G217,'02b_DC_Accelerator_Mix'!$A$2:$A$977,0)),0)</f>
        <v/>
      </c>
      <c r="K217" s="6">
        <f>IFERROR(INDEX('02b_DC_Accelerator_Mix'!$H$2:$H$977,MATCH(G217,'02b_DC_Accelerator_Mix'!$A$2:$A$977,0)),0)</f>
        <v/>
      </c>
      <c r="L217" s="6">
        <f>IFERROR(INDEX('02b_DC_Accelerator_Mix'!$I$2:$I$977,MATCH(G217,'02b_DC_Accelerator_Mix'!$A$2:$A$977,0)),0)</f>
        <v/>
      </c>
      <c r="M217" s="6">
        <f>IFERROR(INDEX('02b_DC_Accelerator_Mix'!$J$2:$J$977,MATCH(G217,'02b_DC_Accelerator_Mix'!$A$2:$A$977,0)),0)</f>
        <v/>
      </c>
      <c r="N217" s="6">
        <f>IFERROR(INDEX('02b_DC_Accelerator_Mix'!$K$2:$K$977,MATCH(G217,'02b_DC_Accelerator_Mix'!$A$2:$A$977,0)),0)</f>
        <v/>
      </c>
      <c r="O217" s="6">
        <f>IFERROR(INDEX('02b_DC_Accelerator_Mix'!$L$2:$L$977,MATCH(G217,'02b_DC_Accelerator_Mix'!$A$2:$A$977,0)),0)</f>
        <v/>
      </c>
      <c r="P217" s="6">
        <f>IFERROR(INDEX('02b_DC_Accelerator_Mix'!$M$2:$M$977,MATCH(G217,'02b_DC_Accelerator_Mix'!$A$2:$A$977,0)),0)</f>
        <v/>
      </c>
      <c r="Q217" s="6">
        <f>IFERROR(INDEX('02b_DC_Accelerator_Mix'!$N$2:$N$977,MATCH(G217,'02b_DC_Accelerator_Mix'!$A$2:$A$977,0)),0)</f>
        <v/>
      </c>
      <c r="R217" s="28">
        <f>H217*I217</f>
        <v/>
      </c>
      <c r="S217" s="28">
        <f>H217*J217</f>
        <v/>
      </c>
      <c r="T217" s="28">
        <f>H217*K217</f>
        <v/>
      </c>
      <c r="U217" s="28">
        <f>H217*L217</f>
        <v/>
      </c>
      <c r="V217" s="28">
        <f>H217*M217</f>
        <v/>
      </c>
      <c r="W217" s="28">
        <f>H217*N217</f>
        <v/>
      </c>
      <c r="X217" s="28">
        <f>H217*O217</f>
        <v/>
      </c>
      <c r="Y217" s="28">
        <f>H217*P217</f>
        <v/>
      </c>
      <c r="Z217" s="28">
        <f>H217*Q217</f>
        <v/>
      </c>
      <c r="AA217" s="28">
        <f>SUM(U217:Z217)</f>
        <v/>
      </c>
      <c r="AB217" s="5">
        <f>IF(COUNTIF('02b_DC_Accelerator_Mix'!$A$2:$A$977,G217)&gt;0,"matched","missing_mix")</f>
        <v/>
      </c>
    </row>
    <row r="218">
      <c r="A218" s="5">
        <f>'02a_DC_Capacity_Alloc'!A218</f>
        <v/>
      </c>
      <c r="B218" s="5">
        <f>'02a_DC_Capacity_Alloc'!B218</f>
        <v/>
      </c>
      <c r="C218" s="5">
        <f>'02a_DC_Capacity_Alloc'!C218</f>
        <v/>
      </c>
      <c r="D218" s="5">
        <f>'02a_DC_Capacity_Alloc'!D218</f>
        <v/>
      </c>
      <c r="E218" s="5">
        <f>'02a_DC_Capacity_Alloc'!E218</f>
        <v/>
      </c>
      <c r="F218" s="5">
        <f>'02a_DC_Capacity_Alloc'!F218</f>
        <v/>
      </c>
      <c r="G218" s="5">
        <f>B218&amp;"|"&amp;E218&amp;"|"&amp;D218</f>
        <v/>
      </c>
      <c r="H218" s="28">
        <f>'02a_DC_Capacity_Alloc'!H218*'02a_DC_Capacity_Alloc'!I218*'02a_DC_Capacity_Alloc'!J218</f>
        <v/>
      </c>
      <c r="I218" s="6">
        <f>IFERROR(INDEX('02b_DC_Accelerator_Mix'!$F$2:$F$977,MATCH(G218,'02b_DC_Accelerator_Mix'!$A$2:$A$977,0)),0)</f>
        <v/>
      </c>
      <c r="J218" s="6">
        <f>IFERROR(INDEX('02b_DC_Accelerator_Mix'!$G$2:$G$977,MATCH(G218,'02b_DC_Accelerator_Mix'!$A$2:$A$977,0)),0)</f>
        <v/>
      </c>
      <c r="K218" s="6">
        <f>IFERROR(INDEX('02b_DC_Accelerator_Mix'!$H$2:$H$977,MATCH(G218,'02b_DC_Accelerator_Mix'!$A$2:$A$977,0)),0)</f>
        <v/>
      </c>
      <c r="L218" s="6">
        <f>IFERROR(INDEX('02b_DC_Accelerator_Mix'!$I$2:$I$977,MATCH(G218,'02b_DC_Accelerator_Mix'!$A$2:$A$977,0)),0)</f>
        <v/>
      </c>
      <c r="M218" s="6">
        <f>IFERROR(INDEX('02b_DC_Accelerator_Mix'!$J$2:$J$977,MATCH(G218,'02b_DC_Accelerator_Mix'!$A$2:$A$977,0)),0)</f>
        <v/>
      </c>
      <c r="N218" s="6">
        <f>IFERROR(INDEX('02b_DC_Accelerator_Mix'!$K$2:$K$977,MATCH(G218,'02b_DC_Accelerator_Mix'!$A$2:$A$977,0)),0)</f>
        <v/>
      </c>
      <c r="O218" s="6">
        <f>IFERROR(INDEX('02b_DC_Accelerator_Mix'!$L$2:$L$977,MATCH(G218,'02b_DC_Accelerator_Mix'!$A$2:$A$977,0)),0)</f>
        <v/>
      </c>
      <c r="P218" s="6">
        <f>IFERROR(INDEX('02b_DC_Accelerator_Mix'!$M$2:$M$977,MATCH(G218,'02b_DC_Accelerator_Mix'!$A$2:$A$977,0)),0)</f>
        <v/>
      </c>
      <c r="Q218" s="6">
        <f>IFERROR(INDEX('02b_DC_Accelerator_Mix'!$N$2:$N$977,MATCH(G218,'02b_DC_Accelerator_Mix'!$A$2:$A$977,0)),0)</f>
        <v/>
      </c>
      <c r="R218" s="28">
        <f>H218*I218</f>
        <v/>
      </c>
      <c r="S218" s="28">
        <f>H218*J218</f>
        <v/>
      </c>
      <c r="T218" s="28">
        <f>H218*K218</f>
        <v/>
      </c>
      <c r="U218" s="28">
        <f>H218*L218</f>
        <v/>
      </c>
      <c r="V218" s="28">
        <f>H218*M218</f>
        <v/>
      </c>
      <c r="W218" s="28">
        <f>H218*N218</f>
        <v/>
      </c>
      <c r="X218" s="28">
        <f>H218*O218</f>
        <v/>
      </c>
      <c r="Y218" s="28">
        <f>H218*P218</f>
        <v/>
      </c>
      <c r="Z218" s="28">
        <f>H218*Q218</f>
        <v/>
      </c>
      <c r="AA218" s="28">
        <f>SUM(U218:Z218)</f>
        <v/>
      </c>
      <c r="AB218" s="5">
        <f>IF(COUNTIF('02b_DC_Accelerator_Mix'!$A$2:$A$977,G218)&gt;0,"matched","missing_mix")</f>
        <v/>
      </c>
    </row>
    <row r="219">
      <c r="A219" s="5">
        <f>'02a_DC_Capacity_Alloc'!A219</f>
        <v/>
      </c>
      <c r="B219" s="5">
        <f>'02a_DC_Capacity_Alloc'!B219</f>
        <v/>
      </c>
      <c r="C219" s="5">
        <f>'02a_DC_Capacity_Alloc'!C219</f>
        <v/>
      </c>
      <c r="D219" s="5">
        <f>'02a_DC_Capacity_Alloc'!D219</f>
        <v/>
      </c>
      <c r="E219" s="5">
        <f>'02a_DC_Capacity_Alloc'!E219</f>
        <v/>
      </c>
      <c r="F219" s="5">
        <f>'02a_DC_Capacity_Alloc'!F219</f>
        <v/>
      </c>
      <c r="G219" s="5">
        <f>B219&amp;"|"&amp;E219&amp;"|"&amp;D219</f>
        <v/>
      </c>
      <c r="H219" s="28">
        <f>'02a_DC_Capacity_Alloc'!H219*'02a_DC_Capacity_Alloc'!I219*'02a_DC_Capacity_Alloc'!J219</f>
        <v/>
      </c>
      <c r="I219" s="6">
        <f>IFERROR(INDEX('02b_DC_Accelerator_Mix'!$F$2:$F$977,MATCH(G219,'02b_DC_Accelerator_Mix'!$A$2:$A$977,0)),0)</f>
        <v/>
      </c>
      <c r="J219" s="6">
        <f>IFERROR(INDEX('02b_DC_Accelerator_Mix'!$G$2:$G$977,MATCH(G219,'02b_DC_Accelerator_Mix'!$A$2:$A$977,0)),0)</f>
        <v/>
      </c>
      <c r="K219" s="6">
        <f>IFERROR(INDEX('02b_DC_Accelerator_Mix'!$H$2:$H$977,MATCH(G219,'02b_DC_Accelerator_Mix'!$A$2:$A$977,0)),0)</f>
        <v/>
      </c>
      <c r="L219" s="6">
        <f>IFERROR(INDEX('02b_DC_Accelerator_Mix'!$I$2:$I$977,MATCH(G219,'02b_DC_Accelerator_Mix'!$A$2:$A$977,0)),0)</f>
        <v/>
      </c>
      <c r="M219" s="6">
        <f>IFERROR(INDEX('02b_DC_Accelerator_Mix'!$J$2:$J$977,MATCH(G219,'02b_DC_Accelerator_Mix'!$A$2:$A$977,0)),0)</f>
        <v/>
      </c>
      <c r="N219" s="6">
        <f>IFERROR(INDEX('02b_DC_Accelerator_Mix'!$K$2:$K$977,MATCH(G219,'02b_DC_Accelerator_Mix'!$A$2:$A$977,0)),0)</f>
        <v/>
      </c>
      <c r="O219" s="6">
        <f>IFERROR(INDEX('02b_DC_Accelerator_Mix'!$L$2:$L$977,MATCH(G219,'02b_DC_Accelerator_Mix'!$A$2:$A$977,0)),0)</f>
        <v/>
      </c>
      <c r="P219" s="6">
        <f>IFERROR(INDEX('02b_DC_Accelerator_Mix'!$M$2:$M$977,MATCH(G219,'02b_DC_Accelerator_Mix'!$A$2:$A$977,0)),0)</f>
        <v/>
      </c>
      <c r="Q219" s="6">
        <f>IFERROR(INDEX('02b_DC_Accelerator_Mix'!$N$2:$N$977,MATCH(G219,'02b_DC_Accelerator_Mix'!$A$2:$A$977,0)),0)</f>
        <v/>
      </c>
      <c r="R219" s="28">
        <f>H219*I219</f>
        <v/>
      </c>
      <c r="S219" s="28">
        <f>H219*J219</f>
        <v/>
      </c>
      <c r="T219" s="28">
        <f>H219*K219</f>
        <v/>
      </c>
      <c r="U219" s="28">
        <f>H219*L219</f>
        <v/>
      </c>
      <c r="V219" s="28">
        <f>H219*M219</f>
        <v/>
      </c>
      <c r="W219" s="28">
        <f>H219*N219</f>
        <v/>
      </c>
      <c r="X219" s="28">
        <f>H219*O219</f>
        <v/>
      </c>
      <c r="Y219" s="28">
        <f>H219*P219</f>
        <v/>
      </c>
      <c r="Z219" s="28">
        <f>H219*Q219</f>
        <v/>
      </c>
      <c r="AA219" s="28">
        <f>SUM(U219:Z219)</f>
        <v/>
      </c>
      <c r="AB219" s="5">
        <f>IF(COUNTIF('02b_DC_Accelerator_Mix'!$A$2:$A$977,G219)&gt;0,"matched","missing_mix")</f>
        <v/>
      </c>
    </row>
    <row r="220">
      <c r="A220" s="5">
        <f>'02a_DC_Capacity_Alloc'!A220</f>
        <v/>
      </c>
      <c r="B220" s="5">
        <f>'02a_DC_Capacity_Alloc'!B220</f>
        <v/>
      </c>
      <c r="C220" s="5">
        <f>'02a_DC_Capacity_Alloc'!C220</f>
        <v/>
      </c>
      <c r="D220" s="5">
        <f>'02a_DC_Capacity_Alloc'!D220</f>
        <v/>
      </c>
      <c r="E220" s="5">
        <f>'02a_DC_Capacity_Alloc'!E220</f>
        <v/>
      </c>
      <c r="F220" s="5">
        <f>'02a_DC_Capacity_Alloc'!F220</f>
        <v/>
      </c>
      <c r="G220" s="5">
        <f>B220&amp;"|"&amp;E220&amp;"|"&amp;D220</f>
        <v/>
      </c>
      <c r="H220" s="28">
        <f>'02a_DC_Capacity_Alloc'!H220*'02a_DC_Capacity_Alloc'!I220*'02a_DC_Capacity_Alloc'!J220</f>
        <v/>
      </c>
      <c r="I220" s="6">
        <f>IFERROR(INDEX('02b_DC_Accelerator_Mix'!$F$2:$F$977,MATCH(G220,'02b_DC_Accelerator_Mix'!$A$2:$A$977,0)),0)</f>
        <v/>
      </c>
      <c r="J220" s="6">
        <f>IFERROR(INDEX('02b_DC_Accelerator_Mix'!$G$2:$G$977,MATCH(G220,'02b_DC_Accelerator_Mix'!$A$2:$A$977,0)),0)</f>
        <v/>
      </c>
      <c r="K220" s="6">
        <f>IFERROR(INDEX('02b_DC_Accelerator_Mix'!$H$2:$H$977,MATCH(G220,'02b_DC_Accelerator_Mix'!$A$2:$A$977,0)),0)</f>
        <v/>
      </c>
      <c r="L220" s="6">
        <f>IFERROR(INDEX('02b_DC_Accelerator_Mix'!$I$2:$I$977,MATCH(G220,'02b_DC_Accelerator_Mix'!$A$2:$A$977,0)),0)</f>
        <v/>
      </c>
      <c r="M220" s="6">
        <f>IFERROR(INDEX('02b_DC_Accelerator_Mix'!$J$2:$J$977,MATCH(G220,'02b_DC_Accelerator_Mix'!$A$2:$A$977,0)),0)</f>
        <v/>
      </c>
      <c r="N220" s="6">
        <f>IFERROR(INDEX('02b_DC_Accelerator_Mix'!$K$2:$K$977,MATCH(G220,'02b_DC_Accelerator_Mix'!$A$2:$A$977,0)),0)</f>
        <v/>
      </c>
      <c r="O220" s="6">
        <f>IFERROR(INDEX('02b_DC_Accelerator_Mix'!$L$2:$L$977,MATCH(G220,'02b_DC_Accelerator_Mix'!$A$2:$A$977,0)),0)</f>
        <v/>
      </c>
      <c r="P220" s="6">
        <f>IFERROR(INDEX('02b_DC_Accelerator_Mix'!$M$2:$M$977,MATCH(G220,'02b_DC_Accelerator_Mix'!$A$2:$A$977,0)),0)</f>
        <v/>
      </c>
      <c r="Q220" s="6">
        <f>IFERROR(INDEX('02b_DC_Accelerator_Mix'!$N$2:$N$977,MATCH(G220,'02b_DC_Accelerator_Mix'!$A$2:$A$977,0)),0)</f>
        <v/>
      </c>
      <c r="R220" s="28">
        <f>H220*I220</f>
        <v/>
      </c>
      <c r="S220" s="28">
        <f>H220*J220</f>
        <v/>
      </c>
      <c r="T220" s="28">
        <f>H220*K220</f>
        <v/>
      </c>
      <c r="U220" s="28">
        <f>H220*L220</f>
        <v/>
      </c>
      <c r="V220" s="28">
        <f>H220*M220</f>
        <v/>
      </c>
      <c r="W220" s="28">
        <f>H220*N220</f>
        <v/>
      </c>
      <c r="X220" s="28">
        <f>H220*O220</f>
        <v/>
      </c>
      <c r="Y220" s="28">
        <f>H220*P220</f>
        <v/>
      </c>
      <c r="Z220" s="28">
        <f>H220*Q220</f>
        <v/>
      </c>
      <c r="AA220" s="28">
        <f>SUM(U220:Z220)</f>
        <v/>
      </c>
      <c r="AB220" s="5">
        <f>IF(COUNTIF('02b_DC_Accelerator_Mix'!$A$2:$A$977,G220)&gt;0,"matched","missing_mix")</f>
        <v/>
      </c>
    </row>
    <row r="221">
      <c r="A221" s="5">
        <f>'02a_DC_Capacity_Alloc'!A221</f>
        <v/>
      </c>
      <c r="B221" s="5">
        <f>'02a_DC_Capacity_Alloc'!B221</f>
        <v/>
      </c>
      <c r="C221" s="5">
        <f>'02a_DC_Capacity_Alloc'!C221</f>
        <v/>
      </c>
      <c r="D221" s="5">
        <f>'02a_DC_Capacity_Alloc'!D221</f>
        <v/>
      </c>
      <c r="E221" s="5">
        <f>'02a_DC_Capacity_Alloc'!E221</f>
        <v/>
      </c>
      <c r="F221" s="5">
        <f>'02a_DC_Capacity_Alloc'!F221</f>
        <v/>
      </c>
      <c r="G221" s="5">
        <f>B221&amp;"|"&amp;E221&amp;"|"&amp;D221</f>
        <v/>
      </c>
      <c r="H221" s="28">
        <f>'02a_DC_Capacity_Alloc'!H221*'02a_DC_Capacity_Alloc'!I221*'02a_DC_Capacity_Alloc'!J221</f>
        <v/>
      </c>
      <c r="I221" s="6">
        <f>IFERROR(INDEX('02b_DC_Accelerator_Mix'!$F$2:$F$977,MATCH(G221,'02b_DC_Accelerator_Mix'!$A$2:$A$977,0)),0)</f>
        <v/>
      </c>
      <c r="J221" s="6">
        <f>IFERROR(INDEX('02b_DC_Accelerator_Mix'!$G$2:$G$977,MATCH(G221,'02b_DC_Accelerator_Mix'!$A$2:$A$977,0)),0)</f>
        <v/>
      </c>
      <c r="K221" s="6">
        <f>IFERROR(INDEX('02b_DC_Accelerator_Mix'!$H$2:$H$977,MATCH(G221,'02b_DC_Accelerator_Mix'!$A$2:$A$977,0)),0)</f>
        <v/>
      </c>
      <c r="L221" s="6">
        <f>IFERROR(INDEX('02b_DC_Accelerator_Mix'!$I$2:$I$977,MATCH(G221,'02b_DC_Accelerator_Mix'!$A$2:$A$977,0)),0)</f>
        <v/>
      </c>
      <c r="M221" s="6">
        <f>IFERROR(INDEX('02b_DC_Accelerator_Mix'!$J$2:$J$977,MATCH(G221,'02b_DC_Accelerator_Mix'!$A$2:$A$977,0)),0)</f>
        <v/>
      </c>
      <c r="N221" s="6">
        <f>IFERROR(INDEX('02b_DC_Accelerator_Mix'!$K$2:$K$977,MATCH(G221,'02b_DC_Accelerator_Mix'!$A$2:$A$977,0)),0)</f>
        <v/>
      </c>
      <c r="O221" s="6">
        <f>IFERROR(INDEX('02b_DC_Accelerator_Mix'!$L$2:$L$977,MATCH(G221,'02b_DC_Accelerator_Mix'!$A$2:$A$977,0)),0)</f>
        <v/>
      </c>
      <c r="P221" s="6">
        <f>IFERROR(INDEX('02b_DC_Accelerator_Mix'!$M$2:$M$977,MATCH(G221,'02b_DC_Accelerator_Mix'!$A$2:$A$977,0)),0)</f>
        <v/>
      </c>
      <c r="Q221" s="6">
        <f>IFERROR(INDEX('02b_DC_Accelerator_Mix'!$N$2:$N$977,MATCH(G221,'02b_DC_Accelerator_Mix'!$A$2:$A$977,0)),0)</f>
        <v/>
      </c>
      <c r="R221" s="28">
        <f>H221*I221</f>
        <v/>
      </c>
      <c r="S221" s="28">
        <f>H221*J221</f>
        <v/>
      </c>
      <c r="T221" s="28">
        <f>H221*K221</f>
        <v/>
      </c>
      <c r="U221" s="28">
        <f>H221*L221</f>
        <v/>
      </c>
      <c r="V221" s="28">
        <f>H221*M221</f>
        <v/>
      </c>
      <c r="W221" s="28">
        <f>H221*N221</f>
        <v/>
      </c>
      <c r="X221" s="28">
        <f>H221*O221</f>
        <v/>
      </c>
      <c r="Y221" s="28">
        <f>H221*P221</f>
        <v/>
      </c>
      <c r="Z221" s="28">
        <f>H221*Q221</f>
        <v/>
      </c>
      <c r="AA221" s="28">
        <f>SUM(U221:Z221)</f>
        <v/>
      </c>
      <c r="AB221" s="5">
        <f>IF(COUNTIF('02b_DC_Accelerator_Mix'!$A$2:$A$977,G221)&gt;0,"matched","missing_mix")</f>
        <v/>
      </c>
    </row>
    <row r="222">
      <c r="A222" s="5">
        <f>'02a_DC_Capacity_Alloc'!A222</f>
        <v/>
      </c>
      <c r="B222" s="5">
        <f>'02a_DC_Capacity_Alloc'!B222</f>
        <v/>
      </c>
      <c r="C222" s="5">
        <f>'02a_DC_Capacity_Alloc'!C222</f>
        <v/>
      </c>
      <c r="D222" s="5">
        <f>'02a_DC_Capacity_Alloc'!D222</f>
        <v/>
      </c>
      <c r="E222" s="5">
        <f>'02a_DC_Capacity_Alloc'!E222</f>
        <v/>
      </c>
      <c r="F222" s="5">
        <f>'02a_DC_Capacity_Alloc'!F222</f>
        <v/>
      </c>
      <c r="G222" s="5">
        <f>B222&amp;"|"&amp;E222&amp;"|"&amp;D222</f>
        <v/>
      </c>
      <c r="H222" s="28">
        <f>'02a_DC_Capacity_Alloc'!H222*'02a_DC_Capacity_Alloc'!I222*'02a_DC_Capacity_Alloc'!J222</f>
        <v/>
      </c>
      <c r="I222" s="6">
        <f>IFERROR(INDEX('02b_DC_Accelerator_Mix'!$F$2:$F$977,MATCH(G222,'02b_DC_Accelerator_Mix'!$A$2:$A$977,0)),0)</f>
        <v/>
      </c>
      <c r="J222" s="6">
        <f>IFERROR(INDEX('02b_DC_Accelerator_Mix'!$G$2:$G$977,MATCH(G222,'02b_DC_Accelerator_Mix'!$A$2:$A$977,0)),0)</f>
        <v/>
      </c>
      <c r="K222" s="6">
        <f>IFERROR(INDEX('02b_DC_Accelerator_Mix'!$H$2:$H$977,MATCH(G222,'02b_DC_Accelerator_Mix'!$A$2:$A$977,0)),0)</f>
        <v/>
      </c>
      <c r="L222" s="6">
        <f>IFERROR(INDEX('02b_DC_Accelerator_Mix'!$I$2:$I$977,MATCH(G222,'02b_DC_Accelerator_Mix'!$A$2:$A$977,0)),0)</f>
        <v/>
      </c>
      <c r="M222" s="6">
        <f>IFERROR(INDEX('02b_DC_Accelerator_Mix'!$J$2:$J$977,MATCH(G222,'02b_DC_Accelerator_Mix'!$A$2:$A$977,0)),0)</f>
        <v/>
      </c>
      <c r="N222" s="6">
        <f>IFERROR(INDEX('02b_DC_Accelerator_Mix'!$K$2:$K$977,MATCH(G222,'02b_DC_Accelerator_Mix'!$A$2:$A$977,0)),0)</f>
        <v/>
      </c>
      <c r="O222" s="6">
        <f>IFERROR(INDEX('02b_DC_Accelerator_Mix'!$L$2:$L$977,MATCH(G222,'02b_DC_Accelerator_Mix'!$A$2:$A$977,0)),0)</f>
        <v/>
      </c>
      <c r="P222" s="6">
        <f>IFERROR(INDEX('02b_DC_Accelerator_Mix'!$M$2:$M$977,MATCH(G222,'02b_DC_Accelerator_Mix'!$A$2:$A$977,0)),0)</f>
        <v/>
      </c>
      <c r="Q222" s="6">
        <f>IFERROR(INDEX('02b_DC_Accelerator_Mix'!$N$2:$N$977,MATCH(G222,'02b_DC_Accelerator_Mix'!$A$2:$A$977,0)),0)</f>
        <v/>
      </c>
      <c r="R222" s="28">
        <f>H222*I222</f>
        <v/>
      </c>
      <c r="S222" s="28">
        <f>H222*J222</f>
        <v/>
      </c>
      <c r="T222" s="28">
        <f>H222*K222</f>
        <v/>
      </c>
      <c r="U222" s="28">
        <f>H222*L222</f>
        <v/>
      </c>
      <c r="V222" s="28">
        <f>H222*M222</f>
        <v/>
      </c>
      <c r="W222" s="28">
        <f>H222*N222</f>
        <v/>
      </c>
      <c r="X222" s="28">
        <f>H222*O222</f>
        <v/>
      </c>
      <c r="Y222" s="28">
        <f>H222*P222</f>
        <v/>
      </c>
      <c r="Z222" s="28">
        <f>H222*Q222</f>
        <v/>
      </c>
      <c r="AA222" s="28">
        <f>SUM(U222:Z222)</f>
        <v/>
      </c>
      <c r="AB222" s="5">
        <f>IF(COUNTIF('02b_DC_Accelerator_Mix'!$A$2:$A$977,G222)&gt;0,"matched","missing_mix")</f>
        <v/>
      </c>
    </row>
    <row r="223">
      <c r="A223" s="5">
        <f>'02a_DC_Capacity_Alloc'!A223</f>
        <v/>
      </c>
      <c r="B223" s="5">
        <f>'02a_DC_Capacity_Alloc'!B223</f>
        <v/>
      </c>
      <c r="C223" s="5">
        <f>'02a_DC_Capacity_Alloc'!C223</f>
        <v/>
      </c>
      <c r="D223" s="5">
        <f>'02a_DC_Capacity_Alloc'!D223</f>
        <v/>
      </c>
      <c r="E223" s="5">
        <f>'02a_DC_Capacity_Alloc'!E223</f>
        <v/>
      </c>
      <c r="F223" s="5">
        <f>'02a_DC_Capacity_Alloc'!F223</f>
        <v/>
      </c>
      <c r="G223" s="5">
        <f>B223&amp;"|"&amp;E223&amp;"|"&amp;D223</f>
        <v/>
      </c>
      <c r="H223" s="28">
        <f>'02a_DC_Capacity_Alloc'!H223*'02a_DC_Capacity_Alloc'!I223*'02a_DC_Capacity_Alloc'!J223</f>
        <v/>
      </c>
      <c r="I223" s="6">
        <f>IFERROR(INDEX('02b_DC_Accelerator_Mix'!$F$2:$F$977,MATCH(G223,'02b_DC_Accelerator_Mix'!$A$2:$A$977,0)),0)</f>
        <v/>
      </c>
      <c r="J223" s="6">
        <f>IFERROR(INDEX('02b_DC_Accelerator_Mix'!$G$2:$G$977,MATCH(G223,'02b_DC_Accelerator_Mix'!$A$2:$A$977,0)),0)</f>
        <v/>
      </c>
      <c r="K223" s="6">
        <f>IFERROR(INDEX('02b_DC_Accelerator_Mix'!$H$2:$H$977,MATCH(G223,'02b_DC_Accelerator_Mix'!$A$2:$A$977,0)),0)</f>
        <v/>
      </c>
      <c r="L223" s="6">
        <f>IFERROR(INDEX('02b_DC_Accelerator_Mix'!$I$2:$I$977,MATCH(G223,'02b_DC_Accelerator_Mix'!$A$2:$A$977,0)),0)</f>
        <v/>
      </c>
      <c r="M223" s="6">
        <f>IFERROR(INDEX('02b_DC_Accelerator_Mix'!$J$2:$J$977,MATCH(G223,'02b_DC_Accelerator_Mix'!$A$2:$A$977,0)),0)</f>
        <v/>
      </c>
      <c r="N223" s="6">
        <f>IFERROR(INDEX('02b_DC_Accelerator_Mix'!$K$2:$K$977,MATCH(G223,'02b_DC_Accelerator_Mix'!$A$2:$A$977,0)),0)</f>
        <v/>
      </c>
      <c r="O223" s="6">
        <f>IFERROR(INDEX('02b_DC_Accelerator_Mix'!$L$2:$L$977,MATCH(G223,'02b_DC_Accelerator_Mix'!$A$2:$A$977,0)),0)</f>
        <v/>
      </c>
      <c r="P223" s="6">
        <f>IFERROR(INDEX('02b_DC_Accelerator_Mix'!$M$2:$M$977,MATCH(G223,'02b_DC_Accelerator_Mix'!$A$2:$A$977,0)),0)</f>
        <v/>
      </c>
      <c r="Q223" s="6">
        <f>IFERROR(INDEX('02b_DC_Accelerator_Mix'!$N$2:$N$977,MATCH(G223,'02b_DC_Accelerator_Mix'!$A$2:$A$977,0)),0)</f>
        <v/>
      </c>
      <c r="R223" s="28">
        <f>H223*I223</f>
        <v/>
      </c>
      <c r="S223" s="28">
        <f>H223*J223</f>
        <v/>
      </c>
      <c r="T223" s="28">
        <f>H223*K223</f>
        <v/>
      </c>
      <c r="U223" s="28">
        <f>H223*L223</f>
        <v/>
      </c>
      <c r="V223" s="28">
        <f>H223*M223</f>
        <v/>
      </c>
      <c r="W223" s="28">
        <f>H223*N223</f>
        <v/>
      </c>
      <c r="X223" s="28">
        <f>H223*O223</f>
        <v/>
      </c>
      <c r="Y223" s="28">
        <f>H223*P223</f>
        <v/>
      </c>
      <c r="Z223" s="28">
        <f>H223*Q223</f>
        <v/>
      </c>
      <c r="AA223" s="28">
        <f>SUM(U223:Z223)</f>
        <v/>
      </c>
      <c r="AB223" s="5">
        <f>IF(COUNTIF('02b_DC_Accelerator_Mix'!$A$2:$A$977,G223)&gt;0,"matched","missing_mix")</f>
        <v/>
      </c>
    </row>
    <row r="224">
      <c r="A224" s="5">
        <f>'02a_DC_Capacity_Alloc'!A224</f>
        <v/>
      </c>
      <c r="B224" s="5">
        <f>'02a_DC_Capacity_Alloc'!B224</f>
        <v/>
      </c>
      <c r="C224" s="5">
        <f>'02a_DC_Capacity_Alloc'!C224</f>
        <v/>
      </c>
      <c r="D224" s="5">
        <f>'02a_DC_Capacity_Alloc'!D224</f>
        <v/>
      </c>
      <c r="E224" s="5">
        <f>'02a_DC_Capacity_Alloc'!E224</f>
        <v/>
      </c>
      <c r="F224" s="5">
        <f>'02a_DC_Capacity_Alloc'!F224</f>
        <v/>
      </c>
      <c r="G224" s="5">
        <f>B224&amp;"|"&amp;E224&amp;"|"&amp;D224</f>
        <v/>
      </c>
      <c r="H224" s="28">
        <f>'02a_DC_Capacity_Alloc'!H224*'02a_DC_Capacity_Alloc'!I224*'02a_DC_Capacity_Alloc'!J224</f>
        <v/>
      </c>
      <c r="I224" s="6">
        <f>IFERROR(INDEX('02b_DC_Accelerator_Mix'!$F$2:$F$977,MATCH(G224,'02b_DC_Accelerator_Mix'!$A$2:$A$977,0)),0)</f>
        <v/>
      </c>
      <c r="J224" s="6">
        <f>IFERROR(INDEX('02b_DC_Accelerator_Mix'!$G$2:$G$977,MATCH(G224,'02b_DC_Accelerator_Mix'!$A$2:$A$977,0)),0)</f>
        <v/>
      </c>
      <c r="K224" s="6">
        <f>IFERROR(INDEX('02b_DC_Accelerator_Mix'!$H$2:$H$977,MATCH(G224,'02b_DC_Accelerator_Mix'!$A$2:$A$977,0)),0)</f>
        <v/>
      </c>
      <c r="L224" s="6">
        <f>IFERROR(INDEX('02b_DC_Accelerator_Mix'!$I$2:$I$977,MATCH(G224,'02b_DC_Accelerator_Mix'!$A$2:$A$977,0)),0)</f>
        <v/>
      </c>
      <c r="M224" s="6">
        <f>IFERROR(INDEX('02b_DC_Accelerator_Mix'!$J$2:$J$977,MATCH(G224,'02b_DC_Accelerator_Mix'!$A$2:$A$977,0)),0)</f>
        <v/>
      </c>
      <c r="N224" s="6">
        <f>IFERROR(INDEX('02b_DC_Accelerator_Mix'!$K$2:$K$977,MATCH(G224,'02b_DC_Accelerator_Mix'!$A$2:$A$977,0)),0)</f>
        <v/>
      </c>
      <c r="O224" s="6">
        <f>IFERROR(INDEX('02b_DC_Accelerator_Mix'!$L$2:$L$977,MATCH(G224,'02b_DC_Accelerator_Mix'!$A$2:$A$977,0)),0)</f>
        <v/>
      </c>
      <c r="P224" s="6">
        <f>IFERROR(INDEX('02b_DC_Accelerator_Mix'!$M$2:$M$977,MATCH(G224,'02b_DC_Accelerator_Mix'!$A$2:$A$977,0)),0)</f>
        <v/>
      </c>
      <c r="Q224" s="6">
        <f>IFERROR(INDEX('02b_DC_Accelerator_Mix'!$N$2:$N$977,MATCH(G224,'02b_DC_Accelerator_Mix'!$A$2:$A$977,0)),0)</f>
        <v/>
      </c>
      <c r="R224" s="28">
        <f>H224*I224</f>
        <v/>
      </c>
      <c r="S224" s="28">
        <f>H224*J224</f>
        <v/>
      </c>
      <c r="T224" s="28">
        <f>H224*K224</f>
        <v/>
      </c>
      <c r="U224" s="28">
        <f>H224*L224</f>
        <v/>
      </c>
      <c r="V224" s="28">
        <f>H224*M224</f>
        <v/>
      </c>
      <c r="W224" s="28">
        <f>H224*N224</f>
        <v/>
      </c>
      <c r="X224" s="28">
        <f>H224*O224</f>
        <v/>
      </c>
      <c r="Y224" s="28">
        <f>H224*P224</f>
        <v/>
      </c>
      <c r="Z224" s="28">
        <f>H224*Q224</f>
        <v/>
      </c>
      <c r="AA224" s="28">
        <f>SUM(U224:Z224)</f>
        <v/>
      </c>
      <c r="AB224" s="5">
        <f>IF(COUNTIF('02b_DC_Accelerator_Mix'!$A$2:$A$977,G224)&gt;0,"matched","missing_mix")</f>
        <v/>
      </c>
    </row>
    <row r="225">
      <c r="A225" s="5">
        <f>'02a_DC_Capacity_Alloc'!A225</f>
        <v/>
      </c>
      <c r="B225" s="5">
        <f>'02a_DC_Capacity_Alloc'!B225</f>
        <v/>
      </c>
      <c r="C225" s="5">
        <f>'02a_DC_Capacity_Alloc'!C225</f>
        <v/>
      </c>
      <c r="D225" s="5">
        <f>'02a_DC_Capacity_Alloc'!D225</f>
        <v/>
      </c>
      <c r="E225" s="5">
        <f>'02a_DC_Capacity_Alloc'!E225</f>
        <v/>
      </c>
      <c r="F225" s="5">
        <f>'02a_DC_Capacity_Alloc'!F225</f>
        <v/>
      </c>
      <c r="G225" s="5">
        <f>B225&amp;"|"&amp;E225&amp;"|"&amp;D225</f>
        <v/>
      </c>
      <c r="H225" s="28">
        <f>'02a_DC_Capacity_Alloc'!H225*'02a_DC_Capacity_Alloc'!I225*'02a_DC_Capacity_Alloc'!J225</f>
        <v/>
      </c>
      <c r="I225" s="6">
        <f>IFERROR(INDEX('02b_DC_Accelerator_Mix'!$F$2:$F$977,MATCH(G225,'02b_DC_Accelerator_Mix'!$A$2:$A$977,0)),0)</f>
        <v/>
      </c>
      <c r="J225" s="6">
        <f>IFERROR(INDEX('02b_DC_Accelerator_Mix'!$G$2:$G$977,MATCH(G225,'02b_DC_Accelerator_Mix'!$A$2:$A$977,0)),0)</f>
        <v/>
      </c>
      <c r="K225" s="6">
        <f>IFERROR(INDEX('02b_DC_Accelerator_Mix'!$H$2:$H$977,MATCH(G225,'02b_DC_Accelerator_Mix'!$A$2:$A$977,0)),0)</f>
        <v/>
      </c>
      <c r="L225" s="6">
        <f>IFERROR(INDEX('02b_DC_Accelerator_Mix'!$I$2:$I$977,MATCH(G225,'02b_DC_Accelerator_Mix'!$A$2:$A$977,0)),0)</f>
        <v/>
      </c>
      <c r="M225" s="6">
        <f>IFERROR(INDEX('02b_DC_Accelerator_Mix'!$J$2:$J$977,MATCH(G225,'02b_DC_Accelerator_Mix'!$A$2:$A$977,0)),0)</f>
        <v/>
      </c>
      <c r="N225" s="6">
        <f>IFERROR(INDEX('02b_DC_Accelerator_Mix'!$K$2:$K$977,MATCH(G225,'02b_DC_Accelerator_Mix'!$A$2:$A$977,0)),0)</f>
        <v/>
      </c>
      <c r="O225" s="6">
        <f>IFERROR(INDEX('02b_DC_Accelerator_Mix'!$L$2:$L$977,MATCH(G225,'02b_DC_Accelerator_Mix'!$A$2:$A$977,0)),0)</f>
        <v/>
      </c>
      <c r="P225" s="6">
        <f>IFERROR(INDEX('02b_DC_Accelerator_Mix'!$M$2:$M$977,MATCH(G225,'02b_DC_Accelerator_Mix'!$A$2:$A$977,0)),0)</f>
        <v/>
      </c>
      <c r="Q225" s="6">
        <f>IFERROR(INDEX('02b_DC_Accelerator_Mix'!$N$2:$N$977,MATCH(G225,'02b_DC_Accelerator_Mix'!$A$2:$A$977,0)),0)</f>
        <v/>
      </c>
      <c r="R225" s="28">
        <f>H225*I225</f>
        <v/>
      </c>
      <c r="S225" s="28">
        <f>H225*J225</f>
        <v/>
      </c>
      <c r="T225" s="28">
        <f>H225*K225</f>
        <v/>
      </c>
      <c r="U225" s="28">
        <f>H225*L225</f>
        <v/>
      </c>
      <c r="V225" s="28">
        <f>H225*M225</f>
        <v/>
      </c>
      <c r="W225" s="28">
        <f>H225*N225</f>
        <v/>
      </c>
      <c r="X225" s="28">
        <f>H225*O225</f>
        <v/>
      </c>
      <c r="Y225" s="28">
        <f>H225*P225</f>
        <v/>
      </c>
      <c r="Z225" s="28">
        <f>H225*Q225</f>
        <v/>
      </c>
      <c r="AA225" s="28">
        <f>SUM(U225:Z225)</f>
        <v/>
      </c>
      <c r="AB225" s="5">
        <f>IF(COUNTIF('02b_DC_Accelerator_Mix'!$A$2:$A$977,G225)&gt;0,"matched","missing_mix")</f>
        <v/>
      </c>
    </row>
    <row r="226">
      <c r="A226" s="5">
        <f>'02a_DC_Capacity_Alloc'!A226</f>
        <v/>
      </c>
      <c r="B226" s="5">
        <f>'02a_DC_Capacity_Alloc'!B226</f>
        <v/>
      </c>
      <c r="C226" s="5">
        <f>'02a_DC_Capacity_Alloc'!C226</f>
        <v/>
      </c>
      <c r="D226" s="5">
        <f>'02a_DC_Capacity_Alloc'!D226</f>
        <v/>
      </c>
      <c r="E226" s="5">
        <f>'02a_DC_Capacity_Alloc'!E226</f>
        <v/>
      </c>
      <c r="F226" s="5">
        <f>'02a_DC_Capacity_Alloc'!F226</f>
        <v/>
      </c>
      <c r="G226" s="5">
        <f>B226&amp;"|"&amp;E226&amp;"|"&amp;D226</f>
        <v/>
      </c>
      <c r="H226" s="28">
        <f>'02a_DC_Capacity_Alloc'!H226*'02a_DC_Capacity_Alloc'!I226*'02a_DC_Capacity_Alloc'!J226</f>
        <v/>
      </c>
      <c r="I226" s="6">
        <f>IFERROR(INDEX('02b_DC_Accelerator_Mix'!$F$2:$F$977,MATCH(G226,'02b_DC_Accelerator_Mix'!$A$2:$A$977,0)),0)</f>
        <v/>
      </c>
      <c r="J226" s="6">
        <f>IFERROR(INDEX('02b_DC_Accelerator_Mix'!$G$2:$G$977,MATCH(G226,'02b_DC_Accelerator_Mix'!$A$2:$A$977,0)),0)</f>
        <v/>
      </c>
      <c r="K226" s="6">
        <f>IFERROR(INDEX('02b_DC_Accelerator_Mix'!$H$2:$H$977,MATCH(G226,'02b_DC_Accelerator_Mix'!$A$2:$A$977,0)),0)</f>
        <v/>
      </c>
      <c r="L226" s="6">
        <f>IFERROR(INDEX('02b_DC_Accelerator_Mix'!$I$2:$I$977,MATCH(G226,'02b_DC_Accelerator_Mix'!$A$2:$A$977,0)),0)</f>
        <v/>
      </c>
      <c r="M226" s="6">
        <f>IFERROR(INDEX('02b_DC_Accelerator_Mix'!$J$2:$J$977,MATCH(G226,'02b_DC_Accelerator_Mix'!$A$2:$A$977,0)),0)</f>
        <v/>
      </c>
      <c r="N226" s="6">
        <f>IFERROR(INDEX('02b_DC_Accelerator_Mix'!$K$2:$K$977,MATCH(G226,'02b_DC_Accelerator_Mix'!$A$2:$A$977,0)),0)</f>
        <v/>
      </c>
      <c r="O226" s="6">
        <f>IFERROR(INDEX('02b_DC_Accelerator_Mix'!$L$2:$L$977,MATCH(G226,'02b_DC_Accelerator_Mix'!$A$2:$A$977,0)),0)</f>
        <v/>
      </c>
      <c r="P226" s="6">
        <f>IFERROR(INDEX('02b_DC_Accelerator_Mix'!$M$2:$M$977,MATCH(G226,'02b_DC_Accelerator_Mix'!$A$2:$A$977,0)),0)</f>
        <v/>
      </c>
      <c r="Q226" s="6">
        <f>IFERROR(INDEX('02b_DC_Accelerator_Mix'!$N$2:$N$977,MATCH(G226,'02b_DC_Accelerator_Mix'!$A$2:$A$977,0)),0)</f>
        <v/>
      </c>
      <c r="R226" s="28">
        <f>H226*I226</f>
        <v/>
      </c>
      <c r="S226" s="28">
        <f>H226*J226</f>
        <v/>
      </c>
      <c r="T226" s="28">
        <f>H226*K226</f>
        <v/>
      </c>
      <c r="U226" s="28">
        <f>H226*L226</f>
        <v/>
      </c>
      <c r="V226" s="28">
        <f>H226*M226</f>
        <v/>
      </c>
      <c r="W226" s="28">
        <f>H226*N226</f>
        <v/>
      </c>
      <c r="X226" s="28">
        <f>H226*O226</f>
        <v/>
      </c>
      <c r="Y226" s="28">
        <f>H226*P226</f>
        <v/>
      </c>
      <c r="Z226" s="28">
        <f>H226*Q226</f>
        <v/>
      </c>
      <c r="AA226" s="28">
        <f>SUM(U226:Z226)</f>
        <v/>
      </c>
      <c r="AB226" s="5">
        <f>IF(COUNTIF('02b_DC_Accelerator_Mix'!$A$2:$A$977,G226)&gt;0,"matched","missing_mix")</f>
        <v/>
      </c>
    </row>
    <row r="227">
      <c r="A227" s="5">
        <f>'02a_DC_Capacity_Alloc'!A227</f>
        <v/>
      </c>
      <c r="B227" s="5">
        <f>'02a_DC_Capacity_Alloc'!B227</f>
        <v/>
      </c>
      <c r="C227" s="5">
        <f>'02a_DC_Capacity_Alloc'!C227</f>
        <v/>
      </c>
      <c r="D227" s="5">
        <f>'02a_DC_Capacity_Alloc'!D227</f>
        <v/>
      </c>
      <c r="E227" s="5">
        <f>'02a_DC_Capacity_Alloc'!E227</f>
        <v/>
      </c>
      <c r="F227" s="5">
        <f>'02a_DC_Capacity_Alloc'!F227</f>
        <v/>
      </c>
      <c r="G227" s="5">
        <f>B227&amp;"|"&amp;E227&amp;"|"&amp;D227</f>
        <v/>
      </c>
      <c r="H227" s="28">
        <f>'02a_DC_Capacity_Alloc'!H227*'02a_DC_Capacity_Alloc'!I227*'02a_DC_Capacity_Alloc'!J227</f>
        <v/>
      </c>
      <c r="I227" s="6">
        <f>IFERROR(INDEX('02b_DC_Accelerator_Mix'!$F$2:$F$977,MATCH(G227,'02b_DC_Accelerator_Mix'!$A$2:$A$977,0)),0)</f>
        <v/>
      </c>
      <c r="J227" s="6">
        <f>IFERROR(INDEX('02b_DC_Accelerator_Mix'!$G$2:$G$977,MATCH(G227,'02b_DC_Accelerator_Mix'!$A$2:$A$977,0)),0)</f>
        <v/>
      </c>
      <c r="K227" s="6">
        <f>IFERROR(INDEX('02b_DC_Accelerator_Mix'!$H$2:$H$977,MATCH(G227,'02b_DC_Accelerator_Mix'!$A$2:$A$977,0)),0)</f>
        <v/>
      </c>
      <c r="L227" s="6">
        <f>IFERROR(INDEX('02b_DC_Accelerator_Mix'!$I$2:$I$977,MATCH(G227,'02b_DC_Accelerator_Mix'!$A$2:$A$977,0)),0)</f>
        <v/>
      </c>
      <c r="M227" s="6">
        <f>IFERROR(INDEX('02b_DC_Accelerator_Mix'!$J$2:$J$977,MATCH(G227,'02b_DC_Accelerator_Mix'!$A$2:$A$977,0)),0)</f>
        <v/>
      </c>
      <c r="N227" s="6">
        <f>IFERROR(INDEX('02b_DC_Accelerator_Mix'!$K$2:$K$977,MATCH(G227,'02b_DC_Accelerator_Mix'!$A$2:$A$977,0)),0)</f>
        <v/>
      </c>
      <c r="O227" s="6">
        <f>IFERROR(INDEX('02b_DC_Accelerator_Mix'!$L$2:$L$977,MATCH(G227,'02b_DC_Accelerator_Mix'!$A$2:$A$977,0)),0)</f>
        <v/>
      </c>
      <c r="P227" s="6">
        <f>IFERROR(INDEX('02b_DC_Accelerator_Mix'!$M$2:$M$977,MATCH(G227,'02b_DC_Accelerator_Mix'!$A$2:$A$977,0)),0)</f>
        <v/>
      </c>
      <c r="Q227" s="6">
        <f>IFERROR(INDEX('02b_DC_Accelerator_Mix'!$N$2:$N$977,MATCH(G227,'02b_DC_Accelerator_Mix'!$A$2:$A$977,0)),0)</f>
        <v/>
      </c>
      <c r="R227" s="28">
        <f>H227*I227</f>
        <v/>
      </c>
      <c r="S227" s="28">
        <f>H227*J227</f>
        <v/>
      </c>
      <c r="T227" s="28">
        <f>H227*K227</f>
        <v/>
      </c>
      <c r="U227" s="28">
        <f>H227*L227</f>
        <v/>
      </c>
      <c r="V227" s="28">
        <f>H227*M227</f>
        <v/>
      </c>
      <c r="W227" s="28">
        <f>H227*N227</f>
        <v/>
      </c>
      <c r="X227" s="28">
        <f>H227*O227</f>
        <v/>
      </c>
      <c r="Y227" s="28">
        <f>H227*P227</f>
        <v/>
      </c>
      <c r="Z227" s="28">
        <f>H227*Q227</f>
        <v/>
      </c>
      <c r="AA227" s="28">
        <f>SUM(U227:Z227)</f>
        <v/>
      </c>
      <c r="AB227" s="5">
        <f>IF(COUNTIF('02b_DC_Accelerator_Mix'!$A$2:$A$977,G227)&gt;0,"matched","missing_mix")</f>
        <v/>
      </c>
    </row>
    <row r="228">
      <c r="A228" s="5">
        <f>'02a_DC_Capacity_Alloc'!A228</f>
        <v/>
      </c>
      <c r="B228" s="5">
        <f>'02a_DC_Capacity_Alloc'!B228</f>
        <v/>
      </c>
      <c r="C228" s="5">
        <f>'02a_DC_Capacity_Alloc'!C228</f>
        <v/>
      </c>
      <c r="D228" s="5">
        <f>'02a_DC_Capacity_Alloc'!D228</f>
        <v/>
      </c>
      <c r="E228" s="5">
        <f>'02a_DC_Capacity_Alloc'!E228</f>
        <v/>
      </c>
      <c r="F228" s="5">
        <f>'02a_DC_Capacity_Alloc'!F228</f>
        <v/>
      </c>
      <c r="G228" s="5">
        <f>B228&amp;"|"&amp;E228&amp;"|"&amp;D228</f>
        <v/>
      </c>
      <c r="H228" s="28">
        <f>'02a_DC_Capacity_Alloc'!H228*'02a_DC_Capacity_Alloc'!I228*'02a_DC_Capacity_Alloc'!J228</f>
        <v/>
      </c>
      <c r="I228" s="6">
        <f>IFERROR(INDEX('02b_DC_Accelerator_Mix'!$F$2:$F$977,MATCH(G228,'02b_DC_Accelerator_Mix'!$A$2:$A$977,0)),0)</f>
        <v/>
      </c>
      <c r="J228" s="6">
        <f>IFERROR(INDEX('02b_DC_Accelerator_Mix'!$G$2:$G$977,MATCH(G228,'02b_DC_Accelerator_Mix'!$A$2:$A$977,0)),0)</f>
        <v/>
      </c>
      <c r="K228" s="6">
        <f>IFERROR(INDEX('02b_DC_Accelerator_Mix'!$H$2:$H$977,MATCH(G228,'02b_DC_Accelerator_Mix'!$A$2:$A$977,0)),0)</f>
        <v/>
      </c>
      <c r="L228" s="6">
        <f>IFERROR(INDEX('02b_DC_Accelerator_Mix'!$I$2:$I$977,MATCH(G228,'02b_DC_Accelerator_Mix'!$A$2:$A$977,0)),0)</f>
        <v/>
      </c>
      <c r="M228" s="6">
        <f>IFERROR(INDEX('02b_DC_Accelerator_Mix'!$J$2:$J$977,MATCH(G228,'02b_DC_Accelerator_Mix'!$A$2:$A$977,0)),0)</f>
        <v/>
      </c>
      <c r="N228" s="6">
        <f>IFERROR(INDEX('02b_DC_Accelerator_Mix'!$K$2:$K$977,MATCH(G228,'02b_DC_Accelerator_Mix'!$A$2:$A$977,0)),0)</f>
        <v/>
      </c>
      <c r="O228" s="6">
        <f>IFERROR(INDEX('02b_DC_Accelerator_Mix'!$L$2:$L$977,MATCH(G228,'02b_DC_Accelerator_Mix'!$A$2:$A$977,0)),0)</f>
        <v/>
      </c>
      <c r="P228" s="6">
        <f>IFERROR(INDEX('02b_DC_Accelerator_Mix'!$M$2:$M$977,MATCH(G228,'02b_DC_Accelerator_Mix'!$A$2:$A$977,0)),0)</f>
        <v/>
      </c>
      <c r="Q228" s="6">
        <f>IFERROR(INDEX('02b_DC_Accelerator_Mix'!$N$2:$N$977,MATCH(G228,'02b_DC_Accelerator_Mix'!$A$2:$A$977,0)),0)</f>
        <v/>
      </c>
      <c r="R228" s="28">
        <f>H228*I228</f>
        <v/>
      </c>
      <c r="S228" s="28">
        <f>H228*J228</f>
        <v/>
      </c>
      <c r="T228" s="28">
        <f>H228*K228</f>
        <v/>
      </c>
      <c r="U228" s="28">
        <f>H228*L228</f>
        <v/>
      </c>
      <c r="V228" s="28">
        <f>H228*M228</f>
        <v/>
      </c>
      <c r="W228" s="28">
        <f>H228*N228</f>
        <v/>
      </c>
      <c r="X228" s="28">
        <f>H228*O228</f>
        <v/>
      </c>
      <c r="Y228" s="28">
        <f>H228*P228</f>
        <v/>
      </c>
      <c r="Z228" s="28">
        <f>H228*Q228</f>
        <v/>
      </c>
      <c r="AA228" s="28">
        <f>SUM(U228:Z228)</f>
        <v/>
      </c>
      <c r="AB228" s="5">
        <f>IF(COUNTIF('02b_DC_Accelerator_Mix'!$A$2:$A$977,G228)&gt;0,"matched","missing_mix")</f>
        <v/>
      </c>
    </row>
    <row r="229">
      <c r="A229" s="5">
        <f>'02a_DC_Capacity_Alloc'!A229</f>
        <v/>
      </c>
      <c r="B229" s="5">
        <f>'02a_DC_Capacity_Alloc'!B229</f>
        <v/>
      </c>
      <c r="C229" s="5">
        <f>'02a_DC_Capacity_Alloc'!C229</f>
        <v/>
      </c>
      <c r="D229" s="5">
        <f>'02a_DC_Capacity_Alloc'!D229</f>
        <v/>
      </c>
      <c r="E229" s="5">
        <f>'02a_DC_Capacity_Alloc'!E229</f>
        <v/>
      </c>
      <c r="F229" s="5">
        <f>'02a_DC_Capacity_Alloc'!F229</f>
        <v/>
      </c>
      <c r="G229" s="5">
        <f>B229&amp;"|"&amp;E229&amp;"|"&amp;D229</f>
        <v/>
      </c>
      <c r="H229" s="28">
        <f>'02a_DC_Capacity_Alloc'!H229*'02a_DC_Capacity_Alloc'!I229*'02a_DC_Capacity_Alloc'!J229</f>
        <v/>
      </c>
      <c r="I229" s="6">
        <f>IFERROR(INDEX('02b_DC_Accelerator_Mix'!$F$2:$F$977,MATCH(G229,'02b_DC_Accelerator_Mix'!$A$2:$A$977,0)),0)</f>
        <v/>
      </c>
      <c r="J229" s="6">
        <f>IFERROR(INDEX('02b_DC_Accelerator_Mix'!$G$2:$G$977,MATCH(G229,'02b_DC_Accelerator_Mix'!$A$2:$A$977,0)),0)</f>
        <v/>
      </c>
      <c r="K229" s="6">
        <f>IFERROR(INDEX('02b_DC_Accelerator_Mix'!$H$2:$H$977,MATCH(G229,'02b_DC_Accelerator_Mix'!$A$2:$A$977,0)),0)</f>
        <v/>
      </c>
      <c r="L229" s="6">
        <f>IFERROR(INDEX('02b_DC_Accelerator_Mix'!$I$2:$I$977,MATCH(G229,'02b_DC_Accelerator_Mix'!$A$2:$A$977,0)),0)</f>
        <v/>
      </c>
      <c r="M229" s="6">
        <f>IFERROR(INDEX('02b_DC_Accelerator_Mix'!$J$2:$J$977,MATCH(G229,'02b_DC_Accelerator_Mix'!$A$2:$A$977,0)),0)</f>
        <v/>
      </c>
      <c r="N229" s="6">
        <f>IFERROR(INDEX('02b_DC_Accelerator_Mix'!$K$2:$K$977,MATCH(G229,'02b_DC_Accelerator_Mix'!$A$2:$A$977,0)),0)</f>
        <v/>
      </c>
      <c r="O229" s="6">
        <f>IFERROR(INDEX('02b_DC_Accelerator_Mix'!$L$2:$L$977,MATCH(G229,'02b_DC_Accelerator_Mix'!$A$2:$A$977,0)),0)</f>
        <v/>
      </c>
      <c r="P229" s="6">
        <f>IFERROR(INDEX('02b_DC_Accelerator_Mix'!$M$2:$M$977,MATCH(G229,'02b_DC_Accelerator_Mix'!$A$2:$A$977,0)),0)</f>
        <v/>
      </c>
      <c r="Q229" s="6">
        <f>IFERROR(INDEX('02b_DC_Accelerator_Mix'!$N$2:$N$977,MATCH(G229,'02b_DC_Accelerator_Mix'!$A$2:$A$977,0)),0)</f>
        <v/>
      </c>
      <c r="R229" s="28">
        <f>H229*I229</f>
        <v/>
      </c>
      <c r="S229" s="28">
        <f>H229*J229</f>
        <v/>
      </c>
      <c r="T229" s="28">
        <f>H229*K229</f>
        <v/>
      </c>
      <c r="U229" s="28">
        <f>H229*L229</f>
        <v/>
      </c>
      <c r="V229" s="28">
        <f>H229*M229</f>
        <v/>
      </c>
      <c r="W229" s="28">
        <f>H229*N229</f>
        <v/>
      </c>
      <c r="X229" s="28">
        <f>H229*O229</f>
        <v/>
      </c>
      <c r="Y229" s="28">
        <f>H229*P229</f>
        <v/>
      </c>
      <c r="Z229" s="28">
        <f>H229*Q229</f>
        <v/>
      </c>
      <c r="AA229" s="28">
        <f>SUM(U229:Z229)</f>
        <v/>
      </c>
      <c r="AB229" s="5">
        <f>IF(COUNTIF('02b_DC_Accelerator_Mix'!$A$2:$A$977,G229)&gt;0,"matched","missing_mix")</f>
        <v/>
      </c>
    </row>
    <row r="230">
      <c r="A230" s="5">
        <f>'02a_DC_Capacity_Alloc'!A230</f>
        <v/>
      </c>
      <c r="B230" s="5">
        <f>'02a_DC_Capacity_Alloc'!B230</f>
        <v/>
      </c>
      <c r="C230" s="5">
        <f>'02a_DC_Capacity_Alloc'!C230</f>
        <v/>
      </c>
      <c r="D230" s="5">
        <f>'02a_DC_Capacity_Alloc'!D230</f>
        <v/>
      </c>
      <c r="E230" s="5">
        <f>'02a_DC_Capacity_Alloc'!E230</f>
        <v/>
      </c>
      <c r="F230" s="5">
        <f>'02a_DC_Capacity_Alloc'!F230</f>
        <v/>
      </c>
      <c r="G230" s="5">
        <f>B230&amp;"|"&amp;E230&amp;"|"&amp;D230</f>
        <v/>
      </c>
      <c r="H230" s="28">
        <f>'02a_DC_Capacity_Alloc'!H230*'02a_DC_Capacity_Alloc'!I230*'02a_DC_Capacity_Alloc'!J230</f>
        <v/>
      </c>
      <c r="I230" s="6">
        <f>IFERROR(INDEX('02b_DC_Accelerator_Mix'!$F$2:$F$977,MATCH(G230,'02b_DC_Accelerator_Mix'!$A$2:$A$977,0)),0)</f>
        <v/>
      </c>
      <c r="J230" s="6">
        <f>IFERROR(INDEX('02b_DC_Accelerator_Mix'!$G$2:$G$977,MATCH(G230,'02b_DC_Accelerator_Mix'!$A$2:$A$977,0)),0)</f>
        <v/>
      </c>
      <c r="K230" s="6">
        <f>IFERROR(INDEX('02b_DC_Accelerator_Mix'!$H$2:$H$977,MATCH(G230,'02b_DC_Accelerator_Mix'!$A$2:$A$977,0)),0)</f>
        <v/>
      </c>
      <c r="L230" s="6">
        <f>IFERROR(INDEX('02b_DC_Accelerator_Mix'!$I$2:$I$977,MATCH(G230,'02b_DC_Accelerator_Mix'!$A$2:$A$977,0)),0)</f>
        <v/>
      </c>
      <c r="M230" s="6">
        <f>IFERROR(INDEX('02b_DC_Accelerator_Mix'!$J$2:$J$977,MATCH(G230,'02b_DC_Accelerator_Mix'!$A$2:$A$977,0)),0)</f>
        <v/>
      </c>
      <c r="N230" s="6">
        <f>IFERROR(INDEX('02b_DC_Accelerator_Mix'!$K$2:$K$977,MATCH(G230,'02b_DC_Accelerator_Mix'!$A$2:$A$977,0)),0)</f>
        <v/>
      </c>
      <c r="O230" s="6">
        <f>IFERROR(INDEX('02b_DC_Accelerator_Mix'!$L$2:$L$977,MATCH(G230,'02b_DC_Accelerator_Mix'!$A$2:$A$977,0)),0)</f>
        <v/>
      </c>
      <c r="P230" s="6">
        <f>IFERROR(INDEX('02b_DC_Accelerator_Mix'!$M$2:$M$977,MATCH(G230,'02b_DC_Accelerator_Mix'!$A$2:$A$977,0)),0)</f>
        <v/>
      </c>
      <c r="Q230" s="6">
        <f>IFERROR(INDEX('02b_DC_Accelerator_Mix'!$N$2:$N$977,MATCH(G230,'02b_DC_Accelerator_Mix'!$A$2:$A$977,0)),0)</f>
        <v/>
      </c>
      <c r="R230" s="28">
        <f>H230*I230</f>
        <v/>
      </c>
      <c r="S230" s="28">
        <f>H230*J230</f>
        <v/>
      </c>
      <c r="T230" s="28">
        <f>H230*K230</f>
        <v/>
      </c>
      <c r="U230" s="28">
        <f>H230*L230</f>
        <v/>
      </c>
      <c r="V230" s="28">
        <f>H230*M230</f>
        <v/>
      </c>
      <c r="W230" s="28">
        <f>H230*N230</f>
        <v/>
      </c>
      <c r="X230" s="28">
        <f>H230*O230</f>
        <v/>
      </c>
      <c r="Y230" s="28">
        <f>H230*P230</f>
        <v/>
      </c>
      <c r="Z230" s="28">
        <f>H230*Q230</f>
        <v/>
      </c>
      <c r="AA230" s="28">
        <f>SUM(U230:Z230)</f>
        <v/>
      </c>
      <c r="AB230" s="5">
        <f>IF(COUNTIF('02b_DC_Accelerator_Mix'!$A$2:$A$977,G230)&gt;0,"matched","missing_mix")</f>
        <v/>
      </c>
    </row>
    <row r="231">
      <c r="A231" s="5">
        <f>'02a_DC_Capacity_Alloc'!A231</f>
        <v/>
      </c>
      <c r="B231" s="5">
        <f>'02a_DC_Capacity_Alloc'!B231</f>
        <v/>
      </c>
      <c r="C231" s="5">
        <f>'02a_DC_Capacity_Alloc'!C231</f>
        <v/>
      </c>
      <c r="D231" s="5">
        <f>'02a_DC_Capacity_Alloc'!D231</f>
        <v/>
      </c>
      <c r="E231" s="5">
        <f>'02a_DC_Capacity_Alloc'!E231</f>
        <v/>
      </c>
      <c r="F231" s="5">
        <f>'02a_DC_Capacity_Alloc'!F231</f>
        <v/>
      </c>
      <c r="G231" s="5">
        <f>B231&amp;"|"&amp;E231&amp;"|"&amp;D231</f>
        <v/>
      </c>
      <c r="H231" s="28">
        <f>'02a_DC_Capacity_Alloc'!H231*'02a_DC_Capacity_Alloc'!I231*'02a_DC_Capacity_Alloc'!J231</f>
        <v/>
      </c>
      <c r="I231" s="6">
        <f>IFERROR(INDEX('02b_DC_Accelerator_Mix'!$F$2:$F$977,MATCH(G231,'02b_DC_Accelerator_Mix'!$A$2:$A$977,0)),0)</f>
        <v/>
      </c>
      <c r="J231" s="6">
        <f>IFERROR(INDEX('02b_DC_Accelerator_Mix'!$G$2:$G$977,MATCH(G231,'02b_DC_Accelerator_Mix'!$A$2:$A$977,0)),0)</f>
        <v/>
      </c>
      <c r="K231" s="6">
        <f>IFERROR(INDEX('02b_DC_Accelerator_Mix'!$H$2:$H$977,MATCH(G231,'02b_DC_Accelerator_Mix'!$A$2:$A$977,0)),0)</f>
        <v/>
      </c>
      <c r="L231" s="6">
        <f>IFERROR(INDEX('02b_DC_Accelerator_Mix'!$I$2:$I$977,MATCH(G231,'02b_DC_Accelerator_Mix'!$A$2:$A$977,0)),0)</f>
        <v/>
      </c>
      <c r="M231" s="6">
        <f>IFERROR(INDEX('02b_DC_Accelerator_Mix'!$J$2:$J$977,MATCH(G231,'02b_DC_Accelerator_Mix'!$A$2:$A$977,0)),0)</f>
        <v/>
      </c>
      <c r="N231" s="6">
        <f>IFERROR(INDEX('02b_DC_Accelerator_Mix'!$K$2:$K$977,MATCH(G231,'02b_DC_Accelerator_Mix'!$A$2:$A$977,0)),0)</f>
        <v/>
      </c>
      <c r="O231" s="6">
        <f>IFERROR(INDEX('02b_DC_Accelerator_Mix'!$L$2:$L$977,MATCH(G231,'02b_DC_Accelerator_Mix'!$A$2:$A$977,0)),0)</f>
        <v/>
      </c>
      <c r="P231" s="6">
        <f>IFERROR(INDEX('02b_DC_Accelerator_Mix'!$M$2:$M$977,MATCH(G231,'02b_DC_Accelerator_Mix'!$A$2:$A$977,0)),0)</f>
        <v/>
      </c>
      <c r="Q231" s="6">
        <f>IFERROR(INDEX('02b_DC_Accelerator_Mix'!$N$2:$N$977,MATCH(G231,'02b_DC_Accelerator_Mix'!$A$2:$A$977,0)),0)</f>
        <v/>
      </c>
      <c r="R231" s="28">
        <f>H231*I231</f>
        <v/>
      </c>
      <c r="S231" s="28">
        <f>H231*J231</f>
        <v/>
      </c>
      <c r="T231" s="28">
        <f>H231*K231</f>
        <v/>
      </c>
      <c r="U231" s="28">
        <f>H231*L231</f>
        <v/>
      </c>
      <c r="V231" s="28">
        <f>H231*M231</f>
        <v/>
      </c>
      <c r="W231" s="28">
        <f>H231*N231</f>
        <v/>
      </c>
      <c r="X231" s="28">
        <f>H231*O231</f>
        <v/>
      </c>
      <c r="Y231" s="28">
        <f>H231*P231</f>
        <v/>
      </c>
      <c r="Z231" s="28">
        <f>H231*Q231</f>
        <v/>
      </c>
      <c r="AA231" s="28">
        <f>SUM(U231:Z231)</f>
        <v/>
      </c>
      <c r="AB231" s="5">
        <f>IF(COUNTIF('02b_DC_Accelerator_Mix'!$A$2:$A$977,G231)&gt;0,"matched","missing_mix")</f>
        <v/>
      </c>
    </row>
    <row r="232">
      <c r="A232" s="5">
        <f>'02a_DC_Capacity_Alloc'!A232</f>
        <v/>
      </c>
      <c r="B232" s="5">
        <f>'02a_DC_Capacity_Alloc'!B232</f>
        <v/>
      </c>
      <c r="C232" s="5">
        <f>'02a_DC_Capacity_Alloc'!C232</f>
        <v/>
      </c>
      <c r="D232" s="5">
        <f>'02a_DC_Capacity_Alloc'!D232</f>
        <v/>
      </c>
      <c r="E232" s="5">
        <f>'02a_DC_Capacity_Alloc'!E232</f>
        <v/>
      </c>
      <c r="F232" s="5">
        <f>'02a_DC_Capacity_Alloc'!F232</f>
        <v/>
      </c>
      <c r="G232" s="5">
        <f>B232&amp;"|"&amp;E232&amp;"|"&amp;D232</f>
        <v/>
      </c>
      <c r="H232" s="28">
        <f>'02a_DC_Capacity_Alloc'!H232*'02a_DC_Capacity_Alloc'!I232*'02a_DC_Capacity_Alloc'!J232</f>
        <v/>
      </c>
      <c r="I232" s="6">
        <f>IFERROR(INDEX('02b_DC_Accelerator_Mix'!$F$2:$F$977,MATCH(G232,'02b_DC_Accelerator_Mix'!$A$2:$A$977,0)),0)</f>
        <v/>
      </c>
      <c r="J232" s="6">
        <f>IFERROR(INDEX('02b_DC_Accelerator_Mix'!$G$2:$G$977,MATCH(G232,'02b_DC_Accelerator_Mix'!$A$2:$A$977,0)),0)</f>
        <v/>
      </c>
      <c r="K232" s="6">
        <f>IFERROR(INDEX('02b_DC_Accelerator_Mix'!$H$2:$H$977,MATCH(G232,'02b_DC_Accelerator_Mix'!$A$2:$A$977,0)),0)</f>
        <v/>
      </c>
      <c r="L232" s="6">
        <f>IFERROR(INDEX('02b_DC_Accelerator_Mix'!$I$2:$I$977,MATCH(G232,'02b_DC_Accelerator_Mix'!$A$2:$A$977,0)),0)</f>
        <v/>
      </c>
      <c r="M232" s="6">
        <f>IFERROR(INDEX('02b_DC_Accelerator_Mix'!$J$2:$J$977,MATCH(G232,'02b_DC_Accelerator_Mix'!$A$2:$A$977,0)),0)</f>
        <v/>
      </c>
      <c r="N232" s="6">
        <f>IFERROR(INDEX('02b_DC_Accelerator_Mix'!$K$2:$K$977,MATCH(G232,'02b_DC_Accelerator_Mix'!$A$2:$A$977,0)),0)</f>
        <v/>
      </c>
      <c r="O232" s="6">
        <f>IFERROR(INDEX('02b_DC_Accelerator_Mix'!$L$2:$L$977,MATCH(G232,'02b_DC_Accelerator_Mix'!$A$2:$A$977,0)),0)</f>
        <v/>
      </c>
      <c r="P232" s="6">
        <f>IFERROR(INDEX('02b_DC_Accelerator_Mix'!$M$2:$M$977,MATCH(G232,'02b_DC_Accelerator_Mix'!$A$2:$A$977,0)),0)</f>
        <v/>
      </c>
      <c r="Q232" s="6">
        <f>IFERROR(INDEX('02b_DC_Accelerator_Mix'!$N$2:$N$977,MATCH(G232,'02b_DC_Accelerator_Mix'!$A$2:$A$977,0)),0)</f>
        <v/>
      </c>
      <c r="R232" s="28">
        <f>H232*I232</f>
        <v/>
      </c>
      <c r="S232" s="28">
        <f>H232*J232</f>
        <v/>
      </c>
      <c r="T232" s="28">
        <f>H232*K232</f>
        <v/>
      </c>
      <c r="U232" s="28">
        <f>H232*L232</f>
        <v/>
      </c>
      <c r="V232" s="28">
        <f>H232*M232</f>
        <v/>
      </c>
      <c r="W232" s="28">
        <f>H232*N232</f>
        <v/>
      </c>
      <c r="X232" s="28">
        <f>H232*O232</f>
        <v/>
      </c>
      <c r="Y232" s="28">
        <f>H232*P232</f>
        <v/>
      </c>
      <c r="Z232" s="28">
        <f>H232*Q232</f>
        <v/>
      </c>
      <c r="AA232" s="28">
        <f>SUM(U232:Z232)</f>
        <v/>
      </c>
      <c r="AB232" s="5">
        <f>IF(COUNTIF('02b_DC_Accelerator_Mix'!$A$2:$A$977,G232)&gt;0,"matched","missing_mix")</f>
        <v/>
      </c>
    </row>
    <row r="233">
      <c r="A233" s="5">
        <f>'02a_DC_Capacity_Alloc'!A233</f>
        <v/>
      </c>
      <c r="B233" s="5">
        <f>'02a_DC_Capacity_Alloc'!B233</f>
        <v/>
      </c>
      <c r="C233" s="5">
        <f>'02a_DC_Capacity_Alloc'!C233</f>
        <v/>
      </c>
      <c r="D233" s="5">
        <f>'02a_DC_Capacity_Alloc'!D233</f>
        <v/>
      </c>
      <c r="E233" s="5">
        <f>'02a_DC_Capacity_Alloc'!E233</f>
        <v/>
      </c>
      <c r="F233" s="5">
        <f>'02a_DC_Capacity_Alloc'!F233</f>
        <v/>
      </c>
      <c r="G233" s="5">
        <f>B233&amp;"|"&amp;E233&amp;"|"&amp;D233</f>
        <v/>
      </c>
      <c r="H233" s="28">
        <f>'02a_DC_Capacity_Alloc'!H233*'02a_DC_Capacity_Alloc'!I233*'02a_DC_Capacity_Alloc'!J233</f>
        <v/>
      </c>
      <c r="I233" s="6">
        <f>IFERROR(INDEX('02b_DC_Accelerator_Mix'!$F$2:$F$977,MATCH(G233,'02b_DC_Accelerator_Mix'!$A$2:$A$977,0)),0)</f>
        <v/>
      </c>
      <c r="J233" s="6">
        <f>IFERROR(INDEX('02b_DC_Accelerator_Mix'!$G$2:$G$977,MATCH(G233,'02b_DC_Accelerator_Mix'!$A$2:$A$977,0)),0)</f>
        <v/>
      </c>
      <c r="K233" s="6">
        <f>IFERROR(INDEX('02b_DC_Accelerator_Mix'!$H$2:$H$977,MATCH(G233,'02b_DC_Accelerator_Mix'!$A$2:$A$977,0)),0)</f>
        <v/>
      </c>
      <c r="L233" s="6">
        <f>IFERROR(INDEX('02b_DC_Accelerator_Mix'!$I$2:$I$977,MATCH(G233,'02b_DC_Accelerator_Mix'!$A$2:$A$977,0)),0)</f>
        <v/>
      </c>
      <c r="M233" s="6">
        <f>IFERROR(INDEX('02b_DC_Accelerator_Mix'!$J$2:$J$977,MATCH(G233,'02b_DC_Accelerator_Mix'!$A$2:$A$977,0)),0)</f>
        <v/>
      </c>
      <c r="N233" s="6">
        <f>IFERROR(INDEX('02b_DC_Accelerator_Mix'!$K$2:$K$977,MATCH(G233,'02b_DC_Accelerator_Mix'!$A$2:$A$977,0)),0)</f>
        <v/>
      </c>
      <c r="O233" s="6">
        <f>IFERROR(INDEX('02b_DC_Accelerator_Mix'!$L$2:$L$977,MATCH(G233,'02b_DC_Accelerator_Mix'!$A$2:$A$977,0)),0)</f>
        <v/>
      </c>
      <c r="P233" s="6">
        <f>IFERROR(INDEX('02b_DC_Accelerator_Mix'!$M$2:$M$977,MATCH(G233,'02b_DC_Accelerator_Mix'!$A$2:$A$977,0)),0)</f>
        <v/>
      </c>
      <c r="Q233" s="6">
        <f>IFERROR(INDEX('02b_DC_Accelerator_Mix'!$N$2:$N$977,MATCH(G233,'02b_DC_Accelerator_Mix'!$A$2:$A$977,0)),0)</f>
        <v/>
      </c>
      <c r="R233" s="28">
        <f>H233*I233</f>
        <v/>
      </c>
      <c r="S233" s="28">
        <f>H233*J233</f>
        <v/>
      </c>
      <c r="T233" s="28">
        <f>H233*K233</f>
        <v/>
      </c>
      <c r="U233" s="28">
        <f>H233*L233</f>
        <v/>
      </c>
      <c r="V233" s="28">
        <f>H233*M233</f>
        <v/>
      </c>
      <c r="W233" s="28">
        <f>H233*N233</f>
        <v/>
      </c>
      <c r="X233" s="28">
        <f>H233*O233</f>
        <v/>
      </c>
      <c r="Y233" s="28">
        <f>H233*P233</f>
        <v/>
      </c>
      <c r="Z233" s="28">
        <f>H233*Q233</f>
        <v/>
      </c>
      <c r="AA233" s="28">
        <f>SUM(U233:Z233)</f>
        <v/>
      </c>
      <c r="AB233" s="5">
        <f>IF(COUNTIF('02b_DC_Accelerator_Mix'!$A$2:$A$977,G233)&gt;0,"matched","missing_mix")</f>
        <v/>
      </c>
    </row>
    <row r="234">
      <c r="A234" s="5">
        <f>'02a_DC_Capacity_Alloc'!A234</f>
        <v/>
      </c>
      <c r="B234" s="5">
        <f>'02a_DC_Capacity_Alloc'!B234</f>
        <v/>
      </c>
      <c r="C234" s="5">
        <f>'02a_DC_Capacity_Alloc'!C234</f>
        <v/>
      </c>
      <c r="D234" s="5">
        <f>'02a_DC_Capacity_Alloc'!D234</f>
        <v/>
      </c>
      <c r="E234" s="5">
        <f>'02a_DC_Capacity_Alloc'!E234</f>
        <v/>
      </c>
      <c r="F234" s="5">
        <f>'02a_DC_Capacity_Alloc'!F234</f>
        <v/>
      </c>
      <c r="G234" s="5">
        <f>B234&amp;"|"&amp;E234&amp;"|"&amp;D234</f>
        <v/>
      </c>
      <c r="H234" s="28">
        <f>'02a_DC_Capacity_Alloc'!H234*'02a_DC_Capacity_Alloc'!I234*'02a_DC_Capacity_Alloc'!J234</f>
        <v/>
      </c>
      <c r="I234" s="6">
        <f>IFERROR(INDEX('02b_DC_Accelerator_Mix'!$F$2:$F$977,MATCH(G234,'02b_DC_Accelerator_Mix'!$A$2:$A$977,0)),0)</f>
        <v/>
      </c>
      <c r="J234" s="6">
        <f>IFERROR(INDEX('02b_DC_Accelerator_Mix'!$G$2:$G$977,MATCH(G234,'02b_DC_Accelerator_Mix'!$A$2:$A$977,0)),0)</f>
        <v/>
      </c>
      <c r="K234" s="6">
        <f>IFERROR(INDEX('02b_DC_Accelerator_Mix'!$H$2:$H$977,MATCH(G234,'02b_DC_Accelerator_Mix'!$A$2:$A$977,0)),0)</f>
        <v/>
      </c>
      <c r="L234" s="6">
        <f>IFERROR(INDEX('02b_DC_Accelerator_Mix'!$I$2:$I$977,MATCH(G234,'02b_DC_Accelerator_Mix'!$A$2:$A$977,0)),0)</f>
        <v/>
      </c>
      <c r="M234" s="6">
        <f>IFERROR(INDEX('02b_DC_Accelerator_Mix'!$J$2:$J$977,MATCH(G234,'02b_DC_Accelerator_Mix'!$A$2:$A$977,0)),0)</f>
        <v/>
      </c>
      <c r="N234" s="6">
        <f>IFERROR(INDEX('02b_DC_Accelerator_Mix'!$K$2:$K$977,MATCH(G234,'02b_DC_Accelerator_Mix'!$A$2:$A$977,0)),0)</f>
        <v/>
      </c>
      <c r="O234" s="6">
        <f>IFERROR(INDEX('02b_DC_Accelerator_Mix'!$L$2:$L$977,MATCH(G234,'02b_DC_Accelerator_Mix'!$A$2:$A$977,0)),0)</f>
        <v/>
      </c>
      <c r="P234" s="6">
        <f>IFERROR(INDEX('02b_DC_Accelerator_Mix'!$M$2:$M$977,MATCH(G234,'02b_DC_Accelerator_Mix'!$A$2:$A$977,0)),0)</f>
        <v/>
      </c>
      <c r="Q234" s="6">
        <f>IFERROR(INDEX('02b_DC_Accelerator_Mix'!$N$2:$N$977,MATCH(G234,'02b_DC_Accelerator_Mix'!$A$2:$A$977,0)),0)</f>
        <v/>
      </c>
      <c r="R234" s="28">
        <f>H234*I234</f>
        <v/>
      </c>
      <c r="S234" s="28">
        <f>H234*J234</f>
        <v/>
      </c>
      <c r="T234" s="28">
        <f>H234*K234</f>
        <v/>
      </c>
      <c r="U234" s="28">
        <f>H234*L234</f>
        <v/>
      </c>
      <c r="V234" s="28">
        <f>H234*M234</f>
        <v/>
      </c>
      <c r="W234" s="28">
        <f>H234*N234</f>
        <v/>
      </c>
      <c r="X234" s="28">
        <f>H234*O234</f>
        <v/>
      </c>
      <c r="Y234" s="28">
        <f>H234*P234</f>
        <v/>
      </c>
      <c r="Z234" s="28">
        <f>H234*Q234</f>
        <v/>
      </c>
      <c r="AA234" s="28">
        <f>SUM(U234:Z234)</f>
        <v/>
      </c>
      <c r="AB234" s="5">
        <f>IF(COUNTIF('02b_DC_Accelerator_Mix'!$A$2:$A$977,G234)&gt;0,"matched","missing_mix")</f>
        <v/>
      </c>
    </row>
    <row r="235">
      <c r="A235" s="5">
        <f>'02a_DC_Capacity_Alloc'!A235</f>
        <v/>
      </c>
      <c r="B235" s="5">
        <f>'02a_DC_Capacity_Alloc'!B235</f>
        <v/>
      </c>
      <c r="C235" s="5">
        <f>'02a_DC_Capacity_Alloc'!C235</f>
        <v/>
      </c>
      <c r="D235" s="5">
        <f>'02a_DC_Capacity_Alloc'!D235</f>
        <v/>
      </c>
      <c r="E235" s="5">
        <f>'02a_DC_Capacity_Alloc'!E235</f>
        <v/>
      </c>
      <c r="F235" s="5">
        <f>'02a_DC_Capacity_Alloc'!F235</f>
        <v/>
      </c>
      <c r="G235" s="5">
        <f>B235&amp;"|"&amp;E235&amp;"|"&amp;D235</f>
        <v/>
      </c>
      <c r="H235" s="28">
        <f>'02a_DC_Capacity_Alloc'!H235*'02a_DC_Capacity_Alloc'!I235*'02a_DC_Capacity_Alloc'!J235</f>
        <v/>
      </c>
      <c r="I235" s="6">
        <f>IFERROR(INDEX('02b_DC_Accelerator_Mix'!$F$2:$F$977,MATCH(G235,'02b_DC_Accelerator_Mix'!$A$2:$A$977,0)),0)</f>
        <v/>
      </c>
      <c r="J235" s="6">
        <f>IFERROR(INDEX('02b_DC_Accelerator_Mix'!$G$2:$G$977,MATCH(G235,'02b_DC_Accelerator_Mix'!$A$2:$A$977,0)),0)</f>
        <v/>
      </c>
      <c r="K235" s="6">
        <f>IFERROR(INDEX('02b_DC_Accelerator_Mix'!$H$2:$H$977,MATCH(G235,'02b_DC_Accelerator_Mix'!$A$2:$A$977,0)),0)</f>
        <v/>
      </c>
      <c r="L235" s="6">
        <f>IFERROR(INDEX('02b_DC_Accelerator_Mix'!$I$2:$I$977,MATCH(G235,'02b_DC_Accelerator_Mix'!$A$2:$A$977,0)),0)</f>
        <v/>
      </c>
      <c r="M235" s="6">
        <f>IFERROR(INDEX('02b_DC_Accelerator_Mix'!$J$2:$J$977,MATCH(G235,'02b_DC_Accelerator_Mix'!$A$2:$A$977,0)),0)</f>
        <v/>
      </c>
      <c r="N235" s="6">
        <f>IFERROR(INDEX('02b_DC_Accelerator_Mix'!$K$2:$K$977,MATCH(G235,'02b_DC_Accelerator_Mix'!$A$2:$A$977,0)),0)</f>
        <v/>
      </c>
      <c r="O235" s="6">
        <f>IFERROR(INDEX('02b_DC_Accelerator_Mix'!$L$2:$L$977,MATCH(G235,'02b_DC_Accelerator_Mix'!$A$2:$A$977,0)),0)</f>
        <v/>
      </c>
      <c r="P235" s="6">
        <f>IFERROR(INDEX('02b_DC_Accelerator_Mix'!$M$2:$M$977,MATCH(G235,'02b_DC_Accelerator_Mix'!$A$2:$A$977,0)),0)</f>
        <v/>
      </c>
      <c r="Q235" s="6">
        <f>IFERROR(INDEX('02b_DC_Accelerator_Mix'!$N$2:$N$977,MATCH(G235,'02b_DC_Accelerator_Mix'!$A$2:$A$977,0)),0)</f>
        <v/>
      </c>
      <c r="R235" s="28">
        <f>H235*I235</f>
        <v/>
      </c>
      <c r="S235" s="28">
        <f>H235*J235</f>
        <v/>
      </c>
      <c r="T235" s="28">
        <f>H235*K235</f>
        <v/>
      </c>
      <c r="U235" s="28">
        <f>H235*L235</f>
        <v/>
      </c>
      <c r="V235" s="28">
        <f>H235*M235</f>
        <v/>
      </c>
      <c r="W235" s="28">
        <f>H235*N235</f>
        <v/>
      </c>
      <c r="X235" s="28">
        <f>H235*O235</f>
        <v/>
      </c>
      <c r="Y235" s="28">
        <f>H235*P235</f>
        <v/>
      </c>
      <c r="Z235" s="28">
        <f>H235*Q235</f>
        <v/>
      </c>
      <c r="AA235" s="28">
        <f>SUM(U235:Z235)</f>
        <v/>
      </c>
      <c r="AB235" s="5">
        <f>IF(COUNTIF('02b_DC_Accelerator_Mix'!$A$2:$A$977,G235)&gt;0,"matched","missing_mix")</f>
        <v/>
      </c>
    </row>
    <row r="236">
      <c r="A236" s="5">
        <f>'02a_DC_Capacity_Alloc'!A236</f>
        <v/>
      </c>
      <c r="B236" s="5">
        <f>'02a_DC_Capacity_Alloc'!B236</f>
        <v/>
      </c>
      <c r="C236" s="5">
        <f>'02a_DC_Capacity_Alloc'!C236</f>
        <v/>
      </c>
      <c r="D236" s="5">
        <f>'02a_DC_Capacity_Alloc'!D236</f>
        <v/>
      </c>
      <c r="E236" s="5">
        <f>'02a_DC_Capacity_Alloc'!E236</f>
        <v/>
      </c>
      <c r="F236" s="5">
        <f>'02a_DC_Capacity_Alloc'!F236</f>
        <v/>
      </c>
      <c r="G236" s="5">
        <f>B236&amp;"|"&amp;E236&amp;"|"&amp;D236</f>
        <v/>
      </c>
      <c r="H236" s="28">
        <f>'02a_DC_Capacity_Alloc'!H236*'02a_DC_Capacity_Alloc'!I236*'02a_DC_Capacity_Alloc'!J236</f>
        <v/>
      </c>
      <c r="I236" s="6">
        <f>IFERROR(INDEX('02b_DC_Accelerator_Mix'!$F$2:$F$977,MATCH(G236,'02b_DC_Accelerator_Mix'!$A$2:$A$977,0)),0)</f>
        <v/>
      </c>
      <c r="J236" s="6">
        <f>IFERROR(INDEX('02b_DC_Accelerator_Mix'!$G$2:$G$977,MATCH(G236,'02b_DC_Accelerator_Mix'!$A$2:$A$977,0)),0)</f>
        <v/>
      </c>
      <c r="K236" s="6">
        <f>IFERROR(INDEX('02b_DC_Accelerator_Mix'!$H$2:$H$977,MATCH(G236,'02b_DC_Accelerator_Mix'!$A$2:$A$977,0)),0)</f>
        <v/>
      </c>
      <c r="L236" s="6">
        <f>IFERROR(INDEX('02b_DC_Accelerator_Mix'!$I$2:$I$977,MATCH(G236,'02b_DC_Accelerator_Mix'!$A$2:$A$977,0)),0)</f>
        <v/>
      </c>
      <c r="M236" s="6">
        <f>IFERROR(INDEX('02b_DC_Accelerator_Mix'!$J$2:$J$977,MATCH(G236,'02b_DC_Accelerator_Mix'!$A$2:$A$977,0)),0)</f>
        <v/>
      </c>
      <c r="N236" s="6">
        <f>IFERROR(INDEX('02b_DC_Accelerator_Mix'!$K$2:$K$977,MATCH(G236,'02b_DC_Accelerator_Mix'!$A$2:$A$977,0)),0)</f>
        <v/>
      </c>
      <c r="O236" s="6">
        <f>IFERROR(INDEX('02b_DC_Accelerator_Mix'!$L$2:$L$977,MATCH(G236,'02b_DC_Accelerator_Mix'!$A$2:$A$977,0)),0)</f>
        <v/>
      </c>
      <c r="P236" s="6">
        <f>IFERROR(INDEX('02b_DC_Accelerator_Mix'!$M$2:$M$977,MATCH(G236,'02b_DC_Accelerator_Mix'!$A$2:$A$977,0)),0)</f>
        <v/>
      </c>
      <c r="Q236" s="6">
        <f>IFERROR(INDEX('02b_DC_Accelerator_Mix'!$N$2:$N$977,MATCH(G236,'02b_DC_Accelerator_Mix'!$A$2:$A$977,0)),0)</f>
        <v/>
      </c>
      <c r="R236" s="28">
        <f>H236*I236</f>
        <v/>
      </c>
      <c r="S236" s="28">
        <f>H236*J236</f>
        <v/>
      </c>
      <c r="T236" s="28">
        <f>H236*K236</f>
        <v/>
      </c>
      <c r="U236" s="28">
        <f>H236*L236</f>
        <v/>
      </c>
      <c r="V236" s="28">
        <f>H236*M236</f>
        <v/>
      </c>
      <c r="W236" s="28">
        <f>H236*N236</f>
        <v/>
      </c>
      <c r="X236" s="28">
        <f>H236*O236</f>
        <v/>
      </c>
      <c r="Y236" s="28">
        <f>H236*P236</f>
        <v/>
      </c>
      <c r="Z236" s="28">
        <f>H236*Q236</f>
        <v/>
      </c>
      <c r="AA236" s="28">
        <f>SUM(U236:Z236)</f>
        <v/>
      </c>
      <c r="AB236" s="5">
        <f>IF(COUNTIF('02b_DC_Accelerator_Mix'!$A$2:$A$977,G236)&gt;0,"matched","missing_mix")</f>
        <v/>
      </c>
    </row>
    <row r="237">
      <c r="A237" s="5">
        <f>'02a_DC_Capacity_Alloc'!A237</f>
        <v/>
      </c>
      <c r="B237" s="5">
        <f>'02a_DC_Capacity_Alloc'!B237</f>
        <v/>
      </c>
      <c r="C237" s="5">
        <f>'02a_DC_Capacity_Alloc'!C237</f>
        <v/>
      </c>
      <c r="D237" s="5">
        <f>'02a_DC_Capacity_Alloc'!D237</f>
        <v/>
      </c>
      <c r="E237" s="5">
        <f>'02a_DC_Capacity_Alloc'!E237</f>
        <v/>
      </c>
      <c r="F237" s="5">
        <f>'02a_DC_Capacity_Alloc'!F237</f>
        <v/>
      </c>
      <c r="G237" s="5">
        <f>B237&amp;"|"&amp;E237&amp;"|"&amp;D237</f>
        <v/>
      </c>
      <c r="H237" s="28">
        <f>'02a_DC_Capacity_Alloc'!H237*'02a_DC_Capacity_Alloc'!I237*'02a_DC_Capacity_Alloc'!J237</f>
        <v/>
      </c>
      <c r="I237" s="6">
        <f>IFERROR(INDEX('02b_DC_Accelerator_Mix'!$F$2:$F$977,MATCH(G237,'02b_DC_Accelerator_Mix'!$A$2:$A$977,0)),0)</f>
        <v/>
      </c>
      <c r="J237" s="6">
        <f>IFERROR(INDEX('02b_DC_Accelerator_Mix'!$G$2:$G$977,MATCH(G237,'02b_DC_Accelerator_Mix'!$A$2:$A$977,0)),0)</f>
        <v/>
      </c>
      <c r="K237" s="6">
        <f>IFERROR(INDEX('02b_DC_Accelerator_Mix'!$H$2:$H$977,MATCH(G237,'02b_DC_Accelerator_Mix'!$A$2:$A$977,0)),0)</f>
        <v/>
      </c>
      <c r="L237" s="6">
        <f>IFERROR(INDEX('02b_DC_Accelerator_Mix'!$I$2:$I$977,MATCH(G237,'02b_DC_Accelerator_Mix'!$A$2:$A$977,0)),0)</f>
        <v/>
      </c>
      <c r="M237" s="6">
        <f>IFERROR(INDEX('02b_DC_Accelerator_Mix'!$J$2:$J$977,MATCH(G237,'02b_DC_Accelerator_Mix'!$A$2:$A$977,0)),0)</f>
        <v/>
      </c>
      <c r="N237" s="6">
        <f>IFERROR(INDEX('02b_DC_Accelerator_Mix'!$K$2:$K$977,MATCH(G237,'02b_DC_Accelerator_Mix'!$A$2:$A$977,0)),0)</f>
        <v/>
      </c>
      <c r="O237" s="6">
        <f>IFERROR(INDEX('02b_DC_Accelerator_Mix'!$L$2:$L$977,MATCH(G237,'02b_DC_Accelerator_Mix'!$A$2:$A$977,0)),0)</f>
        <v/>
      </c>
      <c r="P237" s="6">
        <f>IFERROR(INDEX('02b_DC_Accelerator_Mix'!$M$2:$M$977,MATCH(G237,'02b_DC_Accelerator_Mix'!$A$2:$A$977,0)),0)</f>
        <v/>
      </c>
      <c r="Q237" s="6">
        <f>IFERROR(INDEX('02b_DC_Accelerator_Mix'!$N$2:$N$977,MATCH(G237,'02b_DC_Accelerator_Mix'!$A$2:$A$977,0)),0)</f>
        <v/>
      </c>
      <c r="R237" s="28">
        <f>H237*I237</f>
        <v/>
      </c>
      <c r="S237" s="28">
        <f>H237*J237</f>
        <v/>
      </c>
      <c r="T237" s="28">
        <f>H237*K237</f>
        <v/>
      </c>
      <c r="U237" s="28">
        <f>H237*L237</f>
        <v/>
      </c>
      <c r="V237" s="28">
        <f>H237*M237</f>
        <v/>
      </c>
      <c r="W237" s="28">
        <f>H237*N237</f>
        <v/>
      </c>
      <c r="X237" s="28">
        <f>H237*O237</f>
        <v/>
      </c>
      <c r="Y237" s="28">
        <f>H237*P237</f>
        <v/>
      </c>
      <c r="Z237" s="28">
        <f>H237*Q237</f>
        <v/>
      </c>
      <c r="AA237" s="28">
        <f>SUM(U237:Z237)</f>
        <v/>
      </c>
      <c r="AB237" s="5">
        <f>IF(COUNTIF('02b_DC_Accelerator_Mix'!$A$2:$A$977,G237)&gt;0,"matched","missing_mix")</f>
        <v/>
      </c>
    </row>
    <row r="238">
      <c r="A238" s="5">
        <f>'02a_DC_Capacity_Alloc'!A238</f>
        <v/>
      </c>
      <c r="B238" s="5">
        <f>'02a_DC_Capacity_Alloc'!B238</f>
        <v/>
      </c>
      <c r="C238" s="5">
        <f>'02a_DC_Capacity_Alloc'!C238</f>
        <v/>
      </c>
      <c r="D238" s="5">
        <f>'02a_DC_Capacity_Alloc'!D238</f>
        <v/>
      </c>
      <c r="E238" s="5">
        <f>'02a_DC_Capacity_Alloc'!E238</f>
        <v/>
      </c>
      <c r="F238" s="5">
        <f>'02a_DC_Capacity_Alloc'!F238</f>
        <v/>
      </c>
      <c r="G238" s="5">
        <f>B238&amp;"|"&amp;E238&amp;"|"&amp;D238</f>
        <v/>
      </c>
      <c r="H238" s="28">
        <f>'02a_DC_Capacity_Alloc'!H238*'02a_DC_Capacity_Alloc'!I238*'02a_DC_Capacity_Alloc'!J238</f>
        <v/>
      </c>
      <c r="I238" s="6">
        <f>IFERROR(INDEX('02b_DC_Accelerator_Mix'!$F$2:$F$977,MATCH(G238,'02b_DC_Accelerator_Mix'!$A$2:$A$977,0)),0)</f>
        <v/>
      </c>
      <c r="J238" s="6">
        <f>IFERROR(INDEX('02b_DC_Accelerator_Mix'!$G$2:$G$977,MATCH(G238,'02b_DC_Accelerator_Mix'!$A$2:$A$977,0)),0)</f>
        <v/>
      </c>
      <c r="K238" s="6">
        <f>IFERROR(INDEX('02b_DC_Accelerator_Mix'!$H$2:$H$977,MATCH(G238,'02b_DC_Accelerator_Mix'!$A$2:$A$977,0)),0)</f>
        <v/>
      </c>
      <c r="L238" s="6">
        <f>IFERROR(INDEX('02b_DC_Accelerator_Mix'!$I$2:$I$977,MATCH(G238,'02b_DC_Accelerator_Mix'!$A$2:$A$977,0)),0)</f>
        <v/>
      </c>
      <c r="M238" s="6">
        <f>IFERROR(INDEX('02b_DC_Accelerator_Mix'!$J$2:$J$977,MATCH(G238,'02b_DC_Accelerator_Mix'!$A$2:$A$977,0)),0)</f>
        <v/>
      </c>
      <c r="N238" s="6">
        <f>IFERROR(INDEX('02b_DC_Accelerator_Mix'!$K$2:$K$977,MATCH(G238,'02b_DC_Accelerator_Mix'!$A$2:$A$977,0)),0)</f>
        <v/>
      </c>
      <c r="O238" s="6">
        <f>IFERROR(INDEX('02b_DC_Accelerator_Mix'!$L$2:$L$977,MATCH(G238,'02b_DC_Accelerator_Mix'!$A$2:$A$977,0)),0)</f>
        <v/>
      </c>
      <c r="P238" s="6">
        <f>IFERROR(INDEX('02b_DC_Accelerator_Mix'!$M$2:$M$977,MATCH(G238,'02b_DC_Accelerator_Mix'!$A$2:$A$977,0)),0)</f>
        <v/>
      </c>
      <c r="Q238" s="6">
        <f>IFERROR(INDEX('02b_DC_Accelerator_Mix'!$N$2:$N$977,MATCH(G238,'02b_DC_Accelerator_Mix'!$A$2:$A$977,0)),0)</f>
        <v/>
      </c>
      <c r="R238" s="28">
        <f>H238*I238</f>
        <v/>
      </c>
      <c r="S238" s="28">
        <f>H238*J238</f>
        <v/>
      </c>
      <c r="T238" s="28">
        <f>H238*K238</f>
        <v/>
      </c>
      <c r="U238" s="28">
        <f>H238*L238</f>
        <v/>
      </c>
      <c r="V238" s="28">
        <f>H238*M238</f>
        <v/>
      </c>
      <c r="W238" s="28">
        <f>H238*N238</f>
        <v/>
      </c>
      <c r="X238" s="28">
        <f>H238*O238</f>
        <v/>
      </c>
      <c r="Y238" s="28">
        <f>H238*P238</f>
        <v/>
      </c>
      <c r="Z238" s="28">
        <f>H238*Q238</f>
        <v/>
      </c>
      <c r="AA238" s="28">
        <f>SUM(U238:Z238)</f>
        <v/>
      </c>
      <c r="AB238" s="5">
        <f>IF(COUNTIF('02b_DC_Accelerator_Mix'!$A$2:$A$977,G238)&gt;0,"matched","missing_mix")</f>
        <v/>
      </c>
    </row>
    <row r="239">
      <c r="A239" s="5">
        <f>'02a_DC_Capacity_Alloc'!A239</f>
        <v/>
      </c>
      <c r="B239" s="5">
        <f>'02a_DC_Capacity_Alloc'!B239</f>
        <v/>
      </c>
      <c r="C239" s="5">
        <f>'02a_DC_Capacity_Alloc'!C239</f>
        <v/>
      </c>
      <c r="D239" s="5">
        <f>'02a_DC_Capacity_Alloc'!D239</f>
        <v/>
      </c>
      <c r="E239" s="5">
        <f>'02a_DC_Capacity_Alloc'!E239</f>
        <v/>
      </c>
      <c r="F239" s="5">
        <f>'02a_DC_Capacity_Alloc'!F239</f>
        <v/>
      </c>
      <c r="G239" s="5">
        <f>B239&amp;"|"&amp;E239&amp;"|"&amp;D239</f>
        <v/>
      </c>
      <c r="H239" s="28">
        <f>'02a_DC_Capacity_Alloc'!H239*'02a_DC_Capacity_Alloc'!I239*'02a_DC_Capacity_Alloc'!J239</f>
        <v/>
      </c>
      <c r="I239" s="6">
        <f>IFERROR(INDEX('02b_DC_Accelerator_Mix'!$F$2:$F$977,MATCH(G239,'02b_DC_Accelerator_Mix'!$A$2:$A$977,0)),0)</f>
        <v/>
      </c>
      <c r="J239" s="6">
        <f>IFERROR(INDEX('02b_DC_Accelerator_Mix'!$G$2:$G$977,MATCH(G239,'02b_DC_Accelerator_Mix'!$A$2:$A$977,0)),0)</f>
        <v/>
      </c>
      <c r="K239" s="6">
        <f>IFERROR(INDEX('02b_DC_Accelerator_Mix'!$H$2:$H$977,MATCH(G239,'02b_DC_Accelerator_Mix'!$A$2:$A$977,0)),0)</f>
        <v/>
      </c>
      <c r="L239" s="6">
        <f>IFERROR(INDEX('02b_DC_Accelerator_Mix'!$I$2:$I$977,MATCH(G239,'02b_DC_Accelerator_Mix'!$A$2:$A$977,0)),0)</f>
        <v/>
      </c>
      <c r="M239" s="6">
        <f>IFERROR(INDEX('02b_DC_Accelerator_Mix'!$J$2:$J$977,MATCH(G239,'02b_DC_Accelerator_Mix'!$A$2:$A$977,0)),0)</f>
        <v/>
      </c>
      <c r="N239" s="6">
        <f>IFERROR(INDEX('02b_DC_Accelerator_Mix'!$K$2:$K$977,MATCH(G239,'02b_DC_Accelerator_Mix'!$A$2:$A$977,0)),0)</f>
        <v/>
      </c>
      <c r="O239" s="6">
        <f>IFERROR(INDEX('02b_DC_Accelerator_Mix'!$L$2:$L$977,MATCH(G239,'02b_DC_Accelerator_Mix'!$A$2:$A$977,0)),0)</f>
        <v/>
      </c>
      <c r="P239" s="6">
        <f>IFERROR(INDEX('02b_DC_Accelerator_Mix'!$M$2:$M$977,MATCH(G239,'02b_DC_Accelerator_Mix'!$A$2:$A$977,0)),0)</f>
        <v/>
      </c>
      <c r="Q239" s="6">
        <f>IFERROR(INDEX('02b_DC_Accelerator_Mix'!$N$2:$N$977,MATCH(G239,'02b_DC_Accelerator_Mix'!$A$2:$A$977,0)),0)</f>
        <v/>
      </c>
      <c r="R239" s="28">
        <f>H239*I239</f>
        <v/>
      </c>
      <c r="S239" s="28">
        <f>H239*J239</f>
        <v/>
      </c>
      <c r="T239" s="28">
        <f>H239*K239</f>
        <v/>
      </c>
      <c r="U239" s="28">
        <f>H239*L239</f>
        <v/>
      </c>
      <c r="V239" s="28">
        <f>H239*M239</f>
        <v/>
      </c>
      <c r="W239" s="28">
        <f>H239*N239</f>
        <v/>
      </c>
      <c r="X239" s="28">
        <f>H239*O239</f>
        <v/>
      </c>
      <c r="Y239" s="28">
        <f>H239*P239</f>
        <v/>
      </c>
      <c r="Z239" s="28">
        <f>H239*Q239</f>
        <v/>
      </c>
      <c r="AA239" s="28">
        <f>SUM(U239:Z239)</f>
        <v/>
      </c>
      <c r="AB239" s="5">
        <f>IF(COUNTIF('02b_DC_Accelerator_Mix'!$A$2:$A$977,G239)&gt;0,"matched","missing_mix")</f>
        <v/>
      </c>
    </row>
    <row r="240">
      <c r="A240" s="5">
        <f>'02a_DC_Capacity_Alloc'!A240</f>
        <v/>
      </c>
      <c r="B240" s="5">
        <f>'02a_DC_Capacity_Alloc'!B240</f>
        <v/>
      </c>
      <c r="C240" s="5">
        <f>'02a_DC_Capacity_Alloc'!C240</f>
        <v/>
      </c>
      <c r="D240" s="5">
        <f>'02a_DC_Capacity_Alloc'!D240</f>
        <v/>
      </c>
      <c r="E240" s="5">
        <f>'02a_DC_Capacity_Alloc'!E240</f>
        <v/>
      </c>
      <c r="F240" s="5">
        <f>'02a_DC_Capacity_Alloc'!F240</f>
        <v/>
      </c>
      <c r="G240" s="5">
        <f>B240&amp;"|"&amp;E240&amp;"|"&amp;D240</f>
        <v/>
      </c>
      <c r="H240" s="28">
        <f>'02a_DC_Capacity_Alloc'!H240*'02a_DC_Capacity_Alloc'!I240*'02a_DC_Capacity_Alloc'!J240</f>
        <v/>
      </c>
      <c r="I240" s="6">
        <f>IFERROR(INDEX('02b_DC_Accelerator_Mix'!$F$2:$F$977,MATCH(G240,'02b_DC_Accelerator_Mix'!$A$2:$A$977,0)),0)</f>
        <v/>
      </c>
      <c r="J240" s="6">
        <f>IFERROR(INDEX('02b_DC_Accelerator_Mix'!$G$2:$G$977,MATCH(G240,'02b_DC_Accelerator_Mix'!$A$2:$A$977,0)),0)</f>
        <v/>
      </c>
      <c r="K240" s="6">
        <f>IFERROR(INDEX('02b_DC_Accelerator_Mix'!$H$2:$H$977,MATCH(G240,'02b_DC_Accelerator_Mix'!$A$2:$A$977,0)),0)</f>
        <v/>
      </c>
      <c r="L240" s="6">
        <f>IFERROR(INDEX('02b_DC_Accelerator_Mix'!$I$2:$I$977,MATCH(G240,'02b_DC_Accelerator_Mix'!$A$2:$A$977,0)),0)</f>
        <v/>
      </c>
      <c r="M240" s="6">
        <f>IFERROR(INDEX('02b_DC_Accelerator_Mix'!$J$2:$J$977,MATCH(G240,'02b_DC_Accelerator_Mix'!$A$2:$A$977,0)),0)</f>
        <v/>
      </c>
      <c r="N240" s="6">
        <f>IFERROR(INDEX('02b_DC_Accelerator_Mix'!$K$2:$K$977,MATCH(G240,'02b_DC_Accelerator_Mix'!$A$2:$A$977,0)),0)</f>
        <v/>
      </c>
      <c r="O240" s="6">
        <f>IFERROR(INDEX('02b_DC_Accelerator_Mix'!$L$2:$L$977,MATCH(G240,'02b_DC_Accelerator_Mix'!$A$2:$A$977,0)),0)</f>
        <v/>
      </c>
      <c r="P240" s="6">
        <f>IFERROR(INDEX('02b_DC_Accelerator_Mix'!$M$2:$M$977,MATCH(G240,'02b_DC_Accelerator_Mix'!$A$2:$A$977,0)),0)</f>
        <v/>
      </c>
      <c r="Q240" s="6">
        <f>IFERROR(INDEX('02b_DC_Accelerator_Mix'!$N$2:$N$977,MATCH(G240,'02b_DC_Accelerator_Mix'!$A$2:$A$977,0)),0)</f>
        <v/>
      </c>
      <c r="R240" s="28">
        <f>H240*I240</f>
        <v/>
      </c>
      <c r="S240" s="28">
        <f>H240*J240</f>
        <v/>
      </c>
      <c r="T240" s="28">
        <f>H240*K240</f>
        <v/>
      </c>
      <c r="U240" s="28">
        <f>H240*L240</f>
        <v/>
      </c>
      <c r="V240" s="28">
        <f>H240*M240</f>
        <v/>
      </c>
      <c r="W240" s="28">
        <f>H240*N240</f>
        <v/>
      </c>
      <c r="X240" s="28">
        <f>H240*O240</f>
        <v/>
      </c>
      <c r="Y240" s="28">
        <f>H240*P240</f>
        <v/>
      </c>
      <c r="Z240" s="28">
        <f>H240*Q240</f>
        <v/>
      </c>
      <c r="AA240" s="28">
        <f>SUM(U240:Z240)</f>
        <v/>
      </c>
      <c r="AB240" s="5">
        <f>IF(COUNTIF('02b_DC_Accelerator_Mix'!$A$2:$A$977,G240)&gt;0,"matched","missing_mix")</f>
        <v/>
      </c>
    </row>
    <row r="241">
      <c r="A241" s="5">
        <f>'02a_DC_Capacity_Alloc'!A241</f>
        <v/>
      </c>
      <c r="B241" s="5">
        <f>'02a_DC_Capacity_Alloc'!B241</f>
        <v/>
      </c>
      <c r="C241" s="5">
        <f>'02a_DC_Capacity_Alloc'!C241</f>
        <v/>
      </c>
      <c r="D241" s="5">
        <f>'02a_DC_Capacity_Alloc'!D241</f>
        <v/>
      </c>
      <c r="E241" s="5">
        <f>'02a_DC_Capacity_Alloc'!E241</f>
        <v/>
      </c>
      <c r="F241" s="5">
        <f>'02a_DC_Capacity_Alloc'!F241</f>
        <v/>
      </c>
      <c r="G241" s="5">
        <f>B241&amp;"|"&amp;E241&amp;"|"&amp;D241</f>
        <v/>
      </c>
      <c r="H241" s="28">
        <f>'02a_DC_Capacity_Alloc'!H241*'02a_DC_Capacity_Alloc'!I241*'02a_DC_Capacity_Alloc'!J241</f>
        <v/>
      </c>
      <c r="I241" s="6">
        <f>IFERROR(INDEX('02b_DC_Accelerator_Mix'!$F$2:$F$977,MATCH(G241,'02b_DC_Accelerator_Mix'!$A$2:$A$977,0)),0)</f>
        <v/>
      </c>
      <c r="J241" s="6">
        <f>IFERROR(INDEX('02b_DC_Accelerator_Mix'!$G$2:$G$977,MATCH(G241,'02b_DC_Accelerator_Mix'!$A$2:$A$977,0)),0)</f>
        <v/>
      </c>
      <c r="K241" s="6">
        <f>IFERROR(INDEX('02b_DC_Accelerator_Mix'!$H$2:$H$977,MATCH(G241,'02b_DC_Accelerator_Mix'!$A$2:$A$977,0)),0)</f>
        <v/>
      </c>
      <c r="L241" s="6">
        <f>IFERROR(INDEX('02b_DC_Accelerator_Mix'!$I$2:$I$977,MATCH(G241,'02b_DC_Accelerator_Mix'!$A$2:$A$977,0)),0)</f>
        <v/>
      </c>
      <c r="M241" s="6">
        <f>IFERROR(INDEX('02b_DC_Accelerator_Mix'!$J$2:$J$977,MATCH(G241,'02b_DC_Accelerator_Mix'!$A$2:$A$977,0)),0)</f>
        <v/>
      </c>
      <c r="N241" s="6">
        <f>IFERROR(INDEX('02b_DC_Accelerator_Mix'!$K$2:$K$977,MATCH(G241,'02b_DC_Accelerator_Mix'!$A$2:$A$977,0)),0)</f>
        <v/>
      </c>
      <c r="O241" s="6">
        <f>IFERROR(INDEX('02b_DC_Accelerator_Mix'!$L$2:$L$977,MATCH(G241,'02b_DC_Accelerator_Mix'!$A$2:$A$977,0)),0)</f>
        <v/>
      </c>
      <c r="P241" s="6">
        <f>IFERROR(INDEX('02b_DC_Accelerator_Mix'!$M$2:$M$977,MATCH(G241,'02b_DC_Accelerator_Mix'!$A$2:$A$977,0)),0)</f>
        <v/>
      </c>
      <c r="Q241" s="6">
        <f>IFERROR(INDEX('02b_DC_Accelerator_Mix'!$N$2:$N$977,MATCH(G241,'02b_DC_Accelerator_Mix'!$A$2:$A$977,0)),0)</f>
        <v/>
      </c>
      <c r="R241" s="28">
        <f>H241*I241</f>
        <v/>
      </c>
      <c r="S241" s="28">
        <f>H241*J241</f>
        <v/>
      </c>
      <c r="T241" s="28">
        <f>H241*K241</f>
        <v/>
      </c>
      <c r="U241" s="28">
        <f>H241*L241</f>
        <v/>
      </c>
      <c r="V241" s="28">
        <f>H241*M241</f>
        <v/>
      </c>
      <c r="W241" s="28">
        <f>H241*N241</f>
        <v/>
      </c>
      <c r="X241" s="28">
        <f>H241*O241</f>
        <v/>
      </c>
      <c r="Y241" s="28">
        <f>H241*P241</f>
        <v/>
      </c>
      <c r="Z241" s="28">
        <f>H241*Q241</f>
        <v/>
      </c>
      <c r="AA241" s="28">
        <f>SUM(U241:Z241)</f>
        <v/>
      </c>
      <c r="AB241" s="5">
        <f>IF(COUNTIF('02b_DC_Accelerator_Mix'!$A$2:$A$977,G241)&gt;0,"matched","missing_mix")</f>
        <v/>
      </c>
    </row>
    <row r="242">
      <c r="A242" s="5">
        <f>'02a_DC_Capacity_Alloc'!A242</f>
        <v/>
      </c>
      <c r="B242" s="5">
        <f>'02a_DC_Capacity_Alloc'!B242</f>
        <v/>
      </c>
      <c r="C242" s="5">
        <f>'02a_DC_Capacity_Alloc'!C242</f>
        <v/>
      </c>
      <c r="D242" s="5">
        <f>'02a_DC_Capacity_Alloc'!D242</f>
        <v/>
      </c>
      <c r="E242" s="5">
        <f>'02a_DC_Capacity_Alloc'!E242</f>
        <v/>
      </c>
      <c r="F242" s="5">
        <f>'02a_DC_Capacity_Alloc'!F242</f>
        <v/>
      </c>
      <c r="G242" s="5">
        <f>B242&amp;"|"&amp;E242&amp;"|"&amp;D242</f>
        <v/>
      </c>
      <c r="H242" s="28">
        <f>'02a_DC_Capacity_Alloc'!H242*'02a_DC_Capacity_Alloc'!I242*'02a_DC_Capacity_Alloc'!J242</f>
        <v/>
      </c>
      <c r="I242" s="6">
        <f>IFERROR(INDEX('02b_DC_Accelerator_Mix'!$F$2:$F$977,MATCH(G242,'02b_DC_Accelerator_Mix'!$A$2:$A$977,0)),0)</f>
        <v/>
      </c>
      <c r="J242" s="6">
        <f>IFERROR(INDEX('02b_DC_Accelerator_Mix'!$G$2:$G$977,MATCH(G242,'02b_DC_Accelerator_Mix'!$A$2:$A$977,0)),0)</f>
        <v/>
      </c>
      <c r="K242" s="6">
        <f>IFERROR(INDEX('02b_DC_Accelerator_Mix'!$H$2:$H$977,MATCH(G242,'02b_DC_Accelerator_Mix'!$A$2:$A$977,0)),0)</f>
        <v/>
      </c>
      <c r="L242" s="6">
        <f>IFERROR(INDEX('02b_DC_Accelerator_Mix'!$I$2:$I$977,MATCH(G242,'02b_DC_Accelerator_Mix'!$A$2:$A$977,0)),0)</f>
        <v/>
      </c>
      <c r="M242" s="6">
        <f>IFERROR(INDEX('02b_DC_Accelerator_Mix'!$J$2:$J$977,MATCH(G242,'02b_DC_Accelerator_Mix'!$A$2:$A$977,0)),0)</f>
        <v/>
      </c>
      <c r="N242" s="6">
        <f>IFERROR(INDEX('02b_DC_Accelerator_Mix'!$K$2:$K$977,MATCH(G242,'02b_DC_Accelerator_Mix'!$A$2:$A$977,0)),0)</f>
        <v/>
      </c>
      <c r="O242" s="6">
        <f>IFERROR(INDEX('02b_DC_Accelerator_Mix'!$L$2:$L$977,MATCH(G242,'02b_DC_Accelerator_Mix'!$A$2:$A$977,0)),0)</f>
        <v/>
      </c>
      <c r="P242" s="6">
        <f>IFERROR(INDEX('02b_DC_Accelerator_Mix'!$M$2:$M$977,MATCH(G242,'02b_DC_Accelerator_Mix'!$A$2:$A$977,0)),0)</f>
        <v/>
      </c>
      <c r="Q242" s="6">
        <f>IFERROR(INDEX('02b_DC_Accelerator_Mix'!$N$2:$N$977,MATCH(G242,'02b_DC_Accelerator_Mix'!$A$2:$A$977,0)),0)</f>
        <v/>
      </c>
      <c r="R242" s="28">
        <f>H242*I242</f>
        <v/>
      </c>
      <c r="S242" s="28">
        <f>H242*J242</f>
        <v/>
      </c>
      <c r="T242" s="28">
        <f>H242*K242</f>
        <v/>
      </c>
      <c r="U242" s="28">
        <f>H242*L242</f>
        <v/>
      </c>
      <c r="V242" s="28">
        <f>H242*M242</f>
        <v/>
      </c>
      <c r="W242" s="28">
        <f>H242*N242</f>
        <v/>
      </c>
      <c r="X242" s="28">
        <f>H242*O242</f>
        <v/>
      </c>
      <c r="Y242" s="28">
        <f>H242*P242</f>
        <v/>
      </c>
      <c r="Z242" s="28">
        <f>H242*Q242</f>
        <v/>
      </c>
      <c r="AA242" s="28">
        <f>SUM(U242:Z242)</f>
        <v/>
      </c>
      <c r="AB242" s="5">
        <f>IF(COUNTIF('02b_DC_Accelerator_Mix'!$A$2:$A$977,G242)&gt;0,"matched","missing_mix")</f>
        <v/>
      </c>
    </row>
    <row r="243">
      <c r="A243" s="5">
        <f>'02a_DC_Capacity_Alloc'!A243</f>
        <v/>
      </c>
      <c r="B243" s="5">
        <f>'02a_DC_Capacity_Alloc'!B243</f>
        <v/>
      </c>
      <c r="C243" s="5">
        <f>'02a_DC_Capacity_Alloc'!C243</f>
        <v/>
      </c>
      <c r="D243" s="5">
        <f>'02a_DC_Capacity_Alloc'!D243</f>
        <v/>
      </c>
      <c r="E243" s="5">
        <f>'02a_DC_Capacity_Alloc'!E243</f>
        <v/>
      </c>
      <c r="F243" s="5">
        <f>'02a_DC_Capacity_Alloc'!F243</f>
        <v/>
      </c>
      <c r="G243" s="5">
        <f>B243&amp;"|"&amp;E243&amp;"|"&amp;D243</f>
        <v/>
      </c>
      <c r="H243" s="28">
        <f>'02a_DC_Capacity_Alloc'!H243*'02a_DC_Capacity_Alloc'!I243*'02a_DC_Capacity_Alloc'!J243</f>
        <v/>
      </c>
      <c r="I243" s="6">
        <f>IFERROR(INDEX('02b_DC_Accelerator_Mix'!$F$2:$F$977,MATCH(G243,'02b_DC_Accelerator_Mix'!$A$2:$A$977,0)),0)</f>
        <v/>
      </c>
      <c r="J243" s="6">
        <f>IFERROR(INDEX('02b_DC_Accelerator_Mix'!$G$2:$G$977,MATCH(G243,'02b_DC_Accelerator_Mix'!$A$2:$A$977,0)),0)</f>
        <v/>
      </c>
      <c r="K243" s="6">
        <f>IFERROR(INDEX('02b_DC_Accelerator_Mix'!$H$2:$H$977,MATCH(G243,'02b_DC_Accelerator_Mix'!$A$2:$A$977,0)),0)</f>
        <v/>
      </c>
      <c r="L243" s="6">
        <f>IFERROR(INDEX('02b_DC_Accelerator_Mix'!$I$2:$I$977,MATCH(G243,'02b_DC_Accelerator_Mix'!$A$2:$A$977,0)),0)</f>
        <v/>
      </c>
      <c r="M243" s="6">
        <f>IFERROR(INDEX('02b_DC_Accelerator_Mix'!$J$2:$J$977,MATCH(G243,'02b_DC_Accelerator_Mix'!$A$2:$A$977,0)),0)</f>
        <v/>
      </c>
      <c r="N243" s="6">
        <f>IFERROR(INDEX('02b_DC_Accelerator_Mix'!$K$2:$K$977,MATCH(G243,'02b_DC_Accelerator_Mix'!$A$2:$A$977,0)),0)</f>
        <v/>
      </c>
      <c r="O243" s="6">
        <f>IFERROR(INDEX('02b_DC_Accelerator_Mix'!$L$2:$L$977,MATCH(G243,'02b_DC_Accelerator_Mix'!$A$2:$A$977,0)),0)</f>
        <v/>
      </c>
      <c r="P243" s="6">
        <f>IFERROR(INDEX('02b_DC_Accelerator_Mix'!$M$2:$M$977,MATCH(G243,'02b_DC_Accelerator_Mix'!$A$2:$A$977,0)),0)</f>
        <v/>
      </c>
      <c r="Q243" s="6">
        <f>IFERROR(INDEX('02b_DC_Accelerator_Mix'!$N$2:$N$977,MATCH(G243,'02b_DC_Accelerator_Mix'!$A$2:$A$977,0)),0)</f>
        <v/>
      </c>
      <c r="R243" s="28">
        <f>H243*I243</f>
        <v/>
      </c>
      <c r="S243" s="28">
        <f>H243*J243</f>
        <v/>
      </c>
      <c r="T243" s="28">
        <f>H243*K243</f>
        <v/>
      </c>
      <c r="U243" s="28">
        <f>H243*L243</f>
        <v/>
      </c>
      <c r="V243" s="28">
        <f>H243*M243</f>
        <v/>
      </c>
      <c r="W243" s="28">
        <f>H243*N243</f>
        <v/>
      </c>
      <c r="X243" s="28">
        <f>H243*O243</f>
        <v/>
      </c>
      <c r="Y243" s="28">
        <f>H243*P243</f>
        <v/>
      </c>
      <c r="Z243" s="28">
        <f>H243*Q243</f>
        <v/>
      </c>
      <c r="AA243" s="28">
        <f>SUM(U243:Z243)</f>
        <v/>
      </c>
      <c r="AB243" s="5">
        <f>IF(COUNTIF('02b_DC_Accelerator_Mix'!$A$2:$A$977,G243)&gt;0,"matched","missing_mix")</f>
        <v/>
      </c>
    </row>
    <row r="244">
      <c r="A244" s="5">
        <f>'02a_DC_Capacity_Alloc'!A244</f>
        <v/>
      </c>
      <c r="B244" s="5">
        <f>'02a_DC_Capacity_Alloc'!B244</f>
        <v/>
      </c>
      <c r="C244" s="5">
        <f>'02a_DC_Capacity_Alloc'!C244</f>
        <v/>
      </c>
      <c r="D244" s="5">
        <f>'02a_DC_Capacity_Alloc'!D244</f>
        <v/>
      </c>
      <c r="E244" s="5">
        <f>'02a_DC_Capacity_Alloc'!E244</f>
        <v/>
      </c>
      <c r="F244" s="5">
        <f>'02a_DC_Capacity_Alloc'!F244</f>
        <v/>
      </c>
      <c r="G244" s="5">
        <f>B244&amp;"|"&amp;E244&amp;"|"&amp;D244</f>
        <v/>
      </c>
      <c r="H244" s="28">
        <f>'02a_DC_Capacity_Alloc'!H244*'02a_DC_Capacity_Alloc'!I244*'02a_DC_Capacity_Alloc'!J244</f>
        <v/>
      </c>
      <c r="I244" s="6">
        <f>IFERROR(INDEX('02b_DC_Accelerator_Mix'!$F$2:$F$977,MATCH(G244,'02b_DC_Accelerator_Mix'!$A$2:$A$977,0)),0)</f>
        <v/>
      </c>
      <c r="J244" s="6">
        <f>IFERROR(INDEX('02b_DC_Accelerator_Mix'!$G$2:$G$977,MATCH(G244,'02b_DC_Accelerator_Mix'!$A$2:$A$977,0)),0)</f>
        <v/>
      </c>
      <c r="K244" s="6">
        <f>IFERROR(INDEX('02b_DC_Accelerator_Mix'!$H$2:$H$977,MATCH(G244,'02b_DC_Accelerator_Mix'!$A$2:$A$977,0)),0)</f>
        <v/>
      </c>
      <c r="L244" s="6">
        <f>IFERROR(INDEX('02b_DC_Accelerator_Mix'!$I$2:$I$977,MATCH(G244,'02b_DC_Accelerator_Mix'!$A$2:$A$977,0)),0)</f>
        <v/>
      </c>
      <c r="M244" s="6">
        <f>IFERROR(INDEX('02b_DC_Accelerator_Mix'!$J$2:$J$977,MATCH(G244,'02b_DC_Accelerator_Mix'!$A$2:$A$977,0)),0)</f>
        <v/>
      </c>
      <c r="N244" s="6">
        <f>IFERROR(INDEX('02b_DC_Accelerator_Mix'!$K$2:$K$977,MATCH(G244,'02b_DC_Accelerator_Mix'!$A$2:$A$977,0)),0)</f>
        <v/>
      </c>
      <c r="O244" s="6">
        <f>IFERROR(INDEX('02b_DC_Accelerator_Mix'!$L$2:$L$977,MATCH(G244,'02b_DC_Accelerator_Mix'!$A$2:$A$977,0)),0)</f>
        <v/>
      </c>
      <c r="P244" s="6">
        <f>IFERROR(INDEX('02b_DC_Accelerator_Mix'!$M$2:$M$977,MATCH(G244,'02b_DC_Accelerator_Mix'!$A$2:$A$977,0)),0)</f>
        <v/>
      </c>
      <c r="Q244" s="6">
        <f>IFERROR(INDEX('02b_DC_Accelerator_Mix'!$N$2:$N$977,MATCH(G244,'02b_DC_Accelerator_Mix'!$A$2:$A$977,0)),0)</f>
        <v/>
      </c>
      <c r="R244" s="28">
        <f>H244*I244</f>
        <v/>
      </c>
      <c r="S244" s="28">
        <f>H244*J244</f>
        <v/>
      </c>
      <c r="T244" s="28">
        <f>H244*K244</f>
        <v/>
      </c>
      <c r="U244" s="28">
        <f>H244*L244</f>
        <v/>
      </c>
      <c r="V244" s="28">
        <f>H244*M244</f>
        <v/>
      </c>
      <c r="W244" s="28">
        <f>H244*N244</f>
        <v/>
      </c>
      <c r="X244" s="28">
        <f>H244*O244</f>
        <v/>
      </c>
      <c r="Y244" s="28">
        <f>H244*P244</f>
        <v/>
      </c>
      <c r="Z244" s="28">
        <f>H244*Q244</f>
        <v/>
      </c>
      <c r="AA244" s="28">
        <f>SUM(U244:Z244)</f>
        <v/>
      </c>
      <c r="AB244" s="5">
        <f>IF(COUNTIF('02b_DC_Accelerator_Mix'!$A$2:$A$977,G244)&gt;0,"matched","missing_mix")</f>
        <v/>
      </c>
    </row>
    <row r="245">
      <c r="A245" s="5">
        <f>'02a_DC_Capacity_Alloc'!A245</f>
        <v/>
      </c>
      <c r="B245" s="5">
        <f>'02a_DC_Capacity_Alloc'!B245</f>
        <v/>
      </c>
      <c r="C245" s="5">
        <f>'02a_DC_Capacity_Alloc'!C245</f>
        <v/>
      </c>
      <c r="D245" s="5">
        <f>'02a_DC_Capacity_Alloc'!D245</f>
        <v/>
      </c>
      <c r="E245" s="5">
        <f>'02a_DC_Capacity_Alloc'!E245</f>
        <v/>
      </c>
      <c r="F245" s="5">
        <f>'02a_DC_Capacity_Alloc'!F245</f>
        <v/>
      </c>
      <c r="G245" s="5">
        <f>B245&amp;"|"&amp;E245&amp;"|"&amp;D245</f>
        <v/>
      </c>
      <c r="H245" s="28">
        <f>'02a_DC_Capacity_Alloc'!H245*'02a_DC_Capacity_Alloc'!I245*'02a_DC_Capacity_Alloc'!J245</f>
        <v/>
      </c>
      <c r="I245" s="6">
        <f>IFERROR(INDEX('02b_DC_Accelerator_Mix'!$F$2:$F$977,MATCH(G245,'02b_DC_Accelerator_Mix'!$A$2:$A$977,0)),0)</f>
        <v/>
      </c>
      <c r="J245" s="6">
        <f>IFERROR(INDEX('02b_DC_Accelerator_Mix'!$G$2:$G$977,MATCH(G245,'02b_DC_Accelerator_Mix'!$A$2:$A$977,0)),0)</f>
        <v/>
      </c>
      <c r="K245" s="6">
        <f>IFERROR(INDEX('02b_DC_Accelerator_Mix'!$H$2:$H$977,MATCH(G245,'02b_DC_Accelerator_Mix'!$A$2:$A$977,0)),0)</f>
        <v/>
      </c>
      <c r="L245" s="6">
        <f>IFERROR(INDEX('02b_DC_Accelerator_Mix'!$I$2:$I$977,MATCH(G245,'02b_DC_Accelerator_Mix'!$A$2:$A$977,0)),0)</f>
        <v/>
      </c>
      <c r="M245" s="6">
        <f>IFERROR(INDEX('02b_DC_Accelerator_Mix'!$J$2:$J$977,MATCH(G245,'02b_DC_Accelerator_Mix'!$A$2:$A$977,0)),0)</f>
        <v/>
      </c>
      <c r="N245" s="6">
        <f>IFERROR(INDEX('02b_DC_Accelerator_Mix'!$K$2:$K$977,MATCH(G245,'02b_DC_Accelerator_Mix'!$A$2:$A$977,0)),0)</f>
        <v/>
      </c>
      <c r="O245" s="6">
        <f>IFERROR(INDEX('02b_DC_Accelerator_Mix'!$L$2:$L$977,MATCH(G245,'02b_DC_Accelerator_Mix'!$A$2:$A$977,0)),0)</f>
        <v/>
      </c>
      <c r="P245" s="6">
        <f>IFERROR(INDEX('02b_DC_Accelerator_Mix'!$M$2:$M$977,MATCH(G245,'02b_DC_Accelerator_Mix'!$A$2:$A$977,0)),0)</f>
        <v/>
      </c>
      <c r="Q245" s="6">
        <f>IFERROR(INDEX('02b_DC_Accelerator_Mix'!$N$2:$N$977,MATCH(G245,'02b_DC_Accelerator_Mix'!$A$2:$A$977,0)),0)</f>
        <v/>
      </c>
      <c r="R245" s="28">
        <f>H245*I245</f>
        <v/>
      </c>
      <c r="S245" s="28">
        <f>H245*J245</f>
        <v/>
      </c>
      <c r="T245" s="28">
        <f>H245*K245</f>
        <v/>
      </c>
      <c r="U245" s="28">
        <f>H245*L245</f>
        <v/>
      </c>
      <c r="V245" s="28">
        <f>H245*M245</f>
        <v/>
      </c>
      <c r="W245" s="28">
        <f>H245*N245</f>
        <v/>
      </c>
      <c r="X245" s="28">
        <f>H245*O245</f>
        <v/>
      </c>
      <c r="Y245" s="28">
        <f>H245*P245</f>
        <v/>
      </c>
      <c r="Z245" s="28">
        <f>H245*Q245</f>
        <v/>
      </c>
      <c r="AA245" s="28">
        <f>SUM(U245:Z245)</f>
        <v/>
      </c>
      <c r="AB245" s="5">
        <f>IF(COUNTIF('02b_DC_Accelerator_Mix'!$A$2:$A$977,G245)&gt;0,"matched","missing_mix")</f>
        <v/>
      </c>
    </row>
    <row r="246">
      <c r="A246" s="5">
        <f>'02a_DC_Capacity_Alloc'!A246</f>
        <v/>
      </c>
      <c r="B246" s="5">
        <f>'02a_DC_Capacity_Alloc'!B246</f>
        <v/>
      </c>
      <c r="C246" s="5">
        <f>'02a_DC_Capacity_Alloc'!C246</f>
        <v/>
      </c>
      <c r="D246" s="5">
        <f>'02a_DC_Capacity_Alloc'!D246</f>
        <v/>
      </c>
      <c r="E246" s="5">
        <f>'02a_DC_Capacity_Alloc'!E246</f>
        <v/>
      </c>
      <c r="F246" s="5">
        <f>'02a_DC_Capacity_Alloc'!F246</f>
        <v/>
      </c>
      <c r="G246" s="5">
        <f>B246&amp;"|"&amp;E246&amp;"|"&amp;D246</f>
        <v/>
      </c>
      <c r="H246" s="28">
        <f>'02a_DC_Capacity_Alloc'!H246*'02a_DC_Capacity_Alloc'!I246*'02a_DC_Capacity_Alloc'!J246</f>
        <v/>
      </c>
      <c r="I246" s="6">
        <f>IFERROR(INDEX('02b_DC_Accelerator_Mix'!$F$2:$F$977,MATCH(G246,'02b_DC_Accelerator_Mix'!$A$2:$A$977,0)),0)</f>
        <v/>
      </c>
      <c r="J246" s="6">
        <f>IFERROR(INDEX('02b_DC_Accelerator_Mix'!$G$2:$G$977,MATCH(G246,'02b_DC_Accelerator_Mix'!$A$2:$A$977,0)),0)</f>
        <v/>
      </c>
      <c r="K246" s="6">
        <f>IFERROR(INDEX('02b_DC_Accelerator_Mix'!$H$2:$H$977,MATCH(G246,'02b_DC_Accelerator_Mix'!$A$2:$A$977,0)),0)</f>
        <v/>
      </c>
      <c r="L246" s="6">
        <f>IFERROR(INDEX('02b_DC_Accelerator_Mix'!$I$2:$I$977,MATCH(G246,'02b_DC_Accelerator_Mix'!$A$2:$A$977,0)),0)</f>
        <v/>
      </c>
      <c r="M246" s="6">
        <f>IFERROR(INDEX('02b_DC_Accelerator_Mix'!$J$2:$J$977,MATCH(G246,'02b_DC_Accelerator_Mix'!$A$2:$A$977,0)),0)</f>
        <v/>
      </c>
      <c r="N246" s="6">
        <f>IFERROR(INDEX('02b_DC_Accelerator_Mix'!$K$2:$K$977,MATCH(G246,'02b_DC_Accelerator_Mix'!$A$2:$A$977,0)),0)</f>
        <v/>
      </c>
      <c r="O246" s="6">
        <f>IFERROR(INDEX('02b_DC_Accelerator_Mix'!$L$2:$L$977,MATCH(G246,'02b_DC_Accelerator_Mix'!$A$2:$A$977,0)),0)</f>
        <v/>
      </c>
      <c r="P246" s="6">
        <f>IFERROR(INDEX('02b_DC_Accelerator_Mix'!$M$2:$M$977,MATCH(G246,'02b_DC_Accelerator_Mix'!$A$2:$A$977,0)),0)</f>
        <v/>
      </c>
      <c r="Q246" s="6">
        <f>IFERROR(INDEX('02b_DC_Accelerator_Mix'!$N$2:$N$977,MATCH(G246,'02b_DC_Accelerator_Mix'!$A$2:$A$977,0)),0)</f>
        <v/>
      </c>
      <c r="R246" s="28">
        <f>H246*I246</f>
        <v/>
      </c>
      <c r="S246" s="28">
        <f>H246*J246</f>
        <v/>
      </c>
      <c r="T246" s="28">
        <f>H246*K246</f>
        <v/>
      </c>
      <c r="U246" s="28">
        <f>H246*L246</f>
        <v/>
      </c>
      <c r="V246" s="28">
        <f>H246*M246</f>
        <v/>
      </c>
      <c r="W246" s="28">
        <f>H246*N246</f>
        <v/>
      </c>
      <c r="X246" s="28">
        <f>H246*O246</f>
        <v/>
      </c>
      <c r="Y246" s="28">
        <f>H246*P246</f>
        <v/>
      </c>
      <c r="Z246" s="28">
        <f>H246*Q246</f>
        <v/>
      </c>
      <c r="AA246" s="28">
        <f>SUM(U246:Z246)</f>
        <v/>
      </c>
      <c r="AB246" s="5">
        <f>IF(COUNTIF('02b_DC_Accelerator_Mix'!$A$2:$A$977,G246)&gt;0,"matched","missing_mix")</f>
        <v/>
      </c>
    </row>
    <row r="247">
      <c r="A247" s="5">
        <f>'02a_DC_Capacity_Alloc'!A247</f>
        <v/>
      </c>
      <c r="B247" s="5">
        <f>'02a_DC_Capacity_Alloc'!B247</f>
        <v/>
      </c>
      <c r="C247" s="5">
        <f>'02a_DC_Capacity_Alloc'!C247</f>
        <v/>
      </c>
      <c r="D247" s="5">
        <f>'02a_DC_Capacity_Alloc'!D247</f>
        <v/>
      </c>
      <c r="E247" s="5">
        <f>'02a_DC_Capacity_Alloc'!E247</f>
        <v/>
      </c>
      <c r="F247" s="5">
        <f>'02a_DC_Capacity_Alloc'!F247</f>
        <v/>
      </c>
      <c r="G247" s="5">
        <f>B247&amp;"|"&amp;E247&amp;"|"&amp;D247</f>
        <v/>
      </c>
      <c r="H247" s="28">
        <f>'02a_DC_Capacity_Alloc'!H247*'02a_DC_Capacity_Alloc'!I247*'02a_DC_Capacity_Alloc'!J247</f>
        <v/>
      </c>
      <c r="I247" s="6">
        <f>IFERROR(INDEX('02b_DC_Accelerator_Mix'!$F$2:$F$977,MATCH(G247,'02b_DC_Accelerator_Mix'!$A$2:$A$977,0)),0)</f>
        <v/>
      </c>
      <c r="J247" s="6">
        <f>IFERROR(INDEX('02b_DC_Accelerator_Mix'!$G$2:$G$977,MATCH(G247,'02b_DC_Accelerator_Mix'!$A$2:$A$977,0)),0)</f>
        <v/>
      </c>
      <c r="K247" s="6">
        <f>IFERROR(INDEX('02b_DC_Accelerator_Mix'!$H$2:$H$977,MATCH(G247,'02b_DC_Accelerator_Mix'!$A$2:$A$977,0)),0)</f>
        <v/>
      </c>
      <c r="L247" s="6">
        <f>IFERROR(INDEX('02b_DC_Accelerator_Mix'!$I$2:$I$977,MATCH(G247,'02b_DC_Accelerator_Mix'!$A$2:$A$977,0)),0)</f>
        <v/>
      </c>
      <c r="M247" s="6">
        <f>IFERROR(INDEX('02b_DC_Accelerator_Mix'!$J$2:$J$977,MATCH(G247,'02b_DC_Accelerator_Mix'!$A$2:$A$977,0)),0)</f>
        <v/>
      </c>
      <c r="N247" s="6">
        <f>IFERROR(INDEX('02b_DC_Accelerator_Mix'!$K$2:$K$977,MATCH(G247,'02b_DC_Accelerator_Mix'!$A$2:$A$977,0)),0)</f>
        <v/>
      </c>
      <c r="O247" s="6">
        <f>IFERROR(INDEX('02b_DC_Accelerator_Mix'!$L$2:$L$977,MATCH(G247,'02b_DC_Accelerator_Mix'!$A$2:$A$977,0)),0)</f>
        <v/>
      </c>
      <c r="P247" s="6">
        <f>IFERROR(INDEX('02b_DC_Accelerator_Mix'!$M$2:$M$977,MATCH(G247,'02b_DC_Accelerator_Mix'!$A$2:$A$977,0)),0)</f>
        <v/>
      </c>
      <c r="Q247" s="6">
        <f>IFERROR(INDEX('02b_DC_Accelerator_Mix'!$N$2:$N$977,MATCH(G247,'02b_DC_Accelerator_Mix'!$A$2:$A$977,0)),0)</f>
        <v/>
      </c>
      <c r="R247" s="28">
        <f>H247*I247</f>
        <v/>
      </c>
      <c r="S247" s="28">
        <f>H247*J247</f>
        <v/>
      </c>
      <c r="T247" s="28">
        <f>H247*K247</f>
        <v/>
      </c>
      <c r="U247" s="28">
        <f>H247*L247</f>
        <v/>
      </c>
      <c r="V247" s="28">
        <f>H247*M247</f>
        <v/>
      </c>
      <c r="W247" s="28">
        <f>H247*N247</f>
        <v/>
      </c>
      <c r="X247" s="28">
        <f>H247*O247</f>
        <v/>
      </c>
      <c r="Y247" s="28">
        <f>H247*P247</f>
        <v/>
      </c>
      <c r="Z247" s="28">
        <f>H247*Q247</f>
        <v/>
      </c>
      <c r="AA247" s="28">
        <f>SUM(U247:Z247)</f>
        <v/>
      </c>
      <c r="AB247" s="5">
        <f>IF(COUNTIF('02b_DC_Accelerator_Mix'!$A$2:$A$977,G247)&gt;0,"matched","missing_mix")</f>
        <v/>
      </c>
    </row>
    <row r="248">
      <c r="A248" s="5">
        <f>'02a_DC_Capacity_Alloc'!A248</f>
        <v/>
      </c>
      <c r="B248" s="5">
        <f>'02a_DC_Capacity_Alloc'!B248</f>
        <v/>
      </c>
      <c r="C248" s="5">
        <f>'02a_DC_Capacity_Alloc'!C248</f>
        <v/>
      </c>
      <c r="D248" s="5">
        <f>'02a_DC_Capacity_Alloc'!D248</f>
        <v/>
      </c>
      <c r="E248" s="5">
        <f>'02a_DC_Capacity_Alloc'!E248</f>
        <v/>
      </c>
      <c r="F248" s="5">
        <f>'02a_DC_Capacity_Alloc'!F248</f>
        <v/>
      </c>
      <c r="G248" s="5">
        <f>B248&amp;"|"&amp;E248&amp;"|"&amp;D248</f>
        <v/>
      </c>
      <c r="H248" s="28">
        <f>'02a_DC_Capacity_Alloc'!H248*'02a_DC_Capacity_Alloc'!I248*'02a_DC_Capacity_Alloc'!J248</f>
        <v/>
      </c>
      <c r="I248" s="6">
        <f>IFERROR(INDEX('02b_DC_Accelerator_Mix'!$F$2:$F$977,MATCH(G248,'02b_DC_Accelerator_Mix'!$A$2:$A$977,0)),0)</f>
        <v/>
      </c>
      <c r="J248" s="6">
        <f>IFERROR(INDEX('02b_DC_Accelerator_Mix'!$G$2:$G$977,MATCH(G248,'02b_DC_Accelerator_Mix'!$A$2:$A$977,0)),0)</f>
        <v/>
      </c>
      <c r="K248" s="6">
        <f>IFERROR(INDEX('02b_DC_Accelerator_Mix'!$H$2:$H$977,MATCH(G248,'02b_DC_Accelerator_Mix'!$A$2:$A$977,0)),0)</f>
        <v/>
      </c>
      <c r="L248" s="6">
        <f>IFERROR(INDEX('02b_DC_Accelerator_Mix'!$I$2:$I$977,MATCH(G248,'02b_DC_Accelerator_Mix'!$A$2:$A$977,0)),0)</f>
        <v/>
      </c>
      <c r="M248" s="6">
        <f>IFERROR(INDEX('02b_DC_Accelerator_Mix'!$J$2:$J$977,MATCH(G248,'02b_DC_Accelerator_Mix'!$A$2:$A$977,0)),0)</f>
        <v/>
      </c>
      <c r="N248" s="6">
        <f>IFERROR(INDEX('02b_DC_Accelerator_Mix'!$K$2:$K$977,MATCH(G248,'02b_DC_Accelerator_Mix'!$A$2:$A$977,0)),0)</f>
        <v/>
      </c>
      <c r="O248" s="6">
        <f>IFERROR(INDEX('02b_DC_Accelerator_Mix'!$L$2:$L$977,MATCH(G248,'02b_DC_Accelerator_Mix'!$A$2:$A$977,0)),0)</f>
        <v/>
      </c>
      <c r="P248" s="6">
        <f>IFERROR(INDEX('02b_DC_Accelerator_Mix'!$M$2:$M$977,MATCH(G248,'02b_DC_Accelerator_Mix'!$A$2:$A$977,0)),0)</f>
        <v/>
      </c>
      <c r="Q248" s="6">
        <f>IFERROR(INDEX('02b_DC_Accelerator_Mix'!$N$2:$N$977,MATCH(G248,'02b_DC_Accelerator_Mix'!$A$2:$A$977,0)),0)</f>
        <v/>
      </c>
      <c r="R248" s="28">
        <f>H248*I248</f>
        <v/>
      </c>
      <c r="S248" s="28">
        <f>H248*J248</f>
        <v/>
      </c>
      <c r="T248" s="28">
        <f>H248*K248</f>
        <v/>
      </c>
      <c r="U248" s="28">
        <f>H248*L248</f>
        <v/>
      </c>
      <c r="V248" s="28">
        <f>H248*M248</f>
        <v/>
      </c>
      <c r="W248" s="28">
        <f>H248*N248</f>
        <v/>
      </c>
      <c r="X248" s="28">
        <f>H248*O248</f>
        <v/>
      </c>
      <c r="Y248" s="28">
        <f>H248*P248</f>
        <v/>
      </c>
      <c r="Z248" s="28">
        <f>H248*Q248</f>
        <v/>
      </c>
      <c r="AA248" s="28">
        <f>SUM(U248:Z248)</f>
        <v/>
      </c>
      <c r="AB248" s="5">
        <f>IF(COUNTIF('02b_DC_Accelerator_Mix'!$A$2:$A$977,G248)&gt;0,"matched","missing_mix")</f>
        <v/>
      </c>
    </row>
    <row r="249">
      <c r="A249" s="5">
        <f>'02a_DC_Capacity_Alloc'!A249</f>
        <v/>
      </c>
      <c r="B249" s="5">
        <f>'02a_DC_Capacity_Alloc'!B249</f>
        <v/>
      </c>
      <c r="C249" s="5">
        <f>'02a_DC_Capacity_Alloc'!C249</f>
        <v/>
      </c>
      <c r="D249" s="5">
        <f>'02a_DC_Capacity_Alloc'!D249</f>
        <v/>
      </c>
      <c r="E249" s="5">
        <f>'02a_DC_Capacity_Alloc'!E249</f>
        <v/>
      </c>
      <c r="F249" s="5">
        <f>'02a_DC_Capacity_Alloc'!F249</f>
        <v/>
      </c>
      <c r="G249" s="5">
        <f>B249&amp;"|"&amp;E249&amp;"|"&amp;D249</f>
        <v/>
      </c>
      <c r="H249" s="28">
        <f>'02a_DC_Capacity_Alloc'!H249*'02a_DC_Capacity_Alloc'!I249*'02a_DC_Capacity_Alloc'!J249</f>
        <v/>
      </c>
      <c r="I249" s="6">
        <f>IFERROR(INDEX('02b_DC_Accelerator_Mix'!$F$2:$F$977,MATCH(G249,'02b_DC_Accelerator_Mix'!$A$2:$A$977,0)),0)</f>
        <v/>
      </c>
      <c r="J249" s="6">
        <f>IFERROR(INDEX('02b_DC_Accelerator_Mix'!$G$2:$G$977,MATCH(G249,'02b_DC_Accelerator_Mix'!$A$2:$A$977,0)),0)</f>
        <v/>
      </c>
      <c r="K249" s="6">
        <f>IFERROR(INDEX('02b_DC_Accelerator_Mix'!$H$2:$H$977,MATCH(G249,'02b_DC_Accelerator_Mix'!$A$2:$A$977,0)),0)</f>
        <v/>
      </c>
      <c r="L249" s="6">
        <f>IFERROR(INDEX('02b_DC_Accelerator_Mix'!$I$2:$I$977,MATCH(G249,'02b_DC_Accelerator_Mix'!$A$2:$A$977,0)),0)</f>
        <v/>
      </c>
      <c r="M249" s="6">
        <f>IFERROR(INDEX('02b_DC_Accelerator_Mix'!$J$2:$J$977,MATCH(G249,'02b_DC_Accelerator_Mix'!$A$2:$A$977,0)),0)</f>
        <v/>
      </c>
      <c r="N249" s="6">
        <f>IFERROR(INDEX('02b_DC_Accelerator_Mix'!$K$2:$K$977,MATCH(G249,'02b_DC_Accelerator_Mix'!$A$2:$A$977,0)),0)</f>
        <v/>
      </c>
      <c r="O249" s="6">
        <f>IFERROR(INDEX('02b_DC_Accelerator_Mix'!$L$2:$L$977,MATCH(G249,'02b_DC_Accelerator_Mix'!$A$2:$A$977,0)),0)</f>
        <v/>
      </c>
      <c r="P249" s="6">
        <f>IFERROR(INDEX('02b_DC_Accelerator_Mix'!$M$2:$M$977,MATCH(G249,'02b_DC_Accelerator_Mix'!$A$2:$A$977,0)),0)</f>
        <v/>
      </c>
      <c r="Q249" s="6">
        <f>IFERROR(INDEX('02b_DC_Accelerator_Mix'!$N$2:$N$977,MATCH(G249,'02b_DC_Accelerator_Mix'!$A$2:$A$977,0)),0)</f>
        <v/>
      </c>
      <c r="R249" s="28">
        <f>H249*I249</f>
        <v/>
      </c>
      <c r="S249" s="28">
        <f>H249*J249</f>
        <v/>
      </c>
      <c r="T249" s="28">
        <f>H249*K249</f>
        <v/>
      </c>
      <c r="U249" s="28">
        <f>H249*L249</f>
        <v/>
      </c>
      <c r="V249" s="28">
        <f>H249*M249</f>
        <v/>
      </c>
      <c r="W249" s="28">
        <f>H249*N249</f>
        <v/>
      </c>
      <c r="X249" s="28">
        <f>H249*O249</f>
        <v/>
      </c>
      <c r="Y249" s="28">
        <f>H249*P249</f>
        <v/>
      </c>
      <c r="Z249" s="28">
        <f>H249*Q249</f>
        <v/>
      </c>
      <c r="AA249" s="28">
        <f>SUM(U249:Z249)</f>
        <v/>
      </c>
      <c r="AB249" s="5">
        <f>IF(COUNTIF('02b_DC_Accelerator_Mix'!$A$2:$A$977,G249)&gt;0,"matched","missing_mix")</f>
        <v/>
      </c>
    </row>
    <row r="250">
      <c r="A250" s="5">
        <f>'02a_DC_Capacity_Alloc'!A250</f>
        <v/>
      </c>
      <c r="B250" s="5">
        <f>'02a_DC_Capacity_Alloc'!B250</f>
        <v/>
      </c>
      <c r="C250" s="5">
        <f>'02a_DC_Capacity_Alloc'!C250</f>
        <v/>
      </c>
      <c r="D250" s="5">
        <f>'02a_DC_Capacity_Alloc'!D250</f>
        <v/>
      </c>
      <c r="E250" s="5">
        <f>'02a_DC_Capacity_Alloc'!E250</f>
        <v/>
      </c>
      <c r="F250" s="5">
        <f>'02a_DC_Capacity_Alloc'!F250</f>
        <v/>
      </c>
      <c r="G250" s="5">
        <f>B250&amp;"|"&amp;E250&amp;"|"&amp;D250</f>
        <v/>
      </c>
      <c r="H250" s="28">
        <f>'02a_DC_Capacity_Alloc'!H250*'02a_DC_Capacity_Alloc'!I250*'02a_DC_Capacity_Alloc'!J250</f>
        <v/>
      </c>
      <c r="I250" s="6">
        <f>IFERROR(INDEX('02b_DC_Accelerator_Mix'!$F$2:$F$977,MATCH(G250,'02b_DC_Accelerator_Mix'!$A$2:$A$977,0)),0)</f>
        <v/>
      </c>
      <c r="J250" s="6">
        <f>IFERROR(INDEX('02b_DC_Accelerator_Mix'!$G$2:$G$977,MATCH(G250,'02b_DC_Accelerator_Mix'!$A$2:$A$977,0)),0)</f>
        <v/>
      </c>
      <c r="K250" s="6">
        <f>IFERROR(INDEX('02b_DC_Accelerator_Mix'!$H$2:$H$977,MATCH(G250,'02b_DC_Accelerator_Mix'!$A$2:$A$977,0)),0)</f>
        <v/>
      </c>
      <c r="L250" s="6">
        <f>IFERROR(INDEX('02b_DC_Accelerator_Mix'!$I$2:$I$977,MATCH(G250,'02b_DC_Accelerator_Mix'!$A$2:$A$977,0)),0)</f>
        <v/>
      </c>
      <c r="M250" s="6">
        <f>IFERROR(INDEX('02b_DC_Accelerator_Mix'!$J$2:$J$977,MATCH(G250,'02b_DC_Accelerator_Mix'!$A$2:$A$977,0)),0)</f>
        <v/>
      </c>
      <c r="N250" s="6">
        <f>IFERROR(INDEX('02b_DC_Accelerator_Mix'!$K$2:$K$977,MATCH(G250,'02b_DC_Accelerator_Mix'!$A$2:$A$977,0)),0)</f>
        <v/>
      </c>
      <c r="O250" s="6">
        <f>IFERROR(INDEX('02b_DC_Accelerator_Mix'!$L$2:$L$977,MATCH(G250,'02b_DC_Accelerator_Mix'!$A$2:$A$977,0)),0)</f>
        <v/>
      </c>
      <c r="P250" s="6">
        <f>IFERROR(INDEX('02b_DC_Accelerator_Mix'!$M$2:$M$977,MATCH(G250,'02b_DC_Accelerator_Mix'!$A$2:$A$977,0)),0)</f>
        <v/>
      </c>
      <c r="Q250" s="6">
        <f>IFERROR(INDEX('02b_DC_Accelerator_Mix'!$N$2:$N$977,MATCH(G250,'02b_DC_Accelerator_Mix'!$A$2:$A$977,0)),0)</f>
        <v/>
      </c>
      <c r="R250" s="28">
        <f>H250*I250</f>
        <v/>
      </c>
      <c r="S250" s="28">
        <f>H250*J250</f>
        <v/>
      </c>
      <c r="T250" s="28">
        <f>H250*K250</f>
        <v/>
      </c>
      <c r="U250" s="28">
        <f>H250*L250</f>
        <v/>
      </c>
      <c r="V250" s="28">
        <f>H250*M250</f>
        <v/>
      </c>
      <c r="W250" s="28">
        <f>H250*N250</f>
        <v/>
      </c>
      <c r="X250" s="28">
        <f>H250*O250</f>
        <v/>
      </c>
      <c r="Y250" s="28">
        <f>H250*P250</f>
        <v/>
      </c>
      <c r="Z250" s="28">
        <f>H250*Q250</f>
        <v/>
      </c>
      <c r="AA250" s="28">
        <f>SUM(U250:Z250)</f>
        <v/>
      </c>
      <c r="AB250" s="5">
        <f>IF(COUNTIF('02b_DC_Accelerator_Mix'!$A$2:$A$977,G250)&gt;0,"matched","missing_mix")</f>
        <v/>
      </c>
    </row>
    <row r="251">
      <c r="A251" s="5">
        <f>'02a_DC_Capacity_Alloc'!A251</f>
        <v/>
      </c>
      <c r="B251" s="5">
        <f>'02a_DC_Capacity_Alloc'!B251</f>
        <v/>
      </c>
      <c r="C251" s="5">
        <f>'02a_DC_Capacity_Alloc'!C251</f>
        <v/>
      </c>
      <c r="D251" s="5">
        <f>'02a_DC_Capacity_Alloc'!D251</f>
        <v/>
      </c>
      <c r="E251" s="5">
        <f>'02a_DC_Capacity_Alloc'!E251</f>
        <v/>
      </c>
      <c r="F251" s="5">
        <f>'02a_DC_Capacity_Alloc'!F251</f>
        <v/>
      </c>
      <c r="G251" s="5">
        <f>B251&amp;"|"&amp;E251&amp;"|"&amp;D251</f>
        <v/>
      </c>
      <c r="H251" s="28">
        <f>'02a_DC_Capacity_Alloc'!H251*'02a_DC_Capacity_Alloc'!I251*'02a_DC_Capacity_Alloc'!J251</f>
        <v/>
      </c>
      <c r="I251" s="6">
        <f>IFERROR(INDEX('02b_DC_Accelerator_Mix'!$F$2:$F$977,MATCH(G251,'02b_DC_Accelerator_Mix'!$A$2:$A$977,0)),0)</f>
        <v/>
      </c>
      <c r="J251" s="6">
        <f>IFERROR(INDEX('02b_DC_Accelerator_Mix'!$G$2:$G$977,MATCH(G251,'02b_DC_Accelerator_Mix'!$A$2:$A$977,0)),0)</f>
        <v/>
      </c>
      <c r="K251" s="6">
        <f>IFERROR(INDEX('02b_DC_Accelerator_Mix'!$H$2:$H$977,MATCH(G251,'02b_DC_Accelerator_Mix'!$A$2:$A$977,0)),0)</f>
        <v/>
      </c>
      <c r="L251" s="6">
        <f>IFERROR(INDEX('02b_DC_Accelerator_Mix'!$I$2:$I$977,MATCH(G251,'02b_DC_Accelerator_Mix'!$A$2:$A$977,0)),0)</f>
        <v/>
      </c>
      <c r="M251" s="6">
        <f>IFERROR(INDEX('02b_DC_Accelerator_Mix'!$J$2:$J$977,MATCH(G251,'02b_DC_Accelerator_Mix'!$A$2:$A$977,0)),0)</f>
        <v/>
      </c>
      <c r="N251" s="6">
        <f>IFERROR(INDEX('02b_DC_Accelerator_Mix'!$K$2:$K$977,MATCH(G251,'02b_DC_Accelerator_Mix'!$A$2:$A$977,0)),0)</f>
        <v/>
      </c>
      <c r="O251" s="6">
        <f>IFERROR(INDEX('02b_DC_Accelerator_Mix'!$L$2:$L$977,MATCH(G251,'02b_DC_Accelerator_Mix'!$A$2:$A$977,0)),0)</f>
        <v/>
      </c>
      <c r="P251" s="6">
        <f>IFERROR(INDEX('02b_DC_Accelerator_Mix'!$M$2:$M$977,MATCH(G251,'02b_DC_Accelerator_Mix'!$A$2:$A$977,0)),0)</f>
        <v/>
      </c>
      <c r="Q251" s="6">
        <f>IFERROR(INDEX('02b_DC_Accelerator_Mix'!$N$2:$N$977,MATCH(G251,'02b_DC_Accelerator_Mix'!$A$2:$A$977,0)),0)</f>
        <v/>
      </c>
      <c r="R251" s="28">
        <f>H251*I251</f>
        <v/>
      </c>
      <c r="S251" s="28">
        <f>H251*J251</f>
        <v/>
      </c>
      <c r="T251" s="28">
        <f>H251*K251</f>
        <v/>
      </c>
      <c r="U251" s="28">
        <f>H251*L251</f>
        <v/>
      </c>
      <c r="V251" s="28">
        <f>H251*M251</f>
        <v/>
      </c>
      <c r="W251" s="28">
        <f>H251*N251</f>
        <v/>
      </c>
      <c r="X251" s="28">
        <f>H251*O251</f>
        <v/>
      </c>
      <c r="Y251" s="28">
        <f>H251*P251</f>
        <v/>
      </c>
      <c r="Z251" s="28">
        <f>H251*Q251</f>
        <v/>
      </c>
      <c r="AA251" s="28">
        <f>SUM(U251:Z251)</f>
        <v/>
      </c>
      <c r="AB251" s="5">
        <f>IF(COUNTIF('02b_DC_Accelerator_Mix'!$A$2:$A$977,G251)&gt;0,"matched","missing_mix")</f>
        <v/>
      </c>
    </row>
    <row r="252">
      <c r="A252" s="5">
        <f>'02a_DC_Capacity_Alloc'!A252</f>
        <v/>
      </c>
      <c r="B252" s="5">
        <f>'02a_DC_Capacity_Alloc'!B252</f>
        <v/>
      </c>
      <c r="C252" s="5">
        <f>'02a_DC_Capacity_Alloc'!C252</f>
        <v/>
      </c>
      <c r="D252" s="5">
        <f>'02a_DC_Capacity_Alloc'!D252</f>
        <v/>
      </c>
      <c r="E252" s="5">
        <f>'02a_DC_Capacity_Alloc'!E252</f>
        <v/>
      </c>
      <c r="F252" s="5">
        <f>'02a_DC_Capacity_Alloc'!F252</f>
        <v/>
      </c>
      <c r="G252" s="5">
        <f>B252&amp;"|"&amp;E252&amp;"|"&amp;D252</f>
        <v/>
      </c>
      <c r="H252" s="28">
        <f>'02a_DC_Capacity_Alloc'!H252*'02a_DC_Capacity_Alloc'!I252*'02a_DC_Capacity_Alloc'!J252</f>
        <v/>
      </c>
      <c r="I252" s="6">
        <f>IFERROR(INDEX('02b_DC_Accelerator_Mix'!$F$2:$F$977,MATCH(G252,'02b_DC_Accelerator_Mix'!$A$2:$A$977,0)),0)</f>
        <v/>
      </c>
      <c r="J252" s="6">
        <f>IFERROR(INDEX('02b_DC_Accelerator_Mix'!$G$2:$G$977,MATCH(G252,'02b_DC_Accelerator_Mix'!$A$2:$A$977,0)),0)</f>
        <v/>
      </c>
      <c r="K252" s="6">
        <f>IFERROR(INDEX('02b_DC_Accelerator_Mix'!$H$2:$H$977,MATCH(G252,'02b_DC_Accelerator_Mix'!$A$2:$A$977,0)),0)</f>
        <v/>
      </c>
      <c r="L252" s="6">
        <f>IFERROR(INDEX('02b_DC_Accelerator_Mix'!$I$2:$I$977,MATCH(G252,'02b_DC_Accelerator_Mix'!$A$2:$A$977,0)),0)</f>
        <v/>
      </c>
      <c r="M252" s="6">
        <f>IFERROR(INDEX('02b_DC_Accelerator_Mix'!$J$2:$J$977,MATCH(G252,'02b_DC_Accelerator_Mix'!$A$2:$A$977,0)),0)</f>
        <v/>
      </c>
      <c r="N252" s="6">
        <f>IFERROR(INDEX('02b_DC_Accelerator_Mix'!$K$2:$K$977,MATCH(G252,'02b_DC_Accelerator_Mix'!$A$2:$A$977,0)),0)</f>
        <v/>
      </c>
      <c r="O252" s="6">
        <f>IFERROR(INDEX('02b_DC_Accelerator_Mix'!$L$2:$L$977,MATCH(G252,'02b_DC_Accelerator_Mix'!$A$2:$A$977,0)),0)</f>
        <v/>
      </c>
      <c r="P252" s="6">
        <f>IFERROR(INDEX('02b_DC_Accelerator_Mix'!$M$2:$M$977,MATCH(G252,'02b_DC_Accelerator_Mix'!$A$2:$A$977,0)),0)</f>
        <v/>
      </c>
      <c r="Q252" s="6">
        <f>IFERROR(INDEX('02b_DC_Accelerator_Mix'!$N$2:$N$977,MATCH(G252,'02b_DC_Accelerator_Mix'!$A$2:$A$977,0)),0)</f>
        <v/>
      </c>
      <c r="R252" s="28">
        <f>H252*I252</f>
        <v/>
      </c>
      <c r="S252" s="28">
        <f>H252*J252</f>
        <v/>
      </c>
      <c r="T252" s="28">
        <f>H252*K252</f>
        <v/>
      </c>
      <c r="U252" s="28">
        <f>H252*L252</f>
        <v/>
      </c>
      <c r="V252" s="28">
        <f>H252*M252</f>
        <v/>
      </c>
      <c r="W252" s="28">
        <f>H252*N252</f>
        <v/>
      </c>
      <c r="X252" s="28">
        <f>H252*O252</f>
        <v/>
      </c>
      <c r="Y252" s="28">
        <f>H252*P252</f>
        <v/>
      </c>
      <c r="Z252" s="28">
        <f>H252*Q252</f>
        <v/>
      </c>
      <c r="AA252" s="28">
        <f>SUM(U252:Z252)</f>
        <v/>
      </c>
      <c r="AB252" s="5">
        <f>IF(COUNTIF('02b_DC_Accelerator_Mix'!$A$2:$A$977,G252)&gt;0,"matched","missing_mix")</f>
        <v/>
      </c>
    </row>
    <row r="253">
      <c r="A253" s="5">
        <f>'02a_DC_Capacity_Alloc'!A253</f>
        <v/>
      </c>
      <c r="B253" s="5">
        <f>'02a_DC_Capacity_Alloc'!B253</f>
        <v/>
      </c>
      <c r="C253" s="5">
        <f>'02a_DC_Capacity_Alloc'!C253</f>
        <v/>
      </c>
      <c r="D253" s="5">
        <f>'02a_DC_Capacity_Alloc'!D253</f>
        <v/>
      </c>
      <c r="E253" s="5">
        <f>'02a_DC_Capacity_Alloc'!E253</f>
        <v/>
      </c>
      <c r="F253" s="5">
        <f>'02a_DC_Capacity_Alloc'!F253</f>
        <v/>
      </c>
      <c r="G253" s="5">
        <f>B253&amp;"|"&amp;E253&amp;"|"&amp;D253</f>
        <v/>
      </c>
      <c r="H253" s="28">
        <f>'02a_DC_Capacity_Alloc'!H253*'02a_DC_Capacity_Alloc'!I253*'02a_DC_Capacity_Alloc'!J253</f>
        <v/>
      </c>
      <c r="I253" s="6">
        <f>IFERROR(INDEX('02b_DC_Accelerator_Mix'!$F$2:$F$977,MATCH(G253,'02b_DC_Accelerator_Mix'!$A$2:$A$977,0)),0)</f>
        <v/>
      </c>
      <c r="J253" s="6">
        <f>IFERROR(INDEX('02b_DC_Accelerator_Mix'!$G$2:$G$977,MATCH(G253,'02b_DC_Accelerator_Mix'!$A$2:$A$977,0)),0)</f>
        <v/>
      </c>
      <c r="K253" s="6">
        <f>IFERROR(INDEX('02b_DC_Accelerator_Mix'!$H$2:$H$977,MATCH(G253,'02b_DC_Accelerator_Mix'!$A$2:$A$977,0)),0)</f>
        <v/>
      </c>
      <c r="L253" s="6">
        <f>IFERROR(INDEX('02b_DC_Accelerator_Mix'!$I$2:$I$977,MATCH(G253,'02b_DC_Accelerator_Mix'!$A$2:$A$977,0)),0)</f>
        <v/>
      </c>
      <c r="M253" s="6">
        <f>IFERROR(INDEX('02b_DC_Accelerator_Mix'!$J$2:$J$977,MATCH(G253,'02b_DC_Accelerator_Mix'!$A$2:$A$977,0)),0)</f>
        <v/>
      </c>
      <c r="N253" s="6">
        <f>IFERROR(INDEX('02b_DC_Accelerator_Mix'!$K$2:$K$977,MATCH(G253,'02b_DC_Accelerator_Mix'!$A$2:$A$977,0)),0)</f>
        <v/>
      </c>
      <c r="O253" s="6">
        <f>IFERROR(INDEX('02b_DC_Accelerator_Mix'!$L$2:$L$977,MATCH(G253,'02b_DC_Accelerator_Mix'!$A$2:$A$977,0)),0)</f>
        <v/>
      </c>
      <c r="P253" s="6">
        <f>IFERROR(INDEX('02b_DC_Accelerator_Mix'!$M$2:$M$977,MATCH(G253,'02b_DC_Accelerator_Mix'!$A$2:$A$977,0)),0)</f>
        <v/>
      </c>
      <c r="Q253" s="6">
        <f>IFERROR(INDEX('02b_DC_Accelerator_Mix'!$N$2:$N$977,MATCH(G253,'02b_DC_Accelerator_Mix'!$A$2:$A$977,0)),0)</f>
        <v/>
      </c>
      <c r="R253" s="28">
        <f>H253*I253</f>
        <v/>
      </c>
      <c r="S253" s="28">
        <f>H253*J253</f>
        <v/>
      </c>
      <c r="T253" s="28">
        <f>H253*K253</f>
        <v/>
      </c>
      <c r="U253" s="28">
        <f>H253*L253</f>
        <v/>
      </c>
      <c r="V253" s="28">
        <f>H253*M253</f>
        <v/>
      </c>
      <c r="W253" s="28">
        <f>H253*N253</f>
        <v/>
      </c>
      <c r="X253" s="28">
        <f>H253*O253</f>
        <v/>
      </c>
      <c r="Y253" s="28">
        <f>H253*P253</f>
        <v/>
      </c>
      <c r="Z253" s="28">
        <f>H253*Q253</f>
        <v/>
      </c>
      <c r="AA253" s="28">
        <f>SUM(U253:Z253)</f>
        <v/>
      </c>
      <c r="AB253" s="5">
        <f>IF(COUNTIF('02b_DC_Accelerator_Mix'!$A$2:$A$977,G253)&gt;0,"matched","missing_mix")</f>
        <v/>
      </c>
    </row>
    <row r="254">
      <c r="A254" s="5">
        <f>'02a_DC_Capacity_Alloc'!A254</f>
        <v/>
      </c>
      <c r="B254" s="5">
        <f>'02a_DC_Capacity_Alloc'!B254</f>
        <v/>
      </c>
      <c r="C254" s="5">
        <f>'02a_DC_Capacity_Alloc'!C254</f>
        <v/>
      </c>
      <c r="D254" s="5">
        <f>'02a_DC_Capacity_Alloc'!D254</f>
        <v/>
      </c>
      <c r="E254" s="5">
        <f>'02a_DC_Capacity_Alloc'!E254</f>
        <v/>
      </c>
      <c r="F254" s="5">
        <f>'02a_DC_Capacity_Alloc'!F254</f>
        <v/>
      </c>
      <c r="G254" s="5">
        <f>B254&amp;"|"&amp;E254&amp;"|"&amp;D254</f>
        <v/>
      </c>
      <c r="H254" s="28">
        <f>'02a_DC_Capacity_Alloc'!H254*'02a_DC_Capacity_Alloc'!I254*'02a_DC_Capacity_Alloc'!J254</f>
        <v/>
      </c>
      <c r="I254" s="6">
        <f>IFERROR(INDEX('02b_DC_Accelerator_Mix'!$F$2:$F$977,MATCH(G254,'02b_DC_Accelerator_Mix'!$A$2:$A$977,0)),0)</f>
        <v/>
      </c>
      <c r="J254" s="6">
        <f>IFERROR(INDEX('02b_DC_Accelerator_Mix'!$G$2:$G$977,MATCH(G254,'02b_DC_Accelerator_Mix'!$A$2:$A$977,0)),0)</f>
        <v/>
      </c>
      <c r="K254" s="6">
        <f>IFERROR(INDEX('02b_DC_Accelerator_Mix'!$H$2:$H$977,MATCH(G254,'02b_DC_Accelerator_Mix'!$A$2:$A$977,0)),0)</f>
        <v/>
      </c>
      <c r="L254" s="6">
        <f>IFERROR(INDEX('02b_DC_Accelerator_Mix'!$I$2:$I$977,MATCH(G254,'02b_DC_Accelerator_Mix'!$A$2:$A$977,0)),0)</f>
        <v/>
      </c>
      <c r="M254" s="6">
        <f>IFERROR(INDEX('02b_DC_Accelerator_Mix'!$J$2:$J$977,MATCH(G254,'02b_DC_Accelerator_Mix'!$A$2:$A$977,0)),0)</f>
        <v/>
      </c>
      <c r="N254" s="6">
        <f>IFERROR(INDEX('02b_DC_Accelerator_Mix'!$K$2:$K$977,MATCH(G254,'02b_DC_Accelerator_Mix'!$A$2:$A$977,0)),0)</f>
        <v/>
      </c>
      <c r="O254" s="6">
        <f>IFERROR(INDEX('02b_DC_Accelerator_Mix'!$L$2:$L$977,MATCH(G254,'02b_DC_Accelerator_Mix'!$A$2:$A$977,0)),0)</f>
        <v/>
      </c>
      <c r="P254" s="6">
        <f>IFERROR(INDEX('02b_DC_Accelerator_Mix'!$M$2:$M$977,MATCH(G254,'02b_DC_Accelerator_Mix'!$A$2:$A$977,0)),0)</f>
        <v/>
      </c>
      <c r="Q254" s="6">
        <f>IFERROR(INDEX('02b_DC_Accelerator_Mix'!$N$2:$N$977,MATCH(G254,'02b_DC_Accelerator_Mix'!$A$2:$A$977,0)),0)</f>
        <v/>
      </c>
      <c r="R254" s="28">
        <f>H254*I254</f>
        <v/>
      </c>
      <c r="S254" s="28">
        <f>H254*J254</f>
        <v/>
      </c>
      <c r="T254" s="28">
        <f>H254*K254</f>
        <v/>
      </c>
      <c r="U254" s="28">
        <f>H254*L254</f>
        <v/>
      </c>
      <c r="V254" s="28">
        <f>H254*M254</f>
        <v/>
      </c>
      <c r="W254" s="28">
        <f>H254*N254</f>
        <v/>
      </c>
      <c r="X254" s="28">
        <f>H254*O254</f>
        <v/>
      </c>
      <c r="Y254" s="28">
        <f>H254*P254</f>
        <v/>
      </c>
      <c r="Z254" s="28">
        <f>H254*Q254</f>
        <v/>
      </c>
      <c r="AA254" s="28">
        <f>SUM(U254:Z254)</f>
        <v/>
      </c>
      <c r="AB254" s="5">
        <f>IF(COUNTIF('02b_DC_Accelerator_Mix'!$A$2:$A$977,G254)&gt;0,"matched","missing_mix")</f>
        <v/>
      </c>
    </row>
    <row r="255">
      <c r="A255" s="5">
        <f>'02a_DC_Capacity_Alloc'!A255</f>
        <v/>
      </c>
      <c r="B255" s="5">
        <f>'02a_DC_Capacity_Alloc'!B255</f>
        <v/>
      </c>
      <c r="C255" s="5">
        <f>'02a_DC_Capacity_Alloc'!C255</f>
        <v/>
      </c>
      <c r="D255" s="5">
        <f>'02a_DC_Capacity_Alloc'!D255</f>
        <v/>
      </c>
      <c r="E255" s="5">
        <f>'02a_DC_Capacity_Alloc'!E255</f>
        <v/>
      </c>
      <c r="F255" s="5">
        <f>'02a_DC_Capacity_Alloc'!F255</f>
        <v/>
      </c>
      <c r="G255" s="5">
        <f>B255&amp;"|"&amp;E255&amp;"|"&amp;D255</f>
        <v/>
      </c>
      <c r="H255" s="28">
        <f>'02a_DC_Capacity_Alloc'!H255*'02a_DC_Capacity_Alloc'!I255*'02a_DC_Capacity_Alloc'!J255</f>
        <v/>
      </c>
      <c r="I255" s="6">
        <f>IFERROR(INDEX('02b_DC_Accelerator_Mix'!$F$2:$F$977,MATCH(G255,'02b_DC_Accelerator_Mix'!$A$2:$A$977,0)),0)</f>
        <v/>
      </c>
      <c r="J255" s="6">
        <f>IFERROR(INDEX('02b_DC_Accelerator_Mix'!$G$2:$G$977,MATCH(G255,'02b_DC_Accelerator_Mix'!$A$2:$A$977,0)),0)</f>
        <v/>
      </c>
      <c r="K255" s="6">
        <f>IFERROR(INDEX('02b_DC_Accelerator_Mix'!$H$2:$H$977,MATCH(G255,'02b_DC_Accelerator_Mix'!$A$2:$A$977,0)),0)</f>
        <v/>
      </c>
      <c r="L255" s="6">
        <f>IFERROR(INDEX('02b_DC_Accelerator_Mix'!$I$2:$I$977,MATCH(G255,'02b_DC_Accelerator_Mix'!$A$2:$A$977,0)),0)</f>
        <v/>
      </c>
      <c r="M255" s="6">
        <f>IFERROR(INDEX('02b_DC_Accelerator_Mix'!$J$2:$J$977,MATCH(G255,'02b_DC_Accelerator_Mix'!$A$2:$A$977,0)),0)</f>
        <v/>
      </c>
      <c r="N255" s="6">
        <f>IFERROR(INDEX('02b_DC_Accelerator_Mix'!$K$2:$K$977,MATCH(G255,'02b_DC_Accelerator_Mix'!$A$2:$A$977,0)),0)</f>
        <v/>
      </c>
      <c r="O255" s="6">
        <f>IFERROR(INDEX('02b_DC_Accelerator_Mix'!$L$2:$L$977,MATCH(G255,'02b_DC_Accelerator_Mix'!$A$2:$A$977,0)),0)</f>
        <v/>
      </c>
      <c r="P255" s="6">
        <f>IFERROR(INDEX('02b_DC_Accelerator_Mix'!$M$2:$M$977,MATCH(G255,'02b_DC_Accelerator_Mix'!$A$2:$A$977,0)),0)</f>
        <v/>
      </c>
      <c r="Q255" s="6">
        <f>IFERROR(INDEX('02b_DC_Accelerator_Mix'!$N$2:$N$977,MATCH(G255,'02b_DC_Accelerator_Mix'!$A$2:$A$977,0)),0)</f>
        <v/>
      </c>
      <c r="R255" s="28">
        <f>H255*I255</f>
        <v/>
      </c>
      <c r="S255" s="28">
        <f>H255*J255</f>
        <v/>
      </c>
      <c r="T255" s="28">
        <f>H255*K255</f>
        <v/>
      </c>
      <c r="U255" s="28">
        <f>H255*L255</f>
        <v/>
      </c>
      <c r="V255" s="28">
        <f>H255*M255</f>
        <v/>
      </c>
      <c r="W255" s="28">
        <f>H255*N255</f>
        <v/>
      </c>
      <c r="X255" s="28">
        <f>H255*O255</f>
        <v/>
      </c>
      <c r="Y255" s="28">
        <f>H255*P255</f>
        <v/>
      </c>
      <c r="Z255" s="28">
        <f>H255*Q255</f>
        <v/>
      </c>
      <c r="AA255" s="28">
        <f>SUM(U255:Z255)</f>
        <v/>
      </c>
      <c r="AB255" s="5">
        <f>IF(COUNTIF('02b_DC_Accelerator_Mix'!$A$2:$A$977,G255)&gt;0,"matched","missing_mix")</f>
        <v/>
      </c>
    </row>
    <row r="256">
      <c r="A256" s="5">
        <f>'02a_DC_Capacity_Alloc'!A256</f>
        <v/>
      </c>
      <c r="B256" s="5">
        <f>'02a_DC_Capacity_Alloc'!B256</f>
        <v/>
      </c>
      <c r="C256" s="5">
        <f>'02a_DC_Capacity_Alloc'!C256</f>
        <v/>
      </c>
      <c r="D256" s="5">
        <f>'02a_DC_Capacity_Alloc'!D256</f>
        <v/>
      </c>
      <c r="E256" s="5">
        <f>'02a_DC_Capacity_Alloc'!E256</f>
        <v/>
      </c>
      <c r="F256" s="5">
        <f>'02a_DC_Capacity_Alloc'!F256</f>
        <v/>
      </c>
      <c r="G256" s="5">
        <f>B256&amp;"|"&amp;E256&amp;"|"&amp;D256</f>
        <v/>
      </c>
      <c r="H256" s="28">
        <f>'02a_DC_Capacity_Alloc'!H256*'02a_DC_Capacity_Alloc'!I256*'02a_DC_Capacity_Alloc'!J256</f>
        <v/>
      </c>
      <c r="I256" s="6">
        <f>IFERROR(INDEX('02b_DC_Accelerator_Mix'!$F$2:$F$977,MATCH(G256,'02b_DC_Accelerator_Mix'!$A$2:$A$977,0)),0)</f>
        <v/>
      </c>
      <c r="J256" s="6">
        <f>IFERROR(INDEX('02b_DC_Accelerator_Mix'!$G$2:$G$977,MATCH(G256,'02b_DC_Accelerator_Mix'!$A$2:$A$977,0)),0)</f>
        <v/>
      </c>
      <c r="K256" s="6">
        <f>IFERROR(INDEX('02b_DC_Accelerator_Mix'!$H$2:$H$977,MATCH(G256,'02b_DC_Accelerator_Mix'!$A$2:$A$977,0)),0)</f>
        <v/>
      </c>
      <c r="L256" s="6">
        <f>IFERROR(INDEX('02b_DC_Accelerator_Mix'!$I$2:$I$977,MATCH(G256,'02b_DC_Accelerator_Mix'!$A$2:$A$977,0)),0)</f>
        <v/>
      </c>
      <c r="M256" s="6">
        <f>IFERROR(INDEX('02b_DC_Accelerator_Mix'!$J$2:$J$977,MATCH(G256,'02b_DC_Accelerator_Mix'!$A$2:$A$977,0)),0)</f>
        <v/>
      </c>
      <c r="N256" s="6">
        <f>IFERROR(INDEX('02b_DC_Accelerator_Mix'!$K$2:$K$977,MATCH(G256,'02b_DC_Accelerator_Mix'!$A$2:$A$977,0)),0)</f>
        <v/>
      </c>
      <c r="O256" s="6">
        <f>IFERROR(INDEX('02b_DC_Accelerator_Mix'!$L$2:$L$977,MATCH(G256,'02b_DC_Accelerator_Mix'!$A$2:$A$977,0)),0)</f>
        <v/>
      </c>
      <c r="P256" s="6">
        <f>IFERROR(INDEX('02b_DC_Accelerator_Mix'!$M$2:$M$977,MATCH(G256,'02b_DC_Accelerator_Mix'!$A$2:$A$977,0)),0)</f>
        <v/>
      </c>
      <c r="Q256" s="6">
        <f>IFERROR(INDEX('02b_DC_Accelerator_Mix'!$N$2:$N$977,MATCH(G256,'02b_DC_Accelerator_Mix'!$A$2:$A$977,0)),0)</f>
        <v/>
      </c>
      <c r="R256" s="28">
        <f>H256*I256</f>
        <v/>
      </c>
      <c r="S256" s="28">
        <f>H256*J256</f>
        <v/>
      </c>
      <c r="T256" s="28">
        <f>H256*K256</f>
        <v/>
      </c>
      <c r="U256" s="28">
        <f>H256*L256</f>
        <v/>
      </c>
      <c r="V256" s="28">
        <f>H256*M256</f>
        <v/>
      </c>
      <c r="W256" s="28">
        <f>H256*N256</f>
        <v/>
      </c>
      <c r="X256" s="28">
        <f>H256*O256</f>
        <v/>
      </c>
      <c r="Y256" s="28">
        <f>H256*P256</f>
        <v/>
      </c>
      <c r="Z256" s="28">
        <f>H256*Q256</f>
        <v/>
      </c>
      <c r="AA256" s="28">
        <f>SUM(U256:Z256)</f>
        <v/>
      </c>
      <c r="AB256" s="5">
        <f>IF(COUNTIF('02b_DC_Accelerator_Mix'!$A$2:$A$977,G256)&gt;0,"matched","missing_mix")</f>
        <v/>
      </c>
    </row>
    <row r="257">
      <c r="A257" s="5">
        <f>'02a_DC_Capacity_Alloc'!A257</f>
        <v/>
      </c>
      <c r="B257" s="5">
        <f>'02a_DC_Capacity_Alloc'!B257</f>
        <v/>
      </c>
      <c r="C257" s="5">
        <f>'02a_DC_Capacity_Alloc'!C257</f>
        <v/>
      </c>
      <c r="D257" s="5">
        <f>'02a_DC_Capacity_Alloc'!D257</f>
        <v/>
      </c>
      <c r="E257" s="5">
        <f>'02a_DC_Capacity_Alloc'!E257</f>
        <v/>
      </c>
      <c r="F257" s="5">
        <f>'02a_DC_Capacity_Alloc'!F257</f>
        <v/>
      </c>
      <c r="G257" s="5">
        <f>B257&amp;"|"&amp;E257&amp;"|"&amp;D257</f>
        <v/>
      </c>
      <c r="H257" s="28">
        <f>'02a_DC_Capacity_Alloc'!H257*'02a_DC_Capacity_Alloc'!I257*'02a_DC_Capacity_Alloc'!J257</f>
        <v/>
      </c>
      <c r="I257" s="6">
        <f>IFERROR(INDEX('02b_DC_Accelerator_Mix'!$F$2:$F$977,MATCH(G257,'02b_DC_Accelerator_Mix'!$A$2:$A$977,0)),0)</f>
        <v/>
      </c>
      <c r="J257" s="6">
        <f>IFERROR(INDEX('02b_DC_Accelerator_Mix'!$G$2:$G$977,MATCH(G257,'02b_DC_Accelerator_Mix'!$A$2:$A$977,0)),0)</f>
        <v/>
      </c>
      <c r="K257" s="6">
        <f>IFERROR(INDEX('02b_DC_Accelerator_Mix'!$H$2:$H$977,MATCH(G257,'02b_DC_Accelerator_Mix'!$A$2:$A$977,0)),0)</f>
        <v/>
      </c>
      <c r="L257" s="6">
        <f>IFERROR(INDEX('02b_DC_Accelerator_Mix'!$I$2:$I$977,MATCH(G257,'02b_DC_Accelerator_Mix'!$A$2:$A$977,0)),0)</f>
        <v/>
      </c>
      <c r="M257" s="6">
        <f>IFERROR(INDEX('02b_DC_Accelerator_Mix'!$J$2:$J$977,MATCH(G257,'02b_DC_Accelerator_Mix'!$A$2:$A$977,0)),0)</f>
        <v/>
      </c>
      <c r="N257" s="6">
        <f>IFERROR(INDEX('02b_DC_Accelerator_Mix'!$K$2:$K$977,MATCH(G257,'02b_DC_Accelerator_Mix'!$A$2:$A$977,0)),0)</f>
        <v/>
      </c>
      <c r="O257" s="6">
        <f>IFERROR(INDEX('02b_DC_Accelerator_Mix'!$L$2:$L$977,MATCH(G257,'02b_DC_Accelerator_Mix'!$A$2:$A$977,0)),0)</f>
        <v/>
      </c>
      <c r="P257" s="6">
        <f>IFERROR(INDEX('02b_DC_Accelerator_Mix'!$M$2:$M$977,MATCH(G257,'02b_DC_Accelerator_Mix'!$A$2:$A$977,0)),0)</f>
        <v/>
      </c>
      <c r="Q257" s="6">
        <f>IFERROR(INDEX('02b_DC_Accelerator_Mix'!$N$2:$N$977,MATCH(G257,'02b_DC_Accelerator_Mix'!$A$2:$A$977,0)),0)</f>
        <v/>
      </c>
      <c r="R257" s="28">
        <f>H257*I257</f>
        <v/>
      </c>
      <c r="S257" s="28">
        <f>H257*J257</f>
        <v/>
      </c>
      <c r="T257" s="28">
        <f>H257*K257</f>
        <v/>
      </c>
      <c r="U257" s="28">
        <f>H257*L257</f>
        <v/>
      </c>
      <c r="V257" s="28">
        <f>H257*M257</f>
        <v/>
      </c>
      <c r="W257" s="28">
        <f>H257*N257</f>
        <v/>
      </c>
      <c r="X257" s="28">
        <f>H257*O257</f>
        <v/>
      </c>
      <c r="Y257" s="28">
        <f>H257*P257</f>
        <v/>
      </c>
      <c r="Z257" s="28">
        <f>H257*Q257</f>
        <v/>
      </c>
      <c r="AA257" s="28">
        <f>SUM(U257:Z257)</f>
        <v/>
      </c>
      <c r="AB257" s="5">
        <f>IF(COUNTIF('02b_DC_Accelerator_Mix'!$A$2:$A$977,G257)&gt;0,"matched","missing_mix")</f>
        <v/>
      </c>
    </row>
    <row r="258">
      <c r="A258" s="5">
        <f>'02a_DC_Capacity_Alloc'!A258</f>
        <v/>
      </c>
      <c r="B258" s="5">
        <f>'02a_DC_Capacity_Alloc'!B258</f>
        <v/>
      </c>
      <c r="C258" s="5">
        <f>'02a_DC_Capacity_Alloc'!C258</f>
        <v/>
      </c>
      <c r="D258" s="5">
        <f>'02a_DC_Capacity_Alloc'!D258</f>
        <v/>
      </c>
      <c r="E258" s="5">
        <f>'02a_DC_Capacity_Alloc'!E258</f>
        <v/>
      </c>
      <c r="F258" s="5">
        <f>'02a_DC_Capacity_Alloc'!F258</f>
        <v/>
      </c>
      <c r="G258" s="5">
        <f>B258&amp;"|"&amp;E258&amp;"|"&amp;D258</f>
        <v/>
      </c>
      <c r="H258" s="28">
        <f>'02a_DC_Capacity_Alloc'!H258*'02a_DC_Capacity_Alloc'!I258*'02a_DC_Capacity_Alloc'!J258</f>
        <v/>
      </c>
      <c r="I258" s="6">
        <f>IFERROR(INDEX('02b_DC_Accelerator_Mix'!$F$2:$F$977,MATCH(G258,'02b_DC_Accelerator_Mix'!$A$2:$A$977,0)),0)</f>
        <v/>
      </c>
      <c r="J258" s="6">
        <f>IFERROR(INDEX('02b_DC_Accelerator_Mix'!$G$2:$G$977,MATCH(G258,'02b_DC_Accelerator_Mix'!$A$2:$A$977,0)),0)</f>
        <v/>
      </c>
      <c r="K258" s="6">
        <f>IFERROR(INDEX('02b_DC_Accelerator_Mix'!$H$2:$H$977,MATCH(G258,'02b_DC_Accelerator_Mix'!$A$2:$A$977,0)),0)</f>
        <v/>
      </c>
      <c r="L258" s="6">
        <f>IFERROR(INDEX('02b_DC_Accelerator_Mix'!$I$2:$I$977,MATCH(G258,'02b_DC_Accelerator_Mix'!$A$2:$A$977,0)),0)</f>
        <v/>
      </c>
      <c r="M258" s="6">
        <f>IFERROR(INDEX('02b_DC_Accelerator_Mix'!$J$2:$J$977,MATCH(G258,'02b_DC_Accelerator_Mix'!$A$2:$A$977,0)),0)</f>
        <v/>
      </c>
      <c r="N258" s="6">
        <f>IFERROR(INDEX('02b_DC_Accelerator_Mix'!$K$2:$K$977,MATCH(G258,'02b_DC_Accelerator_Mix'!$A$2:$A$977,0)),0)</f>
        <v/>
      </c>
      <c r="O258" s="6">
        <f>IFERROR(INDEX('02b_DC_Accelerator_Mix'!$L$2:$L$977,MATCH(G258,'02b_DC_Accelerator_Mix'!$A$2:$A$977,0)),0)</f>
        <v/>
      </c>
      <c r="P258" s="6">
        <f>IFERROR(INDEX('02b_DC_Accelerator_Mix'!$M$2:$M$977,MATCH(G258,'02b_DC_Accelerator_Mix'!$A$2:$A$977,0)),0)</f>
        <v/>
      </c>
      <c r="Q258" s="6">
        <f>IFERROR(INDEX('02b_DC_Accelerator_Mix'!$N$2:$N$977,MATCH(G258,'02b_DC_Accelerator_Mix'!$A$2:$A$977,0)),0)</f>
        <v/>
      </c>
      <c r="R258" s="28">
        <f>H258*I258</f>
        <v/>
      </c>
      <c r="S258" s="28">
        <f>H258*J258</f>
        <v/>
      </c>
      <c r="T258" s="28">
        <f>H258*K258</f>
        <v/>
      </c>
      <c r="U258" s="28">
        <f>H258*L258</f>
        <v/>
      </c>
      <c r="V258" s="28">
        <f>H258*M258</f>
        <v/>
      </c>
      <c r="W258" s="28">
        <f>H258*N258</f>
        <v/>
      </c>
      <c r="X258" s="28">
        <f>H258*O258</f>
        <v/>
      </c>
      <c r="Y258" s="28">
        <f>H258*P258</f>
        <v/>
      </c>
      <c r="Z258" s="28">
        <f>H258*Q258</f>
        <v/>
      </c>
      <c r="AA258" s="28">
        <f>SUM(U258:Z258)</f>
        <v/>
      </c>
      <c r="AB258" s="5">
        <f>IF(COUNTIF('02b_DC_Accelerator_Mix'!$A$2:$A$977,G258)&gt;0,"matched","missing_mix")</f>
        <v/>
      </c>
    </row>
    <row r="259">
      <c r="A259" s="5">
        <f>'02a_DC_Capacity_Alloc'!A259</f>
        <v/>
      </c>
      <c r="B259" s="5">
        <f>'02a_DC_Capacity_Alloc'!B259</f>
        <v/>
      </c>
      <c r="C259" s="5">
        <f>'02a_DC_Capacity_Alloc'!C259</f>
        <v/>
      </c>
      <c r="D259" s="5">
        <f>'02a_DC_Capacity_Alloc'!D259</f>
        <v/>
      </c>
      <c r="E259" s="5">
        <f>'02a_DC_Capacity_Alloc'!E259</f>
        <v/>
      </c>
      <c r="F259" s="5">
        <f>'02a_DC_Capacity_Alloc'!F259</f>
        <v/>
      </c>
      <c r="G259" s="5">
        <f>B259&amp;"|"&amp;E259&amp;"|"&amp;D259</f>
        <v/>
      </c>
      <c r="H259" s="28">
        <f>'02a_DC_Capacity_Alloc'!H259*'02a_DC_Capacity_Alloc'!I259*'02a_DC_Capacity_Alloc'!J259</f>
        <v/>
      </c>
      <c r="I259" s="6">
        <f>IFERROR(INDEX('02b_DC_Accelerator_Mix'!$F$2:$F$977,MATCH(G259,'02b_DC_Accelerator_Mix'!$A$2:$A$977,0)),0)</f>
        <v/>
      </c>
      <c r="J259" s="6">
        <f>IFERROR(INDEX('02b_DC_Accelerator_Mix'!$G$2:$G$977,MATCH(G259,'02b_DC_Accelerator_Mix'!$A$2:$A$977,0)),0)</f>
        <v/>
      </c>
      <c r="K259" s="6">
        <f>IFERROR(INDEX('02b_DC_Accelerator_Mix'!$H$2:$H$977,MATCH(G259,'02b_DC_Accelerator_Mix'!$A$2:$A$977,0)),0)</f>
        <v/>
      </c>
      <c r="L259" s="6">
        <f>IFERROR(INDEX('02b_DC_Accelerator_Mix'!$I$2:$I$977,MATCH(G259,'02b_DC_Accelerator_Mix'!$A$2:$A$977,0)),0)</f>
        <v/>
      </c>
      <c r="M259" s="6">
        <f>IFERROR(INDEX('02b_DC_Accelerator_Mix'!$J$2:$J$977,MATCH(G259,'02b_DC_Accelerator_Mix'!$A$2:$A$977,0)),0)</f>
        <v/>
      </c>
      <c r="N259" s="6">
        <f>IFERROR(INDEX('02b_DC_Accelerator_Mix'!$K$2:$K$977,MATCH(G259,'02b_DC_Accelerator_Mix'!$A$2:$A$977,0)),0)</f>
        <v/>
      </c>
      <c r="O259" s="6">
        <f>IFERROR(INDEX('02b_DC_Accelerator_Mix'!$L$2:$L$977,MATCH(G259,'02b_DC_Accelerator_Mix'!$A$2:$A$977,0)),0)</f>
        <v/>
      </c>
      <c r="P259" s="6">
        <f>IFERROR(INDEX('02b_DC_Accelerator_Mix'!$M$2:$M$977,MATCH(G259,'02b_DC_Accelerator_Mix'!$A$2:$A$977,0)),0)</f>
        <v/>
      </c>
      <c r="Q259" s="6">
        <f>IFERROR(INDEX('02b_DC_Accelerator_Mix'!$N$2:$N$977,MATCH(G259,'02b_DC_Accelerator_Mix'!$A$2:$A$977,0)),0)</f>
        <v/>
      </c>
      <c r="R259" s="28">
        <f>H259*I259</f>
        <v/>
      </c>
      <c r="S259" s="28">
        <f>H259*J259</f>
        <v/>
      </c>
      <c r="T259" s="28">
        <f>H259*K259</f>
        <v/>
      </c>
      <c r="U259" s="28">
        <f>H259*L259</f>
        <v/>
      </c>
      <c r="V259" s="28">
        <f>H259*M259</f>
        <v/>
      </c>
      <c r="W259" s="28">
        <f>H259*N259</f>
        <v/>
      </c>
      <c r="X259" s="28">
        <f>H259*O259</f>
        <v/>
      </c>
      <c r="Y259" s="28">
        <f>H259*P259</f>
        <v/>
      </c>
      <c r="Z259" s="28">
        <f>H259*Q259</f>
        <v/>
      </c>
      <c r="AA259" s="28">
        <f>SUM(U259:Z259)</f>
        <v/>
      </c>
      <c r="AB259" s="5">
        <f>IF(COUNTIF('02b_DC_Accelerator_Mix'!$A$2:$A$977,G259)&gt;0,"matched","missing_mix")</f>
        <v/>
      </c>
    </row>
    <row r="260">
      <c r="A260" s="5">
        <f>'02a_DC_Capacity_Alloc'!A260</f>
        <v/>
      </c>
      <c r="B260" s="5">
        <f>'02a_DC_Capacity_Alloc'!B260</f>
        <v/>
      </c>
      <c r="C260" s="5">
        <f>'02a_DC_Capacity_Alloc'!C260</f>
        <v/>
      </c>
      <c r="D260" s="5">
        <f>'02a_DC_Capacity_Alloc'!D260</f>
        <v/>
      </c>
      <c r="E260" s="5">
        <f>'02a_DC_Capacity_Alloc'!E260</f>
        <v/>
      </c>
      <c r="F260" s="5">
        <f>'02a_DC_Capacity_Alloc'!F260</f>
        <v/>
      </c>
      <c r="G260" s="5">
        <f>B260&amp;"|"&amp;E260&amp;"|"&amp;D260</f>
        <v/>
      </c>
      <c r="H260" s="28">
        <f>'02a_DC_Capacity_Alloc'!H260*'02a_DC_Capacity_Alloc'!I260*'02a_DC_Capacity_Alloc'!J260</f>
        <v/>
      </c>
      <c r="I260" s="6">
        <f>IFERROR(INDEX('02b_DC_Accelerator_Mix'!$F$2:$F$977,MATCH(G260,'02b_DC_Accelerator_Mix'!$A$2:$A$977,0)),0)</f>
        <v/>
      </c>
      <c r="J260" s="6">
        <f>IFERROR(INDEX('02b_DC_Accelerator_Mix'!$G$2:$G$977,MATCH(G260,'02b_DC_Accelerator_Mix'!$A$2:$A$977,0)),0)</f>
        <v/>
      </c>
      <c r="K260" s="6">
        <f>IFERROR(INDEX('02b_DC_Accelerator_Mix'!$H$2:$H$977,MATCH(G260,'02b_DC_Accelerator_Mix'!$A$2:$A$977,0)),0)</f>
        <v/>
      </c>
      <c r="L260" s="6">
        <f>IFERROR(INDEX('02b_DC_Accelerator_Mix'!$I$2:$I$977,MATCH(G260,'02b_DC_Accelerator_Mix'!$A$2:$A$977,0)),0)</f>
        <v/>
      </c>
      <c r="M260" s="6">
        <f>IFERROR(INDEX('02b_DC_Accelerator_Mix'!$J$2:$J$977,MATCH(G260,'02b_DC_Accelerator_Mix'!$A$2:$A$977,0)),0)</f>
        <v/>
      </c>
      <c r="N260" s="6">
        <f>IFERROR(INDEX('02b_DC_Accelerator_Mix'!$K$2:$K$977,MATCH(G260,'02b_DC_Accelerator_Mix'!$A$2:$A$977,0)),0)</f>
        <v/>
      </c>
      <c r="O260" s="6">
        <f>IFERROR(INDEX('02b_DC_Accelerator_Mix'!$L$2:$L$977,MATCH(G260,'02b_DC_Accelerator_Mix'!$A$2:$A$977,0)),0)</f>
        <v/>
      </c>
      <c r="P260" s="6">
        <f>IFERROR(INDEX('02b_DC_Accelerator_Mix'!$M$2:$M$977,MATCH(G260,'02b_DC_Accelerator_Mix'!$A$2:$A$977,0)),0)</f>
        <v/>
      </c>
      <c r="Q260" s="6">
        <f>IFERROR(INDEX('02b_DC_Accelerator_Mix'!$N$2:$N$977,MATCH(G260,'02b_DC_Accelerator_Mix'!$A$2:$A$977,0)),0)</f>
        <v/>
      </c>
      <c r="R260" s="28">
        <f>H260*I260</f>
        <v/>
      </c>
      <c r="S260" s="28">
        <f>H260*J260</f>
        <v/>
      </c>
      <c r="T260" s="28">
        <f>H260*K260</f>
        <v/>
      </c>
      <c r="U260" s="28">
        <f>H260*L260</f>
        <v/>
      </c>
      <c r="V260" s="28">
        <f>H260*M260</f>
        <v/>
      </c>
      <c r="W260" s="28">
        <f>H260*N260</f>
        <v/>
      </c>
      <c r="X260" s="28">
        <f>H260*O260</f>
        <v/>
      </c>
      <c r="Y260" s="28">
        <f>H260*P260</f>
        <v/>
      </c>
      <c r="Z260" s="28">
        <f>H260*Q260</f>
        <v/>
      </c>
      <c r="AA260" s="28">
        <f>SUM(U260:Z260)</f>
        <v/>
      </c>
      <c r="AB260" s="5">
        <f>IF(COUNTIF('02b_DC_Accelerator_Mix'!$A$2:$A$977,G260)&gt;0,"matched","missing_mix")</f>
        <v/>
      </c>
    </row>
    <row r="261">
      <c r="A261" s="5">
        <f>'02a_DC_Capacity_Alloc'!A261</f>
        <v/>
      </c>
      <c r="B261" s="5">
        <f>'02a_DC_Capacity_Alloc'!B261</f>
        <v/>
      </c>
      <c r="C261" s="5">
        <f>'02a_DC_Capacity_Alloc'!C261</f>
        <v/>
      </c>
      <c r="D261" s="5">
        <f>'02a_DC_Capacity_Alloc'!D261</f>
        <v/>
      </c>
      <c r="E261" s="5">
        <f>'02a_DC_Capacity_Alloc'!E261</f>
        <v/>
      </c>
      <c r="F261" s="5">
        <f>'02a_DC_Capacity_Alloc'!F261</f>
        <v/>
      </c>
      <c r="G261" s="5">
        <f>B261&amp;"|"&amp;E261&amp;"|"&amp;D261</f>
        <v/>
      </c>
      <c r="H261" s="28">
        <f>'02a_DC_Capacity_Alloc'!H261*'02a_DC_Capacity_Alloc'!I261*'02a_DC_Capacity_Alloc'!J261</f>
        <v/>
      </c>
      <c r="I261" s="6">
        <f>IFERROR(INDEX('02b_DC_Accelerator_Mix'!$F$2:$F$977,MATCH(G261,'02b_DC_Accelerator_Mix'!$A$2:$A$977,0)),0)</f>
        <v/>
      </c>
      <c r="J261" s="6">
        <f>IFERROR(INDEX('02b_DC_Accelerator_Mix'!$G$2:$G$977,MATCH(G261,'02b_DC_Accelerator_Mix'!$A$2:$A$977,0)),0)</f>
        <v/>
      </c>
      <c r="K261" s="6">
        <f>IFERROR(INDEX('02b_DC_Accelerator_Mix'!$H$2:$H$977,MATCH(G261,'02b_DC_Accelerator_Mix'!$A$2:$A$977,0)),0)</f>
        <v/>
      </c>
      <c r="L261" s="6">
        <f>IFERROR(INDEX('02b_DC_Accelerator_Mix'!$I$2:$I$977,MATCH(G261,'02b_DC_Accelerator_Mix'!$A$2:$A$977,0)),0)</f>
        <v/>
      </c>
      <c r="M261" s="6">
        <f>IFERROR(INDEX('02b_DC_Accelerator_Mix'!$J$2:$J$977,MATCH(G261,'02b_DC_Accelerator_Mix'!$A$2:$A$977,0)),0)</f>
        <v/>
      </c>
      <c r="N261" s="6">
        <f>IFERROR(INDEX('02b_DC_Accelerator_Mix'!$K$2:$K$977,MATCH(G261,'02b_DC_Accelerator_Mix'!$A$2:$A$977,0)),0)</f>
        <v/>
      </c>
      <c r="O261" s="6">
        <f>IFERROR(INDEX('02b_DC_Accelerator_Mix'!$L$2:$L$977,MATCH(G261,'02b_DC_Accelerator_Mix'!$A$2:$A$977,0)),0)</f>
        <v/>
      </c>
      <c r="P261" s="6">
        <f>IFERROR(INDEX('02b_DC_Accelerator_Mix'!$M$2:$M$977,MATCH(G261,'02b_DC_Accelerator_Mix'!$A$2:$A$977,0)),0)</f>
        <v/>
      </c>
      <c r="Q261" s="6">
        <f>IFERROR(INDEX('02b_DC_Accelerator_Mix'!$N$2:$N$977,MATCH(G261,'02b_DC_Accelerator_Mix'!$A$2:$A$977,0)),0)</f>
        <v/>
      </c>
      <c r="R261" s="28">
        <f>H261*I261</f>
        <v/>
      </c>
      <c r="S261" s="28">
        <f>H261*J261</f>
        <v/>
      </c>
      <c r="T261" s="28">
        <f>H261*K261</f>
        <v/>
      </c>
      <c r="U261" s="28">
        <f>H261*L261</f>
        <v/>
      </c>
      <c r="V261" s="28">
        <f>H261*M261</f>
        <v/>
      </c>
      <c r="W261" s="28">
        <f>H261*N261</f>
        <v/>
      </c>
      <c r="X261" s="28">
        <f>H261*O261</f>
        <v/>
      </c>
      <c r="Y261" s="28">
        <f>H261*P261</f>
        <v/>
      </c>
      <c r="Z261" s="28">
        <f>H261*Q261</f>
        <v/>
      </c>
      <c r="AA261" s="28">
        <f>SUM(U261:Z261)</f>
        <v/>
      </c>
      <c r="AB261" s="5">
        <f>IF(COUNTIF('02b_DC_Accelerator_Mix'!$A$2:$A$977,G261)&gt;0,"matched","missing_mix")</f>
        <v/>
      </c>
    </row>
    <row r="262">
      <c r="A262" s="5">
        <f>'02a_DC_Capacity_Alloc'!A262</f>
        <v/>
      </c>
      <c r="B262" s="5">
        <f>'02a_DC_Capacity_Alloc'!B262</f>
        <v/>
      </c>
      <c r="C262" s="5">
        <f>'02a_DC_Capacity_Alloc'!C262</f>
        <v/>
      </c>
      <c r="D262" s="5">
        <f>'02a_DC_Capacity_Alloc'!D262</f>
        <v/>
      </c>
      <c r="E262" s="5">
        <f>'02a_DC_Capacity_Alloc'!E262</f>
        <v/>
      </c>
      <c r="F262" s="5">
        <f>'02a_DC_Capacity_Alloc'!F262</f>
        <v/>
      </c>
      <c r="G262" s="5">
        <f>B262&amp;"|"&amp;E262&amp;"|"&amp;D262</f>
        <v/>
      </c>
      <c r="H262" s="28">
        <f>'02a_DC_Capacity_Alloc'!H262*'02a_DC_Capacity_Alloc'!I262*'02a_DC_Capacity_Alloc'!J262</f>
        <v/>
      </c>
      <c r="I262" s="6">
        <f>IFERROR(INDEX('02b_DC_Accelerator_Mix'!$F$2:$F$977,MATCH(G262,'02b_DC_Accelerator_Mix'!$A$2:$A$977,0)),0)</f>
        <v/>
      </c>
      <c r="J262" s="6">
        <f>IFERROR(INDEX('02b_DC_Accelerator_Mix'!$G$2:$G$977,MATCH(G262,'02b_DC_Accelerator_Mix'!$A$2:$A$977,0)),0)</f>
        <v/>
      </c>
      <c r="K262" s="6">
        <f>IFERROR(INDEX('02b_DC_Accelerator_Mix'!$H$2:$H$977,MATCH(G262,'02b_DC_Accelerator_Mix'!$A$2:$A$977,0)),0)</f>
        <v/>
      </c>
      <c r="L262" s="6">
        <f>IFERROR(INDEX('02b_DC_Accelerator_Mix'!$I$2:$I$977,MATCH(G262,'02b_DC_Accelerator_Mix'!$A$2:$A$977,0)),0)</f>
        <v/>
      </c>
      <c r="M262" s="6">
        <f>IFERROR(INDEX('02b_DC_Accelerator_Mix'!$J$2:$J$977,MATCH(G262,'02b_DC_Accelerator_Mix'!$A$2:$A$977,0)),0)</f>
        <v/>
      </c>
      <c r="N262" s="6">
        <f>IFERROR(INDEX('02b_DC_Accelerator_Mix'!$K$2:$K$977,MATCH(G262,'02b_DC_Accelerator_Mix'!$A$2:$A$977,0)),0)</f>
        <v/>
      </c>
      <c r="O262" s="6">
        <f>IFERROR(INDEX('02b_DC_Accelerator_Mix'!$L$2:$L$977,MATCH(G262,'02b_DC_Accelerator_Mix'!$A$2:$A$977,0)),0)</f>
        <v/>
      </c>
      <c r="P262" s="6">
        <f>IFERROR(INDEX('02b_DC_Accelerator_Mix'!$M$2:$M$977,MATCH(G262,'02b_DC_Accelerator_Mix'!$A$2:$A$977,0)),0)</f>
        <v/>
      </c>
      <c r="Q262" s="6">
        <f>IFERROR(INDEX('02b_DC_Accelerator_Mix'!$N$2:$N$977,MATCH(G262,'02b_DC_Accelerator_Mix'!$A$2:$A$977,0)),0)</f>
        <v/>
      </c>
      <c r="R262" s="28">
        <f>H262*I262</f>
        <v/>
      </c>
      <c r="S262" s="28">
        <f>H262*J262</f>
        <v/>
      </c>
      <c r="T262" s="28">
        <f>H262*K262</f>
        <v/>
      </c>
      <c r="U262" s="28">
        <f>H262*L262</f>
        <v/>
      </c>
      <c r="V262" s="28">
        <f>H262*M262</f>
        <v/>
      </c>
      <c r="W262" s="28">
        <f>H262*N262</f>
        <v/>
      </c>
      <c r="X262" s="28">
        <f>H262*O262</f>
        <v/>
      </c>
      <c r="Y262" s="28">
        <f>H262*P262</f>
        <v/>
      </c>
      <c r="Z262" s="28">
        <f>H262*Q262</f>
        <v/>
      </c>
      <c r="AA262" s="28">
        <f>SUM(U262:Z262)</f>
        <v/>
      </c>
      <c r="AB262" s="5">
        <f>IF(COUNTIF('02b_DC_Accelerator_Mix'!$A$2:$A$977,G262)&gt;0,"matched","missing_mix")</f>
        <v/>
      </c>
    </row>
    <row r="263">
      <c r="A263" s="5">
        <f>'02a_DC_Capacity_Alloc'!A263</f>
        <v/>
      </c>
      <c r="B263" s="5">
        <f>'02a_DC_Capacity_Alloc'!B263</f>
        <v/>
      </c>
      <c r="C263" s="5">
        <f>'02a_DC_Capacity_Alloc'!C263</f>
        <v/>
      </c>
      <c r="D263" s="5">
        <f>'02a_DC_Capacity_Alloc'!D263</f>
        <v/>
      </c>
      <c r="E263" s="5">
        <f>'02a_DC_Capacity_Alloc'!E263</f>
        <v/>
      </c>
      <c r="F263" s="5">
        <f>'02a_DC_Capacity_Alloc'!F263</f>
        <v/>
      </c>
      <c r="G263" s="5">
        <f>B263&amp;"|"&amp;E263&amp;"|"&amp;D263</f>
        <v/>
      </c>
      <c r="H263" s="28">
        <f>'02a_DC_Capacity_Alloc'!H263*'02a_DC_Capacity_Alloc'!I263*'02a_DC_Capacity_Alloc'!J263</f>
        <v/>
      </c>
      <c r="I263" s="6">
        <f>IFERROR(INDEX('02b_DC_Accelerator_Mix'!$F$2:$F$977,MATCH(G263,'02b_DC_Accelerator_Mix'!$A$2:$A$977,0)),0)</f>
        <v/>
      </c>
      <c r="J263" s="6">
        <f>IFERROR(INDEX('02b_DC_Accelerator_Mix'!$G$2:$G$977,MATCH(G263,'02b_DC_Accelerator_Mix'!$A$2:$A$977,0)),0)</f>
        <v/>
      </c>
      <c r="K263" s="6">
        <f>IFERROR(INDEX('02b_DC_Accelerator_Mix'!$H$2:$H$977,MATCH(G263,'02b_DC_Accelerator_Mix'!$A$2:$A$977,0)),0)</f>
        <v/>
      </c>
      <c r="L263" s="6">
        <f>IFERROR(INDEX('02b_DC_Accelerator_Mix'!$I$2:$I$977,MATCH(G263,'02b_DC_Accelerator_Mix'!$A$2:$A$977,0)),0)</f>
        <v/>
      </c>
      <c r="M263" s="6">
        <f>IFERROR(INDEX('02b_DC_Accelerator_Mix'!$J$2:$J$977,MATCH(G263,'02b_DC_Accelerator_Mix'!$A$2:$A$977,0)),0)</f>
        <v/>
      </c>
      <c r="N263" s="6">
        <f>IFERROR(INDEX('02b_DC_Accelerator_Mix'!$K$2:$K$977,MATCH(G263,'02b_DC_Accelerator_Mix'!$A$2:$A$977,0)),0)</f>
        <v/>
      </c>
      <c r="O263" s="6">
        <f>IFERROR(INDEX('02b_DC_Accelerator_Mix'!$L$2:$L$977,MATCH(G263,'02b_DC_Accelerator_Mix'!$A$2:$A$977,0)),0)</f>
        <v/>
      </c>
      <c r="P263" s="6">
        <f>IFERROR(INDEX('02b_DC_Accelerator_Mix'!$M$2:$M$977,MATCH(G263,'02b_DC_Accelerator_Mix'!$A$2:$A$977,0)),0)</f>
        <v/>
      </c>
      <c r="Q263" s="6">
        <f>IFERROR(INDEX('02b_DC_Accelerator_Mix'!$N$2:$N$977,MATCH(G263,'02b_DC_Accelerator_Mix'!$A$2:$A$977,0)),0)</f>
        <v/>
      </c>
      <c r="R263" s="28">
        <f>H263*I263</f>
        <v/>
      </c>
      <c r="S263" s="28">
        <f>H263*J263</f>
        <v/>
      </c>
      <c r="T263" s="28">
        <f>H263*K263</f>
        <v/>
      </c>
      <c r="U263" s="28">
        <f>H263*L263</f>
        <v/>
      </c>
      <c r="V263" s="28">
        <f>H263*M263</f>
        <v/>
      </c>
      <c r="W263" s="28">
        <f>H263*N263</f>
        <v/>
      </c>
      <c r="X263" s="28">
        <f>H263*O263</f>
        <v/>
      </c>
      <c r="Y263" s="28">
        <f>H263*P263</f>
        <v/>
      </c>
      <c r="Z263" s="28">
        <f>H263*Q263</f>
        <v/>
      </c>
      <c r="AA263" s="28">
        <f>SUM(U263:Z263)</f>
        <v/>
      </c>
      <c r="AB263" s="5">
        <f>IF(COUNTIF('02b_DC_Accelerator_Mix'!$A$2:$A$977,G263)&gt;0,"matched","missing_mix")</f>
        <v/>
      </c>
    </row>
    <row r="264">
      <c r="A264" s="5">
        <f>'02a_DC_Capacity_Alloc'!A264</f>
        <v/>
      </c>
      <c r="B264" s="5">
        <f>'02a_DC_Capacity_Alloc'!B264</f>
        <v/>
      </c>
      <c r="C264" s="5">
        <f>'02a_DC_Capacity_Alloc'!C264</f>
        <v/>
      </c>
      <c r="D264" s="5">
        <f>'02a_DC_Capacity_Alloc'!D264</f>
        <v/>
      </c>
      <c r="E264" s="5">
        <f>'02a_DC_Capacity_Alloc'!E264</f>
        <v/>
      </c>
      <c r="F264" s="5">
        <f>'02a_DC_Capacity_Alloc'!F264</f>
        <v/>
      </c>
      <c r="G264" s="5">
        <f>B264&amp;"|"&amp;E264&amp;"|"&amp;D264</f>
        <v/>
      </c>
      <c r="H264" s="28">
        <f>'02a_DC_Capacity_Alloc'!H264*'02a_DC_Capacity_Alloc'!I264*'02a_DC_Capacity_Alloc'!J264</f>
        <v/>
      </c>
      <c r="I264" s="6">
        <f>IFERROR(INDEX('02b_DC_Accelerator_Mix'!$F$2:$F$977,MATCH(G264,'02b_DC_Accelerator_Mix'!$A$2:$A$977,0)),0)</f>
        <v/>
      </c>
      <c r="J264" s="6">
        <f>IFERROR(INDEX('02b_DC_Accelerator_Mix'!$G$2:$G$977,MATCH(G264,'02b_DC_Accelerator_Mix'!$A$2:$A$977,0)),0)</f>
        <v/>
      </c>
      <c r="K264" s="6">
        <f>IFERROR(INDEX('02b_DC_Accelerator_Mix'!$H$2:$H$977,MATCH(G264,'02b_DC_Accelerator_Mix'!$A$2:$A$977,0)),0)</f>
        <v/>
      </c>
      <c r="L264" s="6">
        <f>IFERROR(INDEX('02b_DC_Accelerator_Mix'!$I$2:$I$977,MATCH(G264,'02b_DC_Accelerator_Mix'!$A$2:$A$977,0)),0)</f>
        <v/>
      </c>
      <c r="M264" s="6">
        <f>IFERROR(INDEX('02b_DC_Accelerator_Mix'!$J$2:$J$977,MATCH(G264,'02b_DC_Accelerator_Mix'!$A$2:$A$977,0)),0)</f>
        <v/>
      </c>
      <c r="N264" s="6">
        <f>IFERROR(INDEX('02b_DC_Accelerator_Mix'!$K$2:$K$977,MATCH(G264,'02b_DC_Accelerator_Mix'!$A$2:$A$977,0)),0)</f>
        <v/>
      </c>
      <c r="O264" s="6">
        <f>IFERROR(INDEX('02b_DC_Accelerator_Mix'!$L$2:$L$977,MATCH(G264,'02b_DC_Accelerator_Mix'!$A$2:$A$977,0)),0)</f>
        <v/>
      </c>
      <c r="P264" s="6">
        <f>IFERROR(INDEX('02b_DC_Accelerator_Mix'!$M$2:$M$977,MATCH(G264,'02b_DC_Accelerator_Mix'!$A$2:$A$977,0)),0)</f>
        <v/>
      </c>
      <c r="Q264" s="6">
        <f>IFERROR(INDEX('02b_DC_Accelerator_Mix'!$N$2:$N$977,MATCH(G264,'02b_DC_Accelerator_Mix'!$A$2:$A$977,0)),0)</f>
        <v/>
      </c>
      <c r="R264" s="28">
        <f>H264*I264</f>
        <v/>
      </c>
      <c r="S264" s="28">
        <f>H264*J264</f>
        <v/>
      </c>
      <c r="T264" s="28">
        <f>H264*K264</f>
        <v/>
      </c>
      <c r="U264" s="28">
        <f>H264*L264</f>
        <v/>
      </c>
      <c r="V264" s="28">
        <f>H264*M264</f>
        <v/>
      </c>
      <c r="W264" s="28">
        <f>H264*N264</f>
        <v/>
      </c>
      <c r="X264" s="28">
        <f>H264*O264</f>
        <v/>
      </c>
      <c r="Y264" s="28">
        <f>H264*P264</f>
        <v/>
      </c>
      <c r="Z264" s="28">
        <f>H264*Q264</f>
        <v/>
      </c>
      <c r="AA264" s="28">
        <f>SUM(U264:Z264)</f>
        <v/>
      </c>
      <c r="AB264" s="5">
        <f>IF(COUNTIF('02b_DC_Accelerator_Mix'!$A$2:$A$977,G264)&gt;0,"matched","missing_mix")</f>
        <v/>
      </c>
    </row>
    <row r="265">
      <c r="A265" s="5">
        <f>'02a_DC_Capacity_Alloc'!A265</f>
        <v/>
      </c>
      <c r="B265" s="5">
        <f>'02a_DC_Capacity_Alloc'!B265</f>
        <v/>
      </c>
      <c r="C265" s="5">
        <f>'02a_DC_Capacity_Alloc'!C265</f>
        <v/>
      </c>
      <c r="D265" s="5">
        <f>'02a_DC_Capacity_Alloc'!D265</f>
        <v/>
      </c>
      <c r="E265" s="5">
        <f>'02a_DC_Capacity_Alloc'!E265</f>
        <v/>
      </c>
      <c r="F265" s="5">
        <f>'02a_DC_Capacity_Alloc'!F265</f>
        <v/>
      </c>
      <c r="G265" s="5">
        <f>B265&amp;"|"&amp;E265&amp;"|"&amp;D265</f>
        <v/>
      </c>
      <c r="H265" s="28">
        <f>'02a_DC_Capacity_Alloc'!H265*'02a_DC_Capacity_Alloc'!I265*'02a_DC_Capacity_Alloc'!J265</f>
        <v/>
      </c>
      <c r="I265" s="6">
        <f>IFERROR(INDEX('02b_DC_Accelerator_Mix'!$F$2:$F$977,MATCH(G265,'02b_DC_Accelerator_Mix'!$A$2:$A$977,0)),0)</f>
        <v/>
      </c>
      <c r="J265" s="6">
        <f>IFERROR(INDEX('02b_DC_Accelerator_Mix'!$G$2:$G$977,MATCH(G265,'02b_DC_Accelerator_Mix'!$A$2:$A$977,0)),0)</f>
        <v/>
      </c>
      <c r="K265" s="6">
        <f>IFERROR(INDEX('02b_DC_Accelerator_Mix'!$H$2:$H$977,MATCH(G265,'02b_DC_Accelerator_Mix'!$A$2:$A$977,0)),0)</f>
        <v/>
      </c>
      <c r="L265" s="6">
        <f>IFERROR(INDEX('02b_DC_Accelerator_Mix'!$I$2:$I$977,MATCH(G265,'02b_DC_Accelerator_Mix'!$A$2:$A$977,0)),0)</f>
        <v/>
      </c>
      <c r="M265" s="6">
        <f>IFERROR(INDEX('02b_DC_Accelerator_Mix'!$J$2:$J$977,MATCH(G265,'02b_DC_Accelerator_Mix'!$A$2:$A$977,0)),0)</f>
        <v/>
      </c>
      <c r="N265" s="6">
        <f>IFERROR(INDEX('02b_DC_Accelerator_Mix'!$K$2:$K$977,MATCH(G265,'02b_DC_Accelerator_Mix'!$A$2:$A$977,0)),0)</f>
        <v/>
      </c>
      <c r="O265" s="6">
        <f>IFERROR(INDEX('02b_DC_Accelerator_Mix'!$L$2:$L$977,MATCH(G265,'02b_DC_Accelerator_Mix'!$A$2:$A$977,0)),0)</f>
        <v/>
      </c>
      <c r="P265" s="6">
        <f>IFERROR(INDEX('02b_DC_Accelerator_Mix'!$M$2:$M$977,MATCH(G265,'02b_DC_Accelerator_Mix'!$A$2:$A$977,0)),0)</f>
        <v/>
      </c>
      <c r="Q265" s="6">
        <f>IFERROR(INDEX('02b_DC_Accelerator_Mix'!$N$2:$N$977,MATCH(G265,'02b_DC_Accelerator_Mix'!$A$2:$A$977,0)),0)</f>
        <v/>
      </c>
      <c r="R265" s="28">
        <f>H265*I265</f>
        <v/>
      </c>
      <c r="S265" s="28">
        <f>H265*J265</f>
        <v/>
      </c>
      <c r="T265" s="28">
        <f>H265*K265</f>
        <v/>
      </c>
      <c r="U265" s="28">
        <f>H265*L265</f>
        <v/>
      </c>
      <c r="V265" s="28">
        <f>H265*M265</f>
        <v/>
      </c>
      <c r="W265" s="28">
        <f>H265*N265</f>
        <v/>
      </c>
      <c r="X265" s="28">
        <f>H265*O265</f>
        <v/>
      </c>
      <c r="Y265" s="28">
        <f>H265*P265</f>
        <v/>
      </c>
      <c r="Z265" s="28">
        <f>H265*Q265</f>
        <v/>
      </c>
      <c r="AA265" s="28">
        <f>SUM(U265:Z265)</f>
        <v/>
      </c>
      <c r="AB265" s="5">
        <f>IF(COUNTIF('02b_DC_Accelerator_Mix'!$A$2:$A$977,G265)&gt;0,"matched","missing_mix")</f>
        <v/>
      </c>
    </row>
    <row r="266">
      <c r="A266" s="5">
        <f>'02a_DC_Capacity_Alloc'!A266</f>
        <v/>
      </c>
      <c r="B266" s="5">
        <f>'02a_DC_Capacity_Alloc'!B266</f>
        <v/>
      </c>
      <c r="C266" s="5">
        <f>'02a_DC_Capacity_Alloc'!C266</f>
        <v/>
      </c>
      <c r="D266" s="5">
        <f>'02a_DC_Capacity_Alloc'!D266</f>
        <v/>
      </c>
      <c r="E266" s="5">
        <f>'02a_DC_Capacity_Alloc'!E266</f>
        <v/>
      </c>
      <c r="F266" s="5">
        <f>'02a_DC_Capacity_Alloc'!F266</f>
        <v/>
      </c>
      <c r="G266" s="5">
        <f>B266&amp;"|"&amp;E266&amp;"|"&amp;D266</f>
        <v/>
      </c>
      <c r="H266" s="28">
        <f>'02a_DC_Capacity_Alloc'!H266*'02a_DC_Capacity_Alloc'!I266*'02a_DC_Capacity_Alloc'!J266</f>
        <v/>
      </c>
      <c r="I266" s="6">
        <f>IFERROR(INDEX('02b_DC_Accelerator_Mix'!$F$2:$F$977,MATCH(G266,'02b_DC_Accelerator_Mix'!$A$2:$A$977,0)),0)</f>
        <v/>
      </c>
      <c r="J266" s="6">
        <f>IFERROR(INDEX('02b_DC_Accelerator_Mix'!$G$2:$G$977,MATCH(G266,'02b_DC_Accelerator_Mix'!$A$2:$A$977,0)),0)</f>
        <v/>
      </c>
      <c r="K266" s="6">
        <f>IFERROR(INDEX('02b_DC_Accelerator_Mix'!$H$2:$H$977,MATCH(G266,'02b_DC_Accelerator_Mix'!$A$2:$A$977,0)),0)</f>
        <v/>
      </c>
      <c r="L266" s="6">
        <f>IFERROR(INDEX('02b_DC_Accelerator_Mix'!$I$2:$I$977,MATCH(G266,'02b_DC_Accelerator_Mix'!$A$2:$A$977,0)),0)</f>
        <v/>
      </c>
      <c r="M266" s="6">
        <f>IFERROR(INDEX('02b_DC_Accelerator_Mix'!$J$2:$J$977,MATCH(G266,'02b_DC_Accelerator_Mix'!$A$2:$A$977,0)),0)</f>
        <v/>
      </c>
      <c r="N266" s="6">
        <f>IFERROR(INDEX('02b_DC_Accelerator_Mix'!$K$2:$K$977,MATCH(G266,'02b_DC_Accelerator_Mix'!$A$2:$A$977,0)),0)</f>
        <v/>
      </c>
      <c r="O266" s="6">
        <f>IFERROR(INDEX('02b_DC_Accelerator_Mix'!$L$2:$L$977,MATCH(G266,'02b_DC_Accelerator_Mix'!$A$2:$A$977,0)),0)</f>
        <v/>
      </c>
      <c r="P266" s="6">
        <f>IFERROR(INDEX('02b_DC_Accelerator_Mix'!$M$2:$M$977,MATCH(G266,'02b_DC_Accelerator_Mix'!$A$2:$A$977,0)),0)</f>
        <v/>
      </c>
      <c r="Q266" s="6">
        <f>IFERROR(INDEX('02b_DC_Accelerator_Mix'!$N$2:$N$977,MATCH(G266,'02b_DC_Accelerator_Mix'!$A$2:$A$977,0)),0)</f>
        <v/>
      </c>
      <c r="R266" s="28">
        <f>H266*I266</f>
        <v/>
      </c>
      <c r="S266" s="28">
        <f>H266*J266</f>
        <v/>
      </c>
      <c r="T266" s="28">
        <f>H266*K266</f>
        <v/>
      </c>
      <c r="U266" s="28">
        <f>H266*L266</f>
        <v/>
      </c>
      <c r="V266" s="28">
        <f>H266*M266</f>
        <v/>
      </c>
      <c r="W266" s="28">
        <f>H266*N266</f>
        <v/>
      </c>
      <c r="X266" s="28">
        <f>H266*O266</f>
        <v/>
      </c>
      <c r="Y266" s="28">
        <f>H266*P266</f>
        <v/>
      </c>
      <c r="Z266" s="28">
        <f>H266*Q266</f>
        <v/>
      </c>
      <c r="AA266" s="28">
        <f>SUM(U266:Z266)</f>
        <v/>
      </c>
      <c r="AB266" s="5">
        <f>IF(COUNTIF('02b_DC_Accelerator_Mix'!$A$2:$A$977,G266)&gt;0,"matched","missing_mix")</f>
        <v/>
      </c>
    </row>
    <row r="267">
      <c r="A267" s="5">
        <f>'02a_DC_Capacity_Alloc'!A267</f>
        <v/>
      </c>
      <c r="B267" s="5">
        <f>'02a_DC_Capacity_Alloc'!B267</f>
        <v/>
      </c>
      <c r="C267" s="5">
        <f>'02a_DC_Capacity_Alloc'!C267</f>
        <v/>
      </c>
      <c r="D267" s="5">
        <f>'02a_DC_Capacity_Alloc'!D267</f>
        <v/>
      </c>
      <c r="E267" s="5">
        <f>'02a_DC_Capacity_Alloc'!E267</f>
        <v/>
      </c>
      <c r="F267" s="5">
        <f>'02a_DC_Capacity_Alloc'!F267</f>
        <v/>
      </c>
      <c r="G267" s="5">
        <f>B267&amp;"|"&amp;E267&amp;"|"&amp;D267</f>
        <v/>
      </c>
      <c r="H267" s="28">
        <f>'02a_DC_Capacity_Alloc'!H267*'02a_DC_Capacity_Alloc'!I267*'02a_DC_Capacity_Alloc'!J267</f>
        <v/>
      </c>
      <c r="I267" s="6">
        <f>IFERROR(INDEX('02b_DC_Accelerator_Mix'!$F$2:$F$977,MATCH(G267,'02b_DC_Accelerator_Mix'!$A$2:$A$977,0)),0)</f>
        <v/>
      </c>
      <c r="J267" s="6">
        <f>IFERROR(INDEX('02b_DC_Accelerator_Mix'!$G$2:$G$977,MATCH(G267,'02b_DC_Accelerator_Mix'!$A$2:$A$977,0)),0)</f>
        <v/>
      </c>
      <c r="K267" s="6">
        <f>IFERROR(INDEX('02b_DC_Accelerator_Mix'!$H$2:$H$977,MATCH(G267,'02b_DC_Accelerator_Mix'!$A$2:$A$977,0)),0)</f>
        <v/>
      </c>
      <c r="L267" s="6">
        <f>IFERROR(INDEX('02b_DC_Accelerator_Mix'!$I$2:$I$977,MATCH(G267,'02b_DC_Accelerator_Mix'!$A$2:$A$977,0)),0)</f>
        <v/>
      </c>
      <c r="M267" s="6">
        <f>IFERROR(INDEX('02b_DC_Accelerator_Mix'!$J$2:$J$977,MATCH(G267,'02b_DC_Accelerator_Mix'!$A$2:$A$977,0)),0)</f>
        <v/>
      </c>
      <c r="N267" s="6">
        <f>IFERROR(INDEX('02b_DC_Accelerator_Mix'!$K$2:$K$977,MATCH(G267,'02b_DC_Accelerator_Mix'!$A$2:$A$977,0)),0)</f>
        <v/>
      </c>
      <c r="O267" s="6">
        <f>IFERROR(INDEX('02b_DC_Accelerator_Mix'!$L$2:$L$977,MATCH(G267,'02b_DC_Accelerator_Mix'!$A$2:$A$977,0)),0)</f>
        <v/>
      </c>
      <c r="P267" s="6">
        <f>IFERROR(INDEX('02b_DC_Accelerator_Mix'!$M$2:$M$977,MATCH(G267,'02b_DC_Accelerator_Mix'!$A$2:$A$977,0)),0)</f>
        <v/>
      </c>
      <c r="Q267" s="6">
        <f>IFERROR(INDEX('02b_DC_Accelerator_Mix'!$N$2:$N$977,MATCH(G267,'02b_DC_Accelerator_Mix'!$A$2:$A$977,0)),0)</f>
        <v/>
      </c>
      <c r="R267" s="28">
        <f>H267*I267</f>
        <v/>
      </c>
      <c r="S267" s="28">
        <f>H267*J267</f>
        <v/>
      </c>
      <c r="T267" s="28">
        <f>H267*K267</f>
        <v/>
      </c>
      <c r="U267" s="28">
        <f>H267*L267</f>
        <v/>
      </c>
      <c r="V267" s="28">
        <f>H267*M267</f>
        <v/>
      </c>
      <c r="W267" s="28">
        <f>H267*N267</f>
        <v/>
      </c>
      <c r="X267" s="28">
        <f>H267*O267</f>
        <v/>
      </c>
      <c r="Y267" s="28">
        <f>H267*P267</f>
        <v/>
      </c>
      <c r="Z267" s="28">
        <f>H267*Q267</f>
        <v/>
      </c>
      <c r="AA267" s="28">
        <f>SUM(U267:Z267)</f>
        <v/>
      </c>
      <c r="AB267" s="5">
        <f>IF(COUNTIF('02b_DC_Accelerator_Mix'!$A$2:$A$977,G267)&gt;0,"matched","missing_mix")</f>
        <v/>
      </c>
    </row>
    <row r="268">
      <c r="A268" s="5">
        <f>'02a_DC_Capacity_Alloc'!A268</f>
        <v/>
      </c>
      <c r="B268" s="5">
        <f>'02a_DC_Capacity_Alloc'!B268</f>
        <v/>
      </c>
      <c r="C268" s="5">
        <f>'02a_DC_Capacity_Alloc'!C268</f>
        <v/>
      </c>
      <c r="D268" s="5">
        <f>'02a_DC_Capacity_Alloc'!D268</f>
        <v/>
      </c>
      <c r="E268" s="5">
        <f>'02a_DC_Capacity_Alloc'!E268</f>
        <v/>
      </c>
      <c r="F268" s="5">
        <f>'02a_DC_Capacity_Alloc'!F268</f>
        <v/>
      </c>
      <c r="G268" s="5">
        <f>B268&amp;"|"&amp;E268&amp;"|"&amp;D268</f>
        <v/>
      </c>
      <c r="H268" s="28">
        <f>'02a_DC_Capacity_Alloc'!H268*'02a_DC_Capacity_Alloc'!I268*'02a_DC_Capacity_Alloc'!J268</f>
        <v/>
      </c>
      <c r="I268" s="6">
        <f>IFERROR(INDEX('02b_DC_Accelerator_Mix'!$F$2:$F$977,MATCH(G268,'02b_DC_Accelerator_Mix'!$A$2:$A$977,0)),0)</f>
        <v/>
      </c>
      <c r="J268" s="6">
        <f>IFERROR(INDEX('02b_DC_Accelerator_Mix'!$G$2:$G$977,MATCH(G268,'02b_DC_Accelerator_Mix'!$A$2:$A$977,0)),0)</f>
        <v/>
      </c>
      <c r="K268" s="6">
        <f>IFERROR(INDEX('02b_DC_Accelerator_Mix'!$H$2:$H$977,MATCH(G268,'02b_DC_Accelerator_Mix'!$A$2:$A$977,0)),0)</f>
        <v/>
      </c>
      <c r="L268" s="6">
        <f>IFERROR(INDEX('02b_DC_Accelerator_Mix'!$I$2:$I$977,MATCH(G268,'02b_DC_Accelerator_Mix'!$A$2:$A$977,0)),0)</f>
        <v/>
      </c>
      <c r="M268" s="6">
        <f>IFERROR(INDEX('02b_DC_Accelerator_Mix'!$J$2:$J$977,MATCH(G268,'02b_DC_Accelerator_Mix'!$A$2:$A$977,0)),0)</f>
        <v/>
      </c>
      <c r="N268" s="6">
        <f>IFERROR(INDEX('02b_DC_Accelerator_Mix'!$K$2:$K$977,MATCH(G268,'02b_DC_Accelerator_Mix'!$A$2:$A$977,0)),0)</f>
        <v/>
      </c>
      <c r="O268" s="6">
        <f>IFERROR(INDEX('02b_DC_Accelerator_Mix'!$L$2:$L$977,MATCH(G268,'02b_DC_Accelerator_Mix'!$A$2:$A$977,0)),0)</f>
        <v/>
      </c>
      <c r="P268" s="6">
        <f>IFERROR(INDEX('02b_DC_Accelerator_Mix'!$M$2:$M$977,MATCH(G268,'02b_DC_Accelerator_Mix'!$A$2:$A$977,0)),0)</f>
        <v/>
      </c>
      <c r="Q268" s="6">
        <f>IFERROR(INDEX('02b_DC_Accelerator_Mix'!$N$2:$N$977,MATCH(G268,'02b_DC_Accelerator_Mix'!$A$2:$A$977,0)),0)</f>
        <v/>
      </c>
      <c r="R268" s="28">
        <f>H268*I268</f>
        <v/>
      </c>
      <c r="S268" s="28">
        <f>H268*J268</f>
        <v/>
      </c>
      <c r="T268" s="28">
        <f>H268*K268</f>
        <v/>
      </c>
      <c r="U268" s="28">
        <f>H268*L268</f>
        <v/>
      </c>
      <c r="V268" s="28">
        <f>H268*M268</f>
        <v/>
      </c>
      <c r="W268" s="28">
        <f>H268*N268</f>
        <v/>
      </c>
      <c r="X268" s="28">
        <f>H268*O268</f>
        <v/>
      </c>
      <c r="Y268" s="28">
        <f>H268*P268</f>
        <v/>
      </c>
      <c r="Z268" s="28">
        <f>H268*Q268</f>
        <v/>
      </c>
      <c r="AA268" s="28">
        <f>SUM(U268:Z268)</f>
        <v/>
      </c>
      <c r="AB268" s="5">
        <f>IF(COUNTIF('02b_DC_Accelerator_Mix'!$A$2:$A$977,G268)&gt;0,"matched","missing_mix")</f>
        <v/>
      </c>
    </row>
    <row r="269">
      <c r="A269" s="5">
        <f>'02a_DC_Capacity_Alloc'!A269</f>
        <v/>
      </c>
      <c r="B269" s="5">
        <f>'02a_DC_Capacity_Alloc'!B269</f>
        <v/>
      </c>
      <c r="C269" s="5">
        <f>'02a_DC_Capacity_Alloc'!C269</f>
        <v/>
      </c>
      <c r="D269" s="5">
        <f>'02a_DC_Capacity_Alloc'!D269</f>
        <v/>
      </c>
      <c r="E269" s="5">
        <f>'02a_DC_Capacity_Alloc'!E269</f>
        <v/>
      </c>
      <c r="F269" s="5">
        <f>'02a_DC_Capacity_Alloc'!F269</f>
        <v/>
      </c>
      <c r="G269" s="5">
        <f>B269&amp;"|"&amp;E269&amp;"|"&amp;D269</f>
        <v/>
      </c>
      <c r="H269" s="28">
        <f>'02a_DC_Capacity_Alloc'!H269*'02a_DC_Capacity_Alloc'!I269*'02a_DC_Capacity_Alloc'!J269</f>
        <v/>
      </c>
      <c r="I269" s="6">
        <f>IFERROR(INDEX('02b_DC_Accelerator_Mix'!$F$2:$F$977,MATCH(G269,'02b_DC_Accelerator_Mix'!$A$2:$A$977,0)),0)</f>
        <v/>
      </c>
      <c r="J269" s="6">
        <f>IFERROR(INDEX('02b_DC_Accelerator_Mix'!$G$2:$G$977,MATCH(G269,'02b_DC_Accelerator_Mix'!$A$2:$A$977,0)),0)</f>
        <v/>
      </c>
      <c r="K269" s="6">
        <f>IFERROR(INDEX('02b_DC_Accelerator_Mix'!$H$2:$H$977,MATCH(G269,'02b_DC_Accelerator_Mix'!$A$2:$A$977,0)),0)</f>
        <v/>
      </c>
      <c r="L269" s="6">
        <f>IFERROR(INDEX('02b_DC_Accelerator_Mix'!$I$2:$I$977,MATCH(G269,'02b_DC_Accelerator_Mix'!$A$2:$A$977,0)),0)</f>
        <v/>
      </c>
      <c r="M269" s="6">
        <f>IFERROR(INDEX('02b_DC_Accelerator_Mix'!$J$2:$J$977,MATCH(G269,'02b_DC_Accelerator_Mix'!$A$2:$A$977,0)),0)</f>
        <v/>
      </c>
      <c r="N269" s="6">
        <f>IFERROR(INDEX('02b_DC_Accelerator_Mix'!$K$2:$K$977,MATCH(G269,'02b_DC_Accelerator_Mix'!$A$2:$A$977,0)),0)</f>
        <v/>
      </c>
      <c r="O269" s="6">
        <f>IFERROR(INDEX('02b_DC_Accelerator_Mix'!$L$2:$L$977,MATCH(G269,'02b_DC_Accelerator_Mix'!$A$2:$A$977,0)),0)</f>
        <v/>
      </c>
      <c r="P269" s="6">
        <f>IFERROR(INDEX('02b_DC_Accelerator_Mix'!$M$2:$M$977,MATCH(G269,'02b_DC_Accelerator_Mix'!$A$2:$A$977,0)),0)</f>
        <v/>
      </c>
      <c r="Q269" s="6">
        <f>IFERROR(INDEX('02b_DC_Accelerator_Mix'!$N$2:$N$977,MATCH(G269,'02b_DC_Accelerator_Mix'!$A$2:$A$977,0)),0)</f>
        <v/>
      </c>
      <c r="R269" s="28">
        <f>H269*I269</f>
        <v/>
      </c>
      <c r="S269" s="28">
        <f>H269*J269</f>
        <v/>
      </c>
      <c r="T269" s="28">
        <f>H269*K269</f>
        <v/>
      </c>
      <c r="U269" s="28">
        <f>H269*L269</f>
        <v/>
      </c>
      <c r="V269" s="28">
        <f>H269*M269</f>
        <v/>
      </c>
      <c r="W269" s="28">
        <f>H269*N269</f>
        <v/>
      </c>
      <c r="X269" s="28">
        <f>H269*O269</f>
        <v/>
      </c>
      <c r="Y269" s="28">
        <f>H269*P269</f>
        <v/>
      </c>
      <c r="Z269" s="28">
        <f>H269*Q269</f>
        <v/>
      </c>
      <c r="AA269" s="28">
        <f>SUM(U269:Z269)</f>
        <v/>
      </c>
      <c r="AB269" s="5">
        <f>IF(COUNTIF('02b_DC_Accelerator_Mix'!$A$2:$A$977,G269)&gt;0,"matched","missing_mix")</f>
        <v/>
      </c>
    </row>
    <row r="270">
      <c r="A270" s="5">
        <f>'02a_DC_Capacity_Alloc'!A270</f>
        <v/>
      </c>
      <c r="B270" s="5">
        <f>'02a_DC_Capacity_Alloc'!B270</f>
        <v/>
      </c>
      <c r="C270" s="5">
        <f>'02a_DC_Capacity_Alloc'!C270</f>
        <v/>
      </c>
      <c r="D270" s="5">
        <f>'02a_DC_Capacity_Alloc'!D270</f>
        <v/>
      </c>
      <c r="E270" s="5">
        <f>'02a_DC_Capacity_Alloc'!E270</f>
        <v/>
      </c>
      <c r="F270" s="5">
        <f>'02a_DC_Capacity_Alloc'!F270</f>
        <v/>
      </c>
      <c r="G270" s="5">
        <f>B270&amp;"|"&amp;E270&amp;"|"&amp;D270</f>
        <v/>
      </c>
      <c r="H270" s="28">
        <f>'02a_DC_Capacity_Alloc'!H270*'02a_DC_Capacity_Alloc'!I270*'02a_DC_Capacity_Alloc'!J270</f>
        <v/>
      </c>
      <c r="I270" s="6">
        <f>IFERROR(INDEX('02b_DC_Accelerator_Mix'!$F$2:$F$977,MATCH(G270,'02b_DC_Accelerator_Mix'!$A$2:$A$977,0)),0)</f>
        <v/>
      </c>
      <c r="J270" s="6">
        <f>IFERROR(INDEX('02b_DC_Accelerator_Mix'!$G$2:$G$977,MATCH(G270,'02b_DC_Accelerator_Mix'!$A$2:$A$977,0)),0)</f>
        <v/>
      </c>
      <c r="K270" s="6">
        <f>IFERROR(INDEX('02b_DC_Accelerator_Mix'!$H$2:$H$977,MATCH(G270,'02b_DC_Accelerator_Mix'!$A$2:$A$977,0)),0)</f>
        <v/>
      </c>
      <c r="L270" s="6">
        <f>IFERROR(INDEX('02b_DC_Accelerator_Mix'!$I$2:$I$977,MATCH(G270,'02b_DC_Accelerator_Mix'!$A$2:$A$977,0)),0)</f>
        <v/>
      </c>
      <c r="M270" s="6">
        <f>IFERROR(INDEX('02b_DC_Accelerator_Mix'!$J$2:$J$977,MATCH(G270,'02b_DC_Accelerator_Mix'!$A$2:$A$977,0)),0)</f>
        <v/>
      </c>
      <c r="N270" s="6">
        <f>IFERROR(INDEX('02b_DC_Accelerator_Mix'!$K$2:$K$977,MATCH(G270,'02b_DC_Accelerator_Mix'!$A$2:$A$977,0)),0)</f>
        <v/>
      </c>
      <c r="O270" s="6">
        <f>IFERROR(INDEX('02b_DC_Accelerator_Mix'!$L$2:$L$977,MATCH(G270,'02b_DC_Accelerator_Mix'!$A$2:$A$977,0)),0)</f>
        <v/>
      </c>
      <c r="P270" s="6">
        <f>IFERROR(INDEX('02b_DC_Accelerator_Mix'!$M$2:$M$977,MATCH(G270,'02b_DC_Accelerator_Mix'!$A$2:$A$977,0)),0)</f>
        <v/>
      </c>
      <c r="Q270" s="6">
        <f>IFERROR(INDEX('02b_DC_Accelerator_Mix'!$N$2:$N$977,MATCH(G270,'02b_DC_Accelerator_Mix'!$A$2:$A$977,0)),0)</f>
        <v/>
      </c>
      <c r="R270" s="28">
        <f>H270*I270</f>
        <v/>
      </c>
      <c r="S270" s="28">
        <f>H270*J270</f>
        <v/>
      </c>
      <c r="T270" s="28">
        <f>H270*K270</f>
        <v/>
      </c>
      <c r="U270" s="28">
        <f>H270*L270</f>
        <v/>
      </c>
      <c r="V270" s="28">
        <f>H270*M270</f>
        <v/>
      </c>
      <c r="W270" s="28">
        <f>H270*N270</f>
        <v/>
      </c>
      <c r="X270" s="28">
        <f>H270*O270</f>
        <v/>
      </c>
      <c r="Y270" s="28">
        <f>H270*P270</f>
        <v/>
      </c>
      <c r="Z270" s="28">
        <f>H270*Q270</f>
        <v/>
      </c>
      <c r="AA270" s="28">
        <f>SUM(U270:Z270)</f>
        <v/>
      </c>
      <c r="AB270" s="5">
        <f>IF(COUNTIF('02b_DC_Accelerator_Mix'!$A$2:$A$977,G270)&gt;0,"matched","missing_mix")</f>
        <v/>
      </c>
    </row>
    <row r="271">
      <c r="A271" s="5">
        <f>'02a_DC_Capacity_Alloc'!A271</f>
        <v/>
      </c>
      <c r="B271" s="5">
        <f>'02a_DC_Capacity_Alloc'!B271</f>
        <v/>
      </c>
      <c r="C271" s="5">
        <f>'02a_DC_Capacity_Alloc'!C271</f>
        <v/>
      </c>
      <c r="D271" s="5">
        <f>'02a_DC_Capacity_Alloc'!D271</f>
        <v/>
      </c>
      <c r="E271" s="5">
        <f>'02a_DC_Capacity_Alloc'!E271</f>
        <v/>
      </c>
      <c r="F271" s="5">
        <f>'02a_DC_Capacity_Alloc'!F271</f>
        <v/>
      </c>
      <c r="G271" s="5">
        <f>B271&amp;"|"&amp;E271&amp;"|"&amp;D271</f>
        <v/>
      </c>
      <c r="H271" s="28">
        <f>'02a_DC_Capacity_Alloc'!H271*'02a_DC_Capacity_Alloc'!I271*'02a_DC_Capacity_Alloc'!J271</f>
        <v/>
      </c>
      <c r="I271" s="6">
        <f>IFERROR(INDEX('02b_DC_Accelerator_Mix'!$F$2:$F$977,MATCH(G271,'02b_DC_Accelerator_Mix'!$A$2:$A$977,0)),0)</f>
        <v/>
      </c>
      <c r="J271" s="6">
        <f>IFERROR(INDEX('02b_DC_Accelerator_Mix'!$G$2:$G$977,MATCH(G271,'02b_DC_Accelerator_Mix'!$A$2:$A$977,0)),0)</f>
        <v/>
      </c>
      <c r="K271" s="6">
        <f>IFERROR(INDEX('02b_DC_Accelerator_Mix'!$H$2:$H$977,MATCH(G271,'02b_DC_Accelerator_Mix'!$A$2:$A$977,0)),0)</f>
        <v/>
      </c>
      <c r="L271" s="6">
        <f>IFERROR(INDEX('02b_DC_Accelerator_Mix'!$I$2:$I$977,MATCH(G271,'02b_DC_Accelerator_Mix'!$A$2:$A$977,0)),0)</f>
        <v/>
      </c>
      <c r="M271" s="6">
        <f>IFERROR(INDEX('02b_DC_Accelerator_Mix'!$J$2:$J$977,MATCH(G271,'02b_DC_Accelerator_Mix'!$A$2:$A$977,0)),0)</f>
        <v/>
      </c>
      <c r="N271" s="6">
        <f>IFERROR(INDEX('02b_DC_Accelerator_Mix'!$K$2:$K$977,MATCH(G271,'02b_DC_Accelerator_Mix'!$A$2:$A$977,0)),0)</f>
        <v/>
      </c>
      <c r="O271" s="6">
        <f>IFERROR(INDEX('02b_DC_Accelerator_Mix'!$L$2:$L$977,MATCH(G271,'02b_DC_Accelerator_Mix'!$A$2:$A$977,0)),0)</f>
        <v/>
      </c>
      <c r="P271" s="6">
        <f>IFERROR(INDEX('02b_DC_Accelerator_Mix'!$M$2:$M$977,MATCH(G271,'02b_DC_Accelerator_Mix'!$A$2:$A$977,0)),0)</f>
        <v/>
      </c>
      <c r="Q271" s="6">
        <f>IFERROR(INDEX('02b_DC_Accelerator_Mix'!$N$2:$N$977,MATCH(G271,'02b_DC_Accelerator_Mix'!$A$2:$A$977,0)),0)</f>
        <v/>
      </c>
      <c r="R271" s="28">
        <f>H271*I271</f>
        <v/>
      </c>
      <c r="S271" s="28">
        <f>H271*J271</f>
        <v/>
      </c>
      <c r="T271" s="28">
        <f>H271*K271</f>
        <v/>
      </c>
      <c r="U271" s="28">
        <f>H271*L271</f>
        <v/>
      </c>
      <c r="V271" s="28">
        <f>H271*M271</f>
        <v/>
      </c>
      <c r="W271" s="28">
        <f>H271*N271</f>
        <v/>
      </c>
      <c r="X271" s="28">
        <f>H271*O271</f>
        <v/>
      </c>
      <c r="Y271" s="28">
        <f>H271*P271</f>
        <v/>
      </c>
      <c r="Z271" s="28">
        <f>H271*Q271</f>
        <v/>
      </c>
      <c r="AA271" s="28">
        <f>SUM(U271:Z271)</f>
        <v/>
      </c>
      <c r="AB271" s="5">
        <f>IF(COUNTIF('02b_DC_Accelerator_Mix'!$A$2:$A$977,G271)&gt;0,"matched","missing_mix")</f>
        <v/>
      </c>
    </row>
    <row r="272">
      <c r="A272" s="5">
        <f>'02a_DC_Capacity_Alloc'!A272</f>
        <v/>
      </c>
      <c r="B272" s="5">
        <f>'02a_DC_Capacity_Alloc'!B272</f>
        <v/>
      </c>
      <c r="C272" s="5">
        <f>'02a_DC_Capacity_Alloc'!C272</f>
        <v/>
      </c>
      <c r="D272" s="5">
        <f>'02a_DC_Capacity_Alloc'!D272</f>
        <v/>
      </c>
      <c r="E272" s="5">
        <f>'02a_DC_Capacity_Alloc'!E272</f>
        <v/>
      </c>
      <c r="F272" s="5">
        <f>'02a_DC_Capacity_Alloc'!F272</f>
        <v/>
      </c>
      <c r="G272" s="5">
        <f>B272&amp;"|"&amp;E272&amp;"|"&amp;D272</f>
        <v/>
      </c>
      <c r="H272" s="28">
        <f>'02a_DC_Capacity_Alloc'!H272*'02a_DC_Capacity_Alloc'!I272*'02a_DC_Capacity_Alloc'!J272</f>
        <v/>
      </c>
      <c r="I272" s="6">
        <f>IFERROR(INDEX('02b_DC_Accelerator_Mix'!$F$2:$F$977,MATCH(G272,'02b_DC_Accelerator_Mix'!$A$2:$A$977,0)),0)</f>
        <v/>
      </c>
      <c r="J272" s="6">
        <f>IFERROR(INDEX('02b_DC_Accelerator_Mix'!$G$2:$G$977,MATCH(G272,'02b_DC_Accelerator_Mix'!$A$2:$A$977,0)),0)</f>
        <v/>
      </c>
      <c r="K272" s="6">
        <f>IFERROR(INDEX('02b_DC_Accelerator_Mix'!$H$2:$H$977,MATCH(G272,'02b_DC_Accelerator_Mix'!$A$2:$A$977,0)),0)</f>
        <v/>
      </c>
      <c r="L272" s="6">
        <f>IFERROR(INDEX('02b_DC_Accelerator_Mix'!$I$2:$I$977,MATCH(G272,'02b_DC_Accelerator_Mix'!$A$2:$A$977,0)),0)</f>
        <v/>
      </c>
      <c r="M272" s="6">
        <f>IFERROR(INDEX('02b_DC_Accelerator_Mix'!$J$2:$J$977,MATCH(G272,'02b_DC_Accelerator_Mix'!$A$2:$A$977,0)),0)</f>
        <v/>
      </c>
      <c r="N272" s="6">
        <f>IFERROR(INDEX('02b_DC_Accelerator_Mix'!$K$2:$K$977,MATCH(G272,'02b_DC_Accelerator_Mix'!$A$2:$A$977,0)),0)</f>
        <v/>
      </c>
      <c r="O272" s="6">
        <f>IFERROR(INDEX('02b_DC_Accelerator_Mix'!$L$2:$L$977,MATCH(G272,'02b_DC_Accelerator_Mix'!$A$2:$A$977,0)),0)</f>
        <v/>
      </c>
      <c r="P272" s="6">
        <f>IFERROR(INDEX('02b_DC_Accelerator_Mix'!$M$2:$M$977,MATCH(G272,'02b_DC_Accelerator_Mix'!$A$2:$A$977,0)),0)</f>
        <v/>
      </c>
      <c r="Q272" s="6">
        <f>IFERROR(INDEX('02b_DC_Accelerator_Mix'!$N$2:$N$977,MATCH(G272,'02b_DC_Accelerator_Mix'!$A$2:$A$977,0)),0)</f>
        <v/>
      </c>
      <c r="R272" s="28">
        <f>H272*I272</f>
        <v/>
      </c>
      <c r="S272" s="28">
        <f>H272*J272</f>
        <v/>
      </c>
      <c r="T272" s="28">
        <f>H272*K272</f>
        <v/>
      </c>
      <c r="U272" s="28">
        <f>H272*L272</f>
        <v/>
      </c>
      <c r="V272" s="28">
        <f>H272*M272</f>
        <v/>
      </c>
      <c r="W272" s="28">
        <f>H272*N272</f>
        <v/>
      </c>
      <c r="X272" s="28">
        <f>H272*O272</f>
        <v/>
      </c>
      <c r="Y272" s="28">
        <f>H272*P272</f>
        <v/>
      </c>
      <c r="Z272" s="28">
        <f>H272*Q272</f>
        <v/>
      </c>
      <c r="AA272" s="28">
        <f>SUM(U272:Z272)</f>
        <v/>
      </c>
      <c r="AB272" s="5">
        <f>IF(COUNTIF('02b_DC_Accelerator_Mix'!$A$2:$A$977,G272)&gt;0,"matched","missing_mix")</f>
        <v/>
      </c>
    </row>
    <row r="273">
      <c r="A273" s="5">
        <f>'02a_DC_Capacity_Alloc'!A273</f>
        <v/>
      </c>
      <c r="B273" s="5">
        <f>'02a_DC_Capacity_Alloc'!B273</f>
        <v/>
      </c>
      <c r="C273" s="5">
        <f>'02a_DC_Capacity_Alloc'!C273</f>
        <v/>
      </c>
      <c r="D273" s="5">
        <f>'02a_DC_Capacity_Alloc'!D273</f>
        <v/>
      </c>
      <c r="E273" s="5">
        <f>'02a_DC_Capacity_Alloc'!E273</f>
        <v/>
      </c>
      <c r="F273" s="5">
        <f>'02a_DC_Capacity_Alloc'!F273</f>
        <v/>
      </c>
      <c r="G273" s="5">
        <f>B273&amp;"|"&amp;E273&amp;"|"&amp;D273</f>
        <v/>
      </c>
      <c r="H273" s="28">
        <f>'02a_DC_Capacity_Alloc'!H273*'02a_DC_Capacity_Alloc'!I273*'02a_DC_Capacity_Alloc'!J273</f>
        <v/>
      </c>
      <c r="I273" s="6">
        <f>IFERROR(INDEX('02b_DC_Accelerator_Mix'!$F$2:$F$977,MATCH(G273,'02b_DC_Accelerator_Mix'!$A$2:$A$977,0)),0)</f>
        <v/>
      </c>
      <c r="J273" s="6">
        <f>IFERROR(INDEX('02b_DC_Accelerator_Mix'!$G$2:$G$977,MATCH(G273,'02b_DC_Accelerator_Mix'!$A$2:$A$977,0)),0)</f>
        <v/>
      </c>
      <c r="K273" s="6">
        <f>IFERROR(INDEX('02b_DC_Accelerator_Mix'!$H$2:$H$977,MATCH(G273,'02b_DC_Accelerator_Mix'!$A$2:$A$977,0)),0)</f>
        <v/>
      </c>
      <c r="L273" s="6">
        <f>IFERROR(INDEX('02b_DC_Accelerator_Mix'!$I$2:$I$977,MATCH(G273,'02b_DC_Accelerator_Mix'!$A$2:$A$977,0)),0)</f>
        <v/>
      </c>
      <c r="M273" s="6">
        <f>IFERROR(INDEX('02b_DC_Accelerator_Mix'!$J$2:$J$977,MATCH(G273,'02b_DC_Accelerator_Mix'!$A$2:$A$977,0)),0)</f>
        <v/>
      </c>
      <c r="N273" s="6">
        <f>IFERROR(INDEX('02b_DC_Accelerator_Mix'!$K$2:$K$977,MATCH(G273,'02b_DC_Accelerator_Mix'!$A$2:$A$977,0)),0)</f>
        <v/>
      </c>
      <c r="O273" s="6">
        <f>IFERROR(INDEX('02b_DC_Accelerator_Mix'!$L$2:$L$977,MATCH(G273,'02b_DC_Accelerator_Mix'!$A$2:$A$977,0)),0)</f>
        <v/>
      </c>
      <c r="P273" s="6">
        <f>IFERROR(INDEX('02b_DC_Accelerator_Mix'!$M$2:$M$977,MATCH(G273,'02b_DC_Accelerator_Mix'!$A$2:$A$977,0)),0)</f>
        <v/>
      </c>
      <c r="Q273" s="6">
        <f>IFERROR(INDEX('02b_DC_Accelerator_Mix'!$N$2:$N$977,MATCH(G273,'02b_DC_Accelerator_Mix'!$A$2:$A$977,0)),0)</f>
        <v/>
      </c>
      <c r="R273" s="28">
        <f>H273*I273</f>
        <v/>
      </c>
      <c r="S273" s="28">
        <f>H273*J273</f>
        <v/>
      </c>
      <c r="T273" s="28">
        <f>H273*K273</f>
        <v/>
      </c>
      <c r="U273" s="28">
        <f>H273*L273</f>
        <v/>
      </c>
      <c r="V273" s="28">
        <f>H273*M273</f>
        <v/>
      </c>
      <c r="W273" s="28">
        <f>H273*N273</f>
        <v/>
      </c>
      <c r="X273" s="28">
        <f>H273*O273</f>
        <v/>
      </c>
      <c r="Y273" s="28">
        <f>H273*P273</f>
        <v/>
      </c>
      <c r="Z273" s="28">
        <f>H273*Q273</f>
        <v/>
      </c>
      <c r="AA273" s="28">
        <f>SUM(U273:Z273)</f>
        <v/>
      </c>
      <c r="AB273" s="5">
        <f>IF(COUNTIF('02b_DC_Accelerator_Mix'!$A$2:$A$977,G273)&gt;0,"matched","missing_mix")</f>
        <v/>
      </c>
    </row>
    <row r="274">
      <c r="A274" s="5">
        <f>'02a_DC_Capacity_Alloc'!A274</f>
        <v/>
      </c>
      <c r="B274" s="5">
        <f>'02a_DC_Capacity_Alloc'!B274</f>
        <v/>
      </c>
      <c r="C274" s="5">
        <f>'02a_DC_Capacity_Alloc'!C274</f>
        <v/>
      </c>
      <c r="D274" s="5">
        <f>'02a_DC_Capacity_Alloc'!D274</f>
        <v/>
      </c>
      <c r="E274" s="5">
        <f>'02a_DC_Capacity_Alloc'!E274</f>
        <v/>
      </c>
      <c r="F274" s="5">
        <f>'02a_DC_Capacity_Alloc'!F274</f>
        <v/>
      </c>
      <c r="G274" s="5">
        <f>B274&amp;"|"&amp;E274&amp;"|"&amp;D274</f>
        <v/>
      </c>
      <c r="H274" s="28">
        <f>'02a_DC_Capacity_Alloc'!H274*'02a_DC_Capacity_Alloc'!I274*'02a_DC_Capacity_Alloc'!J274</f>
        <v/>
      </c>
      <c r="I274" s="6">
        <f>IFERROR(INDEX('02b_DC_Accelerator_Mix'!$F$2:$F$977,MATCH(G274,'02b_DC_Accelerator_Mix'!$A$2:$A$977,0)),0)</f>
        <v/>
      </c>
      <c r="J274" s="6">
        <f>IFERROR(INDEX('02b_DC_Accelerator_Mix'!$G$2:$G$977,MATCH(G274,'02b_DC_Accelerator_Mix'!$A$2:$A$977,0)),0)</f>
        <v/>
      </c>
      <c r="K274" s="6">
        <f>IFERROR(INDEX('02b_DC_Accelerator_Mix'!$H$2:$H$977,MATCH(G274,'02b_DC_Accelerator_Mix'!$A$2:$A$977,0)),0)</f>
        <v/>
      </c>
      <c r="L274" s="6">
        <f>IFERROR(INDEX('02b_DC_Accelerator_Mix'!$I$2:$I$977,MATCH(G274,'02b_DC_Accelerator_Mix'!$A$2:$A$977,0)),0)</f>
        <v/>
      </c>
      <c r="M274" s="6">
        <f>IFERROR(INDEX('02b_DC_Accelerator_Mix'!$J$2:$J$977,MATCH(G274,'02b_DC_Accelerator_Mix'!$A$2:$A$977,0)),0)</f>
        <v/>
      </c>
      <c r="N274" s="6">
        <f>IFERROR(INDEX('02b_DC_Accelerator_Mix'!$K$2:$K$977,MATCH(G274,'02b_DC_Accelerator_Mix'!$A$2:$A$977,0)),0)</f>
        <v/>
      </c>
      <c r="O274" s="6">
        <f>IFERROR(INDEX('02b_DC_Accelerator_Mix'!$L$2:$L$977,MATCH(G274,'02b_DC_Accelerator_Mix'!$A$2:$A$977,0)),0)</f>
        <v/>
      </c>
      <c r="P274" s="6">
        <f>IFERROR(INDEX('02b_DC_Accelerator_Mix'!$M$2:$M$977,MATCH(G274,'02b_DC_Accelerator_Mix'!$A$2:$A$977,0)),0)</f>
        <v/>
      </c>
      <c r="Q274" s="6">
        <f>IFERROR(INDEX('02b_DC_Accelerator_Mix'!$N$2:$N$977,MATCH(G274,'02b_DC_Accelerator_Mix'!$A$2:$A$977,0)),0)</f>
        <v/>
      </c>
      <c r="R274" s="28">
        <f>H274*I274</f>
        <v/>
      </c>
      <c r="S274" s="28">
        <f>H274*J274</f>
        <v/>
      </c>
      <c r="T274" s="28">
        <f>H274*K274</f>
        <v/>
      </c>
      <c r="U274" s="28">
        <f>H274*L274</f>
        <v/>
      </c>
      <c r="V274" s="28">
        <f>H274*M274</f>
        <v/>
      </c>
      <c r="W274" s="28">
        <f>H274*N274</f>
        <v/>
      </c>
      <c r="X274" s="28">
        <f>H274*O274</f>
        <v/>
      </c>
      <c r="Y274" s="28">
        <f>H274*P274</f>
        <v/>
      </c>
      <c r="Z274" s="28">
        <f>H274*Q274</f>
        <v/>
      </c>
      <c r="AA274" s="28">
        <f>SUM(U274:Z274)</f>
        <v/>
      </c>
      <c r="AB274" s="5">
        <f>IF(COUNTIF('02b_DC_Accelerator_Mix'!$A$2:$A$977,G274)&gt;0,"matched","missing_mix")</f>
        <v/>
      </c>
    </row>
    <row r="275">
      <c r="A275" s="5">
        <f>'02a_DC_Capacity_Alloc'!A275</f>
        <v/>
      </c>
      <c r="B275" s="5">
        <f>'02a_DC_Capacity_Alloc'!B275</f>
        <v/>
      </c>
      <c r="C275" s="5">
        <f>'02a_DC_Capacity_Alloc'!C275</f>
        <v/>
      </c>
      <c r="D275" s="5">
        <f>'02a_DC_Capacity_Alloc'!D275</f>
        <v/>
      </c>
      <c r="E275" s="5">
        <f>'02a_DC_Capacity_Alloc'!E275</f>
        <v/>
      </c>
      <c r="F275" s="5">
        <f>'02a_DC_Capacity_Alloc'!F275</f>
        <v/>
      </c>
      <c r="G275" s="5">
        <f>B275&amp;"|"&amp;E275&amp;"|"&amp;D275</f>
        <v/>
      </c>
      <c r="H275" s="28">
        <f>'02a_DC_Capacity_Alloc'!H275*'02a_DC_Capacity_Alloc'!I275*'02a_DC_Capacity_Alloc'!J275</f>
        <v/>
      </c>
      <c r="I275" s="6">
        <f>IFERROR(INDEX('02b_DC_Accelerator_Mix'!$F$2:$F$977,MATCH(G275,'02b_DC_Accelerator_Mix'!$A$2:$A$977,0)),0)</f>
        <v/>
      </c>
      <c r="J275" s="6">
        <f>IFERROR(INDEX('02b_DC_Accelerator_Mix'!$G$2:$G$977,MATCH(G275,'02b_DC_Accelerator_Mix'!$A$2:$A$977,0)),0)</f>
        <v/>
      </c>
      <c r="K275" s="6">
        <f>IFERROR(INDEX('02b_DC_Accelerator_Mix'!$H$2:$H$977,MATCH(G275,'02b_DC_Accelerator_Mix'!$A$2:$A$977,0)),0)</f>
        <v/>
      </c>
      <c r="L275" s="6">
        <f>IFERROR(INDEX('02b_DC_Accelerator_Mix'!$I$2:$I$977,MATCH(G275,'02b_DC_Accelerator_Mix'!$A$2:$A$977,0)),0)</f>
        <v/>
      </c>
      <c r="M275" s="6">
        <f>IFERROR(INDEX('02b_DC_Accelerator_Mix'!$J$2:$J$977,MATCH(G275,'02b_DC_Accelerator_Mix'!$A$2:$A$977,0)),0)</f>
        <v/>
      </c>
      <c r="N275" s="6">
        <f>IFERROR(INDEX('02b_DC_Accelerator_Mix'!$K$2:$K$977,MATCH(G275,'02b_DC_Accelerator_Mix'!$A$2:$A$977,0)),0)</f>
        <v/>
      </c>
      <c r="O275" s="6">
        <f>IFERROR(INDEX('02b_DC_Accelerator_Mix'!$L$2:$L$977,MATCH(G275,'02b_DC_Accelerator_Mix'!$A$2:$A$977,0)),0)</f>
        <v/>
      </c>
      <c r="P275" s="6">
        <f>IFERROR(INDEX('02b_DC_Accelerator_Mix'!$M$2:$M$977,MATCH(G275,'02b_DC_Accelerator_Mix'!$A$2:$A$977,0)),0)</f>
        <v/>
      </c>
      <c r="Q275" s="6">
        <f>IFERROR(INDEX('02b_DC_Accelerator_Mix'!$N$2:$N$977,MATCH(G275,'02b_DC_Accelerator_Mix'!$A$2:$A$977,0)),0)</f>
        <v/>
      </c>
      <c r="R275" s="28">
        <f>H275*I275</f>
        <v/>
      </c>
      <c r="S275" s="28">
        <f>H275*J275</f>
        <v/>
      </c>
      <c r="T275" s="28">
        <f>H275*K275</f>
        <v/>
      </c>
      <c r="U275" s="28">
        <f>H275*L275</f>
        <v/>
      </c>
      <c r="V275" s="28">
        <f>H275*M275</f>
        <v/>
      </c>
      <c r="W275" s="28">
        <f>H275*N275</f>
        <v/>
      </c>
      <c r="X275" s="28">
        <f>H275*O275</f>
        <v/>
      </c>
      <c r="Y275" s="28">
        <f>H275*P275</f>
        <v/>
      </c>
      <c r="Z275" s="28">
        <f>H275*Q275</f>
        <v/>
      </c>
      <c r="AA275" s="28">
        <f>SUM(U275:Z275)</f>
        <v/>
      </c>
      <c r="AB275" s="5">
        <f>IF(COUNTIF('02b_DC_Accelerator_Mix'!$A$2:$A$977,G275)&gt;0,"matched","missing_mix")</f>
        <v/>
      </c>
    </row>
    <row r="276">
      <c r="A276" s="5">
        <f>'02a_DC_Capacity_Alloc'!A276</f>
        <v/>
      </c>
      <c r="B276" s="5">
        <f>'02a_DC_Capacity_Alloc'!B276</f>
        <v/>
      </c>
      <c r="C276" s="5">
        <f>'02a_DC_Capacity_Alloc'!C276</f>
        <v/>
      </c>
      <c r="D276" s="5">
        <f>'02a_DC_Capacity_Alloc'!D276</f>
        <v/>
      </c>
      <c r="E276" s="5">
        <f>'02a_DC_Capacity_Alloc'!E276</f>
        <v/>
      </c>
      <c r="F276" s="5">
        <f>'02a_DC_Capacity_Alloc'!F276</f>
        <v/>
      </c>
      <c r="G276" s="5">
        <f>B276&amp;"|"&amp;E276&amp;"|"&amp;D276</f>
        <v/>
      </c>
      <c r="H276" s="28">
        <f>'02a_DC_Capacity_Alloc'!H276*'02a_DC_Capacity_Alloc'!I276*'02a_DC_Capacity_Alloc'!J276</f>
        <v/>
      </c>
      <c r="I276" s="6">
        <f>IFERROR(INDEX('02b_DC_Accelerator_Mix'!$F$2:$F$977,MATCH(G276,'02b_DC_Accelerator_Mix'!$A$2:$A$977,0)),0)</f>
        <v/>
      </c>
      <c r="J276" s="6">
        <f>IFERROR(INDEX('02b_DC_Accelerator_Mix'!$G$2:$G$977,MATCH(G276,'02b_DC_Accelerator_Mix'!$A$2:$A$977,0)),0)</f>
        <v/>
      </c>
      <c r="K276" s="6">
        <f>IFERROR(INDEX('02b_DC_Accelerator_Mix'!$H$2:$H$977,MATCH(G276,'02b_DC_Accelerator_Mix'!$A$2:$A$977,0)),0)</f>
        <v/>
      </c>
      <c r="L276" s="6">
        <f>IFERROR(INDEX('02b_DC_Accelerator_Mix'!$I$2:$I$977,MATCH(G276,'02b_DC_Accelerator_Mix'!$A$2:$A$977,0)),0)</f>
        <v/>
      </c>
      <c r="M276" s="6">
        <f>IFERROR(INDEX('02b_DC_Accelerator_Mix'!$J$2:$J$977,MATCH(G276,'02b_DC_Accelerator_Mix'!$A$2:$A$977,0)),0)</f>
        <v/>
      </c>
      <c r="N276" s="6">
        <f>IFERROR(INDEX('02b_DC_Accelerator_Mix'!$K$2:$K$977,MATCH(G276,'02b_DC_Accelerator_Mix'!$A$2:$A$977,0)),0)</f>
        <v/>
      </c>
      <c r="O276" s="6">
        <f>IFERROR(INDEX('02b_DC_Accelerator_Mix'!$L$2:$L$977,MATCH(G276,'02b_DC_Accelerator_Mix'!$A$2:$A$977,0)),0)</f>
        <v/>
      </c>
      <c r="P276" s="6">
        <f>IFERROR(INDEX('02b_DC_Accelerator_Mix'!$M$2:$M$977,MATCH(G276,'02b_DC_Accelerator_Mix'!$A$2:$A$977,0)),0)</f>
        <v/>
      </c>
      <c r="Q276" s="6">
        <f>IFERROR(INDEX('02b_DC_Accelerator_Mix'!$N$2:$N$977,MATCH(G276,'02b_DC_Accelerator_Mix'!$A$2:$A$977,0)),0)</f>
        <v/>
      </c>
      <c r="R276" s="28">
        <f>H276*I276</f>
        <v/>
      </c>
      <c r="S276" s="28">
        <f>H276*J276</f>
        <v/>
      </c>
      <c r="T276" s="28">
        <f>H276*K276</f>
        <v/>
      </c>
      <c r="U276" s="28">
        <f>H276*L276</f>
        <v/>
      </c>
      <c r="V276" s="28">
        <f>H276*M276</f>
        <v/>
      </c>
      <c r="W276" s="28">
        <f>H276*N276</f>
        <v/>
      </c>
      <c r="X276" s="28">
        <f>H276*O276</f>
        <v/>
      </c>
      <c r="Y276" s="28">
        <f>H276*P276</f>
        <v/>
      </c>
      <c r="Z276" s="28">
        <f>H276*Q276</f>
        <v/>
      </c>
      <c r="AA276" s="28">
        <f>SUM(U276:Z276)</f>
        <v/>
      </c>
      <c r="AB276" s="5">
        <f>IF(COUNTIF('02b_DC_Accelerator_Mix'!$A$2:$A$977,G276)&gt;0,"matched","missing_mix")</f>
        <v/>
      </c>
    </row>
    <row r="277">
      <c r="A277" s="5">
        <f>'02a_DC_Capacity_Alloc'!A277</f>
        <v/>
      </c>
      <c r="B277" s="5">
        <f>'02a_DC_Capacity_Alloc'!B277</f>
        <v/>
      </c>
      <c r="C277" s="5">
        <f>'02a_DC_Capacity_Alloc'!C277</f>
        <v/>
      </c>
      <c r="D277" s="5">
        <f>'02a_DC_Capacity_Alloc'!D277</f>
        <v/>
      </c>
      <c r="E277" s="5">
        <f>'02a_DC_Capacity_Alloc'!E277</f>
        <v/>
      </c>
      <c r="F277" s="5">
        <f>'02a_DC_Capacity_Alloc'!F277</f>
        <v/>
      </c>
      <c r="G277" s="5">
        <f>B277&amp;"|"&amp;E277&amp;"|"&amp;D277</f>
        <v/>
      </c>
      <c r="H277" s="28">
        <f>'02a_DC_Capacity_Alloc'!H277*'02a_DC_Capacity_Alloc'!I277*'02a_DC_Capacity_Alloc'!J277</f>
        <v/>
      </c>
      <c r="I277" s="6">
        <f>IFERROR(INDEX('02b_DC_Accelerator_Mix'!$F$2:$F$977,MATCH(G277,'02b_DC_Accelerator_Mix'!$A$2:$A$977,0)),0)</f>
        <v/>
      </c>
      <c r="J277" s="6">
        <f>IFERROR(INDEX('02b_DC_Accelerator_Mix'!$G$2:$G$977,MATCH(G277,'02b_DC_Accelerator_Mix'!$A$2:$A$977,0)),0)</f>
        <v/>
      </c>
      <c r="K277" s="6">
        <f>IFERROR(INDEX('02b_DC_Accelerator_Mix'!$H$2:$H$977,MATCH(G277,'02b_DC_Accelerator_Mix'!$A$2:$A$977,0)),0)</f>
        <v/>
      </c>
      <c r="L277" s="6">
        <f>IFERROR(INDEX('02b_DC_Accelerator_Mix'!$I$2:$I$977,MATCH(G277,'02b_DC_Accelerator_Mix'!$A$2:$A$977,0)),0)</f>
        <v/>
      </c>
      <c r="M277" s="6">
        <f>IFERROR(INDEX('02b_DC_Accelerator_Mix'!$J$2:$J$977,MATCH(G277,'02b_DC_Accelerator_Mix'!$A$2:$A$977,0)),0)</f>
        <v/>
      </c>
      <c r="N277" s="6">
        <f>IFERROR(INDEX('02b_DC_Accelerator_Mix'!$K$2:$K$977,MATCH(G277,'02b_DC_Accelerator_Mix'!$A$2:$A$977,0)),0)</f>
        <v/>
      </c>
      <c r="O277" s="6">
        <f>IFERROR(INDEX('02b_DC_Accelerator_Mix'!$L$2:$L$977,MATCH(G277,'02b_DC_Accelerator_Mix'!$A$2:$A$977,0)),0)</f>
        <v/>
      </c>
      <c r="P277" s="6">
        <f>IFERROR(INDEX('02b_DC_Accelerator_Mix'!$M$2:$M$977,MATCH(G277,'02b_DC_Accelerator_Mix'!$A$2:$A$977,0)),0)</f>
        <v/>
      </c>
      <c r="Q277" s="6">
        <f>IFERROR(INDEX('02b_DC_Accelerator_Mix'!$N$2:$N$977,MATCH(G277,'02b_DC_Accelerator_Mix'!$A$2:$A$977,0)),0)</f>
        <v/>
      </c>
      <c r="R277" s="28">
        <f>H277*I277</f>
        <v/>
      </c>
      <c r="S277" s="28">
        <f>H277*J277</f>
        <v/>
      </c>
      <c r="T277" s="28">
        <f>H277*K277</f>
        <v/>
      </c>
      <c r="U277" s="28">
        <f>H277*L277</f>
        <v/>
      </c>
      <c r="V277" s="28">
        <f>H277*M277</f>
        <v/>
      </c>
      <c r="W277" s="28">
        <f>H277*N277</f>
        <v/>
      </c>
      <c r="X277" s="28">
        <f>H277*O277</f>
        <v/>
      </c>
      <c r="Y277" s="28">
        <f>H277*P277</f>
        <v/>
      </c>
      <c r="Z277" s="28">
        <f>H277*Q277</f>
        <v/>
      </c>
      <c r="AA277" s="28">
        <f>SUM(U277:Z277)</f>
        <v/>
      </c>
      <c r="AB277" s="5">
        <f>IF(COUNTIF('02b_DC_Accelerator_Mix'!$A$2:$A$977,G277)&gt;0,"matched","missing_mix")</f>
        <v/>
      </c>
    </row>
    <row r="278">
      <c r="A278" s="5">
        <f>'02a_DC_Capacity_Alloc'!A278</f>
        <v/>
      </c>
      <c r="B278" s="5">
        <f>'02a_DC_Capacity_Alloc'!B278</f>
        <v/>
      </c>
      <c r="C278" s="5">
        <f>'02a_DC_Capacity_Alloc'!C278</f>
        <v/>
      </c>
      <c r="D278" s="5">
        <f>'02a_DC_Capacity_Alloc'!D278</f>
        <v/>
      </c>
      <c r="E278" s="5">
        <f>'02a_DC_Capacity_Alloc'!E278</f>
        <v/>
      </c>
      <c r="F278" s="5">
        <f>'02a_DC_Capacity_Alloc'!F278</f>
        <v/>
      </c>
      <c r="G278" s="5">
        <f>B278&amp;"|"&amp;E278&amp;"|"&amp;D278</f>
        <v/>
      </c>
      <c r="H278" s="28">
        <f>'02a_DC_Capacity_Alloc'!H278*'02a_DC_Capacity_Alloc'!I278*'02a_DC_Capacity_Alloc'!J278</f>
        <v/>
      </c>
      <c r="I278" s="6">
        <f>IFERROR(INDEX('02b_DC_Accelerator_Mix'!$F$2:$F$977,MATCH(G278,'02b_DC_Accelerator_Mix'!$A$2:$A$977,0)),0)</f>
        <v/>
      </c>
      <c r="J278" s="6">
        <f>IFERROR(INDEX('02b_DC_Accelerator_Mix'!$G$2:$G$977,MATCH(G278,'02b_DC_Accelerator_Mix'!$A$2:$A$977,0)),0)</f>
        <v/>
      </c>
      <c r="K278" s="6">
        <f>IFERROR(INDEX('02b_DC_Accelerator_Mix'!$H$2:$H$977,MATCH(G278,'02b_DC_Accelerator_Mix'!$A$2:$A$977,0)),0)</f>
        <v/>
      </c>
      <c r="L278" s="6">
        <f>IFERROR(INDEX('02b_DC_Accelerator_Mix'!$I$2:$I$977,MATCH(G278,'02b_DC_Accelerator_Mix'!$A$2:$A$977,0)),0)</f>
        <v/>
      </c>
      <c r="M278" s="6">
        <f>IFERROR(INDEX('02b_DC_Accelerator_Mix'!$J$2:$J$977,MATCH(G278,'02b_DC_Accelerator_Mix'!$A$2:$A$977,0)),0)</f>
        <v/>
      </c>
      <c r="N278" s="6">
        <f>IFERROR(INDEX('02b_DC_Accelerator_Mix'!$K$2:$K$977,MATCH(G278,'02b_DC_Accelerator_Mix'!$A$2:$A$977,0)),0)</f>
        <v/>
      </c>
      <c r="O278" s="6">
        <f>IFERROR(INDEX('02b_DC_Accelerator_Mix'!$L$2:$L$977,MATCH(G278,'02b_DC_Accelerator_Mix'!$A$2:$A$977,0)),0)</f>
        <v/>
      </c>
      <c r="P278" s="6">
        <f>IFERROR(INDEX('02b_DC_Accelerator_Mix'!$M$2:$M$977,MATCH(G278,'02b_DC_Accelerator_Mix'!$A$2:$A$977,0)),0)</f>
        <v/>
      </c>
      <c r="Q278" s="6">
        <f>IFERROR(INDEX('02b_DC_Accelerator_Mix'!$N$2:$N$977,MATCH(G278,'02b_DC_Accelerator_Mix'!$A$2:$A$977,0)),0)</f>
        <v/>
      </c>
      <c r="R278" s="28">
        <f>H278*I278</f>
        <v/>
      </c>
      <c r="S278" s="28">
        <f>H278*J278</f>
        <v/>
      </c>
      <c r="T278" s="28">
        <f>H278*K278</f>
        <v/>
      </c>
      <c r="U278" s="28">
        <f>H278*L278</f>
        <v/>
      </c>
      <c r="V278" s="28">
        <f>H278*M278</f>
        <v/>
      </c>
      <c r="W278" s="28">
        <f>H278*N278</f>
        <v/>
      </c>
      <c r="X278" s="28">
        <f>H278*O278</f>
        <v/>
      </c>
      <c r="Y278" s="28">
        <f>H278*P278</f>
        <v/>
      </c>
      <c r="Z278" s="28">
        <f>H278*Q278</f>
        <v/>
      </c>
      <c r="AA278" s="28">
        <f>SUM(U278:Z278)</f>
        <v/>
      </c>
      <c r="AB278" s="5">
        <f>IF(COUNTIF('02b_DC_Accelerator_Mix'!$A$2:$A$977,G278)&gt;0,"matched","missing_mix")</f>
        <v/>
      </c>
    </row>
    <row r="279">
      <c r="A279" s="5">
        <f>'02a_DC_Capacity_Alloc'!A279</f>
        <v/>
      </c>
      <c r="B279" s="5">
        <f>'02a_DC_Capacity_Alloc'!B279</f>
        <v/>
      </c>
      <c r="C279" s="5">
        <f>'02a_DC_Capacity_Alloc'!C279</f>
        <v/>
      </c>
      <c r="D279" s="5">
        <f>'02a_DC_Capacity_Alloc'!D279</f>
        <v/>
      </c>
      <c r="E279" s="5">
        <f>'02a_DC_Capacity_Alloc'!E279</f>
        <v/>
      </c>
      <c r="F279" s="5">
        <f>'02a_DC_Capacity_Alloc'!F279</f>
        <v/>
      </c>
      <c r="G279" s="5">
        <f>B279&amp;"|"&amp;E279&amp;"|"&amp;D279</f>
        <v/>
      </c>
      <c r="H279" s="28">
        <f>'02a_DC_Capacity_Alloc'!H279*'02a_DC_Capacity_Alloc'!I279*'02a_DC_Capacity_Alloc'!J279</f>
        <v/>
      </c>
      <c r="I279" s="6">
        <f>IFERROR(INDEX('02b_DC_Accelerator_Mix'!$F$2:$F$977,MATCH(G279,'02b_DC_Accelerator_Mix'!$A$2:$A$977,0)),0)</f>
        <v/>
      </c>
      <c r="J279" s="6">
        <f>IFERROR(INDEX('02b_DC_Accelerator_Mix'!$G$2:$G$977,MATCH(G279,'02b_DC_Accelerator_Mix'!$A$2:$A$977,0)),0)</f>
        <v/>
      </c>
      <c r="K279" s="6">
        <f>IFERROR(INDEX('02b_DC_Accelerator_Mix'!$H$2:$H$977,MATCH(G279,'02b_DC_Accelerator_Mix'!$A$2:$A$977,0)),0)</f>
        <v/>
      </c>
      <c r="L279" s="6">
        <f>IFERROR(INDEX('02b_DC_Accelerator_Mix'!$I$2:$I$977,MATCH(G279,'02b_DC_Accelerator_Mix'!$A$2:$A$977,0)),0)</f>
        <v/>
      </c>
      <c r="M279" s="6">
        <f>IFERROR(INDEX('02b_DC_Accelerator_Mix'!$J$2:$J$977,MATCH(G279,'02b_DC_Accelerator_Mix'!$A$2:$A$977,0)),0)</f>
        <v/>
      </c>
      <c r="N279" s="6">
        <f>IFERROR(INDEX('02b_DC_Accelerator_Mix'!$K$2:$K$977,MATCH(G279,'02b_DC_Accelerator_Mix'!$A$2:$A$977,0)),0)</f>
        <v/>
      </c>
      <c r="O279" s="6">
        <f>IFERROR(INDEX('02b_DC_Accelerator_Mix'!$L$2:$L$977,MATCH(G279,'02b_DC_Accelerator_Mix'!$A$2:$A$977,0)),0)</f>
        <v/>
      </c>
      <c r="P279" s="6">
        <f>IFERROR(INDEX('02b_DC_Accelerator_Mix'!$M$2:$M$977,MATCH(G279,'02b_DC_Accelerator_Mix'!$A$2:$A$977,0)),0)</f>
        <v/>
      </c>
      <c r="Q279" s="6">
        <f>IFERROR(INDEX('02b_DC_Accelerator_Mix'!$N$2:$N$977,MATCH(G279,'02b_DC_Accelerator_Mix'!$A$2:$A$977,0)),0)</f>
        <v/>
      </c>
      <c r="R279" s="28">
        <f>H279*I279</f>
        <v/>
      </c>
      <c r="S279" s="28">
        <f>H279*J279</f>
        <v/>
      </c>
      <c r="T279" s="28">
        <f>H279*K279</f>
        <v/>
      </c>
      <c r="U279" s="28">
        <f>H279*L279</f>
        <v/>
      </c>
      <c r="V279" s="28">
        <f>H279*M279</f>
        <v/>
      </c>
      <c r="W279" s="28">
        <f>H279*N279</f>
        <v/>
      </c>
      <c r="X279" s="28">
        <f>H279*O279</f>
        <v/>
      </c>
      <c r="Y279" s="28">
        <f>H279*P279</f>
        <v/>
      </c>
      <c r="Z279" s="28">
        <f>H279*Q279</f>
        <v/>
      </c>
      <c r="AA279" s="28">
        <f>SUM(U279:Z279)</f>
        <v/>
      </c>
      <c r="AB279" s="5">
        <f>IF(COUNTIF('02b_DC_Accelerator_Mix'!$A$2:$A$977,G279)&gt;0,"matched","missing_mix")</f>
        <v/>
      </c>
    </row>
    <row r="280">
      <c r="A280" s="5">
        <f>'02a_DC_Capacity_Alloc'!A280</f>
        <v/>
      </c>
      <c r="B280" s="5">
        <f>'02a_DC_Capacity_Alloc'!B280</f>
        <v/>
      </c>
      <c r="C280" s="5">
        <f>'02a_DC_Capacity_Alloc'!C280</f>
        <v/>
      </c>
      <c r="D280" s="5">
        <f>'02a_DC_Capacity_Alloc'!D280</f>
        <v/>
      </c>
      <c r="E280" s="5">
        <f>'02a_DC_Capacity_Alloc'!E280</f>
        <v/>
      </c>
      <c r="F280" s="5">
        <f>'02a_DC_Capacity_Alloc'!F280</f>
        <v/>
      </c>
      <c r="G280" s="5">
        <f>B280&amp;"|"&amp;E280&amp;"|"&amp;D280</f>
        <v/>
      </c>
      <c r="H280" s="28">
        <f>'02a_DC_Capacity_Alloc'!H280*'02a_DC_Capacity_Alloc'!I280*'02a_DC_Capacity_Alloc'!J280</f>
        <v/>
      </c>
      <c r="I280" s="6">
        <f>IFERROR(INDEX('02b_DC_Accelerator_Mix'!$F$2:$F$977,MATCH(G280,'02b_DC_Accelerator_Mix'!$A$2:$A$977,0)),0)</f>
        <v/>
      </c>
      <c r="J280" s="6">
        <f>IFERROR(INDEX('02b_DC_Accelerator_Mix'!$G$2:$G$977,MATCH(G280,'02b_DC_Accelerator_Mix'!$A$2:$A$977,0)),0)</f>
        <v/>
      </c>
      <c r="K280" s="6">
        <f>IFERROR(INDEX('02b_DC_Accelerator_Mix'!$H$2:$H$977,MATCH(G280,'02b_DC_Accelerator_Mix'!$A$2:$A$977,0)),0)</f>
        <v/>
      </c>
      <c r="L280" s="6">
        <f>IFERROR(INDEX('02b_DC_Accelerator_Mix'!$I$2:$I$977,MATCH(G280,'02b_DC_Accelerator_Mix'!$A$2:$A$977,0)),0)</f>
        <v/>
      </c>
      <c r="M280" s="6">
        <f>IFERROR(INDEX('02b_DC_Accelerator_Mix'!$J$2:$J$977,MATCH(G280,'02b_DC_Accelerator_Mix'!$A$2:$A$977,0)),0)</f>
        <v/>
      </c>
      <c r="N280" s="6">
        <f>IFERROR(INDEX('02b_DC_Accelerator_Mix'!$K$2:$K$977,MATCH(G280,'02b_DC_Accelerator_Mix'!$A$2:$A$977,0)),0)</f>
        <v/>
      </c>
      <c r="O280" s="6">
        <f>IFERROR(INDEX('02b_DC_Accelerator_Mix'!$L$2:$L$977,MATCH(G280,'02b_DC_Accelerator_Mix'!$A$2:$A$977,0)),0)</f>
        <v/>
      </c>
      <c r="P280" s="6">
        <f>IFERROR(INDEX('02b_DC_Accelerator_Mix'!$M$2:$M$977,MATCH(G280,'02b_DC_Accelerator_Mix'!$A$2:$A$977,0)),0)</f>
        <v/>
      </c>
      <c r="Q280" s="6">
        <f>IFERROR(INDEX('02b_DC_Accelerator_Mix'!$N$2:$N$977,MATCH(G280,'02b_DC_Accelerator_Mix'!$A$2:$A$977,0)),0)</f>
        <v/>
      </c>
      <c r="R280" s="28">
        <f>H280*I280</f>
        <v/>
      </c>
      <c r="S280" s="28">
        <f>H280*J280</f>
        <v/>
      </c>
      <c r="T280" s="28">
        <f>H280*K280</f>
        <v/>
      </c>
      <c r="U280" s="28">
        <f>H280*L280</f>
        <v/>
      </c>
      <c r="V280" s="28">
        <f>H280*M280</f>
        <v/>
      </c>
      <c r="W280" s="28">
        <f>H280*N280</f>
        <v/>
      </c>
      <c r="X280" s="28">
        <f>H280*O280</f>
        <v/>
      </c>
      <c r="Y280" s="28">
        <f>H280*P280</f>
        <v/>
      </c>
      <c r="Z280" s="28">
        <f>H280*Q280</f>
        <v/>
      </c>
      <c r="AA280" s="28">
        <f>SUM(U280:Z280)</f>
        <v/>
      </c>
      <c r="AB280" s="5">
        <f>IF(COUNTIF('02b_DC_Accelerator_Mix'!$A$2:$A$977,G280)&gt;0,"matched","missing_mix")</f>
        <v/>
      </c>
    </row>
    <row r="281">
      <c r="A281" s="5">
        <f>'02a_DC_Capacity_Alloc'!A281</f>
        <v/>
      </c>
      <c r="B281" s="5">
        <f>'02a_DC_Capacity_Alloc'!B281</f>
        <v/>
      </c>
      <c r="C281" s="5">
        <f>'02a_DC_Capacity_Alloc'!C281</f>
        <v/>
      </c>
      <c r="D281" s="5">
        <f>'02a_DC_Capacity_Alloc'!D281</f>
        <v/>
      </c>
      <c r="E281" s="5">
        <f>'02a_DC_Capacity_Alloc'!E281</f>
        <v/>
      </c>
      <c r="F281" s="5">
        <f>'02a_DC_Capacity_Alloc'!F281</f>
        <v/>
      </c>
      <c r="G281" s="5">
        <f>B281&amp;"|"&amp;E281&amp;"|"&amp;D281</f>
        <v/>
      </c>
      <c r="H281" s="28">
        <f>'02a_DC_Capacity_Alloc'!H281*'02a_DC_Capacity_Alloc'!I281*'02a_DC_Capacity_Alloc'!J281</f>
        <v/>
      </c>
      <c r="I281" s="6">
        <f>IFERROR(INDEX('02b_DC_Accelerator_Mix'!$F$2:$F$977,MATCH(G281,'02b_DC_Accelerator_Mix'!$A$2:$A$977,0)),0)</f>
        <v/>
      </c>
      <c r="J281" s="6">
        <f>IFERROR(INDEX('02b_DC_Accelerator_Mix'!$G$2:$G$977,MATCH(G281,'02b_DC_Accelerator_Mix'!$A$2:$A$977,0)),0)</f>
        <v/>
      </c>
      <c r="K281" s="6">
        <f>IFERROR(INDEX('02b_DC_Accelerator_Mix'!$H$2:$H$977,MATCH(G281,'02b_DC_Accelerator_Mix'!$A$2:$A$977,0)),0)</f>
        <v/>
      </c>
      <c r="L281" s="6">
        <f>IFERROR(INDEX('02b_DC_Accelerator_Mix'!$I$2:$I$977,MATCH(G281,'02b_DC_Accelerator_Mix'!$A$2:$A$977,0)),0)</f>
        <v/>
      </c>
      <c r="M281" s="6">
        <f>IFERROR(INDEX('02b_DC_Accelerator_Mix'!$J$2:$J$977,MATCH(G281,'02b_DC_Accelerator_Mix'!$A$2:$A$977,0)),0)</f>
        <v/>
      </c>
      <c r="N281" s="6">
        <f>IFERROR(INDEX('02b_DC_Accelerator_Mix'!$K$2:$K$977,MATCH(G281,'02b_DC_Accelerator_Mix'!$A$2:$A$977,0)),0)</f>
        <v/>
      </c>
      <c r="O281" s="6">
        <f>IFERROR(INDEX('02b_DC_Accelerator_Mix'!$L$2:$L$977,MATCH(G281,'02b_DC_Accelerator_Mix'!$A$2:$A$977,0)),0)</f>
        <v/>
      </c>
      <c r="P281" s="6">
        <f>IFERROR(INDEX('02b_DC_Accelerator_Mix'!$M$2:$M$977,MATCH(G281,'02b_DC_Accelerator_Mix'!$A$2:$A$977,0)),0)</f>
        <v/>
      </c>
      <c r="Q281" s="6">
        <f>IFERROR(INDEX('02b_DC_Accelerator_Mix'!$N$2:$N$977,MATCH(G281,'02b_DC_Accelerator_Mix'!$A$2:$A$977,0)),0)</f>
        <v/>
      </c>
      <c r="R281" s="28">
        <f>H281*I281</f>
        <v/>
      </c>
      <c r="S281" s="28">
        <f>H281*J281</f>
        <v/>
      </c>
      <c r="T281" s="28">
        <f>H281*K281</f>
        <v/>
      </c>
      <c r="U281" s="28">
        <f>H281*L281</f>
        <v/>
      </c>
      <c r="V281" s="28">
        <f>H281*M281</f>
        <v/>
      </c>
      <c r="W281" s="28">
        <f>H281*N281</f>
        <v/>
      </c>
      <c r="X281" s="28">
        <f>H281*O281</f>
        <v/>
      </c>
      <c r="Y281" s="28">
        <f>H281*P281</f>
        <v/>
      </c>
      <c r="Z281" s="28">
        <f>H281*Q281</f>
        <v/>
      </c>
      <c r="AA281" s="28">
        <f>SUM(U281:Z281)</f>
        <v/>
      </c>
      <c r="AB281" s="5">
        <f>IF(COUNTIF('02b_DC_Accelerator_Mix'!$A$2:$A$977,G281)&gt;0,"matched","missing_mix")</f>
        <v/>
      </c>
    </row>
    <row r="282">
      <c r="A282" s="5">
        <f>'02a_DC_Capacity_Alloc'!A282</f>
        <v/>
      </c>
      <c r="B282" s="5">
        <f>'02a_DC_Capacity_Alloc'!B282</f>
        <v/>
      </c>
      <c r="C282" s="5">
        <f>'02a_DC_Capacity_Alloc'!C282</f>
        <v/>
      </c>
      <c r="D282" s="5">
        <f>'02a_DC_Capacity_Alloc'!D282</f>
        <v/>
      </c>
      <c r="E282" s="5">
        <f>'02a_DC_Capacity_Alloc'!E282</f>
        <v/>
      </c>
      <c r="F282" s="5">
        <f>'02a_DC_Capacity_Alloc'!F282</f>
        <v/>
      </c>
      <c r="G282" s="5">
        <f>B282&amp;"|"&amp;E282&amp;"|"&amp;D282</f>
        <v/>
      </c>
      <c r="H282" s="28">
        <f>'02a_DC_Capacity_Alloc'!H282*'02a_DC_Capacity_Alloc'!I282*'02a_DC_Capacity_Alloc'!J282</f>
        <v/>
      </c>
      <c r="I282" s="6">
        <f>IFERROR(INDEX('02b_DC_Accelerator_Mix'!$F$2:$F$977,MATCH(G282,'02b_DC_Accelerator_Mix'!$A$2:$A$977,0)),0)</f>
        <v/>
      </c>
      <c r="J282" s="6">
        <f>IFERROR(INDEX('02b_DC_Accelerator_Mix'!$G$2:$G$977,MATCH(G282,'02b_DC_Accelerator_Mix'!$A$2:$A$977,0)),0)</f>
        <v/>
      </c>
      <c r="K282" s="6">
        <f>IFERROR(INDEX('02b_DC_Accelerator_Mix'!$H$2:$H$977,MATCH(G282,'02b_DC_Accelerator_Mix'!$A$2:$A$977,0)),0)</f>
        <v/>
      </c>
      <c r="L282" s="6">
        <f>IFERROR(INDEX('02b_DC_Accelerator_Mix'!$I$2:$I$977,MATCH(G282,'02b_DC_Accelerator_Mix'!$A$2:$A$977,0)),0)</f>
        <v/>
      </c>
      <c r="M282" s="6">
        <f>IFERROR(INDEX('02b_DC_Accelerator_Mix'!$J$2:$J$977,MATCH(G282,'02b_DC_Accelerator_Mix'!$A$2:$A$977,0)),0)</f>
        <v/>
      </c>
      <c r="N282" s="6">
        <f>IFERROR(INDEX('02b_DC_Accelerator_Mix'!$K$2:$K$977,MATCH(G282,'02b_DC_Accelerator_Mix'!$A$2:$A$977,0)),0)</f>
        <v/>
      </c>
      <c r="O282" s="6">
        <f>IFERROR(INDEX('02b_DC_Accelerator_Mix'!$L$2:$L$977,MATCH(G282,'02b_DC_Accelerator_Mix'!$A$2:$A$977,0)),0)</f>
        <v/>
      </c>
      <c r="P282" s="6">
        <f>IFERROR(INDEX('02b_DC_Accelerator_Mix'!$M$2:$M$977,MATCH(G282,'02b_DC_Accelerator_Mix'!$A$2:$A$977,0)),0)</f>
        <v/>
      </c>
      <c r="Q282" s="6">
        <f>IFERROR(INDEX('02b_DC_Accelerator_Mix'!$N$2:$N$977,MATCH(G282,'02b_DC_Accelerator_Mix'!$A$2:$A$977,0)),0)</f>
        <v/>
      </c>
      <c r="R282" s="28">
        <f>H282*I282</f>
        <v/>
      </c>
      <c r="S282" s="28">
        <f>H282*J282</f>
        <v/>
      </c>
      <c r="T282" s="28">
        <f>H282*K282</f>
        <v/>
      </c>
      <c r="U282" s="28">
        <f>H282*L282</f>
        <v/>
      </c>
      <c r="V282" s="28">
        <f>H282*M282</f>
        <v/>
      </c>
      <c r="W282" s="28">
        <f>H282*N282</f>
        <v/>
      </c>
      <c r="X282" s="28">
        <f>H282*O282</f>
        <v/>
      </c>
      <c r="Y282" s="28">
        <f>H282*P282</f>
        <v/>
      </c>
      <c r="Z282" s="28">
        <f>H282*Q282</f>
        <v/>
      </c>
      <c r="AA282" s="28">
        <f>SUM(U282:Z282)</f>
        <v/>
      </c>
      <c r="AB282" s="5">
        <f>IF(COUNTIF('02b_DC_Accelerator_Mix'!$A$2:$A$977,G282)&gt;0,"matched","missing_mix")</f>
        <v/>
      </c>
    </row>
    <row r="283">
      <c r="A283" s="5">
        <f>'02a_DC_Capacity_Alloc'!A283</f>
        <v/>
      </c>
      <c r="B283" s="5">
        <f>'02a_DC_Capacity_Alloc'!B283</f>
        <v/>
      </c>
      <c r="C283" s="5">
        <f>'02a_DC_Capacity_Alloc'!C283</f>
        <v/>
      </c>
      <c r="D283" s="5">
        <f>'02a_DC_Capacity_Alloc'!D283</f>
        <v/>
      </c>
      <c r="E283" s="5">
        <f>'02a_DC_Capacity_Alloc'!E283</f>
        <v/>
      </c>
      <c r="F283" s="5">
        <f>'02a_DC_Capacity_Alloc'!F283</f>
        <v/>
      </c>
      <c r="G283" s="5">
        <f>B283&amp;"|"&amp;E283&amp;"|"&amp;D283</f>
        <v/>
      </c>
      <c r="H283" s="28">
        <f>'02a_DC_Capacity_Alloc'!H283*'02a_DC_Capacity_Alloc'!I283*'02a_DC_Capacity_Alloc'!J283</f>
        <v/>
      </c>
      <c r="I283" s="6">
        <f>IFERROR(INDEX('02b_DC_Accelerator_Mix'!$F$2:$F$977,MATCH(G283,'02b_DC_Accelerator_Mix'!$A$2:$A$977,0)),0)</f>
        <v/>
      </c>
      <c r="J283" s="6">
        <f>IFERROR(INDEX('02b_DC_Accelerator_Mix'!$G$2:$G$977,MATCH(G283,'02b_DC_Accelerator_Mix'!$A$2:$A$977,0)),0)</f>
        <v/>
      </c>
      <c r="K283" s="6">
        <f>IFERROR(INDEX('02b_DC_Accelerator_Mix'!$H$2:$H$977,MATCH(G283,'02b_DC_Accelerator_Mix'!$A$2:$A$977,0)),0)</f>
        <v/>
      </c>
      <c r="L283" s="6">
        <f>IFERROR(INDEX('02b_DC_Accelerator_Mix'!$I$2:$I$977,MATCH(G283,'02b_DC_Accelerator_Mix'!$A$2:$A$977,0)),0)</f>
        <v/>
      </c>
      <c r="M283" s="6">
        <f>IFERROR(INDEX('02b_DC_Accelerator_Mix'!$J$2:$J$977,MATCH(G283,'02b_DC_Accelerator_Mix'!$A$2:$A$977,0)),0)</f>
        <v/>
      </c>
      <c r="N283" s="6">
        <f>IFERROR(INDEX('02b_DC_Accelerator_Mix'!$K$2:$K$977,MATCH(G283,'02b_DC_Accelerator_Mix'!$A$2:$A$977,0)),0)</f>
        <v/>
      </c>
      <c r="O283" s="6">
        <f>IFERROR(INDEX('02b_DC_Accelerator_Mix'!$L$2:$L$977,MATCH(G283,'02b_DC_Accelerator_Mix'!$A$2:$A$977,0)),0)</f>
        <v/>
      </c>
      <c r="P283" s="6">
        <f>IFERROR(INDEX('02b_DC_Accelerator_Mix'!$M$2:$M$977,MATCH(G283,'02b_DC_Accelerator_Mix'!$A$2:$A$977,0)),0)</f>
        <v/>
      </c>
      <c r="Q283" s="6">
        <f>IFERROR(INDEX('02b_DC_Accelerator_Mix'!$N$2:$N$977,MATCH(G283,'02b_DC_Accelerator_Mix'!$A$2:$A$977,0)),0)</f>
        <v/>
      </c>
      <c r="R283" s="28">
        <f>H283*I283</f>
        <v/>
      </c>
      <c r="S283" s="28">
        <f>H283*J283</f>
        <v/>
      </c>
      <c r="T283" s="28">
        <f>H283*K283</f>
        <v/>
      </c>
      <c r="U283" s="28">
        <f>H283*L283</f>
        <v/>
      </c>
      <c r="V283" s="28">
        <f>H283*M283</f>
        <v/>
      </c>
      <c r="W283" s="28">
        <f>H283*N283</f>
        <v/>
      </c>
      <c r="X283" s="28">
        <f>H283*O283</f>
        <v/>
      </c>
      <c r="Y283" s="28">
        <f>H283*P283</f>
        <v/>
      </c>
      <c r="Z283" s="28">
        <f>H283*Q283</f>
        <v/>
      </c>
      <c r="AA283" s="28">
        <f>SUM(U283:Z283)</f>
        <v/>
      </c>
      <c r="AB283" s="5">
        <f>IF(COUNTIF('02b_DC_Accelerator_Mix'!$A$2:$A$977,G283)&gt;0,"matched","missing_mix")</f>
        <v/>
      </c>
    </row>
    <row r="284">
      <c r="A284" s="5">
        <f>'02a_DC_Capacity_Alloc'!A284</f>
        <v/>
      </c>
      <c r="B284" s="5">
        <f>'02a_DC_Capacity_Alloc'!B284</f>
        <v/>
      </c>
      <c r="C284" s="5">
        <f>'02a_DC_Capacity_Alloc'!C284</f>
        <v/>
      </c>
      <c r="D284" s="5">
        <f>'02a_DC_Capacity_Alloc'!D284</f>
        <v/>
      </c>
      <c r="E284" s="5">
        <f>'02a_DC_Capacity_Alloc'!E284</f>
        <v/>
      </c>
      <c r="F284" s="5">
        <f>'02a_DC_Capacity_Alloc'!F284</f>
        <v/>
      </c>
      <c r="G284" s="5">
        <f>B284&amp;"|"&amp;E284&amp;"|"&amp;D284</f>
        <v/>
      </c>
      <c r="H284" s="28">
        <f>'02a_DC_Capacity_Alloc'!H284*'02a_DC_Capacity_Alloc'!I284*'02a_DC_Capacity_Alloc'!J284</f>
        <v/>
      </c>
      <c r="I284" s="6">
        <f>IFERROR(INDEX('02b_DC_Accelerator_Mix'!$F$2:$F$977,MATCH(G284,'02b_DC_Accelerator_Mix'!$A$2:$A$977,0)),0)</f>
        <v/>
      </c>
      <c r="J284" s="6">
        <f>IFERROR(INDEX('02b_DC_Accelerator_Mix'!$G$2:$G$977,MATCH(G284,'02b_DC_Accelerator_Mix'!$A$2:$A$977,0)),0)</f>
        <v/>
      </c>
      <c r="K284" s="6">
        <f>IFERROR(INDEX('02b_DC_Accelerator_Mix'!$H$2:$H$977,MATCH(G284,'02b_DC_Accelerator_Mix'!$A$2:$A$977,0)),0)</f>
        <v/>
      </c>
      <c r="L284" s="6">
        <f>IFERROR(INDEX('02b_DC_Accelerator_Mix'!$I$2:$I$977,MATCH(G284,'02b_DC_Accelerator_Mix'!$A$2:$A$977,0)),0)</f>
        <v/>
      </c>
      <c r="M284" s="6">
        <f>IFERROR(INDEX('02b_DC_Accelerator_Mix'!$J$2:$J$977,MATCH(G284,'02b_DC_Accelerator_Mix'!$A$2:$A$977,0)),0)</f>
        <v/>
      </c>
      <c r="N284" s="6">
        <f>IFERROR(INDEX('02b_DC_Accelerator_Mix'!$K$2:$K$977,MATCH(G284,'02b_DC_Accelerator_Mix'!$A$2:$A$977,0)),0)</f>
        <v/>
      </c>
      <c r="O284" s="6">
        <f>IFERROR(INDEX('02b_DC_Accelerator_Mix'!$L$2:$L$977,MATCH(G284,'02b_DC_Accelerator_Mix'!$A$2:$A$977,0)),0)</f>
        <v/>
      </c>
      <c r="P284" s="6">
        <f>IFERROR(INDEX('02b_DC_Accelerator_Mix'!$M$2:$M$977,MATCH(G284,'02b_DC_Accelerator_Mix'!$A$2:$A$977,0)),0)</f>
        <v/>
      </c>
      <c r="Q284" s="6">
        <f>IFERROR(INDEX('02b_DC_Accelerator_Mix'!$N$2:$N$977,MATCH(G284,'02b_DC_Accelerator_Mix'!$A$2:$A$977,0)),0)</f>
        <v/>
      </c>
      <c r="R284" s="28">
        <f>H284*I284</f>
        <v/>
      </c>
      <c r="S284" s="28">
        <f>H284*J284</f>
        <v/>
      </c>
      <c r="T284" s="28">
        <f>H284*K284</f>
        <v/>
      </c>
      <c r="U284" s="28">
        <f>H284*L284</f>
        <v/>
      </c>
      <c r="V284" s="28">
        <f>H284*M284</f>
        <v/>
      </c>
      <c r="W284" s="28">
        <f>H284*N284</f>
        <v/>
      </c>
      <c r="X284" s="28">
        <f>H284*O284</f>
        <v/>
      </c>
      <c r="Y284" s="28">
        <f>H284*P284</f>
        <v/>
      </c>
      <c r="Z284" s="28">
        <f>H284*Q284</f>
        <v/>
      </c>
      <c r="AA284" s="28">
        <f>SUM(U284:Z284)</f>
        <v/>
      </c>
      <c r="AB284" s="5">
        <f>IF(COUNTIF('02b_DC_Accelerator_Mix'!$A$2:$A$977,G284)&gt;0,"matched","missing_mix")</f>
        <v/>
      </c>
    </row>
    <row r="285">
      <c r="A285" s="5">
        <f>'02a_DC_Capacity_Alloc'!A285</f>
        <v/>
      </c>
      <c r="B285" s="5">
        <f>'02a_DC_Capacity_Alloc'!B285</f>
        <v/>
      </c>
      <c r="C285" s="5">
        <f>'02a_DC_Capacity_Alloc'!C285</f>
        <v/>
      </c>
      <c r="D285" s="5">
        <f>'02a_DC_Capacity_Alloc'!D285</f>
        <v/>
      </c>
      <c r="E285" s="5">
        <f>'02a_DC_Capacity_Alloc'!E285</f>
        <v/>
      </c>
      <c r="F285" s="5">
        <f>'02a_DC_Capacity_Alloc'!F285</f>
        <v/>
      </c>
      <c r="G285" s="5">
        <f>B285&amp;"|"&amp;E285&amp;"|"&amp;D285</f>
        <v/>
      </c>
      <c r="H285" s="28">
        <f>'02a_DC_Capacity_Alloc'!H285*'02a_DC_Capacity_Alloc'!I285*'02a_DC_Capacity_Alloc'!J285</f>
        <v/>
      </c>
      <c r="I285" s="6">
        <f>IFERROR(INDEX('02b_DC_Accelerator_Mix'!$F$2:$F$977,MATCH(G285,'02b_DC_Accelerator_Mix'!$A$2:$A$977,0)),0)</f>
        <v/>
      </c>
      <c r="J285" s="6">
        <f>IFERROR(INDEX('02b_DC_Accelerator_Mix'!$G$2:$G$977,MATCH(G285,'02b_DC_Accelerator_Mix'!$A$2:$A$977,0)),0)</f>
        <v/>
      </c>
      <c r="K285" s="6">
        <f>IFERROR(INDEX('02b_DC_Accelerator_Mix'!$H$2:$H$977,MATCH(G285,'02b_DC_Accelerator_Mix'!$A$2:$A$977,0)),0)</f>
        <v/>
      </c>
      <c r="L285" s="6">
        <f>IFERROR(INDEX('02b_DC_Accelerator_Mix'!$I$2:$I$977,MATCH(G285,'02b_DC_Accelerator_Mix'!$A$2:$A$977,0)),0)</f>
        <v/>
      </c>
      <c r="M285" s="6">
        <f>IFERROR(INDEX('02b_DC_Accelerator_Mix'!$J$2:$J$977,MATCH(G285,'02b_DC_Accelerator_Mix'!$A$2:$A$977,0)),0)</f>
        <v/>
      </c>
      <c r="N285" s="6">
        <f>IFERROR(INDEX('02b_DC_Accelerator_Mix'!$K$2:$K$977,MATCH(G285,'02b_DC_Accelerator_Mix'!$A$2:$A$977,0)),0)</f>
        <v/>
      </c>
      <c r="O285" s="6">
        <f>IFERROR(INDEX('02b_DC_Accelerator_Mix'!$L$2:$L$977,MATCH(G285,'02b_DC_Accelerator_Mix'!$A$2:$A$977,0)),0)</f>
        <v/>
      </c>
      <c r="P285" s="6">
        <f>IFERROR(INDEX('02b_DC_Accelerator_Mix'!$M$2:$M$977,MATCH(G285,'02b_DC_Accelerator_Mix'!$A$2:$A$977,0)),0)</f>
        <v/>
      </c>
      <c r="Q285" s="6">
        <f>IFERROR(INDEX('02b_DC_Accelerator_Mix'!$N$2:$N$977,MATCH(G285,'02b_DC_Accelerator_Mix'!$A$2:$A$977,0)),0)</f>
        <v/>
      </c>
      <c r="R285" s="28">
        <f>H285*I285</f>
        <v/>
      </c>
      <c r="S285" s="28">
        <f>H285*J285</f>
        <v/>
      </c>
      <c r="T285" s="28">
        <f>H285*K285</f>
        <v/>
      </c>
      <c r="U285" s="28">
        <f>H285*L285</f>
        <v/>
      </c>
      <c r="V285" s="28">
        <f>H285*M285</f>
        <v/>
      </c>
      <c r="W285" s="28">
        <f>H285*N285</f>
        <v/>
      </c>
      <c r="X285" s="28">
        <f>H285*O285</f>
        <v/>
      </c>
      <c r="Y285" s="28">
        <f>H285*P285</f>
        <v/>
      </c>
      <c r="Z285" s="28">
        <f>H285*Q285</f>
        <v/>
      </c>
      <c r="AA285" s="28">
        <f>SUM(U285:Z285)</f>
        <v/>
      </c>
      <c r="AB285" s="5">
        <f>IF(COUNTIF('02b_DC_Accelerator_Mix'!$A$2:$A$977,G285)&gt;0,"matched","missing_mix")</f>
        <v/>
      </c>
    </row>
    <row r="286">
      <c r="A286" s="5">
        <f>'02a_DC_Capacity_Alloc'!A286</f>
        <v/>
      </c>
      <c r="B286" s="5">
        <f>'02a_DC_Capacity_Alloc'!B286</f>
        <v/>
      </c>
      <c r="C286" s="5">
        <f>'02a_DC_Capacity_Alloc'!C286</f>
        <v/>
      </c>
      <c r="D286" s="5">
        <f>'02a_DC_Capacity_Alloc'!D286</f>
        <v/>
      </c>
      <c r="E286" s="5">
        <f>'02a_DC_Capacity_Alloc'!E286</f>
        <v/>
      </c>
      <c r="F286" s="5">
        <f>'02a_DC_Capacity_Alloc'!F286</f>
        <v/>
      </c>
      <c r="G286" s="5">
        <f>B286&amp;"|"&amp;E286&amp;"|"&amp;D286</f>
        <v/>
      </c>
      <c r="H286" s="28">
        <f>'02a_DC_Capacity_Alloc'!H286*'02a_DC_Capacity_Alloc'!I286*'02a_DC_Capacity_Alloc'!J286</f>
        <v/>
      </c>
      <c r="I286" s="6">
        <f>IFERROR(INDEX('02b_DC_Accelerator_Mix'!$F$2:$F$977,MATCH(G286,'02b_DC_Accelerator_Mix'!$A$2:$A$977,0)),0)</f>
        <v/>
      </c>
      <c r="J286" s="6">
        <f>IFERROR(INDEX('02b_DC_Accelerator_Mix'!$G$2:$G$977,MATCH(G286,'02b_DC_Accelerator_Mix'!$A$2:$A$977,0)),0)</f>
        <v/>
      </c>
      <c r="K286" s="6">
        <f>IFERROR(INDEX('02b_DC_Accelerator_Mix'!$H$2:$H$977,MATCH(G286,'02b_DC_Accelerator_Mix'!$A$2:$A$977,0)),0)</f>
        <v/>
      </c>
      <c r="L286" s="6">
        <f>IFERROR(INDEX('02b_DC_Accelerator_Mix'!$I$2:$I$977,MATCH(G286,'02b_DC_Accelerator_Mix'!$A$2:$A$977,0)),0)</f>
        <v/>
      </c>
      <c r="M286" s="6">
        <f>IFERROR(INDEX('02b_DC_Accelerator_Mix'!$J$2:$J$977,MATCH(G286,'02b_DC_Accelerator_Mix'!$A$2:$A$977,0)),0)</f>
        <v/>
      </c>
      <c r="N286" s="6">
        <f>IFERROR(INDEX('02b_DC_Accelerator_Mix'!$K$2:$K$977,MATCH(G286,'02b_DC_Accelerator_Mix'!$A$2:$A$977,0)),0)</f>
        <v/>
      </c>
      <c r="O286" s="6">
        <f>IFERROR(INDEX('02b_DC_Accelerator_Mix'!$L$2:$L$977,MATCH(G286,'02b_DC_Accelerator_Mix'!$A$2:$A$977,0)),0)</f>
        <v/>
      </c>
      <c r="P286" s="6">
        <f>IFERROR(INDEX('02b_DC_Accelerator_Mix'!$M$2:$M$977,MATCH(G286,'02b_DC_Accelerator_Mix'!$A$2:$A$977,0)),0)</f>
        <v/>
      </c>
      <c r="Q286" s="6">
        <f>IFERROR(INDEX('02b_DC_Accelerator_Mix'!$N$2:$N$977,MATCH(G286,'02b_DC_Accelerator_Mix'!$A$2:$A$977,0)),0)</f>
        <v/>
      </c>
      <c r="R286" s="28">
        <f>H286*I286</f>
        <v/>
      </c>
      <c r="S286" s="28">
        <f>H286*J286</f>
        <v/>
      </c>
      <c r="T286" s="28">
        <f>H286*K286</f>
        <v/>
      </c>
      <c r="U286" s="28">
        <f>H286*L286</f>
        <v/>
      </c>
      <c r="V286" s="28">
        <f>H286*M286</f>
        <v/>
      </c>
      <c r="W286" s="28">
        <f>H286*N286</f>
        <v/>
      </c>
      <c r="X286" s="28">
        <f>H286*O286</f>
        <v/>
      </c>
      <c r="Y286" s="28">
        <f>H286*P286</f>
        <v/>
      </c>
      <c r="Z286" s="28">
        <f>H286*Q286</f>
        <v/>
      </c>
      <c r="AA286" s="28">
        <f>SUM(U286:Z286)</f>
        <v/>
      </c>
      <c r="AB286" s="5">
        <f>IF(COUNTIF('02b_DC_Accelerator_Mix'!$A$2:$A$977,G286)&gt;0,"matched","missing_mix")</f>
        <v/>
      </c>
    </row>
    <row r="287">
      <c r="A287" s="5">
        <f>'02a_DC_Capacity_Alloc'!A287</f>
        <v/>
      </c>
      <c r="B287" s="5">
        <f>'02a_DC_Capacity_Alloc'!B287</f>
        <v/>
      </c>
      <c r="C287" s="5">
        <f>'02a_DC_Capacity_Alloc'!C287</f>
        <v/>
      </c>
      <c r="D287" s="5">
        <f>'02a_DC_Capacity_Alloc'!D287</f>
        <v/>
      </c>
      <c r="E287" s="5">
        <f>'02a_DC_Capacity_Alloc'!E287</f>
        <v/>
      </c>
      <c r="F287" s="5">
        <f>'02a_DC_Capacity_Alloc'!F287</f>
        <v/>
      </c>
      <c r="G287" s="5">
        <f>B287&amp;"|"&amp;E287&amp;"|"&amp;D287</f>
        <v/>
      </c>
      <c r="H287" s="28">
        <f>'02a_DC_Capacity_Alloc'!H287*'02a_DC_Capacity_Alloc'!I287*'02a_DC_Capacity_Alloc'!J287</f>
        <v/>
      </c>
      <c r="I287" s="6">
        <f>IFERROR(INDEX('02b_DC_Accelerator_Mix'!$F$2:$F$977,MATCH(G287,'02b_DC_Accelerator_Mix'!$A$2:$A$977,0)),0)</f>
        <v/>
      </c>
      <c r="J287" s="6">
        <f>IFERROR(INDEX('02b_DC_Accelerator_Mix'!$G$2:$G$977,MATCH(G287,'02b_DC_Accelerator_Mix'!$A$2:$A$977,0)),0)</f>
        <v/>
      </c>
      <c r="K287" s="6">
        <f>IFERROR(INDEX('02b_DC_Accelerator_Mix'!$H$2:$H$977,MATCH(G287,'02b_DC_Accelerator_Mix'!$A$2:$A$977,0)),0)</f>
        <v/>
      </c>
      <c r="L287" s="6">
        <f>IFERROR(INDEX('02b_DC_Accelerator_Mix'!$I$2:$I$977,MATCH(G287,'02b_DC_Accelerator_Mix'!$A$2:$A$977,0)),0)</f>
        <v/>
      </c>
      <c r="M287" s="6">
        <f>IFERROR(INDEX('02b_DC_Accelerator_Mix'!$J$2:$J$977,MATCH(G287,'02b_DC_Accelerator_Mix'!$A$2:$A$977,0)),0)</f>
        <v/>
      </c>
      <c r="N287" s="6">
        <f>IFERROR(INDEX('02b_DC_Accelerator_Mix'!$K$2:$K$977,MATCH(G287,'02b_DC_Accelerator_Mix'!$A$2:$A$977,0)),0)</f>
        <v/>
      </c>
      <c r="O287" s="6">
        <f>IFERROR(INDEX('02b_DC_Accelerator_Mix'!$L$2:$L$977,MATCH(G287,'02b_DC_Accelerator_Mix'!$A$2:$A$977,0)),0)</f>
        <v/>
      </c>
      <c r="P287" s="6">
        <f>IFERROR(INDEX('02b_DC_Accelerator_Mix'!$M$2:$M$977,MATCH(G287,'02b_DC_Accelerator_Mix'!$A$2:$A$977,0)),0)</f>
        <v/>
      </c>
      <c r="Q287" s="6">
        <f>IFERROR(INDEX('02b_DC_Accelerator_Mix'!$N$2:$N$977,MATCH(G287,'02b_DC_Accelerator_Mix'!$A$2:$A$977,0)),0)</f>
        <v/>
      </c>
      <c r="R287" s="28">
        <f>H287*I287</f>
        <v/>
      </c>
      <c r="S287" s="28">
        <f>H287*J287</f>
        <v/>
      </c>
      <c r="T287" s="28">
        <f>H287*K287</f>
        <v/>
      </c>
      <c r="U287" s="28">
        <f>H287*L287</f>
        <v/>
      </c>
      <c r="V287" s="28">
        <f>H287*M287</f>
        <v/>
      </c>
      <c r="W287" s="28">
        <f>H287*N287</f>
        <v/>
      </c>
      <c r="X287" s="28">
        <f>H287*O287</f>
        <v/>
      </c>
      <c r="Y287" s="28">
        <f>H287*P287</f>
        <v/>
      </c>
      <c r="Z287" s="28">
        <f>H287*Q287</f>
        <v/>
      </c>
      <c r="AA287" s="28">
        <f>SUM(U287:Z287)</f>
        <v/>
      </c>
      <c r="AB287" s="5">
        <f>IF(COUNTIF('02b_DC_Accelerator_Mix'!$A$2:$A$977,G287)&gt;0,"matched","missing_mix")</f>
        <v/>
      </c>
    </row>
    <row r="288">
      <c r="A288" s="5">
        <f>'02a_DC_Capacity_Alloc'!A288</f>
        <v/>
      </c>
      <c r="B288" s="5">
        <f>'02a_DC_Capacity_Alloc'!B288</f>
        <v/>
      </c>
      <c r="C288" s="5">
        <f>'02a_DC_Capacity_Alloc'!C288</f>
        <v/>
      </c>
      <c r="D288" s="5">
        <f>'02a_DC_Capacity_Alloc'!D288</f>
        <v/>
      </c>
      <c r="E288" s="5">
        <f>'02a_DC_Capacity_Alloc'!E288</f>
        <v/>
      </c>
      <c r="F288" s="5">
        <f>'02a_DC_Capacity_Alloc'!F288</f>
        <v/>
      </c>
      <c r="G288" s="5">
        <f>B288&amp;"|"&amp;E288&amp;"|"&amp;D288</f>
        <v/>
      </c>
      <c r="H288" s="28">
        <f>'02a_DC_Capacity_Alloc'!H288*'02a_DC_Capacity_Alloc'!I288*'02a_DC_Capacity_Alloc'!J288</f>
        <v/>
      </c>
      <c r="I288" s="6">
        <f>IFERROR(INDEX('02b_DC_Accelerator_Mix'!$F$2:$F$977,MATCH(G288,'02b_DC_Accelerator_Mix'!$A$2:$A$977,0)),0)</f>
        <v/>
      </c>
      <c r="J288" s="6">
        <f>IFERROR(INDEX('02b_DC_Accelerator_Mix'!$G$2:$G$977,MATCH(G288,'02b_DC_Accelerator_Mix'!$A$2:$A$977,0)),0)</f>
        <v/>
      </c>
      <c r="K288" s="6">
        <f>IFERROR(INDEX('02b_DC_Accelerator_Mix'!$H$2:$H$977,MATCH(G288,'02b_DC_Accelerator_Mix'!$A$2:$A$977,0)),0)</f>
        <v/>
      </c>
      <c r="L288" s="6">
        <f>IFERROR(INDEX('02b_DC_Accelerator_Mix'!$I$2:$I$977,MATCH(G288,'02b_DC_Accelerator_Mix'!$A$2:$A$977,0)),0)</f>
        <v/>
      </c>
      <c r="M288" s="6">
        <f>IFERROR(INDEX('02b_DC_Accelerator_Mix'!$J$2:$J$977,MATCH(G288,'02b_DC_Accelerator_Mix'!$A$2:$A$977,0)),0)</f>
        <v/>
      </c>
      <c r="N288" s="6">
        <f>IFERROR(INDEX('02b_DC_Accelerator_Mix'!$K$2:$K$977,MATCH(G288,'02b_DC_Accelerator_Mix'!$A$2:$A$977,0)),0)</f>
        <v/>
      </c>
      <c r="O288" s="6">
        <f>IFERROR(INDEX('02b_DC_Accelerator_Mix'!$L$2:$L$977,MATCH(G288,'02b_DC_Accelerator_Mix'!$A$2:$A$977,0)),0)</f>
        <v/>
      </c>
      <c r="P288" s="6">
        <f>IFERROR(INDEX('02b_DC_Accelerator_Mix'!$M$2:$M$977,MATCH(G288,'02b_DC_Accelerator_Mix'!$A$2:$A$977,0)),0)</f>
        <v/>
      </c>
      <c r="Q288" s="6">
        <f>IFERROR(INDEX('02b_DC_Accelerator_Mix'!$N$2:$N$977,MATCH(G288,'02b_DC_Accelerator_Mix'!$A$2:$A$977,0)),0)</f>
        <v/>
      </c>
      <c r="R288" s="28">
        <f>H288*I288</f>
        <v/>
      </c>
      <c r="S288" s="28">
        <f>H288*J288</f>
        <v/>
      </c>
      <c r="T288" s="28">
        <f>H288*K288</f>
        <v/>
      </c>
      <c r="U288" s="28">
        <f>H288*L288</f>
        <v/>
      </c>
      <c r="V288" s="28">
        <f>H288*M288</f>
        <v/>
      </c>
      <c r="W288" s="28">
        <f>H288*N288</f>
        <v/>
      </c>
      <c r="X288" s="28">
        <f>H288*O288</f>
        <v/>
      </c>
      <c r="Y288" s="28">
        <f>H288*P288</f>
        <v/>
      </c>
      <c r="Z288" s="28">
        <f>H288*Q288</f>
        <v/>
      </c>
      <c r="AA288" s="28">
        <f>SUM(U288:Z288)</f>
        <v/>
      </c>
      <c r="AB288" s="5">
        <f>IF(COUNTIF('02b_DC_Accelerator_Mix'!$A$2:$A$977,G288)&gt;0,"matched","missing_mix")</f>
        <v/>
      </c>
    </row>
    <row r="289">
      <c r="A289" s="5">
        <f>'02a_DC_Capacity_Alloc'!A289</f>
        <v/>
      </c>
      <c r="B289" s="5">
        <f>'02a_DC_Capacity_Alloc'!B289</f>
        <v/>
      </c>
      <c r="C289" s="5">
        <f>'02a_DC_Capacity_Alloc'!C289</f>
        <v/>
      </c>
      <c r="D289" s="5">
        <f>'02a_DC_Capacity_Alloc'!D289</f>
        <v/>
      </c>
      <c r="E289" s="5">
        <f>'02a_DC_Capacity_Alloc'!E289</f>
        <v/>
      </c>
      <c r="F289" s="5">
        <f>'02a_DC_Capacity_Alloc'!F289</f>
        <v/>
      </c>
      <c r="G289" s="5">
        <f>B289&amp;"|"&amp;E289&amp;"|"&amp;D289</f>
        <v/>
      </c>
      <c r="H289" s="28">
        <f>'02a_DC_Capacity_Alloc'!H289*'02a_DC_Capacity_Alloc'!I289*'02a_DC_Capacity_Alloc'!J289</f>
        <v/>
      </c>
      <c r="I289" s="6">
        <f>IFERROR(INDEX('02b_DC_Accelerator_Mix'!$F$2:$F$977,MATCH(G289,'02b_DC_Accelerator_Mix'!$A$2:$A$977,0)),0)</f>
        <v/>
      </c>
      <c r="J289" s="6">
        <f>IFERROR(INDEX('02b_DC_Accelerator_Mix'!$G$2:$G$977,MATCH(G289,'02b_DC_Accelerator_Mix'!$A$2:$A$977,0)),0)</f>
        <v/>
      </c>
      <c r="K289" s="6">
        <f>IFERROR(INDEX('02b_DC_Accelerator_Mix'!$H$2:$H$977,MATCH(G289,'02b_DC_Accelerator_Mix'!$A$2:$A$977,0)),0)</f>
        <v/>
      </c>
      <c r="L289" s="6">
        <f>IFERROR(INDEX('02b_DC_Accelerator_Mix'!$I$2:$I$977,MATCH(G289,'02b_DC_Accelerator_Mix'!$A$2:$A$977,0)),0)</f>
        <v/>
      </c>
      <c r="M289" s="6">
        <f>IFERROR(INDEX('02b_DC_Accelerator_Mix'!$J$2:$J$977,MATCH(G289,'02b_DC_Accelerator_Mix'!$A$2:$A$977,0)),0)</f>
        <v/>
      </c>
      <c r="N289" s="6">
        <f>IFERROR(INDEX('02b_DC_Accelerator_Mix'!$K$2:$K$977,MATCH(G289,'02b_DC_Accelerator_Mix'!$A$2:$A$977,0)),0)</f>
        <v/>
      </c>
      <c r="O289" s="6">
        <f>IFERROR(INDEX('02b_DC_Accelerator_Mix'!$L$2:$L$977,MATCH(G289,'02b_DC_Accelerator_Mix'!$A$2:$A$977,0)),0)</f>
        <v/>
      </c>
      <c r="P289" s="6">
        <f>IFERROR(INDEX('02b_DC_Accelerator_Mix'!$M$2:$M$977,MATCH(G289,'02b_DC_Accelerator_Mix'!$A$2:$A$977,0)),0)</f>
        <v/>
      </c>
      <c r="Q289" s="6">
        <f>IFERROR(INDEX('02b_DC_Accelerator_Mix'!$N$2:$N$977,MATCH(G289,'02b_DC_Accelerator_Mix'!$A$2:$A$977,0)),0)</f>
        <v/>
      </c>
      <c r="R289" s="28">
        <f>H289*I289</f>
        <v/>
      </c>
      <c r="S289" s="28">
        <f>H289*J289</f>
        <v/>
      </c>
      <c r="T289" s="28">
        <f>H289*K289</f>
        <v/>
      </c>
      <c r="U289" s="28">
        <f>H289*L289</f>
        <v/>
      </c>
      <c r="V289" s="28">
        <f>H289*M289</f>
        <v/>
      </c>
      <c r="W289" s="28">
        <f>H289*N289</f>
        <v/>
      </c>
      <c r="X289" s="28">
        <f>H289*O289</f>
        <v/>
      </c>
      <c r="Y289" s="28">
        <f>H289*P289</f>
        <v/>
      </c>
      <c r="Z289" s="28">
        <f>H289*Q289</f>
        <v/>
      </c>
      <c r="AA289" s="28">
        <f>SUM(U289:Z289)</f>
        <v/>
      </c>
      <c r="AB289" s="5">
        <f>IF(COUNTIF('02b_DC_Accelerator_Mix'!$A$2:$A$977,G289)&gt;0,"matched","missing_mix")</f>
        <v/>
      </c>
    </row>
    <row r="290">
      <c r="A290" s="5">
        <f>'02a_DC_Capacity_Alloc'!A290</f>
        <v/>
      </c>
      <c r="B290" s="5">
        <f>'02a_DC_Capacity_Alloc'!B290</f>
        <v/>
      </c>
      <c r="C290" s="5">
        <f>'02a_DC_Capacity_Alloc'!C290</f>
        <v/>
      </c>
      <c r="D290" s="5">
        <f>'02a_DC_Capacity_Alloc'!D290</f>
        <v/>
      </c>
      <c r="E290" s="5">
        <f>'02a_DC_Capacity_Alloc'!E290</f>
        <v/>
      </c>
      <c r="F290" s="5">
        <f>'02a_DC_Capacity_Alloc'!F290</f>
        <v/>
      </c>
      <c r="G290" s="5">
        <f>B290&amp;"|"&amp;E290&amp;"|"&amp;D290</f>
        <v/>
      </c>
      <c r="H290" s="28">
        <f>'02a_DC_Capacity_Alloc'!H290*'02a_DC_Capacity_Alloc'!I290*'02a_DC_Capacity_Alloc'!J290</f>
        <v/>
      </c>
      <c r="I290" s="6">
        <f>IFERROR(INDEX('02b_DC_Accelerator_Mix'!$F$2:$F$977,MATCH(G290,'02b_DC_Accelerator_Mix'!$A$2:$A$977,0)),0)</f>
        <v/>
      </c>
      <c r="J290" s="6">
        <f>IFERROR(INDEX('02b_DC_Accelerator_Mix'!$G$2:$G$977,MATCH(G290,'02b_DC_Accelerator_Mix'!$A$2:$A$977,0)),0)</f>
        <v/>
      </c>
      <c r="K290" s="6">
        <f>IFERROR(INDEX('02b_DC_Accelerator_Mix'!$H$2:$H$977,MATCH(G290,'02b_DC_Accelerator_Mix'!$A$2:$A$977,0)),0)</f>
        <v/>
      </c>
      <c r="L290" s="6">
        <f>IFERROR(INDEX('02b_DC_Accelerator_Mix'!$I$2:$I$977,MATCH(G290,'02b_DC_Accelerator_Mix'!$A$2:$A$977,0)),0)</f>
        <v/>
      </c>
      <c r="M290" s="6">
        <f>IFERROR(INDEX('02b_DC_Accelerator_Mix'!$J$2:$J$977,MATCH(G290,'02b_DC_Accelerator_Mix'!$A$2:$A$977,0)),0)</f>
        <v/>
      </c>
      <c r="N290" s="6">
        <f>IFERROR(INDEX('02b_DC_Accelerator_Mix'!$K$2:$K$977,MATCH(G290,'02b_DC_Accelerator_Mix'!$A$2:$A$977,0)),0)</f>
        <v/>
      </c>
      <c r="O290" s="6">
        <f>IFERROR(INDEX('02b_DC_Accelerator_Mix'!$L$2:$L$977,MATCH(G290,'02b_DC_Accelerator_Mix'!$A$2:$A$977,0)),0)</f>
        <v/>
      </c>
      <c r="P290" s="6">
        <f>IFERROR(INDEX('02b_DC_Accelerator_Mix'!$M$2:$M$977,MATCH(G290,'02b_DC_Accelerator_Mix'!$A$2:$A$977,0)),0)</f>
        <v/>
      </c>
      <c r="Q290" s="6">
        <f>IFERROR(INDEX('02b_DC_Accelerator_Mix'!$N$2:$N$977,MATCH(G290,'02b_DC_Accelerator_Mix'!$A$2:$A$977,0)),0)</f>
        <v/>
      </c>
      <c r="R290" s="28">
        <f>H290*I290</f>
        <v/>
      </c>
      <c r="S290" s="28">
        <f>H290*J290</f>
        <v/>
      </c>
      <c r="T290" s="28">
        <f>H290*K290</f>
        <v/>
      </c>
      <c r="U290" s="28">
        <f>H290*L290</f>
        <v/>
      </c>
      <c r="V290" s="28">
        <f>H290*M290</f>
        <v/>
      </c>
      <c r="W290" s="28">
        <f>H290*N290</f>
        <v/>
      </c>
      <c r="X290" s="28">
        <f>H290*O290</f>
        <v/>
      </c>
      <c r="Y290" s="28">
        <f>H290*P290</f>
        <v/>
      </c>
      <c r="Z290" s="28">
        <f>H290*Q290</f>
        <v/>
      </c>
      <c r="AA290" s="28">
        <f>SUM(U290:Z290)</f>
        <v/>
      </c>
      <c r="AB290" s="5">
        <f>IF(COUNTIF('02b_DC_Accelerator_Mix'!$A$2:$A$977,G290)&gt;0,"matched","missing_mix")</f>
        <v/>
      </c>
    </row>
    <row r="291">
      <c r="A291" s="5">
        <f>'02a_DC_Capacity_Alloc'!A291</f>
        <v/>
      </c>
      <c r="B291" s="5">
        <f>'02a_DC_Capacity_Alloc'!B291</f>
        <v/>
      </c>
      <c r="C291" s="5">
        <f>'02a_DC_Capacity_Alloc'!C291</f>
        <v/>
      </c>
      <c r="D291" s="5">
        <f>'02a_DC_Capacity_Alloc'!D291</f>
        <v/>
      </c>
      <c r="E291" s="5">
        <f>'02a_DC_Capacity_Alloc'!E291</f>
        <v/>
      </c>
      <c r="F291" s="5">
        <f>'02a_DC_Capacity_Alloc'!F291</f>
        <v/>
      </c>
      <c r="G291" s="5">
        <f>B291&amp;"|"&amp;E291&amp;"|"&amp;D291</f>
        <v/>
      </c>
      <c r="H291" s="28">
        <f>'02a_DC_Capacity_Alloc'!H291*'02a_DC_Capacity_Alloc'!I291*'02a_DC_Capacity_Alloc'!J291</f>
        <v/>
      </c>
      <c r="I291" s="6">
        <f>IFERROR(INDEX('02b_DC_Accelerator_Mix'!$F$2:$F$977,MATCH(G291,'02b_DC_Accelerator_Mix'!$A$2:$A$977,0)),0)</f>
        <v/>
      </c>
      <c r="J291" s="6">
        <f>IFERROR(INDEX('02b_DC_Accelerator_Mix'!$G$2:$G$977,MATCH(G291,'02b_DC_Accelerator_Mix'!$A$2:$A$977,0)),0)</f>
        <v/>
      </c>
      <c r="K291" s="6">
        <f>IFERROR(INDEX('02b_DC_Accelerator_Mix'!$H$2:$H$977,MATCH(G291,'02b_DC_Accelerator_Mix'!$A$2:$A$977,0)),0)</f>
        <v/>
      </c>
      <c r="L291" s="6">
        <f>IFERROR(INDEX('02b_DC_Accelerator_Mix'!$I$2:$I$977,MATCH(G291,'02b_DC_Accelerator_Mix'!$A$2:$A$977,0)),0)</f>
        <v/>
      </c>
      <c r="M291" s="6">
        <f>IFERROR(INDEX('02b_DC_Accelerator_Mix'!$J$2:$J$977,MATCH(G291,'02b_DC_Accelerator_Mix'!$A$2:$A$977,0)),0)</f>
        <v/>
      </c>
      <c r="N291" s="6">
        <f>IFERROR(INDEX('02b_DC_Accelerator_Mix'!$K$2:$K$977,MATCH(G291,'02b_DC_Accelerator_Mix'!$A$2:$A$977,0)),0)</f>
        <v/>
      </c>
      <c r="O291" s="6">
        <f>IFERROR(INDEX('02b_DC_Accelerator_Mix'!$L$2:$L$977,MATCH(G291,'02b_DC_Accelerator_Mix'!$A$2:$A$977,0)),0)</f>
        <v/>
      </c>
      <c r="P291" s="6">
        <f>IFERROR(INDEX('02b_DC_Accelerator_Mix'!$M$2:$M$977,MATCH(G291,'02b_DC_Accelerator_Mix'!$A$2:$A$977,0)),0)</f>
        <v/>
      </c>
      <c r="Q291" s="6">
        <f>IFERROR(INDEX('02b_DC_Accelerator_Mix'!$N$2:$N$977,MATCH(G291,'02b_DC_Accelerator_Mix'!$A$2:$A$977,0)),0)</f>
        <v/>
      </c>
      <c r="R291" s="28">
        <f>H291*I291</f>
        <v/>
      </c>
      <c r="S291" s="28">
        <f>H291*J291</f>
        <v/>
      </c>
      <c r="T291" s="28">
        <f>H291*K291</f>
        <v/>
      </c>
      <c r="U291" s="28">
        <f>H291*L291</f>
        <v/>
      </c>
      <c r="V291" s="28">
        <f>H291*M291</f>
        <v/>
      </c>
      <c r="W291" s="28">
        <f>H291*N291</f>
        <v/>
      </c>
      <c r="X291" s="28">
        <f>H291*O291</f>
        <v/>
      </c>
      <c r="Y291" s="28">
        <f>H291*P291</f>
        <v/>
      </c>
      <c r="Z291" s="28">
        <f>H291*Q291</f>
        <v/>
      </c>
      <c r="AA291" s="28">
        <f>SUM(U291:Z291)</f>
        <v/>
      </c>
      <c r="AB291" s="5">
        <f>IF(COUNTIF('02b_DC_Accelerator_Mix'!$A$2:$A$977,G291)&gt;0,"matched","missing_mix")</f>
        <v/>
      </c>
    </row>
    <row r="292">
      <c r="A292" s="5">
        <f>'02a_DC_Capacity_Alloc'!A292</f>
        <v/>
      </c>
      <c r="B292" s="5">
        <f>'02a_DC_Capacity_Alloc'!B292</f>
        <v/>
      </c>
      <c r="C292" s="5">
        <f>'02a_DC_Capacity_Alloc'!C292</f>
        <v/>
      </c>
      <c r="D292" s="5">
        <f>'02a_DC_Capacity_Alloc'!D292</f>
        <v/>
      </c>
      <c r="E292" s="5">
        <f>'02a_DC_Capacity_Alloc'!E292</f>
        <v/>
      </c>
      <c r="F292" s="5">
        <f>'02a_DC_Capacity_Alloc'!F292</f>
        <v/>
      </c>
      <c r="G292" s="5">
        <f>B292&amp;"|"&amp;E292&amp;"|"&amp;D292</f>
        <v/>
      </c>
      <c r="H292" s="28">
        <f>'02a_DC_Capacity_Alloc'!H292*'02a_DC_Capacity_Alloc'!I292*'02a_DC_Capacity_Alloc'!J292</f>
        <v/>
      </c>
      <c r="I292" s="6">
        <f>IFERROR(INDEX('02b_DC_Accelerator_Mix'!$F$2:$F$977,MATCH(G292,'02b_DC_Accelerator_Mix'!$A$2:$A$977,0)),0)</f>
        <v/>
      </c>
      <c r="J292" s="6">
        <f>IFERROR(INDEX('02b_DC_Accelerator_Mix'!$G$2:$G$977,MATCH(G292,'02b_DC_Accelerator_Mix'!$A$2:$A$977,0)),0)</f>
        <v/>
      </c>
      <c r="K292" s="6">
        <f>IFERROR(INDEX('02b_DC_Accelerator_Mix'!$H$2:$H$977,MATCH(G292,'02b_DC_Accelerator_Mix'!$A$2:$A$977,0)),0)</f>
        <v/>
      </c>
      <c r="L292" s="6">
        <f>IFERROR(INDEX('02b_DC_Accelerator_Mix'!$I$2:$I$977,MATCH(G292,'02b_DC_Accelerator_Mix'!$A$2:$A$977,0)),0)</f>
        <v/>
      </c>
      <c r="M292" s="6">
        <f>IFERROR(INDEX('02b_DC_Accelerator_Mix'!$J$2:$J$977,MATCH(G292,'02b_DC_Accelerator_Mix'!$A$2:$A$977,0)),0)</f>
        <v/>
      </c>
      <c r="N292" s="6">
        <f>IFERROR(INDEX('02b_DC_Accelerator_Mix'!$K$2:$K$977,MATCH(G292,'02b_DC_Accelerator_Mix'!$A$2:$A$977,0)),0)</f>
        <v/>
      </c>
      <c r="O292" s="6">
        <f>IFERROR(INDEX('02b_DC_Accelerator_Mix'!$L$2:$L$977,MATCH(G292,'02b_DC_Accelerator_Mix'!$A$2:$A$977,0)),0)</f>
        <v/>
      </c>
      <c r="P292" s="6">
        <f>IFERROR(INDEX('02b_DC_Accelerator_Mix'!$M$2:$M$977,MATCH(G292,'02b_DC_Accelerator_Mix'!$A$2:$A$977,0)),0)</f>
        <v/>
      </c>
      <c r="Q292" s="6">
        <f>IFERROR(INDEX('02b_DC_Accelerator_Mix'!$N$2:$N$977,MATCH(G292,'02b_DC_Accelerator_Mix'!$A$2:$A$977,0)),0)</f>
        <v/>
      </c>
      <c r="R292" s="28">
        <f>H292*I292</f>
        <v/>
      </c>
      <c r="S292" s="28">
        <f>H292*J292</f>
        <v/>
      </c>
      <c r="T292" s="28">
        <f>H292*K292</f>
        <v/>
      </c>
      <c r="U292" s="28">
        <f>H292*L292</f>
        <v/>
      </c>
      <c r="V292" s="28">
        <f>H292*M292</f>
        <v/>
      </c>
      <c r="W292" s="28">
        <f>H292*N292</f>
        <v/>
      </c>
      <c r="X292" s="28">
        <f>H292*O292</f>
        <v/>
      </c>
      <c r="Y292" s="28">
        <f>H292*P292</f>
        <v/>
      </c>
      <c r="Z292" s="28">
        <f>H292*Q292</f>
        <v/>
      </c>
      <c r="AA292" s="28">
        <f>SUM(U292:Z292)</f>
        <v/>
      </c>
      <c r="AB292" s="5">
        <f>IF(COUNTIF('02b_DC_Accelerator_Mix'!$A$2:$A$977,G292)&gt;0,"matched","missing_mix")</f>
        <v/>
      </c>
    </row>
    <row r="293">
      <c r="A293" s="5">
        <f>'02a_DC_Capacity_Alloc'!A293</f>
        <v/>
      </c>
      <c r="B293" s="5">
        <f>'02a_DC_Capacity_Alloc'!B293</f>
        <v/>
      </c>
      <c r="C293" s="5">
        <f>'02a_DC_Capacity_Alloc'!C293</f>
        <v/>
      </c>
      <c r="D293" s="5">
        <f>'02a_DC_Capacity_Alloc'!D293</f>
        <v/>
      </c>
      <c r="E293" s="5">
        <f>'02a_DC_Capacity_Alloc'!E293</f>
        <v/>
      </c>
      <c r="F293" s="5">
        <f>'02a_DC_Capacity_Alloc'!F293</f>
        <v/>
      </c>
      <c r="G293" s="5">
        <f>B293&amp;"|"&amp;E293&amp;"|"&amp;D293</f>
        <v/>
      </c>
      <c r="H293" s="28">
        <f>'02a_DC_Capacity_Alloc'!H293*'02a_DC_Capacity_Alloc'!I293*'02a_DC_Capacity_Alloc'!J293</f>
        <v/>
      </c>
      <c r="I293" s="6">
        <f>IFERROR(INDEX('02b_DC_Accelerator_Mix'!$F$2:$F$977,MATCH(G293,'02b_DC_Accelerator_Mix'!$A$2:$A$977,0)),0)</f>
        <v/>
      </c>
      <c r="J293" s="6">
        <f>IFERROR(INDEX('02b_DC_Accelerator_Mix'!$G$2:$G$977,MATCH(G293,'02b_DC_Accelerator_Mix'!$A$2:$A$977,0)),0)</f>
        <v/>
      </c>
      <c r="K293" s="6">
        <f>IFERROR(INDEX('02b_DC_Accelerator_Mix'!$H$2:$H$977,MATCH(G293,'02b_DC_Accelerator_Mix'!$A$2:$A$977,0)),0)</f>
        <v/>
      </c>
      <c r="L293" s="6">
        <f>IFERROR(INDEX('02b_DC_Accelerator_Mix'!$I$2:$I$977,MATCH(G293,'02b_DC_Accelerator_Mix'!$A$2:$A$977,0)),0)</f>
        <v/>
      </c>
      <c r="M293" s="6">
        <f>IFERROR(INDEX('02b_DC_Accelerator_Mix'!$J$2:$J$977,MATCH(G293,'02b_DC_Accelerator_Mix'!$A$2:$A$977,0)),0)</f>
        <v/>
      </c>
      <c r="N293" s="6">
        <f>IFERROR(INDEX('02b_DC_Accelerator_Mix'!$K$2:$K$977,MATCH(G293,'02b_DC_Accelerator_Mix'!$A$2:$A$977,0)),0)</f>
        <v/>
      </c>
      <c r="O293" s="6">
        <f>IFERROR(INDEX('02b_DC_Accelerator_Mix'!$L$2:$L$977,MATCH(G293,'02b_DC_Accelerator_Mix'!$A$2:$A$977,0)),0)</f>
        <v/>
      </c>
      <c r="P293" s="6">
        <f>IFERROR(INDEX('02b_DC_Accelerator_Mix'!$M$2:$M$977,MATCH(G293,'02b_DC_Accelerator_Mix'!$A$2:$A$977,0)),0)</f>
        <v/>
      </c>
      <c r="Q293" s="6">
        <f>IFERROR(INDEX('02b_DC_Accelerator_Mix'!$N$2:$N$977,MATCH(G293,'02b_DC_Accelerator_Mix'!$A$2:$A$977,0)),0)</f>
        <v/>
      </c>
      <c r="R293" s="28">
        <f>H293*I293</f>
        <v/>
      </c>
      <c r="S293" s="28">
        <f>H293*J293</f>
        <v/>
      </c>
      <c r="T293" s="28">
        <f>H293*K293</f>
        <v/>
      </c>
      <c r="U293" s="28">
        <f>H293*L293</f>
        <v/>
      </c>
      <c r="V293" s="28">
        <f>H293*M293</f>
        <v/>
      </c>
      <c r="W293" s="28">
        <f>H293*N293</f>
        <v/>
      </c>
      <c r="X293" s="28">
        <f>H293*O293</f>
        <v/>
      </c>
      <c r="Y293" s="28">
        <f>H293*P293</f>
        <v/>
      </c>
      <c r="Z293" s="28">
        <f>H293*Q293</f>
        <v/>
      </c>
      <c r="AA293" s="28">
        <f>SUM(U293:Z293)</f>
        <v/>
      </c>
      <c r="AB293" s="5">
        <f>IF(COUNTIF('02b_DC_Accelerator_Mix'!$A$2:$A$977,G293)&gt;0,"matched","missing_mix")</f>
        <v/>
      </c>
    </row>
    <row r="294">
      <c r="A294" s="5">
        <f>'02a_DC_Capacity_Alloc'!A294</f>
        <v/>
      </c>
      <c r="B294" s="5">
        <f>'02a_DC_Capacity_Alloc'!B294</f>
        <v/>
      </c>
      <c r="C294" s="5">
        <f>'02a_DC_Capacity_Alloc'!C294</f>
        <v/>
      </c>
      <c r="D294" s="5">
        <f>'02a_DC_Capacity_Alloc'!D294</f>
        <v/>
      </c>
      <c r="E294" s="5">
        <f>'02a_DC_Capacity_Alloc'!E294</f>
        <v/>
      </c>
      <c r="F294" s="5">
        <f>'02a_DC_Capacity_Alloc'!F294</f>
        <v/>
      </c>
      <c r="G294" s="5">
        <f>B294&amp;"|"&amp;E294&amp;"|"&amp;D294</f>
        <v/>
      </c>
      <c r="H294" s="28">
        <f>'02a_DC_Capacity_Alloc'!H294*'02a_DC_Capacity_Alloc'!I294*'02a_DC_Capacity_Alloc'!J294</f>
        <v/>
      </c>
      <c r="I294" s="6">
        <f>IFERROR(INDEX('02b_DC_Accelerator_Mix'!$F$2:$F$977,MATCH(G294,'02b_DC_Accelerator_Mix'!$A$2:$A$977,0)),0)</f>
        <v/>
      </c>
      <c r="J294" s="6">
        <f>IFERROR(INDEX('02b_DC_Accelerator_Mix'!$G$2:$G$977,MATCH(G294,'02b_DC_Accelerator_Mix'!$A$2:$A$977,0)),0)</f>
        <v/>
      </c>
      <c r="K294" s="6">
        <f>IFERROR(INDEX('02b_DC_Accelerator_Mix'!$H$2:$H$977,MATCH(G294,'02b_DC_Accelerator_Mix'!$A$2:$A$977,0)),0)</f>
        <v/>
      </c>
      <c r="L294" s="6">
        <f>IFERROR(INDEX('02b_DC_Accelerator_Mix'!$I$2:$I$977,MATCH(G294,'02b_DC_Accelerator_Mix'!$A$2:$A$977,0)),0)</f>
        <v/>
      </c>
      <c r="M294" s="6">
        <f>IFERROR(INDEX('02b_DC_Accelerator_Mix'!$J$2:$J$977,MATCH(G294,'02b_DC_Accelerator_Mix'!$A$2:$A$977,0)),0)</f>
        <v/>
      </c>
      <c r="N294" s="6">
        <f>IFERROR(INDEX('02b_DC_Accelerator_Mix'!$K$2:$K$977,MATCH(G294,'02b_DC_Accelerator_Mix'!$A$2:$A$977,0)),0)</f>
        <v/>
      </c>
      <c r="O294" s="6">
        <f>IFERROR(INDEX('02b_DC_Accelerator_Mix'!$L$2:$L$977,MATCH(G294,'02b_DC_Accelerator_Mix'!$A$2:$A$977,0)),0)</f>
        <v/>
      </c>
      <c r="P294" s="6">
        <f>IFERROR(INDEX('02b_DC_Accelerator_Mix'!$M$2:$M$977,MATCH(G294,'02b_DC_Accelerator_Mix'!$A$2:$A$977,0)),0)</f>
        <v/>
      </c>
      <c r="Q294" s="6">
        <f>IFERROR(INDEX('02b_DC_Accelerator_Mix'!$N$2:$N$977,MATCH(G294,'02b_DC_Accelerator_Mix'!$A$2:$A$977,0)),0)</f>
        <v/>
      </c>
      <c r="R294" s="28">
        <f>H294*I294</f>
        <v/>
      </c>
      <c r="S294" s="28">
        <f>H294*J294</f>
        <v/>
      </c>
      <c r="T294" s="28">
        <f>H294*K294</f>
        <v/>
      </c>
      <c r="U294" s="28">
        <f>H294*L294</f>
        <v/>
      </c>
      <c r="V294" s="28">
        <f>H294*M294</f>
        <v/>
      </c>
      <c r="W294" s="28">
        <f>H294*N294</f>
        <v/>
      </c>
      <c r="X294" s="28">
        <f>H294*O294</f>
        <v/>
      </c>
      <c r="Y294" s="28">
        <f>H294*P294</f>
        <v/>
      </c>
      <c r="Z294" s="28">
        <f>H294*Q294</f>
        <v/>
      </c>
      <c r="AA294" s="28">
        <f>SUM(U294:Z294)</f>
        <v/>
      </c>
      <c r="AB294" s="5">
        <f>IF(COUNTIF('02b_DC_Accelerator_Mix'!$A$2:$A$977,G294)&gt;0,"matched","missing_mix")</f>
        <v/>
      </c>
    </row>
    <row r="295">
      <c r="A295" s="5">
        <f>'02a_DC_Capacity_Alloc'!A295</f>
        <v/>
      </c>
      <c r="B295" s="5">
        <f>'02a_DC_Capacity_Alloc'!B295</f>
        <v/>
      </c>
      <c r="C295" s="5">
        <f>'02a_DC_Capacity_Alloc'!C295</f>
        <v/>
      </c>
      <c r="D295" s="5">
        <f>'02a_DC_Capacity_Alloc'!D295</f>
        <v/>
      </c>
      <c r="E295" s="5">
        <f>'02a_DC_Capacity_Alloc'!E295</f>
        <v/>
      </c>
      <c r="F295" s="5">
        <f>'02a_DC_Capacity_Alloc'!F295</f>
        <v/>
      </c>
      <c r="G295" s="5">
        <f>B295&amp;"|"&amp;E295&amp;"|"&amp;D295</f>
        <v/>
      </c>
      <c r="H295" s="28">
        <f>'02a_DC_Capacity_Alloc'!H295*'02a_DC_Capacity_Alloc'!I295*'02a_DC_Capacity_Alloc'!J295</f>
        <v/>
      </c>
      <c r="I295" s="6">
        <f>IFERROR(INDEX('02b_DC_Accelerator_Mix'!$F$2:$F$977,MATCH(G295,'02b_DC_Accelerator_Mix'!$A$2:$A$977,0)),0)</f>
        <v/>
      </c>
      <c r="J295" s="6">
        <f>IFERROR(INDEX('02b_DC_Accelerator_Mix'!$G$2:$G$977,MATCH(G295,'02b_DC_Accelerator_Mix'!$A$2:$A$977,0)),0)</f>
        <v/>
      </c>
      <c r="K295" s="6">
        <f>IFERROR(INDEX('02b_DC_Accelerator_Mix'!$H$2:$H$977,MATCH(G295,'02b_DC_Accelerator_Mix'!$A$2:$A$977,0)),0)</f>
        <v/>
      </c>
      <c r="L295" s="6">
        <f>IFERROR(INDEX('02b_DC_Accelerator_Mix'!$I$2:$I$977,MATCH(G295,'02b_DC_Accelerator_Mix'!$A$2:$A$977,0)),0)</f>
        <v/>
      </c>
      <c r="M295" s="6">
        <f>IFERROR(INDEX('02b_DC_Accelerator_Mix'!$J$2:$J$977,MATCH(G295,'02b_DC_Accelerator_Mix'!$A$2:$A$977,0)),0)</f>
        <v/>
      </c>
      <c r="N295" s="6">
        <f>IFERROR(INDEX('02b_DC_Accelerator_Mix'!$K$2:$K$977,MATCH(G295,'02b_DC_Accelerator_Mix'!$A$2:$A$977,0)),0)</f>
        <v/>
      </c>
      <c r="O295" s="6">
        <f>IFERROR(INDEX('02b_DC_Accelerator_Mix'!$L$2:$L$977,MATCH(G295,'02b_DC_Accelerator_Mix'!$A$2:$A$977,0)),0)</f>
        <v/>
      </c>
      <c r="P295" s="6">
        <f>IFERROR(INDEX('02b_DC_Accelerator_Mix'!$M$2:$M$977,MATCH(G295,'02b_DC_Accelerator_Mix'!$A$2:$A$977,0)),0)</f>
        <v/>
      </c>
      <c r="Q295" s="6">
        <f>IFERROR(INDEX('02b_DC_Accelerator_Mix'!$N$2:$N$977,MATCH(G295,'02b_DC_Accelerator_Mix'!$A$2:$A$977,0)),0)</f>
        <v/>
      </c>
      <c r="R295" s="28">
        <f>H295*I295</f>
        <v/>
      </c>
      <c r="S295" s="28">
        <f>H295*J295</f>
        <v/>
      </c>
      <c r="T295" s="28">
        <f>H295*K295</f>
        <v/>
      </c>
      <c r="U295" s="28">
        <f>H295*L295</f>
        <v/>
      </c>
      <c r="V295" s="28">
        <f>H295*M295</f>
        <v/>
      </c>
      <c r="W295" s="28">
        <f>H295*N295</f>
        <v/>
      </c>
      <c r="X295" s="28">
        <f>H295*O295</f>
        <v/>
      </c>
      <c r="Y295" s="28">
        <f>H295*P295</f>
        <v/>
      </c>
      <c r="Z295" s="28">
        <f>H295*Q295</f>
        <v/>
      </c>
      <c r="AA295" s="28">
        <f>SUM(U295:Z295)</f>
        <v/>
      </c>
      <c r="AB295" s="5">
        <f>IF(COUNTIF('02b_DC_Accelerator_Mix'!$A$2:$A$977,G295)&gt;0,"matched","missing_mix")</f>
        <v/>
      </c>
    </row>
    <row r="296">
      <c r="A296" s="5">
        <f>'02a_DC_Capacity_Alloc'!A296</f>
        <v/>
      </c>
      <c r="B296" s="5">
        <f>'02a_DC_Capacity_Alloc'!B296</f>
        <v/>
      </c>
      <c r="C296" s="5">
        <f>'02a_DC_Capacity_Alloc'!C296</f>
        <v/>
      </c>
      <c r="D296" s="5">
        <f>'02a_DC_Capacity_Alloc'!D296</f>
        <v/>
      </c>
      <c r="E296" s="5">
        <f>'02a_DC_Capacity_Alloc'!E296</f>
        <v/>
      </c>
      <c r="F296" s="5">
        <f>'02a_DC_Capacity_Alloc'!F296</f>
        <v/>
      </c>
      <c r="G296" s="5">
        <f>B296&amp;"|"&amp;E296&amp;"|"&amp;D296</f>
        <v/>
      </c>
      <c r="H296" s="28">
        <f>'02a_DC_Capacity_Alloc'!H296*'02a_DC_Capacity_Alloc'!I296*'02a_DC_Capacity_Alloc'!J296</f>
        <v/>
      </c>
      <c r="I296" s="6">
        <f>IFERROR(INDEX('02b_DC_Accelerator_Mix'!$F$2:$F$977,MATCH(G296,'02b_DC_Accelerator_Mix'!$A$2:$A$977,0)),0)</f>
        <v/>
      </c>
      <c r="J296" s="6">
        <f>IFERROR(INDEX('02b_DC_Accelerator_Mix'!$G$2:$G$977,MATCH(G296,'02b_DC_Accelerator_Mix'!$A$2:$A$977,0)),0)</f>
        <v/>
      </c>
      <c r="K296" s="6">
        <f>IFERROR(INDEX('02b_DC_Accelerator_Mix'!$H$2:$H$977,MATCH(G296,'02b_DC_Accelerator_Mix'!$A$2:$A$977,0)),0)</f>
        <v/>
      </c>
      <c r="L296" s="6">
        <f>IFERROR(INDEX('02b_DC_Accelerator_Mix'!$I$2:$I$977,MATCH(G296,'02b_DC_Accelerator_Mix'!$A$2:$A$977,0)),0)</f>
        <v/>
      </c>
      <c r="M296" s="6">
        <f>IFERROR(INDEX('02b_DC_Accelerator_Mix'!$J$2:$J$977,MATCH(G296,'02b_DC_Accelerator_Mix'!$A$2:$A$977,0)),0)</f>
        <v/>
      </c>
      <c r="N296" s="6">
        <f>IFERROR(INDEX('02b_DC_Accelerator_Mix'!$K$2:$K$977,MATCH(G296,'02b_DC_Accelerator_Mix'!$A$2:$A$977,0)),0)</f>
        <v/>
      </c>
      <c r="O296" s="6">
        <f>IFERROR(INDEX('02b_DC_Accelerator_Mix'!$L$2:$L$977,MATCH(G296,'02b_DC_Accelerator_Mix'!$A$2:$A$977,0)),0)</f>
        <v/>
      </c>
      <c r="P296" s="6">
        <f>IFERROR(INDEX('02b_DC_Accelerator_Mix'!$M$2:$M$977,MATCH(G296,'02b_DC_Accelerator_Mix'!$A$2:$A$977,0)),0)</f>
        <v/>
      </c>
      <c r="Q296" s="6">
        <f>IFERROR(INDEX('02b_DC_Accelerator_Mix'!$N$2:$N$977,MATCH(G296,'02b_DC_Accelerator_Mix'!$A$2:$A$977,0)),0)</f>
        <v/>
      </c>
      <c r="R296" s="28">
        <f>H296*I296</f>
        <v/>
      </c>
      <c r="S296" s="28">
        <f>H296*J296</f>
        <v/>
      </c>
      <c r="T296" s="28">
        <f>H296*K296</f>
        <v/>
      </c>
      <c r="U296" s="28">
        <f>H296*L296</f>
        <v/>
      </c>
      <c r="V296" s="28">
        <f>H296*M296</f>
        <v/>
      </c>
      <c r="W296" s="28">
        <f>H296*N296</f>
        <v/>
      </c>
      <c r="X296" s="28">
        <f>H296*O296</f>
        <v/>
      </c>
      <c r="Y296" s="28">
        <f>H296*P296</f>
        <v/>
      </c>
      <c r="Z296" s="28">
        <f>H296*Q296</f>
        <v/>
      </c>
      <c r="AA296" s="28">
        <f>SUM(U296:Z296)</f>
        <v/>
      </c>
      <c r="AB296" s="5">
        <f>IF(COUNTIF('02b_DC_Accelerator_Mix'!$A$2:$A$977,G296)&gt;0,"matched","missing_mix")</f>
        <v/>
      </c>
    </row>
    <row r="297">
      <c r="A297" s="5">
        <f>'02a_DC_Capacity_Alloc'!A297</f>
        <v/>
      </c>
      <c r="B297" s="5">
        <f>'02a_DC_Capacity_Alloc'!B297</f>
        <v/>
      </c>
      <c r="C297" s="5">
        <f>'02a_DC_Capacity_Alloc'!C297</f>
        <v/>
      </c>
      <c r="D297" s="5">
        <f>'02a_DC_Capacity_Alloc'!D297</f>
        <v/>
      </c>
      <c r="E297" s="5">
        <f>'02a_DC_Capacity_Alloc'!E297</f>
        <v/>
      </c>
      <c r="F297" s="5">
        <f>'02a_DC_Capacity_Alloc'!F297</f>
        <v/>
      </c>
      <c r="G297" s="5">
        <f>B297&amp;"|"&amp;E297&amp;"|"&amp;D297</f>
        <v/>
      </c>
      <c r="H297" s="28">
        <f>'02a_DC_Capacity_Alloc'!H297*'02a_DC_Capacity_Alloc'!I297*'02a_DC_Capacity_Alloc'!J297</f>
        <v/>
      </c>
      <c r="I297" s="6">
        <f>IFERROR(INDEX('02b_DC_Accelerator_Mix'!$F$2:$F$977,MATCH(G297,'02b_DC_Accelerator_Mix'!$A$2:$A$977,0)),0)</f>
        <v/>
      </c>
      <c r="J297" s="6">
        <f>IFERROR(INDEX('02b_DC_Accelerator_Mix'!$G$2:$G$977,MATCH(G297,'02b_DC_Accelerator_Mix'!$A$2:$A$977,0)),0)</f>
        <v/>
      </c>
      <c r="K297" s="6">
        <f>IFERROR(INDEX('02b_DC_Accelerator_Mix'!$H$2:$H$977,MATCH(G297,'02b_DC_Accelerator_Mix'!$A$2:$A$977,0)),0)</f>
        <v/>
      </c>
      <c r="L297" s="6">
        <f>IFERROR(INDEX('02b_DC_Accelerator_Mix'!$I$2:$I$977,MATCH(G297,'02b_DC_Accelerator_Mix'!$A$2:$A$977,0)),0)</f>
        <v/>
      </c>
      <c r="M297" s="6">
        <f>IFERROR(INDEX('02b_DC_Accelerator_Mix'!$J$2:$J$977,MATCH(G297,'02b_DC_Accelerator_Mix'!$A$2:$A$977,0)),0)</f>
        <v/>
      </c>
      <c r="N297" s="6">
        <f>IFERROR(INDEX('02b_DC_Accelerator_Mix'!$K$2:$K$977,MATCH(G297,'02b_DC_Accelerator_Mix'!$A$2:$A$977,0)),0)</f>
        <v/>
      </c>
      <c r="O297" s="6">
        <f>IFERROR(INDEX('02b_DC_Accelerator_Mix'!$L$2:$L$977,MATCH(G297,'02b_DC_Accelerator_Mix'!$A$2:$A$977,0)),0)</f>
        <v/>
      </c>
      <c r="P297" s="6">
        <f>IFERROR(INDEX('02b_DC_Accelerator_Mix'!$M$2:$M$977,MATCH(G297,'02b_DC_Accelerator_Mix'!$A$2:$A$977,0)),0)</f>
        <v/>
      </c>
      <c r="Q297" s="6">
        <f>IFERROR(INDEX('02b_DC_Accelerator_Mix'!$N$2:$N$977,MATCH(G297,'02b_DC_Accelerator_Mix'!$A$2:$A$977,0)),0)</f>
        <v/>
      </c>
      <c r="R297" s="28">
        <f>H297*I297</f>
        <v/>
      </c>
      <c r="S297" s="28">
        <f>H297*J297</f>
        <v/>
      </c>
      <c r="T297" s="28">
        <f>H297*K297</f>
        <v/>
      </c>
      <c r="U297" s="28">
        <f>H297*L297</f>
        <v/>
      </c>
      <c r="V297" s="28">
        <f>H297*M297</f>
        <v/>
      </c>
      <c r="W297" s="28">
        <f>H297*N297</f>
        <v/>
      </c>
      <c r="X297" s="28">
        <f>H297*O297</f>
        <v/>
      </c>
      <c r="Y297" s="28">
        <f>H297*P297</f>
        <v/>
      </c>
      <c r="Z297" s="28">
        <f>H297*Q297</f>
        <v/>
      </c>
      <c r="AA297" s="28">
        <f>SUM(U297:Z297)</f>
        <v/>
      </c>
      <c r="AB297" s="5">
        <f>IF(COUNTIF('02b_DC_Accelerator_Mix'!$A$2:$A$977,G297)&gt;0,"matched","missing_mix")</f>
        <v/>
      </c>
    </row>
    <row r="298">
      <c r="A298" s="5">
        <f>'02a_DC_Capacity_Alloc'!A298</f>
        <v/>
      </c>
      <c r="B298" s="5">
        <f>'02a_DC_Capacity_Alloc'!B298</f>
        <v/>
      </c>
      <c r="C298" s="5">
        <f>'02a_DC_Capacity_Alloc'!C298</f>
        <v/>
      </c>
      <c r="D298" s="5">
        <f>'02a_DC_Capacity_Alloc'!D298</f>
        <v/>
      </c>
      <c r="E298" s="5">
        <f>'02a_DC_Capacity_Alloc'!E298</f>
        <v/>
      </c>
      <c r="F298" s="5">
        <f>'02a_DC_Capacity_Alloc'!F298</f>
        <v/>
      </c>
      <c r="G298" s="5">
        <f>B298&amp;"|"&amp;E298&amp;"|"&amp;D298</f>
        <v/>
      </c>
      <c r="H298" s="28">
        <f>'02a_DC_Capacity_Alloc'!H298*'02a_DC_Capacity_Alloc'!I298*'02a_DC_Capacity_Alloc'!J298</f>
        <v/>
      </c>
      <c r="I298" s="6">
        <f>IFERROR(INDEX('02b_DC_Accelerator_Mix'!$F$2:$F$977,MATCH(G298,'02b_DC_Accelerator_Mix'!$A$2:$A$977,0)),0)</f>
        <v/>
      </c>
      <c r="J298" s="6">
        <f>IFERROR(INDEX('02b_DC_Accelerator_Mix'!$G$2:$G$977,MATCH(G298,'02b_DC_Accelerator_Mix'!$A$2:$A$977,0)),0)</f>
        <v/>
      </c>
      <c r="K298" s="6">
        <f>IFERROR(INDEX('02b_DC_Accelerator_Mix'!$H$2:$H$977,MATCH(G298,'02b_DC_Accelerator_Mix'!$A$2:$A$977,0)),0)</f>
        <v/>
      </c>
      <c r="L298" s="6">
        <f>IFERROR(INDEX('02b_DC_Accelerator_Mix'!$I$2:$I$977,MATCH(G298,'02b_DC_Accelerator_Mix'!$A$2:$A$977,0)),0)</f>
        <v/>
      </c>
      <c r="M298" s="6">
        <f>IFERROR(INDEX('02b_DC_Accelerator_Mix'!$J$2:$J$977,MATCH(G298,'02b_DC_Accelerator_Mix'!$A$2:$A$977,0)),0)</f>
        <v/>
      </c>
      <c r="N298" s="6">
        <f>IFERROR(INDEX('02b_DC_Accelerator_Mix'!$K$2:$K$977,MATCH(G298,'02b_DC_Accelerator_Mix'!$A$2:$A$977,0)),0)</f>
        <v/>
      </c>
      <c r="O298" s="6">
        <f>IFERROR(INDEX('02b_DC_Accelerator_Mix'!$L$2:$L$977,MATCH(G298,'02b_DC_Accelerator_Mix'!$A$2:$A$977,0)),0)</f>
        <v/>
      </c>
      <c r="P298" s="6">
        <f>IFERROR(INDEX('02b_DC_Accelerator_Mix'!$M$2:$M$977,MATCH(G298,'02b_DC_Accelerator_Mix'!$A$2:$A$977,0)),0)</f>
        <v/>
      </c>
      <c r="Q298" s="6">
        <f>IFERROR(INDEX('02b_DC_Accelerator_Mix'!$N$2:$N$977,MATCH(G298,'02b_DC_Accelerator_Mix'!$A$2:$A$977,0)),0)</f>
        <v/>
      </c>
      <c r="R298" s="28">
        <f>H298*I298</f>
        <v/>
      </c>
      <c r="S298" s="28">
        <f>H298*J298</f>
        <v/>
      </c>
      <c r="T298" s="28">
        <f>H298*K298</f>
        <v/>
      </c>
      <c r="U298" s="28">
        <f>H298*L298</f>
        <v/>
      </c>
      <c r="V298" s="28">
        <f>H298*M298</f>
        <v/>
      </c>
      <c r="W298" s="28">
        <f>H298*N298</f>
        <v/>
      </c>
      <c r="X298" s="28">
        <f>H298*O298</f>
        <v/>
      </c>
      <c r="Y298" s="28">
        <f>H298*P298</f>
        <v/>
      </c>
      <c r="Z298" s="28">
        <f>H298*Q298</f>
        <v/>
      </c>
      <c r="AA298" s="28">
        <f>SUM(U298:Z298)</f>
        <v/>
      </c>
      <c r="AB298" s="5">
        <f>IF(COUNTIF('02b_DC_Accelerator_Mix'!$A$2:$A$977,G298)&gt;0,"matched","missing_mix")</f>
        <v/>
      </c>
    </row>
    <row r="299">
      <c r="A299" s="5">
        <f>'02a_DC_Capacity_Alloc'!A299</f>
        <v/>
      </c>
      <c r="B299" s="5">
        <f>'02a_DC_Capacity_Alloc'!B299</f>
        <v/>
      </c>
      <c r="C299" s="5">
        <f>'02a_DC_Capacity_Alloc'!C299</f>
        <v/>
      </c>
      <c r="D299" s="5">
        <f>'02a_DC_Capacity_Alloc'!D299</f>
        <v/>
      </c>
      <c r="E299" s="5">
        <f>'02a_DC_Capacity_Alloc'!E299</f>
        <v/>
      </c>
      <c r="F299" s="5">
        <f>'02a_DC_Capacity_Alloc'!F299</f>
        <v/>
      </c>
      <c r="G299" s="5">
        <f>B299&amp;"|"&amp;E299&amp;"|"&amp;D299</f>
        <v/>
      </c>
      <c r="H299" s="28">
        <f>'02a_DC_Capacity_Alloc'!H299*'02a_DC_Capacity_Alloc'!I299*'02a_DC_Capacity_Alloc'!J299</f>
        <v/>
      </c>
      <c r="I299" s="6">
        <f>IFERROR(INDEX('02b_DC_Accelerator_Mix'!$F$2:$F$977,MATCH(G299,'02b_DC_Accelerator_Mix'!$A$2:$A$977,0)),0)</f>
        <v/>
      </c>
      <c r="J299" s="6">
        <f>IFERROR(INDEX('02b_DC_Accelerator_Mix'!$G$2:$G$977,MATCH(G299,'02b_DC_Accelerator_Mix'!$A$2:$A$977,0)),0)</f>
        <v/>
      </c>
      <c r="K299" s="6">
        <f>IFERROR(INDEX('02b_DC_Accelerator_Mix'!$H$2:$H$977,MATCH(G299,'02b_DC_Accelerator_Mix'!$A$2:$A$977,0)),0)</f>
        <v/>
      </c>
      <c r="L299" s="6">
        <f>IFERROR(INDEX('02b_DC_Accelerator_Mix'!$I$2:$I$977,MATCH(G299,'02b_DC_Accelerator_Mix'!$A$2:$A$977,0)),0)</f>
        <v/>
      </c>
      <c r="M299" s="6">
        <f>IFERROR(INDEX('02b_DC_Accelerator_Mix'!$J$2:$J$977,MATCH(G299,'02b_DC_Accelerator_Mix'!$A$2:$A$977,0)),0)</f>
        <v/>
      </c>
      <c r="N299" s="6">
        <f>IFERROR(INDEX('02b_DC_Accelerator_Mix'!$K$2:$K$977,MATCH(G299,'02b_DC_Accelerator_Mix'!$A$2:$A$977,0)),0)</f>
        <v/>
      </c>
      <c r="O299" s="6">
        <f>IFERROR(INDEX('02b_DC_Accelerator_Mix'!$L$2:$L$977,MATCH(G299,'02b_DC_Accelerator_Mix'!$A$2:$A$977,0)),0)</f>
        <v/>
      </c>
      <c r="P299" s="6">
        <f>IFERROR(INDEX('02b_DC_Accelerator_Mix'!$M$2:$M$977,MATCH(G299,'02b_DC_Accelerator_Mix'!$A$2:$A$977,0)),0)</f>
        <v/>
      </c>
      <c r="Q299" s="6">
        <f>IFERROR(INDEX('02b_DC_Accelerator_Mix'!$N$2:$N$977,MATCH(G299,'02b_DC_Accelerator_Mix'!$A$2:$A$977,0)),0)</f>
        <v/>
      </c>
      <c r="R299" s="28">
        <f>H299*I299</f>
        <v/>
      </c>
      <c r="S299" s="28">
        <f>H299*J299</f>
        <v/>
      </c>
      <c r="T299" s="28">
        <f>H299*K299</f>
        <v/>
      </c>
      <c r="U299" s="28">
        <f>H299*L299</f>
        <v/>
      </c>
      <c r="V299" s="28">
        <f>H299*M299</f>
        <v/>
      </c>
      <c r="W299" s="28">
        <f>H299*N299</f>
        <v/>
      </c>
      <c r="X299" s="28">
        <f>H299*O299</f>
        <v/>
      </c>
      <c r="Y299" s="28">
        <f>H299*P299</f>
        <v/>
      </c>
      <c r="Z299" s="28">
        <f>H299*Q299</f>
        <v/>
      </c>
      <c r="AA299" s="28">
        <f>SUM(U299:Z299)</f>
        <v/>
      </c>
      <c r="AB299" s="5">
        <f>IF(COUNTIF('02b_DC_Accelerator_Mix'!$A$2:$A$977,G299)&gt;0,"matched","missing_mix")</f>
        <v/>
      </c>
    </row>
    <row r="300">
      <c r="A300" s="5">
        <f>'02a_DC_Capacity_Alloc'!A300</f>
        <v/>
      </c>
      <c r="B300" s="5">
        <f>'02a_DC_Capacity_Alloc'!B300</f>
        <v/>
      </c>
      <c r="C300" s="5">
        <f>'02a_DC_Capacity_Alloc'!C300</f>
        <v/>
      </c>
      <c r="D300" s="5">
        <f>'02a_DC_Capacity_Alloc'!D300</f>
        <v/>
      </c>
      <c r="E300" s="5">
        <f>'02a_DC_Capacity_Alloc'!E300</f>
        <v/>
      </c>
      <c r="F300" s="5">
        <f>'02a_DC_Capacity_Alloc'!F300</f>
        <v/>
      </c>
      <c r="G300" s="5">
        <f>B300&amp;"|"&amp;E300&amp;"|"&amp;D300</f>
        <v/>
      </c>
      <c r="H300" s="28">
        <f>'02a_DC_Capacity_Alloc'!H300*'02a_DC_Capacity_Alloc'!I300*'02a_DC_Capacity_Alloc'!J300</f>
        <v/>
      </c>
      <c r="I300" s="6">
        <f>IFERROR(INDEX('02b_DC_Accelerator_Mix'!$F$2:$F$977,MATCH(G300,'02b_DC_Accelerator_Mix'!$A$2:$A$977,0)),0)</f>
        <v/>
      </c>
      <c r="J300" s="6">
        <f>IFERROR(INDEX('02b_DC_Accelerator_Mix'!$G$2:$G$977,MATCH(G300,'02b_DC_Accelerator_Mix'!$A$2:$A$977,0)),0)</f>
        <v/>
      </c>
      <c r="K300" s="6">
        <f>IFERROR(INDEX('02b_DC_Accelerator_Mix'!$H$2:$H$977,MATCH(G300,'02b_DC_Accelerator_Mix'!$A$2:$A$977,0)),0)</f>
        <v/>
      </c>
      <c r="L300" s="6">
        <f>IFERROR(INDEX('02b_DC_Accelerator_Mix'!$I$2:$I$977,MATCH(G300,'02b_DC_Accelerator_Mix'!$A$2:$A$977,0)),0)</f>
        <v/>
      </c>
      <c r="M300" s="6">
        <f>IFERROR(INDEX('02b_DC_Accelerator_Mix'!$J$2:$J$977,MATCH(G300,'02b_DC_Accelerator_Mix'!$A$2:$A$977,0)),0)</f>
        <v/>
      </c>
      <c r="N300" s="6">
        <f>IFERROR(INDEX('02b_DC_Accelerator_Mix'!$K$2:$K$977,MATCH(G300,'02b_DC_Accelerator_Mix'!$A$2:$A$977,0)),0)</f>
        <v/>
      </c>
      <c r="O300" s="6">
        <f>IFERROR(INDEX('02b_DC_Accelerator_Mix'!$L$2:$L$977,MATCH(G300,'02b_DC_Accelerator_Mix'!$A$2:$A$977,0)),0)</f>
        <v/>
      </c>
      <c r="P300" s="6">
        <f>IFERROR(INDEX('02b_DC_Accelerator_Mix'!$M$2:$M$977,MATCH(G300,'02b_DC_Accelerator_Mix'!$A$2:$A$977,0)),0)</f>
        <v/>
      </c>
      <c r="Q300" s="6">
        <f>IFERROR(INDEX('02b_DC_Accelerator_Mix'!$N$2:$N$977,MATCH(G300,'02b_DC_Accelerator_Mix'!$A$2:$A$977,0)),0)</f>
        <v/>
      </c>
      <c r="R300" s="28">
        <f>H300*I300</f>
        <v/>
      </c>
      <c r="S300" s="28">
        <f>H300*J300</f>
        <v/>
      </c>
      <c r="T300" s="28">
        <f>H300*K300</f>
        <v/>
      </c>
      <c r="U300" s="28">
        <f>H300*L300</f>
        <v/>
      </c>
      <c r="V300" s="28">
        <f>H300*M300</f>
        <v/>
      </c>
      <c r="W300" s="28">
        <f>H300*N300</f>
        <v/>
      </c>
      <c r="X300" s="28">
        <f>H300*O300</f>
        <v/>
      </c>
      <c r="Y300" s="28">
        <f>H300*P300</f>
        <v/>
      </c>
      <c r="Z300" s="28">
        <f>H300*Q300</f>
        <v/>
      </c>
      <c r="AA300" s="28">
        <f>SUM(U300:Z300)</f>
        <v/>
      </c>
      <c r="AB300" s="5">
        <f>IF(COUNTIF('02b_DC_Accelerator_Mix'!$A$2:$A$977,G300)&gt;0,"matched","missing_mix")</f>
        <v/>
      </c>
    </row>
    <row r="301">
      <c r="A301" s="5">
        <f>'02a_DC_Capacity_Alloc'!A301</f>
        <v/>
      </c>
      <c r="B301" s="5">
        <f>'02a_DC_Capacity_Alloc'!B301</f>
        <v/>
      </c>
      <c r="C301" s="5">
        <f>'02a_DC_Capacity_Alloc'!C301</f>
        <v/>
      </c>
      <c r="D301" s="5">
        <f>'02a_DC_Capacity_Alloc'!D301</f>
        <v/>
      </c>
      <c r="E301" s="5">
        <f>'02a_DC_Capacity_Alloc'!E301</f>
        <v/>
      </c>
      <c r="F301" s="5">
        <f>'02a_DC_Capacity_Alloc'!F301</f>
        <v/>
      </c>
      <c r="G301" s="5">
        <f>B301&amp;"|"&amp;E301&amp;"|"&amp;D301</f>
        <v/>
      </c>
      <c r="H301" s="28">
        <f>'02a_DC_Capacity_Alloc'!H301*'02a_DC_Capacity_Alloc'!I301*'02a_DC_Capacity_Alloc'!J301</f>
        <v/>
      </c>
      <c r="I301" s="6">
        <f>IFERROR(INDEX('02b_DC_Accelerator_Mix'!$F$2:$F$977,MATCH(G301,'02b_DC_Accelerator_Mix'!$A$2:$A$977,0)),0)</f>
        <v/>
      </c>
      <c r="J301" s="6">
        <f>IFERROR(INDEX('02b_DC_Accelerator_Mix'!$G$2:$G$977,MATCH(G301,'02b_DC_Accelerator_Mix'!$A$2:$A$977,0)),0)</f>
        <v/>
      </c>
      <c r="K301" s="6">
        <f>IFERROR(INDEX('02b_DC_Accelerator_Mix'!$H$2:$H$977,MATCH(G301,'02b_DC_Accelerator_Mix'!$A$2:$A$977,0)),0)</f>
        <v/>
      </c>
      <c r="L301" s="6">
        <f>IFERROR(INDEX('02b_DC_Accelerator_Mix'!$I$2:$I$977,MATCH(G301,'02b_DC_Accelerator_Mix'!$A$2:$A$977,0)),0)</f>
        <v/>
      </c>
      <c r="M301" s="6">
        <f>IFERROR(INDEX('02b_DC_Accelerator_Mix'!$J$2:$J$977,MATCH(G301,'02b_DC_Accelerator_Mix'!$A$2:$A$977,0)),0)</f>
        <v/>
      </c>
      <c r="N301" s="6">
        <f>IFERROR(INDEX('02b_DC_Accelerator_Mix'!$K$2:$K$977,MATCH(G301,'02b_DC_Accelerator_Mix'!$A$2:$A$977,0)),0)</f>
        <v/>
      </c>
      <c r="O301" s="6">
        <f>IFERROR(INDEX('02b_DC_Accelerator_Mix'!$L$2:$L$977,MATCH(G301,'02b_DC_Accelerator_Mix'!$A$2:$A$977,0)),0)</f>
        <v/>
      </c>
      <c r="P301" s="6">
        <f>IFERROR(INDEX('02b_DC_Accelerator_Mix'!$M$2:$M$977,MATCH(G301,'02b_DC_Accelerator_Mix'!$A$2:$A$977,0)),0)</f>
        <v/>
      </c>
      <c r="Q301" s="6">
        <f>IFERROR(INDEX('02b_DC_Accelerator_Mix'!$N$2:$N$977,MATCH(G301,'02b_DC_Accelerator_Mix'!$A$2:$A$977,0)),0)</f>
        <v/>
      </c>
      <c r="R301" s="28">
        <f>H301*I301</f>
        <v/>
      </c>
      <c r="S301" s="28">
        <f>H301*J301</f>
        <v/>
      </c>
      <c r="T301" s="28">
        <f>H301*K301</f>
        <v/>
      </c>
      <c r="U301" s="28">
        <f>H301*L301</f>
        <v/>
      </c>
      <c r="V301" s="28">
        <f>H301*M301</f>
        <v/>
      </c>
      <c r="W301" s="28">
        <f>H301*N301</f>
        <v/>
      </c>
      <c r="X301" s="28">
        <f>H301*O301</f>
        <v/>
      </c>
      <c r="Y301" s="28">
        <f>H301*P301</f>
        <v/>
      </c>
      <c r="Z301" s="28">
        <f>H301*Q301</f>
        <v/>
      </c>
      <c r="AA301" s="28">
        <f>SUM(U301:Z301)</f>
        <v/>
      </c>
      <c r="AB301" s="5">
        <f>IF(COUNTIF('02b_DC_Accelerator_Mix'!$A$2:$A$977,G301)&gt;0,"matched","missing_mix")</f>
        <v/>
      </c>
    </row>
    <row r="302">
      <c r="A302" s="5">
        <f>'02a_DC_Capacity_Alloc'!A302</f>
        <v/>
      </c>
      <c r="B302" s="5">
        <f>'02a_DC_Capacity_Alloc'!B302</f>
        <v/>
      </c>
      <c r="C302" s="5">
        <f>'02a_DC_Capacity_Alloc'!C302</f>
        <v/>
      </c>
      <c r="D302" s="5">
        <f>'02a_DC_Capacity_Alloc'!D302</f>
        <v/>
      </c>
      <c r="E302" s="5">
        <f>'02a_DC_Capacity_Alloc'!E302</f>
        <v/>
      </c>
      <c r="F302" s="5">
        <f>'02a_DC_Capacity_Alloc'!F302</f>
        <v/>
      </c>
      <c r="G302" s="5">
        <f>B302&amp;"|"&amp;E302&amp;"|"&amp;D302</f>
        <v/>
      </c>
      <c r="H302" s="28">
        <f>'02a_DC_Capacity_Alloc'!H302*'02a_DC_Capacity_Alloc'!I302*'02a_DC_Capacity_Alloc'!J302</f>
        <v/>
      </c>
      <c r="I302" s="6">
        <f>IFERROR(INDEX('02b_DC_Accelerator_Mix'!$F$2:$F$977,MATCH(G302,'02b_DC_Accelerator_Mix'!$A$2:$A$977,0)),0)</f>
        <v/>
      </c>
      <c r="J302" s="6">
        <f>IFERROR(INDEX('02b_DC_Accelerator_Mix'!$G$2:$G$977,MATCH(G302,'02b_DC_Accelerator_Mix'!$A$2:$A$977,0)),0)</f>
        <v/>
      </c>
      <c r="K302" s="6">
        <f>IFERROR(INDEX('02b_DC_Accelerator_Mix'!$H$2:$H$977,MATCH(G302,'02b_DC_Accelerator_Mix'!$A$2:$A$977,0)),0)</f>
        <v/>
      </c>
      <c r="L302" s="6">
        <f>IFERROR(INDEX('02b_DC_Accelerator_Mix'!$I$2:$I$977,MATCH(G302,'02b_DC_Accelerator_Mix'!$A$2:$A$977,0)),0)</f>
        <v/>
      </c>
      <c r="M302" s="6">
        <f>IFERROR(INDEX('02b_DC_Accelerator_Mix'!$J$2:$J$977,MATCH(G302,'02b_DC_Accelerator_Mix'!$A$2:$A$977,0)),0)</f>
        <v/>
      </c>
      <c r="N302" s="6">
        <f>IFERROR(INDEX('02b_DC_Accelerator_Mix'!$K$2:$K$977,MATCH(G302,'02b_DC_Accelerator_Mix'!$A$2:$A$977,0)),0)</f>
        <v/>
      </c>
      <c r="O302" s="6">
        <f>IFERROR(INDEX('02b_DC_Accelerator_Mix'!$L$2:$L$977,MATCH(G302,'02b_DC_Accelerator_Mix'!$A$2:$A$977,0)),0)</f>
        <v/>
      </c>
      <c r="P302" s="6">
        <f>IFERROR(INDEX('02b_DC_Accelerator_Mix'!$M$2:$M$977,MATCH(G302,'02b_DC_Accelerator_Mix'!$A$2:$A$977,0)),0)</f>
        <v/>
      </c>
      <c r="Q302" s="6">
        <f>IFERROR(INDEX('02b_DC_Accelerator_Mix'!$N$2:$N$977,MATCH(G302,'02b_DC_Accelerator_Mix'!$A$2:$A$977,0)),0)</f>
        <v/>
      </c>
      <c r="R302" s="28">
        <f>H302*I302</f>
        <v/>
      </c>
      <c r="S302" s="28">
        <f>H302*J302</f>
        <v/>
      </c>
      <c r="T302" s="28">
        <f>H302*K302</f>
        <v/>
      </c>
      <c r="U302" s="28">
        <f>H302*L302</f>
        <v/>
      </c>
      <c r="V302" s="28">
        <f>H302*M302</f>
        <v/>
      </c>
      <c r="W302" s="28">
        <f>H302*N302</f>
        <v/>
      </c>
      <c r="X302" s="28">
        <f>H302*O302</f>
        <v/>
      </c>
      <c r="Y302" s="28">
        <f>H302*P302</f>
        <v/>
      </c>
      <c r="Z302" s="28">
        <f>H302*Q302</f>
        <v/>
      </c>
      <c r="AA302" s="28">
        <f>SUM(U302:Z302)</f>
        <v/>
      </c>
      <c r="AB302" s="5">
        <f>IF(COUNTIF('02b_DC_Accelerator_Mix'!$A$2:$A$977,G302)&gt;0,"matched","missing_mix")</f>
        <v/>
      </c>
    </row>
    <row r="303">
      <c r="A303" s="5">
        <f>'02a_DC_Capacity_Alloc'!A303</f>
        <v/>
      </c>
      <c r="B303" s="5">
        <f>'02a_DC_Capacity_Alloc'!B303</f>
        <v/>
      </c>
      <c r="C303" s="5">
        <f>'02a_DC_Capacity_Alloc'!C303</f>
        <v/>
      </c>
      <c r="D303" s="5">
        <f>'02a_DC_Capacity_Alloc'!D303</f>
        <v/>
      </c>
      <c r="E303" s="5">
        <f>'02a_DC_Capacity_Alloc'!E303</f>
        <v/>
      </c>
      <c r="F303" s="5">
        <f>'02a_DC_Capacity_Alloc'!F303</f>
        <v/>
      </c>
      <c r="G303" s="5">
        <f>B303&amp;"|"&amp;E303&amp;"|"&amp;D303</f>
        <v/>
      </c>
      <c r="H303" s="28">
        <f>'02a_DC_Capacity_Alloc'!H303*'02a_DC_Capacity_Alloc'!I303*'02a_DC_Capacity_Alloc'!J303</f>
        <v/>
      </c>
      <c r="I303" s="6">
        <f>IFERROR(INDEX('02b_DC_Accelerator_Mix'!$F$2:$F$977,MATCH(G303,'02b_DC_Accelerator_Mix'!$A$2:$A$977,0)),0)</f>
        <v/>
      </c>
      <c r="J303" s="6">
        <f>IFERROR(INDEX('02b_DC_Accelerator_Mix'!$G$2:$G$977,MATCH(G303,'02b_DC_Accelerator_Mix'!$A$2:$A$977,0)),0)</f>
        <v/>
      </c>
      <c r="K303" s="6">
        <f>IFERROR(INDEX('02b_DC_Accelerator_Mix'!$H$2:$H$977,MATCH(G303,'02b_DC_Accelerator_Mix'!$A$2:$A$977,0)),0)</f>
        <v/>
      </c>
      <c r="L303" s="6">
        <f>IFERROR(INDEX('02b_DC_Accelerator_Mix'!$I$2:$I$977,MATCH(G303,'02b_DC_Accelerator_Mix'!$A$2:$A$977,0)),0)</f>
        <v/>
      </c>
      <c r="M303" s="6">
        <f>IFERROR(INDEX('02b_DC_Accelerator_Mix'!$J$2:$J$977,MATCH(G303,'02b_DC_Accelerator_Mix'!$A$2:$A$977,0)),0)</f>
        <v/>
      </c>
      <c r="N303" s="6">
        <f>IFERROR(INDEX('02b_DC_Accelerator_Mix'!$K$2:$K$977,MATCH(G303,'02b_DC_Accelerator_Mix'!$A$2:$A$977,0)),0)</f>
        <v/>
      </c>
      <c r="O303" s="6">
        <f>IFERROR(INDEX('02b_DC_Accelerator_Mix'!$L$2:$L$977,MATCH(G303,'02b_DC_Accelerator_Mix'!$A$2:$A$977,0)),0)</f>
        <v/>
      </c>
      <c r="P303" s="6">
        <f>IFERROR(INDEX('02b_DC_Accelerator_Mix'!$M$2:$M$977,MATCH(G303,'02b_DC_Accelerator_Mix'!$A$2:$A$977,0)),0)</f>
        <v/>
      </c>
      <c r="Q303" s="6">
        <f>IFERROR(INDEX('02b_DC_Accelerator_Mix'!$N$2:$N$977,MATCH(G303,'02b_DC_Accelerator_Mix'!$A$2:$A$977,0)),0)</f>
        <v/>
      </c>
      <c r="R303" s="28">
        <f>H303*I303</f>
        <v/>
      </c>
      <c r="S303" s="28">
        <f>H303*J303</f>
        <v/>
      </c>
      <c r="T303" s="28">
        <f>H303*K303</f>
        <v/>
      </c>
      <c r="U303" s="28">
        <f>H303*L303</f>
        <v/>
      </c>
      <c r="V303" s="28">
        <f>H303*M303</f>
        <v/>
      </c>
      <c r="W303" s="28">
        <f>H303*N303</f>
        <v/>
      </c>
      <c r="X303" s="28">
        <f>H303*O303</f>
        <v/>
      </c>
      <c r="Y303" s="28">
        <f>H303*P303</f>
        <v/>
      </c>
      <c r="Z303" s="28">
        <f>H303*Q303</f>
        <v/>
      </c>
      <c r="AA303" s="28">
        <f>SUM(U303:Z303)</f>
        <v/>
      </c>
      <c r="AB303" s="5">
        <f>IF(COUNTIF('02b_DC_Accelerator_Mix'!$A$2:$A$977,G303)&gt;0,"matched","missing_mix")</f>
        <v/>
      </c>
    </row>
    <row r="304">
      <c r="A304" s="5">
        <f>'02a_DC_Capacity_Alloc'!A304</f>
        <v/>
      </c>
      <c r="B304" s="5">
        <f>'02a_DC_Capacity_Alloc'!B304</f>
        <v/>
      </c>
      <c r="C304" s="5">
        <f>'02a_DC_Capacity_Alloc'!C304</f>
        <v/>
      </c>
      <c r="D304" s="5">
        <f>'02a_DC_Capacity_Alloc'!D304</f>
        <v/>
      </c>
      <c r="E304" s="5">
        <f>'02a_DC_Capacity_Alloc'!E304</f>
        <v/>
      </c>
      <c r="F304" s="5">
        <f>'02a_DC_Capacity_Alloc'!F304</f>
        <v/>
      </c>
      <c r="G304" s="5">
        <f>B304&amp;"|"&amp;E304&amp;"|"&amp;D304</f>
        <v/>
      </c>
      <c r="H304" s="28">
        <f>'02a_DC_Capacity_Alloc'!H304*'02a_DC_Capacity_Alloc'!I304*'02a_DC_Capacity_Alloc'!J304</f>
        <v/>
      </c>
      <c r="I304" s="6">
        <f>IFERROR(INDEX('02b_DC_Accelerator_Mix'!$F$2:$F$977,MATCH(G304,'02b_DC_Accelerator_Mix'!$A$2:$A$977,0)),0)</f>
        <v/>
      </c>
      <c r="J304" s="6">
        <f>IFERROR(INDEX('02b_DC_Accelerator_Mix'!$G$2:$G$977,MATCH(G304,'02b_DC_Accelerator_Mix'!$A$2:$A$977,0)),0)</f>
        <v/>
      </c>
      <c r="K304" s="6">
        <f>IFERROR(INDEX('02b_DC_Accelerator_Mix'!$H$2:$H$977,MATCH(G304,'02b_DC_Accelerator_Mix'!$A$2:$A$977,0)),0)</f>
        <v/>
      </c>
      <c r="L304" s="6">
        <f>IFERROR(INDEX('02b_DC_Accelerator_Mix'!$I$2:$I$977,MATCH(G304,'02b_DC_Accelerator_Mix'!$A$2:$A$977,0)),0)</f>
        <v/>
      </c>
      <c r="M304" s="6">
        <f>IFERROR(INDEX('02b_DC_Accelerator_Mix'!$J$2:$J$977,MATCH(G304,'02b_DC_Accelerator_Mix'!$A$2:$A$977,0)),0)</f>
        <v/>
      </c>
      <c r="N304" s="6">
        <f>IFERROR(INDEX('02b_DC_Accelerator_Mix'!$K$2:$K$977,MATCH(G304,'02b_DC_Accelerator_Mix'!$A$2:$A$977,0)),0)</f>
        <v/>
      </c>
      <c r="O304" s="6">
        <f>IFERROR(INDEX('02b_DC_Accelerator_Mix'!$L$2:$L$977,MATCH(G304,'02b_DC_Accelerator_Mix'!$A$2:$A$977,0)),0)</f>
        <v/>
      </c>
      <c r="P304" s="6">
        <f>IFERROR(INDEX('02b_DC_Accelerator_Mix'!$M$2:$M$977,MATCH(G304,'02b_DC_Accelerator_Mix'!$A$2:$A$977,0)),0)</f>
        <v/>
      </c>
      <c r="Q304" s="6">
        <f>IFERROR(INDEX('02b_DC_Accelerator_Mix'!$N$2:$N$977,MATCH(G304,'02b_DC_Accelerator_Mix'!$A$2:$A$977,0)),0)</f>
        <v/>
      </c>
      <c r="R304" s="28">
        <f>H304*I304</f>
        <v/>
      </c>
      <c r="S304" s="28">
        <f>H304*J304</f>
        <v/>
      </c>
      <c r="T304" s="28">
        <f>H304*K304</f>
        <v/>
      </c>
      <c r="U304" s="28">
        <f>H304*L304</f>
        <v/>
      </c>
      <c r="V304" s="28">
        <f>H304*M304</f>
        <v/>
      </c>
      <c r="W304" s="28">
        <f>H304*N304</f>
        <v/>
      </c>
      <c r="X304" s="28">
        <f>H304*O304</f>
        <v/>
      </c>
      <c r="Y304" s="28">
        <f>H304*P304</f>
        <v/>
      </c>
      <c r="Z304" s="28">
        <f>H304*Q304</f>
        <v/>
      </c>
      <c r="AA304" s="28">
        <f>SUM(U304:Z304)</f>
        <v/>
      </c>
      <c r="AB304" s="5">
        <f>IF(COUNTIF('02b_DC_Accelerator_Mix'!$A$2:$A$977,G304)&gt;0,"matched","missing_mix")</f>
        <v/>
      </c>
    </row>
    <row r="305">
      <c r="A305" s="5">
        <f>'02a_DC_Capacity_Alloc'!A305</f>
        <v/>
      </c>
      <c r="B305" s="5">
        <f>'02a_DC_Capacity_Alloc'!B305</f>
        <v/>
      </c>
      <c r="C305" s="5">
        <f>'02a_DC_Capacity_Alloc'!C305</f>
        <v/>
      </c>
      <c r="D305" s="5">
        <f>'02a_DC_Capacity_Alloc'!D305</f>
        <v/>
      </c>
      <c r="E305" s="5">
        <f>'02a_DC_Capacity_Alloc'!E305</f>
        <v/>
      </c>
      <c r="F305" s="5">
        <f>'02a_DC_Capacity_Alloc'!F305</f>
        <v/>
      </c>
      <c r="G305" s="5">
        <f>B305&amp;"|"&amp;E305&amp;"|"&amp;D305</f>
        <v/>
      </c>
      <c r="H305" s="28">
        <f>'02a_DC_Capacity_Alloc'!H305*'02a_DC_Capacity_Alloc'!I305*'02a_DC_Capacity_Alloc'!J305</f>
        <v/>
      </c>
      <c r="I305" s="6">
        <f>IFERROR(INDEX('02b_DC_Accelerator_Mix'!$F$2:$F$977,MATCH(G305,'02b_DC_Accelerator_Mix'!$A$2:$A$977,0)),0)</f>
        <v/>
      </c>
      <c r="J305" s="6">
        <f>IFERROR(INDEX('02b_DC_Accelerator_Mix'!$G$2:$G$977,MATCH(G305,'02b_DC_Accelerator_Mix'!$A$2:$A$977,0)),0)</f>
        <v/>
      </c>
      <c r="K305" s="6">
        <f>IFERROR(INDEX('02b_DC_Accelerator_Mix'!$H$2:$H$977,MATCH(G305,'02b_DC_Accelerator_Mix'!$A$2:$A$977,0)),0)</f>
        <v/>
      </c>
      <c r="L305" s="6">
        <f>IFERROR(INDEX('02b_DC_Accelerator_Mix'!$I$2:$I$977,MATCH(G305,'02b_DC_Accelerator_Mix'!$A$2:$A$977,0)),0)</f>
        <v/>
      </c>
      <c r="M305" s="6">
        <f>IFERROR(INDEX('02b_DC_Accelerator_Mix'!$J$2:$J$977,MATCH(G305,'02b_DC_Accelerator_Mix'!$A$2:$A$977,0)),0)</f>
        <v/>
      </c>
      <c r="N305" s="6">
        <f>IFERROR(INDEX('02b_DC_Accelerator_Mix'!$K$2:$K$977,MATCH(G305,'02b_DC_Accelerator_Mix'!$A$2:$A$977,0)),0)</f>
        <v/>
      </c>
      <c r="O305" s="6">
        <f>IFERROR(INDEX('02b_DC_Accelerator_Mix'!$L$2:$L$977,MATCH(G305,'02b_DC_Accelerator_Mix'!$A$2:$A$977,0)),0)</f>
        <v/>
      </c>
      <c r="P305" s="6">
        <f>IFERROR(INDEX('02b_DC_Accelerator_Mix'!$M$2:$M$977,MATCH(G305,'02b_DC_Accelerator_Mix'!$A$2:$A$977,0)),0)</f>
        <v/>
      </c>
      <c r="Q305" s="6">
        <f>IFERROR(INDEX('02b_DC_Accelerator_Mix'!$N$2:$N$977,MATCH(G305,'02b_DC_Accelerator_Mix'!$A$2:$A$977,0)),0)</f>
        <v/>
      </c>
      <c r="R305" s="28">
        <f>H305*I305</f>
        <v/>
      </c>
      <c r="S305" s="28">
        <f>H305*J305</f>
        <v/>
      </c>
      <c r="T305" s="28">
        <f>H305*K305</f>
        <v/>
      </c>
      <c r="U305" s="28">
        <f>H305*L305</f>
        <v/>
      </c>
      <c r="V305" s="28">
        <f>H305*M305</f>
        <v/>
      </c>
      <c r="W305" s="28">
        <f>H305*N305</f>
        <v/>
      </c>
      <c r="X305" s="28">
        <f>H305*O305</f>
        <v/>
      </c>
      <c r="Y305" s="28">
        <f>H305*P305</f>
        <v/>
      </c>
      <c r="Z305" s="28">
        <f>H305*Q305</f>
        <v/>
      </c>
      <c r="AA305" s="28">
        <f>SUM(U305:Z305)</f>
        <v/>
      </c>
      <c r="AB305" s="5">
        <f>IF(COUNTIF('02b_DC_Accelerator_Mix'!$A$2:$A$977,G305)&gt;0,"matched","missing_mix")</f>
        <v/>
      </c>
    </row>
    <row r="306">
      <c r="A306" s="5">
        <f>'02a_DC_Capacity_Alloc'!A306</f>
        <v/>
      </c>
      <c r="B306" s="5">
        <f>'02a_DC_Capacity_Alloc'!B306</f>
        <v/>
      </c>
      <c r="C306" s="5">
        <f>'02a_DC_Capacity_Alloc'!C306</f>
        <v/>
      </c>
      <c r="D306" s="5">
        <f>'02a_DC_Capacity_Alloc'!D306</f>
        <v/>
      </c>
      <c r="E306" s="5">
        <f>'02a_DC_Capacity_Alloc'!E306</f>
        <v/>
      </c>
      <c r="F306" s="5">
        <f>'02a_DC_Capacity_Alloc'!F306</f>
        <v/>
      </c>
      <c r="G306" s="5">
        <f>B306&amp;"|"&amp;E306&amp;"|"&amp;D306</f>
        <v/>
      </c>
      <c r="H306" s="28">
        <f>'02a_DC_Capacity_Alloc'!H306*'02a_DC_Capacity_Alloc'!I306*'02a_DC_Capacity_Alloc'!J306</f>
        <v/>
      </c>
      <c r="I306" s="6">
        <f>IFERROR(INDEX('02b_DC_Accelerator_Mix'!$F$2:$F$977,MATCH(G306,'02b_DC_Accelerator_Mix'!$A$2:$A$977,0)),0)</f>
        <v/>
      </c>
      <c r="J306" s="6">
        <f>IFERROR(INDEX('02b_DC_Accelerator_Mix'!$G$2:$G$977,MATCH(G306,'02b_DC_Accelerator_Mix'!$A$2:$A$977,0)),0)</f>
        <v/>
      </c>
      <c r="K306" s="6">
        <f>IFERROR(INDEX('02b_DC_Accelerator_Mix'!$H$2:$H$977,MATCH(G306,'02b_DC_Accelerator_Mix'!$A$2:$A$977,0)),0)</f>
        <v/>
      </c>
      <c r="L306" s="6">
        <f>IFERROR(INDEX('02b_DC_Accelerator_Mix'!$I$2:$I$977,MATCH(G306,'02b_DC_Accelerator_Mix'!$A$2:$A$977,0)),0)</f>
        <v/>
      </c>
      <c r="M306" s="6">
        <f>IFERROR(INDEX('02b_DC_Accelerator_Mix'!$J$2:$J$977,MATCH(G306,'02b_DC_Accelerator_Mix'!$A$2:$A$977,0)),0)</f>
        <v/>
      </c>
      <c r="N306" s="6">
        <f>IFERROR(INDEX('02b_DC_Accelerator_Mix'!$K$2:$K$977,MATCH(G306,'02b_DC_Accelerator_Mix'!$A$2:$A$977,0)),0)</f>
        <v/>
      </c>
      <c r="O306" s="6">
        <f>IFERROR(INDEX('02b_DC_Accelerator_Mix'!$L$2:$L$977,MATCH(G306,'02b_DC_Accelerator_Mix'!$A$2:$A$977,0)),0)</f>
        <v/>
      </c>
      <c r="P306" s="6">
        <f>IFERROR(INDEX('02b_DC_Accelerator_Mix'!$M$2:$M$977,MATCH(G306,'02b_DC_Accelerator_Mix'!$A$2:$A$977,0)),0)</f>
        <v/>
      </c>
      <c r="Q306" s="6">
        <f>IFERROR(INDEX('02b_DC_Accelerator_Mix'!$N$2:$N$977,MATCH(G306,'02b_DC_Accelerator_Mix'!$A$2:$A$977,0)),0)</f>
        <v/>
      </c>
      <c r="R306" s="28">
        <f>H306*I306</f>
        <v/>
      </c>
      <c r="S306" s="28">
        <f>H306*J306</f>
        <v/>
      </c>
      <c r="T306" s="28">
        <f>H306*K306</f>
        <v/>
      </c>
      <c r="U306" s="28">
        <f>H306*L306</f>
        <v/>
      </c>
      <c r="V306" s="28">
        <f>H306*M306</f>
        <v/>
      </c>
      <c r="W306" s="28">
        <f>H306*N306</f>
        <v/>
      </c>
      <c r="X306" s="28">
        <f>H306*O306</f>
        <v/>
      </c>
      <c r="Y306" s="28">
        <f>H306*P306</f>
        <v/>
      </c>
      <c r="Z306" s="28">
        <f>H306*Q306</f>
        <v/>
      </c>
      <c r="AA306" s="28">
        <f>SUM(U306:Z306)</f>
        <v/>
      </c>
      <c r="AB306" s="5">
        <f>IF(COUNTIF('02b_DC_Accelerator_Mix'!$A$2:$A$977,G306)&gt;0,"matched","missing_mix")</f>
        <v/>
      </c>
    </row>
    <row r="307">
      <c r="A307" s="5">
        <f>'02a_DC_Capacity_Alloc'!A307</f>
        <v/>
      </c>
      <c r="B307" s="5">
        <f>'02a_DC_Capacity_Alloc'!B307</f>
        <v/>
      </c>
      <c r="C307" s="5">
        <f>'02a_DC_Capacity_Alloc'!C307</f>
        <v/>
      </c>
      <c r="D307" s="5">
        <f>'02a_DC_Capacity_Alloc'!D307</f>
        <v/>
      </c>
      <c r="E307" s="5">
        <f>'02a_DC_Capacity_Alloc'!E307</f>
        <v/>
      </c>
      <c r="F307" s="5">
        <f>'02a_DC_Capacity_Alloc'!F307</f>
        <v/>
      </c>
      <c r="G307" s="5">
        <f>B307&amp;"|"&amp;E307&amp;"|"&amp;D307</f>
        <v/>
      </c>
      <c r="H307" s="28">
        <f>'02a_DC_Capacity_Alloc'!H307*'02a_DC_Capacity_Alloc'!I307*'02a_DC_Capacity_Alloc'!J307</f>
        <v/>
      </c>
      <c r="I307" s="6">
        <f>IFERROR(INDEX('02b_DC_Accelerator_Mix'!$F$2:$F$977,MATCH(G307,'02b_DC_Accelerator_Mix'!$A$2:$A$977,0)),0)</f>
        <v/>
      </c>
      <c r="J307" s="6">
        <f>IFERROR(INDEX('02b_DC_Accelerator_Mix'!$G$2:$G$977,MATCH(G307,'02b_DC_Accelerator_Mix'!$A$2:$A$977,0)),0)</f>
        <v/>
      </c>
      <c r="K307" s="6">
        <f>IFERROR(INDEX('02b_DC_Accelerator_Mix'!$H$2:$H$977,MATCH(G307,'02b_DC_Accelerator_Mix'!$A$2:$A$977,0)),0)</f>
        <v/>
      </c>
      <c r="L307" s="6">
        <f>IFERROR(INDEX('02b_DC_Accelerator_Mix'!$I$2:$I$977,MATCH(G307,'02b_DC_Accelerator_Mix'!$A$2:$A$977,0)),0)</f>
        <v/>
      </c>
      <c r="M307" s="6">
        <f>IFERROR(INDEX('02b_DC_Accelerator_Mix'!$J$2:$J$977,MATCH(G307,'02b_DC_Accelerator_Mix'!$A$2:$A$977,0)),0)</f>
        <v/>
      </c>
      <c r="N307" s="6">
        <f>IFERROR(INDEX('02b_DC_Accelerator_Mix'!$K$2:$K$977,MATCH(G307,'02b_DC_Accelerator_Mix'!$A$2:$A$977,0)),0)</f>
        <v/>
      </c>
      <c r="O307" s="6">
        <f>IFERROR(INDEX('02b_DC_Accelerator_Mix'!$L$2:$L$977,MATCH(G307,'02b_DC_Accelerator_Mix'!$A$2:$A$977,0)),0)</f>
        <v/>
      </c>
      <c r="P307" s="6">
        <f>IFERROR(INDEX('02b_DC_Accelerator_Mix'!$M$2:$M$977,MATCH(G307,'02b_DC_Accelerator_Mix'!$A$2:$A$977,0)),0)</f>
        <v/>
      </c>
      <c r="Q307" s="6">
        <f>IFERROR(INDEX('02b_DC_Accelerator_Mix'!$N$2:$N$977,MATCH(G307,'02b_DC_Accelerator_Mix'!$A$2:$A$977,0)),0)</f>
        <v/>
      </c>
      <c r="R307" s="28">
        <f>H307*I307</f>
        <v/>
      </c>
      <c r="S307" s="28">
        <f>H307*J307</f>
        <v/>
      </c>
      <c r="T307" s="28">
        <f>H307*K307</f>
        <v/>
      </c>
      <c r="U307" s="28">
        <f>H307*L307</f>
        <v/>
      </c>
      <c r="V307" s="28">
        <f>H307*M307</f>
        <v/>
      </c>
      <c r="W307" s="28">
        <f>H307*N307</f>
        <v/>
      </c>
      <c r="X307" s="28">
        <f>H307*O307</f>
        <v/>
      </c>
      <c r="Y307" s="28">
        <f>H307*P307</f>
        <v/>
      </c>
      <c r="Z307" s="28">
        <f>H307*Q307</f>
        <v/>
      </c>
      <c r="AA307" s="28">
        <f>SUM(U307:Z307)</f>
        <v/>
      </c>
      <c r="AB307" s="5">
        <f>IF(COUNTIF('02b_DC_Accelerator_Mix'!$A$2:$A$977,G307)&gt;0,"matched","missing_mix")</f>
        <v/>
      </c>
    </row>
    <row r="308">
      <c r="A308" s="5">
        <f>'02a_DC_Capacity_Alloc'!A308</f>
        <v/>
      </c>
      <c r="B308" s="5">
        <f>'02a_DC_Capacity_Alloc'!B308</f>
        <v/>
      </c>
      <c r="C308" s="5">
        <f>'02a_DC_Capacity_Alloc'!C308</f>
        <v/>
      </c>
      <c r="D308" s="5">
        <f>'02a_DC_Capacity_Alloc'!D308</f>
        <v/>
      </c>
      <c r="E308" s="5">
        <f>'02a_DC_Capacity_Alloc'!E308</f>
        <v/>
      </c>
      <c r="F308" s="5">
        <f>'02a_DC_Capacity_Alloc'!F308</f>
        <v/>
      </c>
      <c r="G308" s="5">
        <f>B308&amp;"|"&amp;E308&amp;"|"&amp;D308</f>
        <v/>
      </c>
      <c r="H308" s="28">
        <f>'02a_DC_Capacity_Alloc'!H308*'02a_DC_Capacity_Alloc'!I308*'02a_DC_Capacity_Alloc'!J308</f>
        <v/>
      </c>
      <c r="I308" s="6">
        <f>IFERROR(INDEX('02b_DC_Accelerator_Mix'!$F$2:$F$977,MATCH(G308,'02b_DC_Accelerator_Mix'!$A$2:$A$977,0)),0)</f>
        <v/>
      </c>
      <c r="J308" s="6">
        <f>IFERROR(INDEX('02b_DC_Accelerator_Mix'!$G$2:$G$977,MATCH(G308,'02b_DC_Accelerator_Mix'!$A$2:$A$977,0)),0)</f>
        <v/>
      </c>
      <c r="K308" s="6">
        <f>IFERROR(INDEX('02b_DC_Accelerator_Mix'!$H$2:$H$977,MATCH(G308,'02b_DC_Accelerator_Mix'!$A$2:$A$977,0)),0)</f>
        <v/>
      </c>
      <c r="L308" s="6">
        <f>IFERROR(INDEX('02b_DC_Accelerator_Mix'!$I$2:$I$977,MATCH(G308,'02b_DC_Accelerator_Mix'!$A$2:$A$977,0)),0)</f>
        <v/>
      </c>
      <c r="M308" s="6">
        <f>IFERROR(INDEX('02b_DC_Accelerator_Mix'!$J$2:$J$977,MATCH(G308,'02b_DC_Accelerator_Mix'!$A$2:$A$977,0)),0)</f>
        <v/>
      </c>
      <c r="N308" s="6">
        <f>IFERROR(INDEX('02b_DC_Accelerator_Mix'!$K$2:$K$977,MATCH(G308,'02b_DC_Accelerator_Mix'!$A$2:$A$977,0)),0)</f>
        <v/>
      </c>
      <c r="O308" s="6">
        <f>IFERROR(INDEX('02b_DC_Accelerator_Mix'!$L$2:$L$977,MATCH(G308,'02b_DC_Accelerator_Mix'!$A$2:$A$977,0)),0)</f>
        <v/>
      </c>
      <c r="P308" s="6">
        <f>IFERROR(INDEX('02b_DC_Accelerator_Mix'!$M$2:$M$977,MATCH(G308,'02b_DC_Accelerator_Mix'!$A$2:$A$977,0)),0)</f>
        <v/>
      </c>
      <c r="Q308" s="6">
        <f>IFERROR(INDEX('02b_DC_Accelerator_Mix'!$N$2:$N$977,MATCH(G308,'02b_DC_Accelerator_Mix'!$A$2:$A$977,0)),0)</f>
        <v/>
      </c>
      <c r="R308" s="28">
        <f>H308*I308</f>
        <v/>
      </c>
      <c r="S308" s="28">
        <f>H308*J308</f>
        <v/>
      </c>
      <c r="T308" s="28">
        <f>H308*K308</f>
        <v/>
      </c>
      <c r="U308" s="28">
        <f>H308*L308</f>
        <v/>
      </c>
      <c r="V308" s="28">
        <f>H308*M308</f>
        <v/>
      </c>
      <c r="W308" s="28">
        <f>H308*N308</f>
        <v/>
      </c>
      <c r="X308" s="28">
        <f>H308*O308</f>
        <v/>
      </c>
      <c r="Y308" s="28">
        <f>H308*P308</f>
        <v/>
      </c>
      <c r="Z308" s="28">
        <f>H308*Q308</f>
        <v/>
      </c>
      <c r="AA308" s="28">
        <f>SUM(U308:Z308)</f>
        <v/>
      </c>
      <c r="AB308" s="5">
        <f>IF(COUNTIF('02b_DC_Accelerator_Mix'!$A$2:$A$977,G308)&gt;0,"matched","missing_mix")</f>
        <v/>
      </c>
    </row>
    <row r="309">
      <c r="A309" s="5">
        <f>'02a_DC_Capacity_Alloc'!A309</f>
        <v/>
      </c>
      <c r="B309" s="5">
        <f>'02a_DC_Capacity_Alloc'!B309</f>
        <v/>
      </c>
      <c r="C309" s="5">
        <f>'02a_DC_Capacity_Alloc'!C309</f>
        <v/>
      </c>
      <c r="D309" s="5">
        <f>'02a_DC_Capacity_Alloc'!D309</f>
        <v/>
      </c>
      <c r="E309" s="5">
        <f>'02a_DC_Capacity_Alloc'!E309</f>
        <v/>
      </c>
      <c r="F309" s="5">
        <f>'02a_DC_Capacity_Alloc'!F309</f>
        <v/>
      </c>
      <c r="G309" s="5">
        <f>B309&amp;"|"&amp;E309&amp;"|"&amp;D309</f>
        <v/>
      </c>
      <c r="H309" s="28">
        <f>'02a_DC_Capacity_Alloc'!H309*'02a_DC_Capacity_Alloc'!I309*'02a_DC_Capacity_Alloc'!J309</f>
        <v/>
      </c>
      <c r="I309" s="6">
        <f>IFERROR(INDEX('02b_DC_Accelerator_Mix'!$F$2:$F$977,MATCH(G309,'02b_DC_Accelerator_Mix'!$A$2:$A$977,0)),0)</f>
        <v/>
      </c>
      <c r="J309" s="6">
        <f>IFERROR(INDEX('02b_DC_Accelerator_Mix'!$G$2:$G$977,MATCH(G309,'02b_DC_Accelerator_Mix'!$A$2:$A$977,0)),0)</f>
        <v/>
      </c>
      <c r="K309" s="6">
        <f>IFERROR(INDEX('02b_DC_Accelerator_Mix'!$H$2:$H$977,MATCH(G309,'02b_DC_Accelerator_Mix'!$A$2:$A$977,0)),0)</f>
        <v/>
      </c>
      <c r="L309" s="6">
        <f>IFERROR(INDEX('02b_DC_Accelerator_Mix'!$I$2:$I$977,MATCH(G309,'02b_DC_Accelerator_Mix'!$A$2:$A$977,0)),0)</f>
        <v/>
      </c>
      <c r="M309" s="6">
        <f>IFERROR(INDEX('02b_DC_Accelerator_Mix'!$J$2:$J$977,MATCH(G309,'02b_DC_Accelerator_Mix'!$A$2:$A$977,0)),0)</f>
        <v/>
      </c>
      <c r="N309" s="6">
        <f>IFERROR(INDEX('02b_DC_Accelerator_Mix'!$K$2:$K$977,MATCH(G309,'02b_DC_Accelerator_Mix'!$A$2:$A$977,0)),0)</f>
        <v/>
      </c>
      <c r="O309" s="6">
        <f>IFERROR(INDEX('02b_DC_Accelerator_Mix'!$L$2:$L$977,MATCH(G309,'02b_DC_Accelerator_Mix'!$A$2:$A$977,0)),0)</f>
        <v/>
      </c>
      <c r="P309" s="6">
        <f>IFERROR(INDEX('02b_DC_Accelerator_Mix'!$M$2:$M$977,MATCH(G309,'02b_DC_Accelerator_Mix'!$A$2:$A$977,0)),0)</f>
        <v/>
      </c>
      <c r="Q309" s="6">
        <f>IFERROR(INDEX('02b_DC_Accelerator_Mix'!$N$2:$N$977,MATCH(G309,'02b_DC_Accelerator_Mix'!$A$2:$A$977,0)),0)</f>
        <v/>
      </c>
      <c r="R309" s="28">
        <f>H309*I309</f>
        <v/>
      </c>
      <c r="S309" s="28">
        <f>H309*J309</f>
        <v/>
      </c>
      <c r="T309" s="28">
        <f>H309*K309</f>
        <v/>
      </c>
      <c r="U309" s="28">
        <f>H309*L309</f>
        <v/>
      </c>
      <c r="V309" s="28">
        <f>H309*M309</f>
        <v/>
      </c>
      <c r="W309" s="28">
        <f>H309*N309</f>
        <v/>
      </c>
      <c r="X309" s="28">
        <f>H309*O309</f>
        <v/>
      </c>
      <c r="Y309" s="28">
        <f>H309*P309</f>
        <v/>
      </c>
      <c r="Z309" s="28">
        <f>H309*Q309</f>
        <v/>
      </c>
      <c r="AA309" s="28">
        <f>SUM(U309:Z309)</f>
        <v/>
      </c>
      <c r="AB309" s="5">
        <f>IF(COUNTIF('02b_DC_Accelerator_Mix'!$A$2:$A$977,G309)&gt;0,"matched","missing_mix")</f>
        <v/>
      </c>
    </row>
    <row r="310">
      <c r="A310" s="5">
        <f>'02a_DC_Capacity_Alloc'!A310</f>
        <v/>
      </c>
      <c r="B310" s="5">
        <f>'02a_DC_Capacity_Alloc'!B310</f>
        <v/>
      </c>
      <c r="C310" s="5">
        <f>'02a_DC_Capacity_Alloc'!C310</f>
        <v/>
      </c>
      <c r="D310" s="5">
        <f>'02a_DC_Capacity_Alloc'!D310</f>
        <v/>
      </c>
      <c r="E310" s="5">
        <f>'02a_DC_Capacity_Alloc'!E310</f>
        <v/>
      </c>
      <c r="F310" s="5">
        <f>'02a_DC_Capacity_Alloc'!F310</f>
        <v/>
      </c>
      <c r="G310" s="5">
        <f>B310&amp;"|"&amp;E310&amp;"|"&amp;D310</f>
        <v/>
      </c>
      <c r="H310" s="28">
        <f>'02a_DC_Capacity_Alloc'!H310*'02a_DC_Capacity_Alloc'!I310*'02a_DC_Capacity_Alloc'!J310</f>
        <v/>
      </c>
      <c r="I310" s="6">
        <f>IFERROR(INDEX('02b_DC_Accelerator_Mix'!$F$2:$F$977,MATCH(G310,'02b_DC_Accelerator_Mix'!$A$2:$A$977,0)),0)</f>
        <v/>
      </c>
      <c r="J310" s="6">
        <f>IFERROR(INDEX('02b_DC_Accelerator_Mix'!$G$2:$G$977,MATCH(G310,'02b_DC_Accelerator_Mix'!$A$2:$A$977,0)),0)</f>
        <v/>
      </c>
      <c r="K310" s="6">
        <f>IFERROR(INDEX('02b_DC_Accelerator_Mix'!$H$2:$H$977,MATCH(G310,'02b_DC_Accelerator_Mix'!$A$2:$A$977,0)),0)</f>
        <v/>
      </c>
      <c r="L310" s="6">
        <f>IFERROR(INDEX('02b_DC_Accelerator_Mix'!$I$2:$I$977,MATCH(G310,'02b_DC_Accelerator_Mix'!$A$2:$A$977,0)),0)</f>
        <v/>
      </c>
      <c r="M310" s="6">
        <f>IFERROR(INDEX('02b_DC_Accelerator_Mix'!$J$2:$J$977,MATCH(G310,'02b_DC_Accelerator_Mix'!$A$2:$A$977,0)),0)</f>
        <v/>
      </c>
      <c r="N310" s="6">
        <f>IFERROR(INDEX('02b_DC_Accelerator_Mix'!$K$2:$K$977,MATCH(G310,'02b_DC_Accelerator_Mix'!$A$2:$A$977,0)),0)</f>
        <v/>
      </c>
      <c r="O310" s="6">
        <f>IFERROR(INDEX('02b_DC_Accelerator_Mix'!$L$2:$L$977,MATCH(G310,'02b_DC_Accelerator_Mix'!$A$2:$A$977,0)),0)</f>
        <v/>
      </c>
      <c r="P310" s="6">
        <f>IFERROR(INDEX('02b_DC_Accelerator_Mix'!$M$2:$M$977,MATCH(G310,'02b_DC_Accelerator_Mix'!$A$2:$A$977,0)),0)</f>
        <v/>
      </c>
      <c r="Q310" s="6">
        <f>IFERROR(INDEX('02b_DC_Accelerator_Mix'!$N$2:$N$977,MATCH(G310,'02b_DC_Accelerator_Mix'!$A$2:$A$977,0)),0)</f>
        <v/>
      </c>
      <c r="R310" s="28">
        <f>H310*I310</f>
        <v/>
      </c>
      <c r="S310" s="28">
        <f>H310*J310</f>
        <v/>
      </c>
      <c r="T310" s="28">
        <f>H310*K310</f>
        <v/>
      </c>
      <c r="U310" s="28">
        <f>H310*L310</f>
        <v/>
      </c>
      <c r="V310" s="28">
        <f>H310*M310</f>
        <v/>
      </c>
      <c r="W310" s="28">
        <f>H310*N310</f>
        <v/>
      </c>
      <c r="X310" s="28">
        <f>H310*O310</f>
        <v/>
      </c>
      <c r="Y310" s="28">
        <f>H310*P310</f>
        <v/>
      </c>
      <c r="Z310" s="28">
        <f>H310*Q310</f>
        <v/>
      </c>
      <c r="AA310" s="28">
        <f>SUM(U310:Z310)</f>
        <v/>
      </c>
      <c r="AB310" s="5">
        <f>IF(COUNTIF('02b_DC_Accelerator_Mix'!$A$2:$A$977,G310)&gt;0,"matched","missing_mix")</f>
        <v/>
      </c>
    </row>
    <row r="311">
      <c r="A311" s="5">
        <f>'02a_DC_Capacity_Alloc'!A311</f>
        <v/>
      </c>
      <c r="B311" s="5">
        <f>'02a_DC_Capacity_Alloc'!B311</f>
        <v/>
      </c>
      <c r="C311" s="5">
        <f>'02a_DC_Capacity_Alloc'!C311</f>
        <v/>
      </c>
      <c r="D311" s="5">
        <f>'02a_DC_Capacity_Alloc'!D311</f>
        <v/>
      </c>
      <c r="E311" s="5">
        <f>'02a_DC_Capacity_Alloc'!E311</f>
        <v/>
      </c>
      <c r="F311" s="5">
        <f>'02a_DC_Capacity_Alloc'!F311</f>
        <v/>
      </c>
      <c r="G311" s="5">
        <f>B311&amp;"|"&amp;E311&amp;"|"&amp;D311</f>
        <v/>
      </c>
      <c r="H311" s="28">
        <f>'02a_DC_Capacity_Alloc'!H311*'02a_DC_Capacity_Alloc'!I311*'02a_DC_Capacity_Alloc'!J311</f>
        <v/>
      </c>
      <c r="I311" s="6">
        <f>IFERROR(INDEX('02b_DC_Accelerator_Mix'!$F$2:$F$977,MATCH(G311,'02b_DC_Accelerator_Mix'!$A$2:$A$977,0)),0)</f>
        <v/>
      </c>
      <c r="J311" s="6">
        <f>IFERROR(INDEX('02b_DC_Accelerator_Mix'!$G$2:$G$977,MATCH(G311,'02b_DC_Accelerator_Mix'!$A$2:$A$977,0)),0)</f>
        <v/>
      </c>
      <c r="K311" s="6">
        <f>IFERROR(INDEX('02b_DC_Accelerator_Mix'!$H$2:$H$977,MATCH(G311,'02b_DC_Accelerator_Mix'!$A$2:$A$977,0)),0)</f>
        <v/>
      </c>
      <c r="L311" s="6">
        <f>IFERROR(INDEX('02b_DC_Accelerator_Mix'!$I$2:$I$977,MATCH(G311,'02b_DC_Accelerator_Mix'!$A$2:$A$977,0)),0)</f>
        <v/>
      </c>
      <c r="M311" s="6">
        <f>IFERROR(INDEX('02b_DC_Accelerator_Mix'!$J$2:$J$977,MATCH(G311,'02b_DC_Accelerator_Mix'!$A$2:$A$977,0)),0)</f>
        <v/>
      </c>
      <c r="N311" s="6">
        <f>IFERROR(INDEX('02b_DC_Accelerator_Mix'!$K$2:$K$977,MATCH(G311,'02b_DC_Accelerator_Mix'!$A$2:$A$977,0)),0)</f>
        <v/>
      </c>
      <c r="O311" s="6">
        <f>IFERROR(INDEX('02b_DC_Accelerator_Mix'!$L$2:$L$977,MATCH(G311,'02b_DC_Accelerator_Mix'!$A$2:$A$977,0)),0)</f>
        <v/>
      </c>
      <c r="P311" s="6">
        <f>IFERROR(INDEX('02b_DC_Accelerator_Mix'!$M$2:$M$977,MATCH(G311,'02b_DC_Accelerator_Mix'!$A$2:$A$977,0)),0)</f>
        <v/>
      </c>
      <c r="Q311" s="6">
        <f>IFERROR(INDEX('02b_DC_Accelerator_Mix'!$N$2:$N$977,MATCH(G311,'02b_DC_Accelerator_Mix'!$A$2:$A$977,0)),0)</f>
        <v/>
      </c>
      <c r="R311" s="28">
        <f>H311*I311</f>
        <v/>
      </c>
      <c r="S311" s="28">
        <f>H311*J311</f>
        <v/>
      </c>
      <c r="T311" s="28">
        <f>H311*K311</f>
        <v/>
      </c>
      <c r="U311" s="28">
        <f>H311*L311</f>
        <v/>
      </c>
      <c r="V311" s="28">
        <f>H311*M311</f>
        <v/>
      </c>
      <c r="W311" s="28">
        <f>H311*N311</f>
        <v/>
      </c>
      <c r="X311" s="28">
        <f>H311*O311</f>
        <v/>
      </c>
      <c r="Y311" s="28">
        <f>H311*P311</f>
        <v/>
      </c>
      <c r="Z311" s="28">
        <f>H311*Q311</f>
        <v/>
      </c>
      <c r="AA311" s="28">
        <f>SUM(U311:Z311)</f>
        <v/>
      </c>
      <c r="AB311" s="5">
        <f>IF(COUNTIF('02b_DC_Accelerator_Mix'!$A$2:$A$977,G311)&gt;0,"matched","missing_mix")</f>
        <v/>
      </c>
    </row>
    <row r="312">
      <c r="A312" s="5">
        <f>'02a_DC_Capacity_Alloc'!A312</f>
        <v/>
      </c>
      <c r="B312" s="5">
        <f>'02a_DC_Capacity_Alloc'!B312</f>
        <v/>
      </c>
      <c r="C312" s="5">
        <f>'02a_DC_Capacity_Alloc'!C312</f>
        <v/>
      </c>
      <c r="D312" s="5">
        <f>'02a_DC_Capacity_Alloc'!D312</f>
        <v/>
      </c>
      <c r="E312" s="5">
        <f>'02a_DC_Capacity_Alloc'!E312</f>
        <v/>
      </c>
      <c r="F312" s="5">
        <f>'02a_DC_Capacity_Alloc'!F312</f>
        <v/>
      </c>
      <c r="G312" s="5">
        <f>B312&amp;"|"&amp;E312&amp;"|"&amp;D312</f>
        <v/>
      </c>
      <c r="H312" s="28">
        <f>'02a_DC_Capacity_Alloc'!H312*'02a_DC_Capacity_Alloc'!I312*'02a_DC_Capacity_Alloc'!J312</f>
        <v/>
      </c>
      <c r="I312" s="6">
        <f>IFERROR(INDEX('02b_DC_Accelerator_Mix'!$F$2:$F$977,MATCH(G312,'02b_DC_Accelerator_Mix'!$A$2:$A$977,0)),0)</f>
        <v/>
      </c>
      <c r="J312" s="6">
        <f>IFERROR(INDEX('02b_DC_Accelerator_Mix'!$G$2:$G$977,MATCH(G312,'02b_DC_Accelerator_Mix'!$A$2:$A$977,0)),0)</f>
        <v/>
      </c>
      <c r="K312" s="6">
        <f>IFERROR(INDEX('02b_DC_Accelerator_Mix'!$H$2:$H$977,MATCH(G312,'02b_DC_Accelerator_Mix'!$A$2:$A$977,0)),0)</f>
        <v/>
      </c>
      <c r="L312" s="6">
        <f>IFERROR(INDEX('02b_DC_Accelerator_Mix'!$I$2:$I$977,MATCH(G312,'02b_DC_Accelerator_Mix'!$A$2:$A$977,0)),0)</f>
        <v/>
      </c>
      <c r="M312" s="6">
        <f>IFERROR(INDEX('02b_DC_Accelerator_Mix'!$J$2:$J$977,MATCH(G312,'02b_DC_Accelerator_Mix'!$A$2:$A$977,0)),0)</f>
        <v/>
      </c>
      <c r="N312" s="6">
        <f>IFERROR(INDEX('02b_DC_Accelerator_Mix'!$K$2:$K$977,MATCH(G312,'02b_DC_Accelerator_Mix'!$A$2:$A$977,0)),0)</f>
        <v/>
      </c>
      <c r="O312" s="6">
        <f>IFERROR(INDEX('02b_DC_Accelerator_Mix'!$L$2:$L$977,MATCH(G312,'02b_DC_Accelerator_Mix'!$A$2:$A$977,0)),0)</f>
        <v/>
      </c>
      <c r="P312" s="6">
        <f>IFERROR(INDEX('02b_DC_Accelerator_Mix'!$M$2:$M$977,MATCH(G312,'02b_DC_Accelerator_Mix'!$A$2:$A$977,0)),0)</f>
        <v/>
      </c>
      <c r="Q312" s="6">
        <f>IFERROR(INDEX('02b_DC_Accelerator_Mix'!$N$2:$N$977,MATCH(G312,'02b_DC_Accelerator_Mix'!$A$2:$A$977,0)),0)</f>
        <v/>
      </c>
      <c r="R312" s="28">
        <f>H312*I312</f>
        <v/>
      </c>
      <c r="S312" s="28">
        <f>H312*J312</f>
        <v/>
      </c>
      <c r="T312" s="28">
        <f>H312*K312</f>
        <v/>
      </c>
      <c r="U312" s="28">
        <f>H312*L312</f>
        <v/>
      </c>
      <c r="V312" s="28">
        <f>H312*M312</f>
        <v/>
      </c>
      <c r="W312" s="28">
        <f>H312*N312</f>
        <v/>
      </c>
      <c r="X312" s="28">
        <f>H312*O312</f>
        <v/>
      </c>
      <c r="Y312" s="28">
        <f>H312*P312</f>
        <v/>
      </c>
      <c r="Z312" s="28">
        <f>H312*Q312</f>
        <v/>
      </c>
      <c r="AA312" s="28">
        <f>SUM(U312:Z312)</f>
        <v/>
      </c>
      <c r="AB312" s="5">
        <f>IF(COUNTIF('02b_DC_Accelerator_Mix'!$A$2:$A$977,G312)&gt;0,"matched","missing_mix")</f>
        <v/>
      </c>
    </row>
    <row r="313">
      <c r="A313" s="5">
        <f>'02a_DC_Capacity_Alloc'!A313</f>
        <v/>
      </c>
      <c r="B313" s="5">
        <f>'02a_DC_Capacity_Alloc'!B313</f>
        <v/>
      </c>
      <c r="C313" s="5">
        <f>'02a_DC_Capacity_Alloc'!C313</f>
        <v/>
      </c>
      <c r="D313" s="5">
        <f>'02a_DC_Capacity_Alloc'!D313</f>
        <v/>
      </c>
      <c r="E313" s="5">
        <f>'02a_DC_Capacity_Alloc'!E313</f>
        <v/>
      </c>
      <c r="F313" s="5">
        <f>'02a_DC_Capacity_Alloc'!F313</f>
        <v/>
      </c>
      <c r="G313" s="5">
        <f>B313&amp;"|"&amp;E313&amp;"|"&amp;D313</f>
        <v/>
      </c>
      <c r="H313" s="28">
        <f>'02a_DC_Capacity_Alloc'!H313*'02a_DC_Capacity_Alloc'!I313*'02a_DC_Capacity_Alloc'!J313</f>
        <v/>
      </c>
      <c r="I313" s="6">
        <f>IFERROR(INDEX('02b_DC_Accelerator_Mix'!$F$2:$F$977,MATCH(G313,'02b_DC_Accelerator_Mix'!$A$2:$A$977,0)),0)</f>
        <v/>
      </c>
      <c r="J313" s="6">
        <f>IFERROR(INDEX('02b_DC_Accelerator_Mix'!$G$2:$G$977,MATCH(G313,'02b_DC_Accelerator_Mix'!$A$2:$A$977,0)),0)</f>
        <v/>
      </c>
      <c r="K313" s="6">
        <f>IFERROR(INDEX('02b_DC_Accelerator_Mix'!$H$2:$H$977,MATCH(G313,'02b_DC_Accelerator_Mix'!$A$2:$A$977,0)),0)</f>
        <v/>
      </c>
      <c r="L313" s="6">
        <f>IFERROR(INDEX('02b_DC_Accelerator_Mix'!$I$2:$I$977,MATCH(G313,'02b_DC_Accelerator_Mix'!$A$2:$A$977,0)),0)</f>
        <v/>
      </c>
      <c r="M313" s="6">
        <f>IFERROR(INDEX('02b_DC_Accelerator_Mix'!$J$2:$J$977,MATCH(G313,'02b_DC_Accelerator_Mix'!$A$2:$A$977,0)),0)</f>
        <v/>
      </c>
      <c r="N313" s="6">
        <f>IFERROR(INDEX('02b_DC_Accelerator_Mix'!$K$2:$K$977,MATCH(G313,'02b_DC_Accelerator_Mix'!$A$2:$A$977,0)),0)</f>
        <v/>
      </c>
      <c r="O313" s="6">
        <f>IFERROR(INDEX('02b_DC_Accelerator_Mix'!$L$2:$L$977,MATCH(G313,'02b_DC_Accelerator_Mix'!$A$2:$A$977,0)),0)</f>
        <v/>
      </c>
      <c r="P313" s="6">
        <f>IFERROR(INDEX('02b_DC_Accelerator_Mix'!$M$2:$M$977,MATCH(G313,'02b_DC_Accelerator_Mix'!$A$2:$A$977,0)),0)</f>
        <v/>
      </c>
      <c r="Q313" s="6">
        <f>IFERROR(INDEX('02b_DC_Accelerator_Mix'!$N$2:$N$977,MATCH(G313,'02b_DC_Accelerator_Mix'!$A$2:$A$977,0)),0)</f>
        <v/>
      </c>
      <c r="R313" s="28">
        <f>H313*I313</f>
        <v/>
      </c>
      <c r="S313" s="28">
        <f>H313*J313</f>
        <v/>
      </c>
      <c r="T313" s="28">
        <f>H313*K313</f>
        <v/>
      </c>
      <c r="U313" s="28">
        <f>H313*L313</f>
        <v/>
      </c>
      <c r="V313" s="28">
        <f>H313*M313</f>
        <v/>
      </c>
      <c r="W313" s="28">
        <f>H313*N313</f>
        <v/>
      </c>
      <c r="X313" s="28">
        <f>H313*O313</f>
        <v/>
      </c>
      <c r="Y313" s="28">
        <f>H313*P313</f>
        <v/>
      </c>
      <c r="Z313" s="28">
        <f>H313*Q313</f>
        <v/>
      </c>
      <c r="AA313" s="28">
        <f>SUM(U313:Z313)</f>
        <v/>
      </c>
      <c r="AB313" s="5">
        <f>IF(COUNTIF('02b_DC_Accelerator_Mix'!$A$2:$A$977,G313)&gt;0,"matched","missing_mix")</f>
        <v/>
      </c>
    </row>
    <row r="314">
      <c r="A314" s="5">
        <f>'02a_DC_Capacity_Alloc'!A314</f>
        <v/>
      </c>
      <c r="B314" s="5">
        <f>'02a_DC_Capacity_Alloc'!B314</f>
        <v/>
      </c>
      <c r="C314" s="5">
        <f>'02a_DC_Capacity_Alloc'!C314</f>
        <v/>
      </c>
      <c r="D314" s="5">
        <f>'02a_DC_Capacity_Alloc'!D314</f>
        <v/>
      </c>
      <c r="E314" s="5">
        <f>'02a_DC_Capacity_Alloc'!E314</f>
        <v/>
      </c>
      <c r="F314" s="5">
        <f>'02a_DC_Capacity_Alloc'!F314</f>
        <v/>
      </c>
      <c r="G314" s="5">
        <f>B314&amp;"|"&amp;E314&amp;"|"&amp;D314</f>
        <v/>
      </c>
      <c r="H314" s="28">
        <f>'02a_DC_Capacity_Alloc'!H314*'02a_DC_Capacity_Alloc'!I314*'02a_DC_Capacity_Alloc'!J314</f>
        <v/>
      </c>
      <c r="I314" s="6">
        <f>IFERROR(INDEX('02b_DC_Accelerator_Mix'!$F$2:$F$977,MATCH(G314,'02b_DC_Accelerator_Mix'!$A$2:$A$977,0)),0)</f>
        <v/>
      </c>
      <c r="J314" s="6">
        <f>IFERROR(INDEX('02b_DC_Accelerator_Mix'!$G$2:$G$977,MATCH(G314,'02b_DC_Accelerator_Mix'!$A$2:$A$977,0)),0)</f>
        <v/>
      </c>
      <c r="K314" s="6">
        <f>IFERROR(INDEX('02b_DC_Accelerator_Mix'!$H$2:$H$977,MATCH(G314,'02b_DC_Accelerator_Mix'!$A$2:$A$977,0)),0)</f>
        <v/>
      </c>
      <c r="L314" s="6">
        <f>IFERROR(INDEX('02b_DC_Accelerator_Mix'!$I$2:$I$977,MATCH(G314,'02b_DC_Accelerator_Mix'!$A$2:$A$977,0)),0)</f>
        <v/>
      </c>
      <c r="M314" s="6">
        <f>IFERROR(INDEX('02b_DC_Accelerator_Mix'!$J$2:$J$977,MATCH(G314,'02b_DC_Accelerator_Mix'!$A$2:$A$977,0)),0)</f>
        <v/>
      </c>
      <c r="N314" s="6">
        <f>IFERROR(INDEX('02b_DC_Accelerator_Mix'!$K$2:$K$977,MATCH(G314,'02b_DC_Accelerator_Mix'!$A$2:$A$977,0)),0)</f>
        <v/>
      </c>
      <c r="O314" s="6">
        <f>IFERROR(INDEX('02b_DC_Accelerator_Mix'!$L$2:$L$977,MATCH(G314,'02b_DC_Accelerator_Mix'!$A$2:$A$977,0)),0)</f>
        <v/>
      </c>
      <c r="P314" s="6">
        <f>IFERROR(INDEX('02b_DC_Accelerator_Mix'!$M$2:$M$977,MATCH(G314,'02b_DC_Accelerator_Mix'!$A$2:$A$977,0)),0)</f>
        <v/>
      </c>
      <c r="Q314" s="6">
        <f>IFERROR(INDEX('02b_DC_Accelerator_Mix'!$N$2:$N$977,MATCH(G314,'02b_DC_Accelerator_Mix'!$A$2:$A$977,0)),0)</f>
        <v/>
      </c>
      <c r="R314" s="28">
        <f>H314*I314</f>
        <v/>
      </c>
      <c r="S314" s="28">
        <f>H314*J314</f>
        <v/>
      </c>
      <c r="T314" s="28">
        <f>H314*K314</f>
        <v/>
      </c>
      <c r="U314" s="28">
        <f>H314*L314</f>
        <v/>
      </c>
      <c r="V314" s="28">
        <f>H314*M314</f>
        <v/>
      </c>
      <c r="W314" s="28">
        <f>H314*N314</f>
        <v/>
      </c>
      <c r="X314" s="28">
        <f>H314*O314</f>
        <v/>
      </c>
      <c r="Y314" s="28">
        <f>H314*P314</f>
        <v/>
      </c>
      <c r="Z314" s="28">
        <f>H314*Q314</f>
        <v/>
      </c>
      <c r="AA314" s="28">
        <f>SUM(U314:Z314)</f>
        <v/>
      </c>
      <c r="AB314" s="5">
        <f>IF(COUNTIF('02b_DC_Accelerator_Mix'!$A$2:$A$977,G314)&gt;0,"matched","missing_mix")</f>
        <v/>
      </c>
    </row>
    <row r="315">
      <c r="A315" s="5">
        <f>'02a_DC_Capacity_Alloc'!A315</f>
        <v/>
      </c>
      <c r="B315" s="5">
        <f>'02a_DC_Capacity_Alloc'!B315</f>
        <v/>
      </c>
      <c r="C315" s="5">
        <f>'02a_DC_Capacity_Alloc'!C315</f>
        <v/>
      </c>
      <c r="D315" s="5">
        <f>'02a_DC_Capacity_Alloc'!D315</f>
        <v/>
      </c>
      <c r="E315" s="5">
        <f>'02a_DC_Capacity_Alloc'!E315</f>
        <v/>
      </c>
      <c r="F315" s="5">
        <f>'02a_DC_Capacity_Alloc'!F315</f>
        <v/>
      </c>
      <c r="G315" s="5">
        <f>B315&amp;"|"&amp;E315&amp;"|"&amp;D315</f>
        <v/>
      </c>
      <c r="H315" s="28">
        <f>'02a_DC_Capacity_Alloc'!H315*'02a_DC_Capacity_Alloc'!I315*'02a_DC_Capacity_Alloc'!J315</f>
        <v/>
      </c>
      <c r="I315" s="6">
        <f>IFERROR(INDEX('02b_DC_Accelerator_Mix'!$F$2:$F$977,MATCH(G315,'02b_DC_Accelerator_Mix'!$A$2:$A$977,0)),0)</f>
        <v/>
      </c>
      <c r="J315" s="6">
        <f>IFERROR(INDEX('02b_DC_Accelerator_Mix'!$G$2:$G$977,MATCH(G315,'02b_DC_Accelerator_Mix'!$A$2:$A$977,0)),0)</f>
        <v/>
      </c>
      <c r="K315" s="6">
        <f>IFERROR(INDEX('02b_DC_Accelerator_Mix'!$H$2:$H$977,MATCH(G315,'02b_DC_Accelerator_Mix'!$A$2:$A$977,0)),0)</f>
        <v/>
      </c>
      <c r="L315" s="6">
        <f>IFERROR(INDEX('02b_DC_Accelerator_Mix'!$I$2:$I$977,MATCH(G315,'02b_DC_Accelerator_Mix'!$A$2:$A$977,0)),0)</f>
        <v/>
      </c>
      <c r="M315" s="6">
        <f>IFERROR(INDEX('02b_DC_Accelerator_Mix'!$J$2:$J$977,MATCH(G315,'02b_DC_Accelerator_Mix'!$A$2:$A$977,0)),0)</f>
        <v/>
      </c>
      <c r="N315" s="6">
        <f>IFERROR(INDEX('02b_DC_Accelerator_Mix'!$K$2:$K$977,MATCH(G315,'02b_DC_Accelerator_Mix'!$A$2:$A$977,0)),0)</f>
        <v/>
      </c>
      <c r="O315" s="6">
        <f>IFERROR(INDEX('02b_DC_Accelerator_Mix'!$L$2:$L$977,MATCH(G315,'02b_DC_Accelerator_Mix'!$A$2:$A$977,0)),0)</f>
        <v/>
      </c>
      <c r="P315" s="6">
        <f>IFERROR(INDEX('02b_DC_Accelerator_Mix'!$M$2:$M$977,MATCH(G315,'02b_DC_Accelerator_Mix'!$A$2:$A$977,0)),0)</f>
        <v/>
      </c>
      <c r="Q315" s="6">
        <f>IFERROR(INDEX('02b_DC_Accelerator_Mix'!$N$2:$N$977,MATCH(G315,'02b_DC_Accelerator_Mix'!$A$2:$A$977,0)),0)</f>
        <v/>
      </c>
      <c r="R315" s="28">
        <f>H315*I315</f>
        <v/>
      </c>
      <c r="S315" s="28">
        <f>H315*J315</f>
        <v/>
      </c>
      <c r="T315" s="28">
        <f>H315*K315</f>
        <v/>
      </c>
      <c r="U315" s="28">
        <f>H315*L315</f>
        <v/>
      </c>
      <c r="V315" s="28">
        <f>H315*M315</f>
        <v/>
      </c>
      <c r="W315" s="28">
        <f>H315*N315</f>
        <v/>
      </c>
      <c r="X315" s="28">
        <f>H315*O315</f>
        <v/>
      </c>
      <c r="Y315" s="28">
        <f>H315*P315</f>
        <v/>
      </c>
      <c r="Z315" s="28">
        <f>H315*Q315</f>
        <v/>
      </c>
      <c r="AA315" s="28">
        <f>SUM(U315:Z315)</f>
        <v/>
      </c>
      <c r="AB315" s="5">
        <f>IF(COUNTIF('02b_DC_Accelerator_Mix'!$A$2:$A$977,G315)&gt;0,"matched","missing_mix")</f>
        <v/>
      </c>
    </row>
    <row r="316">
      <c r="A316" s="5">
        <f>'02a_DC_Capacity_Alloc'!A316</f>
        <v/>
      </c>
      <c r="B316" s="5">
        <f>'02a_DC_Capacity_Alloc'!B316</f>
        <v/>
      </c>
      <c r="C316" s="5">
        <f>'02a_DC_Capacity_Alloc'!C316</f>
        <v/>
      </c>
      <c r="D316" s="5">
        <f>'02a_DC_Capacity_Alloc'!D316</f>
        <v/>
      </c>
      <c r="E316" s="5">
        <f>'02a_DC_Capacity_Alloc'!E316</f>
        <v/>
      </c>
      <c r="F316" s="5">
        <f>'02a_DC_Capacity_Alloc'!F316</f>
        <v/>
      </c>
      <c r="G316" s="5">
        <f>B316&amp;"|"&amp;E316&amp;"|"&amp;D316</f>
        <v/>
      </c>
      <c r="H316" s="28">
        <f>'02a_DC_Capacity_Alloc'!H316*'02a_DC_Capacity_Alloc'!I316*'02a_DC_Capacity_Alloc'!J316</f>
        <v/>
      </c>
      <c r="I316" s="6">
        <f>IFERROR(INDEX('02b_DC_Accelerator_Mix'!$F$2:$F$977,MATCH(G316,'02b_DC_Accelerator_Mix'!$A$2:$A$977,0)),0)</f>
        <v/>
      </c>
      <c r="J316" s="6">
        <f>IFERROR(INDEX('02b_DC_Accelerator_Mix'!$G$2:$G$977,MATCH(G316,'02b_DC_Accelerator_Mix'!$A$2:$A$977,0)),0)</f>
        <v/>
      </c>
      <c r="K316" s="6">
        <f>IFERROR(INDEX('02b_DC_Accelerator_Mix'!$H$2:$H$977,MATCH(G316,'02b_DC_Accelerator_Mix'!$A$2:$A$977,0)),0)</f>
        <v/>
      </c>
      <c r="L316" s="6">
        <f>IFERROR(INDEX('02b_DC_Accelerator_Mix'!$I$2:$I$977,MATCH(G316,'02b_DC_Accelerator_Mix'!$A$2:$A$977,0)),0)</f>
        <v/>
      </c>
      <c r="M316" s="6">
        <f>IFERROR(INDEX('02b_DC_Accelerator_Mix'!$J$2:$J$977,MATCH(G316,'02b_DC_Accelerator_Mix'!$A$2:$A$977,0)),0)</f>
        <v/>
      </c>
      <c r="N316" s="6">
        <f>IFERROR(INDEX('02b_DC_Accelerator_Mix'!$K$2:$K$977,MATCH(G316,'02b_DC_Accelerator_Mix'!$A$2:$A$977,0)),0)</f>
        <v/>
      </c>
      <c r="O316" s="6">
        <f>IFERROR(INDEX('02b_DC_Accelerator_Mix'!$L$2:$L$977,MATCH(G316,'02b_DC_Accelerator_Mix'!$A$2:$A$977,0)),0)</f>
        <v/>
      </c>
      <c r="P316" s="6">
        <f>IFERROR(INDEX('02b_DC_Accelerator_Mix'!$M$2:$M$977,MATCH(G316,'02b_DC_Accelerator_Mix'!$A$2:$A$977,0)),0)</f>
        <v/>
      </c>
      <c r="Q316" s="6">
        <f>IFERROR(INDEX('02b_DC_Accelerator_Mix'!$N$2:$N$977,MATCH(G316,'02b_DC_Accelerator_Mix'!$A$2:$A$977,0)),0)</f>
        <v/>
      </c>
      <c r="R316" s="28">
        <f>H316*I316</f>
        <v/>
      </c>
      <c r="S316" s="28">
        <f>H316*J316</f>
        <v/>
      </c>
      <c r="T316" s="28">
        <f>H316*K316</f>
        <v/>
      </c>
      <c r="U316" s="28">
        <f>H316*L316</f>
        <v/>
      </c>
      <c r="V316" s="28">
        <f>H316*M316</f>
        <v/>
      </c>
      <c r="W316" s="28">
        <f>H316*N316</f>
        <v/>
      </c>
      <c r="X316" s="28">
        <f>H316*O316</f>
        <v/>
      </c>
      <c r="Y316" s="28">
        <f>H316*P316</f>
        <v/>
      </c>
      <c r="Z316" s="28">
        <f>H316*Q316</f>
        <v/>
      </c>
      <c r="AA316" s="28">
        <f>SUM(U316:Z316)</f>
        <v/>
      </c>
      <c r="AB316" s="5">
        <f>IF(COUNTIF('02b_DC_Accelerator_Mix'!$A$2:$A$977,G316)&gt;0,"matched","missing_mix")</f>
        <v/>
      </c>
    </row>
    <row r="317">
      <c r="A317" s="5">
        <f>'02a_DC_Capacity_Alloc'!A317</f>
        <v/>
      </c>
      <c r="B317" s="5">
        <f>'02a_DC_Capacity_Alloc'!B317</f>
        <v/>
      </c>
      <c r="C317" s="5">
        <f>'02a_DC_Capacity_Alloc'!C317</f>
        <v/>
      </c>
      <c r="D317" s="5">
        <f>'02a_DC_Capacity_Alloc'!D317</f>
        <v/>
      </c>
      <c r="E317" s="5">
        <f>'02a_DC_Capacity_Alloc'!E317</f>
        <v/>
      </c>
      <c r="F317" s="5">
        <f>'02a_DC_Capacity_Alloc'!F317</f>
        <v/>
      </c>
      <c r="G317" s="5">
        <f>B317&amp;"|"&amp;E317&amp;"|"&amp;D317</f>
        <v/>
      </c>
      <c r="H317" s="28">
        <f>'02a_DC_Capacity_Alloc'!H317*'02a_DC_Capacity_Alloc'!I317*'02a_DC_Capacity_Alloc'!J317</f>
        <v/>
      </c>
      <c r="I317" s="6">
        <f>IFERROR(INDEX('02b_DC_Accelerator_Mix'!$F$2:$F$977,MATCH(G317,'02b_DC_Accelerator_Mix'!$A$2:$A$977,0)),0)</f>
        <v/>
      </c>
      <c r="J317" s="6">
        <f>IFERROR(INDEX('02b_DC_Accelerator_Mix'!$G$2:$G$977,MATCH(G317,'02b_DC_Accelerator_Mix'!$A$2:$A$977,0)),0)</f>
        <v/>
      </c>
      <c r="K317" s="6">
        <f>IFERROR(INDEX('02b_DC_Accelerator_Mix'!$H$2:$H$977,MATCH(G317,'02b_DC_Accelerator_Mix'!$A$2:$A$977,0)),0)</f>
        <v/>
      </c>
      <c r="L317" s="6">
        <f>IFERROR(INDEX('02b_DC_Accelerator_Mix'!$I$2:$I$977,MATCH(G317,'02b_DC_Accelerator_Mix'!$A$2:$A$977,0)),0)</f>
        <v/>
      </c>
      <c r="M317" s="6">
        <f>IFERROR(INDEX('02b_DC_Accelerator_Mix'!$J$2:$J$977,MATCH(G317,'02b_DC_Accelerator_Mix'!$A$2:$A$977,0)),0)</f>
        <v/>
      </c>
      <c r="N317" s="6">
        <f>IFERROR(INDEX('02b_DC_Accelerator_Mix'!$K$2:$K$977,MATCH(G317,'02b_DC_Accelerator_Mix'!$A$2:$A$977,0)),0)</f>
        <v/>
      </c>
      <c r="O317" s="6">
        <f>IFERROR(INDEX('02b_DC_Accelerator_Mix'!$L$2:$L$977,MATCH(G317,'02b_DC_Accelerator_Mix'!$A$2:$A$977,0)),0)</f>
        <v/>
      </c>
      <c r="P317" s="6">
        <f>IFERROR(INDEX('02b_DC_Accelerator_Mix'!$M$2:$M$977,MATCH(G317,'02b_DC_Accelerator_Mix'!$A$2:$A$977,0)),0)</f>
        <v/>
      </c>
      <c r="Q317" s="6">
        <f>IFERROR(INDEX('02b_DC_Accelerator_Mix'!$N$2:$N$977,MATCH(G317,'02b_DC_Accelerator_Mix'!$A$2:$A$977,0)),0)</f>
        <v/>
      </c>
      <c r="R317" s="28">
        <f>H317*I317</f>
        <v/>
      </c>
      <c r="S317" s="28">
        <f>H317*J317</f>
        <v/>
      </c>
      <c r="T317" s="28">
        <f>H317*K317</f>
        <v/>
      </c>
      <c r="U317" s="28">
        <f>H317*L317</f>
        <v/>
      </c>
      <c r="V317" s="28">
        <f>H317*M317</f>
        <v/>
      </c>
      <c r="W317" s="28">
        <f>H317*N317</f>
        <v/>
      </c>
      <c r="X317" s="28">
        <f>H317*O317</f>
        <v/>
      </c>
      <c r="Y317" s="28">
        <f>H317*P317</f>
        <v/>
      </c>
      <c r="Z317" s="28">
        <f>H317*Q317</f>
        <v/>
      </c>
      <c r="AA317" s="28">
        <f>SUM(U317:Z317)</f>
        <v/>
      </c>
      <c r="AB317" s="5">
        <f>IF(COUNTIF('02b_DC_Accelerator_Mix'!$A$2:$A$977,G317)&gt;0,"matched","missing_mix")</f>
        <v/>
      </c>
    </row>
    <row r="318">
      <c r="A318" s="5">
        <f>'02a_DC_Capacity_Alloc'!A318</f>
        <v/>
      </c>
      <c r="B318" s="5">
        <f>'02a_DC_Capacity_Alloc'!B318</f>
        <v/>
      </c>
      <c r="C318" s="5">
        <f>'02a_DC_Capacity_Alloc'!C318</f>
        <v/>
      </c>
      <c r="D318" s="5">
        <f>'02a_DC_Capacity_Alloc'!D318</f>
        <v/>
      </c>
      <c r="E318" s="5">
        <f>'02a_DC_Capacity_Alloc'!E318</f>
        <v/>
      </c>
      <c r="F318" s="5">
        <f>'02a_DC_Capacity_Alloc'!F318</f>
        <v/>
      </c>
      <c r="G318" s="5">
        <f>B318&amp;"|"&amp;E318&amp;"|"&amp;D318</f>
        <v/>
      </c>
      <c r="H318" s="28">
        <f>'02a_DC_Capacity_Alloc'!H318*'02a_DC_Capacity_Alloc'!I318*'02a_DC_Capacity_Alloc'!J318</f>
        <v/>
      </c>
      <c r="I318" s="6">
        <f>IFERROR(INDEX('02b_DC_Accelerator_Mix'!$F$2:$F$977,MATCH(G318,'02b_DC_Accelerator_Mix'!$A$2:$A$977,0)),0)</f>
        <v/>
      </c>
      <c r="J318" s="6">
        <f>IFERROR(INDEX('02b_DC_Accelerator_Mix'!$G$2:$G$977,MATCH(G318,'02b_DC_Accelerator_Mix'!$A$2:$A$977,0)),0)</f>
        <v/>
      </c>
      <c r="K318" s="6">
        <f>IFERROR(INDEX('02b_DC_Accelerator_Mix'!$H$2:$H$977,MATCH(G318,'02b_DC_Accelerator_Mix'!$A$2:$A$977,0)),0)</f>
        <v/>
      </c>
      <c r="L318" s="6">
        <f>IFERROR(INDEX('02b_DC_Accelerator_Mix'!$I$2:$I$977,MATCH(G318,'02b_DC_Accelerator_Mix'!$A$2:$A$977,0)),0)</f>
        <v/>
      </c>
      <c r="M318" s="6">
        <f>IFERROR(INDEX('02b_DC_Accelerator_Mix'!$J$2:$J$977,MATCH(G318,'02b_DC_Accelerator_Mix'!$A$2:$A$977,0)),0)</f>
        <v/>
      </c>
      <c r="N318" s="6">
        <f>IFERROR(INDEX('02b_DC_Accelerator_Mix'!$K$2:$K$977,MATCH(G318,'02b_DC_Accelerator_Mix'!$A$2:$A$977,0)),0)</f>
        <v/>
      </c>
      <c r="O318" s="6">
        <f>IFERROR(INDEX('02b_DC_Accelerator_Mix'!$L$2:$L$977,MATCH(G318,'02b_DC_Accelerator_Mix'!$A$2:$A$977,0)),0)</f>
        <v/>
      </c>
      <c r="P318" s="6">
        <f>IFERROR(INDEX('02b_DC_Accelerator_Mix'!$M$2:$M$977,MATCH(G318,'02b_DC_Accelerator_Mix'!$A$2:$A$977,0)),0)</f>
        <v/>
      </c>
      <c r="Q318" s="6">
        <f>IFERROR(INDEX('02b_DC_Accelerator_Mix'!$N$2:$N$977,MATCH(G318,'02b_DC_Accelerator_Mix'!$A$2:$A$977,0)),0)</f>
        <v/>
      </c>
      <c r="R318" s="28">
        <f>H318*I318</f>
        <v/>
      </c>
      <c r="S318" s="28">
        <f>H318*J318</f>
        <v/>
      </c>
      <c r="T318" s="28">
        <f>H318*K318</f>
        <v/>
      </c>
      <c r="U318" s="28">
        <f>H318*L318</f>
        <v/>
      </c>
      <c r="V318" s="28">
        <f>H318*M318</f>
        <v/>
      </c>
      <c r="W318" s="28">
        <f>H318*N318</f>
        <v/>
      </c>
      <c r="X318" s="28">
        <f>H318*O318</f>
        <v/>
      </c>
      <c r="Y318" s="28">
        <f>H318*P318</f>
        <v/>
      </c>
      <c r="Z318" s="28">
        <f>H318*Q318</f>
        <v/>
      </c>
      <c r="AA318" s="28">
        <f>SUM(U318:Z318)</f>
        <v/>
      </c>
      <c r="AB318" s="5">
        <f>IF(COUNTIF('02b_DC_Accelerator_Mix'!$A$2:$A$977,G318)&gt;0,"matched","missing_mix")</f>
        <v/>
      </c>
    </row>
    <row r="319">
      <c r="A319" s="5">
        <f>'02a_DC_Capacity_Alloc'!A319</f>
        <v/>
      </c>
      <c r="B319" s="5">
        <f>'02a_DC_Capacity_Alloc'!B319</f>
        <v/>
      </c>
      <c r="C319" s="5">
        <f>'02a_DC_Capacity_Alloc'!C319</f>
        <v/>
      </c>
      <c r="D319" s="5">
        <f>'02a_DC_Capacity_Alloc'!D319</f>
        <v/>
      </c>
      <c r="E319" s="5">
        <f>'02a_DC_Capacity_Alloc'!E319</f>
        <v/>
      </c>
      <c r="F319" s="5">
        <f>'02a_DC_Capacity_Alloc'!F319</f>
        <v/>
      </c>
      <c r="G319" s="5">
        <f>B319&amp;"|"&amp;E319&amp;"|"&amp;D319</f>
        <v/>
      </c>
      <c r="H319" s="28">
        <f>'02a_DC_Capacity_Alloc'!H319*'02a_DC_Capacity_Alloc'!I319*'02a_DC_Capacity_Alloc'!J319</f>
        <v/>
      </c>
      <c r="I319" s="6">
        <f>IFERROR(INDEX('02b_DC_Accelerator_Mix'!$F$2:$F$977,MATCH(G319,'02b_DC_Accelerator_Mix'!$A$2:$A$977,0)),0)</f>
        <v/>
      </c>
      <c r="J319" s="6">
        <f>IFERROR(INDEX('02b_DC_Accelerator_Mix'!$G$2:$G$977,MATCH(G319,'02b_DC_Accelerator_Mix'!$A$2:$A$977,0)),0)</f>
        <v/>
      </c>
      <c r="K319" s="6">
        <f>IFERROR(INDEX('02b_DC_Accelerator_Mix'!$H$2:$H$977,MATCH(G319,'02b_DC_Accelerator_Mix'!$A$2:$A$977,0)),0)</f>
        <v/>
      </c>
      <c r="L319" s="6">
        <f>IFERROR(INDEX('02b_DC_Accelerator_Mix'!$I$2:$I$977,MATCH(G319,'02b_DC_Accelerator_Mix'!$A$2:$A$977,0)),0)</f>
        <v/>
      </c>
      <c r="M319" s="6">
        <f>IFERROR(INDEX('02b_DC_Accelerator_Mix'!$J$2:$J$977,MATCH(G319,'02b_DC_Accelerator_Mix'!$A$2:$A$977,0)),0)</f>
        <v/>
      </c>
      <c r="N319" s="6">
        <f>IFERROR(INDEX('02b_DC_Accelerator_Mix'!$K$2:$K$977,MATCH(G319,'02b_DC_Accelerator_Mix'!$A$2:$A$977,0)),0)</f>
        <v/>
      </c>
      <c r="O319" s="6">
        <f>IFERROR(INDEX('02b_DC_Accelerator_Mix'!$L$2:$L$977,MATCH(G319,'02b_DC_Accelerator_Mix'!$A$2:$A$977,0)),0)</f>
        <v/>
      </c>
      <c r="P319" s="6">
        <f>IFERROR(INDEX('02b_DC_Accelerator_Mix'!$M$2:$M$977,MATCH(G319,'02b_DC_Accelerator_Mix'!$A$2:$A$977,0)),0)</f>
        <v/>
      </c>
      <c r="Q319" s="6">
        <f>IFERROR(INDEX('02b_DC_Accelerator_Mix'!$N$2:$N$977,MATCH(G319,'02b_DC_Accelerator_Mix'!$A$2:$A$977,0)),0)</f>
        <v/>
      </c>
      <c r="R319" s="28">
        <f>H319*I319</f>
        <v/>
      </c>
      <c r="S319" s="28">
        <f>H319*J319</f>
        <v/>
      </c>
      <c r="T319" s="28">
        <f>H319*K319</f>
        <v/>
      </c>
      <c r="U319" s="28">
        <f>H319*L319</f>
        <v/>
      </c>
      <c r="V319" s="28">
        <f>H319*M319</f>
        <v/>
      </c>
      <c r="W319" s="28">
        <f>H319*N319</f>
        <v/>
      </c>
      <c r="X319" s="28">
        <f>H319*O319</f>
        <v/>
      </c>
      <c r="Y319" s="28">
        <f>H319*P319</f>
        <v/>
      </c>
      <c r="Z319" s="28">
        <f>H319*Q319</f>
        <v/>
      </c>
      <c r="AA319" s="28">
        <f>SUM(U319:Z319)</f>
        <v/>
      </c>
      <c r="AB319" s="5">
        <f>IF(COUNTIF('02b_DC_Accelerator_Mix'!$A$2:$A$977,G319)&gt;0,"matched","missing_mix")</f>
        <v/>
      </c>
    </row>
    <row r="320">
      <c r="A320" s="5">
        <f>'02a_DC_Capacity_Alloc'!A320</f>
        <v/>
      </c>
      <c r="B320" s="5">
        <f>'02a_DC_Capacity_Alloc'!B320</f>
        <v/>
      </c>
      <c r="C320" s="5">
        <f>'02a_DC_Capacity_Alloc'!C320</f>
        <v/>
      </c>
      <c r="D320" s="5">
        <f>'02a_DC_Capacity_Alloc'!D320</f>
        <v/>
      </c>
      <c r="E320" s="5">
        <f>'02a_DC_Capacity_Alloc'!E320</f>
        <v/>
      </c>
      <c r="F320" s="5">
        <f>'02a_DC_Capacity_Alloc'!F320</f>
        <v/>
      </c>
      <c r="G320" s="5">
        <f>B320&amp;"|"&amp;E320&amp;"|"&amp;D320</f>
        <v/>
      </c>
      <c r="H320" s="28">
        <f>'02a_DC_Capacity_Alloc'!H320*'02a_DC_Capacity_Alloc'!I320*'02a_DC_Capacity_Alloc'!J320</f>
        <v/>
      </c>
      <c r="I320" s="6">
        <f>IFERROR(INDEX('02b_DC_Accelerator_Mix'!$F$2:$F$977,MATCH(G320,'02b_DC_Accelerator_Mix'!$A$2:$A$977,0)),0)</f>
        <v/>
      </c>
      <c r="J320" s="6">
        <f>IFERROR(INDEX('02b_DC_Accelerator_Mix'!$G$2:$G$977,MATCH(G320,'02b_DC_Accelerator_Mix'!$A$2:$A$977,0)),0)</f>
        <v/>
      </c>
      <c r="K320" s="6">
        <f>IFERROR(INDEX('02b_DC_Accelerator_Mix'!$H$2:$H$977,MATCH(G320,'02b_DC_Accelerator_Mix'!$A$2:$A$977,0)),0)</f>
        <v/>
      </c>
      <c r="L320" s="6">
        <f>IFERROR(INDEX('02b_DC_Accelerator_Mix'!$I$2:$I$977,MATCH(G320,'02b_DC_Accelerator_Mix'!$A$2:$A$977,0)),0)</f>
        <v/>
      </c>
      <c r="M320" s="6">
        <f>IFERROR(INDEX('02b_DC_Accelerator_Mix'!$J$2:$J$977,MATCH(G320,'02b_DC_Accelerator_Mix'!$A$2:$A$977,0)),0)</f>
        <v/>
      </c>
      <c r="N320" s="6">
        <f>IFERROR(INDEX('02b_DC_Accelerator_Mix'!$K$2:$K$977,MATCH(G320,'02b_DC_Accelerator_Mix'!$A$2:$A$977,0)),0)</f>
        <v/>
      </c>
      <c r="O320" s="6">
        <f>IFERROR(INDEX('02b_DC_Accelerator_Mix'!$L$2:$L$977,MATCH(G320,'02b_DC_Accelerator_Mix'!$A$2:$A$977,0)),0)</f>
        <v/>
      </c>
      <c r="P320" s="6">
        <f>IFERROR(INDEX('02b_DC_Accelerator_Mix'!$M$2:$M$977,MATCH(G320,'02b_DC_Accelerator_Mix'!$A$2:$A$977,0)),0)</f>
        <v/>
      </c>
      <c r="Q320" s="6">
        <f>IFERROR(INDEX('02b_DC_Accelerator_Mix'!$N$2:$N$977,MATCH(G320,'02b_DC_Accelerator_Mix'!$A$2:$A$977,0)),0)</f>
        <v/>
      </c>
      <c r="R320" s="28">
        <f>H320*I320</f>
        <v/>
      </c>
      <c r="S320" s="28">
        <f>H320*J320</f>
        <v/>
      </c>
      <c r="T320" s="28">
        <f>H320*K320</f>
        <v/>
      </c>
      <c r="U320" s="28">
        <f>H320*L320</f>
        <v/>
      </c>
      <c r="V320" s="28">
        <f>H320*M320</f>
        <v/>
      </c>
      <c r="W320" s="28">
        <f>H320*N320</f>
        <v/>
      </c>
      <c r="X320" s="28">
        <f>H320*O320</f>
        <v/>
      </c>
      <c r="Y320" s="28">
        <f>H320*P320</f>
        <v/>
      </c>
      <c r="Z320" s="28">
        <f>H320*Q320</f>
        <v/>
      </c>
      <c r="AA320" s="28">
        <f>SUM(U320:Z320)</f>
        <v/>
      </c>
      <c r="AB320" s="5">
        <f>IF(COUNTIF('02b_DC_Accelerator_Mix'!$A$2:$A$977,G320)&gt;0,"matched","missing_mix")</f>
        <v/>
      </c>
    </row>
    <row r="321">
      <c r="A321" s="5">
        <f>'02a_DC_Capacity_Alloc'!A321</f>
        <v/>
      </c>
      <c r="B321" s="5">
        <f>'02a_DC_Capacity_Alloc'!B321</f>
        <v/>
      </c>
      <c r="C321" s="5">
        <f>'02a_DC_Capacity_Alloc'!C321</f>
        <v/>
      </c>
      <c r="D321" s="5">
        <f>'02a_DC_Capacity_Alloc'!D321</f>
        <v/>
      </c>
      <c r="E321" s="5">
        <f>'02a_DC_Capacity_Alloc'!E321</f>
        <v/>
      </c>
      <c r="F321" s="5">
        <f>'02a_DC_Capacity_Alloc'!F321</f>
        <v/>
      </c>
      <c r="G321" s="5">
        <f>B321&amp;"|"&amp;E321&amp;"|"&amp;D321</f>
        <v/>
      </c>
      <c r="H321" s="28">
        <f>'02a_DC_Capacity_Alloc'!H321*'02a_DC_Capacity_Alloc'!I321*'02a_DC_Capacity_Alloc'!J321</f>
        <v/>
      </c>
      <c r="I321" s="6">
        <f>IFERROR(INDEX('02b_DC_Accelerator_Mix'!$F$2:$F$977,MATCH(G321,'02b_DC_Accelerator_Mix'!$A$2:$A$977,0)),0)</f>
        <v/>
      </c>
      <c r="J321" s="6">
        <f>IFERROR(INDEX('02b_DC_Accelerator_Mix'!$G$2:$G$977,MATCH(G321,'02b_DC_Accelerator_Mix'!$A$2:$A$977,0)),0)</f>
        <v/>
      </c>
      <c r="K321" s="6">
        <f>IFERROR(INDEX('02b_DC_Accelerator_Mix'!$H$2:$H$977,MATCH(G321,'02b_DC_Accelerator_Mix'!$A$2:$A$977,0)),0)</f>
        <v/>
      </c>
      <c r="L321" s="6">
        <f>IFERROR(INDEX('02b_DC_Accelerator_Mix'!$I$2:$I$977,MATCH(G321,'02b_DC_Accelerator_Mix'!$A$2:$A$977,0)),0)</f>
        <v/>
      </c>
      <c r="M321" s="6">
        <f>IFERROR(INDEX('02b_DC_Accelerator_Mix'!$J$2:$J$977,MATCH(G321,'02b_DC_Accelerator_Mix'!$A$2:$A$977,0)),0)</f>
        <v/>
      </c>
      <c r="N321" s="6">
        <f>IFERROR(INDEX('02b_DC_Accelerator_Mix'!$K$2:$K$977,MATCH(G321,'02b_DC_Accelerator_Mix'!$A$2:$A$977,0)),0)</f>
        <v/>
      </c>
      <c r="O321" s="6">
        <f>IFERROR(INDEX('02b_DC_Accelerator_Mix'!$L$2:$L$977,MATCH(G321,'02b_DC_Accelerator_Mix'!$A$2:$A$977,0)),0)</f>
        <v/>
      </c>
      <c r="P321" s="6">
        <f>IFERROR(INDEX('02b_DC_Accelerator_Mix'!$M$2:$M$977,MATCH(G321,'02b_DC_Accelerator_Mix'!$A$2:$A$977,0)),0)</f>
        <v/>
      </c>
      <c r="Q321" s="6">
        <f>IFERROR(INDEX('02b_DC_Accelerator_Mix'!$N$2:$N$977,MATCH(G321,'02b_DC_Accelerator_Mix'!$A$2:$A$977,0)),0)</f>
        <v/>
      </c>
      <c r="R321" s="28">
        <f>H321*I321</f>
        <v/>
      </c>
      <c r="S321" s="28">
        <f>H321*J321</f>
        <v/>
      </c>
      <c r="T321" s="28">
        <f>H321*K321</f>
        <v/>
      </c>
      <c r="U321" s="28">
        <f>H321*L321</f>
        <v/>
      </c>
      <c r="V321" s="28">
        <f>H321*M321</f>
        <v/>
      </c>
      <c r="W321" s="28">
        <f>H321*N321</f>
        <v/>
      </c>
      <c r="X321" s="28">
        <f>H321*O321</f>
        <v/>
      </c>
      <c r="Y321" s="28">
        <f>H321*P321</f>
        <v/>
      </c>
      <c r="Z321" s="28">
        <f>H321*Q321</f>
        <v/>
      </c>
      <c r="AA321" s="28">
        <f>SUM(U321:Z321)</f>
        <v/>
      </c>
      <c r="AB321" s="5">
        <f>IF(COUNTIF('02b_DC_Accelerator_Mix'!$A$2:$A$977,G321)&gt;0,"matched","missing_mix")</f>
        <v/>
      </c>
    </row>
    <row r="322">
      <c r="A322" s="5">
        <f>'02a_DC_Capacity_Alloc'!A322</f>
        <v/>
      </c>
      <c r="B322" s="5">
        <f>'02a_DC_Capacity_Alloc'!B322</f>
        <v/>
      </c>
      <c r="C322" s="5">
        <f>'02a_DC_Capacity_Alloc'!C322</f>
        <v/>
      </c>
      <c r="D322" s="5">
        <f>'02a_DC_Capacity_Alloc'!D322</f>
        <v/>
      </c>
      <c r="E322" s="5">
        <f>'02a_DC_Capacity_Alloc'!E322</f>
        <v/>
      </c>
      <c r="F322" s="5">
        <f>'02a_DC_Capacity_Alloc'!F322</f>
        <v/>
      </c>
      <c r="G322" s="5">
        <f>B322&amp;"|"&amp;E322&amp;"|"&amp;D322</f>
        <v/>
      </c>
      <c r="H322" s="28">
        <f>'02a_DC_Capacity_Alloc'!H322*'02a_DC_Capacity_Alloc'!I322*'02a_DC_Capacity_Alloc'!J322</f>
        <v/>
      </c>
      <c r="I322" s="6">
        <f>IFERROR(INDEX('02b_DC_Accelerator_Mix'!$F$2:$F$977,MATCH(G322,'02b_DC_Accelerator_Mix'!$A$2:$A$977,0)),0)</f>
        <v/>
      </c>
      <c r="J322" s="6">
        <f>IFERROR(INDEX('02b_DC_Accelerator_Mix'!$G$2:$G$977,MATCH(G322,'02b_DC_Accelerator_Mix'!$A$2:$A$977,0)),0)</f>
        <v/>
      </c>
      <c r="K322" s="6">
        <f>IFERROR(INDEX('02b_DC_Accelerator_Mix'!$H$2:$H$977,MATCH(G322,'02b_DC_Accelerator_Mix'!$A$2:$A$977,0)),0)</f>
        <v/>
      </c>
      <c r="L322" s="6">
        <f>IFERROR(INDEX('02b_DC_Accelerator_Mix'!$I$2:$I$977,MATCH(G322,'02b_DC_Accelerator_Mix'!$A$2:$A$977,0)),0)</f>
        <v/>
      </c>
      <c r="M322" s="6">
        <f>IFERROR(INDEX('02b_DC_Accelerator_Mix'!$J$2:$J$977,MATCH(G322,'02b_DC_Accelerator_Mix'!$A$2:$A$977,0)),0)</f>
        <v/>
      </c>
      <c r="N322" s="6">
        <f>IFERROR(INDEX('02b_DC_Accelerator_Mix'!$K$2:$K$977,MATCH(G322,'02b_DC_Accelerator_Mix'!$A$2:$A$977,0)),0)</f>
        <v/>
      </c>
      <c r="O322" s="6">
        <f>IFERROR(INDEX('02b_DC_Accelerator_Mix'!$L$2:$L$977,MATCH(G322,'02b_DC_Accelerator_Mix'!$A$2:$A$977,0)),0)</f>
        <v/>
      </c>
      <c r="P322" s="6">
        <f>IFERROR(INDEX('02b_DC_Accelerator_Mix'!$M$2:$M$977,MATCH(G322,'02b_DC_Accelerator_Mix'!$A$2:$A$977,0)),0)</f>
        <v/>
      </c>
      <c r="Q322" s="6">
        <f>IFERROR(INDEX('02b_DC_Accelerator_Mix'!$N$2:$N$977,MATCH(G322,'02b_DC_Accelerator_Mix'!$A$2:$A$977,0)),0)</f>
        <v/>
      </c>
      <c r="R322" s="28">
        <f>H322*I322</f>
        <v/>
      </c>
      <c r="S322" s="28">
        <f>H322*J322</f>
        <v/>
      </c>
      <c r="T322" s="28">
        <f>H322*K322</f>
        <v/>
      </c>
      <c r="U322" s="28">
        <f>H322*L322</f>
        <v/>
      </c>
      <c r="V322" s="28">
        <f>H322*M322</f>
        <v/>
      </c>
      <c r="W322" s="28">
        <f>H322*N322</f>
        <v/>
      </c>
      <c r="X322" s="28">
        <f>H322*O322</f>
        <v/>
      </c>
      <c r="Y322" s="28">
        <f>H322*P322</f>
        <v/>
      </c>
      <c r="Z322" s="28">
        <f>H322*Q322</f>
        <v/>
      </c>
      <c r="AA322" s="28">
        <f>SUM(U322:Z322)</f>
        <v/>
      </c>
      <c r="AB322" s="5">
        <f>IF(COUNTIF('02b_DC_Accelerator_Mix'!$A$2:$A$977,G322)&gt;0,"matched","missing_mix")</f>
        <v/>
      </c>
    </row>
    <row r="323">
      <c r="A323" s="5">
        <f>'02a_DC_Capacity_Alloc'!A323</f>
        <v/>
      </c>
      <c r="B323" s="5">
        <f>'02a_DC_Capacity_Alloc'!B323</f>
        <v/>
      </c>
      <c r="C323" s="5">
        <f>'02a_DC_Capacity_Alloc'!C323</f>
        <v/>
      </c>
      <c r="D323" s="5">
        <f>'02a_DC_Capacity_Alloc'!D323</f>
        <v/>
      </c>
      <c r="E323" s="5">
        <f>'02a_DC_Capacity_Alloc'!E323</f>
        <v/>
      </c>
      <c r="F323" s="5">
        <f>'02a_DC_Capacity_Alloc'!F323</f>
        <v/>
      </c>
      <c r="G323" s="5">
        <f>B323&amp;"|"&amp;E323&amp;"|"&amp;D323</f>
        <v/>
      </c>
      <c r="H323" s="28">
        <f>'02a_DC_Capacity_Alloc'!H323*'02a_DC_Capacity_Alloc'!I323*'02a_DC_Capacity_Alloc'!J323</f>
        <v/>
      </c>
      <c r="I323" s="6">
        <f>IFERROR(INDEX('02b_DC_Accelerator_Mix'!$F$2:$F$977,MATCH(G323,'02b_DC_Accelerator_Mix'!$A$2:$A$977,0)),0)</f>
        <v/>
      </c>
      <c r="J323" s="6">
        <f>IFERROR(INDEX('02b_DC_Accelerator_Mix'!$G$2:$G$977,MATCH(G323,'02b_DC_Accelerator_Mix'!$A$2:$A$977,0)),0)</f>
        <v/>
      </c>
      <c r="K323" s="6">
        <f>IFERROR(INDEX('02b_DC_Accelerator_Mix'!$H$2:$H$977,MATCH(G323,'02b_DC_Accelerator_Mix'!$A$2:$A$977,0)),0)</f>
        <v/>
      </c>
      <c r="L323" s="6">
        <f>IFERROR(INDEX('02b_DC_Accelerator_Mix'!$I$2:$I$977,MATCH(G323,'02b_DC_Accelerator_Mix'!$A$2:$A$977,0)),0)</f>
        <v/>
      </c>
      <c r="M323" s="6">
        <f>IFERROR(INDEX('02b_DC_Accelerator_Mix'!$J$2:$J$977,MATCH(G323,'02b_DC_Accelerator_Mix'!$A$2:$A$977,0)),0)</f>
        <v/>
      </c>
      <c r="N323" s="6">
        <f>IFERROR(INDEX('02b_DC_Accelerator_Mix'!$K$2:$K$977,MATCH(G323,'02b_DC_Accelerator_Mix'!$A$2:$A$977,0)),0)</f>
        <v/>
      </c>
      <c r="O323" s="6">
        <f>IFERROR(INDEX('02b_DC_Accelerator_Mix'!$L$2:$L$977,MATCH(G323,'02b_DC_Accelerator_Mix'!$A$2:$A$977,0)),0)</f>
        <v/>
      </c>
      <c r="P323" s="6">
        <f>IFERROR(INDEX('02b_DC_Accelerator_Mix'!$M$2:$M$977,MATCH(G323,'02b_DC_Accelerator_Mix'!$A$2:$A$977,0)),0)</f>
        <v/>
      </c>
      <c r="Q323" s="6">
        <f>IFERROR(INDEX('02b_DC_Accelerator_Mix'!$N$2:$N$977,MATCH(G323,'02b_DC_Accelerator_Mix'!$A$2:$A$977,0)),0)</f>
        <v/>
      </c>
      <c r="R323" s="28">
        <f>H323*I323</f>
        <v/>
      </c>
      <c r="S323" s="28">
        <f>H323*J323</f>
        <v/>
      </c>
      <c r="T323" s="28">
        <f>H323*K323</f>
        <v/>
      </c>
      <c r="U323" s="28">
        <f>H323*L323</f>
        <v/>
      </c>
      <c r="V323" s="28">
        <f>H323*M323</f>
        <v/>
      </c>
      <c r="W323" s="28">
        <f>H323*N323</f>
        <v/>
      </c>
      <c r="X323" s="28">
        <f>H323*O323</f>
        <v/>
      </c>
      <c r="Y323" s="28">
        <f>H323*P323</f>
        <v/>
      </c>
      <c r="Z323" s="28">
        <f>H323*Q323</f>
        <v/>
      </c>
      <c r="AA323" s="28">
        <f>SUM(U323:Z323)</f>
        <v/>
      </c>
      <c r="AB323" s="5">
        <f>IF(COUNTIF('02b_DC_Accelerator_Mix'!$A$2:$A$977,G323)&gt;0,"matched","missing_mix")</f>
        <v/>
      </c>
    </row>
    <row r="324">
      <c r="A324" s="5">
        <f>'02a_DC_Capacity_Alloc'!A324</f>
        <v/>
      </c>
      <c r="B324" s="5">
        <f>'02a_DC_Capacity_Alloc'!B324</f>
        <v/>
      </c>
      <c r="C324" s="5">
        <f>'02a_DC_Capacity_Alloc'!C324</f>
        <v/>
      </c>
      <c r="D324" s="5">
        <f>'02a_DC_Capacity_Alloc'!D324</f>
        <v/>
      </c>
      <c r="E324" s="5">
        <f>'02a_DC_Capacity_Alloc'!E324</f>
        <v/>
      </c>
      <c r="F324" s="5">
        <f>'02a_DC_Capacity_Alloc'!F324</f>
        <v/>
      </c>
      <c r="G324" s="5">
        <f>B324&amp;"|"&amp;E324&amp;"|"&amp;D324</f>
        <v/>
      </c>
      <c r="H324" s="28">
        <f>'02a_DC_Capacity_Alloc'!H324*'02a_DC_Capacity_Alloc'!I324*'02a_DC_Capacity_Alloc'!J324</f>
        <v/>
      </c>
      <c r="I324" s="6">
        <f>IFERROR(INDEX('02b_DC_Accelerator_Mix'!$F$2:$F$977,MATCH(G324,'02b_DC_Accelerator_Mix'!$A$2:$A$977,0)),0)</f>
        <v/>
      </c>
      <c r="J324" s="6">
        <f>IFERROR(INDEX('02b_DC_Accelerator_Mix'!$G$2:$G$977,MATCH(G324,'02b_DC_Accelerator_Mix'!$A$2:$A$977,0)),0)</f>
        <v/>
      </c>
      <c r="K324" s="6">
        <f>IFERROR(INDEX('02b_DC_Accelerator_Mix'!$H$2:$H$977,MATCH(G324,'02b_DC_Accelerator_Mix'!$A$2:$A$977,0)),0)</f>
        <v/>
      </c>
      <c r="L324" s="6">
        <f>IFERROR(INDEX('02b_DC_Accelerator_Mix'!$I$2:$I$977,MATCH(G324,'02b_DC_Accelerator_Mix'!$A$2:$A$977,0)),0)</f>
        <v/>
      </c>
      <c r="M324" s="6">
        <f>IFERROR(INDEX('02b_DC_Accelerator_Mix'!$J$2:$J$977,MATCH(G324,'02b_DC_Accelerator_Mix'!$A$2:$A$977,0)),0)</f>
        <v/>
      </c>
      <c r="N324" s="6">
        <f>IFERROR(INDEX('02b_DC_Accelerator_Mix'!$K$2:$K$977,MATCH(G324,'02b_DC_Accelerator_Mix'!$A$2:$A$977,0)),0)</f>
        <v/>
      </c>
      <c r="O324" s="6">
        <f>IFERROR(INDEX('02b_DC_Accelerator_Mix'!$L$2:$L$977,MATCH(G324,'02b_DC_Accelerator_Mix'!$A$2:$A$977,0)),0)</f>
        <v/>
      </c>
      <c r="P324" s="6">
        <f>IFERROR(INDEX('02b_DC_Accelerator_Mix'!$M$2:$M$977,MATCH(G324,'02b_DC_Accelerator_Mix'!$A$2:$A$977,0)),0)</f>
        <v/>
      </c>
      <c r="Q324" s="6">
        <f>IFERROR(INDEX('02b_DC_Accelerator_Mix'!$N$2:$N$977,MATCH(G324,'02b_DC_Accelerator_Mix'!$A$2:$A$977,0)),0)</f>
        <v/>
      </c>
      <c r="R324" s="28">
        <f>H324*I324</f>
        <v/>
      </c>
      <c r="S324" s="28">
        <f>H324*J324</f>
        <v/>
      </c>
      <c r="T324" s="28">
        <f>H324*K324</f>
        <v/>
      </c>
      <c r="U324" s="28">
        <f>H324*L324</f>
        <v/>
      </c>
      <c r="V324" s="28">
        <f>H324*M324</f>
        <v/>
      </c>
      <c r="W324" s="28">
        <f>H324*N324</f>
        <v/>
      </c>
      <c r="X324" s="28">
        <f>H324*O324</f>
        <v/>
      </c>
      <c r="Y324" s="28">
        <f>H324*P324</f>
        <v/>
      </c>
      <c r="Z324" s="28">
        <f>H324*Q324</f>
        <v/>
      </c>
      <c r="AA324" s="28">
        <f>SUM(U324:Z324)</f>
        <v/>
      </c>
      <c r="AB324" s="5">
        <f>IF(COUNTIF('02b_DC_Accelerator_Mix'!$A$2:$A$977,G324)&gt;0,"matched","missing_mix")</f>
        <v/>
      </c>
    </row>
    <row r="325">
      <c r="A325" s="5">
        <f>'02a_DC_Capacity_Alloc'!A325</f>
        <v/>
      </c>
      <c r="B325" s="5">
        <f>'02a_DC_Capacity_Alloc'!B325</f>
        <v/>
      </c>
      <c r="C325" s="5">
        <f>'02a_DC_Capacity_Alloc'!C325</f>
        <v/>
      </c>
      <c r="D325" s="5">
        <f>'02a_DC_Capacity_Alloc'!D325</f>
        <v/>
      </c>
      <c r="E325" s="5">
        <f>'02a_DC_Capacity_Alloc'!E325</f>
        <v/>
      </c>
      <c r="F325" s="5">
        <f>'02a_DC_Capacity_Alloc'!F325</f>
        <v/>
      </c>
      <c r="G325" s="5">
        <f>B325&amp;"|"&amp;E325&amp;"|"&amp;D325</f>
        <v/>
      </c>
      <c r="H325" s="28">
        <f>'02a_DC_Capacity_Alloc'!H325*'02a_DC_Capacity_Alloc'!I325*'02a_DC_Capacity_Alloc'!J325</f>
        <v/>
      </c>
      <c r="I325" s="6">
        <f>IFERROR(INDEX('02b_DC_Accelerator_Mix'!$F$2:$F$977,MATCH(G325,'02b_DC_Accelerator_Mix'!$A$2:$A$977,0)),0)</f>
        <v/>
      </c>
      <c r="J325" s="6">
        <f>IFERROR(INDEX('02b_DC_Accelerator_Mix'!$G$2:$G$977,MATCH(G325,'02b_DC_Accelerator_Mix'!$A$2:$A$977,0)),0)</f>
        <v/>
      </c>
      <c r="K325" s="6">
        <f>IFERROR(INDEX('02b_DC_Accelerator_Mix'!$H$2:$H$977,MATCH(G325,'02b_DC_Accelerator_Mix'!$A$2:$A$977,0)),0)</f>
        <v/>
      </c>
      <c r="L325" s="6">
        <f>IFERROR(INDEX('02b_DC_Accelerator_Mix'!$I$2:$I$977,MATCH(G325,'02b_DC_Accelerator_Mix'!$A$2:$A$977,0)),0)</f>
        <v/>
      </c>
      <c r="M325" s="6">
        <f>IFERROR(INDEX('02b_DC_Accelerator_Mix'!$J$2:$J$977,MATCH(G325,'02b_DC_Accelerator_Mix'!$A$2:$A$977,0)),0)</f>
        <v/>
      </c>
      <c r="N325" s="6">
        <f>IFERROR(INDEX('02b_DC_Accelerator_Mix'!$K$2:$K$977,MATCH(G325,'02b_DC_Accelerator_Mix'!$A$2:$A$977,0)),0)</f>
        <v/>
      </c>
      <c r="O325" s="6">
        <f>IFERROR(INDEX('02b_DC_Accelerator_Mix'!$L$2:$L$977,MATCH(G325,'02b_DC_Accelerator_Mix'!$A$2:$A$977,0)),0)</f>
        <v/>
      </c>
      <c r="P325" s="6">
        <f>IFERROR(INDEX('02b_DC_Accelerator_Mix'!$M$2:$M$977,MATCH(G325,'02b_DC_Accelerator_Mix'!$A$2:$A$977,0)),0)</f>
        <v/>
      </c>
      <c r="Q325" s="6">
        <f>IFERROR(INDEX('02b_DC_Accelerator_Mix'!$N$2:$N$977,MATCH(G325,'02b_DC_Accelerator_Mix'!$A$2:$A$977,0)),0)</f>
        <v/>
      </c>
      <c r="R325" s="28">
        <f>H325*I325</f>
        <v/>
      </c>
      <c r="S325" s="28">
        <f>H325*J325</f>
        <v/>
      </c>
      <c r="T325" s="28">
        <f>H325*K325</f>
        <v/>
      </c>
      <c r="U325" s="28">
        <f>H325*L325</f>
        <v/>
      </c>
      <c r="V325" s="28">
        <f>H325*M325</f>
        <v/>
      </c>
      <c r="W325" s="28">
        <f>H325*N325</f>
        <v/>
      </c>
      <c r="X325" s="28">
        <f>H325*O325</f>
        <v/>
      </c>
      <c r="Y325" s="28">
        <f>H325*P325</f>
        <v/>
      </c>
      <c r="Z325" s="28">
        <f>H325*Q325</f>
        <v/>
      </c>
      <c r="AA325" s="28">
        <f>SUM(U325:Z325)</f>
        <v/>
      </c>
      <c r="AB325" s="5">
        <f>IF(COUNTIF('02b_DC_Accelerator_Mix'!$A$2:$A$977,G325)&gt;0,"matched","missing_mix")</f>
        <v/>
      </c>
    </row>
    <row r="326">
      <c r="A326" s="5">
        <f>'02a_DC_Capacity_Alloc'!A326</f>
        <v/>
      </c>
      <c r="B326" s="5">
        <f>'02a_DC_Capacity_Alloc'!B326</f>
        <v/>
      </c>
      <c r="C326" s="5">
        <f>'02a_DC_Capacity_Alloc'!C326</f>
        <v/>
      </c>
      <c r="D326" s="5">
        <f>'02a_DC_Capacity_Alloc'!D326</f>
        <v/>
      </c>
      <c r="E326" s="5">
        <f>'02a_DC_Capacity_Alloc'!E326</f>
        <v/>
      </c>
      <c r="F326" s="5">
        <f>'02a_DC_Capacity_Alloc'!F326</f>
        <v/>
      </c>
      <c r="G326" s="5">
        <f>B326&amp;"|"&amp;E326&amp;"|"&amp;D326</f>
        <v/>
      </c>
      <c r="H326" s="28">
        <f>'02a_DC_Capacity_Alloc'!H326*'02a_DC_Capacity_Alloc'!I326*'02a_DC_Capacity_Alloc'!J326</f>
        <v/>
      </c>
      <c r="I326" s="6">
        <f>IFERROR(INDEX('02b_DC_Accelerator_Mix'!$F$2:$F$977,MATCH(G326,'02b_DC_Accelerator_Mix'!$A$2:$A$977,0)),0)</f>
        <v/>
      </c>
      <c r="J326" s="6">
        <f>IFERROR(INDEX('02b_DC_Accelerator_Mix'!$G$2:$G$977,MATCH(G326,'02b_DC_Accelerator_Mix'!$A$2:$A$977,0)),0)</f>
        <v/>
      </c>
      <c r="K326" s="6">
        <f>IFERROR(INDEX('02b_DC_Accelerator_Mix'!$H$2:$H$977,MATCH(G326,'02b_DC_Accelerator_Mix'!$A$2:$A$977,0)),0)</f>
        <v/>
      </c>
      <c r="L326" s="6">
        <f>IFERROR(INDEX('02b_DC_Accelerator_Mix'!$I$2:$I$977,MATCH(G326,'02b_DC_Accelerator_Mix'!$A$2:$A$977,0)),0)</f>
        <v/>
      </c>
      <c r="M326" s="6">
        <f>IFERROR(INDEX('02b_DC_Accelerator_Mix'!$J$2:$J$977,MATCH(G326,'02b_DC_Accelerator_Mix'!$A$2:$A$977,0)),0)</f>
        <v/>
      </c>
      <c r="N326" s="6">
        <f>IFERROR(INDEX('02b_DC_Accelerator_Mix'!$K$2:$K$977,MATCH(G326,'02b_DC_Accelerator_Mix'!$A$2:$A$977,0)),0)</f>
        <v/>
      </c>
      <c r="O326" s="6">
        <f>IFERROR(INDEX('02b_DC_Accelerator_Mix'!$L$2:$L$977,MATCH(G326,'02b_DC_Accelerator_Mix'!$A$2:$A$977,0)),0)</f>
        <v/>
      </c>
      <c r="P326" s="6">
        <f>IFERROR(INDEX('02b_DC_Accelerator_Mix'!$M$2:$M$977,MATCH(G326,'02b_DC_Accelerator_Mix'!$A$2:$A$977,0)),0)</f>
        <v/>
      </c>
      <c r="Q326" s="6">
        <f>IFERROR(INDEX('02b_DC_Accelerator_Mix'!$N$2:$N$977,MATCH(G326,'02b_DC_Accelerator_Mix'!$A$2:$A$977,0)),0)</f>
        <v/>
      </c>
      <c r="R326" s="28">
        <f>H326*I326</f>
        <v/>
      </c>
      <c r="S326" s="28">
        <f>H326*J326</f>
        <v/>
      </c>
      <c r="T326" s="28">
        <f>H326*K326</f>
        <v/>
      </c>
      <c r="U326" s="28">
        <f>H326*L326</f>
        <v/>
      </c>
      <c r="V326" s="28">
        <f>H326*M326</f>
        <v/>
      </c>
      <c r="W326" s="28">
        <f>H326*N326</f>
        <v/>
      </c>
      <c r="X326" s="28">
        <f>H326*O326</f>
        <v/>
      </c>
      <c r="Y326" s="28">
        <f>H326*P326</f>
        <v/>
      </c>
      <c r="Z326" s="28">
        <f>H326*Q326</f>
        <v/>
      </c>
      <c r="AA326" s="28">
        <f>SUM(U326:Z326)</f>
        <v/>
      </c>
      <c r="AB326" s="5">
        <f>IF(COUNTIF('02b_DC_Accelerator_Mix'!$A$2:$A$977,G326)&gt;0,"matched","missing_mix")</f>
        <v/>
      </c>
    </row>
    <row r="327">
      <c r="A327" s="5">
        <f>'02a_DC_Capacity_Alloc'!A327</f>
        <v/>
      </c>
      <c r="B327" s="5">
        <f>'02a_DC_Capacity_Alloc'!B327</f>
        <v/>
      </c>
      <c r="C327" s="5">
        <f>'02a_DC_Capacity_Alloc'!C327</f>
        <v/>
      </c>
      <c r="D327" s="5">
        <f>'02a_DC_Capacity_Alloc'!D327</f>
        <v/>
      </c>
      <c r="E327" s="5">
        <f>'02a_DC_Capacity_Alloc'!E327</f>
        <v/>
      </c>
      <c r="F327" s="5">
        <f>'02a_DC_Capacity_Alloc'!F327</f>
        <v/>
      </c>
      <c r="G327" s="5">
        <f>B327&amp;"|"&amp;E327&amp;"|"&amp;D327</f>
        <v/>
      </c>
      <c r="H327" s="28">
        <f>'02a_DC_Capacity_Alloc'!H327*'02a_DC_Capacity_Alloc'!I327*'02a_DC_Capacity_Alloc'!J327</f>
        <v/>
      </c>
      <c r="I327" s="6">
        <f>IFERROR(INDEX('02b_DC_Accelerator_Mix'!$F$2:$F$977,MATCH(G327,'02b_DC_Accelerator_Mix'!$A$2:$A$977,0)),0)</f>
        <v/>
      </c>
      <c r="J327" s="6">
        <f>IFERROR(INDEX('02b_DC_Accelerator_Mix'!$G$2:$G$977,MATCH(G327,'02b_DC_Accelerator_Mix'!$A$2:$A$977,0)),0)</f>
        <v/>
      </c>
      <c r="K327" s="6">
        <f>IFERROR(INDEX('02b_DC_Accelerator_Mix'!$H$2:$H$977,MATCH(G327,'02b_DC_Accelerator_Mix'!$A$2:$A$977,0)),0)</f>
        <v/>
      </c>
      <c r="L327" s="6">
        <f>IFERROR(INDEX('02b_DC_Accelerator_Mix'!$I$2:$I$977,MATCH(G327,'02b_DC_Accelerator_Mix'!$A$2:$A$977,0)),0)</f>
        <v/>
      </c>
      <c r="M327" s="6">
        <f>IFERROR(INDEX('02b_DC_Accelerator_Mix'!$J$2:$J$977,MATCH(G327,'02b_DC_Accelerator_Mix'!$A$2:$A$977,0)),0)</f>
        <v/>
      </c>
      <c r="N327" s="6">
        <f>IFERROR(INDEX('02b_DC_Accelerator_Mix'!$K$2:$K$977,MATCH(G327,'02b_DC_Accelerator_Mix'!$A$2:$A$977,0)),0)</f>
        <v/>
      </c>
      <c r="O327" s="6">
        <f>IFERROR(INDEX('02b_DC_Accelerator_Mix'!$L$2:$L$977,MATCH(G327,'02b_DC_Accelerator_Mix'!$A$2:$A$977,0)),0)</f>
        <v/>
      </c>
      <c r="P327" s="6">
        <f>IFERROR(INDEX('02b_DC_Accelerator_Mix'!$M$2:$M$977,MATCH(G327,'02b_DC_Accelerator_Mix'!$A$2:$A$977,0)),0)</f>
        <v/>
      </c>
      <c r="Q327" s="6">
        <f>IFERROR(INDEX('02b_DC_Accelerator_Mix'!$N$2:$N$977,MATCH(G327,'02b_DC_Accelerator_Mix'!$A$2:$A$977,0)),0)</f>
        <v/>
      </c>
      <c r="R327" s="28">
        <f>H327*I327</f>
        <v/>
      </c>
      <c r="S327" s="28">
        <f>H327*J327</f>
        <v/>
      </c>
      <c r="T327" s="28">
        <f>H327*K327</f>
        <v/>
      </c>
      <c r="U327" s="28">
        <f>H327*L327</f>
        <v/>
      </c>
      <c r="V327" s="28">
        <f>H327*M327</f>
        <v/>
      </c>
      <c r="W327" s="28">
        <f>H327*N327</f>
        <v/>
      </c>
      <c r="X327" s="28">
        <f>H327*O327</f>
        <v/>
      </c>
      <c r="Y327" s="28">
        <f>H327*P327</f>
        <v/>
      </c>
      <c r="Z327" s="28">
        <f>H327*Q327</f>
        <v/>
      </c>
      <c r="AA327" s="28">
        <f>SUM(U327:Z327)</f>
        <v/>
      </c>
      <c r="AB327" s="5">
        <f>IF(COUNTIF('02b_DC_Accelerator_Mix'!$A$2:$A$977,G327)&gt;0,"matched","missing_mix")</f>
        <v/>
      </c>
    </row>
    <row r="328">
      <c r="A328" s="5">
        <f>'02a_DC_Capacity_Alloc'!A328</f>
        <v/>
      </c>
      <c r="B328" s="5">
        <f>'02a_DC_Capacity_Alloc'!B328</f>
        <v/>
      </c>
      <c r="C328" s="5">
        <f>'02a_DC_Capacity_Alloc'!C328</f>
        <v/>
      </c>
      <c r="D328" s="5">
        <f>'02a_DC_Capacity_Alloc'!D328</f>
        <v/>
      </c>
      <c r="E328" s="5">
        <f>'02a_DC_Capacity_Alloc'!E328</f>
        <v/>
      </c>
      <c r="F328" s="5">
        <f>'02a_DC_Capacity_Alloc'!F328</f>
        <v/>
      </c>
      <c r="G328" s="5">
        <f>B328&amp;"|"&amp;E328&amp;"|"&amp;D328</f>
        <v/>
      </c>
      <c r="H328" s="28">
        <f>'02a_DC_Capacity_Alloc'!H328*'02a_DC_Capacity_Alloc'!I328*'02a_DC_Capacity_Alloc'!J328</f>
        <v/>
      </c>
      <c r="I328" s="6">
        <f>IFERROR(INDEX('02b_DC_Accelerator_Mix'!$F$2:$F$977,MATCH(G328,'02b_DC_Accelerator_Mix'!$A$2:$A$977,0)),0)</f>
        <v/>
      </c>
      <c r="J328" s="6">
        <f>IFERROR(INDEX('02b_DC_Accelerator_Mix'!$G$2:$G$977,MATCH(G328,'02b_DC_Accelerator_Mix'!$A$2:$A$977,0)),0)</f>
        <v/>
      </c>
      <c r="K328" s="6">
        <f>IFERROR(INDEX('02b_DC_Accelerator_Mix'!$H$2:$H$977,MATCH(G328,'02b_DC_Accelerator_Mix'!$A$2:$A$977,0)),0)</f>
        <v/>
      </c>
      <c r="L328" s="6">
        <f>IFERROR(INDEX('02b_DC_Accelerator_Mix'!$I$2:$I$977,MATCH(G328,'02b_DC_Accelerator_Mix'!$A$2:$A$977,0)),0)</f>
        <v/>
      </c>
      <c r="M328" s="6">
        <f>IFERROR(INDEX('02b_DC_Accelerator_Mix'!$J$2:$J$977,MATCH(G328,'02b_DC_Accelerator_Mix'!$A$2:$A$977,0)),0)</f>
        <v/>
      </c>
      <c r="N328" s="6">
        <f>IFERROR(INDEX('02b_DC_Accelerator_Mix'!$K$2:$K$977,MATCH(G328,'02b_DC_Accelerator_Mix'!$A$2:$A$977,0)),0)</f>
        <v/>
      </c>
      <c r="O328" s="6">
        <f>IFERROR(INDEX('02b_DC_Accelerator_Mix'!$L$2:$L$977,MATCH(G328,'02b_DC_Accelerator_Mix'!$A$2:$A$977,0)),0)</f>
        <v/>
      </c>
      <c r="P328" s="6">
        <f>IFERROR(INDEX('02b_DC_Accelerator_Mix'!$M$2:$M$977,MATCH(G328,'02b_DC_Accelerator_Mix'!$A$2:$A$977,0)),0)</f>
        <v/>
      </c>
      <c r="Q328" s="6">
        <f>IFERROR(INDEX('02b_DC_Accelerator_Mix'!$N$2:$N$977,MATCH(G328,'02b_DC_Accelerator_Mix'!$A$2:$A$977,0)),0)</f>
        <v/>
      </c>
      <c r="R328" s="28">
        <f>H328*I328</f>
        <v/>
      </c>
      <c r="S328" s="28">
        <f>H328*J328</f>
        <v/>
      </c>
      <c r="T328" s="28">
        <f>H328*K328</f>
        <v/>
      </c>
      <c r="U328" s="28">
        <f>H328*L328</f>
        <v/>
      </c>
      <c r="V328" s="28">
        <f>H328*M328</f>
        <v/>
      </c>
      <c r="W328" s="28">
        <f>H328*N328</f>
        <v/>
      </c>
      <c r="X328" s="28">
        <f>H328*O328</f>
        <v/>
      </c>
      <c r="Y328" s="28">
        <f>H328*P328</f>
        <v/>
      </c>
      <c r="Z328" s="28">
        <f>H328*Q328</f>
        <v/>
      </c>
      <c r="AA328" s="28">
        <f>SUM(U328:Z328)</f>
        <v/>
      </c>
      <c r="AB328" s="5">
        <f>IF(COUNTIF('02b_DC_Accelerator_Mix'!$A$2:$A$977,G328)&gt;0,"matched","missing_mix")</f>
        <v/>
      </c>
    </row>
    <row r="329">
      <c r="A329" s="5">
        <f>'02a_DC_Capacity_Alloc'!A329</f>
        <v/>
      </c>
      <c r="B329" s="5">
        <f>'02a_DC_Capacity_Alloc'!B329</f>
        <v/>
      </c>
      <c r="C329" s="5">
        <f>'02a_DC_Capacity_Alloc'!C329</f>
        <v/>
      </c>
      <c r="D329" s="5">
        <f>'02a_DC_Capacity_Alloc'!D329</f>
        <v/>
      </c>
      <c r="E329" s="5">
        <f>'02a_DC_Capacity_Alloc'!E329</f>
        <v/>
      </c>
      <c r="F329" s="5">
        <f>'02a_DC_Capacity_Alloc'!F329</f>
        <v/>
      </c>
      <c r="G329" s="5">
        <f>B329&amp;"|"&amp;E329&amp;"|"&amp;D329</f>
        <v/>
      </c>
      <c r="H329" s="28">
        <f>'02a_DC_Capacity_Alloc'!H329*'02a_DC_Capacity_Alloc'!I329*'02a_DC_Capacity_Alloc'!J329</f>
        <v/>
      </c>
      <c r="I329" s="6">
        <f>IFERROR(INDEX('02b_DC_Accelerator_Mix'!$F$2:$F$977,MATCH(G329,'02b_DC_Accelerator_Mix'!$A$2:$A$977,0)),0)</f>
        <v/>
      </c>
      <c r="J329" s="6">
        <f>IFERROR(INDEX('02b_DC_Accelerator_Mix'!$G$2:$G$977,MATCH(G329,'02b_DC_Accelerator_Mix'!$A$2:$A$977,0)),0)</f>
        <v/>
      </c>
      <c r="K329" s="6">
        <f>IFERROR(INDEX('02b_DC_Accelerator_Mix'!$H$2:$H$977,MATCH(G329,'02b_DC_Accelerator_Mix'!$A$2:$A$977,0)),0)</f>
        <v/>
      </c>
      <c r="L329" s="6">
        <f>IFERROR(INDEX('02b_DC_Accelerator_Mix'!$I$2:$I$977,MATCH(G329,'02b_DC_Accelerator_Mix'!$A$2:$A$977,0)),0)</f>
        <v/>
      </c>
      <c r="M329" s="6">
        <f>IFERROR(INDEX('02b_DC_Accelerator_Mix'!$J$2:$J$977,MATCH(G329,'02b_DC_Accelerator_Mix'!$A$2:$A$977,0)),0)</f>
        <v/>
      </c>
      <c r="N329" s="6">
        <f>IFERROR(INDEX('02b_DC_Accelerator_Mix'!$K$2:$K$977,MATCH(G329,'02b_DC_Accelerator_Mix'!$A$2:$A$977,0)),0)</f>
        <v/>
      </c>
      <c r="O329" s="6">
        <f>IFERROR(INDEX('02b_DC_Accelerator_Mix'!$L$2:$L$977,MATCH(G329,'02b_DC_Accelerator_Mix'!$A$2:$A$977,0)),0)</f>
        <v/>
      </c>
      <c r="P329" s="6">
        <f>IFERROR(INDEX('02b_DC_Accelerator_Mix'!$M$2:$M$977,MATCH(G329,'02b_DC_Accelerator_Mix'!$A$2:$A$977,0)),0)</f>
        <v/>
      </c>
      <c r="Q329" s="6">
        <f>IFERROR(INDEX('02b_DC_Accelerator_Mix'!$N$2:$N$977,MATCH(G329,'02b_DC_Accelerator_Mix'!$A$2:$A$977,0)),0)</f>
        <v/>
      </c>
      <c r="R329" s="28">
        <f>H329*I329</f>
        <v/>
      </c>
      <c r="S329" s="28">
        <f>H329*J329</f>
        <v/>
      </c>
      <c r="T329" s="28">
        <f>H329*K329</f>
        <v/>
      </c>
      <c r="U329" s="28">
        <f>H329*L329</f>
        <v/>
      </c>
      <c r="V329" s="28">
        <f>H329*M329</f>
        <v/>
      </c>
      <c r="W329" s="28">
        <f>H329*N329</f>
        <v/>
      </c>
      <c r="X329" s="28">
        <f>H329*O329</f>
        <v/>
      </c>
      <c r="Y329" s="28">
        <f>H329*P329</f>
        <v/>
      </c>
      <c r="Z329" s="28">
        <f>H329*Q329</f>
        <v/>
      </c>
      <c r="AA329" s="28">
        <f>SUM(U329:Z329)</f>
        <v/>
      </c>
      <c r="AB329" s="5">
        <f>IF(COUNTIF('02b_DC_Accelerator_Mix'!$A$2:$A$977,G329)&gt;0,"matched","missing_mix")</f>
        <v/>
      </c>
    </row>
    <row r="330">
      <c r="A330" s="5">
        <f>'02a_DC_Capacity_Alloc'!A330</f>
        <v/>
      </c>
      <c r="B330" s="5">
        <f>'02a_DC_Capacity_Alloc'!B330</f>
        <v/>
      </c>
      <c r="C330" s="5">
        <f>'02a_DC_Capacity_Alloc'!C330</f>
        <v/>
      </c>
      <c r="D330" s="5">
        <f>'02a_DC_Capacity_Alloc'!D330</f>
        <v/>
      </c>
      <c r="E330" s="5">
        <f>'02a_DC_Capacity_Alloc'!E330</f>
        <v/>
      </c>
      <c r="F330" s="5">
        <f>'02a_DC_Capacity_Alloc'!F330</f>
        <v/>
      </c>
      <c r="G330" s="5">
        <f>B330&amp;"|"&amp;E330&amp;"|"&amp;D330</f>
        <v/>
      </c>
      <c r="H330" s="28">
        <f>'02a_DC_Capacity_Alloc'!H330*'02a_DC_Capacity_Alloc'!I330*'02a_DC_Capacity_Alloc'!J330</f>
        <v/>
      </c>
      <c r="I330" s="6">
        <f>IFERROR(INDEX('02b_DC_Accelerator_Mix'!$F$2:$F$977,MATCH(G330,'02b_DC_Accelerator_Mix'!$A$2:$A$977,0)),0)</f>
        <v/>
      </c>
      <c r="J330" s="6">
        <f>IFERROR(INDEX('02b_DC_Accelerator_Mix'!$G$2:$G$977,MATCH(G330,'02b_DC_Accelerator_Mix'!$A$2:$A$977,0)),0)</f>
        <v/>
      </c>
      <c r="K330" s="6">
        <f>IFERROR(INDEX('02b_DC_Accelerator_Mix'!$H$2:$H$977,MATCH(G330,'02b_DC_Accelerator_Mix'!$A$2:$A$977,0)),0)</f>
        <v/>
      </c>
      <c r="L330" s="6">
        <f>IFERROR(INDEX('02b_DC_Accelerator_Mix'!$I$2:$I$977,MATCH(G330,'02b_DC_Accelerator_Mix'!$A$2:$A$977,0)),0)</f>
        <v/>
      </c>
      <c r="M330" s="6">
        <f>IFERROR(INDEX('02b_DC_Accelerator_Mix'!$J$2:$J$977,MATCH(G330,'02b_DC_Accelerator_Mix'!$A$2:$A$977,0)),0)</f>
        <v/>
      </c>
      <c r="N330" s="6">
        <f>IFERROR(INDEX('02b_DC_Accelerator_Mix'!$K$2:$K$977,MATCH(G330,'02b_DC_Accelerator_Mix'!$A$2:$A$977,0)),0)</f>
        <v/>
      </c>
      <c r="O330" s="6">
        <f>IFERROR(INDEX('02b_DC_Accelerator_Mix'!$L$2:$L$977,MATCH(G330,'02b_DC_Accelerator_Mix'!$A$2:$A$977,0)),0)</f>
        <v/>
      </c>
      <c r="P330" s="6">
        <f>IFERROR(INDEX('02b_DC_Accelerator_Mix'!$M$2:$M$977,MATCH(G330,'02b_DC_Accelerator_Mix'!$A$2:$A$977,0)),0)</f>
        <v/>
      </c>
      <c r="Q330" s="6">
        <f>IFERROR(INDEX('02b_DC_Accelerator_Mix'!$N$2:$N$977,MATCH(G330,'02b_DC_Accelerator_Mix'!$A$2:$A$977,0)),0)</f>
        <v/>
      </c>
      <c r="R330" s="28">
        <f>H330*I330</f>
        <v/>
      </c>
      <c r="S330" s="28">
        <f>H330*J330</f>
        <v/>
      </c>
      <c r="T330" s="28">
        <f>H330*K330</f>
        <v/>
      </c>
      <c r="U330" s="28">
        <f>H330*L330</f>
        <v/>
      </c>
      <c r="V330" s="28">
        <f>H330*M330</f>
        <v/>
      </c>
      <c r="W330" s="28">
        <f>H330*N330</f>
        <v/>
      </c>
      <c r="X330" s="28">
        <f>H330*O330</f>
        <v/>
      </c>
      <c r="Y330" s="28">
        <f>H330*P330</f>
        <v/>
      </c>
      <c r="Z330" s="28">
        <f>H330*Q330</f>
        <v/>
      </c>
      <c r="AA330" s="28">
        <f>SUM(U330:Z330)</f>
        <v/>
      </c>
      <c r="AB330" s="5">
        <f>IF(COUNTIF('02b_DC_Accelerator_Mix'!$A$2:$A$977,G330)&gt;0,"matched","missing_mix")</f>
        <v/>
      </c>
    </row>
    <row r="331">
      <c r="A331" s="5">
        <f>'02a_DC_Capacity_Alloc'!A331</f>
        <v/>
      </c>
      <c r="B331" s="5">
        <f>'02a_DC_Capacity_Alloc'!B331</f>
        <v/>
      </c>
      <c r="C331" s="5">
        <f>'02a_DC_Capacity_Alloc'!C331</f>
        <v/>
      </c>
      <c r="D331" s="5">
        <f>'02a_DC_Capacity_Alloc'!D331</f>
        <v/>
      </c>
      <c r="E331" s="5">
        <f>'02a_DC_Capacity_Alloc'!E331</f>
        <v/>
      </c>
      <c r="F331" s="5">
        <f>'02a_DC_Capacity_Alloc'!F331</f>
        <v/>
      </c>
      <c r="G331" s="5">
        <f>B331&amp;"|"&amp;E331&amp;"|"&amp;D331</f>
        <v/>
      </c>
      <c r="H331" s="28">
        <f>'02a_DC_Capacity_Alloc'!H331*'02a_DC_Capacity_Alloc'!I331*'02a_DC_Capacity_Alloc'!J331</f>
        <v/>
      </c>
      <c r="I331" s="6">
        <f>IFERROR(INDEX('02b_DC_Accelerator_Mix'!$F$2:$F$977,MATCH(G331,'02b_DC_Accelerator_Mix'!$A$2:$A$977,0)),0)</f>
        <v/>
      </c>
      <c r="J331" s="6">
        <f>IFERROR(INDEX('02b_DC_Accelerator_Mix'!$G$2:$G$977,MATCH(G331,'02b_DC_Accelerator_Mix'!$A$2:$A$977,0)),0)</f>
        <v/>
      </c>
      <c r="K331" s="6">
        <f>IFERROR(INDEX('02b_DC_Accelerator_Mix'!$H$2:$H$977,MATCH(G331,'02b_DC_Accelerator_Mix'!$A$2:$A$977,0)),0)</f>
        <v/>
      </c>
      <c r="L331" s="6">
        <f>IFERROR(INDEX('02b_DC_Accelerator_Mix'!$I$2:$I$977,MATCH(G331,'02b_DC_Accelerator_Mix'!$A$2:$A$977,0)),0)</f>
        <v/>
      </c>
      <c r="M331" s="6">
        <f>IFERROR(INDEX('02b_DC_Accelerator_Mix'!$J$2:$J$977,MATCH(G331,'02b_DC_Accelerator_Mix'!$A$2:$A$977,0)),0)</f>
        <v/>
      </c>
      <c r="N331" s="6">
        <f>IFERROR(INDEX('02b_DC_Accelerator_Mix'!$K$2:$K$977,MATCH(G331,'02b_DC_Accelerator_Mix'!$A$2:$A$977,0)),0)</f>
        <v/>
      </c>
      <c r="O331" s="6">
        <f>IFERROR(INDEX('02b_DC_Accelerator_Mix'!$L$2:$L$977,MATCH(G331,'02b_DC_Accelerator_Mix'!$A$2:$A$977,0)),0)</f>
        <v/>
      </c>
      <c r="P331" s="6">
        <f>IFERROR(INDEX('02b_DC_Accelerator_Mix'!$M$2:$M$977,MATCH(G331,'02b_DC_Accelerator_Mix'!$A$2:$A$977,0)),0)</f>
        <v/>
      </c>
      <c r="Q331" s="6">
        <f>IFERROR(INDEX('02b_DC_Accelerator_Mix'!$N$2:$N$977,MATCH(G331,'02b_DC_Accelerator_Mix'!$A$2:$A$977,0)),0)</f>
        <v/>
      </c>
      <c r="R331" s="28">
        <f>H331*I331</f>
        <v/>
      </c>
      <c r="S331" s="28">
        <f>H331*J331</f>
        <v/>
      </c>
      <c r="T331" s="28">
        <f>H331*K331</f>
        <v/>
      </c>
      <c r="U331" s="28">
        <f>H331*L331</f>
        <v/>
      </c>
      <c r="V331" s="28">
        <f>H331*M331</f>
        <v/>
      </c>
      <c r="W331" s="28">
        <f>H331*N331</f>
        <v/>
      </c>
      <c r="X331" s="28">
        <f>H331*O331</f>
        <v/>
      </c>
      <c r="Y331" s="28">
        <f>H331*P331</f>
        <v/>
      </c>
      <c r="Z331" s="28">
        <f>H331*Q331</f>
        <v/>
      </c>
      <c r="AA331" s="28">
        <f>SUM(U331:Z331)</f>
        <v/>
      </c>
      <c r="AB331" s="5">
        <f>IF(COUNTIF('02b_DC_Accelerator_Mix'!$A$2:$A$977,G331)&gt;0,"matched","missing_mix")</f>
        <v/>
      </c>
    </row>
    <row r="332">
      <c r="A332" s="5">
        <f>'02a_DC_Capacity_Alloc'!A332</f>
        <v/>
      </c>
      <c r="B332" s="5">
        <f>'02a_DC_Capacity_Alloc'!B332</f>
        <v/>
      </c>
      <c r="C332" s="5">
        <f>'02a_DC_Capacity_Alloc'!C332</f>
        <v/>
      </c>
      <c r="D332" s="5">
        <f>'02a_DC_Capacity_Alloc'!D332</f>
        <v/>
      </c>
      <c r="E332" s="5">
        <f>'02a_DC_Capacity_Alloc'!E332</f>
        <v/>
      </c>
      <c r="F332" s="5">
        <f>'02a_DC_Capacity_Alloc'!F332</f>
        <v/>
      </c>
      <c r="G332" s="5">
        <f>B332&amp;"|"&amp;E332&amp;"|"&amp;D332</f>
        <v/>
      </c>
      <c r="H332" s="28">
        <f>'02a_DC_Capacity_Alloc'!H332*'02a_DC_Capacity_Alloc'!I332*'02a_DC_Capacity_Alloc'!J332</f>
        <v/>
      </c>
      <c r="I332" s="6">
        <f>IFERROR(INDEX('02b_DC_Accelerator_Mix'!$F$2:$F$977,MATCH(G332,'02b_DC_Accelerator_Mix'!$A$2:$A$977,0)),0)</f>
        <v/>
      </c>
      <c r="J332" s="6">
        <f>IFERROR(INDEX('02b_DC_Accelerator_Mix'!$G$2:$G$977,MATCH(G332,'02b_DC_Accelerator_Mix'!$A$2:$A$977,0)),0)</f>
        <v/>
      </c>
      <c r="K332" s="6">
        <f>IFERROR(INDEX('02b_DC_Accelerator_Mix'!$H$2:$H$977,MATCH(G332,'02b_DC_Accelerator_Mix'!$A$2:$A$977,0)),0)</f>
        <v/>
      </c>
      <c r="L332" s="6">
        <f>IFERROR(INDEX('02b_DC_Accelerator_Mix'!$I$2:$I$977,MATCH(G332,'02b_DC_Accelerator_Mix'!$A$2:$A$977,0)),0)</f>
        <v/>
      </c>
      <c r="M332" s="6">
        <f>IFERROR(INDEX('02b_DC_Accelerator_Mix'!$J$2:$J$977,MATCH(G332,'02b_DC_Accelerator_Mix'!$A$2:$A$977,0)),0)</f>
        <v/>
      </c>
      <c r="N332" s="6">
        <f>IFERROR(INDEX('02b_DC_Accelerator_Mix'!$K$2:$K$977,MATCH(G332,'02b_DC_Accelerator_Mix'!$A$2:$A$977,0)),0)</f>
        <v/>
      </c>
      <c r="O332" s="6">
        <f>IFERROR(INDEX('02b_DC_Accelerator_Mix'!$L$2:$L$977,MATCH(G332,'02b_DC_Accelerator_Mix'!$A$2:$A$977,0)),0)</f>
        <v/>
      </c>
      <c r="P332" s="6">
        <f>IFERROR(INDEX('02b_DC_Accelerator_Mix'!$M$2:$M$977,MATCH(G332,'02b_DC_Accelerator_Mix'!$A$2:$A$977,0)),0)</f>
        <v/>
      </c>
      <c r="Q332" s="6">
        <f>IFERROR(INDEX('02b_DC_Accelerator_Mix'!$N$2:$N$977,MATCH(G332,'02b_DC_Accelerator_Mix'!$A$2:$A$977,0)),0)</f>
        <v/>
      </c>
      <c r="R332" s="28">
        <f>H332*I332</f>
        <v/>
      </c>
      <c r="S332" s="28">
        <f>H332*J332</f>
        <v/>
      </c>
      <c r="T332" s="28">
        <f>H332*K332</f>
        <v/>
      </c>
      <c r="U332" s="28">
        <f>H332*L332</f>
        <v/>
      </c>
      <c r="V332" s="28">
        <f>H332*M332</f>
        <v/>
      </c>
      <c r="W332" s="28">
        <f>H332*N332</f>
        <v/>
      </c>
      <c r="X332" s="28">
        <f>H332*O332</f>
        <v/>
      </c>
      <c r="Y332" s="28">
        <f>H332*P332</f>
        <v/>
      </c>
      <c r="Z332" s="28">
        <f>H332*Q332</f>
        <v/>
      </c>
      <c r="AA332" s="28">
        <f>SUM(U332:Z332)</f>
        <v/>
      </c>
      <c r="AB332" s="5">
        <f>IF(COUNTIF('02b_DC_Accelerator_Mix'!$A$2:$A$977,G332)&gt;0,"matched","missing_mix")</f>
        <v/>
      </c>
    </row>
    <row r="333">
      <c r="A333" s="5">
        <f>'02a_DC_Capacity_Alloc'!A333</f>
        <v/>
      </c>
      <c r="B333" s="5">
        <f>'02a_DC_Capacity_Alloc'!B333</f>
        <v/>
      </c>
      <c r="C333" s="5">
        <f>'02a_DC_Capacity_Alloc'!C333</f>
        <v/>
      </c>
      <c r="D333" s="5">
        <f>'02a_DC_Capacity_Alloc'!D333</f>
        <v/>
      </c>
      <c r="E333" s="5">
        <f>'02a_DC_Capacity_Alloc'!E333</f>
        <v/>
      </c>
      <c r="F333" s="5">
        <f>'02a_DC_Capacity_Alloc'!F333</f>
        <v/>
      </c>
      <c r="G333" s="5">
        <f>B333&amp;"|"&amp;E333&amp;"|"&amp;D333</f>
        <v/>
      </c>
      <c r="H333" s="28">
        <f>'02a_DC_Capacity_Alloc'!H333*'02a_DC_Capacity_Alloc'!I333*'02a_DC_Capacity_Alloc'!J333</f>
        <v/>
      </c>
      <c r="I333" s="6">
        <f>IFERROR(INDEX('02b_DC_Accelerator_Mix'!$F$2:$F$977,MATCH(G333,'02b_DC_Accelerator_Mix'!$A$2:$A$977,0)),0)</f>
        <v/>
      </c>
      <c r="J333" s="6">
        <f>IFERROR(INDEX('02b_DC_Accelerator_Mix'!$G$2:$G$977,MATCH(G333,'02b_DC_Accelerator_Mix'!$A$2:$A$977,0)),0)</f>
        <v/>
      </c>
      <c r="K333" s="6">
        <f>IFERROR(INDEX('02b_DC_Accelerator_Mix'!$H$2:$H$977,MATCH(G333,'02b_DC_Accelerator_Mix'!$A$2:$A$977,0)),0)</f>
        <v/>
      </c>
      <c r="L333" s="6">
        <f>IFERROR(INDEX('02b_DC_Accelerator_Mix'!$I$2:$I$977,MATCH(G333,'02b_DC_Accelerator_Mix'!$A$2:$A$977,0)),0)</f>
        <v/>
      </c>
      <c r="M333" s="6">
        <f>IFERROR(INDEX('02b_DC_Accelerator_Mix'!$J$2:$J$977,MATCH(G333,'02b_DC_Accelerator_Mix'!$A$2:$A$977,0)),0)</f>
        <v/>
      </c>
      <c r="N333" s="6">
        <f>IFERROR(INDEX('02b_DC_Accelerator_Mix'!$K$2:$K$977,MATCH(G333,'02b_DC_Accelerator_Mix'!$A$2:$A$977,0)),0)</f>
        <v/>
      </c>
      <c r="O333" s="6">
        <f>IFERROR(INDEX('02b_DC_Accelerator_Mix'!$L$2:$L$977,MATCH(G333,'02b_DC_Accelerator_Mix'!$A$2:$A$977,0)),0)</f>
        <v/>
      </c>
      <c r="P333" s="6">
        <f>IFERROR(INDEX('02b_DC_Accelerator_Mix'!$M$2:$M$977,MATCH(G333,'02b_DC_Accelerator_Mix'!$A$2:$A$977,0)),0)</f>
        <v/>
      </c>
      <c r="Q333" s="6">
        <f>IFERROR(INDEX('02b_DC_Accelerator_Mix'!$N$2:$N$977,MATCH(G333,'02b_DC_Accelerator_Mix'!$A$2:$A$977,0)),0)</f>
        <v/>
      </c>
      <c r="R333" s="28">
        <f>H333*I333</f>
        <v/>
      </c>
      <c r="S333" s="28">
        <f>H333*J333</f>
        <v/>
      </c>
      <c r="T333" s="28">
        <f>H333*K333</f>
        <v/>
      </c>
      <c r="U333" s="28">
        <f>H333*L333</f>
        <v/>
      </c>
      <c r="V333" s="28">
        <f>H333*M333</f>
        <v/>
      </c>
      <c r="W333" s="28">
        <f>H333*N333</f>
        <v/>
      </c>
      <c r="X333" s="28">
        <f>H333*O333</f>
        <v/>
      </c>
      <c r="Y333" s="28">
        <f>H333*P333</f>
        <v/>
      </c>
      <c r="Z333" s="28">
        <f>H333*Q333</f>
        <v/>
      </c>
      <c r="AA333" s="28">
        <f>SUM(U333:Z333)</f>
        <v/>
      </c>
      <c r="AB333" s="5">
        <f>IF(COUNTIF('02b_DC_Accelerator_Mix'!$A$2:$A$977,G333)&gt;0,"matched","missing_mix")</f>
        <v/>
      </c>
    </row>
    <row r="334">
      <c r="A334" s="5">
        <f>'02a_DC_Capacity_Alloc'!A334</f>
        <v/>
      </c>
      <c r="B334" s="5">
        <f>'02a_DC_Capacity_Alloc'!B334</f>
        <v/>
      </c>
      <c r="C334" s="5">
        <f>'02a_DC_Capacity_Alloc'!C334</f>
        <v/>
      </c>
      <c r="D334" s="5">
        <f>'02a_DC_Capacity_Alloc'!D334</f>
        <v/>
      </c>
      <c r="E334" s="5">
        <f>'02a_DC_Capacity_Alloc'!E334</f>
        <v/>
      </c>
      <c r="F334" s="5">
        <f>'02a_DC_Capacity_Alloc'!F334</f>
        <v/>
      </c>
      <c r="G334" s="5">
        <f>B334&amp;"|"&amp;E334&amp;"|"&amp;D334</f>
        <v/>
      </c>
      <c r="H334" s="28">
        <f>'02a_DC_Capacity_Alloc'!H334*'02a_DC_Capacity_Alloc'!I334*'02a_DC_Capacity_Alloc'!J334</f>
        <v/>
      </c>
      <c r="I334" s="6">
        <f>IFERROR(INDEX('02b_DC_Accelerator_Mix'!$F$2:$F$977,MATCH(G334,'02b_DC_Accelerator_Mix'!$A$2:$A$977,0)),0)</f>
        <v/>
      </c>
      <c r="J334" s="6">
        <f>IFERROR(INDEX('02b_DC_Accelerator_Mix'!$G$2:$G$977,MATCH(G334,'02b_DC_Accelerator_Mix'!$A$2:$A$977,0)),0)</f>
        <v/>
      </c>
      <c r="K334" s="6">
        <f>IFERROR(INDEX('02b_DC_Accelerator_Mix'!$H$2:$H$977,MATCH(G334,'02b_DC_Accelerator_Mix'!$A$2:$A$977,0)),0)</f>
        <v/>
      </c>
      <c r="L334" s="6">
        <f>IFERROR(INDEX('02b_DC_Accelerator_Mix'!$I$2:$I$977,MATCH(G334,'02b_DC_Accelerator_Mix'!$A$2:$A$977,0)),0)</f>
        <v/>
      </c>
      <c r="M334" s="6">
        <f>IFERROR(INDEX('02b_DC_Accelerator_Mix'!$J$2:$J$977,MATCH(G334,'02b_DC_Accelerator_Mix'!$A$2:$A$977,0)),0)</f>
        <v/>
      </c>
      <c r="N334" s="6">
        <f>IFERROR(INDEX('02b_DC_Accelerator_Mix'!$K$2:$K$977,MATCH(G334,'02b_DC_Accelerator_Mix'!$A$2:$A$977,0)),0)</f>
        <v/>
      </c>
      <c r="O334" s="6">
        <f>IFERROR(INDEX('02b_DC_Accelerator_Mix'!$L$2:$L$977,MATCH(G334,'02b_DC_Accelerator_Mix'!$A$2:$A$977,0)),0)</f>
        <v/>
      </c>
      <c r="P334" s="6">
        <f>IFERROR(INDEX('02b_DC_Accelerator_Mix'!$M$2:$M$977,MATCH(G334,'02b_DC_Accelerator_Mix'!$A$2:$A$977,0)),0)</f>
        <v/>
      </c>
      <c r="Q334" s="6">
        <f>IFERROR(INDEX('02b_DC_Accelerator_Mix'!$N$2:$N$977,MATCH(G334,'02b_DC_Accelerator_Mix'!$A$2:$A$977,0)),0)</f>
        <v/>
      </c>
      <c r="R334" s="28">
        <f>H334*I334</f>
        <v/>
      </c>
      <c r="S334" s="28">
        <f>H334*J334</f>
        <v/>
      </c>
      <c r="T334" s="28">
        <f>H334*K334</f>
        <v/>
      </c>
      <c r="U334" s="28">
        <f>H334*L334</f>
        <v/>
      </c>
      <c r="V334" s="28">
        <f>H334*M334</f>
        <v/>
      </c>
      <c r="W334" s="28">
        <f>H334*N334</f>
        <v/>
      </c>
      <c r="X334" s="28">
        <f>H334*O334</f>
        <v/>
      </c>
      <c r="Y334" s="28">
        <f>H334*P334</f>
        <v/>
      </c>
      <c r="Z334" s="28">
        <f>H334*Q334</f>
        <v/>
      </c>
      <c r="AA334" s="28">
        <f>SUM(U334:Z334)</f>
        <v/>
      </c>
      <c r="AB334" s="5">
        <f>IF(COUNTIF('02b_DC_Accelerator_Mix'!$A$2:$A$977,G334)&gt;0,"matched","missing_mix")</f>
        <v/>
      </c>
    </row>
    <row r="335">
      <c r="A335" s="5">
        <f>'02a_DC_Capacity_Alloc'!A335</f>
        <v/>
      </c>
      <c r="B335" s="5">
        <f>'02a_DC_Capacity_Alloc'!B335</f>
        <v/>
      </c>
      <c r="C335" s="5">
        <f>'02a_DC_Capacity_Alloc'!C335</f>
        <v/>
      </c>
      <c r="D335" s="5">
        <f>'02a_DC_Capacity_Alloc'!D335</f>
        <v/>
      </c>
      <c r="E335" s="5">
        <f>'02a_DC_Capacity_Alloc'!E335</f>
        <v/>
      </c>
      <c r="F335" s="5">
        <f>'02a_DC_Capacity_Alloc'!F335</f>
        <v/>
      </c>
      <c r="G335" s="5">
        <f>B335&amp;"|"&amp;E335&amp;"|"&amp;D335</f>
        <v/>
      </c>
      <c r="H335" s="28">
        <f>'02a_DC_Capacity_Alloc'!H335*'02a_DC_Capacity_Alloc'!I335*'02a_DC_Capacity_Alloc'!J335</f>
        <v/>
      </c>
      <c r="I335" s="6">
        <f>IFERROR(INDEX('02b_DC_Accelerator_Mix'!$F$2:$F$977,MATCH(G335,'02b_DC_Accelerator_Mix'!$A$2:$A$977,0)),0)</f>
        <v/>
      </c>
      <c r="J335" s="6">
        <f>IFERROR(INDEX('02b_DC_Accelerator_Mix'!$G$2:$G$977,MATCH(G335,'02b_DC_Accelerator_Mix'!$A$2:$A$977,0)),0)</f>
        <v/>
      </c>
      <c r="K335" s="6">
        <f>IFERROR(INDEX('02b_DC_Accelerator_Mix'!$H$2:$H$977,MATCH(G335,'02b_DC_Accelerator_Mix'!$A$2:$A$977,0)),0)</f>
        <v/>
      </c>
      <c r="L335" s="6">
        <f>IFERROR(INDEX('02b_DC_Accelerator_Mix'!$I$2:$I$977,MATCH(G335,'02b_DC_Accelerator_Mix'!$A$2:$A$977,0)),0)</f>
        <v/>
      </c>
      <c r="M335" s="6">
        <f>IFERROR(INDEX('02b_DC_Accelerator_Mix'!$J$2:$J$977,MATCH(G335,'02b_DC_Accelerator_Mix'!$A$2:$A$977,0)),0)</f>
        <v/>
      </c>
      <c r="N335" s="6">
        <f>IFERROR(INDEX('02b_DC_Accelerator_Mix'!$K$2:$K$977,MATCH(G335,'02b_DC_Accelerator_Mix'!$A$2:$A$977,0)),0)</f>
        <v/>
      </c>
      <c r="O335" s="6">
        <f>IFERROR(INDEX('02b_DC_Accelerator_Mix'!$L$2:$L$977,MATCH(G335,'02b_DC_Accelerator_Mix'!$A$2:$A$977,0)),0)</f>
        <v/>
      </c>
      <c r="P335" s="6">
        <f>IFERROR(INDEX('02b_DC_Accelerator_Mix'!$M$2:$M$977,MATCH(G335,'02b_DC_Accelerator_Mix'!$A$2:$A$977,0)),0)</f>
        <v/>
      </c>
      <c r="Q335" s="6">
        <f>IFERROR(INDEX('02b_DC_Accelerator_Mix'!$N$2:$N$977,MATCH(G335,'02b_DC_Accelerator_Mix'!$A$2:$A$977,0)),0)</f>
        <v/>
      </c>
      <c r="R335" s="28">
        <f>H335*I335</f>
        <v/>
      </c>
      <c r="S335" s="28">
        <f>H335*J335</f>
        <v/>
      </c>
      <c r="T335" s="28">
        <f>H335*K335</f>
        <v/>
      </c>
      <c r="U335" s="28">
        <f>H335*L335</f>
        <v/>
      </c>
      <c r="V335" s="28">
        <f>H335*M335</f>
        <v/>
      </c>
      <c r="W335" s="28">
        <f>H335*N335</f>
        <v/>
      </c>
      <c r="X335" s="28">
        <f>H335*O335</f>
        <v/>
      </c>
      <c r="Y335" s="28">
        <f>H335*P335</f>
        <v/>
      </c>
      <c r="Z335" s="28">
        <f>H335*Q335</f>
        <v/>
      </c>
      <c r="AA335" s="28">
        <f>SUM(U335:Z335)</f>
        <v/>
      </c>
      <c r="AB335" s="5">
        <f>IF(COUNTIF('02b_DC_Accelerator_Mix'!$A$2:$A$977,G335)&gt;0,"matched","missing_mix")</f>
        <v/>
      </c>
    </row>
    <row r="336">
      <c r="A336" s="5">
        <f>'02a_DC_Capacity_Alloc'!A336</f>
        <v/>
      </c>
      <c r="B336" s="5">
        <f>'02a_DC_Capacity_Alloc'!B336</f>
        <v/>
      </c>
      <c r="C336" s="5">
        <f>'02a_DC_Capacity_Alloc'!C336</f>
        <v/>
      </c>
      <c r="D336" s="5">
        <f>'02a_DC_Capacity_Alloc'!D336</f>
        <v/>
      </c>
      <c r="E336" s="5">
        <f>'02a_DC_Capacity_Alloc'!E336</f>
        <v/>
      </c>
      <c r="F336" s="5">
        <f>'02a_DC_Capacity_Alloc'!F336</f>
        <v/>
      </c>
      <c r="G336" s="5">
        <f>B336&amp;"|"&amp;E336&amp;"|"&amp;D336</f>
        <v/>
      </c>
      <c r="H336" s="28">
        <f>'02a_DC_Capacity_Alloc'!H336*'02a_DC_Capacity_Alloc'!I336*'02a_DC_Capacity_Alloc'!J336</f>
        <v/>
      </c>
      <c r="I336" s="6">
        <f>IFERROR(INDEX('02b_DC_Accelerator_Mix'!$F$2:$F$977,MATCH(G336,'02b_DC_Accelerator_Mix'!$A$2:$A$977,0)),0)</f>
        <v/>
      </c>
      <c r="J336" s="6">
        <f>IFERROR(INDEX('02b_DC_Accelerator_Mix'!$G$2:$G$977,MATCH(G336,'02b_DC_Accelerator_Mix'!$A$2:$A$977,0)),0)</f>
        <v/>
      </c>
      <c r="K336" s="6">
        <f>IFERROR(INDEX('02b_DC_Accelerator_Mix'!$H$2:$H$977,MATCH(G336,'02b_DC_Accelerator_Mix'!$A$2:$A$977,0)),0)</f>
        <v/>
      </c>
      <c r="L336" s="6">
        <f>IFERROR(INDEX('02b_DC_Accelerator_Mix'!$I$2:$I$977,MATCH(G336,'02b_DC_Accelerator_Mix'!$A$2:$A$977,0)),0)</f>
        <v/>
      </c>
      <c r="M336" s="6">
        <f>IFERROR(INDEX('02b_DC_Accelerator_Mix'!$J$2:$J$977,MATCH(G336,'02b_DC_Accelerator_Mix'!$A$2:$A$977,0)),0)</f>
        <v/>
      </c>
      <c r="N336" s="6">
        <f>IFERROR(INDEX('02b_DC_Accelerator_Mix'!$K$2:$K$977,MATCH(G336,'02b_DC_Accelerator_Mix'!$A$2:$A$977,0)),0)</f>
        <v/>
      </c>
      <c r="O336" s="6">
        <f>IFERROR(INDEX('02b_DC_Accelerator_Mix'!$L$2:$L$977,MATCH(G336,'02b_DC_Accelerator_Mix'!$A$2:$A$977,0)),0)</f>
        <v/>
      </c>
      <c r="P336" s="6">
        <f>IFERROR(INDEX('02b_DC_Accelerator_Mix'!$M$2:$M$977,MATCH(G336,'02b_DC_Accelerator_Mix'!$A$2:$A$977,0)),0)</f>
        <v/>
      </c>
      <c r="Q336" s="6">
        <f>IFERROR(INDEX('02b_DC_Accelerator_Mix'!$N$2:$N$977,MATCH(G336,'02b_DC_Accelerator_Mix'!$A$2:$A$977,0)),0)</f>
        <v/>
      </c>
      <c r="R336" s="28">
        <f>H336*I336</f>
        <v/>
      </c>
      <c r="S336" s="28">
        <f>H336*J336</f>
        <v/>
      </c>
      <c r="T336" s="28">
        <f>H336*K336</f>
        <v/>
      </c>
      <c r="U336" s="28">
        <f>H336*L336</f>
        <v/>
      </c>
      <c r="V336" s="28">
        <f>H336*M336</f>
        <v/>
      </c>
      <c r="W336" s="28">
        <f>H336*N336</f>
        <v/>
      </c>
      <c r="X336" s="28">
        <f>H336*O336</f>
        <v/>
      </c>
      <c r="Y336" s="28">
        <f>H336*P336</f>
        <v/>
      </c>
      <c r="Z336" s="28">
        <f>H336*Q336</f>
        <v/>
      </c>
      <c r="AA336" s="28">
        <f>SUM(U336:Z336)</f>
        <v/>
      </c>
      <c r="AB336" s="5">
        <f>IF(COUNTIF('02b_DC_Accelerator_Mix'!$A$2:$A$977,G336)&gt;0,"matched","missing_mix")</f>
        <v/>
      </c>
    </row>
    <row r="337">
      <c r="A337" s="5">
        <f>'02a_DC_Capacity_Alloc'!A337</f>
        <v/>
      </c>
      <c r="B337" s="5">
        <f>'02a_DC_Capacity_Alloc'!B337</f>
        <v/>
      </c>
      <c r="C337" s="5">
        <f>'02a_DC_Capacity_Alloc'!C337</f>
        <v/>
      </c>
      <c r="D337" s="5">
        <f>'02a_DC_Capacity_Alloc'!D337</f>
        <v/>
      </c>
      <c r="E337" s="5">
        <f>'02a_DC_Capacity_Alloc'!E337</f>
        <v/>
      </c>
      <c r="F337" s="5">
        <f>'02a_DC_Capacity_Alloc'!F337</f>
        <v/>
      </c>
      <c r="G337" s="5">
        <f>B337&amp;"|"&amp;E337&amp;"|"&amp;D337</f>
        <v/>
      </c>
      <c r="H337" s="28">
        <f>'02a_DC_Capacity_Alloc'!H337*'02a_DC_Capacity_Alloc'!I337*'02a_DC_Capacity_Alloc'!J337</f>
        <v/>
      </c>
      <c r="I337" s="6">
        <f>IFERROR(INDEX('02b_DC_Accelerator_Mix'!$F$2:$F$977,MATCH(G337,'02b_DC_Accelerator_Mix'!$A$2:$A$977,0)),0)</f>
        <v/>
      </c>
      <c r="J337" s="6">
        <f>IFERROR(INDEX('02b_DC_Accelerator_Mix'!$G$2:$G$977,MATCH(G337,'02b_DC_Accelerator_Mix'!$A$2:$A$977,0)),0)</f>
        <v/>
      </c>
      <c r="K337" s="6">
        <f>IFERROR(INDEX('02b_DC_Accelerator_Mix'!$H$2:$H$977,MATCH(G337,'02b_DC_Accelerator_Mix'!$A$2:$A$977,0)),0)</f>
        <v/>
      </c>
      <c r="L337" s="6">
        <f>IFERROR(INDEX('02b_DC_Accelerator_Mix'!$I$2:$I$977,MATCH(G337,'02b_DC_Accelerator_Mix'!$A$2:$A$977,0)),0)</f>
        <v/>
      </c>
      <c r="M337" s="6">
        <f>IFERROR(INDEX('02b_DC_Accelerator_Mix'!$J$2:$J$977,MATCH(G337,'02b_DC_Accelerator_Mix'!$A$2:$A$977,0)),0)</f>
        <v/>
      </c>
      <c r="N337" s="6">
        <f>IFERROR(INDEX('02b_DC_Accelerator_Mix'!$K$2:$K$977,MATCH(G337,'02b_DC_Accelerator_Mix'!$A$2:$A$977,0)),0)</f>
        <v/>
      </c>
      <c r="O337" s="6">
        <f>IFERROR(INDEX('02b_DC_Accelerator_Mix'!$L$2:$L$977,MATCH(G337,'02b_DC_Accelerator_Mix'!$A$2:$A$977,0)),0)</f>
        <v/>
      </c>
      <c r="P337" s="6">
        <f>IFERROR(INDEX('02b_DC_Accelerator_Mix'!$M$2:$M$977,MATCH(G337,'02b_DC_Accelerator_Mix'!$A$2:$A$977,0)),0)</f>
        <v/>
      </c>
      <c r="Q337" s="6">
        <f>IFERROR(INDEX('02b_DC_Accelerator_Mix'!$N$2:$N$977,MATCH(G337,'02b_DC_Accelerator_Mix'!$A$2:$A$977,0)),0)</f>
        <v/>
      </c>
      <c r="R337" s="28">
        <f>H337*I337</f>
        <v/>
      </c>
      <c r="S337" s="28">
        <f>H337*J337</f>
        <v/>
      </c>
      <c r="T337" s="28">
        <f>H337*K337</f>
        <v/>
      </c>
      <c r="U337" s="28">
        <f>H337*L337</f>
        <v/>
      </c>
      <c r="V337" s="28">
        <f>H337*M337</f>
        <v/>
      </c>
      <c r="W337" s="28">
        <f>H337*N337</f>
        <v/>
      </c>
      <c r="X337" s="28">
        <f>H337*O337</f>
        <v/>
      </c>
      <c r="Y337" s="28">
        <f>H337*P337</f>
        <v/>
      </c>
      <c r="Z337" s="28">
        <f>H337*Q337</f>
        <v/>
      </c>
      <c r="AA337" s="28">
        <f>SUM(U337:Z337)</f>
        <v/>
      </c>
      <c r="AB337" s="5">
        <f>IF(COUNTIF('02b_DC_Accelerator_Mix'!$A$2:$A$977,G337)&gt;0,"matched","missing_mix")</f>
        <v/>
      </c>
    </row>
    <row r="338">
      <c r="A338" s="5">
        <f>'02a_DC_Capacity_Alloc'!A338</f>
        <v/>
      </c>
      <c r="B338" s="5">
        <f>'02a_DC_Capacity_Alloc'!B338</f>
        <v/>
      </c>
      <c r="C338" s="5">
        <f>'02a_DC_Capacity_Alloc'!C338</f>
        <v/>
      </c>
      <c r="D338" s="5">
        <f>'02a_DC_Capacity_Alloc'!D338</f>
        <v/>
      </c>
      <c r="E338" s="5">
        <f>'02a_DC_Capacity_Alloc'!E338</f>
        <v/>
      </c>
      <c r="F338" s="5">
        <f>'02a_DC_Capacity_Alloc'!F338</f>
        <v/>
      </c>
      <c r="G338" s="5">
        <f>B338&amp;"|"&amp;E338&amp;"|"&amp;D338</f>
        <v/>
      </c>
      <c r="H338" s="28">
        <f>'02a_DC_Capacity_Alloc'!H338*'02a_DC_Capacity_Alloc'!I338*'02a_DC_Capacity_Alloc'!J338</f>
        <v/>
      </c>
      <c r="I338" s="6">
        <f>IFERROR(INDEX('02b_DC_Accelerator_Mix'!$F$2:$F$977,MATCH(G338,'02b_DC_Accelerator_Mix'!$A$2:$A$977,0)),0)</f>
        <v/>
      </c>
      <c r="J338" s="6">
        <f>IFERROR(INDEX('02b_DC_Accelerator_Mix'!$G$2:$G$977,MATCH(G338,'02b_DC_Accelerator_Mix'!$A$2:$A$977,0)),0)</f>
        <v/>
      </c>
      <c r="K338" s="6">
        <f>IFERROR(INDEX('02b_DC_Accelerator_Mix'!$H$2:$H$977,MATCH(G338,'02b_DC_Accelerator_Mix'!$A$2:$A$977,0)),0)</f>
        <v/>
      </c>
      <c r="L338" s="6">
        <f>IFERROR(INDEX('02b_DC_Accelerator_Mix'!$I$2:$I$977,MATCH(G338,'02b_DC_Accelerator_Mix'!$A$2:$A$977,0)),0)</f>
        <v/>
      </c>
      <c r="M338" s="6">
        <f>IFERROR(INDEX('02b_DC_Accelerator_Mix'!$J$2:$J$977,MATCH(G338,'02b_DC_Accelerator_Mix'!$A$2:$A$977,0)),0)</f>
        <v/>
      </c>
      <c r="N338" s="6">
        <f>IFERROR(INDEX('02b_DC_Accelerator_Mix'!$K$2:$K$977,MATCH(G338,'02b_DC_Accelerator_Mix'!$A$2:$A$977,0)),0)</f>
        <v/>
      </c>
      <c r="O338" s="6">
        <f>IFERROR(INDEX('02b_DC_Accelerator_Mix'!$L$2:$L$977,MATCH(G338,'02b_DC_Accelerator_Mix'!$A$2:$A$977,0)),0)</f>
        <v/>
      </c>
      <c r="P338" s="6">
        <f>IFERROR(INDEX('02b_DC_Accelerator_Mix'!$M$2:$M$977,MATCH(G338,'02b_DC_Accelerator_Mix'!$A$2:$A$977,0)),0)</f>
        <v/>
      </c>
      <c r="Q338" s="6">
        <f>IFERROR(INDEX('02b_DC_Accelerator_Mix'!$N$2:$N$977,MATCH(G338,'02b_DC_Accelerator_Mix'!$A$2:$A$977,0)),0)</f>
        <v/>
      </c>
      <c r="R338" s="28">
        <f>H338*I338</f>
        <v/>
      </c>
      <c r="S338" s="28">
        <f>H338*J338</f>
        <v/>
      </c>
      <c r="T338" s="28">
        <f>H338*K338</f>
        <v/>
      </c>
      <c r="U338" s="28">
        <f>H338*L338</f>
        <v/>
      </c>
      <c r="V338" s="28">
        <f>H338*M338</f>
        <v/>
      </c>
      <c r="W338" s="28">
        <f>H338*N338</f>
        <v/>
      </c>
      <c r="X338" s="28">
        <f>H338*O338</f>
        <v/>
      </c>
      <c r="Y338" s="28">
        <f>H338*P338</f>
        <v/>
      </c>
      <c r="Z338" s="28">
        <f>H338*Q338</f>
        <v/>
      </c>
      <c r="AA338" s="28">
        <f>SUM(U338:Z338)</f>
        <v/>
      </c>
      <c r="AB338" s="5">
        <f>IF(COUNTIF('02b_DC_Accelerator_Mix'!$A$2:$A$977,G338)&gt;0,"matched","missing_mix")</f>
        <v/>
      </c>
    </row>
    <row r="339">
      <c r="A339" s="5">
        <f>'02a_DC_Capacity_Alloc'!A339</f>
        <v/>
      </c>
      <c r="B339" s="5">
        <f>'02a_DC_Capacity_Alloc'!B339</f>
        <v/>
      </c>
      <c r="C339" s="5">
        <f>'02a_DC_Capacity_Alloc'!C339</f>
        <v/>
      </c>
      <c r="D339" s="5">
        <f>'02a_DC_Capacity_Alloc'!D339</f>
        <v/>
      </c>
      <c r="E339" s="5">
        <f>'02a_DC_Capacity_Alloc'!E339</f>
        <v/>
      </c>
      <c r="F339" s="5">
        <f>'02a_DC_Capacity_Alloc'!F339</f>
        <v/>
      </c>
      <c r="G339" s="5">
        <f>B339&amp;"|"&amp;E339&amp;"|"&amp;D339</f>
        <v/>
      </c>
      <c r="H339" s="28">
        <f>'02a_DC_Capacity_Alloc'!H339*'02a_DC_Capacity_Alloc'!I339*'02a_DC_Capacity_Alloc'!J339</f>
        <v/>
      </c>
      <c r="I339" s="6">
        <f>IFERROR(INDEX('02b_DC_Accelerator_Mix'!$F$2:$F$977,MATCH(G339,'02b_DC_Accelerator_Mix'!$A$2:$A$977,0)),0)</f>
        <v/>
      </c>
      <c r="J339" s="6">
        <f>IFERROR(INDEX('02b_DC_Accelerator_Mix'!$G$2:$G$977,MATCH(G339,'02b_DC_Accelerator_Mix'!$A$2:$A$977,0)),0)</f>
        <v/>
      </c>
      <c r="K339" s="6">
        <f>IFERROR(INDEX('02b_DC_Accelerator_Mix'!$H$2:$H$977,MATCH(G339,'02b_DC_Accelerator_Mix'!$A$2:$A$977,0)),0)</f>
        <v/>
      </c>
      <c r="L339" s="6">
        <f>IFERROR(INDEX('02b_DC_Accelerator_Mix'!$I$2:$I$977,MATCH(G339,'02b_DC_Accelerator_Mix'!$A$2:$A$977,0)),0)</f>
        <v/>
      </c>
      <c r="M339" s="6">
        <f>IFERROR(INDEX('02b_DC_Accelerator_Mix'!$J$2:$J$977,MATCH(G339,'02b_DC_Accelerator_Mix'!$A$2:$A$977,0)),0)</f>
        <v/>
      </c>
      <c r="N339" s="6">
        <f>IFERROR(INDEX('02b_DC_Accelerator_Mix'!$K$2:$K$977,MATCH(G339,'02b_DC_Accelerator_Mix'!$A$2:$A$977,0)),0)</f>
        <v/>
      </c>
      <c r="O339" s="6">
        <f>IFERROR(INDEX('02b_DC_Accelerator_Mix'!$L$2:$L$977,MATCH(G339,'02b_DC_Accelerator_Mix'!$A$2:$A$977,0)),0)</f>
        <v/>
      </c>
      <c r="P339" s="6">
        <f>IFERROR(INDEX('02b_DC_Accelerator_Mix'!$M$2:$M$977,MATCH(G339,'02b_DC_Accelerator_Mix'!$A$2:$A$977,0)),0)</f>
        <v/>
      </c>
      <c r="Q339" s="6">
        <f>IFERROR(INDEX('02b_DC_Accelerator_Mix'!$N$2:$N$977,MATCH(G339,'02b_DC_Accelerator_Mix'!$A$2:$A$977,0)),0)</f>
        <v/>
      </c>
      <c r="R339" s="28">
        <f>H339*I339</f>
        <v/>
      </c>
      <c r="S339" s="28">
        <f>H339*J339</f>
        <v/>
      </c>
      <c r="T339" s="28">
        <f>H339*K339</f>
        <v/>
      </c>
      <c r="U339" s="28">
        <f>H339*L339</f>
        <v/>
      </c>
      <c r="V339" s="28">
        <f>H339*M339</f>
        <v/>
      </c>
      <c r="W339" s="28">
        <f>H339*N339</f>
        <v/>
      </c>
      <c r="X339" s="28">
        <f>H339*O339</f>
        <v/>
      </c>
      <c r="Y339" s="28">
        <f>H339*P339</f>
        <v/>
      </c>
      <c r="Z339" s="28">
        <f>H339*Q339</f>
        <v/>
      </c>
      <c r="AA339" s="28">
        <f>SUM(U339:Z339)</f>
        <v/>
      </c>
      <c r="AB339" s="5">
        <f>IF(COUNTIF('02b_DC_Accelerator_Mix'!$A$2:$A$977,G339)&gt;0,"matched","missing_mix")</f>
        <v/>
      </c>
    </row>
    <row r="340">
      <c r="A340" s="5">
        <f>'02a_DC_Capacity_Alloc'!A340</f>
        <v/>
      </c>
      <c r="B340" s="5">
        <f>'02a_DC_Capacity_Alloc'!B340</f>
        <v/>
      </c>
      <c r="C340" s="5">
        <f>'02a_DC_Capacity_Alloc'!C340</f>
        <v/>
      </c>
      <c r="D340" s="5">
        <f>'02a_DC_Capacity_Alloc'!D340</f>
        <v/>
      </c>
      <c r="E340" s="5">
        <f>'02a_DC_Capacity_Alloc'!E340</f>
        <v/>
      </c>
      <c r="F340" s="5">
        <f>'02a_DC_Capacity_Alloc'!F340</f>
        <v/>
      </c>
      <c r="G340" s="5">
        <f>B340&amp;"|"&amp;E340&amp;"|"&amp;D340</f>
        <v/>
      </c>
      <c r="H340" s="28">
        <f>'02a_DC_Capacity_Alloc'!H340*'02a_DC_Capacity_Alloc'!I340*'02a_DC_Capacity_Alloc'!J340</f>
        <v/>
      </c>
      <c r="I340" s="6">
        <f>IFERROR(INDEX('02b_DC_Accelerator_Mix'!$F$2:$F$977,MATCH(G340,'02b_DC_Accelerator_Mix'!$A$2:$A$977,0)),0)</f>
        <v/>
      </c>
      <c r="J340" s="6">
        <f>IFERROR(INDEX('02b_DC_Accelerator_Mix'!$G$2:$G$977,MATCH(G340,'02b_DC_Accelerator_Mix'!$A$2:$A$977,0)),0)</f>
        <v/>
      </c>
      <c r="K340" s="6">
        <f>IFERROR(INDEX('02b_DC_Accelerator_Mix'!$H$2:$H$977,MATCH(G340,'02b_DC_Accelerator_Mix'!$A$2:$A$977,0)),0)</f>
        <v/>
      </c>
      <c r="L340" s="6">
        <f>IFERROR(INDEX('02b_DC_Accelerator_Mix'!$I$2:$I$977,MATCH(G340,'02b_DC_Accelerator_Mix'!$A$2:$A$977,0)),0)</f>
        <v/>
      </c>
      <c r="M340" s="6">
        <f>IFERROR(INDEX('02b_DC_Accelerator_Mix'!$J$2:$J$977,MATCH(G340,'02b_DC_Accelerator_Mix'!$A$2:$A$977,0)),0)</f>
        <v/>
      </c>
      <c r="N340" s="6">
        <f>IFERROR(INDEX('02b_DC_Accelerator_Mix'!$K$2:$K$977,MATCH(G340,'02b_DC_Accelerator_Mix'!$A$2:$A$977,0)),0)</f>
        <v/>
      </c>
      <c r="O340" s="6">
        <f>IFERROR(INDEX('02b_DC_Accelerator_Mix'!$L$2:$L$977,MATCH(G340,'02b_DC_Accelerator_Mix'!$A$2:$A$977,0)),0)</f>
        <v/>
      </c>
      <c r="P340" s="6">
        <f>IFERROR(INDEX('02b_DC_Accelerator_Mix'!$M$2:$M$977,MATCH(G340,'02b_DC_Accelerator_Mix'!$A$2:$A$977,0)),0)</f>
        <v/>
      </c>
      <c r="Q340" s="6">
        <f>IFERROR(INDEX('02b_DC_Accelerator_Mix'!$N$2:$N$977,MATCH(G340,'02b_DC_Accelerator_Mix'!$A$2:$A$977,0)),0)</f>
        <v/>
      </c>
      <c r="R340" s="28">
        <f>H340*I340</f>
        <v/>
      </c>
      <c r="S340" s="28">
        <f>H340*J340</f>
        <v/>
      </c>
      <c r="T340" s="28">
        <f>H340*K340</f>
        <v/>
      </c>
      <c r="U340" s="28">
        <f>H340*L340</f>
        <v/>
      </c>
      <c r="V340" s="28">
        <f>H340*M340</f>
        <v/>
      </c>
      <c r="W340" s="28">
        <f>H340*N340</f>
        <v/>
      </c>
      <c r="X340" s="28">
        <f>H340*O340</f>
        <v/>
      </c>
      <c r="Y340" s="28">
        <f>H340*P340</f>
        <v/>
      </c>
      <c r="Z340" s="28">
        <f>H340*Q340</f>
        <v/>
      </c>
      <c r="AA340" s="28">
        <f>SUM(U340:Z340)</f>
        <v/>
      </c>
      <c r="AB340" s="5">
        <f>IF(COUNTIF('02b_DC_Accelerator_Mix'!$A$2:$A$977,G340)&gt;0,"matched","missing_mix")</f>
        <v/>
      </c>
    </row>
    <row r="341">
      <c r="A341" s="5">
        <f>'02a_DC_Capacity_Alloc'!A341</f>
        <v/>
      </c>
      <c r="B341" s="5">
        <f>'02a_DC_Capacity_Alloc'!B341</f>
        <v/>
      </c>
      <c r="C341" s="5">
        <f>'02a_DC_Capacity_Alloc'!C341</f>
        <v/>
      </c>
      <c r="D341" s="5">
        <f>'02a_DC_Capacity_Alloc'!D341</f>
        <v/>
      </c>
      <c r="E341" s="5">
        <f>'02a_DC_Capacity_Alloc'!E341</f>
        <v/>
      </c>
      <c r="F341" s="5">
        <f>'02a_DC_Capacity_Alloc'!F341</f>
        <v/>
      </c>
      <c r="G341" s="5">
        <f>B341&amp;"|"&amp;E341&amp;"|"&amp;D341</f>
        <v/>
      </c>
      <c r="H341" s="28">
        <f>'02a_DC_Capacity_Alloc'!H341*'02a_DC_Capacity_Alloc'!I341*'02a_DC_Capacity_Alloc'!J341</f>
        <v/>
      </c>
      <c r="I341" s="6">
        <f>IFERROR(INDEX('02b_DC_Accelerator_Mix'!$F$2:$F$977,MATCH(G341,'02b_DC_Accelerator_Mix'!$A$2:$A$977,0)),0)</f>
        <v/>
      </c>
      <c r="J341" s="6">
        <f>IFERROR(INDEX('02b_DC_Accelerator_Mix'!$G$2:$G$977,MATCH(G341,'02b_DC_Accelerator_Mix'!$A$2:$A$977,0)),0)</f>
        <v/>
      </c>
      <c r="K341" s="6">
        <f>IFERROR(INDEX('02b_DC_Accelerator_Mix'!$H$2:$H$977,MATCH(G341,'02b_DC_Accelerator_Mix'!$A$2:$A$977,0)),0)</f>
        <v/>
      </c>
      <c r="L341" s="6">
        <f>IFERROR(INDEX('02b_DC_Accelerator_Mix'!$I$2:$I$977,MATCH(G341,'02b_DC_Accelerator_Mix'!$A$2:$A$977,0)),0)</f>
        <v/>
      </c>
      <c r="M341" s="6">
        <f>IFERROR(INDEX('02b_DC_Accelerator_Mix'!$J$2:$J$977,MATCH(G341,'02b_DC_Accelerator_Mix'!$A$2:$A$977,0)),0)</f>
        <v/>
      </c>
      <c r="N341" s="6">
        <f>IFERROR(INDEX('02b_DC_Accelerator_Mix'!$K$2:$K$977,MATCH(G341,'02b_DC_Accelerator_Mix'!$A$2:$A$977,0)),0)</f>
        <v/>
      </c>
      <c r="O341" s="6">
        <f>IFERROR(INDEX('02b_DC_Accelerator_Mix'!$L$2:$L$977,MATCH(G341,'02b_DC_Accelerator_Mix'!$A$2:$A$977,0)),0)</f>
        <v/>
      </c>
      <c r="P341" s="6">
        <f>IFERROR(INDEX('02b_DC_Accelerator_Mix'!$M$2:$M$977,MATCH(G341,'02b_DC_Accelerator_Mix'!$A$2:$A$977,0)),0)</f>
        <v/>
      </c>
      <c r="Q341" s="6">
        <f>IFERROR(INDEX('02b_DC_Accelerator_Mix'!$N$2:$N$977,MATCH(G341,'02b_DC_Accelerator_Mix'!$A$2:$A$977,0)),0)</f>
        <v/>
      </c>
      <c r="R341" s="28">
        <f>H341*I341</f>
        <v/>
      </c>
      <c r="S341" s="28">
        <f>H341*J341</f>
        <v/>
      </c>
      <c r="T341" s="28">
        <f>H341*K341</f>
        <v/>
      </c>
      <c r="U341" s="28">
        <f>H341*L341</f>
        <v/>
      </c>
      <c r="V341" s="28">
        <f>H341*M341</f>
        <v/>
      </c>
      <c r="W341" s="28">
        <f>H341*N341</f>
        <v/>
      </c>
      <c r="X341" s="28">
        <f>H341*O341</f>
        <v/>
      </c>
      <c r="Y341" s="28">
        <f>H341*P341</f>
        <v/>
      </c>
      <c r="Z341" s="28">
        <f>H341*Q341</f>
        <v/>
      </c>
      <c r="AA341" s="28">
        <f>SUM(U341:Z341)</f>
        <v/>
      </c>
      <c r="AB341" s="5">
        <f>IF(COUNTIF('02b_DC_Accelerator_Mix'!$A$2:$A$977,G341)&gt;0,"matched","missing_mix")</f>
        <v/>
      </c>
    </row>
    <row r="342">
      <c r="A342" s="5">
        <f>'02a_DC_Capacity_Alloc'!A342</f>
        <v/>
      </c>
      <c r="B342" s="5">
        <f>'02a_DC_Capacity_Alloc'!B342</f>
        <v/>
      </c>
      <c r="C342" s="5">
        <f>'02a_DC_Capacity_Alloc'!C342</f>
        <v/>
      </c>
      <c r="D342" s="5">
        <f>'02a_DC_Capacity_Alloc'!D342</f>
        <v/>
      </c>
      <c r="E342" s="5">
        <f>'02a_DC_Capacity_Alloc'!E342</f>
        <v/>
      </c>
      <c r="F342" s="5">
        <f>'02a_DC_Capacity_Alloc'!F342</f>
        <v/>
      </c>
      <c r="G342" s="5">
        <f>B342&amp;"|"&amp;E342&amp;"|"&amp;D342</f>
        <v/>
      </c>
      <c r="H342" s="28">
        <f>'02a_DC_Capacity_Alloc'!H342*'02a_DC_Capacity_Alloc'!I342*'02a_DC_Capacity_Alloc'!J342</f>
        <v/>
      </c>
      <c r="I342" s="6">
        <f>IFERROR(INDEX('02b_DC_Accelerator_Mix'!$F$2:$F$977,MATCH(G342,'02b_DC_Accelerator_Mix'!$A$2:$A$977,0)),0)</f>
        <v/>
      </c>
      <c r="J342" s="6">
        <f>IFERROR(INDEX('02b_DC_Accelerator_Mix'!$G$2:$G$977,MATCH(G342,'02b_DC_Accelerator_Mix'!$A$2:$A$977,0)),0)</f>
        <v/>
      </c>
      <c r="K342" s="6">
        <f>IFERROR(INDEX('02b_DC_Accelerator_Mix'!$H$2:$H$977,MATCH(G342,'02b_DC_Accelerator_Mix'!$A$2:$A$977,0)),0)</f>
        <v/>
      </c>
      <c r="L342" s="6">
        <f>IFERROR(INDEX('02b_DC_Accelerator_Mix'!$I$2:$I$977,MATCH(G342,'02b_DC_Accelerator_Mix'!$A$2:$A$977,0)),0)</f>
        <v/>
      </c>
      <c r="M342" s="6">
        <f>IFERROR(INDEX('02b_DC_Accelerator_Mix'!$J$2:$J$977,MATCH(G342,'02b_DC_Accelerator_Mix'!$A$2:$A$977,0)),0)</f>
        <v/>
      </c>
      <c r="N342" s="6">
        <f>IFERROR(INDEX('02b_DC_Accelerator_Mix'!$K$2:$K$977,MATCH(G342,'02b_DC_Accelerator_Mix'!$A$2:$A$977,0)),0)</f>
        <v/>
      </c>
      <c r="O342" s="6">
        <f>IFERROR(INDEX('02b_DC_Accelerator_Mix'!$L$2:$L$977,MATCH(G342,'02b_DC_Accelerator_Mix'!$A$2:$A$977,0)),0)</f>
        <v/>
      </c>
      <c r="P342" s="6">
        <f>IFERROR(INDEX('02b_DC_Accelerator_Mix'!$M$2:$M$977,MATCH(G342,'02b_DC_Accelerator_Mix'!$A$2:$A$977,0)),0)</f>
        <v/>
      </c>
      <c r="Q342" s="6">
        <f>IFERROR(INDEX('02b_DC_Accelerator_Mix'!$N$2:$N$977,MATCH(G342,'02b_DC_Accelerator_Mix'!$A$2:$A$977,0)),0)</f>
        <v/>
      </c>
      <c r="R342" s="28">
        <f>H342*I342</f>
        <v/>
      </c>
      <c r="S342" s="28">
        <f>H342*J342</f>
        <v/>
      </c>
      <c r="T342" s="28">
        <f>H342*K342</f>
        <v/>
      </c>
      <c r="U342" s="28">
        <f>H342*L342</f>
        <v/>
      </c>
      <c r="V342" s="28">
        <f>H342*M342</f>
        <v/>
      </c>
      <c r="W342" s="28">
        <f>H342*N342</f>
        <v/>
      </c>
      <c r="X342" s="28">
        <f>H342*O342</f>
        <v/>
      </c>
      <c r="Y342" s="28">
        <f>H342*P342</f>
        <v/>
      </c>
      <c r="Z342" s="28">
        <f>H342*Q342</f>
        <v/>
      </c>
      <c r="AA342" s="28">
        <f>SUM(U342:Z342)</f>
        <v/>
      </c>
      <c r="AB342" s="5">
        <f>IF(COUNTIF('02b_DC_Accelerator_Mix'!$A$2:$A$977,G342)&gt;0,"matched","missing_mix")</f>
        <v/>
      </c>
    </row>
    <row r="343">
      <c r="A343" s="5">
        <f>'02a_DC_Capacity_Alloc'!A343</f>
        <v/>
      </c>
      <c r="B343" s="5">
        <f>'02a_DC_Capacity_Alloc'!B343</f>
        <v/>
      </c>
      <c r="C343" s="5">
        <f>'02a_DC_Capacity_Alloc'!C343</f>
        <v/>
      </c>
      <c r="D343" s="5">
        <f>'02a_DC_Capacity_Alloc'!D343</f>
        <v/>
      </c>
      <c r="E343" s="5">
        <f>'02a_DC_Capacity_Alloc'!E343</f>
        <v/>
      </c>
      <c r="F343" s="5">
        <f>'02a_DC_Capacity_Alloc'!F343</f>
        <v/>
      </c>
      <c r="G343" s="5">
        <f>B343&amp;"|"&amp;E343&amp;"|"&amp;D343</f>
        <v/>
      </c>
      <c r="H343" s="28">
        <f>'02a_DC_Capacity_Alloc'!H343*'02a_DC_Capacity_Alloc'!I343*'02a_DC_Capacity_Alloc'!J343</f>
        <v/>
      </c>
      <c r="I343" s="6">
        <f>IFERROR(INDEX('02b_DC_Accelerator_Mix'!$F$2:$F$977,MATCH(G343,'02b_DC_Accelerator_Mix'!$A$2:$A$977,0)),0)</f>
        <v/>
      </c>
      <c r="J343" s="6">
        <f>IFERROR(INDEX('02b_DC_Accelerator_Mix'!$G$2:$G$977,MATCH(G343,'02b_DC_Accelerator_Mix'!$A$2:$A$977,0)),0)</f>
        <v/>
      </c>
      <c r="K343" s="6">
        <f>IFERROR(INDEX('02b_DC_Accelerator_Mix'!$H$2:$H$977,MATCH(G343,'02b_DC_Accelerator_Mix'!$A$2:$A$977,0)),0)</f>
        <v/>
      </c>
      <c r="L343" s="6">
        <f>IFERROR(INDEX('02b_DC_Accelerator_Mix'!$I$2:$I$977,MATCH(G343,'02b_DC_Accelerator_Mix'!$A$2:$A$977,0)),0)</f>
        <v/>
      </c>
      <c r="M343" s="6">
        <f>IFERROR(INDEX('02b_DC_Accelerator_Mix'!$J$2:$J$977,MATCH(G343,'02b_DC_Accelerator_Mix'!$A$2:$A$977,0)),0)</f>
        <v/>
      </c>
      <c r="N343" s="6">
        <f>IFERROR(INDEX('02b_DC_Accelerator_Mix'!$K$2:$K$977,MATCH(G343,'02b_DC_Accelerator_Mix'!$A$2:$A$977,0)),0)</f>
        <v/>
      </c>
      <c r="O343" s="6">
        <f>IFERROR(INDEX('02b_DC_Accelerator_Mix'!$L$2:$L$977,MATCH(G343,'02b_DC_Accelerator_Mix'!$A$2:$A$977,0)),0)</f>
        <v/>
      </c>
      <c r="P343" s="6">
        <f>IFERROR(INDEX('02b_DC_Accelerator_Mix'!$M$2:$M$977,MATCH(G343,'02b_DC_Accelerator_Mix'!$A$2:$A$977,0)),0)</f>
        <v/>
      </c>
      <c r="Q343" s="6">
        <f>IFERROR(INDEX('02b_DC_Accelerator_Mix'!$N$2:$N$977,MATCH(G343,'02b_DC_Accelerator_Mix'!$A$2:$A$977,0)),0)</f>
        <v/>
      </c>
      <c r="R343" s="28">
        <f>H343*I343</f>
        <v/>
      </c>
      <c r="S343" s="28">
        <f>H343*J343</f>
        <v/>
      </c>
      <c r="T343" s="28">
        <f>H343*K343</f>
        <v/>
      </c>
      <c r="U343" s="28">
        <f>H343*L343</f>
        <v/>
      </c>
      <c r="V343" s="28">
        <f>H343*M343</f>
        <v/>
      </c>
      <c r="W343" s="28">
        <f>H343*N343</f>
        <v/>
      </c>
      <c r="X343" s="28">
        <f>H343*O343</f>
        <v/>
      </c>
      <c r="Y343" s="28">
        <f>H343*P343</f>
        <v/>
      </c>
      <c r="Z343" s="28">
        <f>H343*Q343</f>
        <v/>
      </c>
      <c r="AA343" s="28">
        <f>SUM(U343:Z343)</f>
        <v/>
      </c>
      <c r="AB343" s="5">
        <f>IF(COUNTIF('02b_DC_Accelerator_Mix'!$A$2:$A$977,G343)&gt;0,"matched","missing_mix")</f>
        <v/>
      </c>
    </row>
    <row r="344">
      <c r="A344" s="5">
        <f>'02a_DC_Capacity_Alloc'!A344</f>
        <v/>
      </c>
      <c r="B344" s="5">
        <f>'02a_DC_Capacity_Alloc'!B344</f>
        <v/>
      </c>
      <c r="C344" s="5">
        <f>'02a_DC_Capacity_Alloc'!C344</f>
        <v/>
      </c>
      <c r="D344" s="5">
        <f>'02a_DC_Capacity_Alloc'!D344</f>
        <v/>
      </c>
      <c r="E344" s="5">
        <f>'02a_DC_Capacity_Alloc'!E344</f>
        <v/>
      </c>
      <c r="F344" s="5">
        <f>'02a_DC_Capacity_Alloc'!F344</f>
        <v/>
      </c>
      <c r="G344" s="5">
        <f>B344&amp;"|"&amp;E344&amp;"|"&amp;D344</f>
        <v/>
      </c>
      <c r="H344" s="28">
        <f>'02a_DC_Capacity_Alloc'!H344*'02a_DC_Capacity_Alloc'!I344*'02a_DC_Capacity_Alloc'!J344</f>
        <v/>
      </c>
      <c r="I344" s="6">
        <f>IFERROR(INDEX('02b_DC_Accelerator_Mix'!$F$2:$F$977,MATCH(G344,'02b_DC_Accelerator_Mix'!$A$2:$A$977,0)),0)</f>
        <v/>
      </c>
      <c r="J344" s="6">
        <f>IFERROR(INDEX('02b_DC_Accelerator_Mix'!$G$2:$G$977,MATCH(G344,'02b_DC_Accelerator_Mix'!$A$2:$A$977,0)),0)</f>
        <v/>
      </c>
      <c r="K344" s="6">
        <f>IFERROR(INDEX('02b_DC_Accelerator_Mix'!$H$2:$H$977,MATCH(G344,'02b_DC_Accelerator_Mix'!$A$2:$A$977,0)),0)</f>
        <v/>
      </c>
      <c r="L344" s="6">
        <f>IFERROR(INDEX('02b_DC_Accelerator_Mix'!$I$2:$I$977,MATCH(G344,'02b_DC_Accelerator_Mix'!$A$2:$A$977,0)),0)</f>
        <v/>
      </c>
      <c r="M344" s="6">
        <f>IFERROR(INDEX('02b_DC_Accelerator_Mix'!$J$2:$J$977,MATCH(G344,'02b_DC_Accelerator_Mix'!$A$2:$A$977,0)),0)</f>
        <v/>
      </c>
      <c r="N344" s="6">
        <f>IFERROR(INDEX('02b_DC_Accelerator_Mix'!$K$2:$K$977,MATCH(G344,'02b_DC_Accelerator_Mix'!$A$2:$A$977,0)),0)</f>
        <v/>
      </c>
      <c r="O344" s="6">
        <f>IFERROR(INDEX('02b_DC_Accelerator_Mix'!$L$2:$L$977,MATCH(G344,'02b_DC_Accelerator_Mix'!$A$2:$A$977,0)),0)</f>
        <v/>
      </c>
      <c r="P344" s="6">
        <f>IFERROR(INDEX('02b_DC_Accelerator_Mix'!$M$2:$M$977,MATCH(G344,'02b_DC_Accelerator_Mix'!$A$2:$A$977,0)),0)</f>
        <v/>
      </c>
      <c r="Q344" s="6">
        <f>IFERROR(INDEX('02b_DC_Accelerator_Mix'!$N$2:$N$977,MATCH(G344,'02b_DC_Accelerator_Mix'!$A$2:$A$977,0)),0)</f>
        <v/>
      </c>
      <c r="R344" s="28">
        <f>H344*I344</f>
        <v/>
      </c>
      <c r="S344" s="28">
        <f>H344*J344</f>
        <v/>
      </c>
      <c r="T344" s="28">
        <f>H344*K344</f>
        <v/>
      </c>
      <c r="U344" s="28">
        <f>H344*L344</f>
        <v/>
      </c>
      <c r="V344" s="28">
        <f>H344*M344</f>
        <v/>
      </c>
      <c r="W344" s="28">
        <f>H344*N344</f>
        <v/>
      </c>
      <c r="X344" s="28">
        <f>H344*O344</f>
        <v/>
      </c>
      <c r="Y344" s="28">
        <f>H344*P344</f>
        <v/>
      </c>
      <c r="Z344" s="28">
        <f>H344*Q344</f>
        <v/>
      </c>
      <c r="AA344" s="28">
        <f>SUM(U344:Z344)</f>
        <v/>
      </c>
      <c r="AB344" s="5">
        <f>IF(COUNTIF('02b_DC_Accelerator_Mix'!$A$2:$A$977,G344)&gt;0,"matched","missing_mix")</f>
        <v/>
      </c>
    </row>
    <row r="345">
      <c r="A345" s="5">
        <f>'02a_DC_Capacity_Alloc'!A345</f>
        <v/>
      </c>
      <c r="B345" s="5">
        <f>'02a_DC_Capacity_Alloc'!B345</f>
        <v/>
      </c>
      <c r="C345" s="5">
        <f>'02a_DC_Capacity_Alloc'!C345</f>
        <v/>
      </c>
      <c r="D345" s="5">
        <f>'02a_DC_Capacity_Alloc'!D345</f>
        <v/>
      </c>
      <c r="E345" s="5">
        <f>'02a_DC_Capacity_Alloc'!E345</f>
        <v/>
      </c>
      <c r="F345" s="5">
        <f>'02a_DC_Capacity_Alloc'!F345</f>
        <v/>
      </c>
      <c r="G345" s="5">
        <f>B345&amp;"|"&amp;E345&amp;"|"&amp;D345</f>
        <v/>
      </c>
      <c r="H345" s="28">
        <f>'02a_DC_Capacity_Alloc'!H345*'02a_DC_Capacity_Alloc'!I345*'02a_DC_Capacity_Alloc'!J345</f>
        <v/>
      </c>
      <c r="I345" s="6">
        <f>IFERROR(INDEX('02b_DC_Accelerator_Mix'!$F$2:$F$977,MATCH(G345,'02b_DC_Accelerator_Mix'!$A$2:$A$977,0)),0)</f>
        <v/>
      </c>
      <c r="J345" s="6">
        <f>IFERROR(INDEX('02b_DC_Accelerator_Mix'!$G$2:$G$977,MATCH(G345,'02b_DC_Accelerator_Mix'!$A$2:$A$977,0)),0)</f>
        <v/>
      </c>
      <c r="K345" s="6">
        <f>IFERROR(INDEX('02b_DC_Accelerator_Mix'!$H$2:$H$977,MATCH(G345,'02b_DC_Accelerator_Mix'!$A$2:$A$977,0)),0)</f>
        <v/>
      </c>
      <c r="L345" s="6">
        <f>IFERROR(INDEX('02b_DC_Accelerator_Mix'!$I$2:$I$977,MATCH(G345,'02b_DC_Accelerator_Mix'!$A$2:$A$977,0)),0)</f>
        <v/>
      </c>
      <c r="M345" s="6">
        <f>IFERROR(INDEX('02b_DC_Accelerator_Mix'!$J$2:$J$977,MATCH(G345,'02b_DC_Accelerator_Mix'!$A$2:$A$977,0)),0)</f>
        <v/>
      </c>
      <c r="N345" s="6">
        <f>IFERROR(INDEX('02b_DC_Accelerator_Mix'!$K$2:$K$977,MATCH(G345,'02b_DC_Accelerator_Mix'!$A$2:$A$977,0)),0)</f>
        <v/>
      </c>
      <c r="O345" s="6">
        <f>IFERROR(INDEX('02b_DC_Accelerator_Mix'!$L$2:$L$977,MATCH(G345,'02b_DC_Accelerator_Mix'!$A$2:$A$977,0)),0)</f>
        <v/>
      </c>
      <c r="P345" s="6">
        <f>IFERROR(INDEX('02b_DC_Accelerator_Mix'!$M$2:$M$977,MATCH(G345,'02b_DC_Accelerator_Mix'!$A$2:$A$977,0)),0)</f>
        <v/>
      </c>
      <c r="Q345" s="6">
        <f>IFERROR(INDEX('02b_DC_Accelerator_Mix'!$N$2:$N$977,MATCH(G345,'02b_DC_Accelerator_Mix'!$A$2:$A$977,0)),0)</f>
        <v/>
      </c>
      <c r="R345" s="28">
        <f>H345*I345</f>
        <v/>
      </c>
      <c r="S345" s="28">
        <f>H345*J345</f>
        <v/>
      </c>
      <c r="T345" s="28">
        <f>H345*K345</f>
        <v/>
      </c>
      <c r="U345" s="28">
        <f>H345*L345</f>
        <v/>
      </c>
      <c r="V345" s="28">
        <f>H345*M345</f>
        <v/>
      </c>
      <c r="W345" s="28">
        <f>H345*N345</f>
        <v/>
      </c>
      <c r="X345" s="28">
        <f>H345*O345</f>
        <v/>
      </c>
      <c r="Y345" s="28">
        <f>H345*P345</f>
        <v/>
      </c>
      <c r="Z345" s="28">
        <f>H345*Q345</f>
        <v/>
      </c>
      <c r="AA345" s="28">
        <f>SUM(U345:Z345)</f>
        <v/>
      </c>
      <c r="AB345" s="5">
        <f>IF(COUNTIF('02b_DC_Accelerator_Mix'!$A$2:$A$977,G345)&gt;0,"matched","missing_mix")</f>
        <v/>
      </c>
    </row>
    <row r="346">
      <c r="A346" s="5">
        <f>'02a_DC_Capacity_Alloc'!A346</f>
        <v/>
      </c>
      <c r="B346" s="5">
        <f>'02a_DC_Capacity_Alloc'!B346</f>
        <v/>
      </c>
      <c r="C346" s="5">
        <f>'02a_DC_Capacity_Alloc'!C346</f>
        <v/>
      </c>
      <c r="D346" s="5">
        <f>'02a_DC_Capacity_Alloc'!D346</f>
        <v/>
      </c>
      <c r="E346" s="5">
        <f>'02a_DC_Capacity_Alloc'!E346</f>
        <v/>
      </c>
      <c r="F346" s="5">
        <f>'02a_DC_Capacity_Alloc'!F346</f>
        <v/>
      </c>
      <c r="G346" s="5">
        <f>B346&amp;"|"&amp;E346&amp;"|"&amp;D346</f>
        <v/>
      </c>
      <c r="H346" s="28">
        <f>'02a_DC_Capacity_Alloc'!H346*'02a_DC_Capacity_Alloc'!I346*'02a_DC_Capacity_Alloc'!J346</f>
        <v/>
      </c>
      <c r="I346" s="6">
        <f>IFERROR(INDEX('02b_DC_Accelerator_Mix'!$F$2:$F$977,MATCH(G346,'02b_DC_Accelerator_Mix'!$A$2:$A$977,0)),0)</f>
        <v/>
      </c>
      <c r="J346" s="6">
        <f>IFERROR(INDEX('02b_DC_Accelerator_Mix'!$G$2:$G$977,MATCH(G346,'02b_DC_Accelerator_Mix'!$A$2:$A$977,0)),0)</f>
        <v/>
      </c>
      <c r="K346" s="6">
        <f>IFERROR(INDEX('02b_DC_Accelerator_Mix'!$H$2:$H$977,MATCH(G346,'02b_DC_Accelerator_Mix'!$A$2:$A$977,0)),0)</f>
        <v/>
      </c>
      <c r="L346" s="6">
        <f>IFERROR(INDEX('02b_DC_Accelerator_Mix'!$I$2:$I$977,MATCH(G346,'02b_DC_Accelerator_Mix'!$A$2:$A$977,0)),0)</f>
        <v/>
      </c>
      <c r="M346" s="6">
        <f>IFERROR(INDEX('02b_DC_Accelerator_Mix'!$J$2:$J$977,MATCH(G346,'02b_DC_Accelerator_Mix'!$A$2:$A$977,0)),0)</f>
        <v/>
      </c>
      <c r="N346" s="6">
        <f>IFERROR(INDEX('02b_DC_Accelerator_Mix'!$K$2:$K$977,MATCH(G346,'02b_DC_Accelerator_Mix'!$A$2:$A$977,0)),0)</f>
        <v/>
      </c>
      <c r="O346" s="6">
        <f>IFERROR(INDEX('02b_DC_Accelerator_Mix'!$L$2:$L$977,MATCH(G346,'02b_DC_Accelerator_Mix'!$A$2:$A$977,0)),0)</f>
        <v/>
      </c>
      <c r="P346" s="6">
        <f>IFERROR(INDEX('02b_DC_Accelerator_Mix'!$M$2:$M$977,MATCH(G346,'02b_DC_Accelerator_Mix'!$A$2:$A$977,0)),0)</f>
        <v/>
      </c>
      <c r="Q346" s="6">
        <f>IFERROR(INDEX('02b_DC_Accelerator_Mix'!$N$2:$N$977,MATCH(G346,'02b_DC_Accelerator_Mix'!$A$2:$A$977,0)),0)</f>
        <v/>
      </c>
      <c r="R346" s="28">
        <f>H346*I346</f>
        <v/>
      </c>
      <c r="S346" s="28">
        <f>H346*J346</f>
        <v/>
      </c>
      <c r="T346" s="28">
        <f>H346*K346</f>
        <v/>
      </c>
      <c r="U346" s="28">
        <f>H346*L346</f>
        <v/>
      </c>
      <c r="V346" s="28">
        <f>H346*M346</f>
        <v/>
      </c>
      <c r="W346" s="28">
        <f>H346*N346</f>
        <v/>
      </c>
      <c r="X346" s="28">
        <f>H346*O346</f>
        <v/>
      </c>
      <c r="Y346" s="28">
        <f>H346*P346</f>
        <v/>
      </c>
      <c r="Z346" s="28">
        <f>H346*Q346</f>
        <v/>
      </c>
      <c r="AA346" s="28">
        <f>SUM(U346:Z346)</f>
        <v/>
      </c>
      <c r="AB346" s="5">
        <f>IF(COUNTIF('02b_DC_Accelerator_Mix'!$A$2:$A$977,G346)&gt;0,"matched","missing_mix")</f>
        <v/>
      </c>
    </row>
    <row r="347">
      <c r="A347" s="5">
        <f>'02a_DC_Capacity_Alloc'!A347</f>
        <v/>
      </c>
      <c r="B347" s="5">
        <f>'02a_DC_Capacity_Alloc'!B347</f>
        <v/>
      </c>
      <c r="C347" s="5">
        <f>'02a_DC_Capacity_Alloc'!C347</f>
        <v/>
      </c>
      <c r="D347" s="5">
        <f>'02a_DC_Capacity_Alloc'!D347</f>
        <v/>
      </c>
      <c r="E347" s="5">
        <f>'02a_DC_Capacity_Alloc'!E347</f>
        <v/>
      </c>
      <c r="F347" s="5">
        <f>'02a_DC_Capacity_Alloc'!F347</f>
        <v/>
      </c>
      <c r="G347" s="5">
        <f>B347&amp;"|"&amp;E347&amp;"|"&amp;D347</f>
        <v/>
      </c>
      <c r="H347" s="28">
        <f>'02a_DC_Capacity_Alloc'!H347*'02a_DC_Capacity_Alloc'!I347*'02a_DC_Capacity_Alloc'!J347</f>
        <v/>
      </c>
      <c r="I347" s="6">
        <f>IFERROR(INDEX('02b_DC_Accelerator_Mix'!$F$2:$F$977,MATCH(G347,'02b_DC_Accelerator_Mix'!$A$2:$A$977,0)),0)</f>
        <v/>
      </c>
      <c r="J347" s="6">
        <f>IFERROR(INDEX('02b_DC_Accelerator_Mix'!$G$2:$G$977,MATCH(G347,'02b_DC_Accelerator_Mix'!$A$2:$A$977,0)),0)</f>
        <v/>
      </c>
      <c r="K347" s="6">
        <f>IFERROR(INDEX('02b_DC_Accelerator_Mix'!$H$2:$H$977,MATCH(G347,'02b_DC_Accelerator_Mix'!$A$2:$A$977,0)),0)</f>
        <v/>
      </c>
      <c r="L347" s="6">
        <f>IFERROR(INDEX('02b_DC_Accelerator_Mix'!$I$2:$I$977,MATCH(G347,'02b_DC_Accelerator_Mix'!$A$2:$A$977,0)),0)</f>
        <v/>
      </c>
      <c r="M347" s="6">
        <f>IFERROR(INDEX('02b_DC_Accelerator_Mix'!$J$2:$J$977,MATCH(G347,'02b_DC_Accelerator_Mix'!$A$2:$A$977,0)),0)</f>
        <v/>
      </c>
      <c r="N347" s="6">
        <f>IFERROR(INDEX('02b_DC_Accelerator_Mix'!$K$2:$K$977,MATCH(G347,'02b_DC_Accelerator_Mix'!$A$2:$A$977,0)),0)</f>
        <v/>
      </c>
      <c r="O347" s="6">
        <f>IFERROR(INDEX('02b_DC_Accelerator_Mix'!$L$2:$L$977,MATCH(G347,'02b_DC_Accelerator_Mix'!$A$2:$A$977,0)),0)</f>
        <v/>
      </c>
      <c r="P347" s="6">
        <f>IFERROR(INDEX('02b_DC_Accelerator_Mix'!$M$2:$M$977,MATCH(G347,'02b_DC_Accelerator_Mix'!$A$2:$A$977,0)),0)</f>
        <v/>
      </c>
      <c r="Q347" s="6">
        <f>IFERROR(INDEX('02b_DC_Accelerator_Mix'!$N$2:$N$977,MATCH(G347,'02b_DC_Accelerator_Mix'!$A$2:$A$977,0)),0)</f>
        <v/>
      </c>
      <c r="R347" s="28">
        <f>H347*I347</f>
        <v/>
      </c>
      <c r="S347" s="28">
        <f>H347*J347</f>
        <v/>
      </c>
      <c r="T347" s="28">
        <f>H347*K347</f>
        <v/>
      </c>
      <c r="U347" s="28">
        <f>H347*L347</f>
        <v/>
      </c>
      <c r="V347" s="28">
        <f>H347*M347</f>
        <v/>
      </c>
      <c r="W347" s="28">
        <f>H347*N347</f>
        <v/>
      </c>
      <c r="X347" s="28">
        <f>H347*O347</f>
        <v/>
      </c>
      <c r="Y347" s="28">
        <f>H347*P347</f>
        <v/>
      </c>
      <c r="Z347" s="28">
        <f>H347*Q347</f>
        <v/>
      </c>
      <c r="AA347" s="28">
        <f>SUM(U347:Z347)</f>
        <v/>
      </c>
      <c r="AB347" s="5">
        <f>IF(COUNTIF('02b_DC_Accelerator_Mix'!$A$2:$A$977,G347)&gt;0,"matched","missing_mix")</f>
        <v/>
      </c>
    </row>
    <row r="348">
      <c r="A348" s="5">
        <f>'02a_DC_Capacity_Alloc'!A348</f>
        <v/>
      </c>
      <c r="B348" s="5">
        <f>'02a_DC_Capacity_Alloc'!B348</f>
        <v/>
      </c>
      <c r="C348" s="5">
        <f>'02a_DC_Capacity_Alloc'!C348</f>
        <v/>
      </c>
      <c r="D348" s="5">
        <f>'02a_DC_Capacity_Alloc'!D348</f>
        <v/>
      </c>
      <c r="E348" s="5">
        <f>'02a_DC_Capacity_Alloc'!E348</f>
        <v/>
      </c>
      <c r="F348" s="5">
        <f>'02a_DC_Capacity_Alloc'!F348</f>
        <v/>
      </c>
      <c r="G348" s="5">
        <f>B348&amp;"|"&amp;E348&amp;"|"&amp;D348</f>
        <v/>
      </c>
      <c r="H348" s="28">
        <f>'02a_DC_Capacity_Alloc'!H348*'02a_DC_Capacity_Alloc'!I348*'02a_DC_Capacity_Alloc'!J348</f>
        <v/>
      </c>
      <c r="I348" s="6">
        <f>IFERROR(INDEX('02b_DC_Accelerator_Mix'!$F$2:$F$977,MATCH(G348,'02b_DC_Accelerator_Mix'!$A$2:$A$977,0)),0)</f>
        <v/>
      </c>
      <c r="J348" s="6">
        <f>IFERROR(INDEX('02b_DC_Accelerator_Mix'!$G$2:$G$977,MATCH(G348,'02b_DC_Accelerator_Mix'!$A$2:$A$977,0)),0)</f>
        <v/>
      </c>
      <c r="K348" s="6">
        <f>IFERROR(INDEX('02b_DC_Accelerator_Mix'!$H$2:$H$977,MATCH(G348,'02b_DC_Accelerator_Mix'!$A$2:$A$977,0)),0)</f>
        <v/>
      </c>
      <c r="L348" s="6">
        <f>IFERROR(INDEX('02b_DC_Accelerator_Mix'!$I$2:$I$977,MATCH(G348,'02b_DC_Accelerator_Mix'!$A$2:$A$977,0)),0)</f>
        <v/>
      </c>
      <c r="M348" s="6">
        <f>IFERROR(INDEX('02b_DC_Accelerator_Mix'!$J$2:$J$977,MATCH(G348,'02b_DC_Accelerator_Mix'!$A$2:$A$977,0)),0)</f>
        <v/>
      </c>
      <c r="N348" s="6">
        <f>IFERROR(INDEX('02b_DC_Accelerator_Mix'!$K$2:$K$977,MATCH(G348,'02b_DC_Accelerator_Mix'!$A$2:$A$977,0)),0)</f>
        <v/>
      </c>
      <c r="O348" s="6">
        <f>IFERROR(INDEX('02b_DC_Accelerator_Mix'!$L$2:$L$977,MATCH(G348,'02b_DC_Accelerator_Mix'!$A$2:$A$977,0)),0)</f>
        <v/>
      </c>
      <c r="P348" s="6">
        <f>IFERROR(INDEX('02b_DC_Accelerator_Mix'!$M$2:$M$977,MATCH(G348,'02b_DC_Accelerator_Mix'!$A$2:$A$977,0)),0)</f>
        <v/>
      </c>
      <c r="Q348" s="6">
        <f>IFERROR(INDEX('02b_DC_Accelerator_Mix'!$N$2:$N$977,MATCH(G348,'02b_DC_Accelerator_Mix'!$A$2:$A$977,0)),0)</f>
        <v/>
      </c>
      <c r="R348" s="28">
        <f>H348*I348</f>
        <v/>
      </c>
      <c r="S348" s="28">
        <f>H348*J348</f>
        <v/>
      </c>
      <c r="T348" s="28">
        <f>H348*K348</f>
        <v/>
      </c>
      <c r="U348" s="28">
        <f>H348*L348</f>
        <v/>
      </c>
      <c r="V348" s="28">
        <f>H348*M348</f>
        <v/>
      </c>
      <c r="W348" s="28">
        <f>H348*N348</f>
        <v/>
      </c>
      <c r="X348" s="28">
        <f>H348*O348</f>
        <v/>
      </c>
      <c r="Y348" s="28">
        <f>H348*P348</f>
        <v/>
      </c>
      <c r="Z348" s="28">
        <f>H348*Q348</f>
        <v/>
      </c>
      <c r="AA348" s="28">
        <f>SUM(U348:Z348)</f>
        <v/>
      </c>
      <c r="AB348" s="5">
        <f>IF(COUNTIF('02b_DC_Accelerator_Mix'!$A$2:$A$977,G348)&gt;0,"matched","missing_mix")</f>
        <v/>
      </c>
    </row>
    <row r="349">
      <c r="A349" s="5">
        <f>'02a_DC_Capacity_Alloc'!A349</f>
        <v/>
      </c>
      <c r="B349" s="5">
        <f>'02a_DC_Capacity_Alloc'!B349</f>
        <v/>
      </c>
      <c r="C349" s="5">
        <f>'02a_DC_Capacity_Alloc'!C349</f>
        <v/>
      </c>
      <c r="D349" s="5">
        <f>'02a_DC_Capacity_Alloc'!D349</f>
        <v/>
      </c>
      <c r="E349" s="5">
        <f>'02a_DC_Capacity_Alloc'!E349</f>
        <v/>
      </c>
      <c r="F349" s="5">
        <f>'02a_DC_Capacity_Alloc'!F349</f>
        <v/>
      </c>
      <c r="G349" s="5">
        <f>B349&amp;"|"&amp;E349&amp;"|"&amp;D349</f>
        <v/>
      </c>
      <c r="H349" s="28">
        <f>'02a_DC_Capacity_Alloc'!H349*'02a_DC_Capacity_Alloc'!I349*'02a_DC_Capacity_Alloc'!J349</f>
        <v/>
      </c>
      <c r="I349" s="6">
        <f>IFERROR(INDEX('02b_DC_Accelerator_Mix'!$F$2:$F$977,MATCH(G349,'02b_DC_Accelerator_Mix'!$A$2:$A$977,0)),0)</f>
        <v/>
      </c>
      <c r="J349" s="6">
        <f>IFERROR(INDEX('02b_DC_Accelerator_Mix'!$G$2:$G$977,MATCH(G349,'02b_DC_Accelerator_Mix'!$A$2:$A$977,0)),0)</f>
        <v/>
      </c>
      <c r="K349" s="6">
        <f>IFERROR(INDEX('02b_DC_Accelerator_Mix'!$H$2:$H$977,MATCH(G349,'02b_DC_Accelerator_Mix'!$A$2:$A$977,0)),0)</f>
        <v/>
      </c>
      <c r="L349" s="6">
        <f>IFERROR(INDEX('02b_DC_Accelerator_Mix'!$I$2:$I$977,MATCH(G349,'02b_DC_Accelerator_Mix'!$A$2:$A$977,0)),0)</f>
        <v/>
      </c>
      <c r="M349" s="6">
        <f>IFERROR(INDEX('02b_DC_Accelerator_Mix'!$J$2:$J$977,MATCH(G349,'02b_DC_Accelerator_Mix'!$A$2:$A$977,0)),0)</f>
        <v/>
      </c>
      <c r="N349" s="6">
        <f>IFERROR(INDEX('02b_DC_Accelerator_Mix'!$K$2:$K$977,MATCH(G349,'02b_DC_Accelerator_Mix'!$A$2:$A$977,0)),0)</f>
        <v/>
      </c>
      <c r="O349" s="6">
        <f>IFERROR(INDEX('02b_DC_Accelerator_Mix'!$L$2:$L$977,MATCH(G349,'02b_DC_Accelerator_Mix'!$A$2:$A$977,0)),0)</f>
        <v/>
      </c>
      <c r="P349" s="6">
        <f>IFERROR(INDEX('02b_DC_Accelerator_Mix'!$M$2:$M$977,MATCH(G349,'02b_DC_Accelerator_Mix'!$A$2:$A$977,0)),0)</f>
        <v/>
      </c>
      <c r="Q349" s="6">
        <f>IFERROR(INDEX('02b_DC_Accelerator_Mix'!$N$2:$N$977,MATCH(G349,'02b_DC_Accelerator_Mix'!$A$2:$A$977,0)),0)</f>
        <v/>
      </c>
      <c r="R349" s="28">
        <f>H349*I349</f>
        <v/>
      </c>
      <c r="S349" s="28">
        <f>H349*J349</f>
        <v/>
      </c>
      <c r="T349" s="28">
        <f>H349*K349</f>
        <v/>
      </c>
      <c r="U349" s="28">
        <f>H349*L349</f>
        <v/>
      </c>
      <c r="V349" s="28">
        <f>H349*M349</f>
        <v/>
      </c>
      <c r="W349" s="28">
        <f>H349*N349</f>
        <v/>
      </c>
      <c r="X349" s="28">
        <f>H349*O349</f>
        <v/>
      </c>
      <c r="Y349" s="28">
        <f>H349*P349</f>
        <v/>
      </c>
      <c r="Z349" s="28">
        <f>H349*Q349</f>
        <v/>
      </c>
      <c r="AA349" s="28">
        <f>SUM(U349:Z349)</f>
        <v/>
      </c>
      <c r="AB349" s="5">
        <f>IF(COUNTIF('02b_DC_Accelerator_Mix'!$A$2:$A$977,G349)&gt;0,"matched","missing_mix")</f>
        <v/>
      </c>
    </row>
    <row r="350">
      <c r="A350" s="5">
        <f>'02a_DC_Capacity_Alloc'!A350</f>
        <v/>
      </c>
      <c r="B350" s="5">
        <f>'02a_DC_Capacity_Alloc'!B350</f>
        <v/>
      </c>
      <c r="C350" s="5">
        <f>'02a_DC_Capacity_Alloc'!C350</f>
        <v/>
      </c>
      <c r="D350" s="5">
        <f>'02a_DC_Capacity_Alloc'!D350</f>
        <v/>
      </c>
      <c r="E350" s="5">
        <f>'02a_DC_Capacity_Alloc'!E350</f>
        <v/>
      </c>
      <c r="F350" s="5">
        <f>'02a_DC_Capacity_Alloc'!F350</f>
        <v/>
      </c>
      <c r="G350" s="5">
        <f>B350&amp;"|"&amp;E350&amp;"|"&amp;D350</f>
        <v/>
      </c>
      <c r="H350" s="28">
        <f>'02a_DC_Capacity_Alloc'!H350*'02a_DC_Capacity_Alloc'!I350*'02a_DC_Capacity_Alloc'!J350</f>
        <v/>
      </c>
      <c r="I350" s="6">
        <f>IFERROR(INDEX('02b_DC_Accelerator_Mix'!$F$2:$F$977,MATCH(G350,'02b_DC_Accelerator_Mix'!$A$2:$A$977,0)),0)</f>
        <v/>
      </c>
      <c r="J350" s="6">
        <f>IFERROR(INDEX('02b_DC_Accelerator_Mix'!$G$2:$G$977,MATCH(G350,'02b_DC_Accelerator_Mix'!$A$2:$A$977,0)),0)</f>
        <v/>
      </c>
      <c r="K350" s="6">
        <f>IFERROR(INDEX('02b_DC_Accelerator_Mix'!$H$2:$H$977,MATCH(G350,'02b_DC_Accelerator_Mix'!$A$2:$A$977,0)),0)</f>
        <v/>
      </c>
      <c r="L350" s="6">
        <f>IFERROR(INDEX('02b_DC_Accelerator_Mix'!$I$2:$I$977,MATCH(G350,'02b_DC_Accelerator_Mix'!$A$2:$A$977,0)),0)</f>
        <v/>
      </c>
      <c r="M350" s="6">
        <f>IFERROR(INDEX('02b_DC_Accelerator_Mix'!$J$2:$J$977,MATCH(G350,'02b_DC_Accelerator_Mix'!$A$2:$A$977,0)),0)</f>
        <v/>
      </c>
      <c r="N350" s="6">
        <f>IFERROR(INDEX('02b_DC_Accelerator_Mix'!$K$2:$K$977,MATCH(G350,'02b_DC_Accelerator_Mix'!$A$2:$A$977,0)),0)</f>
        <v/>
      </c>
      <c r="O350" s="6">
        <f>IFERROR(INDEX('02b_DC_Accelerator_Mix'!$L$2:$L$977,MATCH(G350,'02b_DC_Accelerator_Mix'!$A$2:$A$977,0)),0)</f>
        <v/>
      </c>
      <c r="P350" s="6">
        <f>IFERROR(INDEX('02b_DC_Accelerator_Mix'!$M$2:$M$977,MATCH(G350,'02b_DC_Accelerator_Mix'!$A$2:$A$977,0)),0)</f>
        <v/>
      </c>
      <c r="Q350" s="6">
        <f>IFERROR(INDEX('02b_DC_Accelerator_Mix'!$N$2:$N$977,MATCH(G350,'02b_DC_Accelerator_Mix'!$A$2:$A$977,0)),0)</f>
        <v/>
      </c>
      <c r="R350" s="28">
        <f>H350*I350</f>
        <v/>
      </c>
      <c r="S350" s="28">
        <f>H350*J350</f>
        <v/>
      </c>
      <c r="T350" s="28">
        <f>H350*K350</f>
        <v/>
      </c>
      <c r="U350" s="28">
        <f>H350*L350</f>
        <v/>
      </c>
      <c r="V350" s="28">
        <f>H350*M350</f>
        <v/>
      </c>
      <c r="W350" s="28">
        <f>H350*N350</f>
        <v/>
      </c>
      <c r="X350" s="28">
        <f>H350*O350</f>
        <v/>
      </c>
      <c r="Y350" s="28">
        <f>H350*P350</f>
        <v/>
      </c>
      <c r="Z350" s="28">
        <f>H350*Q350</f>
        <v/>
      </c>
      <c r="AA350" s="28">
        <f>SUM(U350:Z350)</f>
        <v/>
      </c>
      <c r="AB350" s="5">
        <f>IF(COUNTIF('02b_DC_Accelerator_Mix'!$A$2:$A$977,G350)&gt;0,"matched","missing_mix")</f>
        <v/>
      </c>
    </row>
    <row r="351">
      <c r="A351" s="5">
        <f>'02a_DC_Capacity_Alloc'!A351</f>
        <v/>
      </c>
      <c r="B351" s="5">
        <f>'02a_DC_Capacity_Alloc'!B351</f>
        <v/>
      </c>
      <c r="C351" s="5">
        <f>'02a_DC_Capacity_Alloc'!C351</f>
        <v/>
      </c>
      <c r="D351" s="5">
        <f>'02a_DC_Capacity_Alloc'!D351</f>
        <v/>
      </c>
      <c r="E351" s="5">
        <f>'02a_DC_Capacity_Alloc'!E351</f>
        <v/>
      </c>
      <c r="F351" s="5">
        <f>'02a_DC_Capacity_Alloc'!F351</f>
        <v/>
      </c>
      <c r="G351" s="5">
        <f>B351&amp;"|"&amp;E351&amp;"|"&amp;D351</f>
        <v/>
      </c>
      <c r="H351" s="28">
        <f>'02a_DC_Capacity_Alloc'!H351*'02a_DC_Capacity_Alloc'!I351*'02a_DC_Capacity_Alloc'!J351</f>
        <v/>
      </c>
      <c r="I351" s="6">
        <f>IFERROR(INDEX('02b_DC_Accelerator_Mix'!$F$2:$F$977,MATCH(G351,'02b_DC_Accelerator_Mix'!$A$2:$A$977,0)),0)</f>
        <v/>
      </c>
      <c r="J351" s="6">
        <f>IFERROR(INDEX('02b_DC_Accelerator_Mix'!$G$2:$G$977,MATCH(G351,'02b_DC_Accelerator_Mix'!$A$2:$A$977,0)),0)</f>
        <v/>
      </c>
      <c r="K351" s="6">
        <f>IFERROR(INDEX('02b_DC_Accelerator_Mix'!$H$2:$H$977,MATCH(G351,'02b_DC_Accelerator_Mix'!$A$2:$A$977,0)),0)</f>
        <v/>
      </c>
      <c r="L351" s="6">
        <f>IFERROR(INDEX('02b_DC_Accelerator_Mix'!$I$2:$I$977,MATCH(G351,'02b_DC_Accelerator_Mix'!$A$2:$A$977,0)),0)</f>
        <v/>
      </c>
      <c r="M351" s="6">
        <f>IFERROR(INDEX('02b_DC_Accelerator_Mix'!$J$2:$J$977,MATCH(G351,'02b_DC_Accelerator_Mix'!$A$2:$A$977,0)),0)</f>
        <v/>
      </c>
      <c r="N351" s="6">
        <f>IFERROR(INDEX('02b_DC_Accelerator_Mix'!$K$2:$K$977,MATCH(G351,'02b_DC_Accelerator_Mix'!$A$2:$A$977,0)),0)</f>
        <v/>
      </c>
      <c r="O351" s="6">
        <f>IFERROR(INDEX('02b_DC_Accelerator_Mix'!$L$2:$L$977,MATCH(G351,'02b_DC_Accelerator_Mix'!$A$2:$A$977,0)),0)</f>
        <v/>
      </c>
      <c r="P351" s="6">
        <f>IFERROR(INDEX('02b_DC_Accelerator_Mix'!$M$2:$M$977,MATCH(G351,'02b_DC_Accelerator_Mix'!$A$2:$A$977,0)),0)</f>
        <v/>
      </c>
      <c r="Q351" s="6">
        <f>IFERROR(INDEX('02b_DC_Accelerator_Mix'!$N$2:$N$977,MATCH(G351,'02b_DC_Accelerator_Mix'!$A$2:$A$977,0)),0)</f>
        <v/>
      </c>
      <c r="R351" s="28">
        <f>H351*I351</f>
        <v/>
      </c>
      <c r="S351" s="28">
        <f>H351*J351</f>
        <v/>
      </c>
      <c r="T351" s="28">
        <f>H351*K351</f>
        <v/>
      </c>
      <c r="U351" s="28">
        <f>H351*L351</f>
        <v/>
      </c>
      <c r="V351" s="28">
        <f>H351*M351</f>
        <v/>
      </c>
      <c r="W351" s="28">
        <f>H351*N351</f>
        <v/>
      </c>
      <c r="X351" s="28">
        <f>H351*O351</f>
        <v/>
      </c>
      <c r="Y351" s="28">
        <f>H351*P351</f>
        <v/>
      </c>
      <c r="Z351" s="28">
        <f>H351*Q351</f>
        <v/>
      </c>
      <c r="AA351" s="28">
        <f>SUM(U351:Z351)</f>
        <v/>
      </c>
      <c r="AB351" s="5">
        <f>IF(COUNTIF('02b_DC_Accelerator_Mix'!$A$2:$A$977,G351)&gt;0,"matched","missing_mix")</f>
        <v/>
      </c>
    </row>
    <row r="352">
      <c r="A352" s="5">
        <f>'02a_DC_Capacity_Alloc'!A352</f>
        <v/>
      </c>
      <c r="B352" s="5">
        <f>'02a_DC_Capacity_Alloc'!B352</f>
        <v/>
      </c>
      <c r="C352" s="5">
        <f>'02a_DC_Capacity_Alloc'!C352</f>
        <v/>
      </c>
      <c r="D352" s="5">
        <f>'02a_DC_Capacity_Alloc'!D352</f>
        <v/>
      </c>
      <c r="E352" s="5">
        <f>'02a_DC_Capacity_Alloc'!E352</f>
        <v/>
      </c>
      <c r="F352" s="5">
        <f>'02a_DC_Capacity_Alloc'!F352</f>
        <v/>
      </c>
      <c r="G352" s="5">
        <f>B352&amp;"|"&amp;E352&amp;"|"&amp;D352</f>
        <v/>
      </c>
      <c r="H352" s="28">
        <f>'02a_DC_Capacity_Alloc'!H352*'02a_DC_Capacity_Alloc'!I352*'02a_DC_Capacity_Alloc'!J352</f>
        <v/>
      </c>
      <c r="I352" s="6">
        <f>IFERROR(INDEX('02b_DC_Accelerator_Mix'!$F$2:$F$977,MATCH(G352,'02b_DC_Accelerator_Mix'!$A$2:$A$977,0)),0)</f>
        <v/>
      </c>
      <c r="J352" s="6">
        <f>IFERROR(INDEX('02b_DC_Accelerator_Mix'!$G$2:$G$977,MATCH(G352,'02b_DC_Accelerator_Mix'!$A$2:$A$977,0)),0)</f>
        <v/>
      </c>
      <c r="K352" s="6">
        <f>IFERROR(INDEX('02b_DC_Accelerator_Mix'!$H$2:$H$977,MATCH(G352,'02b_DC_Accelerator_Mix'!$A$2:$A$977,0)),0)</f>
        <v/>
      </c>
      <c r="L352" s="6">
        <f>IFERROR(INDEX('02b_DC_Accelerator_Mix'!$I$2:$I$977,MATCH(G352,'02b_DC_Accelerator_Mix'!$A$2:$A$977,0)),0)</f>
        <v/>
      </c>
      <c r="M352" s="6">
        <f>IFERROR(INDEX('02b_DC_Accelerator_Mix'!$J$2:$J$977,MATCH(G352,'02b_DC_Accelerator_Mix'!$A$2:$A$977,0)),0)</f>
        <v/>
      </c>
      <c r="N352" s="6">
        <f>IFERROR(INDEX('02b_DC_Accelerator_Mix'!$K$2:$K$977,MATCH(G352,'02b_DC_Accelerator_Mix'!$A$2:$A$977,0)),0)</f>
        <v/>
      </c>
      <c r="O352" s="6">
        <f>IFERROR(INDEX('02b_DC_Accelerator_Mix'!$L$2:$L$977,MATCH(G352,'02b_DC_Accelerator_Mix'!$A$2:$A$977,0)),0)</f>
        <v/>
      </c>
      <c r="P352" s="6">
        <f>IFERROR(INDEX('02b_DC_Accelerator_Mix'!$M$2:$M$977,MATCH(G352,'02b_DC_Accelerator_Mix'!$A$2:$A$977,0)),0)</f>
        <v/>
      </c>
      <c r="Q352" s="6">
        <f>IFERROR(INDEX('02b_DC_Accelerator_Mix'!$N$2:$N$977,MATCH(G352,'02b_DC_Accelerator_Mix'!$A$2:$A$977,0)),0)</f>
        <v/>
      </c>
      <c r="R352" s="28">
        <f>H352*I352</f>
        <v/>
      </c>
      <c r="S352" s="28">
        <f>H352*J352</f>
        <v/>
      </c>
      <c r="T352" s="28">
        <f>H352*K352</f>
        <v/>
      </c>
      <c r="U352" s="28">
        <f>H352*L352</f>
        <v/>
      </c>
      <c r="V352" s="28">
        <f>H352*M352</f>
        <v/>
      </c>
      <c r="W352" s="28">
        <f>H352*N352</f>
        <v/>
      </c>
      <c r="X352" s="28">
        <f>H352*O352</f>
        <v/>
      </c>
      <c r="Y352" s="28">
        <f>H352*P352</f>
        <v/>
      </c>
      <c r="Z352" s="28">
        <f>H352*Q352</f>
        <v/>
      </c>
      <c r="AA352" s="28">
        <f>SUM(U352:Z352)</f>
        <v/>
      </c>
      <c r="AB352" s="5">
        <f>IF(COUNTIF('02b_DC_Accelerator_Mix'!$A$2:$A$977,G352)&gt;0,"matched","missing_mix")</f>
        <v/>
      </c>
    </row>
    <row r="353">
      <c r="A353" s="5">
        <f>'02a_DC_Capacity_Alloc'!A353</f>
        <v/>
      </c>
      <c r="B353" s="5">
        <f>'02a_DC_Capacity_Alloc'!B353</f>
        <v/>
      </c>
      <c r="C353" s="5">
        <f>'02a_DC_Capacity_Alloc'!C353</f>
        <v/>
      </c>
      <c r="D353" s="5">
        <f>'02a_DC_Capacity_Alloc'!D353</f>
        <v/>
      </c>
      <c r="E353" s="5">
        <f>'02a_DC_Capacity_Alloc'!E353</f>
        <v/>
      </c>
      <c r="F353" s="5">
        <f>'02a_DC_Capacity_Alloc'!F353</f>
        <v/>
      </c>
      <c r="G353" s="5">
        <f>B353&amp;"|"&amp;E353&amp;"|"&amp;D353</f>
        <v/>
      </c>
      <c r="H353" s="28">
        <f>'02a_DC_Capacity_Alloc'!H353*'02a_DC_Capacity_Alloc'!I353*'02a_DC_Capacity_Alloc'!J353</f>
        <v/>
      </c>
      <c r="I353" s="6">
        <f>IFERROR(INDEX('02b_DC_Accelerator_Mix'!$F$2:$F$977,MATCH(G353,'02b_DC_Accelerator_Mix'!$A$2:$A$977,0)),0)</f>
        <v/>
      </c>
      <c r="J353" s="6">
        <f>IFERROR(INDEX('02b_DC_Accelerator_Mix'!$G$2:$G$977,MATCH(G353,'02b_DC_Accelerator_Mix'!$A$2:$A$977,0)),0)</f>
        <v/>
      </c>
      <c r="K353" s="6">
        <f>IFERROR(INDEX('02b_DC_Accelerator_Mix'!$H$2:$H$977,MATCH(G353,'02b_DC_Accelerator_Mix'!$A$2:$A$977,0)),0)</f>
        <v/>
      </c>
      <c r="L353" s="6">
        <f>IFERROR(INDEX('02b_DC_Accelerator_Mix'!$I$2:$I$977,MATCH(G353,'02b_DC_Accelerator_Mix'!$A$2:$A$977,0)),0)</f>
        <v/>
      </c>
      <c r="M353" s="6">
        <f>IFERROR(INDEX('02b_DC_Accelerator_Mix'!$J$2:$J$977,MATCH(G353,'02b_DC_Accelerator_Mix'!$A$2:$A$977,0)),0)</f>
        <v/>
      </c>
      <c r="N353" s="6">
        <f>IFERROR(INDEX('02b_DC_Accelerator_Mix'!$K$2:$K$977,MATCH(G353,'02b_DC_Accelerator_Mix'!$A$2:$A$977,0)),0)</f>
        <v/>
      </c>
      <c r="O353" s="6">
        <f>IFERROR(INDEX('02b_DC_Accelerator_Mix'!$L$2:$L$977,MATCH(G353,'02b_DC_Accelerator_Mix'!$A$2:$A$977,0)),0)</f>
        <v/>
      </c>
      <c r="P353" s="6">
        <f>IFERROR(INDEX('02b_DC_Accelerator_Mix'!$M$2:$M$977,MATCH(G353,'02b_DC_Accelerator_Mix'!$A$2:$A$977,0)),0)</f>
        <v/>
      </c>
      <c r="Q353" s="6">
        <f>IFERROR(INDEX('02b_DC_Accelerator_Mix'!$N$2:$N$977,MATCH(G353,'02b_DC_Accelerator_Mix'!$A$2:$A$977,0)),0)</f>
        <v/>
      </c>
      <c r="R353" s="28">
        <f>H353*I353</f>
        <v/>
      </c>
      <c r="S353" s="28">
        <f>H353*J353</f>
        <v/>
      </c>
      <c r="T353" s="28">
        <f>H353*K353</f>
        <v/>
      </c>
      <c r="U353" s="28">
        <f>H353*L353</f>
        <v/>
      </c>
      <c r="V353" s="28">
        <f>H353*M353</f>
        <v/>
      </c>
      <c r="W353" s="28">
        <f>H353*N353</f>
        <v/>
      </c>
      <c r="X353" s="28">
        <f>H353*O353</f>
        <v/>
      </c>
      <c r="Y353" s="28">
        <f>H353*P353</f>
        <v/>
      </c>
      <c r="Z353" s="28">
        <f>H353*Q353</f>
        <v/>
      </c>
      <c r="AA353" s="28">
        <f>SUM(U353:Z353)</f>
        <v/>
      </c>
      <c r="AB353" s="5">
        <f>IF(COUNTIF('02b_DC_Accelerator_Mix'!$A$2:$A$977,G353)&gt;0,"matched","missing_mix")</f>
        <v/>
      </c>
    </row>
    <row r="354">
      <c r="A354" s="5">
        <f>'02a_DC_Capacity_Alloc'!A354</f>
        <v/>
      </c>
      <c r="B354" s="5">
        <f>'02a_DC_Capacity_Alloc'!B354</f>
        <v/>
      </c>
      <c r="C354" s="5">
        <f>'02a_DC_Capacity_Alloc'!C354</f>
        <v/>
      </c>
      <c r="D354" s="5">
        <f>'02a_DC_Capacity_Alloc'!D354</f>
        <v/>
      </c>
      <c r="E354" s="5">
        <f>'02a_DC_Capacity_Alloc'!E354</f>
        <v/>
      </c>
      <c r="F354" s="5">
        <f>'02a_DC_Capacity_Alloc'!F354</f>
        <v/>
      </c>
      <c r="G354" s="5">
        <f>B354&amp;"|"&amp;E354&amp;"|"&amp;D354</f>
        <v/>
      </c>
      <c r="H354" s="28">
        <f>'02a_DC_Capacity_Alloc'!H354*'02a_DC_Capacity_Alloc'!I354*'02a_DC_Capacity_Alloc'!J354</f>
        <v/>
      </c>
      <c r="I354" s="6">
        <f>IFERROR(INDEX('02b_DC_Accelerator_Mix'!$F$2:$F$977,MATCH(G354,'02b_DC_Accelerator_Mix'!$A$2:$A$977,0)),0)</f>
        <v/>
      </c>
      <c r="J354" s="6">
        <f>IFERROR(INDEX('02b_DC_Accelerator_Mix'!$G$2:$G$977,MATCH(G354,'02b_DC_Accelerator_Mix'!$A$2:$A$977,0)),0)</f>
        <v/>
      </c>
      <c r="K354" s="6">
        <f>IFERROR(INDEX('02b_DC_Accelerator_Mix'!$H$2:$H$977,MATCH(G354,'02b_DC_Accelerator_Mix'!$A$2:$A$977,0)),0)</f>
        <v/>
      </c>
      <c r="L354" s="6">
        <f>IFERROR(INDEX('02b_DC_Accelerator_Mix'!$I$2:$I$977,MATCH(G354,'02b_DC_Accelerator_Mix'!$A$2:$A$977,0)),0)</f>
        <v/>
      </c>
      <c r="M354" s="6">
        <f>IFERROR(INDEX('02b_DC_Accelerator_Mix'!$J$2:$J$977,MATCH(G354,'02b_DC_Accelerator_Mix'!$A$2:$A$977,0)),0)</f>
        <v/>
      </c>
      <c r="N354" s="6">
        <f>IFERROR(INDEX('02b_DC_Accelerator_Mix'!$K$2:$K$977,MATCH(G354,'02b_DC_Accelerator_Mix'!$A$2:$A$977,0)),0)</f>
        <v/>
      </c>
      <c r="O354" s="6">
        <f>IFERROR(INDEX('02b_DC_Accelerator_Mix'!$L$2:$L$977,MATCH(G354,'02b_DC_Accelerator_Mix'!$A$2:$A$977,0)),0)</f>
        <v/>
      </c>
      <c r="P354" s="6">
        <f>IFERROR(INDEX('02b_DC_Accelerator_Mix'!$M$2:$M$977,MATCH(G354,'02b_DC_Accelerator_Mix'!$A$2:$A$977,0)),0)</f>
        <v/>
      </c>
      <c r="Q354" s="6">
        <f>IFERROR(INDEX('02b_DC_Accelerator_Mix'!$N$2:$N$977,MATCH(G354,'02b_DC_Accelerator_Mix'!$A$2:$A$977,0)),0)</f>
        <v/>
      </c>
      <c r="R354" s="28">
        <f>H354*I354</f>
        <v/>
      </c>
      <c r="S354" s="28">
        <f>H354*J354</f>
        <v/>
      </c>
      <c r="T354" s="28">
        <f>H354*K354</f>
        <v/>
      </c>
      <c r="U354" s="28">
        <f>H354*L354</f>
        <v/>
      </c>
      <c r="V354" s="28">
        <f>H354*M354</f>
        <v/>
      </c>
      <c r="W354" s="28">
        <f>H354*N354</f>
        <v/>
      </c>
      <c r="X354" s="28">
        <f>H354*O354</f>
        <v/>
      </c>
      <c r="Y354" s="28">
        <f>H354*P354</f>
        <v/>
      </c>
      <c r="Z354" s="28">
        <f>H354*Q354</f>
        <v/>
      </c>
      <c r="AA354" s="28">
        <f>SUM(U354:Z354)</f>
        <v/>
      </c>
      <c r="AB354" s="5">
        <f>IF(COUNTIF('02b_DC_Accelerator_Mix'!$A$2:$A$977,G354)&gt;0,"matched","missing_mix")</f>
        <v/>
      </c>
    </row>
    <row r="355">
      <c r="A355" s="5">
        <f>'02a_DC_Capacity_Alloc'!A355</f>
        <v/>
      </c>
      <c r="B355" s="5">
        <f>'02a_DC_Capacity_Alloc'!B355</f>
        <v/>
      </c>
      <c r="C355" s="5">
        <f>'02a_DC_Capacity_Alloc'!C355</f>
        <v/>
      </c>
      <c r="D355" s="5">
        <f>'02a_DC_Capacity_Alloc'!D355</f>
        <v/>
      </c>
      <c r="E355" s="5">
        <f>'02a_DC_Capacity_Alloc'!E355</f>
        <v/>
      </c>
      <c r="F355" s="5">
        <f>'02a_DC_Capacity_Alloc'!F355</f>
        <v/>
      </c>
      <c r="G355" s="5">
        <f>B355&amp;"|"&amp;E355&amp;"|"&amp;D355</f>
        <v/>
      </c>
      <c r="H355" s="28">
        <f>'02a_DC_Capacity_Alloc'!H355*'02a_DC_Capacity_Alloc'!I355*'02a_DC_Capacity_Alloc'!J355</f>
        <v/>
      </c>
      <c r="I355" s="6">
        <f>IFERROR(INDEX('02b_DC_Accelerator_Mix'!$F$2:$F$977,MATCH(G355,'02b_DC_Accelerator_Mix'!$A$2:$A$977,0)),0)</f>
        <v/>
      </c>
      <c r="J355" s="6">
        <f>IFERROR(INDEX('02b_DC_Accelerator_Mix'!$G$2:$G$977,MATCH(G355,'02b_DC_Accelerator_Mix'!$A$2:$A$977,0)),0)</f>
        <v/>
      </c>
      <c r="K355" s="6">
        <f>IFERROR(INDEX('02b_DC_Accelerator_Mix'!$H$2:$H$977,MATCH(G355,'02b_DC_Accelerator_Mix'!$A$2:$A$977,0)),0)</f>
        <v/>
      </c>
      <c r="L355" s="6">
        <f>IFERROR(INDEX('02b_DC_Accelerator_Mix'!$I$2:$I$977,MATCH(G355,'02b_DC_Accelerator_Mix'!$A$2:$A$977,0)),0)</f>
        <v/>
      </c>
      <c r="M355" s="6">
        <f>IFERROR(INDEX('02b_DC_Accelerator_Mix'!$J$2:$J$977,MATCH(G355,'02b_DC_Accelerator_Mix'!$A$2:$A$977,0)),0)</f>
        <v/>
      </c>
      <c r="N355" s="6">
        <f>IFERROR(INDEX('02b_DC_Accelerator_Mix'!$K$2:$K$977,MATCH(G355,'02b_DC_Accelerator_Mix'!$A$2:$A$977,0)),0)</f>
        <v/>
      </c>
      <c r="O355" s="6">
        <f>IFERROR(INDEX('02b_DC_Accelerator_Mix'!$L$2:$L$977,MATCH(G355,'02b_DC_Accelerator_Mix'!$A$2:$A$977,0)),0)</f>
        <v/>
      </c>
      <c r="P355" s="6">
        <f>IFERROR(INDEX('02b_DC_Accelerator_Mix'!$M$2:$M$977,MATCH(G355,'02b_DC_Accelerator_Mix'!$A$2:$A$977,0)),0)</f>
        <v/>
      </c>
      <c r="Q355" s="6">
        <f>IFERROR(INDEX('02b_DC_Accelerator_Mix'!$N$2:$N$977,MATCH(G355,'02b_DC_Accelerator_Mix'!$A$2:$A$977,0)),0)</f>
        <v/>
      </c>
      <c r="R355" s="28">
        <f>H355*I355</f>
        <v/>
      </c>
      <c r="S355" s="28">
        <f>H355*J355</f>
        <v/>
      </c>
      <c r="T355" s="28">
        <f>H355*K355</f>
        <v/>
      </c>
      <c r="U355" s="28">
        <f>H355*L355</f>
        <v/>
      </c>
      <c r="V355" s="28">
        <f>H355*M355</f>
        <v/>
      </c>
      <c r="W355" s="28">
        <f>H355*N355</f>
        <v/>
      </c>
      <c r="X355" s="28">
        <f>H355*O355</f>
        <v/>
      </c>
      <c r="Y355" s="28">
        <f>H355*P355</f>
        <v/>
      </c>
      <c r="Z355" s="28">
        <f>H355*Q355</f>
        <v/>
      </c>
      <c r="AA355" s="28">
        <f>SUM(U355:Z355)</f>
        <v/>
      </c>
      <c r="AB355" s="5">
        <f>IF(COUNTIF('02b_DC_Accelerator_Mix'!$A$2:$A$977,G355)&gt;0,"matched","missing_mix")</f>
        <v/>
      </c>
    </row>
    <row r="356">
      <c r="A356" s="5">
        <f>'02a_DC_Capacity_Alloc'!A356</f>
        <v/>
      </c>
      <c r="B356" s="5">
        <f>'02a_DC_Capacity_Alloc'!B356</f>
        <v/>
      </c>
      <c r="C356" s="5">
        <f>'02a_DC_Capacity_Alloc'!C356</f>
        <v/>
      </c>
      <c r="D356" s="5">
        <f>'02a_DC_Capacity_Alloc'!D356</f>
        <v/>
      </c>
      <c r="E356" s="5">
        <f>'02a_DC_Capacity_Alloc'!E356</f>
        <v/>
      </c>
      <c r="F356" s="5">
        <f>'02a_DC_Capacity_Alloc'!F356</f>
        <v/>
      </c>
      <c r="G356" s="5">
        <f>B356&amp;"|"&amp;E356&amp;"|"&amp;D356</f>
        <v/>
      </c>
      <c r="H356" s="28">
        <f>'02a_DC_Capacity_Alloc'!H356*'02a_DC_Capacity_Alloc'!I356*'02a_DC_Capacity_Alloc'!J356</f>
        <v/>
      </c>
      <c r="I356" s="6">
        <f>IFERROR(INDEX('02b_DC_Accelerator_Mix'!$F$2:$F$977,MATCH(G356,'02b_DC_Accelerator_Mix'!$A$2:$A$977,0)),0)</f>
        <v/>
      </c>
      <c r="J356" s="6">
        <f>IFERROR(INDEX('02b_DC_Accelerator_Mix'!$G$2:$G$977,MATCH(G356,'02b_DC_Accelerator_Mix'!$A$2:$A$977,0)),0)</f>
        <v/>
      </c>
      <c r="K356" s="6">
        <f>IFERROR(INDEX('02b_DC_Accelerator_Mix'!$H$2:$H$977,MATCH(G356,'02b_DC_Accelerator_Mix'!$A$2:$A$977,0)),0)</f>
        <v/>
      </c>
      <c r="L356" s="6">
        <f>IFERROR(INDEX('02b_DC_Accelerator_Mix'!$I$2:$I$977,MATCH(G356,'02b_DC_Accelerator_Mix'!$A$2:$A$977,0)),0)</f>
        <v/>
      </c>
      <c r="M356" s="6">
        <f>IFERROR(INDEX('02b_DC_Accelerator_Mix'!$J$2:$J$977,MATCH(G356,'02b_DC_Accelerator_Mix'!$A$2:$A$977,0)),0)</f>
        <v/>
      </c>
      <c r="N356" s="6">
        <f>IFERROR(INDEX('02b_DC_Accelerator_Mix'!$K$2:$K$977,MATCH(G356,'02b_DC_Accelerator_Mix'!$A$2:$A$977,0)),0)</f>
        <v/>
      </c>
      <c r="O356" s="6">
        <f>IFERROR(INDEX('02b_DC_Accelerator_Mix'!$L$2:$L$977,MATCH(G356,'02b_DC_Accelerator_Mix'!$A$2:$A$977,0)),0)</f>
        <v/>
      </c>
      <c r="P356" s="6">
        <f>IFERROR(INDEX('02b_DC_Accelerator_Mix'!$M$2:$M$977,MATCH(G356,'02b_DC_Accelerator_Mix'!$A$2:$A$977,0)),0)</f>
        <v/>
      </c>
      <c r="Q356" s="6">
        <f>IFERROR(INDEX('02b_DC_Accelerator_Mix'!$N$2:$N$977,MATCH(G356,'02b_DC_Accelerator_Mix'!$A$2:$A$977,0)),0)</f>
        <v/>
      </c>
      <c r="R356" s="28">
        <f>H356*I356</f>
        <v/>
      </c>
      <c r="S356" s="28">
        <f>H356*J356</f>
        <v/>
      </c>
      <c r="T356" s="28">
        <f>H356*K356</f>
        <v/>
      </c>
      <c r="U356" s="28">
        <f>H356*L356</f>
        <v/>
      </c>
      <c r="V356" s="28">
        <f>H356*M356</f>
        <v/>
      </c>
      <c r="W356" s="28">
        <f>H356*N356</f>
        <v/>
      </c>
      <c r="X356" s="28">
        <f>H356*O356</f>
        <v/>
      </c>
      <c r="Y356" s="28">
        <f>H356*P356</f>
        <v/>
      </c>
      <c r="Z356" s="28">
        <f>H356*Q356</f>
        <v/>
      </c>
      <c r="AA356" s="28">
        <f>SUM(U356:Z356)</f>
        <v/>
      </c>
      <c r="AB356" s="5">
        <f>IF(COUNTIF('02b_DC_Accelerator_Mix'!$A$2:$A$977,G356)&gt;0,"matched","missing_mix")</f>
        <v/>
      </c>
    </row>
    <row r="357">
      <c r="A357" s="5">
        <f>'02a_DC_Capacity_Alloc'!A357</f>
        <v/>
      </c>
      <c r="B357" s="5">
        <f>'02a_DC_Capacity_Alloc'!B357</f>
        <v/>
      </c>
      <c r="C357" s="5">
        <f>'02a_DC_Capacity_Alloc'!C357</f>
        <v/>
      </c>
      <c r="D357" s="5">
        <f>'02a_DC_Capacity_Alloc'!D357</f>
        <v/>
      </c>
      <c r="E357" s="5">
        <f>'02a_DC_Capacity_Alloc'!E357</f>
        <v/>
      </c>
      <c r="F357" s="5">
        <f>'02a_DC_Capacity_Alloc'!F357</f>
        <v/>
      </c>
      <c r="G357" s="5">
        <f>B357&amp;"|"&amp;E357&amp;"|"&amp;D357</f>
        <v/>
      </c>
      <c r="H357" s="28">
        <f>'02a_DC_Capacity_Alloc'!H357*'02a_DC_Capacity_Alloc'!I357*'02a_DC_Capacity_Alloc'!J357</f>
        <v/>
      </c>
      <c r="I357" s="6">
        <f>IFERROR(INDEX('02b_DC_Accelerator_Mix'!$F$2:$F$977,MATCH(G357,'02b_DC_Accelerator_Mix'!$A$2:$A$977,0)),0)</f>
        <v/>
      </c>
      <c r="J357" s="6">
        <f>IFERROR(INDEX('02b_DC_Accelerator_Mix'!$G$2:$G$977,MATCH(G357,'02b_DC_Accelerator_Mix'!$A$2:$A$977,0)),0)</f>
        <v/>
      </c>
      <c r="K357" s="6">
        <f>IFERROR(INDEX('02b_DC_Accelerator_Mix'!$H$2:$H$977,MATCH(G357,'02b_DC_Accelerator_Mix'!$A$2:$A$977,0)),0)</f>
        <v/>
      </c>
      <c r="L357" s="6">
        <f>IFERROR(INDEX('02b_DC_Accelerator_Mix'!$I$2:$I$977,MATCH(G357,'02b_DC_Accelerator_Mix'!$A$2:$A$977,0)),0)</f>
        <v/>
      </c>
      <c r="M357" s="6">
        <f>IFERROR(INDEX('02b_DC_Accelerator_Mix'!$J$2:$J$977,MATCH(G357,'02b_DC_Accelerator_Mix'!$A$2:$A$977,0)),0)</f>
        <v/>
      </c>
      <c r="N357" s="6">
        <f>IFERROR(INDEX('02b_DC_Accelerator_Mix'!$K$2:$K$977,MATCH(G357,'02b_DC_Accelerator_Mix'!$A$2:$A$977,0)),0)</f>
        <v/>
      </c>
      <c r="O357" s="6">
        <f>IFERROR(INDEX('02b_DC_Accelerator_Mix'!$L$2:$L$977,MATCH(G357,'02b_DC_Accelerator_Mix'!$A$2:$A$977,0)),0)</f>
        <v/>
      </c>
      <c r="P357" s="6">
        <f>IFERROR(INDEX('02b_DC_Accelerator_Mix'!$M$2:$M$977,MATCH(G357,'02b_DC_Accelerator_Mix'!$A$2:$A$977,0)),0)</f>
        <v/>
      </c>
      <c r="Q357" s="6">
        <f>IFERROR(INDEX('02b_DC_Accelerator_Mix'!$N$2:$N$977,MATCH(G357,'02b_DC_Accelerator_Mix'!$A$2:$A$977,0)),0)</f>
        <v/>
      </c>
      <c r="R357" s="28">
        <f>H357*I357</f>
        <v/>
      </c>
      <c r="S357" s="28">
        <f>H357*J357</f>
        <v/>
      </c>
      <c r="T357" s="28">
        <f>H357*K357</f>
        <v/>
      </c>
      <c r="U357" s="28">
        <f>H357*L357</f>
        <v/>
      </c>
      <c r="V357" s="28">
        <f>H357*M357</f>
        <v/>
      </c>
      <c r="W357" s="28">
        <f>H357*N357</f>
        <v/>
      </c>
      <c r="X357" s="28">
        <f>H357*O357</f>
        <v/>
      </c>
      <c r="Y357" s="28">
        <f>H357*P357</f>
        <v/>
      </c>
      <c r="Z357" s="28">
        <f>H357*Q357</f>
        <v/>
      </c>
      <c r="AA357" s="28">
        <f>SUM(U357:Z357)</f>
        <v/>
      </c>
      <c r="AB357" s="5">
        <f>IF(COUNTIF('02b_DC_Accelerator_Mix'!$A$2:$A$977,G357)&gt;0,"matched","missing_mix")</f>
        <v/>
      </c>
    </row>
    <row r="358">
      <c r="A358" s="5">
        <f>'02a_DC_Capacity_Alloc'!A358</f>
        <v/>
      </c>
      <c r="B358" s="5">
        <f>'02a_DC_Capacity_Alloc'!B358</f>
        <v/>
      </c>
      <c r="C358" s="5">
        <f>'02a_DC_Capacity_Alloc'!C358</f>
        <v/>
      </c>
      <c r="D358" s="5">
        <f>'02a_DC_Capacity_Alloc'!D358</f>
        <v/>
      </c>
      <c r="E358" s="5">
        <f>'02a_DC_Capacity_Alloc'!E358</f>
        <v/>
      </c>
      <c r="F358" s="5">
        <f>'02a_DC_Capacity_Alloc'!F358</f>
        <v/>
      </c>
      <c r="G358" s="5">
        <f>B358&amp;"|"&amp;E358&amp;"|"&amp;D358</f>
        <v/>
      </c>
      <c r="H358" s="28">
        <f>'02a_DC_Capacity_Alloc'!H358*'02a_DC_Capacity_Alloc'!I358*'02a_DC_Capacity_Alloc'!J358</f>
        <v/>
      </c>
      <c r="I358" s="6">
        <f>IFERROR(INDEX('02b_DC_Accelerator_Mix'!$F$2:$F$977,MATCH(G358,'02b_DC_Accelerator_Mix'!$A$2:$A$977,0)),0)</f>
        <v/>
      </c>
      <c r="J358" s="6">
        <f>IFERROR(INDEX('02b_DC_Accelerator_Mix'!$G$2:$G$977,MATCH(G358,'02b_DC_Accelerator_Mix'!$A$2:$A$977,0)),0)</f>
        <v/>
      </c>
      <c r="K358" s="6">
        <f>IFERROR(INDEX('02b_DC_Accelerator_Mix'!$H$2:$H$977,MATCH(G358,'02b_DC_Accelerator_Mix'!$A$2:$A$977,0)),0)</f>
        <v/>
      </c>
      <c r="L358" s="6">
        <f>IFERROR(INDEX('02b_DC_Accelerator_Mix'!$I$2:$I$977,MATCH(G358,'02b_DC_Accelerator_Mix'!$A$2:$A$977,0)),0)</f>
        <v/>
      </c>
      <c r="M358" s="6">
        <f>IFERROR(INDEX('02b_DC_Accelerator_Mix'!$J$2:$J$977,MATCH(G358,'02b_DC_Accelerator_Mix'!$A$2:$A$977,0)),0)</f>
        <v/>
      </c>
      <c r="N358" s="6">
        <f>IFERROR(INDEX('02b_DC_Accelerator_Mix'!$K$2:$K$977,MATCH(G358,'02b_DC_Accelerator_Mix'!$A$2:$A$977,0)),0)</f>
        <v/>
      </c>
      <c r="O358" s="6">
        <f>IFERROR(INDEX('02b_DC_Accelerator_Mix'!$L$2:$L$977,MATCH(G358,'02b_DC_Accelerator_Mix'!$A$2:$A$977,0)),0)</f>
        <v/>
      </c>
      <c r="P358" s="6">
        <f>IFERROR(INDEX('02b_DC_Accelerator_Mix'!$M$2:$M$977,MATCH(G358,'02b_DC_Accelerator_Mix'!$A$2:$A$977,0)),0)</f>
        <v/>
      </c>
      <c r="Q358" s="6">
        <f>IFERROR(INDEX('02b_DC_Accelerator_Mix'!$N$2:$N$977,MATCH(G358,'02b_DC_Accelerator_Mix'!$A$2:$A$977,0)),0)</f>
        <v/>
      </c>
      <c r="R358" s="28">
        <f>H358*I358</f>
        <v/>
      </c>
      <c r="S358" s="28">
        <f>H358*J358</f>
        <v/>
      </c>
      <c r="T358" s="28">
        <f>H358*K358</f>
        <v/>
      </c>
      <c r="U358" s="28">
        <f>H358*L358</f>
        <v/>
      </c>
      <c r="V358" s="28">
        <f>H358*M358</f>
        <v/>
      </c>
      <c r="W358" s="28">
        <f>H358*N358</f>
        <v/>
      </c>
      <c r="X358" s="28">
        <f>H358*O358</f>
        <v/>
      </c>
      <c r="Y358" s="28">
        <f>H358*P358</f>
        <v/>
      </c>
      <c r="Z358" s="28">
        <f>H358*Q358</f>
        <v/>
      </c>
      <c r="AA358" s="28">
        <f>SUM(U358:Z358)</f>
        <v/>
      </c>
      <c r="AB358" s="5">
        <f>IF(COUNTIF('02b_DC_Accelerator_Mix'!$A$2:$A$977,G358)&gt;0,"matched","missing_mix")</f>
        <v/>
      </c>
    </row>
    <row r="359">
      <c r="A359" s="5">
        <f>'02a_DC_Capacity_Alloc'!A359</f>
        <v/>
      </c>
      <c r="B359" s="5">
        <f>'02a_DC_Capacity_Alloc'!B359</f>
        <v/>
      </c>
      <c r="C359" s="5">
        <f>'02a_DC_Capacity_Alloc'!C359</f>
        <v/>
      </c>
      <c r="D359" s="5">
        <f>'02a_DC_Capacity_Alloc'!D359</f>
        <v/>
      </c>
      <c r="E359" s="5">
        <f>'02a_DC_Capacity_Alloc'!E359</f>
        <v/>
      </c>
      <c r="F359" s="5">
        <f>'02a_DC_Capacity_Alloc'!F359</f>
        <v/>
      </c>
      <c r="G359" s="5">
        <f>B359&amp;"|"&amp;E359&amp;"|"&amp;D359</f>
        <v/>
      </c>
      <c r="H359" s="28">
        <f>'02a_DC_Capacity_Alloc'!H359*'02a_DC_Capacity_Alloc'!I359*'02a_DC_Capacity_Alloc'!J359</f>
        <v/>
      </c>
      <c r="I359" s="6">
        <f>IFERROR(INDEX('02b_DC_Accelerator_Mix'!$F$2:$F$977,MATCH(G359,'02b_DC_Accelerator_Mix'!$A$2:$A$977,0)),0)</f>
        <v/>
      </c>
      <c r="J359" s="6">
        <f>IFERROR(INDEX('02b_DC_Accelerator_Mix'!$G$2:$G$977,MATCH(G359,'02b_DC_Accelerator_Mix'!$A$2:$A$977,0)),0)</f>
        <v/>
      </c>
      <c r="K359" s="6">
        <f>IFERROR(INDEX('02b_DC_Accelerator_Mix'!$H$2:$H$977,MATCH(G359,'02b_DC_Accelerator_Mix'!$A$2:$A$977,0)),0)</f>
        <v/>
      </c>
      <c r="L359" s="6">
        <f>IFERROR(INDEX('02b_DC_Accelerator_Mix'!$I$2:$I$977,MATCH(G359,'02b_DC_Accelerator_Mix'!$A$2:$A$977,0)),0)</f>
        <v/>
      </c>
      <c r="M359" s="6">
        <f>IFERROR(INDEX('02b_DC_Accelerator_Mix'!$J$2:$J$977,MATCH(G359,'02b_DC_Accelerator_Mix'!$A$2:$A$977,0)),0)</f>
        <v/>
      </c>
      <c r="N359" s="6">
        <f>IFERROR(INDEX('02b_DC_Accelerator_Mix'!$K$2:$K$977,MATCH(G359,'02b_DC_Accelerator_Mix'!$A$2:$A$977,0)),0)</f>
        <v/>
      </c>
      <c r="O359" s="6">
        <f>IFERROR(INDEX('02b_DC_Accelerator_Mix'!$L$2:$L$977,MATCH(G359,'02b_DC_Accelerator_Mix'!$A$2:$A$977,0)),0)</f>
        <v/>
      </c>
      <c r="P359" s="6">
        <f>IFERROR(INDEX('02b_DC_Accelerator_Mix'!$M$2:$M$977,MATCH(G359,'02b_DC_Accelerator_Mix'!$A$2:$A$977,0)),0)</f>
        <v/>
      </c>
      <c r="Q359" s="6">
        <f>IFERROR(INDEX('02b_DC_Accelerator_Mix'!$N$2:$N$977,MATCH(G359,'02b_DC_Accelerator_Mix'!$A$2:$A$977,0)),0)</f>
        <v/>
      </c>
      <c r="R359" s="28">
        <f>H359*I359</f>
        <v/>
      </c>
      <c r="S359" s="28">
        <f>H359*J359</f>
        <v/>
      </c>
      <c r="T359" s="28">
        <f>H359*K359</f>
        <v/>
      </c>
      <c r="U359" s="28">
        <f>H359*L359</f>
        <v/>
      </c>
      <c r="V359" s="28">
        <f>H359*M359</f>
        <v/>
      </c>
      <c r="W359" s="28">
        <f>H359*N359</f>
        <v/>
      </c>
      <c r="X359" s="28">
        <f>H359*O359</f>
        <v/>
      </c>
      <c r="Y359" s="28">
        <f>H359*P359</f>
        <v/>
      </c>
      <c r="Z359" s="28">
        <f>H359*Q359</f>
        <v/>
      </c>
      <c r="AA359" s="28">
        <f>SUM(U359:Z359)</f>
        <v/>
      </c>
      <c r="AB359" s="5">
        <f>IF(COUNTIF('02b_DC_Accelerator_Mix'!$A$2:$A$977,G359)&gt;0,"matched","missing_mix")</f>
        <v/>
      </c>
    </row>
    <row r="360">
      <c r="A360" s="5">
        <f>'02a_DC_Capacity_Alloc'!A360</f>
        <v/>
      </c>
      <c r="B360" s="5">
        <f>'02a_DC_Capacity_Alloc'!B360</f>
        <v/>
      </c>
      <c r="C360" s="5">
        <f>'02a_DC_Capacity_Alloc'!C360</f>
        <v/>
      </c>
      <c r="D360" s="5">
        <f>'02a_DC_Capacity_Alloc'!D360</f>
        <v/>
      </c>
      <c r="E360" s="5">
        <f>'02a_DC_Capacity_Alloc'!E360</f>
        <v/>
      </c>
      <c r="F360" s="5">
        <f>'02a_DC_Capacity_Alloc'!F360</f>
        <v/>
      </c>
      <c r="G360" s="5">
        <f>B360&amp;"|"&amp;E360&amp;"|"&amp;D360</f>
        <v/>
      </c>
      <c r="H360" s="28">
        <f>'02a_DC_Capacity_Alloc'!H360*'02a_DC_Capacity_Alloc'!I360*'02a_DC_Capacity_Alloc'!J360</f>
        <v/>
      </c>
      <c r="I360" s="6">
        <f>IFERROR(INDEX('02b_DC_Accelerator_Mix'!$F$2:$F$977,MATCH(G360,'02b_DC_Accelerator_Mix'!$A$2:$A$977,0)),0)</f>
        <v/>
      </c>
      <c r="J360" s="6">
        <f>IFERROR(INDEX('02b_DC_Accelerator_Mix'!$G$2:$G$977,MATCH(G360,'02b_DC_Accelerator_Mix'!$A$2:$A$977,0)),0)</f>
        <v/>
      </c>
      <c r="K360" s="6">
        <f>IFERROR(INDEX('02b_DC_Accelerator_Mix'!$H$2:$H$977,MATCH(G360,'02b_DC_Accelerator_Mix'!$A$2:$A$977,0)),0)</f>
        <v/>
      </c>
      <c r="L360" s="6">
        <f>IFERROR(INDEX('02b_DC_Accelerator_Mix'!$I$2:$I$977,MATCH(G360,'02b_DC_Accelerator_Mix'!$A$2:$A$977,0)),0)</f>
        <v/>
      </c>
      <c r="M360" s="6">
        <f>IFERROR(INDEX('02b_DC_Accelerator_Mix'!$J$2:$J$977,MATCH(G360,'02b_DC_Accelerator_Mix'!$A$2:$A$977,0)),0)</f>
        <v/>
      </c>
      <c r="N360" s="6">
        <f>IFERROR(INDEX('02b_DC_Accelerator_Mix'!$K$2:$K$977,MATCH(G360,'02b_DC_Accelerator_Mix'!$A$2:$A$977,0)),0)</f>
        <v/>
      </c>
      <c r="O360" s="6">
        <f>IFERROR(INDEX('02b_DC_Accelerator_Mix'!$L$2:$L$977,MATCH(G360,'02b_DC_Accelerator_Mix'!$A$2:$A$977,0)),0)</f>
        <v/>
      </c>
      <c r="P360" s="6">
        <f>IFERROR(INDEX('02b_DC_Accelerator_Mix'!$M$2:$M$977,MATCH(G360,'02b_DC_Accelerator_Mix'!$A$2:$A$977,0)),0)</f>
        <v/>
      </c>
      <c r="Q360" s="6">
        <f>IFERROR(INDEX('02b_DC_Accelerator_Mix'!$N$2:$N$977,MATCH(G360,'02b_DC_Accelerator_Mix'!$A$2:$A$977,0)),0)</f>
        <v/>
      </c>
      <c r="R360" s="28">
        <f>H360*I360</f>
        <v/>
      </c>
      <c r="S360" s="28">
        <f>H360*J360</f>
        <v/>
      </c>
      <c r="T360" s="28">
        <f>H360*K360</f>
        <v/>
      </c>
      <c r="U360" s="28">
        <f>H360*L360</f>
        <v/>
      </c>
      <c r="V360" s="28">
        <f>H360*M360</f>
        <v/>
      </c>
      <c r="W360" s="28">
        <f>H360*N360</f>
        <v/>
      </c>
      <c r="X360" s="28">
        <f>H360*O360</f>
        <v/>
      </c>
      <c r="Y360" s="28">
        <f>H360*P360</f>
        <v/>
      </c>
      <c r="Z360" s="28">
        <f>H360*Q360</f>
        <v/>
      </c>
      <c r="AA360" s="28">
        <f>SUM(U360:Z360)</f>
        <v/>
      </c>
      <c r="AB360" s="5">
        <f>IF(COUNTIF('02b_DC_Accelerator_Mix'!$A$2:$A$977,G360)&gt;0,"matched","missing_mix")</f>
        <v/>
      </c>
    </row>
    <row r="361">
      <c r="A361" s="5">
        <f>'02a_DC_Capacity_Alloc'!A361</f>
        <v/>
      </c>
      <c r="B361" s="5">
        <f>'02a_DC_Capacity_Alloc'!B361</f>
        <v/>
      </c>
      <c r="C361" s="5">
        <f>'02a_DC_Capacity_Alloc'!C361</f>
        <v/>
      </c>
      <c r="D361" s="5">
        <f>'02a_DC_Capacity_Alloc'!D361</f>
        <v/>
      </c>
      <c r="E361" s="5">
        <f>'02a_DC_Capacity_Alloc'!E361</f>
        <v/>
      </c>
      <c r="F361" s="5">
        <f>'02a_DC_Capacity_Alloc'!F361</f>
        <v/>
      </c>
      <c r="G361" s="5">
        <f>B361&amp;"|"&amp;E361&amp;"|"&amp;D361</f>
        <v/>
      </c>
      <c r="H361" s="28">
        <f>'02a_DC_Capacity_Alloc'!H361*'02a_DC_Capacity_Alloc'!I361*'02a_DC_Capacity_Alloc'!J361</f>
        <v/>
      </c>
      <c r="I361" s="6">
        <f>IFERROR(INDEX('02b_DC_Accelerator_Mix'!$F$2:$F$977,MATCH(G361,'02b_DC_Accelerator_Mix'!$A$2:$A$977,0)),0)</f>
        <v/>
      </c>
      <c r="J361" s="6">
        <f>IFERROR(INDEX('02b_DC_Accelerator_Mix'!$G$2:$G$977,MATCH(G361,'02b_DC_Accelerator_Mix'!$A$2:$A$977,0)),0)</f>
        <v/>
      </c>
      <c r="K361" s="6">
        <f>IFERROR(INDEX('02b_DC_Accelerator_Mix'!$H$2:$H$977,MATCH(G361,'02b_DC_Accelerator_Mix'!$A$2:$A$977,0)),0)</f>
        <v/>
      </c>
      <c r="L361" s="6">
        <f>IFERROR(INDEX('02b_DC_Accelerator_Mix'!$I$2:$I$977,MATCH(G361,'02b_DC_Accelerator_Mix'!$A$2:$A$977,0)),0)</f>
        <v/>
      </c>
      <c r="M361" s="6">
        <f>IFERROR(INDEX('02b_DC_Accelerator_Mix'!$J$2:$J$977,MATCH(G361,'02b_DC_Accelerator_Mix'!$A$2:$A$977,0)),0)</f>
        <v/>
      </c>
      <c r="N361" s="6">
        <f>IFERROR(INDEX('02b_DC_Accelerator_Mix'!$K$2:$K$977,MATCH(G361,'02b_DC_Accelerator_Mix'!$A$2:$A$977,0)),0)</f>
        <v/>
      </c>
      <c r="O361" s="6">
        <f>IFERROR(INDEX('02b_DC_Accelerator_Mix'!$L$2:$L$977,MATCH(G361,'02b_DC_Accelerator_Mix'!$A$2:$A$977,0)),0)</f>
        <v/>
      </c>
      <c r="P361" s="6">
        <f>IFERROR(INDEX('02b_DC_Accelerator_Mix'!$M$2:$M$977,MATCH(G361,'02b_DC_Accelerator_Mix'!$A$2:$A$977,0)),0)</f>
        <v/>
      </c>
      <c r="Q361" s="6">
        <f>IFERROR(INDEX('02b_DC_Accelerator_Mix'!$N$2:$N$977,MATCH(G361,'02b_DC_Accelerator_Mix'!$A$2:$A$977,0)),0)</f>
        <v/>
      </c>
      <c r="R361" s="28">
        <f>H361*I361</f>
        <v/>
      </c>
      <c r="S361" s="28">
        <f>H361*J361</f>
        <v/>
      </c>
      <c r="T361" s="28">
        <f>H361*K361</f>
        <v/>
      </c>
      <c r="U361" s="28">
        <f>H361*L361</f>
        <v/>
      </c>
      <c r="V361" s="28">
        <f>H361*M361</f>
        <v/>
      </c>
      <c r="W361" s="28">
        <f>H361*N361</f>
        <v/>
      </c>
      <c r="X361" s="28">
        <f>H361*O361</f>
        <v/>
      </c>
      <c r="Y361" s="28">
        <f>H361*P361</f>
        <v/>
      </c>
      <c r="Z361" s="28">
        <f>H361*Q361</f>
        <v/>
      </c>
      <c r="AA361" s="28">
        <f>SUM(U361:Z361)</f>
        <v/>
      </c>
      <c r="AB361" s="5">
        <f>IF(COUNTIF('02b_DC_Accelerator_Mix'!$A$2:$A$977,G361)&gt;0,"matched","missing_mix")</f>
        <v/>
      </c>
    </row>
    <row r="362">
      <c r="A362" s="5">
        <f>'02a_DC_Capacity_Alloc'!A362</f>
        <v/>
      </c>
      <c r="B362" s="5">
        <f>'02a_DC_Capacity_Alloc'!B362</f>
        <v/>
      </c>
      <c r="C362" s="5">
        <f>'02a_DC_Capacity_Alloc'!C362</f>
        <v/>
      </c>
      <c r="D362" s="5">
        <f>'02a_DC_Capacity_Alloc'!D362</f>
        <v/>
      </c>
      <c r="E362" s="5">
        <f>'02a_DC_Capacity_Alloc'!E362</f>
        <v/>
      </c>
      <c r="F362" s="5">
        <f>'02a_DC_Capacity_Alloc'!F362</f>
        <v/>
      </c>
      <c r="G362" s="5">
        <f>B362&amp;"|"&amp;E362&amp;"|"&amp;D362</f>
        <v/>
      </c>
      <c r="H362" s="28">
        <f>'02a_DC_Capacity_Alloc'!H362*'02a_DC_Capacity_Alloc'!I362*'02a_DC_Capacity_Alloc'!J362</f>
        <v/>
      </c>
      <c r="I362" s="6">
        <f>IFERROR(INDEX('02b_DC_Accelerator_Mix'!$F$2:$F$977,MATCH(G362,'02b_DC_Accelerator_Mix'!$A$2:$A$977,0)),0)</f>
        <v/>
      </c>
      <c r="J362" s="6">
        <f>IFERROR(INDEX('02b_DC_Accelerator_Mix'!$G$2:$G$977,MATCH(G362,'02b_DC_Accelerator_Mix'!$A$2:$A$977,0)),0)</f>
        <v/>
      </c>
      <c r="K362" s="6">
        <f>IFERROR(INDEX('02b_DC_Accelerator_Mix'!$H$2:$H$977,MATCH(G362,'02b_DC_Accelerator_Mix'!$A$2:$A$977,0)),0)</f>
        <v/>
      </c>
      <c r="L362" s="6">
        <f>IFERROR(INDEX('02b_DC_Accelerator_Mix'!$I$2:$I$977,MATCH(G362,'02b_DC_Accelerator_Mix'!$A$2:$A$977,0)),0)</f>
        <v/>
      </c>
      <c r="M362" s="6">
        <f>IFERROR(INDEX('02b_DC_Accelerator_Mix'!$J$2:$J$977,MATCH(G362,'02b_DC_Accelerator_Mix'!$A$2:$A$977,0)),0)</f>
        <v/>
      </c>
      <c r="N362" s="6">
        <f>IFERROR(INDEX('02b_DC_Accelerator_Mix'!$K$2:$K$977,MATCH(G362,'02b_DC_Accelerator_Mix'!$A$2:$A$977,0)),0)</f>
        <v/>
      </c>
      <c r="O362" s="6">
        <f>IFERROR(INDEX('02b_DC_Accelerator_Mix'!$L$2:$L$977,MATCH(G362,'02b_DC_Accelerator_Mix'!$A$2:$A$977,0)),0)</f>
        <v/>
      </c>
      <c r="P362" s="6">
        <f>IFERROR(INDEX('02b_DC_Accelerator_Mix'!$M$2:$M$977,MATCH(G362,'02b_DC_Accelerator_Mix'!$A$2:$A$977,0)),0)</f>
        <v/>
      </c>
      <c r="Q362" s="6">
        <f>IFERROR(INDEX('02b_DC_Accelerator_Mix'!$N$2:$N$977,MATCH(G362,'02b_DC_Accelerator_Mix'!$A$2:$A$977,0)),0)</f>
        <v/>
      </c>
      <c r="R362" s="28">
        <f>H362*I362</f>
        <v/>
      </c>
      <c r="S362" s="28">
        <f>H362*J362</f>
        <v/>
      </c>
      <c r="T362" s="28">
        <f>H362*K362</f>
        <v/>
      </c>
      <c r="U362" s="28">
        <f>H362*L362</f>
        <v/>
      </c>
      <c r="V362" s="28">
        <f>H362*M362</f>
        <v/>
      </c>
      <c r="W362" s="28">
        <f>H362*N362</f>
        <v/>
      </c>
      <c r="X362" s="28">
        <f>H362*O362</f>
        <v/>
      </c>
      <c r="Y362" s="28">
        <f>H362*P362</f>
        <v/>
      </c>
      <c r="Z362" s="28">
        <f>H362*Q362</f>
        <v/>
      </c>
      <c r="AA362" s="28">
        <f>SUM(U362:Z362)</f>
        <v/>
      </c>
      <c r="AB362" s="5">
        <f>IF(COUNTIF('02b_DC_Accelerator_Mix'!$A$2:$A$977,G362)&gt;0,"matched","missing_mix")</f>
        <v/>
      </c>
    </row>
    <row r="363">
      <c r="A363" s="5">
        <f>'02a_DC_Capacity_Alloc'!A363</f>
        <v/>
      </c>
      <c r="B363" s="5">
        <f>'02a_DC_Capacity_Alloc'!B363</f>
        <v/>
      </c>
      <c r="C363" s="5">
        <f>'02a_DC_Capacity_Alloc'!C363</f>
        <v/>
      </c>
      <c r="D363" s="5">
        <f>'02a_DC_Capacity_Alloc'!D363</f>
        <v/>
      </c>
      <c r="E363" s="5">
        <f>'02a_DC_Capacity_Alloc'!E363</f>
        <v/>
      </c>
      <c r="F363" s="5">
        <f>'02a_DC_Capacity_Alloc'!F363</f>
        <v/>
      </c>
      <c r="G363" s="5">
        <f>B363&amp;"|"&amp;E363&amp;"|"&amp;D363</f>
        <v/>
      </c>
      <c r="H363" s="28">
        <f>'02a_DC_Capacity_Alloc'!H363*'02a_DC_Capacity_Alloc'!I363*'02a_DC_Capacity_Alloc'!J363</f>
        <v/>
      </c>
      <c r="I363" s="6">
        <f>IFERROR(INDEX('02b_DC_Accelerator_Mix'!$F$2:$F$977,MATCH(G363,'02b_DC_Accelerator_Mix'!$A$2:$A$977,0)),0)</f>
        <v/>
      </c>
      <c r="J363" s="6">
        <f>IFERROR(INDEX('02b_DC_Accelerator_Mix'!$G$2:$G$977,MATCH(G363,'02b_DC_Accelerator_Mix'!$A$2:$A$977,0)),0)</f>
        <v/>
      </c>
      <c r="K363" s="6">
        <f>IFERROR(INDEX('02b_DC_Accelerator_Mix'!$H$2:$H$977,MATCH(G363,'02b_DC_Accelerator_Mix'!$A$2:$A$977,0)),0)</f>
        <v/>
      </c>
      <c r="L363" s="6">
        <f>IFERROR(INDEX('02b_DC_Accelerator_Mix'!$I$2:$I$977,MATCH(G363,'02b_DC_Accelerator_Mix'!$A$2:$A$977,0)),0)</f>
        <v/>
      </c>
      <c r="M363" s="6">
        <f>IFERROR(INDEX('02b_DC_Accelerator_Mix'!$J$2:$J$977,MATCH(G363,'02b_DC_Accelerator_Mix'!$A$2:$A$977,0)),0)</f>
        <v/>
      </c>
      <c r="N363" s="6">
        <f>IFERROR(INDEX('02b_DC_Accelerator_Mix'!$K$2:$K$977,MATCH(G363,'02b_DC_Accelerator_Mix'!$A$2:$A$977,0)),0)</f>
        <v/>
      </c>
      <c r="O363" s="6">
        <f>IFERROR(INDEX('02b_DC_Accelerator_Mix'!$L$2:$L$977,MATCH(G363,'02b_DC_Accelerator_Mix'!$A$2:$A$977,0)),0)</f>
        <v/>
      </c>
      <c r="P363" s="6">
        <f>IFERROR(INDEX('02b_DC_Accelerator_Mix'!$M$2:$M$977,MATCH(G363,'02b_DC_Accelerator_Mix'!$A$2:$A$977,0)),0)</f>
        <v/>
      </c>
      <c r="Q363" s="6">
        <f>IFERROR(INDEX('02b_DC_Accelerator_Mix'!$N$2:$N$977,MATCH(G363,'02b_DC_Accelerator_Mix'!$A$2:$A$977,0)),0)</f>
        <v/>
      </c>
      <c r="R363" s="28">
        <f>H363*I363</f>
        <v/>
      </c>
      <c r="S363" s="28">
        <f>H363*J363</f>
        <v/>
      </c>
      <c r="T363" s="28">
        <f>H363*K363</f>
        <v/>
      </c>
      <c r="U363" s="28">
        <f>H363*L363</f>
        <v/>
      </c>
      <c r="V363" s="28">
        <f>H363*M363</f>
        <v/>
      </c>
      <c r="W363" s="28">
        <f>H363*N363</f>
        <v/>
      </c>
      <c r="X363" s="28">
        <f>H363*O363</f>
        <v/>
      </c>
      <c r="Y363" s="28">
        <f>H363*P363</f>
        <v/>
      </c>
      <c r="Z363" s="28">
        <f>H363*Q363</f>
        <v/>
      </c>
      <c r="AA363" s="28">
        <f>SUM(U363:Z363)</f>
        <v/>
      </c>
      <c r="AB363" s="5">
        <f>IF(COUNTIF('02b_DC_Accelerator_Mix'!$A$2:$A$977,G363)&gt;0,"matched","missing_mix")</f>
        <v/>
      </c>
    </row>
    <row r="364">
      <c r="A364" s="5">
        <f>'02a_DC_Capacity_Alloc'!A364</f>
        <v/>
      </c>
      <c r="B364" s="5">
        <f>'02a_DC_Capacity_Alloc'!B364</f>
        <v/>
      </c>
      <c r="C364" s="5">
        <f>'02a_DC_Capacity_Alloc'!C364</f>
        <v/>
      </c>
      <c r="D364" s="5">
        <f>'02a_DC_Capacity_Alloc'!D364</f>
        <v/>
      </c>
      <c r="E364" s="5">
        <f>'02a_DC_Capacity_Alloc'!E364</f>
        <v/>
      </c>
      <c r="F364" s="5">
        <f>'02a_DC_Capacity_Alloc'!F364</f>
        <v/>
      </c>
      <c r="G364" s="5">
        <f>B364&amp;"|"&amp;E364&amp;"|"&amp;D364</f>
        <v/>
      </c>
      <c r="H364" s="28">
        <f>'02a_DC_Capacity_Alloc'!H364*'02a_DC_Capacity_Alloc'!I364*'02a_DC_Capacity_Alloc'!J364</f>
        <v/>
      </c>
      <c r="I364" s="6">
        <f>IFERROR(INDEX('02b_DC_Accelerator_Mix'!$F$2:$F$977,MATCH(G364,'02b_DC_Accelerator_Mix'!$A$2:$A$977,0)),0)</f>
        <v/>
      </c>
      <c r="J364" s="6">
        <f>IFERROR(INDEX('02b_DC_Accelerator_Mix'!$G$2:$G$977,MATCH(G364,'02b_DC_Accelerator_Mix'!$A$2:$A$977,0)),0)</f>
        <v/>
      </c>
      <c r="K364" s="6">
        <f>IFERROR(INDEX('02b_DC_Accelerator_Mix'!$H$2:$H$977,MATCH(G364,'02b_DC_Accelerator_Mix'!$A$2:$A$977,0)),0)</f>
        <v/>
      </c>
      <c r="L364" s="6">
        <f>IFERROR(INDEX('02b_DC_Accelerator_Mix'!$I$2:$I$977,MATCH(G364,'02b_DC_Accelerator_Mix'!$A$2:$A$977,0)),0)</f>
        <v/>
      </c>
      <c r="M364" s="6">
        <f>IFERROR(INDEX('02b_DC_Accelerator_Mix'!$J$2:$J$977,MATCH(G364,'02b_DC_Accelerator_Mix'!$A$2:$A$977,0)),0)</f>
        <v/>
      </c>
      <c r="N364" s="6">
        <f>IFERROR(INDEX('02b_DC_Accelerator_Mix'!$K$2:$K$977,MATCH(G364,'02b_DC_Accelerator_Mix'!$A$2:$A$977,0)),0)</f>
        <v/>
      </c>
      <c r="O364" s="6">
        <f>IFERROR(INDEX('02b_DC_Accelerator_Mix'!$L$2:$L$977,MATCH(G364,'02b_DC_Accelerator_Mix'!$A$2:$A$977,0)),0)</f>
        <v/>
      </c>
      <c r="P364" s="6">
        <f>IFERROR(INDEX('02b_DC_Accelerator_Mix'!$M$2:$M$977,MATCH(G364,'02b_DC_Accelerator_Mix'!$A$2:$A$977,0)),0)</f>
        <v/>
      </c>
      <c r="Q364" s="6">
        <f>IFERROR(INDEX('02b_DC_Accelerator_Mix'!$N$2:$N$977,MATCH(G364,'02b_DC_Accelerator_Mix'!$A$2:$A$977,0)),0)</f>
        <v/>
      </c>
      <c r="R364" s="28">
        <f>H364*I364</f>
        <v/>
      </c>
      <c r="S364" s="28">
        <f>H364*J364</f>
        <v/>
      </c>
      <c r="T364" s="28">
        <f>H364*K364</f>
        <v/>
      </c>
      <c r="U364" s="28">
        <f>H364*L364</f>
        <v/>
      </c>
      <c r="V364" s="28">
        <f>H364*M364</f>
        <v/>
      </c>
      <c r="W364" s="28">
        <f>H364*N364</f>
        <v/>
      </c>
      <c r="X364" s="28">
        <f>H364*O364</f>
        <v/>
      </c>
      <c r="Y364" s="28">
        <f>H364*P364</f>
        <v/>
      </c>
      <c r="Z364" s="28">
        <f>H364*Q364</f>
        <v/>
      </c>
      <c r="AA364" s="28">
        <f>SUM(U364:Z364)</f>
        <v/>
      </c>
      <c r="AB364" s="5">
        <f>IF(COUNTIF('02b_DC_Accelerator_Mix'!$A$2:$A$977,G364)&gt;0,"matched","missing_mix")</f>
        <v/>
      </c>
    </row>
    <row r="365">
      <c r="A365" s="5">
        <f>'02a_DC_Capacity_Alloc'!A365</f>
        <v/>
      </c>
      <c r="B365" s="5">
        <f>'02a_DC_Capacity_Alloc'!B365</f>
        <v/>
      </c>
      <c r="C365" s="5">
        <f>'02a_DC_Capacity_Alloc'!C365</f>
        <v/>
      </c>
      <c r="D365" s="5">
        <f>'02a_DC_Capacity_Alloc'!D365</f>
        <v/>
      </c>
      <c r="E365" s="5">
        <f>'02a_DC_Capacity_Alloc'!E365</f>
        <v/>
      </c>
      <c r="F365" s="5">
        <f>'02a_DC_Capacity_Alloc'!F365</f>
        <v/>
      </c>
      <c r="G365" s="5">
        <f>B365&amp;"|"&amp;E365&amp;"|"&amp;D365</f>
        <v/>
      </c>
      <c r="H365" s="28">
        <f>'02a_DC_Capacity_Alloc'!H365*'02a_DC_Capacity_Alloc'!I365*'02a_DC_Capacity_Alloc'!J365</f>
        <v/>
      </c>
      <c r="I365" s="6">
        <f>IFERROR(INDEX('02b_DC_Accelerator_Mix'!$F$2:$F$977,MATCH(G365,'02b_DC_Accelerator_Mix'!$A$2:$A$977,0)),0)</f>
        <v/>
      </c>
      <c r="J365" s="6">
        <f>IFERROR(INDEX('02b_DC_Accelerator_Mix'!$G$2:$G$977,MATCH(G365,'02b_DC_Accelerator_Mix'!$A$2:$A$977,0)),0)</f>
        <v/>
      </c>
      <c r="K365" s="6">
        <f>IFERROR(INDEX('02b_DC_Accelerator_Mix'!$H$2:$H$977,MATCH(G365,'02b_DC_Accelerator_Mix'!$A$2:$A$977,0)),0)</f>
        <v/>
      </c>
      <c r="L365" s="6">
        <f>IFERROR(INDEX('02b_DC_Accelerator_Mix'!$I$2:$I$977,MATCH(G365,'02b_DC_Accelerator_Mix'!$A$2:$A$977,0)),0)</f>
        <v/>
      </c>
      <c r="M365" s="6">
        <f>IFERROR(INDEX('02b_DC_Accelerator_Mix'!$J$2:$J$977,MATCH(G365,'02b_DC_Accelerator_Mix'!$A$2:$A$977,0)),0)</f>
        <v/>
      </c>
      <c r="N365" s="6">
        <f>IFERROR(INDEX('02b_DC_Accelerator_Mix'!$K$2:$K$977,MATCH(G365,'02b_DC_Accelerator_Mix'!$A$2:$A$977,0)),0)</f>
        <v/>
      </c>
      <c r="O365" s="6">
        <f>IFERROR(INDEX('02b_DC_Accelerator_Mix'!$L$2:$L$977,MATCH(G365,'02b_DC_Accelerator_Mix'!$A$2:$A$977,0)),0)</f>
        <v/>
      </c>
      <c r="P365" s="6">
        <f>IFERROR(INDEX('02b_DC_Accelerator_Mix'!$M$2:$M$977,MATCH(G365,'02b_DC_Accelerator_Mix'!$A$2:$A$977,0)),0)</f>
        <v/>
      </c>
      <c r="Q365" s="6">
        <f>IFERROR(INDEX('02b_DC_Accelerator_Mix'!$N$2:$N$977,MATCH(G365,'02b_DC_Accelerator_Mix'!$A$2:$A$977,0)),0)</f>
        <v/>
      </c>
      <c r="R365" s="28">
        <f>H365*I365</f>
        <v/>
      </c>
      <c r="S365" s="28">
        <f>H365*J365</f>
        <v/>
      </c>
      <c r="T365" s="28">
        <f>H365*K365</f>
        <v/>
      </c>
      <c r="U365" s="28">
        <f>H365*L365</f>
        <v/>
      </c>
      <c r="V365" s="28">
        <f>H365*M365</f>
        <v/>
      </c>
      <c r="W365" s="28">
        <f>H365*N365</f>
        <v/>
      </c>
      <c r="X365" s="28">
        <f>H365*O365</f>
        <v/>
      </c>
      <c r="Y365" s="28">
        <f>H365*P365</f>
        <v/>
      </c>
      <c r="Z365" s="28">
        <f>H365*Q365</f>
        <v/>
      </c>
      <c r="AA365" s="28">
        <f>SUM(U365:Z365)</f>
        <v/>
      </c>
      <c r="AB365" s="5">
        <f>IF(COUNTIF('02b_DC_Accelerator_Mix'!$A$2:$A$977,G365)&gt;0,"matched","missing_mix")</f>
        <v/>
      </c>
    </row>
    <row r="366">
      <c r="A366" s="5">
        <f>'02a_DC_Capacity_Alloc'!A366</f>
        <v/>
      </c>
      <c r="B366" s="5">
        <f>'02a_DC_Capacity_Alloc'!B366</f>
        <v/>
      </c>
      <c r="C366" s="5">
        <f>'02a_DC_Capacity_Alloc'!C366</f>
        <v/>
      </c>
      <c r="D366" s="5">
        <f>'02a_DC_Capacity_Alloc'!D366</f>
        <v/>
      </c>
      <c r="E366" s="5">
        <f>'02a_DC_Capacity_Alloc'!E366</f>
        <v/>
      </c>
      <c r="F366" s="5">
        <f>'02a_DC_Capacity_Alloc'!F366</f>
        <v/>
      </c>
      <c r="G366" s="5">
        <f>B366&amp;"|"&amp;E366&amp;"|"&amp;D366</f>
        <v/>
      </c>
      <c r="H366" s="28">
        <f>'02a_DC_Capacity_Alloc'!H366*'02a_DC_Capacity_Alloc'!I366*'02a_DC_Capacity_Alloc'!J366</f>
        <v/>
      </c>
      <c r="I366" s="6">
        <f>IFERROR(INDEX('02b_DC_Accelerator_Mix'!$F$2:$F$977,MATCH(G366,'02b_DC_Accelerator_Mix'!$A$2:$A$977,0)),0)</f>
        <v/>
      </c>
      <c r="J366" s="6">
        <f>IFERROR(INDEX('02b_DC_Accelerator_Mix'!$G$2:$G$977,MATCH(G366,'02b_DC_Accelerator_Mix'!$A$2:$A$977,0)),0)</f>
        <v/>
      </c>
      <c r="K366" s="6">
        <f>IFERROR(INDEX('02b_DC_Accelerator_Mix'!$H$2:$H$977,MATCH(G366,'02b_DC_Accelerator_Mix'!$A$2:$A$977,0)),0)</f>
        <v/>
      </c>
      <c r="L366" s="6">
        <f>IFERROR(INDEX('02b_DC_Accelerator_Mix'!$I$2:$I$977,MATCH(G366,'02b_DC_Accelerator_Mix'!$A$2:$A$977,0)),0)</f>
        <v/>
      </c>
      <c r="M366" s="6">
        <f>IFERROR(INDEX('02b_DC_Accelerator_Mix'!$J$2:$J$977,MATCH(G366,'02b_DC_Accelerator_Mix'!$A$2:$A$977,0)),0)</f>
        <v/>
      </c>
      <c r="N366" s="6">
        <f>IFERROR(INDEX('02b_DC_Accelerator_Mix'!$K$2:$K$977,MATCH(G366,'02b_DC_Accelerator_Mix'!$A$2:$A$977,0)),0)</f>
        <v/>
      </c>
      <c r="O366" s="6">
        <f>IFERROR(INDEX('02b_DC_Accelerator_Mix'!$L$2:$L$977,MATCH(G366,'02b_DC_Accelerator_Mix'!$A$2:$A$977,0)),0)</f>
        <v/>
      </c>
      <c r="P366" s="6">
        <f>IFERROR(INDEX('02b_DC_Accelerator_Mix'!$M$2:$M$977,MATCH(G366,'02b_DC_Accelerator_Mix'!$A$2:$A$977,0)),0)</f>
        <v/>
      </c>
      <c r="Q366" s="6">
        <f>IFERROR(INDEX('02b_DC_Accelerator_Mix'!$N$2:$N$977,MATCH(G366,'02b_DC_Accelerator_Mix'!$A$2:$A$977,0)),0)</f>
        <v/>
      </c>
      <c r="R366" s="28">
        <f>H366*I366</f>
        <v/>
      </c>
      <c r="S366" s="28">
        <f>H366*J366</f>
        <v/>
      </c>
      <c r="T366" s="28">
        <f>H366*K366</f>
        <v/>
      </c>
      <c r="U366" s="28">
        <f>H366*L366</f>
        <v/>
      </c>
      <c r="V366" s="28">
        <f>H366*M366</f>
        <v/>
      </c>
      <c r="W366" s="28">
        <f>H366*N366</f>
        <v/>
      </c>
      <c r="X366" s="28">
        <f>H366*O366</f>
        <v/>
      </c>
      <c r="Y366" s="28">
        <f>H366*P366</f>
        <v/>
      </c>
      <c r="Z366" s="28">
        <f>H366*Q366</f>
        <v/>
      </c>
      <c r="AA366" s="28">
        <f>SUM(U366:Z366)</f>
        <v/>
      </c>
      <c r="AB366" s="5">
        <f>IF(COUNTIF('02b_DC_Accelerator_Mix'!$A$2:$A$977,G366)&gt;0,"matched","missing_mix")</f>
        <v/>
      </c>
    </row>
    <row r="367">
      <c r="A367" s="5">
        <f>'02a_DC_Capacity_Alloc'!A367</f>
        <v/>
      </c>
      <c r="B367" s="5">
        <f>'02a_DC_Capacity_Alloc'!B367</f>
        <v/>
      </c>
      <c r="C367" s="5">
        <f>'02a_DC_Capacity_Alloc'!C367</f>
        <v/>
      </c>
      <c r="D367" s="5">
        <f>'02a_DC_Capacity_Alloc'!D367</f>
        <v/>
      </c>
      <c r="E367" s="5">
        <f>'02a_DC_Capacity_Alloc'!E367</f>
        <v/>
      </c>
      <c r="F367" s="5">
        <f>'02a_DC_Capacity_Alloc'!F367</f>
        <v/>
      </c>
      <c r="G367" s="5">
        <f>B367&amp;"|"&amp;E367&amp;"|"&amp;D367</f>
        <v/>
      </c>
      <c r="H367" s="28">
        <f>'02a_DC_Capacity_Alloc'!H367*'02a_DC_Capacity_Alloc'!I367*'02a_DC_Capacity_Alloc'!J367</f>
        <v/>
      </c>
      <c r="I367" s="6">
        <f>IFERROR(INDEX('02b_DC_Accelerator_Mix'!$F$2:$F$977,MATCH(G367,'02b_DC_Accelerator_Mix'!$A$2:$A$977,0)),0)</f>
        <v/>
      </c>
      <c r="J367" s="6">
        <f>IFERROR(INDEX('02b_DC_Accelerator_Mix'!$G$2:$G$977,MATCH(G367,'02b_DC_Accelerator_Mix'!$A$2:$A$977,0)),0)</f>
        <v/>
      </c>
      <c r="K367" s="6">
        <f>IFERROR(INDEX('02b_DC_Accelerator_Mix'!$H$2:$H$977,MATCH(G367,'02b_DC_Accelerator_Mix'!$A$2:$A$977,0)),0)</f>
        <v/>
      </c>
      <c r="L367" s="6">
        <f>IFERROR(INDEX('02b_DC_Accelerator_Mix'!$I$2:$I$977,MATCH(G367,'02b_DC_Accelerator_Mix'!$A$2:$A$977,0)),0)</f>
        <v/>
      </c>
      <c r="M367" s="6">
        <f>IFERROR(INDEX('02b_DC_Accelerator_Mix'!$J$2:$J$977,MATCH(G367,'02b_DC_Accelerator_Mix'!$A$2:$A$977,0)),0)</f>
        <v/>
      </c>
      <c r="N367" s="6">
        <f>IFERROR(INDEX('02b_DC_Accelerator_Mix'!$K$2:$K$977,MATCH(G367,'02b_DC_Accelerator_Mix'!$A$2:$A$977,0)),0)</f>
        <v/>
      </c>
      <c r="O367" s="6">
        <f>IFERROR(INDEX('02b_DC_Accelerator_Mix'!$L$2:$L$977,MATCH(G367,'02b_DC_Accelerator_Mix'!$A$2:$A$977,0)),0)</f>
        <v/>
      </c>
      <c r="P367" s="6">
        <f>IFERROR(INDEX('02b_DC_Accelerator_Mix'!$M$2:$M$977,MATCH(G367,'02b_DC_Accelerator_Mix'!$A$2:$A$977,0)),0)</f>
        <v/>
      </c>
      <c r="Q367" s="6">
        <f>IFERROR(INDEX('02b_DC_Accelerator_Mix'!$N$2:$N$977,MATCH(G367,'02b_DC_Accelerator_Mix'!$A$2:$A$977,0)),0)</f>
        <v/>
      </c>
      <c r="R367" s="28">
        <f>H367*I367</f>
        <v/>
      </c>
      <c r="S367" s="28">
        <f>H367*J367</f>
        <v/>
      </c>
      <c r="T367" s="28">
        <f>H367*K367</f>
        <v/>
      </c>
      <c r="U367" s="28">
        <f>H367*L367</f>
        <v/>
      </c>
      <c r="V367" s="28">
        <f>H367*M367</f>
        <v/>
      </c>
      <c r="W367" s="28">
        <f>H367*N367</f>
        <v/>
      </c>
      <c r="X367" s="28">
        <f>H367*O367</f>
        <v/>
      </c>
      <c r="Y367" s="28">
        <f>H367*P367</f>
        <v/>
      </c>
      <c r="Z367" s="28">
        <f>H367*Q367</f>
        <v/>
      </c>
      <c r="AA367" s="28">
        <f>SUM(U367:Z367)</f>
        <v/>
      </c>
      <c r="AB367" s="5">
        <f>IF(COUNTIF('02b_DC_Accelerator_Mix'!$A$2:$A$977,G367)&gt;0,"matched","missing_mix")</f>
        <v/>
      </c>
    </row>
    <row r="368">
      <c r="A368" s="5">
        <f>'02a_DC_Capacity_Alloc'!A368</f>
        <v/>
      </c>
      <c r="B368" s="5">
        <f>'02a_DC_Capacity_Alloc'!B368</f>
        <v/>
      </c>
      <c r="C368" s="5">
        <f>'02a_DC_Capacity_Alloc'!C368</f>
        <v/>
      </c>
      <c r="D368" s="5">
        <f>'02a_DC_Capacity_Alloc'!D368</f>
        <v/>
      </c>
      <c r="E368" s="5">
        <f>'02a_DC_Capacity_Alloc'!E368</f>
        <v/>
      </c>
      <c r="F368" s="5">
        <f>'02a_DC_Capacity_Alloc'!F368</f>
        <v/>
      </c>
      <c r="G368" s="5">
        <f>B368&amp;"|"&amp;E368&amp;"|"&amp;D368</f>
        <v/>
      </c>
      <c r="H368" s="28">
        <f>'02a_DC_Capacity_Alloc'!H368*'02a_DC_Capacity_Alloc'!I368*'02a_DC_Capacity_Alloc'!J368</f>
        <v/>
      </c>
      <c r="I368" s="6">
        <f>IFERROR(INDEX('02b_DC_Accelerator_Mix'!$F$2:$F$977,MATCH(G368,'02b_DC_Accelerator_Mix'!$A$2:$A$977,0)),0)</f>
        <v/>
      </c>
      <c r="J368" s="6">
        <f>IFERROR(INDEX('02b_DC_Accelerator_Mix'!$G$2:$G$977,MATCH(G368,'02b_DC_Accelerator_Mix'!$A$2:$A$977,0)),0)</f>
        <v/>
      </c>
      <c r="K368" s="6">
        <f>IFERROR(INDEX('02b_DC_Accelerator_Mix'!$H$2:$H$977,MATCH(G368,'02b_DC_Accelerator_Mix'!$A$2:$A$977,0)),0)</f>
        <v/>
      </c>
      <c r="L368" s="6">
        <f>IFERROR(INDEX('02b_DC_Accelerator_Mix'!$I$2:$I$977,MATCH(G368,'02b_DC_Accelerator_Mix'!$A$2:$A$977,0)),0)</f>
        <v/>
      </c>
      <c r="M368" s="6">
        <f>IFERROR(INDEX('02b_DC_Accelerator_Mix'!$J$2:$J$977,MATCH(G368,'02b_DC_Accelerator_Mix'!$A$2:$A$977,0)),0)</f>
        <v/>
      </c>
      <c r="N368" s="6">
        <f>IFERROR(INDEX('02b_DC_Accelerator_Mix'!$K$2:$K$977,MATCH(G368,'02b_DC_Accelerator_Mix'!$A$2:$A$977,0)),0)</f>
        <v/>
      </c>
      <c r="O368" s="6">
        <f>IFERROR(INDEX('02b_DC_Accelerator_Mix'!$L$2:$L$977,MATCH(G368,'02b_DC_Accelerator_Mix'!$A$2:$A$977,0)),0)</f>
        <v/>
      </c>
      <c r="P368" s="6">
        <f>IFERROR(INDEX('02b_DC_Accelerator_Mix'!$M$2:$M$977,MATCH(G368,'02b_DC_Accelerator_Mix'!$A$2:$A$977,0)),0)</f>
        <v/>
      </c>
      <c r="Q368" s="6">
        <f>IFERROR(INDEX('02b_DC_Accelerator_Mix'!$N$2:$N$977,MATCH(G368,'02b_DC_Accelerator_Mix'!$A$2:$A$977,0)),0)</f>
        <v/>
      </c>
      <c r="R368" s="28">
        <f>H368*I368</f>
        <v/>
      </c>
      <c r="S368" s="28">
        <f>H368*J368</f>
        <v/>
      </c>
      <c r="T368" s="28">
        <f>H368*K368</f>
        <v/>
      </c>
      <c r="U368" s="28">
        <f>H368*L368</f>
        <v/>
      </c>
      <c r="V368" s="28">
        <f>H368*M368</f>
        <v/>
      </c>
      <c r="W368" s="28">
        <f>H368*N368</f>
        <v/>
      </c>
      <c r="X368" s="28">
        <f>H368*O368</f>
        <v/>
      </c>
      <c r="Y368" s="28">
        <f>H368*P368</f>
        <v/>
      </c>
      <c r="Z368" s="28">
        <f>H368*Q368</f>
        <v/>
      </c>
      <c r="AA368" s="28">
        <f>SUM(U368:Z368)</f>
        <v/>
      </c>
      <c r="AB368" s="5">
        <f>IF(COUNTIF('02b_DC_Accelerator_Mix'!$A$2:$A$977,G368)&gt;0,"matched","missing_mix")</f>
        <v/>
      </c>
    </row>
    <row r="369">
      <c r="A369" s="5">
        <f>'02a_DC_Capacity_Alloc'!A369</f>
        <v/>
      </c>
      <c r="B369" s="5">
        <f>'02a_DC_Capacity_Alloc'!B369</f>
        <v/>
      </c>
      <c r="C369" s="5">
        <f>'02a_DC_Capacity_Alloc'!C369</f>
        <v/>
      </c>
      <c r="D369" s="5">
        <f>'02a_DC_Capacity_Alloc'!D369</f>
        <v/>
      </c>
      <c r="E369" s="5">
        <f>'02a_DC_Capacity_Alloc'!E369</f>
        <v/>
      </c>
      <c r="F369" s="5">
        <f>'02a_DC_Capacity_Alloc'!F369</f>
        <v/>
      </c>
      <c r="G369" s="5">
        <f>B369&amp;"|"&amp;E369&amp;"|"&amp;D369</f>
        <v/>
      </c>
      <c r="H369" s="28">
        <f>'02a_DC_Capacity_Alloc'!H369*'02a_DC_Capacity_Alloc'!I369*'02a_DC_Capacity_Alloc'!J369</f>
        <v/>
      </c>
      <c r="I369" s="6">
        <f>IFERROR(INDEX('02b_DC_Accelerator_Mix'!$F$2:$F$977,MATCH(G369,'02b_DC_Accelerator_Mix'!$A$2:$A$977,0)),0)</f>
        <v/>
      </c>
      <c r="J369" s="6">
        <f>IFERROR(INDEX('02b_DC_Accelerator_Mix'!$G$2:$G$977,MATCH(G369,'02b_DC_Accelerator_Mix'!$A$2:$A$977,0)),0)</f>
        <v/>
      </c>
      <c r="K369" s="6">
        <f>IFERROR(INDEX('02b_DC_Accelerator_Mix'!$H$2:$H$977,MATCH(G369,'02b_DC_Accelerator_Mix'!$A$2:$A$977,0)),0)</f>
        <v/>
      </c>
      <c r="L369" s="6">
        <f>IFERROR(INDEX('02b_DC_Accelerator_Mix'!$I$2:$I$977,MATCH(G369,'02b_DC_Accelerator_Mix'!$A$2:$A$977,0)),0)</f>
        <v/>
      </c>
      <c r="M369" s="6">
        <f>IFERROR(INDEX('02b_DC_Accelerator_Mix'!$J$2:$J$977,MATCH(G369,'02b_DC_Accelerator_Mix'!$A$2:$A$977,0)),0)</f>
        <v/>
      </c>
      <c r="N369" s="6">
        <f>IFERROR(INDEX('02b_DC_Accelerator_Mix'!$K$2:$K$977,MATCH(G369,'02b_DC_Accelerator_Mix'!$A$2:$A$977,0)),0)</f>
        <v/>
      </c>
      <c r="O369" s="6">
        <f>IFERROR(INDEX('02b_DC_Accelerator_Mix'!$L$2:$L$977,MATCH(G369,'02b_DC_Accelerator_Mix'!$A$2:$A$977,0)),0)</f>
        <v/>
      </c>
      <c r="P369" s="6">
        <f>IFERROR(INDEX('02b_DC_Accelerator_Mix'!$M$2:$M$977,MATCH(G369,'02b_DC_Accelerator_Mix'!$A$2:$A$977,0)),0)</f>
        <v/>
      </c>
      <c r="Q369" s="6">
        <f>IFERROR(INDEX('02b_DC_Accelerator_Mix'!$N$2:$N$977,MATCH(G369,'02b_DC_Accelerator_Mix'!$A$2:$A$977,0)),0)</f>
        <v/>
      </c>
      <c r="R369" s="28">
        <f>H369*I369</f>
        <v/>
      </c>
      <c r="S369" s="28">
        <f>H369*J369</f>
        <v/>
      </c>
      <c r="T369" s="28">
        <f>H369*K369</f>
        <v/>
      </c>
      <c r="U369" s="28">
        <f>H369*L369</f>
        <v/>
      </c>
      <c r="V369" s="28">
        <f>H369*M369</f>
        <v/>
      </c>
      <c r="W369" s="28">
        <f>H369*N369</f>
        <v/>
      </c>
      <c r="X369" s="28">
        <f>H369*O369</f>
        <v/>
      </c>
      <c r="Y369" s="28">
        <f>H369*P369</f>
        <v/>
      </c>
      <c r="Z369" s="28">
        <f>H369*Q369</f>
        <v/>
      </c>
      <c r="AA369" s="28">
        <f>SUM(U369:Z369)</f>
        <v/>
      </c>
      <c r="AB369" s="5">
        <f>IF(COUNTIF('02b_DC_Accelerator_Mix'!$A$2:$A$977,G369)&gt;0,"matched","missing_mix")</f>
        <v/>
      </c>
    </row>
    <row r="370">
      <c r="A370" s="5">
        <f>'02a_DC_Capacity_Alloc'!A370</f>
        <v/>
      </c>
      <c r="B370" s="5">
        <f>'02a_DC_Capacity_Alloc'!B370</f>
        <v/>
      </c>
      <c r="C370" s="5">
        <f>'02a_DC_Capacity_Alloc'!C370</f>
        <v/>
      </c>
      <c r="D370" s="5">
        <f>'02a_DC_Capacity_Alloc'!D370</f>
        <v/>
      </c>
      <c r="E370" s="5">
        <f>'02a_DC_Capacity_Alloc'!E370</f>
        <v/>
      </c>
      <c r="F370" s="5">
        <f>'02a_DC_Capacity_Alloc'!F370</f>
        <v/>
      </c>
      <c r="G370" s="5">
        <f>B370&amp;"|"&amp;E370&amp;"|"&amp;D370</f>
        <v/>
      </c>
      <c r="H370" s="28">
        <f>'02a_DC_Capacity_Alloc'!H370*'02a_DC_Capacity_Alloc'!I370*'02a_DC_Capacity_Alloc'!J370</f>
        <v/>
      </c>
      <c r="I370" s="6">
        <f>IFERROR(INDEX('02b_DC_Accelerator_Mix'!$F$2:$F$977,MATCH(G370,'02b_DC_Accelerator_Mix'!$A$2:$A$977,0)),0)</f>
        <v/>
      </c>
      <c r="J370" s="6">
        <f>IFERROR(INDEX('02b_DC_Accelerator_Mix'!$G$2:$G$977,MATCH(G370,'02b_DC_Accelerator_Mix'!$A$2:$A$977,0)),0)</f>
        <v/>
      </c>
      <c r="K370" s="6">
        <f>IFERROR(INDEX('02b_DC_Accelerator_Mix'!$H$2:$H$977,MATCH(G370,'02b_DC_Accelerator_Mix'!$A$2:$A$977,0)),0)</f>
        <v/>
      </c>
      <c r="L370" s="6">
        <f>IFERROR(INDEX('02b_DC_Accelerator_Mix'!$I$2:$I$977,MATCH(G370,'02b_DC_Accelerator_Mix'!$A$2:$A$977,0)),0)</f>
        <v/>
      </c>
      <c r="M370" s="6">
        <f>IFERROR(INDEX('02b_DC_Accelerator_Mix'!$J$2:$J$977,MATCH(G370,'02b_DC_Accelerator_Mix'!$A$2:$A$977,0)),0)</f>
        <v/>
      </c>
      <c r="N370" s="6">
        <f>IFERROR(INDEX('02b_DC_Accelerator_Mix'!$K$2:$K$977,MATCH(G370,'02b_DC_Accelerator_Mix'!$A$2:$A$977,0)),0)</f>
        <v/>
      </c>
      <c r="O370" s="6">
        <f>IFERROR(INDEX('02b_DC_Accelerator_Mix'!$L$2:$L$977,MATCH(G370,'02b_DC_Accelerator_Mix'!$A$2:$A$977,0)),0)</f>
        <v/>
      </c>
      <c r="P370" s="6">
        <f>IFERROR(INDEX('02b_DC_Accelerator_Mix'!$M$2:$M$977,MATCH(G370,'02b_DC_Accelerator_Mix'!$A$2:$A$977,0)),0)</f>
        <v/>
      </c>
      <c r="Q370" s="6">
        <f>IFERROR(INDEX('02b_DC_Accelerator_Mix'!$N$2:$N$977,MATCH(G370,'02b_DC_Accelerator_Mix'!$A$2:$A$977,0)),0)</f>
        <v/>
      </c>
      <c r="R370" s="28">
        <f>H370*I370</f>
        <v/>
      </c>
      <c r="S370" s="28">
        <f>H370*J370</f>
        <v/>
      </c>
      <c r="T370" s="28">
        <f>H370*K370</f>
        <v/>
      </c>
      <c r="U370" s="28">
        <f>H370*L370</f>
        <v/>
      </c>
      <c r="V370" s="28">
        <f>H370*M370</f>
        <v/>
      </c>
      <c r="W370" s="28">
        <f>H370*N370</f>
        <v/>
      </c>
      <c r="X370" s="28">
        <f>H370*O370</f>
        <v/>
      </c>
      <c r="Y370" s="28">
        <f>H370*P370</f>
        <v/>
      </c>
      <c r="Z370" s="28">
        <f>H370*Q370</f>
        <v/>
      </c>
      <c r="AA370" s="28">
        <f>SUM(U370:Z370)</f>
        <v/>
      </c>
      <c r="AB370" s="5">
        <f>IF(COUNTIF('02b_DC_Accelerator_Mix'!$A$2:$A$977,G370)&gt;0,"matched","missing_mix")</f>
        <v/>
      </c>
    </row>
    <row r="371">
      <c r="A371" s="5">
        <f>'02a_DC_Capacity_Alloc'!A371</f>
        <v/>
      </c>
      <c r="B371" s="5">
        <f>'02a_DC_Capacity_Alloc'!B371</f>
        <v/>
      </c>
      <c r="C371" s="5">
        <f>'02a_DC_Capacity_Alloc'!C371</f>
        <v/>
      </c>
      <c r="D371" s="5">
        <f>'02a_DC_Capacity_Alloc'!D371</f>
        <v/>
      </c>
      <c r="E371" s="5">
        <f>'02a_DC_Capacity_Alloc'!E371</f>
        <v/>
      </c>
      <c r="F371" s="5">
        <f>'02a_DC_Capacity_Alloc'!F371</f>
        <v/>
      </c>
      <c r="G371" s="5">
        <f>B371&amp;"|"&amp;E371&amp;"|"&amp;D371</f>
        <v/>
      </c>
      <c r="H371" s="28">
        <f>'02a_DC_Capacity_Alloc'!H371*'02a_DC_Capacity_Alloc'!I371*'02a_DC_Capacity_Alloc'!J371</f>
        <v/>
      </c>
      <c r="I371" s="6">
        <f>IFERROR(INDEX('02b_DC_Accelerator_Mix'!$F$2:$F$977,MATCH(G371,'02b_DC_Accelerator_Mix'!$A$2:$A$977,0)),0)</f>
        <v/>
      </c>
      <c r="J371" s="6">
        <f>IFERROR(INDEX('02b_DC_Accelerator_Mix'!$G$2:$G$977,MATCH(G371,'02b_DC_Accelerator_Mix'!$A$2:$A$977,0)),0)</f>
        <v/>
      </c>
      <c r="K371" s="6">
        <f>IFERROR(INDEX('02b_DC_Accelerator_Mix'!$H$2:$H$977,MATCH(G371,'02b_DC_Accelerator_Mix'!$A$2:$A$977,0)),0)</f>
        <v/>
      </c>
      <c r="L371" s="6">
        <f>IFERROR(INDEX('02b_DC_Accelerator_Mix'!$I$2:$I$977,MATCH(G371,'02b_DC_Accelerator_Mix'!$A$2:$A$977,0)),0)</f>
        <v/>
      </c>
      <c r="M371" s="6">
        <f>IFERROR(INDEX('02b_DC_Accelerator_Mix'!$J$2:$J$977,MATCH(G371,'02b_DC_Accelerator_Mix'!$A$2:$A$977,0)),0)</f>
        <v/>
      </c>
      <c r="N371" s="6">
        <f>IFERROR(INDEX('02b_DC_Accelerator_Mix'!$K$2:$K$977,MATCH(G371,'02b_DC_Accelerator_Mix'!$A$2:$A$977,0)),0)</f>
        <v/>
      </c>
      <c r="O371" s="6">
        <f>IFERROR(INDEX('02b_DC_Accelerator_Mix'!$L$2:$L$977,MATCH(G371,'02b_DC_Accelerator_Mix'!$A$2:$A$977,0)),0)</f>
        <v/>
      </c>
      <c r="P371" s="6">
        <f>IFERROR(INDEX('02b_DC_Accelerator_Mix'!$M$2:$M$977,MATCH(G371,'02b_DC_Accelerator_Mix'!$A$2:$A$977,0)),0)</f>
        <v/>
      </c>
      <c r="Q371" s="6">
        <f>IFERROR(INDEX('02b_DC_Accelerator_Mix'!$N$2:$N$977,MATCH(G371,'02b_DC_Accelerator_Mix'!$A$2:$A$977,0)),0)</f>
        <v/>
      </c>
      <c r="R371" s="28">
        <f>H371*I371</f>
        <v/>
      </c>
      <c r="S371" s="28">
        <f>H371*J371</f>
        <v/>
      </c>
      <c r="T371" s="28">
        <f>H371*K371</f>
        <v/>
      </c>
      <c r="U371" s="28">
        <f>H371*L371</f>
        <v/>
      </c>
      <c r="V371" s="28">
        <f>H371*M371</f>
        <v/>
      </c>
      <c r="W371" s="28">
        <f>H371*N371</f>
        <v/>
      </c>
      <c r="X371" s="28">
        <f>H371*O371</f>
        <v/>
      </c>
      <c r="Y371" s="28">
        <f>H371*P371</f>
        <v/>
      </c>
      <c r="Z371" s="28">
        <f>H371*Q371</f>
        <v/>
      </c>
      <c r="AA371" s="28">
        <f>SUM(U371:Z371)</f>
        <v/>
      </c>
      <c r="AB371" s="5">
        <f>IF(COUNTIF('02b_DC_Accelerator_Mix'!$A$2:$A$977,G371)&gt;0,"matched","missing_mix")</f>
        <v/>
      </c>
    </row>
    <row r="372">
      <c r="A372" s="5">
        <f>'02a_DC_Capacity_Alloc'!A372</f>
        <v/>
      </c>
      <c r="B372" s="5">
        <f>'02a_DC_Capacity_Alloc'!B372</f>
        <v/>
      </c>
      <c r="C372" s="5">
        <f>'02a_DC_Capacity_Alloc'!C372</f>
        <v/>
      </c>
      <c r="D372" s="5">
        <f>'02a_DC_Capacity_Alloc'!D372</f>
        <v/>
      </c>
      <c r="E372" s="5">
        <f>'02a_DC_Capacity_Alloc'!E372</f>
        <v/>
      </c>
      <c r="F372" s="5">
        <f>'02a_DC_Capacity_Alloc'!F372</f>
        <v/>
      </c>
      <c r="G372" s="5">
        <f>B372&amp;"|"&amp;E372&amp;"|"&amp;D372</f>
        <v/>
      </c>
      <c r="H372" s="28">
        <f>'02a_DC_Capacity_Alloc'!H372*'02a_DC_Capacity_Alloc'!I372*'02a_DC_Capacity_Alloc'!J372</f>
        <v/>
      </c>
      <c r="I372" s="6">
        <f>IFERROR(INDEX('02b_DC_Accelerator_Mix'!$F$2:$F$977,MATCH(G372,'02b_DC_Accelerator_Mix'!$A$2:$A$977,0)),0)</f>
        <v/>
      </c>
      <c r="J372" s="6">
        <f>IFERROR(INDEX('02b_DC_Accelerator_Mix'!$G$2:$G$977,MATCH(G372,'02b_DC_Accelerator_Mix'!$A$2:$A$977,0)),0)</f>
        <v/>
      </c>
      <c r="K372" s="6">
        <f>IFERROR(INDEX('02b_DC_Accelerator_Mix'!$H$2:$H$977,MATCH(G372,'02b_DC_Accelerator_Mix'!$A$2:$A$977,0)),0)</f>
        <v/>
      </c>
      <c r="L372" s="6">
        <f>IFERROR(INDEX('02b_DC_Accelerator_Mix'!$I$2:$I$977,MATCH(G372,'02b_DC_Accelerator_Mix'!$A$2:$A$977,0)),0)</f>
        <v/>
      </c>
      <c r="M372" s="6">
        <f>IFERROR(INDEX('02b_DC_Accelerator_Mix'!$J$2:$J$977,MATCH(G372,'02b_DC_Accelerator_Mix'!$A$2:$A$977,0)),0)</f>
        <v/>
      </c>
      <c r="N372" s="6">
        <f>IFERROR(INDEX('02b_DC_Accelerator_Mix'!$K$2:$K$977,MATCH(G372,'02b_DC_Accelerator_Mix'!$A$2:$A$977,0)),0)</f>
        <v/>
      </c>
      <c r="O372" s="6">
        <f>IFERROR(INDEX('02b_DC_Accelerator_Mix'!$L$2:$L$977,MATCH(G372,'02b_DC_Accelerator_Mix'!$A$2:$A$977,0)),0)</f>
        <v/>
      </c>
      <c r="P372" s="6">
        <f>IFERROR(INDEX('02b_DC_Accelerator_Mix'!$M$2:$M$977,MATCH(G372,'02b_DC_Accelerator_Mix'!$A$2:$A$977,0)),0)</f>
        <v/>
      </c>
      <c r="Q372" s="6">
        <f>IFERROR(INDEX('02b_DC_Accelerator_Mix'!$N$2:$N$977,MATCH(G372,'02b_DC_Accelerator_Mix'!$A$2:$A$977,0)),0)</f>
        <v/>
      </c>
      <c r="R372" s="28">
        <f>H372*I372</f>
        <v/>
      </c>
      <c r="S372" s="28">
        <f>H372*J372</f>
        <v/>
      </c>
      <c r="T372" s="28">
        <f>H372*K372</f>
        <v/>
      </c>
      <c r="U372" s="28">
        <f>H372*L372</f>
        <v/>
      </c>
      <c r="V372" s="28">
        <f>H372*M372</f>
        <v/>
      </c>
      <c r="W372" s="28">
        <f>H372*N372</f>
        <v/>
      </c>
      <c r="X372" s="28">
        <f>H372*O372</f>
        <v/>
      </c>
      <c r="Y372" s="28">
        <f>H372*P372</f>
        <v/>
      </c>
      <c r="Z372" s="28">
        <f>H372*Q372</f>
        <v/>
      </c>
      <c r="AA372" s="28">
        <f>SUM(U372:Z372)</f>
        <v/>
      </c>
      <c r="AB372" s="5">
        <f>IF(COUNTIF('02b_DC_Accelerator_Mix'!$A$2:$A$977,G372)&gt;0,"matched","missing_mix")</f>
        <v/>
      </c>
    </row>
    <row r="373">
      <c r="A373" s="5">
        <f>'02a_DC_Capacity_Alloc'!A373</f>
        <v/>
      </c>
      <c r="B373" s="5">
        <f>'02a_DC_Capacity_Alloc'!B373</f>
        <v/>
      </c>
      <c r="C373" s="5">
        <f>'02a_DC_Capacity_Alloc'!C373</f>
        <v/>
      </c>
      <c r="D373" s="5">
        <f>'02a_DC_Capacity_Alloc'!D373</f>
        <v/>
      </c>
      <c r="E373" s="5">
        <f>'02a_DC_Capacity_Alloc'!E373</f>
        <v/>
      </c>
      <c r="F373" s="5">
        <f>'02a_DC_Capacity_Alloc'!F373</f>
        <v/>
      </c>
      <c r="G373" s="5">
        <f>B373&amp;"|"&amp;E373&amp;"|"&amp;D373</f>
        <v/>
      </c>
      <c r="H373" s="28">
        <f>'02a_DC_Capacity_Alloc'!H373*'02a_DC_Capacity_Alloc'!I373*'02a_DC_Capacity_Alloc'!J373</f>
        <v/>
      </c>
      <c r="I373" s="6">
        <f>IFERROR(INDEX('02b_DC_Accelerator_Mix'!$F$2:$F$977,MATCH(G373,'02b_DC_Accelerator_Mix'!$A$2:$A$977,0)),0)</f>
        <v/>
      </c>
      <c r="J373" s="6">
        <f>IFERROR(INDEX('02b_DC_Accelerator_Mix'!$G$2:$G$977,MATCH(G373,'02b_DC_Accelerator_Mix'!$A$2:$A$977,0)),0)</f>
        <v/>
      </c>
      <c r="K373" s="6">
        <f>IFERROR(INDEX('02b_DC_Accelerator_Mix'!$H$2:$H$977,MATCH(G373,'02b_DC_Accelerator_Mix'!$A$2:$A$977,0)),0)</f>
        <v/>
      </c>
      <c r="L373" s="6">
        <f>IFERROR(INDEX('02b_DC_Accelerator_Mix'!$I$2:$I$977,MATCH(G373,'02b_DC_Accelerator_Mix'!$A$2:$A$977,0)),0)</f>
        <v/>
      </c>
      <c r="M373" s="6">
        <f>IFERROR(INDEX('02b_DC_Accelerator_Mix'!$J$2:$J$977,MATCH(G373,'02b_DC_Accelerator_Mix'!$A$2:$A$977,0)),0)</f>
        <v/>
      </c>
      <c r="N373" s="6">
        <f>IFERROR(INDEX('02b_DC_Accelerator_Mix'!$K$2:$K$977,MATCH(G373,'02b_DC_Accelerator_Mix'!$A$2:$A$977,0)),0)</f>
        <v/>
      </c>
      <c r="O373" s="6">
        <f>IFERROR(INDEX('02b_DC_Accelerator_Mix'!$L$2:$L$977,MATCH(G373,'02b_DC_Accelerator_Mix'!$A$2:$A$977,0)),0)</f>
        <v/>
      </c>
      <c r="P373" s="6">
        <f>IFERROR(INDEX('02b_DC_Accelerator_Mix'!$M$2:$M$977,MATCH(G373,'02b_DC_Accelerator_Mix'!$A$2:$A$977,0)),0)</f>
        <v/>
      </c>
      <c r="Q373" s="6">
        <f>IFERROR(INDEX('02b_DC_Accelerator_Mix'!$N$2:$N$977,MATCH(G373,'02b_DC_Accelerator_Mix'!$A$2:$A$977,0)),0)</f>
        <v/>
      </c>
      <c r="R373" s="28">
        <f>H373*I373</f>
        <v/>
      </c>
      <c r="S373" s="28">
        <f>H373*J373</f>
        <v/>
      </c>
      <c r="T373" s="28">
        <f>H373*K373</f>
        <v/>
      </c>
      <c r="U373" s="28">
        <f>H373*L373</f>
        <v/>
      </c>
      <c r="V373" s="28">
        <f>H373*M373</f>
        <v/>
      </c>
      <c r="W373" s="28">
        <f>H373*N373</f>
        <v/>
      </c>
      <c r="X373" s="28">
        <f>H373*O373</f>
        <v/>
      </c>
      <c r="Y373" s="28">
        <f>H373*P373</f>
        <v/>
      </c>
      <c r="Z373" s="28">
        <f>H373*Q373</f>
        <v/>
      </c>
      <c r="AA373" s="28">
        <f>SUM(U373:Z373)</f>
        <v/>
      </c>
      <c r="AB373" s="5">
        <f>IF(COUNTIF('02b_DC_Accelerator_Mix'!$A$2:$A$977,G373)&gt;0,"matched","missing_mix")</f>
        <v/>
      </c>
    </row>
    <row r="374">
      <c r="A374" s="5">
        <f>'02a_DC_Capacity_Alloc'!A374</f>
        <v/>
      </c>
      <c r="B374" s="5">
        <f>'02a_DC_Capacity_Alloc'!B374</f>
        <v/>
      </c>
      <c r="C374" s="5">
        <f>'02a_DC_Capacity_Alloc'!C374</f>
        <v/>
      </c>
      <c r="D374" s="5">
        <f>'02a_DC_Capacity_Alloc'!D374</f>
        <v/>
      </c>
      <c r="E374" s="5">
        <f>'02a_DC_Capacity_Alloc'!E374</f>
        <v/>
      </c>
      <c r="F374" s="5">
        <f>'02a_DC_Capacity_Alloc'!F374</f>
        <v/>
      </c>
      <c r="G374" s="5">
        <f>B374&amp;"|"&amp;E374&amp;"|"&amp;D374</f>
        <v/>
      </c>
      <c r="H374" s="28">
        <f>'02a_DC_Capacity_Alloc'!H374*'02a_DC_Capacity_Alloc'!I374*'02a_DC_Capacity_Alloc'!J374</f>
        <v/>
      </c>
      <c r="I374" s="6">
        <f>IFERROR(INDEX('02b_DC_Accelerator_Mix'!$F$2:$F$977,MATCH(G374,'02b_DC_Accelerator_Mix'!$A$2:$A$977,0)),0)</f>
        <v/>
      </c>
      <c r="J374" s="6">
        <f>IFERROR(INDEX('02b_DC_Accelerator_Mix'!$G$2:$G$977,MATCH(G374,'02b_DC_Accelerator_Mix'!$A$2:$A$977,0)),0)</f>
        <v/>
      </c>
      <c r="K374" s="6">
        <f>IFERROR(INDEX('02b_DC_Accelerator_Mix'!$H$2:$H$977,MATCH(G374,'02b_DC_Accelerator_Mix'!$A$2:$A$977,0)),0)</f>
        <v/>
      </c>
      <c r="L374" s="6">
        <f>IFERROR(INDEX('02b_DC_Accelerator_Mix'!$I$2:$I$977,MATCH(G374,'02b_DC_Accelerator_Mix'!$A$2:$A$977,0)),0)</f>
        <v/>
      </c>
      <c r="M374" s="6">
        <f>IFERROR(INDEX('02b_DC_Accelerator_Mix'!$J$2:$J$977,MATCH(G374,'02b_DC_Accelerator_Mix'!$A$2:$A$977,0)),0)</f>
        <v/>
      </c>
      <c r="N374" s="6">
        <f>IFERROR(INDEX('02b_DC_Accelerator_Mix'!$K$2:$K$977,MATCH(G374,'02b_DC_Accelerator_Mix'!$A$2:$A$977,0)),0)</f>
        <v/>
      </c>
      <c r="O374" s="6">
        <f>IFERROR(INDEX('02b_DC_Accelerator_Mix'!$L$2:$L$977,MATCH(G374,'02b_DC_Accelerator_Mix'!$A$2:$A$977,0)),0)</f>
        <v/>
      </c>
      <c r="P374" s="6">
        <f>IFERROR(INDEX('02b_DC_Accelerator_Mix'!$M$2:$M$977,MATCH(G374,'02b_DC_Accelerator_Mix'!$A$2:$A$977,0)),0)</f>
        <v/>
      </c>
      <c r="Q374" s="6">
        <f>IFERROR(INDEX('02b_DC_Accelerator_Mix'!$N$2:$N$977,MATCH(G374,'02b_DC_Accelerator_Mix'!$A$2:$A$977,0)),0)</f>
        <v/>
      </c>
      <c r="R374" s="28">
        <f>H374*I374</f>
        <v/>
      </c>
      <c r="S374" s="28">
        <f>H374*J374</f>
        <v/>
      </c>
      <c r="T374" s="28">
        <f>H374*K374</f>
        <v/>
      </c>
      <c r="U374" s="28">
        <f>H374*L374</f>
        <v/>
      </c>
      <c r="V374" s="28">
        <f>H374*M374</f>
        <v/>
      </c>
      <c r="W374" s="28">
        <f>H374*N374</f>
        <v/>
      </c>
      <c r="X374" s="28">
        <f>H374*O374</f>
        <v/>
      </c>
      <c r="Y374" s="28">
        <f>H374*P374</f>
        <v/>
      </c>
      <c r="Z374" s="28">
        <f>H374*Q374</f>
        <v/>
      </c>
      <c r="AA374" s="28">
        <f>SUM(U374:Z374)</f>
        <v/>
      </c>
      <c r="AB374" s="5">
        <f>IF(COUNTIF('02b_DC_Accelerator_Mix'!$A$2:$A$977,G374)&gt;0,"matched","missing_mix")</f>
        <v/>
      </c>
    </row>
    <row r="375">
      <c r="A375" s="5">
        <f>'02a_DC_Capacity_Alloc'!A375</f>
        <v/>
      </c>
      <c r="B375" s="5">
        <f>'02a_DC_Capacity_Alloc'!B375</f>
        <v/>
      </c>
      <c r="C375" s="5">
        <f>'02a_DC_Capacity_Alloc'!C375</f>
        <v/>
      </c>
      <c r="D375" s="5">
        <f>'02a_DC_Capacity_Alloc'!D375</f>
        <v/>
      </c>
      <c r="E375" s="5">
        <f>'02a_DC_Capacity_Alloc'!E375</f>
        <v/>
      </c>
      <c r="F375" s="5">
        <f>'02a_DC_Capacity_Alloc'!F375</f>
        <v/>
      </c>
      <c r="G375" s="5">
        <f>B375&amp;"|"&amp;E375&amp;"|"&amp;D375</f>
        <v/>
      </c>
      <c r="H375" s="28">
        <f>'02a_DC_Capacity_Alloc'!H375*'02a_DC_Capacity_Alloc'!I375*'02a_DC_Capacity_Alloc'!J375</f>
        <v/>
      </c>
      <c r="I375" s="6">
        <f>IFERROR(INDEX('02b_DC_Accelerator_Mix'!$F$2:$F$977,MATCH(G375,'02b_DC_Accelerator_Mix'!$A$2:$A$977,0)),0)</f>
        <v/>
      </c>
      <c r="J375" s="6">
        <f>IFERROR(INDEX('02b_DC_Accelerator_Mix'!$G$2:$G$977,MATCH(G375,'02b_DC_Accelerator_Mix'!$A$2:$A$977,0)),0)</f>
        <v/>
      </c>
      <c r="K375" s="6">
        <f>IFERROR(INDEX('02b_DC_Accelerator_Mix'!$H$2:$H$977,MATCH(G375,'02b_DC_Accelerator_Mix'!$A$2:$A$977,0)),0)</f>
        <v/>
      </c>
      <c r="L375" s="6">
        <f>IFERROR(INDEX('02b_DC_Accelerator_Mix'!$I$2:$I$977,MATCH(G375,'02b_DC_Accelerator_Mix'!$A$2:$A$977,0)),0)</f>
        <v/>
      </c>
      <c r="M375" s="6">
        <f>IFERROR(INDEX('02b_DC_Accelerator_Mix'!$J$2:$J$977,MATCH(G375,'02b_DC_Accelerator_Mix'!$A$2:$A$977,0)),0)</f>
        <v/>
      </c>
      <c r="N375" s="6">
        <f>IFERROR(INDEX('02b_DC_Accelerator_Mix'!$K$2:$K$977,MATCH(G375,'02b_DC_Accelerator_Mix'!$A$2:$A$977,0)),0)</f>
        <v/>
      </c>
      <c r="O375" s="6">
        <f>IFERROR(INDEX('02b_DC_Accelerator_Mix'!$L$2:$L$977,MATCH(G375,'02b_DC_Accelerator_Mix'!$A$2:$A$977,0)),0)</f>
        <v/>
      </c>
      <c r="P375" s="6">
        <f>IFERROR(INDEX('02b_DC_Accelerator_Mix'!$M$2:$M$977,MATCH(G375,'02b_DC_Accelerator_Mix'!$A$2:$A$977,0)),0)</f>
        <v/>
      </c>
      <c r="Q375" s="6">
        <f>IFERROR(INDEX('02b_DC_Accelerator_Mix'!$N$2:$N$977,MATCH(G375,'02b_DC_Accelerator_Mix'!$A$2:$A$977,0)),0)</f>
        <v/>
      </c>
      <c r="R375" s="28">
        <f>H375*I375</f>
        <v/>
      </c>
      <c r="S375" s="28">
        <f>H375*J375</f>
        <v/>
      </c>
      <c r="T375" s="28">
        <f>H375*K375</f>
        <v/>
      </c>
      <c r="U375" s="28">
        <f>H375*L375</f>
        <v/>
      </c>
      <c r="V375" s="28">
        <f>H375*M375</f>
        <v/>
      </c>
      <c r="W375" s="28">
        <f>H375*N375</f>
        <v/>
      </c>
      <c r="X375" s="28">
        <f>H375*O375</f>
        <v/>
      </c>
      <c r="Y375" s="28">
        <f>H375*P375</f>
        <v/>
      </c>
      <c r="Z375" s="28">
        <f>H375*Q375</f>
        <v/>
      </c>
      <c r="AA375" s="28">
        <f>SUM(U375:Z375)</f>
        <v/>
      </c>
      <c r="AB375" s="5">
        <f>IF(COUNTIF('02b_DC_Accelerator_Mix'!$A$2:$A$977,G375)&gt;0,"matched","missing_mix")</f>
        <v/>
      </c>
    </row>
    <row r="376">
      <c r="A376" s="5">
        <f>'02a_DC_Capacity_Alloc'!A376</f>
        <v/>
      </c>
      <c r="B376" s="5">
        <f>'02a_DC_Capacity_Alloc'!B376</f>
        <v/>
      </c>
      <c r="C376" s="5">
        <f>'02a_DC_Capacity_Alloc'!C376</f>
        <v/>
      </c>
      <c r="D376" s="5">
        <f>'02a_DC_Capacity_Alloc'!D376</f>
        <v/>
      </c>
      <c r="E376" s="5">
        <f>'02a_DC_Capacity_Alloc'!E376</f>
        <v/>
      </c>
      <c r="F376" s="5">
        <f>'02a_DC_Capacity_Alloc'!F376</f>
        <v/>
      </c>
      <c r="G376" s="5">
        <f>B376&amp;"|"&amp;E376&amp;"|"&amp;D376</f>
        <v/>
      </c>
      <c r="H376" s="28">
        <f>'02a_DC_Capacity_Alloc'!H376*'02a_DC_Capacity_Alloc'!I376*'02a_DC_Capacity_Alloc'!J376</f>
        <v/>
      </c>
      <c r="I376" s="6">
        <f>IFERROR(INDEX('02b_DC_Accelerator_Mix'!$F$2:$F$977,MATCH(G376,'02b_DC_Accelerator_Mix'!$A$2:$A$977,0)),0)</f>
        <v/>
      </c>
      <c r="J376" s="6">
        <f>IFERROR(INDEX('02b_DC_Accelerator_Mix'!$G$2:$G$977,MATCH(G376,'02b_DC_Accelerator_Mix'!$A$2:$A$977,0)),0)</f>
        <v/>
      </c>
      <c r="K376" s="6">
        <f>IFERROR(INDEX('02b_DC_Accelerator_Mix'!$H$2:$H$977,MATCH(G376,'02b_DC_Accelerator_Mix'!$A$2:$A$977,0)),0)</f>
        <v/>
      </c>
      <c r="L376" s="6">
        <f>IFERROR(INDEX('02b_DC_Accelerator_Mix'!$I$2:$I$977,MATCH(G376,'02b_DC_Accelerator_Mix'!$A$2:$A$977,0)),0)</f>
        <v/>
      </c>
      <c r="M376" s="6">
        <f>IFERROR(INDEX('02b_DC_Accelerator_Mix'!$J$2:$J$977,MATCH(G376,'02b_DC_Accelerator_Mix'!$A$2:$A$977,0)),0)</f>
        <v/>
      </c>
      <c r="N376" s="6">
        <f>IFERROR(INDEX('02b_DC_Accelerator_Mix'!$K$2:$K$977,MATCH(G376,'02b_DC_Accelerator_Mix'!$A$2:$A$977,0)),0)</f>
        <v/>
      </c>
      <c r="O376" s="6">
        <f>IFERROR(INDEX('02b_DC_Accelerator_Mix'!$L$2:$L$977,MATCH(G376,'02b_DC_Accelerator_Mix'!$A$2:$A$977,0)),0)</f>
        <v/>
      </c>
      <c r="P376" s="6">
        <f>IFERROR(INDEX('02b_DC_Accelerator_Mix'!$M$2:$M$977,MATCH(G376,'02b_DC_Accelerator_Mix'!$A$2:$A$977,0)),0)</f>
        <v/>
      </c>
      <c r="Q376" s="6">
        <f>IFERROR(INDEX('02b_DC_Accelerator_Mix'!$N$2:$N$977,MATCH(G376,'02b_DC_Accelerator_Mix'!$A$2:$A$977,0)),0)</f>
        <v/>
      </c>
      <c r="R376" s="28">
        <f>H376*I376</f>
        <v/>
      </c>
      <c r="S376" s="28">
        <f>H376*J376</f>
        <v/>
      </c>
      <c r="T376" s="28">
        <f>H376*K376</f>
        <v/>
      </c>
      <c r="U376" s="28">
        <f>H376*L376</f>
        <v/>
      </c>
      <c r="V376" s="28">
        <f>H376*M376</f>
        <v/>
      </c>
      <c r="W376" s="28">
        <f>H376*N376</f>
        <v/>
      </c>
      <c r="X376" s="28">
        <f>H376*O376</f>
        <v/>
      </c>
      <c r="Y376" s="28">
        <f>H376*P376</f>
        <v/>
      </c>
      <c r="Z376" s="28">
        <f>H376*Q376</f>
        <v/>
      </c>
      <c r="AA376" s="28">
        <f>SUM(U376:Z376)</f>
        <v/>
      </c>
      <c r="AB376" s="5">
        <f>IF(COUNTIF('02b_DC_Accelerator_Mix'!$A$2:$A$977,G376)&gt;0,"matched","missing_mix")</f>
        <v/>
      </c>
    </row>
    <row r="377">
      <c r="A377" s="5">
        <f>'02a_DC_Capacity_Alloc'!A377</f>
        <v/>
      </c>
      <c r="B377" s="5">
        <f>'02a_DC_Capacity_Alloc'!B377</f>
        <v/>
      </c>
      <c r="C377" s="5">
        <f>'02a_DC_Capacity_Alloc'!C377</f>
        <v/>
      </c>
      <c r="D377" s="5">
        <f>'02a_DC_Capacity_Alloc'!D377</f>
        <v/>
      </c>
      <c r="E377" s="5">
        <f>'02a_DC_Capacity_Alloc'!E377</f>
        <v/>
      </c>
      <c r="F377" s="5">
        <f>'02a_DC_Capacity_Alloc'!F377</f>
        <v/>
      </c>
      <c r="G377" s="5">
        <f>B377&amp;"|"&amp;E377&amp;"|"&amp;D377</f>
        <v/>
      </c>
      <c r="H377" s="28">
        <f>'02a_DC_Capacity_Alloc'!H377*'02a_DC_Capacity_Alloc'!I377*'02a_DC_Capacity_Alloc'!J377</f>
        <v/>
      </c>
      <c r="I377" s="6">
        <f>IFERROR(INDEX('02b_DC_Accelerator_Mix'!$F$2:$F$977,MATCH(G377,'02b_DC_Accelerator_Mix'!$A$2:$A$977,0)),0)</f>
        <v/>
      </c>
      <c r="J377" s="6">
        <f>IFERROR(INDEX('02b_DC_Accelerator_Mix'!$G$2:$G$977,MATCH(G377,'02b_DC_Accelerator_Mix'!$A$2:$A$977,0)),0)</f>
        <v/>
      </c>
      <c r="K377" s="6">
        <f>IFERROR(INDEX('02b_DC_Accelerator_Mix'!$H$2:$H$977,MATCH(G377,'02b_DC_Accelerator_Mix'!$A$2:$A$977,0)),0)</f>
        <v/>
      </c>
      <c r="L377" s="6">
        <f>IFERROR(INDEX('02b_DC_Accelerator_Mix'!$I$2:$I$977,MATCH(G377,'02b_DC_Accelerator_Mix'!$A$2:$A$977,0)),0)</f>
        <v/>
      </c>
      <c r="M377" s="6">
        <f>IFERROR(INDEX('02b_DC_Accelerator_Mix'!$J$2:$J$977,MATCH(G377,'02b_DC_Accelerator_Mix'!$A$2:$A$977,0)),0)</f>
        <v/>
      </c>
      <c r="N377" s="6">
        <f>IFERROR(INDEX('02b_DC_Accelerator_Mix'!$K$2:$K$977,MATCH(G377,'02b_DC_Accelerator_Mix'!$A$2:$A$977,0)),0)</f>
        <v/>
      </c>
      <c r="O377" s="6">
        <f>IFERROR(INDEX('02b_DC_Accelerator_Mix'!$L$2:$L$977,MATCH(G377,'02b_DC_Accelerator_Mix'!$A$2:$A$977,0)),0)</f>
        <v/>
      </c>
      <c r="P377" s="6">
        <f>IFERROR(INDEX('02b_DC_Accelerator_Mix'!$M$2:$M$977,MATCH(G377,'02b_DC_Accelerator_Mix'!$A$2:$A$977,0)),0)</f>
        <v/>
      </c>
      <c r="Q377" s="6">
        <f>IFERROR(INDEX('02b_DC_Accelerator_Mix'!$N$2:$N$977,MATCH(G377,'02b_DC_Accelerator_Mix'!$A$2:$A$977,0)),0)</f>
        <v/>
      </c>
      <c r="R377" s="28">
        <f>H377*I377</f>
        <v/>
      </c>
      <c r="S377" s="28">
        <f>H377*J377</f>
        <v/>
      </c>
      <c r="T377" s="28">
        <f>H377*K377</f>
        <v/>
      </c>
      <c r="U377" s="28">
        <f>H377*L377</f>
        <v/>
      </c>
      <c r="V377" s="28">
        <f>H377*M377</f>
        <v/>
      </c>
      <c r="W377" s="28">
        <f>H377*N377</f>
        <v/>
      </c>
      <c r="X377" s="28">
        <f>H377*O377</f>
        <v/>
      </c>
      <c r="Y377" s="28">
        <f>H377*P377</f>
        <v/>
      </c>
      <c r="Z377" s="28">
        <f>H377*Q377</f>
        <v/>
      </c>
      <c r="AA377" s="28">
        <f>SUM(U377:Z377)</f>
        <v/>
      </c>
      <c r="AB377" s="5">
        <f>IF(COUNTIF('02b_DC_Accelerator_Mix'!$A$2:$A$977,G377)&gt;0,"matched","missing_mix")</f>
        <v/>
      </c>
    </row>
    <row r="378">
      <c r="A378" s="5">
        <f>'02a_DC_Capacity_Alloc'!A378</f>
        <v/>
      </c>
      <c r="B378" s="5">
        <f>'02a_DC_Capacity_Alloc'!B378</f>
        <v/>
      </c>
      <c r="C378" s="5">
        <f>'02a_DC_Capacity_Alloc'!C378</f>
        <v/>
      </c>
      <c r="D378" s="5">
        <f>'02a_DC_Capacity_Alloc'!D378</f>
        <v/>
      </c>
      <c r="E378" s="5">
        <f>'02a_DC_Capacity_Alloc'!E378</f>
        <v/>
      </c>
      <c r="F378" s="5">
        <f>'02a_DC_Capacity_Alloc'!F378</f>
        <v/>
      </c>
      <c r="G378" s="5">
        <f>B378&amp;"|"&amp;E378&amp;"|"&amp;D378</f>
        <v/>
      </c>
      <c r="H378" s="28">
        <f>'02a_DC_Capacity_Alloc'!H378*'02a_DC_Capacity_Alloc'!I378*'02a_DC_Capacity_Alloc'!J378</f>
        <v/>
      </c>
      <c r="I378" s="6">
        <f>IFERROR(INDEX('02b_DC_Accelerator_Mix'!$F$2:$F$977,MATCH(G378,'02b_DC_Accelerator_Mix'!$A$2:$A$977,0)),0)</f>
        <v/>
      </c>
      <c r="J378" s="6">
        <f>IFERROR(INDEX('02b_DC_Accelerator_Mix'!$G$2:$G$977,MATCH(G378,'02b_DC_Accelerator_Mix'!$A$2:$A$977,0)),0)</f>
        <v/>
      </c>
      <c r="K378" s="6">
        <f>IFERROR(INDEX('02b_DC_Accelerator_Mix'!$H$2:$H$977,MATCH(G378,'02b_DC_Accelerator_Mix'!$A$2:$A$977,0)),0)</f>
        <v/>
      </c>
      <c r="L378" s="6">
        <f>IFERROR(INDEX('02b_DC_Accelerator_Mix'!$I$2:$I$977,MATCH(G378,'02b_DC_Accelerator_Mix'!$A$2:$A$977,0)),0)</f>
        <v/>
      </c>
      <c r="M378" s="6">
        <f>IFERROR(INDEX('02b_DC_Accelerator_Mix'!$J$2:$J$977,MATCH(G378,'02b_DC_Accelerator_Mix'!$A$2:$A$977,0)),0)</f>
        <v/>
      </c>
      <c r="N378" s="6">
        <f>IFERROR(INDEX('02b_DC_Accelerator_Mix'!$K$2:$K$977,MATCH(G378,'02b_DC_Accelerator_Mix'!$A$2:$A$977,0)),0)</f>
        <v/>
      </c>
      <c r="O378" s="6">
        <f>IFERROR(INDEX('02b_DC_Accelerator_Mix'!$L$2:$L$977,MATCH(G378,'02b_DC_Accelerator_Mix'!$A$2:$A$977,0)),0)</f>
        <v/>
      </c>
      <c r="P378" s="6">
        <f>IFERROR(INDEX('02b_DC_Accelerator_Mix'!$M$2:$M$977,MATCH(G378,'02b_DC_Accelerator_Mix'!$A$2:$A$977,0)),0)</f>
        <v/>
      </c>
      <c r="Q378" s="6">
        <f>IFERROR(INDEX('02b_DC_Accelerator_Mix'!$N$2:$N$977,MATCH(G378,'02b_DC_Accelerator_Mix'!$A$2:$A$977,0)),0)</f>
        <v/>
      </c>
      <c r="R378" s="28">
        <f>H378*I378</f>
        <v/>
      </c>
      <c r="S378" s="28">
        <f>H378*J378</f>
        <v/>
      </c>
      <c r="T378" s="28">
        <f>H378*K378</f>
        <v/>
      </c>
      <c r="U378" s="28">
        <f>H378*L378</f>
        <v/>
      </c>
      <c r="V378" s="28">
        <f>H378*M378</f>
        <v/>
      </c>
      <c r="W378" s="28">
        <f>H378*N378</f>
        <v/>
      </c>
      <c r="X378" s="28">
        <f>H378*O378</f>
        <v/>
      </c>
      <c r="Y378" s="28">
        <f>H378*P378</f>
        <v/>
      </c>
      <c r="Z378" s="28">
        <f>H378*Q378</f>
        <v/>
      </c>
      <c r="AA378" s="28">
        <f>SUM(U378:Z378)</f>
        <v/>
      </c>
      <c r="AB378" s="5">
        <f>IF(COUNTIF('02b_DC_Accelerator_Mix'!$A$2:$A$977,G378)&gt;0,"matched","missing_mix")</f>
        <v/>
      </c>
    </row>
    <row r="379">
      <c r="A379" s="5">
        <f>'02a_DC_Capacity_Alloc'!A379</f>
        <v/>
      </c>
      <c r="B379" s="5">
        <f>'02a_DC_Capacity_Alloc'!B379</f>
        <v/>
      </c>
      <c r="C379" s="5">
        <f>'02a_DC_Capacity_Alloc'!C379</f>
        <v/>
      </c>
      <c r="D379" s="5">
        <f>'02a_DC_Capacity_Alloc'!D379</f>
        <v/>
      </c>
      <c r="E379" s="5">
        <f>'02a_DC_Capacity_Alloc'!E379</f>
        <v/>
      </c>
      <c r="F379" s="5">
        <f>'02a_DC_Capacity_Alloc'!F379</f>
        <v/>
      </c>
      <c r="G379" s="5">
        <f>B379&amp;"|"&amp;E379&amp;"|"&amp;D379</f>
        <v/>
      </c>
      <c r="H379" s="28">
        <f>'02a_DC_Capacity_Alloc'!H379*'02a_DC_Capacity_Alloc'!I379*'02a_DC_Capacity_Alloc'!J379</f>
        <v/>
      </c>
      <c r="I379" s="6">
        <f>IFERROR(INDEX('02b_DC_Accelerator_Mix'!$F$2:$F$977,MATCH(G379,'02b_DC_Accelerator_Mix'!$A$2:$A$977,0)),0)</f>
        <v/>
      </c>
      <c r="J379" s="6">
        <f>IFERROR(INDEX('02b_DC_Accelerator_Mix'!$G$2:$G$977,MATCH(G379,'02b_DC_Accelerator_Mix'!$A$2:$A$977,0)),0)</f>
        <v/>
      </c>
      <c r="K379" s="6">
        <f>IFERROR(INDEX('02b_DC_Accelerator_Mix'!$H$2:$H$977,MATCH(G379,'02b_DC_Accelerator_Mix'!$A$2:$A$977,0)),0)</f>
        <v/>
      </c>
      <c r="L379" s="6">
        <f>IFERROR(INDEX('02b_DC_Accelerator_Mix'!$I$2:$I$977,MATCH(G379,'02b_DC_Accelerator_Mix'!$A$2:$A$977,0)),0)</f>
        <v/>
      </c>
      <c r="M379" s="6">
        <f>IFERROR(INDEX('02b_DC_Accelerator_Mix'!$J$2:$J$977,MATCH(G379,'02b_DC_Accelerator_Mix'!$A$2:$A$977,0)),0)</f>
        <v/>
      </c>
      <c r="N379" s="6">
        <f>IFERROR(INDEX('02b_DC_Accelerator_Mix'!$K$2:$K$977,MATCH(G379,'02b_DC_Accelerator_Mix'!$A$2:$A$977,0)),0)</f>
        <v/>
      </c>
      <c r="O379" s="6">
        <f>IFERROR(INDEX('02b_DC_Accelerator_Mix'!$L$2:$L$977,MATCH(G379,'02b_DC_Accelerator_Mix'!$A$2:$A$977,0)),0)</f>
        <v/>
      </c>
      <c r="P379" s="6">
        <f>IFERROR(INDEX('02b_DC_Accelerator_Mix'!$M$2:$M$977,MATCH(G379,'02b_DC_Accelerator_Mix'!$A$2:$A$977,0)),0)</f>
        <v/>
      </c>
      <c r="Q379" s="6">
        <f>IFERROR(INDEX('02b_DC_Accelerator_Mix'!$N$2:$N$977,MATCH(G379,'02b_DC_Accelerator_Mix'!$A$2:$A$977,0)),0)</f>
        <v/>
      </c>
      <c r="R379" s="28">
        <f>H379*I379</f>
        <v/>
      </c>
      <c r="S379" s="28">
        <f>H379*J379</f>
        <v/>
      </c>
      <c r="T379" s="28">
        <f>H379*K379</f>
        <v/>
      </c>
      <c r="U379" s="28">
        <f>H379*L379</f>
        <v/>
      </c>
      <c r="V379" s="28">
        <f>H379*M379</f>
        <v/>
      </c>
      <c r="W379" s="28">
        <f>H379*N379</f>
        <v/>
      </c>
      <c r="X379" s="28">
        <f>H379*O379</f>
        <v/>
      </c>
      <c r="Y379" s="28">
        <f>H379*P379</f>
        <v/>
      </c>
      <c r="Z379" s="28">
        <f>H379*Q379</f>
        <v/>
      </c>
      <c r="AA379" s="28">
        <f>SUM(U379:Z379)</f>
        <v/>
      </c>
      <c r="AB379" s="5">
        <f>IF(COUNTIF('02b_DC_Accelerator_Mix'!$A$2:$A$977,G379)&gt;0,"matched","missing_mix")</f>
        <v/>
      </c>
    </row>
    <row r="380">
      <c r="A380" s="5">
        <f>'02a_DC_Capacity_Alloc'!A380</f>
        <v/>
      </c>
      <c r="B380" s="5">
        <f>'02a_DC_Capacity_Alloc'!B380</f>
        <v/>
      </c>
      <c r="C380" s="5">
        <f>'02a_DC_Capacity_Alloc'!C380</f>
        <v/>
      </c>
      <c r="D380" s="5">
        <f>'02a_DC_Capacity_Alloc'!D380</f>
        <v/>
      </c>
      <c r="E380" s="5">
        <f>'02a_DC_Capacity_Alloc'!E380</f>
        <v/>
      </c>
      <c r="F380" s="5">
        <f>'02a_DC_Capacity_Alloc'!F380</f>
        <v/>
      </c>
      <c r="G380" s="5">
        <f>B380&amp;"|"&amp;E380&amp;"|"&amp;D380</f>
        <v/>
      </c>
      <c r="H380" s="28">
        <f>'02a_DC_Capacity_Alloc'!H380*'02a_DC_Capacity_Alloc'!I380*'02a_DC_Capacity_Alloc'!J380</f>
        <v/>
      </c>
      <c r="I380" s="6">
        <f>IFERROR(INDEX('02b_DC_Accelerator_Mix'!$F$2:$F$977,MATCH(G380,'02b_DC_Accelerator_Mix'!$A$2:$A$977,0)),0)</f>
        <v/>
      </c>
      <c r="J380" s="6">
        <f>IFERROR(INDEX('02b_DC_Accelerator_Mix'!$G$2:$G$977,MATCH(G380,'02b_DC_Accelerator_Mix'!$A$2:$A$977,0)),0)</f>
        <v/>
      </c>
      <c r="K380" s="6">
        <f>IFERROR(INDEX('02b_DC_Accelerator_Mix'!$H$2:$H$977,MATCH(G380,'02b_DC_Accelerator_Mix'!$A$2:$A$977,0)),0)</f>
        <v/>
      </c>
      <c r="L380" s="6">
        <f>IFERROR(INDEX('02b_DC_Accelerator_Mix'!$I$2:$I$977,MATCH(G380,'02b_DC_Accelerator_Mix'!$A$2:$A$977,0)),0)</f>
        <v/>
      </c>
      <c r="M380" s="6">
        <f>IFERROR(INDEX('02b_DC_Accelerator_Mix'!$J$2:$J$977,MATCH(G380,'02b_DC_Accelerator_Mix'!$A$2:$A$977,0)),0)</f>
        <v/>
      </c>
      <c r="N380" s="6">
        <f>IFERROR(INDEX('02b_DC_Accelerator_Mix'!$K$2:$K$977,MATCH(G380,'02b_DC_Accelerator_Mix'!$A$2:$A$977,0)),0)</f>
        <v/>
      </c>
      <c r="O380" s="6">
        <f>IFERROR(INDEX('02b_DC_Accelerator_Mix'!$L$2:$L$977,MATCH(G380,'02b_DC_Accelerator_Mix'!$A$2:$A$977,0)),0)</f>
        <v/>
      </c>
      <c r="P380" s="6">
        <f>IFERROR(INDEX('02b_DC_Accelerator_Mix'!$M$2:$M$977,MATCH(G380,'02b_DC_Accelerator_Mix'!$A$2:$A$977,0)),0)</f>
        <v/>
      </c>
      <c r="Q380" s="6">
        <f>IFERROR(INDEX('02b_DC_Accelerator_Mix'!$N$2:$N$977,MATCH(G380,'02b_DC_Accelerator_Mix'!$A$2:$A$977,0)),0)</f>
        <v/>
      </c>
      <c r="R380" s="28">
        <f>H380*I380</f>
        <v/>
      </c>
      <c r="S380" s="28">
        <f>H380*J380</f>
        <v/>
      </c>
      <c r="T380" s="28">
        <f>H380*K380</f>
        <v/>
      </c>
      <c r="U380" s="28">
        <f>H380*L380</f>
        <v/>
      </c>
      <c r="V380" s="28">
        <f>H380*M380</f>
        <v/>
      </c>
      <c r="W380" s="28">
        <f>H380*N380</f>
        <v/>
      </c>
      <c r="X380" s="28">
        <f>H380*O380</f>
        <v/>
      </c>
      <c r="Y380" s="28">
        <f>H380*P380</f>
        <v/>
      </c>
      <c r="Z380" s="28">
        <f>H380*Q380</f>
        <v/>
      </c>
      <c r="AA380" s="28">
        <f>SUM(U380:Z380)</f>
        <v/>
      </c>
      <c r="AB380" s="5">
        <f>IF(COUNTIF('02b_DC_Accelerator_Mix'!$A$2:$A$977,G380)&gt;0,"matched","missing_mix")</f>
        <v/>
      </c>
    </row>
    <row r="381">
      <c r="A381" s="5">
        <f>'02a_DC_Capacity_Alloc'!A381</f>
        <v/>
      </c>
      <c r="B381" s="5">
        <f>'02a_DC_Capacity_Alloc'!B381</f>
        <v/>
      </c>
      <c r="C381" s="5">
        <f>'02a_DC_Capacity_Alloc'!C381</f>
        <v/>
      </c>
      <c r="D381" s="5">
        <f>'02a_DC_Capacity_Alloc'!D381</f>
        <v/>
      </c>
      <c r="E381" s="5">
        <f>'02a_DC_Capacity_Alloc'!E381</f>
        <v/>
      </c>
      <c r="F381" s="5">
        <f>'02a_DC_Capacity_Alloc'!F381</f>
        <v/>
      </c>
      <c r="G381" s="5">
        <f>B381&amp;"|"&amp;E381&amp;"|"&amp;D381</f>
        <v/>
      </c>
      <c r="H381" s="28">
        <f>'02a_DC_Capacity_Alloc'!H381*'02a_DC_Capacity_Alloc'!I381*'02a_DC_Capacity_Alloc'!J381</f>
        <v/>
      </c>
      <c r="I381" s="6">
        <f>IFERROR(INDEX('02b_DC_Accelerator_Mix'!$F$2:$F$977,MATCH(G381,'02b_DC_Accelerator_Mix'!$A$2:$A$977,0)),0)</f>
        <v/>
      </c>
      <c r="J381" s="6">
        <f>IFERROR(INDEX('02b_DC_Accelerator_Mix'!$G$2:$G$977,MATCH(G381,'02b_DC_Accelerator_Mix'!$A$2:$A$977,0)),0)</f>
        <v/>
      </c>
      <c r="K381" s="6">
        <f>IFERROR(INDEX('02b_DC_Accelerator_Mix'!$H$2:$H$977,MATCH(G381,'02b_DC_Accelerator_Mix'!$A$2:$A$977,0)),0)</f>
        <v/>
      </c>
      <c r="L381" s="6">
        <f>IFERROR(INDEX('02b_DC_Accelerator_Mix'!$I$2:$I$977,MATCH(G381,'02b_DC_Accelerator_Mix'!$A$2:$A$977,0)),0)</f>
        <v/>
      </c>
      <c r="M381" s="6">
        <f>IFERROR(INDEX('02b_DC_Accelerator_Mix'!$J$2:$J$977,MATCH(G381,'02b_DC_Accelerator_Mix'!$A$2:$A$977,0)),0)</f>
        <v/>
      </c>
      <c r="N381" s="6">
        <f>IFERROR(INDEX('02b_DC_Accelerator_Mix'!$K$2:$K$977,MATCH(G381,'02b_DC_Accelerator_Mix'!$A$2:$A$977,0)),0)</f>
        <v/>
      </c>
      <c r="O381" s="6">
        <f>IFERROR(INDEX('02b_DC_Accelerator_Mix'!$L$2:$L$977,MATCH(G381,'02b_DC_Accelerator_Mix'!$A$2:$A$977,0)),0)</f>
        <v/>
      </c>
      <c r="P381" s="6">
        <f>IFERROR(INDEX('02b_DC_Accelerator_Mix'!$M$2:$M$977,MATCH(G381,'02b_DC_Accelerator_Mix'!$A$2:$A$977,0)),0)</f>
        <v/>
      </c>
      <c r="Q381" s="6">
        <f>IFERROR(INDEX('02b_DC_Accelerator_Mix'!$N$2:$N$977,MATCH(G381,'02b_DC_Accelerator_Mix'!$A$2:$A$977,0)),0)</f>
        <v/>
      </c>
      <c r="R381" s="28">
        <f>H381*I381</f>
        <v/>
      </c>
      <c r="S381" s="28">
        <f>H381*J381</f>
        <v/>
      </c>
      <c r="T381" s="28">
        <f>H381*K381</f>
        <v/>
      </c>
      <c r="U381" s="28">
        <f>H381*L381</f>
        <v/>
      </c>
      <c r="V381" s="28">
        <f>H381*M381</f>
        <v/>
      </c>
      <c r="W381" s="28">
        <f>H381*N381</f>
        <v/>
      </c>
      <c r="X381" s="28">
        <f>H381*O381</f>
        <v/>
      </c>
      <c r="Y381" s="28">
        <f>H381*P381</f>
        <v/>
      </c>
      <c r="Z381" s="28">
        <f>H381*Q381</f>
        <v/>
      </c>
      <c r="AA381" s="28">
        <f>SUM(U381:Z381)</f>
        <v/>
      </c>
      <c r="AB381" s="5">
        <f>IF(COUNTIF('02b_DC_Accelerator_Mix'!$A$2:$A$977,G381)&gt;0,"matched","missing_mix")</f>
        <v/>
      </c>
    </row>
    <row r="382">
      <c r="A382" s="5">
        <f>'02a_DC_Capacity_Alloc'!A382</f>
        <v/>
      </c>
      <c r="B382" s="5">
        <f>'02a_DC_Capacity_Alloc'!B382</f>
        <v/>
      </c>
      <c r="C382" s="5">
        <f>'02a_DC_Capacity_Alloc'!C382</f>
        <v/>
      </c>
      <c r="D382" s="5">
        <f>'02a_DC_Capacity_Alloc'!D382</f>
        <v/>
      </c>
      <c r="E382" s="5">
        <f>'02a_DC_Capacity_Alloc'!E382</f>
        <v/>
      </c>
      <c r="F382" s="5">
        <f>'02a_DC_Capacity_Alloc'!F382</f>
        <v/>
      </c>
      <c r="G382" s="5">
        <f>B382&amp;"|"&amp;E382&amp;"|"&amp;D382</f>
        <v/>
      </c>
      <c r="H382" s="28">
        <f>'02a_DC_Capacity_Alloc'!H382*'02a_DC_Capacity_Alloc'!I382*'02a_DC_Capacity_Alloc'!J382</f>
        <v/>
      </c>
      <c r="I382" s="6">
        <f>IFERROR(INDEX('02b_DC_Accelerator_Mix'!$F$2:$F$977,MATCH(G382,'02b_DC_Accelerator_Mix'!$A$2:$A$977,0)),0)</f>
        <v/>
      </c>
      <c r="J382" s="6">
        <f>IFERROR(INDEX('02b_DC_Accelerator_Mix'!$G$2:$G$977,MATCH(G382,'02b_DC_Accelerator_Mix'!$A$2:$A$977,0)),0)</f>
        <v/>
      </c>
      <c r="K382" s="6">
        <f>IFERROR(INDEX('02b_DC_Accelerator_Mix'!$H$2:$H$977,MATCH(G382,'02b_DC_Accelerator_Mix'!$A$2:$A$977,0)),0)</f>
        <v/>
      </c>
      <c r="L382" s="6">
        <f>IFERROR(INDEX('02b_DC_Accelerator_Mix'!$I$2:$I$977,MATCH(G382,'02b_DC_Accelerator_Mix'!$A$2:$A$977,0)),0)</f>
        <v/>
      </c>
      <c r="M382" s="6">
        <f>IFERROR(INDEX('02b_DC_Accelerator_Mix'!$J$2:$J$977,MATCH(G382,'02b_DC_Accelerator_Mix'!$A$2:$A$977,0)),0)</f>
        <v/>
      </c>
      <c r="N382" s="6">
        <f>IFERROR(INDEX('02b_DC_Accelerator_Mix'!$K$2:$K$977,MATCH(G382,'02b_DC_Accelerator_Mix'!$A$2:$A$977,0)),0)</f>
        <v/>
      </c>
      <c r="O382" s="6">
        <f>IFERROR(INDEX('02b_DC_Accelerator_Mix'!$L$2:$L$977,MATCH(G382,'02b_DC_Accelerator_Mix'!$A$2:$A$977,0)),0)</f>
        <v/>
      </c>
      <c r="P382" s="6">
        <f>IFERROR(INDEX('02b_DC_Accelerator_Mix'!$M$2:$M$977,MATCH(G382,'02b_DC_Accelerator_Mix'!$A$2:$A$977,0)),0)</f>
        <v/>
      </c>
      <c r="Q382" s="6">
        <f>IFERROR(INDEX('02b_DC_Accelerator_Mix'!$N$2:$N$977,MATCH(G382,'02b_DC_Accelerator_Mix'!$A$2:$A$977,0)),0)</f>
        <v/>
      </c>
      <c r="R382" s="28">
        <f>H382*I382</f>
        <v/>
      </c>
      <c r="S382" s="28">
        <f>H382*J382</f>
        <v/>
      </c>
      <c r="T382" s="28">
        <f>H382*K382</f>
        <v/>
      </c>
      <c r="U382" s="28">
        <f>H382*L382</f>
        <v/>
      </c>
      <c r="V382" s="28">
        <f>H382*M382</f>
        <v/>
      </c>
      <c r="W382" s="28">
        <f>H382*N382</f>
        <v/>
      </c>
      <c r="X382" s="28">
        <f>H382*O382</f>
        <v/>
      </c>
      <c r="Y382" s="28">
        <f>H382*P382</f>
        <v/>
      </c>
      <c r="Z382" s="28">
        <f>H382*Q382</f>
        <v/>
      </c>
      <c r="AA382" s="28">
        <f>SUM(U382:Z382)</f>
        <v/>
      </c>
      <c r="AB382" s="5">
        <f>IF(COUNTIF('02b_DC_Accelerator_Mix'!$A$2:$A$977,G382)&gt;0,"matched","missing_mix")</f>
        <v/>
      </c>
    </row>
    <row r="383">
      <c r="A383" s="5">
        <f>'02a_DC_Capacity_Alloc'!A383</f>
        <v/>
      </c>
      <c r="B383" s="5">
        <f>'02a_DC_Capacity_Alloc'!B383</f>
        <v/>
      </c>
      <c r="C383" s="5">
        <f>'02a_DC_Capacity_Alloc'!C383</f>
        <v/>
      </c>
      <c r="D383" s="5">
        <f>'02a_DC_Capacity_Alloc'!D383</f>
        <v/>
      </c>
      <c r="E383" s="5">
        <f>'02a_DC_Capacity_Alloc'!E383</f>
        <v/>
      </c>
      <c r="F383" s="5">
        <f>'02a_DC_Capacity_Alloc'!F383</f>
        <v/>
      </c>
      <c r="G383" s="5">
        <f>B383&amp;"|"&amp;E383&amp;"|"&amp;D383</f>
        <v/>
      </c>
      <c r="H383" s="28">
        <f>'02a_DC_Capacity_Alloc'!H383*'02a_DC_Capacity_Alloc'!I383*'02a_DC_Capacity_Alloc'!J383</f>
        <v/>
      </c>
      <c r="I383" s="6">
        <f>IFERROR(INDEX('02b_DC_Accelerator_Mix'!$F$2:$F$977,MATCH(G383,'02b_DC_Accelerator_Mix'!$A$2:$A$977,0)),0)</f>
        <v/>
      </c>
      <c r="J383" s="6">
        <f>IFERROR(INDEX('02b_DC_Accelerator_Mix'!$G$2:$G$977,MATCH(G383,'02b_DC_Accelerator_Mix'!$A$2:$A$977,0)),0)</f>
        <v/>
      </c>
      <c r="K383" s="6">
        <f>IFERROR(INDEX('02b_DC_Accelerator_Mix'!$H$2:$H$977,MATCH(G383,'02b_DC_Accelerator_Mix'!$A$2:$A$977,0)),0)</f>
        <v/>
      </c>
      <c r="L383" s="6">
        <f>IFERROR(INDEX('02b_DC_Accelerator_Mix'!$I$2:$I$977,MATCH(G383,'02b_DC_Accelerator_Mix'!$A$2:$A$977,0)),0)</f>
        <v/>
      </c>
      <c r="M383" s="6">
        <f>IFERROR(INDEX('02b_DC_Accelerator_Mix'!$J$2:$J$977,MATCH(G383,'02b_DC_Accelerator_Mix'!$A$2:$A$977,0)),0)</f>
        <v/>
      </c>
      <c r="N383" s="6">
        <f>IFERROR(INDEX('02b_DC_Accelerator_Mix'!$K$2:$K$977,MATCH(G383,'02b_DC_Accelerator_Mix'!$A$2:$A$977,0)),0)</f>
        <v/>
      </c>
      <c r="O383" s="6">
        <f>IFERROR(INDEX('02b_DC_Accelerator_Mix'!$L$2:$L$977,MATCH(G383,'02b_DC_Accelerator_Mix'!$A$2:$A$977,0)),0)</f>
        <v/>
      </c>
      <c r="P383" s="6">
        <f>IFERROR(INDEX('02b_DC_Accelerator_Mix'!$M$2:$M$977,MATCH(G383,'02b_DC_Accelerator_Mix'!$A$2:$A$977,0)),0)</f>
        <v/>
      </c>
      <c r="Q383" s="6">
        <f>IFERROR(INDEX('02b_DC_Accelerator_Mix'!$N$2:$N$977,MATCH(G383,'02b_DC_Accelerator_Mix'!$A$2:$A$977,0)),0)</f>
        <v/>
      </c>
      <c r="R383" s="28">
        <f>H383*I383</f>
        <v/>
      </c>
      <c r="S383" s="28">
        <f>H383*J383</f>
        <v/>
      </c>
      <c r="T383" s="28">
        <f>H383*K383</f>
        <v/>
      </c>
      <c r="U383" s="28">
        <f>H383*L383</f>
        <v/>
      </c>
      <c r="V383" s="28">
        <f>H383*M383</f>
        <v/>
      </c>
      <c r="W383" s="28">
        <f>H383*N383</f>
        <v/>
      </c>
      <c r="X383" s="28">
        <f>H383*O383</f>
        <v/>
      </c>
      <c r="Y383" s="28">
        <f>H383*P383</f>
        <v/>
      </c>
      <c r="Z383" s="28">
        <f>H383*Q383</f>
        <v/>
      </c>
      <c r="AA383" s="28">
        <f>SUM(U383:Z383)</f>
        <v/>
      </c>
      <c r="AB383" s="5">
        <f>IF(COUNTIF('02b_DC_Accelerator_Mix'!$A$2:$A$977,G383)&gt;0,"matched","missing_mix")</f>
        <v/>
      </c>
    </row>
    <row r="384">
      <c r="A384" s="5">
        <f>'02a_DC_Capacity_Alloc'!A384</f>
        <v/>
      </c>
      <c r="B384" s="5">
        <f>'02a_DC_Capacity_Alloc'!B384</f>
        <v/>
      </c>
      <c r="C384" s="5">
        <f>'02a_DC_Capacity_Alloc'!C384</f>
        <v/>
      </c>
      <c r="D384" s="5">
        <f>'02a_DC_Capacity_Alloc'!D384</f>
        <v/>
      </c>
      <c r="E384" s="5">
        <f>'02a_DC_Capacity_Alloc'!E384</f>
        <v/>
      </c>
      <c r="F384" s="5">
        <f>'02a_DC_Capacity_Alloc'!F384</f>
        <v/>
      </c>
      <c r="G384" s="5">
        <f>B384&amp;"|"&amp;E384&amp;"|"&amp;D384</f>
        <v/>
      </c>
      <c r="H384" s="28">
        <f>'02a_DC_Capacity_Alloc'!H384*'02a_DC_Capacity_Alloc'!I384*'02a_DC_Capacity_Alloc'!J384</f>
        <v/>
      </c>
      <c r="I384" s="6">
        <f>IFERROR(INDEX('02b_DC_Accelerator_Mix'!$F$2:$F$977,MATCH(G384,'02b_DC_Accelerator_Mix'!$A$2:$A$977,0)),0)</f>
        <v/>
      </c>
      <c r="J384" s="6">
        <f>IFERROR(INDEX('02b_DC_Accelerator_Mix'!$G$2:$G$977,MATCH(G384,'02b_DC_Accelerator_Mix'!$A$2:$A$977,0)),0)</f>
        <v/>
      </c>
      <c r="K384" s="6">
        <f>IFERROR(INDEX('02b_DC_Accelerator_Mix'!$H$2:$H$977,MATCH(G384,'02b_DC_Accelerator_Mix'!$A$2:$A$977,0)),0)</f>
        <v/>
      </c>
      <c r="L384" s="6">
        <f>IFERROR(INDEX('02b_DC_Accelerator_Mix'!$I$2:$I$977,MATCH(G384,'02b_DC_Accelerator_Mix'!$A$2:$A$977,0)),0)</f>
        <v/>
      </c>
      <c r="M384" s="6">
        <f>IFERROR(INDEX('02b_DC_Accelerator_Mix'!$J$2:$J$977,MATCH(G384,'02b_DC_Accelerator_Mix'!$A$2:$A$977,0)),0)</f>
        <v/>
      </c>
      <c r="N384" s="6">
        <f>IFERROR(INDEX('02b_DC_Accelerator_Mix'!$K$2:$K$977,MATCH(G384,'02b_DC_Accelerator_Mix'!$A$2:$A$977,0)),0)</f>
        <v/>
      </c>
      <c r="O384" s="6">
        <f>IFERROR(INDEX('02b_DC_Accelerator_Mix'!$L$2:$L$977,MATCH(G384,'02b_DC_Accelerator_Mix'!$A$2:$A$977,0)),0)</f>
        <v/>
      </c>
      <c r="P384" s="6">
        <f>IFERROR(INDEX('02b_DC_Accelerator_Mix'!$M$2:$M$977,MATCH(G384,'02b_DC_Accelerator_Mix'!$A$2:$A$977,0)),0)</f>
        <v/>
      </c>
      <c r="Q384" s="6">
        <f>IFERROR(INDEX('02b_DC_Accelerator_Mix'!$N$2:$N$977,MATCH(G384,'02b_DC_Accelerator_Mix'!$A$2:$A$977,0)),0)</f>
        <v/>
      </c>
      <c r="R384" s="28">
        <f>H384*I384</f>
        <v/>
      </c>
      <c r="S384" s="28">
        <f>H384*J384</f>
        <v/>
      </c>
      <c r="T384" s="28">
        <f>H384*K384</f>
        <v/>
      </c>
      <c r="U384" s="28">
        <f>H384*L384</f>
        <v/>
      </c>
      <c r="V384" s="28">
        <f>H384*M384</f>
        <v/>
      </c>
      <c r="W384" s="28">
        <f>H384*N384</f>
        <v/>
      </c>
      <c r="X384" s="28">
        <f>H384*O384</f>
        <v/>
      </c>
      <c r="Y384" s="28">
        <f>H384*P384</f>
        <v/>
      </c>
      <c r="Z384" s="28">
        <f>H384*Q384</f>
        <v/>
      </c>
      <c r="AA384" s="28">
        <f>SUM(U384:Z384)</f>
        <v/>
      </c>
      <c r="AB384" s="5">
        <f>IF(COUNTIF('02b_DC_Accelerator_Mix'!$A$2:$A$977,G384)&gt;0,"matched","missing_mix")</f>
        <v/>
      </c>
    </row>
    <row r="385">
      <c r="A385" s="5">
        <f>'02a_DC_Capacity_Alloc'!A385</f>
        <v/>
      </c>
      <c r="B385" s="5">
        <f>'02a_DC_Capacity_Alloc'!B385</f>
        <v/>
      </c>
      <c r="C385" s="5">
        <f>'02a_DC_Capacity_Alloc'!C385</f>
        <v/>
      </c>
      <c r="D385" s="5">
        <f>'02a_DC_Capacity_Alloc'!D385</f>
        <v/>
      </c>
      <c r="E385" s="5">
        <f>'02a_DC_Capacity_Alloc'!E385</f>
        <v/>
      </c>
      <c r="F385" s="5">
        <f>'02a_DC_Capacity_Alloc'!F385</f>
        <v/>
      </c>
      <c r="G385" s="5">
        <f>B385&amp;"|"&amp;E385&amp;"|"&amp;D385</f>
        <v/>
      </c>
      <c r="H385" s="28">
        <f>'02a_DC_Capacity_Alloc'!H385*'02a_DC_Capacity_Alloc'!I385*'02a_DC_Capacity_Alloc'!J385</f>
        <v/>
      </c>
      <c r="I385" s="6">
        <f>IFERROR(INDEX('02b_DC_Accelerator_Mix'!$F$2:$F$977,MATCH(G385,'02b_DC_Accelerator_Mix'!$A$2:$A$977,0)),0)</f>
        <v/>
      </c>
      <c r="J385" s="6">
        <f>IFERROR(INDEX('02b_DC_Accelerator_Mix'!$G$2:$G$977,MATCH(G385,'02b_DC_Accelerator_Mix'!$A$2:$A$977,0)),0)</f>
        <v/>
      </c>
      <c r="K385" s="6">
        <f>IFERROR(INDEX('02b_DC_Accelerator_Mix'!$H$2:$H$977,MATCH(G385,'02b_DC_Accelerator_Mix'!$A$2:$A$977,0)),0)</f>
        <v/>
      </c>
      <c r="L385" s="6">
        <f>IFERROR(INDEX('02b_DC_Accelerator_Mix'!$I$2:$I$977,MATCH(G385,'02b_DC_Accelerator_Mix'!$A$2:$A$977,0)),0)</f>
        <v/>
      </c>
      <c r="M385" s="6">
        <f>IFERROR(INDEX('02b_DC_Accelerator_Mix'!$J$2:$J$977,MATCH(G385,'02b_DC_Accelerator_Mix'!$A$2:$A$977,0)),0)</f>
        <v/>
      </c>
      <c r="N385" s="6">
        <f>IFERROR(INDEX('02b_DC_Accelerator_Mix'!$K$2:$K$977,MATCH(G385,'02b_DC_Accelerator_Mix'!$A$2:$A$977,0)),0)</f>
        <v/>
      </c>
      <c r="O385" s="6">
        <f>IFERROR(INDEX('02b_DC_Accelerator_Mix'!$L$2:$L$977,MATCH(G385,'02b_DC_Accelerator_Mix'!$A$2:$A$977,0)),0)</f>
        <v/>
      </c>
      <c r="P385" s="6">
        <f>IFERROR(INDEX('02b_DC_Accelerator_Mix'!$M$2:$M$977,MATCH(G385,'02b_DC_Accelerator_Mix'!$A$2:$A$977,0)),0)</f>
        <v/>
      </c>
      <c r="Q385" s="6">
        <f>IFERROR(INDEX('02b_DC_Accelerator_Mix'!$N$2:$N$977,MATCH(G385,'02b_DC_Accelerator_Mix'!$A$2:$A$977,0)),0)</f>
        <v/>
      </c>
      <c r="R385" s="28">
        <f>H385*I385</f>
        <v/>
      </c>
      <c r="S385" s="28">
        <f>H385*J385</f>
        <v/>
      </c>
      <c r="T385" s="28">
        <f>H385*K385</f>
        <v/>
      </c>
      <c r="U385" s="28">
        <f>H385*L385</f>
        <v/>
      </c>
      <c r="V385" s="28">
        <f>H385*M385</f>
        <v/>
      </c>
      <c r="W385" s="28">
        <f>H385*N385</f>
        <v/>
      </c>
      <c r="X385" s="28">
        <f>H385*O385</f>
        <v/>
      </c>
      <c r="Y385" s="28">
        <f>H385*P385</f>
        <v/>
      </c>
      <c r="Z385" s="28">
        <f>H385*Q385</f>
        <v/>
      </c>
      <c r="AA385" s="28">
        <f>SUM(U385:Z385)</f>
        <v/>
      </c>
      <c r="AB385" s="5">
        <f>IF(COUNTIF('02b_DC_Accelerator_Mix'!$A$2:$A$977,G385)&gt;0,"matched","missing_mix")</f>
        <v/>
      </c>
    </row>
    <row r="386">
      <c r="A386" s="5">
        <f>'02a_DC_Capacity_Alloc'!A386</f>
        <v/>
      </c>
      <c r="B386" s="5">
        <f>'02a_DC_Capacity_Alloc'!B386</f>
        <v/>
      </c>
      <c r="C386" s="5">
        <f>'02a_DC_Capacity_Alloc'!C386</f>
        <v/>
      </c>
      <c r="D386" s="5">
        <f>'02a_DC_Capacity_Alloc'!D386</f>
        <v/>
      </c>
      <c r="E386" s="5">
        <f>'02a_DC_Capacity_Alloc'!E386</f>
        <v/>
      </c>
      <c r="F386" s="5">
        <f>'02a_DC_Capacity_Alloc'!F386</f>
        <v/>
      </c>
      <c r="G386" s="5">
        <f>B386&amp;"|"&amp;E386&amp;"|"&amp;D386</f>
        <v/>
      </c>
      <c r="H386" s="28">
        <f>'02a_DC_Capacity_Alloc'!H386*'02a_DC_Capacity_Alloc'!I386*'02a_DC_Capacity_Alloc'!J386</f>
        <v/>
      </c>
      <c r="I386" s="6">
        <f>IFERROR(INDEX('02b_DC_Accelerator_Mix'!$F$2:$F$977,MATCH(G386,'02b_DC_Accelerator_Mix'!$A$2:$A$977,0)),0)</f>
        <v/>
      </c>
      <c r="J386" s="6">
        <f>IFERROR(INDEX('02b_DC_Accelerator_Mix'!$G$2:$G$977,MATCH(G386,'02b_DC_Accelerator_Mix'!$A$2:$A$977,0)),0)</f>
        <v/>
      </c>
      <c r="K386" s="6">
        <f>IFERROR(INDEX('02b_DC_Accelerator_Mix'!$H$2:$H$977,MATCH(G386,'02b_DC_Accelerator_Mix'!$A$2:$A$977,0)),0)</f>
        <v/>
      </c>
      <c r="L386" s="6">
        <f>IFERROR(INDEX('02b_DC_Accelerator_Mix'!$I$2:$I$977,MATCH(G386,'02b_DC_Accelerator_Mix'!$A$2:$A$977,0)),0)</f>
        <v/>
      </c>
      <c r="M386" s="6">
        <f>IFERROR(INDEX('02b_DC_Accelerator_Mix'!$J$2:$J$977,MATCH(G386,'02b_DC_Accelerator_Mix'!$A$2:$A$977,0)),0)</f>
        <v/>
      </c>
      <c r="N386" s="6">
        <f>IFERROR(INDEX('02b_DC_Accelerator_Mix'!$K$2:$K$977,MATCH(G386,'02b_DC_Accelerator_Mix'!$A$2:$A$977,0)),0)</f>
        <v/>
      </c>
      <c r="O386" s="6">
        <f>IFERROR(INDEX('02b_DC_Accelerator_Mix'!$L$2:$L$977,MATCH(G386,'02b_DC_Accelerator_Mix'!$A$2:$A$977,0)),0)</f>
        <v/>
      </c>
      <c r="P386" s="6">
        <f>IFERROR(INDEX('02b_DC_Accelerator_Mix'!$M$2:$M$977,MATCH(G386,'02b_DC_Accelerator_Mix'!$A$2:$A$977,0)),0)</f>
        <v/>
      </c>
      <c r="Q386" s="6">
        <f>IFERROR(INDEX('02b_DC_Accelerator_Mix'!$N$2:$N$977,MATCH(G386,'02b_DC_Accelerator_Mix'!$A$2:$A$977,0)),0)</f>
        <v/>
      </c>
      <c r="R386" s="28">
        <f>H386*I386</f>
        <v/>
      </c>
      <c r="S386" s="28">
        <f>H386*J386</f>
        <v/>
      </c>
      <c r="T386" s="28">
        <f>H386*K386</f>
        <v/>
      </c>
      <c r="U386" s="28">
        <f>H386*L386</f>
        <v/>
      </c>
      <c r="V386" s="28">
        <f>H386*M386</f>
        <v/>
      </c>
      <c r="W386" s="28">
        <f>H386*N386</f>
        <v/>
      </c>
      <c r="X386" s="28">
        <f>H386*O386</f>
        <v/>
      </c>
      <c r="Y386" s="28">
        <f>H386*P386</f>
        <v/>
      </c>
      <c r="Z386" s="28">
        <f>H386*Q386</f>
        <v/>
      </c>
      <c r="AA386" s="28">
        <f>SUM(U386:Z386)</f>
        <v/>
      </c>
      <c r="AB386" s="5">
        <f>IF(COUNTIF('02b_DC_Accelerator_Mix'!$A$2:$A$977,G386)&gt;0,"matched","missing_mix")</f>
        <v/>
      </c>
    </row>
    <row r="387">
      <c r="A387" s="5">
        <f>'02a_DC_Capacity_Alloc'!A387</f>
        <v/>
      </c>
      <c r="B387" s="5">
        <f>'02a_DC_Capacity_Alloc'!B387</f>
        <v/>
      </c>
      <c r="C387" s="5">
        <f>'02a_DC_Capacity_Alloc'!C387</f>
        <v/>
      </c>
      <c r="D387" s="5">
        <f>'02a_DC_Capacity_Alloc'!D387</f>
        <v/>
      </c>
      <c r="E387" s="5">
        <f>'02a_DC_Capacity_Alloc'!E387</f>
        <v/>
      </c>
      <c r="F387" s="5">
        <f>'02a_DC_Capacity_Alloc'!F387</f>
        <v/>
      </c>
      <c r="G387" s="5">
        <f>B387&amp;"|"&amp;E387&amp;"|"&amp;D387</f>
        <v/>
      </c>
      <c r="H387" s="28">
        <f>'02a_DC_Capacity_Alloc'!H387*'02a_DC_Capacity_Alloc'!I387*'02a_DC_Capacity_Alloc'!J387</f>
        <v/>
      </c>
      <c r="I387" s="6">
        <f>IFERROR(INDEX('02b_DC_Accelerator_Mix'!$F$2:$F$977,MATCH(G387,'02b_DC_Accelerator_Mix'!$A$2:$A$977,0)),0)</f>
        <v/>
      </c>
      <c r="J387" s="6">
        <f>IFERROR(INDEX('02b_DC_Accelerator_Mix'!$G$2:$G$977,MATCH(G387,'02b_DC_Accelerator_Mix'!$A$2:$A$977,0)),0)</f>
        <v/>
      </c>
      <c r="K387" s="6">
        <f>IFERROR(INDEX('02b_DC_Accelerator_Mix'!$H$2:$H$977,MATCH(G387,'02b_DC_Accelerator_Mix'!$A$2:$A$977,0)),0)</f>
        <v/>
      </c>
      <c r="L387" s="6">
        <f>IFERROR(INDEX('02b_DC_Accelerator_Mix'!$I$2:$I$977,MATCH(G387,'02b_DC_Accelerator_Mix'!$A$2:$A$977,0)),0)</f>
        <v/>
      </c>
      <c r="M387" s="6">
        <f>IFERROR(INDEX('02b_DC_Accelerator_Mix'!$J$2:$J$977,MATCH(G387,'02b_DC_Accelerator_Mix'!$A$2:$A$977,0)),0)</f>
        <v/>
      </c>
      <c r="N387" s="6">
        <f>IFERROR(INDEX('02b_DC_Accelerator_Mix'!$K$2:$K$977,MATCH(G387,'02b_DC_Accelerator_Mix'!$A$2:$A$977,0)),0)</f>
        <v/>
      </c>
      <c r="O387" s="6">
        <f>IFERROR(INDEX('02b_DC_Accelerator_Mix'!$L$2:$L$977,MATCH(G387,'02b_DC_Accelerator_Mix'!$A$2:$A$977,0)),0)</f>
        <v/>
      </c>
      <c r="P387" s="6">
        <f>IFERROR(INDEX('02b_DC_Accelerator_Mix'!$M$2:$M$977,MATCH(G387,'02b_DC_Accelerator_Mix'!$A$2:$A$977,0)),0)</f>
        <v/>
      </c>
      <c r="Q387" s="6">
        <f>IFERROR(INDEX('02b_DC_Accelerator_Mix'!$N$2:$N$977,MATCH(G387,'02b_DC_Accelerator_Mix'!$A$2:$A$977,0)),0)</f>
        <v/>
      </c>
      <c r="R387" s="28">
        <f>H387*I387</f>
        <v/>
      </c>
      <c r="S387" s="28">
        <f>H387*J387</f>
        <v/>
      </c>
      <c r="T387" s="28">
        <f>H387*K387</f>
        <v/>
      </c>
      <c r="U387" s="28">
        <f>H387*L387</f>
        <v/>
      </c>
      <c r="V387" s="28">
        <f>H387*M387</f>
        <v/>
      </c>
      <c r="W387" s="28">
        <f>H387*N387</f>
        <v/>
      </c>
      <c r="X387" s="28">
        <f>H387*O387</f>
        <v/>
      </c>
      <c r="Y387" s="28">
        <f>H387*P387</f>
        <v/>
      </c>
      <c r="Z387" s="28">
        <f>H387*Q387</f>
        <v/>
      </c>
      <c r="AA387" s="28">
        <f>SUM(U387:Z387)</f>
        <v/>
      </c>
      <c r="AB387" s="5">
        <f>IF(COUNTIF('02b_DC_Accelerator_Mix'!$A$2:$A$977,G387)&gt;0,"matched","missing_mix")</f>
        <v/>
      </c>
    </row>
    <row r="388">
      <c r="A388" s="5">
        <f>'02a_DC_Capacity_Alloc'!A388</f>
        <v/>
      </c>
      <c r="B388" s="5">
        <f>'02a_DC_Capacity_Alloc'!B388</f>
        <v/>
      </c>
      <c r="C388" s="5">
        <f>'02a_DC_Capacity_Alloc'!C388</f>
        <v/>
      </c>
      <c r="D388" s="5">
        <f>'02a_DC_Capacity_Alloc'!D388</f>
        <v/>
      </c>
      <c r="E388" s="5">
        <f>'02a_DC_Capacity_Alloc'!E388</f>
        <v/>
      </c>
      <c r="F388" s="5">
        <f>'02a_DC_Capacity_Alloc'!F388</f>
        <v/>
      </c>
      <c r="G388" s="5">
        <f>B388&amp;"|"&amp;E388&amp;"|"&amp;D388</f>
        <v/>
      </c>
      <c r="H388" s="28">
        <f>'02a_DC_Capacity_Alloc'!H388*'02a_DC_Capacity_Alloc'!I388*'02a_DC_Capacity_Alloc'!J388</f>
        <v/>
      </c>
      <c r="I388" s="6">
        <f>IFERROR(INDEX('02b_DC_Accelerator_Mix'!$F$2:$F$977,MATCH(G388,'02b_DC_Accelerator_Mix'!$A$2:$A$977,0)),0)</f>
        <v/>
      </c>
      <c r="J388" s="6">
        <f>IFERROR(INDEX('02b_DC_Accelerator_Mix'!$G$2:$G$977,MATCH(G388,'02b_DC_Accelerator_Mix'!$A$2:$A$977,0)),0)</f>
        <v/>
      </c>
      <c r="K388" s="6">
        <f>IFERROR(INDEX('02b_DC_Accelerator_Mix'!$H$2:$H$977,MATCH(G388,'02b_DC_Accelerator_Mix'!$A$2:$A$977,0)),0)</f>
        <v/>
      </c>
      <c r="L388" s="6">
        <f>IFERROR(INDEX('02b_DC_Accelerator_Mix'!$I$2:$I$977,MATCH(G388,'02b_DC_Accelerator_Mix'!$A$2:$A$977,0)),0)</f>
        <v/>
      </c>
      <c r="M388" s="6">
        <f>IFERROR(INDEX('02b_DC_Accelerator_Mix'!$J$2:$J$977,MATCH(G388,'02b_DC_Accelerator_Mix'!$A$2:$A$977,0)),0)</f>
        <v/>
      </c>
      <c r="N388" s="6">
        <f>IFERROR(INDEX('02b_DC_Accelerator_Mix'!$K$2:$K$977,MATCH(G388,'02b_DC_Accelerator_Mix'!$A$2:$A$977,0)),0)</f>
        <v/>
      </c>
      <c r="O388" s="6">
        <f>IFERROR(INDEX('02b_DC_Accelerator_Mix'!$L$2:$L$977,MATCH(G388,'02b_DC_Accelerator_Mix'!$A$2:$A$977,0)),0)</f>
        <v/>
      </c>
      <c r="P388" s="6">
        <f>IFERROR(INDEX('02b_DC_Accelerator_Mix'!$M$2:$M$977,MATCH(G388,'02b_DC_Accelerator_Mix'!$A$2:$A$977,0)),0)</f>
        <v/>
      </c>
      <c r="Q388" s="6">
        <f>IFERROR(INDEX('02b_DC_Accelerator_Mix'!$N$2:$N$977,MATCH(G388,'02b_DC_Accelerator_Mix'!$A$2:$A$977,0)),0)</f>
        <v/>
      </c>
      <c r="R388" s="28">
        <f>H388*I388</f>
        <v/>
      </c>
      <c r="S388" s="28">
        <f>H388*J388</f>
        <v/>
      </c>
      <c r="T388" s="28">
        <f>H388*K388</f>
        <v/>
      </c>
      <c r="U388" s="28">
        <f>H388*L388</f>
        <v/>
      </c>
      <c r="V388" s="28">
        <f>H388*M388</f>
        <v/>
      </c>
      <c r="W388" s="28">
        <f>H388*N388</f>
        <v/>
      </c>
      <c r="X388" s="28">
        <f>H388*O388</f>
        <v/>
      </c>
      <c r="Y388" s="28">
        <f>H388*P388</f>
        <v/>
      </c>
      <c r="Z388" s="28">
        <f>H388*Q388</f>
        <v/>
      </c>
      <c r="AA388" s="28">
        <f>SUM(U388:Z388)</f>
        <v/>
      </c>
      <c r="AB388" s="5">
        <f>IF(COUNTIF('02b_DC_Accelerator_Mix'!$A$2:$A$977,G388)&gt;0,"matched","missing_mix")</f>
        <v/>
      </c>
    </row>
    <row r="389">
      <c r="A389" s="5">
        <f>'02a_DC_Capacity_Alloc'!A389</f>
        <v/>
      </c>
      <c r="B389" s="5">
        <f>'02a_DC_Capacity_Alloc'!B389</f>
        <v/>
      </c>
      <c r="C389" s="5">
        <f>'02a_DC_Capacity_Alloc'!C389</f>
        <v/>
      </c>
      <c r="D389" s="5">
        <f>'02a_DC_Capacity_Alloc'!D389</f>
        <v/>
      </c>
      <c r="E389" s="5">
        <f>'02a_DC_Capacity_Alloc'!E389</f>
        <v/>
      </c>
      <c r="F389" s="5">
        <f>'02a_DC_Capacity_Alloc'!F389</f>
        <v/>
      </c>
      <c r="G389" s="5">
        <f>B389&amp;"|"&amp;E389&amp;"|"&amp;D389</f>
        <v/>
      </c>
      <c r="H389" s="28">
        <f>'02a_DC_Capacity_Alloc'!H389*'02a_DC_Capacity_Alloc'!I389*'02a_DC_Capacity_Alloc'!J389</f>
        <v/>
      </c>
      <c r="I389" s="6">
        <f>IFERROR(INDEX('02b_DC_Accelerator_Mix'!$F$2:$F$977,MATCH(G389,'02b_DC_Accelerator_Mix'!$A$2:$A$977,0)),0)</f>
        <v/>
      </c>
      <c r="J389" s="6">
        <f>IFERROR(INDEX('02b_DC_Accelerator_Mix'!$G$2:$G$977,MATCH(G389,'02b_DC_Accelerator_Mix'!$A$2:$A$977,0)),0)</f>
        <v/>
      </c>
      <c r="K389" s="6">
        <f>IFERROR(INDEX('02b_DC_Accelerator_Mix'!$H$2:$H$977,MATCH(G389,'02b_DC_Accelerator_Mix'!$A$2:$A$977,0)),0)</f>
        <v/>
      </c>
      <c r="L389" s="6">
        <f>IFERROR(INDEX('02b_DC_Accelerator_Mix'!$I$2:$I$977,MATCH(G389,'02b_DC_Accelerator_Mix'!$A$2:$A$977,0)),0)</f>
        <v/>
      </c>
      <c r="M389" s="6">
        <f>IFERROR(INDEX('02b_DC_Accelerator_Mix'!$J$2:$J$977,MATCH(G389,'02b_DC_Accelerator_Mix'!$A$2:$A$977,0)),0)</f>
        <v/>
      </c>
      <c r="N389" s="6">
        <f>IFERROR(INDEX('02b_DC_Accelerator_Mix'!$K$2:$K$977,MATCH(G389,'02b_DC_Accelerator_Mix'!$A$2:$A$977,0)),0)</f>
        <v/>
      </c>
      <c r="O389" s="6">
        <f>IFERROR(INDEX('02b_DC_Accelerator_Mix'!$L$2:$L$977,MATCH(G389,'02b_DC_Accelerator_Mix'!$A$2:$A$977,0)),0)</f>
        <v/>
      </c>
      <c r="P389" s="6">
        <f>IFERROR(INDEX('02b_DC_Accelerator_Mix'!$M$2:$M$977,MATCH(G389,'02b_DC_Accelerator_Mix'!$A$2:$A$977,0)),0)</f>
        <v/>
      </c>
      <c r="Q389" s="6">
        <f>IFERROR(INDEX('02b_DC_Accelerator_Mix'!$N$2:$N$977,MATCH(G389,'02b_DC_Accelerator_Mix'!$A$2:$A$977,0)),0)</f>
        <v/>
      </c>
      <c r="R389" s="28">
        <f>H389*I389</f>
        <v/>
      </c>
      <c r="S389" s="28">
        <f>H389*J389</f>
        <v/>
      </c>
      <c r="T389" s="28">
        <f>H389*K389</f>
        <v/>
      </c>
      <c r="U389" s="28">
        <f>H389*L389</f>
        <v/>
      </c>
      <c r="V389" s="28">
        <f>H389*M389</f>
        <v/>
      </c>
      <c r="W389" s="28">
        <f>H389*N389</f>
        <v/>
      </c>
      <c r="X389" s="28">
        <f>H389*O389</f>
        <v/>
      </c>
      <c r="Y389" s="28">
        <f>H389*P389</f>
        <v/>
      </c>
      <c r="Z389" s="28">
        <f>H389*Q389</f>
        <v/>
      </c>
      <c r="AA389" s="28">
        <f>SUM(U389:Z389)</f>
        <v/>
      </c>
      <c r="AB389" s="5">
        <f>IF(COUNTIF('02b_DC_Accelerator_Mix'!$A$2:$A$977,G389)&gt;0,"matched","missing_mix")</f>
        <v/>
      </c>
    </row>
    <row r="390">
      <c r="A390" s="5">
        <f>'02a_DC_Capacity_Alloc'!A390</f>
        <v/>
      </c>
      <c r="B390" s="5">
        <f>'02a_DC_Capacity_Alloc'!B390</f>
        <v/>
      </c>
      <c r="C390" s="5">
        <f>'02a_DC_Capacity_Alloc'!C390</f>
        <v/>
      </c>
      <c r="D390" s="5">
        <f>'02a_DC_Capacity_Alloc'!D390</f>
        <v/>
      </c>
      <c r="E390" s="5">
        <f>'02a_DC_Capacity_Alloc'!E390</f>
        <v/>
      </c>
      <c r="F390" s="5">
        <f>'02a_DC_Capacity_Alloc'!F390</f>
        <v/>
      </c>
      <c r="G390" s="5">
        <f>B390&amp;"|"&amp;E390&amp;"|"&amp;D390</f>
        <v/>
      </c>
      <c r="H390" s="28">
        <f>'02a_DC_Capacity_Alloc'!H390*'02a_DC_Capacity_Alloc'!I390*'02a_DC_Capacity_Alloc'!J390</f>
        <v/>
      </c>
      <c r="I390" s="6">
        <f>IFERROR(INDEX('02b_DC_Accelerator_Mix'!$F$2:$F$977,MATCH(G390,'02b_DC_Accelerator_Mix'!$A$2:$A$977,0)),0)</f>
        <v/>
      </c>
      <c r="J390" s="6">
        <f>IFERROR(INDEX('02b_DC_Accelerator_Mix'!$G$2:$G$977,MATCH(G390,'02b_DC_Accelerator_Mix'!$A$2:$A$977,0)),0)</f>
        <v/>
      </c>
      <c r="K390" s="6">
        <f>IFERROR(INDEX('02b_DC_Accelerator_Mix'!$H$2:$H$977,MATCH(G390,'02b_DC_Accelerator_Mix'!$A$2:$A$977,0)),0)</f>
        <v/>
      </c>
      <c r="L390" s="6">
        <f>IFERROR(INDEX('02b_DC_Accelerator_Mix'!$I$2:$I$977,MATCH(G390,'02b_DC_Accelerator_Mix'!$A$2:$A$977,0)),0)</f>
        <v/>
      </c>
      <c r="M390" s="6">
        <f>IFERROR(INDEX('02b_DC_Accelerator_Mix'!$J$2:$J$977,MATCH(G390,'02b_DC_Accelerator_Mix'!$A$2:$A$977,0)),0)</f>
        <v/>
      </c>
      <c r="N390" s="6">
        <f>IFERROR(INDEX('02b_DC_Accelerator_Mix'!$K$2:$K$977,MATCH(G390,'02b_DC_Accelerator_Mix'!$A$2:$A$977,0)),0)</f>
        <v/>
      </c>
      <c r="O390" s="6">
        <f>IFERROR(INDEX('02b_DC_Accelerator_Mix'!$L$2:$L$977,MATCH(G390,'02b_DC_Accelerator_Mix'!$A$2:$A$977,0)),0)</f>
        <v/>
      </c>
      <c r="P390" s="6">
        <f>IFERROR(INDEX('02b_DC_Accelerator_Mix'!$M$2:$M$977,MATCH(G390,'02b_DC_Accelerator_Mix'!$A$2:$A$977,0)),0)</f>
        <v/>
      </c>
      <c r="Q390" s="6">
        <f>IFERROR(INDEX('02b_DC_Accelerator_Mix'!$N$2:$N$977,MATCH(G390,'02b_DC_Accelerator_Mix'!$A$2:$A$977,0)),0)</f>
        <v/>
      </c>
      <c r="R390" s="28">
        <f>H390*I390</f>
        <v/>
      </c>
      <c r="S390" s="28">
        <f>H390*J390</f>
        <v/>
      </c>
      <c r="T390" s="28">
        <f>H390*K390</f>
        <v/>
      </c>
      <c r="U390" s="28">
        <f>H390*L390</f>
        <v/>
      </c>
      <c r="V390" s="28">
        <f>H390*M390</f>
        <v/>
      </c>
      <c r="W390" s="28">
        <f>H390*N390</f>
        <v/>
      </c>
      <c r="X390" s="28">
        <f>H390*O390</f>
        <v/>
      </c>
      <c r="Y390" s="28">
        <f>H390*P390</f>
        <v/>
      </c>
      <c r="Z390" s="28">
        <f>H390*Q390</f>
        <v/>
      </c>
      <c r="AA390" s="28">
        <f>SUM(U390:Z390)</f>
        <v/>
      </c>
      <c r="AB390" s="5">
        <f>IF(COUNTIF('02b_DC_Accelerator_Mix'!$A$2:$A$977,G390)&gt;0,"matched","missing_mix")</f>
        <v/>
      </c>
    </row>
    <row r="391">
      <c r="A391" s="5">
        <f>'02a_DC_Capacity_Alloc'!A391</f>
        <v/>
      </c>
      <c r="B391" s="5">
        <f>'02a_DC_Capacity_Alloc'!B391</f>
        <v/>
      </c>
      <c r="C391" s="5">
        <f>'02a_DC_Capacity_Alloc'!C391</f>
        <v/>
      </c>
      <c r="D391" s="5">
        <f>'02a_DC_Capacity_Alloc'!D391</f>
        <v/>
      </c>
      <c r="E391" s="5">
        <f>'02a_DC_Capacity_Alloc'!E391</f>
        <v/>
      </c>
      <c r="F391" s="5">
        <f>'02a_DC_Capacity_Alloc'!F391</f>
        <v/>
      </c>
      <c r="G391" s="5">
        <f>B391&amp;"|"&amp;E391&amp;"|"&amp;D391</f>
        <v/>
      </c>
      <c r="H391" s="28">
        <f>'02a_DC_Capacity_Alloc'!H391*'02a_DC_Capacity_Alloc'!I391*'02a_DC_Capacity_Alloc'!J391</f>
        <v/>
      </c>
      <c r="I391" s="6">
        <f>IFERROR(INDEX('02b_DC_Accelerator_Mix'!$F$2:$F$977,MATCH(G391,'02b_DC_Accelerator_Mix'!$A$2:$A$977,0)),0)</f>
        <v/>
      </c>
      <c r="J391" s="6">
        <f>IFERROR(INDEX('02b_DC_Accelerator_Mix'!$G$2:$G$977,MATCH(G391,'02b_DC_Accelerator_Mix'!$A$2:$A$977,0)),0)</f>
        <v/>
      </c>
      <c r="K391" s="6">
        <f>IFERROR(INDEX('02b_DC_Accelerator_Mix'!$H$2:$H$977,MATCH(G391,'02b_DC_Accelerator_Mix'!$A$2:$A$977,0)),0)</f>
        <v/>
      </c>
      <c r="L391" s="6">
        <f>IFERROR(INDEX('02b_DC_Accelerator_Mix'!$I$2:$I$977,MATCH(G391,'02b_DC_Accelerator_Mix'!$A$2:$A$977,0)),0)</f>
        <v/>
      </c>
      <c r="M391" s="6">
        <f>IFERROR(INDEX('02b_DC_Accelerator_Mix'!$J$2:$J$977,MATCH(G391,'02b_DC_Accelerator_Mix'!$A$2:$A$977,0)),0)</f>
        <v/>
      </c>
      <c r="N391" s="6">
        <f>IFERROR(INDEX('02b_DC_Accelerator_Mix'!$K$2:$K$977,MATCH(G391,'02b_DC_Accelerator_Mix'!$A$2:$A$977,0)),0)</f>
        <v/>
      </c>
      <c r="O391" s="6">
        <f>IFERROR(INDEX('02b_DC_Accelerator_Mix'!$L$2:$L$977,MATCH(G391,'02b_DC_Accelerator_Mix'!$A$2:$A$977,0)),0)</f>
        <v/>
      </c>
      <c r="P391" s="6">
        <f>IFERROR(INDEX('02b_DC_Accelerator_Mix'!$M$2:$M$977,MATCH(G391,'02b_DC_Accelerator_Mix'!$A$2:$A$977,0)),0)</f>
        <v/>
      </c>
      <c r="Q391" s="6">
        <f>IFERROR(INDEX('02b_DC_Accelerator_Mix'!$N$2:$N$977,MATCH(G391,'02b_DC_Accelerator_Mix'!$A$2:$A$977,0)),0)</f>
        <v/>
      </c>
      <c r="R391" s="28">
        <f>H391*I391</f>
        <v/>
      </c>
      <c r="S391" s="28">
        <f>H391*J391</f>
        <v/>
      </c>
      <c r="T391" s="28">
        <f>H391*K391</f>
        <v/>
      </c>
      <c r="U391" s="28">
        <f>H391*L391</f>
        <v/>
      </c>
      <c r="V391" s="28">
        <f>H391*M391</f>
        <v/>
      </c>
      <c r="W391" s="28">
        <f>H391*N391</f>
        <v/>
      </c>
      <c r="X391" s="28">
        <f>H391*O391</f>
        <v/>
      </c>
      <c r="Y391" s="28">
        <f>H391*P391</f>
        <v/>
      </c>
      <c r="Z391" s="28">
        <f>H391*Q391</f>
        <v/>
      </c>
      <c r="AA391" s="28">
        <f>SUM(U391:Z391)</f>
        <v/>
      </c>
      <c r="AB391" s="5">
        <f>IF(COUNTIF('02b_DC_Accelerator_Mix'!$A$2:$A$977,G391)&gt;0,"matched","missing_mix")</f>
        <v/>
      </c>
    </row>
    <row r="392">
      <c r="A392" s="5">
        <f>'02a_DC_Capacity_Alloc'!A392</f>
        <v/>
      </c>
      <c r="B392" s="5">
        <f>'02a_DC_Capacity_Alloc'!B392</f>
        <v/>
      </c>
      <c r="C392" s="5">
        <f>'02a_DC_Capacity_Alloc'!C392</f>
        <v/>
      </c>
      <c r="D392" s="5">
        <f>'02a_DC_Capacity_Alloc'!D392</f>
        <v/>
      </c>
      <c r="E392" s="5">
        <f>'02a_DC_Capacity_Alloc'!E392</f>
        <v/>
      </c>
      <c r="F392" s="5">
        <f>'02a_DC_Capacity_Alloc'!F392</f>
        <v/>
      </c>
      <c r="G392" s="5">
        <f>B392&amp;"|"&amp;E392&amp;"|"&amp;D392</f>
        <v/>
      </c>
      <c r="H392" s="28">
        <f>'02a_DC_Capacity_Alloc'!H392*'02a_DC_Capacity_Alloc'!I392*'02a_DC_Capacity_Alloc'!J392</f>
        <v/>
      </c>
      <c r="I392" s="6">
        <f>IFERROR(INDEX('02b_DC_Accelerator_Mix'!$F$2:$F$977,MATCH(G392,'02b_DC_Accelerator_Mix'!$A$2:$A$977,0)),0)</f>
        <v/>
      </c>
      <c r="J392" s="6">
        <f>IFERROR(INDEX('02b_DC_Accelerator_Mix'!$G$2:$G$977,MATCH(G392,'02b_DC_Accelerator_Mix'!$A$2:$A$977,0)),0)</f>
        <v/>
      </c>
      <c r="K392" s="6">
        <f>IFERROR(INDEX('02b_DC_Accelerator_Mix'!$H$2:$H$977,MATCH(G392,'02b_DC_Accelerator_Mix'!$A$2:$A$977,0)),0)</f>
        <v/>
      </c>
      <c r="L392" s="6">
        <f>IFERROR(INDEX('02b_DC_Accelerator_Mix'!$I$2:$I$977,MATCH(G392,'02b_DC_Accelerator_Mix'!$A$2:$A$977,0)),0)</f>
        <v/>
      </c>
      <c r="M392" s="6">
        <f>IFERROR(INDEX('02b_DC_Accelerator_Mix'!$J$2:$J$977,MATCH(G392,'02b_DC_Accelerator_Mix'!$A$2:$A$977,0)),0)</f>
        <v/>
      </c>
      <c r="N392" s="6">
        <f>IFERROR(INDEX('02b_DC_Accelerator_Mix'!$K$2:$K$977,MATCH(G392,'02b_DC_Accelerator_Mix'!$A$2:$A$977,0)),0)</f>
        <v/>
      </c>
      <c r="O392" s="6">
        <f>IFERROR(INDEX('02b_DC_Accelerator_Mix'!$L$2:$L$977,MATCH(G392,'02b_DC_Accelerator_Mix'!$A$2:$A$977,0)),0)</f>
        <v/>
      </c>
      <c r="P392" s="6">
        <f>IFERROR(INDEX('02b_DC_Accelerator_Mix'!$M$2:$M$977,MATCH(G392,'02b_DC_Accelerator_Mix'!$A$2:$A$977,0)),0)</f>
        <v/>
      </c>
      <c r="Q392" s="6">
        <f>IFERROR(INDEX('02b_DC_Accelerator_Mix'!$N$2:$N$977,MATCH(G392,'02b_DC_Accelerator_Mix'!$A$2:$A$977,0)),0)</f>
        <v/>
      </c>
      <c r="R392" s="28">
        <f>H392*I392</f>
        <v/>
      </c>
      <c r="S392" s="28">
        <f>H392*J392</f>
        <v/>
      </c>
      <c r="T392" s="28">
        <f>H392*K392</f>
        <v/>
      </c>
      <c r="U392" s="28">
        <f>H392*L392</f>
        <v/>
      </c>
      <c r="V392" s="28">
        <f>H392*M392</f>
        <v/>
      </c>
      <c r="W392" s="28">
        <f>H392*N392</f>
        <v/>
      </c>
      <c r="X392" s="28">
        <f>H392*O392</f>
        <v/>
      </c>
      <c r="Y392" s="28">
        <f>H392*P392</f>
        <v/>
      </c>
      <c r="Z392" s="28">
        <f>H392*Q392</f>
        <v/>
      </c>
      <c r="AA392" s="28">
        <f>SUM(U392:Z392)</f>
        <v/>
      </c>
      <c r="AB392" s="5">
        <f>IF(COUNTIF('02b_DC_Accelerator_Mix'!$A$2:$A$977,G392)&gt;0,"matched","missing_mix")</f>
        <v/>
      </c>
    </row>
    <row r="393">
      <c r="A393" s="5">
        <f>'02a_DC_Capacity_Alloc'!A393</f>
        <v/>
      </c>
      <c r="B393" s="5">
        <f>'02a_DC_Capacity_Alloc'!B393</f>
        <v/>
      </c>
      <c r="C393" s="5">
        <f>'02a_DC_Capacity_Alloc'!C393</f>
        <v/>
      </c>
      <c r="D393" s="5">
        <f>'02a_DC_Capacity_Alloc'!D393</f>
        <v/>
      </c>
      <c r="E393" s="5">
        <f>'02a_DC_Capacity_Alloc'!E393</f>
        <v/>
      </c>
      <c r="F393" s="5">
        <f>'02a_DC_Capacity_Alloc'!F393</f>
        <v/>
      </c>
      <c r="G393" s="5">
        <f>B393&amp;"|"&amp;E393&amp;"|"&amp;D393</f>
        <v/>
      </c>
      <c r="H393" s="28">
        <f>'02a_DC_Capacity_Alloc'!H393*'02a_DC_Capacity_Alloc'!I393*'02a_DC_Capacity_Alloc'!J393</f>
        <v/>
      </c>
      <c r="I393" s="6">
        <f>IFERROR(INDEX('02b_DC_Accelerator_Mix'!$F$2:$F$977,MATCH(G393,'02b_DC_Accelerator_Mix'!$A$2:$A$977,0)),0)</f>
        <v/>
      </c>
      <c r="J393" s="6">
        <f>IFERROR(INDEX('02b_DC_Accelerator_Mix'!$G$2:$G$977,MATCH(G393,'02b_DC_Accelerator_Mix'!$A$2:$A$977,0)),0)</f>
        <v/>
      </c>
      <c r="K393" s="6">
        <f>IFERROR(INDEX('02b_DC_Accelerator_Mix'!$H$2:$H$977,MATCH(G393,'02b_DC_Accelerator_Mix'!$A$2:$A$977,0)),0)</f>
        <v/>
      </c>
      <c r="L393" s="6">
        <f>IFERROR(INDEX('02b_DC_Accelerator_Mix'!$I$2:$I$977,MATCH(G393,'02b_DC_Accelerator_Mix'!$A$2:$A$977,0)),0)</f>
        <v/>
      </c>
      <c r="M393" s="6">
        <f>IFERROR(INDEX('02b_DC_Accelerator_Mix'!$J$2:$J$977,MATCH(G393,'02b_DC_Accelerator_Mix'!$A$2:$A$977,0)),0)</f>
        <v/>
      </c>
      <c r="N393" s="6">
        <f>IFERROR(INDEX('02b_DC_Accelerator_Mix'!$K$2:$K$977,MATCH(G393,'02b_DC_Accelerator_Mix'!$A$2:$A$977,0)),0)</f>
        <v/>
      </c>
      <c r="O393" s="6">
        <f>IFERROR(INDEX('02b_DC_Accelerator_Mix'!$L$2:$L$977,MATCH(G393,'02b_DC_Accelerator_Mix'!$A$2:$A$977,0)),0)</f>
        <v/>
      </c>
      <c r="P393" s="6">
        <f>IFERROR(INDEX('02b_DC_Accelerator_Mix'!$M$2:$M$977,MATCH(G393,'02b_DC_Accelerator_Mix'!$A$2:$A$977,0)),0)</f>
        <v/>
      </c>
      <c r="Q393" s="6">
        <f>IFERROR(INDEX('02b_DC_Accelerator_Mix'!$N$2:$N$977,MATCH(G393,'02b_DC_Accelerator_Mix'!$A$2:$A$977,0)),0)</f>
        <v/>
      </c>
      <c r="R393" s="28">
        <f>H393*I393</f>
        <v/>
      </c>
      <c r="S393" s="28">
        <f>H393*J393</f>
        <v/>
      </c>
      <c r="T393" s="28">
        <f>H393*K393</f>
        <v/>
      </c>
      <c r="U393" s="28">
        <f>H393*L393</f>
        <v/>
      </c>
      <c r="V393" s="28">
        <f>H393*M393</f>
        <v/>
      </c>
      <c r="W393" s="28">
        <f>H393*N393</f>
        <v/>
      </c>
      <c r="X393" s="28">
        <f>H393*O393</f>
        <v/>
      </c>
      <c r="Y393" s="28">
        <f>H393*P393</f>
        <v/>
      </c>
      <c r="Z393" s="28">
        <f>H393*Q393</f>
        <v/>
      </c>
      <c r="AA393" s="28">
        <f>SUM(U393:Z393)</f>
        <v/>
      </c>
      <c r="AB393" s="5">
        <f>IF(COUNTIF('02b_DC_Accelerator_Mix'!$A$2:$A$977,G393)&gt;0,"matched","missing_mix")</f>
        <v/>
      </c>
    </row>
    <row r="394">
      <c r="A394" s="5">
        <f>'02a_DC_Capacity_Alloc'!A394</f>
        <v/>
      </c>
      <c r="B394" s="5">
        <f>'02a_DC_Capacity_Alloc'!B394</f>
        <v/>
      </c>
      <c r="C394" s="5">
        <f>'02a_DC_Capacity_Alloc'!C394</f>
        <v/>
      </c>
      <c r="D394" s="5">
        <f>'02a_DC_Capacity_Alloc'!D394</f>
        <v/>
      </c>
      <c r="E394" s="5">
        <f>'02a_DC_Capacity_Alloc'!E394</f>
        <v/>
      </c>
      <c r="F394" s="5">
        <f>'02a_DC_Capacity_Alloc'!F394</f>
        <v/>
      </c>
      <c r="G394" s="5">
        <f>B394&amp;"|"&amp;E394&amp;"|"&amp;D394</f>
        <v/>
      </c>
      <c r="H394" s="28">
        <f>'02a_DC_Capacity_Alloc'!H394*'02a_DC_Capacity_Alloc'!I394*'02a_DC_Capacity_Alloc'!J394</f>
        <v/>
      </c>
      <c r="I394" s="6">
        <f>IFERROR(INDEX('02b_DC_Accelerator_Mix'!$F$2:$F$977,MATCH(G394,'02b_DC_Accelerator_Mix'!$A$2:$A$977,0)),0)</f>
        <v/>
      </c>
      <c r="J394" s="6">
        <f>IFERROR(INDEX('02b_DC_Accelerator_Mix'!$G$2:$G$977,MATCH(G394,'02b_DC_Accelerator_Mix'!$A$2:$A$977,0)),0)</f>
        <v/>
      </c>
      <c r="K394" s="6">
        <f>IFERROR(INDEX('02b_DC_Accelerator_Mix'!$H$2:$H$977,MATCH(G394,'02b_DC_Accelerator_Mix'!$A$2:$A$977,0)),0)</f>
        <v/>
      </c>
      <c r="L394" s="6">
        <f>IFERROR(INDEX('02b_DC_Accelerator_Mix'!$I$2:$I$977,MATCH(G394,'02b_DC_Accelerator_Mix'!$A$2:$A$977,0)),0)</f>
        <v/>
      </c>
      <c r="M394" s="6">
        <f>IFERROR(INDEX('02b_DC_Accelerator_Mix'!$J$2:$J$977,MATCH(G394,'02b_DC_Accelerator_Mix'!$A$2:$A$977,0)),0)</f>
        <v/>
      </c>
      <c r="N394" s="6">
        <f>IFERROR(INDEX('02b_DC_Accelerator_Mix'!$K$2:$K$977,MATCH(G394,'02b_DC_Accelerator_Mix'!$A$2:$A$977,0)),0)</f>
        <v/>
      </c>
      <c r="O394" s="6">
        <f>IFERROR(INDEX('02b_DC_Accelerator_Mix'!$L$2:$L$977,MATCH(G394,'02b_DC_Accelerator_Mix'!$A$2:$A$977,0)),0)</f>
        <v/>
      </c>
      <c r="P394" s="6">
        <f>IFERROR(INDEX('02b_DC_Accelerator_Mix'!$M$2:$M$977,MATCH(G394,'02b_DC_Accelerator_Mix'!$A$2:$A$977,0)),0)</f>
        <v/>
      </c>
      <c r="Q394" s="6">
        <f>IFERROR(INDEX('02b_DC_Accelerator_Mix'!$N$2:$N$977,MATCH(G394,'02b_DC_Accelerator_Mix'!$A$2:$A$977,0)),0)</f>
        <v/>
      </c>
      <c r="R394" s="28">
        <f>H394*I394</f>
        <v/>
      </c>
      <c r="S394" s="28">
        <f>H394*J394</f>
        <v/>
      </c>
      <c r="T394" s="28">
        <f>H394*K394</f>
        <v/>
      </c>
      <c r="U394" s="28">
        <f>H394*L394</f>
        <v/>
      </c>
      <c r="V394" s="28">
        <f>H394*M394</f>
        <v/>
      </c>
      <c r="W394" s="28">
        <f>H394*N394</f>
        <v/>
      </c>
      <c r="X394" s="28">
        <f>H394*O394</f>
        <v/>
      </c>
      <c r="Y394" s="28">
        <f>H394*P394</f>
        <v/>
      </c>
      <c r="Z394" s="28">
        <f>H394*Q394</f>
        <v/>
      </c>
      <c r="AA394" s="28">
        <f>SUM(U394:Z394)</f>
        <v/>
      </c>
      <c r="AB394" s="5">
        <f>IF(COUNTIF('02b_DC_Accelerator_Mix'!$A$2:$A$977,G394)&gt;0,"matched","missing_mix")</f>
        <v/>
      </c>
    </row>
    <row r="395">
      <c r="A395" s="5">
        <f>'02a_DC_Capacity_Alloc'!A395</f>
        <v/>
      </c>
      <c r="B395" s="5">
        <f>'02a_DC_Capacity_Alloc'!B395</f>
        <v/>
      </c>
      <c r="C395" s="5">
        <f>'02a_DC_Capacity_Alloc'!C395</f>
        <v/>
      </c>
      <c r="D395" s="5">
        <f>'02a_DC_Capacity_Alloc'!D395</f>
        <v/>
      </c>
      <c r="E395" s="5">
        <f>'02a_DC_Capacity_Alloc'!E395</f>
        <v/>
      </c>
      <c r="F395" s="5">
        <f>'02a_DC_Capacity_Alloc'!F395</f>
        <v/>
      </c>
      <c r="G395" s="5">
        <f>B395&amp;"|"&amp;E395&amp;"|"&amp;D395</f>
        <v/>
      </c>
      <c r="H395" s="28">
        <f>'02a_DC_Capacity_Alloc'!H395*'02a_DC_Capacity_Alloc'!I395*'02a_DC_Capacity_Alloc'!J395</f>
        <v/>
      </c>
      <c r="I395" s="6">
        <f>IFERROR(INDEX('02b_DC_Accelerator_Mix'!$F$2:$F$977,MATCH(G395,'02b_DC_Accelerator_Mix'!$A$2:$A$977,0)),0)</f>
        <v/>
      </c>
      <c r="J395" s="6">
        <f>IFERROR(INDEX('02b_DC_Accelerator_Mix'!$G$2:$G$977,MATCH(G395,'02b_DC_Accelerator_Mix'!$A$2:$A$977,0)),0)</f>
        <v/>
      </c>
      <c r="K395" s="6">
        <f>IFERROR(INDEX('02b_DC_Accelerator_Mix'!$H$2:$H$977,MATCH(G395,'02b_DC_Accelerator_Mix'!$A$2:$A$977,0)),0)</f>
        <v/>
      </c>
      <c r="L395" s="6">
        <f>IFERROR(INDEX('02b_DC_Accelerator_Mix'!$I$2:$I$977,MATCH(G395,'02b_DC_Accelerator_Mix'!$A$2:$A$977,0)),0)</f>
        <v/>
      </c>
      <c r="M395" s="6">
        <f>IFERROR(INDEX('02b_DC_Accelerator_Mix'!$J$2:$J$977,MATCH(G395,'02b_DC_Accelerator_Mix'!$A$2:$A$977,0)),0)</f>
        <v/>
      </c>
      <c r="N395" s="6">
        <f>IFERROR(INDEX('02b_DC_Accelerator_Mix'!$K$2:$K$977,MATCH(G395,'02b_DC_Accelerator_Mix'!$A$2:$A$977,0)),0)</f>
        <v/>
      </c>
      <c r="O395" s="6">
        <f>IFERROR(INDEX('02b_DC_Accelerator_Mix'!$L$2:$L$977,MATCH(G395,'02b_DC_Accelerator_Mix'!$A$2:$A$977,0)),0)</f>
        <v/>
      </c>
      <c r="P395" s="6">
        <f>IFERROR(INDEX('02b_DC_Accelerator_Mix'!$M$2:$M$977,MATCH(G395,'02b_DC_Accelerator_Mix'!$A$2:$A$977,0)),0)</f>
        <v/>
      </c>
      <c r="Q395" s="6">
        <f>IFERROR(INDEX('02b_DC_Accelerator_Mix'!$N$2:$N$977,MATCH(G395,'02b_DC_Accelerator_Mix'!$A$2:$A$977,0)),0)</f>
        <v/>
      </c>
      <c r="R395" s="28">
        <f>H395*I395</f>
        <v/>
      </c>
      <c r="S395" s="28">
        <f>H395*J395</f>
        <v/>
      </c>
      <c r="T395" s="28">
        <f>H395*K395</f>
        <v/>
      </c>
      <c r="U395" s="28">
        <f>H395*L395</f>
        <v/>
      </c>
      <c r="V395" s="28">
        <f>H395*M395</f>
        <v/>
      </c>
      <c r="W395" s="28">
        <f>H395*N395</f>
        <v/>
      </c>
      <c r="X395" s="28">
        <f>H395*O395</f>
        <v/>
      </c>
      <c r="Y395" s="28">
        <f>H395*P395</f>
        <v/>
      </c>
      <c r="Z395" s="28">
        <f>H395*Q395</f>
        <v/>
      </c>
      <c r="AA395" s="28">
        <f>SUM(U395:Z395)</f>
        <v/>
      </c>
      <c r="AB395" s="5">
        <f>IF(COUNTIF('02b_DC_Accelerator_Mix'!$A$2:$A$977,G395)&gt;0,"matched","missing_mix")</f>
        <v/>
      </c>
    </row>
    <row r="396">
      <c r="A396" s="5">
        <f>'02a_DC_Capacity_Alloc'!A396</f>
        <v/>
      </c>
      <c r="B396" s="5">
        <f>'02a_DC_Capacity_Alloc'!B396</f>
        <v/>
      </c>
      <c r="C396" s="5">
        <f>'02a_DC_Capacity_Alloc'!C396</f>
        <v/>
      </c>
      <c r="D396" s="5">
        <f>'02a_DC_Capacity_Alloc'!D396</f>
        <v/>
      </c>
      <c r="E396" s="5">
        <f>'02a_DC_Capacity_Alloc'!E396</f>
        <v/>
      </c>
      <c r="F396" s="5">
        <f>'02a_DC_Capacity_Alloc'!F396</f>
        <v/>
      </c>
      <c r="G396" s="5">
        <f>B396&amp;"|"&amp;E396&amp;"|"&amp;D396</f>
        <v/>
      </c>
      <c r="H396" s="28">
        <f>'02a_DC_Capacity_Alloc'!H396*'02a_DC_Capacity_Alloc'!I396*'02a_DC_Capacity_Alloc'!J396</f>
        <v/>
      </c>
      <c r="I396" s="6">
        <f>IFERROR(INDEX('02b_DC_Accelerator_Mix'!$F$2:$F$977,MATCH(G396,'02b_DC_Accelerator_Mix'!$A$2:$A$977,0)),0)</f>
        <v/>
      </c>
      <c r="J396" s="6">
        <f>IFERROR(INDEX('02b_DC_Accelerator_Mix'!$G$2:$G$977,MATCH(G396,'02b_DC_Accelerator_Mix'!$A$2:$A$977,0)),0)</f>
        <v/>
      </c>
      <c r="K396" s="6">
        <f>IFERROR(INDEX('02b_DC_Accelerator_Mix'!$H$2:$H$977,MATCH(G396,'02b_DC_Accelerator_Mix'!$A$2:$A$977,0)),0)</f>
        <v/>
      </c>
      <c r="L396" s="6">
        <f>IFERROR(INDEX('02b_DC_Accelerator_Mix'!$I$2:$I$977,MATCH(G396,'02b_DC_Accelerator_Mix'!$A$2:$A$977,0)),0)</f>
        <v/>
      </c>
      <c r="M396" s="6">
        <f>IFERROR(INDEX('02b_DC_Accelerator_Mix'!$J$2:$J$977,MATCH(G396,'02b_DC_Accelerator_Mix'!$A$2:$A$977,0)),0)</f>
        <v/>
      </c>
      <c r="N396" s="6">
        <f>IFERROR(INDEX('02b_DC_Accelerator_Mix'!$K$2:$K$977,MATCH(G396,'02b_DC_Accelerator_Mix'!$A$2:$A$977,0)),0)</f>
        <v/>
      </c>
      <c r="O396" s="6">
        <f>IFERROR(INDEX('02b_DC_Accelerator_Mix'!$L$2:$L$977,MATCH(G396,'02b_DC_Accelerator_Mix'!$A$2:$A$977,0)),0)</f>
        <v/>
      </c>
      <c r="P396" s="6">
        <f>IFERROR(INDEX('02b_DC_Accelerator_Mix'!$M$2:$M$977,MATCH(G396,'02b_DC_Accelerator_Mix'!$A$2:$A$977,0)),0)</f>
        <v/>
      </c>
      <c r="Q396" s="6">
        <f>IFERROR(INDEX('02b_DC_Accelerator_Mix'!$N$2:$N$977,MATCH(G396,'02b_DC_Accelerator_Mix'!$A$2:$A$977,0)),0)</f>
        <v/>
      </c>
      <c r="R396" s="28">
        <f>H396*I396</f>
        <v/>
      </c>
      <c r="S396" s="28">
        <f>H396*J396</f>
        <v/>
      </c>
      <c r="T396" s="28">
        <f>H396*K396</f>
        <v/>
      </c>
      <c r="U396" s="28">
        <f>H396*L396</f>
        <v/>
      </c>
      <c r="V396" s="28">
        <f>H396*M396</f>
        <v/>
      </c>
      <c r="W396" s="28">
        <f>H396*N396</f>
        <v/>
      </c>
      <c r="X396" s="28">
        <f>H396*O396</f>
        <v/>
      </c>
      <c r="Y396" s="28">
        <f>H396*P396</f>
        <v/>
      </c>
      <c r="Z396" s="28">
        <f>H396*Q396</f>
        <v/>
      </c>
      <c r="AA396" s="28">
        <f>SUM(U396:Z396)</f>
        <v/>
      </c>
      <c r="AB396" s="5">
        <f>IF(COUNTIF('02b_DC_Accelerator_Mix'!$A$2:$A$977,G396)&gt;0,"matched","missing_mix")</f>
        <v/>
      </c>
    </row>
    <row r="397">
      <c r="A397" s="5">
        <f>'02a_DC_Capacity_Alloc'!A397</f>
        <v/>
      </c>
      <c r="B397" s="5">
        <f>'02a_DC_Capacity_Alloc'!B397</f>
        <v/>
      </c>
      <c r="C397" s="5">
        <f>'02a_DC_Capacity_Alloc'!C397</f>
        <v/>
      </c>
      <c r="D397" s="5">
        <f>'02a_DC_Capacity_Alloc'!D397</f>
        <v/>
      </c>
      <c r="E397" s="5">
        <f>'02a_DC_Capacity_Alloc'!E397</f>
        <v/>
      </c>
      <c r="F397" s="5">
        <f>'02a_DC_Capacity_Alloc'!F397</f>
        <v/>
      </c>
      <c r="G397" s="5">
        <f>B397&amp;"|"&amp;E397&amp;"|"&amp;D397</f>
        <v/>
      </c>
      <c r="H397" s="28">
        <f>'02a_DC_Capacity_Alloc'!H397*'02a_DC_Capacity_Alloc'!I397*'02a_DC_Capacity_Alloc'!J397</f>
        <v/>
      </c>
      <c r="I397" s="6">
        <f>IFERROR(INDEX('02b_DC_Accelerator_Mix'!$F$2:$F$977,MATCH(G397,'02b_DC_Accelerator_Mix'!$A$2:$A$977,0)),0)</f>
        <v/>
      </c>
      <c r="J397" s="6">
        <f>IFERROR(INDEX('02b_DC_Accelerator_Mix'!$G$2:$G$977,MATCH(G397,'02b_DC_Accelerator_Mix'!$A$2:$A$977,0)),0)</f>
        <v/>
      </c>
      <c r="K397" s="6">
        <f>IFERROR(INDEX('02b_DC_Accelerator_Mix'!$H$2:$H$977,MATCH(G397,'02b_DC_Accelerator_Mix'!$A$2:$A$977,0)),0)</f>
        <v/>
      </c>
      <c r="L397" s="6">
        <f>IFERROR(INDEX('02b_DC_Accelerator_Mix'!$I$2:$I$977,MATCH(G397,'02b_DC_Accelerator_Mix'!$A$2:$A$977,0)),0)</f>
        <v/>
      </c>
      <c r="M397" s="6">
        <f>IFERROR(INDEX('02b_DC_Accelerator_Mix'!$J$2:$J$977,MATCH(G397,'02b_DC_Accelerator_Mix'!$A$2:$A$977,0)),0)</f>
        <v/>
      </c>
      <c r="N397" s="6">
        <f>IFERROR(INDEX('02b_DC_Accelerator_Mix'!$K$2:$K$977,MATCH(G397,'02b_DC_Accelerator_Mix'!$A$2:$A$977,0)),0)</f>
        <v/>
      </c>
      <c r="O397" s="6">
        <f>IFERROR(INDEX('02b_DC_Accelerator_Mix'!$L$2:$L$977,MATCH(G397,'02b_DC_Accelerator_Mix'!$A$2:$A$977,0)),0)</f>
        <v/>
      </c>
      <c r="P397" s="6">
        <f>IFERROR(INDEX('02b_DC_Accelerator_Mix'!$M$2:$M$977,MATCH(G397,'02b_DC_Accelerator_Mix'!$A$2:$A$977,0)),0)</f>
        <v/>
      </c>
      <c r="Q397" s="6">
        <f>IFERROR(INDEX('02b_DC_Accelerator_Mix'!$N$2:$N$977,MATCH(G397,'02b_DC_Accelerator_Mix'!$A$2:$A$977,0)),0)</f>
        <v/>
      </c>
      <c r="R397" s="28">
        <f>H397*I397</f>
        <v/>
      </c>
      <c r="S397" s="28">
        <f>H397*J397</f>
        <v/>
      </c>
      <c r="T397" s="28">
        <f>H397*K397</f>
        <v/>
      </c>
      <c r="U397" s="28">
        <f>H397*L397</f>
        <v/>
      </c>
      <c r="V397" s="28">
        <f>H397*M397</f>
        <v/>
      </c>
      <c r="W397" s="28">
        <f>H397*N397</f>
        <v/>
      </c>
      <c r="X397" s="28">
        <f>H397*O397</f>
        <v/>
      </c>
      <c r="Y397" s="28">
        <f>H397*P397</f>
        <v/>
      </c>
      <c r="Z397" s="28">
        <f>H397*Q397</f>
        <v/>
      </c>
      <c r="AA397" s="28">
        <f>SUM(U397:Z397)</f>
        <v/>
      </c>
      <c r="AB397" s="5">
        <f>IF(COUNTIF('02b_DC_Accelerator_Mix'!$A$2:$A$977,G397)&gt;0,"matched","missing_mix")</f>
        <v/>
      </c>
    </row>
    <row r="398">
      <c r="A398" s="5">
        <f>'02a_DC_Capacity_Alloc'!A398</f>
        <v/>
      </c>
      <c r="B398" s="5">
        <f>'02a_DC_Capacity_Alloc'!B398</f>
        <v/>
      </c>
      <c r="C398" s="5">
        <f>'02a_DC_Capacity_Alloc'!C398</f>
        <v/>
      </c>
      <c r="D398" s="5">
        <f>'02a_DC_Capacity_Alloc'!D398</f>
        <v/>
      </c>
      <c r="E398" s="5">
        <f>'02a_DC_Capacity_Alloc'!E398</f>
        <v/>
      </c>
      <c r="F398" s="5">
        <f>'02a_DC_Capacity_Alloc'!F398</f>
        <v/>
      </c>
      <c r="G398" s="5">
        <f>B398&amp;"|"&amp;E398&amp;"|"&amp;D398</f>
        <v/>
      </c>
      <c r="H398" s="28">
        <f>'02a_DC_Capacity_Alloc'!H398*'02a_DC_Capacity_Alloc'!I398*'02a_DC_Capacity_Alloc'!J398</f>
        <v/>
      </c>
      <c r="I398" s="6">
        <f>IFERROR(INDEX('02b_DC_Accelerator_Mix'!$F$2:$F$977,MATCH(G398,'02b_DC_Accelerator_Mix'!$A$2:$A$977,0)),0)</f>
        <v/>
      </c>
      <c r="J398" s="6">
        <f>IFERROR(INDEX('02b_DC_Accelerator_Mix'!$G$2:$G$977,MATCH(G398,'02b_DC_Accelerator_Mix'!$A$2:$A$977,0)),0)</f>
        <v/>
      </c>
      <c r="K398" s="6">
        <f>IFERROR(INDEX('02b_DC_Accelerator_Mix'!$H$2:$H$977,MATCH(G398,'02b_DC_Accelerator_Mix'!$A$2:$A$977,0)),0)</f>
        <v/>
      </c>
      <c r="L398" s="6">
        <f>IFERROR(INDEX('02b_DC_Accelerator_Mix'!$I$2:$I$977,MATCH(G398,'02b_DC_Accelerator_Mix'!$A$2:$A$977,0)),0)</f>
        <v/>
      </c>
      <c r="M398" s="6">
        <f>IFERROR(INDEX('02b_DC_Accelerator_Mix'!$J$2:$J$977,MATCH(G398,'02b_DC_Accelerator_Mix'!$A$2:$A$977,0)),0)</f>
        <v/>
      </c>
      <c r="N398" s="6">
        <f>IFERROR(INDEX('02b_DC_Accelerator_Mix'!$K$2:$K$977,MATCH(G398,'02b_DC_Accelerator_Mix'!$A$2:$A$977,0)),0)</f>
        <v/>
      </c>
      <c r="O398" s="6">
        <f>IFERROR(INDEX('02b_DC_Accelerator_Mix'!$L$2:$L$977,MATCH(G398,'02b_DC_Accelerator_Mix'!$A$2:$A$977,0)),0)</f>
        <v/>
      </c>
      <c r="P398" s="6">
        <f>IFERROR(INDEX('02b_DC_Accelerator_Mix'!$M$2:$M$977,MATCH(G398,'02b_DC_Accelerator_Mix'!$A$2:$A$977,0)),0)</f>
        <v/>
      </c>
      <c r="Q398" s="6">
        <f>IFERROR(INDEX('02b_DC_Accelerator_Mix'!$N$2:$N$977,MATCH(G398,'02b_DC_Accelerator_Mix'!$A$2:$A$977,0)),0)</f>
        <v/>
      </c>
      <c r="R398" s="28">
        <f>H398*I398</f>
        <v/>
      </c>
      <c r="S398" s="28">
        <f>H398*J398</f>
        <v/>
      </c>
      <c r="T398" s="28">
        <f>H398*K398</f>
        <v/>
      </c>
      <c r="U398" s="28">
        <f>H398*L398</f>
        <v/>
      </c>
      <c r="V398" s="28">
        <f>H398*M398</f>
        <v/>
      </c>
      <c r="W398" s="28">
        <f>H398*N398</f>
        <v/>
      </c>
      <c r="X398" s="28">
        <f>H398*O398</f>
        <v/>
      </c>
      <c r="Y398" s="28">
        <f>H398*P398</f>
        <v/>
      </c>
      <c r="Z398" s="28">
        <f>H398*Q398</f>
        <v/>
      </c>
      <c r="AA398" s="28">
        <f>SUM(U398:Z398)</f>
        <v/>
      </c>
      <c r="AB398" s="5">
        <f>IF(COUNTIF('02b_DC_Accelerator_Mix'!$A$2:$A$977,G398)&gt;0,"matched","missing_mix")</f>
        <v/>
      </c>
    </row>
    <row r="399">
      <c r="A399" s="5">
        <f>'02a_DC_Capacity_Alloc'!A399</f>
        <v/>
      </c>
      <c r="B399" s="5">
        <f>'02a_DC_Capacity_Alloc'!B399</f>
        <v/>
      </c>
      <c r="C399" s="5">
        <f>'02a_DC_Capacity_Alloc'!C399</f>
        <v/>
      </c>
      <c r="D399" s="5">
        <f>'02a_DC_Capacity_Alloc'!D399</f>
        <v/>
      </c>
      <c r="E399" s="5">
        <f>'02a_DC_Capacity_Alloc'!E399</f>
        <v/>
      </c>
      <c r="F399" s="5">
        <f>'02a_DC_Capacity_Alloc'!F399</f>
        <v/>
      </c>
      <c r="G399" s="5">
        <f>B399&amp;"|"&amp;E399&amp;"|"&amp;D399</f>
        <v/>
      </c>
      <c r="H399" s="28">
        <f>'02a_DC_Capacity_Alloc'!H399*'02a_DC_Capacity_Alloc'!I399*'02a_DC_Capacity_Alloc'!J399</f>
        <v/>
      </c>
      <c r="I399" s="6">
        <f>IFERROR(INDEX('02b_DC_Accelerator_Mix'!$F$2:$F$977,MATCH(G399,'02b_DC_Accelerator_Mix'!$A$2:$A$977,0)),0)</f>
        <v/>
      </c>
      <c r="J399" s="6">
        <f>IFERROR(INDEX('02b_DC_Accelerator_Mix'!$G$2:$G$977,MATCH(G399,'02b_DC_Accelerator_Mix'!$A$2:$A$977,0)),0)</f>
        <v/>
      </c>
      <c r="K399" s="6">
        <f>IFERROR(INDEX('02b_DC_Accelerator_Mix'!$H$2:$H$977,MATCH(G399,'02b_DC_Accelerator_Mix'!$A$2:$A$977,0)),0)</f>
        <v/>
      </c>
      <c r="L399" s="6">
        <f>IFERROR(INDEX('02b_DC_Accelerator_Mix'!$I$2:$I$977,MATCH(G399,'02b_DC_Accelerator_Mix'!$A$2:$A$977,0)),0)</f>
        <v/>
      </c>
      <c r="M399" s="6">
        <f>IFERROR(INDEX('02b_DC_Accelerator_Mix'!$J$2:$J$977,MATCH(G399,'02b_DC_Accelerator_Mix'!$A$2:$A$977,0)),0)</f>
        <v/>
      </c>
      <c r="N399" s="6">
        <f>IFERROR(INDEX('02b_DC_Accelerator_Mix'!$K$2:$K$977,MATCH(G399,'02b_DC_Accelerator_Mix'!$A$2:$A$977,0)),0)</f>
        <v/>
      </c>
      <c r="O399" s="6">
        <f>IFERROR(INDEX('02b_DC_Accelerator_Mix'!$L$2:$L$977,MATCH(G399,'02b_DC_Accelerator_Mix'!$A$2:$A$977,0)),0)</f>
        <v/>
      </c>
      <c r="P399" s="6">
        <f>IFERROR(INDEX('02b_DC_Accelerator_Mix'!$M$2:$M$977,MATCH(G399,'02b_DC_Accelerator_Mix'!$A$2:$A$977,0)),0)</f>
        <v/>
      </c>
      <c r="Q399" s="6">
        <f>IFERROR(INDEX('02b_DC_Accelerator_Mix'!$N$2:$N$977,MATCH(G399,'02b_DC_Accelerator_Mix'!$A$2:$A$977,0)),0)</f>
        <v/>
      </c>
      <c r="R399" s="28">
        <f>H399*I399</f>
        <v/>
      </c>
      <c r="S399" s="28">
        <f>H399*J399</f>
        <v/>
      </c>
      <c r="T399" s="28">
        <f>H399*K399</f>
        <v/>
      </c>
      <c r="U399" s="28">
        <f>H399*L399</f>
        <v/>
      </c>
      <c r="V399" s="28">
        <f>H399*M399</f>
        <v/>
      </c>
      <c r="W399" s="28">
        <f>H399*N399</f>
        <v/>
      </c>
      <c r="X399" s="28">
        <f>H399*O399</f>
        <v/>
      </c>
      <c r="Y399" s="28">
        <f>H399*P399</f>
        <v/>
      </c>
      <c r="Z399" s="28">
        <f>H399*Q399</f>
        <v/>
      </c>
      <c r="AA399" s="28">
        <f>SUM(U399:Z399)</f>
        <v/>
      </c>
      <c r="AB399" s="5">
        <f>IF(COUNTIF('02b_DC_Accelerator_Mix'!$A$2:$A$977,G399)&gt;0,"matched","missing_mix")</f>
        <v/>
      </c>
    </row>
    <row r="400">
      <c r="A400" s="5">
        <f>'02a_DC_Capacity_Alloc'!A400</f>
        <v/>
      </c>
      <c r="B400" s="5">
        <f>'02a_DC_Capacity_Alloc'!B400</f>
        <v/>
      </c>
      <c r="C400" s="5">
        <f>'02a_DC_Capacity_Alloc'!C400</f>
        <v/>
      </c>
      <c r="D400" s="5">
        <f>'02a_DC_Capacity_Alloc'!D400</f>
        <v/>
      </c>
      <c r="E400" s="5">
        <f>'02a_DC_Capacity_Alloc'!E400</f>
        <v/>
      </c>
      <c r="F400" s="5">
        <f>'02a_DC_Capacity_Alloc'!F400</f>
        <v/>
      </c>
      <c r="G400" s="5">
        <f>B400&amp;"|"&amp;E400&amp;"|"&amp;D400</f>
        <v/>
      </c>
      <c r="H400" s="28">
        <f>'02a_DC_Capacity_Alloc'!H400*'02a_DC_Capacity_Alloc'!I400*'02a_DC_Capacity_Alloc'!J400</f>
        <v/>
      </c>
      <c r="I400" s="6">
        <f>IFERROR(INDEX('02b_DC_Accelerator_Mix'!$F$2:$F$977,MATCH(G400,'02b_DC_Accelerator_Mix'!$A$2:$A$977,0)),0)</f>
        <v/>
      </c>
      <c r="J400" s="6">
        <f>IFERROR(INDEX('02b_DC_Accelerator_Mix'!$G$2:$G$977,MATCH(G400,'02b_DC_Accelerator_Mix'!$A$2:$A$977,0)),0)</f>
        <v/>
      </c>
      <c r="K400" s="6">
        <f>IFERROR(INDEX('02b_DC_Accelerator_Mix'!$H$2:$H$977,MATCH(G400,'02b_DC_Accelerator_Mix'!$A$2:$A$977,0)),0)</f>
        <v/>
      </c>
      <c r="L400" s="6">
        <f>IFERROR(INDEX('02b_DC_Accelerator_Mix'!$I$2:$I$977,MATCH(G400,'02b_DC_Accelerator_Mix'!$A$2:$A$977,0)),0)</f>
        <v/>
      </c>
      <c r="M400" s="6">
        <f>IFERROR(INDEX('02b_DC_Accelerator_Mix'!$J$2:$J$977,MATCH(G400,'02b_DC_Accelerator_Mix'!$A$2:$A$977,0)),0)</f>
        <v/>
      </c>
      <c r="N400" s="6">
        <f>IFERROR(INDEX('02b_DC_Accelerator_Mix'!$K$2:$K$977,MATCH(G400,'02b_DC_Accelerator_Mix'!$A$2:$A$977,0)),0)</f>
        <v/>
      </c>
      <c r="O400" s="6">
        <f>IFERROR(INDEX('02b_DC_Accelerator_Mix'!$L$2:$L$977,MATCH(G400,'02b_DC_Accelerator_Mix'!$A$2:$A$977,0)),0)</f>
        <v/>
      </c>
      <c r="P400" s="6">
        <f>IFERROR(INDEX('02b_DC_Accelerator_Mix'!$M$2:$M$977,MATCH(G400,'02b_DC_Accelerator_Mix'!$A$2:$A$977,0)),0)</f>
        <v/>
      </c>
      <c r="Q400" s="6">
        <f>IFERROR(INDEX('02b_DC_Accelerator_Mix'!$N$2:$N$977,MATCH(G400,'02b_DC_Accelerator_Mix'!$A$2:$A$977,0)),0)</f>
        <v/>
      </c>
      <c r="R400" s="28">
        <f>H400*I400</f>
        <v/>
      </c>
      <c r="S400" s="28">
        <f>H400*J400</f>
        <v/>
      </c>
      <c r="T400" s="28">
        <f>H400*K400</f>
        <v/>
      </c>
      <c r="U400" s="28">
        <f>H400*L400</f>
        <v/>
      </c>
      <c r="V400" s="28">
        <f>H400*M400</f>
        <v/>
      </c>
      <c r="W400" s="28">
        <f>H400*N400</f>
        <v/>
      </c>
      <c r="X400" s="28">
        <f>H400*O400</f>
        <v/>
      </c>
      <c r="Y400" s="28">
        <f>H400*P400</f>
        <v/>
      </c>
      <c r="Z400" s="28">
        <f>H400*Q400</f>
        <v/>
      </c>
      <c r="AA400" s="28">
        <f>SUM(U400:Z400)</f>
        <v/>
      </c>
      <c r="AB400" s="5">
        <f>IF(COUNTIF('02b_DC_Accelerator_Mix'!$A$2:$A$977,G400)&gt;0,"matched","missing_mix")</f>
        <v/>
      </c>
    </row>
    <row r="401">
      <c r="A401" s="5">
        <f>'02a_DC_Capacity_Alloc'!A401</f>
        <v/>
      </c>
      <c r="B401" s="5">
        <f>'02a_DC_Capacity_Alloc'!B401</f>
        <v/>
      </c>
      <c r="C401" s="5">
        <f>'02a_DC_Capacity_Alloc'!C401</f>
        <v/>
      </c>
      <c r="D401" s="5">
        <f>'02a_DC_Capacity_Alloc'!D401</f>
        <v/>
      </c>
      <c r="E401" s="5">
        <f>'02a_DC_Capacity_Alloc'!E401</f>
        <v/>
      </c>
      <c r="F401" s="5">
        <f>'02a_DC_Capacity_Alloc'!F401</f>
        <v/>
      </c>
      <c r="G401" s="5">
        <f>B401&amp;"|"&amp;E401&amp;"|"&amp;D401</f>
        <v/>
      </c>
      <c r="H401" s="28">
        <f>'02a_DC_Capacity_Alloc'!H401*'02a_DC_Capacity_Alloc'!I401*'02a_DC_Capacity_Alloc'!J401</f>
        <v/>
      </c>
      <c r="I401" s="6">
        <f>IFERROR(INDEX('02b_DC_Accelerator_Mix'!$F$2:$F$977,MATCH(G401,'02b_DC_Accelerator_Mix'!$A$2:$A$977,0)),0)</f>
        <v/>
      </c>
      <c r="J401" s="6">
        <f>IFERROR(INDEX('02b_DC_Accelerator_Mix'!$G$2:$G$977,MATCH(G401,'02b_DC_Accelerator_Mix'!$A$2:$A$977,0)),0)</f>
        <v/>
      </c>
      <c r="K401" s="6">
        <f>IFERROR(INDEX('02b_DC_Accelerator_Mix'!$H$2:$H$977,MATCH(G401,'02b_DC_Accelerator_Mix'!$A$2:$A$977,0)),0)</f>
        <v/>
      </c>
      <c r="L401" s="6">
        <f>IFERROR(INDEX('02b_DC_Accelerator_Mix'!$I$2:$I$977,MATCH(G401,'02b_DC_Accelerator_Mix'!$A$2:$A$977,0)),0)</f>
        <v/>
      </c>
      <c r="M401" s="6">
        <f>IFERROR(INDEX('02b_DC_Accelerator_Mix'!$J$2:$J$977,MATCH(G401,'02b_DC_Accelerator_Mix'!$A$2:$A$977,0)),0)</f>
        <v/>
      </c>
      <c r="N401" s="6">
        <f>IFERROR(INDEX('02b_DC_Accelerator_Mix'!$K$2:$K$977,MATCH(G401,'02b_DC_Accelerator_Mix'!$A$2:$A$977,0)),0)</f>
        <v/>
      </c>
      <c r="O401" s="6">
        <f>IFERROR(INDEX('02b_DC_Accelerator_Mix'!$L$2:$L$977,MATCH(G401,'02b_DC_Accelerator_Mix'!$A$2:$A$977,0)),0)</f>
        <v/>
      </c>
      <c r="P401" s="6">
        <f>IFERROR(INDEX('02b_DC_Accelerator_Mix'!$M$2:$M$977,MATCH(G401,'02b_DC_Accelerator_Mix'!$A$2:$A$977,0)),0)</f>
        <v/>
      </c>
      <c r="Q401" s="6">
        <f>IFERROR(INDEX('02b_DC_Accelerator_Mix'!$N$2:$N$977,MATCH(G401,'02b_DC_Accelerator_Mix'!$A$2:$A$977,0)),0)</f>
        <v/>
      </c>
      <c r="R401" s="28">
        <f>H401*I401</f>
        <v/>
      </c>
      <c r="S401" s="28">
        <f>H401*J401</f>
        <v/>
      </c>
      <c r="T401" s="28">
        <f>H401*K401</f>
        <v/>
      </c>
      <c r="U401" s="28">
        <f>H401*L401</f>
        <v/>
      </c>
      <c r="V401" s="28">
        <f>H401*M401</f>
        <v/>
      </c>
      <c r="W401" s="28">
        <f>H401*N401</f>
        <v/>
      </c>
      <c r="X401" s="28">
        <f>H401*O401</f>
        <v/>
      </c>
      <c r="Y401" s="28">
        <f>H401*P401</f>
        <v/>
      </c>
      <c r="Z401" s="28">
        <f>H401*Q401</f>
        <v/>
      </c>
      <c r="AA401" s="28">
        <f>SUM(U401:Z401)</f>
        <v/>
      </c>
      <c r="AB401" s="5">
        <f>IF(COUNTIF('02b_DC_Accelerator_Mix'!$A$2:$A$977,G401)&gt;0,"matched","missing_mix")</f>
        <v/>
      </c>
    </row>
    <row r="402">
      <c r="A402" s="5">
        <f>'02a_DC_Capacity_Alloc'!A402</f>
        <v/>
      </c>
      <c r="B402" s="5">
        <f>'02a_DC_Capacity_Alloc'!B402</f>
        <v/>
      </c>
      <c r="C402" s="5">
        <f>'02a_DC_Capacity_Alloc'!C402</f>
        <v/>
      </c>
      <c r="D402" s="5">
        <f>'02a_DC_Capacity_Alloc'!D402</f>
        <v/>
      </c>
      <c r="E402" s="5">
        <f>'02a_DC_Capacity_Alloc'!E402</f>
        <v/>
      </c>
      <c r="F402" s="5">
        <f>'02a_DC_Capacity_Alloc'!F402</f>
        <v/>
      </c>
      <c r="G402" s="5">
        <f>B402&amp;"|"&amp;E402&amp;"|"&amp;D402</f>
        <v/>
      </c>
      <c r="H402" s="28">
        <f>'02a_DC_Capacity_Alloc'!H402*'02a_DC_Capacity_Alloc'!I402*'02a_DC_Capacity_Alloc'!J402</f>
        <v/>
      </c>
      <c r="I402" s="6">
        <f>IFERROR(INDEX('02b_DC_Accelerator_Mix'!$F$2:$F$977,MATCH(G402,'02b_DC_Accelerator_Mix'!$A$2:$A$977,0)),0)</f>
        <v/>
      </c>
      <c r="J402" s="6">
        <f>IFERROR(INDEX('02b_DC_Accelerator_Mix'!$G$2:$G$977,MATCH(G402,'02b_DC_Accelerator_Mix'!$A$2:$A$977,0)),0)</f>
        <v/>
      </c>
      <c r="K402" s="6">
        <f>IFERROR(INDEX('02b_DC_Accelerator_Mix'!$H$2:$H$977,MATCH(G402,'02b_DC_Accelerator_Mix'!$A$2:$A$977,0)),0)</f>
        <v/>
      </c>
      <c r="L402" s="6">
        <f>IFERROR(INDEX('02b_DC_Accelerator_Mix'!$I$2:$I$977,MATCH(G402,'02b_DC_Accelerator_Mix'!$A$2:$A$977,0)),0)</f>
        <v/>
      </c>
      <c r="M402" s="6">
        <f>IFERROR(INDEX('02b_DC_Accelerator_Mix'!$J$2:$J$977,MATCH(G402,'02b_DC_Accelerator_Mix'!$A$2:$A$977,0)),0)</f>
        <v/>
      </c>
      <c r="N402" s="6">
        <f>IFERROR(INDEX('02b_DC_Accelerator_Mix'!$K$2:$K$977,MATCH(G402,'02b_DC_Accelerator_Mix'!$A$2:$A$977,0)),0)</f>
        <v/>
      </c>
      <c r="O402" s="6">
        <f>IFERROR(INDEX('02b_DC_Accelerator_Mix'!$L$2:$L$977,MATCH(G402,'02b_DC_Accelerator_Mix'!$A$2:$A$977,0)),0)</f>
        <v/>
      </c>
      <c r="P402" s="6">
        <f>IFERROR(INDEX('02b_DC_Accelerator_Mix'!$M$2:$M$977,MATCH(G402,'02b_DC_Accelerator_Mix'!$A$2:$A$977,0)),0)</f>
        <v/>
      </c>
      <c r="Q402" s="6">
        <f>IFERROR(INDEX('02b_DC_Accelerator_Mix'!$N$2:$N$977,MATCH(G402,'02b_DC_Accelerator_Mix'!$A$2:$A$977,0)),0)</f>
        <v/>
      </c>
      <c r="R402" s="28">
        <f>H402*I402</f>
        <v/>
      </c>
      <c r="S402" s="28">
        <f>H402*J402</f>
        <v/>
      </c>
      <c r="T402" s="28">
        <f>H402*K402</f>
        <v/>
      </c>
      <c r="U402" s="28">
        <f>H402*L402</f>
        <v/>
      </c>
      <c r="V402" s="28">
        <f>H402*M402</f>
        <v/>
      </c>
      <c r="W402" s="28">
        <f>H402*N402</f>
        <v/>
      </c>
      <c r="X402" s="28">
        <f>H402*O402</f>
        <v/>
      </c>
      <c r="Y402" s="28">
        <f>H402*P402</f>
        <v/>
      </c>
      <c r="Z402" s="28">
        <f>H402*Q402</f>
        <v/>
      </c>
      <c r="AA402" s="28">
        <f>SUM(U402:Z402)</f>
        <v/>
      </c>
      <c r="AB402" s="5">
        <f>IF(COUNTIF('02b_DC_Accelerator_Mix'!$A$2:$A$977,G402)&gt;0,"matched","missing_mix")</f>
        <v/>
      </c>
    </row>
    <row r="403">
      <c r="A403" s="5">
        <f>'02a_DC_Capacity_Alloc'!A403</f>
        <v/>
      </c>
      <c r="B403" s="5">
        <f>'02a_DC_Capacity_Alloc'!B403</f>
        <v/>
      </c>
      <c r="C403" s="5">
        <f>'02a_DC_Capacity_Alloc'!C403</f>
        <v/>
      </c>
      <c r="D403" s="5">
        <f>'02a_DC_Capacity_Alloc'!D403</f>
        <v/>
      </c>
      <c r="E403" s="5">
        <f>'02a_DC_Capacity_Alloc'!E403</f>
        <v/>
      </c>
      <c r="F403" s="5">
        <f>'02a_DC_Capacity_Alloc'!F403</f>
        <v/>
      </c>
      <c r="G403" s="5">
        <f>B403&amp;"|"&amp;E403&amp;"|"&amp;D403</f>
        <v/>
      </c>
      <c r="H403" s="28">
        <f>'02a_DC_Capacity_Alloc'!H403*'02a_DC_Capacity_Alloc'!I403*'02a_DC_Capacity_Alloc'!J403</f>
        <v/>
      </c>
      <c r="I403" s="6">
        <f>IFERROR(INDEX('02b_DC_Accelerator_Mix'!$F$2:$F$977,MATCH(G403,'02b_DC_Accelerator_Mix'!$A$2:$A$977,0)),0)</f>
        <v/>
      </c>
      <c r="J403" s="6">
        <f>IFERROR(INDEX('02b_DC_Accelerator_Mix'!$G$2:$G$977,MATCH(G403,'02b_DC_Accelerator_Mix'!$A$2:$A$977,0)),0)</f>
        <v/>
      </c>
      <c r="K403" s="6">
        <f>IFERROR(INDEX('02b_DC_Accelerator_Mix'!$H$2:$H$977,MATCH(G403,'02b_DC_Accelerator_Mix'!$A$2:$A$977,0)),0)</f>
        <v/>
      </c>
      <c r="L403" s="6">
        <f>IFERROR(INDEX('02b_DC_Accelerator_Mix'!$I$2:$I$977,MATCH(G403,'02b_DC_Accelerator_Mix'!$A$2:$A$977,0)),0)</f>
        <v/>
      </c>
      <c r="M403" s="6">
        <f>IFERROR(INDEX('02b_DC_Accelerator_Mix'!$J$2:$J$977,MATCH(G403,'02b_DC_Accelerator_Mix'!$A$2:$A$977,0)),0)</f>
        <v/>
      </c>
      <c r="N403" s="6">
        <f>IFERROR(INDEX('02b_DC_Accelerator_Mix'!$K$2:$K$977,MATCH(G403,'02b_DC_Accelerator_Mix'!$A$2:$A$977,0)),0)</f>
        <v/>
      </c>
      <c r="O403" s="6">
        <f>IFERROR(INDEX('02b_DC_Accelerator_Mix'!$L$2:$L$977,MATCH(G403,'02b_DC_Accelerator_Mix'!$A$2:$A$977,0)),0)</f>
        <v/>
      </c>
      <c r="P403" s="6">
        <f>IFERROR(INDEX('02b_DC_Accelerator_Mix'!$M$2:$M$977,MATCH(G403,'02b_DC_Accelerator_Mix'!$A$2:$A$977,0)),0)</f>
        <v/>
      </c>
      <c r="Q403" s="6">
        <f>IFERROR(INDEX('02b_DC_Accelerator_Mix'!$N$2:$N$977,MATCH(G403,'02b_DC_Accelerator_Mix'!$A$2:$A$977,0)),0)</f>
        <v/>
      </c>
      <c r="R403" s="28">
        <f>H403*I403</f>
        <v/>
      </c>
      <c r="S403" s="28">
        <f>H403*J403</f>
        <v/>
      </c>
      <c r="T403" s="28">
        <f>H403*K403</f>
        <v/>
      </c>
      <c r="U403" s="28">
        <f>H403*L403</f>
        <v/>
      </c>
      <c r="V403" s="28">
        <f>H403*M403</f>
        <v/>
      </c>
      <c r="W403" s="28">
        <f>H403*N403</f>
        <v/>
      </c>
      <c r="X403" s="28">
        <f>H403*O403</f>
        <v/>
      </c>
      <c r="Y403" s="28">
        <f>H403*P403</f>
        <v/>
      </c>
      <c r="Z403" s="28">
        <f>H403*Q403</f>
        <v/>
      </c>
      <c r="AA403" s="28">
        <f>SUM(U403:Z403)</f>
        <v/>
      </c>
      <c r="AB403" s="5">
        <f>IF(COUNTIF('02b_DC_Accelerator_Mix'!$A$2:$A$977,G403)&gt;0,"matched","missing_mix")</f>
        <v/>
      </c>
    </row>
    <row r="404">
      <c r="A404" s="5">
        <f>'02a_DC_Capacity_Alloc'!A404</f>
        <v/>
      </c>
      <c r="B404" s="5">
        <f>'02a_DC_Capacity_Alloc'!B404</f>
        <v/>
      </c>
      <c r="C404" s="5">
        <f>'02a_DC_Capacity_Alloc'!C404</f>
        <v/>
      </c>
      <c r="D404" s="5">
        <f>'02a_DC_Capacity_Alloc'!D404</f>
        <v/>
      </c>
      <c r="E404" s="5">
        <f>'02a_DC_Capacity_Alloc'!E404</f>
        <v/>
      </c>
      <c r="F404" s="5">
        <f>'02a_DC_Capacity_Alloc'!F404</f>
        <v/>
      </c>
      <c r="G404" s="5">
        <f>B404&amp;"|"&amp;E404&amp;"|"&amp;D404</f>
        <v/>
      </c>
      <c r="H404" s="28">
        <f>'02a_DC_Capacity_Alloc'!H404*'02a_DC_Capacity_Alloc'!I404*'02a_DC_Capacity_Alloc'!J404</f>
        <v/>
      </c>
      <c r="I404" s="6">
        <f>IFERROR(INDEX('02b_DC_Accelerator_Mix'!$F$2:$F$977,MATCH(G404,'02b_DC_Accelerator_Mix'!$A$2:$A$977,0)),0)</f>
        <v/>
      </c>
      <c r="J404" s="6">
        <f>IFERROR(INDEX('02b_DC_Accelerator_Mix'!$G$2:$G$977,MATCH(G404,'02b_DC_Accelerator_Mix'!$A$2:$A$977,0)),0)</f>
        <v/>
      </c>
      <c r="K404" s="6">
        <f>IFERROR(INDEX('02b_DC_Accelerator_Mix'!$H$2:$H$977,MATCH(G404,'02b_DC_Accelerator_Mix'!$A$2:$A$977,0)),0)</f>
        <v/>
      </c>
      <c r="L404" s="6">
        <f>IFERROR(INDEX('02b_DC_Accelerator_Mix'!$I$2:$I$977,MATCH(G404,'02b_DC_Accelerator_Mix'!$A$2:$A$977,0)),0)</f>
        <v/>
      </c>
      <c r="M404" s="6">
        <f>IFERROR(INDEX('02b_DC_Accelerator_Mix'!$J$2:$J$977,MATCH(G404,'02b_DC_Accelerator_Mix'!$A$2:$A$977,0)),0)</f>
        <v/>
      </c>
      <c r="N404" s="6">
        <f>IFERROR(INDEX('02b_DC_Accelerator_Mix'!$K$2:$K$977,MATCH(G404,'02b_DC_Accelerator_Mix'!$A$2:$A$977,0)),0)</f>
        <v/>
      </c>
      <c r="O404" s="6">
        <f>IFERROR(INDEX('02b_DC_Accelerator_Mix'!$L$2:$L$977,MATCH(G404,'02b_DC_Accelerator_Mix'!$A$2:$A$977,0)),0)</f>
        <v/>
      </c>
      <c r="P404" s="6">
        <f>IFERROR(INDEX('02b_DC_Accelerator_Mix'!$M$2:$M$977,MATCH(G404,'02b_DC_Accelerator_Mix'!$A$2:$A$977,0)),0)</f>
        <v/>
      </c>
      <c r="Q404" s="6">
        <f>IFERROR(INDEX('02b_DC_Accelerator_Mix'!$N$2:$N$977,MATCH(G404,'02b_DC_Accelerator_Mix'!$A$2:$A$977,0)),0)</f>
        <v/>
      </c>
      <c r="R404" s="28">
        <f>H404*I404</f>
        <v/>
      </c>
      <c r="S404" s="28">
        <f>H404*J404</f>
        <v/>
      </c>
      <c r="T404" s="28">
        <f>H404*K404</f>
        <v/>
      </c>
      <c r="U404" s="28">
        <f>H404*L404</f>
        <v/>
      </c>
      <c r="V404" s="28">
        <f>H404*M404</f>
        <v/>
      </c>
      <c r="W404" s="28">
        <f>H404*N404</f>
        <v/>
      </c>
      <c r="X404" s="28">
        <f>H404*O404</f>
        <v/>
      </c>
      <c r="Y404" s="28">
        <f>H404*P404</f>
        <v/>
      </c>
      <c r="Z404" s="28">
        <f>H404*Q404</f>
        <v/>
      </c>
      <c r="AA404" s="28">
        <f>SUM(U404:Z404)</f>
        <v/>
      </c>
      <c r="AB404" s="5">
        <f>IF(COUNTIF('02b_DC_Accelerator_Mix'!$A$2:$A$977,G404)&gt;0,"matched","missing_mix")</f>
        <v/>
      </c>
    </row>
    <row r="405">
      <c r="A405" s="5">
        <f>'02a_DC_Capacity_Alloc'!A405</f>
        <v/>
      </c>
      <c r="B405" s="5">
        <f>'02a_DC_Capacity_Alloc'!B405</f>
        <v/>
      </c>
      <c r="C405" s="5">
        <f>'02a_DC_Capacity_Alloc'!C405</f>
        <v/>
      </c>
      <c r="D405" s="5">
        <f>'02a_DC_Capacity_Alloc'!D405</f>
        <v/>
      </c>
      <c r="E405" s="5">
        <f>'02a_DC_Capacity_Alloc'!E405</f>
        <v/>
      </c>
      <c r="F405" s="5">
        <f>'02a_DC_Capacity_Alloc'!F405</f>
        <v/>
      </c>
      <c r="G405" s="5">
        <f>B405&amp;"|"&amp;E405&amp;"|"&amp;D405</f>
        <v/>
      </c>
      <c r="H405" s="28">
        <f>'02a_DC_Capacity_Alloc'!H405*'02a_DC_Capacity_Alloc'!I405*'02a_DC_Capacity_Alloc'!J405</f>
        <v/>
      </c>
      <c r="I405" s="6">
        <f>IFERROR(INDEX('02b_DC_Accelerator_Mix'!$F$2:$F$977,MATCH(G405,'02b_DC_Accelerator_Mix'!$A$2:$A$977,0)),0)</f>
        <v/>
      </c>
      <c r="J405" s="6">
        <f>IFERROR(INDEX('02b_DC_Accelerator_Mix'!$G$2:$G$977,MATCH(G405,'02b_DC_Accelerator_Mix'!$A$2:$A$977,0)),0)</f>
        <v/>
      </c>
      <c r="K405" s="6">
        <f>IFERROR(INDEX('02b_DC_Accelerator_Mix'!$H$2:$H$977,MATCH(G405,'02b_DC_Accelerator_Mix'!$A$2:$A$977,0)),0)</f>
        <v/>
      </c>
      <c r="L405" s="6">
        <f>IFERROR(INDEX('02b_DC_Accelerator_Mix'!$I$2:$I$977,MATCH(G405,'02b_DC_Accelerator_Mix'!$A$2:$A$977,0)),0)</f>
        <v/>
      </c>
      <c r="M405" s="6">
        <f>IFERROR(INDEX('02b_DC_Accelerator_Mix'!$J$2:$J$977,MATCH(G405,'02b_DC_Accelerator_Mix'!$A$2:$A$977,0)),0)</f>
        <v/>
      </c>
      <c r="N405" s="6">
        <f>IFERROR(INDEX('02b_DC_Accelerator_Mix'!$K$2:$K$977,MATCH(G405,'02b_DC_Accelerator_Mix'!$A$2:$A$977,0)),0)</f>
        <v/>
      </c>
      <c r="O405" s="6">
        <f>IFERROR(INDEX('02b_DC_Accelerator_Mix'!$L$2:$L$977,MATCH(G405,'02b_DC_Accelerator_Mix'!$A$2:$A$977,0)),0)</f>
        <v/>
      </c>
      <c r="P405" s="6">
        <f>IFERROR(INDEX('02b_DC_Accelerator_Mix'!$M$2:$M$977,MATCH(G405,'02b_DC_Accelerator_Mix'!$A$2:$A$977,0)),0)</f>
        <v/>
      </c>
      <c r="Q405" s="6">
        <f>IFERROR(INDEX('02b_DC_Accelerator_Mix'!$N$2:$N$977,MATCH(G405,'02b_DC_Accelerator_Mix'!$A$2:$A$977,0)),0)</f>
        <v/>
      </c>
      <c r="R405" s="28">
        <f>H405*I405</f>
        <v/>
      </c>
      <c r="S405" s="28">
        <f>H405*J405</f>
        <v/>
      </c>
      <c r="T405" s="28">
        <f>H405*K405</f>
        <v/>
      </c>
      <c r="U405" s="28">
        <f>H405*L405</f>
        <v/>
      </c>
      <c r="V405" s="28">
        <f>H405*M405</f>
        <v/>
      </c>
      <c r="W405" s="28">
        <f>H405*N405</f>
        <v/>
      </c>
      <c r="X405" s="28">
        <f>H405*O405</f>
        <v/>
      </c>
      <c r="Y405" s="28">
        <f>H405*P405</f>
        <v/>
      </c>
      <c r="Z405" s="28">
        <f>H405*Q405</f>
        <v/>
      </c>
      <c r="AA405" s="28">
        <f>SUM(U405:Z405)</f>
        <v/>
      </c>
      <c r="AB405" s="5">
        <f>IF(COUNTIF('02b_DC_Accelerator_Mix'!$A$2:$A$977,G405)&gt;0,"matched","missing_mix")</f>
        <v/>
      </c>
    </row>
    <row r="406">
      <c r="A406" s="5">
        <f>'02a_DC_Capacity_Alloc'!A406</f>
        <v/>
      </c>
      <c r="B406" s="5">
        <f>'02a_DC_Capacity_Alloc'!B406</f>
        <v/>
      </c>
      <c r="C406" s="5">
        <f>'02a_DC_Capacity_Alloc'!C406</f>
        <v/>
      </c>
      <c r="D406" s="5">
        <f>'02a_DC_Capacity_Alloc'!D406</f>
        <v/>
      </c>
      <c r="E406" s="5">
        <f>'02a_DC_Capacity_Alloc'!E406</f>
        <v/>
      </c>
      <c r="F406" s="5">
        <f>'02a_DC_Capacity_Alloc'!F406</f>
        <v/>
      </c>
      <c r="G406" s="5">
        <f>B406&amp;"|"&amp;E406&amp;"|"&amp;D406</f>
        <v/>
      </c>
      <c r="H406" s="28">
        <f>'02a_DC_Capacity_Alloc'!H406*'02a_DC_Capacity_Alloc'!I406*'02a_DC_Capacity_Alloc'!J406</f>
        <v/>
      </c>
      <c r="I406" s="6">
        <f>IFERROR(INDEX('02b_DC_Accelerator_Mix'!$F$2:$F$977,MATCH(G406,'02b_DC_Accelerator_Mix'!$A$2:$A$977,0)),0)</f>
        <v/>
      </c>
      <c r="J406" s="6">
        <f>IFERROR(INDEX('02b_DC_Accelerator_Mix'!$G$2:$G$977,MATCH(G406,'02b_DC_Accelerator_Mix'!$A$2:$A$977,0)),0)</f>
        <v/>
      </c>
      <c r="K406" s="6">
        <f>IFERROR(INDEX('02b_DC_Accelerator_Mix'!$H$2:$H$977,MATCH(G406,'02b_DC_Accelerator_Mix'!$A$2:$A$977,0)),0)</f>
        <v/>
      </c>
      <c r="L406" s="6">
        <f>IFERROR(INDEX('02b_DC_Accelerator_Mix'!$I$2:$I$977,MATCH(G406,'02b_DC_Accelerator_Mix'!$A$2:$A$977,0)),0)</f>
        <v/>
      </c>
      <c r="M406" s="6">
        <f>IFERROR(INDEX('02b_DC_Accelerator_Mix'!$J$2:$J$977,MATCH(G406,'02b_DC_Accelerator_Mix'!$A$2:$A$977,0)),0)</f>
        <v/>
      </c>
      <c r="N406" s="6">
        <f>IFERROR(INDEX('02b_DC_Accelerator_Mix'!$K$2:$K$977,MATCH(G406,'02b_DC_Accelerator_Mix'!$A$2:$A$977,0)),0)</f>
        <v/>
      </c>
      <c r="O406" s="6">
        <f>IFERROR(INDEX('02b_DC_Accelerator_Mix'!$L$2:$L$977,MATCH(G406,'02b_DC_Accelerator_Mix'!$A$2:$A$977,0)),0)</f>
        <v/>
      </c>
      <c r="P406" s="6">
        <f>IFERROR(INDEX('02b_DC_Accelerator_Mix'!$M$2:$M$977,MATCH(G406,'02b_DC_Accelerator_Mix'!$A$2:$A$977,0)),0)</f>
        <v/>
      </c>
      <c r="Q406" s="6">
        <f>IFERROR(INDEX('02b_DC_Accelerator_Mix'!$N$2:$N$977,MATCH(G406,'02b_DC_Accelerator_Mix'!$A$2:$A$977,0)),0)</f>
        <v/>
      </c>
      <c r="R406" s="28">
        <f>H406*I406</f>
        <v/>
      </c>
      <c r="S406" s="28">
        <f>H406*J406</f>
        <v/>
      </c>
      <c r="T406" s="28">
        <f>H406*K406</f>
        <v/>
      </c>
      <c r="U406" s="28">
        <f>H406*L406</f>
        <v/>
      </c>
      <c r="V406" s="28">
        <f>H406*M406</f>
        <v/>
      </c>
      <c r="W406" s="28">
        <f>H406*N406</f>
        <v/>
      </c>
      <c r="X406" s="28">
        <f>H406*O406</f>
        <v/>
      </c>
      <c r="Y406" s="28">
        <f>H406*P406</f>
        <v/>
      </c>
      <c r="Z406" s="28">
        <f>H406*Q406</f>
        <v/>
      </c>
      <c r="AA406" s="28">
        <f>SUM(U406:Z406)</f>
        <v/>
      </c>
      <c r="AB406" s="5">
        <f>IF(COUNTIF('02b_DC_Accelerator_Mix'!$A$2:$A$977,G406)&gt;0,"matched","missing_mix")</f>
        <v/>
      </c>
    </row>
    <row r="407">
      <c r="A407" s="5">
        <f>'02a_DC_Capacity_Alloc'!A407</f>
        <v/>
      </c>
      <c r="B407" s="5">
        <f>'02a_DC_Capacity_Alloc'!B407</f>
        <v/>
      </c>
      <c r="C407" s="5">
        <f>'02a_DC_Capacity_Alloc'!C407</f>
        <v/>
      </c>
      <c r="D407" s="5">
        <f>'02a_DC_Capacity_Alloc'!D407</f>
        <v/>
      </c>
      <c r="E407" s="5">
        <f>'02a_DC_Capacity_Alloc'!E407</f>
        <v/>
      </c>
      <c r="F407" s="5">
        <f>'02a_DC_Capacity_Alloc'!F407</f>
        <v/>
      </c>
      <c r="G407" s="5">
        <f>B407&amp;"|"&amp;E407&amp;"|"&amp;D407</f>
        <v/>
      </c>
      <c r="H407" s="28">
        <f>'02a_DC_Capacity_Alloc'!H407*'02a_DC_Capacity_Alloc'!I407*'02a_DC_Capacity_Alloc'!J407</f>
        <v/>
      </c>
      <c r="I407" s="6">
        <f>IFERROR(INDEX('02b_DC_Accelerator_Mix'!$F$2:$F$977,MATCH(G407,'02b_DC_Accelerator_Mix'!$A$2:$A$977,0)),0)</f>
        <v/>
      </c>
      <c r="J407" s="6">
        <f>IFERROR(INDEX('02b_DC_Accelerator_Mix'!$G$2:$G$977,MATCH(G407,'02b_DC_Accelerator_Mix'!$A$2:$A$977,0)),0)</f>
        <v/>
      </c>
      <c r="K407" s="6">
        <f>IFERROR(INDEX('02b_DC_Accelerator_Mix'!$H$2:$H$977,MATCH(G407,'02b_DC_Accelerator_Mix'!$A$2:$A$977,0)),0)</f>
        <v/>
      </c>
      <c r="L407" s="6">
        <f>IFERROR(INDEX('02b_DC_Accelerator_Mix'!$I$2:$I$977,MATCH(G407,'02b_DC_Accelerator_Mix'!$A$2:$A$977,0)),0)</f>
        <v/>
      </c>
      <c r="M407" s="6">
        <f>IFERROR(INDEX('02b_DC_Accelerator_Mix'!$J$2:$J$977,MATCH(G407,'02b_DC_Accelerator_Mix'!$A$2:$A$977,0)),0)</f>
        <v/>
      </c>
      <c r="N407" s="6">
        <f>IFERROR(INDEX('02b_DC_Accelerator_Mix'!$K$2:$K$977,MATCH(G407,'02b_DC_Accelerator_Mix'!$A$2:$A$977,0)),0)</f>
        <v/>
      </c>
      <c r="O407" s="6">
        <f>IFERROR(INDEX('02b_DC_Accelerator_Mix'!$L$2:$L$977,MATCH(G407,'02b_DC_Accelerator_Mix'!$A$2:$A$977,0)),0)</f>
        <v/>
      </c>
      <c r="P407" s="6">
        <f>IFERROR(INDEX('02b_DC_Accelerator_Mix'!$M$2:$M$977,MATCH(G407,'02b_DC_Accelerator_Mix'!$A$2:$A$977,0)),0)</f>
        <v/>
      </c>
      <c r="Q407" s="6">
        <f>IFERROR(INDEX('02b_DC_Accelerator_Mix'!$N$2:$N$977,MATCH(G407,'02b_DC_Accelerator_Mix'!$A$2:$A$977,0)),0)</f>
        <v/>
      </c>
      <c r="R407" s="28">
        <f>H407*I407</f>
        <v/>
      </c>
      <c r="S407" s="28">
        <f>H407*J407</f>
        <v/>
      </c>
      <c r="T407" s="28">
        <f>H407*K407</f>
        <v/>
      </c>
      <c r="U407" s="28">
        <f>H407*L407</f>
        <v/>
      </c>
      <c r="V407" s="28">
        <f>H407*M407</f>
        <v/>
      </c>
      <c r="W407" s="28">
        <f>H407*N407</f>
        <v/>
      </c>
      <c r="X407" s="28">
        <f>H407*O407</f>
        <v/>
      </c>
      <c r="Y407" s="28">
        <f>H407*P407</f>
        <v/>
      </c>
      <c r="Z407" s="28">
        <f>H407*Q407</f>
        <v/>
      </c>
      <c r="AA407" s="28">
        <f>SUM(U407:Z407)</f>
        <v/>
      </c>
      <c r="AB407" s="5">
        <f>IF(COUNTIF('02b_DC_Accelerator_Mix'!$A$2:$A$977,G407)&gt;0,"matched","missing_mix")</f>
        <v/>
      </c>
    </row>
    <row r="408">
      <c r="A408" s="5">
        <f>'02a_DC_Capacity_Alloc'!A408</f>
        <v/>
      </c>
      <c r="B408" s="5">
        <f>'02a_DC_Capacity_Alloc'!B408</f>
        <v/>
      </c>
      <c r="C408" s="5">
        <f>'02a_DC_Capacity_Alloc'!C408</f>
        <v/>
      </c>
      <c r="D408" s="5">
        <f>'02a_DC_Capacity_Alloc'!D408</f>
        <v/>
      </c>
      <c r="E408" s="5">
        <f>'02a_DC_Capacity_Alloc'!E408</f>
        <v/>
      </c>
      <c r="F408" s="5">
        <f>'02a_DC_Capacity_Alloc'!F408</f>
        <v/>
      </c>
      <c r="G408" s="5">
        <f>B408&amp;"|"&amp;E408&amp;"|"&amp;D408</f>
        <v/>
      </c>
      <c r="H408" s="28">
        <f>'02a_DC_Capacity_Alloc'!H408*'02a_DC_Capacity_Alloc'!I408*'02a_DC_Capacity_Alloc'!J408</f>
        <v/>
      </c>
      <c r="I408" s="6">
        <f>IFERROR(INDEX('02b_DC_Accelerator_Mix'!$F$2:$F$977,MATCH(G408,'02b_DC_Accelerator_Mix'!$A$2:$A$977,0)),0)</f>
        <v/>
      </c>
      <c r="J408" s="6">
        <f>IFERROR(INDEX('02b_DC_Accelerator_Mix'!$G$2:$G$977,MATCH(G408,'02b_DC_Accelerator_Mix'!$A$2:$A$977,0)),0)</f>
        <v/>
      </c>
      <c r="K408" s="6">
        <f>IFERROR(INDEX('02b_DC_Accelerator_Mix'!$H$2:$H$977,MATCH(G408,'02b_DC_Accelerator_Mix'!$A$2:$A$977,0)),0)</f>
        <v/>
      </c>
      <c r="L408" s="6">
        <f>IFERROR(INDEX('02b_DC_Accelerator_Mix'!$I$2:$I$977,MATCH(G408,'02b_DC_Accelerator_Mix'!$A$2:$A$977,0)),0)</f>
        <v/>
      </c>
      <c r="M408" s="6">
        <f>IFERROR(INDEX('02b_DC_Accelerator_Mix'!$J$2:$J$977,MATCH(G408,'02b_DC_Accelerator_Mix'!$A$2:$A$977,0)),0)</f>
        <v/>
      </c>
      <c r="N408" s="6">
        <f>IFERROR(INDEX('02b_DC_Accelerator_Mix'!$K$2:$K$977,MATCH(G408,'02b_DC_Accelerator_Mix'!$A$2:$A$977,0)),0)</f>
        <v/>
      </c>
      <c r="O408" s="6">
        <f>IFERROR(INDEX('02b_DC_Accelerator_Mix'!$L$2:$L$977,MATCH(G408,'02b_DC_Accelerator_Mix'!$A$2:$A$977,0)),0)</f>
        <v/>
      </c>
      <c r="P408" s="6">
        <f>IFERROR(INDEX('02b_DC_Accelerator_Mix'!$M$2:$M$977,MATCH(G408,'02b_DC_Accelerator_Mix'!$A$2:$A$977,0)),0)</f>
        <v/>
      </c>
      <c r="Q408" s="6">
        <f>IFERROR(INDEX('02b_DC_Accelerator_Mix'!$N$2:$N$977,MATCH(G408,'02b_DC_Accelerator_Mix'!$A$2:$A$977,0)),0)</f>
        <v/>
      </c>
      <c r="R408" s="28">
        <f>H408*I408</f>
        <v/>
      </c>
      <c r="S408" s="28">
        <f>H408*J408</f>
        <v/>
      </c>
      <c r="T408" s="28">
        <f>H408*K408</f>
        <v/>
      </c>
      <c r="U408" s="28">
        <f>H408*L408</f>
        <v/>
      </c>
      <c r="V408" s="28">
        <f>H408*M408</f>
        <v/>
      </c>
      <c r="W408" s="28">
        <f>H408*N408</f>
        <v/>
      </c>
      <c r="X408" s="28">
        <f>H408*O408</f>
        <v/>
      </c>
      <c r="Y408" s="28">
        <f>H408*P408</f>
        <v/>
      </c>
      <c r="Z408" s="28">
        <f>H408*Q408</f>
        <v/>
      </c>
      <c r="AA408" s="28">
        <f>SUM(U408:Z408)</f>
        <v/>
      </c>
      <c r="AB408" s="5">
        <f>IF(COUNTIF('02b_DC_Accelerator_Mix'!$A$2:$A$977,G408)&gt;0,"matched","missing_mix")</f>
        <v/>
      </c>
    </row>
    <row r="409">
      <c r="A409" s="5">
        <f>'02a_DC_Capacity_Alloc'!A409</f>
        <v/>
      </c>
      <c r="B409" s="5">
        <f>'02a_DC_Capacity_Alloc'!B409</f>
        <v/>
      </c>
      <c r="C409" s="5">
        <f>'02a_DC_Capacity_Alloc'!C409</f>
        <v/>
      </c>
      <c r="D409" s="5">
        <f>'02a_DC_Capacity_Alloc'!D409</f>
        <v/>
      </c>
      <c r="E409" s="5">
        <f>'02a_DC_Capacity_Alloc'!E409</f>
        <v/>
      </c>
      <c r="F409" s="5">
        <f>'02a_DC_Capacity_Alloc'!F409</f>
        <v/>
      </c>
      <c r="G409" s="5">
        <f>B409&amp;"|"&amp;E409&amp;"|"&amp;D409</f>
        <v/>
      </c>
      <c r="H409" s="28">
        <f>'02a_DC_Capacity_Alloc'!H409*'02a_DC_Capacity_Alloc'!I409*'02a_DC_Capacity_Alloc'!J409</f>
        <v/>
      </c>
      <c r="I409" s="6">
        <f>IFERROR(INDEX('02b_DC_Accelerator_Mix'!$F$2:$F$977,MATCH(G409,'02b_DC_Accelerator_Mix'!$A$2:$A$977,0)),0)</f>
        <v/>
      </c>
      <c r="J409" s="6">
        <f>IFERROR(INDEX('02b_DC_Accelerator_Mix'!$G$2:$G$977,MATCH(G409,'02b_DC_Accelerator_Mix'!$A$2:$A$977,0)),0)</f>
        <v/>
      </c>
      <c r="K409" s="6">
        <f>IFERROR(INDEX('02b_DC_Accelerator_Mix'!$H$2:$H$977,MATCH(G409,'02b_DC_Accelerator_Mix'!$A$2:$A$977,0)),0)</f>
        <v/>
      </c>
      <c r="L409" s="6">
        <f>IFERROR(INDEX('02b_DC_Accelerator_Mix'!$I$2:$I$977,MATCH(G409,'02b_DC_Accelerator_Mix'!$A$2:$A$977,0)),0)</f>
        <v/>
      </c>
      <c r="M409" s="6">
        <f>IFERROR(INDEX('02b_DC_Accelerator_Mix'!$J$2:$J$977,MATCH(G409,'02b_DC_Accelerator_Mix'!$A$2:$A$977,0)),0)</f>
        <v/>
      </c>
      <c r="N409" s="6">
        <f>IFERROR(INDEX('02b_DC_Accelerator_Mix'!$K$2:$K$977,MATCH(G409,'02b_DC_Accelerator_Mix'!$A$2:$A$977,0)),0)</f>
        <v/>
      </c>
      <c r="O409" s="6">
        <f>IFERROR(INDEX('02b_DC_Accelerator_Mix'!$L$2:$L$977,MATCH(G409,'02b_DC_Accelerator_Mix'!$A$2:$A$977,0)),0)</f>
        <v/>
      </c>
      <c r="P409" s="6">
        <f>IFERROR(INDEX('02b_DC_Accelerator_Mix'!$M$2:$M$977,MATCH(G409,'02b_DC_Accelerator_Mix'!$A$2:$A$977,0)),0)</f>
        <v/>
      </c>
      <c r="Q409" s="6">
        <f>IFERROR(INDEX('02b_DC_Accelerator_Mix'!$N$2:$N$977,MATCH(G409,'02b_DC_Accelerator_Mix'!$A$2:$A$977,0)),0)</f>
        <v/>
      </c>
      <c r="R409" s="28">
        <f>H409*I409</f>
        <v/>
      </c>
      <c r="S409" s="28">
        <f>H409*J409</f>
        <v/>
      </c>
      <c r="T409" s="28">
        <f>H409*K409</f>
        <v/>
      </c>
      <c r="U409" s="28">
        <f>H409*L409</f>
        <v/>
      </c>
      <c r="V409" s="28">
        <f>H409*M409</f>
        <v/>
      </c>
      <c r="W409" s="28">
        <f>H409*N409</f>
        <v/>
      </c>
      <c r="X409" s="28">
        <f>H409*O409</f>
        <v/>
      </c>
      <c r="Y409" s="28">
        <f>H409*P409</f>
        <v/>
      </c>
      <c r="Z409" s="28">
        <f>H409*Q409</f>
        <v/>
      </c>
      <c r="AA409" s="28">
        <f>SUM(U409:Z409)</f>
        <v/>
      </c>
      <c r="AB409" s="5">
        <f>IF(COUNTIF('02b_DC_Accelerator_Mix'!$A$2:$A$977,G409)&gt;0,"matched","missing_mix")</f>
        <v/>
      </c>
    </row>
    <row r="410">
      <c r="A410" s="5">
        <f>'02a_DC_Capacity_Alloc'!A410</f>
        <v/>
      </c>
      <c r="B410" s="5">
        <f>'02a_DC_Capacity_Alloc'!B410</f>
        <v/>
      </c>
      <c r="C410" s="5">
        <f>'02a_DC_Capacity_Alloc'!C410</f>
        <v/>
      </c>
      <c r="D410" s="5">
        <f>'02a_DC_Capacity_Alloc'!D410</f>
        <v/>
      </c>
      <c r="E410" s="5">
        <f>'02a_DC_Capacity_Alloc'!E410</f>
        <v/>
      </c>
      <c r="F410" s="5">
        <f>'02a_DC_Capacity_Alloc'!F410</f>
        <v/>
      </c>
      <c r="G410" s="5">
        <f>B410&amp;"|"&amp;E410&amp;"|"&amp;D410</f>
        <v/>
      </c>
      <c r="H410" s="28">
        <f>'02a_DC_Capacity_Alloc'!H410*'02a_DC_Capacity_Alloc'!I410*'02a_DC_Capacity_Alloc'!J410</f>
        <v/>
      </c>
      <c r="I410" s="6">
        <f>IFERROR(INDEX('02b_DC_Accelerator_Mix'!$F$2:$F$977,MATCH(G410,'02b_DC_Accelerator_Mix'!$A$2:$A$977,0)),0)</f>
        <v/>
      </c>
      <c r="J410" s="6">
        <f>IFERROR(INDEX('02b_DC_Accelerator_Mix'!$G$2:$G$977,MATCH(G410,'02b_DC_Accelerator_Mix'!$A$2:$A$977,0)),0)</f>
        <v/>
      </c>
      <c r="K410" s="6">
        <f>IFERROR(INDEX('02b_DC_Accelerator_Mix'!$H$2:$H$977,MATCH(G410,'02b_DC_Accelerator_Mix'!$A$2:$A$977,0)),0)</f>
        <v/>
      </c>
      <c r="L410" s="6">
        <f>IFERROR(INDEX('02b_DC_Accelerator_Mix'!$I$2:$I$977,MATCH(G410,'02b_DC_Accelerator_Mix'!$A$2:$A$977,0)),0)</f>
        <v/>
      </c>
      <c r="M410" s="6">
        <f>IFERROR(INDEX('02b_DC_Accelerator_Mix'!$J$2:$J$977,MATCH(G410,'02b_DC_Accelerator_Mix'!$A$2:$A$977,0)),0)</f>
        <v/>
      </c>
      <c r="N410" s="6">
        <f>IFERROR(INDEX('02b_DC_Accelerator_Mix'!$K$2:$K$977,MATCH(G410,'02b_DC_Accelerator_Mix'!$A$2:$A$977,0)),0)</f>
        <v/>
      </c>
      <c r="O410" s="6">
        <f>IFERROR(INDEX('02b_DC_Accelerator_Mix'!$L$2:$L$977,MATCH(G410,'02b_DC_Accelerator_Mix'!$A$2:$A$977,0)),0)</f>
        <v/>
      </c>
      <c r="P410" s="6">
        <f>IFERROR(INDEX('02b_DC_Accelerator_Mix'!$M$2:$M$977,MATCH(G410,'02b_DC_Accelerator_Mix'!$A$2:$A$977,0)),0)</f>
        <v/>
      </c>
      <c r="Q410" s="6">
        <f>IFERROR(INDEX('02b_DC_Accelerator_Mix'!$N$2:$N$977,MATCH(G410,'02b_DC_Accelerator_Mix'!$A$2:$A$977,0)),0)</f>
        <v/>
      </c>
      <c r="R410" s="28">
        <f>H410*I410</f>
        <v/>
      </c>
      <c r="S410" s="28">
        <f>H410*J410</f>
        <v/>
      </c>
      <c r="T410" s="28">
        <f>H410*K410</f>
        <v/>
      </c>
      <c r="U410" s="28">
        <f>H410*L410</f>
        <v/>
      </c>
      <c r="V410" s="28">
        <f>H410*M410</f>
        <v/>
      </c>
      <c r="W410" s="28">
        <f>H410*N410</f>
        <v/>
      </c>
      <c r="X410" s="28">
        <f>H410*O410</f>
        <v/>
      </c>
      <c r="Y410" s="28">
        <f>H410*P410</f>
        <v/>
      </c>
      <c r="Z410" s="28">
        <f>H410*Q410</f>
        <v/>
      </c>
      <c r="AA410" s="28">
        <f>SUM(U410:Z410)</f>
        <v/>
      </c>
      <c r="AB410" s="5">
        <f>IF(COUNTIF('02b_DC_Accelerator_Mix'!$A$2:$A$977,G410)&gt;0,"matched","missing_mix")</f>
        <v/>
      </c>
    </row>
    <row r="411">
      <c r="A411" s="5">
        <f>'02a_DC_Capacity_Alloc'!A411</f>
        <v/>
      </c>
      <c r="B411" s="5">
        <f>'02a_DC_Capacity_Alloc'!B411</f>
        <v/>
      </c>
      <c r="C411" s="5">
        <f>'02a_DC_Capacity_Alloc'!C411</f>
        <v/>
      </c>
      <c r="D411" s="5">
        <f>'02a_DC_Capacity_Alloc'!D411</f>
        <v/>
      </c>
      <c r="E411" s="5">
        <f>'02a_DC_Capacity_Alloc'!E411</f>
        <v/>
      </c>
      <c r="F411" s="5">
        <f>'02a_DC_Capacity_Alloc'!F411</f>
        <v/>
      </c>
      <c r="G411" s="5">
        <f>B411&amp;"|"&amp;E411&amp;"|"&amp;D411</f>
        <v/>
      </c>
      <c r="H411" s="28">
        <f>'02a_DC_Capacity_Alloc'!H411*'02a_DC_Capacity_Alloc'!I411*'02a_DC_Capacity_Alloc'!J411</f>
        <v/>
      </c>
      <c r="I411" s="6">
        <f>IFERROR(INDEX('02b_DC_Accelerator_Mix'!$F$2:$F$977,MATCH(G411,'02b_DC_Accelerator_Mix'!$A$2:$A$977,0)),0)</f>
        <v/>
      </c>
      <c r="J411" s="6">
        <f>IFERROR(INDEX('02b_DC_Accelerator_Mix'!$G$2:$G$977,MATCH(G411,'02b_DC_Accelerator_Mix'!$A$2:$A$977,0)),0)</f>
        <v/>
      </c>
      <c r="K411" s="6">
        <f>IFERROR(INDEX('02b_DC_Accelerator_Mix'!$H$2:$H$977,MATCH(G411,'02b_DC_Accelerator_Mix'!$A$2:$A$977,0)),0)</f>
        <v/>
      </c>
      <c r="L411" s="6">
        <f>IFERROR(INDEX('02b_DC_Accelerator_Mix'!$I$2:$I$977,MATCH(G411,'02b_DC_Accelerator_Mix'!$A$2:$A$977,0)),0)</f>
        <v/>
      </c>
      <c r="M411" s="6">
        <f>IFERROR(INDEX('02b_DC_Accelerator_Mix'!$J$2:$J$977,MATCH(G411,'02b_DC_Accelerator_Mix'!$A$2:$A$977,0)),0)</f>
        <v/>
      </c>
      <c r="N411" s="6">
        <f>IFERROR(INDEX('02b_DC_Accelerator_Mix'!$K$2:$K$977,MATCH(G411,'02b_DC_Accelerator_Mix'!$A$2:$A$977,0)),0)</f>
        <v/>
      </c>
      <c r="O411" s="6">
        <f>IFERROR(INDEX('02b_DC_Accelerator_Mix'!$L$2:$L$977,MATCH(G411,'02b_DC_Accelerator_Mix'!$A$2:$A$977,0)),0)</f>
        <v/>
      </c>
      <c r="P411" s="6">
        <f>IFERROR(INDEX('02b_DC_Accelerator_Mix'!$M$2:$M$977,MATCH(G411,'02b_DC_Accelerator_Mix'!$A$2:$A$977,0)),0)</f>
        <v/>
      </c>
      <c r="Q411" s="6">
        <f>IFERROR(INDEX('02b_DC_Accelerator_Mix'!$N$2:$N$977,MATCH(G411,'02b_DC_Accelerator_Mix'!$A$2:$A$977,0)),0)</f>
        <v/>
      </c>
      <c r="R411" s="28">
        <f>H411*I411</f>
        <v/>
      </c>
      <c r="S411" s="28">
        <f>H411*J411</f>
        <v/>
      </c>
      <c r="T411" s="28">
        <f>H411*K411</f>
        <v/>
      </c>
      <c r="U411" s="28">
        <f>H411*L411</f>
        <v/>
      </c>
      <c r="V411" s="28">
        <f>H411*M411</f>
        <v/>
      </c>
      <c r="W411" s="28">
        <f>H411*N411</f>
        <v/>
      </c>
      <c r="X411" s="28">
        <f>H411*O411</f>
        <v/>
      </c>
      <c r="Y411" s="28">
        <f>H411*P411</f>
        <v/>
      </c>
      <c r="Z411" s="28">
        <f>H411*Q411</f>
        <v/>
      </c>
      <c r="AA411" s="28">
        <f>SUM(U411:Z411)</f>
        <v/>
      </c>
      <c r="AB411" s="5">
        <f>IF(COUNTIF('02b_DC_Accelerator_Mix'!$A$2:$A$977,G411)&gt;0,"matched","missing_mix")</f>
        <v/>
      </c>
    </row>
    <row r="412">
      <c r="A412" s="5">
        <f>'02a_DC_Capacity_Alloc'!A412</f>
        <v/>
      </c>
      <c r="B412" s="5">
        <f>'02a_DC_Capacity_Alloc'!B412</f>
        <v/>
      </c>
      <c r="C412" s="5">
        <f>'02a_DC_Capacity_Alloc'!C412</f>
        <v/>
      </c>
      <c r="D412" s="5">
        <f>'02a_DC_Capacity_Alloc'!D412</f>
        <v/>
      </c>
      <c r="E412" s="5">
        <f>'02a_DC_Capacity_Alloc'!E412</f>
        <v/>
      </c>
      <c r="F412" s="5">
        <f>'02a_DC_Capacity_Alloc'!F412</f>
        <v/>
      </c>
      <c r="G412" s="5">
        <f>B412&amp;"|"&amp;E412&amp;"|"&amp;D412</f>
        <v/>
      </c>
      <c r="H412" s="28">
        <f>'02a_DC_Capacity_Alloc'!H412*'02a_DC_Capacity_Alloc'!I412*'02a_DC_Capacity_Alloc'!J412</f>
        <v/>
      </c>
      <c r="I412" s="6">
        <f>IFERROR(INDEX('02b_DC_Accelerator_Mix'!$F$2:$F$977,MATCH(G412,'02b_DC_Accelerator_Mix'!$A$2:$A$977,0)),0)</f>
        <v/>
      </c>
      <c r="J412" s="6">
        <f>IFERROR(INDEX('02b_DC_Accelerator_Mix'!$G$2:$G$977,MATCH(G412,'02b_DC_Accelerator_Mix'!$A$2:$A$977,0)),0)</f>
        <v/>
      </c>
      <c r="K412" s="6">
        <f>IFERROR(INDEX('02b_DC_Accelerator_Mix'!$H$2:$H$977,MATCH(G412,'02b_DC_Accelerator_Mix'!$A$2:$A$977,0)),0)</f>
        <v/>
      </c>
      <c r="L412" s="6">
        <f>IFERROR(INDEX('02b_DC_Accelerator_Mix'!$I$2:$I$977,MATCH(G412,'02b_DC_Accelerator_Mix'!$A$2:$A$977,0)),0)</f>
        <v/>
      </c>
      <c r="M412" s="6">
        <f>IFERROR(INDEX('02b_DC_Accelerator_Mix'!$J$2:$J$977,MATCH(G412,'02b_DC_Accelerator_Mix'!$A$2:$A$977,0)),0)</f>
        <v/>
      </c>
      <c r="N412" s="6">
        <f>IFERROR(INDEX('02b_DC_Accelerator_Mix'!$K$2:$K$977,MATCH(G412,'02b_DC_Accelerator_Mix'!$A$2:$A$977,0)),0)</f>
        <v/>
      </c>
      <c r="O412" s="6">
        <f>IFERROR(INDEX('02b_DC_Accelerator_Mix'!$L$2:$L$977,MATCH(G412,'02b_DC_Accelerator_Mix'!$A$2:$A$977,0)),0)</f>
        <v/>
      </c>
      <c r="P412" s="6">
        <f>IFERROR(INDEX('02b_DC_Accelerator_Mix'!$M$2:$M$977,MATCH(G412,'02b_DC_Accelerator_Mix'!$A$2:$A$977,0)),0)</f>
        <v/>
      </c>
      <c r="Q412" s="6">
        <f>IFERROR(INDEX('02b_DC_Accelerator_Mix'!$N$2:$N$977,MATCH(G412,'02b_DC_Accelerator_Mix'!$A$2:$A$977,0)),0)</f>
        <v/>
      </c>
      <c r="R412" s="28">
        <f>H412*I412</f>
        <v/>
      </c>
      <c r="S412" s="28">
        <f>H412*J412</f>
        <v/>
      </c>
      <c r="T412" s="28">
        <f>H412*K412</f>
        <v/>
      </c>
      <c r="U412" s="28">
        <f>H412*L412</f>
        <v/>
      </c>
      <c r="V412" s="28">
        <f>H412*M412</f>
        <v/>
      </c>
      <c r="W412" s="28">
        <f>H412*N412</f>
        <v/>
      </c>
      <c r="X412" s="28">
        <f>H412*O412</f>
        <v/>
      </c>
      <c r="Y412" s="28">
        <f>H412*P412</f>
        <v/>
      </c>
      <c r="Z412" s="28">
        <f>H412*Q412</f>
        <v/>
      </c>
      <c r="AA412" s="28">
        <f>SUM(U412:Z412)</f>
        <v/>
      </c>
      <c r="AB412" s="5">
        <f>IF(COUNTIF('02b_DC_Accelerator_Mix'!$A$2:$A$977,G412)&gt;0,"matched","missing_mix")</f>
        <v/>
      </c>
    </row>
    <row r="413">
      <c r="A413" s="5">
        <f>'02a_DC_Capacity_Alloc'!A413</f>
        <v/>
      </c>
      <c r="B413" s="5">
        <f>'02a_DC_Capacity_Alloc'!B413</f>
        <v/>
      </c>
      <c r="C413" s="5">
        <f>'02a_DC_Capacity_Alloc'!C413</f>
        <v/>
      </c>
      <c r="D413" s="5">
        <f>'02a_DC_Capacity_Alloc'!D413</f>
        <v/>
      </c>
      <c r="E413" s="5">
        <f>'02a_DC_Capacity_Alloc'!E413</f>
        <v/>
      </c>
      <c r="F413" s="5">
        <f>'02a_DC_Capacity_Alloc'!F413</f>
        <v/>
      </c>
      <c r="G413" s="5">
        <f>B413&amp;"|"&amp;E413&amp;"|"&amp;D413</f>
        <v/>
      </c>
      <c r="H413" s="28">
        <f>'02a_DC_Capacity_Alloc'!H413*'02a_DC_Capacity_Alloc'!I413*'02a_DC_Capacity_Alloc'!J413</f>
        <v/>
      </c>
      <c r="I413" s="6">
        <f>IFERROR(INDEX('02b_DC_Accelerator_Mix'!$F$2:$F$977,MATCH(G413,'02b_DC_Accelerator_Mix'!$A$2:$A$977,0)),0)</f>
        <v/>
      </c>
      <c r="J413" s="6">
        <f>IFERROR(INDEX('02b_DC_Accelerator_Mix'!$G$2:$G$977,MATCH(G413,'02b_DC_Accelerator_Mix'!$A$2:$A$977,0)),0)</f>
        <v/>
      </c>
      <c r="K413" s="6">
        <f>IFERROR(INDEX('02b_DC_Accelerator_Mix'!$H$2:$H$977,MATCH(G413,'02b_DC_Accelerator_Mix'!$A$2:$A$977,0)),0)</f>
        <v/>
      </c>
      <c r="L413" s="6">
        <f>IFERROR(INDEX('02b_DC_Accelerator_Mix'!$I$2:$I$977,MATCH(G413,'02b_DC_Accelerator_Mix'!$A$2:$A$977,0)),0)</f>
        <v/>
      </c>
      <c r="M413" s="6">
        <f>IFERROR(INDEX('02b_DC_Accelerator_Mix'!$J$2:$J$977,MATCH(G413,'02b_DC_Accelerator_Mix'!$A$2:$A$977,0)),0)</f>
        <v/>
      </c>
      <c r="N413" s="6">
        <f>IFERROR(INDEX('02b_DC_Accelerator_Mix'!$K$2:$K$977,MATCH(G413,'02b_DC_Accelerator_Mix'!$A$2:$A$977,0)),0)</f>
        <v/>
      </c>
      <c r="O413" s="6">
        <f>IFERROR(INDEX('02b_DC_Accelerator_Mix'!$L$2:$L$977,MATCH(G413,'02b_DC_Accelerator_Mix'!$A$2:$A$977,0)),0)</f>
        <v/>
      </c>
      <c r="P413" s="6">
        <f>IFERROR(INDEX('02b_DC_Accelerator_Mix'!$M$2:$M$977,MATCH(G413,'02b_DC_Accelerator_Mix'!$A$2:$A$977,0)),0)</f>
        <v/>
      </c>
      <c r="Q413" s="6">
        <f>IFERROR(INDEX('02b_DC_Accelerator_Mix'!$N$2:$N$977,MATCH(G413,'02b_DC_Accelerator_Mix'!$A$2:$A$977,0)),0)</f>
        <v/>
      </c>
      <c r="R413" s="28">
        <f>H413*I413</f>
        <v/>
      </c>
      <c r="S413" s="28">
        <f>H413*J413</f>
        <v/>
      </c>
      <c r="T413" s="28">
        <f>H413*K413</f>
        <v/>
      </c>
      <c r="U413" s="28">
        <f>H413*L413</f>
        <v/>
      </c>
      <c r="V413" s="28">
        <f>H413*M413</f>
        <v/>
      </c>
      <c r="W413" s="28">
        <f>H413*N413</f>
        <v/>
      </c>
      <c r="X413" s="28">
        <f>H413*O413</f>
        <v/>
      </c>
      <c r="Y413" s="28">
        <f>H413*P413</f>
        <v/>
      </c>
      <c r="Z413" s="28">
        <f>H413*Q413</f>
        <v/>
      </c>
      <c r="AA413" s="28">
        <f>SUM(U413:Z413)</f>
        <v/>
      </c>
      <c r="AB413" s="5">
        <f>IF(COUNTIF('02b_DC_Accelerator_Mix'!$A$2:$A$977,G413)&gt;0,"matched","missing_mix")</f>
        <v/>
      </c>
    </row>
    <row r="414">
      <c r="A414" s="5">
        <f>'02a_DC_Capacity_Alloc'!A414</f>
        <v/>
      </c>
      <c r="B414" s="5">
        <f>'02a_DC_Capacity_Alloc'!B414</f>
        <v/>
      </c>
      <c r="C414" s="5">
        <f>'02a_DC_Capacity_Alloc'!C414</f>
        <v/>
      </c>
      <c r="D414" s="5">
        <f>'02a_DC_Capacity_Alloc'!D414</f>
        <v/>
      </c>
      <c r="E414" s="5">
        <f>'02a_DC_Capacity_Alloc'!E414</f>
        <v/>
      </c>
      <c r="F414" s="5">
        <f>'02a_DC_Capacity_Alloc'!F414</f>
        <v/>
      </c>
      <c r="G414" s="5">
        <f>B414&amp;"|"&amp;E414&amp;"|"&amp;D414</f>
        <v/>
      </c>
      <c r="H414" s="28">
        <f>'02a_DC_Capacity_Alloc'!H414*'02a_DC_Capacity_Alloc'!I414*'02a_DC_Capacity_Alloc'!J414</f>
        <v/>
      </c>
      <c r="I414" s="6">
        <f>IFERROR(INDEX('02b_DC_Accelerator_Mix'!$F$2:$F$977,MATCH(G414,'02b_DC_Accelerator_Mix'!$A$2:$A$977,0)),0)</f>
        <v/>
      </c>
      <c r="J414" s="6">
        <f>IFERROR(INDEX('02b_DC_Accelerator_Mix'!$G$2:$G$977,MATCH(G414,'02b_DC_Accelerator_Mix'!$A$2:$A$977,0)),0)</f>
        <v/>
      </c>
      <c r="K414" s="6">
        <f>IFERROR(INDEX('02b_DC_Accelerator_Mix'!$H$2:$H$977,MATCH(G414,'02b_DC_Accelerator_Mix'!$A$2:$A$977,0)),0)</f>
        <v/>
      </c>
      <c r="L414" s="6">
        <f>IFERROR(INDEX('02b_DC_Accelerator_Mix'!$I$2:$I$977,MATCH(G414,'02b_DC_Accelerator_Mix'!$A$2:$A$977,0)),0)</f>
        <v/>
      </c>
      <c r="M414" s="6">
        <f>IFERROR(INDEX('02b_DC_Accelerator_Mix'!$J$2:$J$977,MATCH(G414,'02b_DC_Accelerator_Mix'!$A$2:$A$977,0)),0)</f>
        <v/>
      </c>
      <c r="N414" s="6">
        <f>IFERROR(INDEX('02b_DC_Accelerator_Mix'!$K$2:$K$977,MATCH(G414,'02b_DC_Accelerator_Mix'!$A$2:$A$977,0)),0)</f>
        <v/>
      </c>
      <c r="O414" s="6">
        <f>IFERROR(INDEX('02b_DC_Accelerator_Mix'!$L$2:$L$977,MATCH(G414,'02b_DC_Accelerator_Mix'!$A$2:$A$977,0)),0)</f>
        <v/>
      </c>
      <c r="P414" s="6">
        <f>IFERROR(INDEX('02b_DC_Accelerator_Mix'!$M$2:$M$977,MATCH(G414,'02b_DC_Accelerator_Mix'!$A$2:$A$977,0)),0)</f>
        <v/>
      </c>
      <c r="Q414" s="6">
        <f>IFERROR(INDEX('02b_DC_Accelerator_Mix'!$N$2:$N$977,MATCH(G414,'02b_DC_Accelerator_Mix'!$A$2:$A$977,0)),0)</f>
        <v/>
      </c>
      <c r="R414" s="28">
        <f>H414*I414</f>
        <v/>
      </c>
      <c r="S414" s="28">
        <f>H414*J414</f>
        <v/>
      </c>
      <c r="T414" s="28">
        <f>H414*K414</f>
        <v/>
      </c>
      <c r="U414" s="28">
        <f>H414*L414</f>
        <v/>
      </c>
      <c r="V414" s="28">
        <f>H414*M414</f>
        <v/>
      </c>
      <c r="W414" s="28">
        <f>H414*N414</f>
        <v/>
      </c>
      <c r="X414" s="28">
        <f>H414*O414</f>
        <v/>
      </c>
      <c r="Y414" s="28">
        <f>H414*P414</f>
        <v/>
      </c>
      <c r="Z414" s="28">
        <f>H414*Q414</f>
        <v/>
      </c>
      <c r="AA414" s="28">
        <f>SUM(U414:Z414)</f>
        <v/>
      </c>
      <c r="AB414" s="5">
        <f>IF(COUNTIF('02b_DC_Accelerator_Mix'!$A$2:$A$977,G414)&gt;0,"matched","missing_mix")</f>
        <v/>
      </c>
    </row>
    <row r="415">
      <c r="A415" s="5">
        <f>'02a_DC_Capacity_Alloc'!A415</f>
        <v/>
      </c>
      <c r="B415" s="5">
        <f>'02a_DC_Capacity_Alloc'!B415</f>
        <v/>
      </c>
      <c r="C415" s="5">
        <f>'02a_DC_Capacity_Alloc'!C415</f>
        <v/>
      </c>
      <c r="D415" s="5">
        <f>'02a_DC_Capacity_Alloc'!D415</f>
        <v/>
      </c>
      <c r="E415" s="5">
        <f>'02a_DC_Capacity_Alloc'!E415</f>
        <v/>
      </c>
      <c r="F415" s="5">
        <f>'02a_DC_Capacity_Alloc'!F415</f>
        <v/>
      </c>
      <c r="G415" s="5">
        <f>B415&amp;"|"&amp;E415&amp;"|"&amp;D415</f>
        <v/>
      </c>
      <c r="H415" s="28">
        <f>'02a_DC_Capacity_Alloc'!H415*'02a_DC_Capacity_Alloc'!I415*'02a_DC_Capacity_Alloc'!J415</f>
        <v/>
      </c>
      <c r="I415" s="6">
        <f>IFERROR(INDEX('02b_DC_Accelerator_Mix'!$F$2:$F$977,MATCH(G415,'02b_DC_Accelerator_Mix'!$A$2:$A$977,0)),0)</f>
        <v/>
      </c>
      <c r="J415" s="6">
        <f>IFERROR(INDEX('02b_DC_Accelerator_Mix'!$G$2:$G$977,MATCH(G415,'02b_DC_Accelerator_Mix'!$A$2:$A$977,0)),0)</f>
        <v/>
      </c>
      <c r="K415" s="6">
        <f>IFERROR(INDEX('02b_DC_Accelerator_Mix'!$H$2:$H$977,MATCH(G415,'02b_DC_Accelerator_Mix'!$A$2:$A$977,0)),0)</f>
        <v/>
      </c>
      <c r="L415" s="6">
        <f>IFERROR(INDEX('02b_DC_Accelerator_Mix'!$I$2:$I$977,MATCH(G415,'02b_DC_Accelerator_Mix'!$A$2:$A$977,0)),0)</f>
        <v/>
      </c>
      <c r="M415" s="6">
        <f>IFERROR(INDEX('02b_DC_Accelerator_Mix'!$J$2:$J$977,MATCH(G415,'02b_DC_Accelerator_Mix'!$A$2:$A$977,0)),0)</f>
        <v/>
      </c>
      <c r="N415" s="6">
        <f>IFERROR(INDEX('02b_DC_Accelerator_Mix'!$K$2:$K$977,MATCH(G415,'02b_DC_Accelerator_Mix'!$A$2:$A$977,0)),0)</f>
        <v/>
      </c>
      <c r="O415" s="6">
        <f>IFERROR(INDEX('02b_DC_Accelerator_Mix'!$L$2:$L$977,MATCH(G415,'02b_DC_Accelerator_Mix'!$A$2:$A$977,0)),0)</f>
        <v/>
      </c>
      <c r="P415" s="6">
        <f>IFERROR(INDEX('02b_DC_Accelerator_Mix'!$M$2:$M$977,MATCH(G415,'02b_DC_Accelerator_Mix'!$A$2:$A$977,0)),0)</f>
        <v/>
      </c>
      <c r="Q415" s="6">
        <f>IFERROR(INDEX('02b_DC_Accelerator_Mix'!$N$2:$N$977,MATCH(G415,'02b_DC_Accelerator_Mix'!$A$2:$A$977,0)),0)</f>
        <v/>
      </c>
      <c r="R415" s="28">
        <f>H415*I415</f>
        <v/>
      </c>
      <c r="S415" s="28">
        <f>H415*J415</f>
        <v/>
      </c>
      <c r="T415" s="28">
        <f>H415*K415</f>
        <v/>
      </c>
      <c r="U415" s="28">
        <f>H415*L415</f>
        <v/>
      </c>
      <c r="V415" s="28">
        <f>H415*M415</f>
        <v/>
      </c>
      <c r="W415" s="28">
        <f>H415*N415</f>
        <v/>
      </c>
      <c r="X415" s="28">
        <f>H415*O415</f>
        <v/>
      </c>
      <c r="Y415" s="28">
        <f>H415*P415</f>
        <v/>
      </c>
      <c r="Z415" s="28">
        <f>H415*Q415</f>
        <v/>
      </c>
      <c r="AA415" s="28">
        <f>SUM(U415:Z415)</f>
        <v/>
      </c>
      <c r="AB415" s="5">
        <f>IF(COUNTIF('02b_DC_Accelerator_Mix'!$A$2:$A$977,G415)&gt;0,"matched","missing_mix")</f>
        <v/>
      </c>
    </row>
    <row r="416">
      <c r="A416" s="5">
        <f>'02a_DC_Capacity_Alloc'!A416</f>
        <v/>
      </c>
      <c r="B416" s="5">
        <f>'02a_DC_Capacity_Alloc'!B416</f>
        <v/>
      </c>
      <c r="C416" s="5">
        <f>'02a_DC_Capacity_Alloc'!C416</f>
        <v/>
      </c>
      <c r="D416" s="5">
        <f>'02a_DC_Capacity_Alloc'!D416</f>
        <v/>
      </c>
      <c r="E416" s="5">
        <f>'02a_DC_Capacity_Alloc'!E416</f>
        <v/>
      </c>
      <c r="F416" s="5">
        <f>'02a_DC_Capacity_Alloc'!F416</f>
        <v/>
      </c>
      <c r="G416" s="5">
        <f>B416&amp;"|"&amp;E416&amp;"|"&amp;D416</f>
        <v/>
      </c>
      <c r="H416" s="28">
        <f>'02a_DC_Capacity_Alloc'!H416*'02a_DC_Capacity_Alloc'!I416*'02a_DC_Capacity_Alloc'!J416</f>
        <v/>
      </c>
      <c r="I416" s="6">
        <f>IFERROR(INDEX('02b_DC_Accelerator_Mix'!$F$2:$F$977,MATCH(G416,'02b_DC_Accelerator_Mix'!$A$2:$A$977,0)),0)</f>
        <v/>
      </c>
      <c r="J416" s="6">
        <f>IFERROR(INDEX('02b_DC_Accelerator_Mix'!$G$2:$G$977,MATCH(G416,'02b_DC_Accelerator_Mix'!$A$2:$A$977,0)),0)</f>
        <v/>
      </c>
      <c r="K416" s="6">
        <f>IFERROR(INDEX('02b_DC_Accelerator_Mix'!$H$2:$H$977,MATCH(G416,'02b_DC_Accelerator_Mix'!$A$2:$A$977,0)),0)</f>
        <v/>
      </c>
      <c r="L416" s="6">
        <f>IFERROR(INDEX('02b_DC_Accelerator_Mix'!$I$2:$I$977,MATCH(G416,'02b_DC_Accelerator_Mix'!$A$2:$A$977,0)),0)</f>
        <v/>
      </c>
      <c r="M416" s="6">
        <f>IFERROR(INDEX('02b_DC_Accelerator_Mix'!$J$2:$J$977,MATCH(G416,'02b_DC_Accelerator_Mix'!$A$2:$A$977,0)),0)</f>
        <v/>
      </c>
      <c r="N416" s="6">
        <f>IFERROR(INDEX('02b_DC_Accelerator_Mix'!$K$2:$K$977,MATCH(G416,'02b_DC_Accelerator_Mix'!$A$2:$A$977,0)),0)</f>
        <v/>
      </c>
      <c r="O416" s="6">
        <f>IFERROR(INDEX('02b_DC_Accelerator_Mix'!$L$2:$L$977,MATCH(G416,'02b_DC_Accelerator_Mix'!$A$2:$A$977,0)),0)</f>
        <v/>
      </c>
      <c r="P416" s="6">
        <f>IFERROR(INDEX('02b_DC_Accelerator_Mix'!$M$2:$M$977,MATCH(G416,'02b_DC_Accelerator_Mix'!$A$2:$A$977,0)),0)</f>
        <v/>
      </c>
      <c r="Q416" s="6">
        <f>IFERROR(INDEX('02b_DC_Accelerator_Mix'!$N$2:$N$977,MATCH(G416,'02b_DC_Accelerator_Mix'!$A$2:$A$977,0)),0)</f>
        <v/>
      </c>
      <c r="R416" s="28">
        <f>H416*I416</f>
        <v/>
      </c>
      <c r="S416" s="28">
        <f>H416*J416</f>
        <v/>
      </c>
      <c r="T416" s="28">
        <f>H416*K416</f>
        <v/>
      </c>
      <c r="U416" s="28">
        <f>H416*L416</f>
        <v/>
      </c>
      <c r="V416" s="28">
        <f>H416*M416</f>
        <v/>
      </c>
      <c r="W416" s="28">
        <f>H416*N416</f>
        <v/>
      </c>
      <c r="X416" s="28">
        <f>H416*O416</f>
        <v/>
      </c>
      <c r="Y416" s="28">
        <f>H416*P416</f>
        <v/>
      </c>
      <c r="Z416" s="28">
        <f>H416*Q416</f>
        <v/>
      </c>
      <c r="AA416" s="28">
        <f>SUM(U416:Z416)</f>
        <v/>
      </c>
      <c r="AB416" s="5">
        <f>IF(COUNTIF('02b_DC_Accelerator_Mix'!$A$2:$A$977,G416)&gt;0,"matched","missing_mix")</f>
        <v/>
      </c>
    </row>
    <row r="417">
      <c r="A417" s="5">
        <f>'02a_DC_Capacity_Alloc'!A417</f>
        <v/>
      </c>
      <c r="B417" s="5">
        <f>'02a_DC_Capacity_Alloc'!B417</f>
        <v/>
      </c>
      <c r="C417" s="5">
        <f>'02a_DC_Capacity_Alloc'!C417</f>
        <v/>
      </c>
      <c r="D417" s="5">
        <f>'02a_DC_Capacity_Alloc'!D417</f>
        <v/>
      </c>
      <c r="E417" s="5">
        <f>'02a_DC_Capacity_Alloc'!E417</f>
        <v/>
      </c>
      <c r="F417" s="5">
        <f>'02a_DC_Capacity_Alloc'!F417</f>
        <v/>
      </c>
      <c r="G417" s="5">
        <f>B417&amp;"|"&amp;E417&amp;"|"&amp;D417</f>
        <v/>
      </c>
      <c r="H417" s="28">
        <f>'02a_DC_Capacity_Alloc'!H417*'02a_DC_Capacity_Alloc'!I417*'02a_DC_Capacity_Alloc'!J417</f>
        <v/>
      </c>
      <c r="I417" s="6">
        <f>IFERROR(INDEX('02b_DC_Accelerator_Mix'!$F$2:$F$977,MATCH(G417,'02b_DC_Accelerator_Mix'!$A$2:$A$977,0)),0)</f>
        <v/>
      </c>
      <c r="J417" s="6">
        <f>IFERROR(INDEX('02b_DC_Accelerator_Mix'!$G$2:$G$977,MATCH(G417,'02b_DC_Accelerator_Mix'!$A$2:$A$977,0)),0)</f>
        <v/>
      </c>
      <c r="K417" s="6">
        <f>IFERROR(INDEX('02b_DC_Accelerator_Mix'!$H$2:$H$977,MATCH(G417,'02b_DC_Accelerator_Mix'!$A$2:$A$977,0)),0)</f>
        <v/>
      </c>
      <c r="L417" s="6">
        <f>IFERROR(INDEX('02b_DC_Accelerator_Mix'!$I$2:$I$977,MATCH(G417,'02b_DC_Accelerator_Mix'!$A$2:$A$977,0)),0)</f>
        <v/>
      </c>
      <c r="M417" s="6">
        <f>IFERROR(INDEX('02b_DC_Accelerator_Mix'!$J$2:$J$977,MATCH(G417,'02b_DC_Accelerator_Mix'!$A$2:$A$977,0)),0)</f>
        <v/>
      </c>
      <c r="N417" s="6">
        <f>IFERROR(INDEX('02b_DC_Accelerator_Mix'!$K$2:$K$977,MATCH(G417,'02b_DC_Accelerator_Mix'!$A$2:$A$977,0)),0)</f>
        <v/>
      </c>
      <c r="O417" s="6">
        <f>IFERROR(INDEX('02b_DC_Accelerator_Mix'!$L$2:$L$977,MATCH(G417,'02b_DC_Accelerator_Mix'!$A$2:$A$977,0)),0)</f>
        <v/>
      </c>
      <c r="P417" s="6">
        <f>IFERROR(INDEX('02b_DC_Accelerator_Mix'!$M$2:$M$977,MATCH(G417,'02b_DC_Accelerator_Mix'!$A$2:$A$977,0)),0)</f>
        <v/>
      </c>
      <c r="Q417" s="6">
        <f>IFERROR(INDEX('02b_DC_Accelerator_Mix'!$N$2:$N$977,MATCH(G417,'02b_DC_Accelerator_Mix'!$A$2:$A$977,0)),0)</f>
        <v/>
      </c>
      <c r="R417" s="28">
        <f>H417*I417</f>
        <v/>
      </c>
      <c r="S417" s="28">
        <f>H417*J417</f>
        <v/>
      </c>
      <c r="T417" s="28">
        <f>H417*K417</f>
        <v/>
      </c>
      <c r="U417" s="28">
        <f>H417*L417</f>
        <v/>
      </c>
      <c r="V417" s="28">
        <f>H417*M417</f>
        <v/>
      </c>
      <c r="W417" s="28">
        <f>H417*N417</f>
        <v/>
      </c>
      <c r="X417" s="28">
        <f>H417*O417</f>
        <v/>
      </c>
      <c r="Y417" s="28">
        <f>H417*P417</f>
        <v/>
      </c>
      <c r="Z417" s="28">
        <f>H417*Q417</f>
        <v/>
      </c>
      <c r="AA417" s="28">
        <f>SUM(U417:Z417)</f>
        <v/>
      </c>
      <c r="AB417" s="5">
        <f>IF(COUNTIF('02b_DC_Accelerator_Mix'!$A$2:$A$977,G417)&gt;0,"matched","missing_mix")</f>
        <v/>
      </c>
    </row>
    <row r="418">
      <c r="A418" s="5">
        <f>'02a_DC_Capacity_Alloc'!A418</f>
        <v/>
      </c>
      <c r="B418" s="5">
        <f>'02a_DC_Capacity_Alloc'!B418</f>
        <v/>
      </c>
      <c r="C418" s="5">
        <f>'02a_DC_Capacity_Alloc'!C418</f>
        <v/>
      </c>
      <c r="D418" s="5">
        <f>'02a_DC_Capacity_Alloc'!D418</f>
        <v/>
      </c>
      <c r="E418" s="5">
        <f>'02a_DC_Capacity_Alloc'!E418</f>
        <v/>
      </c>
      <c r="F418" s="5">
        <f>'02a_DC_Capacity_Alloc'!F418</f>
        <v/>
      </c>
      <c r="G418" s="5">
        <f>B418&amp;"|"&amp;E418&amp;"|"&amp;D418</f>
        <v/>
      </c>
      <c r="H418" s="28">
        <f>'02a_DC_Capacity_Alloc'!H418*'02a_DC_Capacity_Alloc'!I418*'02a_DC_Capacity_Alloc'!J418</f>
        <v/>
      </c>
      <c r="I418" s="6">
        <f>IFERROR(INDEX('02b_DC_Accelerator_Mix'!$F$2:$F$977,MATCH(G418,'02b_DC_Accelerator_Mix'!$A$2:$A$977,0)),0)</f>
        <v/>
      </c>
      <c r="J418" s="6">
        <f>IFERROR(INDEX('02b_DC_Accelerator_Mix'!$G$2:$G$977,MATCH(G418,'02b_DC_Accelerator_Mix'!$A$2:$A$977,0)),0)</f>
        <v/>
      </c>
      <c r="K418" s="6">
        <f>IFERROR(INDEX('02b_DC_Accelerator_Mix'!$H$2:$H$977,MATCH(G418,'02b_DC_Accelerator_Mix'!$A$2:$A$977,0)),0)</f>
        <v/>
      </c>
      <c r="L418" s="6">
        <f>IFERROR(INDEX('02b_DC_Accelerator_Mix'!$I$2:$I$977,MATCH(G418,'02b_DC_Accelerator_Mix'!$A$2:$A$977,0)),0)</f>
        <v/>
      </c>
      <c r="M418" s="6">
        <f>IFERROR(INDEX('02b_DC_Accelerator_Mix'!$J$2:$J$977,MATCH(G418,'02b_DC_Accelerator_Mix'!$A$2:$A$977,0)),0)</f>
        <v/>
      </c>
      <c r="N418" s="6">
        <f>IFERROR(INDEX('02b_DC_Accelerator_Mix'!$K$2:$K$977,MATCH(G418,'02b_DC_Accelerator_Mix'!$A$2:$A$977,0)),0)</f>
        <v/>
      </c>
      <c r="O418" s="6">
        <f>IFERROR(INDEX('02b_DC_Accelerator_Mix'!$L$2:$L$977,MATCH(G418,'02b_DC_Accelerator_Mix'!$A$2:$A$977,0)),0)</f>
        <v/>
      </c>
      <c r="P418" s="6">
        <f>IFERROR(INDEX('02b_DC_Accelerator_Mix'!$M$2:$M$977,MATCH(G418,'02b_DC_Accelerator_Mix'!$A$2:$A$977,0)),0)</f>
        <v/>
      </c>
      <c r="Q418" s="6">
        <f>IFERROR(INDEX('02b_DC_Accelerator_Mix'!$N$2:$N$977,MATCH(G418,'02b_DC_Accelerator_Mix'!$A$2:$A$977,0)),0)</f>
        <v/>
      </c>
      <c r="R418" s="28">
        <f>H418*I418</f>
        <v/>
      </c>
      <c r="S418" s="28">
        <f>H418*J418</f>
        <v/>
      </c>
      <c r="T418" s="28">
        <f>H418*K418</f>
        <v/>
      </c>
      <c r="U418" s="28">
        <f>H418*L418</f>
        <v/>
      </c>
      <c r="V418" s="28">
        <f>H418*M418</f>
        <v/>
      </c>
      <c r="W418" s="28">
        <f>H418*N418</f>
        <v/>
      </c>
      <c r="X418" s="28">
        <f>H418*O418</f>
        <v/>
      </c>
      <c r="Y418" s="28">
        <f>H418*P418</f>
        <v/>
      </c>
      <c r="Z418" s="28">
        <f>H418*Q418</f>
        <v/>
      </c>
      <c r="AA418" s="28">
        <f>SUM(U418:Z418)</f>
        <v/>
      </c>
      <c r="AB418" s="5">
        <f>IF(COUNTIF('02b_DC_Accelerator_Mix'!$A$2:$A$977,G418)&gt;0,"matched","missing_mix")</f>
        <v/>
      </c>
    </row>
    <row r="419">
      <c r="A419" s="5">
        <f>'02a_DC_Capacity_Alloc'!A419</f>
        <v/>
      </c>
      <c r="B419" s="5">
        <f>'02a_DC_Capacity_Alloc'!B419</f>
        <v/>
      </c>
      <c r="C419" s="5">
        <f>'02a_DC_Capacity_Alloc'!C419</f>
        <v/>
      </c>
      <c r="D419" s="5">
        <f>'02a_DC_Capacity_Alloc'!D419</f>
        <v/>
      </c>
      <c r="E419" s="5">
        <f>'02a_DC_Capacity_Alloc'!E419</f>
        <v/>
      </c>
      <c r="F419" s="5">
        <f>'02a_DC_Capacity_Alloc'!F419</f>
        <v/>
      </c>
      <c r="G419" s="5">
        <f>B419&amp;"|"&amp;E419&amp;"|"&amp;D419</f>
        <v/>
      </c>
      <c r="H419" s="28">
        <f>'02a_DC_Capacity_Alloc'!H419*'02a_DC_Capacity_Alloc'!I419*'02a_DC_Capacity_Alloc'!J419</f>
        <v/>
      </c>
      <c r="I419" s="6">
        <f>IFERROR(INDEX('02b_DC_Accelerator_Mix'!$F$2:$F$977,MATCH(G419,'02b_DC_Accelerator_Mix'!$A$2:$A$977,0)),0)</f>
        <v/>
      </c>
      <c r="J419" s="6">
        <f>IFERROR(INDEX('02b_DC_Accelerator_Mix'!$G$2:$G$977,MATCH(G419,'02b_DC_Accelerator_Mix'!$A$2:$A$977,0)),0)</f>
        <v/>
      </c>
      <c r="K419" s="6">
        <f>IFERROR(INDEX('02b_DC_Accelerator_Mix'!$H$2:$H$977,MATCH(G419,'02b_DC_Accelerator_Mix'!$A$2:$A$977,0)),0)</f>
        <v/>
      </c>
      <c r="L419" s="6">
        <f>IFERROR(INDEX('02b_DC_Accelerator_Mix'!$I$2:$I$977,MATCH(G419,'02b_DC_Accelerator_Mix'!$A$2:$A$977,0)),0)</f>
        <v/>
      </c>
      <c r="M419" s="6">
        <f>IFERROR(INDEX('02b_DC_Accelerator_Mix'!$J$2:$J$977,MATCH(G419,'02b_DC_Accelerator_Mix'!$A$2:$A$977,0)),0)</f>
        <v/>
      </c>
      <c r="N419" s="6">
        <f>IFERROR(INDEX('02b_DC_Accelerator_Mix'!$K$2:$K$977,MATCH(G419,'02b_DC_Accelerator_Mix'!$A$2:$A$977,0)),0)</f>
        <v/>
      </c>
      <c r="O419" s="6">
        <f>IFERROR(INDEX('02b_DC_Accelerator_Mix'!$L$2:$L$977,MATCH(G419,'02b_DC_Accelerator_Mix'!$A$2:$A$977,0)),0)</f>
        <v/>
      </c>
      <c r="P419" s="6">
        <f>IFERROR(INDEX('02b_DC_Accelerator_Mix'!$M$2:$M$977,MATCH(G419,'02b_DC_Accelerator_Mix'!$A$2:$A$977,0)),0)</f>
        <v/>
      </c>
      <c r="Q419" s="6">
        <f>IFERROR(INDEX('02b_DC_Accelerator_Mix'!$N$2:$N$977,MATCH(G419,'02b_DC_Accelerator_Mix'!$A$2:$A$977,0)),0)</f>
        <v/>
      </c>
      <c r="R419" s="28">
        <f>H419*I419</f>
        <v/>
      </c>
      <c r="S419" s="28">
        <f>H419*J419</f>
        <v/>
      </c>
      <c r="T419" s="28">
        <f>H419*K419</f>
        <v/>
      </c>
      <c r="U419" s="28">
        <f>H419*L419</f>
        <v/>
      </c>
      <c r="V419" s="28">
        <f>H419*M419</f>
        <v/>
      </c>
      <c r="W419" s="28">
        <f>H419*N419</f>
        <v/>
      </c>
      <c r="X419" s="28">
        <f>H419*O419</f>
        <v/>
      </c>
      <c r="Y419" s="28">
        <f>H419*P419</f>
        <v/>
      </c>
      <c r="Z419" s="28">
        <f>H419*Q419</f>
        <v/>
      </c>
      <c r="AA419" s="28">
        <f>SUM(U419:Z419)</f>
        <v/>
      </c>
      <c r="AB419" s="5">
        <f>IF(COUNTIF('02b_DC_Accelerator_Mix'!$A$2:$A$977,G419)&gt;0,"matched","missing_mix")</f>
        <v/>
      </c>
    </row>
    <row r="420">
      <c r="A420" s="5">
        <f>'02a_DC_Capacity_Alloc'!A420</f>
        <v/>
      </c>
      <c r="B420" s="5">
        <f>'02a_DC_Capacity_Alloc'!B420</f>
        <v/>
      </c>
      <c r="C420" s="5">
        <f>'02a_DC_Capacity_Alloc'!C420</f>
        <v/>
      </c>
      <c r="D420" s="5">
        <f>'02a_DC_Capacity_Alloc'!D420</f>
        <v/>
      </c>
      <c r="E420" s="5">
        <f>'02a_DC_Capacity_Alloc'!E420</f>
        <v/>
      </c>
      <c r="F420" s="5">
        <f>'02a_DC_Capacity_Alloc'!F420</f>
        <v/>
      </c>
      <c r="G420" s="5">
        <f>B420&amp;"|"&amp;E420&amp;"|"&amp;D420</f>
        <v/>
      </c>
      <c r="H420" s="28">
        <f>'02a_DC_Capacity_Alloc'!H420*'02a_DC_Capacity_Alloc'!I420*'02a_DC_Capacity_Alloc'!J420</f>
        <v/>
      </c>
      <c r="I420" s="6">
        <f>IFERROR(INDEX('02b_DC_Accelerator_Mix'!$F$2:$F$977,MATCH(G420,'02b_DC_Accelerator_Mix'!$A$2:$A$977,0)),0)</f>
        <v/>
      </c>
      <c r="J420" s="6">
        <f>IFERROR(INDEX('02b_DC_Accelerator_Mix'!$G$2:$G$977,MATCH(G420,'02b_DC_Accelerator_Mix'!$A$2:$A$977,0)),0)</f>
        <v/>
      </c>
      <c r="K420" s="6">
        <f>IFERROR(INDEX('02b_DC_Accelerator_Mix'!$H$2:$H$977,MATCH(G420,'02b_DC_Accelerator_Mix'!$A$2:$A$977,0)),0)</f>
        <v/>
      </c>
      <c r="L420" s="6">
        <f>IFERROR(INDEX('02b_DC_Accelerator_Mix'!$I$2:$I$977,MATCH(G420,'02b_DC_Accelerator_Mix'!$A$2:$A$977,0)),0)</f>
        <v/>
      </c>
      <c r="M420" s="6">
        <f>IFERROR(INDEX('02b_DC_Accelerator_Mix'!$J$2:$J$977,MATCH(G420,'02b_DC_Accelerator_Mix'!$A$2:$A$977,0)),0)</f>
        <v/>
      </c>
      <c r="N420" s="6">
        <f>IFERROR(INDEX('02b_DC_Accelerator_Mix'!$K$2:$K$977,MATCH(G420,'02b_DC_Accelerator_Mix'!$A$2:$A$977,0)),0)</f>
        <v/>
      </c>
      <c r="O420" s="6">
        <f>IFERROR(INDEX('02b_DC_Accelerator_Mix'!$L$2:$L$977,MATCH(G420,'02b_DC_Accelerator_Mix'!$A$2:$A$977,0)),0)</f>
        <v/>
      </c>
      <c r="P420" s="6">
        <f>IFERROR(INDEX('02b_DC_Accelerator_Mix'!$M$2:$M$977,MATCH(G420,'02b_DC_Accelerator_Mix'!$A$2:$A$977,0)),0)</f>
        <v/>
      </c>
      <c r="Q420" s="6">
        <f>IFERROR(INDEX('02b_DC_Accelerator_Mix'!$N$2:$N$977,MATCH(G420,'02b_DC_Accelerator_Mix'!$A$2:$A$977,0)),0)</f>
        <v/>
      </c>
      <c r="R420" s="28">
        <f>H420*I420</f>
        <v/>
      </c>
      <c r="S420" s="28">
        <f>H420*J420</f>
        <v/>
      </c>
      <c r="T420" s="28">
        <f>H420*K420</f>
        <v/>
      </c>
      <c r="U420" s="28">
        <f>H420*L420</f>
        <v/>
      </c>
      <c r="V420" s="28">
        <f>H420*M420</f>
        <v/>
      </c>
      <c r="W420" s="28">
        <f>H420*N420</f>
        <v/>
      </c>
      <c r="X420" s="28">
        <f>H420*O420</f>
        <v/>
      </c>
      <c r="Y420" s="28">
        <f>H420*P420</f>
        <v/>
      </c>
      <c r="Z420" s="28">
        <f>H420*Q420</f>
        <v/>
      </c>
      <c r="AA420" s="28">
        <f>SUM(U420:Z420)</f>
        <v/>
      </c>
      <c r="AB420" s="5">
        <f>IF(COUNTIF('02b_DC_Accelerator_Mix'!$A$2:$A$977,G420)&gt;0,"matched","missing_mix")</f>
        <v/>
      </c>
    </row>
    <row r="421">
      <c r="A421" s="5">
        <f>'02a_DC_Capacity_Alloc'!A421</f>
        <v/>
      </c>
      <c r="B421" s="5">
        <f>'02a_DC_Capacity_Alloc'!B421</f>
        <v/>
      </c>
      <c r="C421" s="5">
        <f>'02a_DC_Capacity_Alloc'!C421</f>
        <v/>
      </c>
      <c r="D421" s="5">
        <f>'02a_DC_Capacity_Alloc'!D421</f>
        <v/>
      </c>
      <c r="E421" s="5">
        <f>'02a_DC_Capacity_Alloc'!E421</f>
        <v/>
      </c>
      <c r="F421" s="5">
        <f>'02a_DC_Capacity_Alloc'!F421</f>
        <v/>
      </c>
      <c r="G421" s="5">
        <f>B421&amp;"|"&amp;E421&amp;"|"&amp;D421</f>
        <v/>
      </c>
      <c r="H421" s="28">
        <f>'02a_DC_Capacity_Alloc'!H421*'02a_DC_Capacity_Alloc'!I421*'02a_DC_Capacity_Alloc'!J421</f>
        <v/>
      </c>
      <c r="I421" s="6">
        <f>IFERROR(INDEX('02b_DC_Accelerator_Mix'!$F$2:$F$977,MATCH(G421,'02b_DC_Accelerator_Mix'!$A$2:$A$977,0)),0)</f>
        <v/>
      </c>
      <c r="J421" s="6">
        <f>IFERROR(INDEX('02b_DC_Accelerator_Mix'!$G$2:$G$977,MATCH(G421,'02b_DC_Accelerator_Mix'!$A$2:$A$977,0)),0)</f>
        <v/>
      </c>
      <c r="K421" s="6">
        <f>IFERROR(INDEX('02b_DC_Accelerator_Mix'!$H$2:$H$977,MATCH(G421,'02b_DC_Accelerator_Mix'!$A$2:$A$977,0)),0)</f>
        <v/>
      </c>
      <c r="L421" s="6">
        <f>IFERROR(INDEX('02b_DC_Accelerator_Mix'!$I$2:$I$977,MATCH(G421,'02b_DC_Accelerator_Mix'!$A$2:$A$977,0)),0)</f>
        <v/>
      </c>
      <c r="M421" s="6">
        <f>IFERROR(INDEX('02b_DC_Accelerator_Mix'!$J$2:$J$977,MATCH(G421,'02b_DC_Accelerator_Mix'!$A$2:$A$977,0)),0)</f>
        <v/>
      </c>
      <c r="N421" s="6">
        <f>IFERROR(INDEX('02b_DC_Accelerator_Mix'!$K$2:$K$977,MATCH(G421,'02b_DC_Accelerator_Mix'!$A$2:$A$977,0)),0)</f>
        <v/>
      </c>
      <c r="O421" s="6">
        <f>IFERROR(INDEX('02b_DC_Accelerator_Mix'!$L$2:$L$977,MATCH(G421,'02b_DC_Accelerator_Mix'!$A$2:$A$977,0)),0)</f>
        <v/>
      </c>
      <c r="P421" s="6">
        <f>IFERROR(INDEX('02b_DC_Accelerator_Mix'!$M$2:$M$977,MATCH(G421,'02b_DC_Accelerator_Mix'!$A$2:$A$977,0)),0)</f>
        <v/>
      </c>
      <c r="Q421" s="6">
        <f>IFERROR(INDEX('02b_DC_Accelerator_Mix'!$N$2:$N$977,MATCH(G421,'02b_DC_Accelerator_Mix'!$A$2:$A$977,0)),0)</f>
        <v/>
      </c>
      <c r="R421" s="28">
        <f>H421*I421</f>
        <v/>
      </c>
      <c r="S421" s="28">
        <f>H421*J421</f>
        <v/>
      </c>
      <c r="T421" s="28">
        <f>H421*K421</f>
        <v/>
      </c>
      <c r="U421" s="28">
        <f>H421*L421</f>
        <v/>
      </c>
      <c r="V421" s="28">
        <f>H421*M421</f>
        <v/>
      </c>
      <c r="W421" s="28">
        <f>H421*N421</f>
        <v/>
      </c>
      <c r="X421" s="28">
        <f>H421*O421</f>
        <v/>
      </c>
      <c r="Y421" s="28">
        <f>H421*P421</f>
        <v/>
      </c>
      <c r="Z421" s="28">
        <f>H421*Q421</f>
        <v/>
      </c>
      <c r="AA421" s="28">
        <f>SUM(U421:Z421)</f>
        <v/>
      </c>
      <c r="AB421" s="5">
        <f>IF(COUNTIF('02b_DC_Accelerator_Mix'!$A$2:$A$977,G421)&gt;0,"matched","missing_mix")</f>
        <v/>
      </c>
    </row>
    <row r="422">
      <c r="A422" s="5">
        <f>'02a_DC_Capacity_Alloc'!A422</f>
        <v/>
      </c>
      <c r="B422" s="5">
        <f>'02a_DC_Capacity_Alloc'!B422</f>
        <v/>
      </c>
      <c r="C422" s="5">
        <f>'02a_DC_Capacity_Alloc'!C422</f>
        <v/>
      </c>
      <c r="D422" s="5">
        <f>'02a_DC_Capacity_Alloc'!D422</f>
        <v/>
      </c>
      <c r="E422" s="5">
        <f>'02a_DC_Capacity_Alloc'!E422</f>
        <v/>
      </c>
      <c r="F422" s="5">
        <f>'02a_DC_Capacity_Alloc'!F422</f>
        <v/>
      </c>
      <c r="G422" s="5">
        <f>B422&amp;"|"&amp;E422&amp;"|"&amp;D422</f>
        <v/>
      </c>
      <c r="H422" s="28">
        <f>'02a_DC_Capacity_Alloc'!H422*'02a_DC_Capacity_Alloc'!I422*'02a_DC_Capacity_Alloc'!J422</f>
        <v/>
      </c>
      <c r="I422" s="6">
        <f>IFERROR(INDEX('02b_DC_Accelerator_Mix'!$F$2:$F$977,MATCH(G422,'02b_DC_Accelerator_Mix'!$A$2:$A$977,0)),0)</f>
        <v/>
      </c>
      <c r="J422" s="6">
        <f>IFERROR(INDEX('02b_DC_Accelerator_Mix'!$G$2:$G$977,MATCH(G422,'02b_DC_Accelerator_Mix'!$A$2:$A$977,0)),0)</f>
        <v/>
      </c>
      <c r="K422" s="6">
        <f>IFERROR(INDEX('02b_DC_Accelerator_Mix'!$H$2:$H$977,MATCH(G422,'02b_DC_Accelerator_Mix'!$A$2:$A$977,0)),0)</f>
        <v/>
      </c>
      <c r="L422" s="6">
        <f>IFERROR(INDEX('02b_DC_Accelerator_Mix'!$I$2:$I$977,MATCH(G422,'02b_DC_Accelerator_Mix'!$A$2:$A$977,0)),0)</f>
        <v/>
      </c>
      <c r="M422" s="6">
        <f>IFERROR(INDEX('02b_DC_Accelerator_Mix'!$J$2:$J$977,MATCH(G422,'02b_DC_Accelerator_Mix'!$A$2:$A$977,0)),0)</f>
        <v/>
      </c>
      <c r="N422" s="6">
        <f>IFERROR(INDEX('02b_DC_Accelerator_Mix'!$K$2:$K$977,MATCH(G422,'02b_DC_Accelerator_Mix'!$A$2:$A$977,0)),0)</f>
        <v/>
      </c>
      <c r="O422" s="6">
        <f>IFERROR(INDEX('02b_DC_Accelerator_Mix'!$L$2:$L$977,MATCH(G422,'02b_DC_Accelerator_Mix'!$A$2:$A$977,0)),0)</f>
        <v/>
      </c>
      <c r="P422" s="6">
        <f>IFERROR(INDEX('02b_DC_Accelerator_Mix'!$M$2:$M$977,MATCH(G422,'02b_DC_Accelerator_Mix'!$A$2:$A$977,0)),0)</f>
        <v/>
      </c>
      <c r="Q422" s="6">
        <f>IFERROR(INDEX('02b_DC_Accelerator_Mix'!$N$2:$N$977,MATCH(G422,'02b_DC_Accelerator_Mix'!$A$2:$A$977,0)),0)</f>
        <v/>
      </c>
      <c r="R422" s="28">
        <f>H422*I422</f>
        <v/>
      </c>
      <c r="S422" s="28">
        <f>H422*J422</f>
        <v/>
      </c>
      <c r="T422" s="28">
        <f>H422*K422</f>
        <v/>
      </c>
      <c r="U422" s="28">
        <f>H422*L422</f>
        <v/>
      </c>
      <c r="V422" s="28">
        <f>H422*M422</f>
        <v/>
      </c>
      <c r="W422" s="28">
        <f>H422*N422</f>
        <v/>
      </c>
      <c r="X422" s="28">
        <f>H422*O422</f>
        <v/>
      </c>
      <c r="Y422" s="28">
        <f>H422*P422</f>
        <v/>
      </c>
      <c r="Z422" s="28">
        <f>H422*Q422</f>
        <v/>
      </c>
      <c r="AA422" s="28">
        <f>SUM(U422:Z422)</f>
        <v/>
      </c>
      <c r="AB422" s="5">
        <f>IF(COUNTIF('02b_DC_Accelerator_Mix'!$A$2:$A$977,G422)&gt;0,"matched","missing_mix")</f>
        <v/>
      </c>
    </row>
    <row r="423">
      <c r="A423" s="5">
        <f>'02a_DC_Capacity_Alloc'!A423</f>
        <v/>
      </c>
      <c r="B423" s="5">
        <f>'02a_DC_Capacity_Alloc'!B423</f>
        <v/>
      </c>
      <c r="C423" s="5">
        <f>'02a_DC_Capacity_Alloc'!C423</f>
        <v/>
      </c>
      <c r="D423" s="5">
        <f>'02a_DC_Capacity_Alloc'!D423</f>
        <v/>
      </c>
      <c r="E423" s="5">
        <f>'02a_DC_Capacity_Alloc'!E423</f>
        <v/>
      </c>
      <c r="F423" s="5">
        <f>'02a_DC_Capacity_Alloc'!F423</f>
        <v/>
      </c>
      <c r="G423" s="5">
        <f>B423&amp;"|"&amp;E423&amp;"|"&amp;D423</f>
        <v/>
      </c>
      <c r="H423" s="28">
        <f>'02a_DC_Capacity_Alloc'!H423*'02a_DC_Capacity_Alloc'!I423*'02a_DC_Capacity_Alloc'!J423</f>
        <v/>
      </c>
      <c r="I423" s="6">
        <f>IFERROR(INDEX('02b_DC_Accelerator_Mix'!$F$2:$F$977,MATCH(G423,'02b_DC_Accelerator_Mix'!$A$2:$A$977,0)),0)</f>
        <v/>
      </c>
      <c r="J423" s="6">
        <f>IFERROR(INDEX('02b_DC_Accelerator_Mix'!$G$2:$G$977,MATCH(G423,'02b_DC_Accelerator_Mix'!$A$2:$A$977,0)),0)</f>
        <v/>
      </c>
      <c r="K423" s="6">
        <f>IFERROR(INDEX('02b_DC_Accelerator_Mix'!$H$2:$H$977,MATCH(G423,'02b_DC_Accelerator_Mix'!$A$2:$A$977,0)),0)</f>
        <v/>
      </c>
      <c r="L423" s="6">
        <f>IFERROR(INDEX('02b_DC_Accelerator_Mix'!$I$2:$I$977,MATCH(G423,'02b_DC_Accelerator_Mix'!$A$2:$A$977,0)),0)</f>
        <v/>
      </c>
      <c r="M423" s="6">
        <f>IFERROR(INDEX('02b_DC_Accelerator_Mix'!$J$2:$J$977,MATCH(G423,'02b_DC_Accelerator_Mix'!$A$2:$A$977,0)),0)</f>
        <v/>
      </c>
      <c r="N423" s="6">
        <f>IFERROR(INDEX('02b_DC_Accelerator_Mix'!$K$2:$K$977,MATCH(G423,'02b_DC_Accelerator_Mix'!$A$2:$A$977,0)),0)</f>
        <v/>
      </c>
      <c r="O423" s="6">
        <f>IFERROR(INDEX('02b_DC_Accelerator_Mix'!$L$2:$L$977,MATCH(G423,'02b_DC_Accelerator_Mix'!$A$2:$A$977,0)),0)</f>
        <v/>
      </c>
      <c r="P423" s="6">
        <f>IFERROR(INDEX('02b_DC_Accelerator_Mix'!$M$2:$M$977,MATCH(G423,'02b_DC_Accelerator_Mix'!$A$2:$A$977,0)),0)</f>
        <v/>
      </c>
      <c r="Q423" s="6">
        <f>IFERROR(INDEX('02b_DC_Accelerator_Mix'!$N$2:$N$977,MATCH(G423,'02b_DC_Accelerator_Mix'!$A$2:$A$977,0)),0)</f>
        <v/>
      </c>
      <c r="R423" s="28">
        <f>H423*I423</f>
        <v/>
      </c>
      <c r="S423" s="28">
        <f>H423*J423</f>
        <v/>
      </c>
      <c r="T423" s="28">
        <f>H423*K423</f>
        <v/>
      </c>
      <c r="U423" s="28">
        <f>H423*L423</f>
        <v/>
      </c>
      <c r="V423" s="28">
        <f>H423*M423</f>
        <v/>
      </c>
      <c r="W423" s="28">
        <f>H423*N423</f>
        <v/>
      </c>
      <c r="X423" s="28">
        <f>H423*O423</f>
        <v/>
      </c>
      <c r="Y423" s="28">
        <f>H423*P423</f>
        <v/>
      </c>
      <c r="Z423" s="28">
        <f>H423*Q423</f>
        <v/>
      </c>
      <c r="AA423" s="28">
        <f>SUM(U423:Z423)</f>
        <v/>
      </c>
      <c r="AB423" s="5">
        <f>IF(COUNTIF('02b_DC_Accelerator_Mix'!$A$2:$A$977,G423)&gt;0,"matched","missing_mix")</f>
        <v/>
      </c>
    </row>
    <row r="424">
      <c r="A424" s="5">
        <f>'02a_DC_Capacity_Alloc'!A424</f>
        <v/>
      </c>
      <c r="B424" s="5">
        <f>'02a_DC_Capacity_Alloc'!B424</f>
        <v/>
      </c>
      <c r="C424" s="5">
        <f>'02a_DC_Capacity_Alloc'!C424</f>
        <v/>
      </c>
      <c r="D424" s="5">
        <f>'02a_DC_Capacity_Alloc'!D424</f>
        <v/>
      </c>
      <c r="E424" s="5">
        <f>'02a_DC_Capacity_Alloc'!E424</f>
        <v/>
      </c>
      <c r="F424" s="5">
        <f>'02a_DC_Capacity_Alloc'!F424</f>
        <v/>
      </c>
      <c r="G424" s="5">
        <f>B424&amp;"|"&amp;E424&amp;"|"&amp;D424</f>
        <v/>
      </c>
      <c r="H424" s="28">
        <f>'02a_DC_Capacity_Alloc'!H424*'02a_DC_Capacity_Alloc'!I424*'02a_DC_Capacity_Alloc'!J424</f>
        <v/>
      </c>
      <c r="I424" s="6">
        <f>IFERROR(INDEX('02b_DC_Accelerator_Mix'!$F$2:$F$977,MATCH(G424,'02b_DC_Accelerator_Mix'!$A$2:$A$977,0)),0)</f>
        <v/>
      </c>
      <c r="J424" s="6">
        <f>IFERROR(INDEX('02b_DC_Accelerator_Mix'!$G$2:$G$977,MATCH(G424,'02b_DC_Accelerator_Mix'!$A$2:$A$977,0)),0)</f>
        <v/>
      </c>
      <c r="K424" s="6">
        <f>IFERROR(INDEX('02b_DC_Accelerator_Mix'!$H$2:$H$977,MATCH(G424,'02b_DC_Accelerator_Mix'!$A$2:$A$977,0)),0)</f>
        <v/>
      </c>
      <c r="L424" s="6">
        <f>IFERROR(INDEX('02b_DC_Accelerator_Mix'!$I$2:$I$977,MATCH(G424,'02b_DC_Accelerator_Mix'!$A$2:$A$977,0)),0)</f>
        <v/>
      </c>
      <c r="M424" s="6">
        <f>IFERROR(INDEX('02b_DC_Accelerator_Mix'!$J$2:$J$977,MATCH(G424,'02b_DC_Accelerator_Mix'!$A$2:$A$977,0)),0)</f>
        <v/>
      </c>
      <c r="N424" s="6">
        <f>IFERROR(INDEX('02b_DC_Accelerator_Mix'!$K$2:$K$977,MATCH(G424,'02b_DC_Accelerator_Mix'!$A$2:$A$977,0)),0)</f>
        <v/>
      </c>
      <c r="O424" s="6">
        <f>IFERROR(INDEX('02b_DC_Accelerator_Mix'!$L$2:$L$977,MATCH(G424,'02b_DC_Accelerator_Mix'!$A$2:$A$977,0)),0)</f>
        <v/>
      </c>
      <c r="P424" s="6">
        <f>IFERROR(INDEX('02b_DC_Accelerator_Mix'!$M$2:$M$977,MATCH(G424,'02b_DC_Accelerator_Mix'!$A$2:$A$977,0)),0)</f>
        <v/>
      </c>
      <c r="Q424" s="6">
        <f>IFERROR(INDEX('02b_DC_Accelerator_Mix'!$N$2:$N$977,MATCH(G424,'02b_DC_Accelerator_Mix'!$A$2:$A$977,0)),0)</f>
        <v/>
      </c>
      <c r="R424" s="28">
        <f>H424*I424</f>
        <v/>
      </c>
      <c r="S424" s="28">
        <f>H424*J424</f>
        <v/>
      </c>
      <c r="T424" s="28">
        <f>H424*K424</f>
        <v/>
      </c>
      <c r="U424" s="28">
        <f>H424*L424</f>
        <v/>
      </c>
      <c r="V424" s="28">
        <f>H424*M424</f>
        <v/>
      </c>
      <c r="W424" s="28">
        <f>H424*N424</f>
        <v/>
      </c>
      <c r="X424" s="28">
        <f>H424*O424</f>
        <v/>
      </c>
      <c r="Y424" s="28">
        <f>H424*P424</f>
        <v/>
      </c>
      <c r="Z424" s="28">
        <f>H424*Q424</f>
        <v/>
      </c>
      <c r="AA424" s="28">
        <f>SUM(U424:Z424)</f>
        <v/>
      </c>
      <c r="AB424" s="5">
        <f>IF(COUNTIF('02b_DC_Accelerator_Mix'!$A$2:$A$977,G424)&gt;0,"matched","missing_mix")</f>
        <v/>
      </c>
    </row>
    <row r="425">
      <c r="A425" s="5">
        <f>'02a_DC_Capacity_Alloc'!A425</f>
        <v/>
      </c>
      <c r="B425" s="5">
        <f>'02a_DC_Capacity_Alloc'!B425</f>
        <v/>
      </c>
      <c r="C425" s="5">
        <f>'02a_DC_Capacity_Alloc'!C425</f>
        <v/>
      </c>
      <c r="D425" s="5">
        <f>'02a_DC_Capacity_Alloc'!D425</f>
        <v/>
      </c>
      <c r="E425" s="5">
        <f>'02a_DC_Capacity_Alloc'!E425</f>
        <v/>
      </c>
      <c r="F425" s="5">
        <f>'02a_DC_Capacity_Alloc'!F425</f>
        <v/>
      </c>
      <c r="G425" s="5">
        <f>B425&amp;"|"&amp;E425&amp;"|"&amp;D425</f>
        <v/>
      </c>
      <c r="H425" s="28">
        <f>'02a_DC_Capacity_Alloc'!H425*'02a_DC_Capacity_Alloc'!I425*'02a_DC_Capacity_Alloc'!J425</f>
        <v/>
      </c>
      <c r="I425" s="6">
        <f>IFERROR(INDEX('02b_DC_Accelerator_Mix'!$F$2:$F$977,MATCH(G425,'02b_DC_Accelerator_Mix'!$A$2:$A$977,0)),0)</f>
        <v/>
      </c>
      <c r="J425" s="6">
        <f>IFERROR(INDEX('02b_DC_Accelerator_Mix'!$G$2:$G$977,MATCH(G425,'02b_DC_Accelerator_Mix'!$A$2:$A$977,0)),0)</f>
        <v/>
      </c>
      <c r="K425" s="6">
        <f>IFERROR(INDEX('02b_DC_Accelerator_Mix'!$H$2:$H$977,MATCH(G425,'02b_DC_Accelerator_Mix'!$A$2:$A$977,0)),0)</f>
        <v/>
      </c>
      <c r="L425" s="6">
        <f>IFERROR(INDEX('02b_DC_Accelerator_Mix'!$I$2:$I$977,MATCH(G425,'02b_DC_Accelerator_Mix'!$A$2:$A$977,0)),0)</f>
        <v/>
      </c>
      <c r="M425" s="6">
        <f>IFERROR(INDEX('02b_DC_Accelerator_Mix'!$J$2:$J$977,MATCH(G425,'02b_DC_Accelerator_Mix'!$A$2:$A$977,0)),0)</f>
        <v/>
      </c>
      <c r="N425" s="6">
        <f>IFERROR(INDEX('02b_DC_Accelerator_Mix'!$K$2:$K$977,MATCH(G425,'02b_DC_Accelerator_Mix'!$A$2:$A$977,0)),0)</f>
        <v/>
      </c>
      <c r="O425" s="6">
        <f>IFERROR(INDEX('02b_DC_Accelerator_Mix'!$L$2:$L$977,MATCH(G425,'02b_DC_Accelerator_Mix'!$A$2:$A$977,0)),0)</f>
        <v/>
      </c>
      <c r="P425" s="6">
        <f>IFERROR(INDEX('02b_DC_Accelerator_Mix'!$M$2:$M$977,MATCH(G425,'02b_DC_Accelerator_Mix'!$A$2:$A$977,0)),0)</f>
        <v/>
      </c>
      <c r="Q425" s="6">
        <f>IFERROR(INDEX('02b_DC_Accelerator_Mix'!$N$2:$N$977,MATCH(G425,'02b_DC_Accelerator_Mix'!$A$2:$A$977,0)),0)</f>
        <v/>
      </c>
      <c r="R425" s="28">
        <f>H425*I425</f>
        <v/>
      </c>
      <c r="S425" s="28">
        <f>H425*J425</f>
        <v/>
      </c>
      <c r="T425" s="28">
        <f>H425*K425</f>
        <v/>
      </c>
      <c r="U425" s="28">
        <f>H425*L425</f>
        <v/>
      </c>
      <c r="V425" s="28">
        <f>H425*M425</f>
        <v/>
      </c>
      <c r="W425" s="28">
        <f>H425*N425</f>
        <v/>
      </c>
      <c r="X425" s="28">
        <f>H425*O425</f>
        <v/>
      </c>
      <c r="Y425" s="28">
        <f>H425*P425</f>
        <v/>
      </c>
      <c r="Z425" s="28">
        <f>H425*Q425</f>
        <v/>
      </c>
      <c r="AA425" s="28">
        <f>SUM(U425:Z425)</f>
        <v/>
      </c>
      <c r="AB425" s="5">
        <f>IF(COUNTIF('02b_DC_Accelerator_Mix'!$A$2:$A$977,G425)&gt;0,"matched","missing_mix")</f>
        <v/>
      </c>
    </row>
    <row r="426">
      <c r="A426" s="5">
        <f>'02a_DC_Capacity_Alloc'!A426</f>
        <v/>
      </c>
      <c r="B426" s="5">
        <f>'02a_DC_Capacity_Alloc'!B426</f>
        <v/>
      </c>
      <c r="C426" s="5">
        <f>'02a_DC_Capacity_Alloc'!C426</f>
        <v/>
      </c>
      <c r="D426" s="5">
        <f>'02a_DC_Capacity_Alloc'!D426</f>
        <v/>
      </c>
      <c r="E426" s="5">
        <f>'02a_DC_Capacity_Alloc'!E426</f>
        <v/>
      </c>
      <c r="F426" s="5">
        <f>'02a_DC_Capacity_Alloc'!F426</f>
        <v/>
      </c>
      <c r="G426" s="5">
        <f>B426&amp;"|"&amp;E426&amp;"|"&amp;D426</f>
        <v/>
      </c>
      <c r="H426" s="28">
        <f>'02a_DC_Capacity_Alloc'!H426*'02a_DC_Capacity_Alloc'!I426*'02a_DC_Capacity_Alloc'!J426</f>
        <v/>
      </c>
      <c r="I426" s="6">
        <f>IFERROR(INDEX('02b_DC_Accelerator_Mix'!$F$2:$F$977,MATCH(G426,'02b_DC_Accelerator_Mix'!$A$2:$A$977,0)),0)</f>
        <v/>
      </c>
      <c r="J426" s="6">
        <f>IFERROR(INDEX('02b_DC_Accelerator_Mix'!$G$2:$G$977,MATCH(G426,'02b_DC_Accelerator_Mix'!$A$2:$A$977,0)),0)</f>
        <v/>
      </c>
      <c r="K426" s="6">
        <f>IFERROR(INDEX('02b_DC_Accelerator_Mix'!$H$2:$H$977,MATCH(G426,'02b_DC_Accelerator_Mix'!$A$2:$A$977,0)),0)</f>
        <v/>
      </c>
      <c r="L426" s="6">
        <f>IFERROR(INDEX('02b_DC_Accelerator_Mix'!$I$2:$I$977,MATCH(G426,'02b_DC_Accelerator_Mix'!$A$2:$A$977,0)),0)</f>
        <v/>
      </c>
      <c r="M426" s="6">
        <f>IFERROR(INDEX('02b_DC_Accelerator_Mix'!$J$2:$J$977,MATCH(G426,'02b_DC_Accelerator_Mix'!$A$2:$A$977,0)),0)</f>
        <v/>
      </c>
      <c r="N426" s="6">
        <f>IFERROR(INDEX('02b_DC_Accelerator_Mix'!$K$2:$K$977,MATCH(G426,'02b_DC_Accelerator_Mix'!$A$2:$A$977,0)),0)</f>
        <v/>
      </c>
      <c r="O426" s="6">
        <f>IFERROR(INDEX('02b_DC_Accelerator_Mix'!$L$2:$L$977,MATCH(G426,'02b_DC_Accelerator_Mix'!$A$2:$A$977,0)),0)</f>
        <v/>
      </c>
      <c r="P426" s="6">
        <f>IFERROR(INDEX('02b_DC_Accelerator_Mix'!$M$2:$M$977,MATCH(G426,'02b_DC_Accelerator_Mix'!$A$2:$A$977,0)),0)</f>
        <v/>
      </c>
      <c r="Q426" s="6">
        <f>IFERROR(INDEX('02b_DC_Accelerator_Mix'!$N$2:$N$977,MATCH(G426,'02b_DC_Accelerator_Mix'!$A$2:$A$977,0)),0)</f>
        <v/>
      </c>
      <c r="R426" s="28">
        <f>H426*I426</f>
        <v/>
      </c>
      <c r="S426" s="28">
        <f>H426*J426</f>
        <v/>
      </c>
      <c r="T426" s="28">
        <f>H426*K426</f>
        <v/>
      </c>
      <c r="U426" s="28">
        <f>H426*L426</f>
        <v/>
      </c>
      <c r="V426" s="28">
        <f>H426*M426</f>
        <v/>
      </c>
      <c r="W426" s="28">
        <f>H426*N426</f>
        <v/>
      </c>
      <c r="X426" s="28">
        <f>H426*O426</f>
        <v/>
      </c>
      <c r="Y426" s="28">
        <f>H426*P426</f>
        <v/>
      </c>
      <c r="Z426" s="28">
        <f>H426*Q426</f>
        <v/>
      </c>
      <c r="AA426" s="28">
        <f>SUM(U426:Z426)</f>
        <v/>
      </c>
      <c r="AB426" s="5">
        <f>IF(COUNTIF('02b_DC_Accelerator_Mix'!$A$2:$A$977,G426)&gt;0,"matched","missing_mix")</f>
        <v/>
      </c>
    </row>
    <row r="427">
      <c r="A427" s="5">
        <f>'02a_DC_Capacity_Alloc'!A427</f>
        <v/>
      </c>
      <c r="B427" s="5">
        <f>'02a_DC_Capacity_Alloc'!B427</f>
        <v/>
      </c>
      <c r="C427" s="5">
        <f>'02a_DC_Capacity_Alloc'!C427</f>
        <v/>
      </c>
      <c r="D427" s="5">
        <f>'02a_DC_Capacity_Alloc'!D427</f>
        <v/>
      </c>
      <c r="E427" s="5">
        <f>'02a_DC_Capacity_Alloc'!E427</f>
        <v/>
      </c>
      <c r="F427" s="5">
        <f>'02a_DC_Capacity_Alloc'!F427</f>
        <v/>
      </c>
      <c r="G427" s="5">
        <f>B427&amp;"|"&amp;E427&amp;"|"&amp;D427</f>
        <v/>
      </c>
      <c r="H427" s="28">
        <f>'02a_DC_Capacity_Alloc'!H427*'02a_DC_Capacity_Alloc'!I427*'02a_DC_Capacity_Alloc'!J427</f>
        <v/>
      </c>
      <c r="I427" s="6">
        <f>IFERROR(INDEX('02b_DC_Accelerator_Mix'!$F$2:$F$977,MATCH(G427,'02b_DC_Accelerator_Mix'!$A$2:$A$977,0)),0)</f>
        <v/>
      </c>
      <c r="J427" s="6">
        <f>IFERROR(INDEX('02b_DC_Accelerator_Mix'!$G$2:$G$977,MATCH(G427,'02b_DC_Accelerator_Mix'!$A$2:$A$977,0)),0)</f>
        <v/>
      </c>
      <c r="K427" s="6">
        <f>IFERROR(INDEX('02b_DC_Accelerator_Mix'!$H$2:$H$977,MATCH(G427,'02b_DC_Accelerator_Mix'!$A$2:$A$977,0)),0)</f>
        <v/>
      </c>
      <c r="L427" s="6">
        <f>IFERROR(INDEX('02b_DC_Accelerator_Mix'!$I$2:$I$977,MATCH(G427,'02b_DC_Accelerator_Mix'!$A$2:$A$977,0)),0)</f>
        <v/>
      </c>
      <c r="M427" s="6">
        <f>IFERROR(INDEX('02b_DC_Accelerator_Mix'!$J$2:$J$977,MATCH(G427,'02b_DC_Accelerator_Mix'!$A$2:$A$977,0)),0)</f>
        <v/>
      </c>
      <c r="N427" s="6">
        <f>IFERROR(INDEX('02b_DC_Accelerator_Mix'!$K$2:$K$977,MATCH(G427,'02b_DC_Accelerator_Mix'!$A$2:$A$977,0)),0)</f>
        <v/>
      </c>
      <c r="O427" s="6">
        <f>IFERROR(INDEX('02b_DC_Accelerator_Mix'!$L$2:$L$977,MATCH(G427,'02b_DC_Accelerator_Mix'!$A$2:$A$977,0)),0)</f>
        <v/>
      </c>
      <c r="P427" s="6">
        <f>IFERROR(INDEX('02b_DC_Accelerator_Mix'!$M$2:$M$977,MATCH(G427,'02b_DC_Accelerator_Mix'!$A$2:$A$977,0)),0)</f>
        <v/>
      </c>
      <c r="Q427" s="6">
        <f>IFERROR(INDEX('02b_DC_Accelerator_Mix'!$N$2:$N$977,MATCH(G427,'02b_DC_Accelerator_Mix'!$A$2:$A$977,0)),0)</f>
        <v/>
      </c>
      <c r="R427" s="28">
        <f>H427*I427</f>
        <v/>
      </c>
      <c r="S427" s="28">
        <f>H427*J427</f>
        <v/>
      </c>
      <c r="T427" s="28">
        <f>H427*K427</f>
        <v/>
      </c>
      <c r="U427" s="28">
        <f>H427*L427</f>
        <v/>
      </c>
      <c r="V427" s="28">
        <f>H427*M427</f>
        <v/>
      </c>
      <c r="W427" s="28">
        <f>H427*N427</f>
        <v/>
      </c>
      <c r="X427" s="28">
        <f>H427*O427</f>
        <v/>
      </c>
      <c r="Y427" s="28">
        <f>H427*P427</f>
        <v/>
      </c>
      <c r="Z427" s="28">
        <f>H427*Q427</f>
        <v/>
      </c>
      <c r="AA427" s="28">
        <f>SUM(U427:Z427)</f>
        <v/>
      </c>
      <c r="AB427" s="5">
        <f>IF(COUNTIF('02b_DC_Accelerator_Mix'!$A$2:$A$977,G427)&gt;0,"matched","missing_mix")</f>
        <v/>
      </c>
    </row>
    <row r="428">
      <c r="A428" s="5">
        <f>'02a_DC_Capacity_Alloc'!A428</f>
        <v/>
      </c>
      <c r="B428" s="5">
        <f>'02a_DC_Capacity_Alloc'!B428</f>
        <v/>
      </c>
      <c r="C428" s="5">
        <f>'02a_DC_Capacity_Alloc'!C428</f>
        <v/>
      </c>
      <c r="D428" s="5">
        <f>'02a_DC_Capacity_Alloc'!D428</f>
        <v/>
      </c>
      <c r="E428" s="5">
        <f>'02a_DC_Capacity_Alloc'!E428</f>
        <v/>
      </c>
      <c r="F428" s="5">
        <f>'02a_DC_Capacity_Alloc'!F428</f>
        <v/>
      </c>
      <c r="G428" s="5">
        <f>B428&amp;"|"&amp;E428&amp;"|"&amp;D428</f>
        <v/>
      </c>
      <c r="H428" s="28">
        <f>'02a_DC_Capacity_Alloc'!H428*'02a_DC_Capacity_Alloc'!I428*'02a_DC_Capacity_Alloc'!J428</f>
        <v/>
      </c>
      <c r="I428" s="6">
        <f>IFERROR(INDEX('02b_DC_Accelerator_Mix'!$F$2:$F$977,MATCH(G428,'02b_DC_Accelerator_Mix'!$A$2:$A$977,0)),0)</f>
        <v/>
      </c>
      <c r="J428" s="6">
        <f>IFERROR(INDEX('02b_DC_Accelerator_Mix'!$G$2:$G$977,MATCH(G428,'02b_DC_Accelerator_Mix'!$A$2:$A$977,0)),0)</f>
        <v/>
      </c>
      <c r="K428" s="6">
        <f>IFERROR(INDEX('02b_DC_Accelerator_Mix'!$H$2:$H$977,MATCH(G428,'02b_DC_Accelerator_Mix'!$A$2:$A$977,0)),0)</f>
        <v/>
      </c>
      <c r="L428" s="6">
        <f>IFERROR(INDEX('02b_DC_Accelerator_Mix'!$I$2:$I$977,MATCH(G428,'02b_DC_Accelerator_Mix'!$A$2:$A$977,0)),0)</f>
        <v/>
      </c>
      <c r="M428" s="6">
        <f>IFERROR(INDEX('02b_DC_Accelerator_Mix'!$J$2:$J$977,MATCH(G428,'02b_DC_Accelerator_Mix'!$A$2:$A$977,0)),0)</f>
        <v/>
      </c>
      <c r="N428" s="6">
        <f>IFERROR(INDEX('02b_DC_Accelerator_Mix'!$K$2:$K$977,MATCH(G428,'02b_DC_Accelerator_Mix'!$A$2:$A$977,0)),0)</f>
        <v/>
      </c>
      <c r="O428" s="6">
        <f>IFERROR(INDEX('02b_DC_Accelerator_Mix'!$L$2:$L$977,MATCH(G428,'02b_DC_Accelerator_Mix'!$A$2:$A$977,0)),0)</f>
        <v/>
      </c>
      <c r="P428" s="6">
        <f>IFERROR(INDEX('02b_DC_Accelerator_Mix'!$M$2:$M$977,MATCH(G428,'02b_DC_Accelerator_Mix'!$A$2:$A$977,0)),0)</f>
        <v/>
      </c>
      <c r="Q428" s="6">
        <f>IFERROR(INDEX('02b_DC_Accelerator_Mix'!$N$2:$N$977,MATCH(G428,'02b_DC_Accelerator_Mix'!$A$2:$A$977,0)),0)</f>
        <v/>
      </c>
      <c r="R428" s="28">
        <f>H428*I428</f>
        <v/>
      </c>
      <c r="S428" s="28">
        <f>H428*J428</f>
        <v/>
      </c>
      <c r="T428" s="28">
        <f>H428*K428</f>
        <v/>
      </c>
      <c r="U428" s="28">
        <f>H428*L428</f>
        <v/>
      </c>
      <c r="V428" s="28">
        <f>H428*M428</f>
        <v/>
      </c>
      <c r="W428" s="28">
        <f>H428*N428</f>
        <v/>
      </c>
      <c r="X428" s="28">
        <f>H428*O428</f>
        <v/>
      </c>
      <c r="Y428" s="28">
        <f>H428*P428</f>
        <v/>
      </c>
      <c r="Z428" s="28">
        <f>H428*Q428</f>
        <v/>
      </c>
      <c r="AA428" s="28">
        <f>SUM(U428:Z428)</f>
        <v/>
      </c>
      <c r="AB428" s="5">
        <f>IF(COUNTIF('02b_DC_Accelerator_Mix'!$A$2:$A$977,G428)&gt;0,"matched","missing_mix")</f>
        <v/>
      </c>
    </row>
    <row r="429">
      <c r="A429" s="5">
        <f>'02a_DC_Capacity_Alloc'!A429</f>
        <v/>
      </c>
      <c r="B429" s="5">
        <f>'02a_DC_Capacity_Alloc'!B429</f>
        <v/>
      </c>
      <c r="C429" s="5">
        <f>'02a_DC_Capacity_Alloc'!C429</f>
        <v/>
      </c>
      <c r="D429" s="5">
        <f>'02a_DC_Capacity_Alloc'!D429</f>
        <v/>
      </c>
      <c r="E429" s="5">
        <f>'02a_DC_Capacity_Alloc'!E429</f>
        <v/>
      </c>
      <c r="F429" s="5">
        <f>'02a_DC_Capacity_Alloc'!F429</f>
        <v/>
      </c>
      <c r="G429" s="5">
        <f>B429&amp;"|"&amp;E429&amp;"|"&amp;D429</f>
        <v/>
      </c>
      <c r="H429" s="28">
        <f>'02a_DC_Capacity_Alloc'!H429*'02a_DC_Capacity_Alloc'!I429*'02a_DC_Capacity_Alloc'!J429</f>
        <v/>
      </c>
      <c r="I429" s="6">
        <f>IFERROR(INDEX('02b_DC_Accelerator_Mix'!$F$2:$F$977,MATCH(G429,'02b_DC_Accelerator_Mix'!$A$2:$A$977,0)),0)</f>
        <v/>
      </c>
      <c r="J429" s="6">
        <f>IFERROR(INDEX('02b_DC_Accelerator_Mix'!$G$2:$G$977,MATCH(G429,'02b_DC_Accelerator_Mix'!$A$2:$A$977,0)),0)</f>
        <v/>
      </c>
      <c r="K429" s="6">
        <f>IFERROR(INDEX('02b_DC_Accelerator_Mix'!$H$2:$H$977,MATCH(G429,'02b_DC_Accelerator_Mix'!$A$2:$A$977,0)),0)</f>
        <v/>
      </c>
      <c r="L429" s="6">
        <f>IFERROR(INDEX('02b_DC_Accelerator_Mix'!$I$2:$I$977,MATCH(G429,'02b_DC_Accelerator_Mix'!$A$2:$A$977,0)),0)</f>
        <v/>
      </c>
      <c r="M429" s="6">
        <f>IFERROR(INDEX('02b_DC_Accelerator_Mix'!$J$2:$J$977,MATCH(G429,'02b_DC_Accelerator_Mix'!$A$2:$A$977,0)),0)</f>
        <v/>
      </c>
      <c r="N429" s="6">
        <f>IFERROR(INDEX('02b_DC_Accelerator_Mix'!$K$2:$K$977,MATCH(G429,'02b_DC_Accelerator_Mix'!$A$2:$A$977,0)),0)</f>
        <v/>
      </c>
      <c r="O429" s="6">
        <f>IFERROR(INDEX('02b_DC_Accelerator_Mix'!$L$2:$L$977,MATCH(G429,'02b_DC_Accelerator_Mix'!$A$2:$A$977,0)),0)</f>
        <v/>
      </c>
      <c r="P429" s="6">
        <f>IFERROR(INDEX('02b_DC_Accelerator_Mix'!$M$2:$M$977,MATCH(G429,'02b_DC_Accelerator_Mix'!$A$2:$A$977,0)),0)</f>
        <v/>
      </c>
      <c r="Q429" s="6">
        <f>IFERROR(INDEX('02b_DC_Accelerator_Mix'!$N$2:$N$977,MATCH(G429,'02b_DC_Accelerator_Mix'!$A$2:$A$977,0)),0)</f>
        <v/>
      </c>
      <c r="R429" s="28">
        <f>H429*I429</f>
        <v/>
      </c>
      <c r="S429" s="28">
        <f>H429*J429</f>
        <v/>
      </c>
      <c r="T429" s="28">
        <f>H429*K429</f>
        <v/>
      </c>
      <c r="U429" s="28">
        <f>H429*L429</f>
        <v/>
      </c>
      <c r="V429" s="28">
        <f>H429*M429</f>
        <v/>
      </c>
      <c r="W429" s="28">
        <f>H429*N429</f>
        <v/>
      </c>
      <c r="X429" s="28">
        <f>H429*O429</f>
        <v/>
      </c>
      <c r="Y429" s="28">
        <f>H429*P429</f>
        <v/>
      </c>
      <c r="Z429" s="28">
        <f>H429*Q429</f>
        <v/>
      </c>
      <c r="AA429" s="28">
        <f>SUM(U429:Z429)</f>
        <v/>
      </c>
      <c r="AB429" s="5">
        <f>IF(COUNTIF('02b_DC_Accelerator_Mix'!$A$2:$A$977,G429)&gt;0,"matched","missing_mix")</f>
        <v/>
      </c>
    </row>
    <row r="430">
      <c r="A430" s="5">
        <f>'02a_DC_Capacity_Alloc'!A430</f>
        <v/>
      </c>
      <c r="B430" s="5">
        <f>'02a_DC_Capacity_Alloc'!B430</f>
        <v/>
      </c>
      <c r="C430" s="5">
        <f>'02a_DC_Capacity_Alloc'!C430</f>
        <v/>
      </c>
      <c r="D430" s="5">
        <f>'02a_DC_Capacity_Alloc'!D430</f>
        <v/>
      </c>
      <c r="E430" s="5">
        <f>'02a_DC_Capacity_Alloc'!E430</f>
        <v/>
      </c>
      <c r="F430" s="5">
        <f>'02a_DC_Capacity_Alloc'!F430</f>
        <v/>
      </c>
      <c r="G430" s="5">
        <f>B430&amp;"|"&amp;E430&amp;"|"&amp;D430</f>
        <v/>
      </c>
      <c r="H430" s="28">
        <f>'02a_DC_Capacity_Alloc'!H430*'02a_DC_Capacity_Alloc'!I430*'02a_DC_Capacity_Alloc'!J430</f>
        <v/>
      </c>
      <c r="I430" s="6">
        <f>IFERROR(INDEX('02b_DC_Accelerator_Mix'!$F$2:$F$977,MATCH(G430,'02b_DC_Accelerator_Mix'!$A$2:$A$977,0)),0)</f>
        <v/>
      </c>
      <c r="J430" s="6">
        <f>IFERROR(INDEX('02b_DC_Accelerator_Mix'!$G$2:$G$977,MATCH(G430,'02b_DC_Accelerator_Mix'!$A$2:$A$977,0)),0)</f>
        <v/>
      </c>
      <c r="K430" s="6">
        <f>IFERROR(INDEX('02b_DC_Accelerator_Mix'!$H$2:$H$977,MATCH(G430,'02b_DC_Accelerator_Mix'!$A$2:$A$977,0)),0)</f>
        <v/>
      </c>
      <c r="L430" s="6">
        <f>IFERROR(INDEX('02b_DC_Accelerator_Mix'!$I$2:$I$977,MATCH(G430,'02b_DC_Accelerator_Mix'!$A$2:$A$977,0)),0)</f>
        <v/>
      </c>
      <c r="M430" s="6">
        <f>IFERROR(INDEX('02b_DC_Accelerator_Mix'!$J$2:$J$977,MATCH(G430,'02b_DC_Accelerator_Mix'!$A$2:$A$977,0)),0)</f>
        <v/>
      </c>
      <c r="N430" s="6">
        <f>IFERROR(INDEX('02b_DC_Accelerator_Mix'!$K$2:$K$977,MATCH(G430,'02b_DC_Accelerator_Mix'!$A$2:$A$977,0)),0)</f>
        <v/>
      </c>
      <c r="O430" s="6">
        <f>IFERROR(INDEX('02b_DC_Accelerator_Mix'!$L$2:$L$977,MATCH(G430,'02b_DC_Accelerator_Mix'!$A$2:$A$977,0)),0)</f>
        <v/>
      </c>
      <c r="P430" s="6">
        <f>IFERROR(INDEX('02b_DC_Accelerator_Mix'!$M$2:$M$977,MATCH(G430,'02b_DC_Accelerator_Mix'!$A$2:$A$977,0)),0)</f>
        <v/>
      </c>
      <c r="Q430" s="6">
        <f>IFERROR(INDEX('02b_DC_Accelerator_Mix'!$N$2:$N$977,MATCH(G430,'02b_DC_Accelerator_Mix'!$A$2:$A$977,0)),0)</f>
        <v/>
      </c>
      <c r="R430" s="28">
        <f>H430*I430</f>
        <v/>
      </c>
      <c r="S430" s="28">
        <f>H430*J430</f>
        <v/>
      </c>
      <c r="T430" s="28">
        <f>H430*K430</f>
        <v/>
      </c>
      <c r="U430" s="28">
        <f>H430*L430</f>
        <v/>
      </c>
      <c r="V430" s="28">
        <f>H430*M430</f>
        <v/>
      </c>
      <c r="W430" s="28">
        <f>H430*N430</f>
        <v/>
      </c>
      <c r="X430" s="28">
        <f>H430*O430</f>
        <v/>
      </c>
      <c r="Y430" s="28">
        <f>H430*P430</f>
        <v/>
      </c>
      <c r="Z430" s="28">
        <f>H430*Q430</f>
        <v/>
      </c>
      <c r="AA430" s="28">
        <f>SUM(U430:Z430)</f>
        <v/>
      </c>
      <c r="AB430" s="5">
        <f>IF(COUNTIF('02b_DC_Accelerator_Mix'!$A$2:$A$977,G430)&gt;0,"matched","missing_mix")</f>
        <v/>
      </c>
    </row>
    <row r="431">
      <c r="A431" s="5">
        <f>'02a_DC_Capacity_Alloc'!A431</f>
        <v/>
      </c>
      <c r="B431" s="5">
        <f>'02a_DC_Capacity_Alloc'!B431</f>
        <v/>
      </c>
      <c r="C431" s="5">
        <f>'02a_DC_Capacity_Alloc'!C431</f>
        <v/>
      </c>
      <c r="D431" s="5">
        <f>'02a_DC_Capacity_Alloc'!D431</f>
        <v/>
      </c>
      <c r="E431" s="5">
        <f>'02a_DC_Capacity_Alloc'!E431</f>
        <v/>
      </c>
      <c r="F431" s="5">
        <f>'02a_DC_Capacity_Alloc'!F431</f>
        <v/>
      </c>
      <c r="G431" s="5">
        <f>B431&amp;"|"&amp;E431&amp;"|"&amp;D431</f>
        <v/>
      </c>
      <c r="H431" s="28">
        <f>'02a_DC_Capacity_Alloc'!H431*'02a_DC_Capacity_Alloc'!I431*'02a_DC_Capacity_Alloc'!J431</f>
        <v/>
      </c>
      <c r="I431" s="6">
        <f>IFERROR(INDEX('02b_DC_Accelerator_Mix'!$F$2:$F$977,MATCH(G431,'02b_DC_Accelerator_Mix'!$A$2:$A$977,0)),0)</f>
        <v/>
      </c>
      <c r="J431" s="6">
        <f>IFERROR(INDEX('02b_DC_Accelerator_Mix'!$G$2:$G$977,MATCH(G431,'02b_DC_Accelerator_Mix'!$A$2:$A$977,0)),0)</f>
        <v/>
      </c>
      <c r="K431" s="6">
        <f>IFERROR(INDEX('02b_DC_Accelerator_Mix'!$H$2:$H$977,MATCH(G431,'02b_DC_Accelerator_Mix'!$A$2:$A$977,0)),0)</f>
        <v/>
      </c>
      <c r="L431" s="6">
        <f>IFERROR(INDEX('02b_DC_Accelerator_Mix'!$I$2:$I$977,MATCH(G431,'02b_DC_Accelerator_Mix'!$A$2:$A$977,0)),0)</f>
        <v/>
      </c>
      <c r="M431" s="6">
        <f>IFERROR(INDEX('02b_DC_Accelerator_Mix'!$J$2:$J$977,MATCH(G431,'02b_DC_Accelerator_Mix'!$A$2:$A$977,0)),0)</f>
        <v/>
      </c>
      <c r="N431" s="6">
        <f>IFERROR(INDEX('02b_DC_Accelerator_Mix'!$K$2:$K$977,MATCH(G431,'02b_DC_Accelerator_Mix'!$A$2:$A$977,0)),0)</f>
        <v/>
      </c>
      <c r="O431" s="6">
        <f>IFERROR(INDEX('02b_DC_Accelerator_Mix'!$L$2:$L$977,MATCH(G431,'02b_DC_Accelerator_Mix'!$A$2:$A$977,0)),0)</f>
        <v/>
      </c>
      <c r="P431" s="6">
        <f>IFERROR(INDEX('02b_DC_Accelerator_Mix'!$M$2:$M$977,MATCH(G431,'02b_DC_Accelerator_Mix'!$A$2:$A$977,0)),0)</f>
        <v/>
      </c>
      <c r="Q431" s="6">
        <f>IFERROR(INDEX('02b_DC_Accelerator_Mix'!$N$2:$N$977,MATCH(G431,'02b_DC_Accelerator_Mix'!$A$2:$A$977,0)),0)</f>
        <v/>
      </c>
      <c r="R431" s="28">
        <f>H431*I431</f>
        <v/>
      </c>
      <c r="S431" s="28">
        <f>H431*J431</f>
        <v/>
      </c>
      <c r="T431" s="28">
        <f>H431*K431</f>
        <v/>
      </c>
      <c r="U431" s="28">
        <f>H431*L431</f>
        <v/>
      </c>
      <c r="V431" s="28">
        <f>H431*M431</f>
        <v/>
      </c>
      <c r="W431" s="28">
        <f>H431*N431</f>
        <v/>
      </c>
      <c r="X431" s="28">
        <f>H431*O431</f>
        <v/>
      </c>
      <c r="Y431" s="28">
        <f>H431*P431</f>
        <v/>
      </c>
      <c r="Z431" s="28">
        <f>H431*Q431</f>
        <v/>
      </c>
      <c r="AA431" s="28">
        <f>SUM(U431:Z431)</f>
        <v/>
      </c>
      <c r="AB431" s="5">
        <f>IF(COUNTIF('02b_DC_Accelerator_Mix'!$A$2:$A$977,G431)&gt;0,"matched","missing_mix")</f>
        <v/>
      </c>
    </row>
    <row r="432">
      <c r="A432" s="5">
        <f>'02a_DC_Capacity_Alloc'!A432</f>
        <v/>
      </c>
      <c r="B432" s="5">
        <f>'02a_DC_Capacity_Alloc'!B432</f>
        <v/>
      </c>
      <c r="C432" s="5">
        <f>'02a_DC_Capacity_Alloc'!C432</f>
        <v/>
      </c>
      <c r="D432" s="5">
        <f>'02a_DC_Capacity_Alloc'!D432</f>
        <v/>
      </c>
      <c r="E432" s="5">
        <f>'02a_DC_Capacity_Alloc'!E432</f>
        <v/>
      </c>
      <c r="F432" s="5">
        <f>'02a_DC_Capacity_Alloc'!F432</f>
        <v/>
      </c>
      <c r="G432" s="5">
        <f>B432&amp;"|"&amp;E432&amp;"|"&amp;D432</f>
        <v/>
      </c>
      <c r="H432" s="28">
        <f>'02a_DC_Capacity_Alloc'!H432*'02a_DC_Capacity_Alloc'!I432*'02a_DC_Capacity_Alloc'!J432</f>
        <v/>
      </c>
      <c r="I432" s="6">
        <f>IFERROR(INDEX('02b_DC_Accelerator_Mix'!$F$2:$F$977,MATCH(G432,'02b_DC_Accelerator_Mix'!$A$2:$A$977,0)),0)</f>
        <v/>
      </c>
      <c r="J432" s="6">
        <f>IFERROR(INDEX('02b_DC_Accelerator_Mix'!$G$2:$G$977,MATCH(G432,'02b_DC_Accelerator_Mix'!$A$2:$A$977,0)),0)</f>
        <v/>
      </c>
      <c r="K432" s="6">
        <f>IFERROR(INDEX('02b_DC_Accelerator_Mix'!$H$2:$H$977,MATCH(G432,'02b_DC_Accelerator_Mix'!$A$2:$A$977,0)),0)</f>
        <v/>
      </c>
      <c r="L432" s="6">
        <f>IFERROR(INDEX('02b_DC_Accelerator_Mix'!$I$2:$I$977,MATCH(G432,'02b_DC_Accelerator_Mix'!$A$2:$A$977,0)),0)</f>
        <v/>
      </c>
      <c r="M432" s="6">
        <f>IFERROR(INDEX('02b_DC_Accelerator_Mix'!$J$2:$J$977,MATCH(G432,'02b_DC_Accelerator_Mix'!$A$2:$A$977,0)),0)</f>
        <v/>
      </c>
      <c r="N432" s="6">
        <f>IFERROR(INDEX('02b_DC_Accelerator_Mix'!$K$2:$K$977,MATCH(G432,'02b_DC_Accelerator_Mix'!$A$2:$A$977,0)),0)</f>
        <v/>
      </c>
      <c r="O432" s="6">
        <f>IFERROR(INDEX('02b_DC_Accelerator_Mix'!$L$2:$L$977,MATCH(G432,'02b_DC_Accelerator_Mix'!$A$2:$A$977,0)),0)</f>
        <v/>
      </c>
      <c r="P432" s="6">
        <f>IFERROR(INDEX('02b_DC_Accelerator_Mix'!$M$2:$M$977,MATCH(G432,'02b_DC_Accelerator_Mix'!$A$2:$A$977,0)),0)</f>
        <v/>
      </c>
      <c r="Q432" s="6">
        <f>IFERROR(INDEX('02b_DC_Accelerator_Mix'!$N$2:$N$977,MATCH(G432,'02b_DC_Accelerator_Mix'!$A$2:$A$977,0)),0)</f>
        <v/>
      </c>
      <c r="R432" s="28">
        <f>H432*I432</f>
        <v/>
      </c>
      <c r="S432" s="28">
        <f>H432*J432</f>
        <v/>
      </c>
      <c r="T432" s="28">
        <f>H432*K432</f>
        <v/>
      </c>
      <c r="U432" s="28">
        <f>H432*L432</f>
        <v/>
      </c>
      <c r="V432" s="28">
        <f>H432*M432</f>
        <v/>
      </c>
      <c r="W432" s="28">
        <f>H432*N432</f>
        <v/>
      </c>
      <c r="X432" s="28">
        <f>H432*O432</f>
        <v/>
      </c>
      <c r="Y432" s="28">
        <f>H432*P432</f>
        <v/>
      </c>
      <c r="Z432" s="28">
        <f>H432*Q432</f>
        <v/>
      </c>
      <c r="AA432" s="28">
        <f>SUM(U432:Z432)</f>
        <v/>
      </c>
      <c r="AB432" s="5">
        <f>IF(COUNTIF('02b_DC_Accelerator_Mix'!$A$2:$A$977,G432)&gt;0,"matched","missing_mix")</f>
        <v/>
      </c>
    </row>
    <row r="433">
      <c r="A433" s="5">
        <f>'02a_DC_Capacity_Alloc'!A433</f>
        <v/>
      </c>
      <c r="B433" s="5">
        <f>'02a_DC_Capacity_Alloc'!B433</f>
        <v/>
      </c>
      <c r="C433" s="5">
        <f>'02a_DC_Capacity_Alloc'!C433</f>
        <v/>
      </c>
      <c r="D433" s="5">
        <f>'02a_DC_Capacity_Alloc'!D433</f>
        <v/>
      </c>
      <c r="E433" s="5">
        <f>'02a_DC_Capacity_Alloc'!E433</f>
        <v/>
      </c>
      <c r="F433" s="5">
        <f>'02a_DC_Capacity_Alloc'!F433</f>
        <v/>
      </c>
      <c r="G433" s="5">
        <f>B433&amp;"|"&amp;E433&amp;"|"&amp;D433</f>
        <v/>
      </c>
      <c r="H433" s="28">
        <f>'02a_DC_Capacity_Alloc'!H433*'02a_DC_Capacity_Alloc'!I433*'02a_DC_Capacity_Alloc'!J433</f>
        <v/>
      </c>
      <c r="I433" s="6">
        <f>IFERROR(INDEX('02b_DC_Accelerator_Mix'!$F$2:$F$977,MATCH(G433,'02b_DC_Accelerator_Mix'!$A$2:$A$977,0)),0)</f>
        <v/>
      </c>
      <c r="J433" s="6">
        <f>IFERROR(INDEX('02b_DC_Accelerator_Mix'!$G$2:$G$977,MATCH(G433,'02b_DC_Accelerator_Mix'!$A$2:$A$977,0)),0)</f>
        <v/>
      </c>
      <c r="K433" s="6">
        <f>IFERROR(INDEX('02b_DC_Accelerator_Mix'!$H$2:$H$977,MATCH(G433,'02b_DC_Accelerator_Mix'!$A$2:$A$977,0)),0)</f>
        <v/>
      </c>
      <c r="L433" s="6">
        <f>IFERROR(INDEX('02b_DC_Accelerator_Mix'!$I$2:$I$977,MATCH(G433,'02b_DC_Accelerator_Mix'!$A$2:$A$977,0)),0)</f>
        <v/>
      </c>
      <c r="M433" s="6">
        <f>IFERROR(INDEX('02b_DC_Accelerator_Mix'!$J$2:$J$977,MATCH(G433,'02b_DC_Accelerator_Mix'!$A$2:$A$977,0)),0)</f>
        <v/>
      </c>
      <c r="N433" s="6">
        <f>IFERROR(INDEX('02b_DC_Accelerator_Mix'!$K$2:$K$977,MATCH(G433,'02b_DC_Accelerator_Mix'!$A$2:$A$977,0)),0)</f>
        <v/>
      </c>
      <c r="O433" s="6">
        <f>IFERROR(INDEX('02b_DC_Accelerator_Mix'!$L$2:$L$977,MATCH(G433,'02b_DC_Accelerator_Mix'!$A$2:$A$977,0)),0)</f>
        <v/>
      </c>
      <c r="P433" s="6">
        <f>IFERROR(INDEX('02b_DC_Accelerator_Mix'!$M$2:$M$977,MATCH(G433,'02b_DC_Accelerator_Mix'!$A$2:$A$977,0)),0)</f>
        <v/>
      </c>
      <c r="Q433" s="6">
        <f>IFERROR(INDEX('02b_DC_Accelerator_Mix'!$N$2:$N$977,MATCH(G433,'02b_DC_Accelerator_Mix'!$A$2:$A$977,0)),0)</f>
        <v/>
      </c>
      <c r="R433" s="28">
        <f>H433*I433</f>
        <v/>
      </c>
      <c r="S433" s="28">
        <f>H433*J433</f>
        <v/>
      </c>
      <c r="T433" s="28">
        <f>H433*K433</f>
        <v/>
      </c>
      <c r="U433" s="28">
        <f>H433*L433</f>
        <v/>
      </c>
      <c r="V433" s="28">
        <f>H433*M433</f>
        <v/>
      </c>
      <c r="W433" s="28">
        <f>H433*N433</f>
        <v/>
      </c>
      <c r="X433" s="28">
        <f>H433*O433</f>
        <v/>
      </c>
      <c r="Y433" s="28">
        <f>H433*P433</f>
        <v/>
      </c>
      <c r="Z433" s="28">
        <f>H433*Q433</f>
        <v/>
      </c>
      <c r="AA433" s="28">
        <f>SUM(U433:Z433)</f>
        <v/>
      </c>
      <c r="AB433" s="5">
        <f>IF(COUNTIF('02b_DC_Accelerator_Mix'!$A$2:$A$977,G433)&gt;0,"matched","missing_mix")</f>
        <v/>
      </c>
    </row>
    <row r="434">
      <c r="A434" s="5">
        <f>'02a_DC_Capacity_Alloc'!A434</f>
        <v/>
      </c>
      <c r="B434" s="5">
        <f>'02a_DC_Capacity_Alloc'!B434</f>
        <v/>
      </c>
      <c r="C434" s="5">
        <f>'02a_DC_Capacity_Alloc'!C434</f>
        <v/>
      </c>
      <c r="D434" s="5">
        <f>'02a_DC_Capacity_Alloc'!D434</f>
        <v/>
      </c>
      <c r="E434" s="5">
        <f>'02a_DC_Capacity_Alloc'!E434</f>
        <v/>
      </c>
      <c r="F434" s="5">
        <f>'02a_DC_Capacity_Alloc'!F434</f>
        <v/>
      </c>
      <c r="G434" s="5">
        <f>B434&amp;"|"&amp;E434&amp;"|"&amp;D434</f>
        <v/>
      </c>
      <c r="H434" s="28">
        <f>'02a_DC_Capacity_Alloc'!H434*'02a_DC_Capacity_Alloc'!I434*'02a_DC_Capacity_Alloc'!J434</f>
        <v/>
      </c>
      <c r="I434" s="6">
        <f>IFERROR(INDEX('02b_DC_Accelerator_Mix'!$F$2:$F$977,MATCH(G434,'02b_DC_Accelerator_Mix'!$A$2:$A$977,0)),0)</f>
        <v/>
      </c>
      <c r="J434" s="6">
        <f>IFERROR(INDEX('02b_DC_Accelerator_Mix'!$G$2:$G$977,MATCH(G434,'02b_DC_Accelerator_Mix'!$A$2:$A$977,0)),0)</f>
        <v/>
      </c>
      <c r="K434" s="6">
        <f>IFERROR(INDEX('02b_DC_Accelerator_Mix'!$H$2:$H$977,MATCH(G434,'02b_DC_Accelerator_Mix'!$A$2:$A$977,0)),0)</f>
        <v/>
      </c>
      <c r="L434" s="6">
        <f>IFERROR(INDEX('02b_DC_Accelerator_Mix'!$I$2:$I$977,MATCH(G434,'02b_DC_Accelerator_Mix'!$A$2:$A$977,0)),0)</f>
        <v/>
      </c>
      <c r="M434" s="6">
        <f>IFERROR(INDEX('02b_DC_Accelerator_Mix'!$J$2:$J$977,MATCH(G434,'02b_DC_Accelerator_Mix'!$A$2:$A$977,0)),0)</f>
        <v/>
      </c>
      <c r="N434" s="6">
        <f>IFERROR(INDEX('02b_DC_Accelerator_Mix'!$K$2:$K$977,MATCH(G434,'02b_DC_Accelerator_Mix'!$A$2:$A$977,0)),0)</f>
        <v/>
      </c>
      <c r="O434" s="6">
        <f>IFERROR(INDEX('02b_DC_Accelerator_Mix'!$L$2:$L$977,MATCH(G434,'02b_DC_Accelerator_Mix'!$A$2:$A$977,0)),0)</f>
        <v/>
      </c>
      <c r="P434" s="6">
        <f>IFERROR(INDEX('02b_DC_Accelerator_Mix'!$M$2:$M$977,MATCH(G434,'02b_DC_Accelerator_Mix'!$A$2:$A$977,0)),0)</f>
        <v/>
      </c>
      <c r="Q434" s="6">
        <f>IFERROR(INDEX('02b_DC_Accelerator_Mix'!$N$2:$N$977,MATCH(G434,'02b_DC_Accelerator_Mix'!$A$2:$A$977,0)),0)</f>
        <v/>
      </c>
      <c r="R434" s="28">
        <f>H434*I434</f>
        <v/>
      </c>
      <c r="S434" s="28">
        <f>H434*J434</f>
        <v/>
      </c>
      <c r="T434" s="28">
        <f>H434*K434</f>
        <v/>
      </c>
      <c r="U434" s="28">
        <f>H434*L434</f>
        <v/>
      </c>
      <c r="V434" s="28">
        <f>H434*M434</f>
        <v/>
      </c>
      <c r="W434" s="28">
        <f>H434*N434</f>
        <v/>
      </c>
      <c r="X434" s="28">
        <f>H434*O434</f>
        <v/>
      </c>
      <c r="Y434" s="28">
        <f>H434*P434</f>
        <v/>
      </c>
      <c r="Z434" s="28">
        <f>H434*Q434</f>
        <v/>
      </c>
      <c r="AA434" s="28">
        <f>SUM(U434:Z434)</f>
        <v/>
      </c>
      <c r="AB434" s="5">
        <f>IF(COUNTIF('02b_DC_Accelerator_Mix'!$A$2:$A$977,G434)&gt;0,"matched","missing_mix")</f>
        <v/>
      </c>
    </row>
    <row r="435">
      <c r="A435" s="5">
        <f>'02a_DC_Capacity_Alloc'!A435</f>
        <v/>
      </c>
      <c r="B435" s="5">
        <f>'02a_DC_Capacity_Alloc'!B435</f>
        <v/>
      </c>
      <c r="C435" s="5">
        <f>'02a_DC_Capacity_Alloc'!C435</f>
        <v/>
      </c>
      <c r="D435" s="5">
        <f>'02a_DC_Capacity_Alloc'!D435</f>
        <v/>
      </c>
      <c r="E435" s="5">
        <f>'02a_DC_Capacity_Alloc'!E435</f>
        <v/>
      </c>
      <c r="F435" s="5">
        <f>'02a_DC_Capacity_Alloc'!F435</f>
        <v/>
      </c>
      <c r="G435" s="5">
        <f>B435&amp;"|"&amp;E435&amp;"|"&amp;D435</f>
        <v/>
      </c>
      <c r="H435" s="28">
        <f>'02a_DC_Capacity_Alloc'!H435*'02a_DC_Capacity_Alloc'!I435*'02a_DC_Capacity_Alloc'!J435</f>
        <v/>
      </c>
      <c r="I435" s="6">
        <f>IFERROR(INDEX('02b_DC_Accelerator_Mix'!$F$2:$F$977,MATCH(G435,'02b_DC_Accelerator_Mix'!$A$2:$A$977,0)),0)</f>
        <v/>
      </c>
      <c r="J435" s="6">
        <f>IFERROR(INDEX('02b_DC_Accelerator_Mix'!$G$2:$G$977,MATCH(G435,'02b_DC_Accelerator_Mix'!$A$2:$A$977,0)),0)</f>
        <v/>
      </c>
      <c r="K435" s="6">
        <f>IFERROR(INDEX('02b_DC_Accelerator_Mix'!$H$2:$H$977,MATCH(G435,'02b_DC_Accelerator_Mix'!$A$2:$A$977,0)),0)</f>
        <v/>
      </c>
      <c r="L435" s="6">
        <f>IFERROR(INDEX('02b_DC_Accelerator_Mix'!$I$2:$I$977,MATCH(G435,'02b_DC_Accelerator_Mix'!$A$2:$A$977,0)),0)</f>
        <v/>
      </c>
      <c r="M435" s="6">
        <f>IFERROR(INDEX('02b_DC_Accelerator_Mix'!$J$2:$J$977,MATCH(G435,'02b_DC_Accelerator_Mix'!$A$2:$A$977,0)),0)</f>
        <v/>
      </c>
      <c r="N435" s="6">
        <f>IFERROR(INDEX('02b_DC_Accelerator_Mix'!$K$2:$K$977,MATCH(G435,'02b_DC_Accelerator_Mix'!$A$2:$A$977,0)),0)</f>
        <v/>
      </c>
      <c r="O435" s="6">
        <f>IFERROR(INDEX('02b_DC_Accelerator_Mix'!$L$2:$L$977,MATCH(G435,'02b_DC_Accelerator_Mix'!$A$2:$A$977,0)),0)</f>
        <v/>
      </c>
      <c r="P435" s="6">
        <f>IFERROR(INDEX('02b_DC_Accelerator_Mix'!$M$2:$M$977,MATCH(G435,'02b_DC_Accelerator_Mix'!$A$2:$A$977,0)),0)</f>
        <v/>
      </c>
      <c r="Q435" s="6">
        <f>IFERROR(INDEX('02b_DC_Accelerator_Mix'!$N$2:$N$977,MATCH(G435,'02b_DC_Accelerator_Mix'!$A$2:$A$977,0)),0)</f>
        <v/>
      </c>
      <c r="R435" s="28">
        <f>H435*I435</f>
        <v/>
      </c>
      <c r="S435" s="28">
        <f>H435*J435</f>
        <v/>
      </c>
      <c r="T435" s="28">
        <f>H435*K435</f>
        <v/>
      </c>
      <c r="U435" s="28">
        <f>H435*L435</f>
        <v/>
      </c>
      <c r="V435" s="28">
        <f>H435*M435</f>
        <v/>
      </c>
      <c r="W435" s="28">
        <f>H435*N435</f>
        <v/>
      </c>
      <c r="X435" s="28">
        <f>H435*O435</f>
        <v/>
      </c>
      <c r="Y435" s="28">
        <f>H435*P435</f>
        <v/>
      </c>
      <c r="Z435" s="28">
        <f>H435*Q435</f>
        <v/>
      </c>
      <c r="AA435" s="28">
        <f>SUM(U435:Z435)</f>
        <v/>
      </c>
      <c r="AB435" s="5">
        <f>IF(COUNTIF('02b_DC_Accelerator_Mix'!$A$2:$A$977,G435)&gt;0,"matched","missing_mix")</f>
        <v/>
      </c>
    </row>
    <row r="436">
      <c r="A436" s="5">
        <f>'02a_DC_Capacity_Alloc'!A436</f>
        <v/>
      </c>
      <c r="B436" s="5">
        <f>'02a_DC_Capacity_Alloc'!B436</f>
        <v/>
      </c>
      <c r="C436" s="5">
        <f>'02a_DC_Capacity_Alloc'!C436</f>
        <v/>
      </c>
      <c r="D436" s="5">
        <f>'02a_DC_Capacity_Alloc'!D436</f>
        <v/>
      </c>
      <c r="E436" s="5">
        <f>'02a_DC_Capacity_Alloc'!E436</f>
        <v/>
      </c>
      <c r="F436" s="5">
        <f>'02a_DC_Capacity_Alloc'!F436</f>
        <v/>
      </c>
      <c r="G436" s="5">
        <f>B436&amp;"|"&amp;E436&amp;"|"&amp;D436</f>
        <v/>
      </c>
      <c r="H436" s="28">
        <f>'02a_DC_Capacity_Alloc'!H436*'02a_DC_Capacity_Alloc'!I436*'02a_DC_Capacity_Alloc'!J436</f>
        <v/>
      </c>
      <c r="I436" s="6">
        <f>IFERROR(INDEX('02b_DC_Accelerator_Mix'!$F$2:$F$977,MATCH(G436,'02b_DC_Accelerator_Mix'!$A$2:$A$977,0)),0)</f>
        <v/>
      </c>
      <c r="J436" s="6">
        <f>IFERROR(INDEX('02b_DC_Accelerator_Mix'!$G$2:$G$977,MATCH(G436,'02b_DC_Accelerator_Mix'!$A$2:$A$977,0)),0)</f>
        <v/>
      </c>
      <c r="K436" s="6">
        <f>IFERROR(INDEX('02b_DC_Accelerator_Mix'!$H$2:$H$977,MATCH(G436,'02b_DC_Accelerator_Mix'!$A$2:$A$977,0)),0)</f>
        <v/>
      </c>
      <c r="L436" s="6">
        <f>IFERROR(INDEX('02b_DC_Accelerator_Mix'!$I$2:$I$977,MATCH(G436,'02b_DC_Accelerator_Mix'!$A$2:$A$977,0)),0)</f>
        <v/>
      </c>
      <c r="M436" s="6">
        <f>IFERROR(INDEX('02b_DC_Accelerator_Mix'!$J$2:$J$977,MATCH(G436,'02b_DC_Accelerator_Mix'!$A$2:$A$977,0)),0)</f>
        <v/>
      </c>
      <c r="N436" s="6">
        <f>IFERROR(INDEX('02b_DC_Accelerator_Mix'!$K$2:$K$977,MATCH(G436,'02b_DC_Accelerator_Mix'!$A$2:$A$977,0)),0)</f>
        <v/>
      </c>
      <c r="O436" s="6">
        <f>IFERROR(INDEX('02b_DC_Accelerator_Mix'!$L$2:$L$977,MATCH(G436,'02b_DC_Accelerator_Mix'!$A$2:$A$977,0)),0)</f>
        <v/>
      </c>
      <c r="P436" s="6">
        <f>IFERROR(INDEX('02b_DC_Accelerator_Mix'!$M$2:$M$977,MATCH(G436,'02b_DC_Accelerator_Mix'!$A$2:$A$977,0)),0)</f>
        <v/>
      </c>
      <c r="Q436" s="6">
        <f>IFERROR(INDEX('02b_DC_Accelerator_Mix'!$N$2:$N$977,MATCH(G436,'02b_DC_Accelerator_Mix'!$A$2:$A$977,0)),0)</f>
        <v/>
      </c>
      <c r="R436" s="28">
        <f>H436*I436</f>
        <v/>
      </c>
      <c r="S436" s="28">
        <f>H436*J436</f>
        <v/>
      </c>
      <c r="T436" s="28">
        <f>H436*K436</f>
        <v/>
      </c>
      <c r="U436" s="28">
        <f>H436*L436</f>
        <v/>
      </c>
      <c r="V436" s="28">
        <f>H436*M436</f>
        <v/>
      </c>
      <c r="W436" s="28">
        <f>H436*N436</f>
        <v/>
      </c>
      <c r="X436" s="28">
        <f>H436*O436</f>
        <v/>
      </c>
      <c r="Y436" s="28">
        <f>H436*P436</f>
        <v/>
      </c>
      <c r="Z436" s="28">
        <f>H436*Q436</f>
        <v/>
      </c>
      <c r="AA436" s="28">
        <f>SUM(U436:Z436)</f>
        <v/>
      </c>
      <c r="AB436" s="5">
        <f>IF(COUNTIF('02b_DC_Accelerator_Mix'!$A$2:$A$977,G436)&gt;0,"matched","missing_mix")</f>
        <v/>
      </c>
    </row>
    <row r="437">
      <c r="A437" s="5">
        <f>'02a_DC_Capacity_Alloc'!A437</f>
        <v/>
      </c>
      <c r="B437" s="5">
        <f>'02a_DC_Capacity_Alloc'!B437</f>
        <v/>
      </c>
      <c r="C437" s="5">
        <f>'02a_DC_Capacity_Alloc'!C437</f>
        <v/>
      </c>
      <c r="D437" s="5">
        <f>'02a_DC_Capacity_Alloc'!D437</f>
        <v/>
      </c>
      <c r="E437" s="5">
        <f>'02a_DC_Capacity_Alloc'!E437</f>
        <v/>
      </c>
      <c r="F437" s="5">
        <f>'02a_DC_Capacity_Alloc'!F437</f>
        <v/>
      </c>
      <c r="G437" s="5">
        <f>B437&amp;"|"&amp;E437&amp;"|"&amp;D437</f>
        <v/>
      </c>
      <c r="H437" s="28">
        <f>'02a_DC_Capacity_Alloc'!H437*'02a_DC_Capacity_Alloc'!I437*'02a_DC_Capacity_Alloc'!J437</f>
        <v/>
      </c>
      <c r="I437" s="6">
        <f>IFERROR(INDEX('02b_DC_Accelerator_Mix'!$F$2:$F$977,MATCH(G437,'02b_DC_Accelerator_Mix'!$A$2:$A$977,0)),0)</f>
        <v/>
      </c>
      <c r="J437" s="6">
        <f>IFERROR(INDEX('02b_DC_Accelerator_Mix'!$G$2:$G$977,MATCH(G437,'02b_DC_Accelerator_Mix'!$A$2:$A$977,0)),0)</f>
        <v/>
      </c>
      <c r="K437" s="6">
        <f>IFERROR(INDEX('02b_DC_Accelerator_Mix'!$H$2:$H$977,MATCH(G437,'02b_DC_Accelerator_Mix'!$A$2:$A$977,0)),0)</f>
        <v/>
      </c>
      <c r="L437" s="6">
        <f>IFERROR(INDEX('02b_DC_Accelerator_Mix'!$I$2:$I$977,MATCH(G437,'02b_DC_Accelerator_Mix'!$A$2:$A$977,0)),0)</f>
        <v/>
      </c>
      <c r="M437" s="6">
        <f>IFERROR(INDEX('02b_DC_Accelerator_Mix'!$J$2:$J$977,MATCH(G437,'02b_DC_Accelerator_Mix'!$A$2:$A$977,0)),0)</f>
        <v/>
      </c>
      <c r="N437" s="6">
        <f>IFERROR(INDEX('02b_DC_Accelerator_Mix'!$K$2:$K$977,MATCH(G437,'02b_DC_Accelerator_Mix'!$A$2:$A$977,0)),0)</f>
        <v/>
      </c>
      <c r="O437" s="6">
        <f>IFERROR(INDEX('02b_DC_Accelerator_Mix'!$L$2:$L$977,MATCH(G437,'02b_DC_Accelerator_Mix'!$A$2:$A$977,0)),0)</f>
        <v/>
      </c>
      <c r="P437" s="6">
        <f>IFERROR(INDEX('02b_DC_Accelerator_Mix'!$M$2:$M$977,MATCH(G437,'02b_DC_Accelerator_Mix'!$A$2:$A$977,0)),0)</f>
        <v/>
      </c>
      <c r="Q437" s="6">
        <f>IFERROR(INDEX('02b_DC_Accelerator_Mix'!$N$2:$N$977,MATCH(G437,'02b_DC_Accelerator_Mix'!$A$2:$A$977,0)),0)</f>
        <v/>
      </c>
      <c r="R437" s="28">
        <f>H437*I437</f>
        <v/>
      </c>
      <c r="S437" s="28">
        <f>H437*J437</f>
        <v/>
      </c>
      <c r="T437" s="28">
        <f>H437*K437</f>
        <v/>
      </c>
      <c r="U437" s="28">
        <f>H437*L437</f>
        <v/>
      </c>
      <c r="V437" s="28">
        <f>H437*M437</f>
        <v/>
      </c>
      <c r="W437" s="28">
        <f>H437*N437</f>
        <v/>
      </c>
      <c r="X437" s="28">
        <f>H437*O437</f>
        <v/>
      </c>
      <c r="Y437" s="28">
        <f>H437*P437</f>
        <v/>
      </c>
      <c r="Z437" s="28">
        <f>H437*Q437</f>
        <v/>
      </c>
      <c r="AA437" s="28">
        <f>SUM(U437:Z437)</f>
        <v/>
      </c>
      <c r="AB437" s="5">
        <f>IF(COUNTIF('02b_DC_Accelerator_Mix'!$A$2:$A$977,G437)&gt;0,"matched","missing_mix")</f>
        <v/>
      </c>
    </row>
    <row r="438">
      <c r="A438" s="5">
        <f>'02a_DC_Capacity_Alloc'!A438</f>
        <v/>
      </c>
      <c r="B438" s="5">
        <f>'02a_DC_Capacity_Alloc'!B438</f>
        <v/>
      </c>
      <c r="C438" s="5">
        <f>'02a_DC_Capacity_Alloc'!C438</f>
        <v/>
      </c>
      <c r="D438" s="5">
        <f>'02a_DC_Capacity_Alloc'!D438</f>
        <v/>
      </c>
      <c r="E438" s="5">
        <f>'02a_DC_Capacity_Alloc'!E438</f>
        <v/>
      </c>
      <c r="F438" s="5">
        <f>'02a_DC_Capacity_Alloc'!F438</f>
        <v/>
      </c>
      <c r="G438" s="5">
        <f>B438&amp;"|"&amp;E438&amp;"|"&amp;D438</f>
        <v/>
      </c>
      <c r="H438" s="28">
        <f>'02a_DC_Capacity_Alloc'!H438*'02a_DC_Capacity_Alloc'!I438*'02a_DC_Capacity_Alloc'!J438</f>
        <v/>
      </c>
      <c r="I438" s="6">
        <f>IFERROR(INDEX('02b_DC_Accelerator_Mix'!$F$2:$F$977,MATCH(G438,'02b_DC_Accelerator_Mix'!$A$2:$A$977,0)),0)</f>
        <v/>
      </c>
      <c r="J438" s="6">
        <f>IFERROR(INDEX('02b_DC_Accelerator_Mix'!$G$2:$G$977,MATCH(G438,'02b_DC_Accelerator_Mix'!$A$2:$A$977,0)),0)</f>
        <v/>
      </c>
      <c r="K438" s="6">
        <f>IFERROR(INDEX('02b_DC_Accelerator_Mix'!$H$2:$H$977,MATCH(G438,'02b_DC_Accelerator_Mix'!$A$2:$A$977,0)),0)</f>
        <v/>
      </c>
      <c r="L438" s="6">
        <f>IFERROR(INDEX('02b_DC_Accelerator_Mix'!$I$2:$I$977,MATCH(G438,'02b_DC_Accelerator_Mix'!$A$2:$A$977,0)),0)</f>
        <v/>
      </c>
      <c r="M438" s="6">
        <f>IFERROR(INDEX('02b_DC_Accelerator_Mix'!$J$2:$J$977,MATCH(G438,'02b_DC_Accelerator_Mix'!$A$2:$A$977,0)),0)</f>
        <v/>
      </c>
      <c r="N438" s="6">
        <f>IFERROR(INDEX('02b_DC_Accelerator_Mix'!$K$2:$K$977,MATCH(G438,'02b_DC_Accelerator_Mix'!$A$2:$A$977,0)),0)</f>
        <v/>
      </c>
      <c r="O438" s="6">
        <f>IFERROR(INDEX('02b_DC_Accelerator_Mix'!$L$2:$L$977,MATCH(G438,'02b_DC_Accelerator_Mix'!$A$2:$A$977,0)),0)</f>
        <v/>
      </c>
      <c r="P438" s="6">
        <f>IFERROR(INDEX('02b_DC_Accelerator_Mix'!$M$2:$M$977,MATCH(G438,'02b_DC_Accelerator_Mix'!$A$2:$A$977,0)),0)</f>
        <v/>
      </c>
      <c r="Q438" s="6">
        <f>IFERROR(INDEX('02b_DC_Accelerator_Mix'!$N$2:$N$977,MATCH(G438,'02b_DC_Accelerator_Mix'!$A$2:$A$977,0)),0)</f>
        <v/>
      </c>
      <c r="R438" s="28">
        <f>H438*I438</f>
        <v/>
      </c>
      <c r="S438" s="28">
        <f>H438*J438</f>
        <v/>
      </c>
      <c r="T438" s="28">
        <f>H438*K438</f>
        <v/>
      </c>
      <c r="U438" s="28">
        <f>H438*L438</f>
        <v/>
      </c>
      <c r="V438" s="28">
        <f>H438*M438</f>
        <v/>
      </c>
      <c r="W438" s="28">
        <f>H438*N438</f>
        <v/>
      </c>
      <c r="X438" s="28">
        <f>H438*O438</f>
        <v/>
      </c>
      <c r="Y438" s="28">
        <f>H438*P438</f>
        <v/>
      </c>
      <c r="Z438" s="28">
        <f>H438*Q438</f>
        <v/>
      </c>
      <c r="AA438" s="28">
        <f>SUM(U438:Z438)</f>
        <v/>
      </c>
      <c r="AB438" s="5">
        <f>IF(COUNTIF('02b_DC_Accelerator_Mix'!$A$2:$A$977,G438)&gt;0,"matched","missing_mix")</f>
        <v/>
      </c>
    </row>
    <row r="439">
      <c r="A439" s="5">
        <f>'02a_DC_Capacity_Alloc'!A439</f>
        <v/>
      </c>
      <c r="B439" s="5">
        <f>'02a_DC_Capacity_Alloc'!B439</f>
        <v/>
      </c>
      <c r="C439" s="5">
        <f>'02a_DC_Capacity_Alloc'!C439</f>
        <v/>
      </c>
      <c r="D439" s="5">
        <f>'02a_DC_Capacity_Alloc'!D439</f>
        <v/>
      </c>
      <c r="E439" s="5">
        <f>'02a_DC_Capacity_Alloc'!E439</f>
        <v/>
      </c>
      <c r="F439" s="5">
        <f>'02a_DC_Capacity_Alloc'!F439</f>
        <v/>
      </c>
      <c r="G439" s="5">
        <f>B439&amp;"|"&amp;E439&amp;"|"&amp;D439</f>
        <v/>
      </c>
      <c r="H439" s="28">
        <f>'02a_DC_Capacity_Alloc'!H439*'02a_DC_Capacity_Alloc'!I439*'02a_DC_Capacity_Alloc'!J439</f>
        <v/>
      </c>
      <c r="I439" s="6">
        <f>IFERROR(INDEX('02b_DC_Accelerator_Mix'!$F$2:$F$977,MATCH(G439,'02b_DC_Accelerator_Mix'!$A$2:$A$977,0)),0)</f>
        <v/>
      </c>
      <c r="J439" s="6">
        <f>IFERROR(INDEX('02b_DC_Accelerator_Mix'!$G$2:$G$977,MATCH(G439,'02b_DC_Accelerator_Mix'!$A$2:$A$977,0)),0)</f>
        <v/>
      </c>
      <c r="K439" s="6">
        <f>IFERROR(INDEX('02b_DC_Accelerator_Mix'!$H$2:$H$977,MATCH(G439,'02b_DC_Accelerator_Mix'!$A$2:$A$977,0)),0)</f>
        <v/>
      </c>
      <c r="L439" s="6">
        <f>IFERROR(INDEX('02b_DC_Accelerator_Mix'!$I$2:$I$977,MATCH(G439,'02b_DC_Accelerator_Mix'!$A$2:$A$977,0)),0)</f>
        <v/>
      </c>
      <c r="M439" s="6">
        <f>IFERROR(INDEX('02b_DC_Accelerator_Mix'!$J$2:$J$977,MATCH(G439,'02b_DC_Accelerator_Mix'!$A$2:$A$977,0)),0)</f>
        <v/>
      </c>
      <c r="N439" s="6">
        <f>IFERROR(INDEX('02b_DC_Accelerator_Mix'!$K$2:$K$977,MATCH(G439,'02b_DC_Accelerator_Mix'!$A$2:$A$977,0)),0)</f>
        <v/>
      </c>
      <c r="O439" s="6">
        <f>IFERROR(INDEX('02b_DC_Accelerator_Mix'!$L$2:$L$977,MATCH(G439,'02b_DC_Accelerator_Mix'!$A$2:$A$977,0)),0)</f>
        <v/>
      </c>
      <c r="P439" s="6">
        <f>IFERROR(INDEX('02b_DC_Accelerator_Mix'!$M$2:$M$977,MATCH(G439,'02b_DC_Accelerator_Mix'!$A$2:$A$977,0)),0)</f>
        <v/>
      </c>
      <c r="Q439" s="6">
        <f>IFERROR(INDEX('02b_DC_Accelerator_Mix'!$N$2:$N$977,MATCH(G439,'02b_DC_Accelerator_Mix'!$A$2:$A$977,0)),0)</f>
        <v/>
      </c>
      <c r="R439" s="28">
        <f>H439*I439</f>
        <v/>
      </c>
      <c r="S439" s="28">
        <f>H439*J439</f>
        <v/>
      </c>
      <c r="T439" s="28">
        <f>H439*K439</f>
        <v/>
      </c>
      <c r="U439" s="28">
        <f>H439*L439</f>
        <v/>
      </c>
      <c r="V439" s="28">
        <f>H439*M439</f>
        <v/>
      </c>
      <c r="W439" s="28">
        <f>H439*N439</f>
        <v/>
      </c>
      <c r="X439" s="28">
        <f>H439*O439</f>
        <v/>
      </c>
      <c r="Y439" s="28">
        <f>H439*P439</f>
        <v/>
      </c>
      <c r="Z439" s="28">
        <f>H439*Q439</f>
        <v/>
      </c>
      <c r="AA439" s="28">
        <f>SUM(U439:Z439)</f>
        <v/>
      </c>
      <c r="AB439" s="5">
        <f>IF(COUNTIF('02b_DC_Accelerator_Mix'!$A$2:$A$977,G439)&gt;0,"matched","missing_mix")</f>
        <v/>
      </c>
    </row>
    <row r="440">
      <c r="A440" s="5">
        <f>'02a_DC_Capacity_Alloc'!A440</f>
        <v/>
      </c>
      <c r="B440" s="5">
        <f>'02a_DC_Capacity_Alloc'!B440</f>
        <v/>
      </c>
      <c r="C440" s="5">
        <f>'02a_DC_Capacity_Alloc'!C440</f>
        <v/>
      </c>
      <c r="D440" s="5">
        <f>'02a_DC_Capacity_Alloc'!D440</f>
        <v/>
      </c>
      <c r="E440" s="5">
        <f>'02a_DC_Capacity_Alloc'!E440</f>
        <v/>
      </c>
      <c r="F440" s="5">
        <f>'02a_DC_Capacity_Alloc'!F440</f>
        <v/>
      </c>
      <c r="G440" s="5">
        <f>B440&amp;"|"&amp;E440&amp;"|"&amp;D440</f>
        <v/>
      </c>
      <c r="H440" s="28">
        <f>'02a_DC_Capacity_Alloc'!H440*'02a_DC_Capacity_Alloc'!I440*'02a_DC_Capacity_Alloc'!J440</f>
        <v/>
      </c>
      <c r="I440" s="6">
        <f>IFERROR(INDEX('02b_DC_Accelerator_Mix'!$F$2:$F$977,MATCH(G440,'02b_DC_Accelerator_Mix'!$A$2:$A$977,0)),0)</f>
        <v/>
      </c>
      <c r="J440" s="6">
        <f>IFERROR(INDEX('02b_DC_Accelerator_Mix'!$G$2:$G$977,MATCH(G440,'02b_DC_Accelerator_Mix'!$A$2:$A$977,0)),0)</f>
        <v/>
      </c>
      <c r="K440" s="6">
        <f>IFERROR(INDEX('02b_DC_Accelerator_Mix'!$H$2:$H$977,MATCH(G440,'02b_DC_Accelerator_Mix'!$A$2:$A$977,0)),0)</f>
        <v/>
      </c>
      <c r="L440" s="6">
        <f>IFERROR(INDEX('02b_DC_Accelerator_Mix'!$I$2:$I$977,MATCH(G440,'02b_DC_Accelerator_Mix'!$A$2:$A$977,0)),0)</f>
        <v/>
      </c>
      <c r="M440" s="6">
        <f>IFERROR(INDEX('02b_DC_Accelerator_Mix'!$J$2:$J$977,MATCH(G440,'02b_DC_Accelerator_Mix'!$A$2:$A$977,0)),0)</f>
        <v/>
      </c>
      <c r="N440" s="6">
        <f>IFERROR(INDEX('02b_DC_Accelerator_Mix'!$K$2:$K$977,MATCH(G440,'02b_DC_Accelerator_Mix'!$A$2:$A$977,0)),0)</f>
        <v/>
      </c>
      <c r="O440" s="6">
        <f>IFERROR(INDEX('02b_DC_Accelerator_Mix'!$L$2:$L$977,MATCH(G440,'02b_DC_Accelerator_Mix'!$A$2:$A$977,0)),0)</f>
        <v/>
      </c>
      <c r="P440" s="6">
        <f>IFERROR(INDEX('02b_DC_Accelerator_Mix'!$M$2:$M$977,MATCH(G440,'02b_DC_Accelerator_Mix'!$A$2:$A$977,0)),0)</f>
        <v/>
      </c>
      <c r="Q440" s="6">
        <f>IFERROR(INDEX('02b_DC_Accelerator_Mix'!$N$2:$N$977,MATCH(G440,'02b_DC_Accelerator_Mix'!$A$2:$A$977,0)),0)</f>
        <v/>
      </c>
      <c r="R440" s="28">
        <f>H440*I440</f>
        <v/>
      </c>
      <c r="S440" s="28">
        <f>H440*J440</f>
        <v/>
      </c>
      <c r="T440" s="28">
        <f>H440*K440</f>
        <v/>
      </c>
      <c r="U440" s="28">
        <f>H440*L440</f>
        <v/>
      </c>
      <c r="V440" s="28">
        <f>H440*M440</f>
        <v/>
      </c>
      <c r="W440" s="28">
        <f>H440*N440</f>
        <v/>
      </c>
      <c r="X440" s="28">
        <f>H440*O440</f>
        <v/>
      </c>
      <c r="Y440" s="28">
        <f>H440*P440</f>
        <v/>
      </c>
      <c r="Z440" s="28">
        <f>H440*Q440</f>
        <v/>
      </c>
      <c r="AA440" s="28">
        <f>SUM(U440:Z440)</f>
        <v/>
      </c>
      <c r="AB440" s="5">
        <f>IF(COUNTIF('02b_DC_Accelerator_Mix'!$A$2:$A$977,G440)&gt;0,"matched","missing_mix")</f>
        <v/>
      </c>
    </row>
    <row r="441">
      <c r="A441" s="5">
        <f>'02a_DC_Capacity_Alloc'!A441</f>
        <v/>
      </c>
      <c r="B441" s="5">
        <f>'02a_DC_Capacity_Alloc'!B441</f>
        <v/>
      </c>
      <c r="C441" s="5">
        <f>'02a_DC_Capacity_Alloc'!C441</f>
        <v/>
      </c>
      <c r="D441" s="5">
        <f>'02a_DC_Capacity_Alloc'!D441</f>
        <v/>
      </c>
      <c r="E441" s="5">
        <f>'02a_DC_Capacity_Alloc'!E441</f>
        <v/>
      </c>
      <c r="F441" s="5">
        <f>'02a_DC_Capacity_Alloc'!F441</f>
        <v/>
      </c>
      <c r="G441" s="5">
        <f>B441&amp;"|"&amp;E441&amp;"|"&amp;D441</f>
        <v/>
      </c>
      <c r="H441" s="28">
        <f>'02a_DC_Capacity_Alloc'!H441*'02a_DC_Capacity_Alloc'!I441*'02a_DC_Capacity_Alloc'!J441</f>
        <v/>
      </c>
      <c r="I441" s="6">
        <f>IFERROR(INDEX('02b_DC_Accelerator_Mix'!$F$2:$F$977,MATCH(G441,'02b_DC_Accelerator_Mix'!$A$2:$A$977,0)),0)</f>
        <v/>
      </c>
      <c r="J441" s="6">
        <f>IFERROR(INDEX('02b_DC_Accelerator_Mix'!$G$2:$G$977,MATCH(G441,'02b_DC_Accelerator_Mix'!$A$2:$A$977,0)),0)</f>
        <v/>
      </c>
      <c r="K441" s="6">
        <f>IFERROR(INDEX('02b_DC_Accelerator_Mix'!$H$2:$H$977,MATCH(G441,'02b_DC_Accelerator_Mix'!$A$2:$A$977,0)),0)</f>
        <v/>
      </c>
      <c r="L441" s="6">
        <f>IFERROR(INDEX('02b_DC_Accelerator_Mix'!$I$2:$I$977,MATCH(G441,'02b_DC_Accelerator_Mix'!$A$2:$A$977,0)),0)</f>
        <v/>
      </c>
      <c r="M441" s="6">
        <f>IFERROR(INDEX('02b_DC_Accelerator_Mix'!$J$2:$J$977,MATCH(G441,'02b_DC_Accelerator_Mix'!$A$2:$A$977,0)),0)</f>
        <v/>
      </c>
      <c r="N441" s="6">
        <f>IFERROR(INDEX('02b_DC_Accelerator_Mix'!$K$2:$K$977,MATCH(G441,'02b_DC_Accelerator_Mix'!$A$2:$A$977,0)),0)</f>
        <v/>
      </c>
      <c r="O441" s="6">
        <f>IFERROR(INDEX('02b_DC_Accelerator_Mix'!$L$2:$L$977,MATCH(G441,'02b_DC_Accelerator_Mix'!$A$2:$A$977,0)),0)</f>
        <v/>
      </c>
      <c r="P441" s="6">
        <f>IFERROR(INDEX('02b_DC_Accelerator_Mix'!$M$2:$M$977,MATCH(G441,'02b_DC_Accelerator_Mix'!$A$2:$A$977,0)),0)</f>
        <v/>
      </c>
      <c r="Q441" s="6">
        <f>IFERROR(INDEX('02b_DC_Accelerator_Mix'!$N$2:$N$977,MATCH(G441,'02b_DC_Accelerator_Mix'!$A$2:$A$977,0)),0)</f>
        <v/>
      </c>
      <c r="R441" s="28">
        <f>H441*I441</f>
        <v/>
      </c>
      <c r="S441" s="28">
        <f>H441*J441</f>
        <v/>
      </c>
      <c r="T441" s="28">
        <f>H441*K441</f>
        <v/>
      </c>
      <c r="U441" s="28">
        <f>H441*L441</f>
        <v/>
      </c>
      <c r="V441" s="28">
        <f>H441*M441</f>
        <v/>
      </c>
      <c r="W441" s="28">
        <f>H441*N441</f>
        <v/>
      </c>
      <c r="X441" s="28">
        <f>H441*O441</f>
        <v/>
      </c>
      <c r="Y441" s="28">
        <f>H441*P441</f>
        <v/>
      </c>
      <c r="Z441" s="28">
        <f>H441*Q441</f>
        <v/>
      </c>
      <c r="AA441" s="28">
        <f>SUM(U441:Z441)</f>
        <v/>
      </c>
      <c r="AB441" s="5">
        <f>IF(COUNTIF('02b_DC_Accelerator_Mix'!$A$2:$A$977,G441)&gt;0,"matched","missing_mix")</f>
        <v/>
      </c>
    </row>
    <row r="442">
      <c r="A442" s="5">
        <f>'02a_DC_Capacity_Alloc'!A442</f>
        <v/>
      </c>
      <c r="B442" s="5">
        <f>'02a_DC_Capacity_Alloc'!B442</f>
        <v/>
      </c>
      <c r="C442" s="5">
        <f>'02a_DC_Capacity_Alloc'!C442</f>
        <v/>
      </c>
      <c r="D442" s="5">
        <f>'02a_DC_Capacity_Alloc'!D442</f>
        <v/>
      </c>
      <c r="E442" s="5">
        <f>'02a_DC_Capacity_Alloc'!E442</f>
        <v/>
      </c>
      <c r="F442" s="5">
        <f>'02a_DC_Capacity_Alloc'!F442</f>
        <v/>
      </c>
      <c r="G442" s="5">
        <f>B442&amp;"|"&amp;E442&amp;"|"&amp;D442</f>
        <v/>
      </c>
      <c r="H442" s="28">
        <f>'02a_DC_Capacity_Alloc'!H442*'02a_DC_Capacity_Alloc'!I442*'02a_DC_Capacity_Alloc'!J442</f>
        <v/>
      </c>
      <c r="I442" s="6">
        <f>IFERROR(INDEX('02b_DC_Accelerator_Mix'!$F$2:$F$977,MATCH(G442,'02b_DC_Accelerator_Mix'!$A$2:$A$977,0)),0)</f>
        <v/>
      </c>
      <c r="J442" s="6">
        <f>IFERROR(INDEX('02b_DC_Accelerator_Mix'!$G$2:$G$977,MATCH(G442,'02b_DC_Accelerator_Mix'!$A$2:$A$977,0)),0)</f>
        <v/>
      </c>
      <c r="K442" s="6">
        <f>IFERROR(INDEX('02b_DC_Accelerator_Mix'!$H$2:$H$977,MATCH(G442,'02b_DC_Accelerator_Mix'!$A$2:$A$977,0)),0)</f>
        <v/>
      </c>
      <c r="L442" s="6">
        <f>IFERROR(INDEX('02b_DC_Accelerator_Mix'!$I$2:$I$977,MATCH(G442,'02b_DC_Accelerator_Mix'!$A$2:$A$977,0)),0)</f>
        <v/>
      </c>
      <c r="M442" s="6">
        <f>IFERROR(INDEX('02b_DC_Accelerator_Mix'!$J$2:$J$977,MATCH(G442,'02b_DC_Accelerator_Mix'!$A$2:$A$977,0)),0)</f>
        <v/>
      </c>
      <c r="N442" s="6">
        <f>IFERROR(INDEX('02b_DC_Accelerator_Mix'!$K$2:$K$977,MATCH(G442,'02b_DC_Accelerator_Mix'!$A$2:$A$977,0)),0)</f>
        <v/>
      </c>
      <c r="O442" s="6">
        <f>IFERROR(INDEX('02b_DC_Accelerator_Mix'!$L$2:$L$977,MATCH(G442,'02b_DC_Accelerator_Mix'!$A$2:$A$977,0)),0)</f>
        <v/>
      </c>
      <c r="P442" s="6">
        <f>IFERROR(INDEX('02b_DC_Accelerator_Mix'!$M$2:$M$977,MATCH(G442,'02b_DC_Accelerator_Mix'!$A$2:$A$977,0)),0)</f>
        <v/>
      </c>
      <c r="Q442" s="6">
        <f>IFERROR(INDEX('02b_DC_Accelerator_Mix'!$N$2:$N$977,MATCH(G442,'02b_DC_Accelerator_Mix'!$A$2:$A$977,0)),0)</f>
        <v/>
      </c>
      <c r="R442" s="28">
        <f>H442*I442</f>
        <v/>
      </c>
      <c r="S442" s="28">
        <f>H442*J442</f>
        <v/>
      </c>
      <c r="T442" s="28">
        <f>H442*K442</f>
        <v/>
      </c>
      <c r="U442" s="28">
        <f>H442*L442</f>
        <v/>
      </c>
      <c r="V442" s="28">
        <f>H442*M442</f>
        <v/>
      </c>
      <c r="W442" s="28">
        <f>H442*N442</f>
        <v/>
      </c>
      <c r="X442" s="28">
        <f>H442*O442</f>
        <v/>
      </c>
      <c r="Y442" s="28">
        <f>H442*P442</f>
        <v/>
      </c>
      <c r="Z442" s="28">
        <f>H442*Q442</f>
        <v/>
      </c>
      <c r="AA442" s="28">
        <f>SUM(U442:Z442)</f>
        <v/>
      </c>
      <c r="AB442" s="5">
        <f>IF(COUNTIF('02b_DC_Accelerator_Mix'!$A$2:$A$977,G442)&gt;0,"matched","missing_mix")</f>
        <v/>
      </c>
    </row>
    <row r="443">
      <c r="A443" s="5">
        <f>'02a_DC_Capacity_Alloc'!A443</f>
        <v/>
      </c>
      <c r="B443" s="5">
        <f>'02a_DC_Capacity_Alloc'!B443</f>
        <v/>
      </c>
      <c r="C443" s="5">
        <f>'02a_DC_Capacity_Alloc'!C443</f>
        <v/>
      </c>
      <c r="D443" s="5">
        <f>'02a_DC_Capacity_Alloc'!D443</f>
        <v/>
      </c>
      <c r="E443" s="5">
        <f>'02a_DC_Capacity_Alloc'!E443</f>
        <v/>
      </c>
      <c r="F443" s="5">
        <f>'02a_DC_Capacity_Alloc'!F443</f>
        <v/>
      </c>
      <c r="G443" s="5">
        <f>B443&amp;"|"&amp;E443&amp;"|"&amp;D443</f>
        <v/>
      </c>
      <c r="H443" s="28">
        <f>'02a_DC_Capacity_Alloc'!H443*'02a_DC_Capacity_Alloc'!I443*'02a_DC_Capacity_Alloc'!J443</f>
        <v/>
      </c>
      <c r="I443" s="6">
        <f>IFERROR(INDEX('02b_DC_Accelerator_Mix'!$F$2:$F$977,MATCH(G443,'02b_DC_Accelerator_Mix'!$A$2:$A$977,0)),0)</f>
        <v/>
      </c>
      <c r="J443" s="6">
        <f>IFERROR(INDEX('02b_DC_Accelerator_Mix'!$G$2:$G$977,MATCH(G443,'02b_DC_Accelerator_Mix'!$A$2:$A$977,0)),0)</f>
        <v/>
      </c>
      <c r="K443" s="6">
        <f>IFERROR(INDEX('02b_DC_Accelerator_Mix'!$H$2:$H$977,MATCH(G443,'02b_DC_Accelerator_Mix'!$A$2:$A$977,0)),0)</f>
        <v/>
      </c>
      <c r="L443" s="6">
        <f>IFERROR(INDEX('02b_DC_Accelerator_Mix'!$I$2:$I$977,MATCH(G443,'02b_DC_Accelerator_Mix'!$A$2:$A$977,0)),0)</f>
        <v/>
      </c>
      <c r="M443" s="6">
        <f>IFERROR(INDEX('02b_DC_Accelerator_Mix'!$J$2:$J$977,MATCH(G443,'02b_DC_Accelerator_Mix'!$A$2:$A$977,0)),0)</f>
        <v/>
      </c>
      <c r="N443" s="6">
        <f>IFERROR(INDEX('02b_DC_Accelerator_Mix'!$K$2:$K$977,MATCH(G443,'02b_DC_Accelerator_Mix'!$A$2:$A$977,0)),0)</f>
        <v/>
      </c>
      <c r="O443" s="6">
        <f>IFERROR(INDEX('02b_DC_Accelerator_Mix'!$L$2:$L$977,MATCH(G443,'02b_DC_Accelerator_Mix'!$A$2:$A$977,0)),0)</f>
        <v/>
      </c>
      <c r="P443" s="6">
        <f>IFERROR(INDEX('02b_DC_Accelerator_Mix'!$M$2:$M$977,MATCH(G443,'02b_DC_Accelerator_Mix'!$A$2:$A$977,0)),0)</f>
        <v/>
      </c>
      <c r="Q443" s="6">
        <f>IFERROR(INDEX('02b_DC_Accelerator_Mix'!$N$2:$N$977,MATCH(G443,'02b_DC_Accelerator_Mix'!$A$2:$A$977,0)),0)</f>
        <v/>
      </c>
      <c r="R443" s="28">
        <f>H443*I443</f>
        <v/>
      </c>
      <c r="S443" s="28">
        <f>H443*J443</f>
        <v/>
      </c>
      <c r="T443" s="28">
        <f>H443*K443</f>
        <v/>
      </c>
      <c r="U443" s="28">
        <f>H443*L443</f>
        <v/>
      </c>
      <c r="V443" s="28">
        <f>H443*M443</f>
        <v/>
      </c>
      <c r="W443" s="28">
        <f>H443*N443</f>
        <v/>
      </c>
      <c r="X443" s="28">
        <f>H443*O443</f>
        <v/>
      </c>
      <c r="Y443" s="28">
        <f>H443*P443</f>
        <v/>
      </c>
      <c r="Z443" s="28">
        <f>H443*Q443</f>
        <v/>
      </c>
      <c r="AA443" s="28">
        <f>SUM(U443:Z443)</f>
        <v/>
      </c>
      <c r="AB443" s="5">
        <f>IF(COUNTIF('02b_DC_Accelerator_Mix'!$A$2:$A$977,G443)&gt;0,"matched","missing_mix")</f>
        <v/>
      </c>
    </row>
    <row r="444">
      <c r="A444" s="5">
        <f>'02a_DC_Capacity_Alloc'!A444</f>
        <v/>
      </c>
      <c r="B444" s="5">
        <f>'02a_DC_Capacity_Alloc'!B444</f>
        <v/>
      </c>
      <c r="C444" s="5">
        <f>'02a_DC_Capacity_Alloc'!C444</f>
        <v/>
      </c>
      <c r="D444" s="5">
        <f>'02a_DC_Capacity_Alloc'!D444</f>
        <v/>
      </c>
      <c r="E444" s="5">
        <f>'02a_DC_Capacity_Alloc'!E444</f>
        <v/>
      </c>
      <c r="F444" s="5">
        <f>'02a_DC_Capacity_Alloc'!F444</f>
        <v/>
      </c>
      <c r="G444" s="5">
        <f>B444&amp;"|"&amp;E444&amp;"|"&amp;D444</f>
        <v/>
      </c>
      <c r="H444" s="28">
        <f>'02a_DC_Capacity_Alloc'!H444*'02a_DC_Capacity_Alloc'!I444*'02a_DC_Capacity_Alloc'!J444</f>
        <v/>
      </c>
      <c r="I444" s="6">
        <f>IFERROR(INDEX('02b_DC_Accelerator_Mix'!$F$2:$F$977,MATCH(G444,'02b_DC_Accelerator_Mix'!$A$2:$A$977,0)),0)</f>
        <v/>
      </c>
      <c r="J444" s="6">
        <f>IFERROR(INDEX('02b_DC_Accelerator_Mix'!$G$2:$G$977,MATCH(G444,'02b_DC_Accelerator_Mix'!$A$2:$A$977,0)),0)</f>
        <v/>
      </c>
      <c r="K444" s="6">
        <f>IFERROR(INDEX('02b_DC_Accelerator_Mix'!$H$2:$H$977,MATCH(G444,'02b_DC_Accelerator_Mix'!$A$2:$A$977,0)),0)</f>
        <v/>
      </c>
      <c r="L444" s="6">
        <f>IFERROR(INDEX('02b_DC_Accelerator_Mix'!$I$2:$I$977,MATCH(G444,'02b_DC_Accelerator_Mix'!$A$2:$A$977,0)),0)</f>
        <v/>
      </c>
      <c r="M444" s="6">
        <f>IFERROR(INDEX('02b_DC_Accelerator_Mix'!$J$2:$J$977,MATCH(G444,'02b_DC_Accelerator_Mix'!$A$2:$A$977,0)),0)</f>
        <v/>
      </c>
      <c r="N444" s="6">
        <f>IFERROR(INDEX('02b_DC_Accelerator_Mix'!$K$2:$K$977,MATCH(G444,'02b_DC_Accelerator_Mix'!$A$2:$A$977,0)),0)</f>
        <v/>
      </c>
      <c r="O444" s="6">
        <f>IFERROR(INDEX('02b_DC_Accelerator_Mix'!$L$2:$L$977,MATCH(G444,'02b_DC_Accelerator_Mix'!$A$2:$A$977,0)),0)</f>
        <v/>
      </c>
      <c r="P444" s="6">
        <f>IFERROR(INDEX('02b_DC_Accelerator_Mix'!$M$2:$M$977,MATCH(G444,'02b_DC_Accelerator_Mix'!$A$2:$A$977,0)),0)</f>
        <v/>
      </c>
      <c r="Q444" s="6">
        <f>IFERROR(INDEX('02b_DC_Accelerator_Mix'!$N$2:$N$977,MATCH(G444,'02b_DC_Accelerator_Mix'!$A$2:$A$977,0)),0)</f>
        <v/>
      </c>
      <c r="R444" s="28">
        <f>H444*I444</f>
        <v/>
      </c>
      <c r="S444" s="28">
        <f>H444*J444</f>
        <v/>
      </c>
      <c r="T444" s="28">
        <f>H444*K444</f>
        <v/>
      </c>
      <c r="U444" s="28">
        <f>H444*L444</f>
        <v/>
      </c>
      <c r="V444" s="28">
        <f>H444*M444</f>
        <v/>
      </c>
      <c r="W444" s="28">
        <f>H444*N444</f>
        <v/>
      </c>
      <c r="X444" s="28">
        <f>H444*O444</f>
        <v/>
      </c>
      <c r="Y444" s="28">
        <f>H444*P444</f>
        <v/>
      </c>
      <c r="Z444" s="28">
        <f>H444*Q444</f>
        <v/>
      </c>
      <c r="AA444" s="28">
        <f>SUM(U444:Z444)</f>
        <v/>
      </c>
      <c r="AB444" s="5">
        <f>IF(COUNTIF('02b_DC_Accelerator_Mix'!$A$2:$A$977,G444)&gt;0,"matched","missing_mix")</f>
        <v/>
      </c>
    </row>
    <row r="445">
      <c r="A445" s="5">
        <f>'02a_DC_Capacity_Alloc'!A445</f>
        <v/>
      </c>
      <c r="B445" s="5">
        <f>'02a_DC_Capacity_Alloc'!B445</f>
        <v/>
      </c>
      <c r="C445" s="5">
        <f>'02a_DC_Capacity_Alloc'!C445</f>
        <v/>
      </c>
      <c r="D445" s="5">
        <f>'02a_DC_Capacity_Alloc'!D445</f>
        <v/>
      </c>
      <c r="E445" s="5">
        <f>'02a_DC_Capacity_Alloc'!E445</f>
        <v/>
      </c>
      <c r="F445" s="5">
        <f>'02a_DC_Capacity_Alloc'!F445</f>
        <v/>
      </c>
      <c r="G445" s="5">
        <f>B445&amp;"|"&amp;E445&amp;"|"&amp;D445</f>
        <v/>
      </c>
      <c r="H445" s="28">
        <f>'02a_DC_Capacity_Alloc'!H445*'02a_DC_Capacity_Alloc'!I445*'02a_DC_Capacity_Alloc'!J445</f>
        <v/>
      </c>
      <c r="I445" s="6">
        <f>IFERROR(INDEX('02b_DC_Accelerator_Mix'!$F$2:$F$977,MATCH(G445,'02b_DC_Accelerator_Mix'!$A$2:$A$977,0)),0)</f>
        <v/>
      </c>
      <c r="J445" s="6">
        <f>IFERROR(INDEX('02b_DC_Accelerator_Mix'!$G$2:$G$977,MATCH(G445,'02b_DC_Accelerator_Mix'!$A$2:$A$977,0)),0)</f>
        <v/>
      </c>
      <c r="K445" s="6">
        <f>IFERROR(INDEX('02b_DC_Accelerator_Mix'!$H$2:$H$977,MATCH(G445,'02b_DC_Accelerator_Mix'!$A$2:$A$977,0)),0)</f>
        <v/>
      </c>
      <c r="L445" s="6">
        <f>IFERROR(INDEX('02b_DC_Accelerator_Mix'!$I$2:$I$977,MATCH(G445,'02b_DC_Accelerator_Mix'!$A$2:$A$977,0)),0)</f>
        <v/>
      </c>
      <c r="M445" s="6">
        <f>IFERROR(INDEX('02b_DC_Accelerator_Mix'!$J$2:$J$977,MATCH(G445,'02b_DC_Accelerator_Mix'!$A$2:$A$977,0)),0)</f>
        <v/>
      </c>
      <c r="N445" s="6">
        <f>IFERROR(INDEX('02b_DC_Accelerator_Mix'!$K$2:$K$977,MATCH(G445,'02b_DC_Accelerator_Mix'!$A$2:$A$977,0)),0)</f>
        <v/>
      </c>
      <c r="O445" s="6">
        <f>IFERROR(INDEX('02b_DC_Accelerator_Mix'!$L$2:$L$977,MATCH(G445,'02b_DC_Accelerator_Mix'!$A$2:$A$977,0)),0)</f>
        <v/>
      </c>
      <c r="P445" s="6">
        <f>IFERROR(INDEX('02b_DC_Accelerator_Mix'!$M$2:$M$977,MATCH(G445,'02b_DC_Accelerator_Mix'!$A$2:$A$977,0)),0)</f>
        <v/>
      </c>
      <c r="Q445" s="6">
        <f>IFERROR(INDEX('02b_DC_Accelerator_Mix'!$N$2:$N$977,MATCH(G445,'02b_DC_Accelerator_Mix'!$A$2:$A$977,0)),0)</f>
        <v/>
      </c>
      <c r="R445" s="28">
        <f>H445*I445</f>
        <v/>
      </c>
      <c r="S445" s="28">
        <f>H445*J445</f>
        <v/>
      </c>
      <c r="T445" s="28">
        <f>H445*K445</f>
        <v/>
      </c>
      <c r="U445" s="28">
        <f>H445*L445</f>
        <v/>
      </c>
      <c r="V445" s="28">
        <f>H445*M445</f>
        <v/>
      </c>
      <c r="W445" s="28">
        <f>H445*N445</f>
        <v/>
      </c>
      <c r="X445" s="28">
        <f>H445*O445</f>
        <v/>
      </c>
      <c r="Y445" s="28">
        <f>H445*P445</f>
        <v/>
      </c>
      <c r="Z445" s="28">
        <f>H445*Q445</f>
        <v/>
      </c>
      <c r="AA445" s="28">
        <f>SUM(U445:Z445)</f>
        <v/>
      </c>
      <c r="AB445" s="5">
        <f>IF(COUNTIF('02b_DC_Accelerator_Mix'!$A$2:$A$977,G445)&gt;0,"matched","missing_mix")</f>
        <v/>
      </c>
    </row>
    <row r="446">
      <c r="A446" s="5">
        <f>'02a_DC_Capacity_Alloc'!A446</f>
        <v/>
      </c>
      <c r="B446" s="5">
        <f>'02a_DC_Capacity_Alloc'!B446</f>
        <v/>
      </c>
      <c r="C446" s="5">
        <f>'02a_DC_Capacity_Alloc'!C446</f>
        <v/>
      </c>
      <c r="D446" s="5">
        <f>'02a_DC_Capacity_Alloc'!D446</f>
        <v/>
      </c>
      <c r="E446" s="5">
        <f>'02a_DC_Capacity_Alloc'!E446</f>
        <v/>
      </c>
      <c r="F446" s="5">
        <f>'02a_DC_Capacity_Alloc'!F446</f>
        <v/>
      </c>
      <c r="G446" s="5">
        <f>B446&amp;"|"&amp;E446&amp;"|"&amp;D446</f>
        <v/>
      </c>
      <c r="H446" s="28">
        <f>'02a_DC_Capacity_Alloc'!H446*'02a_DC_Capacity_Alloc'!I446*'02a_DC_Capacity_Alloc'!J446</f>
        <v/>
      </c>
      <c r="I446" s="6">
        <f>IFERROR(INDEX('02b_DC_Accelerator_Mix'!$F$2:$F$977,MATCH(G446,'02b_DC_Accelerator_Mix'!$A$2:$A$977,0)),0)</f>
        <v/>
      </c>
      <c r="J446" s="6">
        <f>IFERROR(INDEX('02b_DC_Accelerator_Mix'!$G$2:$G$977,MATCH(G446,'02b_DC_Accelerator_Mix'!$A$2:$A$977,0)),0)</f>
        <v/>
      </c>
      <c r="K446" s="6">
        <f>IFERROR(INDEX('02b_DC_Accelerator_Mix'!$H$2:$H$977,MATCH(G446,'02b_DC_Accelerator_Mix'!$A$2:$A$977,0)),0)</f>
        <v/>
      </c>
      <c r="L446" s="6">
        <f>IFERROR(INDEX('02b_DC_Accelerator_Mix'!$I$2:$I$977,MATCH(G446,'02b_DC_Accelerator_Mix'!$A$2:$A$977,0)),0)</f>
        <v/>
      </c>
      <c r="M446" s="6">
        <f>IFERROR(INDEX('02b_DC_Accelerator_Mix'!$J$2:$J$977,MATCH(G446,'02b_DC_Accelerator_Mix'!$A$2:$A$977,0)),0)</f>
        <v/>
      </c>
      <c r="N446" s="6">
        <f>IFERROR(INDEX('02b_DC_Accelerator_Mix'!$K$2:$K$977,MATCH(G446,'02b_DC_Accelerator_Mix'!$A$2:$A$977,0)),0)</f>
        <v/>
      </c>
      <c r="O446" s="6">
        <f>IFERROR(INDEX('02b_DC_Accelerator_Mix'!$L$2:$L$977,MATCH(G446,'02b_DC_Accelerator_Mix'!$A$2:$A$977,0)),0)</f>
        <v/>
      </c>
      <c r="P446" s="6">
        <f>IFERROR(INDEX('02b_DC_Accelerator_Mix'!$M$2:$M$977,MATCH(G446,'02b_DC_Accelerator_Mix'!$A$2:$A$977,0)),0)</f>
        <v/>
      </c>
      <c r="Q446" s="6">
        <f>IFERROR(INDEX('02b_DC_Accelerator_Mix'!$N$2:$N$977,MATCH(G446,'02b_DC_Accelerator_Mix'!$A$2:$A$977,0)),0)</f>
        <v/>
      </c>
      <c r="R446" s="28">
        <f>H446*I446</f>
        <v/>
      </c>
      <c r="S446" s="28">
        <f>H446*J446</f>
        <v/>
      </c>
      <c r="T446" s="28">
        <f>H446*K446</f>
        <v/>
      </c>
      <c r="U446" s="28">
        <f>H446*L446</f>
        <v/>
      </c>
      <c r="V446" s="28">
        <f>H446*M446</f>
        <v/>
      </c>
      <c r="W446" s="28">
        <f>H446*N446</f>
        <v/>
      </c>
      <c r="X446" s="28">
        <f>H446*O446</f>
        <v/>
      </c>
      <c r="Y446" s="28">
        <f>H446*P446</f>
        <v/>
      </c>
      <c r="Z446" s="28">
        <f>H446*Q446</f>
        <v/>
      </c>
      <c r="AA446" s="28">
        <f>SUM(U446:Z446)</f>
        <v/>
      </c>
      <c r="AB446" s="5">
        <f>IF(COUNTIF('02b_DC_Accelerator_Mix'!$A$2:$A$977,G446)&gt;0,"matched","missing_mix")</f>
        <v/>
      </c>
    </row>
    <row r="447">
      <c r="A447" s="5">
        <f>'02a_DC_Capacity_Alloc'!A447</f>
        <v/>
      </c>
      <c r="B447" s="5">
        <f>'02a_DC_Capacity_Alloc'!B447</f>
        <v/>
      </c>
      <c r="C447" s="5">
        <f>'02a_DC_Capacity_Alloc'!C447</f>
        <v/>
      </c>
      <c r="D447" s="5">
        <f>'02a_DC_Capacity_Alloc'!D447</f>
        <v/>
      </c>
      <c r="E447" s="5">
        <f>'02a_DC_Capacity_Alloc'!E447</f>
        <v/>
      </c>
      <c r="F447" s="5">
        <f>'02a_DC_Capacity_Alloc'!F447</f>
        <v/>
      </c>
      <c r="G447" s="5">
        <f>B447&amp;"|"&amp;E447&amp;"|"&amp;D447</f>
        <v/>
      </c>
      <c r="H447" s="28">
        <f>'02a_DC_Capacity_Alloc'!H447*'02a_DC_Capacity_Alloc'!I447*'02a_DC_Capacity_Alloc'!J447</f>
        <v/>
      </c>
      <c r="I447" s="6">
        <f>IFERROR(INDEX('02b_DC_Accelerator_Mix'!$F$2:$F$977,MATCH(G447,'02b_DC_Accelerator_Mix'!$A$2:$A$977,0)),0)</f>
        <v/>
      </c>
      <c r="J447" s="6">
        <f>IFERROR(INDEX('02b_DC_Accelerator_Mix'!$G$2:$G$977,MATCH(G447,'02b_DC_Accelerator_Mix'!$A$2:$A$977,0)),0)</f>
        <v/>
      </c>
      <c r="K447" s="6">
        <f>IFERROR(INDEX('02b_DC_Accelerator_Mix'!$H$2:$H$977,MATCH(G447,'02b_DC_Accelerator_Mix'!$A$2:$A$977,0)),0)</f>
        <v/>
      </c>
      <c r="L447" s="6">
        <f>IFERROR(INDEX('02b_DC_Accelerator_Mix'!$I$2:$I$977,MATCH(G447,'02b_DC_Accelerator_Mix'!$A$2:$A$977,0)),0)</f>
        <v/>
      </c>
      <c r="M447" s="6">
        <f>IFERROR(INDEX('02b_DC_Accelerator_Mix'!$J$2:$J$977,MATCH(G447,'02b_DC_Accelerator_Mix'!$A$2:$A$977,0)),0)</f>
        <v/>
      </c>
      <c r="N447" s="6">
        <f>IFERROR(INDEX('02b_DC_Accelerator_Mix'!$K$2:$K$977,MATCH(G447,'02b_DC_Accelerator_Mix'!$A$2:$A$977,0)),0)</f>
        <v/>
      </c>
      <c r="O447" s="6">
        <f>IFERROR(INDEX('02b_DC_Accelerator_Mix'!$L$2:$L$977,MATCH(G447,'02b_DC_Accelerator_Mix'!$A$2:$A$977,0)),0)</f>
        <v/>
      </c>
      <c r="P447" s="6">
        <f>IFERROR(INDEX('02b_DC_Accelerator_Mix'!$M$2:$M$977,MATCH(G447,'02b_DC_Accelerator_Mix'!$A$2:$A$977,0)),0)</f>
        <v/>
      </c>
      <c r="Q447" s="6">
        <f>IFERROR(INDEX('02b_DC_Accelerator_Mix'!$N$2:$N$977,MATCH(G447,'02b_DC_Accelerator_Mix'!$A$2:$A$977,0)),0)</f>
        <v/>
      </c>
      <c r="R447" s="28">
        <f>H447*I447</f>
        <v/>
      </c>
      <c r="S447" s="28">
        <f>H447*J447</f>
        <v/>
      </c>
      <c r="T447" s="28">
        <f>H447*K447</f>
        <v/>
      </c>
      <c r="U447" s="28">
        <f>H447*L447</f>
        <v/>
      </c>
      <c r="V447" s="28">
        <f>H447*M447</f>
        <v/>
      </c>
      <c r="W447" s="28">
        <f>H447*N447</f>
        <v/>
      </c>
      <c r="X447" s="28">
        <f>H447*O447</f>
        <v/>
      </c>
      <c r="Y447" s="28">
        <f>H447*P447</f>
        <v/>
      </c>
      <c r="Z447" s="28">
        <f>H447*Q447</f>
        <v/>
      </c>
      <c r="AA447" s="28">
        <f>SUM(U447:Z447)</f>
        <v/>
      </c>
      <c r="AB447" s="5">
        <f>IF(COUNTIF('02b_DC_Accelerator_Mix'!$A$2:$A$977,G447)&gt;0,"matched","missing_mix")</f>
        <v/>
      </c>
    </row>
    <row r="448">
      <c r="A448" s="5">
        <f>'02a_DC_Capacity_Alloc'!A448</f>
        <v/>
      </c>
      <c r="B448" s="5">
        <f>'02a_DC_Capacity_Alloc'!B448</f>
        <v/>
      </c>
      <c r="C448" s="5">
        <f>'02a_DC_Capacity_Alloc'!C448</f>
        <v/>
      </c>
      <c r="D448" s="5">
        <f>'02a_DC_Capacity_Alloc'!D448</f>
        <v/>
      </c>
      <c r="E448" s="5">
        <f>'02a_DC_Capacity_Alloc'!E448</f>
        <v/>
      </c>
      <c r="F448" s="5">
        <f>'02a_DC_Capacity_Alloc'!F448</f>
        <v/>
      </c>
      <c r="G448" s="5">
        <f>B448&amp;"|"&amp;E448&amp;"|"&amp;D448</f>
        <v/>
      </c>
      <c r="H448" s="28">
        <f>'02a_DC_Capacity_Alloc'!H448*'02a_DC_Capacity_Alloc'!I448*'02a_DC_Capacity_Alloc'!J448</f>
        <v/>
      </c>
      <c r="I448" s="6">
        <f>IFERROR(INDEX('02b_DC_Accelerator_Mix'!$F$2:$F$977,MATCH(G448,'02b_DC_Accelerator_Mix'!$A$2:$A$977,0)),0)</f>
        <v/>
      </c>
      <c r="J448" s="6">
        <f>IFERROR(INDEX('02b_DC_Accelerator_Mix'!$G$2:$G$977,MATCH(G448,'02b_DC_Accelerator_Mix'!$A$2:$A$977,0)),0)</f>
        <v/>
      </c>
      <c r="K448" s="6">
        <f>IFERROR(INDEX('02b_DC_Accelerator_Mix'!$H$2:$H$977,MATCH(G448,'02b_DC_Accelerator_Mix'!$A$2:$A$977,0)),0)</f>
        <v/>
      </c>
      <c r="L448" s="6">
        <f>IFERROR(INDEX('02b_DC_Accelerator_Mix'!$I$2:$I$977,MATCH(G448,'02b_DC_Accelerator_Mix'!$A$2:$A$977,0)),0)</f>
        <v/>
      </c>
      <c r="M448" s="6">
        <f>IFERROR(INDEX('02b_DC_Accelerator_Mix'!$J$2:$J$977,MATCH(G448,'02b_DC_Accelerator_Mix'!$A$2:$A$977,0)),0)</f>
        <v/>
      </c>
      <c r="N448" s="6">
        <f>IFERROR(INDEX('02b_DC_Accelerator_Mix'!$K$2:$K$977,MATCH(G448,'02b_DC_Accelerator_Mix'!$A$2:$A$977,0)),0)</f>
        <v/>
      </c>
      <c r="O448" s="6">
        <f>IFERROR(INDEX('02b_DC_Accelerator_Mix'!$L$2:$L$977,MATCH(G448,'02b_DC_Accelerator_Mix'!$A$2:$A$977,0)),0)</f>
        <v/>
      </c>
      <c r="P448" s="6">
        <f>IFERROR(INDEX('02b_DC_Accelerator_Mix'!$M$2:$M$977,MATCH(G448,'02b_DC_Accelerator_Mix'!$A$2:$A$977,0)),0)</f>
        <v/>
      </c>
      <c r="Q448" s="6">
        <f>IFERROR(INDEX('02b_DC_Accelerator_Mix'!$N$2:$N$977,MATCH(G448,'02b_DC_Accelerator_Mix'!$A$2:$A$977,0)),0)</f>
        <v/>
      </c>
      <c r="R448" s="28">
        <f>H448*I448</f>
        <v/>
      </c>
      <c r="S448" s="28">
        <f>H448*J448</f>
        <v/>
      </c>
      <c r="T448" s="28">
        <f>H448*K448</f>
        <v/>
      </c>
      <c r="U448" s="28">
        <f>H448*L448</f>
        <v/>
      </c>
      <c r="V448" s="28">
        <f>H448*M448</f>
        <v/>
      </c>
      <c r="W448" s="28">
        <f>H448*N448</f>
        <v/>
      </c>
      <c r="X448" s="28">
        <f>H448*O448</f>
        <v/>
      </c>
      <c r="Y448" s="28">
        <f>H448*P448</f>
        <v/>
      </c>
      <c r="Z448" s="28">
        <f>H448*Q448</f>
        <v/>
      </c>
      <c r="AA448" s="28">
        <f>SUM(U448:Z448)</f>
        <v/>
      </c>
      <c r="AB448" s="5">
        <f>IF(COUNTIF('02b_DC_Accelerator_Mix'!$A$2:$A$977,G448)&gt;0,"matched","missing_mix")</f>
        <v/>
      </c>
    </row>
    <row r="449">
      <c r="A449" s="5">
        <f>'02a_DC_Capacity_Alloc'!A449</f>
        <v/>
      </c>
      <c r="B449" s="5">
        <f>'02a_DC_Capacity_Alloc'!B449</f>
        <v/>
      </c>
      <c r="C449" s="5">
        <f>'02a_DC_Capacity_Alloc'!C449</f>
        <v/>
      </c>
      <c r="D449" s="5">
        <f>'02a_DC_Capacity_Alloc'!D449</f>
        <v/>
      </c>
      <c r="E449" s="5">
        <f>'02a_DC_Capacity_Alloc'!E449</f>
        <v/>
      </c>
      <c r="F449" s="5">
        <f>'02a_DC_Capacity_Alloc'!F449</f>
        <v/>
      </c>
      <c r="G449" s="5">
        <f>B449&amp;"|"&amp;E449&amp;"|"&amp;D449</f>
        <v/>
      </c>
      <c r="H449" s="28">
        <f>'02a_DC_Capacity_Alloc'!H449*'02a_DC_Capacity_Alloc'!I449*'02a_DC_Capacity_Alloc'!J449</f>
        <v/>
      </c>
      <c r="I449" s="6">
        <f>IFERROR(INDEX('02b_DC_Accelerator_Mix'!$F$2:$F$977,MATCH(G449,'02b_DC_Accelerator_Mix'!$A$2:$A$977,0)),0)</f>
        <v/>
      </c>
      <c r="J449" s="6">
        <f>IFERROR(INDEX('02b_DC_Accelerator_Mix'!$G$2:$G$977,MATCH(G449,'02b_DC_Accelerator_Mix'!$A$2:$A$977,0)),0)</f>
        <v/>
      </c>
      <c r="K449" s="6">
        <f>IFERROR(INDEX('02b_DC_Accelerator_Mix'!$H$2:$H$977,MATCH(G449,'02b_DC_Accelerator_Mix'!$A$2:$A$977,0)),0)</f>
        <v/>
      </c>
      <c r="L449" s="6">
        <f>IFERROR(INDEX('02b_DC_Accelerator_Mix'!$I$2:$I$977,MATCH(G449,'02b_DC_Accelerator_Mix'!$A$2:$A$977,0)),0)</f>
        <v/>
      </c>
      <c r="M449" s="6">
        <f>IFERROR(INDEX('02b_DC_Accelerator_Mix'!$J$2:$J$977,MATCH(G449,'02b_DC_Accelerator_Mix'!$A$2:$A$977,0)),0)</f>
        <v/>
      </c>
      <c r="N449" s="6">
        <f>IFERROR(INDEX('02b_DC_Accelerator_Mix'!$K$2:$K$977,MATCH(G449,'02b_DC_Accelerator_Mix'!$A$2:$A$977,0)),0)</f>
        <v/>
      </c>
      <c r="O449" s="6">
        <f>IFERROR(INDEX('02b_DC_Accelerator_Mix'!$L$2:$L$977,MATCH(G449,'02b_DC_Accelerator_Mix'!$A$2:$A$977,0)),0)</f>
        <v/>
      </c>
      <c r="P449" s="6">
        <f>IFERROR(INDEX('02b_DC_Accelerator_Mix'!$M$2:$M$977,MATCH(G449,'02b_DC_Accelerator_Mix'!$A$2:$A$977,0)),0)</f>
        <v/>
      </c>
      <c r="Q449" s="6">
        <f>IFERROR(INDEX('02b_DC_Accelerator_Mix'!$N$2:$N$977,MATCH(G449,'02b_DC_Accelerator_Mix'!$A$2:$A$977,0)),0)</f>
        <v/>
      </c>
      <c r="R449" s="28">
        <f>H449*I449</f>
        <v/>
      </c>
      <c r="S449" s="28">
        <f>H449*J449</f>
        <v/>
      </c>
      <c r="T449" s="28">
        <f>H449*K449</f>
        <v/>
      </c>
      <c r="U449" s="28">
        <f>H449*L449</f>
        <v/>
      </c>
      <c r="V449" s="28">
        <f>H449*M449</f>
        <v/>
      </c>
      <c r="W449" s="28">
        <f>H449*N449</f>
        <v/>
      </c>
      <c r="X449" s="28">
        <f>H449*O449</f>
        <v/>
      </c>
      <c r="Y449" s="28">
        <f>H449*P449</f>
        <v/>
      </c>
      <c r="Z449" s="28">
        <f>H449*Q449</f>
        <v/>
      </c>
      <c r="AA449" s="28">
        <f>SUM(U449:Z449)</f>
        <v/>
      </c>
      <c r="AB449" s="5">
        <f>IF(COUNTIF('02b_DC_Accelerator_Mix'!$A$2:$A$977,G449)&gt;0,"matched","missing_mix")</f>
        <v/>
      </c>
    </row>
    <row r="450">
      <c r="A450" s="5">
        <f>'02a_DC_Capacity_Alloc'!A450</f>
        <v/>
      </c>
      <c r="B450" s="5">
        <f>'02a_DC_Capacity_Alloc'!B450</f>
        <v/>
      </c>
      <c r="C450" s="5">
        <f>'02a_DC_Capacity_Alloc'!C450</f>
        <v/>
      </c>
      <c r="D450" s="5">
        <f>'02a_DC_Capacity_Alloc'!D450</f>
        <v/>
      </c>
      <c r="E450" s="5">
        <f>'02a_DC_Capacity_Alloc'!E450</f>
        <v/>
      </c>
      <c r="F450" s="5">
        <f>'02a_DC_Capacity_Alloc'!F450</f>
        <v/>
      </c>
      <c r="G450" s="5">
        <f>B450&amp;"|"&amp;E450&amp;"|"&amp;D450</f>
        <v/>
      </c>
      <c r="H450" s="28">
        <f>'02a_DC_Capacity_Alloc'!H450*'02a_DC_Capacity_Alloc'!I450*'02a_DC_Capacity_Alloc'!J450</f>
        <v/>
      </c>
      <c r="I450" s="6">
        <f>IFERROR(INDEX('02b_DC_Accelerator_Mix'!$F$2:$F$977,MATCH(G450,'02b_DC_Accelerator_Mix'!$A$2:$A$977,0)),0)</f>
        <v/>
      </c>
      <c r="J450" s="6">
        <f>IFERROR(INDEX('02b_DC_Accelerator_Mix'!$G$2:$G$977,MATCH(G450,'02b_DC_Accelerator_Mix'!$A$2:$A$977,0)),0)</f>
        <v/>
      </c>
      <c r="K450" s="6">
        <f>IFERROR(INDEX('02b_DC_Accelerator_Mix'!$H$2:$H$977,MATCH(G450,'02b_DC_Accelerator_Mix'!$A$2:$A$977,0)),0)</f>
        <v/>
      </c>
      <c r="L450" s="6">
        <f>IFERROR(INDEX('02b_DC_Accelerator_Mix'!$I$2:$I$977,MATCH(G450,'02b_DC_Accelerator_Mix'!$A$2:$A$977,0)),0)</f>
        <v/>
      </c>
      <c r="M450" s="6">
        <f>IFERROR(INDEX('02b_DC_Accelerator_Mix'!$J$2:$J$977,MATCH(G450,'02b_DC_Accelerator_Mix'!$A$2:$A$977,0)),0)</f>
        <v/>
      </c>
      <c r="N450" s="6">
        <f>IFERROR(INDEX('02b_DC_Accelerator_Mix'!$K$2:$K$977,MATCH(G450,'02b_DC_Accelerator_Mix'!$A$2:$A$977,0)),0)</f>
        <v/>
      </c>
      <c r="O450" s="6">
        <f>IFERROR(INDEX('02b_DC_Accelerator_Mix'!$L$2:$L$977,MATCH(G450,'02b_DC_Accelerator_Mix'!$A$2:$A$977,0)),0)</f>
        <v/>
      </c>
      <c r="P450" s="6">
        <f>IFERROR(INDEX('02b_DC_Accelerator_Mix'!$M$2:$M$977,MATCH(G450,'02b_DC_Accelerator_Mix'!$A$2:$A$977,0)),0)</f>
        <v/>
      </c>
      <c r="Q450" s="6">
        <f>IFERROR(INDEX('02b_DC_Accelerator_Mix'!$N$2:$N$977,MATCH(G450,'02b_DC_Accelerator_Mix'!$A$2:$A$977,0)),0)</f>
        <v/>
      </c>
      <c r="R450" s="28">
        <f>H450*I450</f>
        <v/>
      </c>
      <c r="S450" s="28">
        <f>H450*J450</f>
        <v/>
      </c>
      <c r="T450" s="28">
        <f>H450*K450</f>
        <v/>
      </c>
      <c r="U450" s="28">
        <f>H450*L450</f>
        <v/>
      </c>
      <c r="V450" s="28">
        <f>H450*M450</f>
        <v/>
      </c>
      <c r="W450" s="28">
        <f>H450*N450</f>
        <v/>
      </c>
      <c r="X450" s="28">
        <f>H450*O450</f>
        <v/>
      </c>
      <c r="Y450" s="28">
        <f>H450*P450</f>
        <v/>
      </c>
      <c r="Z450" s="28">
        <f>H450*Q450</f>
        <v/>
      </c>
      <c r="AA450" s="28">
        <f>SUM(U450:Z450)</f>
        <v/>
      </c>
      <c r="AB450" s="5">
        <f>IF(COUNTIF('02b_DC_Accelerator_Mix'!$A$2:$A$977,G450)&gt;0,"matched","missing_mix")</f>
        <v/>
      </c>
    </row>
    <row r="451">
      <c r="A451" s="5">
        <f>'02a_DC_Capacity_Alloc'!A451</f>
        <v/>
      </c>
      <c r="B451" s="5">
        <f>'02a_DC_Capacity_Alloc'!B451</f>
        <v/>
      </c>
      <c r="C451" s="5">
        <f>'02a_DC_Capacity_Alloc'!C451</f>
        <v/>
      </c>
      <c r="D451" s="5">
        <f>'02a_DC_Capacity_Alloc'!D451</f>
        <v/>
      </c>
      <c r="E451" s="5">
        <f>'02a_DC_Capacity_Alloc'!E451</f>
        <v/>
      </c>
      <c r="F451" s="5">
        <f>'02a_DC_Capacity_Alloc'!F451</f>
        <v/>
      </c>
      <c r="G451" s="5">
        <f>B451&amp;"|"&amp;E451&amp;"|"&amp;D451</f>
        <v/>
      </c>
      <c r="H451" s="28">
        <f>'02a_DC_Capacity_Alloc'!H451*'02a_DC_Capacity_Alloc'!I451*'02a_DC_Capacity_Alloc'!J451</f>
        <v/>
      </c>
      <c r="I451" s="6">
        <f>IFERROR(INDEX('02b_DC_Accelerator_Mix'!$F$2:$F$977,MATCH(G451,'02b_DC_Accelerator_Mix'!$A$2:$A$977,0)),0)</f>
        <v/>
      </c>
      <c r="J451" s="6">
        <f>IFERROR(INDEX('02b_DC_Accelerator_Mix'!$G$2:$G$977,MATCH(G451,'02b_DC_Accelerator_Mix'!$A$2:$A$977,0)),0)</f>
        <v/>
      </c>
      <c r="K451" s="6">
        <f>IFERROR(INDEX('02b_DC_Accelerator_Mix'!$H$2:$H$977,MATCH(G451,'02b_DC_Accelerator_Mix'!$A$2:$A$977,0)),0)</f>
        <v/>
      </c>
      <c r="L451" s="6">
        <f>IFERROR(INDEX('02b_DC_Accelerator_Mix'!$I$2:$I$977,MATCH(G451,'02b_DC_Accelerator_Mix'!$A$2:$A$977,0)),0)</f>
        <v/>
      </c>
      <c r="M451" s="6">
        <f>IFERROR(INDEX('02b_DC_Accelerator_Mix'!$J$2:$J$977,MATCH(G451,'02b_DC_Accelerator_Mix'!$A$2:$A$977,0)),0)</f>
        <v/>
      </c>
      <c r="N451" s="6">
        <f>IFERROR(INDEX('02b_DC_Accelerator_Mix'!$K$2:$K$977,MATCH(G451,'02b_DC_Accelerator_Mix'!$A$2:$A$977,0)),0)</f>
        <v/>
      </c>
      <c r="O451" s="6">
        <f>IFERROR(INDEX('02b_DC_Accelerator_Mix'!$L$2:$L$977,MATCH(G451,'02b_DC_Accelerator_Mix'!$A$2:$A$977,0)),0)</f>
        <v/>
      </c>
      <c r="P451" s="6">
        <f>IFERROR(INDEX('02b_DC_Accelerator_Mix'!$M$2:$M$977,MATCH(G451,'02b_DC_Accelerator_Mix'!$A$2:$A$977,0)),0)</f>
        <v/>
      </c>
      <c r="Q451" s="6">
        <f>IFERROR(INDEX('02b_DC_Accelerator_Mix'!$N$2:$N$977,MATCH(G451,'02b_DC_Accelerator_Mix'!$A$2:$A$977,0)),0)</f>
        <v/>
      </c>
      <c r="R451" s="28">
        <f>H451*I451</f>
        <v/>
      </c>
      <c r="S451" s="28">
        <f>H451*J451</f>
        <v/>
      </c>
      <c r="T451" s="28">
        <f>H451*K451</f>
        <v/>
      </c>
      <c r="U451" s="28">
        <f>H451*L451</f>
        <v/>
      </c>
      <c r="V451" s="28">
        <f>H451*M451</f>
        <v/>
      </c>
      <c r="W451" s="28">
        <f>H451*N451</f>
        <v/>
      </c>
      <c r="X451" s="28">
        <f>H451*O451</f>
        <v/>
      </c>
      <c r="Y451" s="28">
        <f>H451*P451</f>
        <v/>
      </c>
      <c r="Z451" s="28">
        <f>H451*Q451</f>
        <v/>
      </c>
      <c r="AA451" s="28">
        <f>SUM(U451:Z451)</f>
        <v/>
      </c>
      <c r="AB451" s="5">
        <f>IF(COUNTIF('02b_DC_Accelerator_Mix'!$A$2:$A$977,G451)&gt;0,"matched","missing_mix")</f>
        <v/>
      </c>
    </row>
    <row r="452">
      <c r="A452" s="5">
        <f>'02a_DC_Capacity_Alloc'!A452</f>
        <v/>
      </c>
      <c r="B452" s="5">
        <f>'02a_DC_Capacity_Alloc'!B452</f>
        <v/>
      </c>
      <c r="C452" s="5">
        <f>'02a_DC_Capacity_Alloc'!C452</f>
        <v/>
      </c>
      <c r="D452" s="5">
        <f>'02a_DC_Capacity_Alloc'!D452</f>
        <v/>
      </c>
      <c r="E452" s="5">
        <f>'02a_DC_Capacity_Alloc'!E452</f>
        <v/>
      </c>
      <c r="F452" s="5">
        <f>'02a_DC_Capacity_Alloc'!F452</f>
        <v/>
      </c>
      <c r="G452" s="5">
        <f>B452&amp;"|"&amp;E452&amp;"|"&amp;D452</f>
        <v/>
      </c>
      <c r="H452" s="28">
        <f>'02a_DC_Capacity_Alloc'!H452*'02a_DC_Capacity_Alloc'!I452*'02a_DC_Capacity_Alloc'!J452</f>
        <v/>
      </c>
      <c r="I452" s="6">
        <f>IFERROR(INDEX('02b_DC_Accelerator_Mix'!$F$2:$F$977,MATCH(G452,'02b_DC_Accelerator_Mix'!$A$2:$A$977,0)),0)</f>
        <v/>
      </c>
      <c r="J452" s="6">
        <f>IFERROR(INDEX('02b_DC_Accelerator_Mix'!$G$2:$G$977,MATCH(G452,'02b_DC_Accelerator_Mix'!$A$2:$A$977,0)),0)</f>
        <v/>
      </c>
      <c r="K452" s="6">
        <f>IFERROR(INDEX('02b_DC_Accelerator_Mix'!$H$2:$H$977,MATCH(G452,'02b_DC_Accelerator_Mix'!$A$2:$A$977,0)),0)</f>
        <v/>
      </c>
      <c r="L452" s="6">
        <f>IFERROR(INDEX('02b_DC_Accelerator_Mix'!$I$2:$I$977,MATCH(G452,'02b_DC_Accelerator_Mix'!$A$2:$A$977,0)),0)</f>
        <v/>
      </c>
      <c r="M452" s="6">
        <f>IFERROR(INDEX('02b_DC_Accelerator_Mix'!$J$2:$J$977,MATCH(G452,'02b_DC_Accelerator_Mix'!$A$2:$A$977,0)),0)</f>
        <v/>
      </c>
      <c r="N452" s="6">
        <f>IFERROR(INDEX('02b_DC_Accelerator_Mix'!$K$2:$K$977,MATCH(G452,'02b_DC_Accelerator_Mix'!$A$2:$A$977,0)),0)</f>
        <v/>
      </c>
      <c r="O452" s="6">
        <f>IFERROR(INDEX('02b_DC_Accelerator_Mix'!$L$2:$L$977,MATCH(G452,'02b_DC_Accelerator_Mix'!$A$2:$A$977,0)),0)</f>
        <v/>
      </c>
      <c r="P452" s="6">
        <f>IFERROR(INDEX('02b_DC_Accelerator_Mix'!$M$2:$M$977,MATCH(G452,'02b_DC_Accelerator_Mix'!$A$2:$A$977,0)),0)</f>
        <v/>
      </c>
      <c r="Q452" s="6">
        <f>IFERROR(INDEX('02b_DC_Accelerator_Mix'!$N$2:$N$977,MATCH(G452,'02b_DC_Accelerator_Mix'!$A$2:$A$977,0)),0)</f>
        <v/>
      </c>
      <c r="R452" s="28">
        <f>H452*I452</f>
        <v/>
      </c>
      <c r="S452" s="28">
        <f>H452*J452</f>
        <v/>
      </c>
      <c r="T452" s="28">
        <f>H452*K452</f>
        <v/>
      </c>
      <c r="U452" s="28">
        <f>H452*L452</f>
        <v/>
      </c>
      <c r="V452" s="28">
        <f>H452*M452</f>
        <v/>
      </c>
      <c r="W452" s="28">
        <f>H452*N452</f>
        <v/>
      </c>
      <c r="X452" s="28">
        <f>H452*O452</f>
        <v/>
      </c>
      <c r="Y452" s="28">
        <f>H452*P452</f>
        <v/>
      </c>
      <c r="Z452" s="28">
        <f>H452*Q452</f>
        <v/>
      </c>
      <c r="AA452" s="28">
        <f>SUM(U452:Z452)</f>
        <v/>
      </c>
      <c r="AB452" s="5">
        <f>IF(COUNTIF('02b_DC_Accelerator_Mix'!$A$2:$A$977,G452)&gt;0,"matched","missing_mix")</f>
        <v/>
      </c>
    </row>
    <row r="453">
      <c r="A453" s="5">
        <f>'02a_DC_Capacity_Alloc'!A453</f>
        <v/>
      </c>
      <c r="B453" s="5">
        <f>'02a_DC_Capacity_Alloc'!B453</f>
        <v/>
      </c>
      <c r="C453" s="5">
        <f>'02a_DC_Capacity_Alloc'!C453</f>
        <v/>
      </c>
      <c r="D453" s="5">
        <f>'02a_DC_Capacity_Alloc'!D453</f>
        <v/>
      </c>
      <c r="E453" s="5">
        <f>'02a_DC_Capacity_Alloc'!E453</f>
        <v/>
      </c>
      <c r="F453" s="5">
        <f>'02a_DC_Capacity_Alloc'!F453</f>
        <v/>
      </c>
      <c r="G453" s="5">
        <f>B453&amp;"|"&amp;E453&amp;"|"&amp;D453</f>
        <v/>
      </c>
      <c r="H453" s="28">
        <f>'02a_DC_Capacity_Alloc'!H453*'02a_DC_Capacity_Alloc'!I453*'02a_DC_Capacity_Alloc'!J453</f>
        <v/>
      </c>
      <c r="I453" s="6">
        <f>IFERROR(INDEX('02b_DC_Accelerator_Mix'!$F$2:$F$977,MATCH(G453,'02b_DC_Accelerator_Mix'!$A$2:$A$977,0)),0)</f>
        <v/>
      </c>
      <c r="J453" s="6">
        <f>IFERROR(INDEX('02b_DC_Accelerator_Mix'!$G$2:$G$977,MATCH(G453,'02b_DC_Accelerator_Mix'!$A$2:$A$977,0)),0)</f>
        <v/>
      </c>
      <c r="K453" s="6">
        <f>IFERROR(INDEX('02b_DC_Accelerator_Mix'!$H$2:$H$977,MATCH(G453,'02b_DC_Accelerator_Mix'!$A$2:$A$977,0)),0)</f>
        <v/>
      </c>
      <c r="L453" s="6">
        <f>IFERROR(INDEX('02b_DC_Accelerator_Mix'!$I$2:$I$977,MATCH(G453,'02b_DC_Accelerator_Mix'!$A$2:$A$977,0)),0)</f>
        <v/>
      </c>
      <c r="M453" s="6">
        <f>IFERROR(INDEX('02b_DC_Accelerator_Mix'!$J$2:$J$977,MATCH(G453,'02b_DC_Accelerator_Mix'!$A$2:$A$977,0)),0)</f>
        <v/>
      </c>
      <c r="N453" s="6">
        <f>IFERROR(INDEX('02b_DC_Accelerator_Mix'!$K$2:$K$977,MATCH(G453,'02b_DC_Accelerator_Mix'!$A$2:$A$977,0)),0)</f>
        <v/>
      </c>
      <c r="O453" s="6">
        <f>IFERROR(INDEX('02b_DC_Accelerator_Mix'!$L$2:$L$977,MATCH(G453,'02b_DC_Accelerator_Mix'!$A$2:$A$977,0)),0)</f>
        <v/>
      </c>
      <c r="P453" s="6">
        <f>IFERROR(INDEX('02b_DC_Accelerator_Mix'!$M$2:$M$977,MATCH(G453,'02b_DC_Accelerator_Mix'!$A$2:$A$977,0)),0)</f>
        <v/>
      </c>
      <c r="Q453" s="6">
        <f>IFERROR(INDEX('02b_DC_Accelerator_Mix'!$N$2:$N$977,MATCH(G453,'02b_DC_Accelerator_Mix'!$A$2:$A$977,0)),0)</f>
        <v/>
      </c>
      <c r="R453" s="28">
        <f>H453*I453</f>
        <v/>
      </c>
      <c r="S453" s="28">
        <f>H453*J453</f>
        <v/>
      </c>
      <c r="T453" s="28">
        <f>H453*K453</f>
        <v/>
      </c>
      <c r="U453" s="28">
        <f>H453*L453</f>
        <v/>
      </c>
      <c r="V453" s="28">
        <f>H453*M453</f>
        <v/>
      </c>
      <c r="W453" s="28">
        <f>H453*N453</f>
        <v/>
      </c>
      <c r="X453" s="28">
        <f>H453*O453</f>
        <v/>
      </c>
      <c r="Y453" s="28">
        <f>H453*P453</f>
        <v/>
      </c>
      <c r="Z453" s="28">
        <f>H453*Q453</f>
        <v/>
      </c>
      <c r="AA453" s="28">
        <f>SUM(U453:Z453)</f>
        <v/>
      </c>
      <c r="AB453" s="5">
        <f>IF(COUNTIF('02b_DC_Accelerator_Mix'!$A$2:$A$977,G453)&gt;0,"matched","missing_mix")</f>
        <v/>
      </c>
    </row>
    <row r="454">
      <c r="A454" s="5">
        <f>'02a_DC_Capacity_Alloc'!A454</f>
        <v/>
      </c>
      <c r="B454" s="5">
        <f>'02a_DC_Capacity_Alloc'!B454</f>
        <v/>
      </c>
      <c r="C454" s="5">
        <f>'02a_DC_Capacity_Alloc'!C454</f>
        <v/>
      </c>
      <c r="D454" s="5">
        <f>'02a_DC_Capacity_Alloc'!D454</f>
        <v/>
      </c>
      <c r="E454" s="5">
        <f>'02a_DC_Capacity_Alloc'!E454</f>
        <v/>
      </c>
      <c r="F454" s="5">
        <f>'02a_DC_Capacity_Alloc'!F454</f>
        <v/>
      </c>
      <c r="G454" s="5">
        <f>B454&amp;"|"&amp;E454&amp;"|"&amp;D454</f>
        <v/>
      </c>
      <c r="H454" s="28">
        <f>'02a_DC_Capacity_Alloc'!H454*'02a_DC_Capacity_Alloc'!I454*'02a_DC_Capacity_Alloc'!J454</f>
        <v/>
      </c>
      <c r="I454" s="6">
        <f>IFERROR(INDEX('02b_DC_Accelerator_Mix'!$F$2:$F$977,MATCH(G454,'02b_DC_Accelerator_Mix'!$A$2:$A$977,0)),0)</f>
        <v/>
      </c>
      <c r="J454" s="6">
        <f>IFERROR(INDEX('02b_DC_Accelerator_Mix'!$G$2:$G$977,MATCH(G454,'02b_DC_Accelerator_Mix'!$A$2:$A$977,0)),0)</f>
        <v/>
      </c>
      <c r="K454" s="6">
        <f>IFERROR(INDEX('02b_DC_Accelerator_Mix'!$H$2:$H$977,MATCH(G454,'02b_DC_Accelerator_Mix'!$A$2:$A$977,0)),0)</f>
        <v/>
      </c>
      <c r="L454" s="6">
        <f>IFERROR(INDEX('02b_DC_Accelerator_Mix'!$I$2:$I$977,MATCH(G454,'02b_DC_Accelerator_Mix'!$A$2:$A$977,0)),0)</f>
        <v/>
      </c>
      <c r="M454" s="6">
        <f>IFERROR(INDEX('02b_DC_Accelerator_Mix'!$J$2:$J$977,MATCH(G454,'02b_DC_Accelerator_Mix'!$A$2:$A$977,0)),0)</f>
        <v/>
      </c>
      <c r="N454" s="6">
        <f>IFERROR(INDEX('02b_DC_Accelerator_Mix'!$K$2:$K$977,MATCH(G454,'02b_DC_Accelerator_Mix'!$A$2:$A$977,0)),0)</f>
        <v/>
      </c>
      <c r="O454" s="6">
        <f>IFERROR(INDEX('02b_DC_Accelerator_Mix'!$L$2:$L$977,MATCH(G454,'02b_DC_Accelerator_Mix'!$A$2:$A$977,0)),0)</f>
        <v/>
      </c>
      <c r="P454" s="6">
        <f>IFERROR(INDEX('02b_DC_Accelerator_Mix'!$M$2:$M$977,MATCH(G454,'02b_DC_Accelerator_Mix'!$A$2:$A$977,0)),0)</f>
        <v/>
      </c>
      <c r="Q454" s="6">
        <f>IFERROR(INDEX('02b_DC_Accelerator_Mix'!$N$2:$N$977,MATCH(G454,'02b_DC_Accelerator_Mix'!$A$2:$A$977,0)),0)</f>
        <v/>
      </c>
      <c r="R454" s="28">
        <f>H454*I454</f>
        <v/>
      </c>
      <c r="S454" s="28">
        <f>H454*J454</f>
        <v/>
      </c>
      <c r="T454" s="28">
        <f>H454*K454</f>
        <v/>
      </c>
      <c r="U454" s="28">
        <f>H454*L454</f>
        <v/>
      </c>
      <c r="V454" s="28">
        <f>H454*M454</f>
        <v/>
      </c>
      <c r="W454" s="28">
        <f>H454*N454</f>
        <v/>
      </c>
      <c r="X454" s="28">
        <f>H454*O454</f>
        <v/>
      </c>
      <c r="Y454" s="28">
        <f>H454*P454</f>
        <v/>
      </c>
      <c r="Z454" s="28">
        <f>H454*Q454</f>
        <v/>
      </c>
      <c r="AA454" s="28">
        <f>SUM(U454:Z454)</f>
        <v/>
      </c>
      <c r="AB454" s="5">
        <f>IF(COUNTIF('02b_DC_Accelerator_Mix'!$A$2:$A$977,G454)&gt;0,"matched","missing_mix")</f>
        <v/>
      </c>
    </row>
    <row r="455">
      <c r="A455" s="5">
        <f>'02a_DC_Capacity_Alloc'!A455</f>
        <v/>
      </c>
      <c r="B455" s="5">
        <f>'02a_DC_Capacity_Alloc'!B455</f>
        <v/>
      </c>
      <c r="C455" s="5">
        <f>'02a_DC_Capacity_Alloc'!C455</f>
        <v/>
      </c>
      <c r="D455" s="5">
        <f>'02a_DC_Capacity_Alloc'!D455</f>
        <v/>
      </c>
      <c r="E455" s="5">
        <f>'02a_DC_Capacity_Alloc'!E455</f>
        <v/>
      </c>
      <c r="F455" s="5">
        <f>'02a_DC_Capacity_Alloc'!F455</f>
        <v/>
      </c>
      <c r="G455" s="5">
        <f>B455&amp;"|"&amp;E455&amp;"|"&amp;D455</f>
        <v/>
      </c>
      <c r="H455" s="28">
        <f>'02a_DC_Capacity_Alloc'!H455*'02a_DC_Capacity_Alloc'!I455*'02a_DC_Capacity_Alloc'!J455</f>
        <v/>
      </c>
      <c r="I455" s="6">
        <f>IFERROR(INDEX('02b_DC_Accelerator_Mix'!$F$2:$F$977,MATCH(G455,'02b_DC_Accelerator_Mix'!$A$2:$A$977,0)),0)</f>
        <v/>
      </c>
      <c r="J455" s="6">
        <f>IFERROR(INDEX('02b_DC_Accelerator_Mix'!$G$2:$G$977,MATCH(G455,'02b_DC_Accelerator_Mix'!$A$2:$A$977,0)),0)</f>
        <v/>
      </c>
      <c r="K455" s="6">
        <f>IFERROR(INDEX('02b_DC_Accelerator_Mix'!$H$2:$H$977,MATCH(G455,'02b_DC_Accelerator_Mix'!$A$2:$A$977,0)),0)</f>
        <v/>
      </c>
      <c r="L455" s="6">
        <f>IFERROR(INDEX('02b_DC_Accelerator_Mix'!$I$2:$I$977,MATCH(G455,'02b_DC_Accelerator_Mix'!$A$2:$A$977,0)),0)</f>
        <v/>
      </c>
      <c r="M455" s="6">
        <f>IFERROR(INDEX('02b_DC_Accelerator_Mix'!$J$2:$J$977,MATCH(G455,'02b_DC_Accelerator_Mix'!$A$2:$A$977,0)),0)</f>
        <v/>
      </c>
      <c r="N455" s="6">
        <f>IFERROR(INDEX('02b_DC_Accelerator_Mix'!$K$2:$K$977,MATCH(G455,'02b_DC_Accelerator_Mix'!$A$2:$A$977,0)),0)</f>
        <v/>
      </c>
      <c r="O455" s="6">
        <f>IFERROR(INDEX('02b_DC_Accelerator_Mix'!$L$2:$L$977,MATCH(G455,'02b_DC_Accelerator_Mix'!$A$2:$A$977,0)),0)</f>
        <v/>
      </c>
      <c r="P455" s="6">
        <f>IFERROR(INDEX('02b_DC_Accelerator_Mix'!$M$2:$M$977,MATCH(G455,'02b_DC_Accelerator_Mix'!$A$2:$A$977,0)),0)</f>
        <v/>
      </c>
      <c r="Q455" s="6">
        <f>IFERROR(INDEX('02b_DC_Accelerator_Mix'!$N$2:$N$977,MATCH(G455,'02b_DC_Accelerator_Mix'!$A$2:$A$977,0)),0)</f>
        <v/>
      </c>
      <c r="R455" s="28">
        <f>H455*I455</f>
        <v/>
      </c>
      <c r="S455" s="28">
        <f>H455*J455</f>
        <v/>
      </c>
      <c r="T455" s="28">
        <f>H455*K455</f>
        <v/>
      </c>
      <c r="U455" s="28">
        <f>H455*L455</f>
        <v/>
      </c>
      <c r="V455" s="28">
        <f>H455*M455</f>
        <v/>
      </c>
      <c r="W455" s="28">
        <f>H455*N455</f>
        <v/>
      </c>
      <c r="X455" s="28">
        <f>H455*O455</f>
        <v/>
      </c>
      <c r="Y455" s="28">
        <f>H455*P455</f>
        <v/>
      </c>
      <c r="Z455" s="28">
        <f>H455*Q455</f>
        <v/>
      </c>
      <c r="AA455" s="28">
        <f>SUM(U455:Z455)</f>
        <v/>
      </c>
      <c r="AB455" s="5">
        <f>IF(COUNTIF('02b_DC_Accelerator_Mix'!$A$2:$A$977,G455)&gt;0,"matched","missing_mix")</f>
        <v/>
      </c>
    </row>
    <row r="456">
      <c r="A456" s="5">
        <f>'02a_DC_Capacity_Alloc'!A456</f>
        <v/>
      </c>
      <c r="B456" s="5">
        <f>'02a_DC_Capacity_Alloc'!B456</f>
        <v/>
      </c>
      <c r="C456" s="5">
        <f>'02a_DC_Capacity_Alloc'!C456</f>
        <v/>
      </c>
      <c r="D456" s="5">
        <f>'02a_DC_Capacity_Alloc'!D456</f>
        <v/>
      </c>
      <c r="E456" s="5">
        <f>'02a_DC_Capacity_Alloc'!E456</f>
        <v/>
      </c>
      <c r="F456" s="5">
        <f>'02a_DC_Capacity_Alloc'!F456</f>
        <v/>
      </c>
      <c r="G456" s="5">
        <f>B456&amp;"|"&amp;E456&amp;"|"&amp;D456</f>
        <v/>
      </c>
      <c r="H456" s="28">
        <f>'02a_DC_Capacity_Alloc'!H456*'02a_DC_Capacity_Alloc'!I456*'02a_DC_Capacity_Alloc'!J456</f>
        <v/>
      </c>
      <c r="I456" s="6">
        <f>IFERROR(INDEX('02b_DC_Accelerator_Mix'!$F$2:$F$977,MATCH(G456,'02b_DC_Accelerator_Mix'!$A$2:$A$977,0)),0)</f>
        <v/>
      </c>
      <c r="J456" s="6">
        <f>IFERROR(INDEX('02b_DC_Accelerator_Mix'!$G$2:$G$977,MATCH(G456,'02b_DC_Accelerator_Mix'!$A$2:$A$977,0)),0)</f>
        <v/>
      </c>
      <c r="K456" s="6">
        <f>IFERROR(INDEX('02b_DC_Accelerator_Mix'!$H$2:$H$977,MATCH(G456,'02b_DC_Accelerator_Mix'!$A$2:$A$977,0)),0)</f>
        <v/>
      </c>
      <c r="L456" s="6">
        <f>IFERROR(INDEX('02b_DC_Accelerator_Mix'!$I$2:$I$977,MATCH(G456,'02b_DC_Accelerator_Mix'!$A$2:$A$977,0)),0)</f>
        <v/>
      </c>
      <c r="M456" s="6">
        <f>IFERROR(INDEX('02b_DC_Accelerator_Mix'!$J$2:$J$977,MATCH(G456,'02b_DC_Accelerator_Mix'!$A$2:$A$977,0)),0)</f>
        <v/>
      </c>
      <c r="N456" s="6">
        <f>IFERROR(INDEX('02b_DC_Accelerator_Mix'!$K$2:$K$977,MATCH(G456,'02b_DC_Accelerator_Mix'!$A$2:$A$977,0)),0)</f>
        <v/>
      </c>
      <c r="O456" s="6">
        <f>IFERROR(INDEX('02b_DC_Accelerator_Mix'!$L$2:$L$977,MATCH(G456,'02b_DC_Accelerator_Mix'!$A$2:$A$977,0)),0)</f>
        <v/>
      </c>
      <c r="P456" s="6">
        <f>IFERROR(INDEX('02b_DC_Accelerator_Mix'!$M$2:$M$977,MATCH(G456,'02b_DC_Accelerator_Mix'!$A$2:$A$977,0)),0)</f>
        <v/>
      </c>
      <c r="Q456" s="6">
        <f>IFERROR(INDEX('02b_DC_Accelerator_Mix'!$N$2:$N$977,MATCH(G456,'02b_DC_Accelerator_Mix'!$A$2:$A$977,0)),0)</f>
        <v/>
      </c>
      <c r="R456" s="28">
        <f>H456*I456</f>
        <v/>
      </c>
      <c r="S456" s="28">
        <f>H456*J456</f>
        <v/>
      </c>
      <c r="T456" s="28">
        <f>H456*K456</f>
        <v/>
      </c>
      <c r="U456" s="28">
        <f>H456*L456</f>
        <v/>
      </c>
      <c r="V456" s="28">
        <f>H456*M456</f>
        <v/>
      </c>
      <c r="W456" s="28">
        <f>H456*N456</f>
        <v/>
      </c>
      <c r="X456" s="28">
        <f>H456*O456</f>
        <v/>
      </c>
      <c r="Y456" s="28">
        <f>H456*P456</f>
        <v/>
      </c>
      <c r="Z456" s="28">
        <f>H456*Q456</f>
        <v/>
      </c>
      <c r="AA456" s="28">
        <f>SUM(U456:Z456)</f>
        <v/>
      </c>
      <c r="AB456" s="5">
        <f>IF(COUNTIF('02b_DC_Accelerator_Mix'!$A$2:$A$977,G456)&gt;0,"matched","missing_mix")</f>
        <v/>
      </c>
    </row>
    <row r="457">
      <c r="A457" s="5">
        <f>'02a_DC_Capacity_Alloc'!A457</f>
        <v/>
      </c>
      <c r="B457" s="5">
        <f>'02a_DC_Capacity_Alloc'!B457</f>
        <v/>
      </c>
      <c r="C457" s="5">
        <f>'02a_DC_Capacity_Alloc'!C457</f>
        <v/>
      </c>
      <c r="D457" s="5">
        <f>'02a_DC_Capacity_Alloc'!D457</f>
        <v/>
      </c>
      <c r="E457" s="5">
        <f>'02a_DC_Capacity_Alloc'!E457</f>
        <v/>
      </c>
      <c r="F457" s="5">
        <f>'02a_DC_Capacity_Alloc'!F457</f>
        <v/>
      </c>
      <c r="G457" s="5">
        <f>B457&amp;"|"&amp;E457&amp;"|"&amp;D457</f>
        <v/>
      </c>
      <c r="H457" s="28">
        <f>'02a_DC_Capacity_Alloc'!H457*'02a_DC_Capacity_Alloc'!I457*'02a_DC_Capacity_Alloc'!J457</f>
        <v/>
      </c>
      <c r="I457" s="6">
        <f>IFERROR(INDEX('02b_DC_Accelerator_Mix'!$F$2:$F$977,MATCH(G457,'02b_DC_Accelerator_Mix'!$A$2:$A$977,0)),0)</f>
        <v/>
      </c>
      <c r="J457" s="6">
        <f>IFERROR(INDEX('02b_DC_Accelerator_Mix'!$G$2:$G$977,MATCH(G457,'02b_DC_Accelerator_Mix'!$A$2:$A$977,0)),0)</f>
        <v/>
      </c>
      <c r="K457" s="6">
        <f>IFERROR(INDEX('02b_DC_Accelerator_Mix'!$H$2:$H$977,MATCH(G457,'02b_DC_Accelerator_Mix'!$A$2:$A$977,0)),0)</f>
        <v/>
      </c>
      <c r="L457" s="6">
        <f>IFERROR(INDEX('02b_DC_Accelerator_Mix'!$I$2:$I$977,MATCH(G457,'02b_DC_Accelerator_Mix'!$A$2:$A$977,0)),0)</f>
        <v/>
      </c>
      <c r="M457" s="6">
        <f>IFERROR(INDEX('02b_DC_Accelerator_Mix'!$J$2:$J$977,MATCH(G457,'02b_DC_Accelerator_Mix'!$A$2:$A$977,0)),0)</f>
        <v/>
      </c>
      <c r="N457" s="6">
        <f>IFERROR(INDEX('02b_DC_Accelerator_Mix'!$K$2:$K$977,MATCH(G457,'02b_DC_Accelerator_Mix'!$A$2:$A$977,0)),0)</f>
        <v/>
      </c>
      <c r="O457" s="6">
        <f>IFERROR(INDEX('02b_DC_Accelerator_Mix'!$L$2:$L$977,MATCH(G457,'02b_DC_Accelerator_Mix'!$A$2:$A$977,0)),0)</f>
        <v/>
      </c>
      <c r="P457" s="6">
        <f>IFERROR(INDEX('02b_DC_Accelerator_Mix'!$M$2:$M$977,MATCH(G457,'02b_DC_Accelerator_Mix'!$A$2:$A$977,0)),0)</f>
        <v/>
      </c>
      <c r="Q457" s="6">
        <f>IFERROR(INDEX('02b_DC_Accelerator_Mix'!$N$2:$N$977,MATCH(G457,'02b_DC_Accelerator_Mix'!$A$2:$A$977,0)),0)</f>
        <v/>
      </c>
      <c r="R457" s="28">
        <f>H457*I457</f>
        <v/>
      </c>
      <c r="S457" s="28">
        <f>H457*J457</f>
        <v/>
      </c>
      <c r="T457" s="28">
        <f>H457*K457</f>
        <v/>
      </c>
      <c r="U457" s="28">
        <f>H457*L457</f>
        <v/>
      </c>
      <c r="V457" s="28">
        <f>H457*M457</f>
        <v/>
      </c>
      <c r="W457" s="28">
        <f>H457*N457</f>
        <v/>
      </c>
      <c r="X457" s="28">
        <f>H457*O457</f>
        <v/>
      </c>
      <c r="Y457" s="28">
        <f>H457*P457</f>
        <v/>
      </c>
      <c r="Z457" s="28">
        <f>H457*Q457</f>
        <v/>
      </c>
      <c r="AA457" s="28">
        <f>SUM(U457:Z457)</f>
        <v/>
      </c>
      <c r="AB457" s="5">
        <f>IF(COUNTIF('02b_DC_Accelerator_Mix'!$A$2:$A$977,G457)&gt;0,"matched","missing_mix")</f>
        <v/>
      </c>
    </row>
    <row r="458">
      <c r="A458" s="5">
        <f>'02a_DC_Capacity_Alloc'!A458</f>
        <v/>
      </c>
      <c r="B458" s="5">
        <f>'02a_DC_Capacity_Alloc'!B458</f>
        <v/>
      </c>
      <c r="C458" s="5">
        <f>'02a_DC_Capacity_Alloc'!C458</f>
        <v/>
      </c>
      <c r="D458" s="5">
        <f>'02a_DC_Capacity_Alloc'!D458</f>
        <v/>
      </c>
      <c r="E458" s="5">
        <f>'02a_DC_Capacity_Alloc'!E458</f>
        <v/>
      </c>
      <c r="F458" s="5">
        <f>'02a_DC_Capacity_Alloc'!F458</f>
        <v/>
      </c>
      <c r="G458" s="5">
        <f>B458&amp;"|"&amp;E458&amp;"|"&amp;D458</f>
        <v/>
      </c>
      <c r="H458" s="28">
        <f>'02a_DC_Capacity_Alloc'!H458*'02a_DC_Capacity_Alloc'!I458*'02a_DC_Capacity_Alloc'!J458</f>
        <v/>
      </c>
      <c r="I458" s="6">
        <f>IFERROR(INDEX('02b_DC_Accelerator_Mix'!$F$2:$F$977,MATCH(G458,'02b_DC_Accelerator_Mix'!$A$2:$A$977,0)),0)</f>
        <v/>
      </c>
      <c r="J458" s="6">
        <f>IFERROR(INDEX('02b_DC_Accelerator_Mix'!$G$2:$G$977,MATCH(G458,'02b_DC_Accelerator_Mix'!$A$2:$A$977,0)),0)</f>
        <v/>
      </c>
      <c r="K458" s="6">
        <f>IFERROR(INDEX('02b_DC_Accelerator_Mix'!$H$2:$H$977,MATCH(G458,'02b_DC_Accelerator_Mix'!$A$2:$A$977,0)),0)</f>
        <v/>
      </c>
      <c r="L458" s="6">
        <f>IFERROR(INDEX('02b_DC_Accelerator_Mix'!$I$2:$I$977,MATCH(G458,'02b_DC_Accelerator_Mix'!$A$2:$A$977,0)),0)</f>
        <v/>
      </c>
      <c r="M458" s="6">
        <f>IFERROR(INDEX('02b_DC_Accelerator_Mix'!$J$2:$J$977,MATCH(G458,'02b_DC_Accelerator_Mix'!$A$2:$A$977,0)),0)</f>
        <v/>
      </c>
      <c r="N458" s="6">
        <f>IFERROR(INDEX('02b_DC_Accelerator_Mix'!$K$2:$K$977,MATCH(G458,'02b_DC_Accelerator_Mix'!$A$2:$A$977,0)),0)</f>
        <v/>
      </c>
      <c r="O458" s="6">
        <f>IFERROR(INDEX('02b_DC_Accelerator_Mix'!$L$2:$L$977,MATCH(G458,'02b_DC_Accelerator_Mix'!$A$2:$A$977,0)),0)</f>
        <v/>
      </c>
      <c r="P458" s="6">
        <f>IFERROR(INDEX('02b_DC_Accelerator_Mix'!$M$2:$M$977,MATCH(G458,'02b_DC_Accelerator_Mix'!$A$2:$A$977,0)),0)</f>
        <v/>
      </c>
      <c r="Q458" s="6">
        <f>IFERROR(INDEX('02b_DC_Accelerator_Mix'!$N$2:$N$977,MATCH(G458,'02b_DC_Accelerator_Mix'!$A$2:$A$977,0)),0)</f>
        <v/>
      </c>
      <c r="R458" s="28">
        <f>H458*I458</f>
        <v/>
      </c>
      <c r="S458" s="28">
        <f>H458*J458</f>
        <v/>
      </c>
      <c r="T458" s="28">
        <f>H458*K458</f>
        <v/>
      </c>
      <c r="U458" s="28">
        <f>H458*L458</f>
        <v/>
      </c>
      <c r="V458" s="28">
        <f>H458*M458</f>
        <v/>
      </c>
      <c r="W458" s="28">
        <f>H458*N458</f>
        <v/>
      </c>
      <c r="X458" s="28">
        <f>H458*O458</f>
        <v/>
      </c>
      <c r="Y458" s="28">
        <f>H458*P458</f>
        <v/>
      </c>
      <c r="Z458" s="28">
        <f>H458*Q458</f>
        <v/>
      </c>
      <c r="AA458" s="28">
        <f>SUM(U458:Z458)</f>
        <v/>
      </c>
      <c r="AB458" s="5">
        <f>IF(COUNTIF('02b_DC_Accelerator_Mix'!$A$2:$A$977,G458)&gt;0,"matched","missing_mix")</f>
        <v/>
      </c>
    </row>
    <row r="459">
      <c r="A459" s="5">
        <f>'02a_DC_Capacity_Alloc'!A459</f>
        <v/>
      </c>
      <c r="B459" s="5">
        <f>'02a_DC_Capacity_Alloc'!B459</f>
        <v/>
      </c>
      <c r="C459" s="5">
        <f>'02a_DC_Capacity_Alloc'!C459</f>
        <v/>
      </c>
      <c r="D459" s="5">
        <f>'02a_DC_Capacity_Alloc'!D459</f>
        <v/>
      </c>
      <c r="E459" s="5">
        <f>'02a_DC_Capacity_Alloc'!E459</f>
        <v/>
      </c>
      <c r="F459" s="5">
        <f>'02a_DC_Capacity_Alloc'!F459</f>
        <v/>
      </c>
      <c r="G459" s="5">
        <f>B459&amp;"|"&amp;E459&amp;"|"&amp;D459</f>
        <v/>
      </c>
      <c r="H459" s="28">
        <f>'02a_DC_Capacity_Alloc'!H459*'02a_DC_Capacity_Alloc'!I459*'02a_DC_Capacity_Alloc'!J459</f>
        <v/>
      </c>
      <c r="I459" s="6">
        <f>IFERROR(INDEX('02b_DC_Accelerator_Mix'!$F$2:$F$977,MATCH(G459,'02b_DC_Accelerator_Mix'!$A$2:$A$977,0)),0)</f>
        <v/>
      </c>
      <c r="J459" s="6">
        <f>IFERROR(INDEX('02b_DC_Accelerator_Mix'!$G$2:$G$977,MATCH(G459,'02b_DC_Accelerator_Mix'!$A$2:$A$977,0)),0)</f>
        <v/>
      </c>
      <c r="K459" s="6">
        <f>IFERROR(INDEX('02b_DC_Accelerator_Mix'!$H$2:$H$977,MATCH(G459,'02b_DC_Accelerator_Mix'!$A$2:$A$977,0)),0)</f>
        <v/>
      </c>
      <c r="L459" s="6">
        <f>IFERROR(INDEX('02b_DC_Accelerator_Mix'!$I$2:$I$977,MATCH(G459,'02b_DC_Accelerator_Mix'!$A$2:$A$977,0)),0)</f>
        <v/>
      </c>
      <c r="M459" s="6">
        <f>IFERROR(INDEX('02b_DC_Accelerator_Mix'!$J$2:$J$977,MATCH(G459,'02b_DC_Accelerator_Mix'!$A$2:$A$977,0)),0)</f>
        <v/>
      </c>
      <c r="N459" s="6">
        <f>IFERROR(INDEX('02b_DC_Accelerator_Mix'!$K$2:$K$977,MATCH(G459,'02b_DC_Accelerator_Mix'!$A$2:$A$977,0)),0)</f>
        <v/>
      </c>
      <c r="O459" s="6">
        <f>IFERROR(INDEX('02b_DC_Accelerator_Mix'!$L$2:$L$977,MATCH(G459,'02b_DC_Accelerator_Mix'!$A$2:$A$977,0)),0)</f>
        <v/>
      </c>
      <c r="P459" s="6">
        <f>IFERROR(INDEX('02b_DC_Accelerator_Mix'!$M$2:$M$977,MATCH(G459,'02b_DC_Accelerator_Mix'!$A$2:$A$977,0)),0)</f>
        <v/>
      </c>
      <c r="Q459" s="6">
        <f>IFERROR(INDEX('02b_DC_Accelerator_Mix'!$N$2:$N$977,MATCH(G459,'02b_DC_Accelerator_Mix'!$A$2:$A$977,0)),0)</f>
        <v/>
      </c>
      <c r="R459" s="28">
        <f>H459*I459</f>
        <v/>
      </c>
      <c r="S459" s="28">
        <f>H459*J459</f>
        <v/>
      </c>
      <c r="T459" s="28">
        <f>H459*K459</f>
        <v/>
      </c>
      <c r="U459" s="28">
        <f>H459*L459</f>
        <v/>
      </c>
      <c r="V459" s="28">
        <f>H459*M459</f>
        <v/>
      </c>
      <c r="W459" s="28">
        <f>H459*N459</f>
        <v/>
      </c>
      <c r="X459" s="28">
        <f>H459*O459</f>
        <v/>
      </c>
      <c r="Y459" s="28">
        <f>H459*P459</f>
        <v/>
      </c>
      <c r="Z459" s="28">
        <f>H459*Q459</f>
        <v/>
      </c>
      <c r="AA459" s="28">
        <f>SUM(U459:Z459)</f>
        <v/>
      </c>
      <c r="AB459" s="5">
        <f>IF(COUNTIF('02b_DC_Accelerator_Mix'!$A$2:$A$977,G459)&gt;0,"matched","missing_mix")</f>
        <v/>
      </c>
    </row>
    <row r="460">
      <c r="A460" s="5">
        <f>'02a_DC_Capacity_Alloc'!A460</f>
        <v/>
      </c>
      <c r="B460" s="5">
        <f>'02a_DC_Capacity_Alloc'!B460</f>
        <v/>
      </c>
      <c r="C460" s="5">
        <f>'02a_DC_Capacity_Alloc'!C460</f>
        <v/>
      </c>
      <c r="D460" s="5">
        <f>'02a_DC_Capacity_Alloc'!D460</f>
        <v/>
      </c>
      <c r="E460" s="5">
        <f>'02a_DC_Capacity_Alloc'!E460</f>
        <v/>
      </c>
      <c r="F460" s="5">
        <f>'02a_DC_Capacity_Alloc'!F460</f>
        <v/>
      </c>
      <c r="G460" s="5">
        <f>B460&amp;"|"&amp;E460&amp;"|"&amp;D460</f>
        <v/>
      </c>
      <c r="H460" s="28">
        <f>'02a_DC_Capacity_Alloc'!H460*'02a_DC_Capacity_Alloc'!I460*'02a_DC_Capacity_Alloc'!J460</f>
        <v/>
      </c>
      <c r="I460" s="6">
        <f>IFERROR(INDEX('02b_DC_Accelerator_Mix'!$F$2:$F$977,MATCH(G460,'02b_DC_Accelerator_Mix'!$A$2:$A$977,0)),0)</f>
        <v/>
      </c>
      <c r="J460" s="6">
        <f>IFERROR(INDEX('02b_DC_Accelerator_Mix'!$G$2:$G$977,MATCH(G460,'02b_DC_Accelerator_Mix'!$A$2:$A$977,0)),0)</f>
        <v/>
      </c>
      <c r="K460" s="6">
        <f>IFERROR(INDEX('02b_DC_Accelerator_Mix'!$H$2:$H$977,MATCH(G460,'02b_DC_Accelerator_Mix'!$A$2:$A$977,0)),0)</f>
        <v/>
      </c>
      <c r="L460" s="6">
        <f>IFERROR(INDEX('02b_DC_Accelerator_Mix'!$I$2:$I$977,MATCH(G460,'02b_DC_Accelerator_Mix'!$A$2:$A$977,0)),0)</f>
        <v/>
      </c>
      <c r="M460" s="6">
        <f>IFERROR(INDEX('02b_DC_Accelerator_Mix'!$J$2:$J$977,MATCH(G460,'02b_DC_Accelerator_Mix'!$A$2:$A$977,0)),0)</f>
        <v/>
      </c>
      <c r="N460" s="6">
        <f>IFERROR(INDEX('02b_DC_Accelerator_Mix'!$K$2:$K$977,MATCH(G460,'02b_DC_Accelerator_Mix'!$A$2:$A$977,0)),0)</f>
        <v/>
      </c>
      <c r="O460" s="6">
        <f>IFERROR(INDEX('02b_DC_Accelerator_Mix'!$L$2:$L$977,MATCH(G460,'02b_DC_Accelerator_Mix'!$A$2:$A$977,0)),0)</f>
        <v/>
      </c>
      <c r="P460" s="6">
        <f>IFERROR(INDEX('02b_DC_Accelerator_Mix'!$M$2:$M$977,MATCH(G460,'02b_DC_Accelerator_Mix'!$A$2:$A$977,0)),0)</f>
        <v/>
      </c>
      <c r="Q460" s="6">
        <f>IFERROR(INDEX('02b_DC_Accelerator_Mix'!$N$2:$N$977,MATCH(G460,'02b_DC_Accelerator_Mix'!$A$2:$A$977,0)),0)</f>
        <v/>
      </c>
      <c r="R460" s="28">
        <f>H460*I460</f>
        <v/>
      </c>
      <c r="S460" s="28">
        <f>H460*J460</f>
        <v/>
      </c>
      <c r="T460" s="28">
        <f>H460*K460</f>
        <v/>
      </c>
      <c r="U460" s="28">
        <f>H460*L460</f>
        <v/>
      </c>
      <c r="V460" s="28">
        <f>H460*M460</f>
        <v/>
      </c>
      <c r="W460" s="28">
        <f>H460*N460</f>
        <v/>
      </c>
      <c r="X460" s="28">
        <f>H460*O460</f>
        <v/>
      </c>
      <c r="Y460" s="28">
        <f>H460*P460</f>
        <v/>
      </c>
      <c r="Z460" s="28">
        <f>H460*Q460</f>
        <v/>
      </c>
      <c r="AA460" s="28">
        <f>SUM(U460:Z460)</f>
        <v/>
      </c>
      <c r="AB460" s="5">
        <f>IF(COUNTIF('02b_DC_Accelerator_Mix'!$A$2:$A$977,G460)&gt;0,"matched","missing_mix")</f>
        <v/>
      </c>
    </row>
    <row r="461">
      <c r="A461" s="5">
        <f>'02a_DC_Capacity_Alloc'!A461</f>
        <v/>
      </c>
      <c r="B461" s="5">
        <f>'02a_DC_Capacity_Alloc'!B461</f>
        <v/>
      </c>
      <c r="C461" s="5">
        <f>'02a_DC_Capacity_Alloc'!C461</f>
        <v/>
      </c>
      <c r="D461" s="5">
        <f>'02a_DC_Capacity_Alloc'!D461</f>
        <v/>
      </c>
      <c r="E461" s="5">
        <f>'02a_DC_Capacity_Alloc'!E461</f>
        <v/>
      </c>
      <c r="F461" s="5">
        <f>'02a_DC_Capacity_Alloc'!F461</f>
        <v/>
      </c>
      <c r="G461" s="5">
        <f>B461&amp;"|"&amp;E461&amp;"|"&amp;D461</f>
        <v/>
      </c>
      <c r="H461" s="28">
        <f>'02a_DC_Capacity_Alloc'!H461*'02a_DC_Capacity_Alloc'!I461*'02a_DC_Capacity_Alloc'!J461</f>
        <v/>
      </c>
      <c r="I461" s="6">
        <f>IFERROR(INDEX('02b_DC_Accelerator_Mix'!$F$2:$F$977,MATCH(G461,'02b_DC_Accelerator_Mix'!$A$2:$A$977,0)),0)</f>
        <v/>
      </c>
      <c r="J461" s="6">
        <f>IFERROR(INDEX('02b_DC_Accelerator_Mix'!$G$2:$G$977,MATCH(G461,'02b_DC_Accelerator_Mix'!$A$2:$A$977,0)),0)</f>
        <v/>
      </c>
      <c r="K461" s="6">
        <f>IFERROR(INDEX('02b_DC_Accelerator_Mix'!$H$2:$H$977,MATCH(G461,'02b_DC_Accelerator_Mix'!$A$2:$A$977,0)),0)</f>
        <v/>
      </c>
      <c r="L461" s="6">
        <f>IFERROR(INDEX('02b_DC_Accelerator_Mix'!$I$2:$I$977,MATCH(G461,'02b_DC_Accelerator_Mix'!$A$2:$A$977,0)),0)</f>
        <v/>
      </c>
      <c r="M461" s="6">
        <f>IFERROR(INDEX('02b_DC_Accelerator_Mix'!$J$2:$J$977,MATCH(G461,'02b_DC_Accelerator_Mix'!$A$2:$A$977,0)),0)</f>
        <v/>
      </c>
      <c r="N461" s="6">
        <f>IFERROR(INDEX('02b_DC_Accelerator_Mix'!$K$2:$K$977,MATCH(G461,'02b_DC_Accelerator_Mix'!$A$2:$A$977,0)),0)</f>
        <v/>
      </c>
      <c r="O461" s="6">
        <f>IFERROR(INDEX('02b_DC_Accelerator_Mix'!$L$2:$L$977,MATCH(G461,'02b_DC_Accelerator_Mix'!$A$2:$A$977,0)),0)</f>
        <v/>
      </c>
      <c r="P461" s="6">
        <f>IFERROR(INDEX('02b_DC_Accelerator_Mix'!$M$2:$M$977,MATCH(G461,'02b_DC_Accelerator_Mix'!$A$2:$A$977,0)),0)</f>
        <v/>
      </c>
      <c r="Q461" s="6">
        <f>IFERROR(INDEX('02b_DC_Accelerator_Mix'!$N$2:$N$977,MATCH(G461,'02b_DC_Accelerator_Mix'!$A$2:$A$977,0)),0)</f>
        <v/>
      </c>
      <c r="R461" s="28">
        <f>H461*I461</f>
        <v/>
      </c>
      <c r="S461" s="28">
        <f>H461*J461</f>
        <v/>
      </c>
      <c r="T461" s="28">
        <f>H461*K461</f>
        <v/>
      </c>
      <c r="U461" s="28">
        <f>H461*L461</f>
        <v/>
      </c>
      <c r="V461" s="28">
        <f>H461*M461</f>
        <v/>
      </c>
      <c r="W461" s="28">
        <f>H461*N461</f>
        <v/>
      </c>
      <c r="X461" s="28">
        <f>H461*O461</f>
        <v/>
      </c>
      <c r="Y461" s="28">
        <f>H461*P461</f>
        <v/>
      </c>
      <c r="Z461" s="28">
        <f>H461*Q461</f>
        <v/>
      </c>
      <c r="AA461" s="28">
        <f>SUM(U461:Z461)</f>
        <v/>
      </c>
      <c r="AB461" s="5">
        <f>IF(COUNTIF('02b_DC_Accelerator_Mix'!$A$2:$A$977,G461)&gt;0,"matched","missing_mix")</f>
        <v/>
      </c>
    </row>
    <row r="462">
      <c r="A462" s="5">
        <f>'02a_DC_Capacity_Alloc'!A462</f>
        <v/>
      </c>
      <c r="B462" s="5">
        <f>'02a_DC_Capacity_Alloc'!B462</f>
        <v/>
      </c>
      <c r="C462" s="5">
        <f>'02a_DC_Capacity_Alloc'!C462</f>
        <v/>
      </c>
      <c r="D462" s="5">
        <f>'02a_DC_Capacity_Alloc'!D462</f>
        <v/>
      </c>
      <c r="E462" s="5">
        <f>'02a_DC_Capacity_Alloc'!E462</f>
        <v/>
      </c>
      <c r="F462" s="5">
        <f>'02a_DC_Capacity_Alloc'!F462</f>
        <v/>
      </c>
      <c r="G462" s="5">
        <f>B462&amp;"|"&amp;E462&amp;"|"&amp;D462</f>
        <v/>
      </c>
      <c r="H462" s="28">
        <f>'02a_DC_Capacity_Alloc'!H462*'02a_DC_Capacity_Alloc'!I462*'02a_DC_Capacity_Alloc'!J462</f>
        <v/>
      </c>
      <c r="I462" s="6">
        <f>IFERROR(INDEX('02b_DC_Accelerator_Mix'!$F$2:$F$977,MATCH(G462,'02b_DC_Accelerator_Mix'!$A$2:$A$977,0)),0)</f>
        <v/>
      </c>
      <c r="J462" s="6">
        <f>IFERROR(INDEX('02b_DC_Accelerator_Mix'!$G$2:$G$977,MATCH(G462,'02b_DC_Accelerator_Mix'!$A$2:$A$977,0)),0)</f>
        <v/>
      </c>
      <c r="K462" s="6">
        <f>IFERROR(INDEX('02b_DC_Accelerator_Mix'!$H$2:$H$977,MATCH(G462,'02b_DC_Accelerator_Mix'!$A$2:$A$977,0)),0)</f>
        <v/>
      </c>
      <c r="L462" s="6">
        <f>IFERROR(INDEX('02b_DC_Accelerator_Mix'!$I$2:$I$977,MATCH(G462,'02b_DC_Accelerator_Mix'!$A$2:$A$977,0)),0)</f>
        <v/>
      </c>
      <c r="M462" s="6">
        <f>IFERROR(INDEX('02b_DC_Accelerator_Mix'!$J$2:$J$977,MATCH(G462,'02b_DC_Accelerator_Mix'!$A$2:$A$977,0)),0)</f>
        <v/>
      </c>
      <c r="N462" s="6">
        <f>IFERROR(INDEX('02b_DC_Accelerator_Mix'!$K$2:$K$977,MATCH(G462,'02b_DC_Accelerator_Mix'!$A$2:$A$977,0)),0)</f>
        <v/>
      </c>
      <c r="O462" s="6">
        <f>IFERROR(INDEX('02b_DC_Accelerator_Mix'!$L$2:$L$977,MATCH(G462,'02b_DC_Accelerator_Mix'!$A$2:$A$977,0)),0)</f>
        <v/>
      </c>
      <c r="P462" s="6">
        <f>IFERROR(INDEX('02b_DC_Accelerator_Mix'!$M$2:$M$977,MATCH(G462,'02b_DC_Accelerator_Mix'!$A$2:$A$977,0)),0)</f>
        <v/>
      </c>
      <c r="Q462" s="6">
        <f>IFERROR(INDEX('02b_DC_Accelerator_Mix'!$N$2:$N$977,MATCH(G462,'02b_DC_Accelerator_Mix'!$A$2:$A$977,0)),0)</f>
        <v/>
      </c>
      <c r="R462" s="28">
        <f>H462*I462</f>
        <v/>
      </c>
      <c r="S462" s="28">
        <f>H462*J462</f>
        <v/>
      </c>
      <c r="T462" s="28">
        <f>H462*K462</f>
        <v/>
      </c>
      <c r="U462" s="28">
        <f>H462*L462</f>
        <v/>
      </c>
      <c r="V462" s="28">
        <f>H462*M462</f>
        <v/>
      </c>
      <c r="W462" s="28">
        <f>H462*N462</f>
        <v/>
      </c>
      <c r="X462" s="28">
        <f>H462*O462</f>
        <v/>
      </c>
      <c r="Y462" s="28">
        <f>H462*P462</f>
        <v/>
      </c>
      <c r="Z462" s="28">
        <f>H462*Q462</f>
        <v/>
      </c>
      <c r="AA462" s="28">
        <f>SUM(U462:Z462)</f>
        <v/>
      </c>
      <c r="AB462" s="5">
        <f>IF(COUNTIF('02b_DC_Accelerator_Mix'!$A$2:$A$977,G462)&gt;0,"matched","missing_mix")</f>
        <v/>
      </c>
    </row>
    <row r="463">
      <c r="A463" s="5">
        <f>'02a_DC_Capacity_Alloc'!A463</f>
        <v/>
      </c>
      <c r="B463" s="5">
        <f>'02a_DC_Capacity_Alloc'!B463</f>
        <v/>
      </c>
      <c r="C463" s="5">
        <f>'02a_DC_Capacity_Alloc'!C463</f>
        <v/>
      </c>
      <c r="D463" s="5">
        <f>'02a_DC_Capacity_Alloc'!D463</f>
        <v/>
      </c>
      <c r="E463" s="5">
        <f>'02a_DC_Capacity_Alloc'!E463</f>
        <v/>
      </c>
      <c r="F463" s="5">
        <f>'02a_DC_Capacity_Alloc'!F463</f>
        <v/>
      </c>
      <c r="G463" s="5">
        <f>B463&amp;"|"&amp;E463&amp;"|"&amp;D463</f>
        <v/>
      </c>
      <c r="H463" s="28">
        <f>'02a_DC_Capacity_Alloc'!H463*'02a_DC_Capacity_Alloc'!I463*'02a_DC_Capacity_Alloc'!J463</f>
        <v/>
      </c>
      <c r="I463" s="6">
        <f>IFERROR(INDEX('02b_DC_Accelerator_Mix'!$F$2:$F$977,MATCH(G463,'02b_DC_Accelerator_Mix'!$A$2:$A$977,0)),0)</f>
        <v/>
      </c>
      <c r="J463" s="6">
        <f>IFERROR(INDEX('02b_DC_Accelerator_Mix'!$G$2:$G$977,MATCH(G463,'02b_DC_Accelerator_Mix'!$A$2:$A$977,0)),0)</f>
        <v/>
      </c>
      <c r="K463" s="6">
        <f>IFERROR(INDEX('02b_DC_Accelerator_Mix'!$H$2:$H$977,MATCH(G463,'02b_DC_Accelerator_Mix'!$A$2:$A$977,0)),0)</f>
        <v/>
      </c>
      <c r="L463" s="6">
        <f>IFERROR(INDEX('02b_DC_Accelerator_Mix'!$I$2:$I$977,MATCH(G463,'02b_DC_Accelerator_Mix'!$A$2:$A$977,0)),0)</f>
        <v/>
      </c>
      <c r="M463" s="6">
        <f>IFERROR(INDEX('02b_DC_Accelerator_Mix'!$J$2:$J$977,MATCH(G463,'02b_DC_Accelerator_Mix'!$A$2:$A$977,0)),0)</f>
        <v/>
      </c>
      <c r="N463" s="6">
        <f>IFERROR(INDEX('02b_DC_Accelerator_Mix'!$K$2:$K$977,MATCH(G463,'02b_DC_Accelerator_Mix'!$A$2:$A$977,0)),0)</f>
        <v/>
      </c>
      <c r="O463" s="6">
        <f>IFERROR(INDEX('02b_DC_Accelerator_Mix'!$L$2:$L$977,MATCH(G463,'02b_DC_Accelerator_Mix'!$A$2:$A$977,0)),0)</f>
        <v/>
      </c>
      <c r="P463" s="6">
        <f>IFERROR(INDEX('02b_DC_Accelerator_Mix'!$M$2:$M$977,MATCH(G463,'02b_DC_Accelerator_Mix'!$A$2:$A$977,0)),0)</f>
        <v/>
      </c>
      <c r="Q463" s="6">
        <f>IFERROR(INDEX('02b_DC_Accelerator_Mix'!$N$2:$N$977,MATCH(G463,'02b_DC_Accelerator_Mix'!$A$2:$A$977,0)),0)</f>
        <v/>
      </c>
      <c r="R463" s="28">
        <f>H463*I463</f>
        <v/>
      </c>
      <c r="S463" s="28">
        <f>H463*J463</f>
        <v/>
      </c>
      <c r="T463" s="28">
        <f>H463*K463</f>
        <v/>
      </c>
      <c r="U463" s="28">
        <f>H463*L463</f>
        <v/>
      </c>
      <c r="V463" s="28">
        <f>H463*M463</f>
        <v/>
      </c>
      <c r="W463" s="28">
        <f>H463*N463</f>
        <v/>
      </c>
      <c r="X463" s="28">
        <f>H463*O463</f>
        <v/>
      </c>
      <c r="Y463" s="28">
        <f>H463*P463</f>
        <v/>
      </c>
      <c r="Z463" s="28">
        <f>H463*Q463</f>
        <v/>
      </c>
      <c r="AA463" s="28">
        <f>SUM(U463:Z463)</f>
        <v/>
      </c>
      <c r="AB463" s="5">
        <f>IF(COUNTIF('02b_DC_Accelerator_Mix'!$A$2:$A$977,G463)&gt;0,"matched","missing_mix")</f>
        <v/>
      </c>
    </row>
    <row r="464">
      <c r="A464" s="5">
        <f>'02a_DC_Capacity_Alloc'!A464</f>
        <v/>
      </c>
      <c r="B464" s="5">
        <f>'02a_DC_Capacity_Alloc'!B464</f>
        <v/>
      </c>
      <c r="C464" s="5">
        <f>'02a_DC_Capacity_Alloc'!C464</f>
        <v/>
      </c>
      <c r="D464" s="5">
        <f>'02a_DC_Capacity_Alloc'!D464</f>
        <v/>
      </c>
      <c r="E464" s="5">
        <f>'02a_DC_Capacity_Alloc'!E464</f>
        <v/>
      </c>
      <c r="F464" s="5">
        <f>'02a_DC_Capacity_Alloc'!F464</f>
        <v/>
      </c>
      <c r="G464" s="5">
        <f>B464&amp;"|"&amp;E464&amp;"|"&amp;D464</f>
        <v/>
      </c>
      <c r="H464" s="28">
        <f>'02a_DC_Capacity_Alloc'!H464*'02a_DC_Capacity_Alloc'!I464*'02a_DC_Capacity_Alloc'!J464</f>
        <v/>
      </c>
      <c r="I464" s="6">
        <f>IFERROR(INDEX('02b_DC_Accelerator_Mix'!$F$2:$F$977,MATCH(G464,'02b_DC_Accelerator_Mix'!$A$2:$A$977,0)),0)</f>
        <v/>
      </c>
      <c r="J464" s="6">
        <f>IFERROR(INDEX('02b_DC_Accelerator_Mix'!$G$2:$G$977,MATCH(G464,'02b_DC_Accelerator_Mix'!$A$2:$A$977,0)),0)</f>
        <v/>
      </c>
      <c r="K464" s="6">
        <f>IFERROR(INDEX('02b_DC_Accelerator_Mix'!$H$2:$H$977,MATCH(G464,'02b_DC_Accelerator_Mix'!$A$2:$A$977,0)),0)</f>
        <v/>
      </c>
      <c r="L464" s="6">
        <f>IFERROR(INDEX('02b_DC_Accelerator_Mix'!$I$2:$I$977,MATCH(G464,'02b_DC_Accelerator_Mix'!$A$2:$A$977,0)),0)</f>
        <v/>
      </c>
      <c r="M464" s="6">
        <f>IFERROR(INDEX('02b_DC_Accelerator_Mix'!$J$2:$J$977,MATCH(G464,'02b_DC_Accelerator_Mix'!$A$2:$A$977,0)),0)</f>
        <v/>
      </c>
      <c r="N464" s="6">
        <f>IFERROR(INDEX('02b_DC_Accelerator_Mix'!$K$2:$K$977,MATCH(G464,'02b_DC_Accelerator_Mix'!$A$2:$A$977,0)),0)</f>
        <v/>
      </c>
      <c r="O464" s="6">
        <f>IFERROR(INDEX('02b_DC_Accelerator_Mix'!$L$2:$L$977,MATCH(G464,'02b_DC_Accelerator_Mix'!$A$2:$A$977,0)),0)</f>
        <v/>
      </c>
      <c r="P464" s="6">
        <f>IFERROR(INDEX('02b_DC_Accelerator_Mix'!$M$2:$M$977,MATCH(G464,'02b_DC_Accelerator_Mix'!$A$2:$A$977,0)),0)</f>
        <v/>
      </c>
      <c r="Q464" s="6">
        <f>IFERROR(INDEX('02b_DC_Accelerator_Mix'!$N$2:$N$977,MATCH(G464,'02b_DC_Accelerator_Mix'!$A$2:$A$977,0)),0)</f>
        <v/>
      </c>
      <c r="R464" s="28">
        <f>H464*I464</f>
        <v/>
      </c>
      <c r="S464" s="28">
        <f>H464*J464</f>
        <v/>
      </c>
      <c r="T464" s="28">
        <f>H464*K464</f>
        <v/>
      </c>
      <c r="U464" s="28">
        <f>H464*L464</f>
        <v/>
      </c>
      <c r="V464" s="28">
        <f>H464*M464</f>
        <v/>
      </c>
      <c r="W464" s="28">
        <f>H464*N464</f>
        <v/>
      </c>
      <c r="X464" s="28">
        <f>H464*O464</f>
        <v/>
      </c>
      <c r="Y464" s="28">
        <f>H464*P464</f>
        <v/>
      </c>
      <c r="Z464" s="28">
        <f>H464*Q464</f>
        <v/>
      </c>
      <c r="AA464" s="28">
        <f>SUM(U464:Z464)</f>
        <v/>
      </c>
      <c r="AB464" s="5">
        <f>IF(COUNTIF('02b_DC_Accelerator_Mix'!$A$2:$A$977,G464)&gt;0,"matched","missing_mix")</f>
        <v/>
      </c>
    </row>
    <row r="465">
      <c r="A465" s="5">
        <f>'02a_DC_Capacity_Alloc'!A465</f>
        <v/>
      </c>
      <c r="B465" s="5">
        <f>'02a_DC_Capacity_Alloc'!B465</f>
        <v/>
      </c>
      <c r="C465" s="5">
        <f>'02a_DC_Capacity_Alloc'!C465</f>
        <v/>
      </c>
      <c r="D465" s="5">
        <f>'02a_DC_Capacity_Alloc'!D465</f>
        <v/>
      </c>
      <c r="E465" s="5">
        <f>'02a_DC_Capacity_Alloc'!E465</f>
        <v/>
      </c>
      <c r="F465" s="5">
        <f>'02a_DC_Capacity_Alloc'!F465</f>
        <v/>
      </c>
      <c r="G465" s="5">
        <f>B465&amp;"|"&amp;E465&amp;"|"&amp;D465</f>
        <v/>
      </c>
      <c r="H465" s="28">
        <f>'02a_DC_Capacity_Alloc'!H465*'02a_DC_Capacity_Alloc'!I465*'02a_DC_Capacity_Alloc'!J465</f>
        <v/>
      </c>
      <c r="I465" s="6">
        <f>IFERROR(INDEX('02b_DC_Accelerator_Mix'!$F$2:$F$977,MATCH(G465,'02b_DC_Accelerator_Mix'!$A$2:$A$977,0)),0)</f>
        <v/>
      </c>
      <c r="J465" s="6">
        <f>IFERROR(INDEX('02b_DC_Accelerator_Mix'!$G$2:$G$977,MATCH(G465,'02b_DC_Accelerator_Mix'!$A$2:$A$977,0)),0)</f>
        <v/>
      </c>
      <c r="K465" s="6">
        <f>IFERROR(INDEX('02b_DC_Accelerator_Mix'!$H$2:$H$977,MATCH(G465,'02b_DC_Accelerator_Mix'!$A$2:$A$977,0)),0)</f>
        <v/>
      </c>
      <c r="L465" s="6">
        <f>IFERROR(INDEX('02b_DC_Accelerator_Mix'!$I$2:$I$977,MATCH(G465,'02b_DC_Accelerator_Mix'!$A$2:$A$977,0)),0)</f>
        <v/>
      </c>
      <c r="M465" s="6">
        <f>IFERROR(INDEX('02b_DC_Accelerator_Mix'!$J$2:$J$977,MATCH(G465,'02b_DC_Accelerator_Mix'!$A$2:$A$977,0)),0)</f>
        <v/>
      </c>
      <c r="N465" s="6">
        <f>IFERROR(INDEX('02b_DC_Accelerator_Mix'!$K$2:$K$977,MATCH(G465,'02b_DC_Accelerator_Mix'!$A$2:$A$977,0)),0)</f>
        <v/>
      </c>
      <c r="O465" s="6">
        <f>IFERROR(INDEX('02b_DC_Accelerator_Mix'!$L$2:$L$977,MATCH(G465,'02b_DC_Accelerator_Mix'!$A$2:$A$977,0)),0)</f>
        <v/>
      </c>
      <c r="P465" s="6">
        <f>IFERROR(INDEX('02b_DC_Accelerator_Mix'!$M$2:$M$977,MATCH(G465,'02b_DC_Accelerator_Mix'!$A$2:$A$977,0)),0)</f>
        <v/>
      </c>
      <c r="Q465" s="6">
        <f>IFERROR(INDEX('02b_DC_Accelerator_Mix'!$N$2:$N$977,MATCH(G465,'02b_DC_Accelerator_Mix'!$A$2:$A$977,0)),0)</f>
        <v/>
      </c>
      <c r="R465" s="28">
        <f>H465*I465</f>
        <v/>
      </c>
      <c r="S465" s="28">
        <f>H465*J465</f>
        <v/>
      </c>
      <c r="T465" s="28">
        <f>H465*K465</f>
        <v/>
      </c>
      <c r="U465" s="28">
        <f>H465*L465</f>
        <v/>
      </c>
      <c r="V465" s="28">
        <f>H465*M465</f>
        <v/>
      </c>
      <c r="W465" s="28">
        <f>H465*N465</f>
        <v/>
      </c>
      <c r="X465" s="28">
        <f>H465*O465</f>
        <v/>
      </c>
      <c r="Y465" s="28">
        <f>H465*P465</f>
        <v/>
      </c>
      <c r="Z465" s="28">
        <f>H465*Q465</f>
        <v/>
      </c>
      <c r="AA465" s="28">
        <f>SUM(U465:Z465)</f>
        <v/>
      </c>
      <c r="AB465" s="5">
        <f>IF(COUNTIF('02b_DC_Accelerator_Mix'!$A$2:$A$977,G465)&gt;0,"matched","missing_mix")</f>
        <v/>
      </c>
    </row>
    <row r="466">
      <c r="A466" s="5">
        <f>'02a_DC_Capacity_Alloc'!A466</f>
        <v/>
      </c>
      <c r="B466" s="5">
        <f>'02a_DC_Capacity_Alloc'!B466</f>
        <v/>
      </c>
      <c r="C466" s="5">
        <f>'02a_DC_Capacity_Alloc'!C466</f>
        <v/>
      </c>
      <c r="D466" s="5">
        <f>'02a_DC_Capacity_Alloc'!D466</f>
        <v/>
      </c>
      <c r="E466" s="5">
        <f>'02a_DC_Capacity_Alloc'!E466</f>
        <v/>
      </c>
      <c r="F466" s="5">
        <f>'02a_DC_Capacity_Alloc'!F466</f>
        <v/>
      </c>
      <c r="G466" s="5">
        <f>B466&amp;"|"&amp;E466&amp;"|"&amp;D466</f>
        <v/>
      </c>
      <c r="H466" s="28">
        <f>'02a_DC_Capacity_Alloc'!H466*'02a_DC_Capacity_Alloc'!I466*'02a_DC_Capacity_Alloc'!J466</f>
        <v/>
      </c>
      <c r="I466" s="6">
        <f>IFERROR(INDEX('02b_DC_Accelerator_Mix'!$F$2:$F$977,MATCH(G466,'02b_DC_Accelerator_Mix'!$A$2:$A$977,0)),0)</f>
        <v/>
      </c>
      <c r="J466" s="6">
        <f>IFERROR(INDEX('02b_DC_Accelerator_Mix'!$G$2:$G$977,MATCH(G466,'02b_DC_Accelerator_Mix'!$A$2:$A$977,0)),0)</f>
        <v/>
      </c>
      <c r="K466" s="6">
        <f>IFERROR(INDEX('02b_DC_Accelerator_Mix'!$H$2:$H$977,MATCH(G466,'02b_DC_Accelerator_Mix'!$A$2:$A$977,0)),0)</f>
        <v/>
      </c>
      <c r="L466" s="6">
        <f>IFERROR(INDEX('02b_DC_Accelerator_Mix'!$I$2:$I$977,MATCH(G466,'02b_DC_Accelerator_Mix'!$A$2:$A$977,0)),0)</f>
        <v/>
      </c>
      <c r="M466" s="6">
        <f>IFERROR(INDEX('02b_DC_Accelerator_Mix'!$J$2:$J$977,MATCH(G466,'02b_DC_Accelerator_Mix'!$A$2:$A$977,0)),0)</f>
        <v/>
      </c>
      <c r="N466" s="6">
        <f>IFERROR(INDEX('02b_DC_Accelerator_Mix'!$K$2:$K$977,MATCH(G466,'02b_DC_Accelerator_Mix'!$A$2:$A$977,0)),0)</f>
        <v/>
      </c>
      <c r="O466" s="6">
        <f>IFERROR(INDEX('02b_DC_Accelerator_Mix'!$L$2:$L$977,MATCH(G466,'02b_DC_Accelerator_Mix'!$A$2:$A$977,0)),0)</f>
        <v/>
      </c>
      <c r="P466" s="6">
        <f>IFERROR(INDEX('02b_DC_Accelerator_Mix'!$M$2:$M$977,MATCH(G466,'02b_DC_Accelerator_Mix'!$A$2:$A$977,0)),0)</f>
        <v/>
      </c>
      <c r="Q466" s="6">
        <f>IFERROR(INDEX('02b_DC_Accelerator_Mix'!$N$2:$N$977,MATCH(G466,'02b_DC_Accelerator_Mix'!$A$2:$A$977,0)),0)</f>
        <v/>
      </c>
      <c r="R466" s="28">
        <f>H466*I466</f>
        <v/>
      </c>
      <c r="S466" s="28">
        <f>H466*J466</f>
        <v/>
      </c>
      <c r="T466" s="28">
        <f>H466*K466</f>
        <v/>
      </c>
      <c r="U466" s="28">
        <f>H466*L466</f>
        <v/>
      </c>
      <c r="V466" s="28">
        <f>H466*M466</f>
        <v/>
      </c>
      <c r="W466" s="28">
        <f>H466*N466</f>
        <v/>
      </c>
      <c r="X466" s="28">
        <f>H466*O466</f>
        <v/>
      </c>
      <c r="Y466" s="28">
        <f>H466*P466</f>
        <v/>
      </c>
      <c r="Z466" s="28">
        <f>H466*Q466</f>
        <v/>
      </c>
      <c r="AA466" s="28">
        <f>SUM(U466:Z466)</f>
        <v/>
      </c>
      <c r="AB466" s="5">
        <f>IF(COUNTIF('02b_DC_Accelerator_Mix'!$A$2:$A$977,G466)&gt;0,"matched","missing_mix")</f>
        <v/>
      </c>
    </row>
    <row r="467">
      <c r="A467" s="5">
        <f>'02a_DC_Capacity_Alloc'!A467</f>
        <v/>
      </c>
      <c r="B467" s="5">
        <f>'02a_DC_Capacity_Alloc'!B467</f>
        <v/>
      </c>
      <c r="C467" s="5">
        <f>'02a_DC_Capacity_Alloc'!C467</f>
        <v/>
      </c>
      <c r="D467" s="5">
        <f>'02a_DC_Capacity_Alloc'!D467</f>
        <v/>
      </c>
      <c r="E467" s="5">
        <f>'02a_DC_Capacity_Alloc'!E467</f>
        <v/>
      </c>
      <c r="F467" s="5">
        <f>'02a_DC_Capacity_Alloc'!F467</f>
        <v/>
      </c>
      <c r="G467" s="5">
        <f>B467&amp;"|"&amp;E467&amp;"|"&amp;D467</f>
        <v/>
      </c>
      <c r="H467" s="28">
        <f>'02a_DC_Capacity_Alloc'!H467*'02a_DC_Capacity_Alloc'!I467*'02a_DC_Capacity_Alloc'!J467</f>
        <v/>
      </c>
      <c r="I467" s="6">
        <f>IFERROR(INDEX('02b_DC_Accelerator_Mix'!$F$2:$F$977,MATCH(G467,'02b_DC_Accelerator_Mix'!$A$2:$A$977,0)),0)</f>
        <v/>
      </c>
      <c r="J467" s="6">
        <f>IFERROR(INDEX('02b_DC_Accelerator_Mix'!$G$2:$G$977,MATCH(G467,'02b_DC_Accelerator_Mix'!$A$2:$A$977,0)),0)</f>
        <v/>
      </c>
      <c r="K467" s="6">
        <f>IFERROR(INDEX('02b_DC_Accelerator_Mix'!$H$2:$H$977,MATCH(G467,'02b_DC_Accelerator_Mix'!$A$2:$A$977,0)),0)</f>
        <v/>
      </c>
      <c r="L467" s="6">
        <f>IFERROR(INDEX('02b_DC_Accelerator_Mix'!$I$2:$I$977,MATCH(G467,'02b_DC_Accelerator_Mix'!$A$2:$A$977,0)),0)</f>
        <v/>
      </c>
      <c r="M467" s="6">
        <f>IFERROR(INDEX('02b_DC_Accelerator_Mix'!$J$2:$J$977,MATCH(G467,'02b_DC_Accelerator_Mix'!$A$2:$A$977,0)),0)</f>
        <v/>
      </c>
      <c r="N467" s="6">
        <f>IFERROR(INDEX('02b_DC_Accelerator_Mix'!$K$2:$K$977,MATCH(G467,'02b_DC_Accelerator_Mix'!$A$2:$A$977,0)),0)</f>
        <v/>
      </c>
      <c r="O467" s="6">
        <f>IFERROR(INDEX('02b_DC_Accelerator_Mix'!$L$2:$L$977,MATCH(G467,'02b_DC_Accelerator_Mix'!$A$2:$A$977,0)),0)</f>
        <v/>
      </c>
      <c r="P467" s="6">
        <f>IFERROR(INDEX('02b_DC_Accelerator_Mix'!$M$2:$M$977,MATCH(G467,'02b_DC_Accelerator_Mix'!$A$2:$A$977,0)),0)</f>
        <v/>
      </c>
      <c r="Q467" s="6">
        <f>IFERROR(INDEX('02b_DC_Accelerator_Mix'!$N$2:$N$977,MATCH(G467,'02b_DC_Accelerator_Mix'!$A$2:$A$977,0)),0)</f>
        <v/>
      </c>
      <c r="R467" s="28">
        <f>H467*I467</f>
        <v/>
      </c>
      <c r="S467" s="28">
        <f>H467*J467</f>
        <v/>
      </c>
      <c r="T467" s="28">
        <f>H467*K467</f>
        <v/>
      </c>
      <c r="U467" s="28">
        <f>H467*L467</f>
        <v/>
      </c>
      <c r="V467" s="28">
        <f>H467*M467</f>
        <v/>
      </c>
      <c r="W467" s="28">
        <f>H467*N467</f>
        <v/>
      </c>
      <c r="X467" s="28">
        <f>H467*O467</f>
        <v/>
      </c>
      <c r="Y467" s="28">
        <f>H467*P467</f>
        <v/>
      </c>
      <c r="Z467" s="28">
        <f>H467*Q467</f>
        <v/>
      </c>
      <c r="AA467" s="28">
        <f>SUM(U467:Z467)</f>
        <v/>
      </c>
      <c r="AB467" s="5">
        <f>IF(COUNTIF('02b_DC_Accelerator_Mix'!$A$2:$A$977,G467)&gt;0,"matched","missing_mix")</f>
        <v/>
      </c>
    </row>
    <row r="468">
      <c r="A468" s="5">
        <f>'02a_DC_Capacity_Alloc'!A468</f>
        <v/>
      </c>
      <c r="B468" s="5">
        <f>'02a_DC_Capacity_Alloc'!B468</f>
        <v/>
      </c>
      <c r="C468" s="5">
        <f>'02a_DC_Capacity_Alloc'!C468</f>
        <v/>
      </c>
      <c r="D468" s="5">
        <f>'02a_DC_Capacity_Alloc'!D468</f>
        <v/>
      </c>
      <c r="E468" s="5">
        <f>'02a_DC_Capacity_Alloc'!E468</f>
        <v/>
      </c>
      <c r="F468" s="5">
        <f>'02a_DC_Capacity_Alloc'!F468</f>
        <v/>
      </c>
      <c r="G468" s="5">
        <f>B468&amp;"|"&amp;E468&amp;"|"&amp;D468</f>
        <v/>
      </c>
      <c r="H468" s="28">
        <f>'02a_DC_Capacity_Alloc'!H468*'02a_DC_Capacity_Alloc'!I468*'02a_DC_Capacity_Alloc'!J468</f>
        <v/>
      </c>
      <c r="I468" s="6">
        <f>IFERROR(INDEX('02b_DC_Accelerator_Mix'!$F$2:$F$977,MATCH(G468,'02b_DC_Accelerator_Mix'!$A$2:$A$977,0)),0)</f>
        <v/>
      </c>
      <c r="J468" s="6">
        <f>IFERROR(INDEX('02b_DC_Accelerator_Mix'!$G$2:$G$977,MATCH(G468,'02b_DC_Accelerator_Mix'!$A$2:$A$977,0)),0)</f>
        <v/>
      </c>
      <c r="K468" s="6">
        <f>IFERROR(INDEX('02b_DC_Accelerator_Mix'!$H$2:$H$977,MATCH(G468,'02b_DC_Accelerator_Mix'!$A$2:$A$977,0)),0)</f>
        <v/>
      </c>
      <c r="L468" s="6">
        <f>IFERROR(INDEX('02b_DC_Accelerator_Mix'!$I$2:$I$977,MATCH(G468,'02b_DC_Accelerator_Mix'!$A$2:$A$977,0)),0)</f>
        <v/>
      </c>
      <c r="M468" s="6">
        <f>IFERROR(INDEX('02b_DC_Accelerator_Mix'!$J$2:$J$977,MATCH(G468,'02b_DC_Accelerator_Mix'!$A$2:$A$977,0)),0)</f>
        <v/>
      </c>
      <c r="N468" s="6">
        <f>IFERROR(INDEX('02b_DC_Accelerator_Mix'!$K$2:$K$977,MATCH(G468,'02b_DC_Accelerator_Mix'!$A$2:$A$977,0)),0)</f>
        <v/>
      </c>
      <c r="O468" s="6">
        <f>IFERROR(INDEX('02b_DC_Accelerator_Mix'!$L$2:$L$977,MATCH(G468,'02b_DC_Accelerator_Mix'!$A$2:$A$977,0)),0)</f>
        <v/>
      </c>
      <c r="P468" s="6">
        <f>IFERROR(INDEX('02b_DC_Accelerator_Mix'!$M$2:$M$977,MATCH(G468,'02b_DC_Accelerator_Mix'!$A$2:$A$977,0)),0)</f>
        <v/>
      </c>
      <c r="Q468" s="6">
        <f>IFERROR(INDEX('02b_DC_Accelerator_Mix'!$N$2:$N$977,MATCH(G468,'02b_DC_Accelerator_Mix'!$A$2:$A$977,0)),0)</f>
        <v/>
      </c>
      <c r="R468" s="28">
        <f>H468*I468</f>
        <v/>
      </c>
      <c r="S468" s="28">
        <f>H468*J468</f>
        <v/>
      </c>
      <c r="T468" s="28">
        <f>H468*K468</f>
        <v/>
      </c>
      <c r="U468" s="28">
        <f>H468*L468</f>
        <v/>
      </c>
      <c r="V468" s="28">
        <f>H468*M468</f>
        <v/>
      </c>
      <c r="W468" s="28">
        <f>H468*N468</f>
        <v/>
      </c>
      <c r="X468" s="28">
        <f>H468*O468</f>
        <v/>
      </c>
      <c r="Y468" s="28">
        <f>H468*P468</f>
        <v/>
      </c>
      <c r="Z468" s="28">
        <f>H468*Q468</f>
        <v/>
      </c>
      <c r="AA468" s="28">
        <f>SUM(U468:Z468)</f>
        <v/>
      </c>
      <c r="AB468" s="5">
        <f>IF(COUNTIF('02b_DC_Accelerator_Mix'!$A$2:$A$977,G468)&gt;0,"matched","missing_mix")</f>
        <v/>
      </c>
    </row>
    <row r="469">
      <c r="A469" s="5">
        <f>'02a_DC_Capacity_Alloc'!A469</f>
        <v/>
      </c>
      <c r="B469" s="5">
        <f>'02a_DC_Capacity_Alloc'!B469</f>
        <v/>
      </c>
      <c r="C469" s="5">
        <f>'02a_DC_Capacity_Alloc'!C469</f>
        <v/>
      </c>
      <c r="D469" s="5">
        <f>'02a_DC_Capacity_Alloc'!D469</f>
        <v/>
      </c>
      <c r="E469" s="5">
        <f>'02a_DC_Capacity_Alloc'!E469</f>
        <v/>
      </c>
      <c r="F469" s="5">
        <f>'02a_DC_Capacity_Alloc'!F469</f>
        <v/>
      </c>
      <c r="G469" s="5">
        <f>B469&amp;"|"&amp;E469&amp;"|"&amp;D469</f>
        <v/>
      </c>
      <c r="H469" s="28">
        <f>'02a_DC_Capacity_Alloc'!H469*'02a_DC_Capacity_Alloc'!I469*'02a_DC_Capacity_Alloc'!J469</f>
        <v/>
      </c>
      <c r="I469" s="6">
        <f>IFERROR(INDEX('02b_DC_Accelerator_Mix'!$F$2:$F$977,MATCH(G469,'02b_DC_Accelerator_Mix'!$A$2:$A$977,0)),0)</f>
        <v/>
      </c>
      <c r="J469" s="6">
        <f>IFERROR(INDEX('02b_DC_Accelerator_Mix'!$G$2:$G$977,MATCH(G469,'02b_DC_Accelerator_Mix'!$A$2:$A$977,0)),0)</f>
        <v/>
      </c>
      <c r="K469" s="6">
        <f>IFERROR(INDEX('02b_DC_Accelerator_Mix'!$H$2:$H$977,MATCH(G469,'02b_DC_Accelerator_Mix'!$A$2:$A$977,0)),0)</f>
        <v/>
      </c>
      <c r="L469" s="6">
        <f>IFERROR(INDEX('02b_DC_Accelerator_Mix'!$I$2:$I$977,MATCH(G469,'02b_DC_Accelerator_Mix'!$A$2:$A$977,0)),0)</f>
        <v/>
      </c>
      <c r="M469" s="6">
        <f>IFERROR(INDEX('02b_DC_Accelerator_Mix'!$J$2:$J$977,MATCH(G469,'02b_DC_Accelerator_Mix'!$A$2:$A$977,0)),0)</f>
        <v/>
      </c>
      <c r="N469" s="6">
        <f>IFERROR(INDEX('02b_DC_Accelerator_Mix'!$K$2:$K$977,MATCH(G469,'02b_DC_Accelerator_Mix'!$A$2:$A$977,0)),0)</f>
        <v/>
      </c>
      <c r="O469" s="6">
        <f>IFERROR(INDEX('02b_DC_Accelerator_Mix'!$L$2:$L$977,MATCH(G469,'02b_DC_Accelerator_Mix'!$A$2:$A$977,0)),0)</f>
        <v/>
      </c>
      <c r="P469" s="6">
        <f>IFERROR(INDEX('02b_DC_Accelerator_Mix'!$M$2:$M$977,MATCH(G469,'02b_DC_Accelerator_Mix'!$A$2:$A$977,0)),0)</f>
        <v/>
      </c>
      <c r="Q469" s="6">
        <f>IFERROR(INDEX('02b_DC_Accelerator_Mix'!$N$2:$N$977,MATCH(G469,'02b_DC_Accelerator_Mix'!$A$2:$A$977,0)),0)</f>
        <v/>
      </c>
      <c r="R469" s="28">
        <f>H469*I469</f>
        <v/>
      </c>
      <c r="S469" s="28">
        <f>H469*J469</f>
        <v/>
      </c>
      <c r="T469" s="28">
        <f>H469*K469</f>
        <v/>
      </c>
      <c r="U469" s="28">
        <f>H469*L469</f>
        <v/>
      </c>
      <c r="V469" s="28">
        <f>H469*M469</f>
        <v/>
      </c>
      <c r="W469" s="28">
        <f>H469*N469</f>
        <v/>
      </c>
      <c r="X469" s="28">
        <f>H469*O469</f>
        <v/>
      </c>
      <c r="Y469" s="28">
        <f>H469*P469</f>
        <v/>
      </c>
      <c r="Z469" s="28">
        <f>H469*Q469</f>
        <v/>
      </c>
      <c r="AA469" s="28">
        <f>SUM(U469:Z469)</f>
        <v/>
      </c>
      <c r="AB469" s="5">
        <f>IF(COUNTIF('02b_DC_Accelerator_Mix'!$A$2:$A$977,G469)&gt;0,"matched","missing_mix")</f>
        <v/>
      </c>
    </row>
    <row r="470">
      <c r="A470" s="5">
        <f>'02a_DC_Capacity_Alloc'!A470</f>
        <v/>
      </c>
      <c r="B470" s="5">
        <f>'02a_DC_Capacity_Alloc'!B470</f>
        <v/>
      </c>
      <c r="C470" s="5">
        <f>'02a_DC_Capacity_Alloc'!C470</f>
        <v/>
      </c>
      <c r="D470" s="5">
        <f>'02a_DC_Capacity_Alloc'!D470</f>
        <v/>
      </c>
      <c r="E470" s="5">
        <f>'02a_DC_Capacity_Alloc'!E470</f>
        <v/>
      </c>
      <c r="F470" s="5">
        <f>'02a_DC_Capacity_Alloc'!F470</f>
        <v/>
      </c>
      <c r="G470" s="5">
        <f>B470&amp;"|"&amp;E470&amp;"|"&amp;D470</f>
        <v/>
      </c>
      <c r="H470" s="28">
        <f>'02a_DC_Capacity_Alloc'!H470*'02a_DC_Capacity_Alloc'!I470*'02a_DC_Capacity_Alloc'!J470</f>
        <v/>
      </c>
      <c r="I470" s="6">
        <f>IFERROR(INDEX('02b_DC_Accelerator_Mix'!$F$2:$F$977,MATCH(G470,'02b_DC_Accelerator_Mix'!$A$2:$A$977,0)),0)</f>
        <v/>
      </c>
      <c r="J470" s="6">
        <f>IFERROR(INDEX('02b_DC_Accelerator_Mix'!$G$2:$G$977,MATCH(G470,'02b_DC_Accelerator_Mix'!$A$2:$A$977,0)),0)</f>
        <v/>
      </c>
      <c r="K470" s="6">
        <f>IFERROR(INDEX('02b_DC_Accelerator_Mix'!$H$2:$H$977,MATCH(G470,'02b_DC_Accelerator_Mix'!$A$2:$A$977,0)),0)</f>
        <v/>
      </c>
      <c r="L470" s="6">
        <f>IFERROR(INDEX('02b_DC_Accelerator_Mix'!$I$2:$I$977,MATCH(G470,'02b_DC_Accelerator_Mix'!$A$2:$A$977,0)),0)</f>
        <v/>
      </c>
      <c r="M470" s="6">
        <f>IFERROR(INDEX('02b_DC_Accelerator_Mix'!$J$2:$J$977,MATCH(G470,'02b_DC_Accelerator_Mix'!$A$2:$A$977,0)),0)</f>
        <v/>
      </c>
      <c r="N470" s="6">
        <f>IFERROR(INDEX('02b_DC_Accelerator_Mix'!$K$2:$K$977,MATCH(G470,'02b_DC_Accelerator_Mix'!$A$2:$A$977,0)),0)</f>
        <v/>
      </c>
      <c r="O470" s="6">
        <f>IFERROR(INDEX('02b_DC_Accelerator_Mix'!$L$2:$L$977,MATCH(G470,'02b_DC_Accelerator_Mix'!$A$2:$A$977,0)),0)</f>
        <v/>
      </c>
      <c r="P470" s="6">
        <f>IFERROR(INDEX('02b_DC_Accelerator_Mix'!$M$2:$M$977,MATCH(G470,'02b_DC_Accelerator_Mix'!$A$2:$A$977,0)),0)</f>
        <v/>
      </c>
      <c r="Q470" s="6">
        <f>IFERROR(INDEX('02b_DC_Accelerator_Mix'!$N$2:$N$977,MATCH(G470,'02b_DC_Accelerator_Mix'!$A$2:$A$977,0)),0)</f>
        <v/>
      </c>
      <c r="R470" s="28">
        <f>H470*I470</f>
        <v/>
      </c>
      <c r="S470" s="28">
        <f>H470*J470</f>
        <v/>
      </c>
      <c r="T470" s="28">
        <f>H470*K470</f>
        <v/>
      </c>
      <c r="U470" s="28">
        <f>H470*L470</f>
        <v/>
      </c>
      <c r="V470" s="28">
        <f>H470*M470</f>
        <v/>
      </c>
      <c r="W470" s="28">
        <f>H470*N470</f>
        <v/>
      </c>
      <c r="X470" s="28">
        <f>H470*O470</f>
        <v/>
      </c>
      <c r="Y470" s="28">
        <f>H470*P470</f>
        <v/>
      </c>
      <c r="Z470" s="28">
        <f>H470*Q470</f>
        <v/>
      </c>
      <c r="AA470" s="28">
        <f>SUM(U470:Z470)</f>
        <v/>
      </c>
      <c r="AB470" s="5">
        <f>IF(COUNTIF('02b_DC_Accelerator_Mix'!$A$2:$A$977,G470)&gt;0,"matched","missing_mix")</f>
        <v/>
      </c>
    </row>
    <row r="471">
      <c r="A471" s="5">
        <f>'02a_DC_Capacity_Alloc'!A471</f>
        <v/>
      </c>
      <c r="B471" s="5">
        <f>'02a_DC_Capacity_Alloc'!B471</f>
        <v/>
      </c>
      <c r="C471" s="5">
        <f>'02a_DC_Capacity_Alloc'!C471</f>
        <v/>
      </c>
      <c r="D471" s="5">
        <f>'02a_DC_Capacity_Alloc'!D471</f>
        <v/>
      </c>
      <c r="E471" s="5">
        <f>'02a_DC_Capacity_Alloc'!E471</f>
        <v/>
      </c>
      <c r="F471" s="5">
        <f>'02a_DC_Capacity_Alloc'!F471</f>
        <v/>
      </c>
      <c r="G471" s="5">
        <f>B471&amp;"|"&amp;E471&amp;"|"&amp;D471</f>
        <v/>
      </c>
      <c r="H471" s="28">
        <f>'02a_DC_Capacity_Alloc'!H471*'02a_DC_Capacity_Alloc'!I471*'02a_DC_Capacity_Alloc'!J471</f>
        <v/>
      </c>
      <c r="I471" s="6">
        <f>IFERROR(INDEX('02b_DC_Accelerator_Mix'!$F$2:$F$977,MATCH(G471,'02b_DC_Accelerator_Mix'!$A$2:$A$977,0)),0)</f>
        <v/>
      </c>
      <c r="J471" s="6">
        <f>IFERROR(INDEX('02b_DC_Accelerator_Mix'!$G$2:$G$977,MATCH(G471,'02b_DC_Accelerator_Mix'!$A$2:$A$977,0)),0)</f>
        <v/>
      </c>
      <c r="K471" s="6">
        <f>IFERROR(INDEX('02b_DC_Accelerator_Mix'!$H$2:$H$977,MATCH(G471,'02b_DC_Accelerator_Mix'!$A$2:$A$977,0)),0)</f>
        <v/>
      </c>
      <c r="L471" s="6">
        <f>IFERROR(INDEX('02b_DC_Accelerator_Mix'!$I$2:$I$977,MATCH(G471,'02b_DC_Accelerator_Mix'!$A$2:$A$977,0)),0)</f>
        <v/>
      </c>
      <c r="M471" s="6">
        <f>IFERROR(INDEX('02b_DC_Accelerator_Mix'!$J$2:$J$977,MATCH(G471,'02b_DC_Accelerator_Mix'!$A$2:$A$977,0)),0)</f>
        <v/>
      </c>
      <c r="N471" s="6">
        <f>IFERROR(INDEX('02b_DC_Accelerator_Mix'!$K$2:$K$977,MATCH(G471,'02b_DC_Accelerator_Mix'!$A$2:$A$977,0)),0)</f>
        <v/>
      </c>
      <c r="O471" s="6">
        <f>IFERROR(INDEX('02b_DC_Accelerator_Mix'!$L$2:$L$977,MATCH(G471,'02b_DC_Accelerator_Mix'!$A$2:$A$977,0)),0)</f>
        <v/>
      </c>
      <c r="P471" s="6">
        <f>IFERROR(INDEX('02b_DC_Accelerator_Mix'!$M$2:$M$977,MATCH(G471,'02b_DC_Accelerator_Mix'!$A$2:$A$977,0)),0)</f>
        <v/>
      </c>
      <c r="Q471" s="6">
        <f>IFERROR(INDEX('02b_DC_Accelerator_Mix'!$N$2:$N$977,MATCH(G471,'02b_DC_Accelerator_Mix'!$A$2:$A$977,0)),0)</f>
        <v/>
      </c>
      <c r="R471" s="28">
        <f>H471*I471</f>
        <v/>
      </c>
      <c r="S471" s="28">
        <f>H471*J471</f>
        <v/>
      </c>
      <c r="T471" s="28">
        <f>H471*K471</f>
        <v/>
      </c>
      <c r="U471" s="28">
        <f>H471*L471</f>
        <v/>
      </c>
      <c r="V471" s="28">
        <f>H471*M471</f>
        <v/>
      </c>
      <c r="W471" s="28">
        <f>H471*N471</f>
        <v/>
      </c>
      <c r="X471" s="28">
        <f>H471*O471</f>
        <v/>
      </c>
      <c r="Y471" s="28">
        <f>H471*P471</f>
        <v/>
      </c>
      <c r="Z471" s="28">
        <f>H471*Q471</f>
        <v/>
      </c>
      <c r="AA471" s="28">
        <f>SUM(U471:Z471)</f>
        <v/>
      </c>
      <c r="AB471" s="5">
        <f>IF(COUNTIF('02b_DC_Accelerator_Mix'!$A$2:$A$977,G471)&gt;0,"matched","missing_mix")</f>
        <v/>
      </c>
    </row>
    <row r="472">
      <c r="A472" s="5">
        <f>'02a_DC_Capacity_Alloc'!A472</f>
        <v/>
      </c>
      <c r="B472" s="5">
        <f>'02a_DC_Capacity_Alloc'!B472</f>
        <v/>
      </c>
      <c r="C472" s="5">
        <f>'02a_DC_Capacity_Alloc'!C472</f>
        <v/>
      </c>
      <c r="D472" s="5">
        <f>'02a_DC_Capacity_Alloc'!D472</f>
        <v/>
      </c>
      <c r="E472" s="5">
        <f>'02a_DC_Capacity_Alloc'!E472</f>
        <v/>
      </c>
      <c r="F472" s="5">
        <f>'02a_DC_Capacity_Alloc'!F472</f>
        <v/>
      </c>
      <c r="G472" s="5">
        <f>B472&amp;"|"&amp;E472&amp;"|"&amp;D472</f>
        <v/>
      </c>
      <c r="H472" s="28">
        <f>'02a_DC_Capacity_Alloc'!H472*'02a_DC_Capacity_Alloc'!I472*'02a_DC_Capacity_Alloc'!J472</f>
        <v/>
      </c>
      <c r="I472" s="6">
        <f>IFERROR(INDEX('02b_DC_Accelerator_Mix'!$F$2:$F$977,MATCH(G472,'02b_DC_Accelerator_Mix'!$A$2:$A$977,0)),0)</f>
        <v/>
      </c>
      <c r="J472" s="6">
        <f>IFERROR(INDEX('02b_DC_Accelerator_Mix'!$G$2:$G$977,MATCH(G472,'02b_DC_Accelerator_Mix'!$A$2:$A$977,0)),0)</f>
        <v/>
      </c>
      <c r="K472" s="6">
        <f>IFERROR(INDEX('02b_DC_Accelerator_Mix'!$H$2:$H$977,MATCH(G472,'02b_DC_Accelerator_Mix'!$A$2:$A$977,0)),0)</f>
        <v/>
      </c>
      <c r="L472" s="6">
        <f>IFERROR(INDEX('02b_DC_Accelerator_Mix'!$I$2:$I$977,MATCH(G472,'02b_DC_Accelerator_Mix'!$A$2:$A$977,0)),0)</f>
        <v/>
      </c>
      <c r="M472" s="6">
        <f>IFERROR(INDEX('02b_DC_Accelerator_Mix'!$J$2:$J$977,MATCH(G472,'02b_DC_Accelerator_Mix'!$A$2:$A$977,0)),0)</f>
        <v/>
      </c>
      <c r="N472" s="6">
        <f>IFERROR(INDEX('02b_DC_Accelerator_Mix'!$K$2:$K$977,MATCH(G472,'02b_DC_Accelerator_Mix'!$A$2:$A$977,0)),0)</f>
        <v/>
      </c>
      <c r="O472" s="6">
        <f>IFERROR(INDEX('02b_DC_Accelerator_Mix'!$L$2:$L$977,MATCH(G472,'02b_DC_Accelerator_Mix'!$A$2:$A$977,0)),0)</f>
        <v/>
      </c>
      <c r="P472" s="6">
        <f>IFERROR(INDEX('02b_DC_Accelerator_Mix'!$M$2:$M$977,MATCH(G472,'02b_DC_Accelerator_Mix'!$A$2:$A$977,0)),0)</f>
        <v/>
      </c>
      <c r="Q472" s="6">
        <f>IFERROR(INDEX('02b_DC_Accelerator_Mix'!$N$2:$N$977,MATCH(G472,'02b_DC_Accelerator_Mix'!$A$2:$A$977,0)),0)</f>
        <v/>
      </c>
      <c r="R472" s="28">
        <f>H472*I472</f>
        <v/>
      </c>
      <c r="S472" s="28">
        <f>H472*J472</f>
        <v/>
      </c>
      <c r="T472" s="28">
        <f>H472*K472</f>
        <v/>
      </c>
      <c r="U472" s="28">
        <f>H472*L472</f>
        <v/>
      </c>
      <c r="V472" s="28">
        <f>H472*M472</f>
        <v/>
      </c>
      <c r="W472" s="28">
        <f>H472*N472</f>
        <v/>
      </c>
      <c r="X472" s="28">
        <f>H472*O472</f>
        <v/>
      </c>
      <c r="Y472" s="28">
        <f>H472*P472</f>
        <v/>
      </c>
      <c r="Z472" s="28">
        <f>H472*Q472</f>
        <v/>
      </c>
      <c r="AA472" s="28">
        <f>SUM(U472:Z472)</f>
        <v/>
      </c>
      <c r="AB472" s="5">
        <f>IF(COUNTIF('02b_DC_Accelerator_Mix'!$A$2:$A$977,G472)&gt;0,"matched","missing_mix")</f>
        <v/>
      </c>
    </row>
    <row r="473">
      <c r="A473" s="5">
        <f>'02a_DC_Capacity_Alloc'!A473</f>
        <v/>
      </c>
      <c r="B473" s="5">
        <f>'02a_DC_Capacity_Alloc'!B473</f>
        <v/>
      </c>
      <c r="C473" s="5">
        <f>'02a_DC_Capacity_Alloc'!C473</f>
        <v/>
      </c>
      <c r="D473" s="5">
        <f>'02a_DC_Capacity_Alloc'!D473</f>
        <v/>
      </c>
      <c r="E473" s="5">
        <f>'02a_DC_Capacity_Alloc'!E473</f>
        <v/>
      </c>
      <c r="F473" s="5">
        <f>'02a_DC_Capacity_Alloc'!F473</f>
        <v/>
      </c>
      <c r="G473" s="5">
        <f>B473&amp;"|"&amp;E473&amp;"|"&amp;D473</f>
        <v/>
      </c>
      <c r="H473" s="28">
        <f>'02a_DC_Capacity_Alloc'!H473*'02a_DC_Capacity_Alloc'!I473*'02a_DC_Capacity_Alloc'!J473</f>
        <v/>
      </c>
      <c r="I473" s="6">
        <f>IFERROR(INDEX('02b_DC_Accelerator_Mix'!$F$2:$F$977,MATCH(G473,'02b_DC_Accelerator_Mix'!$A$2:$A$977,0)),0)</f>
        <v/>
      </c>
      <c r="J473" s="6">
        <f>IFERROR(INDEX('02b_DC_Accelerator_Mix'!$G$2:$G$977,MATCH(G473,'02b_DC_Accelerator_Mix'!$A$2:$A$977,0)),0)</f>
        <v/>
      </c>
      <c r="K473" s="6">
        <f>IFERROR(INDEX('02b_DC_Accelerator_Mix'!$H$2:$H$977,MATCH(G473,'02b_DC_Accelerator_Mix'!$A$2:$A$977,0)),0)</f>
        <v/>
      </c>
      <c r="L473" s="6">
        <f>IFERROR(INDEX('02b_DC_Accelerator_Mix'!$I$2:$I$977,MATCH(G473,'02b_DC_Accelerator_Mix'!$A$2:$A$977,0)),0)</f>
        <v/>
      </c>
      <c r="M473" s="6">
        <f>IFERROR(INDEX('02b_DC_Accelerator_Mix'!$J$2:$J$977,MATCH(G473,'02b_DC_Accelerator_Mix'!$A$2:$A$977,0)),0)</f>
        <v/>
      </c>
      <c r="N473" s="6">
        <f>IFERROR(INDEX('02b_DC_Accelerator_Mix'!$K$2:$K$977,MATCH(G473,'02b_DC_Accelerator_Mix'!$A$2:$A$977,0)),0)</f>
        <v/>
      </c>
      <c r="O473" s="6">
        <f>IFERROR(INDEX('02b_DC_Accelerator_Mix'!$L$2:$L$977,MATCH(G473,'02b_DC_Accelerator_Mix'!$A$2:$A$977,0)),0)</f>
        <v/>
      </c>
      <c r="P473" s="6">
        <f>IFERROR(INDEX('02b_DC_Accelerator_Mix'!$M$2:$M$977,MATCH(G473,'02b_DC_Accelerator_Mix'!$A$2:$A$977,0)),0)</f>
        <v/>
      </c>
      <c r="Q473" s="6">
        <f>IFERROR(INDEX('02b_DC_Accelerator_Mix'!$N$2:$N$977,MATCH(G473,'02b_DC_Accelerator_Mix'!$A$2:$A$977,0)),0)</f>
        <v/>
      </c>
      <c r="R473" s="28">
        <f>H473*I473</f>
        <v/>
      </c>
      <c r="S473" s="28">
        <f>H473*J473</f>
        <v/>
      </c>
      <c r="T473" s="28">
        <f>H473*K473</f>
        <v/>
      </c>
      <c r="U473" s="28">
        <f>H473*L473</f>
        <v/>
      </c>
      <c r="V473" s="28">
        <f>H473*M473</f>
        <v/>
      </c>
      <c r="W473" s="28">
        <f>H473*N473</f>
        <v/>
      </c>
      <c r="X473" s="28">
        <f>H473*O473</f>
        <v/>
      </c>
      <c r="Y473" s="28">
        <f>H473*P473</f>
        <v/>
      </c>
      <c r="Z473" s="28">
        <f>H473*Q473</f>
        <v/>
      </c>
      <c r="AA473" s="28">
        <f>SUM(U473:Z473)</f>
        <v/>
      </c>
      <c r="AB473" s="5">
        <f>IF(COUNTIF('02b_DC_Accelerator_Mix'!$A$2:$A$977,G473)&gt;0,"matched","missing_mix")</f>
        <v/>
      </c>
    </row>
    <row r="474">
      <c r="A474" s="5">
        <f>'02a_DC_Capacity_Alloc'!A474</f>
        <v/>
      </c>
      <c r="B474" s="5">
        <f>'02a_DC_Capacity_Alloc'!B474</f>
        <v/>
      </c>
      <c r="C474" s="5">
        <f>'02a_DC_Capacity_Alloc'!C474</f>
        <v/>
      </c>
      <c r="D474" s="5">
        <f>'02a_DC_Capacity_Alloc'!D474</f>
        <v/>
      </c>
      <c r="E474" s="5">
        <f>'02a_DC_Capacity_Alloc'!E474</f>
        <v/>
      </c>
      <c r="F474" s="5">
        <f>'02a_DC_Capacity_Alloc'!F474</f>
        <v/>
      </c>
      <c r="G474" s="5">
        <f>B474&amp;"|"&amp;E474&amp;"|"&amp;D474</f>
        <v/>
      </c>
      <c r="H474" s="28">
        <f>'02a_DC_Capacity_Alloc'!H474*'02a_DC_Capacity_Alloc'!I474*'02a_DC_Capacity_Alloc'!J474</f>
        <v/>
      </c>
      <c r="I474" s="6">
        <f>IFERROR(INDEX('02b_DC_Accelerator_Mix'!$F$2:$F$977,MATCH(G474,'02b_DC_Accelerator_Mix'!$A$2:$A$977,0)),0)</f>
        <v/>
      </c>
      <c r="J474" s="6">
        <f>IFERROR(INDEX('02b_DC_Accelerator_Mix'!$G$2:$G$977,MATCH(G474,'02b_DC_Accelerator_Mix'!$A$2:$A$977,0)),0)</f>
        <v/>
      </c>
      <c r="K474" s="6">
        <f>IFERROR(INDEX('02b_DC_Accelerator_Mix'!$H$2:$H$977,MATCH(G474,'02b_DC_Accelerator_Mix'!$A$2:$A$977,0)),0)</f>
        <v/>
      </c>
      <c r="L474" s="6">
        <f>IFERROR(INDEX('02b_DC_Accelerator_Mix'!$I$2:$I$977,MATCH(G474,'02b_DC_Accelerator_Mix'!$A$2:$A$977,0)),0)</f>
        <v/>
      </c>
      <c r="M474" s="6">
        <f>IFERROR(INDEX('02b_DC_Accelerator_Mix'!$J$2:$J$977,MATCH(G474,'02b_DC_Accelerator_Mix'!$A$2:$A$977,0)),0)</f>
        <v/>
      </c>
      <c r="N474" s="6">
        <f>IFERROR(INDEX('02b_DC_Accelerator_Mix'!$K$2:$K$977,MATCH(G474,'02b_DC_Accelerator_Mix'!$A$2:$A$977,0)),0)</f>
        <v/>
      </c>
      <c r="O474" s="6">
        <f>IFERROR(INDEX('02b_DC_Accelerator_Mix'!$L$2:$L$977,MATCH(G474,'02b_DC_Accelerator_Mix'!$A$2:$A$977,0)),0)</f>
        <v/>
      </c>
      <c r="P474" s="6">
        <f>IFERROR(INDEX('02b_DC_Accelerator_Mix'!$M$2:$M$977,MATCH(G474,'02b_DC_Accelerator_Mix'!$A$2:$A$977,0)),0)</f>
        <v/>
      </c>
      <c r="Q474" s="6">
        <f>IFERROR(INDEX('02b_DC_Accelerator_Mix'!$N$2:$N$977,MATCH(G474,'02b_DC_Accelerator_Mix'!$A$2:$A$977,0)),0)</f>
        <v/>
      </c>
      <c r="R474" s="28">
        <f>H474*I474</f>
        <v/>
      </c>
      <c r="S474" s="28">
        <f>H474*J474</f>
        <v/>
      </c>
      <c r="T474" s="28">
        <f>H474*K474</f>
        <v/>
      </c>
      <c r="U474" s="28">
        <f>H474*L474</f>
        <v/>
      </c>
      <c r="V474" s="28">
        <f>H474*M474</f>
        <v/>
      </c>
      <c r="W474" s="28">
        <f>H474*N474</f>
        <v/>
      </c>
      <c r="X474" s="28">
        <f>H474*O474</f>
        <v/>
      </c>
      <c r="Y474" s="28">
        <f>H474*P474</f>
        <v/>
      </c>
      <c r="Z474" s="28">
        <f>H474*Q474</f>
        <v/>
      </c>
      <c r="AA474" s="28">
        <f>SUM(U474:Z474)</f>
        <v/>
      </c>
      <c r="AB474" s="5">
        <f>IF(COUNTIF('02b_DC_Accelerator_Mix'!$A$2:$A$977,G474)&gt;0,"matched","missing_mix")</f>
        <v/>
      </c>
    </row>
    <row r="475">
      <c r="A475" s="5">
        <f>'02a_DC_Capacity_Alloc'!A475</f>
        <v/>
      </c>
      <c r="B475" s="5">
        <f>'02a_DC_Capacity_Alloc'!B475</f>
        <v/>
      </c>
      <c r="C475" s="5">
        <f>'02a_DC_Capacity_Alloc'!C475</f>
        <v/>
      </c>
      <c r="D475" s="5">
        <f>'02a_DC_Capacity_Alloc'!D475</f>
        <v/>
      </c>
      <c r="E475" s="5">
        <f>'02a_DC_Capacity_Alloc'!E475</f>
        <v/>
      </c>
      <c r="F475" s="5">
        <f>'02a_DC_Capacity_Alloc'!F475</f>
        <v/>
      </c>
      <c r="G475" s="5">
        <f>B475&amp;"|"&amp;E475&amp;"|"&amp;D475</f>
        <v/>
      </c>
      <c r="H475" s="28">
        <f>'02a_DC_Capacity_Alloc'!H475*'02a_DC_Capacity_Alloc'!I475*'02a_DC_Capacity_Alloc'!J475</f>
        <v/>
      </c>
      <c r="I475" s="6">
        <f>IFERROR(INDEX('02b_DC_Accelerator_Mix'!$F$2:$F$977,MATCH(G475,'02b_DC_Accelerator_Mix'!$A$2:$A$977,0)),0)</f>
        <v/>
      </c>
      <c r="J475" s="6">
        <f>IFERROR(INDEX('02b_DC_Accelerator_Mix'!$G$2:$G$977,MATCH(G475,'02b_DC_Accelerator_Mix'!$A$2:$A$977,0)),0)</f>
        <v/>
      </c>
      <c r="K475" s="6">
        <f>IFERROR(INDEX('02b_DC_Accelerator_Mix'!$H$2:$H$977,MATCH(G475,'02b_DC_Accelerator_Mix'!$A$2:$A$977,0)),0)</f>
        <v/>
      </c>
      <c r="L475" s="6">
        <f>IFERROR(INDEX('02b_DC_Accelerator_Mix'!$I$2:$I$977,MATCH(G475,'02b_DC_Accelerator_Mix'!$A$2:$A$977,0)),0)</f>
        <v/>
      </c>
      <c r="M475" s="6">
        <f>IFERROR(INDEX('02b_DC_Accelerator_Mix'!$J$2:$J$977,MATCH(G475,'02b_DC_Accelerator_Mix'!$A$2:$A$977,0)),0)</f>
        <v/>
      </c>
      <c r="N475" s="6">
        <f>IFERROR(INDEX('02b_DC_Accelerator_Mix'!$K$2:$K$977,MATCH(G475,'02b_DC_Accelerator_Mix'!$A$2:$A$977,0)),0)</f>
        <v/>
      </c>
      <c r="O475" s="6">
        <f>IFERROR(INDEX('02b_DC_Accelerator_Mix'!$L$2:$L$977,MATCH(G475,'02b_DC_Accelerator_Mix'!$A$2:$A$977,0)),0)</f>
        <v/>
      </c>
      <c r="P475" s="6">
        <f>IFERROR(INDEX('02b_DC_Accelerator_Mix'!$M$2:$M$977,MATCH(G475,'02b_DC_Accelerator_Mix'!$A$2:$A$977,0)),0)</f>
        <v/>
      </c>
      <c r="Q475" s="6">
        <f>IFERROR(INDEX('02b_DC_Accelerator_Mix'!$N$2:$N$977,MATCH(G475,'02b_DC_Accelerator_Mix'!$A$2:$A$977,0)),0)</f>
        <v/>
      </c>
      <c r="R475" s="28">
        <f>H475*I475</f>
        <v/>
      </c>
      <c r="S475" s="28">
        <f>H475*J475</f>
        <v/>
      </c>
      <c r="T475" s="28">
        <f>H475*K475</f>
        <v/>
      </c>
      <c r="U475" s="28">
        <f>H475*L475</f>
        <v/>
      </c>
      <c r="V475" s="28">
        <f>H475*M475</f>
        <v/>
      </c>
      <c r="W475" s="28">
        <f>H475*N475</f>
        <v/>
      </c>
      <c r="X475" s="28">
        <f>H475*O475</f>
        <v/>
      </c>
      <c r="Y475" s="28">
        <f>H475*P475</f>
        <v/>
      </c>
      <c r="Z475" s="28">
        <f>H475*Q475</f>
        <v/>
      </c>
      <c r="AA475" s="28">
        <f>SUM(U475:Z475)</f>
        <v/>
      </c>
      <c r="AB475" s="5">
        <f>IF(COUNTIF('02b_DC_Accelerator_Mix'!$A$2:$A$977,G475)&gt;0,"matched","missing_mix")</f>
        <v/>
      </c>
    </row>
    <row r="476">
      <c r="A476" s="5">
        <f>'02a_DC_Capacity_Alloc'!A476</f>
        <v/>
      </c>
      <c r="B476" s="5">
        <f>'02a_DC_Capacity_Alloc'!B476</f>
        <v/>
      </c>
      <c r="C476" s="5">
        <f>'02a_DC_Capacity_Alloc'!C476</f>
        <v/>
      </c>
      <c r="D476" s="5">
        <f>'02a_DC_Capacity_Alloc'!D476</f>
        <v/>
      </c>
      <c r="E476" s="5">
        <f>'02a_DC_Capacity_Alloc'!E476</f>
        <v/>
      </c>
      <c r="F476" s="5">
        <f>'02a_DC_Capacity_Alloc'!F476</f>
        <v/>
      </c>
      <c r="G476" s="5">
        <f>B476&amp;"|"&amp;E476&amp;"|"&amp;D476</f>
        <v/>
      </c>
      <c r="H476" s="28">
        <f>'02a_DC_Capacity_Alloc'!H476*'02a_DC_Capacity_Alloc'!I476*'02a_DC_Capacity_Alloc'!J476</f>
        <v/>
      </c>
      <c r="I476" s="6">
        <f>IFERROR(INDEX('02b_DC_Accelerator_Mix'!$F$2:$F$977,MATCH(G476,'02b_DC_Accelerator_Mix'!$A$2:$A$977,0)),0)</f>
        <v/>
      </c>
      <c r="J476" s="6">
        <f>IFERROR(INDEX('02b_DC_Accelerator_Mix'!$G$2:$G$977,MATCH(G476,'02b_DC_Accelerator_Mix'!$A$2:$A$977,0)),0)</f>
        <v/>
      </c>
      <c r="K476" s="6">
        <f>IFERROR(INDEX('02b_DC_Accelerator_Mix'!$H$2:$H$977,MATCH(G476,'02b_DC_Accelerator_Mix'!$A$2:$A$977,0)),0)</f>
        <v/>
      </c>
      <c r="L476" s="6">
        <f>IFERROR(INDEX('02b_DC_Accelerator_Mix'!$I$2:$I$977,MATCH(G476,'02b_DC_Accelerator_Mix'!$A$2:$A$977,0)),0)</f>
        <v/>
      </c>
      <c r="M476" s="6">
        <f>IFERROR(INDEX('02b_DC_Accelerator_Mix'!$J$2:$J$977,MATCH(G476,'02b_DC_Accelerator_Mix'!$A$2:$A$977,0)),0)</f>
        <v/>
      </c>
      <c r="N476" s="6">
        <f>IFERROR(INDEX('02b_DC_Accelerator_Mix'!$K$2:$K$977,MATCH(G476,'02b_DC_Accelerator_Mix'!$A$2:$A$977,0)),0)</f>
        <v/>
      </c>
      <c r="O476" s="6">
        <f>IFERROR(INDEX('02b_DC_Accelerator_Mix'!$L$2:$L$977,MATCH(G476,'02b_DC_Accelerator_Mix'!$A$2:$A$977,0)),0)</f>
        <v/>
      </c>
      <c r="P476" s="6">
        <f>IFERROR(INDEX('02b_DC_Accelerator_Mix'!$M$2:$M$977,MATCH(G476,'02b_DC_Accelerator_Mix'!$A$2:$A$977,0)),0)</f>
        <v/>
      </c>
      <c r="Q476" s="6">
        <f>IFERROR(INDEX('02b_DC_Accelerator_Mix'!$N$2:$N$977,MATCH(G476,'02b_DC_Accelerator_Mix'!$A$2:$A$977,0)),0)</f>
        <v/>
      </c>
      <c r="R476" s="28">
        <f>H476*I476</f>
        <v/>
      </c>
      <c r="S476" s="28">
        <f>H476*J476</f>
        <v/>
      </c>
      <c r="T476" s="28">
        <f>H476*K476</f>
        <v/>
      </c>
      <c r="U476" s="28">
        <f>H476*L476</f>
        <v/>
      </c>
      <c r="V476" s="28">
        <f>H476*M476</f>
        <v/>
      </c>
      <c r="W476" s="28">
        <f>H476*N476</f>
        <v/>
      </c>
      <c r="X476" s="28">
        <f>H476*O476</f>
        <v/>
      </c>
      <c r="Y476" s="28">
        <f>H476*P476</f>
        <v/>
      </c>
      <c r="Z476" s="28">
        <f>H476*Q476</f>
        <v/>
      </c>
      <c r="AA476" s="28">
        <f>SUM(U476:Z476)</f>
        <v/>
      </c>
      <c r="AB476" s="5">
        <f>IF(COUNTIF('02b_DC_Accelerator_Mix'!$A$2:$A$977,G476)&gt;0,"matched","missing_mix")</f>
        <v/>
      </c>
    </row>
    <row r="477">
      <c r="A477" s="5">
        <f>'02a_DC_Capacity_Alloc'!A477</f>
        <v/>
      </c>
      <c r="B477" s="5">
        <f>'02a_DC_Capacity_Alloc'!B477</f>
        <v/>
      </c>
      <c r="C477" s="5">
        <f>'02a_DC_Capacity_Alloc'!C477</f>
        <v/>
      </c>
      <c r="D477" s="5">
        <f>'02a_DC_Capacity_Alloc'!D477</f>
        <v/>
      </c>
      <c r="E477" s="5">
        <f>'02a_DC_Capacity_Alloc'!E477</f>
        <v/>
      </c>
      <c r="F477" s="5">
        <f>'02a_DC_Capacity_Alloc'!F477</f>
        <v/>
      </c>
      <c r="G477" s="5">
        <f>B477&amp;"|"&amp;E477&amp;"|"&amp;D477</f>
        <v/>
      </c>
      <c r="H477" s="28">
        <f>'02a_DC_Capacity_Alloc'!H477*'02a_DC_Capacity_Alloc'!I477*'02a_DC_Capacity_Alloc'!J477</f>
        <v/>
      </c>
      <c r="I477" s="6">
        <f>IFERROR(INDEX('02b_DC_Accelerator_Mix'!$F$2:$F$977,MATCH(G477,'02b_DC_Accelerator_Mix'!$A$2:$A$977,0)),0)</f>
        <v/>
      </c>
      <c r="J477" s="6">
        <f>IFERROR(INDEX('02b_DC_Accelerator_Mix'!$G$2:$G$977,MATCH(G477,'02b_DC_Accelerator_Mix'!$A$2:$A$977,0)),0)</f>
        <v/>
      </c>
      <c r="K477" s="6">
        <f>IFERROR(INDEX('02b_DC_Accelerator_Mix'!$H$2:$H$977,MATCH(G477,'02b_DC_Accelerator_Mix'!$A$2:$A$977,0)),0)</f>
        <v/>
      </c>
      <c r="L477" s="6">
        <f>IFERROR(INDEX('02b_DC_Accelerator_Mix'!$I$2:$I$977,MATCH(G477,'02b_DC_Accelerator_Mix'!$A$2:$A$977,0)),0)</f>
        <v/>
      </c>
      <c r="M477" s="6">
        <f>IFERROR(INDEX('02b_DC_Accelerator_Mix'!$J$2:$J$977,MATCH(G477,'02b_DC_Accelerator_Mix'!$A$2:$A$977,0)),0)</f>
        <v/>
      </c>
      <c r="N477" s="6">
        <f>IFERROR(INDEX('02b_DC_Accelerator_Mix'!$K$2:$K$977,MATCH(G477,'02b_DC_Accelerator_Mix'!$A$2:$A$977,0)),0)</f>
        <v/>
      </c>
      <c r="O477" s="6">
        <f>IFERROR(INDEX('02b_DC_Accelerator_Mix'!$L$2:$L$977,MATCH(G477,'02b_DC_Accelerator_Mix'!$A$2:$A$977,0)),0)</f>
        <v/>
      </c>
      <c r="P477" s="6">
        <f>IFERROR(INDEX('02b_DC_Accelerator_Mix'!$M$2:$M$977,MATCH(G477,'02b_DC_Accelerator_Mix'!$A$2:$A$977,0)),0)</f>
        <v/>
      </c>
      <c r="Q477" s="6">
        <f>IFERROR(INDEX('02b_DC_Accelerator_Mix'!$N$2:$N$977,MATCH(G477,'02b_DC_Accelerator_Mix'!$A$2:$A$977,0)),0)</f>
        <v/>
      </c>
      <c r="R477" s="28">
        <f>H477*I477</f>
        <v/>
      </c>
      <c r="S477" s="28">
        <f>H477*J477</f>
        <v/>
      </c>
      <c r="T477" s="28">
        <f>H477*K477</f>
        <v/>
      </c>
      <c r="U477" s="28">
        <f>H477*L477</f>
        <v/>
      </c>
      <c r="V477" s="28">
        <f>H477*M477</f>
        <v/>
      </c>
      <c r="W477" s="28">
        <f>H477*N477</f>
        <v/>
      </c>
      <c r="X477" s="28">
        <f>H477*O477</f>
        <v/>
      </c>
      <c r="Y477" s="28">
        <f>H477*P477</f>
        <v/>
      </c>
      <c r="Z477" s="28">
        <f>H477*Q477</f>
        <v/>
      </c>
      <c r="AA477" s="28">
        <f>SUM(U477:Z477)</f>
        <v/>
      </c>
      <c r="AB477" s="5">
        <f>IF(COUNTIF('02b_DC_Accelerator_Mix'!$A$2:$A$977,G477)&gt;0,"matched","missing_mix")</f>
        <v/>
      </c>
    </row>
    <row r="478">
      <c r="A478" s="5">
        <f>'02a_DC_Capacity_Alloc'!A478</f>
        <v/>
      </c>
      <c r="B478" s="5">
        <f>'02a_DC_Capacity_Alloc'!B478</f>
        <v/>
      </c>
      <c r="C478" s="5">
        <f>'02a_DC_Capacity_Alloc'!C478</f>
        <v/>
      </c>
      <c r="D478" s="5">
        <f>'02a_DC_Capacity_Alloc'!D478</f>
        <v/>
      </c>
      <c r="E478" s="5">
        <f>'02a_DC_Capacity_Alloc'!E478</f>
        <v/>
      </c>
      <c r="F478" s="5">
        <f>'02a_DC_Capacity_Alloc'!F478</f>
        <v/>
      </c>
      <c r="G478" s="5">
        <f>B478&amp;"|"&amp;E478&amp;"|"&amp;D478</f>
        <v/>
      </c>
      <c r="H478" s="28">
        <f>'02a_DC_Capacity_Alloc'!H478*'02a_DC_Capacity_Alloc'!I478*'02a_DC_Capacity_Alloc'!J478</f>
        <v/>
      </c>
      <c r="I478" s="6">
        <f>IFERROR(INDEX('02b_DC_Accelerator_Mix'!$F$2:$F$977,MATCH(G478,'02b_DC_Accelerator_Mix'!$A$2:$A$977,0)),0)</f>
        <v/>
      </c>
      <c r="J478" s="6">
        <f>IFERROR(INDEX('02b_DC_Accelerator_Mix'!$G$2:$G$977,MATCH(G478,'02b_DC_Accelerator_Mix'!$A$2:$A$977,0)),0)</f>
        <v/>
      </c>
      <c r="K478" s="6">
        <f>IFERROR(INDEX('02b_DC_Accelerator_Mix'!$H$2:$H$977,MATCH(G478,'02b_DC_Accelerator_Mix'!$A$2:$A$977,0)),0)</f>
        <v/>
      </c>
      <c r="L478" s="6">
        <f>IFERROR(INDEX('02b_DC_Accelerator_Mix'!$I$2:$I$977,MATCH(G478,'02b_DC_Accelerator_Mix'!$A$2:$A$977,0)),0)</f>
        <v/>
      </c>
      <c r="M478" s="6">
        <f>IFERROR(INDEX('02b_DC_Accelerator_Mix'!$J$2:$J$977,MATCH(G478,'02b_DC_Accelerator_Mix'!$A$2:$A$977,0)),0)</f>
        <v/>
      </c>
      <c r="N478" s="6">
        <f>IFERROR(INDEX('02b_DC_Accelerator_Mix'!$K$2:$K$977,MATCH(G478,'02b_DC_Accelerator_Mix'!$A$2:$A$977,0)),0)</f>
        <v/>
      </c>
      <c r="O478" s="6">
        <f>IFERROR(INDEX('02b_DC_Accelerator_Mix'!$L$2:$L$977,MATCH(G478,'02b_DC_Accelerator_Mix'!$A$2:$A$977,0)),0)</f>
        <v/>
      </c>
      <c r="P478" s="6">
        <f>IFERROR(INDEX('02b_DC_Accelerator_Mix'!$M$2:$M$977,MATCH(G478,'02b_DC_Accelerator_Mix'!$A$2:$A$977,0)),0)</f>
        <v/>
      </c>
      <c r="Q478" s="6">
        <f>IFERROR(INDEX('02b_DC_Accelerator_Mix'!$N$2:$N$977,MATCH(G478,'02b_DC_Accelerator_Mix'!$A$2:$A$977,0)),0)</f>
        <v/>
      </c>
      <c r="R478" s="28">
        <f>H478*I478</f>
        <v/>
      </c>
      <c r="S478" s="28">
        <f>H478*J478</f>
        <v/>
      </c>
      <c r="T478" s="28">
        <f>H478*K478</f>
        <v/>
      </c>
      <c r="U478" s="28">
        <f>H478*L478</f>
        <v/>
      </c>
      <c r="V478" s="28">
        <f>H478*M478</f>
        <v/>
      </c>
      <c r="W478" s="28">
        <f>H478*N478</f>
        <v/>
      </c>
      <c r="X478" s="28">
        <f>H478*O478</f>
        <v/>
      </c>
      <c r="Y478" s="28">
        <f>H478*P478</f>
        <v/>
      </c>
      <c r="Z478" s="28">
        <f>H478*Q478</f>
        <v/>
      </c>
      <c r="AA478" s="28">
        <f>SUM(U478:Z478)</f>
        <v/>
      </c>
      <c r="AB478" s="5">
        <f>IF(COUNTIF('02b_DC_Accelerator_Mix'!$A$2:$A$977,G478)&gt;0,"matched","missing_mix")</f>
        <v/>
      </c>
    </row>
    <row r="479">
      <c r="A479" s="5">
        <f>'02a_DC_Capacity_Alloc'!A479</f>
        <v/>
      </c>
      <c r="B479" s="5">
        <f>'02a_DC_Capacity_Alloc'!B479</f>
        <v/>
      </c>
      <c r="C479" s="5">
        <f>'02a_DC_Capacity_Alloc'!C479</f>
        <v/>
      </c>
      <c r="D479" s="5">
        <f>'02a_DC_Capacity_Alloc'!D479</f>
        <v/>
      </c>
      <c r="E479" s="5">
        <f>'02a_DC_Capacity_Alloc'!E479</f>
        <v/>
      </c>
      <c r="F479" s="5">
        <f>'02a_DC_Capacity_Alloc'!F479</f>
        <v/>
      </c>
      <c r="G479" s="5">
        <f>B479&amp;"|"&amp;E479&amp;"|"&amp;D479</f>
        <v/>
      </c>
      <c r="H479" s="28">
        <f>'02a_DC_Capacity_Alloc'!H479*'02a_DC_Capacity_Alloc'!I479*'02a_DC_Capacity_Alloc'!J479</f>
        <v/>
      </c>
      <c r="I479" s="6">
        <f>IFERROR(INDEX('02b_DC_Accelerator_Mix'!$F$2:$F$977,MATCH(G479,'02b_DC_Accelerator_Mix'!$A$2:$A$977,0)),0)</f>
        <v/>
      </c>
      <c r="J479" s="6">
        <f>IFERROR(INDEX('02b_DC_Accelerator_Mix'!$G$2:$G$977,MATCH(G479,'02b_DC_Accelerator_Mix'!$A$2:$A$977,0)),0)</f>
        <v/>
      </c>
      <c r="K479" s="6">
        <f>IFERROR(INDEX('02b_DC_Accelerator_Mix'!$H$2:$H$977,MATCH(G479,'02b_DC_Accelerator_Mix'!$A$2:$A$977,0)),0)</f>
        <v/>
      </c>
      <c r="L479" s="6">
        <f>IFERROR(INDEX('02b_DC_Accelerator_Mix'!$I$2:$I$977,MATCH(G479,'02b_DC_Accelerator_Mix'!$A$2:$A$977,0)),0)</f>
        <v/>
      </c>
      <c r="M479" s="6">
        <f>IFERROR(INDEX('02b_DC_Accelerator_Mix'!$J$2:$J$977,MATCH(G479,'02b_DC_Accelerator_Mix'!$A$2:$A$977,0)),0)</f>
        <v/>
      </c>
      <c r="N479" s="6">
        <f>IFERROR(INDEX('02b_DC_Accelerator_Mix'!$K$2:$K$977,MATCH(G479,'02b_DC_Accelerator_Mix'!$A$2:$A$977,0)),0)</f>
        <v/>
      </c>
      <c r="O479" s="6">
        <f>IFERROR(INDEX('02b_DC_Accelerator_Mix'!$L$2:$L$977,MATCH(G479,'02b_DC_Accelerator_Mix'!$A$2:$A$977,0)),0)</f>
        <v/>
      </c>
      <c r="P479" s="6">
        <f>IFERROR(INDEX('02b_DC_Accelerator_Mix'!$M$2:$M$977,MATCH(G479,'02b_DC_Accelerator_Mix'!$A$2:$A$977,0)),0)</f>
        <v/>
      </c>
      <c r="Q479" s="6">
        <f>IFERROR(INDEX('02b_DC_Accelerator_Mix'!$N$2:$N$977,MATCH(G479,'02b_DC_Accelerator_Mix'!$A$2:$A$977,0)),0)</f>
        <v/>
      </c>
      <c r="R479" s="28">
        <f>H479*I479</f>
        <v/>
      </c>
      <c r="S479" s="28">
        <f>H479*J479</f>
        <v/>
      </c>
      <c r="T479" s="28">
        <f>H479*K479</f>
        <v/>
      </c>
      <c r="U479" s="28">
        <f>H479*L479</f>
        <v/>
      </c>
      <c r="V479" s="28">
        <f>H479*M479</f>
        <v/>
      </c>
      <c r="W479" s="28">
        <f>H479*N479</f>
        <v/>
      </c>
      <c r="X479" s="28">
        <f>H479*O479</f>
        <v/>
      </c>
      <c r="Y479" s="28">
        <f>H479*P479</f>
        <v/>
      </c>
      <c r="Z479" s="28">
        <f>H479*Q479</f>
        <v/>
      </c>
      <c r="AA479" s="28">
        <f>SUM(U479:Z479)</f>
        <v/>
      </c>
      <c r="AB479" s="5">
        <f>IF(COUNTIF('02b_DC_Accelerator_Mix'!$A$2:$A$977,G479)&gt;0,"matched","missing_mix")</f>
        <v/>
      </c>
    </row>
    <row r="480">
      <c r="A480" s="5">
        <f>'02a_DC_Capacity_Alloc'!A480</f>
        <v/>
      </c>
      <c r="B480" s="5">
        <f>'02a_DC_Capacity_Alloc'!B480</f>
        <v/>
      </c>
      <c r="C480" s="5">
        <f>'02a_DC_Capacity_Alloc'!C480</f>
        <v/>
      </c>
      <c r="D480" s="5">
        <f>'02a_DC_Capacity_Alloc'!D480</f>
        <v/>
      </c>
      <c r="E480" s="5">
        <f>'02a_DC_Capacity_Alloc'!E480</f>
        <v/>
      </c>
      <c r="F480" s="5">
        <f>'02a_DC_Capacity_Alloc'!F480</f>
        <v/>
      </c>
      <c r="G480" s="5">
        <f>B480&amp;"|"&amp;E480&amp;"|"&amp;D480</f>
        <v/>
      </c>
      <c r="H480" s="28">
        <f>'02a_DC_Capacity_Alloc'!H480*'02a_DC_Capacity_Alloc'!I480*'02a_DC_Capacity_Alloc'!J480</f>
        <v/>
      </c>
      <c r="I480" s="6">
        <f>IFERROR(INDEX('02b_DC_Accelerator_Mix'!$F$2:$F$977,MATCH(G480,'02b_DC_Accelerator_Mix'!$A$2:$A$977,0)),0)</f>
        <v/>
      </c>
      <c r="J480" s="6">
        <f>IFERROR(INDEX('02b_DC_Accelerator_Mix'!$G$2:$G$977,MATCH(G480,'02b_DC_Accelerator_Mix'!$A$2:$A$977,0)),0)</f>
        <v/>
      </c>
      <c r="K480" s="6">
        <f>IFERROR(INDEX('02b_DC_Accelerator_Mix'!$H$2:$H$977,MATCH(G480,'02b_DC_Accelerator_Mix'!$A$2:$A$977,0)),0)</f>
        <v/>
      </c>
      <c r="L480" s="6">
        <f>IFERROR(INDEX('02b_DC_Accelerator_Mix'!$I$2:$I$977,MATCH(G480,'02b_DC_Accelerator_Mix'!$A$2:$A$977,0)),0)</f>
        <v/>
      </c>
      <c r="M480" s="6">
        <f>IFERROR(INDEX('02b_DC_Accelerator_Mix'!$J$2:$J$977,MATCH(G480,'02b_DC_Accelerator_Mix'!$A$2:$A$977,0)),0)</f>
        <v/>
      </c>
      <c r="N480" s="6">
        <f>IFERROR(INDEX('02b_DC_Accelerator_Mix'!$K$2:$K$977,MATCH(G480,'02b_DC_Accelerator_Mix'!$A$2:$A$977,0)),0)</f>
        <v/>
      </c>
      <c r="O480" s="6">
        <f>IFERROR(INDEX('02b_DC_Accelerator_Mix'!$L$2:$L$977,MATCH(G480,'02b_DC_Accelerator_Mix'!$A$2:$A$977,0)),0)</f>
        <v/>
      </c>
      <c r="P480" s="6">
        <f>IFERROR(INDEX('02b_DC_Accelerator_Mix'!$M$2:$M$977,MATCH(G480,'02b_DC_Accelerator_Mix'!$A$2:$A$977,0)),0)</f>
        <v/>
      </c>
      <c r="Q480" s="6">
        <f>IFERROR(INDEX('02b_DC_Accelerator_Mix'!$N$2:$N$977,MATCH(G480,'02b_DC_Accelerator_Mix'!$A$2:$A$977,0)),0)</f>
        <v/>
      </c>
      <c r="R480" s="28">
        <f>H480*I480</f>
        <v/>
      </c>
      <c r="S480" s="28">
        <f>H480*J480</f>
        <v/>
      </c>
      <c r="T480" s="28">
        <f>H480*K480</f>
        <v/>
      </c>
      <c r="U480" s="28">
        <f>H480*L480</f>
        <v/>
      </c>
      <c r="V480" s="28">
        <f>H480*M480</f>
        <v/>
      </c>
      <c r="W480" s="28">
        <f>H480*N480</f>
        <v/>
      </c>
      <c r="X480" s="28">
        <f>H480*O480</f>
        <v/>
      </c>
      <c r="Y480" s="28">
        <f>H480*P480</f>
        <v/>
      </c>
      <c r="Z480" s="28">
        <f>H480*Q480</f>
        <v/>
      </c>
      <c r="AA480" s="28">
        <f>SUM(U480:Z480)</f>
        <v/>
      </c>
      <c r="AB480" s="5">
        <f>IF(COUNTIF('02b_DC_Accelerator_Mix'!$A$2:$A$977,G480)&gt;0,"matched","missing_mix")</f>
        <v/>
      </c>
    </row>
    <row r="481">
      <c r="A481" s="5">
        <f>'02a_DC_Capacity_Alloc'!A481</f>
        <v/>
      </c>
      <c r="B481" s="5">
        <f>'02a_DC_Capacity_Alloc'!B481</f>
        <v/>
      </c>
      <c r="C481" s="5">
        <f>'02a_DC_Capacity_Alloc'!C481</f>
        <v/>
      </c>
      <c r="D481" s="5">
        <f>'02a_DC_Capacity_Alloc'!D481</f>
        <v/>
      </c>
      <c r="E481" s="5">
        <f>'02a_DC_Capacity_Alloc'!E481</f>
        <v/>
      </c>
      <c r="F481" s="5">
        <f>'02a_DC_Capacity_Alloc'!F481</f>
        <v/>
      </c>
      <c r="G481" s="5">
        <f>B481&amp;"|"&amp;E481&amp;"|"&amp;D481</f>
        <v/>
      </c>
      <c r="H481" s="28">
        <f>'02a_DC_Capacity_Alloc'!H481*'02a_DC_Capacity_Alloc'!I481*'02a_DC_Capacity_Alloc'!J481</f>
        <v/>
      </c>
      <c r="I481" s="6">
        <f>IFERROR(INDEX('02b_DC_Accelerator_Mix'!$F$2:$F$977,MATCH(G481,'02b_DC_Accelerator_Mix'!$A$2:$A$977,0)),0)</f>
        <v/>
      </c>
      <c r="J481" s="6">
        <f>IFERROR(INDEX('02b_DC_Accelerator_Mix'!$G$2:$G$977,MATCH(G481,'02b_DC_Accelerator_Mix'!$A$2:$A$977,0)),0)</f>
        <v/>
      </c>
      <c r="K481" s="6">
        <f>IFERROR(INDEX('02b_DC_Accelerator_Mix'!$H$2:$H$977,MATCH(G481,'02b_DC_Accelerator_Mix'!$A$2:$A$977,0)),0)</f>
        <v/>
      </c>
      <c r="L481" s="6">
        <f>IFERROR(INDEX('02b_DC_Accelerator_Mix'!$I$2:$I$977,MATCH(G481,'02b_DC_Accelerator_Mix'!$A$2:$A$977,0)),0)</f>
        <v/>
      </c>
      <c r="M481" s="6">
        <f>IFERROR(INDEX('02b_DC_Accelerator_Mix'!$J$2:$J$977,MATCH(G481,'02b_DC_Accelerator_Mix'!$A$2:$A$977,0)),0)</f>
        <v/>
      </c>
      <c r="N481" s="6">
        <f>IFERROR(INDEX('02b_DC_Accelerator_Mix'!$K$2:$K$977,MATCH(G481,'02b_DC_Accelerator_Mix'!$A$2:$A$977,0)),0)</f>
        <v/>
      </c>
      <c r="O481" s="6">
        <f>IFERROR(INDEX('02b_DC_Accelerator_Mix'!$L$2:$L$977,MATCH(G481,'02b_DC_Accelerator_Mix'!$A$2:$A$977,0)),0)</f>
        <v/>
      </c>
      <c r="P481" s="6">
        <f>IFERROR(INDEX('02b_DC_Accelerator_Mix'!$M$2:$M$977,MATCH(G481,'02b_DC_Accelerator_Mix'!$A$2:$A$977,0)),0)</f>
        <v/>
      </c>
      <c r="Q481" s="6">
        <f>IFERROR(INDEX('02b_DC_Accelerator_Mix'!$N$2:$N$977,MATCH(G481,'02b_DC_Accelerator_Mix'!$A$2:$A$977,0)),0)</f>
        <v/>
      </c>
      <c r="R481" s="28">
        <f>H481*I481</f>
        <v/>
      </c>
      <c r="S481" s="28">
        <f>H481*J481</f>
        <v/>
      </c>
      <c r="T481" s="28">
        <f>H481*K481</f>
        <v/>
      </c>
      <c r="U481" s="28">
        <f>H481*L481</f>
        <v/>
      </c>
      <c r="V481" s="28">
        <f>H481*M481</f>
        <v/>
      </c>
      <c r="W481" s="28">
        <f>H481*N481</f>
        <v/>
      </c>
      <c r="X481" s="28">
        <f>H481*O481</f>
        <v/>
      </c>
      <c r="Y481" s="28">
        <f>H481*P481</f>
        <v/>
      </c>
      <c r="Z481" s="28">
        <f>H481*Q481</f>
        <v/>
      </c>
      <c r="AA481" s="28">
        <f>SUM(U481:Z481)</f>
        <v/>
      </c>
      <c r="AB481" s="5">
        <f>IF(COUNTIF('02b_DC_Accelerator_Mix'!$A$2:$A$977,G481)&gt;0,"matched","missing_mix")</f>
        <v/>
      </c>
    </row>
    <row r="482">
      <c r="A482" s="5">
        <f>'02a_DC_Capacity_Alloc'!A482</f>
        <v/>
      </c>
      <c r="B482" s="5">
        <f>'02a_DC_Capacity_Alloc'!B482</f>
        <v/>
      </c>
      <c r="C482" s="5">
        <f>'02a_DC_Capacity_Alloc'!C482</f>
        <v/>
      </c>
      <c r="D482" s="5">
        <f>'02a_DC_Capacity_Alloc'!D482</f>
        <v/>
      </c>
      <c r="E482" s="5">
        <f>'02a_DC_Capacity_Alloc'!E482</f>
        <v/>
      </c>
      <c r="F482" s="5">
        <f>'02a_DC_Capacity_Alloc'!F482</f>
        <v/>
      </c>
      <c r="G482" s="5">
        <f>B482&amp;"|"&amp;E482&amp;"|"&amp;D482</f>
        <v/>
      </c>
      <c r="H482" s="28">
        <f>'02a_DC_Capacity_Alloc'!H482*'02a_DC_Capacity_Alloc'!I482*'02a_DC_Capacity_Alloc'!J482</f>
        <v/>
      </c>
      <c r="I482" s="6">
        <f>IFERROR(INDEX('02b_DC_Accelerator_Mix'!$F$2:$F$977,MATCH(G482,'02b_DC_Accelerator_Mix'!$A$2:$A$977,0)),0)</f>
        <v/>
      </c>
      <c r="J482" s="6">
        <f>IFERROR(INDEX('02b_DC_Accelerator_Mix'!$G$2:$G$977,MATCH(G482,'02b_DC_Accelerator_Mix'!$A$2:$A$977,0)),0)</f>
        <v/>
      </c>
      <c r="K482" s="6">
        <f>IFERROR(INDEX('02b_DC_Accelerator_Mix'!$H$2:$H$977,MATCH(G482,'02b_DC_Accelerator_Mix'!$A$2:$A$977,0)),0)</f>
        <v/>
      </c>
      <c r="L482" s="6">
        <f>IFERROR(INDEX('02b_DC_Accelerator_Mix'!$I$2:$I$977,MATCH(G482,'02b_DC_Accelerator_Mix'!$A$2:$A$977,0)),0)</f>
        <v/>
      </c>
      <c r="M482" s="6">
        <f>IFERROR(INDEX('02b_DC_Accelerator_Mix'!$J$2:$J$977,MATCH(G482,'02b_DC_Accelerator_Mix'!$A$2:$A$977,0)),0)</f>
        <v/>
      </c>
      <c r="N482" s="6">
        <f>IFERROR(INDEX('02b_DC_Accelerator_Mix'!$K$2:$K$977,MATCH(G482,'02b_DC_Accelerator_Mix'!$A$2:$A$977,0)),0)</f>
        <v/>
      </c>
      <c r="O482" s="6">
        <f>IFERROR(INDEX('02b_DC_Accelerator_Mix'!$L$2:$L$977,MATCH(G482,'02b_DC_Accelerator_Mix'!$A$2:$A$977,0)),0)</f>
        <v/>
      </c>
      <c r="P482" s="6">
        <f>IFERROR(INDEX('02b_DC_Accelerator_Mix'!$M$2:$M$977,MATCH(G482,'02b_DC_Accelerator_Mix'!$A$2:$A$977,0)),0)</f>
        <v/>
      </c>
      <c r="Q482" s="6">
        <f>IFERROR(INDEX('02b_DC_Accelerator_Mix'!$N$2:$N$977,MATCH(G482,'02b_DC_Accelerator_Mix'!$A$2:$A$977,0)),0)</f>
        <v/>
      </c>
      <c r="R482" s="28">
        <f>H482*I482</f>
        <v/>
      </c>
      <c r="S482" s="28">
        <f>H482*J482</f>
        <v/>
      </c>
      <c r="T482" s="28">
        <f>H482*K482</f>
        <v/>
      </c>
      <c r="U482" s="28">
        <f>H482*L482</f>
        <v/>
      </c>
      <c r="V482" s="28">
        <f>H482*M482</f>
        <v/>
      </c>
      <c r="W482" s="28">
        <f>H482*N482</f>
        <v/>
      </c>
      <c r="X482" s="28">
        <f>H482*O482</f>
        <v/>
      </c>
      <c r="Y482" s="28">
        <f>H482*P482</f>
        <v/>
      </c>
      <c r="Z482" s="28">
        <f>H482*Q482</f>
        <v/>
      </c>
      <c r="AA482" s="28">
        <f>SUM(U482:Z482)</f>
        <v/>
      </c>
      <c r="AB482" s="5">
        <f>IF(COUNTIF('02b_DC_Accelerator_Mix'!$A$2:$A$977,G482)&gt;0,"matched","missing_mix")</f>
        <v/>
      </c>
    </row>
    <row r="483">
      <c r="A483" s="5">
        <f>'02a_DC_Capacity_Alloc'!A483</f>
        <v/>
      </c>
      <c r="B483" s="5">
        <f>'02a_DC_Capacity_Alloc'!B483</f>
        <v/>
      </c>
      <c r="C483" s="5">
        <f>'02a_DC_Capacity_Alloc'!C483</f>
        <v/>
      </c>
      <c r="D483" s="5">
        <f>'02a_DC_Capacity_Alloc'!D483</f>
        <v/>
      </c>
      <c r="E483" s="5">
        <f>'02a_DC_Capacity_Alloc'!E483</f>
        <v/>
      </c>
      <c r="F483" s="5">
        <f>'02a_DC_Capacity_Alloc'!F483</f>
        <v/>
      </c>
      <c r="G483" s="5">
        <f>B483&amp;"|"&amp;E483&amp;"|"&amp;D483</f>
        <v/>
      </c>
      <c r="H483" s="28">
        <f>'02a_DC_Capacity_Alloc'!H483*'02a_DC_Capacity_Alloc'!I483*'02a_DC_Capacity_Alloc'!J483</f>
        <v/>
      </c>
      <c r="I483" s="6">
        <f>IFERROR(INDEX('02b_DC_Accelerator_Mix'!$F$2:$F$977,MATCH(G483,'02b_DC_Accelerator_Mix'!$A$2:$A$977,0)),0)</f>
        <v/>
      </c>
      <c r="J483" s="6">
        <f>IFERROR(INDEX('02b_DC_Accelerator_Mix'!$G$2:$G$977,MATCH(G483,'02b_DC_Accelerator_Mix'!$A$2:$A$977,0)),0)</f>
        <v/>
      </c>
      <c r="K483" s="6">
        <f>IFERROR(INDEX('02b_DC_Accelerator_Mix'!$H$2:$H$977,MATCH(G483,'02b_DC_Accelerator_Mix'!$A$2:$A$977,0)),0)</f>
        <v/>
      </c>
      <c r="L483" s="6">
        <f>IFERROR(INDEX('02b_DC_Accelerator_Mix'!$I$2:$I$977,MATCH(G483,'02b_DC_Accelerator_Mix'!$A$2:$A$977,0)),0)</f>
        <v/>
      </c>
      <c r="M483" s="6">
        <f>IFERROR(INDEX('02b_DC_Accelerator_Mix'!$J$2:$J$977,MATCH(G483,'02b_DC_Accelerator_Mix'!$A$2:$A$977,0)),0)</f>
        <v/>
      </c>
      <c r="N483" s="6">
        <f>IFERROR(INDEX('02b_DC_Accelerator_Mix'!$K$2:$K$977,MATCH(G483,'02b_DC_Accelerator_Mix'!$A$2:$A$977,0)),0)</f>
        <v/>
      </c>
      <c r="O483" s="6">
        <f>IFERROR(INDEX('02b_DC_Accelerator_Mix'!$L$2:$L$977,MATCH(G483,'02b_DC_Accelerator_Mix'!$A$2:$A$977,0)),0)</f>
        <v/>
      </c>
      <c r="P483" s="6">
        <f>IFERROR(INDEX('02b_DC_Accelerator_Mix'!$M$2:$M$977,MATCH(G483,'02b_DC_Accelerator_Mix'!$A$2:$A$977,0)),0)</f>
        <v/>
      </c>
      <c r="Q483" s="6">
        <f>IFERROR(INDEX('02b_DC_Accelerator_Mix'!$N$2:$N$977,MATCH(G483,'02b_DC_Accelerator_Mix'!$A$2:$A$977,0)),0)</f>
        <v/>
      </c>
      <c r="R483" s="28">
        <f>H483*I483</f>
        <v/>
      </c>
      <c r="S483" s="28">
        <f>H483*J483</f>
        <v/>
      </c>
      <c r="T483" s="28">
        <f>H483*K483</f>
        <v/>
      </c>
      <c r="U483" s="28">
        <f>H483*L483</f>
        <v/>
      </c>
      <c r="V483" s="28">
        <f>H483*M483</f>
        <v/>
      </c>
      <c r="W483" s="28">
        <f>H483*N483</f>
        <v/>
      </c>
      <c r="X483" s="28">
        <f>H483*O483</f>
        <v/>
      </c>
      <c r="Y483" s="28">
        <f>H483*P483</f>
        <v/>
      </c>
      <c r="Z483" s="28">
        <f>H483*Q483</f>
        <v/>
      </c>
      <c r="AA483" s="28">
        <f>SUM(U483:Z483)</f>
        <v/>
      </c>
      <c r="AB483" s="5">
        <f>IF(COUNTIF('02b_DC_Accelerator_Mix'!$A$2:$A$977,G483)&gt;0,"matched","missing_mix")</f>
        <v/>
      </c>
    </row>
    <row r="484">
      <c r="A484" s="5">
        <f>'02a_DC_Capacity_Alloc'!A484</f>
        <v/>
      </c>
      <c r="B484" s="5">
        <f>'02a_DC_Capacity_Alloc'!B484</f>
        <v/>
      </c>
      <c r="C484" s="5">
        <f>'02a_DC_Capacity_Alloc'!C484</f>
        <v/>
      </c>
      <c r="D484" s="5">
        <f>'02a_DC_Capacity_Alloc'!D484</f>
        <v/>
      </c>
      <c r="E484" s="5">
        <f>'02a_DC_Capacity_Alloc'!E484</f>
        <v/>
      </c>
      <c r="F484" s="5">
        <f>'02a_DC_Capacity_Alloc'!F484</f>
        <v/>
      </c>
      <c r="G484" s="5">
        <f>B484&amp;"|"&amp;E484&amp;"|"&amp;D484</f>
        <v/>
      </c>
      <c r="H484" s="28">
        <f>'02a_DC_Capacity_Alloc'!H484*'02a_DC_Capacity_Alloc'!I484*'02a_DC_Capacity_Alloc'!J484</f>
        <v/>
      </c>
      <c r="I484" s="6">
        <f>IFERROR(INDEX('02b_DC_Accelerator_Mix'!$F$2:$F$977,MATCH(G484,'02b_DC_Accelerator_Mix'!$A$2:$A$977,0)),0)</f>
        <v/>
      </c>
      <c r="J484" s="6">
        <f>IFERROR(INDEX('02b_DC_Accelerator_Mix'!$G$2:$G$977,MATCH(G484,'02b_DC_Accelerator_Mix'!$A$2:$A$977,0)),0)</f>
        <v/>
      </c>
      <c r="K484" s="6">
        <f>IFERROR(INDEX('02b_DC_Accelerator_Mix'!$H$2:$H$977,MATCH(G484,'02b_DC_Accelerator_Mix'!$A$2:$A$977,0)),0)</f>
        <v/>
      </c>
      <c r="L484" s="6">
        <f>IFERROR(INDEX('02b_DC_Accelerator_Mix'!$I$2:$I$977,MATCH(G484,'02b_DC_Accelerator_Mix'!$A$2:$A$977,0)),0)</f>
        <v/>
      </c>
      <c r="M484" s="6">
        <f>IFERROR(INDEX('02b_DC_Accelerator_Mix'!$J$2:$J$977,MATCH(G484,'02b_DC_Accelerator_Mix'!$A$2:$A$977,0)),0)</f>
        <v/>
      </c>
      <c r="N484" s="6">
        <f>IFERROR(INDEX('02b_DC_Accelerator_Mix'!$K$2:$K$977,MATCH(G484,'02b_DC_Accelerator_Mix'!$A$2:$A$977,0)),0)</f>
        <v/>
      </c>
      <c r="O484" s="6">
        <f>IFERROR(INDEX('02b_DC_Accelerator_Mix'!$L$2:$L$977,MATCH(G484,'02b_DC_Accelerator_Mix'!$A$2:$A$977,0)),0)</f>
        <v/>
      </c>
      <c r="P484" s="6">
        <f>IFERROR(INDEX('02b_DC_Accelerator_Mix'!$M$2:$M$977,MATCH(G484,'02b_DC_Accelerator_Mix'!$A$2:$A$977,0)),0)</f>
        <v/>
      </c>
      <c r="Q484" s="6">
        <f>IFERROR(INDEX('02b_DC_Accelerator_Mix'!$N$2:$N$977,MATCH(G484,'02b_DC_Accelerator_Mix'!$A$2:$A$977,0)),0)</f>
        <v/>
      </c>
      <c r="R484" s="28">
        <f>H484*I484</f>
        <v/>
      </c>
      <c r="S484" s="28">
        <f>H484*J484</f>
        <v/>
      </c>
      <c r="T484" s="28">
        <f>H484*K484</f>
        <v/>
      </c>
      <c r="U484" s="28">
        <f>H484*L484</f>
        <v/>
      </c>
      <c r="V484" s="28">
        <f>H484*M484</f>
        <v/>
      </c>
      <c r="W484" s="28">
        <f>H484*N484</f>
        <v/>
      </c>
      <c r="X484" s="28">
        <f>H484*O484</f>
        <v/>
      </c>
      <c r="Y484" s="28">
        <f>H484*P484</f>
        <v/>
      </c>
      <c r="Z484" s="28">
        <f>H484*Q484</f>
        <v/>
      </c>
      <c r="AA484" s="28">
        <f>SUM(U484:Z484)</f>
        <v/>
      </c>
      <c r="AB484" s="5">
        <f>IF(COUNTIF('02b_DC_Accelerator_Mix'!$A$2:$A$977,G484)&gt;0,"matched","missing_mix")</f>
        <v/>
      </c>
    </row>
    <row r="485">
      <c r="A485" s="5">
        <f>'02a_DC_Capacity_Alloc'!A485</f>
        <v/>
      </c>
      <c r="B485" s="5">
        <f>'02a_DC_Capacity_Alloc'!B485</f>
        <v/>
      </c>
      <c r="C485" s="5">
        <f>'02a_DC_Capacity_Alloc'!C485</f>
        <v/>
      </c>
      <c r="D485" s="5">
        <f>'02a_DC_Capacity_Alloc'!D485</f>
        <v/>
      </c>
      <c r="E485" s="5">
        <f>'02a_DC_Capacity_Alloc'!E485</f>
        <v/>
      </c>
      <c r="F485" s="5">
        <f>'02a_DC_Capacity_Alloc'!F485</f>
        <v/>
      </c>
      <c r="G485" s="5">
        <f>B485&amp;"|"&amp;E485&amp;"|"&amp;D485</f>
        <v/>
      </c>
      <c r="H485" s="28">
        <f>'02a_DC_Capacity_Alloc'!H485*'02a_DC_Capacity_Alloc'!I485*'02a_DC_Capacity_Alloc'!J485</f>
        <v/>
      </c>
      <c r="I485" s="6">
        <f>IFERROR(INDEX('02b_DC_Accelerator_Mix'!$F$2:$F$977,MATCH(G485,'02b_DC_Accelerator_Mix'!$A$2:$A$977,0)),0)</f>
        <v/>
      </c>
      <c r="J485" s="6">
        <f>IFERROR(INDEX('02b_DC_Accelerator_Mix'!$G$2:$G$977,MATCH(G485,'02b_DC_Accelerator_Mix'!$A$2:$A$977,0)),0)</f>
        <v/>
      </c>
      <c r="K485" s="6">
        <f>IFERROR(INDEX('02b_DC_Accelerator_Mix'!$H$2:$H$977,MATCH(G485,'02b_DC_Accelerator_Mix'!$A$2:$A$977,0)),0)</f>
        <v/>
      </c>
      <c r="L485" s="6">
        <f>IFERROR(INDEX('02b_DC_Accelerator_Mix'!$I$2:$I$977,MATCH(G485,'02b_DC_Accelerator_Mix'!$A$2:$A$977,0)),0)</f>
        <v/>
      </c>
      <c r="M485" s="6">
        <f>IFERROR(INDEX('02b_DC_Accelerator_Mix'!$J$2:$J$977,MATCH(G485,'02b_DC_Accelerator_Mix'!$A$2:$A$977,0)),0)</f>
        <v/>
      </c>
      <c r="N485" s="6">
        <f>IFERROR(INDEX('02b_DC_Accelerator_Mix'!$K$2:$K$977,MATCH(G485,'02b_DC_Accelerator_Mix'!$A$2:$A$977,0)),0)</f>
        <v/>
      </c>
      <c r="O485" s="6">
        <f>IFERROR(INDEX('02b_DC_Accelerator_Mix'!$L$2:$L$977,MATCH(G485,'02b_DC_Accelerator_Mix'!$A$2:$A$977,0)),0)</f>
        <v/>
      </c>
      <c r="P485" s="6">
        <f>IFERROR(INDEX('02b_DC_Accelerator_Mix'!$M$2:$M$977,MATCH(G485,'02b_DC_Accelerator_Mix'!$A$2:$A$977,0)),0)</f>
        <v/>
      </c>
      <c r="Q485" s="6">
        <f>IFERROR(INDEX('02b_DC_Accelerator_Mix'!$N$2:$N$977,MATCH(G485,'02b_DC_Accelerator_Mix'!$A$2:$A$977,0)),0)</f>
        <v/>
      </c>
      <c r="R485" s="28">
        <f>H485*I485</f>
        <v/>
      </c>
      <c r="S485" s="28">
        <f>H485*J485</f>
        <v/>
      </c>
      <c r="T485" s="28">
        <f>H485*K485</f>
        <v/>
      </c>
      <c r="U485" s="28">
        <f>H485*L485</f>
        <v/>
      </c>
      <c r="V485" s="28">
        <f>H485*M485</f>
        <v/>
      </c>
      <c r="W485" s="28">
        <f>H485*N485</f>
        <v/>
      </c>
      <c r="X485" s="28">
        <f>H485*O485</f>
        <v/>
      </c>
      <c r="Y485" s="28">
        <f>H485*P485</f>
        <v/>
      </c>
      <c r="Z485" s="28">
        <f>H485*Q485</f>
        <v/>
      </c>
      <c r="AA485" s="28">
        <f>SUM(U485:Z485)</f>
        <v/>
      </c>
      <c r="AB485" s="5">
        <f>IF(COUNTIF('02b_DC_Accelerator_Mix'!$A$2:$A$977,G485)&gt;0,"matched","missing_mix")</f>
        <v/>
      </c>
    </row>
    <row r="486">
      <c r="A486" s="5">
        <f>'02a_DC_Capacity_Alloc'!A486</f>
        <v/>
      </c>
      <c r="B486" s="5">
        <f>'02a_DC_Capacity_Alloc'!B486</f>
        <v/>
      </c>
      <c r="C486" s="5">
        <f>'02a_DC_Capacity_Alloc'!C486</f>
        <v/>
      </c>
      <c r="D486" s="5">
        <f>'02a_DC_Capacity_Alloc'!D486</f>
        <v/>
      </c>
      <c r="E486" s="5">
        <f>'02a_DC_Capacity_Alloc'!E486</f>
        <v/>
      </c>
      <c r="F486" s="5">
        <f>'02a_DC_Capacity_Alloc'!F486</f>
        <v/>
      </c>
      <c r="G486" s="5">
        <f>B486&amp;"|"&amp;E486&amp;"|"&amp;D486</f>
        <v/>
      </c>
      <c r="H486" s="28">
        <f>'02a_DC_Capacity_Alloc'!H486*'02a_DC_Capacity_Alloc'!I486*'02a_DC_Capacity_Alloc'!J486</f>
        <v/>
      </c>
      <c r="I486" s="6">
        <f>IFERROR(INDEX('02b_DC_Accelerator_Mix'!$F$2:$F$977,MATCH(G486,'02b_DC_Accelerator_Mix'!$A$2:$A$977,0)),0)</f>
        <v/>
      </c>
      <c r="J486" s="6">
        <f>IFERROR(INDEX('02b_DC_Accelerator_Mix'!$G$2:$G$977,MATCH(G486,'02b_DC_Accelerator_Mix'!$A$2:$A$977,0)),0)</f>
        <v/>
      </c>
      <c r="K486" s="6">
        <f>IFERROR(INDEX('02b_DC_Accelerator_Mix'!$H$2:$H$977,MATCH(G486,'02b_DC_Accelerator_Mix'!$A$2:$A$977,0)),0)</f>
        <v/>
      </c>
      <c r="L486" s="6">
        <f>IFERROR(INDEX('02b_DC_Accelerator_Mix'!$I$2:$I$977,MATCH(G486,'02b_DC_Accelerator_Mix'!$A$2:$A$977,0)),0)</f>
        <v/>
      </c>
      <c r="M486" s="6">
        <f>IFERROR(INDEX('02b_DC_Accelerator_Mix'!$J$2:$J$977,MATCH(G486,'02b_DC_Accelerator_Mix'!$A$2:$A$977,0)),0)</f>
        <v/>
      </c>
      <c r="N486" s="6">
        <f>IFERROR(INDEX('02b_DC_Accelerator_Mix'!$K$2:$K$977,MATCH(G486,'02b_DC_Accelerator_Mix'!$A$2:$A$977,0)),0)</f>
        <v/>
      </c>
      <c r="O486" s="6">
        <f>IFERROR(INDEX('02b_DC_Accelerator_Mix'!$L$2:$L$977,MATCH(G486,'02b_DC_Accelerator_Mix'!$A$2:$A$977,0)),0)</f>
        <v/>
      </c>
      <c r="P486" s="6">
        <f>IFERROR(INDEX('02b_DC_Accelerator_Mix'!$M$2:$M$977,MATCH(G486,'02b_DC_Accelerator_Mix'!$A$2:$A$977,0)),0)</f>
        <v/>
      </c>
      <c r="Q486" s="6">
        <f>IFERROR(INDEX('02b_DC_Accelerator_Mix'!$N$2:$N$977,MATCH(G486,'02b_DC_Accelerator_Mix'!$A$2:$A$977,0)),0)</f>
        <v/>
      </c>
      <c r="R486" s="28">
        <f>H486*I486</f>
        <v/>
      </c>
      <c r="S486" s="28">
        <f>H486*J486</f>
        <v/>
      </c>
      <c r="T486" s="28">
        <f>H486*K486</f>
        <v/>
      </c>
      <c r="U486" s="28">
        <f>H486*L486</f>
        <v/>
      </c>
      <c r="V486" s="28">
        <f>H486*M486</f>
        <v/>
      </c>
      <c r="W486" s="28">
        <f>H486*N486</f>
        <v/>
      </c>
      <c r="X486" s="28">
        <f>H486*O486</f>
        <v/>
      </c>
      <c r="Y486" s="28">
        <f>H486*P486</f>
        <v/>
      </c>
      <c r="Z486" s="28">
        <f>H486*Q486</f>
        <v/>
      </c>
      <c r="AA486" s="28">
        <f>SUM(U486:Z486)</f>
        <v/>
      </c>
      <c r="AB486" s="5">
        <f>IF(COUNTIF('02b_DC_Accelerator_Mix'!$A$2:$A$977,G486)&gt;0,"matched","missing_mix")</f>
        <v/>
      </c>
    </row>
    <row r="487">
      <c r="A487" s="5">
        <f>'02a_DC_Capacity_Alloc'!A487</f>
        <v/>
      </c>
      <c r="B487" s="5">
        <f>'02a_DC_Capacity_Alloc'!B487</f>
        <v/>
      </c>
      <c r="C487" s="5">
        <f>'02a_DC_Capacity_Alloc'!C487</f>
        <v/>
      </c>
      <c r="D487" s="5">
        <f>'02a_DC_Capacity_Alloc'!D487</f>
        <v/>
      </c>
      <c r="E487" s="5">
        <f>'02a_DC_Capacity_Alloc'!E487</f>
        <v/>
      </c>
      <c r="F487" s="5">
        <f>'02a_DC_Capacity_Alloc'!F487</f>
        <v/>
      </c>
      <c r="G487" s="5">
        <f>B487&amp;"|"&amp;E487&amp;"|"&amp;D487</f>
        <v/>
      </c>
      <c r="H487" s="28">
        <f>'02a_DC_Capacity_Alloc'!H487*'02a_DC_Capacity_Alloc'!I487*'02a_DC_Capacity_Alloc'!J487</f>
        <v/>
      </c>
      <c r="I487" s="6">
        <f>IFERROR(INDEX('02b_DC_Accelerator_Mix'!$F$2:$F$977,MATCH(G487,'02b_DC_Accelerator_Mix'!$A$2:$A$977,0)),0)</f>
        <v/>
      </c>
      <c r="J487" s="6">
        <f>IFERROR(INDEX('02b_DC_Accelerator_Mix'!$G$2:$G$977,MATCH(G487,'02b_DC_Accelerator_Mix'!$A$2:$A$977,0)),0)</f>
        <v/>
      </c>
      <c r="K487" s="6">
        <f>IFERROR(INDEX('02b_DC_Accelerator_Mix'!$H$2:$H$977,MATCH(G487,'02b_DC_Accelerator_Mix'!$A$2:$A$977,0)),0)</f>
        <v/>
      </c>
      <c r="L487" s="6">
        <f>IFERROR(INDEX('02b_DC_Accelerator_Mix'!$I$2:$I$977,MATCH(G487,'02b_DC_Accelerator_Mix'!$A$2:$A$977,0)),0)</f>
        <v/>
      </c>
      <c r="M487" s="6">
        <f>IFERROR(INDEX('02b_DC_Accelerator_Mix'!$J$2:$J$977,MATCH(G487,'02b_DC_Accelerator_Mix'!$A$2:$A$977,0)),0)</f>
        <v/>
      </c>
      <c r="N487" s="6">
        <f>IFERROR(INDEX('02b_DC_Accelerator_Mix'!$K$2:$K$977,MATCH(G487,'02b_DC_Accelerator_Mix'!$A$2:$A$977,0)),0)</f>
        <v/>
      </c>
      <c r="O487" s="6">
        <f>IFERROR(INDEX('02b_DC_Accelerator_Mix'!$L$2:$L$977,MATCH(G487,'02b_DC_Accelerator_Mix'!$A$2:$A$977,0)),0)</f>
        <v/>
      </c>
      <c r="P487" s="6">
        <f>IFERROR(INDEX('02b_DC_Accelerator_Mix'!$M$2:$M$977,MATCH(G487,'02b_DC_Accelerator_Mix'!$A$2:$A$977,0)),0)</f>
        <v/>
      </c>
      <c r="Q487" s="6">
        <f>IFERROR(INDEX('02b_DC_Accelerator_Mix'!$N$2:$N$977,MATCH(G487,'02b_DC_Accelerator_Mix'!$A$2:$A$977,0)),0)</f>
        <v/>
      </c>
      <c r="R487" s="28">
        <f>H487*I487</f>
        <v/>
      </c>
      <c r="S487" s="28">
        <f>H487*J487</f>
        <v/>
      </c>
      <c r="T487" s="28">
        <f>H487*K487</f>
        <v/>
      </c>
      <c r="U487" s="28">
        <f>H487*L487</f>
        <v/>
      </c>
      <c r="V487" s="28">
        <f>H487*M487</f>
        <v/>
      </c>
      <c r="W487" s="28">
        <f>H487*N487</f>
        <v/>
      </c>
      <c r="X487" s="28">
        <f>H487*O487</f>
        <v/>
      </c>
      <c r="Y487" s="28">
        <f>H487*P487</f>
        <v/>
      </c>
      <c r="Z487" s="28">
        <f>H487*Q487</f>
        <v/>
      </c>
      <c r="AA487" s="28">
        <f>SUM(U487:Z487)</f>
        <v/>
      </c>
      <c r="AB487" s="5">
        <f>IF(COUNTIF('02b_DC_Accelerator_Mix'!$A$2:$A$977,G487)&gt;0,"matched","missing_mix")</f>
        <v/>
      </c>
    </row>
    <row r="488">
      <c r="A488" s="5">
        <f>'02a_DC_Capacity_Alloc'!A488</f>
        <v/>
      </c>
      <c r="B488" s="5">
        <f>'02a_DC_Capacity_Alloc'!B488</f>
        <v/>
      </c>
      <c r="C488" s="5">
        <f>'02a_DC_Capacity_Alloc'!C488</f>
        <v/>
      </c>
      <c r="D488" s="5">
        <f>'02a_DC_Capacity_Alloc'!D488</f>
        <v/>
      </c>
      <c r="E488" s="5">
        <f>'02a_DC_Capacity_Alloc'!E488</f>
        <v/>
      </c>
      <c r="F488" s="5">
        <f>'02a_DC_Capacity_Alloc'!F488</f>
        <v/>
      </c>
      <c r="G488" s="5">
        <f>B488&amp;"|"&amp;E488&amp;"|"&amp;D488</f>
        <v/>
      </c>
      <c r="H488" s="28">
        <f>'02a_DC_Capacity_Alloc'!H488*'02a_DC_Capacity_Alloc'!I488*'02a_DC_Capacity_Alloc'!J488</f>
        <v/>
      </c>
      <c r="I488" s="6">
        <f>IFERROR(INDEX('02b_DC_Accelerator_Mix'!$F$2:$F$977,MATCH(G488,'02b_DC_Accelerator_Mix'!$A$2:$A$977,0)),0)</f>
        <v/>
      </c>
      <c r="J488" s="6">
        <f>IFERROR(INDEX('02b_DC_Accelerator_Mix'!$G$2:$G$977,MATCH(G488,'02b_DC_Accelerator_Mix'!$A$2:$A$977,0)),0)</f>
        <v/>
      </c>
      <c r="K488" s="6">
        <f>IFERROR(INDEX('02b_DC_Accelerator_Mix'!$H$2:$H$977,MATCH(G488,'02b_DC_Accelerator_Mix'!$A$2:$A$977,0)),0)</f>
        <v/>
      </c>
      <c r="L488" s="6">
        <f>IFERROR(INDEX('02b_DC_Accelerator_Mix'!$I$2:$I$977,MATCH(G488,'02b_DC_Accelerator_Mix'!$A$2:$A$977,0)),0)</f>
        <v/>
      </c>
      <c r="M488" s="6">
        <f>IFERROR(INDEX('02b_DC_Accelerator_Mix'!$J$2:$J$977,MATCH(G488,'02b_DC_Accelerator_Mix'!$A$2:$A$977,0)),0)</f>
        <v/>
      </c>
      <c r="N488" s="6">
        <f>IFERROR(INDEX('02b_DC_Accelerator_Mix'!$K$2:$K$977,MATCH(G488,'02b_DC_Accelerator_Mix'!$A$2:$A$977,0)),0)</f>
        <v/>
      </c>
      <c r="O488" s="6">
        <f>IFERROR(INDEX('02b_DC_Accelerator_Mix'!$L$2:$L$977,MATCH(G488,'02b_DC_Accelerator_Mix'!$A$2:$A$977,0)),0)</f>
        <v/>
      </c>
      <c r="P488" s="6">
        <f>IFERROR(INDEX('02b_DC_Accelerator_Mix'!$M$2:$M$977,MATCH(G488,'02b_DC_Accelerator_Mix'!$A$2:$A$977,0)),0)</f>
        <v/>
      </c>
      <c r="Q488" s="6">
        <f>IFERROR(INDEX('02b_DC_Accelerator_Mix'!$N$2:$N$977,MATCH(G488,'02b_DC_Accelerator_Mix'!$A$2:$A$977,0)),0)</f>
        <v/>
      </c>
      <c r="R488" s="28">
        <f>H488*I488</f>
        <v/>
      </c>
      <c r="S488" s="28">
        <f>H488*J488</f>
        <v/>
      </c>
      <c r="T488" s="28">
        <f>H488*K488</f>
        <v/>
      </c>
      <c r="U488" s="28">
        <f>H488*L488</f>
        <v/>
      </c>
      <c r="V488" s="28">
        <f>H488*M488</f>
        <v/>
      </c>
      <c r="W488" s="28">
        <f>H488*N488</f>
        <v/>
      </c>
      <c r="X488" s="28">
        <f>H488*O488</f>
        <v/>
      </c>
      <c r="Y488" s="28">
        <f>H488*P488</f>
        <v/>
      </c>
      <c r="Z488" s="28">
        <f>H488*Q488</f>
        <v/>
      </c>
      <c r="AA488" s="28">
        <f>SUM(U488:Z488)</f>
        <v/>
      </c>
      <c r="AB488" s="5">
        <f>IF(COUNTIF('02b_DC_Accelerator_Mix'!$A$2:$A$977,G488)&gt;0,"matched","missing_mix")</f>
        <v/>
      </c>
    </row>
    <row r="489">
      <c r="A489" s="5">
        <f>'02a_DC_Capacity_Alloc'!A489</f>
        <v/>
      </c>
      <c r="B489" s="5">
        <f>'02a_DC_Capacity_Alloc'!B489</f>
        <v/>
      </c>
      <c r="C489" s="5">
        <f>'02a_DC_Capacity_Alloc'!C489</f>
        <v/>
      </c>
      <c r="D489" s="5">
        <f>'02a_DC_Capacity_Alloc'!D489</f>
        <v/>
      </c>
      <c r="E489" s="5">
        <f>'02a_DC_Capacity_Alloc'!E489</f>
        <v/>
      </c>
      <c r="F489" s="5">
        <f>'02a_DC_Capacity_Alloc'!F489</f>
        <v/>
      </c>
      <c r="G489" s="5">
        <f>B489&amp;"|"&amp;E489&amp;"|"&amp;D489</f>
        <v/>
      </c>
      <c r="H489" s="28">
        <f>'02a_DC_Capacity_Alloc'!H489*'02a_DC_Capacity_Alloc'!I489*'02a_DC_Capacity_Alloc'!J489</f>
        <v/>
      </c>
      <c r="I489" s="6">
        <f>IFERROR(INDEX('02b_DC_Accelerator_Mix'!$F$2:$F$977,MATCH(G489,'02b_DC_Accelerator_Mix'!$A$2:$A$977,0)),0)</f>
        <v/>
      </c>
      <c r="J489" s="6">
        <f>IFERROR(INDEX('02b_DC_Accelerator_Mix'!$G$2:$G$977,MATCH(G489,'02b_DC_Accelerator_Mix'!$A$2:$A$977,0)),0)</f>
        <v/>
      </c>
      <c r="K489" s="6">
        <f>IFERROR(INDEX('02b_DC_Accelerator_Mix'!$H$2:$H$977,MATCH(G489,'02b_DC_Accelerator_Mix'!$A$2:$A$977,0)),0)</f>
        <v/>
      </c>
      <c r="L489" s="6">
        <f>IFERROR(INDEX('02b_DC_Accelerator_Mix'!$I$2:$I$977,MATCH(G489,'02b_DC_Accelerator_Mix'!$A$2:$A$977,0)),0)</f>
        <v/>
      </c>
      <c r="M489" s="6">
        <f>IFERROR(INDEX('02b_DC_Accelerator_Mix'!$J$2:$J$977,MATCH(G489,'02b_DC_Accelerator_Mix'!$A$2:$A$977,0)),0)</f>
        <v/>
      </c>
      <c r="N489" s="6">
        <f>IFERROR(INDEX('02b_DC_Accelerator_Mix'!$K$2:$K$977,MATCH(G489,'02b_DC_Accelerator_Mix'!$A$2:$A$977,0)),0)</f>
        <v/>
      </c>
      <c r="O489" s="6">
        <f>IFERROR(INDEX('02b_DC_Accelerator_Mix'!$L$2:$L$977,MATCH(G489,'02b_DC_Accelerator_Mix'!$A$2:$A$977,0)),0)</f>
        <v/>
      </c>
      <c r="P489" s="6">
        <f>IFERROR(INDEX('02b_DC_Accelerator_Mix'!$M$2:$M$977,MATCH(G489,'02b_DC_Accelerator_Mix'!$A$2:$A$977,0)),0)</f>
        <v/>
      </c>
      <c r="Q489" s="6">
        <f>IFERROR(INDEX('02b_DC_Accelerator_Mix'!$N$2:$N$977,MATCH(G489,'02b_DC_Accelerator_Mix'!$A$2:$A$977,0)),0)</f>
        <v/>
      </c>
      <c r="R489" s="28">
        <f>H489*I489</f>
        <v/>
      </c>
      <c r="S489" s="28">
        <f>H489*J489</f>
        <v/>
      </c>
      <c r="T489" s="28">
        <f>H489*K489</f>
        <v/>
      </c>
      <c r="U489" s="28">
        <f>H489*L489</f>
        <v/>
      </c>
      <c r="V489" s="28">
        <f>H489*M489</f>
        <v/>
      </c>
      <c r="W489" s="28">
        <f>H489*N489</f>
        <v/>
      </c>
      <c r="X489" s="28">
        <f>H489*O489</f>
        <v/>
      </c>
      <c r="Y489" s="28">
        <f>H489*P489</f>
        <v/>
      </c>
      <c r="Z489" s="28">
        <f>H489*Q489</f>
        <v/>
      </c>
      <c r="AA489" s="28">
        <f>SUM(U489:Z489)</f>
        <v/>
      </c>
      <c r="AB489" s="5">
        <f>IF(COUNTIF('02b_DC_Accelerator_Mix'!$A$2:$A$977,G489)&gt;0,"matched","missing_mix")</f>
        <v/>
      </c>
    </row>
    <row r="490">
      <c r="A490" s="5">
        <f>'02a_DC_Capacity_Alloc'!A490</f>
        <v/>
      </c>
      <c r="B490" s="5">
        <f>'02a_DC_Capacity_Alloc'!B490</f>
        <v/>
      </c>
      <c r="C490" s="5">
        <f>'02a_DC_Capacity_Alloc'!C490</f>
        <v/>
      </c>
      <c r="D490" s="5">
        <f>'02a_DC_Capacity_Alloc'!D490</f>
        <v/>
      </c>
      <c r="E490" s="5">
        <f>'02a_DC_Capacity_Alloc'!E490</f>
        <v/>
      </c>
      <c r="F490" s="5">
        <f>'02a_DC_Capacity_Alloc'!F490</f>
        <v/>
      </c>
      <c r="G490" s="5">
        <f>B490&amp;"|"&amp;E490&amp;"|"&amp;D490</f>
        <v/>
      </c>
      <c r="H490" s="28">
        <f>'02a_DC_Capacity_Alloc'!H490*'02a_DC_Capacity_Alloc'!I490*'02a_DC_Capacity_Alloc'!J490</f>
        <v/>
      </c>
      <c r="I490" s="6">
        <f>IFERROR(INDEX('02b_DC_Accelerator_Mix'!$F$2:$F$977,MATCH(G490,'02b_DC_Accelerator_Mix'!$A$2:$A$977,0)),0)</f>
        <v/>
      </c>
      <c r="J490" s="6">
        <f>IFERROR(INDEX('02b_DC_Accelerator_Mix'!$G$2:$G$977,MATCH(G490,'02b_DC_Accelerator_Mix'!$A$2:$A$977,0)),0)</f>
        <v/>
      </c>
      <c r="K490" s="6">
        <f>IFERROR(INDEX('02b_DC_Accelerator_Mix'!$H$2:$H$977,MATCH(G490,'02b_DC_Accelerator_Mix'!$A$2:$A$977,0)),0)</f>
        <v/>
      </c>
      <c r="L490" s="6">
        <f>IFERROR(INDEX('02b_DC_Accelerator_Mix'!$I$2:$I$977,MATCH(G490,'02b_DC_Accelerator_Mix'!$A$2:$A$977,0)),0)</f>
        <v/>
      </c>
      <c r="M490" s="6">
        <f>IFERROR(INDEX('02b_DC_Accelerator_Mix'!$J$2:$J$977,MATCH(G490,'02b_DC_Accelerator_Mix'!$A$2:$A$977,0)),0)</f>
        <v/>
      </c>
      <c r="N490" s="6">
        <f>IFERROR(INDEX('02b_DC_Accelerator_Mix'!$K$2:$K$977,MATCH(G490,'02b_DC_Accelerator_Mix'!$A$2:$A$977,0)),0)</f>
        <v/>
      </c>
      <c r="O490" s="6">
        <f>IFERROR(INDEX('02b_DC_Accelerator_Mix'!$L$2:$L$977,MATCH(G490,'02b_DC_Accelerator_Mix'!$A$2:$A$977,0)),0)</f>
        <v/>
      </c>
      <c r="P490" s="6">
        <f>IFERROR(INDEX('02b_DC_Accelerator_Mix'!$M$2:$M$977,MATCH(G490,'02b_DC_Accelerator_Mix'!$A$2:$A$977,0)),0)</f>
        <v/>
      </c>
      <c r="Q490" s="6">
        <f>IFERROR(INDEX('02b_DC_Accelerator_Mix'!$N$2:$N$977,MATCH(G490,'02b_DC_Accelerator_Mix'!$A$2:$A$977,0)),0)</f>
        <v/>
      </c>
      <c r="R490" s="28">
        <f>H490*I490</f>
        <v/>
      </c>
      <c r="S490" s="28">
        <f>H490*J490</f>
        <v/>
      </c>
      <c r="T490" s="28">
        <f>H490*K490</f>
        <v/>
      </c>
      <c r="U490" s="28">
        <f>H490*L490</f>
        <v/>
      </c>
      <c r="V490" s="28">
        <f>H490*M490</f>
        <v/>
      </c>
      <c r="W490" s="28">
        <f>H490*N490</f>
        <v/>
      </c>
      <c r="X490" s="28">
        <f>H490*O490</f>
        <v/>
      </c>
      <c r="Y490" s="28">
        <f>H490*P490</f>
        <v/>
      </c>
      <c r="Z490" s="28">
        <f>H490*Q490</f>
        <v/>
      </c>
      <c r="AA490" s="28">
        <f>SUM(U490:Z490)</f>
        <v/>
      </c>
      <c r="AB490" s="5">
        <f>IF(COUNTIF('02b_DC_Accelerator_Mix'!$A$2:$A$977,G490)&gt;0,"matched","missing_mix")</f>
        <v/>
      </c>
    </row>
    <row r="491">
      <c r="A491" s="5">
        <f>'02a_DC_Capacity_Alloc'!A491</f>
        <v/>
      </c>
      <c r="B491" s="5">
        <f>'02a_DC_Capacity_Alloc'!B491</f>
        <v/>
      </c>
      <c r="C491" s="5">
        <f>'02a_DC_Capacity_Alloc'!C491</f>
        <v/>
      </c>
      <c r="D491" s="5">
        <f>'02a_DC_Capacity_Alloc'!D491</f>
        <v/>
      </c>
      <c r="E491" s="5">
        <f>'02a_DC_Capacity_Alloc'!E491</f>
        <v/>
      </c>
      <c r="F491" s="5">
        <f>'02a_DC_Capacity_Alloc'!F491</f>
        <v/>
      </c>
      <c r="G491" s="5">
        <f>B491&amp;"|"&amp;E491&amp;"|"&amp;D491</f>
        <v/>
      </c>
      <c r="H491" s="28">
        <f>'02a_DC_Capacity_Alloc'!H491*'02a_DC_Capacity_Alloc'!I491*'02a_DC_Capacity_Alloc'!J491</f>
        <v/>
      </c>
      <c r="I491" s="6">
        <f>IFERROR(INDEX('02b_DC_Accelerator_Mix'!$F$2:$F$977,MATCH(G491,'02b_DC_Accelerator_Mix'!$A$2:$A$977,0)),0)</f>
        <v/>
      </c>
      <c r="J491" s="6">
        <f>IFERROR(INDEX('02b_DC_Accelerator_Mix'!$G$2:$G$977,MATCH(G491,'02b_DC_Accelerator_Mix'!$A$2:$A$977,0)),0)</f>
        <v/>
      </c>
      <c r="K491" s="6">
        <f>IFERROR(INDEX('02b_DC_Accelerator_Mix'!$H$2:$H$977,MATCH(G491,'02b_DC_Accelerator_Mix'!$A$2:$A$977,0)),0)</f>
        <v/>
      </c>
      <c r="L491" s="6">
        <f>IFERROR(INDEX('02b_DC_Accelerator_Mix'!$I$2:$I$977,MATCH(G491,'02b_DC_Accelerator_Mix'!$A$2:$A$977,0)),0)</f>
        <v/>
      </c>
      <c r="M491" s="6">
        <f>IFERROR(INDEX('02b_DC_Accelerator_Mix'!$J$2:$J$977,MATCH(G491,'02b_DC_Accelerator_Mix'!$A$2:$A$977,0)),0)</f>
        <v/>
      </c>
      <c r="N491" s="6">
        <f>IFERROR(INDEX('02b_DC_Accelerator_Mix'!$K$2:$K$977,MATCH(G491,'02b_DC_Accelerator_Mix'!$A$2:$A$977,0)),0)</f>
        <v/>
      </c>
      <c r="O491" s="6">
        <f>IFERROR(INDEX('02b_DC_Accelerator_Mix'!$L$2:$L$977,MATCH(G491,'02b_DC_Accelerator_Mix'!$A$2:$A$977,0)),0)</f>
        <v/>
      </c>
      <c r="P491" s="6">
        <f>IFERROR(INDEX('02b_DC_Accelerator_Mix'!$M$2:$M$977,MATCH(G491,'02b_DC_Accelerator_Mix'!$A$2:$A$977,0)),0)</f>
        <v/>
      </c>
      <c r="Q491" s="6">
        <f>IFERROR(INDEX('02b_DC_Accelerator_Mix'!$N$2:$N$977,MATCH(G491,'02b_DC_Accelerator_Mix'!$A$2:$A$977,0)),0)</f>
        <v/>
      </c>
      <c r="R491" s="28">
        <f>H491*I491</f>
        <v/>
      </c>
      <c r="S491" s="28">
        <f>H491*J491</f>
        <v/>
      </c>
      <c r="T491" s="28">
        <f>H491*K491</f>
        <v/>
      </c>
      <c r="U491" s="28">
        <f>H491*L491</f>
        <v/>
      </c>
      <c r="V491" s="28">
        <f>H491*M491</f>
        <v/>
      </c>
      <c r="W491" s="28">
        <f>H491*N491</f>
        <v/>
      </c>
      <c r="X491" s="28">
        <f>H491*O491</f>
        <v/>
      </c>
      <c r="Y491" s="28">
        <f>H491*P491</f>
        <v/>
      </c>
      <c r="Z491" s="28">
        <f>H491*Q491</f>
        <v/>
      </c>
      <c r="AA491" s="28">
        <f>SUM(U491:Z491)</f>
        <v/>
      </c>
      <c r="AB491" s="5">
        <f>IF(COUNTIF('02b_DC_Accelerator_Mix'!$A$2:$A$977,G491)&gt;0,"matched","missing_mix")</f>
        <v/>
      </c>
    </row>
    <row r="492">
      <c r="A492" s="5">
        <f>'02a_DC_Capacity_Alloc'!A492</f>
        <v/>
      </c>
      <c r="B492" s="5">
        <f>'02a_DC_Capacity_Alloc'!B492</f>
        <v/>
      </c>
      <c r="C492" s="5">
        <f>'02a_DC_Capacity_Alloc'!C492</f>
        <v/>
      </c>
      <c r="D492" s="5">
        <f>'02a_DC_Capacity_Alloc'!D492</f>
        <v/>
      </c>
      <c r="E492" s="5">
        <f>'02a_DC_Capacity_Alloc'!E492</f>
        <v/>
      </c>
      <c r="F492" s="5">
        <f>'02a_DC_Capacity_Alloc'!F492</f>
        <v/>
      </c>
      <c r="G492" s="5">
        <f>B492&amp;"|"&amp;E492&amp;"|"&amp;D492</f>
        <v/>
      </c>
      <c r="H492" s="28">
        <f>'02a_DC_Capacity_Alloc'!H492*'02a_DC_Capacity_Alloc'!I492*'02a_DC_Capacity_Alloc'!J492</f>
        <v/>
      </c>
      <c r="I492" s="6">
        <f>IFERROR(INDEX('02b_DC_Accelerator_Mix'!$F$2:$F$977,MATCH(G492,'02b_DC_Accelerator_Mix'!$A$2:$A$977,0)),0)</f>
        <v/>
      </c>
      <c r="J492" s="6">
        <f>IFERROR(INDEX('02b_DC_Accelerator_Mix'!$G$2:$G$977,MATCH(G492,'02b_DC_Accelerator_Mix'!$A$2:$A$977,0)),0)</f>
        <v/>
      </c>
      <c r="K492" s="6">
        <f>IFERROR(INDEX('02b_DC_Accelerator_Mix'!$H$2:$H$977,MATCH(G492,'02b_DC_Accelerator_Mix'!$A$2:$A$977,0)),0)</f>
        <v/>
      </c>
      <c r="L492" s="6">
        <f>IFERROR(INDEX('02b_DC_Accelerator_Mix'!$I$2:$I$977,MATCH(G492,'02b_DC_Accelerator_Mix'!$A$2:$A$977,0)),0)</f>
        <v/>
      </c>
      <c r="M492" s="6">
        <f>IFERROR(INDEX('02b_DC_Accelerator_Mix'!$J$2:$J$977,MATCH(G492,'02b_DC_Accelerator_Mix'!$A$2:$A$977,0)),0)</f>
        <v/>
      </c>
      <c r="N492" s="6">
        <f>IFERROR(INDEX('02b_DC_Accelerator_Mix'!$K$2:$K$977,MATCH(G492,'02b_DC_Accelerator_Mix'!$A$2:$A$977,0)),0)</f>
        <v/>
      </c>
      <c r="O492" s="6">
        <f>IFERROR(INDEX('02b_DC_Accelerator_Mix'!$L$2:$L$977,MATCH(G492,'02b_DC_Accelerator_Mix'!$A$2:$A$977,0)),0)</f>
        <v/>
      </c>
      <c r="P492" s="6">
        <f>IFERROR(INDEX('02b_DC_Accelerator_Mix'!$M$2:$M$977,MATCH(G492,'02b_DC_Accelerator_Mix'!$A$2:$A$977,0)),0)</f>
        <v/>
      </c>
      <c r="Q492" s="6">
        <f>IFERROR(INDEX('02b_DC_Accelerator_Mix'!$N$2:$N$977,MATCH(G492,'02b_DC_Accelerator_Mix'!$A$2:$A$977,0)),0)</f>
        <v/>
      </c>
      <c r="R492" s="28">
        <f>H492*I492</f>
        <v/>
      </c>
      <c r="S492" s="28">
        <f>H492*J492</f>
        <v/>
      </c>
      <c r="T492" s="28">
        <f>H492*K492</f>
        <v/>
      </c>
      <c r="U492" s="28">
        <f>H492*L492</f>
        <v/>
      </c>
      <c r="V492" s="28">
        <f>H492*M492</f>
        <v/>
      </c>
      <c r="W492" s="28">
        <f>H492*N492</f>
        <v/>
      </c>
      <c r="X492" s="28">
        <f>H492*O492</f>
        <v/>
      </c>
      <c r="Y492" s="28">
        <f>H492*P492</f>
        <v/>
      </c>
      <c r="Z492" s="28">
        <f>H492*Q492</f>
        <v/>
      </c>
      <c r="AA492" s="28">
        <f>SUM(U492:Z492)</f>
        <v/>
      </c>
      <c r="AB492" s="5">
        <f>IF(COUNTIF('02b_DC_Accelerator_Mix'!$A$2:$A$977,G492)&gt;0,"matched","missing_mix")</f>
        <v/>
      </c>
    </row>
    <row r="493">
      <c r="A493" s="5">
        <f>'02a_DC_Capacity_Alloc'!A493</f>
        <v/>
      </c>
      <c r="B493" s="5">
        <f>'02a_DC_Capacity_Alloc'!B493</f>
        <v/>
      </c>
      <c r="C493" s="5">
        <f>'02a_DC_Capacity_Alloc'!C493</f>
        <v/>
      </c>
      <c r="D493" s="5">
        <f>'02a_DC_Capacity_Alloc'!D493</f>
        <v/>
      </c>
      <c r="E493" s="5">
        <f>'02a_DC_Capacity_Alloc'!E493</f>
        <v/>
      </c>
      <c r="F493" s="5">
        <f>'02a_DC_Capacity_Alloc'!F493</f>
        <v/>
      </c>
      <c r="G493" s="5">
        <f>B493&amp;"|"&amp;E493&amp;"|"&amp;D493</f>
        <v/>
      </c>
      <c r="H493" s="28">
        <f>'02a_DC_Capacity_Alloc'!H493*'02a_DC_Capacity_Alloc'!I493*'02a_DC_Capacity_Alloc'!J493</f>
        <v/>
      </c>
      <c r="I493" s="6">
        <f>IFERROR(INDEX('02b_DC_Accelerator_Mix'!$F$2:$F$977,MATCH(G493,'02b_DC_Accelerator_Mix'!$A$2:$A$977,0)),0)</f>
        <v/>
      </c>
      <c r="J493" s="6">
        <f>IFERROR(INDEX('02b_DC_Accelerator_Mix'!$G$2:$G$977,MATCH(G493,'02b_DC_Accelerator_Mix'!$A$2:$A$977,0)),0)</f>
        <v/>
      </c>
      <c r="K493" s="6">
        <f>IFERROR(INDEX('02b_DC_Accelerator_Mix'!$H$2:$H$977,MATCH(G493,'02b_DC_Accelerator_Mix'!$A$2:$A$977,0)),0)</f>
        <v/>
      </c>
      <c r="L493" s="6">
        <f>IFERROR(INDEX('02b_DC_Accelerator_Mix'!$I$2:$I$977,MATCH(G493,'02b_DC_Accelerator_Mix'!$A$2:$A$977,0)),0)</f>
        <v/>
      </c>
      <c r="M493" s="6">
        <f>IFERROR(INDEX('02b_DC_Accelerator_Mix'!$J$2:$J$977,MATCH(G493,'02b_DC_Accelerator_Mix'!$A$2:$A$977,0)),0)</f>
        <v/>
      </c>
      <c r="N493" s="6">
        <f>IFERROR(INDEX('02b_DC_Accelerator_Mix'!$K$2:$K$977,MATCH(G493,'02b_DC_Accelerator_Mix'!$A$2:$A$977,0)),0)</f>
        <v/>
      </c>
      <c r="O493" s="6">
        <f>IFERROR(INDEX('02b_DC_Accelerator_Mix'!$L$2:$L$977,MATCH(G493,'02b_DC_Accelerator_Mix'!$A$2:$A$977,0)),0)</f>
        <v/>
      </c>
      <c r="P493" s="6">
        <f>IFERROR(INDEX('02b_DC_Accelerator_Mix'!$M$2:$M$977,MATCH(G493,'02b_DC_Accelerator_Mix'!$A$2:$A$977,0)),0)</f>
        <v/>
      </c>
      <c r="Q493" s="6">
        <f>IFERROR(INDEX('02b_DC_Accelerator_Mix'!$N$2:$N$977,MATCH(G493,'02b_DC_Accelerator_Mix'!$A$2:$A$977,0)),0)</f>
        <v/>
      </c>
      <c r="R493" s="28">
        <f>H493*I493</f>
        <v/>
      </c>
      <c r="S493" s="28">
        <f>H493*J493</f>
        <v/>
      </c>
      <c r="T493" s="28">
        <f>H493*K493</f>
        <v/>
      </c>
      <c r="U493" s="28">
        <f>H493*L493</f>
        <v/>
      </c>
      <c r="V493" s="28">
        <f>H493*M493</f>
        <v/>
      </c>
      <c r="W493" s="28">
        <f>H493*N493</f>
        <v/>
      </c>
      <c r="X493" s="28">
        <f>H493*O493</f>
        <v/>
      </c>
      <c r="Y493" s="28">
        <f>H493*P493</f>
        <v/>
      </c>
      <c r="Z493" s="28">
        <f>H493*Q493</f>
        <v/>
      </c>
      <c r="AA493" s="28">
        <f>SUM(U493:Z493)</f>
        <v/>
      </c>
      <c r="AB493" s="5">
        <f>IF(COUNTIF('02b_DC_Accelerator_Mix'!$A$2:$A$977,G493)&gt;0,"matched","missing_mix")</f>
        <v/>
      </c>
    </row>
    <row r="494">
      <c r="A494" s="5">
        <f>'02a_DC_Capacity_Alloc'!A494</f>
        <v/>
      </c>
      <c r="B494" s="5">
        <f>'02a_DC_Capacity_Alloc'!B494</f>
        <v/>
      </c>
      <c r="C494" s="5">
        <f>'02a_DC_Capacity_Alloc'!C494</f>
        <v/>
      </c>
      <c r="D494" s="5">
        <f>'02a_DC_Capacity_Alloc'!D494</f>
        <v/>
      </c>
      <c r="E494" s="5">
        <f>'02a_DC_Capacity_Alloc'!E494</f>
        <v/>
      </c>
      <c r="F494" s="5">
        <f>'02a_DC_Capacity_Alloc'!F494</f>
        <v/>
      </c>
      <c r="G494" s="5">
        <f>B494&amp;"|"&amp;E494&amp;"|"&amp;D494</f>
        <v/>
      </c>
      <c r="H494" s="28">
        <f>'02a_DC_Capacity_Alloc'!H494*'02a_DC_Capacity_Alloc'!I494*'02a_DC_Capacity_Alloc'!J494</f>
        <v/>
      </c>
      <c r="I494" s="6">
        <f>IFERROR(INDEX('02b_DC_Accelerator_Mix'!$F$2:$F$977,MATCH(G494,'02b_DC_Accelerator_Mix'!$A$2:$A$977,0)),0)</f>
        <v/>
      </c>
      <c r="J494" s="6">
        <f>IFERROR(INDEX('02b_DC_Accelerator_Mix'!$G$2:$G$977,MATCH(G494,'02b_DC_Accelerator_Mix'!$A$2:$A$977,0)),0)</f>
        <v/>
      </c>
      <c r="K494" s="6">
        <f>IFERROR(INDEX('02b_DC_Accelerator_Mix'!$H$2:$H$977,MATCH(G494,'02b_DC_Accelerator_Mix'!$A$2:$A$977,0)),0)</f>
        <v/>
      </c>
      <c r="L494" s="6">
        <f>IFERROR(INDEX('02b_DC_Accelerator_Mix'!$I$2:$I$977,MATCH(G494,'02b_DC_Accelerator_Mix'!$A$2:$A$977,0)),0)</f>
        <v/>
      </c>
      <c r="M494" s="6">
        <f>IFERROR(INDEX('02b_DC_Accelerator_Mix'!$J$2:$J$977,MATCH(G494,'02b_DC_Accelerator_Mix'!$A$2:$A$977,0)),0)</f>
        <v/>
      </c>
      <c r="N494" s="6">
        <f>IFERROR(INDEX('02b_DC_Accelerator_Mix'!$K$2:$K$977,MATCH(G494,'02b_DC_Accelerator_Mix'!$A$2:$A$977,0)),0)</f>
        <v/>
      </c>
      <c r="O494" s="6">
        <f>IFERROR(INDEX('02b_DC_Accelerator_Mix'!$L$2:$L$977,MATCH(G494,'02b_DC_Accelerator_Mix'!$A$2:$A$977,0)),0)</f>
        <v/>
      </c>
      <c r="P494" s="6">
        <f>IFERROR(INDEX('02b_DC_Accelerator_Mix'!$M$2:$M$977,MATCH(G494,'02b_DC_Accelerator_Mix'!$A$2:$A$977,0)),0)</f>
        <v/>
      </c>
      <c r="Q494" s="6">
        <f>IFERROR(INDEX('02b_DC_Accelerator_Mix'!$N$2:$N$977,MATCH(G494,'02b_DC_Accelerator_Mix'!$A$2:$A$977,0)),0)</f>
        <v/>
      </c>
      <c r="R494" s="28">
        <f>H494*I494</f>
        <v/>
      </c>
      <c r="S494" s="28">
        <f>H494*J494</f>
        <v/>
      </c>
      <c r="T494" s="28">
        <f>H494*K494</f>
        <v/>
      </c>
      <c r="U494" s="28">
        <f>H494*L494</f>
        <v/>
      </c>
      <c r="V494" s="28">
        <f>H494*M494</f>
        <v/>
      </c>
      <c r="W494" s="28">
        <f>H494*N494</f>
        <v/>
      </c>
      <c r="X494" s="28">
        <f>H494*O494</f>
        <v/>
      </c>
      <c r="Y494" s="28">
        <f>H494*P494</f>
        <v/>
      </c>
      <c r="Z494" s="28">
        <f>H494*Q494</f>
        <v/>
      </c>
      <c r="AA494" s="28">
        <f>SUM(U494:Z494)</f>
        <v/>
      </c>
      <c r="AB494" s="5">
        <f>IF(COUNTIF('02b_DC_Accelerator_Mix'!$A$2:$A$977,G494)&gt;0,"matched","missing_mix")</f>
        <v/>
      </c>
    </row>
    <row r="495">
      <c r="A495" s="5">
        <f>'02a_DC_Capacity_Alloc'!A495</f>
        <v/>
      </c>
      <c r="B495" s="5">
        <f>'02a_DC_Capacity_Alloc'!B495</f>
        <v/>
      </c>
      <c r="C495" s="5">
        <f>'02a_DC_Capacity_Alloc'!C495</f>
        <v/>
      </c>
      <c r="D495" s="5">
        <f>'02a_DC_Capacity_Alloc'!D495</f>
        <v/>
      </c>
      <c r="E495" s="5">
        <f>'02a_DC_Capacity_Alloc'!E495</f>
        <v/>
      </c>
      <c r="F495" s="5">
        <f>'02a_DC_Capacity_Alloc'!F495</f>
        <v/>
      </c>
      <c r="G495" s="5">
        <f>B495&amp;"|"&amp;E495&amp;"|"&amp;D495</f>
        <v/>
      </c>
      <c r="H495" s="28">
        <f>'02a_DC_Capacity_Alloc'!H495*'02a_DC_Capacity_Alloc'!I495*'02a_DC_Capacity_Alloc'!J495</f>
        <v/>
      </c>
      <c r="I495" s="6">
        <f>IFERROR(INDEX('02b_DC_Accelerator_Mix'!$F$2:$F$977,MATCH(G495,'02b_DC_Accelerator_Mix'!$A$2:$A$977,0)),0)</f>
        <v/>
      </c>
      <c r="J495" s="6">
        <f>IFERROR(INDEX('02b_DC_Accelerator_Mix'!$G$2:$G$977,MATCH(G495,'02b_DC_Accelerator_Mix'!$A$2:$A$977,0)),0)</f>
        <v/>
      </c>
      <c r="K495" s="6">
        <f>IFERROR(INDEX('02b_DC_Accelerator_Mix'!$H$2:$H$977,MATCH(G495,'02b_DC_Accelerator_Mix'!$A$2:$A$977,0)),0)</f>
        <v/>
      </c>
      <c r="L495" s="6">
        <f>IFERROR(INDEX('02b_DC_Accelerator_Mix'!$I$2:$I$977,MATCH(G495,'02b_DC_Accelerator_Mix'!$A$2:$A$977,0)),0)</f>
        <v/>
      </c>
      <c r="M495" s="6">
        <f>IFERROR(INDEX('02b_DC_Accelerator_Mix'!$J$2:$J$977,MATCH(G495,'02b_DC_Accelerator_Mix'!$A$2:$A$977,0)),0)</f>
        <v/>
      </c>
      <c r="N495" s="6">
        <f>IFERROR(INDEX('02b_DC_Accelerator_Mix'!$K$2:$K$977,MATCH(G495,'02b_DC_Accelerator_Mix'!$A$2:$A$977,0)),0)</f>
        <v/>
      </c>
      <c r="O495" s="6">
        <f>IFERROR(INDEX('02b_DC_Accelerator_Mix'!$L$2:$L$977,MATCH(G495,'02b_DC_Accelerator_Mix'!$A$2:$A$977,0)),0)</f>
        <v/>
      </c>
      <c r="P495" s="6">
        <f>IFERROR(INDEX('02b_DC_Accelerator_Mix'!$M$2:$M$977,MATCH(G495,'02b_DC_Accelerator_Mix'!$A$2:$A$977,0)),0)</f>
        <v/>
      </c>
      <c r="Q495" s="6">
        <f>IFERROR(INDEX('02b_DC_Accelerator_Mix'!$N$2:$N$977,MATCH(G495,'02b_DC_Accelerator_Mix'!$A$2:$A$977,0)),0)</f>
        <v/>
      </c>
      <c r="R495" s="28">
        <f>H495*I495</f>
        <v/>
      </c>
      <c r="S495" s="28">
        <f>H495*J495</f>
        <v/>
      </c>
      <c r="T495" s="28">
        <f>H495*K495</f>
        <v/>
      </c>
      <c r="U495" s="28">
        <f>H495*L495</f>
        <v/>
      </c>
      <c r="V495" s="28">
        <f>H495*M495</f>
        <v/>
      </c>
      <c r="W495" s="28">
        <f>H495*N495</f>
        <v/>
      </c>
      <c r="X495" s="28">
        <f>H495*O495</f>
        <v/>
      </c>
      <c r="Y495" s="28">
        <f>H495*P495</f>
        <v/>
      </c>
      <c r="Z495" s="28">
        <f>H495*Q495</f>
        <v/>
      </c>
      <c r="AA495" s="28">
        <f>SUM(U495:Z495)</f>
        <v/>
      </c>
      <c r="AB495" s="5">
        <f>IF(COUNTIF('02b_DC_Accelerator_Mix'!$A$2:$A$977,G495)&gt;0,"matched","missing_mix")</f>
        <v/>
      </c>
    </row>
    <row r="496">
      <c r="A496" s="5">
        <f>'02a_DC_Capacity_Alloc'!A496</f>
        <v/>
      </c>
      <c r="B496" s="5">
        <f>'02a_DC_Capacity_Alloc'!B496</f>
        <v/>
      </c>
      <c r="C496" s="5">
        <f>'02a_DC_Capacity_Alloc'!C496</f>
        <v/>
      </c>
      <c r="D496" s="5">
        <f>'02a_DC_Capacity_Alloc'!D496</f>
        <v/>
      </c>
      <c r="E496" s="5">
        <f>'02a_DC_Capacity_Alloc'!E496</f>
        <v/>
      </c>
      <c r="F496" s="5">
        <f>'02a_DC_Capacity_Alloc'!F496</f>
        <v/>
      </c>
      <c r="G496" s="5">
        <f>B496&amp;"|"&amp;E496&amp;"|"&amp;D496</f>
        <v/>
      </c>
      <c r="H496" s="28">
        <f>'02a_DC_Capacity_Alloc'!H496*'02a_DC_Capacity_Alloc'!I496*'02a_DC_Capacity_Alloc'!J496</f>
        <v/>
      </c>
      <c r="I496" s="6">
        <f>IFERROR(INDEX('02b_DC_Accelerator_Mix'!$F$2:$F$977,MATCH(G496,'02b_DC_Accelerator_Mix'!$A$2:$A$977,0)),0)</f>
        <v/>
      </c>
      <c r="J496" s="6">
        <f>IFERROR(INDEX('02b_DC_Accelerator_Mix'!$G$2:$G$977,MATCH(G496,'02b_DC_Accelerator_Mix'!$A$2:$A$977,0)),0)</f>
        <v/>
      </c>
      <c r="K496" s="6">
        <f>IFERROR(INDEX('02b_DC_Accelerator_Mix'!$H$2:$H$977,MATCH(G496,'02b_DC_Accelerator_Mix'!$A$2:$A$977,0)),0)</f>
        <v/>
      </c>
      <c r="L496" s="6">
        <f>IFERROR(INDEX('02b_DC_Accelerator_Mix'!$I$2:$I$977,MATCH(G496,'02b_DC_Accelerator_Mix'!$A$2:$A$977,0)),0)</f>
        <v/>
      </c>
      <c r="M496" s="6">
        <f>IFERROR(INDEX('02b_DC_Accelerator_Mix'!$J$2:$J$977,MATCH(G496,'02b_DC_Accelerator_Mix'!$A$2:$A$977,0)),0)</f>
        <v/>
      </c>
      <c r="N496" s="6">
        <f>IFERROR(INDEX('02b_DC_Accelerator_Mix'!$K$2:$K$977,MATCH(G496,'02b_DC_Accelerator_Mix'!$A$2:$A$977,0)),0)</f>
        <v/>
      </c>
      <c r="O496" s="6">
        <f>IFERROR(INDEX('02b_DC_Accelerator_Mix'!$L$2:$L$977,MATCH(G496,'02b_DC_Accelerator_Mix'!$A$2:$A$977,0)),0)</f>
        <v/>
      </c>
      <c r="P496" s="6">
        <f>IFERROR(INDEX('02b_DC_Accelerator_Mix'!$M$2:$M$977,MATCH(G496,'02b_DC_Accelerator_Mix'!$A$2:$A$977,0)),0)</f>
        <v/>
      </c>
      <c r="Q496" s="6">
        <f>IFERROR(INDEX('02b_DC_Accelerator_Mix'!$N$2:$N$977,MATCH(G496,'02b_DC_Accelerator_Mix'!$A$2:$A$977,0)),0)</f>
        <v/>
      </c>
      <c r="R496" s="28">
        <f>H496*I496</f>
        <v/>
      </c>
      <c r="S496" s="28">
        <f>H496*J496</f>
        <v/>
      </c>
      <c r="T496" s="28">
        <f>H496*K496</f>
        <v/>
      </c>
      <c r="U496" s="28">
        <f>H496*L496</f>
        <v/>
      </c>
      <c r="V496" s="28">
        <f>H496*M496</f>
        <v/>
      </c>
      <c r="W496" s="28">
        <f>H496*N496</f>
        <v/>
      </c>
      <c r="X496" s="28">
        <f>H496*O496</f>
        <v/>
      </c>
      <c r="Y496" s="28">
        <f>H496*P496</f>
        <v/>
      </c>
      <c r="Z496" s="28">
        <f>H496*Q496</f>
        <v/>
      </c>
      <c r="AA496" s="28">
        <f>SUM(U496:Z496)</f>
        <v/>
      </c>
      <c r="AB496" s="5">
        <f>IF(COUNTIF('02b_DC_Accelerator_Mix'!$A$2:$A$977,G496)&gt;0,"matched","missing_mix")</f>
        <v/>
      </c>
    </row>
    <row r="497">
      <c r="A497" s="5">
        <f>'02a_DC_Capacity_Alloc'!A497</f>
        <v/>
      </c>
      <c r="B497" s="5">
        <f>'02a_DC_Capacity_Alloc'!B497</f>
        <v/>
      </c>
      <c r="C497" s="5">
        <f>'02a_DC_Capacity_Alloc'!C497</f>
        <v/>
      </c>
      <c r="D497" s="5">
        <f>'02a_DC_Capacity_Alloc'!D497</f>
        <v/>
      </c>
      <c r="E497" s="5">
        <f>'02a_DC_Capacity_Alloc'!E497</f>
        <v/>
      </c>
      <c r="F497" s="5">
        <f>'02a_DC_Capacity_Alloc'!F497</f>
        <v/>
      </c>
      <c r="G497" s="5">
        <f>B497&amp;"|"&amp;E497&amp;"|"&amp;D497</f>
        <v/>
      </c>
      <c r="H497" s="28">
        <f>'02a_DC_Capacity_Alloc'!H497*'02a_DC_Capacity_Alloc'!I497*'02a_DC_Capacity_Alloc'!J497</f>
        <v/>
      </c>
      <c r="I497" s="6">
        <f>IFERROR(INDEX('02b_DC_Accelerator_Mix'!$F$2:$F$977,MATCH(G497,'02b_DC_Accelerator_Mix'!$A$2:$A$977,0)),0)</f>
        <v/>
      </c>
      <c r="J497" s="6">
        <f>IFERROR(INDEX('02b_DC_Accelerator_Mix'!$G$2:$G$977,MATCH(G497,'02b_DC_Accelerator_Mix'!$A$2:$A$977,0)),0)</f>
        <v/>
      </c>
      <c r="K497" s="6">
        <f>IFERROR(INDEX('02b_DC_Accelerator_Mix'!$H$2:$H$977,MATCH(G497,'02b_DC_Accelerator_Mix'!$A$2:$A$977,0)),0)</f>
        <v/>
      </c>
      <c r="L497" s="6">
        <f>IFERROR(INDEX('02b_DC_Accelerator_Mix'!$I$2:$I$977,MATCH(G497,'02b_DC_Accelerator_Mix'!$A$2:$A$977,0)),0)</f>
        <v/>
      </c>
      <c r="M497" s="6">
        <f>IFERROR(INDEX('02b_DC_Accelerator_Mix'!$J$2:$J$977,MATCH(G497,'02b_DC_Accelerator_Mix'!$A$2:$A$977,0)),0)</f>
        <v/>
      </c>
      <c r="N497" s="6">
        <f>IFERROR(INDEX('02b_DC_Accelerator_Mix'!$K$2:$K$977,MATCH(G497,'02b_DC_Accelerator_Mix'!$A$2:$A$977,0)),0)</f>
        <v/>
      </c>
      <c r="O497" s="6">
        <f>IFERROR(INDEX('02b_DC_Accelerator_Mix'!$L$2:$L$977,MATCH(G497,'02b_DC_Accelerator_Mix'!$A$2:$A$977,0)),0)</f>
        <v/>
      </c>
      <c r="P497" s="6">
        <f>IFERROR(INDEX('02b_DC_Accelerator_Mix'!$M$2:$M$977,MATCH(G497,'02b_DC_Accelerator_Mix'!$A$2:$A$977,0)),0)</f>
        <v/>
      </c>
      <c r="Q497" s="6">
        <f>IFERROR(INDEX('02b_DC_Accelerator_Mix'!$N$2:$N$977,MATCH(G497,'02b_DC_Accelerator_Mix'!$A$2:$A$977,0)),0)</f>
        <v/>
      </c>
      <c r="R497" s="28">
        <f>H497*I497</f>
        <v/>
      </c>
      <c r="S497" s="28">
        <f>H497*J497</f>
        <v/>
      </c>
      <c r="T497" s="28">
        <f>H497*K497</f>
        <v/>
      </c>
      <c r="U497" s="28">
        <f>H497*L497</f>
        <v/>
      </c>
      <c r="V497" s="28">
        <f>H497*M497</f>
        <v/>
      </c>
      <c r="W497" s="28">
        <f>H497*N497</f>
        <v/>
      </c>
      <c r="X497" s="28">
        <f>H497*O497</f>
        <v/>
      </c>
      <c r="Y497" s="28">
        <f>H497*P497</f>
        <v/>
      </c>
      <c r="Z497" s="28">
        <f>H497*Q497</f>
        <v/>
      </c>
      <c r="AA497" s="28">
        <f>SUM(U497:Z497)</f>
        <v/>
      </c>
      <c r="AB497" s="5">
        <f>IF(COUNTIF('02b_DC_Accelerator_Mix'!$A$2:$A$977,G497)&gt;0,"matched","missing_mix")</f>
        <v/>
      </c>
    </row>
    <row r="498">
      <c r="A498" s="5">
        <f>'02a_DC_Capacity_Alloc'!A498</f>
        <v/>
      </c>
      <c r="B498" s="5">
        <f>'02a_DC_Capacity_Alloc'!B498</f>
        <v/>
      </c>
      <c r="C498" s="5">
        <f>'02a_DC_Capacity_Alloc'!C498</f>
        <v/>
      </c>
      <c r="D498" s="5">
        <f>'02a_DC_Capacity_Alloc'!D498</f>
        <v/>
      </c>
      <c r="E498" s="5">
        <f>'02a_DC_Capacity_Alloc'!E498</f>
        <v/>
      </c>
      <c r="F498" s="5">
        <f>'02a_DC_Capacity_Alloc'!F498</f>
        <v/>
      </c>
      <c r="G498" s="5">
        <f>B498&amp;"|"&amp;E498&amp;"|"&amp;D498</f>
        <v/>
      </c>
      <c r="H498" s="28">
        <f>'02a_DC_Capacity_Alloc'!H498*'02a_DC_Capacity_Alloc'!I498*'02a_DC_Capacity_Alloc'!J498</f>
        <v/>
      </c>
      <c r="I498" s="6">
        <f>IFERROR(INDEX('02b_DC_Accelerator_Mix'!$F$2:$F$977,MATCH(G498,'02b_DC_Accelerator_Mix'!$A$2:$A$977,0)),0)</f>
        <v/>
      </c>
      <c r="J498" s="6">
        <f>IFERROR(INDEX('02b_DC_Accelerator_Mix'!$G$2:$G$977,MATCH(G498,'02b_DC_Accelerator_Mix'!$A$2:$A$977,0)),0)</f>
        <v/>
      </c>
      <c r="K498" s="6">
        <f>IFERROR(INDEX('02b_DC_Accelerator_Mix'!$H$2:$H$977,MATCH(G498,'02b_DC_Accelerator_Mix'!$A$2:$A$977,0)),0)</f>
        <v/>
      </c>
      <c r="L498" s="6">
        <f>IFERROR(INDEX('02b_DC_Accelerator_Mix'!$I$2:$I$977,MATCH(G498,'02b_DC_Accelerator_Mix'!$A$2:$A$977,0)),0)</f>
        <v/>
      </c>
      <c r="M498" s="6">
        <f>IFERROR(INDEX('02b_DC_Accelerator_Mix'!$J$2:$J$977,MATCH(G498,'02b_DC_Accelerator_Mix'!$A$2:$A$977,0)),0)</f>
        <v/>
      </c>
      <c r="N498" s="6">
        <f>IFERROR(INDEX('02b_DC_Accelerator_Mix'!$K$2:$K$977,MATCH(G498,'02b_DC_Accelerator_Mix'!$A$2:$A$977,0)),0)</f>
        <v/>
      </c>
      <c r="O498" s="6">
        <f>IFERROR(INDEX('02b_DC_Accelerator_Mix'!$L$2:$L$977,MATCH(G498,'02b_DC_Accelerator_Mix'!$A$2:$A$977,0)),0)</f>
        <v/>
      </c>
      <c r="P498" s="6">
        <f>IFERROR(INDEX('02b_DC_Accelerator_Mix'!$M$2:$M$977,MATCH(G498,'02b_DC_Accelerator_Mix'!$A$2:$A$977,0)),0)</f>
        <v/>
      </c>
      <c r="Q498" s="6">
        <f>IFERROR(INDEX('02b_DC_Accelerator_Mix'!$N$2:$N$977,MATCH(G498,'02b_DC_Accelerator_Mix'!$A$2:$A$977,0)),0)</f>
        <v/>
      </c>
      <c r="R498" s="28">
        <f>H498*I498</f>
        <v/>
      </c>
      <c r="S498" s="28">
        <f>H498*J498</f>
        <v/>
      </c>
      <c r="T498" s="28">
        <f>H498*K498</f>
        <v/>
      </c>
      <c r="U498" s="28">
        <f>H498*L498</f>
        <v/>
      </c>
      <c r="V498" s="28">
        <f>H498*M498</f>
        <v/>
      </c>
      <c r="W498" s="28">
        <f>H498*N498</f>
        <v/>
      </c>
      <c r="X498" s="28">
        <f>H498*O498</f>
        <v/>
      </c>
      <c r="Y498" s="28">
        <f>H498*P498</f>
        <v/>
      </c>
      <c r="Z498" s="28">
        <f>H498*Q498</f>
        <v/>
      </c>
      <c r="AA498" s="28">
        <f>SUM(U498:Z498)</f>
        <v/>
      </c>
      <c r="AB498" s="5">
        <f>IF(COUNTIF('02b_DC_Accelerator_Mix'!$A$2:$A$977,G498)&gt;0,"matched","missing_mix")</f>
        <v/>
      </c>
    </row>
    <row r="499">
      <c r="A499" s="5">
        <f>'02a_DC_Capacity_Alloc'!A499</f>
        <v/>
      </c>
      <c r="B499" s="5">
        <f>'02a_DC_Capacity_Alloc'!B499</f>
        <v/>
      </c>
      <c r="C499" s="5">
        <f>'02a_DC_Capacity_Alloc'!C499</f>
        <v/>
      </c>
      <c r="D499" s="5">
        <f>'02a_DC_Capacity_Alloc'!D499</f>
        <v/>
      </c>
      <c r="E499" s="5">
        <f>'02a_DC_Capacity_Alloc'!E499</f>
        <v/>
      </c>
      <c r="F499" s="5">
        <f>'02a_DC_Capacity_Alloc'!F499</f>
        <v/>
      </c>
      <c r="G499" s="5">
        <f>B499&amp;"|"&amp;E499&amp;"|"&amp;D499</f>
        <v/>
      </c>
      <c r="H499" s="28">
        <f>'02a_DC_Capacity_Alloc'!H499*'02a_DC_Capacity_Alloc'!I499*'02a_DC_Capacity_Alloc'!J499</f>
        <v/>
      </c>
      <c r="I499" s="6">
        <f>IFERROR(INDEX('02b_DC_Accelerator_Mix'!$F$2:$F$977,MATCH(G499,'02b_DC_Accelerator_Mix'!$A$2:$A$977,0)),0)</f>
        <v/>
      </c>
      <c r="J499" s="6">
        <f>IFERROR(INDEX('02b_DC_Accelerator_Mix'!$G$2:$G$977,MATCH(G499,'02b_DC_Accelerator_Mix'!$A$2:$A$977,0)),0)</f>
        <v/>
      </c>
      <c r="K499" s="6">
        <f>IFERROR(INDEX('02b_DC_Accelerator_Mix'!$H$2:$H$977,MATCH(G499,'02b_DC_Accelerator_Mix'!$A$2:$A$977,0)),0)</f>
        <v/>
      </c>
      <c r="L499" s="6">
        <f>IFERROR(INDEX('02b_DC_Accelerator_Mix'!$I$2:$I$977,MATCH(G499,'02b_DC_Accelerator_Mix'!$A$2:$A$977,0)),0)</f>
        <v/>
      </c>
      <c r="M499" s="6">
        <f>IFERROR(INDEX('02b_DC_Accelerator_Mix'!$J$2:$J$977,MATCH(G499,'02b_DC_Accelerator_Mix'!$A$2:$A$977,0)),0)</f>
        <v/>
      </c>
      <c r="N499" s="6">
        <f>IFERROR(INDEX('02b_DC_Accelerator_Mix'!$K$2:$K$977,MATCH(G499,'02b_DC_Accelerator_Mix'!$A$2:$A$977,0)),0)</f>
        <v/>
      </c>
      <c r="O499" s="6">
        <f>IFERROR(INDEX('02b_DC_Accelerator_Mix'!$L$2:$L$977,MATCH(G499,'02b_DC_Accelerator_Mix'!$A$2:$A$977,0)),0)</f>
        <v/>
      </c>
      <c r="P499" s="6">
        <f>IFERROR(INDEX('02b_DC_Accelerator_Mix'!$M$2:$M$977,MATCH(G499,'02b_DC_Accelerator_Mix'!$A$2:$A$977,0)),0)</f>
        <v/>
      </c>
      <c r="Q499" s="6">
        <f>IFERROR(INDEX('02b_DC_Accelerator_Mix'!$N$2:$N$977,MATCH(G499,'02b_DC_Accelerator_Mix'!$A$2:$A$977,0)),0)</f>
        <v/>
      </c>
      <c r="R499" s="28">
        <f>H499*I499</f>
        <v/>
      </c>
      <c r="S499" s="28">
        <f>H499*J499</f>
        <v/>
      </c>
      <c r="T499" s="28">
        <f>H499*K499</f>
        <v/>
      </c>
      <c r="U499" s="28">
        <f>H499*L499</f>
        <v/>
      </c>
      <c r="V499" s="28">
        <f>H499*M499</f>
        <v/>
      </c>
      <c r="W499" s="28">
        <f>H499*N499</f>
        <v/>
      </c>
      <c r="X499" s="28">
        <f>H499*O499</f>
        <v/>
      </c>
      <c r="Y499" s="28">
        <f>H499*P499</f>
        <v/>
      </c>
      <c r="Z499" s="28">
        <f>H499*Q499</f>
        <v/>
      </c>
      <c r="AA499" s="28">
        <f>SUM(U499:Z499)</f>
        <v/>
      </c>
      <c r="AB499" s="5">
        <f>IF(COUNTIF('02b_DC_Accelerator_Mix'!$A$2:$A$977,G499)&gt;0,"matched","missing_mix")</f>
        <v/>
      </c>
    </row>
    <row r="500">
      <c r="A500" s="5">
        <f>'02a_DC_Capacity_Alloc'!A500</f>
        <v/>
      </c>
      <c r="B500" s="5">
        <f>'02a_DC_Capacity_Alloc'!B500</f>
        <v/>
      </c>
      <c r="C500" s="5">
        <f>'02a_DC_Capacity_Alloc'!C500</f>
        <v/>
      </c>
      <c r="D500" s="5">
        <f>'02a_DC_Capacity_Alloc'!D500</f>
        <v/>
      </c>
      <c r="E500" s="5">
        <f>'02a_DC_Capacity_Alloc'!E500</f>
        <v/>
      </c>
      <c r="F500" s="5">
        <f>'02a_DC_Capacity_Alloc'!F500</f>
        <v/>
      </c>
      <c r="G500" s="5">
        <f>B500&amp;"|"&amp;E500&amp;"|"&amp;D500</f>
        <v/>
      </c>
      <c r="H500" s="28">
        <f>'02a_DC_Capacity_Alloc'!H500*'02a_DC_Capacity_Alloc'!I500*'02a_DC_Capacity_Alloc'!J500</f>
        <v/>
      </c>
      <c r="I500" s="6">
        <f>IFERROR(INDEX('02b_DC_Accelerator_Mix'!$F$2:$F$977,MATCH(G500,'02b_DC_Accelerator_Mix'!$A$2:$A$977,0)),0)</f>
        <v/>
      </c>
      <c r="J500" s="6">
        <f>IFERROR(INDEX('02b_DC_Accelerator_Mix'!$G$2:$G$977,MATCH(G500,'02b_DC_Accelerator_Mix'!$A$2:$A$977,0)),0)</f>
        <v/>
      </c>
      <c r="K500" s="6">
        <f>IFERROR(INDEX('02b_DC_Accelerator_Mix'!$H$2:$H$977,MATCH(G500,'02b_DC_Accelerator_Mix'!$A$2:$A$977,0)),0)</f>
        <v/>
      </c>
      <c r="L500" s="6">
        <f>IFERROR(INDEX('02b_DC_Accelerator_Mix'!$I$2:$I$977,MATCH(G500,'02b_DC_Accelerator_Mix'!$A$2:$A$977,0)),0)</f>
        <v/>
      </c>
      <c r="M500" s="6">
        <f>IFERROR(INDEX('02b_DC_Accelerator_Mix'!$J$2:$J$977,MATCH(G500,'02b_DC_Accelerator_Mix'!$A$2:$A$977,0)),0)</f>
        <v/>
      </c>
      <c r="N500" s="6">
        <f>IFERROR(INDEX('02b_DC_Accelerator_Mix'!$K$2:$K$977,MATCH(G500,'02b_DC_Accelerator_Mix'!$A$2:$A$977,0)),0)</f>
        <v/>
      </c>
      <c r="O500" s="6">
        <f>IFERROR(INDEX('02b_DC_Accelerator_Mix'!$L$2:$L$977,MATCH(G500,'02b_DC_Accelerator_Mix'!$A$2:$A$977,0)),0)</f>
        <v/>
      </c>
      <c r="P500" s="6">
        <f>IFERROR(INDEX('02b_DC_Accelerator_Mix'!$M$2:$M$977,MATCH(G500,'02b_DC_Accelerator_Mix'!$A$2:$A$977,0)),0)</f>
        <v/>
      </c>
      <c r="Q500" s="6">
        <f>IFERROR(INDEX('02b_DC_Accelerator_Mix'!$N$2:$N$977,MATCH(G500,'02b_DC_Accelerator_Mix'!$A$2:$A$977,0)),0)</f>
        <v/>
      </c>
      <c r="R500" s="28">
        <f>H500*I500</f>
        <v/>
      </c>
      <c r="S500" s="28">
        <f>H500*J500</f>
        <v/>
      </c>
      <c r="T500" s="28">
        <f>H500*K500</f>
        <v/>
      </c>
      <c r="U500" s="28">
        <f>H500*L500</f>
        <v/>
      </c>
      <c r="V500" s="28">
        <f>H500*M500</f>
        <v/>
      </c>
      <c r="W500" s="28">
        <f>H500*N500</f>
        <v/>
      </c>
      <c r="X500" s="28">
        <f>H500*O500</f>
        <v/>
      </c>
      <c r="Y500" s="28">
        <f>H500*P500</f>
        <v/>
      </c>
      <c r="Z500" s="28">
        <f>H500*Q500</f>
        <v/>
      </c>
      <c r="AA500" s="28">
        <f>SUM(U500:Z500)</f>
        <v/>
      </c>
      <c r="AB500" s="5">
        <f>IF(COUNTIF('02b_DC_Accelerator_Mix'!$A$2:$A$977,G500)&gt;0,"matched","missing_mix")</f>
        <v/>
      </c>
    </row>
    <row r="501">
      <c r="A501" s="5">
        <f>'02a_DC_Capacity_Alloc'!A501</f>
        <v/>
      </c>
      <c r="B501" s="5">
        <f>'02a_DC_Capacity_Alloc'!B501</f>
        <v/>
      </c>
      <c r="C501" s="5">
        <f>'02a_DC_Capacity_Alloc'!C501</f>
        <v/>
      </c>
      <c r="D501" s="5">
        <f>'02a_DC_Capacity_Alloc'!D501</f>
        <v/>
      </c>
      <c r="E501" s="5">
        <f>'02a_DC_Capacity_Alloc'!E501</f>
        <v/>
      </c>
      <c r="F501" s="5">
        <f>'02a_DC_Capacity_Alloc'!F501</f>
        <v/>
      </c>
      <c r="G501" s="5">
        <f>B501&amp;"|"&amp;E501&amp;"|"&amp;D501</f>
        <v/>
      </c>
      <c r="H501" s="28">
        <f>'02a_DC_Capacity_Alloc'!H501*'02a_DC_Capacity_Alloc'!I501*'02a_DC_Capacity_Alloc'!J501</f>
        <v/>
      </c>
      <c r="I501" s="6">
        <f>IFERROR(INDEX('02b_DC_Accelerator_Mix'!$F$2:$F$977,MATCH(G501,'02b_DC_Accelerator_Mix'!$A$2:$A$977,0)),0)</f>
        <v/>
      </c>
      <c r="J501" s="6">
        <f>IFERROR(INDEX('02b_DC_Accelerator_Mix'!$G$2:$G$977,MATCH(G501,'02b_DC_Accelerator_Mix'!$A$2:$A$977,0)),0)</f>
        <v/>
      </c>
      <c r="K501" s="6">
        <f>IFERROR(INDEX('02b_DC_Accelerator_Mix'!$H$2:$H$977,MATCH(G501,'02b_DC_Accelerator_Mix'!$A$2:$A$977,0)),0)</f>
        <v/>
      </c>
      <c r="L501" s="6">
        <f>IFERROR(INDEX('02b_DC_Accelerator_Mix'!$I$2:$I$977,MATCH(G501,'02b_DC_Accelerator_Mix'!$A$2:$A$977,0)),0)</f>
        <v/>
      </c>
      <c r="M501" s="6">
        <f>IFERROR(INDEX('02b_DC_Accelerator_Mix'!$J$2:$J$977,MATCH(G501,'02b_DC_Accelerator_Mix'!$A$2:$A$977,0)),0)</f>
        <v/>
      </c>
      <c r="N501" s="6">
        <f>IFERROR(INDEX('02b_DC_Accelerator_Mix'!$K$2:$K$977,MATCH(G501,'02b_DC_Accelerator_Mix'!$A$2:$A$977,0)),0)</f>
        <v/>
      </c>
      <c r="O501" s="6">
        <f>IFERROR(INDEX('02b_DC_Accelerator_Mix'!$L$2:$L$977,MATCH(G501,'02b_DC_Accelerator_Mix'!$A$2:$A$977,0)),0)</f>
        <v/>
      </c>
      <c r="P501" s="6">
        <f>IFERROR(INDEX('02b_DC_Accelerator_Mix'!$M$2:$M$977,MATCH(G501,'02b_DC_Accelerator_Mix'!$A$2:$A$977,0)),0)</f>
        <v/>
      </c>
      <c r="Q501" s="6">
        <f>IFERROR(INDEX('02b_DC_Accelerator_Mix'!$N$2:$N$977,MATCH(G501,'02b_DC_Accelerator_Mix'!$A$2:$A$977,0)),0)</f>
        <v/>
      </c>
      <c r="R501" s="28">
        <f>H501*I501</f>
        <v/>
      </c>
      <c r="S501" s="28">
        <f>H501*J501</f>
        <v/>
      </c>
      <c r="T501" s="28">
        <f>H501*K501</f>
        <v/>
      </c>
      <c r="U501" s="28">
        <f>H501*L501</f>
        <v/>
      </c>
      <c r="V501" s="28">
        <f>H501*M501</f>
        <v/>
      </c>
      <c r="W501" s="28">
        <f>H501*N501</f>
        <v/>
      </c>
      <c r="X501" s="28">
        <f>H501*O501</f>
        <v/>
      </c>
      <c r="Y501" s="28">
        <f>H501*P501</f>
        <v/>
      </c>
      <c r="Z501" s="28">
        <f>H501*Q501</f>
        <v/>
      </c>
      <c r="AA501" s="28">
        <f>SUM(U501:Z501)</f>
        <v/>
      </c>
      <c r="AB501" s="5">
        <f>IF(COUNTIF('02b_DC_Accelerator_Mix'!$A$2:$A$977,G501)&gt;0,"matched","missing_mix")</f>
        <v/>
      </c>
    </row>
    <row r="502">
      <c r="A502" s="5">
        <f>'02a_DC_Capacity_Alloc'!A502</f>
        <v/>
      </c>
      <c r="B502" s="5">
        <f>'02a_DC_Capacity_Alloc'!B502</f>
        <v/>
      </c>
      <c r="C502" s="5">
        <f>'02a_DC_Capacity_Alloc'!C502</f>
        <v/>
      </c>
      <c r="D502" s="5">
        <f>'02a_DC_Capacity_Alloc'!D502</f>
        <v/>
      </c>
      <c r="E502" s="5">
        <f>'02a_DC_Capacity_Alloc'!E502</f>
        <v/>
      </c>
      <c r="F502" s="5">
        <f>'02a_DC_Capacity_Alloc'!F502</f>
        <v/>
      </c>
      <c r="G502" s="5">
        <f>B502&amp;"|"&amp;E502&amp;"|"&amp;D502</f>
        <v/>
      </c>
      <c r="H502" s="28">
        <f>'02a_DC_Capacity_Alloc'!H502*'02a_DC_Capacity_Alloc'!I502*'02a_DC_Capacity_Alloc'!J502</f>
        <v/>
      </c>
      <c r="I502" s="6">
        <f>IFERROR(INDEX('02b_DC_Accelerator_Mix'!$F$2:$F$977,MATCH(G502,'02b_DC_Accelerator_Mix'!$A$2:$A$977,0)),0)</f>
        <v/>
      </c>
      <c r="J502" s="6">
        <f>IFERROR(INDEX('02b_DC_Accelerator_Mix'!$G$2:$G$977,MATCH(G502,'02b_DC_Accelerator_Mix'!$A$2:$A$977,0)),0)</f>
        <v/>
      </c>
      <c r="K502" s="6">
        <f>IFERROR(INDEX('02b_DC_Accelerator_Mix'!$H$2:$H$977,MATCH(G502,'02b_DC_Accelerator_Mix'!$A$2:$A$977,0)),0)</f>
        <v/>
      </c>
      <c r="L502" s="6">
        <f>IFERROR(INDEX('02b_DC_Accelerator_Mix'!$I$2:$I$977,MATCH(G502,'02b_DC_Accelerator_Mix'!$A$2:$A$977,0)),0)</f>
        <v/>
      </c>
      <c r="M502" s="6">
        <f>IFERROR(INDEX('02b_DC_Accelerator_Mix'!$J$2:$J$977,MATCH(G502,'02b_DC_Accelerator_Mix'!$A$2:$A$977,0)),0)</f>
        <v/>
      </c>
      <c r="N502" s="6">
        <f>IFERROR(INDEX('02b_DC_Accelerator_Mix'!$K$2:$K$977,MATCH(G502,'02b_DC_Accelerator_Mix'!$A$2:$A$977,0)),0)</f>
        <v/>
      </c>
      <c r="O502" s="6">
        <f>IFERROR(INDEX('02b_DC_Accelerator_Mix'!$L$2:$L$977,MATCH(G502,'02b_DC_Accelerator_Mix'!$A$2:$A$977,0)),0)</f>
        <v/>
      </c>
      <c r="P502" s="6">
        <f>IFERROR(INDEX('02b_DC_Accelerator_Mix'!$M$2:$M$977,MATCH(G502,'02b_DC_Accelerator_Mix'!$A$2:$A$977,0)),0)</f>
        <v/>
      </c>
      <c r="Q502" s="6">
        <f>IFERROR(INDEX('02b_DC_Accelerator_Mix'!$N$2:$N$977,MATCH(G502,'02b_DC_Accelerator_Mix'!$A$2:$A$977,0)),0)</f>
        <v/>
      </c>
      <c r="R502" s="28">
        <f>H502*I502</f>
        <v/>
      </c>
      <c r="S502" s="28">
        <f>H502*J502</f>
        <v/>
      </c>
      <c r="T502" s="28">
        <f>H502*K502</f>
        <v/>
      </c>
      <c r="U502" s="28">
        <f>H502*L502</f>
        <v/>
      </c>
      <c r="V502" s="28">
        <f>H502*M502</f>
        <v/>
      </c>
      <c r="W502" s="28">
        <f>H502*N502</f>
        <v/>
      </c>
      <c r="X502" s="28">
        <f>H502*O502</f>
        <v/>
      </c>
      <c r="Y502" s="28">
        <f>H502*P502</f>
        <v/>
      </c>
      <c r="Z502" s="28">
        <f>H502*Q502</f>
        <v/>
      </c>
      <c r="AA502" s="28">
        <f>SUM(U502:Z502)</f>
        <v/>
      </c>
      <c r="AB502" s="5">
        <f>IF(COUNTIF('02b_DC_Accelerator_Mix'!$A$2:$A$977,G502)&gt;0,"matched","missing_mix")</f>
        <v/>
      </c>
    </row>
    <row r="503">
      <c r="A503" s="5">
        <f>'02a_DC_Capacity_Alloc'!A503</f>
        <v/>
      </c>
      <c r="B503" s="5">
        <f>'02a_DC_Capacity_Alloc'!B503</f>
        <v/>
      </c>
      <c r="C503" s="5">
        <f>'02a_DC_Capacity_Alloc'!C503</f>
        <v/>
      </c>
      <c r="D503" s="5">
        <f>'02a_DC_Capacity_Alloc'!D503</f>
        <v/>
      </c>
      <c r="E503" s="5">
        <f>'02a_DC_Capacity_Alloc'!E503</f>
        <v/>
      </c>
      <c r="F503" s="5">
        <f>'02a_DC_Capacity_Alloc'!F503</f>
        <v/>
      </c>
      <c r="G503" s="5">
        <f>B503&amp;"|"&amp;E503&amp;"|"&amp;D503</f>
        <v/>
      </c>
      <c r="H503" s="28">
        <f>'02a_DC_Capacity_Alloc'!H503*'02a_DC_Capacity_Alloc'!I503*'02a_DC_Capacity_Alloc'!J503</f>
        <v/>
      </c>
      <c r="I503" s="6">
        <f>IFERROR(INDEX('02b_DC_Accelerator_Mix'!$F$2:$F$977,MATCH(G503,'02b_DC_Accelerator_Mix'!$A$2:$A$977,0)),0)</f>
        <v/>
      </c>
      <c r="J503" s="6">
        <f>IFERROR(INDEX('02b_DC_Accelerator_Mix'!$G$2:$G$977,MATCH(G503,'02b_DC_Accelerator_Mix'!$A$2:$A$977,0)),0)</f>
        <v/>
      </c>
      <c r="K503" s="6">
        <f>IFERROR(INDEX('02b_DC_Accelerator_Mix'!$H$2:$H$977,MATCH(G503,'02b_DC_Accelerator_Mix'!$A$2:$A$977,0)),0)</f>
        <v/>
      </c>
      <c r="L503" s="6">
        <f>IFERROR(INDEX('02b_DC_Accelerator_Mix'!$I$2:$I$977,MATCH(G503,'02b_DC_Accelerator_Mix'!$A$2:$A$977,0)),0)</f>
        <v/>
      </c>
      <c r="M503" s="6">
        <f>IFERROR(INDEX('02b_DC_Accelerator_Mix'!$J$2:$J$977,MATCH(G503,'02b_DC_Accelerator_Mix'!$A$2:$A$977,0)),0)</f>
        <v/>
      </c>
      <c r="N503" s="6">
        <f>IFERROR(INDEX('02b_DC_Accelerator_Mix'!$K$2:$K$977,MATCH(G503,'02b_DC_Accelerator_Mix'!$A$2:$A$977,0)),0)</f>
        <v/>
      </c>
      <c r="O503" s="6">
        <f>IFERROR(INDEX('02b_DC_Accelerator_Mix'!$L$2:$L$977,MATCH(G503,'02b_DC_Accelerator_Mix'!$A$2:$A$977,0)),0)</f>
        <v/>
      </c>
      <c r="P503" s="6">
        <f>IFERROR(INDEX('02b_DC_Accelerator_Mix'!$M$2:$M$977,MATCH(G503,'02b_DC_Accelerator_Mix'!$A$2:$A$977,0)),0)</f>
        <v/>
      </c>
      <c r="Q503" s="6">
        <f>IFERROR(INDEX('02b_DC_Accelerator_Mix'!$N$2:$N$977,MATCH(G503,'02b_DC_Accelerator_Mix'!$A$2:$A$977,0)),0)</f>
        <v/>
      </c>
      <c r="R503" s="28">
        <f>H503*I503</f>
        <v/>
      </c>
      <c r="S503" s="28">
        <f>H503*J503</f>
        <v/>
      </c>
      <c r="T503" s="28">
        <f>H503*K503</f>
        <v/>
      </c>
      <c r="U503" s="28">
        <f>H503*L503</f>
        <v/>
      </c>
      <c r="V503" s="28">
        <f>H503*M503</f>
        <v/>
      </c>
      <c r="W503" s="28">
        <f>H503*N503</f>
        <v/>
      </c>
      <c r="X503" s="28">
        <f>H503*O503</f>
        <v/>
      </c>
      <c r="Y503" s="28">
        <f>H503*P503</f>
        <v/>
      </c>
      <c r="Z503" s="28">
        <f>H503*Q503</f>
        <v/>
      </c>
      <c r="AA503" s="28">
        <f>SUM(U503:Z503)</f>
        <v/>
      </c>
      <c r="AB503" s="5">
        <f>IF(COUNTIF('02b_DC_Accelerator_Mix'!$A$2:$A$977,G503)&gt;0,"matched","missing_mix")</f>
        <v/>
      </c>
    </row>
    <row r="504">
      <c r="A504" s="5">
        <f>'02a_DC_Capacity_Alloc'!A504</f>
        <v/>
      </c>
      <c r="B504" s="5">
        <f>'02a_DC_Capacity_Alloc'!B504</f>
        <v/>
      </c>
      <c r="C504" s="5">
        <f>'02a_DC_Capacity_Alloc'!C504</f>
        <v/>
      </c>
      <c r="D504" s="5">
        <f>'02a_DC_Capacity_Alloc'!D504</f>
        <v/>
      </c>
      <c r="E504" s="5">
        <f>'02a_DC_Capacity_Alloc'!E504</f>
        <v/>
      </c>
      <c r="F504" s="5">
        <f>'02a_DC_Capacity_Alloc'!F504</f>
        <v/>
      </c>
      <c r="G504" s="5">
        <f>B504&amp;"|"&amp;E504&amp;"|"&amp;D504</f>
        <v/>
      </c>
      <c r="H504" s="28">
        <f>'02a_DC_Capacity_Alloc'!H504*'02a_DC_Capacity_Alloc'!I504*'02a_DC_Capacity_Alloc'!J504</f>
        <v/>
      </c>
      <c r="I504" s="6">
        <f>IFERROR(INDEX('02b_DC_Accelerator_Mix'!$F$2:$F$977,MATCH(G504,'02b_DC_Accelerator_Mix'!$A$2:$A$977,0)),0)</f>
        <v/>
      </c>
      <c r="J504" s="6">
        <f>IFERROR(INDEX('02b_DC_Accelerator_Mix'!$G$2:$G$977,MATCH(G504,'02b_DC_Accelerator_Mix'!$A$2:$A$977,0)),0)</f>
        <v/>
      </c>
      <c r="K504" s="6">
        <f>IFERROR(INDEX('02b_DC_Accelerator_Mix'!$H$2:$H$977,MATCH(G504,'02b_DC_Accelerator_Mix'!$A$2:$A$977,0)),0)</f>
        <v/>
      </c>
      <c r="L504" s="6">
        <f>IFERROR(INDEX('02b_DC_Accelerator_Mix'!$I$2:$I$977,MATCH(G504,'02b_DC_Accelerator_Mix'!$A$2:$A$977,0)),0)</f>
        <v/>
      </c>
      <c r="M504" s="6">
        <f>IFERROR(INDEX('02b_DC_Accelerator_Mix'!$J$2:$J$977,MATCH(G504,'02b_DC_Accelerator_Mix'!$A$2:$A$977,0)),0)</f>
        <v/>
      </c>
      <c r="N504" s="6">
        <f>IFERROR(INDEX('02b_DC_Accelerator_Mix'!$K$2:$K$977,MATCH(G504,'02b_DC_Accelerator_Mix'!$A$2:$A$977,0)),0)</f>
        <v/>
      </c>
      <c r="O504" s="6">
        <f>IFERROR(INDEX('02b_DC_Accelerator_Mix'!$L$2:$L$977,MATCH(G504,'02b_DC_Accelerator_Mix'!$A$2:$A$977,0)),0)</f>
        <v/>
      </c>
      <c r="P504" s="6">
        <f>IFERROR(INDEX('02b_DC_Accelerator_Mix'!$M$2:$M$977,MATCH(G504,'02b_DC_Accelerator_Mix'!$A$2:$A$977,0)),0)</f>
        <v/>
      </c>
      <c r="Q504" s="6">
        <f>IFERROR(INDEX('02b_DC_Accelerator_Mix'!$N$2:$N$977,MATCH(G504,'02b_DC_Accelerator_Mix'!$A$2:$A$977,0)),0)</f>
        <v/>
      </c>
      <c r="R504" s="28">
        <f>H504*I504</f>
        <v/>
      </c>
      <c r="S504" s="28">
        <f>H504*J504</f>
        <v/>
      </c>
      <c r="T504" s="28">
        <f>H504*K504</f>
        <v/>
      </c>
      <c r="U504" s="28">
        <f>H504*L504</f>
        <v/>
      </c>
      <c r="V504" s="28">
        <f>H504*M504</f>
        <v/>
      </c>
      <c r="W504" s="28">
        <f>H504*N504</f>
        <v/>
      </c>
      <c r="X504" s="28">
        <f>H504*O504</f>
        <v/>
      </c>
      <c r="Y504" s="28">
        <f>H504*P504</f>
        <v/>
      </c>
      <c r="Z504" s="28">
        <f>H504*Q504</f>
        <v/>
      </c>
      <c r="AA504" s="28">
        <f>SUM(U504:Z504)</f>
        <v/>
      </c>
      <c r="AB504" s="5">
        <f>IF(COUNTIF('02b_DC_Accelerator_Mix'!$A$2:$A$977,G504)&gt;0,"matched","missing_mix")</f>
        <v/>
      </c>
    </row>
    <row r="505">
      <c r="A505" s="5">
        <f>'02a_DC_Capacity_Alloc'!A505</f>
        <v/>
      </c>
      <c r="B505" s="5">
        <f>'02a_DC_Capacity_Alloc'!B505</f>
        <v/>
      </c>
      <c r="C505" s="5">
        <f>'02a_DC_Capacity_Alloc'!C505</f>
        <v/>
      </c>
      <c r="D505" s="5">
        <f>'02a_DC_Capacity_Alloc'!D505</f>
        <v/>
      </c>
      <c r="E505" s="5">
        <f>'02a_DC_Capacity_Alloc'!E505</f>
        <v/>
      </c>
      <c r="F505" s="5">
        <f>'02a_DC_Capacity_Alloc'!F505</f>
        <v/>
      </c>
      <c r="G505" s="5">
        <f>B505&amp;"|"&amp;E505&amp;"|"&amp;D505</f>
        <v/>
      </c>
      <c r="H505" s="28">
        <f>'02a_DC_Capacity_Alloc'!H505*'02a_DC_Capacity_Alloc'!I505*'02a_DC_Capacity_Alloc'!J505</f>
        <v/>
      </c>
      <c r="I505" s="6">
        <f>IFERROR(INDEX('02b_DC_Accelerator_Mix'!$F$2:$F$977,MATCH(G505,'02b_DC_Accelerator_Mix'!$A$2:$A$977,0)),0)</f>
        <v/>
      </c>
      <c r="J505" s="6">
        <f>IFERROR(INDEX('02b_DC_Accelerator_Mix'!$G$2:$G$977,MATCH(G505,'02b_DC_Accelerator_Mix'!$A$2:$A$977,0)),0)</f>
        <v/>
      </c>
      <c r="K505" s="6">
        <f>IFERROR(INDEX('02b_DC_Accelerator_Mix'!$H$2:$H$977,MATCH(G505,'02b_DC_Accelerator_Mix'!$A$2:$A$977,0)),0)</f>
        <v/>
      </c>
      <c r="L505" s="6">
        <f>IFERROR(INDEX('02b_DC_Accelerator_Mix'!$I$2:$I$977,MATCH(G505,'02b_DC_Accelerator_Mix'!$A$2:$A$977,0)),0)</f>
        <v/>
      </c>
      <c r="M505" s="6">
        <f>IFERROR(INDEX('02b_DC_Accelerator_Mix'!$J$2:$J$977,MATCH(G505,'02b_DC_Accelerator_Mix'!$A$2:$A$977,0)),0)</f>
        <v/>
      </c>
      <c r="N505" s="6">
        <f>IFERROR(INDEX('02b_DC_Accelerator_Mix'!$K$2:$K$977,MATCH(G505,'02b_DC_Accelerator_Mix'!$A$2:$A$977,0)),0)</f>
        <v/>
      </c>
      <c r="O505" s="6">
        <f>IFERROR(INDEX('02b_DC_Accelerator_Mix'!$L$2:$L$977,MATCH(G505,'02b_DC_Accelerator_Mix'!$A$2:$A$977,0)),0)</f>
        <v/>
      </c>
      <c r="P505" s="6">
        <f>IFERROR(INDEX('02b_DC_Accelerator_Mix'!$M$2:$M$977,MATCH(G505,'02b_DC_Accelerator_Mix'!$A$2:$A$977,0)),0)</f>
        <v/>
      </c>
      <c r="Q505" s="6">
        <f>IFERROR(INDEX('02b_DC_Accelerator_Mix'!$N$2:$N$977,MATCH(G505,'02b_DC_Accelerator_Mix'!$A$2:$A$977,0)),0)</f>
        <v/>
      </c>
      <c r="R505" s="28">
        <f>H505*I505</f>
        <v/>
      </c>
      <c r="S505" s="28">
        <f>H505*J505</f>
        <v/>
      </c>
      <c r="T505" s="28">
        <f>H505*K505</f>
        <v/>
      </c>
      <c r="U505" s="28">
        <f>H505*L505</f>
        <v/>
      </c>
      <c r="V505" s="28">
        <f>H505*M505</f>
        <v/>
      </c>
      <c r="W505" s="28">
        <f>H505*N505</f>
        <v/>
      </c>
      <c r="X505" s="28">
        <f>H505*O505</f>
        <v/>
      </c>
      <c r="Y505" s="28">
        <f>H505*P505</f>
        <v/>
      </c>
      <c r="Z505" s="28">
        <f>H505*Q505</f>
        <v/>
      </c>
      <c r="AA505" s="28">
        <f>SUM(U505:Z505)</f>
        <v/>
      </c>
      <c r="AB505" s="5">
        <f>IF(COUNTIF('02b_DC_Accelerator_Mix'!$A$2:$A$977,G505)&gt;0,"matched","missing_mix")</f>
        <v/>
      </c>
    </row>
    <row r="506">
      <c r="A506" s="5">
        <f>'02a_DC_Capacity_Alloc'!A506</f>
        <v/>
      </c>
      <c r="B506" s="5">
        <f>'02a_DC_Capacity_Alloc'!B506</f>
        <v/>
      </c>
      <c r="C506" s="5">
        <f>'02a_DC_Capacity_Alloc'!C506</f>
        <v/>
      </c>
      <c r="D506" s="5">
        <f>'02a_DC_Capacity_Alloc'!D506</f>
        <v/>
      </c>
      <c r="E506" s="5">
        <f>'02a_DC_Capacity_Alloc'!E506</f>
        <v/>
      </c>
      <c r="F506" s="5">
        <f>'02a_DC_Capacity_Alloc'!F506</f>
        <v/>
      </c>
      <c r="G506" s="5">
        <f>B506&amp;"|"&amp;E506&amp;"|"&amp;D506</f>
        <v/>
      </c>
      <c r="H506" s="28">
        <f>'02a_DC_Capacity_Alloc'!H506*'02a_DC_Capacity_Alloc'!I506*'02a_DC_Capacity_Alloc'!J506</f>
        <v/>
      </c>
      <c r="I506" s="6">
        <f>IFERROR(INDEX('02b_DC_Accelerator_Mix'!$F$2:$F$977,MATCH(G506,'02b_DC_Accelerator_Mix'!$A$2:$A$977,0)),0)</f>
        <v/>
      </c>
      <c r="J506" s="6">
        <f>IFERROR(INDEX('02b_DC_Accelerator_Mix'!$G$2:$G$977,MATCH(G506,'02b_DC_Accelerator_Mix'!$A$2:$A$977,0)),0)</f>
        <v/>
      </c>
      <c r="K506" s="6">
        <f>IFERROR(INDEX('02b_DC_Accelerator_Mix'!$H$2:$H$977,MATCH(G506,'02b_DC_Accelerator_Mix'!$A$2:$A$977,0)),0)</f>
        <v/>
      </c>
      <c r="L506" s="6">
        <f>IFERROR(INDEX('02b_DC_Accelerator_Mix'!$I$2:$I$977,MATCH(G506,'02b_DC_Accelerator_Mix'!$A$2:$A$977,0)),0)</f>
        <v/>
      </c>
      <c r="M506" s="6">
        <f>IFERROR(INDEX('02b_DC_Accelerator_Mix'!$J$2:$J$977,MATCH(G506,'02b_DC_Accelerator_Mix'!$A$2:$A$977,0)),0)</f>
        <v/>
      </c>
      <c r="N506" s="6">
        <f>IFERROR(INDEX('02b_DC_Accelerator_Mix'!$K$2:$K$977,MATCH(G506,'02b_DC_Accelerator_Mix'!$A$2:$A$977,0)),0)</f>
        <v/>
      </c>
      <c r="O506" s="6">
        <f>IFERROR(INDEX('02b_DC_Accelerator_Mix'!$L$2:$L$977,MATCH(G506,'02b_DC_Accelerator_Mix'!$A$2:$A$977,0)),0)</f>
        <v/>
      </c>
      <c r="P506" s="6">
        <f>IFERROR(INDEX('02b_DC_Accelerator_Mix'!$M$2:$M$977,MATCH(G506,'02b_DC_Accelerator_Mix'!$A$2:$A$977,0)),0)</f>
        <v/>
      </c>
      <c r="Q506" s="6">
        <f>IFERROR(INDEX('02b_DC_Accelerator_Mix'!$N$2:$N$977,MATCH(G506,'02b_DC_Accelerator_Mix'!$A$2:$A$977,0)),0)</f>
        <v/>
      </c>
      <c r="R506" s="28">
        <f>H506*I506</f>
        <v/>
      </c>
      <c r="S506" s="28">
        <f>H506*J506</f>
        <v/>
      </c>
      <c r="T506" s="28">
        <f>H506*K506</f>
        <v/>
      </c>
      <c r="U506" s="28">
        <f>H506*L506</f>
        <v/>
      </c>
      <c r="V506" s="28">
        <f>H506*M506</f>
        <v/>
      </c>
      <c r="W506" s="28">
        <f>H506*N506</f>
        <v/>
      </c>
      <c r="X506" s="28">
        <f>H506*O506</f>
        <v/>
      </c>
      <c r="Y506" s="28">
        <f>H506*P506</f>
        <v/>
      </c>
      <c r="Z506" s="28">
        <f>H506*Q506</f>
        <v/>
      </c>
      <c r="AA506" s="28">
        <f>SUM(U506:Z506)</f>
        <v/>
      </c>
      <c r="AB506" s="5">
        <f>IF(COUNTIF('02b_DC_Accelerator_Mix'!$A$2:$A$977,G506)&gt;0,"matched","missing_mix")</f>
        <v/>
      </c>
    </row>
    <row r="507">
      <c r="A507" s="5">
        <f>'02a_DC_Capacity_Alloc'!A507</f>
        <v/>
      </c>
      <c r="B507" s="5">
        <f>'02a_DC_Capacity_Alloc'!B507</f>
        <v/>
      </c>
      <c r="C507" s="5">
        <f>'02a_DC_Capacity_Alloc'!C507</f>
        <v/>
      </c>
      <c r="D507" s="5">
        <f>'02a_DC_Capacity_Alloc'!D507</f>
        <v/>
      </c>
      <c r="E507" s="5">
        <f>'02a_DC_Capacity_Alloc'!E507</f>
        <v/>
      </c>
      <c r="F507" s="5">
        <f>'02a_DC_Capacity_Alloc'!F507</f>
        <v/>
      </c>
      <c r="G507" s="5">
        <f>B507&amp;"|"&amp;E507&amp;"|"&amp;D507</f>
        <v/>
      </c>
      <c r="H507" s="28">
        <f>'02a_DC_Capacity_Alloc'!H507*'02a_DC_Capacity_Alloc'!I507*'02a_DC_Capacity_Alloc'!J507</f>
        <v/>
      </c>
      <c r="I507" s="6">
        <f>IFERROR(INDEX('02b_DC_Accelerator_Mix'!$F$2:$F$977,MATCH(G507,'02b_DC_Accelerator_Mix'!$A$2:$A$977,0)),0)</f>
        <v/>
      </c>
      <c r="J507" s="6">
        <f>IFERROR(INDEX('02b_DC_Accelerator_Mix'!$G$2:$G$977,MATCH(G507,'02b_DC_Accelerator_Mix'!$A$2:$A$977,0)),0)</f>
        <v/>
      </c>
      <c r="K507" s="6">
        <f>IFERROR(INDEX('02b_DC_Accelerator_Mix'!$H$2:$H$977,MATCH(G507,'02b_DC_Accelerator_Mix'!$A$2:$A$977,0)),0)</f>
        <v/>
      </c>
      <c r="L507" s="6">
        <f>IFERROR(INDEX('02b_DC_Accelerator_Mix'!$I$2:$I$977,MATCH(G507,'02b_DC_Accelerator_Mix'!$A$2:$A$977,0)),0)</f>
        <v/>
      </c>
      <c r="M507" s="6">
        <f>IFERROR(INDEX('02b_DC_Accelerator_Mix'!$J$2:$J$977,MATCH(G507,'02b_DC_Accelerator_Mix'!$A$2:$A$977,0)),0)</f>
        <v/>
      </c>
      <c r="N507" s="6">
        <f>IFERROR(INDEX('02b_DC_Accelerator_Mix'!$K$2:$K$977,MATCH(G507,'02b_DC_Accelerator_Mix'!$A$2:$A$977,0)),0)</f>
        <v/>
      </c>
      <c r="O507" s="6">
        <f>IFERROR(INDEX('02b_DC_Accelerator_Mix'!$L$2:$L$977,MATCH(G507,'02b_DC_Accelerator_Mix'!$A$2:$A$977,0)),0)</f>
        <v/>
      </c>
      <c r="P507" s="6">
        <f>IFERROR(INDEX('02b_DC_Accelerator_Mix'!$M$2:$M$977,MATCH(G507,'02b_DC_Accelerator_Mix'!$A$2:$A$977,0)),0)</f>
        <v/>
      </c>
      <c r="Q507" s="6">
        <f>IFERROR(INDEX('02b_DC_Accelerator_Mix'!$N$2:$N$977,MATCH(G507,'02b_DC_Accelerator_Mix'!$A$2:$A$977,0)),0)</f>
        <v/>
      </c>
      <c r="R507" s="28">
        <f>H507*I507</f>
        <v/>
      </c>
      <c r="S507" s="28">
        <f>H507*J507</f>
        <v/>
      </c>
      <c r="T507" s="28">
        <f>H507*K507</f>
        <v/>
      </c>
      <c r="U507" s="28">
        <f>H507*L507</f>
        <v/>
      </c>
      <c r="V507" s="28">
        <f>H507*M507</f>
        <v/>
      </c>
      <c r="W507" s="28">
        <f>H507*N507</f>
        <v/>
      </c>
      <c r="X507" s="28">
        <f>H507*O507</f>
        <v/>
      </c>
      <c r="Y507" s="28">
        <f>H507*P507</f>
        <v/>
      </c>
      <c r="Z507" s="28">
        <f>H507*Q507</f>
        <v/>
      </c>
      <c r="AA507" s="28">
        <f>SUM(U507:Z507)</f>
        <v/>
      </c>
      <c r="AB507" s="5">
        <f>IF(COUNTIF('02b_DC_Accelerator_Mix'!$A$2:$A$977,G507)&gt;0,"matched","missing_mix")</f>
        <v/>
      </c>
    </row>
    <row r="508">
      <c r="A508" s="5">
        <f>'02a_DC_Capacity_Alloc'!A508</f>
        <v/>
      </c>
      <c r="B508" s="5">
        <f>'02a_DC_Capacity_Alloc'!B508</f>
        <v/>
      </c>
      <c r="C508" s="5">
        <f>'02a_DC_Capacity_Alloc'!C508</f>
        <v/>
      </c>
      <c r="D508" s="5">
        <f>'02a_DC_Capacity_Alloc'!D508</f>
        <v/>
      </c>
      <c r="E508" s="5">
        <f>'02a_DC_Capacity_Alloc'!E508</f>
        <v/>
      </c>
      <c r="F508" s="5">
        <f>'02a_DC_Capacity_Alloc'!F508</f>
        <v/>
      </c>
      <c r="G508" s="5">
        <f>B508&amp;"|"&amp;E508&amp;"|"&amp;D508</f>
        <v/>
      </c>
      <c r="H508" s="28">
        <f>'02a_DC_Capacity_Alloc'!H508*'02a_DC_Capacity_Alloc'!I508*'02a_DC_Capacity_Alloc'!J508</f>
        <v/>
      </c>
      <c r="I508" s="6">
        <f>IFERROR(INDEX('02b_DC_Accelerator_Mix'!$F$2:$F$977,MATCH(G508,'02b_DC_Accelerator_Mix'!$A$2:$A$977,0)),0)</f>
        <v/>
      </c>
      <c r="J508" s="6">
        <f>IFERROR(INDEX('02b_DC_Accelerator_Mix'!$G$2:$G$977,MATCH(G508,'02b_DC_Accelerator_Mix'!$A$2:$A$977,0)),0)</f>
        <v/>
      </c>
      <c r="K508" s="6">
        <f>IFERROR(INDEX('02b_DC_Accelerator_Mix'!$H$2:$H$977,MATCH(G508,'02b_DC_Accelerator_Mix'!$A$2:$A$977,0)),0)</f>
        <v/>
      </c>
      <c r="L508" s="6">
        <f>IFERROR(INDEX('02b_DC_Accelerator_Mix'!$I$2:$I$977,MATCH(G508,'02b_DC_Accelerator_Mix'!$A$2:$A$977,0)),0)</f>
        <v/>
      </c>
      <c r="M508" s="6">
        <f>IFERROR(INDEX('02b_DC_Accelerator_Mix'!$J$2:$J$977,MATCH(G508,'02b_DC_Accelerator_Mix'!$A$2:$A$977,0)),0)</f>
        <v/>
      </c>
      <c r="N508" s="6">
        <f>IFERROR(INDEX('02b_DC_Accelerator_Mix'!$K$2:$K$977,MATCH(G508,'02b_DC_Accelerator_Mix'!$A$2:$A$977,0)),0)</f>
        <v/>
      </c>
      <c r="O508" s="6">
        <f>IFERROR(INDEX('02b_DC_Accelerator_Mix'!$L$2:$L$977,MATCH(G508,'02b_DC_Accelerator_Mix'!$A$2:$A$977,0)),0)</f>
        <v/>
      </c>
      <c r="P508" s="6">
        <f>IFERROR(INDEX('02b_DC_Accelerator_Mix'!$M$2:$M$977,MATCH(G508,'02b_DC_Accelerator_Mix'!$A$2:$A$977,0)),0)</f>
        <v/>
      </c>
      <c r="Q508" s="6">
        <f>IFERROR(INDEX('02b_DC_Accelerator_Mix'!$N$2:$N$977,MATCH(G508,'02b_DC_Accelerator_Mix'!$A$2:$A$977,0)),0)</f>
        <v/>
      </c>
      <c r="R508" s="28">
        <f>H508*I508</f>
        <v/>
      </c>
      <c r="S508" s="28">
        <f>H508*J508</f>
        <v/>
      </c>
      <c r="T508" s="28">
        <f>H508*K508</f>
        <v/>
      </c>
      <c r="U508" s="28">
        <f>H508*L508</f>
        <v/>
      </c>
      <c r="V508" s="28">
        <f>H508*M508</f>
        <v/>
      </c>
      <c r="W508" s="28">
        <f>H508*N508</f>
        <v/>
      </c>
      <c r="X508" s="28">
        <f>H508*O508</f>
        <v/>
      </c>
      <c r="Y508" s="28">
        <f>H508*P508</f>
        <v/>
      </c>
      <c r="Z508" s="28">
        <f>H508*Q508</f>
        <v/>
      </c>
      <c r="AA508" s="28">
        <f>SUM(U508:Z508)</f>
        <v/>
      </c>
      <c r="AB508" s="5">
        <f>IF(COUNTIF('02b_DC_Accelerator_Mix'!$A$2:$A$977,G508)&gt;0,"matched","missing_mix")</f>
        <v/>
      </c>
    </row>
    <row r="509">
      <c r="A509" s="5">
        <f>'02a_DC_Capacity_Alloc'!A509</f>
        <v/>
      </c>
      <c r="B509" s="5">
        <f>'02a_DC_Capacity_Alloc'!B509</f>
        <v/>
      </c>
      <c r="C509" s="5">
        <f>'02a_DC_Capacity_Alloc'!C509</f>
        <v/>
      </c>
      <c r="D509" s="5">
        <f>'02a_DC_Capacity_Alloc'!D509</f>
        <v/>
      </c>
      <c r="E509" s="5">
        <f>'02a_DC_Capacity_Alloc'!E509</f>
        <v/>
      </c>
      <c r="F509" s="5">
        <f>'02a_DC_Capacity_Alloc'!F509</f>
        <v/>
      </c>
      <c r="G509" s="5">
        <f>B509&amp;"|"&amp;E509&amp;"|"&amp;D509</f>
        <v/>
      </c>
      <c r="H509" s="28">
        <f>'02a_DC_Capacity_Alloc'!H509*'02a_DC_Capacity_Alloc'!I509*'02a_DC_Capacity_Alloc'!J509</f>
        <v/>
      </c>
      <c r="I509" s="6">
        <f>IFERROR(INDEX('02b_DC_Accelerator_Mix'!$F$2:$F$977,MATCH(G509,'02b_DC_Accelerator_Mix'!$A$2:$A$977,0)),0)</f>
        <v/>
      </c>
      <c r="J509" s="6">
        <f>IFERROR(INDEX('02b_DC_Accelerator_Mix'!$G$2:$G$977,MATCH(G509,'02b_DC_Accelerator_Mix'!$A$2:$A$977,0)),0)</f>
        <v/>
      </c>
      <c r="K509" s="6">
        <f>IFERROR(INDEX('02b_DC_Accelerator_Mix'!$H$2:$H$977,MATCH(G509,'02b_DC_Accelerator_Mix'!$A$2:$A$977,0)),0)</f>
        <v/>
      </c>
      <c r="L509" s="6">
        <f>IFERROR(INDEX('02b_DC_Accelerator_Mix'!$I$2:$I$977,MATCH(G509,'02b_DC_Accelerator_Mix'!$A$2:$A$977,0)),0)</f>
        <v/>
      </c>
      <c r="M509" s="6">
        <f>IFERROR(INDEX('02b_DC_Accelerator_Mix'!$J$2:$J$977,MATCH(G509,'02b_DC_Accelerator_Mix'!$A$2:$A$977,0)),0)</f>
        <v/>
      </c>
      <c r="N509" s="6">
        <f>IFERROR(INDEX('02b_DC_Accelerator_Mix'!$K$2:$K$977,MATCH(G509,'02b_DC_Accelerator_Mix'!$A$2:$A$977,0)),0)</f>
        <v/>
      </c>
      <c r="O509" s="6">
        <f>IFERROR(INDEX('02b_DC_Accelerator_Mix'!$L$2:$L$977,MATCH(G509,'02b_DC_Accelerator_Mix'!$A$2:$A$977,0)),0)</f>
        <v/>
      </c>
      <c r="P509" s="6">
        <f>IFERROR(INDEX('02b_DC_Accelerator_Mix'!$M$2:$M$977,MATCH(G509,'02b_DC_Accelerator_Mix'!$A$2:$A$977,0)),0)</f>
        <v/>
      </c>
      <c r="Q509" s="6">
        <f>IFERROR(INDEX('02b_DC_Accelerator_Mix'!$N$2:$N$977,MATCH(G509,'02b_DC_Accelerator_Mix'!$A$2:$A$977,0)),0)</f>
        <v/>
      </c>
      <c r="R509" s="28">
        <f>H509*I509</f>
        <v/>
      </c>
      <c r="S509" s="28">
        <f>H509*J509</f>
        <v/>
      </c>
      <c r="T509" s="28">
        <f>H509*K509</f>
        <v/>
      </c>
      <c r="U509" s="28">
        <f>H509*L509</f>
        <v/>
      </c>
      <c r="V509" s="28">
        <f>H509*M509</f>
        <v/>
      </c>
      <c r="W509" s="28">
        <f>H509*N509</f>
        <v/>
      </c>
      <c r="X509" s="28">
        <f>H509*O509</f>
        <v/>
      </c>
      <c r="Y509" s="28">
        <f>H509*P509</f>
        <v/>
      </c>
      <c r="Z509" s="28">
        <f>H509*Q509</f>
        <v/>
      </c>
      <c r="AA509" s="28">
        <f>SUM(U509:Z509)</f>
        <v/>
      </c>
      <c r="AB509" s="5">
        <f>IF(COUNTIF('02b_DC_Accelerator_Mix'!$A$2:$A$977,G509)&gt;0,"matched","missing_mix")</f>
        <v/>
      </c>
    </row>
    <row r="510">
      <c r="A510" s="5">
        <f>'02a_DC_Capacity_Alloc'!A510</f>
        <v/>
      </c>
      <c r="B510" s="5">
        <f>'02a_DC_Capacity_Alloc'!B510</f>
        <v/>
      </c>
      <c r="C510" s="5">
        <f>'02a_DC_Capacity_Alloc'!C510</f>
        <v/>
      </c>
      <c r="D510" s="5">
        <f>'02a_DC_Capacity_Alloc'!D510</f>
        <v/>
      </c>
      <c r="E510" s="5">
        <f>'02a_DC_Capacity_Alloc'!E510</f>
        <v/>
      </c>
      <c r="F510" s="5">
        <f>'02a_DC_Capacity_Alloc'!F510</f>
        <v/>
      </c>
      <c r="G510" s="5">
        <f>B510&amp;"|"&amp;E510&amp;"|"&amp;D510</f>
        <v/>
      </c>
      <c r="H510" s="28">
        <f>'02a_DC_Capacity_Alloc'!H510*'02a_DC_Capacity_Alloc'!I510*'02a_DC_Capacity_Alloc'!J510</f>
        <v/>
      </c>
      <c r="I510" s="6">
        <f>IFERROR(INDEX('02b_DC_Accelerator_Mix'!$F$2:$F$977,MATCH(G510,'02b_DC_Accelerator_Mix'!$A$2:$A$977,0)),0)</f>
        <v/>
      </c>
      <c r="J510" s="6">
        <f>IFERROR(INDEX('02b_DC_Accelerator_Mix'!$G$2:$G$977,MATCH(G510,'02b_DC_Accelerator_Mix'!$A$2:$A$977,0)),0)</f>
        <v/>
      </c>
      <c r="K510" s="6">
        <f>IFERROR(INDEX('02b_DC_Accelerator_Mix'!$H$2:$H$977,MATCH(G510,'02b_DC_Accelerator_Mix'!$A$2:$A$977,0)),0)</f>
        <v/>
      </c>
      <c r="L510" s="6">
        <f>IFERROR(INDEX('02b_DC_Accelerator_Mix'!$I$2:$I$977,MATCH(G510,'02b_DC_Accelerator_Mix'!$A$2:$A$977,0)),0)</f>
        <v/>
      </c>
      <c r="M510" s="6">
        <f>IFERROR(INDEX('02b_DC_Accelerator_Mix'!$J$2:$J$977,MATCH(G510,'02b_DC_Accelerator_Mix'!$A$2:$A$977,0)),0)</f>
        <v/>
      </c>
      <c r="N510" s="6">
        <f>IFERROR(INDEX('02b_DC_Accelerator_Mix'!$K$2:$K$977,MATCH(G510,'02b_DC_Accelerator_Mix'!$A$2:$A$977,0)),0)</f>
        <v/>
      </c>
      <c r="O510" s="6">
        <f>IFERROR(INDEX('02b_DC_Accelerator_Mix'!$L$2:$L$977,MATCH(G510,'02b_DC_Accelerator_Mix'!$A$2:$A$977,0)),0)</f>
        <v/>
      </c>
      <c r="P510" s="6">
        <f>IFERROR(INDEX('02b_DC_Accelerator_Mix'!$M$2:$M$977,MATCH(G510,'02b_DC_Accelerator_Mix'!$A$2:$A$977,0)),0)</f>
        <v/>
      </c>
      <c r="Q510" s="6">
        <f>IFERROR(INDEX('02b_DC_Accelerator_Mix'!$N$2:$N$977,MATCH(G510,'02b_DC_Accelerator_Mix'!$A$2:$A$977,0)),0)</f>
        <v/>
      </c>
      <c r="R510" s="28">
        <f>H510*I510</f>
        <v/>
      </c>
      <c r="S510" s="28">
        <f>H510*J510</f>
        <v/>
      </c>
      <c r="T510" s="28">
        <f>H510*K510</f>
        <v/>
      </c>
      <c r="U510" s="28">
        <f>H510*L510</f>
        <v/>
      </c>
      <c r="V510" s="28">
        <f>H510*M510</f>
        <v/>
      </c>
      <c r="W510" s="28">
        <f>H510*N510</f>
        <v/>
      </c>
      <c r="X510" s="28">
        <f>H510*O510</f>
        <v/>
      </c>
      <c r="Y510" s="28">
        <f>H510*P510</f>
        <v/>
      </c>
      <c r="Z510" s="28">
        <f>H510*Q510</f>
        <v/>
      </c>
      <c r="AA510" s="28">
        <f>SUM(U510:Z510)</f>
        <v/>
      </c>
      <c r="AB510" s="5">
        <f>IF(COUNTIF('02b_DC_Accelerator_Mix'!$A$2:$A$977,G510)&gt;0,"matched","missing_mix")</f>
        <v/>
      </c>
    </row>
    <row r="511">
      <c r="A511" s="5">
        <f>'02a_DC_Capacity_Alloc'!A511</f>
        <v/>
      </c>
      <c r="B511" s="5">
        <f>'02a_DC_Capacity_Alloc'!B511</f>
        <v/>
      </c>
      <c r="C511" s="5">
        <f>'02a_DC_Capacity_Alloc'!C511</f>
        <v/>
      </c>
      <c r="D511" s="5">
        <f>'02a_DC_Capacity_Alloc'!D511</f>
        <v/>
      </c>
      <c r="E511" s="5">
        <f>'02a_DC_Capacity_Alloc'!E511</f>
        <v/>
      </c>
      <c r="F511" s="5">
        <f>'02a_DC_Capacity_Alloc'!F511</f>
        <v/>
      </c>
      <c r="G511" s="5">
        <f>B511&amp;"|"&amp;E511&amp;"|"&amp;D511</f>
        <v/>
      </c>
      <c r="H511" s="28">
        <f>'02a_DC_Capacity_Alloc'!H511*'02a_DC_Capacity_Alloc'!I511*'02a_DC_Capacity_Alloc'!J511</f>
        <v/>
      </c>
      <c r="I511" s="6">
        <f>IFERROR(INDEX('02b_DC_Accelerator_Mix'!$F$2:$F$977,MATCH(G511,'02b_DC_Accelerator_Mix'!$A$2:$A$977,0)),0)</f>
        <v/>
      </c>
      <c r="J511" s="6">
        <f>IFERROR(INDEX('02b_DC_Accelerator_Mix'!$G$2:$G$977,MATCH(G511,'02b_DC_Accelerator_Mix'!$A$2:$A$977,0)),0)</f>
        <v/>
      </c>
      <c r="K511" s="6">
        <f>IFERROR(INDEX('02b_DC_Accelerator_Mix'!$H$2:$H$977,MATCH(G511,'02b_DC_Accelerator_Mix'!$A$2:$A$977,0)),0)</f>
        <v/>
      </c>
      <c r="L511" s="6">
        <f>IFERROR(INDEX('02b_DC_Accelerator_Mix'!$I$2:$I$977,MATCH(G511,'02b_DC_Accelerator_Mix'!$A$2:$A$977,0)),0)</f>
        <v/>
      </c>
      <c r="M511" s="6">
        <f>IFERROR(INDEX('02b_DC_Accelerator_Mix'!$J$2:$J$977,MATCH(G511,'02b_DC_Accelerator_Mix'!$A$2:$A$977,0)),0)</f>
        <v/>
      </c>
      <c r="N511" s="6">
        <f>IFERROR(INDEX('02b_DC_Accelerator_Mix'!$K$2:$K$977,MATCH(G511,'02b_DC_Accelerator_Mix'!$A$2:$A$977,0)),0)</f>
        <v/>
      </c>
      <c r="O511" s="6">
        <f>IFERROR(INDEX('02b_DC_Accelerator_Mix'!$L$2:$L$977,MATCH(G511,'02b_DC_Accelerator_Mix'!$A$2:$A$977,0)),0)</f>
        <v/>
      </c>
      <c r="P511" s="6">
        <f>IFERROR(INDEX('02b_DC_Accelerator_Mix'!$M$2:$M$977,MATCH(G511,'02b_DC_Accelerator_Mix'!$A$2:$A$977,0)),0)</f>
        <v/>
      </c>
      <c r="Q511" s="6">
        <f>IFERROR(INDEX('02b_DC_Accelerator_Mix'!$N$2:$N$977,MATCH(G511,'02b_DC_Accelerator_Mix'!$A$2:$A$977,0)),0)</f>
        <v/>
      </c>
      <c r="R511" s="28">
        <f>H511*I511</f>
        <v/>
      </c>
      <c r="S511" s="28">
        <f>H511*J511</f>
        <v/>
      </c>
      <c r="T511" s="28">
        <f>H511*K511</f>
        <v/>
      </c>
      <c r="U511" s="28">
        <f>H511*L511</f>
        <v/>
      </c>
      <c r="V511" s="28">
        <f>H511*M511</f>
        <v/>
      </c>
      <c r="W511" s="28">
        <f>H511*N511</f>
        <v/>
      </c>
      <c r="X511" s="28">
        <f>H511*O511</f>
        <v/>
      </c>
      <c r="Y511" s="28">
        <f>H511*P511</f>
        <v/>
      </c>
      <c r="Z511" s="28">
        <f>H511*Q511</f>
        <v/>
      </c>
      <c r="AA511" s="28">
        <f>SUM(U511:Z511)</f>
        <v/>
      </c>
      <c r="AB511" s="5">
        <f>IF(COUNTIF('02b_DC_Accelerator_Mix'!$A$2:$A$977,G511)&gt;0,"matched","missing_mix")</f>
        <v/>
      </c>
    </row>
    <row r="512">
      <c r="A512" s="5">
        <f>'02a_DC_Capacity_Alloc'!A512</f>
        <v/>
      </c>
      <c r="B512" s="5">
        <f>'02a_DC_Capacity_Alloc'!B512</f>
        <v/>
      </c>
      <c r="C512" s="5">
        <f>'02a_DC_Capacity_Alloc'!C512</f>
        <v/>
      </c>
      <c r="D512" s="5">
        <f>'02a_DC_Capacity_Alloc'!D512</f>
        <v/>
      </c>
      <c r="E512" s="5">
        <f>'02a_DC_Capacity_Alloc'!E512</f>
        <v/>
      </c>
      <c r="F512" s="5">
        <f>'02a_DC_Capacity_Alloc'!F512</f>
        <v/>
      </c>
      <c r="G512" s="5">
        <f>B512&amp;"|"&amp;E512&amp;"|"&amp;D512</f>
        <v/>
      </c>
      <c r="H512" s="28">
        <f>'02a_DC_Capacity_Alloc'!H512*'02a_DC_Capacity_Alloc'!I512*'02a_DC_Capacity_Alloc'!J512</f>
        <v/>
      </c>
      <c r="I512" s="6">
        <f>IFERROR(INDEX('02b_DC_Accelerator_Mix'!$F$2:$F$977,MATCH(G512,'02b_DC_Accelerator_Mix'!$A$2:$A$977,0)),0)</f>
        <v/>
      </c>
      <c r="J512" s="6">
        <f>IFERROR(INDEX('02b_DC_Accelerator_Mix'!$G$2:$G$977,MATCH(G512,'02b_DC_Accelerator_Mix'!$A$2:$A$977,0)),0)</f>
        <v/>
      </c>
      <c r="K512" s="6">
        <f>IFERROR(INDEX('02b_DC_Accelerator_Mix'!$H$2:$H$977,MATCH(G512,'02b_DC_Accelerator_Mix'!$A$2:$A$977,0)),0)</f>
        <v/>
      </c>
      <c r="L512" s="6">
        <f>IFERROR(INDEX('02b_DC_Accelerator_Mix'!$I$2:$I$977,MATCH(G512,'02b_DC_Accelerator_Mix'!$A$2:$A$977,0)),0)</f>
        <v/>
      </c>
      <c r="M512" s="6">
        <f>IFERROR(INDEX('02b_DC_Accelerator_Mix'!$J$2:$J$977,MATCH(G512,'02b_DC_Accelerator_Mix'!$A$2:$A$977,0)),0)</f>
        <v/>
      </c>
      <c r="N512" s="6">
        <f>IFERROR(INDEX('02b_DC_Accelerator_Mix'!$K$2:$K$977,MATCH(G512,'02b_DC_Accelerator_Mix'!$A$2:$A$977,0)),0)</f>
        <v/>
      </c>
      <c r="O512" s="6">
        <f>IFERROR(INDEX('02b_DC_Accelerator_Mix'!$L$2:$L$977,MATCH(G512,'02b_DC_Accelerator_Mix'!$A$2:$A$977,0)),0)</f>
        <v/>
      </c>
      <c r="P512" s="6">
        <f>IFERROR(INDEX('02b_DC_Accelerator_Mix'!$M$2:$M$977,MATCH(G512,'02b_DC_Accelerator_Mix'!$A$2:$A$977,0)),0)</f>
        <v/>
      </c>
      <c r="Q512" s="6">
        <f>IFERROR(INDEX('02b_DC_Accelerator_Mix'!$N$2:$N$977,MATCH(G512,'02b_DC_Accelerator_Mix'!$A$2:$A$977,0)),0)</f>
        <v/>
      </c>
      <c r="R512" s="28">
        <f>H512*I512</f>
        <v/>
      </c>
      <c r="S512" s="28">
        <f>H512*J512</f>
        <v/>
      </c>
      <c r="T512" s="28">
        <f>H512*K512</f>
        <v/>
      </c>
      <c r="U512" s="28">
        <f>H512*L512</f>
        <v/>
      </c>
      <c r="V512" s="28">
        <f>H512*M512</f>
        <v/>
      </c>
      <c r="W512" s="28">
        <f>H512*N512</f>
        <v/>
      </c>
      <c r="X512" s="28">
        <f>H512*O512</f>
        <v/>
      </c>
      <c r="Y512" s="28">
        <f>H512*P512</f>
        <v/>
      </c>
      <c r="Z512" s="28">
        <f>H512*Q512</f>
        <v/>
      </c>
      <c r="AA512" s="28">
        <f>SUM(U512:Z512)</f>
        <v/>
      </c>
      <c r="AB512" s="5">
        <f>IF(COUNTIF('02b_DC_Accelerator_Mix'!$A$2:$A$977,G512)&gt;0,"matched","missing_mix")</f>
        <v/>
      </c>
    </row>
    <row r="513">
      <c r="A513" s="5">
        <f>'02a_DC_Capacity_Alloc'!A513</f>
        <v/>
      </c>
      <c r="B513" s="5">
        <f>'02a_DC_Capacity_Alloc'!B513</f>
        <v/>
      </c>
      <c r="C513" s="5">
        <f>'02a_DC_Capacity_Alloc'!C513</f>
        <v/>
      </c>
      <c r="D513" s="5">
        <f>'02a_DC_Capacity_Alloc'!D513</f>
        <v/>
      </c>
      <c r="E513" s="5">
        <f>'02a_DC_Capacity_Alloc'!E513</f>
        <v/>
      </c>
      <c r="F513" s="5">
        <f>'02a_DC_Capacity_Alloc'!F513</f>
        <v/>
      </c>
      <c r="G513" s="5">
        <f>B513&amp;"|"&amp;E513&amp;"|"&amp;D513</f>
        <v/>
      </c>
      <c r="H513" s="28">
        <f>'02a_DC_Capacity_Alloc'!H513*'02a_DC_Capacity_Alloc'!I513*'02a_DC_Capacity_Alloc'!J513</f>
        <v/>
      </c>
      <c r="I513" s="6">
        <f>IFERROR(INDEX('02b_DC_Accelerator_Mix'!$F$2:$F$977,MATCH(G513,'02b_DC_Accelerator_Mix'!$A$2:$A$977,0)),0)</f>
        <v/>
      </c>
      <c r="J513" s="6">
        <f>IFERROR(INDEX('02b_DC_Accelerator_Mix'!$G$2:$G$977,MATCH(G513,'02b_DC_Accelerator_Mix'!$A$2:$A$977,0)),0)</f>
        <v/>
      </c>
      <c r="K513" s="6">
        <f>IFERROR(INDEX('02b_DC_Accelerator_Mix'!$H$2:$H$977,MATCH(G513,'02b_DC_Accelerator_Mix'!$A$2:$A$977,0)),0)</f>
        <v/>
      </c>
      <c r="L513" s="6">
        <f>IFERROR(INDEX('02b_DC_Accelerator_Mix'!$I$2:$I$977,MATCH(G513,'02b_DC_Accelerator_Mix'!$A$2:$A$977,0)),0)</f>
        <v/>
      </c>
      <c r="M513" s="6">
        <f>IFERROR(INDEX('02b_DC_Accelerator_Mix'!$J$2:$J$977,MATCH(G513,'02b_DC_Accelerator_Mix'!$A$2:$A$977,0)),0)</f>
        <v/>
      </c>
      <c r="N513" s="6">
        <f>IFERROR(INDEX('02b_DC_Accelerator_Mix'!$K$2:$K$977,MATCH(G513,'02b_DC_Accelerator_Mix'!$A$2:$A$977,0)),0)</f>
        <v/>
      </c>
      <c r="O513" s="6">
        <f>IFERROR(INDEX('02b_DC_Accelerator_Mix'!$L$2:$L$977,MATCH(G513,'02b_DC_Accelerator_Mix'!$A$2:$A$977,0)),0)</f>
        <v/>
      </c>
      <c r="P513" s="6">
        <f>IFERROR(INDEX('02b_DC_Accelerator_Mix'!$M$2:$M$977,MATCH(G513,'02b_DC_Accelerator_Mix'!$A$2:$A$977,0)),0)</f>
        <v/>
      </c>
      <c r="Q513" s="6">
        <f>IFERROR(INDEX('02b_DC_Accelerator_Mix'!$N$2:$N$977,MATCH(G513,'02b_DC_Accelerator_Mix'!$A$2:$A$977,0)),0)</f>
        <v/>
      </c>
      <c r="R513" s="28">
        <f>H513*I513</f>
        <v/>
      </c>
      <c r="S513" s="28">
        <f>H513*J513</f>
        <v/>
      </c>
      <c r="T513" s="28">
        <f>H513*K513</f>
        <v/>
      </c>
      <c r="U513" s="28">
        <f>H513*L513</f>
        <v/>
      </c>
      <c r="V513" s="28">
        <f>H513*M513</f>
        <v/>
      </c>
      <c r="W513" s="28">
        <f>H513*N513</f>
        <v/>
      </c>
      <c r="X513" s="28">
        <f>H513*O513</f>
        <v/>
      </c>
      <c r="Y513" s="28">
        <f>H513*P513</f>
        <v/>
      </c>
      <c r="Z513" s="28">
        <f>H513*Q513</f>
        <v/>
      </c>
      <c r="AA513" s="28">
        <f>SUM(U513:Z513)</f>
        <v/>
      </c>
      <c r="AB513" s="5">
        <f>IF(COUNTIF('02b_DC_Accelerator_Mix'!$A$2:$A$977,G513)&gt;0,"matched","missing_mix")</f>
        <v/>
      </c>
    </row>
    <row r="514">
      <c r="A514" s="5">
        <f>'02a_DC_Capacity_Alloc'!A514</f>
        <v/>
      </c>
      <c r="B514" s="5">
        <f>'02a_DC_Capacity_Alloc'!B514</f>
        <v/>
      </c>
      <c r="C514" s="5">
        <f>'02a_DC_Capacity_Alloc'!C514</f>
        <v/>
      </c>
      <c r="D514" s="5">
        <f>'02a_DC_Capacity_Alloc'!D514</f>
        <v/>
      </c>
      <c r="E514" s="5">
        <f>'02a_DC_Capacity_Alloc'!E514</f>
        <v/>
      </c>
      <c r="F514" s="5">
        <f>'02a_DC_Capacity_Alloc'!F514</f>
        <v/>
      </c>
      <c r="G514" s="5">
        <f>B514&amp;"|"&amp;E514&amp;"|"&amp;D514</f>
        <v/>
      </c>
      <c r="H514" s="28">
        <f>'02a_DC_Capacity_Alloc'!H514*'02a_DC_Capacity_Alloc'!I514*'02a_DC_Capacity_Alloc'!J514</f>
        <v/>
      </c>
      <c r="I514" s="6">
        <f>IFERROR(INDEX('02b_DC_Accelerator_Mix'!$F$2:$F$977,MATCH(G514,'02b_DC_Accelerator_Mix'!$A$2:$A$977,0)),0)</f>
        <v/>
      </c>
      <c r="J514" s="6">
        <f>IFERROR(INDEX('02b_DC_Accelerator_Mix'!$G$2:$G$977,MATCH(G514,'02b_DC_Accelerator_Mix'!$A$2:$A$977,0)),0)</f>
        <v/>
      </c>
      <c r="K514" s="6">
        <f>IFERROR(INDEX('02b_DC_Accelerator_Mix'!$H$2:$H$977,MATCH(G514,'02b_DC_Accelerator_Mix'!$A$2:$A$977,0)),0)</f>
        <v/>
      </c>
      <c r="L514" s="6">
        <f>IFERROR(INDEX('02b_DC_Accelerator_Mix'!$I$2:$I$977,MATCH(G514,'02b_DC_Accelerator_Mix'!$A$2:$A$977,0)),0)</f>
        <v/>
      </c>
      <c r="M514" s="6">
        <f>IFERROR(INDEX('02b_DC_Accelerator_Mix'!$J$2:$J$977,MATCH(G514,'02b_DC_Accelerator_Mix'!$A$2:$A$977,0)),0)</f>
        <v/>
      </c>
      <c r="N514" s="6">
        <f>IFERROR(INDEX('02b_DC_Accelerator_Mix'!$K$2:$K$977,MATCH(G514,'02b_DC_Accelerator_Mix'!$A$2:$A$977,0)),0)</f>
        <v/>
      </c>
      <c r="O514" s="6">
        <f>IFERROR(INDEX('02b_DC_Accelerator_Mix'!$L$2:$L$977,MATCH(G514,'02b_DC_Accelerator_Mix'!$A$2:$A$977,0)),0)</f>
        <v/>
      </c>
      <c r="P514" s="6">
        <f>IFERROR(INDEX('02b_DC_Accelerator_Mix'!$M$2:$M$977,MATCH(G514,'02b_DC_Accelerator_Mix'!$A$2:$A$977,0)),0)</f>
        <v/>
      </c>
      <c r="Q514" s="6">
        <f>IFERROR(INDEX('02b_DC_Accelerator_Mix'!$N$2:$N$977,MATCH(G514,'02b_DC_Accelerator_Mix'!$A$2:$A$977,0)),0)</f>
        <v/>
      </c>
      <c r="R514" s="28">
        <f>H514*I514</f>
        <v/>
      </c>
      <c r="S514" s="28">
        <f>H514*J514</f>
        <v/>
      </c>
      <c r="T514" s="28">
        <f>H514*K514</f>
        <v/>
      </c>
      <c r="U514" s="28">
        <f>H514*L514</f>
        <v/>
      </c>
      <c r="V514" s="28">
        <f>H514*M514</f>
        <v/>
      </c>
      <c r="W514" s="28">
        <f>H514*N514</f>
        <v/>
      </c>
      <c r="X514" s="28">
        <f>H514*O514</f>
        <v/>
      </c>
      <c r="Y514" s="28">
        <f>H514*P514</f>
        <v/>
      </c>
      <c r="Z514" s="28">
        <f>H514*Q514</f>
        <v/>
      </c>
      <c r="AA514" s="28">
        <f>SUM(U514:Z514)</f>
        <v/>
      </c>
      <c r="AB514" s="5">
        <f>IF(COUNTIF('02b_DC_Accelerator_Mix'!$A$2:$A$977,G514)&gt;0,"matched","missing_mix")</f>
        <v/>
      </c>
    </row>
    <row r="515">
      <c r="A515" s="5">
        <f>'02a_DC_Capacity_Alloc'!A515</f>
        <v/>
      </c>
      <c r="B515" s="5">
        <f>'02a_DC_Capacity_Alloc'!B515</f>
        <v/>
      </c>
      <c r="C515" s="5">
        <f>'02a_DC_Capacity_Alloc'!C515</f>
        <v/>
      </c>
      <c r="D515" s="5">
        <f>'02a_DC_Capacity_Alloc'!D515</f>
        <v/>
      </c>
      <c r="E515" s="5">
        <f>'02a_DC_Capacity_Alloc'!E515</f>
        <v/>
      </c>
      <c r="F515" s="5">
        <f>'02a_DC_Capacity_Alloc'!F515</f>
        <v/>
      </c>
      <c r="G515" s="5">
        <f>B515&amp;"|"&amp;E515&amp;"|"&amp;D515</f>
        <v/>
      </c>
      <c r="H515" s="28">
        <f>'02a_DC_Capacity_Alloc'!H515*'02a_DC_Capacity_Alloc'!I515*'02a_DC_Capacity_Alloc'!J515</f>
        <v/>
      </c>
      <c r="I515" s="6">
        <f>IFERROR(INDEX('02b_DC_Accelerator_Mix'!$F$2:$F$977,MATCH(G515,'02b_DC_Accelerator_Mix'!$A$2:$A$977,0)),0)</f>
        <v/>
      </c>
      <c r="J515" s="6">
        <f>IFERROR(INDEX('02b_DC_Accelerator_Mix'!$G$2:$G$977,MATCH(G515,'02b_DC_Accelerator_Mix'!$A$2:$A$977,0)),0)</f>
        <v/>
      </c>
      <c r="K515" s="6">
        <f>IFERROR(INDEX('02b_DC_Accelerator_Mix'!$H$2:$H$977,MATCH(G515,'02b_DC_Accelerator_Mix'!$A$2:$A$977,0)),0)</f>
        <v/>
      </c>
      <c r="L515" s="6">
        <f>IFERROR(INDEX('02b_DC_Accelerator_Mix'!$I$2:$I$977,MATCH(G515,'02b_DC_Accelerator_Mix'!$A$2:$A$977,0)),0)</f>
        <v/>
      </c>
      <c r="M515" s="6">
        <f>IFERROR(INDEX('02b_DC_Accelerator_Mix'!$J$2:$J$977,MATCH(G515,'02b_DC_Accelerator_Mix'!$A$2:$A$977,0)),0)</f>
        <v/>
      </c>
      <c r="N515" s="6">
        <f>IFERROR(INDEX('02b_DC_Accelerator_Mix'!$K$2:$K$977,MATCH(G515,'02b_DC_Accelerator_Mix'!$A$2:$A$977,0)),0)</f>
        <v/>
      </c>
      <c r="O515" s="6">
        <f>IFERROR(INDEX('02b_DC_Accelerator_Mix'!$L$2:$L$977,MATCH(G515,'02b_DC_Accelerator_Mix'!$A$2:$A$977,0)),0)</f>
        <v/>
      </c>
      <c r="P515" s="6">
        <f>IFERROR(INDEX('02b_DC_Accelerator_Mix'!$M$2:$M$977,MATCH(G515,'02b_DC_Accelerator_Mix'!$A$2:$A$977,0)),0)</f>
        <v/>
      </c>
      <c r="Q515" s="6">
        <f>IFERROR(INDEX('02b_DC_Accelerator_Mix'!$N$2:$N$977,MATCH(G515,'02b_DC_Accelerator_Mix'!$A$2:$A$977,0)),0)</f>
        <v/>
      </c>
      <c r="R515" s="28">
        <f>H515*I515</f>
        <v/>
      </c>
      <c r="S515" s="28">
        <f>H515*J515</f>
        <v/>
      </c>
      <c r="T515" s="28">
        <f>H515*K515</f>
        <v/>
      </c>
      <c r="U515" s="28">
        <f>H515*L515</f>
        <v/>
      </c>
      <c r="V515" s="28">
        <f>H515*M515</f>
        <v/>
      </c>
      <c r="W515" s="28">
        <f>H515*N515</f>
        <v/>
      </c>
      <c r="X515" s="28">
        <f>H515*O515</f>
        <v/>
      </c>
      <c r="Y515" s="28">
        <f>H515*P515</f>
        <v/>
      </c>
      <c r="Z515" s="28">
        <f>H515*Q515</f>
        <v/>
      </c>
      <c r="AA515" s="28">
        <f>SUM(U515:Z515)</f>
        <v/>
      </c>
      <c r="AB515" s="5">
        <f>IF(COUNTIF('02b_DC_Accelerator_Mix'!$A$2:$A$977,G515)&gt;0,"matched","missing_mix")</f>
        <v/>
      </c>
    </row>
    <row r="516">
      <c r="A516" s="5">
        <f>'02a_DC_Capacity_Alloc'!A516</f>
        <v/>
      </c>
      <c r="B516" s="5">
        <f>'02a_DC_Capacity_Alloc'!B516</f>
        <v/>
      </c>
      <c r="C516" s="5">
        <f>'02a_DC_Capacity_Alloc'!C516</f>
        <v/>
      </c>
      <c r="D516" s="5">
        <f>'02a_DC_Capacity_Alloc'!D516</f>
        <v/>
      </c>
      <c r="E516" s="5">
        <f>'02a_DC_Capacity_Alloc'!E516</f>
        <v/>
      </c>
      <c r="F516" s="5">
        <f>'02a_DC_Capacity_Alloc'!F516</f>
        <v/>
      </c>
      <c r="G516" s="5">
        <f>B516&amp;"|"&amp;E516&amp;"|"&amp;D516</f>
        <v/>
      </c>
      <c r="H516" s="28">
        <f>'02a_DC_Capacity_Alloc'!H516*'02a_DC_Capacity_Alloc'!I516*'02a_DC_Capacity_Alloc'!J516</f>
        <v/>
      </c>
      <c r="I516" s="6">
        <f>IFERROR(INDEX('02b_DC_Accelerator_Mix'!$F$2:$F$977,MATCH(G516,'02b_DC_Accelerator_Mix'!$A$2:$A$977,0)),0)</f>
        <v/>
      </c>
      <c r="J516" s="6">
        <f>IFERROR(INDEX('02b_DC_Accelerator_Mix'!$G$2:$G$977,MATCH(G516,'02b_DC_Accelerator_Mix'!$A$2:$A$977,0)),0)</f>
        <v/>
      </c>
      <c r="K516" s="6">
        <f>IFERROR(INDEX('02b_DC_Accelerator_Mix'!$H$2:$H$977,MATCH(G516,'02b_DC_Accelerator_Mix'!$A$2:$A$977,0)),0)</f>
        <v/>
      </c>
      <c r="L516" s="6">
        <f>IFERROR(INDEX('02b_DC_Accelerator_Mix'!$I$2:$I$977,MATCH(G516,'02b_DC_Accelerator_Mix'!$A$2:$A$977,0)),0)</f>
        <v/>
      </c>
      <c r="M516" s="6">
        <f>IFERROR(INDEX('02b_DC_Accelerator_Mix'!$J$2:$J$977,MATCH(G516,'02b_DC_Accelerator_Mix'!$A$2:$A$977,0)),0)</f>
        <v/>
      </c>
      <c r="N516" s="6">
        <f>IFERROR(INDEX('02b_DC_Accelerator_Mix'!$K$2:$K$977,MATCH(G516,'02b_DC_Accelerator_Mix'!$A$2:$A$977,0)),0)</f>
        <v/>
      </c>
      <c r="O516" s="6">
        <f>IFERROR(INDEX('02b_DC_Accelerator_Mix'!$L$2:$L$977,MATCH(G516,'02b_DC_Accelerator_Mix'!$A$2:$A$977,0)),0)</f>
        <v/>
      </c>
      <c r="P516" s="6">
        <f>IFERROR(INDEX('02b_DC_Accelerator_Mix'!$M$2:$M$977,MATCH(G516,'02b_DC_Accelerator_Mix'!$A$2:$A$977,0)),0)</f>
        <v/>
      </c>
      <c r="Q516" s="6">
        <f>IFERROR(INDEX('02b_DC_Accelerator_Mix'!$N$2:$N$977,MATCH(G516,'02b_DC_Accelerator_Mix'!$A$2:$A$977,0)),0)</f>
        <v/>
      </c>
      <c r="R516" s="28">
        <f>H516*I516</f>
        <v/>
      </c>
      <c r="S516" s="28">
        <f>H516*J516</f>
        <v/>
      </c>
      <c r="T516" s="28">
        <f>H516*K516</f>
        <v/>
      </c>
      <c r="U516" s="28">
        <f>H516*L516</f>
        <v/>
      </c>
      <c r="V516" s="28">
        <f>H516*M516</f>
        <v/>
      </c>
      <c r="W516" s="28">
        <f>H516*N516</f>
        <v/>
      </c>
      <c r="X516" s="28">
        <f>H516*O516</f>
        <v/>
      </c>
      <c r="Y516" s="28">
        <f>H516*P516</f>
        <v/>
      </c>
      <c r="Z516" s="28">
        <f>H516*Q516</f>
        <v/>
      </c>
      <c r="AA516" s="28">
        <f>SUM(U516:Z516)</f>
        <v/>
      </c>
      <c r="AB516" s="5">
        <f>IF(COUNTIF('02b_DC_Accelerator_Mix'!$A$2:$A$977,G516)&gt;0,"matched","missing_mix")</f>
        <v/>
      </c>
    </row>
    <row r="517">
      <c r="A517" s="5">
        <f>'02a_DC_Capacity_Alloc'!A517</f>
        <v/>
      </c>
      <c r="B517" s="5">
        <f>'02a_DC_Capacity_Alloc'!B517</f>
        <v/>
      </c>
      <c r="C517" s="5">
        <f>'02a_DC_Capacity_Alloc'!C517</f>
        <v/>
      </c>
      <c r="D517" s="5">
        <f>'02a_DC_Capacity_Alloc'!D517</f>
        <v/>
      </c>
      <c r="E517" s="5">
        <f>'02a_DC_Capacity_Alloc'!E517</f>
        <v/>
      </c>
      <c r="F517" s="5">
        <f>'02a_DC_Capacity_Alloc'!F517</f>
        <v/>
      </c>
      <c r="G517" s="5">
        <f>B517&amp;"|"&amp;E517&amp;"|"&amp;D517</f>
        <v/>
      </c>
      <c r="H517" s="28">
        <f>'02a_DC_Capacity_Alloc'!H517*'02a_DC_Capacity_Alloc'!I517*'02a_DC_Capacity_Alloc'!J517</f>
        <v/>
      </c>
      <c r="I517" s="6">
        <f>IFERROR(INDEX('02b_DC_Accelerator_Mix'!$F$2:$F$977,MATCH(G517,'02b_DC_Accelerator_Mix'!$A$2:$A$977,0)),0)</f>
        <v/>
      </c>
      <c r="J517" s="6">
        <f>IFERROR(INDEX('02b_DC_Accelerator_Mix'!$G$2:$G$977,MATCH(G517,'02b_DC_Accelerator_Mix'!$A$2:$A$977,0)),0)</f>
        <v/>
      </c>
      <c r="K517" s="6">
        <f>IFERROR(INDEX('02b_DC_Accelerator_Mix'!$H$2:$H$977,MATCH(G517,'02b_DC_Accelerator_Mix'!$A$2:$A$977,0)),0)</f>
        <v/>
      </c>
      <c r="L517" s="6">
        <f>IFERROR(INDEX('02b_DC_Accelerator_Mix'!$I$2:$I$977,MATCH(G517,'02b_DC_Accelerator_Mix'!$A$2:$A$977,0)),0)</f>
        <v/>
      </c>
      <c r="M517" s="6">
        <f>IFERROR(INDEX('02b_DC_Accelerator_Mix'!$J$2:$J$977,MATCH(G517,'02b_DC_Accelerator_Mix'!$A$2:$A$977,0)),0)</f>
        <v/>
      </c>
      <c r="N517" s="6">
        <f>IFERROR(INDEX('02b_DC_Accelerator_Mix'!$K$2:$K$977,MATCH(G517,'02b_DC_Accelerator_Mix'!$A$2:$A$977,0)),0)</f>
        <v/>
      </c>
      <c r="O517" s="6">
        <f>IFERROR(INDEX('02b_DC_Accelerator_Mix'!$L$2:$L$977,MATCH(G517,'02b_DC_Accelerator_Mix'!$A$2:$A$977,0)),0)</f>
        <v/>
      </c>
      <c r="P517" s="6">
        <f>IFERROR(INDEX('02b_DC_Accelerator_Mix'!$M$2:$M$977,MATCH(G517,'02b_DC_Accelerator_Mix'!$A$2:$A$977,0)),0)</f>
        <v/>
      </c>
      <c r="Q517" s="6">
        <f>IFERROR(INDEX('02b_DC_Accelerator_Mix'!$N$2:$N$977,MATCH(G517,'02b_DC_Accelerator_Mix'!$A$2:$A$977,0)),0)</f>
        <v/>
      </c>
      <c r="R517" s="28">
        <f>H517*I517</f>
        <v/>
      </c>
      <c r="S517" s="28">
        <f>H517*J517</f>
        <v/>
      </c>
      <c r="T517" s="28">
        <f>H517*K517</f>
        <v/>
      </c>
      <c r="U517" s="28">
        <f>H517*L517</f>
        <v/>
      </c>
      <c r="V517" s="28">
        <f>H517*M517</f>
        <v/>
      </c>
      <c r="W517" s="28">
        <f>H517*N517</f>
        <v/>
      </c>
      <c r="X517" s="28">
        <f>H517*O517</f>
        <v/>
      </c>
      <c r="Y517" s="28">
        <f>H517*P517</f>
        <v/>
      </c>
      <c r="Z517" s="28">
        <f>H517*Q517</f>
        <v/>
      </c>
      <c r="AA517" s="28">
        <f>SUM(U517:Z517)</f>
        <v/>
      </c>
      <c r="AB517" s="5">
        <f>IF(COUNTIF('02b_DC_Accelerator_Mix'!$A$2:$A$977,G517)&gt;0,"matched","missing_mix")</f>
        <v/>
      </c>
    </row>
    <row r="518">
      <c r="A518" s="5">
        <f>'02a_DC_Capacity_Alloc'!A518</f>
        <v/>
      </c>
      <c r="B518" s="5">
        <f>'02a_DC_Capacity_Alloc'!B518</f>
        <v/>
      </c>
      <c r="C518" s="5">
        <f>'02a_DC_Capacity_Alloc'!C518</f>
        <v/>
      </c>
      <c r="D518" s="5">
        <f>'02a_DC_Capacity_Alloc'!D518</f>
        <v/>
      </c>
      <c r="E518" s="5">
        <f>'02a_DC_Capacity_Alloc'!E518</f>
        <v/>
      </c>
      <c r="F518" s="5">
        <f>'02a_DC_Capacity_Alloc'!F518</f>
        <v/>
      </c>
      <c r="G518" s="5">
        <f>B518&amp;"|"&amp;E518&amp;"|"&amp;D518</f>
        <v/>
      </c>
      <c r="H518" s="28">
        <f>'02a_DC_Capacity_Alloc'!H518*'02a_DC_Capacity_Alloc'!I518*'02a_DC_Capacity_Alloc'!J518</f>
        <v/>
      </c>
      <c r="I518" s="6">
        <f>IFERROR(INDEX('02b_DC_Accelerator_Mix'!$F$2:$F$977,MATCH(G518,'02b_DC_Accelerator_Mix'!$A$2:$A$977,0)),0)</f>
        <v/>
      </c>
      <c r="J518" s="6">
        <f>IFERROR(INDEX('02b_DC_Accelerator_Mix'!$G$2:$G$977,MATCH(G518,'02b_DC_Accelerator_Mix'!$A$2:$A$977,0)),0)</f>
        <v/>
      </c>
      <c r="K518" s="6">
        <f>IFERROR(INDEX('02b_DC_Accelerator_Mix'!$H$2:$H$977,MATCH(G518,'02b_DC_Accelerator_Mix'!$A$2:$A$977,0)),0)</f>
        <v/>
      </c>
      <c r="L518" s="6">
        <f>IFERROR(INDEX('02b_DC_Accelerator_Mix'!$I$2:$I$977,MATCH(G518,'02b_DC_Accelerator_Mix'!$A$2:$A$977,0)),0)</f>
        <v/>
      </c>
      <c r="M518" s="6">
        <f>IFERROR(INDEX('02b_DC_Accelerator_Mix'!$J$2:$J$977,MATCH(G518,'02b_DC_Accelerator_Mix'!$A$2:$A$977,0)),0)</f>
        <v/>
      </c>
      <c r="N518" s="6">
        <f>IFERROR(INDEX('02b_DC_Accelerator_Mix'!$K$2:$K$977,MATCH(G518,'02b_DC_Accelerator_Mix'!$A$2:$A$977,0)),0)</f>
        <v/>
      </c>
      <c r="O518" s="6">
        <f>IFERROR(INDEX('02b_DC_Accelerator_Mix'!$L$2:$L$977,MATCH(G518,'02b_DC_Accelerator_Mix'!$A$2:$A$977,0)),0)</f>
        <v/>
      </c>
      <c r="P518" s="6">
        <f>IFERROR(INDEX('02b_DC_Accelerator_Mix'!$M$2:$M$977,MATCH(G518,'02b_DC_Accelerator_Mix'!$A$2:$A$977,0)),0)</f>
        <v/>
      </c>
      <c r="Q518" s="6">
        <f>IFERROR(INDEX('02b_DC_Accelerator_Mix'!$N$2:$N$977,MATCH(G518,'02b_DC_Accelerator_Mix'!$A$2:$A$977,0)),0)</f>
        <v/>
      </c>
      <c r="R518" s="28">
        <f>H518*I518</f>
        <v/>
      </c>
      <c r="S518" s="28">
        <f>H518*J518</f>
        <v/>
      </c>
      <c r="T518" s="28">
        <f>H518*K518</f>
        <v/>
      </c>
      <c r="U518" s="28">
        <f>H518*L518</f>
        <v/>
      </c>
      <c r="V518" s="28">
        <f>H518*M518</f>
        <v/>
      </c>
      <c r="W518" s="28">
        <f>H518*N518</f>
        <v/>
      </c>
      <c r="X518" s="28">
        <f>H518*O518</f>
        <v/>
      </c>
      <c r="Y518" s="28">
        <f>H518*P518</f>
        <v/>
      </c>
      <c r="Z518" s="28">
        <f>H518*Q518</f>
        <v/>
      </c>
      <c r="AA518" s="28">
        <f>SUM(U518:Z518)</f>
        <v/>
      </c>
      <c r="AB518" s="5">
        <f>IF(COUNTIF('02b_DC_Accelerator_Mix'!$A$2:$A$977,G518)&gt;0,"matched","missing_mix")</f>
        <v/>
      </c>
    </row>
    <row r="519">
      <c r="A519" s="5">
        <f>'02a_DC_Capacity_Alloc'!A519</f>
        <v/>
      </c>
      <c r="B519" s="5">
        <f>'02a_DC_Capacity_Alloc'!B519</f>
        <v/>
      </c>
      <c r="C519" s="5">
        <f>'02a_DC_Capacity_Alloc'!C519</f>
        <v/>
      </c>
      <c r="D519" s="5">
        <f>'02a_DC_Capacity_Alloc'!D519</f>
        <v/>
      </c>
      <c r="E519" s="5">
        <f>'02a_DC_Capacity_Alloc'!E519</f>
        <v/>
      </c>
      <c r="F519" s="5">
        <f>'02a_DC_Capacity_Alloc'!F519</f>
        <v/>
      </c>
      <c r="G519" s="5">
        <f>B519&amp;"|"&amp;E519&amp;"|"&amp;D519</f>
        <v/>
      </c>
      <c r="H519" s="28">
        <f>'02a_DC_Capacity_Alloc'!H519*'02a_DC_Capacity_Alloc'!I519*'02a_DC_Capacity_Alloc'!J519</f>
        <v/>
      </c>
      <c r="I519" s="6">
        <f>IFERROR(INDEX('02b_DC_Accelerator_Mix'!$F$2:$F$977,MATCH(G519,'02b_DC_Accelerator_Mix'!$A$2:$A$977,0)),0)</f>
        <v/>
      </c>
      <c r="J519" s="6">
        <f>IFERROR(INDEX('02b_DC_Accelerator_Mix'!$G$2:$G$977,MATCH(G519,'02b_DC_Accelerator_Mix'!$A$2:$A$977,0)),0)</f>
        <v/>
      </c>
      <c r="K519" s="6">
        <f>IFERROR(INDEX('02b_DC_Accelerator_Mix'!$H$2:$H$977,MATCH(G519,'02b_DC_Accelerator_Mix'!$A$2:$A$977,0)),0)</f>
        <v/>
      </c>
      <c r="L519" s="6">
        <f>IFERROR(INDEX('02b_DC_Accelerator_Mix'!$I$2:$I$977,MATCH(G519,'02b_DC_Accelerator_Mix'!$A$2:$A$977,0)),0)</f>
        <v/>
      </c>
      <c r="M519" s="6">
        <f>IFERROR(INDEX('02b_DC_Accelerator_Mix'!$J$2:$J$977,MATCH(G519,'02b_DC_Accelerator_Mix'!$A$2:$A$977,0)),0)</f>
        <v/>
      </c>
      <c r="N519" s="6">
        <f>IFERROR(INDEX('02b_DC_Accelerator_Mix'!$K$2:$K$977,MATCH(G519,'02b_DC_Accelerator_Mix'!$A$2:$A$977,0)),0)</f>
        <v/>
      </c>
      <c r="O519" s="6">
        <f>IFERROR(INDEX('02b_DC_Accelerator_Mix'!$L$2:$L$977,MATCH(G519,'02b_DC_Accelerator_Mix'!$A$2:$A$977,0)),0)</f>
        <v/>
      </c>
      <c r="P519" s="6">
        <f>IFERROR(INDEX('02b_DC_Accelerator_Mix'!$M$2:$M$977,MATCH(G519,'02b_DC_Accelerator_Mix'!$A$2:$A$977,0)),0)</f>
        <v/>
      </c>
      <c r="Q519" s="6">
        <f>IFERROR(INDEX('02b_DC_Accelerator_Mix'!$N$2:$N$977,MATCH(G519,'02b_DC_Accelerator_Mix'!$A$2:$A$977,0)),0)</f>
        <v/>
      </c>
      <c r="R519" s="28">
        <f>H519*I519</f>
        <v/>
      </c>
      <c r="S519" s="28">
        <f>H519*J519</f>
        <v/>
      </c>
      <c r="T519" s="28">
        <f>H519*K519</f>
        <v/>
      </c>
      <c r="U519" s="28">
        <f>H519*L519</f>
        <v/>
      </c>
      <c r="V519" s="28">
        <f>H519*M519</f>
        <v/>
      </c>
      <c r="W519" s="28">
        <f>H519*N519</f>
        <v/>
      </c>
      <c r="X519" s="28">
        <f>H519*O519</f>
        <v/>
      </c>
      <c r="Y519" s="28">
        <f>H519*P519</f>
        <v/>
      </c>
      <c r="Z519" s="28">
        <f>H519*Q519</f>
        <v/>
      </c>
      <c r="AA519" s="28">
        <f>SUM(U519:Z519)</f>
        <v/>
      </c>
      <c r="AB519" s="5">
        <f>IF(COUNTIF('02b_DC_Accelerator_Mix'!$A$2:$A$977,G519)&gt;0,"matched","missing_mix")</f>
        <v/>
      </c>
    </row>
    <row r="520">
      <c r="A520" s="5">
        <f>'02a_DC_Capacity_Alloc'!A520</f>
        <v/>
      </c>
      <c r="B520" s="5">
        <f>'02a_DC_Capacity_Alloc'!B520</f>
        <v/>
      </c>
      <c r="C520" s="5">
        <f>'02a_DC_Capacity_Alloc'!C520</f>
        <v/>
      </c>
      <c r="D520" s="5">
        <f>'02a_DC_Capacity_Alloc'!D520</f>
        <v/>
      </c>
      <c r="E520" s="5">
        <f>'02a_DC_Capacity_Alloc'!E520</f>
        <v/>
      </c>
      <c r="F520" s="5">
        <f>'02a_DC_Capacity_Alloc'!F520</f>
        <v/>
      </c>
      <c r="G520" s="5">
        <f>B520&amp;"|"&amp;E520&amp;"|"&amp;D520</f>
        <v/>
      </c>
      <c r="H520" s="28">
        <f>'02a_DC_Capacity_Alloc'!H520*'02a_DC_Capacity_Alloc'!I520*'02a_DC_Capacity_Alloc'!J520</f>
        <v/>
      </c>
      <c r="I520" s="6">
        <f>IFERROR(INDEX('02b_DC_Accelerator_Mix'!$F$2:$F$977,MATCH(G520,'02b_DC_Accelerator_Mix'!$A$2:$A$977,0)),0)</f>
        <v/>
      </c>
      <c r="J520" s="6">
        <f>IFERROR(INDEX('02b_DC_Accelerator_Mix'!$G$2:$G$977,MATCH(G520,'02b_DC_Accelerator_Mix'!$A$2:$A$977,0)),0)</f>
        <v/>
      </c>
      <c r="K520" s="6">
        <f>IFERROR(INDEX('02b_DC_Accelerator_Mix'!$H$2:$H$977,MATCH(G520,'02b_DC_Accelerator_Mix'!$A$2:$A$977,0)),0)</f>
        <v/>
      </c>
      <c r="L520" s="6">
        <f>IFERROR(INDEX('02b_DC_Accelerator_Mix'!$I$2:$I$977,MATCH(G520,'02b_DC_Accelerator_Mix'!$A$2:$A$977,0)),0)</f>
        <v/>
      </c>
      <c r="M520" s="6">
        <f>IFERROR(INDEX('02b_DC_Accelerator_Mix'!$J$2:$J$977,MATCH(G520,'02b_DC_Accelerator_Mix'!$A$2:$A$977,0)),0)</f>
        <v/>
      </c>
      <c r="N520" s="6">
        <f>IFERROR(INDEX('02b_DC_Accelerator_Mix'!$K$2:$K$977,MATCH(G520,'02b_DC_Accelerator_Mix'!$A$2:$A$977,0)),0)</f>
        <v/>
      </c>
      <c r="O520" s="6">
        <f>IFERROR(INDEX('02b_DC_Accelerator_Mix'!$L$2:$L$977,MATCH(G520,'02b_DC_Accelerator_Mix'!$A$2:$A$977,0)),0)</f>
        <v/>
      </c>
      <c r="P520" s="6">
        <f>IFERROR(INDEX('02b_DC_Accelerator_Mix'!$M$2:$M$977,MATCH(G520,'02b_DC_Accelerator_Mix'!$A$2:$A$977,0)),0)</f>
        <v/>
      </c>
      <c r="Q520" s="6">
        <f>IFERROR(INDEX('02b_DC_Accelerator_Mix'!$N$2:$N$977,MATCH(G520,'02b_DC_Accelerator_Mix'!$A$2:$A$977,0)),0)</f>
        <v/>
      </c>
      <c r="R520" s="28">
        <f>H520*I520</f>
        <v/>
      </c>
      <c r="S520" s="28">
        <f>H520*J520</f>
        <v/>
      </c>
      <c r="T520" s="28">
        <f>H520*K520</f>
        <v/>
      </c>
      <c r="U520" s="28">
        <f>H520*L520</f>
        <v/>
      </c>
      <c r="V520" s="28">
        <f>H520*M520</f>
        <v/>
      </c>
      <c r="W520" s="28">
        <f>H520*N520</f>
        <v/>
      </c>
      <c r="X520" s="28">
        <f>H520*O520</f>
        <v/>
      </c>
      <c r="Y520" s="28">
        <f>H520*P520</f>
        <v/>
      </c>
      <c r="Z520" s="28">
        <f>H520*Q520</f>
        <v/>
      </c>
      <c r="AA520" s="28">
        <f>SUM(U520:Z520)</f>
        <v/>
      </c>
      <c r="AB520" s="5">
        <f>IF(COUNTIF('02b_DC_Accelerator_Mix'!$A$2:$A$977,G520)&gt;0,"matched","missing_mix")</f>
        <v/>
      </c>
    </row>
    <row r="521">
      <c r="A521" s="5">
        <f>'02a_DC_Capacity_Alloc'!A521</f>
        <v/>
      </c>
      <c r="B521" s="5">
        <f>'02a_DC_Capacity_Alloc'!B521</f>
        <v/>
      </c>
      <c r="C521" s="5">
        <f>'02a_DC_Capacity_Alloc'!C521</f>
        <v/>
      </c>
      <c r="D521" s="5">
        <f>'02a_DC_Capacity_Alloc'!D521</f>
        <v/>
      </c>
      <c r="E521" s="5">
        <f>'02a_DC_Capacity_Alloc'!E521</f>
        <v/>
      </c>
      <c r="F521" s="5">
        <f>'02a_DC_Capacity_Alloc'!F521</f>
        <v/>
      </c>
      <c r="G521" s="5">
        <f>B521&amp;"|"&amp;E521&amp;"|"&amp;D521</f>
        <v/>
      </c>
      <c r="H521" s="28">
        <f>'02a_DC_Capacity_Alloc'!H521*'02a_DC_Capacity_Alloc'!I521*'02a_DC_Capacity_Alloc'!J521</f>
        <v/>
      </c>
      <c r="I521" s="6">
        <f>IFERROR(INDEX('02b_DC_Accelerator_Mix'!$F$2:$F$977,MATCH(G521,'02b_DC_Accelerator_Mix'!$A$2:$A$977,0)),0)</f>
        <v/>
      </c>
      <c r="J521" s="6">
        <f>IFERROR(INDEX('02b_DC_Accelerator_Mix'!$G$2:$G$977,MATCH(G521,'02b_DC_Accelerator_Mix'!$A$2:$A$977,0)),0)</f>
        <v/>
      </c>
      <c r="K521" s="6">
        <f>IFERROR(INDEX('02b_DC_Accelerator_Mix'!$H$2:$H$977,MATCH(G521,'02b_DC_Accelerator_Mix'!$A$2:$A$977,0)),0)</f>
        <v/>
      </c>
      <c r="L521" s="6">
        <f>IFERROR(INDEX('02b_DC_Accelerator_Mix'!$I$2:$I$977,MATCH(G521,'02b_DC_Accelerator_Mix'!$A$2:$A$977,0)),0)</f>
        <v/>
      </c>
      <c r="M521" s="6">
        <f>IFERROR(INDEX('02b_DC_Accelerator_Mix'!$J$2:$J$977,MATCH(G521,'02b_DC_Accelerator_Mix'!$A$2:$A$977,0)),0)</f>
        <v/>
      </c>
      <c r="N521" s="6">
        <f>IFERROR(INDEX('02b_DC_Accelerator_Mix'!$K$2:$K$977,MATCH(G521,'02b_DC_Accelerator_Mix'!$A$2:$A$977,0)),0)</f>
        <v/>
      </c>
      <c r="O521" s="6">
        <f>IFERROR(INDEX('02b_DC_Accelerator_Mix'!$L$2:$L$977,MATCH(G521,'02b_DC_Accelerator_Mix'!$A$2:$A$977,0)),0)</f>
        <v/>
      </c>
      <c r="P521" s="6">
        <f>IFERROR(INDEX('02b_DC_Accelerator_Mix'!$M$2:$M$977,MATCH(G521,'02b_DC_Accelerator_Mix'!$A$2:$A$977,0)),0)</f>
        <v/>
      </c>
      <c r="Q521" s="6">
        <f>IFERROR(INDEX('02b_DC_Accelerator_Mix'!$N$2:$N$977,MATCH(G521,'02b_DC_Accelerator_Mix'!$A$2:$A$977,0)),0)</f>
        <v/>
      </c>
      <c r="R521" s="28">
        <f>H521*I521</f>
        <v/>
      </c>
      <c r="S521" s="28">
        <f>H521*J521</f>
        <v/>
      </c>
      <c r="T521" s="28">
        <f>H521*K521</f>
        <v/>
      </c>
      <c r="U521" s="28">
        <f>H521*L521</f>
        <v/>
      </c>
      <c r="V521" s="28">
        <f>H521*M521</f>
        <v/>
      </c>
      <c r="W521" s="28">
        <f>H521*N521</f>
        <v/>
      </c>
      <c r="X521" s="28">
        <f>H521*O521</f>
        <v/>
      </c>
      <c r="Y521" s="28">
        <f>H521*P521</f>
        <v/>
      </c>
      <c r="Z521" s="28">
        <f>H521*Q521</f>
        <v/>
      </c>
      <c r="AA521" s="28">
        <f>SUM(U521:Z521)</f>
        <v/>
      </c>
      <c r="AB521" s="5">
        <f>IF(COUNTIF('02b_DC_Accelerator_Mix'!$A$2:$A$977,G521)&gt;0,"matched","missing_mix")</f>
        <v/>
      </c>
    </row>
    <row r="522">
      <c r="A522" s="5">
        <f>'02a_DC_Capacity_Alloc'!A522</f>
        <v/>
      </c>
      <c r="B522" s="5">
        <f>'02a_DC_Capacity_Alloc'!B522</f>
        <v/>
      </c>
      <c r="C522" s="5">
        <f>'02a_DC_Capacity_Alloc'!C522</f>
        <v/>
      </c>
      <c r="D522" s="5">
        <f>'02a_DC_Capacity_Alloc'!D522</f>
        <v/>
      </c>
      <c r="E522" s="5">
        <f>'02a_DC_Capacity_Alloc'!E522</f>
        <v/>
      </c>
      <c r="F522" s="5">
        <f>'02a_DC_Capacity_Alloc'!F522</f>
        <v/>
      </c>
      <c r="G522" s="5">
        <f>B522&amp;"|"&amp;E522&amp;"|"&amp;D522</f>
        <v/>
      </c>
      <c r="H522" s="28">
        <f>'02a_DC_Capacity_Alloc'!H522*'02a_DC_Capacity_Alloc'!I522*'02a_DC_Capacity_Alloc'!J522</f>
        <v/>
      </c>
      <c r="I522" s="6">
        <f>IFERROR(INDEX('02b_DC_Accelerator_Mix'!$F$2:$F$977,MATCH(G522,'02b_DC_Accelerator_Mix'!$A$2:$A$977,0)),0)</f>
        <v/>
      </c>
      <c r="J522" s="6">
        <f>IFERROR(INDEX('02b_DC_Accelerator_Mix'!$G$2:$G$977,MATCH(G522,'02b_DC_Accelerator_Mix'!$A$2:$A$977,0)),0)</f>
        <v/>
      </c>
      <c r="K522" s="6">
        <f>IFERROR(INDEX('02b_DC_Accelerator_Mix'!$H$2:$H$977,MATCH(G522,'02b_DC_Accelerator_Mix'!$A$2:$A$977,0)),0)</f>
        <v/>
      </c>
      <c r="L522" s="6">
        <f>IFERROR(INDEX('02b_DC_Accelerator_Mix'!$I$2:$I$977,MATCH(G522,'02b_DC_Accelerator_Mix'!$A$2:$A$977,0)),0)</f>
        <v/>
      </c>
      <c r="M522" s="6">
        <f>IFERROR(INDEX('02b_DC_Accelerator_Mix'!$J$2:$J$977,MATCH(G522,'02b_DC_Accelerator_Mix'!$A$2:$A$977,0)),0)</f>
        <v/>
      </c>
      <c r="N522" s="6">
        <f>IFERROR(INDEX('02b_DC_Accelerator_Mix'!$K$2:$K$977,MATCH(G522,'02b_DC_Accelerator_Mix'!$A$2:$A$977,0)),0)</f>
        <v/>
      </c>
      <c r="O522" s="6">
        <f>IFERROR(INDEX('02b_DC_Accelerator_Mix'!$L$2:$L$977,MATCH(G522,'02b_DC_Accelerator_Mix'!$A$2:$A$977,0)),0)</f>
        <v/>
      </c>
      <c r="P522" s="6">
        <f>IFERROR(INDEX('02b_DC_Accelerator_Mix'!$M$2:$M$977,MATCH(G522,'02b_DC_Accelerator_Mix'!$A$2:$A$977,0)),0)</f>
        <v/>
      </c>
      <c r="Q522" s="6">
        <f>IFERROR(INDEX('02b_DC_Accelerator_Mix'!$N$2:$N$977,MATCH(G522,'02b_DC_Accelerator_Mix'!$A$2:$A$977,0)),0)</f>
        <v/>
      </c>
      <c r="R522" s="28">
        <f>H522*I522</f>
        <v/>
      </c>
      <c r="S522" s="28">
        <f>H522*J522</f>
        <v/>
      </c>
      <c r="T522" s="28">
        <f>H522*K522</f>
        <v/>
      </c>
      <c r="U522" s="28">
        <f>H522*L522</f>
        <v/>
      </c>
      <c r="V522" s="28">
        <f>H522*M522</f>
        <v/>
      </c>
      <c r="W522" s="28">
        <f>H522*N522</f>
        <v/>
      </c>
      <c r="X522" s="28">
        <f>H522*O522</f>
        <v/>
      </c>
      <c r="Y522" s="28">
        <f>H522*P522</f>
        <v/>
      </c>
      <c r="Z522" s="28">
        <f>H522*Q522</f>
        <v/>
      </c>
      <c r="AA522" s="28">
        <f>SUM(U522:Z522)</f>
        <v/>
      </c>
      <c r="AB522" s="5">
        <f>IF(COUNTIF('02b_DC_Accelerator_Mix'!$A$2:$A$977,G522)&gt;0,"matched","missing_mix")</f>
        <v/>
      </c>
    </row>
    <row r="523">
      <c r="A523" s="5">
        <f>'02a_DC_Capacity_Alloc'!A523</f>
        <v/>
      </c>
      <c r="B523" s="5">
        <f>'02a_DC_Capacity_Alloc'!B523</f>
        <v/>
      </c>
      <c r="C523" s="5">
        <f>'02a_DC_Capacity_Alloc'!C523</f>
        <v/>
      </c>
      <c r="D523" s="5">
        <f>'02a_DC_Capacity_Alloc'!D523</f>
        <v/>
      </c>
      <c r="E523" s="5">
        <f>'02a_DC_Capacity_Alloc'!E523</f>
        <v/>
      </c>
      <c r="F523" s="5">
        <f>'02a_DC_Capacity_Alloc'!F523</f>
        <v/>
      </c>
      <c r="G523" s="5">
        <f>B523&amp;"|"&amp;E523&amp;"|"&amp;D523</f>
        <v/>
      </c>
      <c r="H523" s="28">
        <f>'02a_DC_Capacity_Alloc'!H523*'02a_DC_Capacity_Alloc'!I523*'02a_DC_Capacity_Alloc'!J523</f>
        <v/>
      </c>
      <c r="I523" s="6">
        <f>IFERROR(INDEX('02b_DC_Accelerator_Mix'!$F$2:$F$977,MATCH(G523,'02b_DC_Accelerator_Mix'!$A$2:$A$977,0)),0)</f>
        <v/>
      </c>
      <c r="J523" s="6">
        <f>IFERROR(INDEX('02b_DC_Accelerator_Mix'!$G$2:$G$977,MATCH(G523,'02b_DC_Accelerator_Mix'!$A$2:$A$977,0)),0)</f>
        <v/>
      </c>
      <c r="K523" s="6">
        <f>IFERROR(INDEX('02b_DC_Accelerator_Mix'!$H$2:$H$977,MATCH(G523,'02b_DC_Accelerator_Mix'!$A$2:$A$977,0)),0)</f>
        <v/>
      </c>
      <c r="L523" s="6">
        <f>IFERROR(INDEX('02b_DC_Accelerator_Mix'!$I$2:$I$977,MATCH(G523,'02b_DC_Accelerator_Mix'!$A$2:$A$977,0)),0)</f>
        <v/>
      </c>
      <c r="M523" s="6">
        <f>IFERROR(INDEX('02b_DC_Accelerator_Mix'!$J$2:$J$977,MATCH(G523,'02b_DC_Accelerator_Mix'!$A$2:$A$977,0)),0)</f>
        <v/>
      </c>
      <c r="N523" s="6">
        <f>IFERROR(INDEX('02b_DC_Accelerator_Mix'!$K$2:$K$977,MATCH(G523,'02b_DC_Accelerator_Mix'!$A$2:$A$977,0)),0)</f>
        <v/>
      </c>
      <c r="O523" s="6">
        <f>IFERROR(INDEX('02b_DC_Accelerator_Mix'!$L$2:$L$977,MATCH(G523,'02b_DC_Accelerator_Mix'!$A$2:$A$977,0)),0)</f>
        <v/>
      </c>
      <c r="P523" s="6">
        <f>IFERROR(INDEX('02b_DC_Accelerator_Mix'!$M$2:$M$977,MATCH(G523,'02b_DC_Accelerator_Mix'!$A$2:$A$977,0)),0)</f>
        <v/>
      </c>
      <c r="Q523" s="6">
        <f>IFERROR(INDEX('02b_DC_Accelerator_Mix'!$N$2:$N$977,MATCH(G523,'02b_DC_Accelerator_Mix'!$A$2:$A$977,0)),0)</f>
        <v/>
      </c>
      <c r="R523" s="28">
        <f>H523*I523</f>
        <v/>
      </c>
      <c r="S523" s="28">
        <f>H523*J523</f>
        <v/>
      </c>
      <c r="T523" s="28">
        <f>H523*K523</f>
        <v/>
      </c>
      <c r="U523" s="28">
        <f>H523*L523</f>
        <v/>
      </c>
      <c r="V523" s="28">
        <f>H523*M523</f>
        <v/>
      </c>
      <c r="W523" s="28">
        <f>H523*N523</f>
        <v/>
      </c>
      <c r="X523" s="28">
        <f>H523*O523</f>
        <v/>
      </c>
      <c r="Y523" s="28">
        <f>H523*P523</f>
        <v/>
      </c>
      <c r="Z523" s="28">
        <f>H523*Q523</f>
        <v/>
      </c>
      <c r="AA523" s="28">
        <f>SUM(U523:Z523)</f>
        <v/>
      </c>
      <c r="AB523" s="5">
        <f>IF(COUNTIF('02b_DC_Accelerator_Mix'!$A$2:$A$977,G523)&gt;0,"matched","missing_mix")</f>
        <v/>
      </c>
    </row>
    <row r="524">
      <c r="A524" s="5">
        <f>'02a_DC_Capacity_Alloc'!A524</f>
        <v/>
      </c>
      <c r="B524" s="5">
        <f>'02a_DC_Capacity_Alloc'!B524</f>
        <v/>
      </c>
      <c r="C524" s="5">
        <f>'02a_DC_Capacity_Alloc'!C524</f>
        <v/>
      </c>
      <c r="D524" s="5">
        <f>'02a_DC_Capacity_Alloc'!D524</f>
        <v/>
      </c>
      <c r="E524" s="5">
        <f>'02a_DC_Capacity_Alloc'!E524</f>
        <v/>
      </c>
      <c r="F524" s="5">
        <f>'02a_DC_Capacity_Alloc'!F524</f>
        <v/>
      </c>
      <c r="G524" s="5">
        <f>B524&amp;"|"&amp;E524&amp;"|"&amp;D524</f>
        <v/>
      </c>
      <c r="H524" s="28">
        <f>'02a_DC_Capacity_Alloc'!H524*'02a_DC_Capacity_Alloc'!I524*'02a_DC_Capacity_Alloc'!J524</f>
        <v/>
      </c>
      <c r="I524" s="6">
        <f>IFERROR(INDEX('02b_DC_Accelerator_Mix'!$F$2:$F$977,MATCH(G524,'02b_DC_Accelerator_Mix'!$A$2:$A$977,0)),0)</f>
        <v/>
      </c>
      <c r="J524" s="6">
        <f>IFERROR(INDEX('02b_DC_Accelerator_Mix'!$G$2:$G$977,MATCH(G524,'02b_DC_Accelerator_Mix'!$A$2:$A$977,0)),0)</f>
        <v/>
      </c>
      <c r="K524" s="6">
        <f>IFERROR(INDEX('02b_DC_Accelerator_Mix'!$H$2:$H$977,MATCH(G524,'02b_DC_Accelerator_Mix'!$A$2:$A$977,0)),0)</f>
        <v/>
      </c>
      <c r="L524" s="6">
        <f>IFERROR(INDEX('02b_DC_Accelerator_Mix'!$I$2:$I$977,MATCH(G524,'02b_DC_Accelerator_Mix'!$A$2:$A$977,0)),0)</f>
        <v/>
      </c>
      <c r="M524" s="6">
        <f>IFERROR(INDEX('02b_DC_Accelerator_Mix'!$J$2:$J$977,MATCH(G524,'02b_DC_Accelerator_Mix'!$A$2:$A$977,0)),0)</f>
        <v/>
      </c>
      <c r="N524" s="6">
        <f>IFERROR(INDEX('02b_DC_Accelerator_Mix'!$K$2:$K$977,MATCH(G524,'02b_DC_Accelerator_Mix'!$A$2:$A$977,0)),0)</f>
        <v/>
      </c>
      <c r="O524" s="6">
        <f>IFERROR(INDEX('02b_DC_Accelerator_Mix'!$L$2:$L$977,MATCH(G524,'02b_DC_Accelerator_Mix'!$A$2:$A$977,0)),0)</f>
        <v/>
      </c>
      <c r="P524" s="6">
        <f>IFERROR(INDEX('02b_DC_Accelerator_Mix'!$M$2:$M$977,MATCH(G524,'02b_DC_Accelerator_Mix'!$A$2:$A$977,0)),0)</f>
        <v/>
      </c>
      <c r="Q524" s="6">
        <f>IFERROR(INDEX('02b_DC_Accelerator_Mix'!$N$2:$N$977,MATCH(G524,'02b_DC_Accelerator_Mix'!$A$2:$A$977,0)),0)</f>
        <v/>
      </c>
      <c r="R524" s="28">
        <f>H524*I524</f>
        <v/>
      </c>
      <c r="S524" s="28">
        <f>H524*J524</f>
        <v/>
      </c>
      <c r="T524" s="28">
        <f>H524*K524</f>
        <v/>
      </c>
      <c r="U524" s="28">
        <f>H524*L524</f>
        <v/>
      </c>
      <c r="V524" s="28">
        <f>H524*M524</f>
        <v/>
      </c>
      <c r="W524" s="28">
        <f>H524*N524</f>
        <v/>
      </c>
      <c r="X524" s="28">
        <f>H524*O524</f>
        <v/>
      </c>
      <c r="Y524" s="28">
        <f>H524*P524</f>
        <v/>
      </c>
      <c r="Z524" s="28">
        <f>H524*Q524</f>
        <v/>
      </c>
      <c r="AA524" s="28">
        <f>SUM(U524:Z524)</f>
        <v/>
      </c>
      <c r="AB524" s="5">
        <f>IF(COUNTIF('02b_DC_Accelerator_Mix'!$A$2:$A$977,G524)&gt;0,"matched","missing_mix")</f>
        <v/>
      </c>
    </row>
    <row r="525">
      <c r="A525" s="5">
        <f>'02a_DC_Capacity_Alloc'!A525</f>
        <v/>
      </c>
      <c r="B525" s="5">
        <f>'02a_DC_Capacity_Alloc'!B525</f>
        <v/>
      </c>
      <c r="C525" s="5">
        <f>'02a_DC_Capacity_Alloc'!C525</f>
        <v/>
      </c>
      <c r="D525" s="5">
        <f>'02a_DC_Capacity_Alloc'!D525</f>
        <v/>
      </c>
      <c r="E525" s="5">
        <f>'02a_DC_Capacity_Alloc'!E525</f>
        <v/>
      </c>
      <c r="F525" s="5">
        <f>'02a_DC_Capacity_Alloc'!F525</f>
        <v/>
      </c>
      <c r="G525" s="5">
        <f>B525&amp;"|"&amp;E525&amp;"|"&amp;D525</f>
        <v/>
      </c>
      <c r="H525" s="28">
        <f>'02a_DC_Capacity_Alloc'!H525*'02a_DC_Capacity_Alloc'!I525*'02a_DC_Capacity_Alloc'!J525</f>
        <v/>
      </c>
      <c r="I525" s="6">
        <f>IFERROR(INDEX('02b_DC_Accelerator_Mix'!$F$2:$F$977,MATCH(G525,'02b_DC_Accelerator_Mix'!$A$2:$A$977,0)),0)</f>
        <v/>
      </c>
      <c r="J525" s="6">
        <f>IFERROR(INDEX('02b_DC_Accelerator_Mix'!$G$2:$G$977,MATCH(G525,'02b_DC_Accelerator_Mix'!$A$2:$A$977,0)),0)</f>
        <v/>
      </c>
      <c r="K525" s="6">
        <f>IFERROR(INDEX('02b_DC_Accelerator_Mix'!$H$2:$H$977,MATCH(G525,'02b_DC_Accelerator_Mix'!$A$2:$A$977,0)),0)</f>
        <v/>
      </c>
      <c r="L525" s="6">
        <f>IFERROR(INDEX('02b_DC_Accelerator_Mix'!$I$2:$I$977,MATCH(G525,'02b_DC_Accelerator_Mix'!$A$2:$A$977,0)),0)</f>
        <v/>
      </c>
      <c r="M525" s="6">
        <f>IFERROR(INDEX('02b_DC_Accelerator_Mix'!$J$2:$J$977,MATCH(G525,'02b_DC_Accelerator_Mix'!$A$2:$A$977,0)),0)</f>
        <v/>
      </c>
      <c r="N525" s="6">
        <f>IFERROR(INDEX('02b_DC_Accelerator_Mix'!$K$2:$K$977,MATCH(G525,'02b_DC_Accelerator_Mix'!$A$2:$A$977,0)),0)</f>
        <v/>
      </c>
      <c r="O525" s="6">
        <f>IFERROR(INDEX('02b_DC_Accelerator_Mix'!$L$2:$L$977,MATCH(G525,'02b_DC_Accelerator_Mix'!$A$2:$A$977,0)),0)</f>
        <v/>
      </c>
      <c r="P525" s="6">
        <f>IFERROR(INDEX('02b_DC_Accelerator_Mix'!$M$2:$M$977,MATCH(G525,'02b_DC_Accelerator_Mix'!$A$2:$A$977,0)),0)</f>
        <v/>
      </c>
      <c r="Q525" s="6">
        <f>IFERROR(INDEX('02b_DC_Accelerator_Mix'!$N$2:$N$977,MATCH(G525,'02b_DC_Accelerator_Mix'!$A$2:$A$977,0)),0)</f>
        <v/>
      </c>
      <c r="R525" s="28">
        <f>H525*I525</f>
        <v/>
      </c>
      <c r="S525" s="28">
        <f>H525*J525</f>
        <v/>
      </c>
      <c r="T525" s="28">
        <f>H525*K525</f>
        <v/>
      </c>
      <c r="U525" s="28">
        <f>H525*L525</f>
        <v/>
      </c>
      <c r="V525" s="28">
        <f>H525*M525</f>
        <v/>
      </c>
      <c r="W525" s="28">
        <f>H525*N525</f>
        <v/>
      </c>
      <c r="X525" s="28">
        <f>H525*O525</f>
        <v/>
      </c>
      <c r="Y525" s="28">
        <f>H525*P525</f>
        <v/>
      </c>
      <c r="Z525" s="28">
        <f>H525*Q525</f>
        <v/>
      </c>
      <c r="AA525" s="28">
        <f>SUM(U525:Z525)</f>
        <v/>
      </c>
      <c r="AB525" s="5">
        <f>IF(COUNTIF('02b_DC_Accelerator_Mix'!$A$2:$A$977,G525)&gt;0,"matched","missing_mix")</f>
        <v/>
      </c>
    </row>
    <row r="526">
      <c r="A526" s="5">
        <f>'02a_DC_Capacity_Alloc'!A526</f>
        <v/>
      </c>
      <c r="B526" s="5">
        <f>'02a_DC_Capacity_Alloc'!B526</f>
        <v/>
      </c>
      <c r="C526" s="5">
        <f>'02a_DC_Capacity_Alloc'!C526</f>
        <v/>
      </c>
      <c r="D526" s="5">
        <f>'02a_DC_Capacity_Alloc'!D526</f>
        <v/>
      </c>
      <c r="E526" s="5">
        <f>'02a_DC_Capacity_Alloc'!E526</f>
        <v/>
      </c>
      <c r="F526" s="5">
        <f>'02a_DC_Capacity_Alloc'!F526</f>
        <v/>
      </c>
      <c r="G526" s="5">
        <f>B526&amp;"|"&amp;E526&amp;"|"&amp;D526</f>
        <v/>
      </c>
      <c r="H526" s="28">
        <f>'02a_DC_Capacity_Alloc'!H526*'02a_DC_Capacity_Alloc'!I526*'02a_DC_Capacity_Alloc'!J526</f>
        <v/>
      </c>
      <c r="I526" s="6">
        <f>IFERROR(INDEX('02b_DC_Accelerator_Mix'!$F$2:$F$977,MATCH(G526,'02b_DC_Accelerator_Mix'!$A$2:$A$977,0)),0)</f>
        <v/>
      </c>
      <c r="J526" s="6">
        <f>IFERROR(INDEX('02b_DC_Accelerator_Mix'!$G$2:$G$977,MATCH(G526,'02b_DC_Accelerator_Mix'!$A$2:$A$977,0)),0)</f>
        <v/>
      </c>
      <c r="K526" s="6">
        <f>IFERROR(INDEX('02b_DC_Accelerator_Mix'!$H$2:$H$977,MATCH(G526,'02b_DC_Accelerator_Mix'!$A$2:$A$977,0)),0)</f>
        <v/>
      </c>
      <c r="L526" s="6">
        <f>IFERROR(INDEX('02b_DC_Accelerator_Mix'!$I$2:$I$977,MATCH(G526,'02b_DC_Accelerator_Mix'!$A$2:$A$977,0)),0)</f>
        <v/>
      </c>
      <c r="M526" s="6">
        <f>IFERROR(INDEX('02b_DC_Accelerator_Mix'!$J$2:$J$977,MATCH(G526,'02b_DC_Accelerator_Mix'!$A$2:$A$977,0)),0)</f>
        <v/>
      </c>
      <c r="N526" s="6">
        <f>IFERROR(INDEX('02b_DC_Accelerator_Mix'!$K$2:$K$977,MATCH(G526,'02b_DC_Accelerator_Mix'!$A$2:$A$977,0)),0)</f>
        <v/>
      </c>
      <c r="O526" s="6">
        <f>IFERROR(INDEX('02b_DC_Accelerator_Mix'!$L$2:$L$977,MATCH(G526,'02b_DC_Accelerator_Mix'!$A$2:$A$977,0)),0)</f>
        <v/>
      </c>
      <c r="P526" s="6">
        <f>IFERROR(INDEX('02b_DC_Accelerator_Mix'!$M$2:$M$977,MATCH(G526,'02b_DC_Accelerator_Mix'!$A$2:$A$977,0)),0)</f>
        <v/>
      </c>
      <c r="Q526" s="6">
        <f>IFERROR(INDEX('02b_DC_Accelerator_Mix'!$N$2:$N$977,MATCH(G526,'02b_DC_Accelerator_Mix'!$A$2:$A$977,0)),0)</f>
        <v/>
      </c>
      <c r="R526" s="28">
        <f>H526*I526</f>
        <v/>
      </c>
      <c r="S526" s="28">
        <f>H526*J526</f>
        <v/>
      </c>
      <c r="T526" s="28">
        <f>H526*K526</f>
        <v/>
      </c>
      <c r="U526" s="28">
        <f>H526*L526</f>
        <v/>
      </c>
      <c r="V526" s="28">
        <f>H526*M526</f>
        <v/>
      </c>
      <c r="W526" s="28">
        <f>H526*N526</f>
        <v/>
      </c>
      <c r="X526" s="28">
        <f>H526*O526</f>
        <v/>
      </c>
      <c r="Y526" s="28">
        <f>H526*P526</f>
        <v/>
      </c>
      <c r="Z526" s="28">
        <f>H526*Q526</f>
        <v/>
      </c>
      <c r="AA526" s="28">
        <f>SUM(U526:Z526)</f>
        <v/>
      </c>
      <c r="AB526" s="5">
        <f>IF(COUNTIF('02b_DC_Accelerator_Mix'!$A$2:$A$977,G526)&gt;0,"matched","missing_mix")</f>
        <v/>
      </c>
    </row>
    <row r="527">
      <c r="A527" s="5">
        <f>'02a_DC_Capacity_Alloc'!A527</f>
        <v/>
      </c>
      <c r="B527" s="5">
        <f>'02a_DC_Capacity_Alloc'!B527</f>
        <v/>
      </c>
      <c r="C527" s="5">
        <f>'02a_DC_Capacity_Alloc'!C527</f>
        <v/>
      </c>
      <c r="D527" s="5">
        <f>'02a_DC_Capacity_Alloc'!D527</f>
        <v/>
      </c>
      <c r="E527" s="5">
        <f>'02a_DC_Capacity_Alloc'!E527</f>
        <v/>
      </c>
      <c r="F527" s="5">
        <f>'02a_DC_Capacity_Alloc'!F527</f>
        <v/>
      </c>
      <c r="G527" s="5">
        <f>B527&amp;"|"&amp;E527&amp;"|"&amp;D527</f>
        <v/>
      </c>
      <c r="H527" s="28">
        <f>'02a_DC_Capacity_Alloc'!H527*'02a_DC_Capacity_Alloc'!I527*'02a_DC_Capacity_Alloc'!J527</f>
        <v/>
      </c>
      <c r="I527" s="6">
        <f>IFERROR(INDEX('02b_DC_Accelerator_Mix'!$F$2:$F$977,MATCH(G527,'02b_DC_Accelerator_Mix'!$A$2:$A$977,0)),0)</f>
        <v/>
      </c>
      <c r="J527" s="6">
        <f>IFERROR(INDEX('02b_DC_Accelerator_Mix'!$G$2:$G$977,MATCH(G527,'02b_DC_Accelerator_Mix'!$A$2:$A$977,0)),0)</f>
        <v/>
      </c>
      <c r="K527" s="6">
        <f>IFERROR(INDEX('02b_DC_Accelerator_Mix'!$H$2:$H$977,MATCH(G527,'02b_DC_Accelerator_Mix'!$A$2:$A$977,0)),0)</f>
        <v/>
      </c>
      <c r="L527" s="6">
        <f>IFERROR(INDEX('02b_DC_Accelerator_Mix'!$I$2:$I$977,MATCH(G527,'02b_DC_Accelerator_Mix'!$A$2:$A$977,0)),0)</f>
        <v/>
      </c>
      <c r="M527" s="6">
        <f>IFERROR(INDEX('02b_DC_Accelerator_Mix'!$J$2:$J$977,MATCH(G527,'02b_DC_Accelerator_Mix'!$A$2:$A$977,0)),0)</f>
        <v/>
      </c>
      <c r="N527" s="6">
        <f>IFERROR(INDEX('02b_DC_Accelerator_Mix'!$K$2:$K$977,MATCH(G527,'02b_DC_Accelerator_Mix'!$A$2:$A$977,0)),0)</f>
        <v/>
      </c>
      <c r="O527" s="6">
        <f>IFERROR(INDEX('02b_DC_Accelerator_Mix'!$L$2:$L$977,MATCH(G527,'02b_DC_Accelerator_Mix'!$A$2:$A$977,0)),0)</f>
        <v/>
      </c>
      <c r="P527" s="6">
        <f>IFERROR(INDEX('02b_DC_Accelerator_Mix'!$M$2:$M$977,MATCH(G527,'02b_DC_Accelerator_Mix'!$A$2:$A$977,0)),0)</f>
        <v/>
      </c>
      <c r="Q527" s="6">
        <f>IFERROR(INDEX('02b_DC_Accelerator_Mix'!$N$2:$N$977,MATCH(G527,'02b_DC_Accelerator_Mix'!$A$2:$A$977,0)),0)</f>
        <v/>
      </c>
      <c r="R527" s="28">
        <f>H527*I527</f>
        <v/>
      </c>
      <c r="S527" s="28">
        <f>H527*J527</f>
        <v/>
      </c>
      <c r="T527" s="28">
        <f>H527*K527</f>
        <v/>
      </c>
      <c r="U527" s="28">
        <f>H527*L527</f>
        <v/>
      </c>
      <c r="V527" s="28">
        <f>H527*M527</f>
        <v/>
      </c>
      <c r="W527" s="28">
        <f>H527*N527</f>
        <v/>
      </c>
      <c r="X527" s="28">
        <f>H527*O527</f>
        <v/>
      </c>
      <c r="Y527" s="28">
        <f>H527*P527</f>
        <v/>
      </c>
      <c r="Z527" s="28">
        <f>H527*Q527</f>
        <v/>
      </c>
      <c r="AA527" s="28">
        <f>SUM(U527:Z527)</f>
        <v/>
      </c>
      <c r="AB527" s="5">
        <f>IF(COUNTIF('02b_DC_Accelerator_Mix'!$A$2:$A$977,G527)&gt;0,"matched","missing_mix")</f>
        <v/>
      </c>
    </row>
    <row r="528">
      <c r="A528" s="5">
        <f>'02a_DC_Capacity_Alloc'!A528</f>
        <v/>
      </c>
      <c r="B528" s="5">
        <f>'02a_DC_Capacity_Alloc'!B528</f>
        <v/>
      </c>
      <c r="C528" s="5">
        <f>'02a_DC_Capacity_Alloc'!C528</f>
        <v/>
      </c>
      <c r="D528" s="5">
        <f>'02a_DC_Capacity_Alloc'!D528</f>
        <v/>
      </c>
      <c r="E528" s="5">
        <f>'02a_DC_Capacity_Alloc'!E528</f>
        <v/>
      </c>
      <c r="F528" s="5">
        <f>'02a_DC_Capacity_Alloc'!F528</f>
        <v/>
      </c>
      <c r="G528" s="5">
        <f>B528&amp;"|"&amp;E528&amp;"|"&amp;D528</f>
        <v/>
      </c>
      <c r="H528" s="28">
        <f>'02a_DC_Capacity_Alloc'!H528*'02a_DC_Capacity_Alloc'!I528*'02a_DC_Capacity_Alloc'!J528</f>
        <v/>
      </c>
      <c r="I528" s="6">
        <f>IFERROR(INDEX('02b_DC_Accelerator_Mix'!$F$2:$F$977,MATCH(G528,'02b_DC_Accelerator_Mix'!$A$2:$A$977,0)),0)</f>
        <v/>
      </c>
      <c r="J528" s="6">
        <f>IFERROR(INDEX('02b_DC_Accelerator_Mix'!$G$2:$G$977,MATCH(G528,'02b_DC_Accelerator_Mix'!$A$2:$A$977,0)),0)</f>
        <v/>
      </c>
      <c r="K528" s="6">
        <f>IFERROR(INDEX('02b_DC_Accelerator_Mix'!$H$2:$H$977,MATCH(G528,'02b_DC_Accelerator_Mix'!$A$2:$A$977,0)),0)</f>
        <v/>
      </c>
      <c r="L528" s="6">
        <f>IFERROR(INDEX('02b_DC_Accelerator_Mix'!$I$2:$I$977,MATCH(G528,'02b_DC_Accelerator_Mix'!$A$2:$A$977,0)),0)</f>
        <v/>
      </c>
      <c r="M528" s="6">
        <f>IFERROR(INDEX('02b_DC_Accelerator_Mix'!$J$2:$J$977,MATCH(G528,'02b_DC_Accelerator_Mix'!$A$2:$A$977,0)),0)</f>
        <v/>
      </c>
      <c r="N528" s="6">
        <f>IFERROR(INDEX('02b_DC_Accelerator_Mix'!$K$2:$K$977,MATCH(G528,'02b_DC_Accelerator_Mix'!$A$2:$A$977,0)),0)</f>
        <v/>
      </c>
      <c r="O528" s="6">
        <f>IFERROR(INDEX('02b_DC_Accelerator_Mix'!$L$2:$L$977,MATCH(G528,'02b_DC_Accelerator_Mix'!$A$2:$A$977,0)),0)</f>
        <v/>
      </c>
      <c r="P528" s="6">
        <f>IFERROR(INDEX('02b_DC_Accelerator_Mix'!$M$2:$M$977,MATCH(G528,'02b_DC_Accelerator_Mix'!$A$2:$A$977,0)),0)</f>
        <v/>
      </c>
      <c r="Q528" s="6">
        <f>IFERROR(INDEX('02b_DC_Accelerator_Mix'!$N$2:$N$977,MATCH(G528,'02b_DC_Accelerator_Mix'!$A$2:$A$977,0)),0)</f>
        <v/>
      </c>
      <c r="R528" s="28">
        <f>H528*I528</f>
        <v/>
      </c>
      <c r="S528" s="28">
        <f>H528*J528</f>
        <v/>
      </c>
      <c r="T528" s="28">
        <f>H528*K528</f>
        <v/>
      </c>
      <c r="U528" s="28">
        <f>H528*L528</f>
        <v/>
      </c>
      <c r="V528" s="28">
        <f>H528*M528</f>
        <v/>
      </c>
      <c r="W528" s="28">
        <f>H528*N528</f>
        <v/>
      </c>
      <c r="X528" s="28">
        <f>H528*O528</f>
        <v/>
      </c>
      <c r="Y528" s="28">
        <f>H528*P528</f>
        <v/>
      </c>
      <c r="Z528" s="28">
        <f>H528*Q528</f>
        <v/>
      </c>
      <c r="AA528" s="28">
        <f>SUM(U528:Z528)</f>
        <v/>
      </c>
      <c r="AB528" s="5">
        <f>IF(COUNTIF('02b_DC_Accelerator_Mix'!$A$2:$A$977,G528)&gt;0,"matched","missing_mix")</f>
        <v/>
      </c>
    </row>
    <row r="529">
      <c r="A529" s="5">
        <f>'02a_DC_Capacity_Alloc'!A529</f>
        <v/>
      </c>
      <c r="B529" s="5">
        <f>'02a_DC_Capacity_Alloc'!B529</f>
        <v/>
      </c>
      <c r="C529" s="5">
        <f>'02a_DC_Capacity_Alloc'!C529</f>
        <v/>
      </c>
      <c r="D529" s="5">
        <f>'02a_DC_Capacity_Alloc'!D529</f>
        <v/>
      </c>
      <c r="E529" s="5">
        <f>'02a_DC_Capacity_Alloc'!E529</f>
        <v/>
      </c>
      <c r="F529" s="5">
        <f>'02a_DC_Capacity_Alloc'!F529</f>
        <v/>
      </c>
      <c r="G529" s="5">
        <f>B529&amp;"|"&amp;E529&amp;"|"&amp;D529</f>
        <v/>
      </c>
      <c r="H529" s="28">
        <f>'02a_DC_Capacity_Alloc'!H529*'02a_DC_Capacity_Alloc'!I529*'02a_DC_Capacity_Alloc'!J529</f>
        <v/>
      </c>
      <c r="I529" s="6">
        <f>IFERROR(INDEX('02b_DC_Accelerator_Mix'!$F$2:$F$977,MATCH(G529,'02b_DC_Accelerator_Mix'!$A$2:$A$977,0)),0)</f>
        <v/>
      </c>
      <c r="J529" s="6">
        <f>IFERROR(INDEX('02b_DC_Accelerator_Mix'!$G$2:$G$977,MATCH(G529,'02b_DC_Accelerator_Mix'!$A$2:$A$977,0)),0)</f>
        <v/>
      </c>
      <c r="K529" s="6">
        <f>IFERROR(INDEX('02b_DC_Accelerator_Mix'!$H$2:$H$977,MATCH(G529,'02b_DC_Accelerator_Mix'!$A$2:$A$977,0)),0)</f>
        <v/>
      </c>
      <c r="L529" s="6">
        <f>IFERROR(INDEX('02b_DC_Accelerator_Mix'!$I$2:$I$977,MATCH(G529,'02b_DC_Accelerator_Mix'!$A$2:$A$977,0)),0)</f>
        <v/>
      </c>
      <c r="M529" s="6">
        <f>IFERROR(INDEX('02b_DC_Accelerator_Mix'!$J$2:$J$977,MATCH(G529,'02b_DC_Accelerator_Mix'!$A$2:$A$977,0)),0)</f>
        <v/>
      </c>
      <c r="N529" s="6">
        <f>IFERROR(INDEX('02b_DC_Accelerator_Mix'!$K$2:$K$977,MATCH(G529,'02b_DC_Accelerator_Mix'!$A$2:$A$977,0)),0)</f>
        <v/>
      </c>
      <c r="O529" s="6">
        <f>IFERROR(INDEX('02b_DC_Accelerator_Mix'!$L$2:$L$977,MATCH(G529,'02b_DC_Accelerator_Mix'!$A$2:$A$977,0)),0)</f>
        <v/>
      </c>
      <c r="P529" s="6">
        <f>IFERROR(INDEX('02b_DC_Accelerator_Mix'!$M$2:$M$977,MATCH(G529,'02b_DC_Accelerator_Mix'!$A$2:$A$977,0)),0)</f>
        <v/>
      </c>
      <c r="Q529" s="6">
        <f>IFERROR(INDEX('02b_DC_Accelerator_Mix'!$N$2:$N$977,MATCH(G529,'02b_DC_Accelerator_Mix'!$A$2:$A$977,0)),0)</f>
        <v/>
      </c>
      <c r="R529" s="28">
        <f>H529*I529</f>
        <v/>
      </c>
      <c r="S529" s="28">
        <f>H529*J529</f>
        <v/>
      </c>
      <c r="T529" s="28">
        <f>H529*K529</f>
        <v/>
      </c>
      <c r="U529" s="28">
        <f>H529*L529</f>
        <v/>
      </c>
      <c r="V529" s="28">
        <f>H529*M529</f>
        <v/>
      </c>
      <c r="W529" s="28">
        <f>H529*N529</f>
        <v/>
      </c>
      <c r="X529" s="28">
        <f>H529*O529</f>
        <v/>
      </c>
      <c r="Y529" s="28">
        <f>H529*P529</f>
        <v/>
      </c>
      <c r="Z529" s="28">
        <f>H529*Q529</f>
        <v/>
      </c>
      <c r="AA529" s="28">
        <f>SUM(U529:Z529)</f>
        <v/>
      </c>
      <c r="AB529" s="5">
        <f>IF(COUNTIF('02b_DC_Accelerator_Mix'!$A$2:$A$977,G529)&gt;0,"matched","missing_mix")</f>
        <v/>
      </c>
    </row>
    <row r="530">
      <c r="A530" s="5">
        <f>'02a_DC_Capacity_Alloc'!A530</f>
        <v/>
      </c>
      <c r="B530" s="5">
        <f>'02a_DC_Capacity_Alloc'!B530</f>
        <v/>
      </c>
      <c r="C530" s="5">
        <f>'02a_DC_Capacity_Alloc'!C530</f>
        <v/>
      </c>
      <c r="D530" s="5">
        <f>'02a_DC_Capacity_Alloc'!D530</f>
        <v/>
      </c>
      <c r="E530" s="5">
        <f>'02a_DC_Capacity_Alloc'!E530</f>
        <v/>
      </c>
      <c r="F530" s="5">
        <f>'02a_DC_Capacity_Alloc'!F530</f>
        <v/>
      </c>
      <c r="G530" s="5">
        <f>B530&amp;"|"&amp;E530&amp;"|"&amp;D530</f>
        <v/>
      </c>
      <c r="H530" s="28">
        <f>'02a_DC_Capacity_Alloc'!H530*'02a_DC_Capacity_Alloc'!I530*'02a_DC_Capacity_Alloc'!J530</f>
        <v/>
      </c>
      <c r="I530" s="6">
        <f>IFERROR(INDEX('02b_DC_Accelerator_Mix'!$F$2:$F$977,MATCH(G530,'02b_DC_Accelerator_Mix'!$A$2:$A$977,0)),0)</f>
        <v/>
      </c>
      <c r="J530" s="6">
        <f>IFERROR(INDEX('02b_DC_Accelerator_Mix'!$G$2:$G$977,MATCH(G530,'02b_DC_Accelerator_Mix'!$A$2:$A$977,0)),0)</f>
        <v/>
      </c>
      <c r="K530" s="6">
        <f>IFERROR(INDEX('02b_DC_Accelerator_Mix'!$H$2:$H$977,MATCH(G530,'02b_DC_Accelerator_Mix'!$A$2:$A$977,0)),0)</f>
        <v/>
      </c>
      <c r="L530" s="6">
        <f>IFERROR(INDEX('02b_DC_Accelerator_Mix'!$I$2:$I$977,MATCH(G530,'02b_DC_Accelerator_Mix'!$A$2:$A$977,0)),0)</f>
        <v/>
      </c>
      <c r="M530" s="6">
        <f>IFERROR(INDEX('02b_DC_Accelerator_Mix'!$J$2:$J$977,MATCH(G530,'02b_DC_Accelerator_Mix'!$A$2:$A$977,0)),0)</f>
        <v/>
      </c>
      <c r="N530" s="6">
        <f>IFERROR(INDEX('02b_DC_Accelerator_Mix'!$K$2:$K$977,MATCH(G530,'02b_DC_Accelerator_Mix'!$A$2:$A$977,0)),0)</f>
        <v/>
      </c>
      <c r="O530" s="6">
        <f>IFERROR(INDEX('02b_DC_Accelerator_Mix'!$L$2:$L$977,MATCH(G530,'02b_DC_Accelerator_Mix'!$A$2:$A$977,0)),0)</f>
        <v/>
      </c>
      <c r="P530" s="6">
        <f>IFERROR(INDEX('02b_DC_Accelerator_Mix'!$M$2:$M$977,MATCH(G530,'02b_DC_Accelerator_Mix'!$A$2:$A$977,0)),0)</f>
        <v/>
      </c>
      <c r="Q530" s="6">
        <f>IFERROR(INDEX('02b_DC_Accelerator_Mix'!$N$2:$N$977,MATCH(G530,'02b_DC_Accelerator_Mix'!$A$2:$A$977,0)),0)</f>
        <v/>
      </c>
      <c r="R530" s="28">
        <f>H530*I530</f>
        <v/>
      </c>
      <c r="S530" s="28">
        <f>H530*J530</f>
        <v/>
      </c>
      <c r="T530" s="28">
        <f>H530*K530</f>
        <v/>
      </c>
      <c r="U530" s="28">
        <f>H530*L530</f>
        <v/>
      </c>
      <c r="V530" s="28">
        <f>H530*M530</f>
        <v/>
      </c>
      <c r="W530" s="28">
        <f>H530*N530</f>
        <v/>
      </c>
      <c r="X530" s="28">
        <f>H530*O530</f>
        <v/>
      </c>
      <c r="Y530" s="28">
        <f>H530*P530</f>
        <v/>
      </c>
      <c r="Z530" s="28">
        <f>H530*Q530</f>
        <v/>
      </c>
      <c r="AA530" s="28">
        <f>SUM(U530:Z530)</f>
        <v/>
      </c>
      <c r="AB530" s="5">
        <f>IF(COUNTIF('02b_DC_Accelerator_Mix'!$A$2:$A$977,G530)&gt;0,"matched","missing_mix")</f>
        <v/>
      </c>
    </row>
    <row r="531">
      <c r="A531" s="5">
        <f>'02a_DC_Capacity_Alloc'!A531</f>
        <v/>
      </c>
      <c r="B531" s="5">
        <f>'02a_DC_Capacity_Alloc'!B531</f>
        <v/>
      </c>
      <c r="C531" s="5">
        <f>'02a_DC_Capacity_Alloc'!C531</f>
        <v/>
      </c>
      <c r="D531" s="5">
        <f>'02a_DC_Capacity_Alloc'!D531</f>
        <v/>
      </c>
      <c r="E531" s="5">
        <f>'02a_DC_Capacity_Alloc'!E531</f>
        <v/>
      </c>
      <c r="F531" s="5">
        <f>'02a_DC_Capacity_Alloc'!F531</f>
        <v/>
      </c>
      <c r="G531" s="5">
        <f>B531&amp;"|"&amp;E531&amp;"|"&amp;D531</f>
        <v/>
      </c>
      <c r="H531" s="28">
        <f>'02a_DC_Capacity_Alloc'!H531*'02a_DC_Capacity_Alloc'!I531*'02a_DC_Capacity_Alloc'!J531</f>
        <v/>
      </c>
      <c r="I531" s="6">
        <f>IFERROR(INDEX('02b_DC_Accelerator_Mix'!$F$2:$F$977,MATCH(G531,'02b_DC_Accelerator_Mix'!$A$2:$A$977,0)),0)</f>
        <v/>
      </c>
      <c r="J531" s="6">
        <f>IFERROR(INDEX('02b_DC_Accelerator_Mix'!$G$2:$G$977,MATCH(G531,'02b_DC_Accelerator_Mix'!$A$2:$A$977,0)),0)</f>
        <v/>
      </c>
      <c r="K531" s="6">
        <f>IFERROR(INDEX('02b_DC_Accelerator_Mix'!$H$2:$H$977,MATCH(G531,'02b_DC_Accelerator_Mix'!$A$2:$A$977,0)),0)</f>
        <v/>
      </c>
      <c r="L531" s="6">
        <f>IFERROR(INDEX('02b_DC_Accelerator_Mix'!$I$2:$I$977,MATCH(G531,'02b_DC_Accelerator_Mix'!$A$2:$A$977,0)),0)</f>
        <v/>
      </c>
      <c r="M531" s="6">
        <f>IFERROR(INDEX('02b_DC_Accelerator_Mix'!$J$2:$J$977,MATCH(G531,'02b_DC_Accelerator_Mix'!$A$2:$A$977,0)),0)</f>
        <v/>
      </c>
      <c r="N531" s="6">
        <f>IFERROR(INDEX('02b_DC_Accelerator_Mix'!$K$2:$K$977,MATCH(G531,'02b_DC_Accelerator_Mix'!$A$2:$A$977,0)),0)</f>
        <v/>
      </c>
      <c r="O531" s="6">
        <f>IFERROR(INDEX('02b_DC_Accelerator_Mix'!$L$2:$L$977,MATCH(G531,'02b_DC_Accelerator_Mix'!$A$2:$A$977,0)),0)</f>
        <v/>
      </c>
      <c r="P531" s="6">
        <f>IFERROR(INDEX('02b_DC_Accelerator_Mix'!$M$2:$M$977,MATCH(G531,'02b_DC_Accelerator_Mix'!$A$2:$A$977,0)),0)</f>
        <v/>
      </c>
      <c r="Q531" s="6">
        <f>IFERROR(INDEX('02b_DC_Accelerator_Mix'!$N$2:$N$977,MATCH(G531,'02b_DC_Accelerator_Mix'!$A$2:$A$977,0)),0)</f>
        <v/>
      </c>
      <c r="R531" s="28">
        <f>H531*I531</f>
        <v/>
      </c>
      <c r="S531" s="28">
        <f>H531*J531</f>
        <v/>
      </c>
      <c r="T531" s="28">
        <f>H531*K531</f>
        <v/>
      </c>
      <c r="U531" s="28">
        <f>H531*L531</f>
        <v/>
      </c>
      <c r="V531" s="28">
        <f>H531*M531</f>
        <v/>
      </c>
      <c r="W531" s="28">
        <f>H531*N531</f>
        <v/>
      </c>
      <c r="X531" s="28">
        <f>H531*O531</f>
        <v/>
      </c>
      <c r="Y531" s="28">
        <f>H531*P531</f>
        <v/>
      </c>
      <c r="Z531" s="28">
        <f>H531*Q531</f>
        <v/>
      </c>
      <c r="AA531" s="28">
        <f>SUM(U531:Z531)</f>
        <v/>
      </c>
      <c r="AB531" s="5">
        <f>IF(COUNTIF('02b_DC_Accelerator_Mix'!$A$2:$A$977,G531)&gt;0,"matched","missing_mix")</f>
        <v/>
      </c>
    </row>
    <row r="532">
      <c r="A532" s="5">
        <f>'02a_DC_Capacity_Alloc'!A532</f>
        <v/>
      </c>
      <c r="B532" s="5">
        <f>'02a_DC_Capacity_Alloc'!B532</f>
        <v/>
      </c>
      <c r="C532" s="5">
        <f>'02a_DC_Capacity_Alloc'!C532</f>
        <v/>
      </c>
      <c r="D532" s="5">
        <f>'02a_DC_Capacity_Alloc'!D532</f>
        <v/>
      </c>
      <c r="E532" s="5">
        <f>'02a_DC_Capacity_Alloc'!E532</f>
        <v/>
      </c>
      <c r="F532" s="5">
        <f>'02a_DC_Capacity_Alloc'!F532</f>
        <v/>
      </c>
      <c r="G532" s="5">
        <f>B532&amp;"|"&amp;E532&amp;"|"&amp;D532</f>
        <v/>
      </c>
      <c r="H532" s="28">
        <f>'02a_DC_Capacity_Alloc'!H532*'02a_DC_Capacity_Alloc'!I532*'02a_DC_Capacity_Alloc'!J532</f>
        <v/>
      </c>
      <c r="I532" s="6">
        <f>IFERROR(INDEX('02b_DC_Accelerator_Mix'!$F$2:$F$977,MATCH(G532,'02b_DC_Accelerator_Mix'!$A$2:$A$977,0)),0)</f>
        <v/>
      </c>
      <c r="J532" s="6">
        <f>IFERROR(INDEX('02b_DC_Accelerator_Mix'!$G$2:$G$977,MATCH(G532,'02b_DC_Accelerator_Mix'!$A$2:$A$977,0)),0)</f>
        <v/>
      </c>
      <c r="K532" s="6">
        <f>IFERROR(INDEX('02b_DC_Accelerator_Mix'!$H$2:$H$977,MATCH(G532,'02b_DC_Accelerator_Mix'!$A$2:$A$977,0)),0)</f>
        <v/>
      </c>
      <c r="L532" s="6">
        <f>IFERROR(INDEX('02b_DC_Accelerator_Mix'!$I$2:$I$977,MATCH(G532,'02b_DC_Accelerator_Mix'!$A$2:$A$977,0)),0)</f>
        <v/>
      </c>
      <c r="M532" s="6">
        <f>IFERROR(INDEX('02b_DC_Accelerator_Mix'!$J$2:$J$977,MATCH(G532,'02b_DC_Accelerator_Mix'!$A$2:$A$977,0)),0)</f>
        <v/>
      </c>
      <c r="N532" s="6">
        <f>IFERROR(INDEX('02b_DC_Accelerator_Mix'!$K$2:$K$977,MATCH(G532,'02b_DC_Accelerator_Mix'!$A$2:$A$977,0)),0)</f>
        <v/>
      </c>
      <c r="O532" s="6">
        <f>IFERROR(INDEX('02b_DC_Accelerator_Mix'!$L$2:$L$977,MATCH(G532,'02b_DC_Accelerator_Mix'!$A$2:$A$977,0)),0)</f>
        <v/>
      </c>
      <c r="P532" s="6">
        <f>IFERROR(INDEX('02b_DC_Accelerator_Mix'!$M$2:$M$977,MATCH(G532,'02b_DC_Accelerator_Mix'!$A$2:$A$977,0)),0)</f>
        <v/>
      </c>
      <c r="Q532" s="6">
        <f>IFERROR(INDEX('02b_DC_Accelerator_Mix'!$N$2:$N$977,MATCH(G532,'02b_DC_Accelerator_Mix'!$A$2:$A$977,0)),0)</f>
        <v/>
      </c>
      <c r="R532" s="28">
        <f>H532*I532</f>
        <v/>
      </c>
      <c r="S532" s="28">
        <f>H532*J532</f>
        <v/>
      </c>
      <c r="T532" s="28">
        <f>H532*K532</f>
        <v/>
      </c>
      <c r="U532" s="28">
        <f>H532*L532</f>
        <v/>
      </c>
      <c r="V532" s="28">
        <f>H532*M532</f>
        <v/>
      </c>
      <c r="W532" s="28">
        <f>H532*N532</f>
        <v/>
      </c>
      <c r="X532" s="28">
        <f>H532*O532</f>
        <v/>
      </c>
      <c r="Y532" s="28">
        <f>H532*P532</f>
        <v/>
      </c>
      <c r="Z532" s="28">
        <f>H532*Q532</f>
        <v/>
      </c>
      <c r="AA532" s="28">
        <f>SUM(U532:Z532)</f>
        <v/>
      </c>
      <c r="AB532" s="5">
        <f>IF(COUNTIF('02b_DC_Accelerator_Mix'!$A$2:$A$977,G532)&gt;0,"matched","missing_mix")</f>
        <v/>
      </c>
    </row>
    <row r="533">
      <c r="A533" s="5">
        <f>'02a_DC_Capacity_Alloc'!A533</f>
        <v/>
      </c>
      <c r="B533" s="5">
        <f>'02a_DC_Capacity_Alloc'!B533</f>
        <v/>
      </c>
      <c r="C533" s="5">
        <f>'02a_DC_Capacity_Alloc'!C533</f>
        <v/>
      </c>
      <c r="D533" s="5">
        <f>'02a_DC_Capacity_Alloc'!D533</f>
        <v/>
      </c>
      <c r="E533" s="5">
        <f>'02a_DC_Capacity_Alloc'!E533</f>
        <v/>
      </c>
      <c r="F533" s="5">
        <f>'02a_DC_Capacity_Alloc'!F533</f>
        <v/>
      </c>
      <c r="G533" s="5">
        <f>B533&amp;"|"&amp;E533&amp;"|"&amp;D533</f>
        <v/>
      </c>
      <c r="H533" s="28">
        <f>'02a_DC_Capacity_Alloc'!H533*'02a_DC_Capacity_Alloc'!I533*'02a_DC_Capacity_Alloc'!J533</f>
        <v/>
      </c>
      <c r="I533" s="6">
        <f>IFERROR(INDEX('02b_DC_Accelerator_Mix'!$F$2:$F$977,MATCH(G533,'02b_DC_Accelerator_Mix'!$A$2:$A$977,0)),0)</f>
        <v/>
      </c>
      <c r="J533" s="6">
        <f>IFERROR(INDEX('02b_DC_Accelerator_Mix'!$G$2:$G$977,MATCH(G533,'02b_DC_Accelerator_Mix'!$A$2:$A$977,0)),0)</f>
        <v/>
      </c>
      <c r="K533" s="6">
        <f>IFERROR(INDEX('02b_DC_Accelerator_Mix'!$H$2:$H$977,MATCH(G533,'02b_DC_Accelerator_Mix'!$A$2:$A$977,0)),0)</f>
        <v/>
      </c>
      <c r="L533" s="6">
        <f>IFERROR(INDEX('02b_DC_Accelerator_Mix'!$I$2:$I$977,MATCH(G533,'02b_DC_Accelerator_Mix'!$A$2:$A$977,0)),0)</f>
        <v/>
      </c>
      <c r="M533" s="6">
        <f>IFERROR(INDEX('02b_DC_Accelerator_Mix'!$J$2:$J$977,MATCH(G533,'02b_DC_Accelerator_Mix'!$A$2:$A$977,0)),0)</f>
        <v/>
      </c>
      <c r="N533" s="6">
        <f>IFERROR(INDEX('02b_DC_Accelerator_Mix'!$K$2:$K$977,MATCH(G533,'02b_DC_Accelerator_Mix'!$A$2:$A$977,0)),0)</f>
        <v/>
      </c>
      <c r="O533" s="6">
        <f>IFERROR(INDEX('02b_DC_Accelerator_Mix'!$L$2:$L$977,MATCH(G533,'02b_DC_Accelerator_Mix'!$A$2:$A$977,0)),0)</f>
        <v/>
      </c>
      <c r="P533" s="6">
        <f>IFERROR(INDEX('02b_DC_Accelerator_Mix'!$M$2:$M$977,MATCH(G533,'02b_DC_Accelerator_Mix'!$A$2:$A$977,0)),0)</f>
        <v/>
      </c>
      <c r="Q533" s="6">
        <f>IFERROR(INDEX('02b_DC_Accelerator_Mix'!$N$2:$N$977,MATCH(G533,'02b_DC_Accelerator_Mix'!$A$2:$A$977,0)),0)</f>
        <v/>
      </c>
      <c r="R533" s="28">
        <f>H533*I533</f>
        <v/>
      </c>
      <c r="S533" s="28">
        <f>H533*J533</f>
        <v/>
      </c>
      <c r="T533" s="28">
        <f>H533*K533</f>
        <v/>
      </c>
      <c r="U533" s="28">
        <f>H533*L533</f>
        <v/>
      </c>
      <c r="V533" s="28">
        <f>H533*M533</f>
        <v/>
      </c>
      <c r="W533" s="28">
        <f>H533*N533</f>
        <v/>
      </c>
      <c r="X533" s="28">
        <f>H533*O533</f>
        <v/>
      </c>
      <c r="Y533" s="28">
        <f>H533*P533</f>
        <v/>
      </c>
      <c r="Z533" s="28">
        <f>H533*Q533</f>
        <v/>
      </c>
      <c r="AA533" s="28">
        <f>SUM(U533:Z533)</f>
        <v/>
      </c>
      <c r="AB533" s="5">
        <f>IF(COUNTIF('02b_DC_Accelerator_Mix'!$A$2:$A$977,G533)&gt;0,"matched","missing_mix")</f>
        <v/>
      </c>
    </row>
    <row r="534">
      <c r="A534" s="5">
        <f>'02a_DC_Capacity_Alloc'!A534</f>
        <v/>
      </c>
      <c r="B534" s="5">
        <f>'02a_DC_Capacity_Alloc'!B534</f>
        <v/>
      </c>
      <c r="C534" s="5">
        <f>'02a_DC_Capacity_Alloc'!C534</f>
        <v/>
      </c>
      <c r="D534" s="5">
        <f>'02a_DC_Capacity_Alloc'!D534</f>
        <v/>
      </c>
      <c r="E534" s="5">
        <f>'02a_DC_Capacity_Alloc'!E534</f>
        <v/>
      </c>
      <c r="F534" s="5">
        <f>'02a_DC_Capacity_Alloc'!F534</f>
        <v/>
      </c>
      <c r="G534" s="5">
        <f>B534&amp;"|"&amp;E534&amp;"|"&amp;D534</f>
        <v/>
      </c>
      <c r="H534" s="28">
        <f>'02a_DC_Capacity_Alloc'!H534*'02a_DC_Capacity_Alloc'!I534*'02a_DC_Capacity_Alloc'!J534</f>
        <v/>
      </c>
      <c r="I534" s="6">
        <f>IFERROR(INDEX('02b_DC_Accelerator_Mix'!$F$2:$F$977,MATCH(G534,'02b_DC_Accelerator_Mix'!$A$2:$A$977,0)),0)</f>
        <v/>
      </c>
      <c r="J534" s="6">
        <f>IFERROR(INDEX('02b_DC_Accelerator_Mix'!$G$2:$G$977,MATCH(G534,'02b_DC_Accelerator_Mix'!$A$2:$A$977,0)),0)</f>
        <v/>
      </c>
      <c r="K534" s="6">
        <f>IFERROR(INDEX('02b_DC_Accelerator_Mix'!$H$2:$H$977,MATCH(G534,'02b_DC_Accelerator_Mix'!$A$2:$A$977,0)),0)</f>
        <v/>
      </c>
      <c r="L534" s="6">
        <f>IFERROR(INDEX('02b_DC_Accelerator_Mix'!$I$2:$I$977,MATCH(G534,'02b_DC_Accelerator_Mix'!$A$2:$A$977,0)),0)</f>
        <v/>
      </c>
      <c r="M534" s="6">
        <f>IFERROR(INDEX('02b_DC_Accelerator_Mix'!$J$2:$J$977,MATCH(G534,'02b_DC_Accelerator_Mix'!$A$2:$A$977,0)),0)</f>
        <v/>
      </c>
      <c r="N534" s="6">
        <f>IFERROR(INDEX('02b_DC_Accelerator_Mix'!$K$2:$K$977,MATCH(G534,'02b_DC_Accelerator_Mix'!$A$2:$A$977,0)),0)</f>
        <v/>
      </c>
      <c r="O534" s="6">
        <f>IFERROR(INDEX('02b_DC_Accelerator_Mix'!$L$2:$L$977,MATCH(G534,'02b_DC_Accelerator_Mix'!$A$2:$A$977,0)),0)</f>
        <v/>
      </c>
      <c r="P534" s="6">
        <f>IFERROR(INDEX('02b_DC_Accelerator_Mix'!$M$2:$M$977,MATCH(G534,'02b_DC_Accelerator_Mix'!$A$2:$A$977,0)),0)</f>
        <v/>
      </c>
      <c r="Q534" s="6">
        <f>IFERROR(INDEX('02b_DC_Accelerator_Mix'!$N$2:$N$977,MATCH(G534,'02b_DC_Accelerator_Mix'!$A$2:$A$977,0)),0)</f>
        <v/>
      </c>
      <c r="R534" s="28">
        <f>H534*I534</f>
        <v/>
      </c>
      <c r="S534" s="28">
        <f>H534*J534</f>
        <v/>
      </c>
      <c r="T534" s="28">
        <f>H534*K534</f>
        <v/>
      </c>
      <c r="U534" s="28">
        <f>H534*L534</f>
        <v/>
      </c>
      <c r="V534" s="28">
        <f>H534*M534</f>
        <v/>
      </c>
      <c r="W534" s="28">
        <f>H534*N534</f>
        <v/>
      </c>
      <c r="X534" s="28">
        <f>H534*O534</f>
        <v/>
      </c>
      <c r="Y534" s="28">
        <f>H534*P534</f>
        <v/>
      </c>
      <c r="Z534" s="28">
        <f>H534*Q534</f>
        <v/>
      </c>
      <c r="AA534" s="28">
        <f>SUM(U534:Z534)</f>
        <v/>
      </c>
      <c r="AB534" s="5">
        <f>IF(COUNTIF('02b_DC_Accelerator_Mix'!$A$2:$A$977,G534)&gt;0,"matched","missing_mix")</f>
        <v/>
      </c>
    </row>
    <row r="535">
      <c r="A535" s="5">
        <f>'02a_DC_Capacity_Alloc'!A535</f>
        <v/>
      </c>
      <c r="B535" s="5">
        <f>'02a_DC_Capacity_Alloc'!B535</f>
        <v/>
      </c>
      <c r="C535" s="5">
        <f>'02a_DC_Capacity_Alloc'!C535</f>
        <v/>
      </c>
      <c r="D535" s="5">
        <f>'02a_DC_Capacity_Alloc'!D535</f>
        <v/>
      </c>
      <c r="E535" s="5">
        <f>'02a_DC_Capacity_Alloc'!E535</f>
        <v/>
      </c>
      <c r="F535" s="5">
        <f>'02a_DC_Capacity_Alloc'!F535</f>
        <v/>
      </c>
      <c r="G535" s="5">
        <f>B535&amp;"|"&amp;E535&amp;"|"&amp;D535</f>
        <v/>
      </c>
      <c r="H535" s="28">
        <f>'02a_DC_Capacity_Alloc'!H535*'02a_DC_Capacity_Alloc'!I535*'02a_DC_Capacity_Alloc'!J535</f>
        <v/>
      </c>
      <c r="I535" s="6">
        <f>IFERROR(INDEX('02b_DC_Accelerator_Mix'!$F$2:$F$977,MATCH(G535,'02b_DC_Accelerator_Mix'!$A$2:$A$977,0)),0)</f>
        <v/>
      </c>
      <c r="J535" s="6">
        <f>IFERROR(INDEX('02b_DC_Accelerator_Mix'!$G$2:$G$977,MATCH(G535,'02b_DC_Accelerator_Mix'!$A$2:$A$977,0)),0)</f>
        <v/>
      </c>
      <c r="K535" s="6">
        <f>IFERROR(INDEX('02b_DC_Accelerator_Mix'!$H$2:$H$977,MATCH(G535,'02b_DC_Accelerator_Mix'!$A$2:$A$977,0)),0)</f>
        <v/>
      </c>
      <c r="L535" s="6">
        <f>IFERROR(INDEX('02b_DC_Accelerator_Mix'!$I$2:$I$977,MATCH(G535,'02b_DC_Accelerator_Mix'!$A$2:$A$977,0)),0)</f>
        <v/>
      </c>
      <c r="M535" s="6">
        <f>IFERROR(INDEX('02b_DC_Accelerator_Mix'!$J$2:$J$977,MATCH(G535,'02b_DC_Accelerator_Mix'!$A$2:$A$977,0)),0)</f>
        <v/>
      </c>
      <c r="N535" s="6">
        <f>IFERROR(INDEX('02b_DC_Accelerator_Mix'!$K$2:$K$977,MATCH(G535,'02b_DC_Accelerator_Mix'!$A$2:$A$977,0)),0)</f>
        <v/>
      </c>
      <c r="O535" s="6">
        <f>IFERROR(INDEX('02b_DC_Accelerator_Mix'!$L$2:$L$977,MATCH(G535,'02b_DC_Accelerator_Mix'!$A$2:$A$977,0)),0)</f>
        <v/>
      </c>
      <c r="P535" s="6">
        <f>IFERROR(INDEX('02b_DC_Accelerator_Mix'!$M$2:$M$977,MATCH(G535,'02b_DC_Accelerator_Mix'!$A$2:$A$977,0)),0)</f>
        <v/>
      </c>
      <c r="Q535" s="6">
        <f>IFERROR(INDEX('02b_DC_Accelerator_Mix'!$N$2:$N$977,MATCH(G535,'02b_DC_Accelerator_Mix'!$A$2:$A$977,0)),0)</f>
        <v/>
      </c>
      <c r="R535" s="28">
        <f>H535*I535</f>
        <v/>
      </c>
      <c r="S535" s="28">
        <f>H535*J535</f>
        <v/>
      </c>
      <c r="T535" s="28">
        <f>H535*K535</f>
        <v/>
      </c>
      <c r="U535" s="28">
        <f>H535*L535</f>
        <v/>
      </c>
      <c r="V535" s="28">
        <f>H535*M535</f>
        <v/>
      </c>
      <c r="W535" s="28">
        <f>H535*N535</f>
        <v/>
      </c>
      <c r="X535" s="28">
        <f>H535*O535</f>
        <v/>
      </c>
      <c r="Y535" s="28">
        <f>H535*P535</f>
        <v/>
      </c>
      <c r="Z535" s="28">
        <f>H535*Q535</f>
        <v/>
      </c>
      <c r="AA535" s="28">
        <f>SUM(U535:Z535)</f>
        <v/>
      </c>
      <c r="AB535" s="5">
        <f>IF(COUNTIF('02b_DC_Accelerator_Mix'!$A$2:$A$977,G535)&gt;0,"matched","missing_mix")</f>
        <v/>
      </c>
    </row>
    <row r="536">
      <c r="A536" s="5">
        <f>'02a_DC_Capacity_Alloc'!A536</f>
        <v/>
      </c>
      <c r="B536" s="5">
        <f>'02a_DC_Capacity_Alloc'!B536</f>
        <v/>
      </c>
      <c r="C536" s="5">
        <f>'02a_DC_Capacity_Alloc'!C536</f>
        <v/>
      </c>
      <c r="D536" s="5">
        <f>'02a_DC_Capacity_Alloc'!D536</f>
        <v/>
      </c>
      <c r="E536" s="5">
        <f>'02a_DC_Capacity_Alloc'!E536</f>
        <v/>
      </c>
      <c r="F536" s="5">
        <f>'02a_DC_Capacity_Alloc'!F536</f>
        <v/>
      </c>
      <c r="G536" s="5">
        <f>B536&amp;"|"&amp;E536&amp;"|"&amp;D536</f>
        <v/>
      </c>
      <c r="H536" s="28">
        <f>'02a_DC_Capacity_Alloc'!H536*'02a_DC_Capacity_Alloc'!I536*'02a_DC_Capacity_Alloc'!J536</f>
        <v/>
      </c>
      <c r="I536" s="6">
        <f>IFERROR(INDEX('02b_DC_Accelerator_Mix'!$F$2:$F$977,MATCH(G536,'02b_DC_Accelerator_Mix'!$A$2:$A$977,0)),0)</f>
        <v/>
      </c>
      <c r="J536" s="6">
        <f>IFERROR(INDEX('02b_DC_Accelerator_Mix'!$G$2:$G$977,MATCH(G536,'02b_DC_Accelerator_Mix'!$A$2:$A$977,0)),0)</f>
        <v/>
      </c>
      <c r="K536" s="6">
        <f>IFERROR(INDEX('02b_DC_Accelerator_Mix'!$H$2:$H$977,MATCH(G536,'02b_DC_Accelerator_Mix'!$A$2:$A$977,0)),0)</f>
        <v/>
      </c>
      <c r="L536" s="6">
        <f>IFERROR(INDEX('02b_DC_Accelerator_Mix'!$I$2:$I$977,MATCH(G536,'02b_DC_Accelerator_Mix'!$A$2:$A$977,0)),0)</f>
        <v/>
      </c>
      <c r="M536" s="6">
        <f>IFERROR(INDEX('02b_DC_Accelerator_Mix'!$J$2:$J$977,MATCH(G536,'02b_DC_Accelerator_Mix'!$A$2:$A$977,0)),0)</f>
        <v/>
      </c>
      <c r="N536" s="6">
        <f>IFERROR(INDEX('02b_DC_Accelerator_Mix'!$K$2:$K$977,MATCH(G536,'02b_DC_Accelerator_Mix'!$A$2:$A$977,0)),0)</f>
        <v/>
      </c>
      <c r="O536" s="6">
        <f>IFERROR(INDEX('02b_DC_Accelerator_Mix'!$L$2:$L$977,MATCH(G536,'02b_DC_Accelerator_Mix'!$A$2:$A$977,0)),0)</f>
        <v/>
      </c>
      <c r="P536" s="6">
        <f>IFERROR(INDEX('02b_DC_Accelerator_Mix'!$M$2:$M$977,MATCH(G536,'02b_DC_Accelerator_Mix'!$A$2:$A$977,0)),0)</f>
        <v/>
      </c>
      <c r="Q536" s="6">
        <f>IFERROR(INDEX('02b_DC_Accelerator_Mix'!$N$2:$N$977,MATCH(G536,'02b_DC_Accelerator_Mix'!$A$2:$A$977,0)),0)</f>
        <v/>
      </c>
      <c r="R536" s="28">
        <f>H536*I536</f>
        <v/>
      </c>
      <c r="S536" s="28">
        <f>H536*J536</f>
        <v/>
      </c>
      <c r="T536" s="28">
        <f>H536*K536</f>
        <v/>
      </c>
      <c r="U536" s="28">
        <f>H536*L536</f>
        <v/>
      </c>
      <c r="V536" s="28">
        <f>H536*M536</f>
        <v/>
      </c>
      <c r="W536" s="28">
        <f>H536*N536</f>
        <v/>
      </c>
      <c r="X536" s="28">
        <f>H536*O536</f>
        <v/>
      </c>
      <c r="Y536" s="28">
        <f>H536*P536</f>
        <v/>
      </c>
      <c r="Z536" s="28">
        <f>H536*Q536</f>
        <v/>
      </c>
      <c r="AA536" s="28">
        <f>SUM(U536:Z536)</f>
        <v/>
      </c>
      <c r="AB536" s="5">
        <f>IF(COUNTIF('02b_DC_Accelerator_Mix'!$A$2:$A$977,G536)&gt;0,"matched","missing_mix")</f>
        <v/>
      </c>
    </row>
    <row r="537">
      <c r="A537" s="5">
        <f>'02a_DC_Capacity_Alloc'!A537</f>
        <v/>
      </c>
      <c r="B537" s="5">
        <f>'02a_DC_Capacity_Alloc'!B537</f>
        <v/>
      </c>
      <c r="C537" s="5">
        <f>'02a_DC_Capacity_Alloc'!C537</f>
        <v/>
      </c>
      <c r="D537" s="5">
        <f>'02a_DC_Capacity_Alloc'!D537</f>
        <v/>
      </c>
      <c r="E537" s="5">
        <f>'02a_DC_Capacity_Alloc'!E537</f>
        <v/>
      </c>
      <c r="F537" s="5">
        <f>'02a_DC_Capacity_Alloc'!F537</f>
        <v/>
      </c>
      <c r="G537" s="5">
        <f>B537&amp;"|"&amp;E537&amp;"|"&amp;D537</f>
        <v/>
      </c>
      <c r="H537" s="28">
        <f>'02a_DC_Capacity_Alloc'!H537*'02a_DC_Capacity_Alloc'!I537*'02a_DC_Capacity_Alloc'!J537</f>
        <v/>
      </c>
      <c r="I537" s="6">
        <f>IFERROR(INDEX('02b_DC_Accelerator_Mix'!$F$2:$F$977,MATCH(G537,'02b_DC_Accelerator_Mix'!$A$2:$A$977,0)),0)</f>
        <v/>
      </c>
      <c r="J537" s="6">
        <f>IFERROR(INDEX('02b_DC_Accelerator_Mix'!$G$2:$G$977,MATCH(G537,'02b_DC_Accelerator_Mix'!$A$2:$A$977,0)),0)</f>
        <v/>
      </c>
      <c r="K537" s="6">
        <f>IFERROR(INDEX('02b_DC_Accelerator_Mix'!$H$2:$H$977,MATCH(G537,'02b_DC_Accelerator_Mix'!$A$2:$A$977,0)),0)</f>
        <v/>
      </c>
      <c r="L537" s="6">
        <f>IFERROR(INDEX('02b_DC_Accelerator_Mix'!$I$2:$I$977,MATCH(G537,'02b_DC_Accelerator_Mix'!$A$2:$A$977,0)),0)</f>
        <v/>
      </c>
      <c r="M537" s="6">
        <f>IFERROR(INDEX('02b_DC_Accelerator_Mix'!$J$2:$J$977,MATCH(G537,'02b_DC_Accelerator_Mix'!$A$2:$A$977,0)),0)</f>
        <v/>
      </c>
      <c r="N537" s="6">
        <f>IFERROR(INDEX('02b_DC_Accelerator_Mix'!$K$2:$K$977,MATCH(G537,'02b_DC_Accelerator_Mix'!$A$2:$A$977,0)),0)</f>
        <v/>
      </c>
      <c r="O537" s="6">
        <f>IFERROR(INDEX('02b_DC_Accelerator_Mix'!$L$2:$L$977,MATCH(G537,'02b_DC_Accelerator_Mix'!$A$2:$A$977,0)),0)</f>
        <v/>
      </c>
      <c r="P537" s="6">
        <f>IFERROR(INDEX('02b_DC_Accelerator_Mix'!$M$2:$M$977,MATCH(G537,'02b_DC_Accelerator_Mix'!$A$2:$A$977,0)),0)</f>
        <v/>
      </c>
      <c r="Q537" s="6">
        <f>IFERROR(INDEX('02b_DC_Accelerator_Mix'!$N$2:$N$977,MATCH(G537,'02b_DC_Accelerator_Mix'!$A$2:$A$977,0)),0)</f>
        <v/>
      </c>
      <c r="R537" s="28">
        <f>H537*I537</f>
        <v/>
      </c>
      <c r="S537" s="28">
        <f>H537*J537</f>
        <v/>
      </c>
      <c r="T537" s="28">
        <f>H537*K537</f>
        <v/>
      </c>
      <c r="U537" s="28">
        <f>H537*L537</f>
        <v/>
      </c>
      <c r="V537" s="28">
        <f>H537*M537</f>
        <v/>
      </c>
      <c r="W537" s="28">
        <f>H537*N537</f>
        <v/>
      </c>
      <c r="X537" s="28">
        <f>H537*O537</f>
        <v/>
      </c>
      <c r="Y537" s="28">
        <f>H537*P537</f>
        <v/>
      </c>
      <c r="Z537" s="28">
        <f>H537*Q537</f>
        <v/>
      </c>
      <c r="AA537" s="28">
        <f>SUM(U537:Z537)</f>
        <v/>
      </c>
      <c r="AB537" s="5">
        <f>IF(COUNTIF('02b_DC_Accelerator_Mix'!$A$2:$A$977,G537)&gt;0,"matched","missing_mix")</f>
        <v/>
      </c>
    </row>
    <row r="538">
      <c r="A538" s="5">
        <f>'02a_DC_Capacity_Alloc'!A538</f>
        <v/>
      </c>
      <c r="B538" s="5">
        <f>'02a_DC_Capacity_Alloc'!B538</f>
        <v/>
      </c>
      <c r="C538" s="5">
        <f>'02a_DC_Capacity_Alloc'!C538</f>
        <v/>
      </c>
      <c r="D538" s="5">
        <f>'02a_DC_Capacity_Alloc'!D538</f>
        <v/>
      </c>
      <c r="E538" s="5">
        <f>'02a_DC_Capacity_Alloc'!E538</f>
        <v/>
      </c>
      <c r="F538" s="5">
        <f>'02a_DC_Capacity_Alloc'!F538</f>
        <v/>
      </c>
      <c r="G538" s="5">
        <f>B538&amp;"|"&amp;E538&amp;"|"&amp;D538</f>
        <v/>
      </c>
      <c r="H538" s="28">
        <f>'02a_DC_Capacity_Alloc'!H538*'02a_DC_Capacity_Alloc'!I538*'02a_DC_Capacity_Alloc'!J538</f>
        <v/>
      </c>
      <c r="I538" s="6">
        <f>IFERROR(INDEX('02b_DC_Accelerator_Mix'!$F$2:$F$977,MATCH(G538,'02b_DC_Accelerator_Mix'!$A$2:$A$977,0)),0)</f>
        <v/>
      </c>
      <c r="J538" s="6">
        <f>IFERROR(INDEX('02b_DC_Accelerator_Mix'!$G$2:$G$977,MATCH(G538,'02b_DC_Accelerator_Mix'!$A$2:$A$977,0)),0)</f>
        <v/>
      </c>
      <c r="K538" s="6">
        <f>IFERROR(INDEX('02b_DC_Accelerator_Mix'!$H$2:$H$977,MATCH(G538,'02b_DC_Accelerator_Mix'!$A$2:$A$977,0)),0)</f>
        <v/>
      </c>
      <c r="L538" s="6">
        <f>IFERROR(INDEX('02b_DC_Accelerator_Mix'!$I$2:$I$977,MATCH(G538,'02b_DC_Accelerator_Mix'!$A$2:$A$977,0)),0)</f>
        <v/>
      </c>
      <c r="M538" s="6">
        <f>IFERROR(INDEX('02b_DC_Accelerator_Mix'!$J$2:$J$977,MATCH(G538,'02b_DC_Accelerator_Mix'!$A$2:$A$977,0)),0)</f>
        <v/>
      </c>
      <c r="N538" s="6">
        <f>IFERROR(INDEX('02b_DC_Accelerator_Mix'!$K$2:$K$977,MATCH(G538,'02b_DC_Accelerator_Mix'!$A$2:$A$977,0)),0)</f>
        <v/>
      </c>
      <c r="O538" s="6">
        <f>IFERROR(INDEX('02b_DC_Accelerator_Mix'!$L$2:$L$977,MATCH(G538,'02b_DC_Accelerator_Mix'!$A$2:$A$977,0)),0)</f>
        <v/>
      </c>
      <c r="P538" s="6">
        <f>IFERROR(INDEX('02b_DC_Accelerator_Mix'!$M$2:$M$977,MATCH(G538,'02b_DC_Accelerator_Mix'!$A$2:$A$977,0)),0)</f>
        <v/>
      </c>
      <c r="Q538" s="6">
        <f>IFERROR(INDEX('02b_DC_Accelerator_Mix'!$N$2:$N$977,MATCH(G538,'02b_DC_Accelerator_Mix'!$A$2:$A$977,0)),0)</f>
        <v/>
      </c>
      <c r="R538" s="28">
        <f>H538*I538</f>
        <v/>
      </c>
      <c r="S538" s="28">
        <f>H538*J538</f>
        <v/>
      </c>
      <c r="T538" s="28">
        <f>H538*K538</f>
        <v/>
      </c>
      <c r="U538" s="28">
        <f>H538*L538</f>
        <v/>
      </c>
      <c r="V538" s="28">
        <f>H538*M538</f>
        <v/>
      </c>
      <c r="W538" s="28">
        <f>H538*N538</f>
        <v/>
      </c>
      <c r="X538" s="28">
        <f>H538*O538</f>
        <v/>
      </c>
      <c r="Y538" s="28">
        <f>H538*P538</f>
        <v/>
      </c>
      <c r="Z538" s="28">
        <f>H538*Q538</f>
        <v/>
      </c>
      <c r="AA538" s="28">
        <f>SUM(U538:Z538)</f>
        <v/>
      </c>
      <c r="AB538" s="5">
        <f>IF(COUNTIF('02b_DC_Accelerator_Mix'!$A$2:$A$977,G538)&gt;0,"matched","missing_mix")</f>
        <v/>
      </c>
    </row>
    <row r="539">
      <c r="A539" s="5">
        <f>'02a_DC_Capacity_Alloc'!A539</f>
        <v/>
      </c>
      <c r="B539" s="5">
        <f>'02a_DC_Capacity_Alloc'!B539</f>
        <v/>
      </c>
      <c r="C539" s="5">
        <f>'02a_DC_Capacity_Alloc'!C539</f>
        <v/>
      </c>
      <c r="D539" s="5">
        <f>'02a_DC_Capacity_Alloc'!D539</f>
        <v/>
      </c>
      <c r="E539" s="5">
        <f>'02a_DC_Capacity_Alloc'!E539</f>
        <v/>
      </c>
      <c r="F539" s="5">
        <f>'02a_DC_Capacity_Alloc'!F539</f>
        <v/>
      </c>
      <c r="G539" s="5">
        <f>B539&amp;"|"&amp;E539&amp;"|"&amp;D539</f>
        <v/>
      </c>
      <c r="H539" s="28">
        <f>'02a_DC_Capacity_Alloc'!H539*'02a_DC_Capacity_Alloc'!I539*'02a_DC_Capacity_Alloc'!J539</f>
        <v/>
      </c>
      <c r="I539" s="6">
        <f>IFERROR(INDEX('02b_DC_Accelerator_Mix'!$F$2:$F$977,MATCH(G539,'02b_DC_Accelerator_Mix'!$A$2:$A$977,0)),0)</f>
        <v/>
      </c>
      <c r="J539" s="6">
        <f>IFERROR(INDEX('02b_DC_Accelerator_Mix'!$G$2:$G$977,MATCH(G539,'02b_DC_Accelerator_Mix'!$A$2:$A$977,0)),0)</f>
        <v/>
      </c>
      <c r="K539" s="6">
        <f>IFERROR(INDEX('02b_DC_Accelerator_Mix'!$H$2:$H$977,MATCH(G539,'02b_DC_Accelerator_Mix'!$A$2:$A$977,0)),0)</f>
        <v/>
      </c>
      <c r="L539" s="6">
        <f>IFERROR(INDEX('02b_DC_Accelerator_Mix'!$I$2:$I$977,MATCH(G539,'02b_DC_Accelerator_Mix'!$A$2:$A$977,0)),0)</f>
        <v/>
      </c>
      <c r="M539" s="6">
        <f>IFERROR(INDEX('02b_DC_Accelerator_Mix'!$J$2:$J$977,MATCH(G539,'02b_DC_Accelerator_Mix'!$A$2:$A$977,0)),0)</f>
        <v/>
      </c>
      <c r="N539" s="6">
        <f>IFERROR(INDEX('02b_DC_Accelerator_Mix'!$K$2:$K$977,MATCH(G539,'02b_DC_Accelerator_Mix'!$A$2:$A$977,0)),0)</f>
        <v/>
      </c>
      <c r="O539" s="6">
        <f>IFERROR(INDEX('02b_DC_Accelerator_Mix'!$L$2:$L$977,MATCH(G539,'02b_DC_Accelerator_Mix'!$A$2:$A$977,0)),0)</f>
        <v/>
      </c>
      <c r="P539" s="6">
        <f>IFERROR(INDEX('02b_DC_Accelerator_Mix'!$M$2:$M$977,MATCH(G539,'02b_DC_Accelerator_Mix'!$A$2:$A$977,0)),0)</f>
        <v/>
      </c>
      <c r="Q539" s="6">
        <f>IFERROR(INDEX('02b_DC_Accelerator_Mix'!$N$2:$N$977,MATCH(G539,'02b_DC_Accelerator_Mix'!$A$2:$A$977,0)),0)</f>
        <v/>
      </c>
      <c r="R539" s="28">
        <f>H539*I539</f>
        <v/>
      </c>
      <c r="S539" s="28">
        <f>H539*J539</f>
        <v/>
      </c>
      <c r="T539" s="28">
        <f>H539*K539</f>
        <v/>
      </c>
      <c r="U539" s="28">
        <f>H539*L539</f>
        <v/>
      </c>
      <c r="V539" s="28">
        <f>H539*M539</f>
        <v/>
      </c>
      <c r="W539" s="28">
        <f>H539*N539</f>
        <v/>
      </c>
      <c r="X539" s="28">
        <f>H539*O539</f>
        <v/>
      </c>
      <c r="Y539" s="28">
        <f>H539*P539</f>
        <v/>
      </c>
      <c r="Z539" s="28">
        <f>H539*Q539</f>
        <v/>
      </c>
      <c r="AA539" s="28">
        <f>SUM(U539:Z539)</f>
        <v/>
      </c>
      <c r="AB539" s="5">
        <f>IF(COUNTIF('02b_DC_Accelerator_Mix'!$A$2:$A$977,G539)&gt;0,"matched","missing_mix")</f>
        <v/>
      </c>
    </row>
    <row r="540">
      <c r="A540" s="5">
        <f>'02a_DC_Capacity_Alloc'!A540</f>
        <v/>
      </c>
      <c r="B540" s="5">
        <f>'02a_DC_Capacity_Alloc'!B540</f>
        <v/>
      </c>
      <c r="C540" s="5">
        <f>'02a_DC_Capacity_Alloc'!C540</f>
        <v/>
      </c>
      <c r="D540" s="5">
        <f>'02a_DC_Capacity_Alloc'!D540</f>
        <v/>
      </c>
      <c r="E540" s="5">
        <f>'02a_DC_Capacity_Alloc'!E540</f>
        <v/>
      </c>
      <c r="F540" s="5">
        <f>'02a_DC_Capacity_Alloc'!F540</f>
        <v/>
      </c>
      <c r="G540" s="5">
        <f>B540&amp;"|"&amp;E540&amp;"|"&amp;D540</f>
        <v/>
      </c>
      <c r="H540" s="28">
        <f>'02a_DC_Capacity_Alloc'!H540*'02a_DC_Capacity_Alloc'!I540*'02a_DC_Capacity_Alloc'!J540</f>
        <v/>
      </c>
      <c r="I540" s="6">
        <f>IFERROR(INDEX('02b_DC_Accelerator_Mix'!$F$2:$F$977,MATCH(G540,'02b_DC_Accelerator_Mix'!$A$2:$A$977,0)),0)</f>
        <v/>
      </c>
      <c r="J540" s="6">
        <f>IFERROR(INDEX('02b_DC_Accelerator_Mix'!$G$2:$G$977,MATCH(G540,'02b_DC_Accelerator_Mix'!$A$2:$A$977,0)),0)</f>
        <v/>
      </c>
      <c r="K540" s="6">
        <f>IFERROR(INDEX('02b_DC_Accelerator_Mix'!$H$2:$H$977,MATCH(G540,'02b_DC_Accelerator_Mix'!$A$2:$A$977,0)),0)</f>
        <v/>
      </c>
      <c r="L540" s="6">
        <f>IFERROR(INDEX('02b_DC_Accelerator_Mix'!$I$2:$I$977,MATCH(G540,'02b_DC_Accelerator_Mix'!$A$2:$A$977,0)),0)</f>
        <v/>
      </c>
      <c r="M540" s="6">
        <f>IFERROR(INDEX('02b_DC_Accelerator_Mix'!$J$2:$J$977,MATCH(G540,'02b_DC_Accelerator_Mix'!$A$2:$A$977,0)),0)</f>
        <v/>
      </c>
      <c r="N540" s="6">
        <f>IFERROR(INDEX('02b_DC_Accelerator_Mix'!$K$2:$K$977,MATCH(G540,'02b_DC_Accelerator_Mix'!$A$2:$A$977,0)),0)</f>
        <v/>
      </c>
      <c r="O540" s="6">
        <f>IFERROR(INDEX('02b_DC_Accelerator_Mix'!$L$2:$L$977,MATCH(G540,'02b_DC_Accelerator_Mix'!$A$2:$A$977,0)),0)</f>
        <v/>
      </c>
      <c r="P540" s="6">
        <f>IFERROR(INDEX('02b_DC_Accelerator_Mix'!$M$2:$M$977,MATCH(G540,'02b_DC_Accelerator_Mix'!$A$2:$A$977,0)),0)</f>
        <v/>
      </c>
      <c r="Q540" s="6">
        <f>IFERROR(INDEX('02b_DC_Accelerator_Mix'!$N$2:$N$977,MATCH(G540,'02b_DC_Accelerator_Mix'!$A$2:$A$977,0)),0)</f>
        <v/>
      </c>
      <c r="R540" s="28">
        <f>H540*I540</f>
        <v/>
      </c>
      <c r="S540" s="28">
        <f>H540*J540</f>
        <v/>
      </c>
      <c r="T540" s="28">
        <f>H540*K540</f>
        <v/>
      </c>
      <c r="U540" s="28">
        <f>H540*L540</f>
        <v/>
      </c>
      <c r="V540" s="28">
        <f>H540*M540</f>
        <v/>
      </c>
      <c r="W540" s="28">
        <f>H540*N540</f>
        <v/>
      </c>
      <c r="X540" s="28">
        <f>H540*O540</f>
        <v/>
      </c>
      <c r="Y540" s="28">
        <f>H540*P540</f>
        <v/>
      </c>
      <c r="Z540" s="28">
        <f>H540*Q540</f>
        <v/>
      </c>
      <c r="AA540" s="28">
        <f>SUM(U540:Z540)</f>
        <v/>
      </c>
      <c r="AB540" s="5">
        <f>IF(COUNTIF('02b_DC_Accelerator_Mix'!$A$2:$A$977,G540)&gt;0,"matched","missing_mix")</f>
        <v/>
      </c>
    </row>
    <row r="541">
      <c r="A541" s="5">
        <f>'02a_DC_Capacity_Alloc'!A541</f>
        <v/>
      </c>
      <c r="B541" s="5">
        <f>'02a_DC_Capacity_Alloc'!B541</f>
        <v/>
      </c>
      <c r="C541" s="5">
        <f>'02a_DC_Capacity_Alloc'!C541</f>
        <v/>
      </c>
      <c r="D541" s="5">
        <f>'02a_DC_Capacity_Alloc'!D541</f>
        <v/>
      </c>
      <c r="E541" s="5">
        <f>'02a_DC_Capacity_Alloc'!E541</f>
        <v/>
      </c>
      <c r="F541" s="5">
        <f>'02a_DC_Capacity_Alloc'!F541</f>
        <v/>
      </c>
      <c r="G541" s="5">
        <f>B541&amp;"|"&amp;E541&amp;"|"&amp;D541</f>
        <v/>
      </c>
      <c r="H541" s="28">
        <f>'02a_DC_Capacity_Alloc'!H541*'02a_DC_Capacity_Alloc'!I541*'02a_DC_Capacity_Alloc'!J541</f>
        <v/>
      </c>
      <c r="I541" s="6">
        <f>IFERROR(INDEX('02b_DC_Accelerator_Mix'!$F$2:$F$977,MATCH(G541,'02b_DC_Accelerator_Mix'!$A$2:$A$977,0)),0)</f>
        <v/>
      </c>
      <c r="J541" s="6">
        <f>IFERROR(INDEX('02b_DC_Accelerator_Mix'!$G$2:$G$977,MATCH(G541,'02b_DC_Accelerator_Mix'!$A$2:$A$977,0)),0)</f>
        <v/>
      </c>
      <c r="K541" s="6">
        <f>IFERROR(INDEX('02b_DC_Accelerator_Mix'!$H$2:$H$977,MATCH(G541,'02b_DC_Accelerator_Mix'!$A$2:$A$977,0)),0)</f>
        <v/>
      </c>
      <c r="L541" s="6">
        <f>IFERROR(INDEX('02b_DC_Accelerator_Mix'!$I$2:$I$977,MATCH(G541,'02b_DC_Accelerator_Mix'!$A$2:$A$977,0)),0)</f>
        <v/>
      </c>
      <c r="M541" s="6">
        <f>IFERROR(INDEX('02b_DC_Accelerator_Mix'!$J$2:$J$977,MATCH(G541,'02b_DC_Accelerator_Mix'!$A$2:$A$977,0)),0)</f>
        <v/>
      </c>
      <c r="N541" s="6">
        <f>IFERROR(INDEX('02b_DC_Accelerator_Mix'!$K$2:$K$977,MATCH(G541,'02b_DC_Accelerator_Mix'!$A$2:$A$977,0)),0)</f>
        <v/>
      </c>
      <c r="O541" s="6">
        <f>IFERROR(INDEX('02b_DC_Accelerator_Mix'!$L$2:$L$977,MATCH(G541,'02b_DC_Accelerator_Mix'!$A$2:$A$977,0)),0)</f>
        <v/>
      </c>
      <c r="P541" s="6">
        <f>IFERROR(INDEX('02b_DC_Accelerator_Mix'!$M$2:$M$977,MATCH(G541,'02b_DC_Accelerator_Mix'!$A$2:$A$977,0)),0)</f>
        <v/>
      </c>
      <c r="Q541" s="6">
        <f>IFERROR(INDEX('02b_DC_Accelerator_Mix'!$N$2:$N$977,MATCH(G541,'02b_DC_Accelerator_Mix'!$A$2:$A$977,0)),0)</f>
        <v/>
      </c>
      <c r="R541" s="28">
        <f>H541*I541</f>
        <v/>
      </c>
      <c r="S541" s="28">
        <f>H541*J541</f>
        <v/>
      </c>
      <c r="T541" s="28">
        <f>H541*K541</f>
        <v/>
      </c>
      <c r="U541" s="28">
        <f>H541*L541</f>
        <v/>
      </c>
      <c r="V541" s="28">
        <f>H541*M541</f>
        <v/>
      </c>
      <c r="W541" s="28">
        <f>H541*N541</f>
        <v/>
      </c>
      <c r="X541" s="28">
        <f>H541*O541</f>
        <v/>
      </c>
      <c r="Y541" s="28">
        <f>H541*P541</f>
        <v/>
      </c>
      <c r="Z541" s="28">
        <f>H541*Q541</f>
        <v/>
      </c>
      <c r="AA541" s="28">
        <f>SUM(U541:Z541)</f>
        <v/>
      </c>
      <c r="AB541" s="5">
        <f>IF(COUNTIF('02b_DC_Accelerator_Mix'!$A$2:$A$977,G541)&gt;0,"matched","missing_mix")</f>
        <v/>
      </c>
    </row>
    <row r="542">
      <c r="A542" s="5">
        <f>'02a_DC_Capacity_Alloc'!A542</f>
        <v/>
      </c>
      <c r="B542" s="5">
        <f>'02a_DC_Capacity_Alloc'!B542</f>
        <v/>
      </c>
      <c r="C542" s="5">
        <f>'02a_DC_Capacity_Alloc'!C542</f>
        <v/>
      </c>
      <c r="D542" s="5">
        <f>'02a_DC_Capacity_Alloc'!D542</f>
        <v/>
      </c>
      <c r="E542" s="5">
        <f>'02a_DC_Capacity_Alloc'!E542</f>
        <v/>
      </c>
      <c r="F542" s="5">
        <f>'02a_DC_Capacity_Alloc'!F542</f>
        <v/>
      </c>
      <c r="G542" s="5">
        <f>B542&amp;"|"&amp;E542&amp;"|"&amp;D542</f>
        <v/>
      </c>
      <c r="H542" s="28">
        <f>'02a_DC_Capacity_Alloc'!H542*'02a_DC_Capacity_Alloc'!I542*'02a_DC_Capacity_Alloc'!J542</f>
        <v/>
      </c>
      <c r="I542" s="6">
        <f>IFERROR(INDEX('02b_DC_Accelerator_Mix'!$F$2:$F$977,MATCH(G542,'02b_DC_Accelerator_Mix'!$A$2:$A$977,0)),0)</f>
        <v/>
      </c>
      <c r="J542" s="6">
        <f>IFERROR(INDEX('02b_DC_Accelerator_Mix'!$G$2:$G$977,MATCH(G542,'02b_DC_Accelerator_Mix'!$A$2:$A$977,0)),0)</f>
        <v/>
      </c>
      <c r="K542" s="6">
        <f>IFERROR(INDEX('02b_DC_Accelerator_Mix'!$H$2:$H$977,MATCH(G542,'02b_DC_Accelerator_Mix'!$A$2:$A$977,0)),0)</f>
        <v/>
      </c>
      <c r="L542" s="6">
        <f>IFERROR(INDEX('02b_DC_Accelerator_Mix'!$I$2:$I$977,MATCH(G542,'02b_DC_Accelerator_Mix'!$A$2:$A$977,0)),0)</f>
        <v/>
      </c>
      <c r="M542" s="6">
        <f>IFERROR(INDEX('02b_DC_Accelerator_Mix'!$J$2:$J$977,MATCH(G542,'02b_DC_Accelerator_Mix'!$A$2:$A$977,0)),0)</f>
        <v/>
      </c>
      <c r="N542" s="6">
        <f>IFERROR(INDEX('02b_DC_Accelerator_Mix'!$K$2:$K$977,MATCH(G542,'02b_DC_Accelerator_Mix'!$A$2:$A$977,0)),0)</f>
        <v/>
      </c>
      <c r="O542" s="6">
        <f>IFERROR(INDEX('02b_DC_Accelerator_Mix'!$L$2:$L$977,MATCH(G542,'02b_DC_Accelerator_Mix'!$A$2:$A$977,0)),0)</f>
        <v/>
      </c>
      <c r="P542" s="6">
        <f>IFERROR(INDEX('02b_DC_Accelerator_Mix'!$M$2:$M$977,MATCH(G542,'02b_DC_Accelerator_Mix'!$A$2:$A$977,0)),0)</f>
        <v/>
      </c>
      <c r="Q542" s="6">
        <f>IFERROR(INDEX('02b_DC_Accelerator_Mix'!$N$2:$N$977,MATCH(G542,'02b_DC_Accelerator_Mix'!$A$2:$A$977,0)),0)</f>
        <v/>
      </c>
      <c r="R542" s="28">
        <f>H542*I542</f>
        <v/>
      </c>
      <c r="S542" s="28">
        <f>H542*J542</f>
        <v/>
      </c>
      <c r="T542" s="28">
        <f>H542*K542</f>
        <v/>
      </c>
      <c r="U542" s="28">
        <f>H542*L542</f>
        <v/>
      </c>
      <c r="V542" s="28">
        <f>H542*M542</f>
        <v/>
      </c>
      <c r="W542" s="28">
        <f>H542*N542</f>
        <v/>
      </c>
      <c r="X542" s="28">
        <f>H542*O542</f>
        <v/>
      </c>
      <c r="Y542" s="28">
        <f>H542*P542</f>
        <v/>
      </c>
      <c r="Z542" s="28">
        <f>H542*Q542</f>
        <v/>
      </c>
      <c r="AA542" s="28">
        <f>SUM(U542:Z542)</f>
        <v/>
      </c>
      <c r="AB542" s="5">
        <f>IF(COUNTIF('02b_DC_Accelerator_Mix'!$A$2:$A$977,G542)&gt;0,"matched","missing_mix")</f>
        <v/>
      </c>
    </row>
    <row r="543">
      <c r="A543" s="5">
        <f>'02a_DC_Capacity_Alloc'!A543</f>
        <v/>
      </c>
      <c r="B543" s="5">
        <f>'02a_DC_Capacity_Alloc'!B543</f>
        <v/>
      </c>
      <c r="C543" s="5">
        <f>'02a_DC_Capacity_Alloc'!C543</f>
        <v/>
      </c>
      <c r="D543" s="5">
        <f>'02a_DC_Capacity_Alloc'!D543</f>
        <v/>
      </c>
      <c r="E543" s="5">
        <f>'02a_DC_Capacity_Alloc'!E543</f>
        <v/>
      </c>
      <c r="F543" s="5">
        <f>'02a_DC_Capacity_Alloc'!F543</f>
        <v/>
      </c>
      <c r="G543" s="5">
        <f>B543&amp;"|"&amp;E543&amp;"|"&amp;D543</f>
        <v/>
      </c>
      <c r="H543" s="28">
        <f>'02a_DC_Capacity_Alloc'!H543*'02a_DC_Capacity_Alloc'!I543*'02a_DC_Capacity_Alloc'!J543</f>
        <v/>
      </c>
      <c r="I543" s="6">
        <f>IFERROR(INDEX('02b_DC_Accelerator_Mix'!$F$2:$F$977,MATCH(G543,'02b_DC_Accelerator_Mix'!$A$2:$A$977,0)),0)</f>
        <v/>
      </c>
      <c r="J543" s="6">
        <f>IFERROR(INDEX('02b_DC_Accelerator_Mix'!$G$2:$G$977,MATCH(G543,'02b_DC_Accelerator_Mix'!$A$2:$A$977,0)),0)</f>
        <v/>
      </c>
      <c r="K543" s="6">
        <f>IFERROR(INDEX('02b_DC_Accelerator_Mix'!$H$2:$H$977,MATCH(G543,'02b_DC_Accelerator_Mix'!$A$2:$A$977,0)),0)</f>
        <v/>
      </c>
      <c r="L543" s="6">
        <f>IFERROR(INDEX('02b_DC_Accelerator_Mix'!$I$2:$I$977,MATCH(G543,'02b_DC_Accelerator_Mix'!$A$2:$A$977,0)),0)</f>
        <v/>
      </c>
      <c r="M543" s="6">
        <f>IFERROR(INDEX('02b_DC_Accelerator_Mix'!$J$2:$J$977,MATCH(G543,'02b_DC_Accelerator_Mix'!$A$2:$A$977,0)),0)</f>
        <v/>
      </c>
      <c r="N543" s="6">
        <f>IFERROR(INDEX('02b_DC_Accelerator_Mix'!$K$2:$K$977,MATCH(G543,'02b_DC_Accelerator_Mix'!$A$2:$A$977,0)),0)</f>
        <v/>
      </c>
      <c r="O543" s="6">
        <f>IFERROR(INDEX('02b_DC_Accelerator_Mix'!$L$2:$L$977,MATCH(G543,'02b_DC_Accelerator_Mix'!$A$2:$A$977,0)),0)</f>
        <v/>
      </c>
      <c r="P543" s="6">
        <f>IFERROR(INDEX('02b_DC_Accelerator_Mix'!$M$2:$M$977,MATCH(G543,'02b_DC_Accelerator_Mix'!$A$2:$A$977,0)),0)</f>
        <v/>
      </c>
      <c r="Q543" s="6">
        <f>IFERROR(INDEX('02b_DC_Accelerator_Mix'!$N$2:$N$977,MATCH(G543,'02b_DC_Accelerator_Mix'!$A$2:$A$977,0)),0)</f>
        <v/>
      </c>
      <c r="R543" s="28">
        <f>H543*I543</f>
        <v/>
      </c>
      <c r="S543" s="28">
        <f>H543*J543</f>
        <v/>
      </c>
      <c r="T543" s="28">
        <f>H543*K543</f>
        <v/>
      </c>
      <c r="U543" s="28">
        <f>H543*L543</f>
        <v/>
      </c>
      <c r="V543" s="28">
        <f>H543*M543</f>
        <v/>
      </c>
      <c r="W543" s="28">
        <f>H543*N543</f>
        <v/>
      </c>
      <c r="X543" s="28">
        <f>H543*O543</f>
        <v/>
      </c>
      <c r="Y543" s="28">
        <f>H543*P543</f>
        <v/>
      </c>
      <c r="Z543" s="28">
        <f>H543*Q543</f>
        <v/>
      </c>
      <c r="AA543" s="28">
        <f>SUM(U543:Z543)</f>
        <v/>
      </c>
      <c r="AB543" s="5">
        <f>IF(COUNTIF('02b_DC_Accelerator_Mix'!$A$2:$A$977,G543)&gt;0,"matched","missing_mix")</f>
        <v/>
      </c>
    </row>
    <row r="544">
      <c r="A544" s="5">
        <f>'02a_DC_Capacity_Alloc'!A544</f>
        <v/>
      </c>
      <c r="B544" s="5">
        <f>'02a_DC_Capacity_Alloc'!B544</f>
        <v/>
      </c>
      <c r="C544" s="5">
        <f>'02a_DC_Capacity_Alloc'!C544</f>
        <v/>
      </c>
      <c r="D544" s="5">
        <f>'02a_DC_Capacity_Alloc'!D544</f>
        <v/>
      </c>
      <c r="E544" s="5">
        <f>'02a_DC_Capacity_Alloc'!E544</f>
        <v/>
      </c>
      <c r="F544" s="5">
        <f>'02a_DC_Capacity_Alloc'!F544</f>
        <v/>
      </c>
      <c r="G544" s="5">
        <f>B544&amp;"|"&amp;E544&amp;"|"&amp;D544</f>
        <v/>
      </c>
      <c r="H544" s="28">
        <f>'02a_DC_Capacity_Alloc'!H544*'02a_DC_Capacity_Alloc'!I544*'02a_DC_Capacity_Alloc'!J544</f>
        <v/>
      </c>
      <c r="I544" s="6">
        <f>IFERROR(INDEX('02b_DC_Accelerator_Mix'!$F$2:$F$977,MATCH(G544,'02b_DC_Accelerator_Mix'!$A$2:$A$977,0)),0)</f>
        <v/>
      </c>
      <c r="J544" s="6">
        <f>IFERROR(INDEX('02b_DC_Accelerator_Mix'!$G$2:$G$977,MATCH(G544,'02b_DC_Accelerator_Mix'!$A$2:$A$977,0)),0)</f>
        <v/>
      </c>
      <c r="K544" s="6">
        <f>IFERROR(INDEX('02b_DC_Accelerator_Mix'!$H$2:$H$977,MATCH(G544,'02b_DC_Accelerator_Mix'!$A$2:$A$977,0)),0)</f>
        <v/>
      </c>
      <c r="L544" s="6">
        <f>IFERROR(INDEX('02b_DC_Accelerator_Mix'!$I$2:$I$977,MATCH(G544,'02b_DC_Accelerator_Mix'!$A$2:$A$977,0)),0)</f>
        <v/>
      </c>
      <c r="M544" s="6">
        <f>IFERROR(INDEX('02b_DC_Accelerator_Mix'!$J$2:$J$977,MATCH(G544,'02b_DC_Accelerator_Mix'!$A$2:$A$977,0)),0)</f>
        <v/>
      </c>
      <c r="N544" s="6">
        <f>IFERROR(INDEX('02b_DC_Accelerator_Mix'!$K$2:$K$977,MATCH(G544,'02b_DC_Accelerator_Mix'!$A$2:$A$977,0)),0)</f>
        <v/>
      </c>
      <c r="O544" s="6">
        <f>IFERROR(INDEX('02b_DC_Accelerator_Mix'!$L$2:$L$977,MATCH(G544,'02b_DC_Accelerator_Mix'!$A$2:$A$977,0)),0)</f>
        <v/>
      </c>
      <c r="P544" s="6">
        <f>IFERROR(INDEX('02b_DC_Accelerator_Mix'!$M$2:$M$977,MATCH(G544,'02b_DC_Accelerator_Mix'!$A$2:$A$977,0)),0)</f>
        <v/>
      </c>
      <c r="Q544" s="6">
        <f>IFERROR(INDEX('02b_DC_Accelerator_Mix'!$N$2:$N$977,MATCH(G544,'02b_DC_Accelerator_Mix'!$A$2:$A$977,0)),0)</f>
        <v/>
      </c>
      <c r="R544" s="28">
        <f>H544*I544</f>
        <v/>
      </c>
      <c r="S544" s="28">
        <f>H544*J544</f>
        <v/>
      </c>
      <c r="T544" s="28">
        <f>H544*K544</f>
        <v/>
      </c>
      <c r="U544" s="28">
        <f>H544*L544</f>
        <v/>
      </c>
      <c r="V544" s="28">
        <f>H544*M544</f>
        <v/>
      </c>
      <c r="W544" s="28">
        <f>H544*N544</f>
        <v/>
      </c>
      <c r="X544" s="28">
        <f>H544*O544</f>
        <v/>
      </c>
      <c r="Y544" s="28">
        <f>H544*P544</f>
        <v/>
      </c>
      <c r="Z544" s="28">
        <f>H544*Q544</f>
        <v/>
      </c>
      <c r="AA544" s="28">
        <f>SUM(U544:Z544)</f>
        <v/>
      </c>
      <c r="AB544" s="5">
        <f>IF(COUNTIF('02b_DC_Accelerator_Mix'!$A$2:$A$977,G544)&gt;0,"matched","missing_mix")</f>
        <v/>
      </c>
    </row>
    <row r="545">
      <c r="A545" s="5">
        <f>'02a_DC_Capacity_Alloc'!A545</f>
        <v/>
      </c>
      <c r="B545" s="5">
        <f>'02a_DC_Capacity_Alloc'!B545</f>
        <v/>
      </c>
      <c r="C545" s="5">
        <f>'02a_DC_Capacity_Alloc'!C545</f>
        <v/>
      </c>
      <c r="D545" s="5">
        <f>'02a_DC_Capacity_Alloc'!D545</f>
        <v/>
      </c>
      <c r="E545" s="5">
        <f>'02a_DC_Capacity_Alloc'!E545</f>
        <v/>
      </c>
      <c r="F545" s="5">
        <f>'02a_DC_Capacity_Alloc'!F545</f>
        <v/>
      </c>
      <c r="G545" s="5">
        <f>B545&amp;"|"&amp;E545&amp;"|"&amp;D545</f>
        <v/>
      </c>
      <c r="H545" s="28">
        <f>'02a_DC_Capacity_Alloc'!H545*'02a_DC_Capacity_Alloc'!I545*'02a_DC_Capacity_Alloc'!J545</f>
        <v/>
      </c>
      <c r="I545" s="6">
        <f>IFERROR(INDEX('02b_DC_Accelerator_Mix'!$F$2:$F$977,MATCH(G545,'02b_DC_Accelerator_Mix'!$A$2:$A$977,0)),0)</f>
        <v/>
      </c>
      <c r="J545" s="6">
        <f>IFERROR(INDEX('02b_DC_Accelerator_Mix'!$G$2:$G$977,MATCH(G545,'02b_DC_Accelerator_Mix'!$A$2:$A$977,0)),0)</f>
        <v/>
      </c>
      <c r="K545" s="6">
        <f>IFERROR(INDEX('02b_DC_Accelerator_Mix'!$H$2:$H$977,MATCH(G545,'02b_DC_Accelerator_Mix'!$A$2:$A$977,0)),0)</f>
        <v/>
      </c>
      <c r="L545" s="6">
        <f>IFERROR(INDEX('02b_DC_Accelerator_Mix'!$I$2:$I$977,MATCH(G545,'02b_DC_Accelerator_Mix'!$A$2:$A$977,0)),0)</f>
        <v/>
      </c>
      <c r="M545" s="6">
        <f>IFERROR(INDEX('02b_DC_Accelerator_Mix'!$J$2:$J$977,MATCH(G545,'02b_DC_Accelerator_Mix'!$A$2:$A$977,0)),0)</f>
        <v/>
      </c>
      <c r="N545" s="6">
        <f>IFERROR(INDEX('02b_DC_Accelerator_Mix'!$K$2:$K$977,MATCH(G545,'02b_DC_Accelerator_Mix'!$A$2:$A$977,0)),0)</f>
        <v/>
      </c>
      <c r="O545" s="6">
        <f>IFERROR(INDEX('02b_DC_Accelerator_Mix'!$L$2:$L$977,MATCH(G545,'02b_DC_Accelerator_Mix'!$A$2:$A$977,0)),0)</f>
        <v/>
      </c>
      <c r="P545" s="6">
        <f>IFERROR(INDEX('02b_DC_Accelerator_Mix'!$M$2:$M$977,MATCH(G545,'02b_DC_Accelerator_Mix'!$A$2:$A$977,0)),0)</f>
        <v/>
      </c>
      <c r="Q545" s="6">
        <f>IFERROR(INDEX('02b_DC_Accelerator_Mix'!$N$2:$N$977,MATCH(G545,'02b_DC_Accelerator_Mix'!$A$2:$A$977,0)),0)</f>
        <v/>
      </c>
      <c r="R545" s="28">
        <f>H545*I545</f>
        <v/>
      </c>
      <c r="S545" s="28">
        <f>H545*J545</f>
        <v/>
      </c>
      <c r="T545" s="28">
        <f>H545*K545</f>
        <v/>
      </c>
      <c r="U545" s="28">
        <f>H545*L545</f>
        <v/>
      </c>
      <c r="V545" s="28">
        <f>H545*M545</f>
        <v/>
      </c>
      <c r="W545" s="28">
        <f>H545*N545</f>
        <v/>
      </c>
      <c r="X545" s="28">
        <f>H545*O545</f>
        <v/>
      </c>
      <c r="Y545" s="28">
        <f>H545*P545</f>
        <v/>
      </c>
      <c r="Z545" s="28">
        <f>H545*Q545</f>
        <v/>
      </c>
      <c r="AA545" s="28">
        <f>SUM(U545:Z545)</f>
        <v/>
      </c>
      <c r="AB545" s="5">
        <f>IF(COUNTIF('02b_DC_Accelerator_Mix'!$A$2:$A$977,G545)&gt;0,"matched","missing_mix")</f>
        <v/>
      </c>
    </row>
    <row r="546">
      <c r="A546" s="5">
        <f>'02a_DC_Capacity_Alloc'!A546</f>
        <v/>
      </c>
      <c r="B546" s="5">
        <f>'02a_DC_Capacity_Alloc'!B546</f>
        <v/>
      </c>
      <c r="C546" s="5">
        <f>'02a_DC_Capacity_Alloc'!C546</f>
        <v/>
      </c>
      <c r="D546" s="5">
        <f>'02a_DC_Capacity_Alloc'!D546</f>
        <v/>
      </c>
      <c r="E546" s="5">
        <f>'02a_DC_Capacity_Alloc'!E546</f>
        <v/>
      </c>
      <c r="F546" s="5">
        <f>'02a_DC_Capacity_Alloc'!F546</f>
        <v/>
      </c>
      <c r="G546" s="5">
        <f>B546&amp;"|"&amp;E546&amp;"|"&amp;D546</f>
        <v/>
      </c>
      <c r="H546" s="28">
        <f>'02a_DC_Capacity_Alloc'!H546*'02a_DC_Capacity_Alloc'!I546*'02a_DC_Capacity_Alloc'!J546</f>
        <v/>
      </c>
      <c r="I546" s="6">
        <f>IFERROR(INDEX('02b_DC_Accelerator_Mix'!$F$2:$F$977,MATCH(G546,'02b_DC_Accelerator_Mix'!$A$2:$A$977,0)),0)</f>
        <v/>
      </c>
      <c r="J546" s="6">
        <f>IFERROR(INDEX('02b_DC_Accelerator_Mix'!$G$2:$G$977,MATCH(G546,'02b_DC_Accelerator_Mix'!$A$2:$A$977,0)),0)</f>
        <v/>
      </c>
      <c r="K546" s="6">
        <f>IFERROR(INDEX('02b_DC_Accelerator_Mix'!$H$2:$H$977,MATCH(G546,'02b_DC_Accelerator_Mix'!$A$2:$A$977,0)),0)</f>
        <v/>
      </c>
      <c r="L546" s="6">
        <f>IFERROR(INDEX('02b_DC_Accelerator_Mix'!$I$2:$I$977,MATCH(G546,'02b_DC_Accelerator_Mix'!$A$2:$A$977,0)),0)</f>
        <v/>
      </c>
      <c r="M546" s="6">
        <f>IFERROR(INDEX('02b_DC_Accelerator_Mix'!$J$2:$J$977,MATCH(G546,'02b_DC_Accelerator_Mix'!$A$2:$A$977,0)),0)</f>
        <v/>
      </c>
      <c r="N546" s="6">
        <f>IFERROR(INDEX('02b_DC_Accelerator_Mix'!$K$2:$K$977,MATCH(G546,'02b_DC_Accelerator_Mix'!$A$2:$A$977,0)),0)</f>
        <v/>
      </c>
      <c r="O546" s="6">
        <f>IFERROR(INDEX('02b_DC_Accelerator_Mix'!$L$2:$L$977,MATCH(G546,'02b_DC_Accelerator_Mix'!$A$2:$A$977,0)),0)</f>
        <v/>
      </c>
      <c r="P546" s="6">
        <f>IFERROR(INDEX('02b_DC_Accelerator_Mix'!$M$2:$M$977,MATCH(G546,'02b_DC_Accelerator_Mix'!$A$2:$A$977,0)),0)</f>
        <v/>
      </c>
      <c r="Q546" s="6">
        <f>IFERROR(INDEX('02b_DC_Accelerator_Mix'!$N$2:$N$977,MATCH(G546,'02b_DC_Accelerator_Mix'!$A$2:$A$977,0)),0)</f>
        <v/>
      </c>
      <c r="R546" s="28">
        <f>H546*I546</f>
        <v/>
      </c>
      <c r="S546" s="28">
        <f>H546*J546</f>
        <v/>
      </c>
      <c r="T546" s="28">
        <f>H546*K546</f>
        <v/>
      </c>
      <c r="U546" s="28">
        <f>H546*L546</f>
        <v/>
      </c>
      <c r="V546" s="28">
        <f>H546*M546</f>
        <v/>
      </c>
      <c r="W546" s="28">
        <f>H546*N546</f>
        <v/>
      </c>
      <c r="X546" s="28">
        <f>H546*O546</f>
        <v/>
      </c>
      <c r="Y546" s="28">
        <f>H546*P546</f>
        <v/>
      </c>
      <c r="Z546" s="28">
        <f>H546*Q546</f>
        <v/>
      </c>
      <c r="AA546" s="28">
        <f>SUM(U546:Z546)</f>
        <v/>
      </c>
      <c r="AB546" s="5">
        <f>IF(COUNTIF('02b_DC_Accelerator_Mix'!$A$2:$A$977,G546)&gt;0,"matched","missing_mix")</f>
        <v/>
      </c>
    </row>
    <row r="547">
      <c r="A547" s="5">
        <f>'02a_DC_Capacity_Alloc'!A547</f>
        <v/>
      </c>
      <c r="B547" s="5">
        <f>'02a_DC_Capacity_Alloc'!B547</f>
        <v/>
      </c>
      <c r="C547" s="5">
        <f>'02a_DC_Capacity_Alloc'!C547</f>
        <v/>
      </c>
      <c r="D547" s="5">
        <f>'02a_DC_Capacity_Alloc'!D547</f>
        <v/>
      </c>
      <c r="E547" s="5">
        <f>'02a_DC_Capacity_Alloc'!E547</f>
        <v/>
      </c>
      <c r="F547" s="5">
        <f>'02a_DC_Capacity_Alloc'!F547</f>
        <v/>
      </c>
      <c r="G547" s="5">
        <f>B547&amp;"|"&amp;E547&amp;"|"&amp;D547</f>
        <v/>
      </c>
      <c r="H547" s="28">
        <f>'02a_DC_Capacity_Alloc'!H547*'02a_DC_Capacity_Alloc'!I547*'02a_DC_Capacity_Alloc'!J547</f>
        <v/>
      </c>
      <c r="I547" s="6">
        <f>IFERROR(INDEX('02b_DC_Accelerator_Mix'!$F$2:$F$977,MATCH(G547,'02b_DC_Accelerator_Mix'!$A$2:$A$977,0)),0)</f>
        <v/>
      </c>
      <c r="J547" s="6">
        <f>IFERROR(INDEX('02b_DC_Accelerator_Mix'!$G$2:$G$977,MATCH(G547,'02b_DC_Accelerator_Mix'!$A$2:$A$977,0)),0)</f>
        <v/>
      </c>
      <c r="K547" s="6">
        <f>IFERROR(INDEX('02b_DC_Accelerator_Mix'!$H$2:$H$977,MATCH(G547,'02b_DC_Accelerator_Mix'!$A$2:$A$977,0)),0)</f>
        <v/>
      </c>
      <c r="L547" s="6">
        <f>IFERROR(INDEX('02b_DC_Accelerator_Mix'!$I$2:$I$977,MATCH(G547,'02b_DC_Accelerator_Mix'!$A$2:$A$977,0)),0)</f>
        <v/>
      </c>
      <c r="M547" s="6">
        <f>IFERROR(INDEX('02b_DC_Accelerator_Mix'!$J$2:$J$977,MATCH(G547,'02b_DC_Accelerator_Mix'!$A$2:$A$977,0)),0)</f>
        <v/>
      </c>
      <c r="N547" s="6">
        <f>IFERROR(INDEX('02b_DC_Accelerator_Mix'!$K$2:$K$977,MATCH(G547,'02b_DC_Accelerator_Mix'!$A$2:$A$977,0)),0)</f>
        <v/>
      </c>
      <c r="O547" s="6">
        <f>IFERROR(INDEX('02b_DC_Accelerator_Mix'!$L$2:$L$977,MATCH(G547,'02b_DC_Accelerator_Mix'!$A$2:$A$977,0)),0)</f>
        <v/>
      </c>
      <c r="P547" s="6">
        <f>IFERROR(INDEX('02b_DC_Accelerator_Mix'!$M$2:$M$977,MATCH(G547,'02b_DC_Accelerator_Mix'!$A$2:$A$977,0)),0)</f>
        <v/>
      </c>
      <c r="Q547" s="6">
        <f>IFERROR(INDEX('02b_DC_Accelerator_Mix'!$N$2:$N$977,MATCH(G547,'02b_DC_Accelerator_Mix'!$A$2:$A$977,0)),0)</f>
        <v/>
      </c>
      <c r="R547" s="28">
        <f>H547*I547</f>
        <v/>
      </c>
      <c r="S547" s="28">
        <f>H547*J547</f>
        <v/>
      </c>
      <c r="T547" s="28">
        <f>H547*K547</f>
        <v/>
      </c>
      <c r="U547" s="28">
        <f>H547*L547</f>
        <v/>
      </c>
      <c r="V547" s="28">
        <f>H547*M547</f>
        <v/>
      </c>
      <c r="W547" s="28">
        <f>H547*N547</f>
        <v/>
      </c>
      <c r="X547" s="28">
        <f>H547*O547</f>
        <v/>
      </c>
      <c r="Y547" s="28">
        <f>H547*P547</f>
        <v/>
      </c>
      <c r="Z547" s="28">
        <f>H547*Q547</f>
        <v/>
      </c>
      <c r="AA547" s="28">
        <f>SUM(U547:Z547)</f>
        <v/>
      </c>
      <c r="AB547" s="5">
        <f>IF(COUNTIF('02b_DC_Accelerator_Mix'!$A$2:$A$977,G547)&gt;0,"matched","missing_mix")</f>
        <v/>
      </c>
    </row>
    <row r="548">
      <c r="A548" s="5">
        <f>'02a_DC_Capacity_Alloc'!A548</f>
        <v/>
      </c>
      <c r="B548" s="5">
        <f>'02a_DC_Capacity_Alloc'!B548</f>
        <v/>
      </c>
      <c r="C548" s="5">
        <f>'02a_DC_Capacity_Alloc'!C548</f>
        <v/>
      </c>
      <c r="D548" s="5">
        <f>'02a_DC_Capacity_Alloc'!D548</f>
        <v/>
      </c>
      <c r="E548" s="5">
        <f>'02a_DC_Capacity_Alloc'!E548</f>
        <v/>
      </c>
      <c r="F548" s="5">
        <f>'02a_DC_Capacity_Alloc'!F548</f>
        <v/>
      </c>
      <c r="G548" s="5">
        <f>B548&amp;"|"&amp;E548&amp;"|"&amp;D548</f>
        <v/>
      </c>
      <c r="H548" s="28">
        <f>'02a_DC_Capacity_Alloc'!H548*'02a_DC_Capacity_Alloc'!I548*'02a_DC_Capacity_Alloc'!J548</f>
        <v/>
      </c>
      <c r="I548" s="6">
        <f>IFERROR(INDEX('02b_DC_Accelerator_Mix'!$F$2:$F$977,MATCH(G548,'02b_DC_Accelerator_Mix'!$A$2:$A$977,0)),0)</f>
        <v/>
      </c>
      <c r="J548" s="6">
        <f>IFERROR(INDEX('02b_DC_Accelerator_Mix'!$G$2:$G$977,MATCH(G548,'02b_DC_Accelerator_Mix'!$A$2:$A$977,0)),0)</f>
        <v/>
      </c>
      <c r="K548" s="6">
        <f>IFERROR(INDEX('02b_DC_Accelerator_Mix'!$H$2:$H$977,MATCH(G548,'02b_DC_Accelerator_Mix'!$A$2:$A$977,0)),0)</f>
        <v/>
      </c>
      <c r="L548" s="6">
        <f>IFERROR(INDEX('02b_DC_Accelerator_Mix'!$I$2:$I$977,MATCH(G548,'02b_DC_Accelerator_Mix'!$A$2:$A$977,0)),0)</f>
        <v/>
      </c>
      <c r="M548" s="6">
        <f>IFERROR(INDEX('02b_DC_Accelerator_Mix'!$J$2:$J$977,MATCH(G548,'02b_DC_Accelerator_Mix'!$A$2:$A$977,0)),0)</f>
        <v/>
      </c>
      <c r="N548" s="6">
        <f>IFERROR(INDEX('02b_DC_Accelerator_Mix'!$K$2:$K$977,MATCH(G548,'02b_DC_Accelerator_Mix'!$A$2:$A$977,0)),0)</f>
        <v/>
      </c>
      <c r="O548" s="6">
        <f>IFERROR(INDEX('02b_DC_Accelerator_Mix'!$L$2:$L$977,MATCH(G548,'02b_DC_Accelerator_Mix'!$A$2:$A$977,0)),0)</f>
        <v/>
      </c>
      <c r="P548" s="6">
        <f>IFERROR(INDEX('02b_DC_Accelerator_Mix'!$M$2:$M$977,MATCH(G548,'02b_DC_Accelerator_Mix'!$A$2:$A$977,0)),0)</f>
        <v/>
      </c>
      <c r="Q548" s="6">
        <f>IFERROR(INDEX('02b_DC_Accelerator_Mix'!$N$2:$N$977,MATCH(G548,'02b_DC_Accelerator_Mix'!$A$2:$A$977,0)),0)</f>
        <v/>
      </c>
      <c r="R548" s="28">
        <f>H548*I548</f>
        <v/>
      </c>
      <c r="S548" s="28">
        <f>H548*J548</f>
        <v/>
      </c>
      <c r="T548" s="28">
        <f>H548*K548</f>
        <v/>
      </c>
      <c r="U548" s="28">
        <f>H548*L548</f>
        <v/>
      </c>
      <c r="V548" s="28">
        <f>H548*M548</f>
        <v/>
      </c>
      <c r="W548" s="28">
        <f>H548*N548</f>
        <v/>
      </c>
      <c r="X548" s="28">
        <f>H548*O548</f>
        <v/>
      </c>
      <c r="Y548" s="28">
        <f>H548*P548</f>
        <v/>
      </c>
      <c r="Z548" s="28">
        <f>H548*Q548</f>
        <v/>
      </c>
      <c r="AA548" s="28">
        <f>SUM(U548:Z548)</f>
        <v/>
      </c>
      <c r="AB548" s="5">
        <f>IF(COUNTIF('02b_DC_Accelerator_Mix'!$A$2:$A$977,G548)&gt;0,"matched","missing_mix")</f>
        <v/>
      </c>
    </row>
    <row r="549">
      <c r="A549" s="5">
        <f>'02a_DC_Capacity_Alloc'!A549</f>
        <v/>
      </c>
      <c r="B549" s="5">
        <f>'02a_DC_Capacity_Alloc'!B549</f>
        <v/>
      </c>
      <c r="C549" s="5">
        <f>'02a_DC_Capacity_Alloc'!C549</f>
        <v/>
      </c>
      <c r="D549" s="5">
        <f>'02a_DC_Capacity_Alloc'!D549</f>
        <v/>
      </c>
      <c r="E549" s="5">
        <f>'02a_DC_Capacity_Alloc'!E549</f>
        <v/>
      </c>
      <c r="F549" s="5">
        <f>'02a_DC_Capacity_Alloc'!F549</f>
        <v/>
      </c>
      <c r="G549" s="5">
        <f>B549&amp;"|"&amp;E549&amp;"|"&amp;D549</f>
        <v/>
      </c>
      <c r="H549" s="28">
        <f>'02a_DC_Capacity_Alloc'!H549*'02a_DC_Capacity_Alloc'!I549*'02a_DC_Capacity_Alloc'!J549</f>
        <v/>
      </c>
      <c r="I549" s="6">
        <f>IFERROR(INDEX('02b_DC_Accelerator_Mix'!$F$2:$F$977,MATCH(G549,'02b_DC_Accelerator_Mix'!$A$2:$A$977,0)),0)</f>
        <v/>
      </c>
      <c r="J549" s="6">
        <f>IFERROR(INDEX('02b_DC_Accelerator_Mix'!$G$2:$G$977,MATCH(G549,'02b_DC_Accelerator_Mix'!$A$2:$A$977,0)),0)</f>
        <v/>
      </c>
      <c r="K549" s="6">
        <f>IFERROR(INDEX('02b_DC_Accelerator_Mix'!$H$2:$H$977,MATCH(G549,'02b_DC_Accelerator_Mix'!$A$2:$A$977,0)),0)</f>
        <v/>
      </c>
      <c r="L549" s="6">
        <f>IFERROR(INDEX('02b_DC_Accelerator_Mix'!$I$2:$I$977,MATCH(G549,'02b_DC_Accelerator_Mix'!$A$2:$A$977,0)),0)</f>
        <v/>
      </c>
      <c r="M549" s="6">
        <f>IFERROR(INDEX('02b_DC_Accelerator_Mix'!$J$2:$J$977,MATCH(G549,'02b_DC_Accelerator_Mix'!$A$2:$A$977,0)),0)</f>
        <v/>
      </c>
      <c r="N549" s="6">
        <f>IFERROR(INDEX('02b_DC_Accelerator_Mix'!$K$2:$K$977,MATCH(G549,'02b_DC_Accelerator_Mix'!$A$2:$A$977,0)),0)</f>
        <v/>
      </c>
      <c r="O549" s="6">
        <f>IFERROR(INDEX('02b_DC_Accelerator_Mix'!$L$2:$L$977,MATCH(G549,'02b_DC_Accelerator_Mix'!$A$2:$A$977,0)),0)</f>
        <v/>
      </c>
      <c r="P549" s="6">
        <f>IFERROR(INDEX('02b_DC_Accelerator_Mix'!$M$2:$M$977,MATCH(G549,'02b_DC_Accelerator_Mix'!$A$2:$A$977,0)),0)</f>
        <v/>
      </c>
      <c r="Q549" s="6">
        <f>IFERROR(INDEX('02b_DC_Accelerator_Mix'!$N$2:$N$977,MATCH(G549,'02b_DC_Accelerator_Mix'!$A$2:$A$977,0)),0)</f>
        <v/>
      </c>
      <c r="R549" s="28">
        <f>H549*I549</f>
        <v/>
      </c>
      <c r="S549" s="28">
        <f>H549*J549</f>
        <v/>
      </c>
      <c r="T549" s="28">
        <f>H549*K549</f>
        <v/>
      </c>
      <c r="U549" s="28">
        <f>H549*L549</f>
        <v/>
      </c>
      <c r="V549" s="28">
        <f>H549*M549</f>
        <v/>
      </c>
      <c r="W549" s="28">
        <f>H549*N549</f>
        <v/>
      </c>
      <c r="X549" s="28">
        <f>H549*O549</f>
        <v/>
      </c>
      <c r="Y549" s="28">
        <f>H549*P549</f>
        <v/>
      </c>
      <c r="Z549" s="28">
        <f>H549*Q549</f>
        <v/>
      </c>
      <c r="AA549" s="28">
        <f>SUM(U549:Z549)</f>
        <v/>
      </c>
      <c r="AB549" s="5">
        <f>IF(COUNTIF('02b_DC_Accelerator_Mix'!$A$2:$A$977,G549)&gt;0,"matched","missing_mix")</f>
        <v/>
      </c>
    </row>
    <row r="550">
      <c r="A550" s="5">
        <f>'02a_DC_Capacity_Alloc'!A550</f>
        <v/>
      </c>
      <c r="B550" s="5">
        <f>'02a_DC_Capacity_Alloc'!B550</f>
        <v/>
      </c>
      <c r="C550" s="5">
        <f>'02a_DC_Capacity_Alloc'!C550</f>
        <v/>
      </c>
      <c r="D550" s="5">
        <f>'02a_DC_Capacity_Alloc'!D550</f>
        <v/>
      </c>
      <c r="E550" s="5">
        <f>'02a_DC_Capacity_Alloc'!E550</f>
        <v/>
      </c>
      <c r="F550" s="5">
        <f>'02a_DC_Capacity_Alloc'!F550</f>
        <v/>
      </c>
      <c r="G550" s="5">
        <f>B550&amp;"|"&amp;E550&amp;"|"&amp;D550</f>
        <v/>
      </c>
      <c r="H550" s="28">
        <f>'02a_DC_Capacity_Alloc'!H550*'02a_DC_Capacity_Alloc'!I550*'02a_DC_Capacity_Alloc'!J550</f>
        <v/>
      </c>
      <c r="I550" s="6">
        <f>IFERROR(INDEX('02b_DC_Accelerator_Mix'!$F$2:$F$977,MATCH(G550,'02b_DC_Accelerator_Mix'!$A$2:$A$977,0)),0)</f>
        <v/>
      </c>
      <c r="J550" s="6">
        <f>IFERROR(INDEX('02b_DC_Accelerator_Mix'!$G$2:$G$977,MATCH(G550,'02b_DC_Accelerator_Mix'!$A$2:$A$977,0)),0)</f>
        <v/>
      </c>
      <c r="K550" s="6">
        <f>IFERROR(INDEX('02b_DC_Accelerator_Mix'!$H$2:$H$977,MATCH(G550,'02b_DC_Accelerator_Mix'!$A$2:$A$977,0)),0)</f>
        <v/>
      </c>
      <c r="L550" s="6">
        <f>IFERROR(INDEX('02b_DC_Accelerator_Mix'!$I$2:$I$977,MATCH(G550,'02b_DC_Accelerator_Mix'!$A$2:$A$977,0)),0)</f>
        <v/>
      </c>
      <c r="M550" s="6">
        <f>IFERROR(INDEX('02b_DC_Accelerator_Mix'!$J$2:$J$977,MATCH(G550,'02b_DC_Accelerator_Mix'!$A$2:$A$977,0)),0)</f>
        <v/>
      </c>
      <c r="N550" s="6">
        <f>IFERROR(INDEX('02b_DC_Accelerator_Mix'!$K$2:$K$977,MATCH(G550,'02b_DC_Accelerator_Mix'!$A$2:$A$977,0)),0)</f>
        <v/>
      </c>
      <c r="O550" s="6">
        <f>IFERROR(INDEX('02b_DC_Accelerator_Mix'!$L$2:$L$977,MATCH(G550,'02b_DC_Accelerator_Mix'!$A$2:$A$977,0)),0)</f>
        <v/>
      </c>
      <c r="P550" s="6">
        <f>IFERROR(INDEX('02b_DC_Accelerator_Mix'!$M$2:$M$977,MATCH(G550,'02b_DC_Accelerator_Mix'!$A$2:$A$977,0)),0)</f>
        <v/>
      </c>
      <c r="Q550" s="6">
        <f>IFERROR(INDEX('02b_DC_Accelerator_Mix'!$N$2:$N$977,MATCH(G550,'02b_DC_Accelerator_Mix'!$A$2:$A$977,0)),0)</f>
        <v/>
      </c>
      <c r="R550" s="28">
        <f>H550*I550</f>
        <v/>
      </c>
      <c r="S550" s="28">
        <f>H550*J550</f>
        <v/>
      </c>
      <c r="T550" s="28">
        <f>H550*K550</f>
        <v/>
      </c>
      <c r="U550" s="28">
        <f>H550*L550</f>
        <v/>
      </c>
      <c r="V550" s="28">
        <f>H550*M550</f>
        <v/>
      </c>
      <c r="W550" s="28">
        <f>H550*N550</f>
        <v/>
      </c>
      <c r="X550" s="28">
        <f>H550*O550</f>
        <v/>
      </c>
      <c r="Y550" s="28">
        <f>H550*P550</f>
        <v/>
      </c>
      <c r="Z550" s="28">
        <f>H550*Q550</f>
        <v/>
      </c>
      <c r="AA550" s="28">
        <f>SUM(U550:Z550)</f>
        <v/>
      </c>
      <c r="AB550" s="5">
        <f>IF(COUNTIF('02b_DC_Accelerator_Mix'!$A$2:$A$977,G550)&gt;0,"matched","missing_mix")</f>
        <v/>
      </c>
    </row>
    <row r="551">
      <c r="A551" s="5">
        <f>'02a_DC_Capacity_Alloc'!A551</f>
        <v/>
      </c>
      <c r="B551" s="5">
        <f>'02a_DC_Capacity_Alloc'!B551</f>
        <v/>
      </c>
      <c r="C551" s="5">
        <f>'02a_DC_Capacity_Alloc'!C551</f>
        <v/>
      </c>
      <c r="D551" s="5">
        <f>'02a_DC_Capacity_Alloc'!D551</f>
        <v/>
      </c>
      <c r="E551" s="5">
        <f>'02a_DC_Capacity_Alloc'!E551</f>
        <v/>
      </c>
      <c r="F551" s="5">
        <f>'02a_DC_Capacity_Alloc'!F551</f>
        <v/>
      </c>
      <c r="G551" s="5">
        <f>B551&amp;"|"&amp;E551&amp;"|"&amp;D551</f>
        <v/>
      </c>
      <c r="H551" s="28">
        <f>'02a_DC_Capacity_Alloc'!H551*'02a_DC_Capacity_Alloc'!I551*'02a_DC_Capacity_Alloc'!J551</f>
        <v/>
      </c>
      <c r="I551" s="6">
        <f>IFERROR(INDEX('02b_DC_Accelerator_Mix'!$F$2:$F$977,MATCH(G551,'02b_DC_Accelerator_Mix'!$A$2:$A$977,0)),0)</f>
        <v/>
      </c>
      <c r="J551" s="6">
        <f>IFERROR(INDEX('02b_DC_Accelerator_Mix'!$G$2:$G$977,MATCH(G551,'02b_DC_Accelerator_Mix'!$A$2:$A$977,0)),0)</f>
        <v/>
      </c>
      <c r="K551" s="6">
        <f>IFERROR(INDEX('02b_DC_Accelerator_Mix'!$H$2:$H$977,MATCH(G551,'02b_DC_Accelerator_Mix'!$A$2:$A$977,0)),0)</f>
        <v/>
      </c>
      <c r="L551" s="6">
        <f>IFERROR(INDEX('02b_DC_Accelerator_Mix'!$I$2:$I$977,MATCH(G551,'02b_DC_Accelerator_Mix'!$A$2:$A$977,0)),0)</f>
        <v/>
      </c>
      <c r="M551" s="6">
        <f>IFERROR(INDEX('02b_DC_Accelerator_Mix'!$J$2:$J$977,MATCH(G551,'02b_DC_Accelerator_Mix'!$A$2:$A$977,0)),0)</f>
        <v/>
      </c>
      <c r="N551" s="6">
        <f>IFERROR(INDEX('02b_DC_Accelerator_Mix'!$K$2:$K$977,MATCH(G551,'02b_DC_Accelerator_Mix'!$A$2:$A$977,0)),0)</f>
        <v/>
      </c>
      <c r="O551" s="6">
        <f>IFERROR(INDEX('02b_DC_Accelerator_Mix'!$L$2:$L$977,MATCH(G551,'02b_DC_Accelerator_Mix'!$A$2:$A$977,0)),0)</f>
        <v/>
      </c>
      <c r="P551" s="6">
        <f>IFERROR(INDEX('02b_DC_Accelerator_Mix'!$M$2:$M$977,MATCH(G551,'02b_DC_Accelerator_Mix'!$A$2:$A$977,0)),0)</f>
        <v/>
      </c>
      <c r="Q551" s="6">
        <f>IFERROR(INDEX('02b_DC_Accelerator_Mix'!$N$2:$N$977,MATCH(G551,'02b_DC_Accelerator_Mix'!$A$2:$A$977,0)),0)</f>
        <v/>
      </c>
      <c r="R551" s="28">
        <f>H551*I551</f>
        <v/>
      </c>
      <c r="S551" s="28">
        <f>H551*J551</f>
        <v/>
      </c>
      <c r="T551" s="28">
        <f>H551*K551</f>
        <v/>
      </c>
      <c r="U551" s="28">
        <f>H551*L551</f>
        <v/>
      </c>
      <c r="V551" s="28">
        <f>H551*M551</f>
        <v/>
      </c>
      <c r="W551" s="28">
        <f>H551*N551</f>
        <v/>
      </c>
      <c r="X551" s="28">
        <f>H551*O551</f>
        <v/>
      </c>
      <c r="Y551" s="28">
        <f>H551*P551</f>
        <v/>
      </c>
      <c r="Z551" s="28">
        <f>H551*Q551</f>
        <v/>
      </c>
      <c r="AA551" s="28">
        <f>SUM(U551:Z551)</f>
        <v/>
      </c>
      <c r="AB551" s="5">
        <f>IF(COUNTIF('02b_DC_Accelerator_Mix'!$A$2:$A$977,G551)&gt;0,"matched","missing_mix")</f>
        <v/>
      </c>
    </row>
    <row r="552">
      <c r="A552" s="5">
        <f>'02a_DC_Capacity_Alloc'!A552</f>
        <v/>
      </c>
      <c r="B552" s="5">
        <f>'02a_DC_Capacity_Alloc'!B552</f>
        <v/>
      </c>
      <c r="C552" s="5">
        <f>'02a_DC_Capacity_Alloc'!C552</f>
        <v/>
      </c>
      <c r="D552" s="5">
        <f>'02a_DC_Capacity_Alloc'!D552</f>
        <v/>
      </c>
      <c r="E552" s="5">
        <f>'02a_DC_Capacity_Alloc'!E552</f>
        <v/>
      </c>
      <c r="F552" s="5">
        <f>'02a_DC_Capacity_Alloc'!F552</f>
        <v/>
      </c>
      <c r="G552" s="5">
        <f>B552&amp;"|"&amp;E552&amp;"|"&amp;D552</f>
        <v/>
      </c>
      <c r="H552" s="28">
        <f>'02a_DC_Capacity_Alloc'!H552*'02a_DC_Capacity_Alloc'!I552*'02a_DC_Capacity_Alloc'!J552</f>
        <v/>
      </c>
      <c r="I552" s="6">
        <f>IFERROR(INDEX('02b_DC_Accelerator_Mix'!$F$2:$F$977,MATCH(G552,'02b_DC_Accelerator_Mix'!$A$2:$A$977,0)),0)</f>
        <v/>
      </c>
      <c r="J552" s="6">
        <f>IFERROR(INDEX('02b_DC_Accelerator_Mix'!$G$2:$G$977,MATCH(G552,'02b_DC_Accelerator_Mix'!$A$2:$A$977,0)),0)</f>
        <v/>
      </c>
      <c r="K552" s="6">
        <f>IFERROR(INDEX('02b_DC_Accelerator_Mix'!$H$2:$H$977,MATCH(G552,'02b_DC_Accelerator_Mix'!$A$2:$A$977,0)),0)</f>
        <v/>
      </c>
      <c r="L552" s="6">
        <f>IFERROR(INDEX('02b_DC_Accelerator_Mix'!$I$2:$I$977,MATCH(G552,'02b_DC_Accelerator_Mix'!$A$2:$A$977,0)),0)</f>
        <v/>
      </c>
      <c r="M552" s="6">
        <f>IFERROR(INDEX('02b_DC_Accelerator_Mix'!$J$2:$J$977,MATCH(G552,'02b_DC_Accelerator_Mix'!$A$2:$A$977,0)),0)</f>
        <v/>
      </c>
      <c r="N552" s="6">
        <f>IFERROR(INDEX('02b_DC_Accelerator_Mix'!$K$2:$K$977,MATCH(G552,'02b_DC_Accelerator_Mix'!$A$2:$A$977,0)),0)</f>
        <v/>
      </c>
      <c r="O552" s="6">
        <f>IFERROR(INDEX('02b_DC_Accelerator_Mix'!$L$2:$L$977,MATCH(G552,'02b_DC_Accelerator_Mix'!$A$2:$A$977,0)),0)</f>
        <v/>
      </c>
      <c r="P552" s="6">
        <f>IFERROR(INDEX('02b_DC_Accelerator_Mix'!$M$2:$M$977,MATCH(G552,'02b_DC_Accelerator_Mix'!$A$2:$A$977,0)),0)</f>
        <v/>
      </c>
      <c r="Q552" s="6">
        <f>IFERROR(INDEX('02b_DC_Accelerator_Mix'!$N$2:$N$977,MATCH(G552,'02b_DC_Accelerator_Mix'!$A$2:$A$977,0)),0)</f>
        <v/>
      </c>
      <c r="R552" s="28">
        <f>H552*I552</f>
        <v/>
      </c>
      <c r="S552" s="28">
        <f>H552*J552</f>
        <v/>
      </c>
      <c r="T552" s="28">
        <f>H552*K552</f>
        <v/>
      </c>
      <c r="U552" s="28">
        <f>H552*L552</f>
        <v/>
      </c>
      <c r="V552" s="28">
        <f>H552*M552</f>
        <v/>
      </c>
      <c r="W552" s="28">
        <f>H552*N552</f>
        <v/>
      </c>
      <c r="X552" s="28">
        <f>H552*O552</f>
        <v/>
      </c>
      <c r="Y552" s="28">
        <f>H552*P552</f>
        <v/>
      </c>
      <c r="Z552" s="28">
        <f>H552*Q552</f>
        <v/>
      </c>
      <c r="AA552" s="28">
        <f>SUM(U552:Z552)</f>
        <v/>
      </c>
      <c r="AB552" s="5">
        <f>IF(COUNTIF('02b_DC_Accelerator_Mix'!$A$2:$A$977,G552)&gt;0,"matched","missing_mix")</f>
        <v/>
      </c>
    </row>
    <row r="553">
      <c r="A553" s="5">
        <f>'02a_DC_Capacity_Alloc'!A553</f>
        <v/>
      </c>
      <c r="B553" s="5">
        <f>'02a_DC_Capacity_Alloc'!B553</f>
        <v/>
      </c>
      <c r="C553" s="5">
        <f>'02a_DC_Capacity_Alloc'!C553</f>
        <v/>
      </c>
      <c r="D553" s="5">
        <f>'02a_DC_Capacity_Alloc'!D553</f>
        <v/>
      </c>
      <c r="E553" s="5">
        <f>'02a_DC_Capacity_Alloc'!E553</f>
        <v/>
      </c>
      <c r="F553" s="5">
        <f>'02a_DC_Capacity_Alloc'!F553</f>
        <v/>
      </c>
      <c r="G553" s="5">
        <f>B553&amp;"|"&amp;E553&amp;"|"&amp;D553</f>
        <v/>
      </c>
      <c r="H553" s="28">
        <f>'02a_DC_Capacity_Alloc'!H553*'02a_DC_Capacity_Alloc'!I553*'02a_DC_Capacity_Alloc'!J553</f>
        <v/>
      </c>
      <c r="I553" s="6">
        <f>IFERROR(INDEX('02b_DC_Accelerator_Mix'!$F$2:$F$977,MATCH(G553,'02b_DC_Accelerator_Mix'!$A$2:$A$977,0)),0)</f>
        <v/>
      </c>
      <c r="J553" s="6">
        <f>IFERROR(INDEX('02b_DC_Accelerator_Mix'!$G$2:$G$977,MATCH(G553,'02b_DC_Accelerator_Mix'!$A$2:$A$977,0)),0)</f>
        <v/>
      </c>
      <c r="K553" s="6">
        <f>IFERROR(INDEX('02b_DC_Accelerator_Mix'!$H$2:$H$977,MATCH(G553,'02b_DC_Accelerator_Mix'!$A$2:$A$977,0)),0)</f>
        <v/>
      </c>
      <c r="L553" s="6">
        <f>IFERROR(INDEX('02b_DC_Accelerator_Mix'!$I$2:$I$977,MATCH(G553,'02b_DC_Accelerator_Mix'!$A$2:$A$977,0)),0)</f>
        <v/>
      </c>
      <c r="M553" s="6">
        <f>IFERROR(INDEX('02b_DC_Accelerator_Mix'!$J$2:$J$977,MATCH(G553,'02b_DC_Accelerator_Mix'!$A$2:$A$977,0)),0)</f>
        <v/>
      </c>
      <c r="N553" s="6">
        <f>IFERROR(INDEX('02b_DC_Accelerator_Mix'!$K$2:$K$977,MATCH(G553,'02b_DC_Accelerator_Mix'!$A$2:$A$977,0)),0)</f>
        <v/>
      </c>
      <c r="O553" s="6">
        <f>IFERROR(INDEX('02b_DC_Accelerator_Mix'!$L$2:$L$977,MATCH(G553,'02b_DC_Accelerator_Mix'!$A$2:$A$977,0)),0)</f>
        <v/>
      </c>
      <c r="P553" s="6">
        <f>IFERROR(INDEX('02b_DC_Accelerator_Mix'!$M$2:$M$977,MATCH(G553,'02b_DC_Accelerator_Mix'!$A$2:$A$977,0)),0)</f>
        <v/>
      </c>
      <c r="Q553" s="6">
        <f>IFERROR(INDEX('02b_DC_Accelerator_Mix'!$N$2:$N$977,MATCH(G553,'02b_DC_Accelerator_Mix'!$A$2:$A$977,0)),0)</f>
        <v/>
      </c>
      <c r="R553" s="28">
        <f>H553*I553</f>
        <v/>
      </c>
      <c r="S553" s="28">
        <f>H553*J553</f>
        <v/>
      </c>
      <c r="T553" s="28">
        <f>H553*K553</f>
        <v/>
      </c>
      <c r="U553" s="28">
        <f>H553*L553</f>
        <v/>
      </c>
      <c r="V553" s="28">
        <f>H553*M553</f>
        <v/>
      </c>
      <c r="W553" s="28">
        <f>H553*N553</f>
        <v/>
      </c>
      <c r="X553" s="28">
        <f>H553*O553</f>
        <v/>
      </c>
      <c r="Y553" s="28">
        <f>H553*P553</f>
        <v/>
      </c>
      <c r="Z553" s="28">
        <f>H553*Q553</f>
        <v/>
      </c>
      <c r="AA553" s="28">
        <f>SUM(U553:Z553)</f>
        <v/>
      </c>
      <c r="AB553" s="5">
        <f>IF(COUNTIF('02b_DC_Accelerator_Mix'!$A$2:$A$977,G553)&gt;0,"matched","missing_mix")</f>
        <v/>
      </c>
    </row>
    <row r="554">
      <c r="A554" s="5">
        <f>'02a_DC_Capacity_Alloc'!A554</f>
        <v/>
      </c>
      <c r="B554" s="5">
        <f>'02a_DC_Capacity_Alloc'!B554</f>
        <v/>
      </c>
      <c r="C554" s="5">
        <f>'02a_DC_Capacity_Alloc'!C554</f>
        <v/>
      </c>
      <c r="D554" s="5">
        <f>'02a_DC_Capacity_Alloc'!D554</f>
        <v/>
      </c>
      <c r="E554" s="5">
        <f>'02a_DC_Capacity_Alloc'!E554</f>
        <v/>
      </c>
      <c r="F554" s="5">
        <f>'02a_DC_Capacity_Alloc'!F554</f>
        <v/>
      </c>
      <c r="G554" s="5">
        <f>B554&amp;"|"&amp;E554&amp;"|"&amp;D554</f>
        <v/>
      </c>
      <c r="H554" s="28">
        <f>'02a_DC_Capacity_Alloc'!H554*'02a_DC_Capacity_Alloc'!I554*'02a_DC_Capacity_Alloc'!J554</f>
        <v/>
      </c>
      <c r="I554" s="6">
        <f>IFERROR(INDEX('02b_DC_Accelerator_Mix'!$F$2:$F$977,MATCH(G554,'02b_DC_Accelerator_Mix'!$A$2:$A$977,0)),0)</f>
        <v/>
      </c>
      <c r="J554" s="6">
        <f>IFERROR(INDEX('02b_DC_Accelerator_Mix'!$G$2:$G$977,MATCH(G554,'02b_DC_Accelerator_Mix'!$A$2:$A$977,0)),0)</f>
        <v/>
      </c>
      <c r="K554" s="6">
        <f>IFERROR(INDEX('02b_DC_Accelerator_Mix'!$H$2:$H$977,MATCH(G554,'02b_DC_Accelerator_Mix'!$A$2:$A$977,0)),0)</f>
        <v/>
      </c>
      <c r="L554" s="6">
        <f>IFERROR(INDEX('02b_DC_Accelerator_Mix'!$I$2:$I$977,MATCH(G554,'02b_DC_Accelerator_Mix'!$A$2:$A$977,0)),0)</f>
        <v/>
      </c>
      <c r="M554" s="6">
        <f>IFERROR(INDEX('02b_DC_Accelerator_Mix'!$J$2:$J$977,MATCH(G554,'02b_DC_Accelerator_Mix'!$A$2:$A$977,0)),0)</f>
        <v/>
      </c>
      <c r="N554" s="6">
        <f>IFERROR(INDEX('02b_DC_Accelerator_Mix'!$K$2:$K$977,MATCH(G554,'02b_DC_Accelerator_Mix'!$A$2:$A$977,0)),0)</f>
        <v/>
      </c>
      <c r="O554" s="6">
        <f>IFERROR(INDEX('02b_DC_Accelerator_Mix'!$L$2:$L$977,MATCH(G554,'02b_DC_Accelerator_Mix'!$A$2:$A$977,0)),0)</f>
        <v/>
      </c>
      <c r="P554" s="6">
        <f>IFERROR(INDEX('02b_DC_Accelerator_Mix'!$M$2:$M$977,MATCH(G554,'02b_DC_Accelerator_Mix'!$A$2:$A$977,0)),0)</f>
        <v/>
      </c>
      <c r="Q554" s="6">
        <f>IFERROR(INDEX('02b_DC_Accelerator_Mix'!$N$2:$N$977,MATCH(G554,'02b_DC_Accelerator_Mix'!$A$2:$A$977,0)),0)</f>
        <v/>
      </c>
      <c r="R554" s="28">
        <f>H554*I554</f>
        <v/>
      </c>
      <c r="S554" s="28">
        <f>H554*J554</f>
        <v/>
      </c>
      <c r="T554" s="28">
        <f>H554*K554</f>
        <v/>
      </c>
      <c r="U554" s="28">
        <f>H554*L554</f>
        <v/>
      </c>
      <c r="V554" s="28">
        <f>H554*M554</f>
        <v/>
      </c>
      <c r="W554" s="28">
        <f>H554*N554</f>
        <v/>
      </c>
      <c r="X554" s="28">
        <f>H554*O554</f>
        <v/>
      </c>
      <c r="Y554" s="28">
        <f>H554*P554</f>
        <v/>
      </c>
      <c r="Z554" s="28">
        <f>H554*Q554</f>
        <v/>
      </c>
      <c r="AA554" s="28">
        <f>SUM(U554:Z554)</f>
        <v/>
      </c>
      <c r="AB554" s="5">
        <f>IF(COUNTIF('02b_DC_Accelerator_Mix'!$A$2:$A$977,G554)&gt;0,"matched","missing_mix")</f>
        <v/>
      </c>
    </row>
    <row r="555">
      <c r="A555" s="5">
        <f>'02a_DC_Capacity_Alloc'!A555</f>
        <v/>
      </c>
      <c r="B555" s="5">
        <f>'02a_DC_Capacity_Alloc'!B555</f>
        <v/>
      </c>
      <c r="C555" s="5">
        <f>'02a_DC_Capacity_Alloc'!C555</f>
        <v/>
      </c>
      <c r="D555" s="5">
        <f>'02a_DC_Capacity_Alloc'!D555</f>
        <v/>
      </c>
      <c r="E555" s="5">
        <f>'02a_DC_Capacity_Alloc'!E555</f>
        <v/>
      </c>
      <c r="F555" s="5">
        <f>'02a_DC_Capacity_Alloc'!F555</f>
        <v/>
      </c>
      <c r="G555" s="5">
        <f>B555&amp;"|"&amp;E555&amp;"|"&amp;D555</f>
        <v/>
      </c>
      <c r="H555" s="28">
        <f>'02a_DC_Capacity_Alloc'!H555*'02a_DC_Capacity_Alloc'!I555*'02a_DC_Capacity_Alloc'!J555</f>
        <v/>
      </c>
      <c r="I555" s="6">
        <f>IFERROR(INDEX('02b_DC_Accelerator_Mix'!$F$2:$F$977,MATCH(G555,'02b_DC_Accelerator_Mix'!$A$2:$A$977,0)),0)</f>
        <v/>
      </c>
      <c r="J555" s="6">
        <f>IFERROR(INDEX('02b_DC_Accelerator_Mix'!$G$2:$G$977,MATCH(G555,'02b_DC_Accelerator_Mix'!$A$2:$A$977,0)),0)</f>
        <v/>
      </c>
      <c r="K555" s="6">
        <f>IFERROR(INDEX('02b_DC_Accelerator_Mix'!$H$2:$H$977,MATCH(G555,'02b_DC_Accelerator_Mix'!$A$2:$A$977,0)),0)</f>
        <v/>
      </c>
      <c r="L555" s="6">
        <f>IFERROR(INDEX('02b_DC_Accelerator_Mix'!$I$2:$I$977,MATCH(G555,'02b_DC_Accelerator_Mix'!$A$2:$A$977,0)),0)</f>
        <v/>
      </c>
      <c r="M555" s="6">
        <f>IFERROR(INDEX('02b_DC_Accelerator_Mix'!$J$2:$J$977,MATCH(G555,'02b_DC_Accelerator_Mix'!$A$2:$A$977,0)),0)</f>
        <v/>
      </c>
      <c r="N555" s="6">
        <f>IFERROR(INDEX('02b_DC_Accelerator_Mix'!$K$2:$K$977,MATCH(G555,'02b_DC_Accelerator_Mix'!$A$2:$A$977,0)),0)</f>
        <v/>
      </c>
      <c r="O555" s="6">
        <f>IFERROR(INDEX('02b_DC_Accelerator_Mix'!$L$2:$L$977,MATCH(G555,'02b_DC_Accelerator_Mix'!$A$2:$A$977,0)),0)</f>
        <v/>
      </c>
      <c r="P555" s="6">
        <f>IFERROR(INDEX('02b_DC_Accelerator_Mix'!$M$2:$M$977,MATCH(G555,'02b_DC_Accelerator_Mix'!$A$2:$A$977,0)),0)</f>
        <v/>
      </c>
      <c r="Q555" s="6">
        <f>IFERROR(INDEX('02b_DC_Accelerator_Mix'!$N$2:$N$977,MATCH(G555,'02b_DC_Accelerator_Mix'!$A$2:$A$977,0)),0)</f>
        <v/>
      </c>
      <c r="R555" s="28">
        <f>H555*I555</f>
        <v/>
      </c>
      <c r="S555" s="28">
        <f>H555*J555</f>
        <v/>
      </c>
      <c r="T555" s="28">
        <f>H555*K555</f>
        <v/>
      </c>
      <c r="U555" s="28">
        <f>H555*L555</f>
        <v/>
      </c>
      <c r="V555" s="28">
        <f>H555*M555</f>
        <v/>
      </c>
      <c r="W555" s="28">
        <f>H555*N555</f>
        <v/>
      </c>
      <c r="X555" s="28">
        <f>H555*O555</f>
        <v/>
      </c>
      <c r="Y555" s="28">
        <f>H555*P555</f>
        <v/>
      </c>
      <c r="Z555" s="28">
        <f>H555*Q555</f>
        <v/>
      </c>
      <c r="AA555" s="28">
        <f>SUM(U555:Z555)</f>
        <v/>
      </c>
      <c r="AB555" s="5">
        <f>IF(COUNTIF('02b_DC_Accelerator_Mix'!$A$2:$A$977,G555)&gt;0,"matched","missing_mix")</f>
        <v/>
      </c>
    </row>
    <row r="556">
      <c r="A556" s="5">
        <f>'02a_DC_Capacity_Alloc'!A556</f>
        <v/>
      </c>
      <c r="B556" s="5">
        <f>'02a_DC_Capacity_Alloc'!B556</f>
        <v/>
      </c>
      <c r="C556" s="5">
        <f>'02a_DC_Capacity_Alloc'!C556</f>
        <v/>
      </c>
      <c r="D556" s="5">
        <f>'02a_DC_Capacity_Alloc'!D556</f>
        <v/>
      </c>
      <c r="E556" s="5">
        <f>'02a_DC_Capacity_Alloc'!E556</f>
        <v/>
      </c>
      <c r="F556" s="5">
        <f>'02a_DC_Capacity_Alloc'!F556</f>
        <v/>
      </c>
      <c r="G556" s="5">
        <f>B556&amp;"|"&amp;E556&amp;"|"&amp;D556</f>
        <v/>
      </c>
      <c r="H556" s="28">
        <f>'02a_DC_Capacity_Alloc'!H556*'02a_DC_Capacity_Alloc'!I556*'02a_DC_Capacity_Alloc'!J556</f>
        <v/>
      </c>
      <c r="I556" s="6">
        <f>IFERROR(INDEX('02b_DC_Accelerator_Mix'!$F$2:$F$977,MATCH(G556,'02b_DC_Accelerator_Mix'!$A$2:$A$977,0)),0)</f>
        <v/>
      </c>
      <c r="J556" s="6">
        <f>IFERROR(INDEX('02b_DC_Accelerator_Mix'!$G$2:$G$977,MATCH(G556,'02b_DC_Accelerator_Mix'!$A$2:$A$977,0)),0)</f>
        <v/>
      </c>
      <c r="K556" s="6">
        <f>IFERROR(INDEX('02b_DC_Accelerator_Mix'!$H$2:$H$977,MATCH(G556,'02b_DC_Accelerator_Mix'!$A$2:$A$977,0)),0)</f>
        <v/>
      </c>
      <c r="L556" s="6">
        <f>IFERROR(INDEX('02b_DC_Accelerator_Mix'!$I$2:$I$977,MATCH(G556,'02b_DC_Accelerator_Mix'!$A$2:$A$977,0)),0)</f>
        <v/>
      </c>
      <c r="M556" s="6">
        <f>IFERROR(INDEX('02b_DC_Accelerator_Mix'!$J$2:$J$977,MATCH(G556,'02b_DC_Accelerator_Mix'!$A$2:$A$977,0)),0)</f>
        <v/>
      </c>
      <c r="N556" s="6">
        <f>IFERROR(INDEX('02b_DC_Accelerator_Mix'!$K$2:$K$977,MATCH(G556,'02b_DC_Accelerator_Mix'!$A$2:$A$977,0)),0)</f>
        <v/>
      </c>
      <c r="O556" s="6">
        <f>IFERROR(INDEX('02b_DC_Accelerator_Mix'!$L$2:$L$977,MATCH(G556,'02b_DC_Accelerator_Mix'!$A$2:$A$977,0)),0)</f>
        <v/>
      </c>
      <c r="P556" s="6">
        <f>IFERROR(INDEX('02b_DC_Accelerator_Mix'!$M$2:$M$977,MATCH(G556,'02b_DC_Accelerator_Mix'!$A$2:$A$977,0)),0)</f>
        <v/>
      </c>
      <c r="Q556" s="6">
        <f>IFERROR(INDEX('02b_DC_Accelerator_Mix'!$N$2:$N$977,MATCH(G556,'02b_DC_Accelerator_Mix'!$A$2:$A$977,0)),0)</f>
        <v/>
      </c>
      <c r="R556" s="28">
        <f>H556*I556</f>
        <v/>
      </c>
      <c r="S556" s="28">
        <f>H556*J556</f>
        <v/>
      </c>
      <c r="T556" s="28">
        <f>H556*K556</f>
        <v/>
      </c>
      <c r="U556" s="28">
        <f>H556*L556</f>
        <v/>
      </c>
      <c r="V556" s="28">
        <f>H556*M556</f>
        <v/>
      </c>
      <c r="W556" s="28">
        <f>H556*N556</f>
        <v/>
      </c>
      <c r="X556" s="28">
        <f>H556*O556</f>
        <v/>
      </c>
      <c r="Y556" s="28">
        <f>H556*P556</f>
        <v/>
      </c>
      <c r="Z556" s="28">
        <f>H556*Q556</f>
        <v/>
      </c>
      <c r="AA556" s="28">
        <f>SUM(U556:Z556)</f>
        <v/>
      </c>
      <c r="AB556" s="5">
        <f>IF(COUNTIF('02b_DC_Accelerator_Mix'!$A$2:$A$977,G556)&gt;0,"matched","missing_mix")</f>
        <v/>
      </c>
    </row>
    <row r="557">
      <c r="A557" s="5">
        <f>'02a_DC_Capacity_Alloc'!A557</f>
        <v/>
      </c>
      <c r="B557" s="5">
        <f>'02a_DC_Capacity_Alloc'!B557</f>
        <v/>
      </c>
      <c r="C557" s="5">
        <f>'02a_DC_Capacity_Alloc'!C557</f>
        <v/>
      </c>
      <c r="D557" s="5">
        <f>'02a_DC_Capacity_Alloc'!D557</f>
        <v/>
      </c>
      <c r="E557" s="5">
        <f>'02a_DC_Capacity_Alloc'!E557</f>
        <v/>
      </c>
      <c r="F557" s="5">
        <f>'02a_DC_Capacity_Alloc'!F557</f>
        <v/>
      </c>
      <c r="G557" s="5">
        <f>B557&amp;"|"&amp;E557&amp;"|"&amp;D557</f>
        <v/>
      </c>
      <c r="H557" s="28">
        <f>'02a_DC_Capacity_Alloc'!H557*'02a_DC_Capacity_Alloc'!I557*'02a_DC_Capacity_Alloc'!J557</f>
        <v/>
      </c>
      <c r="I557" s="6">
        <f>IFERROR(INDEX('02b_DC_Accelerator_Mix'!$F$2:$F$977,MATCH(G557,'02b_DC_Accelerator_Mix'!$A$2:$A$977,0)),0)</f>
        <v/>
      </c>
      <c r="J557" s="6">
        <f>IFERROR(INDEX('02b_DC_Accelerator_Mix'!$G$2:$G$977,MATCH(G557,'02b_DC_Accelerator_Mix'!$A$2:$A$977,0)),0)</f>
        <v/>
      </c>
      <c r="K557" s="6">
        <f>IFERROR(INDEX('02b_DC_Accelerator_Mix'!$H$2:$H$977,MATCH(G557,'02b_DC_Accelerator_Mix'!$A$2:$A$977,0)),0)</f>
        <v/>
      </c>
      <c r="L557" s="6">
        <f>IFERROR(INDEX('02b_DC_Accelerator_Mix'!$I$2:$I$977,MATCH(G557,'02b_DC_Accelerator_Mix'!$A$2:$A$977,0)),0)</f>
        <v/>
      </c>
      <c r="M557" s="6">
        <f>IFERROR(INDEX('02b_DC_Accelerator_Mix'!$J$2:$J$977,MATCH(G557,'02b_DC_Accelerator_Mix'!$A$2:$A$977,0)),0)</f>
        <v/>
      </c>
      <c r="N557" s="6">
        <f>IFERROR(INDEX('02b_DC_Accelerator_Mix'!$K$2:$K$977,MATCH(G557,'02b_DC_Accelerator_Mix'!$A$2:$A$977,0)),0)</f>
        <v/>
      </c>
      <c r="O557" s="6">
        <f>IFERROR(INDEX('02b_DC_Accelerator_Mix'!$L$2:$L$977,MATCH(G557,'02b_DC_Accelerator_Mix'!$A$2:$A$977,0)),0)</f>
        <v/>
      </c>
      <c r="P557" s="6">
        <f>IFERROR(INDEX('02b_DC_Accelerator_Mix'!$M$2:$M$977,MATCH(G557,'02b_DC_Accelerator_Mix'!$A$2:$A$977,0)),0)</f>
        <v/>
      </c>
      <c r="Q557" s="6">
        <f>IFERROR(INDEX('02b_DC_Accelerator_Mix'!$N$2:$N$977,MATCH(G557,'02b_DC_Accelerator_Mix'!$A$2:$A$977,0)),0)</f>
        <v/>
      </c>
      <c r="R557" s="28">
        <f>H557*I557</f>
        <v/>
      </c>
      <c r="S557" s="28">
        <f>H557*J557</f>
        <v/>
      </c>
      <c r="T557" s="28">
        <f>H557*K557</f>
        <v/>
      </c>
      <c r="U557" s="28">
        <f>H557*L557</f>
        <v/>
      </c>
      <c r="V557" s="28">
        <f>H557*M557</f>
        <v/>
      </c>
      <c r="W557" s="28">
        <f>H557*N557</f>
        <v/>
      </c>
      <c r="X557" s="28">
        <f>H557*O557</f>
        <v/>
      </c>
      <c r="Y557" s="28">
        <f>H557*P557</f>
        <v/>
      </c>
      <c r="Z557" s="28">
        <f>H557*Q557</f>
        <v/>
      </c>
      <c r="AA557" s="28">
        <f>SUM(U557:Z557)</f>
        <v/>
      </c>
      <c r="AB557" s="5">
        <f>IF(COUNTIF('02b_DC_Accelerator_Mix'!$A$2:$A$977,G557)&gt;0,"matched","missing_mix")</f>
        <v/>
      </c>
    </row>
    <row r="558">
      <c r="A558" s="5">
        <f>'02a_DC_Capacity_Alloc'!A558</f>
        <v/>
      </c>
      <c r="B558" s="5">
        <f>'02a_DC_Capacity_Alloc'!B558</f>
        <v/>
      </c>
      <c r="C558" s="5">
        <f>'02a_DC_Capacity_Alloc'!C558</f>
        <v/>
      </c>
      <c r="D558" s="5">
        <f>'02a_DC_Capacity_Alloc'!D558</f>
        <v/>
      </c>
      <c r="E558" s="5">
        <f>'02a_DC_Capacity_Alloc'!E558</f>
        <v/>
      </c>
      <c r="F558" s="5">
        <f>'02a_DC_Capacity_Alloc'!F558</f>
        <v/>
      </c>
      <c r="G558" s="5">
        <f>B558&amp;"|"&amp;E558&amp;"|"&amp;D558</f>
        <v/>
      </c>
      <c r="H558" s="28">
        <f>'02a_DC_Capacity_Alloc'!H558*'02a_DC_Capacity_Alloc'!I558*'02a_DC_Capacity_Alloc'!J558</f>
        <v/>
      </c>
      <c r="I558" s="6">
        <f>IFERROR(INDEX('02b_DC_Accelerator_Mix'!$F$2:$F$977,MATCH(G558,'02b_DC_Accelerator_Mix'!$A$2:$A$977,0)),0)</f>
        <v/>
      </c>
      <c r="J558" s="6">
        <f>IFERROR(INDEX('02b_DC_Accelerator_Mix'!$G$2:$G$977,MATCH(G558,'02b_DC_Accelerator_Mix'!$A$2:$A$977,0)),0)</f>
        <v/>
      </c>
      <c r="K558" s="6">
        <f>IFERROR(INDEX('02b_DC_Accelerator_Mix'!$H$2:$H$977,MATCH(G558,'02b_DC_Accelerator_Mix'!$A$2:$A$977,0)),0)</f>
        <v/>
      </c>
      <c r="L558" s="6">
        <f>IFERROR(INDEX('02b_DC_Accelerator_Mix'!$I$2:$I$977,MATCH(G558,'02b_DC_Accelerator_Mix'!$A$2:$A$977,0)),0)</f>
        <v/>
      </c>
      <c r="M558" s="6">
        <f>IFERROR(INDEX('02b_DC_Accelerator_Mix'!$J$2:$J$977,MATCH(G558,'02b_DC_Accelerator_Mix'!$A$2:$A$977,0)),0)</f>
        <v/>
      </c>
      <c r="N558" s="6">
        <f>IFERROR(INDEX('02b_DC_Accelerator_Mix'!$K$2:$K$977,MATCH(G558,'02b_DC_Accelerator_Mix'!$A$2:$A$977,0)),0)</f>
        <v/>
      </c>
      <c r="O558" s="6">
        <f>IFERROR(INDEX('02b_DC_Accelerator_Mix'!$L$2:$L$977,MATCH(G558,'02b_DC_Accelerator_Mix'!$A$2:$A$977,0)),0)</f>
        <v/>
      </c>
      <c r="P558" s="6">
        <f>IFERROR(INDEX('02b_DC_Accelerator_Mix'!$M$2:$M$977,MATCH(G558,'02b_DC_Accelerator_Mix'!$A$2:$A$977,0)),0)</f>
        <v/>
      </c>
      <c r="Q558" s="6">
        <f>IFERROR(INDEX('02b_DC_Accelerator_Mix'!$N$2:$N$977,MATCH(G558,'02b_DC_Accelerator_Mix'!$A$2:$A$977,0)),0)</f>
        <v/>
      </c>
      <c r="R558" s="28">
        <f>H558*I558</f>
        <v/>
      </c>
      <c r="S558" s="28">
        <f>H558*J558</f>
        <v/>
      </c>
      <c r="T558" s="28">
        <f>H558*K558</f>
        <v/>
      </c>
      <c r="U558" s="28">
        <f>H558*L558</f>
        <v/>
      </c>
      <c r="V558" s="28">
        <f>H558*M558</f>
        <v/>
      </c>
      <c r="W558" s="28">
        <f>H558*N558</f>
        <v/>
      </c>
      <c r="X558" s="28">
        <f>H558*O558</f>
        <v/>
      </c>
      <c r="Y558" s="28">
        <f>H558*P558</f>
        <v/>
      </c>
      <c r="Z558" s="28">
        <f>H558*Q558</f>
        <v/>
      </c>
      <c r="AA558" s="28">
        <f>SUM(U558:Z558)</f>
        <v/>
      </c>
      <c r="AB558" s="5">
        <f>IF(COUNTIF('02b_DC_Accelerator_Mix'!$A$2:$A$977,G558)&gt;0,"matched","missing_mix")</f>
        <v/>
      </c>
    </row>
    <row r="559">
      <c r="A559" s="5">
        <f>'02a_DC_Capacity_Alloc'!A559</f>
        <v/>
      </c>
      <c r="B559" s="5">
        <f>'02a_DC_Capacity_Alloc'!B559</f>
        <v/>
      </c>
      <c r="C559" s="5">
        <f>'02a_DC_Capacity_Alloc'!C559</f>
        <v/>
      </c>
      <c r="D559" s="5">
        <f>'02a_DC_Capacity_Alloc'!D559</f>
        <v/>
      </c>
      <c r="E559" s="5">
        <f>'02a_DC_Capacity_Alloc'!E559</f>
        <v/>
      </c>
      <c r="F559" s="5">
        <f>'02a_DC_Capacity_Alloc'!F559</f>
        <v/>
      </c>
      <c r="G559" s="5">
        <f>B559&amp;"|"&amp;E559&amp;"|"&amp;D559</f>
        <v/>
      </c>
      <c r="H559" s="28">
        <f>'02a_DC_Capacity_Alloc'!H559*'02a_DC_Capacity_Alloc'!I559*'02a_DC_Capacity_Alloc'!J559</f>
        <v/>
      </c>
      <c r="I559" s="6">
        <f>IFERROR(INDEX('02b_DC_Accelerator_Mix'!$F$2:$F$977,MATCH(G559,'02b_DC_Accelerator_Mix'!$A$2:$A$977,0)),0)</f>
        <v/>
      </c>
      <c r="J559" s="6">
        <f>IFERROR(INDEX('02b_DC_Accelerator_Mix'!$G$2:$G$977,MATCH(G559,'02b_DC_Accelerator_Mix'!$A$2:$A$977,0)),0)</f>
        <v/>
      </c>
      <c r="K559" s="6">
        <f>IFERROR(INDEX('02b_DC_Accelerator_Mix'!$H$2:$H$977,MATCH(G559,'02b_DC_Accelerator_Mix'!$A$2:$A$977,0)),0)</f>
        <v/>
      </c>
      <c r="L559" s="6">
        <f>IFERROR(INDEX('02b_DC_Accelerator_Mix'!$I$2:$I$977,MATCH(G559,'02b_DC_Accelerator_Mix'!$A$2:$A$977,0)),0)</f>
        <v/>
      </c>
      <c r="M559" s="6">
        <f>IFERROR(INDEX('02b_DC_Accelerator_Mix'!$J$2:$J$977,MATCH(G559,'02b_DC_Accelerator_Mix'!$A$2:$A$977,0)),0)</f>
        <v/>
      </c>
      <c r="N559" s="6">
        <f>IFERROR(INDEX('02b_DC_Accelerator_Mix'!$K$2:$K$977,MATCH(G559,'02b_DC_Accelerator_Mix'!$A$2:$A$977,0)),0)</f>
        <v/>
      </c>
      <c r="O559" s="6">
        <f>IFERROR(INDEX('02b_DC_Accelerator_Mix'!$L$2:$L$977,MATCH(G559,'02b_DC_Accelerator_Mix'!$A$2:$A$977,0)),0)</f>
        <v/>
      </c>
      <c r="P559" s="6">
        <f>IFERROR(INDEX('02b_DC_Accelerator_Mix'!$M$2:$M$977,MATCH(G559,'02b_DC_Accelerator_Mix'!$A$2:$A$977,0)),0)</f>
        <v/>
      </c>
      <c r="Q559" s="6">
        <f>IFERROR(INDEX('02b_DC_Accelerator_Mix'!$N$2:$N$977,MATCH(G559,'02b_DC_Accelerator_Mix'!$A$2:$A$977,0)),0)</f>
        <v/>
      </c>
      <c r="R559" s="28">
        <f>H559*I559</f>
        <v/>
      </c>
      <c r="S559" s="28">
        <f>H559*J559</f>
        <v/>
      </c>
      <c r="T559" s="28">
        <f>H559*K559</f>
        <v/>
      </c>
      <c r="U559" s="28">
        <f>H559*L559</f>
        <v/>
      </c>
      <c r="V559" s="28">
        <f>H559*M559</f>
        <v/>
      </c>
      <c r="W559" s="28">
        <f>H559*N559</f>
        <v/>
      </c>
      <c r="X559" s="28">
        <f>H559*O559</f>
        <v/>
      </c>
      <c r="Y559" s="28">
        <f>H559*P559</f>
        <v/>
      </c>
      <c r="Z559" s="28">
        <f>H559*Q559</f>
        <v/>
      </c>
      <c r="AA559" s="28">
        <f>SUM(U559:Z559)</f>
        <v/>
      </c>
      <c r="AB559" s="5">
        <f>IF(COUNTIF('02b_DC_Accelerator_Mix'!$A$2:$A$977,G559)&gt;0,"matched","missing_mix")</f>
        <v/>
      </c>
    </row>
    <row r="560">
      <c r="A560" s="5">
        <f>'02a_DC_Capacity_Alloc'!A560</f>
        <v/>
      </c>
      <c r="B560" s="5">
        <f>'02a_DC_Capacity_Alloc'!B560</f>
        <v/>
      </c>
      <c r="C560" s="5">
        <f>'02a_DC_Capacity_Alloc'!C560</f>
        <v/>
      </c>
      <c r="D560" s="5">
        <f>'02a_DC_Capacity_Alloc'!D560</f>
        <v/>
      </c>
      <c r="E560" s="5">
        <f>'02a_DC_Capacity_Alloc'!E560</f>
        <v/>
      </c>
      <c r="F560" s="5">
        <f>'02a_DC_Capacity_Alloc'!F560</f>
        <v/>
      </c>
      <c r="G560" s="5">
        <f>B560&amp;"|"&amp;E560&amp;"|"&amp;D560</f>
        <v/>
      </c>
      <c r="H560" s="28">
        <f>'02a_DC_Capacity_Alloc'!H560*'02a_DC_Capacity_Alloc'!I560*'02a_DC_Capacity_Alloc'!J560</f>
        <v/>
      </c>
      <c r="I560" s="6">
        <f>IFERROR(INDEX('02b_DC_Accelerator_Mix'!$F$2:$F$977,MATCH(G560,'02b_DC_Accelerator_Mix'!$A$2:$A$977,0)),0)</f>
        <v/>
      </c>
      <c r="J560" s="6">
        <f>IFERROR(INDEX('02b_DC_Accelerator_Mix'!$G$2:$G$977,MATCH(G560,'02b_DC_Accelerator_Mix'!$A$2:$A$977,0)),0)</f>
        <v/>
      </c>
      <c r="K560" s="6">
        <f>IFERROR(INDEX('02b_DC_Accelerator_Mix'!$H$2:$H$977,MATCH(G560,'02b_DC_Accelerator_Mix'!$A$2:$A$977,0)),0)</f>
        <v/>
      </c>
      <c r="L560" s="6">
        <f>IFERROR(INDEX('02b_DC_Accelerator_Mix'!$I$2:$I$977,MATCH(G560,'02b_DC_Accelerator_Mix'!$A$2:$A$977,0)),0)</f>
        <v/>
      </c>
      <c r="M560" s="6">
        <f>IFERROR(INDEX('02b_DC_Accelerator_Mix'!$J$2:$J$977,MATCH(G560,'02b_DC_Accelerator_Mix'!$A$2:$A$977,0)),0)</f>
        <v/>
      </c>
      <c r="N560" s="6">
        <f>IFERROR(INDEX('02b_DC_Accelerator_Mix'!$K$2:$K$977,MATCH(G560,'02b_DC_Accelerator_Mix'!$A$2:$A$977,0)),0)</f>
        <v/>
      </c>
      <c r="O560" s="6">
        <f>IFERROR(INDEX('02b_DC_Accelerator_Mix'!$L$2:$L$977,MATCH(G560,'02b_DC_Accelerator_Mix'!$A$2:$A$977,0)),0)</f>
        <v/>
      </c>
      <c r="P560" s="6">
        <f>IFERROR(INDEX('02b_DC_Accelerator_Mix'!$M$2:$M$977,MATCH(G560,'02b_DC_Accelerator_Mix'!$A$2:$A$977,0)),0)</f>
        <v/>
      </c>
      <c r="Q560" s="6">
        <f>IFERROR(INDEX('02b_DC_Accelerator_Mix'!$N$2:$N$977,MATCH(G560,'02b_DC_Accelerator_Mix'!$A$2:$A$977,0)),0)</f>
        <v/>
      </c>
      <c r="R560" s="28">
        <f>H560*I560</f>
        <v/>
      </c>
      <c r="S560" s="28">
        <f>H560*J560</f>
        <v/>
      </c>
      <c r="T560" s="28">
        <f>H560*K560</f>
        <v/>
      </c>
      <c r="U560" s="28">
        <f>H560*L560</f>
        <v/>
      </c>
      <c r="V560" s="28">
        <f>H560*M560</f>
        <v/>
      </c>
      <c r="W560" s="28">
        <f>H560*N560</f>
        <v/>
      </c>
      <c r="X560" s="28">
        <f>H560*O560</f>
        <v/>
      </c>
      <c r="Y560" s="28">
        <f>H560*P560</f>
        <v/>
      </c>
      <c r="Z560" s="28">
        <f>H560*Q560</f>
        <v/>
      </c>
      <c r="AA560" s="28">
        <f>SUM(U560:Z560)</f>
        <v/>
      </c>
      <c r="AB560" s="5">
        <f>IF(COUNTIF('02b_DC_Accelerator_Mix'!$A$2:$A$977,G560)&gt;0,"matched","missing_mix")</f>
        <v/>
      </c>
    </row>
    <row r="561">
      <c r="A561" s="5">
        <f>'02a_DC_Capacity_Alloc'!A561</f>
        <v/>
      </c>
      <c r="B561" s="5">
        <f>'02a_DC_Capacity_Alloc'!B561</f>
        <v/>
      </c>
      <c r="C561" s="5">
        <f>'02a_DC_Capacity_Alloc'!C561</f>
        <v/>
      </c>
      <c r="D561" s="5">
        <f>'02a_DC_Capacity_Alloc'!D561</f>
        <v/>
      </c>
      <c r="E561" s="5">
        <f>'02a_DC_Capacity_Alloc'!E561</f>
        <v/>
      </c>
      <c r="F561" s="5">
        <f>'02a_DC_Capacity_Alloc'!F561</f>
        <v/>
      </c>
      <c r="G561" s="5">
        <f>B561&amp;"|"&amp;E561&amp;"|"&amp;D561</f>
        <v/>
      </c>
      <c r="H561" s="28">
        <f>'02a_DC_Capacity_Alloc'!H561*'02a_DC_Capacity_Alloc'!I561*'02a_DC_Capacity_Alloc'!J561</f>
        <v/>
      </c>
      <c r="I561" s="6">
        <f>IFERROR(INDEX('02b_DC_Accelerator_Mix'!$F$2:$F$977,MATCH(G561,'02b_DC_Accelerator_Mix'!$A$2:$A$977,0)),0)</f>
        <v/>
      </c>
      <c r="J561" s="6">
        <f>IFERROR(INDEX('02b_DC_Accelerator_Mix'!$G$2:$G$977,MATCH(G561,'02b_DC_Accelerator_Mix'!$A$2:$A$977,0)),0)</f>
        <v/>
      </c>
      <c r="K561" s="6">
        <f>IFERROR(INDEX('02b_DC_Accelerator_Mix'!$H$2:$H$977,MATCH(G561,'02b_DC_Accelerator_Mix'!$A$2:$A$977,0)),0)</f>
        <v/>
      </c>
      <c r="L561" s="6">
        <f>IFERROR(INDEX('02b_DC_Accelerator_Mix'!$I$2:$I$977,MATCH(G561,'02b_DC_Accelerator_Mix'!$A$2:$A$977,0)),0)</f>
        <v/>
      </c>
      <c r="M561" s="6">
        <f>IFERROR(INDEX('02b_DC_Accelerator_Mix'!$J$2:$J$977,MATCH(G561,'02b_DC_Accelerator_Mix'!$A$2:$A$977,0)),0)</f>
        <v/>
      </c>
      <c r="N561" s="6">
        <f>IFERROR(INDEX('02b_DC_Accelerator_Mix'!$K$2:$K$977,MATCH(G561,'02b_DC_Accelerator_Mix'!$A$2:$A$977,0)),0)</f>
        <v/>
      </c>
      <c r="O561" s="6">
        <f>IFERROR(INDEX('02b_DC_Accelerator_Mix'!$L$2:$L$977,MATCH(G561,'02b_DC_Accelerator_Mix'!$A$2:$A$977,0)),0)</f>
        <v/>
      </c>
      <c r="P561" s="6">
        <f>IFERROR(INDEX('02b_DC_Accelerator_Mix'!$M$2:$M$977,MATCH(G561,'02b_DC_Accelerator_Mix'!$A$2:$A$977,0)),0)</f>
        <v/>
      </c>
      <c r="Q561" s="6">
        <f>IFERROR(INDEX('02b_DC_Accelerator_Mix'!$N$2:$N$977,MATCH(G561,'02b_DC_Accelerator_Mix'!$A$2:$A$977,0)),0)</f>
        <v/>
      </c>
      <c r="R561" s="28">
        <f>H561*I561</f>
        <v/>
      </c>
      <c r="S561" s="28">
        <f>H561*J561</f>
        <v/>
      </c>
      <c r="T561" s="28">
        <f>H561*K561</f>
        <v/>
      </c>
      <c r="U561" s="28">
        <f>H561*L561</f>
        <v/>
      </c>
      <c r="V561" s="28">
        <f>H561*M561</f>
        <v/>
      </c>
      <c r="W561" s="28">
        <f>H561*N561</f>
        <v/>
      </c>
      <c r="X561" s="28">
        <f>H561*O561</f>
        <v/>
      </c>
      <c r="Y561" s="28">
        <f>H561*P561</f>
        <v/>
      </c>
      <c r="Z561" s="28">
        <f>H561*Q561</f>
        <v/>
      </c>
      <c r="AA561" s="28">
        <f>SUM(U561:Z561)</f>
        <v/>
      </c>
      <c r="AB561" s="5">
        <f>IF(COUNTIF('02b_DC_Accelerator_Mix'!$A$2:$A$977,G561)&gt;0,"matched","missing_mix")</f>
        <v/>
      </c>
    </row>
    <row r="562">
      <c r="A562" s="5">
        <f>'02a_DC_Capacity_Alloc'!A562</f>
        <v/>
      </c>
      <c r="B562" s="5">
        <f>'02a_DC_Capacity_Alloc'!B562</f>
        <v/>
      </c>
      <c r="C562" s="5">
        <f>'02a_DC_Capacity_Alloc'!C562</f>
        <v/>
      </c>
      <c r="D562" s="5">
        <f>'02a_DC_Capacity_Alloc'!D562</f>
        <v/>
      </c>
      <c r="E562" s="5">
        <f>'02a_DC_Capacity_Alloc'!E562</f>
        <v/>
      </c>
      <c r="F562" s="5">
        <f>'02a_DC_Capacity_Alloc'!F562</f>
        <v/>
      </c>
      <c r="G562" s="5">
        <f>B562&amp;"|"&amp;E562&amp;"|"&amp;D562</f>
        <v/>
      </c>
      <c r="H562" s="28">
        <f>'02a_DC_Capacity_Alloc'!H562*'02a_DC_Capacity_Alloc'!I562*'02a_DC_Capacity_Alloc'!J562</f>
        <v/>
      </c>
      <c r="I562" s="6">
        <f>IFERROR(INDEX('02b_DC_Accelerator_Mix'!$F$2:$F$977,MATCH(G562,'02b_DC_Accelerator_Mix'!$A$2:$A$977,0)),0)</f>
        <v/>
      </c>
      <c r="J562" s="6">
        <f>IFERROR(INDEX('02b_DC_Accelerator_Mix'!$G$2:$G$977,MATCH(G562,'02b_DC_Accelerator_Mix'!$A$2:$A$977,0)),0)</f>
        <v/>
      </c>
      <c r="K562" s="6">
        <f>IFERROR(INDEX('02b_DC_Accelerator_Mix'!$H$2:$H$977,MATCH(G562,'02b_DC_Accelerator_Mix'!$A$2:$A$977,0)),0)</f>
        <v/>
      </c>
      <c r="L562" s="6">
        <f>IFERROR(INDEX('02b_DC_Accelerator_Mix'!$I$2:$I$977,MATCH(G562,'02b_DC_Accelerator_Mix'!$A$2:$A$977,0)),0)</f>
        <v/>
      </c>
      <c r="M562" s="6">
        <f>IFERROR(INDEX('02b_DC_Accelerator_Mix'!$J$2:$J$977,MATCH(G562,'02b_DC_Accelerator_Mix'!$A$2:$A$977,0)),0)</f>
        <v/>
      </c>
      <c r="N562" s="6">
        <f>IFERROR(INDEX('02b_DC_Accelerator_Mix'!$K$2:$K$977,MATCH(G562,'02b_DC_Accelerator_Mix'!$A$2:$A$977,0)),0)</f>
        <v/>
      </c>
      <c r="O562" s="6">
        <f>IFERROR(INDEX('02b_DC_Accelerator_Mix'!$L$2:$L$977,MATCH(G562,'02b_DC_Accelerator_Mix'!$A$2:$A$977,0)),0)</f>
        <v/>
      </c>
      <c r="P562" s="6">
        <f>IFERROR(INDEX('02b_DC_Accelerator_Mix'!$M$2:$M$977,MATCH(G562,'02b_DC_Accelerator_Mix'!$A$2:$A$977,0)),0)</f>
        <v/>
      </c>
      <c r="Q562" s="6">
        <f>IFERROR(INDEX('02b_DC_Accelerator_Mix'!$N$2:$N$977,MATCH(G562,'02b_DC_Accelerator_Mix'!$A$2:$A$977,0)),0)</f>
        <v/>
      </c>
      <c r="R562" s="28">
        <f>H562*I562</f>
        <v/>
      </c>
      <c r="S562" s="28">
        <f>H562*J562</f>
        <v/>
      </c>
      <c r="T562" s="28">
        <f>H562*K562</f>
        <v/>
      </c>
      <c r="U562" s="28">
        <f>H562*L562</f>
        <v/>
      </c>
      <c r="V562" s="28">
        <f>H562*M562</f>
        <v/>
      </c>
      <c r="W562" s="28">
        <f>H562*N562</f>
        <v/>
      </c>
      <c r="X562" s="28">
        <f>H562*O562</f>
        <v/>
      </c>
      <c r="Y562" s="28">
        <f>H562*P562</f>
        <v/>
      </c>
      <c r="Z562" s="28">
        <f>H562*Q562</f>
        <v/>
      </c>
      <c r="AA562" s="28">
        <f>SUM(U562:Z562)</f>
        <v/>
      </c>
      <c r="AB562" s="5">
        <f>IF(COUNTIF('02b_DC_Accelerator_Mix'!$A$2:$A$977,G562)&gt;0,"matched","missing_mix")</f>
        <v/>
      </c>
    </row>
    <row r="563">
      <c r="A563" s="5">
        <f>'02a_DC_Capacity_Alloc'!A563</f>
        <v/>
      </c>
      <c r="B563" s="5">
        <f>'02a_DC_Capacity_Alloc'!B563</f>
        <v/>
      </c>
      <c r="C563" s="5">
        <f>'02a_DC_Capacity_Alloc'!C563</f>
        <v/>
      </c>
      <c r="D563" s="5">
        <f>'02a_DC_Capacity_Alloc'!D563</f>
        <v/>
      </c>
      <c r="E563" s="5">
        <f>'02a_DC_Capacity_Alloc'!E563</f>
        <v/>
      </c>
      <c r="F563" s="5">
        <f>'02a_DC_Capacity_Alloc'!F563</f>
        <v/>
      </c>
      <c r="G563" s="5">
        <f>B563&amp;"|"&amp;E563&amp;"|"&amp;D563</f>
        <v/>
      </c>
      <c r="H563" s="28">
        <f>'02a_DC_Capacity_Alloc'!H563*'02a_DC_Capacity_Alloc'!I563*'02a_DC_Capacity_Alloc'!J563</f>
        <v/>
      </c>
      <c r="I563" s="6">
        <f>IFERROR(INDEX('02b_DC_Accelerator_Mix'!$F$2:$F$977,MATCH(G563,'02b_DC_Accelerator_Mix'!$A$2:$A$977,0)),0)</f>
        <v/>
      </c>
      <c r="J563" s="6">
        <f>IFERROR(INDEX('02b_DC_Accelerator_Mix'!$G$2:$G$977,MATCH(G563,'02b_DC_Accelerator_Mix'!$A$2:$A$977,0)),0)</f>
        <v/>
      </c>
      <c r="K563" s="6">
        <f>IFERROR(INDEX('02b_DC_Accelerator_Mix'!$H$2:$H$977,MATCH(G563,'02b_DC_Accelerator_Mix'!$A$2:$A$977,0)),0)</f>
        <v/>
      </c>
      <c r="L563" s="6">
        <f>IFERROR(INDEX('02b_DC_Accelerator_Mix'!$I$2:$I$977,MATCH(G563,'02b_DC_Accelerator_Mix'!$A$2:$A$977,0)),0)</f>
        <v/>
      </c>
      <c r="M563" s="6">
        <f>IFERROR(INDEX('02b_DC_Accelerator_Mix'!$J$2:$J$977,MATCH(G563,'02b_DC_Accelerator_Mix'!$A$2:$A$977,0)),0)</f>
        <v/>
      </c>
      <c r="N563" s="6">
        <f>IFERROR(INDEX('02b_DC_Accelerator_Mix'!$K$2:$K$977,MATCH(G563,'02b_DC_Accelerator_Mix'!$A$2:$A$977,0)),0)</f>
        <v/>
      </c>
      <c r="O563" s="6">
        <f>IFERROR(INDEX('02b_DC_Accelerator_Mix'!$L$2:$L$977,MATCH(G563,'02b_DC_Accelerator_Mix'!$A$2:$A$977,0)),0)</f>
        <v/>
      </c>
      <c r="P563" s="6">
        <f>IFERROR(INDEX('02b_DC_Accelerator_Mix'!$M$2:$M$977,MATCH(G563,'02b_DC_Accelerator_Mix'!$A$2:$A$977,0)),0)</f>
        <v/>
      </c>
      <c r="Q563" s="6">
        <f>IFERROR(INDEX('02b_DC_Accelerator_Mix'!$N$2:$N$977,MATCH(G563,'02b_DC_Accelerator_Mix'!$A$2:$A$977,0)),0)</f>
        <v/>
      </c>
      <c r="R563" s="28">
        <f>H563*I563</f>
        <v/>
      </c>
      <c r="S563" s="28">
        <f>H563*J563</f>
        <v/>
      </c>
      <c r="T563" s="28">
        <f>H563*K563</f>
        <v/>
      </c>
      <c r="U563" s="28">
        <f>H563*L563</f>
        <v/>
      </c>
      <c r="V563" s="28">
        <f>H563*M563</f>
        <v/>
      </c>
      <c r="W563" s="28">
        <f>H563*N563</f>
        <v/>
      </c>
      <c r="X563" s="28">
        <f>H563*O563</f>
        <v/>
      </c>
      <c r="Y563" s="28">
        <f>H563*P563</f>
        <v/>
      </c>
      <c r="Z563" s="28">
        <f>H563*Q563</f>
        <v/>
      </c>
      <c r="AA563" s="28">
        <f>SUM(U563:Z563)</f>
        <v/>
      </c>
      <c r="AB563" s="5">
        <f>IF(COUNTIF('02b_DC_Accelerator_Mix'!$A$2:$A$977,G563)&gt;0,"matched","missing_mix")</f>
        <v/>
      </c>
    </row>
    <row r="564">
      <c r="A564" s="5">
        <f>'02a_DC_Capacity_Alloc'!A564</f>
        <v/>
      </c>
      <c r="B564" s="5">
        <f>'02a_DC_Capacity_Alloc'!B564</f>
        <v/>
      </c>
      <c r="C564" s="5">
        <f>'02a_DC_Capacity_Alloc'!C564</f>
        <v/>
      </c>
      <c r="D564" s="5">
        <f>'02a_DC_Capacity_Alloc'!D564</f>
        <v/>
      </c>
      <c r="E564" s="5">
        <f>'02a_DC_Capacity_Alloc'!E564</f>
        <v/>
      </c>
      <c r="F564" s="5">
        <f>'02a_DC_Capacity_Alloc'!F564</f>
        <v/>
      </c>
      <c r="G564" s="5">
        <f>B564&amp;"|"&amp;E564&amp;"|"&amp;D564</f>
        <v/>
      </c>
      <c r="H564" s="28">
        <f>'02a_DC_Capacity_Alloc'!H564*'02a_DC_Capacity_Alloc'!I564*'02a_DC_Capacity_Alloc'!J564</f>
        <v/>
      </c>
      <c r="I564" s="6">
        <f>IFERROR(INDEX('02b_DC_Accelerator_Mix'!$F$2:$F$977,MATCH(G564,'02b_DC_Accelerator_Mix'!$A$2:$A$977,0)),0)</f>
        <v/>
      </c>
      <c r="J564" s="6">
        <f>IFERROR(INDEX('02b_DC_Accelerator_Mix'!$G$2:$G$977,MATCH(G564,'02b_DC_Accelerator_Mix'!$A$2:$A$977,0)),0)</f>
        <v/>
      </c>
      <c r="K564" s="6">
        <f>IFERROR(INDEX('02b_DC_Accelerator_Mix'!$H$2:$H$977,MATCH(G564,'02b_DC_Accelerator_Mix'!$A$2:$A$977,0)),0)</f>
        <v/>
      </c>
      <c r="L564" s="6">
        <f>IFERROR(INDEX('02b_DC_Accelerator_Mix'!$I$2:$I$977,MATCH(G564,'02b_DC_Accelerator_Mix'!$A$2:$A$977,0)),0)</f>
        <v/>
      </c>
      <c r="M564" s="6">
        <f>IFERROR(INDEX('02b_DC_Accelerator_Mix'!$J$2:$J$977,MATCH(G564,'02b_DC_Accelerator_Mix'!$A$2:$A$977,0)),0)</f>
        <v/>
      </c>
      <c r="N564" s="6">
        <f>IFERROR(INDEX('02b_DC_Accelerator_Mix'!$K$2:$K$977,MATCH(G564,'02b_DC_Accelerator_Mix'!$A$2:$A$977,0)),0)</f>
        <v/>
      </c>
      <c r="O564" s="6">
        <f>IFERROR(INDEX('02b_DC_Accelerator_Mix'!$L$2:$L$977,MATCH(G564,'02b_DC_Accelerator_Mix'!$A$2:$A$977,0)),0)</f>
        <v/>
      </c>
      <c r="P564" s="6">
        <f>IFERROR(INDEX('02b_DC_Accelerator_Mix'!$M$2:$M$977,MATCH(G564,'02b_DC_Accelerator_Mix'!$A$2:$A$977,0)),0)</f>
        <v/>
      </c>
      <c r="Q564" s="6">
        <f>IFERROR(INDEX('02b_DC_Accelerator_Mix'!$N$2:$N$977,MATCH(G564,'02b_DC_Accelerator_Mix'!$A$2:$A$977,0)),0)</f>
        <v/>
      </c>
      <c r="R564" s="28">
        <f>H564*I564</f>
        <v/>
      </c>
      <c r="S564" s="28">
        <f>H564*J564</f>
        <v/>
      </c>
      <c r="T564" s="28">
        <f>H564*K564</f>
        <v/>
      </c>
      <c r="U564" s="28">
        <f>H564*L564</f>
        <v/>
      </c>
      <c r="V564" s="28">
        <f>H564*M564</f>
        <v/>
      </c>
      <c r="W564" s="28">
        <f>H564*N564</f>
        <v/>
      </c>
      <c r="X564" s="28">
        <f>H564*O564</f>
        <v/>
      </c>
      <c r="Y564" s="28">
        <f>H564*P564</f>
        <v/>
      </c>
      <c r="Z564" s="28">
        <f>H564*Q564</f>
        <v/>
      </c>
      <c r="AA564" s="28">
        <f>SUM(U564:Z564)</f>
        <v/>
      </c>
      <c r="AB564" s="5">
        <f>IF(COUNTIF('02b_DC_Accelerator_Mix'!$A$2:$A$977,G564)&gt;0,"matched","missing_mix")</f>
        <v/>
      </c>
    </row>
    <row r="565">
      <c r="A565" s="5">
        <f>'02a_DC_Capacity_Alloc'!A565</f>
        <v/>
      </c>
      <c r="B565" s="5">
        <f>'02a_DC_Capacity_Alloc'!B565</f>
        <v/>
      </c>
      <c r="C565" s="5">
        <f>'02a_DC_Capacity_Alloc'!C565</f>
        <v/>
      </c>
      <c r="D565" s="5">
        <f>'02a_DC_Capacity_Alloc'!D565</f>
        <v/>
      </c>
      <c r="E565" s="5">
        <f>'02a_DC_Capacity_Alloc'!E565</f>
        <v/>
      </c>
      <c r="F565" s="5">
        <f>'02a_DC_Capacity_Alloc'!F565</f>
        <v/>
      </c>
      <c r="G565" s="5">
        <f>B565&amp;"|"&amp;E565&amp;"|"&amp;D565</f>
        <v/>
      </c>
      <c r="H565" s="28">
        <f>'02a_DC_Capacity_Alloc'!H565*'02a_DC_Capacity_Alloc'!I565*'02a_DC_Capacity_Alloc'!J565</f>
        <v/>
      </c>
      <c r="I565" s="6">
        <f>IFERROR(INDEX('02b_DC_Accelerator_Mix'!$F$2:$F$977,MATCH(G565,'02b_DC_Accelerator_Mix'!$A$2:$A$977,0)),0)</f>
        <v/>
      </c>
      <c r="J565" s="6">
        <f>IFERROR(INDEX('02b_DC_Accelerator_Mix'!$G$2:$G$977,MATCH(G565,'02b_DC_Accelerator_Mix'!$A$2:$A$977,0)),0)</f>
        <v/>
      </c>
      <c r="K565" s="6">
        <f>IFERROR(INDEX('02b_DC_Accelerator_Mix'!$H$2:$H$977,MATCH(G565,'02b_DC_Accelerator_Mix'!$A$2:$A$977,0)),0)</f>
        <v/>
      </c>
      <c r="L565" s="6">
        <f>IFERROR(INDEX('02b_DC_Accelerator_Mix'!$I$2:$I$977,MATCH(G565,'02b_DC_Accelerator_Mix'!$A$2:$A$977,0)),0)</f>
        <v/>
      </c>
      <c r="M565" s="6">
        <f>IFERROR(INDEX('02b_DC_Accelerator_Mix'!$J$2:$J$977,MATCH(G565,'02b_DC_Accelerator_Mix'!$A$2:$A$977,0)),0)</f>
        <v/>
      </c>
      <c r="N565" s="6">
        <f>IFERROR(INDEX('02b_DC_Accelerator_Mix'!$K$2:$K$977,MATCH(G565,'02b_DC_Accelerator_Mix'!$A$2:$A$977,0)),0)</f>
        <v/>
      </c>
      <c r="O565" s="6">
        <f>IFERROR(INDEX('02b_DC_Accelerator_Mix'!$L$2:$L$977,MATCH(G565,'02b_DC_Accelerator_Mix'!$A$2:$A$977,0)),0)</f>
        <v/>
      </c>
      <c r="P565" s="6">
        <f>IFERROR(INDEX('02b_DC_Accelerator_Mix'!$M$2:$M$977,MATCH(G565,'02b_DC_Accelerator_Mix'!$A$2:$A$977,0)),0)</f>
        <v/>
      </c>
      <c r="Q565" s="6">
        <f>IFERROR(INDEX('02b_DC_Accelerator_Mix'!$N$2:$N$977,MATCH(G565,'02b_DC_Accelerator_Mix'!$A$2:$A$977,0)),0)</f>
        <v/>
      </c>
      <c r="R565" s="28">
        <f>H565*I565</f>
        <v/>
      </c>
      <c r="S565" s="28">
        <f>H565*J565</f>
        <v/>
      </c>
      <c r="T565" s="28">
        <f>H565*K565</f>
        <v/>
      </c>
      <c r="U565" s="28">
        <f>H565*L565</f>
        <v/>
      </c>
      <c r="V565" s="28">
        <f>H565*M565</f>
        <v/>
      </c>
      <c r="W565" s="28">
        <f>H565*N565</f>
        <v/>
      </c>
      <c r="X565" s="28">
        <f>H565*O565</f>
        <v/>
      </c>
      <c r="Y565" s="28">
        <f>H565*P565</f>
        <v/>
      </c>
      <c r="Z565" s="28">
        <f>H565*Q565</f>
        <v/>
      </c>
      <c r="AA565" s="28">
        <f>SUM(U565:Z565)</f>
        <v/>
      </c>
      <c r="AB565" s="5">
        <f>IF(COUNTIF('02b_DC_Accelerator_Mix'!$A$2:$A$977,G565)&gt;0,"matched","missing_mix")</f>
        <v/>
      </c>
    </row>
    <row r="566">
      <c r="A566" s="5">
        <f>'02a_DC_Capacity_Alloc'!A566</f>
        <v/>
      </c>
      <c r="B566" s="5">
        <f>'02a_DC_Capacity_Alloc'!B566</f>
        <v/>
      </c>
      <c r="C566" s="5">
        <f>'02a_DC_Capacity_Alloc'!C566</f>
        <v/>
      </c>
      <c r="D566" s="5">
        <f>'02a_DC_Capacity_Alloc'!D566</f>
        <v/>
      </c>
      <c r="E566" s="5">
        <f>'02a_DC_Capacity_Alloc'!E566</f>
        <v/>
      </c>
      <c r="F566" s="5">
        <f>'02a_DC_Capacity_Alloc'!F566</f>
        <v/>
      </c>
      <c r="G566" s="5">
        <f>B566&amp;"|"&amp;E566&amp;"|"&amp;D566</f>
        <v/>
      </c>
      <c r="H566" s="28">
        <f>'02a_DC_Capacity_Alloc'!H566*'02a_DC_Capacity_Alloc'!I566*'02a_DC_Capacity_Alloc'!J566</f>
        <v/>
      </c>
      <c r="I566" s="6">
        <f>IFERROR(INDEX('02b_DC_Accelerator_Mix'!$F$2:$F$977,MATCH(G566,'02b_DC_Accelerator_Mix'!$A$2:$A$977,0)),0)</f>
        <v/>
      </c>
      <c r="J566" s="6">
        <f>IFERROR(INDEX('02b_DC_Accelerator_Mix'!$G$2:$G$977,MATCH(G566,'02b_DC_Accelerator_Mix'!$A$2:$A$977,0)),0)</f>
        <v/>
      </c>
      <c r="K566" s="6">
        <f>IFERROR(INDEX('02b_DC_Accelerator_Mix'!$H$2:$H$977,MATCH(G566,'02b_DC_Accelerator_Mix'!$A$2:$A$977,0)),0)</f>
        <v/>
      </c>
      <c r="L566" s="6">
        <f>IFERROR(INDEX('02b_DC_Accelerator_Mix'!$I$2:$I$977,MATCH(G566,'02b_DC_Accelerator_Mix'!$A$2:$A$977,0)),0)</f>
        <v/>
      </c>
      <c r="M566" s="6">
        <f>IFERROR(INDEX('02b_DC_Accelerator_Mix'!$J$2:$J$977,MATCH(G566,'02b_DC_Accelerator_Mix'!$A$2:$A$977,0)),0)</f>
        <v/>
      </c>
      <c r="N566" s="6">
        <f>IFERROR(INDEX('02b_DC_Accelerator_Mix'!$K$2:$K$977,MATCH(G566,'02b_DC_Accelerator_Mix'!$A$2:$A$977,0)),0)</f>
        <v/>
      </c>
      <c r="O566" s="6">
        <f>IFERROR(INDEX('02b_DC_Accelerator_Mix'!$L$2:$L$977,MATCH(G566,'02b_DC_Accelerator_Mix'!$A$2:$A$977,0)),0)</f>
        <v/>
      </c>
      <c r="P566" s="6">
        <f>IFERROR(INDEX('02b_DC_Accelerator_Mix'!$M$2:$M$977,MATCH(G566,'02b_DC_Accelerator_Mix'!$A$2:$A$977,0)),0)</f>
        <v/>
      </c>
      <c r="Q566" s="6">
        <f>IFERROR(INDEX('02b_DC_Accelerator_Mix'!$N$2:$N$977,MATCH(G566,'02b_DC_Accelerator_Mix'!$A$2:$A$977,0)),0)</f>
        <v/>
      </c>
      <c r="R566" s="28">
        <f>H566*I566</f>
        <v/>
      </c>
      <c r="S566" s="28">
        <f>H566*J566</f>
        <v/>
      </c>
      <c r="T566" s="28">
        <f>H566*K566</f>
        <v/>
      </c>
      <c r="U566" s="28">
        <f>H566*L566</f>
        <v/>
      </c>
      <c r="V566" s="28">
        <f>H566*M566</f>
        <v/>
      </c>
      <c r="W566" s="28">
        <f>H566*N566</f>
        <v/>
      </c>
      <c r="X566" s="28">
        <f>H566*O566</f>
        <v/>
      </c>
      <c r="Y566" s="28">
        <f>H566*P566</f>
        <v/>
      </c>
      <c r="Z566" s="28">
        <f>H566*Q566</f>
        <v/>
      </c>
      <c r="AA566" s="28">
        <f>SUM(U566:Z566)</f>
        <v/>
      </c>
      <c r="AB566" s="5">
        <f>IF(COUNTIF('02b_DC_Accelerator_Mix'!$A$2:$A$977,G566)&gt;0,"matched","missing_mix")</f>
        <v/>
      </c>
    </row>
    <row r="567">
      <c r="A567" s="5">
        <f>'02a_DC_Capacity_Alloc'!A567</f>
        <v/>
      </c>
      <c r="B567" s="5">
        <f>'02a_DC_Capacity_Alloc'!B567</f>
        <v/>
      </c>
      <c r="C567" s="5">
        <f>'02a_DC_Capacity_Alloc'!C567</f>
        <v/>
      </c>
      <c r="D567" s="5">
        <f>'02a_DC_Capacity_Alloc'!D567</f>
        <v/>
      </c>
      <c r="E567" s="5">
        <f>'02a_DC_Capacity_Alloc'!E567</f>
        <v/>
      </c>
      <c r="F567" s="5">
        <f>'02a_DC_Capacity_Alloc'!F567</f>
        <v/>
      </c>
      <c r="G567" s="5">
        <f>B567&amp;"|"&amp;E567&amp;"|"&amp;D567</f>
        <v/>
      </c>
      <c r="H567" s="28">
        <f>'02a_DC_Capacity_Alloc'!H567*'02a_DC_Capacity_Alloc'!I567*'02a_DC_Capacity_Alloc'!J567</f>
        <v/>
      </c>
      <c r="I567" s="6">
        <f>IFERROR(INDEX('02b_DC_Accelerator_Mix'!$F$2:$F$977,MATCH(G567,'02b_DC_Accelerator_Mix'!$A$2:$A$977,0)),0)</f>
        <v/>
      </c>
      <c r="J567" s="6">
        <f>IFERROR(INDEX('02b_DC_Accelerator_Mix'!$G$2:$G$977,MATCH(G567,'02b_DC_Accelerator_Mix'!$A$2:$A$977,0)),0)</f>
        <v/>
      </c>
      <c r="K567" s="6">
        <f>IFERROR(INDEX('02b_DC_Accelerator_Mix'!$H$2:$H$977,MATCH(G567,'02b_DC_Accelerator_Mix'!$A$2:$A$977,0)),0)</f>
        <v/>
      </c>
      <c r="L567" s="6">
        <f>IFERROR(INDEX('02b_DC_Accelerator_Mix'!$I$2:$I$977,MATCH(G567,'02b_DC_Accelerator_Mix'!$A$2:$A$977,0)),0)</f>
        <v/>
      </c>
      <c r="M567" s="6">
        <f>IFERROR(INDEX('02b_DC_Accelerator_Mix'!$J$2:$J$977,MATCH(G567,'02b_DC_Accelerator_Mix'!$A$2:$A$977,0)),0)</f>
        <v/>
      </c>
      <c r="N567" s="6">
        <f>IFERROR(INDEX('02b_DC_Accelerator_Mix'!$K$2:$K$977,MATCH(G567,'02b_DC_Accelerator_Mix'!$A$2:$A$977,0)),0)</f>
        <v/>
      </c>
      <c r="O567" s="6">
        <f>IFERROR(INDEX('02b_DC_Accelerator_Mix'!$L$2:$L$977,MATCH(G567,'02b_DC_Accelerator_Mix'!$A$2:$A$977,0)),0)</f>
        <v/>
      </c>
      <c r="P567" s="6">
        <f>IFERROR(INDEX('02b_DC_Accelerator_Mix'!$M$2:$M$977,MATCH(G567,'02b_DC_Accelerator_Mix'!$A$2:$A$977,0)),0)</f>
        <v/>
      </c>
      <c r="Q567" s="6">
        <f>IFERROR(INDEX('02b_DC_Accelerator_Mix'!$N$2:$N$977,MATCH(G567,'02b_DC_Accelerator_Mix'!$A$2:$A$977,0)),0)</f>
        <v/>
      </c>
      <c r="R567" s="28">
        <f>H567*I567</f>
        <v/>
      </c>
      <c r="S567" s="28">
        <f>H567*J567</f>
        <v/>
      </c>
      <c r="T567" s="28">
        <f>H567*K567</f>
        <v/>
      </c>
      <c r="U567" s="28">
        <f>H567*L567</f>
        <v/>
      </c>
      <c r="V567" s="28">
        <f>H567*M567</f>
        <v/>
      </c>
      <c r="W567" s="28">
        <f>H567*N567</f>
        <v/>
      </c>
      <c r="X567" s="28">
        <f>H567*O567</f>
        <v/>
      </c>
      <c r="Y567" s="28">
        <f>H567*P567</f>
        <v/>
      </c>
      <c r="Z567" s="28">
        <f>H567*Q567</f>
        <v/>
      </c>
      <c r="AA567" s="28">
        <f>SUM(U567:Z567)</f>
        <v/>
      </c>
      <c r="AB567" s="5">
        <f>IF(COUNTIF('02b_DC_Accelerator_Mix'!$A$2:$A$977,G567)&gt;0,"matched","missing_mix")</f>
        <v/>
      </c>
    </row>
    <row r="568">
      <c r="A568" s="5">
        <f>'02a_DC_Capacity_Alloc'!A568</f>
        <v/>
      </c>
      <c r="B568" s="5">
        <f>'02a_DC_Capacity_Alloc'!B568</f>
        <v/>
      </c>
      <c r="C568" s="5">
        <f>'02a_DC_Capacity_Alloc'!C568</f>
        <v/>
      </c>
      <c r="D568" s="5">
        <f>'02a_DC_Capacity_Alloc'!D568</f>
        <v/>
      </c>
      <c r="E568" s="5">
        <f>'02a_DC_Capacity_Alloc'!E568</f>
        <v/>
      </c>
      <c r="F568" s="5">
        <f>'02a_DC_Capacity_Alloc'!F568</f>
        <v/>
      </c>
      <c r="G568" s="5">
        <f>B568&amp;"|"&amp;E568&amp;"|"&amp;D568</f>
        <v/>
      </c>
      <c r="H568" s="28">
        <f>'02a_DC_Capacity_Alloc'!H568*'02a_DC_Capacity_Alloc'!I568*'02a_DC_Capacity_Alloc'!J568</f>
        <v/>
      </c>
      <c r="I568" s="6">
        <f>IFERROR(INDEX('02b_DC_Accelerator_Mix'!$F$2:$F$977,MATCH(G568,'02b_DC_Accelerator_Mix'!$A$2:$A$977,0)),0)</f>
        <v/>
      </c>
      <c r="J568" s="6">
        <f>IFERROR(INDEX('02b_DC_Accelerator_Mix'!$G$2:$G$977,MATCH(G568,'02b_DC_Accelerator_Mix'!$A$2:$A$977,0)),0)</f>
        <v/>
      </c>
      <c r="K568" s="6">
        <f>IFERROR(INDEX('02b_DC_Accelerator_Mix'!$H$2:$H$977,MATCH(G568,'02b_DC_Accelerator_Mix'!$A$2:$A$977,0)),0)</f>
        <v/>
      </c>
      <c r="L568" s="6">
        <f>IFERROR(INDEX('02b_DC_Accelerator_Mix'!$I$2:$I$977,MATCH(G568,'02b_DC_Accelerator_Mix'!$A$2:$A$977,0)),0)</f>
        <v/>
      </c>
      <c r="M568" s="6">
        <f>IFERROR(INDEX('02b_DC_Accelerator_Mix'!$J$2:$J$977,MATCH(G568,'02b_DC_Accelerator_Mix'!$A$2:$A$977,0)),0)</f>
        <v/>
      </c>
      <c r="N568" s="6">
        <f>IFERROR(INDEX('02b_DC_Accelerator_Mix'!$K$2:$K$977,MATCH(G568,'02b_DC_Accelerator_Mix'!$A$2:$A$977,0)),0)</f>
        <v/>
      </c>
      <c r="O568" s="6">
        <f>IFERROR(INDEX('02b_DC_Accelerator_Mix'!$L$2:$L$977,MATCH(G568,'02b_DC_Accelerator_Mix'!$A$2:$A$977,0)),0)</f>
        <v/>
      </c>
      <c r="P568" s="6">
        <f>IFERROR(INDEX('02b_DC_Accelerator_Mix'!$M$2:$M$977,MATCH(G568,'02b_DC_Accelerator_Mix'!$A$2:$A$977,0)),0)</f>
        <v/>
      </c>
      <c r="Q568" s="6">
        <f>IFERROR(INDEX('02b_DC_Accelerator_Mix'!$N$2:$N$977,MATCH(G568,'02b_DC_Accelerator_Mix'!$A$2:$A$977,0)),0)</f>
        <v/>
      </c>
      <c r="R568" s="28">
        <f>H568*I568</f>
        <v/>
      </c>
      <c r="S568" s="28">
        <f>H568*J568</f>
        <v/>
      </c>
      <c r="T568" s="28">
        <f>H568*K568</f>
        <v/>
      </c>
      <c r="U568" s="28">
        <f>H568*L568</f>
        <v/>
      </c>
      <c r="V568" s="28">
        <f>H568*M568</f>
        <v/>
      </c>
      <c r="W568" s="28">
        <f>H568*N568</f>
        <v/>
      </c>
      <c r="X568" s="28">
        <f>H568*O568</f>
        <v/>
      </c>
      <c r="Y568" s="28">
        <f>H568*P568</f>
        <v/>
      </c>
      <c r="Z568" s="28">
        <f>H568*Q568</f>
        <v/>
      </c>
      <c r="AA568" s="28">
        <f>SUM(U568:Z568)</f>
        <v/>
      </c>
      <c r="AB568" s="5">
        <f>IF(COUNTIF('02b_DC_Accelerator_Mix'!$A$2:$A$977,G568)&gt;0,"matched","missing_mix")</f>
        <v/>
      </c>
    </row>
    <row r="569">
      <c r="A569" s="5">
        <f>'02a_DC_Capacity_Alloc'!A569</f>
        <v/>
      </c>
      <c r="B569" s="5">
        <f>'02a_DC_Capacity_Alloc'!B569</f>
        <v/>
      </c>
      <c r="C569" s="5">
        <f>'02a_DC_Capacity_Alloc'!C569</f>
        <v/>
      </c>
      <c r="D569" s="5">
        <f>'02a_DC_Capacity_Alloc'!D569</f>
        <v/>
      </c>
      <c r="E569" s="5">
        <f>'02a_DC_Capacity_Alloc'!E569</f>
        <v/>
      </c>
      <c r="F569" s="5">
        <f>'02a_DC_Capacity_Alloc'!F569</f>
        <v/>
      </c>
      <c r="G569" s="5">
        <f>B569&amp;"|"&amp;E569&amp;"|"&amp;D569</f>
        <v/>
      </c>
      <c r="H569" s="28">
        <f>'02a_DC_Capacity_Alloc'!H569*'02a_DC_Capacity_Alloc'!I569*'02a_DC_Capacity_Alloc'!J569</f>
        <v/>
      </c>
      <c r="I569" s="6">
        <f>IFERROR(INDEX('02b_DC_Accelerator_Mix'!$F$2:$F$977,MATCH(G569,'02b_DC_Accelerator_Mix'!$A$2:$A$977,0)),0)</f>
        <v/>
      </c>
      <c r="J569" s="6">
        <f>IFERROR(INDEX('02b_DC_Accelerator_Mix'!$G$2:$G$977,MATCH(G569,'02b_DC_Accelerator_Mix'!$A$2:$A$977,0)),0)</f>
        <v/>
      </c>
      <c r="K569" s="6">
        <f>IFERROR(INDEX('02b_DC_Accelerator_Mix'!$H$2:$H$977,MATCH(G569,'02b_DC_Accelerator_Mix'!$A$2:$A$977,0)),0)</f>
        <v/>
      </c>
      <c r="L569" s="6">
        <f>IFERROR(INDEX('02b_DC_Accelerator_Mix'!$I$2:$I$977,MATCH(G569,'02b_DC_Accelerator_Mix'!$A$2:$A$977,0)),0)</f>
        <v/>
      </c>
      <c r="M569" s="6">
        <f>IFERROR(INDEX('02b_DC_Accelerator_Mix'!$J$2:$J$977,MATCH(G569,'02b_DC_Accelerator_Mix'!$A$2:$A$977,0)),0)</f>
        <v/>
      </c>
      <c r="N569" s="6">
        <f>IFERROR(INDEX('02b_DC_Accelerator_Mix'!$K$2:$K$977,MATCH(G569,'02b_DC_Accelerator_Mix'!$A$2:$A$977,0)),0)</f>
        <v/>
      </c>
      <c r="O569" s="6">
        <f>IFERROR(INDEX('02b_DC_Accelerator_Mix'!$L$2:$L$977,MATCH(G569,'02b_DC_Accelerator_Mix'!$A$2:$A$977,0)),0)</f>
        <v/>
      </c>
      <c r="P569" s="6">
        <f>IFERROR(INDEX('02b_DC_Accelerator_Mix'!$M$2:$M$977,MATCH(G569,'02b_DC_Accelerator_Mix'!$A$2:$A$977,0)),0)</f>
        <v/>
      </c>
      <c r="Q569" s="6">
        <f>IFERROR(INDEX('02b_DC_Accelerator_Mix'!$N$2:$N$977,MATCH(G569,'02b_DC_Accelerator_Mix'!$A$2:$A$977,0)),0)</f>
        <v/>
      </c>
      <c r="R569" s="28">
        <f>H569*I569</f>
        <v/>
      </c>
      <c r="S569" s="28">
        <f>H569*J569</f>
        <v/>
      </c>
      <c r="T569" s="28">
        <f>H569*K569</f>
        <v/>
      </c>
      <c r="U569" s="28">
        <f>H569*L569</f>
        <v/>
      </c>
      <c r="V569" s="28">
        <f>H569*M569</f>
        <v/>
      </c>
      <c r="W569" s="28">
        <f>H569*N569</f>
        <v/>
      </c>
      <c r="X569" s="28">
        <f>H569*O569</f>
        <v/>
      </c>
      <c r="Y569" s="28">
        <f>H569*P569</f>
        <v/>
      </c>
      <c r="Z569" s="28">
        <f>H569*Q569</f>
        <v/>
      </c>
      <c r="AA569" s="28">
        <f>SUM(U569:Z569)</f>
        <v/>
      </c>
      <c r="AB569" s="5">
        <f>IF(COUNTIF('02b_DC_Accelerator_Mix'!$A$2:$A$977,G569)&gt;0,"matched","missing_mix")</f>
        <v/>
      </c>
    </row>
    <row r="570">
      <c r="A570" s="5">
        <f>'02a_DC_Capacity_Alloc'!A570</f>
        <v/>
      </c>
      <c r="B570" s="5">
        <f>'02a_DC_Capacity_Alloc'!B570</f>
        <v/>
      </c>
      <c r="C570" s="5">
        <f>'02a_DC_Capacity_Alloc'!C570</f>
        <v/>
      </c>
      <c r="D570" s="5">
        <f>'02a_DC_Capacity_Alloc'!D570</f>
        <v/>
      </c>
      <c r="E570" s="5">
        <f>'02a_DC_Capacity_Alloc'!E570</f>
        <v/>
      </c>
      <c r="F570" s="5">
        <f>'02a_DC_Capacity_Alloc'!F570</f>
        <v/>
      </c>
      <c r="G570" s="5">
        <f>B570&amp;"|"&amp;E570&amp;"|"&amp;D570</f>
        <v/>
      </c>
      <c r="H570" s="28">
        <f>'02a_DC_Capacity_Alloc'!H570*'02a_DC_Capacity_Alloc'!I570*'02a_DC_Capacity_Alloc'!J570</f>
        <v/>
      </c>
      <c r="I570" s="6">
        <f>IFERROR(INDEX('02b_DC_Accelerator_Mix'!$F$2:$F$977,MATCH(G570,'02b_DC_Accelerator_Mix'!$A$2:$A$977,0)),0)</f>
        <v/>
      </c>
      <c r="J570" s="6">
        <f>IFERROR(INDEX('02b_DC_Accelerator_Mix'!$G$2:$G$977,MATCH(G570,'02b_DC_Accelerator_Mix'!$A$2:$A$977,0)),0)</f>
        <v/>
      </c>
      <c r="K570" s="6">
        <f>IFERROR(INDEX('02b_DC_Accelerator_Mix'!$H$2:$H$977,MATCH(G570,'02b_DC_Accelerator_Mix'!$A$2:$A$977,0)),0)</f>
        <v/>
      </c>
      <c r="L570" s="6">
        <f>IFERROR(INDEX('02b_DC_Accelerator_Mix'!$I$2:$I$977,MATCH(G570,'02b_DC_Accelerator_Mix'!$A$2:$A$977,0)),0)</f>
        <v/>
      </c>
      <c r="M570" s="6">
        <f>IFERROR(INDEX('02b_DC_Accelerator_Mix'!$J$2:$J$977,MATCH(G570,'02b_DC_Accelerator_Mix'!$A$2:$A$977,0)),0)</f>
        <v/>
      </c>
      <c r="N570" s="6">
        <f>IFERROR(INDEX('02b_DC_Accelerator_Mix'!$K$2:$K$977,MATCH(G570,'02b_DC_Accelerator_Mix'!$A$2:$A$977,0)),0)</f>
        <v/>
      </c>
      <c r="O570" s="6">
        <f>IFERROR(INDEX('02b_DC_Accelerator_Mix'!$L$2:$L$977,MATCH(G570,'02b_DC_Accelerator_Mix'!$A$2:$A$977,0)),0)</f>
        <v/>
      </c>
      <c r="P570" s="6">
        <f>IFERROR(INDEX('02b_DC_Accelerator_Mix'!$M$2:$M$977,MATCH(G570,'02b_DC_Accelerator_Mix'!$A$2:$A$977,0)),0)</f>
        <v/>
      </c>
      <c r="Q570" s="6">
        <f>IFERROR(INDEX('02b_DC_Accelerator_Mix'!$N$2:$N$977,MATCH(G570,'02b_DC_Accelerator_Mix'!$A$2:$A$977,0)),0)</f>
        <v/>
      </c>
      <c r="R570" s="28">
        <f>H570*I570</f>
        <v/>
      </c>
      <c r="S570" s="28">
        <f>H570*J570</f>
        <v/>
      </c>
      <c r="T570" s="28">
        <f>H570*K570</f>
        <v/>
      </c>
      <c r="U570" s="28">
        <f>H570*L570</f>
        <v/>
      </c>
      <c r="V570" s="28">
        <f>H570*M570</f>
        <v/>
      </c>
      <c r="W570" s="28">
        <f>H570*N570</f>
        <v/>
      </c>
      <c r="X570" s="28">
        <f>H570*O570</f>
        <v/>
      </c>
      <c r="Y570" s="28">
        <f>H570*P570</f>
        <v/>
      </c>
      <c r="Z570" s="28">
        <f>H570*Q570</f>
        <v/>
      </c>
      <c r="AA570" s="28">
        <f>SUM(U570:Z570)</f>
        <v/>
      </c>
      <c r="AB570" s="5">
        <f>IF(COUNTIF('02b_DC_Accelerator_Mix'!$A$2:$A$977,G570)&gt;0,"matched","missing_mix")</f>
        <v/>
      </c>
    </row>
    <row r="571">
      <c r="A571" s="5">
        <f>'02a_DC_Capacity_Alloc'!A571</f>
        <v/>
      </c>
      <c r="B571" s="5">
        <f>'02a_DC_Capacity_Alloc'!B571</f>
        <v/>
      </c>
      <c r="C571" s="5">
        <f>'02a_DC_Capacity_Alloc'!C571</f>
        <v/>
      </c>
      <c r="D571" s="5">
        <f>'02a_DC_Capacity_Alloc'!D571</f>
        <v/>
      </c>
      <c r="E571" s="5">
        <f>'02a_DC_Capacity_Alloc'!E571</f>
        <v/>
      </c>
      <c r="F571" s="5">
        <f>'02a_DC_Capacity_Alloc'!F571</f>
        <v/>
      </c>
      <c r="G571" s="5">
        <f>B571&amp;"|"&amp;E571&amp;"|"&amp;D571</f>
        <v/>
      </c>
      <c r="H571" s="28">
        <f>'02a_DC_Capacity_Alloc'!H571*'02a_DC_Capacity_Alloc'!I571*'02a_DC_Capacity_Alloc'!J571</f>
        <v/>
      </c>
      <c r="I571" s="6">
        <f>IFERROR(INDEX('02b_DC_Accelerator_Mix'!$F$2:$F$977,MATCH(G571,'02b_DC_Accelerator_Mix'!$A$2:$A$977,0)),0)</f>
        <v/>
      </c>
      <c r="J571" s="6">
        <f>IFERROR(INDEX('02b_DC_Accelerator_Mix'!$G$2:$G$977,MATCH(G571,'02b_DC_Accelerator_Mix'!$A$2:$A$977,0)),0)</f>
        <v/>
      </c>
      <c r="K571" s="6">
        <f>IFERROR(INDEX('02b_DC_Accelerator_Mix'!$H$2:$H$977,MATCH(G571,'02b_DC_Accelerator_Mix'!$A$2:$A$977,0)),0)</f>
        <v/>
      </c>
      <c r="L571" s="6">
        <f>IFERROR(INDEX('02b_DC_Accelerator_Mix'!$I$2:$I$977,MATCH(G571,'02b_DC_Accelerator_Mix'!$A$2:$A$977,0)),0)</f>
        <v/>
      </c>
      <c r="M571" s="6">
        <f>IFERROR(INDEX('02b_DC_Accelerator_Mix'!$J$2:$J$977,MATCH(G571,'02b_DC_Accelerator_Mix'!$A$2:$A$977,0)),0)</f>
        <v/>
      </c>
      <c r="N571" s="6">
        <f>IFERROR(INDEX('02b_DC_Accelerator_Mix'!$K$2:$K$977,MATCH(G571,'02b_DC_Accelerator_Mix'!$A$2:$A$977,0)),0)</f>
        <v/>
      </c>
      <c r="O571" s="6">
        <f>IFERROR(INDEX('02b_DC_Accelerator_Mix'!$L$2:$L$977,MATCH(G571,'02b_DC_Accelerator_Mix'!$A$2:$A$977,0)),0)</f>
        <v/>
      </c>
      <c r="P571" s="6">
        <f>IFERROR(INDEX('02b_DC_Accelerator_Mix'!$M$2:$M$977,MATCH(G571,'02b_DC_Accelerator_Mix'!$A$2:$A$977,0)),0)</f>
        <v/>
      </c>
      <c r="Q571" s="6">
        <f>IFERROR(INDEX('02b_DC_Accelerator_Mix'!$N$2:$N$977,MATCH(G571,'02b_DC_Accelerator_Mix'!$A$2:$A$977,0)),0)</f>
        <v/>
      </c>
      <c r="R571" s="28">
        <f>H571*I571</f>
        <v/>
      </c>
      <c r="S571" s="28">
        <f>H571*J571</f>
        <v/>
      </c>
      <c r="T571" s="28">
        <f>H571*K571</f>
        <v/>
      </c>
      <c r="U571" s="28">
        <f>H571*L571</f>
        <v/>
      </c>
      <c r="V571" s="28">
        <f>H571*M571</f>
        <v/>
      </c>
      <c r="W571" s="28">
        <f>H571*N571</f>
        <v/>
      </c>
      <c r="X571" s="28">
        <f>H571*O571</f>
        <v/>
      </c>
      <c r="Y571" s="28">
        <f>H571*P571</f>
        <v/>
      </c>
      <c r="Z571" s="28">
        <f>H571*Q571</f>
        <v/>
      </c>
      <c r="AA571" s="28">
        <f>SUM(U571:Z571)</f>
        <v/>
      </c>
      <c r="AB571" s="5">
        <f>IF(COUNTIF('02b_DC_Accelerator_Mix'!$A$2:$A$977,G571)&gt;0,"matched","missing_mix")</f>
        <v/>
      </c>
    </row>
    <row r="572">
      <c r="A572" s="5">
        <f>'02a_DC_Capacity_Alloc'!A572</f>
        <v/>
      </c>
      <c r="B572" s="5">
        <f>'02a_DC_Capacity_Alloc'!B572</f>
        <v/>
      </c>
      <c r="C572" s="5">
        <f>'02a_DC_Capacity_Alloc'!C572</f>
        <v/>
      </c>
      <c r="D572" s="5">
        <f>'02a_DC_Capacity_Alloc'!D572</f>
        <v/>
      </c>
      <c r="E572" s="5">
        <f>'02a_DC_Capacity_Alloc'!E572</f>
        <v/>
      </c>
      <c r="F572" s="5">
        <f>'02a_DC_Capacity_Alloc'!F572</f>
        <v/>
      </c>
      <c r="G572" s="5">
        <f>B572&amp;"|"&amp;E572&amp;"|"&amp;D572</f>
        <v/>
      </c>
      <c r="H572" s="28">
        <f>'02a_DC_Capacity_Alloc'!H572*'02a_DC_Capacity_Alloc'!I572*'02a_DC_Capacity_Alloc'!J572</f>
        <v/>
      </c>
      <c r="I572" s="6">
        <f>IFERROR(INDEX('02b_DC_Accelerator_Mix'!$F$2:$F$977,MATCH(G572,'02b_DC_Accelerator_Mix'!$A$2:$A$977,0)),0)</f>
        <v/>
      </c>
      <c r="J572" s="6">
        <f>IFERROR(INDEX('02b_DC_Accelerator_Mix'!$G$2:$G$977,MATCH(G572,'02b_DC_Accelerator_Mix'!$A$2:$A$977,0)),0)</f>
        <v/>
      </c>
      <c r="K572" s="6">
        <f>IFERROR(INDEX('02b_DC_Accelerator_Mix'!$H$2:$H$977,MATCH(G572,'02b_DC_Accelerator_Mix'!$A$2:$A$977,0)),0)</f>
        <v/>
      </c>
      <c r="L572" s="6">
        <f>IFERROR(INDEX('02b_DC_Accelerator_Mix'!$I$2:$I$977,MATCH(G572,'02b_DC_Accelerator_Mix'!$A$2:$A$977,0)),0)</f>
        <v/>
      </c>
      <c r="M572" s="6">
        <f>IFERROR(INDEX('02b_DC_Accelerator_Mix'!$J$2:$J$977,MATCH(G572,'02b_DC_Accelerator_Mix'!$A$2:$A$977,0)),0)</f>
        <v/>
      </c>
      <c r="N572" s="6">
        <f>IFERROR(INDEX('02b_DC_Accelerator_Mix'!$K$2:$K$977,MATCH(G572,'02b_DC_Accelerator_Mix'!$A$2:$A$977,0)),0)</f>
        <v/>
      </c>
      <c r="O572" s="6">
        <f>IFERROR(INDEX('02b_DC_Accelerator_Mix'!$L$2:$L$977,MATCH(G572,'02b_DC_Accelerator_Mix'!$A$2:$A$977,0)),0)</f>
        <v/>
      </c>
      <c r="P572" s="6">
        <f>IFERROR(INDEX('02b_DC_Accelerator_Mix'!$M$2:$M$977,MATCH(G572,'02b_DC_Accelerator_Mix'!$A$2:$A$977,0)),0)</f>
        <v/>
      </c>
      <c r="Q572" s="6">
        <f>IFERROR(INDEX('02b_DC_Accelerator_Mix'!$N$2:$N$977,MATCH(G572,'02b_DC_Accelerator_Mix'!$A$2:$A$977,0)),0)</f>
        <v/>
      </c>
      <c r="R572" s="28">
        <f>H572*I572</f>
        <v/>
      </c>
      <c r="S572" s="28">
        <f>H572*J572</f>
        <v/>
      </c>
      <c r="T572" s="28">
        <f>H572*K572</f>
        <v/>
      </c>
      <c r="U572" s="28">
        <f>H572*L572</f>
        <v/>
      </c>
      <c r="V572" s="28">
        <f>H572*M572</f>
        <v/>
      </c>
      <c r="W572" s="28">
        <f>H572*N572</f>
        <v/>
      </c>
      <c r="X572" s="28">
        <f>H572*O572</f>
        <v/>
      </c>
      <c r="Y572" s="28">
        <f>H572*P572</f>
        <v/>
      </c>
      <c r="Z572" s="28">
        <f>H572*Q572</f>
        <v/>
      </c>
      <c r="AA572" s="28">
        <f>SUM(U572:Z572)</f>
        <v/>
      </c>
      <c r="AB572" s="5">
        <f>IF(COUNTIF('02b_DC_Accelerator_Mix'!$A$2:$A$977,G572)&gt;0,"matched","missing_mix")</f>
        <v/>
      </c>
    </row>
    <row r="573">
      <c r="A573" s="5">
        <f>'02a_DC_Capacity_Alloc'!A573</f>
        <v/>
      </c>
      <c r="B573" s="5">
        <f>'02a_DC_Capacity_Alloc'!B573</f>
        <v/>
      </c>
      <c r="C573" s="5">
        <f>'02a_DC_Capacity_Alloc'!C573</f>
        <v/>
      </c>
      <c r="D573" s="5">
        <f>'02a_DC_Capacity_Alloc'!D573</f>
        <v/>
      </c>
      <c r="E573" s="5">
        <f>'02a_DC_Capacity_Alloc'!E573</f>
        <v/>
      </c>
      <c r="F573" s="5">
        <f>'02a_DC_Capacity_Alloc'!F573</f>
        <v/>
      </c>
      <c r="G573" s="5">
        <f>B573&amp;"|"&amp;E573&amp;"|"&amp;D573</f>
        <v/>
      </c>
      <c r="H573" s="28">
        <f>'02a_DC_Capacity_Alloc'!H573*'02a_DC_Capacity_Alloc'!I573*'02a_DC_Capacity_Alloc'!J573</f>
        <v/>
      </c>
      <c r="I573" s="6">
        <f>IFERROR(INDEX('02b_DC_Accelerator_Mix'!$F$2:$F$977,MATCH(G573,'02b_DC_Accelerator_Mix'!$A$2:$A$977,0)),0)</f>
        <v/>
      </c>
      <c r="J573" s="6">
        <f>IFERROR(INDEX('02b_DC_Accelerator_Mix'!$G$2:$G$977,MATCH(G573,'02b_DC_Accelerator_Mix'!$A$2:$A$977,0)),0)</f>
        <v/>
      </c>
      <c r="K573" s="6">
        <f>IFERROR(INDEX('02b_DC_Accelerator_Mix'!$H$2:$H$977,MATCH(G573,'02b_DC_Accelerator_Mix'!$A$2:$A$977,0)),0)</f>
        <v/>
      </c>
      <c r="L573" s="6">
        <f>IFERROR(INDEX('02b_DC_Accelerator_Mix'!$I$2:$I$977,MATCH(G573,'02b_DC_Accelerator_Mix'!$A$2:$A$977,0)),0)</f>
        <v/>
      </c>
      <c r="M573" s="6">
        <f>IFERROR(INDEX('02b_DC_Accelerator_Mix'!$J$2:$J$977,MATCH(G573,'02b_DC_Accelerator_Mix'!$A$2:$A$977,0)),0)</f>
        <v/>
      </c>
      <c r="N573" s="6">
        <f>IFERROR(INDEX('02b_DC_Accelerator_Mix'!$K$2:$K$977,MATCH(G573,'02b_DC_Accelerator_Mix'!$A$2:$A$977,0)),0)</f>
        <v/>
      </c>
      <c r="O573" s="6">
        <f>IFERROR(INDEX('02b_DC_Accelerator_Mix'!$L$2:$L$977,MATCH(G573,'02b_DC_Accelerator_Mix'!$A$2:$A$977,0)),0)</f>
        <v/>
      </c>
      <c r="P573" s="6">
        <f>IFERROR(INDEX('02b_DC_Accelerator_Mix'!$M$2:$M$977,MATCH(G573,'02b_DC_Accelerator_Mix'!$A$2:$A$977,0)),0)</f>
        <v/>
      </c>
      <c r="Q573" s="6">
        <f>IFERROR(INDEX('02b_DC_Accelerator_Mix'!$N$2:$N$977,MATCH(G573,'02b_DC_Accelerator_Mix'!$A$2:$A$977,0)),0)</f>
        <v/>
      </c>
      <c r="R573" s="28">
        <f>H573*I573</f>
        <v/>
      </c>
      <c r="S573" s="28">
        <f>H573*J573</f>
        <v/>
      </c>
      <c r="T573" s="28">
        <f>H573*K573</f>
        <v/>
      </c>
      <c r="U573" s="28">
        <f>H573*L573</f>
        <v/>
      </c>
      <c r="V573" s="28">
        <f>H573*M573</f>
        <v/>
      </c>
      <c r="W573" s="28">
        <f>H573*N573</f>
        <v/>
      </c>
      <c r="X573" s="28">
        <f>H573*O573</f>
        <v/>
      </c>
      <c r="Y573" s="28">
        <f>H573*P573</f>
        <v/>
      </c>
      <c r="Z573" s="28">
        <f>H573*Q573</f>
        <v/>
      </c>
      <c r="AA573" s="28">
        <f>SUM(U573:Z573)</f>
        <v/>
      </c>
      <c r="AB573" s="5">
        <f>IF(COUNTIF('02b_DC_Accelerator_Mix'!$A$2:$A$977,G573)&gt;0,"matched","missing_mix")</f>
        <v/>
      </c>
    </row>
    <row r="574">
      <c r="A574" s="5">
        <f>'02a_DC_Capacity_Alloc'!A574</f>
        <v/>
      </c>
      <c r="B574" s="5">
        <f>'02a_DC_Capacity_Alloc'!B574</f>
        <v/>
      </c>
      <c r="C574" s="5">
        <f>'02a_DC_Capacity_Alloc'!C574</f>
        <v/>
      </c>
      <c r="D574" s="5">
        <f>'02a_DC_Capacity_Alloc'!D574</f>
        <v/>
      </c>
      <c r="E574" s="5">
        <f>'02a_DC_Capacity_Alloc'!E574</f>
        <v/>
      </c>
      <c r="F574" s="5">
        <f>'02a_DC_Capacity_Alloc'!F574</f>
        <v/>
      </c>
      <c r="G574" s="5">
        <f>B574&amp;"|"&amp;E574&amp;"|"&amp;D574</f>
        <v/>
      </c>
      <c r="H574" s="28">
        <f>'02a_DC_Capacity_Alloc'!H574*'02a_DC_Capacity_Alloc'!I574*'02a_DC_Capacity_Alloc'!J574</f>
        <v/>
      </c>
      <c r="I574" s="6">
        <f>IFERROR(INDEX('02b_DC_Accelerator_Mix'!$F$2:$F$977,MATCH(G574,'02b_DC_Accelerator_Mix'!$A$2:$A$977,0)),0)</f>
        <v/>
      </c>
      <c r="J574" s="6">
        <f>IFERROR(INDEX('02b_DC_Accelerator_Mix'!$G$2:$G$977,MATCH(G574,'02b_DC_Accelerator_Mix'!$A$2:$A$977,0)),0)</f>
        <v/>
      </c>
      <c r="K574" s="6">
        <f>IFERROR(INDEX('02b_DC_Accelerator_Mix'!$H$2:$H$977,MATCH(G574,'02b_DC_Accelerator_Mix'!$A$2:$A$977,0)),0)</f>
        <v/>
      </c>
      <c r="L574" s="6">
        <f>IFERROR(INDEX('02b_DC_Accelerator_Mix'!$I$2:$I$977,MATCH(G574,'02b_DC_Accelerator_Mix'!$A$2:$A$977,0)),0)</f>
        <v/>
      </c>
      <c r="M574" s="6">
        <f>IFERROR(INDEX('02b_DC_Accelerator_Mix'!$J$2:$J$977,MATCH(G574,'02b_DC_Accelerator_Mix'!$A$2:$A$977,0)),0)</f>
        <v/>
      </c>
      <c r="N574" s="6">
        <f>IFERROR(INDEX('02b_DC_Accelerator_Mix'!$K$2:$K$977,MATCH(G574,'02b_DC_Accelerator_Mix'!$A$2:$A$977,0)),0)</f>
        <v/>
      </c>
      <c r="O574" s="6">
        <f>IFERROR(INDEX('02b_DC_Accelerator_Mix'!$L$2:$L$977,MATCH(G574,'02b_DC_Accelerator_Mix'!$A$2:$A$977,0)),0)</f>
        <v/>
      </c>
      <c r="P574" s="6">
        <f>IFERROR(INDEX('02b_DC_Accelerator_Mix'!$M$2:$M$977,MATCH(G574,'02b_DC_Accelerator_Mix'!$A$2:$A$977,0)),0)</f>
        <v/>
      </c>
      <c r="Q574" s="6">
        <f>IFERROR(INDEX('02b_DC_Accelerator_Mix'!$N$2:$N$977,MATCH(G574,'02b_DC_Accelerator_Mix'!$A$2:$A$977,0)),0)</f>
        <v/>
      </c>
      <c r="R574" s="28">
        <f>H574*I574</f>
        <v/>
      </c>
      <c r="S574" s="28">
        <f>H574*J574</f>
        <v/>
      </c>
      <c r="T574" s="28">
        <f>H574*K574</f>
        <v/>
      </c>
      <c r="U574" s="28">
        <f>H574*L574</f>
        <v/>
      </c>
      <c r="V574" s="28">
        <f>H574*M574</f>
        <v/>
      </c>
      <c r="W574" s="28">
        <f>H574*N574</f>
        <v/>
      </c>
      <c r="X574" s="28">
        <f>H574*O574</f>
        <v/>
      </c>
      <c r="Y574" s="28">
        <f>H574*P574</f>
        <v/>
      </c>
      <c r="Z574" s="28">
        <f>H574*Q574</f>
        <v/>
      </c>
      <c r="AA574" s="28">
        <f>SUM(U574:Z574)</f>
        <v/>
      </c>
      <c r="AB574" s="5">
        <f>IF(COUNTIF('02b_DC_Accelerator_Mix'!$A$2:$A$977,G574)&gt;0,"matched","missing_mix")</f>
        <v/>
      </c>
    </row>
    <row r="575">
      <c r="A575" s="5">
        <f>'02a_DC_Capacity_Alloc'!A575</f>
        <v/>
      </c>
      <c r="B575" s="5">
        <f>'02a_DC_Capacity_Alloc'!B575</f>
        <v/>
      </c>
      <c r="C575" s="5">
        <f>'02a_DC_Capacity_Alloc'!C575</f>
        <v/>
      </c>
      <c r="D575" s="5">
        <f>'02a_DC_Capacity_Alloc'!D575</f>
        <v/>
      </c>
      <c r="E575" s="5">
        <f>'02a_DC_Capacity_Alloc'!E575</f>
        <v/>
      </c>
      <c r="F575" s="5">
        <f>'02a_DC_Capacity_Alloc'!F575</f>
        <v/>
      </c>
      <c r="G575" s="5">
        <f>B575&amp;"|"&amp;E575&amp;"|"&amp;D575</f>
        <v/>
      </c>
      <c r="H575" s="28">
        <f>'02a_DC_Capacity_Alloc'!H575*'02a_DC_Capacity_Alloc'!I575*'02a_DC_Capacity_Alloc'!J575</f>
        <v/>
      </c>
      <c r="I575" s="6">
        <f>IFERROR(INDEX('02b_DC_Accelerator_Mix'!$F$2:$F$977,MATCH(G575,'02b_DC_Accelerator_Mix'!$A$2:$A$977,0)),0)</f>
        <v/>
      </c>
      <c r="J575" s="6">
        <f>IFERROR(INDEX('02b_DC_Accelerator_Mix'!$G$2:$G$977,MATCH(G575,'02b_DC_Accelerator_Mix'!$A$2:$A$977,0)),0)</f>
        <v/>
      </c>
      <c r="K575" s="6">
        <f>IFERROR(INDEX('02b_DC_Accelerator_Mix'!$H$2:$H$977,MATCH(G575,'02b_DC_Accelerator_Mix'!$A$2:$A$977,0)),0)</f>
        <v/>
      </c>
      <c r="L575" s="6">
        <f>IFERROR(INDEX('02b_DC_Accelerator_Mix'!$I$2:$I$977,MATCH(G575,'02b_DC_Accelerator_Mix'!$A$2:$A$977,0)),0)</f>
        <v/>
      </c>
      <c r="M575" s="6">
        <f>IFERROR(INDEX('02b_DC_Accelerator_Mix'!$J$2:$J$977,MATCH(G575,'02b_DC_Accelerator_Mix'!$A$2:$A$977,0)),0)</f>
        <v/>
      </c>
      <c r="N575" s="6">
        <f>IFERROR(INDEX('02b_DC_Accelerator_Mix'!$K$2:$K$977,MATCH(G575,'02b_DC_Accelerator_Mix'!$A$2:$A$977,0)),0)</f>
        <v/>
      </c>
      <c r="O575" s="6">
        <f>IFERROR(INDEX('02b_DC_Accelerator_Mix'!$L$2:$L$977,MATCH(G575,'02b_DC_Accelerator_Mix'!$A$2:$A$977,0)),0)</f>
        <v/>
      </c>
      <c r="P575" s="6">
        <f>IFERROR(INDEX('02b_DC_Accelerator_Mix'!$M$2:$M$977,MATCH(G575,'02b_DC_Accelerator_Mix'!$A$2:$A$977,0)),0)</f>
        <v/>
      </c>
      <c r="Q575" s="6">
        <f>IFERROR(INDEX('02b_DC_Accelerator_Mix'!$N$2:$N$977,MATCH(G575,'02b_DC_Accelerator_Mix'!$A$2:$A$977,0)),0)</f>
        <v/>
      </c>
      <c r="R575" s="28">
        <f>H575*I575</f>
        <v/>
      </c>
      <c r="S575" s="28">
        <f>H575*J575</f>
        <v/>
      </c>
      <c r="T575" s="28">
        <f>H575*K575</f>
        <v/>
      </c>
      <c r="U575" s="28">
        <f>H575*L575</f>
        <v/>
      </c>
      <c r="V575" s="28">
        <f>H575*M575</f>
        <v/>
      </c>
      <c r="W575" s="28">
        <f>H575*N575</f>
        <v/>
      </c>
      <c r="X575" s="28">
        <f>H575*O575</f>
        <v/>
      </c>
      <c r="Y575" s="28">
        <f>H575*P575</f>
        <v/>
      </c>
      <c r="Z575" s="28">
        <f>H575*Q575</f>
        <v/>
      </c>
      <c r="AA575" s="28">
        <f>SUM(U575:Z575)</f>
        <v/>
      </c>
      <c r="AB575" s="5">
        <f>IF(COUNTIF('02b_DC_Accelerator_Mix'!$A$2:$A$977,G575)&gt;0,"matched","missing_mix")</f>
        <v/>
      </c>
    </row>
    <row r="576">
      <c r="A576" s="5">
        <f>'02a_DC_Capacity_Alloc'!A576</f>
        <v/>
      </c>
      <c r="B576" s="5">
        <f>'02a_DC_Capacity_Alloc'!B576</f>
        <v/>
      </c>
      <c r="C576" s="5">
        <f>'02a_DC_Capacity_Alloc'!C576</f>
        <v/>
      </c>
      <c r="D576" s="5">
        <f>'02a_DC_Capacity_Alloc'!D576</f>
        <v/>
      </c>
      <c r="E576" s="5">
        <f>'02a_DC_Capacity_Alloc'!E576</f>
        <v/>
      </c>
      <c r="F576" s="5">
        <f>'02a_DC_Capacity_Alloc'!F576</f>
        <v/>
      </c>
      <c r="G576" s="5">
        <f>B576&amp;"|"&amp;E576&amp;"|"&amp;D576</f>
        <v/>
      </c>
      <c r="H576" s="28">
        <f>'02a_DC_Capacity_Alloc'!H576*'02a_DC_Capacity_Alloc'!I576*'02a_DC_Capacity_Alloc'!J576</f>
        <v/>
      </c>
      <c r="I576" s="6">
        <f>IFERROR(INDEX('02b_DC_Accelerator_Mix'!$F$2:$F$977,MATCH(G576,'02b_DC_Accelerator_Mix'!$A$2:$A$977,0)),0)</f>
        <v/>
      </c>
      <c r="J576" s="6">
        <f>IFERROR(INDEX('02b_DC_Accelerator_Mix'!$G$2:$G$977,MATCH(G576,'02b_DC_Accelerator_Mix'!$A$2:$A$977,0)),0)</f>
        <v/>
      </c>
      <c r="K576" s="6">
        <f>IFERROR(INDEX('02b_DC_Accelerator_Mix'!$H$2:$H$977,MATCH(G576,'02b_DC_Accelerator_Mix'!$A$2:$A$977,0)),0)</f>
        <v/>
      </c>
      <c r="L576" s="6">
        <f>IFERROR(INDEX('02b_DC_Accelerator_Mix'!$I$2:$I$977,MATCH(G576,'02b_DC_Accelerator_Mix'!$A$2:$A$977,0)),0)</f>
        <v/>
      </c>
      <c r="M576" s="6">
        <f>IFERROR(INDEX('02b_DC_Accelerator_Mix'!$J$2:$J$977,MATCH(G576,'02b_DC_Accelerator_Mix'!$A$2:$A$977,0)),0)</f>
        <v/>
      </c>
      <c r="N576" s="6">
        <f>IFERROR(INDEX('02b_DC_Accelerator_Mix'!$K$2:$K$977,MATCH(G576,'02b_DC_Accelerator_Mix'!$A$2:$A$977,0)),0)</f>
        <v/>
      </c>
      <c r="O576" s="6">
        <f>IFERROR(INDEX('02b_DC_Accelerator_Mix'!$L$2:$L$977,MATCH(G576,'02b_DC_Accelerator_Mix'!$A$2:$A$977,0)),0)</f>
        <v/>
      </c>
      <c r="P576" s="6">
        <f>IFERROR(INDEX('02b_DC_Accelerator_Mix'!$M$2:$M$977,MATCH(G576,'02b_DC_Accelerator_Mix'!$A$2:$A$977,0)),0)</f>
        <v/>
      </c>
      <c r="Q576" s="6">
        <f>IFERROR(INDEX('02b_DC_Accelerator_Mix'!$N$2:$N$977,MATCH(G576,'02b_DC_Accelerator_Mix'!$A$2:$A$977,0)),0)</f>
        <v/>
      </c>
      <c r="R576" s="28">
        <f>H576*I576</f>
        <v/>
      </c>
      <c r="S576" s="28">
        <f>H576*J576</f>
        <v/>
      </c>
      <c r="T576" s="28">
        <f>H576*K576</f>
        <v/>
      </c>
      <c r="U576" s="28">
        <f>H576*L576</f>
        <v/>
      </c>
      <c r="V576" s="28">
        <f>H576*M576</f>
        <v/>
      </c>
      <c r="W576" s="28">
        <f>H576*N576</f>
        <v/>
      </c>
      <c r="X576" s="28">
        <f>H576*O576</f>
        <v/>
      </c>
      <c r="Y576" s="28">
        <f>H576*P576</f>
        <v/>
      </c>
      <c r="Z576" s="28">
        <f>H576*Q576</f>
        <v/>
      </c>
      <c r="AA576" s="28">
        <f>SUM(U576:Z576)</f>
        <v/>
      </c>
      <c r="AB576" s="5">
        <f>IF(COUNTIF('02b_DC_Accelerator_Mix'!$A$2:$A$977,G576)&gt;0,"matched","missing_mix")</f>
        <v/>
      </c>
    </row>
    <row r="577">
      <c r="A577" s="5">
        <f>'02a_DC_Capacity_Alloc'!A577</f>
        <v/>
      </c>
      <c r="B577" s="5">
        <f>'02a_DC_Capacity_Alloc'!B577</f>
        <v/>
      </c>
      <c r="C577" s="5">
        <f>'02a_DC_Capacity_Alloc'!C577</f>
        <v/>
      </c>
      <c r="D577" s="5">
        <f>'02a_DC_Capacity_Alloc'!D577</f>
        <v/>
      </c>
      <c r="E577" s="5">
        <f>'02a_DC_Capacity_Alloc'!E577</f>
        <v/>
      </c>
      <c r="F577" s="5">
        <f>'02a_DC_Capacity_Alloc'!F577</f>
        <v/>
      </c>
      <c r="G577" s="5">
        <f>B577&amp;"|"&amp;E577&amp;"|"&amp;D577</f>
        <v/>
      </c>
      <c r="H577" s="28">
        <f>'02a_DC_Capacity_Alloc'!H577*'02a_DC_Capacity_Alloc'!I577*'02a_DC_Capacity_Alloc'!J577</f>
        <v/>
      </c>
      <c r="I577" s="6">
        <f>IFERROR(INDEX('02b_DC_Accelerator_Mix'!$F$2:$F$977,MATCH(G577,'02b_DC_Accelerator_Mix'!$A$2:$A$977,0)),0)</f>
        <v/>
      </c>
      <c r="J577" s="6">
        <f>IFERROR(INDEX('02b_DC_Accelerator_Mix'!$G$2:$G$977,MATCH(G577,'02b_DC_Accelerator_Mix'!$A$2:$A$977,0)),0)</f>
        <v/>
      </c>
      <c r="K577" s="6">
        <f>IFERROR(INDEX('02b_DC_Accelerator_Mix'!$H$2:$H$977,MATCH(G577,'02b_DC_Accelerator_Mix'!$A$2:$A$977,0)),0)</f>
        <v/>
      </c>
      <c r="L577" s="6">
        <f>IFERROR(INDEX('02b_DC_Accelerator_Mix'!$I$2:$I$977,MATCH(G577,'02b_DC_Accelerator_Mix'!$A$2:$A$977,0)),0)</f>
        <v/>
      </c>
      <c r="M577" s="6">
        <f>IFERROR(INDEX('02b_DC_Accelerator_Mix'!$J$2:$J$977,MATCH(G577,'02b_DC_Accelerator_Mix'!$A$2:$A$977,0)),0)</f>
        <v/>
      </c>
      <c r="N577" s="6">
        <f>IFERROR(INDEX('02b_DC_Accelerator_Mix'!$K$2:$K$977,MATCH(G577,'02b_DC_Accelerator_Mix'!$A$2:$A$977,0)),0)</f>
        <v/>
      </c>
      <c r="O577" s="6">
        <f>IFERROR(INDEX('02b_DC_Accelerator_Mix'!$L$2:$L$977,MATCH(G577,'02b_DC_Accelerator_Mix'!$A$2:$A$977,0)),0)</f>
        <v/>
      </c>
      <c r="P577" s="6">
        <f>IFERROR(INDEX('02b_DC_Accelerator_Mix'!$M$2:$M$977,MATCH(G577,'02b_DC_Accelerator_Mix'!$A$2:$A$977,0)),0)</f>
        <v/>
      </c>
      <c r="Q577" s="6">
        <f>IFERROR(INDEX('02b_DC_Accelerator_Mix'!$N$2:$N$977,MATCH(G577,'02b_DC_Accelerator_Mix'!$A$2:$A$977,0)),0)</f>
        <v/>
      </c>
      <c r="R577" s="28">
        <f>H577*I577</f>
        <v/>
      </c>
      <c r="S577" s="28">
        <f>H577*J577</f>
        <v/>
      </c>
      <c r="T577" s="28">
        <f>H577*K577</f>
        <v/>
      </c>
      <c r="U577" s="28">
        <f>H577*L577</f>
        <v/>
      </c>
      <c r="V577" s="28">
        <f>H577*M577</f>
        <v/>
      </c>
      <c r="W577" s="28">
        <f>H577*N577</f>
        <v/>
      </c>
      <c r="X577" s="28">
        <f>H577*O577</f>
        <v/>
      </c>
      <c r="Y577" s="28">
        <f>H577*P577</f>
        <v/>
      </c>
      <c r="Z577" s="28">
        <f>H577*Q577</f>
        <v/>
      </c>
      <c r="AA577" s="28">
        <f>SUM(U577:Z577)</f>
        <v/>
      </c>
      <c r="AB577" s="5">
        <f>IF(COUNTIF('02b_DC_Accelerator_Mix'!$A$2:$A$977,G577)&gt;0,"matched","missing_mix")</f>
        <v/>
      </c>
    </row>
    <row r="578">
      <c r="A578" s="5">
        <f>'02a_DC_Capacity_Alloc'!A578</f>
        <v/>
      </c>
      <c r="B578" s="5">
        <f>'02a_DC_Capacity_Alloc'!B578</f>
        <v/>
      </c>
      <c r="C578" s="5">
        <f>'02a_DC_Capacity_Alloc'!C578</f>
        <v/>
      </c>
      <c r="D578" s="5">
        <f>'02a_DC_Capacity_Alloc'!D578</f>
        <v/>
      </c>
      <c r="E578" s="5">
        <f>'02a_DC_Capacity_Alloc'!E578</f>
        <v/>
      </c>
      <c r="F578" s="5">
        <f>'02a_DC_Capacity_Alloc'!F578</f>
        <v/>
      </c>
      <c r="G578" s="5">
        <f>B578&amp;"|"&amp;E578&amp;"|"&amp;D578</f>
        <v/>
      </c>
      <c r="H578" s="28">
        <f>'02a_DC_Capacity_Alloc'!H578*'02a_DC_Capacity_Alloc'!I578*'02a_DC_Capacity_Alloc'!J578</f>
        <v/>
      </c>
      <c r="I578" s="6">
        <f>IFERROR(INDEX('02b_DC_Accelerator_Mix'!$F$2:$F$977,MATCH(G578,'02b_DC_Accelerator_Mix'!$A$2:$A$977,0)),0)</f>
        <v/>
      </c>
      <c r="J578" s="6">
        <f>IFERROR(INDEX('02b_DC_Accelerator_Mix'!$G$2:$G$977,MATCH(G578,'02b_DC_Accelerator_Mix'!$A$2:$A$977,0)),0)</f>
        <v/>
      </c>
      <c r="K578" s="6">
        <f>IFERROR(INDEX('02b_DC_Accelerator_Mix'!$H$2:$H$977,MATCH(G578,'02b_DC_Accelerator_Mix'!$A$2:$A$977,0)),0)</f>
        <v/>
      </c>
      <c r="L578" s="6">
        <f>IFERROR(INDEX('02b_DC_Accelerator_Mix'!$I$2:$I$977,MATCH(G578,'02b_DC_Accelerator_Mix'!$A$2:$A$977,0)),0)</f>
        <v/>
      </c>
      <c r="M578" s="6">
        <f>IFERROR(INDEX('02b_DC_Accelerator_Mix'!$J$2:$J$977,MATCH(G578,'02b_DC_Accelerator_Mix'!$A$2:$A$977,0)),0)</f>
        <v/>
      </c>
      <c r="N578" s="6">
        <f>IFERROR(INDEX('02b_DC_Accelerator_Mix'!$K$2:$K$977,MATCH(G578,'02b_DC_Accelerator_Mix'!$A$2:$A$977,0)),0)</f>
        <v/>
      </c>
      <c r="O578" s="6">
        <f>IFERROR(INDEX('02b_DC_Accelerator_Mix'!$L$2:$L$977,MATCH(G578,'02b_DC_Accelerator_Mix'!$A$2:$A$977,0)),0)</f>
        <v/>
      </c>
      <c r="P578" s="6">
        <f>IFERROR(INDEX('02b_DC_Accelerator_Mix'!$M$2:$M$977,MATCH(G578,'02b_DC_Accelerator_Mix'!$A$2:$A$977,0)),0)</f>
        <v/>
      </c>
      <c r="Q578" s="6">
        <f>IFERROR(INDEX('02b_DC_Accelerator_Mix'!$N$2:$N$977,MATCH(G578,'02b_DC_Accelerator_Mix'!$A$2:$A$977,0)),0)</f>
        <v/>
      </c>
      <c r="R578" s="28">
        <f>H578*I578</f>
        <v/>
      </c>
      <c r="S578" s="28">
        <f>H578*J578</f>
        <v/>
      </c>
      <c r="T578" s="28">
        <f>H578*K578</f>
        <v/>
      </c>
      <c r="U578" s="28">
        <f>H578*L578</f>
        <v/>
      </c>
      <c r="V578" s="28">
        <f>H578*M578</f>
        <v/>
      </c>
      <c r="W578" s="28">
        <f>H578*N578</f>
        <v/>
      </c>
      <c r="X578" s="28">
        <f>H578*O578</f>
        <v/>
      </c>
      <c r="Y578" s="28">
        <f>H578*P578</f>
        <v/>
      </c>
      <c r="Z578" s="28">
        <f>H578*Q578</f>
        <v/>
      </c>
      <c r="AA578" s="28">
        <f>SUM(U578:Z578)</f>
        <v/>
      </c>
      <c r="AB578" s="5">
        <f>IF(COUNTIF('02b_DC_Accelerator_Mix'!$A$2:$A$977,G578)&gt;0,"matched","missing_mix")</f>
        <v/>
      </c>
    </row>
    <row r="579">
      <c r="A579" s="5">
        <f>'02a_DC_Capacity_Alloc'!A579</f>
        <v/>
      </c>
      <c r="B579" s="5">
        <f>'02a_DC_Capacity_Alloc'!B579</f>
        <v/>
      </c>
      <c r="C579" s="5">
        <f>'02a_DC_Capacity_Alloc'!C579</f>
        <v/>
      </c>
      <c r="D579" s="5">
        <f>'02a_DC_Capacity_Alloc'!D579</f>
        <v/>
      </c>
      <c r="E579" s="5">
        <f>'02a_DC_Capacity_Alloc'!E579</f>
        <v/>
      </c>
      <c r="F579" s="5">
        <f>'02a_DC_Capacity_Alloc'!F579</f>
        <v/>
      </c>
      <c r="G579" s="5">
        <f>B579&amp;"|"&amp;E579&amp;"|"&amp;D579</f>
        <v/>
      </c>
      <c r="H579" s="28">
        <f>'02a_DC_Capacity_Alloc'!H579*'02a_DC_Capacity_Alloc'!I579*'02a_DC_Capacity_Alloc'!J579</f>
        <v/>
      </c>
      <c r="I579" s="6">
        <f>IFERROR(INDEX('02b_DC_Accelerator_Mix'!$F$2:$F$977,MATCH(G579,'02b_DC_Accelerator_Mix'!$A$2:$A$977,0)),0)</f>
        <v/>
      </c>
      <c r="J579" s="6">
        <f>IFERROR(INDEX('02b_DC_Accelerator_Mix'!$G$2:$G$977,MATCH(G579,'02b_DC_Accelerator_Mix'!$A$2:$A$977,0)),0)</f>
        <v/>
      </c>
      <c r="K579" s="6">
        <f>IFERROR(INDEX('02b_DC_Accelerator_Mix'!$H$2:$H$977,MATCH(G579,'02b_DC_Accelerator_Mix'!$A$2:$A$977,0)),0)</f>
        <v/>
      </c>
      <c r="L579" s="6">
        <f>IFERROR(INDEX('02b_DC_Accelerator_Mix'!$I$2:$I$977,MATCH(G579,'02b_DC_Accelerator_Mix'!$A$2:$A$977,0)),0)</f>
        <v/>
      </c>
      <c r="M579" s="6">
        <f>IFERROR(INDEX('02b_DC_Accelerator_Mix'!$J$2:$J$977,MATCH(G579,'02b_DC_Accelerator_Mix'!$A$2:$A$977,0)),0)</f>
        <v/>
      </c>
      <c r="N579" s="6">
        <f>IFERROR(INDEX('02b_DC_Accelerator_Mix'!$K$2:$K$977,MATCH(G579,'02b_DC_Accelerator_Mix'!$A$2:$A$977,0)),0)</f>
        <v/>
      </c>
      <c r="O579" s="6">
        <f>IFERROR(INDEX('02b_DC_Accelerator_Mix'!$L$2:$L$977,MATCH(G579,'02b_DC_Accelerator_Mix'!$A$2:$A$977,0)),0)</f>
        <v/>
      </c>
      <c r="P579" s="6">
        <f>IFERROR(INDEX('02b_DC_Accelerator_Mix'!$M$2:$M$977,MATCH(G579,'02b_DC_Accelerator_Mix'!$A$2:$A$977,0)),0)</f>
        <v/>
      </c>
      <c r="Q579" s="6">
        <f>IFERROR(INDEX('02b_DC_Accelerator_Mix'!$N$2:$N$977,MATCH(G579,'02b_DC_Accelerator_Mix'!$A$2:$A$977,0)),0)</f>
        <v/>
      </c>
      <c r="R579" s="28">
        <f>H579*I579</f>
        <v/>
      </c>
      <c r="S579" s="28">
        <f>H579*J579</f>
        <v/>
      </c>
      <c r="T579" s="28">
        <f>H579*K579</f>
        <v/>
      </c>
      <c r="U579" s="28">
        <f>H579*L579</f>
        <v/>
      </c>
      <c r="V579" s="28">
        <f>H579*M579</f>
        <v/>
      </c>
      <c r="W579" s="28">
        <f>H579*N579</f>
        <v/>
      </c>
      <c r="X579" s="28">
        <f>H579*O579</f>
        <v/>
      </c>
      <c r="Y579" s="28">
        <f>H579*P579</f>
        <v/>
      </c>
      <c r="Z579" s="28">
        <f>H579*Q579</f>
        <v/>
      </c>
      <c r="AA579" s="28">
        <f>SUM(U579:Z579)</f>
        <v/>
      </c>
      <c r="AB579" s="5">
        <f>IF(COUNTIF('02b_DC_Accelerator_Mix'!$A$2:$A$977,G579)&gt;0,"matched","missing_mix")</f>
        <v/>
      </c>
    </row>
    <row r="580">
      <c r="A580" s="5">
        <f>'02a_DC_Capacity_Alloc'!A580</f>
        <v/>
      </c>
      <c r="B580" s="5">
        <f>'02a_DC_Capacity_Alloc'!B580</f>
        <v/>
      </c>
      <c r="C580" s="5">
        <f>'02a_DC_Capacity_Alloc'!C580</f>
        <v/>
      </c>
      <c r="D580" s="5">
        <f>'02a_DC_Capacity_Alloc'!D580</f>
        <v/>
      </c>
      <c r="E580" s="5">
        <f>'02a_DC_Capacity_Alloc'!E580</f>
        <v/>
      </c>
      <c r="F580" s="5">
        <f>'02a_DC_Capacity_Alloc'!F580</f>
        <v/>
      </c>
      <c r="G580" s="5">
        <f>B580&amp;"|"&amp;E580&amp;"|"&amp;D580</f>
        <v/>
      </c>
      <c r="H580" s="28">
        <f>'02a_DC_Capacity_Alloc'!H580*'02a_DC_Capacity_Alloc'!I580*'02a_DC_Capacity_Alloc'!J580</f>
        <v/>
      </c>
      <c r="I580" s="6">
        <f>IFERROR(INDEX('02b_DC_Accelerator_Mix'!$F$2:$F$977,MATCH(G580,'02b_DC_Accelerator_Mix'!$A$2:$A$977,0)),0)</f>
        <v/>
      </c>
      <c r="J580" s="6">
        <f>IFERROR(INDEX('02b_DC_Accelerator_Mix'!$G$2:$G$977,MATCH(G580,'02b_DC_Accelerator_Mix'!$A$2:$A$977,0)),0)</f>
        <v/>
      </c>
      <c r="K580" s="6">
        <f>IFERROR(INDEX('02b_DC_Accelerator_Mix'!$H$2:$H$977,MATCH(G580,'02b_DC_Accelerator_Mix'!$A$2:$A$977,0)),0)</f>
        <v/>
      </c>
      <c r="L580" s="6">
        <f>IFERROR(INDEX('02b_DC_Accelerator_Mix'!$I$2:$I$977,MATCH(G580,'02b_DC_Accelerator_Mix'!$A$2:$A$977,0)),0)</f>
        <v/>
      </c>
      <c r="M580" s="6">
        <f>IFERROR(INDEX('02b_DC_Accelerator_Mix'!$J$2:$J$977,MATCH(G580,'02b_DC_Accelerator_Mix'!$A$2:$A$977,0)),0)</f>
        <v/>
      </c>
      <c r="N580" s="6">
        <f>IFERROR(INDEX('02b_DC_Accelerator_Mix'!$K$2:$K$977,MATCH(G580,'02b_DC_Accelerator_Mix'!$A$2:$A$977,0)),0)</f>
        <v/>
      </c>
      <c r="O580" s="6">
        <f>IFERROR(INDEX('02b_DC_Accelerator_Mix'!$L$2:$L$977,MATCH(G580,'02b_DC_Accelerator_Mix'!$A$2:$A$977,0)),0)</f>
        <v/>
      </c>
      <c r="P580" s="6">
        <f>IFERROR(INDEX('02b_DC_Accelerator_Mix'!$M$2:$M$977,MATCH(G580,'02b_DC_Accelerator_Mix'!$A$2:$A$977,0)),0)</f>
        <v/>
      </c>
      <c r="Q580" s="6">
        <f>IFERROR(INDEX('02b_DC_Accelerator_Mix'!$N$2:$N$977,MATCH(G580,'02b_DC_Accelerator_Mix'!$A$2:$A$977,0)),0)</f>
        <v/>
      </c>
      <c r="R580" s="28">
        <f>H580*I580</f>
        <v/>
      </c>
      <c r="S580" s="28">
        <f>H580*J580</f>
        <v/>
      </c>
      <c r="T580" s="28">
        <f>H580*K580</f>
        <v/>
      </c>
      <c r="U580" s="28">
        <f>H580*L580</f>
        <v/>
      </c>
      <c r="V580" s="28">
        <f>H580*M580</f>
        <v/>
      </c>
      <c r="W580" s="28">
        <f>H580*N580</f>
        <v/>
      </c>
      <c r="X580" s="28">
        <f>H580*O580</f>
        <v/>
      </c>
      <c r="Y580" s="28">
        <f>H580*P580</f>
        <v/>
      </c>
      <c r="Z580" s="28">
        <f>H580*Q580</f>
        <v/>
      </c>
      <c r="AA580" s="28">
        <f>SUM(U580:Z580)</f>
        <v/>
      </c>
      <c r="AB580" s="5">
        <f>IF(COUNTIF('02b_DC_Accelerator_Mix'!$A$2:$A$977,G580)&gt;0,"matched","missing_mix")</f>
        <v/>
      </c>
    </row>
    <row r="581">
      <c r="A581" s="5">
        <f>'02a_DC_Capacity_Alloc'!A581</f>
        <v/>
      </c>
      <c r="B581" s="5">
        <f>'02a_DC_Capacity_Alloc'!B581</f>
        <v/>
      </c>
      <c r="C581" s="5">
        <f>'02a_DC_Capacity_Alloc'!C581</f>
        <v/>
      </c>
      <c r="D581" s="5">
        <f>'02a_DC_Capacity_Alloc'!D581</f>
        <v/>
      </c>
      <c r="E581" s="5">
        <f>'02a_DC_Capacity_Alloc'!E581</f>
        <v/>
      </c>
      <c r="F581" s="5">
        <f>'02a_DC_Capacity_Alloc'!F581</f>
        <v/>
      </c>
      <c r="G581" s="5">
        <f>B581&amp;"|"&amp;E581&amp;"|"&amp;D581</f>
        <v/>
      </c>
      <c r="H581" s="28">
        <f>'02a_DC_Capacity_Alloc'!H581*'02a_DC_Capacity_Alloc'!I581*'02a_DC_Capacity_Alloc'!J581</f>
        <v/>
      </c>
      <c r="I581" s="6">
        <f>IFERROR(INDEX('02b_DC_Accelerator_Mix'!$F$2:$F$977,MATCH(G581,'02b_DC_Accelerator_Mix'!$A$2:$A$977,0)),0)</f>
        <v/>
      </c>
      <c r="J581" s="6">
        <f>IFERROR(INDEX('02b_DC_Accelerator_Mix'!$G$2:$G$977,MATCH(G581,'02b_DC_Accelerator_Mix'!$A$2:$A$977,0)),0)</f>
        <v/>
      </c>
      <c r="K581" s="6">
        <f>IFERROR(INDEX('02b_DC_Accelerator_Mix'!$H$2:$H$977,MATCH(G581,'02b_DC_Accelerator_Mix'!$A$2:$A$977,0)),0)</f>
        <v/>
      </c>
      <c r="L581" s="6">
        <f>IFERROR(INDEX('02b_DC_Accelerator_Mix'!$I$2:$I$977,MATCH(G581,'02b_DC_Accelerator_Mix'!$A$2:$A$977,0)),0)</f>
        <v/>
      </c>
      <c r="M581" s="6">
        <f>IFERROR(INDEX('02b_DC_Accelerator_Mix'!$J$2:$J$977,MATCH(G581,'02b_DC_Accelerator_Mix'!$A$2:$A$977,0)),0)</f>
        <v/>
      </c>
      <c r="N581" s="6">
        <f>IFERROR(INDEX('02b_DC_Accelerator_Mix'!$K$2:$K$977,MATCH(G581,'02b_DC_Accelerator_Mix'!$A$2:$A$977,0)),0)</f>
        <v/>
      </c>
      <c r="O581" s="6">
        <f>IFERROR(INDEX('02b_DC_Accelerator_Mix'!$L$2:$L$977,MATCH(G581,'02b_DC_Accelerator_Mix'!$A$2:$A$977,0)),0)</f>
        <v/>
      </c>
      <c r="P581" s="6">
        <f>IFERROR(INDEX('02b_DC_Accelerator_Mix'!$M$2:$M$977,MATCH(G581,'02b_DC_Accelerator_Mix'!$A$2:$A$977,0)),0)</f>
        <v/>
      </c>
      <c r="Q581" s="6">
        <f>IFERROR(INDEX('02b_DC_Accelerator_Mix'!$N$2:$N$977,MATCH(G581,'02b_DC_Accelerator_Mix'!$A$2:$A$977,0)),0)</f>
        <v/>
      </c>
      <c r="R581" s="28">
        <f>H581*I581</f>
        <v/>
      </c>
      <c r="S581" s="28">
        <f>H581*J581</f>
        <v/>
      </c>
      <c r="T581" s="28">
        <f>H581*K581</f>
        <v/>
      </c>
      <c r="U581" s="28">
        <f>H581*L581</f>
        <v/>
      </c>
      <c r="V581" s="28">
        <f>H581*M581</f>
        <v/>
      </c>
      <c r="W581" s="28">
        <f>H581*N581</f>
        <v/>
      </c>
      <c r="X581" s="28">
        <f>H581*O581</f>
        <v/>
      </c>
      <c r="Y581" s="28">
        <f>H581*P581</f>
        <v/>
      </c>
      <c r="Z581" s="28">
        <f>H581*Q581</f>
        <v/>
      </c>
      <c r="AA581" s="28">
        <f>SUM(U581:Z581)</f>
        <v/>
      </c>
      <c r="AB581" s="5">
        <f>IF(COUNTIF('02b_DC_Accelerator_Mix'!$A$2:$A$977,G581)&gt;0,"matched","missing_mix")</f>
        <v/>
      </c>
    </row>
    <row r="582">
      <c r="A582" s="5">
        <f>'02a_DC_Capacity_Alloc'!A582</f>
        <v/>
      </c>
      <c r="B582" s="5">
        <f>'02a_DC_Capacity_Alloc'!B582</f>
        <v/>
      </c>
      <c r="C582" s="5">
        <f>'02a_DC_Capacity_Alloc'!C582</f>
        <v/>
      </c>
      <c r="D582" s="5">
        <f>'02a_DC_Capacity_Alloc'!D582</f>
        <v/>
      </c>
      <c r="E582" s="5">
        <f>'02a_DC_Capacity_Alloc'!E582</f>
        <v/>
      </c>
      <c r="F582" s="5">
        <f>'02a_DC_Capacity_Alloc'!F582</f>
        <v/>
      </c>
      <c r="G582" s="5">
        <f>B582&amp;"|"&amp;E582&amp;"|"&amp;D582</f>
        <v/>
      </c>
      <c r="H582" s="28">
        <f>'02a_DC_Capacity_Alloc'!H582*'02a_DC_Capacity_Alloc'!I582*'02a_DC_Capacity_Alloc'!J582</f>
        <v/>
      </c>
      <c r="I582" s="6">
        <f>IFERROR(INDEX('02b_DC_Accelerator_Mix'!$F$2:$F$977,MATCH(G582,'02b_DC_Accelerator_Mix'!$A$2:$A$977,0)),0)</f>
        <v/>
      </c>
      <c r="J582" s="6">
        <f>IFERROR(INDEX('02b_DC_Accelerator_Mix'!$G$2:$G$977,MATCH(G582,'02b_DC_Accelerator_Mix'!$A$2:$A$977,0)),0)</f>
        <v/>
      </c>
      <c r="K582" s="6">
        <f>IFERROR(INDEX('02b_DC_Accelerator_Mix'!$H$2:$H$977,MATCH(G582,'02b_DC_Accelerator_Mix'!$A$2:$A$977,0)),0)</f>
        <v/>
      </c>
      <c r="L582" s="6">
        <f>IFERROR(INDEX('02b_DC_Accelerator_Mix'!$I$2:$I$977,MATCH(G582,'02b_DC_Accelerator_Mix'!$A$2:$A$977,0)),0)</f>
        <v/>
      </c>
      <c r="M582" s="6">
        <f>IFERROR(INDEX('02b_DC_Accelerator_Mix'!$J$2:$J$977,MATCH(G582,'02b_DC_Accelerator_Mix'!$A$2:$A$977,0)),0)</f>
        <v/>
      </c>
      <c r="N582" s="6">
        <f>IFERROR(INDEX('02b_DC_Accelerator_Mix'!$K$2:$K$977,MATCH(G582,'02b_DC_Accelerator_Mix'!$A$2:$A$977,0)),0)</f>
        <v/>
      </c>
      <c r="O582" s="6">
        <f>IFERROR(INDEX('02b_DC_Accelerator_Mix'!$L$2:$L$977,MATCH(G582,'02b_DC_Accelerator_Mix'!$A$2:$A$977,0)),0)</f>
        <v/>
      </c>
      <c r="P582" s="6">
        <f>IFERROR(INDEX('02b_DC_Accelerator_Mix'!$M$2:$M$977,MATCH(G582,'02b_DC_Accelerator_Mix'!$A$2:$A$977,0)),0)</f>
        <v/>
      </c>
      <c r="Q582" s="6">
        <f>IFERROR(INDEX('02b_DC_Accelerator_Mix'!$N$2:$N$977,MATCH(G582,'02b_DC_Accelerator_Mix'!$A$2:$A$977,0)),0)</f>
        <v/>
      </c>
      <c r="R582" s="28">
        <f>H582*I582</f>
        <v/>
      </c>
      <c r="S582" s="28">
        <f>H582*J582</f>
        <v/>
      </c>
      <c r="T582" s="28">
        <f>H582*K582</f>
        <v/>
      </c>
      <c r="U582" s="28">
        <f>H582*L582</f>
        <v/>
      </c>
      <c r="V582" s="28">
        <f>H582*M582</f>
        <v/>
      </c>
      <c r="W582" s="28">
        <f>H582*N582</f>
        <v/>
      </c>
      <c r="X582" s="28">
        <f>H582*O582</f>
        <v/>
      </c>
      <c r="Y582" s="28">
        <f>H582*P582</f>
        <v/>
      </c>
      <c r="Z582" s="28">
        <f>H582*Q582</f>
        <v/>
      </c>
      <c r="AA582" s="28">
        <f>SUM(U582:Z582)</f>
        <v/>
      </c>
      <c r="AB582" s="5">
        <f>IF(COUNTIF('02b_DC_Accelerator_Mix'!$A$2:$A$977,G582)&gt;0,"matched","missing_mix")</f>
        <v/>
      </c>
    </row>
    <row r="583">
      <c r="A583" s="5">
        <f>'02a_DC_Capacity_Alloc'!A583</f>
        <v/>
      </c>
      <c r="B583" s="5">
        <f>'02a_DC_Capacity_Alloc'!B583</f>
        <v/>
      </c>
      <c r="C583" s="5">
        <f>'02a_DC_Capacity_Alloc'!C583</f>
        <v/>
      </c>
      <c r="D583" s="5">
        <f>'02a_DC_Capacity_Alloc'!D583</f>
        <v/>
      </c>
      <c r="E583" s="5">
        <f>'02a_DC_Capacity_Alloc'!E583</f>
        <v/>
      </c>
      <c r="F583" s="5">
        <f>'02a_DC_Capacity_Alloc'!F583</f>
        <v/>
      </c>
      <c r="G583" s="5">
        <f>B583&amp;"|"&amp;E583&amp;"|"&amp;D583</f>
        <v/>
      </c>
      <c r="H583" s="28">
        <f>'02a_DC_Capacity_Alloc'!H583*'02a_DC_Capacity_Alloc'!I583*'02a_DC_Capacity_Alloc'!J583</f>
        <v/>
      </c>
      <c r="I583" s="6">
        <f>IFERROR(INDEX('02b_DC_Accelerator_Mix'!$F$2:$F$977,MATCH(G583,'02b_DC_Accelerator_Mix'!$A$2:$A$977,0)),0)</f>
        <v/>
      </c>
      <c r="J583" s="6">
        <f>IFERROR(INDEX('02b_DC_Accelerator_Mix'!$G$2:$G$977,MATCH(G583,'02b_DC_Accelerator_Mix'!$A$2:$A$977,0)),0)</f>
        <v/>
      </c>
      <c r="K583" s="6">
        <f>IFERROR(INDEX('02b_DC_Accelerator_Mix'!$H$2:$H$977,MATCH(G583,'02b_DC_Accelerator_Mix'!$A$2:$A$977,0)),0)</f>
        <v/>
      </c>
      <c r="L583" s="6">
        <f>IFERROR(INDEX('02b_DC_Accelerator_Mix'!$I$2:$I$977,MATCH(G583,'02b_DC_Accelerator_Mix'!$A$2:$A$977,0)),0)</f>
        <v/>
      </c>
      <c r="M583" s="6">
        <f>IFERROR(INDEX('02b_DC_Accelerator_Mix'!$J$2:$J$977,MATCH(G583,'02b_DC_Accelerator_Mix'!$A$2:$A$977,0)),0)</f>
        <v/>
      </c>
      <c r="N583" s="6">
        <f>IFERROR(INDEX('02b_DC_Accelerator_Mix'!$K$2:$K$977,MATCH(G583,'02b_DC_Accelerator_Mix'!$A$2:$A$977,0)),0)</f>
        <v/>
      </c>
      <c r="O583" s="6">
        <f>IFERROR(INDEX('02b_DC_Accelerator_Mix'!$L$2:$L$977,MATCH(G583,'02b_DC_Accelerator_Mix'!$A$2:$A$977,0)),0)</f>
        <v/>
      </c>
      <c r="P583" s="6">
        <f>IFERROR(INDEX('02b_DC_Accelerator_Mix'!$M$2:$M$977,MATCH(G583,'02b_DC_Accelerator_Mix'!$A$2:$A$977,0)),0)</f>
        <v/>
      </c>
      <c r="Q583" s="6">
        <f>IFERROR(INDEX('02b_DC_Accelerator_Mix'!$N$2:$N$977,MATCH(G583,'02b_DC_Accelerator_Mix'!$A$2:$A$977,0)),0)</f>
        <v/>
      </c>
      <c r="R583" s="28">
        <f>H583*I583</f>
        <v/>
      </c>
      <c r="S583" s="28">
        <f>H583*J583</f>
        <v/>
      </c>
      <c r="T583" s="28">
        <f>H583*K583</f>
        <v/>
      </c>
      <c r="U583" s="28">
        <f>H583*L583</f>
        <v/>
      </c>
      <c r="V583" s="28">
        <f>H583*M583</f>
        <v/>
      </c>
      <c r="W583" s="28">
        <f>H583*N583</f>
        <v/>
      </c>
      <c r="X583" s="28">
        <f>H583*O583</f>
        <v/>
      </c>
      <c r="Y583" s="28">
        <f>H583*P583</f>
        <v/>
      </c>
      <c r="Z583" s="28">
        <f>H583*Q583</f>
        <v/>
      </c>
      <c r="AA583" s="28">
        <f>SUM(U583:Z583)</f>
        <v/>
      </c>
      <c r="AB583" s="5">
        <f>IF(COUNTIF('02b_DC_Accelerator_Mix'!$A$2:$A$977,G583)&gt;0,"matched","missing_mix")</f>
        <v/>
      </c>
    </row>
    <row r="584">
      <c r="A584" s="5">
        <f>'02a_DC_Capacity_Alloc'!A584</f>
        <v/>
      </c>
      <c r="B584" s="5">
        <f>'02a_DC_Capacity_Alloc'!B584</f>
        <v/>
      </c>
      <c r="C584" s="5">
        <f>'02a_DC_Capacity_Alloc'!C584</f>
        <v/>
      </c>
      <c r="D584" s="5">
        <f>'02a_DC_Capacity_Alloc'!D584</f>
        <v/>
      </c>
      <c r="E584" s="5">
        <f>'02a_DC_Capacity_Alloc'!E584</f>
        <v/>
      </c>
      <c r="F584" s="5">
        <f>'02a_DC_Capacity_Alloc'!F584</f>
        <v/>
      </c>
      <c r="G584" s="5">
        <f>B584&amp;"|"&amp;E584&amp;"|"&amp;D584</f>
        <v/>
      </c>
      <c r="H584" s="28">
        <f>'02a_DC_Capacity_Alloc'!H584*'02a_DC_Capacity_Alloc'!I584*'02a_DC_Capacity_Alloc'!J584</f>
        <v/>
      </c>
      <c r="I584" s="6">
        <f>IFERROR(INDEX('02b_DC_Accelerator_Mix'!$F$2:$F$977,MATCH(G584,'02b_DC_Accelerator_Mix'!$A$2:$A$977,0)),0)</f>
        <v/>
      </c>
      <c r="J584" s="6">
        <f>IFERROR(INDEX('02b_DC_Accelerator_Mix'!$G$2:$G$977,MATCH(G584,'02b_DC_Accelerator_Mix'!$A$2:$A$977,0)),0)</f>
        <v/>
      </c>
      <c r="K584" s="6">
        <f>IFERROR(INDEX('02b_DC_Accelerator_Mix'!$H$2:$H$977,MATCH(G584,'02b_DC_Accelerator_Mix'!$A$2:$A$977,0)),0)</f>
        <v/>
      </c>
      <c r="L584" s="6">
        <f>IFERROR(INDEX('02b_DC_Accelerator_Mix'!$I$2:$I$977,MATCH(G584,'02b_DC_Accelerator_Mix'!$A$2:$A$977,0)),0)</f>
        <v/>
      </c>
      <c r="M584" s="6">
        <f>IFERROR(INDEX('02b_DC_Accelerator_Mix'!$J$2:$J$977,MATCH(G584,'02b_DC_Accelerator_Mix'!$A$2:$A$977,0)),0)</f>
        <v/>
      </c>
      <c r="N584" s="6">
        <f>IFERROR(INDEX('02b_DC_Accelerator_Mix'!$K$2:$K$977,MATCH(G584,'02b_DC_Accelerator_Mix'!$A$2:$A$977,0)),0)</f>
        <v/>
      </c>
      <c r="O584" s="6">
        <f>IFERROR(INDEX('02b_DC_Accelerator_Mix'!$L$2:$L$977,MATCH(G584,'02b_DC_Accelerator_Mix'!$A$2:$A$977,0)),0)</f>
        <v/>
      </c>
      <c r="P584" s="6">
        <f>IFERROR(INDEX('02b_DC_Accelerator_Mix'!$M$2:$M$977,MATCH(G584,'02b_DC_Accelerator_Mix'!$A$2:$A$977,0)),0)</f>
        <v/>
      </c>
      <c r="Q584" s="6">
        <f>IFERROR(INDEX('02b_DC_Accelerator_Mix'!$N$2:$N$977,MATCH(G584,'02b_DC_Accelerator_Mix'!$A$2:$A$977,0)),0)</f>
        <v/>
      </c>
      <c r="R584" s="28">
        <f>H584*I584</f>
        <v/>
      </c>
      <c r="S584" s="28">
        <f>H584*J584</f>
        <v/>
      </c>
      <c r="T584" s="28">
        <f>H584*K584</f>
        <v/>
      </c>
      <c r="U584" s="28">
        <f>H584*L584</f>
        <v/>
      </c>
      <c r="V584" s="28">
        <f>H584*M584</f>
        <v/>
      </c>
      <c r="W584" s="28">
        <f>H584*N584</f>
        <v/>
      </c>
      <c r="X584" s="28">
        <f>H584*O584</f>
        <v/>
      </c>
      <c r="Y584" s="28">
        <f>H584*P584</f>
        <v/>
      </c>
      <c r="Z584" s="28">
        <f>H584*Q584</f>
        <v/>
      </c>
      <c r="AA584" s="28">
        <f>SUM(U584:Z584)</f>
        <v/>
      </c>
      <c r="AB584" s="5">
        <f>IF(COUNTIF('02b_DC_Accelerator_Mix'!$A$2:$A$977,G584)&gt;0,"matched","missing_mix")</f>
        <v/>
      </c>
    </row>
    <row r="585">
      <c r="A585" s="5">
        <f>'02a_DC_Capacity_Alloc'!A585</f>
        <v/>
      </c>
      <c r="B585" s="5">
        <f>'02a_DC_Capacity_Alloc'!B585</f>
        <v/>
      </c>
      <c r="C585" s="5">
        <f>'02a_DC_Capacity_Alloc'!C585</f>
        <v/>
      </c>
      <c r="D585" s="5">
        <f>'02a_DC_Capacity_Alloc'!D585</f>
        <v/>
      </c>
      <c r="E585" s="5">
        <f>'02a_DC_Capacity_Alloc'!E585</f>
        <v/>
      </c>
      <c r="F585" s="5">
        <f>'02a_DC_Capacity_Alloc'!F585</f>
        <v/>
      </c>
      <c r="G585" s="5">
        <f>B585&amp;"|"&amp;E585&amp;"|"&amp;D585</f>
        <v/>
      </c>
      <c r="H585" s="28">
        <f>'02a_DC_Capacity_Alloc'!H585*'02a_DC_Capacity_Alloc'!I585*'02a_DC_Capacity_Alloc'!J585</f>
        <v/>
      </c>
      <c r="I585" s="6">
        <f>IFERROR(INDEX('02b_DC_Accelerator_Mix'!$F$2:$F$977,MATCH(G585,'02b_DC_Accelerator_Mix'!$A$2:$A$977,0)),0)</f>
        <v/>
      </c>
      <c r="J585" s="6">
        <f>IFERROR(INDEX('02b_DC_Accelerator_Mix'!$G$2:$G$977,MATCH(G585,'02b_DC_Accelerator_Mix'!$A$2:$A$977,0)),0)</f>
        <v/>
      </c>
      <c r="K585" s="6">
        <f>IFERROR(INDEX('02b_DC_Accelerator_Mix'!$H$2:$H$977,MATCH(G585,'02b_DC_Accelerator_Mix'!$A$2:$A$977,0)),0)</f>
        <v/>
      </c>
      <c r="L585" s="6">
        <f>IFERROR(INDEX('02b_DC_Accelerator_Mix'!$I$2:$I$977,MATCH(G585,'02b_DC_Accelerator_Mix'!$A$2:$A$977,0)),0)</f>
        <v/>
      </c>
      <c r="M585" s="6">
        <f>IFERROR(INDEX('02b_DC_Accelerator_Mix'!$J$2:$J$977,MATCH(G585,'02b_DC_Accelerator_Mix'!$A$2:$A$977,0)),0)</f>
        <v/>
      </c>
      <c r="N585" s="6">
        <f>IFERROR(INDEX('02b_DC_Accelerator_Mix'!$K$2:$K$977,MATCH(G585,'02b_DC_Accelerator_Mix'!$A$2:$A$977,0)),0)</f>
        <v/>
      </c>
      <c r="O585" s="6">
        <f>IFERROR(INDEX('02b_DC_Accelerator_Mix'!$L$2:$L$977,MATCH(G585,'02b_DC_Accelerator_Mix'!$A$2:$A$977,0)),0)</f>
        <v/>
      </c>
      <c r="P585" s="6">
        <f>IFERROR(INDEX('02b_DC_Accelerator_Mix'!$M$2:$M$977,MATCH(G585,'02b_DC_Accelerator_Mix'!$A$2:$A$977,0)),0)</f>
        <v/>
      </c>
      <c r="Q585" s="6">
        <f>IFERROR(INDEX('02b_DC_Accelerator_Mix'!$N$2:$N$977,MATCH(G585,'02b_DC_Accelerator_Mix'!$A$2:$A$977,0)),0)</f>
        <v/>
      </c>
      <c r="R585" s="28">
        <f>H585*I585</f>
        <v/>
      </c>
      <c r="S585" s="28">
        <f>H585*J585</f>
        <v/>
      </c>
      <c r="T585" s="28">
        <f>H585*K585</f>
        <v/>
      </c>
      <c r="U585" s="28">
        <f>H585*L585</f>
        <v/>
      </c>
      <c r="V585" s="28">
        <f>H585*M585</f>
        <v/>
      </c>
      <c r="W585" s="28">
        <f>H585*N585</f>
        <v/>
      </c>
      <c r="X585" s="28">
        <f>H585*O585</f>
        <v/>
      </c>
      <c r="Y585" s="28">
        <f>H585*P585</f>
        <v/>
      </c>
      <c r="Z585" s="28">
        <f>H585*Q585</f>
        <v/>
      </c>
      <c r="AA585" s="28">
        <f>SUM(U585:Z585)</f>
        <v/>
      </c>
      <c r="AB585" s="5">
        <f>IF(COUNTIF('02b_DC_Accelerator_Mix'!$A$2:$A$977,G585)&gt;0,"matched","missing_mix")</f>
        <v/>
      </c>
    </row>
    <row r="586">
      <c r="A586" s="5">
        <f>'02a_DC_Capacity_Alloc'!A586</f>
        <v/>
      </c>
      <c r="B586" s="5">
        <f>'02a_DC_Capacity_Alloc'!B586</f>
        <v/>
      </c>
      <c r="C586" s="5">
        <f>'02a_DC_Capacity_Alloc'!C586</f>
        <v/>
      </c>
      <c r="D586" s="5">
        <f>'02a_DC_Capacity_Alloc'!D586</f>
        <v/>
      </c>
      <c r="E586" s="5">
        <f>'02a_DC_Capacity_Alloc'!E586</f>
        <v/>
      </c>
      <c r="F586" s="5">
        <f>'02a_DC_Capacity_Alloc'!F586</f>
        <v/>
      </c>
      <c r="G586" s="5">
        <f>B586&amp;"|"&amp;E586&amp;"|"&amp;D586</f>
        <v/>
      </c>
      <c r="H586" s="28">
        <f>'02a_DC_Capacity_Alloc'!H586*'02a_DC_Capacity_Alloc'!I586*'02a_DC_Capacity_Alloc'!J586</f>
        <v/>
      </c>
      <c r="I586" s="6">
        <f>IFERROR(INDEX('02b_DC_Accelerator_Mix'!$F$2:$F$977,MATCH(G586,'02b_DC_Accelerator_Mix'!$A$2:$A$977,0)),0)</f>
        <v/>
      </c>
      <c r="J586" s="6">
        <f>IFERROR(INDEX('02b_DC_Accelerator_Mix'!$G$2:$G$977,MATCH(G586,'02b_DC_Accelerator_Mix'!$A$2:$A$977,0)),0)</f>
        <v/>
      </c>
      <c r="K586" s="6">
        <f>IFERROR(INDEX('02b_DC_Accelerator_Mix'!$H$2:$H$977,MATCH(G586,'02b_DC_Accelerator_Mix'!$A$2:$A$977,0)),0)</f>
        <v/>
      </c>
      <c r="L586" s="6">
        <f>IFERROR(INDEX('02b_DC_Accelerator_Mix'!$I$2:$I$977,MATCH(G586,'02b_DC_Accelerator_Mix'!$A$2:$A$977,0)),0)</f>
        <v/>
      </c>
      <c r="M586" s="6">
        <f>IFERROR(INDEX('02b_DC_Accelerator_Mix'!$J$2:$J$977,MATCH(G586,'02b_DC_Accelerator_Mix'!$A$2:$A$977,0)),0)</f>
        <v/>
      </c>
      <c r="N586" s="6">
        <f>IFERROR(INDEX('02b_DC_Accelerator_Mix'!$K$2:$K$977,MATCH(G586,'02b_DC_Accelerator_Mix'!$A$2:$A$977,0)),0)</f>
        <v/>
      </c>
      <c r="O586" s="6">
        <f>IFERROR(INDEX('02b_DC_Accelerator_Mix'!$L$2:$L$977,MATCH(G586,'02b_DC_Accelerator_Mix'!$A$2:$A$977,0)),0)</f>
        <v/>
      </c>
      <c r="P586" s="6">
        <f>IFERROR(INDEX('02b_DC_Accelerator_Mix'!$M$2:$M$977,MATCH(G586,'02b_DC_Accelerator_Mix'!$A$2:$A$977,0)),0)</f>
        <v/>
      </c>
      <c r="Q586" s="6">
        <f>IFERROR(INDEX('02b_DC_Accelerator_Mix'!$N$2:$N$977,MATCH(G586,'02b_DC_Accelerator_Mix'!$A$2:$A$977,0)),0)</f>
        <v/>
      </c>
      <c r="R586" s="28">
        <f>H586*I586</f>
        <v/>
      </c>
      <c r="S586" s="28">
        <f>H586*J586</f>
        <v/>
      </c>
      <c r="T586" s="28">
        <f>H586*K586</f>
        <v/>
      </c>
      <c r="U586" s="28">
        <f>H586*L586</f>
        <v/>
      </c>
      <c r="V586" s="28">
        <f>H586*M586</f>
        <v/>
      </c>
      <c r="W586" s="28">
        <f>H586*N586</f>
        <v/>
      </c>
      <c r="X586" s="28">
        <f>H586*O586</f>
        <v/>
      </c>
      <c r="Y586" s="28">
        <f>H586*P586</f>
        <v/>
      </c>
      <c r="Z586" s="28">
        <f>H586*Q586</f>
        <v/>
      </c>
      <c r="AA586" s="28">
        <f>SUM(U586:Z586)</f>
        <v/>
      </c>
      <c r="AB586" s="5">
        <f>IF(COUNTIF('02b_DC_Accelerator_Mix'!$A$2:$A$977,G586)&gt;0,"matched","missing_mix")</f>
        <v/>
      </c>
    </row>
    <row r="587">
      <c r="A587" s="5">
        <f>'02a_DC_Capacity_Alloc'!A587</f>
        <v/>
      </c>
      <c r="B587" s="5">
        <f>'02a_DC_Capacity_Alloc'!B587</f>
        <v/>
      </c>
      <c r="C587" s="5">
        <f>'02a_DC_Capacity_Alloc'!C587</f>
        <v/>
      </c>
      <c r="D587" s="5">
        <f>'02a_DC_Capacity_Alloc'!D587</f>
        <v/>
      </c>
      <c r="E587" s="5">
        <f>'02a_DC_Capacity_Alloc'!E587</f>
        <v/>
      </c>
      <c r="F587" s="5">
        <f>'02a_DC_Capacity_Alloc'!F587</f>
        <v/>
      </c>
      <c r="G587" s="5">
        <f>B587&amp;"|"&amp;E587&amp;"|"&amp;D587</f>
        <v/>
      </c>
      <c r="H587" s="28">
        <f>'02a_DC_Capacity_Alloc'!H587*'02a_DC_Capacity_Alloc'!I587*'02a_DC_Capacity_Alloc'!J587</f>
        <v/>
      </c>
      <c r="I587" s="6">
        <f>IFERROR(INDEX('02b_DC_Accelerator_Mix'!$F$2:$F$977,MATCH(G587,'02b_DC_Accelerator_Mix'!$A$2:$A$977,0)),0)</f>
        <v/>
      </c>
      <c r="J587" s="6">
        <f>IFERROR(INDEX('02b_DC_Accelerator_Mix'!$G$2:$G$977,MATCH(G587,'02b_DC_Accelerator_Mix'!$A$2:$A$977,0)),0)</f>
        <v/>
      </c>
      <c r="K587" s="6">
        <f>IFERROR(INDEX('02b_DC_Accelerator_Mix'!$H$2:$H$977,MATCH(G587,'02b_DC_Accelerator_Mix'!$A$2:$A$977,0)),0)</f>
        <v/>
      </c>
      <c r="L587" s="6">
        <f>IFERROR(INDEX('02b_DC_Accelerator_Mix'!$I$2:$I$977,MATCH(G587,'02b_DC_Accelerator_Mix'!$A$2:$A$977,0)),0)</f>
        <v/>
      </c>
      <c r="M587" s="6">
        <f>IFERROR(INDEX('02b_DC_Accelerator_Mix'!$J$2:$J$977,MATCH(G587,'02b_DC_Accelerator_Mix'!$A$2:$A$977,0)),0)</f>
        <v/>
      </c>
      <c r="N587" s="6">
        <f>IFERROR(INDEX('02b_DC_Accelerator_Mix'!$K$2:$K$977,MATCH(G587,'02b_DC_Accelerator_Mix'!$A$2:$A$977,0)),0)</f>
        <v/>
      </c>
      <c r="O587" s="6">
        <f>IFERROR(INDEX('02b_DC_Accelerator_Mix'!$L$2:$L$977,MATCH(G587,'02b_DC_Accelerator_Mix'!$A$2:$A$977,0)),0)</f>
        <v/>
      </c>
      <c r="P587" s="6">
        <f>IFERROR(INDEX('02b_DC_Accelerator_Mix'!$M$2:$M$977,MATCH(G587,'02b_DC_Accelerator_Mix'!$A$2:$A$977,0)),0)</f>
        <v/>
      </c>
      <c r="Q587" s="6">
        <f>IFERROR(INDEX('02b_DC_Accelerator_Mix'!$N$2:$N$977,MATCH(G587,'02b_DC_Accelerator_Mix'!$A$2:$A$977,0)),0)</f>
        <v/>
      </c>
      <c r="R587" s="28">
        <f>H587*I587</f>
        <v/>
      </c>
      <c r="S587" s="28">
        <f>H587*J587</f>
        <v/>
      </c>
      <c r="T587" s="28">
        <f>H587*K587</f>
        <v/>
      </c>
      <c r="U587" s="28">
        <f>H587*L587</f>
        <v/>
      </c>
      <c r="V587" s="28">
        <f>H587*M587</f>
        <v/>
      </c>
      <c r="W587" s="28">
        <f>H587*N587</f>
        <v/>
      </c>
      <c r="X587" s="28">
        <f>H587*O587</f>
        <v/>
      </c>
      <c r="Y587" s="28">
        <f>H587*P587</f>
        <v/>
      </c>
      <c r="Z587" s="28">
        <f>H587*Q587</f>
        <v/>
      </c>
      <c r="AA587" s="28">
        <f>SUM(U587:Z587)</f>
        <v/>
      </c>
      <c r="AB587" s="5">
        <f>IF(COUNTIF('02b_DC_Accelerator_Mix'!$A$2:$A$977,G587)&gt;0,"matched","missing_mix")</f>
        <v/>
      </c>
    </row>
    <row r="588">
      <c r="A588" s="5">
        <f>'02a_DC_Capacity_Alloc'!A588</f>
        <v/>
      </c>
      <c r="B588" s="5">
        <f>'02a_DC_Capacity_Alloc'!B588</f>
        <v/>
      </c>
      <c r="C588" s="5">
        <f>'02a_DC_Capacity_Alloc'!C588</f>
        <v/>
      </c>
      <c r="D588" s="5">
        <f>'02a_DC_Capacity_Alloc'!D588</f>
        <v/>
      </c>
      <c r="E588" s="5">
        <f>'02a_DC_Capacity_Alloc'!E588</f>
        <v/>
      </c>
      <c r="F588" s="5">
        <f>'02a_DC_Capacity_Alloc'!F588</f>
        <v/>
      </c>
      <c r="G588" s="5">
        <f>B588&amp;"|"&amp;E588&amp;"|"&amp;D588</f>
        <v/>
      </c>
      <c r="H588" s="28">
        <f>'02a_DC_Capacity_Alloc'!H588*'02a_DC_Capacity_Alloc'!I588*'02a_DC_Capacity_Alloc'!J588</f>
        <v/>
      </c>
      <c r="I588" s="6">
        <f>IFERROR(INDEX('02b_DC_Accelerator_Mix'!$F$2:$F$977,MATCH(G588,'02b_DC_Accelerator_Mix'!$A$2:$A$977,0)),0)</f>
        <v/>
      </c>
      <c r="J588" s="6">
        <f>IFERROR(INDEX('02b_DC_Accelerator_Mix'!$G$2:$G$977,MATCH(G588,'02b_DC_Accelerator_Mix'!$A$2:$A$977,0)),0)</f>
        <v/>
      </c>
      <c r="K588" s="6">
        <f>IFERROR(INDEX('02b_DC_Accelerator_Mix'!$H$2:$H$977,MATCH(G588,'02b_DC_Accelerator_Mix'!$A$2:$A$977,0)),0)</f>
        <v/>
      </c>
      <c r="L588" s="6">
        <f>IFERROR(INDEX('02b_DC_Accelerator_Mix'!$I$2:$I$977,MATCH(G588,'02b_DC_Accelerator_Mix'!$A$2:$A$977,0)),0)</f>
        <v/>
      </c>
      <c r="M588" s="6">
        <f>IFERROR(INDEX('02b_DC_Accelerator_Mix'!$J$2:$J$977,MATCH(G588,'02b_DC_Accelerator_Mix'!$A$2:$A$977,0)),0)</f>
        <v/>
      </c>
      <c r="N588" s="6">
        <f>IFERROR(INDEX('02b_DC_Accelerator_Mix'!$K$2:$K$977,MATCH(G588,'02b_DC_Accelerator_Mix'!$A$2:$A$977,0)),0)</f>
        <v/>
      </c>
      <c r="O588" s="6">
        <f>IFERROR(INDEX('02b_DC_Accelerator_Mix'!$L$2:$L$977,MATCH(G588,'02b_DC_Accelerator_Mix'!$A$2:$A$977,0)),0)</f>
        <v/>
      </c>
      <c r="P588" s="6">
        <f>IFERROR(INDEX('02b_DC_Accelerator_Mix'!$M$2:$M$977,MATCH(G588,'02b_DC_Accelerator_Mix'!$A$2:$A$977,0)),0)</f>
        <v/>
      </c>
      <c r="Q588" s="6">
        <f>IFERROR(INDEX('02b_DC_Accelerator_Mix'!$N$2:$N$977,MATCH(G588,'02b_DC_Accelerator_Mix'!$A$2:$A$977,0)),0)</f>
        <v/>
      </c>
      <c r="R588" s="28">
        <f>H588*I588</f>
        <v/>
      </c>
      <c r="S588" s="28">
        <f>H588*J588</f>
        <v/>
      </c>
      <c r="T588" s="28">
        <f>H588*K588</f>
        <v/>
      </c>
      <c r="U588" s="28">
        <f>H588*L588</f>
        <v/>
      </c>
      <c r="V588" s="28">
        <f>H588*M588</f>
        <v/>
      </c>
      <c r="W588" s="28">
        <f>H588*N588</f>
        <v/>
      </c>
      <c r="X588" s="28">
        <f>H588*O588</f>
        <v/>
      </c>
      <c r="Y588" s="28">
        <f>H588*P588</f>
        <v/>
      </c>
      <c r="Z588" s="28">
        <f>H588*Q588</f>
        <v/>
      </c>
      <c r="AA588" s="28">
        <f>SUM(U588:Z588)</f>
        <v/>
      </c>
      <c r="AB588" s="5">
        <f>IF(COUNTIF('02b_DC_Accelerator_Mix'!$A$2:$A$977,G588)&gt;0,"matched","missing_mix")</f>
        <v/>
      </c>
    </row>
    <row r="589">
      <c r="A589" s="5">
        <f>'02a_DC_Capacity_Alloc'!A589</f>
        <v/>
      </c>
      <c r="B589" s="5">
        <f>'02a_DC_Capacity_Alloc'!B589</f>
        <v/>
      </c>
      <c r="C589" s="5">
        <f>'02a_DC_Capacity_Alloc'!C589</f>
        <v/>
      </c>
      <c r="D589" s="5">
        <f>'02a_DC_Capacity_Alloc'!D589</f>
        <v/>
      </c>
      <c r="E589" s="5">
        <f>'02a_DC_Capacity_Alloc'!E589</f>
        <v/>
      </c>
      <c r="F589" s="5">
        <f>'02a_DC_Capacity_Alloc'!F589</f>
        <v/>
      </c>
      <c r="G589" s="5">
        <f>B589&amp;"|"&amp;E589&amp;"|"&amp;D589</f>
        <v/>
      </c>
      <c r="H589" s="28">
        <f>'02a_DC_Capacity_Alloc'!H589*'02a_DC_Capacity_Alloc'!I589*'02a_DC_Capacity_Alloc'!J589</f>
        <v/>
      </c>
      <c r="I589" s="6">
        <f>IFERROR(INDEX('02b_DC_Accelerator_Mix'!$F$2:$F$977,MATCH(G589,'02b_DC_Accelerator_Mix'!$A$2:$A$977,0)),0)</f>
        <v/>
      </c>
      <c r="J589" s="6">
        <f>IFERROR(INDEX('02b_DC_Accelerator_Mix'!$G$2:$G$977,MATCH(G589,'02b_DC_Accelerator_Mix'!$A$2:$A$977,0)),0)</f>
        <v/>
      </c>
      <c r="K589" s="6">
        <f>IFERROR(INDEX('02b_DC_Accelerator_Mix'!$H$2:$H$977,MATCH(G589,'02b_DC_Accelerator_Mix'!$A$2:$A$977,0)),0)</f>
        <v/>
      </c>
      <c r="L589" s="6">
        <f>IFERROR(INDEX('02b_DC_Accelerator_Mix'!$I$2:$I$977,MATCH(G589,'02b_DC_Accelerator_Mix'!$A$2:$A$977,0)),0)</f>
        <v/>
      </c>
      <c r="M589" s="6">
        <f>IFERROR(INDEX('02b_DC_Accelerator_Mix'!$J$2:$J$977,MATCH(G589,'02b_DC_Accelerator_Mix'!$A$2:$A$977,0)),0)</f>
        <v/>
      </c>
      <c r="N589" s="6">
        <f>IFERROR(INDEX('02b_DC_Accelerator_Mix'!$K$2:$K$977,MATCH(G589,'02b_DC_Accelerator_Mix'!$A$2:$A$977,0)),0)</f>
        <v/>
      </c>
      <c r="O589" s="6">
        <f>IFERROR(INDEX('02b_DC_Accelerator_Mix'!$L$2:$L$977,MATCH(G589,'02b_DC_Accelerator_Mix'!$A$2:$A$977,0)),0)</f>
        <v/>
      </c>
      <c r="P589" s="6">
        <f>IFERROR(INDEX('02b_DC_Accelerator_Mix'!$M$2:$M$977,MATCH(G589,'02b_DC_Accelerator_Mix'!$A$2:$A$977,0)),0)</f>
        <v/>
      </c>
      <c r="Q589" s="6">
        <f>IFERROR(INDEX('02b_DC_Accelerator_Mix'!$N$2:$N$977,MATCH(G589,'02b_DC_Accelerator_Mix'!$A$2:$A$977,0)),0)</f>
        <v/>
      </c>
      <c r="R589" s="28">
        <f>H589*I589</f>
        <v/>
      </c>
      <c r="S589" s="28">
        <f>H589*J589</f>
        <v/>
      </c>
      <c r="T589" s="28">
        <f>H589*K589</f>
        <v/>
      </c>
      <c r="U589" s="28">
        <f>H589*L589</f>
        <v/>
      </c>
      <c r="V589" s="28">
        <f>H589*M589</f>
        <v/>
      </c>
      <c r="W589" s="28">
        <f>H589*N589</f>
        <v/>
      </c>
      <c r="X589" s="28">
        <f>H589*O589</f>
        <v/>
      </c>
      <c r="Y589" s="28">
        <f>H589*P589</f>
        <v/>
      </c>
      <c r="Z589" s="28">
        <f>H589*Q589</f>
        <v/>
      </c>
      <c r="AA589" s="28">
        <f>SUM(U589:Z589)</f>
        <v/>
      </c>
      <c r="AB589" s="5">
        <f>IF(COUNTIF('02b_DC_Accelerator_Mix'!$A$2:$A$977,G589)&gt;0,"matched","missing_mix")</f>
        <v/>
      </c>
    </row>
    <row r="590">
      <c r="A590" s="5">
        <f>'02a_DC_Capacity_Alloc'!A590</f>
        <v/>
      </c>
      <c r="B590" s="5">
        <f>'02a_DC_Capacity_Alloc'!B590</f>
        <v/>
      </c>
      <c r="C590" s="5">
        <f>'02a_DC_Capacity_Alloc'!C590</f>
        <v/>
      </c>
      <c r="D590" s="5">
        <f>'02a_DC_Capacity_Alloc'!D590</f>
        <v/>
      </c>
      <c r="E590" s="5">
        <f>'02a_DC_Capacity_Alloc'!E590</f>
        <v/>
      </c>
      <c r="F590" s="5">
        <f>'02a_DC_Capacity_Alloc'!F590</f>
        <v/>
      </c>
      <c r="G590" s="5">
        <f>B590&amp;"|"&amp;E590&amp;"|"&amp;D590</f>
        <v/>
      </c>
      <c r="H590" s="28">
        <f>'02a_DC_Capacity_Alloc'!H590*'02a_DC_Capacity_Alloc'!I590*'02a_DC_Capacity_Alloc'!J590</f>
        <v/>
      </c>
      <c r="I590" s="6">
        <f>IFERROR(INDEX('02b_DC_Accelerator_Mix'!$F$2:$F$977,MATCH(G590,'02b_DC_Accelerator_Mix'!$A$2:$A$977,0)),0)</f>
        <v/>
      </c>
      <c r="J590" s="6">
        <f>IFERROR(INDEX('02b_DC_Accelerator_Mix'!$G$2:$G$977,MATCH(G590,'02b_DC_Accelerator_Mix'!$A$2:$A$977,0)),0)</f>
        <v/>
      </c>
      <c r="K590" s="6">
        <f>IFERROR(INDEX('02b_DC_Accelerator_Mix'!$H$2:$H$977,MATCH(G590,'02b_DC_Accelerator_Mix'!$A$2:$A$977,0)),0)</f>
        <v/>
      </c>
      <c r="L590" s="6">
        <f>IFERROR(INDEX('02b_DC_Accelerator_Mix'!$I$2:$I$977,MATCH(G590,'02b_DC_Accelerator_Mix'!$A$2:$A$977,0)),0)</f>
        <v/>
      </c>
      <c r="M590" s="6">
        <f>IFERROR(INDEX('02b_DC_Accelerator_Mix'!$J$2:$J$977,MATCH(G590,'02b_DC_Accelerator_Mix'!$A$2:$A$977,0)),0)</f>
        <v/>
      </c>
      <c r="N590" s="6">
        <f>IFERROR(INDEX('02b_DC_Accelerator_Mix'!$K$2:$K$977,MATCH(G590,'02b_DC_Accelerator_Mix'!$A$2:$A$977,0)),0)</f>
        <v/>
      </c>
      <c r="O590" s="6">
        <f>IFERROR(INDEX('02b_DC_Accelerator_Mix'!$L$2:$L$977,MATCH(G590,'02b_DC_Accelerator_Mix'!$A$2:$A$977,0)),0)</f>
        <v/>
      </c>
      <c r="P590" s="6">
        <f>IFERROR(INDEX('02b_DC_Accelerator_Mix'!$M$2:$M$977,MATCH(G590,'02b_DC_Accelerator_Mix'!$A$2:$A$977,0)),0)</f>
        <v/>
      </c>
      <c r="Q590" s="6">
        <f>IFERROR(INDEX('02b_DC_Accelerator_Mix'!$N$2:$N$977,MATCH(G590,'02b_DC_Accelerator_Mix'!$A$2:$A$977,0)),0)</f>
        <v/>
      </c>
      <c r="R590" s="28">
        <f>H590*I590</f>
        <v/>
      </c>
      <c r="S590" s="28">
        <f>H590*J590</f>
        <v/>
      </c>
      <c r="T590" s="28">
        <f>H590*K590</f>
        <v/>
      </c>
      <c r="U590" s="28">
        <f>H590*L590</f>
        <v/>
      </c>
      <c r="V590" s="28">
        <f>H590*M590</f>
        <v/>
      </c>
      <c r="W590" s="28">
        <f>H590*N590</f>
        <v/>
      </c>
      <c r="X590" s="28">
        <f>H590*O590</f>
        <v/>
      </c>
      <c r="Y590" s="28">
        <f>H590*P590</f>
        <v/>
      </c>
      <c r="Z590" s="28">
        <f>H590*Q590</f>
        <v/>
      </c>
      <c r="AA590" s="28">
        <f>SUM(U590:Z590)</f>
        <v/>
      </c>
      <c r="AB590" s="5">
        <f>IF(COUNTIF('02b_DC_Accelerator_Mix'!$A$2:$A$977,G590)&gt;0,"matched","missing_mix")</f>
        <v/>
      </c>
    </row>
    <row r="591">
      <c r="A591" s="5">
        <f>'02a_DC_Capacity_Alloc'!A591</f>
        <v/>
      </c>
      <c r="B591" s="5">
        <f>'02a_DC_Capacity_Alloc'!B591</f>
        <v/>
      </c>
      <c r="C591" s="5">
        <f>'02a_DC_Capacity_Alloc'!C591</f>
        <v/>
      </c>
      <c r="D591" s="5">
        <f>'02a_DC_Capacity_Alloc'!D591</f>
        <v/>
      </c>
      <c r="E591" s="5">
        <f>'02a_DC_Capacity_Alloc'!E591</f>
        <v/>
      </c>
      <c r="F591" s="5">
        <f>'02a_DC_Capacity_Alloc'!F591</f>
        <v/>
      </c>
      <c r="G591" s="5">
        <f>B591&amp;"|"&amp;E591&amp;"|"&amp;D591</f>
        <v/>
      </c>
      <c r="H591" s="28">
        <f>'02a_DC_Capacity_Alloc'!H591*'02a_DC_Capacity_Alloc'!I591*'02a_DC_Capacity_Alloc'!J591</f>
        <v/>
      </c>
      <c r="I591" s="6">
        <f>IFERROR(INDEX('02b_DC_Accelerator_Mix'!$F$2:$F$977,MATCH(G591,'02b_DC_Accelerator_Mix'!$A$2:$A$977,0)),0)</f>
        <v/>
      </c>
      <c r="J591" s="6">
        <f>IFERROR(INDEX('02b_DC_Accelerator_Mix'!$G$2:$G$977,MATCH(G591,'02b_DC_Accelerator_Mix'!$A$2:$A$977,0)),0)</f>
        <v/>
      </c>
      <c r="K591" s="6">
        <f>IFERROR(INDEX('02b_DC_Accelerator_Mix'!$H$2:$H$977,MATCH(G591,'02b_DC_Accelerator_Mix'!$A$2:$A$977,0)),0)</f>
        <v/>
      </c>
      <c r="L591" s="6">
        <f>IFERROR(INDEX('02b_DC_Accelerator_Mix'!$I$2:$I$977,MATCH(G591,'02b_DC_Accelerator_Mix'!$A$2:$A$977,0)),0)</f>
        <v/>
      </c>
      <c r="M591" s="6">
        <f>IFERROR(INDEX('02b_DC_Accelerator_Mix'!$J$2:$J$977,MATCH(G591,'02b_DC_Accelerator_Mix'!$A$2:$A$977,0)),0)</f>
        <v/>
      </c>
      <c r="N591" s="6">
        <f>IFERROR(INDEX('02b_DC_Accelerator_Mix'!$K$2:$K$977,MATCH(G591,'02b_DC_Accelerator_Mix'!$A$2:$A$977,0)),0)</f>
        <v/>
      </c>
      <c r="O591" s="6">
        <f>IFERROR(INDEX('02b_DC_Accelerator_Mix'!$L$2:$L$977,MATCH(G591,'02b_DC_Accelerator_Mix'!$A$2:$A$977,0)),0)</f>
        <v/>
      </c>
      <c r="P591" s="6">
        <f>IFERROR(INDEX('02b_DC_Accelerator_Mix'!$M$2:$M$977,MATCH(G591,'02b_DC_Accelerator_Mix'!$A$2:$A$977,0)),0)</f>
        <v/>
      </c>
      <c r="Q591" s="6">
        <f>IFERROR(INDEX('02b_DC_Accelerator_Mix'!$N$2:$N$977,MATCH(G591,'02b_DC_Accelerator_Mix'!$A$2:$A$977,0)),0)</f>
        <v/>
      </c>
      <c r="R591" s="28">
        <f>H591*I591</f>
        <v/>
      </c>
      <c r="S591" s="28">
        <f>H591*J591</f>
        <v/>
      </c>
      <c r="T591" s="28">
        <f>H591*K591</f>
        <v/>
      </c>
      <c r="U591" s="28">
        <f>H591*L591</f>
        <v/>
      </c>
      <c r="V591" s="28">
        <f>H591*M591</f>
        <v/>
      </c>
      <c r="W591" s="28">
        <f>H591*N591</f>
        <v/>
      </c>
      <c r="X591" s="28">
        <f>H591*O591</f>
        <v/>
      </c>
      <c r="Y591" s="28">
        <f>H591*P591</f>
        <v/>
      </c>
      <c r="Z591" s="28">
        <f>H591*Q591</f>
        <v/>
      </c>
      <c r="AA591" s="28">
        <f>SUM(U591:Z591)</f>
        <v/>
      </c>
      <c r="AB591" s="5">
        <f>IF(COUNTIF('02b_DC_Accelerator_Mix'!$A$2:$A$977,G591)&gt;0,"matched","missing_mix")</f>
        <v/>
      </c>
    </row>
    <row r="592">
      <c r="A592" s="5">
        <f>'02a_DC_Capacity_Alloc'!A592</f>
        <v/>
      </c>
      <c r="B592" s="5">
        <f>'02a_DC_Capacity_Alloc'!B592</f>
        <v/>
      </c>
      <c r="C592" s="5">
        <f>'02a_DC_Capacity_Alloc'!C592</f>
        <v/>
      </c>
      <c r="D592" s="5">
        <f>'02a_DC_Capacity_Alloc'!D592</f>
        <v/>
      </c>
      <c r="E592" s="5">
        <f>'02a_DC_Capacity_Alloc'!E592</f>
        <v/>
      </c>
      <c r="F592" s="5">
        <f>'02a_DC_Capacity_Alloc'!F592</f>
        <v/>
      </c>
      <c r="G592" s="5">
        <f>B592&amp;"|"&amp;E592&amp;"|"&amp;D592</f>
        <v/>
      </c>
      <c r="H592" s="28">
        <f>'02a_DC_Capacity_Alloc'!H592*'02a_DC_Capacity_Alloc'!I592*'02a_DC_Capacity_Alloc'!J592</f>
        <v/>
      </c>
      <c r="I592" s="6">
        <f>IFERROR(INDEX('02b_DC_Accelerator_Mix'!$F$2:$F$977,MATCH(G592,'02b_DC_Accelerator_Mix'!$A$2:$A$977,0)),0)</f>
        <v/>
      </c>
      <c r="J592" s="6">
        <f>IFERROR(INDEX('02b_DC_Accelerator_Mix'!$G$2:$G$977,MATCH(G592,'02b_DC_Accelerator_Mix'!$A$2:$A$977,0)),0)</f>
        <v/>
      </c>
      <c r="K592" s="6">
        <f>IFERROR(INDEX('02b_DC_Accelerator_Mix'!$H$2:$H$977,MATCH(G592,'02b_DC_Accelerator_Mix'!$A$2:$A$977,0)),0)</f>
        <v/>
      </c>
      <c r="L592" s="6">
        <f>IFERROR(INDEX('02b_DC_Accelerator_Mix'!$I$2:$I$977,MATCH(G592,'02b_DC_Accelerator_Mix'!$A$2:$A$977,0)),0)</f>
        <v/>
      </c>
      <c r="M592" s="6">
        <f>IFERROR(INDEX('02b_DC_Accelerator_Mix'!$J$2:$J$977,MATCH(G592,'02b_DC_Accelerator_Mix'!$A$2:$A$977,0)),0)</f>
        <v/>
      </c>
      <c r="N592" s="6">
        <f>IFERROR(INDEX('02b_DC_Accelerator_Mix'!$K$2:$K$977,MATCH(G592,'02b_DC_Accelerator_Mix'!$A$2:$A$977,0)),0)</f>
        <v/>
      </c>
      <c r="O592" s="6">
        <f>IFERROR(INDEX('02b_DC_Accelerator_Mix'!$L$2:$L$977,MATCH(G592,'02b_DC_Accelerator_Mix'!$A$2:$A$977,0)),0)</f>
        <v/>
      </c>
      <c r="P592" s="6">
        <f>IFERROR(INDEX('02b_DC_Accelerator_Mix'!$M$2:$M$977,MATCH(G592,'02b_DC_Accelerator_Mix'!$A$2:$A$977,0)),0)</f>
        <v/>
      </c>
      <c r="Q592" s="6">
        <f>IFERROR(INDEX('02b_DC_Accelerator_Mix'!$N$2:$N$977,MATCH(G592,'02b_DC_Accelerator_Mix'!$A$2:$A$977,0)),0)</f>
        <v/>
      </c>
      <c r="R592" s="28">
        <f>H592*I592</f>
        <v/>
      </c>
      <c r="S592" s="28">
        <f>H592*J592</f>
        <v/>
      </c>
      <c r="T592" s="28">
        <f>H592*K592</f>
        <v/>
      </c>
      <c r="U592" s="28">
        <f>H592*L592</f>
        <v/>
      </c>
      <c r="V592" s="28">
        <f>H592*M592</f>
        <v/>
      </c>
      <c r="W592" s="28">
        <f>H592*N592</f>
        <v/>
      </c>
      <c r="X592" s="28">
        <f>H592*O592</f>
        <v/>
      </c>
      <c r="Y592" s="28">
        <f>H592*P592</f>
        <v/>
      </c>
      <c r="Z592" s="28">
        <f>H592*Q592</f>
        <v/>
      </c>
      <c r="AA592" s="28">
        <f>SUM(U592:Z592)</f>
        <v/>
      </c>
      <c r="AB592" s="5">
        <f>IF(COUNTIF('02b_DC_Accelerator_Mix'!$A$2:$A$977,G592)&gt;0,"matched","missing_mix")</f>
        <v/>
      </c>
    </row>
    <row r="593">
      <c r="A593" s="5">
        <f>'02a_DC_Capacity_Alloc'!A593</f>
        <v/>
      </c>
      <c r="B593" s="5">
        <f>'02a_DC_Capacity_Alloc'!B593</f>
        <v/>
      </c>
      <c r="C593" s="5">
        <f>'02a_DC_Capacity_Alloc'!C593</f>
        <v/>
      </c>
      <c r="D593" s="5">
        <f>'02a_DC_Capacity_Alloc'!D593</f>
        <v/>
      </c>
      <c r="E593" s="5">
        <f>'02a_DC_Capacity_Alloc'!E593</f>
        <v/>
      </c>
      <c r="F593" s="5">
        <f>'02a_DC_Capacity_Alloc'!F593</f>
        <v/>
      </c>
      <c r="G593" s="5">
        <f>B593&amp;"|"&amp;E593&amp;"|"&amp;D593</f>
        <v/>
      </c>
      <c r="H593" s="28">
        <f>'02a_DC_Capacity_Alloc'!H593*'02a_DC_Capacity_Alloc'!I593*'02a_DC_Capacity_Alloc'!J593</f>
        <v/>
      </c>
      <c r="I593" s="6">
        <f>IFERROR(INDEX('02b_DC_Accelerator_Mix'!$F$2:$F$977,MATCH(G593,'02b_DC_Accelerator_Mix'!$A$2:$A$977,0)),0)</f>
        <v/>
      </c>
      <c r="J593" s="6">
        <f>IFERROR(INDEX('02b_DC_Accelerator_Mix'!$G$2:$G$977,MATCH(G593,'02b_DC_Accelerator_Mix'!$A$2:$A$977,0)),0)</f>
        <v/>
      </c>
      <c r="K593" s="6">
        <f>IFERROR(INDEX('02b_DC_Accelerator_Mix'!$H$2:$H$977,MATCH(G593,'02b_DC_Accelerator_Mix'!$A$2:$A$977,0)),0)</f>
        <v/>
      </c>
      <c r="L593" s="6">
        <f>IFERROR(INDEX('02b_DC_Accelerator_Mix'!$I$2:$I$977,MATCH(G593,'02b_DC_Accelerator_Mix'!$A$2:$A$977,0)),0)</f>
        <v/>
      </c>
      <c r="M593" s="6">
        <f>IFERROR(INDEX('02b_DC_Accelerator_Mix'!$J$2:$J$977,MATCH(G593,'02b_DC_Accelerator_Mix'!$A$2:$A$977,0)),0)</f>
        <v/>
      </c>
      <c r="N593" s="6">
        <f>IFERROR(INDEX('02b_DC_Accelerator_Mix'!$K$2:$K$977,MATCH(G593,'02b_DC_Accelerator_Mix'!$A$2:$A$977,0)),0)</f>
        <v/>
      </c>
      <c r="O593" s="6">
        <f>IFERROR(INDEX('02b_DC_Accelerator_Mix'!$L$2:$L$977,MATCH(G593,'02b_DC_Accelerator_Mix'!$A$2:$A$977,0)),0)</f>
        <v/>
      </c>
      <c r="P593" s="6">
        <f>IFERROR(INDEX('02b_DC_Accelerator_Mix'!$M$2:$M$977,MATCH(G593,'02b_DC_Accelerator_Mix'!$A$2:$A$977,0)),0)</f>
        <v/>
      </c>
      <c r="Q593" s="6">
        <f>IFERROR(INDEX('02b_DC_Accelerator_Mix'!$N$2:$N$977,MATCH(G593,'02b_DC_Accelerator_Mix'!$A$2:$A$977,0)),0)</f>
        <v/>
      </c>
      <c r="R593" s="28">
        <f>H593*I593</f>
        <v/>
      </c>
      <c r="S593" s="28">
        <f>H593*J593</f>
        <v/>
      </c>
      <c r="T593" s="28">
        <f>H593*K593</f>
        <v/>
      </c>
      <c r="U593" s="28">
        <f>H593*L593</f>
        <v/>
      </c>
      <c r="V593" s="28">
        <f>H593*M593</f>
        <v/>
      </c>
      <c r="W593" s="28">
        <f>H593*N593</f>
        <v/>
      </c>
      <c r="X593" s="28">
        <f>H593*O593</f>
        <v/>
      </c>
      <c r="Y593" s="28">
        <f>H593*P593</f>
        <v/>
      </c>
      <c r="Z593" s="28">
        <f>H593*Q593</f>
        <v/>
      </c>
      <c r="AA593" s="28">
        <f>SUM(U593:Z593)</f>
        <v/>
      </c>
      <c r="AB593" s="5">
        <f>IF(COUNTIF('02b_DC_Accelerator_Mix'!$A$2:$A$977,G593)&gt;0,"matched","missing_mix")</f>
        <v/>
      </c>
    </row>
    <row r="594">
      <c r="A594" s="5">
        <f>'02a_DC_Capacity_Alloc'!A594</f>
        <v/>
      </c>
      <c r="B594" s="5">
        <f>'02a_DC_Capacity_Alloc'!B594</f>
        <v/>
      </c>
      <c r="C594" s="5">
        <f>'02a_DC_Capacity_Alloc'!C594</f>
        <v/>
      </c>
      <c r="D594" s="5">
        <f>'02a_DC_Capacity_Alloc'!D594</f>
        <v/>
      </c>
      <c r="E594" s="5">
        <f>'02a_DC_Capacity_Alloc'!E594</f>
        <v/>
      </c>
      <c r="F594" s="5">
        <f>'02a_DC_Capacity_Alloc'!F594</f>
        <v/>
      </c>
      <c r="G594" s="5">
        <f>B594&amp;"|"&amp;E594&amp;"|"&amp;D594</f>
        <v/>
      </c>
      <c r="H594" s="28">
        <f>'02a_DC_Capacity_Alloc'!H594*'02a_DC_Capacity_Alloc'!I594*'02a_DC_Capacity_Alloc'!J594</f>
        <v/>
      </c>
      <c r="I594" s="6">
        <f>IFERROR(INDEX('02b_DC_Accelerator_Mix'!$F$2:$F$977,MATCH(G594,'02b_DC_Accelerator_Mix'!$A$2:$A$977,0)),0)</f>
        <v/>
      </c>
      <c r="J594" s="6">
        <f>IFERROR(INDEX('02b_DC_Accelerator_Mix'!$G$2:$G$977,MATCH(G594,'02b_DC_Accelerator_Mix'!$A$2:$A$977,0)),0)</f>
        <v/>
      </c>
      <c r="K594" s="6">
        <f>IFERROR(INDEX('02b_DC_Accelerator_Mix'!$H$2:$H$977,MATCH(G594,'02b_DC_Accelerator_Mix'!$A$2:$A$977,0)),0)</f>
        <v/>
      </c>
      <c r="L594" s="6">
        <f>IFERROR(INDEX('02b_DC_Accelerator_Mix'!$I$2:$I$977,MATCH(G594,'02b_DC_Accelerator_Mix'!$A$2:$A$977,0)),0)</f>
        <v/>
      </c>
      <c r="M594" s="6">
        <f>IFERROR(INDEX('02b_DC_Accelerator_Mix'!$J$2:$J$977,MATCH(G594,'02b_DC_Accelerator_Mix'!$A$2:$A$977,0)),0)</f>
        <v/>
      </c>
      <c r="N594" s="6">
        <f>IFERROR(INDEX('02b_DC_Accelerator_Mix'!$K$2:$K$977,MATCH(G594,'02b_DC_Accelerator_Mix'!$A$2:$A$977,0)),0)</f>
        <v/>
      </c>
      <c r="O594" s="6">
        <f>IFERROR(INDEX('02b_DC_Accelerator_Mix'!$L$2:$L$977,MATCH(G594,'02b_DC_Accelerator_Mix'!$A$2:$A$977,0)),0)</f>
        <v/>
      </c>
      <c r="P594" s="6">
        <f>IFERROR(INDEX('02b_DC_Accelerator_Mix'!$M$2:$M$977,MATCH(G594,'02b_DC_Accelerator_Mix'!$A$2:$A$977,0)),0)</f>
        <v/>
      </c>
      <c r="Q594" s="6">
        <f>IFERROR(INDEX('02b_DC_Accelerator_Mix'!$N$2:$N$977,MATCH(G594,'02b_DC_Accelerator_Mix'!$A$2:$A$977,0)),0)</f>
        <v/>
      </c>
      <c r="R594" s="28">
        <f>H594*I594</f>
        <v/>
      </c>
      <c r="S594" s="28">
        <f>H594*J594</f>
        <v/>
      </c>
      <c r="T594" s="28">
        <f>H594*K594</f>
        <v/>
      </c>
      <c r="U594" s="28">
        <f>H594*L594</f>
        <v/>
      </c>
      <c r="V594" s="28">
        <f>H594*M594</f>
        <v/>
      </c>
      <c r="W594" s="28">
        <f>H594*N594</f>
        <v/>
      </c>
      <c r="X594" s="28">
        <f>H594*O594</f>
        <v/>
      </c>
      <c r="Y594" s="28">
        <f>H594*P594</f>
        <v/>
      </c>
      <c r="Z594" s="28">
        <f>H594*Q594</f>
        <v/>
      </c>
      <c r="AA594" s="28">
        <f>SUM(U594:Z594)</f>
        <v/>
      </c>
      <c r="AB594" s="5">
        <f>IF(COUNTIF('02b_DC_Accelerator_Mix'!$A$2:$A$977,G594)&gt;0,"matched","missing_mix")</f>
        <v/>
      </c>
    </row>
    <row r="595">
      <c r="A595" s="5">
        <f>'02a_DC_Capacity_Alloc'!A595</f>
        <v/>
      </c>
      <c r="B595" s="5">
        <f>'02a_DC_Capacity_Alloc'!B595</f>
        <v/>
      </c>
      <c r="C595" s="5">
        <f>'02a_DC_Capacity_Alloc'!C595</f>
        <v/>
      </c>
      <c r="D595" s="5">
        <f>'02a_DC_Capacity_Alloc'!D595</f>
        <v/>
      </c>
      <c r="E595" s="5">
        <f>'02a_DC_Capacity_Alloc'!E595</f>
        <v/>
      </c>
      <c r="F595" s="5">
        <f>'02a_DC_Capacity_Alloc'!F595</f>
        <v/>
      </c>
      <c r="G595" s="5">
        <f>B595&amp;"|"&amp;E595&amp;"|"&amp;D595</f>
        <v/>
      </c>
      <c r="H595" s="28">
        <f>'02a_DC_Capacity_Alloc'!H595*'02a_DC_Capacity_Alloc'!I595*'02a_DC_Capacity_Alloc'!J595</f>
        <v/>
      </c>
      <c r="I595" s="6">
        <f>IFERROR(INDEX('02b_DC_Accelerator_Mix'!$F$2:$F$977,MATCH(G595,'02b_DC_Accelerator_Mix'!$A$2:$A$977,0)),0)</f>
        <v/>
      </c>
      <c r="J595" s="6">
        <f>IFERROR(INDEX('02b_DC_Accelerator_Mix'!$G$2:$G$977,MATCH(G595,'02b_DC_Accelerator_Mix'!$A$2:$A$977,0)),0)</f>
        <v/>
      </c>
      <c r="K595" s="6">
        <f>IFERROR(INDEX('02b_DC_Accelerator_Mix'!$H$2:$H$977,MATCH(G595,'02b_DC_Accelerator_Mix'!$A$2:$A$977,0)),0)</f>
        <v/>
      </c>
      <c r="L595" s="6">
        <f>IFERROR(INDEX('02b_DC_Accelerator_Mix'!$I$2:$I$977,MATCH(G595,'02b_DC_Accelerator_Mix'!$A$2:$A$977,0)),0)</f>
        <v/>
      </c>
      <c r="M595" s="6">
        <f>IFERROR(INDEX('02b_DC_Accelerator_Mix'!$J$2:$J$977,MATCH(G595,'02b_DC_Accelerator_Mix'!$A$2:$A$977,0)),0)</f>
        <v/>
      </c>
      <c r="N595" s="6">
        <f>IFERROR(INDEX('02b_DC_Accelerator_Mix'!$K$2:$K$977,MATCH(G595,'02b_DC_Accelerator_Mix'!$A$2:$A$977,0)),0)</f>
        <v/>
      </c>
      <c r="O595" s="6">
        <f>IFERROR(INDEX('02b_DC_Accelerator_Mix'!$L$2:$L$977,MATCH(G595,'02b_DC_Accelerator_Mix'!$A$2:$A$977,0)),0)</f>
        <v/>
      </c>
      <c r="P595" s="6">
        <f>IFERROR(INDEX('02b_DC_Accelerator_Mix'!$M$2:$M$977,MATCH(G595,'02b_DC_Accelerator_Mix'!$A$2:$A$977,0)),0)</f>
        <v/>
      </c>
      <c r="Q595" s="6">
        <f>IFERROR(INDEX('02b_DC_Accelerator_Mix'!$N$2:$N$977,MATCH(G595,'02b_DC_Accelerator_Mix'!$A$2:$A$977,0)),0)</f>
        <v/>
      </c>
      <c r="R595" s="28">
        <f>H595*I595</f>
        <v/>
      </c>
      <c r="S595" s="28">
        <f>H595*J595</f>
        <v/>
      </c>
      <c r="T595" s="28">
        <f>H595*K595</f>
        <v/>
      </c>
      <c r="U595" s="28">
        <f>H595*L595</f>
        <v/>
      </c>
      <c r="V595" s="28">
        <f>H595*M595</f>
        <v/>
      </c>
      <c r="W595" s="28">
        <f>H595*N595</f>
        <v/>
      </c>
      <c r="X595" s="28">
        <f>H595*O595</f>
        <v/>
      </c>
      <c r="Y595" s="28">
        <f>H595*P595</f>
        <v/>
      </c>
      <c r="Z595" s="28">
        <f>H595*Q595</f>
        <v/>
      </c>
      <c r="AA595" s="28">
        <f>SUM(U595:Z595)</f>
        <v/>
      </c>
      <c r="AB595" s="5">
        <f>IF(COUNTIF('02b_DC_Accelerator_Mix'!$A$2:$A$977,G595)&gt;0,"matched","missing_mix")</f>
        <v/>
      </c>
    </row>
    <row r="596">
      <c r="A596" s="5">
        <f>'02a_DC_Capacity_Alloc'!A596</f>
        <v/>
      </c>
      <c r="B596" s="5">
        <f>'02a_DC_Capacity_Alloc'!B596</f>
        <v/>
      </c>
      <c r="C596" s="5">
        <f>'02a_DC_Capacity_Alloc'!C596</f>
        <v/>
      </c>
      <c r="D596" s="5">
        <f>'02a_DC_Capacity_Alloc'!D596</f>
        <v/>
      </c>
      <c r="E596" s="5">
        <f>'02a_DC_Capacity_Alloc'!E596</f>
        <v/>
      </c>
      <c r="F596" s="5">
        <f>'02a_DC_Capacity_Alloc'!F596</f>
        <v/>
      </c>
      <c r="G596" s="5">
        <f>B596&amp;"|"&amp;E596&amp;"|"&amp;D596</f>
        <v/>
      </c>
      <c r="H596" s="28">
        <f>'02a_DC_Capacity_Alloc'!H596*'02a_DC_Capacity_Alloc'!I596*'02a_DC_Capacity_Alloc'!J596</f>
        <v/>
      </c>
      <c r="I596" s="6">
        <f>IFERROR(INDEX('02b_DC_Accelerator_Mix'!$F$2:$F$977,MATCH(G596,'02b_DC_Accelerator_Mix'!$A$2:$A$977,0)),0)</f>
        <v/>
      </c>
      <c r="J596" s="6">
        <f>IFERROR(INDEX('02b_DC_Accelerator_Mix'!$G$2:$G$977,MATCH(G596,'02b_DC_Accelerator_Mix'!$A$2:$A$977,0)),0)</f>
        <v/>
      </c>
      <c r="K596" s="6">
        <f>IFERROR(INDEX('02b_DC_Accelerator_Mix'!$H$2:$H$977,MATCH(G596,'02b_DC_Accelerator_Mix'!$A$2:$A$977,0)),0)</f>
        <v/>
      </c>
      <c r="L596" s="6">
        <f>IFERROR(INDEX('02b_DC_Accelerator_Mix'!$I$2:$I$977,MATCH(G596,'02b_DC_Accelerator_Mix'!$A$2:$A$977,0)),0)</f>
        <v/>
      </c>
      <c r="M596" s="6">
        <f>IFERROR(INDEX('02b_DC_Accelerator_Mix'!$J$2:$J$977,MATCH(G596,'02b_DC_Accelerator_Mix'!$A$2:$A$977,0)),0)</f>
        <v/>
      </c>
      <c r="N596" s="6">
        <f>IFERROR(INDEX('02b_DC_Accelerator_Mix'!$K$2:$K$977,MATCH(G596,'02b_DC_Accelerator_Mix'!$A$2:$A$977,0)),0)</f>
        <v/>
      </c>
      <c r="O596" s="6">
        <f>IFERROR(INDEX('02b_DC_Accelerator_Mix'!$L$2:$L$977,MATCH(G596,'02b_DC_Accelerator_Mix'!$A$2:$A$977,0)),0)</f>
        <v/>
      </c>
      <c r="P596" s="6">
        <f>IFERROR(INDEX('02b_DC_Accelerator_Mix'!$M$2:$M$977,MATCH(G596,'02b_DC_Accelerator_Mix'!$A$2:$A$977,0)),0)</f>
        <v/>
      </c>
      <c r="Q596" s="6">
        <f>IFERROR(INDEX('02b_DC_Accelerator_Mix'!$N$2:$N$977,MATCH(G596,'02b_DC_Accelerator_Mix'!$A$2:$A$977,0)),0)</f>
        <v/>
      </c>
      <c r="R596" s="28">
        <f>H596*I596</f>
        <v/>
      </c>
      <c r="S596" s="28">
        <f>H596*J596</f>
        <v/>
      </c>
      <c r="T596" s="28">
        <f>H596*K596</f>
        <v/>
      </c>
      <c r="U596" s="28">
        <f>H596*L596</f>
        <v/>
      </c>
      <c r="V596" s="28">
        <f>H596*M596</f>
        <v/>
      </c>
      <c r="W596" s="28">
        <f>H596*N596</f>
        <v/>
      </c>
      <c r="X596" s="28">
        <f>H596*O596</f>
        <v/>
      </c>
      <c r="Y596" s="28">
        <f>H596*P596</f>
        <v/>
      </c>
      <c r="Z596" s="28">
        <f>H596*Q596</f>
        <v/>
      </c>
      <c r="AA596" s="28">
        <f>SUM(U596:Z596)</f>
        <v/>
      </c>
      <c r="AB596" s="5">
        <f>IF(COUNTIF('02b_DC_Accelerator_Mix'!$A$2:$A$977,G596)&gt;0,"matched","missing_mix")</f>
        <v/>
      </c>
    </row>
    <row r="597">
      <c r="A597" s="5">
        <f>'02a_DC_Capacity_Alloc'!A597</f>
        <v/>
      </c>
      <c r="B597" s="5">
        <f>'02a_DC_Capacity_Alloc'!B597</f>
        <v/>
      </c>
      <c r="C597" s="5">
        <f>'02a_DC_Capacity_Alloc'!C597</f>
        <v/>
      </c>
      <c r="D597" s="5">
        <f>'02a_DC_Capacity_Alloc'!D597</f>
        <v/>
      </c>
      <c r="E597" s="5">
        <f>'02a_DC_Capacity_Alloc'!E597</f>
        <v/>
      </c>
      <c r="F597" s="5">
        <f>'02a_DC_Capacity_Alloc'!F597</f>
        <v/>
      </c>
      <c r="G597" s="5">
        <f>B597&amp;"|"&amp;E597&amp;"|"&amp;D597</f>
        <v/>
      </c>
      <c r="H597" s="28">
        <f>'02a_DC_Capacity_Alloc'!H597*'02a_DC_Capacity_Alloc'!I597*'02a_DC_Capacity_Alloc'!J597</f>
        <v/>
      </c>
      <c r="I597" s="6">
        <f>IFERROR(INDEX('02b_DC_Accelerator_Mix'!$F$2:$F$977,MATCH(G597,'02b_DC_Accelerator_Mix'!$A$2:$A$977,0)),0)</f>
        <v/>
      </c>
      <c r="J597" s="6">
        <f>IFERROR(INDEX('02b_DC_Accelerator_Mix'!$G$2:$G$977,MATCH(G597,'02b_DC_Accelerator_Mix'!$A$2:$A$977,0)),0)</f>
        <v/>
      </c>
      <c r="K597" s="6">
        <f>IFERROR(INDEX('02b_DC_Accelerator_Mix'!$H$2:$H$977,MATCH(G597,'02b_DC_Accelerator_Mix'!$A$2:$A$977,0)),0)</f>
        <v/>
      </c>
      <c r="L597" s="6">
        <f>IFERROR(INDEX('02b_DC_Accelerator_Mix'!$I$2:$I$977,MATCH(G597,'02b_DC_Accelerator_Mix'!$A$2:$A$977,0)),0)</f>
        <v/>
      </c>
      <c r="M597" s="6">
        <f>IFERROR(INDEX('02b_DC_Accelerator_Mix'!$J$2:$J$977,MATCH(G597,'02b_DC_Accelerator_Mix'!$A$2:$A$977,0)),0)</f>
        <v/>
      </c>
      <c r="N597" s="6">
        <f>IFERROR(INDEX('02b_DC_Accelerator_Mix'!$K$2:$K$977,MATCH(G597,'02b_DC_Accelerator_Mix'!$A$2:$A$977,0)),0)</f>
        <v/>
      </c>
      <c r="O597" s="6">
        <f>IFERROR(INDEX('02b_DC_Accelerator_Mix'!$L$2:$L$977,MATCH(G597,'02b_DC_Accelerator_Mix'!$A$2:$A$977,0)),0)</f>
        <v/>
      </c>
      <c r="P597" s="6">
        <f>IFERROR(INDEX('02b_DC_Accelerator_Mix'!$M$2:$M$977,MATCH(G597,'02b_DC_Accelerator_Mix'!$A$2:$A$977,0)),0)</f>
        <v/>
      </c>
      <c r="Q597" s="6">
        <f>IFERROR(INDEX('02b_DC_Accelerator_Mix'!$N$2:$N$977,MATCH(G597,'02b_DC_Accelerator_Mix'!$A$2:$A$977,0)),0)</f>
        <v/>
      </c>
      <c r="R597" s="28">
        <f>H597*I597</f>
        <v/>
      </c>
      <c r="S597" s="28">
        <f>H597*J597</f>
        <v/>
      </c>
      <c r="T597" s="28">
        <f>H597*K597</f>
        <v/>
      </c>
      <c r="U597" s="28">
        <f>H597*L597</f>
        <v/>
      </c>
      <c r="V597" s="28">
        <f>H597*M597</f>
        <v/>
      </c>
      <c r="W597" s="28">
        <f>H597*N597</f>
        <v/>
      </c>
      <c r="X597" s="28">
        <f>H597*O597</f>
        <v/>
      </c>
      <c r="Y597" s="28">
        <f>H597*P597</f>
        <v/>
      </c>
      <c r="Z597" s="28">
        <f>H597*Q597</f>
        <v/>
      </c>
      <c r="AA597" s="28">
        <f>SUM(U597:Z597)</f>
        <v/>
      </c>
      <c r="AB597" s="5">
        <f>IF(COUNTIF('02b_DC_Accelerator_Mix'!$A$2:$A$977,G597)&gt;0,"matched","missing_mix")</f>
        <v/>
      </c>
    </row>
    <row r="598">
      <c r="A598" s="5">
        <f>'02a_DC_Capacity_Alloc'!A598</f>
        <v/>
      </c>
      <c r="B598" s="5">
        <f>'02a_DC_Capacity_Alloc'!B598</f>
        <v/>
      </c>
      <c r="C598" s="5">
        <f>'02a_DC_Capacity_Alloc'!C598</f>
        <v/>
      </c>
      <c r="D598" s="5">
        <f>'02a_DC_Capacity_Alloc'!D598</f>
        <v/>
      </c>
      <c r="E598" s="5">
        <f>'02a_DC_Capacity_Alloc'!E598</f>
        <v/>
      </c>
      <c r="F598" s="5">
        <f>'02a_DC_Capacity_Alloc'!F598</f>
        <v/>
      </c>
      <c r="G598" s="5">
        <f>B598&amp;"|"&amp;E598&amp;"|"&amp;D598</f>
        <v/>
      </c>
      <c r="H598" s="28">
        <f>'02a_DC_Capacity_Alloc'!H598*'02a_DC_Capacity_Alloc'!I598*'02a_DC_Capacity_Alloc'!J598</f>
        <v/>
      </c>
      <c r="I598" s="6">
        <f>IFERROR(INDEX('02b_DC_Accelerator_Mix'!$F$2:$F$977,MATCH(G598,'02b_DC_Accelerator_Mix'!$A$2:$A$977,0)),0)</f>
        <v/>
      </c>
      <c r="J598" s="6">
        <f>IFERROR(INDEX('02b_DC_Accelerator_Mix'!$G$2:$G$977,MATCH(G598,'02b_DC_Accelerator_Mix'!$A$2:$A$977,0)),0)</f>
        <v/>
      </c>
      <c r="K598" s="6">
        <f>IFERROR(INDEX('02b_DC_Accelerator_Mix'!$H$2:$H$977,MATCH(G598,'02b_DC_Accelerator_Mix'!$A$2:$A$977,0)),0)</f>
        <v/>
      </c>
      <c r="L598" s="6">
        <f>IFERROR(INDEX('02b_DC_Accelerator_Mix'!$I$2:$I$977,MATCH(G598,'02b_DC_Accelerator_Mix'!$A$2:$A$977,0)),0)</f>
        <v/>
      </c>
      <c r="M598" s="6">
        <f>IFERROR(INDEX('02b_DC_Accelerator_Mix'!$J$2:$J$977,MATCH(G598,'02b_DC_Accelerator_Mix'!$A$2:$A$977,0)),0)</f>
        <v/>
      </c>
      <c r="N598" s="6">
        <f>IFERROR(INDEX('02b_DC_Accelerator_Mix'!$K$2:$K$977,MATCH(G598,'02b_DC_Accelerator_Mix'!$A$2:$A$977,0)),0)</f>
        <v/>
      </c>
      <c r="O598" s="6">
        <f>IFERROR(INDEX('02b_DC_Accelerator_Mix'!$L$2:$L$977,MATCH(G598,'02b_DC_Accelerator_Mix'!$A$2:$A$977,0)),0)</f>
        <v/>
      </c>
      <c r="P598" s="6">
        <f>IFERROR(INDEX('02b_DC_Accelerator_Mix'!$M$2:$M$977,MATCH(G598,'02b_DC_Accelerator_Mix'!$A$2:$A$977,0)),0)</f>
        <v/>
      </c>
      <c r="Q598" s="6">
        <f>IFERROR(INDEX('02b_DC_Accelerator_Mix'!$N$2:$N$977,MATCH(G598,'02b_DC_Accelerator_Mix'!$A$2:$A$977,0)),0)</f>
        <v/>
      </c>
      <c r="R598" s="28">
        <f>H598*I598</f>
        <v/>
      </c>
      <c r="S598" s="28">
        <f>H598*J598</f>
        <v/>
      </c>
      <c r="T598" s="28">
        <f>H598*K598</f>
        <v/>
      </c>
      <c r="U598" s="28">
        <f>H598*L598</f>
        <v/>
      </c>
      <c r="V598" s="28">
        <f>H598*M598</f>
        <v/>
      </c>
      <c r="W598" s="28">
        <f>H598*N598</f>
        <v/>
      </c>
      <c r="X598" s="28">
        <f>H598*O598</f>
        <v/>
      </c>
      <c r="Y598" s="28">
        <f>H598*P598</f>
        <v/>
      </c>
      <c r="Z598" s="28">
        <f>H598*Q598</f>
        <v/>
      </c>
      <c r="AA598" s="28">
        <f>SUM(U598:Z598)</f>
        <v/>
      </c>
      <c r="AB598" s="5">
        <f>IF(COUNTIF('02b_DC_Accelerator_Mix'!$A$2:$A$977,G598)&gt;0,"matched","missing_mix")</f>
        <v/>
      </c>
    </row>
    <row r="599">
      <c r="A599" s="5">
        <f>'02a_DC_Capacity_Alloc'!A599</f>
        <v/>
      </c>
      <c r="B599" s="5">
        <f>'02a_DC_Capacity_Alloc'!B599</f>
        <v/>
      </c>
      <c r="C599" s="5">
        <f>'02a_DC_Capacity_Alloc'!C599</f>
        <v/>
      </c>
      <c r="D599" s="5">
        <f>'02a_DC_Capacity_Alloc'!D599</f>
        <v/>
      </c>
      <c r="E599" s="5">
        <f>'02a_DC_Capacity_Alloc'!E599</f>
        <v/>
      </c>
      <c r="F599" s="5">
        <f>'02a_DC_Capacity_Alloc'!F599</f>
        <v/>
      </c>
      <c r="G599" s="5">
        <f>B599&amp;"|"&amp;E599&amp;"|"&amp;D599</f>
        <v/>
      </c>
      <c r="H599" s="28">
        <f>'02a_DC_Capacity_Alloc'!H599*'02a_DC_Capacity_Alloc'!I599*'02a_DC_Capacity_Alloc'!J599</f>
        <v/>
      </c>
      <c r="I599" s="6">
        <f>IFERROR(INDEX('02b_DC_Accelerator_Mix'!$F$2:$F$977,MATCH(G599,'02b_DC_Accelerator_Mix'!$A$2:$A$977,0)),0)</f>
        <v/>
      </c>
      <c r="J599" s="6">
        <f>IFERROR(INDEX('02b_DC_Accelerator_Mix'!$G$2:$G$977,MATCH(G599,'02b_DC_Accelerator_Mix'!$A$2:$A$977,0)),0)</f>
        <v/>
      </c>
      <c r="K599" s="6">
        <f>IFERROR(INDEX('02b_DC_Accelerator_Mix'!$H$2:$H$977,MATCH(G599,'02b_DC_Accelerator_Mix'!$A$2:$A$977,0)),0)</f>
        <v/>
      </c>
      <c r="L599" s="6">
        <f>IFERROR(INDEX('02b_DC_Accelerator_Mix'!$I$2:$I$977,MATCH(G599,'02b_DC_Accelerator_Mix'!$A$2:$A$977,0)),0)</f>
        <v/>
      </c>
      <c r="M599" s="6">
        <f>IFERROR(INDEX('02b_DC_Accelerator_Mix'!$J$2:$J$977,MATCH(G599,'02b_DC_Accelerator_Mix'!$A$2:$A$977,0)),0)</f>
        <v/>
      </c>
      <c r="N599" s="6">
        <f>IFERROR(INDEX('02b_DC_Accelerator_Mix'!$K$2:$K$977,MATCH(G599,'02b_DC_Accelerator_Mix'!$A$2:$A$977,0)),0)</f>
        <v/>
      </c>
      <c r="O599" s="6">
        <f>IFERROR(INDEX('02b_DC_Accelerator_Mix'!$L$2:$L$977,MATCH(G599,'02b_DC_Accelerator_Mix'!$A$2:$A$977,0)),0)</f>
        <v/>
      </c>
      <c r="P599" s="6">
        <f>IFERROR(INDEX('02b_DC_Accelerator_Mix'!$M$2:$M$977,MATCH(G599,'02b_DC_Accelerator_Mix'!$A$2:$A$977,0)),0)</f>
        <v/>
      </c>
      <c r="Q599" s="6">
        <f>IFERROR(INDEX('02b_DC_Accelerator_Mix'!$N$2:$N$977,MATCH(G599,'02b_DC_Accelerator_Mix'!$A$2:$A$977,0)),0)</f>
        <v/>
      </c>
      <c r="R599" s="28">
        <f>H599*I599</f>
        <v/>
      </c>
      <c r="S599" s="28">
        <f>H599*J599</f>
        <v/>
      </c>
      <c r="T599" s="28">
        <f>H599*K599</f>
        <v/>
      </c>
      <c r="U599" s="28">
        <f>H599*L599</f>
        <v/>
      </c>
      <c r="V599" s="28">
        <f>H599*M599</f>
        <v/>
      </c>
      <c r="W599" s="28">
        <f>H599*N599</f>
        <v/>
      </c>
      <c r="X599" s="28">
        <f>H599*O599</f>
        <v/>
      </c>
      <c r="Y599" s="28">
        <f>H599*P599</f>
        <v/>
      </c>
      <c r="Z599" s="28">
        <f>H599*Q599</f>
        <v/>
      </c>
      <c r="AA599" s="28">
        <f>SUM(U599:Z599)</f>
        <v/>
      </c>
      <c r="AB599" s="5">
        <f>IF(COUNTIF('02b_DC_Accelerator_Mix'!$A$2:$A$977,G599)&gt;0,"matched","missing_mix")</f>
        <v/>
      </c>
    </row>
    <row r="600">
      <c r="A600" s="5">
        <f>'02a_DC_Capacity_Alloc'!A600</f>
        <v/>
      </c>
      <c r="B600" s="5">
        <f>'02a_DC_Capacity_Alloc'!B600</f>
        <v/>
      </c>
      <c r="C600" s="5">
        <f>'02a_DC_Capacity_Alloc'!C600</f>
        <v/>
      </c>
      <c r="D600" s="5">
        <f>'02a_DC_Capacity_Alloc'!D600</f>
        <v/>
      </c>
      <c r="E600" s="5">
        <f>'02a_DC_Capacity_Alloc'!E600</f>
        <v/>
      </c>
      <c r="F600" s="5">
        <f>'02a_DC_Capacity_Alloc'!F600</f>
        <v/>
      </c>
      <c r="G600" s="5">
        <f>B600&amp;"|"&amp;E600&amp;"|"&amp;D600</f>
        <v/>
      </c>
      <c r="H600" s="28">
        <f>'02a_DC_Capacity_Alloc'!H600*'02a_DC_Capacity_Alloc'!I600*'02a_DC_Capacity_Alloc'!J600</f>
        <v/>
      </c>
      <c r="I600" s="6">
        <f>IFERROR(INDEX('02b_DC_Accelerator_Mix'!$F$2:$F$977,MATCH(G600,'02b_DC_Accelerator_Mix'!$A$2:$A$977,0)),0)</f>
        <v/>
      </c>
      <c r="J600" s="6">
        <f>IFERROR(INDEX('02b_DC_Accelerator_Mix'!$G$2:$G$977,MATCH(G600,'02b_DC_Accelerator_Mix'!$A$2:$A$977,0)),0)</f>
        <v/>
      </c>
      <c r="K600" s="6">
        <f>IFERROR(INDEX('02b_DC_Accelerator_Mix'!$H$2:$H$977,MATCH(G600,'02b_DC_Accelerator_Mix'!$A$2:$A$977,0)),0)</f>
        <v/>
      </c>
      <c r="L600" s="6">
        <f>IFERROR(INDEX('02b_DC_Accelerator_Mix'!$I$2:$I$977,MATCH(G600,'02b_DC_Accelerator_Mix'!$A$2:$A$977,0)),0)</f>
        <v/>
      </c>
      <c r="M600" s="6">
        <f>IFERROR(INDEX('02b_DC_Accelerator_Mix'!$J$2:$J$977,MATCH(G600,'02b_DC_Accelerator_Mix'!$A$2:$A$977,0)),0)</f>
        <v/>
      </c>
      <c r="N600" s="6">
        <f>IFERROR(INDEX('02b_DC_Accelerator_Mix'!$K$2:$K$977,MATCH(G600,'02b_DC_Accelerator_Mix'!$A$2:$A$977,0)),0)</f>
        <v/>
      </c>
      <c r="O600" s="6">
        <f>IFERROR(INDEX('02b_DC_Accelerator_Mix'!$L$2:$L$977,MATCH(G600,'02b_DC_Accelerator_Mix'!$A$2:$A$977,0)),0)</f>
        <v/>
      </c>
      <c r="P600" s="6">
        <f>IFERROR(INDEX('02b_DC_Accelerator_Mix'!$M$2:$M$977,MATCH(G600,'02b_DC_Accelerator_Mix'!$A$2:$A$977,0)),0)</f>
        <v/>
      </c>
      <c r="Q600" s="6">
        <f>IFERROR(INDEX('02b_DC_Accelerator_Mix'!$N$2:$N$977,MATCH(G600,'02b_DC_Accelerator_Mix'!$A$2:$A$977,0)),0)</f>
        <v/>
      </c>
      <c r="R600" s="28">
        <f>H600*I600</f>
        <v/>
      </c>
      <c r="S600" s="28">
        <f>H600*J600</f>
        <v/>
      </c>
      <c r="T600" s="28">
        <f>H600*K600</f>
        <v/>
      </c>
      <c r="U600" s="28">
        <f>H600*L600</f>
        <v/>
      </c>
      <c r="V600" s="28">
        <f>H600*M600</f>
        <v/>
      </c>
      <c r="W600" s="28">
        <f>H600*N600</f>
        <v/>
      </c>
      <c r="X600" s="28">
        <f>H600*O600</f>
        <v/>
      </c>
      <c r="Y600" s="28">
        <f>H600*P600</f>
        <v/>
      </c>
      <c r="Z600" s="28">
        <f>H600*Q600</f>
        <v/>
      </c>
      <c r="AA600" s="28">
        <f>SUM(U600:Z600)</f>
        <v/>
      </c>
      <c r="AB600" s="5">
        <f>IF(COUNTIF('02b_DC_Accelerator_Mix'!$A$2:$A$977,G600)&gt;0,"matched","missing_mix")</f>
        <v/>
      </c>
    </row>
    <row r="601">
      <c r="A601" s="5">
        <f>'02a_DC_Capacity_Alloc'!A601</f>
        <v/>
      </c>
      <c r="B601" s="5">
        <f>'02a_DC_Capacity_Alloc'!B601</f>
        <v/>
      </c>
      <c r="C601" s="5">
        <f>'02a_DC_Capacity_Alloc'!C601</f>
        <v/>
      </c>
      <c r="D601" s="5">
        <f>'02a_DC_Capacity_Alloc'!D601</f>
        <v/>
      </c>
      <c r="E601" s="5">
        <f>'02a_DC_Capacity_Alloc'!E601</f>
        <v/>
      </c>
      <c r="F601" s="5">
        <f>'02a_DC_Capacity_Alloc'!F601</f>
        <v/>
      </c>
      <c r="G601" s="5">
        <f>B601&amp;"|"&amp;E601&amp;"|"&amp;D601</f>
        <v/>
      </c>
      <c r="H601" s="28">
        <f>'02a_DC_Capacity_Alloc'!H601*'02a_DC_Capacity_Alloc'!I601*'02a_DC_Capacity_Alloc'!J601</f>
        <v/>
      </c>
      <c r="I601" s="6">
        <f>IFERROR(INDEX('02b_DC_Accelerator_Mix'!$F$2:$F$977,MATCH(G601,'02b_DC_Accelerator_Mix'!$A$2:$A$977,0)),0)</f>
        <v/>
      </c>
      <c r="J601" s="6">
        <f>IFERROR(INDEX('02b_DC_Accelerator_Mix'!$G$2:$G$977,MATCH(G601,'02b_DC_Accelerator_Mix'!$A$2:$A$977,0)),0)</f>
        <v/>
      </c>
      <c r="K601" s="6">
        <f>IFERROR(INDEX('02b_DC_Accelerator_Mix'!$H$2:$H$977,MATCH(G601,'02b_DC_Accelerator_Mix'!$A$2:$A$977,0)),0)</f>
        <v/>
      </c>
      <c r="L601" s="6">
        <f>IFERROR(INDEX('02b_DC_Accelerator_Mix'!$I$2:$I$977,MATCH(G601,'02b_DC_Accelerator_Mix'!$A$2:$A$977,0)),0)</f>
        <v/>
      </c>
      <c r="M601" s="6">
        <f>IFERROR(INDEX('02b_DC_Accelerator_Mix'!$J$2:$J$977,MATCH(G601,'02b_DC_Accelerator_Mix'!$A$2:$A$977,0)),0)</f>
        <v/>
      </c>
      <c r="N601" s="6">
        <f>IFERROR(INDEX('02b_DC_Accelerator_Mix'!$K$2:$K$977,MATCH(G601,'02b_DC_Accelerator_Mix'!$A$2:$A$977,0)),0)</f>
        <v/>
      </c>
      <c r="O601" s="6">
        <f>IFERROR(INDEX('02b_DC_Accelerator_Mix'!$L$2:$L$977,MATCH(G601,'02b_DC_Accelerator_Mix'!$A$2:$A$977,0)),0)</f>
        <v/>
      </c>
      <c r="P601" s="6">
        <f>IFERROR(INDEX('02b_DC_Accelerator_Mix'!$M$2:$M$977,MATCH(G601,'02b_DC_Accelerator_Mix'!$A$2:$A$977,0)),0)</f>
        <v/>
      </c>
      <c r="Q601" s="6">
        <f>IFERROR(INDEX('02b_DC_Accelerator_Mix'!$N$2:$N$977,MATCH(G601,'02b_DC_Accelerator_Mix'!$A$2:$A$977,0)),0)</f>
        <v/>
      </c>
      <c r="R601" s="28">
        <f>H601*I601</f>
        <v/>
      </c>
      <c r="S601" s="28">
        <f>H601*J601</f>
        <v/>
      </c>
      <c r="T601" s="28">
        <f>H601*K601</f>
        <v/>
      </c>
      <c r="U601" s="28">
        <f>H601*L601</f>
        <v/>
      </c>
      <c r="V601" s="28">
        <f>H601*M601</f>
        <v/>
      </c>
      <c r="W601" s="28">
        <f>H601*N601</f>
        <v/>
      </c>
      <c r="X601" s="28">
        <f>H601*O601</f>
        <v/>
      </c>
      <c r="Y601" s="28">
        <f>H601*P601</f>
        <v/>
      </c>
      <c r="Z601" s="28">
        <f>H601*Q601</f>
        <v/>
      </c>
      <c r="AA601" s="28">
        <f>SUM(U601:Z601)</f>
        <v/>
      </c>
      <c r="AB601" s="5">
        <f>IF(COUNTIF('02b_DC_Accelerator_Mix'!$A$2:$A$977,G601)&gt;0,"matched","missing_mix")</f>
        <v/>
      </c>
    </row>
    <row r="602">
      <c r="A602" s="5">
        <f>'02a_DC_Capacity_Alloc'!A602</f>
        <v/>
      </c>
      <c r="B602" s="5">
        <f>'02a_DC_Capacity_Alloc'!B602</f>
        <v/>
      </c>
      <c r="C602" s="5">
        <f>'02a_DC_Capacity_Alloc'!C602</f>
        <v/>
      </c>
      <c r="D602" s="5">
        <f>'02a_DC_Capacity_Alloc'!D602</f>
        <v/>
      </c>
      <c r="E602" s="5">
        <f>'02a_DC_Capacity_Alloc'!E602</f>
        <v/>
      </c>
      <c r="F602" s="5">
        <f>'02a_DC_Capacity_Alloc'!F602</f>
        <v/>
      </c>
      <c r="G602" s="5">
        <f>B602&amp;"|"&amp;E602&amp;"|"&amp;D602</f>
        <v/>
      </c>
      <c r="H602" s="28">
        <f>'02a_DC_Capacity_Alloc'!H602*'02a_DC_Capacity_Alloc'!I602*'02a_DC_Capacity_Alloc'!J602</f>
        <v/>
      </c>
      <c r="I602" s="6">
        <f>IFERROR(INDEX('02b_DC_Accelerator_Mix'!$F$2:$F$977,MATCH(G602,'02b_DC_Accelerator_Mix'!$A$2:$A$977,0)),0)</f>
        <v/>
      </c>
      <c r="J602" s="6">
        <f>IFERROR(INDEX('02b_DC_Accelerator_Mix'!$G$2:$G$977,MATCH(G602,'02b_DC_Accelerator_Mix'!$A$2:$A$977,0)),0)</f>
        <v/>
      </c>
      <c r="K602" s="6">
        <f>IFERROR(INDEX('02b_DC_Accelerator_Mix'!$H$2:$H$977,MATCH(G602,'02b_DC_Accelerator_Mix'!$A$2:$A$977,0)),0)</f>
        <v/>
      </c>
      <c r="L602" s="6">
        <f>IFERROR(INDEX('02b_DC_Accelerator_Mix'!$I$2:$I$977,MATCH(G602,'02b_DC_Accelerator_Mix'!$A$2:$A$977,0)),0)</f>
        <v/>
      </c>
      <c r="M602" s="6">
        <f>IFERROR(INDEX('02b_DC_Accelerator_Mix'!$J$2:$J$977,MATCH(G602,'02b_DC_Accelerator_Mix'!$A$2:$A$977,0)),0)</f>
        <v/>
      </c>
      <c r="N602" s="6">
        <f>IFERROR(INDEX('02b_DC_Accelerator_Mix'!$K$2:$K$977,MATCH(G602,'02b_DC_Accelerator_Mix'!$A$2:$A$977,0)),0)</f>
        <v/>
      </c>
      <c r="O602" s="6">
        <f>IFERROR(INDEX('02b_DC_Accelerator_Mix'!$L$2:$L$977,MATCH(G602,'02b_DC_Accelerator_Mix'!$A$2:$A$977,0)),0)</f>
        <v/>
      </c>
      <c r="P602" s="6">
        <f>IFERROR(INDEX('02b_DC_Accelerator_Mix'!$M$2:$M$977,MATCH(G602,'02b_DC_Accelerator_Mix'!$A$2:$A$977,0)),0)</f>
        <v/>
      </c>
      <c r="Q602" s="6">
        <f>IFERROR(INDEX('02b_DC_Accelerator_Mix'!$N$2:$N$977,MATCH(G602,'02b_DC_Accelerator_Mix'!$A$2:$A$977,0)),0)</f>
        <v/>
      </c>
      <c r="R602" s="28">
        <f>H602*I602</f>
        <v/>
      </c>
      <c r="S602" s="28">
        <f>H602*J602</f>
        <v/>
      </c>
      <c r="T602" s="28">
        <f>H602*K602</f>
        <v/>
      </c>
      <c r="U602" s="28">
        <f>H602*L602</f>
        <v/>
      </c>
      <c r="V602" s="28">
        <f>H602*M602</f>
        <v/>
      </c>
      <c r="W602" s="28">
        <f>H602*N602</f>
        <v/>
      </c>
      <c r="X602" s="28">
        <f>H602*O602</f>
        <v/>
      </c>
      <c r="Y602" s="28">
        <f>H602*P602</f>
        <v/>
      </c>
      <c r="Z602" s="28">
        <f>H602*Q602</f>
        <v/>
      </c>
      <c r="AA602" s="28">
        <f>SUM(U602:Z602)</f>
        <v/>
      </c>
      <c r="AB602" s="5">
        <f>IF(COUNTIF('02b_DC_Accelerator_Mix'!$A$2:$A$977,G602)&gt;0,"matched","missing_mix")</f>
        <v/>
      </c>
    </row>
    <row r="603">
      <c r="A603" s="5">
        <f>'02a_DC_Capacity_Alloc'!A603</f>
        <v/>
      </c>
      <c r="B603" s="5">
        <f>'02a_DC_Capacity_Alloc'!B603</f>
        <v/>
      </c>
      <c r="C603" s="5">
        <f>'02a_DC_Capacity_Alloc'!C603</f>
        <v/>
      </c>
      <c r="D603" s="5">
        <f>'02a_DC_Capacity_Alloc'!D603</f>
        <v/>
      </c>
      <c r="E603" s="5">
        <f>'02a_DC_Capacity_Alloc'!E603</f>
        <v/>
      </c>
      <c r="F603" s="5">
        <f>'02a_DC_Capacity_Alloc'!F603</f>
        <v/>
      </c>
      <c r="G603" s="5">
        <f>B603&amp;"|"&amp;E603&amp;"|"&amp;D603</f>
        <v/>
      </c>
      <c r="H603" s="28">
        <f>'02a_DC_Capacity_Alloc'!H603*'02a_DC_Capacity_Alloc'!I603*'02a_DC_Capacity_Alloc'!J603</f>
        <v/>
      </c>
      <c r="I603" s="6">
        <f>IFERROR(INDEX('02b_DC_Accelerator_Mix'!$F$2:$F$977,MATCH(G603,'02b_DC_Accelerator_Mix'!$A$2:$A$977,0)),0)</f>
        <v/>
      </c>
      <c r="J603" s="6">
        <f>IFERROR(INDEX('02b_DC_Accelerator_Mix'!$G$2:$G$977,MATCH(G603,'02b_DC_Accelerator_Mix'!$A$2:$A$977,0)),0)</f>
        <v/>
      </c>
      <c r="K603" s="6">
        <f>IFERROR(INDEX('02b_DC_Accelerator_Mix'!$H$2:$H$977,MATCH(G603,'02b_DC_Accelerator_Mix'!$A$2:$A$977,0)),0)</f>
        <v/>
      </c>
      <c r="L603" s="6">
        <f>IFERROR(INDEX('02b_DC_Accelerator_Mix'!$I$2:$I$977,MATCH(G603,'02b_DC_Accelerator_Mix'!$A$2:$A$977,0)),0)</f>
        <v/>
      </c>
      <c r="M603" s="6">
        <f>IFERROR(INDEX('02b_DC_Accelerator_Mix'!$J$2:$J$977,MATCH(G603,'02b_DC_Accelerator_Mix'!$A$2:$A$977,0)),0)</f>
        <v/>
      </c>
      <c r="N603" s="6">
        <f>IFERROR(INDEX('02b_DC_Accelerator_Mix'!$K$2:$K$977,MATCH(G603,'02b_DC_Accelerator_Mix'!$A$2:$A$977,0)),0)</f>
        <v/>
      </c>
      <c r="O603" s="6">
        <f>IFERROR(INDEX('02b_DC_Accelerator_Mix'!$L$2:$L$977,MATCH(G603,'02b_DC_Accelerator_Mix'!$A$2:$A$977,0)),0)</f>
        <v/>
      </c>
      <c r="P603" s="6">
        <f>IFERROR(INDEX('02b_DC_Accelerator_Mix'!$M$2:$M$977,MATCH(G603,'02b_DC_Accelerator_Mix'!$A$2:$A$977,0)),0)</f>
        <v/>
      </c>
      <c r="Q603" s="6">
        <f>IFERROR(INDEX('02b_DC_Accelerator_Mix'!$N$2:$N$977,MATCH(G603,'02b_DC_Accelerator_Mix'!$A$2:$A$977,0)),0)</f>
        <v/>
      </c>
      <c r="R603" s="28">
        <f>H603*I603</f>
        <v/>
      </c>
      <c r="S603" s="28">
        <f>H603*J603</f>
        <v/>
      </c>
      <c r="T603" s="28">
        <f>H603*K603</f>
        <v/>
      </c>
      <c r="U603" s="28">
        <f>H603*L603</f>
        <v/>
      </c>
      <c r="V603" s="28">
        <f>H603*M603</f>
        <v/>
      </c>
      <c r="W603" s="28">
        <f>H603*N603</f>
        <v/>
      </c>
      <c r="X603" s="28">
        <f>H603*O603</f>
        <v/>
      </c>
      <c r="Y603" s="28">
        <f>H603*P603</f>
        <v/>
      </c>
      <c r="Z603" s="28">
        <f>H603*Q603</f>
        <v/>
      </c>
      <c r="AA603" s="28">
        <f>SUM(U603:Z603)</f>
        <v/>
      </c>
      <c r="AB603" s="5">
        <f>IF(COUNTIF('02b_DC_Accelerator_Mix'!$A$2:$A$977,G603)&gt;0,"matched","missing_mix")</f>
        <v/>
      </c>
    </row>
    <row r="604">
      <c r="A604" s="5">
        <f>'02a_DC_Capacity_Alloc'!A604</f>
        <v/>
      </c>
      <c r="B604" s="5">
        <f>'02a_DC_Capacity_Alloc'!B604</f>
        <v/>
      </c>
      <c r="C604" s="5">
        <f>'02a_DC_Capacity_Alloc'!C604</f>
        <v/>
      </c>
      <c r="D604" s="5">
        <f>'02a_DC_Capacity_Alloc'!D604</f>
        <v/>
      </c>
      <c r="E604" s="5">
        <f>'02a_DC_Capacity_Alloc'!E604</f>
        <v/>
      </c>
      <c r="F604" s="5">
        <f>'02a_DC_Capacity_Alloc'!F604</f>
        <v/>
      </c>
      <c r="G604" s="5">
        <f>B604&amp;"|"&amp;E604&amp;"|"&amp;D604</f>
        <v/>
      </c>
      <c r="H604" s="28">
        <f>'02a_DC_Capacity_Alloc'!H604*'02a_DC_Capacity_Alloc'!I604*'02a_DC_Capacity_Alloc'!J604</f>
        <v/>
      </c>
      <c r="I604" s="6">
        <f>IFERROR(INDEX('02b_DC_Accelerator_Mix'!$F$2:$F$977,MATCH(G604,'02b_DC_Accelerator_Mix'!$A$2:$A$977,0)),0)</f>
        <v/>
      </c>
      <c r="J604" s="6">
        <f>IFERROR(INDEX('02b_DC_Accelerator_Mix'!$G$2:$G$977,MATCH(G604,'02b_DC_Accelerator_Mix'!$A$2:$A$977,0)),0)</f>
        <v/>
      </c>
      <c r="K604" s="6">
        <f>IFERROR(INDEX('02b_DC_Accelerator_Mix'!$H$2:$H$977,MATCH(G604,'02b_DC_Accelerator_Mix'!$A$2:$A$977,0)),0)</f>
        <v/>
      </c>
      <c r="L604" s="6">
        <f>IFERROR(INDEX('02b_DC_Accelerator_Mix'!$I$2:$I$977,MATCH(G604,'02b_DC_Accelerator_Mix'!$A$2:$A$977,0)),0)</f>
        <v/>
      </c>
      <c r="M604" s="6">
        <f>IFERROR(INDEX('02b_DC_Accelerator_Mix'!$J$2:$J$977,MATCH(G604,'02b_DC_Accelerator_Mix'!$A$2:$A$977,0)),0)</f>
        <v/>
      </c>
      <c r="N604" s="6">
        <f>IFERROR(INDEX('02b_DC_Accelerator_Mix'!$K$2:$K$977,MATCH(G604,'02b_DC_Accelerator_Mix'!$A$2:$A$977,0)),0)</f>
        <v/>
      </c>
      <c r="O604" s="6">
        <f>IFERROR(INDEX('02b_DC_Accelerator_Mix'!$L$2:$L$977,MATCH(G604,'02b_DC_Accelerator_Mix'!$A$2:$A$977,0)),0)</f>
        <v/>
      </c>
      <c r="P604" s="6">
        <f>IFERROR(INDEX('02b_DC_Accelerator_Mix'!$M$2:$M$977,MATCH(G604,'02b_DC_Accelerator_Mix'!$A$2:$A$977,0)),0)</f>
        <v/>
      </c>
      <c r="Q604" s="6">
        <f>IFERROR(INDEX('02b_DC_Accelerator_Mix'!$N$2:$N$977,MATCH(G604,'02b_DC_Accelerator_Mix'!$A$2:$A$977,0)),0)</f>
        <v/>
      </c>
      <c r="R604" s="28">
        <f>H604*I604</f>
        <v/>
      </c>
      <c r="S604" s="28">
        <f>H604*J604</f>
        <v/>
      </c>
      <c r="T604" s="28">
        <f>H604*K604</f>
        <v/>
      </c>
      <c r="U604" s="28">
        <f>H604*L604</f>
        <v/>
      </c>
      <c r="V604" s="28">
        <f>H604*M604</f>
        <v/>
      </c>
      <c r="W604" s="28">
        <f>H604*N604</f>
        <v/>
      </c>
      <c r="X604" s="28">
        <f>H604*O604</f>
        <v/>
      </c>
      <c r="Y604" s="28">
        <f>H604*P604</f>
        <v/>
      </c>
      <c r="Z604" s="28">
        <f>H604*Q604</f>
        <v/>
      </c>
      <c r="AA604" s="28">
        <f>SUM(U604:Z604)</f>
        <v/>
      </c>
      <c r="AB604" s="5">
        <f>IF(COUNTIF('02b_DC_Accelerator_Mix'!$A$2:$A$977,G604)&gt;0,"matched","missing_mix")</f>
        <v/>
      </c>
    </row>
    <row r="605">
      <c r="A605" s="5">
        <f>'02a_DC_Capacity_Alloc'!A605</f>
        <v/>
      </c>
      <c r="B605" s="5">
        <f>'02a_DC_Capacity_Alloc'!B605</f>
        <v/>
      </c>
      <c r="C605" s="5">
        <f>'02a_DC_Capacity_Alloc'!C605</f>
        <v/>
      </c>
      <c r="D605" s="5">
        <f>'02a_DC_Capacity_Alloc'!D605</f>
        <v/>
      </c>
      <c r="E605" s="5">
        <f>'02a_DC_Capacity_Alloc'!E605</f>
        <v/>
      </c>
      <c r="F605" s="5">
        <f>'02a_DC_Capacity_Alloc'!F605</f>
        <v/>
      </c>
      <c r="G605" s="5">
        <f>B605&amp;"|"&amp;E605&amp;"|"&amp;D605</f>
        <v/>
      </c>
      <c r="H605" s="28">
        <f>'02a_DC_Capacity_Alloc'!H605*'02a_DC_Capacity_Alloc'!I605*'02a_DC_Capacity_Alloc'!J605</f>
        <v/>
      </c>
      <c r="I605" s="6">
        <f>IFERROR(INDEX('02b_DC_Accelerator_Mix'!$F$2:$F$977,MATCH(G605,'02b_DC_Accelerator_Mix'!$A$2:$A$977,0)),0)</f>
        <v/>
      </c>
      <c r="J605" s="6">
        <f>IFERROR(INDEX('02b_DC_Accelerator_Mix'!$G$2:$G$977,MATCH(G605,'02b_DC_Accelerator_Mix'!$A$2:$A$977,0)),0)</f>
        <v/>
      </c>
      <c r="K605" s="6">
        <f>IFERROR(INDEX('02b_DC_Accelerator_Mix'!$H$2:$H$977,MATCH(G605,'02b_DC_Accelerator_Mix'!$A$2:$A$977,0)),0)</f>
        <v/>
      </c>
      <c r="L605" s="6">
        <f>IFERROR(INDEX('02b_DC_Accelerator_Mix'!$I$2:$I$977,MATCH(G605,'02b_DC_Accelerator_Mix'!$A$2:$A$977,0)),0)</f>
        <v/>
      </c>
      <c r="M605" s="6">
        <f>IFERROR(INDEX('02b_DC_Accelerator_Mix'!$J$2:$J$977,MATCH(G605,'02b_DC_Accelerator_Mix'!$A$2:$A$977,0)),0)</f>
        <v/>
      </c>
      <c r="N605" s="6">
        <f>IFERROR(INDEX('02b_DC_Accelerator_Mix'!$K$2:$K$977,MATCH(G605,'02b_DC_Accelerator_Mix'!$A$2:$A$977,0)),0)</f>
        <v/>
      </c>
      <c r="O605" s="6">
        <f>IFERROR(INDEX('02b_DC_Accelerator_Mix'!$L$2:$L$977,MATCH(G605,'02b_DC_Accelerator_Mix'!$A$2:$A$977,0)),0)</f>
        <v/>
      </c>
      <c r="P605" s="6">
        <f>IFERROR(INDEX('02b_DC_Accelerator_Mix'!$M$2:$M$977,MATCH(G605,'02b_DC_Accelerator_Mix'!$A$2:$A$977,0)),0)</f>
        <v/>
      </c>
      <c r="Q605" s="6">
        <f>IFERROR(INDEX('02b_DC_Accelerator_Mix'!$N$2:$N$977,MATCH(G605,'02b_DC_Accelerator_Mix'!$A$2:$A$977,0)),0)</f>
        <v/>
      </c>
      <c r="R605" s="28">
        <f>H605*I605</f>
        <v/>
      </c>
      <c r="S605" s="28">
        <f>H605*J605</f>
        <v/>
      </c>
      <c r="T605" s="28">
        <f>H605*K605</f>
        <v/>
      </c>
      <c r="U605" s="28">
        <f>H605*L605</f>
        <v/>
      </c>
      <c r="V605" s="28">
        <f>H605*M605</f>
        <v/>
      </c>
      <c r="W605" s="28">
        <f>H605*N605</f>
        <v/>
      </c>
      <c r="X605" s="28">
        <f>H605*O605</f>
        <v/>
      </c>
      <c r="Y605" s="28">
        <f>H605*P605</f>
        <v/>
      </c>
      <c r="Z605" s="28">
        <f>H605*Q605</f>
        <v/>
      </c>
      <c r="AA605" s="28">
        <f>SUM(U605:Z605)</f>
        <v/>
      </c>
      <c r="AB605" s="5">
        <f>IF(COUNTIF('02b_DC_Accelerator_Mix'!$A$2:$A$977,G605)&gt;0,"matched","missing_mix")</f>
        <v/>
      </c>
    </row>
    <row r="606">
      <c r="A606" s="5">
        <f>'02a_DC_Capacity_Alloc'!A606</f>
        <v/>
      </c>
      <c r="B606" s="5">
        <f>'02a_DC_Capacity_Alloc'!B606</f>
        <v/>
      </c>
      <c r="C606" s="5">
        <f>'02a_DC_Capacity_Alloc'!C606</f>
        <v/>
      </c>
      <c r="D606" s="5">
        <f>'02a_DC_Capacity_Alloc'!D606</f>
        <v/>
      </c>
      <c r="E606" s="5">
        <f>'02a_DC_Capacity_Alloc'!E606</f>
        <v/>
      </c>
      <c r="F606" s="5">
        <f>'02a_DC_Capacity_Alloc'!F606</f>
        <v/>
      </c>
      <c r="G606" s="5">
        <f>B606&amp;"|"&amp;E606&amp;"|"&amp;D606</f>
        <v/>
      </c>
      <c r="H606" s="28">
        <f>'02a_DC_Capacity_Alloc'!H606*'02a_DC_Capacity_Alloc'!I606*'02a_DC_Capacity_Alloc'!J606</f>
        <v/>
      </c>
      <c r="I606" s="6">
        <f>IFERROR(INDEX('02b_DC_Accelerator_Mix'!$F$2:$F$977,MATCH(G606,'02b_DC_Accelerator_Mix'!$A$2:$A$977,0)),0)</f>
        <v/>
      </c>
      <c r="J606" s="6">
        <f>IFERROR(INDEX('02b_DC_Accelerator_Mix'!$G$2:$G$977,MATCH(G606,'02b_DC_Accelerator_Mix'!$A$2:$A$977,0)),0)</f>
        <v/>
      </c>
      <c r="K606" s="6">
        <f>IFERROR(INDEX('02b_DC_Accelerator_Mix'!$H$2:$H$977,MATCH(G606,'02b_DC_Accelerator_Mix'!$A$2:$A$977,0)),0)</f>
        <v/>
      </c>
      <c r="L606" s="6">
        <f>IFERROR(INDEX('02b_DC_Accelerator_Mix'!$I$2:$I$977,MATCH(G606,'02b_DC_Accelerator_Mix'!$A$2:$A$977,0)),0)</f>
        <v/>
      </c>
      <c r="M606" s="6">
        <f>IFERROR(INDEX('02b_DC_Accelerator_Mix'!$J$2:$J$977,MATCH(G606,'02b_DC_Accelerator_Mix'!$A$2:$A$977,0)),0)</f>
        <v/>
      </c>
      <c r="N606" s="6">
        <f>IFERROR(INDEX('02b_DC_Accelerator_Mix'!$K$2:$K$977,MATCH(G606,'02b_DC_Accelerator_Mix'!$A$2:$A$977,0)),0)</f>
        <v/>
      </c>
      <c r="O606" s="6">
        <f>IFERROR(INDEX('02b_DC_Accelerator_Mix'!$L$2:$L$977,MATCH(G606,'02b_DC_Accelerator_Mix'!$A$2:$A$977,0)),0)</f>
        <v/>
      </c>
      <c r="P606" s="6">
        <f>IFERROR(INDEX('02b_DC_Accelerator_Mix'!$M$2:$M$977,MATCH(G606,'02b_DC_Accelerator_Mix'!$A$2:$A$977,0)),0)</f>
        <v/>
      </c>
      <c r="Q606" s="6">
        <f>IFERROR(INDEX('02b_DC_Accelerator_Mix'!$N$2:$N$977,MATCH(G606,'02b_DC_Accelerator_Mix'!$A$2:$A$977,0)),0)</f>
        <v/>
      </c>
      <c r="R606" s="28">
        <f>H606*I606</f>
        <v/>
      </c>
      <c r="S606" s="28">
        <f>H606*J606</f>
        <v/>
      </c>
      <c r="T606" s="28">
        <f>H606*K606</f>
        <v/>
      </c>
      <c r="U606" s="28">
        <f>H606*L606</f>
        <v/>
      </c>
      <c r="V606" s="28">
        <f>H606*M606</f>
        <v/>
      </c>
      <c r="W606" s="28">
        <f>H606*N606</f>
        <v/>
      </c>
      <c r="X606" s="28">
        <f>H606*O606</f>
        <v/>
      </c>
      <c r="Y606" s="28">
        <f>H606*P606</f>
        <v/>
      </c>
      <c r="Z606" s="28">
        <f>H606*Q606</f>
        <v/>
      </c>
      <c r="AA606" s="28">
        <f>SUM(U606:Z606)</f>
        <v/>
      </c>
      <c r="AB606" s="5">
        <f>IF(COUNTIF('02b_DC_Accelerator_Mix'!$A$2:$A$977,G606)&gt;0,"matched","missing_mix")</f>
        <v/>
      </c>
    </row>
    <row r="607">
      <c r="A607" s="5">
        <f>'02a_DC_Capacity_Alloc'!A607</f>
        <v/>
      </c>
      <c r="B607" s="5">
        <f>'02a_DC_Capacity_Alloc'!B607</f>
        <v/>
      </c>
      <c r="C607" s="5">
        <f>'02a_DC_Capacity_Alloc'!C607</f>
        <v/>
      </c>
      <c r="D607" s="5">
        <f>'02a_DC_Capacity_Alloc'!D607</f>
        <v/>
      </c>
      <c r="E607" s="5">
        <f>'02a_DC_Capacity_Alloc'!E607</f>
        <v/>
      </c>
      <c r="F607" s="5">
        <f>'02a_DC_Capacity_Alloc'!F607</f>
        <v/>
      </c>
      <c r="G607" s="5">
        <f>B607&amp;"|"&amp;E607&amp;"|"&amp;D607</f>
        <v/>
      </c>
      <c r="H607" s="28">
        <f>'02a_DC_Capacity_Alloc'!H607*'02a_DC_Capacity_Alloc'!I607*'02a_DC_Capacity_Alloc'!J607</f>
        <v/>
      </c>
      <c r="I607" s="6">
        <f>IFERROR(INDEX('02b_DC_Accelerator_Mix'!$F$2:$F$977,MATCH(G607,'02b_DC_Accelerator_Mix'!$A$2:$A$977,0)),0)</f>
        <v/>
      </c>
      <c r="J607" s="6">
        <f>IFERROR(INDEX('02b_DC_Accelerator_Mix'!$G$2:$G$977,MATCH(G607,'02b_DC_Accelerator_Mix'!$A$2:$A$977,0)),0)</f>
        <v/>
      </c>
      <c r="K607" s="6">
        <f>IFERROR(INDEX('02b_DC_Accelerator_Mix'!$H$2:$H$977,MATCH(G607,'02b_DC_Accelerator_Mix'!$A$2:$A$977,0)),0)</f>
        <v/>
      </c>
      <c r="L607" s="6">
        <f>IFERROR(INDEX('02b_DC_Accelerator_Mix'!$I$2:$I$977,MATCH(G607,'02b_DC_Accelerator_Mix'!$A$2:$A$977,0)),0)</f>
        <v/>
      </c>
      <c r="M607" s="6">
        <f>IFERROR(INDEX('02b_DC_Accelerator_Mix'!$J$2:$J$977,MATCH(G607,'02b_DC_Accelerator_Mix'!$A$2:$A$977,0)),0)</f>
        <v/>
      </c>
      <c r="N607" s="6">
        <f>IFERROR(INDEX('02b_DC_Accelerator_Mix'!$K$2:$K$977,MATCH(G607,'02b_DC_Accelerator_Mix'!$A$2:$A$977,0)),0)</f>
        <v/>
      </c>
      <c r="O607" s="6">
        <f>IFERROR(INDEX('02b_DC_Accelerator_Mix'!$L$2:$L$977,MATCH(G607,'02b_DC_Accelerator_Mix'!$A$2:$A$977,0)),0)</f>
        <v/>
      </c>
      <c r="P607" s="6">
        <f>IFERROR(INDEX('02b_DC_Accelerator_Mix'!$M$2:$M$977,MATCH(G607,'02b_DC_Accelerator_Mix'!$A$2:$A$977,0)),0)</f>
        <v/>
      </c>
      <c r="Q607" s="6">
        <f>IFERROR(INDEX('02b_DC_Accelerator_Mix'!$N$2:$N$977,MATCH(G607,'02b_DC_Accelerator_Mix'!$A$2:$A$977,0)),0)</f>
        <v/>
      </c>
      <c r="R607" s="28">
        <f>H607*I607</f>
        <v/>
      </c>
      <c r="S607" s="28">
        <f>H607*J607</f>
        <v/>
      </c>
      <c r="T607" s="28">
        <f>H607*K607</f>
        <v/>
      </c>
      <c r="U607" s="28">
        <f>H607*L607</f>
        <v/>
      </c>
      <c r="V607" s="28">
        <f>H607*M607</f>
        <v/>
      </c>
      <c r="W607" s="28">
        <f>H607*N607</f>
        <v/>
      </c>
      <c r="X607" s="28">
        <f>H607*O607</f>
        <v/>
      </c>
      <c r="Y607" s="28">
        <f>H607*P607</f>
        <v/>
      </c>
      <c r="Z607" s="28">
        <f>H607*Q607</f>
        <v/>
      </c>
      <c r="AA607" s="28">
        <f>SUM(U607:Z607)</f>
        <v/>
      </c>
      <c r="AB607" s="5">
        <f>IF(COUNTIF('02b_DC_Accelerator_Mix'!$A$2:$A$977,G607)&gt;0,"matched","missing_mix")</f>
        <v/>
      </c>
    </row>
    <row r="608">
      <c r="A608" s="5">
        <f>'02a_DC_Capacity_Alloc'!A608</f>
        <v/>
      </c>
      <c r="B608" s="5">
        <f>'02a_DC_Capacity_Alloc'!B608</f>
        <v/>
      </c>
      <c r="C608" s="5">
        <f>'02a_DC_Capacity_Alloc'!C608</f>
        <v/>
      </c>
      <c r="D608" s="5">
        <f>'02a_DC_Capacity_Alloc'!D608</f>
        <v/>
      </c>
      <c r="E608" s="5">
        <f>'02a_DC_Capacity_Alloc'!E608</f>
        <v/>
      </c>
      <c r="F608" s="5">
        <f>'02a_DC_Capacity_Alloc'!F608</f>
        <v/>
      </c>
      <c r="G608" s="5">
        <f>B608&amp;"|"&amp;E608&amp;"|"&amp;D608</f>
        <v/>
      </c>
      <c r="H608" s="28">
        <f>'02a_DC_Capacity_Alloc'!H608*'02a_DC_Capacity_Alloc'!I608*'02a_DC_Capacity_Alloc'!J608</f>
        <v/>
      </c>
      <c r="I608" s="6">
        <f>IFERROR(INDEX('02b_DC_Accelerator_Mix'!$F$2:$F$977,MATCH(G608,'02b_DC_Accelerator_Mix'!$A$2:$A$977,0)),0)</f>
        <v/>
      </c>
      <c r="J608" s="6">
        <f>IFERROR(INDEX('02b_DC_Accelerator_Mix'!$G$2:$G$977,MATCH(G608,'02b_DC_Accelerator_Mix'!$A$2:$A$977,0)),0)</f>
        <v/>
      </c>
      <c r="K608" s="6">
        <f>IFERROR(INDEX('02b_DC_Accelerator_Mix'!$H$2:$H$977,MATCH(G608,'02b_DC_Accelerator_Mix'!$A$2:$A$977,0)),0)</f>
        <v/>
      </c>
      <c r="L608" s="6">
        <f>IFERROR(INDEX('02b_DC_Accelerator_Mix'!$I$2:$I$977,MATCH(G608,'02b_DC_Accelerator_Mix'!$A$2:$A$977,0)),0)</f>
        <v/>
      </c>
      <c r="M608" s="6">
        <f>IFERROR(INDEX('02b_DC_Accelerator_Mix'!$J$2:$J$977,MATCH(G608,'02b_DC_Accelerator_Mix'!$A$2:$A$977,0)),0)</f>
        <v/>
      </c>
      <c r="N608" s="6">
        <f>IFERROR(INDEX('02b_DC_Accelerator_Mix'!$K$2:$K$977,MATCH(G608,'02b_DC_Accelerator_Mix'!$A$2:$A$977,0)),0)</f>
        <v/>
      </c>
      <c r="O608" s="6">
        <f>IFERROR(INDEX('02b_DC_Accelerator_Mix'!$L$2:$L$977,MATCH(G608,'02b_DC_Accelerator_Mix'!$A$2:$A$977,0)),0)</f>
        <v/>
      </c>
      <c r="P608" s="6">
        <f>IFERROR(INDEX('02b_DC_Accelerator_Mix'!$M$2:$M$977,MATCH(G608,'02b_DC_Accelerator_Mix'!$A$2:$A$977,0)),0)</f>
        <v/>
      </c>
      <c r="Q608" s="6">
        <f>IFERROR(INDEX('02b_DC_Accelerator_Mix'!$N$2:$N$977,MATCH(G608,'02b_DC_Accelerator_Mix'!$A$2:$A$977,0)),0)</f>
        <v/>
      </c>
      <c r="R608" s="28">
        <f>H608*I608</f>
        <v/>
      </c>
      <c r="S608" s="28">
        <f>H608*J608</f>
        <v/>
      </c>
      <c r="T608" s="28">
        <f>H608*K608</f>
        <v/>
      </c>
      <c r="U608" s="28">
        <f>H608*L608</f>
        <v/>
      </c>
      <c r="V608" s="28">
        <f>H608*M608</f>
        <v/>
      </c>
      <c r="W608" s="28">
        <f>H608*N608</f>
        <v/>
      </c>
      <c r="X608" s="28">
        <f>H608*O608</f>
        <v/>
      </c>
      <c r="Y608" s="28">
        <f>H608*P608</f>
        <v/>
      </c>
      <c r="Z608" s="28">
        <f>H608*Q608</f>
        <v/>
      </c>
      <c r="AA608" s="28">
        <f>SUM(U608:Z608)</f>
        <v/>
      </c>
      <c r="AB608" s="5">
        <f>IF(COUNTIF('02b_DC_Accelerator_Mix'!$A$2:$A$977,G608)&gt;0,"matched","missing_mix")</f>
        <v/>
      </c>
    </row>
    <row r="609">
      <c r="A609" s="5">
        <f>'02a_DC_Capacity_Alloc'!A609</f>
        <v/>
      </c>
      <c r="B609" s="5">
        <f>'02a_DC_Capacity_Alloc'!B609</f>
        <v/>
      </c>
      <c r="C609" s="5">
        <f>'02a_DC_Capacity_Alloc'!C609</f>
        <v/>
      </c>
      <c r="D609" s="5">
        <f>'02a_DC_Capacity_Alloc'!D609</f>
        <v/>
      </c>
      <c r="E609" s="5">
        <f>'02a_DC_Capacity_Alloc'!E609</f>
        <v/>
      </c>
      <c r="F609" s="5">
        <f>'02a_DC_Capacity_Alloc'!F609</f>
        <v/>
      </c>
      <c r="G609" s="5">
        <f>B609&amp;"|"&amp;E609&amp;"|"&amp;D609</f>
        <v/>
      </c>
      <c r="H609" s="28">
        <f>'02a_DC_Capacity_Alloc'!H609*'02a_DC_Capacity_Alloc'!I609*'02a_DC_Capacity_Alloc'!J609</f>
        <v/>
      </c>
      <c r="I609" s="6">
        <f>IFERROR(INDEX('02b_DC_Accelerator_Mix'!$F$2:$F$977,MATCH(G609,'02b_DC_Accelerator_Mix'!$A$2:$A$977,0)),0)</f>
        <v/>
      </c>
      <c r="J609" s="6">
        <f>IFERROR(INDEX('02b_DC_Accelerator_Mix'!$G$2:$G$977,MATCH(G609,'02b_DC_Accelerator_Mix'!$A$2:$A$977,0)),0)</f>
        <v/>
      </c>
      <c r="K609" s="6">
        <f>IFERROR(INDEX('02b_DC_Accelerator_Mix'!$H$2:$H$977,MATCH(G609,'02b_DC_Accelerator_Mix'!$A$2:$A$977,0)),0)</f>
        <v/>
      </c>
      <c r="L609" s="6">
        <f>IFERROR(INDEX('02b_DC_Accelerator_Mix'!$I$2:$I$977,MATCH(G609,'02b_DC_Accelerator_Mix'!$A$2:$A$977,0)),0)</f>
        <v/>
      </c>
      <c r="M609" s="6">
        <f>IFERROR(INDEX('02b_DC_Accelerator_Mix'!$J$2:$J$977,MATCH(G609,'02b_DC_Accelerator_Mix'!$A$2:$A$977,0)),0)</f>
        <v/>
      </c>
      <c r="N609" s="6">
        <f>IFERROR(INDEX('02b_DC_Accelerator_Mix'!$K$2:$K$977,MATCH(G609,'02b_DC_Accelerator_Mix'!$A$2:$A$977,0)),0)</f>
        <v/>
      </c>
      <c r="O609" s="6">
        <f>IFERROR(INDEX('02b_DC_Accelerator_Mix'!$L$2:$L$977,MATCH(G609,'02b_DC_Accelerator_Mix'!$A$2:$A$977,0)),0)</f>
        <v/>
      </c>
      <c r="P609" s="6">
        <f>IFERROR(INDEX('02b_DC_Accelerator_Mix'!$M$2:$M$977,MATCH(G609,'02b_DC_Accelerator_Mix'!$A$2:$A$977,0)),0)</f>
        <v/>
      </c>
      <c r="Q609" s="6">
        <f>IFERROR(INDEX('02b_DC_Accelerator_Mix'!$N$2:$N$977,MATCH(G609,'02b_DC_Accelerator_Mix'!$A$2:$A$977,0)),0)</f>
        <v/>
      </c>
      <c r="R609" s="28">
        <f>H609*I609</f>
        <v/>
      </c>
      <c r="S609" s="28">
        <f>H609*J609</f>
        <v/>
      </c>
      <c r="T609" s="28">
        <f>H609*K609</f>
        <v/>
      </c>
      <c r="U609" s="28">
        <f>H609*L609</f>
        <v/>
      </c>
      <c r="V609" s="28">
        <f>H609*M609</f>
        <v/>
      </c>
      <c r="W609" s="28">
        <f>H609*N609</f>
        <v/>
      </c>
      <c r="X609" s="28">
        <f>H609*O609</f>
        <v/>
      </c>
      <c r="Y609" s="28">
        <f>H609*P609</f>
        <v/>
      </c>
      <c r="Z609" s="28">
        <f>H609*Q609</f>
        <v/>
      </c>
      <c r="AA609" s="28">
        <f>SUM(U609:Z609)</f>
        <v/>
      </c>
      <c r="AB609" s="5">
        <f>IF(COUNTIF('02b_DC_Accelerator_Mix'!$A$2:$A$977,G609)&gt;0,"matched","missing_mix")</f>
        <v/>
      </c>
    </row>
    <row r="610">
      <c r="A610" s="5">
        <f>'02a_DC_Capacity_Alloc'!A610</f>
        <v/>
      </c>
      <c r="B610" s="5">
        <f>'02a_DC_Capacity_Alloc'!B610</f>
        <v/>
      </c>
      <c r="C610" s="5">
        <f>'02a_DC_Capacity_Alloc'!C610</f>
        <v/>
      </c>
      <c r="D610" s="5">
        <f>'02a_DC_Capacity_Alloc'!D610</f>
        <v/>
      </c>
      <c r="E610" s="5">
        <f>'02a_DC_Capacity_Alloc'!E610</f>
        <v/>
      </c>
      <c r="F610" s="5">
        <f>'02a_DC_Capacity_Alloc'!F610</f>
        <v/>
      </c>
      <c r="G610" s="5">
        <f>B610&amp;"|"&amp;E610&amp;"|"&amp;D610</f>
        <v/>
      </c>
      <c r="H610" s="28">
        <f>'02a_DC_Capacity_Alloc'!H610*'02a_DC_Capacity_Alloc'!I610*'02a_DC_Capacity_Alloc'!J610</f>
        <v/>
      </c>
      <c r="I610" s="6">
        <f>IFERROR(INDEX('02b_DC_Accelerator_Mix'!$F$2:$F$977,MATCH(G610,'02b_DC_Accelerator_Mix'!$A$2:$A$977,0)),0)</f>
        <v/>
      </c>
      <c r="J610" s="6">
        <f>IFERROR(INDEX('02b_DC_Accelerator_Mix'!$G$2:$G$977,MATCH(G610,'02b_DC_Accelerator_Mix'!$A$2:$A$977,0)),0)</f>
        <v/>
      </c>
      <c r="K610" s="6">
        <f>IFERROR(INDEX('02b_DC_Accelerator_Mix'!$H$2:$H$977,MATCH(G610,'02b_DC_Accelerator_Mix'!$A$2:$A$977,0)),0)</f>
        <v/>
      </c>
      <c r="L610" s="6">
        <f>IFERROR(INDEX('02b_DC_Accelerator_Mix'!$I$2:$I$977,MATCH(G610,'02b_DC_Accelerator_Mix'!$A$2:$A$977,0)),0)</f>
        <v/>
      </c>
      <c r="M610" s="6">
        <f>IFERROR(INDEX('02b_DC_Accelerator_Mix'!$J$2:$J$977,MATCH(G610,'02b_DC_Accelerator_Mix'!$A$2:$A$977,0)),0)</f>
        <v/>
      </c>
      <c r="N610" s="6">
        <f>IFERROR(INDEX('02b_DC_Accelerator_Mix'!$K$2:$K$977,MATCH(G610,'02b_DC_Accelerator_Mix'!$A$2:$A$977,0)),0)</f>
        <v/>
      </c>
      <c r="O610" s="6">
        <f>IFERROR(INDEX('02b_DC_Accelerator_Mix'!$L$2:$L$977,MATCH(G610,'02b_DC_Accelerator_Mix'!$A$2:$A$977,0)),0)</f>
        <v/>
      </c>
      <c r="P610" s="6">
        <f>IFERROR(INDEX('02b_DC_Accelerator_Mix'!$M$2:$M$977,MATCH(G610,'02b_DC_Accelerator_Mix'!$A$2:$A$977,0)),0)</f>
        <v/>
      </c>
      <c r="Q610" s="6">
        <f>IFERROR(INDEX('02b_DC_Accelerator_Mix'!$N$2:$N$977,MATCH(G610,'02b_DC_Accelerator_Mix'!$A$2:$A$977,0)),0)</f>
        <v/>
      </c>
      <c r="R610" s="28">
        <f>H610*I610</f>
        <v/>
      </c>
      <c r="S610" s="28">
        <f>H610*J610</f>
        <v/>
      </c>
      <c r="T610" s="28">
        <f>H610*K610</f>
        <v/>
      </c>
      <c r="U610" s="28">
        <f>H610*L610</f>
        <v/>
      </c>
      <c r="V610" s="28">
        <f>H610*M610</f>
        <v/>
      </c>
      <c r="W610" s="28">
        <f>H610*N610</f>
        <v/>
      </c>
      <c r="X610" s="28">
        <f>H610*O610</f>
        <v/>
      </c>
      <c r="Y610" s="28">
        <f>H610*P610</f>
        <v/>
      </c>
      <c r="Z610" s="28">
        <f>H610*Q610</f>
        <v/>
      </c>
      <c r="AA610" s="28">
        <f>SUM(U610:Z610)</f>
        <v/>
      </c>
      <c r="AB610" s="5">
        <f>IF(COUNTIF('02b_DC_Accelerator_Mix'!$A$2:$A$977,G610)&gt;0,"matched","missing_mix")</f>
        <v/>
      </c>
    </row>
    <row r="611">
      <c r="A611" s="5">
        <f>'02a_DC_Capacity_Alloc'!A611</f>
        <v/>
      </c>
      <c r="B611" s="5">
        <f>'02a_DC_Capacity_Alloc'!B611</f>
        <v/>
      </c>
      <c r="C611" s="5">
        <f>'02a_DC_Capacity_Alloc'!C611</f>
        <v/>
      </c>
      <c r="D611" s="5">
        <f>'02a_DC_Capacity_Alloc'!D611</f>
        <v/>
      </c>
      <c r="E611" s="5">
        <f>'02a_DC_Capacity_Alloc'!E611</f>
        <v/>
      </c>
      <c r="F611" s="5">
        <f>'02a_DC_Capacity_Alloc'!F611</f>
        <v/>
      </c>
      <c r="G611" s="5">
        <f>B611&amp;"|"&amp;E611&amp;"|"&amp;D611</f>
        <v/>
      </c>
      <c r="H611" s="28">
        <f>'02a_DC_Capacity_Alloc'!H611*'02a_DC_Capacity_Alloc'!I611*'02a_DC_Capacity_Alloc'!J611</f>
        <v/>
      </c>
      <c r="I611" s="6">
        <f>IFERROR(INDEX('02b_DC_Accelerator_Mix'!$F$2:$F$977,MATCH(G611,'02b_DC_Accelerator_Mix'!$A$2:$A$977,0)),0)</f>
        <v/>
      </c>
      <c r="J611" s="6">
        <f>IFERROR(INDEX('02b_DC_Accelerator_Mix'!$G$2:$G$977,MATCH(G611,'02b_DC_Accelerator_Mix'!$A$2:$A$977,0)),0)</f>
        <v/>
      </c>
      <c r="K611" s="6">
        <f>IFERROR(INDEX('02b_DC_Accelerator_Mix'!$H$2:$H$977,MATCH(G611,'02b_DC_Accelerator_Mix'!$A$2:$A$977,0)),0)</f>
        <v/>
      </c>
      <c r="L611" s="6">
        <f>IFERROR(INDEX('02b_DC_Accelerator_Mix'!$I$2:$I$977,MATCH(G611,'02b_DC_Accelerator_Mix'!$A$2:$A$977,0)),0)</f>
        <v/>
      </c>
      <c r="M611" s="6">
        <f>IFERROR(INDEX('02b_DC_Accelerator_Mix'!$J$2:$J$977,MATCH(G611,'02b_DC_Accelerator_Mix'!$A$2:$A$977,0)),0)</f>
        <v/>
      </c>
      <c r="N611" s="6">
        <f>IFERROR(INDEX('02b_DC_Accelerator_Mix'!$K$2:$K$977,MATCH(G611,'02b_DC_Accelerator_Mix'!$A$2:$A$977,0)),0)</f>
        <v/>
      </c>
      <c r="O611" s="6">
        <f>IFERROR(INDEX('02b_DC_Accelerator_Mix'!$L$2:$L$977,MATCH(G611,'02b_DC_Accelerator_Mix'!$A$2:$A$977,0)),0)</f>
        <v/>
      </c>
      <c r="P611" s="6">
        <f>IFERROR(INDEX('02b_DC_Accelerator_Mix'!$M$2:$M$977,MATCH(G611,'02b_DC_Accelerator_Mix'!$A$2:$A$977,0)),0)</f>
        <v/>
      </c>
      <c r="Q611" s="6">
        <f>IFERROR(INDEX('02b_DC_Accelerator_Mix'!$N$2:$N$977,MATCH(G611,'02b_DC_Accelerator_Mix'!$A$2:$A$977,0)),0)</f>
        <v/>
      </c>
      <c r="R611" s="28">
        <f>H611*I611</f>
        <v/>
      </c>
      <c r="S611" s="28">
        <f>H611*J611</f>
        <v/>
      </c>
      <c r="T611" s="28">
        <f>H611*K611</f>
        <v/>
      </c>
      <c r="U611" s="28">
        <f>H611*L611</f>
        <v/>
      </c>
      <c r="V611" s="28">
        <f>H611*M611</f>
        <v/>
      </c>
      <c r="W611" s="28">
        <f>H611*N611</f>
        <v/>
      </c>
      <c r="X611" s="28">
        <f>H611*O611</f>
        <v/>
      </c>
      <c r="Y611" s="28">
        <f>H611*P611</f>
        <v/>
      </c>
      <c r="Z611" s="28">
        <f>H611*Q611</f>
        <v/>
      </c>
      <c r="AA611" s="28">
        <f>SUM(U611:Z611)</f>
        <v/>
      </c>
      <c r="AB611" s="5">
        <f>IF(COUNTIF('02b_DC_Accelerator_Mix'!$A$2:$A$977,G611)&gt;0,"matched","missing_mix")</f>
        <v/>
      </c>
    </row>
    <row r="612">
      <c r="A612" s="5">
        <f>'02a_DC_Capacity_Alloc'!A612</f>
        <v/>
      </c>
      <c r="B612" s="5">
        <f>'02a_DC_Capacity_Alloc'!B612</f>
        <v/>
      </c>
      <c r="C612" s="5">
        <f>'02a_DC_Capacity_Alloc'!C612</f>
        <v/>
      </c>
      <c r="D612" s="5">
        <f>'02a_DC_Capacity_Alloc'!D612</f>
        <v/>
      </c>
      <c r="E612" s="5">
        <f>'02a_DC_Capacity_Alloc'!E612</f>
        <v/>
      </c>
      <c r="F612" s="5">
        <f>'02a_DC_Capacity_Alloc'!F612</f>
        <v/>
      </c>
      <c r="G612" s="5">
        <f>B612&amp;"|"&amp;E612&amp;"|"&amp;D612</f>
        <v/>
      </c>
      <c r="H612" s="28">
        <f>'02a_DC_Capacity_Alloc'!H612*'02a_DC_Capacity_Alloc'!I612*'02a_DC_Capacity_Alloc'!J612</f>
        <v/>
      </c>
      <c r="I612" s="6">
        <f>IFERROR(INDEX('02b_DC_Accelerator_Mix'!$F$2:$F$977,MATCH(G612,'02b_DC_Accelerator_Mix'!$A$2:$A$977,0)),0)</f>
        <v/>
      </c>
      <c r="J612" s="6">
        <f>IFERROR(INDEX('02b_DC_Accelerator_Mix'!$G$2:$G$977,MATCH(G612,'02b_DC_Accelerator_Mix'!$A$2:$A$977,0)),0)</f>
        <v/>
      </c>
      <c r="K612" s="6">
        <f>IFERROR(INDEX('02b_DC_Accelerator_Mix'!$H$2:$H$977,MATCH(G612,'02b_DC_Accelerator_Mix'!$A$2:$A$977,0)),0)</f>
        <v/>
      </c>
      <c r="L612" s="6">
        <f>IFERROR(INDEX('02b_DC_Accelerator_Mix'!$I$2:$I$977,MATCH(G612,'02b_DC_Accelerator_Mix'!$A$2:$A$977,0)),0)</f>
        <v/>
      </c>
      <c r="M612" s="6">
        <f>IFERROR(INDEX('02b_DC_Accelerator_Mix'!$J$2:$J$977,MATCH(G612,'02b_DC_Accelerator_Mix'!$A$2:$A$977,0)),0)</f>
        <v/>
      </c>
      <c r="N612" s="6">
        <f>IFERROR(INDEX('02b_DC_Accelerator_Mix'!$K$2:$K$977,MATCH(G612,'02b_DC_Accelerator_Mix'!$A$2:$A$977,0)),0)</f>
        <v/>
      </c>
      <c r="O612" s="6">
        <f>IFERROR(INDEX('02b_DC_Accelerator_Mix'!$L$2:$L$977,MATCH(G612,'02b_DC_Accelerator_Mix'!$A$2:$A$977,0)),0)</f>
        <v/>
      </c>
      <c r="P612" s="6">
        <f>IFERROR(INDEX('02b_DC_Accelerator_Mix'!$M$2:$M$977,MATCH(G612,'02b_DC_Accelerator_Mix'!$A$2:$A$977,0)),0)</f>
        <v/>
      </c>
      <c r="Q612" s="6">
        <f>IFERROR(INDEX('02b_DC_Accelerator_Mix'!$N$2:$N$977,MATCH(G612,'02b_DC_Accelerator_Mix'!$A$2:$A$977,0)),0)</f>
        <v/>
      </c>
      <c r="R612" s="28">
        <f>H612*I612</f>
        <v/>
      </c>
      <c r="S612" s="28">
        <f>H612*J612</f>
        <v/>
      </c>
      <c r="T612" s="28">
        <f>H612*K612</f>
        <v/>
      </c>
      <c r="U612" s="28">
        <f>H612*L612</f>
        <v/>
      </c>
      <c r="V612" s="28">
        <f>H612*M612</f>
        <v/>
      </c>
      <c r="W612" s="28">
        <f>H612*N612</f>
        <v/>
      </c>
      <c r="X612" s="28">
        <f>H612*O612</f>
        <v/>
      </c>
      <c r="Y612" s="28">
        <f>H612*P612</f>
        <v/>
      </c>
      <c r="Z612" s="28">
        <f>H612*Q612</f>
        <v/>
      </c>
      <c r="AA612" s="28">
        <f>SUM(U612:Z612)</f>
        <v/>
      </c>
      <c r="AB612" s="5">
        <f>IF(COUNTIF('02b_DC_Accelerator_Mix'!$A$2:$A$977,G612)&gt;0,"matched","missing_mix")</f>
        <v/>
      </c>
    </row>
    <row r="613">
      <c r="A613" s="5">
        <f>'02a_DC_Capacity_Alloc'!A613</f>
        <v/>
      </c>
      <c r="B613" s="5">
        <f>'02a_DC_Capacity_Alloc'!B613</f>
        <v/>
      </c>
      <c r="C613" s="5">
        <f>'02a_DC_Capacity_Alloc'!C613</f>
        <v/>
      </c>
      <c r="D613" s="5">
        <f>'02a_DC_Capacity_Alloc'!D613</f>
        <v/>
      </c>
      <c r="E613" s="5">
        <f>'02a_DC_Capacity_Alloc'!E613</f>
        <v/>
      </c>
      <c r="F613" s="5">
        <f>'02a_DC_Capacity_Alloc'!F613</f>
        <v/>
      </c>
      <c r="G613" s="5">
        <f>B613&amp;"|"&amp;E613&amp;"|"&amp;D613</f>
        <v/>
      </c>
      <c r="H613" s="28">
        <f>'02a_DC_Capacity_Alloc'!H613*'02a_DC_Capacity_Alloc'!I613*'02a_DC_Capacity_Alloc'!J613</f>
        <v/>
      </c>
      <c r="I613" s="6">
        <f>IFERROR(INDEX('02b_DC_Accelerator_Mix'!$F$2:$F$977,MATCH(G613,'02b_DC_Accelerator_Mix'!$A$2:$A$977,0)),0)</f>
        <v/>
      </c>
      <c r="J613" s="6">
        <f>IFERROR(INDEX('02b_DC_Accelerator_Mix'!$G$2:$G$977,MATCH(G613,'02b_DC_Accelerator_Mix'!$A$2:$A$977,0)),0)</f>
        <v/>
      </c>
      <c r="K613" s="6">
        <f>IFERROR(INDEX('02b_DC_Accelerator_Mix'!$H$2:$H$977,MATCH(G613,'02b_DC_Accelerator_Mix'!$A$2:$A$977,0)),0)</f>
        <v/>
      </c>
      <c r="L613" s="6">
        <f>IFERROR(INDEX('02b_DC_Accelerator_Mix'!$I$2:$I$977,MATCH(G613,'02b_DC_Accelerator_Mix'!$A$2:$A$977,0)),0)</f>
        <v/>
      </c>
      <c r="M613" s="6">
        <f>IFERROR(INDEX('02b_DC_Accelerator_Mix'!$J$2:$J$977,MATCH(G613,'02b_DC_Accelerator_Mix'!$A$2:$A$977,0)),0)</f>
        <v/>
      </c>
      <c r="N613" s="6">
        <f>IFERROR(INDEX('02b_DC_Accelerator_Mix'!$K$2:$K$977,MATCH(G613,'02b_DC_Accelerator_Mix'!$A$2:$A$977,0)),0)</f>
        <v/>
      </c>
      <c r="O613" s="6">
        <f>IFERROR(INDEX('02b_DC_Accelerator_Mix'!$L$2:$L$977,MATCH(G613,'02b_DC_Accelerator_Mix'!$A$2:$A$977,0)),0)</f>
        <v/>
      </c>
      <c r="P613" s="6">
        <f>IFERROR(INDEX('02b_DC_Accelerator_Mix'!$M$2:$M$977,MATCH(G613,'02b_DC_Accelerator_Mix'!$A$2:$A$977,0)),0)</f>
        <v/>
      </c>
      <c r="Q613" s="6">
        <f>IFERROR(INDEX('02b_DC_Accelerator_Mix'!$N$2:$N$977,MATCH(G613,'02b_DC_Accelerator_Mix'!$A$2:$A$977,0)),0)</f>
        <v/>
      </c>
      <c r="R613" s="28">
        <f>H613*I613</f>
        <v/>
      </c>
      <c r="S613" s="28">
        <f>H613*J613</f>
        <v/>
      </c>
      <c r="T613" s="28">
        <f>H613*K613</f>
        <v/>
      </c>
      <c r="U613" s="28">
        <f>H613*L613</f>
        <v/>
      </c>
      <c r="V613" s="28">
        <f>H613*M613</f>
        <v/>
      </c>
      <c r="W613" s="28">
        <f>H613*N613</f>
        <v/>
      </c>
      <c r="X613" s="28">
        <f>H613*O613</f>
        <v/>
      </c>
      <c r="Y613" s="28">
        <f>H613*P613</f>
        <v/>
      </c>
      <c r="Z613" s="28">
        <f>H613*Q613</f>
        <v/>
      </c>
      <c r="AA613" s="28">
        <f>SUM(U613:Z613)</f>
        <v/>
      </c>
      <c r="AB613" s="5">
        <f>IF(COUNTIF('02b_DC_Accelerator_Mix'!$A$2:$A$977,G613)&gt;0,"matched","missing_mix")</f>
        <v/>
      </c>
    </row>
    <row r="614">
      <c r="A614" s="5">
        <f>'02a_DC_Capacity_Alloc'!A614</f>
        <v/>
      </c>
      <c r="B614" s="5">
        <f>'02a_DC_Capacity_Alloc'!B614</f>
        <v/>
      </c>
      <c r="C614" s="5">
        <f>'02a_DC_Capacity_Alloc'!C614</f>
        <v/>
      </c>
      <c r="D614" s="5">
        <f>'02a_DC_Capacity_Alloc'!D614</f>
        <v/>
      </c>
      <c r="E614" s="5">
        <f>'02a_DC_Capacity_Alloc'!E614</f>
        <v/>
      </c>
      <c r="F614" s="5">
        <f>'02a_DC_Capacity_Alloc'!F614</f>
        <v/>
      </c>
      <c r="G614" s="5">
        <f>B614&amp;"|"&amp;E614&amp;"|"&amp;D614</f>
        <v/>
      </c>
      <c r="H614" s="28">
        <f>'02a_DC_Capacity_Alloc'!H614*'02a_DC_Capacity_Alloc'!I614*'02a_DC_Capacity_Alloc'!J614</f>
        <v/>
      </c>
      <c r="I614" s="6">
        <f>IFERROR(INDEX('02b_DC_Accelerator_Mix'!$F$2:$F$977,MATCH(G614,'02b_DC_Accelerator_Mix'!$A$2:$A$977,0)),0)</f>
        <v/>
      </c>
      <c r="J614" s="6">
        <f>IFERROR(INDEX('02b_DC_Accelerator_Mix'!$G$2:$G$977,MATCH(G614,'02b_DC_Accelerator_Mix'!$A$2:$A$977,0)),0)</f>
        <v/>
      </c>
      <c r="K614" s="6">
        <f>IFERROR(INDEX('02b_DC_Accelerator_Mix'!$H$2:$H$977,MATCH(G614,'02b_DC_Accelerator_Mix'!$A$2:$A$977,0)),0)</f>
        <v/>
      </c>
      <c r="L614" s="6">
        <f>IFERROR(INDEX('02b_DC_Accelerator_Mix'!$I$2:$I$977,MATCH(G614,'02b_DC_Accelerator_Mix'!$A$2:$A$977,0)),0)</f>
        <v/>
      </c>
      <c r="M614" s="6">
        <f>IFERROR(INDEX('02b_DC_Accelerator_Mix'!$J$2:$J$977,MATCH(G614,'02b_DC_Accelerator_Mix'!$A$2:$A$977,0)),0)</f>
        <v/>
      </c>
      <c r="N614" s="6">
        <f>IFERROR(INDEX('02b_DC_Accelerator_Mix'!$K$2:$K$977,MATCH(G614,'02b_DC_Accelerator_Mix'!$A$2:$A$977,0)),0)</f>
        <v/>
      </c>
      <c r="O614" s="6">
        <f>IFERROR(INDEX('02b_DC_Accelerator_Mix'!$L$2:$L$977,MATCH(G614,'02b_DC_Accelerator_Mix'!$A$2:$A$977,0)),0)</f>
        <v/>
      </c>
      <c r="P614" s="6">
        <f>IFERROR(INDEX('02b_DC_Accelerator_Mix'!$M$2:$M$977,MATCH(G614,'02b_DC_Accelerator_Mix'!$A$2:$A$977,0)),0)</f>
        <v/>
      </c>
      <c r="Q614" s="6">
        <f>IFERROR(INDEX('02b_DC_Accelerator_Mix'!$N$2:$N$977,MATCH(G614,'02b_DC_Accelerator_Mix'!$A$2:$A$977,0)),0)</f>
        <v/>
      </c>
      <c r="R614" s="28">
        <f>H614*I614</f>
        <v/>
      </c>
      <c r="S614" s="28">
        <f>H614*J614</f>
        <v/>
      </c>
      <c r="T614" s="28">
        <f>H614*K614</f>
        <v/>
      </c>
      <c r="U614" s="28">
        <f>H614*L614</f>
        <v/>
      </c>
      <c r="V614" s="28">
        <f>H614*M614</f>
        <v/>
      </c>
      <c r="W614" s="28">
        <f>H614*N614</f>
        <v/>
      </c>
      <c r="X614" s="28">
        <f>H614*O614</f>
        <v/>
      </c>
      <c r="Y614" s="28">
        <f>H614*P614</f>
        <v/>
      </c>
      <c r="Z614" s="28">
        <f>H614*Q614</f>
        <v/>
      </c>
      <c r="AA614" s="28">
        <f>SUM(U614:Z614)</f>
        <v/>
      </c>
      <c r="AB614" s="5">
        <f>IF(COUNTIF('02b_DC_Accelerator_Mix'!$A$2:$A$977,G614)&gt;0,"matched","missing_mix")</f>
        <v/>
      </c>
    </row>
    <row r="615">
      <c r="A615" s="5">
        <f>'02a_DC_Capacity_Alloc'!A615</f>
        <v/>
      </c>
      <c r="B615" s="5">
        <f>'02a_DC_Capacity_Alloc'!B615</f>
        <v/>
      </c>
      <c r="C615" s="5">
        <f>'02a_DC_Capacity_Alloc'!C615</f>
        <v/>
      </c>
      <c r="D615" s="5">
        <f>'02a_DC_Capacity_Alloc'!D615</f>
        <v/>
      </c>
      <c r="E615" s="5">
        <f>'02a_DC_Capacity_Alloc'!E615</f>
        <v/>
      </c>
      <c r="F615" s="5">
        <f>'02a_DC_Capacity_Alloc'!F615</f>
        <v/>
      </c>
      <c r="G615" s="5">
        <f>B615&amp;"|"&amp;E615&amp;"|"&amp;D615</f>
        <v/>
      </c>
      <c r="H615" s="28">
        <f>'02a_DC_Capacity_Alloc'!H615*'02a_DC_Capacity_Alloc'!I615*'02a_DC_Capacity_Alloc'!J615</f>
        <v/>
      </c>
      <c r="I615" s="6">
        <f>IFERROR(INDEX('02b_DC_Accelerator_Mix'!$F$2:$F$977,MATCH(G615,'02b_DC_Accelerator_Mix'!$A$2:$A$977,0)),0)</f>
        <v/>
      </c>
      <c r="J615" s="6">
        <f>IFERROR(INDEX('02b_DC_Accelerator_Mix'!$G$2:$G$977,MATCH(G615,'02b_DC_Accelerator_Mix'!$A$2:$A$977,0)),0)</f>
        <v/>
      </c>
      <c r="K615" s="6">
        <f>IFERROR(INDEX('02b_DC_Accelerator_Mix'!$H$2:$H$977,MATCH(G615,'02b_DC_Accelerator_Mix'!$A$2:$A$977,0)),0)</f>
        <v/>
      </c>
      <c r="L615" s="6">
        <f>IFERROR(INDEX('02b_DC_Accelerator_Mix'!$I$2:$I$977,MATCH(G615,'02b_DC_Accelerator_Mix'!$A$2:$A$977,0)),0)</f>
        <v/>
      </c>
      <c r="M615" s="6">
        <f>IFERROR(INDEX('02b_DC_Accelerator_Mix'!$J$2:$J$977,MATCH(G615,'02b_DC_Accelerator_Mix'!$A$2:$A$977,0)),0)</f>
        <v/>
      </c>
      <c r="N615" s="6">
        <f>IFERROR(INDEX('02b_DC_Accelerator_Mix'!$K$2:$K$977,MATCH(G615,'02b_DC_Accelerator_Mix'!$A$2:$A$977,0)),0)</f>
        <v/>
      </c>
      <c r="O615" s="6">
        <f>IFERROR(INDEX('02b_DC_Accelerator_Mix'!$L$2:$L$977,MATCH(G615,'02b_DC_Accelerator_Mix'!$A$2:$A$977,0)),0)</f>
        <v/>
      </c>
      <c r="P615" s="6">
        <f>IFERROR(INDEX('02b_DC_Accelerator_Mix'!$M$2:$M$977,MATCH(G615,'02b_DC_Accelerator_Mix'!$A$2:$A$977,0)),0)</f>
        <v/>
      </c>
      <c r="Q615" s="6">
        <f>IFERROR(INDEX('02b_DC_Accelerator_Mix'!$N$2:$N$977,MATCH(G615,'02b_DC_Accelerator_Mix'!$A$2:$A$977,0)),0)</f>
        <v/>
      </c>
      <c r="R615" s="28">
        <f>H615*I615</f>
        <v/>
      </c>
      <c r="S615" s="28">
        <f>H615*J615</f>
        <v/>
      </c>
      <c r="T615" s="28">
        <f>H615*K615</f>
        <v/>
      </c>
      <c r="U615" s="28">
        <f>H615*L615</f>
        <v/>
      </c>
      <c r="V615" s="28">
        <f>H615*M615</f>
        <v/>
      </c>
      <c r="W615" s="28">
        <f>H615*N615</f>
        <v/>
      </c>
      <c r="X615" s="28">
        <f>H615*O615</f>
        <v/>
      </c>
      <c r="Y615" s="28">
        <f>H615*P615</f>
        <v/>
      </c>
      <c r="Z615" s="28">
        <f>H615*Q615</f>
        <v/>
      </c>
      <c r="AA615" s="28">
        <f>SUM(U615:Z615)</f>
        <v/>
      </c>
      <c r="AB615" s="5">
        <f>IF(COUNTIF('02b_DC_Accelerator_Mix'!$A$2:$A$977,G615)&gt;0,"matched","missing_mix")</f>
        <v/>
      </c>
    </row>
    <row r="616">
      <c r="A616" s="5">
        <f>'02a_DC_Capacity_Alloc'!A616</f>
        <v/>
      </c>
      <c r="B616" s="5">
        <f>'02a_DC_Capacity_Alloc'!B616</f>
        <v/>
      </c>
      <c r="C616" s="5">
        <f>'02a_DC_Capacity_Alloc'!C616</f>
        <v/>
      </c>
      <c r="D616" s="5">
        <f>'02a_DC_Capacity_Alloc'!D616</f>
        <v/>
      </c>
      <c r="E616" s="5">
        <f>'02a_DC_Capacity_Alloc'!E616</f>
        <v/>
      </c>
      <c r="F616" s="5">
        <f>'02a_DC_Capacity_Alloc'!F616</f>
        <v/>
      </c>
      <c r="G616" s="5">
        <f>B616&amp;"|"&amp;E616&amp;"|"&amp;D616</f>
        <v/>
      </c>
      <c r="H616" s="28">
        <f>'02a_DC_Capacity_Alloc'!H616*'02a_DC_Capacity_Alloc'!I616*'02a_DC_Capacity_Alloc'!J616</f>
        <v/>
      </c>
      <c r="I616" s="6">
        <f>IFERROR(INDEX('02b_DC_Accelerator_Mix'!$F$2:$F$977,MATCH(G616,'02b_DC_Accelerator_Mix'!$A$2:$A$977,0)),0)</f>
        <v/>
      </c>
      <c r="J616" s="6">
        <f>IFERROR(INDEX('02b_DC_Accelerator_Mix'!$G$2:$G$977,MATCH(G616,'02b_DC_Accelerator_Mix'!$A$2:$A$977,0)),0)</f>
        <v/>
      </c>
      <c r="K616" s="6">
        <f>IFERROR(INDEX('02b_DC_Accelerator_Mix'!$H$2:$H$977,MATCH(G616,'02b_DC_Accelerator_Mix'!$A$2:$A$977,0)),0)</f>
        <v/>
      </c>
      <c r="L616" s="6">
        <f>IFERROR(INDEX('02b_DC_Accelerator_Mix'!$I$2:$I$977,MATCH(G616,'02b_DC_Accelerator_Mix'!$A$2:$A$977,0)),0)</f>
        <v/>
      </c>
      <c r="M616" s="6">
        <f>IFERROR(INDEX('02b_DC_Accelerator_Mix'!$J$2:$J$977,MATCH(G616,'02b_DC_Accelerator_Mix'!$A$2:$A$977,0)),0)</f>
        <v/>
      </c>
      <c r="N616" s="6">
        <f>IFERROR(INDEX('02b_DC_Accelerator_Mix'!$K$2:$K$977,MATCH(G616,'02b_DC_Accelerator_Mix'!$A$2:$A$977,0)),0)</f>
        <v/>
      </c>
      <c r="O616" s="6">
        <f>IFERROR(INDEX('02b_DC_Accelerator_Mix'!$L$2:$L$977,MATCH(G616,'02b_DC_Accelerator_Mix'!$A$2:$A$977,0)),0)</f>
        <v/>
      </c>
      <c r="P616" s="6">
        <f>IFERROR(INDEX('02b_DC_Accelerator_Mix'!$M$2:$M$977,MATCH(G616,'02b_DC_Accelerator_Mix'!$A$2:$A$977,0)),0)</f>
        <v/>
      </c>
      <c r="Q616" s="6">
        <f>IFERROR(INDEX('02b_DC_Accelerator_Mix'!$N$2:$N$977,MATCH(G616,'02b_DC_Accelerator_Mix'!$A$2:$A$977,0)),0)</f>
        <v/>
      </c>
      <c r="R616" s="28">
        <f>H616*I616</f>
        <v/>
      </c>
      <c r="S616" s="28">
        <f>H616*J616</f>
        <v/>
      </c>
      <c r="T616" s="28">
        <f>H616*K616</f>
        <v/>
      </c>
      <c r="U616" s="28">
        <f>H616*L616</f>
        <v/>
      </c>
      <c r="V616" s="28">
        <f>H616*M616</f>
        <v/>
      </c>
      <c r="W616" s="28">
        <f>H616*N616</f>
        <v/>
      </c>
      <c r="X616" s="28">
        <f>H616*O616</f>
        <v/>
      </c>
      <c r="Y616" s="28">
        <f>H616*P616</f>
        <v/>
      </c>
      <c r="Z616" s="28">
        <f>H616*Q616</f>
        <v/>
      </c>
      <c r="AA616" s="28">
        <f>SUM(U616:Z616)</f>
        <v/>
      </c>
      <c r="AB616" s="5">
        <f>IF(COUNTIF('02b_DC_Accelerator_Mix'!$A$2:$A$977,G616)&gt;0,"matched","missing_mix")</f>
        <v/>
      </c>
    </row>
    <row r="617">
      <c r="A617" s="5">
        <f>'02a_DC_Capacity_Alloc'!A617</f>
        <v/>
      </c>
      <c r="B617" s="5">
        <f>'02a_DC_Capacity_Alloc'!B617</f>
        <v/>
      </c>
      <c r="C617" s="5">
        <f>'02a_DC_Capacity_Alloc'!C617</f>
        <v/>
      </c>
      <c r="D617" s="5">
        <f>'02a_DC_Capacity_Alloc'!D617</f>
        <v/>
      </c>
      <c r="E617" s="5">
        <f>'02a_DC_Capacity_Alloc'!E617</f>
        <v/>
      </c>
      <c r="F617" s="5">
        <f>'02a_DC_Capacity_Alloc'!F617</f>
        <v/>
      </c>
      <c r="G617" s="5">
        <f>B617&amp;"|"&amp;E617&amp;"|"&amp;D617</f>
        <v/>
      </c>
      <c r="H617" s="28">
        <f>'02a_DC_Capacity_Alloc'!H617*'02a_DC_Capacity_Alloc'!I617*'02a_DC_Capacity_Alloc'!J617</f>
        <v/>
      </c>
      <c r="I617" s="6">
        <f>IFERROR(INDEX('02b_DC_Accelerator_Mix'!$F$2:$F$977,MATCH(G617,'02b_DC_Accelerator_Mix'!$A$2:$A$977,0)),0)</f>
        <v/>
      </c>
      <c r="J617" s="6">
        <f>IFERROR(INDEX('02b_DC_Accelerator_Mix'!$G$2:$G$977,MATCH(G617,'02b_DC_Accelerator_Mix'!$A$2:$A$977,0)),0)</f>
        <v/>
      </c>
      <c r="K617" s="6">
        <f>IFERROR(INDEX('02b_DC_Accelerator_Mix'!$H$2:$H$977,MATCH(G617,'02b_DC_Accelerator_Mix'!$A$2:$A$977,0)),0)</f>
        <v/>
      </c>
      <c r="L617" s="6">
        <f>IFERROR(INDEX('02b_DC_Accelerator_Mix'!$I$2:$I$977,MATCH(G617,'02b_DC_Accelerator_Mix'!$A$2:$A$977,0)),0)</f>
        <v/>
      </c>
      <c r="M617" s="6">
        <f>IFERROR(INDEX('02b_DC_Accelerator_Mix'!$J$2:$J$977,MATCH(G617,'02b_DC_Accelerator_Mix'!$A$2:$A$977,0)),0)</f>
        <v/>
      </c>
      <c r="N617" s="6">
        <f>IFERROR(INDEX('02b_DC_Accelerator_Mix'!$K$2:$K$977,MATCH(G617,'02b_DC_Accelerator_Mix'!$A$2:$A$977,0)),0)</f>
        <v/>
      </c>
      <c r="O617" s="6">
        <f>IFERROR(INDEX('02b_DC_Accelerator_Mix'!$L$2:$L$977,MATCH(G617,'02b_DC_Accelerator_Mix'!$A$2:$A$977,0)),0)</f>
        <v/>
      </c>
      <c r="P617" s="6">
        <f>IFERROR(INDEX('02b_DC_Accelerator_Mix'!$M$2:$M$977,MATCH(G617,'02b_DC_Accelerator_Mix'!$A$2:$A$977,0)),0)</f>
        <v/>
      </c>
      <c r="Q617" s="6">
        <f>IFERROR(INDEX('02b_DC_Accelerator_Mix'!$N$2:$N$977,MATCH(G617,'02b_DC_Accelerator_Mix'!$A$2:$A$977,0)),0)</f>
        <v/>
      </c>
      <c r="R617" s="28">
        <f>H617*I617</f>
        <v/>
      </c>
      <c r="S617" s="28">
        <f>H617*J617</f>
        <v/>
      </c>
      <c r="T617" s="28">
        <f>H617*K617</f>
        <v/>
      </c>
      <c r="U617" s="28">
        <f>H617*L617</f>
        <v/>
      </c>
      <c r="V617" s="28">
        <f>H617*M617</f>
        <v/>
      </c>
      <c r="W617" s="28">
        <f>H617*N617</f>
        <v/>
      </c>
      <c r="X617" s="28">
        <f>H617*O617</f>
        <v/>
      </c>
      <c r="Y617" s="28">
        <f>H617*P617</f>
        <v/>
      </c>
      <c r="Z617" s="28">
        <f>H617*Q617</f>
        <v/>
      </c>
      <c r="AA617" s="28">
        <f>SUM(U617:Z617)</f>
        <v/>
      </c>
      <c r="AB617" s="5">
        <f>IF(COUNTIF('02b_DC_Accelerator_Mix'!$A$2:$A$977,G617)&gt;0,"matched","missing_mix")</f>
        <v/>
      </c>
    </row>
    <row r="618">
      <c r="A618" s="5">
        <f>'02a_DC_Capacity_Alloc'!A618</f>
        <v/>
      </c>
      <c r="B618" s="5">
        <f>'02a_DC_Capacity_Alloc'!B618</f>
        <v/>
      </c>
      <c r="C618" s="5">
        <f>'02a_DC_Capacity_Alloc'!C618</f>
        <v/>
      </c>
      <c r="D618" s="5">
        <f>'02a_DC_Capacity_Alloc'!D618</f>
        <v/>
      </c>
      <c r="E618" s="5">
        <f>'02a_DC_Capacity_Alloc'!E618</f>
        <v/>
      </c>
      <c r="F618" s="5">
        <f>'02a_DC_Capacity_Alloc'!F618</f>
        <v/>
      </c>
      <c r="G618" s="5">
        <f>B618&amp;"|"&amp;E618&amp;"|"&amp;D618</f>
        <v/>
      </c>
      <c r="H618" s="28">
        <f>'02a_DC_Capacity_Alloc'!H618*'02a_DC_Capacity_Alloc'!I618*'02a_DC_Capacity_Alloc'!J618</f>
        <v/>
      </c>
      <c r="I618" s="6">
        <f>IFERROR(INDEX('02b_DC_Accelerator_Mix'!$F$2:$F$977,MATCH(G618,'02b_DC_Accelerator_Mix'!$A$2:$A$977,0)),0)</f>
        <v/>
      </c>
      <c r="J618" s="6">
        <f>IFERROR(INDEX('02b_DC_Accelerator_Mix'!$G$2:$G$977,MATCH(G618,'02b_DC_Accelerator_Mix'!$A$2:$A$977,0)),0)</f>
        <v/>
      </c>
      <c r="K618" s="6">
        <f>IFERROR(INDEX('02b_DC_Accelerator_Mix'!$H$2:$H$977,MATCH(G618,'02b_DC_Accelerator_Mix'!$A$2:$A$977,0)),0)</f>
        <v/>
      </c>
      <c r="L618" s="6">
        <f>IFERROR(INDEX('02b_DC_Accelerator_Mix'!$I$2:$I$977,MATCH(G618,'02b_DC_Accelerator_Mix'!$A$2:$A$977,0)),0)</f>
        <v/>
      </c>
      <c r="M618" s="6">
        <f>IFERROR(INDEX('02b_DC_Accelerator_Mix'!$J$2:$J$977,MATCH(G618,'02b_DC_Accelerator_Mix'!$A$2:$A$977,0)),0)</f>
        <v/>
      </c>
      <c r="N618" s="6">
        <f>IFERROR(INDEX('02b_DC_Accelerator_Mix'!$K$2:$K$977,MATCH(G618,'02b_DC_Accelerator_Mix'!$A$2:$A$977,0)),0)</f>
        <v/>
      </c>
      <c r="O618" s="6">
        <f>IFERROR(INDEX('02b_DC_Accelerator_Mix'!$L$2:$L$977,MATCH(G618,'02b_DC_Accelerator_Mix'!$A$2:$A$977,0)),0)</f>
        <v/>
      </c>
      <c r="P618" s="6">
        <f>IFERROR(INDEX('02b_DC_Accelerator_Mix'!$M$2:$M$977,MATCH(G618,'02b_DC_Accelerator_Mix'!$A$2:$A$977,0)),0)</f>
        <v/>
      </c>
      <c r="Q618" s="6">
        <f>IFERROR(INDEX('02b_DC_Accelerator_Mix'!$N$2:$N$977,MATCH(G618,'02b_DC_Accelerator_Mix'!$A$2:$A$977,0)),0)</f>
        <v/>
      </c>
      <c r="R618" s="28">
        <f>H618*I618</f>
        <v/>
      </c>
      <c r="S618" s="28">
        <f>H618*J618</f>
        <v/>
      </c>
      <c r="T618" s="28">
        <f>H618*K618</f>
        <v/>
      </c>
      <c r="U618" s="28">
        <f>H618*L618</f>
        <v/>
      </c>
      <c r="V618" s="28">
        <f>H618*M618</f>
        <v/>
      </c>
      <c r="W618" s="28">
        <f>H618*N618</f>
        <v/>
      </c>
      <c r="X618" s="28">
        <f>H618*O618</f>
        <v/>
      </c>
      <c r="Y618" s="28">
        <f>H618*P618</f>
        <v/>
      </c>
      <c r="Z618" s="28">
        <f>H618*Q618</f>
        <v/>
      </c>
      <c r="AA618" s="28">
        <f>SUM(U618:Z618)</f>
        <v/>
      </c>
      <c r="AB618" s="5">
        <f>IF(COUNTIF('02b_DC_Accelerator_Mix'!$A$2:$A$977,G618)&gt;0,"matched","missing_mix")</f>
        <v/>
      </c>
    </row>
    <row r="619">
      <c r="A619" s="5">
        <f>'02a_DC_Capacity_Alloc'!A619</f>
        <v/>
      </c>
      <c r="B619" s="5">
        <f>'02a_DC_Capacity_Alloc'!B619</f>
        <v/>
      </c>
      <c r="C619" s="5">
        <f>'02a_DC_Capacity_Alloc'!C619</f>
        <v/>
      </c>
      <c r="D619" s="5">
        <f>'02a_DC_Capacity_Alloc'!D619</f>
        <v/>
      </c>
      <c r="E619" s="5">
        <f>'02a_DC_Capacity_Alloc'!E619</f>
        <v/>
      </c>
      <c r="F619" s="5">
        <f>'02a_DC_Capacity_Alloc'!F619</f>
        <v/>
      </c>
      <c r="G619" s="5">
        <f>B619&amp;"|"&amp;E619&amp;"|"&amp;D619</f>
        <v/>
      </c>
      <c r="H619" s="28">
        <f>'02a_DC_Capacity_Alloc'!H619*'02a_DC_Capacity_Alloc'!I619*'02a_DC_Capacity_Alloc'!J619</f>
        <v/>
      </c>
      <c r="I619" s="6">
        <f>IFERROR(INDEX('02b_DC_Accelerator_Mix'!$F$2:$F$977,MATCH(G619,'02b_DC_Accelerator_Mix'!$A$2:$A$977,0)),0)</f>
        <v/>
      </c>
      <c r="J619" s="6">
        <f>IFERROR(INDEX('02b_DC_Accelerator_Mix'!$G$2:$G$977,MATCH(G619,'02b_DC_Accelerator_Mix'!$A$2:$A$977,0)),0)</f>
        <v/>
      </c>
      <c r="K619" s="6">
        <f>IFERROR(INDEX('02b_DC_Accelerator_Mix'!$H$2:$H$977,MATCH(G619,'02b_DC_Accelerator_Mix'!$A$2:$A$977,0)),0)</f>
        <v/>
      </c>
      <c r="L619" s="6">
        <f>IFERROR(INDEX('02b_DC_Accelerator_Mix'!$I$2:$I$977,MATCH(G619,'02b_DC_Accelerator_Mix'!$A$2:$A$977,0)),0)</f>
        <v/>
      </c>
      <c r="M619" s="6">
        <f>IFERROR(INDEX('02b_DC_Accelerator_Mix'!$J$2:$J$977,MATCH(G619,'02b_DC_Accelerator_Mix'!$A$2:$A$977,0)),0)</f>
        <v/>
      </c>
      <c r="N619" s="6">
        <f>IFERROR(INDEX('02b_DC_Accelerator_Mix'!$K$2:$K$977,MATCH(G619,'02b_DC_Accelerator_Mix'!$A$2:$A$977,0)),0)</f>
        <v/>
      </c>
      <c r="O619" s="6">
        <f>IFERROR(INDEX('02b_DC_Accelerator_Mix'!$L$2:$L$977,MATCH(G619,'02b_DC_Accelerator_Mix'!$A$2:$A$977,0)),0)</f>
        <v/>
      </c>
      <c r="P619" s="6">
        <f>IFERROR(INDEX('02b_DC_Accelerator_Mix'!$M$2:$M$977,MATCH(G619,'02b_DC_Accelerator_Mix'!$A$2:$A$977,0)),0)</f>
        <v/>
      </c>
      <c r="Q619" s="6">
        <f>IFERROR(INDEX('02b_DC_Accelerator_Mix'!$N$2:$N$977,MATCH(G619,'02b_DC_Accelerator_Mix'!$A$2:$A$977,0)),0)</f>
        <v/>
      </c>
      <c r="R619" s="28">
        <f>H619*I619</f>
        <v/>
      </c>
      <c r="S619" s="28">
        <f>H619*J619</f>
        <v/>
      </c>
      <c r="T619" s="28">
        <f>H619*K619</f>
        <v/>
      </c>
      <c r="U619" s="28">
        <f>H619*L619</f>
        <v/>
      </c>
      <c r="V619" s="28">
        <f>H619*M619</f>
        <v/>
      </c>
      <c r="W619" s="28">
        <f>H619*N619</f>
        <v/>
      </c>
      <c r="X619" s="28">
        <f>H619*O619</f>
        <v/>
      </c>
      <c r="Y619" s="28">
        <f>H619*P619</f>
        <v/>
      </c>
      <c r="Z619" s="28">
        <f>H619*Q619</f>
        <v/>
      </c>
      <c r="AA619" s="28">
        <f>SUM(U619:Z619)</f>
        <v/>
      </c>
      <c r="AB619" s="5">
        <f>IF(COUNTIF('02b_DC_Accelerator_Mix'!$A$2:$A$977,G619)&gt;0,"matched","missing_mix")</f>
        <v/>
      </c>
    </row>
    <row r="620">
      <c r="A620" s="5">
        <f>'02a_DC_Capacity_Alloc'!A620</f>
        <v/>
      </c>
      <c r="B620" s="5">
        <f>'02a_DC_Capacity_Alloc'!B620</f>
        <v/>
      </c>
      <c r="C620" s="5">
        <f>'02a_DC_Capacity_Alloc'!C620</f>
        <v/>
      </c>
      <c r="D620" s="5">
        <f>'02a_DC_Capacity_Alloc'!D620</f>
        <v/>
      </c>
      <c r="E620" s="5">
        <f>'02a_DC_Capacity_Alloc'!E620</f>
        <v/>
      </c>
      <c r="F620" s="5">
        <f>'02a_DC_Capacity_Alloc'!F620</f>
        <v/>
      </c>
      <c r="G620" s="5">
        <f>B620&amp;"|"&amp;E620&amp;"|"&amp;D620</f>
        <v/>
      </c>
      <c r="H620" s="28">
        <f>'02a_DC_Capacity_Alloc'!H620*'02a_DC_Capacity_Alloc'!I620*'02a_DC_Capacity_Alloc'!J620</f>
        <v/>
      </c>
      <c r="I620" s="6">
        <f>IFERROR(INDEX('02b_DC_Accelerator_Mix'!$F$2:$F$977,MATCH(G620,'02b_DC_Accelerator_Mix'!$A$2:$A$977,0)),0)</f>
        <v/>
      </c>
      <c r="J620" s="6">
        <f>IFERROR(INDEX('02b_DC_Accelerator_Mix'!$G$2:$G$977,MATCH(G620,'02b_DC_Accelerator_Mix'!$A$2:$A$977,0)),0)</f>
        <v/>
      </c>
      <c r="K620" s="6">
        <f>IFERROR(INDEX('02b_DC_Accelerator_Mix'!$H$2:$H$977,MATCH(G620,'02b_DC_Accelerator_Mix'!$A$2:$A$977,0)),0)</f>
        <v/>
      </c>
      <c r="L620" s="6">
        <f>IFERROR(INDEX('02b_DC_Accelerator_Mix'!$I$2:$I$977,MATCH(G620,'02b_DC_Accelerator_Mix'!$A$2:$A$977,0)),0)</f>
        <v/>
      </c>
      <c r="M620" s="6">
        <f>IFERROR(INDEX('02b_DC_Accelerator_Mix'!$J$2:$J$977,MATCH(G620,'02b_DC_Accelerator_Mix'!$A$2:$A$977,0)),0)</f>
        <v/>
      </c>
      <c r="N620" s="6">
        <f>IFERROR(INDEX('02b_DC_Accelerator_Mix'!$K$2:$K$977,MATCH(G620,'02b_DC_Accelerator_Mix'!$A$2:$A$977,0)),0)</f>
        <v/>
      </c>
      <c r="O620" s="6">
        <f>IFERROR(INDEX('02b_DC_Accelerator_Mix'!$L$2:$L$977,MATCH(G620,'02b_DC_Accelerator_Mix'!$A$2:$A$977,0)),0)</f>
        <v/>
      </c>
      <c r="P620" s="6">
        <f>IFERROR(INDEX('02b_DC_Accelerator_Mix'!$M$2:$M$977,MATCH(G620,'02b_DC_Accelerator_Mix'!$A$2:$A$977,0)),0)</f>
        <v/>
      </c>
      <c r="Q620" s="6">
        <f>IFERROR(INDEX('02b_DC_Accelerator_Mix'!$N$2:$N$977,MATCH(G620,'02b_DC_Accelerator_Mix'!$A$2:$A$977,0)),0)</f>
        <v/>
      </c>
      <c r="R620" s="28">
        <f>H620*I620</f>
        <v/>
      </c>
      <c r="S620" s="28">
        <f>H620*J620</f>
        <v/>
      </c>
      <c r="T620" s="28">
        <f>H620*K620</f>
        <v/>
      </c>
      <c r="U620" s="28">
        <f>H620*L620</f>
        <v/>
      </c>
      <c r="V620" s="28">
        <f>H620*M620</f>
        <v/>
      </c>
      <c r="W620" s="28">
        <f>H620*N620</f>
        <v/>
      </c>
      <c r="X620" s="28">
        <f>H620*O620</f>
        <v/>
      </c>
      <c r="Y620" s="28">
        <f>H620*P620</f>
        <v/>
      </c>
      <c r="Z620" s="28">
        <f>H620*Q620</f>
        <v/>
      </c>
      <c r="AA620" s="28">
        <f>SUM(U620:Z620)</f>
        <v/>
      </c>
      <c r="AB620" s="5">
        <f>IF(COUNTIF('02b_DC_Accelerator_Mix'!$A$2:$A$977,G620)&gt;0,"matched","missing_mix")</f>
        <v/>
      </c>
    </row>
    <row r="621">
      <c r="A621" s="5">
        <f>'02a_DC_Capacity_Alloc'!A621</f>
        <v/>
      </c>
      <c r="B621" s="5">
        <f>'02a_DC_Capacity_Alloc'!B621</f>
        <v/>
      </c>
      <c r="C621" s="5">
        <f>'02a_DC_Capacity_Alloc'!C621</f>
        <v/>
      </c>
      <c r="D621" s="5">
        <f>'02a_DC_Capacity_Alloc'!D621</f>
        <v/>
      </c>
      <c r="E621" s="5">
        <f>'02a_DC_Capacity_Alloc'!E621</f>
        <v/>
      </c>
      <c r="F621" s="5">
        <f>'02a_DC_Capacity_Alloc'!F621</f>
        <v/>
      </c>
      <c r="G621" s="5">
        <f>B621&amp;"|"&amp;E621&amp;"|"&amp;D621</f>
        <v/>
      </c>
      <c r="H621" s="28">
        <f>'02a_DC_Capacity_Alloc'!H621*'02a_DC_Capacity_Alloc'!I621*'02a_DC_Capacity_Alloc'!J621</f>
        <v/>
      </c>
      <c r="I621" s="6">
        <f>IFERROR(INDEX('02b_DC_Accelerator_Mix'!$F$2:$F$977,MATCH(G621,'02b_DC_Accelerator_Mix'!$A$2:$A$977,0)),0)</f>
        <v/>
      </c>
      <c r="J621" s="6">
        <f>IFERROR(INDEX('02b_DC_Accelerator_Mix'!$G$2:$G$977,MATCH(G621,'02b_DC_Accelerator_Mix'!$A$2:$A$977,0)),0)</f>
        <v/>
      </c>
      <c r="K621" s="6">
        <f>IFERROR(INDEX('02b_DC_Accelerator_Mix'!$H$2:$H$977,MATCH(G621,'02b_DC_Accelerator_Mix'!$A$2:$A$977,0)),0)</f>
        <v/>
      </c>
      <c r="L621" s="6">
        <f>IFERROR(INDEX('02b_DC_Accelerator_Mix'!$I$2:$I$977,MATCH(G621,'02b_DC_Accelerator_Mix'!$A$2:$A$977,0)),0)</f>
        <v/>
      </c>
      <c r="M621" s="6">
        <f>IFERROR(INDEX('02b_DC_Accelerator_Mix'!$J$2:$J$977,MATCH(G621,'02b_DC_Accelerator_Mix'!$A$2:$A$977,0)),0)</f>
        <v/>
      </c>
      <c r="N621" s="6">
        <f>IFERROR(INDEX('02b_DC_Accelerator_Mix'!$K$2:$K$977,MATCH(G621,'02b_DC_Accelerator_Mix'!$A$2:$A$977,0)),0)</f>
        <v/>
      </c>
      <c r="O621" s="6">
        <f>IFERROR(INDEX('02b_DC_Accelerator_Mix'!$L$2:$L$977,MATCH(G621,'02b_DC_Accelerator_Mix'!$A$2:$A$977,0)),0)</f>
        <v/>
      </c>
      <c r="P621" s="6">
        <f>IFERROR(INDEX('02b_DC_Accelerator_Mix'!$M$2:$M$977,MATCH(G621,'02b_DC_Accelerator_Mix'!$A$2:$A$977,0)),0)</f>
        <v/>
      </c>
      <c r="Q621" s="6">
        <f>IFERROR(INDEX('02b_DC_Accelerator_Mix'!$N$2:$N$977,MATCH(G621,'02b_DC_Accelerator_Mix'!$A$2:$A$977,0)),0)</f>
        <v/>
      </c>
      <c r="R621" s="28">
        <f>H621*I621</f>
        <v/>
      </c>
      <c r="S621" s="28">
        <f>H621*J621</f>
        <v/>
      </c>
      <c r="T621" s="28">
        <f>H621*K621</f>
        <v/>
      </c>
      <c r="U621" s="28">
        <f>H621*L621</f>
        <v/>
      </c>
      <c r="V621" s="28">
        <f>H621*M621</f>
        <v/>
      </c>
      <c r="W621" s="28">
        <f>H621*N621</f>
        <v/>
      </c>
      <c r="X621" s="28">
        <f>H621*O621</f>
        <v/>
      </c>
      <c r="Y621" s="28">
        <f>H621*P621</f>
        <v/>
      </c>
      <c r="Z621" s="28">
        <f>H621*Q621</f>
        <v/>
      </c>
      <c r="AA621" s="28">
        <f>SUM(U621:Z621)</f>
        <v/>
      </c>
      <c r="AB621" s="5">
        <f>IF(COUNTIF('02b_DC_Accelerator_Mix'!$A$2:$A$977,G621)&gt;0,"matched","missing_mix")</f>
        <v/>
      </c>
    </row>
    <row r="622">
      <c r="A622" s="5">
        <f>'02a_DC_Capacity_Alloc'!A622</f>
        <v/>
      </c>
      <c r="B622" s="5">
        <f>'02a_DC_Capacity_Alloc'!B622</f>
        <v/>
      </c>
      <c r="C622" s="5">
        <f>'02a_DC_Capacity_Alloc'!C622</f>
        <v/>
      </c>
      <c r="D622" s="5">
        <f>'02a_DC_Capacity_Alloc'!D622</f>
        <v/>
      </c>
      <c r="E622" s="5">
        <f>'02a_DC_Capacity_Alloc'!E622</f>
        <v/>
      </c>
      <c r="F622" s="5">
        <f>'02a_DC_Capacity_Alloc'!F622</f>
        <v/>
      </c>
      <c r="G622" s="5">
        <f>B622&amp;"|"&amp;E622&amp;"|"&amp;D622</f>
        <v/>
      </c>
      <c r="H622" s="28">
        <f>'02a_DC_Capacity_Alloc'!H622*'02a_DC_Capacity_Alloc'!I622*'02a_DC_Capacity_Alloc'!J622</f>
        <v/>
      </c>
      <c r="I622" s="6">
        <f>IFERROR(INDEX('02b_DC_Accelerator_Mix'!$F$2:$F$977,MATCH(G622,'02b_DC_Accelerator_Mix'!$A$2:$A$977,0)),0)</f>
        <v/>
      </c>
      <c r="J622" s="6">
        <f>IFERROR(INDEX('02b_DC_Accelerator_Mix'!$G$2:$G$977,MATCH(G622,'02b_DC_Accelerator_Mix'!$A$2:$A$977,0)),0)</f>
        <v/>
      </c>
      <c r="K622" s="6">
        <f>IFERROR(INDEX('02b_DC_Accelerator_Mix'!$H$2:$H$977,MATCH(G622,'02b_DC_Accelerator_Mix'!$A$2:$A$977,0)),0)</f>
        <v/>
      </c>
      <c r="L622" s="6">
        <f>IFERROR(INDEX('02b_DC_Accelerator_Mix'!$I$2:$I$977,MATCH(G622,'02b_DC_Accelerator_Mix'!$A$2:$A$977,0)),0)</f>
        <v/>
      </c>
      <c r="M622" s="6">
        <f>IFERROR(INDEX('02b_DC_Accelerator_Mix'!$J$2:$J$977,MATCH(G622,'02b_DC_Accelerator_Mix'!$A$2:$A$977,0)),0)</f>
        <v/>
      </c>
      <c r="N622" s="6">
        <f>IFERROR(INDEX('02b_DC_Accelerator_Mix'!$K$2:$K$977,MATCH(G622,'02b_DC_Accelerator_Mix'!$A$2:$A$977,0)),0)</f>
        <v/>
      </c>
      <c r="O622" s="6">
        <f>IFERROR(INDEX('02b_DC_Accelerator_Mix'!$L$2:$L$977,MATCH(G622,'02b_DC_Accelerator_Mix'!$A$2:$A$977,0)),0)</f>
        <v/>
      </c>
      <c r="P622" s="6">
        <f>IFERROR(INDEX('02b_DC_Accelerator_Mix'!$M$2:$M$977,MATCH(G622,'02b_DC_Accelerator_Mix'!$A$2:$A$977,0)),0)</f>
        <v/>
      </c>
      <c r="Q622" s="6">
        <f>IFERROR(INDEX('02b_DC_Accelerator_Mix'!$N$2:$N$977,MATCH(G622,'02b_DC_Accelerator_Mix'!$A$2:$A$977,0)),0)</f>
        <v/>
      </c>
      <c r="R622" s="28">
        <f>H622*I622</f>
        <v/>
      </c>
      <c r="S622" s="28">
        <f>H622*J622</f>
        <v/>
      </c>
      <c r="T622" s="28">
        <f>H622*K622</f>
        <v/>
      </c>
      <c r="U622" s="28">
        <f>H622*L622</f>
        <v/>
      </c>
      <c r="V622" s="28">
        <f>H622*M622</f>
        <v/>
      </c>
      <c r="W622" s="28">
        <f>H622*N622</f>
        <v/>
      </c>
      <c r="X622" s="28">
        <f>H622*O622</f>
        <v/>
      </c>
      <c r="Y622" s="28">
        <f>H622*P622</f>
        <v/>
      </c>
      <c r="Z622" s="28">
        <f>H622*Q622</f>
        <v/>
      </c>
      <c r="AA622" s="28">
        <f>SUM(U622:Z622)</f>
        <v/>
      </c>
      <c r="AB622" s="5">
        <f>IF(COUNTIF('02b_DC_Accelerator_Mix'!$A$2:$A$977,G622)&gt;0,"matched","missing_mix")</f>
        <v/>
      </c>
    </row>
    <row r="623">
      <c r="A623" s="5">
        <f>'02a_DC_Capacity_Alloc'!A623</f>
        <v/>
      </c>
      <c r="B623" s="5">
        <f>'02a_DC_Capacity_Alloc'!B623</f>
        <v/>
      </c>
      <c r="C623" s="5">
        <f>'02a_DC_Capacity_Alloc'!C623</f>
        <v/>
      </c>
      <c r="D623" s="5">
        <f>'02a_DC_Capacity_Alloc'!D623</f>
        <v/>
      </c>
      <c r="E623" s="5">
        <f>'02a_DC_Capacity_Alloc'!E623</f>
        <v/>
      </c>
      <c r="F623" s="5">
        <f>'02a_DC_Capacity_Alloc'!F623</f>
        <v/>
      </c>
      <c r="G623" s="5">
        <f>B623&amp;"|"&amp;E623&amp;"|"&amp;D623</f>
        <v/>
      </c>
      <c r="H623" s="28">
        <f>'02a_DC_Capacity_Alloc'!H623*'02a_DC_Capacity_Alloc'!I623*'02a_DC_Capacity_Alloc'!J623</f>
        <v/>
      </c>
      <c r="I623" s="6">
        <f>IFERROR(INDEX('02b_DC_Accelerator_Mix'!$F$2:$F$977,MATCH(G623,'02b_DC_Accelerator_Mix'!$A$2:$A$977,0)),0)</f>
        <v/>
      </c>
      <c r="J623" s="6">
        <f>IFERROR(INDEX('02b_DC_Accelerator_Mix'!$G$2:$G$977,MATCH(G623,'02b_DC_Accelerator_Mix'!$A$2:$A$977,0)),0)</f>
        <v/>
      </c>
      <c r="K623" s="6">
        <f>IFERROR(INDEX('02b_DC_Accelerator_Mix'!$H$2:$H$977,MATCH(G623,'02b_DC_Accelerator_Mix'!$A$2:$A$977,0)),0)</f>
        <v/>
      </c>
      <c r="L623" s="6">
        <f>IFERROR(INDEX('02b_DC_Accelerator_Mix'!$I$2:$I$977,MATCH(G623,'02b_DC_Accelerator_Mix'!$A$2:$A$977,0)),0)</f>
        <v/>
      </c>
      <c r="M623" s="6">
        <f>IFERROR(INDEX('02b_DC_Accelerator_Mix'!$J$2:$J$977,MATCH(G623,'02b_DC_Accelerator_Mix'!$A$2:$A$977,0)),0)</f>
        <v/>
      </c>
      <c r="N623" s="6">
        <f>IFERROR(INDEX('02b_DC_Accelerator_Mix'!$K$2:$K$977,MATCH(G623,'02b_DC_Accelerator_Mix'!$A$2:$A$977,0)),0)</f>
        <v/>
      </c>
      <c r="O623" s="6">
        <f>IFERROR(INDEX('02b_DC_Accelerator_Mix'!$L$2:$L$977,MATCH(G623,'02b_DC_Accelerator_Mix'!$A$2:$A$977,0)),0)</f>
        <v/>
      </c>
      <c r="P623" s="6">
        <f>IFERROR(INDEX('02b_DC_Accelerator_Mix'!$M$2:$M$977,MATCH(G623,'02b_DC_Accelerator_Mix'!$A$2:$A$977,0)),0)</f>
        <v/>
      </c>
      <c r="Q623" s="6">
        <f>IFERROR(INDEX('02b_DC_Accelerator_Mix'!$N$2:$N$977,MATCH(G623,'02b_DC_Accelerator_Mix'!$A$2:$A$977,0)),0)</f>
        <v/>
      </c>
      <c r="R623" s="28">
        <f>H623*I623</f>
        <v/>
      </c>
      <c r="S623" s="28">
        <f>H623*J623</f>
        <v/>
      </c>
      <c r="T623" s="28">
        <f>H623*K623</f>
        <v/>
      </c>
      <c r="U623" s="28">
        <f>H623*L623</f>
        <v/>
      </c>
      <c r="V623" s="28">
        <f>H623*M623</f>
        <v/>
      </c>
      <c r="W623" s="28">
        <f>H623*N623</f>
        <v/>
      </c>
      <c r="X623" s="28">
        <f>H623*O623</f>
        <v/>
      </c>
      <c r="Y623" s="28">
        <f>H623*P623</f>
        <v/>
      </c>
      <c r="Z623" s="28">
        <f>H623*Q623</f>
        <v/>
      </c>
      <c r="AA623" s="28">
        <f>SUM(U623:Z623)</f>
        <v/>
      </c>
      <c r="AB623" s="5">
        <f>IF(COUNTIF('02b_DC_Accelerator_Mix'!$A$2:$A$977,G623)&gt;0,"matched","missing_mix")</f>
        <v/>
      </c>
    </row>
    <row r="624">
      <c r="A624" s="5">
        <f>'02a_DC_Capacity_Alloc'!A624</f>
        <v/>
      </c>
      <c r="B624" s="5">
        <f>'02a_DC_Capacity_Alloc'!B624</f>
        <v/>
      </c>
      <c r="C624" s="5">
        <f>'02a_DC_Capacity_Alloc'!C624</f>
        <v/>
      </c>
      <c r="D624" s="5">
        <f>'02a_DC_Capacity_Alloc'!D624</f>
        <v/>
      </c>
      <c r="E624" s="5">
        <f>'02a_DC_Capacity_Alloc'!E624</f>
        <v/>
      </c>
      <c r="F624" s="5">
        <f>'02a_DC_Capacity_Alloc'!F624</f>
        <v/>
      </c>
      <c r="G624" s="5">
        <f>B624&amp;"|"&amp;E624&amp;"|"&amp;D624</f>
        <v/>
      </c>
      <c r="H624" s="28">
        <f>'02a_DC_Capacity_Alloc'!H624*'02a_DC_Capacity_Alloc'!I624*'02a_DC_Capacity_Alloc'!J624</f>
        <v/>
      </c>
      <c r="I624" s="6">
        <f>IFERROR(INDEX('02b_DC_Accelerator_Mix'!$F$2:$F$977,MATCH(G624,'02b_DC_Accelerator_Mix'!$A$2:$A$977,0)),0)</f>
        <v/>
      </c>
      <c r="J624" s="6">
        <f>IFERROR(INDEX('02b_DC_Accelerator_Mix'!$G$2:$G$977,MATCH(G624,'02b_DC_Accelerator_Mix'!$A$2:$A$977,0)),0)</f>
        <v/>
      </c>
      <c r="K624" s="6">
        <f>IFERROR(INDEX('02b_DC_Accelerator_Mix'!$H$2:$H$977,MATCH(G624,'02b_DC_Accelerator_Mix'!$A$2:$A$977,0)),0)</f>
        <v/>
      </c>
      <c r="L624" s="6">
        <f>IFERROR(INDEX('02b_DC_Accelerator_Mix'!$I$2:$I$977,MATCH(G624,'02b_DC_Accelerator_Mix'!$A$2:$A$977,0)),0)</f>
        <v/>
      </c>
      <c r="M624" s="6">
        <f>IFERROR(INDEX('02b_DC_Accelerator_Mix'!$J$2:$J$977,MATCH(G624,'02b_DC_Accelerator_Mix'!$A$2:$A$977,0)),0)</f>
        <v/>
      </c>
      <c r="N624" s="6">
        <f>IFERROR(INDEX('02b_DC_Accelerator_Mix'!$K$2:$K$977,MATCH(G624,'02b_DC_Accelerator_Mix'!$A$2:$A$977,0)),0)</f>
        <v/>
      </c>
      <c r="O624" s="6">
        <f>IFERROR(INDEX('02b_DC_Accelerator_Mix'!$L$2:$L$977,MATCH(G624,'02b_DC_Accelerator_Mix'!$A$2:$A$977,0)),0)</f>
        <v/>
      </c>
      <c r="P624" s="6">
        <f>IFERROR(INDEX('02b_DC_Accelerator_Mix'!$M$2:$M$977,MATCH(G624,'02b_DC_Accelerator_Mix'!$A$2:$A$977,0)),0)</f>
        <v/>
      </c>
      <c r="Q624" s="6">
        <f>IFERROR(INDEX('02b_DC_Accelerator_Mix'!$N$2:$N$977,MATCH(G624,'02b_DC_Accelerator_Mix'!$A$2:$A$977,0)),0)</f>
        <v/>
      </c>
      <c r="R624" s="28">
        <f>H624*I624</f>
        <v/>
      </c>
      <c r="S624" s="28">
        <f>H624*J624</f>
        <v/>
      </c>
      <c r="T624" s="28">
        <f>H624*K624</f>
        <v/>
      </c>
      <c r="U624" s="28">
        <f>H624*L624</f>
        <v/>
      </c>
      <c r="V624" s="28">
        <f>H624*M624</f>
        <v/>
      </c>
      <c r="W624" s="28">
        <f>H624*N624</f>
        <v/>
      </c>
      <c r="X624" s="28">
        <f>H624*O624</f>
        <v/>
      </c>
      <c r="Y624" s="28">
        <f>H624*P624</f>
        <v/>
      </c>
      <c r="Z624" s="28">
        <f>H624*Q624</f>
        <v/>
      </c>
      <c r="AA624" s="28">
        <f>SUM(U624:Z624)</f>
        <v/>
      </c>
      <c r="AB624" s="5">
        <f>IF(COUNTIF('02b_DC_Accelerator_Mix'!$A$2:$A$977,G624)&gt;0,"matched","missing_mix")</f>
        <v/>
      </c>
    </row>
    <row r="625">
      <c r="A625" s="5">
        <f>'02a_DC_Capacity_Alloc'!A625</f>
        <v/>
      </c>
      <c r="B625" s="5">
        <f>'02a_DC_Capacity_Alloc'!B625</f>
        <v/>
      </c>
      <c r="C625" s="5">
        <f>'02a_DC_Capacity_Alloc'!C625</f>
        <v/>
      </c>
      <c r="D625" s="5">
        <f>'02a_DC_Capacity_Alloc'!D625</f>
        <v/>
      </c>
      <c r="E625" s="5">
        <f>'02a_DC_Capacity_Alloc'!E625</f>
        <v/>
      </c>
      <c r="F625" s="5">
        <f>'02a_DC_Capacity_Alloc'!F625</f>
        <v/>
      </c>
      <c r="G625" s="5">
        <f>B625&amp;"|"&amp;E625&amp;"|"&amp;D625</f>
        <v/>
      </c>
      <c r="H625" s="28">
        <f>'02a_DC_Capacity_Alloc'!H625*'02a_DC_Capacity_Alloc'!I625*'02a_DC_Capacity_Alloc'!J625</f>
        <v/>
      </c>
      <c r="I625" s="6">
        <f>IFERROR(INDEX('02b_DC_Accelerator_Mix'!$F$2:$F$977,MATCH(G625,'02b_DC_Accelerator_Mix'!$A$2:$A$977,0)),0)</f>
        <v/>
      </c>
      <c r="J625" s="6">
        <f>IFERROR(INDEX('02b_DC_Accelerator_Mix'!$G$2:$G$977,MATCH(G625,'02b_DC_Accelerator_Mix'!$A$2:$A$977,0)),0)</f>
        <v/>
      </c>
      <c r="K625" s="6">
        <f>IFERROR(INDEX('02b_DC_Accelerator_Mix'!$H$2:$H$977,MATCH(G625,'02b_DC_Accelerator_Mix'!$A$2:$A$977,0)),0)</f>
        <v/>
      </c>
      <c r="L625" s="6">
        <f>IFERROR(INDEX('02b_DC_Accelerator_Mix'!$I$2:$I$977,MATCH(G625,'02b_DC_Accelerator_Mix'!$A$2:$A$977,0)),0)</f>
        <v/>
      </c>
      <c r="M625" s="6">
        <f>IFERROR(INDEX('02b_DC_Accelerator_Mix'!$J$2:$J$977,MATCH(G625,'02b_DC_Accelerator_Mix'!$A$2:$A$977,0)),0)</f>
        <v/>
      </c>
      <c r="N625" s="6">
        <f>IFERROR(INDEX('02b_DC_Accelerator_Mix'!$K$2:$K$977,MATCH(G625,'02b_DC_Accelerator_Mix'!$A$2:$A$977,0)),0)</f>
        <v/>
      </c>
      <c r="O625" s="6">
        <f>IFERROR(INDEX('02b_DC_Accelerator_Mix'!$L$2:$L$977,MATCH(G625,'02b_DC_Accelerator_Mix'!$A$2:$A$977,0)),0)</f>
        <v/>
      </c>
      <c r="P625" s="6">
        <f>IFERROR(INDEX('02b_DC_Accelerator_Mix'!$M$2:$M$977,MATCH(G625,'02b_DC_Accelerator_Mix'!$A$2:$A$977,0)),0)</f>
        <v/>
      </c>
      <c r="Q625" s="6">
        <f>IFERROR(INDEX('02b_DC_Accelerator_Mix'!$N$2:$N$977,MATCH(G625,'02b_DC_Accelerator_Mix'!$A$2:$A$977,0)),0)</f>
        <v/>
      </c>
      <c r="R625" s="28">
        <f>H625*I625</f>
        <v/>
      </c>
      <c r="S625" s="28">
        <f>H625*J625</f>
        <v/>
      </c>
      <c r="T625" s="28">
        <f>H625*K625</f>
        <v/>
      </c>
      <c r="U625" s="28">
        <f>H625*L625</f>
        <v/>
      </c>
      <c r="V625" s="28">
        <f>H625*M625</f>
        <v/>
      </c>
      <c r="W625" s="28">
        <f>H625*N625</f>
        <v/>
      </c>
      <c r="X625" s="28">
        <f>H625*O625</f>
        <v/>
      </c>
      <c r="Y625" s="28">
        <f>H625*P625</f>
        <v/>
      </c>
      <c r="Z625" s="28">
        <f>H625*Q625</f>
        <v/>
      </c>
      <c r="AA625" s="28">
        <f>SUM(U625:Z625)</f>
        <v/>
      </c>
      <c r="AB625" s="5">
        <f>IF(COUNTIF('02b_DC_Accelerator_Mix'!$A$2:$A$977,G625)&gt;0,"matched","missing_mix")</f>
        <v/>
      </c>
    </row>
    <row r="626">
      <c r="A626" s="5">
        <f>'02a_DC_Capacity_Alloc'!A626</f>
        <v/>
      </c>
      <c r="B626" s="5">
        <f>'02a_DC_Capacity_Alloc'!B626</f>
        <v/>
      </c>
      <c r="C626" s="5">
        <f>'02a_DC_Capacity_Alloc'!C626</f>
        <v/>
      </c>
      <c r="D626" s="5">
        <f>'02a_DC_Capacity_Alloc'!D626</f>
        <v/>
      </c>
      <c r="E626" s="5">
        <f>'02a_DC_Capacity_Alloc'!E626</f>
        <v/>
      </c>
      <c r="F626" s="5">
        <f>'02a_DC_Capacity_Alloc'!F626</f>
        <v/>
      </c>
      <c r="G626" s="5">
        <f>B626&amp;"|"&amp;E626&amp;"|"&amp;D626</f>
        <v/>
      </c>
      <c r="H626" s="28">
        <f>'02a_DC_Capacity_Alloc'!H626*'02a_DC_Capacity_Alloc'!I626*'02a_DC_Capacity_Alloc'!J626</f>
        <v/>
      </c>
      <c r="I626" s="6">
        <f>IFERROR(INDEX('02b_DC_Accelerator_Mix'!$F$2:$F$977,MATCH(G626,'02b_DC_Accelerator_Mix'!$A$2:$A$977,0)),0)</f>
        <v/>
      </c>
      <c r="J626" s="6">
        <f>IFERROR(INDEX('02b_DC_Accelerator_Mix'!$G$2:$G$977,MATCH(G626,'02b_DC_Accelerator_Mix'!$A$2:$A$977,0)),0)</f>
        <v/>
      </c>
      <c r="K626" s="6">
        <f>IFERROR(INDEX('02b_DC_Accelerator_Mix'!$H$2:$H$977,MATCH(G626,'02b_DC_Accelerator_Mix'!$A$2:$A$977,0)),0)</f>
        <v/>
      </c>
      <c r="L626" s="6">
        <f>IFERROR(INDEX('02b_DC_Accelerator_Mix'!$I$2:$I$977,MATCH(G626,'02b_DC_Accelerator_Mix'!$A$2:$A$977,0)),0)</f>
        <v/>
      </c>
      <c r="M626" s="6">
        <f>IFERROR(INDEX('02b_DC_Accelerator_Mix'!$J$2:$J$977,MATCH(G626,'02b_DC_Accelerator_Mix'!$A$2:$A$977,0)),0)</f>
        <v/>
      </c>
      <c r="N626" s="6">
        <f>IFERROR(INDEX('02b_DC_Accelerator_Mix'!$K$2:$K$977,MATCH(G626,'02b_DC_Accelerator_Mix'!$A$2:$A$977,0)),0)</f>
        <v/>
      </c>
      <c r="O626" s="6">
        <f>IFERROR(INDEX('02b_DC_Accelerator_Mix'!$L$2:$L$977,MATCH(G626,'02b_DC_Accelerator_Mix'!$A$2:$A$977,0)),0)</f>
        <v/>
      </c>
      <c r="P626" s="6">
        <f>IFERROR(INDEX('02b_DC_Accelerator_Mix'!$M$2:$M$977,MATCH(G626,'02b_DC_Accelerator_Mix'!$A$2:$A$977,0)),0)</f>
        <v/>
      </c>
      <c r="Q626" s="6">
        <f>IFERROR(INDEX('02b_DC_Accelerator_Mix'!$N$2:$N$977,MATCH(G626,'02b_DC_Accelerator_Mix'!$A$2:$A$977,0)),0)</f>
        <v/>
      </c>
      <c r="R626" s="28">
        <f>H626*I626</f>
        <v/>
      </c>
      <c r="S626" s="28">
        <f>H626*J626</f>
        <v/>
      </c>
      <c r="T626" s="28">
        <f>H626*K626</f>
        <v/>
      </c>
      <c r="U626" s="28">
        <f>H626*L626</f>
        <v/>
      </c>
      <c r="V626" s="28">
        <f>H626*M626</f>
        <v/>
      </c>
      <c r="W626" s="28">
        <f>H626*N626</f>
        <v/>
      </c>
      <c r="X626" s="28">
        <f>H626*O626</f>
        <v/>
      </c>
      <c r="Y626" s="28">
        <f>H626*P626</f>
        <v/>
      </c>
      <c r="Z626" s="28">
        <f>H626*Q626</f>
        <v/>
      </c>
      <c r="AA626" s="28">
        <f>SUM(U626:Z626)</f>
        <v/>
      </c>
      <c r="AB626" s="5">
        <f>IF(COUNTIF('02b_DC_Accelerator_Mix'!$A$2:$A$977,G626)&gt;0,"matched","missing_mix")</f>
        <v/>
      </c>
    </row>
    <row r="627">
      <c r="A627" s="5">
        <f>'02a_DC_Capacity_Alloc'!A627</f>
        <v/>
      </c>
      <c r="B627" s="5">
        <f>'02a_DC_Capacity_Alloc'!B627</f>
        <v/>
      </c>
      <c r="C627" s="5">
        <f>'02a_DC_Capacity_Alloc'!C627</f>
        <v/>
      </c>
      <c r="D627" s="5">
        <f>'02a_DC_Capacity_Alloc'!D627</f>
        <v/>
      </c>
      <c r="E627" s="5">
        <f>'02a_DC_Capacity_Alloc'!E627</f>
        <v/>
      </c>
      <c r="F627" s="5">
        <f>'02a_DC_Capacity_Alloc'!F627</f>
        <v/>
      </c>
      <c r="G627" s="5">
        <f>B627&amp;"|"&amp;E627&amp;"|"&amp;D627</f>
        <v/>
      </c>
      <c r="H627" s="28">
        <f>'02a_DC_Capacity_Alloc'!H627*'02a_DC_Capacity_Alloc'!I627*'02a_DC_Capacity_Alloc'!J627</f>
        <v/>
      </c>
      <c r="I627" s="6">
        <f>IFERROR(INDEX('02b_DC_Accelerator_Mix'!$F$2:$F$977,MATCH(G627,'02b_DC_Accelerator_Mix'!$A$2:$A$977,0)),0)</f>
        <v/>
      </c>
      <c r="J627" s="6">
        <f>IFERROR(INDEX('02b_DC_Accelerator_Mix'!$G$2:$G$977,MATCH(G627,'02b_DC_Accelerator_Mix'!$A$2:$A$977,0)),0)</f>
        <v/>
      </c>
      <c r="K627" s="6">
        <f>IFERROR(INDEX('02b_DC_Accelerator_Mix'!$H$2:$H$977,MATCH(G627,'02b_DC_Accelerator_Mix'!$A$2:$A$977,0)),0)</f>
        <v/>
      </c>
      <c r="L627" s="6">
        <f>IFERROR(INDEX('02b_DC_Accelerator_Mix'!$I$2:$I$977,MATCH(G627,'02b_DC_Accelerator_Mix'!$A$2:$A$977,0)),0)</f>
        <v/>
      </c>
      <c r="M627" s="6">
        <f>IFERROR(INDEX('02b_DC_Accelerator_Mix'!$J$2:$J$977,MATCH(G627,'02b_DC_Accelerator_Mix'!$A$2:$A$977,0)),0)</f>
        <v/>
      </c>
      <c r="N627" s="6">
        <f>IFERROR(INDEX('02b_DC_Accelerator_Mix'!$K$2:$K$977,MATCH(G627,'02b_DC_Accelerator_Mix'!$A$2:$A$977,0)),0)</f>
        <v/>
      </c>
      <c r="O627" s="6">
        <f>IFERROR(INDEX('02b_DC_Accelerator_Mix'!$L$2:$L$977,MATCH(G627,'02b_DC_Accelerator_Mix'!$A$2:$A$977,0)),0)</f>
        <v/>
      </c>
      <c r="P627" s="6">
        <f>IFERROR(INDEX('02b_DC_Accelerator_Mix'!$M$2:$M$977,MATCH(G627,'02b_DC_Accelerator_Mix'!$A$2:$A$977,0)),0)</f>
        <v/>
      </c>
      <c r="Q627" s="6">
        <f>IFERROR(INDEX('02b_DC_Accelerator_Mix'!$N$2:$N$977,MATCH(G627,'02b_DC_Accelerator_Mix'!$A$2:$A$977,0)),0)</f>
        <v/>
      </c>
      <c r="R627" s="28">
        <f>H627*I627</f>
        <v/>
      </c>
      <c r="S627" s="28">
        <f>H627*J627</f>
        <v/>
      </c>
      <c r="T627" s="28">
        <f>H627*K627</f>
        <v/>
      </c>
      <c r="U627" s="28">
        <f>H627*L627</f>
        <v/>
      </c>
      <c r="V627" s="28">
        <f>H627*M627</f>
        <v/>
      </c>
      <c r="W627" s="28">
        <f>H627*N627</f>
        <v/>
      </c>
      <c r="X627" s="28">
        <f>H627*O627</f>
        <v/>
      </c>
      <c r="Y627" s="28">
        <f>H627*P627</f>
        <v/>
      </c>
      <c r="Z627" s="28">
        <f>H627*Q627</f>
        <v/>
      </c>
      <c r="AA627" s="28">
        <f>SUM(U627:Z627)</f>
        <v/>
      </c>
      <c r="AB627" s="5">
        <f>IF(COUNTIF('02b_DC_Accelerator_Mix'!$A$2:$A$977,G627)&gt;0,"matched","missing_mix")</f>
        <v/>
      </c>
    </row>
    <row r="628">
      <c r="A628" s="5">
        <f>'02a_DC_Capacity_Alloc'!A628</f>
        <v/>
      </c>
      <c r="B628" s="5">
        <f>'02a_DC_Capacity_Alloc'!B628</f>
        <v/>
      </c>
      <c r="C628" s="5">
        <f>'02a_DC_Capacity_Alloc'!C628</f>
        <v/>
      </c>
      <c r="D628" s="5">
        <f>'02a_DC_Capacity_Alloc'!D628</f>
        <v/>
      </c>
      <c r="E628" s="5">
        <f>'02a_DC_Capacity_Alloc'!E628</f>
        <v/>
      </c>
      <c r="F628" s="5">
        <f>'02a_DC_Capacity_Alloc'!F628</f>
        <v/>
      </c>
      <c r="G628" s="5">
        <f>B628&amp;"|"&amp;E628&amp;"|"&amp;D628</f>
        <v/>
      </c>
      <c r="H628" s="28">
        <f>'02a_DC_Capacity_Alloc'!H628*'02a_DC_Capacity_Alloc'!I628*'02a_DC_Capacity_Alloc'!J628</f>
        <v/>
      </c>
      <c r="I628" s="6">
        <f>IFERROR(INDEX('02b_DC_Accelerator_Mix'!$F$2:$F$977,MATCH(G628,'02b_DC_Accelerator_Mix'!$A$2:$A$977,0)),0)</f>
        <v/>
      </c>
      <c r="J628" s="6">
        <f>IFERROR(INDEX('02b_DC_Accelerator_Mix'!$G$2:$G$977,MATCH(G628,'02b_DC_Accelerator_Mix'!$A$2:$A$977,0)),0)</f>
        <v/>
      </c>
      <c r="K628" s="6">
        <f>IFERROR(INDEX('02b_DC_Accelerator_Mix'!$H$2:$H$977,MATCH(G628,'02b_DC_Accelerator_Mix'!$A$2:$A$977,0)),0)</f>
        <v/>
      </c>
      <c r="L628" s="6">
        <f>IFERROR(INDEX('02b_DC_Accelerator_Mix'!$I$2:$I$977,MATCH(G628,'02b_DC_Accelerator_Mix'!$A$2:$A$977,0)),0)</f>
        <v/>
      </c>
      <c r="M628" s="6">
        <f>IFERROR(INDEX('02b_DC_Accelerator_Mix'!$J$2:$J$977,MATCH(G628,'02b_DC_Accelerator_Mix'!$A$2:$A$977,0)),0)</f>
        <v/>
      </c>
      <c r="N628" s="6">
        <f>IFERROR(INDEX('02b_DC_Accelerator_Mix'!$K$2:$K$977,MATCH(G628,'02b_DC_Accelerator_Mix'!$A$2:$A$977,0)),0)</f>
        <v/>
      </c>
      <c r="O628" s="6">
        <f>IFERROR(INDEX('02b_DC_Accelerator_Mix'!$L$2:$L$977,MATCH(G628,'02b_DC_Accelerator_Mix'!$A$2:$A$977,0)),0)</f>
        <v/>
      </c>
      <c r="P628" s="6">
        <f>IFERROR(INDEX('02b_DC_Accelerator_Mix'!$M$2:$M$977,MATCH(G628,'02b_DC_Accelerator_Mix'!$A$2:$A$977,0)),0)</f>
        <v/>
      </c>
      <c r="Q628" s="6">
        <f>IFERROR(INDEX('02b_DC_Accelerator_Mix'!$N$2:$N$977,MATCH(G628,'02b_DC_Accelerator_Mix'!$A$2:$A$977,0)),0)</f>
        <v/>
      </c>
      <c r="R628" s="28">
        <f>H628*I628</f>
        <v/>
      </c>
      <c r="S628" s="28">
        <f>H628*J628</f>
        <v/>
      </c>
      <c r="T628" s="28">
        <f>H628*K628</f>
        <v/>
      </c>
      <c r="U628" s="28">
        <f>H628*L628</f>
        <v/>
      </c>
      <c r="V628" s="28">
        <f>H628*M628</f>
        <v/>
      </c>
      <c r="W628" s="28">
        <f>H628*N628</f>
        <v/>
      </c>
      <c r="X628" s="28">
        <f>H628*O628</f>
        <v/>
      </c>
      <c r="Y628" s="28">
        <f>H628*P628</f>
        <v/>
      </c>
      <c r="Z628" s="28">
        <f>H628*Q628</f>
        <v/>
      </c>
      <c r="AA628" s="28">
        <f>SUM(U628:Z628)</f>
        <v/>
      </c>
      <c r="AB628" s="5">
        <f>IF(COUNTIF('02b_DC_Accelerator_Mix'!$A$2:$A$977,G628)&gt;0,"matched","missing_mix")</f>
        <v/>
      </c>
    </row>
    <row r="629">
      <c r="A629" s="5">
        <f>'02a_DC_Capacity_Alloc'!A629</f>
        <v/>
      </c>
      <c r="B629" s="5">
        <f>'02a_DC_Capacity_Alloc'!B629</f>
        <v/>
      </c>
      <c r="C629" s="5">
        <f>'02a_DC_Capacity_Alloc'!C629</f>
        <v/>
      </c>
      <c r="D629" s="5">
        <f>'02a_DC_Capacity_Alloc'!D629</f>
        <v/>
      </c>
      <c r="E629" s="5">
        <f>'02a_DC_Capacity_Alloc'!E629</f>
        <v/>
      </c>
      <c r="F629" s="5">
        <f>'02a_DC_Capacity_Alloc'!F629</f>
        <v/>
      </c>
      <c r="G629" s="5">
        <f>B629&amp;"|"&amp;E629&amp;"|"&amp;D629</f>
        <v/>
      </c>
      <c r="H629" s="28">
        <f>'02a_DC_Capacity_Alloc'!H629*'02a_DC_Capacity_Alloc'!I629*'02a_DC_Capacity_Alloc'!J629</f>
        <v/>
      </c>
      <c r="I629" s="6">
        <f>IFERROR(INDEX('02b_DC_Accelerator_Mix'!$F$2:$F$977,MATCH(G629,'02b_DC_Accelerator_Mix'!$A$2:$A$977,0)),0)</f>
        <v/>
      </c>
      <c r="J629" s="6">
        <f>IFERROR(INDEX('02b_DC_Accelerator_Mix'!$G$2:$G$977,MATCH(G629,'02b_DC_Accelerator_Mix'!$A$2:$A$977,0)),0)</f>
        <v/>
      </c>
      <c r="K629" s="6">
        <f>IFERROR(INDEX('02b_DC_Accelerator_Mix'!$H$2:$H$977,MATCH(G629,'02b_DC_Accelerator_Mix'!$A$2:$A$977,0)),0)</f>
        <v/>
      </c>
      <c r="L629" s="6">
        <f>IFERROR(INDEX('02b_DC_Accelerator_Mix'!$I$2:$I$977,MATCH(G629,'02b_DC_Accelerator_Mix'!$A$2:$A$977,0)),0)</f>
        <v/>
      </c>
      <c r="M629" s="6">
        <f>IFERROR(INDEX('02b_DC_Accelerator_Mix'!$J$2:$J$977,MATCH(G629,'02b_DC_Accelerator_Mix'!$A$2:$A$977,0)),0)</f>
        <v/>
      </c>
      <c r="N629" s="6">
        <f>IFERROR(INDEX('02b_DC_Accelerator_Mix'!$K$2:$K$977,MATCH(G629,'02b_DC_Accelerator_Mix'!$A$2:$A$977,0)),0)</f>
        <v/>
      </c>
      <c r="O629" s="6">
        <f>IFERROR(INDEX('02b_DC_Accelerator_Mix'!$L$2:$L$977,MATCH(G629,'02b_DC_Accelerator_Mix'!$A$2:$A$977,0)),0)</f>
        <v/>
      </c>
      <c r="P629" s="6">
        <f>IFERROR(INDEX('02b_DC_Accelerator_Mix'!$M$2:$M$977,MATCH(G629,'02b_DC_Accelerator_Mix'!$A$2:$A$977,0)),0)</f>
        <v/>
      </c>
      <c r="Q629" s="6">
        <f>IFERROR(INDEX('02b_DC_Accelerator_Mix'!$N$2:$N$977,MATCH(G629,'02b_DC_Accelerator_Mix'!$A$2:$A$977,0)),0)</f>
        <v/>
      </c>
      <c r="R629" s="28">
        <f>H629*I629</f>
        <v/>
      </c>
      <c r="S629" s="28">
        <f>H629*J629</f>
        <v/>
      </c>
      <c r="T629" s="28">
        <f>H629*K629</f>
        <v/>
      </c>
      <c r="U629" s="28">
        <f>H629*L629</f>
        <v/>
      </c>
      <c r="V629" s="28">
        <f>H629*M629</f>
        <v/>
      </c>
      <c r="W629" s="28">
        <f>H629*N629</f>
        <v/>
      </c>
      <c r="X629" s="28">
        <f>H629*O629</f>
        <v/>
      </c>
      <c r="Y629" s="28">
        <f>H629*P629</f>
        <v/>
      </c>
      <c r="Z629" s="28">
        <f>H629*Q629</f>
        <v/>
      </c>
      <c r="AA629" s="28">
        <f>SUM(U629:Z629)</f>
        <v/>
      </c>
      <c r="AB629" s="5">
        <f>IF(COUNTIF('02b_DC_Accelerator_Mix'!$A$2:$A$977,G629)&gt;0,"matched","missing_mix")</f>
        <v/>
      </c>
    </row>
    <row r="630">
      <c r="A630" s="5">
        <f>'02a_DC_Capacity_Alloc'!A630</f>
        <v/>
      </c>
      <c r="B630" s="5">
        <f>'02a_DC_Capacity_Alloc'!B630</f>
        <v/>
      </c>
      <c r="C630" s="5">
        <f>'02a_DC_Capacity_Alloc'!C630</f>
        <v/>
      </c>
      <c r="D630" s="5">
        <f>'02a_DC_Capacity_Alloc'!D630</f>
        <v/>
      </c>
      <c r="E630" s="5">
        <f>'02a_DC_Capacity_Alloc'!E630</f>
        <v/>
      </c>
      <c r="F630" s="5">
        <f>'02a_DC_Capacity_Alloc'!F630</f>
        <v/>
      </c>
      <c r="G630" s="5">
        <f>B630&amp;"|"&amp;E630&amp;"|"&amp;D630</f>
        <v/>
      </c>
      <c r="H630" s="28">
        <f>'02a_DC_Capacity_Alloc'!H630*'02a_DC_Capacity_Alloc'!I630*'02a_DC_Capacity_Alloc'!J630</f>
        <v/>
      </c>
      <c r="I630" s="6">
        <f>IFERROR(INDEX('02b_DC_Accelerator_Mix'!$F$2:$F$977,MATCH(G630,'02b_DC_Accelerator_Mix'!$A$2:$A$977,0)),0)</f>
        <v/>
      </c>
      <c r="J630" s="6">
        <f>IFERROR(INDEX('02b_DC_Accelerator_Mix'!$G$2:$G$977,MATCH(G630,'02b_DC_Accelerator_Mix'!$A$2:$A$977,0)),0)</f>
        <v/>
      </c>
      <c r="K630" s="6">
        <f>IFERROR(INDEX('02b_DC_Accelerator_Mix'!$H$2:$H$977,MATCH(G630,'02b_DC_Accelerator_Mix'!$A$2:$A$977,0)),0)</f>
        <v/>
      </c>
      <c r="L630" s="6">
        <f>IFERROR(INDEX('02b_DC_Accelerator_Mix'!$I$2:$I$977,MATCH(G630,'02b_DC_Accelerator_Mix'!$A$2:$A$977,0)),0)</f>
        <v/>
      </c>
      <c r="M630" s="6">
        <f>IFERROR(INDEX('02b_DC_Accelerator_Mix'!$J$2:$J$977,MATCH(G630,'02b_DC_Accelerator_Mix'!$A$2:$A$977,0)),0)</f>
        <v/>
      </c>
      <c r="N630" s="6">
        <f>IFERROR(INDEX('02b_DC_Accelerator_Mix'!$K$2:$K$977,MATCH(G630,'02b_DC_Accelerator_Mix'!$A$2:$A$977,0)),0)</f>
        <v/>
      </c>
      <c r="O630" s="6">
        <f>IFERROR(INDEX('02b_DC_Accelerator_Mix'!$L$2:$L$977,MATCH(G630,'02b_DC_Accelerator_Mix'!$A$2:$A$977,0)),0)</f>
        <v/>
      </c>
      <c r="P630" s="6">
        <f>IFERROR(INDEX('02b_DC_Accelerator_Mix'!$M$2:$M$977,MATCH(G630,'02b_DC_Accelerator_Mix'!$A$2:$A$977,0)),0)</f>
        <v/>
      </c>
      <c r="Q630" s="6">
        <f>IFERROR(INDEX('02b_DC_Accelerator_Mix'!$N$2:$N$977,MATCH(G630,'02b_DC_Accelerator_Mix'!$A$2:$A$977,0)),0)</f>
        <v/>
      </c>
      <c r="R630" s="28">
        <f>H630*I630</f>
        <v/>
      </c>
      <c r="S630" s="28">
        <f>H630*J630</f>
        <v/>
      </c>
      <c r="T630" s="28">
        <f>H630*K630</f>
        <v/>
      </c>
      <c r="U630" s="28">
        <f>H630*L630</f>
        <v/>
      </c>
      <c r="V630" s="28">
        <f>H630*M630</f>
        <v/>
      </c>
      <c r="W630" s="28">
        <f>H630*N630</f>
        <v/>
      </c>
      <c r="X630" s="28">
        <f>H630*O630</f>
        <v/>
      </c>
      <c r="Y630" s="28">
        <f>H630*P630</f>
        <v/>
      </c>
      <c r="Z630" s="28">
        <f>H630*Q630</f>
        <v/>
      </c>
      <c r="AA630" s="28">
        <f>SUM(U630:Z630)</f>
        <v/>
      </c>
      <c r="AB630" s="5">
        <f>IF(COUNTIF('02b_DC_Accelerator_Mix'!$A$2:$A$977,G630)&gt;0,"matched","missing_mix")</f>
        <v/>
      </c>
    </row>
    <row r="631">
      <c r="A631" s="5">
        <f>'02a_DC_Capacity_Alloc'!A631</f>
        <v/>
      </c>
      <c r="B631" s="5">
        <f>'02a_DC_Capacity_Alloc'!B631</f>
        <v/>
      </c>
      <c r="C631" s="5">
        <f>'02a_DC_Capacity_Alloc'!C631</f>
        <v/>
      </c>
      <c r="D631" s="5">
        <f>'02a_DC_Capacity_Alloc'!D631</f>
        <v/>
      </c>
      <c r="E631" s="5">
        <f>'02a_DC_Capacity_Alloc'!E631</f>
        <v/>
      </c>
      <c r="F631" s="5">
        <f>'02a_DC_Capacity_Alloc'!F631</f>
        <v/>
      </c>
      <c r="G631" s="5">
        <f>B631&amp;"|"&amp;E631&amp;"|"&amp;D631</f>
        <v/>
      </c>
      <c r="H631" s="28">
        <f>'02a_DC_Capacity_Alloc'!H631*'02a_DC_Capacity_Alloc'!I631*'02a_DC_Capacity_Alloc'!J631</f>
        <v/>
      </c>
      <c r="I631" s="6">
        <f>IFERROR(INDEX('02b_DC_Accelerator_Mix'!$F$2:$F$977,MATCH(G631,'02b_DC_Accelerator_Mix'!$A$2:$A$977,0)),0)</f>
        <v/>
      </c>
      <c r="J631" s="6">
        <f>IFERROR(INDEX('02b_DC_Accelerator_Mix'!$G$2:$G$977,MATCH(G631,'02b_DC_Accelerator_Mix'!$A$2:$A$977,0)),0)</f>
        <v/>
      </c>
      <c r="K631" s="6">
        <f>IFERROR(INDEX('02b_DC_Accelerator_Mix'!$H$2:$H$977,MATCH(G631,'02b_DC_Accelerator_Mix'!$A$2:$A$977,0)),0)</f>
        <v/>
      </c>
      <c r="L631" s="6">
        <f>IFERROR(INDEX('02b_DC_Accelerator_Mix'!$I$2:$I$977,MATCH(G631,'02b_DC_Accelerator_Mix'!$A$2:$A$977,0)),0)</f>
        <v/>
      </c>
      <c r="M631" s="6">
        <f>IFERROR(INDEX('02b_DC_Accelerator_Mix'!$J$2:$J$977,MATCH(G631,'02b_DC_Accelerator_Mix'!$A$2:$A$977,0)),0)</f>
        <v/>
      </c>
      <c r="N631" s="6">
        <f>IFERROR(INDEX('02b_DC_Accelerator_Mix'!$K$2:$K$977,MATCH(G631,'02b_DC_Accelerator_Mix'!$A$2:$A$977,0)),0)</f>
        <v/>
      </c>
      <c r="O631" s="6">
        <f>IFERROR(INDEX('02b_DC_Accelerator_Mix'!$L$2:$L$977,MATCH(G631,'02b_DC_Accelerator_Mix'!$A$2:$A$977,0)),0)</f>
        <v/>
      </c>
      <c r="P631" s="6">
        <f>IFERROR(INDEX('02b_DC_Accelerator_Mix'!$M$2:$M$977,MATCH(G631,'02b_DC_Accelerator_Mix'!$A$2:$A$977,0)),0)</f>
        <v/>
      </c>
      <c r="Q631" s="6">
        <f>IFERROR(INDEX('02b_DC_Accelerator_Mix'!$N$2:$N$977,MATCH(G631,'02b_DC_Accelerator_Mix'!$A$2:$A$977,0)),0)</f>
        <v/>
      </c>
      <c r="R631" s="28">
        <f>H631*I631</f>
        <v/>
      </c>
      <c r="S631" s="28">
        <f>H631*J631</f>
        <v/>
      </c>
      <c r="T631" s="28">
        <f>H631*K631</f>
        <v/>
      </c>
      <c r="U631" s="28">
        <f>H631*L631</f>
        <v/>
      </c>
      <c r="V631" s="28">
        <f>H631*M631</f>
        <v/>
      </c>
      <c r="W631" s="28">
        <f>H631*N631</f>
        <v/>
      </c>
      <c r="X631" s="28">
        <f>H631*O631</f>
        <v/>
      </c>
      <c r="Y631" s="28">
        <f>H631*P631</f>
        <v/>
      </c>
      <c r="Z631" s="28">
        <f>H631*Q631</f>
        <v/>
      </c>
      <c r="AA631" s="28">
        <f>SUM(U631:Z631)</f>
        <v/>
      </c>
      <c r="AB631" s="5">
        <f>IF(COUNTIF('02b_DC_Accelerator_Mix'!$A$2:$A$977,G631)&gt;0,"matched","missing_mix")</f>
        <v/>
      </c>
    </row>
    <row r="632">
      <c r="A632" s="5">
        <f>'02a_DC_Capacity_Alloc'!A632</f>
        <v/>
      </c>
      <c r="B632" s="5">
        <f>'02a_DC_Capacity_Alloc'!B632</f>
        <v/>
      </c>
      <c r="C632" s="5">
        <f>'02a_DC_Capacity_Alloc'!C632</f>
        <v/>
      </c>
      <c r="D632" s="5">
        <f>'02a_DC_Capacity_Alloc'!D632</f>
        <v/>
      </c>
      <c r="E632" s="5">
        <f>'02a_DC_Capacity_Alloc'!E632</f>
        <v/>
      </c>
      <c r="F632" s="5">
        <f>'02a_DC_Capacity_Alloc'!F632</f>
        <v/>
      </c>
      <c r="G632" s="5">
        <f>B632&amp;"|"&amp;E632&amp;"|"&amp;D632</f>
        <v/>
      </c>
      <c r="H632" s="28">
        <f>'02a_DC_Capacity_Alloc'!H632*'02a_DC_Capacity_Alloc'!I632*'02a_DC_Capacity_Alloc'!J632</f>
        <v/>
      </c>
      <c r="I632" s="6">
        <f>IFERROR(INDEX('02b_DC_Accelerator_Mix'!$F$2:$F$977,MATCH(G632,'02b_DC_Accelerator_Mix'!$A$2:$A$977,0)),0)</f>
        <v/>
      </c>
      <c r="J632" s="6">
        <f>IFERROR(INDEX('02b_DC_Accelerator_Mix'!$G$2:$G$977,MATCH(G632,'02b_DC_Accelerator_Mix'!$A$2:$A$977,0)),0)</f>
        <v/>
      </c>
      <c r="K632" s="6">
        <f>IFERROR(INDEX('02b_DC_Accelerator_Mix'!$H$2:$H$977,MATCH(G632,'02b_DC_Accelerator_Mix'!$A$2:$A$977,0)),0)</f>
        <v/>
      </c>
      <c r="L632" s="6">
        <f>IFERROR(INDEX('02b_DC_Accelerator_Mix'!$I$2:$I$977,MATCH(G632,'02b_DC_Accelerator_Mix'!$A$2:$A$977,0)),0)</f>
        <v/>
      </c>
      <c r="M632" s="6">
        <f>IFERROR(INDEX('02b_DC_Accelerator_Mix'!$J$2:$J$977,MATCH(G632,'02b_DC_Accelerator_Mix'!$A$2:$A$977,0)),0)</f>
        <v/>
      </c>
      <c r="N632" s="6">
        <f>IFERROR(INDEX('02b_DC_Accelerator_Mix'!$K$2:$K$977,MATCH(G632,'02b_DC_Accelerator_Mix'!$A$2:$A$977,0)),0)</f>
        <v/>
      </c>
      <c r="O632" s="6">
        <f>IFERROR(INDEX('02b_DC_Accelerator_Mix'!$L$2:$L$977,MATCH(G632,'02b_DC_Accelerator_Mix'!$A$2:$A$977,0)),0)</f>
        <v/>
      </c>
      <c r="P632" s="6">
        <f>IFERROR(INDEX('02b_DC_Accelerator_Mix'!$M$2:$M$977,MATCH(G632,'02b_DC_Accelerator_Mix'!$A$2:$A$977,0)),0)</f>
        <v/>
      </c>
      <c r="Q632" s="6">
        <f>IFERROR(INDEX('02b_DC_Accelerator_Mix'!$N$2:$N$977,MATCH(G632,'02b_DC_Accelerator_Mix'!$A$2:$A$977,0)),0)</f>
        <v/>
      </c>
      <c r="R632" s="28">
        <f>H632*I632</f>
        <v/>
      </c>
      <c r="S632" s="28">
        <f>H632*J632</f>
        <v/>
      </c>
      <c r="T632" s="28">
        <f>H632*K632</f>
        <v/>
      </c>
      <c r="U632" s="28">
        <f>H632*L632</f>
        <v/>
      </c>
      <c r="V632" s="28">
        <f>H632*M632</f>
        <v/>
      </c>
      <c r="W632" s="28">
        <f>H632*N632</f>
        <v/>
      </c>
      <c r="X632" s="28">
        <f>H632*O632</f>
        <v/>
      </c>
      <c r="Y632" s="28">
        <f>H632*P632</f>
        <v/>
      </c>
      <c r="Z632" s="28">
        <f>H632*Q632</f>
        <v/>
      </c>
      <c r="AA632" s="28">
        <f>SUM(U632:Z632)</f>
        <v/>
      </c>
      <c r="AB632" s="5">
        <f>IF(COUNTIF('02b_DC_Accelerator_Mix'!$A$2:$A$977,G632)&gt;0,"matched","missing_mix")</f>
        <v/>
      </c>
    </row>
    <row r="633">
      <c r="A633" s="5">
        <f>'02a_DC_Capacity_Alloc'!A633</f>
        <v/>
      </c>
      <c r="B633" s="5">
        <f>'02a_DC_Capacity_Alloc'!B633</f>
        <v/>
      </c>
      <c r="C633" s="5">
        <f>'02a_DC_Capacity_Alloc'!C633</f>
        <v/>
      </c>
      <c r="D633" s="5">
        <f>'02a_DC_Capacity_Alloc'!D633</f>
        <v/>
      </c>
      <c r="E633" s="5">
        <f>'02a_DC_Capacity_Alloc'!E633</f>
        <v/>
      </c>
      <c r="F633" s="5">
        <f>'02a_DC_Capacity_Alloc'!F633</f>
        <v/>
      </c>
      <c r="G633" s="5">
        <f>B633&amp;"|"&amp;E633&amp;"|"&amp;D633</f>
        <v/>
      </c>
      <c r="H633" s="28">
        <f>'02a_DC_Capacity_Alloc'!H633*'02a_DC_Capacity_Alloc'!I633*'02a_DC_Capacity_Alloc'!J633</f>
        <v/>
      </c>
      <c r="I633" s="6">
        <f>IFERROR(INDEX('02b_DC_Accelerator_Mix'!$F$2:$F$977,MATCH(G633,'02b_DC_Accelerator_Mix'!$A$2:$A$977,0)),0)</f>
        <v/>
      </c>
      <c r="J633" s="6">
        <f>IFERROR(INDEX('02b_DC_Accelerator_Mix'!$G$2:$G$977,MATCH(G633,'02b_DC_Accelerator_Mix'!$A$2:$A$977,0)),0)</f>
        <v/>
      </c>
      <c r="K633" s="6">
        <f>IFERROR(INDEX('02b_DC_Accelerator_Mix'!$H$2:$H$977,MATCH(G633,'02b_DC_Accelerator_Mix'!$A$2:$A$977,0)),0)</f>
        <v/>
      </c>
      <c r="L633" s="6">
        <f>IFERROR(INDEX('02b_DC_Accelerator_Mix'!$I$2:$I$977,MATCH(G633,'02b_DC_Accelerator_Mix'!$A$2:$A$977,0)),0)</f>
        <v/>
      </c>
      <c r="M633" s="6">
        <f>IFERROR(INDEX('02b_DC_Accelerator_Mix'!$J$2:$J$977,MATCH(G633,'02b_DC_Accelerator_Mix'!$A$2:$A$977,0)),0)</f>
        <v/>
      </c>
      <c r="N633" s="6">
        <f>IFERROR(INDEX('02b_DC_Accelerator_Mix'!$K$2:$K$977,MATCH(G633,'02b_DC_Accelerator_Mix'!$A$2:$A$977,0)),0)</f>
        <v/>
      </c>
      <c r="O633" s="6">
        <f>IFERROR(INDEX('02b_DC_Accelerator_Mix'!$L$2:$L$977,MATCH(G633,'02b_DC_Accelerator_Mix'!$A$2:$A$977,0)),0)</f>
        <v/>
      </c>
      <c r="P633" s="6">
        <f>IFERROR(INDEX('02b_DC_Accelerator_Mix'!$M$2:$M$977,MATCH(G633,'02b_DC_Accelerator_Mix'!$A$2:$A$977,0)),0)</f>
        <v/>
      </c>
      <c r="Q633" s="6">
        <f>IFERROR(INDEX('02b_DC_Accelerator_Mix'!$N$2:$N$977,MATCH(G633,'02b_DC_Accelerator_Mix'!$A$2:$A$977,0)),0)</f>
        <v/>
      </c>
      <c r="R633" s="28">
        <f>H633*I633</f>
        <v/>
      </c>
      <c r="S633" s="28">
        <f>H633*J633</f>
        <v/>
      </c>
      <c r="T633" s="28">
        <f>H633*K633</f>
        <v/>
      </c>
      <c r="U633" s="28">
        <f>H633*L633</f>
        <v/>
      </c>
      <c r="V633" s="28">
        <f>H633*M633</f>
        <v/>
      </c>
      <c r="W633" s="28">
        <f>H633*N633</f>
        <v/>
      </c>
      <c r="X633" s="28">
        <f>H633*O633</f>
        <v/>
      </c>
      <c r="Y633" s="28">
        <f>H633*P633</f>
        <v/>
      </c>
      <c r="Z633" s="28">
        <f>H633*Q633</f>
        <v/>
      </c>
      <c r="AA633" s="28">
        <f>SUM(U633:Z633)</f>
        <v/>
      </c>
      <c r="AB633" s="5">
        <f>IF(COUNTIF('02b_DC_Accelerator_Mix'!$A$2:$A$977,G633)&gt;0,"matched","missing_mix")</f>
        <v/>
      </c>
    </row>
    <row r="634">
      <c r="A634" s="5">
        <f>'02a_DC_Capacity_Alloc'!A634</f>
        <v/>
      </c>
      <c r="B634" s="5">
        <f>'02a_DC_Capacity_Alloc'!B634</f>
        <v/>
      </c>
      <c r="C634" s="5">
        <f>'02a_DC_Capacity_Alloc'!C634</f>
        <v/>
      </c>
      <c r="D634" s="5">
        <f>'02a_DC_Capacity_Alloc'!D634</f>
        <v/>
      </c>
      <c r="E634" s="5">
        <f>'02a_DC_Capacity_Alloc'!E634</f>
        <v/>
      </c>
      <c r="F634" s="5">
        <f>'02a_DC_Capacity_Alloc'!F634</f>
        <v/>
      </c>
      <c r="G634" s="5">
        <f>B634&amp;"|"&amp;E634&amp;"|"&amp;D634</f>
        <v/>
      </c>
      <c r="H634" s="28">
        <f>'02a_DC_Capacity_Alloc'!H634*'02a_DC_Capacity_Alloc'!I634*'02a_DC_Capacity_Alloc'!J634</f>
        <v/>
      </c>
      <c r="I634" s="6">
        <f>IFERROR(INDEX('02b_DC_Accelerator_Mix'!$F$2:$F$977,MATCH(G634,'02b_DC_Accelerator_Mix'!$A$2:$A$977,0)),0)</f>
        <v/>
      </c>
      <c r="J634" s="6">
        <f>IFERROR(INDEX('02b_DC_Accelerator_Mix'!$G$2:$G$977,MATCH(G634,'02b_DC_Accelerator_Mix'!$A$2:$A$977,0)),0)</f>
        <v/>
      </c>
      <c r="K634" s="6">
        <f>IFERROR(INDEX('02b_DC_Accelerator_Mix'!$H$2:$H$977,MATCH(G634,'02b_DC_Accelerator_Mix'!$A$2:$A$977,0)),0)</f>
        <v/>
      </c>
      <c r="L634" s="6">
        <f>IFERROR(INDEX('02b_DC_Accelerator_Mix'!$I$2:$I$977,MATCH(G634,'02b_DC_Accelerator_Mix'!$A$2:$A$977,0)),0)</f>
        <v/>
      </c>
      <c r="M634" s="6">
        <f>IFERROR(INDEX('02b_DC_Accelerator_Mix'!$J$2:$J$977,MATCH(G634,'02b_DC_Accelerator_Mix'!$A$2:$A$977,0)),0)</f>
        <v/>
      </c>
      <c r="N634" s="6">
        <f>IFERROR(INDEX('02b_DC_Accelerator_Mix'!$K$2:$K$977,MATCH(G634,'02b_DC_Accelerator_Mix'!$A$2:$A$977,0)),0)</f>
        <v/>
      </c>
      <c r="O634" s="6">
        <f>IFERROR(INDEX('02b_DC_Accelerator_Mix'!$L$2:$L$977,MATCH(G634,'02b_DC_Accelerator_Mix'!$A$2:$A$977,0)),0)</f>
        <v/>
      </c>
      <c r="P634" s="6">
        <f>IFERROR(INDEX('02b_DC_Accelerator_Mix'!$M$2:$M$977,MATCH(G634,'02b_DC_Accelerator_Mix'!$A$2:$A$977,0)),0)</f>
        <v/>
      </c>
      <c r="Q634" s="6">
        <f>IFERROR(INDEX('02b_DC_Accelerator_Mix'!$N$2:$N$977,MATCH(G634,'02b_DC_Accelerator_Mix'!$A$2:$A$977,0)),0)</f>
        <v/>
      </c>
      <c r="R634" s="28">
        <f>H634*I634</f>
        <v/>
      </c>
      <c r="S634" s="28">
        <f>H634*J634</f>
        <v/>
      </c>
      <c r="T634" s="28">
        <f>H634*K634</f>
        <v/>
      </c>
      <c r="U634" s="28">
        <f>H634*L634</f>
        <v/>
      </c>
      <c r="V634" s="28">
        <f>H634*M634</f>
        <v/>
      </c>
      <c r="W634" s="28">
        <f>H634*N634</f>
        <v/>
      </c>
      <c r="X634" s="28">
        <f>H634*O634</f>
        <v/>
      </c>
      <c r="Y634" s="28">
        <f>H634*P634</f>
        <v/>
      </c>
      <c r="Z634" s="28">
        <f>H634*Q634</f>
        <v/>
      </c>
      <c r="AA634" s="28">
        <f>SUM(U634:Z634)</f>
        <v/>
      </c>
      <c r="AB634" s="5">
        <f>IF(COUNTIF('02b_DC_Accelerator_Mix'!$A$2:$A$977,G634)&gt;0,"matched","missing_mix")</f>
        <v/>
      </c>
    </row>
    <row r="635">
      <c r="A635" s="5">
        <f>'02a_DC_Capacity_Alloc'!A635</f>
        <v/>
      </c>
      <c r="B635" s="5">
        <f>'02a_DC_Capacity_Alloc'!B635</f>
        <v/>
      </c>
      <c r="C635" s="5">
        <f>'02a_DC_Capacity_Alloc'!C635</f>
        <v/>
      </c>
      <c r="D635" s="5">
        <f>'02a_DC_Capacity_Alloc'!D635</f>
        <v/>
      </c>
      <c r="E635" s="5">
        <f>'02a_DC_Capacity_Alloc'!E635</f>
        <v/>
      </c>
      <c r="F635" s="5">
        <f>'02a_DC_Capacity_Alloc'!F635</f>
        <v/>
      </c>
      <c r="G635" s="5">
        <f>B635&amp;"|"&amp;E635&amp;"|"&amp;D635</f>
        <v/>
      </c>
      <c r="H635" s="28">
        <f>'02a_DC_Capacity_Alloc'!H635*'02a_DC_Capacity_Alloc'!I635*'02a_DC_Capacity_Alloc'!J635</f>
        <v/>
      </c>
      <c r="I635" s="6">
        <f>IFERROR(INDEX('02b_DC_Accelerator_Mix'!$F$2:$F$977,MATCH(G635,'02b_DC_Accelerator_Mix'!$A$2:$A$977,0)),0)</f>
        <v/>
      </c>
      <c r="J635" s="6">
        <f>IFERROR(INDEX('02b_DC_Accelerator_Mix'!$G$2:$G$977,MATCH(G635,'02b_DC_Accelerator_Mix'!$A$2:$A$977,0)),0)</f>
        <v/>
      </c>
      <c r="K635" s="6">
        <f>IFERROR(INDEX('02b_DC_Accelerator_Mix'!$H$2:$H$977,MATCH(G635,'02b_DC_Accelerator_Mix'!$A$2:$A$977,0)),0)</f>
        <v/>
      </c>
      <c r="L635" s="6">
        <f>IFERROR(INDEX('02b_DC_Accelerator_Mix'!$I$2:$I$977,MATCH(G635,'02b_DC_Accelerator_Mix'!$A$2:$A$977,0)),0)</f>
        <v/>
      </c>
      <c r="M635" s="6">
        <f>IFERROR(INDEX('02b_DC_Accelerator_Mix'!$J$2:$J$977,MATCH(G635,'02b_DC_Accelerator_Mix'!$A$2:$A$977,0)),0)</f>
        <v/>
      </c>
      <c r="N635" s="6">
        <f>IFERROR(INDEX('02b_DC_Accelerator_Mix'!$K$2:$K$977,MATCH(G635,'02b_DC_Accelerator_Mix'!$A$2:$A$977,0)),0)</f>
        <v/>
      </c>
      <c r="O635" s="6">
        <f>IFERROR(INDEX('02b_DC_Accelerator_Mix'!$L$2:$L$977,MATCH(G635,'02b_DC_Accelerator_Mix'!$A$2:$A$977,0)),0)</f>
        <v/>
      </c>
      <c r="P635" s="6">
        <f>IFERROR(INDEX('02b_DC_Accelerator_Mix'!$M$2:$M$977,MATCH(G635,'02b_DC_Accelerator_Mix'!$A$2:$A$977,0)),0)</f>
        <v/>
      </c>
      <c r="Q635" s="6">
        <f>IFERROR(INDEX('02b_DC_Accelerator_Mix'!$N$2:$N$977,MATCH(G635,'02b_DC_Accelerator_Mix'!$A$2:$A$977,0)),0)</f>
        <v/>
      </c>
      <c r="R635" s="28">
        <f>H635*I635</f>
        <v/>
      </c>
      <c r="S635" s="28">
        <f>H635*J635</f>
        <v/>
      </c>
      <c r="T635" s="28">
        <f>H635*K635</f>
        <v/>
      </c>
      <c r="U635" s="28">
        <f>H635*L635</f>
        <v/>
      </c>
      <c r="V635" s="28">
        <f>H635*M635</f>
        <v/>
      </c>
      <c r="W635" s="28">
        <f>H635*N635</f>
        <v/>
      </c>
      <c r="X635" s="28">
        <f>H635*O635</f>
        <v/>
      </c>
      <c r="Y635" s="28">
        <f>H635*P635</f>
        <v/>
      </c>
      <c r="Z635" s="28">
        <f>H635*Q635</f>
        <v/>
      </c>
      <c r="AA635" s="28">
        <f>SUM(U635:Z635)</f>
        <v/>
      </c>
      <c r="AB635" s="5">
        <f>IF(COUNTIF('02b_DC_Accelerator_Mix'!$A$2:$A$977,G635)&gt;0,"matched","missing_mix")</f>
        <v/>
      </c>
    </row>
    <row r="636">
      <c r="A636" s="5">
        <f>'02a_DC_Capacity_Alloc'!A636</f>
        <v/>
      </c>
      <c r="B636" s="5">
        <f>'02a_DC_Capacity_Alloc'!B636</f>
        <v/>
      </c>
      <c r="C636" s="5">
        <f>'02a_DC_Capacity_Alloc'!C636</f>
        <v/>
      </c>
      <c r="D636" s="5">
        <f>'02a_DC_Capacity_Alloc'!D636</f>
        <v/>
      </c>
      <c r="E636" s="5">
        <f>'02a_DC_Capacity_Alloc'!E636</f>
        <v/>
      </c>
      <c r="F636" s="5">
        <f>'02a_DC_Capacity_Alloc'!F636</f>
        <v/>
      </c>
      <c r="G636" s="5">
        <f>B636&amp;"|"&amp;E636&amp;"|"&amp;D636</f>
        <v/>
      </c>
      <c r="H636" s="28">
        <f>'02a_DC_Capacity_Alloc'!H636*'02a_DC_Capacity_Alloc'!I636*'02a_DC_Capacity_Alloc'!J636</f>
        <v/>
      </c>
      <c r="I636" s="6">
        <f>IFERROR(INDEX('02b_DC_Accelerator_Mix'!$F$2:$F$977,MATCH(G636,'02b_DC_Accelerator_Mix'!$A$2:$A$977,0)),0)</f>
        <v/>
      </c>
      <c r="J636" s="6">
        <f>IFERROR(INDEX('02b_DC_Accelerator_Mix'!$G$2:$G$977,MATCH(G636,'02b_DC_Accelerator_Mix'!$A$2:$A$977,0)),0)</f>
        <v/>
      </c>
      <c r="K636" s="6">
        <f>IFERROR(INDEX('02b_DC_Accelerator_Mix'!$H$2:$H$977,MATCH(G636,'02b_DC_Accelerator_Mix'!$A$2:$A$977,0)),0)</f>
        <v/>
      </c>
      <c r="L636" s="6">
        <f>IFERROR(INDEX('02b_DC_Accelerator_Mix'!$I$2:$I$977,MATCH(G636,'02b_DC_Accelerator_Mix'!$A$2:$A$977,0)),0)</f>
        <v/>
      </c>
      <c r="M636" s="6">
        <f>IFERROR(INDEX('02b_DC_Accelerator_Mix'!$J$2:$J$977,MATCH(G636,'02b_DC_Accelerator_Mix'!$A$2:$A$977,0)),0)</f>
        <v/>
      </c>
      <c r="N636" s="6">
        <f>IFERROR(INDEX('02b_DC_Accelerator_Mix'!$K$2:$K$977,MATCH(G636,'02b_DC_Accelerator_Mix'!$A$2:$A$977,0)),0)</f>
        <v/>
      </c>
      <c r="O636" s="6">
        <f>IFERROR(INDEX('02b_DC_Accelerator_Mix'!$L$2:$L$977,MATCH(G636,'02b_DC_Accelerator_Mix'!$A$2:$A$977,0)),0)</f>
        <v/>
      </c>
      <c r="P636" s="6">
        <f>IFERROR(INDEX('02b_DC_Accelerator_Mix'!$M$2:$M$977,MATCH(G636,'02b_DC_Accelerator_Mix'!$A$2:$A$977,0)),0)</f>
        <v/>
      </c>
      <c r="Q636" s="6">
        <f>IFERROR(INDEX('02b_DC_Accelerator_Mix'!$N$2:$N$977,MATCH(G636,'02b_DC_Accelerator_Mix'!$A$2:$A$977,0)),0)</f>
        <v/>
      </c>
      <c r="R636" s="28">
        <f>H636*I636</f>
        <v/>
      </c>
      <c r="S636" s="28">
        <f>H636*J636</f>
        <v/>
      </c>
      <c r="T636" s="28">
        <f>H636*K636</f>
        <v/>
      </c>
      <c r="U636" s="28">
        <f>H636*L636</f>
        <v/>
      </c>
      <c r="V636" s="28">
        <f>H636*M636</f>
        <v/>
      </c>
      <c r="W636" s="28">
        <f>H636*N636</f>
        <v/>
      </c>
      <c r="X636" s="28">
        <f>H636*O636</f>
        <v/>
      </c>
      <c r="Y636" s="28">
        <f>H636*P636</f>
        <v/>
      </c>
      <c r="Z636" s="28">
        <f>H636*Q636</f>
        <v/>
      </c>
      <c r="AA636" s="28">
        <f>SUM(U636:Z636)</f>
        <v/>
      </c>
      <c r="AB636" s="5">
        <f>IF(COUNTIF('02b_DC_Accelerator_Mix'!$A$2:$A$977,G636)&gt;0,"matched","missing_mix")</f>
        <v/>
      </c>
    </row>
    <row r="637">
      <c r="A637" s="5">
        <f>'02a_DC_Capacity_Alloc'!A637</f>
        <v/>
      </c>
      <c r="B637" s="5">
        <f>'02a_DC_Capacity_Alloc'!B637</f>
        <v/>
      </c>
      <c r="C637" s="5">
        <f>'02a_DC_Capacity_Alloc'!C637</f>
        <v/>
      </c>
      <c r="D637" s="5">
        <f>'02a_DC_Capacity_Alloc'!D637</f>
        <v/>
      </c>
      <c r="E637" s="5">
        <f>'02a_DC_Capacity_Alloc'!E637</f>
        <v/>
      </c>
      <c r="F637" s="5">
        <f>'02a_DC_Capacity_Alloc'!F637</f>
        <v/>
      </c>
      <c r="G637" s="5">
        <f>B637&amp;"|"&amp;E637&amp;"|"&amp;D637</f>
        <v/>
      </c>
      <c r="H637" s="28">
        <f>'02a_DC_Capacity_Alloc'!H637*'02a_DC_Capacity_Alloc'!I637*'02a_DC_Capacity_Alloc'!J637</f>
        <v/>
      </c>
      <c r="I637" s="6">
        <f>IFERROR(INDEX('02b_DC_Accelerator_Mix'!$F$2:$F$977,MATCH(G637,'02b_DC_Accelerator_Mix'!$A$2:$A$977,0)),0)</f>
        <v/>
      </c>
      <c r="J637" s="6">
        <f>IFERROR(INDEX('02b_DC_Accelerator_Mix'!$G$2:$G$977,MATCH(G637,'02b_DC_Accelerator_Mix'!$A$2:$A$977,0)),0)</f>
        <v/>
      </c>
      <c r="K637" s="6">
        <f>IFERROR(INDEX('02b_DC_Accelerator_Mix'!$H$2:$H$977,MATCH(G637,'02b_DC_Accelerator_Mix'!$A$2:$A$977,0)),0)</f>
        <v/>
      </c>
      <c r="L637" s="6">
        <f>IFERROR(INDEX('02b_DC_Accelerator_Mix'!$I$2:$I$977,MATCH(G637,'02b_DC_Accelerator_Mix'!$A$2:$A$977,0)),0)</f>
        <v/>
      </c>
      <c r="M637" s="6">
        <f>IFERROR(INDEX('02b_DC_Accelerator_Mix'!$J$2:$J$977,MATCH(G637,'02b_DC_Accelerator_Mix'!$A$2:$A$977,0)),0)</f>
        <v/>
      </c>
      <c r="N637" s="6">
        <f>IFERROR(INDEX('02b_DC_Accelerator_Mix'!$K$2:$K$977,MATCH(G637,'02b_DC_Accelerator_Mix'!$A$2:$A$977,0)),0)</f>
        <v/>
      </c>
      <c r="O637" s="6">
        <f>IFERROR(INDEX('02b_DC_Accelerator_Mix'!$L$2:$L$977,MATCH(G637,'02b_DC_Accelerator_Mix'!$A$2:$A$977,0)),0)</f>
        <v/>
      </c>
      <c r="P637" s="6">
        <f>IFERROR(INDEX('02b_DC_Accelerator_Mix'!$M$2:$M$977,MATCH(G637,'02b_DC_Accelerator_Mix'!$A$2:$A$977,0)),0)</f>
        <v/>
      </c>
      <c r="Q637" s="6">
        <f>IFERROR(INDEX('02b_DC_Accelerator_Mix'!$N$2:$N$977,MATCH(G637,'02b_DC_Accelerator_Mix'!$A$2:$A$977,0)),0)</f>
        <v/>
      </c>
      <c r="R637" s="28">
        <f>H637*I637</f>
        <v/>
      </c>
      <c r="S637" s="28">
        <f>H637*J637</f>
        <v/>
      </c>
      <c r="T637" s="28">
        <f>H637*K637</f>
        <v/>
      </c>
      <c r="U637" s="28">
        <f>H637*L637</f>
        <v/>
      </c>
      <c r="V637" s="28">
        <f>H637*M637</f>
        <v/>
      </c>
      <c r="W637" s="28">
        <f>H637*N637</f>
        <v/>
      </c>
      <c r="X637" s="28">
        <f>H637*O637</f>
        <v/>
      </c>
      <c r="Y637" s="28">
        <f>H637*P637</f>
        <v/>
      </c>
      <c r="Z637" s="28">
        <f>H637*Q637</f>
        <v/>
      </c>
      <c r="AA637" s="28">
        <f>SUM(U637:Z637)</f>
        <v/>
      </c>
      <c r="AB637" s="5">
        <f>IF(COUNTIF('02b_DC_Accelerator_Mix'!$A$2:$A$977,G637)&gt;0,"matched","missing_mix")</f>
        <v/>
      </c>
    </row>
    <row r="638">
      <c r="A638" s="5">
        <f>'02a_DC_Capacity_Alloc'!A638</f>
        <v/>
      </c>
      <c r="B638" s="5">
        <f>'02a_DC_Capacity_Alloc'!B638</f>
        <v/>
      </c>
      <c r="C638" s="5">
        <f>'02a_DC_Capacity_Alloc'!C638</f>
        <v/>
      </c>
      <c r="D638" s="5">
        <f>'02a_DC_Capacity_Alloc'!D638</f>
        <v/>
      </c>
      <c r="E638" s="5">
        <f>'02a_DC_Capacity_Alloc'!E638</f>
        <v/>
      </c>
      <c r="F638" s="5">
        <f>'02a_DC_Capacity_Alloc'!F638</f>
        <v/>
      </c>
      <c r="G638" s="5">
        <f>B638&amp;"|"&amp;E638&amp;"|"&amp;D638</f>
        <v/>
      </c>
      <c r="H638" s="28">
        <f>'02a_DC_Capacity_Alloc'!H638*'02a_DC_Capacity_Alloc'!I638*'02a_DC_Capacity_Alloc'!J638</f>
        <v/>
      </c>
      <c r="I638" s="6">
        <f>IFERROR(INDEX('02b_DC_Accelerator_Mix'!$F$2:$F$977,MATCH(G638,'02b_DC_Accelerator_Mix'!$A$2:$A$977,0)),0)</f>
        <v/>
      </c>
      <c r="J638" s="6">
        <f>IFERROR(INDEX('02b_DC_Accelerator_Mix'!$G$2:$G$977,MATCH(G638,'02b_DC_Accelerator_Mix'!$A$2:$A$977,0)),0)</f>
        <v/>
      </c>
      <c r="K638" s="6">
        <f>IFERROR(INDEX('02b_DC_Accelerator_Mix'!$H$2:$H$977,MATCH(G638,'02b_DC_Accelerator_Mix'!$A$2:$A$977,0)),0)</f>
        <v/>
      </c>
      <c r="L638" s="6">
        <f>IFERROR(INDEX('02b_DC_Accelerator_Mix'!$I$2:$I$977,MATCH(G638,'02b_DC_Accelerator_Mix'!$A$2:$A$977,0)),0)</f>
        <v/>
      </c>
      <c r="M638" s="6">
        <f>IFERROR(INDEX('02b_DC_Accelerator_Mix'!$J$2:$J$977,MATCH(G638,'02b_DC_Accelerator_Mix'!$A$2:$A$977,0)),0)</f>
        <v/>
      </c>
      <c r="N638" s="6">
        <f>IFERROR(INDEX('02b_DC_Accelerator_Mix'!$K$2:$K$977,MATCH(G638,'02b_DC_Accelerator_Mix'!$A$2:$A$977,0)),0)</f>
        <v/>
      </c>
      <c r="O638" s="6">
        <f>IFERROR(INDEX('02b_DC_Accelerator_Mix'!$L$2:$L$977,MATCH(G638,'02b_DC_Accelerator_Mix'!$A$2:$A$977,0)),0)</f>
        <v/>
      </c>
      <c r="P638" s="6">
        <f>IFERROR(INDEX('02b_DC_Accelerator_Mix'!$M$2:$M$977,MATCH(G638,'02b_DC_Accelerator_Mix'!$A$2:$A$977,0)),0)</f>
        <v/>
      </c>
      <c r="Q638" s="6">
        <f>IFERROR(INDEX('02b_DC_Accelerator_Mix'!$N$2:$N$977,MATCH(G638,'02b_DC_Accelerator_Mix'!$A$2:$A$977,0)),0)</f>
        <v/>
      </c>
      <c r="R638" s="28">
        <f>H638*I638</f>
        <v/>
      </c>
      <c r="S638" s="28">
        <f>H638*J638</f>
        <v/>
      </c>
      <c r="T638" s="28">
        <f>H638*K638</f>
        <v/>
      </c>
      <c r="U638" s="28">
        <f>H638*L638</f>
        <v/>
      </c>
      <c r="V638" s="28">
        <f>H638*M638</f>
        <v/>
      </c>
      <c r="W638" s="28">
        <f>H638*N638</f>
        <v/>
      </c>
      <c r="X638" s="28">
        <f>H638*O638</f>
        <v/>
      </c>
      <c r="Y638" s="28">
        <f>H638*P638</f>
        <v/>
      </c>
      <c r="Z638" s="28">
        <f>H638*Q638</f>
        <v/>
      </c>
      <c r="AA638" s="28">
        <f>SUM(U638:Z638)</f>
        <v/>
      </c>
      <c r="AB638" s="5">
        <f>IF(COUNTIF('02b_DC_Accelerator_Mix'!$A$2:$A$977,G638)&gt;0,"matched","missing_mix")</f>
        <v/>
      </c>
    </row>
    <row r="639">
      <c r="A639" s="5">
        <f>'02a_DC_Capacity_Alloc'!A639</f>
        <v/>
      </c>
      <c r="B639" s="5">
        <f>'02a_DC_Capacity_Alloc'!B639</f>
        <v/>
      </c>
      <c r="C639" s="5">
        <f>'02a_DC_Capacity_Alloc'!C639</f>
        <v/>
      </c>
      <c r="D639" s="5">
        <f>'02a_DC_Capacity_Alloc'!D639</f>
        <v/>
      </c>
      <c r="E639" s="5">
        <f>'02a_DC_Capacity_Alloc'!E639</f>
        <v/>
      </c>
      <c r="F639" s="5">
        <f>'02a_DC_Capacity_Alloc'!F639</f>
        <v/>
      </c>
      <c r="G639" s="5">
        <f>B639&amp;"|"&amp;E639&amp;"|"&amp;D639</f>
        <v/>
      </c>
      <c r="H639" s="28">
        <f>'02a_DC_Capacity_Alloc'!H639*'02a_DC_Capacity_Alloc'!I639*'02a_DC_Capacity_Alloc'!J639</f>
        <v/>
      </c>
      <c r="I639" s="6">
        <f>IFERROR(INDEX('02b_DC_Accelerator_Mix'!$F$2:$F$977,MATCH(G639,'02b_DC_Accelerator_Mix'!$A$2:$A$977,0)),0)</f>
        <v/>
      </c>
      <c r="J639" s="6">
        <f>IFERROR(INDEX('02b_DC_Accelerator_Mix'!$G$2:$G$977,MATCH(G639,'02b_DC_Accelerator_Mix'!$A$2:$A$977,0)),0)</f>
        <v/>
      </c>
      <c r="K639" s="6">
        <f>IFERROR(INDEX('02b_DC_Accelerator_Mix'!$H$2:$H$977,MATCH(G639,'02b_DC_Accelerator_Mix'!$A$2:$A$977,0)),0)</f>
        <v/>
      </c>
      <c r="L639" s="6">
        <f>IFERROR(INDEX('02b_DC_Accelerator_Mix'!$I$2:$I$977,MATCH(G639,'02b_DC_Accelerator_Mix'!$A$2:$A$977,0)),0)</f>
        <v/>
      </c>
      <c r="M639" s="6">
        <f>IFERROR(INDEX('02b_DC_Accelerator_Mix'!$J$2:$J$977,MATCH(G639,'02b_DC_Accelerator_Mix'!$A$2:$A$977,0)),0)</f>
        <v/>
      </c>
      <c r="N639" s="6">
        <f>IFERROR(INDEX('02b_DC_Accelerator_Mix'!$K$2:$K$977,MATCH(G639,'02b_DC_Accelerator_Mix'!$A$2:$A$977,0)),0)</f>
        <v/>
      </c>
      <c r="O639" s="6">
        <f>IFERROR(INDEX('02b_DC_Accelerator_Mix'!$L$2:$L$977,MATCH(G639,'02b_DC_Accelerator_Mix'!$A$2:$A$977,0)),0)</f>
        <v/>
      </c>
      <c r="P639" s="6">
        <f>IFERROR(INDEX('02b_DC_Accelerator_Mix'!$M$2:$M$977,MATCH(G639,'02b_DC_Accelerator_Mix'!$A$2:$A$977,0)),0)</f>
        <v/>
      </c>
      <c r="Q639" s="6">
        <f>IFERROR(INDEX('02b_DC_Accelerator_Mix'!$N$2:$N$977,MATCH(G639,'02b_DC_Accelerator_Mix'!$A$2:$A$977,0)),0)</f>
        <v/>
      </c>
      <c r="R639" s="28">
        <f>H639*I639</f>
        <v/>
      </c>
      <c r="S639" s="28">
        <f>H639*J639</f>
        <v/>
      </c>
      <c r="T639" s="28">
        <f>H639*K639</f>
        <v/>
      </c>
      <c r="U639" s="28">
        <f>H639*L639</f>
        <v/>
      </c>
      <c r="V639" s="28">
        <f>H639*M639</f>
        <v/>
      </c>
      <c r="W639" s="28">
        <f>H639*N639</f>
        <v/>
      </c>
      <c r="X639" s="28">
        <f>H639*O639</f>
        <v/>
      </c>
      <c r="Y639" s="28">
        <f>H639*P639</f>
        <v/>
      </c>
      <c r="Z639" s="28">
        <f>H639*Q639</f>
        <v/>
      </c>
      <c r="AA639" s="28">
        <f>SUM(U639:Z639)</f>
        <v/>
      </c>
      <c r="AB639" s="5">
        <f>IF(COUNTIF('02b_DC_Accelerator_Mix'!$A$2:$A$977,G639)&gt;0,"matched","missing_mix")</f>
        <v/>
      </c>
    </row>
    <row r="640">
      <c r="A640" s="5">
        <f>'02a_DC_Capacity_Alloc'!A640</f>
        <v/>
      </c>
      <c r="B640" s="5">
        <f>'02a_DC_Capacity_Alloc'!B640</f>
        <v/>
      </c>
      <c r="C640" s="5">
        <f>'02a_DC_Capacity_Alloc'!C640</f>
        <v/>
      </c>
      <c r="D640" s="5">
        <f>'02a_DC_Capacity_Alloc'!D640</f>
        <v/>
      </c>
      <c r="E640" s="5">
        <f>'02a_DC_Capacity_Alloc'!E640</f>
        <v/>
      </c>
      <c r="F640" s="5">
        <f>'02a_DC_Capacity_Alloc'!F640</f>
        <v/>
      </c>
      <c r="G640" s="5">
        <f>B640&amp;"|"&amp;E640&amp;"|"&amp;D640</f>
        <v/>
      </c>
      <c r="H640" s="28">
        <f>'02a_DC_Capacity_Alloc'!H640*'02a_DC_Capacity_Alloc'!I640*'02a_DC_Capacity_Alloc'!J640</f>
        <v/>
      </c>
      <c r="I640" s="6">
        <f>IFERROR(INDEX('02b_DC_Accelerator_Mix'!$F$2:$F$977,MATCH(G640,'02b_DC_Accelerator_Mix'!$A$2:$A$977,0)),0)</f>
        <v/>
      </c>
      <c r="J640" s="6">
        <f>IFERROR(INDEX('02b_DC_Accelerator_Mix'!$G$2:$G$977,MATCH(G640,'02b_DC_Accelerator_Mix'!$A$2:$A$977,0)),0)</f>
        <v/>
      </c>
      <c r="K640" s="6">
        <f>IFERROR(INDEX('02b_DC_Accelerator_Mix'!$H$2:$H$977,MATCH(G640,'02b_DC_Accelerator_Mix'!$A$2:$A$977,0)),0)</f>
        <v/>
      </c>
      <c r="L640" s="6">
        <f>IFERROR(INDEX('02b_DC_Accelerator_Mix'!$I$2:$I$977,MATCH(G640,'02b_DC_Accelerator_Mix'!$A$2:$A$977,0)),0)</f>
        <v/>
      </c>
      <c r="M640" s="6">
        <f>IFERROR(INDEX('02b_DC_Accelerator_Mix'!$J$2:$J$977,MATCH(G640,'02b_DC_Accelerator_Mix'!$A$2:$A$977,0)),0)</f>
        <v/>
      </c>
      <c r="N640" s="6">
        <f>IFERROR(INDEX('02b_DC_Accelerator_Mix'!$K$2:$K$977,MATCH(G640,'02b_DC_Accelerator_Mix'!$A$2:$A$977,0)),0)</f>
        <v/>
      </c>
      <c r="O640" s="6">
        <f>IFERROR(INDEX('02b_DC_Accelerator_Mix'!$L$2:$L$977,MATCH(G640,'02b_DC_Accelerator_Mix'!$A$2:$A$977,0)),0)</f>
        <v/>
      </c>
      <c r="P640" s="6">
        <f>IFERROR(INDEX('02b_DC_Accelerator_Mix'!$M$2:$M$977,MATCH(G640,'02b_DC_Accelerator_Mix'!$A$2:$A$977,0)),0)</f>
        <v/>
      </c>
      <c r="Q640" s="6">
        <f>IFERROR(INDEX('02b_DC_Accelerator_Mix'!$N$2:$N$977,MATCH(G640,'02b_DC_Accelerator_Mix'!$A$2:$A$977,0)),0)</f>
        <v/>
      </c>
      <c r="R640" s="28">
        <f>H640*I640</f>
        <v/>
      </c>
      <c r="S640" s="28">
        <f>H640*J640</f>
        <v/>
      </c>
      <c r="T640" s="28">
        <f>H640*K640</f>
        <v/>
      </c>
      <c r="U640" s="28">
        <f>H640*L640</f>
        <v/>
      </c>
      <c r="V640" s="28">
        <f>H640*M640</f>
        <v/>
      </c>
      <c r="W640" s="28">
        <f>H640*N640</f>
        <v/>
      </c>
      <c r="X640" s="28">
        <f>H640*O640</f>
        <v/>
      </c>
      <c r="Y640" s="28">
        <f>H640*P640</f>
        <v/>
      </c>
      <c r="Z640" s="28">
        <f>H640*Q640</f>
        <v/>
      </c>
      <c r="AA640" s="28">
        <f>SUM(U640:Z640)</f>
        <v/>
      </c>
      <c r="AB640" s="5">
        <f>IF(COUNTIF('02b_DC_Accelerator_Mix'!$A$2:$A$977,G640)&gt;0,"matched","missing_mix")</f>
        <v/>
      </c>
    </row>
    <row r="641">
      <c r="A641" s="5">
        <f>'02a_DC_Capacity_Alloc'!A641</f>
        <v/>
      </c>
      <c r="B641" s="5">
        <f>'02a_DC_Capacity_Alloc'!B641</f>
        <v/>
      </c>
      <c r="C641" s="5">
        <f>'02a_DC_Capacity_Alloc'!C641</f>
        <v/>
      </c>
      <c r="D641" s="5">
        <f>'02a_DC_Capacity_Alloc'!D641</f>
        <v/>
      </c>
      <c r="E641" s="5">
        <f>'02a_DC_Capacity_Alloc'!E641</f>
        <v/>
      </c>
      <c r="F641" s="5">
        <f>'02a_DC_Capacity_Alloc'!F641</f>
        <v/>
      </c>
      <c r="G641" s="5">
        <f>B641&amp;"|"&amp;E641&amp;"|"&amp;D641</f>
        <v/>
      </c>
      <c r="H641" s="28">
        <f>'02a_DC_Capacity_Alloc'!H641*'02a_DC_Capacity_Alloc'!I641*'02a_DC_Capacity_Alloc'!J641</f>
        <v/>
      </c>
      <c r="I641" s="6">
        <f>IFERROR(INDEX('02b_DC_Accelerator_Mix'!$F$2:$F$977,MATCH(G641,'02b_DC_Accelerator_Mix'!$A$2:$A$977,0)),0)</f>
        <v/>
      </c>
      <c r="J641" s="6">
        <f>IFERROR(INDEX('02b_DC_Accelerator_Mix'!$G$2:$G$977,MATCH(G641,'02b_DC_Accelerator_Mix'!$A$2:$A$977,0)),0)</f>
        <v/>
      </c>
      <c r="K641" s="6">
        <f>IFERROR(INDEX('02b_DC_Accelerator_Mix'!$H$2:$H$977,MATCH(G641,'02b_DC_Accelerator_Mix'!$A$2:$A$977,0)),0)</f>
        <v/>
      </c>
      <c r="L641" s="6">
        <f>IFERROR(INDEX('02b_DC_Accelerator_Mix'!$I$2:$I$977,MATCH(G641,'02b_DC_Accelerator_Mix'!$A$2:$A$977,0)),0)</f>
        <v/>
      </c>
      <c r="M641" s="6">
        <f>IFERROR(INDEX('02b_DC_Accelerator_Mix'!$J$2:$J$977,MATCH(G641,'02b_DC_Accelerator_Mix'!$A$2:$A$977,0)),0)</f>
        <v/>
      </c>
      <c r="N641" s="6">
        <f>IFERROR(INDEX('02b_DC_Accelerator_Mix'!$K$2:$K$977,MATCH(G641,'02b_DC_Accelerator_Mix'!$A$2:$A$977,0)),0)</f>
        <v/>
      </c>
      <c r="O641" s="6">
        <f>IFERROR(INDEX('02b_DC_Accelerator_Mix'!$L$2:$L$977,MATCH(G641,'02b_DC_Accelerator_Mix'!$A$2:$A$977,0)),0)</f>
        <v/>
      </c>
      <c r="P641" s="6">
        <f>IFERROR(INDEX('02b_DC_Accelerator_Mix'!$M$2:$M$977,MATCH(G641,'02b_DC_Accelerator_Mix'!$A$2:$A$977,0)),0)</f>
        <v/>
      </c>
      <c r="Q641" s="6">
        <f>IFERROR(INDEX('02b_DC_Accelerator_Mix'!$N$2:$N$977,MATCH(G641,'02b_DC_Accelerator_Mix'!$A$2:$A$977,0)),0)</f>
        <v/>
      </c>
      <c r="R641" s="28">
        <f>H641*I641</f>
        <v/>
      </c>
      <c r="S641" s="28">
        <f>H641*J641</f>
        <v/>
      </c>
      <c r="T641" s="28">
        <f>H641*K641</f>
        <v/>
      </c>
      <c r="U641" s="28">
        <f>H641*L641</f>
        <v/>
      </c>
      <c r="V641" s="28">
        <f>H641*M641</f>
        <v/>
      </c>
      <c r="W641" s="28">
        <f>H641*N641</f>
        <v/>
      </c>
      <c r="X641" s="28">
        <f>H641*O641</f>
        <v/>
      </c>
      <c r="Y641" s="28">
        <f>H641*P641</f>
        <v/>
      </c>
      <c r="Z641" s="28">
        <f>H641*Q641</f>
        <v/>
      </c>
      <c r="AA641" s="28">
        <f>SUM(U641:Z641)</f>
        <v/>
      </c>
      <c r="AB641" s="5">
        <f>IF(COUNTIF('02b_DC_Accelerator_Mix'!$A$2:$A$977,G641)&gt;0,"matched","missing_mix")</f>
        <v/>
      </c>
    </row>
    <row r="642">
      <c r="A642" s="5">
        <f>'02a_DC_Capacity_Alloc'!A642</f>
        <v/>
      </c>
      <c r="B642" s="5">
        <f>'02a_DC_Capacity_Alloc'!B642</f>
        <v/>
      </c>
      <c r="C642" s="5">
        <f>'02a_DC_Capacity_Alloc'!C642</f>
        <v/>
      </c>
      <c r="D642" s="5">
        <f>'02a_DC_Capacity_Alloc'!D642</f>
        <v/>
      </c>
      <c r="E642" s="5">
        <f>'02a_DC_Capacity_Alloc'!E642</f>
        <v/>
      </c>
      <c r="F642" s="5">
        <f>'02a_DC_Capacity_Alloc'!F642</f>
        <v/>
      </c>
      <c r="G642" s="5">
        <f>B642&amp;"|"&amp;E642&amp;"|"&amp;D642</f>
        <v/>
      </c>
      <c r="H642" s="28">
        <f>'02a_DC_Capacity_Alloc'!H642*'02a_DC_Capacity_Alloc'!I642*'02a_DC_Capacity_Alloc'!J642</f>
        <v/>
      </c>
      <c r="I642" s="6">
        <f>IFERROR(INDEX('02b_DC_Accelerator_Mix'!$F$2:$F$977,MATCH(G642,'02b_DC_Accelerator_Mix'!$A$2:$A$977,0)),0)</f>
        <v/>
      </c>
      <c r="J642" s="6">
        <f>IFERROR(INDEX('02b_DC_Accelerator_Mix'!$G$2:$G$977,MATCH(G642,'02b_DC_Accelerator_Mix'!$A$2:$A$977,0)),0)</f>
        <v/>
      </c>
      <c r="K642" s="6">
        <f>IFERROR(INDEX('02b_DC_Accelerator_Mix'!$H$2:$H$977,MATCH(G642,'02b_DC_Accelerator_Mix'!$A$2:$A$977,0)),0)</f>
        <v/>
      </c>
      <c r="L642" s="6">
        <f>IFERROR(INDEX('02b_DC_Accelerator_Mix'!$I$2:$I$977,MATCH(G642,'02b_DC_Accelerator_Mix'!$A$2:$A$977,0)),0)</f>
        <v/>
      </c>
      <c r="M642" s="6">
        <f>IFERROR(INDEX('02b_DC_Accelerator_Mix'!$J$2:$J$977,MATCH(G642,'02b_DC_Accelerator_Mix'!$A$2:$A$977,0)),0)</f>
        <v/>
      </c>
      <c r="N642" s="6">
        <f>IFERROR(INDEX('02b_DC_Accelerator_Mix'!$K$2:$K$977,MATCH(G642,'02b_DC_Accelerator_Mix'!$A$2:$A$977,0)),0)</f>
        <v/>
      </c>
      <c r="O642" s="6">
        <f>IFERROR(INDEX('02b_DC_Accelerator_Mix'!$L$2:$L$977,MATCH(G642,'02b_DC_Accelerator_Mix'!$A$2:$A$977,0)),0)</f>
        <v/>
      </c>
      <c r="P642" s="6">
        <f>IFERROR(INDEX('02b_DC_Accelerator_Mix'!$M$2:$M$977,MATCH(G642,'02b_DC_Accelerator_Mix'!$A$2:$A$977,0)),0)</f>
        <v/>
      </c>
      <c r="Q642" s="6">
        <f>IFERROR(INDEX('02b_DC_Accelerator_Mix'!$N$2:$N$977,MATCH(G642,'02b_DC_Accelerator_Mix'!$A$2:$A$977,0)),0)</f>
        <v/>
      </c>
      <c r="R642" s="28">
        <f>H642*I642</f>
        <v/>
      </c>
      <c r="S642" s="28">
        <f>H642*J642</f>
        <v/>
      </c>
      <c r="T642" s="28">
        <f>H642*K642</f>
        <v/>
      </c>
      <c r="U642" s="28">
        <f>H642*L642</f>
        <v/>
      </c>
      <c r="V642" s="28">
        <f>H642*M642</f>
        <v/>
      </c>
      <c r="W642" s="28">
        <f>H642*N642</f>
        <v/>
      </c>
      <c r="X642" s="28">
        <f>H642*O642</f>
        <v/>
      </c>
      <c r="Y642" s="28">
        <f>H642*P642</f>
        <v/>
      </c>
      <c r="Z642" s="28">
        <f>H642*Q642</f>
        <v/>
      </c>
      <c r="AA642" s="28">
        <f>SUM(U642:Z642)</f>
        <v/>
      </c>
      <c r="AB642" s="5">
        <f>IF(COUNTIF('02b_DC_Accelerator_Mix'!$A$2:$A$977,G642)&gt;0,"matched","missing_mix")</f>
        <v/>
      </c>
    </row>
    <row r="643">
      <c r="A643" s="5">
        <f>'02a_DC_Capacity_Alloc'!A643</f>
        <v/>
      </c>
      <c r="B643" s="5">
        <f>'02a_DC_Capacity_Alloc'!B643</f>
        <v/>
      </c>
      <c r="C643" s="5">
        <f>'02a_DC_Capacity_Alloc'!C643</f>
        <v/>
      </c>
      <c r="D643" s="5">
        <f>'02a_DC_Capacity_Alloc'!D643</f>
        <v/>
      </c>
      <c r="E643" s="5">
        <f>'02a_DC_Capacity_Alloc'!E643</f>
        <v/>
      </c>
      <c r="F643" s="5">
        <f>'02a_DC_Capacity_Alloc'!F643</f>
        <v/>
      </c>
      <c r="G643" s="5">
        <f>B643&amp;"|"&amp;E643&amp;"|"&amp;D643</f>
        <v/>
      </c>
      <c r="H643" s="28">
        <f>'02a_DC_Capacity_Alloc'!H643*'02a_DC_Capacity_Alloc'!I643*'02a_DC_Capacity_Alloc'!J643</f>
        <v/>
      </c>
      <c r="I643" s="6">
        <f>IFERROR(INDEX('02b_DC_Accelerator_Mix'!$F$2:$F$977,MATCH(G643,'02b_DC_Accelerator_Mix'!$A$2:$A$977,0)),0)</f>
        <v/>
      </c>
      <c r="J643" s="6">
        <f>IFERROR(INDEX('02b_DC_Accelerator_Mix'!$G$2:$G$977,MATCH(G643,'02b_DC_Accelerator_Mix'!$A$2:$A$977,0)),0)</f>
        <v/>
      </c>
      <c r="K643" s="6">
        <f>IFERROR(INDEX('02b_DC_Accelerator_Mix'!$H$2:$H$977,MATCH(G643,'02b_DC_Accelerator_Mix'!$A$2:$A$977,0)),0)</f>
        <v/>
      </c>
      <c r="L643" s="6">
        <f>IFERROR(INDEX('02b_DC_Accelerator_Mix'!$I$2:$I$977,MATCH(G643,'02b_DC_Accelerator_Mix'!$A$2:$A$977,0)),0)</f>
        <v/>
      </c>
      <c r="M643" s="6">
        <f>IFERROR(INDEX('02b_DC_Accelerator_Mix'!$J$2:$J$977,MATCH(G643,'02b_DC_Accelerator_Mix'!$A$2:$A$977,0)),0)</f>
        <v/>
      </c>
      <c r="N643" s="6">
        <f>IFERROR(INDEX('02b_DC_Accelerator_Mix'!$K$2:$K$977,MATCH(G643,'02b_DC_Accelerator_Mix'!$A$2:$A$977,0)),0)</f>
        <v/>
      </c>
      <c r="O643" s="6">
        <f>IFERROR(INDEX('02b_DC_Accelerator_Mix'!$L$2:$L$977,MATCH(G643,'02b_DC_Accelerator_Mix'!$A$2:$A$977,0)),0)</f>
        <v/>
      </c>
      <c r="P643" s="6">
        <f>IFERROR(INDEX('02b_DC_Accelerator_Mix'!$M$2:$M$977,MATCH(G643,'02b_DC_Accelerator_Mix'!$A$2:$A$977,0)),0)</f>
        <v/>
      </c>
      <c r="Q643" s="6">
        <f>IFERROR(INDEX('02b_DC_Accelerator_Mix'!$N$2:$N$977,MATCH(G643,'02b_DC_Accelerator_Mix'!$A$2:$A$977,0)),0)</f>
        <v/>
      </c>
      <c r="R643" s="28">
        <f>H643*I643</f>
        <v/>
      </c>
      <c r="S643" s="28">
        <f>H643*J643</f>
        <v/>
      </c>
      <c r="T643" s="28">
        <f>H643*K643</f>
        <v/>
      </c>
      <c r="U643" s="28">
        <f>H643*L643</f>
        <v/>
      </c>
      <c r="V643" s="28">
        <f>H643*M643</f>
        <v/>
      </c>
      <c r="W643" s="28">
        <f>H643*N643</f>
        <v/>
      </c>
      <c r="X643" s="28">
        <f>H643*O643</f>
        <v/>
      </c>
      <c r="Y643" s="28">
        <f>H643*P643</f>
        <v/>
      </c>
      <c r="Z643" s="28">
        <f>H643*Q643</f>
        <v/>
      </c>
      <c r="AA643" s="28">
        <f>SUM(U643:Z643)</f>
        <v/>
      </c>
      <c r="AB643" s="5">
        <f>IF(COUNTIF('02b_DC_Accelerator_Mix'!$A$2:$A$977,G643)&gt;0,"matched","missing_mix")</f>
        <v/>
      </c>
    </row>
    <row r="644">
      <c r="A644" s="5">
        <f>'02a_DC_Capacity_Alloc'!A644</f>
        <v/>
      </c>
      <c r="B644" s="5">
        <f>'02a_DC_Capacity_Alloc'!B644</f>
        <v/>
      </c>
      <c r="C644" s="5">
        <f>'02a_DC_Capacity_Alloc'!C644</f>
        <v/>
      </c>
      <c r="D644" s="5">
        <f>'02a_DC_Capacity_Alloc'!D644</f>
        <v/>
      </c>
      <c r="E644" s="5">
        <f>'02a_DC_Capacity_Alloc'!E644</f>
        <v/>
      </c>
      <c r="F644" s="5">
        <f>'02a_DC_Capacity_Alloc'!F644</f>
        <v/>
      </c>
      <c r="G644" s="5">
        <f>B644&amp;"|"&amp;E644&amp;"|"&amp;D644</f>
        <v/>
      </c>
      <c r="H644" s="28">
        <f>'02a_DC_Capacity_Alloc'!H644*'02a_DC_Capacity_Alloc'!I644*'02a_DC_Capacity_Alloc'!J644</f>
        <v/>
      </c>
      <c r="I644" s="6">
        <f>IFERROR(INDEX('02b_DC_Accelerator_Mix'!$F$2:$F$977,MATCH(G644,'02b_DC_Accelerator_Mix'!$A$2:$A$977,0)),0)</f>
        <v/>
      </c>
      <c r="J644" s="6">
        <f>IFERROR(INDEX('02b_DC_Accelerator_Mix'!$G$2:$G$977,MATCH(G644,'02b_DC_Accelerator_Mix'!$A$2:$A$977,0)),0)</f>
        <v/>
      </c>
      <c r="K644" s="6">
        <f>IFERROR(INDEX('02b_DC_Accelerator_Mix'!$H$2:$H$977,MATCH(G644,'02b_DC_Accelerator_Mix'!$A$2:$A$977,0)),0)</f>
        <v/>
      </c>
      <c r="L644" s="6">
        <f>IFERROR(INDEX('02b_DC_Accelerator_Mix'!$I$2:$I$977,MATCH(G644,'02b_DC_Accelerator_Mix'!$A$2:$A$977,0)),0)</f>
        <v/>
      </c>
      <c r="M644" s="6">
        <f>IFERROR(INDEX('02b_DC_Accelerator_Mix'!$J$2:$J$977,MATCH(G644,'02b_DC_Accelerator_Mix'!$A$2:$A$977,0)),0)</f>
        <v/>
      </c>
      <c r="N644" s="6">
        <f>IFERROR(INDEX('02b_DC_Accelerator_Mix'!$K$2:$K$977,MATCH(G644,'02b_DC_Accelerator_Mix'!$A$2:$A$977,0)),0)</f>
        <v/>
      </c>
      <c r="O644" s="6">
        <f>IFERROR(INDEX('02b_DC_Accelerator_Mix'!$L$2:$L$977,MATCH(G644,'02b_DC_Accelerator_Mix'!$A$2:$A$977,0)),0)</f>
        <v/>
      </c>
      <c r="P644" s="6">
        <f>IFERROR(INDEX('02b_DC_Accelerator_Mix'!$M$2:$M$977,MATCH(G644,'02b_DC_Accelerator_Mix'!$A$2:$A$977,0)),0)</f>
        <v/>
      </c>
      <c r="Q644" s="6">
        <f>IFERROR(INDEX('02b_DC_Accelerator_Mix'!$N$2:$N$977,MATCH(G644,'02b_DC_Accelerator_Mix'!$A$2:$A$977,0)),0)</f>
        <v/>
      </c>
      <c r="R644" s="28">
        <f>H644*I644</f>
        <v/>
      </c>
      <c r="S644" s="28">
        <f>H644*J644</f>
        <v/>
      </c>
      <c r="T644" s="28">
        <f>H644*K644</f>
        <v/>
      </c>
      <c r="U644" s="28">
        <f>H644*L644</f>
        <v/>
      </c>
      <c r="V644" s="28">
        <f>H644*M644</f>
        <v/>
      </c>
      <c r="W644" s="28">
        <f>H644*N644</f>
        <v/>
      </c>
      <c r="X644" s="28">
        <f>H644*O644</f>
        <v/>
      </c>
      <c r="Y644" s="28">
        <f>H644*P644</f>
        <v/>
      </c>
      <c r="Z644" s="28">
        <f>H644*Q644</f>
        <v/>
      </c>
      <c r="AA644" s="28">
        <f>SUM(U644:Z644)</f>
        <v/>
      </c>
      <c r="AB644" s="5">
        <f>IF(COUNTIF('02b_DC_Accelerator_Mix'!$A$2:$A$977,G644)&gt;0,"matched","missing_mix")</f>
        <v/>
      </c>
    </row>
    <row r="645">
      <c r="A645" s="5">
        <f>'02a_DC_Capacity_Alloc'!A645</f>
        <v/>
      </c>
      <c r="B645" s="5">
        <f>'02a_DC_Capacity_Alloc'!B645</f>
        <v/>
      </c>
      <c r="C645" s="5">
        <f>'02a_DC_Capacity_Alloc'!C645</f>
        <v/>
      </c>
      <c r="D645" s="5">
        <f>'02a_DC_Capacity_Alloc'!D645</f>
        <v/>
      </c>
      <c r="E645" s="5">
        <f>'02a_DC_Capacity_Alloc'!E645</f>
        <v/>
      </c>
      <c r="F645" s="5">
        <f>'02a_DC_Capacity_Alloc'!F645</f>
        <v/>
      </c>
      <c r="G645" s="5">
        <f>B645&amp;"|"&amp;E645&amp;"|"&amp;D645</f>
        <v/>
      </c>
      <c r="H645" s="28">
        <f>'02a_DC_Capacity_Alloc'!H645*'02a_DC_Capacity_Alloc'!I645*'02a_DC_Capacity_Alloc'!J645</f>
        <v/>
      </c>
      <c r="I645" s="6">
        <f>IFERROR(INDEX('02b_DC_Accelerator_Mix'!$F$2:$F$977,MATCH(G645,'02b_DC_Accelerator_Mix'!$A$2:$A$977,0)),0)</f>
        <v/>
      </c>
      <c r="J645" s="6">
        <f>IFERROR(INDEX('02b_DC_Accelerator_Mix'!$G$2:$G$977,MATCH(G645,'02b_DC_Accelerator_Mix'!$A$2:$A$977,0)),0)</f>
        <v/>
      </c>
      <c r="K645" s="6">
        <f>IFERROR(INDEX('02b_DC_Accelerator_Mix'!$H$2:$H$977,MATCH(G645,'02b_DC_Accelerator_Mix'!$A$2:$A$977,0)),0)</f>
        <v/>
      </c>
      <c r="L645" s="6">
        <f>IFERROR(INDEX('02b_DC_Accelerator_Mix'!$I$2:$I$977,MATCH(G645,'02b_DC_Accelerator_Mix'!$A$2:$A$977,0)),0)</f>
        <v/>
      </c>
      <c r="M645" s="6">
        <f>IFERROR(INDEX('02b_DC_Accelerator_Mix'!$J$2:$J$977,MATCH(G645,'02b_DC_Accelerator_Mix'!$A$2:$A$977,0)),0)</f>
        <v/>
      </c>
      <c r="N645" s="6">
        <f>IFERROR(INDEX('02b_DC_Accelerator_Mix'!$K$2:$K$977,MATCH(G645,'02b_DC_Accelerator_Mix'!$A$2:$A$977,0)),0)</f>
        <v/>
      </c>
      <c r="O645" s="6">
        <f>IFERROR(INDEX('02b_DC_Accelerator_Mix'!$L$2:$L$977,MATCH(G645,'02b_DC_Accelerator_Mix'!$A$2:$A$977,0)),0)</f>
        <v/>
      </c>
      <c r="P645" s="6">
        <f>IFERROR(INDEX('02b_DC_Accelerator_Mix'!$M$2:$M$977,MATCH(G645,'02b_DC_Accelerator_Mix'!$A$2:$A$977,0)),0)</f>
        <v/>
      </c>
      <c r="Q645" s="6">
        <f>IFERROR(INDEX('02b_DC_Accelerator_Mix'!$N$2:$N$977,MATCH(G645,'02b_DC_Accelerator_Mix'!$A$2:$A$977,0)),0)</f>
        <v/>
      </c>
      <c r="R645" s="28">
        <f>H645*I645</f>
        <v/>
      </c>
      <c r="S645" s="28">
        <f>H645*J645</f>
        <v/>
      </c>
      <c r="T645" s="28">
        <f>H645*K645</f>
        <v/>
      </c>
      <c r="U645" s="28">
        <f>H645*L645</f>
        <v/>
      </c>
      <c r="V645" s="28">
        <f>H645*M645</f>
        <v/>
      </c>
      <c r="W645" s="28">
        <f>H645*N645</f>
        <v/>
      </c>
      <c r="X645" s="28">
        <f>H645*O645</f>
        <v/>
      </c>
      <c r="Y645" s="28">
        <f>H645*P645</f>
        <v/>
      </c>
      <c r="Z645" s="28">
        <f>H645*Q645</f>
        <v/>
      </c>
      <c r="AA645" s="28">
        <f>SUM(U645:Z645)</f>
        <v/>
      </c>
      <c r="AB645" s="5">
        <f>IF(COUNTIF('02b_DC_Accelerator_Mix'!$A$2:$A$977,G645)&gt;0,"matched","missing_mix")</f>
        <v/>
      </c>
    </row>
    <row r="646">
      <c r="A646" s="5">
        <f>'02a_DC_Capacity_Alloc'!A646</f>
        <v/>
      </c>
      <c r="B646" s="5">
        <f>'02a_DC_Capacity_Alloc'!B646</f>
        <v/>
      </c>
      <c r="C646" s="5">
        <f>'02a_DC_Capacity_Alloc'!C646</f>
        <v/>
      </c>
      <c r="D646" s="5">
        <f>'02a_DC_Capacity_Alloc'!D646</f>
        <v/>
      </c>
      <c r="E646" s="5">
        <f>'02a_DC_Capacity_Alloc'!E646</f>
        <v/>
      </c>
      <c r="F646" s="5">
        <f>'02a_DC_Capacity_Alloc'!F646</f>
        <v/>
      </c>
      <c r="G646" s="5">
        <f>B646&amp;"|"&amp;E646&amp;"|"&amp;D646</f>
        <v/>
      </c>
      <c r="H646" s="28">
        <f>'02a_DC_Capacity_Alloc'!H646*'02a_DC_Capacity_Alloc'!I646*'02a_DC_Capacity_Alloc'!J646</f>
        <v/>
      </c>
      <c r="I646" s="6">
        <f>IFERROR(INDEX('02b_DC_Accelerator_Mix'!$F$2:$F$977,MATCH(G646,'02b_DC_Accelerator_Mix'!$A$2:$A$977,0)),0)</f>
        <v/>
      </c>
      <c r="J646" s="6">
        <f>IFERROR(INDEX('02b_DC_Accelerator_Mix'!$G$2:$G$977,MATCH(G646,'02b_DC_Accelerator_Mix'!$A$2:$A$977,0)),0)</f>
        <v/>
      </c>
      <c r="K646" s="6">
        <f>IFERROR(INDEX('02b_DC_Accelerator_Mix'!$H$2:$H$977,MATCH(G646,'02b_DC_Accelerator_Mix'!$A$2:$A$977,0)),0)</f>
        <v/>
      </c>
      <c r="L646" s="6">
        <f>IFERROR(INDEX('02b_DC_Accelerator_Mix'!$I$2:$I$977,MATCH(G646,'02b_DC_Accelerator_Mix'!$A$2:$A$977,0)),0)</f>
        <v/>
      </c>
      <c r="M646" s="6">
        <f>IFERROR(INDEX('02b_DC_Accelerator_Mix'!$J$2:$J$977,MATCH(G646,'02b_DC_Accelerator_Mix'!$A$2:$A$977,0)),0)</f>
        <v/>
      </c>
      <c r="N646" s="6">
        <f>IFERROR(INDEX('02b_DC_Accelerator_Mix'!$K$2:$K$977,MATCH(G646,'02b_DC_Accelerator_Mix'!$A$2:$A$977,0)),0)</f>
        <v/>
      </c>
      <c r="O646" s="6">
        <f>IFERROR(INDEX('02b_DC_Accelerator_Mix'!$L$2:$L$977,MATCH(G646,'02b_DC_Accelerator_Mix'!$A$2:$A$977,0)),0)</f>
        <v/>
      </c>
      <c r="P646" s="6">
        <f>IFERROR(INDEX('02b_DC_Accelerator_Mix'!$M$2:$M$977,MATCH(G646,'02b_DC_Accelerator_Mix'!$A$2:$A$977,0)),0)</f>
        <v/>
      </c>
      <c r="Q646" s="6">
        <f>IFERROR(INDEX('02b_DC_Accelerator_Mix'!$N$2:$N$977,MATCH(G646,'02b_DC_Accelerator_Mix'!$A$2:$A$977,0)),0)</f>
        <v/>
      </c>
      <c r="R646" s="28">
        <f>H646*I646</f>
        <v/>
      </c>
      <c r="S646" s="28">
        <f>H646*J646</f>
        <v/>
      </c>
      <c r="T646" s="28">
        <f>H646*K646</f>
        <v/>
      </c>
      <c r="U646" s="28">
        <f>H646*L646</f>
        <v/>
      </c>
      <c r="V646" s="28">
        <f>H646*M646</f>
        <v/>
      </c>
      <c r="W646" s="28">
        <f>H646*N646</f>
        <v/>
      </c>
      <c r="X646" s="28">
        <f>H646*O646</f>
        <v/>
      </c>
      <c r="Y646" s="28">
        <f>H646*P646</f>
        <v/>
      </c>
      <c r="Z646" s="28">
        <f>H646*Q646</f>
        <v/>
      </c>
      <c r="AA646" s="28">
        <f>SUM(U646:Z646)</f>
        <v/>
      </c>
      <c r="AB646" s="5">
        <f>IF(COUNTIF('02b_DC_Accelerator_Mix'!$A$2:$A$977,G646)&gt;0,"matched","missing_mix")</f>
        <v/>
      </c>
    </row>
    <row r="647">
      <c r="A647" s="5">
        <f>'02a_DC_Capacity_Alloc'!A647</f>
        <v/>
      </c>
      <c r="B647" s="5">
        <f>'02a_DC_Capacity_Alloc'!B647</f>
        <v/>
      </c>
      <c r="C647" s="5">
        <f>'02a_DC_Capacity_Alloc'!C647</f>
        <v/>
      </c>
      <c r="D647" s="5">
        <f>'02a_DC_Capacity_Alloc'!D647</f>
        <v/>
      </c>
      <c r="E647" s="5">
        <f>'02a_DC_Capacity_Alloc'!E647</f>
        <v/>
      </c>
      <c r="F647" s="5">
        <f>'02a_DC_Capacity_Alloc'!F647</f>
        <v/>
      </c>
      <c r="G647" s="5">
        <f>B647&amp;"|"&amp;E647&amp;"|"&amp;D647</f>
        <v/>
      </c>
      <c r="H647" s="28">
        <f>'02a_DC_Capacity_Alloc'!H647*'02a_DC_Capacity_Alloc'!I647*'02a_DC_Capacity_Alloc'!J647</f>
        <v/>
      </c>
      <c r="I647" s="6">
        <f>IFERROR(INDEX('02b_DC_Accelerator_Mix'!$F$2:$F$977,MATCH(G647,'02b_DC_Accelerator_Mix'!$A$2:$A$977,0)),0)</f>
        <v/>
      </c>
      <c r="J647" s="6">
        <f>IFERROR(INDEX('02b_DC_Accelerator_Mix'!$G$2:$G$977,MATCH(G647,'02b_DC_Accelerator_Mix'!$A$2:$A$977,0)),0)</f>
        <v/>
      </c>
      <c r="K647" s="6">
        <f>IFERROR(INDEX('02b_DC_Accelerator_Mix'!$H$2:$H$977,MATCH(G647,'02b_DC_Accelerator_Mix'!$A$2:$A$977,0)),0)</f>
        <v/>
      </c>
      <c r="L647" s="6">
        <f>IFERROR(INDEX('02b_DC_Accelerator_Mix'!$I$2:$I$977,MATCH(G647,'02b_DC_Accelerator_Mix'!$A$2:$A$977,0)),0)</f>
        <v/>
      </c>
      <c r="M647" s="6">
        <f>IFERROR(INDEX('02b_DC_Accelerator_Mix'!$J$2:$J$977,MATCH(G647,'02b_DC_Accelerator_Mix'!$A$2:$A$977,0)),0)</f>
        <v/>
      </c>
      <c r="N647" s="6">
        <f>IFERROR(INDEX('02b_DC_Accelerator_Mix'!$K$2:$K$977,MATCH(G647,'02b_DC_Accelerator_Mix'!$A$2:$A$977,0)),0)</f>
        <v/>
      </c>
      <c r="O647" s="6">
        <f>IFERROR(INDEX('02b_DC_Accelerator_Mix'!$L$2:$L$977,MATCH(G647,'02b_DC_Accelerator_Mix'!$A$2:$A$977,0)),0)</f>
        <v/>
      </c>
      <c r="P647" s="6">
        <f>IFERROR(INDEX('02b_DC_Accelerator_Mix'!$M$2:$M$977,MATCH(G647,'02b_DC_Accelerator_Mix'!$A$2:$A$977,0)),0)</f>
        <v/>
      </c>
      <c r="Q647" s="6">
        <f>IFERROR(INDEX('02b_DC_Accelerator_Mix'!$N$2:$N$977,MATCH(G647,'02b_DC_Accelerator_Mix'!$A$2:$A$977,0)),0)</f>
        <v/>
      </c>
      <c r="R647" s="28">
        <f>H647*I647</f>
        <v/>
      </c>
      <c r="S647" s="28">
        <f>H647*J647</f>
        <v/>
      </c>
      <c r="T647" s="28">
        <f>H647*K647</f>
        <v/>
      </c>
      <c r="U647" s="28">
        <f>H647*L647</f>
        <v/>
      </c>
      <c r="V647" s="28">
        <f>H647*M647</f>
        <v/>
      </c>
      <c r="W647" s="28">
        <f>H647*N647</f>
        <v/>
      </c>
      <c r="X647" s="28">
        <f>H647*O647</f>
        <v/>
      </c>
      <c r="Y647" s="28">
        <f>H647*P647</f>
        <v/>
      </c>
      <c r="Z647" s="28">
        <f>H647*Q647</f>
        <v/>
      </c>
      <c r="AA647" s="28">
        <f>SUM(U647:Z647)</f>
        <v/>
      </c>
      <c r="AB647" s="5">
        <f>IF(COUNTIF('02b_DC_Accelerator_Mix'!$A$2:$A$977,G647)&gt;0,"matched","missing_mix")</f>
        <v/>
      </c>
    </row>
    <row r="648">
      <c r="A648" s="5">
        <f>'02a_DC_Capacity_Alloc'!A648</f>
        <v/>
      </c>
      <c r="B648" s="5">
        <f>'02a_DC_Capacity_Alloc'!B648</f>
        <v/>
      </c>
      <c r="C648" s="5">
        <f>'02a_DC_Capacity_Alloc'!C648</f>
        <v/>
      </c>
      <c r="D648" s="5">
        <f>'02a_DC_Capacity_Alloc'!D648</f>
        <v/>
      </c>
      <c r="E648" s="5">
        <f>'02a_DC_Capacity_Alloc'!E648</f>
        <v/>
      </c>
      <c r="F648" s="5">
        <f>'02a_DC_Capacity_Alloc'!F648</f>
        <v/>
      </c>
      <c r="G648" s="5">
        <f>B648&amp;"|"&amp;E648&amp;"|"&amp;D648</f>
        <v/>
      </c>
      <c r="H648" s="28">
        <f>'02a_DC_Capacity_Alloc'!H648*'02a_DC_Capacity_Alloc'!I648*'02a_DC_Capacity_Alloc'!J648</f>
        <v/>
      </c>
      <c r="I648" s="6">
        <f>IFERROR(INDEX('02b_DC_Accelerator_Mix'!$F$2:$F$977,MATCH(G648,'02b_DC_Accelerator_Mix'!$A$2:$A$977,0)),0)</f>
        <v/>
      </c>
      <c r="J648" s="6">
        <f>IFERROR(INDEX('02b_DC_Accelerator_Mix'!$G$2:$G$977,MATCH(G648,'02b_DC_Accelerator_Mix'!$A$2:$A$977,0)),0)</f>
        <v/>
      </c>
      <c r="K648" s="6">
        <f>IFERROR(INDEX('02b_DC_Accelerator_Mix'!$H$2:$H$977,MATCH(G648,'02b_DC_Accelerator_Mix'!$A$2:$A$977,0)),0)</f>
        <v/>
      </c>
      <c r="L648" s="6">
        <f>IFERROR(INDEX('02b_DC_Accelerator_Mix'!$I$2:$I$977,MATCH(G648,'02b_DC_Accelerator_Mix'!$A$2:$A$977,0)),0)</f>
        <v/>
      </c>
      <c r="M648" s="6">
        <f>IFERROR(INDEX('02b_DC_Accelerator_Mix'!$J$2:$J$977,MATCH(G648,'02b_DC_Accelerator_Mix'!$A$2:$A$977,0)),0)</f>
        <v/>
      </c>
      <c r="N648" s="6">
        <f>IFERROR(INDEX('02b_DC_Accelerator_Mix'!$K$2:$K$977,MATCH(G648,'02b_DC_Accelerator_Mix'!$A$2:$A$977,0)),0)</f>
        <v/>
      </c>
      <c r="O648" s="6">
        <f>IFERROR(INDEX('02b_DC_Accelerator_Mix'!$L$2:$L$977,MATCH(G648,'02b_DC_Accelerator_Mix'!$A$2:$A$977,0)),0)</f>
        <v/>
      </c>
      <c r="P648" s="6">
        <f>IFERROR(INDEX('02b_DC_Accelerator_Mix'!$M$2:$M$977,MATCH(G648,'02b_DC_Accelerator_Mix'!$A$2:$A$977,0)),0)</f>
        <v/>
      </c>
      <c r="Q648" s="6">
        <f>IFERROR(INDEX('02b_DC_Accelerator_Mix'!$N$2:$N$977,MATCH(G648,'02b_DC_Accelerator_Mix'!$A$2:$A$977,0)),0)</f>
        <v/>
      </c>
      <c r="R648" s="28">
        <f>H648*I648</f>
        <v/>
      </c>
      <c r="S648" s="28">
        <f>H648*J648</f>
        <v/>
      </c>
      <c r="T648" s="28">
        <f>H648*K648</f>
        <v/>
      </c>
      <c r="U648" s="28">
        <f>H648*L648</f>
        <v/>
      </c>
      <c r="V648" s="28">
        <f>H648*M648</f>
        <v/>
      </c>
      <c r="W648" s="28">
        <f>H648*N648</f>
        <v/>
      </c>
      <c r="X648" s="28">
        <f>H648*O648</f>
        <v/>
      </c>
      <c r="Y648" s="28">
        <f>H648*P648</f>
        <v/>
      </c>
      <c r="Z648" s="28">
        <f>H648*Q648</f>
        <v/>
      </c>
      <c r="AA648" s="28">
        <f>SUM(U648:Z648)</f>
        <v/>
      </c>
      <c r="AB648" s="5">
        <f>IF(COUNTIF('02b_DC_Accelerator_Mix'!$A$2:$A$977,G648)&gt;0,"matched","missing_mix")</f>
        <v/>
      </c>
    </row>
    <row r="649">
      <c r="A649" s="5">
        <f>'02a_DC_Capacity_Alloc'!A649</f>
        <v/>
      </c>
      <c r="B649" s="5">
        <f>'02a_DC_Capacity_Alloc'!B649</f>
        <v/>
      </c>
      <c r="C649" s="5">
        <f>'02a_DC_Capacity_Alloc'!C649</f>
        <v/>
      </c>
      <c r="D649" s="5">
        <f>'02a_DC_Capacity_Alloc'!D649</f>
        <v/>
      </c>
      <c r="E649" s="5">
        <f>'02a_DC_Capacity_Alloc'!E649</f>
        <v/>
      </c>
      <c r="F649" s="5">
        <f>'02a_DC_Capacity_Alloc'!F649</f>
        <v/>
      </c>
      <c r="G649" s="5">
        <f>B649&amp;"|"&amp;E649&amp;"|"&amp;D649</f>
        <v/>
      </c>
      <c r="H649" s="28">
        <f>'02a_DC_Capacity_Alloc'!H649*'02a_DC_Capacity_Alloc'!I649*'02a_DC_Capacity_Alloc'!J649</f>
        <v/>
      </c>
      <c r="I649" s="6">
        <f>IFERROR(INDEX('02b_DC_Accelerator_Mix'!$F$2:$F$977,MATCH(G649,'02b_DC_Accelerator_Mix'!$A$2:$A$977,0)),0)</f>
        <v/>
      </c>
      <c r="J649" s="6">
        <f>IFERROR(INDEX('02b_DC_Accelerator_Mix'!$G$2:$G$977,MATCH(G649,'02b_DC_Accelerator_Mix'!$A$2:$A$977,0)),0)</f>
        <v/>
      </c>
      <c r="K649" s="6">
        <f>IFERROR(INDEX('02b_DC_Accelerator_Mix'!$H$2:$H$977,MATCH(G649,'02b_DC_Accelerator_Mix'!$A$2:$A$977,0)),0)</f>
        <v/>
      </c>
      <c r="L649" s="6">
        <f>IFERROR(INDEX('02b_DC_Accelerator_Mix'!$I$2:$I$977,MATCH(G649,'02b_DC_Accelerator_Mix'!$A$2:$A$977,0)),0)</f>
        <v/>
      </c>
      <c r="M649" s="6">
        <f>IFERROR(INDEX('02b_DC_Accelerator_Mix'!$J$2:$J$977,MATCH(G649,'02b_DC_Accelerator_Mix'!$A$2:$A$977,0)),0)</f>
        <v/>
      </c>
      <c r="N649" s="6">
        <f>IFERROR(INDEX('02b_DC_Accelerator_Mix'!$K$2:$K$977,MATCH(G649,'02b_DC_Accelerator_Mix'!$A$2:$A$977,0)),0)</f>
        <v/>
      </c>
      <c r="O649" s="6">
        <f>IFERROR(INDEX('02b_DC_Accelerator_Mix'!$L$2:$L$977,MATCH(G649,'02b_DC_Accelerator_Mix'!$A$2:$A$977,0)),0)</f>
        <v/>
      </c>
      <c r="P649" s="6">
        <f>IFERROR(INDEX('02b_DC_Accelerator_Mix'!$M$2:$M$977,MATCH(G649,'02b_DC_Accelerator_Mix'!$A$2:$A$977,0)),0)</f>
        <v/>
      </c>
      <c r="Q649" s="6">
        <f>IFERROR(INDEX('02b_DC_Accelerator_Mix'!$N$2:$N$977,MATCH(G649,'02b_DC_Accelerator_Mix'!$A$2:$A$977,0)),0)</f>
        <v/>
      </c>
      <c r="R649" s="28">
        <f>H649*I649</f>
        <v/>
      </c>
      <c r="S649" s="28">
        <f>H649*J649</f>
        <v/>
      </c>
      <c r="T649" s="28">
        <f>H649*K649</f>
        <v/>
      </c>
      <c r="U649" s="28">
        <f>H649*L649</f>
        <v/>
      </c>
      <c r="V649" s="28">
        <f>H649*M649</f>
        <v/>
      </c>
      <c r="W649" s="28">
        <f>H649*N649</f>
        <v/>
      </c>
      <c r="X649" s="28">
        <f>H649*O649</f>
        <v/>
      </c>
      <c r="Y649" s="28">
        <f>H649*P649</f>
        <v/>
      </c>
      <c r="Z649" s="28">
        <f>H649*Q649</f>
        <v/>
      </c>
      <c r="AA649" s="28">
        <f>SUM(U649:Z649)</f>
        <v/>
      </c>
      <c r="AB649" s="5">
        <f>IF(COUNTIF('02b_DC_Accelerator_Mix'!$A$2:$A$977,G649)&gt;0,"matched","missing_mix")</f>
        <v/>
      </c>
    </row>
    <row r="650">
      <c r="A650" s="5">
        <f>'02a_DC_Capacity_Alloc'!A650</f>
        <v/>
      </c>
      <c r="B650" s="5">
        <f>'02a_DC_Capacity_Alloc'!B650</f>
        <v/>
      </c>
      <c r="C650" s="5">
        <f>'02a_DC_Capacity_Alloc'!C650</f>
        <v/>
      </c>
      <c r="D650" s="5">
        <f>'02a_DC_Capacity_Alloc'!D650</f>
        <v/>
      </c>
      <c r="E650" s="5">
        <f>'02a_DC_Capacity_Alloc'!E650</f>
        <v/>
      </c>
      <c r="F650" s="5">
        <f>'02a_DC_Capacity_Alloc'!F650</f>
        <v/>
      </c>
      <c r="G650" s="5">
        <f>B650&amp;"|"&amp;E650&amp;"|"&amp;D650</f>
        <v/>
      </c>
      <c r="H650" s="28">
        <f>'02a_DC_Capacity_Alloc'!H650*'02a_DC_Capacity_Alloc'!I650*'02a_DC_Capacity_Alloc'!J650</f>
        <v/>
      </c>
      <c r="I650" s="6">
        <f>IFERROR(INDEX('02b_DC_Accelerator_Mix'!$F$2:$F$977,MATCH(G650,'02b_DC_Accelerator_Mix'!$A$2:$A$977,0)),0)</f>
        <v/>
      </c>
      <c r="J650" s="6">
        <f>IFERROR(INDEX('02b_DC_Accelerator_Mix'!$G$2:$G$977,MATCH(G650,'02b_DC_Accelerator_Mix'!$A$2:$A$977,0)),0)</f>
        <v/>
      </c>
      <c r="K650" s="6">
        <f>IFERROR(INDEX('02b_DC_Accelerator_Mix'!$H$2:$H$977,MATCH(G650,'02b_DC_Accelerator_Mix'!$A$2:$A$977,0)),0)</f>
        <v/>
      </c>
      <c r="L650" s="6">
        <f>IFERROR(INDEX('02b_DC_Accelerator_Mix'!$I$2:$I$977,MATCH(G650,'02b_DC_Accelerator_Mix'!$A$2:$A$977,0)),0)</f>
        <v/>
      </c>
      <c r="M650" s="6">
        <f>IFERROR(INDEX('02b_DC_Accelerator_Mix'!$J$2:$J$977,MATCH(G650,'02b_DC_Accelerator_Mix'!$A$2:$A$977,0)),0)</f>
        <v/>
      </c>
      <c r="N650" s="6">
        <f>IFERROR(INDEX('02b_DC_Accelerator_Mix'!$K$2:$K$977,MATCH(G650,'02b_DC_Accelerator_Mix'!$A$2:$A$977,0)),0)</f>
        <v/>
      </c>
      <c r="O650" s="6">
        <f>IFERROR(INDEX('02b_DC_Accelerator_Mix'!$L$2:$L$977,MATCH(G650,'02b_DC_Accelerator_Mix'!$A$2:$A$977,0)),0)</f>
        <v/>
      </c>
      <c r="P650" s="6">
        <f>IFERROR(INDEX('02b_DC_Accelerator_Mix'!$M$2:$M$977,MATCH(G650,'02b_DC_Accelerator_Mix'!$A$2:$A$977,0)),0)</f>
        <v/>
      </c>
      <c r="Q650" s="6">
        <f>IFERROR(INDEX('02b_DC_Accelerator_Mix'!$N$2:$N$977,MATCH(G650,'02b_DC_Accelerator_Mix'!$A$2:$A$977,0)),0)</f>
        <v/>
      </c>
      <c r="R650" s="28">
        <f>H650*I650</f>
        <v/>
      </c>
      <c r="S650" s="28">
        <f>H650*J650</f>
        <v/>
      </c>
      <c r="T650" s="28">
        <f>H650*K650</f>
        <v/>
      </c>
      <c r="U650" s="28">
        <f>H650*L650</f>
        <v/>
      </c>
      <c r="V650" s="28">
        <f>H650*M650</f>
        <v/>
      </c>
      <c r="W650" s="28">
        <f>H650*N650</f>
        <v/>
      </c>
      <c r="X650" s="28">
        <f>H650*O650</f>
        <v/>
      </c>
      <c r="Y650" s="28">
        <f>H650*P650</f>
        <v/>
      </c>
      <c r="Z650" s="28">
        <f>H650*Q650</f>
        <v/>
      </c>
      <c r="AA650" s="28">
        <f>SUM(U650:Z650)</f>
        <v/>
      </c>
      <c r="AB650" s="5">
        <f>IF(COUNTIF('02b_DC_Accelerator_Mix'!$A$2:$A$977,G650)&gt;0,"matched","missing_mix")</f>
        <v/>
      </c>
    </row>
    <row r="651">
      <c r="A651" s="5">
        <f>'02a_DC_Capacity_Alloc'!A651</f>
        <v/>
      </c>
      <c r="B651" s="5">
        <f>'02a_DC_Capacity_Alloc'!B651</f>
        <v/>
      </c>
      <c r="C651" s="5">
        <f>'02a_DC_Capacity_Alloc'!C651</f>
        <v/>
      </c>
      <c r="D651" s="5">
        <f>'02a_DC_Capacity_Alloc'!D651</f>
        <v/>
      </c>
      <c r="E651" s="5">
        <f>'02a_DC_Capacity_Alloc'!E651</f>
        <v/>
      </c>
      <c r="F651" s="5">
        <f>'02a_DC_Capacity_Alloc'!F651</f>
        <v/>
      </c>
      <c r="G651" s="5">
        <f>B651&amp;"|"&amp;E651&amp;"|"&amp;D651</f>
        <v/>
      </c>
      <c r="H651" s="28">
        <f>'02a_DC_Capacity_Alloc'!H651*'02a_DC_Capacity_Alloc'!I651*'02a_DC_Capacity_Alloc'!J651</f>
        <v/>
      </c>
      <c r="I651" s="6">
        <f>IFERROR(INDEX('02b_DC_Accelerator_Mix'!$F$2:$F$977,MATCH(G651,'02b_DC_Accelerator_Mix'!$A$2:$A$977,0)),0)</f>
        <v/>
      </c>
      <c r="J651" s="6">
        <f>IFERROR(INDEX('02b_DC_Accelerator_Mix'!$G$2:$G$977,MATCH(G651,'02b_DC_Accelerator_Mix'!$A$2:$A$977,0)),0)</f>
        <v/>
      </c>
      <c r="K651" s="6">
        <f>IFERROR(INDEX('02b_DC_Accelerator_Mix'!$H$2:$H$977,MATCH(G651,'02b_DC_Accelerator_Mix'!$A$2:$A$977,0)),0)</f>
        <v/>
      </c>
      <c r="L651" s="6">
        <f>IFERROR(INDEX('02b_DC_Accelerator_Mix'!$I$2:$I$977,MATCH(G651,'02b_DC_Accelerator_Mix'!$A$2:$A$977,0)),0)</f>
        <v/>
      </c>
      <c r="M651" s="6">
        <f>IFERROR(INDEX('02b_DC_Accelerator_Mix'!$J$2:$J$977,MATCH(G651,'02b_DC_Accelerator_Mix'!$A$2:$A$977,0)),0)</f>
        <v/>
      </c>
      <c r="N651" s="6">
        <f>IFERROR(INDEX('02b_DC_Accelerator_Mix'!$K$2:$K$977,MATCH(G651,'02b_DC_Accelerator_Mix'!$A$2:$A$977,0)),0)</f>
        <v/>
      </c>
      <c r="O651" s="6">
        <f>IFERROR(INDEX('02b_DC_Accelerator_Mix'!$L$2:$L$977,MATCH(G651,'02b_DC_Accelerator_Mix'!$A$2:$A$977,0)),0)</f>
        <v/>
      </c>
      <c r="P651" s="6">
        <f>IFERROR(INDEX('02b_DC_Accelerator_Mix'!$M$2:$M$977,MATCH(G651,'02b_DC_Accelerator_Mix'!$A$2:$A$977,0)),0)</f>
        <v/>
      </c>
      <c r="Q651" s="6">
        <f>IFERROR(INDEX('02b_DC_Accelerator_Mix'!$N$2:$N$977,MATCH(G651,'02b_DC_Accelerator_Mix'!$A$2:$A$977,0)),0)</f>
        <v/>
      </c>
      <c r="R651" s="28">
        <f>H651*I651</f>
        <v/>
      </c>
      <c r="S651" s="28">
        <f>H651*J651</f>
        <v/>
      </c>
      <c r="T651" s="28">
        <f>H651*K651</f>
        <v/>
      </c>
      <c r="U651" s="28">
        <f>H651*L651</f>
        <v/>
      </c>
      <c r="V651" s="28">
        <f>H651*M651</f>
        <v/>
      </c>
      <c r="W651" s="28">
        <f>H651*N651</f>
        <v/>
      </c>
      <c r="X651" s="28">
        <f>H651*O651</f>
        <v/>
      </c>
      <c r="Y651" s="28">
        <f>H651*P651</f>
        <v/>
      </c>
      <c r="Z651" s="28">
        <f>H651*Q651</f>
        <v/>
      </c>
      <c r="AA651" s="28">
        <f>SUM(U651:Z651)</f>
        <v/>
      </c>
      <c r="AB651" s="5">
        <f>IF(COUNTIF('02b_DC_Accelerator_Mix'!$A$2:$A$977,G651)&gt;0,"matched","missing_mix")</f>
        <v/>
      </c>
    </row>
    <row r="652">
      <c r="A652" s="5">
        <f>'02a_DC_Capacity_Alloc'!A652</f>
        <v/>
      </c>
      <c r="B652" s="5">
        <f>'02a_DC_Capacity_Alloc'!B652</f>
        <v/>
      </c>
      <c r="C652" s="5">
        <f>'02a_DC_Capacity_Alloc'!C652</f>
        <v/>
      </c>
      <c r="D652" s="5">
        <f>'02a_DC_Capacity_Alloc'!D652</f>
        <v/>
      </c>
      <c r="E652" s="5">
        <f>'02a_DC_Capacity_Alloc'!E652</f>
        <v/>
      </c>
      <c r="F652" s="5">
        <f>'02a_DC_Capacity_Alloc'!F652</f>
        <v/>
      </c>
      <c r="G652" s="5">
        <f>B652&amp;"|"&amp;E652&amp;"|"&amp;D652</f>
        <v/>
      </c>
      <c r="H652" s="28">
        <f>'02a_DC_Capacity_Alloc'!H652*'02a_DC_Capacity_Alloc'!I652*'02a_DC_Capacity_Alloc'!J652</f>
        <v/>
      </c>
      <c r="I652" s="6">
        <f>IFERROR(INDEX('02b_DC_Accelerator_Mix'!$F$2:$F$977,MATCH(G652,'02b_DC_Accelerator_Mix'!$A$2:$A$977,0)),0)</f>
        <v/>
      </c>
      <c r="J652" s="6">
        <f>IFERROR(INDEX('02b_DC_Accelerator_Mix'!$G$2:$G$977,MATCH(G652,'02b_DC_Accelerator_Mix'!$A$2:$A$977,0)),0)</f>
        <v/>
      </c>
      <c r="K652" s="6">
        <f>IFERROR(INDEX('02b_DC_Accelerator_Mix'!$H$2:$H$977,MATCH(G652,'02b_DC_Accelerator_Mix'!$A$2:$A$977,0)),0)</f>
        <v/>
      </c>
      <c r="L652" s="6">
        <f>IFERROR(INDEX('02b_DC_Accelerator_Mix'!$I$2:$I$977,MATCH(G652,'02b_DC_Accelerator_Mix'!$A$2:$A$977,0)),0)</f>
        <v/>
      </c>
      <c r="M652" s="6">
        <f>IFERROR(INDEX('02b_DC_Accelerator_Mix'!$J$2:$J$977,MATCH(G652,'02b_DC_Accelerator_Mix'!$A$2:$A$977,0)),0)</f>
        <v/>
      </c>
      <c r="N652" s="6">
        <f>IFERROR(INDEX('02b_DC_Accelerator_Mix'!$K$2:$K$977,MATCH(G652,'02b_DC_Accelerator_Mix'!$A$2:$A$977,0)),0)</f>
        <v/>
      </c>
      <c r="O652" s="6">
        <f>IFERROR(INDEX('02b_DC_Accelerator_Mix'!$L$2:$L$977,MATCH(G652,'02b_DC_Accelerator_Mix'!$A$2:$A$977,0)),0)</f>
        <v/>
      </c>
      <c r="P652" s="6">
        <f>IFERROR(INDEX('02b_DC_Accelerator_Mix'!$M$2:$M$977,MATCH(G652,'02b_DC_Accelerator_Mix'!$A$2:$A$977,0)),0)</f>
        <v/>
      </c>
      <c r="Q652" s="6">
        <f>IFERROR(INDEX('02b_DC_Accelerator_Mix'!$N$2:$N$977,MATCH(G652,'02b_DC_Accelerator_Mix'!$A$2:$A$977,0)),0)</f>
        <v/>
      </c>
      <c r="R652" s="28">
        <f>H652*I652</f>
        <v/>
      </c>
      <c r="S652" s="28">
        <f>H652*J652</f>
        <v/>
      </c>
      <c r="T652" s="28">
        <f>H652*K652</f>
        <v/>
      </c>
      <c r="U652" s="28">
        <f>H652*L652</f>
        <v/>
      </c>
      <c r="V652" s="28">
        <f>H652*M652</f>
        <v/>
      </c>
      <c r="W652" s="28">
        <f>H652*N652</f>
        <v/>
      </c>
      <c r="X652" s="28">
        <f>H652*O652</f>
        <v/>
      </c>
      <c r="Y652" s="28">
        <f>H652*P652</f>
        <v/>
      </c>
      <c r="Z652" s="28">
        <f>H652*Q652</f>
        <v/>
      </c>
      <c r="AA652" s="28">
        <f>SUM(U652:Z652)</f>
        <v/>
      </c>
      <c r="AB652" s="5">
        <f>IF(COUNTIF('02b_DC_Accelerator_Mix'!$A$2:$A$977,G652)&gt;0,"matched","missing_mix")</f>
        <v/>
      </c>
    </row>
    <row r="653">
      <c r="A653" s="5">
        <f>'02a_DC_Capacity_Alloc'!A653</f>
        <v/>
      </c>
      <c r="B653" s="5">
        <f>'02a_DC_Capacity_Alloc'!B653</f>
        <v/>
      </c>
      <c r="C653" s="5">
        <f>'02a_DC_Capacity_Alloc'!C653</f>
        <v/>
      </c>
      <c r="D653" s="5">
        <f>'02a_DC_Capacity_Alloc'!D653</f>
        <v/>
      </c>
      <c r="E653" s="5">
        <f>'02a_DC_Capacity_Alloc'!E653</f>
        <v/>
      </c>
      <c r="F653" s="5">
        <f>'02a_DC_Capacity_Alloc'!F653</f>
        <v/>
      </c>
      <c r="G653" s="5">
        <f>B653&amp;"|"&amp;E653&amp;"|"&amp;D653</f>
        <v/>
      </c>
      <c r="H653" s="28">
        <f>'02a_DC_Capacity_Alloc'!H653*'02a_DC_Capacity_Alloc'!I653*'02a_DC_Capacity_Alloc'!J653</f>
        <v/>
      </c>
      <c r="I653" s="6">
        <f>IFERROR(INDEX('02b_DC_Accelerator_Mix'!$F$2:$F$977,MATCH(G653,'02b_DC_Accelerator_Mix'!$A$2:$A$977,0)),0)</f>
        <v/>
      </c>
      <c r="J653" s="6">
        <f>IFERROR(INDEX('02b_DC_Accelerator_Mix'!$G$2:$G$977,MATCH(G653,'02b_DC_Accelerator_Mix'!$A$2:$A$977,0)),0)</f>
        <v/>
      </c>
      <c r="K653" s="6">
        <f>IFERROR(INDEX('02b_DC_Accelerator_Mix'!$H$2:$H$977,MATCH(G653,'02b_DC_Accelerator_Mix'!$A$2:$A$977,0)),0)</f>
        <v/>
      </c>
      <c r="L653" s="6">
        <f>IFERROR(INDEX('02b_DC_Accelerator_Mix'!$I$2:$I$977,MATCH(G653,'02b_DC_Accelerator_Mix'!$A$2:$A$977,0)),0)</f>
        <v/>
      </c>
      <c r="M653" s="6">
        <f>IFERROR(INDEX('02b_DC_Accelerator_Mix'!$J$2:$J$977,MATCH(G653,'02b_DC_Accelerator_Mix'!$A$2:$A$977,0)),0)</f>
        <v/>
      </c>
      <c r="N653" s="6">
        <f>IFERROR(INDEX('02b_DC_Accelerator_Mix'!$K$2:$K$977,MATCH(G653,'02b_DC_Accelerator_Mix'!$A$2:$A$977,0)),0)</f>
        <v/>
      </c>
      <c r="O653" s="6">
        <f>IFERROR(INDEX('02b_DC_Accelerator_Mix'!$L$2:$L$977,MATCH(G653,'02b_DC_Accelerator_Mix'!$A$2:$A$977,0)),0)</f>
        <v/>
      </c>
      <c r="P653" s="6">
        <f>IFERROR(INDEX('02b_DC_Accelerator_Mix'!$M$2:$M$977,MATCH(G653,'02b_DC_Accelerator_Mix'!$A$2:$A$977,0)),0)</f>
        <v/>
      </c>
      <c r="Q653" s="6">
        <f>IFERROR(INDEX('02b_DC_Accelerator_Mix'!$N$2:$N$977,MATCH(G653,'02b_DC_Accelerator_Mix'!$A$2:$A$977,0)),0)</f>
        <v/>
      </c>
      <c r="R653" s="28">
        <f>H653*I653</f>
        <v/>
      </c>
      <c r="S653" s="28">
        <f>H653*J653</f>
        <v/>
      </c>
      <c r="T653" s="28">
        <f>H653*K653</f>
        <v/>
      </c>
      <c r="U653" s="28">
        <f>H653*L653</f>
        <v/>
      </c>
      <c r="V653" s="28">
        <f>H653*M653</f>
        <v/>
      </c>
      <c r="W653" s="28">
        <f>H653*N653</f>
        <v/>
      </c>
      <c r="X653" s="28">
        <f>H653*O653</f>
        <v/>
      </c>
      <c r="Y653" s="28">
        <f>H653*P653</f>
        <v/>
      </c>
      <c r="Z653" s="28">
        <f>H653*Q653</f>
        <v/>
      </c>
      <c r="AA653" s="28">
        <f>SUM(U653:Z653)</f>
        <v/>
      </c>
      <c r="AB653" s="5">
        <f>IF(COUNTIF('02b_DC_Accelerator_Mix'!$A$2:$A$977,G653)&gt;0,"matched","missing_mix")</f>
        <v/>
      </c>
    </row>
    <row r="654">
      <c r="A654" s="5">
        <f>'02a_DC_Capacity_Alloc'!A654</f>
        <v/>
      </c>
      <c r="B654" s="5">
        <f>'02a_DC_Capacity_Alloc'!B654</f>
        <v/>
      </c>
      <c r="C654" s="5">
        <f>'02a_DC_Capacity_Alloc'!C654</f>
        <v/>
      </c>
      <c r="D654" s="5">
        <f>'02a_DC_Capacity_Alloc'!D654</f>
        <v/>
      </c>
      <c r="E654" s="5">
        <f>'02a_DC_Capacity_Alloc'!E654</f>
        <v/>
      </c>
      <c r="F654" s="5">
        <f>'02a_DC_Capacity_Alloc'!F654</f>
        <v/>
      </c>
      <c r="G654" s="5">
        <f>B654&amp;"|"&amp;E654&amp;"|"&amp;D654</f>
        <v/>
      </c>
      <c r="H654" s="28">
        <f>'02a_DC_Capacity_Alloc'!H654*'02a_DC_Capacity_Alloc'!I654*'02a_DC_Capacity_Alloc'!J654</f>
        <v/>
      </c>
      <c r="I654" s="6">
        <f>IFERROR(INDEX('02b_DC_Accelerator_Mix'!$F$2:$F$977,MATCH(G654,'02b_DC_Accelerator_Mix'!$A$2:$A$977,0)),0)</f>
        <v/>
      </c>
      <c r="J654" s="6">
        <f>IFERROR(INDEX('02b_DC_Accelerator_Mix'!$G$2:$G$977,MATCH(G654,'02b_DC_Accelerator_Mix'!$A$2:$A$977,0)),0)</f>
        <v/>
      </c>
      <c r="K654" s="6">
        <f>IFERROR(INDEX('02b_DC_Accelerator_Mix'!$H$2:$H$977,MATCH(G654,'02b_DC_Accelerator_Mix'!$A$2:$A$977,0)),0)</f>
        <v/>
      </c>
      <c r="L654" s="6">
        <f>IFERROR(INDEX('02b_DC_Accelerator_Mix'!$I$2:$I$977,MATCH(G654,'02b_DC_Accelerator_Mix'!$A$2:$A$977,0)),0)</f>
        <v/>
      </c>
      <c r="M654" s="6">
        <f>IFERROR(INDEX('02b_DC_Accelerator_Mix'!$J$2:$J$977,MATCH(G654,'02b_DC_Accelerator_Mix'!$A$2:$A$977,0)),0)</f>
        <v/>
      </c>
      <c r="N654" s="6">
        <f>IFERROR(INDEX('02b_DC_Accelerator_Mix'!$K$2:$K$977,MATCH(G654,'02b_DC_Accelerator_Mix'!$A$2:$A$977,0)),0)</f>
        <v/>
      </c>
      <c r="O654" s="6">
        <f>IFERROR(INDEX('02b_DC_Accelerator_Mix'!$L$2:$L$977,MATCH(G654,'02b_DC_Accelerator_Mix'!$A$2:$A$977,0)),0)</f>
        <v/>
      </c>
      <c r="P654" s="6">
        <f>IFERROR(INDEX('02b_DC_Accelerator_Mix'!$M$2:$M$977,MATCH(G654,'02b_DC_Accelerator_Mix'!$A$2:$A$977,0)),0)</f>
        <v/>
      </c>
      <c r="Q654" s="6">
        <f>IFERROR(INDEX('02b_DC_Accelerator_Mix'!$N$2:$N$977,MATCH(G654,'02b_DC_Accelerator_Mix'!$A$2:$A$977,0)),0)</f>
        <v/>
      </c>
      <c r="R654" s="28">
        <f>H654*I654</f>
        <v/>
      </c>
      <c r="S654" s="28">
        <f>H654*J654</f>
        <v/>
      </c>
      <c r="T654" s="28">
        <f>H654*K654</f>
        <v/>
      </c>
      <c r="U654" s="28">
        <f>H654*L654</f>
        <v/>
      </c>
      <c r="V654" s="28">
        <f>H654*M654</f>
        <v/>
      </c>
      <c r="W654" s="28">
        <f>H654*N654</f>
        <v/>
      </c>
      <c r="X654" s="28">
        <f>H654*O654</f>
        <v/>
      </c>
      <c r="Y654" s="28">
        <f>H654*P654</f>
        <v/>
      </c>
      <c r="Z654" s="28">
        <f>H654*Q654</f>
        <v/>
      </c>
      <c r="AA654" s="28">
        <f>SUM(U654:Z654)</f>
        <v/>
      </c>
      <c r="AB654" s="5">
        <f>IF(COUNTIF('02b_DC_Accelerator_Mix'!$A$2:$A$977,G654)&gt;0,"matched","missing_mix")</f>
        <v/>
      </c>
    </row>
    <row r="655">
      <c r="A655" s="5">
        <f>'02a_DC_Capacity_Alloc'!A655</f>
        <v/>
      </c>
      <c r="B655" s="5">
        <f>'02a_DC_Capacity_Alloc'!B655</f>
        <v/>
      </c>
      <c r="C655" s="5">
        <f>'02a_DC_Capacity_Alloc'!C655</f>
        <v/>
      </c>
      <c r="D655" s="5">
        <f>'02a_DC_Capacity_Alloc'!D655</f>
        <v/>
      </c>
      <c r="E655" s="5">
        <f>'02a_DC_Capacity_Alloc'!E655</f>
        <v/>
      </c>
      <c r="F655" s="5">
        <f>'02a_DC_Capacity_Alloc'!F655</f>
        <v/>
      </c>
      <c r="G655" s="5">
        <f>B655&amp;"|"&amp;E655&amp;"|"&amp;D655</f>
        <v/>
      </c>
      <c r="H655" s="28">
        <f>'02a_DC_Capacity_Alloc'!H655*'02a_DC_Capacity_Alloc'!I655*'02a_DC_Capacity_Alloc'!J655</f>
        <v/>
      </c>
      <c r="I655" s="6">
        <f>IFERROR(INDEX('02b_DC_Accelerator_Mix'!$F$2:$F$977,MATCH(G655,'02b_DC_Accelerator_Mix'!$A$2:$A$977,0)),0)</f>
        <v/>
      </c>
      <c r="J655" s="6">
        <f>IFERROR(INDEX('02b_DC_Accelerator_Mix'!$G$2:$G$977,MATCH(G655,'02b_DC_Accelerator_Mix'!$A$2:$A$977,0)),0)</f>
        <v/>
      </c>
      <c r="K655" s="6">
        <f>IFERROR(INDEX('02b_DC_Accelerator_Mix'!$H$2:$H$977,MATCH(G655,'02b_DC_Accelerator_Mix'!$A$2:$A$977,0)),0)</f>
        <v/>
      </c>
      <c r="L655" s="6">
        <f>IFERROR(INDEX('02b_DC_Accelerator_Mix'!$I$2:$I$977,MATCH(G655,'02b_DC_Accelerator_Mix'!$A$2:$A$977,0)),0)</f>
        <v/>
      </c>
      <c r="M655" s="6">
        <f>IFERROR(INDEX('02b_DC_Accelerator_Mix'!$J$2:$J$977,MATCH(G655,'02b_DC_Accelerator_Mix'!$A$2:$A$977,0)),0)</f>
        <v/>
      </c>
      <c r="N655" s="6">
        <f>IFERROR(INDEX('02b_DC_Accelerator_Mix'!$K$2:$K$977,MATCH(G655,'02b_DC_Accelerator_Mix'!$A$2:$A$977,0)),0)</f>
        <v/>
      </c>
      <c r="O655" s="6">
        <f>IFERROR(INDEX('02b_DC_Accelerator_Mix'!$L$2:$L$977,MATCH(G655,'02b_DC_Accelerator_Mix'!$A$2:$A$977,0)),0)</f>
        <v/>
      </c>
      <c r="P655" s="6">
        <f>IFERROR(INDEX('02b_DC_Accelerator_Mix'!$M$2:$M$977,MATCH(G655,'02b_DC_Accelerator_Mix'!$A$2:$A$977,0)),0)</f>
        <v/>
      </c>
      <c r="Q655" s="6">
        <f>IFERROR(INDEX('02b_DC_Accelerator_Mix'!$N$2:$N$977,MATCH(G655,'02b_DC_Accelerator_Mix'!$A$2:$A$977,0)),0)</f>
        <v/>
      </c>
      <c r="R655" s="28">
        <f>H655*I655</f>
        <v/>
      </c>
      <c r="S655" s="28">
        <f>H655*J655</f>
        <v/>
      </c>
      <c r="T655" s="28">
        <f>H655*K655</f>
        <v/>
      </c>
      <c r="U655" s="28">
        <f>H655*L655</f>
        <v/>
      </c>
      <c r="V655" s="28">
        <f>H655*M655</f>
        <v/>
      </c>
      <c r="W655" s="28">
        <f>H655*N655</f>
        <v/>
      </c>
      <c r="X655" s="28">
        <f>H655*O655</f>
        <v/>
      </c>
      <c r="Y655" s="28">
        <f>H655*P655</f>
        <v/>
      </c>
      <c r="Z655" s="28">
        <f>H655*Q655</f>
        <v/>
      </c>
      <c r="AA655" s="28">
        <f>SUM(U655:Z655)</f>
        <v/>
      </c>
      <c r="AB655" s="5">
        <f>IF(COUNTIF('02b_DC_Accelerator_Mix'!$A$2:$A$977,G655)&gt;0,"matched","missing_mix")</f>
        <v/>
      </c>
    </row>
    <row r="656">
      <c r="A656" s="5">
        <f>'02a_DC_Capacity_Alloc'!A656</f>
        <v/>
      </c>
      <c r="B656" s="5">
        <f>'02a_DC_Capacity_Alloc'!B656</f>
        <v/>
      </c>
      <c r="C656" s="5">
        <f>'02a_DC_Capacity_Alloc'!C656</f>
        <v/>
      </c>
      <c r="D656" s="5">
        <f>'02a_DC_Capacity_Alloc'!D656</f>
        <v/>
      </c>
      <c r="E656" s="5">
        <f>'02a_DC_Capacity_Alloc'!E656</f>
        <v/>
      </c>
      <c r="F656" s="5">
        <f>'02a_DC_Capacity_Alloc'!F656</f>
        <v/>
      </c>
      <c r="G656" s="5">
        <f>B656&amp;"|"&amp;E656&amp;"|"&amp;D656</f>
        <v/>
      </c>
      <c r="H656" s="28">
        <f>'02a_DC_Capacity_Alloc'!H656*'02a_DC_Capacity_Alloc'!I656*'02a_DC_Capacity_Alloc'!J656</f>
        <v/>
      </c>
      <c r="I656" s="6">
        <f>IFERROR(INDEX('02b_DC_Accelerator_Mix'!$F$2:$F$977,MATCH(G656,'02b_DC_Accelerator_Mix'!$A$2:$A$977,0)),0)</f>
        <v/>
      </c>
      <c r="J656" s="6">
        <f>IFERROR(INDEX('02b_DC_Accelerator_Mix'!$G$2:$G$977,MATCH(G656,'02b_DC_Accelerator_Mix'!$A$2:$A$977,0)),0)</f>
        <v/>
      </c>
      <c r="K656" s="6">
        <f>IFERROR(INDEX('02b_DC_Accelerator_Mix'!$H$2:$H$977,MATCH(G656,'02b_DC_Accelerator_Mix'!$A$2:$A$977,0)),0)</f>
        <v/>
      </c>
      <c r="L656" s="6">
        <f>IFERROR(INDEX('02b_DC_Accelerator_Mix'!$I$2:$I$977,MATCH(G656,'02b_DC_Accelerator_Mix'!$A$2:$A$977,0)),0)</f>
        <v/>
      </c>
      <c r="M656" s="6">
        <f>IFERROR(INDEX('02b_DC_Accelerator_Mix'!$J$2:$J$977,MATCH(G656,'02b_DC_Accelerator_Mix'!$A$2:$A$977,0)),0)</f>
        <v/>
      </c>
      <c r="N656" s="6">
        <f>IFERROR(INDEX('02b_DC_Accelerator_Mix'!$K$2:$K$977,MATCH(G656,'02b_DC_Accelerator_Mix'!$A$2:$A$977,0)),0)</f>
        <v/>
      </c>
      <c r="O656" s="6">
        <f>IFERROR(INDEX('02b_DC_Accelerator_Mix'!$L$2:$L$977,MATCH(G656,'02b_DC_Accelerator_Mix'!$A$2:$A$977,0)),0)</f>
        <v/>
      </c>
      <c r="P656" s="6">
        <f>IFERROR(INDEX('02b_DC_Accelerator_Mix'!$M$2:$M$977,MATCH(G656,'02b_DC_Accelerator_Mix'!$A$2:$A$977,0)),0)</f>
        <v/>
      </c>
      <c r="Q656" s="6">
        <f>IFERROR(INDEX('02b_DC_Accelerator_Mix'!$N$2:$N$977,MATCH(G656,'02b_DC_Accelerator_Mix'!$A$2:$A$977,0)),0)</f>
        <v/>
      </c>
      <c r="R656" s="28">
        <f>H656*I656</f>
        <v/>
      </c>
      <c r="S656" s="28">
        <f>H656*J656</f>
        <v/>
      </c>
      <c r="T656" s="28">
        <f>H656*K656</f>
        <v/>
      </c>
      <c r="U656" s="28">
        <f>H656*L656</f>
        <v/>
      </c>
      <c r="V656" s="28">
        <f>H656*M656</f>
        <v/>
      </c>
      <c r="W656" s="28">
        <f>H656*N656</f>
        <v/>
      </c>
      <c r="X656" s="28">
        <f>H656*O656</f>
        <v/>
      </c>
      <c r="Y656" s="28">
        <f>H656*P656</f>
        <v/>
      </c>
      <c r="Z656" s="28">
        <f>H656*Q656</f>
        <v/>
      </c>
      <c r="AA656" s="28">
        <f>SUM(U656:Z656)</f>
        <v/>
      </c>
      <c r="AB656" s="5">
        <f>IF(COUNTIF('02b_DC_Accelerator_Mix'!$A$2:$A$977,G656)&gt;0,"matched","missing_mix")</f>
        <v/>
      </c>
    </row>
    <row r="657">
      <c r="A657" s="5">
        <f>'02a_DC_Capacity_Alloc'!A657</f>
        <v/>
      </c>
      <c r="B657" s="5">
        <f>'02a_DC_Capacity_Alloc'!B657</f>
        <v/>
      </c>
      <c r="C657" s="5">
        <f>'02a_DC_Capacity_Alloc'!C657</f>
        <v/>
      </c>
      <c r="D657" s="5">
        <f>'02a_DC_Capacity_Alloc'!D657</f>
        <v/>
      </c>
      <c r="E657" s="5">
        <f>'02a_DC_Capacity_Alloc'!E657</f>
        <v/>
      </c>
      <c r="F657" s="5">
        <f>'02a_DC_Capacity_Alloc'!F657</f>
        <v/>
      </c>
      <c r="G657" s="5">
        <f>B657&amp;"|"&amp;E657&amp;"|"&amp;D657</f>
        <v/>
      </c>
      <c r="H657" s="28">
        <f>'02a_DC_Capacity_Alloc'!H657*'02a_DC_Capacity_Alloc'!I657*'02a_DC_Capacity_Alloc'!J657</f>
        <v/>
      </c>
      <c r="I657" s="6">
        <f>IFERROR(INDEX('02b_DC_Accelerator_Mix'!$F$2:$F$977,MATCH(G657,'02b_DC_Accelerator_Mix'!$A$2:$A$977,0)),0)</f>
        <v/>
      </c>
      <c r="J657" s="6">
        <f>IFERROR(INDEX('02b_DC_Accelerator_Mix'!$G$2:$G$977,MATCH(G657,'02b_DC_Accelerator_Mix'!$A$2:$A$977,0)),0)</f>
        <v/>
      </c>
      <c r="K657" s="6">
        <f>IFERROR(INDEX('02b_DC_Accelerator_Mix'!$H$2:$H$977,MATCH(G657,'02b_DC_Accelerator_Mix'!$A$2:$A$977,0)),0)</f>
        <v/>
      </c>
      <c r="L657" s="6">
        <f>IFERROR(INDEX('02b_DC_Accelerator_Mix'!$I$2:$I$977,MATCH(G657,'02b_DC_Accelerator_Mix'!$A$2:$A$977,0)),0)</f>
        <v/>
      </c>
      <c r="M657" s="6">
        <f>IFERROR(INDEX('02b_DC_Accelerator_Mix'!$J$2:$J$977,MATCH(G657,'02b_DC_Accelerator_Mix'!$A$2:$A$977,0)),0)</f>
        <v/>
      </c>
      <c r="N657" s="6">
        <f>IFERROR(INDEX('02b_DC_Accelerator_Mix'!$K$2:$K$977,MATCH(G657,'02b_DC_Accelerator_Mix'!$A$2:$A$977,0)),0)</f>
        <v/>
      </c>
      <c r="O657" s="6">
        <f>IFERROR(INDEX('02b_DC_Accelerator_Mix'!$L$2:$L$977,MATCH(G657,'02b_DC_Accelerator_Mix'!$A$2:$A$977,0)),0)</f>
        <v/>
      </c>
      <c r="P657" s="6">
        <f>IFERROR(INDEX('02b_DC_Accelerator_Mix'!$M$2:$M$977,MATCH(G657,'02b_DC_Accelerator_Mix'!$A$2:$A$977,0)),0)</f>
        <v/>
      </c>
      <c r="Q657" s="6">
        <f>IFERROR(INDEX('02b_DC_Accelerator_Mix'!$N$2:$N$977,MATCH(G657,'02b_DC_Accelerator_Mix'!$A$2:$A$977,0)),0)</f>
        <v/>
      </c>
      <c r="R657" s="28">
        <f>H657*I657</f>
        <v/>
      </c>
      <c r="S657" s="28">
        <f>H657*J657</f>
        <v/>
      </c>
      <c r="T657" s="28">
        <f>H657*K657</f>
        <v/>
      </c>
      <c r="U657" s="28">
        <f>H657*L657</f>
        <v/>
      </c>
      <c r="V657" s="28">
        <f>H657*M657</f>
        <v/>
      </c>
      <c r="W657" s="28">
        <f>H657*N657</f>
        <v/>
      </c>
      <c r="X657" s="28">
        <f>H657*O657</f>
        <v/>
      </c>
      <c r="Y657" s="28">
        <f>H657*P657</f>
        <v/>
      </c>
      <c r="Z657" s="28">
        <f>H657*Q657</f>
        <v/>
      </c>
      <c r="AA657" s="28">
        <f>SUM(U657:Z657)</f>
        <v/>
      </c>
      <c r="AB657" s="5">
        <f>IF(COUNTIF('02b_DC_Accelerator_Mix'!$A$2:$A$977,G657)&gt;0,"matched","missing_mix")</f>
        <v/>
      </c>
    </row>
    <row r="658">
      <c r="A658" s="5">
        <f>'02a_DC_Capacity_Alloc'!A658</f>
        <v/>
      </c>
      <c r="B658" s="5">
        <f>'02a_DC_Capacity_Alloc'!B658</f>
        <v/>
      </c>
      <c r="C658" s="5">
        <f>'02a_DC_Capacity_Alloc'!C658</f>
        <v/>
      </c>
      <c r="D658" s="5">
        <f>'02a_DC_Capacity_Alloc'!D658</f>
        <v/>
      </c>
      <c r="E658" s="5">
        <f>'02a_DC_Capacity_Alloc'!E658</f>
        <v/>
      </c>
      <c r="F658" s="5">
        <f>'02a_DC_Capacity_Alloc'!F658</f>
        <v/>
      </c>
      <c r="G658" s="5">
        <f>B658&amp;"|"&amp;E658&amp;"|"&amp;D658</f>
        <v/>
      </c>
      <c r="H658" s="28">
        <f>'02a_DC_Capacity_Alloc'!H658*'02a_DC_Capacity_Alloc'!I658*'02a_DC_Capacity_Alloc'!J658</f>
        <v/>
      </c>
      <c r="I658" s="6">
        <f>IFERROR(INDEX('02b_DC_Accelerator_Mix'!$F$2:$F$977,MATCH(G658,'02b_DC_Accelerator_Mix'!$A$2:$A$977,0)),0)</f>
        <v/>
      </c>
      <c r="J658" s="6">
        <f>IFERROR(INDEX('02b_DC_Accelerator_Mix'!$G$2:$G$977,MATCH(G658,'02b_DC_Accelerator_Mix'!$A$2:$A$977,0)),0)</f>
        <v/>
      </c>
      <c r="K658" s="6">
        <f>IFERROR(INDEX('02b_DC_Accelerator_Mix'!$H$2:$H$977,MATCH(G658,'02b_DC_Accelerator_Mix'!$A$2:$A$977,0)),0)</f>
        <v/>
      </c>
      <c r="L658" s="6">
        <f>IFERROR(INDEX('02b_DC_Accelerator_Mix'!$I$2:$I$977,MATCH(G658,'02b_DC_Accelerator_Mix'!$A$2:$A$977,0)),0)</f>
        <v/>
      </c>
      <c r="M658" s="6">
        <f>IFERROR(INDEX('02b_DC_Accelerator_Mix'!$J$2:$J$977,MATCH(G658,'02b_DC_Accelerator_Mix'!$A$2:$A$977,0)),0)</f>
        <v/>
      </c>
      <c r="N658" s="6">
        <f>IFERROR(INDEX('02b_DC_Accelerator_Mix'!$K$2:$K$977,MATCH(G658,'02b_DC_Accelerator_Mix'!$A$2:$A$977,0)),0)</f>
        <v/>
      </c>
      <c r="O658" s="6">
        <f>IFERROR(INDEX('02b_DC_Accelerator_Mix'!$L$2:$L$977,MATCH(G658,'02b_DC_Accelerator_Mix'!$A$2:$A$977,0)),0)</f>
        <v/>
      </c>
      <c r="P658" s="6">
        <f>IFERROR(INDEX('02b_DC_Accelerator_Mix'!$M$2:$M$977,MATCH(G658,'02b_DC_Accelerator_Mix'!$A$2:$A$977,0)),0)</f>
        <v/>
      </c>
      <c r="Q658" s="6">
        <f>IFERROR(INDEX('02b_DC_Accelerator_Mix'!$N$2:$N$977,MATCH(G658,'02b_DC_Accelerator_Mix'!$A$2:$A$977,0)),0)</f>
        <v/>
      </c>
      <c r="R658" s="28">
        <f>H658*I658</f>
        <v/>
      </c>
      <c r="S658" s="28">
        <f>H658*J658</f>
        <v/>
      </c>
      <c r="T658" s="28">
        <f>H658*K658</f>
        <v/>
      </c>
      <c r="U658" s="28">
        <f>H658*L658</f>
        <v/>
      </c>
      <c r="V658" s="28">
        <f>H658*M658</f>
        <v/>
      </c>
      <c r="W658" s="28">
        <f>H658*N658</f>
        <v/>
      </c>
      <c r="X658" s="28">
        <f>H658*O658</f>
        <v/>
      </c>
      <c r="Y658" s="28">
        <f>H658*P658</f>
        <v/>
      </c>
      <c r="Z658" s="28">
        <f>H658*Q658</f>
        <v/>
      </c>
      <c r="AA658" s="28">
        <f>SUM(U658:Z658)</f>
        <v/>
      </c>
      <c r="AB658" s="5">
        <f>IF(COUNTIF('02b_DC_Accelerator_Mix'!$A$2:$A$977,G658)&gt;0,"matched","missing_mix")</f>
        <v/>
      </c>
    </row>
    <row r="659">
      <c r="A659" s="5">
        <f>'02a_DC_Capacity_Alloc'!A659</f>
        <v/>
      </c>
      <c r="B659" s="5">
        <f>'02a_DC_Capacity_Alloc'!B659</f>
        <v/>
      </c>
      <c r="C659" s="5">
        <f>'02a_DC_Capacity_Alloc'!C659</f>
        <v/>
      </c>
      <c r="D659" s="5">
        <f>'02a_DC_Capacity_Alloc'!D659</f>
        <v/>
      </c>
      <c r="E659" s="5">
        <f>'02a_DC_Capacity_Alloc'!E659</f>
        <v/>
      </c>
      <c r="F659" s="5">
        <f>'02a_DC_Capacity_Alloc'!F659</f>
        <v/>
      </c>
      <c r="G659" s="5">
        <f>B659&amp;"|"&amp;E659&amp;"|"&amp;D659</f>
        <v/>
      </c>
      <c r="H659" s="28">
        <f>'02a_DC_Capacity_Alloc'!H659*'02a_DC_Capacity_Alloc'!I659*'02a_DC_Capacity_Alloc'!J659</f>
        <v/>
      </c>
      <c r="I659" s="6">
        <f>IFERROR(INDEX('02b_DC_Accelerator_Mix'!$F$2:$F$977,MATCH(G659,'02b_DC_Accelerator_Mix'!$A$2:$A$977,0)),0)</f>
        <v/>
      </c>
      <c r="J659" s="6">
        <f>IFERROR(INDEX('02b_DC_Accelerator_Mix'!$G$2:$G$977,MATCH(G659,'02b_DC_Accelerator_Mix'!$A$2:$A$977,0)),0)</f>
        <v/>
      </c>
      <c r="K659" s="6">
        <f>IFERROR(INDEX('02b_DC_Accelerator_Mix'!$H$2:$H$977,MATCH(G659,'02b_DC_Accelerator_Mix'!$A$2:$A$977,0)),0)</f>
        <v/>
      </c>
      <c r="L659" s="6">
        <f>IFERROR(INDEX('02b_DC_Accelerator_Mix'!$I$2:$I$977,MATCH(G659,'02b_DC_Accelerator_Mix'!$A$2:$A$977,0)),0)</f>
        <v/>
      </c>
      <c r="M659" s="6">
        <f>IFERROR(INDEX('02b_DC_Accelerator_Mix'!$J$2:$J$977,MATCH(G659,'02b_DC_Accelerator_Mix'!$A$2:$A$977,0)),0)</f>
        <v/>
      </c>
      <c r="N659" s="6">
        <f>IFERROR(INDEX('02b_DC_Accelerator_Mix'!$K$2:$K$977,MATCH(G659,'02b_DC_Accelerator_Mix'!$A$2:$A$977,0)),0)</f>
        <v/>
      </c>
      <c r="O659" s="6">
        <f>IFERROR(INDEX('02b_DC_Accelerator_Mix'!$L$2:$L$977,MATCH(G659,'02b_DC_Accelerator_Mix'!$A$2:$A$977,0)),0)</f>
        <v/>
      </c>
      <c r="P659" s="6">
        <f>IFERROR(INDEX('02b_DC_Accelerator_Mix'!$M$2:$M$977,MATCH(G659,'02b_DC_Accelerator_Mix'!$A$2:$A$977,0)),0)</f>
        <v/>
      </c>
      <c r="Q659" s="6">
        <f>IFERROR(INDEX('02b_DC_Accelerator_Mix'!$N$2:$N$977,MATCH(G659,'02b_DC_Accelerator_Mix'!$A$2:$A$977,0)),0)</f>
        <v/>
      </c>
      <c r="R659" s="28">
        <f>H659*I659</f>
        <v/>
      </c>
      <c r="S659" s="28">
        <f>H659*J659</f>
        <v/>
      </c>
      <c r="T659" s="28">
        <f>H659*K659</f>
        <v/>
      </c>
      <c r="U659" s="28">
        <f>H659*L659</f>
        <v/>
      </c>
      <c r="V659" s="28">
        <f>H659*M659</f>
        <v/>
      </c>
      <c r="W659" s="28">
        <f>H659*N659</f>
        <v/>
      </c>
      <c r="X659" s="28">
        <f>H659*O659</f>
        <v/>
      </c>
      <c r="Y659" s="28">
        <f>H659*P659</f>
        <v/>
      </c>
      <c r="Z659" s="28">
        <f>H659*Q659</f>
        <v/>
      </c>
      <c r="AA659" s="28">
        <f>SUM(U659:Z659)</f>
        <v/>
      </c>
      <c r="AB659" s="5">
        <f>IF(COUNTIF('02b_DC_Accelerator_Mix'!$A$2:$A$977,G659)&gt;0,"matched","missing_mix")</f>
        <v/>
      </c>
    </row>
    <row r="660">
      <c r="A660" s="5">
        <f>'02a_DC_Capacity_Alloc'!A660</f>
        <v/>
      </c>
      <c r="B660" s="5">
        <f>'02a_DC_Capacity_Alloc'!B660</f>
        <v/>
      </c>
      <c r="C660" s="5">
        <f>'02a_DC_Capacity_Alloc'!C660</f>
        <v/>
      </c>
      <c r="D660" s="5">
        <f>'02a_DC_Capacity_Alloc'!D660</f>
        <v/>
      </c>
      <c r="E660" s="5">
        <f>'02a_DC_Capacity_Alloc'!E660</f>
        <v/>
      </c>
      <c r="F660" s="5">
        <f>'02a_DC_Capacity_Alloc'!F660</f>
        <v/>
      </c>
      <c r="G660" s="5">
        <f>B660&amp;"|"&amp;E660&amp;"|"&amp;D660</f>
        <v/>
      </c>
      <c r="H660" s="28">
        <f>'02a_DC_Capacity_Alloc'!H660*'02a_DC_Capacity_Alloc'!I660*'02a_DC_Capacity_Alloc'!J660</f>
        <v/>
      </c>
      <c r="I660" s="6">
        <f>IFERROR(INDEX('02b_DC_Accelerator_Mix'!$F$2:$F$977,MATCH(G660,'02b_DC_Accelerator_Mix'!$A$2:$A$977,0)),0)</f>
        <v/>
      </c>
      <c r="J660" s="6">
        <f>IFERROR(INDEX('02b_DC_Accelerator_Mix'!$G$2:$G$977,MATCH(G660,'02b_DC_Accelerator_Mix'!$A$2:$A$977,0)),0)</f>
        <v/>
      </c>
      <c r="K660" s="6">
        <f>IFERROR(INDEX('02b_DC_Accelerator_Mix'!$H$2:$H$977,MATCH(G660,'02b_DC_Accelerator_Mix'!$A$2:$A$977,0)),0)</f>
        <v/>
      </c>
      <c r="L660" s="6">
        <f>IFERROR(INDEX('02b_DC_Accelerator_Mix'!$I$2:$I$977,MATCH(G660,'02b_DC_Accelerator_Mix'!$A$2:$A$977,0)),0)</f>
        <v/>
      </c>
      <c r="M660" s="6">
        <f>IFERROR(INDEX('02b_DC_Accelerator_Mix'!$J$2:$J$977,MATCH(G660,'02b_DC_Accelerator_Mix'!$A$2:$A$977,0)),0)</f>
        <v/>
      </c>
      <c r="N660" s="6">
        <f>IFERROR(INDEX('02b_DC_Accelerator_Mix'!$K$2:$K$977,MATCH(G660,'02b_DC_Accelerator_Mix'!$A$2:$A$977,0)),0)</f>
        <v/>
      </c>
      <c r="O660" s="6">
        <f>IFERROR(INDEX('02b_DC_Accelerator_Mix'!$L$2:$L$977,MATCH(G660,'02b_DC_Accelerator_Mix'!$A$2:$A$977,0)),0)</f>
        <v/>
      </c>
      <c r="P660" s="6">
        <f>IFERROR(INDEX('02b_DC_Accelerator_Mix'!$M$2:$M$977,MATCH(G660,'02b_DC_Accelerator_Mix'!$A$2:$A$977,0)),0)</f>
        <v/>
      </c>
      <c r="Q660" s="6">
        <f>IFERROR(INDEX('02b_DC_Accelerator_Mix'!$N$2:$N$977,MATCH(G660,'02b_DC_Accelerator_Mix'!$A$2:$A$977,0)),0)</f>
        <v/>
      </c>
      <c r="R660" s="28">
        <f>H660*I660</f>
        <v/>
      </c>
      <c r="S660" s="28">
        <f>H660*J660</f>
        <v/>
      </c>
      <c r="T660" s="28">
        <f>H660*K660</f>
        <v/>
      </c>
      <c r="U660" s="28">
        <f>H660*L660</f>
        <v/>
      </c>
      <c r="V660" s="28">
        <f>H660*M660</f>
        <v/>
      </c>
      <c r="W660" s="28">
        <f>H660*N660</f>
        <v/>
      </c>
      <c r="X660" s="28">
        <f>H660*O660</f>
        <v/>
      </c>
      <c r="Y660" s="28">
        <f>H660*P660</f>
        <v/>
      </c>
      <c r="Z660" s="28">
        <f>H660*Q660</f>
        <v/>
      </c>
      <c r="AA660" s="28">
        <f>SUM(U660:Z660)</f>
        <v/>
      </c>
      <c r="AB660" s="5">
        <f>IF(COUNTIF('02b_DC_Accelerator_Mix'!$A$2:$A$977,G660)&gt;0,"matched","missing_mix")</f>
        <v/>
      </c>
    </row>
    <row r="661">
      <c r="A661" s="5">
        <f>'02a_DC_Capacity_Alloc'!A661</f>
        <v/>
      </c>
      <c r="B661" s="5">
        <f>'02a_DC_Capacity_Alloc'!B661</f>
        <v/>
      </c>
      <c r="C661" s="5">
        <f>'02a_DC_Capacity_Alloc'!C661</f>
        <v/>
      </c>
      <c r="D661" s="5">
        <f>'02a_DC_Capacity_Alloc'!D661</f>
        <v/>
      </c>
      <c r="E661" s="5">
        <f>'02a_DC_Capacity_Alloc'!E661</f>
        <v/>
      </c>
      <c r="F661" s="5">
        <f>'02a_DC_Capacity_Alloc'!F661</f>
        <v/>
      </c>
      <c r="G661" s="5">
        <f>B661&amp;"|"&amp;E661&amp;"|"&amp;D661</f>
        <v/>
      </c>
      <c r="H661" s="28">
        <f>'02a_DC_Capacity_Alloc'!H661*'02a_DC_Capacity_Alloc'!I661*'02a_DC_Capacity_Alloc'!J661</f>
        <v/>
      </c>
      <c r="I661" s="6">
        <f>IFERROR(INDEX('02b_DC_Accelerator_Mix'!$F$2:$F$977,MATCH(G661,'02b_DC_Accelerator_Mix'!$A$2:$A$977,0)),0)</f>
        <v/>
      </c>
      <c r="J661" s="6">
        <f>IFERROR(INDEX('02b_DC_Accelerator_Mix'!$G$2:$G$977,MATCH(G661,'02b_DC_Accelerator_Mix'!$A$2:$A$977,0)),0)</f>
        <v/>
      </c>
      <c r="K661" s="6">
        <f>IFERROR(INDEX('02b_DC_Accelerator_Mix'!$H$2:$H$977,MATCH(G661,'02b_DC_Accelerator_Mix'!$A$2:$A$977,0)),0)</f>
        <v/>
      </c>
      <c r="L661" s="6">
        <f>IFERROR(INDEX('02b_DC_Accelerator_Mix'!$I$2:$I$977,MATCH(G661,'02b_DC_Accelerator_Mix'!$A$2:$A$977,0)),0)</f>
        <v/>
      </c>
      <c r="M661" s="6">
        <f>IFERROR(INDEX('02b_DC_Accelerator_Mix'!$J$2:$J$977,MATCH(G661,'02b_DC_Accelerator_Mix'!$A$2:$A$977,0)),0)</f>
        <v/>
      </c>
      <c r="N661" s="6">
        <f>IFERROR(INDEX('02b_DC_Accelerator_Mix'!$K$2:$K$977,MATCH(G661,'02b_DC_Accelerator_Mix'!$A$2:$A$977,0)),0)</f>
        <v/>
      </c>
      <c r="O661" s="6">
        <f>IFERROR(INDEX('02b_DC_Accelerator_Mix'!$L$2:$L$977,MATCH(G661,'02b_DC_Accelerator_Mix'!$A$2:$A$977,0)),0)</f>
        <v/>
      </c>
      <c r="P661" s="6">
        <f>IFERROR(INDEX('02b_DC_Accelerator_Mix'!$M$2:$M$977,MATCH(G661,'02b_DC_Accelerator_Mix'!$A$2:$A$977,0)),0)</f>
        <v/>
      </c>
      <c r="Q661" s="6">
        <f>IFERROR(INDEX('02b_DC_Accelerator_Mix'!$N$2:$N$977,MATCH(G661,'02b_DC_Accelerator_Mix'!$A$2:$A$977,0)),0)</f>
        <v/>
      </c>
      <c r="R661" s="28">
        <f>H661*I661</f>
        <v/>
      </c>
      <c r="S661" s="28">
        <f>H661*J661</f>
        <v/>
      </c>
      <c r="T661" s="28">
        <f>H661*K661</f>
        <v/>
      </c>
      <c r="U661" s="28">
        <f>H661*L661</f>
        <v/>
      </c>
      <c r="V661" s="28">
        <f>H661*M661</f>
        <v/>
      </c>
      <c r="W661" s="28">
        <f>H661*N661</f>
        <v/>
      </c>
      <c r="X661" s="28">
        <f>H661*O661</f>
        <v/>
      </c>
      <c r="Y661" s="28">
        <f>H661*P661</f>
        <v/>
      </c>
      <c r="Z661" s="28">
        <f>H661*Q661</f>
        <v/>
      </c>
      <c r="AA661" s="28">
        <f>SUM(U661:Z661)</f>
        <v/>
      </c>
      <c r="AB661" s="5">
        <f>IF(COUNTIF('02b_DC_Accelerator_Mix'!$A$2:$A$977,G661)&gt;0,"matched","missing_mix")</f>
        <v/>
      </c>
    </row>
    <row r="662">
      <c r="A662" s="5">
        <f>'02a_DC_Capacity_Alloc'!A662</f>
        <v/>
      </c>
      <c r="B662" s="5">
        <f>'02a_DC_Capacity_Alloc'!B662</f>
        <v/>
      </c>
      <c r="C662" s="5">
        <f>'02a_DC_Capacity_Alloc'!C662</f>
        <v/>
      </c>
      <c r="D662" s="5">
        <f>'02a_DC_Capacity_Alloc'!D662</f>
        <v/>
      </c>
      <c r="E662" s="5">
        <f>'02a_DC_Capacity_Alloc'!E662</f>
        <v/>
      </c>
      <c r="F662" s="5">
        <f>'02a_DC_Capacity_Alloc'!F662</f>
        <v/>
      </c>
      <c r="G662" s="5">
        <f>B662&amp;"|"&amp;E662&amp;"|"&amp;D662</f>
        <v/>
      </c>
      <c r="H662" s="28">
        <f>'02a_DC_Capacity_Alloc'!H662*'02a_DC_Capacity_Alloc'!I662*'02a_DC_Capacity_Alloc'!J662</f>
        <v/>
      </c>
      <c r="I662" s="6">
        <f>IFERROR(INDEX('02b_DC_Accelerator_Mix'!$F$2:$F$977,MATCH(G662,'02b_DC_Accelerator_Mix'!$A$2:$A$977,0)),0)</f>
        <v/>
      </c>
      <c r="J662" s="6">
        <f>IFERROR(INDEX('02b_DC_Accelerator_Mix'!$G$2:$G$977,MATCH(G662,'02b_DC_Accelerator_Mix'!$A$2:$A$977,0)),0)</f>
        <v/>
      </c>
      <c r="K662" s="6">
        <f>IFERROR(INDEX('02b_DC_Accelerator_Mix'!$H$2:$H$977,MATCH(G662,'02b_DC_Accelerator_Mix'!$A$2:$A$977,0)),0)</f>
        <v/>
      </c>
      <c r="L662" s="6">
        <f>IFERROR(INDEX('02b_DC_Accelerator_Mix'!$I$2:$I$977,MATCH(G662,'02b_DC_Accelerator_Mix'!$A$2:$A$977,0)),0)</f>
        <v/>
      </c>
      <c r="M662" s="6">
        <f>IFERROR(INDEX('02b_DC_Accelerator_Mix'!$J$2:$J$977,MATCH(G662,'02b_DC_Accelerator_Mix'!$A$2:$A$977,0)),0)</f>
        <v/>
      </c>
      <c r="N662" s="6">
        <f>IFERROR(INDEX('02b_DC_Accelerator_Mix'!$K$2:$K$977,MATCH(G662,'02b_DC_Accelerator_Mix'!$A$2:$A$977,0)),0)</f>
        <v/>
      </c>
      <c r="O662" s="6">
        <f>IFERROR(INDEX('02b_DC_Accelerator_Mix'!$L$2:$L$977,MATCH(G662,'02b_DC_Accelerator_Mix'!$A$2:$A$977,0)),0)</f>
        <v/>
      </c>
      <c r="P662" s="6">
        <f>IFERROR(INDEX('02b_DC_Accelerator_Mix'!$M$2:$M$977,MATCH(G662,'02b_DC_Accelerator_Mix'!$A$2:$A$977,0)),0)</f>
        <v/>
      </c>
      <c r="Q662" s="6">
        <f>IFERROR(INDEX('02b_DC_Accelerator_Mix'!$N$2:$N$977,MATCH(G662,'02b_DC_Accelerator_Mix'!$A$2:$A$977,0)),0)</f>
        <v/>
      </c>
      <c r="R662" s="28">
        <f>H662*I662</f>
        <v/>
      </c>
      <c r="S662" s="28">
        <f>H662*J662</f>
        <v/>
      </c>
      <c r="T662" s="28">
        <f>H662*K662</f>
        <v/>
      </c>
      <c r="U662" s="28">
        <f>H662*L662</f>
        <v/>
      </c>
      <c r="V662" s="28">
        <f>H662*M662</f>
        <v/>
      </c>
      <c r="W662" s="28">
        <f>H662*N662</f>
        <v/>
      </c>
      <c r="X662" s="28">
        <f>H662*O662</f>
        <v/>
      </c>
      <c r="Y662" s="28">
        <f>H662*P662</f>
        <v/>
      </c>
      <c r="Z662" s="28">
        <f>H662*Q662</f>
        <v/>
      </c>
      <c r="AA662" s="28">
        <f>SUM(U662:Z662)</f>
        <v/>
      </c>
      <c r="AB662" s="5">
        <f>IF(COUNTIF('02b_DC_Accelerator_Mix'!$A$2:$A$977,G662)&gt;0,"matched","missing_mix")</f>
        <v/>
      </c>
    </row>
    <row r="663">
      <c r="A663" s="5">
        <f>'02a_DC_Capacity_Alloc'!A663</f>
        <v/>
      </c>
      <c r="B663" s="5">
        <f>'02a_DC_Capacity_Alloc'!B663</f>
        <v/>
      </c>
      <c r="C663" s="5">
        <f>'02a_DC_Capacity_Alloc'!C663</f>
        <v/>
      </c>
      <c r="D663" s="5">
        <f>'02a_DC_Capacity_Alloc'!D663</f>
        <v/>
      </c>
      <c r="E663" s="5">
        <f>'02a_DC_Capacity_Alloc'!E663</f>
        <v/>
      </c>
      <c r="F663" s="5">
        <f>'02a_DC_Capacity_Alloc'!F663</f>
        <v/>
      </c>
      <c r="G663" s="5">
        <f>B663&amp;"|"&amp;E663&amp;"|"&amp;D663</f>
        <v/>
      </c>
      <c r="H663" s="28">
        <f>'02a_DC_Capacity_Alloc'!H663*'02a_DC_Capacity_Alloc'!I663*'02a_DC_Capacity_Alloc'!J663</f>
        <v/>
      </c>
      <c r="I663" s="6">
        <f>IFERROR(INDEX('02b_DC_Accelerator_Mix'!$F$2:$F$977,MATCH(G663,'02b_DC_Accelerator_Mix'!$A$2:$A$977,0)),0)</f>
        <v/>
      </c>
      <c r="J663" s="6">
        <f>IFERROR(INDEX('02b_DC_Accelerator_Mix'!$G$2:$G$977,MATCH(G663,'02b_DC_Accelerator_Mix'!$A$2:$A$977,0)),0)</f>
        <v/>
      </c>
      <c r="K663" s="6">
        <f>IFERROR(INDEX('02b_DC_Accelerator_Mix'!$H$2:$H$977,MATCH(G663,'02b_DC_Accelerator_Mix'!$A$2:$A$977,0)),0)</f>
        <v/>
      </c>
      <c r="L663" s="6">
        <f>IFERROR(INDEX('02b_DC_Accelerator_Mix'!$I$2:$I$977,MATCH(G663,'02b_DC_Accelerator_Mix'!$A$2:$A$977,0)),0)</f>
        <v/>
      </c>
      <c r="M663" s="6">
        <f>IFERROR(INDEX('02b_DC_Accelerator_Mix'!$J$2:$J$977,MATCH(G663,'02b_DC_Accelerator_Mix'!$A$2:$A$977,0)),0)</f>
        <v/>
      </c>
      <c r="N663" s="6">
        <f>IFERROR(INDEX('02b_DC_Accelerator_Mix'!$K$2:$K$977,MATCH(G663,'02b_DC_Accelerator_Mix'!$A$2:$A$977,0)),0)</f>
        <v/>
      </c>
      <c r="O663" s="6">
        <f>IFERROR(INDEX('02b_DC_Accelerator_Mix'!$L$2:$L$977,MATCH(G663,'02b_DC_Accelerator_Mix'!$A$2:$A$977,0)),0)</f>
        <v/>
      </c>
      <c r="P663" s="6">
        <f>IFERROR(INDEX('02b_DC_Accelerator_Mix'!$M$2:$M$977,MATCH(G663,'02b_DC_Accelerator_Mix'!$A$2:$A$977,0)),0)</f>
        <v/>
      </c>
      <c r="Q663" s="6">
        <f>IFERROR(INDEX('02b_DC_Accelerator_Mix'!$N$2:$N$977,MATCH(G663,'02b_DC_Accelerator_Mix'!$A$2:$A$977,0)),0)</f>
        <v/>
      </c>
      <c r="R663" s="28">
        <f>H663*I663</f>
        <v/>
      </c>
      <c r="S663" s="28">
        <f>H663*J663</f>
        <v/>
      </c>
      <c r="T663" s="28">
        <f>H663*K663</f>
        <v/>
      </c>
      <c r="U663" s="28">
        <f>H663*L663</f>
        <v/>
      </c>
      <c r="V663" s="28">
        <f>H663*M663</f>
        <v/>
      </c>
      <c r="W663" s="28">
        <f>H663*N663</f>
        <v/>
      </c>
      <c r="X663" s="28">
        <f>H663*O663</f>
        <v/>
      </c>
      <c r="Y663" s="28">
        <f>H663*P663</f>
        <v/>
      </c>
      <c r="Z663" s="28">
        <f>H663*Q663</f>
        <v/>
      </c>
      <c r="AA663" s="28">
        <f>SUM(U663:Z663)</f>
        <v/>
      </c>
      <c r="AB663" s="5">
        <f>IF(COUNTIF('02b_DC_Accelerator_Mix'!$A$2:$A$977,G663)&gt;0,"matched","missing_mix")</f>
        <v/>
      </c>
    </row>
    <row r="664">
      <c r="A664" s="5">
        <f>'02a_DC_Capacity_Alloc'!A664</f>
        <v/>
      </c>
      <c r="B664" s="5">
        <f>'02a_DC_Capacity_Alloc'!B664</f>
        <v/>
      </c>
      <c r="C664" s="5">
        <f>'02a_DC_Capacity_Alloc'!C664</f>
        <v/>
      </c>
      <c r="D664" s="5">
        <f>'02a_DC_Capacity_Alloc'!D664</f>
        <v/>
      </c>
      <c r="E664" s="5">
        <f>'02a_DC_Capacity_Alloc'!E664</f>
        <v/>
      </c>
      <c r="F664" s="5">
        <f>'02a_DC_Capacity_Alloc'!F664</f>
        <v/>
      </c>
      <c r="G664" s="5">
        <f>B664&amp;"|"&amp;E664&amp;"|"&amp;D664</f>
        <v/>
      </c>
      <c r="H664" s="28">
        <f>'02a_DC_Capacity_Alloc'!H664*'02a_DC_Capacity_Alloc'!I664*'02a_DC_Capacity_Alloc'!J664</f>
        <v/>
      </c>
      <c r="I664" s="6">
        <f>IFERROR(INDEX('02b_DC_Accelerator_Mix'!$F$2:$F$977,MATCH(G664,'02b_DC_Accelerator_Mix'!$A$2:$A$977,0)),0)</f>
        <v/>
      </c>
      <c r="J664" s="6">
        <f>IFERROR(INDEX('02b_DC_Accelerator_Mix'!$G$2:$G$977,MATCH(G664,'02b_DC_Accelerator_Mix'!$A$2:$A$977,0)),0)</f>
        <v/>
      </c>
      <c r="K664" s="6">
        <f>IFERROR(INDEX('02b_DC_Accelerator_Mix'!$H$2:$H$977,MATCH(G664,'02b_DC_Accelerator_Mix'!$A$2:$A$977,0)),0)</f>
        <v/>
      </c>
      <c r="L664" s="6">
        <f>IFERROR(INDEX('02b_DC_Accelerator_Mix'!$I$2:$I$977,MATCH(G664,'02b_DC_Accelerator_Mix'!$A$2:$A$977,0)),0)</f>
        <v/>
      </c>
      <c r="M664" s="6">
        <f>IFERROR(INDEX('02b_DC_Accelerator_Mix'!$J$2:$J$977,MATCH(G664,'02b_DC_Accelerator_Mix'!$A$2:$A$977,0)),0)</f>
        <v/>
      </c>
      <c r="N664" s="6">
        <f>IFERROR(INDEX('02b_DC_Accelerator_Mix'!$K$2:$K$977,MATCH(G664,'02b_DC_Accelerator_Mix'!$A$2:$A$977,0)),0)</f>
        <v/>
      </c>
      <c r="O664" s="6">
        <f>IFERROR(INDEX('02b_DC_Accelerator_Mix'!$L$2:$L$977,MATCH(G664,'02b_DC_Accelerator_Mix'!$A$2:$A$977,0)),0)</f>
        <v/>
      </c>
      <c r="P664" s="6">
        <f>IFERROR(INDEX('02b_DC_Accelerator_Mix'!$M$2:$M$977,MATCH(G664,'02b_DC_Accelerator_Mix'!$A$2:$A$977,0)),0)</f>
        <v/>
      </c>
      <c r="Q664" s="6">
        <f>IFERROR(INDEX('02b_DC_Accelerator_Mix'!$N$2:$N$977,MATCH(G664,'02b_DC_Accelerator_Mix'!$A$2:$A$977,0)),0)</f>
        <v/>
      </c>
      <c r="R664" s="28">
        <f>H664*I664</f>
        <v/>
      </c>
      <c r="S664" s="28">
        <f>H664*J664</f>
        <v/>
      </c>
      <c r="T664" s="28">
        <f>H664*K664</f>
        <v/>
      </c>
      <c r="U664" s="28">
        <f>H664*L664</f>
        <v/>
      </c>
      <c r="V664" s="28">
        <f>H664*M664</f>
        <v/>
      </c>
      <c r="W664" s="28">
        <f>H664*N664</f>
        <v/>
      </c>
      <c r="X664" s="28">
        <f>H664*O664</f>
        <v/>
      </c>
      <c r="Y664" s="28">
        <f>H664*P664</f>
        <v/>
      </c>
      <c r="Z664" s="28">
        <f>H664*Q664</f>
        <v/>
      </c>
      <c r="AA664" s="28">
        <f>SUM(U664:Z664)</f>
        <v/>
      </c>
      <c r="AB664" s="5">
        <f>IF(COUNTIF('02b_DC_Accelerator_Mix'!$A$2:$A$977,G664)&gt;0,"matched","missing_mix")</f>
        <v/>
      </c>
    </row>
    <row r="665">
      <c r="A665" s="5">
        <f>'02a_DC_Capacity_Alloc'!A665</f>
        <v/>
      </c>
      <c r="B665" s="5">
        <f>'02a_DC_Capacity_Alloc'!B665</f>
        <v/>
      </c>
      <c r="C665" s="5">
        <f>'02a_DC_Capacity_Alloc'!C665</f>
        <v/>
      </c>
      <c r="D665" s="5">
        <f>'02a_DC_Capacity_Alloc'!D665</f>
        <v/>
      </c>
      <c r="E665" s="5">
        <f>'02a_DC_Capacity_Alloc'!E665</f>
        <v/>
      </c>
      <c r="F665" s="5">
        <f>'02a_DC_Capacity_Alloc'!F665</f>
        <v/>
      </c>
      <c r="G665" s="5">
        <f>B665&amp;"|"&amp;E665&amp;"|"&amp;D665</f>
        <v/>
      </c>
      <c r="H665" s="28">
        <f>'02a_DC_Capacity_Alloc'!H665*'02a_DC_Capacity_Alloc'!I665*'02a_DC_Capacity_Alloc'!J665</f>
        <v/>
      </c>
      <c r="I665" s="6">
        <f>IFERROR(INDEX('02b_DC_Accelerator_Mix'!$F$2:$F$977,MATCH(G665,'02b_DC_Accelerator_Mix'!$A$2:$A$977,0)),0)</f>
        <v/>
      </c>
      <c r="J665" s="6">
        <f>IFERROR(INDEX('02b_DC_Accelerator_Mix'!$G$2:$G$977,MATCH(G665,'02b_DC_Accelerator_Mix'!$A$2:$A$977,0)),0)</f>
        <v/>
      </c>
      <c r="K665" s="6">
        <f>IFERROR(INDEX('02b_DC_Accelerator_Mix'!$H$2:$H$977,MATCH(G665,'02b_DC_Accelerator_Mix'!$A$2:$A$977,0)),0)</f>
        <v/>
      </c>
      <c r="L665" s="6">
        <f>IFERROR(INDEX('02b_DC_Accelerator_Mix'!$I$2:$I$977,MATCH(G665,'02b_DC_Accelerator_Mix'!$A$2:$A$977,0)),0)</f>
        <v/>
      </c>
      <c r="M665" s="6">
        <f>IFERROR(INDEX('02b_DC_Accelerator_Mix'!$J$2:$J$977,MATCH(G665,'02b_DC_Accelerator_Mix'!$A$2:$A$977,0)),0)</f>
        <v/>
      </c>
      <c r="N665" s="6">
        <f>IFERROR(INDEX('02b_DC_Accelerator_Mix'!$K$2:$K$977,MATCH(G665,'02b_DC_Accelerator_Mix'!$A$2:$A$977,0)),0)</f>
        <v/>
      </c>
      <c r="O665" s="6">
        <f>IFERROR(INDEX('02b_DC_Accelerator_Mix'!$L$2:$L$977,MATCH(G665,'02b_DC_Accelerator_Mix'!$A$2:$A$977,0)),0)</f>
        <v/>
      </c>
      <c r="P665" s="6">
        <f>IFERROR(INDEX('02b_DC_Accelerator_Mix'!$M$2:$M$977,MATCH(G665,'02b_DC_Accelerator_Mix'!$A$2:$A$977,0)),0)</f>
        <v/>
      </c>
      <c r="Q665" s="6">
        <f>IFERROR(INDEX('02b_DC_Accelerator_Mix'!$N$2:$N$977,MATCH(G665,'02b_DC_Accelerator_Mix'!$A$2:$A$977,0)),0)</f>
        <v/>
      </c>
      <c r="R665" s="28">
        <f>H665*I665</f>
        <v/>
      </c>
      <c r="S665" s="28">
        <f>H665*J665</f>
        <v/>
      </c>
      <c r="T665" s="28">
        <f>H665*K665</f>
        <v/>
      </c>
      <c r="U665" s="28">
        <f>H665*L665</f>
        <v/>
      </c>
      <c r="V665" s="28">
        <f>H665*M665</f>
        <v/>
      </c>
      <c r="W665" s="28">
        <f>H665*N665</f>
        <v/>
      </c>
      <c r="X665" s="28">
        <f>H665*O665</f>
        <v/>
      </c>
      <c r="Y665" s="28">
        <f>H665*P665</f>
        <v/>
      </c>
      <c r="Z665" s="28">
        <f>H665*Q665</f>
        <v/>
      </c>
      <c r="AA665" s="28">
        <f>SUM(U665:Z665)</f>
        <v/>
      </c>
      <c r="AB665" s="5">
        <f>IF(COUNTIF('02b_DC_Accelerator_Mix'!$A$2:$A$977,G665)&gt;0,"matched","missing_mix")</f>
        <v/>
      </c>
    </row>
    <row r="666">
      <c r="A666" s="5">
        <f>'02a_DC_Capacity_Alloc'!A666</f>
        <v/>
      </c>
      <c r="B666" s="5">
        <f>'02a_DC_Capacity_Alloc'!B666</f>
        <v/>
      </c>
      <c r="C666" s="5">
        <f>'02a_DC_Capacity_Alloc'!C666</f>
        <v/>
      </c>
      <c r="D666" s="5">
        <f>'02a_DC_Capacity_Alloc'!D666</f>
        <v/>
      </c>
      <c r="E666" s="5">
        <f>'02a_DC_Capacity_Alloc'!E666</f>
        <v/>
      </c>
      <c r="F666" s="5">
        <f>'02a_DC_Capacity_Alloc'!F666</f>
        <v/>
      </c>
      <c r="G666" s="5">
        <f>B666&amp;"|"&amp;E666&amp;"|"&amp;D666</f>
        <v/>
      </c>
      <c r="H666" s="28">
        <f>'02a_DC_Capacity_Alloc'!H666*'02a_DC_Capacity_Alloc'!I666*'02a_DC_Capacity_Alloc'!J666</f>
        <v/>
      </c>
      <c r="I666" s="6">
        <f>IFERROR(INDEX('02b_DC_Accelerator_Mix'!$F$2:$F$977,MATCH(G666,'02b_DC_Accelerator_Mix'!$A$2:$A$977,0)),0)</f>
        <v/>
      </c>
      <c r="J666" s="6">
        <f>IFERROR(INDEX('02b_DC_Accelerator_Mix'!$G$2:$G$977,MATCH(G666,'02b_DC_Accelerator_Mix'!$A$2:$A$977,0)),0)</f>
        <v/>
      </c>
      <c r="K666" s="6">
        <f>IFERROR(INDEX('02b_DC_Accelerator_Mix'!$H$2:$H$977,MATCH(G666,'02b_DC_Accelerator_Mix'!$A$2:$A$977,0)),0)</f>
        <v/>
      </c>
      <c r="L666" s="6">
        <f>IFERROR(INDEX('02b_DC_Accelerator_Mix'!$I$2:$I$977,MATCH(G666,'02b_DC_Accelerator_Mix'!$A$2:$A$977,0)),0)</f>
        <v/>
      </c>
      <c r="M666" s="6">
        <f>IFERROR(INDEX('02b_DC_Accelerator_Mix'!$J$2:$J$977,MATCH(G666,'02b_DC_Accelerator_Mix'!$A$2:$A$977,0)),0)</f>
        <v/>
      </c>
      <c r="N666" s="6">
        <f>IFERROR(INDEX('02b_DC_Accelerator_Mix'!$K$2:$K$977,MATCH(G666,'02b_DC_Accelerator_Mix'!$A$2:$A$977,0)),0)</f>
        <v/>
      </c>
      <c r="O666" s="6">
        <f>IFERROR(INDEX('02b_DC_Accelerator_Mix'!$L$2:$L$977,MATCH(G666,'02b_DC_Accelerator_Mix'!$A$2:$A$977,0)),0)</f>
        <v/>
      </c>
      <c r="P666" s="6">
        <f>IFERROR(INDEX('02b_DC_Accelerator_Mix'!$M$2:$M$977,MATCH(G666,'02b_DC_Accelerator_Mix'!$A$2:$A$977,0)),0)</f>
        <v/>
      </c>
      <c r="Q666" s="6">
        <f>IFERROR(INDEX('02b_DC_Accelerator_Mix'!$N$2:$N$977,MATCH(G666,'02b_DC_Accelerator_Mix'!$A$2:$A$977,0)),0)</f>
        <v/>
      </c>
      <c r="R666" s="28">
        <f>H666*I666</f>
        <v/>
      </c>
      <c r="S666" s="28">
        <f>H666*J666</f>
        <v/>
      </c>
      <c r="T666" s="28">
        <f>H666*K666</f>
        <v/>
      </c>
      <c r="U666" s="28">
        <f>H666*L666</f>
        <v/>
      </c>
      <c r="V666" s="28">
        <f>H666*M666</f>
        <v/>
      </c>
      <c r="W666" s="28">
        <f>H666*N666</f>
        <v/>
      </c>
      <c r="X666" s="28">
        <f>H666*O666</f>
        <v/>
      </c>
      <c r="Y666" s="28">
        <f>H666*P666</f>
        <v/>
      </c>
      <c r="Z666" s="28">
        <f>H666*Q666</f>
        <v/>
      </c>
      <c r="AA666" s="28">
        <f>SUM(U666:Z666)</f>
        <v/>
      </c>
      <c r="AB666" s="5">
        <f>IF(COUNTIF('02b_DC_Accelerator_Mix'!$A$2:$A$977,G666)&gt;0,"matched","missing_mix")</f>
        <v/>
      </c>
    </row>
    <row r="667">
      <c r="A667" s="5">
        <f>'02a_DC_Capacity_Alloc'!A667</f>
        <v/>
      </c>
      <c r="B667" s="5">
        <f>'02a_DC_Capacity_Alloc'!B667</f>
        <v/>
      </c>
      <c r="C667" s="5">
        <f>'02a_DC_Capacity_Alloc'!C667</f>
        <v/>
      </c>
      <c r="D667" s="5">
        <f>'02a_DC_Capacity_Alloc'!D667</f>
        <v/>
      </c>
      <c r="E667" s="5">
        <f>'02a_DC_Capacity_Alloc'!E667</f>
        <v/>
      </c>
      <c r="F667" s="5">
        <f>'02a_DC_Capacity_Alloc'!F667</f>
        <v/>
      </c>
      <c r="G667" s="5">
        <f>B667&amp;"|"&amp;E667&amp;"|"&amp;D667</f>
        <v/>
      </c>
      <c r="H667" s="28">
        <f>'02a_DC_Capacity_Alloc'!H667*'02a_DC_Capacity_Alloc'!I667*'02a_DC_Capacity_Alloc'!J667</f>
        <v/>
      </c>
      <c r="I667" s="6">
        <f>IFERROR(INDEX('02b_DC_Accelerator_Mix'!$F$2:$F$977,MATCH(G667,'02b_DC_Accelerator_Mix'!$A$2:$A$977,0)),0)</f>
        <v/>
      </c>
      <c r="J667" s="6">
        <f>IFERROR(INDEX('02b_DC_Accelerator_Mix'!$G$2:$G$977,MATCH(G667,'02b_DC_Accelerator_Mix'!$A$2:$A$977,0)),0)</f>
        <v/>
      </c>
      <c r="K667" s="6">
        <f>IFERROR(INDEX('02b_DC_Accelerator_Mix'!$H$2:$H$977,MATCH(G667,'02b_DC_Accelerator_Mix'!$A$2:$A$977,0)),0)</f>
        <v/>
      </c>
      <c r="L667" s="6">
        <f>IFERROR(INDEX('02b_DC_Accelerator_Mix'!$I$2:$I$977,MATCH(G667,'02b_DC_Accelerator_Mix'!$A$2:$A$977,0)),0)</f>
        <v/>
      </c>
      <c r="M667" s="6">
        <f>IFERROR(INDEX('02b_DC_Accelerator_Mix'!$J$2:$J$977,MATCH(G667,'02b_DC_Accelerator_Mix'!$A$2:$A$977,0)),0)</f>
        <v/>
      </c>
      <c r="N667" s="6">
        <f>IFERROR(INDEX('02b_DC_Accelerator_Mix'!$K$2:$K$977,MATCH(G667,'02b_DC_Accelerator_Mix'!$A$2:$A$977,0)),0)</f>
        <v/>
      </c>
      <c r="O667" s="6">
        <f>IFERROR(INDEX('02b_DC_Accelerator_Mix'!$L$2:$L$977,MATCH(G667,'02b_DC_Accelerator_Mix'!$A$2:$A$977,0)),0)</f>
        <v/>
      </c>
      <c r="P667" s="6">
        <f>IFERROR(INDEX('02b_DC_Accelerator_Mix'!$M$2:$M$977,MATCH(G667,'02b_DC_Accelerator_Mix'!$A$2:$A$977,0)),0)</f>
        <v/>
      </c>
      <c r="Q667" s="6">
        <f>IFERROR(INDEX('02b_DC_Accelerator_Mix'!$N$2:$N$977,MATCH(G667,'02b_DC_Accelerator_Mix'!$A$2:$A$977,0)),0)</f>
        <v/>
      </c>
      <c r="R667" s="28">
        <f>H667*I667</f>
        <v/>
      </c>
      <c r="S667" s="28">
        <f>H667*J667</f>
        <v/>
      </c>
      <c r="T667" s="28">
        <f>H667*K667</f>
        <v/>
      </c>
      <c r="U667" s="28">
        <f>H667*L667</f>
        <v/>
      </c>
      <c r="V667" s="28">
        <f>H667*M667</f>
        <v/>
      </c>
      <c r="W667" s="28">
        <f>H667*N667</f>
        <v/>
      </c>
      <c r="X667" s="28">
        <f>H667*O667</f>
        <v/>
      </c>
      <c r="Y667" s="28">
        <f>H667*P667</f>
        <v/>
      </c>
      <c r="Z667" s="28">
        <f>H667*Q667</f>
        <v/>
      </c>
      <c r="AA667" s="28">
        <f>SUM(U667:Z667)</f>
        <v/>
      </c>
      <c r="AB667" s="5">
        <f>IF(COUNTIF('02b_DC_Accelerator_Mix'!$A$2:$A$977,G667)&gt;0,"matched","missing_mix")</f>
        <v/>
      </c>
    </row>
    <row r="668">
      <c r="A668" s="5">
        <f>'02a_DC_Capacity_Alloc'!A668</f>
        <v/>
      </c>
      <c r="B668" s="5">
        <f>'02a_DC_Capacity_Alloc'!B668</f>
        <v/>
      </c>
      <c r="C668" s="5">
        <f>'02a_DC_Capacity_Alloc'!C668</f>
        <v/>
      </c>
      <c r="D668" s="5">
        <f>'02a_DC_Capacity_Alloc'!D668</f>
        <v/>
      </c>
      <c r="E668" s="5">
        <f>'02a_DC_Capacity_Alloc'!E668</f>
        <v/>
      </c>
      <c r="F668" s="5">
        <f>'02a_DC_Capacity_Alloc'!F668</f>
        <v/>
      </c>
      <c r="G668" s="5">
        <f>B668&amp;"|"&amp;E668&amp;"|"&amp;D668</f>
        <v/>
      </c>
      <c r="H668" s="28">
        <f>'02a_DC_Capacity_Alloc'!H668*'02a_DC_Capacity_Alloc'!I668*'02a_DC_Capacity_Alloc'!J668</f>
        <v/>
      </c>
      <c r="I668" s="6">
        <f>IFERROR(INDEX('02b_DC_Accelerator_Mix'!$F$2:$F$977,MATCH(G668,'02b_DC_Accelerator_Mix'!$A$2:$A$977,0)),0)</f>
        <v/>
      </c>
      <c r="J668" s="6">
        <f>IFERROR(INDEX('02b_DC_Accelerator_Mix'!$G$2:$G$977,MATCH(G668,'02b_DC_Accelerator_Mix'!$A$2:$A$977,0)),0)</f>
        <v/>
      </c>
      <c r="K668" s="6">
        <f>IFERROR(INDEX('02b_DC_Accelerator_Mix'!$H$2:$H$977,MATCH(G668,'02b_DC_Accelerator_Mix'!$A$2:$A$977,0)),0)</f>
        <v/>
      </c>
      <c r="L668" s="6">
        <f>IFERROR(INDEX('02b_DC_Accelerator_Mix'!$I$2:$I$977,MATCH(G668,'02b_DC_Accelerator_Mix'!$A$2:$A$977,0)),0)</f>
        <v/>
      </c>
      <c r="M668" s="6">
        <f>IFERROR(INDEX('02b_DC_Accelerator_Mix'!$J$2:$J$977,MATCH(G668,'02b_DC_Accelerator_Mix'!$A$2:$A$977,0)),0)</f>
        <v/>
      </c>
      <c r="N668" s="6">
        <f>IFERROR(INDEX('02b_DC_Accelerator_Mix'!$K$2:$K$977,MATCH(G668,'02b_DC_Accelerator_Mix'!$A$2:$A$977,0)),0)</f>
        <v/>
      </c>
      <c r="O668" s="6">
        <f>IFERROR(INDEX('02b_DC_Accelerator_Mix'!$L$2:$L$977,MATCH(G668,'02b_DC_Accelerator_Mix'!$A$2:$A$977,0)),0)</f>
        <v/>
      </c>
      <c r="P668" s="6">
        <f>IFERROR(INDEX('02b_DC_Accelerator_Mix'!$M$2:$M$977,MATCH(G668,'02b_DC_Accelerator_Mix'!$A$2:$A$977,0)),0)</f>
        <v/>
      </c>
      <c r="Q668" s="6">
        <f>IFERROR(INDEX('02b_DC_Accelerator_Mix'!$N$2:$N$977,MATCH(G668,'02b_DC_Accelerator_Mix'!$A$2:$A$977,0)),0)</f>
        <v/>
      </c>
      <c r="R668" s="28">
        <f>H668*I668</f>
        <v/>
      </c>
      <c r="S668" s="28">
        <f>H668*J668</f>
        <v/>
      </c>
      <c r="T668" s="28">
        <f>H668*K668</f>
        <v/>
      </c>
      <c r="U668" s="28">
        <f>H668*L668</f>
        <v/>
      </c>
      <c r="V668" s="28">
        <f>H668*M668</f>
        <v/>
      </c>
      <c r="W668" s="28">
        <f>H668*N668</f>
        <v/>
      </c>
      <c r="X668" s="28">
        <f>H668*O668</f>
        <v/>
      </c>
      <c r="Y668" s="28">
        <f>H668*P668</f>
        <v/>
      </c>
      <c r="Z668" s="28">
        <f>H668*Q668</f>
        <v/>
      </c>
      <c r="AA668" s="28">
        <f>SUM(U668:Z668)</f>
        <v/>
      </c>
      <c r="AB668" s="5">
        <f>IF(COUNTIF('02b_DC_Accelerator_Mix'!$A$2:$A$977,G668)&gt;0,"matched","missing_mix")</f>
        <v/>
      </c>
    </row>
    <row r="669">
      <c r="A669" s="5">
        <f>'02a_DC_Capacity_Alloc'!A669</f>
        <v/>
      </c>
      <c r="B669" s="5">
        <f>'02a_DC_Capacity_Alloc'!B669</f>
        <v/>
      </c>
      <c r="C669" s="5">
        <f>'02a_DC_Capacity_Alloc'!C669</f>
        <v/>
      </c>
      <c r="D669" s="5">
        <f>'02a_DC_Capacity_Alloc'!D669</f>
        <v/>
      </c>
      <c r="E669" s="5">
        <f>'02a_DC_Capacity_Alloc'!E669</f>
        <v/>
      </c>
      <c r="F669" s="5">
        <f>'02a_DC_Capacity_Alloc'!F669</f>
        <v/>
      </c>
      <c r="G669" s="5">
        <f>B669&amp;"|"&amp;E669&amp;"|"&amp;D669</f>
        <v/>
      </c>
      <c r="H669" s="28">
        <f>'02a_DC_Capacity_Alloc'!H669*'02a_DC_Capacity_Alloc'!I669*'02a_DC_Capacity_Alloc'!J669</f>
        <v/>
      </c>
      <c r="I669" s="6">
        <f>IFERROR(INDEX('02b_DC_Accelerator_Mix'!$F$2:$F$977,MATCH(G669,'02b_DC_Accelerator_Mix'!$A$2:$A$977,0)),0)</f>
        <v/>
      </c>
      <c r="J669" s="6">
        <f>IFERROR(INDEX('02b_DC_Accelerator_Mix'!$G$2:$G$977,MATCH(G669,'02b_DC_Accelerator_Mix'!$A$2:$A$977,0)),0)</f>
        <v/>
      </c>
      <c r="K669" s="6">
        <f>IFERROR(INDEX('02b_DC_Accelerator_Mix'!$H$2:$H$977,MATCH(G669,'02b_DC_Accelerator_Mix'!$A$2:$A$977,0)),0)</f>
        <v/>
      </c>
      <c r="L669" s="6">
        <f>IFERROR(INDEX('02b_DC_Accelerator_Mix'!$I$2:$I$977,MATCH(G669,'02b_DC_Accelerator_Mix'!$A$2:$A$977,0)),0)</f>
        <v/>
      </c>
      <c r="M669" s="6">
        <f>IFERROR(INDEX('02b_DC_Accelerator_Mix'!$J$2:$J$977,MATCH(G669,'02b_DC_Accelerator_Mix'!$A$2:$A$977,0)),0)</f>
        <v/>
      </c>
      <c r="N669" s="6">
        <f>IFERROR(INDEX('02b_DC_Accelerator_Mix'!$K$2:$K$977,MATCH(G669,'02b_DC_Accelerator_Mix'!$A$2:$A$977,0)),0)</f>
        <v/>
      </c>
      <c r="O669" s="6">
        <f>IFERROR(INDEX('02b_DC_Accelerator_Mix'!$L$2:$L$977,MATCH(G669,'02b_DC_Accelerator_Mix'!$A$2:$A$977,0)),0)</f>
        <v/>
      </c>
      <c r="P669" s="6">
        <f>IFERROR(INDEX('02b_DC_Accelerator_Mix'!$M$2:$M$977,MATCH(G669,'02b_DC_Accelerator_Mix'!$A$2:$A$977,0)),0)</f>
        <v/>
      </c>
      <c r="Q669" s="6">
        <f>IFERROR(INDEX('02b_DC_Accelerator_Mix'!$N$2:$N$977,MATCH(G669,'02b_DC_Accelerator_Mix'!$A$2:$A$977,0)),0)</f>
        <v/>
      </c>
      <c r="R669" s="28">
        <f>H669*I669</f>
        <v/>
      </c>
      <c r="S669" s="28">
        <f>H669*J669</f>
        <v/>
      </c>
      <c r="T669" s="28">
        <f>H669*K669</f>
        <v/>
      </c>
      <c r="U669" s="28">
        <f>H669*L669</f>
        <v/>
      </c>
      <c r="V669" s="28">
        <f>H669*M669</f>
        <v/>
      </c>
      <c r="W669" s="28">
        <f>H669*N669</f>
        <v/>
      </c>
      <c r="X669" s="28">
        <f>H669*O669</f>
        <v/>
      </c>
      <c r="Y669" s="28">
        <f>H669*P669</f>
        <v/>
      </c>
      <c r="Z669" s="28">
        <f>H669*Q669</f>
        <v/>
      </c>
      <c r="AA669" s="28">
        <f>SUM(U669:Z669)</f>
        <v/>
      </c>
      <c r="AB669" s="5">
        <f>IF(COUNTIF('02b_DC_Accelerator_Mix'!$A$2:$A$977,G669)&gt;0,"matched","missing_mix")</f>
        <v/>
      </c>
    </row>
    <row r="670">
      <c r="A670" s="5">
        <f>'02a_DC_Capacity_Alloc'!A670</f>
        <v/>
      </c>
      <c r="B670" s="5">
        <f>'02a_DC_Capacity_Alloc'!B670</f>
        <v/>
      </c>
      <c r="C670" s="5">
        <f>'02a_DC_Capacity_Alloc'!C670</f>
        <v/>
      </c>
      <c r="D670" s="5">
        <f>'02a_DC_Capacity_Alloc'!D670</f>
        <v/>
      </c>
      <c r="E670" s="5">
        <f>'02a_DC_Capacity_Alloc'!E670</f>
        <v/>
      </c>
      <c r="F670" s="5">
        <f>'02a_DC_Capacity_Alloc'!F670</f>
        <v/>
      </c>
      <c r="G670" s="5">
        <f>B670&amp;"|"&amp;E670&amp;"|"&amp;D670</f>
        <v/>
      </c>
      <c r="H670" s="28">
        <f>'02a_DC_Capacity_Alloc'!H670*'02a_DC_Capacity_Alloc'!I670*'02a_DC_Capacity_Alloc'!J670</f>
        <v/>
      </c>
      <c r="I670" s="6">
        <f>IFERROR(INDEX('02b_DC_Accelerator_Mix'!$F$2:$F$977,MATCH(G670,'02b_DC_Accelerator_Mix'!$A$2:$A$977,0)),0)</f>
        <v/>
      </c>
      <c r="J670" s="6">
        <f>IFERROR(INDEX('02b_DC_Accelerator_Mix'!$G$2:$G$977,MATCH(G670,'02b_DC_Accelerator_Mix'!$A$2:$A$977,0)),0)</f>
        <v/>
      </c>
      <c r="K670" s="6">
        <f>IFERROR(INDEX('02b_DC_Accelerator_Mix'!$H$2:$H$977,MATCH(G670,'02b_DC_Accelerator_Mix'!$A$2:$A$977,0)),0)</f>
        <v/>
      </c>
      <c r="L670" s="6">
        <f>IFERROR(INDEX('02b_DC_Accelerator_Mix'!$I$2:$I$977,MATCH(G670,'02b_DC_Accelerator_Mix'!$A$2:$A$977,0)),0)</f>
        <v/>
      </c>
      <c r="M670" s="6">
        <f>IFERROR(INDEX('02b_DC_Accelerator_Mix'!$J$2:$J$977,MATCH(G670,'02b_DC_Accelerator_Mix'!$A$2:$A$977,0)),0)</f>
        <v/>
      </c>
      <c r="N670" s="6">
        <f>IFERROR(INDEX('02b_DC_Accelerator_Mix'!$K$2:$K$977,MATCH(G670,'02b_DC_Accelerator_Mix'!$A$2:$A$977,0)),0)</f>
        <v/>
      </c>
      <c r="O670" s="6">
        <f>IFERROR(INDEX('02b_DC_Accelerator_Mix'!$L$2:$L$977,MATCH(G670,'02b_DC_Accelerator_Mix'!$A$2:$A$977,0)),0)</f>
        <v/>
      </c>
      <c r="P670" s="6">
        <f>IFERROR(INDEX('02b_DC_Accelerator_Mix'!$M$2:$M$977,MATCH(G670,'02b_DC_Accelerator_Mix'!$A$2:$A$977,0)),0)</f>
        <v/>
      </c>
      <c r="Q670" s="6">
        <f>IFERROR(INDEX('02b_DC_Accelerator_Mix'!$N$2:$N$977,MATCH(G670,'02b_DC_Accelerator_Mix'!$A$2:$A$977,0)),0)</f>
        <v/>
      </c>
      <c r="R670" s="28">
        <f>H670*I670</f>
        <v/>
      </c>
      <c r="S670" s="28">
        <f>H670*J670</f>
        <v/>
      </c>
      <c r="T670" s="28">
        <f>H670*K670</f>
        <v/>
      </c>
      <c r="U670" s="28">
        <f>H670*L670</f>
        <v/>
      </c>
      <c r="V670" s="28">
        <f>H670*M670</f>
        <v/>
      </c>
      <c r="W670" s="28">
        <f>H670*N670</f>
        <v/>
      </c>
      <c r="X670" s="28">
        <f>H670*O670</f>
        <v/>
      </c>
      <c r="Y670" s="28">
        <f>H670*P670</f>
        <v/>
      </c>
      <c r="Z670" s="28">
        <f>H670*Q670</f>
        <v/>
      </c>
      <c r="AA670" s="28">
        <f>SUM(U670:Z670)</f>
        <v/>
      </c>
      <c r="AB670" s="5">
        <f>IF(COUNTIF('02b_DC_Accelerator_Mix'!$A$2:$A$977,G670)&gt;0,"matched","missing_mix")</f>
        <v/>
      </c>
    </row>
    <row r="671">
      <c r="A671" s="5">
        <f>'02a_DC_Capacity_Alloc'!A671</f>
        <v/>
      </c>
      <c r="B671" s="5">
        <f>'02a_DC_Capacity_Alloc'!B671</f>
        <v/>
      </c>
      <c r="C671" s="5">
        <f>'02a_DC_Capacity_Alloc'!C671</f>
        <v/>
      </c>
      <c r="D671" s="5">
        <f>'02a_DC_Capacity_Alloc'!D671</f>
        <v/>
      </c>
      <c r="E671" s="5">
        <f>'02a_DC_Capacity_Alloc'!E671</f>
        <v/>
      </c>
      <c r="F671" s="5">
        <f>'02a_DC_Capacity_Alloc'!F671</f>
        <v/>
      </c>
      <c r="G671" s="5">
        <f>B671&amp;"|"&amp;E671&amp;"|"&amp;D671</f>
        <v/>
      </c>
      <c r="H671" s="28">
        <f>'02a_DC_Capacity_Alloc'!H671*'02a_DC_Capacity_Alloc'!I671*'02a_DC_Capacity_Alloc'!J671</f>
        <v/>
      </c>
      <c r="I671" s="6">
        <f>IFERROR(INDEX('02b_DC_Accelerator_Mix'!$F$2:$F$977,MATCH(G671,'02b_DC_Accelerator_Mix'!$A$2:$A$977,0)),0)</f>
        <v/>
      </c>
      <c r="J671" s="6">
        <f>IFERROR(INDEX('02b_DC_Accelerator_Mix'!$G$2:$G$977,MATCH(G671,'02b_DC_Accelerator_Mix'!$A$2:$A$977,0)),0)</f>
        <v/>
      </c>
      <c r="K671" s="6">
        <f>IFERROR(INDEX('02b_DC_Accelerator_Mix'!$H$2:$H$977,MATCH(G671,'02b_DC_Accelerator_Mix'!$A$2:$A$977,0)),0)</f>
        <v/>
      </c>
      <c r="L671" s="6">
        <f>IFERROR(INDEX('02b_DC_Accelerator_Mix'!$I$2:$I$977,MATCH(G671,'02b_DC_Accelerator_Mix'!$A$2:$A$977,0)),0)</f>
        <v/>
      </c>
      <c r="M671" s="6">
        <f>IFERROR(INDEX('02b_DC_Accelerator_Mix'!$J$2:$J$977,MATCH(G671,'02b_DC_Accelerator_Mix'!$A$2:$A$977,0)),0)</f>
        <v/>
      </c>
      <c r="N671" s="6">
        <f>IFERROR(INDEX('02b_DC_Accelerator_Mix'!$K$2:$K$977,MATCH(G671,'02b_DC_Accelerator_Mix'!$A$2:$A$977,0)),0)</f>
        <v/>
      </c>
      <c r="O671" s="6">
        <f>IFERROR(INDEX('02b_DC_Accelerator_Mix'!$L$2:$L$977,MATCH(G671,'02b_DC_Accelerator_Mix'!$A$2:$A$977,0)),0)</f>
        <v/>
      </c>
      <c r="P671" s="6">
        <f>IFERROR(INDEX('02b_DC_Accelerator_Mix'!$M$2:$M$977,MATCH(G671,'02b_DC_Accelerator_Mix'!$A$2:$A$977,0)),0)</f>
        <v/>
      </c>
      <c r="Q671" s="6">
        <f>IFERROR(INDEX('02b_DC_Accelerator_Mix'!$N$2:$N$977,MATCH(G671,'02b_DC_Accelerator_Mix'!$A$2:$A$977,0)),0)</f>
        <v/>
      </c>
      <c r="R671" s="28">
        <f>H671*I671</f>
        <v/>
      </c>
      <c r="S671" s="28">
        <f>H671*J671</f>
        <v/>
      </c>
      <c r="T671" s="28">
        <f>H671*K671</f>
        <v/>
      </c>
      <c r="U671" s="28">
        <f>H671*L671</f>
        <v/>
      </c>
      <c r="V671" s="28">
        <f>H671*M671</f>
        <v/>
      </c>
      <c r="W671" s="28">
        <f>H671*N671</f>
        <v/>
      </c>
      <c r="X671" s="28">
        <f>H671*O671</f>
        <v/>
      </c>
      <c r="Y671" s="28">
        <f>H671*P671</f>
        <v/>
      </c>
      <c r="Z671" s="28">
        <f>H671*Q671</f>
        <v/>
      </c>
      <c r="AA671" s="28">
        <f>SUM(U671:Z671)</f>
        <v/>
      </c>
      <c r="AB671" s="5">
        <f>IF(COUNTIF('02b_DC_Accelerator_Mix'!$A$2:$A$977,G671)&gt;0,"matched","missing_mix")</f>
        <v/>
      </c>
    </row>
    <row r="672">
      <c r="A672" s="5">
        <f>'02a_DC_Capacity_Alloc'!A672</f>
        <v/>
      </c>
      <c r="B672" s="5">
        <f>'02a_DC_Capacity_Alloc'!B672</f>
        <v/>
      </c>
      <c r="C672" s="5">
        <f>'02a_DC_Capacity_Alloc'!C672</f>
        <v/>
      </c>
      <c r="D672" s="5">
        <f>'02a_DC_Capacity_Alloc'!D672</f>
        <v/>
      </c>
      <c r="E672" s="5">
        <f>'02a_DC_Capacity_Alloc'!E672</f>
        <v/>
      </c>
      <c r="F672" s="5">
        <f>'02a_DC_Capacity_Alloc'!F672</f>
        <v/>
      </c>
      <c r="G672" s="5">
        <f>B672&amp;"|"&amp;E672&amp;"|"&amp;D672</f>
        <v/>
      </c>
      <c r="H672" s="28">
        <f>'02a_DC_Capacity_Alloc'!H672*'02a_DC_Capacity_Alloc'!I672*'02a_DC_Capacity_Alloc'!J672</f>
        <v/>
      </c>
      <c r="I672" s="6">
        <f>IFERROR(INDEX('02b_DC_Accelerator_Mix'!$F$2:$F$977,MATCH(G672,'02b_DC_Accelerator_Mix'!$A$2:$A$977,0)),0)</f>
        <v/>
      </c>
      <c r="J672" s="6">
        <f>IFERROR(INDEX('02b_DC_Accelerator_Mix'!$G$2:$G$977,MATCH(G672,'02b_DC_Accelerator_Mix'!$A$2:$A$977,0)),0)</f>
        <v/>
      </c>
      <c r="K672" s="6">
        <f>IFERROR(INDEX('02b_DC_Accelerator_Mix'!$H$2:$H$977,MATCH(G672,'02b_DC_Accelerator_Mix'!$A$2:$A$977,0)),0)</f>
        <v/>
      </c>
      <c r="L672" s="6">
        <f>IFERROR(INDEX('02b_DC_Accelerator_Mix'!$I$2:$I$977,MATCH(G672,'02b_DC_Accelerator_Mix'!$A$2:$A$977,0)),0)</f>
        <v/>
      </c>
      <c r="M672" s="6">
        <f>IFERROR(INDEX('02b_DC_Accelerator_Mix'!$J$2:$J$977,MATCH(G672,'02b_DC_Accelerator_Mix'!$A$2:$A$977,0)),0)</f>
        <v/>
      </c>
      <c r="N672" s="6">
        <f>IFERROR(INDEX('02b_DC_Accelerator_Mix'!$K$2:$K$977,MATCH(G672,'02b_DC_Accelerator_Mix'!$A$2:$A$977,0)),0)</f>
        <v/>
      </c>
      <c r="O672" s="6">
        <f>IFERROR(INDEX('02b_DC_Accelerator_Mix'!$L$2:$L$977,MATCH(G672,'02b_DC_Accelerator_Mix'!$A$2:$A$977,0)),0)</f>
        <v/>
      </c>
      <c r="P672" s="6">
        <f>IFERROR(INDEX('02b_DC_Accelerator_Mix'!$M$2:$M$977,MATCH(G672,'02b_DC_Accelerator_Mix'!$A$2:$A$977,0)),0)</f>
        <v/>
      </c>
      <c r="Q672" s="6">
        <f>IFERROR(INDEX('02b_DC_Accelerator_Mix'!$N$2:$N$977,MATCH(G672,'02b_DC_Accelerator_Mix'!$A$2:$A$977,0)),0)</f>
        <v/>
      </c>
      <c r="R672" s="28">
        <f>H672*I672</f>
        <v/>
      </c>
      <c r="S672" s="28">
        <f>H672*J672</f>
        <v/>
      </c>
      <c r="T672" s="28">
        <f>H672*K672</f>
        <v/>
      </c>
      <c r="U672" s="28">
        <f>H672*L672</f>
        <v/>
      </c>
      <c r="V672" s="28">
        <f>H672*M672</f>
        <v/>
      </c>
      <c r="W672" s="28">
        <f>H672*N672</f>
        <v/>
      </c>
      <c r="X672" s="28">
        <f>H672*O672</f>
        <v/>
      </c>
      <c r="Y672" s="28">
        <f>H672*P672</f>
        <v/>
      </c>
      <c r="Z672" s="28">
        <f>H672*Q672</f>
        <v/>
      </c>
      <c r="AA672" s="28">
        <f>SUM(U672:Z672)</f>
        <v/>
      </c>
      <c r="AB672" s="5">
        <f>IF(COUNTIF('02b_DC_Accelerator_Mix'!$A$2:$A$977,G672)&gt;0,"matched","missing_mix")</f>
        <v/>
      </c>
    </row>
    <row r="673">
      <c r="A673" s="5">
        <f>'02a_DC_Capacity_Alloc'!A673</f>
        <v/>
      </c>
      <c r="B673" s="5">
        <f>'02a_DC_Capacity_Alloc'!B673</f>
        <v/>
      </c>
      <c r="C673" s="5">
        <f>'02a_DC_Capacity_Alloc'!C673</f>
        <v/>
      </c>
      <c r="D673" s="5">
        <f>'02a_DC_Capacity_Alloc'!D673</f>
        <v/>
      </c>
      <c r="E673" s="5">
        <f>'02a_DC_Capacity_Alloc'!E673</f>
        <v/>
      </c>
      <c r="F673" s="5">
        <f>'02a_DC_Capacity_Alloc'!F673</f>
        <v/>
      </c>
      <c r="G673" s="5">
        <f>B673&amp;"|"&amp;E673&amp;"|"&amp;D673</f>
        <v/>
      </c>
      <c r="H673" s="28">
        <f>'02a_DC_Capacity_Alloc'!H673*'02a_DC_Capacity_Alloc'!I673*'02a_DC_Capacity_Alloc'!J673</f>
        <v/>
      </c>
      <c r="I673" s="6">
        <f>IFERROR(INDEX('02b_DC_Accelerator_Mix'!$F$2:$F$977,MATCH(G673,'02b_DC_Accelerator_Mix'!$A$2:$A$977,0)),0)</f>
        <v/>
      </c>
      <c r="J673" s="6">
        <f>IFERROR(INDEX('02b_DC_Accelerator_Mix'!$G$2:$G$977,MATCH(G673,'02b_DC_Accelerator_Mix'!$A$2:$A$977,0)),0)</f>
        <v/>
      </c>
      <c r="K673" s="6">
        <f>IFERROR(INDEX('02b_DC_Accelerator_Mix'!$H$2:$H$977,MATCH(G673,'02b_DC_Accelerator_Mix'!$A$2:$A$977,0)),0)</f>
        <v/>
      </c>
      <c r="L673" s="6">
        <f>IFERROR(INDEX('02b_DC_Accelerator_Mix'!$I$2:$I$977,MATCH(G673,'02b_DC_Accelerator_Mix'!$A$2:$A$977,0)),0)</f>
        <v/>
      </c>
      <c r="M673" s="6">
        <f>IFERROR(INDEX('02b_DC_Accelerator_Mix'!$J$2:$J$977,MATCH(G673,'02b_DC_Accelerator_Mix'!$A$2:$A$977,0)),0)</f>
        <v/>
      </c>
      <c r="N673" s="6">
        <f>IFERROR(INDEX('02b_DC_Accelerator_Mix'!$K$2:$K$977,MATCH(G673,'02b_DC_Accelerator_Mix'!$A$2:$A$977,0)),0)</f>
        <v/>
      </c>
      <c r="O673" s="6">
        <f>IFERROR(INDEX('02b_DC_Accelerator_Mix'!$L$2:$L$977,MATCH(G673,'02b_DC_Accelerator_Mix'!$A$2:$A$977,0)),0)</f>
        <v/>
      </c>
      <c r="P673" s="6">
        <f>IFERROR(INDEX('02b_DC_Accelerator_Mix'!$M$2:$M$977,MATCH(G673,'02b_DC_Accelerator_Mix'!$A$2:$A$977,0)),0)</f>
        <v/>
      </c>
      <c r="Q673" s="6">
        <f>IFERROR(INDEX('02b_DC_Accelerator_Mix'!$N$2:$N$977,MATCH(G673,'02b_DC_Accelerator_Mix'!$A$2:$A$977,0)),0)</f>
        <v/>
      </c>
      <c r="R673" s="28">
        <f>H673*I673</f>
        <v/>
      </c>
      <c r="S673" s="28">
        <f>H673*J673</f>
        <v/>
      </c>
      <c r="T673" s="28">
        <f>H673*K673</f>
        <v/>
      </c>
      <c r="U673" s="28">
        <f>H673*L673</f>
        <v/>
      </c>
      <c r="V673" s="28">
        <f>H673*M673</f>
        <v/>
      </c>
      <c r="W673" s="28">
        <f>H673*N673</f>
        <v/>
      </c>
      <c r="X673" s="28">
        <f>H673*O673</f>
        <v/>
      </c>
      <c r="Y673" s="28">
        <f>H673*P673</f>
        <v/>
      </c>
      <c r="Z673" s="28">
        <f>H673*Q673</f>
        <v/>
      </c>
      <c r="AA673" s="28">
        <f>SUM(U673:Z673)</f>
        <v/>
      </c>
      <c r="AB673" s="5">
        <f>IF(COUNTIF('02b_DC_Accelerator_Mix'!$A$2:$A$977,G673)&gt;0,"matched","missing_mix")</f>
        <v/>
      </c>
    </row>
    <row r="674">
      <c r="A674" s="5">
        <f>'02a_DC_Capacity_Alloc'!A674</f>
        <v/>
      </c>
      <c r="B674" s="5">
        <f>'02a_DC_Capacity_Alloc'!B674</f>
        <v/>
      </c>
      <c r="C674" s="5">
        <f>'02a_DC_Capacity_Alloc'!C674</f>
        <v/>
      </c>
      <c r="D674" s="5">
        <f>'02a_DC_Capacity_Alloc'!D674</f>
        <v/>
      </c>
      <c r="E674" s="5">
        <f>'02a_DC_Capacity_Alloc'!E674</f>
        <v/>
      </c>
      <c r="F674" s="5">
        <f>'02a_DC_Capacity_Alloc'!F674</f>
        <v/>
      </c>
      <c r="G674" s="5">
        <f>B674&amp;"|"&amp;E674&amp;"|"&amp;D674</f>
        <v/>
      </c>
      <c r="H674" s="28">
        <f>'02a_DC_Capacity_Alloc'!H674*'02a_DC_Capacity_Alloc'!I674*'02a_DC_Capacity_Alloc'!J674</f>
        <v/>
      </c>
      <c r="I674" s="6">
        <f>IFERROR(INDEX('02b_DC_Accelerator_Mix'!$F$2:$F$977,MATCH(G674,'02b_DC_Accelerator_Mix'!$A$2:$A$977,0)),0)</f>
        <v/>
      </c>
      <c r="J674" s="6">
        <f>IFERROR(INDEX('02b_DC_Accelerator_Mix'!$G$2:$G$977,MATCH(G674,'02b_DC_Accelerator_Mix'!$A$2:$A$977,0)),0)</f>
        <v/>
      </c>
      <c r="K674" s="6">
        <f>IFERROR(INDEX('02b_DC_Accelerator_Mix'!$H$2:$H$977,MATCH(G674,'02b_DC_Accelerator_Mix'!$A$2:$A$977,0)),0)</f>
        <v/>
      </c>
      <c r="L674" s="6">
        <f>IFERROR(INDEX('02b_DC_Accelerator_Mix'!$I$2:$I$977,MATCH(G674,'02b_DC_Accelerator_Mix'!$A$2:$A$977,0)),0)</f>
        <v/>
      </c>
      <c r="M674" s="6">
        <f>IFERROR(INDEX('02b_DC_Accelerator_Mix'!$J$2:$J$977,MATCH(G674,'02b_DC_Accelerator_Mix'!$A$2:$A$977,0)),0)</f>
        <v/>
      </c>
      <c r="N674" s="6">
        <f>IFERROR(INDEX('02b_DC_Accelerator_Mix'!$K$2:$K$977,MATCH(G674,'02b_DC_Accelerator_Mix'!$A$2:$A$977,0)),0)</f>
        <v/>
      </c>
      <c r="O674" s="6">
        <f>IFERROR(INDEX('02b_DC_Accelerator_Mix'!$L$2:$L$977,MATCH(G674,'02b_DC_Accelerator_Mix'!$A$2:$A$977,0)),0)</f>
        <v/>
      </c>
      <c r="P674" s="6">
        <f>IFERROR(INDEX('02b_DC_Accelerator_Mix'!$M$2:$M$977,MATCH(G674,'02b_DC_Accelerator_Mix'!$A$2:$A$977,0)),0)</f>
        <v/>
      </c>
      <c r="Q674" s="6">
        <f>IFERROR(INDEX('02b_DC_Accelerator_Mix'!$N$2:$N$977,MATCH(G674,'02b_DC_Accelerator_Mix'!$A$2:$A$977,0)),0)</f>
        <v/>
      </c>
      <c r="R674" s="28">
        <f>H674*I674</f>
        <v/>
      </c>
      <c r="S674" s="28">
        <f>H674*J674</f>
        <v/>
      </c>
      <c r="T674" s="28">
        <f>H674*K674</f>
        <v/>
      </c>
      <c r="U674" s="28">
        <f>H674*L674</f>
        <v/>
      </c>
      <c r="V674" s="28">
        <f>H674*M674</f>
        <v/>
      </c>
      <c r="W674" s="28">
        <f>H674*N674</f>
        <v/>
      </c>
      <c r="X674" s="28">
        <f>H674*O674</f>
        <v/>
      </c>
      <c r="Y674" s="28">
        <f>H674*P674</f>
        <v/>
      </c>
      <c r="Z674" s="28">
        <f>H674*Q674</f>
        <v/>
      </c>
      <c r="AA674" s="28">
        <f>SUM(U674:Z674)</f>
        <v/>
      </c>
      <c r="AB674" s="5">
        <f>IF(COUNTIF('02b_DC_Accelerator_Mix'!$A$2:$A$977,G674)&gt;0,"matched","missing_mix")</f>
        <v/>
      </c>
    </row>
    <row r="675">
      <c r="A675" s="5">
        <f>'02a_DC_Capacity_Alloc'!A675</f>
        <v/>
      </c>
      <c r="B675" s="5">
        <f>'02a_DC_Capacity_Alloc'!B675</f>
        <v/>
      </c>
      <c r="C675" s="5">
        <f>'02a_DC_Capacity_Alloc'!C675</f>
        <v/>
      </c>
      <c r="D675" s="5">
        <f>'02a_DC_Capacity_Alloc'!D675</f>
        <v/>
      </c>
      <c r="E675" s="5">
        <f>'02a_DC_Capacity_Alloc'!E675</f>
        <v/>
      </c>
      <c r="F675" s="5">
        <f>'02a_DC_Capacity_Alloc'!F675</f>
        <v/>
      </c>
      <c r="G675" s="5">
        <f>B675&amp;"|"&amp;E675&amp;"|"&amp;D675</f>
        <v/>
      </c>
      <c r="H675" s="28">
        <f>'02a_DC_Capacity_Alloc'!H675*'02a_DC_Capacity_Alloc'!I675*'02a_DC_Capacity_Alloc'!J675</f>
        <v/>
      </c>
      <c r="I675" s="6">
        <f>IFERROR(INDEX('02b_DC_Accelerator_Mix'!$F$2:$F$977,MATCH(G675,'02b_DC_Accelerator_Mix'!$A$2:$A$977,0)),0)</f>
        <v/>
      </c>
      <c r="J675" s="6">
        <f>IFERROR(INDEX('02b_DC_Accelerator_Mix'!$G$2:$G$977,MATCH(G675,'02b_DC_Accelerator_Mix'!$A$2:$A$977,0)),0)</f>
        <v/>
      </c>
      <c r="K675" s="6">
        <f>IFERROR(INDEX('02b_DC_Accelerator_Mix'!$H$2:$H$977,MATCH(G675,'02b_DC_Accelerator_Mix'!$A$2:$A$977,0)),0)</f>
        <v/>
      </c>
      <c r="L675" s="6">
        <f>IFERROR(INDEX('02b_DC_Accelerator_Mix'!$I$2:$I$977,MATCH(G675,'02b_DC_Accelerator_Mix'!$A$2:$A$977,0)),0)</f>
        <v/>
      </c>
      <c r="M675" s="6">
        <f>IFERROR(INDEX('02b_DC_Accelerator_Mix'!$J$2:$J$977,MATCH(G675,'02b_DC_Accelerator_Mix'!$A$2:$A$977,0)),0)</f>
        <v/>
      </c>
      <c r="N675" s="6">
        <f>IFERROR(INDEX('02b_DC_Accelerator_Mix'!$K$2:$K$977,MATCH(G675,'02b_DC_Accelerator_Mix'!$A$2:$A$977,0)),0)</f>
        <v/>
      </c>
      <c r="O675" s="6">
        <f>IFERROR(INDEX('02b_DC_Accelerator_Mix'!$L$2:$L$977,MATCH(G675,'02b_DC_Accelerator_Mix'!$A$2:$A$977,0)),0)</f>
        <v/>
      </c>
      <c r="P675" s="6">
        <f>IFERROR(INDEX('02b_DC_Accelerator_Mix'!$M$2:$M$977,MATCH(G675,'02b_DC_Accelerator_Mix'!$A$2:$A$977,0)),0)</f>
        <v/>
      </c>
      <c r="Q675" s="6">
        <f>IFERROR(INDEX('02b_DC_Accelerator_Mix'!$N$2:$N$977,MATCH(G675,'02b_DC_Accelerator_Mix'!$A$2:$A$977,0)),0)</f>
        <v/>
      </c>
      <c r="R675" s="28">
        <f>H675*I675</f>
        <v/>
      </c>
      <c r="S675" s="28">
        <f>H675*J675</f>
        <v/>
      </c>
      <c r="T675" s="28">
        <f>H675*K675</f>
        <v/>
      </c>
      <c r="U675" s="28">
        <f>H675*L675</f>
        <v/>
      </c>
      <c r="V675" s="28">
        <f>H675*M675</f>
        <v/>
      </c>
      <c r="W675" s="28">
        <f>H675*N675</f>
        <v/>
      </c>
      <c r="X675" s="28">
        <f>H675*O675</f>
        <v/>
      </c>
      <c r="Y675" s="28">
        <f>H675*P675</f>
        <v/>
      </c>
      <c r="Z675" s="28">
        <f>H675*Q675</f>
        <v/>
      </c>
      <c r="AA675" s="28">
        <f>SUM(U675:Z675)</f>
        <v/>
      </c>
      <c r="AB675" s="5">
        <f>IF(COUNTIF('02b_DC_Accelerator_Mix'!$A$2:$A$977,G675)&gt;0,"matched","missing_mix")</f>
        <v/>
      </c>
    </row>
    <row r="676">
      <c r="A676" s="5">
        <f>'02a_DC_Capacity_Alloc'!A676</f>
        <v/>
      </c>
      <c r="B676" s="5">
        <f>'02a_DC_Capacity_Alloc'!B676</f>
        <v/>
      </c>
      <c r="C676" s="5">
        <f>'02a_DC_Capacity_Alloc'!C676</f>
        <v/>
      </c>
      <c r="D676" s="5">
        <f>'02a_DC_Capacity_Alloc'!D676</f>
        <v/>
      </c>
      <c r="E676" s="5">
        <f>'02a_DC_Capacity_Alloc'!E676</f>
        <v/>
      </c>
      <c r="F676" s="5">
        <f>'02a_DC_Capacity_Alloc'!F676</f>
        <v/>
      </c>
      <c r="G676" s="5">
        <f>B676&amp;"|"&amp;E676&amp;"|"&amp;D676</f>
        <v/>
      </c>
      <c r="H676" s="28">
        <f>'02a_DC_Capacity_Alloc'!H676*'02a_DC_Capacity_Alloc'!I676*'02a_DC_Capacity_Alloc'!J676</f>
        <v/>
      </c>
      <c r="I676" s="6">
        <f>IFERROR(INDEX('02b_DC_Accelerator_Mix'!$F$2:$F$977,MATCH(G676,'02b_DC_Accelerator_Mix'!$A$2:$A$977,0)),0)</f>
        <v/>
      </c>
      <c r="J676" s="6">
        <f>IFERROR(INDEX('02b_DC_Accelerator_Mix'!$G$2:$G$977,MATCH(G676,'02b_DC_Accelerator_Mix'!$A$2:$A$977,0)),0)</f>
        <v/>
      </c>
      <c r="K676" s="6">
        <f>IFERROR(INDEX('02b_DC_Accelerator_Mix'!$H$2:$H$977,MATCH(G676,'02b_DC_Accelerator_Mix'!$A$2:$A$977,0)),0)</f>
        <v/>
      </c>
      <c r="L676" s="6">
        <f>IFERROR(INDEX('02b_DC_Accelerator_Mix'!$I$2:$I$977,MATCH(G676,'02b_DC_Accelerator_Mix'!$A$2:$A$977,0)),0)</f>
        <v/>
      </c>
      <c r="M676" s="6">
        <f>IFERROR(INDEX('02b_DC_Accelerator_Mix'!$J$2:$J$977,MATCH(G676,'02b_DC_Accelerator_Mix'!$A$2:$A$977,0)),0)</f>
        <v/>
      </c>
      <c r="N676" s="6">
        <f>IFERROR(INDEX('02b_DC_Accelerator_Mix'!$K$2:$K$977,MATCH(G676,'02b_DC_Accelerator_Mix'!$A$2:$A$977,0)),0)</f>
        <v/>
      </c>
      <c r="O676" s="6">
        <f>IFERROR(INDEX('02b_DC_Accelerator_Mix'!$L$2:$L$977,MATCH(G676,'02b_DC_Accelerator_Mix'!$A$2:$A$977,0)),0)</f>
        <v/>
      </c>
      <c r="P676" s="6">
        <f>IFERROR(INDEX('02b_DC_Accelerator_Mix'!$M$2:$M$977,MATCH(G676,'02b_DC_Accelerator_Mix'!$A$2:$A$977,0)),0)</f>
        <v/>
      </c>
      <c r="Q676" s="6">
        <f>IFERROR(INDEX('02b_DC_Accelerator_Mix'!$N$2:$N$977,MATCH(G676,'02b_DC_Accelerator_Mix'!$A$2:$A$977,0)),0)</f>
        <v/>
      </c>
      <c r="R676" s="28">
        <f>H676*I676</f>
        <v/>
      </c>
      <c r="S676" s="28">
        <f>H676*J676</f>
        <v/>
      </c>
      <c r="T676" s="28">
        <f>H676*K676</f>
        <v/>
      </c>
      <c r="U676" s="28">
        <f>H676*L676</f>
        <v/>
      </c>
      <c r="V676" s="28">
        <f>H676*M676</f>
        <v/>
      </c>
      <c r="W676" s="28">
        <f>H676*N676</f>
        <v/>
      </c>
      <c r="X676" s="28">
        <f>H676*O676</f>
        <v/>
      </c>
      <c r="Y676" s="28">
        <f>H676*P676</f>
        <v/>
      </c>
      <c r="Z676" s="28">
        <f>H676*Q676</f>
        <v/>
      </c>
      <c r="AA676" s="28">
        <f>SUM(U676:Z676)</f>
        <v/>
      </c>
      <c r="AB676" s="5">
        <f>IF(COUNTIF('02b_DC_Accelerator_Mix'!$A$2:$A$977,G676)&gt;0,"matched","missing_mix")</f>
        <v/>
      </c>
    </row>
    <row r="677">
      <c r="A677" s="5">
        <f>'02a_DC_Capacity_Alloc'!A677</f>
        <v/>
      </c>
      <c r="B677" s="5">
        <f>'02a_DC_Capacity_Alloc'!B677</f>
        <v/>
      </c>
      <c r="C677" s="5">
        <f>'02a_DC_Capacity_Alloc'!C677</f>
        <v/>
      </c>
      <c r="D677" s="5">
        <f>'02a_DC_Capacity_Alloc'!D677</f>
        <v/>
      </c>
      <c r="E677" s="5">
        <f>'02a_DC_Capacity_Alloc'!E677</f>
        <v/>
      </c>
      <c r="F677" s="5">
        <f>'02a_DC_Capacity_Alloc'!F677</f>
        <v/>
      </c>
      <c r="G677" s="5">
        <f>B677&amp;"|"&amp;E677&amp;"|"&amp;D677</f>
        <v/>
      </c>
      <c r="H677" s="28">
        <f>'02a_DC_Capacity_Alloc'!H677*'02a_DC_Capacity_Alloc'!I677*'02a_DC_Capacity_Alloc'!J677</f>
        <v/>
      </c>
      <c r="I677" s="6">
        <f>IFERROR(INDEX('02b_DC_Accelerator_Mix'!$F$2:$F$977,MATCH(G677,'02b_DC_Accelerator_Mix'!$A$2:$A$977,0)),0)</f>
        <v/>
      </c>
      <c r="J677" s="6">
        <f>IFERROR(INDEX('02b_DC_Accelerator_Mix'!$G$2:$G$977,MATCH(G677,'02b_DC_Accelerator_Mix'!$A$2:$A$977,0)),0)</f>
        <v/>
      </c>
      <c r="K677" s="6">
        <f>IFERROR(INDEX('02b_DC_Accelerator_Mix'!$H$2:$H$977,MATCH(G677,'02b_DC_Accelerator_Mix'!$A$2:$A$977,0)),0)</f>
        <v/>
      </c>
      <c r="L677" s="6">
        <f>IFERROR(INDEX('02b_DC_Accelerator_Mix'!$I$2:$I$977,MATCH(G677,'02b_DC_Accelerator_Mix'!$A$2:$A$977,0)),0)</f>
        <v/>
      </c>
      <c r="M677" s="6">
        <f>IFERROR(INDEX('02b_DC_Accelerator_Mix'!$J$2:$J$977,MATCH(G677,'02b_DC_Accelerator_Mix'!$A$2:$A$977,0)),0)</f>
        <v/>
      </c>
      <c r="N677" s="6">
        <f>IFERROR(INDEX('02b_DC_Accelerator_Mix'!$K$2:$K$977,MATCH(G677,'02b_DC_Accelerator_Mix'!$A$2:$A$977,0)),0)</f>
        <v/>
      </c>
      <c r="O677" s="6">
        <f>IFERROR(INDEX('02b_DC_Accelerator_Mix'!$L$2:$L$977,MATCH(G677,'02b_DC_Accelerator_Mix'!$A$2:$A$977,0)),0)</f>
        <v/>
      </c>
      <c r="P677" s="6">
        <f>IFERROR(INDEX('02b_DC_Accelerator_Mix'!$M$2:$M$977,MATCH(G677,'02b_DC_Accelerator_Mix'!$A$2:$A$977,0)),0)</f>
        <v/>
      </c>
      <c r="Q677" s="6">
        <f>IFERROR(INDEX('02b_DC_Accelerator_Mix'!$N$2:$N$977,MATCH(G677,'02b_DC_Accelerator_Mix'!$A$2:$A$977,0)),0)</f>
        <v/>
      </c>
      <c r="R677" s="28">
        <f>H677*I677</f>
        <v/>
      </c>
      <c r="S677" s="28">
        <f>H677*J677</f>
        <v/>
      </c>
      <c r="T677" s="28">
        <f>H677*K677</f>
        <v/>
      </c>
      <c r="U677" s="28">
        <f>H677*L677</f>
        <v/>
      </c>
      <c r="V677" s="28">
        <f>H677*M677</f>
        <v/>
      </c>
      <c r="W677" s="28">
        <f>H677*N677</f>
        <v/>
      </c>
      <c r="X677" s="28">
        <f>H677*O677</f>
        <v/>
      </c>
      <c r="Y677" s="28">
        <f>H677*P677</f>
        <v/>
      </c>
      <c r="Z677" s="28">
        <f>H677*Q677</f>
        <v/>
      </c>
      <c r="AA677" s="28">
        <f>SUM(U677:Z677)</f>
        <v/>
      </c>
      <c r="AB677" s="5">
        <f>IF(COUNTIF('02b_DC_Accelerator_Mix'!$A$2:$A$977,G677)&gt;0,"matched","missing_mix")</f>
        <v/>
      </c>
    </row>
    <row r="678">
      <c r="A678" s="5">
        <f>'02a_DC_Capacity_Alloc'!A678</f>
        <v/>
      </c>
      <c r="B678" s="5">
        <f>'02a_DC_Capacity_Alloc'!B678</f>
        <v/>
      </c>
      <c r="C678" s="5">
        <f>'02a_DC_Capacity_Alloc'!C678</f>
        <v/>
      </c>
      <c r="D678" s="5">
        <f>'02a_DC_Capacity_Alloc'!D678</f>
        <v/>
      </c>
      <c r="E678" s="5">
        <f>'02a_DC_Capacity_Alloc'!E678</f>
        <v/>
      </c>
      <c r="F678" s="5">
        <f>'02a_DC_Capacity_Alloc'!F678</f>
        <v/>
      </c>
      <c r="G678" s="5">
        <f>B678&amp;"|"&amp;E678&amp;"|"&amp;D678</f>
        <v/>
      </c>
      <c r="H678" s="28">
        <f>'02a_DC_Capacity_Alloc'!H678*'02a_DC_Capacity_Alloc'!I678*'02a_DC_Capacity_Alloc'!J678</f>
        <v/>
      </c>
      <c r="I678" s="6">
        <f>IFERROR(INDEX('02b_DC_Accelerator_Mix'!$F$2:$F$977,MATCH(G678,'02b_DC_Accelerator_Mix'!$A$2:$A$977,0)),0)</f>
        <v/>
      </c>
      <c r="J678" s="6">
        <f>IFERROR(INDEX('02b_DC_Accelerator_Mix'!$G$2:$G$977,MATCH(G678,'02b_DC_Accelerator_Mix'!$A$2:$A$977,0)),0)</f>
        <v/>
      </c>
      <c r="K678" s="6">
        <f>IFERROR(INDEX('02b_DC_Accelerator_Mix'!$H$2:$H$977,MATCH(G678,'02b_DC_Accelerator_Mix'!$A$2:$A$977,0)),0)</f>
        <v/>
      </c>
      <c r="L678" s="6">
        <f>IFERROR(INDEX('02b_DC_Accelerator_Mix'!$I$2:$I$977,MATCH(G678,'02b_DC_Accelerator_Mix'!$A$2:$A$977,0)),0)</f>
        <v/>
      </c>
      <c r="M678" s="6">
        <f>IFERROR(INDEX('02b_DC_Accelerator_Mix'!$J$2:$J$977,MATCH(G678,'02b_DC_Accelerator_Mix'!$A$2:$A$977,0)),0)</f>
        <v/>
      </c>
      <c r="N678" s="6">
        <f>IFERROR(INDEX('02b_DC_Accelerator_Mix'!$K$2:$K$977,MATCH(G678,'02b_DC_Accelerator_Mix'!$A$2:$A$977,0)),0)</f>
        <v/>
      </c>
      <c r="O678" s="6">
        <f>IFERROR(INDEX('02b_DC_Accelerator_Mix'!$L$2:$L$977,MATCH(G678,'02b_DC_Accelerator_Mix'!$A$2:$A$977,0)),0)</f>
        <v/>
      </c>
      <c r="P678" s="6">
        <f>IFERROR(INDEX('02b_DC_Accelerator_Mix'!$M$2:$M$977,MATCH(G678,'02b_DC_Accelerator_Mix'!$A$2:$A$977,0)),0)</f>
        <v/>
      </c>
      <c r="Q678" s="6">
        <f>IFERROR(INDEX('02b_DC_Accelerator_Mix'!$N$2:$N$977,MATCH(G678,'02b_DC_Accelerator_Mix'!$A$2:$A$977,0)),0)</f>
        <v/>
      </c>
      <c r="R678" s="28">
        <f>H678*I678</f>
        <v/>
      </c>
      <c r="S678" s="28">
        <f>H678*J678</f>
        <v/>
      </c>
      <c r="T678" s="28">
        <f>H678*K678</f>
        <v/>
      </c>
      <c r="U678" s="28">
        <f>H678*L678</f>
        <v/>
      </c>
      <c r="V678" s="28">
        <f>H678*M678</f>
        <v/>
      </c>
      <c r="W678" s="28">
        <f>H678*N678</f>
        <v/>
      </c>
      <c r="X678" s="28">
        <f>H678*O678</f>
        <v/>
      </c>
      <c r="Y678" s="28">
        <f>H678*P678</f>
        <v/>
      </c>
      <c r="Z678" s="28">
        <f>H678*Q678</f>
        <v/>
      </c>
      <c r="AA678" s="28">
        <f>SUM(U678:Z678)</f>
        <v/>
      </c>
      <c r="AB678" s="5">
        <f>IF(COUNTIF('02b_DC_Accelerator_Mix'!$A$2:$A$977,G678)&gt;0,"matched","missing_mix")</f>
        <v/>
      </c>
    </row>
    <row r="679">
      <c r="A679" s="5">
        <f>'02a_DC_Capacity_Alloc'!A679</f>
        <v/>
      </c>
      <c r="B679" s="5">
        <f>'02a_DC_Capacity_Alloc'!B679</f>
        <v/>
      </c>
      <c r="C679" s="5">
        <f>'02a_DC_Capacity_Alloc'!C679</f>
        <v/>
      </c>
      <c r="D679" s="5">
        <f>'02a_DC_Capacity_Alloc'!D679</f>
        <v/>
      </c>
      <c r="E679" s="5">
        <f>'02a_DC_Capacity_Alloc'!E679</f>
        <v/>
      </c>
      <c r="F679" s="5">
        <f>'02a_DC_Capacity_Alloc'!F679</f>
        <v/>
      </c>
      <c r="G679" s="5">
        <f>B679&amp;"|"&amp;E679&amp;"|"&amp;D679</f>
        <v/>
      </c>
      <c r="H679" s="28">
        <f>'02a_DC_Capacity_Alloc'!H679*'02a_DC_Capacity_Alloc'!I679*'02a_DC_Capacity_Alloc'!J679</f>
        <v/>
      </c>
      <c r="I679" s="6">
        <f>IFERROR(INDEX('02b_DC_Accelerator_Mix'!$F$2:$F$977,MATCH(G679,'02b_DC_Accelerator_Mix'!$A$2:$A$977,0)),0)</f>
        <v/>
      </c>
      <c r="J679" s="6">
        <f>IFERROR(INDEX('02b_DC_Accelerator_Mix'!$G$2:$G$977,MATCH(G679,'02b_DC_Accelerator_Mix'!$A$2:$A$977,0)),0)</f>
        <v/>
      </c>
      <c r="K679" s="6">
        <f>IFERROR(INDEX('02b_DC_Accelerator_Mix'!$H$2:$H$977,MATCH(G679,'02b_DC_Accelerator_Mix'!$A$2:$A$977,0)),0)</f>
        <v/>
      </c>
      <c r="L679" s="6">
        <f>IFERROR(INDEX('02b_DC_Accelerator_Mix'!$I$2:$I$977,MATCH(G679,'02b_DC_Accelerator_Mix'!$A$2:$A$977,0)),0)</f>
        <v/>
      </c>
      <c r="M679" s="6">
        <f>IFERROR(INDEX('02b_DC_Accelerator_Mix'!$J$2:$J$977,MATCH(G679,'02b_DC_Accelerator_Mix'!$A$2:$A$977,0)),0)</f>
        <v/>
      </c>
      <c r="N679" s="6">
        <f>IFERROR(INDEX('02b_DC_Accelerator_Mix'!$K$2:$K$977,MATCH(G679,'02b_DC_Accelerator_Mix'!$A$2:$A$977,0)),0)</f>
        <v/>
      </c>
      <c r="O679" s="6">
        <f>IFERROR(INDEX('02b_DC_Accelerator_Mix'!$L$2:$L$977,MATCH(G679,'02b_DC_Accelerator_Mix'!$A$2:$A$977,0)),0)</f>
        <v/>
      </c>
      <c r="P679" s="6">
        <f>IFERROR(INDEX('02b_DC_Accelerator_Mix'!$M$2:$M$977,MATCH(G679,'02b_DC_Accelerator_Mix'!$A$2:$A$977,0)),0)</f>
        <v/>
      </c>
      <c r="Q679" s="6">
        <f>IFERROR(INDEX('02b_DC_Accelerator_Mix'!$N$2:$N$977,MATCH(G679,'02b_DC_Accelerator_Mix'!$A$2:$A$977,0)),0)</f>
        <v/>
      </c>
      <c r="R679" s="28">
        <f>H679*I679</f>
        <v/>
      </c>
      <c r="S679" s="28">
        <f>H679*J679</f>
        <v/>
      </c>
      <c r="T679" s="28">
        <f>H679*K679</f>
        <v/>
      </c>
      <c r="U679" s="28">
        <f>H679*L679</f>
        <v/>
      </c>
      <c r="V679" s="28">
        <f>H679*M679</f>
        <v/>
      </c>
      <c r="W679" s="28">
        <f>H679*N679</f>
        <v/>
      </c>
      <c r="X679" s="28">
        <f>H679*O679</f>
        <v/>
      </c>
      <c r="Y679" s="28">
        <f>H679*P679</f>
        <v/>
      </c>
      <c r="Z679" s="28">
        <f>H679*Q679</f>
        <v/>
      </c>
      <c r="AA679" s="28">
        <f>SUM(U679:Z679)</f>
        <v/>
      </c>
      <c r="AB679" s="5">
        <f>IF(COUNTIF('02b_DC_Accelerator_Mix'!$A$2:$A$977,G679)&gt;0,"matched","missing_mix")</f>
        <v/>
      </c>
    </row>
    <row r="680">
      <c r="A680" s="5">
        <f>'02a_DC_Capacity_Alloc'!A680</f>
        <v/>
      </c>
      <c r="B680" s="5">
        <f>'02a_DC_Capacity_Alloc'!B680</f>
        <v/>
      </c>
      <c r="C680" s="5">
        <f>'02a_DC_Capacity_Alloc'!C680</f>
        <v/>
      </c>
      <c r="D680" s="5">
        <f>'02a_DC_Capacity_Alloc'!D680</f>
        <v/>
      </c>
      <c r="E680" s="5">
        <f>'02a_DC_Capacity_Alloc'!E680</f>
        <v/>
      </c>
      <c r="F680" s="5">
        <f>'02a_DC_Capacity_Alloc'!F680</f>
        <v/>
      </c>
      <c r="G680" s="5">
        <f>B680&amp;"|"&amp;E680&amp;"|"&amp;D680</f>
        <v/>
      </c>
      <c r="H680" s="28">
        <f>'02a_DC_Capacity_Alloc'!H680*'02a_DC_Capacity_Alloc'!I680*'02a_DC_Capacity_Alloc'!J680</f>
        <v/>
      </c>
      <c r="I680" s="6">
        <f>IFERROR(INDEX('02b_DC_Accelerator_Mix'!$F$2:$F$977,MATCH(G680,'02b_DC_Accelerator_Mix'!$A$2:$A$977,0)),0)</f>
        <v/>
      </c>
      <c r="J680" s="6">
        <f>IFERROR(INDEX('02b_DC_Accelerator_Mix'!$G$2:$G$977,MATCH(G680,'02b_DC_Accelerator_Mix'!$A$2:$A$977,0)),0)</f>
        <v/>
      </c>
      <c r="K680" s="6">
        <f>IFERROR(INDEX('02b_DC_Accelerator_Mix'!$H$2:$H$977,MATCH(G680,'02b_DC_Accelerator_Mix'!$A$2:$A$977,0)),0)</f>
        <v/>
      </c>
      <c r="L680" s="6">
        <f>IFERROR(INDEX('02b_DC_Accelerator_Mix'!$I$2:$I$977,MATCH(G680,'02b_DC_Accelerator_Mix'!$A$2:$A$977,0)),0)</f>
        <v/>
      </c>
      <c r="M680" s="6">
        <f>IFERROR(INDEX('02b_DC_Accelerator_Mix'!$J$2:$J$977,MATCH(G680,'02b_DC_Accelerator_Mix'!$A$2:$A$977,0)),0)</f>
        <v/>
      </c>
      <c r="N680" s="6">
        <f>IFERROR(INDEX('02b_DC_Accelerator_Mix'!$K$2:$K$977,MATCH(G680,'02b_DC_Accelerator_Mix'!$A$2:$A$977,0)),0)</f>
        <v/>
      </c>
      <c r="O680" s="6">
        <f>IFERROR(INDEX('02b_DC_Accelerator_Mix'!$L$2:$L$977,MATCH(G680,'02b_DC_Accelerator_Mix'!$A$2:$A$977,0)),0)</f>
        <v/>
      </c>
      <c r="P680" s="6">
        <f>IFERROR(INDEX('02b_DC_Accelerator_Mix'!$M$2:$M$977,MATCH(G680,'02b_DC_Accelerator_Mix'!$A$2:$A$977,0)),0)</f>
        <v/>
      </c>
      <c r="Q680" s="6">
        <f>IFERROR(INDEX('02b_DC_Accelerator_Mix'!$N$2:$N$977,MATCH(G680,'02b_DC_Accelerator_Mix'!$A$2:$A$977,0)),0)</f>
        <v/>
      </c>
      <c r="R680" s="28">
        <f>H680*I680</f>
        <v/>
      </c>
      <c r="S680" s="28">
        <f>H680*J680</f>
        <v/>
      </c>
      <c r="T680" s="28">
        <f>H680*K680</f>
        <v/>
      </c>
      <c r="U680" s="28">
        <f>H680*L680</f>
        <v/>
      </c>
      <c r="V680" s="28">
        <f>H680*M680</f>
        <v/>
      </c>
      <c r="W680" s="28">
        <f>H680*N680</f>
        <v/>
      </c>
      <c r="X680" s="28">
        <f>H680*O680</f>
        <v/>
      </c>
      <c r="Y680" s="28">
        <f>H680*P680</f>
        <v/>
      </c>
      <c r="Z680" s="28">
        <f>H680*Q680</f>
        <v/>
      </c>
      <c r="AA680" s="28">
        <f>SUM(U680:Z680)</f>
        <v/>
      </c>
      <c r="AB680" s="5">
        <f>IF(COUNTIF('02b_DC_Accelerator_Mix'!$A$2:$A$977,G680)&gt;0,"matched","missing_mix")</f>
        <v/>
      </c>
    </row>
    <row r="681">
      <c r="A681" s="5">
        <f>'02a_DC_Capacity_Alloc'!A681</f>
        <v/>
      </c>
      <c r="B681" s="5">
        <f>'02a_DC_Capacity_Alloc'!B681</f>
        <v/>
      </c>
      <c r="C681" s="5">
        <f>'02a_DC_Capacity_Alloc'!C681</f>
        <v/>
      </c>
      <c r="D681" s="5">
        <f>'02a_DC_Capacity_Alloc'!D681</f>
        <v/>
      </c>
      <c r="E681" s="5">
        <f>'02a_DC_Capacity_Alloc'!E681</f>
        <v/>
      </c>
      <c r="F681" s="5">
        <f>'02a_DC_Capacity_Alloc'!F681</f>
        <v/>
      </c>
      <c r="G681" s="5">
        <f>B681&amp;"|"&amp;E681&amp;"|"&amp;D681</f>
        <v/>
      </c>
      <c r="H681" s="28">
        <f>'02a_DC_Capacity_Alloc'!H681*'02a_DC_Capacity_Alloc'!I681*'02a_DC_Capacity_Alloc'!J681</f>
        <v/>
      </c>
      <c r="I681" s="6">
        <f>IFERROR(INDEX('02b_DC_Accelerator_Mix'!$F$2:$F$977,MATCH(G681,'02b_DC_Accelerator_Mix'!$A$2:$A$977,0)),0)</f>
        <v/>
      </c>
      <c r="J681" s="6">
        <f>IFERROR(INDEX('02b_DC_Accelerator_Mix'!$G$2:$G$977,MATCH(G681,'02b_DC_Accelerator_Mix'!$A$2:$A$977,0)),0)</f>
        <v/>
      </c>
      <c r="K681" s="6">
        <f>IFERROR(INDEX('02b_DC_Accelerator_Mix'!$H$2:$H$977,MATCH(G681,'02b_DC_Accelerator_Mix'!$A$2:$A$977,0)),0)</f>
        <v/>
      </c>
      <c r="L681" s="6">
        <f>IFERROR(INDEX('02b_DC_Accelerator_Mix'!$I$2:$I$977,MATCH(G681,'02b_DC_Accelerator_Mix'!$A$2:$A$977,0)),0)</f>
        <v/>
      </c>
      <c r="M681" s="6">
        <f>IFERROR(INDEX('02b_DC_Accelerator_Mix'!$J$2:$J$977,MATCH(G681,'02b_DC_Accelerator_Mix'!$A$2:$A$977,0)),0)</f>
        <v/>
      </c>
      <c r="N681" s="6">
        <f>IFERROR(INDEX('02b_DC_Accelerator_Mix'!$K$2:$K$977,MATCH(G681,'02b_DC_Accelerator_Mix'!$A$2:$A$977,0)),0)</f>
        <v/>
      </c>
      <c r="O681" s="6">
        <f>IFERROR(INDEX('02b_DC_Accelerator_Mix'!$L$2:$L$977,MATCH(G681,'02b_DC_Accelerator_Mix'!$A$2:$A$977,0)),0)</f>
        <v/>
      </c>
      <c r="P681" s="6">
        <f>IFERROR(INDEX('02b_DC_Accelerator_Mix'!$M$2:$M$977,MATCH(G681,'02b_DC_Accelerator_Mix'!$A$2:$A$977,0)),0)</f>
        <v/>
      </c>
      <c r="Q681" s="6">
        <f>IFERROR(INDEX('02b_DC_Accelerator_Mix'!$N$2:$N$977,MATCH(G681,'02b_DC_Accelerator_Mix'!$A$2:$A$977,0)),0)</f>
        <v/>
      </c>
      <c r="R681" s="28">
        <f>H681*I681</f>
        <v/>
      </c>
      <c r="S681" s="28">
        <f>H681*J681</f>
        <v/>
      </c>
      <c r="T681" s="28">
        <f>H681*K681</f>
        <v/>
      </c>
      <c r="U681" s="28">
        <f>H681*L681</f>
        <v/>
      </c>
      <c r="V681" s="28">
        <f>H681*M681</f>
        <v/>
      </c>
      <c r="W681" s="28">
        <f>H681*N681</f>
        <v/>
      </c>
      <c r="X681" s="28">
        <f>H681*O681</f>
        <v/>
      </c>
      <c r="Y681" s="28">
        <f>H681*P681</f>
        <v/>
      </c>
      <c r="Z681" s="28">
        <f>H681*Q681</f>
        <v/>
      </c>
      <c r="AA681" s="28">
        <f>SUM(U681:Z681)</f>
        <v/>
      </c>
      <c r="AB681" s="5">
        <f>IF(COUNTIF('02b_DC_Accelerator_Mix'!$A$2:$A$977,G681)&gt;0,"matched","missing_mix")</f>
        <v/>
      </c>
    </row>
    <row r="682">
      <c r="A682" s="5">
        <f>'02a_DC_Capacity_Alloc'!A682</f>
        <v/>
      </c>
      <c r="B682" s="5">
        <f>'02a_DC_Capacity_Alloc'!B682</f>
        <v/>
      </c>
      <c r="C682" s="5">
        <f>'02a_DC_Capacity_Alloc'!C682</f>
        <v/>
      </c>
      <c r="D682" s="5">
        <f>'02a_DC_Capacity_Alloc'!D682</f>
        <v/>
      </c>
      <c r="E682" s="5">
        <f>'02a_DC_Capacity_Alloc'!E682</f>
        <v/>
      </c>
      <c r="F682" s="5">
        <f>'02a_DC_Capacity_Alloc'!F682</f>
        <v/>
      </c>
      <c r="G682" s="5">
        <f>B682&amp;"|"&amp;E682&amp;"|"&amp;D682</f>
        <v/>
      </c>
      <c r="H682" s="28">
        <f>'02a_DC_Capacity_Alloc'!H682*'02a_DC_Capacity_Alloc'!I682*'02a_DC_Capacity_Alloc'!J682</f>
        <v/>
      </c>
      <c r="I682" s="6">
        <f>IFERROR(INDEX('02b_DC_Accelerator_Mix'!$F$2:$F$977,MATCH(G682,'02b_DC_Accelerator_Mix'!$A$2:$A$977,0)),0)</f>
        <v/>
      </c>
      <c r="J682" s="6">
        <f>IFERROR(INDEX('02b_DC_Accelerator_Mix'!$G$2:$G$977,MATCH(G682,'02b_DC_Accelerator_Mix'!$A$2:$A$977,0)),0)</f>
        <v/>
      </c>
      <c r="K682" s="6">
        <f>IFERROR(INDEX('02b_DC_Accelerator_Mix'!$H$2:$H$977,MATCH(G682,'02b_DC_Accelerator_Mix'!$A$2:$A$977,0)),0)</f>
        <v/>
      </c>
      <c r="L682" s="6">
        <f>IFERROR(INDEX('02b_DC_Accelerator_Mix'!$I$2:$I$977,MATCH(G682,'02b_DC_Accelerator_Mix'!$A$2:$A$977,0)),0)</f>
        <v/>
      </c>
      <c r="M682" s="6">
        <f>IFERROR(INDEX('02b_DC_Accelerator_Mix'!$J$2:$J$977,MATCH(G682,'02b_DC_Accelerator_Mix'!$A$2:$A$977,0)),0)</f>
        <v/>
      </c>
      <c r="N682" s="6">
        <f>IFERROR(INDEX('02b_DC_Accelerator_Mix'!$K$2:$K$977,MATCH(G682,'02b_DC_Accelerator_Mix'!$A$2:$A$977,0)),0)</f>
        <v/>
      </c>
      <c r="O682" s="6">
        <f>IFERROR(INDEX('02b_DC_Accelerator_Mix'!$L$2:$L$977,MATCH(G682,'02b_DC_Accelerator_Mix'!$A$2:$A$977,0)),0)</f>
        <v/>
      </c>
      <c r="P682" s="6">
        <f>IFERROR(INDEX('02b_DC_Accelerator_Mix'!$M$2:$M$977,MATCH(G682,'02b_DC_Accelerator_Mix'!$A$2:$A$977,0)),0)</f>
        <v/>
      </c>
      <c r="Q682" s="6">
        <f>IFERROR(INDEX('02b_DC_Accelerator_Mix'!$N$2:$N$977,MATCH(G682,'02b_DC_Accelerator_Mix'!$A$2:$A$977,0)),0)</f>
        <v/>
      </c>
      <c r="R682" s="28">
        <f>H682*I682</f>
        <v/>
      </c>
      <c r="S682" s="28">
        <f>H682*J682</f>
        <v/>
      </c>
      <c r="T682" s="28">
        <f>H682*K682</f>
        <v/>
      </c>
      <c r="U682" s="28">
        <f>H682*L682</f>
        <v/>
      </c>
      <c r="V682" s="28">
        <f>H682*M682</f>
        <v/>
      </c>
      <c r="W682" s="28">
        <f>H682*N682</f>
        <v/>
      </c>
      <c r="X682" s="28">
        <f>H682*O682</f>
        <v/>
      </c>
      <c r="Y682" s="28">
        <f>H682*P682</f>
        <v/>
      </c>
      <c r="Z682" s="28">
        <f>H682*Q682</f>
        <v/>
      </c>
      <c r="AA682" s="28">
        <f>SUM(U682:Z682)</f>
        <v/>
      </c>
      <c r="AB682" s="5">
        <f>IF(COUNTIF('02b_DC_Accelerator_Mix'!$A$2:$A$977,G682)&gt;0,"matched","missing_mix")</f>
        <v/>
      </c>
    </row>
    <row r="683">
      <c r="A683" s="5">
        <f>'02a_DC_Capacity_Alloc'!A683</f>
        <v/>
      </c>
      <c r="B683" s="5">
        <f>'02a_DC_Capacity_Alloc'!B683</f>
        <v/>
      </c>
      <c r="C683" s="5">
        <f>'02a_DC_Capacity_Alloc'!C683</f>
        <v/>
      </c>
      <c r="D683" s="5">
        <f>'02a_DC_Capacity_Alloc'!D683</f>
        <v/>
      </c>
      <c r="E683" s="5">
        <f>'02a_DC_Capacity_Alloc'!E683</f>
        <v/>
      </c>
      <c r="F683" s="5">
        <f>'02a_DC_Capacity_Alloc'!F683</f>
        <v/>
      </c>
      <c r="G683" s="5">
        <f>B683&amp;"|"&amp;E683&amp;"|"&amp;D683</f>
        <v/>
      </c>
      <c r="H683" s="28">
        <f>'02a_DC_Capacity_Alloc'!H683*'02a_DC_Capacity_Alloc'!I683*'02a_DC_Capacity_Alloc'!J683</f>
        <v/>
      </c>
      <c r="I683" s="6">
        <f>IFERROR(INDEX('02b_DC_Accelerator_Mix'!$F$2:$F$977,MATCH(G683,'02b_DC_Accelerator_Mix'!$A$2:$A$977,0)),0)</f>
        <v/>
      </c>
      <c r="J683" s="6">
        <f>IFERROR(INDEX('02b_DC_Accelerator_Mix'!$G$2:$G$977,MATCH(G683,'02b_DC_Accelerator_Mix'!$A$2:$A$977,0)),0)</f>
        <v/>
      </c>
      <c r="K683" s="6">
        <f>IFERROR(INDEX('02b_DC_Accelerator_Mix'!$H$2:$H$977,MATCH(G683,'02b_DC_Accelerator_Mix'!$A$2:$A$977,0)),0)</f>
        <v/>
      </c>
      <c r="L683" s="6">
        <f>IFERROR(INDEX('02b_DC_Accelerator_Mix'!$I$2:$I$977,MATCH(G683,'02b_DC_Accelerator_Mix'!$A$2:$A$977,0)),0)</f>
        <v/>
      </c>
      <c r="M683" s="6">
        <f>IFERROR(INDEX('02b_DC_Accelerator_Mix'!$J$2:$J$977,MATCH(G683,'02b_DC_Accelerator_Mix'!$A$2:$A$977,0)),0)</f>
        <v/>
      </c>
      <c r="N683" s="6">
        <f>IFERROR(INDEX('02b_DC_Accelerator_Mix'!$K$2:$K$977,MATCH(G683,'02b_DC_Accelerator_Mix'!$A$2:$A$977,0)),0)</f>
        <v/>
      </c>
      <c r="O683" s="6">
        <f>IFERROR(INDEX('02b_DC_Accelerator_Mix'!$L$2:$L$977,MATCH(G683,'02b_DC_Accelerator_Mix'!$A$2:$A$977,0)),0)</f>
        <v/>
      </c>
      <c r="P683" s="6">
        <f>IFERROR(INDEX('02b_DC_Accelerator_Mix'!$M$2:$M$977,MATCH(G683,'02b_DC_Accelerator_Mix'!$A$2:$A$977,0)),0)</f>
        <v/>
      </c>
      <c r="Q683" s="6">
        <f>IFERROR(INDEX('02b_DC_Accelerator_Mix'!$N$2:$N$977,MATCH(G683,'02b_DC_Accelerator_Mix'!$A$2:$A$977,0)),0)</f>
        <v/>
      </c>
      <c r="R683" s="28">
        <f>H683*I683</f>
        <v/>
      </c>
      <c r="S683" s="28">
        <f>H683*J683</f>
        <v/>
      </c>
      <c r="T683" s="28">
        <f>H683*K683</f>
        <v/>
      </c>
      <c r="U683" s="28">
        <f>H683*L683</f>
        <v/>
      </c>
      <c r="V683" s="28">
        <f>H683*M683</f>
        <v/>
      </c>
      <c r="W683" s="28">
        <f>H683*N683</f>
        <v/>
      </c>
      <c r="X683" s="28">
        <f>H683*O683</f>
        <v/>
      </c>
      <c r="Y683" s="28">
        <f>H683*P683</f>
        <v/>
      </c>
      <c r="Z683" s="28">
        <f>H683*Q683</f>
        <v/>
      </c>
      <c r="AA683" s="28">
        <f>SUM(U683:Z683)</f>
        <v/>
      </c>
      <c r="AB683" s="5">
        <f>IF(COUNTIF('02b_DC_Accelerator_Mix'!$A$2:$A$977,G683)&gt;0,"matched","missing_mix")</f>
        <v/>
      </c>
    </row>
    <row r="684">
      <c r="A684" s="5">
        <f>'02a_DC_Capacity_Alloc'!A684</f>
        <v/>
      </c>
      <c r="B684" s="5">
        <f>'02a_DC_Capacity_Alloc'!B684</f>
        <v/>
      </c>
      <c r="C684" s="5">
        <f>'02a_DC_Capacity_Alloc'!C684</f>
        <v/>
      </c>
      <c r="D684" s="5">
        <f>'02a_DC_Capacity_Alloc'!D684</f>
        <v/>
      </c>
      <c r="E684" s="5">
        <f>'02a_DC_Capacity_Alloc'!E684</f>
        <v/>
      </c>
      <c r="F684" s="5">
        <f>'02a_DC_Capacity_Alloc'!F684</f>
        <v/>
      </c>
      <c r="G684" s="5">
        <f>B684&amp;"|"&amp;E684&amp;"|"&amp;D684</f>
        <v/>
      </c>
      <c r="H684" s="28">
        <f>'02a_DC_Capacity_Alloc'!H684*'02a_DC_Capacity_Alloc'!I684*'02a_DC_Capacity_Alloc'!J684</f>
        <v/>
      </c>
      <c r="I684" s="6">
        <f>IFERROR(INDEX('02b_DC_Accelerator_Mix'!$F$2:$F$977,MATCH(G684,'02b_DC_Accelerator_Mix'!$A$2:$A$977,0)),0)</f>
        <v/>
      </c>
      <c r="J684" s="6">
        <f>IFERROR(INDEX('02b_DC_Accelerator_Mix'!$G$2:$G$977,MATCH(G684,'02b_DC_Accelerator_Mix'!$A$2:$A$977,0)),0)</f>
        <v/>
      </c>
      <c r="K684" s="6">
        <f>IFERROR(INDEX('02b_DC_Accelerator_Mix'!$H$2:$H$977,MATCH(G684,'02b_DC_Accelerator_Mix'!$A$2:$A$977,0)),0)</f>
        <v/>
      </c>
      <c r="L684" s="6">
        <f>IFERROR(INDEX('02b_DC_Accelerator_Mix'!$I$2:$I$977,MATCH(G684,'02b_DC_Accelerator_Mix'!$A$2:$A$977,0)),0)</f>
        <v/>
      </c>
      <c r="M684" s="6">
        <f>IFERROR(INDEX('02b_DC_Accelerator_Mix'!$J$2:$J$977,MATCH(G684,'02b_DC_Accelerator_Mix'!$A$2:$A$977,0)),0)</f>
        <v/>
      </c>
      <c r="N684" s="6">
        <f>IFERROR(INDEX('02b_DC_Accelerator_Mix'!$K$2:$K$977,MATCH(G684,'02b_DC_Accelerator_Mix'!$A$2:$A$977,0)),0)</f>
        <v/>
      </c>
      <c r="O684" s="6">
        <f>IFERROR(INDEX('02b_DC_Accelerator_Mix'!$L$2:$L$977,MATCH(G684,'02b_DC_Accelerator_Mix'!$A$2:$A$977,0)),0)</f>
        <v/>
      </c>
      <c r="P684" s="6">
        <f>IFERROR(INDEX('02b_DC_Accelerator_Mix'!$M$2:$M$977,MATCH(G684,'02b_DC_Accelerator_Mix'!$A$2:$A$977,0)),0)</f>
        <v/>
      </c>
      <c r="Q684" s="6">
        <f>IFERROR(INDEX('02b_DC_Accelerator_Mix'!$N$2:$N$977,MATCH(G684,'02b_DC_Accelerator_Mix'!$A$2:$A$977,0)),0)</f>
        <v/>
      </c>
      <c r="R684" s="28">
        <f>H684*I684</f>
        <v/>
      </c>
      <c r="S684" s="28">
        <f>H684*J684</f>
        <v/>
      </c>
      <c r="T684" s="28">
        <f>H684*K684</f>
        <v/>
      </c>
      <c r="U684" s="28">
        <f>H684*L684</f>
        <v/>
      </c>
      <c r="V684" s="28">
        <f>H684*M684</f>
        <v/>
      </c>
      <c r="W684" s="28">
        <f>H684*N684</f>
        <v/>
      </c>
      <c r="X684" s="28">
        <f>H684*O684</f>
        <v/>
      </c>
      <c r="Y684" s="28">
        <f>H684*P684</f>
        <v/>
      </c>
      <c r="Z684" s="28">
        <f>H684*Q684</f>
        <v/>
      </c>
      <c r="AA684" s="28">
        <f>SUM(U684:Z684)</f>
        <v/>
      </c>
      <c r="AB684" s="5">
        <f>IF(COUNTIF('02b_DC_Accelerator_Mix'!$A$2:$A$977,G684)&gt;0,"matched","missing_mix")</f>
        <v/>
      </c>
    </row>
    <row r="685">
      <c r="A685" s="5">
        <f>'02a_DC_Capacity_Alloc'!A685</f>
        <v/>
      </c>
      <c r="B685" s="5">
        <f>'02a_DC_Capacity_Alloc'!B685</f>
        <v/>
      </c>
      <c r="C685" s="5">
        <f>'02a_DC_Capacity_Alloc'!C685</f>
        <v/>
      </c>
      <c r="D685" s="5">
        <f>'02a_DC_Capacity_Alloc'!D685</f>
        <v/>
      </c>
      <c r="E685" s="5">
        <f>'02a_DC_Capacity_Alloc'!E685</f>
        <v/>
      </c>
      <c r="F685" s="5">
        <f>'02a_DC_Capacity_Alloc'!F685</f>
        <v/>
      </c>
      <c r="G685" s="5">
        <f>B685&amp;"|"&amp;E685&amp;"|"&amp;D685</f>
        <v/>
      </c>
      <c r="H685" s="28">
        <f>'02a_DC_Capacity_Alloc'!H685*'02a_DC_Capacity_Alloc'!I685*'02a_DC_Capacity_Alloc'!J685</f>
        <v/>
      </c>
      <c r="I685" s="6">
        <f>IFERROR(INDEX('02b_DC_Accelerator_Mix'!$F$2:$F$977,MATCH(G685,'02b_DC_Accelerator_Mix'!$A$2:$A$977,0)),0)</f>
        <v/>
      </c>
      <c r="J685" s="6">
        <f>IFERROR(INDEX('02b_DC_Accelerator_Mix'!$G$2:$G$977,MATCH(G685,'02b_DC_Accelerator_Mix'!$A$2:$A$977,0)),0)</f>
        <v/>
      </c>
      <c r="K685" s="6">
        <f>IFERROR(INDEX('02b_DC_Accelerator_Mix'!$H$2:$H$977,MATCH(G685,'02b_DC_Accelerator_Mix'!$A$2:$A$977,0)),0)</f>
        <v/>
      </c>
      <c r="L685" s="6">
        <f>IFERROR(INDEX('02b_DC_Accelerator_Mix'!$I$2:$I$977,MATCH(G685,'02b_DC_Accelerator_Mix'!$A$2:$A$977,0)),0)</f>
        <v/>
      </c>
      <c r="M685" s="6">
        <f>IFERROR(INDEX('02b_DC_Accelerator_Mix'!$J$2:$J$977,MATCH(G685,'02b_DC_Accelerator_Mix'!$A$2:$A$977,0)),0)</f>
        <v/>
      </c>
      <c r="N685" s="6">
        <f>IFERROR(INDEX('02b_DC_Accelerator_Mix'!$K$2:$K$977,MATCH(G685,'02b_DC_Accelerator_Mix'!$A$2:$A$977,0)),0)</f>
        <v/>
      </c>
      <c r="O685" s="6">
        <f>IFERROR(INDEX('02b_DC_Accelerator_Mix'!$L$2:$L$977,MATCH(G685,'02b_DC_Accelerator_Mix'!$A$2:$A$977,0)),0)</f>
        <v/>
      </c>
      <c r="P685" s="6">
        <f>IFERROR(INDEX('02b_DC_Accelerator_Mix'!$M$2:$M$977,MATCH(G685,'02b_DC_Accelerator_Mix'!$A$2:$A$977,0)),0)</f>
        <v/>
      </c>
      <c r="Q685" s="6">
        <f>IFERROR(INDEX('02b_DC_Accelerator_Mix'!$N$2:$N$977,MATCH(G685,'02b_DC_Accelerator_Mix'!$A$2:$A$977,0)),0)</f>
        <v/>
      </c>
      <c r="R685" s="28">
        <f>H685*I685</f>
        <v/>
      </c>
      <c r="S685" s="28">
        <f>H685*J685</f>
        <v/>
      </c>
      <c r="T685" s="28">
        <f>H685*K685</f>
        <v/>
      </c>
      <c r="U685" s="28">
        <f>H685*L685</f>
        <v/>
      </c>
      <c r="V685" s="28">
        <f>H685*M685</f>
        <v/>
      </c>
      <c r="W685" s="28">
        <f>H685*N685</f>
        <v/>
      </c>
      <c r="X685" s="28">
        <f>H685*O685</f>
        <v/>
      </c>
      <c r="Y685" s="28">
        <f>H685*P685</f>
        <v/>
      </c>
      <c r="Z685" s="28">
        <f>H685*Q685</f>
        <v/>
      </c>
      <c r="AA685" s="28">
        <f>SUM(U685:Z685)</f>
        <v/>
      </c>
      <c r="AB685" s="5">
        <f>IF(COUNTIF('02b_DC_Accelerator_Mix'!$A$2:$A$977,G685)&gt;0,"matched","missing_mix")</f>
        <v/>
      </c>
    </row>
    <row r="686">
      <c r="A686" s="5">
        <f>'02a_DC_Capacity_Alloc'!A686</f>
        <v/>
      </c>
      <c r="B686" s="5">
        <f>'02a_DC_Capacity_Alloc'!B686</f>
        <v/>
      </c>
      <c r="C686" s="5">
        <f>'02a_DC_Capacity_Alloc'!C686</f>
        <v/>
      </c>
      <c r="D686" s="5">
        <f>'02a_DC_Capacity_Alloc'!D686</f>
        <v/>
      </c>
      <c r="E686" s="5">
        <f>'02a_DC_Capacity_Alloc'!E686</f>
        <v/>
      </c>
      <c r="F686" s="5">
        <f>'02a_DC_Capacity_Alloc'!F686</f>
        <v/>
      </c>
      <c r="G686" s="5">
        <f>B686&amp;"|"&amp;E686&amp;"|"&amp;D686</f>
        <v/>
      </c>
      <c r="H686" s="28">
        <f>'02a_DC_Capacity_Alloc'!H686*'02a_DC_Capacity_Alloc'!I686*'02a_DC_Capacity_Alloc'!J686</f>
        <v/>
      </c>
      <c r="I686" s="6">
        <f>IFERROR(INDEX('02b_DC_Accelerator_Mix'!$F$2:$F$977,MATCH(G686,'02b_DC_Accelerator_Mix'!$A$2:$A$977,0)),0)</f>
        <v/>
      </c>
      <c r="J686" s="6">
        <f>IFERROR(INDEX('02b_DC_Accelerator_Mix'!$G$2:$G$977,MATCH(G686,'02b_DC_Accelerator_Mix'!$A$2:$A$977,0)),0)</f>
        <v/>
      </c>
      <c r="K686" s="6">
        <f>IFERROR(INDEX('02b_DC_Accelerator_Mix'!$H$2:$H$977,MATCH(G686,'02b_DC_Accelerator_Mix'!$A$2:$A$977,0)),0)</f>
        <v/>
      </c>
      <c r="L686" s="6">
        <f>IFERROR(INDEX('02b_DC_Accelerator_Mix'!$I$2:$I$977,MATCH(G686,'02b_DC_Accelerator_Mix'!$A$2:$A$977,0)),0)</f>
        <v/>
      </c>
      <c r="M686" s="6">
        <f>IFERROR(INDEX('02b_DC_Accelerator_Mix'!$J$2:$J$977,MATCH(G686,'02b_DC_Accelerator_Mix'!$A$2:$A$977,0)),0)</f>
        <v/>
      </c>
      <c r="N686" s="6">
        <f>IFERROR(INDEX('02b_DC_Accelerator_Mix'!$K$2:$K$977,MATCH(G686,'02b_DC_Accelerator_Mix'!$A$2:$A$977,0)),0)</f>
        <v/>
      </c>
      <c r="O686" s="6">
        <f>IFERROR(INDEX('02b_DC_Accelerator_Mix'!$L$2:$L$977,MATCH(G686,'02b_DC_Accelerator_Mix'!$A$2:$A$977,0)),0)</f>
        <v/>
      </c>
      <c r="P686" s="6">
        <f>IFERROR(INDEX('02b_DC_Accelerator_Mix'!$M$2:$M$977,MATCH(G686,'02b_DC_Accelerator_Mix'!$A$2:$A$977,0)),0)</f>
        <v/>
      </c>
      <c r="Q686" s="6">
        <f>IFERROR(INDEX('02b_DC_Accelerator_Mix'!$N$2:$N$977,MATCH(G686,'02b_DC_Accelerator_Mix'!$A$2:$A$977,0)),0)</f>
        <v/>
      </c>
      <c r="R686" s="28">
        <f>H686*I686</f>
        <v/>
      </c>
      <c r="S686" s="28">
        <f>H686*J686</f>
        <v/>
      </c>
      <c r="T686" s="28">
        <f>H686*K686</f>
        <v/>
      </c>
      <c r="U686" s="28">
        <f>H686*L686</f>
        <v/>
      </c>
      <c r="V686" s="28">
        <f>H686*M686</f>
        <v/>
      </c>
      <c r="W686" s="28">
        <f>H686*N686</f>
        <v/>
      </c>
      <c r="X686" s="28">
        <f>H686*O686</f>
        <v/>
      </c>
      <c r="Y686" s="28">
        <f>H686*P686</f>
        <v/>
      </c>
      <c r="Z686" s="28">
        <f>H686*Q686</f>
        <v/>
      </c>
      <c r="AA686" s="28">
        <f>SUM(U686:Z686)</f>
        <v/>
      </c>
      <c r="AB686" s="5">
        <f>IF(COUNTIF('02b_DC_Accelerator_Mix'!$A$2:$A$977,G686)&gt;0,"matched","missing_mix")</f>
        <v/>
      </c>
    </row>
    <row r="687">
      <c r="A687" s="5">
        <f>'02a_DC_Capacity_Alloc'!A687</f>
        <v/>
      </c>
      <c r="B687" s="5">
        <f>'02a_DC_Capacity_Alloc'!B687</f>
        <v/>
      </c>
      <c r="C687" s="5">
        <f>'02a_DC_Capacity_Alloc'!C687</f>
        <v/>
      </c>
      <c r="D687" s="5">
        <f>'02a_DC_Capacity_Alloc'!D687</f>
        <v/>
      </c>
      <c r="E687" s="5">
        <f>'02a_DC_Capacity_Alloc'!E687</f>
        <v/>
      </c>
      <c r="F687" s="5">
        <f>'02a_DC_Capacity_Alloc'!F687</f>
        <v/>
      </c>
      <c r="G687" s="5">
        <f>B687&amp;"|"&amp;E687&amp;"|"&amp;D687</f>
        <v/>
      </c>
      <c r="H687" s="28">
        <f>'02a_DC_Capacity_Alloc'!H687*'02a_DC_Capacity_Alloc'!I687*'02a_DC_Capacity_Alloc'!J687</f>
        <v/>
      </c>
      <c r="I687" s="6">
        <f>IFERROR(INDEX('02b_DC_Accelerator_Mix'!$F$2:$F$977,MATCH(G687,'02b_DC_Accelerator_Mix'!$A$2:$A$977,0)),0)</f>
        <v/>
      </c>
      <c r="J687" s="6">
        <f>IFERROR(INDEX('02b_DC_Accelerator_Mix'!$G$2:$G$977,MATCH(G687,'02b_DC_Accelerator_Mix'!$A$2:$A$977,0)),0)</f>
        <v/>
      </c>
      <c r="K687" s="6">
        <f>IFERROR(INDEX('02b_DC_Accelerator_Mix'!$H$2:$H$977,MATCH(G687,'02b_DC_Accelerator_Mix'!$A$2:$A$977,0)),0)</f>
        <v/>
      </c>
      <c r="L687" s="6">
        <f>IFERROR(INDEX('02b_DC_Accelerator_Mix'!$I$2:$I$977,MATCH(G687,'02b_DC_Accelerator_Mix'!$A$2:$A$977,0)),0)</f>
        <v/>
      </c>
      <c r="M687" s="6">
        <f>IFERROR(INDEX('02b_DC_Accelerator_Mix'!$J$2:$J$977,MATCH(G687,'02b_DC_Accelerator_Mix'!$A$2:$A$977,0)),0)</f>
        <v/>
      </c>
      <c r="N687" s="6">
        <f>IFERROR(INDEX('02b_DC_Accelerator_Mix'!$K$2:$K$977,MATCH(G687,'02b_DC_Accelerator_Mix'!$A$2:$A$977,0)),0)</f>
        <v/>
      </c>
      <c r="O687" s="6">
        <f>IFERROR(INDEX('02b_DC_Accelerator_Mix'!$L$2:$L$977,MATCH(G687,'02b_DC_Accelerator_Mix'!$A$2:$A$977,0)),0)</f>
        <v/>
      </c>
      <c r="P687" s="6">
        <f>IFERROR(INDEX('02b_DC_Accelerator_Mix'!$M$2:$M$977,MATCH(G687,'02b_DC_Accelerator_Mix'!$A$2:$A$977,0)),0)</f>
        <v/>
      </c>
      <c r="Q687" s="6">
        <f>IFERROR(INDEX('02b_DC_Accelerator_Mix'!$N$2:$N$977,MATCH(G687,'02b_DC_Accelerator_Mix'!$A$2:$A$977,0)),0)</f>
        <v/>
      </c>
      <c r="R687" s="28">
        <f>H687*I687</f>
        <v/>
      </c>
      <c r="S687" s="28">
        <f>H687*J687</f>
        <v/>
      </c>
      <c r="T687" s="28">
        <f>H687*K687</f>
        <v/>
      </c>
      <c r="U687" s="28">
        <f>H687*L687</f>
        <v/>
      </c>
      <c r="V687" s="28">
        <f>H687*M687</f>
        <v/>
      </c>
      <c r="W687" s="28">
        <f>H687*N687</f>
        <v/>
      </c>
      <c r="X687" s="28">
        <f>H687*O687</f>
        <v/>
      </c>
      <c r="Y687" s="28">
        <f>H687*P687</f>
        <v/>
      </c>
      <c r="Z687" s="28">
        <f>H687*Q687</f>
        <v/>
      </c>
      <c r="AA687" s="28">
        <f>SUM(U687:Z687)</f>
        <v/>
      </c>
      <c r="AB687" s="5">
        <f>IF(COUNTIF('02b_DC_Accelerator_Mix'!$A$2:$A$977,G687)&gt;0,"matched","missing_mix")</f>
        <v/>
      </c>
    </row>
    <row r="688">
      <c r="A688" s="5">
        <f>'02a_DC_Capacity_Alloc'!A688</f>
        <v/>
      </c>
      <c r="B688" s="5">
        <f>'02a_DC_Capacity_Alloc'!B688</f>
        <v/>
      </c>
      <c r="C688" s="5">
        <f>'02a_DC_Capacity_Alloc'!C688</f>
        <v/>
      </c>
      <c r="D688" s="5">
        <f>'02a_DC_Capacity_Alloc'!D688</f>
        <v/>
      </c>
      <c r="E688" s="5">
        <f>'02a_DC_Capacity_Alloc'!E688</f>
        <v/>
      </c>
      <c r="F688" s="5">
        <f>'02a_DC_Capacity_Alloc'!F688</f>
        <v/>
      </c>
      <c r="G688" s="5">
        <f>B688&amp;"|"&amp;E688&amp;"|"&amp;D688</f>
        <v/>
      </c>
      <c r="H688" s="28">
        <f>'02a_DC_Capacity_Alloc'!H688*'02a_DC_Capacity_Alloc'!I688*'02a_DC_Capacity_Alloc'!J688</f>
        <v/>
      </c>
      <c r="I688" s="6">
        <f>IFERROR(INDEX('02b_DC_Accelerator_Mix'!$F$2:$F$977,MATCH(G688,'02b_DC_Accelerator_Mix'!$A$2:$A$977,0)),0)</f>
        <v/>
      </c>
      <c r="J688" s="6">
        <f>IFERROR(INDEX('02b_DC_Accelerator_Mix'!$G$2:$G$977,MATCH(G688,'02b_DC_Accelerator_Mix'!$A$2:$A$977,0)),0)</f>
        <v/>
      </c>
      <c r="K688" s="6">
        <f>IFERROR(INDEX('02b_DC_Accelerator_Mix'!$H$2:$H$977,MATCH(G688,'02b_DC_Accelerator_Mix'!$A$2:$A$977,0)),0)</f>
        <v/>
      </c>
      <c r="L688" s="6">
        <f>IFERROR(INDEX('02b_DC_Accelerator_Mix'!$I$2:$I$977,MATCH(G688,'02b_DC_Accelerator_Mix'!$A$2:$A$977,0)),0)</f>
        <v/>
      </c>
      <c r="M688" s="6">
        <f>IFERROR(INDEX('02b_DC_Accelerator_Mix'!$J$2:$J$977,MATCH(G688,'02b_DC_Accelerator_Mix'!$A$2:$A$977,0)),0)</f>
        <v/>
      </c>
      <c r="N688" s="6">
        <f>IFERROR(INDEX('02b_DC_Accelerator_Mix'!$K$2:$K$977,MATCH(G688,'02b_DC_Accelerator_Mix'!$A$2:$A$977,0)),0)</f>
        <v/>
      </c>
      <c r="O688" s="6">
        <f>IFERROR(INDEX('02b_DC_Accelerator_Mix'!$L$2:$L$977,MATCH(G688,'02b_DC_Accelerator_Mix'!$A$2:$A$977,0)),0)</f>
        <v/>
      </c>
      <c r="P688" s="6">
        <f>IFERROR(INDEX('02b_DC_Accelerator_Mix'!$M$2:$M$977,MATCH(G688,'02b_DC_Accelerator_Mix'!$A$2:$A$977,0)),0)</f>
        <v/>
      </c>
      <c r="Q688" s="6">
        <f>IFERROR(INDEX('02b_DC_Accelerator_Mix'!$N$2:$N$977,MATCH(G688,'02b_DC_Accelerator_Mix'!$A$2:$A$977,0)),0)</f>
        <v/>
      </c>
      <c r="R688" s="28">
        <f>H688*I688</f>
        <v/>
      </c>
      <c r="S688" s="28">
        <f>H688*J688</f>
        <v/>
      </c>
      <c r="T688" s="28">
        <f>H688*K688</f>
        <v/>
      </c>
      <c r="U688" s="28">
        <f>H688*L688</f>
        <v/>
      </c>
      <c r="V688" s="28">
        <f>H688*M688</f>
        <v/>
      </c>
      <c r="W688" s="28">
        <f>H688*N688</f>
        <v/>
      </c>
      <c r="X688" s="28">
        <f>H688*O688</f>
        <v/>
      </c>
      <c r="Y688" s="28">
        <f>H688*P688</f>
        <v/>
      </c>
      <c r="Z688" s="28">
        <f>H688*Q688</f>
        <v/>
      </c>
      <c r="AA688" s="28">
        <f>SUM(U688:Z688)</f>
        <v/>
      </c>
      <c r="AB688" s="5">
        <f>IF(COUNTIF('02b_DC_Accelerator_Mix'!$A$2:$A$977,G688)&gt;0,"matched","missing_mix")</f>
        <v/>
      </c>
    </row>
    <row r="689">
      <c r="A689" s="5">
        <f>'02a_DC_Capacity_Alloc'!A689</f>
        <v/>
      </c>
      <c r="B689" s="5">
        <f>'02a_DC_Capacity_Alloc'!B689</f>
        <v/>
      </c>
      <c r="C689" s="5">
        <f>'02a_DC_Capacity_Alloc'!C689</f>
        <v/>
      </c>
      <c r="D689" s="5">
        <f>'02a_DC_Capacity_Alloc'!D689</f>
        <v/>
      </c>
      <c r="E689" s="5">
        <f>'02a_DC_Capacity_Alloc'!E689</f>
        <v/>
      </c>
      <c r="F689" s="5">
        <f>'02a_DC_Capacity_Alloc'!F689</f>
        <v/>
      </c>
      <c r="G689" s="5">
        <f>B689&amp;"|"&amp;E689&amp;"|"&amp;D689</f>
        <v/>
      </c>
      <c r="H689" s="28">
        <f>'02a_DC_Capacity_Alloc'!H689*'02a_DC_Capacity_Alloc'!I689*'02a_DC_Capacity_Alloc'!J689</f>
        <v/>
      </c>
      <c r="I689" s="6">
        <f>IFERROR(INDEX('02b_DC_Accelerator_Mix'!$F$2:$F$977,MATCH(G689,'02b_DC_Accelerator_Mix'!$A$2:$A$977,0)),0)</f>
        <v/>
      </c>
      <c r="J689" s="6">
        <f>IFERROR(INDEX('02b_DC_Accelerator_Mix'!$G$2:$G$977,MATCH(G689,'02b_DC_Accelerator_Mix'!$A$2:$A$977,0)),0)</f>
        <v/>
      </c>
      <c r="K689" s="6">
        <f>IFERROR(INDEX('02b_DC_Accelerator_Mix'!$H$2:$H$977,MATCH(G689,'02b_DC_Accelerator_Mix'!$A$2:$A$977,0)),0)</f>
        <v/>
      </c>
      <c r="L689" s="6">
        <f>IFERROR(INDEX('02b_DC_Accelerator_Mix'!$I$2:$I$977,MATCH(G689,'02b_DC_Accelerator_Mix'!$A$2:$A$977,0)),0)</f>
        <v/>
      </c>
      <c r="M689" s="6">
        <f>IFERROR(INDEX('02b_DC_Accelerator_Mix'!$J$2:$J$977,MATCH(G689,'02b_DC_Accelerator_Mix'!$A$2:$A$977,0)),0)</f>
        <v/>
      </c>
      <c r="N689" s="6">
        <f>IFERROR(INDEX('02b_DC_Accelerator_Mix'!$K$2:$K$977,MATCH(G689,'02b_DC_Accelerator_Mix'!$A$2:$A$977,0)),0)</f>
        <v/>
      </c>
      <c r="O689" s="6">
        <f>IFERROR(INDEX('02b_DC_Accelerator_Mix'!$L$2:$L$977,MATCH(G689,'02b_DC_Accelerator_Mix'!$A$2:$A$977,0)),0)</f>
        <v/>
      </c>
      <c r="P689" s="6">
        <f>IFERROR(INDEX('02b_DC_Accelerator_Mix'!$M$2:$M$977,MATCH(G689,'02b_DC_Accelerator_Mix'!$A$2:$A$977,0)),0)</f>
        <v/>
      </c>
      <c r="Q689" s="6">
        <f>IFERROR(INDEX('02b_DC_Accelerator_Mix'!$N$2:$N$977,MATCH(G689,'02b_DC_Accelerator_Mix'!$A$2:$A$977,0)),0)</f>
        <v/>
      </c>
      <c r="R689" s="28">
        <f>H689*I689</f>
        <v/>
      </c>
      <c r="S689" s="28">
        <f>H689*J689</f>
        <v/>
      </c>
      <c r="T689" s="28">
        <f>H689*K689</f>
        <v/>
      </c>
      <c r="U689" s="28">
        <f>H689*L689</f>
        <v/>
      </c>
      <c r="V689" s="28">
        <f>H689*M689</f>
        <v/>
      </c>
      <c r="W689" s="28">
        <f>H689*N689</f>
        <v/>
      </c>
      <c r="X689" s="28">
        <f>H689*O689</f>
        <v/>
      </c>
      <c r="Y689" s="28">
        <f>H689*P689</f>
        <v/>
      </c>
      <c r="Z689" s="28">
        <f>H689*Q689</f>
        <v/>
      </c>
      <c r="AA689" s="28">
        <f>SUM(U689:Z689)</f>
        <v/>
      </c>
      <c r="AB689" s="5">
        <f>IF(COUNTIF('02b_DC_Accelerator_Mix'!$A$2:$A$977,G689)&gt;0,"matched","missing_mix")</f>
        <v/>
      </c>
    </row>
    <row r="690">
      <c r="A690" s="5">
        <f>'02a_DC_Capacity_Alloc'!A690</f>
        <v/>
      </c>
      <c r="B690" s="5">
        <f>'02a_DC_Capacity_Alloc'!B690</f>
        <v/>
      </c>
      <c r="C690" s="5">
        <f>'02a_DC_Capacity_Alloc'!C690</f>
        <v/>
      </c>
      <c r="D690" s="5">
        <f>'02a_DC_Capacity_Alloc'!D690</f>
        <v/>
      </c>
      <c r="E690" s="5">
        <f>'02a_DC_Capacity_Alloc'!E690</f>
        <v/>
      </c>
      <c r="F690" s="5">
        <f>'02a_DC_Capacity_Alloc'!F690</f>
        <v/>
      </c>
      <c r="G690" s="5">
        <f>B690&amp;"|"&amp;E690&amp;"|"&amp;D690</f>
        <v/>
      </c>
      <c r="H690" s="28">
        <f>'02a_DC_Capacity_Alloc'!H690*'02a_DC_Capacity_Alloc'!I690*'02a_DC_Capacity_Alloc'!J690</f>
        <v/>
      </c>
      <c r="I690" s="6">
        <f>IFERROR(INDEX('02b_DC_Accelerator_Mix'!$F$2:$F$977,MATCH(G690,'02b_DC_Accelerator_Mix'!$A$2:$A$977,0)),0)</f>
        <v/>
      </c>
      <c r="J690" s="6">
        <f>IFERROR(INDEX('02b_DC_Accelerator_Mix'!$G$2:$G$977,MATCH(G690,'02b_DC_Accelerator_Mix'!$A$2:$A$977,0)),0)</f>
        <v/>
      </c>
      <c r="K690" s="6">
        <f>IFERROR(INDEX('02b_DC_Accelerator_Mix'!$H$2:$H$977,MATCH(G690,'02b_DC_Accelerator_Mix'!$A$2:$A$977,0)),0)</f>
        <v/>
      </c>
      <c r="L690" s="6">
        <f>IFERROR(INDEX('02b_DC_Accelerator_Mix'!$I$2:$I$977,MATCH(G690,'02b_DC_Accelerator_Mix'!$A$2:$A$977,0)),0)</f>
        <v/>
      </c>
      <c r="M690" s="6">
        <f>IFERROR(INDEX('02b_DC_Accelerator_Mix'!$J$2:$J$977,MATCH(G690,'02b_DC_Accelerator_Mix'!$A$2:$A$977,0)),0)</f>
        <v/>
      </c>
      <c r="N690" s="6">
        <f>IFERROR(INDEX('02b_DC_Accelerator_Mix'!$K$2:$K$977,MATCH(G690,'02b_DC_Accelerator_Mix'!$A$2:$A$977,0)),0)</f>
        <v/>
      </c>
      <c r="O690" s="6">
        <f>IFERROR(INDEX('02b_DC_Accelerator_Mix'!$L$2:$L$977,MATCH(G690,'02b_DC_Accelerator_Mix'!$A$2:$A$977,0)),0)</f>
        <v/>
      </c>
      <c r="P690" s="6">
        <f>IFERROR(INDEX('02b_DC_Accelerator_Mix'!$M$2:$M$977,MATCH(G690,'02b_DC_Accelerator_Mix'!$A$2:$A$977,0)),0)</f>
        <v/>
      </c>
      <c r="Q690" s="6">
        <f>IFERROR(INDEX('02b_DC_Accelerator_Mix'!$N$2:$N$977,MATCH(G690,'02b_DC_Accelerator_Mix'!$A$2:$A$977,0)),0)</f>
        <v/>
      </c>
      <c r="R690" s="28">
        <f>H690*I690</f>
        <v/>
      </c>
      <c r="S690" s="28">
        <f>H690*J690</f>
        <v/>
      </c>
      <c r="T690" s="28">
        <f>H690*K690</f>
        <v/>
      </c>
      <c r="U690" s="28">
        <f>H690*L690</f>
        <v/>
      </c>
      <c r="V690" s="28">
        <f>H690*M690</f>
        <v/>
      </c>
      <c r="W690" s="28">
        <f>H690*N690</f>
        <v/>
      </c>
      <c r="X690" s="28">
        <f>H690*O690</f>
        <v/>
      </c>
      <c r="Y690" s="28">
        <f>H690*P690</f>
        <v/>
      </c>
      <c r="Z690" s="28">
        <f>H690*Q690</f>
        <v/>
      </c>
      <c r="AA690" s="28">
        <f>SUM(U690:Z690)</f>
        <v/>
      </c>
      <c r="AB690" s="5">
        <f>IF(COUNTIF('02b_DC_Accelerator_Mix'!$A$2:$A$977,G690)&gt;0,"matched","missing_mix")</f>
        <v/>
      </c>
    </row>
    <row r="691">
      <c r="A691" s="5">
        <f>'02a_DC_Capacity_Alloc'!A691</f>
        <v/>
      </c>
      <c r="B691" s="5">
        <f>'02a_DC_Capacity_Alloc'!B691</f>
        <v/>
      </c>
      <c r="C691" s="5">
        <f>'02a_DC_Capacity_Alloc'!C691</f>
        <v/>
      </c>
      <c r="D691" s="5">
        <f>'02a_DC_Capacity_Alloc'!D691</f>
        <v/>
      </c>
      <c r="E691" s="5">
        <f>'02a_DC_Capacity_Alloc'!E691</f>
        <v/>
      </c>
      <c r="F691" s="5">
        <f>'02a_DC_Capacity_Alloc'!F691</f>
        <v/>
      </c>
      <c r="G691" s="5">
        <f>B691&amp;"|"&amp;E691&amp;"|"&amp;D691</f>
        <v/>
      </c>
      <c r="H691" s="28">
        <f>'02a_DC_Capacity_Alloc'!H691*'02a_DC_Capacity_Alloc'!I691*'02a_DC_Capacity_Alloc'!J691</f>
        <v/>
      </c>
      <c r="I691" s="6">
        <f>IFERROR(INDEX('02b_DC_Accelerator_Mix'!$F$2:$F$977,MATCH(G691,'02b_DC_Accelerator_Mix'!$A$2:$A$977,0)),0)</f>
        <v/>
      </c>
      <c r="J691" s="6">
        <f>IFERROR(INDEX('02b_DC_Accelerator_Mix'!$G$2:$G$977,MATCH(G691,'02b_DC_Accelerator_Mix'!$A$2:$A$977,0)),0)</f>
        <v/>
      </c>
      <c r="K691" s="6">
        <f>IFERROR(INDEX('02b_DC_Accelerator_Mix'!$H$2:$H$977,MATCH(G691,'02b_DC_Accelerator_Mix'!$A$2:$A$977,0)),0)</f>
        <v/>
      </c>
      <c r="L691" s="6">
        <f>IFERROR(INDEX('02b_DC_Accelerator_Mix'!$I$2:$I$977,MATCH(G691,'02b_DC_Accelerator_Mix'!$A$2:$A$977,0)),0)</f>
        <v/>
      </c>
      <c r="M691" s="6">
        <f>IFERROR(INDEX('02b_DC_Accelerator_Mix'!$J$2:$J$977,MATCH(G691,'02b_DC_Accelerator_Mix'!$A$2:$A$977,0)),0)</f>
        <v/>
      </c>
      <c r="N691" s="6">
        <f>IFERROR(INDEX('02b_DC_Accelerator_Mix'!$K$2:$K$977,MATCH(G691,'02b_DC_Accelerator_Mix'!$A$2:$A$977,0)),0)</f>
        <v/>
      </c>
      <c r="O691" s="6">
        <f>IFERROR(INDEX('02b_DC_Accelerator_Mix'!$L$2:$L$977,MATCH(G691,'02b_DC_Accelerator_Mix'!$A$2:$A$977,0)),0)</f>
        <v/>
      </c>
      <c r="P691" s="6">
        <f>IFERROR(INDEX('02b_DC_Accelerator_Mix'!$M$2:$M$977,MATCH(G691,'02b_DC_Accelerator_Mix'!$A$2:$A$977,0)),0)</f>
        <v/>
      </c>
      <c r="Q691" s="6">
        <f>IFERROR(INDEX('02b_DC_Accelerator_Mix'!$N$2:$N$977,MATCH(G691,'02b_DC_Accelerator_Mix'!$A$2:$A$977,0)),0)</f>
        <v/>
      </c>
      <c r="R691" s="28">
        <f>H691*I691</f>
        <v/>
      </c>
      <c r="S691" s="28">
        <f>H691*J691</f>
        <v/>
      </c>
      <c r="T691" s="28">
        <f>H691*K691</f>
        <v/>
      </c>
      <c r="U691" s="28">
        <f>H691*L691</f>
        <v/>
      </c>
      <c r="V691" s="28">
        <f>H691*M691</f>
        <v/>
      </c>
      <c r="W691" s="28">
        <f>H691*N691</f>
        <v/>
      </c>
      <c r="X691" s="28">
        <f>H691*O691</f>
        <v/>
      </c>
      <c r="Y691" s="28">
        <f>H691*P691</f>
        <v/>
      </c>
      <c r="Z691" s="28">
        <f>H691*Q691</f>
        <v/>
      </c>
      <c r="AA691" s="28">
        <f>SUM(U691:Z691)</f>
        <v/>
      </c>
      <c r="AB691" s="5">
        <f>IF(COUNTIF('02b_DC_Accelerator_Mix'!$A$2:$A$977,G691)&gt;0,"matched","missing_mix")</f>
        <v/>
      </c>
    </row>
    <row r="692">
      <c r="A692" s="5">
        <f>'02a_DC_Capacity_Alloc'!A692</f>
        <v/>
      </c>
      <c r="B692" s="5">
        <f>'02a_DC_Capacity_Alloc'!B692</f>
        <v/>
      </c>
      <c r="C692" s="5">
        <f>'02a_DC_Capacity_Alloc'!C692</f>
        <v/>
      </c>
      <c r="D692" s="5">
        <f>'02a_DC_Capacity_Alloc'!D692</f>
        <v/>
      </c>
      <c r="E692" s="5">
        <f>'02a_DC_Capacity_Alloc'!E692</f>
        <v/>
      </c>
      <c r="F692" s="5">
        <f>'02a_DC_Capacity_Alloc'!F692</f>
        <v/>
      </c>
      <c r="G692" s="5">
        <f>B692&amp;"|"&amp;E692&amp;"|"&amp;D692</f>
        <v/>
      </c>
      <c r="H692" s="28">
        <f>'02a_DC_Capacity_Alloc'!H692*'02a_DC_Capacity_Alloc'!I692*'02a_DC_Capacity_Alloc'!J692</f>
        <v/>
      </c>
      <c r="I692" s="6">
        <f>IFERROR(INDEX('02b_DC_Accelerator_Mix'!$F$2:$F$977,MATCH(G692,'02b_DC_Accelerator_Mix'!$A$2:$A$977,0)),0)</f>
        <v/>
      </c>
      <c r="J692" s="6">
        <f>IFERROR(INDEX('02b_DC_Accelerator_Mix'!$G$2:$G$977,MATCH(G692,'02b_DC_Accelerator_Mix'!$A$2:$A$977,0)),0)</f>
        <v/>
      </c>
      <c r="K692" s="6">
        <f>IFERROR(INDEX('02b_DC_Accelerator_Mix'!$H$2:$H$977,MATCH(G692,'02b_DC_Accelerator_Mix'!$A$2:$A$977,0)),0)</f>
        <v/>
      </c>
      <c r="L692" s="6">
        <f>IFERROR(INDEX('02b_DC_Accelerator_Mix'!$I$2:$I$977,MATCH(G692,'02b_DC_Accelerator_Mix'!$A$2:$A$977,0)),0)</f>
        <v/>
      </c>
      <c r="M692" s="6">
        <f>IFERROR(INDEX('02b_DC_Accelerator_Mix'!$J$2:$J$977,MATCH(G692,'02b_DC_Accelerator_Mix'!$A$2:$A$977,0)),0)</f>
        <v/>
      </c>
      <c r="N692" s="6">
        <f>IFERROR(INDEX('02b_DC_Accelerator_Mix'!$K$2:$K$977,MATCH(G692,'02b_DC_Accelerator_Mix'!$A$2:$A$977,0)),0)</f>
        <v/>
      </c>
      <c r="O692" s="6">
        <f>IFERROR(INDEX('02b_DC_Accelerator_Mix'!$L$2:$L$977,MATCH(G692,'02b_DC_Accelerator_Mix'!$A$2:$A$977,0)),0)</f>
        <v/>
      </c>
      <c r="P692" s="6">
        <f>IFERROR(INDEX('02b_DC_Accelerator_Mix'!$M$2:$M$977,MATCH(G692,'02b_DC_Accelerator_Mix'!$A$2:$A$977,0)),0)</f>
        <v/>
      </c>
      <c r="Q692" s="6">
        <f>IFERROR(INDEX('02b_DC_Accelerator_Mix'!$N$2:$N$977,MATCH(G692,'02b_DC_Accelerator_Mix'!$A$2:$A$977,0)),0)</f>
        <v/>
      </c>
      <c r="R692" s="28">
        <f>H692*I692</f>
        <v/>
      </c>
      <c r="S692" s="28">
        <f>H692*J692</f>
        <v/>
      </c>
      <c r="T692" s="28">
        <f>H692*K692</f>
        <v/>
      </c>
      <c r="U692" s="28">
        <f>H692*L692</f>
        <v/>
      </c>
      <c r="V692" s="28">
        <f>H692*M692</f>
        <v/>
      </c>
      <c r="W692" s="28">
        <f>H692*N692</f>
        <v/>
      </c>
      <c r="X692" s="28">
        <f>H692*O692</f>
        <v/>
      </c>
      <c r="Y692" s="28">
        <f>H692*P692</f>
        <v/>
      </c>
      <c r="Z692" s="28">
        <f>H692*Q692</f>
        <v/>
      </c>
      <c r="AA692" s="28">
        <f>SUM(U692:Z692)</f>
        <v/>
      </c>
      <c r="AB692" s="5">
        <f>IF(COUNTIF('02b_DC_Accelerator_Mix'!$A$2:$A$977,G692)&gt;0,"matched","missing_mix")</f>
        <v/>
      </c>
    </row>
    <row r="693">
      <c r="A693" s="5">
        <f>'02a_DC_Capacity_Alloc'!A693</f>
        <v/>
      </c>
      <c r="B693" s="5">
        <f>'02a_DC_Capacity_Alloc'!B693</f>
        <v/>
      </c>
      <c r="C693" s="5">
        <f>'02a_DC_Capacity_Alloc'!C693</f>
        <v/>
      </c>
      <c r="D693" s="5">
        <f>'02a_DC_Capacity_Alloc'!D693</f>
        <v/>
      </c>
      <c r="E693" s="5">
        <f>'02a_DC_Capacity_Alloc'!E693</f>
        <v/>
      </c>
      <c r="F693" s="5">
        <f>'02a_DC_Capacity_Alloc'!F693</f>
        <v/>
      </c>
      <c r="G693" s="5">
        <f>B693&amp;"|"&amp;E693&amp;"|"&amp;D693</f>
        <v/>
      </c>
      <c r="H693" s="28">
        <f>'02a_DC_Capacity_Alloc'!H693*'02a_DC_Capacity_Alloc'!I693*'02a_DC_Capacity_Alloc'!J693</f>
        <v/>
      </c>
      <c r="I693" s="6">
        <f>IFERROR(INDEX('02b_DC_Accelerator_Mix'!$F$2:$F$977,MATCH(G693,'02b_DC_Accelerator_Mix'!$A$2:$A$977,0)),0)</f>
        <v/>
      </c>
      <c r="J693" s="6">
        <f>IFERROR(INDEX('02b_DC_Accelerator_Mix'!$G$2:$G$977,MATCH(G693,'02b_DC_Accelerator_Mix'!$A$2:$A$977,0)),0)</f>
        <v/>
      </c>
      <c r="K693" s="6">
        <f>IFERROR(INDEX('02b_DC_Accelerator_Mix'!$H$2:$H$977,MATCH(G693,'02b_DC_Accelerator_Mix'!$A$2:$A$977,0)),0)</f>
        <v/>
      </c>
      <c r="L693" s="6">
        <f>IFERROR(INDEX('02b_DC_Accelerator_Mix'!$I$2:$I$977,MATCH(G693,'02b_DC_Accelerator_Mix'!$A$2:$A$977,0)),0)</f>
        <v/>
      </c>
      <c r="M693" s="6">
        <f>IFERROR(INDEX('02b_DC_Accelerator_Mix'!$J$2:$J$977,MATCH(G693,'02b_DC_Accelerator_Mix'!$A$2:$A$977,0)),0)</f>
        <v/>
      </c>
      <c r="N693" s="6">
        <f>IFERROR(INDEX('02b_DC_Accelerator_Mix'!$K$2:$K$977,MATCH(G693,'02b_DC_Accelerator_Mix'!$A$2:$A$977,0)),0)</f>
        <v/>
      </c>
      <c r="O693" s="6">
        <f>IFERROR(INDEX('02b_DC_Accelerator_Mix'!$L$2:$L$977,MATCH(G693,'02b_DC_Accelerator_Mix'!$A$2:$A$977,0)),0)</f>
        <v/>
      </c>
      <c r="P693" s="6">
        <f>IFERROR(INDEX('02b_DC_Accelerator_Mix'!$M$2:$M$977,MATCH(G693,'02b_DC_Accelerator_Mix'!$A$2:$A$977,0)),0)</f>
        <v/>
      </c>
      <c r="Q693" s="6">
        <f>IFERROR(INDEX('02b_DC_Accelerator_Mix'!$N$2:$N$977,MATCH(G693,'02b_DC_Accelerator_Mix'!$A$2:$A$977,0)),0)</f>
        <v/>
      </c>
      <c r="R693" s="28">
        <f>H693*I693</f>
        <v/>
      </c>
      <c r="S693" s="28">
        <f>H693*J693</f>
        <v/>
      </c>
      <c r="T693" s="28">
        <f>H693*K693</f>
        <v/>
      </c>
      <c r="U693" s="28">
        <f>H693*L693</f>
        <v/>
      </c>
      <c r="V693" s="28">
        <f>H693*M693</f>
        <v/>
      </c>
      <c r="W693" s="28">
        <f>H693*N693</f>
        <v/>
      </c>
      <c r="X693" s="28">
        <f>H693*O693</f>
        <v/>
      </c>
      <c r="Y693" s="28">
        <f>H693*P693</f>
        <v/>
      </c>
      <c r="Z693" s="28">
        <f>H693*Q693</f>
        <v/>
      </c>
      <c r="AA693" s="28">
        <f>SUM(U693:Z693)</f>
        <v/>
      </c>
      <c r="AB693" s="5">
        <f>IF(COUNTIF('02b_DC_Accelerator_Mix'!$A$2:$A$977,G693)&gt;0,"matched","missing_mix")</f>
        <v/>
      </c>
    </row>
    <row r="694">
      <c r="A694" s="5">
        <f>'02a_DC_Capacity_Alloc'!A694</f>
        <v/>
      </c>
      <c r="B694" s="5">
        <f>'02a_DC_Capacity_Alloc'!B694</f>
        <v/>
      </c>
      <c r="C694" s="5">
        <f>'02a_DC_Capacity_Alloc'!C694</f>
        <v/>
      </c>
      <c r="D694" s="5">
        <f>'02a_DC_Capacity_Alloc'!D694</f>
        <v/>
      </c>
      <c r="E694" s="5">
        <f>'02a_DC_Capacity_Alloc'!E694</f>
        <v/>
      </c>
      <c r="F694" s="5">
        <f>'02a_DC_Capacity_Alloc'!F694</f>
        <v/>
      </c>
      <c r="G694" s="5">
        <f>B694&amp;"|"&amp;E694&amp;"|"&amp;D694</f>
        <v/>
      </c>
      <c r="H694" s="28">
        <f>'02a_DC_Capacity_Alloc'!H694*'02a_DC_Capacity_Alloc'!I694*'02a_DC_Capacity_Alloc'!J694</f>
        <v/>
      </c>
      <c r="I694" s="6">
        <f>IFERROR(INDEX('02b_DC_Accelerator_Mix'!$F$2:$F$977,MATCH(G694,'02b_DC_Accelerator_Mix'!$A$2:$A$977,0)),0)</f>
        <v/>
      </c>
      <c r="J694" s="6">
        <f>IFERROR(INDEX('02b_DC_Accelerator_Mix'!$G$2:$G$977,MATCH(G694,'02b_DC_Accelerator_Mix'!$A$2:$A$977,0)),0)</f>
        <v/>
      </c>
      <c r="K694" s="6">
        <f>IFERROR(INDEX('02b_DC_Accelerator_Mix'!$H$2:$H$977,MATCH(G694,'02b_DC_Accelerator_Mix'!$A$2:$A$977,0)),0)</f>
        <v/>
      </c>
      <c r="L694" s="6">
        <f>IFERROR(INDEX('02b_DC_Accelerator_Mix'!$I$2:$I$977,MATCH(G694,'02b_DC_Accelerator_Mix'!$A$2:$A$977,0)),0)</f>
        <v/>
      </c>
      <c r="M694" s="6">
        <f>IFERROR(INDEX('02b_DC_Accelerator_Mix'!$J$2:$J$977,MATCH(G694,'02b_DC_Accelerator_Mix'!$A$2:$A$977,0)),0)</f>
        <v/>
      </c>
      <c r="N694" s="6">
        <f>IFERROR(INDEX('02b_DC_Accelerator_Mix'!$K$2:$K$977,MATCH(G694,'02b_DC_Accelerator_Mix'!$A$2:$A$977,0)),0)</f>
        <v/>
      </c>
      <c r="O694" s="6">
        <f>IFERROR(INDEX('02b_DC_Accelerator_Mix'!$L$2:$L$977,MATCH(G694,'02b_DC_Accelerator_Mix'!$A$2:$A$977,0)),0)</f>
        <v/>
      </c>
      <c r="P694" s="6">
        <f>IFERROR(INDEX('02b_DC_Accelerator_Mix'!$M$2:$M$977,MATCH(G694,'02b_DC_Accelerator_Mix'!$A$2:$A$977,0)),0)</f>
        <v/>
      </c>
      <c r="Q694" s="6">
        <f>IFERROR(INDEX('02b_DC_Accelerator_Mix'!$N$2:$N$977,MATCH(G694,'02b_DC_Accelerator_Mix'!$A$2:$A$977,0)),0)</f>
        <v/>
      </c>
      <c r="R694" s="28">
        <f>H694*I694</f>
        <v/>
      </c>
      <c r="S694" s="28">
        <f>H694*J694</f>
        <v/>
      </c>
      <c r="T694" s="28">
        <f>H694*K694</f>
        <v/>
      </c>
      <c r="U694" s="28">
        <f>H694*L694</f>
        <v/>
      </c>
      <c r="V694" s="28">
        <f>H694*M694</f>
        <v/>
      </c>
      <c r="W694" s="28">
        <f>H694*N694</f>
        <v/>
      </c>
      <c r="X694" s="28">
        <f>H694*O694</f>
        <v/>
      </c>
      <c r="Y694" s="28">
        <f>H694*P694</f>
        <v/>
      </c>
      <c r="Z694" s="28">
        <f>H694*Q694</f>
        <v/>
      </c>
      <c r="AA694" s="28">
        <f>SUM(U694:Z694)</f>
        <v/>
      </c>
      <c r="AB694" s="5">
        <f>IF(COUNTIF('02b_DC_Accelerator_Mix'!$A$2:$A$977,G694)&gt;0,"matched","missing_mix")</f>
        <v/>
      </c>
    </row>
    <row r="695">
      <c r="A695" s="5">
        <f>'02a_DC_Capacity_Alloc'!A695</f>
        <v/>
      </c>
      <c r="B695" s="5">
        <f>'02a_DC_Capacity_Alloc'!B695</f>
        <v/>
      </c>
      <c r="C695" s="5">
        <f>'02a_DC_Capacity_Alloc'!C695</f>
        <v/>
      </c>
      <c r="D695" s="5">
        <f>'02a_DC_Capacity_Alloc'!D695</f>
        <v/>
      </c>
      <c r="E695" s="5">
        <f>'02a_DC_Capacity_Alloc'!E695</f>
        <v/>
      </c>
      <c r="F695" s="5">
        <f>'02a_DC_Capacity_Alloc'!F695</f>
        <v/>
      </c>
      <c r="G695" s="5">
        <f>B695&amp;"|"&amp;E695&amp;"|"&amp;D695</f>
        <v/>
      </c>
      <c r="H695" s="28">
        <f>'02a_DC_Capacity_Alloc'!H695*'02a_DC_Capacity_Alloc'!I695*'02a_DC_Capacity_Alloc'!J695</f>
        <v/>
      </c>
      <c r="I695" s="6">
        <f>IFERROR(INDEX('02b_DC_Accelerator_Mix'!$F$2:$F$977,MATCH(G695,'02b_DC_Accelerator_Mix'!$A$2:$A$977,0)),0)</f>
        <v/>
      </c>
      <c r="J695" s="6">
        <f>IFERROR(INDEX('02b_DC_Accelerator_Mix'!$G$2:$G$977,MATCH(G695,'02b_DC_Accelerator_Mix'!$A$2:$A$977,0)),0)</f>
        <v/>
      </c>
      <c r="K695" s="6">
        <f>IFERROR(INDEX('02b_DC_Accelerator_Mix'!$H$2:$H$977,MATCH(G695,'02b_DC_Accelerator_Mix'!$A$2:$A$977,0)),0)</f>
        <v/>
      </c>
      <c r="L695" s="6">
        <f>IFERROR(INDEX('02b_DC_Accelerator_Mix'!$I$2:$I$977,MATCH(G695,'02b_DC_Accelerator_Mix'!$A$2:$A$977,0)),0)</f>
        <v/>
      </c>
      <c r="M695" s="6">
        <f>IFERROR(INDEX('02b_DC_Accelerator_Mix'!$J$2:$J$977,MATCH(G695,'02b_DC_Accelerator_Mix'!$A$2:$A$977,0)),0)</f>
        <v/>
      </c>
      <c r="N695" s="6">
        <f>IFERROR(INDEX('02b_DC_Accelerator_Mix'!$K$2:$K$977,MATCH(G695,'02b_DC_Accelerator_Mix'!$A$2:$A$977,0)),0)</f>
        <v/>
      </c>
      <c r="O695" s="6">
        <f>IFERROR(INDEX('02b_DC_Accelerator_Mix'!$L$2:$L$977,MATCH(G695,'02b_DC_Accelerator_Mix'!$A$2:$A$977,0)),0)</f>
        <v/>
      </c>
      <c r="P695" s="6">
        <f>IFERROR(INDEX('02b_DC_Accelerator_Mix'!$M$2:$M$977,MATCH(G695,'02b_DC_Accelerator_Mix'!$A$2:$A$977,0)),0)</f>
        <v/>
      </c>
      <c r="Q695" s="6">
        <f>IFERROR(INDEX('02b_DC_Accelerator_Mix'!$N$2:$N$977,MATCH(G695,'02b_DC_Accelerator_Mix'!$A$2:$A$977,0)),0)</f>
        <v/>
      </c>
      <c r="R695" s="28">
        <f>H695*I695</f>
        <v/>
      </c>
      <c r="S695" s="28">
        <f>H695*J695</f>
        <v/>
      </c>
      <c r="T695" s="28">
        <f>H695*K695</f>
        <v/>
      </c>
      <c r="U695" s="28">
        <f>H695*L695</f>
        <v/>
      </c>
      <c r="V695" s="28">
        <f>H695*M695</f>
        <v/>
      </c>
      <c r="W695" s="28">
        <f>H695*N695</f>
        <v/>
      </c>
      <c r="X695" s="28">
        <f>H695*O695</f>
        <v/>
      </c>
      <c r="Y695" s="28">
        <f>H695*P695</f>
        <v/>
      </c>
      <c r="Z695" s="28">
        <f>H695*Q695</f>
        <v/>
      </c>
      <c r="AA695" s="28">
        <f>SUM(U695:Z695)</f>
        <v/>
      </c>
      <c r="AB695" s="5">
        <f>IF(COUNTIF('02b_DC_Accelerator_Mix'!$A$2:$A$977,G695)&gt;0,"matched","missing_mix")</f>
        <v/>
      </c>
    </row>
    <row r="696">
      <c r="A696" s="5">
        <f>'02a_DC_Capacity_Alloc'!A696</f>
        <v/>
      </c>
      <c r="B696" s="5">
        <f>'02a_DC_Capacity_Alloc'!B696</f>
        <v/>
      </c>
      <c r="C696" s="5">
        <f>'02a_DC_Capacity_Alloc'!C696</f>
        <v/>
      </c>
      <c r="D696" s="5">
        <f>'02a_DC_Capacity_Alloc'!D696</f>
        <v/>
      </c>
      <c r="E696" s="5">
        <f>'02a_DC_Capacity_Alloc'!E696</f>
        <v/>
      </c>
      <c r="F696" s="5">
        <f>'02a_DC_Capacity_Alloc'!F696</f>
        <v/>
      </c>
      <c r="G696" s="5">
        <f>B696&amp;"|"&amp;E696&amp;"|"&amp;D696</f>
        <v/>
      </c>
      <c r="H696" s="28">
        <f>'02a_DC_Capacity_Alloc'!H696*'02a_DC_Capacity_Alloc'!I696*'02a_DC_Capacity_Alloc'!J696</f>
        <v/>
      </c>
      <c r="I696" s="6">
        <f>IFERROR(INDEX('02b_DC_Accelerator_Mix'!$F$2:$F$977,MATCH(G696,'02b_DC_Accelerator_Mix'!$A$2:$A$977,0)),0)</f>
        <v/>
      </c>
      <c r="J696" s="6">
        <f>IFERROR(INDEX('02b_DC_Accelerator_Mix'!$G$2:$G$977,MATCH(G696,'02b_DC_Accelerator_Mix'!$A$2:$A$977,0)),0)</f>
        <v/>
      </c>
      <c r="K696" s="6">
        <f>IFERROR(INDEX('02b_DC_Accelerator_Mix'!$H$2:$H$977,MATCH(G696,'02b_DC_Accelerator_Mix'!$A$2:$A$977,0)),0)</f>
        <v/>
      </c>
      <c r="L696" s="6">
        <f>IFERROR(INDEX('02b_DC_Accelerator_Mix'!$I$2:$I$977,MATCH(G696,'02b_DC_Accelerator_Mix'!$A$2:$A$977,0)),0)</f>
        <v/>
      </c>
      <c r="M696" s="6">
        <f>IFERROR(INDEX('02b_DC_Accelerator_Mix'!$J$2:$J$977,MATCH(G696,'02b_DC_Accelerator_Mix'!$A$2:$A$977,0)),0)</f>
        <v/>
      </c>
      <c r="N696" s="6">
        <f>IFERROR(INDEX('02b_DC_Accelerator_Mix'!$K$2:$K$977,MATCH(G696,'02b_DC_Accelerator_Mix'!$A$2:$A$977,0)),0)</f>
        <v/>
      </c>
      <c r="O696" s="6">
        <f>IFERROR(INDEX('02b_DC_Accelerator_Mix'!$L$2:$L$977,MATCH(G696,'02b_DC_Accelerator_Mix'!$A$2:$A$977,0)),0)</f>
        <v/>
      </c>
      <c r="P696" s="6">
        <f>IFERROR(INDEX('02b_DC_Accelerator_Mix'!$M$2:$M$977,MATCH(G696,'02b_DC_Accelerator_Mix'!$A$2:$A$977,0)),0)</f>
        <v/>
      </c>
      <c r="Q696" s="6">
        <f>IFERROR(INDEX('02b_DC_Accelerator_Mix'!$N$2:$N$977,MATCH(G696,'02b_DC_Accelerator_Mix'!$A$2:$A$977,0)),0)</f>
        <v/>
      </c>
      <c r="R696" s="28">
        <f>H696*I696</f>
        <v/>
      </c>
      <c r="S696" s="28">
        <f>H696*J696</f>
        <v/>
      </c>
      <c r="T696" s="28">
        <f>H696*K696</f>
        <v/>
      </c>
      <c r="U696" s="28">
        <f>H696*L696</f>
        <v/>
      </c>
      <c r="V696" s="28">
        <f>H696*M696</f>
        <v/>
      </c>
      <c r="W696" s="28">
        <f>H696*N696</f>
        <v/>
      </c>
      <c r="X696" s="28">
        <f>H696*O696</f>
        <v/>
      </c>
      <c r="Y696" s="28">
        <f>H696*P696</f>
        <v/>
      </c>
      <c r="Z696" s="28">
        <f>H696*Q696</f>
        <v/>
      </c>
      <c r="AA696" s="28">
        <f>SUM(U696:Z696)</f>
        <v/>
      </c>
      <c r="AB696" s="5">
        <f>IF(COUNTIF('02b_DC_Accelerator_Mix'!$A$2:$A$977,G696)&gt;0,"matched","missing_mix")</f>
        <v/>
      </c>
    </row>
    <row r="697">
      <c r="A697" s="5">
        <f>'02a_DC_Capacity_Alloc'!A697</f>
        <v/>
      </c>
      <c r="B697" s="5">
        <f>'02a_DC_Capacity_Alloc'!B697</f>
        <v/>
      </c>
      <c r="C697" s="5">
        <f>'02a_DC_Capacity_Alloc'!C697</f>
        <v/>
      </c>
      <c r="D697" s="5">
        <f>'02a_DC_Capacity_Alloc'!D697</f>
        <v/>
      </c>
      <c r="E697" s="5">
        <f>'02a_DC_Capacity_Alloc'!E697</f>
        <v/>
      </c>
      <c r="F697" s="5">
        <f>'02a_DC_Capacity_Alloc'!F697</f>
        <v/>
      </c>
      <c r="G697" s="5">
        <f>B697&amp;"|"&amp;E697&amp;"|"&amp;D697</f>
        <v/>
      </c>
      <c r="H697" s="28">
        <f>'02a_DC_Capacity_Alloc'!H697*'02a_DC_Capacity_Alloc'!I697*'02a_DC_Capacity_Alloc'!J697</f>
        <v/>
      </c>
      <c r="I697" s="6">
        <f>IFERROR(INDEX('02b_DC_Accelerator_Mix'!$F$2:$F$977,MATCH(G697,'02b_DC_Accelerator_Mix'!$A$2:$A$977,0)),0)</f>
        <v/>
      </c>
      <c r="J697" s="6">
        <f>IFERROR(INDEX('02b_DC_Accelerator_Mix'!$G$2:$G$977,MATCH(G697,'02b_DC_Accelerator_Mix'!$A$2:$A$977,0)),0)</f>
        <v/>
      </c>
      <c r="K697" s="6">
        <f>IFERROR(INDEX('02b_DC_Accelerator_Mix'!$H$2:$H$977,MATCH(G697,'02b_DC_Accelerator_Mix'!$A$2:$A$977,0)),0)</f>
        <v/>
      </c>
      <c r="L697" s="6">
        <f>IFERROR(INDEX('02b_DC_Accelerator_Mix'!$I$2:$I$977,MATCH(G697,'02b_DC_Accelerator_Mix'!$A$2:$A$977,0)),0)</f>
        <v/>
      </c>
      <c r="M697" s="6">
        <f>IFERROR(INDEX('02b_DC_Accelerator_Mix'!$J$2:$J$977,MATCH(G697,'02b_DC_Accelerator_Mix'!$A$2:$A$977,0)),0)</f>
        <v/>
      </c>
      <c r="N697" s="6">
        <f>IFERROR(INDEX('02b_DC_Accelerator_Mix'!$K$2:$K$977,MATCH(G697,'02b_DC_Accelerator_Mix'!$A$2:$A$977,0)),0)</f>
        <v/>
      </c>
      <c r="O697" s="6">
        <f>IFERROR(INDEX('02b_DC_Accelerator_Mix'!$L$2:$L$977,MATCH(G697,'02b_DC_Accelerator_Mix'!$A$2:$A$977,0)),0)</f>
        <v/>
      </c>
      <c r="P697" s="6">
        <f>IFERROR(INDEX('02b_DC_Accelerator_Mix'!$M$2:$M$977,MATCH(G697,'02b_DC_Accelerator_Mix'!$A$2:$A$977,0)),0)</f>
        <v/>
      </c>
      <c r="Q697" s="6">
        <f>IFERROR(INDEX('02b_DC_Accelerator_Mix'!$N$2:$N$977,MATCH(G697,'02b_DC_Accelerator_Mix'!$A$2:$A$977,0)),0)</f>
        <v/>
      </c>
      <c r="R697" s="28">
        <f>H697*I697</f>
        <v/>
      </c>
      <c r="S697" s="28">
        <f>H697*J697</f>
        <v/>
      </c>
      <c r="T697" s="28">
        <f>H697*K697</f>
        <v/>
      </c>
      <c r="U697" s="28">
        <f>H697*L697</f>
        <v/>
      </c>
      <c r="V697" s="28">
        <f>H697*M697</f>
        <v/>
      </c>
      <c r="W697" s="28">
        <f>H697*N697</f>
        <v/>
      </c>
      <c r="X697" s="28">
        <f>H697*O697</f>
        <v/>
      </c>
      <c r="Y697" s="28">
        <f>H697*P697</f>
        <v/>
      </c>
      <c r="Z697" s="28">
        <f>H697*Q697</f>
        <v/>
      </c>
      <c r="AA697" s="28">
        <f>SUM(U697:Z697)</f>
        <v/>
      </c>
      <c r="AB697" s="5">
        <f>IF(COUNTIF('02b_DC_Accelerator_Mix'!$A$2:$A$977,G697)&gt;0,"matched","missing_mix")</f>
        <v/>
      </c>
    </row>
    <row r="698">
      <c r="A698" s="5">
        <f>'02a_DC_Capacity_Alloc'!A698</f>
        <v/>
      </c>
      <c r="B698" s="5">
        <f>'02a_DC_Capacity_Alloc'!B698</f>
        <v/>
      </c>
      <c r="C698" s="5">
        <f>'02a_DC_Capacity_Alloc'!C698</f>
        <v/>
      </c>
      <c r="D698" s="5">
        <f>'02a_DC_Capacity_Alloc'!D698</f>
        <v/>
      </c>
      <c r="E698" s="5">
        <f>'02a_DC_Capacity_Alloc'!E698</f>
        <v/>
      </c>
      <c r="F698" s="5">
        <f>'02a_DC_Capacity_Alloc'!F698</f>
        <v/>
      </c>
      <c r="G698" s="5">
        <f>B698&amp;"|"&amp;E698&amp;"|"&amp;D698</f>
        <v/>
      </c>
      <c r="H698" s="28">
        <f>'02a_DC_Capacity_Alloc'!H698*'02a_DC_Capacity_Alloc'!I698*'02a_DC_Capacity_Alloc'!J698</f>
        <v/>
      </c>
      <c r="I698" s="6">
        <f>IFERROR(INDEX('02b_DC_Accelerator_Mix'!$F$2:$F$977,MATCH(G698,'02b_DC_Accelerator_Mix'!$A$2:$A$977,0)),0)</f>
        <v/>
      </c>
      <c r="J698" s="6">
        <f>IFERROR(INDEX('02b_DC_Accelerator_Mix'!$G$2:$G$977,MATCH(G698,'02b_DC_Accelerator_Mix'!$A$2:$A$977,0)),0)</f>
        <v/>
      </c>
      <c r="K698" s="6">
        <f>IFERROR(INDEX('02b_DC_Accelerator_Mix'!$H$2:$H$977,MATCH(G698,'02b_DC_Accelerator_Mix'!$A$2:$A$977,0)),0)</f>
        <v/>
      </c>
      <c r="L698" s="6">
        <f>IFERROR(INDEX('02b_DC_Accelerator_Mix'!$I$2:$I$977,MATCH(G698,'02b_DC_Accelerator_Mix'!$A$2:$A$977,0)),0)</f>
        <v/>
      </c>
      <c r="M698" s="6">
        <f>IFERROR(INDEX('02b_DC_Accelerator_Mix'!$J$2:$J$977,MATCH(G698,'02b_DC_Accelerator_Mix'!$A$2:$A$977,0)),0)</f>
        <v/>
      </c>
      <c r="N698" s="6">
        <f>IFERROR(INDEX('02b_DC_Accelerator_Mix'!$K$2:$K$977,MATCH(G698,'02b_DC_Accelerator_Mix'!$A$2:$A$977,0)),0)</f>
        <v/>
      </c>
      <c r="O698" s="6">
        <f>IFERROR(INDEX('02b_DC_Accelerator_Mix'!$L$2:$L$977,MATCH(G698,'02b_DC_Accelerator_Mix'!$A$2:$A$977,0)),0)</f>
        <v/>
      </c>
      <c r="P698" s="6">
        <f>IFERROR(INDEX('02b_DC_Accelerator_Mix'!$M$2:$M$977,MATCH(G698,'02b_DC_Accelerator_Mix'!$A$2:$A$977,0)),0)</f>
        <v/>
      </c>
      <c r="Q698" s="6">
        <f>IFERROR(INDEX('02b_DC_Accelerator_Mix'!$N$2:$N$977,MATCH(G698,'02b_DC_Accelerator_Mix'!$A$2:$A$977,0)),0)</f>
        <v/>
      </c>
      <c r="R698" s="28">
        <f>H698*I698</f>
        <v/>
      </c>
      <c r="S698" s="28">
        <f>H698*J698</f>
        <v/>
      </c>
      <c r="T698" s="28">
        <f>H698*K698</f>
        <v/>
      </c>
      <c r="U698" s="28">
        <f>H698*L698</f>
        <v/>
      </c>
      <c r="V698" s="28">
        <f>H698*M698</f>
        <v/>
      </c>
      <c r="W698" s="28">
        <f>H698*N698</f>
        <v/>
      </c>
      <c r="X698" s="28">
        <f>H698*O698</f>
        <v/>
      </c>
      <c r="Y698" s="28">
        <f>H698*P698</f>
        <v/>
      </c>
      <c r="Z698" s="28">
        <f>H698*Q698</f>
        <v/>
      </c>
      <c r="AA698" s="28">
        <f>SUM(U698:Z698)</f>
        <v/>
      </c>
      <c r="AB698" s="5">
        <f>IF(COUNTIF('02b_DC_Accelerator_Mix'!$A$2:$A$977,G698)&gt;0,"matched","missing_mix")</f>
        <v/>
      </c>
    </row>
    <row r="699">
      <c r="A699" s="5">
        <f>'02a_DC_Capacity_Alloc'!A699</f>
        <v/>
      </c>
      <c r="B699" s="5">
        <f>'02a_DC_Capacity_Alloc'!B699</f>
        <v/>
      </c>
      <c r="C699" s="5">
        <f>'02a_DC_Capacity_Alloc'!C699</f>
        <v/>
      </c>
      <c r="D699" s="5">
        <f>'02a_DC_Capacity_Alloc'!D699</f>
        <v/>
      </c>
      <c r="E699" s="5">
        <f>'02a_DC_Capacity_Alloc'!E699</f>
        <v/>
      </c>
      <c r="F699" s="5">
        <f>'02a_DC_Capacity_Alloc'!F699</f>
        <v/>
      </c>
      <c r="G699" s="5">
        <f>B699&amp;"|"&amp;E699&amp;"|"&amp;D699</f>
        <v/>
      </c>
      <c r="H699" s="28">
        <f>'02a_DC_Capacity_Alloc'!H699*'02a_DC_Capacity_Alloc'!I699*'02a_DC_Capacity_Alloc'!J699</f>
        <v/>
      </c>
      <c r="I699" s="6">
        <f>IFERROR(INDEX('02b_DC_Accelerator_Mix'!$F$2:$F$977,MATCH(G699,'02b_DC_Accelerator_Mix'!$A$2:$A$977,0)),0)</f>
        <v/>
      </c>
      <c r="J699" s="6">
        <f>IFERROR(INDEX('02b_DC_Accelerator_Mix'!$G$2:$G$977,MATCH(G699,'02b_DC_Accelerator_Mix'!$A$2:$A$977,0)),0)</f>
        <v/>
      </c>
      <c r="K699" s="6">
        <f>IFERROR(INDEX('02b_DC_Accelerator_Mix'!$H$2:$H$977,MATCH(G699,'02b_DC_Accelerator_Mix'!$A$2:$A$977,0)),0)</f>
        <v/>
      </c>
      <c r="L699" s="6">
        <f>IFERROR(INDEX('02b_DC_Accelerator_Mix'!$I$2:$I$977,MATCH(G699,'02b_DC_Accelerator_Mix'!$A$2:$A$977,0)),0)</f>
        <v/>
      </c>
      <c r="M699" s="6">
        <f>IFERROR(INDEX('02b_DC_Accelerator_Mix'!$J$2:$J$977,MATCH(G699,'02b_DC_Accelerator_Mix'!$A$2:$A$977,0)),0)</f>
        <v/>
      </c>
      <c r="N699" s="6">
        <f>IFERROR(INDEX('02b_DC_Accelerator_Mix'!$K$2:$K$977,MATCH(G699,'02b_DC_Accelerator_Mix'!$A$2:$A$977,0)),0)</f>
        <v/>
      </c>
      <c r="O699" s="6">
        <f>IFERROR(INDEX('02b_DC_Accelerator_Mix'!$L$2:$L$977,MATCH(G699,'02b_DC_Accelerator_Mix'!$A$2:$A$977,0)),0)</f>
        <v/>
      </c>
      <c r="P699" s="6">
        <f>IFERROR(INDEX('02b_DC_Accelerator_Mix'!$M$2:$M$977,MATCH(G699,'02b_DC_Accelerator_Mix'!$A$2:$A$977,0)),0)</f>
        <v/>
      </c>
      <c r="Q699" s="6">
        <f>IFERROR(INDEX('02b_DC_Accelerator_Mix'!$N$2:$N$977,MATCH(G699,'02b_DC_Accelerator_Mix'!$A$2:$A$977,0)),0)</f>
        <v/>
      </c>
      <c r="R699" s="28">
        <f>H699*I699</f>
        <v/>
      </c>
      <c r="S699" s="28">
        <f>H699*J699</f>
        <v/>
      </c>
      <c r="T699" s="28">
        <f>H699*K699</f>
        <v/>
      </c>
      <c r="U699" s="28">
        <f>H699*L699</f>
        <v/>
      </c>
      <c r="V699" s="28">
        <f>H699*M699</f>
        <v/>
      </c>
      <c r="W699" s="28">
        <f>H699*N699</f>
        <v/>
      </c>
      <c r="X699" s="28">
        <f>H699*O699</f>
        <v/>
      </c>
      <c r="Y699" s="28">
        <f>H699*P699</f>
        <v/>
      </c>
      <c r="Z699" s="28">
        <f>H699*Q699</f>
        <v/>
      </c>
      <c r="AA699" s="28">
        <f>SUM(U699:Z699)</f>
        <v/>
      </c>
      <c r="AB699" s="5">
        <f>IF(COUNTIF('02b_DC_Accelerator_Mix'!$A$2:$A$977,G699)&gt;0,"matched","missing_mix")</f>
        <v/>
      </c>
    </row>
    <row r="700">
      <c r="A700" s="5">
        <f>'02a_DC_Capacity_Alloc'!A700</f>
        <v/>
      </c>
      <c r="B700" s="5">
        <f>'02a_DC_Capacity_Alloc'!B700</f>
        <v/>
      </c>
      <c r="C700" s="5">
        <f>'02a_DC_Capacity_Alloc'!C700</f>
        <v/>
      </c>
      <c r="D700" s="5">
        <f>'02a_DC_Capacity_Alloc'!D700</f>
        <v/>
      </c>
      <c r="E700" s="5">
        <f>'02a_DC_Capacity_Alloc'!E700</f>
        <v/>
      </c>
      <c r="F700" s="5">
        <f>'02a_DC_Capacity_Alloc'!F700</f>
        <v/>
      </c>
      <c r="G700" s="5">
        <f>B700&amp;"|"&amp;E700&amp;"|"&amp;D700</f>
        <v/>
      </c>
      <c r="H700" s="28">
        <f>'02a_DC_Capacity_Alloc'!H700*'02a_DC_Capacity_Alloc'!I700*'02a_DC_Capacity_Alloc'!J700</f>
        <v/>
      </c>
      <c r="I700" s="6">
        <f>IFERROR(INDEX('02b_DC_Accelerator_Mix'!$F$2:$F$977,MATCH(G700,'02b_DC_Accelerator_Mix'!$A$2:$A$977,0)),0)</f>
        <v/>
      </c>
      <c r="J700" s="6">
        <f>IFERROR(INDEX('02b_DC_Accelerator_Mix'!$G$2:$G$977,MATCH(G700,'02b_DC_Accelerator_Mix'!$A$2:$A$977,0)),0)</f>
        <v/>
      </c>
      <c r="K700" s="6">
        <f>IFERROR(INDEX('02b_DC_Accelerator_Mix'!$H$2:$H$977,MATCH(G700,'02b_DC_Accelerator_Mix'!$A$2:$A$977,0)),0)</f>
        <v/>
      </c>
      <c r="L700" s="6">
        <f>IFERROR(INDEX('02b_DC_Accelerator_Mix'!$I$2:$I$977,MATCH(G700,'02b_DC_Accelerator_Mix'!$A$2:$A$977,0)),0)</f>
        <v/>
      </c>
      <c r="M700" s="6">
        <f>IFERROR(INDEX('02b_DC_Accelerator_Mix'!$J$2:$J$977,MATCH(G700,'02b_DC_Accelerator_Mix'!$A$2:$A$977,0)),0)</f>
        <v/>
      </c>
      <c r="N700" s="6">
        <f>IFERROR(INDEX('02b_DC_Accelerator_Mix'!$K$2:$K$977,MATCH(G700,'02b_DC_Accelerator_Mix'!$A$2:$A$977,0)),0)</f>
        <v/>
      </c>
      <c r="O700" s="6">
        <f>IFERROR(INDEX('02b_DC_Accelerator_Mix'!$L$2:$L$977,MATCH(G700,'02b_DC_Accelerator_Mix'!$A$2:$A$977,0)),0)</f>
        <v/>
      </c>
      <c r="P700" s="6">
        <f>IFERROR(INDEX('02b_DC_Accelerator_Mix'!$M$2:$M$977,MATCH(G700,'02b_DC_Accelerator_Mix'!$A$2:$A$977,0)),0)</f>
        <v/>
      </c>
      <c r="Q700" s="6">
        <f>IFERROR(INDEX('02b_DC_Accelerator_Mix'!$N$2:$N$977,MATCH(G700,'02b_DC_Accelerator_Mix'!$A$2:$A$977,0)),0)</f>
        <v/>
      </c>
      <c r="R700" s="28">
        <f>H700*I700</f>
        <v/>
      </c>
      <c r="S700" s="28">
        <f>H700*J700</f>
        <v/>
      </c>
      <c r="T700" s="28">
        <f>H700*K700</f>
        <v/>
      </c>
      <c r="U700" s="28">
        <f>H700*L700</f>
        <v/>
      </c>
      <c r="V700" s="28">
        <f>H700*M700</f>
        <v/>
      </c>
      <c r="W700" s="28">
        <f>H700*N700</f>
        <v/>
      </c>
      <c r="X700" s="28">
        <f>H700*O700</f>
        <v/>
      </c>
      <c r="Y700" s="28">
        <f>H700*P700</f>
        <v/>
      </c>
      <c r="Z700" s="28">
        <f>H700*Q700</f>
        <v/>
      </c>
      <c r="AA700" s="28">
        <f>SUM(U700:Z700)</f>
        <v/>
      </c>
      <c r="AB700" s="5">
        <f>IF(COUNTIF('02b_DC_Accelerator_Mix'!$A$2:$A$977,G700)&gt;0,"matched","missing_mix")</f>
        <v/>
      </c>
    </row>
    <row r="701">
      <c r="A701" s="5">
        <f>'02a_DC_Capacity_Alloc'!A701</f>
        <v/>
      </c>
      <c r="B701" s="5">
        <f>'02a_DC_Capacity_Alloc'!B701</f>
        <v/>
      </c>
      <c r="C701" s="5">
        <f>'02a_DC_Capacity_Alloc'!C701</f>
        <v/>
      </c>
      <c r="D701" s="5">
        <f>'02a_DC_Capacity_Alloc'!D701</f>
        <v/>
      </c>
      <c r="E701" s="5">
        <f>'02a_DC_Capacity_Alloc'!E701</f>
        <v/>
      </c>
      <c r="F701" s="5">
        <f>'02a_DC_Capacity_Alloc'!F701</f>
        <v/>
      </c>
      <c r="G701" s="5">
        <f>B701&amp;"|"&amp;E701&amp;"|"&amp;D701</f>
        <v/>
      </c>
      <c r="H701" s="28">
        <f>'02a_DC_Capacity_Alloc'!H701*'02a_DC_Capacity_Alloc'!I701*'02a_DC_Capacity_Alloc'!J701</f>
        <v/>
      </c>
      <c r="I701" s="6">
        <f>IFERROR(INDEX('02b_DC_Accelerator_Mix'!$F$2:$F$977,MATCH(G701,'02b_DC_Accelerator_Mix'!$A$2:$A$977,0)),0)</f>
        <v/>
      </c>
      <c r="J701" s="6">
        <f>IFERROR(INDEX('02b_DC_Accelerator_Mix'!$G$2:$G$977,MATCH(G701,'02b_DC_Accelerator_Mix'!$A$2:$A$977,0)),0)</f>
        <v/>
      </c>
      <c r="K701" s="6">
        <f>IFERROR(INDEX('02b_DC_Accelerator_Mix'!$H$2:$H$977,MATCH(G701,'02b_DC_Accelerator_Mix'!$A$2:$A$977,0)),0)</f>
        <v/>
      </c>
      <c r="L701" s="6">
        <f>IFERROR(INDEX('02b_DC_Accelerator_Mix'!$I$2:$I$977,MATCH(G701,'02b_DC_Accelerator_Mix'!$A$2:$A$977,0)),0)</f>
        <v/>
      </c>
      <c r="M701" s="6">
        <f>IFERROR(INDEX('02b_DC_Accelerator_Mix'!$J$2:$J$977,MATCH(G701,'02b_DC_Accelerator_Mix'!$A$2:$A$977,0)),0)</f>
        <v/>
      </c>
      <c r="N701" s="6">
        <f>IFERROR(INDEX('02b_DC_Accelerator_Mix'!$K$2:$K$977,MATCH(G701,'02b_DC_Accelerator_Mix'!$A$2:$A$977,0)),0)</f>
        <v/>
      </c>
      <c r="O701" s="6">
        <f>IFERROR(INDEX('02b_DC_Accelerator_Mix'!$L$2:$L$977,MATCH(G701,'02b_DC_Accelerator_Mix'!$A$2:$A$977,0)),0)</f>
        <v/>
      </c>
      <c r="P701" s="6">
        <f>IFERROR(INDEX('02b_DC_Accelerator_Mix'!$M$2:$M$977,MATCH(G701,'02b_DC_Accelerator_Mix'!$A$2:$A$977,0)),0)</f>
        <v/>
      </c>
      <c r="Q701" s="6">
        <f>IFERROR(INDEX('02b_DC_Accelerator_Mix'!$N$2:$N$977,MATCH(G701,'02b_DC_Accelerator_Mix'!$A$2:$A$977,0)),0)</f>
        <v/>
      </c>
      <c r="R701" s="28">
        <f>H701*I701</f>
        <v/>
      </c>
      <c r="S701" s="28">
        <f>H701*J701</f>
        <v/>
      </c>
      <c r="T701" s="28">
        <f>H701*K701</f>
        <v/>
      </c>
      <c r="U701" s="28">
        <f>H701*L701</f>
        <v/>
      </c>
      <c r="V701" s="28">
        <f>H701*M701</f>
        <v/>
      </c>
      <c r="W701" s="28">
        <f>H701*N701</f>
        <v/>
      </c>
      <c r="X701" s="28">
        <f>H701*O701</f>
        <v/>
      </c>
      <c r="Y701" s="28">
        <f>H701*P701</f>
        <v/>
      </c>
      <c r="Z701" s="28">
        <f>H701*Q701</f>
        <v/>
      </c>
      <c r="AA701" s="28">
        <f>SUM(U701:Z701)</f>
        <v/>
      </c>
      <c r="AB701" s="5">
        <f>IF(COUNTIF('02b_DC_Accelerator_Mix'!$A$2:$A$977,G701)&gt;0,"matched","missing_mix")</f>
        <v/>
      </c>
    </row>
    <row r="702">
      <c r="A702" s="5">
        <f>'02a_DC_Capacity_Alloc'!A702</f>
        <v/>
      </c>
      <c r="B702" s="5">
        <f>'02a_DC_Capacity_Alloc'!B702</f>
        <v/>
      </c>
      <c r="C702" s="5">
        <f>'02a_DC_Capacity_Alloc'!C702</f>
        <v/>
      </c>
      <c r="D702" s="5">
        <f>'02a_DC_Capacity_Alloc'!D702</f>
        <v/>
      </c>
      <c r="E702" s="5">
        <f>'02a_DC_Capacity_Alloc'!E702</f>
        <v/>
      </c>
      <c r="F702" s="5">
        <f>'02a_DC_Capacity_Alloc'!F702</f>
        <v/>
      </c>
      <c r="G702" s="5">
        <f>B702&amp;"|"&amp;E702&amp;"|"&amp;D702</f>
        <v/>
      </c>
      <c r="H702" s="28">
        <f>'02a_DC_Capacity_Alloc'!H702*'02a_DC_Capacity_Alloc'!I702*'02a_DC_Capacity_Alloc'!J702</f>
        <v/>
      </c>
      <c r="I702" s="6">
        <f>IFERROR(INDEX('02b_DC_Accelerator_Mix'!$F$2:$F$977,MATCH(G702,'02b_DC_Accelerator_Mix'!$A$2:$A$977,0)),0)</f>
        <v/>
      </c>
      <c r="J702" s="6">
        <f>IFERROR(INDEX('02b_DC_Accelerator_Mix'!$G$2:$G$977,MATCH(G702,'02b_DC_Accelerator_Mix'!$A$2:$A$977,0)),0)</f>
        <v/>
      </c>
      <c r="K702" s="6">
        <f>IFERROR(INDEX('02b_DC_Accelerator_Mix'!$H$2:$H$977,MATCH(G702,'02b_DC_Accelerator_Mix'!$A$2:$A$977,0)),0)</f>
        <v/>
      </c>
      <c r="L702" s="6">
        <f>IFERROR(INDEX('02b_DC_Accelerator_Mix'!$I$2:$I$977,MATCH(G702,'02b_DC_Accelerator_Mix'!$A$2:$A$977,0)),0)</f>
        <v/>
      </c>
      <c r="M702" s="6">
        <f>IFERROR(INDEX('02b_DC_Accelerator_Mix'!$J$2:$J$977,MATCH(G702,'02b_DC_Accelerator_Mix'!$A$2:$A$977,0)),0)</f>
        <v/>
      </c>
      <c r="N702" s="6">
        <f>IFERROR(INDEX('02b_DC_Accelerator_Mix'!$K$2:$K$977,MATCH(G702,'02b_DC_Accelerator_Mix'!$A$2:$A$977,0)),0)</f>
        <v/>
      </c>
      <c r="O702" s="6">
        <f>IFERROR(INDEX('02b_DC_Accelerator_Mix'!$L$2:$L$977,MATCH(G702,'02b_DC_Accelerator_Mix'!$A$2:$A$977,0)),0)</f>
        <v/>
      </c>
      <c r="P702" s="6">
        <f>IFERROR(INDEX('02b_DC_Accelerator_Mix'!$M$2:$M$977,MATCH(G702,'02b_DC_Accelerator_Mix'!$A$2:$A$977,0)),0)</f>
        <v/>
      </c>
      <c r="Q702" s="6">
        <f>IFERROR(INDEX('02b_DC_Accelerator_Mix'!$N$2:$N$977,MATCH(G702,'02b_DC_Accelerator_Mix'!$A$2:$A$977,0)),0)</f>
        <v/>
      </c>
      <c r="R702" s="28">
        <f>H702*I702</f>
        <v/>
      </c>
      <c r="S702" s="28">
        <f>H702*J702</f>
        <v/>
      </c>
      <c r="T702" s="28">
        <f>H702*K702</f>
        <v/>
      </c>
      <c r="U702" s="28">
        <f>H702*L702</f>
        <v/>
      </c>
      <c r="V702" s="28">
        <f>H702*M702</f>
        <v/>
      </c>
      <c r="W702" s="28">
        <f>H702*N702</f>
        <v/>
      </c>
      <c r="X702" s="28">
        <f>H702*O702</f>
        <v/>
      </c>
      <c r="Y702" s="28">
        <f>H702*P702</f>
        <v/>
      </c>
      <c r="Z702" s="28">
        <f>H702*Q702</f>
        <v/>
      </c>
      <c r="AA702" s="28">
        <f>SUM(U702:Z702)</f>
        <v/>
      </c>
      <c r="AB702" s="5">
        <f>IF(COUNTIF('02b_DC_Accelerator_Mix'!$A$2:$A$977,G702)&gt;0,"matched","missing_mix")</f>
        <v/>
      </c>
    </row>
    <row r="703">
      <c r="A703" s="5">
        <f>'02a_DC_Capacity_Alloc'!A703</f>
        <v/>
      </c>
      <c r="B703" s="5">
        <f>'02a_DC_Capacity_Alloc'!B703</f>
        <v/>
      </c>
      <c r="C703" s="5">
        <f>'02a_DC_Capacity_Alloc'!C703</f>
        <v/>
      </c>
      <c r="D703" s="5">
        <f>'02a_DC_Capacity_Alloc'!D703</f>
        <v/>
      </c>
      <c r="E703" s="5">
        <f>'02a_DC_Capacity_Alloc'!E703</f>
        <v/>
      </c>
      <c r="F703" s="5">
        <f>'02a_DC_Capacity_Alloc'!F703</f>
        <v/>
      </c>
      <c r="G703" s="5">
        <f>B703&amp;"|"&amp;E703&amp;"|"&amp;D703</f>
        <v/>
      </c>
      <c r="H703" s="28">
        <f>'02a_DC_Capacity_Alloc'!H703*'02a_DC_Capacity_Alloc'!I703*'02a_DC_Capacity_Alloc'!J703</f>
        <v/>
      </c>
      <c r="I703" s="6">
        <f>IFERROR(INDEX('02b_DC_Accelerator_Mix'!$F$2:$F$977,MATCH(G703,'02b_DC_Accelerator_Mix'!$A$2:$A$977,0)),0)</f>
        <v/>
      </c>
      <c r="J703" s="6">
        <f>IFERROR(INDEX('02b_DC_Accelerator_Mix'!$G$2:$G$977,MATCH(G703,'02b_DC_Accelerator_Mix'!$A$2:$A$977,0)),0)</f>
        <v/>
      </c>
      <c r="K703" s="6">
        <f>IFERROR(INDEX('02b_DC_Accelerator_Mix'!$H$2:$H$977,MATCH(G703,'02b_DC_Accelerator_Mix'!$A$2:$A$977,0)),0)</f>
        <v/>
      </c>
      <c r="L703" s="6">
        <f>IFERROR(INDEX('02b_DC_Accelerator_Mix'!$I$2:$I$977,MATCH(G703,'02b_DC_Accelerator_Mix'!$A$2:$A$977,0)),0)</f>
        <v/>
      </c>
      <c r="M703" s="6">
        <f>IFERROR(INDEX('02b_DC_Accelerator_Mix'!$J$2:$J$977,MATCH(G703,'02b_DC_Accelerator_Mix'!$A$2:$A$977,0)),0)</f>
        <v/>
      </c>
      <c r="N703" s="6">
        <f>IFERROR(INDEX('02b_DC_Accelerator_Mix'!$K$2:$K$977,MATCH(G703,'02b_DC_Accelerator_Mix'!$A$2:$A$977,0)),0)</f>
        <v/>
      </c>
      <c r="O703" s="6">
        <f>IFERROR(INDEX('02b_DC_Accelerator_Mix'!$L$2:$L$977,MATCH(G703,'02b_DC_Accelerator_Mix'!$A$2:$A$977,0)),0)</f>
        <v/>
      </c>
      <c r="P703" s="6">
        <f>IFERROR(INDEX('02b_DC_Accelerator_Mix'!$M$2:$M$977,MATCH(G703,'02b_DC_Accelerator_Mix'!$A$2:$A$977,0)),0)</f>
        <v/>
      </c>
      <c r="Q703" s="6">
        <f>IFERROR(INDEX('02b_DC_Accelerator_Mix'!$N$2:$N$977,MATCH(G703,'02b_DC_Accelerator_Mix'!$A$2:$A$977,0)),0)</f>
        <v/>
      </c>
      <c r="R703" s="28">
        <f>H703*I703</f>
        <v/>
      </c>
      <c r="S703" s="28">
        <f>H703*J703</f>
        <v/>
      </c>
      <c r="T703" s="28">
        <f>H703*K703</f>
        <v/>
      </c>
      <c r="U703" s="28">
        <f>H703*L703</f>
        <v/>
      </c>
      <c r="V703" s="28">
        <f>H703*M703</f>
        <v/>
      </c>
      <c r="W703" s="28">
        <f>H703*N703</f>
        <v/>
      </c>
      <c r="X703" s="28">
        <f>H703*O703</f>
        <v/>
      </c>
      <c r="Y703" s="28">
        <f>H703*P703</f>
        <v/>
      </c>
      <c r="Z703" s="28">
        <f>H703*Q703</f>
        <v/>
      </c>
      <c r="AA703" s="28">
        <f>SUM(U703:Z703)</f>
        <v/>
      </c>
      <c r="AB703" s="5">
        <f>IF(COUNTIF('02b_DC_Accelerator_Mix'!$A$2:$A$977,G703)&gt;0,"matched","missing_mix")</f>
        <v/>
      </c>
    </row>
    <row r="704">
      <c r="A704" s="5">
        <f>'02a_DC_Capacity_Alloc'!A704</f>
        <v/>
      </c>
      <c r="B704" s="5">
        <f>'02a_DC_Capacity_Alloc'!B704</f>
        <v/>
      </c>
      <c r="C704" s="5">
        <f>'02a_DC_Capacity_Alloc'!C704</f>
        <v/>
      </c>
      <c r="D704" s="5">
        <f>'02a_DC_Capacity_Alloc'!D704</f>
        <v/>
      </c>
      <c r="E704" s="5">
        <f>'02a_DC_Capacity_Alloc'!E704</f>
        <v/>
      </c>
      <c r="F704" s="5">
        <f>'02a_DC_Capacity_Alloc'!F704</f>
        <v/>
      </c>
      <c r="G704" s="5">
        <f>B704&amp;"|"&amp;E704&amp;"|"&amp;D704</f>
        <v/>
      </c>
      <c r="H704" s="28">
        <f>'02a_DC_Capacity_Alloc'!H704*'02a_DC_Capacity_Alloc'!I704*'02a_DC_Capacity_Alloc'!J704</f>
        <v/>
      </c>
      <c r="I704" s="6">
        <f>IFERROR(INDEX('02b_DC_Accelerator_Mix'!$F$2:$F$977,MATCH(G704,'02b_DC_Accelerator_Mix'!$A$2:$A$977,0)),0)</f>
        <v/>
      </c>
      <c r="J704" s="6">
        <f>IFERROR(INDEX('02b_DC_Accelerator_Mix'!$G$2:$G$977,MATCH(G704,'02b_DC_Accelerator_Mix'!$A$2:$A$977,0)),0)</f>
        <v/>
      </c>
      <c r="K704" s="6">
        <f>IFERROR(INDEX('02b_DC_Accelerator_Mix'!$H$2:$H$977,MATCH(G704,'02b_DC_Accelerator_Mix'!$A$2:$A$977,0)),0)</f>
        <v/>
      </c>
      <c r="L704" s="6">
        <f>IFERROR(INDEX('02b_DC_Accelerator_Mix'!$I$2:$I$977,MATCH(G704,'02b_DC_Accelerator_Mix'!$A$2:$A$977,0)),0)</f>
        <v/>
      </c>
      <c r="M704" s="6">
        <f>IFERROR(INDEX('02b_DC_Accelerator_Mix'!$J$2:$J$977,MATCH(G704,'02b_DC_Accelerator_Mix'!$A$2:$A$977,0)),0)</f>
        <v/>
      </c>
      <c r="N704" s="6">
        <f>IFERROR(INDEX('02b_DC_Accelerator_Mix'!$K$2:$K$977,MATCH(G704,'02b_DC_Accelerator_Mix'!$A$2:$A$977,0)),0)</f>
        <v/>
      </c>
      <c r="O704" s="6">
        <f>IFERROR(INDEX('02b_DC_Accelerator_Mix'!$L$2:$L$977,MATCH(G704,'02b_DC_Accelerator_Mix'!$A$2:$A$977,0)),0)</f>
        <v/>
      </c>
      <c r="P704" s="6">
        <f>IFERROR(INDEX('02b_DC_Accelerator_Mix'!$M$2:$M$977,MATCH(G704,'02b_DC_Accelerator_Mix'!$A$2:$A$977,0)),0)</f>
        <v/>
      </c>
      <c r="Q704" s="6">
        <f>IFERROR(INDEX('02b_DC_Accelerator_Mix'!$N$2:$N$977,MATCH(G704,'02b_DC_Accelerator_Mix'!$A$2:$A$977,0)),0)</f>
        <v/>
      </c>
      <c r="R704" s="28">
        <f>H704*I704</f>
        <v/>
      </c>
      <c r="S704" s="28">
        <f>H704*J704</f>
        <v/>
      </c>
      <c r="T704" s="28">
        <f>H704*K704</f>
        <v/>
      </c>
      <c r="U704" s="28">
        <f>H704*L704</f>
        <v/>
      </c>
      <c r="V704" s="28">
        <f>H704*M704</f>
        <v/>
      </c>
      <c r="W704" s="28">
        <f>H704*N704</f>
        <v/>
      </c>
      <c r="X704" s="28">
        <f>H704*O704</f>
        <v/>
      </c>
      <c r="Y704" s="28">
        <f>H704*P704</f>
        <v/>
      </c>
      <c r="Z704" s="28">
        <f>H704*Q704</f>
        <v/>
      </c>
      <c r="AA704" s="28">
        <f>SUM(U704:Z704)</f>
        <v/>
      </c>
      <c r="AB704" s="5">
        <f>IF(COUNTIF('02b_DC_Accelerator_Mix'!$A$2:$A$977,G704)&gt;0,"matched","missing_mix")</f>
        <v/>
      </c>
    </row>
    <row r="705">
      <c r="A705" s="5">
        <f>'02a_DC_Capacity_Alloc'!A705</f>
        <v/>
      </c>
      <c r="B705" s="5">
        <f>'02a_DC_Capacity_Alloc'!B705</f>
        <v/>
      </c>
      <c r="C705" s="5">
        <f>'02a_DC_Capacity_Alloc'!C705</f>
        <v/>
      </c>
      <c r="D705" s="5">
        <f>'02a_DC_Capacity_Alloc'!D705</f>
        <v/>
      </c>
      <c r="E705" s="5">
        <f>'02a_DC_Capacity_Alloc'!E705</f>
        <v/>
      </c>
      <c r="F705" s="5">
        <f>'02a_DC_Capacity_Alloc'!F705</f>
        <v/>
      </c>
      <c r="G705" s="5">
        <f>B705&amp;"|"&amp;E705&amp;"|"&amp;D705</f>
        <v/>
      </c>
      <c r="H705" s="28">
        <f>'02a_DC_Capacity_Alloc'!H705*'02a_DC_Capacity_Alloc'!I705*'02a_DC_Capacity_Alloc'!J705</f>
        <v/>
      </c>
      <c r="I705" s="6">
        <f>IFERROR(INDEX('02b_DC_Accelerator_Mix'!$F$2:$F$977,MATCH(G705,'02b_DC_Accelerator_Mix'!$A$2:$A$977,0)),0)</f>
        <v/>
      </c>
      <c r="J705" s="6">
        <f>IFERROR(INDEX('02b_DC_Accelerator_Mix'!$G$2:$G$977,MATCH(G705,'02b_DC_Accelerator_Mix'!$A$2:$A$977,0)),0)</f>
        <v/>
      </c>
      <c r="K705" s="6">
        <f>IFERROR(INDEX('02b_DC_Accelerator_Mix'!$H$2:$H$977,MATCH(G705,'02b_DC_Accelerator_Mix'!$A$2:$A$977,0)),0)</f>
        <v/>
      </c>
      <c r="L705" s="6">
        <f>IFERROR(INDEX('02b_DC_Accelerator_Mix'!$I$2:$I$977,MATCH(G705,'02b_DC_Accelerator_Mix'!$A$2:$A$977,0)),0)</f>
        <v/>
      </c>
      <c r="M705" s="6">
        <f>IFERROR(INDEX('02b_DC_Accelerator_Mix'!$J$2:$J$977,MATCH(G705,'02b_DC_Accelerator_Mix'!$A$2:$A$977,0)),0)</f>
        <v/>
      </c>
      <c r="N705" s="6">
        <f>IFERROR(INDEX('02b_DC_Accelerator_Mix'!$K$2:$K$977,MATCH(G705,'02b_DC_Accelerator_Mix'!$A$2:$A$977,0)),0)</f>
        <v/>
      </c>
      <c r="O705" s="6">
        <f>IFERROR(INDEX('02b_DC_Accelerator_Mix'!$L$2:$L$977,MATCH(G705,'02b_DC_Accelerator_Mix'!$A$2:$A$977,0)),0)</f>
        <v/>
      </c>
      <c r="P705" s="6">
        <f>IFERROR(INDEX('02b_DC_Accelerator_Mix'!$M$2:$M$977,MATCH(G705,'02b_DC_Accelerator_Mix'!$A$2:$A$977,0)),0)</f>
        <v/>
      </c>
      <c r="Q705" s="6">
        <f>IFERROR(INDEX('02b_DC_Accelerator_Mix'!$N$2:$N$977,MATCH(G705,'02b_DC_Accelerator_Mix'!$A$2:$A$977,0)),0)</f>
        <v/>
      </c>
      <c r="R705" s="28">
        <f>H705*I705</f>
        <v/>
      </c>
      <c r="S705" s="28">
        <f>H705*J705</f>
        <v/>
      </c>
      <c r="T705" s="28">
        <f>H705*K705</f>
        <v/>
      </c>
      <c r="U705" s="28">
        <f>H705*L705</f>
        <v/>
      </c>
      <c r="V705" s="28">
        <f>H705*M705</f>
        <v/>
      </c>
      <c r="W705" s="28">
        <f>H705*N705</f>
        <v/>
      </c>
      <c r="X705" s="28">
        <f>H705*O705</f>
        <v/>
      </c>
      <c r="Y705" s="28">
        <f>H705*P705</f>
        <v/>
      </c>
      <c r="Z705" s="28">
        <f>H705*Q705</f>
        <v/>
      </c>
      <c r="AA705" s="28">
        <f>SUM(U705:Z705)</f>
        <v/>
      </c>
      <c r="AB705" s="5">
        <f>IF(COUNTIF('02b_DC_Accelerator_Mix'!$A$2:$A$977,G705)&gt;0,"matched","missing_mix")</f>
        <v/>
      </c>
    </row>
    <row r="706">
      <c r="A706" s="5">
        <f>'02a_DC_Capacity_Alloc'!A706</f>
        <v/>
      </c>
      <c r="B706" s="5">
        <f>'02a_DC_Capacity_Alloc'!B706</f>
        <v/>
      </c>
      <c r="C706" s="5">
        <f>'02a_DC_Capacity_Alloc'!C706</f>
        <v/>
      </c>
      <c r="D706" s="5">
        <f>'02a_DC_Capacity_Alloc'!D706</f>
        <v/>
      </c>
      <c r="E706" s="5">
        <f>'02a_DC_Capacity_Alloc'!E706</f>
        <v/>
      </c>
      <c r="F706" s="5">
        <f>'02a_DC_Capacity_Alloc'!F706</f>
        <v/>
      </c>
      <c r="G706" s="5">
        <f>B706&amp;"|"&amp;E706&amp;"|"&amp;D706</f>
        <v/>
      </c>
      <c r="H706" s="28">
        <f>'02a_DC_Capacity_Alloc'!H706*'02a_DC_Capacity_Alloc'!I706*'02a_DC_Capacity_Alloc'!J706</f>
        <v/>
      </c>
      <c r="I706" s="6">
        <f>IFERROR(INDEX('02b_DC_Accelerator_Mix'!$F$2:$F$977,MATCH(G706,'02b_DC_Accelerator_Mix'!$A$2:$A$977,0)),0)</f>
        <v/>
      </c>
      <c r="J706" s="6">
        <f>IFERROR(INDEX('02b_DC_Accelerator_Mix'!$G$2:$G$977,MATCH(G706,'02b_DC_Accelerator_Mix'!$A$2:$A$977,0)),0)</f>
        <v/>
      </c>
      <c r="K706" s="6">
        <f>IFERROR(INDEX('02b_DC_Accelerator_Mix'!$H$2:$H$977,MATCH(G706,'02b_DC_Accelerator_Mix'!$A$2:$A$977,0)),0)</f>
        <v/>
      </c>
      <c r="L706" s="6">
        <f>IFERROR(INDEX('02b_DC_Accelerator_Mix'!$I$2:$I$977,MATCH(G706,'02b_DC_Accelerator_Mix'!$A$2:$A$977,0)),0)</f>
        <v/>
      </c>
      <c r="M706" s="6">
        <f>IFERROR(INDEX('02b_DC_Accelerator_Mix'!$J$2:$J$977,MATCH(G706,'02b_DC_Accelerator_Mix'!$A$2:$A$977,0)),0)</f>
        <v/>
      </c>
      <c r="N706" s="6">
        <f>IFERROR(INDEX('02b_DC_Accelerator_Mix'!$K$2:$K$977,MATCH(G706,'02b_DC_Accelerator_Mix'!$A$2:$A$977,0)),0)</f>
        <v/>
      </c>
      <c r="O706" s="6">
        <f>IFERROR(INDEX('02b_DC_Accelerator_Mix'!$L$2:$L$977,MATCH(G706,'02b_DC_Accelerator_Mix'!$A$2:$A$977,0)),0)</f>
        <v/>
      </c>
      <c r="P706" s="6">
        <f>IFERROR(INDEX('02b_DC_Accelerator_Mix'!$M$2:$M$977,MATCH(G706,'02b_DC_Accelerator_Mix'!$A$2:$A$977,0)),0)</f>
        <v/>
      </c>
      <c r="Q706" s="6">
        <f>IFERROR(INDEX('02b_DC_Accelerator_Mix'!$N$2:$N$977,MATCH(G706,'02b_DC_Accelerator_Mix'!$A$2:$A$977,0)),0)</f>
        <v/>
      </c>
      <c r="R706" s="28">
        <f>H706*I706</f>
        <v/>
      </c>
      <c r="S706" s="28">
        <f>H706*J706</f>
        <v/>
      </c>
      <c r="T706" s="28">
        <f>H706*K706</f>
        <v/>
      </c>
      <c r="U706" s="28">
        <f>H706*L706</f>
        <v/>
      </c>
      <c r="V706" s="28">
        <f>H706*M706</f>
        <v/>
      </c>
      <c r="W706" s="28">
        <f>H706*N706</f>
        <v/>
      </c>
      <c r="X706" s="28">
        <f>H706*O706</f>
        <v/>
      </c>
      <c r="Y706" s="28">
        <f>H706*P706</f>
        <v/>
      </c>
      <c r="Z706" s="28">
        <f>H706*Q706</f>
        <v/>
      </c>
      <c r="AA706" s="28">
        <f>SUM(U706:Z706)</f>
        <v/>
      </c>
      <c r="AB706" s="5">
        <f>IF(COUNTIF('02b_DC_Accelerator_Mix'!$A$2:$A$977,G706)&gt;0,"matched","missing_mix")</f>
        <v/>
      </c>
    </row>
    <row r="707">
      <c r="A707" s="5">
        <f>'02a_DC_Capacity_Alloc'!A707</f>
        <v/>
      </c>
      <c r="B707" s="5">
        <f>'02a_DC_Capacity_Alloc'!B707</f>
        <v/>
      </c>
      <c r="C707" s="5">
        <f>'02a_DC_Capacity_Alloc'!C707</f>
        <v/>
      </c>
      <c r="D707" s="5">
        <f>'02a_DC_Capacity_Alloc'!D707</f>
        <v/>
      </c>
      <c r="E707" s="5">
        <f>'02a_DC_Capacity_Alloc'!E707</f>
        <v/>
      </c>
      <c r="F707" s="5">
        <f>'02a_DC_Capacity_Alloc'!F707</f>
        <v/>
      </c>
      <c r="G707" s="5">
        <f>B707&amp;"|"&amp;E707&amp;"|"&amp;D707</f>
        <v/>
      </c>
      <c r="H707" s="28">
        <f>'02a_DC_Capacity_Alloc'!H707*'02a_DC_Capacity_Alloc'!I707*'02a_DC_Capacity_Alloc'!J707</f>
        <v/>
      </c>
      <c r="I707" s="6">
        <f>IFERROR(INDEX('02b_DC_Accelerator_Mix'!$F$2:$F$977,MATCH(G707,'02b_DC_Accelerator_Mix'!$A$2:$A$977,0)),0)</f>
        <v/>
      </c>
      <c r="J707" s="6">
        <f>IFERROR(INDEX('02b_DC_Accelerator_Mix'!$G$2:$G$977,MATCH(G707,'02b_DC_Accelerator_Mix'!$A$2:$A$977,0)),0)</f>
        <v/>
      </c>
      <c r="K707" s="6">
        <f>IFERROR(INDEX('02b_DC_Accelerator_Mix'!$H$2:$H$977,MATCH(G707,'02b_DC_Accelerator_Mix'!$A$2:$A$977,0)),0)</f>
        <v/>
      </c>
      <c r="L707" s="6">
        <f>IFERROR(INDEX('02b_DC_Accelerator_Mix'!$I$2:$I$977,MATCH(G707,'02b_DC_Accelerator_Mix'!$A$2:$A$977,0)),0)</f>
        <v/>
      </c>
      <c r="M707" s="6">
        <f>IFERROR(INDEX('02b_DC_Accelerator_Mix'!$J$2:$J$977,MATCH(G707,'02b_DC_Accelerator_Mix'!$A$2:$A$977,0)),0)</f>
        <v/>
      </c>
      <c r="N707" s="6">
        <f>IFERROR(INDEX('02b_DC_Accelerator_Mix'!$K$2:$K$977,MATCH(G707,'02b_DC_Accelerator_Mix'!$A$2:$A$977,0)),0)</f>
        <v/>
      </c>
      <c r="O707" s="6">
        <f>IFERROR(INDEX('02b_DC_Accelerator_Mix'!$L$2:$L$977,MATCH(G707,'02b_DC_Accelerator_Mix'!$A$2:$A$977,0)),0)</f>
        <v/>
      </c>
      <c r="P707" s="6">
        <f>IFERROR(INDEX('02b_DC_Accelerator_Mix'!$M$2:$M$977,MATCH(G707,'02b_DC_Accelerator_Mix'!$A$2:$A$977,0)),0)</f>
        <v/>
      </c>
      <c r="Q707" s="6">
        <f>IFERROR(INDEX('02b_DC_Accelerator_Mix'!$N$2:$N$977,MATCH(G707,'02b_DC_Accelerator_Mix'!$A$2:$A$977,0)),0)</f>
        <v/>
      </c>
      <c r="R707" s="28">
        <f>H707*I707</f>
        <v/>
      </c>
      <c r="S707" s="28">
        <f>H707*J707</f>
        <v/>
      </c>
      <c r="T707" s="28">
        <f>H707*K707</f>
        <v/>
      </c>
      <c r="U707" s="28">
        <f>H707*L707</f>
        <v/>
      </c>
      <c r="V707" s="28">
        <f>H707*M707</f>
        <v/>
      </c>
      <c r="W707" s="28">
        <f>H707*N707</f>
        <v/>
      </c>
      <c r="X707" s="28">
        <f>H707*O707</f>
        <v/>
      </c>
      <c r="Y707" s="28">
        <f>H707*P707</f>
        <v/>
      </c>
      <c r="Z707" s="28">
        <f>H707*Q707</f>
        <v/>
      </c>
      <c r="AA707" s="28">
        <f>SUM(U707:Z707)</f>
        <v/>
      </c>
      <c r="AB707" s="5">
        <f>IF(COUNTIF('02b_DC_Accelerator_Mix'!$A$2:$A$977,G707)&gt;0,"matched","missing_mix")</f>
        <v/>
      </c>
    </row>
    <row r="708">
      <c r="A708" s="5">
        <f>'02a_DC_Capacity_Alloc'!A708</f>
        <v/>
      </c>
      <c r="B708" s="5">
        <f>'02a_DC_Capacity_Alloc'!B708</f>
        <v/>
      </c>
      <c r="C708" s="5">
        <f>'02a_DC_Capacity_Alloc'!C708</f>
        <v/>
      </c>
      <c r="D708" s="5">
        <f>'02a_DC_Capacity_Alloc'!D708</f>
        <v/>
      </c>
      <c r="E708" s="5">
        <f>'02a_DC_Capacity_Alloc'!E708</f>
        <v/>
      </c>
      <c r="F708" s="5">
        <f>'02a_DC_Capacity_Alloc'!F708</f>
        <v/>
      </c>
      <c r="G708" s="5">
        <f>B708&amp;"|"&amp;E708&amp;"|"&amp;D708</f>
        <v/>
      </c>
      <c r="H708" s="28">
        <f>'02a_DC_Capacity_Alloc'!H708*'02a_DC_Capacity_Alloc'!I708*'02a_DC_Capacity_Alloc'!J708</f>
        <v/>
      </c>
      <c r="I708" s="6">
        <f>IFERROR(INDEX('02b_DC_Accelerator_Mix'!$F$2:$F$977,MATCH(G708,'02b_DC_Accelerator_Mix'!$A$2:$A$977,0)),0)</f>
        <v/>
      </c>
      <c r="J708" s="6">
        <f>IFERROR(INDEX('02b_DC_Accelerator_Mix'!$G$2:$G$977,MATCH(G708,'02b_DC_Accelerator_Mix'!$A$2:$A$977,0)),0)</f>
        <v/>
      </c>
      <c r="K708" s="6">
        <f>IFERROR(INDEX('02b_DC_Accelerator_Mix'!$H$2:$H$977,MATCH(G708,'02b_DC_Accelerator_Mix'!$A$2:$A$977,0)),0)</f>
        <v/>
      </c>
      <c r="L708" s="6">
        <f>IFERROR(INDEX('02b_DC_Accelerator_Mix'!$I$2:$I$977,MATCH(G708,'02b_DC_Accelerator_Mix'!$A$2:$A$977,0)),0)</f>
        <v/>
      </c>
      <c r="M708" s="6">
        <f>IFERROR(INDEX('02b_DC_Accelerator_Mix'!$J$2:$J$977,MATCH(G708,'02b_DC_Accelerator_Mix'!$A$2:$A$977,0)),0)</f>
        <v/>
      </c>
      <c r="N708" s="6">
        <f>IFERROR(INDEX('02b_DC_Accelerator_Mix'!$K$2:$K$977,MATCH(G708,'02b_DC_Accelerator_Mix'!$A$2:$A$977,0)),0)</f>
        <v/>
      </c>
      <c r="O708" s="6">
        <f>IFERROR(INDEX('02b_DC_Accelerator_Mix'!$L$2:$L$977,MATCH(G708,'02b_DC_Accelerator_Mix'!$A$2:$A$977,0)),0)</f>
        <v/>
      </c>
      <c r="P708" s="6">
        <f>IFERROR(INDEX('02b_DC_Accelerator_Mix'!$M$2:$M$977,MATCH(G708,'02b_DC_Accelerator_Mix'!$A$2:$A$977,0)),0)</f>
        <v/>
      </c>
      <c r="Q708" s="6">
        <f>IFERROR(INDEX('02b_DC_Accelerator_Mix'!$N$2:$N$977,MATCH(G708,'02b_DC_Accelerator_Mix'!$A$2:$A$977,0)),0)</f>
        <v/>
      </c>
      <c r="R708" s="28">
        <f>H708*I708</f>
        <v/>
      </c>
      <c r="S708" s="28">
        <f>H708*J708</f>
        <v/>
      </c>
      <c r="T708" s="28">
        <f>H708*K708</f>
        <v/>
      </c>
      <c r="U708" s="28">
        <f>H708*L708</f>
        <v/>
      </c>
      <c r="V708" s="28">
        <f>H708*M708</f>
        <v/>
      </c>
      <c r="W708" s="28">
        <f>H708*N708</f>
        <v/>
      </c>
      <c r="X708" s="28">
        <f>H708*O708</f>
        <v/>
      </c>
      <c r="Y708" s="28">
        <f>H708*P708</f>
        <v/>
      </c>
      <c r="Z708" s="28">
        <f>H708*Q708</f>
        <v/>
      </c>
      <c r="AA708" s="28">
        <f>SUM(U708:Z708)</f>
        <v/>
      </c>
      <c r="AB708" s="5">
        <f>IF(COUNTIF('02b_DC_Accelerator_Mix'!$A$2:$A$977,G708)&gt;0,"matched","missing_mix")</f>
        <v/>
      </c>
    </row>
    <row r="709">
      <c r="A709" s="5">
        <f>'02a_DC_Capacity_Alloc'!A709</f>
        <v/>
      </c>
      <c r="B709" s="5">
        <f>'02a_DC_Capacity_Alloc'!B709</f>
        <v/>
      </c>
      <c r="C709" s="5">
        <f>'02a_DC_Capacity_Alloc'!C709</f>
        <v/>
      </c>
      <c r="D709" s="5">
        <f>'02a_DC_Capacity_Alloc'!D709</f>
        <v/>
      </c>
      <c r="E709" s="5">
        <f>'02a_DC_Capacity_Alloc'!E709</f>
        <v/>
      </c>
      <c r="F709" s="5">
        <f>'02a_DC_Capacity_Alloc'!F709</f>
        <v/>
      </c>
      <c r="G709" s="5">
        <f>B709&amp;"|"&amp;E709&amp;"|"&amp;D709</f>
        <v/>
      </c>
      <c r="H709" s="28">
        <f>'02a_DC_Capacity_Alloc'!H709*'02a_DC_Capacity_Alloc'!I709*'02a_DC_Capacity_Alloc'!J709</f>
        <v/>
      </c>
      <c r="I709" s="6">
        <f>IFERROR(INDEX('02b_DC_Accelerator_Mix'!$F$2:$F$977,MATCH(G709,'02b_DC_Accelerator_Mix'!$A$2:$A$977,0)),0)</f>
        <v/>
      </c>
      <c r="J709" s="6">
        <f>IFERROR(INDEX('02b_DC_Accelerator_Mix'!$G$2:$G$977,MATCH(G709,'02b_DC_Accelerator_Mix'!$A$2:$A$977,0)),0)</f>
        <v/>
      </c>
      <c r="K709" s="6">
        <f>IFERROR(INDEX('02b_DC_Accelerator_Mix'!$H$2:$H$977,MATCH(G709,'02b_DC_Accelerator_Mix'!$A$2:$A$977,0)),0)</f>
        <v/>
      </c>
      <c r="L709" s="6">
        <f>IFERROR(INDEX('02b_DC_Accelerator_Mix'!$I$2:$I$977,MATCH(G709,'02b_DC_Accelerator_Mix'!$A$2:$A$977,0)),0)</f>
        <v/>
      </c>
      <c r="M709" s="6">
        <f>IFERROR(INDEX('02b_DC_Accelerator_Mix'!$J$2:$J$977,MATCH(G709,'02b_DC_Accelerator_Mix'!$A$2:$A$977,0)),0)</f>
        <v/>
      </c>
      <c r="N709" s="6">
        <f>IFERROR(INDEX('02b_DC_Accelerator_Mix'!$K$2:$K$977,MATCH(G709,'02b_DC_Accelerator_Mix'!$A$2:$A$977,0)),0)</f>
        <v/>
      </c>
      <c r="O709" s="6">
        <f>IFERROR(INDEX('02b_DC_Accelerator_Mix'!$L$2:$L$977,MATCH(G709,'02b_DC_Accelerator_Mix'!$A$2:$A$977,0)),0)</f>
        <v/>
      </c>
      <c r="P709" s="6">
        <f>IFERROR(INDEX('02b_DC_Accelerator_Mix'!$M$2:$M$977,MATCH(G709,'02b_DC_Accelerator_Mix'!$A$2:$A$977,0)),0)</f>
        <v/>
      </c>
      <c r="Q709" s="6">
        <f>IFERROR(INDEX('02b_DC_Accelerator_Mix'!$N$2:$N$977,MATCH(G709,'02b_DC_Accelerator_Mix'!$A$2:$A$977,0)),0)</f>
        <v/>
      </c>
      <c r="R709" s="28">
        <f>H709*I709</f>
        <v/>
      </c>
      <c r="S709" s="28">
        <f>H709*J709</f>
        <v/>
      </c>
      <c r="T709" s="28">
        <f>H709*K709</f>
        <v/>
      </c>
      <c r="U709" s="28">
        <f>H709*L709</f>
        <v/>
      </c>
      <c r="V709" s="28">
        <f>H709*M709</f>
        <v/>
      </c>
      <c r="W709" s="28">
        <f>H709*N709</f>
        <v/>
      </c>
      <c r="X709" s="28">
        <f>H709*O709</f>
        <v/>
      </c>
      <c r="Y709" s="28">
        <f>H709*P709</f>
        <v/>
      </c>
      <c r="Z709" s="28">
        <f>H709*Q709</f>
        <v/>
      </c>
      <c r="AA709" s="28">
        <f>SUM(U709:Z709)</f>
        <v/>
      </c>
      <c r="AB709" s="5">
        <f>IF(COUNTIF('02b_DC_Accelerator_Mix'!$A$2:$A$977,G709)&gt;0,"matched","missing_mix")</f>
        <v/>
      </c>
    </row>
    <row r="710">
      <c r="A710" s="5">
        <f>'02a_DC_Capacity_Alloc'!A710</f>
        <v/>
      </c>
      <c r="B710" s="5">
        <f>'02a_DC_Capacity_Alloc'!B710</f>
        <v/>
      </c>
      <c r="C710" s="5">
        <f>'02a_DC_Capacity_Alloc'!C710</f>
        <v/>
      </c>
      <c r="D710" s="5">
        <f>'02a_DC_Capacity_Alloc'!D710</f>
        <v/>
      </c>
      <c r="E710" s="5">
        <f>'02a_DC_Capacity_Alloc'!E710</f>
        <v/>
      </c>
      <c r="F710" s="5">
        <f>'02a_DC_Capacity_Alloc'!F710</f>
        <v/>
      </c>
      <c r="G710" s="5">
        <f>B710&amp;"|"&amp;E710&amp;"|"&amp;D710</f>
        <v/>
      </c>
      <c r="H710" s="28">
        <f>'02a_DC_Capacity_Alloc'!H710*'02a_DC_Capacity_Alloc'!I710*'02a_DC_Capacity_Alloc'!J710</f>
        <v/>
      </c>
      <c r="I710" s="6">
        <f>IFERROR(INDEX('02b_DC_Accelerator_Mix'!$F$2:$F$977,MATCH(G710,'02b_DC_Accelerator_Mix'!$A$2:$A$977,0)),0)</f>
        <v/>
      </c>
      <c r="J710" s="6">
        <f>IFERROR(INDEX('02b_DC_Accelerator_Mix'!$G$2:$G$977,MATCH(G710,'02b_DC_Accelerator_Mix'!$A$2:$A$977,0)),0)</f>
        <v/>
      </c>
      <c r="K710" s="6">
        <f>IFERROR(INDEX('02b_DC_Accelerator_Mix'!$H$2:$H$977,MATCH(G710,'02b_DC_Accelerator_Mix'!$A$2:$A$977,0)),0)</f>
        <v/>
      </c>
      <c r="L710" s="6">
        <f>IFERROR(INDEX('02b_DC_Accelerator_Mix'!$I$2:$I$977,MATCH(G710,'02b_DC_Accelerator_Mix'!$A$2:$A$977,0)),0)</f>
        <v/>
      </c>
      <c r="M710" s="6">
        <f>IFERROR(INDEX('02b_DC_Accelerator_Mix'!$J$2:$J$977,MATCH(G710,'02b_DC_Accelerator_Mix'!$A$2:$A$977,0)),0)</f>
        <v/>
      </c>
      <c r="N710" s="6">
        <f>IFERROR(INDEX('02b_DC_Accelerator_Mix'!$K$2:$K$977,MATCH(G710,'02b_DC_Accelerator_Mix'!$A$2:$A$977,0)),0)</f>
        <v/>
      </c>
      <c r="O710" s="6">
        <f>IFERROR(INDEX('02b_DC_Accelerator_Mix'!$L$2:$L$977,MATCH(G710,'02b_DC_Accelerator_Mix'!$A$2:$A$977,0)),0)</f>
        <v/>
      </c>
      <c r="P710" s="6">
        <f>IFERROR(INDEX('02b_DC_Accelerator_Mix'!$M$2:$M$977,MATCH(G710,'02b_DC_Accelerator_Mix'!$A$2:$A$977,0)),0)</f>
        <v/>
      </c>
      <c r="Q710" s="6">
        <f>IFERROR(INDEX('02b_DC_Accelerator_Mix'!$N$2:$N$977,MATCH(G710,'02b_DC_Accelerator_Mix'!$A$2:$A$977,0)),0)</f>
        <v/>
      </c>
      <c r="R710" s="28">
        <f>H710*I710</f>
        <v/>
      </c>
      <c r="S710" s="28">
        <f>H710*J710</f>
        <v/>
      </c>
      <c r="T710" s="28">
        <f>H710*K710</f>
        <v/>
      </c>
      <c r="U710" s="28">
        <f>H710*L710</f>
        <v/>
      </c>
      <c r="V710" s="28">
        <f>H710*M710</f>
        <v/>
      </c>
      <c r="W710" s="28">
        <f>H710*N710</f>
        <v/>
      </c>
      <c r="X710" s="28">
        <f>H710*O710</f>
        <v/>
      </c>
      <c r="Y710" s="28">
        <f>H710*P710</f>
        <v/>
      </c>
      <c r="Z710" s="28">
        <f>H710*Q710</f>
        <v/>
      </c>
      <c r="AA710" s="28">
        <f>SUM(U710:Z710)</f>
        <v/>
      </c>
      <c r="AB710" s="5">
        <f>IF(COUNTIF('02b_DC_Accelerator_Mix'!$A$2:$A$977,G710)&gt;0,"matched","missing_mix")</f>
        <v/>
      </c>
    </row>
    <row r="711">
      <c r="A711" s="5">
        <f>'02a_DC_Capacity_Alloc'!A711</f>
        <v/>
      </c>
      <c r="B711" s="5">
        <f>'02a_DC_Capacity_Alloc'!B711</f>
        <v/>
      </c>
      <c r="C711" s="5">
        <f>'02a_DC_Capacity_Alloc'!C711</f>
        <v/>
      </c>
      <c r="D711" s="5">
        <f>'02a_DC_Capacity_Alloc'!D711</f>
        <v/>
      </c>
      <c r="E711" s="5">
        <f>'02a_DC_Capacity_Alloc'!E711</f>
        <v/>
      </c>
      <c r="F711" s="5">
        <f>'02a_DC_Capacity_Alloc'!F711</f>
        <v/>
      </c>
      <c r="G711" s="5">
        <f>B711&amp;"|"&amp;E711&amp;"|"&amp;D711</f>
        <v/>
      </c>
      <c r="H711" s="28">
        <f>'02a_DC_Capacity_Alloc'!H711*'02a_DC_Capacity_Alloc'!I711*'02a_DC_Capacity_Alloc'!J711</f>
        <v/>
      </c>
      <c r="I711" s="6">
        <f>IFERROR(INDEX('02b_DC_Accelerator_Mix'!$F$2:$F$977,MATCH(G711,'02b_DC_Accelerator_Mix'!$A$2:$A$977,0)),0)</f>
        <v/>
      </c>
      <c r="J711" s="6">
        <f>IFERROR(INDEX('02b_DC_Accelerator_Mix'!$G$2:$G$977,MATCH(G711,'02b_DC_Accelerator_Mix'!$A$2:$A$977,0)),0)</f>
        <v/>
      </c>
      <c r="K711" s="6">
        <f>IFERROR(INDEX('02b_DC_Accelerator_Mix'!$H$2:$H$977,MATCH(G711,'02b_DC_Accelerator_Mix'!$A$2:$A$977,0)),0)</f>
        <v/>
      </c>
      <c r="L711" s="6">
        <f>IFERROR(INDEX('02b_DC_Accelerator_Mix'!$I$2:$I$977,MATCH(G711,'02b_DC_Accelerator_Mix'!$A$2:$A$977,0)),0)</f>
        <v/>
      </c>
      <c r="M711" s="6">
        <f>IFERROR(INDEX('02b_DC_Accelerator_Mix'!$J$2:$J$977,MATCH(G711,'02b_DC_Accelerator_Mix'!$A$2:$A$977,0)),0)</f>
        <v/>
      </c>
      <c r="N711" s="6">
        <f>IFERROR(INDEX('02b_DC_Accelerator_Mix'!$K$2:$K$977,MATCH(G711,'02b_DC_Accelerator_Mix'!$A$2:$A$977,0)),0)</f>
        <v/>
      </c>
      <c r="O711" s="6">
        <f>IFERROR(INDEX('02b_DC_Accelerator_Mix'!$L$2:$L$977,MATCH(G711,'02b_DC_Accelerator_Mix'!$A$2:$A$977,0)),0)</f>
        <v/>
      </c>
      <c r="P711" s="6">
        <f>IFERROR(INDEX('02b_DC_Accelerator_Mix'!$M$2:$M$977,MATCH(G711,'02b_DC_Accelerator_Mix'!$A$2:$A$977,0)),0)</f>
        <v/>
      </c>
      <c r="Q711" s="6">
        <f>IFERROR(INDEX('02b_DC_Accelerator_Mix'!$N$2:$N$977,MATCH(G711,'02b_DC_Accelerator_Mix'!$A$2:$A$977,0)),0)</f>
        <v/>
      </c>
      <c r="R711" s="28">
        <f>H711*I711</f>
        <v/>
      </c>
      <c r="S711" s="28">
        <f>H711*J711</f>
        <v/>
      </c>
      <c r="T711" s="28">
        <f>H711*K711</f>
        <v/>
      </c>
      <c r="U711" s="28">
        <f>H711*L711</f>
        <v/>
      </c>
      <c r="V711" s="28">
        <f>H711*M711</f>
        <v/>
      </c>
      <c r="W711" s="28">
        <f>H711*N711</f>
        <v/>
      </c>
      <c r="X711" s="28">
        <f>H711*O711</f>
        <v/>
      </c>
      <c r="Y711" s="28">
        <f>H711*P711</f>
        <v/>
      </c>
      <c r="Z711" s="28">
        <f>H711*Q711</f>
        <v/>
      </c>
      <c r="AA711" s="28">
        <f>SUM(U711:Z711)</f>
        <v/>
      </c>
      <c r="AB711" s="5">
        <f>IF(COUNTIF('02b_DC_Accelerator_Mix'!$A$2:$A$977,G711)&gt;0,"matched","missing_mix")</f>
        <v/>
      </c>
    </row>
    <row r="712">
      <c r="A712" s="5">
        <f>'02a_DC_Capacity_Alloc'!A712</f>
        <v/>
      </c>
      <c r="B712" s="5">
        <f>'02a_DC_Capacity_Alloc'!B712</f>
        <v/>
      </c>
      <c r="C712" s="5">
        <f>'02a_DC_Capacity_Alloc'!C712</f>
        <v/>
      </c>
      <c r="D712" s="5">
        <f>'02a_DC_Capacity_Alloc'!D712</f>
        <v/>
      </c>
      <c r="E712" s="5">
        <f>'02a_DC_Capacity_Alloc'!E712</f>
        <v/>
      </c>
      <c r="F712" s="5">
        <f>'02a_DC_Capacity_Alloc'!F712</f>
        <v/>
      </c>
      <c r="G712" s="5">
        <f>B712&amp;"|"&amp;E712&amp;"|"&amp;D712</f>
        <v/>
      </c>
      <c r="H712" s="28">
        <f>'02a_DC_Capacity_Alloc'!H712*'02a_DC_Capacity_Alloc'!I712*'02a_DC_Capacity_Alloc'!J712</f>
        <v/>
      </c>
      <c r="I712" s="6">
        <f>IFERROR(INDEX('02b_DC_Accelerator_Mix'!$F$2:$F$977,MATCH(G712,'02b_DC_Accelerator_Mix'!$A$2:$A$977,0)),0)</f>
        <v/>
      </c>
      <c r="J712" s="6">
        <f>IFERROR(INDEX('02b_DC_Accelerator_Mix'!$G$2:$G$977,MATCH(G712,'02b_DC_Accelerator_Mix'!$A$2:$A$977,0)),0)</f>
        <v/>
      </c>
      <c r="K712" s="6">
        <f>IFERROR(INDEX('02b_DC_Accelerator_Mix'!$H$2:$H$977,MATCH(G712,'02b_DC_Accelerator_Mix'!$A$2:$A$977,0)),0)</f>
        <v/>
      </c>
      <c r="L712" s="6">
        <f>IFERROR(INDEX('02b_DC_Accelerator_Mix'!$I$2:$I$977,MATCH(G712,'02b_DC_Accelerator_Mix'!$A$2:$A$977,0)),0)</f>
        <v/>
      </c>
      <c r="M712" s="6">
        <f>IFERROR(INDEX('02b_DC_Accelerator_Mix'!$J$2:$J$977,MATCH(G712,'02b_DC_Accelerator_Mix'!$A$2:$A$977,0)),0)</f>
        <v/>
      </c>
      <c r="N712" s="6">
        <f>IFERROR(INDEX('02b_DC_Accelerator_Mix'!$K$2:$K$977,MATCH(G712,'02b_DC_Accelerator_Mix'!$A$2:$A$977,0)),0)</f>
        <v/>
      </c>
      <c r="O712" s="6">
        <f>IFERROR(INDEX('02b_DC_Accelerator_Mix'!$L$2:$L$977,MATCH(G712,'02b_DC_Accelerator_Mix'!$A$2:$A$977,0)),0)</f>
        <v/>
      </c>
      <c r="P712" s="6">
        <f>IFERROR(INDEX('02b_DC_Accelerator_Mix'!$M$2:$M$977,MATCH(G712,'02b_DC_Accelerator_Mix'!$A$2:$A$977,0)),0)</f>
        <v/>
      </c>
      <c r="Q712" s="6">
        <f>IFERROR(INDEX('02b_DC_Accelerator_Mix'!$N$2:$N$977,MATCH(G712,'02b_DC_Accelerator_Mix'!$A$2:$A$977,0)),0)</f>
        <v/>
      </c>
      <c r="R712" s="28">
        <f>H712*I712</f>
        <v/>
      </c>
      <c r="S712" s="28">
        <f>H712*J712</f>
        <v/>
      </c>
      <c r="T712" s="28">
        <f>H712*K712</f>
        <v/>
      </c>
      <c r="U712" s="28">
        <f>H712*L712</f>
        <v/>
      </c>
      <c r="V712" s="28">
        <f>H712*M712</f>
        <v/>
      </c>
      <c r="W712" s="28">
        <f>H712*N712</f>
        <v/>
      </c>
      <c r="X712" s="28">
        <f>H712*O712</f>
        <v/>
      </c>
      <c r="Y712" s="28">
        <f>H712*P712</f>
        <v/>
      </c>
      <c r="Z712" s="28">
        <f>H712*Q712</f>
        <v/>
      </c>
      <c r="AA712" s="28">
        <f>SUM(U712:Z712)</f>
        <v/>
      </c>
      <c r="AB712" s="5">
        <f>IF(COUNTIF('02b_DC_Accelerator_Mix'!$A$2:$A$977,G712)&gt;0,"matched","missing_mix")</f>
        <v/>
      </c>
    </row>
    <row r="713">
      <c r="A713" s="5">
        <f>'02a_DC_Capacity_Alloc'!A713</f>
        <v/>
      </c>
      <c r="B713" s="5">
        <f>'02a_DC_Capacity_Alloc'!B713</f>
        <v/>
      </c>
      <c r="C713" s="5">
        <f>'02a_DC_Capacity_Alloc'!C713</f>
        <v/>
      </c>
      <c r="D713" s="5">
        <f>'02a_DC_Capacity_Alloc'!D713</f>
        <v/>
      </c>
      <c r="E713" s="5">
        <f>'02a_DC_Capacity_Alloc'!E713</f>
        <v/>
      </c>
      <c r="F713" s="5">
        <f>'02a_DC_Capacity_Alloc'!F713</f>
        <v/>
      </c>
      <c r="G713" s="5">
        <f>B713&amp;"|"&amp;E713&amp;"|"&amp;D713</f>
        <v/>
      </c>
      <c r="H713" s="28">
        <f>'02a_DC_Capacity_Alloc'!H713*'02a_DC_Capacity_Alloc'!I713*'02a_DC_Capacity_Alloc'!J713</f>
        <v/>
      </c>
      <c r="I713" s="6">
        <f>IFERROR(INDEX('02b_DC_Accelerator_Mix'!$F$2:$F$977,MATCH(G713,'02b_DC_Accelerator_Mix'!$A$2:$A$977,0)),0)</f>
        <v/>
      </c>
      <c r="J713" s="6">
        <f>IFERROR(INDEX('02b_DC_Accelerator_Mix'!$G$2:$G$977,MATCH(G713,'02b_DC_Accelerator_Mix'!$A$2:$A$977,0)),0)</f>
        <v/>
      </c>
      <c r="K713" s="6">
        <f>IFERROR(INDEX('02b_DC_Accelerator_Mix'!$H$2:$H$977,MATCH(G713,'02b_DC_Accelerator_Mix'!$A$2:$A$977,0)),0)</f>
        <v/>
      </c>
      <c r="L713" s="6">
        <f>IFERROR(INDEX('02b_DC_Accelerator_Mix'!$I$2:$I$977,MATCH(G713,'02b_DC_Accelerator_Mix'!$A$2:$A$977,0)),0)</f>
        <v/>
      </c>
      <c r="M713" s="6">
        <f>IFERROR(INDEX('02b_DC_Accelerator_Mix'!$J$2:$J$977,MATCH(G713,'02b_DC_Accelerator_Mix'!$A$2:$A$977,0)),0)</f>
        <v/>
      </c>
      <c r="N713" s="6">
        <f>IFERROR(INDEX('02b_DC_Accelerator_Mix'!$K$2:$K$977,MATCH(G713,'02b_DC_Accelerator_Mix'!$A$2:$A$977,0)),0)</f>
        <v/>
      </c>
      <c r="O713" s="6">
        <f>IFERROR(INDEX('02b_DC_Accelerator_Mix'!$L$2:$L$977,MATCH(G713,'02b_DC_Accelerator_Mix'!$A$2:$A$977,0)),0)</f>
        <v/>
      </c>
      <c r="P713" s="6">
        <f>IFERROR(INDEX('02b_DC_Accelerator_Mix'!$M$2:$M$977,MATCH(G713,'02b_DC_Accelerator_Mix'!$A$2:$A$977,0)),0)</f>
        <v/>
      </c>
      <c r="Q713" s="6">
        <f>IFERROR(INDEX('02b_DC_Accelerator_Mix'!$N$2:$N$977,MATCH(G713,'02b_DC_Accelerator_Mix'!$A$2:$A$977,0)),0)</f>
        <v/>
      </c>
      <c r="R713" s="28">
        <f>H713*I713</f>
        <v/>
      </c>
      <c r="S713" s="28">
        <f>H713*J713</f>
        <v/>
      </c>
      <c r="T713" s="28">
        <f>H713*K713</f>
        <v/>
      </c>
      <c r="U713" s="28">
        <f>H713*L713</f>
        <v/>
      </c>
      <c r="V713" s="28">
        <f>H713*M713</f>
        <v/>
      </c>
      <c r="W713" s="28">
        <f>H713*N713</f>
        <v/>
      </c>
      <c r="X713" s="28">
        <f>H713*O713</f>
        <v/>
      </c>
      <c r="Y713" s="28">
        <f>H713*P713</f>
        <v/>
      </c>
      <c r="Z713" s="28">
        <f>H713*Q713</f>
        <v/>
      </c>
      <c r="AA713" s="28">
        <f>SUM(U713:Z713)</f>
        <v/>
      </c>
      <c r="AB713" s="5">
        <f>IF(COUNTIF('02b_DC_Accelerator_Mix'!$A$2:$A$977,G713)&gt;0,"matched","missing_mix")</f>
        <v/>
      </c>
    </row>
    <row r="714">
      <c r="A714" s="5">
        <f>'02a_DC_Capacity_Alloc'!A714</f>
        <v/>
      </c>
      <c r="B714" s="5">
        <f>'02a_DC_Capacity_Alloc'!B714</f>
        <v/>
      </c>
      <c r="C714" s="5">
        <f>'02a_DC_Capacity_Alloc'!C714</f>
        <v/>
      </c>
      <c r="D714" s="5">
        <f>'02a_DC_Capacity_Alloc'!D714</f>
        <v/>
      </c>
      <c r="E714" s="5">
        <f>'02a_DC_Capacity_Alloc'!E714</f>
        <v/>
      </c>
      <c r="F714" s="5">
        <f>'02a_DC_Capacity_Alloc'!F714</f>
        <v/>
      </c>
      <c r="G714" s="5">
        <f>B714&amp;"|"&amp;E714&amp;"|"&amp;D714</f>
        <v/>
      </c>
      <c r="H714" s="28">
        <f>'02a_DC_Capacity_Alloc'!H714*'02a_DC_Capacity_Alloc'!I714*'02a_DC_Capacity_Alloc'!J714</f>
        <v/>
      </c>
      <c r="I714" s="6">
        <f>IFERROR(INDEX('02b_DC_Accelerator_Mix'!$F$2:$F$977,MATCH(G714,'02b_DC_Accelerator_Mix'!$A$2:$A$977,0)),0)</f>
        <v/>
      </c>
      <c r="J714" s="6">
        <f>IFERROR(INDEX('02b_DC_Accelerator_Mix'!$G$2:$G$977,MATCH(G714,'02b_DC_Accelerator_Mix'!$A$2:$A$977,0)),0)</f>
        <v/>
      </c>
      <c r="K714" s="6">
        <f>IFERROR(INDEX('02b_DC_Accelerator_Mix'!$H$2:$H$977,MATCH(G714,'02b_DC_Accelerator_Mix'!$A$2:$A$977,0)),0)</f>
        <v/>
      </c>
      <c r="L714" s="6">
        <f>IFERROR(INDEX('02b_DC_Accelerator_Mix'!$I$2:$I$977,MATCH(G714,'02b_DC_Accelerator_Mix'!$A$2:$A$977,0)),0)</f>
        <v/>
      </c>
      <c r="M714" s="6">
        <f>IFERROR(INDEX('02b_DC_Accelerator_Mix'!$J$2:$J$977,MATCH(G714,'02b_DC_Accelerator_Mix'!$A$2:$A$977,0)),0)</f>
        <v/>
      </c>
      <c r="N714" s="6">
        <f>IFERROR(INDEX('02b_DC_Accelerator_Mix'!$K$2:$K$977,MATCH(G714,'02b_DC_Accelerator_Mix'!$A$2:$A$977,0)),0)</f>
        <v/>
      </c>
      <c r="O714" s="6">
        <f>IFERROR(INDEX('02b_DC_Accelerator_Mix'!$L$2:$L$977,MATCH(G714,'02b_DC_Accelerator_Mix'!$A$2:$A$977,0)),0)</f>
        <v/>
      </c>
      <c r="P714" s="6">
        <f>IFERROR(INDEX('02b_DC_Accelerator_Mix'!$M$2:$M$977,MATCH(G714,'02b_DC_Accelerator_Mix'!$A$2:$A$977,0)),0)</f>
        <v/>
      </c>
      <c r="Q714" s="6">
        <f>IFERROR(INDEX('02b_DC_Accelerator_Mix'!$N$2:$N$977,MATCH(G714,'02b_DC_Accelerator_Mix'!$A$2:$A$977,0)),0)</f>
        <v/>
      </c>
      <c r="R714" s="28">
        <f>H714*I714</f>
        <v/>
      </c>
      <c r="S714" s="28">
        <f>H714*J714</f>
        <v/>
      </c>
      <c r="T714" s="28">
        <f>H714*K714</f>
        <v/>
      </c>
      <c r="U714" s="28">
        <f>H714*L714</f>
        <v/>
      </c>
      <c r="V714" s="28">
        <f>H714*M714</f>
        <v/>
      </c>
      <c r="W714" s="28">
        <f>H714*N714</f>
        <v/>
      </c>
      <c r="X714" s="28">
        <f>H714*O714</f>
        <v/>
      </c>
      <c r="Y714" s="28">
        <f>H714*P714</f>
        <v/>
      </c>
      <c r="Z714" s="28">
        <f>H714*Q714</f>
        <v/>
      </c>
      <c r="AA714" s="28">
        <f>SUM(U714:Z714)</f>
        <v/>
      </c>
      <c r="AB714" s="5">
        <f>IF(COUNTIF('02b_DC_Accelerator_Mix'!$A$2:$A$977,G714)&gt;0,"matched","missing_mix")</f>
        <v/>
      </c>
    </row>
    <row r="715">
      <c r="A715" s="5">
        <f>'02a_DC_Capacity_Alloc'!A715</f>
        <v/>
      </c>
      <c r="B715" s="5">
        <f>'02a_DC_Capacity_Alloc'!B715</f>
        <v/>
      </c>
      <c r="C715" s="5">
        <f>'02a_DC_Capacity_Alloc'!C715</f>
        <v/>
      </c>
      <c r="D715" s="5">
        <f>'02a_DC_Capacity_Alloc'!D715</f>
        <v/>
      </c>
      <c r="E715" s="5">
        <f>'02a_DC_Capacity_Alloc'!E715</f>
        <v/>
      </c>
      <c r="F715" s="5">
        <f>'02a_DC_Capacity_Alloc'!F715</f>
        <v/>
      </c>
      <c r="G715" s="5">
        <f>B715&amp;"|"&amp;E715&amp;"|"&amp;D715</f>
        <v/>
      </c>
      <c r="H715" s="28">
        <f>'02a_DC_Capacity_Alloc'!H715*'02a_DC_Capacity_Alloc'!I715*'02a_DC_Capacity_Alloc'!J715</f>
        <v/>
      </c>
      <c r="I715" s="6">
        <f>IFERROR(INDEX('02b_DC_Accelerator_Mix'!$F$2:$F$977,MATCH(G715,'02b_DC_Accelerator_Mix'!$A$2:$A$977,0)),0)</f>
        <v/>
      </c>
      <c r="J715" s="6">
        <f>IFERROR(INDEX('02b_DC_Accelerator_Mix'!$G$2:$G$977,MATCH(G715,'02b_DC_Accelerator_Mix'!$A$2:$A$977,0)),0)</f>
        <v/>
      </c>
      <c r="K715" s="6">
        <f>IFERROR(INDEX('02b_DC_Accelerator_Mix'!$H$2:$H$977,MATCH(G715,'02b_DC_Accelerator_Mix'!$A$2:$A$977,0)),0)</f>
        <v/>
      </c>
      <c r="L715" s="6">
        <f>IFERROR(INDEX('02b_DC_Accelerator_Mix'!$I$2:$I$977,MATCH(G715,'02b_DC_Accelerator_Mix'!$A$2:$A$977,0)),0)</f>
        <v/>
      </c>
      <c r="M715" s="6">
        <f>IFERROR(INDEX('02b_DC_Accelerator_Mix'!$J$2:$J$977,MATCH(G715,'02b_DC_Accelerator_Mix'!$A$2:$A$977,0)),0)</f>
        <v/>
      </c>
      <c r="N715" s="6">
        <f>IFERROR(INDEX('02b_DC_Accelerator_Mix'!$K$2:$K$977,MATCH(G715,'02b_DC_Accelerator_Mix'!$A$2:$A$977,0)),0)</f>
        <v/>
      </c>
      <c r="O715" s="6">
        <f>IFERROR(INDEX('02b_DC_Accelerator_Mix'!$L$2:$L$977,MATCH(G715,'02b_DC_Accelerator_Mix'!$A$2:$A$977,0)),0)</f>
        <v/>
      </c>
      <c r="P715" s="6">
        <f>IFERROR(INDEX('02b_DC_Accelerator_Mix'!$M$2:$M$977,MATCH(G715,'02b_DC_Accelerator_Mix'!$A$2:$A$977,0)),0)</f>
        <v/>
      </c>
      <c r="Q715" s="6">
        <f>IFERROR(INDEX('02b_DC_Accelerator_Mix'!$N$2:$N$977,MATCH(G715,'02b_DC_Accelerator_Mix'!$A$2:$A$977,0)),0)</f>
        <v/>
      </c>
      <c r="R715" s="28">
        <f>H715*I715</f>
        <v/>
      </c>
      <c r="S715" s="28">
        <f>H715*J715</f>
        <v/>
      </c>
      <c r="T715" s="28">
        <f>H715*K715</f>
        <v/>
      </c>
      <c r="U715" s="28">
        <f>H715*L715</f>
        <v/>
      </c>
      <c r="V715" s="28">
        <f>H715*M715</f>
        <v/>
      </c>
      <c r="W715" s="28">
        <f>H715*N715</f>
        <v/>
      </c>
      <c r="X715" s="28">
        <f>H715*O715</f>
        <v/>
      </c>
      <c r="Y715" s="28">
        <f>H715*P715</f>
        <v/>
      </c>
      <c r="Z715" s="28">
        <f>H715*Q715</f>
        <v/>
      </c>
      <c r="AA715" s="28">
        <f>SUM(U715:Z715)</f>
        <v/>
      </c>
      <c r="AB715" s="5">
        <f>IF(COUNTIF('02b_DC_Accelerator_Mix'!$A$2:$A$977,G715)&gt;0,"matched","missing_mix")</f>
        <v/>
      </c>
    </row>
    <row r="716">
      <c r="A716" s="5">
        <f>'02a_DC_Capacity_Alloc'!A716</f>
        <v/>
      </c>
      <c r="B716" s="5">
        <f>'02a_DC_Capacity_Alloc'!B716</f>
        <v/>
      </c>
      <c r="C716" s="5">
        <f>'02a_DC_Capacity_Alloc'!C716</f>
        <v/>
      </c>
      <c r="D716" s="5">
        <f>'02a_DC_Capacity_Alloc'!D716</f>
        <v/>
      </c>
      <c r="E716" s="5">
        <f>'02a_DC_Capacity_Alloc'!E716</f>
        <v/>
      </c>
      <c r="F716" s="5">
        <f>'02a_DC_Capacity_Alloc'!F716</f>
        <v/>
      </c>
      <c r="G716" s="5">
        <f>B716&amp;"|"&amp;E716&amp;"|"&amp;D716</f>
        <v/>
      </c>
      <c r="H716" s="28">
        <f>'02a_DC_Capacity_Alloc'!H716*'02a_DC_Capacity_Alloc'!I716*'02a_DC_Capacity_Alloc'!J716</f>
        <v/>
      </c>
      <c r="I716" s="6">
        <f>IFERROR(INDEX('02b_DC_Accelerator_Mix'!$F$2:$F$977,MATCH(G716,'02b_DC_Accelerator_Mix'!$A$2:$A$977,0)),0)</f>
        <v/>
      </c>
      <c r="J716" s="6">
        <f>IFERROR(INDEX('02b_DC_Accelerator_Mix'!$G$2:$G$977,MATCH(G716,'02b_DC_Accelerator_Mix'!$A$2:$A$977,0)),0)</f>
        <v/>
      </c>
      <c r="K716" s="6">
        <f>IFERROR(INDEX('02b_DC_Accelerator_Mix'!$H$2:$H$977,MATCH(G716,'02b_DC_Accelerator_Mix'!$A$2:$A$977,0)),0)</f>
        <v/>
      </c>
      <c r="L716" s="6">
        <f>IFERROR(INDEX('02b_DC_Accelerator_Mix'!$I$2:$I$977,MATCH(G716,'02b_DC_Accelerator_Mix'!$A$2:$A$977,0)),0)</f>
        <v/>
      </c>
      <c r="M716" s="6">
        <f>IFERROR(INDEX('02b_DC_Accelerator_Mix'!$J$2:$J$977,MATCH(G716,'02b_DC_Accelerator_Mix'!$A$2:$A$977,0)),0)</f>
        <v/>
      </c>
      <c r="N716" s="6">
        <f>IFERROR(INDEX('02b_DC_Accelerator_Mix'!$K$2:$K$977,MATCH(G716,'02b_DC_Accelerator_Mix'!$A$2:$A$977,0)),0)</f>
        <v/>
      </c>
      <c r="O716" s="6">
        <f>IFERROR(INDEX('02b_DC_Accelerator_Mix'!$L$2:$L$977,MATCH(G716,'02b_DC_Accelerator_Mix'!$A$2:$A$977,0)),0)</f>
        <v/>
      </c>
      <c r="P716" s="6">
        <f>IFERROR(INDEX('02b_DC_Accelerator_Mix'!$M$2:$M$977,MATCH(G716,'02b_DC_Accelerator_Mix'!$A$2:$A$977,0)),0)</f>
        <v/>
      </c>
      <c r="Q716" s="6">
        <f>IFERROR(INDEX('02b_DC_Accelerator_Mix'!$N$2:$N$977,MATCH(G716,'02b_DC_Accelerator_Mix'!$A$2:$A$977,0)),0)</f>
        <v/>
      </c>
      <c r="R716" s="28">
        <f>H716*I716</f>
        <v/>
      </c>
      <c r="S716" s="28">
        <f>H716*J716</f>
        <v/>
      </c>
      <c r="T716" s="28">
        <f>H716*K716</f>
        <v/>
      </c>
      <c r="U716" s="28">
        <f>H716*L716</f>
        <v/>
      </c>
      <c r="V716" s="28">
        <f>H716*M716</f>
        <v/>
      </c>
      <c r="W716" s="28">
        <f>H716*N716</f>
        <v/>
      </c>
      <c r="X716" s="28">
        <f>H716*O716</f>
        <v/>
      </c>
      <c r="Y716" s="28">
        <f>H716*P716</f>
        <v/>
      </c>
      <c r="Z716" s="28">
        <f>H716*Q716</f>
        <v/>
      </c>
      <c r="AA716" s="28">
        <f>SUM(U716:Z716)</f>
        <v/>
      </c>
      <c r="AB716" s="5">
        <f>IF(COUNTIF('02b_DC_Accelerator_Mix'!$A$2:$A$977,G716)&gt;0,"matched","missing_mix")</f>
        <v/>
      </c>
    </row>
    <row r="717">
      <c r="A717" s="5">
        <f>'02a_DC_Capacity_Alloc'!A717</f>
        <v/>
      </c>
      <c r="B717" s="5">
        <f>'02a_DC_Capacity_Alloc'!B717</f>
        <v/>
      </c>
      <c r="C717" s="5">
        <f>'02a_DC_Capacity_Alloc'!C717</f>
        <v/>
      </c>
      <c r="D717" s="5">
        <f>'02a_DC_Capacity_Alloc'!D717</f>
        <v/>
      </c>
      <c r="E717" s="5">
        <f>'02a_DC_Capacity_Alloc'!E717</f>
        <v/>
      </c>
      <c r="F717" s="5">
        <f>'02a_DC_Capacity_Alloc'!F717</f>
        <v/>
      </c>
      <c r="G717" s="5">
        <f>B717&amp;"|"&amp;E717&amp;"|"&amp;D717</f>
        <v/>
      </c>
      <c r="H717" s="28">
        <f>'02a_DC_Capacity_Alloc'!H717*'02a_DC_Capacity_Alloc'!I717*'02a_DC_Capacity_Alloc'!J717</f>
        <v/>
      </c>
      <c r="I717" s="6">
        <f>IFERROR(INDEX('02b_DC_Accelerator_Mix'!$F$2:$F$977,MATCH(G717,'02b_DC_Accelerator_Mix'!$A$2:$A$977,0)),0)</f>
        <v/>
      </c>
      <c r="J717" s="6">
        <f>IFERROR(INDEX('02b_DC_Accelerator_Mix'!$G$2:$G$977,MATCH(G717,'02b_DC_Accelerator_Mix'!$A$2:$A$977,0)),0)</f>
        <v/>
      </c>
      <c r="K717" s="6">
        <f>IFERROR(INDEX('02b_DC_Accelerator_Mix'!$H$2:$H$977,MATCH(G717,'02b_DC_Accelerator_Mix'!$A$2:$A$977,0)),0)</f>
        <v/>
      </c>
      <c r="L717" s="6">
        <f>IFERROR(INDEX('02b_DC_Accelerator_Mix'!$I$2:$I$977,MATCH(G717,'02b_DC_Accelerator_Mix'!$A$2:$A$977,0)),0)</f>
        <v/>
      </c>
      <c r="M717" s="6">
        <f>IFERROR(INDEX('02b_DC_Accelerator_Mix'!$J$2:$J$977,MATCH(G717,'02b_DC_Accelerator_Mix'!$A$2:$A$977,0)),0)</f>
        <v/>
      </c>
      <c r="N717" s="6">
        <f>IFERROR(INDEX('02b_DC_Accelerator_Mix'!$K$2:$K$977,MATCH(G717,'02b_DC_Accelerator_Mix'!$A$2:$A$977,0)),0)</f>
        <v/>
      </c>
      <c r="O717" s="6">
        <f>IFERROR(INDEX('02b_DC_Accelerator_Mix'!$L$2:$L$977,MATCH(G717,'02b_DC_Accelerator_Mix'!$A$2:$A$977,0)),0)</f>
        <v/>
      </c>
      <c r="P717" s="6">
        <f>IFERROR(INDEX('02b_DC_Accelerator_Mix'!$M$2:$M$977,MATCH(G717,'02b_DC_Accelerator_Mix'!$A$2:$A$977,0)),0)</f>
        <v/>
      </c>
      <c r="Q717" s="6">
        <f>IFERROR(INDEX('02b_DC_Accelerator_Mix'!$N$2:$N$977,MATCH(G717,'02b_DC_Accelerator_Mix'!$A$2:$A$977,0)),0)</f>
        <v/>
      </c>
      <c r="R717" s="28">
        <f>H717*I717</f>
        <v/>
      </c>
      <c r="S717" s="28">
        <f>H717*J717</f>
        <v/>
      </c>
      <c r="T717" s="28">
        <f>H717*K717</f>
        <v/>
      </c>
      <c r="U717" s="28">
        <f>H717*L717</f>
        <v/>
      </c>
      <c r="V717" s="28">
        <f>H717*M717</f>
        <v/>
      </c>
      <c r="W717" s="28">
        <f>H717*N717</f>
        <v/>
      </c>
      <c r="X717" s="28">
        <f>H717*O717</f>
        <v/>
      </c>
      <c r="Y717" s="28">
        <f>H717*P717</f>
        <v/>
      </c>
      <c r="Z717" s="28">
        <f>H717*Q717</f>
        <v/>
      </c>
      <c r="AA717" s="28">
        <f>SUM(U717:Z717)</f>
        <v/>
      </c>
      <c r="AB717" s="5">
        <f>IF(COUNTIF('02b_DC_Accelerator_Mix'!$A$2:$A$977,G717)&gt;0,"matched","missing_mix")</f>
        <v/>
      </c>
    </row>
    <row r="718">
      <c r="A718" s="5">
        <f>'02a_DC_Capacity_Alloc'!A718</f>
        <v/>
      </c>
      <c r="B718" s="5">
        <f>'02a_DC_Capacity_Alloc'!B718</f>
        <v/>
      </c>
      <c r="C718" s="5">
        <f>'02a_DC_Capacity_Alloc'!C718</f>
        <v/>
      </c>
      <c r="D718" s="5">
        <f>'02a_DC_Capacity_Alloc'!D718</f>
        <v/>
      </c>
      <c r="E718" s="5">
        <f>'02a_DC_Capacity_Alloc'!E718</f>
        <v/>
      </c>
      <c r="F718" s="5">
        <f>'02a_DC_Capacity_Alloc'!F718</f>
        <v/>
      </c>
      <c r="G718" s="5">
        <f>B718&amp;"|"&amp;E718&amp;"|"&amp;D718</f>
        <v/>
      </c>
      <c r="H718" s="28">
        <f>'02a_DC_Capacity_Alloc'!H718*'02a_DC_Capacity_Alloc'!I718*'02a_DC_Capacity_Alloc'!J718</f>
        <v/>
      </c>
      <c r="I718" s="6">
        <f>IFERROR(INDEX('02b_DC_Accelerator_Mix'!$F$2:$F$977,MATCH(G718,'02b_DC_Accelerator_Mix'!$A$2:$A$977,0)),0)</f>
        <v/>
      </c>
      <c r="J718" s="6">
        <f>IFERROR(INDEX('02b_DC_Accelerator_Mix'!$G$2:$G$977,MATCH(G718,'02b_DC_Accelerator_Mix'!$A$2:$A$977,0)),0)</f>
        <v/>
      </c>
      <c r="K718" s="6">
        <f>IFERROR(INDEX('02b_DC_Accelerator_Mix'!$H$2:$H$977,MATCH(G718,'02b_DC_Accelerator_Mix'!$A$2:$A$977,0)),0)</f>
        <v/>
      </c>
      <c r="L718" s="6">
        <f>IFERROR(INDEX('02b_DC_Accelerator_Mix'!$I$2:$I$977,MATCH(G718,'02b_DC_Accelerator_Mix'!$A$2:$A$977,0)),0)</f>
        <v/>
      </c>
      <c r="M718" s="6">
        <f>IFERROR(INDEX('02b_DC_Accelerator_Mix'!$J$2:$J$977,MATCH(G718,'02b_DC_Accelerator_Mix'!$A$2:$A$977,0)),0)</f>
        <v/>
      </c>
      <c r="N718" s="6">
        <f>IFERROR(INDEX('02b_DC_Accelerator_Mix'!$K$2:$K$977,MATCH(G718,'02b_DC_Accelerator_Mix'!$A$2:$A$977,0)),0)</f>
        <v/>
      </c>
      <c r="O718" s="6">
        <f>IFERROR(INDEX('02b_DC_Accelerator_Mix'!$L$2:$L$977,MATCH(G718,'02b_DC_Accelerator_Mix'!$A$2:$A$977,0)),0)</f>
        <v/>
      </c>
      <c r="P718" s="6">
        <f>IFERROR(INDEX('02b_DC_Accelerator_Mix'!$M$2:$M$977,MATCH(G718,'02b_DC_Accelerator_Mix'!$A$2:$A$977,0)),0)</f>
        <v/>
      </c>
      <c r="Q718" s="6">
        <f>IFERROR(INDEX('02b_DC_Accelerator_Mix'!$N$2:$N$977,MATCH(G718,'02b_DC_Accelerator_Mix'!$A$2:$A$977,0)),0)</f>
        <v/>
      </c>
      <c r="R718" s="28">
        <f>H718*I718</f>
        <v/>
      </c>
      <c r="S718" s="28">
        <f>H718*J718</f>
        <v/>
      </c>
      <c r="T718" s="28">
        <f>H718*K718</f>
        <v/>
      </c>
      <c r="U718" s="28">
        <f>H718*L718</f>
        <v/>
      </c>
      <c r="V718" s="28">
        <f>H718*M718</f>
        <v/>
      </c>
      <c r="W718" s="28">
        <f>H718*N718</f>
        <v/>
      </c>
      <c r="X718" s="28">
        <f>H718*O718</f>
        <v/>
      </c>
      <c r="Y718" s="28">
        <f>H718*P718</f>
        <v/>
      </c>
      <c r="Z718" s="28">
        <f>H718*Q718</f>
        <v/>
      </c>
      <c r="AA718" s="28">
        <f>SUM(U718:Z718)</f>
        <v/>
      </c>
      <c r="AB718" s="5">
        <f>IF(COUNTIF('02b_DC_Accelerator_Mix'!$A$2:$A$977,G718)&gt;0,"matched","missing_mix")</f>
        <v/>
      </c>
    </row>
    <row r="719">
      <c r="A719" s="5">
        <f>'02a_DC_Capacity_Alloc'!A719</f>
        <v/>
      </c>
      <c r="B719" s="5">
        <f>'02a_DC_Capacity_Alloc'!B719</f>
        <v/>
      </c>
      <c r="C719" s="5">
        <f>'02a_DC_Capacity_Alloc'!C719</f>
        <v/>
      </c>
      <c r="D719" s="5">
        <f>'02a_DC_Capacity_Alloc'!D719</f>
        <v/>
      </c>
      <c r="E719" s="5">
        <f>'02a_DC_Capacity_Alloc'!E719</f>
        <v/>
      </c>
      <c r="F719" s="5">
        <f>'02a_DC_Capacity_Alloc'!F719</f>
        <v/>
      </c>
      <c r="G719" s="5">
        <f>B719&amp;"|"&amp;E719&amp;"|"&amp;D719</f>
        <v/>
      </c>
      <c r="H719" s="28">
        <f>'02a_DC_Capacity_Alloc'!H719*'02a_DC_Capacity_Alloc'!I719*'02a_DC_Capacity_Alloc'!J719</f>
        <v/>
      </c>
      <c r="I719" s="6">
        <f>IFERROR(INDEX('02b_DC_Accelerator_Mix'!$F$2:$F$977,MATCH(G719,'02b_DC_Accelerator_Mix'!$A$2:$A$977,0)),0)</f>
        <v/>
      </c>
      <c r="J719" s="6">
        <f>IFERROR(INDEX('02b_DC_Accelerator_Mix'!$G$2:$G$977,MATCH(G719,'02b_DC_Accelerator_Mix'!$A$2:$A$977,0)),0)</f>
        <v/>
      </c>
      <c r="K719" s="6">
        <f>IFERROR(INDEX('02b_DC_Accelerator_Mix'!$H$2:$H$977,MATCH(G719,'02b_DC_Accelerator_Mix'!$A$2:$A$977,0)),0)</f>
        <v/>
      </c>
      <c r="L719" s="6">
        <f>IFERROR(INDEX('02b_DC_Accelerator_Mix'!$I$2:$I$977,MATCH(G719,'02b_DC_Accelerator_Mix'!$A$2:$A$977,0)),0)</f>
        <v/>
      </c>
      <c r="M719" s="6">
        <f>IFERROR(INDEX('02b_DC_Accelerator_Mix'!$J$2:$J$977,MATCH(G719,'02b_DC_Accelerator_Mix'!$A$2:$A$977,0)),0)</f>
        <v/>
      </c>
      <c r="N719" s="6">
        <f>IFERROR(INDEX('02b_DC_Accelerator_Mix'!$K$2:$K$977,MATCH(G719,'02b_DC_Accelerator_Mix'!$A$2:$A$977,0)),0)</f>
        <v/>
      </c>
      <c r="O719" s="6">
        <f>IFERROR(INDEX('02b_DC_Accelerator_Mix'!$L$2:$L$977,MATCH(G719,'02b_DC_Accelerator_Mix'!$A$2:$A$977,0)),0)</f>
        <v/>
      </c>
      <c r="P719" s="6">
        <f>IFERROR(INDEX('02b_DC_Accelerator_Mix'!$M$2:$M$977,MATCH(G719,'02b_DC_Accelerator_Mix'!$A$2:$A$977,0)),0)</f>
        <v/>
      </c>
      <c r="Q719" s="6">
        <f>IFERROR(INDEX('02b_DC_Accelerator_Mix'!$N$2:$N$977,MATCH(G719,'02b_DC_Accelerator_Mix'!$A$2:$A$977,0)),0)</f>
        <v/>
      </c>
      <c r="R719" s="28">
        <f>H719*I719</f>
        <v/>
      </c>
      <c r="S719" s="28">
        <f>H719*J719</f>
        <v/>
      </c>
      <c r="T719" s="28">
        <f>H719*K719</f>
        <v/>
      </c>
      <c r="U719" s="28">
        <f>H719*L719</f>
        <v/>
      </c>
      <c r="V719" s="28">
        <f>H719*M719</f>
        <v/>
      </c>
      <c r="W719" s="28">
        <f>H719*N719</f>
        <v/>
      </c>
      <c r="X719" s="28">
        <f>H719*O719</f>
        <v/>
      </c>
      <c r="Y719" s="28">
        <f>H719*P719</f>
        <v/>
      </c>
      <c r="Z719" s="28">
        <f>H719*Q719</f>
        <v/>
      </c>
      <c r="AA719" s="28">
        <f>SUM(U719:Z719)</f>
        <v/>
      </c>
      <c r="AB719" s="5">
        <f>IF(COUNTIF('02b_DC_Accelerator_Mix'!$A$2:$A$977,G719)&gt;0,"matched","missing_mix")</f>
        <v/>
      </c>
    </row>
    <row r="720">
      <c r="A720" s="5">
        <f>'02a_DC_Capacity_Alloc'!A720</f>
        <v/>
      </c>
      <c r="B720" s="5">
        <f>'02a_DC_Capacity_Alloc'!B720</f>
        <v/>
      </c>
      <c r="C720" s="5">
        <f>'02a_DC_Capacity_Alloc'!C720</f>
        <v/>
      </c>
      <c r="D720" s="5">
        <f>'02a_DC_Capacity_Alloc'!D720</f>
        <v/>
      </c>
      <c r="E720" s="5">
        <f>'02a_DC_Capacity_Alloc'!E720</f>
        <v/>
      </c>
      <c r="F720" s="5">
        <f>'02a_DC_Capacity_Alloc'!F720</f>
        <v/>
      </c>
      <c r="G720" s="5">
        <f>B720&amp;"|"&amp;E720&amp;"|"&amp;D720</f>
        <v/>
      </c>
      <c r="H720" s="28">
        <f>'02a_DC_Capacity_Alloc'!H720*'02a_DC_Capacity_Alloc'!I720*'02a_DC_Capacity_Alloc'!J720</f>
        <v/>
      </c>
      <c r="I720" s="6">
        <f>IFERROR(INDEX('02b_DC_Accelerator_Mix'!$F$2:$F$977,MATCH(G720,'02b_DC_Accelerator_Mix'!$A$2:$A$977,0)),0)</f>
        <v/>
      </c>
      <c r="J720" s="6">
        <f>IFERROR(INDEX('02b_DC_Accelerator_Mix'!$G$2:$G$977,MATCH(G720,'02b_DC_Accelerator_Mix'!$A$2:$A$977,0)),0)</f>
        <v/>
      </c>
      <c r="K720" s="6">
        <f>IFERROR(INDEX('02b_DC_Accelerator_Mix'!$H$2:$H$977,MATCH(G720,'02b_DC_Accelerator_Mix'!$A$2:$A$977,0)),0)</f>
        <v/>
      </c>
      <c r="L720" s="6">
        <f>IFERROR(INDEX('02b_DC_Accelerator_Mix'!$I$2:$I$977,MATCH(G720,'02b_DC_Accelerator_Mix'!$A$2:$A$977,0)),0)</f>
        <v/>
      </c>
      <c r="M720" s="6">
        <f>IFERROR(INDEX('02b_DC_Accelerator_Mix'!$J$2:$J$977,MATCH(G720,'02b_DC_Accelerator_Mix'!$A$2:$A$977,0)),0)</f>
        <v/>
      </c>
      <c r="N720" s="6">
        <f>IFERROR(INDEX('02b_DC_Accelerator_Mix'!$K$2:$K$977,MATCH(G720,'02b_DC_Accelerator_Mix'!$A$2:$A$977,0)),0)</f>
        <v/>
      </c>
      <c r="O720" s="6">
        <f>IFERROR(INDEX('02b_DC_Accelerator_Mix'!$L$2:$L$977,MATCH(G720,'02b_DC_Accelerator_Mix'!$A$2:$A$977,0)),0)</f>
        <v/>
      </c>
      <c r="P720" s="6">
        <f>IFERROR(INDEX('02b_DC_Accelerator_Mix'!$M$2:$M$977,MATCH(G720,'02b_DC_Accelerator_Mix'!$A$2:$A$977,0)),0)</f>
        <v/>
      </c>
      <c r="Q720" s="6">
        <f>IFERROR(INDEX('02b_DC_Accelerator_Mix'!$N$2:$N$977,MATCH(G720,'02b_DC_Accelerator_Mix'!$A$2:$A$977,0)),0)</f>
        <v/>
      </c>
      <c r="R720" s="28">
        <f>H720*I720</f>
        <v/>
      </c>
      <c r="S720" s="28">
        <f>H720*J720</f>
        <v/>
      </c>
      <c r="T720" s="28">
        <f>H720*K720</f>
        <v/>
      </c>
      <c r="U720" s="28">
        <f>H720*L720</f>
        <v/>
      </c>
      <c r="V720" s="28">
        <f>H720*M720</f>
        <v/>
      </c>
      <c r="W720" s="28">
        <f>H720*N720</f>
        <v/>
      </c>
      <c r="X720" s="28">
        <f>H720*O720</f>
        <v/>
      </c>
      <c r="Y720" s="28">
        <f>H720*P720</f>
        <v/>
      </c>
      <c r="Z720" s="28">
        <f>H720*Q720</f>
        <v/>
      </c>
      <c r="AA720" s="28">
        <f>SUM(U720:Z720)</f>
        <v/>
      </c>
      <c r="AB720" s="5">
        <f>IF(COUNTIF('02b_DC_Accelerator_Mix'!$A$2:$A$977,G720)&gt;0,"matched","missing_mix")</f>
        <v/>
      </c>
    </row>
    <row r="721">
      <c r="A721" s="5">
        <f>'02a_DC_Capacity_Alloc'!A721</f>
        <v/>
      </c>
      <c r="B721" s="5">
        <f>'02a_DC_Capacity_Alloc'!B721</f>
        <v/>
      </c>
      <c r="C721" s="5">
        <f>'02a_DC_Capacity_Alloc'!C721</f>
        <v/>
      </c>
      <c r="D721" s="5">
        <f>'02a_DC_Capacity_Alloc'!D721</f>
        <v/>
      </c>
      <c r="E721" s="5">
        <f>'02a_DC_Capacity_Alloc'!E721</f>
        <v/>
      </c>
      <c r="F721" s="5">
        <f>'02a_DC_Capacity_Alloc'!F721</f>
        <v/>
      </c>
      <c r="G721" s="5">
        <f>B721&amp;"|"&amp;E721&amp;"|"&amp;D721</f>
        <v/>
      </c>
      <c r="H721" s="28">
        <f>'02a_DC_Capacity_Alloc'!H721*'02a_DC_Capacity_Alloc'!I721*'02a_DC_Capacity_Alloc'!J721</f>
        <v/>
      </c>
      <c r="I721" s="6">
        <f>IFERROR(INDEX('02b_DC_Accelerator_Mix'!$F$2:$F$977,MATCH(G721,'02b_DC_Accelerator_Mix'!$A$2:$A$977,0)),0)</f>
        <v/>
      </c>
      <c r="J721" s="6">
        <f>IFERROR(INDEX('02b_DC_Accelerator_Mix'!$G$2:$G$977,MATCH(G721,'02b_DC_Accelerator_Mix'!$A$2:$A$977,0)),0)</f>
        <v/>
      </c>
      <c r="K721" s="6">
        <f>IFERROR(INDEX('02b_DC_Accelerator_Mix'!$H$2:$H$977,MATCH(G721,'02b_DC_Accelerator_Mix'!$A$2:$A$977,0)),0)</f>
        <v/>
      </c>
      <c r="L721" s="6">
        <f>IFERROR(INDEX('02b_DC_Accelerator_Mix'!$I$2:$I$977,MATCH(G721,'02b_DC_Accelerator_Mix'!$A$2:$A$977,0)),0)</f>
        <v/>
      </c>
      <c r="M721" s="6">
        <f>IFERROR(INDEX('02b_DC_Accelerator_Mix'!$J$2:$J$977,MATCH(G721,'02b_DC_Accelerator_Mix'!$A$2:$A$977,0)),0)</f>
        <v/>
      </c>
      <c r="N721" s="6">
        <f>IFERROR(INDEX('02b_DC_Accelerator_Mix'!$K$2:$K$977,MATCH(G721,'02b_DC_Accelerator_Mix'!$A$2:$A$977,0)),0)</f>
        <v/>
      </c>
      <c r="O721" s="6">
        <f>IFERROR(INDEX('02b_DC_Accelerator_Mix'!$L$2:$L$977,MATCH(G721,'02b_DC_Accelerator_Mix'!$A$2:$A$977,0)),0)</f>
        <v/>
      </c>
      <c r="P721" s="6">
        <f>IFERROR(INDEX('02b_DC_Accelerator_Mix'!$M$2:$M$977,MATCH(G721,'02b_DC_Accelerator_Mix'!$A$2:$A$977,0)),0)</f>
        <v/>
      </c>
      <c r="Q721" s="6">
        <f>IFERROR(INDEX('02b_DC_Accelerator_Mix'!$N$2:$N$977,MATCH(G721,'02b_DC_Accelerator_Mix'!$A$2:$A$977,0)),0)</f>
        <v/>
      </c>
      <c r="R721" s="28">
        <f>H721*I721</f>
        <v/>
      </c>
      <c r="S721" s="28">
        <f>H721*J721</f>
        <v/>
      </c>
      <c r="T721" s="28">
        <f>H721*K721</f>
        <v/>
      </c>
      <c r="U721" s="28">
        <f>H721*L721</f>
        <v/>
      </c>
      <c r="V721" s="28">
        <f>H721*M721</f>
        <v/>
      </c>
      <c r="W721" s="28">
        <f>H721*N721</f>
        <v/>
      </c>
      <c r="X721" s="28">
        <f>H721*O721</f>
        <v/>
      </c>
      <c r="Y721" s="28">
        <f>H721*P721</f>
        <v/>
      </c>
      <c r="Z721" s="28">
        <f>H721*Q721</f>
        <v/>
      </c>
      <c r="AA721" s="28">
        <f>SUM(U721:Z721)</f>
        <v/>
      </c>
      <c r="AB721" s="5">
        <f>IF(COUNTIF('02b_DC_Accelerator_Mix'!$A$2:$A$977,G721)&gt;0,"matched","missing_mix")</f>
        <v/>
      </c>
    </row>
    <row r="722">
      <c r="A722" s="5">
        <f>'02a_DC_Capacity_Alloc'!A722</f>
        <v/>
      </c>
      <c r="B722" s="5">
        <f>'02a_DC_Capacity_Alloc'!B722</f>
        <v/>
      </c>
      <c r="C722" s="5">
        <f>'02a_DC_Capacity_Alloc'!C722</f>
        <v/>
      </c>
      <c r="D722" s="5">
        <f>'02a_DC_Capacity_Alloc'!D722</f>
        <v/>
      </c>
      <c r="E722" s="5">
        <f>'02a_DC_Capacity_Alloc'!E722</f>
        <v/>
      </c>
      <c r="F722" s="5">
        <f>'02a_DC_Capacity_Alloc'!F722</f>
        <v/>
      </c>
      <c r="G722" s="5">
        <f>B722&amp;"|"&amp;E722&amp;"|"&amp;D722</f>
        <v/>
      </c>
      <c r="H722" s="28">
        <f>'02a_DC_Capacity_Alloc'!H722*'02a_DC_Capacity_Alloc'!I722*'02a_DC_Capacity_Alloc'!J722</f>
        <v/>
      </c>
      <c r="I722" s="6">
        <f>IFERROR(INDEX('02b_DC_Accelerator_Mix'!$F$2:$F$977,MATCH(G722,'02b_DC_Accelerator_Mix'!$A$2:$A$977,0)),0)</f>
        <v/>
      </c>
      <c r="J722" s="6">
        <f>IFERROR(INDEX('02b_DC_Accelerator_Mix'!$G$2:$G$977,MATCH(G722,'02b_DC_Accelerator_Mix'!$A$2:$A$977,0)),0)</f>
        <v/>
      </c>
      <c r="K722" s="6">
        <f>IFERROR(INDEX('02b_DC_Accelerator_Mix'!$H$2:$H$977,MATCH(G722,'02b_DC_Accelerator_Mix'!$A$2:$A$977,0)),0)</f>
        <v/>
      </c>
      <c r="L722" s="6">
        <f>IFERROR(INDEX('02b_DC_Accelerator_Mix'!$I$2:$I$977,MATCH(G722,'02b_DC_Accelerator_Mix'!$A$2:$A$977,0)),0)</f>
        <v/>
      </c>
      <c r="M722" s="6">
        <f>IFERROR(INDEX('02b_DC_Accelerator_Mix'!$J$2:$J$977,MATCH(G722,'02b_DC_Accelerator_Mix'!$A$2:$A$977,0)),0)</f>
        <v/>
      </c>
      <c r="N722" s="6">
        <f>IFERROR(INDEX('02b_DC_Accelerator_Mix'!$K$2:$K$977,MATCH(G722,'02b_DC_Accelerator_Mix'!$A$2:$A$977,0)),0)</f>
        <v/>
      </c>
      <c r="O722" s="6">
        <f>IFERROR(INDEX('02b_DC_Accelerator_Mix'!$L$2:$L$977,MATCH(G722,'02b_DC_Accelerator_Mix'!$A$2:$A$977,0)),0)</f>
        <v/>
      </c>
      <c r="P722" s="6">
        <f>IFERROR(INDEX('02b_DC_Accelerator_Mix'!$M$2:$M$977,MATCH(G722,'02b_DC_Accelerator_Mix'!$A$2:$A$977,0)),0)</f>
        <v/>
      </c>
      <c r="Q722" s="6">
        <f>IFERROR(INDEX('02b_DC_Accelerator_Mix'!$N$2:$N$977,MATCH(G722,'02b_DC_Accelerator_Mix'!$A$2:$A$977,0)),0)</f>
        <v/>
      </c>
      <c r="R722" s="28">
        <f>H722*I722</f>
        <v/>
      </c>
      <c r="S722" s="28">
        <f>H722*J722</f>
        <v/>
      </c>
      <c r="T722" s="28">
        <f>H722*K722</f>
        <v/>
      </c>
      <c r="U722" s="28">
        <f>H722*L722</f>
        <v/>
      </c>
      <c r="V722" s="28">
        <f>H722*M722</f>
        <v/>
      </c>
      <c r="W722" s="28">
        <f>H722*N722</f>
        <v/>
      </c>
      <c r="X722" s="28">
        <f>H722*O722</f>
        <v/>
      </c>
      <c r="Y722" s="28">
        <f>H722*P722</f>
        <v/>
      </c>
      <c r="Z722" s="28">
        <f>H722*Q722</f>
        <v/>
      </c>
      <c r="AA722" s="28">
        <f>SUM(U722:Z722)</f>
        <v/>
      </c>
      <c r="AB722" s="5">
        <f>IF(COUNTIF('02b_DC_Accelerator_Mix'!$A$2:$A$977,G722)&gt;0,"matched","missing_mix")</f>
        <v/>
      </c>
    </row>
    <row r="723">
      <c r="A723" s="5">
        <f>'02a_DC_Capacity_Alloc'!A723</f>
        <v/>
      </c>
      <c r="B723" s="5">
        <f>'02a_DC_Capacity_Alloc'!B723</f>
        <v/>
      </c>
      <c r="C723" s="5">
        <f>'02a_DC_Capacity_Alloc'!C723</f>
        <v/>
      </c>
      <c r="D723" s="5">
        <f>'02a_DC_Capacity_Alloc'!D723</f>
        <v/>
      </c>
      <c r="E723" s="5">
        <f>'02a_DC_Capacity_Alloc'!E723</f>
        <v/>
      </c>
      <c r="F723" s="5">
        <f>'02a_DC_Capacity_Alloc'!F723</f>
        <v/>
      </c>
      <c r="G723" s="5">
        <f>B723&amp;"|"&amp;E723&amp;"|"&amp;D723</f>
        <v/>
      </c>
      <c r="H723" s="28">
        <f>'02a_DC_Capacity_Alloc'!H723*'02a_DC_Capacity_Alloc'!I723*'02a_DC_Capacity_Alloc'!J723</f>
        <v/>
      </c>
      <c r="I723" s="6">
        <f>IFERROR(INDEX('02b_DC_Accelerator_Mix'!$F$2:$F$977,MATCH(G723,'02b_DC_Accelerator_Mix'!$A$2:$A$977,0)),0)</f>
        <v/>
      </c>
      <c r="J723" s="6">
        <f>IFERROR(INDEX('02b_DC_Accelerator_Mix'!$G$2:$G$977,MATCH(G723,'02b_DC_Accelerator_Mix'!$A$2:$A$977,0)),0)</f>
        <v/>
      </c>
      <c r="K723" s="6">
        <f>IFERROR(INDEX('02b_DC_Accelerator_Mix'!$H$2:$H$977,MATCH(G723,'02b_DC_Accelerator_Mix'!$A$2:$A$977,0)),0)</f>
        <v/>
      </c>
      <c r="L723" s="6">
        <f>IFERROR(INDEX('02b_DC_Accelerator_Mix'!$I$2:$I$977,MATCH(G723,'02b_DC_Accelerator_Mix'!$A$2:$A$977,0)),0)</f>
        <v/>
      </c>
      <c r="M723" s="6">
        <f>IFERROR(INDEX('02b_DC_Accelerator_Mix'!$J$2:$J$977,MATCH(G723,'02b_DC_Accelerator_Mix'!$A$2:$A$977,0)),0)</f>
        <v/>
      </c>
      <c r="N723" s="6">
        <f>IFERROR(INDEX('02b_DC_Accelerator_Mix'!$K$2:$K$977,MATCH(G723,'02b_DC_Accelerator_Mix'!$A$2:$A$977,0)),0)</f>
        <v/>
      </c>
      <c r="O723" s="6">
        <f>IFERROR(INDEX('02b_DC_Accelerator_Mix'!$L$2:$L$977,MATCH(G723,'02b_DC_Accelerator_Mix'!$A$2:$A$977,0)),0)</f>
        <v/>
      </c>
      <c r="P723" s="6">
        <f>IFERROR(INDEX('02b_DC_Accelerator_Mix'!$M$2:$M$977,MATCH(G723,'02b_DC_Accelerator_Mix'!$A$2:$A$977,0)),0)</f>
        <v/>
      </c>
      <c r="Q723" s="6">
        <f>IFERROR(INDEX('02b_DC_Accelerator_Mix'!$N$2:$N$977,MATCH(G723,'02b_DC_Accelerator_Mix'!$A$2:$A$977,0)),0)</f>
        <v/>
      </c>
      <c r="R723" s="28">
        <f>H723*I723</f>
        <v/>
      </c>
      <c r="S723" s="28">
        <f>H723*J723</f>
        <v/>
      </c>
      <c r="T723" s="28">
        <f>H723*K723</f>
        <v/>
      </c>
      <c r="U723" s="28">
        <f>H723*L723</f>
        <v/>
      </c>
      <c r="V723" s="28">
        <f>H723*M723</f>
        <v/>
      </c>
      <c r="W723" s="28">
        <f>H723*N723</f>
        <v/>
      </c>
      <c r="X723" s="28">
        <f>H723*O723</f>
        <v/>
      </c>
      <c r="Y723" s="28">
        <f>H723*P723</f>
        <v/>
      </c>
      <c r="Z723" s="28">
        <f>H723*Q723</f>
        <v/>
      </c>
      <c r="AA723" s="28">
        <f>SUM(U723:Z723)</f>
        <v/>
      </c>
      <c r="AB723" s="5">
        <f>IF(COUNTIF('02b_DC_Accelerator_Mix'!$A$2:$A$977,G723)&gt;0,"matched","missing_mix")</f>
        <v/>
      </c>
    </row>
    <row r="724">
      <c r="A724" s="5">
        <f>'02a_DC_Capacity_Alloc'!A724</f>
        <v/>
      </c>
      <c r="B724" s="5">
        <f>'02a_DC_Capacity_Alloc'!B724</f>
        <v/>
      </c>
      <c r="C724" s="5">
        <f>'02a_DC_Capacity_Alloc'!C724</f>
        <v/>
      </c>
      <c r="D724" s="5">
        <f>'02a_DC_Capacity_Alloc'!D724</f>
        <v/>
      </c>
      <c r="E724" s="5">
        <f>'02a_DC_Capacity_Alloc'!E724</f>
        <v/>
      </c>
      <c r="F724" s="5">
        <f>'02a_DC_Capacity_Alloc'!F724</f>
        <v/>
      </c>
      <c r="G724" s="5">
        <f>B724&amp;"|"&amp;E724&amp;"|"&amp;D724</f>
        <v/>
      </c>
      <c r="H724" s="28">
        <f>'02a_DC_Capacity_Alloc'!H724*'02a_DC_Capacity_Alloc'!I724*'02a_DC_Capacity_Alloc'!J724</f>
        <v/>
      </c>
      <c r="I724" s="6">
        <f>IFERROR(INDEX('02b_DC_Accelerator_Mix'!$F$2:$F$977,MATCH(G724,'02b_DC_Accelerator_Mix'!$A$2:$A$977,0)),0)</f>
        <v/>
      </c>
      <c r="J724" s="6">
        <f>IFERROR(INDEX('02b_DC_Accelerator_Mix'!$G$2:$G$977,MATCH(G724,'02b_DC_Accelerator_Mix'!$A$2:$A$977,0)),0)</f>
        <v/>
      </c>
      <c r="K724" s="6">
        <f>IFERROR(INDEX('02b_DC_Accelerator_Mix'!$H$2:$H$977,MATCH(G724,'02b_DC_Accelerator_Mix'!$A$2:$A$977,0)),0)</f>
        <v/>
      </c>
      <c r="L724" s="6">
        <f>IFERROR(INDEX('02b_DC_Accelerator_Mix'!$I$2:$I$977,MATCH(G724,'02b_DC_Accelerator_Mix'!$A$2:$A$977,0)),0)</f>
        <v/>
      </c>
      <c r="M724" s="6">
        <f>IFERROR(INDEX('02b_DC_Accelerator_Mix'!$J$2:$J$977,MATCH(G724,'02b_DC_Accelerator_Mix'!$A$2:$A$977,0)),0)</f>
        <v/>
      </c>
      <c r="N724" s="6">
        <f>IFERROR(INDEX('02b_DC_Accelerator_Mix'!$K$2:$K$977,MATCH(G724,'02b_DC_Accelerator_Mix'!$A$2:$A$977,0)),0)</f>
        <v/>
      </c>
      <c r="O724" s="6">
        <f>IFERROR(INDEX('02b_DC_Accelerator_Mix'!$L$2:$L$977,MATCH(G724,'02b_DC_Accelerator_Mix'!$A$2:$A$977,0)),0)</f>
        <v/>
      </c>
      <c r="P724" s="6">
        <f>IFERROR(INDEX('02b_DC_Accelerator_Mix'!$M$2:$M$977,MATCH(G724,'02b_DC_Accelerator_Mix'!$A$2:$A$977,0)),0)</f>
        <v/>
      </c>
      <c r="Q724" s="6">
        <f>IFERROR(INDEX('02b_DC_Accelerator_Mix'!$N$2:$N$977,MATCH(G724,'02b_DC_Accelerator_Mix'!$A$2:$A$977,0)),0)</f>
        <v/>
      </c>
      <c r="R724" s="28">
        <f>H724*I724</f>
        <v/>
      </c>
      <c r="S724" s="28">
        <f>H724*J724</f>
        <v/>
      </c>
      <c r="T724" s="28">
        <f>H724*K724</f>
        <v/>
      </c>
      <c r="U724" s="28">
        <f>H724*L724</f>
        <v/>
      </c>
      <c r="V724" s="28">
        <f>H724*M724</f>
        <v/>
      </c>
      <c r="W724" s="28">
        <f>H724*N724</f>
        <v/>
      </c>
      <c r="X724" s="28">
        <f>H724*O724</f>
        <v/>
      </c>
      <c r="Y724" s="28">
        <f>H724*P724</f>
        <v/>
      </c>
      <c r="Z724" s="28">
        <f>H724*Q724</f>
        <v/>
      </c>
      <c r="AA724" s="28">
        <f>SUM(U724:Z724)</f>
        <v/>
      </c>
      <c r="AB724" s="5">
        <f>IF(COUNTIF('02b_DC_Accelerator_Mix'!$A$2:$A$977,G724)&gt;0,"matched","missing_mix")</f>
        <v/>
      </c>
    </row>
    <row r="725">
      <c r="A725" s="5">
        <f>'02a_DC_Capacity_Alloc'!A725</f>
        <v/>
      </c>
      <c r="B725" s="5">
        <f>'02a_DC_Capacity_Alloc'!B725</f>
        <v/>
      </c>
      <c r="C725" s="5">
        <f>'02a_DC_Capacity_Alloc'!C725</f>
        <v/>
      </c>
      <c r="D725" s="5">
        <f>'02a_DC_Capacity_Alloc'!D725</f>
        <v/>
      </c>
      <c r="E725" s="5">
        <f>'02a_DC_Capacity_Alloc'!E725</f>
        <v/>
      </c>
      <c r="F725" s="5">
        <f>'02a_DC_Capacity_Alloc'!F725</f>
        <v/>
      </c>
      <c r="G725" s="5">
        <f>B725&amp;"|"&amp;E725&amp;"|"&amp;D725</f>
        <v/>
      </c>
      <c r="H725" s="28">
        <f>'02a_DC_Capacity_Alloc'!H725*'02a_DC_Capacity_Alloc'!I725*'02a_DC_Capacity_Alloc'!J725</f>
        <v/>
      </c>
      <c r="I725" s="6">
        <f>IFERROR(INDEX('02b_DC_Accelerator_Mix'!$F$2:$F$977,MATCH(G725,'02b_DC_Accelerator_Mix'!$A$2:$A$977,0)),0)</f>
        <v/>
      </c>
      <c r="J725" s="6">
        <f>IFERROR(INDEX('02b_DC_Accelerator_Mix'!$G$2:$G$977,MATCH(G725,'02b_DC_Accelerator_Mix'!$A$2:$A$977,0)),0)</f>
        <v/>
      </c>
      <c r="K725" s="6">
        <f>IFERROR(INDEX('02b_DC_Accelerator_Mix'!$H$2:$H$977,MATCH(G725,'02b_DC_Accelerator_Mix'!$A$2:$A$977,0)),0)</f>
        <v/>
      </c>
      <c r="L725" s="6">
        <f>IFERROR(INDEX('02b_DC_Accelerator_Mix'!$I$2:$I$977,MATCH(G725,'02b_DC_Accelerator_Mix'!$A$2:$A$977,0)),0)</f>
        <v/>
      </c>
      <c r="M725" s="6">
        <f>IFERROR(INDEX('02b_DC_Accelerator_Mix'!$J$2:$J$977,MATCH(G725,'02b_DC_Accelerator_Mix'!$A$2:$A$977,0)),0)</f>
        <v/>
      </c>
      <c r="N725" s="6">
        <f>IFERROR(INDEX('02b_DC_Accelerator_Mix'!$K$2:$K$977,MATCH(G725,'02b_DC_Accelerator_Mix'!$A$2:$A$977,0)),0)</f>
        <v/>
      </c>
      <c r="O725" s="6">
        <f>IFERROR(INDEX('02b_DC_Accelerator_Mix'!$L$2:$L$977,MATCH(G725,'02b_DC_Accelerator_Mix'!$A$2:$A$977,0)),0)</f>
        <v/>
      </c>
      <c r="P725" s="6">
        <f>IFERROR(INDEX('02b_DC_Accelerator_Mix'!$M$2:$M$977,MATCH(G725,'02b_DC_Accelerator_Mix'!$A$2:$A$977,0)),0)</f>
        <v/>
      </c>
      <c r="Q725" s="6">
        <f>IFERROR(INDEX('02b_DC_Accelerator_Mix'!$N$2:$N$977,MATCH(G725,'02b_DC_Accelerator_Mix'!$A$2:$A$977,0)),0)</f>
        <v/>
      </c>
      <c r="R725" s="28">
        <f>H725*I725</f>
        <v/>
      </c>
      <c r="S725" s="28">
        <f>H725*J725</f>
        <v/>
      </c>
      <c r="T725" s="28">
        <f>H725*K725</f>
        <v/>
      </c>
      <c r="U725" s="28">
        <f>H725*L725</f>
        <v/>
      </c>
      <c r="V725" s="28">
        <f>H725*M725</f>
        <v/>
      </c>
      <c r="W725" s="28">
        <f>H725*N725</f>
        <v/>
      </c>
      <c r="X725" s="28">
        <f>H725*O725</f>
        <v/>
      </c>
      <c r="Y725" s="28">
        <f>H725*P725</f>
        <v/>
      </c>
      <c r="Z725" s="28">
        <f>H725*Q725</f>
        <v/>
      </c>
      <c r="AA725" s="28">
        <f>SUM(U725:Z725)</f>
        <v/>
      </c>
      <c r="AB725" s="5">
        <f>IF(COUNTIF('02b_DC_Accelerator_Mix'!$A$2:$A$977,G725)&gt;0,"matched","missing_mix")</f>
        <v/>
      </c>
    </row>
    <row r="726">
      <c r="A726" s="5">
        <f>'02a_DC_Capacity_Alloc'!A726</f>
        <v/>
      </c>
      <c r="B726" s="5">
        <f>'02a_DC_Capacity_Alloc'!B726</f>
        <v/>
      </c>
      <c r="C726" s="5">
        <f>'02a_DC_Capacity_Alloc'!C726</f>
        <v/>
      </c>
      <c r="D726" s="5">
        <f>'02a_DC_Capacity_Alloc'!D726</f>
        <v/>
      </c>
      <c r="E726" s="5">
        <f>'02a_DC_Capacity_Alloc'!E726</f>
        <v/>
      </c>
      <c r="F726" s="5">
        <f>'02a_DC_Capacity_Alloc'!F726</f>
        <v/>
      </c>
      <c r="G726" s="5">
        <f>B726&amp;"|"&amp;E726&amp;"|"&amp;D726</f>
        <v/>
      </c>
      <c r="H726" s="28">
        <f>'02a_DC_Capacity_Alloc'!H726*'02a_DC_Capacity_Alloc'!I726*'02a_DC_Capacity_Alloc'!J726</f>
        <v/>
      </c>
      <c r="I726" s="6">
        <f>IFERROR(INDEX('02b_DC_Accelerator_Mix'!$F$2:$F$977,MATCH(G726,'02b_DC_Accelerator_Mix'!$A$2:$A$977,0)),0)</f>
        <v/>
      </c>
      <c r="J726" s="6">
        <f>IFERROR(INDEX('02b_DC_Accelerator_Mix'!$G$2:$G$977,MATCH(G726,'02b_DC_Accelerator_Mix'!$A$2:$A$977,0)),0)</f>
        <v/>
      </c>
      <c r="K726" s="6">
        <f>IFERROR(INDEX('02b_DC_Accelerator_Mix'!$H$2:$H$977,MATCH(G726,'02b_DC_Accelerator_Mix'!$A$2:$A$977,0)),0)</f>
        <v/>
      </c>
      <c r="L726" s="6">
        <f>IFERROR(INDEX('02b_DC_Accelerator_Mix'!$I$2:$I$977,MATCH(G726,'02b_DC_Accelerator_Mix'!$A$2:$A$977,0)),0)</f>
        <v/>
      </c>
      <c r="M726" s="6">
        <f>IFERROR(INDEX('02b_DC_Accelerator_Mix'!$J$2:$J$977,MATCH(G726,'02b_DC_Accelerator_Mix'!$A$2:$A$977,0)),0)</f>
        <v/>
      </c>
      <c r="N726" s="6">
        <f>IFERROR(INDEX('02b_DC_Accelerator_Mix'!$K$2:$K$977,MATCH(G726,'02b_DC_Accelerator_Mix'!$A$2:$A$977,0)),0)</f>
        <v/>
      </c>
      <c r="O726" s="6">
        <f>IFERROR(INDEX('02b_DC_Accelerator_Mix'!$L$2:$L$977,MATCH(G726,'02b_DC_Accelerator_Mix'!$A$2:$A$977,0)),0)</f>
        <v/>
      </c>
      <c r="P726" s="6">
        <f>IFERROR(INDEX('02b_DC_Accelerator_Mix'!$M$2:$M$977,MATCH(G726,'02b_DC_Accelerator_Mix'!$A$2:$A$977,0)),0)</f>
        <v/>
      </c>
      <c r="Q726" s="6">
        <f>IFERROR(INDEX('02b_DC_Accelerator_Mix'!$N$2:$N$977,MATCH(G726,'02b_DC_Accelerator_Mix'!$A$2:$A$977,0)),0)</f>
        <v/>
      </c>
      <c r="R726" s="28">
        <f>H726*I726</f>
        <v/>
      </c>
      <c r="S726" s="28">
        <f>H726*J726</f>
        <v/>
      </c>
      <c r="T726" s="28">
        <f>H726*K726</f>
        <v/>
      </c>
      <c r="U726" s="28">
        <f>H726*L726</f>
        <v/>
      </c>
      <c r="V726" s="28">
        <f>H726*M726</f>
        <v/>
      </c>
      <c r="W726" s="28">
        <f>H726*N726</f>
        <v/>
      </c>
      <c r="X726" s="28">
        <f>H726*O726</f>
        <v/>
      </c>
      <c r="Y726" s="28">
        <f>H726*P726</f>
        <v/>
      </c>
      <c r="Z726" s="28">
        <f>H726*Q726</f>
        <v/>
      </c>
      <c r="AA726" s="28">
        <f>SUM(U726:Z726)</f>
        <v/>
      </c>
      <c r="AB726" s="5">
        <f>IF(COUNTIF('02b_DC_Accelerator_Mix'!$A$2:$A$977,G726)&gt;0,"matched","missing_mix")</f>
        <v/>
      </c>
    </row>
    <row r="727">
      <c r="A727" s="5">
        <f>'02a_DC_Capacity_Alloc'!A727</f>
        <v/>
      </c>
      <c r="B727" s="5">
        <f>'02a_DC_Capacity_Alloc'!B727</f>
        <v/>
      </c>
      <c r="C727" s="5">
        <f>'02a_DC_Capacity_Alloc'!C727</f>
        <v/>
      </c>
      <c r="D727" s="5">
        <f>'02a_DC_Capacity_Alloc'!D727</f>
        <v/>
      </c>
      <c r="E727" s="5">
        <f>'02a_DC_Capacity_Alloc'!E727</f>
        <v/>
      </c>
      <c r="F727" s="5">
        <f>'02a_DC_Capacity_Alloc'!F727</f>
        <v/>
      </c>
      <c r="G727" s="5">
        <f>B727&amp;"|"&amp;E727&amp;"|"&amp;D727</f>
        <v/>
      </c>
      <c r="H727" s="28">
        <f>'02a_DC_Capacity_Alloc'!H727*'02a_DC_Capacity_Alloc'!I727*'02a_DC_Capacity_Alloc'!J727</f>
        <v/>
      </c>
      <c r="I727" s="6">
        <f>IFERROR(INDEX('02b_DC_Accelerator_Mix'!$F$2:$F$977,MATCH(G727,'02b_DC_Accelerator_Mix'!$A$2:$A$977,0)),0)</f>
        <v/>
      </c>
      <c r="J727" s="6">
        <f>IFERROR(INDEX('02b_DC_Accelerator_Mix'!$G$2:$G$977,MATCH(G727,'02b_DC_Accelerator_Mix'!$A$2:$A$977,0)),0)</f>
        <v/>
      </c>
      <c r="K727" s="6">
        <f>IFERROR(INDEX('02b_DC_Accelerator_Mix'!$H$2:$H$977,MATCH(G727,'02b_DC_Accelerator_Mix'!$A$2:$A$977,0)),0)</f>
        <v/>
      </c>
      <c r="L727" s="6">
        <f>IFERROR(INDEX('02b_DC_Accelerator_Mix'!$I$2:$I$977,MATCH(G727,'02b_DC_Accelerator_Mix'!$A$2:$A$977,0)),0)</f>
        <v/>
      </c>
      <c r="M727" s="6">
        <f>IFERROR(INDEX('02b_DC_Accelerator_Mix'!$J$2:$J$977,MATCH(G727,'02b_DC_Accelerator_Mix'!$A$2:$A$977,0)),0)</f>
        <v/>
      </c>
      <c r="N727" s="6">
        <f>IFERROR(INDEX('02b_DC_Accelerator_Mix'!$K$2:$K$977,MATCH(G727,'02b_DC_Accelerator_Mix'!$A$2:$A$977,0)),0)</f>
        <v/>
      </c>
      <c r="O727" s="6">
        <f>IFERROR(INDEX('02b_DC_Accelerator_Mix'!$L$2:$L$977,MATCH(G727,'02b_DC_Accelerator_Mix'!$A$2:$A$977,0)),0)</f>
        <v/>
      </c>
      <c r="P727" s="6">
        <f>IFERROR(INDEX('02b_DC_Accelerator_Mix'!$M$2:$M$977,MATCH(G727,'02b_DC_Accelerator_Mix'!$A$2:$A$977,0)),0)</f>
        <v/>
      </c>
      <c r="Q727" s="6">
        <f>IFERROR(INDEX('02b_DC_Accelerator_Mix'!$N$2:$N$977,MATCH(G727,'02b_DC_Accelerator_Mix'!$A$2:$A$977,0)),0)</f>
        <v/>
      </c>
      <c r="R727" s="28">
        <f>H727*I727</f>
        <v/>
      </c>
      <c r="S727" s="28">
        <f>H727*J727</f>
        <v/>
      </c>
      <c r="T727" s="28">
        <f>H727*K727</f>
        <v/>
      </c>
      <c r="U727" s="28">
        <f>H727*L727</f>
        <v/>
      </c>
      <c r="V727" s="28">
        <f>H727*M727</f>
        <v/>
      </c>
      <c r="W727" s="28">
        <f>H727*N727</f>
        <v/>
      </c>
      <c r="X727" s="28">
        <f>H727*O727</f>
        <v/>
      </c>
      <c r="Y727" s="28">
        <f>H727*P727</f>
        <v/>
      </c>
      <c r="Z727" s="28">
        <f>H727*Q727</f>
        <v/>
      </c>
      <c r="AA727" s="28">
        <f>SUM(U727:Z727)</f>
        <v/>
      </c>
      <c r="AB727" s="5">
        <f>IF(COUNTIF('02b_DC_Accelerator_Mix'!$A$2:$A$977,G727)&gt;0,"matched","missing_mix")</f>
        <v/>
      </c>
    </row>
    <row r="728">
      <c r="A728" s="5">
        <f>'02a_DC_Capacity_Alloc'!A728</f>
        <v/>
      </c>
      <c r="B728" s="5">
        <f>'02a_DC_Capacity_Alloc'!B728</f>
        <v/>
      </c>
      <c r="C728" s="5">
        <f>'02a_DC_Capacity_Alloc'!C728</f>
        <v/>
      </c>
      <c r="D728" s="5">
        <f>'02a_DC_Capacity_Alloc'!D728</f>
        <v/>
      </c>
      <c r="E728" s="5">
        <f>'02a_DC_Capacity_Alloc'!E728</f>
        <v/>
      </c>
      <c r="F728" s="5">
        <f>'02a_DC_Capacity_Alloc'!F728</f>
        <v/>
      </c>
      <c r="G728" s="5">
        <f>B728&amp;"|"&amp;E728&amp;"|"&amp;D728</f>
        <v/>
      </c>
      <c r="H728" s="28">
        <f>'02a_DC_Capacity_Alloc'!H728*'02a_DC_Capacity_Alloc'!I728*'02a_DC_Capacity_Alloc'!J728</f>
        <v/>
      </c>
      <c r="I728" s="6">
        <f>IFERROR(INDEX('02b_DC_Accelerator_Mix'!$F$2:$F$977,MATCH(G728,'02b_DC_Accelerator_Mix'!$A$2:$A$977,0)),0)</f>
        <v/>
      </c>
      <c r="J728" s="6">
        <f>IFERROR(INDEX('02b_DC_Accelerator_Mix'!$G$2:$G$977,MATCH(G728,'02b_DC_Accelerator_Mix'!$A$2:$A$977,0)),0)</f>
        <v/>
      </c>
      <c r="K728" s="6">
        <f>IFERROR(INDEX('02b_DC_Accelerator_Mix'!$H$2:$H$977,MATCH(G728,'02b_DC_Accelerator_Mix'!$A$2:$A$977,0)),0)</f>
        <v/>
      </c>
      <c r="L728" s="6">
        <f>IFERROR(INDEX('02b_DC_Accelerator_Mix'!$I$2:$I$977,MATCH(G728,'02b_DC_Accelerator_Mix'!$A$2:$A$977,0)),0)</f>
        <v/>
      </c>
      <c r="M728" s="6">
        <f>IFERROR(INDEX('02b_DC_Accelerator_Mix'!$J$2:$J$977,MATCH(G728,'02b_DC_Accelerator_Mix'!$A$2:$A$977,0)),0)</f>
        <v/>
      </c>
      <c r="N728" s="6">
        <f>IFERROR(INDEX('02b_DC_Accelerator_Mix'!$K$2:$K$977,MATCH(G728,'02b_DC_Accelerator_Mix'!$A$2:$A$977,0)),0)</f>
        <v/>
      </c>
      <c r="O728" s="6">
        <f>IFERROR(INDEX('02b_DC_Accelerator_Mix'!$L$2:$L$977,MATCH(G728,'02b_DC_Accelerator_Mix'!$A$2:$A$977,0)),0)</f>
        <v/>
      </c>
      <c r="P728" s="6">
        <f>IFERROR(INDEX('02b_DC_Accelerator_Mix'!$M$2:$M$977,MATCH(G728,'02b_DC_Accelerator_Mix'!$A$2:$A$977,0)),0)</f>
        <v/>
      </c>
      <c r="Q728" s="6">
        <f>IFERROR(INDEX('02b_DC_Accelerator_Mix'!$N$2:$N$977,MATCH(G728,'02b_DC_Accelerator_Mix'!$A$2:$A$977,0)),0)</f>
        <v/>
      </c>
      <c r="R728" s="28">
        <f>H728*I728</f>
        <v/>
      </c>
      <c r="S728" s="28">
        <f>H728*J728</f>
        <v/>
      </c>
      <c r="T728" s="28">
        <f>H728*K728</f>
        <v/>
      </c>
      <c r="U728" s="28">
        <f>H728*L728</f>
        <v/>
      </c>
      <c r="V728" s="28">
        <f>H728*M728</f>
        <v/>
      </c>
      <c r="W728" s="28">
        <f>H728*N728</f>
        <v/>
      </c>
      <c r="X728" s="28">
        <f>H728*O728</f>
        <v/>
      </c>
      <c r="Y728" s="28">
        <f>H728*P728</f>
        <v/>
      </c>
      <c r="Z728" s="28">
        <f>H728*Q728</f>
        <v/>
      </c>
      <c r="AA728" s="28">
        <f>SUM(U728:Z728)</f>
        <v/>
      </c>
      <c r="AB728" s="5">
        <f>IF(COUNTIF('02b_DC_Accelerator_Mix'!$A$2:$A$977,G728)&gt;0,"matched","missing_mix")</f>
        <v/>
      </c>
    </row>
    <row r="729">
      <c r="A729" s="5">
        <f>'02a_DC_Capacity_Alloc'!A729</f>
        <v/>
      </c>
      <c r="B729" s="5">
        <f>'02a_DC_Capacity_Alloc'!B729</f>
        <v/>
      </c>
      <c r="C729" s="5">
        <f>'02a_DC_Capacity_Alloc'!C729</f>
        <v/>
      </c>
      <c r="D729" s="5">
        <f>'02a_DC_Capacity_Alloc'!D729</f>
        <v/>
      </c>
      <c r="E729" s="5">
        <f>'02a_DC_Capacity_Alloc'!E729</f>
        <v/>
      </c>
      <c r="F729" s="5">
        <f>'02a_DC_Capacity_Alloc'!F729</f>
        <v/>
      </c>
      <c r="G729" s="5">
        <f>B729&amp;"|"&amp;E729&amp;"|"&amp;D729</f>
        <v/>
      </c>
      <c r="H729" s="28">
        <f>'02a_DC_Capacity_Alloc'!H729*'02a_DC_Capacity_Alloc'!I729*'02a_DC_Capacity_Alloc'!J729</f>
        <v/>
      </c>
      <c r="I729" s="6">
        <f>IFERROR(INDEX('02b_DC_Accelerator_Mix'!$F$2:$F$977,MATCH(G729,'02b_DC_Accelerator_Mix'!$A$2:$A$977,0)),0)</f>
        <v/>
      </c>
      <c r="J729" s="6">
        <f>IFERROR(INDEX('02b_DC_Accelerator_Mix'!$G$2:$G$977,MATCH(G729,'02b_DC_Accelerator_Mix'!$A$2:$A$977,0)),0)</f>
        <v/>
      </c>
      <c r="K729" s="6">
        <f>IFERROR(INDEX('02b_DC_Accelerator_Mix'!$H$2:$H$977,MATCH(G729,'02b_DC_Accelerator_Mix'!$A$2:$A$977,0)),0)</f>
        <v/>
      </c>
      <c r="L729" s="6">
        <f>IFERROR(INDEX('02b_DC_Accelerator_Mix'!$I$2:$I$977,MATCH(G729,'02b_DC_Accelerator_Mix'!$A$2:$A$977,0)),0)</f>
        <v/>
      </c>
      <c r="M729" s="6">
        <f>IFERROR(INDEX('02b_DC_Accelerator_Mix'!$J$2:$J$977,MATCH(G729,'02b_DC_Accelerator_Mix'!$A$2:$A$977,0)),0)</f>
        <v/>
      </c>
      <c r="N729" s="6">
        <f>IFERROR(INDEX('02b_DC_Accelerator_Mix'!$K$2:$K$977,MATCH(G729,'02b_DC_Accelerator_Mix'!$A$2:$A$977,0)),0)</f>
        <v/>
      </c>
      <c r="O729" s="6">
        <f>IFERROR(INDEX('02b_DC_Accelerator_Mix'!$L$2:$L$977,MATCH(G729,'02b_DC_Accelerator_Mix'!$A$2:$A$977,0)),0)</f>
        <v/>
      </c>
      <c r="P729" s="6">
        <f>IFERROR(INDEX('02b_DC_Accelerator_Mix'!$M$2:$M$977,MATCH(G729,'02b_DC_Accelerator_Mix'!$A$2:$A$977,0)),0)</f>
        <v/>
      </c>
      <c r="Q729" s="6">
        <f>IFERROR(INDEX('02b_DC_Accelerator_Mix'!$N$2:$N$977,MATCH(G729,'02b_DC_Accelerator_Mix'!$A$2:$A$977,0)),0)</f>
        <v/>
      </c>
      <c r="R729" s="28">
        <f>H729*I729</f>
        <v/>
      </c>
      <c r="S729" s="28">
        <f>H729*J729</f>
        <v/>
      </c>
      <c r="T729" s="28">
        <f>H729*K729</f>
        <v/>
      </c>
      <c r="U729" s="28">
        <f>H729*L729</f>
        <v/>
      </c>
      <c r="V729" s="28">
        <f>H729*M729</f>
        <v/>
      </c>
      <c r="W729" s="28">
        <f>H729*N729</f>
        <v/>
      </c>
      <c r="X729" s="28">
        <f>H729*O729</f>
        <v/>
      </c>
      <c r="Y729" s="28">
        <f>H729*P729</f>
        <v/>
      </c>
      <c r="Z729" s="28">
        <f>H729*Q729</f>
        <v/>
      </c>
      <c r="AA729" s="28">
        <f>SUM(U729:Z729)</f>
        <v/>
      </c>
      <c r="AB729" s="5">
        <f>IF(COUNTIF('02b_DC_Accelerator_Mix'!$A$2:$A$977,G729)&gt;0,"matched","missing_mix")</f>
        <v/>
      </c>
    </row>
    <row r="730">
      <c r="A730" s="5">
        <f>'02a_DC_Capacity_Alloc'!A730</f>
        <v/>
      </c>
      <c r="B730" s="5">
        <f>'02a_DC_Capacity_Alloc'!B730</f>
        <v/>
      </c>
      <c r="C730" s="5">
        <f>'02a_DC_Capacity_Alloc'!C730</f>
        <v/>
      </c>
      <c r="D730" s="5">
        <f>'02a_DC_Capacity_Alloc'!D730</f>
        <v/>
      </c>
      <c r="E730" s="5">
        <f>'02a_DC_Capacity_Alloc'!E730</f>
        <v/>
      </c>
      <c r="F730" s="5">
        <f>'02a_DC_Capacity_Alloc'!F730</f>
        <v/>
      </c>
      <c r="G730" s="5">
        <f>B730&amp;"|"&amp;E730&amp;"|"&amp;D730</f>
        <v/>
      </c>
      <c r="H730" s="28">
        <f>'02a_DC_Capacity_Alloc'!H730*'02a_DC_Capacity_Alloc'!I730*'02a_DC_Capacity_Alloc'!J730</f>
        <v/>
      </c>
      <c r="I730" s="6">
        <f>IFERROR(INDEX('02b_DC_Accelerator_Mix'!$F$2:$F$977,MATCH(G730,'02b_DC_Accelerator_Mix'!$A$2:$A$977,0)),0)</f>
        <v/>
      </c>
      <c r="J730" s="6">
        <f>IFERROR(INDEX('02b_DC_Accelerator_Mix'!$G$2:$G$977,MATCH(G730,'02b_DC_Accelerator_Mix'!$A$2:$A$977,0)),0)</f>
        <v/>
      </c>
      <c r="K730" s="6">
        <f>IFERROR(INDEX('02b_DC_Accelerator_Mix'!$H$2:$H$977,MATCH(G730,'02b_DC_Accelerator_Mix'!$A$2:$A$977,0)),0)</f>
        <v/>
      </c>
      <c r="L730" s="6">
        <f>IFERROR(INDEX('02b_DC_Accelerator_Mix'!$I$2:$I$977,MATCH(G730,'02b_DC_Accelerator_Mix'!$A$2:$A$977,0)),0)</f>
        <v/>
      </c>
      <c r="M730" s="6">
        <f>IFERROR(INDEX('02b_DC_Accelerator_Mix'!$J$2:$J$977,MATCH(G730,'02b_DC_Accelerator_Mix'!$A$2:$A$977,0)),0)</f>
        <v/>
      </c>
      <c r="N730" s="6">
        <f>IFERROR(INDEX('02b_DC_Accelerator_Mix'!$K$2:$K$977,MATCH(G730,'02b_DC_Accelerator_Mix'!$A$2:$A$977,0)),0)</f>
        <v/>
      </c>
      <c r="O730" s="6">
        <f>IFERROR(INDEX('02b_DC_Accelerator_Mix'!$L$2:$L$977,MATCH(G730,'02b_DC_Accelerator_Mix'!$A$2:$A$977,0)),0)</f>
        <v/>
      </c>
      <c r="P730" s="6">
        <f>IFERROR(INDEX('02b_DC_Accelerator_Mix'!$M$2:$M$977,MATCH(G730,'02b_DC_Accelerator_Mix'!$A$2:$A$977,0)),0)</f>
        <v/>
      </c>
      <c r="Q730" s="6">
        <f>IFERROR(INDEX('02b_DC_Accelerator_Mix'!$N$2:$N$977,MATCH(G730,'02b_DC_Accelerator_Mix'!$A$2:$A$977,0)),0)</f>
        <v/>
      </c>
      <c r="R730" s="28">
        <f>H730*I730</f>
        <v/>
      </c>
      <c r="S730" s="28">
        <f>H730*J730</f>
        <v/>
      </c>
      <c r="T730" s="28">
        <f>H730*K730</f>
        <v/>
      </c>
      <c r="U730" s="28">
        <f>H730*L730</f>
        <v/>
      </c>
      <c r="V730" s="28">
        <f>H730*M730</f>
        <v/>
      </c>
      <c r="W730" s="28">
        <f>H730*N730</f>
        <v/>
      </c>
      <c r="X730" s="28">
        <f>H730*O730</f>
        <v/>
      </c>
      <c r="Y730" s="28">
        <f>H730*P730</f>
        <v/>
      </c>
      <c r="Z730" s="28">
        <f>H730*Q730</f>
        <v/>
      </c>
      <c r="AA730" s="28">
        <f>SUM(U730:Z730)</f>
        <v/>
      </c>
      <c r="AB730" s="5">
        <f>IF(COUNTIF('02b_DC_Accelerator_Mix'!$A$2:$A$977,G730)&gt;0,"matched","missing_mix")</f>
        <v/>
      </c>
    </row>
    <row r="731">
      <c r="A731" s="5">
        <f>'02a_DC_Capacity_Alloc'!A731</f>
        <v/>
      </c>
      <c r="B731" s="5">
        <f>'02a_DC_Capacity_Alloc'!B731</f>
        <v/>
      </c>
      <c r="C731" s="5">
        <f>'02a_DC_Capacity_Alloc'!C731</f>
        <v/>
      </c>
      <c r="D731" s="5">
        <f>'02a_DC_Capacity_Alloc'!D731</f>
        <v/>
      </c>
      <c r="E731" s="5">
        <f>'02a_DC_Capacity_Alloc'!E731</f>
        <v/>
      </c>
      <c r="F731" s="5">
        <f>'02a_DC_Capacity_Alloc'!F731</f>
        <v/>
      </c>
      <c r="G731" s="5">
        <f>B731&amp;"|"&amp;E731&amp;"|"&amp;D731</f>
        <v/>
      </c>
      <c r="H731" s="28">
        <f>'02a_DC_Capacity_Alloc'!H731*'02a_DC_Capacity_Alloc'!I731*'02a_DC_Capacity_Alloc'!J731</f>
        <v/>
      </c>
      <c r="I731" s="6">
        <f>IFERROR(INDEX('02b_DC_Accelerator_Mix'!$F$2:$F$977,MATCH(G731,'02b_DC_Accelerator_Mix'!$A$2:$A$977,0)),0)</f>
        <v/>
      </c>
      <c r="J731" s="6">
        <f>IFERROR(INDEX('02b_DC_Accelerator_Mix'!$G$2:$G$977,MATCH(G731,'02b_DC_Accelerator_Mix'!$A$2:$A$977,0)),0)</f>
        <v/>
      </c>
      <c r="K731" s="6">
        <f>IFERROR(INDEX('02b_DC_Accelerator_Mix'!$H$2:$H$977,MATCH(G731,'02b_DC_Accelerator_Mix'!$A$2:$A$977,0)),0)</f>
        <v/>
      </c>
      <c r="L731" s="6">
        <f>IFERROR(INDEX('02b_DC_Accelerator_Mix'!$I$2:$I$977,MATCH(G731,'02b_DC_Accelerator_Mix'!$A$2:$A$977,0)),0)</f>
        <v/>
      </c>
      <c r="M731" s="6">
        <f>IFERROR(INDEX('02b_DC_Accelerator_Mix'!$J$2:$J$977,MATCH(G731,'02b_DC_Accelerator_Mix'!$A$2:$A$977,0)),0)</f>
        <v/>
      </c>
      <c r="N731" s="6">
        <f>IFERROR(INDEX('02b_DC_Accelerator_Mix'!$K$2:$K$977,MATCH(G731,'02b_DC_Accelerator_Mix'!$A$2:$A$977,0)),0)</f>
        <v/>
      </c>
      <c r="O731" s="6">
        <f>IFERROR(INDEX('02b_DC_Accelerator_Mix'!$L$2:$L$977,MATCH(G731,'02b_DC_Accelerator_Mix'!$A$2:$A$977,0)),0)</f>
        <v/>
      </c>
      <c r="P731" s="6">
        <f>IFERROR(INDEX('02b_DC_Accelerator_Mix'!$M$2:$M$977,MATCH(G731,'02b_DC_Accelerator_Mix'!$A$2:$A$977,0)),0)</f>
        <v/>
      </c>
      <c r="Q731" s="6">
        <f>IFERROR(INDEX('02b_DC_Accelerator_Mix'!$N$2:$N$977,MATCH(G731,'02b_DC_Accelerator_Mix'!$A$2:$A$977,0)),0)</f>
        <v/>
      </c>
      <c r="R731" s="28">
        <f>H731*I731</f>
        <v/>
      </c>
      <c r="S731" s="28">
        <f>H731*J731</f>
        <v/>
      </c>
      <c r="T731" s="28">
        <f>H731*K731</f>
        <v/>
      </c>
      <c r="U731" s="28">
        <f>H731*L731</f>
        <v/>
      </c>
      <c r="V731" s="28">
        <f>H731*M731</f>
        <v/>
      </c>
      <c r="W731" s="28">
        <f>H731*N731</f>
        <v/>
      </c>
      <c r="X731" s="28">
        <f>H731*O731</f>
        <v/>
      </c>
      <c r="Y731" s="28">
        <f>H731*P731</f>
        <v/>
      </c>
      <c r="Z731" s="28">
        <f>H731*Q731</f>
        <v/>
      </c>
      <c r="AA731" s="28">
        <f>SUM(U731:Z731)</f>
        <v/>
      </c>
      <c r="AB731" s="5">
        <f>IF(COUNTIF('02b_DC_Accelerator_Mix'!$A$2:$A$977,G731)&gt;0,"matched","missing_mix")</f>
        <v/>
      </c>
    </row>
    <row r="732">
      <c r="A732" s="5">
        <f>'02a_DC_Capacity_Alloc'!A732</f>
        <v/>
      </c>
      <c r="B732" s="5">
        <f>'02a_DC_Capacity_Alloc'!B732</f>
        <v/>
      </c>
      <c r="C732" s="5">
        <f>'02a_DC_Capacity_Alloc'!C732</f>
        <v/>
      </c>
      <c r="D732" s="5">
        <f>'02a_DC_Capacity_Alloc'!D732</f>
        <v/>
      </c>
      <c r="E732" s="5">
        <f>'02a_DC_Capacity_Alloc'!E732</f>
        <v/>
      </c>
      <c r="F732" s="5">
        <f>'02a_DC_Capacity_Alloc'!F732</f>
        <v/>
      </c>
      <c r="G732" s="5">
        <f>B732&amp;"|"&amp;E732&amp;"|"&amp;D732</f>
        <v/>
      </c>
      <c r="H732" s="28">
        <f>'02a_DC_Capacity_Alloc'!H732*'02a_DC_Capacity_Alloc'!I732*'02a_DC_Capacity_Alloc'!J732</f>
        <v/>
      </c>
      <c r="I732" s="6">
        <f>IFERROR(INDEX('02b_DC_Accelerator_Mix'!$F$2:$F$977,MATCH(G732,'02b_DC_Accelerator_Mix'!$A$2:$A$977,0)),0)</f>
        <v/>
      </c>
      <c r="J732" s="6">
        <f>IFERROR(INDEX('02b_DC_Accelerator_Mix'!$G$2:$G$977,MATCH(G732,'02b_DC_Accelerator_Mix'!$A$2:$A$977,0)),0)</f>
        <v/>
      </c>
      <c r="K732" s="6">
        <f>IFERROR(INDEX('02b_DC_Accelerator_Mix'!$H$2:$H$977,MATCH(G732,'02b_DC_Accelerator_Mix'!$A$2:$A$977,0)),0)</f>
        <v/>
      </c>
      <c r="L732" s="6">
        <f>IFERROR(INDEX('02b_DC_Accelerator_Mix'!$I$2:$I$977,MATCH(G732,'02b_DC_Accelerator_Mix'!$A$2:$A$977,0)),0)</f>
        <v/>
      </c>
      <c r="M732" s="6">
        <f>IFERROR(INDEX('02b_DC_Accelerator_Mix'!$J$2:$J$977,MATCH(G732,'02b_DC_Accelerator_Mix'!$A$2:$A$977,0)),0)</f>
        <v/>
      </c>
      <c r="N732" s="6">
        <f>IFERROR(INDEX('02b_DC_Accelerator_Mix'!$K$2:$K$977,MATCH(G732,'02b_DC_Accelerator_Mix'!$A$2:$A$977,0)),0)</f>
        <v/>
      </c>
      <c r="O732" s="6">
        <f>IFERROR(INDEX('02b_DC_Accelerator_Mix'!$L$2:$L$977,MATCH(G732,'02b_DC_Accelerator_Mix'!$A$2:$A$977,0)),0)</f>
        <v/>
      </c>
      <c r="P732" s="6">
        <f>IFERROR(INDEX('02b_DC_Accelerator_Mix'!$M$2:$M$977,MATCH(G732,'02b_DC_Accelerator_Mix'!$A$2:$A$977,0)),0)</f>
        <v/>
      </c>
      <c r="Q732" s="6">
        <f>IFERROR(INDEX('02b_DC_Accelerator_Mix'!$N$2:$N$977,MATCH(G732,'02b_DC_Accelerator_Mix'!$A$2:$A$977,0)),0)</f>
        <v/>
      </c>
      <c r="R732" s="28">
        <f>H732*I732</f>
        <v/>
      </c>
      <c r="S732" s="28">
        <f>H732*J732</f>
        <v/>
      </c>
      <c r="T732" s="28">
        <f>H732*K732</f>
        <v/>
      </c>
      <c r="U732" s="28">
        <f>H732*L732</f>
        <v/>
      </c>
      <c r="V732" s="28">
        <f>H732*M732</f>
        <v/>
      </c>
      <c r="W732" s="28">
        <f>H732*N732</f>
        <v/>
      </c>
      <c r="X732" s="28">
        <f>H732*O732</f>
        <v/>
      </c>
      <c r="Y732" s="28">
        <f>H732*P732</f>
        <v/>
      </c>
      <c r="Z732" s="28">
        <f>H732*Q732</f>
        <v/>
      </c>
      <c r="AA732" s="28">
        <f>SUM(U732:Z732)</f>
        <v/>
      </c>
      <c r="AB732" s="5">
        <f>IF(COUNTIF('02b_DC_Accelerator_Mix'!$A$2:$A$977,G732)&gt;0,"matched","missing_mix")</f>
        <v/>
      </c>
    </row>
    <row r="733">
      <c r="A733" s="5">
        <f>'02a_DC_Capacity_Alloc'!A733</f>
        <v/>
      </c>
      <c r="B733" s="5">
        <f>'02a_DC_Capacity_Alloc'!B733</f>
        <v/>
      </c>
      <c r="C733" s="5">
        <f>'02a_DC_Capacity_Alloc'!C733</f>
        <v/>
      </c>
      <c r="D733" s="5">
        <f>'02a_DC_Capacity_Alloc'!D733</f>
        <v/>
      </c>
      <c r="E733" s="5">
        <f>'02a_DC_Capacity_Alloc'!E733</f>
        <v/>
      </c>
      <c r="F733" s="5">
        <f>'02a_DC_Capacity_Alloc'!F733</f>
        <v/>
      </c>
      <c r="G733" s="5">
        <f>B733&amp;"|"&amp;E733&amp;"|"&amp;D733</f>
        <v/>
      </c>
      <c r="H733" s="28">
        <f>'02a_DC_Capacity_Alloc'!H733*'02a_DC_Capacity_Alloc'!I733*'02a_DC_Capacity_Alloc'!J733</f>
        <v/>
      </c>
      <c r="I733" s="6">
        <f>IFERROR(INDEX('02b_DC_Accelerator_Mix'!$F$2:$F$977,MATCH(G733,'02b_DC_Accelerator_Mix'!$A$2:$A$977,0)),0)</f>
        <v/>
      </c>
      <c r="J733" s="6">
        <f>IFERROR(INDEX('02b_DC_Accelerator_Mix'!$G$2:$G$977,MATCH(G733,'02b_DC_Accelerator_Mix'!$A$2:$A$977,0)),0)</f>
        <v/>
      </c>
      <c r="K733" s="6">
        <f>IFERROR(INDEX('02b_DC_Accelerator_Mix'!$H$2:$H$977,MATCH(G733,'02b_DC_Accelerator_Mix'!$A$2:$A$977,0)),0)</f>
        <v/>
      </c>
      <c r="L733" s="6">
        <f>IFERROR(INDEX('02b_DC_Accelerator_Mix'!$I$2:$I$977,MATCH(G733,'02b_DC_Accelerator_Mix'!$A$2:$A$977,0)),0)</f>
        <v/>
      </c>
      <c r="M733" s="6">
        <f>IFERROR(INDEX('02b_DC_Accelerator_Mix'!$J$2:$J$977,MATCH(G733,'02b_DC_Accelerator_Mix'!$A$2:$A$977,0)),0)</f>
        <v/>
      </c>
      <c r="N733" s="6">
        <f>IFERROR(INDEX('02b_DC_Accelerator_Mix'!$K$2:$K$977,MATCH(G733,'02b_DC_Accelerator_Mix'!$A$2:$A$977,0)),0)</f>
        <v/>
      </c>
      <c r="O733" s="6">
        <f>IFERROR(INDEX('02b_DC_Accelerator_Mix'!$L$2:$L$977,MATCH(G733,'02b_DC_Accelerator_Mix'!$A$2:$A$977,0)),0)</f>
        <v/>
      </c>
      <c r="P733" s="6">
        <f>IFERROR(INDEX('02b_DC_Accelerator_Mix'!$M$2:$M$977,MATCH(G733,'02b_DC_Accelerator_Mix'!$A$2:$A$977,0)),0)</f>
        <v/>
      </c>
      <c r="Q733" s="6">
        <f>IFERROR(INDEX('02b_DC_Accelerator_Mix'!$N$2:$N$977,MATCH(G733,'02b_DC_Accelerator_Mix'!$A$2:$A$977,0)),0)</f>
        <v/>
      </c>
      <c r="R733" s="28">
        <f>H733*I733</f>
        <v/>
      </c>
      <c r="S733" s="28">
        <f>H733*J733</f>
        <v/>
      </c>
      <c r="T733" s="28">
        <f>H733*K733</f>
        <v/>
      </c>
      <c r="U733" s="28">
        <f>H733*L733</f>
        <v/>
      </c>
      <c r="V733" s="28">
        <f>H733*M733</f>
        <v/>
      </c>
      <c r="W733" s="28">
        <f>H733*N733</f>
        <v/>
      </c>
      <c r="X733" s="28">
        <f>H733*O733</f>
        <v/>
      </c>
      <c r="Y733" s="28">
        <f>H733*P733</f>
        <v/>
      </c>
      <c r="Z733" s="28">
        <f>H733*Q733</f>
        <v/>
      </c>
      <c r="AA733" s="28">
        <f>SUM(U733:Z733)</f>
        <v/>
      </c>
      <c r="AB733" s="5">
        <f>IF(COUNTIF('02b_DC_Accelerator_Mix'!$A$2:$A$977,G733)&gt;0,"matched","missing_mix")</f>
        <v/>
      </c>
    </row>
    <row r="734">
      <c r="A734" s="5">
        <f>'02a_DC_Capacity_Alloc'!A734</f>
        <v/>
      </c>
      <c r="B734" s="5">
        <f>'02a_DC_Capacity_Alloc'!B734</f>
        <v/>
      </c>
      <c r="C734" s="5">
        <f>'02a_DC_Capacity_Alloc'!C734</f>
        <v/>
      </c>
      <c r="D734" s="5">
        <f>'02a_DC_Capacity_Alloc'!D734</f>
        <v/>
      </c>
      <c r="E734" s="5">
        <f>'02a_DC_Capacity_Alloc'!E734</f>
        <v/>
      </c>
      <c r="F734" s="5">
        <f>'02a_DC_Capacity_Alloc'!F734</f>
        <v/>
      </c>
      <c r="G734" s="5">
        <f>B734&amp;"|"&amp;E734&amp;"|"&amp;D734</f>
        <v/>
      </c>
      <c r="H734" s="28">
        <f>'02a_DC_Capacity_Alloc'!H734*'02a_DC_Capacity_Alloc'!I734*'02a_DC_Capacity_Alloc'!J734</f>
        <v/>
      </c>
      <c r="I734" s="6">
        <f>IFERROR(INDEX('02b_DC_Accelerator_Mix'!$F$2:$F$977,MATCH(G734,'02b_DC_Accelerator_Mix'!$A$2:$A$977,0)),0)</f>
        <v/>
      </c>
      <c r="J734" s="6">
        <f>IFERROR(INDEX('02b_DC_Accelerator_Mix'!$G$2:$G$977,MATCH(G734,'02b_DC_Accelerator_Mix'!$A$2:$A$977,0)),0)</f>
        <v/>
      </c>
      <c r="K734" s="6">
        <f>IFERROR(INDEX('02b_DC_Accelerator_Mix'!$H$2:$H$977,MATCH(G734,'02b_DC_Accelerator_Mix'!$A$2:$A$977,0)),0)</f>
        <v/>
      </c>
      <c r="L734" s="6">
        <f>IFERROR(INDEX('02b_DC_Accelerator_Mix'!$I$2:$I$977,MATCH(G734,'02b_DC_Accelerator_Mix'!$A$2:$A$977,0)),0)</f>
        <v/>
      </c>
      <c r="M734" s="6">
        <f>IFERROR(INDEX('02b_DC_Accelerator_Mix'!$J$2:$J$977,MATCH(G734,'02b_DC_Accelerator_Mix'!$A$2:$A$977,0)),0)</f>
        <v/>
      </c>
      <c r="N734" s="6">
        <f>IFERROR(INDEX('02b_DC_Accelerator_Mix'!$K$2:$K$977,MATCH(G734,'02b_DC_Accelerator_Mix'!$A$2:$A$977,0)),0)</f>
        <v/>
      </c>
      <c r="O734" s="6">
        <f>IFERROR(INDEX('02b_DC_Accelerator_Mix'!$L$2:$L$977,MATCH(G734,'02b_DC_Accelerator_Mix'!$A$2:$A$977,0)),0)</f>
        <v/>
      </c>
      <c r="P734" s="6">
        <f>IFERROR(INDEX('02b_DC_Accelerator_Mix'!$M$2:$M$977,MATCH(G734,'02b_DC_Accelerator_Mix'!$A$2:$A$977,0)),0)</f>
        <v/>
      </c>
      <c r="Q734" s="6">
        <f>IFERROR(INDEX('02b_DC_Accelerator_Mix'!$N$2:$N$977,MATCH(G734,'02b_DC_Accelerator_Mix'!$A$2:$A$977,0)),0)</f>
        <v/>
      </c>
      <c r="R734" s="28">
        <f>H734*I734</f>
        <v/>
      </c>
      <c r="S734" s="28">
        <f>H734*J734</f>
        <v/>
      </c>
      <c r="T734" s="28">
        <f>H734*K734</f>
        <v/>
      </c>
      <c r="U734" s="28">
        <f>H734*L734</f>
        <v/>
      </c>
      <c r="V734" s="28">
        <f>H734*M734</f>
        <v/>
      </c>
      <c r="W734" s="28">
        <f>H734*N734</f>
        <v/>
      </c>
      <c r="X734" s="28">
        <f>H734*O734</f>
        <v/>
      </c>
      <c r="Y734" s="28">
        <f>H734*P734</f>
        <v/>
      </c>
      <c r="Z734" s="28">
        <f>H734*Q734</f>
        <v/>
      </c>
      <c r="AA734" s="28">
        <f>SUM(U734:Z734)</f>
        <v/>
      </c>
      <c r="AB734" s="5">
        <f>IF(COUNTIF('02b_DC_Accelerator_Mix'!$A$2:$A$977,G734)&gt;0,"matched","missing_mix")</f>
        <v/>
      </c>
    </row>
    <row r="735">
      <c r="A735" s="5">
        <f>'02a_DC_Capacity_Alloc'!A735</f>
        <v/>
      </c>
      <c r="B735" s="5">
        <f>'02a_DC_Capacity_Alloc'!B735</f>
        <v/>
      </c>
      <c r="C735" s="5">
        <f>'02a_DC_Capacity_Alloc'!C735</f>
        <v/>
      </c>
      <c r="D735" s="5">
        <f>'02a_DC_Capacity_Alloc'!D735</f>
        <v/>
      </c>
      <c r="E735" s="5">
        <f>'02a_DC_Capacity_Alloc'!E735</f>
        <v/>
      </c>
      <c r="F735" s="5">
        <f>'02a_DC_Capacity_Alloc'!F735</f>
        <v/>
      </c>
      <c r="G735" s="5">
        <f>B735&amp;"|"&amp;E735&amp;"|"&amp;D735</f>
        <v/>
      </c>
      <c r="H735" s="28">
        <f>'02a_DC_Capacity_Alloc'!H735*'02a_DC_Capacity_Alloc'!I735*'02a_DC_Capacity_Alloc'!J735</f>
        <v/>
      </c>
      <c r="I735" s="6">
        <f>IFERROR(INDEX('02b_DC_Accelerator_Mix'!$F$2:$F$977,MATCH(G735,'02b_DC_Accelerator_Mix'!$A$2:$A$977,0)),0)</f>
        <v/>
      </c>
      <c r="J735" s="6">
        <f>IFERROR(INDEX('02b_DC_Accelerator_Mix'!$G$2:$G$977,MATCH(G735,'02b_DC_Accelerator_Mix'!$A$2:$A$977,0)),0)</f>
        <v/>
      </c>
      <c r="K735" s="6">
        <f>IFERROR(INDEX('02b_DC_Accelerator_Mix'!$H$2:$H$977,MATCH(G735,'02b_DC_Accelerator_Mix'!$A$2:$A$977,0)),0)</f>
        <v/>
      </c>
      <c r="L735" s="6">
        <f>IFERROR(INDEX('02b_DC_Accelerator_Mix'!$I$2:$I$977,MATCH(G735,'02b_DC_Accelerator_Mix'!$A$2:$A$977,0)),0)</f>
        <v/>
      </c>
      <c r="M735" s="6">
        <f>IFERROR(INDEX('02b_DC_Accelerator_Mix'!$J$2:$J$977,MATCH(G735,'02b_DC_Accelerator_Mix'!$A$2:$A$977,0)),0)</f>
        <v/>
      </c>
      <c r="N735" s="6">
        <f>IFERROR(INDEX('02b_DC_Accelerator_Mix'!$K$2:$K$977,MATCH(G735,'02b_DC_Accelerator_Mix'!$A$2:$A$977,0)),0)</f>
        <v/>
      </c>
      <c r="O735" s="6">
        <f>IFERROR(INDEX('02b_DC_Accelerator_Mix'!$L$2:$L$977,MATCH(G735,'02b_DC_Accelerator_Mix'!$A$2:$A$977,0)),0)</f>
        <v/>
      </c>
      <c r="P735" s="6">
        <f>IFERROR(INDEX('02b_DC_Accelerator_Mix'!$M$2:$M$977,MATCH(G735,'02b_DC_Accelerator_Mix'!$A$2:$A$977,0)),0)</f>
        <v/>
      </c>
      <c r="Q735" s="6">
        <f>IFERROR(INDEX('02b_DC_Accelerator_Mix'!$N$2:$N$977,MATCH(G735,'02b_DC_Accelerator_Mix'!$A$2:$A$977,0)),0)</f>
        <v/>
      </c>
      <c r="R735" s="28">
        <f>H735*I735</f>
        <v/>
      </c>
      <c r="S735" s="28">
        <f>H735*J735</f>
        <v/>
      </c>
      <c r="T735" s="28">
        <f>H735*K735</f>
        <v/>
      </c>
      <c r="U735" s="28">
        <f>H735*L735</f>
        <v/>
      </c>
      <c r="V735" s="28">
        <f>H735*M735</f>
        <v/>
      </c>
      <c r="W735" s="28">
        <f>H735*N735</f>
        <v/>
      </c>
      <c r="X735" s="28">
        <f>H735*O735</f>
        <v/>
      </c>
      <c r="Y735" s="28">
        <f>H735*P735</f>
        <v/>
      </c>
      <c r="Z735" s="28">
        <f>H735*Q735</f>
        <v/>
      </c>
      <c r="AA735" s="28">
        <f>SUM(U735:Z735)</f>
        <v/>
      </c>
      <c r="AB735" s="5">
        <f>IF(COUNTIF('02b_DC_Accelerator_Mix'!$A$2:$A$977,G735)&gt;0,"matched","missing_mix")</f>
        <v/>
      </c>
    </row>
    <row r="736">
      <c r="A736" s="5">
        <f>'02a_DC_Capacity_Alloc'!A736</f>
        <v/>
      </c>
      <c r="B736" s="5">
        <f>'02a_DC_Capacity_Alloc'!B736</f>
        <v/>
      </c>
      <c r="C736" s="5">
        <f>'02a_DC_Capacity_Alloc'!C736</f>
        <v/>
      </c>
      <c r="D736" s="5">
        <f>'02a_DC_Capacity_Alloc'!D736</f>
        <v/>
      </c>
      <c r="E736" s="5">
        <f>'02a_DC_Capacity_Alloc'!E736</f>
        <v/>
      </c>
      <c r="F736" s="5">
        <f>'02a_DC_Capacity_Alloc'!F736</f>
        <v/>
      </c>
      <c r="G736" s="5">
        <f>B736&amp;"|"&amp;E736&amp;"|"&amp;D736</f>
        <v/>
      </c>
      <c r="H736" s="28">
        <f>'02a_DC_Capacity_Alloc'!H736*'02a_DC_Capacity_Alloc'!I736*'02a_DC_Capacity_Alloc'!J736</f>
        <v/>
      </c>
      <c r="I736" s="6">
        <f>IFERROR(INDEX('02b_DC_Accelerator_Mix'!$F$2:$F$977,MATCH(G736,'02b_DC_Accelerator_Mix'!$A$2:$A$977,0)),0)</f>
        <v/>
      </c>
      <c r="J736" s="6">
        <f>IFERROR(INDEX('02b_DC_Accelerator_Mix'!$G$2:$G$977,MATCH(G736,'02b_DC_Accelerator_Mix'!$A$2:$A$977,0)),0)</f>
        <v/>
      </c>
      <c r="K736" s="6">
        <f>IFERROR(INDEX('02b_DC_Accelerator_Mix'!$H$2:$H$977,MATCH(G736,'02b_DC_Accelerator_Mix'!$A$2:$A$977,0)),0)</f>
        <v/>
      </c>
      <c r="L736" s="6">
        <f>IFERROR(INDEX('02b_DC_Accelerator_Mix'!$I$2:$I$977,MATCH(G736,'02b_DC_Accelerator_Mix'!$A$2:$A$977,0)),0)</f>
        <v/>
      </c>
      <c r="M736" s="6">
        <f>IFERROR(INDEX('02b_DC_Accelerator_Mix'!$J$2:$J$977,MATCH(G736,'02b_DC_Accelerator_Mix'!$A$2:$A$977,0)),0)</f>
        <v/>
      </c>
      <c r="N736" s="6">
        <f>IFERROR(INDEX('02b_DC_Accelerator_Mix'!$K$2:$K$977,MATCH(G736,'02b_DC_Accelerator_Mix'!$A$2:$A$977,0)),0)</f>
        <v/>
      </c>
      <c r="O736" s="6">
        <f>IFERROR(INDEX('02b_DC_Accelerator_Mix'!$L$2:$L$977,MATCH(G736,'02b_DC_Accelerator_Mix'!$A$2:$A$977,0)),0)</f>
        <v/>
      </c>
      <c r="P736" s="6">
        <f>IFERROR(INDEX('02b_DC_Accelerator_Mix'!$M$2:$M$977,MATCH(G736,'02b_DC_Accelerator_Mix'!$A$2:$A$977,0)),0)</f>
        <v/>
      </c>
      <c r="Q736" s="6">
        <f>IFERROR(INDEX('02b_DC_Accelerator_Mix'!$N$2:$N$977,MATCH(G736,'02b_DC_Accelerator_Mix'!$A$2:$A$977,0)),0)</f>
        <v/>
      </c>
      <c r="R736" s="28">
        <f>H736*I736</f>
        <v/>
      </c>
      <c r="S736" s="28">
        <f>H736*J736</f>
        <v/>
      </c>
      <c r="T736" s="28">
        <f>H736*K736</f>
        <v/>
      </c>
      <c r="U736" s="28">
        <f>H736*L736</f>
        <v/>
      </c>
      <c r="V736" s="28">
        <f>H736*M736</f>
        <v/>
      </c>
      <c r="W736" s="28">
        <f>H736*N736</f>
        <v/>
      </c>
      <c r="X736" s="28">
        <f>H736*O736</f>
        <v/>
      </c>
      <c r="Y736" s="28">
        <f>H736*P736</f>
        <v/>
      </c>
      <c r="Z736" s="28">
        <f>H736*Q736</f>
        <v/>
      </c>
      <c r="AA736" s="28">
        <f>SUM(U736:Z736)</f>
        <v/>
      </c>
      <c r="AB736" s="5">
        <f>IF(COUNTIF('02b_DC_Accelerator_Mix'!$A$2:$A$977,G736)&gt;0,"matched","missing_mix")</f>
        <v/>
      </c>
    </row>
    <row r="737">
      <c r="A737" s="5">
        <f>'02a_DC_Capacity_Alloc'!A737</f>
        <v/>
      </c>
      <c r="B737" s="5">
        <f>'02a_DC_Capacity_Alloc'!B737</f>
        <v/>
      </c>
      <c r="C737" s="5">
        <f>'02a_DC_Capacity_Alloc'!C737</f>
        <v/>
      </c>
      <c r="D737" s="5">
        <f>'02a_DC_Capacity_Alloc'!D737</f>
        <v/>
      </c>
      <c r="E737" s="5">
        <f>'02a_DC_Capacity_Alloc'!E737</f>
        <v/>
      </c>
      <c r="F737" s="5">
        <f>'02a_DC_Capacity_Alloc'!F737</f>
        <v/>
      </c>
      <c r="G737" s="5">
        <f>B737&amp;"|"&amp;E737&amp;"|"&amp;D737</f>
        <v/>
      </c>
      <c r="H737" s="28">
        <f>'02a_DC_Capacity_Alloc'!H737*'02a_DC_Capacity_Alloc'!I737*'02a_DC_Capacity_Alloc'!J737</f>
        <v/>
      </c>
      <c r="I737" s="6">
        <f>IFERROR(INDEX('02b_DC_Accelerator_Mix'!$F$2:$F$977,MATCH(G737,'02b_DC_Accelerator_Mix'!$A$2:$A$977,0)),0)</f>
        <v/>
      </c>
      <c r="J737" s="6">
        <f>IFERROR(INDEX('02b_DC_Accelerator_Mix'!$G$2:$G$977,MATCH(G737,'02b_DC_Accelerator_Mix'!$A$2:$A$977,0)),0)</f>
        <v/>
      </c>
      <c r="K737" s="6">
        <f>IFERROR(INDEX('02b_DC_Accelerator_Mix'!$H$2:$H$977,MATCH(G737,'02b_DC_Accelerator_Mix'!$A$2:$A$977,0)),0)</f>
        <v/>
      </c>
      <c r="L737" s="6">
        <f>IFERROR(INDEX('02b_DC_Accelerator_Mix'!$I$2:$I$977,MATCH(G737,'02b_DC_Accelerator_Mix'!$A$2:$A$977,0)),0)</f>
        <v/>
      </c>
      <c r="M737" s="6">
        <f>IFERROR(INDEX('02b_DC_Accelerator_Mix'!$J$2:$J$977,MATCH(G737,'02b_DC_Accelerator_Mix'!$A$2:$A$977,0)),0)</f>
        <v/>
      </c>
      <c r="N737" s="6">
        <f>IFERROR(INDEX('02b_DC_Accelerator_Mix'!$K$2:$K$977,MATCH(G737,'02b_DC_Accelerator_Mix'!$A$2:$A$977,0)),0)</f>
        <v/>
      </c>
      <c r="O737" s="6">
        <f>IFERROR(INDEX('02b_DC_Accelerator_Mix'!$L$2:$L$977,MATCH(G737,'02b_DC_Accelerator_Mix'!$A$2:$A$977,0)),0)</f>
        <v/>
      </c>
      <c r="P737" s="6">
        <f>IFERROR(INDEX('02b_DC_Accelerator_Mix'!$M$2:$M$977,MATCH(G737,'02b_DC_Accelerator_Mix'!$A$2:$A$977,0)),0)</f>
        <v/>
      </c>
      <c r="Q737" s="6">
        <f>IFERROR(INDEX('02b_DC_Accelerator_Mix'!$N$2:$N$977,MATCH(G737,'02b_DC_Accelerator_Mix'!$A$2:$A$977,0)),0)</f>
        <v/>
      </c>
      <c r="R737" s="28">
        <f>H737*I737</f>
        <v/>
      </c>
      <c r="S737" s="28">
        <f>H737*J737</f>
        <v/>
      </c>
      <c r="T737" s="28">
        <f>H737*K737</f>
        <v/>
      </c>
      <c r="U737" s="28">
        <f>H737*L737</f>
        <v/>
      </c>
      <c r="V737" s="28">
        <f>H737*M737</f>
        <v/>
      </c>
      <c r="W737" s="28">
        <f>H737*N737</f>
        <v/>
      </c>
      <c r="X737" s="28">
        <f>H737*O737</f>
        <v/>
      </c>
      <c r="Y737" s="28">
        <f>H737*P737</f>
        <v/>
      </c>
      <c r="Z737" s="28">
        <f>H737*Q737</f>
        <v/>
      </c>
      <c r="AA737" s="28">
        <f>SUM(U737:Z737)</f>
        <v/>
      </c>
      <c r="AB737" s="5">
        <f>IF(COUNTIF('02b_DC_Accelerator_Mix'!$A$2:$A$977,G737)&gt;0,"matched","missing_mix")</f>
        <v/>
      </c>
    </row>
    <row r="738">
      <c r="A738" s="5">
        <f>'02a_DC_Capacity_Alloc'!A738</f>
        <v/>
      </c>
      <c r="B738" s="5">
        <f>'02a_DC_Capacity_Alloc'!B738</f>
        <v/>
      </c>
      <c r="C738" s="5">
        <f>'02a_DC_Capacity_Alloc'!C738</f>
        <v/>
      </c>
      <c r="D738" s="5">
        <f>'02a_DC_Capacity_Alloc'!D738</f>
        <v/>
      </c>
      <c r="E738" s="5">
        <f>'02a_DC_Capacity_Alloc'!E738</f>
        <v/>
      </c>
      <c r="F738" s="5">
        <f>'02a_DC_Capacity_Alloc'!F738</f>
        <v/>
      </c>
      <c r="G738" s="5">
        <f>B738&amp;"|"&amp;E738&amp;"|"&amp;D738</f>
        <v/>
      </c>
      <c r="H738" s="28">
        <f>'02a_DC_Capacity_Alloc'!H738*'02a_DC_Capacity_Alloc'!I738*'02a_DC_Capacity_Alloc'!J738</f>
        <v/>
      </c>
      <c r="I738" s="6">
        <f>IFERROR(INDEX('02b_DC_Accelerator_Mix'!$F$2:$F$977,MATCH(G738,'02b_DC_Accelerator_Mix'!$A$2:$A$977,0)),0)</f>
        <v/>
      </c>
      <c r="J738" s="6">
        <f>IFERROR(INDEX('02b_DC_Accelerator_Mix'!$G$2:$G$977,MATCH(G738,'02b_DC_Accelerator_Mix'!$A$2:$A$977,0)),0)</f>
        <v/>
      </c>
      <c r="K738" s="6">
        <f>IFERROR(INDEX('02b_DC_Accelerator_Mix'!$H$2:$H$977,MATCH(G738,'02b_DC_Accelerator_Mix'!$A$2:$A$977,0)),0)</f>
        <v/>
      </c>
      <c r="L738" s="6">
        <f>IFERROR(INDEX('02b_DC_Accelerator_Mix'!$I$2:$I$977,MATCH(G738,'02b_DC_Accelerator_Mix'!$A$2:$A$977,0)),0)</f>
        <v/>
      </c>
      <c r="M738" s="6">
        <f>IFERROR(INDEX('02b_DC_Accelerator_Mix'!$J$2:$J$977,MATCH(G738,'02b_DC_Accelerator_Mix'!$A$2:$A$977,0)),0)</f>
        <v/>
      </c>
      <c r="N738" s="6">
        <f>IFERROR(INDEX('02b_DC_Accelerator_Mix'!$K$2:$K$977,MATCH(G738,'02b_DC_Accelerator_Mix'!$A$2:$A$977,0)),0)</f>
        <v/>
      </c>
      <c r="O738" s="6">
        <f>IFERROR(INDEX('02b_DC_Accelerator_Mix'!$L$2:$L$977,MATCH(G738,'02b_DC_Accelerator_Mix'!$A$2:$A$977,0)),0)</f>
        <v/>
      </c>
      <c r="P738" s="6">
        <f>IFERROR(INDEX('02b_DC_Accelerator_Mix'!$M$2:$M$977,MATCH(G738,'02b_DC_Accelerator_Mix'!$A$2:$A$977,0)),0)</f>
        <v/>
      </c>
      <c r="Q738" s="6">
        <f>IFERROR(INDEX('02b_DC_Accelerator_Mix'!$N$2:$N$977,MATCH(G738,'02b_DC_Accelerator_Mix'!$A$2:$A$977,0)),0)</f>
        <v/>
      </c>
      <c r="R738" s="28">
        <f>H738*I738</f>
        <v/>
      </c>
      <c r="S738" s="28">
        <f>H738*J738</f>
        <v/>
      </c>
      <c r="T738" s="28">
        <f>H738*K738</f>
        <v/>
      </c>
      <c r="U738" s="28">
        <f>H738*L738</f>
        <v/>
      </c>
      <c r="V738" s="28">
        <f>H738*M738</f>
        <v/>
      </c>
      <c r="W738" s="28">
        <f>H738*N738</f>
        <v/>
      </c>
      <c r="X738" s="28">
        <f>H738*O738</f>
        <v/>
      </c>
      <c r="Y738" s="28">
        <f>H738*P738</f>
        <v/>
      </c>
      <c r="Z738" s="28">
        <f>H738*Q738</f>
        <v/>
      </c>
      <c r="AA738" s="28">
        <f>SUM(U738:Z738)</f>
        <v/>
      </c>
      <c r="AB738" s="5">
        <f>IF(COUNTIF('02b_DC_Accelerator_Mix'!$A$2:$A$977,G738)&gt;0,"matched","missing_mix")</f>
        <v/>
      </c>
    </row>
    <row r="739">
      <c r="A739" s="5">
        <f>'02a_DC_Capacity_Alloc'!A739</f>
        <v/>
      </c>
      <c r="B739" s="5">
        <f>'02a_DC_Capacity_Alloc'!B739</f>
        <v/>
      </c>
      <c r="C739" s="5">
        <f>'02a_DC_Capacity_Alloc'!C739</f>
        <v/>
      </c>
      <c r="D739" s="5">
        <f>'02a_DC_Capacity_Alloc'!D739</f>
        <v/>
      </c>
      <c r="E739" s="5">
        <f>'02a_DC_Capacity_Alloc'!E739</f>
        <v/>
      </c>
      <c r="F739" s="5">
        <f>'02a_DC_Capacity_Alloc'!F739</f>
        <v/>
      </c>
      <c r="G739" s="5">
        <f>B739&amp;"|"&amp;E739&amp;"|"&amp;D739</f>
        <v/>
      </c>
      <c r="H739" s="28">
        <f>'02a_DC_Capacity_Alloc'!H739*'02a_DC_Capacity_Alloc'!I739*'02a_DC_Capacity_Alloc'!J739</f>
        <v/>
      </c>
      <c r="I739" s="6">
        <f>IFERROR(INDEX('02b_DC_Accelerator_Mix'!$F$2:$F$977,MATCH(G739,'02b_DC_Accelerator_Mix'!$A$2:$A$977,0)),0)</f>
        <v/>
      </c>
      <c r="J739" s="6">
        <f>IFERROR(INDEX('02b_DC_Accelerator_Mix'!$G$2:$G$977,MATCH(G739,'02b_DC_Accelerator_Mix'!$A$2:$A$977,0)),0)</f>
        <v/>
      </c>
      <c r="K739" s="6">
        <f>IFERROR(INDEX('02b_DC_Accelerator_Mix'!$H$2:$H$977,MATCH(G739,'02b_DC_Accelerator_Mix'!$A$2:$A$977,0)),0)</f>
        <v/>
      </c>
      <c r="L739" s="6">
        <f>IFERROR(INDEX('02b_DC_Accelerator_Mix'!$I$2:$I$977,MATCH(G739,'02b_DC_Accelerator_Mix'!$A$2:$A$977,0)),0)</f>
        <v/>
      </c>
      <c r="M739" s="6">
        <f>IFERROR(INDEX('02b_DC_Accelerator_Mix'!$J$2:$J$977,MATCH(G739,'02b_DC_Accelerator_Mix'!$A$2:$A$977,0)),0)</f>
        <v/>
      </c>
      <c r="N739" s="6">
        <f>IFERROR(INDEX('02b_DC_Accelerator_Mix'!$K$2:$K$977,MATCH(G739,'02b_DC_Accelerator_Mix'!$A$2:$A$977,0)),0)</f>
        <v/>
      </c>
      <c r="O739" s="6">
        <f>IFERROR(INDEX('02b_DC_Accelerator_Mix'!$L$2:$L$977,MATCH(G739,'02b_DC_Accelerator_Mix'!$A$2:$A$977,0)),0)</f>
        <v/>
      </c>
      <c r="P739" s="6">
        <f>IFERROR(INDEX('02b_DC_Accelerator_Mix'!$M$2:$M$977,MATCH(G739,'02b_DC_Accelerator_Mix'!$A$2:$A$977,0)),0)</f>
        <v/>
      </c>
      <c r="Q739" s="6">
        <f>IFERROR(INDEX('02b_DC_Accelerator_Mix'!$N$2:$N$977,MATCH(G739,'02b_DC_Accelerator_Mix'!$A$2:$A$977,0)),0)</f>
        <v/>
      </c>
      <c r="R739" s="28">
        <f>H739*I739</f>
        <v/>
      </c>
      <c r="S739" s="28">
        <f>H739*J739</f>
        <v/>
      </c>
      <c r="T739" s="28">
        <f>H739*K739</f>
        <v/>
      </c>
      <c r="U739" s="28">
        <f>H739*L739</f>
        <v/>
      </c>
      <c r="V739" s="28">
        <f>H739*M739</f>
        <v/>
      </c>
      <c r="W739" s="28">
        <f>H739*N739</f>
        <v/>
      </c>
      <c r="X739" s="28">
        <f>H739*O739</f>
        <v/>
      </c>
      <c r="Y739" s="28">
        <f>H739*P739</f>
        <v/>
      </c>
      <c r="Z739" s="28">
        <f>H739*Q739</f>
        <v/>
      </c>
      <c r="AA739" s="28">
        <f>SUM(U739:Z739)</f>
        <v/>
      </c>
      <c r="AB739" s="5">
        <f>IF(COUNTIF('02b_DC_Accelerator_Mix'!$A$2:$A$977,G739)&gt;0,"matched","missing_mix")</f>
        <v/>
      </c>
    </row>
    <row r="740">
      <c r="A740" s="5">
        <f>'02a_DC_Capacity_Alloc'!A740</f>
        <v/>
      </c>
      <c r="B740" s="5">
        <f>'02a_DC_Capacity_Alloc'!B740</f>
        <v/>
      </c>
      <c r="C740" s="5">
        <f>'02a_DC_Capacity_Alloc'!C740</f>
        <v/>
      </c>
      <c r="D740" s="5">
        <f>'02a_DC_Capacity_Alloc'!D740</f>
        <v/>
      </c>
      <c r="E740" s="5">
        <f>'02a_DC_Capacity_Alloc'!E740</f>
        <v/>
      </c>
      <c r="F740" s="5">
        <f>'02a_DC_Capacity_Alloc'!F740</f>
        <v/>
      </c>
      <c r="G740" s="5">
        <f>B740&amp;"|"&amp;E740&amp;"|"&amp;D740</f>
        <v/>
      </c>
      <c r="H740" s="28">
        <f>'02a_DC_Capacity_Alloc'!H740*'02a_DC_Capacity_Alloc'!I740*'02a_DC_Capacity_Alloc'!J740</f>
        <v/>
      </c>
      <c r="I740" s="6">
        <f>IFERROR(INDEX('02b_DC_Accelerator_Mix'!$F$2:$F$977,MATCH(G740,'02b_DC_Accelerator_Mix'!$A$2:$A$977,0)),0)</f>
        <v/>
      </c>
      <c r="J740" s="6">
        <f>IFERROR(INDEX('02b_DC_Accelerator_Mix'!$G$2:$G$977,MATCH(G740,'02b_DC_Accelerator_Mix'!$A$2:$A$977,0)),0)</f>
        <v/>
      </c>
      <c r="K740" s="6">
        <f>IFERROR(INDEX('02b_DC_Accelerator_Mix'!$H$2:$H$977,MATCH(G740,'02b_DC_Accelerator_Mix'!$A$2:$A$977,0)),0)</f>
        <v/>
      </c>
      <c r="L740" s="6">
        <f>IFERROR(INDEX('02b_DC_Accelerator_Mix'!$I$2:$I$977,MATCH(G740,'02b_DC_Accelerator_Mix'!$A$2:$A$977,0)),0)</f>
        <v/>
      </c>
      <c r="M740" s="6">
        <f>IFERROR(INDEX('02b_DC_Accelerator_Mix'!$J$2:$J$977,MATCH(G740,'02b_DC_Accelerator_Mix'!$A$2:$A$977,0)),0)</f>
        <v/>
      </c>
      <c r="N740" s="6">
        <f>IFERROR(INDEX('02b_DC_Accelerator_Mix'!$K$2:$K$977,MATCH(G740,'02b_DC_Accelerator_Mix'!$A$2:$A$977,0)),0)</f>
        <v/>
      </c>
      <c r="O740" s="6">
        <f>IFERROR(INDEX('02b_DC_Accelerator_Mix'!$L$2:$L$977,MATCH(G740,'02b_DC_Accelerator_Mix'!$A$2:$A$977,0)),0)</f>
        <v/>
      </c>
      <c r="P740" s="6">
        <f>IFERROR(INDEX('02b_DC_Accelerator_Mix'!$M$2:$M$977,MATCH(G740,'02b_DC_Accelerator_Mix'!$A$2:$A$977,0)),0)</f>
        <v/>
      </c>
      <c r="Q740" s="6">
        <f>IFERROR(INDEX('02b_DC_Accelerator_Mix'!$N$2:$N$977,MATCH(G740,'02b_DC_Accelerator_Mix'!$A$2:$A$977,0)),0)</f>
        <v/>
      </c>
      <c r="R740" s="28">
        <f>H740*I740</f>
        <v/>
      </c>
      <c r="S740" s="28">
        <f>H740*J740</f>
        <v/>
      </c>
      <c r="T740" s="28">
        <f>H740*K740</f>
        <v/>
      </c>
      <c r="U740" s="28">
        <f>H740*L740</f>
        <v/>
      </c>
      <c r="V740" s="28">
        <f>H740*M740</f>
        <v/>
      </c>
      <c r="W740" s="28">
        <f>H740*N740</f>
        <v/>
      </c>
      <c r="X740" s="28">
        <f>H740*O740</f>
        <v/>
      </c>
      <c r="Y740" s="28">
        <f>H740*P740</f>
        <v/>
      </c>
      <c r="Z740" s="28">
        <f>H740*Q740</f>
        <v/>
      </c>
      <c r="AA740" s="28">
        <f>SUM(U740:Z740)</f>
        <v/>
      </c>
      <c r="AB740" s="5">
        <f>IF(COUNTIF('02b_DC_Accelerator_Mix'!$A$2:$A$977,G740)&gt;0,"matched","missing_mix")</f>
        <v/>
      </c>
    </row>
    <row r="741">
      <c r="A741" s="5">
        <f>'02a_DC_Capacity_Alloc'!A741</f>
        <v/>
      </c>
      <c r="B741" s="5">
        <f>'02a_DC_Capacity_Alloc'!B741</f>
        <v/>
      </c>
      <c r="C741" s="5">
        <f>'02a_DC_Capacity_Alloc'!C741</f>
        <v/>
      </c>
      <c r="D741" s="5">
        <f>'02a_DC_Capacity_Alloc'!D741</f>
        <v/>
      </c>
      <c r="E741" s="5">
        <f>'02a_DC_Capacity_Alloc'!E741</f>
        <v/>
      </c>
      <c r="F741" s="5">
        <f>'02a_DC_Capacity_Alloc'!F741</f>
        <v/>
      </c>
      <c r="G741" s="5">
        <f>B741&amp;"|"&amp;E741&amp;"|"&amp;D741</f>
        <v/>
      </c>
      <c r="H741" s="28">
        <f>'02a_DC_Capacity_Alloc'!H741*'02a_DC_Capacity_Alloc'!I741*'02a_DC_Capacity_Alloc'!J741</f>
        <v/>
      </c>
      <c r="I741" s="6">
        <f>IFERROR(INDEX('02b_DC_Accelerator_Mix'!$F$2:$F$977,MATCH(G741,'02b_DC_Accelerator_Mix'!$A$2:$A$977,0)),0)</f>
        <v/>
      </c>
      <c r="J741" s="6">
        <f>IFERROR(INDEX('02b_DC_Accelerator_Mix'!$G$2:$G$977,MATCH(G741,'02b_DC_Accelerator_Mix'!$A$2:$A$977,0)),0)</f>
        <v/>
      </c>
      <c r="K741" s="6">
        <f>IFERROR(INDEX('02b_DC_Accelerator_Mix'!$H$2:$H$977,MATCH(G741,'02b_DC_Accelerator_Mix'!$A$2:$A$977,0)),0)</f>
        <v/>
      </c>
      <c r="L741" s="6">
        <f>IFERROR(INDEX('02b_DC_Accelerator_Mix'!$I$2:$I$977,MATCH(G741,'02b_DC_Accelerator_Mix'!$A$2:$A$977,0)),0)</f>
        <v/>
      </c>
      <c r="M741" s="6">
        <f>IFERROR(INDEX('02b_DC_Accelerator_Mix'!$J$2:$J$977,MATCH(G741,'02b_DC_Accelerator_Mix'!$A$2:$A$977,0)),0)</f>
        <v/>
      </c>
      <c r="N741" s="6">
        <f>IFERROR(INDEX('02b_DC_Accelerator_Mix'!$K$2:$K$977,MATCH(G741,'02b_DC_Accelerator_Mix'!$A$2:$A$977,0)),0)</f>
        <v/>
      </c>
      <c r="O741" s="6">
        <f>IFERROR(INDEX('02b_DC_Accelerator_Mix'!$L$2:$L$977,MATCH(G741,'02b_DC_Accelerator_Mix'!$A$2:$A$977,0)),0)</f>
        <v/>
      </c>
      <c r="P741" s="6">
        <f>IFERROR(INDEX('02b_DC_Accelerator_Mix'!$M$2:$M$977,MATCH(G741,'02b_DC_Accelerator_Mix'!$A$2:$A$977,0)),0)</f>
        <v/>
      </c>
      <c r="Q741" s="6">
        <f>IFERROR(INDEX('02b_DC_Accelerator_Mix'!$N$2:$N$977,MATCH(G741,'02b_DC_Accelerator_Mix'!$A$2:$A$977,0)),0)</f>
        <v/>
      </c>
      <c r="R741" s="28">
        <f>H741*I741</f>
        <v/>
      </c>
      <c r="S741" s="28">
        <f>H741*J741</f>
        <v/>
      </c>
      <c r="T741" s="28">
        <f>H741*K741</f>
        <v/>
      </c>
      <c r="U741" s="28">
        <f>H741*L741</f>
        <v/>
      </c>
      <c r="V741" s="28">
        <f>H741*M741</f>
        <v/>
      </c>
      <c r="W741" s="28">
        <f>H741*N741</f>
        <v/>
      </c>
      <c r="X741" s="28">
        <f>H741*O741</f>
        <v/>
      </c>
      <c r="Y741" s="28">
        <f>H741*P741</f>
        <v/>
      </c>
      <c r="Z741" s="28">
        <f>H741*Q741</f>
        <v/>
      </c>
      <c r="AA741" s="28">
        <f>SUM(U741:Z741)</f>
        <v/>
      </c>
      <c r="AB741" s="5">
        <f>IF(COUNTIF('02b_DC_Accelerator_Mix'!$A$2:$A$977,G741)&gt;0,"matched","missing_mix")</f>
        <v/>
      </c>
    </row>
    <row r="742">
      <c r="A742" s="5">
        <f>'02a_DC_Capacity_Alloc'!A742</f>
        <v/>
      </c>
      <c r="B742" s="5">
        <f>'02a_DC_Capacity_Alloc'!B742</f>
        <v/>
      </c>
      <c r="C742" s="5">
        <f>'02a_DC_Capacity_Alloc'!C742</f>
        <v/>
      </c>
      <c r="D742" s="5">
        <f>'02a_DC_Capacity_Alloc'!D742</f>
        <v/>
      </c>
      <c r="E742" s="5">
        <f>'02a_DC_Capacity_Alloc'!E742</f>
        <v/>
      </c>
      <c r="F742" s="5">
        <f>'02a_DC_Capacity_Alloc'!F742</f>
        <v/>
      </c>
      <c r="G742" s="5">
        <f>B742&amp;"|"&amp;E742&amp;"|"&amp;D742</f>
        <v/>
      </c>
      <c r="H742" s="28">
        <f>'02a_DC_Capacity_Alloc'!H742*'02a_DC_Capacity_Alloc'!I742*'02a_DC_Capacity_Alloc'!J742</f>
        <v/>
      </c>
      <c r="I742" s="6">
        <f>IFERROR(INDEX('02b_DC_Accelerator_Mix'!$F$2:$F$977,MATCH(G742,'02b_DC_Accelerator_Mix'!$A$2:$A$977,0)),0)</f>
        <v/>
      </c>
      <c r="J742" s="6">
        <f>IFERROR(INDEX('02b_DC_Accelerator_Mix'!$G$2:$G$977,MATCH(G742,'02b_DC_Accelerator_Mix'!$A$2:$A$977,0)),0)</f>
        <v/>
      </c>
      <c r="K742" s="6">
        <f>IFERROR(INDEX('02b_DC_Accelerator_Mix'!$H$2:$H$977,MATCH(G742,'02b_DC_Accelerator_Mix'!$A$2:$A$977,0)),0)</f>
        <v/>
      </c>
      <c r="L742" s="6">
        <f>IFERROR(INDEX('02b_DC_Accelerator_Mix'!$I$2:$I$977,MATCH(G742,'02b_DC_Accelerator_Mix'!$A$2:$A$977,0)),0)</f>
        <v/>
      </c>
      <c r="M742" s="6">
        <f>IFERROR(INDEX('02b_DC_Accelerator_Mix'!$J$2:$J$977,MATCH(G742,'02b_DC_Accelerator_Mix'!$A$2:$A$977,0)),0)</f>
        <v/>
      </c>
      <c r="N742" s="6">
        <f>IFERROR(INDEX('02b_DC_Accelerator_Mix'!$K$2:$K$977,MATCH(G742,'02b_DC_Accelerator_Mix'!$A$2:$A$977,0)),0)</f>
        <v/>
      </c>
      <c r="O742" s="6">
        <f>IFERROR(INDEX('02b_DC_Accelerator_Mix'!$L$2:$L$977,MATCH(G742,'02b_DC_Accelerator_Mix'!$A$2:$A$977,0)),0)</f>
        <v/>
      </c>
      <c r="P742" s="6">
        <f>IFERROR(INDEX('02b_DC_Accelerator_Mix'!$M$2:$M$977,MATCH(G742,'02b_DC_Accelerator_Mix'!$A$2:$A$977,0)),0)</f>
        <v/>
      </c>
      <c r="Q742" s="6">
        <f>IFERROR(INDEX('02b_DC_Accelerator_Mix'!$N$2:$N$977,MATCH(G742,'02b_DC_Accelerator_Mix'!$A$2:$A$977,0)),0)</f>
        <v/>
      </c>
      <c r="R742" s="28">
        <f>H742*I742</f>
        <v/>
      </c>
      <c r="S742" s="28">
        <f>H742*J742</f>
        <v/>
      </c>
      <c r="T742" s="28">
        <f>H742*K742</f>
        <v/>
      </c>
      <c r="U742" s="28">
        <f>H742*L742</f>
        <v/>
      </c>
      <c r="V742" s="28">
        <f>H742*M742</f>
        <v/>
      </c>
      <c r="W742" s="28">
        <f>H742*N742</f>
        <v/>
      </c>
      <c r="X742" s="28">
        <f>H742*O742</f>
        <v/>
      </c>
      <c r="Y742" s="28">
        <f>H742*P742</f>
        <v/>
      </c>
      <c r="Z742" s="28">
        <f>H742*Q742</f>
        <v/>
      </c>
      <c r="AA742" s="28">
        <f>SUM(U742:Z742)</f>
        <v/>
      </c>
      <c r="AB742" s="5">
        <f>IF(COUNTIF('02b_DC_Accelerator_Mix'!$A$2:$A$977,G742)&gt;0,"matched","missing_mix")</f>
        <v/>
      </c>
    </row>
    <row r="743">
      <c r="A743" s="5">
        <f>'02a_DC_Capacity_Alloc'!A743</f>
        <v/>
      </c>
      <c r="B743" s="5">
        <f>'02a_DC_Capacity_Alloc'!B743</f>
        <v/>
      </c>
      <c r="C743" s="5">
        <f>'02a_DC_Capacity_Alloc'!C743</f>
        <v/>
      </c>
      <c r="D743" s="5">
        <f>'02a_DC_Capacity_Alloc'!D743</f>
        <v/>
      </c>
      <c r="E743" s="5">
        <f>'02a_DC_Capacity_Alloc'!E743</f>
        <v/>
      </c>
      <c r="F743" s="5">
        <f>'02a_DC_Capacity_Alloc'!F743</f>
        <v/>
      </c>
      <c r="G743" s="5">
        <f>B743&amp;"|"&amp;E743&amp;"|"&amp;D743</f>
        <v/>
      </c>
      <c r="H743" s="28">
        <f>'02a_DC_Capacity_Alloc'!H743*'02a_DC_Capacity_Alloc'!I743*'02a_DC_Capacity_Alloc'!J743</f>
        <v/>
      </c>
      <c r="I743" s="6">
        <f>IFERROR(INDEX('02b_DC_Accelerator_Mix'!$F$2:$F$977,MATCH(G743,'02b_DC_Accelerator_Mix'!$A$2:$A$977,0)),0)</f>
        <v/>
      </c>
      <c r="J743" s="6">
        <f>IFERROR(INDEX('02b_DC_Accelerator_Mix'!$G$2:$G$977,MATCH(G743,'02b_DC_Accelerator_Mix'!$A$2:$A$977,0)),0)</f>
        <v/>
      </c>
      <c r="K743" s="6">
        <f>IFERROR(INDEX('02b_DC_Accelerator_Mix'!$H$2:$H$977,MATCH(G743,'02b_DC_Accelerator_Mix'!$A$2:$A$977,0)),0)</f>
        <v/>
      </c>
      <c r="L743" s="6">
        <f>IFERROR(INDEX('02b_DC_Accelerator_Mix'!$I$2:$I$977,MATCH(G743,'02b_DC_Accelerator_Mix'!$A$2:$A$977,0)),0)</f>
        <v/>
      </c>
      <c r="M743" s="6">
        <f>IFERROR(INDEX('02b_DC_Accelerator_Mix'!$J$2:$J$977,MATCH(G743,'02b_DC_Accelerator_Mix'!$A$2:$A$977,0)),0)</f>
        <v/>
      </c>
      <c r="N743" s="6">
        <f>IFERROR(INDEX('02b_DC_Accelerator_Mix'!$K$2:$K$977,MATCH(G743,'02b_DC_Accelerator_Mix'!$A$2:$A$977,0)),0)</f>
        <v/>
      </c>
      <c r="O743" s="6">
        <f>IFERROR(INDEX('02b_DC_Accelerator_Mix'!$L$2:$L$977,MATCH(G743,'02b_DC_Accelerator_Mix'!$A$2:$A$977,0)),0)</f>
        <v/>
      </c>
      <c r="P743" s="6">
        <f>IFERROR(INDEX('02b_DC_Accelerator_Mix'!$M$2:$M$977,MATCH(G743,'02b_DC_Accelerator_Mix'!$A$2:$A$977,0)),0)</f>
        <v/>
      </c>
      <c r="Q743" s="6">
        <f>IFERROR(INDEX('02b_DC_Accelerator_Mix'!$N$2:$N$977,MATCH(G743,'02b_DC_Accelerator_Mix'!$A$2:$A$977,0)),0)</f>
        <v/>
      </c>
      <c r="R743" s="28">
        <f>H743*I743</f>
        <v/>
      </c>
      <c r="S743" s="28">
        <f>H743*J743</f>
        <v/>
      </c>
      <c r="T743" s="28">
        <f>H743*K743</f>
        <v/>
      </c>
      <c r="U743" s="28">
        <f>H743*L743</f>
        <v/>
      </c>
      <c r="V743" s="28">
        <f>H743*M743</f>
        <v/>
      </c>
      <c r="W743" s="28">
        <f>H743*N743</f>
        <v/>
      </c>
      <c r="X743" s="28">
        <f>H743*O743</f>
        <v/>
      </c>
      <c r="Y743" s="28">
        <f>H743*P743</f>
        <v/>
      </c>
      <c r="Z743" s="28">
        <f>H743*Q743</f>
        <v/>
      </c>
      <c r="AA743" s="28">
        <f>SUM(U743:Z743)</f>
        <v/>
      </c>
      <c r="AB743" s="5">
        <f>IF(COUNTIF('02b_DC_Accelerator_Mix'!$A$2:$A$977,G743)&gt;0,"matched","missing_mix")</f>
        <v/>
      </c>
    </row>
    <row r="744">
      <c r="A744" s="5">
        <f>'02a_DC_Capacity_Alloc'!A744</f>
        <v/>
      </c>
      <c r="B744" s="5">
        <f>'02a_DC_Capacity_Alloc'!B744</f>
        <v/>
      </c>
      <c r="C744" s="5">
        <f>'02a_DC_Capacity_Alloc'!C744</f>
        <v/>
      </c>
      <c r="D744" s="5">
        <f>'02a_DC_Capacity_Alloc'!D744</f>
        <v/>
      </c>
      <c r="E744" s="5">
        <f>'02a_DC_Capacity_Alloc'!E744</f>
        <v/>
      </c>
      <c r="F744" s="5">
        <f>'02a_DC_Capacity_Alloc'!F744</f>
        <v/>
      </c>
      <c r="G744" s="5">
        <f>B744&amp;"|"&amp;E744&amp;"|"&amp;D744</f>
        <v/>
      </c>
      <c r="H744" s="28">
        <f>'02a_DC_Capacity_Alloc'!H744*'02a_DC_Capacity_Alloc'!I744*'02a_DC_Capacity_Alloc'!J744</f>
        <v/>
      </c>
      <c r="I744" s="6">
        <f>IFERROR(INDEX('02b_DC_Accelerator_Mix'!$F$2:$F$977,MATCH(G744,'02b_DC_Accelerator_Mix'!$A$2:$A$977,0)),0)</f>
        <v/>
      </c>
      <c r="J744" s="6">
        <f>IFERROR(INDEX('02b_DC_Accelerator_Mix'!$G$2:$G$977,MATCH(G744,'02b_DC_Accelerator_Mix'!$A$2:$A$977,0)),0)</f>
        <v/>
      </c>
      <c r="K744" s="6">
        <f>IFERROR(INDEX('02b_DC_Accelerator_Mix'!$H$2:$H$977,MATCH(G744,'02b_DC_Accelerator_Mix'!$A$2:$A$977,0)),0)</f>
        <v/>
      </c>
      <c r="L744" s="6">
        <f>IFERROR(INDEX('02b_DC_Accelerator_Mix'!$I$2:$I$977,MATCH(G744,'02b_DC_Accelerator_Mix'!$A$2:$A$977,0)),0)</f>
        <v/>
      </c>
      <c r="M744" s="6">
        <f>IFERROR(INDEX('02b_DC_Accelerator_Mix'!$J$2:$J$977,MATCH(G744,'02b_DC_Accelerator_Mix'!$A$2:$A$977,0)),0)</f>
        <v/>
      </c>
      <c r="N744" s="6">
        <f>IFERROR(INDEX('02b_DC_Accelerator_Mix'!$K$2:$K$977,MATCH(G744,'02b_DC_Accelerator_Mix'!$A$2:$A$977,0)),0)</f>
        <v/>
      </c>
      <c r="O744" s="6">
        <f>IFERROR(INDEX('02b_DC_Accelerator_Mix'!$L$2:$L$977,MATCH(G744,'02b_DC_Accelerator_Mix'!$A$2:$A$977,0)),0)</f>
        <v/>
      </c>
      <c r="P744" s="6">
        <f>IFERROR(INDEX('02b_DC_Accelerator_Mix'!$M$2:$M$977,MATCH(G744,'02b_DC_Accelerator_Mix'!$A$2:$A$977,0)),0)</f>
        <v/>
      </c>
      <c r="Q744" s="6">
        <f>IFERROR(INDEX('02b_DC_Accelerator_Mix'!$N$2:$N$977,MATCH(G744,'02b_DC_Accelerator_Mix'!$A$2:$A$977,0)),0)</f>
        <v/>
      </c>
      <c r="R744" s="28">
        <f>H744*I744</f>
        <v/>
      </c>
      <c r="S744" s="28">
        <f>H744*J744</f>
        <v/>
      </c>
      <c r="T744" s="28">
        <f>H744*K744</f>
        <v/>
      </c>
      <c r="U744" s="28">
        <f>H744*L744</f>
        <v/>
      </c>
      <c r="V744" s="28">
        <f>H744*M744</f>
        <v/>
      </c>
      <c r="W744" s="28">
        <f>H744*N744</f>
        <v/>
      </c>
      <c r="X744" s="28">
        <f>H744*O744</f>
        <v/>
      </c>
      <c r="Y744" s="28">
        <f>H744*P744</f>
        <v/>
      </c>
      <c r="Z744" s="28">
        <f>H744*Q744</f>
        <v/>
      </c>
      <c r="AA744" s="28">
        <f>SUM(U744:Z744)</f>
        <v/>
      </c>
      <c r="AB744" s="5">
        <f>IF(COUNTIF('02b_DC_Accelerator_Mix'!$A$2:$A$977,G744)&gt;0,"matched","missing_mix")</f>
        <v/>
      </c>
    </row>
    <row r="745">
      <c r="A745" s="5">
        <f>'02a_DC_Capacity_Alloc'!A745</f>
        <v/>
      </c>
      <c r="B745" s="5">
        <f>'02a_DC_Capacity_Alloc'!B745</f>
        <v/>
      </c>
      <c r="C745" s="5">
        <f>'02a_DC_Capacity_Alloc'!C745</f>
        <v/>
      </c>
      <c r="D745" s="5">
        <f>'02a_DC_Capacity_Alloc'!D745</f>
        <v/>
      </c>
      <c r="E745" s="5">
        <f>'02a_DC_Capacity_Alloc'!E745</f>
        <v/>
      </c>
      <c r="F745" s="5">
        <f>'02a_DC_Capacity_Alloc'!F745</f>
        <v/>
      </c>
      <c r="G745" s="5">
        <f>B745&amp;"|"&amp;E745&amp;"|"&amp;D745</f>
        <v/>
      </c>
      <c r="H745" s="28">
        <f>'02a_DC_Capacity_Alloc'!H745*'02a_DC_Capacity_Alloc'!I745*'02a_DC_Capacity_Alloc'!J745</f>
        <v/>
      </c>
      <c r="I745" s="6">
        <f>IFERROR(INDEX('02b_DC_Accelerator_Mix'!$F$2:$F$977,MATCH(G745,'02b_DC_Accelerator_Mix'!$A$2:$A$977,0)),0)</f>
        <v/>
      </c>
      <c r="J745" s="6">
        <f>IFERROR(INDEX('02b_DC_Accelerator_Mix'!$G$2:$G$977,MATCH(G745,'02b_DC_Accelerator_Mix'!$A$2:$A$977,0)),0)</f>
        <v/>
      </c>
      <c r="K745" s="6">
        <f>IFERROR(INDEX('02b_DC_Accelerator_Mix'!$H$2:$H$977,MATCH(G745,'02b_DC_Accelerator_Mix'!$A$2:$A$977,0)),0)</f>
        <v/>
      </c>
      <c r="L745" s="6">
        <f>IFERROR(INDEX('02b_DC_Accelerator_Mix'!$I$2:$I$977,MATCH(G745,'02b_DC_Accelerator_Mix'!$A$2:$A$977,0)),0)</f>
        <v/>
      </c>
      <c r="M745" s="6">
        <f>IFERROR(INDEX('02b_DC_Accelerator_Mix'!$J$2:$J$977,MATCH(G745,'02b_DC_Accelerator_Mix'!$A$2:$A$977,0)),0)</f>
        <v/>
      </c>
      <c r="N745" s="6">
        <f>IFERROR(INDEX('02b_DC_Accelerator_Mix'!$K$2:$K$977,MATCH(G745,'02b_DC_Accelerator_Mix'!$A$2:$A$977,0)),0)</f>
        <v/>
      </c>
      <c r="O745" s="6">
        <f>IFERROR(INDEX('02b_DC_Accelerator_Mix'!$L$2:$L$977,MATCH(G745,'02b_DC_Accelerator_Mix'!$A$2:$A$977,0)),0)</f>
        <v/>
      </c>
      <c r="P745" s="6">
        <f>IFERROR(INDEX('02b_DC_Accelerator_Mix'!$M$2:$M$977,MATCH(G745,'02b_DC_Accelerator_Mix'!$A$2:$A$977,0)),0)</f>
        <v/>
      </c>
      <c r="Q745" s="6">
        <f>IFERROR(INDEX('02b_DC_Accelerator_Mix'!$N$2:$N$977,MATCH(G745,'02b_DC_Accelerator_Mix'!$A$2:$A$977,0)),0)</f>
        <v/>
      </c>
      <c r="R745" s="28">
        <f>H745*I745</f>
        <v/>
      </c>
      <c r="S745" s="28">
        <f>H745*J745</f>
        <v/>
      </c>
      <c r="T745" s="28">
        <f>H745*K745</f>
        <v/>
      </c>
      <c r="U745" s="28">
        <f>H745*L745</f>
        <v/>
      </c>
      <c r="V745" s="28">
        <f>H745*M745</f>
        <v/>
      </c>
      <c r="W745" s="28">
        <f>H745*N745</f>
        <v/>
      </c>
      <c r="X745" s="28">
        <f>H745*O745</f>
        <v/>
      </c>
      <c r="Y745" s="28">
        <f>H745*P745</f>
        <v/>
      </c>
      <c r="Z745" s="28">
        <f>H745*Q745</f>
        <v/>
      </c>
      <c r="AA745" s="28">
        <f>SUM(U745:Z745)</f>
        <v/>
      </c>
      <c r="AB745" s="5">
        <f>IF(COUNTIF('02b_DC_Accelerator_Mix'!$A$2:$A$977,G745)&gt;0,"matched","missing_mix")</f>
        <v/>
      </c>
    </row>
    <row r="746">
      <c r="A746" s="5">
        <f>'02a_DC_Capacity_Alloc'!A746</f>
        <v/>
      </c>
      <c r="B746" s="5">
        <f>'02a_DC_Capacity_Alloc'!B746</f>
        <v/>
      </c>
      <c r="C746" s="5">
        <f>'02a_DC_Capacity_Alloc'!C746</f>
        <v/>
      </c>
      <c r="D746" s="5">
        <f>'02a_DC_Capacity_Alloc'!D746</f>
        <v/>
      </c>
      <c r="E746" s="5">
        <f>'02a_DC_Capacity_Alloc'!E746</f>
        <v/>
      </c>
      <c r="F746" s="5">
        <f>'02a_DC_Capacity_Alloc'!F746</f>
        <v/>
      </c>
      <c r="G746" s="5">
        <f>B746&amp;"|"&amp;E746&amp;"|"&amp;D746</f>
        <v/>
      </c>
      <c r="H746" s="28">
        <f>'02a_DC_Capacity_Alloc'!H746*'02a_DC_Capacity_Alloc'!I746*'02a_DC_Capacity_Alloc'!J746</f>
        <v/>
      </c>
      <c r="I746" s="6">
        <f>IFERROR(INDEX('02b_DC_Accelerator_Mix'!$F$2:$F$977,MATCH(G746,'02b_DC_Accelerator_Mix'!$A$2:$A$977,0)),0)</f>
        <v/>
      </c>
      <c r="J746" s="6">
        <f>IFERROR(INDEX('02b_DC_Accelerator_Mix'!$G$2:$G$977,MATCH(G746,'02b_DC_Accelerator_Mix'!$A$2:$A$977,0)),0)</f>
        <v/>
      </c>
      <c r="K746" s="6">
        <f>IFERROR(INDEX('02b_DC_Accelerator_Mix'!$H$2:$H$977,MATCH(G746,'02b_DC_Accelerator_Mix'!$A$2:$A$977,0)),0)</f>
        <v/>
      </c>
      <c r="L746" s="6">
        <f>IFERROR(INDEX('02b_DC_Accelerator_Mix'!$I$2:$I$977,MATCH(G746,'02b_DC_Accelerator_Mix'!$A$2:$A$977,0)),0)</f>
        <v/>
      </c>
      <c r="M746" s="6">
        <f>IFERROR(INDEX('02b_DC_Accelerator_Mix'!$J$2:$J$977,MATCH(G746,'02b_DC_Accelerator_Mix'!$A$2:$A$977,0)),0)</f>
        <v/>
      </c>
      <c r="N746" s="6">
        <f>IFERROR(INDEX('02b_DC_Accelerator_Mix'!$K$2:$K$977,MATCH(G746,'02b_DC_Accelerator_Mix'!$A$2:$A$977,0)),0)</f>
        <v/>
      </c>
      <c r="O746" s="6">
        <f>IFERROR(INDEX('02b_DC_Accelerator_Mix'!$L$2:$L$977,MATCH(G746,'02b_DC_Accelerator_Mix'!$A$2:$A$977,0)),0)</f>
        <v/>
      </c>
      <c r="P746" s="6">
        <f>IFERROR(INDEX('02b_DC_Accelerator_Mix'!$M$2:$M$977,MATCH(G746,'02b_DC_Accelerator_Mix'!$A$2:$A$977,0)),0)</f>
        <v/>
      </c>
      <c r="Q746" s="6">
        <f>IFERROR(INDEX('02b_DC_Accelerator_Mix'!$N$2:$N$977,MATCH(G746,'02b_DC_Accelerator_Mix'!$A$2:$A$977,0)),0)</f>
        <v/>
      </c>
      <c r="R746" s="28">
        <f>H746*I746</f>
        <v/>
      </c>
      <c r="S746" s="28">
        <f>H746*J746</f>
        <v/>
      </c>
      <c r="T746" s="28">
        <f>H746*K746</f>
        <v/>
      </c>
      <c r="U746" s="28">
        <f>H746*L746</f>
        <v/>
      </c>
      <c r="V746" s="28">
        <f>H746*M746</f>
        <v/>
      </c>
      <c r="W746" s="28">
        <f>H746*N746</f>
        <v/>
      </c>
      <c r="X746" s="28">
        <f>H746*O746</f>
        <v/>
      </c>
      <c r="Y746" s="28">
        <f>H746*P746</f>
        <v/>
      </c>
      <c r="Z746" s="28">
        <f>H746*Q746</f>
        <v/>
      </c>
      <c r="AA746" s="28">
        <f>SUM(U746:Z746)</f>
        <v/>
      </c>
      <c r="AB746" s="5">
        <f>IF(COUNTIF('02b_DC_Accelerator_Mix'!$A$2:$A$977,G746)&gt;0,"matched","missing_mix")</f>
        <v/>
      </c>
    </row>
    <row r="747">
      <c r="A747" s="5">
        <f>'02a_DC_Capacity_Alloc'!A747</f>
        <v/>
      </c>
      <c r="B747" s="5">
        <f>'02a_DC_Capacity_Alloc'!B747</f>
        <v/>
      </c>
      <c r="C747" s="5">
        <f>'02a_DC_Capacity_Alloc'!C747</f>
        <v/>
      </c>
      <c r="D747" s="5">
        <f>'02a_DC_Capacity_Alloc'!D747</f>
        <v/>
      </c>
      <c r="E747" s="5">
        <f>'02a_DC_Capacity_Alloc'!E747</f>
        <v/>
      </c>
      <c r="F747" s="5">
        <f>'02a_DC_Capacity_Alloc'!F747</f>
        <v/>
      </c>
      <c r="G747" s="5">
        <f>B747&amp;"|"&amp;E747&amp;"|"&amp;D747</f>
        <v/>
      </c>
      <c r="H747" s="28">
        <f>'02a_DC_Capacity_Alloc'!H747*'02a_DC_Capacity_Alloc'!I747*'02a_DC_Capacity_Alloc'!J747</f>
        <v/>
      </c>
      <c r="I747" s="6">
        <f>IFERROR(INDEX('02b_DC_Accelerator_Mix'!$F$2:$F$977,MATCH(G747,'02b_DC_Accelerator_Mix'!$A$2:$A$977,0)),0)</f>
        <v/>
      </c>
      <c r="J747" s="6">
        <f>IFERROR(INDEX('02b_DC_Accelerator_Mix'!$G$2:$G$977,MATCH(G747,'02b_DC_Accelerator_Mix'!$A$2:$A$977,0)),0)</f>
        <v/>
      </c>
      <c r="K747" s="6">
        <f>IFERROR(INDEX('02b_DC_Accelerator_Mix'!$H$2:$H$977,MATCH(G747,'02b_DC_Accelerator_Mix'!$A$2:$A$977,0)),0)</f>
        <v/>
      </c>
      <c r="L747" s="6">
        <f>IFERROR(INDEX('02b_DC_Accelerator_Mix'!$I$2:$I$977,MATCH(G747,'02b_DC_Accelerator_Mix'!$A$2:$A$977,0)),0)</f>
        <v/>
      </c>
      <c r="M747" s="6">
        <f>IFERROR(INDEX('02b_DC_Accelerator_Mix'!$J$2:$J$977,MATCH(G747,'02b_DC_Accelerator_Mix'!$A$2:$A$977,0)),0)</f>
        <v/>
      </c>
      <c r="N747" s="6">
        <f>IFERROR(INDEX('02b_DC_Accelerator_Mix'!$K$2:$K$977,MATCH(G747,'02b_DC_Accelerator_Mix'!$A$2:$A$977,0)),0)</f>
        <v/>
      </c>
      <c r="O747" s="6">
        <f>IFERROR(INDEX('02b_DC_Accelerator_Mix'!$L$2:$L$977,MATCH(G747,'02b_DC_Accelerator_Mix'!$A$2:$A$977,0)),0)</f>
        <v/>
      </c>
      <c r="P747" s="6">
        <f>IFERROR(INDEX('02b_DC_Accelerator_Mix'!$M$2:$M$977,MATCH(G747,'02b_DC_Accelerator_Mix'!$A$2:$A$977,0)),0)</f>
        <v/>
      </c>
      <c r="Q747" s="6">
        <f>IFERROR(INDEX('02b_DC_Accelerator_Mix'!$N$2:$N$977,MATCH(G747,'02b_DC_Accelerator_Mix'!$A$2:$A$977,0)),0)</f>
        <v/>
      </c>
      <c r="R747" s="28">
        <f>H747*I747</f>
        <v/>
      </c>
      <c r="S747" s="28">
        <f>H747*J747</f>
        <v/>
      </c>
      <c r="T747" s="28">
        <f>H747*K747</f>
        <v/>
      </c>
      <c r="U747" s="28">
        <f>H747*L747</f>
        <v/>
      </c>
      <c r="V747" s="28">
        <f>H747*M747</f>
        <v/>
      </c>
      <c r="W747" s="28">
        <f>H747*N747</f>
        <v/>
      </c>
      <c r="X747" s="28">
        <f>H747*O747</f>
        <v/>
      </c>
      <c r="Y747" s="28">
        <f>H747*P747</f>
        <v/>
      </c>
      <c r="Z747" s="28">
        <f>H747*Q747</f>
        <v/>
      </c>
      <c r="AA747" s="28">
        <f>SUM(U747:Z747)</f>
        <v/>
      </c>
      <c r="AB747" s="5">
        <f>IF(COUNTIF('02b_DC_Accelerator_Mix'!$A$2:$A$977,G747)&gt;0,"matched","missing_mix")</f>
        <v/>
      </c>
    </row>
    <row r="748">
      <c r="A748" s="5">
        <f>'02a_DC_Capacity_Alloc'!A748</f>
        <v/>
      </c>
      <c r="B748" s="5">
        <f>'02a_DC_Capacity_Alloc'!B748</f>
        <v/>
      </c>
      <c r="C748" s="5">
        <f>'02a_DC_Capacity_Alloc'!C748</f>
        <v/>
      </c>
      <c r="D748" s="5">
        <f>'02a_DC_Capacity_Alloc'!D748</f>
        <v/>
      </c>
      <c r="E748" s="5">
        <f>'02a_DC_Capacity_Alloc'!E748</f>
        <v/>
      </c>
      <c r="F748" s="5">
        <f>'02a_DC_Capacity_Alloc'!F748</f>
        <v/>
      </c>
      <c r="G748" s="5">
        <f>B748&amp;"|"&amp;E748&amp;"|"&amp;D748</f>
        <v/>
      </c>
      <c r="H748" s="28">
        <f>'02a_DC_Capacity_Alloc'!H748*'02a_DC_Capacity_Alloc'!I748*'02a_DC_Capacity_Alloc'!J748</f>
        <v/>
      </c>
      <c r="I748" s="6">
        <f>IFERROR(INDEX('02b_DC_Accelerator_Mix'!$F$2:$F$977,MATCH(G748,'02b_DC_Accelerator_Mix'!$A$2:$A$977,0)),0)</f>
        <v/>
      </c>
      <c r="J748" s="6">
        <f>IFERROR(INDEX('02b_DC_Accelerator_Mix'!$G$2:$G$977,MATCH(G748,'02b_DC_Accelerator_Mix'!$A$2:$A$977,0)),0)</f>
        <v/>
      </c>
      <c r="K748" s="6">
        <f>IFERROR(INDEX('02b_DC_Accelerator_Mix'!$H$2:$H$977,MATCH(G748,'02b_DC_Accelerator_Mix'!$A$2:$A$977,0)),0)</f>
        <v/>
      </c>
      <c r="L748" s="6">
        <f>IFERROR(INDEX('02b_DC_Accelerator_Mix'!$I$2:$I$977,MATCH(G748,'02b_DC_Accelerator_Mix'!$A$2:$A$977,0)),0)</f>
        <v/>
      </c>
      <c r="M748" s="6">
        <f>IFERROR(INDEX('02b_DC_Accelerator_Mix'!$J$2:$J$977,MATCH(G748,'02b_DC_Accelerator_Mix'!$A$2:$A$977,0)),0)</f>
        <v/>
      </c>
      <c r="N748" s="6">
        <f>IFERROR(INDEX('02b_DC_Accelerator_Mix'!$K$2:$K$977,MATCH(G748,'02b_DC_Accelerator_Mix'!$A$2:$A$977,0)),0)</f>
        <v/>
      </c>
      <c r="O748" s="6">
        <f>IFERROR(INDEX('02b_DC_Accelerator_Mix'!$L$2:$L$977,MATCH(G748,'02b_DC_Accelerator_Mix'!$A$2:$A$977,0)),0)</f>
        <v/>
      </c>
      <c r="P748" s="6">
        <f>IFERROR(INDEX('02b_DC_Accelerator_Mix'!$M$2:$M$977,MATCH(G748,'02b_DC_Accelerator_Mix'!$A$2:$A$977,0)),0)</f>
        <v/>
      </c>
      <c r="Q748" s="6">
        <f>IFERROR(INDEX('02b_DC_Accelerator_Mix'!$N$2:$N$977,MATCH(G748,'02b_DC_Accelerator_Mix'!$A$2:$A$977,0)),0)</f>
        <v/>
      </c>
      <c r="R748" s="28">
        <f>H748*I748</f>
        <v/>
      </c>
      <c r="S748" s="28">
        <f>H748*J748</f>
        <v/>
      </c>
      <c r="T748" s="28">
        <f>H748*K748</f>
        <v/>
      </c>
      <c r="U748" s="28">
        <f>H748*L748</f>
        <v/>
      </c>
      <c r="V748" s="28">
        <f>H748*M748</f>
        <v/>
      </c>
      <c r="W748" s="28">
        <f>H748*N748</f>
        <v/>
      </c>
      <c r="X748" s="28">
        <f>H748*O748</f>
        <v/>
      </c>
      <c r="Y748" s="28">
        <f>H748*P748</f>
        <v/>
      </c>
      <c r="Z748" s="28">
        <f>H748*Q748</f>
        <v/>
      </c>
      <c r="AA748" s="28">
        <f>SUM(U748:Z748)</f>
        <v/>
      </c>
      <c r="AB748" s="5">
        <f>IF(COUNTIF('02b_DC_Accelerator_Mix'!$A$2:$A$977,G748)&gt;0,"matched","missing_mix")</f>
        <v/>
      </c>
    </row>
    <row r="749">
      <c r="A749" s="5">
        <f>'02a_DC_Capacity_Alloc'!A749</f>
        <v/>
      </c>
      <c r="B749" s="5">
        <f>'02a_DC_Capacity_Alloc'!B749</f>
        <v/>
      </c>
      <c r="C749" s="5">
        <f>'02a_DC_Capacity_Alloc'!C749</f>
        <v/>
      </c>
      <c r="D749" s="5">
        <f>'02a_DC_Capacity_Alloc'!D749</f>
        <v/>
      </c>
      <c r="E749" s="5">
        <f>'02a_DC_Capacity_Alloc'!E749</f>
        <v/>
      </c>
      <c r="F749" s="5">
        <f>'02a_DC_Capacity_Alloc'!F749</f>
        <v/>
      </c>
      <c r="G749" s="5">
        <f>B749&amp;"|"&amp;E749&amp;"|"&amp;D749</f>
        <v/>
      </c>
      <c r="H749" s="28">
        <f>'02a_DC_Capacity_Alloc'!H749*'02a_DC_Capacity_Alloc'!I749*'02a_DC_Capacity_Alloc'!J749</f>
        <v/>
      </c>
      <c r="I749" s="6">
        <f>IFERROR(INDEX('02b_DC_Accelerator_Mix'!$F$2:$F$977,MATCH(G749,'02b_DC_Accelerator_Mix'!$A$2:$A$977,0)),0)</f>
        <v/>
      </c>
      <c r="J749" s="6">
        <f>IFERROR(INDEX('02b_DC_Accelerator_Mix'!$G$2:$G$977,MATCH(G749,'02b_DC_Accelerator_Mix'!$A$2:$A$977,0)),0)</f>
        <v/>
      </c>
      <c r="K749" s="6">
        <f>IFERROR(INDEX('02b_DC_Accelerator_Mix'!$H$2:$H$977,MATCH(G749,'02b_DC_Accelerator_Mix'!$A$2:$A$977,0)),0)</f>
        <v/>
      </c>
      <c r="L749" s="6">
        <f>IFERROR(INDEX('02b_DC_Accelerator_Mix'!$I$2:$I$977,MATCH(G749,'02b_DC_Accelerator_Mix'!$A$2:$A$977,0)),0)</f>
        <v/>
      </c>
      <c r="M749" s="6">
        <f>IFERROR(INDEX('02b_DC_Accelerator_Mix'!$J$2:$J$977,MATCH(G749,'02b_DC_Accelerator_Mix'!$A$2:$A$977,0)),0)</f>
        <v/>
      </c>
      <c r="N749" s="6">
        <f>IFERROR(INDEX('02b_DC_Accelerator_Mix'!$K$2:$K$977,MATCH(G749,'02b_DC_Accelerator_Mix'!$A$2:$A$977,0)),0)</f>
        <v/>
      </c>
      <c r="O749" s="6">
        <f>IFERROR(INDEX('02b_DC_Accelerator_Mix'!$L$2:$L$977,MATCH(G749,'02b_DC_Accelerator_Mix'!$A$2:$A$977,0)),0)</f>
        <v/>
      </c>
      <c r="P749" s="6">
        <f>IFERROR(INDEX('02b_DC_Accelerator_Mix'!$M$2:$M$977,MATCH(G749,'02b_DC_Accelerator_Mix'!$A$2:$A$977,0)),0)</f>
        <v/>
      </c>
      <c r="Q749" s="6">
        <f>IFERROR(INDEX('02b_DC_Accelerator_Mix'!$N$2:$N$977,MATCH(G749,'02b_DC_Accelerator_Mix'!$A$2:$A$977,0)),0)</f>
        <v/>
      </c>
      <c r="R749" s="28">
        <f>H749*I749</f>
        <v/>
      </c>
      <c r="S749" s="28">
        <f>H749*J749</f>
        <v/>
      </c>
      <c r="T749" s="28">
        <f>H749*K749</f>
        <v/>
      </c>
      <c r="U749" s="28">
        <f>H749*L749</f>
        <v/>
      </c>
      <c r="V749" s="28">
        <f>H749*M749</f>
        <v/>
      </c>
      <c r="W749" s="28">
        <f>H749*N749</f>
        <v/>
      </c>
      <c r="X749" s="28">
        <f>H749*O749</f>
        <v/>
      </c>
      <c r="Y749" s="28">
        <f>H749*P749</f>
        <v/>
      </c>
      <c r="Z749" s="28">
        <f>H749*Q749</f>
        <v/>
      </c>
      <c r="AA749" s="28">
        <f>SUM(U749:Z749)</f>
        <v/>
      </c>
      <c r="AB749" s="5">
        <f>IF(COUNTIF('02b_DC_Accelerator_Mix'!$A$2:$A$977,G749)&gt;0,"matched","missing_mix")</f>
        <v/>
      </c>
    </row>
    <row r="750">
      <c r="A750" s="5">
        <f>'02a_DC_Capacity_Alloc'!A750</f>
        <v/>
      </c>
      <c r="B750" s="5">
        <f>'02a_DC_Capacity_Alloc'!B750</f>
        <v/>
      </c>
      <c r="C750" s="5">
        <f>'02a_DC_Capacity_Alloc'!C750</f>
        <v/>
      </c>
      <c r="D750" s="5">
        <f>'02a_DC_Capacity_Alloc'!D750</f>
        <v/>
      </c>
      <c r="E750" s="5">
        <f>'02a_DC_Capacity_Alloc'!E750</f>
        <v/>
      </c>
      <c r="F750" s="5">
        <f>'02a_DC_Capacity_Alloc'!F750</f>
        <v/>
      </c>
      <c r="G750" s="5">
        <f>B750&amp;"|"&amp;E750&amp;"|"&amp;D750</f>
        <v/>
      </c>
      <c r="H750" s="28">
        <f>'02a_DC_Capacity_Alloc'!H750*'02a_DC_Capacity_Alloc'!I750*'02a_DC_Capacity_Alloc'!J750</f>
        <v/>
      </c>
      <c r="I750" s="6">
        <f>IFERROR(INDEX('02b_DC_Accelerator_Mix'!$F$2:$F$977,MATCH(G750,'02b_DC_Accelerator_Mix'!$A$2:$A$977,0)),0)</f>
        <v/>
      </c>
      <c r="J750" s="6">
        <f>IFERROR(INDEX('02b_DC_Accelerator_Mix'!$G$2:$G$977,MATCH(G750,'02b_DC_Accelerator_Mix'!$A$2:$A$977,0)),0)</f>
        <v/>
      </c>
      <c r="K750" s="6">
        <f>IFERROR(INDEX('02b_DC_Accelerator_Mix'!$H$2:$H$977,MATCH(G750,'02b_DC_Accelerator_Mix'!$A$2:$A$977,0)),0)</f>
        <v/>
      </c>
      <c r="L750" s="6">
        <f>IFERROR(INDEX('02b_DC_Accelerator_Mix'!$I$2:$I$977,MATCH(G750,'02b_DC_Accelerator_Mix'!$A$2:$A$977,0)),0)</f>
        <v/>
      </c>
      <c r="M750" s="6">
        <f>IFERROR(INDEX('02b_DC_Accelerator_Mix'!$J$2:$J$977,MATCH(G750,'02b_DC_Accelerator_Mix'!$A$2:$A$977,0)),0)</f>
        <v/>
      </c>
      <c r="N750" s="6">
        <f>IFERROR(INDEX('02b_DC_Accelerator_Mix'!$K$2:$K$977,MATCH(G750,'02b_DC_Accelerator_Mix'!$A$2:$A$977,0)),0)</f>
        <v/>
      </c>
      <c r="O750" s="6">
        <f>IFERROR(INDEX('02b_DC_Accelerator_Mix'!$L$2:$L$977,MATCH(G750,'02b_DC_Accelerator_Mix'!$A$2:$A$977,0)),0)</f>
        <v/>
      </c>
      <c r="P750" s="6">
        <f>IFERROR(INDEX('02b_DC_Accelerator_Mix'!$M$2:$M$977,MATCH(G750,'02b_DC_Accelerator_Mix'!$A$2:$A$977,0)),0)</f>
        <v/>
      </c>
      <c r="Q750" s="6">
        <f>IFERROR(INDEX('02b_DC_Accelerator_Mix'!$N$2:$N$977,MATCH(G750,'02b_DC_Accelerator_Mix'!$A$2:$A$977,0)),0)</f>
        <v/>
      </c>
      <c r="R750" s="28">
        <f>H750*I750</f>
        <v/>
      </c>
      <c r="S750" s="28">
        <f>H750*J750</f>
        <v/>
      </c>
      <c r="T750" s="28">
        <f>H750*K750</f>
        <v/>
      </c>
      <c r="U750" s="28">
        <f>H750*L750</f>
        <v/>
      </c>
      <c r="V750" s="28">
        <f>H750*M750</f>
        <v/>
      </c>
      <c r="W750" s="28">
        <f>H750*N750</f>
        <v/>
      </c>
      <c r="X750" s="28">
        <f>H750*O750</f>
        <v/>
      </c>
      <c r="Y750" s="28">
        <f>H750*P750</f>
        <v/>
      </c>
      <c r="Z750" s="28">
        <f>H750*Q750</f>
        <v/>
      </c>
      <c r="AA750" s="28">
        <f>SUM(U750:Z750)</f>
        <v/>
      </c>
      <c r="AB750" s="5">
        <f>IF(COUNTIF('02b_DC_Accelerator_Mix'!$A$2:$A$977,G750)&gt;0,"matched","missing_mix")</f>
        <v/>
      </c>
    </row>
    <row r="751">
      <c r="A751" s="5">
        <f>'02a_DC_Capacity_Alloc'!A751</f>
        <v/>
      </c>
      <c r="B751" s="5">
        <f>'02a_DC_Capacity_Alloc'!B751</f>
        <v/>
      </c>
      <c r="C751" s="5">
        <f>'02a_DC_Capacity_Alloc'!C751</f>
        <v/>
      </c>
      <c r="D751" s="5">
        <f>'02a_DC_Capacity_Alloc'!D751</f>
        <v/>
      </c>
      <c r="E751" s="5">
        <f>'02a_DC_Capacity_Alloc'!E751</f>
        <v/>
      </c>
      <c r="F751" s="5">
        <f>'02a_DC_Capacity_Alloc'!F751</f>
        <v/>
      </c>
      <c r="G751" s="5">
        <f>B751&amp;"|"&amp;E751&amp;"|"&amp;D751</f>
        <v/>
      </c>
      <c r="H751" s="28">
        <f>'02a_DC_Capacity_Alloc'!H751*'02a_DC_Capacity_Alloc'!I751*'02a_DC_Capacity_Alloc'!J751</f>
        <v/>
      </c>
      <c r="I751" s="6">
        <f>IFERROR(INDEX('02b_DC_Accelerator_Mix'!$F$2:$F$977,MATCH(G751,'02b_DC_Accelerator_Mix'!$A$2:$A$977,0)),0)</f>
        <v/>
      </c>
      <c r="J751" s="6">
        <f>IFERROR(INDEX('02b_DC_Accelerator_Mix'!$G$2:$G$977,MATCH(G751,'02b_DC_Accelerator_Mix'!$A$2:$A$977,0)),0)</f>
        <v/>
      </c>
      <c r="K751" s="6">
        <f>IFERROR(INDEX('02b_DC_Accelerator_Mix'!$H$2:$H$977,MATCH(G751,'02b_DC_Accelerator_Mix'!$A$2:$A$977,0)),0)</f>
        <v/>
      </c>
      <c r="L751" s="6">
        <f>IFERROR(INDEX('02b_DC_Accelerator_Mix'!$I$2:$I$977,MATCH(G751,'02b_DC_Accelerator_Mix'!$A$2:$A$977,0)),0)</f>
        <v/>
      </c>
      <c r="M751" s="6">
        <f>IFERROR(INDEX('02b_DC_Accelerator_Mix'!$J$2:$J$977,MATCH(G751,'02b_DC_Accelerator_Mix'!$A$2:$A$977,0)),0)</f>
        <v/>
      </c>
      <c r="N751" s="6">
        <f>IFERROR(INDEX('02b_DC_Accelerator_Mix'!$K$2:$K$977,MATCH(G751,'02b_DC_Accelerator_Mix'!$A$2:$A$977,0)),0)</f>
        <v/>
      </c>
      <c r="O751" s="6">
        <f>IFERROR(INDEX('02b_DC_Accelerator_Mix'!$L$2:$L$977,MATCH(G751,'02b_DC_Accelerator_Mix'!$A$2:$A$977,0)),0)</f>
        <v/>
      </c>
      <c r="P751" s="6">
        <f>IFERROR(INDEX('02b_DC_Accelerator_Mix'!$M$2:$M$977,MATCH(G751,'02b_DC_Accelerator_Mix'!$A$2:$A$977,0)),0)</f>
        <v/>
      </c>
      <c r="Q751" s="6">
        <f>IFERROR(INDEX('02b_DC_Accelerator_Mix'!$N$2:$N$977,MATCH(G751,'02b_DC_Accelerator_Mix'!$A$2:$A$977,0)),0)</f>
        <v/>
      </c>
      <c r="R751" s="28">
        <f>H751*I751</f>
        <v/>
      </c>
      <c r="S751" s="28">
        <f>H751*J751</f>
        <v/>
      </c>
      <c r="T751" s="28">
        <f>H751*K751</f>
        <v/>
      </c>
      <c r="U751" s="28">
        <f>H751*L751</f>
        <v/>
      </c>
      <c r="V751" s="28">
        <f>H751*M751</f>
        <v/>
      </c>
      <c r="W751" s="28">
        <f>H751*N751</f>
        <v/>
      </c>
      <c r="X751" s="28">
        <f>H751*O751</f>
        <v/>
      </c>
      <c r="Y751" s="28">
        <f>H751*P751</f>
        <v/>
      </c>
      <c r="Z751" s="28">
        <f>H751*Q751</f>
        <v/>
      </c>
      <c r="AA751" s="28">
        <f>SUM(U751:Z751)</f>
        <v/>
      </c>
      <c r="AB751" s="5">
        <f>IF(COUNTIF('02b_DC_Accelerator_Mix'!$A$2:$A$977,G751)&gt;0,"matched","missing_mix")</f>
        <v/>
      </c>
    </row>
    <row r="752">
      <c r="A752" s="5">
        <f>'02a_DC_Capacity_Alloc'!A752</f>
        <v/>
      </c>
      <c r="B752" s="5">
        <f>'02a_DC_Capacity_Alloc'!B752</f>
        <v/>
      </c>
      <c r="C752" s="5">
        <f>'02a_DC_Capacity_Alloc'!C752</f>
        <v/>
      </c>
      <c r="D752" s="5">
        <f>'02a_DC_Capacity_Alloc'!D752</f>
        <v/>
      </c>
      <c r="E752" s="5">
        <f>'02a_DC_Capacity_Alloc'!E752</f>
        <v/>
      </c>
      <c r="F752" s="5">
        <f>'02a_DC_Capacity_Alloc'!F752</f>
        <v/>
      </c>
      <c r="G752" s="5">
        <f>B752&amp;"|"&amp;E752&amp;"|"&amp;D752</f>
        <v/>
      </c>
      <c r="H752" s="28">
        <f>'02a_DC_Capacity_Alloc'!H752*'02a_DC_Capacity_Alloc'!I752*'02a_DC_Capacity_Alloc'!J752</f>
        <v/>
      </c>
      <c r="I752" s="6">
        <f>IFERROR(INDEX('02b_DC_Accelerator_Mix'!$F$2:$F$977,MATCH(G752,'02b_DC_Accelerator_Mix'!$A$2:$A$977,0)),0)</f>
        <v/>
      </c>
      <c r="J752" s="6">
        <f>IFERROR(INDEX('02b_DC_Accelerator_Mix'!$G$2:$G$977,MATCH(G752,'02b_DC_Accelerator_Mix'!$A$2:$A$977,0)),0)</f>
        <v/>
      </c>
      <c r="K752" s="6">
        <f>IFERROR(INDEX('02b_DC_Accelerator_Mix'!$H$2:$H$977,MATCH(G752,'02b_DC_Accelerator_Mix'!$A$2:$A$977,0)),0)</f>
        <v/>
      </c>
      <c r="L752" s="6">
        <f>IFERROR(INDEX('02b_DC_Accelerator_Mix'!$I$2:$I$977,MATCH(G752,'02b_DC_Accelerator_Mix'!$A$2:$A$977,0)),0)</f>
        <v/>
      </c>
      <c r="M752" s="6">
        <f>IFERROR(INDEX('02b_DC_Accelerator_Mix'!$J$2:$J$977,MATCH(G752,'02b_DC_Accelerator_Mix'!$A$2:$A$977,0)),0)</f>
        <v/>
      </c>
      <c r="N752" s="6">
        <f>IFERROR(INDEX('02b_DC_Accelerator_Mix'!$K$2:$K$977,MATCH(G752,'02b_DC_Accelerator_Mix'!$A$2:$A$977,0)),0)</f>
        <v/>
      </c>
      <c r="O752" s="6">
        <f>IFERROR(INDEX('02b_DC_Accelerator_Mix'!$L$2:$L$977,MATCH(G752,'02b_DC_Accelerator_Mix'!$A$2:$A$977,0)),0)</f>
        <v/>
      </c>
      <c r="P752" s="6">
        <f>IFERROR(INDEX('02b_DC_Accelerator_Mix'!$M$2:$M$977,MATCH(G752,'02b_DC_Accelerator_Mix'!$A$2:$A$977,0)),0)</f>
        <v/>
      </c>
      <c r="Q752" s="6">
        <f>IFERROR(INDEX('02b_DC_Accelerator_Mix'!$N$2:$N$977,MATCH(G752,'02b_DC_Accelerator_Mix'!$A$2:$A$977,0)),0)</f>
        <v/>
      </c>
      <c r="R752" s="28">
        <f>H752*I752</f>
        <v/>
      </c>
      <c r="S752" s="28">
        <f>H752*J752</f>
        <v/>
      </c>
      <c r="T752" s="28">
        <f>H752*K752</f>
        <v/>
      </c>
      <c r="U752" s="28">
        <f>H752*L752</f>
        <v/>
      </c>
      <c r="V752" s="28">
        <f>H752*M752</f>
        <v/>
      </c>
      <c r="W752" s="28">
        <f>H752*N752</f>
        <v/>
      </c>
      <c r="X752" s="28">
        <f>H752*O752</f>
        <v/>
      </c>
      <c r="Y752" s="28">
        <f>H752*P752</f>
        <v/>
      </c>
      <c r="Z752" s="28">
        <f>H752*Q752</f>
        <v/>
      </c>
      <c r="AA752" s="28">
        <f>SUM(U752:Z752)</f>
        <v/>
      </c>
      <c r="AB752" s="5">
        <f>IF(COUNTIF('02b_DC_Accelerator_Mix'!$A$2:$A$977,G752)&gt;0,"matched","missing_mix")</f>
        <v/>
      </c>
    </row>
    <row r="753">
      <c r="A753" s="5">
        <f>'02a_DC_Capacity_Alloc'!A753</f>
        <v/>
      </c>
      <c r="B753" s="5">
        <f>'02a_DC_Capacity_Alloc'!B753</f>
        <v/>
      </c>
      <c r="C753" s="5">
        <f>'02a_DC_Capacity_Alloc'!C753</f>
        <v/>
      </c>
      <c r="D753" s="5">
        <f>'02a_DC_Capacity_Alloc'!D753</f>
        <v/>
      </c>
      <c r="E753" s="5">
        <f>'02a_DC_Capacity_Alloc'!E753</f>
        <v/>
      </c>
      <c r="F753" s="5">
        <f>'02a_DC_Capacity_Alloc'!F753</f>
        <v/>
      </c>
      <c r="G753" s="5">
        <f>B753&amp;"|"&amp;E753&amp;"|"&amp;D753</f>
        <v/>
      </c>
      <c r="H753" s="28">
        <f>'02a_DC_Capacity_Alloc'!H753*'02a_DC_Capacity_Alloc'!I753*'02a_DC_Capacity_Alloc'!J753</f>
        <v/>
      </c>
      <c r="I753" s="6">
        <f>IFERROR(INDEX('02b_DC_Accelerator_Mix'!$F$2:$F$977,MATCH(G753,'02b_DC_Accelerator_Mix'!$A$2:$A$977,0)),0)</f>
        <v/>
      </c>
      <c r="J753" s="6">
        <f>IFERROR(INDEX('02b_DC_Accelerator_Mix'!$G$2:$G$977,MATCH(G753,'02b_DC_Accelerator_Mix'!$A$2:$A$977,0)),0)</f>
        <v/>
      </c>
      <c r="K753" s="6">
        <f>IFERROR(INDEX('02b_DC_Accelerator_Mix'!$H$2:$H$977,MATCH(G753,'02b_DC_Accelerator_Mix'!$A$2:$A$977,0)),0)</f>
        <v/>
      </c>
      <c r="L753" s="6">
        <f>IFERROR(INDEX('02b_DC_Accelerator_Mix'!$I$2:$I$977,MATCH(G753,'02b_DC_Accelerator_Mix'!$A$2:$A$977,0)),0)</f>
        <v/>
      </c>
      <c r="M753" s="6">
        <f>IFERROR(INDEX('02b_DC_Accelerator_Mix'!$J$2:$J$977,MATCH(G753,'02b_DC_Accelerator_Mix'!$A$2:$A$977,0)),0)</f>
        <v/>
      </c>
      <c r="N753" s="6">
        <f>IFERROR(INDEX('02b_DC_Accelerator_Mix'!$K$2:$K$977,MATCH(G753,'02b_DC_Accelerator_Mix'!$A$2:$A$977,0)),0)</f>
        <v/>
      </c>
      <c r="O753" s="6">
        <f>IFERROR(INDEX('02b_DC_Accelerator_Mix'!$L$2:$L$977,MATCH(G753,'02b_DC_Accelerator_Mix'!$A$2:$A$977,0)),0)</f>
        <v/>
      </c>
      <c r="P753" s="6">
        <f>IFERROR(INDEX('02b_DC_Accelerator_Mix'!$M$2:$M$977,MATCH(G753,'02b_DC_Accelerator_Mix'!$A$2:$A$977,0)),0)</f>
        <v/>
      </c>
      <c r="Q753" s="6">
        <f>IFERROR(INDEX('02b_DC_Accelerator_Mix'!$N$2:$N$977,MATCH(G753,'02b_DC_Accelerator_Mix'!$A$2:$A$977,0)),0)</f>
        <v/>
      </c>
      <c r="R753" s="28">
        <f>H753*I753</f>
        <v/>
      </c>
      <c r="S753" s="28">
        <f>H753*J753</f>
        <v/>
      </c>
      <c r="T753" s="28">
        <f>H753*K753</f>
        <v/>
      </c>
      <c r="U753" s="28">
        <f>H753*L753</f>
        <v/>
      </c>
      <c r="V753" s="28">
        <f>H753*M753</f>
        <v/>
      </c>
      <c r="W753" s="28">
        <f>H753*N753</f>
        <v/>
      </c>
      <c r="X753" s="28">
        <f>H753*O753</f>
        <v/>
      </c>
      <c r="Y753" s="28">
        <f>H753*P753</f>
        <v/>
      </c>
      <c r="Z753" s="28">
        <f>H753*Q753</f>
        <v/>
      </c>
      <c r="AA753" s="28">
        <f>SUM(U753:Z753)</f>
        <v/>
      </c>
      <c r="AB753" s="5">
        <f>IF(COUNTIF('02b_DC_Accelerator_Mix'!$A$2:$A$977,G753)&gt;0,"matched","missing_mix")</f>
        <v/>
      </c>
    </row>
    <row r="754">
      <c r="A754" s="5">
        <f>'02a_DC_Capacity_Alloc'!A754</f>
        <v/>
      </c>
      <c r="B754" s="5">
        <f>'02a_DC_Capacity_Alloc'!B754</f>
        <v/>
      </c>
      <c r="C754" s="5">
        <f>'02a_DC_Capacity_Alloc'!C754</f>
        <v/>
      </c>
      <c r="D754" s="5">
        <f>'02a_DC_Capacity_Alloc'!D754</f>
        <v/>
      </c>
      <c r="E754" s="5">
        <f>'02a_DC_Capacity_Alloc'!E754</f>
        <v/>
      </c>
      <c r="F754" s="5">
        <f>'02a_DC_Capacity_Alloc'!F754</f>
        <v/>
      </c>
      <c r="G754" s="5">
        <f>B754&amp;"|"&amp;E754&amp;"|"&amp;D754</f>
        <v/>
      </c>
      <c r="H754" s="28">
        <f>'02a_DC_Capacity_Alloc'!H754*'02a_DC_Capacity_Alloc'!I754*'02a_DC_Capacity_Alloc'!J754</f>
        <v/>
      </c>
      <c r="I754" s="6">
        <f>IFERROR(INDEX('02b_DC_Accelerator_Mix'!$F$2:$F$977,MATCH(G754,'02b_DC_Accelerator_Mix'!$A$2:$A$977,0)),0)</f>
        <v/>
      </c>
      <c r="J754" s="6">
        <f>IFERROR(INDEX('02b_DC_Accelerator_Mix'!$G$2:$G$977,MATCH(G754,'02b_DC_Accelerator_Mix'!$A$2:$A$977,0)),0)</f>
        <v/>
      </c>
      <c r="K754" s="6">
        <f>IFERROR(INDEX('02b_DC_Accelerator_Mix'!$H$2:$H$977,MATCH(G754,'02b_DC_Accelerator_Mix'!$A$2:$A$977,0)),0)</f>
        <v/>
      </c>
      <c r="L754" s="6">
        <f>IFERROR(INDEX('02b_DC_Accelerator_Mix'!$I$2:$I$977,MATCH(G754,'02b_DC_Accelerator_Mix'!$A$2:$A$977,0)),0)</f>
        <v/>
      </c>
      <c r="M754" s="6">
        <f>IFERROR(INDEX('02b_DC_Accelerator_Mix'!$J$2:$J$977,MATCH(G754,'02b_DC_Accelerator_Mix'!$A$2:$A$977,0)),0)</f>
        <v/>
      </c>
      <c r="N754" s="6">
        <f>IFERROR(INDEX('02b_DC_Accelerator_Mix'!$K$2:$K$977,MATCH(G754,'02b_DC_Accelerator_Mix'!$A$2:$A$977,0)),0)</f>
        <v/>
      </c>
      <c r="O754" s="6">
        <f>IFERROR(INDEX('02b_DC_Accelerator_Mix'!$L$2:$L$977,MATCH(G754,'02b_DC_Accelerator_Mix'!$A$2:$A$977,0)),0)</f>
        <v/>
      </c>
      <c r="P754" s="6">
        <f>IFERROR(INDEX('02b_DC_Accelerator_Mix'!$M$2:$M$977,MATCH(G754,'02b_DC_Accelerator_Mix'!$A$2:$A$977,0)),0)</f>
        <v/>
      </c>
      <c r="Q754" s="6">
        <f>IFERROR(INDEX('02b_DC_Accelerator_Mix'!$N$2:$N$977,MATCH(G754,'02b_DC_Accelerator_Mix'!$A$2:$A$977,0)),0)</f>
        <v/>
      </c>
      <c r="R754" s="28">
        <f>H754*I754</f>
        <v/>
      </c>
      <c r="S754" s="28">
        <f>H754*J754</f>
        <v/>
      </c>
      <c r="T754" s="28">
        <f>H754*K754</f>
        <v/>
      </c>
      <c r="U754" s="28">
        <f>H754*L754</f>
        <v/>
      </c>
      <c r="V754" s="28">
        <f>H754*M754</f>
        <v/>
      </c>
      <c r="W754" s="28">
        <f>H754*N754</f>
        <v/>
      </c>
      <c r="X754" s="28">
        <f>H754*O754</f>
        <v/>
      </c>
      <c r="Y754" s="28">
        <f>H754*P754</f>
        <v/>
      </c>
      <c r="Z754" s="28">
        <f>H754*Q754</f>
        <v/>
      </c>
      <c r="AA754" s="28">
        <f>SUM(U754:Z754)</f>
        <v/>
      </c>
      <c r="AB754" s="5">
        <f>IF(COUNTIF('02b_DC_Accelerator_Mix'!$A$2:$A$977,G754)&gt;0,"matched","missing_mix")</f>
        <v/>
      </c>
    </row>
    <row r="755">
      <c r="A755" s="5">
        <f>'02a_DC_Capacity_Alloc'!A755</f>
        <v/>
      </c>
      <c r="B755" s="5">
        <f>'02a_DC_Capacity_Alloc'!B755</f>
        <v/>
      </c>
      <c r="C755" s="5">
        <f>'02a_DC_Capacity_Alloc'!C755</f>
        <v/>
      </c>
      <c r="D755" s="5">
        <f>'02a_DC_Capacity_Alloc'!D755</f>
        <v/>
      </c>
      <c r="E755" s="5">
        <f>'02a_DC_Capacity_Alloc'!E755</f>
        <v/>
      </c>
      <c r="F755" s="5">
        <f>'02a_DC_Capacity_Alloc'!F755</f>
        <v/>
      </c>
      <c r="G755" s="5">
        <f>B755&amp;"|"&amp;E755&amp;"|"&amp;D755</f>
        <v/>
      </c>
      <c r="H755" s="28">
        <f>'02a_DC_Capacity_Alloc'!H755*'02a_DC_Capacity_Alloc'!I755*'02a_DC_Capacity_Alloc'!J755</f>
        <v/>
      </c>
      <c r="I755" s="6">
        <f>IFERROR(INDEX('02b_DC_Accelerator_Mix'!$F$2:$F$977,MATCH(G755,'02b_DC_Accelerator_Mix'!$A$2:$A$977,0)),0)</f>
        <v/>
      </c>
      <c r="J755" s="6">
        <f>IFERROR(INDEX('02b_DC_Accelerator_Mix'!$G$2:$G$977,MATCH(G755,'02b_DC_Accelerator_Mix'!$A$2:$A$977,0)),0)</f>
        <v/>
      </c>
      <c r="K755" s="6">
        <f>IFERROR(INDEX('02b_DC_Accelerator_Mix'!$H$2:$H$977,MATCH(G755,'02b_DC_Accelerator_Mix'!$A$2:$A$977,0)),0)</f>
        <v/>
      </c>
      <c r="L755" s="6">
        <f>IFERROR(INDEX('02b_DC_Accelerator_Mix'!$I$2:$I$977,MATCH(G755,'02b_DC_Accelerator_Mix'!$A$2:$A$977,0)),0)</f>
        <v/>
      </c>
      <c r="M755" s="6">
        <f>IFERROR(INDEX('02b_DC_Accelerator_Mix'!$J$2:$J$977,MATCH(G755,'02b_DC_Accelerator_Mix'!$A$2:$A$977,0)),0)</f>
        <v/>
      </c>
      <c r="N755" s="6">
        <f>IFERROR(INDEX('02b_DC_Accelerator_Mix'!$K$2:$K$977,MATCH(G755,'02b_DC_Accelerator_Mix'!$A$2:$A$977,0)),0)</f>
        <v/>
      </c>
      <c r="O755" s="6">
        <f>IFERROR(INDEX('02b_DC_Accelerator_Mix'!$L$2:$L$977,MATCH(G755,'02b_DC_Accelerator_Mix'!$A$2:$A$977,0)),0)</f>
        <v/>
      </c>
      <c r="P755" s="6">
        <f>IFERROR(INDEX('02b_DC_Accelerator_Mix'!$M$2:$M$977,MATCH(G755,'02b_DC_Accelerator_Mix'!$A$2:$A$977,0)),0)</f>
        <v/>
      </c>
      <c r="Q755" s="6">
        <f>IFERROR(INDEX('02b_DC_Accelerator_Mix'!$N$2:$N$977,MATCH(G755,'02b_DC_Accelerator_Mix'!$A$2:$A$977,0)),0)</f>
        <v/>
      </c>
      <c r="R755" s="28">
        <f>H755*I755</f>
        <v/>
      </c>
      <c r="S755" s="28">
        <f>H755*J755</f>
        <v/>
      </c>
      <c r="T755" s="28">
        <f>H755*K755</f>
        <v/>
      </c>
      <c r="U755" s="28">
        <f>H755*L755</f>
        <v/>
      </c>
      <c r="V755" s="28">
        <f>H755*M755</f>
        <v/>
      </c>
      <c r="W755" s="28">
        <f>H755*N755</f>
        <v/>
      </c>
      <c r="X755" s="28">
        <f>H755*O755</f>
        <v/>
      </c>
      <c r="Y755" s="28">
        <f>H755*P755</f>
        <v/>
      </c>
      <c r="Z755" s="28">
        <f>H755*Q755</f>
        <v/>
      </c>
      <c r="AA755" s="28">
        <f>SUM(U755:Z755)</f>
        <v/>
      </c>
      <c r="AB755" s="5">
        <f>IF(COUNTIF('02b_DC_Accelerator_Mix'!$A$2:$A$977,G755)&gt;0,"matched","missing_mix")</f>
        <v/>
      </c>
    </row>
    <row r="756">
      <c r="A756" s="5">
        <f>'02a_DC_Capacity_Alloc'!A756</f>
        <v/>
      </c>
      <c r="B756" s="5">
        <f>'02a_DC_Capacity_Alloc'!B756</f>
        <v/>
      </c>
      <c r="C756" s="5">
        <f>'02a_DC_Capacity_Alloc'!C756</f>
        <v/>
      </c>
      <c r="D756" s="5">
        <f>'02a_DC_Capacity_Alloc'!D756</f>
        <v/>
      </c>
      <c r="E756" s="5">
        <f>'02a_DC_Capacity_Alloc'!E756</f>
        <v/>
      </c>
      <c r="F756" s="5">
        <f>'02a_DC_Capacity_Alloc'!F756</f>
        <v/>
      </c>
      <c r="G756" s="5">
        <f>B756&amp;"|"&amp;E756&amp;"|"&amp;D756</f>
        <v/>
      </c>
      <c r="H756" s="28">
        <f>'02a_DC_Capacity_Alloc'!H756*'02a_DC_Capacity_Alloc'!I756*'02a_DC_Capacity_Alloc'!J756</f>
        <v/>
      </c>
      <c r="I756" s="6">
        <f>IFERROR(INDEX('02b_DC_Accelerator_Mix'!$F$2:$F$977,MATCH(G756,'02b_DC_Accelerator_Mix'!$A$2:$A$977,0)),0)</f>
        <v/>
      </c>
      <c r="J756" s="6">
        <f>IFERROR(INDEX('02b_DC_Accelerator_Mix'!$G$2:$G$977,MATCH(G756,'02b_DC_Accelerator_Mix'!$A$2:$A$977,0)),0)</f>
        <v/>
      </c>
      <c r="K756" s="6">
        <f>IFERROR(INDEX('02b_DC_Accelerator_Mix'!$H$2:$H$977,MATCH(G756,'02b_DC_Accelerator_Mix'!$A$2:$A$977,0)),0)</f>
        <v/>
      </c>
      <c r="L756" s="6">
        <f>IFERROR(INDEX('02b_DC_Accelerator_Mix'!$I$2:$I$977,MATCH(G756,'02b_DC_Accelerator_Mix'!$A$2:$A$977,0)),0)</f>
        <v/>
      </c>
      <c r="M756" s="6">
        <f>IFERROR(INDEX('02b_DC_Accelerator_Mix'!$J$2:$J$977,MATCH(G756,'02b_DC_Accelerator_Mix'!$A$2:$A$977,0)),0)</f>
        <v/>
      </c>
      <c r="N756" s="6">
        <f>IFERROR(INDEX('02b_DC_Accelerator_Mix'!$K$2:$K$977,MATCH(G756,'02b_DC_Accelerator_Mix'!$A$2:$A$977,0)),0)</f>
        <v/>
      </c>
      <c r="O756" s="6">
        <f>IFERROR(INDEX('02b_DC_Accelerator_Mix'!$L$2:$L$977,MATCH(G756,'02b_DC_Accelerator_Mix'!$A$2:$A$977,0)),0)</f>
        <v/>
      </c>
      <c r="P756" s="6">
        <f>IFERROR(INDEX('02b_DC_Accelerator_Mix'!$M$2:$M$977,MATCH(G756,'02b_DC_Accelerator_Mix'!$A$2:$A$977,0)),0)</f>
        <v/>
      </c>
      <c r="Q756" s="6">
        <f>IFERROR(INDEX('02b_DC_Accelerator_Mix'!$N$2:$N$977,MATCH(G756,'02b_DC_Accelerator_Mix'!$A$2:$A$977,0)),0)</f>
        <v/>
      </c>
      <c r="R756" s="28">
        <f>H756*I756</f>
        <v/>
      </c>
      <c r="S756" s="28">
        <f>H756*J756</f>
        <v/>
      </c>
      <c r="T756" s="28">
        <f>H756*K756</f>
        <v/>
      </c>
      <c r="U756" s="28">
        <f>H756*L756</f>
        <v/>
      </c>
      <c r="V756" s="28">
        <f>H756*M756</f>
        <v/>
      </c>
      <c r="W756" s="28">
        <f>H756*N756</f>
        <v/>
      </c>
      <c r="X756" s="28">
        <f>H756*O756</f>
        <v/>
      </c>
      <c r="Y756" s="28">
        <f>H756*P756</f>
        <v/>
      </c>
      <c r="Z756" s="28">
        <f>H756*Q756</f>
        <v/>
      </c>
      <c r="AA756" s="28">
        <f>SUM(U756:Z756)</f>
        <v/>
      </c>
      <c r="AB756" s="5">
        <f>IF(COUNTIF('02b_DC_Accelerator_Mix'!$A$2:$A$977,G756)&gt;0,"matched","missing_mix")</f>
        <v/>
      </c>
    </row>
    <row r="757">
      <c r="A757" s="5">
        <f>'02a_DC_Capacity_Alloc'!A757</f>
        <v/>
      </c>
      <c r="B757" s="5">
        <f>'02a_DC_Capacity_Alloc'!B757</f>
        <v/>
      </c>
      <c r="C757" s="5">
        <f>'02a_DC_Capacity_Alloc'!C757</f>
        <v/>
      </c>
      <c r="D757" s="5">
        <f>'02a_DC_Capacity_Alloc'!D757</f>
        <v/>
      </c>
      <c r="E757" s="5">
        <f>'02a_DC_Capacity_Alloc'!E757</f>
        <v/>
      </c>
      <c r="F757" s="5">
        <f>'02a_DC_Capacity_Alloc'!F757</f>
        <v/>
      </c>
      <c r="G757" s="5">
        <f>B757&amp;"|"&amp;E757&amp;"|"&amp;D757</f>
        <v/>
      </c>
      <c r="H757" s="28">
        <f>'02a_DC_Capacity_Alloc'!H757*'02a_DC_Capacity_Alloc'!I757*'02a_DC_Capacity_Alloc'!J757</f>
        <v/>
      </c>
      <c r="I757" s="6">
        <f>IFERROR(INDEX('02b_DC_Accelerator_Mix'!$F$2:$F$977,MATCH(G757,'02b_DC_Accelerator_Mix'!$A$2:$A$977,0)),0)</f>
        <v/>
      </c>
      <c r="J757" s="6">
        <f>IFERROR(INDEX('02b_DC_Accelerator_Mix'!$G$2:$G$977,MATCH(G757,'02b_DC_Accelerator_Mix'!$A$2:$A$977,0)),0)</f>
        <v/>
      </c>
      <c r="K757" s="6">
        <f>IFERROR(INDEX('02b_DC_Accelerator_Mix'!$H$2:$H$977,MATCH(G757,'02b_DC_Accelerator_Mix'!$A$2:$A$977,0)),0)</f>
        <v/>
      </c>
      <c r="L757" s="6">
        <f>IFERROR(INDEX('02b_DC_Accelerator_Mix'!$I$2:$I$977,MATCH(G757,'02b_DC_Accelerator_Mix'!$A$2:$A$977,0)),0)</f>
        <v/>
      </c>
      <c r="M757" s="6">
        <f>IFERROR(INDEX('02b_DC_Accelerator_Mix'!$J$2:$J$977,MATCH(G757,'02b_DC_Accelerator_Mix'!$A$2:$A$977,0)),0)</f>
        <v/>
      </c>
      <c r="N757" s="6">
        <f>IFERROR(INDEX('02b_DC_Accelerator_Mix'!$K$2:$K$977,MATCH(G757,'02b_DC_Accelerator_Mix'!$A$2:$A$977,0)),0)</f>
        <v/>
      </c>
      <c r="O757" s="6">
        <f>IFERROR(INDEX('02b_DC_Accelerator_Mix'!$L$2:$L$977,MATCH(G757,'02b_DC_Accelerator_Mix'!$A$2:$A$977,0)),0)</f>
        <v/>
      </c>
      <c r="P757" s="6">
        <f>IFERROR(INDEX('02b_DC_Accelerator_Mix'!$M$2:$M$977,MATCH(G757,'02b_DC_Accelerator_Mix'!$A$2:$A$977,0)),0)</f>
        <v/>
      </c>
      <c r="Q757" s="6">
        <f>IFERROR(INDEX('02b_DC_Accelerator_Mix'!$N$2:$N$977,MATCH(G757,'02b_DC_Accelerator_Mix'!$A$2:$A$977,0)),0)</f>
        <v/>
      </c>
      <c r="R757" s="28">
        <f>H757*I757</f>
        <v/>
      </c>
      <c r="S757" s="28">
        <f>H757*J757</f>
        <v/>
      </c>
      <c r="T757" s="28">
        <f>H757*K757</f>
        <v/>
      </c>
      <c r="U757" s="28">
        <f>H757*L757</f>
        <v/>
      </c>
      <c r="V757" s="28">
        <f>H757*M757</f>
        <v/>
      </c>
      <c r="W757" s="28">
        <f>H757*N757</f>
        <v/>
      </c>
      <c r="X757" s="28">
        <f>H757*O757</f>
        <v/>
      </c>
      <c r="Y757" s="28">
        <f>H757*P757</f>
        <v/>
      </c>
      <c r="Z757" s="28">
        <f>H757*Q757</f>
        <v/>
      </c>
      <c r="AA757" s="28">
        <f>SUM(U757:Z757)</f>
        <v/>
      </c>
      <c r="AB757" s="5">
        <f>IF(COUNTIF('02b_DC_Accelerator_Mix'!$A$2:$A$977,G757)&gt;0,"matched","missing_mix")</f>
        <v/>
      </c>
    </row>
    <row r="758">
      <c r="A758" s="5">
        <f>'02a_DC_Capacity_Alloc'!A758</f>
        <v/>
      </c>
      <c r="B758" s="5">
        <f>'02a_DC_Capacity_Alloc'!B758</f>
        <v/>
      </c>
      <c r="C758" s="5">
        <f>'02a_DC_Capacity_Alloc'!C758</f>
        <v/>
      </c>
      <c r="D758" s="5">
        <f>'02a_DC_Capacity_Alloc'!D758</f>
        <v/>
      </c>
      <c r="E758" s="5">
        <f>'02a_DC_Capacity_Alloc'!E758</f>
        <v/>
      </c>
      <c r="F758" s="5">
        <f>'02a_DC_Capacity_Alloc'!F758</f>
        <v/>
      </c>
      <c r="G758" s="5">
        <f>B758&amp;"|"&amp;E758&amp;"|"&amp;D758</f>
        <v/>
      </c>
      <c r="H758" s="28">
        <f>'02a_DC_Capacity_Alloc'!H758*'02a_DC_Capacity_Alloc'!I758*'02a_DC_Capacity_Alloc'!J758</f>
        <v/>
      </c>
      <c r="I758" s="6">
        <f>IFERROR(INDEX('02b_DC_Accelerator_Mix'!$F$2:$F$977,MATCH(G758,'02b_DC_Accelerator_Mix'!$A$2:$A$977,0)),0)</f>
        <v/>
      </c>
      <c r="J758" s="6">
        <f>IFERROR(INDEX('02b_DC_Accelerator_Mix'!$G$2:$G$977,MATCH(G758,'02b_DC_Accelerator_Mix'!$A$2:$A$977,0)),0)</f>
        <v/>
      </c>
      <c r="K758" s="6">
        <f>IFERROR(INDEX('02b_DC_Accelerator_Mix'!$H$2:$H$977,MATCH(G758,'02b_DC_Accelerator_Mix'!$A$2:$A$977,0)),0)</f>
        <v/>
      </c>
      <c r="L758" s="6">
        <f>IFERROR(INDEX('02b_DC_Accelerator_Mix'!$I$2:$I$977,MATCH(G758,'02b_DC_Accelerator_Mix'!$A$2:$A$977,0)),0)</f>
        <v/>
      </c>
      <c r="M758" s="6">
        <f>IFERROR(INDEX('02b_DC_Accelerator_Mix'!$J$2:$J$977,MATCH(G758,'02b_DC_Accelerator_Mix'!$A$2:$A$977,0)),0)</f>
        <v/>
      </c>
      <c r="N758" s="6">
        <f>IFERROR(INDEX('02b_DC_Accelerator_Mix'!$K$2:$K$977,MATCH(G758,'02b_DC_Accelerator_Mix'!$A$2:$A$977,0)),0)</f>
        <v/>
      </c>
      <c r="O758" s="6">
        <f>IFERROR(INDEX('02b_DC_Accelerator_Mix'!$L$2:$L$977,MATCH(G758,'02b_DC_Accelerator_Mix'!$A$2:$A$977,0)),0)</f>
        <v/>
      </c>
      <c r="P758" s="6">
        <f>IFERROR(INDEX('02b_DC_Accelerator_Mix'!$M$2:$M$977,MATCH(G758,'02b_DC_Accelerator_Mix'!$A$2:$A$977,0)),0)</f>
        <v/>
      </c>
      <c r="Q758" s="6">
        <f>IFERROR(INDEX('02b_DC_Accelerator_Mix'!$N$2:$N$977,MATCH(G758,'02b_DC_Accelerator_Mix'!$A$2:$A$977,0)),0)</f>
        <v/>
      </c>
      <c r="R758" s="28">
        <f>H758*I758</f>
        <v/>
      </c>
      <c r="S758" s="28">
        <f>H758*J758</f>
        <v/>
      </c>
      <c r="T758" s="28">
        <f>H758*K758</f>
        <v/>
      </c>
      <c r="U758" s="28">
        <f>H758*L758</f>
        <v/>
      </c>
      <c r="V758" s="28">
        <f>H758*M758</f>
        <v/>
      </c>
      <c r="W758" s="28">
        <f>H758*N758</f>
        <v/>
      </c>
      <c r="X758" s="28">
        <f>H758*O758</f>
        <v/>
      </c>
      <c r="Y758" s="28">
        <f>H758*P758</f>
        <v/>
      </c>
      <c r="Z758" s="28">
        <f>H758*Q758</f>
        <v/>
      </c>
      <c r="AA758" s="28">
        <f>SUM(U758:Z758)</f>
        <v/>
      </c>
      <c r="AB758" s="5">
        <f>IF(COUNTIF('02b_DC_Accelerator_Mix'!$A$2:$A$977,G758)&gt;0,"matched","missing_mix")</f>
        <v/>
      </c>
    </row>
    <row r="759">
      <c r="A759" s="5">
        <f>'02a_DC_Capacity_Alloc'!A759</f>
        <v/>
      </c>
      <c r="B759" s="5">
        <f>'02a_DC_Capacity_Alloc'!B759</f>
        <v/>
      </c>
      <c r="C759" s="5">
        <f>'02a_DC_Capacity_Alloc'!C759</f>
        <v/>
      </c>
      <c r="D759" s="5">
        <f>'02a_DC_Capacity_Alloc'!D759</f>
        <v/>
      </c>
      <c r="E759" s="5">
        <f>'02a_DC_Capacity_Alloc'!E759</f>
        <v/>
      </c>
      <c r="F759" s="5">
        <f>'02a_DC_Capacity_Alloc'!F759</f>
        <v/>
      </c>
      <c r="G759" s="5">
        <f>B759&amp;"|"&amp;E759&amp;"|"&amp;D759</f>
        <v/>
      </c>
      <c r="H759" s="28">
        <f>'02a_DC_Capacity_Alloc'!H759*'02a_DC_Capacity_Alloc'!I759*'02a_DC_Capacity_Alloc'!J759</f>
        <v/>
      </c>
      <c r="I759" s="6">
        <f>IFERROR(INDEX('02b_DC_Accelerator_Mix'!$F$2:$F$977,MATCH(G759,'02b_DC_Accelerator_Mix'!$A$2:$A$977,0)),0)</f>
        <v/>
      </c>
      <c r="J759" s="6">
        <f>IFERROR(INDEX('02b_DC_Accelerator_Mix'!$G$2:$G$977,MATCH(G759,'02b_DC_Accelerator_Mix'!$A$2:$A$977,0)),0)</f>
        <v/>
      </c>
      <c r="K759" s="6">
        <f>IFERROR(INDEX('02b_DC_Accelerator_Mix'!$H$2:$H$977,MATCH(G759,'02b_DC_Accelerator_Mix'!$A$2:$A$977,0)),0)</f>
        <v/>
      </c>
      <c r="L759" s="6">
        <f>IFERROR(INDEX('02b_DC_Accelerator_Mix'!$I$2:$I$977,MATCH(G759,'02b_DC_Accelerator_Mix'!$A$2:$A$977,0)),0)</f>
        <v/>
      </c>
      <c r="M759" s="6">
        <f>IFERROR(INDEX('02b_DC_Accelerator_Mix'!$J$2:$J$977,MATCH(G759,'02b_DC_Accelerator_Mix'!$A$2:$A$977,0)),0)</f>
        <v/>
      </c>
      <c r="N759" s="6">
        <f>IFERROR(INDEX('02b_DC_Accelerator_Mix'!$K$2:$K$977,MATCH(G759,'02b_DC_Accelerator_Mix'!$A$2:$A$977,0)),0)</f>
        <v/>
      </c>
      <c r="O759" s="6">
        <f>IFERROR(INDEX('02b_DC_Accelerator_Mix'!$L$2:$L$977,MATCH(G759,'02b_DC_Accelerator_Mix'!$A$2:$A$977,0)),0)</f>
        <v/>
      </c>
      <c r="P759" s="6">
        <f>IFERROR(INDEX('02b_DC_Accelerator_Mix'!$M$2:$M$977,MATCH(G759,'02b_DC_Accelerator_Mix'!$A$2:$A$977,0)),0)</f>
        <v/>
      </c>
      <c r="Q759" s="6">
        <f>IFERROR(INDEX('02b_DC_Accelerator_Mix'!$N$2:$N$977,MATCH(G759,'02b_DC_Accelerator_Mix'!$A$2:$A$977,0)),0)</f>
        <v/>
      </c>
      <c r="R759" s="28">
        <f>H759*I759</f>
        <v/>
      </c>
      <c r="S759" s="28">
        <f>H759*J759</f>
        <v/>
      </c>
      <c r="T759" s="28">
        <f>H759*K759</f>
        <v/>
      </c>
      <c r="U759" s="28">
        <f>H759*L759</f>
        <v/>
      </c>
      <c r="V759" s="28">
        <f>H759*M759</f>
        <v/>
      </c>
      <c r="W759" s="28">
        <f>H759*N759</f>
        <v/>
      </c>
      <c r="X759" s="28">
        <f>H759*O759</f>
        <v/>
      </c>
      <c r="Y759" s="28">
        <f>H759*P759</f>
        <v/>
      </c>
      <c r="Z759" s="28">
        <f>H759*Q759</f>
        <v/>
      </c>
      <c r="AA759" s="28">
        <f>SUM(U759:Z759)</f>
        <v/>
      </c>
      <c r="AB759" s="5">
        <f>IF(COUNTIF('02b_DC_Accelerator_Mix'!$A$2:$A$977,G759)&gt;0,"matched","missing_mix")</f>
        <v/>
      </c>
    </row>
    <row r="760">
      <c r="A760" s="5">
        <f>'02a_DC_Capacity_Alloc'!A760</f>
        <v/>
      </c>
      <c r="B760" s="5">
        <f>'02a_DC_Capacity_Alloc'!B760</f>
        <v/>
      </c>
      <c r="C760" s="5">
        <f>'02a_DC_Capacity_Alloc'!C760</f>
        <v/>
      </c>
      <c r="D760" s="5">
        <f>'02a_DC_Capacity_Alloc'!D760</f>
        <v/>
      </c>
      <c r="E760" s="5">
        <f>'02a_DC_Capacity_Alloc'!E760</f>
        <v/>
      </c>
      <c r="F760" s="5">
        <f>'02a_DC_Capacity_Alloc'!F760</f>
        <v/>
      </c>
      <c r="G760" s="5">
        <f>B760&amp;"|"&amp;E760&amp;"|"&amp;D760</f>
        <v/>
      </c>
      <c r="H760" s="28">
        <f>'02a_DC_Capacity_Alloc'!H760*'02a_DC_Capacity_Alloc'!I760*'02a_DC_Capacity_Alloc'!J760</f>
        <v/>
      </c>
      <c r="I760" s="6">
        <f>IFERROR(INDEX('02b_DC_Accelerator_Mix'!$F$2:$F$977,MATCH(G760,'02b_DC_Accelerator_Mix'!$A$2:$A$977,0)),0)</f>
        <v/>
      </c>
      <c r="J760" s="6">
        <f>IFERROR(INDEX('02b_DC_Accelerator_Mix'!$G$2:$G$977,MATCH(G760,'02b_DC_Accelerator_Mix'!$A$2:$A$977,0)),0)</f>
        <v/>
      </c>
      <c r="K760" s="6">
        <f>IFERROR(INDEX('02b_DC_Accelerator_Mix'!$H$2:$H$977,MATCH(G760,'02b_DC_Accelerator_Mix'!$A$2:$A$977,0)),0)</f>
        <v/>
      </c>
      <c r="L760" s="6">
        <f>IFERROR(INDEX('02b_DC_Accelerator_Mix'!$I$2:$I$977,MATCH(G760,'02b_DC_Accelerator_Mix'!$A$2:$A$977,0)),0)</f>
        <v/>
      </c>
      <c r="M760" s="6">
        <f>IFERROR(INDEX('02b_DC_Accelerator_Mix'!$J$2:$J$977,MATCH(G760,'02b_DC_Accelerator_Mix'!$A$2:$A$977,0)),0)</f>
        <v/>
      </c>
      <c r="N760" s="6">
        <f>IFERROR(INDEX('02b_DC_Accelerator_Mix'!$K$2:$K$977,MATCH(G760,'02b_DC_Accelerator_Mix'!$A$2:$A$977,0)),0)</f>
        <v/>
      </c>
      <c r="O760" s="6">
        <f>IFERROR(INDEX('02b_DC_Accelerator_Mix'!$L$2:$L$977,MATCH(G760,'02b_DC_Accelerator_Mix'!$A$2:$A$977,0)),0)</f>
        <v/>
      </c>
      <c r="P760" s="6">
        <f>IFERROR(INDEX('02b_DC_Accelerator_Mix'!$M$2:$M$977,MATCH(G760,'02b_DC_Accelerator_Mix'!$A$2:$A$977,0)),0)</f>
        <v/>
      </c>
      <c r="Q760" s="6">
        <f>IFERROR(INDEX('02b_DC_Accelerator_Mix'!$N$2:$N$977,MATCH(G760,'02b_DC_Accelerator_Mix'!$A$2:$A$977,0)),0)</f>
        <v/>
      </c>
      <c r="R760" s="28">
        <f>H760*I760</f>
        <v/>
      </c>
      <c r="S760" s="28">
        <f>H760*J760</f>
        <v/>
      </c>
      <c r="T760" s="28">
        <f>H760*K760</f>
        <v/>
      </c>
      <c r="U760" s="28">
        <f>H760*L760</f>
        <v/>
      </c>
      <c r="V760" s="28">
        <f>H760*M760</f>
        <v/>
      </c>
      <c r="W760" s="28">
        <f>H760*N760</f>
        <v/>
      </c>
      <c r="X760" s="28">
        <f>H760*O760</f>
        <v/>
      </c>
      <c r="Y760" s="28">
        <f>H760*P760</f>
        <v/>
      </c>
      <c r="Z760" s="28">
        <f>H760*Q760</f>
        <v/>
      </c>
      <c r="AA760" s="28">
        <f>SUM(U760:Z760)</f>
        <v/>
      </c>
      <c r="AB760" s="5">
        <f>IF(COUNTIF('02b_DC_Accelerator_Mix'!$A$2:$A$977,G760)&gt;0,"matched","missing_mix")</f>
        <v/>
      </c>
    </row>
    <row r="761">
      <c r="A761" s="5">
        <f>'02a_DC_Capacity_Alloc'!A761</f>
        <v/>
      </c>
      <c r="B761" s="5">
        <f>'02a_DC_Capacity_Alloc'!B761</f>
        <v/>
      </c>
      <c r="C761" s="5">
        <f>'02a_DC_Capacity_Alloc'!C761</f>
        <v/>
      </c>
      <c r="D761" s="5">
        <f>'02a_DC_Capacity_Alloc'!D761</f>
        <v/>
      </c>
      <c r="E761" s="5">
        <f>'02a_DC_Capacity_Alloc'!E761</f>
        <v/>
      </c>
      <c r="F761" s="5">
        <f>'02a_DC_Capacity_Alloc'!F761</f>
        <v/>
      </c>
      <c r="G761" s="5">
        <f>B761&amp;"|"&amp;E761&amp;"|"&amp;D761</f>
        <v/>
      </c>
      <c r="H761" s="28">
        <f>'02a_DC_Capacity_Alloc'!H761*'02a_DC_Capacity_Alloc'!I761*'02a_DC_Capacity_Alloc'!J761</f>
        <v/>
      </c>
      <c r="I761" s="6">
        <f>IFERROR(INDEX('02b_DC_Accelerator_Mix'!$F$2:$F$977,MATCH(G761,'02b_DC_Accelerator_Mix'!$A$2:$A$977,0)),0)</f>
        <v/>
      </c>
      <c r="J761" s="6">
        <f>IFERROR(INDEX('02b_DC_Accelerator_Mix'!$G$2:$G$977,MATCH(G761,'02b_DC_Accelerator_Mix'!$A$2:$A$977,0)),0)</f>
        <v/>
      </c>
      <c r="K761" s="6">
        <f>IFERROR(INDEX('02b_DC_Accelerator_Mix'!$H$2:$H$977,MATCH(G761,'02b_DC_Accelerator_Mix'!$A$2:$A$977,0)),0)</f>
        <v/>
      </c>
      <c r="L761" s="6">
        <f>IFERROR(INDEX('02b_DC_Accelerator_Mix'!$I$2:$I$977,MATCH(G761,'02b_DC_Accelerator_Mix'!$A$2:$A$977,0)),0)</f>
        <v/>
      </c>
      <c r="M761" s="6">
        <f>IFERROR(INDEX('02b_DC_Accelerator_Mix'!$J$2:$J$977,MATCH(G761,'02b_DC_Accelerator_Mix'!$A$2:$A$977,0)),0)</f>
        <v/>
      </c>
      <c r="N761" s="6">
        <f>IFERROR(INDEX('02b_DC_Accelerator_Mix'!$K$2:$K$977,MATCH(G761,'02b_DC_Accelerator_Mix'!$A$2:$A$977,0)),0)</f>
        <v/>
      </c>
      <c r="O761" s="6">
        <f>IFERROR(INDEX('02b_DC_Accelerator_Mix'!$L$2:$L$977,MATCH(G761,'02b_DC_Accelerator_Mix'!$A$2:$A$977,0)),0)</f>
        <v/>
      </c>
      <c r="P761" s="6">
        <f>IFERROR(INDEX('02b_DC_Accelerator_Mix'!$M$2:$M$977,MATCH(G761,'02b_DC_Accelerator_Mix'!$A$2:$A$977,0)),0)</f>
        <v/>
      </c>
      <c r="Q761" s="6">
        <f>IFERROR(INDEX('02b_DC_Accelerator_Mix'!$N$2:$N$977,MATCH(G761,'02b_DC_Accelerator_Mix'!$A$2:$A$977,0)),0)</f>
        <v/>
      </c>
      <c r="R761" s="28">
        <f>H761*I761</f>
        <v/>
      </c>
      <c r="S761" s="28">
        <f>H761*J761</f>
        <v/>
      </c>
      <c r="T761" s="28">
        <f>H761*K761</f>
        <v/>
      </c>
      <c r="U761" s="28">
        <f>H761*L761</f>
        <v/>
      </c>
      <c r="V761" s="28">
        <f>H761*M761</f>
        <v/>
      </c>
      <c r="W761" s="28">
        <f>H761*N761</f>
        <v/>
      </c>
      <c r="X761" s="28">
        <f>H761*O761</f>
        <v/>
      </c>
      <c r="Y761" s="28">
        <f>H761*P761</f>
        <v/>
      </c>
      <c r="Z761" s="28">
        <f>H761*Q761</f>
        <v/>
      </c>
      <c r="AA761" s="28">
        <f>SUM(U761:Z761)</f>
        <v/>
      </c>
      <c r="AB761" s="5">
        <f>IF(COUNTIF('02b_DC_Accelerator_Mix'!$A$2:$A$977,G761)&gt;0,"matched","missing_mix")</f>
        <v/>
      </c>
    </row>
    <row r="762">
      <c r="A762" s="5">
        <f>'02a_DC_Capacity_Alloc'!A762</f>
        <v/>
      </c>
      <c r="B762" s="5">
        <f>'02a_DC_Capacity_Alloc'!B762</f>
        <v/>
      </c>
      <c r="C762" s="5">
        <f>'02a_DC_Capacity_Alloc'!C762</f>
        <v/>
      </c>
      <c r="D762" s="5">
        <f>'02a_DC_Capacity_Alloc'!D762</f>
        <v/>
      </c>
      <c r="E762" s="5">
        <f>'02a_DC_Capacity_Alloc'!E762</f>
        <v/>
      </c>
      <c r="F762" s="5">
        <f>'02a_DC_Capacity_Alloc'!F762</f>
        <v/>
      </c>
      <c r="G762" s="5">
        <f>B762&amp;"|"&amp;E762&amp;"|"&amp;D762</f>
        <v/>
      </c>
      <c r="H762" s="28">
        <f>'02a_DC_Capacity_Alloc'!H762*'02a_DC_Capacity_Alloc'!I762*'02a_DC_Capacity_Alloc'!J762</f>
        <v/>
      </c>
      <c r="I762" s="6">
        <f>IFERROR(INDEX('02b_DC_Accelerator_Mix'!$F$2:$F$977,MATCH(G762,'02b_DC_Accelerator_Mix'!$A$2:$A$977,0)),0)</f>
        <v/>
      </c>
      <c r="J762" s="6">
        <f>IFERROR(INDEX('02b_DC_Accelerator_Mix'!$G$2:$G$977,MATCH(G762,'02b_DC_Accelerator_Mix'!$A$2:$A$977,0)),0)</f>
        <v/>
      </c>
      <c r="K762" s="6">
        <f>IFERROR(INDEX('02b_DC_Accelerator_Mix'!$H$2:$H$977,MATCH(G762,'02b_DC_Accelerator_Mix'!$A$2:$A$977,0)),0)</f>
        <v/>
      </c>
      <c r="L762" s="6">
        <f>IFERROR(INDEX('02b_DC_Accelerator_Mix'!$I$2:$I$977,MATCH(G762,'02b_DC_Accelerator_Mix'!$A$2:$A$977,0)),0)</f>
        <v/>
      </c>
      <c r="M762" s="6">
        <f>IFERROR(INDEX('02b_DC_Accelerator_Mix'!$J$2:$J$977,MATCH(G762,'02b_DC_Accelerator_Mix'!$A$2:$A$977,0)),0)</f>
        <v/>
      </c>
      <c r="N762" s="6">
        <f>IFERROR(INDEX('02b_DC_Accelerator_Mix'!$K$2:$K$977,MATCH(G762,'02b_DC_Accelerator_Mix'!$A$2:$A$977,0)),0)</f>
        <v/>
      </c>
      <c r="O762" s="6">
        <f>IFERROR(INDEX('02b_DC_Accelerator_Mix'!$L$2:$L$977,MATCH(G762,'02b_DC_Accelerator_Mix'!$A$2:$A$977,0)),0)</f>
        <v/>
      </c>
      <c r="P762" s="6">
        <f>IFERROR(INDEX('02b_DC_Accelerator_Mix'!$M$2:$M$977,MATCH(G762,'02b_DC_Accelerator_Mix'!$A$2:$A$977,0)),0)</f>
        <v/>
      </c>
      <c r="Q762" s="6">
        <f>IFERROR(INDEX('02b_DC_Accelerator_Mix'!$N$2:$N$977,MATCH(G762,'02b_DC_Accelerator_Mix'!$A$2:$A$977,0)),0)</f>
        <v/>
      </c>
      <c r="R762" s="28">
        <f>H762*I762</f>
        <v/>
      </c>
      <c r="S762" s="28">
        <f>H762*J762</f>
        <v/>
      </c>
      <c r="T762" s="28">
        <f>H762*K762</f>
        <v/>
      </c>
      <c r="U762" s="28">
        <f>H762*L762</f>
        <v/>
      </c>
      <c r="V762" s="28">
        <f>H762*M762</f>
        <v/>
      </c>
      <c r="W762" s="28">
        <f>H762*N762</f>
        <v/>
      </c>
      <c r="X762" s="28">
        <f>H762*O762</f>
        <v/>
      </c>
      <c r="Y762" s="28">
        <f>H762*P762</f>
        <v/>
      </c>
      <c r="Z762" s="28">
        <f>H762*Q762</f>
        <v/>
      </c>
      <c r="AA762" s="28">
        <f>SUM(U762:Z762)</f>
        <v/>
      </c>
      <c r="AB762" s="5">
        <f>IF(COUNTIF('02b_DC_Accelerator_Mix'!$A$2:$A$977,G762)&gt;0,"matched","missing_mix")</f>
        <v/>
      </c>
    </row>
    <row r="763">
      <c r="A763" s="5">
        <f>'02a_DC_Capacity_Alloc'!A763</f>
        <v/>
      </c>
      <c r="B763" s="5">
        <f>'02a_DC_Capacity_Alloc'!B763</f>
        <v/>
      </c>
      <c r="C763" s="5">
        <f>'02a_DC_Capacity_Alloc'!C763</f>
        <v/>
      </c>
      <c r="D763" s="5">
        <f>'02a_DC_Capacity_Alloc'!D763</f>
        <v/>
      </c>
      <c r="E763" s="5">
        <f>'02a_DC_Capacity_Alloc'!E763</f>
        <v/>
      </c>
      <c r="F763" s="5">
        <f>'02a_DC_Capacity_Alloc'!F763</f>
        <v/>
      </c>
      <c r="G763" s="5">
        <f>B763&amp;"|"&amp;E763&amp;"|"&amp;D763</f>
        <v/>
      </c>
      <c r="H763" s="28">
        <f>'02a_DC_Capacity_Alloc'!H763*'02a_DC_Capacity_Alloc'!I763*'02a_DC_Capacity_Alloc'!J763</f>
        <v/>
      </c>
      <c r="I763" s="6">
        <f>IFERROR(INDEX('02b_DC_Accelerator_Mix'!$F$2:$F$977,MATCH(G763,'02b_DC_Accelerator_Mix'!$A$2:$A$977,0)),0)</f>
        <v/>
      </c>
      <c r="J763" s="6">
        <f>IFERROR(INDEX('02b_DC_Accelerator_Mix'!$G$2:$G$977,MATCH(G763,'02b_DC_Accelerator_Mix'!$A$2:$A$977,0)),0)</f>
        <v/>
      </c>
      <c r="K763" s="6">
        <f>IFERROR(INDEX('02b_DC_Accelerator_Mix'!$H$2:$H$977,MATCH(G763,'02b_DC_Accelerator_Mix'!$A$2:$A$977,0)),0)</f>
        <v/>
      </c>
      <c r="L763" s="6">
        <f>IFERROR(INDEX('02b_DC_Accelerator_Mix'!$I$2:$I$977,MATCH(G763,'02b_DC_Accelerator_Mix'!$A$2:$A$977,0)),0)</f>
        <v/>
      </c>
      <c r="M763" s="6">
        <f>IFERROR(INDEX('02b_DC_Accelerator_Mix'!$J$2:$J$977,MATCH(G763,'02b_DC_Accelerator_Mix'!$A$2:$A$977,0)),0)</f>
        <v/>
      </c>
      <c r="N763" s="6">
        <f>IFERROR(INDEX('02b_DC_Accelerator_Mix'!$K$2:$K$977,MATCH(G763,'02b_DC_Accelerator_Mix'!$A$2:$A$977,0)),0)</f>
        <v/>
      </c>
      <c r="O763" s="6">
        <f>IFERROR(INDEX('02b_DC_Accelerator_Mix'!$L$2:$L$977,MATCH(G763,'02b_DC_Accelerator_Mix'!$A$2:$A$977,0)),0)</f>
        <v/>
      </c>
      <c r="P763" s="6">
        <f>IFERROR(INDEX('02b_DC_Accelerator_Mix'!$M$2:$M$977,MATCH(G763,'02b_DC_Accelerator_Mix'!$A$2:$A$977,0)),0)</f>
        <v/>
      </c>
      <c r="Q763" s="6">
        <f>IFERROR(INDEX('02b_DC_Accelerator_Mix'!$N$2:$N$977,MATCH(G763,'02b_DC_Accelerator_Mix'!$A$2:$A$977,0)),0)</f>
        <v/>
      </c>
      <c r="R763" s="28">
        <f>H763*I763</f>
        <v/>
      </c>
      <c r="S763" s="28">
        <f>H763*J763</f>
        <v/>
      </c>
      <c r="T763" s="28">
        <f>H763*K763</f>
        <v/>
      </c>
      <c r="U763" s="28">
        <f>H763*L763</f>
        <v/>
      </c>
      <c r="V763" s="28">
        <f>H763*M763</f>
        <v/>
      </c>
      <c r="W763" s="28">
        <f>H763*N763</f>
        <v/>
      </c>
      <c r="X763" s="28">
        <f>H763*O763</f>
        <v/>
      </c>
      <c r="Y763" s="28">
        <f>H763*P763</f>
        <v/>
      </c>
      <c r="Z763" s="28">
        <f>H763*Q763</f>
        <v/>
      </c>
      <c r="AA763" s="28">
        <f>SUM(U763:Z763)</f>
        <v/>
      </c>
      <c r="AB763" s="5">
        <f>IF(COUNTIF('02b_DC_Accelerator_Mix'!$A$2:$A$977,G763)&gt;0,"matched","missing_mix")</f>
        <v/>
      </c>
    </row>
    <row r="764">
      <c r="A764" s="5">
        <f>'02a_DC_Capacity_Alloc'!A764</f>
        <v/>
      </c>
      <c r="B764" s="5">
        <f>'02a_DC_Capacity_Alloc'!B764</f>
        <v/>
      </c>
      <c r="C764" s="5">
        <f>'02a_DC_Capacity_Alloc'!C764</f>
        <v/>
      </c>
      <c r="D764" s="5">
        <f>'02a_DC_Capacity_Alloc'!D764</f>
        <v/>
      </c>
      <c r="E764" s="5">
        <f>'02a_DC_Capacity_Alloc'!E764</f>
        <v/>
      </c>
      <c r="F764" s="5">
        <f>'02a_DC_Capacity_Alloc'!F764</f>
        <v/>
      </c>
      <c r="G764" s="5">
        <f>B764&amp;"|"&amp;E764&amp;"|"&amp;D764</f>
        <v/>
      </c>
      <c r="H764" s="28">
        <f>'02a_DC_Capacity_Alloc'!H764*'02a_DC_Capacity_Alloc'!I764*'02a_DC_Capacity_Alloc'!J764</f>
        <v/>
      </c>
      <c r="I764" s="6">
        <f>IFERROR(INDEX('02b_DC_Accelerator_Mix'!$F$2:$F$977,MATCH(G764,'02b_DC_Accelerator_Mix'!$A$2:$A$977,0)),0)</f>
        <v/>
      </c>
      <c r="J764" s="6">
        <f>IFERROR(INDEX('02b_DC_Accelerator_Mix'!$G$2:$G$977,MATCH(G764,'02b_DC_Accelerator_Mix'!$A$2:$A$977,0)),0)</f>
        <v/>
      </c>
      <c r="K764" s="6">
        <f>IFERROR(INDEX('02b_DC_Accelerator_Mix'!$H$2:$H$977,MATCH(G764,'02b_DC_Accelerator_Mix'!$A$2:$A$977,0)),0)</f>
        <v/>
      </c>
      <c r="L764" s="6">
        <f>IFERROR(INDEX('02b_DC_Accelerator_Mix'!$I$2:$I$977,MATCH(G764,'02b_DC_Accelerator_Mix'!$A$2:$A$977,0)),0)</f>
        <v/>
      </c>
      <c r="M764" s="6">
        <f>IFERROR(INDEX('02b_DC_Accelerator_Mix'!$J$2:$J$977,MATCH(G764,'02b_DC_Accelerator_Mix'!$A$2:$A$977,0)),0)</f>
        <v/>
      </c>
      <c r="N764" s="6">
        <f>IFERROR(INDEX('02b_DC_Accelerator_Mix'!$K$2:$K$977,MATCH(G764,'02b_DC_Accelerator_Mix'!$A$2:$A$977,0)),0)</f>
        <v/>
      </c>
      <c r="O764" s="6">
        <f>IFERROR(INDEX('02b_DC_Accelerator_Mix'!$L$2:$L$977,MATCH(G764,'02b_DC_Accelerator_Mix'!$A$2:$A$977,0)),0)</f>
        <v/>
      </c>
      <c r="P764" s="6">
        <f>IFERROR(INDEX('02b_DC_Accelerator_Mix'!$M$2:$M$977,MATCH(G764,'02b_DC_Accelerator_Mix'!$A$2:$A$977,0)),0)</f>
        <v/>
      </c>
      <c r="Q764" s="6">
        <f>IFERROR(INDEX('02b_DC_Accelerator_Mix'!$N$2:$N$977,MATCH(G764,'02b_DC_Accelerator_Mix'!$A$2:$A$977,0)),0)</f>
        <v/>
      </c>
      <c r="R764" s="28">
        <f>H764*I764</f>
        <v/>
      </c>
      <c r="S764" s="28">
        <f>H764*J764</f>
        <v/>
      </c>
      <c r="T764" s="28">
        <f>H764*K764</f>
        <v/>
      </c>
      <c r="U764" s="28">
        <f>H764*L764</f>
        <v/>
      </c>
      <c r="V764" s="28">
        <f>H764*M764</f>
        <v/>
      </c>
      <c r="W764" s="28">
        <f>H764*N764</f>
        <v/>
      </c>
      <c r="X764" s="28">
        <f>H764*O764</f>
        <v/>
      </c>
      <c r="Y764" s="28">
        <f>H764*P764</f>
        <v/>
      </c>
      <c r="Z764" s="28">
        <f>H764*Q764</f>
        <v/>
      </c>
      <c r="AA764" s="28">
        <f>SUM(U764:Z764)</f>
        <v/>
      </c>
      <c r="AB764" s="5">
        <f>IF(COUNTIF('02b_DC_Accelerator_Mix'!$A$2:$A$977,G764)&gt;0,"matched","missing_mix")</f>
        <v/>
      </c>
    </row>
    <row r="765">
      <c r="A765" s="5">
        <f>'02a_DC_Capacity_Alloc'!A765</f>
        <v/>
      </c>
      <c r="B765" s="5">
        <f>'02a_DC_Capacity_Alloc'!B765</f>
        <v/>
      </c>
      <c r="C765" s="5">
        <f>'02a_DC_Capacity_Alloc'!C765</f>
        <v/>
      </c>
      <c r="D765" s="5">
        <f>'02a_DC_Capacity_Alloc'!D765</f>
        <v/>
      </c>
      <c r="E765" s="5">
        <f>'02a_DC_Capacity_Alloc'!E765</f>
        <v/>
      </c>
      <c r="F765" s="5">
        <f>'02a_DC_Capacity_Alloc'!F765</f>
        <v/>
      </c>
      <c r="G765" s="5">
        <f>B765&amp;"|"&amp;E765&amp;"|"&amp;D765</f>
        <v/>
      </c>
      <c r="H765" s="28">
        <f>'02a_DC_Capacity_Alloc'!H765*'02a_DC_Capacity_Alloc'!I765*'02a_DC_Capacity_Alloc'!J765</f>
        <v/>
      </c>
      <c r="I765" s="6">
        <f>IFERROR(INDEX('02b_DC_Accelerator_Mix'!$F$2:$F$977,MATCH(G765,'02b_DC_Accelerator_Mix'!$A$2:$A$977,0)),0)</f>
        <v/>
      </c>
      <c r="J765" s="6">
        <f>IFERROR(INDEX('02b_DC_Accelerator_Mix'!$G$2:$G$977,MATCH(G765,'02b_DC_Accelerator_Mix'!$A$2:$A$977,0)),0)</f>
        <v/>
      </c>
      <c r="K765" s="6">
        <f>IFERROR(INDEX('02b_DC_Accelerator_Mix'!$H$2:$H$977,MATCH(G765,'02b_DC_Accelerator_Mix'!$A$2:$A$977,0)),0)</f>
        <v/>
      </c>
      <c r="L765" s="6">
        <f>IFERROR(INDEX('02b_DC_Accelerator_Mix'!$I$2:$I$977,MATCH(G765,'02b_DC_Accelerator_Mix'!$A$2:$A$977,0)),0)</f>
        <v/>
      </c>
      <c r="M765" s="6">
        <f>IFERROR(INDEX('02b_DC_Accelerator_Mix'!$J$2:$J$977,MATCH(G765,'02b_DC_Accelerator_Mix'!$A$2:$A$977,0)),0)</f>
        <v/>
      </c>
      <c r="N765" s="6">
        <f>IFERROR(INDEX('02b_DC_Accelerator_Mix'!$K$2:$K$977,MATCH(G765,'02b_DC_Accelerator_Mix'!$A$2:$A$977,0)),0)</f>
        <v/>
      </c>
      <c r="O765" s="6">
        <f>IFERROR(INDEX('02b_DC_Accelerator_Mix'!$L$2:$L$977,MATCH(G765,'02b_DC_Accelerator_Mix'!$A$2:$A$977,0)),0)</f>
        <v/>
      </c>
      <c r="P765" s="6">
        <f>IFERROR(INDEX('02b_DC_Accelerator_Mix'!$M$2:$M$977,MATCH(G765,'02b_DC_Accelerator_Mix'!$A$2:$A$977,0)),0)</f>
        <v/>
      </c>
      <c r="Q765" s="6">
        <f>IFERROR(INDEX('02b_DC_Accelerator_Mix'!$N$2:$N$977,MATCH(G765,'02b_DC_Accelerator_Mix'!$A$2:$A$977,0)),0)</f>
        <v/>
      </c>
      <c r="R765" s="28">
        <f>H765*I765</f>
        <v/>
      </c>
      <c r="S765" s="28">
        <f>H765*J765</f>
        <v/>
      </c>
      <c r="T765" s="28">
        <f>H765*K765</f>
        <v/>
      </c>
      <c r="U765" s="28">
        <f>H765*L765</f>
        <v/>
      </c>
      <c r="V765" s="28">
        <f>H765*M765</f>
        <v/>
      </c>
      <c r="W765" s="28">
        <f>H765*N765</f>
        <v/>
      </c>
      <c r="X765" s="28">
        <f>H765*O765</f>
        <v/>
      </c>
      <c r="Y765" s="28">
        <f>H765*P765</f>
        <v/>
      </c>
      <c r="Z765" s="28">
        <f>H765*Q765</f>
        <v/>
      </c>
      <c r="AA765" s="28">
        <f>SUM(U765:Z765)</f>
        <v/>
      </c>
      <c r="AB765" s="5">
        <f>IF(COUNTIF('02b_DC_Accelerator_Mix'!$A$2:$A$977,G765)&gt;0,"matched","missing_mix")</f>
        <v/>
      </c>
    </row>
    <row r="766">
      <c r="A766" s="5">
        <f>'02a_DC_Capacity_Alloc'!A766</f>
        <v/>
      </c>
      <c r="B766" s="5">
        <f>'02a_DC_Capacity_Alloc'!B766</f>
        <v/>
      </c>
      <c r="C766" s="5">
        <f>'02a_DC_Capacity_Alloc'!C766</f>
        <v/>
      </c>
      <c r="D766" s="5">
        <f>'02a_DC_Capacity_Alloc'!D766</f>
        <v/>
      </c>
      <c r="E766" s="5">
        <f>'02a_DC_Capacity_Alloc'!E766</f>
        <v/>
      </c>
      <c r="F766" s="5">
        <f>'02a_DC_Capacity_Alloc'!F766</f>
        <v/>
      </c>
      <c r="G766" s="5">
        <f>B766&amp;"|"&amp;E766&amp;"|"&amp;D766</f>
        <v/>
      </c>
      <c r="H766" s="28">
        <f>'02a_DC_Capacity_Alloc'!H766*'02a_DC_Capacity_Alloc'!I766*'02a_DC_Capacity_Alloc'!J766</f>
        <v/>
      </c>
      <c r="I766" s="6">
        <f>IFERROR(INDEX('02b_DC_Accelerator_Mix'!$F$2:$F$977,MATCH(G766,'02b_DC_Accelerator_Mix'!$A$2:$A$977,0)),0)</f>
        <v/>
      </c>
      <c r="J766" s="6">
        <f>IFERROR(INDEX('02b_DC_Accelerator_Mix'!$G$2:$G$977,MATCH(G766,'02b_DC_Accelerator_Mix'!$A$2:$A$977,0)),0)</f>
        <v/>
      </c>
      <c r="K766" s="6">
        <f>IFERROR(INDEX('02b_DC_Accelerator_Mix'!$H$2:$H$977,MATCH(G766,'02b_DC_Accelerator_Mix'!$A$2:$A$977,0)),0)</f>
        <v/>
      </c>
      <c r="L766" s="6">
        <f>IFERROR(INDEX('02b_DC_Accelerator_Mix'!$I$2:$I$977,MATCH(G766,'02b_DC_Accelerator_Mix'!$A$2:$A$977,0)),0)</f>
        <v/>
      </c>
      <c r="M766" s="6">
        <f>IFERROR(INDEX('02b_DC_Accelerator_Mix'!$J$2:$J$977,MATCH(G766,'02b_DC_Accelerator_Mix'!$A$2:$A$977,0)),0)</f>
        <v/>
      </c>
      <c r="N766" s="6">
        <f>IFERROR(INDEX('02b_DC_Accelerator_Mix'!$K$2:$K$977,MATCH(G766,'02b_DC_Accelerator_Mix'!$A$2:$A$977,0)),0)</f>
        <v/>
      </c>
      <c r="O766" s="6">
        <f>IFERROR(INDEX('02b_DC_Accelerator_Mix'!$L$2:$L$977,MATCH(G766,'02b_DC_Accelerator_Mix'!$A$2:$A$977,0)),0)</f>
        <v/>
      </c>
      <c r="P766" s="6">
        <f>IFERROR(INDEX('02b_DC_Accelerator_Mix'!$M$2:$M$977,MATCH(G766,'02b_DC_Accelerator_Mix'!$A$2:$A$977,0)),0)</f>
        <v/>
      </c>
      <c r="Q766" s="6">
        <f>IFERROR(INDEX('02b_DC_Accelerator_Mix'!$N$2:$N$977,MATCH(G766,'02b_DC_Accelerator_Mix'!$A$2:$A$977,0)),0)</f>
        <v/>
      </c>
      <c r="R766" s="28">
        <f>H766*I766</f>
        <v/>
      </c>
      <c r="S766" s="28">
        <f>H766*J766</f>
        <v/>
      </c>
      <c r="T766" s="28">
        <f>H766*K766</f>
        <v/>
      </c>
      <c r="U766" s="28">
        <f>H766*L766</f>
        <v/>
      </c>
      <c r="V766" s="28">
        <f>H766*M766</f>
        <v/>
      </c>
      <c r="W766" s="28">
        <f>H766*N766</f>
        <v/>
      </c>
      <c r="X766" s="28">
        <f>H766*O766</f>
        <v/>
      </c>
      <c r="Y766" s="28">
        <f>H766*P766</f>
        <v/>
      </c>
      <c r="Z766" s="28">
        <f>H766*Q766</f>
        <v/>
      </c>
      <c r="AA766" s="28">
        <f>SUM(U766:Z766)</f>
        <v/>
      </c>
      <c r="AB766" s="5">
        <f>IF(COUNTIF('02b_DC_Accelerator_Mix'!$A$2:$A$977,G766)&gt;0,"matched","missing_mix")</f>
        <v/>
      </c>
    </row>
    <row r="767">
      <c r="A767" s="5">
        <f>'02a_DC_Capacity_Alloc'!A767</f>
        <v/>
      </c>
      <c r="B767" s="5">
        <f>'02a_DC_Capacity_Alloc'!B767</f>
        <v/>
      </c>
      <c r="C767" s="5">
        <f>'02a_DC_Capacity_Alloc'!C767</f>
        <v/>
      </c>
      <c r="D767" s="5">
        <f>'02a_DC_Capacity_Alloc'!D767</f>
        <v/>
      </c>
      <c r="E767" s="5">
        <f>'02a_DC_Capacity_Alloc'!E767</f>
        <v/>
      </c>
      <c r="F767" s="5">
        <f>'02a_DC_Capacity_Alloc'!F767</f>
        <v/>
      </c>
      <c r="G767" s="5">
        <f>B767&amp;"|"&amp;E767&amp;"|"&amp;D767</f>
        <v/>
      </c>
      <c r="H767" s="28">
        <f>'02a_DC_Capacity_Alloc'!H767*'02a_DC_Capacity_Alloc'!I767*'02a_DC_Capacity_Alloc'!J767</f>
        <v/>
      </c>
      <c r="I767" s="6">
        <f>IFERROR(INDEX('02b_DC_Accelerator_Mix'!$F$2:$F$977,MATCH(G767,'02b_DC_Accelerator_Mix'!$A$2:$A$977,0)),0)</f>
        <v/>
      </c>
      <c r="J767" s="6">
        <f>IFERROR(INDEX('02b_DC_Accelerator_Mix'!$G$2:$G$977,MATCH(G767,'02b_DC_Accelerator_Mix'!$A$2:$A$977,0)),0)</f>
        <v/>
      </c>
      <c r="K767" s="6">
        <f>IFERROR(INDEX('02b_DC_Accelerator_Mix'!$H$2:$H$977,MATCH(G767,'02b_DC_Accelerator_Mix'!$A$2:$A$977,0)),0)</f>
        <v/>
      </c>
      <c r="L767" s="6">
        <f>IFERROR(INDEX('02b_DC_Accelerator_Mix'!$I$2:$I$977,MATCH(G767,'02b_DC_Accelerator_Mix'!$A$2:$A$977,0)),0)</f>
        <v/>
      </c>
      <c r="M767" s="6">
        <f>IFERROR(INDEX('02b_DC_Accelerator_Mix'!$J$2:$J$977,MATCH(G767,'02b_DC_Accelerator_Mix'!$A$2:$A$977,0)),0)</f>
        <v/>
      </c>
      <c r="N767" s="6">
        <f>IFERROR(INDEX('02b_DC_Accelerator_Mix'!$K$2:$K$977,MATCH(G767,'02b_DC_Accelerator_Mix'!$A$2:$A$977,0)),0)</f>
        <v/>
      </c>
      <c r="O767" s="6">
        <f>IFERROR(INDEX('02b_DC_Accelerator_Mix'!$L$2:$L$977,MATCH(G767,'02b_DC_Accelerator_Mix'!$A$2:$A$977,0)),0)</f>
        <v/>
      </c>
      <c r="P767" s="6">
        <f>IFERROR(INDEX('02b_DC_Accelerator_Mix'!$M$2:$M$977,MATCH(G767,'02b_DC_Accelerator_Mix'!$A$2:$A$977,0)),0)</f>
        <v/>
      </c>
      <c r="Q767" s="6">
        <f>IFERROR(INDEX('02b_DC_Accelerator_Mix'!$N$2:$N$977,MATCH(G767,'02b_DC_Accelerator_Mix'!$A$2:$A$977,0)),0)</f>
        <v/>
      </c>
      <c r="R767" s="28">
        <f>H767*I767</f>
        <v/>
      </c>
      <c r="S767" s="28">
        <f>H767*J767</f>
        <v/>
      </c>
      <c r="T767" s="28">
        <f>H767*K767</f>
        <v/>
      </c>
      <c r="U767" s="28">
        <f>H767*L767</f>
        <v/>
      </c>
      <c r="V767" s="28">
        <f>H767*M767</f>
        <v/>
      </c>
      <c r="W767" s="28">
        <f>H767*N767</f>
        <v/>
      </c>
      <c r="X767" s="28">
        <f>H767*O767</f>
        <v/>
      </c>
      <c r="Y767" s="28">
        <f>H767*P767</f>
        <v/>
      </c>
      <c r="Z767" s="28">
        <f>H767*Q767</f>
        <v/>
      </c>
      <c r="AA767" s="28">
        <f>SUM(U767:Z767)</f>
        <v/>
      </c>
      <c r="AB767" s="5">
        <f>IF(COUNTIF('02b_DC_Accelerator_Mix'!$A$2:$A$977,G767)&gt;0,"matched","missing_mix")</f>
        <v/>
      </c>
    </row>
    <row r="768">
      <c r="A768" s="5">
        <f>'02a_DC_Capacity_Alloc'!A768</f>
        <v/>
      </c>
      <c r="B768" s="5">
        <f>'02a_DC_Capacity_Alloc'!B768</f>
        <v/>
      </c>
      <c r="C768" s="5">
        <f>'02a_DC_Capacity_Alloc'!C768</f>
        <v/>
      </c>
      <c r="D768" s="5">
        <f>'02a_DC_Capacity_Alloc'!D768</f>
        <v/>
      </c>
      <c r="E768" s="5">
        <f>'02a_DC_Capacity_Alloc'!E768</f>
        <v/>
      </c>
      <c r="F768" s="5">
        <f>'02a_DC_Capacity_Alloc'!F768</f>
        <v/>
      </c>
      <c r="G768" s="5">
        <f>B768&amp;"|"&amp;E768&amp;"|"&amp;D768</f>
        <v/>
      </c>
      <c r="H768" s="28">
        <f>'02a_DC_Capacity_Alloc'!H768*'02a_DC_Capacity_Alloc'!I768*'02a_DC_Capacity_Alloc'!J768</f>
        <v/>
      </c>
      <c r="I768" s="6">
        <f>IFERROR(INDEX('02b_DC_Accelerator_Mix'!$F$2:$F$977,MATCH(G768,'02b_DC_Accelerator_Mix'!$A$2:$A$977,0)),0)</f>
        <v/>
      </c>
      <c r="J768" s="6">
        <f>IFERROR(INDEX('02b_DC_Accelerator_Mix'!$G$2:$G$977,MATCH(G768,'02b_DC_Accelerator_Mix'!$A$2:$A$977,0)),0)</f>
        <v/>
      </c>
      <c r="K768" s="6">
        <f>IFERROR(INDEX('02b_DC_Accelerator_Mix'!$H$2:$H$977,MATCH(G768,'02b_DC_Accelerator_Mix'!$A$2:$A$977,0)),0)</f>
        <v/>
      </c>
      <c r="L768" s="6">
        <f>IFERROR(INDEX('02b_DC_Accelerator_Mix'!$I$2:$I$977,MATCH(G768,'02b_DC_Accelerator_Mix'!$A$2:$A$977,0)),0)</f>
        <v/>
      </c>
      <c r="M768" s="6">
        <f>IFERROR(INDEX('02b_DC_Accelerator_Mix'!$J$2:$J$977,MATCH(G768,'02b_DC_Accelerator_Mix'!$A$2:$A$977,0)),0)</f>
        <v/>
      </c>
      <c r="N768" s="6">
        <f>IFERROR(INDEX('02b_DC_Accelerator_Mix'!$K$2:$K$977,MATCH(G768,'02b_DC_Accelerator_Mix'!$A$2:$A$977,0)),0)</f>
        <v/>
      </c>
      <c r="O768" s="6">
        <f>IFERROR(INDEX('02b_DC_Accelerator_Mix'!$L$2:$L$977,MATCH(G768,'02b_DC_Accelerator_Mix'!$A$2:$A$977,0)),0)</f>
        <v/>
      </c>
      <c r="P768" s="6">
        <f>IFERROR(INDEX('02b_DC_Accelerator_Mix'!$M$2:$M$977,MATCH(G768,'02b_DC_Accelerator_Mix'!$A$2:$A$977,0)),0)</f>
        <v/>
      </c>
      <c r="Q768" s="6">
        <f>IFERROR(INDEX('02b_DC_Accelerator_Mix'!$N$2:$N$977,MATCH(G768,'02b_DC_Accelerator_Mix'!$A$2:$A$977,0)),0)</f>
        <v/>
      </c>
      <c r="R768" s="28">
        <f>H768*I768</f>
        <v/>
      </c>
      <c r="S768" s="28">
        <f>H768*J768</f>
        <v/>
      </c>
      <c r="T768" s="28">
        <f>H768*K768</f>
        <v/>
      </c>
      <c r="U768" s="28">
        <f>H768*L768</f>
        <v/>
      </c>
      <c r="V768" s="28">
        <f>H768*M768</f>
        <v/>
      </c>
      <c r="W768" s="28">
        <f>H768*N768</f>
        <v/>
      </c>
      <c r="X768" s="28">
        <f>H768*O768</f>
        <v/>
      </c>
      <c r="Y768" s="28">
        <f>H768*P768</f>
        <v/>
      </c>
      <c r="Z768" s="28">
        <f>H768*Q768</f>
        <v/>
      </c>
      <c r="AA768" s="28">
        <f>SUM(U768:Z768)</f>
        <v/>
      </c>
      <c r="AB768" s="5">
        <f>IF(COUNTIF('02b_DC_Accelerator_Mix'!$A$2:$A$977,G768)&gt;0,"matched","missing_mix")</f>
        <v/>
      </c>
    </row>
    <row r="769">
      <c r="A769" s="5">
        <f>'02a_DC_Capacity_Alloc'!A769</f>
        <v/>
      </c>
      <c r="B769" s="5">
        <f>'02a_DC_Capacity_Alloc'!B769</f>
        <v/>
      </c>
      <c r="C769" s="5">
        <f>'02a_DC_Capacity_Alloc'!C769</f>
        <v/>
      </c>
      <c r="D769" s="5">
        <f>'02a_DC_Capacity_Alloc'!D769</f>
        <v/>
      </c>
      <c r="E769" s="5">
        <f>'02a_DC_Capacity_Alloc'!E769</f>
        <v/>
      </c>
      <c r="F769" s="5">
        <f>'02a_DC_Capacity_Alloc'!F769</f>
        <v/>
      </c>
      <c r="G769" s="5">
        <f>B769&amp;"|"&amp;E769&amp;"|"&amp;D769</f>
        <v/>
      </c>
      <c r="H769" s="28">
        <f>'02a_DC_Capacity_Alloc'!H769*'02a_DC_Capacity_Alloc'!I769*'02a_DC_Capacity_Alloc'!J769</f>
        <v/>
      </c>
      <c r="I769" s="6">
        <f>IFERROR(INDEX('02b_DC_Accelerator_Mix'!$F$2:$F$977,MATCH(G769,'02b_DC_Accelerator_Mix'!$A$2:$A$977,0)),0)</f>
        <v/>
      </c>
      <c r="J769" s="6">
        <f>IFERROR(INDEX('02b_DC_Accelerator_Mix'!$G$2:$G$977,MATCH(G769,'02b_DC_Accelerator_Mix'!$A$2:$A$977,0)),0)</f>
        <v/>
      </c>
      <c r="K769" s="6">
        <f>IFERROR(INDEX('02b_DC_Accelerator_Mix'!$H$2:$H$977,MATCH(G769,'02b_DC_Accelerator_Mix'!$A$2:$A$977,0)),0)</f>
        <v/>
      </c>
      <c r="L769" s="6">
        <f>IFERROR(INDEX('02b_DC_Accelerator_Mix'!$I$2:$I$977,MATCH(G769,'02b_DC_Accelerator_Mix'!$A$2:$A$977,0)),0)</f>
        <v/>
      </c>
      <c r="M769" s="6">
        <f>IFERROR(INDEX('02b_DC_Accelerator_Mix'!$J$2:$J$977,MATCH(G769,'02b_DC_Accelerator_Mix'!$A$2:$A$977,0)),0)</f>
        <v/>
      </c>
      <c r="N769" s="6">
        <f>IFERROR(INDEX('02b_DC_Accelerator_Mix'!$K$2:$K$977,MATCH(G769,'02b_DC_Accelerator_Mix'!$A$2:$A$977,0)),0)</f>
        <v/>
      </c>
      <c r="O769" s="6">
        <f>IFERROR(INDEX('02b_DC_Accelerator_Mix'!$L$2:$L$977,MATCH(G769,'02b_DC_Accelerator_Mix'!$A$2:$A$977,0)),0)</f>
        <v/>
      </c>
      <c r="P769" s="6">
        <f>IFERROR(INDEX('02b_DC_Accelerator_Mix'!$M$2:$M$977,MATCH(G769,'02b_DC_Accelerator_Mix'!$A$2:$A$977,0)),0)</f>
        <v/>
      </c>
      <c r="Q769" s="6">
        <f>IFERROR(INDEX('02b_DC_Accelerator_Mix'!$N$2:$N$977,MATCH(G769,'02b_DC_Accelerator_Mix'!$A$2:$A$977,0)),0)</f>
        <v/>
      </c>
      <c r="R769" s="28">
        <f>H769*I769</f>
        <v/>
      </c>
      <c r="S769" s="28">
        <f>H769*J769</f>
        <v/>
      </c>
      <c r="T769" s="28">
        <f>H769*K769</f>
        <v/>
      </c>
      <c r="U769" s="28">
        <f>H769*L769</f>
        <v/>
      </c>
      <c r="V769" s="28">
        <f>H769*M769</f>
        <v/>
      </c>
      <c r="W769" s="28">
        <f>H769*N769</f>
        <v/>
      </c>
      <c r="X769" s="28">
        <f>H769*O769</f>
        <v/>
      </c>
      <c r="Y769" s="28">
        <f>H769*P769</f>
        <v/>
      </c>
      <c r="Z769" s="28">
        <f>H769*Q769</f>
        <v/>
      </c>
      <c r="AA769" s="28">
        <f>SUM(U769:Z769)</f>
        <v/>
      </c>
      <c r="AB769" s="5">
        <f>IF(COUNTIF('02b_DC_Accelerator_Mix'!$A$2:$A$977,G769)&gt;0,"matched","missing_mix")</f>
        <v/>
      </c>
    </row>
    <row r="770">
      <c r="A770" s="5">
        <f>'02a_DC_Capacity_Alloc'!A770</f>
        <v/>
      </c>
      <c r="B770" s="5">
        <f>'02a_DC_Capacity_Alloc'!B770</f>
        <v/>
      </c>
      <c r="C770" s="5">
        <f>'02a_DC_Capacity_Alloc'!C770</f>
        <v/>
      </c>
      <c r="D770" s="5">
        <f>'02a_DC_Capacity_Alloc'!D770</f>
        <v/>
      </c>
      <c r="E770" s="5">
        <f>'02a_DC_Capacity_Alloc'!E770</f>
        <v/>
      </c>
      <c r="F770" s="5">
        <f>'02a_DC_Capacity_Alloc'!F770</f>
        <v/>
      </c>
      <c r="G770" s="5">
        <f>B770&amp;"|"&amp;E770&amp;"|"&amp;D770</f>
        <v/>
      </c>
      <c r="H770" s="28">
        <f>'02a_DC_Capacity_Alloc'!H770*'02a_DC_Capacity_Alloc'!I770*'02a_DC_Capacity_Alloc'!J770</f>
        <v/>
      </c>
      <c r="I770" s="6">
        <f>IFERROR(INDEX('02b_DC_Accelerator_Mix'!$F$2:$F$977,MATCH(G770,'02b_DC_Accelerator_Mix'!$A$2:$A$977,0)),0)</f>
        <v/>
      </c>
      <c r="J770" s="6">
        <f>IFERROR(INDEX('02b_DC_Accelerator_Mix'!$G$2:$G$977,MATCH(G770,'02b_DC_Accelerator_Mix'!$A$2:$A$977,0)),0)</f>
        <v/>
      </c>
      <c r="K770" s="6">
        <f>IFERROR(INDEX('02b_DC_Accelerator_Mix'!$H$2:$H$977,MATCH(G770,'02b_DC_Accelerator_Mix'!$A$2:$A$977,0)),0)</f>
        <v/>
      </c>
      <c r="L770" s="6">
        <f>IFERROR(INDEX('02b_DC_Accelerator_Mix'!$I$2:$I$977,MATCH(G770,'02b_DC_Accelerator_Mix'!$A$2:$A$977,0)),0)</f>
        <v/>
      </c>
      <c r="M770" s="6">
        <f>IFERROR(INDEX('02b_DC_Accelerator_Mix'!$J$2:$J$977,MATCH(G770,'02b_DC_Accelerator_Mix'!$A$2:$A$977,0)),0)</f>
        <v/>
      </c>
      <c r="N770" s="6">
        <f>IFERROR(INDEX('02b_DC_Accelerator_Mix'!$K$2:$K$977,MATCH(G770,'02b_DC_Accelerator_Mix'!$A$2:$A$977,0)),0)</f>
        <v/>
      </c>
      <c r="O770" s="6">
        <f>IFERROR(INDEX('02b_DC_Accelerator_Mix'!$L$2:$L$977,MATCH(G770,'02b_DC_Accelerator_Mix'!$A$2:$A$977,0)),0)</f>
        <v/>
      </c>
      <c r="P770" s="6">
        <f>IFERROR(INDEX('02b_DC_Accelerator_Mix'!$M$2:$M$977,MATCH(G770,'02b_DC_Accelerator_Mix'!$A$2:$A$977,0)),0)</f>
        <v/>
      </c>
      <c r="Q770" s="6">
        <f>IFERROR(INDEX('02b_DC_Accelerator_Mix'!$N$2:$N$977,MATCH(G770,'02b_DC_Accelerator_Mix'!$A$2:$A$977,0)),0)</f>
        <v/>
      </c>
      <c r="R770" s="28">
        <f>H770*I770</f>
        <v/>
      </c>
      <c r="S770" s="28">
        <f>H770*J770</f>
        <v/>
      </c>
      <c r="T770" s="28">
        <f>H770*K770</f>
        <v/>
      </c>
      <c r="U770" s="28">
        <f>H770*L770</f>
        <v/>
      </c>
      <c r="V770" s="28">
        <f>H770*M770</f>
        <v/>
      </c>
      <c r="W770" s="28">
        <f>H770*N770</f>
        <v/>
      </c>
      <c r="X770" s="28">
        <f>H770*O770</f>
        <v/>
      </c>
      <c r="Y770" s="28">
        <f>H770*P770</f>
        <v/>
      </c>
      <c r="Z770" s="28">
        <f>H770*Q770</f>
        <v/>
      </c>
      <c r="AA770" s="28">
        <f>SUM(U770:Z770)</f>
        <v/>
      </c>
      <c r="AB770" s="5">
        <f>IF(COUNTIF('02b_DC_Accelerator_Mix'!$A$2:$A$977,G770)&gt;0,"matched","missing_mix")</f>
        <v/>
      </c>
    </row>
    <row r="771">
      <c r="A771" s="5">
        <f>'02a_DC_Capacity_Alloc'!A771</f>
        <v/>
      </c>
      <c r="B771" s="5">
        <f>'02a_DC_Capacity_Alloc'!B771</f>
        <v/>
      </c>
      <c r="C771" s="5">
        <f>'02a_DC_Capacity_Alloc'!C771</f>
        <v/>
      </c>
      <c r="D771" s="5">
        <f>'02a_DC_Capacity_Alloc'!D771</f>
        <v/>
      </c>
      <c r="E771" s="5">
        <f>'02a_DC_Capacity_Alloc'!E771</f>
        <v/>
      </c>
      <c r="F771" s="5">
        <f>'02a_DC_Capacity_Alloc'!F771</f>
        <v/>
      </c>
      <c r="G771" s="5">
        <f>B771&amp;"|"&amp;E771&amp;"|"&amp;D771</f>
        <v/>
      </c>
      <c r="H771" s="28">
        <f>'02a_DC_Capacity_Alloc'!H771*'02a_DC_Capacity_Alloc'!I771*'02a_DC_Capacity_Alloc'!J771</f>
        <v/>
      </c>
      <c r="I771" s="6">
        <f>IFERROR(INDEX('02b_DC_Accelerator_Mix'!$F$2:$F$977,MATCH(G771,'02b_DC_Accelerator_Mix'!$A$2:$A$977,0)),0)</f>
        <v/>
      </c>
      <c r="J771" s="6">
        <f>IFERROR(INDEX('02b_DC_Accelerator_Mix'!$G$2:$G$977,MATCH(G771,'02b_DC_Accelerator_Mix'!$A$2:$A$977,0)),0)</f>
        <v/>
      </c>
      <c r="K771" s="6">
        <f>IFERROR(INDEX('02b_DC_Accelerator_Mix'!$H$2:$H$977,MATCH(G771,'02b_DC_Accelerator_Mix'!$A$2:$A$977,0)),0)</f>
        <v/>
      </c>
      <c r="L771" s="6">
        <f>IFERROR(INDEX('02b_DC_Accelerator_Mix'!$I$2:$I$977,MATCH(G771,'02b_DC_Accelerator_Mix'!$A$2:$A$977,0)),0)</f>
        <v/>
      </c>
      <c r="M771" s="6">
        <f>IFERROR(INDEX('02b_DC_Accelerator_Mix'!$J$2:$J$977,MATCH(G771,'02b_DC_Accelerator_Mix'!$A$2:$A$977,0)),0)</f>
        <v/>
      </c>
      <c r="N771" s="6">
        <f>IFERROR(INDEX('02b_DC_Accelerator_Mix'!$K$2:$K$977,MATCH(G771,'02b_DC_Accelerator_Mix'!$A$2:$A$977,0)),0)</f>
        <v/>
      </c>
      <c r="O771" s="6">
        <f>IFERROR(INDEX('02b_DC_Accelerator_Mix'!$L$2:$L$977,MATCH(G771,'02b_DC_Accelerator_Mix'!$A$2:$A$977,0)),0)</f>
        <v/>
      </c>
      <c r="P771" s="6">
        <f>IFERROR(INDEX('02b_DC_Accelerator_Mix'!$M$2:$M$977,MATCH(G771,'02b_DC_Accelerator_Mix'!$A$2:$A$977,0)),0)</f>
        <v/>
      </c>
      <c r="Q771" s="6">
        <f>IFERROR(INDEX('02b_DC_Accelerator_Mix'!$N$2:$N$977,MATCH(G771,'02b_DC_Accelerator_Mix'!$A$2:$A$977,0)),0)</f>
        <v/>
      </c>
      <c r="R771" s="28">
        <f>H771*I771</f>
        <v/>
      </c>
      <c r="S771" s="28">
        <f>H771*J771</f>
        <v/>
      </c>
      <c r="T771" s="28">
        <f>H771*K771</f>
        <v/>
      </c>
      <c r="U771" s="28">
        <f>H771*L771</f>
        <v/>
      </c>
      <c r="V771" s="28">
        <f>H771*M771</f>
        <v/>
      </c>
      <c r="W771" s="28">
        <f>H771*N771</f>
        <v/>
      </c>
      <c r="X771" s="28">
        <f>H771*O771</f>
        <v/>
      </c>
      <c r="Y771" s="28">
        <f>H771*P771</f>
        <v/>
      </c>
      <c r="Z771" s="28">
        <f>H771*Q771</f>
        <v/>
      </c>
      <c r="AA771" s="28">
        <f>SUM(U771:Z771)</f>
        <v/>
      </c>
      <c r="AB771" s="5">
        <f>IF(COUNTIF('02b_DC_Accelerator_Mix'!$A$2:$A$977,G771)&gt;0,"matched","missing_mix")</f>
        <v/>
      </c>
    </row>
    <row r="772">
      <c r="A772" s="5">
        <f>'02a_DC_Capacity_Alloc'!A772</f>
        <v/>
      </c>
      <c r="B772" s="5">
        <f>'02a_DC_Capacity_Alloc'!B772</f>
        <v/>
      </c>
      <c r="C772" s="5">
        <f>'02a_DC_Capacity_Alloc'!C772</f>
        <v/>
      </c>
      <c r="D772" s="5">
        <f>'02a_DC_Capacity_Alloc'!D772</f>
        <v/>
      </c>
      <c r="E772" s="5">
        <f>'02a_DC_Capacity_Alloc'!E772</f>
        <v/>
      </c>
      <c r="F772" s="5">
        <f>'02a_DC_Capacity_Alloc'!F772</f>
        <v/>
      </c>
      <c r="G772" s="5">
        <f>B772&amp;"|"&amp;E772&amp;"|"&amp;D772</f>
        <v/>
      </c>
      <c r="H772" s="28">
        <f>'02a_DC_Capacity_Alloc'!H772*'02a_DC_Capacity_Alloc'!I772*'02a_DC_Capacity_Alloc'!J772</f>
        <v/>
      </c>
      <c r="I772" s="6">
        <f>IFERROR(INDEX('02b_DC_Accelerator_Mix'!$F$2:$F$977,MATCH(G772,'02b_DC_Accelerator_Mix'!$A$2:$A$977,0)),0)</f>
        <v/>
      </c>
      <c r="J772" s="6">
        <f>IFERROR(INDEX('02b_DC_Accelerator_Mix'!$G$2:$G$977,MATCH(G772,'02b_DC_Accelerator_Mix'!$A$2:$A$977,0)),0)</f>
        <v/>
      </c>
      <c r="K772" s="6">
        <f>IFERROR(INDEX('02b_DC_Accelerator_Mix'!$H$2:$H$977,MATCH(G772,'02b_DC_Accelerator_Mix'!$A$2:$A$977,0)),0)</f>
        <v/>
      </c>
      <c r="L772" s="6">
        <f>IFERROR(INDEX('02b_DC_Accelerator_Mix'!$I$2:$I$977,MATCH(G772,'02b_DC_Accelerator_Mix'!$A$2:$A$977,0)),0)</f>
        <v/>
      </c>
      <c r="M772" s="6">
        <f>IFERROR(INDEX('02b_DC_Accelerator_Mix'!$J$2:$J$977,MATCH(G772,'02b_DC_Accelerator_Mix'!$A$2:$A$977,0)),0)</f>
        <v/>
      </c>
      <c r="N772" s="6">
        <f>IFERROR(INDEX('02b_DC_Accelerator_Mix'!$K$2:$K$977,MATCH(G772,'02b_DC_Accelerator_Mix'!$A$2:$A$977,0)),0)</f>
        <v/>
      </c>
      <c r="O772" s="6">
        <f>IFERROR(INDEX('02b_DC_Accelerator_Mix'!$L$2:$L$977,MATCH(G772,'02b_DC_Accelerator_Mix'!$A$2:$A$977,0)),0)</f>
        <v/>
      </c>
      <c r="P772" s="6">
        <f>IFERROR(INDEX('02b_DC_Accelerator_Mix'!$M$2:$M$977,MATCH(G772,'02b_DC_Accelerator_Mix'!$A$2:$A$977,0)),0)</f>
        <v/>
      </c>
      <c r="Q772" s="6">
        <f>IFERROR(INDEX('02b_DC_Accelerator_Mix'!$N$2:$N$977,MATCH(G772,'02b_DC_Accelerator_Mix'!$A$2:$A$977,0)),0)</f>
        <v/>
      </c>
      <c r="R772" s="28">
        <f>H772*I772</f>
        <v/>
      </c>
      <c r="S772" s="28">
        <f>H772*J772</f>
        <v/>
      </c>
      <c r="T772" s="28">
        <f>H772*K772</f>
        <v/>
      </c>
      <c r="U772" s="28">
        <f>H772*L772</f>
        <v/>
      </c>
      <c r="V772" s="28">
        <f>H772*M772</f>
        <v/>
      </c>
      <c r="W772" s="28">
        <f>H772*N772</f>
        <v/>
      </c>
      <c r="X772" s="28">
        <f>H772*O772</f>
        <v/>
      </c>
      <c r="Y772" s="28">
        <f>H772*P772</f>
        <v/>
      </c>
      <c r="Z772" s="28">
        <f>H772*Q772</f>
        <v/>
      </c>
      <c r="AA772" s="28">
        <f>SUM(U772:Z772)</f>
        <v/>
      </c>
      <c r="AB772" s="5">
        <f>IF(COUNTIF('02b_DC_Accelerator_Mix'!$A$2:$A$977,G772)&gt;0,"matched","missing_mix")</f>
        <v/>
      </c>
    </row>
    <row r="773">
      <c r="A773" s="5">
        <f>'02a_DC_Capacity_Alloc'!A773</f>
        <v/>
      </c>
      <c r="B773" s="5">
        <f>'02a_DC_Capacity_Alloc'!B773</f>
        <v/>
      </c>
      <c r="C773" s="5">
        <f>'02a_DC_Capacity_Alloc'!C773</f>
        <v/>
      </c>
      <c r="D773" s="5">
        <f>'02a_DC_Capacity_Alloc'!D773</f>
        <v/>
      </c>
      <c r="E773" s="5">
        <f>'02a_DC_Capacity_Alloc'!E773</f>
        <v/>
      </c>
      <c r="F773" s="5">
        <f>'02a_DC_Capacity_Alloc'!F773</f>
        <v/>
      </c>
      <c r="G773" s="5">
        <f>B773&amp;"|"&amp;E773&amp;"|"&amp;D773</f>
        <v/>
      </c>
      <c r="H773" s="28">
        <f>'02a_DC_Capacity_Alloc'!H773*'02a_DC_Capacity_Alloc'!I773*'02a_DC_Capacity_Alloc'!J773</f>
        <v/>
      </c>
      <c r="I773" s="6">
        <f>IFERROR(INDEX('02b_DC_Accelerator_Mix'!$F$2:$F$977,MATCH(G773,'02b_DC_Accelerator_Mix'!$A$2:$A$977,0)),0)</f>
        <v/>
      </c>
      <c r="J773" s="6">
        <f>IFERROR(INDEX('02b_DC_Accelerator_Mix'!$G$2:$G$977,MATCH(G773,'02b_DC_Accelerator_Mix'!$A$2:$A$977,0)),0)</f>
        <v/>
      </c>
      <c r="K773" s="6">
        <f>IFERROR(INDEX('02b_DC_Accelerator_Mix'!$H$2:$H$977,MATCH(G773,'02b_DC_Accelerator_Mix'!$A$2:$A$977,0)),0)</f>
        <v/>
      </c>
      <c r="L773" s="6">
        <f>IFERROR(INDEX('02b_DC_Accelerator_Mix'!$I$2:$I$977,MATCH(G773,'02b_DC_Accelerator_Mix'!$A$2:$A$977,0)),0)</f>
        <v/>
      </c>
      <c r="M773" s="6">
        <f>IFERROR(INDEX('02b_DC_Accelerator_Mix'!$J$2:$J$977,MATCH(G773,'02b_DC_Accelerator_Mix'!$A$2:$A$977,0)),0)</f>
        <v/>
      </c>
      <c r="N773" s="6">
        <f>IFERROR(INDEX('02b_DC_Accelerator_Mix'!$K$2:$K$977,MATCH(G773,'02b_DC_Accelerator_Mix'!$A$2:$A$977,0)),0)</f>
        <v/>
      </c>
      <c r="O773" s="6">
        <f>IFERROR(INDEX('02b_DC_Accelerator_Mix'!$L$2:$L$977,MATCH(G773,'02b_DC_Accelerator_Mix'!$A$2:$A$977,0)),0)</f>
        <v/>
      </c>
      <c r="P773" s="6">
        <f>IFERROR(INDEX('02b_DC_Accelerator_Mix'!$M$2:$M$977,MATCH(G773,'02b_DC_Accelerator_Mix'!$A$2:$A$977,0)),0)</f>
        <v/>
      </c>
      <c r="Q773" s="6">
        <f>IFERROR(INDEX('02b_DC_Accelerator_Mix'!$N$2:$N$977,MATCH(G773,'02b_DC_Accelerator_Mix'!$A$2:$A$977,0)),0)</f>
        <v/>
      </c>
      <c r="R773" s="28">
        <f>H773*I773</f>
        <v/>
      </c>
      <c r="S773" s="28">
        <f>H773*J773</f>
        <v/>
      </c>
      <c r="T773" s="28">
        <f>H773*K773</f>
        <v/>
      </c>
      <c r="U773" s="28">
        <f>H773*L773</f>
        <v/>
      </c>
      <c r="V773" s="28">
        <f>H773*M773</f>
        <v/>
      </c>
      <c r="W773" s="28">
        <f>H773*N773</f>
        <v/>
      </c>
      <c r="X773" s="28">
        <f>H773*O773</f>
        <v/>
      </c>
      <c r="Y773" s="28">
        <f>H773*P773</f>
        <v/>
      </c>
      <c r="Z773" s="28">
        <f>H773*Q773</f>
        <v/>
      </c>
      <c r="AA773" s="28">
        <f>SUM(U773:Z773)</f>
        <v/>
      </c>
      <c r="AB773" s="5">
        <f>IF(COUNTIF('02b_DC_Accelerator_Mix'!$A$2:$A$977,G773)&gt;0,"matched","missing_mix")</f>
        <v/>
      </c>
    </row>
    <row r="774">
      <c r="A774" s="5">
        <f>'02a_DC_Capacity_Alloc'!A774</f>
        <v/>
      </c>
      <c r="B774" s="5">
        <f>'02a_DC_Capacity_Alloc'!B774</f>
        <v/>
      </c>
      <c r="C774" s="5">
        <f>'02a_DC_Capacity_Alloc'!C774</f>
        <v/>
      </c>
      <c r="D774" s="5">
        <f>'02a_DC_Capacity_Alloc'!D774</f>
        <v/>
      </c>
      <c r="E774" s="5">
        <f>'02a_DC_Capacity_Alloc'!E774</f>
        <v/>
      </c>
      <c r="F774" s="5">
        <f>'02a_DC_Capacity_Alloc'!F774</f>
        <v/>
      </c>
      <c r="G774" s="5">
        <f>B774&amp;"|"&amp;E774&amp;"|"&amp;D774</f>
        <v/>
      </c>
      <c r="H774" s="28">
        <f>'02a_DC_Capacity_Alloc'!H774*'02a_DC_Capacity_Alloc'!I774*'02a_DC_Capacity_Alloc'!J774</f>
        <v/>
      </c>
      <c r="I774" s="6">
        <f>IFERROR(INDEX('02b_DC_Accelerator_Mix'!$F$2:$F$977,MATCH(G774,'02b_DC_Accelerator_Mix'!$A$2:$A$977,0)),0)</f>
        <v/>
      </c>
      <c r="J774" s="6">
        <f>IFERROR(INDEX('02b_DC_Accelerator_Mix'!$G$2:$G$977,MATCH(G774,'02b_DC_Accelerator_Mix'!$A$2:$A$977,0)),0)</f>
        <v/>
      </c>
      <c r="K774" s="6">
        <f>IFERROR(INDEX('02b_DC_Accelerator_Mix'!$H$2:$H$977,MATCH(G774,'02b_DC_Accelerator_Mix'!$A$2:$A$977,0)),0)</f>
        <v/>
      </c>
      <c r="L774" s="6">
        <f>IFERROR(INDEX('02b_DC_Accelerator_Mix'!$I$2:$I$977,MATCH(G774,'02b_DC_Accelerator_Mix'!$A$2:$A$977,0)),0)</f>
        <v/>
      </c>
      <c r="M774" s="6">
        <f>IFERROR(INDEX('02b_DC_Accelerator_Mix'!$J$2:$J$977,MATCH(G774,'02b_DC_Accelerator_Mix'!$A$2:$A$977,0)),0)</f>
        <v/>
      </c>
      <c r="N774" s="6">
        <f>IFERROR(INDEX('02b_DC_Accelerator_Mix'!$K$2:$K$977,MATCH(G774,'02b_DC_Accelerator_Mix'!$A$2:$A$977,0)),0)</f>
        <v/>
      </c>
      <c r="O774" s="6">
        <f>IFERROR(INDEX('02b_DC_Accelerator_Mix'!$L$2:$L$977,MATCH(G774,'02b_DC_Accelerator_Mix'!$A$2:$A$977,0)),0)</f>
        <v/>
      </c>
      <c r="P774" s="6">
        <f>IFERROR(INDEX('02b_DC_Accelerator_Mix'!$M$2:$M$977,MATCH(G774,'02b_DC_Accelerator_Mix'!$A$2:$A$977,0)),0)</f>
        <v/>
      </c>
      <c r="Q774" s="6">
        <f>IFERROR(INDEX('02b_DC_Accelerator_Mix'!$N$2:$N$977,MATCH(G774,'02b_DC_Accelerator_Mix'!$A$2:$A$977,0)),0)</f>
        <v/>
      </c>
      <c r="R774" s="28">
        <f>H774*I774</f>
        <v/>
      </c>
      <c r="S774" s="28">
        <f>H774*J774</f>
        <v/>
      </c>
      <c r="T774" s="28">
        <f>H774*K774</f>
        <v/>
      </c>
      <c r="U774" s="28">
        <f>H774*L774</f>
        <v/>
      </c>
      <c r="V774" s="28">
        <f>H774*M774</f>
        <v/>
      </c>
      <c r="W774" s="28">
        <f>H774*N774</f>
        <v/>
      </c>
      <c r="X774" s="28">
        <f>H774*O774</f>
        <v/>
      </c>
      <c r="Y774" s="28">
        <f>H774*P774</f>
        <v/>
      </c>
      <c r="Z774" s="28">
        <f>H774*Q774</f>
        <v/>
      </c>
      <c r="AA774" s="28">
        <f>SUM(U774:Z774)</f>
        <v/>
      </c>
      <c r="AB774" s="5">
        <f>IF(COUNTIF('02b_DC_Accelerator_Mix'!$A$2:$A$977,G774)&gt;0,"matched","missing_mix")</f>
        <v/>
      </c>
    </row>
    <row r="775">
      <c r="A775" s="5">
        <f>'02a_DC_Capacity_Alloc'!A775</f>
        <v/>
      </c>
      <c r="B775" s="5">
        <f>'02a_DC_Capacity_Alloc'!B775</f>
        <v/>
      </c>
      <c r="C775" s="5">
        <f>'02a_DC_Capacity_Alloc'!C775</f>
        <v/>
      </c>
      <c r="D775" s="5">
        <f>'02a_DC_Capacity_Alloc'!D775</f>
        <v/>
      </c>
      <c r="E775" s="5">
        <f>'02a_DC_Capacity_Alloc'!E775</f>
        <v/>
      </c>
      <c r="F775" s="5">
        <f>'02a_DC_Capacity_Alloc'!F775</f>
        <v/>
      </c>
      <c r="G775" s="5">
        <f>B775&amp;"|"&amp;E775&amp;"|"&amp;D775</f>
        <v/>
      </c>
      <c r="H775" s="28">
        <f>'02a_DC_Capacity_Alloc'!H775*'02a_DC_Capacity_Alloc'!I775*'02a_DC_Capacity_Alloc'!J775</f>
        <v/>
      </c>
      <c r="I775" s="6">
        <f>IFERROR(INDEX('02b_DC_Accelerator_Mix'!$F$2:$F$977,MATCH(G775,'02b_DC_Accelerator_Mix'!$A$2:$A$977,0)),0)</f>
        <v/>
      </c>
      <c r="J775" s="6">
        <f>IFERROR(INDEX('02b_DC_Accelerator_Mix'!$G$2:$G$977,MATCH(G775,'02b_DC_Accelerator_Mix'!$A$2:$A$977,0)),0)</f>
        <v/>
      </c>
      <c r="K775" s="6">
        <f>IFERROR(INDEX('02b_DC_Accelerator_Mix'!$H$2:$H$977,MATCH(G775,'02b_DC_Accelerator_Mix'!$A$2:$A$977,0)),0)</f>
        <v/>
      </c>
      <c r="L775" s="6">
        <f>IFERROR(INDEX('02b_DC_Accelerator_Mix'!$I$2:$I$977,MATCH(G775,'02b_DC_Accelerator_Mix'!$A$2:$A$977,0)),0)</f>
        <v/>
      </c>
      <c r="M775" s="6">
        <f>IFERROR(INDEX('02b_DC_Accelerator_Mix'!$J$2:$J$977,MATCH(G775,'02b_DC_Accelerator_Mix'!$A$2:$A$977,0)),0)</f>
        <v/>
      </c>
      <c r="N775" s="6">
        <f>IFERROR(INDEX('02b_DC_Accelerator_Mix'!$K$2:$K$977,MATCH(G775,'02b_DC_Accelerator_Mix'!$A$2:$A$977,0)),0)</f>
        <v/>
      </c>
      <c r="O775" s="6">
        <f>IFERROR(INDEX('02b_DC_Accelerator_Mix'!$L$2:$L$977,MATCH(G775,'02b_DC_Accelerator_Mix'!$A$2:$A$977,0)),0)</f>
        <v/>
      </c>
      <c r="P775" s="6">
        <f>IFERROR(INDEX('02b_DC_Accelerator_Mix'!$M$2:$M$977,MATCH(G775,'02b_DC_Accelerator_Mix'!$A$2:$A$977,0)),0)</f>
        <v/>
      </c>
      <c r="Q775" s="6">
        <f>IFERROR(INDEX('02b_DC_Accelerator_Mix'!$N$2:$N$977,MATCH(G775,'02b_DC_Accelerator_Mix'!$A$2:$A$977,0)),0)</f>
        <v/>
      </c>
      <c r="R775" s="28">
        <f>H775*I775</f>
        <v/>
      </c>
      <c r="S775" s="28">
        <f>H775*J775</f>
        <v/>
      </c>
      <c r="T775" s="28">
        <f>H775*K775</f>
        <v/>
      </c>
      <c r="U775" s="28">
        <f>H775*L775</f>
        <v/>
      </c>
      <c r="V775" s="28">
        <f>H775*M775</f>
        <v/>
      </c>
      <c r="W775" s="28">
        <f>H775*N775</f>
        <v/>
      </c>
      <c r="X775" s="28">
        <f>H775*O775</f>
        <v/>
      </c>
      <c r="Y775" s="28">
        <f>H775*P775</f>
        <v/>
      </c>
      <c r="Z775" s="28">
        <f>H775*Q775</f>
        <v/>
      </c>
      <c r="AA775" s="28">
        <f>SUM(U775:Z775)</f>
        <v/>
      </c>
      <c r="AB775" s="5">
        <f>IF(COUNTIF('02b_DC_Accelerator_Mix'!$A$2:$A$977,G775)&gt;0,"matched","missing_mix")</f>
        <v/>
      </c>
    </row>
    <row r="776">
      <c r="A776" s="5">
        <f>'02a_DC_Capacity_Alloc'!A776</f>
        <v/>
      </c>
      <c r="B776" s="5">
        <f>'02a_DC_Capacity_Alloc'!B776</f>
        <v/>
      </c>
      <c r="C776" s="5">
        <f>'02a_DC_Capacity_Alloc'!C776</f>
        <v/>
      </c>
      <c r="D776" s="5">
        <f>'02a_DC_Capacity_Alloc'!D776</f>
        <v/>
      </c>
      <c r="E776" s="5">
        <f>'02a_DC_Capacity_Alloc'!E776</f>
        <v/>
      </c>
      <c r="F776" s="5">
        <f>'02a_DC_Capacity_Alloc'!F776</f>
        <v/>
      </c>
      <c r="G776" s="5">
        <f>B776&amp;"|"&amp;E776&amp;"|"&amp;D776</f>
        <v/>
      </c>
      <c r="H776" s="28">
        <f>'02a_DC_Capacity_Alloc'!H776*'02a_DC_Capacity_Alloc'!I776*'02a_DC_Capacity_Alloc'!J776</f>
        <v/>
      </c>
      <c r="I776" s="6">
        <f>IFERROR(INDEX('02b_DC_Accelerator_Mix'!$F$2:$F$977,MATCH(G776,'02b_DC_Accelerator_Mix'!$A$2:$A$977,0)),0)</f>
        <v/>
      </c>
      <c r="J776" s="6">
        <f>IFERROR(INDEX('02b_DC_Accelerator_Mix'!$G$2:$G$977,MATCH(G776,'02b_DC_Accelerator_Mix'!$A$2:$A$977,0)),0)</f>
        <v/>
      </c>
      <c r="K776" s="6">
        <f>IFERROR(INDEX('02b_DC_Accelerator_Mix'!$H$2:$H$977,MATCH(G776,'02b_DC_Accelerator_Mix'!$A$2:$A$977,0)),0)</f>
        <v/>
      </c>
      <c r="L776" s="6">
        <f>IFERROR(INDEX('02b_DC_Accelerator_Mix'!$I$2:$I$977,MATCH(G776,'02b_DC_Accelerator_Mix'!$A$2:$A$977,0)),0)</f>
        <v/>
      </c>
      <c r="M776" s="6">
        <f>IFERROR(INDEX('02b_DC_Accelerator_Mix'!$J$2:$J$977,MATCH(G776,'02b_DC_Accelerator_Mix'!$A$2:$A$977,0)),0)</f>
        <v/>
      </c>
      <c r="N776" s="6">
        <f>IFERROR(INDEX('02b_DC_Accelerator_Mix'!$K$2:$K$977,MATCH(G776,'02b_DC_Accelerator_Mix'!$A$2:$A$977,0)),0)</f>
        <v/>
      </c>
      <c r="O776" s="6">
        <f>IFERROR(INDEX('02b_DC_Accelerator_Mix'!$L$2:$L$977,MATCH(G776,'02b_DC_Accelerator_Mix'!$A$2:$A$977,0)),0)</f>
        <v/>
      </c>
      <c r="P776" s="6">
        <f>IFERROR(INDEX('02b_DC_Accelerator_Mix'!$M$2:$M$977,MATCH(G776,'02b_DC_Accelerator_Mix'!$A$2:$A$977,0)),0)</f>
        <v/>
      </c>
      <c r="Q776" s="6">
        <f>IFERROR(INDEX('02b_DC_Accelerator_Mix'!$N$2:$N$977,MATCH(G776,'02b_DC_Accelerator_Mix'!$A$2:$A$977,0)),0)</f>
        <v/>
      </c>
      <c r="R776" s="28">
        <f>H776*I776</f>
        <v/>
      </c>
      <c r="S776" s="28">
        <f>H776*J776</f>
        <v/>
      </c>
      <c r="T776" s="28">
        <f>H776*K776</f>
        <v/>
      </c>
      <c r="U776" s="28">
        <f>H776*L776</f>
        <v/>
      </c>
      <c r="V776" s="28">
        <f>H776*M776</f>
        <v/>
      </c>
      <c r="W776" s="28">
        <f>H776*N776</f>
        <v/>
      </c>
      <c r="X776" s="28">
        <f>H776*O776</f>
        <v/>
      </c>
      <c r="Y776" s="28">
        <f>H776*P776</f>
        <v/>
      </c>
      <c r="Z776" s="28">
        <f>H776*Q776</f>
        <v/>
      </c>
      <c r="AA776" s="28">
        <f>SUM(U776:Z776)</f>
        <v/>
      </c>
      <c r="AB776" s="5">
        <f>IF(COUNTIF('02b_DC_Accelerator_Mix'!$A$2:$A$977,G776)&gt;0,"matched","missing_mix")</f>
        <v/>
      </c>
    </row>
    <row r="777">
      <c r="A777" s="5">
        <f>'02a_DC_Capacity_Alloc'!A777</f>
        <v/>
      </c>
      <c r="B777" s="5">
        <f>'02a_DC_Capacity_Alloc'!B777</f>
        <v/>
      </c>
      <c r="C777" s="5">
        <f>'02a_DC_Capacity_Alloc'!C777</f>
        <v/>
      </c>
      <c r="D777" s="5">
        <f>'02a_DC_Capacity_Alloc'!D777</f>
        <v/>
      </c>
      <c r="E777" s="5">
        <f>'02a_DC_Capacity_Alloc'!E777</f>
        <v/>
      </c>
      <c r="F777" s="5">
        <f>'02a_DC_Capacity_Alloc'!F777</f>
        <v/>
      </c>
      <c r="G777" s="5">
        <f>B777&amp;"|"&amp;E777&amp;"|"&amp;D777</f>
        <v/>
      </c>
      <c r="H777" s="28">
        <f>'02a_DC_Capacity_Alloc'!H777*'02a_DC_Capacity_Alloc'!I777*'02a_DC_Capacity_Alloc'!J777</f>
        <v/>
      </c>
      <c r="I777" s="6">
        <f>IFERROR(INDEX('02b_DC_Accelerator_Mix'!$F$2:$F$977,MATCH(G777,'02b_DC_Accelerator_Mix'!$A$2:$A$977,0)),0)</f>
        <v/>
      </c>
      <c r="J777" s="6">
        <f>IFERROR(INDEX('02b_DC_Accelerator_Mix'!$G$2:$G$977,MATCH(G777,'02b_DC_Accelerator_Mix'!$A$2:$A$977,0)),0)</f>
        <v/>
      </c>
      <c r="K777" s="6">
        <f>IFERROR(INDEX('02b_DC_Accelerator_Mix'!$H$2:$H$977,MATCH(G777,'02b_DC_Accelerator_Mix'!$A$2:$A$977,0)),0)</f>
        <v/>
      </c>
      <c r="L777" s="6">
        <f>IFERROR(INDEX('02b_DC_Accelerator_Mix'!$I$2:$I$977,MATCH(G777,'02b_DC_Accelerator_Mix'!$A$2:$A$977,0)),0)</f>
        <v/>
      </c>
      <c r="M777" s="6">
        <f>IFERROR(INDEX('02b_DC_Accelerator_Mix'!$J$2:$J$977,MATCH(G777,'02b_DC_Accelerator_Mix'!$A$2:$A$977,0)),0)</f>
        <v/>
      </c>
      <c r="N777" s="6">
        <f>IFERROR(INDEX('02b_DC_Accelerator_Mix'!$K$2:$K$977,MATCH(G777,'02b_DC_Accelerator_Mix'!$A$2:$A$977,0)),0)</f>
        <v/>
      </c>
      <c r="O777" s="6">
        <f>IFERROR(INDEX('02b_DC_Accelerator_Mix'!$L$2:$L$977,MATCH(G777,'02b_DC_Accelerator_Mix'!$A$2:$A$977,0)),0)</f>
        <v/>
      </c>
      <c r="P777" s="6">
        <f>IFERROR(INDEX('02b_DC_Accelerator_Mix'!$M$2:$M$977,MATCH(G777,'02b_DC_Accelerator_Mix'!$A$2:$A$977,0)),0)</f>
        <v/>
      </c>
      <c r="Q777" s="6">
        <f>IFERROR(INDEX('02b_DC_Accelerator_Mix'!$N$2:$N$977,MATCH(G777,'02b_DC_Accelerator_Mix'!$A$2:$A$977,0)),0)</f>
        <v/>
      </c>
      <c r="R777" s="28">
        <f>H777*I777</f>
        <v/>
      </c>
      <c r="S777" s="28">
        <f>H777*J777</f>
        <v/>
      </c>
      <c r="T777" s="28">
        <f>H777*K777</f>
        <v/>
      </c>
      <c r="U777" s="28">
        <f>H777*L777</f>
        <v/>
      </c>
      <c r="V777" s="28">
        <f>H777*M777</f>
        <v/>
      </c>
      <c r="W777" s="28">
        <f>H777*N777</f>
        <v/>
      </c>
      <c r="X777" s="28">
        <f>H777*O777</f>
        <v/>
      </c>
      <c r="Y777" s="28">
        <f>H777*P777</f>
        <v/>
      </c>
      <c r="Z777" s="28">
        <f>H777*Q777</f>
        <v/>
      </c>
      <c r="AA777" s="28">
        <f>SUM(U777:Z777)</f>
        <v/>
      </c>
      <c r="AB777" s="5">
        <f>IF(COUNTIF('02b_DC_Accelerator_Mix'!$A$2:$A$977,G777)&gt;0,"matched","missing_mix")</f>
        <v/>
      </c>
    </row>
    <row r="778">
      <c r="A778" s="5">
        <f>'02a_DC_Capacity_Alloc'!A778</f>
        <v/>
      </c>
      <c r="B778" s="5">
        <f>'02a_DC_Capacity_Alloc'!B778</f>
        <v/>
      </c>
      <c r="C778" s="5">
        <f>'02a_DC_Capacity_Alloc'!C778</f>
        <v/>
      </c>
      <c r="D778" s="5">
        <f>'02a_DC_Capacity_Alloc'!D778</f>
        <v/>
      </c>
      <c r="E778" s="5">
        <f>'02a_DC_Capacity_Alloc'!E778</f>
        <v/>
      </c>
      <c r="F778" s="5">
        <f>'02a_DC_Capacity_Alloc'!F778</f>
        <v/>
      </c>
      <c r="G778" s="5">
        <f>B778&amp;"|"&amp;E778&amp;"|"&amp;D778</f>
        <v/>
      </c>
      <c r="H778" s="28">
        <f>'02a_DC_Capacity_Alloc'!H778*'02a_DC_Capacity_Alloc'!I778*'02a_DC_Capacity_Alloc'!J778</f>
        <v/>
      </c>
      <c r="I778" s="6">
        <f>IFERROR(INDEX('02b_DC_Accelerator_Mix'!$F$2:$F$977,MATCH(G778,'02b_DC_Accelerator_Mix'!$A$2:$A$977,0)),0)</f>
        <v/>
      </c>
      <c r="J778" s="6">
        <f>IFERROR(INDEX('02b_DC_Accelerator_Mix'!$G$2:$G$977,MATCH(G778,'02b_DC_Accelerator_Mix'!$A$2:$A$977,0)),0)</f>
        <v/>
      </c>
      <c r="K778" s="6">
        <f>IFERROR(INDEX('02b_DC_Accelerator_Mix'!$H$2:$H$977,MATCH(G778,'02b_DC_Accelerator_Mix'!$A$2:$A$977,0)),0)</f>
        <v/>
      </c>
      <c r="L778" s="6">
        <f>IFERROR(INDEX('02b_DC_Accelerator_Mix'!$I$2:$I$977,MATCH(G778,'02b_DC_Accelerator_Mix'!$A$2:$A$977,0)),0)</f>
        <v/>
      </c>
      <c r="M778" s="6">
        <f>IFERROR(INDEX('02b_DC_Accelerator_Mix'!$J$2:$J$977,MATCH(G778,'02b_DC_Accelerator_Mix'!$A$2:$A$977,0)),0)</f>
        <v/>
      </c>
      <c r="N778" s="6">
        <f>IFERROR(INDEX('02b_DC_Accelerator_Mix'!$K$2:$K$977,MATCH(G778,'02b_DC_Accelerator_Mix'!$A$2:$A$977,0)),0)</f>
        <v/>
      </c>
      <c r="O778" s="6">
        <f>IFERROR(INDEX('02b_DC_Accelerator_Mix'!$L$2:$L$977,MATCH(G778,'02b_DC_Accelerator_Mix'!$A$2:$A$977,0)),0)</f>
        <v/>
      </c>
      <c r="P778" s="6">
        <f>IFERROR(INDEX('02b_DC_Accelerator_Mix'!$M$2:$M$977,MATCH(G778,'02b_DC_Accelerator_Mix'!$A$2:$A$977,0)),0)</f>
        <v/>
      </c>
      <c r="Q778" s="6">
        <f>IFERROR(INDEX('02b_DC_Accelerator_Mix'!$N$2:$N$977,MATCH(G778,'02b_DC_Accelerator_Mix'!$A$2:$A$977,0)),0)</f>
        <v/>
      </c>
      <c r="R778" s="28">
        <f>H778*I778</f>
        <v/>
      </c>
      <c r="S778" s="28">
        <f>H778*J778</f>
        <v/>
      </c>
      <c r="T778" s="28">
        <f>H778*K778</f>
        <v/>
      </c>
      <c r="U778" s="28">
        <f>H778*L778</f>
        <v/>
      </c>
      <c r="V778" s="28">
        <f>H778*M778</f>
        <v/>
      </c>
      <c r="W778" s="28">
        <f>H778*N778</f>
        <v/>
      </c>
      <c r="X778" s="28">
        <f>H778*O778</f>
        <v/>
      </c>
      <c r="Y778" s="28">
        <f>H778*P778</f>
        <v/>
      </c>
      <c r="Z778" s="28">
        <f>H778*Q778</f>
        <v/>
      </c>
      <c r="AA778" s="28">
        <f>SUM(U778:Z778)</f>
        <v/>
      </c>
      <c r="AB778" s="5">
        <f>IF(COUNTIF('02b_DC_Accelerator_Mix'!$A$2:$A$977,G778)&gt;0,"matched","missing_mix")</f>
        <v/>
      </c>
    </row>
    <row r="779">
      <c r="A779" s="5">
        <f>'02a_DC_Capacity_Alloc'!A779</f>
        <v/>
      </c>
      <c r="B779" s="5">
        <f>'02a_DC_Capacity_Alloc'!B779</f>
        <v/>
      </c>
      <c r="C779" s="5">
        <f>'02a_DC_Capacity_Alloc'!C779</f>
        <v/>
      </c>
      <c r="D779" s="5">
        <f>'02a_DC_Capacity_Alloc'!D779</f>
        <v/>
      </c>
      <c r="E779" s="5">
        <f>'02a_DC_Capacity_Alloc'!E779</f>
        <v/>
      </c>
      <c r="F779" s="5">
        <f>'02a_DC_Capacity_Alloc'!F779</f>
        <v/>
      </c>
      <c r="G779" s="5">
        <f>B779&amp;"|"&amp;E779&amp;"|"&amp;D779</f>
        <v/>
      </c>
      <c r="H779" s="28">
        <f>'02a_DC_Capacity_Alloc'!H779*'02a_DC_Capacity_Alloc'!I779*'02a_DC_Capacity_Alloc'!J779</f>
        <v/>
      </c>
      <c r="I779" s="6">
        <f>IFERROR(INDEX('02b_DC_Accelerator_Mix'!$F$2:$F$977,MATCH(G779,'02b_DC_Accelerator_Mix'!$A$2:$A$977,0)),0)</f>
        <v/>
      </c>
      <c r="J779" s="6">
        <f>IFERROR(INDEX('02b_DC_Accelerator_Mix'!$G$2:$G$977,MATCH(G779,'02b_DC_Accelerator_Mix'!$A$2:$A$977,0)),0)</f>
        <v/>
      </c>
      <c r="K779" s="6">
        <f>IFERROR(INDEX('02b_DC_Accelerator_Mix'!$H$2:$H$977,MATCH(G779,'02b_DC_Accelerator_Mix'!$A$2:$A$977,0)),0)</f>
        <v/>
      </c>
      <c r="L779" s="6">
        <f>IFERROR(INDEX('02b_DC_Accelerator_Mix'!$I$2:$I$977,MATCH(G779,'02b_DC_Accelerator_Mix'!$A$2:$A$977,0)),0)</f>
        <v/>
      </c>
      <c r="M779" s="6">
        <f>IFERROR(INDEX('02b_DC_Accelerator_Mix'!$J$2:$J$977,MATCH(G779,'02b_DC_Accelerator_Mix'!$A$2:$A$977,0)),0)</f>
        <v/>
      </c>
      <c r="N779" s="6">
        <f>IFERROR(INDEX('02b_DC_Accelerator_Mix'!$K$2:$K$977,MATCH(G779,'02b_DC_Accelerator_Mix'!$A$2:$A$977,0)),0)</f>
        <v/>
      </c>
      <c r="O779" s="6">
        <f>IFERROR(INDEX('02b_DC_Accelerator_Mix'!$L$2:$L$977,MATCH(G779,'02b_DC_Accelerator_Mix'!$A$2:$A$977,0)),0)</f>
        <v/>
      </c>
      <c r="P779" s="6">
        <f>IFERROR(INDEX('02b_DC_Accelerator_Mix'!$M$2:$M$977,MATCH(G779,'02b_DC_Accelerator_Mix'!$A$2:$A$977,0)),0)</f>
        <v/>
      </c>
      <c r="Q779" s="6">
        <f>IFERROR(INDEX('02b_DC_Accelerator_Mix'!$N$2:$N$977,MATCH(G779,'02b_DC_Accelerator_Mix'!$A$2:$A$977,0)),0)</f>
        <v/>
      </c>
      <c r="R779" s="28">
        <f>H779*I779</f>
        <v/>
      </c>
      <c r="S779" s="28">
        <f>H779*J779</f>
        <v/>
      </c>
      <c r="T779" s="28">
        <f>H779*K779</f>
        <v/>
      </c>
      <c r="U779" s="28">
        <f>H779*L779</f>
        <v/>
      </c>
      <c r="V779" s="28">
        <f>H779*M779</f>
        <v/>
      </c>
      <c r="W779" s="28">
        <f>H779*N779</f>
        <v/>
      </c>
      <c r="X779" s="28">
        <f>H779*O779</f>
        <v/>
      </c>
      <c r="Y779" s="28">
        <f>H779*P779</f>
        <v/>
      </c>
      <c r="Z779" s="28">
        <f>H779*Q779</f>
        <v/>
      </c>
      <c r="AA779" s="28">
        <f>SUM(U779:Z779)</f>
        <v/>
      </c>
      <c r="AB779" s="5">
        <f>IF(COUNTIF('02b_DC_Accelerator_Mix'!$A$2:$A$977,G779)&gt;0,"matched","missing_mix")</f>
        <v/>
      </c>
    </row>
    <row r="780">
      <c r="A780" s="5">
        <f>'02a_DC_Capacity_Alloc'!A780</f>
        <v/>
      </c>
      <c r="B780" s="5">
        <f>'02a_DC_Capacity_Alloc'!B780</f>
        <v/>
      </c>
      <c r="C780" s="5">
        <f>'02a_DC_Capacity_Alloc'!C780</f>
        <v/>
      </c>
      <c r="D780" s="5">
        <f>'02a_DC_Capacity_Alloc'!D780</f>
        <v/>
      </c>
      <c r="E780" s="5">
        <f>'02a_DC_Capacity_Alloc'!E780</f>
        <v/>
      </c>
      <c r="F780" s="5">
        <f>'02a_DC_Capacity_Alloc'!F780</f>
        <v/>
      </c>
      <c r="G780" s="5">
        <f>B780&amp;"|"&amp;E780&amp;"|"&amp;D780</f>
        <v/>
      </c>
      <c r="H780" s="28">
        <f>'02a_DC_Capacity_Alloc'!H780*'02a_DC_Capacity_Alloc'!I780*'02a_DC_Capacity_Alloc'!J780</f>
        <v/>
      </c>
      <c r="I780" s="6">
        <f>IFERROR(INDEX('02b_DC_Accelerator_Mix'!$F$2:$F$977,MATCH(G780,'02b_DC_Accelerator_Mix'!$A$2:$A$977,0)),0)</f>
        <v/>
      </c>
      <c r="J780" s="6">
        <f>IFERROR(INDEX('02b_DC_Accelerator_Mix'!$G$2:$G$977,MATCH(G780,'02b_DC_Accelerator_Mix'!$A$2:$A$977,0)),0)</f>
        <v/>
      </c>
      <c r="K780" s="6">
        <f>IFERROR(INDEX('02b_DC_Accelerator_Mix'!$H$2:$H$977,MATCH(G780,'02b_DC_Accelerator_Mix'!$A$2:$A$977,0)),0)</f>
        <v/>
      </c>
      <c r="L780" s="6">
        <f>IFERROR(INDEX('02b_DC_Accelerator_Mix'!$I$2:$I$977,MATCH(G780,'02b_DC_Accelerator_Mix'!$A$2:$A$977,0)),0)</f>
        <v/>
      </c>
      <c r="M780" s="6">
        <f>IFERROR(INDEX('02b_DC_Accelerator_Mix'!$J$2:$J$977,MATCH(G780,'02b_DC_Accelerator_Mix'!$A$2:$A$977,0)),0)</f>
        <v/>
      </c>
      <c r="N780" s="6">
        <f>IFERROR(INDEX('02b_DC_Accelerator_Mix'!$K$2:$K$977,MATCH(G780,'02b_DC_Accelerator_Mix'!$A$2:$A$977,0)),0)</f>
        <v/>
      </c>
      <c r="O780" s="6">
        <f>IFERROR(INDEX('02b_DC_Accelerator_Mix'!$L$2:$L$977,MATCH(G780,'02b_DC_Accelerator_Mix'!$A$2:$A$977,0)),0)</f>
        <v/>
      </c>
      <c r="P780" s="6">
        <f>IFERROR(INDEX('02b_DC_Accelerator_Mix'!$M$2:$M$977,MATCH(G780,'02b_DC_Accelerator_Mix'!$A$2:$A$977,0)),0)</f>
        <v/>
      </c>
      <c r="Q780" s="6">
        <f>IFERROR(INDEX('02b_DC_Accelerator_Mix'!$N$2:$N$977,MATCH(G780,'02b_DC_Accelerator_Mix'!$A$2:$A$977,0)),0)</f>
        <v/>
      </c>
      <c r="R780" s="28">
        <f>H780*I780</f>
        <v/>
      </c>
      <c r="S780" s="28">
        <f>H780*J780</f>
        <v/>
      </c>
      <c r="T780" s="28">
        <f>H780*K780</f>
        <v/>
      </c>
      <c r="U780" s="28">
        <f>H780*L780</f>
        <v/>
      </c>
      <c r="V780" s="28">
        <f>H780*M780</f>
        <v/>
      </c>
      <c r="W780" s="28">
        <f>H780*N780</f>
        <v/>
      </c>
      <c r="X780" s="28">
        <f>H780*O780</f>
        <v/>
      </c>
      <c r="Y780" s="28">
        <f>H780*P780</f>
        <v/>
      </c>
      <c r="Z780" s="28">
        <f>H780*Q780</f>
        <v/>
      </c>
      <c r="AA780" s="28">
        <f>SUM(U780:Z780)</f>
        <v/>
      </c>
      <c r="AB780" s="5">
        <f>IF(COUNTIF('02b_DC_Accelerator_Mix'!$A$2:$A$977,G780)&gt;0,"matched","missing_mix")</f>
        <v/>
      </c>
    </row>
    <row r="781">
      <c r="A781" s="5">
        <f>'02a_DC_Capacity_Alloc'!A781</f>
        <v/>
      </c>
      <c r="B781" s="5">
        <f>'02a_DC_Capacity_Alloc'!B781</f>
        <v/>
      </c>
      <c r="C781" s="5">
        <f>'02a_DC_Capacity_Alloc'!C781</f>
        <v/>
      </c>
      <c r="D781" s="5">
        <f>'02a_DC_Capacity_Alloc'!D781</f>
        <v/>
      </c>
      <c r="E781" s="5">
        <f>'02a_DC_Capacity_Alloc'!E781</f>
        <v/>
      </c>
      <c r="F781" s="5">
        <f>'02a_DC_Capacity_Alloc'!F781</f>
        <v/>
      </c>
      <c r="G781" s="5">
        <f>B781&amp;"|"&amp;E781&amp;"|"&amp;D781</f>
        <v/>
      </c>
      <c r="H781" s="28">
        <f>'02a_DC_Capacity_Alloc'!H781*'02a_DC_Capacity_Alloc'!I781*'02a_DC_Capacity_Alloc'!J781</f>
        <v/>
      </c>
      <c r="I781" s="6">
        <f>IFERROR(INDEX('02b_DC_Accelerator_Mix'!$F$2:$F$977,MATCH(G781,'02b_DC_Accelerator_Mix'!$A$2:$A$977,0)),0)</f>
        <v/>
      </c>
      <c r="J781" s="6">
        <f>IFERROR(INDEX('02b_DC_Accelerator_Mix'!$G$2:$G$977,MATCH(G781,'02b_DC_Accelerator_Mix'!$A$2:$A$977,0)),0)</f>
        <v/>
      </c>
      <c r="K781" s="6">
        <f>IFERROR(INDEX('02b_DC_Accelerator_Mix'!$H$2:$H$977,MATCH(G781,'02b_DC_Accelerator_Mix'!$A$2:$A$977,0)),0)</f>
        <v/>
      </c>
      <c r="L781" s="6">
        <f>IFERROR(INDEX('02b_DC_Accelerator_Mix'!$I$2:$I$977,MATCH(G781,'02b_DC_Accelerator_Mix'!$A$2:$A$977,0)),0)</f>
        <v/>
      </c>
      <c r="M781" s="6">
        <f>IFERROR(INDEX('02b_DC_Accelerator_Mix'!$J$2:$J$977,MATCH(G781,'02b_DC_Accelerator_Mix'!$A$2:$A$977,0)),0)</f>
        <v/>
      </c>
      <c r="N781" s="6">
        <f>IFERROR(INDEX('02b_DC_Accelerator_Mix'!$K$2:$K$977,MATCH(G781,'02b_DC_Accelerator_Mix'!$A$2:$A$977,0)),0)</f>
        <v/>
      </c>
      <c r="O781" s="6">
        <f>IFERROR(INDEX('02b_DC_Accelerator_Mix'!$L$2:$L$977,MATCH(G781,'02b_DC_Accelerator_Mix'!$A$2:$A$977,0)),0)</f>
        <v/>
      </c>
      <c r="P781" s="6">
        <f>IFERROR(INDEX('02b_DC_Accelerator_Mix'!$M$2:$M$977,MATCH(G781,'02b_DC_Accelerator_Mix'!$A$2:$A$977,0)),0)</f>
        <v/>
      </c>
      <c r="Q781" s="6">
        <f>IFERROR(INDEX('02b_DC_Accelerator_Mix'!$N$2:$N$977,MATCH(G781,'02b_DC_Accelerator_Mix'!$A$2:$A$977,0)),0)</f>
        <v/>
      </c>
      <c r="R781" s="28">
        <f>H781*I781</f>
        <v/>
      </c>
      <c r="S781" s="28">
        <f>H781*J781</f>
        <v/>
      </c>
      <c r="T781" s="28">
        <f>H781*K781</f>
        <v/>
      </c>
      <c r="U781" s="28">
        <f>H781*L781</f>
        <v/>
      </c>
      <c r="V781" s="28">
        <f>H781*M781</f>
        <v/>
      </c>
      <c r="W781" s="28">
        <f>H781*N781</f>
        <v/>
      </c>
      <c r="X781" s="28">
        <f>H781*O781</f>
        <v/>
      </c>
      <c r="Y781" s="28">
        <f>H781*P781</f>
        <v/>
      </c>
      <c r="Z781" s="28">
        <f>H781*Q781</f>
        <v/>
      </c>
      <c r="AA781" s="28">
        <f>SUM(U781:Z781)</f>
        <v/>
      </c>
      <c r="AB781" s="5">
        <f>IF(COUNTIF('02b_DC_Accelerator_Mix'!$A$2:$A$977,G781)&gt;0,"matched","missing_mix")</f>
        <v/>
      </c>
    </row>
    <row r="782">
      <c r="A782" s="5">
        <f>'02a_DC_Capacity_Alloc'!A782</f>
        <v/>
      </c>
      <c r="B782" s="5">
        <f>'02a_DC_Capacity_Alloc'!B782</f>
        <v/>
      </c>
      <c r="C782" s="5">
        <f>'02a_DC_Capacity_Alloc'!C782</f>
        <v/>
      </c>
      <c r="D782" s="5">
        <f>'02a_DC_Capacity_Alloc'!D782</f>
        <v/>
      </c>
      <c r="E782" s="5">
        <f>'02a_DC_Capacity_Alloc'!E782</f>
        <v/>
      </c>
      <c r="F782" s="5">
        <f>'02a_DC_Capacity_Alloc'!F782</f>
        <v/>
      </c>
      <c r="G782" s="5">
        <f>B782&amp;"|"&amp;E782&amp;"|"&amp;D782</f>
        <v/>
      </c>
      <c r="H782" s="28">
        <f>'02a_DC_Capacity_Alloc'!H782*'02a_DC_Capacity_Alloc'!I782*'02a_DC_Capacity_Alloc'!J782</f>
        <v/>
      </c>
      <c r="I782" s="6">
        <f>IFERROR(INDEX('02b_DC_Accelerator_Mix'!$F$2:$F$977,MATCH(G782,'02b_DC_Accelerator_Mix'!$A$2:$A$977,0)),0)</f>
        <v/>
      </c>
      <c r="J782" s="6">
        <f>IFERROR(INDEX('02b_DC_Accelerator_Mix'!$G$2:$G$977,MATCH(G782,'02b_DC_Accelerator_Mix'!$A$2:$A$977,0)),0)</f>
        <v/>
      </c>
      <c r="K782" s="6">
        <f>IFERROR(INDEX('02b_DC_Accelerator_Mix'!$H$2:$H$977,MATCH(G782,'02b_DC_Accelerator_Mix'!$A$2:$A$977,0)),0)</f>
        <v/>
      </c>
      <c r="L782" s="6">
        <f>IFERROR(INDEX('02b_DC_Accelerator_Mix'!$I$2:$I$977,MATCH(G782,'02b_DC_Accelerator_Mix'!$A$2:$A$977,0)),0)</f>
        <v/>
      </c>
      <c r="M782" s="6">
        <f>IFERROR(INDEX('02b_DC_Accelerator_Mix'!$J$2:$J$977,MATCH(G782,'02b_DC_Accelerator_Mix'!$A$2:$A$977,0)),0)</f>
        <v/>
      </c>
      <c r="N782" s="6">
        <f>IFERROR(INDEX('02b_DC_Accelerator_Mix'!$K$2:$K$977,MATCH(G782,'02b_DC_Accelerator_Mix'!$A$2:$A$977,0)),0)</f>
        <v/>
      </c>
      <c r="O782" s="6">
        <f>IFERROR(INDEX('02b_DC_Accelerator_Mix'!$L$2:$L$977,MATCH(G782,'02b_DC_Accelerator_Mix'!$A$2:$A$977,0)),0)</f>
        <v/>
      </c>
      <c r="P782" s="6">
        <f>IFERROR(INDEX('02b_DC_Accelerator_Mix'!$M$2:$M$977,MATCH(G782,'02b_DC_Accelerator_Mix'!$A$2:$A$977,0)),0)</f>
        <v/>
      </c>
      <c r="Q782" s="6">
        <f>IFERROR(INDEX('02b_DC_Accelerator_Mix'!$N$2:$N$977,MATCH(G782,'02b_DC_Accelerator_Mix'!$A$2:$A$977,0)),0)</f>
        <v/>
      </c>
      <c r="R782" s="28">
        <f>H782*I782</f>
        <v/>
      </c>
      <c r="S782" s="28">
        <f>H782*J782</f>
        <v/>
      </c>
      <c r="T782" s="28">
        <f>H782*K782</f>
        <v/>
      </c>
      <c r="U782" s="28">
        <f>H782*L782</f>
        <v/>
      </c>
      <c r="V782" s="28">
        <f>H782*M782</f>
        <v/>
      </c>
      <c r="W782" s="28">
        <f>H782*N782</f>
        <v/>
      </c>
      <c r="X782" s="28">
        <f>H782*O782</f>
        <v/>
      </c>
      <c r="Y782" s="28">
        <f>H782*P782</f>
        <v/>
      </c>
      <c r="Z782" s="28">
        <f>H782*Q782</f>
        <v/>
      </c>
      <c r="AA782" s="28">
        <f>SUM(U782:Z782)</f>
        <v/>
      </c>
      <c r="AB782" s="5">
        <f>IF(COUNTIF('02b_DC_Accelerator_Mix'!$A$2:$A$977,G782)&gt;0,"matched","missing_mix")</f>
        <v/>
      </c>
    </row>
    <row r="783">
      <c r="A783" s="5">
        <f>'02a_DC_Capacity_Alloc'!A783</f>
        <v/>
      </c>
      <c r="B783" s="5">
        <f>'02a_DC_Capacity_Alloc'!B783</f>
        <v/>
      </c>
      <c r="C783" s="5">
        <f>'02a_DC_Capacity_Alloc'!C783</f>
        <v/>
      </c>
      <c r="D783" s="5">
        <f>'02a_DC_Capacity_Alloc'!D783</f>
        <v/>
      </c>
      <c r="E783" s="5">
        <f>'02a_DC_Capacity_Alloc'!E783</f>
        <v/>
      </c>
      <c r="F783" s="5">
        <f>'02a_DC_Capacity_Alloc'!F783</f>
        <v/>
      </c>
      <c r="G783" s="5">
        <f>B783&amp;"|"&amp;E783&amp;"|"&amp;D783</f>
        <v/>
      </c>
      <c r="H783" s="28">
        <f>'02a_DC_Capacity_Alloc'!H783*'02a_DC_Capacity_Alloc'!I783*'02a_DC_Capacity_Alloc'!J783</f>
        <v/>
      </c>
      <c r="I783" s="6">
        <f>IFERROR(INDEX('02b_DC_Accelerator_Mix'!$F$2:$F$977,MATCH(G783,'02b_DC_Accelerator_Mix'!$A$2:$A$977,0)),0)</f>
        <v/>
      </c>
      <c r="J783" s="6">
        <f>IFERROR(INDEX('02b_DC_Accelerator_Mix'!$G$2:$G$977,MATCH(G783,'02b_DC_Accelerator_Mix'!$A$2:$A$977,0)),0)</f>
        <v/>
      </c>
      <c r="K783" s="6">
        <f>IFERROR(INDEX('02b_DC_Accelerator_Mix'!$H$2:$H$977,MATCH(G783,'02b_DC_Accelerator_Mix'!$A$2:$A$977,0)),0)</f>
        <v/>
      </c>
      <c r="L783" s="6">
        <f>IFERROR(INDEX('02b_DC_Accelerator_Mix'!$I$2:$I$977,MATCH(G783,'02b_DC_Accelerator_Mix'!$A$2:$A$977,0)),0)</f>
        <v/>
      </c>
      <c r="M783" s="6">
        <f>IFERROR(INDEX('02b_DC_Accelerator_Mix'!$J$2:$J$977,MATCH(G783,'02b_DC_Accelerator_Mix'!$A$2:$A$977,0)),0)</f>
        <v/>
      </c>
      <c r="N783" s="6">
        <f>IFERROR(INDEX('02b_DC_Accelerator_Mix'!$K$2:$K$977,MATCH(G783,'02b_DC_Accelerator_Mix'!$A$2:$A$977,0)),0)</f>
        <v/>
      </c>
      <c r="O783" s="6">
        <f>IFERROR(INDEX('02b_DC_Accelerator_Mix'!$L$2:$L$977,MATCH(G783,'02b_DC_Accelerator_Mix'!$A$2:$A$977,0)),0)</f>
        <v/>
      </c>
      <c r="P783" s="6">
        <f>IFERROR(INDEX('02b_DC_Accelerator_Mix'!$M$2:$M$977,MATCH(G783,'02b_DC_Accelerator_Mix'!$A$2:$A$977,0)),0)</f>
        <v/>
      </c>
      <c r="Q783" s="6">
        <f>IFERROR(INDEX('02b_DC_Accelerator_Mix'!$N$2:$N$977,MATCH(G783,'02b_DC_Accelerator_Mix'!$A$2:$A$977,0)),0)</f>
        <v/>
      </c>
      <c r="R783" s="28">
        <f>H783*I783</f>
        <v/>
      </c>
      <c r="S783" s="28">
        <f>H783*J783</f>
        <v/>
      </c>
      <c r="T783" s="28">
        <f>H783*K783</f>
        <v/>
      </c>
      <c r="U783" s="28">
        <f>H783*L783</f>
        <v/>
      </c>
      <c r="V783" s="28">
        <f>H783*M783</f>
        <v/>
      </c>
      <c r="W783" s="28">
        <f>H783*N783</f>
        <v/>
      </c>
      <c r="X783" s="28">
        <f>H783*O783</f>
        <v/>
      </c>
      <c r="Y783" s="28">
        <f>H783*P783</f>
        <v/>
      </c>
      <c r="Z783" s="28">
        <f>H783*Q783</f>
        <v/>
      </c>
      <c r="AA783" s="28">
        <f>SUM(U783:Z783)</f>
        <v/>
      </c>
      <c r="AB783" s="5">
        <f>IF(COUNTIF('02b_DC_Accelerator_Mix'!$A$2:$A$977,G783)&gt;0,"matched","missing_mix")</f>
        <v/>
      </c>
    </row>
    <row r="784">
      <c r="A784" s="5">
        <f>'02a_DC_Capacity_Alloc'!A784</f>
        <v/>
      </c>
      <c r="B784" s="5">
        <f>'02a_DC_Capacity_Alloc'!B784</f>
        <v/>
      </c>
      <c r="C784" s="5">
        <f>'02a_DC_Capacity_Alloc'!C784</f>
        <v/>
      </c>
      <c r="D784" s="5">
        <f>'02a_DC_Capacity_Alloc'!D784</f>
        <v/>
      </c>
      <c r="E784" s="5">
        <f>'02a_DC_Capacity_Alloc'!E784</f>
        <v/>
      </c>
      <c r="F784" s="5">
        <f>'02a_DC_Capacity_Alloc'!F784</f>
        <v/>
      </c>
      <c r="G784" s="5">
        <f>B784&amp;"|"&amp;E784&amp;"|"&amp;D784</f>
        <v/>
      </c>
      <c r="H784" s="28">
        <f>'02a_DC_Capacity_Alloc'!H784*'02a_DC_Capacity_Alloc'!I784*'02a_DC_Capacity_Alloc'!J784</f>
        <v/>
      </c>
      <c r="I784" s="6">
        <f>IFERROR(INDEX('02b_DC_Accelerator_Mix'!$F$2:$F$977,MATCH(G784,'02b_DC_Accelerator_Mix'!$A$2:$A$977,0)),0)</f>
        <v/>
      </c>
      <c r="J784" s="6">
        <f>IFERROR(INDEX('02b_DC_Accelerator_Mix'!$G$2:$G$977,MATCH(G784,'02b_DC_Accelerator_Mix'!$A$2:$A$977,0)),0)</f>
        <v/>
      </c>
      <c r="K784" s="6">
        <f>IFERROR(INDEX('02b_DC_Accelerator_Mix'!$H$2:$H$977,MATCH(G784,'02b_DC_Accelerator_Mix'!$A$2:$A$977,0)),0)</f>
        <v/>
      </c>
      <c r="L784" s="6">
        <f>IFERROR(INDEX('02b_DC_Accelerator_Mix'!$I$2:$I$977,MATCH(G784,'02b_DC_Accelerator_Mix'!$A$2:$A$977,0)),0)</f>
        <v/>
      </c>
      <c r="M784" s="6">
        <f>IFERROR(INDEX('02b_DC_Accelerator_Mix'!$J$2:$J$977,MATCH(G784,'02b_DC_Accelerator_Mix'!$A$2:$A$977,0)),0)</f>
        <v/>
      </c>
      <c r="N784" s="6">
        <f>IFERROR(INDEX('02b_DC_Accelerator_Mix'!$K$2:$K$977,MATCH(G784,'02b_DC_Accelerator_Mix'!$A$2:$A$977,0)),0)</f>
        <v/>
      </c>
      <c r="O784" s="6">
        <f>IFERROR(INDEX('02b_DC_Accelerator_Mix'!$L$2:$L$977,MATCH(G784,'02b_DC_Accelerator_Mix'!$A$2:$A$977,0)),0)</f>
        <v/>
      </c>
      <c r="P784" s="6">
        <f>IFERROR(INDEX('02b_DC_Accelerator_Mix'!$M$2:$M$977,MATCH(G784,'02b_DC_Accelerator_Mix'!$A$2:$A$977,0)),0)</f>
        <v/>
      </c>
      <c r="Q784" s="6">
        <f>IFERROR(INDEX('02b_DC_Accelerator_Mix'!$N$2:$N$977,MATCH(G784,'02b_DC_Accelerator_Mix'!$A$2:$A$977,0)),0)</f>
        <v/>
      </c>
      <c r="R784" s="28">
        <f>H784*I784</f>
        <v/>
      </c>
      <c r="S784" s="28">
        <f>H784*J784</f>
        <v/>
      </c>
      <c r="T784" s="28">
        <f>H784*K784</f>
        <v/>
      </c>
      <c r="U784" s="28">
        <f>H784*L784</f>
        <v/>
      </c>
      <c r="V784" s="28">
        <f>H784*M784</f>
        <v/>
      </c>
      <c r="W784" s="28">
        <f>H784*N784</f>
        <v/>
      </c>
      <c r="X784" s="28">
        <f>H784*O784</f>
        <v/>
      </c>
      <c r="Y784" s="28">
        <f>H784*P784</f>
        <v/>
      </c>
      <c r="Z784" s="28">
        <f>H784*Q784</f>
        <v/>
      </c>
      <c r="AA784" s="28">
        <f>SUM(U784:Z784)</f>
        <v/>
      </c>
      <c r="AB784" s="5">
        <f>IF(COUNTIF('02b_DC_Accelerator_Mix'!$A$2:$A$977,G784)&gt;0,"matched","missing_mix")</f>
        <v/>
      </c>
    </row>
    <row r="785">
      <c r="A785" s="5">
        <f>'02a_DC_Capacity_Alloc'!A785</f>
        <v/>
      </c>
      <c r="B785" s="5">
        <f>'02a_DC_Capacity_Alloc'!B785</f>
        <v/>
      </c>
      <c r="C785" s="5">
        <f>'02a_DC_Capacity_Alloc'!C785</f>
        <v/>
      </c>
      <c r="D785" s="5">
        <f>'02a_DC_Capacity_Alloc'!D785</f>
        <v/>
      </c>
      <c r="E785" s="5">
        <f>'02a_DC_Capacity_Alloc'!E785</f>
        <v/>
      </c>
      <c r="F785" s="5">
        <f>'02a_DC_Capacity_Alloc'!F785</f>
        <v/>
      </c>
      <c r="G785" s="5">
        <f>B785&amp;"|"&amp;E785&amp;"|"&amp;D785</f>
        <v/>
      </c>
      <c r="H785" s="28">
        <f>'02a_DC_Capacity_Alloc'!H785*'02a_DC_Capacity_Alloc'!I785*'02a_DC_Capacity_Alloc'!J785</f>
        <v/>
      </c>
      <c r="I785" s="6">
        <f>IFERROR(INDEX('02b_DC_Accelerator_Mix'!$F$2:$F$977,MATCH(G785,'02b_DC_Accelerator_Mix'!$A$2:$A$977,0)),0)</f>
        <v/>
      </c>
      <c r="J785" s="6">
        <f>IFERROR(INDEX('02b_DC_Accelerator_Mix'!$G$2:$G$977,MATCH(G785,'02b_DC_Accelerator_Mix'!$A$2:$A$977,0)),0)</f>
        <v/>
      </c>
      <c r="K785" s="6">
        <f>IFERROR(INDEX('02b_DC_Accelerator_Mix'!$H$2:$H$977,MATCH(G785,'02b_DC_Accelerator_Mix'!$A$2:$A$977,0)),0)</f>
        <v/>
      </c>
      <c r="L785" s="6">
        <f>IFERROR(INDEX('02b_DC_Accelerator_Mix'!$I$2:$I$977,MATCH(G785,'02b_DC_Accelerator_Mix'!$A$2:$A$977,0)),0)</f>
        <v/>
      </c>
      <c r="M785" s="6">
        <f>IFERROR(INDEX('02b_DC_Accelerator_Mix'!$J$2:$J$977,MATCH(G785,'02b_DC_Accelerator_Mix'!$A$2:$A$977,0)),0)</f>
        <v/>
      </c>
      <c r="N785" s="6">
        <f>IFERROR(INDEX('02b_DC_Accelerator_Mix'!$K$2:$K$977,MATCH(G785,'02b_DC_Accelerator_Mix'!$A$2:$A$977,0)),0)</f>
        <v/>
      </c>
      <c r="O785" s="6">
        <f>IFERROR(INDEX('02b_DC_Accelerator_Mix'!$L$2:$L$977,MATCH(G785,'02b_DC_Accelerator_Mix'!$A$2:$A$977,0)),0)</f>
        <v/>
      </c>
      <c r="P785" s="6">
        <f>IFERROR(INDEX('02b_DC_Accelerator_Mix'!$M$2:$M$977,MATCH(G785,'02b_DC_Accelerator_Mix'!$A$2:$A$977,0)),0)</f>
        <v/>
      </c>
      <c r="Q785" s="6">
        <f>IFERROR(INDEX('02b_DC_Accelerator_Mix'!$N$2:$N$977,MATCH(G785,'02b_DC_Accelerator_Mix'!$A$2:$A$977,0)),0)</f>
        <v/>
      </c>
      <c r="R785" s="28">
        <f>H785*I785</f>
        <v/>
      </c>
      <c r="S785" s="28">
        <f>H785*J785</f>
        <v/>
      </c>
      <c r="T785" s="28">
        <f>H785*K785</f>
        <v/>
      </c>
      <c r="U785" s="28">
        <f>H785*L785</f>
        <v/>
      </c>
      <c r="V785" s="28">
        <f>H785*M785</f>
        <v/>
      </c>
      <c r="W785" s="28">
        <f>H785*N785</f>
        <v/>
      </c>
      <c r="X785" s="28">
        <f>H785*O785</f>
        <v/>
      </c>
      <c r="Y785" s="28">
        <f>H785*P785</f>
        <v/>
      </c>
      <c r="Z785" s="28">
        <f>H785*Q785</f>
        <v/>
      </c>
      <c r="AA785" s="28">
        <f>SUM(U785:Z785)</f>
        <v/>
      </c>
      <c r="AB785" s="5">
        <f>IF(COUNTIF('02b_DC_Accelerator_Mix'!$A$2:$A$977,G785)&gt;0,"matched","missing_mix")</f>
        <v/>
      </c>
    </row>
    <row r="786">
      <c r="A786" s="5">
        <f>'02a_DC_Capacity_Alloc'!A786</f>
        <v/>
      </c>
      <c r="B786" s="5">
        <f>'02a_DC_Capacity_Alloc'!B786</f>
        <v/>
      </c>
      <c r="C786" s="5">
        <f>'02a_DC_Capacity_Alloc'!C786</f>
        <v/>
      </c>
      <c r="D786" s="5">
        <f>'02a_DC_Capacity_Alloc'!D786</f>
        <v/>
      </c>
      <c r="E786" s="5">
        <f>'02a_DC_Capacity_Alloc'!E786</f>
        <v/>
      </c>
      <c r="F786" s="5">
        <f>'02a_DC_Capacity_Alloc'!F786</f>
        <v/>
      </c>
      <c r="G786" s="5">
        <f>B786&amp;"|"&amp;E786&amp;"|"&amp;D786</f>
        <v/>
      </c>
      <c r="H786" s="28">
        <f>'02a_DC_Capacity_Alloc'!H786*'02a_DC_Capacity_Alloc'!I786*'02a_DC_Capacity_Alloc'!J786</f>
        <v/>
      </c>
      <c r="I786" s="6">
        <f>IFERROR(INDEX('02b_DC_Accelerator_Mix'!$F$2:$F$977,MATCH(G786,'02b_DC_Accelerator_Mix'!$A$2:$A$977,0)),0)</f>
        <v/>
      </c>
      <c r="J786" s="6">
        <f>IFERROR(INDEX('02b_DC_Accelerator_Mix'!$G$2:$G$977,MATCH(G786,'02b_DC_Accelerator_Mix'!$A$2:$A$977,0)),0)</f>
        <v/>
      </c>
      <c r="K786" s="6">
        <f>IFERROR(INDEX('02b_DC_Accelerator_Mix'!$H$2:$H$977,MATCH(G786,'02b_DC_Accelerator_Mix'!$A$2:$A$977,0)),0)</f>
        <v/>
      </c>
      <c r="L786" s="6">
        <f>IFERROR(INDEX('02b_DC_Accelerator_Mix'!$I$2:$I$977,MATCH(G786,'02b_DC_Accelerator_Mix'!$A$2:$A$977,0)),0)</f>
        <v/>
      </c>
      <c r="M786" s="6">
        <f>IFERROR(INDEX('02b_DC_Accelerator_Mix'!$J$2:$J$977,MATCH(G786,'02b_DC_Accelerator_Mix'!$A$2:$A$977,0)),0)</f>
        <v/>
      </c>
      <c r="N786" s="6">
        <f>IFERROR(INDEX('02b_DC_Accelerator_Mix'!$K$2:$K$977,MATCH(G786,'02b_DC_Accelerator_Mix'!$A$2:$A$977,0)),0)</f>
        <v/>
      </c>
      <c r="O786" s="6">
        <f>IFERROR(INDEX('02b_DC_Accelerator_Mix'!$L$2:$L$977,MATCH(G786,'02b_DC_Accelerator_Mix'!$A$2:$A$977,0)),0)</f>
        <v/>
      </c>
      <c r="P786" s="6">
        <f>IFERROR(INDEX('02b_DC_Accelerator_Mix'!$M$2:$M$977,MATCH(G786,'02b_DC_Accelerator_Mix'!$A$2:$A$977,0)),0)</f>
        <v/>
      </c>
      <c r="Q786" s="6">
        <f>IFERROR(INDEX('02b_DC_Accelerator_Mix'!$N$2:$N$977,MATCH(G786,'02b_DC_Accelerator_Mix'!$A$2:$A$977,0)),0)</f>
        <v/>
      </c>
      <c r="R786" s="28">
        <f>H786*I786</f>
        <v/>
      </c>
      <c r="S786" s="28">
        <f>H786*J786</f>
        <v/>
      </c>
      <c r="T786" s="28">
        <f>H786*K786</f>
        <v/>
      </c>
      <c r="U786" s="28">
        <f>H786*L786</f>
        <v/>
      </c>
      <c r="V786" s="28">
        <f>H786*M786</f>
        <v/>
      </c>
      <c r="W786" s="28">
        <f>H786*N786</f>
        <v/>
      </c>
      <c r="X786" s="28">
        <f>H786*O786</f>
        <v/>
      </c>
      <c r="Y786" s="28">
        <f>H786*P786</f>
        <v/>
      </c>
      <c r="Z786" s="28">
        <f>H786*Q786</f>
        <v/>
      </c>
      <c r="AA786" s="28">
        <f>SUM(U786:Z786)</f>
        <v/>
      </c>
      <c r="AB786" s="5">
        <f>IF(COUNTIF('02b_DC_Accelerator_Mix'!$A$2:$A$977,G786)&gt;0,"matched","missing_mix")</f>
        <v/>
      </c>
    </row>
    <row r="787">
      <c r="A787" s="5">
        <f>'02a_DC_Capacity_Alloc'!A787</f>
        <v/>
      </c>
      <c r="B787" s="5">
        <f>'02a_DC_Capacity_Alloc'!B787</f>
        <v/>
      </c>
      <c r="C787" s="5">
        <f>'02a_DC_Capacity_Alloc'!C787</f>
        <v/>
      </c>
      <c r="D787" s="5">
        <f>'02a_DC_Capacity_Alloc'!D787</f>
        <v/>
      </c>
      <c r="E787" s="5">
        <f>'02a_DC_Capacity_Alloc'!E787</f>
        <v/>
      </c>
      <c r="F787" s="5">
        <f>'02a_DC_Capacity_Alloc'!F787</f>
        <v/>
      </c>
      <c r="G787" s="5">
        <f>B787&amp;"|"&amp;E787&amp;"|"&amp;D787</f>
        <v/>
      </c>
      <c r="H787" s="28">
        <f>'02a_DC_Capacity_Alloc'!H787*'02a_DC_Capacity_Alloc'!I787*'02a_DC_Capacity_Alloc'!J787</f>
        <v/>
      </c>
      <c r="I787" s="6">
        <f>IFERROR(INDEX('02b_DC_Accelerator_Mix'!$F$2:$F$977,MATCH(G787,'02b_DC_Accelerator_Mix'!$A$2:$A$977,0)),0)</f>
        <v/>
      </c>
      <c r="J787" s="6">
        <f>IFERROR(INDEX('02b_DC_Accelerator_Mix'!$G$2:$G$977,MATCH(G787,'02b_DC_Accelerator_Mix'!$A$2:$A$977,0)),0)</f>
        <v/>
      </c>
      <c r="K787" s="6">
        <f>IFERROR(INDEX('02b_DC_Accelerator_Mix'!$H$2:$H$977,MATCH(G787,'02b_DC_Accelerator_Mix'!$A$2:$A$977,0)),0)</f>
        <v/>
      </c>
      <c r="L787" s="6">
        <f>IFERROR(INDEX('02b_DC_Accelerator_Mix'!$I$2:$I$977,MATCH(G787,'02b_DC_Accelerator_Mix'!$A$2:$A$977,0)),0)</f>
        <v/>
      </c>
      <c r="M787" s="6">
        <f>IFERROR(INDEX('02b_DC_Accelerator_Mix'!$J$2:$J$977,MATCH(G787,'02b_DC_Accelerator_Mix'!$A$2:$A$977,0)),0)</f>
        <v/>
      </c>
      <c r="N787" s="6">
        <f>IFERROR(INDEX('02b_DC_Accelerator_Mix'!$K$2:$K$977,MATCH(G787,'02b_DC_Accelerator_Mix'!$A$2:$A$977,0)),0)</f>
        <v/>
      </c>
      <c r="O787" s="6">
        <f>IFERROR(INDEX('02b_DC_Accelerator_Mix'!$L$2:$L$977,MATCH(G787,'02b_DC_Accelerator_Mix'!$A$2:$A$977,0)),0)</f>
        <v/>
      </c>
      <c r="P787" s="6">
        <f>IFERROR(INDEX('02b_DC_Accelerator_Mix'!$M$2:$M$977,MATCH(G787,'02b_DC_Accelerator_Mix'!$A$2:$A$977,0)),0)</f>
        <v/>
      </c>
      <c r="Q787" s="6">
        <f>IFERROR(INDEX('02b_DC_Accelerator_Mix'!$N$2:$N$977,MATCH(G787,'02b_DC_Accelerator_Mix'!$A$2:$A$977,0)),0)</f>
        <v/>
      </c>
      <c r="R787" s="28">
        <f>H787*I787</f>
        <v/>
      </c>
      <c r="S787" s="28">
        <f>H787*J787</f>
        <v/>
      </c>
      <c r="T787" s="28">
        <f>H787*K787</f>
        <v/>
      </c>
      <c r="U787" s="28">
        <f>H787*L787</f>
        <v/>
      </c>
      <c r="V787" s="28">
        <f>H787*M787</f>
        <v/>
      </c>
      <c r="W787" s="28">
        <f>H787*N787</f>
        <v/>
      </c>
      <c r="X787" s="28">
        <f>H787*O787</f>
        <v/>
      </c>
      <c r="Y787" s="28">
        <f>H787*P787</f>
        <v/>
      </c>
      <c r="Z787" s="28">
        <f>H787*Q787</f>
        <v/>
      </c>
      <c r="AA787" s="28">
        <f>SUM(U787:Z787)</f>
        <v/>
      </c>
      <c r="AB787" s="5">
        <f>IF(COUNTIF('02b_DC_Accelerator_Mix'!$A$2:$A$977,G787)&gt;0,"matched","missing_mix")</f>
        <v/>
      </c>
    </row>
    <row r="788">
      <c r="A788" s="5">
        <f>'02a_DC_Capacity_Alloc'!A788</f>
        <v/>
      </c>
      <c r="B788" s="5">
        <f>'02a_DC_Capacity_Alloc'!B788</f>
        <v/>
      </c>
      <c r="C788" s="5">
        <f>'02a_DC_Capacity_Alloc'!C788</f>
        <v/>
      </c>
      <c r="D788" s="5">
        <f>'02a_DC_Capacity_Alloc'!D788</f>
        <v/>
      </c>
      <c r="E788" s="5">
        <f>'02a_DC_Capacity_Alloc'!E788</f>
        <v/>
      </c>
      <c r="F788" s="5">
        <f>'02a_DC_Capacity_Alloc'!F788</f>
        <v/>
      </c>
      <c r="G788" s="5">
        <f>B788&amp;"|"&amp;E788&amp;"|"&amp;D788</f>
        <v/>
      </c>
      <c r="H788" s="28">
        <f>'02a_DC_Capacity_Alloc'!H788*'02a_DC_Capacity_Alloc'!I788*'02a_DC_Capacity_Alloc'!J788</f>
        <v/>
      </c>
      <c r="I788" s="6">
        <f>IFERROR(INDEX('02b_DC_Accelerator_Mix'!$F$2:$F$977,MATCH(G788,'02b_DC_Accelerator_Mix'!$A$2:$A$977,0)),0)</f>
        <v/>
      </c>
      <c r="J788" s="6">
        <f>IFERROR(INDEX('02b_DC_Accelerator_Mix'!$G$2:$G$977,MATCH(G788,'02b_DC_Accelerator_Mix'!$A$2:$A$977,0)),0)</f>
        <v/>
      </c>
      <c r="K788" s="6">
        <f>IFERROR(INDEX('02b_DC_Accelerator_Mix'!$H$2:$H$977,MATCH(G788,'02b_DC_Accelerator_Mix'!$A$2:$A$977,0)),0)</f>
        <v/>
      </c>
      <c r="L788" s="6">
        <f>IFERROR(INDEX('02b_DC_Accelerator_Mix'!$I$2:$I$977,MATCH(G788,'02b_DC_Accelerator_Mix'!$A$2:$A$977,0)),0)</f>
        <v/>
      </c>
      <c r="M788" s="6">
        <f>IFERROR(INDEX('02b_DC_Accelerator_Mix'!$J$2:$J$977,MATCH(G788,'02b_DC_Accelerator_Mix'!$A$2:$A$977,0)),0)</f>
        <v/>
      </c>
      <c r="N788" s="6">
        <f>IFERROR(INDEX('02b_DC_Accelerator_Mix'!$K$2:$K$977,MATCH(G788,'02b_DC_Accelerator_Mix'!$A$2:$A$977,0)),0)</f>
        <v/>
      </c>
      <c r="O788" s="6">
        <f>IFERROR(INDEX('02b_DC_Accelerator_Mix'!$L$2:$L$977,MATCH(G788,'02b_DC_Accelerator_Mix'!$A$2:$A$977,0)),0)</f>
        <v/>
      </c>
      <c r="P788" s="6">
        <f>IFERROR(INDEX('02b_DC_Accelerator_Mix'!$M$2:$M$977,MATCH(G788,'02b_DC_Accelerator_Mix'!$A$2:$A$977,0)),0)</f>
        <v/>
      </c>
      <c r="Q788" s="6">
        <f>IFERROR(INDEX('02b_DC_Accelerator_Mix'!$N$2:$N$977,MATCH(G788,'02b_DC_Accelerator_Mix'!$A$2:$A$977,0)),0)</f>
        <v/>
      </c>
      <c r="R788" s="28">
        <f>H788*I788</f>
        <v/>
      </c>
      <c r="S788" s="28">
        <f>H788*J788</f>
        <v/>
      </c>
      <c r="T788" s="28">
        <f>H788*K788</f>
        <v/>
      </c>
      <c r="U788" s="28">
        <f>H788*L788</f>
        <v/>
      </c>
      <c r="V788" s="28">
        <f>H788*M788</f>
        <v/>
      </c>
      <c r="W788" s="28">
        <f>H788*N788</f>
        <v/>
      </c>
      <c r="X788" s="28">
        <f>H788*O788</f>
        <v/>
      </c>
      <c r="Y788" s="28">
        <f>H788*P788</f>
        <v/>
      </c>
      <c r="Z788" s="28">
        <f>H788*Q788</f>
        <v/>
      </c>
      <c r="AA788" s="28">
        <f>SUM(U788:Z788)</f>
        <v/>
      </c>
      <c r="AB788" s="5">
        <f>IF(COUNTIF('02b_DC_Accelerator_Mix'!$A$2:$A$977,G788)&gt;0,"matched","missing_mix")</f>
        <v/>
      </c>
    </row>
    <row r="789">
      <c r="A789" s="5">
        <f>'02a_DC_Capacity_Alloc'!A789</f>
        <v/>
      </c>
      <c r="B789" s="5">
        <f>'02a_DC_Capacity_Alloc'!B789</f>
        <v/>
      </c>
      <c r="C789" s="5">
        <f>'02a_DC_Capacity_Alloc'!C789</f>
        <v/>
      </c>
      <c r="D789" s="5">
        <f>'02a_DC_Capacity_Alloc'!D789</f>
        <v/>
      </c>
      <c r="E789" s="5">
        <f>'02a_DC_Capacity_Alloc'!E789</f>
        <v/>
      </c>
      <c r="F789" s="5">
        <f>'02a_DC_Capacity_Alloc'!F789</f>
        <v/>
      </c>
      <c r="G789" s="5">
        <f>B789&amp;"|"&amp;E789&amp;"|"&amp;D789</f>
        <v/>
      </c>
      <c r="H789" s="28">
        <f>'02a_DC_Capacity_Alloc'!H789*'02a_DC_Capacity_Alloc'!I789*'02a_DC_Capacity_Alloc'!J789</f>
        <v/>
      </c>
      <c r="I789" s="6">
        <f>IFERROR(INDEX('02b_DC_Accelerator_Mix'!$F$2:$F$977,MATCH(G789,'02b_DC_Accelerator_Mix'!$A$2:$A$977,0)),0)</f>
        <v/>
      </c>
      <c r="J789" s="6">
        <f>IFERROR(INDEX('02b_DC_Accelerator_Mix'!$G$2:$G$977,MATCH(G789,'02b_DC_Accelerator_Mix'!$A$2:$A$977,0)),0)</f>
        <v/>
      </c>
      <c r="K789" s="6">
        <f>IFERROR(INDEX('02b_DC_Accelerator_Mix'!$H$2:$H$977,MATCH(G789,'02b_DC_Accelerator_Mix'!$A$2:$A$977,0)),0)</f>
        <v/>
      </c>
      <c r="L789" s="6">
        <f>IFERROR(INDEX('02b_DC_Accelerator_Mix'!$I$2:$I$977,MATCH(G789,'02b_DC_Accelerator_Mix'!$A$2:$A$977,0)),0)</f>
        <v/>
      </c>
      <c r="M789" s="6">
        <f>IFERROR(INDEX('02b_DC_Accelerator_Mix'!$J$2:$J$977,MATCH(G789,'02b_DC_Accelerator_Mix'!$A$2:$A$977,0)),0)</f>
        <v/>
      </c>
      <c r="N789" s="6">
        <f>IFERROR(INDEX('02b_DC_Accelerator_Mix'!$K$2:$K$977,MATCH(G789,'02b_DC_Accelerator_Mix'!$A$2:$A$977,0)),0)</f>
        <v/>
      </c>
      <c r="O789" s="6">
        <f>IFERROR(INDEX('02b_DC_Accelerator_Mix'!$L$2:$L$977,MATCH(G789,'02b_DC_Accelerator_Mix'!$A$2:$A$977,0)),0)</f>
        <v/>
      </c>
      <c r="P789" s="6">
        <f>IFERROR(INDEX('02b_DC_Accelerator_Mix'!$M$2:$M$977,MATCH(G789,'02b_DC_Accelerator_Mix'!$A$2:$A$977,0)),0)</f>
        <v/>
      </c>
      <c r="Q789" s="6">
        <f>IFERROR(INDEX('02b_DC_Accelerator_Mix'!$N$2:$N$977,MATCH(G789,'02b_DC_Accelerator_Mix'!$A$2:$A$977,0)),0)</f>
        <v/>
      </c>
      <c r="R789" s="28">
        <f>H789*I789</f>
        <v/>
      </c>
      <c r="S789" s="28">
        <f>H789*J789</f>
        <v/>
      </c>
      <c r="T789" s="28">
        <f>H789*K789</f>
        <v/>
      </c>
      <c r="U789" s="28">
        <f>H789*L789</f>
        <v/>
      </c>
      <c r="V789" s="28">
        <f>H789*M789</f>
        <v/>
      </c>
      <c r="W789" s="28">
        <f>H789*N789</f>
        <v/>
      </c>
      <c r="X789" s="28">
        <f>H789*O789</f>
        <v/>
      </c>
      <c r="Y789" s="28">
        <f>H789*P789</f>
        <v/>
      </c>
      <c r="Z789" s="28">
        <f>H789*Q789</f>
        <v/>
      </c>
      <c r="AA789" s="28">
        <f>SUM(U789:Z789)</f>
        <v/>
      </c>
      <c r="AB789" s="5">
        <f>IF(COUNTIF('02b_DC_Accelerator_Mix'!$A$2:$A$977,G789)&gt;0,"matched","missing_mix")</f>
        <v/>
      </c>
    </row>
    <row r="790">
      <c r="A790" s="5">
        <f>'02a_DC_Capacity_Alloc'!A790</f>
        <v/>
      </c>
      <c r="B790" s="5">
        <f>'02a_DC_Capacity_Alloc'!B790</f>
        <v/>
      </c>
      <c r="C790" s="5">
        <f>'02a_DC_Capacity_Alloc'!C790</f>
        <v/>
      </c>
      <c r="D790" s="5">
        <f>'02a_DC_Capacity_Alloc'!D790</f>
        <v/>
      </c>
      <c r="E790" s="5">
        <f>'02a_DC_Capacity_Alloc'!E790</f>
        <v/>
      </c>
      <c r="F790" s="5">
        <f>'02a_DC_Capacity_Alloc'!F790</f>
        <v/>
      </c>
      <c r="G790" s="5">
        <f>B790&amp;"|"&amp;E790&amp;"|"&amp;D790</f>
        <v/>
      </c>
      <c r="H790" s="28">
        <f>'02a_DC_Capacity_Alloc'!H790*'02a_DC_Capacity_Alloc'!I790*'02a_DC_Capacity_Alloc'!J790</f>
        <v/>
      </c>
      <c r="I790" s="6">
        <f>IFERROR(INDEX('02b_DC_Accelerator_Mix'!$F$2:$F$977,MATCH(G790,'02b_DC_Accelerator_Mix'!$A$2:$A$977,0)),0)</f>
        <v/>
      </c>
      <c r="J790" s="6">
        <f>IFERROR(INDEX('02b_DC_Accelerator_Mix'!$G$2:$G$977,MATCH(G790,'02b_DC_Accelerator_Mix'!$A$2:$A$977,0)),0)</f>
        <v/>
      </c>
      <c r="K790" s="6">
        <f>IFERROR(INDEX('02b_DC_Accelerator_Mix'!$H$2:$H$977,MATCH(G790,'02b_DC_Accelerator_Mix'!$A$2:$A$977,0)),0)</f>
        <v/>
      </c>
      <c r="L790" s="6">
        <f>IFERROR(INDEX('02b_DC_Accelerator_Mix'!$I$2:$I$977,MATCH(G790,'02b_DC_Accelerator_Mix'!$A$2:$A$977,0)),0)</f>
        <v/>
      </c>
      <c r="M790" s="6">
        <f>IFERROR(INDEX('02b_DC_Accelerator_Mix'!$J$2:$J$977,MATCH(G790,'02b_DC_Accelerator_Mix'!$A$2:$A$977,0)),0)</f>
        <v/>
      </c>
      <c r="N790" s="6">
        <f>IFERROR(INDEX('02b_DC_Accelerator_Mix'!$K$2:$K$977,MATCH(G790,'02b_DC_Accelerator_Mix'!$A$2:$A$977,0)),0)</f>
        <v/>
      </c>
      <c r="O790" s="6">
        <f>IFERROR(INDEX('02b_DC_Accelerator_Mix'!$L$2:$L$977,MATCH(G790,'02b_DC_Accelerator_Mix'!$A$2:$A$977,0)),0)</f>
        <v/>
      </c>
      <c r="P790" s="6">
        <f>IFERROR(INDEX('02b_DC_Accelerator_Mix'!$M$2:$M$977,MATCH(G790,'02b_DC_Accelerator_Mix'!$A$2:$A$977,0)),0)</f>
        <v/>
      </c>
      <c r="Q790" s="6">
        <f>IFERROR(INDEX('02b_DC_Accelerator_Mix'!$N$2:$N$977,MATCH(G790,'02b_DC_Accelerator_Mix'!$A$2:$A$977,0)),0)</f>
        <v/>
      </c>
      <c r="R790" s="28">
        <f>H790*I790</f>
        <v/>
      </c>
      <c r="S790" s="28">
        <f>H790*J790</f>
        <v/>
      </c>
      <c r="T790" s="28">
        <f>H790*K790</f>
        <v/>
      </c>
      <c r="U790" s="28">
        <f>H790*L790</f>
        <v/>
      </c>
      <c r="V790" s="28">
        <f>H790*M790</f>
        <v/>
      </c>
      <c r="W790" s="28">
        <f>H790*N790</f>
        <v/>
      </c>
      <c r="X790" s="28">
        <f>H790*O790</f>
        <v/>
      </c>
      <c r="Y790" s="28">
        <f>H790*P790</f>
        <v/>
      </c>
      <c r="Z790" s="28">
        <f>H790*Q790</f>
        <v/>
      </c>
      <c r="AA790" s="28">
        <f>SUM(U790:Z790)</f>
        <v/>
      </c>
      <c r="AB790" s="5">
        <f>IF(COUNTIF('02b_DC_Accelerator_Mix'!$A$2:$A$977,G790)&gt;0,"matched","missing_mix")</f>
        <v/>
      </c>
    </row>
    <row r="791">
      <c r="A791" s="5">
        <f>'02a_DC_Capacity_Alloc'!A791</f>
        <v/>
      </c>
      <c r="B791" s="5">
        <f>'02a_DC_Capacity_Alloc'!B791</f>
        <v/>
      </c>
      <c r="C791" s="5">
        <f>'02a_DC_Capacity_Alloc'!C791</f>
        <v/>
      </c>
      <c r="D791" s="5">
        <f>'02a_DC_Capacity_Alloc'!D791</f>
        <v/>
      </c>
      <c r="E791" s="5">
        <f>'02a_DC_Capacity_Alloc'!E791</f>
        <v/>
      </c>
      <c r="F791" s="5">
        <f>'02a_DC_Capacity_Alloc'!F791</f>
        <v/>
      </c>
      <c r="G791" s="5">
        <f>B791&amp;"|"&amp;E791&amp;"|"&amp;D791</f>
        <v/>
      </c>
      <c r="H791" s="28">
        <f>'02a_DC_Capacity_Alloc'!H791*'02a_DC_Capacity_Alloc'!I791*'02a_DC_Capacity_Alloc'!J791</f>
        <v/>
      </c>
      <c r="I791" s="6">
        <f>IFERROR(INDEX('02b_DC_Accelerator_Mix'!$F$2:$F$977,MATCH(G791,'02b_DC_Accelerator_Mix'!$A$2:$A$977,0)),0)</f>
        <v/>
      </c>
      <c r="J791" s="6">
        <f>IFERROR(INDEX('02b_DC_Accelerator_Mix'!$G$2:$G$977,MATCH(G791,'02b_DC_Accelerator_Mix'!$A$2:$A$977,0)),0)</f>
        <v/>
      </c>
      <c r="K791" s="6">
        <f>IFERROR(INDEX('02b_DC_Accelerator_Mix'!$H$2:$H$977,MATCH(G791,'02b_DC_Accelerator_Mix'!$A$2:$A$977,0)),0)</f>
        <v/>
      </c>
      <c r="L791" s="6">
        <f>IFERROR(INDEX('02b_DC_Accelerator_Mix'!$I$2:$I$977,MATCH(G791,'02b_DC_Accelerator_Mix'!$A$2:$A$977,0)),0)</f>
        <v/>
      </c>
      <c r="M791" s="6">
        <f>IFERROR(INDEX('02b_DC_Accelerator_Mix'!$J$2:$J$977,MATCH(G791,'02b_DC_Accelerator_Mix'!$A$2:$A$977,0)),0)</f>
        <v/>
      </c>
      <c r="N791" s="6">
        <f>IFERROR(INDEX('02b_DC_Accelerator_Mix'!$K$2:$K$977,MATCH(G791,'02b_DC_Accelerator_Mix'!$A$2:$A$977,0)),0)</f>
        <v/>
      </c>
      <c r="O791" s="6">
        <f>IFERROR(INDEX('02b_DC_Accelerator_Mix'!$L$2:$L$977,MATCH(G791,'02b_DC_Accelerator_Mix'!$A$2:$A$977,0)),0)</f>
        <v/>
      </c>
      <c r="P791" s="6">
        <f>IFERROR(INDEX('02b_DC_Accelerator_Mix'!$M$2:$M$977,MATCH(G791,'02b_DC_Accelerator_Mix'!$A$2:$A$977,0)),0)</f>
        <v/>
      </c>
      <c r="Q791" s="6">
        <f>IFERROR(INDEX('02b_DC_Accelerator_Mix'!$N$2:$N$977,MATCH(G791,'02b_DC_Accelerator_Mix'!$A$2:$A$977,0)),0)</f>
        <v/>
      </c>
      <c r="R791" s="28">
        <f>H791*I791</f>
        <v/>
      </c>
      <c r="S791" s="28">
        <f>H791*J791</f>
        <v/>
      </c>
      <c r="T791" s="28">
        <f>H791*K791</f>
        <v/>
      </c>
      <c r="U791" s="28">
        <f>H791*L791</f>
        <v/>
      </c>
      <c r="V791" s="28">
        <f>H791*M791</f>
        <v/>
      </c>
      <c r="W791" s="28">
        <f>H791*N791</f>
        <v/>
      </c>
      <c r="X791" s="28">
        <f>H791*O791</f>
        <v/>
      </c>
      <c r="Y791" s="28">
        <f>H791*P791</f>
        <v/>
      </c>
      <c r="Z791" s="28">
        <f>H791*Q791</f>
        <v/>
      </c>
      <c r="AA791" s="28">
        <f>SUM(U791:Z791)</f>
        <v/>
      </c>
      <c r="AB791" s="5">
        <f>IF(COUNTIF('02b_DC_Accelerator_Mix'!$A$2:$A$977,G791)&gt;0,"matched","missing_mix")</f>
        <v/>
      </c>
    </row>
    <row r="792">
      <c r="A792" s="5">
        <f>'02a_DC_Capacity_Alloc'!A792</f>
        <v/>
      </c>
      <c r="B792" s="5">
        <f>'02a_DC_Capacity_Alloc'!B792</f>
        <v/>
      </c>
      <c r="C792" s="5">
        <f>'02a_DC_Capacity_Alloc'!C792</f>
        <v/>
      </c>
      <c r="D792" s="5">
        <f>'02a_DC_Capacity_Alloc'!D792</f>
        <v/>
      </c>
      <c r="E792" s="5">
        <f>'02a_DC_Capacity_Alloc'!E792</f>
        <v/>
      </c>
      <c r="F792" s="5">
        <f>'02a_DC_Capacity_Alloc'!F792</f>
        <v/>
      </c>
      <c r="G792" s="5">
        <f>B792&amp;"|"&amp;E792&amp;"|"&amp;D792</f>
        <v/>
      </c>
      <c r="H792" s="28">
        <f>'02a_DC_Capacity_Alloc'!H792*'02a_DC_Capacity_Alloc'!I792*'02a_DC_Capacity_Alloc'!J792</f>
        <v/>
      </c>
      <c r="I792" s="6">
        <f>IFERROR(INDEX('02b_DC_Accelerator_Mix'!$F$2:$F$977,MATCH(G792,'02b_DC_Accelerator_Mix'!$A$2:$A$977,0)),0)</f>
        <v/>
      </c>
      <c r="J792" s="6">
        <f>IFERROR(INDEX('02b_DC_Accelerator_Mix'!$G$2:$G$977,MATCH(G792,'02b_DC_Accelerator_Mix'!$A$2:$A$977,0)),0)</f>
        <v/>
      </c>
      <c r="K792" s="6">
        <f>IFERROR(INDEX('02b_DC_Accelerator_Mix'!$H$2:$H$977,MATCH(G792,'02b_DC_Accelerator_Mix'!$A$2:$A$977,0)),0)</f>
        <v/>
      </c>
      <c r="L792" s="6">
        <f>IFERROR(INDEX('02b_DC_Accelerator_Mix'!$I$2:$I$977,MATCH(G792,'02b_DC_Accelerator_Mix'!$A$2:$A$977,0)),0)</f>
        <v/>
      </c>
      <c r="M792" s="6">
        <f>IFERROR(INDEX('02b_DC_Accelerator_Mix'!$J$2:$J$977,MATCH(G792,'02b_DC_Accelerator_Mix'!$A$2:$A$977,0)),0)</f>
        <v/>
      </c>
      <c r="N792" s="6">
        <f>IFERROR(INDEX('02b_DC_Accelerator_Mix'!$K$2:$K$977,MATCH(G792,'02b_DC_Accelerator_Mix'!$A$2:$A$977,0)),0)</f>
        <v/>
      </c>
      <c r="O792" s="6">
        <f>IFERROR(INDEX('02b_DC_Accelerator_Mix'!$L$2:$L$977,MATCH(G792,'02b_DC_Accelerator_Mix'!$A$2:$A$977,0)),0)</f>
        <v/>
      </c>
      <c r="P792" s="6">
        <f>IFERROR(INDEX('02b_DC_Accelerator_Mix'!$M$2:$M$977,MATCH(G792,'02b_DC_Accelerator_Mix'!$A$2:$A$977,0)),0)</f>
        <v/>
      </c>
      <c r="Q792" s="6">
        <f>IFERROR(INDEX('02b_DC_Accelerator_Mix'!$N$2:$N$977,MATCH(G792,'02b_DC_Accelerator_Mix'!$A$2:$A$977,0)),0)</f>
        <v/>
      </c>
      <c r="R792" s="28">
        <f>H792*I792</f>
        <v/>
      </c>
      <c r="S792" s="28">
        <f>H792*J792</f>
        <v/>
      </c>
      <c r="T792" s="28">
        <f>H792*K792</f>
        <v/>
      </c>
      <c r="U792" s="28">
        <f>H792*L792</f>
        <v/>
      </c>
      <c r="V792" s="28">
        <f>H792*M792</f>
        <v/>
      </c>
      <c r="W792" s="28">
        <f>H792*N792</f>
        <v/>
      </c>
      <c r="X792" s="28">
        <f>H792*O792</f>
        <v/>
      </c>
      <c r="Y792" s="28">
        <f>H792*P792</f>
        <v/>
      </c>
      <c r="Z792" s="28">
        <f>H792*Q792</f>
        <v/>
      </c>
      <c r="AA792" s="28">
        <f>SUM(U792:Z792)</f>
        <v/>
      </c>
      <c r="AB792" s="5">
        <f>IF(COUNTIF('02b_DC_Accelerator_Mix'!$A$2:$A$977,G792)&gt;0,"matched","missing_mix")</f>
        <v/>
      </c>
    </row>
    <row r="793">
      <c r="A793" s="5">
        <f>'02a_DC_Capacity_Alloc'!A793</f>
        <v/>
      </c>
      <c r="B793" s="5">
        <f>'02a_DC_Capacity_Alloc'!B793</f>
        <v/>
      </c>
      <c r="C793" s="5">
        <f>'02a_DC_Capacity_Alloc'!C793</f>
        <v/>
      </c>
      <c r="D793" s="5">
        <f>'02a_DC_Capacity_Alloc'!D793</f>
        <v/>
      </c>
      <c r="E793" s="5">
        <f>'02a_DC_Capacity_Alloc'!E793</f>
        <v/>
      </c>
      <c r="F793" s="5">
        <f>'02a_DC_Capacity_Alloc'!F793</f>
        <v/>
      </c>
      <c r="G793" s="5">
        <f>B793&amp;"|"&amp;E793&amp;"|"&amp;D793</f>
        <v/>
      </c>
      <c r="H793" s="28">
        <f>'02a_DC_Capacity_Alloc'!H793*'02a_DC_Capacity_Alloc'!I793*'02a_DC_Capacity_Alloc'!J793</f>
        <v/>
      </c>
      <c r="I793" s="6">
        <f>IFERROR(INDEX('02b_DC_Accelerator_Mix'!$F$2:$F$977,MATCH(G793,'02b_DC_Accelerator_Mix'!$A$2:$A$977,0)),0)</f>
        <v/>
      </c>
      <c r="J793" s="6">
        <f>IFERROR(INDEX('02b_DC_Accelerator_Mix'!$G$2:$G$977,MATCH(G793,'02b_DC_Accelerator_Mix'!$A$2:$A$977,0)),0)</f>
        <v/>
      </c>
      <c r="K793" s="6">
        <f>IFERROR(INDEX('02b_DC_Accelerator_Mix'!$H$2:$H$977,MATCH(G793,'02b_DC_Accelerator_Mix'!$A$2:$A$977,0)),0)</f>
        <v/>
      </c>
      <c r="L793" s="6">
        <f>IFERROR(INDEX('02b_DC_Accelerator_Mix'!$I$2:$I$977,MATCH(G793,'02b_DC_Accelerator_Mix'!$A$2:$A$977,0)),0)</f>
        <v/>
      </c>
      <c r="M793" s="6">
        <f>IFERROR(INDEX('02b_DC_Accelerator_Mix'!$J$2:$J$977,MATCH(G793,'02b_DC_Accelerator_Mix'!$A$2:$A$977,0)),0)</f>
        <v/>
      </c>
      <c r="N793" s="6">
        <f>IFERROR(INDEX('02b_DC_Accelerator_Mix'!$K$2:$K$977,MATCH(G793,'02b_DC_Accelerator_Mix'!$A$2:$A$977,0)),0)</f>
        <v/>
      </c>
      <c r="O793" s="6">
        <f>IFERROR(INDEX('02b_DC_Accelerator_Mix'!$L$2:$L$977,MATCH(G793,'02b_DC_Accelerator_Mix'!$A$2:$A$977,0)),0)</f>
        <v/>
      </c>
      <c r="P793" s="6">
        <f>IFERROR(INDEX('02b_DC_Accelerator_Mix'!$M$2:$M$977,MATCH(G793,'02b_DC_Accelerator_Mix'!$A$2:$A$977,0)),0)</f>
        <v/>
      </c>
      <c r="Q793" s="6">
        <f>IFERROR(INDEX('02b_DC_Accelerator_Mix'!$N$2:$N$977,MATCH(G793,'02b_DC_Accelerator_Mix'!$A$2:$A$977,0)),0)</f>
        <v/>
      </c>
      <c r="R793" s="28">
        <f>H793*I793</f>
        <v/>
      </c>
      <c r="S793" s="28">
        <f>H793*J793</f>
        <v/>
      </c>
      <c r="T793" s="28">
        <f>H793*K793</f>
        <v/>
      </c>
      <c r="U793" s="28">
        <f>H793*L793</f>
        <v/>
      </c>
      <c r="V793" s="28">
        <f>H793*M793</f>
        <v/>
      </c>
      <c r="W793" s="28">
        <f>H793*N793</f>
        <v/>
      </c>
      <c r="X793" s="28">
        <f>H793*O793</f>
        <v/>
      </c>
      <c r="Y793" s="28">
        <f>H793*P793</f>
        <v/>
      </c>
      <c r="Z793" s="28">
        <f>H793*Q793</f>
        <v/>
      </c>
      <c r="AA793" s="28">
        <f>SUM(U793:Z793)</f>
        <v/>
      </c>
      <c r="AB793" s="5">
        <f>IF(COUNTIF('02b_DC_Accelerator_Mix'!$A$2:$A$977,G793)&gt;0,"matched","missing_mix")</f>
        <v/>
      </c>
    </row>
    <row r="794">
      <c r="A794" s="5">
        <f>'02a_DC_Capacity_Alloc'!A794</f>
        <v/>
      </c>
      <c r="B794" s="5">
        <f>'02a_DC_Capacity_Alloc'!B794</f>
        <v/>
      </c>
      <c r="C794" s="5">
        <f>'02a_DC_Capacity_Alloc'!C794</f>
        <v/>
      </c>
      <c r="D794" s="5">
        <f>'02a_DC_Capacity_Alloc'!D794</f>
        <v/>
      </c>
      <c r="E794" s="5">
        <f>'02a_DC_Capacity_Alloc'!E794</f>
        <v/>
      </c>
      <c r="F794" s="5">
        <f>'02a_DC_Capacity_Alloc'!F794</f>
        <v/>
      </c>
      <c r="G794" s="5">
        <f>B794&amp;"|"&amp;E794&amp;"|"&amp;D794</f>
        <v/>
      </c>
      <c r="H794" s="28">
        <f>'02a_DC_Capacity_Alloc'!H794*'02a_DC_Capacity_Alloc'!I794*'02a_DC_Capacity_Alloc'!J794</f>
        <v/>
      </c>
      <c r="I794" s="6">
        <f>IFERROR(INDEX('02b_DC_Accelerator_Mix'!$F$2:$F$977,MATCH(G794,'02b_DC_Accelerator_Mix'!$A$2:$A$977,0)),0)</f>
        <v/>
      </c>
      <c r="J794" s="6">
        <f>IFERROR(INDEX('02b_DC_Accelerator_Mix'!$G$2:$G$977,MATCH(G794,'02b_DC_Accelerator_Mix'!$A$2:$A$977,0)),0)</f>
        <v/>
      </c>
      <c r="K794" s="6">
        <f>IFERROR(INDEX('02b_DC_Accelerator_Mix'!$H$2:$H$977,MATCH(G794,'02b_DC_Accelerator_Mix'!$A$2:$A$977,0)),0)</f>
        <v/>
      </c>
      <c r="L794" s="6">
        <f>IFERROR(INDEX('02b_DC_Accelerator_Mix'!$I$2:$I$977,MATCH(G794,'02b_DC_Accelerator_Mix'!$A$2:$A$977,0)),0)</f>
        <v/>
      </c>
      <c r="M794" s="6">
        <f>IFERROR(INDEX('02b_DC_Accelerator_Mix'!$J$2:$J$977,MATCH(G794,'02b_DC_Accelerator_Mix'!$A$2:$A$977,0)),0)</f>
        <v/>
      </c>
      <c r="N794" s="6">
        <f>IFERROR(INDEX('02b_DC_Accelerator_Mix'!$K$2:$K$977,MATCH(G794,'02b_DC_Accelerator_Mix'!$A$2:$A$977,0)),0)</f>
        <v/>
      </c>
      <c r="O794" s="6">
        <f>IFERROR(INDEX('02b_DC_Accelerator_Mix'!$L$2:$L$977,MATCH(G794,'02b_DC_Accelerator_Mix'!$A$2:$A$977,0)),0)</f>
        <v/>
      </c>
      <c r="P794" s="6">
        <f>IFERROR(INDEX('02b_DC_Accelerator_Mix'!$M$2:$M$977,MATCH(G794,'02b_DC_Accelerator_Mix'!$A$2:$A$977,0)),0)</f>
        <v/>
      </c>
      <c r="Q794" s="6">
        <f>IFERROR(INDEX('02b_DC_Accelerator_Mix'!$N$2:$N$977,MATCH(G794,'02b_DC_Accelerator_Mix'!$A$2:$A$977,0)),0)</f>
        <v/>
      </c>
      <c r="R794" s="28">
        <f>H794*I794</f>
        <v/>
      </c>
      <c r="S794" s="28">
        <f>H794*J794</f>
        <v/>
      </c>
      <c r="T794" s="28">
        <f>H794*K794</f>
        <v/>
      </c>
      <c r="U794" s="28">
        <f>H794*L794</f>
        <v/>
      </c>
      <c r="V794" s="28">
        <f>H794*M794</f>
        <v/>
      </c>
      <c r="W794" s="28">
        <f>H794*N794</f>
        <v/>
      </c>
      <c r="X794" s="28">
        <f>H794*O794</f>
        <v/>
      </c>
      <c r="Y794" s="28">
        <f>H794*P794</f>
        <v/>
      </c>
      <c r="Z794" s="28">
        <f>H794*Q794</f>
        <v/>
      </c>
      <c r="AA794" s="28">
        <f>SUM(U794:Z794)</f>
        <v/>
      </c>
      <c r="AB794" s="5">
        <f>IF(COUNTIF('02b_DC_Accelerator_Mix'!$A$2:$A$977,G794)&gt;0,"matched","missing_mix")</f>
        <v/>
      </c>
    </row>
    <row r="795">
      <c r="A795" s="5">
        <f>'02a_DC_Capacity_Alloc'!A795</f>
        <v/>
      </c>
      <c r="B795" s="5">
        <f>'02a_DC_Capacity_Alloc'!B795</f>
        <v/>
      </c>
      <c r="C795" s="5">
        <f>'02a_DC_Capacity_Alloc'!C795</f>
        <v/>
      </c>
      <c r="D795" s="5">
        <f>'02a_DC_Capacity_Alloc'!D795</f>
        <v/>
      </c>
      <c r="E795" s="5">
        <f>'02a_DC_Capacity_Alloc'!E795</f>
        <v/>
      </c>
      <c r="F795" s="5">
        <f>'02a_DC_Capacity_Alloc'!F795</f>
        <v/>
      </c>
      <c r="G795" s="5">
        <f>B795&amp;"|"&amp;E795&amp;"|"&amp;D795</f>
        <v/>
      </c>
      <c r="H795" s="28">
        <f>'02a_DC_Capacity_Alloc'!H795*'02a_DC_Capacity_Alloc'!I795*'02a_DC_Capacity_Alloc'!J795</f>
        <v/>
      </c>
      <c r="I795" s="6">
        <f>IFERROR(INDEX('02b_DC_Accelerator_Mix'!$F$2:$F$977,MATCH(G795,'02b_DC_Accelerator_Mix'!$A$2:$A$977,0)),0)</f>
        <v/>
      </c>
      <c r="J795" s="6">
        <f>IFERROR(INDEX('02b_DC_Accelerator_Mix'!$G$2:$G$977,MATCH(G795,'02b_DC_Accelerator_Mix'!$A$2:$A$977,0)),0)</f>
        <v/>
      </c>
      <c r="K795" s="6">
        <f>IFERROR(INDEX('02b_DC_Accelerator_Mix'!$H$2:$H$977,MATCH(G795,'02b_DC_Accelerator_Mix'!$A$2:$A$977,0)),0)</f>
        <v/>
      </c>
      <c r="L795" s="6">
        <f>IFERROR(INDEX('02b_DC_Accelerator_Mix'!$I$2:$I$977,MATCH(G795,'02b_DC_Accelerator_Mix'!$A$2:$A$977,0)),0)</f>
        <v/>
      </c>
      <c r="M795" s="6">
        <f>IFERROR(INDEX('02b_DC_Accelerator_Mix'!$J$2:$J$977,MATCH(G795,'02b_DC_Accelerator_Mix'!$A$2:$A$977,0)),0)</f>
        <v/>
      </c>
      <c r="N795" s="6">
        <f>IFERROR(INDEX('02b_DC_Accelerator_Mix'!$K$2:$K$977,MATCH(G795,'02b_DC_Accelerator_Mix'!$A$2:$A$977,0)),0)</f>
        <v/>
      </c>
      <c r="O795" s="6">
        <f>IFERROR(INDEX('02b_DC_Accelerator_Mix'!$L$2:$L$977,MATCH(G795,'02b_DC_Accelerator_Mix'!$A$2:$A$977,0)),0)</f>
        <v/>
      </c>
      <c r="P795" s="6">
        <f>IFERROR(INDEX('02b_DC_Accelerator_Mix'!$M$2:$M$977,MATCH(G795,'02b_DC_Accelerator_Mix'!$A$2:$A$977,0)),0)</f>
        <v/>
      </c>
      <c r="Q795" s="6">
        <f>IFERROR(INDEX('02b_DC_Accelerator_Mix'!$N$2:$N$977,MATCH(G795,'02b_DC_Accelerator_Mix'!$A$2:$A$977,0)),0)</f>
        <v/>
      </c>
      <c r="R795" s="28">
        <f>H795*I795</f>
        <v/>
      </c>
      <c r="S795" s="28">
        <f>H795*J795</f>
        <v/>
      </c>
      <c r="T795" s="28">
        <f>H795*K795</f>
        <v/>
      </c>
      <c r="U795" s="28">
        <f>H795*L795</f>
        <v/>
      </c>
      <c r="V795" s="28">
        <f>H795*M795</f>
        <v/>
      </c>
      <c r="W795" s="28">
        <f>H795*N795</f>
        <v/>
      </c>
      <c r="X795" s="28">
        <f>H795*O795</f>
        <v/>
      </c>
      <c r="Y795" s="28">
        <f>H795*P795</f>
        <v/>
      </c>
      <c r="Z795" s="28">
        <f>H795*Q795</f>
        <v/>
      </c>
      <c r="AA795" s="28">
        <f>SUM(U795:Z795)</f>
        <v/>
      </c>
      <c r="AB795" s="5">
        <f>IF(COUNTIF('02b_DC_Accelerator_Mix'!$A$2:$A$977,G795)&gt;0,"matched","missing_mix")</f>
        <v/>
      </c>
    </row>
    <row r="796">
      <c r="A796" s="5">
        <f>'02a_DC_Capacity_Alloc'!A796</f>
        <v/>
      </c>
      <c r="B796" s="5">
        <f>'02a_DC_Capacity_Alloc'!B796</f>
        <v/>
      </c>
      <c r="C796" s="5">
        <f>'02a_DC_Capacity_Alloc'!C796</f>
        <v/>
      </c>
      <c r="D796" s="5">
        <f>'02a_DC_Capacity_Alloc'!D796</f>
        <v/>
      </c>
      <c r="E796" s="5">
        <f>'02a_DC_Capacity_Alloc'!E796</f>
        <v/>
      </c>
      <c r="F796" s="5">
        <f>'02a_DC_Capacity_Alloc'!F796</f>
        <v/>
      </c>
      <c r="G796" s="5">
        <f>B796&amp;"|"&amp;E796&amp;"|"&amp;D796</f>
        <v/>
      </c>
      <c r="H796" s="28">
        <f>'02a_DC_Capacity_Alloc'!H796*'02a_DC_Capacity_Alloc'!I796*'02a_DC_Capacity_Alloc'!J796</f>
        <v/>
      </c>
      <c r="I796" s="6">
        <f>IFERROR(INDEX('02b_DC_Accelerator_Mix'!$F$2:$F$977,MATCH(G796,'02b_DC_Accelerator_Mix'!$A$2:$A$977,0)),0)</f>
        <v/>
      </c>
      <c r="J796" s="6">
        <f>IFERROR(INDEX('02b_DC_Accelerator_Mix'!$G$2:$G$977,MATCH(G796,'02b_DC_Accelerator_Mix'!$A$2:$A$977,0)),0)</f>
        <v/>
      </c>
      <c r="K796" s="6">
        <f>IFERROR(INDEX('02b_DC_Accelerator_Mix'!$H$2:$H$977,MATCH(G796,'02b_DC_Accelerator_Mix'!$A$2:$A$977,0)),0)</f>
        <v/>
      </c>
      <c r="L796" s="6">
        <f>IFERROR(INDEX('02b_DC_Accelerator_Mix'!$I$2:$I$977,MATCH(G796,'02b_DC_Accelerator_Mix'!$A$2:$A$977,0)),0)</f>
        <v/>
      </c>
      <c r="M796" s="6">
        <f>IFERROR(INDEX('02b_DC_Accelerator_Mix'!$J$2:$J$977,MATCH(G796,'02b_DC_Accelerator_Mix'!$A$2:$A$977,0)),0)</f>
        <v/>
      </c>
      <c r="N796" s="6">
        <f>IFERROR(INDEX('02b_DC_Accelerator_Mix'!$K$2:$K$977,MATCH(G796,'02b_DC_Accelerator_Mix'!$A$2:$A$977,0)),0)</f>
        <v/>
      </c>
      <c r="O796" s="6">
        <f>IFERROR(INDEX('02b_DC_Accelerator_Mix'!$L$2:$L$977,MATCH(G796,'02b_DC_Accelerator_Mix'!$A$2:$A$977,0)),0)</f>
        <v/>
      </c>
      <c r="P796" s="6">
        <f>IFERROR(INDEX('02b_DC_Accelerator_Mix'!$M$2:$M$977,MATCH(G796,'02b_DC_Accelerator_Mix'!$A$2:$A$977,0)),0)</f>
        <v/>
      </c>
      <c r="Q796" s="6">
        <f>IFERROR(INDEX('02b_DC_Accelerator_Mix'!$N$2:$N$977,MATCH(G796,'02b_DC_Accelerator_Mix'!$A$2:$A$977,0)),0)</f>
        <v/>
      </c>
      <c r="R796" s="28">
        <f>H796*I796</f>
        <v/>
      </c>
      <c r="S796" s="28">
        <f>H796*J796</f>
        <v/>
      </c>
      <c r="T796" s="28">
        <f>H796*K796</f>
        <v/>
      </c>
      <c r="U796" s="28">
        <f>H796*L796</f>
        <v/>
      </c>
      <c r="V796" s="28">
        <f>H796*M796</f>
        <v/>
      </c>
      <c r="W796" s="28">
        <f>H796*N796</f>
        <v/>
      </c>
      <c r="X796" s="28">
        <f>H796*O796</f>
        <v/>
      </c>
      <c r="Y796" s="28">
        <f>H796*P796</f>
        <v/>
      </c>
      <c r="Z796" s="28">
        <f>H796*Q796</f>
        <v/>
      </c>
      <c r="AA796" s="28">
        <f>SUM(U796:Z796)</f>
        <v/>
      </c>
      <c r="AB796" s="5">
        <f>IF(COUNTIF('02b_DC_Accelerator_Mix'!$A$2:$A$977,G796)&gt;0,"matched","missing_mix")</f>
        <v/>
      </c>
    </row>
    <row r="797">
      <c r="A797" s="5">
        <f>'02a_DC_Capacity_Alloc'!A797</f>
        <v/>
      </c>
      <c r="B797" s="5">
        <f>'02a_DC_Capacity_Alloc'!B797</f>
        <v/>
      </c>
      <c r="C797" s="5">
        <f>'02a_DC_Capacity_Alloc'!C797</f>
        <v/>
      </c>
      <c r="D797" s="5">
        <f>'02a_DC_Capacity_Alloc'!D797</f>
        <v/>
      </c>
      <c r="E797" s="5">
        <f>'02a_DC_Capacity_Alloc'!E797</f>
        <v/>
      </c>
      <c r="F797" s="5">
        <f>'02a_DC_Capacity_Alloc'!F797</f>
        <v/>
      </c>
      <c r="G797" s="5">
        <f>B797&amp;"|"&amp;E797&amp;"|"&amp;D797</f>
        <v/>
      </c>
      <c r="H797" s="28">
        <f>'02a_DC_Capacity_Alloc'!H797*'02a_DC_Capacity_Alloc'!I797*'02a_DC_Capacity_Alloc'!J797</f>
        <v/>
      </c>
      <c r="I797" s="6">
        <f>IFERROR(INDEX('02b_DC_Accelerator_Mix'!$F$2:$F$977,MATCH(G797,'02b_DC_Accelerator_Mix'!$A$2:$A$977,0)),0)</f>
        <v/>
      </c>
      <c r="J797" s="6">
        <f>IFERROR(INDEX('02b_DC_Accelerator_Mix'!$G$2:$G$977,MATCH(G797,'02b_DC_Accelerator_Mix'!$A$2:$A$977,0)),0)</f>
        <v/>
      </c>
      <c r="K797" s="6">
        <f>IFERROR(INDEX('02b_DC_Accelerator_Mix'!$H$2:$H$977,MATCH(G797,'02b_DC_Accelerator_Mix'!$A$2:$A$977,0)),0)</f>
        <v/>
      </c>
      <c r="L797" s="6">
        <f>IFERROR(INDEX('02b_DC_Accelerator_Mix'!$I$2:$I$977,MATCH(G797,'02b_DC_Accelerator_Mix'!$A$2:$A$977,0)),0)</f>
        <v/>
      </c>
      <c r="M797" s="6">
        <f>IFERROR(INDEX('02b_DC_Accelerator_Mix'!$J$2:$J$977,MATCH(G797,'02b_DC_Accelerator_Mix'!$A$2:$A$977,0)),0)</f>
        <v/>
      </c>
      <c r="N797" s="6">
        <f>IFERROR(INDEX('02b_DC_Accelerator_Mix'!$K$2:$K$977,MATCH(G797,'02b_DC_Accelerator_Mix'!$A$2:$A$977,0)),0)</f>
        <v/>
      </c>
      <c r="O797" s="6">
        <f>IFERROR(INDEX('02b_DC_Accelerator_Mix'!$L$2:$L$977,MATCH(G797,'02b_DC_Accelerator_Mix'!$A$2:$A$977,0)),0)</f>
        <v/>
      </c>
      <c r="P797" s="6">
        <f>IFERROR(INDEX('02b_DC_Accelerator_Mix'!$M$2:$M$977,MATCH(G797,'02b_DC_Accelerator_Mix'!$A$2:$A$977,0)),0)</f>
        <v/>
      </c>
      <c r="Q797" s="6">
        <f>IFERROR(INDEX('02b_DC_Accelerator_Mix'!$N$2:$N$977,MATCH(G797,'02b_DC_Accelerator_Mix'!$A$2:$A$977,0)),0)</f>
        <v/>
      </c>
      <c r="R797" s="28">
        <f>H797*I797</f>
        <v/>
      </c>
      <c r="S797" s="28">
        <f>H797*J797</f>
        <v/>
      </c>
      <c r="T797" s="28">
        <f>H797*K797</f>
        <v/>
      </c>
      <c r="U797" s="28">
        <f>H797*L797</f>
        <v/>
      </c>
      <c r="V797" s="28">
        <f>H797*M797</f>
        <v/>
      </c>
      <c r="W797" s="28">
        <f>H797*N797</f>
        <v/>
      </c>
      <c r="X797" s="28">
        <f>H797*O797</f>
        <v/>
      </c>
      <c r="Y797" s="28">
        <f>H797*P797</f>
        <v/>
      </c>
      <c r="Z797" s="28">
        <f>H797*Q797</f>
        <v/>
      </c>
      <c r="AA797" s="28">
        <f>SUM(U797:Z797)</f>
        <v/>
      </c>
      <c r="AB797" s="5">
        <f>IF(COUNTIF('02b_DC_Accelerator_Mix'!$A$2:$A$977,G797)&gt;0,"matched","missing_mix")</f>
        <v/>
      </c>
    </row>
    <row r="798">
      <c r="A798" s="5">
        <f>'02a_DC_Capacity_Alloc'!A798</f>
        <v/>
      </c>
      <c r="B798" s="5">
        <f>'02a_DC_Capacity_Alloc'!B798</f>
        <v/>
      </c>
      <c r="C798" s="5">
        <f>'02a_DC_Capacity_Alloc'!C798</f>
        <v/>
      </c>
      <c r="D798" s="5">
        <f>'02a_DC_Capacity_Alloc'!D798</f>
        <v/>
      </c>
      <c r="E798" s="5">
        <f>'02a_DC_Capacity_Alloc'!E798</f>
        <v/>
      </c>
      <c r="F798" s="5">
        <f>'02a_DC_Capacity_Alloc'!F798</f>
        <v/>
      </c>
      <c r="G798" s="5">
        <f>B798&amp;"|"&amp;E798&amp;"|"&amp;D798</f>
        <v/>
      </c>
      <c r="H798" s="28">
        <f>'02a_DC_Capacity_Alloc'!H798*'02a_DC_Capacity_Alloc'!I798*'02a_DC_Capacity_Alloc'!J798</f>
        <v/>
      </c>
      <c r="I798" s="6">
        <f>IFERROR(INDEX('02b_DC_Accelerator_Mix'!$F$2:$F$977,MATCH(G798,'02b_DC_Accelerator_Mix'!$A$2:$A$977,0)),0)</f>
        <v/>
      </c>
      <c r="J798" s="6">
        <f>IFERROR(INDEX('02b_DC_Accelerator_Mix'!$G$2:$G$977,MATCH(G798,'02b_DC_Accelerator_Mix'!$A$2:$A$977,0)),0)</f>
        <v/>
      </c>
      <c r="K798" s="6">
        <f>IFERROR(INDEX('02b_DC_Accelerator_Mix'!$H$2:$H$977,MATCH(G798,'02b_DC_Accelerator_Mix'!$A$2:$A$977,0)),0)</f>
        <v/>
      </c>
      <c r="L798" s="6">
        <f>IFERROR(INDEX('02b_DC_Accelerator_Mix'!$I$2:$I$977,MATCH(G798,'02b_DC_Accelerator_Mix'!$A$2:$A$977,0)),0)</f>
        <v/>
      </c>
      <c r="M798" s="6">
        <f>IFERROR(INDEX('02b_DC_Accelerator_Mix'!$J$2:$J$977,MATCH(G798,'02b_DC_Accelerator_Mix'!$A$2:$A$977,0)),0)</f>
        <v/>
      </c>
      <c r="N798" s="6">
        <f>IFERROR(INDEX('02b_DC_Accelerator_Mix'!$K$2:$K$977,MATCH(G798,'02b_DC_Accelerator_Mix'!$A$2:$A$977,0)),0)</f>
        <v/>
      </c>
      <c r="O798" s="6">
        <f>IFERROR(INDEX('02b_DC_Accelerator_Mix'!$L$2:$L$977,MATCH(G798,'02b_DC_Accelerator_Mix'!$A$2:$A$977,0)),0)</f>
        <v/>
      </c>
      <c r="P798" s="6">
        <f>IFERROR(INDEX('02b_DC_Accelerator_Mix'!$M$2:$M$977,MATCH(G798,'02b_DC_Accelerator_Mix'!$A$2:$A$977,0)),0)</f>
        <v/>
      </c>
      <c r="Q798" s="6">
        <f>IFERROR(INDEX('02b_DC_Accelerator_Mix'!$N$2:$N$977,MATCH(G798,'02b_DC_Accelerator_Mix'!$A$2:$A$977,0)),0)</f>
        <v/>
      </c>
      <c r="R798" s="28">
        <f>H798*I798</f>
        <v/>
      </c>
      <c r="S798" s="28">
        <f>H798*J798</f>
        <v/>
      </c>
      <c r="T798" s="28">
        <f>H798*K798</f>
        <v/>
      </c>
      <c r="U798" s="28">
        <f>H798*L798</f>
        <v/>
      </c>
      <c r="V798" s="28">
        <f>H798*M798</f>
        <v/>
      </c>
      <c r="W798" s="28">
        <f>H798*N798</f>
        <v/>
      </c>
      <c r="X798" s="28">
        <f>H798*O798</f>
        <v/>
      </c>
      <c r="Y798" s="28">
        <f>H798*P798</f>
        <v/>
      </c>
      <c r="Z798" s="28">
        <f>H798*Q798</f>
        <v/>
      </c>
      <c r="AA798" s="28">
        <f>SUM(U798:Z798)</f>
        <v/>
      </c>
      <c r="AB798" s="5">
        <f>IF(COUNTIF('02b_DC_Accelerator_Mix'!$A$2:$A$977,G798)&gt;0,"matched","missing_mix")</f>
        <v/>
      </c>
    </row>
    <row r="799">
      <c r="A799" s="5">
        <f>'02a_DC_Capacity_Alloc'!A799</f>
        <v/>
      </c>
      <c r="B799" s="5">
        <f>'02a_DC_Capacity_Alloc'!B799</f>
        <v/>
      </c>
      <c r="C799" s="5">
        <f>'02a_DC_Capacity_Alloc'!C799</f>
        <v/>
      </c>
      <c r="D799" s="5">
        <f>'02a_DC_Capacity_Alloc'!D799</f>
        <v/>
      </c>
      <c r="E799" s="5">
        <f>'02a_DC_Capacity_Alloc'!E799</f>
        <v/>
      </c>
      <c r="F799" s="5">
        <f>'02a_DC_Capacity_Alloc'!F799</f>
        <v/>
      </c>
      <c r="G799" s="5">
        <f>B799&amp;"|"&amp;E799&amp;"|"&amp;D799</f>
        <v/>
      </c>
      <c r="H799" s="28">
        <f>'02a_DC_Capacity_Alloc'!H799*'02a_DC_Capacity_Alloc'!I799*'02a_DC_Capacity_Alloc'!J799</f>
        <v/>
      </c>
      <c r="I799" s="6">
        <f>IFERROR(INDEX('02b_DC_Accelerator_Mix'!$F$2:$F$977,MATCH(G799,'02b_DC_Accelerator_Mix'!$A$2:$A$977,0)),0)</f>
        <v/>
      </c>
      <c r="J799" s="6">
        <f>IFERROR(INDEX('02b_DC_Accelerator_Mix'!$G$2:$G$977,MATCH(G799,'02b_DC_Accelerator_Mix'!$A$2:$A$977,0)),0)</f>
        <v/>
      </c>
      <c r="K799" s="6">
        <f>IFERROR(INDEX('02b_DC_Accelerator_Mix'!$H$2:$H$977,MATCH(G799,'02b_DC_Accelerator_Mix'!$A$2:$A$977,0)),0)</f>
        <v/>
      </c>
      <c r="L799" s="6">
        <f>IFERROR(INDEX('02b_DC_Accelerator_Mix'!$I$2:$I$977,MATCH(G799,'02b_DC_Accelerator_Mix'!$A$2:$A$977,0)),0)</f>
        <v/>
      </c>
      <c r="M799" s="6">
        <f>IFERROR(INDEX('02b_DC_Accelerator_Mix'!$J$2:$J$977,MATCH(G799,'02b_DC_Accelerator_Mix'!$A$2:$A$977,0)),0)</f>
        <v/>
      </c>
      <c r="N799" s="6">
        <f>IFERROR(INDEX('02b_DC_Accelerator_Mix'!$K$2:$K$977,MATCH(G799,'02b_DC_Accelerator_Mix'!$A$2:$A$977,0)),0)</f>
        <v/>
      </c>
      <c r="O799" s="6">
        <f>IFERROR(INDEX('02b_DC_Accelerator_Mix'!$L$2:$L$977,MATCH(G799,'02b_DC_Accelerator_Mix'!$A$2:$A$977,0)),0)</f>
        <v/>
      </c>
      <c r="P799" s="6">
        <f>IFERROR(INDEX('02b_DC_Accelerator_Mix'!$M$2:$M$977,MATCH(G799,'02b_DC_Accelerator_Mix'!$A$2:$A$977,0)),0)</f>
        <v/>
      </c>
      <c r="Q799" s="6">
        <f>IFERROR(INDEX('02b_DC_Accelerator_Mix'!$N$2:$N$977,MATCH(G799,'02b_DC_Accelerator_Mix'!$A$2:$A$977,0)),0)</f>
        <v/>
      </c>
      <c r="R799" s="28">
        <f>H799*I799</f>
        <v/>
      </c>
      <c r="S799" s="28">
        <f>H799*J799</f>
        <v/>
      </c>
      <c r="T799" s="28">
        <f>H799*K799</f>
        <v/>
      </c>
      <c r="U799" s="28">
        <f>H799*L799</f>
        <v/>
      </c>
      <c r="V799" s="28">
        <f>H799*M799</f>
        <v/>
      </c>
      <c r="W799" s="28">
        <f>H799*N799</f>
        <v/>
      </c>
      <c r="X799" s="28">
        <f>H799*O799</f>
        <v/>
      </c>
      <c r="Y799" s="28">
        <f>H799*P799</f>
        <v/>
      </c>
      <c r="Z799" s="28">
        <f>H799*Q799</f>
        <v/>
      </c>
      <c r="AA799" s="28">
        <f>SUM(U799:Z799)</f>
        <v/>
      </c>
      <c r="AB799" s="5">
        <f>IF(COUNTIF('02b_DC_Accelerator_Mix'!$A$2:$A$977,G799)&gt;0,"matched","missing_mix")</f>
        <v/>
      </c>
    </row>
    <row r="800">
      <c r="A800" s="5">
        <f>'02a_DC_Capacity_Alloc'!A800</f>
        <v/>
      </c>
      <c r="B800" s="5">
        <f>'02a_DC_Capacity_Alloc'!B800</f>
        <v/>
      </c>
      <c r="C800" s="5">
        <f>'02a_DC_Capacity_Alloc'!C800</f>
        <v/>
      </c>
      <c r="D800" s="5">
        <f>'02a_DC_Capacity_Alloc'!D800</f>
        <v/>
      </c>
      <c r="E800" s="5">
        <f>'02a_DC_Capacity_Alloc'!E800</f>
        <v/>
      </c>
      <c r="F800" s="5">
        <f>'02a_DC_Capacity_Alloc'!F800</f>
        <v/>
      </c>
      <c r="G800" s="5">
        <f>B800&amp;"|"&amp;E800&amp;"|"&amp;D800</f>
        <v/>
      </c>
      <c r="H800" s="28">
        <f>'02a_DC_Capacity_Alloc'!H800*'02a_DC_Capacity_Alloc'!I800*'02a_DC_Capacity_Alloc'!J800</f>
        <v/>
      </c>
      <c r="I800" s="6">
        <f>IFERROR(INDEX('02b_DC_Accelerator_Mix'!$F$2:$F$977,MATCH(G800,'02b_DC_Accelerator_Mix'!$A$2:$A$977,0)),0)</f>
        <v/>
      </c>
      <c r="J800" s="6">
        <f>IFERROR(INDEX('02b_DC_Accelerator_Mix'!$G$2:$G$977,MATCH(G800,'02b_DC_Accelerator_Mix'!$A$2:$A$977,0)),0)</f>
        <v/>
      </c>
      <c r="K800" s="6">
        <f>IFERROR(INDEX('02b_DC_Accelerator_Mix'!$H$2:$H$977,MATCH(G800,'02b_DC_Accelerator_Mix'!$A$2:$A$977,0)),0)</f>
        <v/>
      </c>
      <c r="L800" s="6">
        <f>IFERROR(INDEX('02b_DC_Accelerator_Mix'!$I$2:$I$977,MATCH(G800,'02b_DC_Accelerator_Mix'!$A$2:$A$977,0)),0)</f>
        <v/>
      </c>
      <c r="M800" s="6">
        <f>IFERROR(INDEX('02b_DC_Accelerator_Mix'!$J$2:$J$977,MATCH(G800,'02b_DC_Accelerator_Mix'!$A$2:$A$977,0)),0)</f>
        <v/>
      </c>
      <c r="N800" s="6">
        <f>IFERROR(INDEX('02b_DC_Accelerator_Mix'!$K$2:$K$977,MATCH(G800,'02b_DC_Accelerator_Mix'!$A$2:$A$977,0)),0)</f>
        <v/>
      </c>
      <c r="O800" s="6">
        <f>IFERROR(INDEX('02b_DC_Accelerator_Mix'!$L$2:$L$977,MATCH(G800,'02b_DC_Accelerator_Mix'!$A$2:$A$977,0)),0)</f>
        <v/>
      </c>
      <c r="P800" s="6">
        <f>IFERROR(INDEX('02b_DC_Accelerator_Mix'!$M$2:$M$977,MATCH(G800,'02b_DC_Accelerator_Mix'!$A$2:$A$977,0)),0)</f>
        <v/>
      </c>
      <c r="Q800" s="6">
        <f>IFERROR(INDEX('02b_DC_Accelerator_Mix'!$N$2:$N$977,MATCH(G800,'02b_DC_Accelerator_Mix'!$A$2:$A$977,0)),0)</f>
        <v/>
      </c>
      <c r="R800" s="28">
        <f>H800*I800</f>
        <v/>
      </c>
      <c r="S800" s="28">
        <f>H800*J800</f>
        <v/>
      </c>
      <c r="T800" s="28">
        <f>H800*K800</f>
        <v/>
      </c>
      <c r="U800" s="28">
        <f>H800*L800</f>
        <v/>
      </c>
      <c r="V800" s="28">
        <f>H800*M800</f>
        <v/>
      </c>
      <c r="W800" s="28">
        <f>H800*N800</f>
        <v/>
      </c>
      <c r="X800" s="28">
        <f>H800*O800</f>
        <v/>
      </c>
      <c r="Y800" s="28">
        <f>H800*P800</f>
        <v/>
      </c>
      <c r="Z800" s="28">
        <f>H800*Q800</f>
        <v/>
      </c>
      <c r="AA800" s="28">
        <f>SUM(U800:Z800)</f>
        <v/>
      </c>
      <c r="AB800" s="5">
        <f>IF(COUNTIF('02b_DC_Accelerator_Mix'!$A$2:$A$977,G800)&gt;0,"matched","missing_mix")</f>
        <v/>
      </c>
    </row>
    <row r="801">
      <c r="A801" s="5">
        <f>'02a_DC_Capacity_Alloc'!A801</f>
        <v/>
      </c>
      <c r="B801" s="5">
        <f>'02a_DC_Capacity_Alloc'!B801</f>
        <v/>
      </c>
      <c r="C801" s="5">
        <f>'02a_DC_Capacity_Alloc'!C801</f>
        <v/>
      </c>
      <c r="D801" s="5">
        <f>'02a_DC_Capacity_Alloc'!D801</f>
        <v/>
      </c>
      <c r="E801" s="5">
        <f>'02a_DC_Capacity_Alloc'!E801</f>
        <v/>
      </c>
      <c r="F801" s="5">
        <f>'02a_DC_Capacity_Alloc'!F801</f>
        <v/>
      </c>
      <c r="G801" s="5">
        <f>B801&amp;"|"&amp;E801&amp;"|"&amp;D801</f>
        <v/>
      </c>
      <c r="H801" s="28">
        <f>'02a_DC_Capacity_Alloc'!H801*'02a_DC_Capacity_Alloc'!I801*'02a_DC_Capacity_Alloc'!J801</f>
        <v/>
      </c>
      <c r="I801" s="6">
        <f>IFERROR(INDEX('02b_DC_Accelerator_Mix'!$F$2:$F$977,MATCH(G801,'02b_DC_Accelerator_Mix'!$A$2:$A$977,0)),0)</f>
        <v/>
      </c>
      <c r="J801" s="6">
        <f>IFERROR(INDEX('02b_DC_Accelerator_Mix'!$G$2:$G$977,MATCH(G801,'02b_DC_Accelerator_Mix'!$A$2:$A$977,0)),0)</f>
        <v/>
      </c>
      <c r="K801" s="6">
        <f>IFERROR(INDEX('02b_DC_Accelerator_Mix'!$H$2:$H$977,MATCH(G801,'02b_DC_Accelerator_Mix'!$A$2:$A$977,0)),0)</f>
        <v/>
      </c>
      <c r="L801" s="6">
        <f>IFERROR(INDEX('02b_DC_Accelerator_Mix'!$I$2:$I$977,MATCH(G801,'02b_DC_Accelerator_Mix'!$A$2:$A$977,0)),0)</f>
        <v/>
      </c>
      <c r="M801" s="6">
        <f>IFERROR(INDEX('02b_DC_Accelerator_Mix'!$J$2:$J$977,MATCH(G801,'02b_DC_Accelerator_Mix'!$A$2:$A$977,0)),0)</f>
        <v/>
      </c>
      <c r="N801" s="6">
        <f>IFERROR(INDEX('02b_DC_Accelerator_Mix'!$K$2:$K$977,MATCH(G801,'02b_DC_Accelerator_Mix'!$A$2:$A$977,0)),0)</f>
        <v/>
      </c>
      <c r="O801" s="6">
        <f>IFERROR(INDEX('02b_DC_Accelerator_Mix'!$L$2:$L$977,MATCH(G801,'02b_DC_Accelerator_Mix'!$A$2:$A$977,0)),0)</f>
        <v/>
      </c>
      <c r="P801" s="6">
        <f>IFERROR(INDEX('02b_DC_Accelerator_Mix'!$M$2:$M$977,MATCH(G801,'02b_DC_Accelerator_Mix'!$A$2:$A$977,0)),0)</f>
        <v/>
      </c>
      <c r="Q801" s="6">
        <f>IFERROR(INDEX('02b_DC_Accelerator_Mix'!$N$2:$N$977,MATCH(G801,'02b_DC_Accelerator_Mix'!$A$2:$A$977,0)),0)</f>
        <v/>
      </c>
      <c r="R801" s="28">
        <f>H801*I801</f>
        <v/>
      </c>
      <c r="S801" s="28">
        <f>H801*J801</f>
        <v/>
      </c>
      <c r="T801" s="28">
        <f>H801*K801</f>
        <v/>
      </c>
      <c r="U801" s="28">
        <f>H801*L801</f>
        <v/>
      </c>
      <c r="V801" s="28">
        <f>H801*M801</f>
        <v/>
      </c>
      <c r="W801" s="28">
        <f>H801*N801</f>
        <v/>
      </c>
      <c r="X801" s="28">
        <f>H801*O801</f>
        <v/>
      </c>
      <c r="Y801" s="28">
        <f>H801*P801</f>
        <v/>
      </c>
      <c r="Z801" s="28">
        <f>H801*Q801</f>
        <v/>
      </c>
      <c r="AA801" s="28">
        <f>SUM(U801:Z801)</f>
        <v/>
      </c>
      <c r="AB801" s="5">
        <f>IF(COUNTIF('02b_DC_Accelerator_Mix'!$A$2:$A$977,G801)&gt;0,"matched","missing_mix")</f>
        <v/>
      </c>
    </row>
    <row r="802">
      <c r="A802" s="5">
        <f>'02a_DC_Capacity_Alloc'!A802</f>
        <v/>
      </c>
      <c r="B802" s="5">
        <f>'02a_DC_Capacity_Alloc'!B802</f>
        <v/>
      </c>
      <c r="C802" s="5">
        <f>'02a_DC_Capacity_Alloc'!C802</f>
        <v/>
      </c>
      <c r="D802" s="5">
        <f>'02a_DC_Capacity_Alloc'!D802</f>
        <v/>
      </c>
      <c r="E802" s="5">
        <f>'02a_DC_Capacity_Alloc'!E802</f>
        <v/>
      </c>
      <c r="F802" s="5">
        <f>'02a_DC_Capacity_Alloc'!F802</f>
        <v/>
      </c>
      <c r="G802" s="5">
        <f>B802&amp;"|"&amp;E802&amp;"|"&amp;D802</f>
        <v/>
      </c>
      <c r="H802" s="28">
        <f>'02a_DC_Capacity_Alloc'!H802*'02a_DC_Capacity_Alloc'!I802*'02a_DC_Capacity_Alloc'!J802</f>
        <v/>
      </c>
      <c r="I802" s="6">
        <f>IFERROR(INDEX('02b_DC_Accelerator_Mix'!$F$2:$F$977,MATCH(G802,'02b_DC_Accelerator_Mix'!$A$2:$A$977,0)),0)</f>
        <v/>
      </c>
      <c r="J802" s="6">
        <f>IFERROR(INDEX('02b_DC_Accelerator_Mix'!$G$2:$G$977,MATCH(G802,'02b_DC_Accelerator_Mix'!$A$2:$A$977,0)),0)</f>
        <v/>
      </c>
      <c r="K802" s="6">
        <f>IFERROR(INDEX('02b_DC_Accelerator_Mix'!$H$2:$H$977,MATCH(G802,'02b_DC_Accelerator_Mix'!$A$2:$A$977,0)),0)</f>
        <v/>
      </c>
      <c r="L802" s="6">
        <f>IFERROR(INDEX('02b_DC_Accelerator_Mix'!$I$2:$I$977,MATCH(G802,'02b_DC_Accelerator_Mix'!$A$2:$A$977,0)),0)</f>
        <v/>
      </c>
      <c r="M802" s="6">
        <f>IFERROR(INDEX('02b_DC_Accelerator_Mix'!$J$2:$J$977,MATCH(G802,'02b_DC_Accelerator_Mix'!$A$2:$A$977,0)),0)</f>
        <v/>
      </c>
      <c r="N802" s="6">
        <f>IFERROR(INDEX('02b_DC_Accelerator_Mix'!$K$2:$K$977,MATCH(G802,'02b_DC_Accelerator_Mix'!$A$2:$A$977,0)),0)</f>
        <v/>
      </c>
      <c r="O802" s="6">
        <f>IFERROR(INDEX('02b_DC_Accelerator_Mix'!$L$2:$L$977,MATCH(G802,'02b_DC_Accelerator_Mix'!$A$2:$A$977,0)),0)</f>
        <v/>
      </c>
      <c r="P802" s="6">
        <f>IFERROR(INDEX('02b_DC_Accelerator_Mix'!$M$2:$M$977,MATCH(G802,'02b_DC_Accelerator_Mix'!$A$2:$A$977,0)),0)</f>
        <v/>
      </c>
      <c r="Q802" s="6">
        <f>IFERROR(INDEX('02b_DC_Accelerator_Mix'!$N$2:$N$977,MATCH(G802,'02b_DC_Accelerator_Mix'!$A$2:$A$977,0)),0)</f>
        <v/>
      </c>
      <c r="R802" s="28">
        <f>H802*I802</f>
        <v/>
      </c>
      <c r="S802" s="28">
        <f>H802*J802</f>
        <v/>
      </c>
      <c r="T802" s="28">
        <f>H802*K802</f>
        <v/>
      </c>
      <c r="U802" s="28">
        <f>H802*L802</f>
        <v/>
      </c>
      <c r="V802" s="28">
        <f>H802*M802</f>
        <v/>
      </c>
      <c r="W802" s="28">
        <f>H802*N802</f>
        <v/>
      </c>
      <c r="X802" s="28">
        <f>H802*O802</f>
        <v/>
      </c>
      <c r="Y802" s="28">
        <f>H802*P802</f>
        <v/>
      </c>
      <c r="Z802" s="28">
        <f>H802*Q802</f>
        <v/>
      </c>
      <c r="AA802" s="28">
        <f>SUM(U802:Z802)</f>
        <v/>
      </c>
      <c r="AB802" s="5">
        <f>IF(COUNTIF('02b_DC_Accelerator_Mix'!$A$2:$A$977,G802)&gt;0,"matched","missing_mix")</f>
        <v/>
      </c>
    </row>
    <row r="803">
      <c r="A803" s="5">
        <f>'02a_DC_Capacity_Alloc'!A803</f>
        <v/>
      </c>
      <c r="B803" s="5">
        <f>'02a_DC_Capacity_Alloc'!B803</f>
        <v/>
      </c>
      <c r="C803" s="5">
        <f>'02a_DC_Capacity_Alloc'!C803</f>
        <v/>
      </c>
      <c r="D803" s="5">
        <f>'02a_DC_Capacity_Alloc'!D803</f>
        <v/>
      </c>
      <c r="E803" s="5">
        <f>'02a_DC_Capacity_Alloc'!E803</f>
        <v/>
      </c>
      <c r="F803" s="5">
        <f>'02a_DC_Capacity_Alloc'!F803</f>
        <v/>
      </c>
      <c r="G803" s="5">
        <f>B803&amp;"|"&amp;E803&amp;"|"&amp;D803</f>
        <v/>
      </c>
      <c r="H803" s="28">
        <f>'02a_DC_Capacity_Alloc'!H803*'02a_DC_Capacity_Alloc'!I803*'02a_DC_Capacity_Alloc'!J803</f>
        <v/>
      </c>
      <c r="I803" s="6">
        <f>IFERROR(INDEX('02b_DC_Accelerator_Mix'!$F$2:$F$977,MATCH(G803,'02b_DC_Accelerator_Mix'!$A$2:$A$977,0)),0)</f>
        <v/>
      </c>
      <c r="J803" s="6">
        <f>IFERROR(INDEX('02b_DC_Accelerator_Mix'!$G$2:$G$977,MATCH(G803,'02b_DC_Accelerator_Mix'!$A$2:$A$977,0)),0)</f>
        <v/>
      </c>
      <c r="K803" s="6">
        <f>IFERROR(INDEX('02b_DC_Accelerator_Mix'!$H$2:$H$977,MATCH(G803,'02b_DC_Accelerator_Mix'!$A$2:$A$977,0)),0)</f>
        <v/>
      </c>
      <c r="L803" s="6">
        <f>IFERROR(INDEX('02b_DC_Accelerator_Mix'!$I$2:$I$977,MATCH(G803,'02b_DC_Accelerator_Mix'!$A$2:$A$977,0)),0)</f>
        <v/>
      </c>
      <c r="M803" s="6">
        <f>IFERROR(INDEX('02b_DC_Accelerator_Mix'!$J$2:$J$977,MATCH(G803,'02b_DC_Accelerator_Mix'!$A$2:$A$977,0)),0)</f>
        <v/>
      </c>
      <c r="N803" s="6">
        <f>IFERROR(INDEX('02b_DC_Accelerator_Mix'!$K$2:$K$977,MATCH(G803,'02b_DC_Accelerator_Mix'!$A$2:$A$977,0)),0)</f>
        <v/>
      </c>
      <c r="O803" s="6">
        <f>IFERROR(INDEX('02b_DC_Accelerator_Mix'!$L$2:$L$977,MATCH(G803,'02b_DC_Accelerator_Mix'!$A$2:$A$977,0)),0)</f>
        <v/>
      </c>
      <c r="P803" s="6">
        <f>IFERROR(INDEX('02b_DC_Accelerator_Mix'!$M$2:$M$977,MATCH(G803,'02b_DC_Accelerator_Mix'!$A$2:$A$977,0)),0)</f>
        <v/>
      </c>
      <c r="Q803" s="6">
        <f>IFERROR(INDEX('02b_DC_Accelerator_Mix'!$N$2:$N$977,MATCH(G803,'02b_DC_Accelerator_Mix'!$A$2:$A$977,0)),0)</f>
        <v/>
      </c>
      <c r="R803" s="28">
        <f>H803*I803</f>
        <v/>
      </c>
      <c r="S803" s="28">
        <f>H803*J803</f>
        <v/>
      </c>
      <c r="T803" s="28">
        <f>H803*K803</f>
        <v/>
      </c>
      <c r="U803" s="28">
        <f>H803*L803</f>
        <v/>
      </c>
      <c r="V803" s="28">
        <f>H803*M803</f>
        <v/>
      </c>
      <c r="W803" s="28">
        <f>H803*N803</f>
        <v/>
      </c>
      <c r="X803" s="28">
        <f>H803*O803</f>
        <v/>
      </c>
      <c r="Y803" s="28">
        <f>H803*P803</f>
        <v/>
      </c>
      <c r="Z803" s="28">
        <f>H803*Q803</f>
        <v/>
      </c>
      <c r="AA803" s="28">
        <f>SUM(U803:Z803)</f>
        <v/>
      </c>
      <c r="AB803" s="5">
        <f>IF(COUNTIF('02b_DC_Accelerator_Mix'!$A$2:$A$977,G803)&gt;0,"matched","missing_mix")</f>
        <v/>
      </c>
    </row>
    <row r="804">
      <c r="A804" s="5">
        <f>'02a_DC_Capacity_Alloc'!A804</f>
        <v/>
      </c>
      <c r="B804" s="5">
        <f>'02a_DC_Capacity_Alloc'!B804</f>
        <v/>
      </c>
      <c r="C804" s="5">
        <f>'02a_DC_Capacity_Alloc'!C804</f>
        <v/>
      </c>
      <c r="D804" s="5">
        <f>'02a_DC_Capacity_Alloc'!D804</f>
        <v/>
      </c>
      <c r="E804" s="5">
        <f>'02a_DC_Capacity_Alloc'!E804</f>
        <v/>
      </c>
      <c r="F804" s="5">
        <f>'02a_DC_Capacity_Alloc'!F804</f>
        <v/>
      </c>
      <c r="G804" s="5">
        <f>B804&amp;"|"&amp;E804&amp;"|"&amp;D804</f>
        <v/>
      </c>
      <c r="H804" s="28">
        <f>'02a_DC_Capacity_Alloc'!H804*'02a_DC_Capacity_Alloc'!I804*'02a_DC_Capacity_Alloc'!J804</f>
        <v/>
      </c>
      <c r="I804" s="6">
        <f>IFERROR(INDEX('02b_DC_Accelerator_Mix'!$F$2:$F$977,MATCH(G804,'02b_DC_Accelerator_Mix'!$A$2:$A$977,0)),0)</f>
        <v/>
      </c>
      <c r="J804" s="6">
        <f>IFERROR(INDEX('02b_DC_Accelerator_Mix'!$G$2:$G$977,MATCH(G804,'02b_DC_Accelerator_Mix'!$A$2:$A$977,0)),0)</f>
        <v/>
      </c>
      <c r="K804" s="6">
        <f>IFERROR(INDEX('02b_DC_Accelerator_Mix'!$H$2:$H$977,MATCH(G804,'02b_DC_Accelerator_Mix'!$A$2:$A$977,0)),0)</f>
        <v/>
      </c>
      <c r="L804" s="6">
        <f>IFERROR(INDEX('02b_DC_Accelerator_Mix'!$I$2:$I$977,MATCH(G804,'02b_DC_Accelerator_Mix'!$A$2:$A$977,0)),0)</f>
        <v/>
      </c>
      <c r="M804" s="6">
        <f>IFERROR(INDEX('02b_DC_Accelerator_Mix'!$J$2:$J$977,MATCH(G804,'02b_DC_Accelerator_Mix'!$A$2:$A$977,0)),0)</f>
        <v/>
      </c>
      <c r="N804" s="6">
        <f>IFERROR(INDEX('02b_DC_Accelerator_Mix'!$K$2:$K$977,MATCH(G804,'02b_DC_Accelerator_Mix'!$A$2:$A$977,0)),0)</f>
        <v/>
      </c>
      <c r="O804" s="6">
        <f>IFERROR(INDEX('02b_DC_Accelerator_Mix'!$L$2:$L$977,MATCH(G804,'02b_DC_Accelerator_Mix'!$A$2:$A$977,0)),0)</f>
        <v/>
      </c>
      <c r="P804" s="6">
        <f>IFERROR(INDEX('02b_DC_Accelerator_Mix'!$M$2:$M$977,MATCH(G804,'02b_DC_Accelerator_Mix'!$A$2:$A$977,0)),0)</f>
        <v/>
      </c>
      <c r="Q804" s="6">
        <f>IFERROR(INDEX('02b_DC_Accelerator_Mix'!$N$2:$N$977,MATCH(G804,'02b_DC_Accelerator_Mix'!$A$2:$A$977,0)),0)</f>
        <v/>
      </c>
      <c r="R804" s="28">
        <f>H804*I804</f>
        <v/>
      </c>
      <c r="S804" s="28">
        <f>H804*J804</f>
        <v/>
      </c>
      <c r="T804" s="28">
        <f>H804*K804</f>
        <v/>
      </c>
      <c r="U804" s="28">
        <f>H804*L804</f>
        <v/>
      </c>
      <c r="V804" s="28">
        <f>H804*M804</f>
        <v/>
      </c>
      <c r="W804" s="28">
        <f>H804*N804</f>
        <v/>
      </c>
      <c r="X804" s="28">
        <f>H804*O804</f>
        <v/>
      </c>
      <c r="Y804" s="28">
        <f>H804*P804</f>
        <v/>
      </c>
      <c r="Z804" s="28">
        <f>H804*Q804</f>
        <v/>
      </c>
      <c r="AA804" s="28">
        <f>SUM(U804:Z804)</f>
        <v/>
      </c>
      <c r="AB804" s="5">
        <f>IF(COUNTIF('02b_DC_Accelerator_Mix'!$A$2:$A$977,G804)&gt;0,"matched","missing_mix")</f>
        <v/>
      </c>
    </row>
    <row r="805">
      <c r="A805" s="5">
        <f>'02a_DC_Capacity_Alloc'!A805</f>
        <v/>
      </c>
      <c r="B805" s="5">
        <f>'02a_DC_Capacity_Alloc'!B805</f>
        <v/>
      </c>
      <c r="C805" s="5">
        <f>'02a_DC_Capacity_Alloc'!C805</f>
        <v/>
      </c>
      <c r="D805" s="5">
        <f>'02a_DC_Capacity_Alloc'!D805</f>
        <v/>
      </c>
      <c r="E805" s="5">
        <f>'02a_DC_Capacity_Alloc'!E805</f>
        <v/>
      </c>
      <c r="F805" s="5">
        <f>'02a_DC_Capacity_Alloc'!F805</f>
        <v/>
      </c>
      <c r="G805" s="5">
        <f>B805&amp;"|"&amp;E805&amp;"|"&amp;D805</f>
        <v/>
      </c>
      <c r="H805" s="28">
        <f>'02a_DC_Capacity_Alloc'!H805*'02a_DC_Capacity_Alloc'!I805*'02a_DC_Capacity_Alloc'!J805</f>
        <v/>
      </c>
      <c r="I805" s="6">
        <f>IFERROR(INDEX('02b_DC_Accelerator_Mix'!$F$2:$F$977,MATCH(G805,'02b_DC_Accelerator_Mix'!$A$2:$A$977,0)),0)</f>
        <v/>
      </c>
      <c r="J805" s="6">
        <f>IFERROR(INDEX('02b_DC_Accelerator_Mix'!$G$2:$G$977,MATCH(G805,'02b_DC_Accelerator_Mix'!$A$2:$A$977,0)),0)</f>
        <v/>
      </c>
      <c r="K805" s="6">
        <f>IFERROR(INDEX('02b_DC_Accelerator_Mix'!$H$2:$H$977,MATCH(G805,'02b_DC_Accelerator_Mix'!$A$2:$A$977,0)),0)</f>
        <v/>
      </c>
      <c r="L805" s="6">
        <f>IFERROR(INDEX('02b_DC_Accelerator_Mix'!$I$2:$I$977,MATCH(G805,'02b_DC_Accelerator_Mix'!$A$2:$A$977,0)),0)</f>
        <v/>
      </c>
      <c r="M805" s="6">
        <f>IFERROR(INDEX('02b_DC_Accelerator_Mix'!$J$2:$J$977,MATCH(G805,'02b_DC_Accelerator_Mix'!$A$2:$A$977,0)),0)</f>
        <v/>
      </c>
      <c r="N805" s="6">
        <f>IFERROR(INDEX('02b_DC_Accelerator_Mix'!$K$2:$K$977,MATCH(G805,'02b_DC_Accelerator_Mix'!$A$2:$A$977,0)),0)</f>
        <v/>
      </c>
      <c r="O805" s="6">
        <f>IFERROR(INDEX('02b_DC_Accelerator_Mix'!$L$2:$L$977,MATCH(G805,'02b_DC_Accelerator_Mix'!$A$2:$A$977,0)),0)</f>
        <v/>
      </c>
      <c r="P805" s="6">
        <f>IFERROR(INDEX('02b_DC_Accelerator_Mix'!$M$2:$M$977,MATCH(G805,'02b_DC_Accelerator_Mix'!$A$2:$A$977,0)),0)</f>
        <v/>
      </c>
      <c r="Q805" s="6">
        <f>IFERROR(INDEX('02b_DC_Accelerator_Mix'!$N$2:$N$977,MATCH(G805,'02b_DC_Accelerator_Mix'!$A$2:$A$977,0)),0)</f>
        <v/>
      </c>
      <c r="R805" s="28">
        <f>H805*I805</f>
        <v/>
      </c>
      <c r="S805" s="28">
        <f>H805*J805</f>
        <v/>
      </c>
      <c r="T805" s="28">
        <f>H805*K805</f>
        <v/>
      </c>
      <c r="U805" s="28">
        <f>H805*L805</f>
        <v/>
      </c>
      <c r="V805" s="28">
        <f>H805*M805</f>
        <v/>
      </c>
      <c r="W805" s="28">
        <f>H805*N805</f>
        <v/>
      </c>
      <c r="X805" s="28">
        <f>H805*O805</f>
        <v/>
      </c>
      <c r="Y805" s="28">
        <f>H805*P805</f>
        <v/>
      </c>
      <c r="Z805" s="28">
        <f>H805*Q805</f>
        <v/>
      </c>
      <c r="AA805" s="28">
        <f>SUM(U805:Z805)</f>
        <v/>
      </c>
      <c r="AB805" s="5">
        <f>IF(COUNTIF('02b_DC_Accelerator_Mix'!$A$2:$A$977,G805)&gt;0,"matched","missing_mix")</f>
        <v/>
      </c>
    </row>
    <row r="806">
      <c r="A806" s="5">
        <f>'02a_DC_Capacity_Alloc'!A806</f>
        <v/>
      </c>
      <c r="B806" s="5">
        <f>'02a_DC_Capacity_Alloc'!B806</f>
        <v/>
      </c>
      <c r="C806" s="5">
        <f>'02a_DC_Capacity_Alloc'!C806</f>
        <v/>
      </c>
      <c r="D806" s="5">
        <f>'02a_DC_Capacity_Alloc'!D806</f>
        <v/>
      </c>
      <c r="E806" s="5">
        <f>'02a_DC_Capacity_Alloc'!E806</f>
        <v/>
      </c>
      <c r="F806" s="5">
        <f>'02a_DC_Capacity_Alloc'!F806</f>
        <v/>
      </c>
      <c r="G806" s="5">
        <f>B806&amp;"|"&amp;E806&amp;"|"&amp;D806</f>
        <v/>
      </c>
      <c r="H806" s="28">
        <f>'02a_DC_Capacity_Alloc'!H806*'02a_DC_Capacity_Alloc'!I806*'02a_DC_Capacity_Alloc'!J806</f>
        <v/>
      </c>
      <c r="I806" s="6">
        <f>IFERROR(INDEX('02b_DC_Accelerator_Mix'!$F$2:$F$977,MATCH(G806,'02b_DC_Accelerator_Mix'!$A$2:$A$977,0)),0)</f>
        <v/>
      </c>
      <c r="J806" s="6">
        <f>IFERROR(INDEX('02b_DC_Accelerator_Mix'!$G$2:$G$977,MATCH(G806,'02b_DC_Accelerator_Mix'!$A$2:$A$977,0)),0)</f>
        <v/>
      </c>
      <c r="K806" s="6">
        <f>IFERROR(INDEX('02b_DC_Accelerator_Mix'!$H$2:$H$977,MATCH(G806,'02b_DC_Accelerator_Mix'!$A$2:$A$977,0)),0)</f>
        <v/>
      </c>
      <c r="L806" s="6">
        <f>IFERROR(INDEX('02b_DC_Accelerator_Mix'!$I$2:$I$977,MATCH(G806,'02b_DC_Accelerator_Mix'!$A$2:$A$977,0)),0)</f>
        <v/>
      </c>
      <c r="M806" s="6">
        <f>IFERROR(INDEX('02b_DC_Accelerator_Mix'!$J$2:$J$977,MATCH(G806,'02b_DC_Accelerator_Mix'!$A$2:$A$977,0)),0)</f>
        <v/>
      </c>
      <c r="N806" s="6">
        <f>IFERROR(INDEX('02b_DC_Accelerator_Mix'!$K$2:$K$977,MATCH(G806,'02b_DC_Accelerator_Mix'!$A$2:$A$977,0)),0)</f>
        <v/>
      </c>
      <c r="O806" s="6">
        <f>IFERROR(INDEX('02b_DC_Accelerator_Mix'!$L$2:$L$977,MATCH(G806,'02b_DC_Accelerator_Mix'!$A$2:$A$977,0)),0)</f>
        <v/>
      </c>
      <c r="P806" s="6">
        <f>IFERROR(INDEX('02b_DC_Accelerator_Mix'!$M$2:$M$977,MATCH(G806,'02b_DC_Accelerator_Mix'!$A$2:$A$977,0)),0)</f>
        <v/>
      </c>
      <c r="Q806" s="6">
        <f>IFERROR(INDEX('02b_DC_Accelerator_Mix'!$N$2:$N$977,MATCH(G806,'02b_DC_Accelerator_Mix'!$A$2:$A$977,0)),0)</f>
        <v/>
      </c>
      <c r="R806" s="28">
        <f>H806*I806</f>
        <v/>
      </c>
      <c r="S806" s="28">
        <f>H806*J806</f>
        <v/>
      </c>
      <c r="T806" s="28">
        <f>H806*K806</f>
        <v/>
      </c>
      <c r="U806" s="28">
        <f>H806*L806</f>
        <v/>
      </c>
      <c r="V806" s="28">
        <f>H806*M806</f>
        <v/>
      </c>
      <c r="W806" s="28">
        <f>H806*N806</f>
        <v/>
      </c>
      <c r="X806" s="28">
        <f>H806*O806</f>
        <v/>
      </c>
      <c r="Y806" s="28">
        <f>H806*P806</f>
        <v/>
      </c>
      <c r="Z806" s="28">
        <f>H806*Q806</f>
        <v/>
      </c>
      <c r="AA806" s="28">
        <f>SUM(U806:Z806)</f>
        <v/>
      </c>
      <c r="AB806" s="5">
        <f>IF(COUNTIF('02b_DC_Accelerator_Mix'!$A$2:$A$977,G806)&gt;0,"matched","missing_mix")</f>
        <v/>
      </c>
    </row>
    <row r="807">
      <c r="A807" s="5">
        <f>'02a_DC_Capacity_Alloc'!A807</f>
        <v/>
      </c>
      <c r="B807" s="5">
        <f>'02a_DC_Capacity_Alloc'!B807</f>
        <v/>
      </c>
      <c r="C807" s="5">
        <f>'02a_DC_Capacity_Alloc'!C807</f>
        <v/>
      </c>
      <c r="D807" s="5">
        <f>'02a_DC_Capacity_Alloc'!D807</f>
        <v/>
      </c>
      <c r="E807" s="5">
        <f>'02a_DC_Capacity_Alloc'!E807</f>
        <v/>
      </c>
      <c r="F807" s="5">
        <f>'02a_DC_Capacity_Alloc'!F807</f>
        <v/>
      </c>
      <c r="G807" s="5">
        <f>B807&amp;"|"&amp;E807&amp;"|"&amp;D807</f>
        <v/>
      </c>
      <c r="H807" s="28">
        <f>'02a_DC_Capacity_Alloc'!H807*'02a_DC_Capacity_Alloc'!I807*'02a_DC_Capacity_Alloc'!J807</f>
        <v/>
      </c>
      <c r="I807" s="6">
        <f>IFERROR(INDEX('02b_DC_Accelerator_Mix'!$F$2:$F$977,MATCH(G807,'02b_DC_Accelerator_Mix'!$A$2:$A$977,0)),0)</f>
        <v/>
      </c>
      <c r="J807" s="6">
        <f>IFERROR(INDEX('02b_DC_Accelerator_Mix'!$G$2:$G$977,MATCH(G807,'02b_DC_Accelerator_Mix'!$A$2:$A$977,0)),0)</f>
        <v/>
      </c>
      <c r="K807" s="6">
        <f>IFERROR(INDEX('02b_DC_Accelerator_Mix'!$H$2:$H$977,MATCH(G807,'02b_DC_Accelerator_Mix'!$A$2:$A$977,0)),0)</f>
        <v/>
      </c>
      <c r="L807" s="6">
        <f>IFERROR(INDEX('02b_DC_Accelerator_Mix'!$I$2:$I$977,MATCH(G807,'02b_DC_Accelerator_Mix'!$A$2:$A$977,0)),0)</f>
        <v/>
      </c>
      <c r="M807" s="6">
        <f>IFERROR(INDEX('02b_DC_Accelerator_Mix'!$J$2:$J$977,MATCH(G807,'02b_DC_Accelerator_Mix'!$A$2:$A$977,0)),0)</f>
        <v/>
      </c>
      <c r="N807" s="6">
        <f>IFERROR(INDEX('02b_DC_Accelerator_Mix'!$K$2:$K$977,MATCH(G807,'02b_DC_Accelerator_Mix'!$A$2:$A$977,0)),0)</f>
        <v/>
      </c>
      <c r="O807" s="6">
        <f>IFERROR(INDEX('02b_DC_Accelerator_Mix'!$L$2:$L$977,MATCH(G807,'02b_DC_Accelerator_Mix'!$A$2:$A$977,0)),0)</f>
        <v/>
      </c>
      <c r="P807" s="6">
        <f>IFERROR(INDEX('02b_DC_Accelerator_Mix'!$M$2:$M$977,MATCH(G807,'02b_DC_Accelerator_Mix'!$A$2:$A$977,0)),0)</f>
        <v/>
      </c>
      <c r="Q807" s="6">
        <f>IFERROR(INDEX('02b_DC_Accelerator_Mix'!$N$2:$N$977,MATCH(G807,'02b_DC_Accelerator_Mix'!$A$2:$A$977,0)),0)</f>
        <v/>
      </c>
      <c r="R807" s="28">
        <f>H807*I807</f>
        <v/>
      </c>
      <c r="S807" s="28">
        <f>H807*J807</f>
        <v/>
      </c>
      <c r="T807" s="28">
        <f>H807*K807</f>
        <v/>
      </c>
      <c r="U807" s="28">
        <f>H807*L807</f>
        <v/>
      </c>
      <c r="V807" s="28">
        <f>H807*M807</f>
        <v/>
      </c>
      <c r="W807" s="28">
        <f>H807*N807</f>
        <v/>
      </c>
      <c r="X807" s="28">
        <f>H807*O807</f>
        <v/>
      </c>
      <c r="Y807" s="28">
        <f>H807*P807</f>
        <v/>
      </c>
      <c r="Z807" s="28">
        <f>H807*Q807</f>
        <v/>
      </c>
      <c r="AA807" s="28">
        <f>SUM(U807:Z807)</f>
        <v/>
      </c>
      <c r="AB807" s="5">
        <f>IF(COUNTIF('02b_DC_Accelerator_Mix'!$A$2:$A$977,G807)&gt;0,"matched","missing_mix")</f>
        <v/>
      </c>
    </row>
    <row r="808">
      <c r="A808" s="5">
        <f>'02a_DC_Capacity_Alloc'!A808</f>
        <v/>
      </c>
      <c r="B808" s="5">
        <f>'02a_DC_Capacity_Alloc'!B808</f>
        <v/>
      </c>
      <c r="C808" s="5">
        <f>'02a_DC_Capacity_Alloc'!C808</f>
        <v/>
      </c>
      <c r="D808" s="5">
        <f>'02a_DC_Capacity_Alloc'!D808</f>
        <v/>
      </c>
      <c r="E808" s="5">
        <f>'02a_DC_Capacity_Alloc'!E808</f>
        <v/>
      </c>
      <c r="F808" s="5">
        <f>'02a_DC_Capacity_Alloc'!F808</f>
        <v/>
      </c>
      <c r="G808" s="5">
        <f>B808&amp;"|"&amp;E808&amp;"|"&amp;D808</f>
        <v/>
      </c>
      <c r="H808" s="28">
        <f>'02a_DC_Capacity_Alloc'!H808*'02a_DC_Capacity_Alloc'!I808*'02a_DC_Capacity_Alloc'!J808</f>
        <v/>
      </c>
      <c r="I808" s="6">
        <f>IFERROR(INDEX('02b_DC_Accelerator_Mix'!$F$2:$F$977,MATCH(G808,'02b_DC_Accelerator_Mix'!$A$2:$A$977,0)),0)</f>
        <v/>
      </c>
      <c r="J808" s="6">
        <f>IFERROR(INDEX('02b_DC_Accelerator_Mix'!$G$2:$G$977,MATCH(G808,'02b_DC_Accelerator_Mix'!$A$2:$A$977,0)),0)</f>
        <v/>
      </c>
      <c r="K808" s="6">
        <f>IFERROR(INDEX('02b_DC_Accelerator_Mix'!$H$2:$H$977,MATCH(G808,'02b_DC_Accelerator_Mix'!$A$2:$A$977,0)),0)</f>
        <v/>
      </c>
      <c r="L808" s="6">
        <f>IFERROR(INDEX('02b_DC_Accelerator_Mix'!$I$2:$I$977,MATCH(G808,'02b_DC_Accelerator_Mix'!$A$2:$A$977,0)),0)</f>
        <v/>
      </c>
      <c r="M808" s="6">
        <f>IFERROR(INDEX('02b_DC_Accelerator_Mix'!$J$2:$J$977,MATCH(G808,'02b_DC_Accelerator_Mix'!$A$2:$A$977,0)),0)</f>
        <v/>
      </c>
      <c r="N808" s="6">
        <f>IFERROR(INDEX('02b_DC_Accelerator_Mix'!$K$2:$K$977,MATCH(G808,'02b_DC_Accelerator_Mix'!$A$2:$A$977,0)),0)</f>
        <v/>
      </c>
      <c r="O808" s="6">
        <f>IFERROR(INDEX('02b_DC_Accelerator_Mix'!$L$2:$L$977,MATCH(G808,'02b_DC_Accelerator_Mix'!$A$2:$A$977,0)),0)</f>
        <v/>
      </c>
      <c r="P808" s="6">
        <f>IFERROR(INDEX('02b_DC_Accelerator_Mix'!$M$2:$M$977,MATCH(G808,'02b_DC_Accelerator_Mix'!$A$2:$A$977,0)),0)</f>
        <v/>
      </c>
      <c r="Q808" s="6">
        <f>IFERROR(INDEX('02b_DC_Accelerator_Mix'!$N$2:$N$977,MATCH(G808,'02b_DC_Accelerator_Mix'!$A$2:$A$977,0)),0)</f>
        <v/>
      </c>
      <c r="R808" s="28">
        <f>H808*I808</f>
        <v/>
      </c>
      <c r="S808" s="28">
        <f>H808*J808</f>
        <v/>
      </c>
      <c r="T808" s="28">
        <f>H808*K808</f>
        <v/>
      </c>
      <c r="U808" s="28">
        <f>H808*L808</f>
        <v/>
      </c>
      <c r="V808" s="28">
        <f>H808*M808</f>
        <v/>
      </c>
      <c r="W808" s="28">
        <f>H808*N808</f>
        <v/>
      </c>
      <c r="X808" s="28">
        <f>H808*O808</f>
        <v/>
      </c>
      <c r="Y808" s="28">
        <f>H808*P808</f>
        <v/>
      </c>
      <c r="Z808" s="28">
        <f>H808*Q808</f>
        <v/>
      </c>
      <c r="AA808" s="28">
        <f>SUM(U808:Z808)</f>
        <v/>
      </c>
      <c r="AB808" s="5">
        <f>IF(COUNTIF('02b_DC_Accelerator_Mix'!$A$2:$A$977,G808)&gt;0,"matched","missing_mix")</f>
        <v/>
      </c>
    </row>
    <row r="809">
      <c r="A809" s="5">
        <f>'02a_DC_Capacity_Alloc'!A809</f>
        <v/>
      </c>
      <c r="B809" s="5">
        <f>'02a_DC_Capacity_Alloc'!B809</f>
        <v/>
      </c>
      <c r="C809" s="5">
        <f>'02a_DC_Capacity_Alloc'!C809</f>
        <v/>
      </c>
      <c r="D809" s="5">
        <f>'02a_DC_Capacity_Alloc'!D809</f>
        <v/>
      </c>
      <c r="E809" s="5">
        <f>'02a_DC_Capacity_Alloc'!E809</f>
        <v/>
      </c>
      <c r="F809" s="5">
        <f>'02a_DC_Capacity_Alloc'!F809</f>
        <v/>
      </c>
      <c r="G809" s="5">
        <f>B809&amp;"|"&amp;E809&amp;"|"&amp;D809</f>
        <v/>
      </c>
      <c r="H809" s="28">
        <f>'02a_DC_Capacity_Alloc'!H809*'02a_DC_Capacity_Alloc'!I809*'02a_DC_Capacity_Alloc'!J809</f>
        <v/>
      </c>
      <c r="I809" s="6">
        <f>IFERROR(INDEX('02b_DC_Accelerator_Mix'!$F$2:$F$977,MATCH(G809,'02b_DC_Accelerator_Mix'!$A$2:$A$977,0)),0)</f>
        <v/>
      </c>
      <c r="J809" s="6">
        <f>IFERROR(INDEX('02b_DC_Accelerator_Mix'!$G$2:$G$977,MATCH(G809,'02b_DC_Accelerator_Mix'!$A$2:$A$977,0)),0)</f>
        <v/>
      </c>
      <c r="K809" s="6">
        <f>IFERROR(INDEX('02b_DC_Accelerator_Mix'!$H$2:$H$977,MATCH(G809,'02b_DC_Accelerator_Mix'!$A$2:$A$977,0)),0)</f>
        <v/>
      </c>
      <c r="L809" s="6">
        <f>IFERROR(INDEX('02b_DC_Accelerator_Mix'!$I$2:$I$977,MATCH(G809,'02b_DC_Accelerator_Mix'!$A$2:$A$977,0)),0)</f>
        <v/>
      </c>
      <c r="M809" s="6">
        <f>IFERROR(INDEX('02b_DC_Accelerator_Mix'!$J$2:$J$977,MATCH(G809,'02b_DC_Accelerator_Mix'!$A$2:$A$977,0)),0)</f>
        <v/>
      </c>
      <c r="N809" s="6">
        <f>IFERROR(INDEX('02b_DC_Accelerator_Mix'!$K$2:$K$977,MATCH(G809,'02b_DC_Accelerator_Mix'!$A$2:$A$977,0)),0)</f>
        <v/>
      </c>
      <c r="O809" s="6">
        <f>IFERROR(INDEX('02b_DC_Accelerator_Mix'!$L$2:$L$977,MATCH(G809,'02b_DC_Accelerator_Mix'!$A$2:$A$977,0)),0)</f>
        <v/>
      </c>
      <c r="P809" s="6">
        <f>IFERROR(INDEX('02b_DC_Accelerator_Mix'!$M$2:$M$977,MATCH(G809,'02b_DC_Accelerator_Mix'!$A$2:$A$977,0)),0)</f>
        <v/>
      </c>
      <c r="Q809" s="6">
        <f>IFERROR(INDEX('02b_DC_Accelerator_Mix'!$N$2:$N$977,MATCH(G809,'02b_DC_Accelerator_Mix'!$A$2:$A$977,0)),0)</f>
        <v/>
      </c>
      <c r="R809" s="28">
        <f>H809*I809</f>
        <v/>
      </c>
      <c r="S809" s="28">
        <f>H809*J809</f>
        <v/>
      </c>
      <c r="T809" s="28">
        <f>H809*K809</f>
        <v/>
      </c>
      <c r="U809" s="28">
        <f>H809*L809</f>
        <v/>
      </c>
      <c r="V809" s="28">
        <f>H809*M809</f>
        <v/>
      </c>
      <c r="W809" s="28">
        <f>H809*N809</f>
        <v/>
      </c>
      <c r="X809" s="28">
        <f>H809*O809</f>
        <v/>
      </c>
      <c r="Y809" s="28">
        <f>H809*P809</f>
        <v/>
      </c>
      <c r="Z809" s="28">
        <f>H809*Q809</f>
        <v/>
      </c>
      <c r="AA809" s="28">
        <f>SUM(U809:Z809)</f>
        <v/>
      </c>
      <c r="AB809" s="5">
        <f>IF(COUNTIF('02b_DC_Accelerator_Mix'!$A$2:$A$977,G809)&gt;0,"matched","missing_mix")</f>
        <v/>
      </c>
    </row>
    <row r="810">
      <c r="A810" s="5">
        <f>'02a_DC_Capacity_Alloc'!A810</f>
        <v/>
      </c>
      <c r="B810" s="5">
        <f>'02a_DC_Capacity_Alloc'!B810</f>
        <v/>
      </c>
      <c r="C810" s="5">
        <f>'02a_DC_Capacity_Alloc'!C810</f>
        <v/>
      </c>
      <c r="D810" s="5">
        <f>'02a_DC_Capacity_Alloc'!D810</f>
        <v/>
      </c>
      <c r="E810" s="5">
        <f>'02a_DC_Capacity_Alloc'!E810</f>
        <v/>
      </c>
      <c r="F810" s="5">
        <f>'02a_DC_Capacity_Alloc'!F810</f>
        <v/>
      </c>
      <c r="G810" s="5">
        <f>B810&amp;"|"&amp;E810&amp;"|"&amp;D810</f>
        <v/>
      </c>
      <c r="H810" s="28">
        <f>'02a_DC_Capacity_Alloc'!H810*'02a_DC_Capacity_Alloc'!I810*'02a_DC_Capacity_Alloc'!J810</f>
        <v/>
      </c>
      <c r="I810" s="6">
        <f>IFERROR(INDEX('02b_DC_Accelerator_Mix'!$F$2:$F$977,MATCH(G810,'02b_DC_Accelerator_Mix'!$A$2:$A$977,0)),0)</f>
        <v/>
      </c>
      <c r="J810" s="6">
        <f>IFERROR(INDEX('02b_DC_Accelerator_Mix'!$G$2:$G$977,MATCH(G810,'02b_DC_Accelerator_Mix'!$A$2:$A$977,0)),0)</f>
        <v/>
      </c>
      <c r="K810" s="6">
        <f>IFERROR(INDEX('02b_DC_Accelerator_Mix'!$H$2:$H$977,MATCH(G810,'02b_DC_Accelerator_Mix'!$A$2:$A$977,0)),0)</f>
        <v/>
      </c>
      <c r="L810" s="6">
        <f>IFERROR(INDEX('02b_DC_Accelerator_Mix'!$I$2:$I$977,MATCH(G810,'02b_DC_Accelerator_Mix'!$A$2:$A$977,0)),0)</f>
        <v/>
      </c>
      <c r="M810" s="6">
        <f>IFERROR(INDEX('02b_DC_Accelerator_Mix'!$J$2:$J$977,MATCH(G810,'02b_DC_Accelerator_Mix'!$A$2:$A$977,0)),0)</f>
        <v/>
      </c>
      <c r="N810" s="6">
        <f>IFERROR(INDEX('02b_DC_Accelerator_Mix'!$K$2:$K$977,MATCH(G810,'02b_DC_Accelerator_Mix'!$A$2:$A$977,0)),0)</f>
        <v/>
      </c>
      <c r="O810" s="6">
        <f>IFERROR(INDEX('02b_DC_Accelerator_Mix'!$L$2:$L$977,MATCH(G810,'02b_DC_Accelerator_Mix'!$A$2:$A$977,0)),0)</f>
        <v/>
      </c>
      <c r="P810" s="6">
        <f>IFERROR(INDEX('02b_DC_Accelerator_Mix'!$M$2:$M$977,MATCH(G810,'02b_DC_Accelerator_Mix'!$A$2:$A$977,0)),0)</f>
        <v/>
      </c>
      <c r="Q810" s="6">
        <f>IFERROR(INDEX('02b_DC_Accelerator_Mix'!$N$2:$N$977,MATCH(G810,'02b_DC_Accelerator_Mix'!$A$2:$A$977,0)),0)</f>
        <v/>
      </c>
      <c r="R810" s="28">
        <f>H810*I810</f>
        <v/>
      </c>
      <c r="S810" s="28">
        <f>H810*J810</f>
        <v/>
      </c>
      <c r="T810" s="28">
        <f>H810*K810</f>
        <v/>
      </c>
      <c r="U810" s="28">
        <f>H810*L810</f>
        <v/>
      </c>
      <c r="V810" s="28">
        <f>H810*M810</f>
        <v/>
      </c>
      <c r="W810" s="28">
        <f>H810*N810</f>
        <v/>
      </c>
      <c r="X810" s="28">
        <f>H810*O810</f>
        <v/>
      </c>
      <c r="Y810" s="28">
        <f>H810*P810</f>
        <v/>
      </c>
      <c r="Z810" s="28">
        <f>H810*Q810</f>
        <v/>
      </c>
      <c r="AA810" s="28">
        <f>SUM(U810:Z810)</f>
        <v/>
      </c>
      <c r="AB810" s="5">
        <f>IF(COUNTIF('02b_DC_Accelerator_Mix'!$A$2:$A$977,G810)&gt;0,"matched","missing_mix")</f>
        <v/>
      </c>
    </row>
    <row r="811">
      <c r="A811" s="5">
        <f>'02a_DC_Capacity_Alloc'!A811</f>
        <v/>
      </c>
      <c r="B811" s="5">
        <f>'02a_DC_Capacity_Alloc'!B811</f>
        <v/>
      </c>
      <c r="C811" s="5">
        <f>'02a_DC_Capacity_Alloc'!C811</f>
        <v/>
      </c>
      <c r="D811" s="5">
        <f>'02a_DC_Capacity_Alloc'!D811</f>
        <v/>
      </c>
      <c r="E811" s="5">
        <f>'02a_DC_Capacity_Alloc'!E811</f>
        <v/>
      </c>
      <c r="F811" s="5">
        <f>'02a_DC_Capacity_Alloc'!F811</f>
        <v/>
      </c>
      <c r="G811" s="5">
        <f>B811&amp;"|"&amp;E811&amp;"|"&amp;D811</f>
        <v/>
      </c>
      <c r="H811" s="28">
        <f>'02a_DC_Capacity_Alloc'!H811*'02a_DC_Capacity_Alloc'!I811*'02a_DC_Capacity_Alloc'!J811</f>
        <v/>
      </c>
      <c r="I811" s="6">
        <f>IFERROR(INDEX('02b_DC_Accelerator_Mix'!$F$2:$F$977,MATCH(G811,'02b_DC_Accelerator_Mix'!$A$2:$A$977,0)),0)</f>
        <v/>
      </c>
      <c r="J811" s="6">
        <f>IFERROR(INDEX('02b_DC_Accelerator_Mix'!$G$2:$G$977,MATCH(G811,'02b_DC_Accelerator_Mix'!$A$2:$A$977,0)),0)</f>
        <v/>
      </c>
      <c r="K811" s="6">
        <f>IFERROR(INDEX('02b_DC_Accelerator_Mix'!$H$2:$H$977,MATCH(G811,'02b_DC_Accelerator_Mix'!$A$2:$A$977,0)),0)</f>
        <v/>
      </c>
      <c r="L811" s="6">
        <f>IFERROR(INDEX('02b_DC_Accelerator_Mix'!$I$2:$I$977,MATCH(G811,'02b_DC_Accelerator_Mix'!$A$2:$A$977,0)),0)</f>
        <v/>
      </c>
      <c r="M811" s="6">
        <f>IFERROR(INDEX('02b_DC_Accelerator_Mix'!$J$2:$J$977,MATCH(G811,'02b_DC_Accelerator_Mix'!$A$2:$A$977,0)),0)</f>
        <v/>
      </c>
      <c r="N811" s="6">
        <f>IFERROR(INDEX('02b_DC_Accelerator_Mix'!$K$2:$K$977,MATCH(G811,'02b_DC_Accelerator_Mix'!$A$2:$A$977,0)),0)</f>
        <v/>
      </c>
      <c r="O811" s="6">
        <f>IFERROR(INDEX('02b_DC_Accelerator_Mix'!$L$2:$L$977,MATCH(G811,'02b_DC_Accelerator_Mix'!$A$2:$A$977,0)),0)</f>
        <v/>
      </c>
      <c r="P811" s="6">
        <f>IFERROR(INDEX('02b_DC_Accelerator_Mix'!$M$2:$M$977,MATCH(G811,'02b_DC_Accelerator_Mix'!$A$2:$A$977,0)),0)</f>
        <v/>
      </c>
      <c r="Q811" s="6">
        <f>IFERROR(INDEX('02b_DC_Accelerator_Mix'!$N$2:$N$977,MATCH(G811,'02b_DC_Accelerator_Mix'!$A$2:$A$977,0)),0)</f>
        <v/>
      </c>
      <c r="R811" s="28">
        <f>H811*I811</f>
        <v/>
      </c>
      <c r="S811" s="28">
        <f>H811*J811</f>
        <v/>
      </c>
      <c r="T811" s="28">
        <f>H811*K811</f>
        <v/>
      </c>
      <c r="U811" s="28">
        <f>H811*L811</f>
        <v/>
      </c>
      <c r="V811" s="28">
        <f>H811*M811</f>
        <v/>
      </c>
      <c r="W811" s="28">
        <f>H811*N811</f>
        <v/>
      </c>
      <c r="X811" s="28">
        <f>H811*O811</f>
        <v/>
      </c>
      <c r="Y811" s="28">
        <f>H811*P811</f>
        <v/>
      </c>
      <c r="Z811" s="28">
        <f>H811*Q811</f>
        <v/>
      </c>
      <c r="AA811" s="28">
        <f>SUM(U811:Z811)</f>
        <v/>
      </c>
      <c r="AB811" s="5">
        <f>IF(COUNTIF('02b_DC_Accelerator_Mix'!$A$2:$A$977,G811)&gt;0,"matched","missing_mix")</f>
        <v/>
      </c>
    </row>
    <row r="812">
      <c r="A812" s="5">
        <f>'02a_DC_Capacity_Alloc'!A812</f>
        <v/>
      </c>
      <c r="B812" s="5">
        <f>'02a_DC_Capacity_Alloc'!B812</f>
        <v/>
      </c>
      <c r="C812" s="5">
        <f>'02a_DC_Capacity_Alloc'!C812</f>
        <v/>
      </c>
      <c r="D812" s="5">
        <f>'02a_DC_Capacity_Alloc'!D812</f>
        <v/>
      </c>
      <c r="E812" s="5">
        <f>'02a_DC_Capacity_Alloc'!E812</f>
        <v/>
      </c>
      <c r="F812" s="5">
        <f>'02a_DC_Capacity_Alloc'!F812</f>
        <v/>
      </c>
      <c r="G812" s="5">
        <f>B812&amp;"|"&amp;E812&amp;"|"&amp;D812</f>
        <v/>
      </c>
      <c r="H812" s="28">
        <f>'02a_DC_Capacity_Alloc'!H812*'02a_DC_Capacity_Alloc'!I812*'02a_DC_Capacity_Alloc'!J812</f>
        <v/>
      </c>
      <c r="I812" s="6">
        <f>IFERROR(INDEX('02b_DC_Accelerator_Mix'!$F$2:$F$977,MATCH(G812,'02b_DC_Accelerator_Mix'!$A$2:$A$977,0)),0)</f>
        <v/>
      </c>
      <c r="J812" s="6">
        <f>IFERROR(INDEX('02b_DC_Accelerator_Mix'!$G$2:$G$977,MATCH(G812,'02b_DC_Accelerator_Mix'!$A$2:$A$977,0)),0)</f>
        <v/>
      </c>
      <c r="K812" s="6">
        <f>IFERROR(INDEX('02b_DC_Accelerator_Mix'!$H$2:$H$977,MATCH(G812,'02b_DC_Accelerator_Mix'!$A$2:$A$977,0)),0)</f>
        <v/>
      </c>
      <c r="L812" s="6">
        <f>IFERROR(INDEX('02b_DC_Accelerator_Mix'!$I$2:$I$977,MATCH(G812,'02b_DC_Accelerator_Mix'!$A$2:$A$977,0)),0)</f>
        <v/>
      </c>
      <c r="M812" s="6">
        <f>IFERROR(INDEX('02b_DC_Accelerator_Mix'!$J$2:$J$977,MATCH(G812,'02b_DC_Accelerator_Mix'!$A$2:$A$977,0)),0)</f>
        <v/>
      </c>
      <c r="N812" s="6">
        <f>IFERROR(INDEX('02b_DC_Accelerator_Mix'!$K$2:$K$977,MATCH(G812,'02b_DC_Accelerator_Mix'!$A$2:$A$977,0)),0)</f>
        <v/>
      </c>
      <c r="O812" s="6">
        <f>IFERROR(INDEX('02b_DC_Accelerator_Mix'!$L$2:$L$977,MATCH(G812,'02b_DC_Accelerator_Mix'!$A$2:$A$977,0)),0)</f>
        <v/>
      </c>
      <c r="P812" s="6">
        <f>IFERROR(INDEX('02b_DC_Accelerator_Mix'!$M$2:$M$977,MATCH(G812,'02b_DC_Accelerator_Mix'!$A$2:$A$977,0)),0)</f>
        <v/>
      </c>
      <c r="Q812" s="6">
        <f>IFERROR(INDEX('02b_DC_Accelerator_Mix'!$N$2:$N$977,MATCH(G812,'02b_DC_Accelerator_Mix'!$A$2:$A$977,0)),0)</f>
        <v/>
      </c>
      <c r="R812" s="28">
        <f>H812*I812</f>
        <v/>
      </c>
      <c r="S812" s="28">
        <f>H812*J812</f>
        <v/>
      </c>
      <c r="T812" s="28">
        <f>H812*K812</f>
        <v/>
      </c>
      <c r="U812" s="28">
        <f>H812*L812</f>
        <v/>
      </c>
      <c r="V812" s="28">
        <f>H812*M812</f>
        <v/>
      </c>
      <c r="W812" s="28">
        <f>H812*N812</f>
        <v/>
      </c>
      <c r="X812" s="28">
        <f>H812*O812</f>
        <v/>
      </c>
      <c r="Y812" s="28">
        <f>H812*P812</f>
        <v/>
      </c>
      <c r="Z812" s="28">
        <f>H812*Q812</f>
        <v/>
      </c>
      <c r="AA812" s="28">
        <f>SUM(U812:Z812)</f>
        <v/>
      </c>
      <c r="AB812" s="5">
        <f>IF(COUNTIF('02b_DC_Accelerator_Mix'!$A$2:$A$977,G812)&gt;0,"matched","missing_mix")</f>
        <v/>
      </c>
    </row>
    <row r="813">
      <c r="A813" s="5">
        <f>'02a_DC_Capacity_Alloc'!A813</f>
        <v/>
      </c>
      <c r="B813" s="5">
        <f>'02a_DC_Capacity_Alloc'!B813</f>
        <v/>
      </c>
      <c r="C813" s="5">
        <f>'02a_DC_Capacity_Alloc'!C813</f>
        <v/>
      </c>
      <c r="D813" s="5">
        <f>'02a_DC_Capacity_Alloc'!D813</f>
        <v/>
      </c>
      <c r="E813" s="5">
        <f>'02a_DC_Capacity_Alloc'!E813</f>
        <v/>
      </c>
      <c r="F813" s="5">
        <f>'02a_DC_Capacity_Alloc'!F813</f>
        <v/>
      </c>
      <c r="G813" s="5">
        <f>B813&amp;"|"&amp;E813&amp;"|"&amp;D813</f>
        <v/>
      </c>
      <c r="H813" s="28">
        <f>'02a_DC_Capacity_Alloc'!H813*'02a_DC_Capacity_Alloc'!I813*'02a_DC_Capacity_Alloc'!J813</f>
        <v/>
      </c>
      <c r="I813" s="6">
        <f>IFERROR(INDEX('02b_DC_Accelerator_Mix'!$F$2:$F$977,MATCH(G813,'02b_DC_Accelerator_Mix'!$A$2:$A$977,0)),0)</f>
        <v/>
      </c>
      <c r="J813" s="6">
        <f>IFERROR(INDEX('02b_DC_Accelerator_Mix'!$G$2:$G$977,MATCH(G813,'02b_DC_Accelerator_Mix'!$A$2:$A$977,0)),0)</f>
        <v/>
      </c>
      <c r="K813" s="6">
        <f>IFERROR(INDEX('02b_DC_Accelerator_Mix'!$H$2:$H$977,MATCH(G813,'02b_DC_Accelerator_Mix'!$A$2:$A$977,0)),0)</f>
        <v/>
      </c>
      <c r="L813" s="6">
        <f>IFERROR(INDEX('02b_DC_Accelerator_Mix'!$I$2:$I$977,MATCH(G813,'02b_DC_Accelerator_Mix'!$A$2:$A$977,0)),0)</f>
        <v/>
      </c>
      <c r="M813" s="6">
        <f>IFERROR(INDEX('02b_DC_Accelerator_Mix'!$J$2:$J$977,MATCH(G813,'02b_DC_Accelerator_Mix'!$A$2:$A$977,0)),0)</f>
        <v/>
      </c>
      <c r="N813" s="6">
        <f>IFERROR(INDEX('02b_DC_Accelerator_Mix'!$K$2:$K$977,MATCH(G813,'02b_DC_Accelerator_Mix'!$A$2:$A$977,0)),0)</f>
        <v/>
      </c>
      <c r="O813" s="6">
        <f>IFERROR(INDEX('02b_DC_Accelerator_Mix'!$L$2:$L$977,MATCH(G813,'02b_DC_Accelerator_Mix'!$A$2:$A$977,0)),0)</f>
        <v/>
      </c>
      <c r="P813" s="6">
        <f>IFERROR(INDEX('02b_DC_Accelerator_Mix'!$M$2:$M$977,MATCH(G813,'02b_DC_Accelerator_Mix'!$A$2:$A$977,0)),0)</f>
        <v/>
      </c>
      <c r="Q813" s="6">
        <f>IFERROR(INDEX('02b_DC_Accelerator_Mix'!$N$2:$N$977,MATCH(G813,'02b_DC_Accelerator_Mix'!$A$2:$A$977,0)),0)</f>
        <v/>
      </c>
      <c r="R813" s="28">
        <f>H813*I813</f>
        <v/>
      </c>
      <c r="S813" s="28">
        <f>H813*J813</f>
        <v/>
      </c>
      <c r="T813" s="28">
        <f>H813*K813</f>
        <v/>
      </c>
      <c r="U813" s="28">
        <f>H813*L813</f>
        <v/>
      </c>
      <c r="V813" s="28">
        <f>H813*M813</f>
        <v/>
      </c>
      <c r="W813" s="28">
        <f>H813*N813</f>
        <v/>
      </c>
      <c r="X813" s="28">
        <f>H813*O813</f>
        <v/>
      </c>
      <c r="Y813" s="28">
        <f>H813*P813</f>
        <v/>
      </c>
      <c r="Z813" s="28">
        <f>H813*Q813</f>
        <v/>
      </c>
      <c r="AA813" s="28">
        <f>SUM(U813:Z813)</f>
        <v/>
      </c>
      <c r="AB813" s="5">
        <f>IF(COUNTIF('02b_DC_Accelerator_Mix'!$A$2:$A$977,G813)&gt;0,"matched","missing_mix")</f>
        <v/>
      </c>
    </row>
    <row r="814">
      <c r="A814" s="5">
        <f>'02a_DC_Capacity_Alloc'!A814</f>
        <v/>
      </c>
      <c r="B814" s="5">
        <f>'02a_DC_Capacity_Alloc'!B814</f>
        <v/>
      </c>
      <c r="C814" s="5">
        <f>'02a_DC_Capacity_Alloc'!C814</f>
        <v/>
      </c>
      <c r="D814" s="5">
        <f>'02a_DC_Capacity_Alloc'!D814</f>
        <v/>
      </c>
      <c r="E814" s="5">
        <f>'02a_DC_Capacity_Alloc'!E814</f>
        <v/>
      </c>
      <c r="F814" s="5">
        <f>'02a_DC_Capacity_Alloc'!F814</f>
        <v/>
      </c>
      <c r="G814" s="5">
        <f>B814&amp;"|"&amp;E814&amp;"|"&amp;D814</f>
        <v/>
      </c>
      <c r="H814" s="28">
        <f>'02a_DC_Capacity_Alloc'!H814*'02a_DC_Capacity_Alloc'!I814*'02a_DC_Capacity_Alloc'!J814</f>
        <v/>
      </c>
      <c r="I814" s="6">
        <f>IFERROR(INDEX('02b_DC_Accelerator_Mix'!$F$2:$F$977,MATCH(G814,'02b_DC_Accelerator_Mix'!$A$2:$A$977,0)),0)</f>
        <v/>
      </c>
      <c r="J814" s="6">
        <f>IFERROR(INDEX('02b_DC_Accelerator_Mix'!$G$2:$G$977,MATCH(G814,'02b_DC_Accelerator_Mix'!$A$2:$A$977,0)),0)</f>
        <v/>
      </c>
      <c r="K814" s="6">
        <f>IFERROR(INDEX('02b_DC_Accelerator_Mix'!$H$2:$H$977,MATCH(G814,'02b_DC_Accelerator_Mix'!$A$2:$A$977,0)),0)</f>
        <v/>
      </c>
      <c r="L814" s="6">
        <f>IFERROR(INDEX('02b_DC_Accelerator_Mix'!$I$2:$I$977,MATCH(G814,'02b_DC_Accelerator_Mix'!$A$2:$A$977,0)),0)</f>
        <v/>
      </c>
      <c r="M814" s="6">
        <f>IFERROR(INDEX('02b_DC_Accelerator_Mix'!$J$2:$J$977,MATCH(G814,'02b_DC_Accelerator_Mix'!$A$2:$A$977,0)),0)</f>
        <v/>
      </c>
      <c r="N814" s="6">
        <f>IFERROR(INDEX('02b_DC_Accelerator_Mix'!$K$2:$K$977,MATCH(G814,'02b_DC_Accelerator_Mix'!$A$2:$A$977,0)),0)</f>
        <v/>
      </c>
      <c r="O814" s="6">
        <f>IFERROR(INDEX('02b_DC_Accelerator_Mix'!$L$2:$L$977,MATCH(G814,'02b_DC_Accelerator_Mix'!$A$2:$A$977,0)),0)</f>
        <v/>
      </c>
      <c r="P814" s="6">
        <f>IFERROR(INDEX('02b_DC_Accelerator_Mix'!$M$2:$M$977,MATCH(G814,'02b_DC_Accelerator_Mix'!$A$2:$A$977,0)),0)</f>
        <v/>
      </c>
      <c r="Q814" s="6">
        <f>IFERROR(INDEX('02b_DC_Accelerator_Mix'!$N$2:$N$977,MATCH(G814,'02b_DC_Accelerator_Mix'!$A$2:$A$977,0)),0)</f>
        <v/>
      </c>
      <c r="R814" s="28">
        <f>H814*I814</f>
        <v/>
      </c>
      <c r="S814" s="28">
        <f>H814*J814</f>
        <v/>
      </c>
      <c r="T814" s="28">
        <f>H814*K814</f>
        <v/>
      </c>
      <c r="U814" s="28">
        <f>H814*L814</f>
        <v/>
      </c>
      <c r="V814" s="28">
        <f>H814*M814</f>
        <v/>
      </c>
      <c r="W814" s="28">
        <f>H814*N814</f>
        <v/>
      </c>
      <c r="X814" s="28">
        <f>H814*O814</f>
        <v/>
      </c>
      <c r="Y814" s="28">
        <f>H814*P814</f>
        <v/>
      </c>
      <c r="Z814" s="28">
        <f>H814*Q814</f>
        <v/>
      </c>
      <c r="AA814" s="28">
        <f>SUM(U814:Z814)</f>
        <v/>
      </c>
      <c r="AB814" s="5">
        <f>IF(COUNTIF('02b_DC_Accelerator_Mix'!$A$2:$A$977,G814)&gt;0,"matched","missing_mix")</f>
        <v/>
      </c>
    </row>
    <row r="815">
      <c r="A815" s="5">
        <f>'02a_DC_Capacity_Alloc'!A815</f>
        <v/>
      </c>
      <c r="B815" s="5">
        <f>'02a_DC_Capacity_Alloc'!B815</f>
        <v/>
      </c>
      <c r="C815" s="5">
        <f>'02a_DC_Capacity_Alloc'!C815</f>
        <v/>
      </c>
      <c r="D815" s="5">
        <f>'02a_DC_Capacity_Alloc'!D815</f>
        <v/>
      </c>
      <c r="E815" s="5">
        <f>'02a_DC_Capacity_Alloc'!E815</f>
        <v/>
      </c>
      <c r="F815" s="5">
        <f>'02a_DC_Capacity_Alloc'!F815</f>
        <v/>
      </c>
      <c r="G815" s="5">
        <f>B815&amp;"|"&amp;E815&amp;"|"&amp;D815</f>
        <v/>
      </c>
      <c r="H815" s="28">
        <f>'02a_DC_Capacity_Alloc'!H815*'02a_DC_Capacity_Alloc'!I815*'02a_DC_Capacity_Alloc'!J815</f>
        <v/>
      </c>
      <c r="I815" s="6">
        <f>IFERROR(INDEX('02b_DC_Accelerator_Mix'!$F$2:$F$977,MATCH(G815,'02b_DC_Accelerator_Mix'!$A$2:$A$977,0)),0)</f>
        <v/>
      </c>
      <c r="J815" s="6">
        <f>IFERROR(INDEX('02b_DC_Accelerator_Mix'!$G$2:$G$977,MATCH(G815,'02b_DC_Accelerator_Mix'!$A$2:$A$977,0)),0)</f>
        <v/>
      </c>
      <c r="K815" s="6">
        <f>IFERROR(INDEX('02b_DC_Accelerator_Mix'!$H$2:$H$977,MATCH(G815,'02b_DC_Accelerator_Mix'!$A$2:$A$977,0)),0)</f>
        <v/>
      </c>
      <c r="L815" s="6">
        <f>IFERROR(INDEX('02b_DC_Accelerator_Mix'!$I$2:$I$977,MATCH(G815,'02b_DC_Accelerator_Mix'!$A$2:$A$977,0)),0)</f>
        <v/>
      </c>
      <c r="M815" s="6">
        <f>IFERROR(INDEX('02b_DC_Accelerator_Mix'!$J$2:$J$977,MATCH(G815,'02b_DC_Accelerator_Mix'!$A$2:$A$977,0)),0)</f>
        <v/>
      </c>
      <c r="N815" s="6">
        <f>IFERROR(INDEX('02b_DC_Accelerator_Mix'!$K$2:$K$977,MATCH(G815,'02b_DC_Accelerator_Mix'!$A$2:$A$977,0)),0)</f>
        <v/>
      </c>
      <c r="O815" s="6">
        <f>IFERROR(INDEX('02b_DC_Accelerator_Mix'!$L$2:$L$977,MATCH(G815,'02b_DC_Accelerator_Mix'!$A$2:$A$977,0)),0)</f>
        <v/>
      </c>
      <c r="P815" s="6">
        <f>IFERROR(INDEX('02b_DC_Accelerator_Mix'!$M$2:$M$977,MATCH(G815,'02b_DC_Accelerator_Mix'!$A$2:$A$977,0)),0)</f>
        <v/>
      </c>
      <c r="Q815" s="6">
        <f>IFERROR(INDEX('02b_DC_Accelerator_Mix'!$N$2:$N$977,MATCH(G815,'02b_DC_Accelerator_Mix'!$A$2:$A$977,0)),0)</f>
        <v/>
      </c>
      <c r="R815" s="28">
        <f>H815*I815</f>
        <v/>
      </c>
      <c r="S815" s="28">
        <f>H815*J815</f>
        <v/>
      </c>
      <c r="T815" s="28">
        <f>H815*K815</f>
        <v/>
      </c>
      <c r="U815" s="28">
        <f>H815*L815</f>
        <v/>
      </c>
      <c r="V815" s="28">
        <f>H815*M815</f>
        <v/>
      </c>
      <c r="W815" s="28">
        <f>H815*N815</f>
        <v/>
      </c>
      <c r="X815" s="28">
        <f>H815*O815</f>
        <v/>
      </c>
      <c r="Y815" s="28">
        <f>H815*P815</f>
        <v/>
      </c>
      <c r="Z815" s="28">
        <f>H815*Q815</f>
        <v/>
      </c>
      <c r="AA815" s="28">
        <f>SUM(U815:Z815)</f>
        <v/>
      </c>
      <c r="AB815" s="5">
        <f>IF(COUNTIF('02b_DC_Accelerator_Mix'!$A$2:$A$977,G815)&gt;0,"matched","missing_mix")</f>
        <v/>
      </c>
    </row>
    <row r="816">
      <c r="A816" s="5">
        <f>'02a_DC_Capacity_Alloc'!A816</f>
        <v/>
      </c>
      <c r="B816" s="5">
        <f>'02a_DC_Capacity_Alloc'!B816</f>
        <v/>
      </c>
      <c r="C816" s="5">
        <f>'02a_DC_Capacity_Alloc'!C816</f>
        <v/>
      </c>
      <c r="D816" s="5">
        <f>'02a_DC_Capacity_Alloc'!D816</f>
        <v/>
      </c>
      <c r="E816" s="5">
        <f>'02a_DC_Capacity_Alloc'!E816</f>
        <v/>
      </c>
      <c r="F816" s="5">
        <f>'02a_DC_Capacity_Alloc'!F816</f>
        <v/>
      </c>
      <c r="G816" s="5">
        <f>B816&amp;"|"&amp;E816&amp;"|"&amp;D816</f>
        <v/>
      </c>
      <c r="H816" s="28">
        <f>'02a_DC_Capacity_Alloc'!H816*'02a_DC_Capacity_Alloc'!I816*'02a_DC_Capacity_Alloc'!J816</f>
        <v/>
      </c>
      <c r="I816" s="6">
        <f>IFERROR(INDEX('02b_DC_Accelerator_Mix'!$F$2:$F$977,MATCH(G816,'02b_DC_Accelerator_Mix'!$A$2:$A$977,0)),0)</f>
        <v/>
      </c>
      <c r="J816" s="6">
        <f>IFERROR(INDEX('02b_DC_Accelerator_Mix'!$G$2:$G$977,MATCH(G816,'02b_DC_Accelerator_Mix'!$A$2:$A$977,0)),0)</f>
        <v/>
      </c>
      <c r="K816" s="6">
        <f>IFERROR(INDEX('02b_DC_Accelerator_Mix'!$H$2:$H$977,MATCH(G816,'02b_DC_Accelerator_Mix'!$A$2:$A$977,0)),0)</f>
        <v/>
      </c>
      <c r="L816" s="6">
        <f>IFERROR(INDEX('02b_DC_Accelerator_Mix'!$I$2:$I$977,MATCH(G816,'02b_DC_Accelerator_Mix'!$A$2:$A$977,0)),0)</f>
        <v/>
      </c>
      <c r="M816" s="6">
        <f>IFERROR(INDEX('02b_DC_Accelerator_Mix'!$J$2:$J$977,MATCH(G816,'02b_DC_Accelerator_Mix'!$A$2:$A$977,0)),0)</f>
        <v/>
      </c>
      <c r="N816" s="6">
        <f>IFERROR(INDEX('02b_DC_Accelerator_Mix'!$K$2:$K$977,MATCH(G816,'02b_DC_Accelerator_Mix'!$A$2:$A$977,0)),0)</f>
        <v/>
      </c>
      <c r="O816" s="6">
        <f>IFERROR(INDEX('02b_DC_Accelerator_Mix'!$L$2:$L$977,MATCH(G816,'02b_DC_Accelerator_Mix'!$A$2:$A$977,0)),0)</f>
        <v/>
      </c>
      <c r="P816" s="6">
        <f>IFERROR(INDEX('02b_DC_Accelerator_Mix'!$M$2:$M$977,MATCH(G816,'02b_DC_Accelerator_Mix'!$A$2:$A$977,0)),0)</f>
        <v/>
      </c>
      <c r="Q816" s="6">
        <f>IFERROR(INDEX('02b_DC_Accelerator_Mix'!$N$2:$N$977,MATCH(G816,'02b_DC_Accelerator_Mix'!$A$2:$A$977,0)),0)</f>
        <v/>
      </c>
      <c r="R816" s="28">
        <f>H816*I816</f>
        <v/>
      </c>
      <c r="S816" s="28">
        <f>H816*J816</f>
        <v/>
      </c>
      <c r="T816" s="28">
        <f>H816*K816</f>
        <v/>
      </c>
      <c r="U816" s="28">
        <f>H816*L816</f>
        <v/>
      </c>
      <c r="V816" s="28">
        <f>H816*M816</f>
        <v/>
      </c>
      <c r="W816" s="28">
        <f>H816*N816</f>
        <v/>
      </c>
      <c r="X816" s="28">
        <f>H816*O816</f>
        <v/>
      </c>
      <c r="Y816" s="28">
        <f>H816*P816</f>
        <v/>
      </c>
      <c r="Z816" s="28">
        <f>H816*Q816</f>
        <v/>
      </c>
      <c r="AA816" s="28">
        <f>SUM(U816:Z816)</f>
        <v/>
      </c>
      <c r="AB816" s="5">
        <f>IF(COUNTIF('02b_DC_Accelerator_Mix'!$A$2:$A$977,G816)&gt;0,"matched","missing_mix")</f>
        <v/>
      </c>
    </row>
    <row r="817">
      <c r="A817" s="5">
        <f>'02a_DC_Capacity_Alloc'!A817</f>
        <v/>
      </c>
      <c r="B817" s="5">
        <f>'02a_DC_Capacity_Alloc'!B817</f>
        <v/>
      </c>
      <c r="C817" s="5">
        <f>'02a_DC_Capacity_Alloc'!C817</f>
        <v/>
      </c>
      <c r="D817" s="5">
        <f>'02a_DC_Capacity_Alloc'!D817</f>
        <v/>
      </c>
      <c r="E817" s="5">
        <f>'02a_DC_Capacity_Alloc'!E817</f>
        <v/>
      </c>
      <c r="F817" s="5">
        <f>'02a_DC_Capacity_Alloc'!F817</f>
        <v/>
      </c>
      <c r="G817" s="5">
        <f>B817&amp;"|"&amp;E817&amp;"|"&amp;D817</f>
        <v/>
      </c>
      <c r="H817" s="28">
        <f>'02a_DC_Capacity_Alloc'!H817*'02a_DC_Capacity_Alloc'!I817*'02a_DC_Capacity_Alloc'!J817</f>
        <v/>
      </c>
      <c r="I817" s="6">
        <f>IFERROR(INDEX('02b_DC_Accelerator_Mix'!$F$2:$F$977,MATCH(G817,'02b_DC_Accelerator_Mix'!$A$2:$A$977,0)),0)</f>
        <v/>
      </c>
      <c r="J817" s="6">
        <f>IFERROR(INDEX('02b_DC_Accelerator_Mix'!$G$2:$G$977,MATCH(G817,'02b_DC_Accelerator_Mix'!$A$2:$A$977,0)),0)</f>
        <v/>
      </c>
      <c r="K817" s="6">
        <f>IFERROR(INDEX('02b_DC_Accelerator_Mix'!$H$2:$H$977,MATCH(G817,'02b_DC_Accelerator_Mix'!$A$2:$A$977,0)),0)</f>
        <v/>
      </c>
      <c r="L817" s="6">
        <f>IFERROR(INDEX('02b_DC_Accelerator_Mix'!$I$2:$I$977,MATCH(G817,'02b_DC_Accelerator_Mix'!$A$2:$A$977,0)),0)</f>
        <v/>
      </c>
      <c r="M817" s="6">
        <f>IFERROR(INDEX('02b_DC_Accelerator_Mix'!$J$2:$J$977,MATCH(G817,'02b_DC_Accelerator_Mix'!$A$2:$A$977,0)),0)</f>
        <v/>
      </c>
      <c r="N817" s="6">
        <f>IFERROR(INDEX('02b_DC_Accelerator_Mix'!$K$2:$K$977,MATCH(G817,'02b_DC_Accelerator_Mix'!$A$2:$A$977,0)),0)</f>
        <v/>
      </c>
      <c r="O817" s="6">
        <f>IFERROR(INDEX('02b_DC_Accelerator_Mix'!$L$2:$L$977,MATCH(G817,'02b_DC_Accelerator_Mix'!$A$2:$A$977,0)),0)</f>
        <v/>
      </c>
      <c r="P817" s="6">
        <f>IFERROR(INDEX('02b_DC_Accelerator_Mix'!$M$2:$M$977,MATCH(G817,'02b_DC_Accelerator_Mix'!$A$2:$A$977,0)),0)</f>
        <v/>
      </c>
      <c r="Q817" s="6">
        <f>IFERROR(INDEX('02b_DC_Accelerator_Mix'!$N$2:$N$977,MATCH(G817,'02b_DC_Accelerator_Mix'!$A$2:$A$977,0)),0)</f>
        <v/>
      </c>
      <c r="R817" s="28">
        <f>H817*I817</f>
        <v/>
      </c>
      <c r="S817" s="28">
        <f>H817*J817</f>
        <v/>
      </c>
      <c r="T817" s="28">
        <f>H817*K817</f>
        <v/>
      </c>
      <c r="U817" s="28">
        <f>H817*L817</f>
        <v/>
      </c>
      <c r="V817" s="28">
        <f>H817*M817</f>
        <v/>
      </c>
      <c r="W817" s="28">
        <f>H817*N817</f>
        <v/>
      </c>
      <c r="X817" s="28">
        <f>H817*O817</f>
        <v/>
      </c>
      <c r="Y817" s="28">
        <f>H817*P817</f>
        <v/>
      </c>
      <c r="Z817" s="28">
        <f>H817*Q817</f>
        <v/>
      </c>
      <c r="AA817" s="28">
        <f>SUM(U817:Z817)</f>
        <v/>
      </c>
      <c r="AB817" s="5">
        <f>IF(COUNTIF('02b_DC_Accelerator_Mix'!$A$2:$A$977,G817)&gt;0,"matched","missing_mix")</f>
        <v/>
      </c>
    </row>
    <row r="818">
      <c r="A818" s="5">
        <f>'02a_DC_Capacity_Alloc'!A818</f>
        <v/>
      </c>
      <c r="B818" s="5">
        <f>'02a_DC_Capacity_Alloc'!B818</f>
        <v/>
      </c>
      <c r="C818" s="5">
        <f>'02a_DC_Capacity_Alloc'!C818</f>
        <v/>
      </c>
      <c r="D818" s="5">
        <f>'02a_DC_Capacity_Alloc'!D818</f>
        <v/>
      </c>
      <c r="E818" s="5">
        <f>'02a_DC_Capacity_Alloc'!E818</f>
        <v/>
      </c>
      <c r="F818" s="5">
        <f>'02a_DC_Capacity_Alloc'!F818</f>
        <v/>
      </c>
      <c r="G818" s="5">
        <f>B818&amp;"|"&amp;E818&amp;"|"&amp;D818</f>
        <v/>
      </c>
      <c r="H818" s="28">
        <f>'02a_DC_Capacity_Alloc'!H818*'02a_DC_Capacity_Alloc'!I818*'02a_DC_Capacity_Alloc'!J818</f>
        <v/>
      </c>
      <c r="I818" s="6">
        <f>IFERROR(INDEX('02b_DC_Accelerator_Mix'!$F$2:$F$977,MATCH(G818,'02b_DC_Accelerator_Mix'!$A$2:$A$977,0)),0)</f>
        <v/>
      </c>
      <c r="J818" s="6">
        <f>IFERROR(INDEX('02b_DC_Accelerator_Mix'!$G$2:$G$977,MATCH(G818,'02b_DC_Accelerator_Mix'!$A$2:$A$977,0)),0)</f>
        <v/>
      </c>
      <c r="K818" s="6">
        <f>IFERROR(INDEX('02b_DC_Accelerator_Mix'!$H$2:$H$977,MATCH(G818,'02b_DC_Accelerator_Mix'!$A$2:$A$977,0)),0)</f>
        <v/>
      </c>
      <c r="L818" s="6">
        <f>IFERROR(INDEX('02b_DC_Accelerator_Mix'!$I$2:$I$977,MATCH(G818,'02b_DC_Accelerator_Mix'!$A$2:$A$977,0)),0)</f>
        <v/>
      </c>
      <c r="M818" s="6">
        <f>IFERROR(INDEX('02b_DC_Accelerator_Mix'!$J$2:$J$977,MATCH(G818,'02b_DC_Accelerator_Mix'!$A$2:$A$977,0)),0)</f>
        <v/>
      </c>
      <c r="N818" s="6">
        <f>IFERROR(INDEX('02b_DC_Accelerator_Mix'!$K$2:$K$977,MATCH(G818,'02b_DC_Accelerator_Mix'!$A$2:$A$977,0)),0)</f>
        <v/>
      </c>
      <c r="O818" s="6">
        <f>IFERROR(INDEX('02b_DC_Accelerator_Mix'!$L$2:$L$977,MATCH(G818,'02b_DC_Accelerator_Mix'!$A$2:$A$977,0)),0)</f>
        <v/>
      </c>
      <c r="P818" s="6">
        <f>IFERROR(INDEX('02b_DC_Accelerator_Mix'!$M$2:$M$977,MATCH(G818,'02b_DC_Accelerator_Mix'!$A$2:$A$977,0)),0)</f>
        <v/>
      </c>
      <c r="Q818" s="6">
        <f>IFERROR(INDEX('02b_DC_Accelerator_Mix'!$N$2:$N$977,MATCH(G818,'02b_DC_Accelerator_Mix'!$A$2:$A$977,0)),0)</f>
        <v/>
      </c>
      <c r="R818" s="28">
        <f>H818*I818</f>
        <v/>
      </c>
      <c r="S818" s="28">
        <f>H818*J818</f>
        <v/>
      </c>
      <c r="T818" s="28">
        <f>H818*K818</f>
        <v/>
      </c>
      <c r="U818" s="28">
        <f>H818*L818</f>
        <v/>
      </c>
      <c r="V818" s="28">
        <f>H818*M818</f>
        <v/>
      </c>
      <c r="W818" s="28">
        <f>H818*N818</f>
        <v/>
      </c>
      <c r="X818" s="28">
        <f>H818*O818</f>
        <v/>
      </c>
      <c r="Y818" s="28">
        <f>H818*P818</f>
        <v/>
      </c>
      <c r="Z818" s="28">
        <f>H818*Q818</f>
        <v/>
      </c>
      <c r="AA818" s="28">
        <f>SUM(U818:Z818)</f>
        <v/>
      </c>
      <c r="AB818" s="5">
        <f>IF(COUNTIF('02b_DC_Accelerator_Mix'!$A$2:$A$977,G818)&gt;0,"matched","missing_mix")</f>
        <v/>
      </c>
    </row>
    <row r="819">
      <c r="A819" s="5">
        <f>'02a_DC_Capacity_Alloc'!A819</f>
        <v/>
      </c>
      <c r="B819" s="5">
        <f>'02a_DC_Capacity_Alloc'!B819</f>
        <v/>
      </c>
      <c r="C819" s="5">
        <f>'02a_DC_Capacity_Alloc'!C819</f>
        <v/>
      </c>
      <c r="D819" s="5">
        <f>'02a_DC_Capacity_Alloc'!D819</f>
        <v/>
      </c>
      <c r="E819" s="5">
        <f>'02a_DC_Capacity_Alloc'!E819</f>
        <v/>
      </c>
      <c r="F819" s="5">
        <f>'02a_DC_Capacity_Alloc'!F819</f>
        <v/>
      </c>
      <c r="G819" s="5">
        <f>B819&amp;"|"&amp;E819&amp;"|"&amp;D819</f>
        <v/>
      </c>
      <c r="H819" s="28">
        <f>'02a_DC_Capacity_Alloc'!H819*'02a_DC_Capacity_Alloc'!I819*'02a_DC_Capacity_Alloc'!J819</f>
        <v/>
      </c>
      <c r="I819" s="6">
        <f>IFERROR(INDEX('02b_DC_Accelerator_Mix'!$F$2:$F$977,MATCH(G819,'02b_DC_Accelerator_Mix'!$A$2:$A$977,0)),0)</f>
        <v/>
      </c>
      <c r="J819" s="6">
        <f>IFERROR(INDEX('02b_DC_Accelerator_Mix'!$G$2:$G$977,MATCH(G819,'02b_DC_Accelerator_Mix'!$A$2:$A$977,0)),0)</f>
        <v/>
      </c>
      <c r="K819" s="6">
        <f>IFERROR(INDEX('02b_DC_Accelerator_Mix'!$H$2:$H$977,MATCH(G819,'02b_DC_Accelerator_Mix'!$A$2:$A$977,0)),0)</f>
        <v/>
      </c>
      <c r="L819" s="6">
        <f>IFERROR(INDEX('02b_DC_Accelerator_Mix'!$I$2:$I$977,MATCH(G819,'02b_DC_Accelerator_Mix'!$A$2:$A$977,0)),0)</f>
        <v/>
      </c>
      <c r="M819" s="6">
        <f>IFERROR(INDEX('02b_DC_Accelerator_Mix'!$J$2:$J$977,MATCH(G819,'02b_DC_Accelerator_Mix'!$A$2:$A$977,0)),0)</f>
        <v/>
      </c>
      <c r="N819" s="6">
        <f>IFERROR(INDEX('02b_DC_Accelerator_Mix'!$K$2:$K$977,MATCH(G819,'02b_DC_Accelerator_Mix'!$A$2:$A$977,0)),0)</f>
        <v/>
      </c>
      <c r="O819" s="6">
        <f>IFERROR(INDEX('02b_DC_Accelerator_Mix'!$L$2:$L$977,MATCH(G819,'02b_DC_Accelerator_Mix'!$A$2:$A$977,0)),0)</f>
        <v/>
      </c>
      <c r="P819" s="6">
        <f>IFERROR(INDEX('02b_DC_Accelerator_Mix'!$M$2:$M$977,MATCH(G819,'02b_DC_Accelerator_Mix'!$A$2:$A$977,0)),0)</f>
        <v/>
      </c>
      <c r="Q819" s="6">
        <f>IFERROR(INDEX('02b_DC_Accelerator_Mix'!$N$2:$N$977,MATCH(G819,'02b_DC_Accelerator_Mix'!$A$2:$A$977,0)),0)</f>
        <v/>
      </c>
      <c r="R819" s="28">
        <f>H819*I819</f>
        <v/>
      </c>
      <c r="S819" s="28">
        <f>H819*J819</f>
        <v/>
      </c>
      <c r="T819" s="28">
        <f>H819*K819</f>
        <v/>
      </c>
      <c r="U819" s="28">
        <f>H819*L819</f>
        <v/>
      </c>
      <c r="V819" s="28">
        <f>H819*M819</f>
        <v/>
      </c>
      <c r="W819" s="28">
        <f>H819*N819</f>
        <v/>
      </c>
      <c r="X819" s="28">
        <f>H819*O819</f>
        <v/>
      </c>
      <c r="Y819" s="28">
        <f>H819*P819</f>
        <v/>
      </c>
      <c r="Z819" s="28">
        <f>H819*Q819</f>
        <v/>
      </c>
      <c r="AA819" s="28">
        <f>SUM(U819:Z819)</f>
        <v/>
      </c>
      <c r="AB819" s="5">
        <f>IF(COUNTIF('02b_DC_Accelerator_Mix'!$A$2:$A$977,G819)&gt;0,"matched","missing_mix")</f>
        <v/>
      </c>
    </row>
    <row r="820">
      <c r="A820" s="5">
        <f>'02a_DC_Capacity_Alloc'!A820</f>
        <v/>
      </c>
      <c r="B820" s="5">
        <f>'02a_DC_Capacity_Alloc'!B820</f>
        <v/>
      </c>
      <c r="C820" s="5">
        <f>'02a_DC_Capacity_Alloc'!C820</f>
        <v/>
      </c>
      <c r="D820" s="5">
        <f>'02a_DC_Capacity_Alloc'!D820</f>
        <v/>
      </c>
      <c r="E820" s="5">
        <f>'02a_DC_Capacity_Alloc'!E820</f>
        <v/>
      </c>
      <c r="F820" s="5">
        <f>'02a_DC_Capacity_Alloc'!F820</f>
        <v/>
      </c>
      <c r="G820" s="5">
        <f>B820&amp;"|"&amp;E820&amp;"|"&amp;D820</f>
        <v/>
      </c>
      <c r="H820" s="28">
        <f>'02a_DC_Capacity_Alloc'!H820*'02a_DC_Capacity_Alloc'!I820*'02a_DC_Capacity_Alloc'!J820</f>
        <v/>
      </c>
      <c r="I820" s="6">
        <f>IFERROR(INDEX('02b_DC_Accelerator_Mix'!$F$2:$F$977,MATCH(G820,'02b_DC_Accelerator_Mix'!$A$2:$A$977,0)),0)</f>
        <v/>
      </c>
      <c r="J820" s="6">
        <f>IFERROR(INDEX('02b_DC_Accelerator_Mix'!$G$2:$G$977,MATCH(G820,'02b_DC_Accelerator_Mix'!$A$2:$A$977,0)),0)</f>
        <v/>
      </c>
      <c r="K820" s="6">
        <f>IFERROR(INDEX('02b_DC_Accelerator_Mix'!$H$2:$H$977,MATCH(G820,'02b_DC_Accelerator_Mix'!$A$2:$A$977,0)),0)</f>
        <v/>
      </c>
      <c r="L820" s="6">
        <f>IFERROR(INDEX('02b_DC_Accelerator_Mix'!$I$2:$I$977,MATCH(G820,'02b_DC_Accelerator_Mix'!$A$2:$A$977,0)),0)</f>
        <v/>
      </c>
      <c r="M820" s="6">
        <f>IFERROR(INDEX('02b_DC_Accelerator_Mix'!$J$2:$J$977,MATCH(G820,'02b_DC_Accelerator_Mix'!$A$2:$A$977,0)),0)</f>
        <v/>
      </c>
      <c r="N820" s="6">
        <f>IFERROR(INDEX('02b_DC_Accelerator_Mix'!$K$2:$K$977,MATCH(G820,'02b_DC_Accelerator_Mix'!$A$2:$A$977,0)),0)</f>
        <v/>
      </c>
      <c r="O820" s="6">
        <f>IFERROR(INDEX('02b_DC_Accelerator_Mix'!$L$2:$L$977,MATCH(G820,'02b_DC_Accelerator_Mix'!$A$2:$A$977,0)),0)</f>
        <v/>
      </c>
      <c r="P820" s="6">
        <f>IFERROR(INDEX('02b_DC_Accelerator_Mix'!$M$2:$M$977,MATCH(G820,'02b_DC_Accelerator_Mix'!$A$2:$A$977,0)),0)</f>
        <v/>
      </c>
      <c r="Q820" s="6">
        <f>IFERROR(INDEX('02b_DC_Accelerator_Mix'!$N$2:$N$977,MATCH(G820,'02b_DC_Accelerator_Mix'!$A$2:$A$977,0)),0)</f>
        <v/>
      </c>
      <c r="R820" s="28">
        <f>H820*I820</f>
        <v/>
      </c>
      <c r="S820" s="28">
        <f>H820*J820</f>
        <v/>
      </c>
      <c r="T820" s="28">
        <f>H820*K820</f>
        <v/>
      </c>
      <c r="U820" s="28">
        <f>H820*L820</f>
        <v/>
      </c>
      <c r="V820" s="28">
        <f>H820*M820</f>
        <v/>
      </c>
      <c r="W820" s="28">
        <f>H820*N820</f>
        <v/>
      </c>
      <c r="X820" s="28">
        <f>H820*O820</f>
        <v/>
      </c>
      <c r="Y820" s="28">
        <f>H820*P820</f>
        <v/>
      </c>
      <c r="Z820" s="28">
        <f>H820*Q820</f>
        <v/>
      </c>
      <c r="AA820" s="28">
        <f>SUM(U820:Z820)</f>
        <v/>
      </c>
      <c r="AB820" s="5">
        <f>IF(COUNTIF('02b_DC_Accelerator_Mix'!$A$2:$A$977,G820)&gt;0,"matched","missing_mix")</f>
        <v/>
      </c>
    </row>
    <row r="821">
      <c r="A821" s="5">
        <f>'02a_DC_Capacity_Alloc'!A821</f>
        <v/>
      </c>
      <c r="B821" s="5">
        <f>'02a_DC_Capacity_Alloc'!B821</f>
        <v/>
      </c>
      <c r="C821" s="5">
        <f>'02a_DC_Capacity_Alloc'!C821</f>
        <v/>
      </c>
      <c r="D821" s="5">
        <f>'02a_DC_Capacity_Alloc'!D821</f>
        <v/>
      </c>
      <c r="E821" s="5">
        <f>'02a_DC_Capacity_Alloc'!E821</f>
        <v/>
      </c>
      <c r="F821" s="5">
        <f>'02a_DC_Capacity_Alloc'!F821</f>
        <v/>
      </c>
      <c r="G821" s="5">
        <f>B821&amp;"|"&amp;E821&amp;"|"&amp;D821</f>
        <v/>
      </c>
      <c r="H821" s="28">
        <f>'02a_DC_Capacity_Alloc'!H821*'02a_DC_Capacity_Alloc'!I821*'02a_DC_Capacity_Alloc'!J821</f>
        <v/>
      </c>
      <c r="I821" s="6">
        <f>IFERROR(INDEX('02b_DC_Accelerator_Mix'!$F$2:$F$977,MATCH(G821,'02b_DC_Accelerator_Mix'!$A$2:$A$977,0)),0)</f>
        <v/>
      </c>
      <c r="J821" s="6">
        <f>IFERROR(INDEX('02b_DC_Accelerator_Mix'!$G$2:$G$977,MATCH(G821,'02b_DC_Accelerator_Mix'!$A$2:$A$977,0)),0)</f>
        <v/>
      </c>
      <c r="K821" s="6">
        <f>IFERROR(INDEX('02b_DC_Accelerator_Mix'!$H$2:$H$977,MATCH(G821,'02b_DC_Accelerator_Mix'!$A$2:$A$977,0)),0)</f>
        <v/>
      </c>
      <c r="L821" s="6">
        <f>IFERROR(INDEX('02b_DC_Accelerator_Mix'!$I$2:$I$977,MATCH(G821,'02b_DC_Accelerator_Mix'!$A$2:$A$977,0)),0)</f>
        <v/>
      </c>
      <c r="M821" s="6">
        <f>IFERROR(INDEX('02b_DC_Accelerator_Mix'!$J$2:$J$977,MATCH(G821,'02b_DC_Accelerator_Mix'!$A$2:$A$977,0)),0)</f>
        <v/>
      </c>
      <c r="N821" s="6">
        <f>IFERROR(INDEX('02b_DC_Accelerator_Mix'!$K$2:$K$977,MATCH(G821,'02b_DC_Accelerator_Mix'!$A$2:$A$977,0)),0)</f>
        <v/>
      </c>
      <c r="O821" s="6">
        <f>IFERROR(INDEX('02b_DC_Accelerator_Mix'!$L$2:$L$977,MATCH(G821,'02b_DC_Accelerator_Mix'!$A$2:$A$977,0)),0)</f>
        <v/>
      </c>
      <c r="P821" s="6">
        <f>IFERROR(INDEX('02b_DC_Accelerator_Mix'!$M$2:$M$977,MATCH(G821,'02b_DC_Accelerator_Mix'!$A$2:$A$977,0)),0)</f>
        <v/>
      </c>
      <c r="Q821" s="6">
        <f>IFERROR(INDEX('02b_DC_Accelerator_Mix'!$N$2:$N$977,MATCH(G821,'02b_DC_Accelerator_Mix'!$A$2:$A$977,0)),0)</f>
        <v/>
      </c>
      <c r="R821" s="28">
        <f>H821*I821</f>
        <v/>
      </c>
      <c r="S821" s="28">
        <f>H821*J821</f>
        <v/>
      </c>
      <c r="T821" s="28">
        <f>H821*K821</f>
        <v/>
      </c>
      <c r="U821" s="28">
        <f>H821*L821</f>
        <v/>
      </c>
      <c r="V821" s="28">
        <f>H821*M821</f>
        <v/>
      </c>
      <c r="W821" s="28">
        <f>H821*N821</f>
        <v/>
      </c>
      <c r="X821" s="28">
        <f>H821*O821</f>
        <v/>
      </c>
      <c r="Y821" s="28">
        <f>H821*P821</f>
        <v/>
      </c>
      <c r="Z821" s="28">
        <f>H821*Q821</f>
        <v/>
      </c>
      <c r="AA821" s="28">
        <f>SUM(U821:Z821)</f>
        <v/>
      </c>
      <c r="AB821" s="5">
        <f>IF(COUNTIF('02b_DC_Accelerator_Mix'!$A$2:$A$977,G821)&gt;0,"matched","missing_mix")</f>
        <v/>
      </c>
    </row>
    <row r="822">
      <c r="A822" s="5">
        <f>'02a_DC_Capacity_Alloc'!A822</f>
        <v/>
      </c>
      <c r="B822" s="5">
        <f>'02a_DC_Capacity_Alloc'!B822</f>
        <v/>
      </c>
      <c r="C822" s="5">
        <f>'02a_DC_Capacity_Alloc'!C822</f>
        <v/>
      </c>
      <c r="D822" s="5">
        <f>'02a_DC_Capacity_Alloc'!D822</f>
        <v/>
      </c>
      <c r="E822" s="5">
        <f>'02a_DC_Capacity_Alloc'!E822</f>
        <v/>
      </c>
      <c r="F822" s="5">
        <f>'02a_DC_Capacity_Alloc'!F822</f>
        <v/>
      </c>
      <c r="G822" s="5">
        <f>B822&amp;"|"&amp;E822&amp;"|"&amp;D822</f>
        <v/>
      </c>
      <c r="H822" s="28">
        <f>'02a_DC_Capacity_Alloc'!H822*'02a_DC_Capacity_Alloc'!I822*'02a_DC_Capacity_Alloc'!J822</f>
        <v/>
      </c>
      <c r="I822" s="6">
        <f>IFERROR(INDEX('02b_DC_Accelerator_Mix'!$F$2:$F$977,MATCH(G822,'02b_DC_Accelerator_Mix'!$A$2:$A$977,0)),0)</f>
        <v/>
      </c>
      <c r="J822" s="6">
        <f>IFERROR(INDEX('02b_DC_Accelerator_Mix'!$G$2:$G$977,MATCH(G822,'02b_DC_Accelerator_Mix'!$A$2:$A$977,0)),0)</f>
        <v/>
      </c>
      <c r="K822" s="6">
        <f>IFERROR(INDEX('02b_DC_Accelerator_Mix'!$H$2:$H$977,MATCH(G822,'02b_DC_Accelerator_Mix'!$A$2:$A$977,0)),0)</f>
        <v/>
      </c>
      <c r="L822" s="6">
        <f>IFERROR(INDEX('02b_DC_Accelerator_Mix'!$I$2:$I$977,MATCH(G822,'02b_DC_Accelerator_Mix'!$A$2:$A$977,0)),0)</f>
        <v/>
      </c>
      <c r="M822" s="6">
        <f>IFERROR(INDEX('02b_DC_Accelerator_Mix'!$J$2:$J$977,MATCH(G822,'02b_DC_Accelerator_Mix'!$A$2:$A$977,0)),0)</f>
        <v/>
      </c>
      <c r="N822" s="6">
        <f>IFERROR(INDEX('02b_DC_Accelerator_Mix'!$K$2:$K$977,MATCH(G822,'02b_DC_Accelerator_Mix'!$A$2:$A$977,0)),0)</f>
        <v/>
      </c>
      <c r="O822" s="6">
        <f>IFERROR(INDEX('02b_DC_Accelerator_Mix'!$L$2:$L$977,MATCH(G822,'02b_DC_Accelerator_Mix'!$A$2:$A$977,0)),0)</f>
        <v/>
      </c>
      <c r="P822" s="6">
        <f>IFERROR(INDEX('02b_DC_Accelerator_Mix'!$M$2:$M$977,MATCH(G822,'02b_DC_Accelerator_Mix'!$A$2:$A$977,0)),0)</f>
        <v/>
      </c>
      <c r="Q822" s="6">
        <f>IFERROR(INDEX('02b_DC_Accelerator_Mix'!$N$2:$N$977,MATCH(G822,'02b_DC_Accelerator_Mix'!$A$2:$A$977,0)),0)</f>
        <v/>
      </c>
      <c r="R822" s="28">
        <f>H822*I822</f>
        <v/>
      </c>
      <c r="S822" s="28">
        <f>H822*J822</f>
        <v/>
      </c>
      <c r="T822" s="28">
        <f>H822*K822</f>
        <v/>
      </c>
      <c r="U822" s="28">
        <f>H822*L822</f>
        <v/>
      </c>
      <c r="V822" s="28">
        <f>H822*M822</f>
        <v/>
      </c>
      <c r="W822" s="28">
        <f>H822*N822</f>
        <v/>
      </c>
      <c r="X822" s="28">
        <f>H822*O822</f>
        <v/>
      </c>
      <c r="Y822" s="28">
        <f>H822*P822</f>
        <v/>
      </c>
      <c r="Z822" s="28">
        <f>H822*Q822</f>
        <v/>
      </c>
      <c r="AA822" s="28">
        <f>SUM(U822:Z822)</f>
        <v/>
      </c>
      <c r="AB822" s="5">
        <f>IF(COUNTIF('02b_DC_Accelerator_Mix'!$A$2:$A$977,G822)&gt;0,"matched","missing_mix")</f>
        <v/>
      </c>
    </row>
    <row r="823">
      <c r="A823" s="5">
        <f>'02a_DC_Capacity_Alloc'!A823</f>
        <v/>
      </c>
      <c r="B823" s="5">
        <f>'02a_DC_Capacity_Alloc'!B823</f>
        <v/>
      </c>
      <c r="C823" s="5">
        <f>'02a_DC_Capacity_Alloc'!C823</f>
        <v/>
      </c>
      <c r="D823" s="5">
        <f>'02a_DC_Capacity_Alloc'!D823</f>
        <v/>
      </c>
      <c r="E823" s="5">
        <f>'02a_DC_Capacity_Alloc'!E823</f>
        <v/>
      </c>
      <c r="F823" s="5">
        <f>'02a_DC_Capacity_Alloc'!F823</f>
        <v/>
      </c>
      <c r="G823" s="5">
        <f>B823&amp;"|"&amp;E823&amp;"|"&amp;D823</f>
        <v/>
      </c>
      <c r="H823" s="28">
        <f>'02a_DC_Capacity_Alloc'!H823*'02a_DC_Capacity_Alloc'!I823*'02a_DC_Capacity_Alloc'!J823</f>
        <v/>
      </c>
      <c r="I823" s="6">
        <f>IFERROR(INDEX('02b_DC_Accelerator_Mix'!$F$2:$F$977,MATCH(G823,'02b_DC_Accelerator_Mix'!$A$2:$A$977,0)),0)</f>
        <v/>
      </c>
      <c r="J823" s="6">
        <f>IFERROR(INDEX('02b_DC_Accelerator_Mix'!$G$2:$G$977,MATCH(G823,'02b_DC_Accelerator_Mix'!$A$2:$A$977,0)),0)</f>
        <v/>
      </c>
      <c r="K823" s="6">
        <f>IFERROR(INDEX('02b_DC_Accelerator_Mix'!$H$2:$H$977,MATCH(G823,'02b_DC_Accelerator_Mix'!$A$2:$A$977,0)),0)</f>
        <v/>
      </c>
      <c r="L823" s="6">
        <f>IFERROR(INDEX('02b_DC_Accelerator_Mix'!$I$2:$I$977,MATCH(G823,'02b_DC_Accelerator_Mix'!$A$2:$A$977,0)),0)</f>
        <v/>
      </c>
      <c r="M823" s="6">
        <f>IFERROR(INDEX('02b_DC_Accelerator_Mix'!$J$2:$J$977,MATCH(G823,'02b_DC_Accelerator_Mix'!$A$2:$A$977,0)),0)</f>
        <v/>
      </c>
      <c r="N823" s="6">
        <f>IFERROR(INDEX('02b_DC_Accelerator_Mix'!$K$2:$K$977,MATCH(G823,'02b_DC_Accelerator_Mix'!$A$2:$A$977,0)),0)</f>
        <v/>
      </c>
      <c r="O823" s="6">
        <f>IFERROR(INDEX('02b_DC_Accelerator_Mix'!$L$2:$L$977,MATCH(G823,'02b_DC_Accelerator_Mix'!$A$2:$A$977,0)),0)</f>
        <v/>
      </c>
      <c r="P823" s="6">
        <f>IFERROR(INDEX('02b_DC_Accelerator_Mix'!$M$2:$M$977,MATCH(G823,'02b_DC_Accelerator_Mix'!$A$2:$A$977,0)),0)</f>
        <v/>
      </c>
      <c r="Q823" s="6">
        <f>IFERROR(INDEX('02b_DC_Accelerator_Mix'!$N$2:$N$977,MATCH(G823,'02b_DC_Accelerator_Mix'!$A$2:$A$977,0)),0)</f>
        <v/>
      </c>
      <c r="R823" s="28">
        <f>H823*I823</f>
        <v/>
      </c>
      <c r="S823" s="28">
        <f>H823*J823</f>
        <v/>
      </c>
      <c r="T823" s="28">
        <f>H823*K823</f>
        <v/>
      </c>
      <c r="U823" s="28">
        <f>H823*L823</f>
        <v/>
      </c>
      <c r="V823" s="28">
        <f>H823*M823</f>
        <v/>
      </c>
      <c r="W823" s="28">
        <f>H823*N823</f>
        <v/>
      </c>
      <c r="X823" s="28">
        <f>H823*O823</f>
        <v/>
      </c>
      <c r="Y823" s="28">
        <f>H823*P823</f>
        <v/>
      </c>
      <c r="Z823" s="28">
        <f>H823*Q823</f>
        <v/>
      </c>
      <c r="AA823" s="28">
        <f>SUM(U823:Z823)</f>
        <v/>
      </c>
      <c r="AB823" s="5">
        <f>IF(COUNTIF('02b_DC_Accelerator_Mix'!$A$2:$A$977,G823)&gt;0,"matched","missing_mix")</f>
        <v/>
      </c>
    </row>
    <row r="824">
      <c r="A824" s="5">
        <f>'02a_DC_Capacity_Alloc'!A824</f>
        <v/>
      </c>
      <c r="B824" s="5">
        <f>'02a_DC_Capacity_Alloc'!B824</f>
        <v/>
      </c>
      <c r="C824" s="5">
        <f>'02a_DC_Capacity_Alloc'!C824</f>
        <v/>
      </c>
      <c r="D824" s="5">
        <f>'02a_DC_Capacity_Alloc'!D824</f>
        <v/>
      </c>
      <c r="E824" s="5">
        <f>'02a_DC_Capacity_Alloc'!E824</f>
        <v/>
      </c>
      <c r="F824" s="5">
        <f>'02a_DC_Capacity_Alloc'!F824</f>
        <v/>
      </c>
      <c r="G824" s="5">
        <f>B824&amp;"|"&amp;E824&amp;"|"&amp;D824</f>
        <v/>
      </c>
      <c r="H824" s="28">
        <f>'02a_DC_Capacity_Alloc'!H824*'02a_DC_Capacity_Alloc'!I824*'02a_DC_Capacity_Alloc'!J824</f>
        <v/>
      </c>
      <c r="I824" s="6">
        <f>IFERROR(INDEX('02b_DC_Accelerator_Mix'!$F$2:$F$977,MATCH(G824,'02b_DC_Accelerator_Mix'!$A$2:$A$977,0)),0)</f>
        <v/>
      </c>
      <c r="J824" s="6">
        <f>IFERROR(INDEX('02b_DC_Accelerator_Mix'!$G$2:$G$977,MATCH(G824,'02b_DC_Accelerator_Mix'!$A$2:$A$977,0)),0)</f>
        <v/>
      </c>
      <c r="K824" s="6">
        <f>IFERROR(INDEX('02b_DC_Accelerator_Mix'!$H$2:$H$977,MATCH(G824,'02b_DC_Accelerator_Mix'!$A$2:$A$977,0)),0)</f>
        <v/>
      </c>
      <c r="L824" s="6">
        <f>IFERROR(INDEX('02b_DC_Accelerator_Mix'!$I$2:$I$977,MATCH(G824,'02b_DC_Accelerator_Mix'!$A$2:$A$977,0)),0)</f>
        <v/>
      </c>
      <c r="M824" s="6">
        <f>IFERROR(INDEX('02b_DC_Accelerator_Mix'!$J$2:$J$977,MATCH(G824,'02b_DC_Accelerator_Mix'!$A$2:$A$977,0)),0)</f>
        <v/>
      </c>
      <c r="N824" s="6">
        <f>IFERROR(INDEX('02b_DC_Accelerator_Mix'!$K$2:$K$977,MATCH(G824,'02b_DC_Accelerator_Mix'!$A$2:$A$977,0)),0)</f>
        <v/>
      </c>
      <c r="O824" s="6">
        <f>IFERROR(INDEX('02b_DC_Accelerator_Mix'!$L$2:$L$977,MATCH(G824,'02b_DC_Accelerator_Mix'!$A$2:$A$977,0)),0)</f>
        <v/>
      </c>
      <c r="P824" s="6">
        <f>IFERROR(INDEX('02b_DC_Accelerator_Mix'!$M$2:$M$977,MATCH(G824,'02b_DC_Accelerator_Mix'!$A$2:$A$977,0)),0)</f>
        <v/>
      </c>
      <c r="Q824" s="6">
        <f>IFERROR(INDEX('02b_DC_Accelerator_Mix'!$N$2:$N$977,MATCH(G824,'02b_DC_Accelerator_Mix'!$A$2:$A$977,0)),0)</f>
        <v/>
      </c>
      <c r="R824" s="28">
        <f>H824*I824</f>
        <v/>
      </c>
      <c r="S824" s="28">
        <f>H824*J824</f>
        <v/>
      </c>
      <c r="T824" s="28">
        <f>H824*K824</f>
        <v/>
      </c>
      <c r="U824" s="28">
        <f>H824*L824</f>
        <v/>
      </c>
      <c r="V824" s="28">
        <f>H824*M824</f>
        <v/>
      </c>
      <c r="W824" s="28">
        <f>H824*N824</f>
        <v/>
      </c>
      <c r="X824" s="28">
        <f>H824*O824</f>
        <v/>
      </c>
      <c r="Y824" s="28">
        <f>H824*P824</f>
        <v/>
      </c>
      <c r="Z824" s="28">
        <f>H824*Q824</f>
        <v/>
      </c>
      <c r="AA824" s="28">
        <f>SUM(U824:Z824)</f>
        <v/>
      </c>
      <c r="AB824" s="5">
        <f>IF(COUNTIF('02b_DC_Accelerator_Mix'!$A$2:$A$977,G824)&gt;0,"matched","missing_mix")</f>
        <v/>
      </c>
    </row>
    <row r="825">
      <c r="A825" s="5">
        <f>'02a_DC_Capacity_Alloc'!A825</f>
        <v/>
      </c>
      <c r="B825" s="5">
        <f>'02a_DC_Capacity_Alloc'!B825</f>
        <v/>
      </c>
      <c r="C825" s="5">
        <f>'02a_DC_Capacity_Alloc'!C825</f>
        <v/>
      </c>
      <c r="D825" s="5">
        <f>'02a_DC_Capacity_Alloc'!D825</f>
        <v/>
      </c>
      <c r="E825" s="5">
        <f>'02a_DC_Capacity_Alloc'!E825</f>
        <v/>
      </c>
      <c r="F825" s="5">
        <f>'02a_DC_Capacity_Alloc'!F825</f>
        <v/>
      </c>
      <c r="G825" s="5">
        <f>B825&amp;"|"&amp;E825&amp;"|"&amp;D825</f>
        <v/>
      </c>
      <c r="H825" s="28">
        <f>'02a_DC_Capacity_Alloc'!H825*'02a_DC_Capacity_Alloc'!I825*'02a_DC_Capacity_Alloc'!J825</f>
        <v/>
      </c>
      <c r="I825" s="6">
        <f>IFERROR(INDEX('02b_DC_Accelerator_Mix'!$F$2:$F$977,MATCH(G825,'02b_DC_Accelerator_Mix'!$A$2:$A$977,0)),0)</f>
        <v/>
      </c>
      <c r="J825" s="6">
        <f>IFERROR(INDEX('02b_DC_Accelerator_Mix'!$G$2:$G$977,MATCH(G825,'02b_DC_Accelerator_Mix'!$A$2:$A$977,0)),0)</f>
        <v/>
      </c>
      <c r="K825" s="6">
        <f>IFERROR(INDEX('02b_DC_Accelerator_Mix'!$H$2:$H$977,MATCH(G825,'02b_DC_Accelerator_Mix'!$A$2:$A$977,0)),0)</f>
        <v/>
      </c>
      <c r="L825" s="6">
        <f>IFERROR(INDEX('02b_DC_Accelerator_Mix'!$I$2:$I$977,MATCH(G825,'02b_DC_Accelerator_Mix'!$A$2:$A$977,0)),0)</f>
        <v/>
      </c>
      <c r="M825" s="6">
        <f>IFERROR(INDEX('02b_DC_Accelerator_Mix'!$J$2:$J$977,MATCH(G825,'02b_DC_Accelerator_Mix'!$A$2:$A$977,0)),0)</f>
        <v/>
      </c>
      <c r="N825" s="6">
        <f>IFERROR(INDEX('02b_DC_Accelerator_Mix'!$K$2:$K$977,MATCH(G825,'02b_DC_Accelerator_Mix'!$A$2:$A$977,0)),0)</f>
        <v/>
      </c>
      <c r="O825" s="6">
        <f>IFERROR(INDEX('02b_DC_Accelerator_Mix'!$L$2:$L$977,MATCH(G825,'02b_DC_Accelerator_Mix'!$A$2:$A$977,0)),0)</f>
        <v/>
      </c>
      <c r="P825" s="6">
        <f>IFERROR(INDEX('02b_DC_Accelerator_Mix'!$M$2:$M$977,MATCH(G825,'02b_DC_Accelerator_Mix'!$A$2:$A$977,0)),0)</f>
        <v/>
      </c>
      <c r="Q825" s="6">
        <f>IFERROR(INDEX('02b_DC_Accelerator_Mix'!$N$2:$N$977,MATCH(G825,'02b_DC_Accelerator_Mix'!$A$2:$A$977,0)),0)</f>
        <v/>
      </c>
      <c r="R825" s="28">
        <f>H825*I825</f>
        <v/>
      </c>
      <c r="S825" s="28">
        <f>H825*J825</f>
        <v/>
      </c>
      <c r="T825" s="28">
        <f>H825*K825</f>
        <v/>
      </c>
      <c r="U825" s="28">
        <f>H825*L825</f>
        <v/>
      </c>
      <c r="V825" s="28">
        <f>H825*M825</f>
        <v/>
      </c>
      <c r="W825" s="28">
        <f>H825*N825</f>
        <v/>
      </c>
      <c r="X825" s="28">
        <f>H825*O825</f>
        <v/>
      </c>
      <c r="Y825" s="28">
        <f>H825*P825</f>
        <v/>
      </c>
      <c r="Z825" s="28">
        <f>H825*Q825</f>
        <v/>
      </c>
      <c r="AA825" s="28">
        <f>SUM(U825:Z825)</f>
        <v/>
      </c>
      <c r="AB825" s="5">
        <f>IF(COUNTIF('02b_DC_Accelerator_Mix'!$A$2:$A$977,G825)&gt;0,"matched","missing_mix")</f>
        <v/>
      </c>
    </row>
    <row r="826">
      <c r="A826" s="5">
        <f>'02a_DC_Capacity_Alloc'!A826</f>
        <v/>
      </c>
      <c r="B826" s="5">
        <f>'02a_DC_Capacity_Alloc'!B826</f>
        <v/>
      </c>
      <c r="C826" s="5">
        <f>'02a_DC_Capacity_Alloc'!C826</f>
        <v/>
      </c>
      <c r="D826" s="5">
        <f>'02a_DC_Capacity_Alloc'!D826</f>
        <v/>
      </c>
      <c r="E826" s="5">
        <f>'02a_DC_Capacity_Alloc'!E826</f>
        <v/>
      </c>
      <c r="F826" s="5">
        <f>'02a_DC_Capacity_Alloc'!F826</f>
        <v/>
      </c>
      <c r="G826" s="5">
        <f>B826&amp;"|"&amp;E826&amp;"|"&amp;D826</f>
        <v/>
      </c>
      <c r="H826" s="28">
        <f>'02a_DC_Capacity_Alloc'!H826*'02a_DC_Capacity_Alloc'!I826*'02a_DC_Capacity_Alloc'!J826</f>
        <v/>
      </c>
      <c r="I826" s="6">
        <f>IFERROR(INDEX('02b_DC_Accelerator_Mix'!$F$2:$F$977,MATCH(G826,'02b_DC_Accelerator_Mix'!$A$2:$A$977,0)),0)</f>
        <v/>
      </c>
      <c r="J826" s="6">
        <f>IFERROR(INDEX('02b_DC_Accelerator_Mix'!$G$2:$G$977,MATCH(G826,'02b_DC_Accelerator_Mix'!$A$2:$A$977,0)),0)</f>
        <v/>
      </c>
      <c r="K826" s="6">
        <f>IFERROR(INDEX('02b_DC_Accelerator_Mix'!$H$2:$H$977,MATCH(G826,'02b_DC_Accelerator_Mix'!$A$2:$A$977,0)),0)</f>
        <v/>
      </c>
      <c r="L826" s="6">
        <f>IFERROR(INDEX('02b_DC_Accelerator_Mix'!$I$2:$I$977,MATCH(G826,'02b_DC_Accelerator_Mix'!$A$2:$A$977,0)),0)</f>
        <v/>
      </c>
      <c r="M826" s="6">
        <f>IFERROR(INDEX('02b_DC_Accelerator_Mix'!$J$2:$J$977,MATCH(G826,'02b_DC_Accelerator_Mix'!$A$2:$A$977,0)),0)</f>
        <v/>
      </c>
      <c r="N826" s="6">
        <f>IFERROR(INDEX('02b_DC_Accelerator_Mix'!$K$2:$K$977,MATCH(G826,'02b_DC_Accelerator_Mix'!$A$2:$A$977,0)),0)</f>
        <v/>
      </c>
      <c r="O826" s="6">
        <f>IFERROR(INDEX('02b_DC_Accelerator_Mix'!$L$2:$L$977,MATCH(G826,'02b_DC_Accelerator_Mix'!$A$2:$A$977,0)),0)</f>
        <v/>
      </c>
      <c r="P826" s="6">
        <f>IFERROR(INDEX('02b_DC_Accelerator_Mix'!$M$2:$M$977,MATCH(G826,'02b_DC_Accelerator_Mix'!$A$2:$A$977,0)),0)</f>
        <v/>
      </c>
      <c r="Q826" s="6">
        <f>IFERROR(INDEX('02b_DC_Accelerator_Mix'!$N$2:$N$977,MATCH(G826,'02b_DC_Accelerator_Mix'!$A$2:$A$977,0)),0)</f>
        <v/>
      </c>
      <c r="R826" s="28">
        <f>H826*I826</f>
        <v/>
      </c>
      <c r="S826" s="28">
        <f>H826*J826</f>
        <v/>
      </c>
      <c r="T826" s="28">
        <f>H826*K826</f>
        <v/>
      </c>
      <c r="U826" s="28">
        <f>H826*L826</f>
        <v/>
      </c>
      <c r="V826" s="28">
        <f>H826*M826</f>
        <v/>
      </c>
      <c r="W826" s="28">
        <f>H826*N826</f>
        <v/>
      </c>
      <c r="X826" s="28">
        <f>H826*O826</f>
        <v/>
      </c>
      <c r="Y826" s="28">
        <f>H826*P826</f>
        <v/>
      </c>
      <c r="Z826" s="28">
        <f>H826*Q826</f>
        <v/>
      </c>
      <c r="AA826" s="28">
        <f>SUM(U826:Z826)</f>
        <v/>
      </c>
      <c r="AB826" s="5">
        <f>IF(COUNTIF('02b_DC_Accelerator_Mix'!$A$2:$A$977,G826)&gt;0,"matched","missing_mix")</f>
        <v/>
      </c>
    </row>
    <row r="827">
      <c r="A827" s="5">
        <f>'02a_DC_Capacity_Alloc'!A827</f>
        <v/>
      </c>
      <c r="B827" s="5">
        <f>'02a_DC_Capacity_Alloc'!B827</f>
        <v/>
      </c>
      <c r="C827" s="5">
        <f>'02a_DC_Capacity_Alloc'!C827</f>
        <v/>
      </c>
      <c r="D827" s="5">
        <f>'02a_DC_Capacity_Alloc'!D827</f>
        <v/>
      </c>
      <c r="E827" s="5">
        <f>'02a_DC_Capacity_Alloc'!E827</f>
        <v/>
      </c>
      <c r="F827" s="5">
        <f>'02a_DC_Capacity_Alloc'!F827</f>
        <v/>
      </c>
      <c r="G827" s="5">
        <f>B827&amp;"|"&amp;E827&amp;"|"&amp;D827</f>
        <v/>
      </c>
      <c r="H827" s="28">
        <f>'02a_DC_Capacity_Alloc'!H827*'02a_DC_Capacity_Alloc'!I827*'02a_DC_Capacity_Alloc'!J827</f>
        <v/>
      </c>
      <c r="I827" s="6">
        <f>IFERROR(INDEX('02b_DC_Accelerator_Mix'!$F$2:$F$977,MATCH(G827,'02b_DC_Accelerator_Mix'!$A$2:$A$977,0)),0)</f>
        <v/>
      </c>
      <c r="J827" s="6">
        <f>IFERROR(INDEX('02b_DC_Accelerator_Mix'!$G$2:$G$977,MATCH(G827,'02b_DC_Accelerator_Mix'!$A$2:$A$977,0)),0)</f>
        <v/>
      </c>
      <c r="K827" s="6">
        <f>IFERROR(INDEX('02b_DC_Accelerator_Mix'!$H$2:$H$977,MATCH(G827,'02b_DC_Accelerator_Mix'!$A$2:$A$977,0)),0)</f>
        <v/>
      </c>
      <c r="L827" s="6">
        <f>IFERROR(INDEX('02b_DC_Accelerator_Mix'!$I$2:$I$977,MATCH(G827,'02b_DC_Accelerator_Mix'!$A$2:$A$977,0)),0)</f>
        <v/>
      </c>
      <c r="M827" s="6">
        <f>IFERROR(INDEX('02b_DC_Accelerator_Mix'!$J$2:$J$977,MATCH(G827,'02b_DC_Accelerator_Mix'!$A$2:$A$977,0)),0)</f>
        <v/>
      </c>
      <c r="N827" s="6">
        <f>IFERROR(INDEX('02b_DC_Accelerator_Mix'!$K$2:$K$977,MATCH(G827,'02b_DC_Accelerator_Mix'!$A$2:$A$977,0)),0)</f>
        <v/>
      </c>
      <c r="O827" s="6">
        <f>IFERROR(INDEX('02b_DC_Accelerator_Mix'!$L$2:$L$977,MATCH(G827,'02b_DC_Accelerator_Mix'!$A$2:$A$977,0)),0)</f>
        <v/>
      </c>
      <c r="P827" s="6">
        <f>IFERROR(INDEX('02b_DC_Accelerator_Mix'!$M$2:$M$977,MATCH(G827,'02b_DC_Accelerator_Mix'!$A$2:$A$977,0)),0)</f>
        <v/>
      </c>
      <c r="Q827" s="6">
        <f>IFERROR(INDEX('02b_DC_Accelerator_Mix'!$N$2:$N$977,MATCH(G827,'02b_DC_Accelerator_Mix'!$A$2:$A$977,0)),0)</f>
        <v/>
      </c>
      <c r="R827" s="28">
        <f>H827*I827</f>
        <v/>
      </c>
      <c r="S827" s="28">
        <f>H827*J827</f>
        <v/>
      </c>
      <c r="T827" s="28">
        <f>H827*K827</f>
        <v/>
      </c>
      <c r="U827" s="28">
        <f>H827*L827</f>
        <v/>
      </c>
      <c r="V827" s="28">
        <f>H827*M827</f>
        <v/>
      </c>
      <c r="W827" s="28">
        <f>H827*N827</f>
        <v/>
      </c>
      <c r="X827" s="28">
        <f>H827*O827</f>
        <v/>
      </c>
      <c r="Y827" s="28">
        <f>H827*P827</f>
        <v/>
      </c>
      <c r="Z827" s="28">
        <f>H827*Q827</f>
        <v/>
      </c>
      <c r="AA827" s="28">
        <f>SUM(U827:Z827)</f>
        <v/>
      </c>
      <c r="AB827" s="5">
        <f>IF(COUNTIF('02b_DC_Accelerator_Mix'!$A$2:$A$977,G827)&gt;0,"matched","missing_mix")</f>
        <v/>
      </c>
    </row>
    <row r="828">
      <c r="A828" s="5">
        <f>'02a_DC_Capacity_Alloc'!A828</f>
        <v/>
      </c>
      <c r="B828" s="5">
        <f>'02a_DC_Capacity_Alloc'!B828</f>
        <v/>
      </c>
      <c r="C828" s="5">
        <f>'02a_DC_Capacity_Alloc'!C828</f>
        <v/>
      </c>
      <c r="D828" s="5">
        <f>'02a_DC_Capacity_Alloc'!D828</f>
        <v/>
      </c>
      <c r="E828" s="5">
        <f>'02a_DC_Capacity_Alloc'!E828</f>
        <v/>
      </c>
      <c r="F828" s="5">
        <f>'02a_DC_Capacity_Alloc'!F828</f>
        <v/>
      </c>
      <c r="G828" s="5">
        <f>B828&amp;"|"&amp;E828&amp;"|"&amp;D828</f>
        <v/>
      </c>
      <c r="H828" s="28">
        <f>'02a_DC_Capacity_Alloc'!H828*'02a_DC_Capacity_Alloc'!I828*'02a_DC_Capacity_Alloc'!J828</f>
        <v/>
      </c>
      <c r="I828" s="6">
        <f>IFERROR(INDEX('02b_DC_Accelerator_Mix'!$F$2:$F$977,MATCH(G828,'02b_DC_Accelerator_Mix'!$A$2:$A$977,0)),0)</f>
        <v/>
      </c>
      <c r="J828" s="6">
        <f>IFERROR(INDEX('02b_DC_Accelerator_Mix'!$G$2:$G$977,MATCH(G828,'02b_DC_Accelerator_Mix'!$A$2:$A$977,0)),0)</f>
        <v/>
      </c>
      <c r="K828" s="6">
        <f>IFERROR(INDEX('02b_DC_Accelerator_Mix'!$H$2:$H$977,MATCH(G828,'02b_DC_Accelerator_Mix'!$A$2:$A$977,0)),0)</f>
        <v/>
      </c>
      <c r="L828" s="6">
        <f>IFERROR(INDEX('02b_DC_Accelerator_Mix'!$I$2:$I$977,MATCH(G828,'02b_DC_Accelerator_Mix'!$A$2:$A$977,0)),0)</f>
        <v/>
      </c>
      <c r="M828" s="6">
        <f>IFERROR(INDEX('02b_DC_Accelerator_Mix'!$J$2:$J$977,MATCH(G828,'02b_DC_Accelerator_Mix'!$A$2:$A$977,0)),0)</f>
        <v/>
      </c>
      <c r="N828" s="6">
        <f>IFERROR(INDEX('02b_DC_Accelerator_Mix'!$K$2:$K$977,MATCH(G828,'02b_DC_Accelerator_Mix'!$A$2:$A$977,0)),0)</f>
        <v/>
      </c>
      <c r="O828" s="6">
        <f>IFERROR(INDEX('02b_DC_Accelerator_Mix'!$L$2:$L$977,MATCH(G828,'02b_DC_Accelerator_Mix'!$A$2:$A$977,0)),0)</f>
        <v/>
      </c>
      <c r="P828" s="6">
        <f>IFERROR(INDEX('02b_DC_Accelerator_Mix'!$M$2:$M$977,MATCH(G828,'02b_DC_Accelerator_Mix'!$A$2:$A$977,0)),0)</f>
        <v/>
      </c>
      <c r="Q828" s="6">
        <f>IFERROR(INDEX('02b_DC_Accelerator_Mix'!$N$2:$N$977,MATCH(G828,'02b_DC_Accelerator_Mix'!$A$2:$A$977,0)),0)</f>
        <v/>
      </c>
      <c r="R828" s="28">
        <f>H828*I828</f>
        <v/>
      </c>
      <c r="S828" s="28">
        <f>H828*J828</f>
        <v/>
      </c>
      <c r="T828" s="28">
        <f>H828*K828</f>
        <v/>
      </c>
      <c r="U828" s="28">
        <f>H828*L828</f>
        <v/>
      </c>
      <c r="V828" s="28">
        <f>H828*M828</f>
        <v/>
      </c>
      <c r="W828" s="28">
        <f>H828*N828</f>
        <v/>
      </c>
      <c r="X828" s="28">
        <f>H828*O828</f>
        <v/>
      </c>
      <c r="Y828" s="28">
        <f>H828*P828</f>
        <v/>
      </c>
      <c r="Z828" s="28">
        <f>H828*Q828</f>
        <v/>
      </c>
      <c r="AA828" s="28">
        <f>SUM(U828:Z828)</f>
        <v/>
      </c>
      <c r="AB828" s="5">
        <f>IF(COUNTIF('02b_DC_Accelerator_Mix'!$A$2:$A$977,G828)&gt;0,"matched","missing_mix")</f>
        <v/>
      </c>
    </row>
    <row r="829">
      <c r="A829" s="5">
        <f>'02a_DC_Capacity_Alloc'!A829</f>
        <v/>
      </c>
      <c r="B829" s="5">
        <f>'02a_DC_Capacity_Alloc'!B829</f>
        <v/>
      </c>
      <c r="C829" s="5">
        <f>'02a_DC_Capacity_Alloc'!C829</f>
        <v/>
      </c>
      <c r="D829" s="5">
        <f>'02a_DC_Capacity_Alloc'!D829</f>
        <v/>
      </c>
      <c r="E829" s="5">
        <f>'02a_DC_Capacity_Alloc'!E829</f>
        <v/>
      </c>
      <c r="F829" s="5">
        <f>'02a_DC_Capacity_Alloc'!F829</f>
        <v/>
      </c>
      <c r="G829" s="5">
        <f>B829&amp;"|"&amp;E829&amp;"|"&amp;D829</f>
        <v/>
      </c>
      <c r="H829" s="28">
        <f>'02a_DC_Capacity_Alloc'!H829*'02a_DC_Capacity_Alloc'!I829*'02a_DC_Capacity_Alloc'!J829</f>
        <v/>
      </c>
      <c r="I829" s="6">
        <f>IFERROR(INDEX('02b_DC_Accelerator_Mix'!$F$2:$F$977,MATCH(G829,'02b_DC_Accelerator_Mix'!$A$2:$A$977,0)),0)</f>
        <v/>
      </c>
      <c r="J829" s="6">
        <f>IFERROR(INDEX('02b_DC_Accelerator_Mix'!$G$2:$G$977,MATCH(G829,'02b_DC_Accelerator_Mix'!$A$2:$A$977,0)),0)</f>
        <v/>
      </c>
      <c r="K829" s="6">
        <f>IFERROR(INDEX('02b_DC_Accelerator_Mix'!$H$2:$H$977,MATCH(G829,'02b_DC_Accelerator_Mix'!$A$2:$A$977,0)),0)</f>
        <v/>
      </c>
      <c r="L829" s="6">
        <f>IFERROR(INDEX('02b_DC_Accelerator_Mix'!$I$2:$I$977,MATCH(G829,'02b_DC_Accelerator_Mix'!$A$2:$A$977,0)),0)</f>
        <v/>
      </c>
      <c r="M829" s="6">
        <f>IFERROR(INDEX('02b_DC_Accelerator_Mix'!$J$2:$J$977,MATCH(G829,'02b_DC_Accelerator_Mix'!$A$2:$A$977,0)),0)</f>
        <v/>
      </c>
      <c r="N829" s="6">
        <f>IFERROR(INDEX('02b_DC_Accelerator_Mix'!$K$2:$K$977,MATCH(G829,'02b_DC_Accelerator_Mix'!$A$2:$A$977,0)),0)</f>
        <v/>
      </c>
      <c r="O829" s="6">
        <f>IFERROR(INDEX('02b_DC_Accelerator_Mix'!$L$2:$L$977,MATCH(G829,'02b_DC_Accelerator_Mix'!$A$2:$A$977,0)),0)</f>
        <v/>
      </c>
      <c r="P829" s="6">
        <f>IFERROR(INDEX('02b_DC_Accelerator_Mix'!$M$2:$M$977,MATCH(G829,'02b_DC_Accelerator_Mix'!$A$2:$A$977,0)),0)</f>
        <v/>
      </c>
      <c r="Q829" s="6">
        <f>IFERROR(INDEX('02b_DC_Accelerator_Mix'!$N$2:$N$977,MATCH(G829,'02b_DC_Accelerator_Mix'!$A$2:$A$977,0)),0)</f>
        <v/>
      </c>
      <c r="R829" s="28">
        <f>H829*I829</f>
        <v/>
      </c>
      <c r="S829" s="28">
        <f>H829*J829</f>
        <v/>
      </c>
      <c r="T829" s="28">
        <f>H829*K829</f>
        <v/>
      </c>
      <c r="U829" s="28">
        <f>H829*L829</f>
        <v/>
      </c>
      <c r="V829" s="28">
        <f>H829*M829</f>
        <v/>
      </c>
      <c r="W829" s="28">
        <f>H829*N829</f>
        <v/>
      </c>
      <c r="X829" s="28">
        <f>H829*O829</f>
        <v/>
      </c>
      <c r="Y829" s="28">
        <f>H829*P829</f>
        <v/>
      </c>
      <c r="Z829" s="28">
        <f>H829*Q829</f>
        <v/>
      </c>
      <c r="AA829" s="28">
        <f>SUM(U829:Z829)</f>
        <v/>
      </c>
      <c r="AB829" s="5">
        <f>IF(COUNTIF('02b_DC_Accelerator_Mix'!$A$2:$A$977,G829)&gt;0,"matched","missing_mix")</f>
        <v/>
      </c>
    </row>
    <row r="830">
      <c r="A830" s="5">
        <f>'02a_DC_Capacity_Alloc'!A830</f>
        <v/>
      </c>
      <c r="B830" s="5">
        <f>'02a_DC_Capacity_Alloc'!B830</f>
        <v/>
      </c>
      <c r="C830" s="5">
        <f>'02a_DC_Capacity_Alloc'!C830</f>
        <v/>
      </c>
      <c r="D830" s="5">
        <f>'02a_DC_Capacity_Alloc'!D830</f>
        <v/>
      </c>
      <c r="E830" s="5">
        <f>'02a_DC_Capacity_Alloc'!E830</f>
        <v/>
      </c>
      <c r="F830" s="5">
        <f>'02a_DC_Capacity_Alloc'!F830</f>
        <v/>
      </c>
      <c r="G830" s="5">
        <f>B830&amp;"|"&amp;E830&amp;"|"&amp;D830</f>
        <v/>
      </c>
      <c r="H830" s="28">
        <f>'02a_DC_Capacity_Alloc'!H830*'02a_DC_Capacity_Alloc'!I830*'02a_DC_Capacity_Alloc'!J830</f>
        <v/>
      </c>
      <c r="I830" s="6">
        <f>IFERROR(INDEX('02b_DC_Accelerator_Mix'!$F$2:$F$977,MATCH(G830,'02b_DC_Accelerator_Mix'!$A$2:$A$977,0)),0)</f>
        <v/>
      </c>
      <c r="J830" s="6">
        <f>IFERROR(INDEX('02b_DC_Accelerator_Mix'!$G$2:$G$977,MATCH(G830,'02b_DC_Accelerator_Mix'!$A$2:$A$977,0)),0)</f>
        <v/>
      </c>
      <c r="K830" s="6">
        <f>IFERROR(INDEX('02b_DC_Accelerator_Mix'!$H$2:$H$977,MATCH(G830,'02b_DC_Accelerator_Mix'!$A$2:$A$977,0)),0)</f>
        <v/>
      </c>
      <c r="L830" s="6">
        <f>IFERROR(INDEX('02b_DC_Accelerator_Mix'!$I$2:$I$977,MATCH(G830,'02b_DC_Accelerator_Mix'!$A$2:$A$977,0)),0)</f>
        <v/>
      </c>
      <c r="M830" s="6">
        <f>IFERROR(INDEX('02b_DC_Accelerator_Mix'!$J$2:$J$977,MATCH(G830,'02b_DC_Accelerator_Mix'!$A$2:$A$977,0)),0)</f>
        <v/>
      </c>
      <c r="N830" s="6">
        <f>IFERROR(INDEX('02b_DC_Accelerator_Mix'!$K$2:$K$977,MATCH(G830,'02b_DC_Accelerator_Mix'!$A$2:$A$977,0)),0)</f>
        <v/>
      </c>
      <c r="O830" s="6">
        <f>IFERROR(INDEX('02b_DC_Accelerator_Mix'!$L$2:$L$977,MATCH(G830,'02b_DC_Accelerator_Mix'!$A$2:$A$977,0)),0)</f>
        <v/>
      </c>
      <c r="P830" s="6">
        <f>IFERROR(INDEX('02b_DC_Accelerator_Mix'!$M$2:$M$977,MATCH(G830,'02b_DC_Accelerator_Mix'!$A$2:$A$977,0)),0)</f>
        <v/>
      </c>
      <c r="Q830" s="6">
        <f>IFERROR(INDEX('02b_DC_Accelerator_Mix'!$N$2:$N$977,MATCH(G830,'02b_DC_Accelerator_Mix'!$A$2:$A$977,0)),0)</f>
        <v/>
      </c>
      <c r="R830" s="28">
        <f>H830*I830</f>
        <v/>
      </c>
      <c r="S830" s="28">
        <f>H830*J830</f>
        <v/>
      </c>
      <c r="T830" s="28">
        <f>H830*K830</f>
        <v/>
      </c>
      <c r="U830" s="28">
        <f>H830*L830</f>
        <v/>
      </c>
      <c r="V830" s="28">
        <f>H830*M830</f>
        <v/>
      </c>
      <c r="W830" s="28">
        <f>H830*N830</f>
        <v/>
      </c>
      <c r="X830" s="28">
        <f>H830*O830</f>
        <v/>
      </c>
      <c r="Y830" s="28">
        <f>H830*P830</f>
        <v/>
      </c>
      <c r="Z830" s="28">
        <f>H830*Q830</f>
        <v/>
      </c>
      <c r="AA830" s="28">
        <f>SUM(U830:Z830)</f>
        <v/>
      </c>
      <c r="AB830" s="5">
        <f>IF(COUNTIF('02b_DC_Accelerator_Mix'!$A$2:$A$977,G830)&gt;0,"matched","missing_mix")</f>
        <v/>
      </c>
    </row>
    <row r="831">
      <c r="A831" s="5">
        <f>'02a_DC_Capacity_Alloc'!A831</f>
        <v/>
      </c>
      <c r="B831" s="5">
        <f>'02a_DC_Capacity_Alloc'!B831</f>
        <v/>
      </c>
      <c r="C831" s="5">
        <f>'02a_DC_Capacity_Alloc'!C831</f>
        <v/>
      </c>
      <c r="D831" s="5">
        <f>'02a_DC_Capacity_Alloc'!D831</f>
        <v/>
      </c>
      <c r="E831" s="5">
        <f>'02a_DC_Capacity_Alloc'!E831</f>
        <v/>
      </c>
      <c r="F831" s="5">
        <f>'02a_DC_Capacity_Alloc'!F831</f>
        <v/>
      </c>
      <c r="G831" s="5">
        <f>B831&amp;"|"&amp;E831&amp;"|"&amp;D831</f>
        <v/>
      </c>
      <c r="H831" s="28">
        <f>'02a_DC_Capacity_Alloc'!H831*'02a_DC_Capacity_Alloc'!I831*'02a_DC_Capacity_Alloc'!J831</f>
        <v/>
      </c>
      <c r="I831" s="6">
        <f>IFERROR(INDEX('02b_DC_Accelerator_Mix'!$F$2:$F$977,MATCH(G831,'02b_DC_Accelerator_Mix'!$A$2:$A$977,0)),0)</f>
        <v/>
      </c>
      <c r="J831" s="6">
        <f>IFERROR(INDEX('02b_DC_Accelerator_Mix'!$G$2:$G$977,MATCH(G831,'02b_DC_Accelerator_Mix'!$A$2:$A$977,0)),0)</f>
        <v/>
      </c>
      <c r="K831" s="6">
        <f>IFERROR(INDEX('02b_DC_Accelerator_Mix'!$H$2:$H$977,MATCH(G831,'02b_DC_Accelerator_Mix'!$A$2:$A$977,0)),0)</f>
        <v/>
      </c>
      <c r="L831" s="6">
        <f>IFERROR(INDEX('02b_DC_Accelerator_Mix'!$I$2:$I$977,MATCH(G831,'02b_DC_Accelerator_Mix'!$A$2:$A$977,0)),0)</f>
        <v/>
      </c>
      <c r="M831" s="6">
        <f>IFERROR(INDEX('02b_DC_Accelerator_Mix'!$J$2:$J$977,MATCH(G831,'02b_DC_Accelerator_Mix'!$A$2:$A$977,0)),0)</f>
        <v/>
      </c>
      <c r="N831" s="6">
        <f>IFERROR(INDEX('02b_DC_Accelerator_Mix'!$K$2:$K$977,MATCH(G831,'02b_DC_Accelerator_Mix'!$A$2:$A$977,0)),0)</f>
        <v/>
      </c>
      <c r="O831" s="6">
        <f>IFERROR(INDEX('02b_DC_Accelerator_Mix'!$L$2:$L$977,MATCH(G831,'02b_DC_Accelerator_Mix'!$A$2:$A$977,0)),0)</f>
        <v/>
      </c>
      <c r="P831" s="6">
        <f>IFERROR(INDEX('02b_DC_Accelerator_Mix'!$M$2:$M$977,MATCH(G831,'02b_DC_Accelerator_Mix'!$A$2:$A$977,0)),0)</f>
        <v/>
      </c>
      <c r="Q831" s="6">
        <f>IFERROR(INDEX('02b_DC_Accelerator_Mix'!$N$2:$N$977,MATCH(G831,'02b_DC_Accelerator_Mix'!$A$2:$A$977,0)),0)</f>
        <v/>
      </c>
      <c r="R831" s="28">
        <f>H831*I831</f>
        <v/>
      </c>
      <c r="S831" s="28">
        <f>H831*J831</f>
        <v/>
      </c>
      <c r="T831" s="28">
        <f>H831*K831</f>
        <v/>
      </c>
      <c r="U831" s="28">
        <f>H831*L831</f>
        <v/>
      </c>
      <c r="V831" s="28">
        <f>H831*M831</f>
        <v/>
      </c>
      <c r="W831" s="28">
        <f>H831*N831</f>
        <v/>
      </c>
      <c r="X831" s="28">
        <f>H831*O831</f>
        <v/>
      </c>
      <c r="Y831" s="28">
        <f>H831*P831</f>
        <v/>
      </c>
      <c r="Z831" s="28">
        <f>H831*Q831</f>
        <v/>
      </c>
      <c r="AA831" s="28">
        <f>SUM(U831:Z831)</f>
        <v/>
      </c>
      <c r="AB831" s="5">
        <f>IF(COUNTIF('02b_DC_Accelerator_Mix'!$A$2:$A$977,G831)&gt;0,"matched","missing_mix")</f>
        <v/>
      </c>
    </row>
    <row r="832">
      <c r="A832" s="5">
        <f>'02a_DC_Capacity_Alloc'!A832</f>
        <v/>
      </c>
      <c r="B832" s="5">
        <f>'02a_DC_Capacity_Alloc'!B832</f>
        <v/>
      </c>
      <c r="C832" s="5">
        <f>'02a_DC_Capacity_Alloc'!C832</f>
        <v/>
      </c>
      <c r="D832" s="5">
        <f>'02a_DC_Capacity_Alloc'!D832</f>
        <v/>
      </c>
      <c r="E832" s="5">
        <f>'02a_DC_Capacity_Alloc'!E832</f>
        <v/>
      </c>
      <c r="F832" s="5">
        <f>'02a_DC_Capacity_Alloc'!F832</f>
        <v/>
      </c>
      <c r="G832" s="5">
        <f>B832&amp;"|"&amp;E832&amp;"|"&amp;D832</f>
        <v/>
      </c>
      <c r="H832" s="28">
        <f>'02a_DC_Capacity_Alloc'!H832*'02a_DC_Capacity_Alloc'!I832*'02a_DC_Capacity_Alloc'!J832</f>
        <v/>
      </c>
      <c r="I832" s="6">
        <f>IFERROR(INDEX('02b_DC_Accelerator_Mix'!$F$2:$F$977,MATCH(G832,'02b_DC_Accelerator_Mix'!$A$2:$A$977,0)),0)</f>
        <v/>
      </c>
      <c r="J832" s="6">
        <f>IFERROR(INDEX('02b_DC_Accelerator_Mix'!$G$2:$G$977,MATCH(G832,'02b_DC_Accelerator_Mix'!$A$2:$A$977,0)),0)</f>
        <v/>
      </c>
      <c r="K832" s="6">
        <f>IFERROR(INDEX('02b_DC_Accelerator_Mix'!$H$2:$H$977,MATCH(G832,'02b_DC_Accelerator_Mix'!$A$2:$A$977,0)),0)</f>
        <v/>
      </c>
      <c r="L832" s="6">
        <f>IFERROR(INDEX('02b_DC_Accelerator_Mix'!$I$2:$I$977,MATCH(G832,'02b_DC_Accelerator_Mix'!$A$2:$A$977,0)),0)</f>
        <v/>
      </c>
      <c r="M832" s="6">
        <f>IFERROR(INDEX('02b_DC_Accelerator_Mix'!$J$2:$J$977,MATCH(G832,'02b_DC_Accelerator_Mix'!$A$2:$A$977,0)),0)</f>
        <v/>
      </c>
      <c r="N832" s="6">
        <f>IFERROR(INDEX('02b_DC_Accelerator_Mix'!$K$2:$K$977,MATCH(G832,'02b_DC_Accelerator_Mix'!$A$2:$A$977,0)),0)</f>
        <v/>
      </c>
      <c r="O832" s="6">
        <f>IFERROR(INDEX('02b_DC_Accelerator_Mix'!$L$2:$L$977,MATCH(G832,'02b_DC_Accelerator_Mix'!$A$2:$A$977,0)),0)</f>
        <v/>
      </c>
      <c r="P832" s="6">
        <f>IFERROR(INDEX('02b_DC_Accelerator_Mix'!$M$2:$M$977,MATCH(G832,'02b_DC_Accelerator_Mix'!$A$2:$A$977,0)),0)</f>
        <v/>
      </c>
      <c r="Q832" s="6">
        <f>IFERROR(INDEX('02b_DC_Accelerator_Mix'!$N$2:$N$977,MATCH(G832,'02b_DC_Accelerator_Mix'!$A$2:$A$977,0)),0)</f>
        <v/>
      </c>
      <c r="R832" s="28">
        <f>H832*I832</f>
        <v/>
      </c>
      <c r="S832" s="28">
        <f>H832*J832</f>
        <v/>
      </c>
      <c r="T832" s="28">
        <f>H832*K832</f>
        <v/>
      </c>
      <c r="U832" s="28">
        <f>H832*L832</f>
        <v/>
      </c>
      <c r="V832" s="28">
        <f>H832*M832</f>
        <v/>
      </c>
      <c r="W832" s="28">
        <f>H832*N832</f>
        <v/>
      </c>
      <c r="X832" s="28">
        <f>H832*O832</f>
        <v/>
      </c>
      <c r="Y832" s="28">
        <f>H832*P832</f>
        <v/>
      </c>
      <c r="Z832" s="28">
        <f>H832*Q832</f>
        <v/>
      </c>
      <c r="AA832" s="28">
        <f>SUM(U832:Z832)</f>
        <v/>
      </c>
      <c r="AB832" s="5">
        <f>IF(COUNTIF('02b_DC_Accelerator_Mix'!$A$2:$A$977,G832)&gt;0,"matched","missing_mix")</f>
        <v/>
      </c>
    </row>
    <row r="833">
      <c r="A833" s="5">
        <f>'02a_DC_Capacity_Alloc'!A833</f>
        <v/>
      </c>
      <c r="B833" s="5">
        <f>'02a_DC_Capacity_Alloc'!B833</f>
        <v/>
      </c>
      <c r="C833" s="5">
        <f>'02a_DC_Capacity_Alloc'!C833</f>
        <v/>
      </c>
      <c r="D833" s="5">
        <f>'02a_DC_Capacity_Alloc'!D833</f>
        <v/>
      </c>
      <c r="E833" s="5">
        <f>'02a_DC_Capacity_Alloc'!E833</f>
        <v/>
      </c>
      <c r="F833" s="5">
        <f>'02a_DC_Capacity_Alloc'!F833</f>
        <v/>
      </c>
      <c r="G833" s="5">
        <f>B833&amp;"|"&amp;E833&amp;"|"&amp;D833</f>
        <v/>
      </c>
      <c r="H833" s="28">
        <f>'02a_DC_Capacity_Alloc'!H833*'02a_DC_Capacity_Alloc'!I833*'02a_DC_Capacity_Alloc'!J833</f>
        <v/>
      </c>
      <c r="I833" s="6">
        <f>IFERROR(INDEX('02b_DC_Accelerator_Mix'!$F$2:$F$977,MATCH(G833,'02b_DC_Accelerator_Mix'!$A$2:$A$977,0)),0)</f>
        <v/>
      </c>
      <c r="J833" s="6">
        <f>IFERROR(INDEX('02b_DC_Accelerator_Mix'!$G$2:$G$977,MATCH(G833,'02b_DC_Accelerator_Mix'!$A$2:$A$977,0)),0)</f>
        <v/>
      </c>
      <c r="K833" s="6">
        <f>IFERROR(INDEX('02b_DC_Accelerator_Mix'!$H$2:$H$977,MATCH(G833,'02b_DC_Accelerator_Mix'!$A$2:$A$977,0)),0)</f>
        <v/>
      </c>
      <c r="L833" s="6">
        <f>IFERROR(INDEX('02b_DC_Accelerator_Mix'!$I$2:$I$977,MATCH(G833,'02b_DC_Accelerator_Mix'!$A$2:$A$977,0)),0)</f>
        <v/>
      </c>
      <c r="M833" s="6">
        <f>IFERROR(INDEX('02b_DC_Accelerator_Mix'!$J$2:$J$977,MATCH(G833,'02b_DC_Accelerator_Mix'!$A$2:$A$977,0)),0)</f>
        <v/>
      </c>
      <c r="N833" s="6">
        <f>IFERROR(INDEX('02b_DC_Accelerator_Mix'!$K$2:$K$977,MATCH(G833,'02b_DC_Accelerator_Mix'!$A$2:$A$977,0)),0)</f>
        <v/>
      </c>
      <c r="O833" s="6">
        <f>IFERROR(INDEX('02b_DC_Accelerator_Mix'!$L$2:$L$977,MATCH(G833,'02b_DC_Accelerator_Mix'!$A$2:$A$977,0)),0)</f>
        <v/>
      </c>
      <c r="P833" s="6">
        <f>IFERROR(INDEX('02b_DC_Accelerator_Mix'!$M$2:$M$977,MATCH(G833,'02b_DC_Accelerator_Mix'!$A$2:$A$977,0)),0)</f>
        <v/>
      </c>
      <c r="Q833" s="6">
        <f>IFERROR(INDEX('02b_DC_Accelerator_Mix'!$N$2:$N$977,MATCH(G833,'02b_DC_Accelerator_Mix'!$A$2:$A$977,0)),0)</f>
        <v/>
      </c>
      <c r="R833" s="28">
        <f>H833*I833</f>
        <v/>
      </c>
      <c r="S833" s="28">
        <f>H833*J833</f>
        <v/>
      </c>
      <c r="T833" s="28">
        <f>H833*K833</f>
        <v/>
      </c>
      <c r="U833" s="28">
        <f>H833*L833</f>
        <v/>
      </c>
      <c r="V833" s="28">
        <f>H833*M833</f>
        <v/>
      </c>
      <c r="W833" s="28">
        <f>H833*N833</f>
        <v/>
      </c>
      <c r="X833" s="28">
        <f>H833*O833</f>
        <v/>
      </c>
      <c r="Y833" s="28">
        <f>H833*P833</f>
        <v/>
      </c>
      <c r="Z833" s="28">
        <f>H833*Q833</f>
        <v/>
      </c>
      <c r="AA833" s="28">
        <f>SUM(U833:Z833)</f>
        <v/>
      </c>
      <c r="AB833" s="5">
        <f>IF(COUNTIF('02b_DC_Accelerator_Mix'!$A$2:$A$977,G833)&gt;0,"matched","missing_mix")</f>
        <v/>
      </c>
    </row>
    <row r="834">
      <c r="A834" s="5">
        <f>'02a_DC_Capacity_Alloc'!A834</f>
        <v/>
      </c>
      <c r="B834" s="5">
        <f>'02a_DC_Capacity_Alloc'!B834</f>
        <v/>
      </c>
      <c r="C834" s="5">
        <f>'02a_DC_Capacity_Alloc'!C834</f>
        <v/>
      </c>
      <c r="D834" s="5">
        <f>'02a_DC_Capacity_Alloc'!D834</f>
        <v/>
      </c>
      <c r="E834" s="5">
        <f>'02a_DC_Capacity_Alloc'!E834</f>
        <v/>
      </c>
      <c r="F834" s="5">
        <f>'02a_DC_Capacity_Alloc'!F834</f>
        <v/>
      </c>
      <c r="G834" s="5">
        <f>B834&amp;"|"&amp;E834&amp;"|"&amp;D834</f>
        <v/>
      </c>
      <c r="H834" s="28">
        <f>'02a_DC_Capacity_Alloc'!H834*'02a_DC_Capacity_Alloc'!I834*'02a_DC_Capacity_Alloc'!J834</f>
        <v/>
      </c>
      <c r="I834" s="6">
        <f>IFERROR(INDEX('02b_DC_Accelerator_Mix'!$F$2:$F$977,MATCH(G834,'02b_DC_Accelerator_Mix'!$A$2:$A$977,0)),0)</f>
        <v/>
      </c>
      <c r="J834" s="6">
        <f>IFERROR(INDEX('02b_DC_Accelerator_Mix'!$G$2:$G$977,MATCH(G834,'02b_DC_Accelerator_Mix'!$A$2:$A$977,0)),0)</f>
        <v/>
      </c>
      <c r="K834" s="6">
        <f>IFERROR(INDEX('02b_DC_Accelerator_Mix'!$H$2:$H$977,MATCH(G834,'02b_DC_Accelerator_Mix'!$A$2:$A$977,0)),0)</f>
        <v/>
      </c>
      <c r="L834" s="6">
        <f>IFERROR(INDEX('02b_DC_Accelerator_Mix'!$I$2:$I$977,MATCH(G834,'02b_DC_Accelerator_Mix'!$A$2:$A$977,0)),0)</f>
        <v/>
      </c>
      <c r="M834" s="6">
        <f>IFERROR(INDEX('02b_DC_Accelerator_Mix'!$J$2:$J$977,MATCH(G834,'02b_DC_Accelerator_Mix'!$A$2:$A$977,0)),0)</f>
        <v/>
      </c>
      <c r="N834" s="6">
        <f>IFERROR(INDEX('02b_DC_Accelerator_Mix'!$K$2:$K$977,MATCH(G834,'02b_DC_Accelerator_Mix'!$A$2:$A$977,0)),0)</f>
        <v/>
      </c>
      <c r="O834" s="6">
        <f>IFERROR(INDEX('02b_DC_Accelerator_Mix'!$L$2:$L$977,MATCH(G834,'02b_DC_Accelerator_Mix'!$A$2:$A$977,0)),0)</f>
        <v/>
      </c>
      <c r="P834" s="6">
        <f>IFERROR(INDEX('02b_DC_Accelerator_Mix'!$M$2:$M$977,MATCH(G834,'02b_DC_Accelerator_Mix'!$A$2:$A$977,0)),0)</f>
        <v/>
      </c>
      <c r="Q834" s="6">
        <f>IFERROR(INDEX('02b_DC_Accelerator_Mix'!$N$2:$N$977,MATCH(G834,'02b_DC_Accelerator_Mix'!$A$2:$A$977,0)),0)</f>
        <v/>
      </c>
      <c r="R834" s="28">
        <f>H834*I834</f>
        <v/>
      </c>
      <c r="S834" s="28">
        <f>H834*J834</f>
        <v/>
      </c>
      <c r="T834" s="28">
        <f>H834*K834</f>
        <v/>
      </c>
      <c r="U834" s="28">
        <f>H834*L834</f>
        <v/>
      </c>
      <c r="V834" s="28">
        <f>H834*M834</f>
        <v/>
      </c>
      <c r="W834" s="28">
        <f>H834*N834</f>
        <v/>
      </c>
      <c r="X834" s="28">
        <f>H834*O834</f>
        <v/>
      </c>
      <c r="Y834" s="28">
        <f>H834*P834</f>
        <v/>
      </c>
      <c r="Z834" s="28">
        <f>H834*Q834</f>
        <v/>
      </c>
      <c r="AA834" s="28">
        <f>SUM(U834:Z834)</f>
        <v/>
      </c>
      <c r="AB834" s="5">
        <f>IF(COUNTIF('02b_DC_Accelerator_Mix'!$A$2:$A$977,G834)&gt;0,"matched","missing_mix")</f>
        <v/>
      </c>
    </row>
    <row r="835">
      <c r="A835" s="5">
        <f>'02a_DC_Capacity_Alloc'!A835</f>
        <v/>
      </c>
      <c r="B835" s="5">
        <f>'02a_DC_Capacity_Alloc'!B835</f>
        <v/>
      </c>
      <c r="C835" s="5">
        <f>'02a_DC_Capacity_Alloc'!C835</f>
        <v/>
      </c>
      <c r="D835" s="5">
        <f>'02a_DC_Capacity_Alloc'!D835</f>
        <v/>
      </c>
      <c r="E835" s="5">
        <f>'02a_DC_Capacity_Alloc'!E835</f>
        <v/>
      </c>
      <c r="F835" s="5">
        <f>'02a_DC_Capacity_Alloc'!F835</f>
        <v/>
      </c>
      <c r="G835" s="5">
        <f>B835&amp;"|"&amp;E835&amp;"|"&amp;D835</f>
        <v/>
      </c>
      <c r="H835" s="28">
        <f>'02a_DC_Capacity_Alloc'!H835*'02a_DC_Capacity_Alloc'!I835*'02a_DC_Capacity_Alloc'!J835</f>
        <v/>
      </c>
      <c r="I835" s="6">
        <f>IFERROR(INDEX('02b_DC_Accelerator_Mix'!$F$2:$F$977,MATCH(G835,'02b_DC_Accelerator_Mix'!$A$2:$A$977,0)),0)</f>
        <v/>
      </c>
      <c r="J835" s="6">
        <f>IFERROR(INDEX('02b_DC_Accelerator_Mix'!$G$2:$G$977,MATCH(G835,'02b_DC_Accelerator_Mix'!$A$2:$A$977,0)),0)</f>
        <v/>
      </c>
      <c r="K835" s="6">
        <f>IFERROR(INDEX('02b_DC_Accelerator_Mix'!$H$2:$H$977,MATCH(G835,'02b_DC_Accelerator_Mix'!$A$2:$A$977,0)),0)</f>
        <v/>
      </c>
      <c r="L835" s="6">
        <f>IFERROR(INDEX('02b_DC_Accelerator_Mix'!$I$2:$I$977,MATCH(G835,'02b_DC_Accelerator_Mix'!$A$2:$A$977,0)),0)</f>
        <v/>
      </c>
      <c r="M835" s="6">
        <f>IFERROR(INDEX('02b_DC_Accelerator_Mix'!$J$2:$J$977,MATCH(G835,'02b_DC_Accelerator_Mix'!$A$2:$A$977,0)),0)</f>
        <v/>
      </c>
      <c r="N835" s="6">
        <f>IFERROR(INDEX('02b_DC_Accelerator_Mix'!$K$2:$K$977,MATCH(G835,'02b_DC_Accelerator_Mix'!$A$2:$A$977,0)),0)</f>
        <v/>
      </c>
      <c r="O835" s="6">
        <f>IFERROR(INDEX('02b_DC_Accelerator_Mix'!$L$2:$L$977,MATCH(G835,'02b_DC_Accelerator_Mix'!$A$2:$A$977,0)),0)</f>
        <v/>
      </c>
      <c r="P835" s="6">
        <f>IFERROR(INDEX('02b_DC_Accelerator_Mix'!$M$2:$M$977,MATCH(G835,'02b_DC_Accelerator_Mix'!$A$2:$A$977,0)),0)</f>
        <v/>
      </c>
      <c r="Q835" s="6">
        <f>IFERROR(INDEX('02b_DC_Accelerator_Mix'!$N$2:$N$977,MATCH(G835,'02b_DC_Accelerator_Mix'!$A$2:$A$977,0)),0)</f>
        <v/>
      </c>
      <c r="R835" s="28">
        <f>H835*I835</f>
        <v/>
      </c>
      <c r="S835" s="28">
        <f>H835*J835</f>
        <v/>
      </c>
      <c r="T835" s="28">
        <f>H835*K835</f>
        <v/>
      </c>
      <c r="U835" s="28">
        <f>H835*L835</f>
        <v/>
      </c>
      <c r="V835" s="28">
        <f>H835*M835</f>
        <v/>
      </c>
      <c r="W835" s="28">
        <f>H835*N835</f>
        <v/>
      </c>
      <c r="X835" s="28">
        <f>H835*O835</f>
        <v/>
      </c>
      <c r="Y835" s="28">
        <f>H835*P835</f>
        <v/>
      </c>
      <c r="Z835" s="28">
        <f>H835*Q835</f>
        <v/>
      </c>
      <c r="AA835" s="28">
        <f>SUM(U835:Z835)</f>
        <v/>
      </c>
      <c r="AB835" s="5">
        <f>IF(COUNTIF('02b_DC_Accelerator_Mix'!$A$2:$A$977,G835)&gt;0,"matched","missing_mix")</f>
        <v/>
      </c>
    </row>
    <row r="836">
      <c r="A836" s="5">
        <f>'02a_DC_Capacity_Alloc'!A836</f>
        <v/>
      </c>
      <c r="B836" s="5">
        <f>'02a_DC_Capacity_Alloc'!B836</f>
        <v/>
      </c>
      <c r="C836" s="5">
        <f>'02a_DC_Capacity_Alloc'!C836</f>
        <v/>
      </c>
      <c r="D836" s="5">
        <f>'02a_DC_Capacity_Alloc'!D836</f>
        <v/>
      </c>
      <c r="E836" s="5">
        <f>'02a_DC_Capacity_Alloc'!E836</f>
        <v/>
      </c>
      <c r="F836" s="5">
        <f>'02a_DC_Capacity_Alloc'!F836</f>
        <v/>
      </c>
      <c r="G836" s="5">
        <f>B836&amp;"|"&amp;E836&amp;"|"&amp;D836</f>
        <v/>
      </c>
      <c r="H836" s="28">
        <f>'02a_DC_Capacity_Alloc'!H836*'02a_DC_Capacity_Alloc'!I836*'02a_DC_Capacity_Alloc'!J836</f>
        <v/>
      </c>
      <c r="I836" s="6">
        <f>IFERROR(INDEX('02b_DC_Accelerator_Mix'!$F$2:$F$977,MATCH(G836,'02b_DC_Accelerator_Mix'!$A$2:$A$977,0)),0)</f>
        <v/>
      </c>
      <c r="J836" s="6">
        <f>IFERROR(INDEX('02b_DC_Accelerator_Mix'!$G$2:$G$977,MATCH(G836,'02b_DC_Accelerator_Mix'!$A$2:$A$977,0)),0)</f>
        <v/>
      </c>
      <c r="K836" s="6">
        <f>IFERROR(INDEX('02b_DC_Accelerator_Mix'!$H$2:$H$977,MATCH(G836,'02b_DC_Accelerator_Mix'!$A$2:$A$977,0)),0)</f>
        <v/>
      </c>
      <c r="L836" s="6">
        <f>IFERROR(INDEX('02b_DC_Accelerator_Mix'!$I$2:$I$977,MATCH(G836,'02b_DC_Accelerator_Mix'!$A$2:$A$977,0)),0)</f>
        <v/>
      </c>
      <c r="M836" s="6">
        <f>IFERROR(INDEX('02b_DC_Accelerator_Mix'!$J$2:$J$977,MATCH(G836,'02b_DC_Accelerator_Mix'!$A$2:$A$977,0)),0)</f>
        <v/>
      </c>
      <c r="N836" s="6">
        <f>IFERROR(INDEX('02b_DC_Accelerator_Mix'!$K$2:$K$977,MATCH(G836,'02b_DC_Accelerator_Mix'!$A$2:$A$977,0)),0)</f>
        <v/>
      </c>
      <c r="O836" s="6">
        <f>IFERROR(INDEX('02b_DC_Accelerator_Mix'!$L$2:$L$977,MATCH(G836,'02b_DC_Accelerator_Mix'!$A$2:$A$977,0)),0)</f>
        <v/>
      </c>
      <c r="P836" s="6">
        <f>IFERROR(INDEX('02b_DC_Accelerator_Mix'!$M$2:$M$977,MATCH(G836,'02b_DC_Accelerator_Mix'!$A$2:$A$977,0)),0)</f>
        <v/>
      </c>
      <c r="Q836" s="6">
        <f>IFERROR(INDEX('02b_DC_Accelerator_Mix'!$N$2:$N$977,MATCH(G836,'02b_DC_Accelerator_Mix'!$A$2:$A$977,0)),0)</f>
        <v/>
      </c>
      <c r="R836" s="28">
        <f>H836*I836</f>
        <v/>
      </c>
      <c r="S836" s="28">
        <f>H836*J836</f>
        <v/>
      </c>
      <c r="T836" s="28">
        <f>H836*K836</f>
        <v/>
      </c>
      <c r="U836" s="28">
        <f>H836*L836</f>
        <v/>
      </c>
      <c r="V836" s="28">
        <f>H836*M836</f>
        <v/>
      </c>
      <c r="W836" s="28">
        <f>H836*N836</f>
        <v/>
      </c>
      <c r="X836" s="28">
        <f>H836*O836</f>
        <v/>
      </c>
      <c r="Y836" s="28">
        <f>H836*P836</f>
        <v/>
      </c>
      <c r="Z836" s="28">
        <f>H836*Q836</f>
        <v/>
      </c>
      <c r="AA836" s="28">
        <f>SUM(U836:Z836)</f>
        <v/>
      </c>
      <c r="AB836" s="5">
        <f>IF(COUNTIF('02b_DC_Accelerator_Mix'!$A$2:$A$977,G836)&gt;0,"matched","missing_mix")</f>
        <v/>
      </c>
    </row>
    <row r="837">
      <c r="A837" s="5">
        <f>'02a_DC_Capacity_Alloc'!A837</f>
        <v/>
      </c>
      <c r="B837" s="5">
        <f>'02a_DC_Capacity_Alloc'!B837</f>
        <v/>
      </c>
      <c r="C837" s="5">
        <f>'02a_DC_Capacity_Alloc'!C837</f>
        <v/>
      </c>
      <c r="D837" s="5">
        <f>'02a_DC_Capacity_Alloc'!D837</f>
        <v/>
      </c>
      <c r="E837" s="5">
        <f>'02a_DC_Capacity_Alloc'!E837</f>
        <v/>
      </c>
      <c r="F837" s="5">
        <f>'02a_DC_Capacity_Alloc'!F837</f>
        <v/>
      </c>
      <c r="G837" s="5">
        <f>B837&amp;"|"&amp;E837&amp;"|"&amp;D837</f>
        <v/>
      </c>
      <c r="H837" s="28">
        <f>'02a_DC_Capacity_Alloc'!H837*'02a_DC_Capacity_Alloc'!I837*'02a_DC_Capacity_Alloc'!J837</f>
        <v/>
      </c>
      <c r="I837" s="6">
        <f>IFERROR(INDEX('02b_DC_Accelerator_Mix'!$F$2:$F$977,MATCH(G837,'02b_DC_Accelerator_Mix'!$A$2:$A$977,0)),0)</f>
        <v/>
      </c>
      <c r="J837" s="6">
        <f>IFERROR(INDEX('02b_DC_Accelerator_Mix'!$G$2:$G$977,MATCH(G837,'02b_DC_Accelerator_Mix'!$A$2:$A$977,0)),0)</f>
        <v/>
      </c>
      <c r="K837" s="6">
        <f>IFERROR(INDEX('02b_DC_Accelerator_Mix'!$H$2:$H$977,MATCH(G837,'02b_DC_Accelerator_Mix'!$A$2:$A$977,0)),0)</f>
        <v/>
      </c>
      <c r="L837" s="6">
        <f>IFERROR(INDEX('02b_DC_Accelerator_Mix'!$I$2:$I$977,MATCH(G837,'02b_DC_Accelerator_Mix'!$A$2:$A$977,0)),0)</f>
        <v/>
      </c>
      <c r="M837" s="6">
        <f>IFERROR(INDEX('02b_DC_Accelerator_Mix'!$J$2:$J$977,MATCH(G837,'02b_DC_Accelerator_Mix'!$A$2:$A$977,0)),0)</f>
        <v/>
      </c>
      <c r="N837" s="6">
        <f>IFERROR(INDEX('02b_DC_Accelerator_Mix'!$K$2:$K$977,MATCH(G837,'02b_DC_Accelerator_Mix'!$A$2:$A$977,0)),0)</f>
        <v/>
      </c>
      <c r="O837" s="6">
        <f>IFERROR(INDEX('02b_DC_Accelerator_Mix'!$L$2:$L$977,MATCH(G837,'02b_DC_Accelerator_Mix'!$A$2:$A$977,0)),0)</f>
        <v/>
      </c>
      <c r="P837" s="6">
        <f>IFERROR(INDEX('02b_DC_Accelerator_Mix'!$M$2:$M$977,MATCH(G837,'02b_DC_Accelerator_Mix'!$A$2:$A$977,0)),0)</f>
        <v/>
      </c>
      <c r="Q837" s="6">
        <f>IFERROR(INDEX('02b_DC_Accelerator_Mix'!$N$2:$N$977,MATCH(G837,'02b_DC_Accelerator_Mix'!$A$2:$A$977,0)),0)</f>
        <v/>
      </c>
      <c r="R837" s="28">
        <f>H837*I837</f>
        <v/>
      </c>
      <c r="S837" s="28">
        <f>H837*J837</f>
        <v/>
      </c>
      <c r="T837" s="28">
        <f>H837*K837</f>
        <v/>
      </c>
      <c r="U837" s="28">
        <f>H837*L837</f>
        <v/>
      </c>
      <c r="V837" s="28">
        <f>H837*M837</f>
        <v/>
      </c>
      <c r="W837" s="28">
        <f>H837*N837</f>
        <v/>
      </c>
      <c r="X837" s="28">
        <f>H837*O837</f>
        <v/>
      </c>
      <c r="Y837" s="28">
        <f>H837*P837</f>
        <v/>
      </c>
      <c r="Z837" s="28">
        <f>H837*Q837</f>
        <v/>
      </c>
      <c r="AA837" s="28">
        <f>SUM(U837:Z837)</f>
        <v/>
      </c>
      <c r="AB837" s="5">
        <f>IF(COUNTIF('02b_DC_Accelerator_Mix'!$A$2:$A$977,G837)&gt;0,"matched","missing_mix")</f>
        <v/>
      </c>
    </row>
    <row r="838">
      <c r="A838" s="5">
        <f>'02a_DC_Capacity_Alloc'!A838</f>
        <v/>
      </c>
      <c r="B838" s="5">
        <f>'02a_DC_Capacity_Alloc'!B838</f>
        <v/>
      </c>
      <c r="C838" s="5">
        <f>'02a_DC_Capacity_Alloc'!C838</f>
        <v/>
      </c>
      <c r="D838" s="5">
        <f>'02a_DC_Capacity_Alloc'!D838</f>
        <v/>
      </c>
      <c r="E838" s="5">
        <f>'02a_DC_Capacity_Alloc'!E838</f>
        <v/>
      </c>
      <c r="F838" s="5">
        <f>'02a_DC_Capacity_Alloc'!F838</f>
        <v/>
      </c>
      <c r="G838" s="5">
        <f>B838&amp;"|"&amp;E838&amp;"|"&amp;D838</f>
        <v/>
      </c>
      <c r="H838" s="28">
        <f>'02a_DC_Capacity_Alloc'!H838*'02a_DC_Capacity_Alloc'!I838*'02a_DC_Capacity_Alloc'!J838</f>
        <v/>
      </c>
      <c r="I838" s="6">
        <f>IFERROR(INDEX('02b_DC_Accelerator_Mix'!$F$2:$F$977,MATCH(G838,'02b_DC_Accelerator_Mix'!$A$2:$A$977,0)),0)</f>
        <v/>
      </c>
      <c r="J838" s="6">
        <f>IFERROR(INDEX('02b_DC_Accelerator_Mix'!$G$2:$G$977,MATCH(G838,'02b_DC_Accelerator_Mix'!$A$2:$A$977,0)),0)</f>
        <v/>
      </c>
      <c r="K838" s="6">
        <f>IFERROR(INDEX('02b_DC_Accelerator_Mix'!$H$2:$H$977,MATCH(G838,'02b_DC_Accelerator_Mix'!$A$2:$A$977,0)),0)</f>
        <v/>
      </c>
      <c r="L838" s="6">
        <f>IFERROR(INDEX('02b_DC_Accelerator_Mix'!$I$2:$I$977,MATCH(G838,'02b_DC_Accelerator_Mix'!$A$2:$A$977,0)),0)</f>
        <v/>
      </c>
      <c r="M838" s="6">
        <f>IFERROR(INDEX('02b_DC_Accelerator_Mix'!$J$2:$J$977,MATCH(G838,'02b_DC_Accelerator_Mix'!$A$2:$A$977,0)),0)</f>
        <v/>
      </c>
      <c r="N838" s="6">
        <f>IFERROR(INDEX('02b_DC_Accelerator_Mix'!$K$2:$K$977,MATCH(G838,'02b_DC_Accelerator_Mix'!$A$2:$A$977,0)),0)</f>
        <v/>
      </c>
      <c r="O838" s="6">
        <f>IFERROR(INDEX('02b_DC_Accelerator_Mix'!$L$2:$L$977,MATCH(G838,'02b_DC_Accelerator_Mix'!$A$2:$A$977,0)),0)</f>
        <v/>
      </c>
      <c r="P838" s="6">
        <f>IFERROR(INDEX('02b_DC_Accelerator_Mix'!$M$2:$M$977,MATCH(G838,'02b_DC_Accelerator_Mix'!$A$2:$A$977,0)),0)</f>
        <v/>
      </c>
      <c r="Q838" s="6">
        <f>IFERROR(INDEX('02b_DC_Accelerator_Mix'!$N$2:$N$977,MATCH(G838,'02b_DC_Accelerator_Mix'!$A$2:$A$977,0)),0)</f>
        <v/>
      </c>
      <c r="R838" s="28">
        <f>H838*I838</f>
        <v/>
      </c>
      <c r="S838" s="28">
        <f>H838*J838</f>
        <v/>
      </c>
      <c r="T838" s="28">
        <f>H838*K838</f>
        <v/>
      </c>
      <c r="U838" s="28">
        <f>H838*L838</f>
        <v/>
      </c>
      <c r="V838" s="28">
        <f>H838*M838</f>
        <v/>
      </c>
      <c r="W838" s="28">
        <f>H838*N838</f>
        <v/>
      </c>
      <c r="X838" s="28">
        <f>H838*O838</f>
        <v/>
      </c>
      <c r="Y838" s="28">
        <f>H838*P838</f>
        <v/>
      </c>
      <c r="Z838" s="28">
        <f>H838*Q838</f>
        <v/>
      </c>
      <c r="AA838" s="28">
        <f>SUM(U838:Z838)</f>
        <v/>
      </c>
      <c r="AB838" s="5">
        <f>IF(COUNTIF('02b_DC_Accelerator_Mix'!$A$2:$A$977,G838)&gt;0,"matched","missing_mix")</f>
        <v/>
      </c>
    </row>
    <row r="839">
      <c r="A839" s="5">
        <f>'02a_DC_Capacity_Alloc'!A839</f>
        <v/>
      </c>
      <c r="B839" s="5">
        <f>'02a_DC_Capacity_Alloc'!B839</f>
        <v/>
      </c>
      <c r="C839" s="5">
        <f>'02a_DC_Capacity_Alloc'!C839</f>
        <v/>
      </c>
      <c r="D839" s="5">
        <f>'02a_DC_Capacity_Alloc'!D839</f>
        <v/>
      </c>
      <c r="E839" s="5">
        <f>'02a_DC_Capacity_Alloc'!E839</f>
        <v/>
      </c>
      <c r="F839" s="5">
        <f>'02a_DC_Capacity_Alloc'!F839</f>
        <v/>
      </c>
      <c r="G839" s="5">
        <f>B839&amp;"|"&amp;E839&amp;"|"&amp;D839</f>
        <v/>
      </c>
      <c r="H839" s="28">
        <f>'02a_DC_Capacity_Alloc'!H839*'02a_DC_Capacity_Alloc'!I839*'02a_DC_Capacity_Alloc'!J839</f>
        <v/>
      </c>
      <c r="I839" s="6">
        <f>IFERROR(INDEX('02b_DC_Accelerator_Mix'!$F$2:$F$977,MATCH(G839,'02b_DC_Accelerator_Mix'!$A$2:$A$977,0)),0)</f>
        <v/>
      </c>
      <c r="J839" s="6">
        <f>IFERROR(INDEX('02b_DC_Accelerator_Mix'!$G$2:$G$977,MATCH(G839,'02b_DC_Accelerator_Mix'!$A$2:$A$977,0)),0)</f>
        <v/>
      </c>
      <c r="K839" s="6">
        <f>IFERROR(INDEX('02b_DC_Accelerator_Mix'!$H$2:$H$977,MATCH(G839,'02b_DC_Accelerator_Mix'!$A$2:$A$977,0)),0)</f>
        <v/>
      </c>
      <c r="L839" s="6">
        <f>IFERROR(INDEX('02b_DC_Accelerator_Mix'!$I$2:$I$977,MATCH(G839,'02b_DC_Accelerator_Mix'!$A$2:$A$977,0)),0)</f>
        <v/>
      </c>
      <c r="M839" s="6">
        <f>IFERROR(INDEX('02b_DC_Accelerator_Mix'!$J$2:$J$977,MATCH(G839,'02b_DC_Accelerator_Mix'!$A$2:$A$977,0)),0)</f>
        <v/>
      </c>
      <c r="N839" s="6">
        <f>IFERROR(INDEX('02b_DC_Accelerator_Mix'!$K$2:$K$977,MATCH(G839,'02b_DC_Accelerator_Mix'!$A$2:$A$977,0)),0)</f>
        <v/>
      </c>
      <c r="O839" s="6">
        <f>IFERROR(INDEX('02b_DC_Accelerator_Mix'!$L$2:$L$977,MATCH(G839,'02b_DC_Accelerator_Mix'!$A$2:$A$977,0)),0)</f>
        <v/>
      </c>
      <c r="P839" s="6">
        <f>IFERROR(INDEX('02b_DC_Accelerator_Mix'!$M$2:$M$977,MATCH(G839,'02b_DC_Accelerator_Mix'!$A$2:$A$977,0)),0)</f>
        <v/>
      </c>
      <c r="Q839" s="6">
        <f>IFERROR(INDEX('02b_DC_Accelerator_Mix'!$N$2:$N$977,MATCH(G839,'02b_DC_Accelerator_Mix'!$A$2:$A$977,0)),0)</f>
        <v/>
      </c>
      <c r="R839" s="28">
        <f>H839*I839</f>
        <v/>
      </c>
      <c r="S839" s="28">
        <f>H839*J839</f>
        <v/>
      </c>
      <c r="T839" s="28">
        <f>H839*K839</f>
        <v/>
      </c>
      <c r="U839" s="28">
        <f>H839*L839</f>
        <v/>
      </c>
      <c r="V839" s="28">
        <f>H839*M839</f>
        <v/>
      </c>
      <c r="W839" s="28">
        <f>H839*N839</f>
        <v/>
      </c>
      <c r="X839" s="28">
        <f>H839*O839</f>
        <v/>
      </c>
      <c r="Y839" s="28">
        <f>H839*P839</f>
        <v/>
      </c>
      <c r="Z839" s="28">
        <f>H839*Q839</f>
        <v/>
      </c>
      <c r="AA839" s="28">
        <f>SUM(U839:Z839)</f>
        <v/>
      </c>
      <c r="AB839" s="5">
        <f>IF(COUNTIF('02b_DC_Accelerator_Mix'!$A$2:$A$977,G839)&gt;0,"matched","missing_mix")</f>
        <v/>
      </c>
    </row>
    <row r="840">
      <c r="A840" s="5">
        <f>'02a_DC_Capacity_Alloc'!A840</f>
        <v/>
      </c>
      <c r="B840" s="5">
        <f>'02a_DC_Capacity_Alloc'!B840</f>
        <v/>
      </c>
      <c r="C840" s="5">
        <f>'02a_DC_Capacity_Alloc'!C840</f>
        <v/>
      </c>
      <c r="D840" s="5">
        <f>'02a_DC_Capacity_Alloc'!D840</f>
        <v/>
      </c>
      <c r="E840" s="5">
        <f>'02a_DC_Capacity_Alloc'!E840</f>
        <v/>
      </c>
      <c r="F840" s="5">
        <f>'02a_DC_Capacity_Alloc'!F840</f>
        <v/>
      </c>
      <c r="G840" s="5">
        <f>B840&amp;"|"&amp;E840&amp;"|"&amp;D840</f>
        <v/>
      </c>
      <c r="H840" s="28">
        <f>'02a_DC_Capacity_Alloc'!H840*'02a_DC_Capacity_Alloc'!I840*'02a_DC_Capacity_Alloc'!J840</f>
        <v/>
      </c>
      <c r="I840" s="6">
        <f>IFERROR(INDEX('02b_DC_Accelerator_Mix'!$F$2:$F$977,MATCH(G840,'02b_DC_Accelerator_Mix'!$A$2:$A$977,0)),0)</f>
        <v/>
      </c>
      <c r="J840" s="6">
        <f>IFERROR(INDEX('02b_DC_Accelerator_Mix'!$G$2:$G$977,MATCH(G840,'02b_DC_Accelerator_Mix'!$A$2:$A$977,0)),0)</f>
        <v/>
      </c>
      <c r="K840" s="6">
        <f>IFERROR(INDEX('02b_DC_Accelerator_Mix'!$H$2:$H$977,MATCH(G840,'02b_DC_Accelerator_Mix'!$A$2:$A$977,0)),0)</f>
        <v/>
      </c>
      <c r="L840" s="6">
        <f>IFERROR(INDEX('02b_DC_Accelerator_Mix'!$I$2:$I$977,MATCH(G840,'02b_DC_Accelerator_Mix'!$A$2:$A$977,0)),0)</f>
        <v/>
      </c>
      <c r="M840" s="6">
        <f>IFERROR(INDEX('02b_DC_Accelerator_Mix'!$J$2:$J$977,MATCH(G840,'02b_DC_Accelerator_Mix'!$A$2:$A$977,0)),0)</f>
        <v/>
      </c>
      <c r="N840" s="6">
        <f>IFERROR(INDEX('02b_DC_Accelerator_Mix'!$K$2:$K$977,MATCH(G840,'02b_DC_Accelerator_Mix'!$A$2:$A$977,0)),0)</f>
        <v/>
      </c>
      <c r="O840" s="6">
        <f>IFERROR(INDEX('02b_DC_Accelerator_Mix'!$L$2:$L$977,MATCH(G840,'02b_DC_Accelerator_Mix'!$A$2:$A$977,0)),0)</f>
        <v/>
      </c>
      <c r="P840" s="6">
        <f>IFERROR(INDEX('02b_DC_Accelerator_Mix'!$M$2:$M$977,MATCH(G840,'02b_DC_Accelerator_Mix'!$A$2:$A$977,0)),0)</f>
        <v/>
      </c>
      <c r="Q840" s="6">
        <f>IFERROR(INDEX('02b_DC_Accelerator_Mix'!$N$2:$N$977,MATCH(G840,'02b_DC_Accelerator_Mix'!$A$2:$A$977,0)),0)</f>
        <v/>
      </c>
      <c r="R840" s="28">
        <f>H840*I840</f>
        <v/>
      </c>
      <c r="S840" s="28">
        <f>H840*J840</f>
        <v/>
      </c>
      <c r="T840" s="28">
        <f>H840*K840</f>
        <v/>
      </c>
      <c r="U840" s="28">
        <f>H840*L840</f>
        <v/>
      </c>
      <c r="V840" s="28">
        <f>H840*M840</f>
        <v/>
      </c>
      <c r="W840" s="28">
        <f>H840*N840</f>
        <v/>
      </c>
      <c r="X840" s="28">
        <f>H840*O840</f>
        <v/>
      </c>
      <c r="Y840" s="28">
        <f>H840*P840</f>
        <v/>
      </c>
      <c r="Z840" s="28">
        <f>H840*Q840</f>
        <v/>
      </c>
      <c r="AA840" s="28">
        <f>SUM(U840:Z840)</f>
        <v/>
      </c>
      <c r="AB840" s="5">
        <f>IF(COUNTIF('02b_DC_Accelerator_Mix'!$A$2:$A$977,G840)&gt;0,"matched","missing_mix")</f>
        <v/>
      </c>
    </row>
    <row r="841">
      <c r="A841" s="5">
        <f>'02a_DC_Capacity_Alloc'!A841</f>
        <v/>
      </c>
      <c r="B841" s="5">
        <f>'02a_DC_Capacity_Alloc'!B841</f>
        <v/>
      </c>
      <c r="C841" s="5">
        <f>'02a_DC_Capacity_Alloc'!C841</f>
        <v/>
      </c>
      <c r="D841" s="5">
        <f>'02a_DC_Capacity_Alloc'!D841</f>
        <v/>
      </c>
      <c r="E841" s="5">
        <f>'02a_DC_Capacity_Alloc'!E841</f>
        <v/>
      </c>
      <c r="F841" s="5">
        <f>'02a_DC_Capacity_Alloc'!F841</f>
        <v/>
      </c>
      <c r="G841" s="5">
        <f>B841&amp;"|"&amp;E841&amp;"|"&amp;D841</f>
        <v/>
      </c>
      <c r="H841" s="28">
        <f>'02a_DC_Capacity_Alloc'!H841*'02a_DC_Capacity_Alloc'!I841*'02a_DC_Capacity_Alloc'!J841</f>
        <v/>
      </c>
      <c r="I841" s="6">
        <f>IFERROR(INDEX('02b_DC_Accelerator_Mix'!$F$2:$F$977,MATCH(G841,'02b_DC_Accelerator_Mix'!$A$2:$A$977,0)),0)</f>
        <v/>
      </c>
      <c r="J841" s="6">
        <f>IFERROR(INDEX('02b_DC_Accelerator_Mix'!$G$2:$G$977,MATCH(G841,'02b_DC_Accelerator_Mix'!$A$2:$A$977,0)),0)</f>
        <v/>
      </c>
      <c r="K841" s="6">
        <f>IFERROR(INDEX('02b_DC_Accelerator_Mix'!$H$2:$H$977,MATCH(G841,'02b_DC_Accelerator_Mix'!$A$2:$A$977,0)),0)</f>
        <v/>
      </c>
      <c r="L841" s="6">
        <f>IFERROR(INDEX('02b_DC_Accelerator_Mix'!$I$2:$I$977,MATCH(G841,'02b_DC_Accelerator_Mix'!$A$2:$A$977,0)),0)</f>
        <v/>
      </c>
      <c r="M841" s="6">
        <f>IFERROR(INDEX('02b_DC_Accelerator_Mix'!$J$2:$J$977,MATCH(G841,'02b_DC_Accelerator_Mix'!$A$2:$A$977,0)),0)</f>
        <v/>
      </c>
      <c r="N841" s="6">
        <f>IFERROR(INDEX('02b_DC_Accelerator_Mix'!$K$2:$K$977,MATCH(G841,'02b_DC_Accelerator_Mix'!$A$2:$A$977,0)),0)</f>
        <v/>
      </c>
      <c r="O841" s="6">
        <f>IFERROR(INDEX('02b_DC_Accelerator_Mix'!$L$2:$L$977,MATCH(G841,'02b_DC_Accelerator_Mix'!$A$2:$A$977,0)),0)</f>
        <v/>
      </c>
      <c r="P841" s="6">
        <f>IFERROR(INDEX('02b_DC_Accelerator_Mix'!$M$2:$M$977,MATCH(G841,'02b_DC_Accelerator_Mix'!$A$2:$A$977,0)),0)</f>
        <v/>
      </c>
      <c r="Q841" s="6">
        <f>IFERROR(INDEX('02b_DC_Accelerator_Mix'!$N$2:$N$977,MATCH(G841,'02b_DC_Accelerator_Mix'!$A$2:$A$977,0)),0)</f>
        <v/>
      </c>
      <c r="R841" s="28">
        <f>H841*I841</f>
        <v/>
      </c>
      <c r="S841" s="28">
        <f>H841*J841</f>
        <v/>
      </c>
      <c r="T841" s="28">
        <f>H841*K841</f>
        <v/>
      </c>
      <c r="U841" s="28">
        <f>H841*L841</f>
        <v/>
      </c>
      <c r="V841" s="28">
        <f>H841*M841</f>
        <v/>
      </c>
      <c r="W841" s="28">
        <f>H841*N841</f>
        <v/>
      </c>
      <c r="X841" s="28">
        <f>H841*O841</f>
        <v/>
      </c>
      <c r="Y841" s="28">
        <f>H841*P841</f>
        <v/>
      </c>
      <c r="Z841" s="28">
        <f>H841*Q841</f>
        <v/>
      </c>
      <c r="AA841" s="28">
        <f>SUM(U841:Z841)</f>
        <v/>
      </c>
      <c r="AB841" s="5">
        <f>IF(COUNTIF('02b_DC_Accelerator_Mix'!$A$2:$A$977,G841)&gt;0,"matched","missing_mix")</f>
        <v/>
      </c>
    </row>
    <row r="842">
      <c r="A842" s="5">
        <f>'02a_DC_Capacity_Alloc'!A842</f>
        <v/>
      </c>
      <c r="B842" s="5">
        <f>'02a_DC_Capacity_Alloc'!B842</f>
        <v/>
      </c>
      <c r="C842" s="5">
        <f>'02a_DC_Capacity_Alloc'!C842</f>
        <v/>
      </c>
      <c r="D842" s="5">
        <f>'02a_DC_Capacity_Alloc'!D842</f>
        <v/>
      </c>
      <c r="E842" s="5">
        <f>'02a_DC_Capacity_Alloc'!E842</f>
        <v/>
      </c>
      <c r="F842" s="5">
        <f>'02a_DC_Capacity_Alloc'!F842</f>
        <v/>
      </c>
      <c r="G842" s="5">
        <f>B842&amp;"|"&amp;E842&amp;"|"&amp;D842</f>
        <v/>
      </c>
      <c r="H842" s="28">
        <f>'02a_DC_Capacity_Alloc'!H842*'02a_DC_Capacity_Alloc'!I842*'02a_DC_Capacity_Alloc'!J842</f>
        <v/>
      </c>
      <c r="I842" s="6">
        <f>IFERROR(INDEX('02b_DC_Accelerator_Mix'!$F$2:$F$977,MATCH(G842,'02b_DC_Accelerator_Mix'!$A$2:$A$977,0)),0)</f>
        <v/>
      </c>
      <c r="J842" s="6">
        <f>IFERROR(INDEX('02b_DC_Accelerator_Mix'!$G$2:$G$977,MATCH(G842,'02b_DC_Accelerator_Mix'!$A$2:$A$977,0)),0)</f>
        <v/>
      </c>
      <c r="K842" s="6">
        <f>IFERROR(INDEX('02b_DC_Accelerator_Mix'!$H$2:$H$977,MATCH(G842,'02b_DC_Accelerator_Mix'!$A$2:$A$977,0)),0)</f>
        <v/>
      </c>
      <c r="L842" s="6">
        <f>IFERROR(INDEX('02b_DC_Accelerator_Mix'!$I$2:$I$977,MATCH(G842,'02b_DC_Accelerator_Mix'!$A$2:$A$977,0)),0)</f>
        <v/>
      </c>
      <c r="M842" s="6">
        <f>IFERROR(INDEX('02b_DC_Accelerator_Mix'!$J$2:$J$977,MATCH(G842,'02b_DC_Accelerator_Mix'!$A$2:$A$977,0)),0)</f>
        <v/>
      </c>
      <c r="N842" s="6">
        <f>IFERROR(INDEX('02b_DC_Accelerator_Mix'!$K$2:$K$977,MATCH(G842,'02b_DC_Accelerator_Mix'!$A$2:$A$977,0)),0)</f>
        <v/>
      </c>
      <c r="O842" s="6">
        <f>IFERROR(INDEX('02b_DC_Accelerator_Mix'!$L$2:$L$977,MATCH(G842,'02b_DC_Accelerator_Mix'!$A$2:$A$977,0)),0)</f>
        <v/>
      </c>
      <c r="P842" s="6">
        <f>IFERROR(INDEX('02b_DC_Accelerator_Mix'!$M$2:$M$977,MATCH(G842,'02b_DC_Accelerator_Mix'!$A$2:$A$977,0)),0)</f>
        <v/>
      </c>
      <c r="Q842" s="6">
        <f>IFERROR(INDEX('02b_DC_Accelerator_Mix'!$N$2:$N$977,MATCH(G842,'02b_DC_Accelerator_Mix'!$A$2:$A$977,0)),0)</f>
        <v/>
      </c>
      <c r="R842" s="28">
        <f>H842*I842</f>
        <v/>
      </c>
      <c r="S842" s="28">
        <f>H842*J842</f>
        <v/>
      </c>
      <c r="T842" s="28">
        <f>H842*K842</f>
        <v/>
      </c>
      <c r="U842" s="28">
        <f>H842*L842</f>
        <v/>
      </c>
      <c r="V842" s="28">
        <f>H842*M842</f>
        <v/>
      </c>
      <c r="W842" s="28">
        <f>H842*N842</f>
        <v/>
      </c>
      <c r="X842" s="28">
        <f>H842*O842</f>
        <v/>
      </c>
      <c r="Y842" s="28">
        <f>H842*P842</f>
        <v/>
      </c>
      <c r="Z842" s="28">
        <f>H842*Q842</f>
        <v/>
      </c>
      <c r="AA842" s="28">
        <f>SUM(U842:Z842)</f>
        <v/>
      </c>
      <c r="AB842" s="5">
        <f>IF(COUNTIF('02b_DC_Accelerator_Mix'!$A$2:$A$977,G842)&gt;0,"matched","missing_mix")</f>
        <v/>
      </c>
    </row>
    <row r="843">
      <c r="A843" s="5">
        <f>'02a_DC_Capacity_Alloc'!A843</f>
        <v/>
      </c>
      <c r="B843" s="5">
        <f>'02a_DC_Capacity_Alloc'!B843</f>
        <v/>
      </c>
      <c r="C843" s="5">
        <f>'02a_DC_Capacity_Alloc'!C843</f>
        <v/>
      </c>
      <c r="D843" s="5">
        <f>'02a_DC_Capacity_Alloc'!D843</f>
        <v/>
      </c>
      <c r="E843" s="5">
        <f>'02a_DC_Capacity_Alloc'!E843</f>
        <v/>
      </c>
      <c r="F843" s="5">
        <f>'02a_DC_Capacity_Alloc'!F843</f>
        <v/>
      </c>
      <c r="G843" s="5">
        <f>B843&amp;"|"&amp;E843&amp;"|"&amp;D843</f>
        <v/>
      </c>
      <c r="H843" s="28">
        <f>'02a_DC_Capacity_Alloc'!H843*'02a_DC_Capacity_Alloc'!I843*'02a_DC_Capacity_Alloc'!J843</f>
        <v/>
      </c>
      <c r="I843" s="6">
        <f>IFERROR(INDEX('02b_DC_Accelerator_Mix'!$F$2:$F$977,MATCH(G843,'02b_DC_Accelerator_Mix'!$A$2:$A$977,0)),0)</f>
        <v/>
      </c>
      <c r="J843" s="6">
        <f>IFERROR(INDEX('02b_DC_Accelerator_Mix'!$G$2:$G$977,MATCH(G843,'02b_DC_Accelerator_Mix'!$A$2:$A$977,0)),0)</f>
        <v/>
      </c>
      <c r="K843" s="6">
        <f>IFERROR(INDEX('02b_DC_Accelerator_Mix'!$H$2:$H$977,MATCH(G843,'02b_DC_Accelerator_Mix'!$A$2:$A$977,0)),0)</f>
        <v/>
      </c>
      <c r="L843" s="6">
        <f>IFERROR(INDEX('02b_DC_Accelerator_Mix'!$I$2:$I$977,MATCH(G843,'02b_DC_Accelerator_Mix'!$A$2:$A$977,0)),0)</f>
        <v/>
      </c>
      <c r="M843" s="6">
        <f>IFERROR(INDEX('02b_DC_Accelerator_Mix'!$J$2:$J$977,MATCH(G843,'02b_DC_Accelerator_Mix'!$A$2:$A$977,0)),0)</f>
        <v/>
      </c>
      <c r="N843" s="6">
        <f>IFERROR(INDEX('02b_DC_Accelerator_Mix'!$K$2:$K$977,MATCH(G843,'02b_DC_Accelerator_Mix'!$A$2:$A$977,0)),0)</f>
        <v/>
      </c>
      <c r="O843" s="6">
        <f>IFERROR(INDEX('02b_DC_Accelerator_Mix'!$L$2:$L$977,MATCH(G843,'02b_DC_Accelerator_Mix'!$A$2:$A$977,0)),0)</f>
        <v/>
      </c>
      <c r="P843" s="6">
        <f>IFERROR(INDEX('02b_DC_Accelerator_Mix'!$M$2:$M$977,MATCH(G843,'02b_DC_Accelerator_Mix'!$A$2:$A$977,0)),0)</f>
        <v/>
      </c>
      <c r="Q843" s="6">
        <f>IFERROR(INDEX('02b_DC_Accelerator_Mix'!$N$2:$N$977,MATCH(G843,'02b_DC_Accelerator_Mix'!$A$2:$A$977,0)),0)</f>
        <v/>
      </c>
      <c r="R843" s="28">
        <f>H843*I843</f>
        <v/>
      </c>
      <c r="S843" s="28">
        <f>H843*J843</f>
        <v/>
      </c>
      <c r="T843" s="28">
        <f>H843*K843</f>
        <v/>
      </c>
      <c r="U843" s="28">
        <f>H843*L843</f>
        <v/>
      </c>
      <c r="V843" s="28">
        <f>H843*M843</f>
        <v/>
      </c>
      <c r="W843" s="28">
        <f>H843*N843</f>
        <v/>
      </c>
      <c r="X843" s="28">
        <f>H843*O843</f>
        <v/>
      </c>
      <c r="Y843" s="28">
        <f>H843*P843</f>
        <v/>
      </c>
      <c r="Z843" s="28">
        <f>H843*Q843</f>
        <v/>
      </c>
      <c r="AA843" s="28">
        <f>SUM(U843:Z843)</f>
        <v/>
      </c>
      <c r="AB843" s="5">
        <f>IF(COUNTIF('02b_DC_Accelerator_Mix'!$A$2:$A$977,G843)&gt;0,"matched","missing_mix")</f>
        <v/>
      </c>
    </row>
    <row r="844">
      <c r="A844" s="5">
        <f>'02a_DC_Capacity_Alloc'!A844</f>
        <v/>
      </c>
      <c r="B844" s="5">
        <f>'02a_DC_Capacity_Alloc'!B844</f>
        <v/>
      </c>
      <c r="C844" s="5">
        <f>'02a_DC_Capacity_Alloc'!C844</f>
        <v/>
      </c>
      <c r="D844" s="5">
        <f>'02a_DC_Capacity_Alloc'!D844</f>
        <v/>
      </c>
      <c r="E844" s="5">
        <f>'02a_DC_Capacity_Alloc'!E844</f>
        <v/>
      </c>
      <c r="F844" s="5">
        <f>'02a_DC_Capacity_Alloc'!F844</f>
        <v/>
      </c>
      <c r="G844" s="5">
        <f>B844&amp;"|"&amp;E844&amp;"|"&amp;D844</f>
        <v/>
      </c>
      <c r="H844" s="28">
        <f>'02a_DC_Capacity_Alloc'!H844*'02a_DC_Capacity_Alloc'!I844*'02a_DC_Capacity_Alloc'!J844</f>
        <v/>
      </c>
      <c r="I844" s="6">
        <f>IFERROR(INDEX('02b_DC_Accelerator_Mix'!$F$2:$F$977,MATCH(G844,'02b_DC_Accelerator_Mix'!$A$2:$A$977,0)),0)</f>
        <v/>
      </c>
      <c r="J844" s="6">
        <f>IFERROR(INDEX('02b_DC_Accelerator_Mix'!$G$2:$G$977,MATCH(G844,'02b_DC_Accelerator_Mix'!$A$2:$A$977,0)),0)</f>
        <v/>
      </c>
      <c r="K844" s="6">
        <f>IFERROR(INDEX('02b_DC_Accelerator_Mix'!$H$2:$H$977,MATCH(G844,'02b_DC_Accelerator_Mix'!$A$2:$A$977,0)),0)</f>
        <v/>
      </c>
      <c r="L844" s="6">
        <f>IFERROR(INDEX('02b_DC_Accelerator_Mix'!$I$2:$I$977,MATCH(G844,'02b_DC_Accelerator_Mix'!$A$2:$A$977,0)),0)</f>
        <v/>
      </c>
      <c r="M844" s="6">
        <f>IFERROR(INDEX('02b_DC_Accelerator_Mix'!$J$2:$J$977,MATCH(G844,'02b_DC_Accelerator_Mix'!$A$2:$A$977,0)),0)</f>
        <v/>
      </c>
      <c r="N844" s="6">
        <f>IFERROR(INDEX('02b_DC_Accelerator_Mix'!$K$2:$K$977,MATCH(G844,'02b_DC_Accelerator_Mix'!$A$2:$A$977,0)),0)</f>
        <v/>
      </c>
      <c r="O844" s="6">
        <f>IFERROR(INDEX('02b_DC_Accelerator_Mix'!$L$2:$L$977,MATCH(G844,'02b_DC_Accelerator_Mix'!$A$2:$A$977,0)),0)</f>
        <v/>
      </c>
      <c r="P844" s="6">
        <f>IFERROR(INDEX('02b_DC_Accelerator_Mix'!$M$2:$M$977,MATCH(G844,'02b_DC_Accelerator_Mix'!$A$2:$A$977,0)),0)</f>
        <v/>
      </c>
      <c r="Q844" s="6">
        <f>IFERROR(INDEX('02b_DC_Accelerator_Mix'!$N$2:$N$977,MATCH(G844,'02b_DC_Accelerator_Mix'!$A$2:$A$977,0)),0)</f>
        <v/>
      </c>
      <c r="R844" s="28">
        <f>H844*I844</f>
        <v/>
      </c>
      <c r="S844" s="28">
        <f>H844*J844</f>
        <v/>
      </c>
      <c r="T844" s="28">
        <f>H844*K844</f>
        <v/>
      </c>
      <c r="U844" s="28">
        <f>H844*L844</f>
        <v/>
      </c>
      <c r="V844" s="28">
        <f>H844*M844</f>
        <v/>
      </c>
      <c r="W844" s="28">
        <f>H844*N844</f>
        <v/>
      </c>
      <c r="X844" s="28">
        <f>H844*O844</f>
        <v/>
      </c>
      <c r="Y844" s="28">
        <f>H844*P844</f>
        <v/>
      </c>
      <c r="Z844" s="28">
        <f>H844*Q844</f>
        <v/>
      </c>
      <c r="AA844" s="28">
        <f>SUM(U844:Z844)</f>
        <v/>
      </c>
      <c r="AB844" s="5">
        <f>IF(COUNTIF('02b_DC_Accelerator_Mix'!$A$2:$A$977,G844)&gt;0,"matched","missing_mix")</f>
        <v/>
      </c>
    </row>
    <row r="845">
      <c r="A845" s="5">
        <f>'02a_DC_Capacity_Alloc'!A845</f>
        <v/>
      </c>
      <c r="B845" s="5">
        <f>'02a_DC_Capacity_Alloc'!B845</f>
        <v/>
      </c>
      <c r="C845" s="5">
        <f>'02a_DC_Capacity_Alloc'!C845</f>
        <v/>
      </c>
      <c r="D845" s="5">
        <f>'02a_DC_Capacity_Alloc'!D845</f>
        <v/>
      </c>
      <c r="E845" s="5">
        <f>'02a_DC_Capacity_Alloc'!E845</f>
        <v/>
      </c>
      <c r="F845" s="5">
        <f>'02a_DC_Capacity_Alloc'!F845</f>
        <v/>
      </c>
      <c r="G845" s="5">
        <f>B845&amp;"|"&amp;E845&amp;"|"&amp;D845</f>
        <v/>
      </c>
      <c r="H845" s="28">
        <f>'02a_DC_Capacity_Alloc'!H845*'02a_DC_Capacity_Alloc'!I845*'02a_DC_Capacity_Alloc'!J845</f>
        <v/>
      </c>
      <c r="I845" s="6">
        <f>IFERROR(INDEX('02b_DC_Accelerator_Mix'!$F$2:$F$977,MATCH(G845,'02b_DC_Accelerator_Mix'!$A$2:$A$977,0)),0)</f>
        <v/>
      </c>
      <c r="J845" s="6">
        <f>IFERROR(INDEX('02b_DC_Accelerator_Mix'!$G$2:$G$977,MATCH(G845,'02b_DC_Accelerator_Mix'!$A$2:$A$977,0)),0)</f>
        <v/>
      </c>
      <c r="K845" s="6">
        <f>IFERROR(INDEX('02b_DC_Accelerator_Mix'!$H$2:$H$977,MATCH(G845,'02b_DC_Accelerator_Mix'!$A$2:$A$977,0)),0)</f>
        <v/>
      </c>
      <c r="L845" s="6">
        <f>IFERROR(INDEX('02b_DC_Accelerator_Mix'!$I$2:$I$977,MATCH(G845,'02b_DC_Accelerator_Mix'!$A$2:$A$977,0)),0)</f>
        <v/>
      </c>
      <c r="M845" s="6">
        <f>IFERROR(INDEX('02b_DC_Accelerator_Mix'!$J$2:$J$977,MATCH(G845,'02b_DC_Accelerator_Mix'!$A$2:$A$977,0)),0)</f>
        <v/>
      </c>
      <c r="N845" s="6">
        <f>IFERROR(INDEX('02b_DC_Accelerator_Mix'!$K$2:$K$977,MATCH(G845,'02b_DC_Accelerator_Mix'!$A$2:$A$977,0)),0)</f>
        <v/>
      </c>
      <c r="O845" s="6">
        <f>IFERROR(INDEX('02b_DC_Accelerator_Mix'!$L$2:$L$977,MATCH(G845,'02b_DC_Accelerator_Mix'!$A$2:$A$977,0)),0)</f>
        <v/>
      </c>
      <c r="P845" s="6">
        <f>IFERROR(INDEX('02b_DC_Accelerator_Mix'!$M$2:$M$977,MATCH(G845,'02b_DC_Accelerator_Mix'!$A$2:$A$977,0)),0)</f>
        <v/>
      </c>
      <c r="Q845" s="6">
        <f>IFERROR(INDEX('02b_DC_Accelerator_Mix'!$N$2:$N$977,MATCH(G845,'02b_DC_Accelerator_Mix'!$A$2:$A$977,0)),0)</f>
        <v/>
      </c>
      <c r="R845" s="28">
        <f>H845*I845</f>
        <v/>
      </c>
      <c r="S845" s="28">
        <f>H845*J845</f>
        <v/>
      </c>
      <c r="T845" s="28">
        <f>H845*K845</f>
        <v/>
      </c>
      <c r="U845" s="28">
        <f>H845*L845</f>
        <v/>
      </c>
      <c r="V845" s="28">
        <f>H845*M845</f>
        <v/>
      </c>
      <c r="W845" s="28">
        <f>H845*N845</f>
        <v/>
      </c>
      <c r="X845" s="28">
        <f>H845*O845</f>
        <v/>
      </c>
      <c r="Y845" s="28">
        <f>H845*P845</f>
        <v/>
      </c>
      <c r="Z845" s="28">
        <f>H845*Q845</f>
        <v/>
      </c>
      <c r="AA845" s="28">
        <f>SUM(U845:Z845)</f>
        <v/>
      </c>
      <c r="AB845" s="5">
        <f>IF(COUNTIF('02b_DC_Accelerator_Mix'!$A$2:$A$977,G845)&gt;0,"matched","missing_mix")</f>
        <v/>
      </c>
    </row>
    <row r="846">
      <c r="A846" s="5">
        <f>'02a_DC_Capacity_Alloc'!A846</f>
        <v/>
      </c>
      <c r="B846" s="5">
        <f>'02a_DC_Capacity_Alloc'!B846</f>
        <v/>
      </c>
      <c r="C846" s="5">
        <f>'02a_DC_Capacity_Alloc'!C846</f>
        <v/>
      </c>
      <c r="D846" s="5">
        <f>'02a_DC_Capacity_Alloc'!D846</f>
        <v/>
      </c>
      <c r="E846" s="5">
        <f>'02a_DC_Capacity_Alloc'!E846</f>
        <v/>
      </c>
      <c r="F846" s="5">
        <f>'02a_DC_Capacity_Alloc'!F846</f>
        <v/>
      </c>
      <c r="G846" s="5">
        <f>B846&amp;"|"&amp;E846&amp;"|"&amp;D846</f>
        <v/>
      </c>
      <c r="H846" s="28">
        <f>'02a_DC_Capacity_Alloc'!H846*'02a_DC_Capacity_Alloc'!I846*'02a_DC_Capacity_Alloc'!J846</f>
        <v/>
      </c>
      <c r="I846" s="6">
        <f>IFERROR(INDEX('02b_DC_Accelerator_Mix'!$F$2:$F$977,MATCH(G846,'02b_DC_Accelerator_Mix'!$A$2:$A$977,0)),0)</f>
        <v/>
      </c>
      <c r="J846" s="6">
        <f>IFERROR(INDEX('02b_DC_Accelerator_Mix'!$G$2:$G$977,MATCH(G846,'02b_DC_Accelerator_Mix'!$A$2:$A$977,0)),0)</f>
        <v/>
      </c>
      <c r="K846" s="6">
        <f>IFERROR(INDEX('02b_DC_Accelerator_Mix'!$H$2:$H$977,MATCH(G846,'02b_DC_Accelerator_Mix'!$A$2:$A$977,0)),0)</f>
        <v/>
      </c>
      <c r="L846" s="6">
        <f>IFERROR(INDEX('02b_DC_Accelerator_Mix'!$I$2:$I$977,MATCH(G846,'02b_DC_Accelerator_Mix'!$A$2:$A$977,0)),0)</f>
        <v/>
      </c>
      <c r="M846" s="6">
        <f>IFERROR(INDEX('02b_DC_Accelerator_Mix'!$J$2:$J$977,MATCH(G846,'02b_DC_Accelerator_Mix'!$A$2:$A$977,0)),0)</f>
        <v/>
      </c>
      <c r="N846" s="6">
        <f>IFERROR(INDEX('02b_DC_Accelerator_Mix'!$K$2:$K$977,MATCH(G846,'02b_DC_Accelerator_Mix'!$A$2:$A$977,0)),0)</f>
        <v/>
      </c>
      <c r="O846" s="6">
        <f>IFERROR(INDEX('02b_DC_Accelerator_Mix'!$L$2:$L$977,MATCH(G846,'02b_DC_Accelerator_Mix'!$A$2:$A$977,0)),0)</f>
        <v/>
      </c>
      <c r="P846" s="6">
        <f>IFERROR(INDEX('02b_DC_Accelerator_Mix'!$M$2:$M$977,MATCH(G846,'02b_DC_Accelerator_Mix'!$A$2:$A$977,0)),0)</f>
        <v/>
      </c>
      <c r="Q846" s="6">
        <f>IFERROR(INDEX('02b_DC_Accelerator_Mix'!$N$2:$N$977,MATCH(G846,'02b_DC_Accelerator_Mix'!$A$2:$A$977,0)),0)</f>
        <v/>
      </c>
      <c r="R846" s="28">
        <f>H846*I846</f>
        <v/>
      </c>
      <c r="S846" s="28">
        <f>H846*J846</f>
        <v/>
      </c>
      <c r="T846" s="28">
        <f>H846*K846</f>
        <v/>
      </c>
      <c r="U846" s="28">
        <f>H846*L846</f>
        <v/>
      </c>
      <c r="V846" s="28">
        <f>H846*M846</f>
        <v/>
      </c>
      <c r="W846" s="28">
        <f>H846*N846</f>
        <v/>
      </c>
      <c r="X846" s="28">
        <f>H846*O846</f>
        <v/>
      </c>
      <c r="Y846" s="28">
        <f>H846*P846</f>
        <v/>
      </c>
      <c r="Z846" s="28">
        <f>H846*Q846</f>
        <v/>
      </c>
      <c r="AA846" s="28">
        <f>SUM(U846:Z846)</f>
        <v/>
      </c>
      <c r="AB846" s="5">
        <f>IF(COUNTIF('02b_DC_Accelerator_Mix'!$A$2:$A$977,G846)&gt;0,"matched","missing_mix")</f>
        <v/>
      </c>
    </row>
    <row r="847">
      <c r="A847" s="5">
        <f>'02a_DC_Capacity_Alloc'!A847</f>
        <v/>
      </c>
      <c r="B847" s="5">
        <f>'02a_DC_Capacity_Alloc'!B847</f>
        <v/>
      </c>
      <c r="C847" s="5">
        <f>'02a_DC_Capacity_Alloc'!C847</f>
        <v/>
      </c>
      <c r="D847" s="5">
        <f>'02a_DC_Capacity_Alloc'!D847</f>
        <v/>
      </c>
      <c r="E847" s="5">
        <f>'02a_DC_Capacity_Alloc'!E847</f>
        <v/>
      </c>
      <c r="F847" s="5">
        <f>'02a_DC_Capacity_Alloc'!F847</f>
        <v/>
      </c>
      <c r="G847" s="5">
        <f>B847&amp;"|"&amp;E847&amp;"|"&amp;D847</f>
        <v/>
      </c>
      <c r="H847" s="28">
        <f>'02a_DC_Capacity_Alloc'!H847*'02a_DC_Capacity_Alloc'!I847*'02a_DC_Capacity_Alloc'!J847</f>
        <v/>
      </c>
      <c r="I847" s="6">
        <f>IFERROR(INDEX('02b_DC_Accelerator_Mix'!$F$2:$F$977,MATCH(G847,'02b_DC_Accelerator_Mix'!$A$2:$A$977,0)),0)</f>
        <v/>
      </c>
      <c r="J847" s="6">
        <f>IFERROR(INDEX('02b_DC_Accelerator_Mix'!$G$2:$G$977,MATCH(G847,'02b_DC_Accelerator_Mix'!$A$2:$A$977,0)),0)</f>
        <v/>
      </c>
      <c r="K847" s="6">
        <f>IFERROR(INDEX('02b_DC_Accelerator_Mix'!$H$2:$H$977,MATCH(G847,'02b_DC_Accelerator_Mix'!$A$2:$A$977,0)),0)</f>
        <v/>
      </c>
      <c r="L847" s="6">
        <f>IFERROR(INDEX('02b_DC_Accelerator_Mix'!$I$2:$I$977,MATCH(G847,'02b_DC_Accelerator_Mix'!$A$2:$A$977,0)),0)</f>
        <v/>
      </c>
      <c r="M847" s="6">
        <f>IFERROR(INDEX('02b_DC_Accelerator_Mix'!$J$2:$J$977,MATCH(G847,'02b_DC_Accelerator_Mix'!$A$2:$A$977,0)),0)</f>
        <v/>
      </c>
      <c r="N847" s="6">
        <f>IFERROR(INDEX('02b_DC_Accelerator_Mix'!$K$2:$K$977,MATCH(G847,'02b_DC_Accelerator_Mix'!$A$2:$A$977,0)),0)</f>
        <v/>
      </c>
      <c r="O847" s="6">
        <f>IFERROR(INDEX('02b_DC_Accelerator_Mix'!$L$2:$L$977,MATCH(G847,'02b_DC_Accelerator_Mix'!$A$2:$A$977,0)),0)</f>
        <v/>
      </c>
      <c r="P847" s="6">
        <f>IFERROR(INDEX('02b_DC_Accelerator_Mix'!$M$2:$M$977,MATCH(G847,'02b_DC_Accelerator_Mix'!$A$2:$A$977,0)),0)</f>
        <v/>
      </c>
      <c r="Q847" s="6">
        <f>IFERROR(INDEX('02b_DC_Accelerator_Mix'!$N$2:$N$977,MATCH(G847,'02b_DC_Accelerator_Mix'!$A$2:$A$977,0)),0)</f>
        <v/>
      </c>
      <c r="R847" s="28">
        <f>H847*I847</f>
        <v/>
      </c>
      <c r="S847" s="28">
        <f>H847*J847</f>
        <v/>
      </c>
      <c r="T847" s="28">
        <f>H847*K847</f>
        <v/>
      </c>
      <c r="U847" s="28">
        <f>H847*L847</f>
        <v/>
      </c>
      <c r="V847" s="28">
        <f>H847*M847</f>
        <v/>
      </c>
      <c r="W847" s="28">
        <f>H847*N847</f>
        <v/>
      </c>
      <c r="X847" s="28">
        <f>H847*O847</f>
        <v/>
      </c>
      <c r="Y847" s="28">
        <f>H847*P847</f>
        <v/>
      </c>
      <c r="Z847" s="28">
        <f>H847*Q847</f>
        <v/>
      </c>
      <c r="AA847" s="28">
        <f>SUM(U847:Z847)</f>
        <v/>
      </c>
      <c r="AB847" s="5">
        <f>IF(COUNTIF('02b_DC_Accelerator_Mix'!$A$2:$A$977,G847)&gt;0,"matched","missing_mix")</f>
        <v/>
      </c>
    </row>
    <row r="848">
      <c r="A848" s="5">
        <f>'02a_DC_Capacity_Alloc'!A848</f>
        <v/>
      </c>
      <c r="B848" s="5">
        <f>'02a_DC_Capacity_Alloc'!B848</f>
        <v/>
      </c>
      <c r="C848" s="5">
        <f>'02a_DC_Capacity_Alloc'!C848</f>
        <v/>
      </c>
      <c r="D848" s="5">
        <f>'02a_DC_Capacity_Alloc'!D848</f>
        <v/>
      </c>
      <c r="E848" s="5">
        <f>'02a_DC_Capacity_Alloc'!E848</f>
        <v/>
      </c>
      <c r="F848" s="5">
        <f>'02a_DC_Capacity_Alloc'!F848</f>
        <v/>
      </c>
      <c r="G848" s="5">
        <f>B848&amp;"|"&amp;E848&amp;"|"&amp;D848</f>
        <v/>
      </c>
      <c r="H848" s="28">
        <f>'02a_DC_Capacity_Alloc'!H848*'02a_DC_Capacity_Alloc'!I848*'02a_DC_Capacity_Alloc'!J848</f>
        <v/>
      </c>
      <c r="I848" s="6">
        <f>IFERROR(INDEX('02b_DC_Accelerator_Mix'!$F$2:$F$977,MATCH(G848,'02b_DC_Accelerator_Mix'!$A$2:$A$977,0)),0)</f>
        <v/>
      </c>
      <c r="J848" s="6">
        <f>IFERROR(INDEX('02b_DC_Accelerator_Mix'!$G$2:$G$977,MATCH(G848,'02b_DC_Accelerator_Mix'!$A$2:$A$977,0)),0)</f>
        <v/>
      </c>
      <c r="K848" s="6">
        <f>IFERROR(INDEX('02b_DC_Accelerator_Mix'!$H$2:$H$977,MATCH(G848,'02b_DC_Accelerator_Mix'!$A$2:$A$977,0)),0)</f>
        <v/>
      </c>
      <c r="L848" s="6">
        <f>IFERROR(INDEX('02b_DC_Accelerator_Mix'!$I$2:$I$977,MATCH(G848,'02b_DC_Accelerator_Mix'!$A$2:$A$977,0)),0)</f>
        <v/>
      </c>
      <c r="M848" s="6">
        <f>IFERROR(INDEX('02b_DC_Accelerator_Mix'!$J$2:$J$977,MATCH(G848,'02b_DC_Accelerator_Mix'!$A$2:$A$977,0)),0)</f>
        <v/>
      </c>
      <c r="N848" s="6">
        <f>IFERROR(INDEX('02b_DC_Accelerator_Mix'!$K$2:$K$977,MATCH(G848,'02b_DC_Accelerator_Mix'!$A$2:$A$977,0)),0)</f>
        <v/>
      </c>
      <c r="O848" s="6">
        <f>IFERROR(INDEX('02b_DC_Accelerator_Mix'!$L$2:$L$977,MATCH(G848,'02b_DC_Accelerator_Mix'!$A$2:$A$977,0)),0)</f>
        <v/>
      </c>
      <c r="P848" s="6">
        <f>IFERROR(INDEX('02b_DC_Accelerator_Mix'!$M$2:$M$977,MATCH(G848,'02b_DC_Accelerator_Mix'!$A$2:$A$977,0)),0)</f>
        <v/>
      </c>
      <c r="Q848" s="6">
        <f>IFERROR(INDEX('02b_DC_Accelerator_Mix'!$N$2:$N$977,MATCH(G848,'02b_DC_Accelerator_Mix'!$A$2:$A$977,0)),0)</f>
        <v/>
      </c>
      <c r="R848" s="28">
        <f>H848*I848</f>
        <v/>
      </c>
      <c r="S848" s="28">
        <f>H848*J848</f>
        <v/>
      </c>
      <c r="T848" s="28">
        <f>H848*K848</f>
        <v/>
      </c>
      <c r="U848" s="28">
        <f>H848*L848</f>
        <v/>
      </c>
      <c r="V848" s="28">
        <f>H848*M848</f>
        <v/>
      </c>
      <c r="W848" s="28">
        <f>H848*N848</f>
        <v/>
      </c>
      <c r="X848" s="28">
        <f>H848*O848</f>
        <v/>
      </c>
      <c r="Y848" s="28">
        <f>H848*P848</f>
        <v/>
      </c>
      <c r="Z848" s="28">
        <f>H848*Q848</f>
        <v/>
      </c>
      <c r="AA848" s="28">
        <f>SUM(U848:Z848)</f>
        <v/>
      </c>
      <c r="AB848" s="5">
        <f>IF(COUNTIF('02b_DC_Accelerator_Mix'!$A$2:$A$977,G848)&gt;0,"matched","missing_mix")</f>
        <v/>
      </c>
    </row>
    <row r="849">
      <c r="A849" s="5">
        <f>'02a_DC_Capacity_Alloc'!A849</f>
        <v/>
      </c>
      <c r="B849" s="5">
        <f>'02a_DC_Capacity_Alloc'!B849</f>
        <v/>
      </c>
      <c r="C849" s="5">
        <f>'02a_DC_Capacity_Alloc'!C849</f>
        <v/>
      </c>
      <c r="D849" s="5">
        <f>'02a_DC_Capacity_Alloc'!D849</f>
        <v/>
      </c>
      <c r="E849" s="5">
        <f>'02a_DC_Capacity_Alloc'!E849</f>
        <v/>
      </c>
      <c r="F849" s="5">
        <f>'02a_DC_Capacity_Alloc'!F849</f>
        <v/>
      </c>
      <c r="G849" s="5">
        <f>B849&amp;"|"&amp;E849&amp;"|"&amp;D849</f>
        <v/>
      </c>
      <c r="H849" s="28">
        <f>'02a_DC_Capacity_Alloc'!H849*'02a_DC_Capacity_Alloc'!I849*'02a_DC_Capacity_Alloc'!J849</f>
        <v/>
      </c>
      <c r="I849" s="6">
        <f>IFERROR(INDEX('02b_DC_Accelerator_Mix'!$F$2:$F$977,MATCH(G849,'02b_DC_Accelerator_Mix'!$A$2:$A$977,0)),0)</f>
        <v/>
      </c>
      <c r="J849" s="6">
        <f>IFERROR(INDEX('02b_DC_Accelerator_Mix'!$G$2:$G$977,MATCH(G849,'02b_DC_Accelerator_Mix'!$A$2:$A$977,0)),0)</f>
        <v/>
      </c>
      <c r="K849" s="6">
        <f>IFERROR(INDEX('02b_DC_Accelerator_Mix'!$H$2:$H$977,MATCH(G849,'02b_DC_Accelerator_Mix'!$A$2:$A$977,0)),0)</f>
        <v/>
      </c>
      <c r="L849" s="6">
        <f>IFERROR(INDEX('02b_DC_Accelerator_Mix'!$I$2:$I$977,MATCH(G849,'02b_DC_Accelerator_Mix'!$A$2:$A$977,0)),0)</f>
        <v/>
      </c>
      <c r="M849" s="6">
        <f>IFERROR(INDEX('02b_DC_Accelerator_Mix'!$J$2:$J$977,MATCH(G849,'02b_DC_Accelerator_Mix'!$A$2:$A$977,0)),0)</f>
        <v/>
      </c>
      <c r="N849" s="6">
        <f>IFERROR(INDEX('02b_DC_Accelerator_Mix'!$K$2:$K$977,MATCH(G849,'02b_DC_Accelerator_Mix'!$A$2:$A$977,0)),0)</f>
        <v/>
      </c>
      <c r="O849" s="6">
        <f>IFERROR(INDEX('02b_DC_Accelerator_Mix'!$L$2:$L$977,MATCH(G849,'02b_DC_Accelerator_Mix'!$A$2:$A$977,0)),0)</f>
        <v/>
      </c>
      <c r="P849" s="6">
        <f>IFERROR(INDEX('02b_DC_Accelerator_Mix'!$M$2:$M$977,MATCH(G849,'02b_DC_Accelerator_Mix'!$A$2:$A$977,0)),0)</f>
        <v/>
      </c>
      <c r="Q849" s="6">
        <f>IFERROR(INDEX('02b_DC_Accelerator_Mix'!$N$2:$N$977,MATCH(G849,'02b_DC_Accelerator_Mix'!$A$2:$A$977,0)),0)</f>
        <v/>
      </c>
      <c r="R849" s="28">
        <f>H849*I849</f>
        <v/>
      </c>
      <c r="S849" s="28">
        <f>H849*J849</f>
        <v/>
      </c>
      <c r="T849" s="28">
        <f>H849*K849</f>
        <v/>
      </c>
      <c r="U849" s="28">
        <f>H849*L849</f>
        <v/>
      </c>
      <c r="V849" s="28">
        <f>H849*M849</f>
        <v/>
      </c>
      <c r="W849" s="28">
        <f>H849*N849</f>
        <v/>
      </c>
      <c r="X849" s="28">
        <f>H849*O849</f>
        <v/>
      </c>
      <c r="Y849" s="28">
        <f>H849*P849</f>
        <v/>
      </c>
      <c r="Z849" s="28">
        <f>H849*Q849</f>
        <v/>
      </c>
      <c r="AA849" s="28">
        <f>SUM(U849:Z849)</f>
        <v/>
      </c>
      <c r="AB849" s="5">
        <f>IF(COUNTIF('02b_DC_Accelerator_Mix'!$A$2:$A$977,G849)&gt;0,"matched","missing_mix")</f>
        <v/>
      </c>
    </row>
    <row r="850">
      <c r="A850" s="5">
        <f>'02a_DC_Capacity_Alloc'!A850</f>
        <v/>
      </c>
      <c r="B850" s="5">
        <f>'02a_DC_Capacity_Alloc'!B850</f>
        <v/>
      </c>
      <c r="C850" s="5">
        <f>'02a_DC_Capacity_Alloc'!C850</f>
        <v/>
      </c>
      <c r="D850" s="5">
        <f>'02a_DC_Capacity_Alloc'!D850</f>
        <v/>
      </c>
      <c r="E850" s="5">
        <f>'02a_DC_Capacity_Alloc'!E850</f>
        <v/>
      </c>
      <c r="F850" s="5">
        <f>'02a_DC_Capacity_Alloc'!F850</f>
        <v/>
      </c>
      <c r="G850" s="5">
        <f>B850&amp;"|"&amp;E850&amp;"|"&amp;D850</f>
        <v/>
      </c>
      <c r="H850" s="28">
        <f>'02a_DC_Capacity_Alloc'!H850*'02a_DC_Capacity_Alloc'!I850*'02a_DC_Capacity_Alloc'!J850</f>
        <v/>
      </c>
      <c r="I850" s="6">
        <f>IFERROR(INDEX('02b_DC_Accelerator_Mix'!$F$2:$F$977,MATCH(G850,'02b_DC_Accelerator_Mix'!$A$2:$A$977,0)),0)</f>
        <v/>
      </c>
      <c r="J850" s="6">
        <f>IFERROR(INDEX('02b_DC_Accelerator_Mix'!$G$2:$G$977,MATCH(G850,'02b_DC_Accelerator_Mix'!$A$2:$A$977,0)),0)</f>
        <v/>
      </c>
      <c r="K850" s="6">
        <f>IFERROR(INDEX('02b_DC_Accelerator_Mix'!$H$2:$H$977,MATCH(G850,'02b_DC_Accelerator_Mix'!$A$2:$A$977,0)),0)</f>
        <v/>
      </c>
      <c r="L850" s="6">
        <f>IFERROR(INDEX('02b_DC_Accelerator_Mix'!$I$2:$I$977,MATCH(G850,'02b_DC_Accelerator_Mix'!$A$2:$A$977,0)),0)</f>
        <v/>
      </c>
      <c r="M850" s="6">
        <f>IFERROR(INDEX('02b_DC_Accelerator_Mix'!$J$2:$J$977,MATCH(G850,'02b_DC_Accelerator_Mix'!$A$2:$A$977,0)),0)</f>
        <v/>
      </c>
      <c r="N850" s="6">
        <f>IFERROR(INDEX('02b_DC_Accelerator_Mix'!$K$2:$K$977,MATCH(G850,'02b_DC_Accelerator_Mix'!$A$2:$A$977,0)),0)</f>
        <v/>
      </c>
      <c r="O850" s="6">
        <f>IFERROR(INDEX('02b_DC_Accelerator_Mix'!$L$2:$L$977,MATCH(G850,'02b_DC_Accelerator_Mix'!$A$2:$A$977,0)),0)</f>
        <v/>
      </c>
      <c r="P850" s="6">
        <f>IFERROR(INDEX('02b_DC_Accelerator_Mix'!$M$2:$M$977,MATCH(G850,'02b_DC_Accelerator_Mix'!$A$2:$A$977,0)),0)</f>
        <v/>
      </c>
      <c r="Q850" s="6">
        <f>IFERROR(INDEX('02b_DC_Accelerator_Mix'!$N$2:$N$977,MATCH(G850,'02b_DC_Accelerator_Mix'!$A$2:$A$977,0)),0)</f>
        <v/>
      </c>
      <c r="R850" s="28">
        <f>H850*I850</f>
        <v/>
      </c>
      <c r="S850" s="28">
        <f>H850*J850</f>
        <v/>
      </c>
      <c r="T850" s="28">
        <f>H850*K850</f>
        <v/>
      </c>
      <c r="U850" s="28">
        <f>H850*L850</f>
        <v/>
      </c>
      <c r="V850" s="28">
        <f>H850*M850</f>
        <v/>
      </c>
      <c r="W850" s="28">
        <f>H850*N850</f>
        <v/>
      </c>
      <c r="X850" s="28">
        <f>H850*O850</f>
        <v/>
      </c>
      <c r="Y850" s="28">
        <f>H850*P850</f>
        <v/>
      </c>
      <c r="Z850" s="28">
        <f>H850*Q850</f>
        <v/>
      </c>
      <c r="AA850" s="28">
        <f>SUM(U850:Z850)</f>
        <v/>
      </c>
      <c r="AB850" s="5">
        <f>IF(COUNTIF('02b_DC_Accelerator_Mix'!$A$2:$A$977,G850)&gt;0,"matched","missing_mix")</f>
        <v/>
      </c>
    </row>
    <row r="851">
      <c r="A851" s="5">
        <f>'02a_DC_Capacity_Alloc'!A851</f>
        <v/>
      </c>
      <c r="B851" s="5">
        <f>'02a_DC_Capacity_Alloc'!B851</f>
        <v/>
      </c>
      <c r="C851" s="5">
        <f>'02a_DC_Capacity_Alloc'!C851</f>
        <v/>
      </c>
      <c r="D851" s="5">
        <f>'02a_DC_Capacity_Alloc'!D851</f>
        <v/>
      </c>
      <c r="E851" s="5">
        <f>'02a_DC_Capacity_Alloc'!E851</f>
        <v/>
      </c>
      <c r="F851" s="5">
        <f>'02a_DC_Capacity_Alloc'!F851</f>
        <v/>
      </c>
      <c r="G851" s="5">
        <f>B851&amp;"|"&amp;E851&amp;"|"&amp;D851</f>
        <v/>
      </c>
      <c r="H851" s="28">
        <f>'02a_DC_Capacity_Alloc'!H851*'02a_DC_Capacity_Alloc'!I851*'02a_DC_Capacity_Alloc'!J851</f>
        <v/>
      </c>
      <c r="I851" s="6">
        <f>IFERROR(INDEX('02b_DC_Accelerator_Mix'!$F$2:$F$977,MATCH(G851,'02b_DC_Accelerator_Mix'!$A$2:$A$977,0)),0)</f>
        <v/>
      </c>
      <c r="J851" s="6">
        <f>IFERROR(INDEX('02b_DC_Accelerator_Mix'!$G$2:$G$977,MATCH(G851,'02b_DC_Accelerator_Mix'!$A$2:$A$977,0)),0)</f>
        <v/>
      </c>
      <c r="K851" s="6">
        <f>IFERROR(INDEX('02b_DC_Accelerator_Mix'!$H$2:$H$977,MATCH(G851,'02b_DC_Accelerator_Mix'!$A$2:$A$977,0)),0)</f>
        <v/>
      </c>
      <c r="L851" s="6">
        <f>IFERROR(INDEX('02b_DC_Accelerator_Mix'!$I$2:$I$977,MATCH(G851,'02b_DC_Accelerator_Mix'!$A$2:$A$977,0)),0)</f>
        <v/>
      </c>
      <c r="M851" s="6">
        <f>IFERROR(INDEX('02b_DC_Accelerator_Mix'!$J$2:$J$977,MATCH(G851,'02b_DC_Accelerator_Mix'!$A$2:$A$977,0)),0)</f>
        <v/>
      </c>
      <c r="N851" s="6">
        <f>IFERROR(INDEX('02b_DC_Accelerator_Mix'!$K$2:$K$977,MATCH(G851,'02b_DC_Accelerator_Mix'!$A$2:$A$977,0)),0)</f>
        <v/>
      </c>
      <c r="O851" s="6">
        <f>IFERROR(INDEX('02b_DC_Accelerator_Mix'!$L$2:$L$977,MATCH(G851,'02b_DC_Accelerator_Mix'!$A$2:$A$977,0)),0)</f>
        <v/>
      </c>
      <c r="P851" s="6">
        <f>IFERROR(INDEX('02b_DC_Accelerator_Mix'!$M$2:$M$977,MATCH(G851,'02b_DC_Accelerator_Mix'!$A$2:$A$977,0)),0)</f>
        <v/>
      </c>
      <c r="Q851" s="6">
        <f>IFERROR(INDEX('02b_DC_Accelerator_Mix'!$N$2:$N$977,MATCH(G851,'02b_DC_Accelerator_Mix'!$A$2:$A$977,0)),0)</f>
        <v/>
      </c>
      <c r="R851" s="28">
        <f>H851*I851</f>
        <v/>
      </c>
      <c r="S851" s="28">
        <f>H851*J851</f>
        <v/>
      </c>
      <c r="T851" s="28">
        <f>H851*K851</f>
        <v/>
      </c>
      <c r="U851" s="28">
        <f>H851*L851</f>
        <v/>
      </c>
      <c r="V851" s="28">
        <f>H851*M851</f>
        <v/>
      </c>
      <c r="W851" s="28">
        <f>H851*N851</f>
        <v/>
      </c>
      <c r="X851" s="28">
        <f>H851*O851</f>
        <v/>
      </c>
      <c r="Y851" s="28">
        <f>H851*P851</f>
        <v/>
      </c>
      <c r="Z851" s="28">
        <f>H851*Q851</f>
        <v/>
      </c>
      <c r="AA851" s="28">
        <f>SUM(U851:Z851)</f>
        <v/>
      </c>
      <c r="AB851" s="5">
        <f>IF(COUNTIF('02b_DC_Accelerator_Mix'!$A$2:$A$977,G851)&gt;0,"matched","missing_mix")</f>
        <v/>
      </c>
    </row>
    <row r="852">
      <c r="A852" s="5">
        <f>'02a_DC_Capacity_Alloc'!A852</f>
        <v/>
      </c>
      <c r="B852" s="5">
        <f>'02a_DC_Capacity_Alloc'!B852</f>
        <v/>
      </c>
      <c r="C852" s="5">
        <f>'02a_DC_Capacity_Alloc'!C852</f>
        <v/>
      </c>
      <c r="D852" s="5">
        <f>'02a_DC_Capacity_Alloc'!D852</f>
        <v/>
      </c>
      <c r="E852" s="5">
        <f>'02a_DC_Capacity_Alloc'!E852</f>
        <v/>
      </c>
      <c r="F852" s="5">
        <f>'02a_DC_Capacity_Alloc'!F852</f>
        <v/>
      </c>
      <c r="G852" s="5">
        <f>B852&amp;"|"&amp;E852&amp;"|"&amp;D852</f>
        <v/>
      </c>
      <c r="H852" s="28">
        <f>'02a_DC_Capacity_Alloc'!H852*'02a_DC_Capacity_Alloc'!I852*'02a_DC_Capacity_Alloc'!J852</f>
        <v/>
      </c>
      <c r="I852" s="6">
        <f>IFERROR(INDEX('02b_DC_Accelerator_Mix'!$F$2:$F$977,MATCH(G852,'02b_DC_Accelerator_Mix'!$A$2:$A$977,0)),0)</f>
        <v/>
      </c>
      <c r="J852" s="6">
        <f>IFERROR(INDEX('02b_DC_Accelerator_Mix'!$G$2:$G$977,MATCH(G852,'02b_DC_Accelerator_Mix'!$A$2:$A$977,0)),0)</f>
        <v/>
      </c>
      <c r="K852" s="6">
        <f>IFERROR(INDEX('02b_DC_Accelerator_Mix'!$H$2:$H$977,MATCH(G852,'02b_DC_Accelerator_Mix'!$A$2:$A$977,0)),0)</f>
        <v/>
      </c>
      <c r="L852" s="6">
        <f>IFERROR(INDEX('02b_DC_Accelerator_Mix'!$I$2:$I$977,MATCH(G852,'02b_DC_Accelerator_Mix'!$A$2:$A$977,0)),0)</f>
        <v/>
      </c>
      <c r="M852" s="6">
        <f>IFERROR(INDEX('02b_DC_Accelerator_Mix'!$J$2:$J$977,MATCH(G852,'02b_DC_Accelerator_Mix'!$A$2:$A$977,0)),0)</f>
        <v/>
      </c>
      <c r="N852" s="6">
        <f>IFERROR(INDEX('02b_DC_Accelerator_Mix'!$K$2:$K$977,MATCH(G852,'02b_DC_Accelerator_Mix'!$A$2:$A$977,0)),0)</f>
        <v/>
      </c>
      <c r="O852" s="6">
        <f>IFERROR(INDEX('02b_DC_Accelerator_Mix'!$L$2:$L$977,MATCH(G852,'02b_DC_Accelerator_Mix'!$A$2:$A$977,0)),0)</f>
        <v/>
      </c>
      <c r="P852" s="6">
        <f>IFERROR(INDEX('02b_DC_Accelerator_Mix'!$M$2:$M$977,MATCH(G852,'02b_DC_Accelerator_Mix'!$A$2:$A$977,0)),0)</f>
        <v/>
      </c>
      <c r="Q852" s="6">
        <f>IFERROR(INDEX('02b_DC_Accelerator_Mix'!$N$2:$N$977,MATCH(G852,'02b_DC_Accelerator_Mix'!$A$2:$A$977,0)),0)</f>
        <v/>
      </c>
      <c r="R852" s="28">
        <f>H852*I852</f>
        <v/>
      </c>
      <c r="S852" s="28">
        <f>H852*J852</f>
        <v/>
      </c>
      <c r="T852" s="28">
        <f>H852*K852</f>
        <v/>
      </c>
      <c r="U852" s="28">
        <f>H852*L852</f>
        <v/>
      </c>
      <c r="V852" s="28">
        <f>H852*M852</f>
        <v/>
      </c>
      <c r="W852" s="28">
        <f>H852*N852</f>
        <v/>
      </c>
      <c r="X852" s="28">
        <f>H852*O852</f>
        <v/>
      </c>
      <c r="Y852" s="28">
        <f>H852*P852</f>
        <v/>
      </c>
      <c r="Z852" s="28">
        <f>H852*Q852</f>
        <v/>
      </c>
      <c r="AA852" s="28">
        <f>SUM(U852:Z852)</f>
        <v/>
      </c>
      <c r="AB852" s="5">
        <f>IF(COUNTIF('02b_DC_Accelerator_Mix'!$A$2:$A$977,G852)&gt;0,"matched","missing_mix")</f>
        <v/>
      </c>
    </row>
    <row r="853">
      <c r="A853" s="5">
        <f>'02a_DC_Capacity_Alloc'!A853</f>
        <v/>
      </c>
      <c r="B853" s="5">
        <f>'02a_DC_Capacity_Alloc'!B853</f>
        <v/>
      </c>
      <c r="C853" s="5">
        <f>'02a_DC_Capacity_Alloc'!C853</f>
        <v/>
      </c>
      <c r="D853" s="5">
        <f>'02a_DC_Capacity_Alloc'!D853</f>
        <v/>
      </c>
      <c r="E853" s="5">
        <f>'02a_DC_Capacity_Alloc'!E853</f>
        <v/>
      </c>
      <c r="F853" s="5">
        <f>'02a_DC_Capacity_Alloc'!F853</f>
        <v/>
      </c>
      <c r="G853" s="5">
        <f>B853&amp;"|"&amp;E853&amp;"|"&amp;D853</f>
        <v/>
      </c>
      <c r="H853" s="28">
        <f>'02a_DC_Capacity_Alloc'!H853*'02a_DC_Capacity_Alloc'!I853*'02a_DC_Capacity_Alloc'!J853</f>
        <v/>
      </c>
      <c r="I853" s="6">
        <f>IFERROR(INDEX('02b_DC_Accelerator_Mix'!$F$2:$F$977,MATCH(G853,'02b_DC_Accelerator_Mix'!$A$2:$A$977,0)),0)</f>
        <v/>
      </c>
      <c r="J853" s="6">
        <f>IFERROR(INDEX('02b_DC_Accelerator_Mix'!$G$2:$G$977,MATCH(G853,'02b_DC_Accelerator_Mix'!$A$2:$A$977,0)),0)</f>
        <v/>
      </c>
      <c r="K853" s="6">
        <f>IFERROR(INDEX('02b_DC_Accelerator_Mix'!$H$2:$H$977,MATCH(G853,'02b_DC_Accelerator_Mix'!$A$2:$A$977,0)),0)</f>
        <v/>
      </c>
      <c r="L853" s="6">
        <f>IFERROR(INDEX('02b_DC_Accelerator_Mix'!$I$2:$I$977,MATCH(G853,'02b_DC_Accelerator_Mix'!$A$2:$A$977,0)),0)</f>
        <v/>
      </c>
      <c r="M853" s="6">
        <f>IFERROR(INDEX('02b_DC_Accelerator_Mix'!$J$2:$J$977,MATCH(G853,'02b_DC_Accelerator_Mix'!$A$2:$A$977,0)),0)</f>
        <v/>
      </c>
      <c r="N853" s="6">
        <f>IFERROR(INDEX('02b_DC_Accelerator_Mix'!$K$2:$K$977,MATCH(G853,'02b_DC_Accelerator_Mix'!$A$2:$A$977,0)),0)</f>
        <v/>
      </c>
      <c r="O853" s="6">
        <f>IFERROR(INDEX('02b_DC_Accelerator_Mix'!$L$2:$L$977,MATCH(G853,'02b_DC_Accelerator_Mix'!$A$2:$A$977,0)),0)</f>
        <v/>
      </c>
      <c r="P853" s="6">
        <f>IFERROR(INDEX('02b_DC_Accelerator_Mix'!$M$2:$M$977,MATCH(G853,'02b_DC_Accelerator_Mix'!$A$2:$A$977,0)),0)</f>
        <v/>
      </c>
      <c r="Q853" s="6">
        <f>IFERROR(INDEX('02b_DC_Accelerator_Mix'!$N$2:$N$977,MATCH(G853,'02b_DC_Accelerator_Mix'!$A$2:$A$977,0)),0)</f>
        <v/>
      </c>
      <c r="R853" s="28">
        <f>H853*I853</f>
        <v/>
      </c>
      <c r="S853" s="28">
        <f>H853*J853</f>
        <v/>
      </c>
      <c r="T853" s="28">
        <f>H853*K853</f>
        <v/>
      </c>
      <c r="U853" s="28">
        <f>H853*L853</f>
        <v/>
      </c>
      <c r="V853" s="28">
        <f>H853*M853</f>
        <v/>
      </c>
      <c r="W853" s="28">
        <f>H853*N853</f>
        <v/>
      </c>
      <c r="X853" s="28">
        <f>H853*O853</f>
        <v/>
      </c>
      <c r="Y853" s="28">
        <f>H853*P853</f>
        <v/>
      </c>
      <c r="Z853" s="28">
        <f>H853*Q853</f>
        <v/>
      </c>
      <c r="AA853" s="28">
        <f>SUM(U853:Z853)</f>
        <v/>
      </c>
      <c r="AB853" s="5">
        <f>IF(COUNTIF('02b_DC_Accelerator_Mix'!$A$2:$A$977,G853)&gt;0,"matched","missing_mix")</f>
        <v/>
      </c>
    </row>
    <row r="854">
      <c r="A854" s="5">
        <f>'02a_DC_Capacity_Alloc'!A854</f>
        <v/>
      </c>
      <c r="B854" s="5">
        <f>'02a_DC_Capacity_Alloc'!B854</f>
        <v/>
      </c>
      <c r="C854" s="5">
        <f>'02a_DC_Capacity_Alloc'!C854</f>
        <v/>
      </c>
      <c r="D854" s="5">
        <f>'02a_DC_Capacity_Alloc'!D854</f>
        <v/>
      </c>
      <c r="E854" s="5">
        <f>'02a_DC_Capacity_Alloc'!E854</f>
        <v/>
      </c>
      <c r="F854" s="5">
        <f>'02a_DC_Capacity_Alloc'!F854</f>
        <v/>
      </c>
      <c r="G854" s="5">
        <f>B854&amp;"|"&amp;E854&amp;"|"&amp;D854</f>
        <v/>
      </c>
      <c r="H854" s="28">
        <f>'02a_DC_Capacity_Alloc'!H854*'02a_DC_Capacity_Alloc'!I854*'02a_DC_Capacity_Alloc'!J854</f>
        <v/>
      </c>
      <c r="I854" s="6">
        <f>IFERROR(INDEX('02b_DC_Accelerator_Mix'!$F$2:$F$977,MATCH(G854,'02b_DC_Accelerator_Mix'!$A$2:$A$977,0)),0)</f>
        <v/>
      </c>
      <c r="J854" s="6">
        <f>IFERROR(INDEX('02b_DC_Accelerator_Mix'!$G$2:$G$977,MATCH(G854,'02b_DC_Accelerator_Mix'!$A$2:$A$977,0)),0)</f>
        <v/>
      </c>
      <c r="K854" s="6">
        <f>IFERROR(INDEX('02b_DC_Accelerator_Mix'!$H$2:$H$977,MATCH(G854,'02b_DC_Accelerator_Mix'!$A$2:$A$977,0)),0)</f>
        <v/>
      </c>
      <c r="L854" s="6">
        <f>IFERROR(INDEX('02b_DC_Accelerator_Mix'!$I$2:$I$977,MATCH(G854,'02b_DC_Accelerator_Mix'!$A$2:$A$977,0)),0)</f>
        <v/>
      </c>
      <c r="M854" s="6">
        <f>IFERROR(INDEX('02b_DC_Accelerator_Mix'!$J$2:$J$977,MATCH(G854,'02b_DC_Accelerator_Mix'!$A$2:$A$977,0)),0)</f>
        <v/>
      </c>
      <c r="N854" s="6">
        <f>IFERROR(INDEX('02b_DC_Accelerator_Mix'!$K$2:$K$977,MATCH(G854,'02b_DC_Accelerator_Mix'!$A$2:$A$977,0)),0)</f>
        <v/>
      </c>
      <c r="O854" s="6">
        <f>IFERROR(INDEX('02b_DC_Accelerator_Mix'!$L$2:$L$977,MATCH(G854,'02b_DC_Accelerator_Mix'!$A$2:$A$977,0)),0)</f>
        <v/>
      </c>
      <c r="P854" s="6">
        <f>IFERROR(INDEX('02b_DC_Accelerator_Mix'!$M$2:$M$977,MATCH(G854,'02b_DC_Accelerator_Mix'!$A$2:$A$977,0)),0)</f>
        <v/>
      </c>
      <c r="Q854" s="6">
        <f>IFERROR(INDEX('02b_DC_Accelerator_Mix'!$N$2:$N$977,MATCH(G854,'02b_DC_Accelerator_Mix'!$A$2:$A$977,0)),0)</f>
        <v/>
      </c>
      <c r="R854" s="28">
        <f>H854*I854</f>
        <v/>
      </c>
      <c r="S854" s="28">
        <f>H854*J854</f>
        <v/>
      </c>
      <c r="T854" s="28">
        <f>H854*K854</f>
        <v/>
      </c>
      <c r="U854" s="28">
        <f>H854*L854</f>
        <v/>
      </c>
      <c r="V854" s="28">
        <f>H854*M854</f>
        <v/>
      </c>
      <c r="W854" s="28">
        <f>H854*N854</f>
        <v/>
      </c>
      <c r="X854" s="28">
        <f>H854*O854</f>
        <v/>
      </c>
      <c r="Y854" s="28">
        <f>H854*P854</f>
        <v/>
      </c>
      <c r="Z854" s="28">
        <f>H854*Q854</f>
        <v/>
      </c>
      <c r="AA854" s="28">
        <f>SUM(U854:Z854)</f>
        <v/>
      </c>
      <c r="AB854" s="5">
        <f>IF(COUNTIF('02b_DC_Accelerator_Mix'!$A$2:$A$977,G854)&gt;0,"matched","missing_mix")</f>
        <v/>
      </c>
    </row>
    <row r="855">
      <c r="A855" s="5">
        <f>'02a_DC_Capacity_Alloc'!A855</f>
        <v/>
      </c>
      <c r="B855" s="5">
        <f>'02a_DC_Capacity_Alloc'!B855</f>
        <v/>
      </c>
      <c r="C855" s="5">
        <f>'02a_DC_Capacity_Alloc'!C855</f>
        <v/>
      </c>
      <c r="D855" s="5">
        <f>'02a_DC_Capacity_Alloc'!D855</f>
        <v/>
      </c>
      <c r="E855" s="5">
        <f>'02a_DC_Capacity_Alloc'!E855</f>
        <v/>
      </c>
      <c r="F855" s="5">
        <f>'02a_DC_Capacity_Alloc'!F855</f>
        <v/>
      </c>
      <c r="G855" s="5">
        <f>B855&amp;"|"&amp;E855&amp;"|"&amp;D855</f>
        <v/>
      </c>
      <c r="H855" s="28">
        <f>'02a_DC_Capacity_Alloc'!H855*'02a_DC_Capacity_Alloc'!I855*'02a_DC_Capacity_Alloc'!J855</f>
        <v/>
      </c>
      <c r="I855" s="6">
        <f>IFERROR(INDEX('02b_DC_Accelerator_Mix'!$F$2:$F$977,MATCH(G855,'02b_DC_Accelerator_Mix'!$A$2:$A$977,0)),0)</f>
        <v/>
      </c>
      <c r="J855" s="6">
        <f>IFERROR(INDEX('02b_DC_Accelerator_Mix'!$G$2:$G$977,MATCH(G855,'02b_DC_Accelerator_Mix'!$A$2:$A$977,0)),0)</f>
        <v/>
      </c>
      <c r="K855" s="6">
        <f>IFERROR(INDEX('02b_DC_Accelerator_Mix'!$H$2:$H$977,MATCH(G855,'02b_DC_Accelerator_Mix'!$A$2:$A$977,0)),0)</f>
        <v/>
      </c>
      <c r="L855" s="6">
        <f>IFERROR(INDEX('02b_DC_Accelerator_Mix'!$I$2:$I$977,MATCH(G855,'02b_DC_Accelerator_Mix'!$A$2:$A$977,0)),0)</f>
        <v/>
      </c>
      <c r="M855" s="6">
        <f>IFERROR(INDEX('02b_DC_Accelerator_Mix'!$J$2:$J$977,MATCH(G855,'02b_DC_Accelerator_Mix'!$A$2:$A$977,0)),0)</f>
        <v/>
      </c>
      <c r="N855" s="6">
        <f>IFERROR(INDEX('02b_DC_Accelerator_Mix'!$K$2:$K$977,MATCH(G855,'02b_DC_Accelerator_Mix'!$A$2:$A$977,0)),0)</f>
        <v/>
      </c>
      <c r="O855" s="6">
        <f>IFERROR(INDEX('02b_DC_Accelerator_Mix'!$L$2:$L$977,MATCH(G855,'02b_DC_Accelerator_Mix'!$A$2:$A$977,0)),0)</f>
        <v/>
      </c>
      <c r="P855" s="6">
        <f>IFERROR(INDEX('02b_DC_Accelerator_Mix'!$M$2:$M$977,MATCH(G855,'02b_DC_Accelerator_Mix'!$A$2:$A$977,0)),0)</f>
        <v/>
      </c>
      <c r="Q855" s="6">
        <f>IFERROR(INDEX('02b_DC_Accelerator_Mix'!$N$2:$N$977,MATCH(G855,'02b_DC_Accelerator_Mix'!$A$2:$A$977,0)),0)</f>
        <v/>
      </c>
      <c r="R855" s="28">
        <f>H855*I855</f>
        <v/>
      </c>
      <c r="S855" s="28">
        <f>H855*J855</f>
        <v/>
      </c>
      <c r="T855" s="28">
        <f>H855*K855</f>
        <v/>
      </c>
      <c r="U855" s="28">
        <f>H855*L855</f>
        <v/>
      </c>
      <c r="V855" s="28">
        <f>H855*M855</f>
        <v/>
      </c>
      <c r="W855" s="28">
        <f>H855*N855</f>
        <v/>
      </c>
      <c r="X855" s="28">
        <f>H855*O855</f>
        <v/>
      </c>
      <c r="Y855" s="28">
        <f>H855*P855</f>
        <v/>
      </c>
      <c r="Z855" s="28">
        <f>H855*Q855</f>
        <v/>
      </c>
      <c r="AA855" s="28">
        <f>SUM(U855:Z855)</f>
        <v/>
      </c>
      <c r="AB855" s="5">
        <f>IF(COUNTIF('02b_DC_Accelerator_Mix'!$A$2:$A$977,G855)&gt;0,"matched","missing_mix")</f>
        <v/>
      </c>
    </row>
    <row r="856">
      <c r="A856" s="5">
        <f>'02a_DC_Capacity_Alloc'!A856</f>
        <v/>
      </c>
      <c r="B856" s="5">
        <f>'02a_DC_Capacity_Alloc'!B856</f>
        <v/>
      </c>
      <c r="C856" s="5">
        <f>'02a_DC_Capacity_Alloc'!C856</f>
        <v/>
      </c>
      <c r="D856" s="5">
        <f>'02a_DC_Capacity_Alloc'!D856</f>
        <v/>
      </c>
      <c r="E856" s="5">
        <f>'02a_DC_Capacity_Alloc'!E856</f>
        <v/>
      </c>
      <c r="F856" s="5">
        <f>'02a_DC_Capacity_Alloc'!F856</f>
        <v/>
      </c>
      <c r="G856" s="5">
        <f>B856&amp;"|"&amp;E856&amp;"|"&amp;D856</f>
        <v/>
      </c>
      <c r="H856" s="28">
        <f>'02a_DC_Capacity_Alloc'!H856*'02a_DC_Capacity_Alloc'!I856*'02a_DC_Capacity_Alloc'!J856</f>
        <v/>
      </c>
      <c r="I856" s="6">
        <f>IFERROR(INDEX('02b_DC_Accelerator_Mix'!$F$2:$F$977,MATCH(G856,'02b_DC_Accelerator_Mix'!$A$2:$A$977,0)),0)</f>
        <v/>
      </c>
      <c r="J856" s="6">
        <f>IFERROR(INDEX('02b_DC_Accelerator_Mix'!$G$2:$G$977,MATCH(G856,'02b_DC_Accelerator_Mix'!$A$2:$A$977,0)),0)</f>
        <v/>
      </c>
      <c r="K856" s="6">
        <f>IFERROR(INDEX('02b_DC_Accelerator_Mix'!$H$2:$H$977,MATCH(G856,'02b_DC_Accelerator_Mix'!$A$2:$A$977,0)),0)</f>
        <v/>
      </c>
      <c r="L856" s="6">
        <f>IFERROR(INDEX('02b_DC_Accelerator_Mix'!$I$2:$I$977,MATCH(G856,'02b_DC_Accelerator_Mix'!$A$2:$A$977,0)),0)</f>
        <v/>
      </c>
      <c r="M856" s="6">
        <f>IFERROR(INDEX('02b_DC_Accelerator_Mix'!$J$2:$J$977,MATCH(G856,'02b_DC_Accelerator_Mix'!$A$2:$A$977,0)),0)</f>
        <v/>
      </c>
      <c r="N856" s="6">
        <f>IFERROR(INDEX('02b_DC_Accelerator_Mix'!$K$2:$K$977,MATCH(G856,'02b_DC_Accelerator_Mix'!$A$2:$A$977,0)),0)</f>
        <v/>
      </c>
      <c r="O856" s="6">
        <f>IFERROR(INDEX('02b_DC_Accelerator_Mix'!$L$2:$L$977,MATCH(G856,'02b_DC_Accelerator_Mix'!$A$2:$A$977,0)),0)</f>
        <v/>
      </c>
      <c r="P856" s="6">
        <f>IFERROR(INDEX('02b_DC_Accelerator_Mix'!$M$2:$M$977,MATCH(G856,'02b_DC_Accelerator_Mix'!$A$2:$A$977,0)),0)</f>
        <v/>
      </c>
      <c r="Q856" s="6">
        <f>IFERROR(INDEX('02b_DC_Accelerator_Mix'!$N$2:$N$977,MATCH(G856,'02b_DC_Accelerator_Mix'!$A$2:$A$977,0)),0)</f>
        <v/>
      </c>
      <c r="R856" s="28">
        <f>H856*I856</f>
        <v/>
      </c>
      <c r="S856" s="28">
        <f>H856*J856</f>
        <v/>
      </c>
      <c r="T856" s="28">
        <f>H856*K856</f>
        <v/>
      </c>
      <c r="U856" s="28">
        <f>H856*L856</f>
        <v/>
      </c>
      <c r="V856" s="28">
        <f>H856*M856</f>
        <v/>
      </c>
      <c r="W856" s="28">
        <f>H856*N856</f>
        <v/>
      </c>
      <c r="X856" s="28">
        <f>H856*O856</f>
        <v/>
      </c>
      <c r="Y856" s="28">
        <f>H856*P856</f>
        <v/>
      </c>
      <c r="Z856" s="28">
        <f>H856*Q856</f>
        <v/>
      </c>
      <c r="AA856" s="28">
        <f>SUM(U856:Z856)</f>
        <v/>
      </c>
      <c r="AB856" s="5">
        <f>IF(COUNTIF('02b_DC_Accelerator_Mix'!$A$2:$A$977,G856)&gt;0,"matched","missing_mix")</f>
        <v/>
      </c>
    </row>
    <row r="857">
      <c r="A857" s="5">
        <f>'02a_DC_Capacity_Alloc'!A857</f>
        <v/>
      </c>
      <c r="B857" s="5">
        <f>'02a_DC_Capacity_Alloc'!B857</f>
        <v/>
      </c>
      <c r="C857" s="5">
        <f>'02a_DC_Capacity_Alloc'!C857</f>
        <v/>
      </c>
      <c r="D857" s="5">
        <f>'02a_DC_Capacity_Alloc'!D857</f>
        <v/>
      </c>
      <c r="E857" s="5">
        <f>'02a_DC_Capacity_Alloc'!E857</f>
        <v/>
      </c>
      <c r="F857" s="5">
        <f>'02a_DC_Capacity_Alloc'!F857</f>
        <v/>
      </c>
      <c r="G857" s="5">
        <f>B857&amp;"|"&amp;E857&amp;"|"&amp;D857</f>
        <v/>
      </c>
      <c r="H857" s="28">
        <f>'02a_DC_Capacity_Alloc'!H857*'02a_DC_Capacity_Alloc'!I857*'02a_DC_Capacity_Alloc'!J857</f>
        <v/>
      </c>
      <c r="I857" s="6">
        <f>IFERROR(INDEX('02b_DC_Accelerator_Mix'!$F$2:$F$977,MATCH(G857,'02b_DC_Accelerator_Mix'!$A$2:$A$977,0)),0)</f>
        <v/>
      </c>
      <c r="J857" s="6">
        <f>IFERROR(INDEX('02b_DC_Accelerator_Mix'!$G$2:$G$977,MATCH(G857,'02b_DC_Accelerator_Mix'!$A$2:$A$977,0)),0)</f>
        <v/>
      </c>
      <c r="K857" s="6">
        <f>IFERROR(INDEX('02b_DC_Accelerator_Mix'!$H$2:$H$977,MATCH(G857,'02b_DC_Accelerator_Mix'!$A$2:$A$977,0)),0)</f>
        <v/>
      </c>
      <c r="L857" s="6">
        <f>IFERROR(INDEX('02b_DC_Accelerator_Mix'!$I$2:$I$977,MATCH(G857,'02b_DC_Accelerator_Mix'!$A$2:$A$977,0)),0)</f>
        <v/>
      </c>
      <c r="M857" s="6">
        <f>IFERROR(INDEX('02b_DC_Accelerator_Mix'!$J$2:$J$977,MATCH(G857,'02b_DC_Accelerator_Mix'!$A$2:$A$977,0)),0)</f>
        <v/>
      </c>
      <c r="N857" s="6">
        <f>IFERROR(INDEX('02b_DC_Accelerator_Mix'!$K$2:$K$977,MATCH(G857,'02b_DC_Accelerator_Mix'!$A$2:$A$977,0)),0)</f>
        <v/>
      </c>
      <c r="O857" s="6">
        <f>IFERROR(INDEX('02b_DC_Accelerator_Mix'!$L$2:$L$977,MATCH(G857,'02b_DC_Accelerator_Mix'!$A$2:$A$977,0)),0)</f>
        <v/>
      </c>
      <c r="P857" s="6">
        <f>IFERROR(INDEX('02b_DC_Accelerator_Mix'!$M$2:$M$977,MATCH(G857,'02b_DC_Accelerator_Mix'!$A$2:$A$977,0)),0)</f>
        <v/>
      </c>
      <c r="Q857" s="6">
        <f>IFERROR(INDEX('02b_DC_Accelerator_Mix'!$N$2:$N$977,MATCH(G857,'02b_DC_Accelerator_Mix'!$A$2:$A$977,0)),0)</f>
        <v/>
      </c>
      <c r="R857" s="28">
        <f>H857*I857</f>
        <v/>
      </c>
      <c r="S857" s="28">
        <f>H857*J857</f>
        <v/>
      </c>
      <c r="T857" s="28">
        <f>H857*K857</f>
        <v/>
      </c>
      <c r="U857" s="28">
        <f>H857*L857</f>
        <v/>
      </c>
      <c r="V857" s="28">
        <f>H857*M857</f>
        <v/>
      </c>
      <c r="W857" s="28">
        <f>H857*N857</f>
        <v/>
      </c>
      <c r="X857" s="28">
        <f>H857*O857</f>
        <v/>
      </c>
      <c r="Y857" s="28">
        <f>H857*P857</f>
        <v/>
      </c>
      <c r="Z857" s="28">
        <f>H857*Q857</f>
        <v/>
      </c>
      <c r="AA857" s="28">
        <f>SUM(U857:Z857)</f>
        <v/>
      </c>
      <c r="AB857" s="5">
        <f>IF(COUNTIF('02b_DC_Accelerator_Mix'!$A$2:$A$977,G857)&gt;0,"matched","missing_mix")</f>
        <v/>
      </c>
    </row>
    <row r="858">
      <c r="A858" s="5">
        <f>'02a_DC_Capacity_Alloc'!A858</f>
        <v/>
      </c>
      <c r="B858" s="5">
        <f>'02a_DC_Capacity_Alloc'!B858</f>
        <v/>
      </c>
      <c r="C858" s="5">
        <f>'02a_DC_Capacity_Alloc'!C858</f>
        <v/>
      </c>
      <c r="D858" s="5">
        <f>'02a_DC_Capacity_Alloc'!D858</f>
        <v/>
      </c>
      <c r="E858" s="5">
        <f>'02a_DC_Capacity_Alloc'!E858</f>
        <v/>
      </c>
      <c r="F858" s="5">
        <f>'02a_DC_Capacity_Alloc'!F858</f>
        <v/>
      </c>
      <c r="G858" s="5">
        <f>B858&amp;"|"&amp;E858&amp;"|"&amp;D858</f>
        <v/>
      </c>
      <c r="H858" s="28">
        <f>'02a_DC_Capacity_Alloc'!H858*'02a_DC_Capacity_Alloc'!I858*'02a_DC_Capacity_Alloc'!J858</f>
        <v/>
      </c>
      <c r="I858" s="6">
        <f>IFERROR(INDEX('02b_DC_Accelerator_Mix'!$F$2:$F$977,MATCH(G858,'02b_DC_Accelerator_Mix'!$A$2:$A$977,0)),0)</f>
        <v/>
      </c>
      <c r="J858" s="6">
        <f>IFERROR(INDEX('02b_DC_Accelerator_Mix'!$G$2:$G$977,MATCH(G858,'02b_DC_Accelerator_Mix'!$A$2:$A$977,0)),0)</f>
        <v/>
      </c>
      <c r="K858" s="6">
        <f>IFERROR(INDEX('02b_DC_Accelerator_Mix'!$H$2:$H$977,MATCH(G858,'02b_DC_Accelerator_Mix'!$A$2:$A$977,0)),0)</f>
        <v/>
      </c>
      <c r="L858" s="6">
        <f>IFERROR(INDEX('02b_DC_Accelerator_Mix'!$I$2:$I$977,MATCH(G858,'02b_DC_Accelerator_Mix'!$A$2:$A$977,0)),0)</f>
        <v/>
      </c>
      <c r="M858" s="6">
        <f>IFERROR(INDEX('02b_DC_Accelerator_Mix'!$J$2:$J$977,MATCH(G858,'02b_DC_Accelerator_Mix'!$A$2:$A$977,0)),0)</f>
        <v/>
      </c>
      <c r="N858" s="6">
        <f>IFERROR(INDEX('02b_DC_Accelerator_Mix'!$K$2:$K$977,MATCH(G858,'02b_DC_Accelerator_Mix'!$A$2:$A$977,0)),0)</f>
        <v/>
      </c>
      <c r="O858" s="6">
        <f>IFERROR(INDEX('02b_DC_Accelerator_Mix'!$L$2:$L$977,MATCH(G858,'02b_DC_Accelerator_Mix'!$A$2:$A$977,0)),0)</f>
        <v/>
      </c>
      <c r="P858" s="6">
        <f>IFERROR(INDEX('02b_DC_Accelerator_Mix'!$M$2:$M$977,MATCH(G858,'02b_DC_Accelerator_Mix'!$A$2:$A$977,0)),0)</f>
        <v/>
      </c>
      <c r="Q858" s="6">
        <f>IFERROR(INDEX('02b_DC_Accelerator_Mix'!$N$2:$N$977,MATCH(G858,'02b_DC_Accelerator_Mix'!$A$2:$A$977,0)),0)</f>
        <v/>
      </c>
      <c r="R858" s="28">
        <f>H858*I858</f>
        <v/>
      </c>
      <c r="S858" s="28">
        <f>H858*J858</f>
        <v/>
      </c>
      <c r="T858" s="28">
        <f>H858*K858</f>
        <v/>
      </c>
      <c r="U858" s="28">
        <f>H858*L858</f>
        <v/>
      </c>
      <c r="V858" s="28">
        <f>H858*M858</f>
        <v/>
      </c>
      <c r="W858" s="28">
        <f>H858*N858</f>
        <v/>
      </c>
      <c r="X858" s="28">
        <f>H858*O858</f>
        <v/>
      </c>
      <c r="Y858" s="28">
        <f>H858*P858</f>
        <v/>
      </c>
      <c r="Z858" s="28">
        <f>H858*Q858</f>
        <v/>
      </c>
      <c r="AA858" s="28">
        <f>SUM(U858:Z858)</f>
        <v/>
      </c>
      <c r="AB858" s="5">
        <f>IF(COUNTIF('02b_DC_Accelerator_Mix'!$A$2:$A$977,G858)&gt;0,"matched","missing_mix")</f>
        <v/>
      </c>
    </row>
    <row r="859">
      <c r="A859" s="5">
        <f>'02a_DC_Capacity_Alloc'!A859</f>
        <v/>
      </c>
      <c r="B859" s="5">
        <f>'02a_DC_Capacity_Alloc'!B859</f>
        <v/>
      </c>
      <c r="C859" s="5">
        <f>'02a_DC_Capacity_Alloc'!C859</f>
        <v/>
      </c>
      <c r="D859" s="5">
        <f>'02a_DC_Capacity_Alloc'!D859</f>
        <v/>
      </c>
      <c r="E859" s="5">
        <f>'02a_DC_Capacity_Alloc'!E859</f>
        <v/>
      </c>
      <c r="F859" s="5">
        <f>'02a_DC_Capacity_Alloc'!F859</f>
        <v/>
      </c>
      <c r="G859" s="5">
        <f>B859&amp;"|"&amp;E859&amp;"|"&amp;D859</f>
        <v/>
      </c>
      <c r="H859" s="28">
        <f>'02a_DC_Capacity_Alloc'!H859*'02a_DC_Capacity_Alloc'!I859*'02a_DC_Capacity_Alloc'!J859</f>
        <v/>
      </c>
      <c r="I859" s="6">
        <f>IFERROR(INDEX('02b_DC_Accelerator_Mix'!$F$2:$F$977,MATCH(G859,'02b_DC_Accelerator_Mix'!$A$2:$A$977,0)),0)</f>
        <v/>
      </c>
      <c r="J859" s="6">
        <f>IFERROR(INDEX('02b_DC_Accelerator_Mix'!$G$2:$G$977,MATCH(G859,'02b_DC_Accelerator_Mix'!$A$2:$A$977,0)),0)</f>
        <v/>
      </c>
      <c r="K859" s="6">
        <f>IFERROR(INDEX('02b_DC_Accelerator_Mix'!$H$2:$H$977,MATCH(G859,'02b_DC_Accelerator_Mix'!$A$2:$A$977,0)),0)</f>
        <v/>
      </c>
      <c r="L859" s="6">
        <f>IFERROR(INDEX('02b_DC_Accelerator_Mix'!$I$2:$I$977,MATCH(G859,'02b_DC_Accelerator_Mix'!$A$2:$A$977,0)),0)</f>
        <v/>
      </c>
      <c r="M859" s="6">
        <f>IFERROR(INDEX('02b_DC_Accelerator_Mix'!$J$2:$J$977,MATCH(G859,'02b_DC_Accelerator_Mix'!$A$2:$A$977,0)),0)</f>
        <v/>
      </c>
      <c r="N859" s="6">
        <f>IFERROR(INDEX('02b_DC_Accelerator_Mix'!$K$2:$K$977,MATCH(G859,'02b_DC_Accelerator_Mix'!$A$2:$A$977,0)),0)</f>
        <v/>
      </c>
      <c r="O859" s="6">
        <f>IFERROR(INDEX('02b_DC_Accelerator_Mix'!$L$2:$L$977,MATCH(G859,'02b_DC_Accelerator_Mix'!$A$2:$A$977,0)),0)</f>
        <v/>
      </c>
      <c r="P859" s="6">
        <f>IFERROR(INDEX('02b_DC_Accelerator_Mix'!$M$2:$M$977,MATCH(G859,'02b_DC_Accelerator_Mix'!$A$2:$A$977,0)),0)</f>
        <v/>
      </c>
      <c r="Q859" s="6">
        <f>IFERROR(INDEX('02b_DC_Accelerator_Mix'!$N$2:$N$977,MATCH(G859,'02b_DC_Accelerator_Mix'!$A$2:$A$977,0)),0)</f>
        <v/>
      </c>
      <c r="R859" s="28">
        <f>H859*I859</f>
        <v/>
      </c>
      <c r="S859" s="28">
        <f>H859*J859</f>
        <v/>
      </c>
      <c r="T859" s="28">
        <f>H859*K859</f>
        <v/>
      </c>
      <c r="U859" s="28">
        <f>H859*L859</f>
        <v/>
      </c>
      <c r="V859" s="28">
        <f>H859*M859</f>
        <v/>
      </c>
      <c r="W859" s="28">
        <f>H859*N859</f>
        <v/>
      </c>
      <c r="X859" s="28">
        <f>H859*O859</f>
        <v/>
      </c>
      <c r="Y859" s="28">
        <f>H859*P859</f>
        <v/>
      </c>
      <c r="Z859" s="28">
        <f>H859*Q859</f>
        <v/>
      </c>
      <c r="AA859" s="28">
        <f>SUM(U859:Z859)</f>
        <v/>
      </c>
      <c r="AB859" s="5">
        <f>IF(COUNTIF('02b_DC_Accelerator_Mix'!$A$2:$A$977,G859)&gt;0,"matched","missing_mix")</f>
        <v/>
      </c>
    </row>
    <row r="860">
      <c r="A860" s="5">
        <f>'02a_DC_Capacity_Alloc'!A860</f>
        <v/>
      </c>
      <c r="B860" s="5">
        <f>'02a_DC_Capacity_Alloc'!B860</f>
        <v/>
      </c>
      <c r="C860" s="5">
        <f>'02a_DC_Capacity_Alloc'!C860</f>
        <v/>
      </c>
      <c r="D860" s="5">
        <f>'02a_DC_Capacity_Alloc'!D860</f>
        <v/>
      </c>
      <c r="E860" s="5">
        <f>'02a_DC_Capacity_Alloc'!E860</f>
        <v/>
      </c>
      <c r="F860" s="5">
        <f>'02a_DC_Capacity_Alloc'!F860</f>
        <v/>
      </c>
      <c r="G860" s="5">
        <f>B860&amp;"|"&amp;E860&amp;"|"&amp;D860</f>
        <v/>
      </c>
      <c r="H860" s="28">
        <f>'02a_DC_Capacity_Alloc'!H860*'02a_DC_Capacity_Alloc'!I860*'02a_DC_Capacity_Alloc'!J860</f>
        <v/>
      </c>
      <c r="I860" s="6">
        <f>IFERROR(INDEX('02b_DC_Accelerator_Mix'!$F$2:$F$977,MATCH(G860,'02b_DC_Accelerator_Mix'!$A$2:$A$977,0)),0)</f>
        <v/>
      </c>
      <c r="J860" s="6">
        <f>IFERROR(INDEX('02b_DC_Accelerator_Mix'!$G$2:$G$977,MATCH(G860,'02b_DC_Accelerator_Mix'!$A$2:$A$977,0)),0)</f>
        <v/>
      </c>
      <c r="K860" s="6">
        <f>IFERROR(INDEX('02b_DC_Accelerator_Mix'!$H$2:$H$977,MATCH(G860,'02b_DC_Accelerator_Mix'!$A$2:$A$977,0)),0)</f>
        <v/>
      </c>
      <c r="L860" s="6">
        <f>IFERROR(INDEX('02b_DC_Accelerator_Mix'!$I$2:$I$977,MATCH(G860,'02b_DC_Accelerator_Mix'!$A$2:$A$977,0)),0)</f>
        <v/>
      </c>
      <c r="M860" s="6">
        <f>IFERROR(INDEX('02b_DC_Accelerator_Mix'!$J$2:$J$977,MATCH(G860,'02b_DC_Accelerator_Mix'!$A$2:$A$977,0)),0)</f>
        <v/>
      </c>
      <c r="N860" s="6">
        <f>IFERROR(INDEX('02b_DC_Accelerator_Mix'!$K$2:$K$977,MATCH(G860,'02b_DC_Accelerator_Mix'!$A$2:$A$977,0)),0)</f>
        <v/>
      </c>
      <c r="O860" s="6">
        <f>IFERROR(INDEX('02b_DC_Accelerator_Mix'!$L$2:$L$977,MATCH(G860,'02b_DC_Accelerator_Mix'!$A$2:$A$977,0)),0)</f>
        <v/>
      </c>
      <c r="P860" s="6">
        <f>IFERROR(INDEX('02b_DC_Accelerator_Mix'!$M$2:$M$977,MATCH(G860,'02b_DC_Accelerator_Mix'!$A$2:$A$977,0)),0)</f>
        <v/>
      </c>
      <c r="Q860" s="6">
        <f>IFERROR(INDEX('02b_DC_Accelerator_Mix'!$N$2:$N$977,MATCH(G860,'02b_DC_Accelerator_Mix'!$A$2:$A$977,0)),0)</f>
        <v/>
      </c>
      <c r="R860" s="28">
        <f>H860*I860</f>
        <v/>
      </c>
      <c r="S860" s="28">
        <f>H860*J860</f>
        <v/>
      </c>
      <c r="T860" s="28">
        <f>H860*K860</f>
        <v/>
      </c>
      <c r="U860" s="28">
        <f>H860*L860</f>
        <v/>
      </c>
      <c r="V860" s="28">
        <f>H860*M860</f>
        <v/>
      </c>
      <c r="W860" s="28">
        <f>H860*N860</f>
        <v/>
      </c>
      <c r="X860" s="28">
        <f>H860*O860</f>
        <v/>
      </c>
      <c r="Y860" s="28">
        <f>H860*P860</f>
        <v/>
      </c>
      <c r="Z860" s="28">
        <f>H860*Q860</f>
        <v/>
      </c>
      <c r="AA860" s="28">
        <f>SUM(U860:Z860)</f>
        <v/>
      </c>
      <c r="AB860" s="5">
        <f>IF(COUNTIF('02b_DC_Accelerator_Mix'!$A$2:$A$977,G860)&gt;0,"matched","missing_mix")</f>
        <v/>
      </c>
    </row>
    <row r="861">
      <c r="A861" s="5">
        <f>'02a_DC_Capacity_Alloc'!A861</f>
        <v/>
      </c>
      <c r="B861" s="5">
        <f>'02a_DC_Capacity_Alloc'!B861</f>
        <v/>
      </c>
      <c r="C861" s="5">
        <f>'02a_DC_Capacity_Alloc'!C861</f>
        <v/>
      </c>
      <c r="D861" s="5">
        <f>'02a_DC_Capacity_Alloc'!D861</f>
        <v/>
      </c>
      <c r="E861" s="5">
        <f>'02a_DC_Capacity_Alloc'!E861</f>
        <v/>
      </c>
      <c r="F861" s="5">
        <f>'02a_DC_Capacity_Alloc'!F861</f>
        <v/>
      </c>
      <c r="G861" s="5">
        <f>B861&amp;"|"&amp;E861&amp;"|"&amp;D861</f>
        <v/>
      </c>
      <c r="H861" s="28">
        <f>'02a_DC_Capacity_Alloc'!H861*'02a_DC_Capacity_Alloc'!I861*'02a_DC_Capacity_Alloc'!J861</f>
        <v/>
      </c>
      <c r="I861" s="6">
        <f>IFERROR(INDEX('02b_DC_Accelerator_Mix'!$F$2:$F$977,MATCH(G861,'02b_DC_Accelerator_Mix'!$A$2:$A$977,0)),0)</f>
        <v/>
      </c>
      <c r="J861" s="6">
        <f>IFERROR(INDEX('02b_DC_Accelerator_Mix'!$G$2:$G$977,MATCH(G861,'02b_DC_Accelerator_Mix'!$A$2:$A$977,0)),0)</f>
        <v/>
      </c>
      <c r="K861" s="6">
        <f>IFERROR(INDEX('02b_DC_Accelerator_Mix'!$H$2:$H$977,MATCH(G861,'02b_DC_Accelerator_Mix'!$A$2:$A$977,0)),0)</f>
        <v/>
      </c>
      <c r="L861" s="6">
        <f>IFERROR(INDEX('02b_DC_Accelerator_Mix'!$I$2:$I$977,MATCH(G861,'02b_DC_Accelerator_Mix'!$A$2:$A$977,0)),0)</f>
        <v/>
      </c>
      <c r="M861" s="6">
        <f>IFERROR(INDEX('02b_DC_Accelerator_Mix'!$J$2:$J$977,MATCH(G861,'02b_DC_Accelerator_Mix'!$A$2:$A$977,0)),0)</f>
        <v/>
      </c>
      <c r="N861" s="6">
        <f>IFERROR(INDEX('02b_DC_Accelerator_Mix'!$K$2:$K$977,MATCH(G861,'02b_DC_Accelerator_Mix'!$A$2:$A$977,0)),0)</f>
        <v/>
      </c>
      <c r="O861" s="6">
        <f>IFERROR(INDEX('02b_DC_Accelerator_Mix'!$L$2:$L$977,MATCH(G861,'02b_DC_Accelerator_Mix'!$A$2:$A$977,0)),0)</f>
        <v/>
      </c>
      <c r="P861" s="6">
        <f>IFERROR(INDEX('02b_DC_Accelerator_Mix'!$M$2:$M$977,MATCH(G861,'02b_DC_Accelerator_Mix'!$A$2:$A$977,0)),0)</f>
        <v/>
      </c>
      <c r="Q861" s="6">
        <f>IFERROR(INDEX('02b_DC_Accelerator_Mix'!$N$2:$N$977,MATCH(G861,'02b_DC_Accelerator_Mix'!$A$2:$A$977,0)),0)</f>
        <v/>
      </c>
      <c r="R861" s="28">
        <f>H861*I861</f>
        <v/>
      </c>
      <c r="S861" s="28">
        <f>H861*J861</f>
        <v/>
      </c>
      <c r="T861" s="28">
        <f>H861*K861</f>
        <v/>
      </c>
      <c r="U861" s="28">
        <f>H861*L861</f>
        <v/>
      </c>
      <c r="V861" s="28">
        <f>H861*M861</f>
        <v/>
      </c>
      <c r="W861" s="28">
        <f>H861*N861</f>
        <v/>
      </c>
      <c r="X861" s="28">
        <f>H861*O861</f>
        <v/>
      </c>
      <c r="Y861" s="28">
        <f>H861*P861</f>
        <v/>
      </c>
      <c r="Z861" s="28">
        <f>H861*Q861</f>
        <v/>
      </c>
      <c r="AA861" s="28">
        <f>SUM(U861:Z861)</f>
        <v/>
      </c>
      <c r="AB861" s="5">
        <f>IF(COUNTIF('02b_DC_Accelerator_Mix'!$A$2:$A$977,G861)&gt;0,"matched","missing_mix")</f>
        <v/>
      </c>
    </row>
    <row r="862">
      <c r="A862" s="5">
        <f>'02a_DC_Capacity_Alloc'!A862</f>
        <v/>
      </c>
      <c r="B862" s="5">
        <f>'02a_DC_Capacity_Alloc'!B862</f>
        <v/>
      </c>
      <c r="C862" s="5">
        <f>'02a_DC_Capacity_Alloc'!C862</f>
        <v/>
      </c>
      <c r="D862" s="5">
        <f>'02a_DC_Capacity_Alloc'!D862</f>
        <v/>
      </c>
      <c r="E862" s="5">
        <f>'02a_DC_Capacity_Alloc'!E862</f>
        <v/>
      </c>
      <c r="F862" s="5">
        <f>'02a_DC_Capacity_Alloc'!F862</f>
        <v/>
      </c>
      <c r="G862" s="5">
        <f>B862&amp;"|"&amp;E862&amp;"|"&amp;D862</f>
        <v/>
      </c>
      <c r="H862" s="28">
        <f>'02a_DC_Capacity_Alloc'!H862*'02a_DC_Capacity_Alloc'!I862*'02a_DC_Capacity_Alloc'!J862</f>
        <v/>
      </c>
      <c r="I862" s="6">
        <f>IFERROR(INDEX('02b_DC_Accelerator_Mix'!$F$2:$F$977,MATCH(G862,'02b_DC_Accelerator_Mix'!$A$2:$A$977,0)),0)</f>
        <v/>
      </c>
      <c r="J862" s="6">
        <f>IFERROR(INDEX('02b_DC_Accelerator_Mix'!$G$2:$G$977,MATCH(G862,'02b_DC_Accelerator_Mix'!$A$2:$A$977,0)),0)</f>
        <v/>
      </c>
      <c r="K862" s="6">
        <f>IFERROR(INDEX('02b_DC_Accelerator_Mix'!$H$2:$H$977,MATCH(G862,'02b_DC_Accelerator_Mix'!$A$2:$A$977,0)),0)</f>
        <v/>
      </c>
      <c r="L862" s="6">
        <f>IFERROR(INDEX('02b_DC_Accelerator_Mix'!$I$2:$I$977,MATCH(G862,'02b_DC_Accelerator_Mix'!$A$2:$A$977,0)),0)</f>
        <v/>
      </c>
      <c r="M862" s="6">
        <f>IFERROR(INDEX('02b_DC_Accelerator_Mix'!$J$2:$J$977,MATCH(G862,'02b_DC_Accelerator_Mix'!$A$2:$A$977,0)),0)</f>
        <v/>
      </c>
      <c r="N862" s="6">
        <f>IFERROR(INDEX('02b_DC_Accelerator_Mix'!$K$2:$K$977,MATCH(G862,'02b_DC_Accelerator_Mix'!$A$2:$A$977,0)),0)</f>
        <v/>
      </c>
      <c r="O862" s="6">
        <f>IFERROR(INDEX('02b_DC_Accelerator_Mix'!$L$2:$L$977,MATCH(G862,'02b_DC_Accelerator_Mix'!$A$2:$A$977,0)),0)</f>
        <v/>
      </c>
      <c r="P862" s="6">
        <f>IFERROR(INDEX('02b_DC_Accelerator_Mix'!$M$2:$M$977,MATCH(G862,'02b_DC_Accelerator_Mix'!$A$2:$A$977,0)),0)</f>
        <v/>
      </c>
      <c r="Q862" s="6">
        <f>IFERROR(INDEX('02b_DC_Accelerator_Mix'!$N$2:$N$977,MATCH(G862,'02b_DC_Accelerator_Mix'!$A$2:$A$977,0)),0)</f>
        <v/>
      </c>
      <c r="R862" s="28">
        <f>H862*I862</f>
        <v/>
      </c>
      <c r="S862" s="28">
        <f>H862*J862</f>
        <v/>
      </c>
      <c r="T862" s="28">
        <f>H862*K862</f>
        <v/>
      </c>
      <c r="U862" s="28">
        <f>H862*L862</f>
        <v/>
      </c>
      <c r="V862" s="28">
        <f>H862*M862</f>
        <v/>
      </c>
      <c r="W862" s="28">
        <f>H862*N862</f>
        <v/>
      </c>
      <c r="X862" s="28">
        <f>H862*O862</f>
        <v/>
      </c>
      <c r="Y862" s="28">
        <f>H862*P862</f>
        <v/>
      </c>
      <c r="Z862" s="28">
        <f>H862*Q862</f>
        <v/>
      </c>
      <c r="AA862" s="28">
        <f>SUM(U862:Z862)</f>
        <v/>
      </c>
      <c r="AB862" s="5">
        <f>IF(COUNTIF('02b_DC_Accelerator_Mix'!$A$2:$A$977,G862)&gt;0,"matched","missing_mix")</f>
        <v/>
      </c>
    </row>
    <row r="863">
      <c r="A863" s="5">
        <f>'02a_DC_Capacity_Alloc'!A863</f>
        <v/>
      </c>
      <c r="B863" s="5">
        <f>'02a_DC_Capacity_Alloc'!B863</f>
        <v/>
      </c>
      <c r="C863" s="5">
        <f>'02a_DC_Capacity_Alloc'!C863</f>
        <v/>
      </c>
      <c r="D863" s="5">
        <f>'02a_DC_Capacity_Alloc'!D863</f>
        <v/>
      </c>
      <c r="E863" s="5">
        <f>'02a_DC_Capacity_Alloc'!E863</f>
        <v/>
      </c>
      <c r="F863" s="5">
        <f>'02a_DC_Capacity_Alloc'!F863</f>
        <v/>
      </c>
      <c r="G863" s="5">
        <f>B863&amp;"|"&amp;E863&amp;"|"&amp;D863</f>
        <v/>
      </c>
      <c r="H863" s="28">
        <f>'02a_DC_Capacity_Alloc'!H863*'02a_DC_Capacity_Alloc'!I863*'02a_DC_Capacity_Alloc'!J863</f>
        <v/>
      </c>
      <c r="I863" s="6">
        <f>IFERROR(INDEX('02b_DC_Accelerator_Mix'!$F$2:$F$977,MATCH(G863,'02b_DC_Accelerator_Mix'!$A$2:$A$977,0)),0)</f>
        <v/>
      </c>
      <c r="J863" s="6">
        <f>IFERROR(INDEX('02b_DC_Accelerator_Mix'!$G$2:$G$977,MATCH(G863,'02b_DC_Accelerator_Mix'!$A$2:$A$977,0)),0)</f>
        <v/>
      </c>
      <c r="K863" s="6">
        <f>IFERROR(INDEX('02b_DC_Accelerator_Mix'!$H$2:$H$977,MATCH(G863,'02b_DC_Accelerator_Mix'!$A$2:$A$977,0)),0)</f>
        <v/>
      </c>
      <c r="L863" s="6">
        <f>IFERROR(INDEX('02b_DC_Accelerator_Mix'!$I$2:$I$977,MATCH(G863,'02b_DC_Accelerator_Mix'!$A$2:$A$977,0)),0)</f>
        <v/>
      </c>
      <c r="M863" s="6">
        <f>IFERROR(INDEX('02b_DC_Accelerator_Mix'!$J$2:$J$977,MATCH(G863,'02b_DC_Accelerator_Mix'!$A$2:$A$977,0)),0)</f>
        <v/>
      </c>
      <c r="N863" s="6">
        <f>IFERROR(INDEX('02b_DC_Accelerator_Mix'!$K$2:$K$977,MATCH(G863,'02b_DC_Accelerator_Mix'!$A$2:$A$977,0)),0)</f>
        <v/>
      </c>
      <c r="O863" s="6">
        <f>IFERROR(INDEX('02b_DC_Accelerator_Mix'!$L$2:$L$977,MATCH(G863,'02b_DC_Accelerator_Mix'!$A$2:$A$977,0)),0)</f>
        <v/>
      </c>
      <c r="P863" s="6">
        <f>IFERROR(INDEX('02b_DC_Accelerator_Mix'!$M$2:$M$977,MATCH(G863,'02b_DC_Accelerator_Mix'!$A$2:$A$977,0)),0)</f>
        <v/>
      </c>
      <c r="Q863" s="6">
        <f>IFERROR(INDEX('02b_DC_Accelerator_Mix'!$N$2:$N$977,MATCH(G863,'02b_DC_Accelerator_Mix'!$A$2:$A$977,0)),0)</f>
        <v/>
      </c>
      <c r="R863" s="28">
        <f>H863*I863</f>
        <v/>
      </c>
      <c r="S863" s="28">
        <f>H863*J863</f>
        <v/>
      </c>
      <c r="T863" s="28">
        <f>H863*K863</f>
        <v/>
      </c>
      <c r="U863" s="28">
        <f>H863*L863</f>
        <v/>
      </c>
      <c r="V863" s="28">
        <f>H863*M863</f>
        <v/>
      </c>
      <c r="W863" s="28">
        <f>H863*N863</f>
        <v/>
      </c>
      <c r="X863" s="28">
        <f>H863*O863</f>
        <v/>
      </c>
      <c r="Y863" s="28">
        <f>H863*P863</f>
        <v/>
      </c>
      <c r="Z863" s="28">
        <f>H863*Q863</f>
        <v/>
      </c>
      <c r="AA863" s="28">
        <f>SUM(U863:Z863)</f>
        <v/>
      </c>
      <c r="AB863" s="5">
        <f>IF(COUNTIF('02b_DC_Accelerator_Mix'!$A$2:$A$977,G863)&gt;0,"matched","missing_mix")</f>
        <v/>
      </c>
    </row>
    <row r="864">
      <c r="A864" s="5">
        <f>'02a_DC_Capacity_Alloc'!A864</f>
        <v/>
      </c>
      <c r="B864" s="5">
        <f>'02a_DC_Capacity_Alloc'!B864</f>
        <v/>
      </c>
      <c r="C864" s="5">
        <f>'02a_DC_Capacity_Alloc'!C864</f>
        <v/>
      </c>
      <c r="D864" s="5">
        <f>'02a_DC_Capacity_Alloc'!D864</f>
        <v/>
      </c>
      <c r="E864" s="5">
        <f>'02a_DC_Capacity_Alloc'!E864</f>
        <v/>
      </c>
      <c r="F864" s="5">
        <f>'02a_DC_Capacity_Alloc'!F864</f>
        <v/>
      </c>
      <c r="G864" s="5">
        <f>B864&amp;"|"&amp;E864&amp;"|"&amp;D864</f>
        <v/>
      </c>
      <c r="H864" s="28">
        <f>'02a_DC_Capacity_Alloc'!H864*'02a_DC_Capacity_Alloc'!I864*'02a_DC_Capacity_Alloc'!J864</f>
        <v/>
      </c>
      <c r="I864" s="6">
        <f>IFERROR(INDEX('02b_DC_Accelerator_Mix'!$F$2:$F$977,MATCH(G864,'02b_DC_Accelerator_Mix'!$A$2:$A$977,0)),0)</f>
        <v/>
      </c>
      <c r="J864" s="6">
        <f>IFERROR(INDEX('02b_DC_Accelerator_Mix'!$G$2:$G$977,MATCH(G864,'02b_DC_Accelerator_Mix'!$A$2:$A$977,0)),0)</f>
        <v/>
      </c>
      <c r="K864" s="6">
        <f>IFERROR(INDEX('02b_DC_Accelerator_Mix'!$H$2:$H$977,MATCH(G864,'02b_DC_Accelerator_Mix'!$A$2:$A$977,0)),0)</f>
        <v/>
      </c>
      <c r="L864" s="6">
        <f>IFERROR(INDEX('02b_DC_Accelerator_Mix'!$I$2:$I$977,MATCH(G864,'02b_DC_Accelerator_Mix'!$A$2:$A$977,0)),0)</f>
        <v/>
      </c>
      <c r="M864" s="6">
        <f>IFERROR(INDEX('02b_DC_Accelerator_Mix'!$J$2:$J$977,MATCH(G864,'02b_DC_Accelerator_Mix'!$A$2:$A$977,0)),0)</f>
        <v/>
      </c>
      <c r="N864" s="6">
        <f>IFERROR(INDEX('02b_DC_Accelerator_Mix'!$K$2:$K$977,MATCH(G864,'02b_DC_Accelerator_Mix'!$A$2:$A$977,0)),0)</f>
        <v/>
      </c>
      <c r="O864" s="6">
        <f>IFERROR(INDEX('02b_DC_Accelerator_Mix'!$L$2:$L$977,MATCH(G864,'02b_DC_Accelerator_Mix'!$A$2:$A$977,0)),0)</f>
        <v/>
      </c>
      <c r="P864" s="6">
        <f>IFERROR(INDEX('02b_DC_Accelerator_Mix'!$M$2:$M$977,MATCH(G864,'02b_DC_Accelerator_Mix'!$A$2:$A$977,0)),0)</f>
        <v/>
      </c>
      <c r="Q864" s="6">
        <f>IFERROR(INDEX('02b_DC_Accelerator_Mix'!$N$2:$N$977,MATCH(G864,'02b_DC_Accelerator_Mix'!$A$2:$A$977,0)),0)</f>
        <v/>
      </c>
      <c r="R864" s="28">
        <f>H864*I864</f>
        <v/>
      </c>
      <c r="S864" s="28">
        <f>H864*J864</f>
        <v/>
      </c>
      <c r="T864" s="28">
        <f>H864*K864</f>
        <v/>
      </c>
      <c r="U864" s="28">
        <f>H864*L864</f>
        <v/>
      </c>
      <c r="V864" s="28">
        <f>H864*M864</f>
        <v/>
      </c>
      <c r="W864" s="28">
        <f>H864*N864</f>
        <v/>
      </c>
      <c r="X864" s="28">
        <f>H864*O864</f>
        <v/>
      </c>
      <c r="Y864" s="28">
        <f>H864*P864</f>
        <v/>
      </c>
      <c r="Z864" s="28">
        <f>H864*Q864</f>
        <v/>
      </c>
      <c r="AA864" s="28">
        <f>SUM(U864:Z864)</f>
        <v/>
      </c>
      <c r="AB864" s="5">
        <f>IF(COUNTIF('02b_DC_Accelerator_Mix'!$A$2:$A$977,G864)&gt;0,"matched","missing_mix")</f>
        <v/>
      </c>
    </row>
    <row r="865">
      <c r="A865" s="5">
        <f>'02a_DC_Capacity_Alloc'!A865</f>
        <v/>
      </c>
      <c r="B865" s="5">
        <f>'02a_DC_Capacity_Alloc'!B865</f>
        <v/>
      </c>
      <c r="C865" s="5">
        <f>'02a_DC_Capacity_Alloc'!C865</f>
        <v/>
      </c>
      <c r="D865" s="5">
        <f>'02a_DC_Capacity_Alloc'!D865</f>
        <v/>
      </c>
      <c r="E865" s="5">
        <f>'02a_DC_Capacity_Alloc'!E865</f>
        <v/>
      </c>
      <c r="F865" s="5">
        <f>'02a_DC_Capacity_Alloc'!F865</f>
        <v/>
      </c>
      <c r="G865" s="5">
        <f>B865&amp;"|"&amp;E865&amp;"|"&amp;D865</f>
        <v/>
      </c>
      <c r="H865" s="28">
        <f>'02a_DC_Capacity_Alloc'!H865*'02a_DC_Capacity_Alloc'!I865*'02a_DC_Capacity_Alloc'!J865</f>
        <v/>
      </c>
      <c r="I865" s="6">
        <f>IFERROR(INDEX('02b_DC_Accelerator_Mix'!$F$2:$F$977,MATCH(G865,'02b_DC_Accelerator_Mix'!$A$2:$A$977,0)),0)</f>
        <v/>
      </c>
      <c r="J865" s="6">
        <f>IFERROR(INDEX('02b_DC_Accelerator_Mix'!$G$2:$G$977,MATCH(G865,'02b_DC_Accelerator_Mix'!$A$2:$A$977,0)),0)</f>
        <v/>
      </c>
      <c r="K865" s="6">
        <f>IFERROR(INDEX('02b_DC_Accelerator_Mix'!$H$2:$H$977,MATCH(G865,'02b_DC_Accelerator_Mix'!$A$2:$A$977,0)),0)</f>
        <v/>
      </c>
      <c r="L865" s="6">
        <f>IFERROR(INDEX('02b_DC_Accelerator_Mix'!$I$2:$I$977,MATCH(G865,'02b_DC_Accelerator_Mix'!$A$2:$A$977,0)),0)</f>
        <v/>
      </c>
      <c r="M865" s="6">
        <f>IFERROR(INDEX('02b_DC_Accelerator_Mix'!$J$2:$J$977,MATCH(G865,'02b_DC_Accelerator_Mix'!$A$2:$A$977,0)),0)</f>
        <v/>
      </c>
      <c r="N865" s="6">
        <f>IFERROR(INDEX('02b_DC_Accelerator_Mix'!$K$2:$K$977,MATCH(G865,'02b_DC_Accelerator_Mix'!$A$2:$A$977,0)),0)</f>
        <v/>
      </c>
      <c r="O865" s="6">
        <f>IFERROR(INDEX('02b_DC_Accelerator_Mix'!$L$2:$L$977,MATCH(G865,'02b_DC_Accelerator_Mix'!$A$2:$A$977,0)),0)</f>
        <v/>
      </c>
      <c r="P865" s="6">
        <f>IFERROR(INDEX('02b_DC_Accelerator_Mix'!$M$2:$M$977,MATCH(G865,'02b_DC_Accelerator_Mix'!$A$2:$A$977,0)),0)</f>
        <v/>
      </c>
      <c r="Q865" s="6">
        <f>IFERROR(INDEX('02b_DC_Accelerator_Mix'!$N$2:$N$977,MATCH(G865,'02b_DC_Accelerator_Mix'!$A$2:$A$977,0)),0)</f>
        <v/>
      </c>
      <c r="R865" s="28">
        <f>H865*I865</f>
        <v/>
      </c>
      <c r="S865" s="28">
        <f>H865*J865</f>
        <v/>
      </c>
      <c r="T865" s="28">
        <f>H865*K865</f>
        <v/>
      </c>
      <c r="U865" s="28">
        <f>H865*L865</f>
        <v/>
      </c>
      <c r="V865" s="28">
        <f>H865*M865</f>
        <v/>
      </c>
      <c r="W865" s="28">
        <f>H865*N865</f>
        <v/>
      </c>
      <c r="X865" s="28">
        <f>H865*O865</f>
        <v/>
      </c>
      <c r="Y865" s="28">
        <f>H865*P865</f>
        <v/>
      </c>
      <c r="Z865" s="28">
        <f>H865*Q865</f>
        <v/>
      </c>
      <c r="AA865" s="28">
        <f>SUM(U865:Z865)</f>
        <v/>
      </c>
      <c r="AB865" s="5">
        <f>IF(COUNTIF('02b_DC_Accelerator_Mix'!$A$2:$A$977,G865)&gt;0,"matched","missing_mix")</f>
        <v/>
      </c>
    </row>
    <row r="866">
      <c r="A866" s="5">
        <f>'02a_DC_Capacity_Alloc'!A866</f>
        <v/>
      </c>
      <c r="B866" s="5">
        <f>'02a_DC_Capacity_Alloc'!B866</f>
        <v/>
      </c>
      <c r="C866" s="5">
        <f>'02a_DC_Capacity_Alloc'!C866</f>
        <v/>
      </c>
      <c r="D866" s="5">
        <f>'02a_DC_Capacity_Alloc'!D866</f>
        <v/>
      </c>
      <c r="E866" s="5">
        <f>'02a_DC_Capacity_Alloc'!E866</f>
        <v/>
      </c>
      <c r="F866" s="5">
        <f>'02a_DC_Capacity_Alloc'!F866</f>
        <v/>
      </c>
      <c r="G866" s="5">
        <f>B866&amp;"|"&amp;E866&amp;"|"&amp;D866</f>
        <v/>
      </c>
      <c r="H866" s="28">
        <f>'02a_DC_Capacity_Alloc'!H866*'02a_DC_Capacity_Alloc'!I866*'02a_DC_Capacity_Alloc'!J866</f>
        <v/>
      </c>
      <c r="I866" s="6">
        <f>IFERROR(INDEX('02b_DC_Accelerator_Mix'!$F$2:$F$977,MATCH(G866,'02b_DC_Accelerator_Mix'!$A$2:$A$977,0)),0)</f>
        <v/>
      </c>
      <c r="J866" s="6">
        <f>IFERROR(INDEX('02b_DC_Accelerator_Mix'!$G$2:$G$977,MATCH(G866,'02b_DC_Accelerator_Mix'!$A$2:$A$977,0)),0)</f>
        <v/>
      </c>
      <c r="K866" s="6">
        <f>IFERROR(INDEX('02b_DC_Accelerator_Mix'!$H$2:$H$977,MATCH(G866,'02b_DC_Accelerator_Mix'!$A$2:$A$977,0)),0)</f>
        <v/>
      </c>
      <c r="L866" s="6">
        <f>IFERROR(INDEX('02b_DC_Accelerator_Mix'!$I$2:$I$977,MATCH(G866,'02b_DC_Accelerator_Mix'!$A$2:$A$977,0)),0)</f>
        <v/>
      </c>
      <c r="M866" s="6">
        <f>IFERROR(INDEX('02b_DC_Accelerator_Mix'!$J$2:$J$977,MATCH(G866,'02b_DC_Accelerator_Mix'!$A$2:$A$977,0)),0)</f>
        <v/>
      </c>
      <c r="N866" s="6">
        <f>IFERROR(INDEX('02b_DC_Accelerator_Mix'!$K$2:$K$977,MATCH(G866,'02b_DC_Accelerator_Mix'!$A$2:$A$977,0)),0)</f>
        <v/>
      </c>
      <c r="O866" s="6">
        <f>IFERROR(INDEX('02b_DC_Accelerator_Mix'!$L$2:$L$977,MATCH(G866,'02b_DC_Accelerator_Mix'!$A$2:$A$977,0)),0)</f>
        <v/>
      </c>
      <c r="P866" s="6">
        <f>IFERROR(INDEX('02b_DC_Accelerator_Mix'!$M$2:$M$977,MATCH(G866,'02b_DC_Accelerator_Mix'!$A$2:$A$977,0)),0)</f>
        <v/>
      </c>
      <c r="Q866" s="6">
        <f>IFERROR(INDEX('02b_DC_Accelerator_Mix'!$N$2:$N$977,MATCH(G866,'02b_DC_Accelerator_Mix'!$A$2:$A$977,0)),0)</f>
        <v/>
      </c>
      <c r="R866" s="28">
        <f>H866*I866</f>
        <v/>
      </c>
      <c r="S866" s="28">
        <f>H866*J866</f>
        <v/>
      </c>
      <c r="T866" s="28">
        <f>H866*K866</f>
        <v/>
      </c>
      <c r="U866" s="28">
        <f>H866*L866</f>
        <v/>
      </c>
      <c r="V866" s="28">
        <f>H866*M866</f>
        <v/>
      </c>
      <c r="W866" s="28">
        <f>H866*N866</f>
        <v/>
      </c>
      <c r="X866" s="28">
        <f>H866*O866</f>
        <v/>
      </c>
      <c r="Y866" s="28">
        <f>H866*P866</f>
        <v/>
      </c>
      <c r="Z866" s="28">
        <f>H866*Q866</f>
        <v/>
      </c>
      <c r="AA866" s="28">
        <f>SUM(U866:Z866)</f>
        <v/>
      </c>
      <c r="AB866" s="5">
        <f>IF(COUNTIF('02b_DC_Accelerator_Mix'!$A$2:$A$977,G866)&gt;0,"matched","missing_mix")</f>
        <v/>
      </c>
    </row>
    <row r="867">
      <c r="A867" s="5">
        <f>'02a_DC_Capacity_Alloc'!A867</f>
        <v/>
      </c>
      <c r="B867" s="5">
        <f>'02a_DC_Capacity_Alloc'!B867</f>
        <v/>
      </c>
      <c r="C867" s="5">
        <f>'02a_DC_Capacity_Alloc'!C867</f>
        <v/>
      </c>
      <c r="D867" s="5">
        <f>'02a_DC_Capacity_Alloc'!D867</f>
        <v/>
      </c>
      <c r="E867" s="5">
        <f>'02a_DC_Capacity_Alloc'!E867</f>
        <v/>
      </c>
      <c r="F867" s="5">
        <f>'02a_DC_Capacity_Alloc'!F867</f>
        <v/>
      </c>
      <c r="G867" s="5">
        <f>B867&amp;"|"&amp;E867&amp;"|"&amp;D867</f>
        <v/>
      </c>
      <c r="H867" s="28">
        <f>'02a_DC_Capacity_Alloc'!H867*'02a_DC_Capacity_Alloc'!I867*'02a_DC_Capacity_Alloc'!J867</f>
        <v/>
      </c>
      <c r="I867" s="6">
        <f>IFERROR(INDEX('02b_DC_Accelerator_Mix'!$F$2:$F$977,MATCH(G867,'02b_DC_Accelerator_Mix'!$A$2:$A$977,0)),0)</f>
        <v/>
      </c>
      <c r="J867" s="6">
        <f>IFERROR(INDEX('02b_DC_Accelerator_Mix'!$G$2:$G$977,MATCH(G867,'02b_DC_Accelerator_Mix'!$A$2:$A$977,0)),0)</f>
        <v/>
      </c>
      <c r="K867" s="6">
        <f>IFERROR(INDEX('02b_DC_Accelerator_Mix'!$H$2:$H$977,MATCH(G867,'02b_DC_Accelerator_Mix'!$A$2:$A$977,0)),0)</f>
        <v/>
      </c>
      <c r="L867" s="6">
        <f>IFERROR(INDEX('02b_DC_Accelerator_Mix'!$I$2:$I$977,MATCH(G867,'02b_DC_Accelerator_Mix'!$A$2:$A$977,0)),0)</f>
        <v/>
      </c>
      <c r="M867" s="6">
        <f>IFERROR(INDEX('02b_DC_Accelerator_Mix'!$J$2:$J$977,MATCH(G867,'02b_DC_Accelerator_Mix'!$A$2:$A$977,0)),0)</f>
        <v/>
      </c>
      <c r="N867" s="6">
        <f>IFERROR(INDEX('02b_DC_Accelerator_Mix'!$K$2:$K$977,MATCH(G867,'02b_DC_Accelerator_Mix'!$A$2:$A$977,0)),0)</f>
        <v/>
      </c>
      <c r="O867" s="6">
        <f>IFERROR(INDEX('02b_DC_Accelerator_Mix'!$L$2:$L$977,MATCH(G867,'02b_DC_Accelerator_Mix'!$A$2:$A$977,0)),0)</f>
        <v/>
      </c>
      <c r="P867" s="6">
        <f>IFERROR(INDEX('02b_DC_Accelerator_Mix'!$M$2:$M$977,MATCH(G867,'02b_DC_Accelerator_Mix'!$A$2:$A$977,0)),0)</f>
        <v/>
      </c>
      <c r="Q867" s="6">
        <f>IFERROR(INDEX('02b_DC_Accelerator_Mix'!$N$2:$N$977,MATCH(G867,'02b_DC_Accelerator_Mix'!$A$2:$A$977,0)),0)</f>
        <v/>
      </c>
      <c r="R867" s="28">
        <f>H867*I867</f>
        <v/>
      </c>
      <c r="S867" s="28">
        <f>H867*J867</f>
        <v/>
      </c>
      <c r="T867" s="28">
        <f>H867*K867</f>
        <v/>
      </c>
      <c r="U867" s="28">
        <f>H867*L867</f>
        <v/>
      </c>
      <c r="V867" s="28">
        <f>H867*M867</f>
        <v/>
      </c>
      <c r="W867" s="28">
        <f>H867*N867</f>
        <v/>
      </c>
      <c r="X867" s="28">
        <f>H867*O867</f>
        <v/>
      </c>
      <c r="Y867" s="28">
        <f>H867*P867</f>
        <v/>
      </c>
      <c r="Z867" s="28">
        <f>H867*Q867</f>
        <v/>
      </c>
      <c r="AA867" s="28">
        <f>SUM(U867:Z867)</f>
        <v/>
      </c>
      <c r="AB867" s="5">
        <f>IF(COUNTIF('02b_DC_Accelerator_Mix'!$A$2:$A$977,G867)&gt;0,"matched","missing_mix")</f>
        <v/>
      </c>
    </row>
    <row r="868">
      <c r="A868" s="5">
        <f>'02a_DC_Capacity_Alloc'!A868</f>
        <v/>
      </c>
      <c r="B868" s="5">
        <f>'02a_DC_Capacity_Alloc'!B868</f>
        <v/>
      </c>
      <c r="C868" s="5">
        <f>'02a_DC_Capacity_Alloc'!C868</f>
        <v/>
      </c>
      <c r="D868" s="5">
        <f>'02a_DC_Capacity_Alloc'!D868</f>
        <v/>
      </c>
      <c r="E868" s="5">
        <f>'02a_DC_Capacity_Alloc'!E868</f>
        <v/>
      </c>
      <c r="F868" s="5">
        <f>'02a_DC_Capacity_Alloc'!F868</f>
        <v/>
      </c>
      <c r="G868" s="5">
        <f>B868&amp;"|"&amp;E868&amp;"|"&amp;D868</f>
        <v/>
      </c>
      <c r="H868" s="28">
        <f>'02a_DC_Capacity_Alloc'!H868*'02a_DC_Capacity_Alloc'!I868*'02a_DC_Capacity_Alloc'!J868</f>
        <v/>
      </c>
      <c r="I868" s="6">
        <f>IFERROR(INDEX('02b_DC_Accelerator_Mix'!$F$2:$F$977,MATCH(G868,'02b_DC_Accelerator_Mix'!$A$2:$A$977,0)),0)</f>
        <v/>
      </c>
      <c r="J868" s="6">
        <f>IFERROR(INDEX('02b_DC_Accelerator_Mix'!$G$2:$G$977,MATCH(G868,'02b_DC_Accelerator_Mix'!$A$2:$A$977,0)),0)</f>
        <v/>
      </c>
      <c r="K868" s="6">
        <f>IFERROR(INDEX('02b_DC_Accelerator_Mix'!$H$2:$H$977,MATCH(G868,'02b_DC_Accelerator_Mix'!$A$2:$A$977,0)),0)</f>
        <v/>
      </c>
      <c r="L868" s="6">
        <f>IFERROR(INDEX('02b_DC_Accelerator_Mix'!$I$2:$I$977,MATCH(G868,'02b_DC_Accelerator_Mix'!$A$2:$A$977,0)),0)</f>
        <v/>
      </c>
      <c r="M868" s="6">
        <f>IFERROR(INDEX('02b_DC_Accelerator_Mix'!$J$2:$J$977,MATCH(G868,'02b_DC_Accelerator_Mix'!$A$2:$A$977,0)),0)</f>
        <v/>
      </c>
      <c r="N868" s="6">
        <f>IFERROR(INDEX('02b_DC_Accelerator_Mix'!$K$2:$K$977,MATCH(G868,'02b_DC_Accelerator_Mix'!$A$2:$A$977,0)),0)</f>
        <v/>
      </c>
      <c r="O868" s="6">
        <f>IFERROR(INDEX('02b_DC_Accelerator_Mix'!$L$2:$L$977,MATCH(G868,'02b_DC_Accelerator_Mix'!$A$2:$A$977,0)),0)</f>
        <v/>
      </c>
      <c r="P868" s="6">
        <f>IFERROR(INDEX('02b_DC_Accelerator_Mix'!$M$2:$M$977,MATCH(G868,'02b_DC_Accelerator_Mix'!$A$2:$A$977,0)),0)</f>
        <v/>
      </c>
      <c r="Q868" s="6">
        <f>IFERROR(INDEX('02b_DC_Accelerator_Mix'!$N$2:$N$977,MATCH(G868,'02b_DC_Accelerator_Mix'!$A$2:$A$977,0)),0)</f>
        <v/>
      </c>
      <c r="R868" s="28">
        <f>H868*I868</f>
        <v/>
      </c>
      <c r="S868" s="28">
        <f>H868*J868</f>
        <v/>
      </c>
      <c r="T868" s="28">
        <f>H868*K868</f>
        <v/>
      </c>
      <c r="U868" s="28">
        <f>H868*L868</f>
        <v/>
      </c>
      <c r="V868" s="28">
        <f>H868*M868</f>
        <v/>
      </c>
      <c r="W868" s="28">
        <f>H868*N868</f>
        <v/>
      </c>
      <c r="X868" s="28">
        <f>H868*O868</f>
        <v/>
      </c>
      <c r="Y868" s="28">
        <f>H868*P868</f>
        <v/>
      </c>
      <c r="Z868" s="28">
        <f>H868*Q868</f>
        <v/>
      </c>
      <c r="AA868" s="28">
        <f>SUM(U868:Z868)</f>
        <v/>
      </c>
      <c r="AB868" s="5">
        <f>IF(COUNTIF('02b_DC_Accelerator_Mix'!$A$2:$A$977,G868)&gt;0,"matched","missing_mix")</f>
        <v/>
      </c>
    </row>
    <row r="869">
      <c r="A869" s="5">
        <f>'02a_DC_Capacity_Alloc'!A869</f>
        <v/>
      </c>
      <c r="B869" s="5">
        <f>'02a_DC_Capacity_Alloc'!B869</f>
        <v/>
      </c>
      <c r="C869" s="5">
        <f>'02a_DC_Capacity_Alloc'!C869</f>
        <v/>
      </c>
      <c r="D869" s="5">
        <f>'02a_DC_Capacity_Alloc'!D869</f>
        <v/>
      </c>
      <c r="E869" s="5">
        <f>'02a_DC_Capacity_Alloc'!E869</f>
        <v/>
      </c>
      <c r="F869" s="5">
        <f>'02a_DC_Capacity_Alloc'!F869</f>
        <v/>
      </c>
      <c r="G869" s="5">
        <f>B869&amp;"|"&amp;E869&amp;"|"&amp;D869</f>
        <v/>
      </c>
      <c r="H869" s="28">
        <f>'02a_DC_Capacity_Alloc'!H869*'02a_DC_Capacity_Alloc'!I869*'02a_DC_Capacity_Alloc'!J869</f>
        <v/>
      </c>
      <c r="I869" s="6">
        <f>IFERROR(INDEX('02b_DC_Accelerator_Mix'!$F$2:$F$977,MATCH(G869,'02b_DC_Accelerator_Mix'!$A$2:$A$977,0)),0)</f>
        <v/>
      </c>
      <c r="J869" s="6">
        <f>IFERROR(INDEX('02b_DC_Accelerator_Mix'!$G$2:$G$977,MATCH(G869,'02b_DC_Accelerator_Mix'!$A$2:$A$977,0)),0)</f>
        <v/>
      </c>
      <c r="K869" s="6">
        <f>IFERROR(INDEX('02b_DC_Accelerator_Mix'!$H$2:$H$977,MATCH(G869,'02b_DC_Accelerator_Mix'!$A$2:$A$977,0)),0)</f>
        <v/>
      </c>
      <c r="L869" s="6">
        <f>IFERROR(INDEX('02b_DC_Accelerator_Mix'!$I$2:$I$977,MATCH(G869,'02b_DC_Accelerator_Mix'!$A$2:$A$977,0)),0)</f>
        <v/>
      </c>
      <c r="M869" s="6">
        <f>IFERROR(INDEX('02b_DC_Accelerator_Mix'!$J$2:$J$977,MATCH(G869,'02b_DC_Accelerator_Mix'!$A$2:$A$977,0)),0)</f>
        <v/>
      </c>
      <c r="N869" s="6">
        <f>IFERROR(INDEX('02b_DC_Accelerator_Mix'!$K$2:$K$977,MATCH(G869,'02b_DC_Accelerator_Mix'!$A$2:$A$977,0)),0)</f>
        <v/>
      </c>
      <c r="O869" s="6">
        <f>IFERROR(INDEX('02b_DC_Accelerator_Mix'!$L$2:$L$977,MATCH(G869,'02b_DC_Accelerator_Mix'!$A$2:$A$977,0)),0)</f>
        <v/>
      </c>
      <c r="P869" s="6">
        <f>IFERROR(INDEX('02b_DC_Accelerator_Mix'!$M$2:$M$977,MATCH(G869,'02b_DC_Accelerator_Mix'!$A$2:$A$977,0)),0)</f>
        <v/>
      </c>
      <c r="Q869" s="6">
        <f>IFERROR(INDEX('02b_DC_Accelerator_Mix'!$N$2:$N$977,MATCH(G869,'02b_DC_Accelerator_Mix'!$A$2:$A$977,0)),0)</f>
        <v/>
      </c>
      <c r="R869" s="28">
        <f>H869*I869</f>
        <v/>
      </c>
      <c r="S869" s="28">
        <f>H869*J869</f>
        <v/>
      </c>
      <c r="T869" s="28">
        <f>H869*K869</f>
        <v/>
      </c>
      <c r="U869" s="28">
        <f>H869*L869</f>
        <v/>
      </c>
      <c r="V869" s="28">
        <f>H869*M869</f>
        <v/>
      </c>
      <c r="W869" s="28">
        <f>H869*N869</f>
        <v/>
      </c>
      <c r="X869" s="28">
        <f>H869*O869</f>
        <v/>
      </c>
      <c r="Y869" s="28">
        <f>H869*P869</f>
        <v/>
      </c>
      <c r="Z869" s="28">
        <f>H869*Q869</f>
        <v/>
      </c>
      <c r="AA869" s="28">
        <f>SUM(U869:Z869)</f>
        <v/>
      </c>
      <c r="AB869" s="5">
        <f>IF(COUNTIF('02b_DC_Accelerator_Mix'!$A$2:$A$977,G869)&gt;0,"matched","missing_mix")</f>
        <v/>
      </c>
    </row>
    <row r="870">
      <c r="A870" s="5">
        <f>'02a_DC_Capacity_Alloc'!A870</f>
        <v/>
      </c>
      <c r="B870" s="5">
        <f>'02a_DC_Capacity_Alloc'!B870</f>
        <v/>
      </c>
      <c r="C870" s="5">
        <f>'02a_DC_Capacity_Alloc'!C870</f>
        <v/>
      </c>
      <c r="D870" s="5">
        <f>'02a_DC_Capacity_Alloc'!D870</f>
        <v/>
      </c>
      <c r="E870" s="5">
        <f>'02a_DC_Capacity_Alloc'!E870</f>
        <v/>
      </c>
      <c r="F870" s="5">
        <f>'02a_DC_Capacity_Alloc'!F870</f>
        <v/>
      </c>
      <c r="G870" s="5">
        <f>B870&amp;"|"&amp;E870&amp;"|"&amp;D870</f>
        <v/>
      </c>
      <c r="H870" s="28">
        <f>'02a_DC_Capacity_Alloc'!H870*'02a_DC_Capacity_Alloc'!I870*'02a_DC_Capacity_Alloc'!J870</f>
        <v/>
      </c>
      <c r="I870" s="6">
        <f>IFERROR(INDEX('02b_DC_Accelerator_Mix'!$F$2:$F$977,MATCH(G870,'02b_DC_Accelerator_Mix'!$A$2:$A$977,0)),0)</f>
        <v/>
      </c>
      <c r="J870" s="6">
        <f>IFERROR(INDEX('02b_DC_Accelerator_Mix'!$G$2:$G$977,MATCH(G870,'02b_DC_Accelerator_Mix'!$A$2:$A$977,0)),0)</f>
        <v/>
      </c>
      <c r="K870" s="6">
        <f>IFERROR(INDEX('02b_DC_Accelerator_Mix'!$H$2:$H$977,MATCH(G870,'02b_DC_Accelerator_Mix'!$A$2:$A$977,0)),0)</f>
        <v/>
      </c>
      <c r="L870" s="6">
        <f>IFERROR(INDEX('02b_DC_Accelerator_Mix'!$I$2:$I$977,MATCH(G870,'02b_DC_Accelerator_Mix'!$A$2:$A$977,0)),0)</f>
        <v/>
      </c>
      <c r="M870" s="6">
        <f>IFERROR(INDEX('02b_DC_Accelerator_Mix'!$J$2:$J$977,MATCH(G870,'02b_DC_Accelerator_Mix'!$A$2:$A$977,0)),0)</f>
        <v/>
      </c>
      <c r="N870" s="6">
        <f>IFERROR(INDEX('02b_DC_Accelerator_Mix'!$K$2:$K$977,MATCH(G870,'02b_DC_Accelerator_Mix'!$A$2:$A$977,0)),0)</f>
        <v/>
      </c>
      <c r="O870" s="6">
        <f>IFERROR(INDEX('02b_DC_Accelerator_Mix'!$L$2:$L$977,MATCH(G870,'02b_DC_Accelerator_Mix'!$A$2:$A$977,0)),0)</f>
        <v/>
      </c>
      <c r="P870" s="6">
        <f>IFERROR(INDEX('02b_DC_Accelerator_Mix'!$M$2:$M$977,MATCH(G870,'02b_DC_Accelerator_Mix'!$A$2:$A$977,0)),0)</f>
        <v/>
      </c>
      <c r="Q870" s="6">
        <f>IFERROR(INDEX('02b_DC_Accelerator_Mix'!$N$2:$N$977,MATCH(G870,'02b_DC_Accelerator_Mix'!$A$2:$A$977,0)),0)</f>
        <v/>
      </c>
      <c r="R870" s="28">
        <f>H870*I870</f>
        <v/>
      </c>
      <c r="S870" s="28">
        <f>H870*J870</f>
        <v/>
      </c>
      <c r="T870" s="28">
        <f>H870*K870</f>
        <v/>
      </c>
      <c r="U870" s="28">
        <f>H870*L870</f>
        <v/>
      </c>
      <c r="V870" s="28">
        <f>H870*M870</f>
        <v/>
      </c>
      <c r="W870" s="28">
        <f>H870*N870</f>
        <v/>
      </c>
      <c r="X870" s="28">
        <f>H870*O870</f>
        <v/>
      </c>
      <c r="Y870" s="28">
        <f>H870*P870</f>
        <v/>
      </c>
      <c r="Z870" s="28">
        <f>H870*Q870</f>
        <v/>
      </c>
      <c r="AA870" s="28">
        <f>SUM(U870:Z870)</f>
        <v/>
      </c>
      <c r="AB870" s="5">
        <f>IF(COUNTIF('02b_DC_Accelerator_Mix'!$A$2:$A$977,G870)&gt;0,"matched","missing_mix")</f>
        <v/>
      </c>
    </row>
    <row r="871">
      <c r="A871" s="5">
        <f>'02a_DC_Capacity_Alloc'!A871</f>
        <v/>
      </c>
      <c r="B871" s="5">
        <f>'02a_DC_Capacity_Alloc'!B871</f>
        <v/>
      </c>
      <c r="C871" s="5">
        <f>'02a_DC_Capacity_Alloc'!C871</f>
        <v/>
      </c>
      <c r="D871" s="5">
        <f>'02a_DC_Capacity_Alloc'!D871</f>
        <v/>
      </c>
      <c r="E871" s="5">
        <f>'02a_DC_Capacity_Alloc'!E871</f>
        <v/>
      </c>
      <c r="F871" s="5">
        <f>'02a_DC_Capacity_Alloc'!F871</f>
        <v/>
      </c>
      <c r="G871" s="5">
        <f>B871&amp;"|"&amp;E871&amp;"|"&amp;D871</f>
        <v/>
      </c>
      <c r="H871" s="28">
        <f>'02a_DC_Capacity_Alloc'!H871*'02a_DC_Capacity_Alloc'!I871*'02a_DC_Capacity_Alloc'!J871</f>
        <v/>
      </c>
      <c r="I871" s="6">
        <f>IFERROR(INDEX('02b_DC_Accelerator_Mix'!$F$2:$F$977,MATCH(G871,'02b_DC_Accelerator_Mix'!$A$2:$A$977,0)),0)</f>
        <v/>
      </c>
      <c r="J871" s="6">
        <f>IFERROR(INDEX('02b_DC_Accelerator_Mix'!$G$2:$G$977,MATCH(G871,'02b_DC_Accelerator_Mix'!$A$2:$A$977,0)),0)</f>
        <v/>
      </c>
      <c r="K871" s="6">
        <f>IFERROR(INDEX('02b_DC_Accelerator_Mix'!$H$2:$H$977,MATCH(G871,'02b_DC_Accelerator_Mix'!$A$2:$A$977,0)),0)</f>
        <v/>
      </c>
      <c r="L871" s="6">
        <f>IFERROR(INDEX('02b_DC_Accelerator_Mix'!$I$2:$I$977,MATCH(G871,'02b_DC_Accelerator_Mix'!$A$2:$A$977,0)),0)</f>
        <v/>
      </c>
      <c r="M871" s="6">
        <f>IFERROR(INDEX('02b_DC_Accelerator_Mix'!$J$2:$J$977,MATCH(G871,'02b_DC_Accelerator_Mix'!$A$2:$A$977,0)),0)</f>
        <v/>
      </c>
      <c r="N871" s="6">
        <f>IFERROR(INDEX('02b_DC_Accelerator_Mix'!$K$2:$K$977,MATCH(G871,'02b_DC_Accelerator_Mix'!$A$2:$A$977,0)),0)</f>
        <v/>
      </c>
      <c r="O871" s="6">
        <f>IFERROR(INDEX('02b_DC_Accelerator_Mix'!$L$2:$L$977,MATCH(G871,'02b_DC_Accelerator_Mix'!$A$2:$A$977,0)),0)</f>
        <v/>
      </c>
      <c r="P871" s="6">
        <f>IFERROR(INDEX('02b_DC_Accelerator_Mix'!$M$2:$M$977,MATCH(G871,'02b_DC_Accelerator_Mix'!$A$2:$A$977,0)),0)</f>
        <v/>
      </c>
      <c r="Q871" s="6">
        <f>IFERROR(INDEX('02b_DC_Accelerator_Mix'!$N$2:$N$977,MATCH(G871,'02b_DC_Accelerator_Mix'!$A$2:$A$977,0)),0)</f>
        <v/>
      </c>
      <c r="R871" s="28">
        <f>H871*I871</f>
        <v/>
      </c>
      <c r="S871" s="28">
        <f>H871*J871</f>
        <v/>
      </c>
      <c r="T871" s="28">
        <f>H871*K871</f>
        <v/>
      </c>
      <c r="U871" s="28">
        <f>H871*L871</f>
        <v/>
      </c>
      <c r="V871" s="28">
        <f>H871*M871</f>
        <v/>
      </c>
      <c r="W871" s="28">
        <f>H871*N871</f>
        <v/>
      </c>
      <c r="X871" s="28">
        <f>H871*O871</f>
        <v/>
      </c>
      <c r="Y871" s="28">
        <f>H871*P871</f>
        <v/>
      </c>
      <c r="Z871" s="28">
        <f>H871*Q871</f>
        <v/>
      </c>
      <c r="AA871" s="28">
        <f>SUM(U871:Z871)</f>
        <v/>
      </c>
      <c r="AB871" s="5">
        <f>IF(COUNTIF('02b_DC_Accelerator_Mix'!$A$2:$A$977,G871)&gt;0,"matched","missing_mix")</f>
        <v/>
      </c>
    </row>
    <row r="872">
      <c r="A872" s="5">
        <f>'02a_DC_Capacity_Alloc'!A872</f>
        <v/>
      </c>
      <c r="B872" s="5">
        <f>'02a_DC_Capacity_Alloc'!B872</f>
        <v/>
      </c>
      <c r="C872" s="5">
        <f>'02a_DC_Capacity_Alloc'!C872</f>
        <v/>
      </c>
      <c r="D872" s="5">
        <f>'02a_DC_Capacity_Alloc'!D872</f>
        <v/>
      </c>
      <c r="E872" s="5">
        <f>'02a_DC_Capacity_Alloc'!E872</f>
        <v/>
      </c>
      <c r="F872" s="5">
        <f>'02a_DC_Capacity_Alloc'!F872</f>
        <v/>
      </c>
      <c r="G872" s="5">
        <f>B872&amp;"|"&amp;E872&amp;"|"&amp;D872</f>
        <v/>
      </c>
      <c r="H872" s="28">
        <f>'02a_DC_Capacity_Alloc'!H872*'02a_DC_Capacity_Alloc'!I872*'02a_DC_Capacity_Alloc'!J872</f>
        <v/>
      </c>
      <c r="I872" s="6">
        <f>IFERROR(INDEX('02b_DC_Accelerator_Mix'!$F$2:$F$977,MATCH(G872,'02b_DC_Accelerator_Mix'!$A$2:$A$977,0)),0)</f>
        <v/>
      </c>
      <c r="J872" s="6">
        <f>IFERROR(INDEX('02b_DC_Accelerator_Mix'!$G$2:$G$977,MATCH(G872,'02b_DC_Accelerator_Mix'!$A$2:$A$977,0)),0)</f>
        <v/>
      </c>
      <c r="K872" s="6">
        <f>IFERROR(INDEX('02b_DC_Accelerator_Mix'!$H$2:$H$977,MATCH(G872,'02b_DC_Accelerator_Mix'!$A$2:$A$977,0)),0)</f>
        <v/>
      </c>
      <c r="L872" s="6">
        <f>IFERROR(INDEX('02b_DC_Accelerator_Mix'!$I$2:$I$977,MATCH(G872,'02b_DC_Accelerator_Mix'!$A$2:$A$977,0)),0)</f>
        <v/>
      </c>
      <c r="M872" s="6">
        <f>IFERROR(INDEX('02b_DC_Accelerator_Mix'!$J$2:$J$977,MATCH(G872,'02b_DC_Accelerator_Mix'!$A$2:$A$977,0)),0)</f>
        <v/>
      </c>
      <c r="N872" s="6">
        <f>IFERROR(INDEX('02b_DC_Accelerator_Mix'!$K$2:$K$977,MATCH(G872,'02b_DC_Accelerator_Mix'!$A$2:$A$977,0)),0)</f>
        <v/>
      </c>
      <c r="O872" s="6">
        <f>IFERROR(INDEX('02b_DC_Accelerator_Mix'!$L$2:$L$977,MATCH(G872,'02b_DC_Accelerator_Mix'!$A$2:$A$977,0)),0)</f>
        <v/>
      </c>
      <c r="P872" s="6">
        <f>IFERROR(INDEX('02b_DC_Accelerator_Mix'!$M$2:$M$977,MATCH(G872,'02b_DC_Accelerator_Mix'!$A$2:$A$977,0)),0)</f>
        <v/>
      </c>
      <c r="Q872" s="6">
        <f>IFERROR(INDEX('02b_DC_Accelerator_Mix'!$N$2:$N$977,MATCH(G872,'02b_DC_Accelerator_Mix'!$A$2:$A$977,0)),0)</f>
        <v/>
      </c>
      <c r="R872" s="28">
        <f>H872*I872</f>
        <v/>
      </c>
      <c r="S872" s="28">
        <f>H872*J872</f>
        <v/>
      </c>
      <c r="T872" s="28">
        <f>H872*K872</f>
        <v/>
      </c>
      <c r="U872" s="28">
        <f>H872*L872</f>
        <v/>
      </c>
      <c r="V872" s="28">
        <f>H872*M872</f>
        <v/>
      </c>
      <c r="W872" s="28">
        <f>H872*N872</f>
        <v/>
      </c>
      <c r="X872" s="28">
        <f>H872*O872</f>
        <v/>
      </c>
      <c r="Y872" s="28">
        <f>H872*P872</f>
        <v/>
      </c>
      <c r="Z872" s="28">
        <f>H872*Q872</f>
        <v/>
      </c>
      <c r="AA872" s="28">
        <f>SUM(U872:Z872)</f>
        <v/>
      </c>
      <c r="AB872" s="5">
        <f>IF(COUNTIF('02b_DC_Accelerator_Mix'!$A$2:$A$977,G872)&gt;0,"matched","missing_mix")</f>
        <v/>
      </c>
    </row>
    <row r="873">
      <c r="A873" s="5">
        <f>'02a_DC_Capacity_Alloc'!A873</f>
        <v/>
      </c>
      <c r="B873" s="5">
        <f>'02a_DC_Capacity_Alloc'!B873</f>
        <v/>
      </c>
      <c r="C873" s="5">
        <f>'02a_DC_Capacity_Alloc'!C873</f>
        <v/>
      </c>
      <c r="D873" s="5">
        <f>'02a_DC_Capacity_Alloc'!D873</f>
        <v/>
      </c>
      <c r="E873" s="5">
        <f>'02a_DC_Capacity_Alloc'!E873</f>
        <v/>
      </c>
      <c r="F873" s="5">
        <f>'02a_DC_Capacity_Alloc'!F873</f>
        <v/>
      </c>
      <c r="G873" s="5">
        <f>B873&amp;"|"&amp;E873&amp;"|"&amp;D873</f>
        <v/>
      </c>
      <c r="H873" s="28">
        <f>'02a_DC_Capacity_Alloc'!H873*'02a_DC_Capacity_Alloc'!I873*'02a_DC_Capacity_Alloc'!J873</f>
        <v/>
      </c>
      <c r="I873" s="6">
        <f>IFERROR(INDEX('02b_DC_Accelerator_Mix'!$F$2:$F$977,MATCH(G873,'02b_DC_Accelerator_Mix'!$A$2:$A$977,0)),0)</f>
        <v/>
      </c>
      <c r="J873" s="6">
        <f>IFERROR(INDEX('02b_DC_Accelerator_Mix'!$G$2:$G$977,MATCH(G873,'02b_DC_Accelerator_Mix'!$A$2:$A$977,0)),0)</f>
        <v/>
      </c>
      <c r="K873" s="6">
        <f>IFERROR(INDEX('02b_DC_Accelerator_Mix'!$H$2:$H$977,MATCH(G873,'02b_DC_Accelerator_Mix'!$A$2:$A$977,0)),0)</f>
        <v/>
      </c>
      <c r="L873" s="6">
        <f>IFERROR(INDEX('02b_DC_Accelerator_Mix'!$I$2:$I$977,MATCH(G873,'02b_DC_Accelerator_Mix'!$A$2:$A$977,0)),0)</f>
        <v/>
      </c>
      <c r="M873" s="6">
        <f>IFERROR(INDEX('02b_DC_Accelerator_Mix'!$J$2:$J$977,MATCH(G873,'02b_DC_Accelerator_Mix'!$A$2:$A$977,0)),0)</f>
        <v/>
      </c>
      <c r="N873" s="6">
        <f>IFERROR(INDEX('02b_DC_Accelerator_Mix'!$K$2:$K$977,MATCH(G873,'02b_DC_Accelerator_Mix'!$A$2:$A$977,0)),0)</f>
        <v/>
      </c>
      <c r="O873" s="6">
        <f>IFERROR(INDEX('02b_DC_Accelerator_Mix'!$L$2:$L$977,MATCH(G873,'02b_DC_Accelerator_Mix'!$A$2:$A$977,0)),0)</f>
        <v/>
      </c>
      <c r="P873" s="6">
        <f>IFERROR(INDEX('02b_DC_Accelerator_Mix'!$M$2:$M$977,MATCH(G873,'02b_DC_Accelerator_Mix'!$A$2:$A$977,0)),0)</f>
        <v/>
      </c>
      <c r="Q873" s="6">
        <f>IFERROR(INDEX('02b_DC_Accelerator_Mix'!$N$2:$N$977,MATCH(G873,'02b_DC_Accelerator_Mix'!$A$2:$A$977,0)),0)</f>
        <v/>
      </c>
      <c r="R873" s="28">
        <f>H873*I873</f>
        <v/>
      </c>
      <c r="S873" s="28">
        <f>H873*J873</f>
        <v/>
      </c>
      <c r="T873" s="28">
        <f>H873*K873</f>
        <v/>
      </c>
      <c r="U873" s="28">
        <f>H873*L873</f>
        <v/>
      </c>
      <c r="V873" s="28">
        <f>H873*M873</f>
        <v/>
      </c>
      <c r="W873" s="28">
        <f>H873*N873</f>
        <v/>
      </c>
      <c r="X873" s="28">
        <f>H873*O873</f>
        <v/>
      </c>
      <c r="Y873" s="28">
        <f>H873*P873</f>
        <v/>
      </c>
      <c r="Z873" s="28">
        <f>H873*Q873</f>
        <v/>
      </c>
      <c r="AA873" s="28">
        <f>SUM(U873:Z873)</f>
        <v/>
      </c>
      <c r="AB873" s="5">
        <f>IF(COUNTIF('02b_DC_Accelerator_Mix'!$A$2:$A$977,G873)&gt;0,"matched","missing_mix")</f>
        <v/>
      </c>
    </row>
    <row r="874">
      <c r="A874" s="5">
        <f>'02a_DC_Capacity_Alloc'!A874</f>
        <v/>
      </c>
      <c r="B874" s="5">
        <f>'02a_DC_Capacity_Alloc'!B874</f>
        <v/>
      </c>
      <c r="C874" s="5">
        <f>'02a_DC_Capacity_Alloc'!C874</f>
        <v/>
      </c>
      <c r="D874" s="5">
        <f>'02a_DC_Capacity_Alloc'!D874</f>
        <v/>
      </c>
      <c r="E874" s="5">
        <f>'02a_DC_Capacity_Alloc'!E874</f>
        <v/>
      </c>
      <c r="F874" s="5">
        <f>'02a_DC_Capacity_Alloc'!F874</f>
        <v/>
      </c>
      <c r="G874" s="5">
        <f>B874&amp;"|"&amp;E874&amp;"|"&amp;D874</f>
        <v/>
      </c>
      <c r="H874" s="28">
        <f>'02a_DC_Capacity_Alloc'!H874*'02a_DC_Capacity_Alloc'!I874*'02a_DC_Capacity_Alloc'!J874</f>
        <v/>
      </c>
      <c r="I874" s="6">
        <f>IFERROR(INDEX('02b_DC_Accelerator_Mix'!$F$2:$F$977,MATCH(G874,'02b_DC_Accelerator_Mix'!$A$2:$A$977,0)),0)</f>
        <v/>
      </c>
      <c r="J874" s="6">
        <f>IFERROR(INDEX('02b_DC_Accelerator_Mix'!$G$2:$G$977,MATCH(G874,'02b_DC_Accelerator_Mix'!$A$2:$A$977,0)),0)</f>
        <v/>
      </c>
      <c r="K874" s="6">
        <f>IFERROR(INDEX('02b_DC_Accelerator_Mix'!$H$2:$H$977,MATCH(G874,'02b_DC_Accelerator_Mix'!$A$2:$A$977,0)),0)</f>
        <v/>
      </c>
      <c r="L874" s="6">
        <f>IFERROR(INDEX('02b_DC_Accelerator_Mix'!$I$2:$I$977,MATCH(G874,'02b_DC_Accelerator_Mix'!$A$2:$A$977,0)),0)</f>
        <v/>
      </c>
      <c r="M874" s="6">
        <f>IFERROR(INDEX('02b_DC_Accelerator_Mix'!$J$2:$J$977,MATCH(G874,'02b_DC_Accelerator_Mix'!$A$2:$A$977,0)),0)</f>
        <v/>
      </c>
      <c r="N874" s="6">
        <f>IFERROR(INDEX('02b_DC_Accelerator_Mix'!$K$2:$K$977,MATCH(G874,'02b_DC_Accelerator_Mix'!$A$2:$A$977,0)),0)</f>
        <v/>
      </c>
      <c r="O874" s="6">
        <f>IFERROR(INDEX('02b_DC_Accelerator_Mix'!$L$2:$L$977,MATCH(G874,'02b_DC_Accelerator_Mix'!$A$2:$A$977,0)),0)</f>
        <v/>
      </c>
      <c r="P874" s="6">
        <f>IFERROR(INDEX('02b_DC_Accelerator_Mix'!$M$2:$M$977,MATCH(G874,'02b_DC_Accelerator_Mix'!$A$2:$A$977,0)),0)</f>
        <v/>
      </c>
      <c r="Q874" s="6">
        <f>IFERROR(INDEX('02b_DC_Accelerator_Mix'!$N$2:$N$977,MATCH(G874,'02b_DC_Accelerator_Mix'!$A$2:$A$977,0)),0)</f>
        <v/>
      </c>
      <c r="R874" s="28">
        <f>H874*I874</f>
        <v/>
      </c>
      <c r="S874" s="28">
        <f>H874*J874</f>
        <v/>
      </c>
      <c r="T874" s="28">
        <f>H874*K874</f>
        <v/>
      </c>
      <c r="U874" s="28">
        <f>H874*L874</f>
        <v/>
      </c>
      <c r="V874" s="28">
        <f>H874*M874</f>
        <v/>
      </c>
      <c r="W874" s="28">
        <f>H874*N874</f>
        <v/>
      </c>
      <c r="X874" s="28">
        <f>H874*O874</f>
        <v/>
      </c>
      <c r="Y874" s="28">
        <f>H874*P874</f>
        <v/>
      </c>
      <c r="Z874" s="28">
        <f>H874*Q874</f>
        <v/>
      </c>
      <c r="AA874" s="28">
        <f>SUM(U874:Z874)</f>
        <v/>
      </c>
      <c r="AB874" s="5">
        <f>IF(COUNTIF('02b_DC_Accelerator_Mix'!$A$2:$A$977,G874)&gt;0,"matched","missing_mix")</f>
        <v/>
      </c>
    </row>
    <row r="875">
      <c r="A875" s="5">
        <f>'02a_DC_Capacity_Alloc'!A875</f>
        <v/>
      </c>
      <c r="B875" s="5">
        <f>'02a_DC_Capacity_Alloc'!B875</f>
        <v/>
      </c>
      <c r="C875" s="5">
        <f>'02a_DC_Capacity_Alloc'!C875</f>
        <v/>
      </c>
      <c r="D875" s="5">
        <f>'02a_DC_Capacity_Alloc'!D875</f>
        <v/>
      </c>
      <c r="E875" s="5">
        <f>'02a_DC_Capacity_Alloc'!E875</f>
        <v/>
      </c>
      <c r="F875" s="5">
        <f>'02a_DC_Capacity_Alloc'!F875</f>
        <v/>
      </c>
      <c r="G875" s="5">
        <f>B875&amp;"|"&amp;E875&amp;"|"&amp;D875</f>
        <v/>
      </c>
      <c r="H875" s="28">
        <f>'02a_DC_Capacity_Alloc'!H875*'02a_DC_Capacity_Alloc'!I875*'02a_DC_Capacity_Alloc'!J875</f>
        <v/>
      </c>
      <c r="I875" s="6">
        <f>IFERROR(INDEX('02b_DC_Accelerator_Mix'!$F$2:$F$977,MATCH(G875,'02b_DC_Accelerator_Mix'!$A$2:$A$977,0)),0)</f>
        <v/>
      </c>
      <c r="J875" s="6">
        <f>IFERROR(INDEX('02b_DC_Accelerator_Mix'!$G$2:$G$977,MATCH(G875,'02b_DC_Accelerator_Mix'!$A$2:$A$977,0)),0)</f>
        <v/>
      </c>
      <c r="K875" s="6">
        <f>IFERROR(INDEX('02b_DC_Accelerator_Mix'!$H$2:$H$977,MATCH(G875,'02b_DC_Accelerator_Mix'!$A$2:$A$977,0)),0)</f>
        <v/>
      </c>
      <c r="L875" s="6">
        <f>IFERROR(INDEX('02b_DC_Accelerator_Mix'!$I$2:$I$977,MATCH(G875,'02b_DC_Accelerator_Mix'!$A$2:$A$977,0)),0)</f>
        <v/>
      </c>
      <c r="M875" s="6">
        <f>IFERROR(INDEX('02b_DC_Accelerator_Mix'!$J$2:$J$977,MATCH(G875,'02b_DC_Accelerator_Mix'!$A$2:$A$977,0)),0)</f>
        <v/>
      </c>
      <c r="N875" s="6">
        <f>IFERROR(INDEX('02b_DC_Accelerator_Mix'!$K$2:$K$977,MATCH(G875,'02b_DC_Accelerator_Mix'!$A$2:$A$977,0)),0)</f>
        <v/>
      </c>
      <c r="O875" s="6">
        <f>IFERROR(INDEX('02b_DC_Accelerator_Mix'!$L$2:$L$977,MATCH(G875,'02b_DC_Accelerator_Mix'!$A$2:$A$977,0)),0)</f>
        <v/>
      </c>
      <c r="P875" s="6">
        <f>IFERROR(INDEX('02b_DC_Accelerator_Mix'!$M$2:$M$977,MATCH(G875,'02b_DC_Accelerator_Mix'!$A$2:$A$977,0)),0)</f>
        <v/>
      </c>
      <c r="Q875" s="6">
        <f>IFERROR(INDEX('02b_DC_Accelerator_Mix'!$N$2:$N$977,MATCH(G875,'02b_DC_Accelerator_Mix'!$A$2:$A$977,0)),0)</f>
        <v/>
      </c>
      <c r="R875" s="28">
        <f>H875*I875</f>
        <v/>
      </c>
      <c r="S875" s="28">
        <f>H875*J875</f>
        <v/>
      </c>
      <c r="T875" s="28">
        <f>H875*K875</f>
        <v/>
      </c>
      <c r="U875" s="28">
        <f>H875*L875</f>
        <v/>
      </c>
      <c r="V875" s="28">
        <f>H875*M875</f>
        <v/>
      </c>
      <c r="W875" s="28">
        <f>H875*N875</f>
        <v/>
      </c>
      <c r="X875" s="28">
        <f>H875*O875</f>
        <v/>
      </c>
      <c r="Y875" s="28">
        <f>H875*P875</f>
        <v/>
      </c>
      <c r="Z875" s="28">
        <f>H875*Q875</f>
        <v/>
      </c>
      <c r="AA875" s="28">
        <f>SUM(U875:Z875)</f>
        <v/>
      </c>
      <c r="AB875" s="5">
        <f>IF(COUNTIF('02b_DC_Accelerator_Mix'!$A$2:$A$977,G875)&gt;0,"matched","missing_mix")</f>
        <v/>
      </c>
    </row>
    <row r="876">
      <c r="A876" s="5">
        <f>'02a_DC_Capacity_Alloc'!A876</f>
        <v/>
      </c>
      <c r="B876" s="5">
        <f>'02a_DC_Capacity_Alloc'!B876</f>
        <v/>
      </c>
      <c r="C876" s="5">
        <f>'02a_DC_Capacity_Alloc'!C876</f>
        <v/>
      </c>
      <c r="D876" s="5">
        <f>'02a_DC_Capacity_Alloc'!D876</f>
        <v/>
      </c>
      <c r="E876" s="5">
        <f>'02a_DC_Capacity_Alloc'!E876</f>
        <v/>
      </c>
      <c r="F876" s="5">
        <f>'02a_DC_Capacity_Alloc'!F876</f>
        <v/>
      </c>
      <c r="G876" s="5">
        <f>B876&amp;"|"&amp;E876&amp;"|"&amp;D876</f>
        <v/>
      </c>
      <c r="H876" s="28">
        <f>'02a_DC_Capacity_Alloc'!H876*'02a_DC_Capacity_Alloc'!I876*'02a_DC_Capacity_Alloc'!J876</f>
        <v/>
      </c>
      <c r="I876" s="6">
        <f>IFERROR(INDEX('02b_DC_Accelerator_Mix'!$F$2:$F$977,MATCH(G876,'02b_DC_Accelerator_Mix'!$A$2:$A$977,0)),0)</f>
        <v/>
      </c>
      <c r="J876" s="6">
        <f>IFERROR(INDEX('02b_DC_Accelerator_Mix'!$G$2:$G$977,MATCH(G876,'02b_DC_Accelerator_Mix'!$A$2:$A$977,0)),0)</f>
        <v/>
      </c>
      <c r="K876" s="6">
        <f>IFERROR(INDEX('02b_DC_Accelerator_Mix'!$H$2:$H$977,MATCH(G876,'02b_DC_Accelerator_Mix'!$A$2:$A$977,0)),0)</f>
        <v/>
      </c>
      <c r="L876" s="6">
        <f>IFERROR(INDEX('02b_DC_Accelerator_Mix'!$I$2:$I$977,MATCH(G876,'02b_DC_Accelerator_Mix'!$A$2:$A$977,0)),0)</f>
        <v/>
      </c>
      <c r="M876" s="6">
        <f>IFERROR(INDEX('02b_DC_Accelerator_Mix'!$J$2:$J$977,MATCH(G876,'02b_DC_Accelerator_Mix'!$A$2:$A$977,0)),0)</f>
        <v/>
      </c>
      <c r="N876" s="6">
        <f>IFERROR(INDEX('02b_DC_Accelerator_Mix'!$K$2:$K$977,MATCH(G876,'02b_DC_Accelerator_Mix'!$A$2:$A$977,0)),0)</f>
        <v/>
      </c>
      <c r="O876" s="6">
        <f>IFERROR(INDEX('02b_DC_Accelerator_Mix'!$L$2:$L$977,MATCH(G876,'02b_DC_Accelerator_Mix'!$A$2:$A$977,0)),0)</f>
        <v/>
      </c>
      <c r="P876" s="6">
        <f>IFERROR(INDEX('02b_DC_Accelerator_Mix'!$M$2:$M$977,MATCH(G876,'02b_DC_Accelerator_Mix'!$A$2:$A$977,0)),0)</f>
        <v/>
      </c>
      <c r="Q876" s="6">
        <f>IFERROR(INDEX('02b_DC_Accelerator_Mix'!$N$2:$N$977,MATCH(G876,'02b_DC_Accelerator_Mix'!$A$2:$A$977,0)),0)</f>
        <v/>
      </c>
      <c r="R876" s="28">
        <f>H876*I876</f>
        <v/>
      </c>
      <c r="S876" s="28">
        <f>H876*J876</f>
        <v/>
      </c>
      <c r="T876" s="28">
        <f>H876*K876</f>
        <v/>
      </c>
      <c r="U876" s="28">
        <f>H876*L876</f>
        <v/>
      </c>
      <c r="V876" s="28">
        <f>H876*M876</f>
        <v/>
      </c>
      <c r="W876" s="28">
        <f>H876*N876</f>
        <v/>
      </c>
      <c r="X876" s="28">
        <f>H876*O876</f>
        <v/>
      </c>
      <c r="Y876" s="28">
        <f>H876*P876</f>
        <v/>
      </c>
      <c r="Z876" s="28">
        <f>H876*Q876</f>
        <v/>
      </c>
      <c r="AA876" s="28">
        <f>SUM(U876:Z876)</f>
        <v/>
      </c>
      <c r="AB876" s="5">
        <f>IF(COUNTIF('02b_DC_Accelerator_Mix'!$A$2:$A$977,G876)&gt;0,"matched","missing_mix")</f>
        <v/>
      </c>
    </row>
    <row r="877">
      <c r="A877" s="5">
        <f>'02a_DC_Capacity_Alloc'!A877</f>
        <v/>
      </c>
      <c r="B877" s="5">
        <f>'02a_DC_Capacity_Alloc'!B877</f>
        <v/>
      </c>
      <c r="C877" s="5">
        <f>'02a_DC_Capacity_Alloc'!C877</f>
        <v/>
      </c>
      <c r="D877" s="5">
        <f>'02a_DC_Capacity_Alloc'!D877</f>
        <v/>
      </c>
      <c r="E877" s="5">
        <f>'02a_DC_Capacity_Alloc'!E877</f>
        <v/>
      </c>
      <c r="F877" s="5">
        <f>'02a_DC_Capacity_Alloc'!F877</f>
        <v/>
      </c>
      <c r="G877" s="5">
        <f>B877&amp;"|"&amp;E877&amp;"|"&amp;D877</f>
        <v/>
      </c>
      <c r="H877" s="28">
        <f>'02a_DC_Capacity_Alloc'!H877*'02a_DC_Capacity_Alloc'!I877*'02a_DC_Capacity_Alloc'!J877</f>
        <v/>
      </c>
      <c r="I877" s="6">
        <f>IFERROR(INDEX('02b_DC_Accelerator_Mix'!$F$2:$F$977,MATCH(G877,'02b_DC_Accelerator_Mix'!$A$2:$A$977,0)),0)</f>
        <v/>
      </c>
      <c r="J877" s="6">
        <f>IFERROR(INDEX('02b_DC_Accelerator_Mix'!$G$2:$G$977,MATCH(G877,'02b_DC_Accelerator_Mix'!$A$2:$A$977,0)),0)</f>
        <v/>
      </c>
      <c r="K877" s="6">
        <f>IFERROR(INDEX('02b_DC_Accelerator_Mix'!$H$2:$H$977,MATCH(G877,'02b_DC_Accelerator_Mix'!$A$2:$A$977,0)),0)</f>
        <v/>
      </c>
      <c r="L877" s="6">
        <f>IFERROR(INDEX('02b_DC_Accelerator_Mix'!$I$2:$I$977,MATCH(G877,'02b_DC_Accelerator_Mix'!$A$2:$A$977,0)),0)</f>
        <v/>
      </c>
      <c r="M877" s="6">
        <f>IFERROR(INDEX('02b_DC_Accelerator_Mix'!$J$2:$J$977,MATCH(G877,'02b_DC_Accelerator_Mix'!$A$2:$A$977,0)),0)</f>
        <v/>
      </c>
      <c r="N877" s="6">
        <f>IFERROR(INDEX('02b_DC_Accelerator_Mix'!$K$2:$K$977,MATCH(G877,'02b_DC_Accelerator_Mix'!$A$2:$A$977,0)),0)</f>
        <v/>
      </c>
      <c r="O877" s="6">
        <f>IFERROR(INDEX('02b_DC_Accelerator_Mix'!$L$2:$L$977,MATCH(G877,'02b_DC_Accelerator_Mix'!$A$2:$A$977,0)),0)</f>
        <v/>
      </c>
      <c r="P877" s="6">
        <f>IFERROR(INDEX('02b_DC_Accelerator_Mix'!$M$2:$M$977,MATCH(G877,'02b_DC_Accelerator_Mix'!$A$2:$A$977,0)),0)</f>
        <v/>
      </c>
      <c r="Q877" s="6">
        <f>IFERROR(INDEX('02b_DC_Accelerator_Mix'!$N$2:$N$977,MATCH(G877,'02b_DC_Accelerator_Mix'!$A$2:$A$977,0)),0)</f>
        <v/>
      </c>
      <c r="R877" s="28">
        <f>H877*I877</f>
        <v/>
      </c>
      <c r="S877" s="28">
        <f>H877*J877</f>
        <v/>
      </c>
      <c r="T877" s="28">
        <f>H877*K877</f>
        <v/>
      </c>
      <c r="U877" s="28">
        <f>H877*L877</f>
        <v/>
      </c>
      <c r="V877" s="28">
        <f>H877*M877</f>
        <v/>
      </c>
      <c r="W877" s="28">
        <f>H877*N877</f>
        <v/>
      </c>
      <c r="X877" s="28">
        <f>H877*O877</f>
        <v/>
      </c>
      <c r="Y877" s="28">
        <f>H877*P877</f>
        <v/>
      </c>
      <c r="Z877" s="28">
        <f>H877*Q877</f>
        <v/>
      </c>
      <c r="AA877" s="28">
        <f>SUM(U877:Z877)</f>
        <v/>
      </c>
      <c r="AB877" s="5">
        <f>IF(COUNTIF('02b_DC_Accelerator_Mix'!$A$2:$A$977,G877)&gt;0,"matched","missing_mix")</f>
        <v/>
      </c>
    </row>
    <row r="878">
      <c r="A878" s="5">
        <f>'02a_DC_Capacity_Alloc'!A878</f>
        <v/>
      </c>
      <c r="B878" s="5">
        <f>'02a_DC_Capacity_Alloc'!B878</f>
        <v/>
      </c>
      <c r="C878" s="5">
        <f>'02a_DC_Capacity_Alloc'!C878</f>
        <v/>
      </c>
      <c r="D878" s="5">
        <f>'02a_DC_Capacity_Alloc'!D878</f>
        <v/>
      </c>
      <c r="E878" s="5">
        <f>'02a_DC_Capacity_Alloc'!E878</f>
        <v/>
      </c>
      <c r="F878" s="5">
        <f>'02a_DC_Capacity_Alloc'!F878</f>
        <v/>
      </c>
      <c r="G878" s="5">
        <f>B878&amp;"|"&amp;E878&amp;"|"&amp;D878</f>
        <v/>
      </c>
      <c r="H878" s="28">
        <f>'02a_DC_Capacity_Alloc'!H878*'02a_DC_Capacity_Alloc'!I878*'02a_DC_Capacity_Alloc'!J878</f>
        <v/>
      </c>
      <c r="I878" s="6">
        <f>IFERROR(INDEX('02b_DC_Accelerator_Mix'!$F$2:$F$977,MATCH(G878,'02b_DC_Accelerator_Mix'!$A$2:$A$977,0)),0)</f>
        <v/>
      </c>
      <c r="J878" s="6">
        <f>IFERROR(INDEX('02b_DC_Accelerator_Mix'!$G$2:$G$977,MATCH(G878,'02b_DC_Accelerator_Mix'!$A$2:$A$977,0)),0)</f>
        <v/>
      </c>
      <c r="K878" s="6">
        <f>IFERROR(INDEX('02b_DC_Accelerator_Mix'!$H$2:$H$977,MATCH(G878,'02b_DC_Accelerator_Mix'!$A$2:$A$977,0)),0)</f>
        <v/>
      </c>
      <c r="L878" s="6">
        <f>IFERROR(INDEX('02b_DC_Accelerator_Mix'!$I$2:$I$977,MATCH(G878,'02b_DC_Accelerator_Mix'!$A$2:$A$977,0)),0)</f>
        <v/>
      </c>
      <c r="M878" s="6">
        <f>IFERROR(INDEX('02b_DC_Accelerator_Mix'!$J$2:$J$977,MATCH(G878,'02b_DC_Accelerator_Mix'!$A$2:$A$977,0)),0)</f>
        <v/>
      </c>
      <c r="N878" s="6">
        <f>IFERROR(INDEX('02b_DC_Accelerator_Mix'!$K$2:$K$977,MATCH(G878,'02b_DC_Accelerator_Mix'!$A$2:$A$977,0)),0)</f>
        <v/>
      </c>
      <c r="O878" s="6">
        <f>IFERROR(INDEX('02b_DC_Accelerator_Mix'!$L$2:$L$977,MATCH(G878,'02b_DC_Accelerator_Mix'!$A$2:$A$977,0)),0)</f>
        <v/>
      </c>
      <c r="P878" s="6">
        <f>IFERROR(INDEX('02b_DC_Accelerator_Mix'!$M$2:$M$977,MATCH(G878,'02b_DC_Accelerator_Mix'!$A$2:$A$977,0)),0)</f>
        <v/>
      </c>
      <c r="Q878" s="6">
        <f>IFERROR(INDEX('02b_DC_Accelerator_Mix'!$N$2:$N$977,MATCH(G878,'02b_DC_Accelerator_Mix'!$A$2:$A$977,0)),0)</f>
        <v/>
      </c>
      <c r="R878" s="28">
        <f>H878*I878</f>
        <v/>
      </c>
      <c r="S878" s="28">
        <f>H878*J878</f>
        <v/>
      </c>
      <c r="T878" s="28">
        <f>H878*K878</f>
        <v/>
      </c>
      <c r="U878" s="28">
        <f>H878*L878</f>
        <v/>
      </c>
      <c r="V878" s="28">
        <f>H878*M878</f>
        <v/>
      </c>
      <c r="W878" s="28">
        <f>H878*N878</f>
        <v/>
      </c>
      <c r="X878" s="28">
        <f>H878*O878</f>
        <v/>
      </c>
      <c r="Y878" s="28">
        <f>H878*P878</f>
        <v/>
      </c>
      <c r="Z878" s="28">
        <f>H878*Q878</f>
        <v/>
      </c>
      <c r="AA878" s="28">
        <f>SUM(U878:Z878)</f>
        <v/>
      </c>
      <c r="AB878" s="5">
        <f>IF(COUNTIF('02b_DC_Accelerator_Mix'!$A$2:$A$977,G878)&gt;0,"matched","missing_mix")</f>
        <v/>
      </c>
    </row>
    <row r="879">
      <c r="A879" s="5">
        <f>'02a_DC_Capacity_Alloc'!A879</f>
        <v/>
      </c>
      <c r="B879" s="5">
        <f>'02a_DC_Capacity_Alloc'!B879</f>
        <v/>
      </c>
      <c r="C879" s="5">
        <f>'02a_DC_Capacity_Alloc'!C879</f>
        <v/>
      </c>
      <c r="D879" s="5">
        <f>'02a_DC_Capacity_Alloc'!D879</f>
        <v/>
      </c>
      <c r="E879" s="5">
        <f>'02a_DC_Capacity_Alloc'!E879</f>
        <v/>
      </c>
      <c r="F879" s="5">
        <f>'02a_DC_Capacity_Alloc'!F879</f>
        <v/>
      </c>
      <c r="G879" s="5">
        <f>B879&amp;"|"&amp;E879&amp;"|"&amp;D879</f>
        <v/>
      </c>
      <c r="H879" s="28">
        <f>'02a_DC_Capacity_Alloc'!H879*'02a_DC_Capacity_Alloc'!I879*'02a_DC_Capacity_Alloc'!J879</f>
        <v/>
      </c>
      <c r="I879" s="6">
        <f>IFERROR(INDEX('02b_DC_Accelerator_Mix'!$F$2:$F$977,MATCH(G879,'02b_DC_Accelerator_Mix'!$A$2:$A$977,0)),0)</f>
        <v/>
      </c>
      <c r="J879" s="6">
        <f>IFERROR(INDEX('02b_DC_Accelerator_Mix'!$G$2:$G$977,MATCH(G879,'02b_DC_Accelerator_Mix'!$A$2:$A$977,0)),0)</f>
        <v/>
      </c>
      <c r="K879" s="6">
        <f>IFERROR(INDEX('02b_DC_Accelerator_Mix'!$H$2:$H$977,MATCH(G879,'02b_DC_Accelerator_Mix'!$A$2:$A$977,0)),0)</f>
        <v/>
      </c>
      <c r="L879" s="6">
        <f>IFERROR(INDEX('02b_DC_Accelerator_Mix'!$I$2:$I$977,MATCH(G879,'02b_DC_Accelerator_Mix'!$A$2:$A$977,0)),0)</f>
        <v/>
      </c>
      <c r="M879" s="6">
        <f>IFERROR(INDEX('02b_DC_Accelerator_Mix'!$J$2:$J$977,MATCH(G879,'02b_DC_Accelerator_Mix'!$A$2:$A$977,0)),0)</f>
        <v/>
      </c>
      <c r="N879" s="6">
        <f>IFERROR(INDEX('02b_DC_Accelerator_Mix'!$K$2:$K$977,MATCH(G879,'02b_DC_Accelerator_Mix'!$A$2:$A$977,0)),0)</f>
        <v/>
      </c>
      <c r="O879" s="6">
        <f>IFERROR(INDEX('02b_DC_Accelerator_Mix'!$L$2:$L$977,MATCH(G879,'02b_DC_Accelerator_Mix'!$A$2:$A$977,0)),0)</f>
        <v/>
      </c>
      <c r="P879" s="6">
        <f>IFERROR(INDEX('02b_DC_Accelerator_Mix'!$M$2:$M$977,MATCH(G879,'02b_DC_Accelerator_Mix'!$A$2:$A$977,0)),0)</f>
        <v/>
      </c>
      <c r="Q879" s="6">
        <f>IFERROR(INDEX('02b_DC_Accelerator_Mix'!$N$2:$N$977,MATCH(G879,'02b_DC_Accelerator_Mix'!$A$2:$A$977,0)),0)</f>
        <v/>
      </c>
      <c r="R879" s="28">
        <f>H879*I879</f>
        <v/>
      </c>
      <c r="S879" s="28">
        <f>H879*J879</f>
        <v/>
      </c>
      <c r="T879" s="28">
        <f>H879*K879</f>
        <v/>
      </c>
      <c r="U879" s="28">
        <f>H879*L879</f>
        <v/>
      </c>
      <c r="V879" s="28">
        <f>H879*M879</f>
        <v/>
      </c>
      <c r="W879" s="28">
        <f>H879*N879</f>
        <v/>
      </c>
      <c r="X879" s="28">
        <f>H879*O879</f>
        <v/>
      </c>
      <c r="Y879" s="28">
        <f>H879*P879</f>
        <v/>
      </c>
      <c r="Z879" s="28">
        <f>H879*Q879</f>
        <v/>
      </c>
      <c r="AA879" s="28">
        <f>SUM(U879:Z879)</f>
        <v/>
      </c>
      <c r="AB879" s="5">
        <f>IF(COUNTIF('02b_DC_Accelerator_Mix'!$A$2:$A$977,G879)&gt;0,"matched","missing_mix")</f>
        <v/>
      </c>
    </row>
    <row r="880">
      <c r="A880" s="5">
        <f>'02a_DC_Capacity_Alloc'!A880</f>
        <v/>
      </c>
      <c r="B880" s="5">
        <f>'02a_DC_Capacity_Alloc'!B880</f>
        <v/>
      </c>
      <c r="C880" s="5">
        <f>'02a_DC_Capacity_Alloc'!C880</f>
        <v/>
      </c>
      <c r="D880" s="5">
        <f>'02a_DC_Capacity_Alloc'!D880</f>
        <v/>
      </c>
      <c r="E880" s="5">
        <f>'02a_DC_Capacity_Alloc'!E880</f>
        <v/>
      </c>
      <c r="F880" s="5">
        <f>'02a_DC_Capacity_Alloc'!F880</f>
        <v/>
      </c>
      <c r="G880" s="5">
        <f>B880&amp;"|"&amp;E880&amp;"|"&amp;D880</f>
        <v/>
      </c>
      <c r="H880" s="28">
        <f>'02a_DC_Capacity_Alloc'!H880*'02a_DC_Capacity_Alloc'!I880*'02a_DC_Capacity_Alloc'!J880</f>
        <v/>
      </c>
      <c r="I880" s="6">
        <f>IFERROR(INDEX('02b_DC_Accelerator_Mix'!$F$2:$F$977,MATCH(G880,'02b_DC_Accelerator_Mix'!$A$2:$A$977,0)),0)</f>
        <v/>
      </c>
      <c r="J880" s="6">
        <f>IFERROR(INDEX('02b_DC_Accelerator_Mix'!$G$2:$G$977,MATCH(G880,'02b_DC_Accelerator_Mix'!$A$2:$A$977,0)),0)</f>
        <v/>
      </c>
      <c r="K880" s="6">
        <f>IFERROR(INDEX('02b_DC_Accelerator_Mix'!$H$2:$H$977,MATCH(G880,'02b_DC_Accelerator_Mix'!$A$2:$A$977,0)),0)</f>
        <v/>
      </c>
      <c r="L880" s="6">
        <f>IFERROR(INDEX('02b_DC_Accelerator_Mix'!$I$2:$I$977,MATCH(G880,'02b_DC_Accelerator_Mix'!$A$2:$A$977,0)),0)</f>
        <v/>
      </c>
      <c r="M880" s="6">
        <f>IFERROR(INDEX('02b_DC_Accelerator_Mix'!$J$2:$J$977,MATCH(G880,'02b_DC_Accelerator_Mix'!$A$2:$A$977,0)),0)</f>
        <v/>
      </c>
      <c r="N880" s="6">
        <f>IFERROR(INDEX('02b_DC_Accelerator_Mix'!$K$2:$K$977,MATCH(G880,'02b_DC_Accelerator_Mix'!$A$2:$A$977,0)),0)</f>
        <v/>
      </c>
      <c r="O880" s="6">
        <f>IFERROR(INDEX('02b_DC_Accelerator_Mix'!$L$2:$L$977,MATCH(G880,'02b_DC_Accelerator_Mix'!$A$2:$A$977,0)),0)</f>
        <v/>
      </c>
      <c r="P880" s="6">
        <f>IFERROR(INDEX('02b_DC_Accelerator_Mix'!$M$2:$M$977,MATCH(G880,'02b_DC_Accelerator_Mix'!$A$2:$A$977,0)),0)</f>
        <v/>
      </c>
      <c r="Q880" s="6">
        <f>IFERROR(INDEX('02b_DC_Accelerator_Mix'!$N$2:$N$977,MATCH(G880,'02b_DC_Accelerator_Mix'!$A$2:$A$977,0)),0)</f>
        <v/>
      </c>
      <c r="R880" s="28">
        <f>H880*I880</f>
        <v/>
      </c>
      <c r="S880" s="28">
        <f>H880*J880</f>
        <v/>
      </c>
      <c r="T880" s="28">
        <f>H880*K880</f>
        <v/>
      </c>
      <c r="U880" s="28">
        <f>H880*L880</f>
        <v/>
      </c>
      <c r="V880" s="28">
        <f>H880*M880</f>
        <v/>
      </c>
      <c r="W880" s="28">
        <f>H880*N880</f>
        <v/>
      </c>
      <c r="X880" s="28">
        <f>H880*O880</f>
        <v/>
      </c>
      <c r="Y880" s="28">
        <f>H880*P880</f>
        <v/>
      </c>
      <c r="Z880" s="28">
        <f>H880*Q880</f>
        <v/>
      </c>
      <c r="AA880" s="28">
        <f>SUM(U880:Z880)</f>
        <v/>
      </c>
      <c r="AB880" s="5">
        <f>IF(COUNTIF('02b_DC_Accelerator_Mix'!$A$2:$A$977,G880)&gt;0,"matched","missing_mix")</f>
        <v/>
      </c>
    </row>
    <row r="881">
      <c r="A881" s="5">
        <f>'02a_DC_Capacity_Alloc'!A881</f>
        <v/>
      </c>
      <c r="B881" s="5">
        <f>'02a_DC_Capacity_Alloc'!B881</f>
        <v/>
      </c>
      <c r="C881" s="5">
        <f>'02a_DC_Capacity_Alloc'!C881</f>
        <v/>
      </c>
      <c r="D881" s="5">
        <f>'02a_DC_Capacity_Alloc'!D881</f>
        <v/>
      </c>
      <c r="E881" s="5">
        <f>'02a_DC_Capacity_Alloc'!E881</f>
        <v/>
      </c>
      <c r="F881" s="5">
        <f>'02a_DC_Capacity_Alloc'!F881</f>
        <v/>
      </c>
      <c r="G881" s="5">
        <f>B881&amp;"|"&amp;E881&amp;"|"&amp;D881</f>
        <v/>
      </c>
      <c r="H881" s="28">
        <f>'02a_DC_Capacity_Alloc'!H881*'02a_DC_Capacity_Alloc'!I881*'02a_DC_Capacity_Alloc'!J881</f>
        <v/>
      </c>
      <c r="I881" s="6">
        <f>IFERROR(INDEX('02b_DC_Accelerator_Mix'!$F$2:$F$977,MATCH(G881,'02b_DC_Accelerator_Mix'!$A$2:$A$977,0)),0)</f>
        <v/>
      </c>
      <c r="J881" s="6">
        <f>IFERROR(INDEX('02b_DC_Accelerator_Mix'!$G$2:$G$977,MATCH(G881,'02b_DC_Accelerator_Mix'!$A$2:$A$977,0)),0)</f>
        <v/>
      </c>
      <c r="K881" s="6">
        <f>IFERROR(INDEX('02b_DC_Accelerator_Mix'!$H$2:$H$977,MATCH(G881,'02b_DC_Accelerator_Mix'!$A$2:$A$977,0)),0)</f>
        <v/>
      </c>
      <c r="L881" s="6">
        <f>IFERROR(INDEX('02b_DC_Accelerator_Mix'!$I$2:$I$977,MATCH(G881,'02b_DC_Accelerator_Mix'!$A$2:$A$977,0)),0)</f>
        <v/>
      </c>
      <c r="M881" s="6">
        <f>IFERROR(INDEX('02b_DC_Accelerator_Mix'!$J$2:$J$977,MATCH(G881,'02b_DC_Accelerator_Mix'!$A$2:$A$977,0)),0)</f>
        <v/>
      </c>
      <c r="N881" s="6">
        <f>IFERROR(INDEX('02b_DC_Accelerator_Mix'!$K$2:$K$977,MATCH(G881,'02b_DC_Accelerator_Mix'!$A$2:$A$977,0)),0)</f>
        <v/>
      </c>
      <c r="O881" s="6">
        <f>IFERROR(INDEX('02b_DC_Accelerator_Mix'!$L$2:$L$977,MATCH(G881,'02b_DC_Accelerator_Mix'!$A$2:$A$977,0)),0)</f>
        <v/>
      </c>
      <c r="P881" s="6">
        <f>IFERROR(INDEX('02b_DC_Accelerator_Mix'!$M$2:$M$977,MATCH(G881,'02b_DC_Accelerator_Mix'!$A$2:$A$977,0)),0)</f>
        <v/>
      </c>
      <c r="Q881" s="6">
        <f>IFERROR(INDEX('02b_DC_Accelerator_Mix'!$N$2:$N$977,MATCH(G881,'02b_DC_Accelerator_Mix'!$A$2:$A$977,0)),0)</f>
        <v/>
      </c>
      <c r="R881" s="28">
        <f>H881*I881</f>
        <v/>
      </c>
      <c r="S881" s="28">
        <f>H881*J881</f>
        <v/>
      </c>
      <c r="T881" s="28">
        <f>H881*K881</f>
        <v/>
      </c>
      <c r="U881" s="28">
        <f>H881*L881</f>
        <v/>
      </c>
      <c r="V881" s="28">
        <f>H881*M881</f>
        <v/>
      </c>
      <c r="W881" s="28">
        <f>H881*N881</f>
        <v/>
      </c>
      <c r="X881" s="28">
        <f>H881*O881</f>
        <v/>
      </c>
      <c r="Y881" s="28">
        <f>H881*P881</f>
        <v/>
      </c>
      <c r="Z881" s="28">
        <f>H881*Q881</f>
        <v/>
      </c>
      <c r="AA881" s="28">
        <f>SUM(U881:Z881)</f>
        <v/>
      </c>
      <c r="AB881" s="5">
        <f>IF(COUNTIF('02b_DC_Accelerator_Mix'!$A$2:$A$977,G881)&gt;0,"matched","missing_mix")</f>
        <v/>
      </c>
    </row>
    <row r="882">
      <c r="A882" s="5">
        <f>'02a_DC_Capacity_Alloc'!A882</f>
        <v/>
      </c>
      <c r="B882" s="5">
        <f>'02a_DC_Capacity_Alloc'!B882</f>
        <v/>
      </c>
      <c r="C882" s="5">
        <f>'02a_DC_Capacity_Alloc'!C882</f>
        <v/>
      </c>
      <c r="D882" s="5">
        <f>'02a_DC_Capacity_Alloc'!D882</f>
        <v/>
      </c>
      <c r="E882" s="5">
        <f>'02a_DC_Capacity_Alloc'!E882</f>
        <v/>
      </c>
      <c r="F882" s="5">
        <f>'02a_DC_Capacity_Alloc'!F882</f>
        <v/>
      </c>
      <c r="G882" s="5">
        <f>B882&amp;"|"&amp;E882&amp;"|"&amp;D882</f>
        <v/>
      </c>
      <c r="H882" s="28">
        <f>'02a_DC_Capacity_Alloc'!H882*'02a_DC_Capacity_Alloc'!I882*'02a_DC_Capacity_Alloc'!J882</f>
        <v/>
      </c>
      <c r="I882" s="6">
        <f>IFERROR(INDEX('02b_DC_Accelerator_Mix'!$F$2:$F$977,MATCH(G882,'02b_DC_Accelerator_Mix'!$A$2:$A$977,0)),0)</f>
        <v/>
      </c>
      <c r="J882" s="6">
        <f>IFERROR(INDEX('02b_DC_Accelerator_Mix'!$G$2:$G$977,MATCH(G882,'02b_DC_Accelerator_Mix'!$A$2:$A$977,0)),0)</f>
        <v/>
      </c>
      <c r="K882" s="6">
        <f>IFERROR(INDEX('02b_DC_Accelerator_Mix'!$H$2:$H$977,MATCH(G882,'02b_DC_Accelerator_Mix'!$A$2:$A$977,0)),0)</f>
        <v/>
      </c>
      <c r="L882" s="6">
        <f>IFERROR(INDEX('02b_DC_Accelerator_Mix'!$I$2:$I$977,MATCH(G882,'02b_DC_Accelerator_Mix'!$A$2:$A$977,0)),0)</f>
        <v/>
      </c>
      <c r="M882" s="6">
        <f>IFERROR(INDEX('02b_DC_Accelerator_Mix'!$J$2:$J$977,MATCH(G882,'02b_DC_Accelerator_Mix'!$A$2:$A$977,0)),0)</f>
        <v/>
      </c>
      <c r="N882" s="6">
        <f>IFERROR(INDEX('02b_DC_Accelerator_Mix'!$K$2:$K$977,MATCH(G882,'02b_DC_Accelerator_Mix'!$A$2:$A$977,0)),0)</f>
        <v/>
      </c>
      <c r="O882" s="6">
        <f>IFERROR(INDEX('02b_DC_Accelerator_Mix'!$L$2:$L$977,MATCH(G882,'02b_DC_Accelerator_Mix'!$A$2:$A$977,0)),0)</f>
        <v/>
      </c>
      <c r="P882" s="6">
        <f>IFERROR(INDEX('02b_DC_Accelerator_Mix'!$M$2:$M$977,MATCH(G882,'02b_DC_Accelerator_Mix'!$A$2:$A$977,0)),0)</f>
        <v/>
      </c>
      <c r="Q882" s="6">
        <f>IFERROR(INDEX('02b_DC_Accelerator_Mix'!$N$2:$N$977,MATCH(G882,'02b_DC_Accelerator_Mix'!$A$2:$A$977,0)),0)</f>
        <v/>
      </c>
      <c r="R882" s="28">
        <f>H882*I882</f>
        <v/>
      </c>
      <c r="S882" s="28">
        <f>H882*J882</f>
        <v/>
      </c>
      <c r="T882" s="28">
        <f>H882*K882</f>
        <v/>
      </c>
      <c r="U882" s="28">
        <f>H882*L882</f>
        <v/>
      </c>
      <c r="V882" s="28">
        <f>H882*M882</f>
        <v/>
      </c>
      <c r="W882" s="28">
        <f>H882*N882</f>
        <v/>
      </c>
      <c r="X882" s="28">
        <f>H882*O882</f>
        <v/>
      </c>
      <c r="Y882" s="28">
        <f>H882*P882</f>
        <v/>
      </c>
      <c r="Z882" s="28">
        <f>H882*Q882</f>
        <v/>
      </c>
      <c r="AA882" s="28">
        <f>SUM(U882:Z882)</f>
        <v/>
      </c>
      <c r="AB882" s="5">
        <f>IF(COUNTIF('02b_DC_Accelerator_Mix'!$A$2:$A$977,G882)&gt;0,"matched","missing_mix")</f>
        <v/>
      </c>
    </row>
    <row r="883">
      <c r="A883" s="5">
        <f>'02a_DC_Capacity_Alloc'!A883</f>
        <v/>
      </c>
      <c r="B883" s="5">
        <f>'02a_DC_Capacity_Alloc'!B883</f>
        <v/>
      </c>
      <c r="C883" s="5">
        <f>'02a_DC_Capacity_Alloc'!C883</f>
        <v/>
      </c>
      <c r="D883" s="5">
        <f>'02a_DC_Capacity_Alloc'!D883</f>
        <v/>
      </c>
      <c r="E883" s="5">
        <f>'02a_DC_Capacity_Alloc'!E883</f>
        <v/>
      </c>
      <c r="F883" s="5">
        <f>'02a_DC_Capacity_Alloc'!F883</f>
        <v/>
      </c>
      <c r="G883" s="5">
        <f>B883&amp;"|"&amp;E883&amp;"|"&amp;D883</f>
        <v/>
      </c>
      <c r="H883" s="28">
        <f>'02a_DC_Capacity_Alloc'!H883*'02a_DC_Capacity_Alloc'!I883*'02a_DC_Capacity_Alloc'!J883</f>
        <v/>
      </c>
      <c r="I883" s="6">
        <f>IFERROR(INDEX('02b_DC_Accelerator_Mix'!$F$2:$F$977,MATCH(G883,'02b_DC_Accelerator_Mix'!$A$2:$A$977,0)),0)</f>
        <v/>
      </c>
      <c r="J883" s="6">
        <f>IFERROR(INDEX('02b_DC_Accelerator_Mix'!$G$2:$G$977,MATCH(G883,'02b_DC_Accelerator_Mix'!$A$2:$A$977,0)),0)</f>
        <v/>
      </c>
      <c r="K883" s="6">
        <f>IFERROR(INDEX('02b_DC_Accelerator_Mix'!$H$2:$H$977,MATCH(G883,'02b_DC_Accelerator_Mix'!$A$2:$A$977,0)),0)</f>
        <v/>
      </c>
      <c r="L883" s="6">
        <f>IFERROR(INDEX('02b_DC_Accelerator_Mix'!$I$2:$I$977,MATCH(G883,'02b_DC_Accelerator_Mix'!$A$2:$A$977,0)),0)</f>
        <v/>
      </c>
      <c r="M883" s="6">
        <f>IFERROR(INDEX('02b_DC_Accelerator_Mix'!$J$2:$J$977,MATCH(G883,'02b_DC_Accelerator_Mix'!$A$2:$A$977,0)),0)</f>
        <v/>
      </c>
      <c r="N883" s="6">
        <f>IFERROR(INDEX('02b_DC_Accelerator_Mix'!$K$2:$K$977,MATCH(G883,'02b_DC_Accelerator_Mix'!$A$2:$A$977,0)),0)</f>
        <v/>
      </c>
      <c r="O883" s="6">
        <f>IFERROR(INDEX('02b_DC_Accelerator_Mix'!$L$2:$L$977,MATCH(G883,'02b_DC_Accelerator_Mix'!$A$2:$A$977,0)),0)</f>
        <v/>
      </c>
      <c r="P883" s="6">
        <f>IFERROR(INDEX('02b_DC_Accelerator_Mix'!$M$2:$M$977,MATCH(G883,'02b_DC_Accelerator_Mix'!$A$2:$A$977,0)),0)</f>
        <v/>
      </c>
      <c r="Q883" s="6">
        <f>IFERROR(INDEX('02b_DC_Accelerator_Mix'!$N$2:$N$977,MATCH(G883,'02b_DC_Accelerator_Mix'!$A$2:$A$977,0)),0)</f>
        <v/>
      </c>
      <c r="R883" s="28">
        <f>H883*I883</f>
        <v/>
      </c>
      <c r="S883" s="28">
        <f>H883*J883</f>
        <v/>
      </c>
      <c r="T883" s="28">
        <f>H883*K883</f>
        <v/>
      </c>
      <c r="U883" s="28">
        <f>H883*L883</f>
        <v/>
      </c>
      <c r="V883" s="28">
        <f>H883*M883</f>
        <v/>
      </c>
      <c r="W883" s="28">
        <f>H883*N883</f>
        <v/>
      </c>
      <c r="X883" s="28">
        <f>H883*O883</f>
        <v/>
      </c>
      <c r="Y883" s="28">
        <f>H883*P883</f>
        <v/>
      </c>
      <c r="Z883" s="28">
        <f>H883*Q883</f>
        <v/>
      </c>
      <c r="AA883" s="28">
        <f>SUM(U883:Z883)</f>
        <v/>
      </c>
      <c r="AB883" s="5">
        <f>IF(COUNTIF('02b_DC_Accelerator_Mix'!$A$2:$A$977,G883)&gt;0,"matched","missing_mix")</f>
        <v/>
      </c>
    </row>
    <row r="884">
      <c r="A884" s="5">
        <f>'02a_DC_Capacity_Alloc'!A884</f>
        <v/>
      </c>
      <c r="B884" s="5">
        <f>'02a_DC_Capacity_Alloc'!B884</f>
        <v/>
      </c>
      <c r="C884" s="5">
        <f>'02a_DC_Capacity_Alloc'!C884</f>
        <v/>
      </c>
      <c r="D884" s="5">
        <f>'02a_DC_Capacity_Alloc'!D884</f>
        <v/>
      </c>
      <c r="E884" s="5">
        <f>'02a_DC_Capacity_Alloc'!E884</f>
        <v/>
      </c>
      <c r="F884" s="5">
        <f>'02a_DC_Capacity_Alloc'!F884</f>
        <v/>
      </c>
      <c r="G884" s="5">
        <f>B884&amp;"|"&amp;E884&amp;"|"&amp;D884</f>
        <v/>
      </c>
      <c r="H884" s="28">
        <f>'02a_DC_Capacity_Alloc'!H884*'02a_DC_Capacity_Alloc'!I884*'02a_DC_Capacity_Alloc'!J884</f>
        <v/>
      </c>
      <c r="I884" s="6">
        <f>IFERROR(INDEX('02b_DC_Accelerator_Mix'!$F$2:$F$977,MATCH(G884,'02b_DC_Accelerator_Mix'!$A$2:$A$977,0)),0)</f>
        <v/>
      </c>
      <c r="J884" s="6">
        <f>IFERROR(INDEX('02b_DC_Accelerator_Mix'!$G$2:$G$977,MATCH(G884,'02b_DC_Accelerator_Mix'!$A$2:$A$977,0)),0)</f>
        <v/>
      </c>
      <c r="K884" s="6">
        <f>IFERROR(INDEX('02b_DC_Accelerator_Mix'!$H$2:$H$977,MATCH(G884,'02b_DC_Accelerator_Mix'!$A$2:$A$977,0)),0)</f>
        <v/>
      </c>
      <c r="L884" s="6">
        <f>IFERROR(INDEX('02b_DC_Accelerator_Mix'!$I$2:$I$977,MATCH(G884,'02b_DC_Accelerator_Mix'!$A$2:$A$977,0)),0)</f>
        <v/>
      </c>
      <c r="M884" s="6">
        <f>IFERROR(INDEX('02b_DC_Accelerator_Mix'!$J$2:$J$977,MATCH(G884,'02b_DC_Accelerator_Mix'!$A$2:$A$977,0)),0)</f>
        <v/>
      </c>
      <c r="N884" s="6">
        <f>IFERROR(INDEX('02b_DC_Accelerator_Mix'!$K$2:$K$977,MATCH(G884,'02b_DC_Accelerator_Mix'!$A$2:$A$977,0)),0)</f>
        <v/>
      </c>
      <c r="O884" s="6">
        <f>IFERROR(INDEX('02b_DC_Accelerator_Mix'!$L$2:$L$977,MATCH(G884,'02b_DC_Accelerator_Mix'!$A$2:$A$977,0)),0)</f>
        <v/>
      </c>
      <c r="P884" s="6">
        <f>IFERROR(INDEX('02b_DC_Accelerator_Mix'!$M$2:$M$977,MATCH(G884,'02b_DC_Accelerator_Mix'!$A$2:$A$977,0)),0)</f>
        <v/>
      </c>
      <c r="Q884" s="6">
        <f>IFERROR(INDEX('02b_DC_Accelerator_Mix'!$N$2:$N$977,MATCH(G884,'02b_DC_Accelerator_Mix'!$A$2:$A$977,0)),0)</f>
        <v/>
      </c>
      <c r="R884" s="28">
        <f>H884*I884</f>
        <v/>
      </c>
      <c r="S884" s="28">
        <f>H884*J884</f>
        <v/>
      </c>
      <c r="T884" s="28">
        <f>H884*K884</f>
        <v/>
      </c>
      <c r="U884" s="28">
        <f>H884*L884</f>
        <v/>
      </c>
      <c r="V884" s="28">
        <f>H884*M884</f>
        <v/>
      </c>
      <c r="W884" s="28">
        <f>H884*N884</f>
        <v/>
      </c>
      <c r="X884" s="28">
        <f>H884*O884</f>
        <v/>
      </c>
      <c r="Y884" s="28">
        <f>H884*P884</f>
        <v/>
      </c>
      <c r="Z884" s="28">
        <f>H884*Q884</f>
        <v/>
      </c>
      <c r="AA884" s="28">
        <f>SUM(U884:Z884)</f>
        <v/>
      </c>
      <c r="AB884" s="5">
        <f>IF(COUNTIF('02b_DC_Accelerator_Mix'!$A$2:$A$977,G884)&gt;0,"matched","missing_mix")</f>
        <v/>
      </c>
    </row>
    <row r="885">
      <c r="A885" s="5">
        <f>'02a_DC_Capacity_Alloc'!A885</f>
        <v/>
      </c>
      <c r="B885" s="5">
        <f>'02a_DC_Capacity_Alloc'!B885</f>
        <v/>
      </c>
      <c r="C885" s="5">
        <f>'02a_DC_Capacity_Alloc'!C885</f>
        <v/>
      </c>
      <c r="D885" s="5">
        <f>'02a_DC_Capacity_Alloc'!D885</f>
        <v/>
      </c>
      <c r="E885" s="5">
        <f>'02a_DC_Capacity_Alloc'!E885</f>
        <v/>
      </c>
      <c r="F885" s="5">
        <f>'02a_DC_Capacity_Alloc'!F885</f>
        <v/>
      </c>
      <c r="G885" s="5">
        <f>B885&amp;"|"&amp;E885&amp;"|"&amp;D885</f>
        <v/>
      </c>
      <c r="H885" s="28">
        <f>'02a_DC_Capacity_Alloc'!H885*'02a_DC_Capacity_Alloc'!I885*'02a_DC_Capacity_Alloc'!J885</f>
        <v/>
      </c>
      <c r="I885" s="6">
        <f>IFERROR(INDEX('02b_DC_Accelerator_Mix'!$F$2:$F$977,MATCH(G885,'02b_DC_Accelerator_Mix'!$A$2:$A$977,0)),0)</f>
        <v/>
      </c>
      <c r="J885" s="6">
        <f>IFERROR(INDEX('02b_DC_Accelerator_Mix'!$G$2:$G$977,MATCH(G885,'02b_DC_Accelerator_Mix'!$A$2:$A$977,0)),0)</f>
        <v/>
      </c>
      <c r="K885" s="6">
        <f>IFERROR(INDEX('02b_DC_Accelerator_Mix'!$H$2:$H$977,MATCH(G885,'02b_DC_Accelerator_Mix'!$A$2:$A$977,0)),0)</f>
        <v/>
      </c>
      <c r="L885" s="6">
        <f>IFERROR(INDEX('02b_DC_Accelerator_Mix'!$I$2:$I$977,MATCH(G885,'02b_DC_Accelerator_Mix'!$A$2:$A$977,0)),0)</f>
        <v/>
      </c>
      <c r="M885" s="6">
        <f>IFERROR(INDEX('02b_DC_Accelerator_Mix'!$J$2:$J$977,MATCH(G885,'02b_DC_Accelerator_Mix'!$A$2:$A$977,0)),0)</f>
        <v/>
      </c>
      <c r="N885" s="6">
        <f>IFERROR(INDEX('02b_DC_Accelerator_Mix'!$K$2:$K$977,MATCH(G885,'02b_DC_Accelerator_Mix'!$A$2:$A$977,0)),0)</f>
        <v/>
      </c>
      <c r="O885" s="6">
        <f>IFERROR(INDEX('02b_DC_Accelerator_Mix'!$L$2:$L$977,MATCH(G885,'02b_DC_Accelerator_Mix'!$A$2:$A$977,0)),0)</f>
        <v/>
      </c>
      <c r="P885" s="6">
        <f>IFERROR(INDEX('02b_DC_Accelerator_Mix'!$M$2:$M$977,MATCH(G885,'02b_DC_Accelerator_Mix'!$A$2:$A$977,0)),0)</f>
        <v/>
      </c>
      <c r="Q885" s="6">
        <f>IFERROR(INDEX('02b_DC_Accelerator_Mix'!$N$2:$N$977,MATCH(G885,'02b_DC_Accelerator_Mix'!$A$2:$A$977,0)),0)</f>
        <v/>
      </c>
      <c r="R885" s="28">
        <f>H885*I885</f>
        <v/>
      </c>
      <c r="S885" s="28">
        <f>H885*J885</f>
        <v/>
      </c>
      <c r="T885" s="28">
        <f>H885*K885</f>
        <v/>
      </c>
      <c r="U885" s="28">
        <f>H885*L885</f>
        <v/>
      </c>
      <c r="V885" s="28">
        <f>H885*M885</f>
        <v/>
      </c>
      <c r="W885" s="28">
        <f>H885*N885</f>
        <v/>
      </c>
      <c r="X885" s="28">
        <f>H885*O885</f>
        <v/>
      </c>
      <c r="Y885" s="28">
        <f>H885*P885</f>
        <v/>
      </c>
      <c r="Z885" s="28">
        <f>H885*Q885</f>
        <v/>
      </c>
      <c r="AA885" s="28">
        <f>SUM(U885:Z885)</f>
        <v/>
      </c>
      <c r="AB885" s="5">
        <f>IF(COUNTIF('02b_DC_Accelerator_Mix'!$A$2:$A$977,G885)&gt;0,"matched","missing_mix")</f>
        <v/>
      </c>
    </row>
    <row r="886">
      <c r="A886" s="5">
        <f>'02a_DC_Capacity_Alloc'!A886</f>
        <v/>
      </c>
      <c r="B886" s="5">
        <f>'02a_DC_Capacity_Alloc'!B886</f>
        <v/>
      </c>
      <c r="C886" s="5">
        <f>'02a_DC_Capacity_Alloc'!C886</f>
        <v/>
      </c>
      <c r="D886" s="5">
        <f>'02a_DC_Capacity_Alloc'!D886</f>
        <v/>
      </c>
      <c r="E886" s="5">
        <f>'02a_DC_Capacity_Alloc'!E886</f>
        <v/>
      </c>
      <c r="F886" s="5">
        <f>'02a_DC_Capacity_Alloc'!F886</f>
        <v/>
      </c>
      <c r="G886" s="5">
        <f>B886&amp;"|"&amp;E886&amp;"|"&amp;D886</f>
        <v/>
      </c>
      <c r="H886" s="28">
        <f>'02a_DC_Capacity_Alloc'!H886*'02a_DC_Capacity_Alloc'!I886*'02a_DC_Capacity_Alloc'!J886</f>
        <v/>
      </c>
      <c r="I886" s="6">
        <f>IFERROR(INDEX('02b_DC_Accelerator_Mix'!$F$2:$F$977,MATCH(G886,'02b_DC_Accelerator_Mix'!$A$2:$A$977,0)),0)</f>
        <v/>
      </c>
      <c r="J886" s="6">
        <f>IFERROR(INDEX('02b_DC_Accelerator_Mix'!$G$2:$G$977,MATCH(G886,'02b_DC_Accelerator_Mix'!$A$2:$A$977,0)),0)</f>
        <v/>
      </c>
      <c r="K886" s="6">
        <f>IFERROR(INDEX('02b_DC_Accelerator_Mix'!$H$2:$H$977,MATCH(G886,'02b_DC_Accelerator_Mix'!$A$2:$A$977,0)),0)</f>
        <v/>
      </c>
      <c r="L886" s="6">
        <f>IFERROR(INDEX('02b_DC_Accelerator_Mix'!$I$2:$I$977,MATCH(G886,'02b_DC_Accelerator_Mix'!$A$2:$A$977,0)),0)</f>
        <v/>
      </c>
      <c r="M886" s="6">
        <f>IFERROR(INDEX('02b_DC_Accelerator_Mix'!$J$2:$J$977,MATCH(G886,'02b_DC_Accelerator_Mix'!$A$2:$A$977,0)),0)</f>
        <v/>
      </c>
      <c r="N886" s="6">
        <f>IFERROR(INDEX('02b_DC_Accelerator_Mix'!$K$2:$K$977,MATCH(G886,'02b_DC_Accelerator_Mix'!$A$2:$A$977,0)),0)</f>
        <v/>
      </c>
      <c r="O886" s="6">
        <f>IFERROR(INDEX('02b_DC_Accelerator_Mix'!$L$2:$L$977,MATCH(G886,'02b_DC_Accelerator_Mix'!$A$2:$A$977,0)),0)</f>
        <v/>
      </c>
      <c r="P886" s="6">
        <f>IFERROR(INDEX('02b_DC_Accelerator_Mix'!$M$2:$M$977,MATCH(G886,'02b_DC_Accelerator_Mix'!$A$2:$A$977,0)),0)</f>
        <v/>
      </c>
      <c r="Q886" s="6">
        <f>IFERROR(INDEX('02b_DC_Accelerator_Mix'!$N$2:$N$977,MATCH(G886,'02b_DC_Accelerator_Mix'!$A$2:$A$977,0)),0)</f>
        <v/>
      </c>
      <c r="R886" s="28">
        <f>H886*I886</f>
        <v/>
      </c>
      <c r="S886" s="28">
        <f>H886*J886</f>
        <v/>
      </c>
      <c r="T886" s="28">
        <f>H886*K886</f>
        <v/>
      </c>
      <c r="U886" s="28">
        <f>H886*L886</f>
        <v/>
      </c>
      <c r="V886" s="28">
        <f>H886*M886</f>
        <v/>
      </c>
      <c r="W886" s="28">
        <f>H886*N886</f>
        <v/>
      </c>
      <c r="X886" s="28">
        <f>H886*O886</f>
        <v/>
      </c>
      <c r="Y886" s="28">
        <f>H886*P886</f>
        <v/>
      </c>
      <c r="Z886" s="28">
        <f>H886*Q886</f>
        <v/>
      </c>
      <c r="AA886" s="28">
        <f>SUM(U886:Z886)</f>
        <v/>
      </c>
      <c r="AB886" s="5">
        <f>IF(COUNTIF('02b_DC_Accelerator_Mix'!$A$2:$A$977,G886)&gt;0,"matched","missing_mix")</f>
        <v/>
      </c>
    </row>
    <row r="887">
      <c r="A887" s="5">
        <f>'02a_DC_Capacity_Alloc'!A887</f>
        <v/>
      </c>
      <c r="B887" s="5">
        <f>'02a_DC_Capacity_Alloc'!B887</f>
        <v/>
      </c>
      <c r="C887" s="5">
        <f>'02a_DC_Capacity_Alloc'!C887</f>
        <v/>
      </c>
      <c r="D887" s="5">
        <f>'02a_DC_Capacity_Alloc'!D887</f>
        <v/>
      </c>
      <c r="E887" s="5">
        <f>'02a_DC_Capacity_Alloc'!E887</f>
        <v/>
      </c>
      <c r="F887" s="5">
        <f>'02a_DC_Capacity_Alloc'!F887</f>
        <v/>
      </c>
      <c r="G887" s="5">
        <f>B887&amp;"|"&amp;E887&amp;"|"&amp;D887</f>
        <v/>
      </c>
      <c r="H887" s="28">
        <f>'02a_DC_Capacity_Alloc'!H887*'02a_DC_Capacity_Alloc'!I887*'02a_DC_Capacity_Alloc'!J887</f>
        <v/>
      </c>
      <c r="I887" s="6">
        <f>IFERROR(INDEX('02b_DC_Accelerator_Mix'!$F$2:$F$977,MATCH(G887,'02b_DC_Accelerator_Mix'!$A$2:$A$977,0)),0)</f>
        <v/>
      </c>
      <c r="J887" s="6">
        <f>IFERROR(INDEX('02b_DC_Accelerator_Mix'!$G$2:$G$977,MATCH(G887,'02b_DC_Accelerator_Mix'!$A$2:$A$977,0)),0)</f>
        <v/>
      </c>
      <c r="K887" s="6">
        <f>IFERROR(INDEX('02b_DC_Accelerator_Mix'!$H$2:$H$977,MATCH(G887,'02b_DC_Accelerator_Mix'!$A$2:$A$977,0)),0)</f>
        <v/>
      </c>
      <c r="L887" s="6">
        <f>IFERROR(INDEX('02b_DC_Accelerator_Mix'!$I$2:$I$977,MATCH(G887,'02b_DC_Accelerator_Mix'!$A$2:$A$977,0)),0)</f>
        <v/>
      </c>
      <c r="M887" s="6">
        <f>IFERROR(INDEX('02b_DC_Accelerator_Mix'!$J$2:$J$977,MATCH(G887,'02b_DC_Accelerator_Mix'!$A$2:$A$977,0)),0)</f>
        <v/>
      </c>
      <c r="N887" s="6">
        <f>IFERROR(INDEX('02b_DC_Accelerator_Mix'!$K$2:$K$977,MATCH(G887,'02b_DC_Accelerator_Mix'!$A$2:$A$977,0)),0)</f>
        <v/>
      </c>
      <c r="O887" s="6">
        <f>IFERROR(INDEX('02b_DC_Accelerator_Mix'!$L$2:$L$977,MATCH(G887,'02b_DC_Accelerator_Mix'!$A$2:$A$977,0)),0)</f>
        <v/>
      </c>
      <c r="P887" s="6">
        <f>IFERROR(INDEX('02b_DC_Accelerator_Mix'!$M$2:$M$977,MATCH(G887,'02b_DC_Accelerator_Mix'!$A$2:$A$977,0)),0)</f>
        <v/>
      </c>
      <c r="Q887" s="6">
        <f>IFERROR(INDEX('02b_DC_Accelerator_Mix'!$N$2:$N$977,MATCH(G887,'02b_DC_Accelerator_Mix'!$A$2:$A$977,0)),0)</f>
        <v/>
      </c>
      <c r="R887" s="28">
        <f>H887*I887</f>
        <v/>
      </c>
      <c r="S887" s="28">
        <f>H887*J887</f>
        <v/>
      </c>
      <c r="T887" s="28">
        <f>H887*K887</f>
        <v/>
      </c>
      <c r="U887" s="28">
        <f>H887*L887</f>
        <v/>
      </c>
      <c r="V887" s="28">
        <f>H887*M887</f>
        <v/>
      </c>
      <c r="W887" s="28">
        <f>H887*N887</f>
        <v/>
      </c>
      <c r="X887" s="28">
        <f>H887*O887</f>
        <v/>
      </c>
      <c r="Y887" s="28">
        <f>H887*P887</f>
        <v/>
      </c>
      <c r="Z887" s="28">
        <f>H887*Q887</f>
        <v/>
      </c>
      <c r="AA887" s="28">
        <f>SUM(U887:Z887)</f>
        <v/>
      </c>
      <c r="AB887" s="5">
        <f>IF(COUNTIF('02b_DC_Accelerator_Mix'!$A$2:$A$977,G887)&gt;0,"matched","missing_mix")</f>
        <v/>
      </c>
    </row>
    <row r="888">
      <c r="A888" s="5">
        <f>'02a_DC_Capacity_Alloc'!A888</f>
        <v/>
      </c>
      <c r="B888" s="5">
        <f>'02a_DC_Capacity_Alloc'!B888</f>
        <v/>
      </c>
      <c r="C888" s="5">
        <f>'02a_DC_Capacity_Alloc'!C888</f>
        <v/>
      </c>
      <c r="D888" s="5">
        <f>'02a_DC_Capacity_Alloc'!D888</f>
        <v/>
      </c>
      <c r="E888" s="5">
        <f>'02a_DC_Capacity_Alloc'!E888</f>
        <v/>
      </c>
      <c r="F888" s="5">
        <f>'02a_DC_Capacity_Alloc'!F888</f>
        <v/>
      </c>
      <c r="G888" s="5">
        <f>B888&amp;"|"&amp;E888&amp;"|"&amp;D888</f>
        <v/>
      </c>
      <c r="H888" s="28">
        <f>'02a_DC_Capacity_Alloc'!H888*'02a_DC_Capacity_Alloc'!I888*'02a_DC_Capacity_Alloc'!J888</f>
        <v/>
      </c>
      <c r="I888" s="6">
        <f>IFERROR(INDEX('02b_DC_Accelerator_Mix'!$F$2:$F$977,MATCH(G888,'02b_DC_Accelerator_Mix'!$A$2:$A$977,0)),0)</f>
        <v/>
      </c>
      <c r="J888" s="6">
        <f>IFERROR(INDEX('02b_DC_Accelerator_Mix'!$G$2:$G$977,MATCH(G888,'02b_DC_Accelerator_Mix'!$A$2:$A$977,0)),0)</f>
        <v/>
      </c>
      <c r="K888" s="6">
        <f>IFERROR(INDEX('02b_DC_Accelerator_Mix'!$H$2:$H$977,MATCH(G888,'02b_DC_Accelerator_Mix'!$A$2:$A$977,0)),0)</f>
        <v/>
      </c>
      <c r="L888" s="6">
        <f>IFERROR(INDEX('02b_DC_Accelerator_Mix'!$I$2:$I$977,MATCH(G888,'02b_DC_Accelerator_Mix'!$A$2:$A$977,0)),0)</f>
        <v/>
      </c>
      <c r="M888" s="6">
        <f>IFERROR(INDEX('02b_DC_Accelerator_Mix'!$J$2:$J$977,MATCH(G888,'02b_DC_Accelerator_Mix'!$A$2:$A$977,0)),0)</f>
        <v/>
      </c>
      <c r="N888" s="6">
        <f>IFERROR(INDEX('02b_DC_Accelerator_Mix'!$K$2:$K$977,MATCH(G888,'02b_DC_Accelerator_Mix'!$A$2:$A$977,0)),0)</f>
        <v/>
      </c>
      <c r="O888" s="6">
        <f>IFERROR(INDEX('02b_DC_Accelerator_Mix'!$L$2:$L$977,MATCH(G888,'02b_DC_Accelerator_Mix'!$A$2:$A$977,0)),0)</f>
        <v/>
      </c>
      <c r="P888" s="6">
        <f>IFERROR(INDEX('02b_DC_Accelerator_Mix'!$M$2:$M$977,MATCH(G888,'02b_DC_Accelerator_Mix'!$A$2:$A$977,0)),0)</f>
        <v/>
      </c>
      <c r="Q888" s="6">
        <f>IFERROR(INDEX('02b_DC_Accelerator_Mix'!$N$2:$N$977,MATCH(G888,'02b_DC_Accelerator_Mix'!$A$2:$A$977,0)),0)</f>
        <v/>
      </c>
      <c r="R888" s="28">
        <f>H888*I888</f>
        <v/>
      </c>
      <c r="S888" s="28">
        <f>H888*J888</f>
        <v/>
      </c>
      <c r="T888" s="28">
        <f>H888*K888</f>
        <v/>
      </c>
      <c r="U888" s="28">
        <f>H888*L888</f>
        <v/>
      </c>
      <c r="V888" s="28">
        <f>H888*M888</f>
        <v/>
      </c>
      <c r="W888" s="28">
        <f>H888*N888</f>
        <v/>
      </c>
      <c r="X888" s="28">
        <f>H888*O888</f>
        <v/>
      </c>
      <c r="Y888" s="28">
        <f>H888*P888</f>
        <v/>
      </c>
      <c r="Z888" s="28">
        <f>H888*Q888</f>
        <v/>
      </c>
      <c r="AA888" s="28">
        <f>SUM(U888:Z888)</f>
        <v/>
      </c>
      <c r="AB888" s="5">
        <f>IF(COUNTIF('02b_DC_Accelerator_Mix'!$A$2:$A$977,G888)&gt;0,"matched","missing_mix")</f>
        <v/>
      </c>
    </row>
    <row r="889">
      <c r="A889" s="5">
        <f>'02a_DC_Capacity_Alloc'!A889</f>
        <v/>
      </c>
      <c r="B889" s="5">
        <f>'02a_DC_Capacity_Alloc'!B889</f>
        <v/>
      </c>
      <c r="C889" s="5">
        <f>'02a_DC_Capacity_Alloc'!C889</f>
        <v/>
      </c>
      <c r="D889" s="5">
        <f>'02a_DC_Capacity_Alloc'!D889</f>
        <v/>
      </c>
      <c r="E889" s="5">
        <f>'02a_DC_Capacity_Alloc'!E889</f>
        <v/>
      </c>
      <c r="F889" s="5">
        <f>'02a_DC_Capacity_Alloc'!F889</f>
        <v/>
      </c>
      <c r="G889" s="5">
        <f>B889&amp;"|"&amp;E889&amp;"|"&amp;D889</f>
        <v/>
      </c>
      <c r="H889" s="28">
        <f>'02a_DC_Capacity_Alloc'!H889*'02a_DC_Capacity_Alloc'!I889*'02a_DC_Capacity_Alloc'!J889</f>
        <v/>
      </c>
      <c r="I889" s="6">
        <f>IFERROR(INDEX('02b_DC_Accelerator_Mix'!$F$2:$F$977,MATCH(G889,'02b_DC_Accelerator_Mix'!$A$2:$A$977,0)),0)</f>
        <v/>
      </c>
      <c r="J889" s="6">
        <f>IFERROR(INDEX('02b_DC_Accelerator_Mix'!$G$2:$G$977,MATCH(G889,'02b_DC_Accelerator_Mix'!$A$2:$A$977,0)),0)</f>
        <v/>
      </c>
      <c r="K889" s="6">
        <f>IFERROR(INDEX('02b_DC_Accelerator_Mix'!$H$2:$H$977,MATCH(G889,'02b_DC_Accelerator_Mix'!$A$2:$A$977,0)),0)</f>
        <v/>
      </c>
      <c r="L889" s="6">
        <f>IFERROR(INDEX('02b_DC_Accelerator_Mix'!$I$2:$I$977,MATCH(G889,'02b_DC_Accelerator_Mix'!$A$2:$A$977,0)),0)</f>
        <v/>
      </c>
      <c r="M889" s="6">
        <f>IFERROR(INDEX('02b_DC_Accelerator_Mix'!$J$2:$J$977,MATCH(G889,'02b_DC_Accelerator_Mix'!$A$2:$A$977,0)),0)</f>
        <v/>
      </c>
      <c r="N889" s="6">
        <f>IFERROR(INDEX('02b_DC_Accelerator_Mix'!$K$2:$K$977,MATCH(G889,'02b_DC_Accelerator_Mix'!$A$2:$A$977,0)),0)</f>
        <v/>
      </c>
      <c r="O889" s="6">
        <f>IFERROR(INDEX('02b_DC_Accelerator_Mix'!$L$2:$L$977,MATCH(G889,'02b_DC_Accelerator_Mix'!$A$2:$A$977,0)),0)</f>
        <v/>
      </c>
      <c r="P889" s="6">
        <f>IFERROR(INDEX('02b_DC_Accelerator_Mix'!$M$2:$M$977,MATCH(G889,'02b_DC_Accelerator_Mix'!$A$2:$A$977,0)),0)</f>
        <v/>
      </c>
      <c r="Q889" s="6">
        <f>IFERROR(INDEX('02b_DC_Accelerator_Mix'!$N$2:$N$977,MATCH(G889,'02b_DC_Accelerator_Mix'!$A$2:$A$977,0)),0)</f>
        <v/>
      </c>
      <c r="R889" s="28">
        <f>H889*I889</f>
        <v/>
      </c>
      <c r="S889" s="28">
        <f>H889*J889</f>
        <v/>
      </c>
      <c r="T889" s="28">
        <f>H889*K889</f>
        <v/>
      </c>
      <c r="U889" s="28">
        <f>H889*L889</f>
        <v/>
      </c>
      <c r="V889" s="28">
        <f>H889*M889</f>
        <v/>
      </c>
      <c r="W889" s="28">
        <f>H889*N889</f>
        <v/>
      </c>
      <c r="X889" s="28">
        <f>H889*O889</f>
        <v/>
      </c>
      <c r="Y889" s="28">
        <f>H889*P889</f>
        <v/>
      </c>
      <c r="Z889" s="28">
        <f>H889*Q889</f>
        <v/>
      </c>
      <c r="AA889" s="28">
        <f>SUM(U889:Z889)</f>
        <v/>
      </c>
      <c r="AB889" s="5">
        <f>IF(COUNTIF('02b_DC_Accelerator_Mix'!$A$2:$A$977,G889)&gt;0,"matched","missing_mix")</f>
        <v/>
      </c>
    </row>
    <row r="890">
      <c r="A890" s="5">
        <f>'02a_DC_Capacity_Alloc'!A890</f>
        <v/>
      </c>
      <c r="B890" s="5">
        <f>'02a_DC_Capacity_Alloc'!B890</f>
        <v/>
      </c>
      <c r="C890" s="5">
        <f>'02a_DC_Capacity_Alloc'!C890</f>
        <v/>
      </c>
      <c r="D890" s="5">
        <f>'02a_DC_Capacity_Alloc'!D890</f>
        <v/>
      </c>
      <c r="E890" s="5">
        <f>'02a_DC_Capacity_Alloc'!E890</f>
        <v/>
      </c>
      <c r="F890" s="5">
        <f>'02a_DC_Capacity_Alloc'!F890</f>
        <v/>
      </c>
      <c r="G890" s="5">
        <f>B890&amp;"|"&amp;E890&amp;"|"&amp;D890</f>
        <v/>
      </c>
      <c r="H890" s="28">
        <f>'02a_DC_Capacity_Alloc'!H890*'02a_DC_Capacity_Alloc'!I890*'02a_DC_Capacity_Alloc'!J890</f>
        <v/>
      </c>
      <c r="I890" s="6">
        <f>IFERROR(INDEX('02b_DC_Accelerator_Mix'!$F$2:$F$977,MATCH(G890,'02b_DC_Accelerator_Mix'!$A$2:$A$977,0)),0)</f>
        <v/>
      </c>
      <c r="J890" s="6">
        <f>IFERROR(INDEX('02b_DC_Accelerator_Mix'!$G$2:$G$977,MATCH(G890,'02b_DC_Accelerator_Mix'!$A$2:$A$977,0)),0)</f>
        <v/>
      </c>
      <c r="K890" s="6">
        <f>IFERROR(INDEX('02b_DC_Accelerator_Mix'!$H$2:$H$977,MATCH(G890,'02b_DC_Accelerator_Mix'!$A$2:$A$977,0)),0)</f>
        <v/>
      </c>
      <c r="L890" s="6">
        <f>IFERROR(INDEX('02b_DC_Accelerator_Mix'!$I$2:$I$977,MATCH(G890,'02b_DC_Accelerator_Mix'!$A$2:$A$977,0)),0)</f>
        <v/>
      </c>
      <c r="M890" s="6">
        <f>IFERROR(INDEX('02b_DC_Accelerator_Mix'!$J$2:$J$977,MATCH(G890,'02b_DC_Accelerator_Mix'!$A$2:$A$977,0)),0)</f>
        <v/>
      </c>
      <c r="N890" s="6">
        <f>IFERROR(INDEX('02b_DC_Accelerator_Mix'!$K$2:$K$977,MATCH(G890,'02b_DC_Accelerator_Mix'!$A$2:$A$977,0)),0)</f>
        <v/>
      </c>
      <c r="O890" s="6">
        <f>IFERROR(INDEX('02b_DC_Accelerator_Mix'!$L$2:$L$977,MATCH(G890,'02b_DC_Accelerator_Mix'!$A$2:$A$977,0)),0)</f>
        <v/>
      </c>
      <c r="P890" s="6">
        <f>IFERROR(INDEX('02b_DC_Accelerator_Mix'!$M$2:$M$977,MATCH(G890,'02b_DC_Accelerator_Mix'!$A$2:$A$977,0)),0)</f>
        <v/>
      </c>
      <c r="Q890" s="6">
        <f>IFERROR(INDEX('02b_DC_Accelerator_Mix'!$N$2:$N$977,MATCH(G890,'02b_DC_Accelerator_Mix'!$A$2:$A$977,0)),0)</f>
        <v/>
      </c>
      <c r="R890" s="28">
        <f>H890*I890</f>
        <v/>
      </c>
      <c r="S890" s="28">
        <f>H890*J890</f>
        <v/>
      </c>
      <c r="T890" s="28">
        <f>H890*K890</f>
        <v/>
      </c>
      <c r="U890" s="28">
        <f>H890*L890</f>
        <v/>
      </c>
      <c r="V890" s="28">
        <f>H890*M890</f>
        <v/>
      </c>
      <c r="W890" s="28">
        <f>H890*N890</f>
        <v/>
      </c>
      <c r="X890" s="28">
        <f>H890*O890</f>
        <v/>
      </c>
      <c r="Y890" s="28">
        <f>H890*P890</f>
        <v/>
      </c>
      <c r="Z890" s="28">
        <f>H890*Q890</f>
        <v/>
      </c>
      <c r="AA890" s="28">
        <f>SUM(U890:Z890)</f>
        <v/>
      </c>
      <c r="AB890" s="5">
        <f>IF(COUNTIF('02b_DC_Accelerator_Mix'!$A$2:$A$977,G890)&gt;0,"matched","missing_mix")</f>
        <v/>
      </c>
    </row>
    <row r="891">
      <c r="A891" s="5">
        <f>'02a_DC_Capacity_Alloc'!A891</f>
        <v/>
      </c>
      <c r="B891" s="5">
        <f>'02a_DC_Capacity_Alloc'!B891</f>
        <v/>
      </c>
      <c r="C891" s="5">
        <f>'02a_DC_Capacity_Alloc'!C891</f>
        <v/>
      </c>
      <c r="D891" s="5">
        <f>'02a_DC_Capacity_Alloc'!D891</f>
        <v/>
      </c>
      <c r="E891" s="5">
        <f>'02a_DC_Capacity_Alloc'!E891</f>
        <v/>
      </c>
      <c r="F891" s="5">
        <f>'02a_DC_Capacity_Alloc'!F891</f>
        <v/>
      </c>
      <c r="G891" s="5">
        <f>B891&amp;"|"&amp;E891&amp;"|"&amp;D891</f>
        <v/>
      </c>
      <c r="H891" s="28">
        <f>'02a_DC_Capacity_Alloc'!H891*'02a_DC_Capacity_Alloc'!I891*'02a_DC_Capacity_Alloc'!J891</f>
        <v/>
      </c>
      <c r="I891" s="6">
        <f>IFERROR(INDEX('02b_DC_Accelerator_Mix'!$F$2:$F$977,MATCH(G891,'02b_DC_Accelerator_Mix'!$A$2:$A$977,0)),0)</f>
        <v/>
      </c>
      <c r="J891" s="6">
        <f>IFERROR(INDEX('02b_DC_Accelerator_Mix'!$G$2:$G$977,MATCH(G891,'02b_DC_Accelerator_Mix'!$A$2:$A$977,0)),0)</f>
        <v/>
      </c>
      <c r="K891" s="6">
        <f>IFERROR(INDEX('02b_DC_Accelerator_Mix'!$H$2:$H$977,MATCH(G891,'02b_DC_Accelerator_Mix'!$A$2:$A$977,0)),0)</f>
        <v/>
      </c>
      <c r="L891" s="6">
        <f>IFERROR(INDEX('02b_DC_Accelerator_Mix'!$I$2:$I$977,MATCH(G891,'02b_DC_Accelerator_Mix'!$A$2:$A$977,0)),0)</f>
        <v/>
      </c>
      <c r="M891" s="6">
        <f>IFERROR(INDEX('02b_DC_Accelerator_Mix'!$J$2:$J$977,MATCH(G891,'02b_DC_Accelerator_Mix'!$A$2:$A$977,0)),0)</f>
        <v/>
      </c>
      <c r="N891" s="6">
        <f>IFERROR(INDEX('02b_DC_Accelerator_Mix'!$K$2:$K$977,MATCH(G891,'02b_DC_Accelerator_Mix'!$A$2:$A$977,0)),0)</f>
        <v/>
      </c>
      <c r="O891" s="6">
        <f>IFERROR(INDEX('02b_DC_Accelerator_Mix'!$L$2:$L$977,MATCH(G891,'02b_DC_Accelerator_Mix'!$A$2:$A$977,0)),0)</f>
        <v/>
      </c>
      <c r="P891" s="6">
        <f>IFERROR(INDEX('02b_DC_Accelerator_Mix'!$M$2:$M$977,MATCH(G891,'02b_DC_Accelerator_Mix'!$A$2:$A$977,0)),0)</f>
        <v/>
      </c>
      <c r="Q891" s="6">
        <f>IFERROR(INDEX('02b_DC_Accelerator_Mix'!$N$2:$N$977,MATCH(G891,'02b_DC_Accelerator_Mix'!$A$2:$A$977,0)),0)</f>
        <v/>
      </c>
      <c r="R891" s="28">
        <f>H891*I891</f>
        <v/>
      </c>
      <c r="S891" s="28">
        <f>H891*J891</f>
        <v/>
      </c>
      <c r="T891" s="28">
        <f>H891*K891</f>
        <v/>
      </c>
      <c r="U891" s="28">
        <f>H891*L891</f>
        <v/>
      </c>
      <c r="V891" s="28">
        <f>H891*M891</f>
        <v/>
      </c>
      <c r="W891" s="28">
        <f>H891*N891</f>
        <v/>
      </c>
      <c r="X891" s="28">
        <f>H891*O891</f>
        <v/>
      </c>
      <c r="Y891" s="28">
        <f>H891*P891</f>
        <v/>
      </c>
      <c r="Z891" s="28">
        <f>H891*Q891</f>
        <v/>
      </c>
      <c r="AA891" s="28">
        <f>SUM(U891:Z891)</f>
        <v/>
      </c>
      <c r="AB891" s="5">
        <f>IF(COUNTIF('02b_DC_Accelerator_Mix'!$A$2:$A$977,G891)&gt;0,"matched","missing_mix")</f>
        <v/>
      </c>
    </row>
    <row r="892">
      <c r="A892" s="5">
        <f>'02a_DC_Capacity_Alloc'!A892</f>
        <v/>
      </c>
      <c r="B892" s="5">
        <f>'02a_DC_Capacity_Alloc'!B892</f>
        <v/>
      </c>
      <c r="C892" s="5">
        <f>'02a_DC_Capacity_Alloc'!C892</f>
        <v/>
      </c>
      <c r="D892" s="5">
        <f>'02a_DC_Capacity_Alloc'!D892</f>
        <v/>
      </c>
      <c r="E892" s="5">
        <f>'02a_DC_Capacity_Alloc'!E892</f>
        <v/>
      </c>
      <c r="F892" s="5">
        <f>'02a_DC_Capacity_Alloc'!F892</f>
        <v/>
      </c>
      <c r="G892" s="5">
        <f>B892&amp;"|"&amp;E892&amp;"|"&amp;D892</f>
        <v/>
      </c>
      <c r="H892" s="28">
        <f>'02a_DC_Capacity_Alloc'!H892*'02a_DC_Capacity_Alloc'!I892*'02a_DC_Capacity_Alloc'!J892</f>
        <v/>
      </c>
      <c r="I892" s="6">
        <f>IFERROR(INDEX('02b_DC_Accelerator_Mix'!$F$2:$F$977,MATCH(G892,'02b_DC_Accelerator_Mix'!$A$2:$A$977,0)),0)</f>
        <v/>
      </c>
      <c r="J892" s="6">
        <f>IFERROR(INDEX('02b_DC_Accelerator_Mix'!$G$2:$G$977,MATCH(G892,'02b_DC_Accelerator_Mix'!$A$2:$A$977,0)),0)</f>
        <v/>
      </c>
      <c r="K892" s="6">
        <f>IFERROR(INDEX('02b_DC_Accelerator_Mix'!$H$2:$H$977,MATCH(G892,'02b_DC_Accelerator_Mix'!$A$2:$A$977,0)),0)</f>
        <v/>
      </c>
      <c r="L892" s="6">
        <f>IFERROR(INDEX('02b_DC_Accelerator_Mix'!$I$2:$I$977,MATCH(G892,'02b_DC_Accelerator_Mix'!$A$2:$A$977,0)),0)</f>
        <v/>
      </c>
      <c r="M892" s="6">
        <f>IFERROR(INDEX('02b_DC_Accelerator_Mix'!$J$2:$J$977,MATCH(G892,'02b_DC_Accelerator_Mix'!$A$2:$A$977,0)),0)</f>
        <v/>
      </c>
      <c r="N892" s="6">
        <f>IFERROR(INDEX('02b_DC_Accelerator_Mix'!$K$2:$K$977,MATCH(G892,'02b_DC_Accelerator_Mix'!$A$2:$A$977,0)),0)</f>
        <v/>
      </c>
      <c r="O892" s="6">
        <f>IFERROR(INDEX('02b_DC_Accelerator_Mix'!$L$2:$L$977,MATCH(G892,'02b_DC_Accelerator_Mix'!$A$2:$A$977,0)),0)</f>
        <v/>
      </c>
      <c r="P892" s="6">
        <f>IFERROR(INDEX('02b_DC_Accelerator_Mix'!$M$2:$M$977,MATCH(G892,'02b_DC_Accelerator_Mix'!$A$2:$A$977,0)),0)</f>
        <v/>
      </c>
      <c r="Q892" s="6">
        <f>IFERROR(INDEX('02b_DC_Accelerator_Mix'!$N$2:$N$977,MATCH(G892,'02b_DC_Accelerator_Mix'!$A$2:$A$977,0)),0)</f>
        <v/>
      </c>
      <c r="R892" s="28">
        <f>H892*I892</f>
        <v/>
      </c>
      <c r="S892" s="28">
        <f>H892*J892</f>
        <v/>
      </c>
      <c r="T892" s="28">
        <f>H892*K892</f>
        <v/>
      </c>
      <c r="U892" s="28">
        <f>H892*L892</f>
        <v/>
      </c>
      <c r="V892" s="28">
        <f>H892*M892</f>
        <v/>
      </c>
      <c r="W892" s="28">
        <f>H892*N892</f>
        <v/>
      </c>
      <c r="X892" s="28">
        <f>H892*O892</f>
        <v/>
      </c>
      <c r="Y892" s="28">
        <f>H892*P892</f>
        <v/>
      </c>
      <c r="Z892" s="28">
        <f>H892*Q892</f>
        <v/>
      </c>
      <c r="AA892" s="28">
        <f>SUM(U892:Z892)</f>
        <v/>
      </c>
      <c r="AB892" s="5">
        <f>IF(COUNTIF('02b_DC_Accelerator_Mix'!$A$2:$A$977,G892)&gt;0,"matched","missing_mix")</f>
        <v/>
      </c>
    </row>
    <row r="893">
      <c r="A893" s="5">
        <f>'02a_DC_Capacity_Alloc'!A893</f>
        <v/>
      </c>
      <c r="B893" s="5">
        <f>'02a_DC_Capacity_Alloc'!B893</f>
        <v/>
      </c>
      <c r="C893" s="5">
        <f>'02a_DC_Capacity_Alloc'!C893</f>
        <v/>
      </c>
      <c r="D893" s="5">
        <f>'02a_DC_Capacity_Alloc'!D893</f>
        <v/>
      </c>
      <c r="E893" s="5">
        <f>'02a_DC_Capacity_Alloc'!E893</f>
        <v/>
      </c>
      <c r="F893" s="5">
        <f>'02a_DC_Capacity_Alloc'!F893</f>
        <v/>
      </c>
      <c r="G893" s="5">
        <f>B893&amp;"|"&amp;E893&amp;"|"&amp;D893</f>
        <v/>
      </c>
      <c r="H893" s="28">
        <f>'02a_DC_Capacity_Alloc'!H893*'02a_DC_Capacity_Alloc'!I893*'02a_DC_Capacity_Alloc'!J893</f>
        <v/>
      </c>
      <c r="I893" s="6">
        <f>IFERROR(INDEX('02b_DC_Accelerator_Mix'!$F$2:$F$977,MATCH(G893,'02b_DC_Accelerator_Mix'!$A$2:$A$977,0)),0)</f>
        <v/>
      </c>
      <c r="J893" s="6">
        <f>IFERROR(INDEX('02b_DC_Accelerator_Mix'!$G$2:$G$977,MATCH(G893,'02b_DC_Accelerator_Mix'!$A$2:$A$977,0)),0)</f>
        <v/>
      </c>
      <c r="K893" s="6">
        <f>IFERROR(INDEX('02b_DC_Accelerator_Mix'!$H$2:$H$977,MATCH(G893,'02b_DC_Accelerator_Mix'!$A$2:$A$977,0)),0)</f>
        <v/>
      </c>
      <c r="L893" s="6">
        <f>IFERROR(INDEX('02b_DC_Accelerator_Mix'!$I$2:$I$977,MATCH(G893,'02b_DC_Accelerator_Mix'!$A$2:$A$977,0)),0)</f>
        <v/>
      </c>
      <c r="M893" s="6">
        <f>IFERROR(INDEX('02b_DC_Accelerator_Mix'!$J$2:$J$977,MATCH(G893,'02b_DC_Accelerator_Mix'!$A$2:$A$977,0)),0)</f>
        <v/>
      </c>
      <c r="N893" s="6">
        <f>IFERROR(INDEX('02b_DC_Accelerator_Mix'!$K$2:$K$977,MATCH(G893,'02b_DC_Accelerator_Mix'!$A$2:$A$977,0)),0)</f>
        <v/>
      </c>
      <c r="O893" s="6">
        <f>IFERROR(INDEX('02b_DC_Accelerator_Mix'!$L$2:$L$977,MATCH(G893,'02b_DC_Accelerator_Mix'!$A$2:$A$977,0)),0)</f>
        <v/>
      </c>
      <c r="P893" s="6">
        <f>IFERROR(INDEX('02b_DC_Accelerator_Mix'!$M$2:$M$977,MATCH(G893,'02b_DC_Accelerator_Mix'!$A$2:$A$977,0)),0)</f>
        <v/>
      </c>
      <c r="Q893" s="6">
        <f>IFERROR(INDEX('02b_DC_Accelerator_Mix'!$N$2:$N$977,MATCH(G893,'02b_DC_Accelerator_Mix'!$A$2:$A$977,0)),0)</f>
        <v/>
      </c>
      <c r="R893" s="28">
        <f>H893*I893</f>
        <v/>
      </c>
      <c r="S893" s="28">
        <f>H893*J893</f>
        <v/>
      </c>
      <c r="T893" s="28">
        <f>H893*K893</f>
        <v/>
      </c>
      <c r="U893" s="28">
        <f>H893*L893</f>
        <v/>
      </c>
      <c r="V893" s="28">
        <f>H893*M893</f>
        <v/>
      </c>
      <c r="W893" s="28">
        <f>H893*N893</f>
        <v/>
      </c>
      <c r="X893" s="28">
        <f>H893*O893</f>
        <v/>
      </c>
      <c r="Y893" s="28">
        <f>H893*P893</f>
        <v/>
      </c>
      <c r="Z893" s="28">
        <f>H893*Q893</f>
        <v/>
      </c>
      <c r="AA893" s="28">
        <f>SUM(U893:Z893)</f>
        <v/>
      </c>
      <c r="AB893" s="5">
        <f>IF(COUNTIF('02b_DC_Accelerator_Mix'!$A$2:$A$977,G893)&gt;0,"matched","missing_mix")</f>
        <v/>
      </c>
    </row>
    <row r="894">
      <c r="A894" s="5">
        <f>'02a_DC_Capacity_Alloc'!A894</f>
        <v/>
      </c>
      <c r="B894" s="5">
        <f>'02a_DC_Capacity_Alloc'!B894</f>
        <v/>
      </c>
      <c r="C894" s="5">
        <f>'02a_DC_Capacity_Alloc'!C894</f>
        <v/>
      </c>
      <c r="D894" s="5">
        <f>'02a_DC_Capacity_Alloc'!D894</f>
        <v/>
      </c>
      <c r="E894" s="5">
        <f>'02a_DC_Capacity_Alloc'!E894</f>
        <v/>
      </c>
      <c r="F894" s="5">
        <f>'02a_DC_Capacity_Alloc'!F894</f>
        <v/>
      </c>
      <c r="G894" s="5">
        <f>B894&amp;"|"&amp;E894&amp;"|"&amp;D894</f>
        <v/>
      </c>
      <c r="H894" s="28">
        <f>'02a_DC_Capacity_Alloc'!H894*'02a_DC_Capacity_Alloc'!I894*'02a_DC_Capacity_Alloc'!J894</f>
        <v/>
      </c>
      <c r="I894" s="6">
        <f>IFERROR(INDEX('02b_DC_Accelerator_Mix'!$F$2:$F$977,MATCH(G894,'02b_DC_Accelerator_Mix'!$A$2:$A$977,0)),0)</f>
        <v/>
      </c>
      <c r="J894" s="6">
        <f>IFERROR(INDEX('02b_DC_Accelerator_Mix'!$G$2:$G$977,MATCH(G894,'02b_DC_Accelerator_Mix'!$A$2:$A$977,0)),0)</f>
        <v/>
      </c>
      <c r="K894" s="6">
        <f>IFERROR(INDEX('02b_DC_Accelerator_Mix'!$H$2:$H$977,MATCH(G894,'02b_DC_Accelerator_Mix'!$A$2:$A$977,0)),0)</f>
        <v/>
      </c>
      <c r="L894" s="6">
        <f>IFERROR(INDEX('02b_DC_Accelerator_Mix'!$I$2:$I$977,MATCH(G894,'02b_DC_Accelerator_Mix'!$A$2:$A$977,0)),0)</f>
        <v/>
      </c>
      <c r="M894" s="6">
        <f>IFERROR(INDEX('02b_DC_Accelerator_Mix'!$J$2:$J$977,MATCH(G894,'02b_DC_Accelerator_Mix'!$A$2:$A$977,0)),0)</f>
        <v/>
      </c>
      <c r="N894" s="6">
        <f>IFERROR(INDEX('02b_DC_Accelerator_Mix'!$K$2:$K$977,MATCH(G894,'02b_DC_Accelerator_Mix'!$A$2:$A$977,0)),0)</f>
        <v/>
      </c>
      <c r="O894" s="6">
        <f>IFERROR(INDEX('02b_DC_Accelerator_Mix'!$L$2:$L$977,MATCH(G894,'02b_DC_Accelerator_Mix'!$A$2:$A$977,0)),0)</f>
        <v/>
      </c>
      <c r="P894" s="6">
        <f>IFERROR(INDEX('02b_DC_Accelerator_Mix'!$M$2:$M$977,MATCH(G894,'02b_DC_Accelerator_Mix'!$A$2:$A$977,0)),0)</f>
        <v/>
      </c>
      <c r="Q894" s="6">
        <f>IFERROR(INDEX('02b_DC_Accelerator_Mix'!$N$2:$N$977,MATCH(G894,'02b_DC_Accelerator_Mix'!$A$2:$A$977,0)),0)</f>
        <v/>
      </c>
      <c r="R894" s="28">
        <f>H894*I894</f>
        <v/>
      </c>
      <c r="S894" s="28">
        <f>H894*J894</f>
        <v/>
      </c>
      <c r="T894" s="28">
        <f>H894*K894</f>
        <v/>
      </c>
      <c r="U894" s="28">
        <f>H894*L894</f>
        <v/>
      </c>
      <c r="V894" s="28">
        <f>H894*M894</f>
        <v/>
      </c>
      <c r="W894" s="28">
        <f>H894*N894</f>
        <v/>
      </c>
      <c r="X894" s="28">
        <f>H894*O894</f>
        <v/>
      </c>
      <c r="Y894" s="28">
        <f>H894*P894</f>
        <v/>
      </c>
      <c r="Z894" s="28">
        <f>H894*Q894</f>
        <v/>
      </c>
      <c r="AA894" s="28">
        <f>SUM(U894:Z894)</f>
        <v/>
      </c>
      <c r="AB894" s="5">
        <f>IF(COUNTIF('02b_DC_Accelerator_Mix'!$A$2:$A$977,G894)&gt;0,"matched","missing_mix")</f>
        <v/>
      </c>
    </row>
    <row r="895">
      <c r="A895" s="5">
        <f>'02a_DC_Capacity_Alloc'!A895</f>
        <v/>
      </c>
      <c r="B895" s="5">
        <f>'02a_DC_Capacity_Alloc'!B895</f>
        <v/>
      </c>
      <c r="C895" s="5">
        <f>'02a_DC_Capacity_Alloc'!C895</f>
        <v/>
      </c>
      <c r="D895" s="5">
        <f>'02a_DC_Capacity_Alloc'!D895</f>
        <v/>
      </c>
      <c r="E895" s="5">
        <f>'02a_DC_Capacity_Alloc'!E895</f>
        <v/>
      </c>
      <c r="F895" s="5">
        <f>'02a_DC_Capacity_Alloc'!F895</f>
        <v/>
      </c>
      <c r="G895" s="5">
        <f>B895&amp;"|"&amp;E895&amp;"|"&amp;D895</f>
        <v/>
      </c>
      <c r="H895" s="28">
        <f>'02a_DC_Capacity_Alloc'!H895*'02a_DC_Capacity_Alloc'!I895*'02a_DC_Capacity_Alloc'!J895</f>
        <v/>
      </c>
      <c r="I895" s="6">
        <f>IFERROR(INDEX('02b_DC_Accelerator_Mix'!$F$2:$F$977,MATCH(G895,'02b_DC_Accelerator_Mix'!$A$2:$A$977,0)),0)</f>
        <v/>
      </c>
      <c r="J895" s="6">
        <f>IFERROR(INDEX('02b_DC_Accelerator_Mix'!$G$2:$G$977,MATCH(G895,'02b_DC_Accelerator_Mix'!$A$2:$A$977,0)),0)</f>
        <v/>
      </c>
      <c r="K895" s="6">
        <f>IFERROR(INDEX('02b_DC_Accelerator_Mix'!$H$2:$H$977,MATCH(G895,'02b_DC_Accelerator_Mix'!$A$2:$A$977,0)),0)</f>
        <v/>
      </c>
      <c r="L895" s="6">
        <f>IFERROR(INDEX('02b_DC_Accelerator_Mix'!$I$2:$I$977,MATCH(G895,'02b_DC_Accelerator_Mix'!$A$2:$A$977,0)),0)</f>
        <v/>
      </c>
      <c r="M895" s="6">
        <f>IFERROR(INDEX('02b_DC_Accelerator_Mix'!$J$2:$J$977,MATCH(G895,'02b_DC_Accelerator_Mix'!$A$2:$A$977,0)),0)</f>
        <v/>
      </c>
      <c r="N895" s="6">
        <f>IFERROR(INDEX('02b_DC_Accelerator_Mix'!$K$2:$K$977,MATCH(G895,'02b_DC_Accelerator_Mix'!$A$2:$A$977,0)),0)</f>
        <v/>
      </c>
      <c r="O895" s="6">
        <f>IFERROR(INDEX('02b_DC_Accelerator_Mix'!$L$2:$L$977,MATCH(G895,'02b_DC_Accelerator_Mix'!$A$2:$A$977,0)),0)</f>
        <v/>
      </c>
      <c r="P895" s="6">
        <f>IFERROR(INDEX('02b_DC_Accelerator_Mix'!$M$2:$M$977,MATCH(G895,'02b_DC_Accelerator_Mix'!$A$2:$A$977,0)),0)</f>
        <v/>
      </c>
      <c r="Q895" s="6">
        <f>IFERROR(INDEX('02b_DC_Accelerator_Mix'!$N$2:$N$977,MATCH(G895,'02b_DC_Accelerator_Mix'!$A$2:$A$977,0)),0)</f>
        <v/>
      </c>
      <c r="R895" s="28">
        <f>H895*I895</f>
        <v/>
      </c>
      <c r="S895" s="28">
        <f>H895*J895</f>
        <v/>
      </c>
      <c r="T895" s="28">
        <f>H895*K895</f>
        <v/>
      </c>
      <c r="U895" s="28">
        <f>H895*L895</f>
        <v/>
      </c>
      <c r="V895" s="28">
        <f>H895*M895</f>
        <v/>
      </c>
      <c r="W895" s="28">
        <f>H895*N895</f>
        <v/>
      </c>
      <c r="X895" s="28">
        <f>H895*O895</f>
        <v/>
      </c>
      <c r="Y895" s="28">
        <f>H895*P895</f>
        <v/>
      </c>
      <c r="Z895" s="28">
        <f>H895*Q895</f>
        <v/>
      </c>
      <c r="AA895" s="28">
        <f>SUM(U895:Z895)</f>
        <v/>
      </c>
      <c r="AB895" s="5">
        <f>IF(COUNTIF('02b_DC_Accelerator_Mix'!$A$2:$A$977,G895)&gt;0,"matched","missing_mix")</f>
        <v/>
      </c>
    </row>
    <row r="896">
      <c r="A896" s="5">
        <f>'02a_DC_Capacity_Alloc'!A896</f>
        <v/>
      </c>
      <c r="B896" s="5">
        <f>'02a_DC_Capacity_Alloc'!B896</f>
        <v/>
      </c>
      <c r="C896" s="5">
        <f>'02a_DC_Capacity_Alloc'!C896</f>
        <v/>
      </c>
      <c r="D896" s="5">
        <f>'02a_DC_Capacity_Alloc'!D896</f>
        <v/>
      </c>
      <c r="E896" s="5">
        <f>'02a_DC_Capacity_Alloc'!E896</f>
        <v/>
      </c>
      <c r="F896" s="5">
        <f>'02a_DC_Capacity_Alloc'!F896</f>
        <v/>
      </c>
      <c r="G896" s="5">
        <f>B896&amp;"|"&amp;E896&amp;"|"&amp;D896</f>
        <v/>
      </c>
      <c r="H896" s="28">
        <f>'02a_DC_Capacity_Alloc'!H896*'02a_DC_Capacity_Alloc'!I896*'02a_DC_Capacity_Alloc'!J896</f>
        <v/>
      </c>
      <c r="I896" s="6">
        <f>IFERROR(INDEX('02b_DC_Accelerator_Mix'!$F$2:$F$977,MATCH(G896,'02b_DC_Accelerator_Mix'!$A$2:$A$977,0)),0)</f>
        <v/>
      </c>
      <c r="J896" s="6">
        <f>IFERROR(INDEX('02b_DC_Accelerator_Mix'!$G$2:$G$977,MATCH(G896,'02b_DC_Accelerator_Mix'!$A$2:$A$977,0)),0)</f>
        <v/>
      </c>
      <c r="K896" s="6">
        <f>IFERROR(INDEX('02b_DC_Accelerator_Mix'!$H$2:$H$977,MATCH(G896,'02b_DC_Accelerator_Mix'!$A$2:$A$977,0)),0)</f>
        <v/>
      </c>
      <c r="L896" s="6">
        <f>IFERROR(INDEX('02b_DC_Accelerator_Mix'!$I$2:$I$977,MATCH(G896,'02b_DC_Accelerator_Mix'!$A$2:$A$977,0)),0)</f>
        <v/>
      </c>
      <c r="M896" s="6">
        <f>IFERROR(INDEX('02b_DC_Accelerator_Mix'!$J$2:$J$977,MATCH(G896,'02b_DC_Accelerator_Mix'!$A$2:$A$977,0)),0)</f>
        <v/>
      </c>
      <c r="N896" s="6">
        <f>IFERROR(INDEX('02b_DC_Accelerator_Mix'!$K$2:$K$977,MATCH(G896,'02b_DC_Accelerator_Mix'!$A$2:$A$977,0)),0)</f>
        <v/>
      </c>
      <c r="O896" s="6">
        <f>IFERROR(INDEX('02b_DC_Accelerator_Mix'!$L$2:$L$977,MATCH(G896,'02b_DC_Accelerator_Mix'!$A$2:$A$977,0)),0)</f>
        <v/>
      </c>
      <c r="P896" s="6">
        <f>IFERROR(INDEX('02b_DC_Accelerator_Mix'!$M$2:$M$977,MATCH(G896,'02b_DC_Accelerator_Mix'!$A$2:$A$977,0)),0)</f>
        <v/>
      </c>
      <c r="Q896" s="6">
        <f>IFERROR(INDEX('02b_DC_Accelerator_Mix'!$N$2:$N$977,MATCH(G896,'02b_DC_Accelerator_Mix'!$A$2:$A$977,0)),0)</f>
        <v/>
      </c>
      <c r="R896" s="28">
        <f>H896*I896</f>
        <v/>
      </c>
      <c r="S896" s="28">
        <f>H896*J896</f>
        <v/>
      </c>
      <c r="T896" s="28">
        <f>H896*K896</f>
        <v/>
      </c>
      <c r="U896" s="28">
        <f>H896*L896</f>
        <v/>
      </c>
      <c r="V896" s="28">
        <f>H896*M896</f>
        <v/>
      </c>
      <c r="W896" s="28">
        <f>H896*N896</f>
        <v/>
      </c>
      <c r="X896" s="28">
        <f>H896*O896</f>
        <v/>
      </c>
      <c r="Y896" s="28">
        <f>H896*P896</f>
        <v/>
      </c>
      <c r="Z896" s="28">
        <f>H896*Q896</f>
        <v/>
      </c>
      <c r="AA896" s="28">
        <f>SUM(U896:Z896)</f>
        <v/>
      </c>
      <c r="AB896" s="5">
        <f>IF(COUNTIF('02b_DC_Accelerator_Mix'!$A$2:$A$977,G896)&gt;0,"matched","missing_mix")</f>
        <v/>
      </c>
    </row>
    <row r="897">
      <c r="A897" s="5">
        <f>'02a_DC_Capacity_Alloc'!A897</f>
        <v/>
      </c>
      <c r="B897" s="5">
        <f>'02a_DC_Capacity_Alloc'!B897</f>
        <v/>
      </c>
      <c r="C897" s="5">
        <f>'02a_DC_Capacity_Alloc'!C897</f>
        <v/>
      </c>
      <c r="D897" s="5">
        <f>'02a_DC_Capacity_Alloc'!D897</f>
        <v/>
      </c>
      <c r="E897" s="5">
        <f>'02a_DC_Capacity_Alloc'!E897</f>
        <v/>
      </c>
      <c r="F897" s="5">
        <f>'02a_DC_Capacity_Alloc'!F897</f>
        <v/>
      </c>
      <c r="G897" s="5">
        <f>B897&amp;"|"&amp;E897&amp;"|"&amp;D897</f>
        <v/>
      </c>
      <c r="H897" s="28">
        <f>'02a_DC_Capacity_Alloc'!H897*'02a_DC_Capacity_Alloc'!I897*'02a_DC_Capacity_Alloc'!J897</f>
        <v/>
      </c>
      <c r="I897" s="6">
        <f>IFERROR(INDEX('02b_DC_Accelerator_Mix'!$F$2:$F$977,MATCH(G897,'02b_DC_Accelerator_Mix'!$A$2:$A$977,0)),0)</f>
        <v/>
      </c>
      <c r="J897" s="6">
        <f>IFERROR(INDEX('02b_DC_Accelerator_Mix'!$G$2:$G$977,MATCH(G897,'02b_DC_Accelerator_Mix'!$A$2:$A$977,0)),0)</f>
        <v/>
      </c>
      <c r="K897" s="6">
        <f>IFERROR(INDEX('02b_DC_Accelerator_Mix'!$H$2:$H$977,MATCH(G897,'02b_DC_Accelerator_Mix'!$A$2:$A$977,0)),0)</f>
        <v/>
      </c>
      <c r="L897" s="6">
        <f>IFERROR(INDEX('02b_DC_Accelerator_Mix'!$I$2:$I$977,MATCH(G897,'02b_DC_Accelerator_Mix'!$A$2:$A$977,0)),0)</f>
        <v/>
      </c>
      <c r="M897" s="6">
        <f>IFERROR(INDEX('02b_DC_Accelerator_Mix'!$J$2:$J$977,MATCH(G897,'02b_DC_Accelerator_Mix'!$A$2:$A$977,0)),0)</f>
        <v/>
      </c>
      <c r="N897" s="6">
        <f>IFERROR(INDEX('02b_DC_Accelerator_Mix'!$K$2:$K$977,MATCH(G897,'02b_DC_Accelerator_Mix'!$A$2:$A$977,0)),0)</f>
        <v/>
      </c>
      <c r="O897" s="6">
        <f>IFERROR(INDEX('02b_DC_Accelerator_Mix'!$L$2:$L$977,MATCH(G897,'02b_DC_Accelerator_Mix'!$A$2:$A$977,0)),0)</f>
        <v/>
      </c>
      <c r="P897" s="6">
        <f>IFERROR(INDEX('02b_DC_Accelerator_Mix'!$M$2:$M$977,MATCH(G897,'02b_DC_Accelerator_Mix'!$A$2:$A$977,0)),0)</f>
        <v/>
      </c>
      <c r="Q897" s="6">
        <f>IFERROR(INDEX('02b_DC_Accelerator_Mix'!$N$2:$N$977,MATCH(G897,'02b_DC_Accelerator_Mix'!$A$2:$A$977,0)),0)</f>
        <v/>
      </c>
      <c r="R897" s="28">
        <f>H897*I897</f>
        <v/>
      </c>
      <c r="S897" s="28">
        <f>H897*J897</f>
        <v/>
      </c>
      <c r="T897" s="28">
        <f>H897*K897</f>
        <v/>
      </c>
      <c r="U897" s="28">
        <f>H897*L897</f>
        <v/>
      </c>
      <c r="V897" s="28">
        <f>H897*M897</f>
        <v/>
      </c>
      <c r="W897" s="28">
        <f>H897*N897</f>
        <v/>
      </c>
      <c r="X897" s="28">
        <f>H897*O897</f>
        <v/>
      </c>
      <c r="Y897" s="28">
        <f>H897*P897</f>
        <v/>
      </c>
      <c r="Z897" s="28">
        <f>H897*Q897</f>
        <v/>
      </c>
      <c r="AA897" s="28">
        <f>SUM(U897:Z897)</f>
        <v/>
      </c>
      <c r="AB897" s="5">
        <f>IF(COUNTIF('02b_DC_Accelerator_Mix'!$A$2:$A$977,G897)&gt;0,"matched","missing_mix")</f>
        <v/>
      </c>
    </row>
    <row r="898">
      <c r="A898" s="5">
        <f>'02a_DC_Capacity_Alloc'!A898</f>
        <v/>
      </c>
      <c r="B898" s="5">
        <f>'02a_DC_Capacity_Alloc'!B898</f>
        <v/>
      </c>
      <c r="C898" s="5">
        <f>'02a_DC_Capacity_Alloc'!C898</f>
        <v/>
      </c>
      <c r="D898" s="5">
        <f>'02a_DC_Capacity_Alloc'!D898</f>
        <v/>
      </c>
      <c r="E898" s="5">
        <f>'02a_DC_Capacity_Alloc'!E898</f>
        <v/>
      </c>
      <c r="F898" s="5">
        <f>'02a_DC_Capacity_Alloc'!F898</f>
        <v/>
      </c>
      <c r="G898" s="5">
        <f>B898&amp;"|"&amp;E898&amp;"|"&amp;D898</f>
        <v/>
      </c>
      <c r="H898" s="28">
        <f>'02a_DC_Capacity_Alloc'!H898*'02a_DC_Capacity_Alloc'!I898*'02a_DC_Capacity_Alloc'!J898</f>
        <v/>
      </c>
      <c r="I898" s="6">
        <f>IFERROR(INDEX('02b_DC_Accelerator_Mix'!$F$2:$F$977,MATCH(G898,'02b_DC_Accelerator_Mix'!$A$2:$A$977,0)),0)</f>
        <v/>
      </c>
      <c r="J898" s="6">
        <f>IFERROR(INDEX('02b_DC_Accelerator_Mix'!$G$2:$G$977,MATCH(G898,'02b_DC_Accelerator_Mix'!$A$2:$A$977,0)),0)</f>
        <v/>
      </c>
      <c r="K898" s="6">
        <f>IFERROR(INDEX('02b_DC_Accelerator_Mix'!$H$2:$H$977,MATCH(G898,'02b_DC_Accelerator_Mix'!$A$2:$A$977,0)),0)</f>
        <v/>
      </c>
      <c r="L898" s="6">
        <f>IFERROR(INDEX('02b_DC_Accelerator_Mix'!$I$2:$I$977,MATCH(G898,'02b_DC_Accelerator_Mix'!$A$2:$A$977,0)),0)</f>
        <v/>
      </c>
      <c r="M898" s="6">
        <f>IFERROR(INDEX('02b_DC_Accelerator_Mix'!$J$2:$J$977,MATCH(G898,'02b_DC_Accelerator_Mix'!$A$2:$A$977,0)),0)</f>
        <v/>
      </c>
      <c r="N898" s="6">
        <f>IFERROR(INDEX('02b_DC_Accelerator_Mix'!$K$2:$K$977,MATCH(G898,'02b_DC_Accelerator_Mix'!$A$2:$A$977,0)),0)</f>
        <v/>
      </c>
      <c r="O898" s="6">
        <f>IFERROR(INDEX('02b_DC_Accelerator_Mix'!$L$2:$L$977,MATCH(G898,'02b_DC_Accelerator_Mix'!$A$2:$A$977,0)),0)</f>
        <v/>
      </c>
      <c r="P898" s="6">
        <f>IFERROR(INDEX('02b_DC_Accelerator_Mix'!$M$2:$M$977,MATCH(G898,'02b_DC_Accelerator_Mix'!$A$2:$A$977,0)),0)</f>
        <v/>
      </c>
      <c r="Q898" s="6">
        <f>IFERROR(INDEX('02b_DC_Accelerator_Mix'!$N$2:$N$977,MATCH(G898,'02b_DC_Accelerator_Mix'!$A$2:$A$977,0)),0)</f>
        <v/>
      </c>
      <c r="R898" s="28">
        <f>H898*I898</f>
        <v/>
      </c>
      <c r="S898" s="28">
        <f>H898*J898</f>
        <v/>
      </c>
      <c r="T898" s="28">
        <f>H898*K898</f>
        <v/>
      </c>
      <c r="U898" s="28">
        <f>H898*L898</f>
        <v/>
      </c>
      <c r="V898" s="28">
        <f>H898*M898</f>
        <v/>
      </c>
      <c r="W898" s="28">
        <f>H898*N898</f>
        <v/>
      </c>
      <c r="X898" s="28">
        <f>H898*O898</f>
        <v/>
      </c>
      <c r="Y898" s="28">
        <f>H898*P898</f>
        <v/>
      </c>
      <c r="Z898" s="28">
        <f>H898*Q898</f>
        <v/>
      </c>
      <c r="AA898" s="28">
        <f>SUM(U898:Z898)</f>
        <v/>
      </c>
      <c r="AB898" s="5">
        <f>IF(COUNTIF('02b_DC_Accelerator_Mix'!$A$2:$A$977,G898)&gt;0,"matched","missing_mix")</f>
        <v/>
      </c>
    </row>
    <row r="899">
      <c r="A899" s="5">
        <f>'02a_DC_Capacity_Alloc'!A899</f>
        <v/>
      </c>
      <c r="B899" s="5">
        <f>'02a_DC_Capacity_Alloc'!B899</f>
        <v/>
      </c>
      <c r="C899" s="5">
        <f>'02a_DC_Capacity_Alloc'!C899</f>
        <v/>
      </c>
      <c r="D899" s="5">
        <f>'02a_DC_Capacity_Alloc'!D899</f>
        <v/>
      </c>
      <c r="E899" s="5">
        <f>'02a_DC_Capacity_Alloc'!E899</f>
        <v/>
      </c>
      <c r="F899" s="5">
        <f>'02a_DC_Capacity_Alloc'!F899</f>
        <v/>
      </c>
      <c r="G899" s="5">
        <f>B899&amp;"|"&amp;E899&amp;"|"&amp;D899</f>
        <v/>
      </c>
      <c r="H899" s="28">
        <f>'02a_DC_Capacity_Alloc'!H899*'02a_DC_Capacity_Alloc'!I899*'02a_DC_Capacity_Alloc'!J899</f>
        <v/>
      </c>
      <c r="I899" s="6">
        <f>IFERROR(INDEX('02b_DC_Accelerator_Mix'!$F$2:$F$977,MATCH(G899,'02b_DC_Accelerator_Mix'!$A$2:$A$977,0)),0)</f>
        <v/>
      </c>
      <c r="J899" s="6">
        <f>IFERROR(INDEX('02b_DC_Accelerator_Mix'!$G$2:$G$977,MATCH(G899,'02b_DC_Accelerator_Mix'!$A$2:$A$977,0)),0)</f>
        <v/>
      </c>
      <c r="K899" s="6">
        <f>IFERROR(INDEX('02b_DC_Accelerator_Mix'!$H$2:$H$977,MATCH(G899,'02b_DC_Accelerator_Mix'!$A$2:$A$977,0)),0)</f>
        <v/>
      </c>
      <c r="L899" s="6">
        <f>IFERROR(INDEX('02b_DC_Accelerator_Mix'!$I$2:$I$977,MATCH(G899,'02b_DC_Accelerator_Mix'!$A$2:$A$977,0)),0)</f>
        <v/>
      </c>
      <c r="M899" s="6">
        <f>IFERROR(INDEX('02b_DC_Accelerator_Mix'!$J$2:$J$977,MATCH(G899,'02b_DC_Accelerator_Mix'!$A$2:$A$977,0)),0)</f>
        <v/>
      </c>
      <c r="N899" s="6">
        <f>IFERROR(INDEX('02b_DC_Accelerator_Mix'!$K$2:$K$977,MATCH(G899,'02b_DC_Accelerator_Mix'!$A$2:$A$977,0)),0)</f>
        <v/>
      </c>
      <c r="O899" s="6">
        <f>IFERROR(INDEX('02b_DC_Accelerator_Mix'!$L$2:$L$977,MATCH(G899,'02b_DC_Accelerator_Mix'!$A$2:$A$977,0)),0)</f>
        <v/>
      </c>
      <c r="P899" s="6">
        <f>IFERROR(INDEX('02b_DC_Accelerator_Mix'!$M$2:$M$977,MATCH(G899,'02b_DC_Accelerator_Mix'!$A$2:$A$977,0)),0)</f>
        <v/>
      </c>
      <c r="Q899" s="6">
        <f>IFERROR(INDEX('02b_DC_Accelerator_Mix'!$N$2:$N$977,MATCH(G899,'02b_DC_Accelerator_Mix'!$A$2:$A$977,0)),0)</f>
        <v/>
      </c>
      <c r="R899" s="28">
        <f>H899*I899</f>
        <v/>
      </c>
      <c r="S899" s="28">
        <f>H899*J899</f>
        <v/>
      </c>
      <c r="T899" s="28">
        <f>H899*K899</f>
        <v/>
      </c>
      <c r="U899" s="28">
        <f>H899*L899</f>
        <v/>
      </c>
      <c r="V899" s="28">
        <f>H899*M899</f>
        <v/>
      </c>
      <c r="W899" s="28">
        <f>H899*N899</f>
        <v/>
      </c>
      <c r="X899" s="28">
        <f>H899*O899</f>
        <v/>
      </c>
      <c r="Y899" s="28">
        <f>H899*P899</f>
        <v/>
      </c>
      <c r="Z899" s="28">
        <f>H899*Q899</f>
        <v/>
      </c>
      <c r="AA899" s="28">
        <f>SUM(U899:Z899)</f>
        <v/>
      </c>
      <c r="AB899" s="5">
        <f>IF(COUNTIF('02b_DC_Accelerator_Mix'!$A$2:$A$977,G899)&gt;0,"matched","missing_mix")</f>
        <v/>
      </c>
    </row>
    <row r="900">
      <c r="A900" s="5">
        <f>'02a_DC_Capacity_Alloc'!A900</f>
        <v/>
      </c>
      <c r="B900" s="5">
        <f>'02a_DC_Capacity_Alloc'!B900</f>
        <v/>
      </c>
      <c r="C900" s="5">
        <f>'02a_DC_Capacity_Alloc'!C900</f>
        <v/>
      </c>
      <c r="D900" s="5">
        <f>'02a_DC_Capacity_Alloc'!D900</f>
        <v/>
      </c>
      <c r="E900" s="5">
        <f>'02a_DC_Capacity_Alloc'!E900</f>
        <v/>
      </c>
      <c r="F900" s="5">
        <f>'02a_DC_Capacity_Alloc'!F900</f>
        <v/>
      </c>
      <c r="G900" s="5">
        <f>B900&amp;"|"&amp;E900&amp;"|"&amp;D900</f>
        <v/>
      </c>
      <c r="H900" s="28">
        <f>'02a_DC_Capacity_Alloc'!H900*'02a_DC_Capacity_Alloc'!I900*'02a_DC_Capacity_Alloc'!J900</f>
        <v/>
      </c>
      <c r="I900" s="6">
        <f>IFERROR(INDEX('02b_DC_Accelerator_Mix'!$F$2:$F$977,MATCH(G900,'02b_DC_Accelerator_Mix'!$A$2:$A$977,0)),0)</f>
        <v/>
      </c>
      <c r="J900" s="6">
        <f>IFERROR(INDEX('02b_DC_Accelerator_Mix'!$G$2:$G$977,MATCH(G900,'02b_DC_Accelerator_Mix'!$A$2:$A$977,0)),0)</f>
        <v/>
      </c>
      <c r="K900" s="6">
        <f>IFERROR(INDEX('02b_DC_Accelerator_Mix'!$H$2:$H$977,MATCH(G900,'02b_DC_Accelerator_Mix'!$A$2:$A$977,0)),0)</f>
        <v/>
      </c>
      <c r="L900" s="6">
        <f>IFERROR(INDEX('02b_DC_Accelerator_Mix'!$I$2:$I$977,MATCH(G900,'02b_DC_Accelerator_Mix'!$A$2:$A$977,0)),0)</f>
        <v/>
      </c>
      <c r="M900" s="6">
        <f>IFERROR(INDEX('02b_DC_Accelerator_Mix'!$J$2:$J$977,MATCH(G900,'02b_DC_Accelerator_Mix'!$A$2:$A$977,0)),0)</f>
        <v/>
      </c>
      <c r="N900" s="6">
        <f>IFERROR(INDEX('02b_DC_Accelerator_Mix'!$K$2:$K$977,MATCH(G900,'02b_DC_Accelerator_Mix'!$A$2:$A$977,0)),0)</f>
        <v/>
      </c>
      <c r="O900" s="6">
        <f>IFERROR(INDEX('02b_DC_Accelerator_Mix'!$L$2:$L$977,MATCH(G900,'02b_DC_Accelerator_Mix'!$A$2:$A$977,0)),0)</f>
        <v/>
      </c>
      <c r="P900" s="6">
        <f>IFERROR(INDEX('02b_DC_Accelerator_Mix'!$M$2:$M$977,MATCH(G900,'02b_DC_Accelerator_Mix'!$A$2:$A$977,0)),0)</f>
        <v/>
      </c>
      <c r="Q900" s="6">
        <f>IFERROR(INDEX('02b_DC_Accelerator_Mix'!$N$2:$N$977,MATCH(G900,'02b_DC_Accelerator_Mix'!$A$2:$A$977,0)),0)</f>
        <v/>
      </c>
      <c r="R900" s="28">
        <f>H900*I900</f>
        <v/>
      </c>
      <c r="S900" s="28">
        <f>H900*J900</f>
        <v/>
      </c>
      <c r="T900" s="28">
        <f>H900*K900</f>
        <v/>
      </c>
      <c r="U900" s="28">
        <f>H900*L900</f>
        <v/>
      </c>
      <c r="V900" s="28">
        <f>H900*M900</f>
        <v/>
      </c>
      <c r="W900" s="28">
        <f>H900*N900</f>
        <v/>
      </c>
      <c r="X900" s="28">
        <f>H900*O900</f>
        <v/>
      </c>
      <c r="Y900" s="28">
        <f>H900*P900</f>
        <v/>
      </c>
      <c r="Z900" s="28">
        <f>H900*Q900</f>
        <v/>
      </c>
      <c r="AA900" s="28">
        <f>SUM(U900:Z900)</f>
        <v/>
      </c>
      <c r="AB900" s="5">
        <f>IF(COUNTIF('02b_DC_Accelerator_Mix'!$A$2:$A$977,G900)&gt;0,"matched","missing_mix")</f>
        <v/>
      </c>
    </row>
    <row r="901">
      <c r="A901" s="5">
        <f>'02a_DC_Capacity_Alloc'!A901</f>
        <v/>
      </c>
      <c r="B901" s="5">
        <f>'02a_DC_Capacity_Alloc'!B901</f>
        <v/>
      </c>
      <c r="C901" s="5">
        <f>'02a_DC_Capacity_Alloc'!C901</f>
        <v/>
      </c>
      <c r="D901" s="5">
        <f>'02a_DC_Capacity_Alloc'!D901</f>
        <v/>
      </c>
      <c r="E901" s="5">
        <f>'02a_DC_Capacity_Alloc'!E901</f>
        <v/>
      </c>
      <c r="F901" s="5">
        <f>'02a_DC_Capacity_Alloc'!F901</f>
        <v/>
      </c>
      <c r="G901" s="5">
        <f>B901&amp;"|"&amp;E901&amp;"|"&amp;D901</f>
        <v/>
      </c>
      <c r="H901" s="28">
        <f>'02a_DC_Capacity_Alloc'!H901*'02a_DC_Capacity_Alloc'!I901*'02a_DC_Capacity_Alloc'!J901</f>
        <v/>
      </c>
      <c r="I901" s="6">
        <f>IFERROR(INDEX('02b_DC_Accelerator_Mix'!$F$2:$F$977,MATCH(G901,'02b_DC_Accelerator_Mix'!$A$2:$A$977,0)),0)</f>
        <v/>
      </c>
      <c r="J901" s="6">
        <f>IFERROR(INDEX('02b_DC_Accelerator_Mix'!$G$2:$G$977,MATCH(G901,'02b_DC_Accelerator_Mix'!$A$2:$A$977,0)),0)</f>
        <v/>
      </c>
      <c r="K901" s="6">
        <f>IFERROR(INDEX('02b_DC_Accelerator_Mix'!$H$2:$H$977,MATCH(G901,'02b_DC_Accelerator_Mix'!$A$2:$A$977,0)),0)</f>
        <v/>
      </c>
      <c r="L901" s="6">
        <f>IFERROR(INDEX('02b_DC_Accelerator_Mix'!$I$2:$I$977,MATCH(G901,'02b_DC_Accelerator_Mix'!$A$2:$A$977,0)),0)</f>
        <v/>
      </c>
      <c r="M901" s="6">
        <f>IFERROR(INDEX('02b_DC_Accelerator_Mix'!$J$2:$J$977,MATCH(G901,'02b_DC_Accelerator_Mix'!$A$2:$A$977,0)),0)</f>
        <v/>
      </c>
      <c r="N901" s="6">
        <f>IFERROR(INDEX('02b_DC_Accelerator_Mix'!$K$2:$K$977,MATCH(G901,'02b_DC_Accelerator_Mix'!$A$2:$A$977,0)),0)</f>
        <v/>
      </c>
      <c r="O901" s="6">
        <f>IFERROR(INDEX('02b_DC_Accelerator_Mix'!$L$2:$L$977,MATCH(G901,'02b_DC_Accelerator_Mix'!$A$2:$A$977,0)),0)</f>
        <v/>
      </c>
      <c r="P901" s="6">
        <f>IFERROR(INDEX('02b_DC_Accelerator_Mix'!$M$2:$M$977,MATCH(G901,'02b_DC_Accelerator_Mix'!$A$2:$A$977,0)),0)</f>
        <v/>
      </c>
      <c r="Q901" s="6">
        <f>IFERROR(INDEX('02b_DC_Accelerator_Mix'!$N$2:$N$977,MATCH(G901,'02b_DC_Accelerator_Mix'!$A$2:$A$977,0)),0)</f>
        <v/>
      </c>
      <c r="R901" s="28">
        <f>H901*I901</f>
        <v/>
      </c>
      <c r="S901" s="28">
        <f>H901*J901</f>
        <v/>
      </c>
      <c r="T901" s="28">
        <f>H901*K901</f>
        <v/>
      </c>
      <c r="U901" s="28">
        <f>H901*L901</f>
        <v/>
      </c>
      <c r="V901" s="28">
        <f>H901*M901</f>
        <v/>
      </c>
      <c r="W901" s="28">
        <f>H901*N901</f>
        <v/>
      </c>
      <c r="X901" s="28">
        <f>H901*O901</f>
        <v/>
      </c>
      <c r="Y901" s="28">
        <f>H901*P901</f>
        <v/>
      </c>
      <c r="Z901" s="28">
        <f>H901*Q901</f>
        <v/>
      </c>
      <c r="AA901" s="28">
        <f>SUM(U901:Z901)</f>
        <v/>
      </c>
      <c r="AB901" s="5">
        <f>IF(COUNTIF('02b_DC_Accelerator_Mix'!$A$2:$A$977,G901)&gt;0,"matched","missing_mix")</f>
        <v/>
      </c>
    </row>
    <row r="902">
      <c r="A902" s="5">
        <f>'02a_DC_Capacity_Alloc'!A902</f>
        <v/>
      </c>
      <c r="B902" s="5">
        <f>'02a_DC_Capacity_Alloc'!B902</f>
        <v/>
      </c>
      <c r="C902" s="5">
        <f>'02a_DC_Capacity_Alloc'!C902</f>
        <v/>
      </c>
      <c r="D902" s="5">
        <f>'02a_DC_Capacity_Alloc'!D902</f>
        <v/>
      </c>
      <c r="E902" s="5">
        <f>'02a_DC_Capacity_Alloc'!E902</f>
        <v/>
      </c>
      <c r="F902" s="5">
        <f>'02a_DC_Capacity_Alloc'!F902</f>
        <v/>
      </c>
      <c r="G902" s="5">
        <f>B902&amp;"|"&amp;E902&amp;"|"&amp;D902</f>
        <v/>
      </c>
      <c r="H902" s="28">
        <f>'02a_DC_Capacity_Alloc'!H902*'02a_DC_Capacity_Alloc'!I902*'02a_DC_Capacity_Alloc'!J902</f>
        <v/>
      </c>
      <c r="I902" s="6">
        <f>IFERROR(INDEX('02b_DC_Accelerator_Mix'!$F$2:$F$977,MATCH(G902,'02b_DC_Accelerator_Mix'!$A$2:$A$977,0)),0)</f>
        <v/>
      </c>
      <c r="J902" s="6">
        <f>IFERROR(INDEX('02b_DC_Accelerator_Mix'!$G$2:$G$977,MATCH(G902,'02b_DC_Accelerator_Mix'!$A$2:$A$977,0)),0)</f>
        <v/>
      </c>
      <c r="K902" s="6">
        <f>IFERROR(INDEX('02b_DC_Accelerator_Mix'!$H$2:$H$977,MATCH(G902,'02b_DC_Accelerator_Mix'!$A$2:$A$977,0)),0)</f>
        <v/>
      </c>
      <c r="L902" s="6">
        <f>IFERROR(INDEX('02b_DC_Accelerator_Mix'!$I$2:$I$977,MATCH(G902,'02b_DC_Accelerator_Mix'!$A$2:$A$977,0)),0)</f>
        <v/>
      </c>
      <c r="M902" s="6">
        <f>IFERROR(INDEX('02b_DC_Accelerator_Mix'!$J$2:$J$977,MATCH(G902,'02b_DC_Accelerator_Mix'!$A$2:$A$977,0)),0)</f>
        <v/>
      </c>
      <c r="N902" s="6">
        <f>IFERROR(INDEX('02b_DC_Accelerator_Mix'!$K$2:$K$977,MATCH(G902,'02b_DC_Accelerator_Mix'!$A$2:$A$977,0)),0)</f>
        <v/>
      </c>
      <c r="O902" s="6">
        <f>IFERROR(INDEX('02b_DC_Accelerator_Mix'!$L$2:$L$977,MATCH(G902,'02b_DC_Accelerator_Mix'!$A$2:$A$977,0)),0)</f>
        <v/>
      </c>
      <c r="P902" s="6">
        <f>IFERROR(INDEX('02b_DC_Accelerator_Mix'!$M$2:$M$977,MATCH(G902,'02b_DC_Accelerator_Mix'!$A$2:$A$977,0)),0)</f>
        <v/>
      </c>
      <c r="Q902" s="6">
        <f>IFERROR(INDEX('02b_DC_Accelerator_Mix'!$N$2:$N$977,MATCH(G902,'02b_DC_Accelerator_Mix'!$A$2:$A$977,0)),0)</f>
        <v/>
      </c>
      <c r="R902" s="28">
        <f>H902*I902</f>
        <v/>
      </c>
      <c r="S902" s="28">
        <f>H902*J902</f>
        <v/>
      </c>
      <c r="T902" s="28">
        <f>H902*K902</f>
        <v/>
      </c>
      <c r="U902" s="28">
        <f>H902*L902</f>
        <v/>
      </c>
      <c r="V902" s="28">
        <f>H902*M902</f>
        <v/>
      </c>
      <c r="W902" s="28">
        <f>H902*N902</f>
        <v/>
      </c>
      <c r="X902" s="28">
        <f>H902*O902</f>
        <v/>
      </c>
      <c r="Y902" s="28">
        <f>H902*P902</f>
        <v/>
      </c>
      <c r="Z902" s="28">
        <f>H902*Q902</f>
        <v/>
      </c>
      <c r="AA902" s="28">
        <f>SUM(U902:Z902)</f>
        <v/>
      </c>
      <c r="AB902" s="5">
        <f>IF(COUNTIF('02b_DC_Accelerator_Mix'!$A$2:$A$977,G902)&gt;0,"matched","missing_mix")</f>
        <v/>
      </c>
    </row>
    <row r="903">
      <c r="A903" s="5">
        <f>'02a_DC_Capacity_Alloc'!A903</f>
        <v/>
      </c>
      <c r="B903" s="5">
        <f>'02a_DC_Capacity_Alloc'!B903</f>
        <v/>
      </c>
      <c r="C903" s="5">
        <f>'02a_DC_Capacity_Alloc'!C903</f>
        <v/>
      </c>
      <c r="D903" s="5">
        <f>'02a_DC_Capacity_Alloc'!D903</f>
        <v/>
      </c>
      <c r="E903" s="5">
        <f>'02a_DC_Capacity_Alloc'!E903</f>
        <v/>
      </c>
      <c r="F903" s="5">
        <f>'02a_DC_Capacity_Alloc'!F903</f>
        <v/>
      </c>
      <c r="G903" s="5">
        <f>B903&amp;"|"&amp;E903&amp;"|"&amp;D903</f>
        <v/>
      </c>
      <c r="H903" s="28">
        <f>'02a_DC_Capacity_Alloc'!H903*'02a_DC_Capacity_Alloc'!I903*'02a_DC_Capacity_Alloc'!J903</f>
        <v/>
      </c>
      <c r="I903" s="6">
        <f>IFERROR(INDEX('02b_DC_Accelerator_Mix'!$F$2:$F$977,MATCH(G903,'02b_DC_Accelerator_Mix'!$A$2:$A$977,0)),0)</f>
        <v/>
      </c>
      <c r="J903" s="6">
        <f>IFERROR(INDEX('02b_DC_Accelerator_Mix'!$G$2:$G$977,MATCH(G903,'02b_DC_Accelerator_Mix'!$A$2:$A$977,0)),0)</f>
        <v/>
      </c>
      <c r="K903" s="6">
        <f>IFERROR(INDEX('02b_DC_Accelerator_Mix'!$H$2:$H$977,MATCH(G903,'02b_DC_Accelerator_Mix'!$A$2:$A$977,0)),0)</f>
        <v/>
      </c>
      <c r="L903" s="6">
        <f>IFERROR(INDEX('02b_DC_Accelerator_Mix'!$I$2:$I$977,MATCH(G903,'02b_DC_Accelerator_Mix'!$A$2:$A$977,0)),0)</f>
        <v/>
      </c>
      <c r="M903" s="6">
        <f>IFERROR(INDEX('02b_DC_Accelerator_Mix'!$J$2:$J$977,MATCH(G903,'02b_DC_Accelerator_Mix'!$A$2:$A$977,0)),0)</f>
        <v/>
      </c>
      <c r="N903" s="6">
        <f>IFERROR(INDEX('02b_DC_Accelerator_Mix'!$K$2:$K$977,MATCH(G903,'02b_DC_Accelerator_Mix'!$A$2:$A$977,0)),0)</f>
        <v/>
      </c>
      <c r="O903" s="6">
        <f>IFERROR(INDEX('02b_DC_Accelerator_Mix'!$L$2:$L$977,MATCH(G903,'02b_DC_Accelerator_Mix'!$A$2:$A$977,0)),0)</f>
        <v/>
      </c>
      <c r="P903" s="6">
        <f>IFERROR(INDEX('02b_DC_Accelerator_Mix'!$M$2:$M$977,MATCH(G903,'02b_DC_Accelerator_Mix'!$A$2:$A$977,0)),0)</f>
        <v/>
      </c>
      <c r="Q903" s="6">
        <f>IFERROR(INDEX('02b_DC_Accelerator_Mix'!$N$2:$N$977,MATCH(G903,'02b_DC_Accelerator_Mix'!$A$2:$A$977,0)),0)</f>
        <v/>
      </c>
      <c r="R903" s="28">
        <f>H903*I903</f>
        <v/>
      </c>
      <c r="S903" s="28">
        <f>H903*J903</f>
        <v/>
      </c>
      <c r="T903" s="28">
        <f>H903*K903</f>
        <v/>
      </c>
      <c r="U903" s="28">
        <f>H903*L903</f>
        <v/>
      </c>
      <c r="V903" s="28">
        <f>H903*M903</f>
        <v/>
      </c>
      <c r="W903" s="28">
        <f>H903*N903</f>
        <v/>
      </c>
      <c r="X903" s="28">
        <f>H903*O903</f>
        <v/>
      </c>
      <c r="Y903" s="28">
        <f>H903*P903</f>
        <v/>
      </c>
      <c r="Z903" s="28">
        <f>H903*Q903</f>
        <v/>
      </c>
      <c r="AA903" s="28">
        <f>SUM(U903:Z903)</f>
        <v/>
      </c>
      <c r="AB903" s="5">
        <f>IF(COUNTIF('02b_DC_Accelerator_Mix'!$A$2:$A$977,G903)&gt;0,"matched","missing_mix")</f>
        <v/>
      </c>
    </row>
    <row r="904">
      <c r="A904" s="5">
        <f>'02a_DC_Capacity_Alloc'!A904</f>
        <v/>
      </c>
      <c r="B904" s="5">
        <f>'02a_DC_Capacity_Alloc'!B904</f>
        <v/>
      </c>
      <c r="C904" s="5">
        <f>'02a_DC_Capacity_Alloc'!C904</f>
        <v/>
      </c>
      <c r="D904" s="5">
        <f>'02a_DC_Capacity_Alloc'!D904</f>
        <v/>
      </c>
      <c r="E904" s="5">
        <f>'02a_DC_Capacity_Alloc'!E904</f>
        <v/>
      </c>
      <c r="F904" s="5">
        <f>'02a_DC_Capacity_Alloc'!F904</f>
        <v/>
      </c>
      <c r="G904" s="5">
        <f>B904&amp;"|"&amp;E904&amp;"|"&amp;D904</f>
        <v/>
      </c>
      <c r="H904" s="28">
        <f>'02a_DC_Capacity_Alloc'!H904*'02a_DC_Capacity_Alloc'!I904*'02a_DC_Capacity_Alloc'!J904</f>
        <v/>
      </c>
      <c r="I904" s="6">
        <f>IFERROR(INDEX('02b_DC_Accelerator_Mix'!$F$2:$F$977,MATCH(G904,'02b_DC_Accelerator_Mix'!$A$2:$A$977,0)),0)</f>
        <v/>
      </c>
      <c r="J904" s="6">
        <f>IFERROR(INDEX('02b_DC_Accelerator_Mix'!$G$2:$G$977,MATCH(G904,'02b_DC_Accelerator_Mix'!$A$2:$A$977,0)),0)</f>
        <v/>
      </c>
      <c r="K904" s="6">
        <f>IFERROR(INDEX('02b_DC_Accelerator_Mix'!$H$2:$H$977,MATCH(G904,'02b_DC_Accelerator_Mix'!$A$2:$A$977,0)),0)</f>
        <v/>
      </c>
      <c r="L904" s="6">
        <f>IFERROR(INDEX('02b_DC_Accelerator_Mix'!$I$2:$I$977,MATCH(G904,'02b_DC_Accelerator_Mix'!$A$2:$A$977,0)),0)</f>
        <v/>
      </c>
      <c r="M904" s="6">
        <f>IFERROR(INDEX('02b_DC_Accelerator_Mix'!$J$2:$J$977,MATCH(G904,'02b_DC_Accelerator_Mix'!$A$2:$A$977,0)),0)</f>
        <v/>
      </c>
      <c r="N904" s="6">
        <f>IFERROR(INDEX('02b_DC_Accelerator_Mix'!$K$2:$K$977,MATCH(G904,'02b_DC_Accelerator_Mix'!$A$2:$A$977,0)),0)</f>
        <v/>
      </c>
      <c r="O904" s="6">
        <f>IFERROR(INDEX('02b_DC_Accelerator_Mix'!$L$2:$L$977,MATCH(G904,'02b_DC_Accelerator_Mix'!$A$2:$A$977,0)),0)</f>
        <v/>
      </c>
      <c r="P904" s="6">
        <f>IFERROR(INDEX('02b_DC_Accelerator_Mix'!$M$2:$M$977,MATCH(G904,'02b_DC_Accelerator_Mix'!$A$2:$A$977,0)),0)</f>
        <v/>
      </c>
      <c r="Q904" s="6">
        <f>IFERROR(INDEX('02b_DC_Accelerator_Mix'!$N$2:$N$977,MATCH(G904,'02b_DC_Accelerator_Mix'!$A$2:$A$977,0)),0)</f>
        <v/>
      </c>
      <c r="R904" s="28">
        <f>H904*I904</f>
        <v/>
      </c>
      <c r="S904" s="28">
        <f>H904*J904</f>
        <v/>
      </c>
      <c r="T904" s="28">
        <f>H904*K904</f>
        <v/>
      </c>
      <c r="U904" s="28">
        <f>H904*L904</f>
        <v/>
      </c>
      <c r="V904" s="28">
        <f>H904*M904</f>
        <v/>
      </c>
      <c r="W904" s="28">
        <f>H904*N904</f>
        <v/>
      </c>
      <c r="X904" s="28">
        <f>H904*O904</f>
        <v/>
      </c>
      <c r="Y904" s="28">
        <f>H904*P904</f>
        <v/>
      </c>
      <c r="Z904" s="28">
        <f>H904*Q904</f>
        <v/>
      </c>
      <c r="AA904" s="28">
        <f>SUM(U904:Z904)</f>
        <v/>
      </c>
      <c r="AB904" s="5">
        <f>IF(COUNTIF('02b_DC_Accelerator_Mix'!$A$2:$A$977,G904)&gt;0,"matched","missing_mix")</f>
        <v/>
      </c>
    </row>
    <row r="905">
      <c r="A905" s="5">
        <f>'02a_DC_Capacity_Alloc'!A905</f>
        <v/>
      </c>
      <c r="B905" s="5">
        <f>'02a_DC_Capacity_Alloc'!B905</f>
        <v/>
      </c>
      <c r="C905" s="5">
        <f>'02a_DC_Capacity_Alloc'!C905</f>
        <v/>
      </c>
      <c r="D905" s="5">
        <f>'02a_DC_Capacity_Alloc'!D905</f>
        <v/>
      </c>
      <c r="E905" s="5">
        <f>'02a_DC_Capacity_Alloc'!E905</f>
        <v/>
      </c>
      <c r="F905" s="5">
        <f>'02a_DC_Capacity_Alloc'!F905</f>
        <v/>
      </c>
      <c r="G905" s="5">
        <f>B905&amp;"|"&amp;E905&amp;"|"&amp;D905</f>
        <v/>
      </c>
      <c r="H905" s="28">
        <f>'02a_DC_Capacity_Alloc'!H905*'02a_DC_Capacity_Alloc'!I905*'02a_DC_Capacity_Alloc'!J905</f>
        <v/>
      </c>
      <c r="I905" s="6">
        <f>IFERROR(INDEX('02b_DC_Accelerator_Mix'!$F$2:$F$977,MATCH(G905,'02b_DC_Accelerator_Mix'!$A$2:$A$977,0)),0)</f>
        <v/>
      </c>
      <c r="J905" s="6">
        <f>IFERROR(INDEX('02b_DC_Accelerator_Mix'!$G$2:$G$977,MATCH(G905,'02b_DC_Accelerator_Mix'!$A$2:$A$977,0)),0)</f>
        <v/>
      </c>
      <c r="K905" s="6">
        <f>IFERROR(INDEX('02b_DC_Accelerator_Mix'!$H$2:$H$977,MATCH(G905,'02b_DC_Accelerator_Mix'!$A$2:$A$977,0)),0)</f>
        <v/>
      </c>
      <c r="L905" s="6">
        <f>IFERROR(INDEX('02b_DC_Accelerator_Mix'!$I$2:$I$977,MATCH(G905,'02b_DC_Accelerator_Mix'!$A$2:$A$977,0)),0)</f>
        <v/>
      </c>
      <c r="M905" s="6">
        <f>IFERROR(INDEX('02b_DC_Accelerator_Mix'!$J$2:$J$977,MATCH(G905,'02b_DC_Accelerator_Mix'!$A$2:$A$977,0)),0)</f>
        <v/>
      </c>
      <c r="N905" s="6">
        <f>IFERROR(INDEX('02b_DC_Accelerator_Mix'!$K$2:$K$977,MATCH(G905,'02b_DC_Accelerator_Mix'!$A$2:$A$977,0)),0)</f>
        <v/>
      </c>
      <c r="O905" s="6">
        <f>IFERROR(INDEX('02b_DC_Accelerator_Mix'!$L$2:$L$977,MATCH(G905,'02b_DC_Accelerator_Mix'!$A$2:$A$977,0)),0)</f>
        <v/>
      </c>
      <c r="P905" s="6">
        <f>IFERROR(INDEX('02b_DC_Accelerator_Mix'!$M$2:$M$977,MATCH(G905,'02b_DC_Accelerator_Mix'!$A$2:$A$977,0)),0)</f>
        <v/>
      </c>
      <c r="Q905" s="6">
        <f>IFERROR(INDEX('02b_DC_Accelerator_Mix'!$N$2:$N$977,MATCH(G905,'02b_DC_Accelerator_Mix'!$A$2:$A$977,0)),0)</f>
        <v/>
      </c>
      <c r="R905" s="28">
        <f>H905*I905</f>
        <v/>
      </c>
      <c r="S905" s="28">
        <f>H905*J905</f>
        <v/>
      </c>
      <c r="T905" s="28">
        <f>H905*K905</f>
        <v/>
      </c>
      <c r="U905" s="28">
        <f>H905*L905</f>
        <v/>
      </c>
      <c r="V905" s="28">
        <f>H905*M905</f>
        <v/>
      </c>
      <c r="W905" s="28">
        <f>H905*N905</f>
        <v/>
      </c>
      <c r="X905" s="28">
        <f>H905*O905</f>
        <v/>
      </c>
      <c r="Y905" s="28">
        <f>H905*P905</f>
        <v/>
      </c>
      <c r="Z905" s="28">
        <f>H905*Q905</f>
        <v/>
      </c>
      <c r="AA905" s="28">
        <f>SUM(U905:Z905)</f>
        <v/>
      </c>
      <c r="AB905" s="5">
        <f>IF(COUNTIF('02b_DC_Accelerator_Mix'!$A$2:$A$977,G905)&gt;0,"matched","missing_mix")</f>
        <v/>
      </c>
    </row>
    <row r="906">
      <c r="A906" s="5">
        <f>'02a_DC_Capacity_Alloc'!A906</f>
        <v/>
      </c>
      <c r="B906" s="5">
        <f>'02a_DC_Capacity_Alloc'!B906</f>
        <v/>
      </c>
      <c r="C906" s="5">
        <f>'02a_DC_Capacity_Alloc'!C906</f>
        <v/>
      </c>
      <c r="D906" s="5">
        <f>'02a_DC_Capacity_Alloc'!D906</f>
        <v/>
      </c>
      <c r="E906" s="5">
        <f>'02a_DC_Capacity_Alloc'!E906</f>
        <v/>
      </c>
      <c r="F906" s="5">
        <f>'02a_DC_Capacity_Alloc'!F906</f>
        <v/>
      </c>
      <c r="G906" s="5">
        <f>B906&amp;"|"&amp;E906&amp;"|"&amp;D906</f>
        <v/>
      </c>
      <c r="H906" s="28">
        <f>'02a_DC_Capacity_Alloc'!H906*'02a_DC_Capacity_Alloc'!I906*'02a_DC_Capacity_Alloc'!J906</f>
        <v/>
      </c>
      <c r="I906" s="6">
        <f>IFERROR(INDEX('02b_DC_Accelerator_Mix'!$F$2:$F$977,MATCH(G906,'02b_DC_Accelerator_Mix'!$A$2:$A$977,0)),0)</f>
        <v/>
      </c>
      <c r="J906" s="6">
        <f>IFERROR(INDEX('02b_DC_Accelerator_Mix'!$G$2:$G$977,MATCH(G906,'02b_DC_Accelerator_Mix'!$A$2:$A$977,0)),0)</f>
        <v/>
      </c>
      <c r="K906" s="6">
        <f>IFERROR(INDEX('02b_DC_Accelerator_Mix'!$H$2:$H$977,MATCH(G906,'02b_DC_Accelerator_Mix'!$A$2:$A$977,0)),0)</f>
        <v/>
      </c>
      <c r="L906" s="6">
        <f>IFERROR(INDEX('02b_DC_Accelerator_Mix'!$I$2:$I$977,MATCH(G906,'02b_DC_Accelerator_Mix'!$A$2:$A$977,0)),0)</f>
        <v/>
      </c>
      <c r="M906" s="6">
        <f>IFERROR(INDEX('02b_DC_Accelerator_Mix'!$J$2:$J$977,MATCH(G906,'02b_DC_Accelerator_Mix'!$A$2:$A$977,0)),0)</f>
        <v/>
      </c>
      <c r="N906" s="6">
        <f>IFERROR(INDEX('02b_DC_Accelerator_Mix'!$K$2:$K$977,MATCH(G906,'02b_DC_Accelerator_Mix'!$A$2:$A$977,0)),0)</f>
        <v/>
      </c>
      <c r="O906" s="6">
        <f>IFERROR(INDEX('02b_DC_Accelerator_Mix'!$L$2:$L$977,MATCH(G906,'02b_DC_Accelerator_Mix'!$A$2:$A$977,0)),0)</f>
        <v/>
      </c>
      <c r="P906" s="6">
        <f>IFERROR(INDEX('02b_DC_Accelerator_Mix'!$M$2:$M$977,MATCH(G906,'02b_DC_Accelerator_Mix'!$A$2:$A$977,0)),0)</f>
        <v/>
      </c>
      <c r="Q906" s="6">
        <f>IFERROR(INDEX('02b_DC_Accelerator_Mix'!$N$2:$N$977,MATCH(G906,'02b_DC_Accelerator_Mix'!$A$2:$A$977,0)),0)</f>
        <v/>
      </c>
      <c r="R906" s="28">
        <f>H906*I906</f>
        <v/>
      </c>
      <c r="S906" s="28">
        <f>H906*J906</f>
        <v/>
      </c>
      <c r="T906" s="28">
        <f>H906*K906</f>
        <v/>
      </c>
      <c r="U906" s="28">
        <f>H906*L906</f>
        <v/>
      </c>
      <c r="V906" s="28">
        <f>H906*M906</f>
        <v/>
      </c>
      <c r="W906" s="28">
        <f>H906*N906</f>
        <v/>
      </c>
      <c r="X906" s="28">
        <f>H906*O906</f>
        <v/>
      </c>
      <c r="Y906" s="28">
        <f>H906*P906</f>
        <v/>
      </c>
      <c r="Z906" s="28">
        <f>H906*Q906</f>
        <v/>
      </c>
      <c r="AA906" s="28">
        <f>SUM(U906:Z906)</f>
        <v/>
      </c>
      <c r="AB906" s="5">
        <f>IF(COUNTIF('02b_DC_Accelerator_Mix'!$A$2:$A$977,G906)&gt;0,"matched","missing_mix")</f>
        <v/>
      </c>
    </row>
    <row r="907">
      <c r="A907" s="5">
        <f>'02a_DC_Capacity_Alloc'!A907</f>
        <v/>
      </c>
      <c r="B907" s="5">
        <f>'02a_DC_Capacity_Alloc'!B907</f>
        <v/>
      </c>
      <c r="C907" s="5">
        <f>'02a_DC_Capacity_Alloc'!C907</f>
        <v/>
      </c>
      <c r="D907" s="5">
        <f>'02a_DC_Capacity_Alloc'!D907</f>
        <v/>
      </c>
      <c r="E907" s="5">
        <f>'02a_DC_Capacity_Alloc'!E907</f>
        <v/>
      </c>
      <c r="F907" s="5">
        <f>'02a_DC_Capacity_Alloc'!F907</f>
        <v/>
      </c>
      <c r="G907" s="5">
        <f>B907&amp;"|"&amp;E907&amp;"|"&amp;D907</f>
        <v/>
      </c>
      <c r="H907" s="28">
        <f>'02a_DC_Capacity_Alloc'!H907*'02a_DC_Capacity_Alloc'!I907*'02a_DC_Capacity_Alloc'!J907</f>
        <v/>
      </c>
      <c r="I907" s="6">
        <f>IFERROR(INDEX('02b_DC_Accelerator_Mix'!$F$2:$F$977,MATCH(G907,'02b_DC_Accelerator_Mix'!$A$2:$A$977,0)),0)</f>
        <v/>
      </c>
      <c r="J907" s="6">
        <f>IFERROR(INDEX('02b_DC_Accelerator_Mix'!$G$2:$G$977,MATCH(G907,'02b_DC_Accelerator_Mix'!$A$2:$A$977,0)),0)</f>
        <v/>
      </c>
      <c r="K907" s="6">
        <f>IFERROR(INDEX('02b_DC_Accelerator_Mix'!$H$2:$H$977,MATCH(G907,'02b_DC_Accelerator_Mix'!$A$2:$A$977,0)),0)</f>
        <v/>
      </c>
      <c r="L907" s="6">
        <f>IFERROR(INDEX('02b_DC_Accelerator_Mix'!$I$2:$I$977,MATCH(G907,'02b_DC_Accelerator_Mix'!$A$2:$A$977,0)),0)</f>
        <v/>
      </c>
      <c r="M907" s="6">
        <f>IFERROR(INDEX('02b_DC_Accelerator_Mix'!$J$2:$J$977,MATCH(G907,'02b_DC_Accelerator_Mix'!$A$2:$A$977,0)),0)</f>
        <v/>
      </c>
      <c r="N907" s="6">
        <f>IFERROR(INDEX('02b_DC_Accelerator_Mix'!$K$2:$K$977,MATCH(G907,'02b_DC_Accelerator_Mix'!$A$2:$A$977,0)),0)</f>
        <v/>
      </c>
      <c r="O907" s="6">
        <f>IFERROR(INDEX('02b_DC_Accelerator_Mix'!$L$2:$L$977,MATCH(G907,'02b_DC_Accelerator_Mix'!$A$2:$A$977,0)),0)</f>
        <v/>
      </c>
      <c r="P907" s="6">
        <f>IFERROR(INDEX('02b_DC_Accelerator_Mix'!$M$2:$M$977,MATCH(G907,'02b_DC_Accelerator_Mix'!$A$2:$A$977,0)),0)</f>
        <v/>
      </c>
      <c r="Q907" s="6">
        <f>IFERROR(INDEX('02b_DC_Accelerator_Mix'!$N$2:$N$977,MATCH(G907,'02b_DC_Accelerator_Mix'!$A$2:$A$977,0)),0)</f>
        <v/>
      </c>
      <c r="R907" s="28">
        <f>H907*I907</f>
        <v/>
      </c>
      <c r="S907" s="28">
        <f>H907*J907</f>
        <v/>
      </c>
      <c r="T907" s="28">
        <f>H907*K907</f>
        <v/>
      </c>
      <c r="U907" s="28">
        <f>H907*L907</f>
        <v/>
      </c>
      <c r="V907" s="28">
        <f>H907*M907</f>
        <v/>
      </c>
      <c r="W907" s="28">
        <f>H907*N907</f>
        <v/>
      </c>
      <c r="X907" s="28">
        <f>H907*O907</f>
        <v/>
      </c>
      <c r="Y907" s="28">
        <f>H907*P907</f>
        <v/>
      </c>
      <c r="Z907" s="28">
        <f>H907*Q907</f>
        <v/>
      </c>
      <c r="AA907" s="28">
        <f>SUM(U907:Z907)</f>
        <v/>
      </c>
      <c r="AB907" s="5">
        <f>IF(COUNTIF('02b_DC_Accelerator_Mix'!$A$2:$A$977,G907)&gt;0,"matched","missing_mix")</f>
        <v/>
      </c>
    </row>
    <row r="908">
      <c r="A908" s="5">
        <f>'02a_DC_Capacity_Alloc'!A908</f>
        <v/>
      </c>
      <c r="B908" s="5">
        <f>'02a_DC_Capacity_Alloc'!B908</f>
        <v/>
      </c>
      <c r="C908" s="5">
        <f>'02a_DC_Capacity_Alloc'!C908</f>
        <v/>
      </c>
      <c r="D908" s="5">
        <f>'02a_DC_Capacity_Alloc'!D908</f>
        <v/>
      </c>
      <c r="E908" s="5">
        <f>'02a_DC_Capacity_Alloc'!E908</f>
        <v/>
      </c>
      <c r="F908" s="5">
        <f>'02a_DC_Capacity_Alloc'!F908</f>
        <v/>
      </c>
      <c r="G908" s="5">
        <f>B908&amp;"|"&amp;E908&amp;"|"&amp;D908</f>
        <v/>
      </c>
      <c r="H908" s="28">
        <f>'02a_DC_Capacity_Alloc'!H908*'02a_DC_Capacity_Alloc'!I908*'02a_DC_Capacity_Alloc'!J908</f>
        <v/>
      </c>
      <c r="I908" s="6">
        <f>IFERROR(INDEX('02b_DC_Accelerator_Mix'!$F$2:$F$977,MATCH(G908,'02b_DC_Accelerator_Mix'!$A$2:$A$977,0)),0)</f>
        <v/>
      </c>
      <c r="J908" s="6">
        <f>IFERROR(INDEX('02b_DC_Accelerator_Mix'!$G$2:$G$977,MATCH(G908,'02b_DC_Accelerator_Mix'!$A$2:$A$977,0)),0)</f>
        <v/>
      </c>
      <c r="K908" s="6">
        <f>IFERROR(INDEX('02b_DC_Accelerator_Mix'!$H$2:$H$977,MATCH(G908,'02b_DC_Accelerator_Mix'!$A$2:$A$977,0)),0)</f>
        <v/>
      </c>
      <c r="L908" s="6">
        <f>IFERROR(INDEX('02b_DC_Accelerator_Mix'!$I$2:$I$977,MATCH(G908,'02b_DC_Accelerator_Mix'!$A$2:$A$977,0)),0)</f>
        <v/>
      </c>
      <c r="M908" s="6">
        <f>IFERROR(INDEX('02b_DC_Accelerator_Mix'!$J$2:$J$977,MATCH(G908,'02b_DC_Accelerator_Mix'!$A$2:$A$977,0)),0)</f>
        <v/>
      </c>
      <c r="N908" s="6">
        <f>IFERROR(INDEX('02b_DC_Accelerator_Mix'!$K$2:$K$977,MATCH(G908,'02b_DC_Accelerator_Mix'!$A$2:$A$977,0)),0)</f>
        <v/>
      </c>
      <c r="O908" s="6">
        <f>IFERROR(INDEX('02b_DC_Accelerator_Mix'!$L$2:$L$977,MATCH(G908,'02b_DC_Accelerator_Mix'!$A$2:$A$977,0)),0)</f>
        <v/>
      </c>
      <c r="P908" s="6">
        <f>IFERROR(INDEX('02b_DC_Accelerator_Mix'!$M$2:$M$977,MATCH(G908,'02b_DC_Accelerator_Mix'!$A$2:$A$977,0)),0)</f>
        <v/>
      </c>
      <c r="Q908" s="6">
        <f>IFERROR(INDEX('02b_DC_Accelerator_Mix'!$N$2:$N$977,MATCH(G908,'02b_DC_Accelerator_Mix'!$A$2:$A$977,0)),0)</f>
        <v/>
      </c>
      <c r="R908" s="28">
        <f>H908*I908</f>
        <v/>
      </c>
      <c r="S908" s="28">
        <f>H908*J908</f>
        <v/>
      </c>
      <c r="T908" s="28">
        <f>H908*K908</f>
        <v/>
      </c>
      <c r="U908" s="28">
        <f>H908*L908</f>
        <v/>
      </c>
      <c r="V908" s="28">
        <f>H908*M908</f>
        <v/>
      </c>
      <c r="W908" s="28">
        <f>H908*N908</f>
        <v/>
      </c>
      <c r="X908" s="28">
        <f>H908*O908</f>
        <v/>
      </c>
      <c r="Y908" s="28">
        <f>H908*P908</f>
        <v/>
      </c>
      <c r="Z908" s="28">
        <f>H908*Q908</f>
        <v/>
      </c>
      <c r="AA908" s="28">
        <f>SUM(U908:Z908)</f>
        <v/>
      </c>
      <c r="AB908" s="5">
        <f>IF(COUNTIF('02b_DC_Accelerator_Mix'!$A$2:$A$977,G908)&gt;0,"matched","missing_mix")</f>
        <v/>
      </c>
    </row>
    <row r="909">
      <c r="A909" s="5">
        <f>'02a_DC_Capacity_Alloc'!A909</f>
        <v/>
      </c>
      <c r="B909" s="5">
        <f>'02a_DC_Capacity_Alloc'!B909</f>
        <v/>
      </c>
      <c r="C909" s="5">
        <f>'02a_DC_Capacity_Alloc'!C909</f>
        <v/>
      </c>
      <c r="D909" s="5">
        <f>'02a_DC_Capacity_Alloc'!D909</f>
        <v/>
      </c>
      <c r="E909" s="5">
        <f>'02a_DC_Capacity_Alloc'!E909</f>
        <v/>
      </c>
      <c r="F909" s="5">
        <f>'02a_DC_Capacity_Alloc'!F909</f>
        <v/>
      </c>
      <c r="G909" s="5">
        <f>B909&amp;"|"&amp;E909&amp;"|"&amp;D909</f>
        <v/>
      </c>
      <c r="H909" s="28">
        <f>'02a_DC_Capacity_Alloc'!H909*'02a_DC_Capacity_Alloc'!I909*'02a_DC_Capacity_Alloc'!J909</f>
        <v/>
      </c>
      <c r="I909" s="6">
        <f>IFERROR(INDEX('02b_DC_Accelerator_Mix'!$F$2:$F$977,MATCH(G909,'02b_DC_Accelerator_Mix'!$A$2:$A$977,0)),0)</f>
        <v/>
      </c>
      <c r="J909" s="6">
        <f>IFERROR(INDEX('02b_DC_Accelerator_Mix'!$G$2:$G$977,MATCH(G909,'02b_DC_Accelerator_Mix'!$A$2:$A$977,0)),0)</f>
        <v/>
      </c>
      <c r="K909" s="6">
        <f>IFERROR(INDEX('02b_DC_Accelerator_Mix'!$H$2:$H$977,MATCH(G909,'02b_DC_Accelerator_Mix'!$A$2:$A$977,0)),0)</f>
        <v/>
      </c>
      <c r="L909" s="6">
        <f>IFERROR(INDEX('02b_DC_Accelerator_Mix'!$I$2:$I$977,MATCH(G909,'02b_DC_Accelerator_Mix'!$A$2:$A$977,0)),0)</f>
        <v/>
      </c>
      <c r="M909" s="6">
        <f>IFERROR(INDEX('02b_DC_Accelerator_Mix'!$J$2:$J$977,MATCH(G909,'02b_DC_Accelerator_Mix'!$A$2:$A$977,0)),0)</f>
        <v/>
      </c>
      <c r="N909" s="6">
        <f>IFERROR(INDEX('02b_DC_Accelerator_Mix'!$K$2:$K$977,MATCH(G909,'02b_DC_Accelerator_Mix'!$A$2:$A$977,0)),0)</f>
        <v/>
      </c>
      <c r="O909" s="6">
        <f>IFERROR(INDEX('02b_DC_Accelerator_Mix'!$L$2:$L$977,MATCH(G909,'02b_DC_Accelerator_Mix'!$A$2:$A$977,0)),0)</f>
        <v/>
      </c>
      <c r="P909" s="6">
        <f>IFERROR(INDEX('02b_DC_Accelerator_Mix'!$M$2:$M$977,MATCH(G909,'02b_DC_Accelerator_Mix'!$A$2:$A$977,0)),0)</f>
        <v/>
      </c>
      <c r="Q909" s="6">
        <f>IFERROR(INDEX('02b_DC_Accelerator_Mix'!$N$2:$N$977,MATCH(G909,'02b_DC_Accelerator_Mix'!$A$2:$A$977,0)),0)</f>
        <v/>
      </c>
      <c r="R909" s="28">
        <f>H909*I909</f>
        <v/>
      </c>
      <c r="S909" s="28">
        <f>H909*J909</f>
        <v/>
      </c>
      <c r="T909" s="28">
        <f>H909*K909</f>
        <v/>
      </c>
      <c r="U909" s="28">
        <f>H909*L909</f>
        <v/>
      </c>
      <c r="V909" s="28">
        <f>H909*M909</f>
        <v/>
      </c>
      <c r="W909" s="28">
        <f>H909*N909</f>
        <v/>
      </c>
      <c r="X909" s="28">
        <f>H909*O909</f>
        <v/>
      </c>
      <c r="Y909" s="28">
        <f>H909*P909</f>
        <v/>
      </c>
      <c r="Z909" s="28">
        <f>H909*Q909</f>
        <v/>
      </c>
      <c r="AA909" s="28">
        <f>SUM(U909:Z909)</f>
        <v/>
      </c>
      <c r="AB909" s="5">
        <f>IF(COUNTIF('02b_DC_Accelerator_Mix'!$A$2:$A$977,G909)&gt;0,"matched","missing_mix")</f>
        <v/>
      </c>
    </row>
    <row r="910">
      <c r="A910" s="5">
        <f>'02a_DC_Capacity_Alloc'!A910</f>
        <v/>
      </c>
      <c r="B910" s="5">
        <f>'02a_DC_Capacity_Alloc'!B910</f>
        <v/>
      </c>
      <c r="C910" s="5">
        <f>'02a_DC_Capacity_Alloc'!C910</f>
        <v/>
      </c>
      <c r="D910" s="5">
        <f>'02a_DC_Capacity_Alloc'!D910</f>
        <v/>
      </c>
      <c r="E910" s="5">
        <f>'02a_DC_Capacity_Alloc'!E910</f>
        <v/>
      </c>
      <c r="F910" s="5">
        <f>'02a_DC_Capacity_Alloc'!F910</f>
        <v/>
      </c>
      <c r="G910" s="5">
        <f>B910&amp;"|"&amp;E910&amp;"|"&amp;D910</f>
        <v/>
      </c>
      <c r="H910" s="28">
        <f>'02a_DC_Capacity_Alloc'!H910*'02a_DC_Capacity_Alloc'!I910*'02a_DC_Capacity_Alloc'!J910</f>
        <v/>
      </c>
      <c r="I910" s="6">
        <f>IFERROR(INDEX('02b_DC_Accelerator_Mix'!$F$2:$F$977,MATCH(G910,'02b_DC_Accelerator_Mix'!$A$2:$A$977,0)),0)</f>
        <v/>
      </c>
      <c r="J910" s="6">
        <f>IFERROR(INDEX('02b_DC_Accelerator_Mix'!$G$2:$G$977,MATCH(G910,'02b_DC_Accelerator_Mix'!$A$2:$A$977,0)),0)</f>
        <v/>
      </c>
      <c r="K910" s="6">
        <f>IFERROR(INDEX('02b_DC_Accelerator_Mix'!$H$2:$H$977,MATCH(G910,'02b_DC_Accelerator_Mix'!$A$2:$A$977,0)),0)</f>
        <v/>
      </c>
      <c r="L910" s="6">
        <f>IFERROR(INDEX('02b_DC_Accelerator_Mix'!$I$2:$I$977,MATCH(G910,'02b_DC_Accelerator_Mix'!$A$2:$A$977,0)),0)</f>
        <v/>
      </c>
      <c r="M910" s="6">
        <f>IFERROR(INDEX('02b_DC_Accelerator_Mix'!$J$2:$J$977,MATCH(G910,'02b_DC_Accelerator_Mix'!$A$2:$A$977,0)),0)</f>
        <v/>
      </c>
      <c r="N910" s="6">
        <f>IFERROR(INDEX('02b_DC_Accelerator_Mix'!$K$2:$K$977,MATCH(G910,'02b_DC_Accelerator_Mix'!$A$2:$A$977,0)),0)</f>
        <v/>
      </c>
      <c r="O910" s="6">
        <f>IFERROR(INDEX('02b_DC_Accelerator_Mix'!$L$2:$L$977,MATCH(G910,'02b_DC_Accelerator_Mix'!$A$2:$A$977,0)),0)</f>
        <v/>
      </c>
      <c r="P910" s="6">
        <f>IFERROR(INDEX('02b_DC_Accelerator_Mix'!$M$2:$M$977,MATCH(G910,'02b_DC_Accelerator_Mix'!$A$2:$A$977,0)),0)</f>
        <v/>
      </c>
      <c r="Q910" s="6">
        <f>IFERROR(INDEX('02b_DC_Accelerator_Mix'!$N$2:$N$977,MATCH(G910,'02b_DC_Accelerator_Mix'!$A$2:$A$977,0)),0)</f>
        <v/>
      </c>
      <c r="R910" s="28">
        <f>H910*I910</f>
        <v/>
      </c>
      <c r="S910" s="28">
        <f>H910*J910</f>
        <v/>
      </c>
      <c r="T910" s="28">
        <f>H910*K910</f>
        <v/>
      </c>
      <c r="U910" s="28">
        <f>H910*L910</f>
        <v/>
      </c>
      <c r="V910" s="28">
        <f>H910*M910</f>
        <v/>
      </c>
      <c r="W910" s="28">
        <f>H910*N910</f>
        <v/>
      </c>
      <c r="X910" s="28">
        <f>H910*O910</f>
        <v/>
      </c>
      <c r="Y910" s="28">
        <f>H910*P910</f>
        <v/>
      </c>
      <c r="Z910" s="28">
        <f>H910*Q910</f>
        <v/>
      </c>
      <c r="AA910" s="28">
        <f>SUM(U910:Z910)</f>
        <v/>
      </c>
      <c r="AB910" s="5">
        <f>IF(COUNTIF('02b_DC_Accelerator_Mix'!$A$2:$A$977,G910)&gt;0,"matched","missing_mix")</f>
        <v/>
      </c>
    </row>
    <row r="911">
      <c r="A911" s="5">
        <f>'02a_DC_Capacity_Alloc'!A911</f>
        <v/>
      </c>
      <c r="B911" s="5">
        <f>'02a_DC_Capacity_Alloc'!B911</f>
        <v/>
      </c>
      <c r="C911" s="5">
        <f>'02a_DC_Capacity_Alloc'!C911</f>
        <v/>
      </c>
      <c r="D911" s="5">
        <f>'02a_DC_Capacity_Alloc'!D911</f>
        <v/>
      </c>
      <c r="E911" s="5">
        <f>'02a_DC_Capacity_Alloc'!E911</f>
        <v/>
      </c>
      <c r="F911" s="5">
        <f>'02a_DC_Capacity_Alloc'!F911</f>
        <v/>
      </c>
      <c r="G911" s="5">
        <f>B911&amp;"|"&amp;E911&amp;"|"&amp;D911</f>
        <v/>
      </c>
      <c r="H911" s="28">
        <f>'02a_DC_Capacity_Alloc'!H911*'02a_DC_Capacity_Alloc'!I911*'02a_DC_Capacity_Alloc'!J911</f>
        <v/>
      </c>
      <c r="I911" s="6">
        <f>IFERROR(INDEX('02b_DC_Accelerator_Mix'!$F$2:$F$977,MATCH(G911,'02b_DC_Accelerator_Mix'!$A$2:$A$977,0)),0)</f>
        <v/>
      </c>
      <c r="J911" s="6">
        <f>IFERROR(INDEX('02b_DC_Accelerator_Mix'!$G$2:$G$977,MATCH(G911,'02b_DC_Accelerator_Mix'!$A$2:$A$977,0)),0)</f>
        <v/>
      </c>
      <c r="K911" s="6">
        <f>IFERROR(INDEX('02b_DC_Accelerator_Mix'!$H$2:$H$977,MATCH(G911,'02b_DC_Accelerator_Mix'!$A$2:$A$977,0)),0)</f>
        <v/>
      </c>
      <c r="L911" s="6">
        <f>IFERROR(INDEX('02b_DC_Accelerator_Mix'!$I$2:$I$977,MATCH(G911,'02b_DC_Accelerator_Mix'!$A$2:$A$977,0)),0)</f>
        <v/>
      </c>
      <c r="M911" s="6">
        <f>IFERROR(INDEX('02b_DC_Accelerator_Mix'!$J$2:$J$977,MATCH(G911,'02b_DC_Accelerator_Mix'!$A$2:$A$977,0)),0)</f>
        <v/>
      </c>
      <c r="N911" s="6">
        <f>IFERROR(INDEX('02b_DC_Accelerator_Mix'!$K$2:$K$977,MATCH(G911,'02b_DC_Accelerator_Mix'!$A$2:$A$977,0)),0)</f>
        <v/>
      </c>
      <c r="O911" s="6">
        <f>IFERROR(INDEX('02b_DC_Accelerator_Mix'!$L$2:$L$977,MATCH(G911,'02b_DC_Accelerator_Mix'!$A$2:$A$977,0)),0)</f>
        <v/>
      </c>
      <c r="P911" s="6">
        <f>IFERROR(INDEX('02b_DC_Accelerator_Mix'!$M$2:$M$977,MATCH(G911,'02b_DC_Accelerator_Mix'!$A$2:$A$977,0)),0)</f>
        <v/>
      </c>
      <c r="Q911" s="6">
        <f>IFERROR(INDEX('02b_DC_Accelerator_Mix'!$N$2:$N$977,MATCH(G911,'02b_DC_Accelerator_Mix'!$A$2:$A$977,0)),0)</f>
        <v/>
      </c>
      <c r="R911" s="28">
        <f>H911*I911</f>
        <v/>
      </c>
      <c r="S911" s="28">
        <f>H911*J911</f>
        <v/>
      </c>
      <c r="T911" s="28">
        <f>H911*K911</f>
        <v/>
      </c>
      <c r="U911" s="28">
        <f>H911*L911</f>
        <v/>
      </c>
      <c r="V911" s="28">
        <f>H911*M911</f>
        <v/>
      </c>
      <c r="W911" s="28">
        <f>H911*N911</f>
        <v/>
      </c>
      <c r="X911" s="28">
        <f>H911*O911</f>
        <v/>
      </c>
      <c r="Y911" s="28">
        <f>H911*P911</f>
        <v/>
      </c>
      <c r="Z911" s="28">
        <f>H911*Q911</f>
        <v/>
      </c>
      <c r="AA911" s="28">
        <f>SUM(U911:Z911)</f>
        <v/>
      </c>
      <c r="AB911" s="5">
        <f>IF(COUNTIF('02b_DC_Accelerator_Mix'!$A$2:$A$977,G911)&gt;0,"matched","missing_mix")</f>
        <v/>
      </c>
    </row>
    <row r="912">
      <c r="A912" s="5">
        <f>'02a_DC_Capacity_Alloc'!A912</f>
        <v/>
      </c>
      <c r="B912" s="5">
        <f>'02a_DC_Capacity_Alloc'!B912</f>
        <v/>
      </c>
      <c r="C912" s="5">
        <f>'02a_DC_Capacity_Alloc'!C912</f>
        <v/>
      </c>
      <c r="D912" s="5">
        <f>'02a_DC_Capacity_Alloc'!D912</f>
        <v/>
      </c>
      <c r="E912" s="5">
        <f>'02a_DC_Capacity_Alloc'!E912</f>
        <v/>
      </c>
      <c r="F912" s="5">
        <f>'02a_DC_Capacity_Alloc'!F912</f>
        <v/>
      </c>
      <c r="G912" s="5">
        <f>B912&amp;"|"&amp;E912&amp;"|"&amp;D912</f>
        <v/>
      </c>
      <c r="H912" s="28">
        <f>'02a_DC_Capacity_Alloc'!H912*'02a_DC_Capacity_Alloc'!I912*'02a_DC_Capacity_Alloc'!J912</f>
        <v/>
      </c>
      <c r="I912" s="6">
        <f>IFERROR(INDEX('02b_DC_Accelerator_Mix'!$F$2:$F$977,MATCH(G912,'02b_DC_Accelerator_Mix'!$A$2:$A$977,0)),0)</f>
        <v/>
      </c>
      <c r="J912" s="6">
        <f>IFERROR(INDEX('02b_DC_Accelerator_Mix'!$G$2:$G$977,MATCH(G912,'02b_DC_Accelerator_Mix'!$A$2:$A$977,0)),0)</f>
        <v/>
      </c>
      <c r="K912" s="6">
        <f>IFERROR(INDEX('02b_DC_Accelerator_Mix'!$H$2:$H$977,MATCH(G912,'02b_DC_Accelerator_Mix'!$A$2:$A$977,0)),0)</f>
        <v/>
      </c>
      <c r="L912" s="6">
        <f>IFERROR(INDEX('02b_DC_Accelerator_Mix'!$I$2:$I$977,MATCH(G912,'02b_DC_Accelerator_Mix'!$A$2:$A$977,0)),0)</f>
        <v/>
      </c>
      <c r="M912" s="6">
        <f>IFERROR(INDEX('02b_DC_Accelerator_Mix'!$J$2:$J$977,MATCH(G912,'02b_DC_Accelerator_Mix'!$A$2:$A$977,0)),0)</f>
        <v/>
      </c>
      <c r="N912" s="6">
        <f>IFERROR(INDEX('02b_DC_Accelerator_Mix'!$K$2:$K$977,MATCH(G912,'02b_DC_Accelerator_Mix'!$A$2:$A$977,0)),0)</f>
        <v/>
      </c>
      <c r="O912" s="6">
        <f>IFERROR(INDEX('02b_DC_Accelerator_Mix'!$L$2:$L$977,MATCH(G912,'02b_DC_Accelerator_Mix'!$A$2:$A$977,0)),0)</f>
        <v/>
      </c>
      <c r="P912" s="6">
        <f>IFERROR(INDEX('02b_DC_Accelerator_Mix'!$M$2:$M$977,MATCH(G912,'02b_DC_Accelerator_Mix'!$A$2:$A$977,0)),0)</f>
        <v/>
      </c>
      <c r="Q912" s="6">
        <f>IFERROR(INDEX('02b_DC_Accelerator_Mix'!$N$2:$N$977,MATCH(G912,'02b_DC_Accelerator_Mix'!$A$2:$A$977,0)),0)</f>
        <v/>
      </c>
      <c r="R912" s="28">
        <f>H912*I912</f>
        <v/>
      </c>
      <c r="S912" s="28">
        <f>H912*J912</f>
        <v/>
      </c>
      <c r="T912" s="28">
        <f>H912*K912</f>
        <v/>
      </c>
      <c r="U912" s="28">
        <f>H912*L912</f>
        <v/>
      </c>
      <c r="V912" s="28">
        <f>H912*M912</f>
        <v/>
      </c>
      <c r="W912" s="28">
        <f>H912*N912</f>
        <v/>
      </c>
      <c r="X912" s="28">
        <f>H912*O912</f>
        <v/>
      </c>
      <c r="Y912" s="28">
        <f>H912*P912</f>
        <v/>
      </c>
      <c r="Z912" s="28">
        <f>H912*Q912</f>
        <v/>
      </c>
      <c r="AA912" s="28">
        <f>SUM(U912:Z912)</f>
        <v/>
      </c>
      <c r="AB912" s="5">
        <f>IF(COUNTIF('02b_DC_Accelerator_Mix'!$A$2:$A$977,G912)&gt;0,"matched","missing_mix")</f>
        <v/>
      </c>
    </row>
    <row r="913">
      <c r="A913" s="5">
        <f>'02a_DC_Capacity_Alloc'!A913</f>
        <v/>
      </c>
      <c r="B913" s="5">
        <f>'02a_DC_Capacity_Alloc'!B913</f>
        <v/>
      </c>
      <c r="C913" s="5">
        <f>'02a_DC_Capacity_Alloc'!C913</f>
        <v/>
      </c>
      <c r="D913" s="5">
        <f>'02a_DC_Capacity_Alloc'!D913</f>
        <v/>
      </c>
      <c r="E913" s="5">
        <f>'02a_DC_Capacity_Alloc'!E913</f>
        <v/>
      </c>
      <c r="F913" s="5">
        <f>'02a_DC_Capacity_Alloc'!F913</f>
        <v/>
      </c>
      <c r="G913" s="5">
        <f>B913&amp;"|"&amp;E913&amp;"|"&amp;D913</f>
        <v/>
      </c>
      <c r="H913" s="28">
        <f>'02a_DC_Capacity_Alloc'!H913*'02a_DC_Capacity_Alloc'!I913*'02a_DC_Capacity_Alloc'!J913</f>
        <v/>
      </c>
      <c r="I913" s="6">
        <f>IFERROR(INDEX('02b_DC_Accelerator_Mix'!$F$2:$F$977,MATCH(G913,'02b_DC_Accelerator_Mix'!$A$2:$A$977,0)),0)</f>
        <v/>
      </c>
      <c r="J913" s="6">
        <f>IFERROR(INDEX('02b_DC_Accelerator_Mix'!$G$2:$G$977,MATCH(G913,'02b_DC_Accelerator_Mix'!$A$2:$A$977,0)),0)</f>
        <v/>
      </c>
      <c r="K913" s="6">
        <f>IFERROR(INDEX('02b_DC_Accelerator_Mix'!$H$2:$H$977,MATCH(G913,'02b_DC_Accelerator_Mix'!$A$2:$A$977,0)),0)</f>
        <v/>
      </c>
      <c r="L913" s="6">
        <f>IFERROR(INDEX('02b_DC_Accelerator_Mix'!$I$2:$I$977,MATCH(G913,'02b_DC_Accelerator_Mix'!$A$2:$A$977,0)),0)</f>
        <v/>
      </c>
      <c r="M913" s="6">
        <f>IFERROR(INDEX('02b_DC_Accelerator_Mix'!$J$2:$J$977,MATCH(G913,'02b_DC_Accelerator_Mix'!$A$2:$A$977,0)),0)</f>
        <v/>
      </c>
      <c r="N913" s="6">
        <f>IFERROR(INDEX('02b_DC_Accelerator_Mix'!$K$2:$K$977,MATCH(G913,'02b_DC_Accelerator_Mix'!$A$2:$A$977,0)),0)</f>
        <v/>
      </c>
      <c r="O913" s="6">
        <f>IFERROR(INDEX('02b_DC_Accelerator_Mix'!$L$2:$L$977,MATCH(G913,'02b_DC_Accelerator_Mix'!$A$2:$A$977,0)),0)</f>
        <v/>
      </c>
      <c r="P913" s="6">
        <f>IFERROR(INDEX('02b_DC_Accelerator_Mix'!$M$2:$M$977,MATCH(G913,'02b_DC_Accelerator_Mix'!$A$2:$A$977,0)),0)</f>
        <v/>
      </c>
      <c r="Q913" s="6">
        <f>IFERROR(INDEX('02b_DC_Accelerator_Mix'!$N$2:$N$977,MATCH(G913,'02b_DC_Accelerator_Mix'!$A$2:$A$977,0)),0)</f>
        <v/>
      </c>
      <c r="R913" s="28">
        <f>H913*I913</f>
        <v/>
      </c>
      <c r="S913" s="28">
        <f>H913*J913</f>
        <v/>
      </c>
      <c r="T913" s="28">
        <f>H913*K913</f>
        <v/>
      </c>
      <c r="U913" s="28">
        <f>H913*L913</f>
        <v/>
      </c>
      <c r="V913" s="28">
        <f>H913*M913</f>
        <v/>
      </c>
      <c r="W913" s="28">
        <f>H913*N913</f>
        <v/>
      </c>
      <c r="X913" s="28">
        <f>H913*O913</f>
        <v/>
      </c>
      <c r="Y913" s="28">
        <f>H913*P913</f>
        <v/>
      </c>
      <c r="Z913" s="28">
        <f>H913*Q913</f>
        <v/>
      </c>
      <c r="AA913" s="28">
        <f>SUM(U913:Z913)</f>
        <v/>
      </c>
      <c r="AB913" s="5">
        <f>IF(COUNTIF('02b_DC_Accelerator_Mix'!$A$2:$A$977,G913)&gt;0,"matched","missing_mix")</f>
        <v/>
      </c>
    </row>
    <row r="914">
      <c r="A914" s="5">
        <f>'02a_DC_Capacity_Alloc'!A914</f>
        <v/>
      </c>
      <c r="B914" s="5">
        <f>'02a_DC_Capacity_Alloc'!B914</f>
        <v/>
      </c>
      <c r="C914" s="5">
        <f>'02a_DC_Capacity_Alloc'!C914</f>
        <v/>
      </c>
      <c r="D914" s="5">
        <f>'02a_DC_Capacity_Alloc'!D914</f>
        <v/>
      </c>
      <c r="E914" s="5">
        <f>'02a_DC_Capacity_Alloc'!E914</f>
        <v/>
      </c>
      <c r="F914" s="5">
        <f>'02a_DC_Capacity_Alloc'!F914</f>
        <v/>
      </c>
      <c r="G914" s="5">
        <f>B914&amp;"|"&amp;E914&amp;"|"&amp;D914</f>
        <v/>
      </c>
      <c r="H914" s="28">
        <f>'02a_DC_Capacity_Alloc'!H914*'02a_DC_Capacity_Alloc'!I914*'02a_DC_Capacity_Alloc'!J914</f>
        <v/>
      </c>
      <c r="I914" s="6">
        <f>IFERROR(INDEX('02b_DC_Accelerator_Mix'!$F$2:$F$977,MATCH(G914,'02b_DC_Accelerator_Mix'!$A$2:$A$977,0)),0)</f>
        <v/>
      </c>
      <c r="J914" s="6">
        <f>IFERROR(INDEX('02b_DC_Accelerator_Mix'!$G$2:$G$977,MATCH(G914,'02b_DC_Accelerator_Mix'!$A$2:$A$977,0)),0)</f>
        <v/>
      </c>
      <c r="K914" s="6">
        <f>IFERROR(INDEX('02b_DC_Accelerator_Mix'!$H$2:$H$977,MATCH(G914,'02b_DC_Accelerator_Mix'!$A$2:$A$977,0)),0)</f>
        <v/>
      </c>
      <c r="L914" s="6">
        <f>IFERROR(INDEX('02b_DC_Accelerator_Mix'!$I$2:$I$977,MATCH(G914,'02b_DC_Accelerator_Mix'!$A$2:$A$977,0)),0)</f>
        <v/>
      </c>
      <c r="M914" s="6">
        <f>IFERROR(INDEX('02b_DC_Accelerator_Mix'!$J$2:$J$977,MATCH(G914,'02b_DC_Accelerator_Mix'!$A$2:$A$977,0)),0)</f>
        <v/>
      </c>
      <c r="N914" s="6">
        <f>IFERROR(INDEX('02b_DC_Accelerator_Mix'!$K$2:$K$977,MATCH(G914,'02b_DC_Accelerator_Mix'!$A$2:$A$977,0)),0)</f>
        <v/>
      </c>
      <c r="O914" s="6">
        <f>IFERROR(INDEX('02b_DC_Accelerator_Mix'!$L$2:$L$977,MATCH(G914,'02b_DC_Accelerator_Mix'!$A$2:$A$977,0)),0)</f>
        <v/>
      </c>
      <c r="P914" s="6">
        <f>IFERROR(INDEX('02b_DC_Accelerator_Mix'!$M$2:$M$977,MATCH(G914,'02b_DC_Accelerator_Mix'!$A$2:$A$977,0)),0)</f>
        <v/>
      </c>
      <c r="Q914" s="6">
        <f>IFERROR(INDEX('02b_DC_Accelerator_Mix'!$N$2:$N$977,MATCH(G914,'02b_DC_Accelerator_Mix'!$A$2:$A$977,0)),0)</f>
        <v/>
      </c>
      <c r="R914" s="28">
        <f>H914*I914</f>
        <v/>
      </c>
      <c r="S914" s="28">
        <f>H914*J914</f>
        <v/>
      </c>
      <c r="T914" s="28">
        <f>H914*K914</f>
        <v/>
      </c>
      <c r="U914" s="28">
        <f>H914*L914</f>
        <v/>
      </c>
      <c r="V914" s="28">
        <f>H914*M914</f>
        <v/>
      </c>
      <c r="W914" s="28">
        <f>H914*N914</f>
        <v/>
      </c>
      <c r="X914" s="28">
        <f>H914*O914</f>
        <v/>
      </c>
      <c r="Y914" s="28">
        <f>H914*P914</f>
        <v/>
      </c>
      <c r="Z914" s="28">
        <f>H914*Q914</f>
        <v/>
      </c>
      <c r="AA914" s="28">
        <f>SUM(U914:Z914)</f>
        <v/>
      </c>
      <c r="AB914" s="5">
        <f>IF(COUNTIF('02b_DC_Accelerator_Mix'!$A$2:$A$977,G914)&gt;0,"matched","missing_mix")</f>
        <v/>
      </c>
    </row>
    <row r="915">
      <c r="A915" s="5">
        <f>'02a_DC_Capacity_Alloc'!A915</f>
        <v/>
      </c>
      <c r="B915" s="5">
        <f>'02a_DC_Capacity_Alloc'!B915</f>
        <v/>
      </c>
      <c r="C915" s="5">
        <f>'02a_DC_Capacity_Alloc'!C915</f>
        <v/>
      </c>
      <c r="D915" s="5">
        <f>'02a_DC_Capacity_Alloc'!D915</f>
        <v/>
      </c>
      <c r="E915" s="5">
        <f>'02a_DC_Capacity_Alloc'!E915</f>
        <v/>
      </c>
      <c r="F915" s="5">
        <f>'02a_DC_Capacity_Alloc'!F915</f>
        <v/>
      </c>
      <c r="G915" s="5">
        <f>B915&amp;"|"&amp;E915&amp;"|"&amp;D915</f>
        <v/>
      </c>
      <c r="H915" s="28">
        <f>'02a_DC_Capacity_Alloc'!H915*'02a_DC_Capacity_Alloc'!I915*'02a_DC_Capacity_Alloc'!J915</f>
        <v/>
      </c>
      <c r="I915" s="6">
        <f>IFERROR(INDEX('02b_DC_Accelerator_Mix'!$F$2:$F$977,MATCH(G915,'02b_DC_Accelerator_Mix'!$A$2:$A$977,0)),0)</f>
        <v/>
      </c>
      <c r="J915" s="6">
        <f>IFERROR(INDEX('02b_DC_Accelerator_Mix'!$G$2:$G$977,MATCH(G915,'02b_DC_Accelerator_Mix'!$A$2:$A$977,0)),0)</f>
        <v/>
      </c>
      <c r="K915" s="6">
        <f>IFERROR(INDEX('02b_DC_Accelerator_Mix'!$H$2:$H$977,MATCH(G915,'02b_DC_Accelerator_Mix'!$A$2:$A$977,0)),0)</f>
        <v/>
      </c>
      <c r="L915" s="6">
        <f>IFERROR(INDEX('02b_DC_Accelerator_Mix'!$I$2:$I$977,MATCH(G915,'02b_DC_Accelerator_Mix'!$A$2:$A$977,0)),0)</f>
        <v/>
      </c>
      <c r="M915" s="6">
        <f>IFERROR(INDEX('02b_DC_Accelerator_Mix'!$J$2:$J$977,MATCH(G915,'02b_DC_Accelerator_Mix'!$A$2:$A$977,0)),0)</f>
        <v/>
      </c>
      <c r="N915" s="6">
        <f>IFERROR(INDEX('02b_DC_Accelerator_Mix'!$K$2:$K$977,MATCH(G915,'02b_DC_Accelerator_Mix'!$A$2:$A$977,0)),0)</f>
        <v/>
      </c>
      <c r="O915" s="6">
        <f>IFERROR(INDEX('02b_DC_Accelerator_Mix'!$L$2:$L$977,MATCH(G915,'02b_DC_Accelerator_Mix'!$A$2:$A$977,0)),0)</f>
        <v/>
      </c>
      <c r="P915" s="6">
        <f>IFERROR(INDEX('02b_DC_Accelerator_Mix'!$M$2:$M$977,MATCH(G915,'02b_DC_Accelerator_Mix'!$A$2:$A$977,0)),0)</f>
        <v/>
      </c>
      <c r="Q915" s="6">
        <f>IFERROR(INDEX('02b_DC_Accelerator_Mix'!$N$2:$N$977,MATCH(G915,'02b_DC_Accelerator_Mix'!$A$2:$A$977,0)),0)</f>
        <v/>
      </c>
      <c r="R915" s="28">
        <f>H915*I915</f>
        <v/>
      </c>
      <c r="S915" s="28">
        <f>H915*J915</f>
        <v/>
      </c>
      <c r="T915" s="28">
        <f>H915*K915</f>
        <v/>
      </c>
      <c r="U915" s="28">
        <f>H915*L915</f>
        <v/>
      </c>
      <c r="V915" s="28">
        <f>H915*M915</f>
        <v/>
      </c>
      <c r="W915" s="28">
        <f>H915*N915</f>
        <v/>
      </c>
      <c r="X915" s="28">
        <f>H915*O915</f>
        <v/>
      </c>
      <c r="Y915" s="28">
        <f>H915*P915</f>
        <v/>
      </c>
      <c r="Z915" s="28">
        <f>H915*Q915</f>
        <v/>
      </c>
      <c r="AA915" s="28">
        <f>SUM(U915:Z915)</f>
        <v/>
      </c>
      <c r="AB915" s="5">
        <f>IF(COUNTIF('02b_DC_Accelerator_Mix'!$A$2:$A$977,G915)&gt;0,"matched","missing_mix")</f>
        <v/>
      </c>
    </row>
    <row r="916">
      <c r="A916" s="5">
        <f>'02a_DC_Capacity_Alloc'!A916</f>
        <v/>
      </c>
      <c r="B916" s="5">
        <f>'02a_DC_Capacity_Alloc'!B916</f>
        <v/>
      </c>
      <c r="C916" s="5">
        <f>'02a_DC_Capacity_Alloc'!C916</f>
        <v/>
      </c>
      <c r="D916" s="5">
        <f>'02a_DC_Capacity_Alloc'!D916</f>
        <v/>
      </c>
      <c r="E916" s="5">
        <f>'02a_DC_Capacity_Alloc'!E916</f>
        <v/>
      </c>
      <c r="F916" s="5">
        <f>'02a_DC_Capacity_Alloc'!F916</f>
        <v/>
      </c>
      <c r="G916" s="5">
        <f>B916&amp;"|"&amp;E916&amp;"|"&amp;D916</f>
        <v/>
      </c>
      <c r="H916" s="28">
        <f>'02a_DC_Capacity_Alloc'!H916*'02a_DC_Capacity_Alloc'!I916*'02a_DC_Capacity_Alloc'!J916</f>
        <v/>
      </c>
      <c r="I916" s="6">
        <f>IFERROR(INDEX('02b_DC_Accelerator_Mix'!$F$2:$F$977,MATCH(G916,'02b_DC_Accelerator_Mix'!$A$2:$A$977,0)),0)</f>
        <v/>
      </c>
      <c r="J916" s="6">
        <f>IFERROR(INDEX('02b_DC_Accelerator_Mix'!$G$2:$G$977,MATCH(G916,'02b_DC_Accelerator_Mix'!$A$2:$A$977,0)),0)</f>
        <v/>
      </c>
      <c r="K916" s="6">
        <f>IFERROR(INDEX('02b_DC_Accelerator_Mix'!$H$2:$H$977,MATCH(G916,'02b_DC_Accelerator_Mix'!$A$2:$A$977,0)),0)</f>
        <v/>
      </c>
      <c r="L916" s="6">
        <f>IFERROR(INDEX('02b_DC_Accelerator_Mix'!$I$2:$I$977,MATCH(G916,'02b_DC_Accelerator_Mix'!$A$2:$A$977,0)),0)</f>
        <v/>
      </c>
      <c r="M916" s="6">
        <f>IFERROR(INDEX('02b_DC_Accelerator_Mix'!$J$2:$J$977,MATCH(G916,'02b_DC_Accelerator_Mix'!$A$2:$A$977,0)),0)</f>
        <v/>
      </c>
      <c r="N916" s="6">
        <f>IFERROR(INDEX('02b_DC_Accelerator_Mix'!$K$2:$K$977,MATCH(G916,'02b_DC_Accelerator_Mix'!$A$2:$A$977,0)),0)</f>
        <v/>
      </c>
      <c r="O916" s="6">
        <f>IFERROR(INDEX('02b_DC_Accelerator_Mix'!$L$2:$L$977,MATCH(G916,'02b_DC_Accelerator_Mix'!$A$2:$A$977,0)),0)</f>
        <v/>
      </c>
      <c r="P916" s="6">
        <f>IFERROR(INDEX('02b_DC_Accelerator_Mix'!$M$2:$M$977,MATCH(G916,'02b_DC_Accelerator_Mix'!$A$2:$A$977,0)),0)</f>
        <v/>
      </c>
      <c r="Q916" s="6">
        <f>IFERROR(INDEX('02b_DC_Accelerator_Mix'!$N$2:$N$977,MATCH(G916,'02b_DC_Accelerator_Mix'!$A$2:$A$977,0)),0)</f>
        <v/>
      </c>
      <c r="R916" s="28">
        <f>H916*I916</f>
        <v/>
      </c>
      <c r="S916" s="28">
        <f>H916*J916</f>
        <v/>
      </c>
      <c r="T916" s="28">
        <f>H916*K916</f>
        <v/>
      </c>
      <c r="U916" s="28">
        <f>H916*L916</f>
        <v/>
      </c>
      <c r="V916" s="28">
        <f>H916*M916</f>
        <v/>
      </c>
      <c r="W916" s="28">
        <f>H916*N916</f>
        <v/>
      </c>
      <c r="X916" s="28">
        <f>H916*O916</f>
        <v/>
      </c>
      <c r="Y916" s="28">
        <f>H916*P916</f>
        <v/>
      </c>
      <c r="Z916" s="28">
        <f>H916*Q916</f>
        <v/>
      </c>
      <c r="AA916" s="28">
        <f>SUM(U916:Z916)</f>
        <v/>
      </c>
      <c r="AB916" s="5">
        <f>IF(COUNTIF('02b_DC_Accelerator_Mix'!$A$2:$A$977,G916)&gt;0,"matched","missing_mix")</f>
        <v/>
      </c>
    </row>
    <row r="917">
      <c r="A917" s="5">
        <f>'02a_DC_Capacity_Alloc'!A917</f>
        <v/>
      </c>
      <c r="B917" s="5">
        <f>'02a_DC_Capacity_Alloc'!B917</f>
        <v/>
      </c>
      <c r="C917" s="5">
        <f>'02a_DC_Capacity_Alloc'!C917</f>
        <v/>
      </c>
      <c r="D917" s="5">
        <f>'02a_DC_Capacity_Alloc'!D917</f>
        <v/>
      </c>
      <c r="E917" s="5">
        <f>'02a_DC_Capacity_Alloc'!E917</f>
        <v/>
      </c>
      <c r="F917" s="5">
        <f>'02a_DC_Capacity_Alloc'!F917</f>
        <v/>
      </c>
      <c r="G917" s="5">
        <f>B917&amp;"|"&amp;E917&amp;"|"&amp;D917</f>
        <v/>
      </c>
      <c r="H917" s="28">
        <f>'02a_DC_Capacity_Alloc'!H917*'02a_DC_Capacity_Alloc'!I917*'02a_DC_Capacity_Alloc'!J917</f>
        <v/>
      </c>
      <c r="I917" s="6">
        <f>IFERROR(INDEX('02b_DC_Accelerator_Mix'!$F$2:$F$977,MATCH(G917,'02b_DC_Accelerator_Mix'!$A$2:$A$977,0)),0)</f>
        <v/>
      </c>
      <c r="J917" s="6">
        <f>IFERROR(INDEX('02b_DC_Accelerator_Mix'!$G$2:$G$977,MATCH(G917,'02b_DC_Accelerator_Mix'!$A$2:$A$977,0)),0)</f>
        <v/>
      </c>
      <c r="K917" s="6">
        <f>IFERROR(INDEX('02b_DC_Accelerator_Mix'!$H$2:$H$977,MATCH(G917,'02b_DC_Accelerator_Mix'!$A$2:$A$977,0)),0)</f>
        <v/>
      </c>
      <c r="L917" s="6">
        <f>IFERROR(INDEX('02b_DC_Accelerator_Mix'!$I$2:$I$977,MATCH(G917,'02b_DC_Accelerator_Mix'!$A$2:$A$977,0)),0)</f>
        <v/>
      </c>
      <c r="M917" s="6">
        <f>IFERROR(INDEX('02b_DC_Accelerator_Mix'!$J$2:$J$977,MATCH(G917,'02b_DC_Accelerator_Mix'!$A$2:$A$977,0)),0)</f>
        <v/>
      </c>
      <c r="N917" s="6">
        <f>IFERROR(INDEX('02b_DC_Accelerator_Mix'!$K$2:$K$977,MATCH(G917,'02b_DC_Accelerator_Mix'!$A$2:$A$977,0)),0)</f>
        <v/>
      </c>
      <c r="O917" s="6">
        <f>IFERROR(INDEX('02b_DC_Accelerator_Mix'!$L$2:$L$977,MATCH(G917,'02b_DC_Accelerator_Mix'!$A$2:$A$977,0)),0)</f>
        <v/>
      </c>
      <c r="P917" s="6">
        <f>IFERROR(INDEX('02b_DC_Accelerator_Mix'!$M$2:$M$977,MATCH(G917,'02b_DC_Accelerator_Mix'!$A$2:$A$977,0)),0)</f>
        <v/>
      </c>
      <c r="Q917" s="6">
        <f>IFERROR(INDEX('02b_DC_Accelerator_Mix'!$N$2:$N$977,MATCH(G917,'02b_DC_Accelerator_Mix'!$A$2:$A$977,0)),0)</f>
        <v/>
      </c>
      <c r="R917" s="28">
        <f>H917*I917</f>
        <v/>
      </c>
      <c r="S917" s="28">
        <f>H917*J917</f>
        <v/>
      </c>
      <c r="T917" s="28">
        <f>H917*K917</f>
        <v/>
      </c>
      <c r="U917" s="28">
        <f>H917*L917</f>
        <v/>
      </c>
      <c r="V917" s="28">
        <f>H917*M917</f>
        <v/>
      </c>
      <c r="W917" s="28">
        <f>H917*N917</f>
        <v/>
      </c>
      <c r="X917" s="28">
        <f>H917*O917</f>
        <v/>
      </c>
      <c r="Y917" s="28">
        <f>H917*P917</f>
        <v/>
      </c>
      <c r="Z917" s="28">
        <f>H917*Q917</f>
        <v/>
      </c>
      <c r="AA917" s="28">
        <f>SUM(U917:Z917)</f>
        <v/>
      </c>
      <c r="AB917" s="5">
        <f>IF(COUNTIF('02b_DC_Accelerator_Mix'!$A$2:$A$977,G917)&gt;0,"matched","missing_mix")</f>
        <v/>
      </c>
    </row>
    <row r="918">
      <c r="A918" s="5">
        <f>'02a_DC_Capacity_Alloc'!A918</f>
        <v/>
      </c>
      <c r="B918" s="5">
        <f>'02a_DC_Capacity_Alloc'!B918</f>
        <v/>
      </c>
      <c r="C918" s="5">
        <f>'02a_DC_Capacity_Alloc'!C918</f>
        <v/>
      </c>
      <c r="D918" s="5">
        <f>'02a_DC_Capacity_Alloc'!D918</f>
        <v/>
      </c>
      <c r="E918" s="5">
        <f>'02a_DC_Capacity_Alloc'!E918</f>
        <v/>
      </c>
      <c r="F918" s="5">
        <f>'02a_DC_Capacity_Alloc'!F918</f>
        <v/>
      </c>
      <c r="G918" s="5">
        <f>B918&amp;"|"&amp;E918&amp;"|"&amp;D918</f>
        <v/>
      </c>
      <c r="H918" s="28">
        <f>'02a_DC_Capacity_Alloc'!H918*'02a_DC_Capacity_Alloc'!I918*'02a_DC_Capacity_Alloc'!J918</f>
        <v/>
      </c>
      <c r="I918" s="6">
        <f>IFERROR(INDEX('02b_DC_Accelerator_Mix'!$F$2:$F$977,MATCH(G918,'02b_DC_Accelerator_Mix'!$A$2:$A$977,0)),0)</f>
        <v/>
      </c>
      <c r="J918" s="6">
        <f>IFERROR(INDEX('02b_DC_Accelerator_Mix'!$G$2:$G$977,MATCH(G918,'02b_DC_Accelerator_Mix'!$A$2:$A$977,0)),0)</f>
        <v/>
      </c>
      <c r="K918" s="6">
        <f>IFERROR(INDEX('02b_DC_Accelerator_Mix'!$H$2:$H$977,MATCH(G918,'02b_DC_Accelerator_Mix'!$A$2:$A$977,0)),0)</f>
        <v/>
      </c>
      <c r="L918" s="6">
        <f>IFERROR(INDEX('02b_DC_Accelerator_Mix'!$I$2:$I$977,MATCH(G918,'02b_DC_Accelerator_Mix'!$A$2:$A$977,0)),0)</f>
        <v/>
      </c>
      <c r="M918" s="6">
        <f>IFERROR(INDEX('02b_DC_Accelerator_Mix'!$J$2:$J$977,MATCH(G918,'02b_DC_Accelerator_Mix'!$A$2:$A$977,0)),0)</f>
        <v/>
      </c>
      <c r="N918" s="6">
        <f>IFERROR(INDEX('02b_DC_Accelerator_Mix'!$K$2:$K$977,MATCH(G918,'02b_DC_Accelerator_Mix'!$A$2:$A$977,0)),0)</f>
        <v/>
      </c>
      <c r="O918" s="6">
        <f>IFERROR(INDEX('02b_DC_Accelerator_Mix'!$L$2:$L$977,MATCH(G918,'02b_DC_Accelerator_Mix'!$A$2:$A$977,0)),0)</f>
        <v/>
      </c>
      <c r="P918" s="6">
        <f>IFERROR(INDEX('02b_DC_Accelerator_Mix'!$M$2:$M$977,MATCH(G918,'02b_DC_Accelerator_Mix'!$A$2:$A$977,0)),0)</f>
        <v/>
      </c>
      <c r="Q918" s="6">
        <f>IFERROR(INDEX('02b_DC_Accelerator_Mix'!$N$2:$N$977,MATCH(G918,'02b_DC_Accelerator_Mix'!$A$2:$A$977,0)),0)</f>
        <v/>
      </c>
      <c r="R918" s="28">
        <f>H918*I918</f>
        <v/>
      </c>
      <c r="S918" s="28">
        <f>H918*J918</f>
        <v/>
      </c>
      <c r="T918" s="28">
        <f>H918*K918</f>
        <v/>
      </c>
      <c r="U918" s="28">
        <f>H918*L918</f>
        <v/>
      </c>
      <c r="V918" s="28">
        <f>H918*M918</f>
        <v/>
      </c>
      <c r="W918" s="28">
        <f>H918*N918</f>
        <v/>
      </c>
      <c r="X918" s="28">
        <f>H918*O918</f>
        <v/>
      </c>
      <c r="Y918" s="28">
        <f>H918*P918</f>
        <v/>
      </c>
      <c r="Z918" s="28">
        <f>H918*Q918</f>
        <v/>
      </c>
      <c r="AA918" s="28">
        <f>SUM(U918:Z918)</f>
        <v/>
      </c>
      <c r="AB918" s="5">
        <f>IF(COUNTIF('02b_DC_Accelerator_Mix'!$A$2:$A$977,G918)&gt;0,"matched","missing_mix")</f>
        <v/>
      </c>
    </row>
    <row r="919">
      <c r="A919" s="5">
        <f>'02a_DC_Capacity_Alloc'!A919</f>
        <v/>
      </c>
      <c r="B919" s="5">
        <f>'02a_DC_Capacity_Alloc'!B919</f>
        <v/>
      </c>
      <c r="C919" s="5">
        <f>'02a_DC_Capacity_Alloc'!C919</f>
        <v/>
      </c>
      <c r="D919" s="5">
        <f>'02a_DC_Capacity_Alloc'!D919</f>
        <v/>
      </c>
      <c r="E919" s="5">
        <f>'02a_DC_Capacity_Alloc'!E919</f>
        <v/>
      </c>
      <c r="F919" s="5">
        <f>'02a_DC_Capacity_Alloc'!F919</f>
        <v/>
      </c>
      <c r="G919" s="5">
        <f>B919&amp;"|"&amp;E919&amp;"|"&amp;D919</f>
        <v/>
      </c>
      <c r="H919" s="28">
        <f>'02a_DC_Capacity_Alloc'!H919*'02a_DC_Capacity_Alloc'!I919*'02a_DC_Capacity_Alloc'!J919</f>
        <v/>
      </c>
      <c r="I919" s="6">
        <f>IFERROR(INDEX('02b_DC_Accelerator_Mix'!$F$2:$F$977,MATCH(G919,'02b_DC_Accelerator_Mix'!$A$2:$A$977,0)),0)</f>
        <v/>
      </c>
      <c r="J919" s="6">
        <f>IFERROR(INDEX('02b_DC_Accelerator_Mix'!$G$2:$G$977,MATCH(G919,'02b_DC_Accelerator_Mix'!$A$2:$A$977,0)),0)</f>
        <v/>
      </c>
      <c r="K919" s="6">
        <f>IFERROR(INDEX('02b_DC_Accelerator_Mix'!$H$2:$H$977,MATCH(G919,'02b_DC_Accelerator_Mix'!$A$2:$A$977,0)),0)</f>
        <v/>
      </c>
      <c r="L919" s="6">
        <f>IFERROR(INDEX('02b_DC_Accelerator_Mix'!$I$2:$I$977,MATCH(G919,'02b_DC_Accelerator_Mix'!$A$2:$A$977,0)),0)</f>
        <v/>
      </c>
      <c r="M919" s="6">
        <f>IFERROR(INDEX('02b_DC_Accelerator_Mix'!$J$2:$J$977,MATCH(G919,'02b_DC_Accelerator_Mix'!$A$2:$A$977,0)),0)</f>
        <v/>
      </c>
      <c r="N919" s="6">
        <f>IFERROR(INDEX('02b_DC_Accelerator_Mix'!$K$2:$K$977,MATCH(G919,'02b_DC_Accelerator_Mix'!$A$2:$A$977,0)),0)</f>
        <v/>
      </c>
      <c r="O919" s="6">
        <f>IFERROR(INDEX('02b_DC_Accelerator_Mix'!$L$2:$L$977,MATCH(G919,'02b_DC_Accelerator_Mix'!$A$2:$A$977,0)),0)</f>
        <v/>
      </c>
      <c r="P919" s="6">
        <f>IFERROR(INDEX('02b_DC_Accelerator_Mix'!$M$2:$M$977,MATCH(G919,'02b_DC_Accelerator_Mix'!$A$2:$A$977,0)),0)</f>
        <v/>
      </c>
      <c r="Q919" s="6">
        <f>IFERROR(INDEX('02b_DC_Accelerator_Mix'!$N$2:$N$977,MATCH(G919,'02b_DC_Accelerator_Mix'!$A$2:$A$977,0)),0)</f>
        <v/>
      </c>
      <c r="R919" s="28">
        <f>H919*I919</f>
        <v/>
      </c>
      <c r="S919" s="28">
        <f>H919*J919</f>
        <v/>
      </c>
      <c r="T919" s="28">
        <f>H919*K919</f>
        <v/>
      </c>
      <c r="U919" s="28">
        <f>H919*L919</f>
        <v/>
      </c>
      <c r="V919" s="28">
        <f>H919*M919</f>
        <v/>
      </c>
      <c r="W919" s="28">
        <f>H919*N919</f>
        <v/>
      </c>
      <c r="X919" s="28">
        <f>H919*O919</f>
        <v/>
      </c>
      <c r="Y919" s="28">
        <f>H919*P919</f>
        <v/>
      </c>
      <c r="Z919" s="28">
        <f>H919*Q919</f>
        <v/>
      </c>
      <c r="AA919" s="28">
        <f>SUM(U919:Z919)</f>
        <v/>
      </c>
      <c r="AB919" s="5">
        <f>IF(COUNTIF('02b_DC_Accelerator_Mix'!$A$2:$A$977,G919)&gt;0,"matched","missing_mix")</f>
        <v/>
      </c>
    </row>
    <row r="920">
      <c r="A920" s="5">
        <f>'02a_DC_Capacity_Alloc'!A920</f>
        <v/>
      </c>
      <c r="B920" s="5">
        <f>'02a_DC_Capacity_Alloc'!B920</f>
        <v/>
      </c>
      <c r="C920" s="5">
        <f>'02a_DC_Capacity_Alloc'!C920</f>
        <v/>
      </c>
      <c r="D920" s="5">
        <f>'02a_DC_Capacity_Alloc'!D920</f>
        <v/>
      </c>
      <c r="E920" s="5">
        <f>'02a_DC_Capacity_Alloc'!E920</f>
        <v/>
      </c>
      <c r="F920" s="5">
        <f>'02a_DC_Capacity_Alloc'!F920</f>
        <v/>
      </c>
      <c r="G920" s="5">
        <f>B920&amp;"|"&amp;E920&amp;"|"&amp;D920</f>
        <v/>
      </c>
      <c r="H920" s="28">
        <f>'02a_DC_Capacity_Alloc'!H920*'02a_DC_Capacity_Alloc'!I920*'02a_DC_Capacity_Alloc'!J920</f>
        <v/>
      </c>
      <c r="I920" s="6">
        <f>IFERROR(INDEX('02b_DC_Accelerator_Mix'!$F$2:$F$977,MATCH(G920,'02b_DC_Accelerator_Mix'!$A$2:$A$977,0)),0)</f>
        <v/>
      </c>
      <c r="J920" s="6">
        <f>IFERROR(INDEX('02b_DC_Accelerator_Mix'!$G$2:$G$977,MATCH(G920,'02b_DC_Accelerator_Mix'!$A$2:$A$977,0)),0)</f>
        <v/>
      </c>
      <c r="K920" s="6">
        <f>IFERROR(INDEX('02b_DC_Accelerator_Mix'!$H$2:$H$977,MATCH(G920,'02b_DC_Accelerator_Mix'!$A$2:$A$977,0)),0)</f>
        <v/>
      </c>
      <c r="L920" s="6">
        <f>IFERROR(INDEX('02b_DC_Accelerator_Mix'!$I$2:$I$977,MATCH(G920,'02b_DC_Accelerator_Mix'!$A$2:$A$977,0)),0)</f>
        <v/>
      </c>
      <c r="M920" s="6">
        <f>IFERROR(INDEX('02b_DC_Accelerator_Mix'!$J$2:$J$977,MATCH(G920,'02b_DC_Accelerator_Mix'!$A$2:$A$977,0)),0)</f>
        <v/>
      </c>
      <c r="N920" s="6">
        <f>IFERROR(INDEX('02b_DC_Accelerator_Mix'!$K$2:$K$977,MATCH(G920,'02b_DC_Accelerator_Mix'!$A$2:$A$977,0)),0)</f>
        <v/>
      </c>
      <c r="O920" s="6">
        <f>IFERROR(INDEX('02b_DC_Accelerator_Mix'!$L$2:$L$977,MATCH(G920,'02b_DC_Accelerator_Mix'!$A$2:$A$977,0)),0)</f>
        <v/>
      </c>
      <c r="P920" s="6">
        <f>IFERROR(INDEX('02b_DC_Accelerator_Mix'!$M$2:$M$977,MATCH(G920,'02b_DC_Accelerator_Mix'!$A$2:$A$977,0)),0)</f>
        <v/>
      </c>
      <c r="Q920" s="6">
        <f>IFERROR(INDEX('02b_DC_Accelerator_Mix'!$N$2:$N$977,MATCH(G920,'02b_DC_Accelerator_Mix'!$A$2:$A$977,0)),0)</f>
        <v/>
      </c>
      <c r="R920" s="28">
        <f>H920*I920</f>
        <v/>
      </c>
      <c r="S920" s="28">
        <f>H920*J920</f>
        <v/>
      </c>
      <c r="T920" s="28">
        <f>H920*K920</f>
        <v/>
      </c>
      <c r="U920" s="28">
        <f>H920*L920</f>
        <v/>
      </c>
      <c r="V920" s="28">
        <f>H920*M920</f>
        <v/>
      </c>
      <c r="W920" s="28">
        <f>H920*N920</f>
        <v/>
      </c>
      <c r="X920" s="28">
        <f>H920*O920</f>
        <v/>
      </c>
      <c r="Y920" s="28">
        <f>H920*P920</f>
        <v/>
      </c>
      <c r="Z920" s="28">
        <f>H920*Q920</f>
        <v/>
      </c>
      <c r="AA920" s="28">
        <f>SUM(U920:Z920)</f>
        <v/>
      </c>
      <c r="AB920" s="5">
        <f>IF(COUNTIF('02b_DC_Accelerator_Mix'!$A$2:$A$977,G920)&gt;0,"matched","missing_mix")</f>
        <v/>
      </c>
    </row>
    <row r="921">
      <c r="A921" s="5">
        <f>'02a_DC_Capacity_Alloc'!A921</f>
        <v/>
      </c>
      <c r="B921" s="5">
        <f>'02a_DC_Capacity_Alloc'!B921</f>
        <v/>
      </c>
      <c r="C921" s="5">
        <f>'02a_DC_Capacity_Alloc'!C921</f>
        <v/>
      </c>
      <c r="D921" s="5">
        <f>'02a_DC_Capacity_Alloc'!D921</f>
        <v/>
      </c>
      <c r="E921" s="5">
        <f>'02a_DC_Capacity_Alloc'!E921</f>
        <v/>
      </c>
      <c r="F921" s="5">
        <f>'02a_DC_Capacity_Alloc'!F921</f>
        <v/>
      </c>
      <c r="G921" s="5">
        <f>B921&amp;"|"&amp;E921&amp;"|"&amp;D921</f>
        <v/>
      </c>
      <c r="H921" s="28">
        <f>'02a_DC_Capacity_Alloc'!H921*'02a_DC_Capacity_Alloc'!I921*'02a_DC_Capacity_Alloc'!J921</f>
        <v/>
      </c>
      <c r="I921" s="6">
        <f>IFERROR(INDEX('02b_DC_Accelerator_Mix'!$F$2:$F$977,MATCH(G921,'02b_DC_Accelerator_Mix'!$A$2:$A$977,0)),0)</f>
        <v/>
      </c>
      <c r="J921" s="6">
        <f>IFERROR(INDEX('02b_DC_Accelerator_Mix'!$G$2:$G$977,MATCH(G921,'02b_DC_Accelerator_Mix'!$A$2:$A$977,0)),0)</f>
        <v/>
      </c>
      <c r="K921" s="6">
        <f>IFERROR(INDEX('02b_DC_Accelerator_Mix'!$H$2:$H$977,MATCH(G921,'02b_DC_Accelerator_Mix'!$A$2:$A$977,0)),0)</f>
        <v/>
      </c>
      <c r="L921" s="6">
        <f>IFERROR(INDEX('02b_DC_Accelerator_Mix'!$I$2:$I$977,MATCH(G921,'02b_DC_Accelerator_Mix'!$A$2:$A$977,0)),0)</f>
        <v/>
      </c>
      <c r="M921" s="6">
        <f>IFERROR(INDEX('02b_DC_Accelerator_Mix'!$J$2:$J$977,MATCH(G921,'02b_DC_Accelerator_Mix'!$A$2:$A$977,0)),0)</f>
        <v/>
      </c>
      <c r="N921" s="6">
        <f>IFERROR(INDEX('02b_DC_Accelerator_Mix'!$K$2:$K$977,MATCH(G921,'02b_DC_Accelerator_Mix'!$A$2:$A$977,0)),0)</f>
        <v/>
      </c>
      <c r="O921" s="6">
        <f>IFERROR(INDEX('02b_DC_Accelerator_Mix'!$L$2:$L$977,MATCH(G921,'02b_DC_Accelerator_Mix'!$A$2:$A$977,0)),0)</f>
        <v/>
      </c>
      <c r="P921" s="6">
        <f>IFERROR(INDEX('02b_DC_Accelerator_Mix'!$M$2:$M$977,MATCH(G921,'02b_DC_Accelerator_Mix'!$A$2:$A$977,0)),0)</f>
        <v/>
      </c>
      <c r="Q921" s="6">
        <f>IFERROR(INDEX('02b_DC_Accelerator_Mix'!$N$2:$N$977,MATCH(G921,'02b_DC_Accelerator_Mix'!$A$2:$A$977,0)),0)</f>
        <v/>
      </c>
      <c r="R921" s="28">
        <f>H921*I921</f>
        <v/>
      </c>
      <c r="S921" s="28">
        <f>H921*J921</f>
        <v/>
      </c>
      <c r="T921" s="28">
        <f>H921*K921</f>
        <v/>
      </c>
      <c r="U921" s="28">
        <f>H921*L921</f>
        <v/>
      </c>
      <c r="V921" s="28">
        <f>H921*M921</f>
        <v/>
      </c>
      <c r="W921" s="28">
        <f>H921*N921</f>
        <v/>
      </c>
      <c r="X921" s="28">
        <f>H921*O921</f>
        <v/>
      </c>
      <c r="Y921" s="28">
        <f>H921*P921</f>
        <v/>
      </c>
      <c r="Z921" s="28">
        <f>H921*Q921</f>
        <v/>
      </c>
      <c r="AA921" s="28">
        <f>SUM(U921:Z921)</f>
        <v/>
      </c>
      <c r="AB921" s="5">
        <f>IF(COUNTIF('02b_DC_Accelerator_Mix'!$A$2:$A$977,G921)&gt;0,"matched","missing_mix")</f>
        <v/>
      </c>
    </row>
    <row r="922">
      <c r="A922" s="5">
        <f>'02a_DC_Capacity_Alloc'!A922</f>
        <v/>
      </c>
      <c r="B922" s="5">
        <f>'02a_DC_Capacity_Alloc'!B922</f>
        <v/>
      </c>
      <c r="C922" s="5">
        <f>'02a_DC_Capacity_Alloc'!C922</f>
        <v/>
      </c>
      <c r="D922" s="5">
        <f>'02a_DC_Capacity_Alloc'!D922</f>
        <v/>
      </c>
      <c r="E922" s="5">
        <f>'02a_DC_Capacity_Alloc'!E922</f>
        <v/>
      </c>
      <c r="F922" s="5">
        <f>'02a_DC_Capacity_Alloc'!F922</f>
        <v/>
      </c>
      <c r="G922" s="5">
        <f>B922&amp;"|"&amp;E922&amp;"|"&amp;D922</f>
        <v/>
      </c>
      <c r="H922" s="28">
        <f>'02a_DC_Capacity_Alloc'!H922*'02a_DC_Capacity_Alloc'!I922*'02a_DC_Capacity_Alloc'!J922</f>
        <v/>
      </c>
      <c r="I922" s="6">
        <f>IFERROR(INDEX('02b_DC_Accelerator_Mix'!$F$2:$F$977,MATCH(G922,'02b_DC_Accelerator_Mix'!$A$2:$A$977,0)),0)</f>
        <v/>
      </c>
      <c r="J922" s="6">
        <f>IFERROR(INDEX('02b_DC_Accelerator_Mix'!$G$2:$G$977,MATCH(G922,'02b_DC_Accelerator_Mix'!$A$2:$A$977,0)),0)</f>
        <v/>
      </c>
      <c r="K922" s="6">
        <f>IFERROR(INDEX('02b_DC_Accelerator_Mix'!$H$2:$H$977,MATCH(G922,'02b_DC_Accelerator_Mix'!$A$2:$A$977,0)),0)</f>
        <v/>
      </c>
      <c r="L922" s="6">
        <f>IFERROR(INDEX('02b_DC_Accelerator_Mix'!$I$2:$I$977,MATCH(G922,'02b_DC_Accelerator_Mix'!$A$2:$A$977,0)),0)</f>
        <v/>
      </c>
      <c r="M922" s="6">
        <f>IFERROR(INDEX('02b_DC_Accelerator_Mix'!$J$2:$J$977,MATCH(G922,'02b_DC_Accelerator_Mix'!$A$2:$A$977,0)),0)</f>
        <v/>
      </c>
      <c r="N922" s="6">
        <f>IFERROR(INDEX('02b_DC_Accelerator_Mix'!$K$2:$K$977,MATCH(G922,'02b_DC_Accelerator_Mix'!$A$2:$A$977,0)),0)</f>
        <v/>
      </c>
      <c r="O922" s="6">
        <f>IFERROR(INDEX('02b_DC_Accelerator_Mix'!$L$2:$L$977,MATCH(G922,'02b_DC_Accelerator_Mix'!$A$2:$A$977,0)),0)</f>
        <v/>
      </c>
      <c r="P922" s="6">
        <f>IFERROR(INDEX('02b_DC_Accelerator_Mix'!$M$2:$M$977,MATCH(G922,'02b_DC_Accelerator_Mix'!$A$2:$A$977,0)),0)</f>
        <v/>
      </c>
      <c r="Q922" s="6">
        <f>IFERROR(INDEX('02b_DC_Accelerator_Mix'!$N$2:$N$977,MATCH(G922,'02b_DC_Accelerator_Mix'!$A$2:$A$977,0)),0)</f>
        <v/>
      </c>
      <c r="R922" s="28">
        <f>H922*I922</f>
        <v/>
      </c>
      <c r="S922" s="28">
        <f>H922*J922</f>
        <v/>
      </c>
      <c r="T922" s="28">
        <f>H922*K922</f>
        <v/>
      </c>
      <c r="U922" s="28">
        <f>H922*L922</f>
        <v/>
      </c>
      <c r="V922" s="28">
        <f>H922*M922</f>
        <v/>
      </c>
      <c r="W922" s="28">
        <f>H922*N922</f>
        <v/>
      </c>
      <c r="X922" s="28">
        <f>H922*O922</f>
        <v/>
      </c>
      <c r="Y922" s="28">
        <f>H922*P922</f>
        <v/>
      </c>
      <c r="Z922" s="28">
        <f>H922*Q922</f>
        <v/>
      </c>
      <c r="AA922" s="28">
        <f>SUM(U922:Z922)</f>
        <v/>
      </c>
      <c r="AB922" s="5">
        <f>IF(COUNTIF('02b_DC_Accelerator_Mix'!$A$2:$A$977,G922)&gt;0,"matched","missing_mix")</f>
        <v/>
      </c>
    </row>
    <row r="923">
      <c r="A923" s="5">
        <f>'02a_DC_Capacity_Alloc'!A923</f>
        <v/>
      </c>
      <c r="B923" s="5">
        <f>'02a_DC_Capacity_Alloc'!B923</f>
        <v/>
      </c>
      <c r="C923" s="5">
        <f>'02a_DC_Capacity_Alloc'!C923</f>
        <v/>
      </c>
      <c r="D923" s="5">
        <f>'02a_DC_Capacity_Alloc'!D923</f>
        <v/>
      </c>
      <c r="E923" s="5">
        <f>'02a_DC_Capacity_Alloc'!E923</f>
        <v/>
      </c>
      <c r="F923" s="5">
        <f>'02a_DC_Capacity_Alloc'!F923</f>
        <v/>
      </c>
      <c r="G923" s="5">
        <f>B923&amp;"|"&amp;E923&amp;"|"&amp;D923</f>
        <v/>
      </c>
      <c r="H923" s="28">
        <f>'02a_DC_Capacity_Alloc'!H923*'02a_DC_Capacity_Alloc'!I923*'02a_DC_Capacity_Alloc'!J923</f>
        <v/>
      </c>
      <c r="I923" s="6">
        <f>IFERROR(INDEX('02b_DC_Accelerator_Mix'!$F$2:$F$977,MATCH(G923,'02b_DC_Accelerator_Mix'!$A$2:$A$977,0)),0)</f>
        <v/>
      </c>
      <c r="J923" s="6">
        <f>IFERROR(INDEX('02b_DC_Accelerator_Mix'!$G$2:$G$977,MATCH(G923,'02b_DC_Accelerator_Mix'!$A$2:$A$977,0)),0)</f>
        <v/>
      </c>
      <c r="K923" s="6">
        <f>IFERROR(INDEX('02b_DC_Accelerator_Mix'!$H$2:$H$977,MATCH(G923,'02b_DC_Accelerator_Mix'!$A$2:$A$977,0)),0)</f>
        <v/>
      </c>
      <c r="L923" s="6">
        <f>IFERROR(INDEX('02b_DC_Accelerator_Mix'!$I$2:$I$977,MATCH(G923,'02b_DC_Accelerator_Mix'!$A$2:$A$977,0)),0)</f>
        <v/>
      </c>
      <c r="M923" s="6">
        <f>IFERROR(INDEX('02b_DC_Accelerator_Mix'!$J$2:$J$977,MATCH(G923,'02b_DC_Accelerator_Mix'!$A$2:$A$977,0)),0)</f>
        <v/>
      </c>
      <c r="N923" s="6">
        <f>IFERROR(INDEX('02b_DC_Accelerator_Mix'!$K$2:$K$977,MATCH(G923,'02b_DC_Accelerator_Mix'!$A$2:$A$977,0)),0)</f>
        <v/>
      </c>
      <c r="O923" s="6">
        <f>IFERROR(INDEX('02b_DC_Accelerator_Mix'!$L$2:$L$977,MATCH(G923,'02b_DC_Accelerator_Mix'!$A$2:$A$977,0)),0)</f>
        <v/>
      </c>
      <c r="P923" s="6">
        <f>IFERROR(INDEX('02b_DC_Accelerator_Mix'!$M$2:$M$977,MATCH(G923,'02b_DC_Accelerator_Mix'!$A$2:$A$977,0)),0)</f>
        <v/>
      </c>
      <c r="Q923" s="6">
        <f>IFERROR(INDEX('02b_DC_Accelerator_Mix'!$N$2:$N$977,MATCH(G923,'02b_DC_Accelerator_Mix'!$A$2:$A$977,0)),0)</f>
        <v/>
      </c>
      <c r="R923" s="28">
        <f>H923*I923</f>
        <v/>
      </c>
      <c r="S923" s="28">
        <f>H923*J923</f>
        <v/>
      </c>
      <c r="T923" s="28">
        <f>H923*K923</f>
        <v/>
      </c>
      <c r="U923" s="28">
        <f>H923*L923</f>
        <v/>
      </c>
      <c r="V923" s="28">
        <f>H923*M923</f>
        <v/>
      </c>
      <c r="W923" s="28">
        <f>H923*N923</f>
        <v/>
      </c>
      <c r="X923" s="28">
        <f>H923*O923</f>
        <v/>
      </c>
      <c r="Y923" s="28">
        <f>H923*P923</f>
        <v/>
      </c>
      <c r="Z923" s="28">
        <f>H923*Q923</f>
        <v/>
      </c>
      <c r="AA923" s="28">
        <f>SUM(U923:Z923)</f>
        <v/>
      </c>
      <c r="AB923" s="5">
        <f>IF(COUNTIF('02b_DC_Accelerator_Mix'!$A$2:$A$977,G923)&gt;0,"matched","missing_mix")</f>
        <v/>
      </c>
    </row>
    <row r="924">
      <c r="A924" s="5">
        <f>'02a_DC_Capacity_Alloc'!A924</f>
        <v/>
      </c>
      <c r="B924" s="5">
        <f>'02a_DC_Capacity_Alloc'!B924</f>
        <v/>
      </c>
      <c r="C924" s="5">
        <f>'02a_DC_Capacity_Alloc'!C924</f>
        <v/>
      </c>
      <c r="D924" s="5">
        <f>'02a_DC_Capacity_Alloc'!D924</f>
        <v/>
      </c>
      <c r="E924" s="5">
        <f>'02a_DC_Capacity_Alloc'!E924</f>
        <v/>
      </c>
      <c r="F924" s="5">
        <f>'02a_DC_Capacity_Alloc'!F924</f>
        <v/>
      </c>
      <c r="G924" s="5">
        <f>B924&amp;"|"&amp;E924&amp;"|"&amp;D924</f>
        <v/>
      </c>
      <c r="H924" s="28">
        <f>'02a_DC_Capacity_Alloc'!H924*'02a_DC_Capacity_Alloc'!I924*'02a_DC_Capacity_Alloc'!J924</f>
        <v/>
      </c>
      <c r="I924" s="6">
        <f>IFERROR(INDEX('02b_DC_Accelerator_Mix'!$F$2:$F$977,MATCH(G924,'02b_DC_Accelerator_Mix'!$A$2:$A$977,0)),0)</f>
        <v/>
      </c>
      <c r="J924" s="6">
        <f>IFERROR(INDEX('02b_DC_Accelerator_Mix'!$G$2:$G$977,MATCH(G924,'02b_DC_Accelerator_Mix'!$A$2:$A$977,0)),0)</f>
        <v/>
      </c>
      <c r="K924" s="6">
        <f>IFERROR(INDEX('02b_DC_Accelerator_Mix'!$H$2:$H$977,MATCH(G924,'02b_DC_Accelerator_Mix'!$A$2:$A$977,0)),0)</f>
        <v/>
      </c>
      <c r="L924" s="6">
        <f>IFERROR(INDEX('02b_DC_Accelerator_Mix'!$I$2:$I$977,MATCH(G924,'02b_DC_Accelerator_Mix'!$A$2:$A$977,0)),0)</f>
        <v/>
      </c>
      <c r="M924" s="6">
        <f>IFERROR(INDEX('02b_DC_Accelerator_Mix'!$J$2:$J$977,MATCH(G924,'02b_DC_Accelerator_Mix'!$A$2:$A$977,0)),0)</f>
        <v/>
      </c>
      <c r="N924" s="6">
        <f>IFERROR(INDEX('02b_DC_Accelerator_Mix'!$K$2:$K$977,MATCH(G924,'02b_DC_Accelerator_Mix'!$A$2:$A$977,0)),0)</f>
        <v/>
      </c>
      <c r="O924" s="6">
        <f>IFERROR(INDEX('02b_DC_Accelerator_Mix'!$L$2:$L$977,MATCH(G924,'02b_DC_Accelerator_Mix'!$A$2:$A$977,0)),0)</f>
        <v/>
      </c>
      <c r="P924" s="6">
        <f>IFERROR(INDEX('02b_DC_Accelerator_Mix'!$M$2:$M$977,MATCH(G924,'02b_DC_Accelerator_Mix'!$A$2:$A$977,0)),0)</f>
        <v/>
      </c>
      <c r="Q924" s="6">
        <f>IFERROR(INDEX('02b_DC_Accelerator_Mix'!$N$2:$N$977,MATCH(G924,'02b_DC_Accelerator_Mix'!$A$2:$A$977,0)),0)</f>
        <v/>
      </c>
      <c r="R924" s="28">
        <f>H924*I924</f>
        <v/>
      </c>
      <c r="S924" s="28">
        <f>H924*J924</f>
        <v/>
      </c>
      <c r="T924" s="28">
        <f>H924*K924</f>
        <v/>
      </c>
      <c r="U924" s="28">
        <f>H924*L924</f>
        <v/>
      </c>
      <c r="V924" s="28">
        <f>H924*M924</f>
        <v/>
      </c>
      <c r="W924" s="28">
        <f>H924*N924</f>
        <v/>
      </c>
      <c r="X924" s="28">
        <f>H924*O924</f>
        <v/>
      </c>
      <c r="Y924" s="28">
        <f>H924*P924</f>
        <v/>
      </c>
      <c r="Z924" s="28">
        <f>H924*Q924</f>
        <v/>
      </c>
      <c r="AA924" s="28">
        <f>SUM(U924:Z924)</f>
        <v/>
      </c>
      <c r="AB924" s="5">
        <f>IF(COUNTIF('02b_DC_Accelerator_Mix'!$A$2:$A$977,G924)&gt;0,"matched","missing_mix")</f>
        <v/>
      </c>
    </row>
    <row r="925">
      <c r="A925" s="5">
        <f>'02a_DC_Capacity_Alloc'!A925</f>
        <v/>
      </c>
      <c r="B925" s="5">
        <f>'02a_DC_Capacity_Alloc'!B925</f>
        <v/>
      </c>
      <c r="C925" s="5">
        <f>'02a_DC_Capacity_Alloc'!C925</f>
        <v/>
      </c>
      <c r="D925" s="5">
        <f>'02a_DC_Capacity_Alloc'!D925</f>
        <v/>
      </c>
      <c r="E925" s="5">
        <f>'02a_DC_Capacity_Alloc'!E925</f>
        <v/>
      </c>
      <c r="F925" s="5">
        <f>'02a_DC_Capacity_Alloc'!F925</f>
        <v/>
      </c>
      <c r="G925" s="5">
        <f>B925&amp;"|"&amp;E925&amp;"|"&amp;D925</f>
        <v/>
      </c>
      <c r="H925" s="28">
        <f>'02a_DC_Capacity_Alloc'!H925*'02a_DC_Capacity_Alloc'!I925*'02a_DC_Capacity_Alloc'!J925</f>
        <v/>
      </c>
      <c r="I925" s="6">
        <f>IFERROR(INDEX('02b_DC_Accelerator_Mix'!$F$2:$F$977,MATCH(G925,'02b_DC_Accelerator_Mix'!$A$2:$A$977,0)),0)</f>
        <v/>
      </c>
      <c r="J925" s="6">
        <f>IFERROR(INDEX('02b_DC_Accelerator_Mix'!$G$2:$G$977,MATCH(G925,'02b_DC_Accelerator_Mix'!$A$2:$A$977,0)),0)</f>
        <v/>
      </c>
      <c r="K925" s="6">
        <f>IFERROR(INDEX('02b_DC_Accelerator_Mix'!$H$2:$H$977,MATCH(G925,'02b_DC_Accelerator_Mix'!$A$2:$A$977,0)),0)</f>
        <v/>
      </c>
      <c r="L925" s="6">
        <f>IFERROR(INDEX('02b_DC_Accelerator_Mix'!$I$2:$I$977,MATCH(G925,'02b_DC_Accelerator_Mix'!$A$2:$A$977,0)),0)</f>
        <v/>
      </c>
      <c r="M925" s="6">
        <f>IFERROR(INDEX('02b_DC_Accelerator_Mix'!$J$2:$J$977,MATCH(G925,'02b_DC_Accelerator_Mix'!$A$2:$A$977,0)),0)</f>
        <v/>
      </c>
      <c r="N925" s="6">
        <f>IFERROR(INDEX('02b_DC_Accelerator_Mix'!$K$2:$K$977,MATCH(G925,'02b_DC_Accelerator_Mix'!$A$2:$A$977,0)),0)</f>
        <v/>
      </c>
      <c r="O925" s="6">
        <f>IFERROR(INDEX('02b_DC_Accelerator_Mix'!$L$2:$L$977,MATCH(G925,'02b_DC_Accelerator_Mix'!$A$2:$A$977,0)),0)</f>
        <v/>
      </c>
      <c r="P925" s="6">
        <f>IFERROR(INDEX('02b_DC_Accelerator_Mix'!$M$2:$M$977,MATCH(G925,'02b_DC_Accelerator_Mix'!$A$2:$A$977,0)),0)</f>
        <v/>
      </c>
      <c r="Q925" s="6">
        <f>IFERROR(INDEX('02b_DC_Accelerator_Mix'!$N$2:$N$977,MATCH(G925,'02b_DC_Accelerator_Mix'!$A$2:$A$977,0)),0)</f>
        <v/>
      </c>
      <c r="R925" s="28">
        <f>H925*I925</f>
        <v/>
      </c>
      <c r="S925" s="28">
        <f>H925*J925</f>
        <v/>
      </c>
      <c r="T925" s="28">
        <f>H925*K925</f>
        <v/>
      </c>
      <c r="U925" s="28">
        <f>H925*L925</f>
        <v/>
      </c>
      <c r="V925" s="28">
        <f>H925*M925</f>
        <v/>
      </c>
      <c r="W925" s="28">
        <f>H925*N925</f>
        <v/>
      </c>
      <c r="X925" s="28">
        <f>H925*O925</f>
        <v/>
      </c>
      <c r="Y925" s="28">
        <f>H925*P925</f>
        <v/>
      </c>
      <c r="Z925" s="28">
        <f>H925*Q925</f>
        <v/>
      </c>
      <c r="AA925" s="28">
        <f>SUM(U925:Z925)</f>
        <v/>
      </c>
      <c r="AB925" s="5">
        <f>IF(COUNTIF('02b_DC_Accelerator_Mix'!$A$2:$A$977,G925)&gt;0,"matched","missing_mix")</f>
        <v/>
      </c>
    </row>
    <row r="926">
      <c r="A926" s="5">
        <f>'02a_DC_Capacity_Alloc'!A926</f>
        <v/>
      </c>
      <c r="B926" s="5">
        <f>'02a_DC_Capacity_Alloc'!B926</f>
        <v/>
      </c>
      <c r="C926" s="5">
        <f>'02a_DC_Capacity_Alloc'!C926</f>
        <v/>
      </c>
      <c r="D926" s="5">
        <f>'02a_DC_Capacity_Alloc'!D926</f>
        <v/>
      </c>
      <c r="E926" s="5">
        <f>'02a_DC_Capacity_Alloc'!E926</f>
        <v/>
      </c>
      <c r="F926" s="5">
        <f>'02a_DC_Capacity_Alloc'!F926</f>
        <v/>
      </c>
      <c r="G926" s="5">
        <f>B926&amp;"|"&amp;E926&amp;"|"&amp;D926</f>
        <v/>
      </c>
      <c r="H926" s="28">
        <f>'02a_DC_Capacity_Alloc'!H926*'02a_DC_Capacity_Alloc'!I926*'02a_DC_Capacity_Alloc'!J926</f>
        <v/>
      </c>
      <c r="I926" s="6">
        <f>IFERROR(INDEX('02b_DC_Accelerator_Mix'!$F$2:$F$977,MATCH(G926,'02b_DC_Accelerator_Mix'!$A$2:$A$977,0)),0)</f>
        <v/>
      </c>
      <c r="J926" s="6">
        <f>IFERROR(INDEX('02b_DC_Accelerator_Mix'!$G$2:$G$977,MATCH(G926,'02b_DC_Accelerator_Mix'!$A$2:$A$977,0)),0)</f>
        <v/>
      </c>
      <c r="K926" s="6">
        <f>IFERROR(INDEX('02b_DC_Accelerator_Mix'!$H$2:$H$977,MATCH(G926,'02b_DC_Accelerator_Mix'!$A$2:$A$977,0)),0)</f>
        <v/>
      </c>
      <c r="L926" s="6">
        <f>IFERROR(INDEX('02b_DC_Accelerator_Mix'!$I$2:$I$977,MATCH(G926,'02b_DC_Accelerator_Mix'!$A$2:$A$977,0)),0)</f>
        <v/>
      </c>
      <c r="M926" s="6">
        <f>IFERROR(INDEX('02b_DC_Accelerator_Mix'!$J$2:$J$977,MATCH(G926,'02b_DC_Accelerator_Mix'!$A$2:$A$977,0)),0)</f>
        <v/>
      </c>
      <c r="N926" s="6">
        <f>IFERROR(INDEX('02b_DC_Accelerator_Mix'!$K$2:$K$977,MATCH(G926,'02b_DC_Accelerator_Mix'!$A$2:$A$977,0)),0)</f>
        <v/>
      </c>
      <c r="O926" s="6">
        <f>IFERROR(INDEX('02b_DC_Accelerator_Mix'!$L$2:$L$977,MATCH(G926,'02b_DC_Accelerator_Mix'!$A$2:$A$977,0)),0)</f>
        <v/>
      </c>
      <c r="P926" s="6">
        <f>IFERROR(INDEX('02b_DC_Accelerator_Mix'!$M$2:$M$977,MATCH(G926,'02b_DC_Accelerator_Mix'!$A$2:$A$977,0)),0)</f>
        <v/>
      </c>
      <c r="Q926" s="6">
        <f>IFERROR(INDEX('02b_DC_Accelerator_Mix'!$N$2:$N$977,MATCH(G926,'02b_DC_Accelerator_Mix'!$A$2:$A$977,0)),0)</f>
        <v/>
      </c>
      <c r="R926" s="28">
        <f>H926*I926</f>
        <v/>
      </c>
      <c r="S926" s="28">
        <f>H926*J926</f>
        <v/>
      </c>
      <c r="T926" s="28">
        <f>H926*K926</f>
        <v/>
      </c>
      <c r="U926" s="28">
        <f>H926*L926</f>
        <v/>
      </c>
      <c r="V926" s="28">
        <f>H926*M926</f>
        <v/>
      </c>
      <c r="W926" s="28">
        <f>H926*N926</f>
        <v/>
      </c>
      <c r="X926" s="28">
        <f>H926*O926</f>
        <v/>
      </c>
      <c r="Y926" s="28">
        <f>H926*P926</f>
        <v/>
      </c>
      <c r="Z926" s="28">
        <f>H926*Q926</f>
        <v/>
      </c>
      <c r="AA926" s="28">
        <f>SUM(U926:Z926)</f>
        <v/>
      </c>
      <c r="AB926" s="5">
        <f>IF(COUNTIF('02b_DC_Accelerator_Mix'!$A$2:$A$977,G926)&gt;0,"matched","missing_mix")</f>
        <v/>
      </c>
    </row>
    <row r="927">
      <c r="A927" s="5">
        <f>'02a_DC_Capacity_Alloc'!A927</f>
        <v/>
      </c>
      <c r="B927" s="5">
        <f>'02a_DC_Capacity_Alloc'!B927</f>
        <v/>
      </c>
      <c r="C927" s="5">
        <f>'02a_DC_Capacity_Alloc'!C927</f>
        <v/>
      </c>
      <c r="D927" s="5">
        <f>'02a_DC_Capacity_Alloc'!D927</f>
        <v/>
      </c>
      <c r="E927" s="5">
        <f>'02a_DC_Capacity_Alloc'!E927</f>
        <v/>
      </c>
      <c r="F927" s="5">
        <f>'02a_DC_Capacity_Alloc'!F927</f>
        <v/>
      </c>
      <c r="G927" s="5">
        <f>B927&amp;"|"&amp;E927&amp;"|"&amp;D927</f>
        <v/>
      </c>
      <c r="H927" s="28">
        <f>'02a_DC_Capacity_Alloc'!H927*'02a_DC_Capacity_Alloc'!I927*'02a_DC_Capacity_Alloc'!J927</f>
        <v/>
      </c>
      <c r="I927" s="6">
        <f>IFERROR(INDEX('02b_DC_Accelerator_Mix'!$F$2:$F$977,MATCH(G927,'02b_DC_Accelerator_Mix'!$A$2:$A$977,0)),0)</f>
        <v/>
      </c>
      <c r="J927" s="6">
        <f>IFERROR(INDEX('02b_DC_Accelerator_Mix'!$G$2:$G$977,MATCH(G927,'02b_DC_Accelerator_Mix'!$A$2:$A$977,0)),0)</f>
        <v/>
      </c>
      <c r="K927" s="6">
        <f>IFERROR(INDEX('02b_DC_Accelerator_Mix'!$H$2:$H$977,MATCH(G927,'02b_DC_Accelerator_Mix'!$A$2:$A$977,0)),0)</f>
        <v/>
      </c>
      <c r="L927" s="6">
        <f>IFERROR(INDEX('02b_DC_Accelerator_Mix'!$I$2:$I$977,MATCH(G927,'02b_DC_Accelerator_Mix'!$A$2:$A$977,0)),0)</f>
        <v/>
      </c>
      <c r="M927" s="6">
        <f>IFERROR(INDEX('02b_DC_Accelerator_Mix'!$J$2:$J$977,MATCH(G927,'02b_DC_Accelerator_Mix'!$A$2:$A$977,0)),0)</f>
        <v/>
      </c>
      <c r="N927" s="6">
        <f>IFERROR(INDEX('02b_DC_Accelerator_Mix'!$K$2:$K$977,MATCH(G927,'02b_DC_Accelerator_Mix'!$A$2:$A$977,0)),0)</f>
        <v/>
      </c>
      <c r="O927" s="6">
        <f>IFERROR(INDEX('02b_DC_Accelerator_Mix'!$L$2:$L$977,MATCH(G927,'02b_DC_Accelerator_Mix'!$A$2:$A$977,0)),0)</f>
        <v/>
      </c>
      <c r="P927" s="6">
        <f>IFERROR(INDEX('02b_DC_Accelerator_Mix'!$M$2:$M$977,MATCH(G927,'02b_DC_Accelerator_Mix'!$A$2:$A$977,0)),0)</f>
        <v/>
      </c>
      <c r="Q927" s="6">
        <f>IFERROR(INDEX('02b_DC_Accelerator_Mix'!$N$2:$N$977,MATCH(G927,'02b_DC_Accelerator_Mix'!$A$2:$A$977,0)),0)</f>
        <v/>
      </c>
      <c r="R927" s="28">
        <f>H927*I927</f>
        <v/>
      </c>
      <c r="S927" s="28">
        <f>H927*J927</f>
        <v/>
      </c>
      <c r="T927" s="28">
        <f>H927*K927</f>
        <v/>
      </c>
      <c r="U927" s="28">
        <f>H927*L927</f>
        <v/>
      </c>
      <c r="V927" s="28">
        <f>H927*M927</f>
        <v/>
      </c>
      <c r="W927" s="28">
        <f>H927*N927</f>
        <v/>
      </c>
      <c r="X927" s="28">
        <f>H927*O927</f>
        <v/>
      </c>
      <c r="Y927" s="28">
        <f>H927*P927</f>
        <v/>
      </c>
      <c r="Z927" s="28">
        <f>H927*Q927</f>
        <v/>
      </c>
      <c r="AA927" s="28">
        <f>SUM(U927:Z927)</f>
        <v/>
      </c>
      <c r="AB927" s="5">
        <f>IF(COUNTIF('02b_DC_Accelerator_Mix'!$A$2:$A$977,G927)&gt;0,"matched","missing_mix")</f>
        <v/>
      </c>
    </row>
    <row r="928">
      <c r="A928" s="5">
        <f>'02a_DC_Capacity_Alloc'!A928</f>
        <v/>
      </c>
      <c r="B928" s="5">
        <f>'02a_DC_Capacity_Alloc'!B928</f>
        <v/>
      </c>
      <c r="C928" s="5">
        <f>'02a_DC_Capacity_Alloc'!C928</f>
        <v/>
      </c>
      <c r="D928" s="5">
        <f>'02a_DC_Capacity_Alloc'!D928</f>
        <v/>
      </c>
      <c r="E928" s="5">
        <f>'02a_DC_Capacity_Alloc'!E928</f>
        <v/>
      </c>
      <c r="F928" s="5">
        <f>'02a_DC_Capacity_Alloc'!F928</f>
        <v/>
      </c>
      <c r="G928" s="5">
        <f>B928&amp;"|"&amp;E928&amp;"|"&amp;D928</f>
        <v/>
      </c>
      <c r="H928" s="28">
        <f>'02a_DC_Capacity_Alloc'!H928*'02a_DC_Capacity_Alloc'!I928*'02a_DC_Capacity_Alloc'!J928</f>
        <v/>
      </c>
      <c r="I928" s="6">
        <f>IFERROR(INDEX('02b_DC_Accelerator_Mix'!$F$2:$F$977,MATCH(G928,'02b_DC_Accelerator_Mix'!$A$2:$A$977,0)),0)</f>
        <v/>
      </c>
      <c r="J928" s="6">
        <f>IFERROR(INDEX('02b_DC_Accelerator_Mix'!$G$2:$G$977,MATCH(G928,'02b_DC_Accelerator_Mix'!$A$2:$A$977,0)),0)</f>
        <v/>
      </c>
      <c r="K928" s="6">
        <f>IFERROR(INDEX('02b_DC_Accelerator_Mix'!$H$2:$H$977,MATCH(G928,'02b_DC_Accelerator_Mix'!$A$2:$A$977,0)),0)</f>
        <v/>
      </c>
      <c r="L928" s="6">
        <f>IFERROR(INDEX('02b_DC_Accelerator_Mix'!$I$2:$I$977,MATCH(G928,'02b_DC_Accelerator_Mix'!$A$2:$A$977,0)),0)</f>
        <v/>
      </c>
      <c r="M928" s="6">
        <f>IFERROR(INDEX('02b_DC_Accelerator_Mix'!$J$2:$J$977,MATCH(G928,'02b_DC_Accelerator_Mix'!$A$2:$A$977,0)),0)</f>
        <v/>
      </c>
      <c r="N928" s="6">
        <f>IFERROR(INDEX('02b_DC_Accelerator_Mix'!$K$2:$K$977,MATCH(G928,'02b_DC_Accelerator_Mix'!$A$2:$A$977,0)),0)</f>
        <v/>
      </c>
      <c r="O928" s="6">
        <f>IFERROR(INDEX('02b_DC_Accelerator_Mix'!$L$2:$L$977,MATCH(G928,'02b_DC_Accelerator_Mix'!$A$2:$A$977,0)),0)</f>
        <v/>
      </c>
      <c r="P928" s="6">
        <f>IFERROR(INDEX('02b_DC_Accelerator_Mix'!$M$2:$M$977,MATCH(G928,'02b_DC_Accelerator_Mix'!$A$2:$A$977,0)),0)</f>
        <v/>
      </c>
      <c r="Q928" s="6">
        <f>IFERROR(INDEX('02b_DC_Accelerator_Mix'!$N$2:$N$977,MATCH(G928,'02b_DC_Accelerator_Mix'!$A$2:$A$977,0)),0)</f>
        <v/>
      </c>
      <c r="R928" s="28">
        <f>H928*I928</f>
        <v/>
      </c>
      <c r="S928" s="28">
        <f>H928*J928</f>
        <v/>
      </c>
      <c r="T928" s="28">
        <f>H928*K928</f>
        <v/>
      </c>
      <c r="U928" s="28">
        <f>H928*L928</f>
        <v/>
      </c>
      <c r="V928" s="28">
        <f>H928*M928</f>
        <v/>
      </c>
      <c r="W928" s="28">
        <f>H928*N928</f>
        <v/>
      </c>
      <c r="X928" s="28">
        <f>H928*O928</f>
        <v/>
      </c>
      <c r="Y928" s="28">
        <f>H928*P928</f>
        <v/>
      </c>
      <c r="Z928" s="28">
        <f>H928*Q928</f>
        <v/>
      </c>
      <c r="AA928" s="28">
        <f>SUM(U928:Z928)</f>
        <v/>
      </c>
      <c r="AB928" s="5">
        <f>IF(COUNTIF('02b_DC_Accelerator_Mix'!$A$2:$A$977,G928)&gt;0,"matched","missing_mix")</f>
        <v/>
      </c>
    </row>
    <row r="929">
      <c r="A929" s="5">
        <f>'02a_DC_Capacity_Alloc'!A929</f>
        <v/>
      </c>
      <c r="B929" s="5">
        <f>'02a_DC_Capacity_Alloc'!B929</f>
        <v/>
      </c>
      <c r="C929" s="5">
        <f>'02a_DC_Capacity_Alloc'!C929</f>
        <v/>
      </c>
      <c r="D929" s="5">
        <f>'02a_DC_Capacity_Alloc'!D929</f>
        <v/>
      </c>
      <c r="E929" s="5">
        <f>'02a_DC_Capacity_Alloc'!E929</f>
        <v/>
      </c>
      <c r="F929" s="5">
        <f>'02a_DC_Capacity_Alloc'!F929</f>
        <v/>
      </c>
      <c r="G929" s="5">
        <f>B929&amp;"|"&amp;E929&amp;"|"&amp;D929</f>
        <v/>
      </c>
      <c r="H929" s="28">
        <f>'02a_DC_Capacity_Alloc'!H929*'02a_DC_Capacity_Alloc'!I929*'02a_DC_Capacity_Alloc'!J929</f>
        <v/>
      </c>
      <c r="I929" s="6">
        <f>IFERROR(INDEX('02b_DC_Accelerator_Mix'!$F$2:$F$977,MATCH(G929,'02b_DC_Accelerator_Mix'!$A$2:$A$977,0)),0)</f>
        <v/>
      </c>
      <c r="J929" s="6">
        <f>IFERROR(INDEX('02b_DC_Accelerator_Mix'!$G$2:$G$977,MATCH(G929,'02b_DC_Accelerator_Mix'!$A$2:$A$977,0)),0)</f>
        <v/>
      </c>
      <c r="K929" s="6">
        <f>IFERROR(INDEX('02b_DC_Accelerator_Mix'!$H$2:$H$977,MATCH(G929,'02b_DC_Accelerator_Mix'!$A$2:$A$977,0)),0)</f>
        <v/>
      </c>
      <c r="L929" s="6">
        <f>IFERROR(INDEX('02b_DC_Accelerator_Mix'!$I$2:$I$977,MATCH(G929,'02b_DC_Accelerator_Mix'!$A$2:$A$977,0)),0)</f>
        <v/>
      </c>
      <c r="M929" s="6">
        <f>IFERROR(INDEX('02b_DC_Accelerator_Mix'!$J$2:$J$977,MATCH(G929,'02b_DC_Accelerator_Mix'!$A$2:$A$977,0)),0)</f>
        <v/>
      </c>
      <c r="N929" s="6">
        <f>IFERROR(INDEX('02b_DC_Accelerator_Mix'!$K$2:$K$977,MATCH(G929,'02b_DC_Accelerator_Mix'!$A$2:$A$977,0)),0)</f>
        <v/>
      </c>
      <c r="O929" s="6">
        <f>IFERROR(INDEX('02b_DC_Accelerator_Mix'!$L$2:$L$977,MATCH(G929,'02b_DC_Accelerator_Mix'!$A$2:$A$977,0)),0)</f>
        <v/>
      </c>
      <c r="P929" s="6">
        <f>IFERROR(INDEX('02b_DC_Accelerator_Mix'!$M$2:$M$977,MATCH(G929,'02b_DC_Accelerator_Mix'!$A$2:$A$977,0)),0)</f>
        <v/>
      </c>
      <c r="Q929" s="6">
        <f>IFERROR(INDEX('02b_DC_Accelerator_Mix'!$N$2:$N$977,MATCH(G929,'02b_DC_Accelerator_Mix'!$A$2:$A$977,0)),0)</f>
        <v/>
      </c>
      <c r="R929" s="28">
        <f>H929*I929</f>
        <v/>
      </c>
      <c r="S929" s="28">
        <f>H929*J929</f>
        <v/>
      </c>
      <c r="T929" s="28">
        <f>H929*K929</f>
        <v/>
      </c>
      <c r="U929" s="28">
        <f>H929*L929</f>
        <v/>
      </c>
      <c r="V929" s="28">
        <f>H929*M929</f>
        <v/>
      </c>
      <c r="W929" s="28">
        <f>H929*N929</f>
        <v/>
      </c>
      <c r="X929" s="28">
        <f>H929*O929</f>
        <v/>
      </c>
      <c r="Y929" s="28">
        <f>H929*P929</f>
        <v/>
      </c>
      <c r="Z929" s="28">
        <f>H929*Q929</f>
        <v/>
      </c>
      <c r="AA929" s="28">
        <f>SUM(U929:Z929)</f>
        <v/>
      </c>
      <c r="AB929" s="5">
        <f>IF(COUNTIF('02b_DC_Accelerator_Mix'!$A$2:$A$977,G929)&gt;0,"matched","missing_mix")</f>
        <v/>
      </c>
    </row>
    <row r="930">
      <c r="A930" s="5">
        <f>'02a_DC_Capacity_Alloc'!A930</f>
        <v/>
      </c>
      <c r="B930" s="5">
        <f>'02a_DC_Capacity_Alloc'!B930</f>
        <v/>
      </c>
      <c r="C930" s="5">
        <f>'02a_DC_Capacity_Alloc'!C930</f>
        <v/>
      </c>
      <c r="D930" s="5">
        <f>'02a_DC_Capacity_Alloc'!D930</f>
        <v/>
      </c>
      <c r="E930" s="5">
        <f>'02a_DC_Capacity_Alloc'!E930</f>
        <v/>
      </c>
      <c r="F930" s="5">
        <f>'02a_DC_Capacity_Alloc'!F930</f>
        <v/>
      </c>
      <c r="G930" s="5">
        <f>B930&amp;"|"&amp;E930&amp;"|"&amp;D930</f>
        <v/>
      </c>
      <c r="H930" s="28">
        <f>'02a_DC_Capacity_Alloc'!H930*'02a_DC_Capacity_Alloc'!I930*'02a_DC_Capacity_Alloc'!J930</f>
        <v/>
      </c>
      <c r="I930" s="6">
        <f>IFERROR(INDEX('02b_DC_Accelerator_Mix'!$F$2:$F$977,MATCH(G930,'02b_DC_Accelerator_Mix'!$A$2:$A$977,0)),0)</f>
        <v/>
      </c>
      <c r="J930" s="6">
        <f>IFERROR(INDEX('02b_DC_Accelerator_Mix'!$G$2:$G$977,MATCH(G930,'02b_DC_Accelerator_Mix'!$A$2:$A$977,0)),0)</f>
        <v/>
      </c>
      <c r="K930" s="6">
        <f>IFERROR(INDEX('02b_DC_Accelerator_Mix'!$H$2:$H$977,MATCH(G930,'02b_DC_Accelerator_Mix'!$A$2:$A$977,0)),0)</f>
        <v/>
      </c>
      <c r="L930" s="6">
        <f>IFERROR(INDEX('02b_DC_Accelerator_Mix'!$I$2:$I$977,MATCH(G930,'02b_DC_Accelerator_Mix'!$A$2:$A$977,0)),0)</f>
        <v/>
      </c>
      <c r="M930" s="6">
        <f>IFERROR(INDEX('02b_DC_Accelerator_Mix'!$J$2:$J$977,MATCH(G930,'02b_DC_Accelerator_Mix'!$A$2:$A$977,0)),0)</f>
        <v/>
      </c>
      <c r="N930" s="6">
        <f>IFERROR(INDEX('02b_DC_Accelerator_Mix'!$K$2:$K$977,MATCH(G930,'02b_DC_Accelerator_Mix'!$A$2:$A$977,0)),0)</f>
        <v/>
      </c>
      <c r="O930" s="6">
        <f>IFERROR(INDEX('02b_DC_Accelerator_Mix'!$L$2:$L$977,MATCH(G930,'02b_DC_Accelerator_Mix'!$A$2:$A$977,0)),0)</f>
        <v/>
      </c>
      <c r="P930" s="6">
        <f>IFERROR(INDEX('02b_DC_Accelerator_Mix'!$M$2:$M$977,MATCH(G930,'02b_DC_Accelerator_Mix'!$A$2:$A$977,0)),0)</f>
        <v/>
      </c>
      <c r="Q930" s="6">
        <f>IFERROR(INDEX('02b_DC_Accelerator_Mix'!$N$2:$N$977,MATCH(G930,'02b_DC_Accelerator_Mix'!$A$2:$A$977,0)),0)</f>
        <v/>
      </c>
      <c r="R930" s="28">
        <f>H930*I930</f>
        <v/>
      </c>
      <c r="S930" s="28">
        <f>H930*J930</f>
        <v/>
      </c>
      <c r="T930" s="28">
        <f>H930*K930</f>
        <v/>
      </c>
      <c r="U930" s="28">
        <f>H930*L930</f>
        <v/>
      </c>
      <c r="V930" s="28">
        <f>H930*M930</f>
        <v/>
      </c>
      <c r="W930" s="28">
        <f>H930*N930</f>
        <v/>
      </c>
      <c r="X930" s="28">
        <f>H930*O930</f>
        <v/>
      </c>
      <c r="Y930" s="28">
        <f>H930*P930</f>
        <v/>
      </c>
      <c r="Z930" s="28">
        <f>H930*Q930</f>
        <v/>
      </c>
      <c r="AA930" s="28">
        <f>SUM(U930:Z930)</f>
        <v/>
      </c>
      <c r="AB930" s="5">
        <f>IF(COUNTIF('02b_DC_Accelerator_Mix'!$A$2:$A$977,G930)&gt;0,"matched","missing_mix")</f>
        <v/>
      </c>
    </row>
    <row r="931">
      <c r="A931" s="5">
        <f>'02a_DC_Capacity_Alloc'!A931</f>
        <v/>
      </c>
      <c r="B931" s="5">
        <f>'02a_DC_Capacity_Alloc'!B931</f>
        <v/>
      </c>
      <c r="C931" s="5">
        <f>'02a_DC_Capacity_Alloc'!C931</f>
        <v/>
      </c>
      <c r="D931" s="5">
        <f>'02a_DC_Capacity_Alloc'!D931</f>
        <v/>
      </c>
      <c r="E931" s="5">
        <f>'02a_DC_Capacity_Alloc'!E931</f>
        <v/>
      </c>
      <c r="F931" s="5">
        <f>'02a_DC_Capacity_Alloc'!F931</f>
        <v/>
      </c>
      <c r="G931" s="5">
        <f>B931&amp;"|"&amp;E931&amp;"|"&amp;D931</f>
        <v/>
      </c>
      <c r="H931" s="28">
        <f>'02a_DC_Capacity_Alloc'!H931*'02a_DC_Capacity_Alloc'!I931*'02a_DC_Capacity_Alloc'!J931</f>
        <v/>
      </c>
      <c r="I931" s="6">
        <f>IFERROR(INDEX('02b_DC_Accelerator_Mix'!$F$2:$F$977,MATCH(G931,'02b_DC_Accelerator_Mix'!$A$2:$A$977,0)),0)</f>
        <v/>
      </c>
      <c r="J931" s="6">
        <f>IFERROR(INDEX('02b_DC_Accelerator_Mix'!$G$2:$G$977,MATCH(G931,'02b_DC_Accelerator_Mix'!$A$2:$A$977,0)),0)</f>
        <v/>
      </c>
      <c r="K931" s="6">
        <f>IFERROR(INDEX('02b_DC_Accelerator_Mix'!$H$2:$H$977,MATCH(G931,'02b_DC_Accelerator_Mix'!$A$2:$A$977,0)),0)</f>
        <v/>
      </c>
      <c r="L931" s="6">
        <f>IFERROR(INDEX('02b_DC_Accelerator_Mix'!$I$2:$I$977,MATCH(G931,'02b_DC_Accelerator_Mix'!$A$2:$A$977,0)),0)</f>
        <v/>
      </c>
      <c r="M931" s="6">
        <f>IFERROR(INDEX('02b_DC_Accelerator_Mix'!$J$2:$J$977,MATCH(G931,'02b_DC_Accelerator_Mix'!$A$2:$A$977,0)),0)</f>
        <v/>
      </c>
      <c r="N931" s="6">
        <f>IFERROR(INDEX('02b_DC_Accelerator_Mix'!$K$2:$K$977,MATCH(G931,'02b_DC_Accelerator_Mix'!$A$2:$A$977,0)),0)</f>
        <v/>
      </c>
      <c r="O931" s="6">
        <f>IFERROR(INDEX('02b_DC_Accelerator_Mix'!$L$2:$L$977,MATCH(G931,'02b_DC_Accelerator_Mix'!$A$2:$A$977,0)),0)</f>
        <v/>
      </c>
      <c r="P931" s="6">
        <f>IFERROR(INDEX('02b_DC_Accelerator_Mix'!$M$2:$M$977,MATCH(G931,'02b_DC_Accelerator_Mix'!$A$2:$A$977,0)),0)</f>
        <v/>
      </c>
      <c r="Q931" s="6">
        <f>IFERROR(INDEX('02b_DC_Accelerator_Mix'!$N$2:$N$977,MATCH(G931,'02b_DC_Accelerator_Mix'!$A$2:$A$977,0)),0)</f>
        <v/>
      </c>
      <c r="R931" s="28">
        <f>H931*I931</f>
        <v/>
      </c>
      <c r="S931" s="28">
        <f>H931*J931</f>
        <v/>
      </c>
      <c r="T931" s="28">
        <f>H931*K931</f>
        <v/>
      </c>
      <c r="U931" s="28">
        <f>H931*L931</f>
        <v/>
      </c>
      <c r="V931" s="28">
        <f>H931*M931</f>
        <v/>
      </c>
      <c r="W931" s="28">
        <f>H931*N931</f>
        <v/>
      </c>
      <c r="X931" s="28">
        <f>H931*O931</f>
        <v/>
      </c>
      <c r="Y931" s="28">
        <f>H931*P931</f>
        <v/>
      </c>
      <c r="Z931" s="28">
        <f>H931*Q931</f>
        <v/>
      </c>
      <c r="AA931" s="28">
        <f>SUM(U931:Z931)</f>
        <v/>
      </c>
      <c r="AB931" s="5">
        <f>IF(COUNTIF('02b_DC_Accelerator_Mix'!$A$2:$A$977,G931)&gt;0,"matched","missing_mix")</f>
        <v/>
      </c>
    </row>
    <row r="932">
      <c r="A932" s="5">
        <f>'02a_DC_Capacity_Alloc'!A932</f>
        <v/>
      </c>
      <c r="B932" s="5">
        <f>'02a_DC_Capacity_Alloc'!B932</f>
        <v/>
      </c>
      <c r="C932" s="5">
        <f>'02a_DC_Capacity_Alloc'!C932</f>
        <v/>
      </c>
      <c r="D932" s="5">
        <f>'02a_DC_Capacity_Alloc'!D932</f>
        <v/>
      </c>
      <c r="E932" s="5">
        <f>'02a_DC_Capacity_Alloc'!E932</f>
        <v/>
      </c>
      <c r="F932" s="5">
        <f>'02a_DC_Capacity_Alloc'!F932</f>
        <v/>
      </c>
      <c r="G932" s="5">
        <f>B932&amp;"|"&amp;E932&amp;"|"&amp;D932</f>
        <v/>
      </c>
      <c r="H932" s="28">
        <f>'02a_DC_Capacity_Alloc'!H932*'02a_DC_Capacity_Alloc'!I932*'02a_DC_Capacity_Alloc'!J932</f>
        <v/>
      </c>
      <c r="I932" s="6">
        <f>IFERROR(INDEX('02b_DC_Accelerator_Mix'!$F$2:$F$977,MATCH(G932,'02b_DC_Accelerator_Mix'!$A$2:$A$977,0)),0)</f>
        <v/>
      </c>
      <c r="J932" s="6">
        <f>IFERROR(INDEX('02b_DC_Accelerator_Mix'!$G$2:$G$977,MATCH(G932,'02b_DC_Accelerator_Mix'!$A$2:$A$977,0)),0)</f>
        <v/>
      </c>
      <c r="K932" s="6">
        <f>IFERROR(INDEX('02b_DC_Accelerator_Mix'!$H$2:$H$977,MATCH(G932,'02b_DC_Accelerator_Mix'!$A$2:$A$977,0)),0)</f>
        <v/>
      </c>
      <c r="L932" s="6">
        <f>IFERROR(INDEX('02b_DC_Accelerator_Mix'!$I$2:$I$977,MATCH(G932,'02b_DC_Accelerator_Mix'!$A$2:$A$977,0)),0)</f>
        <v/>
      </c>
      <c r="M932" s="6">
        <f>IFERROR(INDEX('02b_DC_Accelerator_Mix'!$J$2:$J$977,MATCH(G932,'02b_DC_Accelerator_Mix'!$A$2:$A$977,0)),0)</f>
        <v/>
      </c>
      <c r="N932" s="6">
        <f>IFERROR(INDEX('02b_DC_Accelerator_Mix'!$K$2:$K$977,MATCH(G932,'02b_DC_Accelerator_Mix'!$A$2:$A$977,0)),0)</f>
        <v/>
      </c>
      <c r="O932" s="6">
        <f>IFERROR(INDEX('02b_DC_Accelerator_Mix'!$L$2:$L$977,MATCH(G932,'02b_DC_Accelerator_Mix'!$A$2:$A$977,0)),0)</f>
        <v/>
      </c>
      <c r="P932" s="6">
        <f>IFERROR(INDEX('02b_DC_Accelerator_Mix'!$M$2:$M$977,MATCH(G932,'02b_DC_Accelerator_Mix'!$A$2:$A$977,0)),0)</f>
        <v/>
      </c>
      <c r="Q932" s="6">
        <f>IFERROR(INDEX('02b_DC_Accelerator_Mix'!$N$2:$N$977,MATCH(G932,'02b_DC_Accelerator_Mix'!$A$2:$A$977,0)),0)</f>
        <v/>
      </c>
      <c r="R932" s="28">
        <f>H932*I932</f>
        <v/>
      </c>
      <c r="S932" s="28">
        <f>H932*J932</f>
        <v/>
      </c>
      <c r="T932" s="28">
        <f>H932*K932</f>
        <v/>
      </c>
      <c r="U932" s="28">
        <f>H932*L932</f>
        <v/>
      </c>
      <c r="V932" s="28">
        <f>H932*M932</f>
        <v/>
      </c>
      <c r="W932" s="28">
        <f>H932*N932</f>
        <v/>
      </c>
      <c r="X932" s="28">
        <f>H932*O932</f>
        <v/>
      </c>
      <c r="Y932" s="28">
        <f>H932*P932</f>
        <v/>
      </c>
      <c r="Z932" s="28">
        <f>H932*Q932</f>
        <v/>
      </c>
      <c r="AA932" s="28">
        <f>SUM(U932:Z932)</f>
        <v/>
      </c>
      <c r="AB932" s="5">
        <f>IF(COUNTIF('02b_DC_Accelerator_Mix'!$A$2:$A$977,G932)&gt;0,"matched","missing_mix")</f>
        <v/>
      </c>
    </row>
    <row r="933">
      <c r="A933" s="5">
        <f>'02a_DC_Capacity_Alloc'!A933</f>
        <v/>
      </c>
      <c r="B933" s="5">
        <f>'02a_DC_Capacity_Alloc'!B933</f>
        <v/>
      </c>
      <c r="C933" s="5">
        <f>'02a_DC_Capacity_Alloc'!C933</f>
        <v/>
      </c>
      <c r="D933" s="5">
        <f>'02a_DC_Capacity_Alloc'!D933</f>
        <v/>
      </c>
      <c r="E933" s="5">
        <f>'02a_DC_Capacity_Alloc'!E933</f>
        <v/>
      </c>
      <c r="F933" s="5">
        <f>'02a_DC_Capacity_Alloc'!F933</f>
        <v/>
      </c>
      <c r="G933" s="5">
        <f>B933&amp;"|"&amp;E933&amp;"|"&amp;D933</f>
        <v/>
      </c>
      <c r="H933" s="28">
        <f>'02a_DC_Capacity_Alloc'!H933*'02a_DC_Capacity_Alloc'!I933*'02a_DC_Capacity_Alloc'!J933</f>
        <v/>
      </c>
      <c r="I933" s="6">
        <f>IFERROR(INDEX('02b_DC_Accelerator_Mix'!$F$2:$F$977,MATCH(G933,'02b_DC_Accelerator_Mix'!$A$2:$A$977,0)),0)</f>
        <v/>
      </c>
      <c r="J933" s="6">
        <f>IFERROR(INDEX('02b_DC_Accelerator_Mix'!$G$2:$G$977,MATCH(G933,'02b_DC_Accelerator_Mix'!$A$2:$A$977,0)),0)</f>
        <v/>
      </c>
      <c r="K933" s="6">
        <f>IFERROR(INDEX('02b_DC_Accelerator_Mix'!$H$2:$H$977,MATCH(G933,'02b_DC_Accelerator_Mix'!$A$2:$A$977,0)),0)</f>
        <v/>
      </c>
      <c r="L933" s="6">
        <f>IFERROR(INDEX('02b_DC_Accelerator_Mix'!$I$2:$I$977,MATCH(G933,'02b_DC_Accelerator_Mix'!$A$2:$A$977,0)),0)</f>
        <v/>
      </c>
      <c r="M933" s="6">
        <f>IFERROR(INDEX('02b_DC_Accelerator_Mix'!$J$2:$J$977,MATCH(G933,'02b_DC_Accelerator_Mix'!$A$2:$A$977,0)),0)</f>
        <v/>
      </c>
      <c r="N933" s="6">
        <f>IFERROR(INDEX('02b_DC_Accelerator_Mix'!$K$2:$K$977,MATCH(G933,'02b_DC_Accelerator_Mix'!$A$2:$A$977,0)),0)</f>
        <v/>
      </c>
      <c r="O933" s="6">
        <f>IFERROR(INDEX('02b_DC_Accelerator_Mix'!$L$2:$L$977,MATCH(G933,'02b_DC_Accelerator_Mix'!$A$2:$A$977,0)),0)</f>
        <v/>
      </c>
      <c r="P933" s="6">
        <f>IFERROR(INDEX('02b_DC_Accelerator_Mix'!$M$2:$M$977,MATCH(G933,'02b_DC_Accelerator_Mix'!$A$2:$A$977,0)),0)</f>
        <v/>
      </c>
      <c r="Q933" s="6">
        <f>IFERROR(INDEX('02b_DC_Accelerator_Mix'!$N$2:$N$977,MATCH(G933,'02b_DC_Accelerator_Mix'!$A$2:$A$977,0)),0)</f>
        <v/>
      </c>
      <c r="R933" s="28">
        <f>H933*I933</f>
        <v/>
      </c>
      <c r="S933" s="28">
        <f>H933*J933</f>
        <v/>
      </c>
      <c r="T933" s="28">
        <f>H933*K933</f>
        <v/>
      </c>
      <c r="U933" s="28">
        <f>H933*L933</f>
        <v/>
      </c>
      <c r="V933" s="28">
        <f>H933*M933</f>
        <v/>
      </c>
      <c r="W933" s="28">
        <f>H933*N933</f>
        <v/>
      </c>
      <c r="X933" s="28">
        <f>H933*O933</f>
        <v/>
      </c>
      <c r="Y933" s="28">
        <f>H933*P933</f>
        <v/>
      </c>
      <c r="Z933" s="28">
        <f>H933*Q933</f>
        <v/>
      </c>
      <c r="AA933" s="28">
        <f>SUM(U933:Z933)</f>
        <v/>
      </c>
      <c r="AB933" s="5">
        <f>IF(COUNTIF('02b_DC_Accelerator_Mix'!$A$2:$A$977,G933)&gt;0,"matched","missing_mix")</f>
        <v/>
      </c>
    </row>
    <row r="934">
      <c r="A934" s="5">
        <f>'02a_DC_Capacity_Alloc'!A934</f>
        <v/>
      </c>
      <c r="B934" s="5">
        <f>'02a_DC_Capacity_Alloc'!B934</f>
        <v/>
      </c>
      <c r="C934" s="5">
        <f>'02a_DC_Capacity_Alloc'!C934</f>
        <v/>
      </c>
      <c r="D934" s="5">
        <f>'02a_DC_Capacity_Alloc'!D934</f>
        <v/>
      </c>
      <c r="E934" s="5">
        <f>'02a_DC_Capacity_Alloc'!E934</f>
        <v/>
      </c>
      <c r="F934" s="5">
        <f>'02a_DC_Capacity_Alloc'!F934</f>
        <v/>
      </c>
      <c r="G934" s="5">
        <f>B934&amp;"|"&amp;E934&amp;"|"&amp;D934</f>
        <v/>
      </c>
      <c r="H934" s="28">
        <f>'02a_DC_Capacity_Alloc'!H934*'02a_DC_Capacity_Alloc'!I934*'02a_DC_Capacity_Alloc'!J934</f>
        <v/>
      </c>
      <c r="I934" s="6">
        <f>IFERROR(INDEX('02b_DC_Accelerator_Mix'!$F$2:$F$977,MATCH(G934,'02b_DC_Accelerator_Mix'!$A$2:$A$977,0)),0)</f>
        <v/>
      </c>
      <c r="J934" s="6">
        <f>IFERROR(INDEX('02b_DC_Accelerator_Mix'!$G$2:$G$977,MATCH(G934,'02b_DC_Accelerator_Mix'!$A$2:$A$977,0)),0)</f>
        <v/>
      </c>
      <c r="K934" s="6">
        <f>IFERROR(INDEX('02b_DC_Accelerator_Mix'!$H$2:$H$977,MATCH(G934,'02b_DC_Accelerator_Mix'!$A$2:$A$977,0)),0)</f>
        <v/>
      </c>
      <c r="L934" s="6">
        <f>IFERROR(INDEX('02b_DC_Accelerator_Mix'!$I$2:$I$977,MATCH(G934,'02b_DC_Accelerator_Mix'!$A$2:$A$977,0)),0)</f>
        <v/>
      </c>
      <c r="M934" s="6">
        <f>IFERROR(INDEX('02b_DC_Accelerator_Mix'!$J$2:$J$977,MATCH(G934,'02b_DC_Accelerator_Mix'!$A$2:$A$977,0)),0)</f>
        <v/>
      </c>
      <c r="N934" s="6">
        <f>IFERROR(INDEX('02b_DC_Accelerator_Mix'!$K$2:$K$977,MATCH(G934,'02b_DC_Accelerator_Mix'!$A$2:$A$977,0)),0)</f>
        <v/>
      </c>
      <c r="O934" s="6">
        <f>IFERROR(INDEX('02b_DC_Accelerator_Mix'!$L$2:$L$977,MATCH(G934,'02b_DC_Accelerator_Mix'!$A$2:$A$977,0)),0)</f>
        <v/>
      </c>
      <c r="P934" s="6">
        <f>IFERROR(INDEX('02b_DC_Accelerator_Mix'!$M$2:$M$977,MATCH(G934,'02b_DC_Accelerator_Mix'!$A$2:$A$977,0)),0)</f>
        <v/>
      </c>
      <c r="Q934" s="6">
        <f>IFERROR(INDEX('02b_DC_Accelerator_Mix'!$N$2:$N$977,MATCH(G934,'02b_DC_Accelerator_Mix'!$A$2:$A$977,0)),0)</f>
        <v/>
      </c>
      <c r="R934" s="28">
        <f>H934*I934</f>
        <v/>
      </c>
      <c r="S934" s="28">
        <f>H934*J934</f>
        <v/>
      </c>
      <c r="T934" s="28">
        <f>H934*K934</f>
        <v/>
      </c>
      <c r="U934" s="28">
        <f>H934*L934</f>
        <v/>
      </c>
      <c r="V934" s="28">
        <f>H934*M934</f>
        <v/>
      </c>
      <c r="W934" s="28">
        <f>H934*N934</f>
        <v/>
      </c>
      <c r="X934" s="28">
        <f>H934*O934</f>
        <v/>
      </c>
      <c r="Y934" s="28">
        <f>H934*P934</f>
        <v/>
      </c>
      <c r="Z934" s="28">
        <f>H934*Q934</f>
        <v/>
      </c>
      <c r="AA934" s="28">
        <f>SUM(U934:Z934)</f>
        <v/>
      </c>
      <c r="AB934" s="5">
        <f>IF(COUNTIF('02b_DC_Accelerator_Mix'!$A$2:$A$977,G934)&gt;0,"matched","missing_mix")</f>
        <v/>
      </c>
    </row>
    <row r="935">
      <c r="A935" s="5">
        <f>'02a_DC_Capacity_Alloc'!A935</f>
        <v/>
      </c>
      <c r="B935" s="5">
        <f>'02a_DC_Capacity_Alloc'!B935</f>
        <v/>
      </c>
      <c r="C935" s="5">
        <f>'02a_DC_Capacity_Alloc'!C935</f>
        <v/>
      </c>
      <c r="D935" s="5">
        <f>'02a_DC_Capacity_Alloc'!D935</f>
        <v/>
      </c>
      <c r="E935" s="5">
        <f>'02a_DC_Capacity_Alloc'!E935</f>
        <v/>
      </c>
      <c r="F935" s="5">
        <f>'02a_DC_Capacity_Alloc'!F935</f>
        <v/>
      </c>
      <c r="G935" s="5">
        <f>B935&amp;"|"&amp;E935&amp;"|"&amp;D935</f>
        <v/>
      </c>
      <c r="H935" s="28">
        <f>'02a_DC_Capacity_Alloc'!H935*'02a_DC_Capacity_Alloc'!I935*'02a_DC_Capacity_Alloc'!J935</f>
        <v/>
      </c>
      <c r="I935" s="6">
        <f>IFERROR(INDEX('02b_DC_Accelerator_Mix'!$F$2:$F$977,MATCH(G935,'02b_DC_Accelerator_Mix'!$A$2:$A$977,0)),0)</f>
        <v/>
      </c>
      <c r="J935" s="6">
        <f>IFERROR(INDEX('02b_DC_Accelerator_Mix'!$G$2:$G$977,MATCH(G935,'02b_DC_Accelerator_Mix'!$A$2:$A$977,0)),0)</f>
        <v/>
      </c>
      <c r="K935" s="6">
        <f>IFERROR(INDEX('02b_DC_Accelerator_Mix'!$H$2:$H$977,MATCH(G935,'02b_DC_Accelerator_Mix'!$A$2:$A$977,0)),0)</f>
        <v/>
      </c>
      <c r="L935" s="6">
        <f>IFERROR(INDEX('02b_DC_Accelerator_Mix'!$I$2:$I$977,MATCH(G935,'02b_DC_Accelerator_Mix'!$A$2:$A$977,0)),0)</f>
        <v/>
      </c>
      <c r="M935" s="6">
        <f>IFERROR(INDEX('02b_DC_Accelerator_Mix'!$J$2:$J$977,MATCH(G935,'02b_DC_Accelerator_Mix'!$A$2:$A$977,0)),0)</f>
        <v/>
      </c>
      <c r="N935" s="6">
        <f>IFERROR(INDEX('02b_DC_Accelerator_Mix'!$K$2:$K$977,MATCH(G935,'02b_DC_Accelerator_Mix'!$A$2:$A$977,0)),0)</f>
        <v/>
      </c>
      <c r="O935" s="6">
        <f>IFERROR(INDEX('02b_DC_Accelerator_Mix'!$L$2:$L$977,MATCH(G935,'02b_DC_Accelerator_Mix'!$A$2:$A$977,0)),0)</f>
        <v/>
      </c>
      <c r="P935" s="6">
        <f>IFERROR(INDEX('02b_DC_Accelerator_Mix'!$M$2:$M$977,MATCH(G935,'02b_DC_Accelerator_Mix'!$A$2:$A$977,0)),0)</f>
        <v/>
      </c>
      <c r="Q935" s="6">
        <f>IFERROR(INDEX('02b_DC_Accelerator_Mix'!$N$2:$N$977,MATCH(G935,'02b_DC_Accelerator_Mix'!$A$2:$A$977,0)),0)</f>
        <v/>
      </c>
      <c r="R935" s="28">
        <f>H935*I935</f>
        <v/>
      </c>
      <c r="S935" s="28">
        <f>H935*J935</f>
        <v/>
      </c>
      <c r="T935" s="28">
        <f>H935*K935</f>
        <v/>
      </c>
      <c r="U935" s="28">
        <f>H935*L935</f>
        <v/>
      </c>
      <c r="V935" s="28">
        <f>H935*M935</f>
        <v/>
      </c>
      <c r="W935" s="28">
        <f>H935*N935</f>
        <v/>
      </c>
      <c r="X935" s="28">
        <f>H935*O935</f>
        <v/>
      </c>
      <c r="Y935" s="28">
        <f>H935*P935</f>
        <v/>
      </c>
      <c r="Z935" s="28">
        <f>H935*Q935</f>
        <v/>
      </c>
      <c r="AA935" s="28">
        <f>SUM(U935:Z935)</f>
        <v/>
      </c>
      <c r="AB935" s="5">
        <f>IF(COUNTIF('02b_DC_Accelerator_Mix'!$A$2:$A$977,G935)&gt;0,"matched","missing_mix")</f>
        <v/>
      </c>
    </row>
    <row r="936">
      <c r="A936" s="5">
        <f>'02a_DC_Capacity_Alloc'!A936</f>
        <v/>
      </c>
      <c r="B936" s="5">
        <f>'02a_DC_Capacity_Alloc'!B936</f>
        <v/>
      </c>
      <c r="C936" s="5">
        <f>'02a_DC_Capacity_Alloc'!C936</f>
        <v/>
      </c>
      <c r="D936" s="5">
        <f>'02a_DC_Capacity_Alloc'!D936</f>
        <v/>
      </c>
      <c r="E936" s="5">
        <f>'02a_DC_Capacity_Alloc'!E936</f>
        <v/>
      </c>
      <c r="F936" s="5">
        <f>'02a_DC_Capacity_Alloc'!F936</f>
        <v/>
      </c>
      <c r="G936" s="5">
        <f>B936&amp;"|"&amp;E936&amp;"|"&amp;D936</f>
        <v/>
      </c>
      <c r="H936" s="28">
        <f>'02a_DC_Capacity_Alloc'!H936*'02a_DC_Capacity_Alloc'!I936*'02a_DC_Capacity_Alloc'!J936</f>
        <v/>
      </c>
      <c r="I936" s="6">
        <f>IFERROR(INDEX('02b_DC_Accelerator_Mix'!$F$2:$F$977,MATCH(G936,'02b_DC_Accelerator_Mix'!$A$2:$A$977,0)),0)</f>
        <v/>
      </c>
      <c r="J936" s="6">
        <f>IFERROR(INDEX('02b_DC_Accelerator_Mix'!$G$2:$G$977,MATCH(G936,'02b_DC_Accelerator_Mix'!$A$2:$A$977,0)),0)</f>
        <v/>
      </c>
      <c r="K936" s="6">
        <f>IFERROR(INDEX('02b_DC_Accelerator_Mix'!$H$2:$H$977,MATCH(G936,'02b_DC_Accelerator_Mix'!$A$2:$A$977,0)),0)</f>
        <v/>
      </c>
      <c r="L936" s="6">
        <f>IFERROR(INDEX('02b_DC_Accelerator_Mix'!$I$2:$I$977,MATCH(G936,'02b_DC_Accelerator_Mix'!$A$2:$A$977,0)),0)</f>
        <v/>
      </c>
      <c r="M936" s="6">
        <f>IFERROR(INDEX('02b_DC_Accelerator_Mix'!$J$2:$J$977,MATCH(G936,'02b_DC_Accelerator_Mix'!$A$2:$A$977,0)),0)</f>
        <v/>
      </c>
      <c r="N936" s="6">
        <f>IFERROR(INDEX('02b_DC_Accelerator_Mix'!$K$2:$K$977,MATCH(G936,'02b_DC_Accelerator_Mix'!$A$2:$A$977,0)),0)</f>
        <v/>
      </c>
      <c r="O936" s="6">
        <f>IFERROR(INDEX('02b_DC_Accelerator_Mix'!$L$2:$L$977,MATCH(G936,'02b_DC_Accelerator_Mix'!$A$2:$A$977,0)),0)</f>
        <v/>
      </c>
      <c r="P936" s="6">
        <f>IFERROR(INDEX('02b_DC_Accelerator_Mix'!$M$2:$M$977,MATCH(G936,'02b_DC_Accelerator_Mix'!$A$2:$A$977,0)),0)</f>
        <v/>
      </c>
      <c r="Q936" s="6">
        <f>IFERROR(INDEX('02b_DC_Accelerator_Mix'!$N$2:$N$977,MATCH(G936,'02b_DC_Accelerator_Mix'!$A$2:$A$977,0)),0)</f>
        <v/>
      </c>
      <c r="R936" s="28">
        <f>H936*I936</f>
        <v/>
      </c>
      <c r="S936" s="28">
        <f>H936*J936</f>
        <v/>
      </c>
      <c r="T936" s="28">
        <f>H936*K936</f>
        <v/>
      </c>
      <c r="U936" s="28">
        <f>H936*L936</f>
        <v/>
      </c>
      <c r="V936" s="28">
        <f>H936*M936</f>
        <v/>
      </c>
      <c r="W936" s="28">
        <f>H936*N936</f>
        <v/>
      </c>
      <c r="X936" s="28">
        <f>H936*O936</f>
        <v/>
      </c>
      <c r="Y936" s="28">
        <f>H936*P936</f>
        <v/>
      </c>
      <c r="Z936" s="28">
        <f>H936*Q936</f>
        <v/>
      </c>
      <c r="AA936" s="28">
        <f>SUM(U936:Z936)</f>
        <v/>
      </c>
      <c r="AB936" s="5">
        <f>IF(COUNTIF('02b_DC_Accelerator_Mix'!$A$2:$A$977,G936)&gt;0,"matched","missing_mix")</f>
        <v/>
      </c>
    </row>
    <row r="937">
      <c r="A937" s="5">
        <f>'02a_DC_Capacity_Alloc'!A937</f>
        <v/>
      </c>
      <c r="B937" s="5">
        <f>'02a_DC_Capacity_Alloc'!B937</f>
        <v/>
      </c>
      <c r="C937" s="5">
        <f>'02a_DC_Capacity_Alloc'!C937</f>
        <v/>
      </c>
      <c r="D937" s="5">
        <f>'02a_DC_Capacity_Alloc'!D937</f>
        <v/>
      </c>
      <c r="E937" s="5">
        <f>'02a_DC_Capacity_Alloc'!E937</f>
        <v/>
      </c>
      <c r="F937" s="5">
        <f>'02a_DC_Capacity_Alloc'!F937</f>
        <v/>
      </c>
      <c r="G937" s="5">
        <f>B937&amp;"|"&amp;E937&amp;"|"&amp;D937</f>
        <v/>
      </c>
      <c r="H937" s="28">
        <f>'02a_DC_Capacity_Alloc'!H937*'02a_DC_Capacity_Alloc'!I937*'02a_DC_Capacity_Alloc'!J937</f>
        <v/>
      </c>
      <c r="I937" s="6">
        <f>IFERROR(INDEX('02b_DC_Accelerator_Mix'!$F$2:$F$977,MATCH(G937,'02b_DC_Accelerator_Mix'!$A$2:$A$977,0)),0)</f>
        <v/>
      </c>
      <c r="J937" s="6">
        <f>IFERROR(INDEX('02b_DC_Accelerator_Mix'!$G$2:$G$977,MATCH(G937,'02b_DC_Accelerator_Mix'!$A$2:$A$977,0)),0)</f>
        <v/>
      </c>
      <c r="K937" s="6">
        <f>IFERROR(INDEX('02b_DC_Accelerator_Mix'!$H$2:$H$977,MATCH(G937,'02b_DC_Accelerator_Mix'!$A$2:$A$977,0)),0)</f>
        <v/>
      </c>
      <c r="L937" s="6">
        <f>IFERROR(INDEX('02b_DC_Accelerator_Mix'!$I$2:$I$977,MATCH(G937,'02b_DC_Accelerator_Mix'!$A$2:$A$977,0)),0)</f>
        <v/>
      </c>
      <c r="M937" s="6">
        <f>IFERROR(INDEX('02b_DC_Accelerator_Mix'!$J$2:$J$977,MATCH(G937,'02b_DC_Accelerator_Mix'!$A$2:$A$977,0)),0)</f>
        <v/>
      </c>
      <c r="N937" s="6">
        <f>IFERROR(INDEX('02b_DC_Accelerator_Mix'!$K$2:$K$977,MATCH(G937,'02b_DC_Accelerator_Mix'!$A$2:$A$977,0)),0)</f>
        <v/>
      </c>
      <c r="O937" s="6">
        <f>IFERROR(INDEX('02b_DC_Accelerator_Mix'!$L$2:$L$977,MATCH(G937,'02b_DC_Accelerator_Mix'!$A$2:$A$977,0)),0)</f>
        <v/>
      </c>
      <c r="P937" s="6">
        <f>IFERROR(INDEX('02b_DC_Accelerator_Mix'!$M$2:$M$977,MATCH(G937,'02b_DC_Accelerator_Mix'!$A$2:$A$977,0)),0)</f>
        <v/>
      </c>
      <c r="Q937" s="6">
        <f>IFERROR(INDEX('02b_DC_Accelerator_Mix'!$N$2:$N$977,MATCH(G937,'02b_DC_Accelerator_Mix'!$A$2:$A$977,0)),0)</f>
        <v/>
      </c>
      <c r="R937" s="28">
        <f>H937*I937</f>
        <v/>
      </c>
      <c r="S937" s="28">
        <f>H937*J937</f>
        <v/>
      </c>
      <c r="T937" s="28">
        <f>H937*K937</f>
        <v/>
      </c>
      <c r="U937" s="28">
        <f>H937*L937</f>
        <v/>
      </c>
      <c r="V937" s="28">
        <f>H937*M937</f>
        <v/>
      </c>
      <c r="W937" s="28">
        <f>H937*N937</f>
        <v/>
      </c>
      <c r="X937" s="28">
        <f>H937*O937</f>
        <v/>
      </c>
      <c r="Y937" s="28">
        <f>H937*P937</f>
        <v/>
      </c>
      <c r="Z937" s="28">
        <f>H937*Q937</f>
        <v/>
      </c>
      <c r="AA937" s="28">
        <f>SUM(U937:Z937)</f>
        <v/>
      </c>
      <c r="AB937" s="5">
        <f>IF(COUNTIF('02b_DC_Accelerator_Mix'!$A$2:$A$977,G937)&gt;0,"matched","missing_mix")</f>
        <v/>
      </c>
    </row>
    <row r="938">
      <c r="A938" s="5">
        <f>'02a_DC_Capacity_Alloc'!A938</f>
        <v/>
      </c>
      <c r="B938" s="5">
        <f>'02a_DC_Capacity_Alloc'!B938</f>
        <v/>
      </c>
      <c r="C938" s="5">
        <f>'02a_DC_Capacity_Alloc'!C938</f>
        <v/>
      </c>
      <c r="D938" s="5">
        <f>'02a_DC_Capacity_Alloc'!D938</f>
        <v/>
      </c>
      <c r="E938" s="5">
        <f>'02a_DC_Capacity_Alloc'!E938</f>
        <v/>
      </c>
      <c r="F938" s="5">
        <f>'02a_DC_Capacity_Alloc'!F938</f>
        <v/>
      </c>
      <c r="G938" s="5">
        <f>B938&amp;"|"&amp;E938&amp;"|"&amp;D938</f>
        <v/>
      </c>
      <c r="H938" s="28">
        <f>'02a_DC_Capacity_Alloc'!H938*'02a_DC_Capacity_Alloc'!I938*'02a_DC_Capacity_Alloc'!J938</f>
        <v/>
      </c>
      <c r="I938" s="6">
        <f>IFERROR(INDEX('02b_DC_Accelerator_Mix'!$F$2:$F$977,MATCH(G938,'02b_DC_Accelerator_Mix'!$A$2:$A$977,0)),0)</f>
        <v/>
      </c>
      <c r="J938" s="6">
        <f>IFERROR(INDEX('02b_DC_Accelerator_Mix'!$G$2:$G$977,MATCH(G938,'02b_DC_Accelerator_Mix'!$A$2:$A$977,0)),0)</f>
        <v/>
      </c>
      <c r="K938" s="6">
        <f>IFERROR(INDEX('02b_DC_Accelerator_Mix'!$H$2:$H$977,MATCH(G938,'02b_DC_Accelerator_Mix'!$A$2:$A$977,0)),0)</f>
        <v/>
      </c>
      <c r="L938" s="6">
        <f>IFERROR(INDEX('02b_DC_Accelerator_Mix'!$I$2:$I$977,MATCH(G938,'02b_DC_Accelerator_Mix'!$A$2:$A$977,0)),0)</f>
        <v/>
      </c>
      <c r="M938" s="6">
        <f>IFERROR(INDEX('02b_DC_Accelerator_Mix'!$J$2:$J$977,MATCH(G938,'02b_DC_Accelerator_Mix'!$A$2:$A$977,0)),0)</f>
        <v/>
      </c>
      <c r="N938" s="6">
        <f>IFERROR(INDEX('02b_DC_Accelerator_Mix'!$K$2:$K$977,MATCH(G938,'02b_DC_Accelerator_Mix'!$A$2:$A$977,0)),0)</f>
        <v/>
      </c>
      <c r="O938" s="6">
        <f>IFERROR(INDEX('02b_DC_Accelerator_Mix'!$L$2:$L$977,MATCH(G938,'02b_DC_Accelerator_Mix'!$A$2:$A$977,0)),0)</f>
        <v/>
      </c>
      <c r="P938" s="6">
        <f>IFERROR(INDEX('02b_DC_Accelerator_Mix'!$M$2:$M$977,MATCH(G938,'02b_DC_Accelerator_Mix'!$A$2:$A$977,0)),0)</f>
        <v/>
      </c>
      <c r="Q938" s="6">
        <f>IFERROR(INDEX('02b_DC_Accelerator_Mix'!$N$2:$N$977,MATCH(G938,'02b_DC_Accelerator_Mix'!$A$2:$A$977,0)),0)</f>
        <v/>
      </c>
      <c r="R938" s="28">
        <f>H938*I938</f>
        <v/>
      </c>
      <c r="S938" s="28">
        <f>H938*J938</f>
        <v/>
      </c>
      <c r="T938" s="28">
        <f>H938*K938</f>
        <v/>
      </c>
      <c r="U938" s="28">
        <f>H938*L938</f>
        <v/>
      </c>
      <c r="V938" s="28">
        <f>H938*M938</f>
        <v/>
      </c>
      <c r="W938" s="28">
        <f>H938*N938</f>
        <v/>
      </c>
      <c r="X938" s="28">
        <f>H938*O938</f>
        <v/>
      </c>
      <c r="Y938" s="28">
        <f>H938*P938</f>
        <v/>
      </c>
      <c r="Z938" s="28">
        <f>H938*Q938</f>
        <v/>
      </c>
      <c r="AA938" s="28">
        <f>SUM(U938:Z938)</f>
        <v/>
      </c>
      <c r="AB938" s="5">
        <f>IF(COUNTIF('02b_DC_Accelerator_Mix'!$A$2:$A$977,G938)&gt;0,"matched","missing_mix")</f>
        <v/>
      </c>
    </row>
    <row r="939">
      <c r="A939" s="5">
        <f>'02a_DC_Capacity_Alloc'!A939</f>
        <v/>
      </c>
      <c r="B939" s="5">
        <f>'02a_DC_Capacity_Alloc'!B939</f>
        <v/>
      </c>
      <c r="C939" s="5">
        <f>'02a_DC_Capacity_Alloc'!C939</f>
        <v/>
      </c>
      <c r="D939" s="5">
        <f>'02a_DC_Capacity_Alloc'!D939</f>
        <v/>
      </c>
      <c r="E939" s="5">
        <f>'02a_DC_Capacity_Alloc'!E939</f>
        <v/>
      </c>
      <c r="F939" s="5">
        <f>'02a_DC_Capacity_Alloc'!F939</f>
        <v/>
      </c>
      <c r="G939" s="5">
        <f>B939&amp;"|"&amp;E939&amp;"|"&amp;D939</f>
        <v/>
      </c>
      <c r="H939" s="28">
        <f>'02a_DC_Capacity_Alloc'!H939*'02a_DC_Capacity_Alloc'!I939*'02a_DC_Capacity_Alloc'!J939</f>
        <v/>
      </c>
      <c r="I939" s="6">
        <f>IFERROR(INDEX('02b_DC_Accelerator_Mix'!$F$2:$F$977,MATCH(G939,'02b_DC_Accelerator_Mix'!$A$2:$A$977,0)),0)</f>
        <v/>
      </c>
      <c r="J939" s="6">
        <f>IFERROR(INDEX('02b_DC_Accelerator_Mix'!$G$2:$G$977,MATCH(G939,'02b_DC_Accelerator_Mix'!$A$2:$A$977,0)),0)</f>
        <v/>
      </c>
      <c r="K939" s="6">
        <f>IFERROR(INDEX('02b_DC_Accelerator_Mix'!$H$2:$H$977,MATCH(G939,'02b_DC_Accelerator_Mix'!$A$2:$A$977,0)),0)</f>
        <v/>
      </c>
      <c r="L939" s="6">
        <f>IFERROR(INDEX('02b_DC_Accelerator_Mix'!$I$2:$I$977,MATCH(G939,'02b_DC_Accelerator_Mix'!$A$2:$A$977,0)),0)</f>
        <v/>
      </c>
      <c r="M939" s="6">
        <f>IFERROR(INDEX('02b_DC_Accelerator_Mix'!$J$2:$J$977,MATCH(G939,'02b_DC_Accelerator_Mix'!$A$2:$A$977,0)),0)</f>
        <v/>
      </c>
      <c r="N939" s="6">
        <f>IFERROR(INDEX('02b_DC_Accelerator_Mix'!$K$2:$K$977,MATCH(G939,'02b_DC_Accelerator_Mix'!$A$2:$A$977,0)),0)</f>
        <v/>
      </c>
      <c r="O939" s="6">
        <f>IFERROR(INDEX('02b_DC_Accelerator_Mix'!$L$2:$L$977,MATCH(G939,'02b_DC_Accelerator_Mix'!$A$2:$A$977,0)),0)</f>
        <v/>
      </c>
      <c r="P939" s="6">
        <f>IFERROR(INDEX('02b_DC_Accelerator_Mix'!$M$2:$M$977,MATCH(G939,'02b_DC_Accelerator_Mix'!$A$2:$A$977,0)),0)</f>
        <v/>
      </c>
      <c r="Q939" s="6">
        <f>IFERROR(INDEX('02b_DC_Accelerator_Mix'!$N$2:$N$977,MATCH(G939,'02b_DC_Accelerator_Mix'!$A$2:$A$977,0)),0)</f>
        <v/>
      </c>
      <c r="R939" s="28">
        <f>H939*I939</f>
        <v/>
      </c>
      <c r="S939" s="28">
        <f>H939*J939</f>
        <v/>
      </c>
      <c r="T939" s="28">
        <f>H939*K939</f>
        <v/>
      </c>
      <c r="U939" s="28">
        <f>H939*L939</f>
        <v/>
      </c>
      <c r="V939" s="28">
        <f>H939*M939</f>
        <v/>
      </c>
      <c r="W939" s="28">
        <f>H939*N939</f>
        <v/>
      </c>
      <c r="X939" s="28">
        <f>H939*O939</f>
        <v/>
      </c>
      <c r="Y939" s="28">
        <f>H939*P939</f>
        <v/>
      </c>
      <c r="Z939" s="28">
        <f>H939*Q939</f>
        <v/>
      </c>
      <c r="AA939" s="28">
        <f>SUM(U939:Z939)</f>
        <v/>
      </c>
      <c r="AB939" s="5">
        <f>IF(COUNTIF('02b_DC_Accelerator_Mix'!$A$2:$A$977,G939)&gt;0,"matched","missing_mix")</f>
        <v/>
      </c>
    </row>
    <row r="940">
      <c r="A940" s="5">
        <f>'02a_DC_Capacity_Alloc'!A940</f>
        <v/>
      </c>
      <c r="B940" s="5">
        <f>'02a_DC_Capacity_Alloc'!B940</f>
        <v/>
      </c>
      <c r="C940" s="5">
        <f>'02a_DC_Capacity_Alloc'!C940</f>
        <v/>
      </c>
      <c r="D940" s="5">
        <f>'02a_DC_Capacity_Alloc'!D940</f>
        <v/>
      </c>
      <c r="E940" s="5">
        <f>'02a_DC_Capacity_Alloc'!E940</f>
        <v/>
      </c>
      <c r="F940" s="5">
        <f>'02a_DC_Capacity_Alloc'!F940</f>
        <v/>
      </c>
      <c r="G940" s="5">
        <f>B940&amp;"|"&amp;E940&amp;"|"&amp;D940</f>
        <v/>
      </c>
      <c r="H940" s="28">
        <f>'02a_DC_Capacity_Alloc'!H940*'02a_DC_Capacity_Alloc'!I940*'02a_DC_Capacity_Alloc'!J940</f>
        <v/>
      </c>
      <c r="I940" s="6">
        <f>IFERROR(INDEX('02b_DC_Accelerator_Mix'!$F$2:$F$977,MATCH(G940,'02b_DC_Accelerator_Mix'!$A$2:$A$977,0)),0)</f>
        <v/>
      </c>
      <c r="J940" s="6">
        <f>IFERROR(INDEX('02b_DC_Accelerator_Mix'!$G$2:$G$977,MATCH(G940,'02b_DC_Accelerator_Mix'!$A$2:$A$977,0)),0)</f>
        <v/>
      </c>
      <c r="K940" s="6">
        <f>IFERROR(INDEX('02b_DC_Accelerator_Mix'!$H$2:$H$977,MATCH(G940,'02b_DC_Accelerator_Mix'!$A$2:$A$977,0)),0)</f>
        <v/>
      </c>
      <c r="L940" s="6">
        <f>IFERROR(INDEX('02b_DC_Accelerator_Mix'!$I$2:$I$977,MATCH(G940,'02b_DC_Accelerator_Mix'!$A$2:$A$977,0)),0)</f>
        <v/>
      </c>
      <c r="M940" s="6">
        <f>IFERROR(INDEX('02b_DC_Accelerator_Mix'!$J$2:$J$977,MATCH(G940,'02b_DC_Accelerator_Mix'!$A$2:$A$977,0)),0)</f>
        <v/>
      </c>
      <c r="N940" s="6">
        <f>IFERROR(INDEX('02b_DC_Accelerator_Mix'!$K$2:$K$977,MATCH(G940,'02b_DC_Accelerator_Mix'!$A$2:$A$977,0)),0)</f>
        <v/>
      </c>
      <c r="O940" s="6">
        <f>IFERROR(INDEX('02b_DC_Accelerator_Mix'!$L$2:$L$977,MATCH(G940,'02b_DC_Accelerator_Mix'!$A$2:$A$977,0)),0)</f>
        <v/>
      </c>
      <c r="P940" s="6">
        <f>IFERROR(INDEX('02b_DC_Accelerator_Mix'!$M$2:$M$977,MATCH(G940,'02b_DC_Accelerator_Mix'!$A$2:$A$977,0)),0)</f>
        <v/>
      </c>
      <c r="Q940" s="6">
        <f>IFERROR(INDEX('02b_DC_Accelerator_Mix'!$N$2:$N$977,MATCH(G940,'02b_DC_Accelerator_Mix'!$A$2:$A$977,0)),0)</f>
        <v/>
      </c>
      <c r="R940" s="28">
        <f>H940*I940</f>
        <v/>
      </c>
      <c r="S940" s="28">
        <f>H940*J940</f>
        <v/>
      </c>
      <c r="T940" s="28">
        <f>H940*K940</f>
        <v/>
      </c>
      <c r="U940" s="28">
        <f>H940*L940</f>
        <v/>
      </c>
      <c r="V940" s="28">
        <f>H940*M940</f>
        <v/>
      </c>
      <c r="W940" s="28">
        <f>H940*N940</f>
        <v/>
      </c>
      <c r="X940" s="28">
        <f>H940*O940</f>
        <v/>
      </c>
      <c r="Y940" s="28">
        <f>H940*P940</f>
        <v/>
      </c>
      <c r="Z940" s="28">
        <f>H940*Q940</f>
        <v/>
      </c>
      <c r="AA940" s="28">
        <f>SUM(U940:Z940)</f>
        <v/>
      </c>
      <c r="AB940" s="5">
        <f>IF(COUNTIF('02b_DC_Accelerator_Mix'!$A$2:$A$977,G940)&gt;0,"matched","missing_mix")</f>
        <v/>
      </c>
    </row>
    <row r="941">
      <c r="A941" s="5">
        <f>'02a_DC_Capacity_Alloc'!A941</f>
        <v/>
      </c>
      <c r="B941" s="5">
        <f>'02a_DC_Capacity_Alloc'!B941</f>
        <v/>
      </c>
      <c r="C941" s="5">
        <f>'02a_DC_Capacity_Alloc'!C941</f>
        <v/>
      </c>
      <c r="D941" s="5">
        <f>'02a_DC_Capacity_Alloc'!D941</f>
        <v/>
      </c>
      <c r="E941" s="5">
        <f>'02a_DC_Capacity_Alloc'!E941</f>
        <v/>
      </c>
      <c r="F941" s="5">
        <f>'02a_DC_Capacity_Alloc'!F941</f>
        <v/>
      </c>
      <c r="G941" s="5">
        <f>B941&amp;"|"&amp;E941&amp;"|"&amp;D941</f>
        <v/>
      </c>
      <c r="H941" s="28">
        <f>'02a_DC_Capacity_Alloc'!H941*'02a_DC_Capacity_Alloc'!I941*'02a_DC_Capacity_Alloc'!J941</f>
        <v/>
      </c>
      <c r="I941" s="6">
        <f>IFERROR(INDEX('02b_DC_Accelerator_Mix'!$F$2:$F$977,MATCH(G941,'02b_DC_Accelerator_Mix'!$A$2:$A$977,0)),0)</f>
        <v/>
      </c>
      <c r="J941" s="6">
        <f>IFERROR(INDEX('02b_DC_Accelerator_Mix'!$G$2:$G$977,MATCH(G941,'02b_DC_Accelerator_Mix'!$A$2:$A$977,0)),0)</f>
        <v/>
      </c>
      <c r="K941" s="6">
        <f>IFERROR(INDEX('02b_DC_Accelerator_Mix'!$H$2:$H$977,MATCH(G941,'02b_DC_Accelerator_Mix'!$A$2:$A$977,0)),0)</f>
        <v/>
      </c>
      <c r="L941" s="6">
        <f>IFERROR(INDEX('02b_DC_Accelerator_Mix'!$I$2:$I$977,MATCH(G941,'02b_DC_Accelerator_Mix'!$A$2:$A$977,0)),0)</f>
        <v/>
      </c>
      <c r="M941" s="6">
        <f>IFERROR(INDEX('02b_DC_Accelerator_Mix'!$J$2:$J$977,MATCH(G941,'02b_DC_Accelerator_Mix'!$A$2:$A$977,0)),0)</f>
        <v/>
      </c>
      <c r="N941" s="6">
        <f>IFERROR(INDEX('02b_DC_Accelerator_Mix'!$K$2:$K$977,MATCH(G941,'02b_DC_Accelerator_Mix'!$A$2:$A$977,0)),0)</f>
        <v/>
      </c>
      <c r="O941" s="6">
        <f>IFERROR(INDEX('02b_DC_Accelerator_Mix'!$L$2:$L$977,MATCH(G941,'02b_DC_Accelerator_Mix'!$A$2:$A$977,0)),0)</f>
        <v/>
      </c>
      <c r="P941" s="6">
        <f>IFERROR(INDEX('02b_DC_Accelerator_Mix'!$M$2:$M$977,MATCH(G941,'02b_DC_Accelerator_Mix'!$A$2:$A$977,0)),0)</f>
        <v/>
      </c>
      <c r="Q941" s="6">
        <f>IFERROR(INDEX('02b_DC_Accelerator_Mix'!$N$2:$N$977,MATCH(G941,'02b_DC_Accelerator_Mix'!$A$2:$A$977,0)),0)</f>
        <v/>
      </c>
      <c r="R941" s="28">
        <f>H941*I941</f>
        <v/>
      </c>
      <c r="S941" s="28">
        <f>H941*J941</f>
        <v/>
      </c>
      <c r="T941" s="28">
        <f>H941*K941</f>
        <v/>
      </c>
      <c r="U941" s="28">
        <f>H941*L941</f>
        <v/>
      </c>
      <c r="V941" s="28">
        <f>H941*M941</f>
        <v/>
      </c>
      <c r="W941" s="28">
        <f>H941*N941</f>
        <v/>
      </c>
      <c r="X941" s="28">
        <f>H941*O941</f>
        <v/>
      </c>
      <c r="Y941" s="28">
        <f>H941*P941</f>
        <v/>
      </c>
      <c r="Z941" s="28">
        <f>H941*Q941</f>
        <v/>
      </c>
      <c r="AA941" s="28">
        <f>SUM(U941:Z941)</f>
        <v/>
      </c>
      <c r="AB941" s="5">
        <f>IF(COUNTIF('02b_DC_Accelerator_Mix'!$A$2:$A$977,G941)&gt;0,"matched","missing_mix")</f>
        <v/>
      </c>
    </row>
    <row r="942">
      <c r="A942" s="5">
        <f>'02a_DC_Capacity_Alloc'!A942</f>
        <v/>
      </c>
      <c r="B942" s="5">
        <f>'02a_DC_Capacity_Alloc'!B942</f>
        <v/>
      </c>
      <c r="C942" s="5">
        <f>'02a_DC_Capacity_Alloc'!C942</f>
        <v/>
      </c>
      <c r="D942" s="5">
        <f>'02a_DC_Capacity_Alloc'!D942</f>
        <v/>
      </c>
      <c r="E942" s="5">
        <f>'02a_DC_Capacity_Alloc'!E942</f>
        <v/>
      </c>
      <c r="F942" s="5">
        <f>'02a_DC_Capacity_Alloc'!F942</f>
        <v/>
      </c>
      <c r="G942" s="5">
        <f>B942&amp;"|"&amp;E942&amp;"|"&amp;D942</f>
        <v/>
      </c>
      <c r="H942" s="28">
        <f>'02a_DC_Capacity_Alloc'!H942*'02a_DC_Capacity_Alloc'!I942*'02a_DC_Capacity_Alloc'!J942</f>
        <v/>
      </c>
      <c r="I942" s="6">
        <f>IFERROR(INDEX('02b_DC_Accelerator_Mix'!$F$2:$F$977,MATCH(G942,'02b_DC_Accelerator_Mix'!$A$2:$A$977,0)),0)</f>
        <v/>
      </c>
      <c r="J942" s="6">
        <f>IFERROR(INDEX('02b_DC_Accelerator_Mix'!$G$2:$G$977,MATCH(G942,'02b_DC_Accelerator_Mix'!$A$2:$A$977,0)),0)</f>
        <v/>
      </c>
      <c r="K942" s="6">
        <f>IFERROR(INDEX('02b_DC_Accelerator_Mix'!$H$2:$H$977,MATCH(G942,'02b_DC_Accelerator_Mix'!$A$2:$A$977,0)),0)</f>
        <v/>
      </c>
      <c r="L942" s="6">
        <f>IFERROR(INDEX('02b_DC_Accelerator_Mix'!$I$2:$I$977,MATCH(G942,'02b_DC_Accelerator_Mix'!$A$2:$A$977,0)),0)</f>
        <v/>
      </c>
      <c r="M942" s="6">
        <f>IFERROR(INDEX('02b_DC_Accelerator_Mix'!$J$2:$J$977,MATCH(G942,'02b_DC_Accelerator_Mix'!$A$2:$A$977,0)),0)</f>
        <v/>
      </c>
      <c r="N942" s="6">
        <f>IFERROR(INDEX('02b_DC_Accelerator_Mix'!$K$2:$K$977,MATCH(G942,'02b_DC_Accelerator_Mix'!$A$2:$A$977,0)),0)</f>
        <v/>
      </c>
      <c r="O942" s="6">
        <f>IFERROR(INDEX('02b_DC_Accelerator_Mix'!$L$2:$L$977,MATCH(G942,'02b_DC_Accelerator_Mix'!$A$2:$A$977,0)),0)</f>
        <v/>
      </c>
      <c r="P942" s="6">
        <f>IFERROR(INDEX('02b_DC_Accelerator_Mix'!$M$2:$M$977,MATCH(G942,'02b_DC_Accelerator_Mix'!$A$2:$A$977,0)),0)</f>
        <v/>
      </c>
      <c r="Q942" s="6">
        <f>IFERROR(INDEX('02b_DC_Accelerator_Mix'!$N$2:$N$977,MATCH(G942,'02b_DC_Accelerator_Mix'!$A$2:$A$977,0)),0)</f>
        <v/>
      </c>
      <c r="R942" s="28">
        <f>H942*I942</f>
        <v/>
      </c>
      <c r="S942" s="28">
        <f>H942*J942</f>
        <v/>
      </c>
      <c r="T942" s="28">
        <f>H942*K942</f>
        <v/>
      </c>
      <c r="U942" s="28">
        <f>H942*L942</f>
        <v/>
      </c>
      <c r="V942" s="28">
        <f>H942*M942</f>
        <v/>
      </c>
      <c r="W942" s="28">
        <f>H942*N942</f>
        <v/>
      </c>
      <c r="X942" s="28">
        <f>H942*O942</f>
        <v/>
      </c>
      <c r="Y942" s="28">
        <f>H942*P942</f>
        <v/>
      </c>
      <c r="Z942" s="28">
        <f>H942*Q942</f>
        <v/>
      </c>
      <c r="AA942" s="28">
        <f>SUM(U942:Z942)</f>
        <v/>
      </c>
      <c r="AB942" s="5">
        <f>IF(COUNTIF('02b_DC_Accelerator_Mix'!$A$2:$A$977,G942)&gt;0,"matched","missing_mix")</f>
        <v/>
      </c>
    </row>
    <row r="943">
      <c r="A943" s="5">
        <f>'02a_DC_Capacity_Alloc'!A943</f>
        <v/>
      </c>
      <c r="B943" s="5">
        <f>'02a_DC_Capacity_Alloc'!B943</f>
        <v/>
      </c>
      <c r="C943" s="5">
        <f>'02a_DC_Capacity_Alloc'!C943</f>
        <v/>
      </c>
      <c r="D943" s="5">
        <f>'02a_DC_Capacity_Alloc'!D943</f>
        <v/>
      </c>
      <c r="E943" s="5">
        <f>'02a_DC_Capacity_Alloc'!E943</f>
        <v/>
      </c>
      <c r="F943" s="5">
        <f>'02a_DC_Capacity_Alloc'!F943</f>
        <v/>
      </c>
      <c r="G943" s="5">
        <f>B943&amp;"|"&amp;E943&amp;"|"&amp;D943</f>
        <v/>
      </c>
      <c r="H943" s="28">
        <f>'02a_DC_Capacity_Alloc'!H943*'02a_DC_Capacity_Alloc'!I943*'02a_DC_Capacity_Alloc'!J943</f>
        <v/>
      </c>
      <c r="I943" s="6">
        <f>IFERROR(INDEX('02b_DC_Accelerator_Mix'!$F$2:$F$977,MATCH(G943,'02b_DC_Accelerator_Mix'!$A$2:$A$977,0)),0)</f>
        <v/>
      </c>
      <c r="J943" s="6">
        <f>IFERROR(INDEX('02b_DC_Accelerator_Mix'!$G$2:$G$977,MATCH(G943,'02b_DC_Accelerator_Mix'!$A$2:$A$977,0)),0)</f>
        <v/>
      </c>
      <c r="K943" s="6">
        <f>IFERROR(INDEX('02b_DC_Accelerator_Mix'!$H$2:$H$977,MATCH(G943,'02b_DC_Accelerator_Mix'!$A$2:$A$977,0)),0)</f>
        <v/>
      </c>
      <c r="L943" s="6">
        <f>IFERROR(INDEX('02b_DC_Accelerator_Mix'!$I$2:$I$977,MATCH(G943,'02b_DC_Accelerator_Mix'!$A$2:$A$977,0)),0)</f>
        <v/>
      </c>
      <c r="M943" s="6">
        <f>IFERROR(INDEX('02b_DC_Accelerator_Mix'!$J$2:$J$977,MATCH(G943,'02b_DC_Accelerator_Mix'!$A$2:$A$977,0)),0)</f>
        <v/>
      </c>
      <c r="N943" s="6">
        <f>IFERROR(INDEX('02b_DC_Accelerator_Mix'!$K$2:$K$977,MATCH(G943,'02b_DC_Accelerator_Mix'!$A$2:$A$977,0)),0)</f>
        <v/>
      </c>
      <c r="O943" s="6">
        <f>IFERROR(INDEX('02b_DC_Accelerator_Mix'!$L$2:$L$977,MATCH(G943,'02b_DC_Accelerator_Mix'!$A$2:$A$977,0)),0)</f>
        <v/>
      </c>
      <c r="P943" s="6">
        <f>IFERROR(INDEX('02b_DC_Accelerator_Mix'!$M$2:$M$977,MATCH(G943,'02b_DC_Accelerator_Mix'!$A$2:$A$977,0)),0)</f>
        <v/>
      </c>
      <c r="Q943" s="6">
        <f>IFERROR(INDEX('02b_DC_Accelerator_Mix'!$N$2:$N$977,MATCH(G943,'02b_DC_Accelerator_Mix'!$A$2:$A$977,0)),0)</f>
        <v/>
      </c>
      <c r="R943" s="28">
        <f>H943*I943</f>
        <v/>
      </c>
      <c r="S943" s="28">
        <f>H943*J943</f>
        <v/>
      </c>
      <c r="T943" s="28">
        <f>H943*K943</f>
        <v/>
      </c>
      <c r="U943" s="28">
        <f>H943*L943</f>
        <v/>
      </c>
      <c r="V943" s="28">
        <f>H943*M943</f>
        <v/>
      </c>
      <c r="W943" s="28">
        <f>H943*N943</f>
        <v/>
      </c>
      <c r="X943" s="28">
        <f>H943*O943</f>
        <v/>
      </c>
      <c r="Y943" s="28">
        <f>H943*P943</f>
        <v/>
      </c>
      <c r="Z943" s="28">
        <f>H943*Q943</f>
        <v/>
      </c>
      <c r="AA943" s="28">
        <f>SUM(U943:Z943)</f>
        <v/>
      </c>
      <c r="AB943" s="5">
        <f>IF(COUNTIF('02b_DC_Accelerator_Mix'!$A$2:$A$977,G943)&gt;0,"matched","missing_mix")</f>
        <v/>
      </c>
    </row>
    <row r="944">
      <c r="A944" s="5">
        <f>'02a_DC_Capacity_Alloc'!A944</f>
        <v/>
      </c>
      <c r="B944" s="5">
        <f>'02a_DC_Capacity_Alloc'!B944</f>
        <v/>
      </c>
      <c r="C944" s="5">
        <f>'02a_DC_Capacity_Alloc'!C944</f>
        <v/>
      </c>
      <c r="D944" s="5">
        <f>'02a_DC_Capacity_Alloc'!D944</f>
        <v/>
      </c>
      <c r="E944" s="5">
        <f>'02a_DC_Capacity_Alloc'!E944</f>
        <v/>
      </c>
      <c r="F944" s="5">
        <f>'02a_DC_Capacity_Alloc'!F944</f>
        <v/>
      </c>
      <c r="G944" s="5">
        <f>B944&amp;"|"&amp;E944&amp;"|"&amp;D944</f>
        <v/>
      </c>
      <c r="H944" s="28">
        <f>'02a_DC_Capacity_Alloc'!H944*'02a_DC_Capacity_Alloc'!I944*'02a_DC_Capacity_Alloc'!J944</f>
        <v/>
      </c>
      <c r="I944" s="6">
        <f>IFERROR(INDEX('02b_DC_Accelerator_Mix'!$F$2:$F$977,MATCH(G944,'02b_DC_Accelerator_Mix'!$A$2:$A$977,0)),0)</f>
        <v/>
      </c>
      <c r="J944" s="6">
        <f>IFERROR(INDEX('02b_DC_Accelerator_Mix'!$G$2:$G$977,MATCH(G944,'02b_DC_Accelerator_Mix'!$A$2:$A$977,0)),0)</f>
        <v/>
      </c>
      <c r="K944" s="6">
        <f>IFERROR(INDEX('02b_DC_Accelerator_Mix'!$H$2:$H$977,MATCH(G944,'02b_DC_Accelerator_Mix'!$A$2:$A$977,0)),0)</f>
        <v/>
      </c>
      <c r="L944" s="6">
        <f>IFERROR(INDEX('02b_DC_Accelerator_Mix'!$I$2:$I$977,MATCH(G944,'02b_DC_Accelerator_Mix'!$A$2:$A$977,0)),0)</f>
        <v/>
      </c>
      <c r="M944" s="6">
        <f>IFERROR(INDEX('02b_DC_Accelerator_Mix'!$J$2:$J$977,MATCH(G944,'02b_DC_Accelerator_Mix'!$A$2:$A$977,0)),0)</f>
        <v/>
      </c>
      <c r="N944" s="6">
        <f>IFERROR(INDEX('02b_DC_Accelerator_Mix'!$K$2:$K$977,MATCH(G944,'02b_DC_Accelerator_Mix'!$A$2:$A$977,0)),0)</f>
        <v/>
      </c>
      <c r="O944" s="6">
        <f>IFERROR(INDEX('02b_DC_Accelerator_Mix'!$L$2:$L$977,MATCH(G944,'02b_DC_Accelerator_Mix'!$A$2:$A$977,0)),0)</f>
        <v/>
      </c>
      <c r="P944" s="6">
        <f>IFERROR(INDEX('02b_DC_Accelerator_Mix'!$M$2:$M$977,MATCH(G944,'02b_DC_Accelerator_Mix'!$A$2:$A$977,0)),0)</f>
        <v/>
      </c>
      <c r="Q944" s="6">
        <f>IFERROR(INDEX('02b_DC_Accelerator_Mix'!$N$2:$N$977,MATCH(G944,'02b_DC_Accelerator_Mix'!$A$2:$A$977,0)),0)</f>
        <v/>
      </c>
      <c r="R944" s="28">
        <f>H944*I944</f>
        <v/>
      </c>
      <c r="S944" s="28">
        <f>H944*J944</f>
        <v/>
      </c>
      <c r="T944" s="28">
        <f>H944*K944</f>
        <v/>
      </c>
      <c r="U944" s="28">
        <f>H944*L944</f>
        <v/>
      </c>
      <c r="V944" s="28">
        <f>H944*M944</f>
        <v/>
      </c>
      <c r="W944" s="28">
        <f>H944*N944</f>
        <v/>
      </c>
      <c r="X944" s="28">
        <f>H944*O944</f>
        <v/>
      </c>
      <c r="Y944" s="28">
        <f>H944*P944</f>
        <v/>
      </c>
      <c r="Z944" s="28">
        <f>H944*Q944</f>
        <v/>
      </c>
      <c r="AA944" s="28">
        <f>SUM(U944:Z944)</f>
        <v/>
      </c>
      <c r="AB944" s="5">
        <f>IF(COUNTIF('02b_DC_Accelerator_Mix'!$A$2:$A$977,G944)&gt;0,"matched","missing_mix")</f>
        <v/>
      </c>
    </row>
    <row r="945">
      <c r="A945" s="5">
        <f>'02a_DC_Capacity_Alloc'!A945</f>
        <v/>
      </c>
      <c r="B945" s="5">
        <f>'02a_DC_Capacity_Alloc'!B945</f>
        <v/>
      </c>
      <c r="C945" s="5">
        <f>'02a_DC_Capacity_Alloc'!C945</f>
        <v/>
      </c>
      <c r="D945" s="5">
        <f>'02a_DC_Capacity_Alloc'!D945</f>
        <v/>
      </c>
      <c r="E945" s="5">
        <f>'02a_DC_Capacity_Alloc'!E945</f>
        <v/>
      </c>
      <c r="F945" s="5">
        <f>'02a_DC_Capacity_Alloc'!F945</f>
        <v/>
      </c>
      <c r="G945" s="5">
        <f>B945&amp;"|"&amp;E945&amp;"|"&amp;D945</f>
        <v/>
      </c>
      <c r="H945" s="28">
        <f>'02a_DC_Capacity_Alloc'!H945*'02a_DC_Capacity_Alloc'!I945*'02a_DC_Capacity_Alloc'!J945</f>
        <v/>
      </c>
      <c r="I945" s="6">
        <f>IFERROR(INDEX('02b_DC_Accelerator_Mix'!$F$2:$F$977,MATCH(G945,'02b_DC_Accelerator_Mix'!$A$2:$A$977,0)),0)</f>
        <v/>
      </c>
      <c r="J945" s="6">
        <f>IFERROR(INDEX('02b_DC_Accelerator_Mix'!$G$2:$G$977,MATCH(G945,'02b_DC_Accelerator_Mix'!$A$2:$A$977,0)),0)</f>
        <v/>
      </c>
      <c r="K945" s="6">
        <f>IFERROR(INDEX('02b_DC_Accelerator_Mix'!$H$2:$H$977,MATCH(G945,'02b_DC_Accelerator_Mix'!$A$2:$A$977,0)),0)</f>
        <v/>
      </c>
      <c r="L945" s="6">
        <f>IFERROR(INDEX('02b_DC_Accelerator_Mix'!$I$2:$I$977,MATCH(G945,'02b_DC_Accelerator_Mix'!$A$2:$A$977,0)),0)</f>
        <v/>
      </c>
      <c r="M945" s="6">
        <f>IFERROR(INDEX('02b_DC_Accelerator_Mix'!$J$2:$J$977,MATCH(G945,'02b_DC_Accelerator_Mix'!$A$2:$A$977,0)),0)</f>
        <v/>
      </c>
      <c r="N945" s="6">
        <f>IFERROR(INDEX('02b_DC_Accelerator_Mix'!$K$2:$K$977,MATCH(G945,'02b_DC_Accelerator_Mix'!$A$2:$A$977,0)),0)</f>
        <v/>
      </c>
      <c r="O945" s="6">
        <f>IFERROR(INDEX('02b_DC_Accelerator_Mix'!$L$2:$L$977,MATCH(G945,'02b_DC_Accelerator_Mix'!$A$2:$A$977,0)),0)</f>
        <v/>
      </c>
      <c r="P945" s="6">
        <f>IFERROR(INDEX('02b_DC_Accelerator_Mix'!$M$2:$M$977,MATCH(G945,'02b_DC_Accelerator_Mix'!$A$2:$A$977,0)),0)</f>
        <v/>
      </c>
      <c r="Q945" s="6">
        <f>IFERROR(INDEX('02b_DC_Accelerator_Mix'!$N$2:$N$977,MATCH(G945,'02b_DC_Accelerator_Mix'!$A$2:$A$977,0)),0)</f>
        <v/>
      </c>
      <c r="R945" s="28">
        <f>H945*I945</f>
        <v/>
      </c>
      <c r="S945" s="28">
        <f>H945*J945</f>
        <v/>
      </c>
      <c r="T945" s="28">
        <f>H945*K945</f>
        <v/>
      </c>
      <c r="U945" s="28">
        <f>H945*L945</f>
        <v/>
      </c>
      <c r="V945" s="28">
        <f>H945*M945</f>
        <v/>
      </c>
      <c r="W945" s="28">
        <f>H945*N945</f>
        <v/>
      </c>
      <c r="X945" s="28">
        <f>H945*O945</f>
        <v/>
      </c>
      <c r="Y945" s="28">
        <f>H945*P945</f>
        <v/>
      </c>
      <c r="Z945" s="28">
        <f>H945*Q945</f>
        <v/>
      </c>
      <c r="AA945" s="28">
        <f>SUM(U945:Z945)</f>
        <v/>
      </c>
      <c r="AB945" s="5">
        <f>IF(COUNTIF('02b_DC_Accelerator_Mix'!$A$2:$A$977,G945)&gt;0,"matched","missing_mix")</f>
        <v/>
      </c>
    </row>
    <row r="946">
      <c r="A946" s="5">
        <f>'02a_DC_Capacity_Alloc'!A946</f>
        <v/>
      </c>
      <c r="B946" s="5">
        <f>'02a_DC_Capacity_Alloc'!B946</f>
        <v/>
      </c>
      <c r="C946" s="5">
        <f>'02a_DC_Capacity_Alloc'!C946</f>
        <v/>
      </c>
      <c r="D946" s="5">
        <f>'02a_DC_Capacity_Alloc'!D946</f>
        <v/>
      </c>
      <c r="E946" s="5">
        <f>'02a_DC_Capacity_Alloc'!E946</f>
        <v/>
      </c>
      <c r="F946" s="5">
        <f>'02a_DC_Capacity_Alloc'!F946</f>
        <v/>
      </c>
      <c r="G946" s="5">
        <f>B946&amp;"|"&amp;E946&amp;"|"&amp;D946</f>
        <v/>
      </c>
      <c r="H946" s="28">
        <f>'02a_DC_Capacity_Alloc'!H946*'02a_DC_Capacity_Alloc'!I946*'02a_DC_Capacity_Alloc'!J946</f>
        <v/>
      </c>
      <c r="I946" s="6">
        <f>IFERROR(INDEX('02b_DC_Accelerator_Mix'!$F$2:$F$977,MATCH(G946,'02b_DC_Accelerator_Mix'!$A$2:$A$977,0)),0)</f>
        <v/>
      </c>
      <c r="J946" s="6">
        <f>IFERROR(INDEX('02b_DC_Accelerator_Mix'!$G$2:$G$977,MATCH(G946,'02b_DC_Accelerator_Mix'!$A$2:$A$977,0)),0)</f>
        <v/>
      </c>
      <c r="K946" s="6">
        <f>IFERROR(INDEX('02b_DC_Accelerator_Mix'!$H$2:$H$977,MATCH(G946,'02b_DC_Accelerator_Mix'!$A$2:$A$977,0)),0)</f>
        <v/>
      </c>
      <c r="L946" s="6">
        <f>IFERROR(INDEX('02b_DC_Accelerator_Mix'!$I$2:$I$977,MATCH(G946,'02b_DC_Accelerator_Mix'!$A$2:$A$977,0)),0)</f>
        <v/>
      </c>
      <c r="M946" s="6">
        <f>IFERROR(INDEX('02b_DC_Accelerator_Mix'!$J$2:$J$977,MATCH(G946,'02b_DC_Accelerator_Mix'!$A$2:$A$977,0)),0)</f>
        <v/>
      </c>
      <c r="N946" s="6">
        <f>IFERROR(INDEX('02b_DC_Accelerator_Mix'!$K$2:$K$977,MATCH(G946,'02b_DC_Accelerator_Mix'!$A$2:$A$977,0)),0)</f>
        <v/>
      </c>
      <c r="O946" s="6">
        <f>IFERROR(INDEX('02b_DC_Accelerator_Mix'!$L$2:$L$977,MATCH(G946,'02b_DC_Accelerator_Mix'!$A$2:$A$977,0)),0)</f>
        <v/>
      </c>
      <c r="P946" s="6">
        <f>IFERROR(INDEX('02b_DC_Accelerator_Mix'!$M$2:$M$977,MATCH(G946,'02b_DC_Accelerator_Mix'!$A$2:$A$977,0)),0)</f>
        <v/>
      </c>
      <c r="Q946" s="6">
        <f>IFERROR(INDEX('02b_DC_Accelerator_Mix'!$N$2:$N$977,MATCH(G946,'02b_DC_Accelerator_Mix'!$A$2:$A$977,0)),0)</f>
        <v/>
      </c>
      <c r="R946" s="28">
        <f>H946*I946</f>
        <v/>
      </c>
      <c r="S946" s="28">
        <f>H946*J946</f>
        <v/>
      </c>
      <c r="T946" s="28">
        <f>H946*K946</f>
        <v/>
      </c>
      <c r="U946" s="28">
        <f>H946*L946</f>
        <v/>
      </c>
      <c r="V946" s="28">
        <f>H946*M946</f>
        <v/>
      </c>
      <c r="W946" s="28">
        <f>H946*N946</f>
        <v/>
      </c>
      <c r="X946" s="28">
        <f>H946*O946</f>
        <v/>
      </c>
      <c r="Y946" s="28">
        <f>H946*P946</f>
        <v/>
      </c>
      <c r="Z946" s="28">
        <f>H946*Q946</f>
        <v/>
      </c>
      <c r="AA946" s="28">
        <f>SUM(U946:Z946)</f>
        <v/>
      </c>
      <c r="AB946" s="5">
        <f>IF(COUNTIF('02b_DC_Accelerator_Mix'!$A$2:$A$977,G946)&gt;0,"matched","missing_mix")</f>
        <v/>
      </c>
    </row>
    <row r="947">
      <c r="A947" s="5">
        <f>'02a_DC_Capacity_Alloc'!A947</f>
        <v/>
      </c>
      <c r="B947" s="5">
        <f>'02a_DC_Capacity_Alloc'!B947</f>
        <v/>
      </c>
      <c r="C947" s="5">
        <f>'02a_DC_Capacity_Alloc'!C947</f>
        <v/>
      </c>
      <c r="D947" s="5">
        <f>'02a_DC_Capacity_Alloc'!D947</f>
        <v/>
      </c>
      <c r="E947" s="5">
        <f>'02a_DC_Capacity_Alloc'!E947</f>
        <v/>
      </c>
      <c r="F947" s="5">
        <f>'02a_DC_Capacity_Alloc'!F947</f>
        <v/>
      </c>
      <c r="G947" s="5">
        <f>B947&amp;"|"&amp;E947&amp;"|"&amp;D947</f>
        <v/>
      </c>
      <c r="H947" s="28">
        <f>'02a_DC_Capacity_Alloc'!H947*'02a_DC_Capacity_Alloc'!I947*'02a_DC_Capacity_Alloc'!J947</f>
        <v/>
      </c>
      <c r="I947" s="6">
        <f>IFERROR(INDEX('02b_DC_Accelerator_Mix'!$F$2:$F$977,MATCH(G947,'02b_DC_Accelerator_Mix'!$A$2:$A$977,0)),0)</f>
        <v/>
      </c>
      <c r="J947" s="6">
        <f>IFERROR(INDEX('02b_DC_Accelerator_Mix'!$G$2:$G$977,MATCH(G947,'02b_DC_Accelerator_Mix'!$A$2:$A$977,0)),0)</f>
        <v/>
      </c>
      <c r="K947" s="6">
        <f>IFERROR(INDEX('02b_DC_Accelerator_Mix'!$H$2:$H$977,MATCH(G947,'02b_DC_Accelerator_Mix'!$A$2:$A$977,0)),0)</f>
        <v/>
      </c>
      <c r="L947" s="6">
        <f>IFERROR(INDEX('02b_DC_Accelerator_Mix'!$I$2:$I$977,MATCH(G947,'02b_DC_Accelerator_Mix'!$A$2:$A$977,0)),0)</f>
        <v/>
      </c>
      <c r="M947" s="6">
        <f>IFERROR(INDEX('02b_DC_Accelerator_Mix'!$J$2:$J$977,MATCH(G947,'02b_DC_Accelerator_Mix'!$A$2:$A$977,0)),0)</f>
        <v/>
      </c>
      <c r="N947" s="6">
        <f>IFERROR(INDEX('02b_DC_Accelerator_Mix'!$K$2:$K$977,MATCH(G947,'02b_DC_Accelerator_Mix'!$A$2:$A$977,0)),0)</f>
        <v/>
      </c>
      <c r="O947" s="6">
        <f>IFERROR(INDEX('02b_DC_Accelerator_Mix'!$L$2:$L$977,MATCH(G947,'02b_DC_Accelerator_Mix'!$A$2:$A$977,0)),0)</f>
        <v/>
      </c>
      <c r="P947" s="6">
        <f>IFERROR(INDEX('02b_DC_Accelerator_Mix'!$M$2:$M$977,MATCH(G947,'02b_DC_Accelerator_Mix'!$A$2:$A$977,0)),0)</f>
        <v/>
      </c>
      <c r="Q947" s="6">
        <f>IFERROR(INDEX('02b_DC_Accelerator_Mix'!$N$2:$N$977,MATCH(G947,'02b_DC_Accelerator_Mix'!$A$2:$A$977,0)),0)</f>
        <v/>
      </c>
      <c r="R947" s="28">
        <f>H947*I947</f>
        <v/>
      </c>
      <c r="S947" s="28">
        <f>H947*J947</f>
        <v/>
      </c>
      <c r="T947" s="28">
        <f>H947*K947</f>
        <v/>
      </c>
      <c r="U947" s="28">
        <f>H947*L947</f>
        <v/>
      </c>
      <c r="V947" s="28">
        <f>H947*M947</f>
        <v/>
      </c>
      <c r="W947" s="28">
        <f>H947*N947</f>
        <v/>
      </c>
      <c r="X947" s="28">
        <f>H947*O947</f>
        <v/>
      </c>
      <c r="Y947" s="28">
        <f>H947*P947</f>
        <v/>
      </c>
      <c r="Z947" s="28">
        <f>H947*Q947</f>
        <v/>
      </c>
      <c r="AA947" s="28">
        <f>SUM(U947:Z947)</f>
        <v/>
      </c>
      <c r="AB947" s="5">
        <f>IF(COUNTIF('02b_DC_Accelerator_Mix'!$A$2:$A$977,G947)&gt;0,"matched","missing_mix")</f>
        <v/>
      </c>
    </row>
    <row r="948">
      <c r="A948" s="5">
        <f>'02a_DC_Capacity_Alloc'!A948</f>
        <v/>
      </c>
      <c r="B948" s="5">
        <f>'02a_DC_Capacity_Alloc'!B948</f>
        <v/>
      </c>
      <c r="C948" s="5">
        <f>'02a_DC_Capacity_Alloc'!C948</f>
        <v/>
      </c>
      <c r="D948" s="5">
        <f>'02a_DC_Capacity_Alloc'!D948</f>
        <v/>
      </c>
      <c r="E948" s="5">
        <f>'02a_DC_Capacity_Alloc'!E948</f>
        <v/>
      </c>
      <c r="F948" s="5">
        <f>'02a_DC_Capacity_Alloc'!F948</f>
        <v/>
      </c>
      <c r="G948" s="5">
        <f>B948&amp;"|"&amp;E948&amp;"|"&amp;D948</f>
        <v/>
      </c>
      <c r="H948" s="28">
        <f>'02a_DC_Capacity_Alloc'!H948*'02a_DC_Capacity_Alloc'!I948*'02a_DC_Capacity_Alloc'!J948</f>
        <v/>
      </c>
      <c r="I948" s="6">
        <f>IFERROR(INDEX('02b_DC_Accelerator_Mix'!$F$2:$F$977,MATCH(G948,'02b_DC_Accelerator_Mix'!$A$2:$A$977,0)),0)</f>
        <v/>
      </c>
      <c r="J948" s="6">
        <f>IFERROR(INDEX('02b_DC_Accelerator_Mix'!$G$2:$G$977,MATCH(G948,'02b_DC_Accelerator_Mix'!$A$2:$A$977,0)),0)</f>
        <v/>
      </c>
      <c r="K948" s="6">
        <f>IFERROR(INDEX('02b_DC_Accelerator_Mix'!$H$2:$H$977,MATCH(G948,'02b_DC_Accelerator_Mix'!$A$2:$A$977,0)),0)</f>
        <v/>
      </c>
      <c r="L948" s="6">
        <f>IFERROR(INDEX('02b_DC_Accelerator_Mix'!$I$2:$I$977,MATCH(G948,'02b_DC_Accelerator_Mix'!$A$2:$A$977,0)),0)</f>
        <v/>
      </c>
      <c r="M948" s="6">
        <f>IFERROR(INDEX('02b_DC_Accelerator_Mix'!$J$2:$J$977,MATCH(G948,'02b_DC_Accelerator_Mix'!$A$2:$A$977,0)),0)</f>
        <v/>
      </c>
      <c r="N948" s="6">
        <f>IFERROR(INDEX('02b_DC_Accelerator_Mix'!$K$2:$K$977,MATCH(G948,'02b_DC_Accelerator_Mix'!$A$2:$A$977,0)),0)</f>
        <v/>
      </c>
      <c r="O948" s="6">
        <f>IFERROR(INDEX('02b_DC_Accelerator_Mix'!$L$2:$L$977,MATCH(G948,'02b_DC_Accelerator_Mix'!$A$2:$A$977,0)),0)</f>
        <v/>
      </c>
      <c r="P948" s="6">
        <f>IFERROR(INDEX('02b_DC_Accelerator_Mix'!$M$2:$M$977,MATCH(G948,'02b_DC_Accelerator_Mix'!$A$2:$A$977,0)),0)</f>
        <v/>
      </c>
      <c r="Q948" s="6">
        <f>IFERROR(INDEX('02b_DC_Accelerator_Mix'!$N$2:$N$977,MATCH(G948,'02b_DC_Accelerator_Mix'!$A$2:$A$977,0)),0)</f>
        <v/>
      </c>
      <c r="R948" s="28">
        <f>H948*I948</f>
        <v/>
      </c>
      <c r="S948" s="28">
        <f>H948*J948</f>
        <v/>
      </c>
      <c r="T948" s="28">
        <f>H948*K948</f>
        <v/>
      </c>
      <c r="U948" s="28">
        <f>H948*L948</f>
        <v/>
      </c>
      <c r="V948" s="28">
        <f>H948*M948</f>
        <v/>
      </c>
      <c r="W948" s="28">
        <f>H948*N948</f>
        <v/>
      </c>
      <c r="X948" s="28">
        <f>H948*O948</f>
        <v/>
      </c>
      <c r="Y948" s="28">
        <f>H948*P948</f>
        <v/>
      </c>
      <c r="Z948" s="28">
        <f>H948*Q948</f>
        <v/>
      </c>
      <c r="AA948" s="28">
        <f>SUM(U948:Z948)</f>
        <v/>
      </c>
      <c r="AB948" s="5">
        <f>IF(COUNTIF('02b_DC_Accelerator_Mix'!$A$2:$A$977,G948)&gt;0,"matched","missing_mix")</f>
        <v/>
      </c>
    </row>
    <row r="949">
      <c r="A949" s="5">
        <f>'02a_DC_Capacity_Alloc'!A949</f>
        <v/>
      </c>
      <c r="B949" s="5">
        <f>'02a_DC_Capacity_Alloc'!B949</f>
        <v/>
      </c>
      <c r="C949" s="5">
        <f>'02a_DC_Capacity_Alloc'!C949</f>
        <v/>
      </c>
      <c r="D949" s="5">
        <f>'02a_DC_Capacity_Alloc'!D949</f>
        <v/>
      </c>
      <c r="E949" s="5">
        <f>'02a_DC_Capacity_Alloc'!E949</f>
        <v/>
      </c>
      <c r="F949" s="5">
        <f>'02a_DC_Capacity_Alloc'!F949</f>
        <v/>
      </c>
      <c r="G949" s="5">
        <f>B949&amp;"|"&amp;E949&amp;"|"&amp;D949</f>
        <v/>
      </c>
      <c r="H949" s="28">
        <f>'02a_DC_Capacity_Alloc'!H949*'02a_DC_Capacity_Alloc'!I949*'02a_DC_Capacity_Alloc'!J949</f>
        <v/>
      </c>
      <c r="I949" s="6">
        <f>IFERROR(INDEX('02b_DC_Accelerator_Mix'!$F$2:$F$977,MATCH(G949,'02b_DC_Accelerator_Mix'!$A$2:$A$977,0)),0)</f>
        <v/>
      </c>
      <c r="J949" s="6">
        <f>IFERROR(INDEX('02b_DC_Accelerator_Mix'!$G$2:$G$977,MATCH(G949,'02b_DC_Accelerator_Mix'!$A$2:$A$977,0)),0)</f>
        <v/>
      </c>
      <c r="K949" s="6">
        <f>IFERROR(INDEX('02b_DC_Accelerator_Mix'!$H$2:$H$977,MATCH(G949,'02b_DC_Accelerator_Mix'!$A$2:$A$977,0)),0)</f>
        <v/>
      </c>
      <c r="L949" s="6">
        <f>IFERROR(INDEX('02b_DC_Accelerator_Mix'!$I$2:$I$977,MATCH(G949,'02b_DC_Accelerator_Mix'!$A$2:$A$977,0)),0)</f>
        <v/>
      </c>
      <c r="M949" s="6">
        <f>IFERROR(INDEX('02b_DC_Accelerator_Mix'!$J$2:$J$977,MATCH(G949,'02b_DC_Accelerator_Mix'!$A$2:$A$977,0)),0)</f>
        <v/>
      </c>
      <c r="N949" s="6">
        <f>IFERROR(INDEX('02b_DC_Accelerator_Mix'!$K$2:$K$977,MATCH(G949,'02b_DC_Accelerator_Mix'!$A$2:$A$977,0)),0)</f>
        <v/>
      </c>
      <c r="O949" s="6">
        <f>IFERROR(INDEX('02b_DC_Accelerator_Mix'!$L$2:$L$977,MATCH(G949,'02b_DC_Accelerator_Mix'!$A$2:$A$977,0)),0)</f>
        <v/>
      </c>
      <c r="P949" s="6">
        <f>IFERROR(INDEX('02b_DC_Accelerator_Mix'!$M$2:$M$977,MATCH(G949,'02b_DC_Accelerator_Mix'!$A$2:$A$977,0)),0)</f>
        <v/>
      </c>
      <c r="Q949" s="6">
        <f>IFERROR(INDEX('02b_DC_Accelerator_Mix'!$N$2:$N$977,MATCH(G949,'02b_DC_Accelerator_Mix'!$A$2:$A$977,0)),0)</f>
        <v/>
      </c>
      <c r="R949" s="28">
        <f>H949*I949</f>
        <v/>
      </c>
      <c r="S949" s="28">
        <f>H949*J949</f>
        <v/>
      </c>
      <c r="T949" s="28">
        <f>H949*K949</f>
        <v/>
      </c>
      <c r="U949" s="28">
        <f>H949*L949</f>
        <v/>
      </c>
      <c r="V949" s="28">
        <f>H949*M949</f>
        <v/>
      </c>
      <c r="W949" s="28">
        <f>H949*N949</f>
        <v/>
      </c>
      <c r="X949" s="28">
        <f>H949*O949</f>
        <v/>
      </c>
      <c r="Y949" s="28">
        <f>H949*P949</f>
        <v/>
      </c>
      <c r="Z949" s="28">
        <f>H949*Q949</f>
        <v/>
      </c>
      <c r="AA949" s="28">
        <f>SUM(U949:Z949)</f>
        <v/>
      </c>
      <c r="AB949" s="5">
        <f>IF(COUNTIF('02b_DC_Accelerator_Mix'!$A$2:$A$977,G949)&gt;0,"matched","missing_mix")</f>
        <v/>
      </c>
    </row>
    <row r="950">
      <c r="A950" s="5">
        <f>'02a_DC_Capacity_Alloc'!A950</f>
        <v/>
      </c>
      <c r="B950" s="5">
        <f>'02a_DC_Capacity_Alloc'!B950</f>
        <v/>
      </c>
      <c r="C950" s="5">
        <f>'02a_DC_Capacity_Alloc'!C950</f>
        <v/>
      </c>
      <c r="D950" s="5">
        <f>'02a_DC_Capacity_Alloc'!D950</f>
        <v/>
      </c>
      <c r="E950" s="5">
        <f>'02a_DC_Capacity_Alloc'!E950</f>
        <v/>
      </c>
      <c r="F950" s="5">
        <f>'02a_DC_Capacity_Alloc'!F950</f>
        <v/>
      </c>
      <c r="G950" s="5">
        <f>B950&amp;"|"&amp;E950&amp;"|"&amp;D950</f>
        <v/>
      </c>
      <c r="H950" s="28">
        <f>'02a_DC_Capacity_Alloc'!H950*'02a_DC_Capacity_Alloc'!I950*'02a_DC_Capacity_Alloc'!J950</f>
        <v/>
      </c>
      <c r="I950" s="6">
        <f>IFERROR(INDEX('02b_DC_Accelerator_Mix'!$F$2:$F$977,MATCH(G950,'02b_DC_Accelerator_Mix'!$A$2:$A$977,0)),0)</f>
        <v/>
      </c>
      <c r="J950" s="6">
        <f>IFERROR(INDEX('02b_DC_Accelerator_Mix'!$G$2:$G$977,MATCH(G950,'02b_DC_Accelerator_Mix'!$A$2:$A$977,0)),0)</f>
        <v/>
      </c>
      <c r="K950" s="6">
        <f>IFERROR(INDEX('02b_DC_Accelerator_Mix'!$H$2:$H$977,MATCH(G950,'02b_DC_Accelerator_Mix'!$A$2:$A$977,0)),0)</f>
        <v/>
      </c>
      <c r="L950" s="6">
        <f>IFERROR(INDEX('02b_DC_Accelerator_Mix'!$I$2:$I$977,MATCH(G950,'02b_DC_Accelerator_Mix'!$A$2:$A$977,0)),0)</f>
        <v/>
      </c>
      <c r="M950" s="6">
        <f>IFERROR(INDEX('02b_DC_Accelerator_Mix'!$J$2:$J$977,MATCH(G950,'02b_DC_Accelerator_Mix'!$A$2:$A$977,0)),0)</f>
        <v/>
      </c>
      <c r="N950" s="6">
        <f>IFERROR(INDEX('02b_DC_Accelerator_Mix'!$K$2:$K$977,MATCH(G950,'02b_DC_Accelerator_Mix'!$A$2:$A$977,0)),0)</f>
        <v/>
      </c>
      <c r="O950" s="6">
        <f>IFERROR(INDEX('02b_DC_Accelerator_Mix'!$L$2:$L$977,MATCH(G950,'02b_DC_Accelerator_Mix'!$A$2:$A$977,0)),0)</f>
        <v/>
      </c>
      <c r="P950" s="6">
        <f>IFERROR(INDEX('02b_DC_Accelerator_Mix'!$M$2:$M$977,MATCH(G950,'02b_DC_Accelerator_Mix'!$A$2:$A$977,0)),0)</f>
        <v/>
      </c>
      <c r="Q950" s="6">
        <f>IFERROR(INDEX('02b_DC_Accelerator_Mix'!$N$2:$N$977,MATCH(G950,'02b_DC_Accelerator_Mix'!$A$2:$A$977,0)),0)</f>
        <v/>
      </c>
      <c r="R950" s="28">
        <f>H950*I950</f>
        <v/>
      </c>
      <c r="S950" s="28">
        <f>H950*J950</f>
        <v/>
      </c>
      <c r="T950" s="28">
        <f>H950*K950</f>
        <v/>
      </c>
      <c r="U950" s="28">
        <f>H950*L950</f>
        <v/>
      </c>
      <c r="V950" s="28">
        <f>H950*M950</f>
        <v/>
      </c>
      <c r="W950" s="28">
        <f>H950*N950</f>
        <v/>
      </c>
      <c r="X950" s="28">
        <f>H950*O950</f>
        <v/>
      </c>
      <c r="Y950" s="28">
        <f>H950*P950</f>
        <v/>
      </c>
      <c r="Z950" s="28">
        <f>H950*Q950</f>
        <v/>
      </c>
      <c r="AA950" s="28">
        <f>SUM(U950:Z950)</f>
        <v/>
      </c>
      <c r="AB950" s="5">
        <f>IF(COUNTIF('02b_DC_Accelerator_Mix'!$A$2:$A$977,G950)&gt;0,"matched","missing_mix")</f>
        <v/>
      </c>
    </row>
    <row r="951">
      <c r="A951" s="5">
        <f>'02a_DC_Capacity_Alloc'!A951</f>
        <v/>
      </c>
      <c r="B951" s="5">
        <f>'02a_DC_Capacity_Alloc'!B951</f>
        <v/>
      </c>
      <c r="C951" s="5">
        <f>'02a_DC_Capacity_Alloc'!C951</f>
        <v/>
      </c>
      <c r="D951" s="5">
        <f>'02a_DC_Capacity_Alloc'!D951</f>
        <v/>
      </c>
      <c r="E951" s="5">
        <f>'02a_DC_Capacity_Alloc'!E951</f>
        <v/>
      </c>
      <c r="F951" s="5">
        <f>'02a_DC_Capacity_Alloc'!F951</f>
        <v/>
      </c>
      <c r="G951" s="5">
        <f>B951&amp;"|"&amp;E951&amp;"|"&amp;D951</f>
        <v/>
      </c>
      <c r="H951" s="28">
        <f>'02a_DC_Capacity_Alloc'!H951*'02a_DC_Capacity_Alloc'!I951*'02a_DC_Capacity_Alloc'!J951</f>
        <v/>
      </c>
      <c r="I951" s="6">
        <f>IFERROR(INDEX('02b_DC_Accelerator_Mix'!$F$2:$F$977,MATCH(G951,'02b_DC_Accelerator_Mix'!$A$2:$A$977,0)),0)</f>
        <v/>
      </c>
      <c r="J951" s="6">
        <f>IFERROR(INDEX('02b_DC_Accelerator_Mix'!$G$2:$G$977,MATCH(G951,'02b_DC_Accelerator_Mix'!$A$2:$A$977,0)),0)</f>
        <v/>
      </c>
      <c r="K951" s="6">
        <f>IFERROR(INDEX('02b_DC_Accelerator_Mix'!$H$2:$H$977,MATCH(G951,'02b_DC_Accelerator_Mix'!$A$2:$A$977,0)),0)</f>
        <v/>
      </c>
      <c r="L951" s="6">
        <f>IFERROR(INDEX('02b_DC_Accelerator_Mix'!$I$2:$I$977,MATCH(G951,'02b_DC_Accelerator_Mix'!$A$2:$A$977,0)),0)</f>
        <v/>
      </c>
      <c r="M951" s="6">
        <f>IFERROR(INDEX('02b_DC_Accelerator_Mix'!$J$2:$J$977,MATCH(G951,'02b_DC_Accelerator_Mix'!$A$2:$A$977,0)),0)</f>
        <v/>
      </c>
      <c r="N951" s="6">
        <f>IFERROR(INDEX('02b_DC_Accelerator_Mix'!$K$2:$K$977,MATCH(G951,'02b_DC_Accelerator_Mix'!$A$2:$A$977,0)),0)</f>
        <v/>
      </c>
      <c r="O951" s="6">
        <f>IFERROR(INDEX('02b_DC_Accelerator_Mix'!$L$2:$L$977,MATCH(G951,'02b_DC_Accelerator_Mix'!$A$2:$A$977,0)),0)</f>
        <v/>
      </c>
      <c r="P951" s="6">
        <f>IFERROR(INDEX('02b_DC_Accelerator_Mix'!$M$2:$M$977,MATCH(G951,'02b_DC_Accelerator_Mix'!$A$2:$A$977,0)),0)</f>
        <v/>
      </c>
      <c r="Q951" s="6">
        <f>IFERROR(INDEX('02b_DC_Accelerator_Mix'!$N$2:$N$977,MATCH(G951,'02b_DC_Accelerator_Mix'!$A$2:$A$977,0)),0)</f>
        <v/>
      </c>
      <c r="R951" s="28">
        <f>H951*I951</f>
        <v/>
      </c>
      <c r="S951" s="28">
        <f>H951*J951</f>
        <v/>
      </c>
      <c r="T951" s="28">
        <f>H951*K951</f>
        <v/>
      </c>
      <c r="U951" s="28">
        <f>H951*L951</f>
        <v/>
      </c>
      <c r="V951" s="28">
        <f>H951*M951</f>
        <v/>
      </c>
      <c r="W951" s="28">
        <f>H951*N951</f>
        <v/>
      </c>
      <c r="X951" s="28">
        <f>H951*O951</f>
        <v/>
      </c>
      <c r="Y951" s="28">
        <f>H951*P951</f>
        <v/>
      </c>
      <c r="Z951" s="28">
        <f>H951*Q951</f>
        <v/>
      </c>
      <c r="AA951" s="28">
        <f>SUM(U951:Z951)</f>
        <v/>
      </c>
      <c r="AB951" s="5">
        <f>IF(COUNTIF('02b_DC_Accelerator_Mix'!$A$2:$A$977,G951)&gt;0,"matched","missing_mix")</f>
        <v/>
      </c>
    </row>
    <row r="952">
      <c r="A952" s="5">
        <f>'02a_DC_Capacity_Alloc'!A952</f>
        <v/>
      </c>
      <c r="B952" s="5">
        <f>'02a_DC_Capacity_Alloc'!B952</f>
        <v/>
      </c>
      <c r="C952" s="5">
        <f>'02a_DC_Capacity_Alloc'!C952</f>
        <v/>
      </c>
      <c r="D952" s="5">
        <f>'02a_DC_Capacity_Alloc'!D952</f>
        <v/>
      </c>
      <c r="E952" s="5">
        <f>'02a_DC_Capacity_Alloc'!E952</f>
        <v/>
      </c>
      <c r="F952" s="5">
        <f>'02a_DC_Capacity_Alloc'!F952</f>
        <v/>
      </c>
      <c r="G952" s="5">
        <f>B952&amp;"|"&amp;E952&amp;"|"&amp;D952</f>
        <v/>
      </c>
      <c r="H952" s="28">
        <f>'02a_DC_Capacity_Alloc'!H952*'02a_DC_Capacity_Alloc'!I952*'02a_DC_Capacity_Alloc'!J952</f>
        <v/>
      </c>
      <c r="I952" s="6">
        <f>IFERROR(INDEX('02b_DC_Accelerator_Mix'!$F$2:$F$977,MATCH(G952,'02b_DC_Accelerator_Mix'!$A$2:$A$977,0)),0)</f>
        <v/>
      </c>
      <c r="J952" s="6">
        <f>IFERROR(INDEX('02b_DC_Accelerator_Mix'!$G$2:$G$977,MATCH(G952,'02b_DC_Accelerator_Mix'!$A$2:$A$977,0)),0)</f>
        <v/>
      </c>
      <c r="K952" s="6">
        <f>IFERROR(INDEX('02b_DC_Accelerator_Mix'!$H$2:$H$977,MATCH(G952,'02b_DC_Accelerator_Mix'!$A$2:$A$977,0)),0)</f>
        <v/>
      </c>
      <c r="L952" s="6">
        <f>IFERROR(INDEX('02b_DC_Accelerator_Mix'!$I$2:$I$977,MATCH(G952,'02b_DC_Accelerator_Mix'!$A$2:$A$977,0)),0)</f>
        <v/>
      </c>
      <c r="M952" s="6">
        <f>IFERROR(INDEX('02b_DC_Accelerator_Mix'!$J$2:$J$977,MATCH(G952,'02b_DC_Accelerator_Mix'!$A$2:$A$977,0)),0)</f>
        <v/>
      </c>
      <c r="N952" s="6">
        <f>IFERROR(INDEX('02b_DC_Accelerator_Mix'!$K$2:$K$977,MATCH(G952,'02b_DC_Accelerator_Mix'!$A$2:$A$977,0)),0)</f>
        <v/>
      </c>
      <c r="O952" s="6">
        <f>IFERROR(INDEX('02b_DC_Accelerator_Mix'!$L$2:$L$977,MATCH(G952,'02b_DC_Accelerator_Mix'!$A$2:$A$977,0)),0)</f>
        <v/>
      </c>
      <c r="P952" s="6">
        <f>IFERROR(INDEX('02b_DC_Accelerator_Mix'!$M$2:$M$977,MATCH(G952,'02b_DC_Accelerator_Mix'!$A$2:$A$977,0)),0)</f>
        <v/>
      </c>
      <c r="Q952" s="6">
        <f>IFERROR(INDEX('02b_DC_Accelerator_Mix'!$N$2:$N$977,MATCH(G952,'02b_DC_Accelerator_Mix'!$A$2:$A$977,0)),0)</f>
        <v/>
      </c>
      <c r="R952" s="28">
        <f>H952*I952</f>
        <v/>
      </c>
      <c r="S952" s="28">
        <f>H952*J952</f>
        <v/>
      </c>
      <c r="T952" s="28">
        <f>H952*K952</f>
        <v/>
      </c>
      <c r="U952" s="28">
        <f>H952*L952</f>
        <v/>
      </c>
      <c r="V952" s="28">
        <f>H952*M952</f>
        <v/>
      </c>
      <c r="W952" s="28">
        <f>H952*N952</f>
        <v/>
      </c>
      <c r="X952" s="28">
        <f>H952*O952</f>
        <v/>
      </c>
      <c r="Y952" s="28">
        <f>H952*P952</f>
        <v/>
      </c>
      <c r="Z952" s="28">
        <f>H952*Q952</f>
        <v/>
      </c>
      <c r="AA952" s="28">
        <f>SUM(U952:Z952)</f>
        <v/>
      </c>
      <c r="AB952" s="5">
        <f>IF(COUNTIF('02b_DC_Accelerator_Mix'!$A$2:$A$977,G952)&gt;0,"matched","missing_mix")</f>
        <v/>
      </c>
    </row>
    <row r="953">
      <c r="A953" s="5">
        <f>'02a_DC_Capacity_Alloc'!A953</f>
        <v/>
      </c>
      <c r="B953" s="5">
        <f>'02a_DC_Capacity_Alloc'!B953</f>
        <v/>
      </c>
      <c r="C953" s="5">
        <f>'02a_DC_Capacity_Alloc'!C953</f>
        <v/>
      </c>
      <c r="D953" s="5">
        <f>'02a_DC_Capacity_Alloc'!D953</f>
        <v/>
      </c>
      <c r="E953" s="5">
        <f>'02a_DC_Capacity_Alloc'!E953</f>
        <v/>
      </c>
      <c r="F953" s="5">
        <f>'02a_DC_Capacity_Alloc'!F953</f>
        <v/>
      </c>
      <c r="G953" s="5">
        <f>B953&amp;"|"&amp;E953&amp;"|"&amp;D953</f>
        <v/>
      </c>
      <c r="H953" s="28">
        <f>'02a_DC_Capacity_Alloc'!H953*'02a_DC_Capacity_Alloc'!I953*'02a_DC_Capacity_Alloc'!J953</f>
        <v/>
      </c>
      <c r="I953" s="6">
        <f>IFERROR(INDEX('02b_DC_Accelerator_Mix'!$F$2:$F$977,MATCH(G953,'02b_DC_Accelerator_Mix'!$A$2:$A$977,0)),0)</f>
        <v/>
      </c>
      <c r="J953" s="6">
        <f>IFERROR(INDEX('02b_DC_Accelerator_Mix'!$G$2:$G$977,MATCH(G953,'02b_DC_Accelerator_Mix'!$A$2:$A$977,0)),0)</f>
        <v/>
      </c>
      <c r="K953" s="6">
        <f>IFERROR(INDEX('02b_DC_Accelerator_Mix'!$H$2:$H$977,MATCH(G953,'02b_DC_Accelerator_Mix'!$A$2:$A$977,0)),0)</f>
        <v/>
      </c>
      <c r="L953" s="6">
        <f>IFERROR(INDEX('02b_DC_Accelerator_Mix'!$I$2:$I$977,MATCH(G953,'02b_DC_Accelerator_Mix'!$A$2:$A$977,0)),0)</f>
        <v/>
      </c>
      <c r="M953" s="6">
        <f>IFERROR(INDEX('02b_DC_Accelerator_Mix'!$J$2:$J$977,MATCH(G953,'02b_DC_Accelerator_Mix'!$A$2:$A$977,0)),0)</f>
        <v/>
      </c>
      <c r="N953" s="6">
        <f>IFERROR(INDEX('02b_DC_Accelerator_Mix'!$K$2:$K$977,MATCH(G953,'02b_DC_Accelerator_Mix'!$A$2:$A$977,0)),0)</f>
        <v/>
      </c>
      <c r="O953" s="6">
        <f>IFERROR(INDEX('02b_DC_Accelerator_Mix'!$L$2:$L$977,MATCH(G953,'02b_DC_Accelerator_Mix'!$A$2:$A$977,0)),0)</f>
        <v/>
      </c>
      <c r="P953" s="6">
        <f>IFERROR(INDEX('02b_DC_Accelerator_Mix'!$M$2:$M$977,MATCH(G953,'02b_DC_Accelerator_Mix'!$A$2:$A$977,0)),0)</f>
        <v/>
      </c>
      <c r="Q953" s="6">
        <f>IFERROR(INDEX('02b_DC_Accelerator_Mix'!$N$2:$N$977,MATCH(G953,'02b_DC_Accelerator_Mix'!$A$2:$A$977,0)),0)</f>
        <v/>
      </c>
      <c r="R953" s="28">
        <f>H953*I953</f>
        <v/>
      </c>
      <c r="S953" s="28">
        <f>H953*J953</f>
        <v/>
      </c>
      <c r="T953" s="28">
        <f>H953*K953</f>
        <v/>
      </c>
      <c r="U953" s="28">
        <f>H953*L953</f>
        <v/>
      </c>
      <c r="V953" s="28">
        <f>H953*M953</f>
        <v/>
      </c>
      <c r="W953" s="28">
        <f>H953*N953</f>
        <v/>
      </c>
      <c r="X953" s="28">
        <f>H953*O953</f>
        <v/>
      </c>
      <c r="Y953" s="28">
        <f>H953*P953</f>
        <v/>
      </c>
      <c r="Z953" s="28">
        <f>H953*Q953</f>
        <v/>
      </c>
      <c r="AA953" s="28">
        <f>SUM(U953:Z953)</f>
        <v/>
      </c>
      <c r="AB953" s="5">
        <f>IF(COUNTIF('02b_DC_Accelerator_Mix'!$A$2:$A$977,G953)&gt;0,"matched","missing_mix")</f>
        <v/>
      </c>
    </row>
    <row r="954">
      <c r="A954" s="5">
        <f>'02a_DC_Capacity_Alloc'!A954</f>
        <v/>
      </c>
      <c r="B954" s="5">
        <f>'02a_DC_Capacity_Alloc'!B954</f>
        <v/>
      </c>
      <c r="C954" s="5">
        <f>'02a_DC_Capacity_Alloc'!C954</f>
        <v/>
      </c>
      <c r="D954" s="5">
        <f>'02a_DC_Capacity_Alloc'!D954</f>
        <v/>
      </c>
      <c r="E954" s="5">
        <f>'02a_DC_Capacity_Alloc'!E954</f>
        <v/>
      </c>
      <c r="F954" s="5">
        <f>'02a_DC_Capacity_Alloc'!F954</f>
        <v/>
      </c>
      <c r="G954" s="5">
        <f>B954&amp;"|"&amp;E954&amp;"|"&amp;D954</f>
        <v/>
      </c>
      <c r="H954" s="28">
        <f>'02a_DC_Capacity_Alloc'!H954*'02a_DC_Capacity_Alloc'!I954*'02a_DC_Capacity_Alloc'!J954</f>
        <v/>
      </c>
      <c r="I954" s="6">
        <f>IFERROR(INDEX('02b_DC_Accelerator_Mix'!$F$2:$F$977,MATCH(G954,'02b_DC_Accelerator_Mix'!$A$2:$A$977,0)),0)</f>
        <v/>
      </c>
      <c r="J954" s="6">
        <f>IFERROR(INDEX('02b_DC_Accelerator_Mix'!$G$2:$G$977,MATCH(G954,'02b_DC_Accelerator_Mix'!$A$2:$A$977,0)),0)</f>
        <v/>
      </c>
      <c r="K954" s="6">
        <f>IFERROR(INDEX('02b_DC_Accelerator_Mix'!$H$2:$H$977,MATCH(G954,'02b_DC_Accelerator_Mix'!$A$2:$A$977,0)),0)</f>
        <v/>
      </c>
      <c r="L954" s="6">
        <f>IFERROR(INDEX('02b_DC_Accelerator_Mix'!$I$2:$I$977,MATCH(G954,'02b_DC_Accelerator_Mix'!$A$2:$A$977,0)),0)</f>
        <v/>
      </c>
      <c r="M954" s="6">
        <f>IFERROR(INDEX('02b_DC_Accelerator_Mix'!$J$2:$J$977,MATCH(G954,'02b_DC_Accelerator_Mix'!$A$2:$A$977,0)),0)</f>
        <v/>
      </c>
      <c r="N954" s="6">
        <f>IFERROR(INDEX('02b_DC_Accelerator_Mix'!$K$2:$K$977,MATCH(G954,'02b_DC_Accelerator_Mix'!$A$2:$A$977,0)),0)</f>
        <v/>
      </c>
      <c r="O954" s="6">
        <f>IFERROR(INDEX('02b_DC_Accelerator_Mix'!$L$2:$L$977,MATCH(G954,'02b_DC_Accelerator_Mix'!$A$2:$A$977,0)),0)</f>
        <v/>
      </c>
      <c r="P954" s="6">
        <f>IFERROR(INDEX('02b_DC_Accelerator_Mix'!$M$2:$M$977,MATCH(G954,'02b_DC_Accelerator_Mix'!$A$2:$A$977,0)),0)</f>
        <v/>
      </c>
      <c r="Q954" s="6">
        <f>IFERROR(INDEX('02b_DC_Accelerator_Mix'!$N$2:$N$977,MATCH(G954,'02b_DC_Accelerator_Mix'!$A$2:$A$977,0)),0)</f>
        <v/>
      </c>
      <c r="R954" s="28">
        <f>H954*I954</f>
        <v/>
      </c>
      <c r="S954" s="28">
        <f>H954*J954</f>
        <v/>
      </c>
      <c r="T954" s="28">
        <f>H954*K954</f>
        <v/>
      </c>
      <c r="U954" s="28">
        <f>H954*L954</f>
        <v/>
      </c>
      <c r="V954" s="28">
        <f>H954*M954</f>
        <v/>
      </c>
      <c r="W954" s="28">
        <f>H954*N954</f>
        <v/>
      </c>
      <c r="X954" s="28">
        <f>H954*O954</f>
        <v/>
      </c>
      <c r="Y954" s="28">
        <f>H954*P954</f>
        <v/>
      </c>
      <c r="Z954" s="28">
        <f>H954*Q954</f>
        <v/>
      </c>
      <c r="AA954" s="28">
        <f>SUM(U954:Z954)</f>
        <v/>
      </c>
      <c r="AB954" s="5">
        <f>IF(COUNTIF('02b_DC_Accelerator_Mix'!$A$2:$A$977,G954)&gt;0,"matched","missing_mix")</f>
        <v/>
      </c>
    </row>
    <row r="955">
      <c r="A955" s="5">
        <f>'02a_DC_Capacity_Alloc'!A955</f>
        <v/>
      </c>
      <c r="B955" s="5">
        <f>'02a_DC_Capacity_Alloc'!B955</f>
        <v/>
      </c>
      <c r="C955" s="5">
        <f>'02a_DC_Capacity_Alloc'!C955</f>
        <v/>
      </c>
      <c r="D955" s="5">
        <f>'02a_DC_Capacity_Alloc'!D955</f>
        <v/>
      </c>
      <c r="E955" s="5">
        <f>'02a_DC_Capacity_Alloc'!E955</f>
        <v/>
      </c>
      <c r="F955" s="5">
        <f>'02a_DC_Capacity_Alloc'!F955</f>
        <v/>
      </c>
      <c r="G955" s="5">
        <f>B955&amp;"|"&amp;E955&amp;"|"&amp;D955</f>
        <v/>
      </c>
      <c r="H955" s="28">
        <f>'02a_DC_Capacity_Alloc'!H955*'02a_DC_Capacity_Alloc'!I955*'02a_DC_Capacity_Alloc'!J955</f>
        <v/>
      </c>
      <c r="I955" s="6">
        <f>IFERROR(INDEX('02b_DC_Accelerator_Mix'!$F$2:$F$977,MATCH(G955,'02b_DC_Accelerator_Mix'!$A$2:$A$977,0)),0)</f>
        <v/>
      </c>
      <c r="J955" s="6">
        <f>IFERROR(INDEX('02b_DC_Accelerator_Mix'!$G$2:$G$977,MATCH(G955,'02b_DC_Accelerator_Mix'!$A$2:$A$977,0)),0)</f>
        <v/>
      </c>
      <c r="K955" s="6">
        <f>IFERROR(INDEX('02b_DC_Accelerator_Mix'!$H$2:$H$977,MATCH(G955,'02b_DC_Accelerator_Mix'!$A$2:$A$977,0)),0)</f>
        <v/>
      </c>
      <c r="L955" s="6">
        <f>IFERROR(INDEX('02b_DC_Accelerator_Mix'!$I$2:$I$977,MATCH(G955,'02b_DC_Accelerator_Mix'!$A$2:$A$977,0)),0)</f>
        <v/>
      </c>
      <c r="M955" s="6">
        <f>IFERROR(INDEX('02b_DC_Accelerator_Mix'!$J$2:$J$977,MATCH(G955,'02b_DC_Accelerator_Mix'!$A$2:$A$977,0)),0)</f>
        <v/>
      </c>
      <c r="N955" s="6">
        <f>IFERROR(INDEX('02b_DC_Accelerator_Mix'!$K$2:$K$977,MATCH(G955,'02b_DC_Accelerator_Mix'!$A$2:$A$977,0)),0)</f>
        <v/>
      </c>
      <c r="O955" s="6">
        <f>IFERROR(INDEX('02b_DC_Accelerator_Mix'!$L$2:$L$977,MATCH(G955,'02b_DC_Accelerator_Mix'!$A$2:$A$977,0)),0)</f>
        <v/>
      </c>
      <c r="P955" s="6">
        <f>IFERROR(INDEX('02b_DC_Accelerator_Mix'!$M$2:$M$977,MATCH(G955,'02b_DC_Accelerator_Mix'!$A$2:$A$977,0)),0)</f>
        <v/>
      </c>
      <c r="Q955" s="6">
        <f>IFERROR(INDEX('02b_DC_Accelerator_Mix'!$N$2:$N$977,MATCH(G955,'02b_DC_Accelerator_Mix'!$A$2:$A$977,0)),0)</f>
        <v/>
      </c>
      <c r="R955" s="28">
        <f>H955*I955</f>
        <v/>
      </c>
      <c r="S955" s="28">
        <f>H955*J955</f>
        <v/>
      </c>
      <c r="T955" s="28">
        <f>H955*K955</f>
        <v/>
      </c>
      <c r="U955" s="28">
        <f>H955*L955</f>
        <v/>
      </c>
      <c r="V955" s="28">
        <f>H955*M955</f>
        <v/>
      </c>
      <c r="W955" s="28">
        <f>H955*N955</f>
        <v/>
      </c>
      <c r="X955" s="28">
        <f>H955*O955</f>
        <v/>
      </c>
      <c r="Y955" s="28">
        <f>H955*P955</f>
        <v/>
      </c>
      <c r="Z955" s="28">
        <f>H955*Q955</f>
        <v/>
      </c>
      <c r="AA955" s="28">
        <f>SUM(U955:Z955)</f>
        <v/>
      </c>
      <c r="AB955" s="5">
        <f>IF(COUNTIF('02b_DC_Accelerator_Mix'!$A$2:$A$977,G955)&gt;0,"matched","missing_mix")</f>
        <v/>
      </c>
    </row>
    <row r="956">
      <c r="A956" s="5">
        <f>'02a_DC_Capacity_Alloc'!A956</f>
        <v/>
      </c>
      <c r="B956" s="5">
        <f>'02a_DC_Capacity_Alloc'!B956</f>
        <v/>
      </c>
      <c r="C956" s="5">
        <f>'02a_DC_Capacity_Alloc'!C956</f>
        <v/>
      </c>
      <c r="D956" s="5">
        <f>'02a_DC_Capacity_Alloc'!D956</f>
        <v/>
      </c>
      <c r="E956" s="5">
        <f>'02a_DC_Capacity_Alloc'!E956</f>
        <v/>
      </c>
      <c r="F956" s="5">
        <f>'02a_DC_Capacity_Alloc'!F956</f>
        <v/>
      </c>
      <c r="G956" s="5">
        <f>B956&amp;"|"&amp;E956&amp;"|"&amp;D956</f>
        <v/>
      </c>
      <c r="H956" s="28">
        <f>'02a_DC_Capacity_Alloc'!H956*'02a_DC_Capacity_Alloc'!I956*'02a_DC_Capacity_Alloc'!J956</f>
        <v/>
      </c>
      <c r="I956" s="6">
        <f>IFERROR(INDEX('02b_DC_Accelerator_Mix'!$F$2:$F$977,MATCH(G956,'02b_DC_Accelerator_Mix'!$A$2:$A$977,0)),0)</f>
        <v/>
      </c>
      <c r="J956" s="6">
        <f>IFERROR(INDEX('02b_DC_Accelerator_Mix'!$G$2:$G$977,MATCH(G956,'02b_DC_Accelerator_Mix'!$A$2:$A$977,0)),0)</f>
        <v/>
      </c>
      <c r="K956" s="6">
        <f>IFERROR(INDEX('02b_DC_Accelerator_Mix'!$H$2:$H$977,MATCH(G956,'02b_DC_Accelerator_Mix'!$A$2:$A$977,0)),0)</f>
        <v/>
      </c>
      <c r="L956" s="6">
        <f>IFERROR(INDEX('02b_DC_Accelerator_Mix'!$I$2:$I$977,MATCH(G956,'02b_DC_Accelerator_Mix'!$A$2:$A$977,0)),0)</f>
        <v/>
      </c>
      <c r="M956" s="6">
        <f>IFERROR(INDEX('02b_DC_Accelerator_Mix'!$J$2:$J$977,MATCH(G956,'02b_DC_Accelerator_Mix'!$A$2:$A$977,0)),0)</f>
        <v/>
      </c>
      <c r="N956" s="6">
        <f>IFERROR(INDEX('02b_DC_Accelerator_Mix'!$K$2:$K$977,MATCH(G956,'02b_DC_Accelerator_Mix'!$A$2:$A$977,0)),0)</f>
        <v/>
      </c>
      <c r="O956" s="6">
        <f>IFERROR(INDEX('02b_DC_Accelerator_Mix'!$L$2:$L$977,MATCH(G956,'02b_DC_Accelerator_Mix'!$A$2:$A$977,0)),0)</f>
        <v/>
      </c>
      <c r="P956" s="6">
        <f>IFERROR(INDEX('02b_DC_Accelerator_Mix'!$M$2:$M$977,MATCH(G956,'02b_DC_Accelerator_Mix'!$A$2:$A$977,0)),0)</f>
        <v/>
      </c>
      <c r="Q956" s="6">
        <f>IFERROR(INDEX('02b_DC_Accelerator_Mix'!$N$2:$N$977,MATCH(G956,'02b_DC_Accelerator_Mix'!$A$2:$A$977,0)),0)</f>
        <v/>
      </c>
      <c r="R956" s="28">
        <f>H956*I956</f>
        <v/>
      </c>
      <c r="S956" s="28">
        <f>H956*J956</f>
        <v/>
      </c>
      <c r="T956" s="28">
        <f>H956*K956</f>
        <v/>
      </c>
      <c r="U956" s="28">
        <f>H956*L956</f>
        <v/>
      </c>
      <c r="V956" s="28">
        <f>H956*M956</f>
        <v/>
      </c>
      <c r="W956" s="28">
        <f>H956*N956</f>
        <v/>
      </c>
      <c r="X956" s="28">
        <f>H956*O956</f>
        <v/>
      </c>
      <c r="Y956" s="28">
        <f>H956*P956</f>
        <v/>
      </c>
      <c r="Z956" s="28">
        <f>H956*Q956</f>
        <v/>
      </c>
      <c r="AA956" s="28">
        <f>SUM(U956:Z956)</f>
        <v/>
      </c>
      <c r="AB956" s="5">
        <f>IF(COUNTIF('02b_DC_Accelerator_Mix'!$A$2:$A$977,G956)&gt;0,"matched","missing_mix")</f>
        <v/>
      </c>
    </row>
    <row r="957">
      <c r="A957" s="5">
        <f>'02a_DC_Capacity_Alloc'!A957</f>
        <v/>
      </c>
      <c r="B957" s="5">
        <f>'02a_DC_Capacity_Alloc'!B957</f>
        <v/>
      </c>
      <c r="C957" s="5">
        <f>'02a_DC_Capacity_Alloc'!C957</f>
        <v/>
      </c>
      <c r="D957" s="5">
        <f>'02a_DC_Capacity_Alloc'!D957</f>
        <v/>
      </c>
      <c r="E957" s="5">
        <f>'02a_DC_Capacity_Alloc'!E957</f>
        <v/>
      </c>
      <c r="F957" s="5">
        <f>'02a_DC_Capacity_Alloc'!F957</f>
        <v/>
      </c>
      <c r="G957" s="5">
        <f>B957&amp;"|"&amp;E957&amp;"|"&amp;D957</f>
        <v/>
      </c>
      <c r="H957" s="28">
        <f>'02a_DC_Capacity_Alloc'!H957*'02a_DC_Capacity_Alloc'!I957*'02a_DC_Capacity_Alloc'!J957</f>
        <v/>
      </c>
      <c r="I957" s="6">
        <f>IFERROR(INDEX('02b_DC_Accelerator_Mix'!$F$2:$F$977,MATCH(G957,'02b_DC_Accelerator_Mix'!$A$2:$A$977,0)),0)</f>
        <v/>
      </c>
      <c r="J957" s="6">
        <f>IFERROR(INDEX('02b_DC_Accelerator_Mix'!$G$2:$G$977,MATCH(G957,'02b_DC_Accelerator_Mix'!$A$2:$A$977,0)),0)</f>
        <v/>
      </c>
      <c r="K957" s="6">
        <f>IFERROR(INDEX('02b_DC_Accelerator_Mix'!$H$2:$H$977,MATCH(G957,'02b_DC_Accelerator_Mix'!$A$2:$A$977,0)),0)</f>
        <v/>
      </c>
      <c r="L957" s="6">
        <f>IFERROR(INDEX('02b_DC_Accelerator_Mix'!$I$2:$I$977,MATCH(G957,'02b_DC_Accelerator_Mix'!$A$2:$A$977,0)),0)</f>
        <v/>
      </c>
      <c r="M957" s="6">
        <f>IFERROR(INDEX('02b_DC_Accelerator_Mix'!$J$2:$J$977,MATCH(G957,'02b_DC_Accelerator_Mix'!$A$2:$A$977,0)),0)</f>
        <v/>
      </c>
      <c r="N957" s="6">
        <f>IFERROR(INDEX('02b_DC_Accelerator_Mix'!$K$2:$K$977,MATCH(G957,'02b_DC_Accelerator_Mix'!$A$2:$A$977,0)),0)</f>
        <v/>
      </c>
      <c r="O957" s="6">
        <f>IFERROR(INDEX('02b_DC_Accelerator_Mix'!$L$2:$L$977,MATCH(G957,'02b_DC_Accelerator_Mix'!$A$2:$A$977,0)),0)</f>
        <v/>
      </c>
      <c r="P957" s="6">
        <f>IFERROR(INDEX('02b_DC_Accelerator_Mix'!$M$2:$M$977,MATCH(G957,'02b_DC_Accelerator_Mix'!$A$2:$A$977,0)),0)</f>
        <v/>
      </c>
      <c r="Q957" s="6">
        <f>IFERROR(INDEX('02b_DC_Accelerator_Mix'!$N$2:$N$977,MATCH(G957,'02b_DC_Accelerator_Mix'!$A$2:$A$977,0)),0)</f>
        <v/>
      </c>
      <c r="R957" s="28">
        <f>H957*I957</f>
        <v/>
      </c>
      <c r="S957" s="28">
        <f>H957*J957</f>
        <v/>
      </c>
      <c r="T957" s="28">
        <f>H957*K957</f>
        <v/>
      </c>
      <c r="U957" s="28">
        <f>H957*L957</f>
        <v/>
      </c>
      <c r="V957" s="28">
        <f>H957*M957</f>
        <v/>
      </c>
      <c r="W957" s="28">
        <f>H957*N957</f>
        <v/>
      </c>
      <c r="X957" s="28">
        <f>H957*O957</f>
        <v/>
      </c>
      <c r="Y957" s="28">
        <f>H957*P957</f>
        <v/>
      </c>
      <c r="Z957" s="28">
        <f>H957*Q957</f>
        <v/>
      </c>
      <c r="AA957" s="28">
        <f>SUM(U957:Z957)</f>
        <v/>
      </c>
      <c r="AB957" s="5">
        <f>IF(COUNTIF('02b_DC_Accelerator_Mix'!$A$2:$A$977,G957)&gt;0,"matched","missing_mix")</f>
        <v/>
      </c>
    </row>
    <row r="958">
      <c r="A958" s="5">
        <f>'02a_DC_Capacity_Alloc'!A958</f>
        <v/>
      </c>
      <c r="B958" s="5">
        <f>'02a_DC_Capacity_Alloc'!B958</f>
        <v/>
      </c>
      <c r="C958" s="5">
        <f>'02a_DC_Capacity_Alloc'!C958</f>
        <v/>
      </c>
      <c r="D958" s="5">
        <f>'02a_DC_Capacity_Alloc'!D958</f>
        <v/>
      </c>
      <c r="E958" s="5">
        <f>'02a_DC_Capacity_Alloc'!E958</f>
        <v/>
      </c>
      <c r="F958" s="5">
        <f>'02a_DC_Capacity_Alloc'!F958</f>
        <v/>
      </c>
      <c r="G958" s="5">
        <f>B958&amp;"|"&amp;E958&amp;"|"&amp;D958</f>
        <v/>
      </c>
      <c r="H958" s="28">
        <f>'02a_DC_Capacity_Alloc'!H958*'02a_DC_Capacity_Alloc'!I958*'02a_DC_Capacity_Alloc'!J958</f>
        <v/>
      </c>
      <c r="I958" s="6">
        <f>IFERROR(INDEX('02b_DC_Accelerator_Mix'!$F$2:$F$977,MATCH(G958,'02b_DC_Accelerator_Mix'!$A$2:$A$977,0)),0)</f>
        <v/>
      </c>
      <c r="J958" s="6">
        <f>IFERROR(INDEX('02b_DC_Accelerator_Mix'!$G$2:$G$977,MATCH(G958,'02b_DC_Accelerator_Mix'!$A$2:$A$977,0)),0)</f>
        <v/>
      </c>
      <c r="K958" s="6">
        <f>IFERROR(INDEX('02b_DC_Accelerator_Mix'!$H$2:$H$977,MATCH(G958,'02b_DC_Accelerator_Mix'!$A$2:$A$977,0)),0)</f>
        <v/>
      </c>
      <c r="L958" s="6">
        <f>IFERROR(INDEX('02b_DC_Accelerator_Mix'!$I$2:$I$977,MATCH(G958,'02b_DC_Accelerator_Mix'!$A$2:$A$977,0)),0)</f>
        <v/>
      </c>
      <c r="M958" s="6">
        <f>IFERROR(INDEX('02b_DC_Accelerator_Mix'!$J$2:$J$977,MATCH(G958,'02b_DC_Accelerator_Mix'!$A$2:$A$977,0)),0)</f>
        <v/>
      </c>
      <c r="N958" s="6">
        <f>IFERROR(INDEX('02b_DC_Accelerator_Mix'!$K$2:$K$977,MATCH(G958,'02b_DC_Accelerator_Mix'!$A$2:$A$977,0)),0)</f>
        <v/>
      </c>
      <c r="O958" s="6">
        <f>IFERROR(INDEX('02b_DC_Accelerator_Mix'!$L$2:$L$977,MATCH(G958,'02b_DC_Accelerator_Mix'!$A$2:$A$977,0)),0)</f>
        <v/>
      </c>
      <c r="P958" s="6">
        <f>IFERROR(INDEX('02b_DC_Accelerator_Mix'!$M$2:$M$977,MATCH(G958,'02b_DC_Accelerator_Mix'!$A$2:$A$977,0)),0)</f>
        <v/>
      </c>
      <c r="Q958" s="6">
        <f>IFERROR(INDEX('02b_DC_Accelerator_Mix'!$N$2:$N$977,MATCH(G958,'02b_DC_Accelerator_Mix'!$A$2:$A$977,0)),0)</f>
        <v/>
      </c>
      <c r="R958" s="28">
        <f>H958*I958</f>
        <v/>
      </c>
      <c r="S958" s="28">
        <f>H958*J958</f>
        <v/>
      </c>
      <c r="T958" s="28">
        <f>H958*K958</f>
        <v/>
      </c>
      <c r="U958" s="28">
        <f>H958*L958</f>
        <v/>
      </c>
      <c r="V958" s="28">
        <f>H958*M958</f>
        <v/>
      </c>
      <c r="W958" s="28">
        <f>H958*N958</f>
        <v/>
      </c>
      <c r="X958" s="28">
        <f>H958*O958</f>
        <v/>
      </c>
      <c r="Y958" s="28">
        <f>H958*P958</f>
        <v/>
      </c>
      <c r="Z958" s="28">
        <f>H958*Q958</f>
        <v/>
      </c>
      <c r="AA958" s="28">
        <f>SUM(U958:Z958)</f>
        <v/>
      </c>
      <c r="AB958" s="5">
        <f>IF(COUNTIF('02b_DC_Accelerator_Mix'!$A$2:$A$977,G958)&gt;0,"matched","missing_mix")</f>
        <v/>
      </c>
    </row>
    <row r="959">
      <c r="A959" s="5">
        <f>'02a_DC_Capacity_Alloc'!A959</f>
        <v/>
      </c>
      <c r="B959" s="5">
        <f>'02a_DC_Capacity_Alloc'!B959</f>
        <v/>
      </c>
      <c r="C959" s="5">
        <f>'02a_DC_Capacity_Alloc'!C959</f>
        <v/>
      </c>
      <c r="D959" s="5">
        <f>'02a_DC_Capacity_Alloc'!D959</f>
        <v/>
      </c>
      <c r="E959" s="5">
        <f>'02a_DC_Capacity_Alloc'!E959</f>
        <v/>
      </c>
      <c r="F959" s="5">
        <f>'02a_DC_Capacity_Alloc'!F959</f>
        <v/>
      </c>
      <c r="G959" s="5">
        <f>B959&amp;"|"&amp;E959&amp;"|"&amp;D959</f>
        <v/>
      </c>
      <c r="H959" s="28">
        <f>'02a_DC_Capacity_Alloc'!H959*'02a_DC_Capacity_Alloc'!I959*'02a_DC_Capacity_Alloc'!J959</f>
        <v/>
      </c>
      <c r="I959" s="6">
        <f>IFERROR(INDEX('02b_DC_Accelerator_Mix'!$F$2:$F$977,MATCH(G959,'02b_DC_Accelerator_Mix'!$A$2:$A$977,0)),0)</f>
        <v/>
      </c>
      <c r="J959" s="6">
        <f>IFERROR(INDEX('02b_DC_Accelerator_Mix'!$G$2:$G$977,MATCH(G959,'02b_DC_Accelerator_Mix'!$A$2:$A$977,0)),0)</f>
        <v/>
      </c>
      <c r="K959" s="6">
        <f>IFERROR(INDEX('02b_DC_Accelerator_Mix'!$H$2:$H$977,MATCH(G959,'02b_DC_Accelerator_Mix'!$A$2:$A$977,0)),0)</f>
        <v/>
      </c>
      <c r="L959" s="6">
        <f>IFERROR(INDEX('02b_DC_Accelerator_Mix'!$I$2:$I$977,MATCH(G959,'02b_DC_Accelerator_Mix'!$A$2:$A$977,0)),0)</f>
        <v/>
      </c>
      <c r="M959" s="6">
        <f>IFERROR(INDEX('02b_DC_Accelerator_Mix'!$J$2:$J$977,MATCH(G959,'02b_DC_Accelerator_Mix'!$A$2:$A$977,0)),0)</f>
        <v/>
      </c>
      <c r="N959" s="6">
        <f>IFERROR(INDEX('02b_DC_Accelerator_Mix'!$K$2:$K$977,MATCH(G959,'02b_DC_Accelerator_Mix'!$A$2:$A$977,0)),0)</f>
        <v/>
      </c>
      <c r="O959" s="6">
        <f>IFERROR(INDEX('02b_DC_Accelerator_Mix'!$L$2:$L$977,MATCH(G959,'02b_DC_Accelerator_Mix'!$A$2:$A$977,0)),0)</f>
        <v/>
      </c>
      <c r="P959" s="6">
        <f>IFERROR(INDEX('02b_DC_Accelerator_Mix'!$M$2:$M$977,MATCH(G959,'02b_DC_Accelerator_Mix'!$A$2:$A$977,0)),0)</f>
        <v/>
      </c>
      <c r="Q959" s="6">
        <f>IFERROR(INDEX('02b_DC_Accelerator_Mix'!$N$2:$N$977,MATCH(G959,'02b_DC_Accelerator_Mix'!$A$2:$A$977,0)),0)</f>
        <v/>
      </c>
      <c r="R959" s="28">
        <f>H959*I959</f>
        <v/>
      </c>
      <c r="S959" s="28">
        <f>H959*J959</f>
        <v/>
      </c>
      <c r="T959" s="28">
        <f>H959*K959</f>
        <v/>
      </c>
      <c r="U959" s="28">
        <f>H959*L959</f>
        <v/>
      </c>
      <c r="V959" s="28">
        <f>H959*M959</f>
        <v/>
      </c>
      <c r="W959" s="28">
        <f>H959*N959</f>
        <v/>
      </c>
      <c r="X959" s="28">
        <f>H959*O959</f>
        <v/>
      </c>
      <c r="Y959" s="28">
        <f>H959*P959</f>
        <v/>
      </c>
      <c r="Z959" s="28">
        <f>H959*Q959</f>
        <v/>
      </c>
      <c r="AA959" s="28">
        <f>SUM(U959:Z959)</f>
        <v/>
      </c>
      <c r="AB959" s="5">
        <f>IF(COUNTIF('02b_DC_Accelerator_Mix'!$A$2:$A$977,G959)&gt;0,"matched","missing_mix")</f>
        <v/>
      </c>
    </row>
    <row r="960">
      <c r="A960" s="5">
        <f>'02a_DC_Capacity_Alloc'!A960</f>
        <v/>
      </c>
      <c r="B960" s="5">
        <f>'02a_DC_Capacity_Alloc'!B960</f>
        <v/>
      </c>
      <c r="C960" s="5">
        <f>'02a_DC_Capacity_Alloc'!C960</f>
        <v/>
      </c>
      <c r="D960" s="5">
        <f>'02a_DC_Capacity_Alloc'!D960</f>
        <v/>
      </c>
      <c r="E960" s="5">
        <f>'02a_DC_Capacity_Alloc'!E960</f>
        <v/>
      </c>
      <c r="F960" s="5">
        <f>'02a_DC_Capacity_Alloc'!F960</f>
        <v/>
      </c>
      <c r="G960" s="5">
        <f>B960&amp;"|"&amp;E960&amp;"|"&amp;D960</f>
        <v/>
      </c>
      <c r="H960" s="28">
        <f>'02a_DC_Capacity_Alloc'!H960*'02a_DC_Capacity_Alloc'!I960*'02a_DC_Capacity_Alloc'!J960</f>
        <v/>
      </c>
      <c r="I960" s="6">
        <f>IFERROR(INDEX('02b_DC_Accelerator_Mix'!$F$2:$F$977,MATCH(G960,'02b_DC_Accelerator_Mix'!$A$2:$A$977,0)),0)</f>
        <v/>
      </c>
      <c r="J960" s="6">
        <f>IFERROR(INDEX('02b_DC_Accelerator_Mix'!$G$2:$G$977,MATCH(G960,'02b_DC_Accelerator_Mix'!$A$2:$A$977,0)),0)</f>
        <v/>
      </c>
      <c r="K960" s="6">
        <f>IFERROR(INDEX('02b_DC_Accelerator_Mix'!$H$2:$H$977,MATCH(G960,'02b_DC_Accelerator_Mix'!$A$2:$A$977,0)),0)</f>
        <v/>
      </c>
      <c r="L960" s="6">
        <f>IFERROR(INDEX('02b_DC_Accelerator_Mix'!$I$2:$I$977,MATCH(G960,'02b_DC_Accelerator_Mix'!$A$2:$A$977,0)),0)</f>
        <v/>
      </c>
      <c r="M960" s="6">
        <f>IFERROR(INDEX('02b_DC_Accelerator_Mix'!$J$2:$J$977,MATCH(G960,'02b_DC_Accelerator_Mix'!$A$2:$A$977,0)),0)</f>
        <v/>
      </c>
      <c r="N960" s="6">
        <f>IFERROR(INDEX('02b_DC_Accelerator_Mix'!$K$2:$K$977,MATCH(G960,'02b_DC_Accelerator_Mix'!$A$2:$A$977,0)),0)</f>
        <v/>
      </c>
      <c r="O960" s="6">
        <f>IFERROR(INDEX('02b_DC_Accelerator_Mix'!$L$2:$L$977,MATCH(G960,'02b_DC_Accelerator_Mix'!$A$2:$A$977,0)),0)</f>
        <v/>
      </c>
      <c r="P960" s="6">
        <f>IFERROR(INDEX('02b_DC_Accelerator_Mix'!$M$2:$M$977,MATCH(G960,'02b_DC_Accelerator_Mix'!$A$2:$A$977,0)),0)</f>
        <v/>
      </c>
      <c r="Q960" s="6">
        <f>IFERROR(INDEX('02b_DC_Accelerator_Mix'!$N$2:$N$977,MATCH(G960,'02b_DC_Accelerator_Mix'!$A$2:$A$977,0)),0)</f>
        <v/>
      </c>
      <c r="R960" s="28">
        <f>H960*I960</f>
        <v/>
      </c>
      <c r="S960" s="28">
        <f>H960*J960</f>
        <v/>
      </c>
      <c r="T960" s="28">
        <f>H960*K960</f>
        <v/>
      </c>
      <c r="U960" s="28">
        <f>H960*L960</f>
        <v/>
      </c>
      <c r="V960" s="28">
        <f>H960*M960</f>
        <v/>
      </c>
      <c r="W960" s="28">
        <f>H960*N960</f>
        <v/>
      </c>
      <c r="X960" s="28">
        <f>H960*O960</f>
        <v/>
      </c>
      <c r="Y960" s="28">
        <f>H960*P960</f>
        <v/>
      </c>
      <c r="Z960" s="28">
        <f>H960*Q960</f>
        <v/>
      </c>
      <c r="AA960" s="28">
        <f>SUM(U960:Z960)</f>
        <v/>
      </c>
      <c r="AB960" s="5">
        <f>IF(COUNTIF('02b_DC_Accelerator_Mix'!$A$2:$A$977,G960)&gt;0,"matched","missing_mix")</f>
        <v/>
      </c>
    </row>
    <row r="961">
      <c r="A961" s="5">
        <f>'02a_DC_Capacity_Alloc'!A961</f>
        <v/>
      </c>
      <c r="B961" s="5">
        <f>'02a_DC_Capacity_Alloc'!B961</f>
        <v/>
      </c>
      <c r="C961" s="5">
        <f>'02a_DC_Capacity_Alloc'!C961</f>
        <v/>
      </c>
      <c r="D961" s="5">
        <f>'02a_DC_Capacity_Alloc'!D961</f>
        <v/>
      </c>
      <c r="E961" s="5">
        <f>'02a_DC_Capacity_Alloc'!E961</f>
        <v/>
      </c>
      <c r="F961" s="5">
        <f>'02a_DC_Capacity_Alloc'!F961</f>
        <v/>
      </c>
      <c r="G961" s="5">
        <f>B961&amp;"|"&amp;E961&amp;"|"&amp;D961</f>
        <v/>
      </c>
      <c r="H961" s="28">
        <f>'02a_DC_Capacity_Alloc'!H961*'02a_DC_Capacity_Alloc'!I961*'02a_DC_Capacity_Alloc'!J961</f>
        <v/>
      </c>
      <c r="I961" s="6">
        <f>IFERROR(INDEX('02b_DC_Accelerator_Mix'!$F$2:$F$977,MATCH(G961,'02b_DC_Accelerator_Mix'!$A$2:$A$977,0)),0)</f>
        <v/>
      </c>
      <c r="J961" s="6">
        <f>IFERROR(INDEX('02b_DC_Accelerator_Mix'!$G$2:$G$977,MATCH(G961,'02b_DC_Accelerator_Mix'!$A$2:$A$977,0)),0)</f>
        <v/>
      </c>
      <c r="K961" s="6">
        <f>IFERROR(INDEX('02b_DC_Accelerator_Mix'!$H$2:$H$977,MATCH(G961,'02b_DC_Accelerator_Mix'!$A$2:$A$977,0)),0)</f>
        <v/>
      </c>
      <c r="L961" s="6">
        <f>IFERROR(INDEX('02b_DC_Accelerator_Mix'!$I$2:$I$977,MATCH(G961,'02b_DC_Accelerator_Mix'!$A$2:$A$977,0)),0)</f>
        <v/>
      </c>
      <c r="M961" s="6">
        <f>IFERROR(INDEX('02b_DC_Accelerator_Mix'!$J$2:$J$977,MATCH(G961,'02b_DC_Accelerator_Mix'!$A$2:$A$977,0)),0)</f>
        <v/>
      </c>
      <c r="N961" s="6">
        <f>IFERROR(INDEX('02b_DC_Accelerator_Mix'!$K$2:$K$977,MATCH(G961,'02b_DC_Accelerator_Mix'!$A$2:$A$977,0)),0)</f>
        <v/>
      </c>
      <c r="O961" s="6">
        <f>IFERROR(INDEX('02b_DC_Accelerator_Mix'!$L$2:$L$977,MATCH(G961,'02b_DC_Accelerator_Mix'!$A$2:$A$977,0)),0)</f>
        <v/>
      </c>
      <c r="P961" s="6">
        <f>IFERROR(INDEX('02b_DC_Accelerator_Mix'!$M$2:$M$977,MATCH(G961,'02b_DC_Accelerator_Mix'!$A$2:$A$977,0)),0)</f>
        <v/>
      </c>
      <c r="Q961" s="6">
        <f>IFERROR(INDEX('02b_DC_Accelerator_Mix'!$N$2:$N$977,MATCH(G961,'02b_DC_Accelerator_Mix'!$A$2:$A$977,0)),0)</f>
        <v/>
      </c>
      <c r="R961" s="28">
        <f>H961*I961</f>
        <v/>
      </c>
      <c r="S961" s="28">
        <f>H961*J961</f>
        <v/>
      </c>
      <c r="T961" s="28">
        <f>H961*K961</f>
        <v/>
      </c>
      <c r="U961" s="28">
        <f>H961*L961</f>
        <v/>
      </c>
      <c r="V961" s="28">
        <f>H961*M961</f>
        <v/>
      </c>
      <c r="W961" s="28">
        <f>H961*N961</f>
        <v/>
      </c>
      <c r="X961" s="28">
        <f>H961*O961</f>
        <v/>
      </c>
      <c r="Y961" s="28">
        <f>H961*P961</f>
        <v/>
      </c>
      <c r="Z961" s="28">
        <f>H961*Q961</f>
        <v/>
      </c>
      <c r="AA961" s="28">
        <f>SUM(U961:Z961)</f>
        <v/>
      </c>
      <c r="AB961" s="5">
        <f>IF(COUNTIF('02b_DC_Accelerator_Mix'!$A$2:$A$977,G961)&gt;0,"matched","missing_mix")</f>
        <v/>
      </c>
    </row>
    <row r="962">
      <c r="A962" s="5">
        <f>'02a_DC_Capacity_Alloc'!A962</f>
        <v/>
      </c>
      <c r="B962" s="5">
        <f>'02a_DC_Capacity_Alloc'!B962</f>
        <v/>
      </c>
      <c r="C962" s="5">
        <f>'02a_DC_Capacity_Alloc'!C962</f>
        <v/>
      </c>
      <c r="D962" s="5">
        <f>'02a_DC_Capacity_Alloc'!D962</f>
        <v/>
      </c>
      <c r="E962" s="5">
        <f>'02a_DC_Capacity_Alloc'!E962</f>
        <v/>
      </c>
      <c r="F962" s="5">
        <f>'02a_DC_Capacity_Alloc'!F962</f>
        <v/>
      </c>
      <c r="G962" s="5">
        <f>B962&amp;"|"&amp;E962&amp;"|"&amp;D962</f>
        <v/>
      </c>
      <c r="H962" s="28">
        <f>'02a_DC_Capacity_Alloc'!H962*'02a_DC_Capacity_Alloc'!I962*'02a_DC_Capacity_Alloc'!J962</f>
        <v/>
      </c>
      <c r="I962" s="6">
        <f>IFERROR(INDEX('02b_DC_Accelerator_Mix'!$F$2:$F$977,MATCH(G962,'02b_DC_Accelerator_Mix'!$A$2:$A$977,0)),0)</f>
        <v/>
      </c>
      <c r="J962" s="6">
        <f>IFERROR(INDEX('02b_DC_Accelerator_Mix'!$G$2:$G$977,MATCH(G962,'02b_DC_Accelerator_Mix'!$A$2:$A$977,0)),0)</f>
        <v/>
      </c>
      <c r="K962" s="6">
        <f>IFERROR(INDEX('02b_DC_Accelerator_Mix'!$H$2:$H$977,MATCH(G962,'02b_DC_Accelerator_Mix'!$A$2:$A$977,0)),0)</f>
        <v/>
      </c>
      <c r="L962" s="6">
        <f>IFERROR(INDEX('02b_DC_Accelerator_Mix'!$I$2:$I$977,MATCH(G962,'02b_DC_Accelerator_Mix'!$A$2:$A$977,0)),0)</f>
        <v/>
      </c>
      <c r="M962" s="6">
        <f>IFERROR(INDEX('02b_DC_Accelerator_Mix'!$J$2:$J$977,MATCH(G962,'02b_DC_Accelerator_Mix'!$A$2:$A$977,0)),0)</f>
        <v/>
      </c>
      <c r="N962" s="6">
        <f>IFERROR(INDEX('02b_DC_Accelerator_Mix'!$K$2:$K$977,MATCH(G962,'02b_DC_Accelerator_Mix'!$A$2:$A$977,0)),0)</f>
        <v/>
      </c>
      <c r="O962" s="6">
        <f>IFERROR(INDEX('02b_DC_Accelerator_Mix'!$L$2:$L$977,MATCH(G962,'02b_DC_Accelerator_Mix'!$A$2:$A$977,0)),0)</f>
        <v/>
      </c>
      <c r="P962" s="6">
        <f>IFERROR(INDEX('02b_DC_Accelerator_Mix'!$M$2:$M$977,MATCH(G962,'02b_DC_Accelerator_Mix'!$A$2:$A$977,0)),0)</f>
        <v/>
      </c>
      <c r="Q962" s="6">
        <f>IFERROR(INDEX('02b_DC_Accelerator_Mix'!$N$2:$N$977,MATCH(G962,'02b_DC_Accelerator_Mix'!$A$2:$A$977,0)),0)</f>
        <v/>
      </c>
      <c r="R962" s="28">
        <f>H962*I962</f>
        <v/>
      </c>
      <c r="S962" s="28">
        <f>H962*J962</f>
        <v/>
      </c>
      <c r="T962" s="28">
        <f>H962*K962</f>
        <v/>
      </c>
      <c r="U962" s="28">
        <f>H962*L962</f>
        <v/>
      </c>
      <c r="V962" s="28">
        <f>H962*M962</f>
        <v/>
      </c>
      <c r="W962" s="28">
        <f>H962*N962</f>
        <v/>
      </c>
      <c r="X962" s="28">
        <f>H962*O962</f>
        <v/>
      </c>
      <c r="Y962" s="28">
        <f>H962*P962</f>
        <v/>
      </c>
      <c r="Z962" s="28">
        <f>H962*Q962</f>
        <v/>
      </c>
      <c r="AA962" s="28">
        <f>SUM(U962:Z962)</f>
        <v/>
      </c>
      <c r="AB962" s="5">
        <f>IF(COUNTIF('02b_DC_Accelerator_Mix'!$A$2:$A$977,G962)&gt;0,"matched","missing_mix")</f>
        <v/>
      </c>
    </row>
    <row r="963">
      <c r="A963" s="5">
        <f>'02a_DC_Capacity_Alloc'!A963</f>
        <v/>
      </c>
      <c r="B963" s="5">
        <f>'02a_DC_Capacity_Alloc'!B963</f>
        <v/>
      </c>
      <c r="C963" s="5">
        <f>'02a_DC_Capacity_Alloc'!C963</f>
        <v/>
      </c>
      <c r="D963" s="5">
        <f>'02a_DC_Capacity_Alloc'!D963</f>
        <v/>
      </c>
      <c r="E963" s="5">
        <f>'02a_DC_Capacity_Alloc'!E963</f>
        <v/>
      </c>
      <c r="F963" s="5">
        <f>'02a_DC_Capacity_Alloc'!F963</f>
        <v/>
      </c>
      <c r="G963" s="5">
        <f>B963&amp;"|"&amp;E963&amp;"|"&amp;D963</f>
        <v/>
      </c>
      <c r="H963" s="28">
        <f>'02a_DC_Capacity_Alloc'!H963*'02a_DC_Capacity_Alloc'!I963*'02a_DC_Capacity_Alloc'!J963</f>
        <v/>
      </c>
      <c r="I963" s="6">
        <f>IFERROR(INDEX('02b_DC_Accelerator_Mix'!$F$2:$F$977,MATCH(G963,'02b_DC_Accelerator_Mix'!$A$2:$A$977,0)),0)</f>
        <v/>
      </c>
      <c r="J963" s="6">
        <f>IFERROR(INDEX('02b_DC_Accelerator_Mix'!$G$2:$G$977,MATCH(G963,'02b_DC_Accelerator_Mix'!$A$2:$A$977,0)),0)</f>
        <v/>
      </c>
      <c r="K963" s="6">
        <f>IFERROR(INDEX('02b_DC_Accelerator_Mix'!$H$2:$H$977,MATCH(G963,'02b_DC_Accelerator_Mix'!$A$2:$A$977,0)),0)</f>
        <v/>
      </c>
      <c r="L963" s="6">
        <f>IFERROR(INDEX('02b_DC_Accelerator_Mix'!$I$2:$I$977,MATCH(G963,'02b_DC_Accelerator_Mix'!$A$2:$A$977,0)),0)</f>
        <v/>
      </c>
      <c r="M963" s="6">
        <f>IFERROR(INDEX('02b_DC_Accelerator_Mix'!$J$2:$J$977,MATCH(G963,'02b_DC_Accelerator_Mix'!$A$2:$A$977,0)),0)</f>
        <v/>
      </c>
      <c r="N963" s="6">
        <f>IFERROR(INDEX('02b_DC_Accelerator_Mix'!$K$2:$K$977,MATCH(G963,'02b_DC_Accelerator_Mix'!$A$2:$A$977,0)),0)</f>
        <v/>
      </c>
      <c r="O963" s="6">
        <f>IFERROR(INDEX('02b_DC_Accelerator_Mix'!$L$2:$L$977,MATCH(G963,'02b_DC_Accelerator_Mix'!$A$2:$A$977,0)),0)</f>
        <v/>
      </c>
      <c r="P963" s="6">
        <f>IFERROR(INDEX('02b_DC_Accelerator_Mix'!$M$2:$M$977,MATCH(G963,'02b_DC_Accelerator_Mix'!$A$2:$A$977,0)),0)</f>
        <v/>
      </c>
      <c r="Q963" s="6">
        <f>IFERROR(INDEX('02b_DC_Accelerator_Mix'!$N$2:$N$977,MATCH(G963,'02b_DC_Accelerator_Mix'!$A$2:$A$977,0)),0)</f>
        <v/>
      </c>
      <c r="R963" s="28">
        <f>H963*I963</f>
        <v/>
      </c>
      <c r="S963" s="28">
        <f>H963*J963</f>
        <v/>
      </c>
      <c r="T963" s="28">
        <f>H963*K963</f>
        <v/>
      </c>
      <c r="U963" s="28">
        <f>H963*L963</f>
        <v/>
      </c>
      <c r="V963" s="28">
        <f>H963*M963</f>
        <v/>
      </c>
      <c r="W963" s="28">
        <f>H963*N963</f>
        <v/>
      </c>
      <c r="X963" s="28">
        <f>H963*O963</f>
        <v/>
      </c>
      <c r="Y963" s="28">
        <f>H963*P963</f>
        <v/>
      </c>
      <c r="Z963" s="28">
        <f>H963*Q963</f>
        <v/>
      </c>
      <c r="AA963" s="28">
        <f>SUM(U963:Z963)</f>
        <v/>
      </c>
      <c r="AB963" s="5">
        <f>IF(COUNTIF('02b_DC_Accelerator_Mix'!$A$2:$A$977,G963)&gt;0,"matched","missing_mix")</f>
        <v/>
      </c>
    </row>
    <row r="964">
      <c r="A964" s="5">
        <f>'02a_DC_Capacity_Alloc'!A964</f>
        <v/>
      </c>
      <c r="B964" s="5">
        <f>'02a_DC_Capacity_Alloc'!B964</f>
        <v/>
      </c>
      <c r="C964" s="5">
        <f>'02a_DC_Capacity_Alloc'!C964</f>
        <v/>
      </c>
      <c r="D964" s="5">
        <f>'02a_DC_Capacity_Alloc'!D964</f>
        <v/>
      </c>
      <c r="E964" s="5">
        <f>'02a_DC_Capacity_Alloc'!E964</f>
        <v/>
      </c>
      <c r="F964" s="5">
        <f>'02a_DC_Capacity_Alloc'!F964</f>
        <v/>
      </c>
      <c r="G964" s="5">
        <f>B964&amp;"|"&amp;E964&amp;"|"&amp;D964</f>
        <v/>
      </c>
      <c r="H964" s="28">
        <f>'02a_DC_Capacity_Alloc'!H964*'02a_DC_Capacity_Alloc'!I964*'02a_DC_Capacity_Alloc'!J964</f>
        <v/>
      </c>
      <c r="I964" s="6">
        <f>IFERROR(INDEX('02b_DC_Accelerator_Mix'!$F$2:$F$977,MATCH(G964,'02b_DC_Accelerator_Mix'!$A$2:$A$977,0)),0)</f>
        <v/>
      </c>
      <c r="J964" s="6">
        <f>IFERROR(INDEX('02b_DC_Accelerator_Mix'!$G$2:$G$977,MATCH(G964,'02b_DC_Accelerator_Mix'!$A$2:$A$977,0)),0)</f>
        <v/>
      </c>
      <c r="K964" s="6">
        <f>IFERROR(INDEX('02b_DC_Accelerator_Mix'!$H$2:$H$977,MATCH(G964,'02b_DC_Accelerator_Mix'!$A$2:$A$977,0)),0)</f>
        <v/>
      </c>
      <c r="L964" s="6">
        <f>IFERROR(INDEX('02b_DC_Accelerator_Mix'!$I$2:$I$977,MATCH(G964,'02b_DC_Accelerator_Mix'!$A$2:$A$977,0)),0)</f>
        <v/>
      </c>
      <c r="M964" s="6">
        <f>IFERROR(INDEX('02b_DC_Accelerator_Mix'!$J$2:$J$977,MATCH(G964,'02b_DC_Accelerator_Mix'!$A$2:$A$977,0)),0)</f>
        <v/>
      </c>
      <c r="N964" s="6">
        <f>IFERROR(INDEX('02b_DC_Accelerator_Mix'!$K$2:$K$977,MATCH(G964,'02b_DC_Accelerator_Mix'!$A$2:$A$977,0)),0)</f>
        <v/>
      </c>
      <c r="O964" s="6">
        <f>IFERROR(INDEX('02b_DC_Accelerator_Mix'!$L$2:$L$977,MATCH(G964,'02b_DC_Accelerator_Mix'!$A$2:$A$977,0)),0)</f>
        <v/>
      </c>
      <c r="P964" s="6">
        <f>IFERROR(INDEX('02b_DC_Accelerator_Mix'!$M$2:$M$977,MATCH(G964,'02b_DC_Accelerator_Mix'!$A$2:$A$977,0)),0)</f>
        <v/>
      </c>
      <c r="Q964" s="6">
        <f>IFERROR(INDEX('02b_DC_Accelerator_Mix'!$N$2:$N$977,MATCH(G964,'02b_DC_Accelerator_Mix'!$A$2:$A$977,0)),0)</f>
        <v/>
      </c>
      <c r="R964" s="28">
        <f>H964*I964</f>
        <v/>
      </c>
      <c r="S964" s="28">
        <f>H964*J964</f>
        <v/>
      </c>
      <c r="T964" s="28">
        <f>H964*K964</f>
        <v/>
      </c>
      <c r="U964" s="28">
        <f>H964*L964</f>
        <v/>
      </c>
      <c r="V964" s="28">
        <f>H964*M964</f>
        <v/>
      </c>
      <c r="W964" s="28">
        <f>H964*N964</f>
        <v/>
      </c>
      <c r="X964" s="28">
        <f>H964*O964</f>
        <v/>
      </c>
      <c r="Y964" s="28">
        <f>H964*P964</f>
        <v/>
      </c>
      <c r="Z964" s="28">
        <f>H964*Q964</f>
        <v/>
      </c>
      <c r="AA964" s="28">
        <f>SUM(U964:Z964)</f>
        <v/>
      </c>
      <c r="AB964" s="5">
        <f>IF(COUNTIF('02b_DC_Accelerator_Mix'!$A$2:$A$977,G964)&gt;0,"matched","missing_mix")</f>
        <v/>
      </c>
    </row>
    <row r="965">
      <c r="A965" s="5">
        <f>'02a_DC_Capacity_Alloc'!A965</f>
        <v/>
      </c>
      <c r="B965" s="5">
        <f>'02a_DC_Capacity_Alloc'!B965</f>
        <v/>
      </c>
      <c r="C965" s="5">
        <f>'02a_DC_Capacity_Alloc'!C965</f>
        <v/>
      </c>
      <c r="D965" s="5">
        <f>'02a_DC_Capacity_Alloc'!D965</f>
        <v/>
      </c>
      <c r="E965" s="5">
        <f>'02a_DC_Capacity_Alloc'!E965</f>
        <v/>
      </c>
      <c r="F965" s="5">
        <f>'02a_DC_Capacity_Alloc'!F965</f>
        <v/>
      </c>
      <c r="G965" s="5">
        <f>B965&amp;"|"&amp;E965&amp;"|"&amp;D965</f>
        <v/>
      </c>
      <c r="H965" s="28">
        <f>'02a_DC_Capacity_Alloc'!H965*'02a_DC_Capacity_Alloc'!I965*'02a_DC_Capacity_Alloc'!J965</f>
        <v/>
      </c>
      <c r="I965" s="6">
        <f>IFERROR(INDEX('02b_DC_Accelerator_Mix'!$F$2:$F$977,MATCH(G965,'02b_DC_Accelerator_Mix'!$A$2:$A$977,0)),0)</f>
        <v/>
      </c>
      <c r="J965" s="6">
        <f>IFERROR(INDEX('02b_DC_Accelerator_Mix'!$G$2:$G$977,MATCH(G965,'02b_DC_Accelerator_Mix'!$A$2:$A$977,0)),0)</f>
        <v/>
      </c>
      <c r="K965" s="6">
        <f>IFERROR(INDEX('02b_DC_Accelerator_Mix'!$H$2:$H$977,MATCH(G965,'02b_DC_Accelerator_Mix'!$A$2:$A$977,0)),0)</f>
        <v/>
      </c>
      <c r="L965" s="6">
        <f>IFERROR(INDEX('02b_DC_Accelerator_Mix'!$I$2:$I$977,MATCH(G965,'02b_DC_Accelerator_Mix'!$A$2:$A$977,0)),0)</f>
        <v/>
      </c>
      <c r="M965" s="6">
        <f>IFERROR(INDEX('02b_DC_Accelerator_Mix'!$J$2:$J$977,MATCH(G965,'02b_DC_Accelerator_Mix'!$A$2:$A$977,0)),0)</f>
        <v/>
      </c>
      <c r="N965" s="6">
        <f>IFERROR(INDEX('02b_DC_Accelerator_Mix'!$K$2:$K$977,MATCH(G965,'02b_DC_Accelerator_Mix'!$A$2:$A$977,0)),0)</f>
        <v/>
      </c>
      <c r="O965" s="6">
        <f>IFERROR(INDEX('02b_DC_Accelerator_Mix'!$L$2:$L$977,MATCH(G965,'02b_DC_Accelerator_Mix'!$A$2:$A$977,0)),0)</f>
        <v/>
      </c>
      <c r="P965" s="6">
        <f>IFERROR(INDEX('02b_DC_Accelerator_Mix'!$M$2:$M$977,MATCH(G965,'02b_DC_Accelerator_Mix'!$A$2:$A$977,0)),0)</f>
        <v/>
      </c>
      <c r="Q965" s="6">
        <f>IFERROR(INDEX('02b_DC_Accelerator_Mix'!$N$2:$N$977,MATCH(G965,'02b_DC_Accelerator_Mix'!$A$2:$A$977,0)),0)</f>
        <v/>
      </c>
      <c r="R965" s="28">
        <f>H965*I965</f>
        <v/>
      </c>
      <c r="S965" s="28">
        <f>H965*J965</f>
        <v/>
      </c>
      <c r="T965" s="28">
        <f>H965*K965</f>
        <v/>
      </c>
      <c r="U965" s="28">
        <f>H965*L965</f>
        <v/>
      </c>
      <c r="V965" s="28">
        <f>H965*M965</f>
        <v/>
      </c>
      <c r="W965" s="28">
        <f>H965*N965</f>
        <v/>
      </c>
      <c r="X965" s="28">
        <f>H965*O965</f>
        <v/>
      </c>
      <c r="Y965" s="28">
        <f>H965*P965</f>
        <v/>
      </c>
      <c r="Z965" s="28">
        <f>H965*Q965</f>
        <v/>
      </c>
      <c r="AA965" s="28">
        <f>SUM(U965:Z965)</f>
        <v/>
      </c>
      <c r="AB965" s="5">
        <f>IF(COUNTIF('02b_DC_Accelerator_Mix'!$A$2:$A$977,G965)&gt;0,"matched","missing_mix")</f>
        <v/>
      </c>
    </row>
    <row r="966">
      <c r="A966" s="5">
        <f>'02a_DC_Capacity_Alloc'!A966</f>
        <v/>
      </c>
      <c r="B966" s="5">
        <f>'02a_DC_Capacity_Alloc'!B966</f>
        <v/>
      </c>
      <c r="C966" s="5">
        <f>'02a_DC_Capacity_Alloc'!C966</f>
        <v/>
      </c>
      <c r="D966" s="5">
        <f>'02a_DC_Capacity_Alloc'!D966</f>
        <v/>
      </c>
      <c r="E966" s="5">
        <f>'02a_DC_Capacity_Alloc'!E966</f>
        <v/>
      </c>
      <c r="F966" s="5">
        <f>'02a_DC_Capacity_Alloc'!F966</f>
        <v/>
      </c>
      <c r="G966" s="5">
        <f>B966&amp;"|"&amp;E966&amp;"|"&amp;D966</f>
        <v/>
      </c>
      <c r="H966" s="28">
        <f>'02a_DC_Capacity_Alloc'!H966*'02a_DC_Capacity_Alloc'!I966*'02a_DC_Capacity_Alloc'!J966</f>
        <v/>
      </c>
      <c r="I966" s="6">
        <f>IFERROR(INDEX('02b_DC_Accelerator_Mix'!$F$2:$F$977,MATCH(G966,'02b_DC_Accelerator_Mix'!$A$2:$A$977,0)),0)</f>
        <v/>
      </c>
      <c r="J966" s="6">
        <f>IFERROR(INDEX('02b_DC_Accelerator_Mix'!$G$2:$G$977,MATCH(G966,'02b_DC_Accelerator_Mix'!$A$2:$A$977,0)),0)</f>
        <v/>
      </c>
      <c r="K966" s="6">
        <f>IFERROR(INDEX('02b_DC_Accelerator_Mix'!$H$2:$H$977,MATCH(G966,'02b_DC_Accelerator_Mix'!$A$2:$A$977,0)),0)</f>
        <v/>
      </c>
      <c r="L966" s="6">
        <f>IFERROR(INDEX('02b_DC_Accelerator_Mix'!$I$2:$I$977,MATCH(G966,'02b_DC_Accelerator_Mix'!$A$2:$A$977,0)),0)</f>
        <v/>
      </c>
      <c r="M966" s="6">
        <f>IFERROR(INDEX('02b_DC_Accelerator_Mix'!$J$2:$J$977,MATCH(G966,'02b_DC_Accelerator_Mix'!$A$2:$A$977,0)),0)</f>
        <v/>
      </c>
      <c r="N966" s="6">
        <f>IFERROR(INDEX('02b_DC_Accelerator_Mix'!$K$2:$K$977,MATCH(G966,'02b_DC_Accelerator_Mix'!$A$2:$A$977,0)),0)</f>
        <v/>
      </c>
      <c r="O966" s="6">
        <f>IFERROR(INDEX('02b_DC_Accelerator_Mix'!$L$2:$L$977,MATCH(G966,'02b_DC_Accelerator_Mix'!$A$2:$A$977,0)),0)</f>
        <v/>
      </c>
      <c r="P966" s="6">
        <f>IFERROR(INDEX('02b_DC_Accelerator_Mix'!$M$2:$M$977,MATCH(G966,'02b_DC_Accelerator_Mix'!$A$2:$A$977,0)),0)</f>
        <v/>
      </c>
      <c r="Q966" s="6">
        <f>IFERROR(INDEX('02b_DC_Accelerator_Mix'!$N$2:$N$977,MATCH(G966,'02b_DC_Accelerator_Mix'!$A$2:$A$977,0)),0)</f>
        <v/>
      </c>
      <c r="R966" s="28">
        <f>H966*I966</f>
        <v/>
      </c>
      <c r="S966" s="28">
        <f>H966*J966</f>
        <v/>
      </c>
      <c r="T966" s="28">
        <f>H966*K966</f>
        <v/>
      </c>
      <c r="U966" s="28">
        <f>H966*L966</f>
        <v/>
      </c>
      <c r="V966" s="28">
        <f>H966*M966</f>
        <v/>
      </c>
      <c r="W966" s="28">
        <f>H966*N966</f>
        <v/>
      </c>
      <c r="X966" s="28">
        <f>H966*O966</f>
        <v/>
      </c>
      <c r="Y966" s="28">
        <f>H966*P966</f>
        <v/>
      </c>
      <c r="Z966" s="28">
        <f>H966*Q966</f>
        <v/>
      </c>
      <c r="AA966" s="28">
        <f>SUM(U966:Z966)</f>
        <v/>
      </c>
      <c r="AB966" s="5">
        <f>IF(COUNTIF('02b_DC_Accelerator_Mix'!$A$2:$A$977,G966)&gt;0,"matched","missing_mix")</f>
        <v/>
      </c>
    </row>
    <row r="967">
      <c r="A967" s="5">
        <f>'02a_DC_Capacity_Alloc'!A967</f>
        <v/>
      </c>
      <c r="B967" s="5">
        <f>'02a_DC_Capacity_Alloc'!B967</f>
        <v/>
      </c>
      <c r="C967" s="5">
        <f>'02a_DC_Capacity_Alloc'!C967</f>
        <v/>
      </c>
      <c r="D967" s="5">
        <f>'02a_DC_Capacity_Alloc'!D967</f>
        <v/>
      </c>
      <c r="E967" s="5">
        <f>'02a_DC_Capacity_Alloc'!E967</f>
        <v/>
      </c>
      <c r="F967" s="5">
        <f>'02a_DC_Capacity_Alloc'!F967</f>
        <v/>
      </c>
      <c r="G967" s="5">
        <f>B967&amp;"|"&amp;E967&amp;"|"&amp;D967</f>
        <v/>
      </c>
      <c r="H967" s="28">
        <f>'02a_DC_Capacity_Alloc'!H967*'02a_DC_Capacity_Alloc'!I967*'02a_DC_Capacity_Alloc'!J967</f>
        <v/>
      </c>
      <c r="I967" s="6">
        <f>IFERROR(INDEX('02b_DC_Accelerator_Mix'!$F$2:$F$977,MATCH(G967,'02b_DC_Accelerator_Mix'!$A$2:$A$977,0)),0)</f>
        <v/>
      </c>
      <c r="J967" s="6">
        <f>IFERROR(INDEX('02b_DC_Accelerator_Mix'!$G$2:$G$977,MATCH(G967,'02b_DC_Accelerator_Mix'!$A$2:$A$977,0)),0)</f>
        <v/>
      </c>
      <c r="K967" s="6">
        <f>IFERROR(INDEX('02b_DC_Accelerator_Mix'!$H$2:$H$977,MATCH(G967,'02b_DC_Accelerator_Mix'!$A$2:$A$977,0)),0)</f>
        <v/>
      </c>
      <c r="L967" s="6">
        <f>IFERROR(INDEX('02b_DC_Accelerator_Mix'!$I$2:$I$977,MATCH(G967,'02b_DC_Accelerator_Mix'!$A$2:$A$977,0)),0)</f>
        <v/>
      </c>
      <c r="M967" s="6">
        <f>IFERROR(INDEX('02b_DC_Accelerator_Mix'!$J$2:$J$977,MATCH(G967,'02b_DC_Accelerator_Mix'!$A$2:$A$977,0)),0)</f>
        <v/>
      </c>
      <c r="N967" s="6">
        <f>IFERROR(INDEX('02b_DC_Accelerator_Mix'!$K$2:$K$977,MATCH(G967,'02b_DC_Accelerator_Mix'!$A$2:$A$977,0)),0)</f>
        <v/>
      </c>
      <c r="O967" s="6">
        <f>IFERROR(INDEX('02b_DC_Accelerator_Mix'!$L$2:$L$977,MATCH(G967,'02b_DC_Accelerator_Mix'!$A$2:$A$977,0)),0)</f>
        <v/>
      </c>
      <c r="P967" s="6">
        <f>IFERROR(INDEX('02b_DC_Accelerator_Mix'!$M$2:$M$977,MATCH(G967,'02b_DC_Accelerator_Mix'!$A$2:$A$977,0)),0)</f>
        <v/>
      </c>
      <c r="Q967" s="6">
        <f>IFERROR(INDEX('02b_DC_Accelerator_Mix'!$N$2:$N$977,MATCH(G967,'02b_DC_Accelerator_Mix'!$A$2:$A$977,0)),0)</f>
        <v/>
      </c>
      <c r="R967" s="28">
        <f>H967*I967</f>
        <v/>
      </c>
      <c r="S967" s="28">
        <f>H967*J967</f>
        <v/>
      </c>
      <c r="T967" s="28">
        <f>H967*K967</f>
        <v/>
      </c>
      <c r="U967" s="28">
        <f>H967*L967</f>
        <v/>
      </c>
      <c r="V967" s="28">
        <f>H967*M967</f>
        <v/>
      </c>
      <c r="W967" s="28">
        <f>H967*N967</f>
        <v/>
      </c>
      <c r="X967" s="28">
        <f>H967*O967</f>
        <v/>
      </c>
      <c r="Y967" s="28">
        <f>H967*P967</f>
        <v/>
      </c>
      <c r="Z967" s="28">
        <f>H967*Q967</f>
        <v/>
      </c>
      <c r="AA967" s="28">
        <f>SUM(U967:Z967)</f>
        <v/>
      </c>
      <c r="AB967" s="5">
        <f>IF(COUNTIF('02b_DC_Accelerator_Mix'!$A$2:$A$977,G967)&gt;0,"matched","missing_mix")</f>
        <v/>
      </c>
    </row>
    <row r="968">
      <c r="A968" s="5">
        <f>'02a_DC_Capacity_Alloc'!A968</f>
        <v/>
      </c>
      <c r="B968" s="5">
        <f>'02a_DC_Capacity_Alloc'!B968</f>
        <v/>
      </c>
      <c r="C968" s="5">
        <f>'02a_DC_Capacity_Alloc'!C968</f>
        <v/>
      </c>
      <c r="D968" s="5">
        <f>'02a_DC_Capacity_Alloc'!D968</f>
        <v/>
      </c>
      <c r="E968" s="5">
        <f>'02a_DC_Capacity_Alloc'!E968</f>
        <v/>
      </c>
      <c r="F968" s="5">
        <f>'02a_DC_Capacity_Alloc'!F968</f>
        <v/>
      </c>
      <c r="G968" s="5">
        <f>B968&amp;"|"&amp;E968&amp;"|"&amp;D968</f>
        <v/>
      </c>
      <c r="H968" s="28">
        <f>'02a_DC_Capacity_Alloc'!H968*'02a_DC_Capacity_Alloc'!I968*'02a_DC_Capacity_Alloc'!J968</f>
        <v/>
      </c>
      <c r="I968" s="6">
        <f>IFERROR(INDEX('02b_DC_Accelerator_Mix'!$F$2:$F$977,MATCH(G968,'02b_DC_Accelerator_Mix'!$A$2:$A$977,0)),0)</f>
        <v/>
      </c>
      <c r="J968" s="6">
        <f>IFERROR(INDEX('02b_DC_Accelerator_Mix'!$G$2:$G$977,MATCH(G968,'02b_DC_Accelerator_Mix'!$A$2:$A$977,0)),0)</f>
        <v/>
      </c>
      <c r="K968" s="6">
        <f>IFERROR(INDEX('02b_DC_Accelerator_Mix'!$H$2:$H$977,MATCH(G968,'02b_DC_Accelerator_Mix'!$A$2:$A$977,0)),0)</f>
        <v/>
      </c>
      <c r="L968" s="6">
        <f>IFERROR(INDEX('02b_DC_Accelerator_Mix'!$I$2:$I$977,MATCH(G968,'02b_DC_Accelerator_Mix'!$A$2:$A$977,0)),0)</f>
        <v/>
      </c>
      <c r="M968" s="6">
        <f>IFERROR(INDEX('02b_DC_Accelerator_Mix'!$J$2:$J$977,MATCH(G968,'02b_DC_Accelerator_Mix'!$A$2:$A$977,0)),0)</f>
        <v/>
      </c>
      <c r="N968" s="6">
        <f>IFERROR(INDEX('02b_DC_Accelerator_Mix'!$K$2:$K$977,MATCH(G968,'02b_DC_Accelerator_Mix'!$A$2:$A$977,0)),0)</f>
        <v/>
      </c>
      <c r="O968" s="6">
        <f>IFERROR(INDEX('02b_DC_Accelerator_Mix'!$L$2:$L$977,MATCH(G968,'02b_DC_Accelerator_Mix'!$A$2:$A$977,0)),0)</f>
        <v/>
      </c>
      <c r="P968" s="6">
        <f>IFERROR(INDEX('02b_DC_Accelerator_Mix'!$M$2:$M$977,MATCH(G968,'02b_DC_Accelerator_Mix'!$A$2:$A$977,0)),0)</f>
        <v/>
      </c>
      <c r="Q968" s="6">
        <f>IFERROR(INDEX('02b_DC_Accelerator_Mix'!$N$2:$N$977,MATCH(G968,'02b_DC_Accelerator_Mix'!$A$2:$A$977,0)),0)</f>
        <v/>
      </c>
      <c r="R968" s="28">
        <f>H968*I968</f>
        <v/>
      </c>
      <c r="S968" s="28">
        <f>H968*J968</f>
        <v/>
      </c>
      <c r="T968" s="28">
        <f>H968*K968</f>
        <v/>
      </c>
      <c r="U968" s="28">
        <f>H968*L968</f>
        <v/>
      </c>
      <c r="V968" s="28">
        <f>H968*M968</f>
        <v/>
      </c>
      <c r="W968" s="28">
        <f>H968*N968</f>
        <v/>
      </c>
      <c r="X968" s="28">
        <f>H968*O968</f>
        <v/>
      </c>
      <c r="Y968" s="28">
        <f>H968*P968</f>
        <v/>
      </c>
      <c r="Z968" s="28">
        <f>H968*Q968</f>
        <v/>
      </c>
      <c r="AA968" s="28">
        <f>SUM(U968:Z968)</f>
        <v/>
      </c>
      <c r="AB968" s="5">
        <f>IF(COUNTIF('02b_DC_Accelerator_Mix'!$A$2:$A$977,G968)&gt;0,"matched","missing_mix")</f>
        <v/>
      </c>
    </row>
    <row r="969">
      <c r="A969" s="5">
        <f>'02a_DC_Capacity_Alloc'!A969</f>
        <v/>
      </c>
      <c r="B969" s="5">
        <f>'02a_DC_Capacity_Alloc'!B969</f>
        <v/>
      </c>
      <c r="C969" s="5">
        <f>'02a_DC_Capacity_Alloc'!C969</f>
        <v/>
      </c>
      <c r="D969" s="5">
        <f>'02a_DC_Capacity_Alloc'!D969</f>
        <v/>
      </c>
      <c r="E969" s="5">
        <f>'02a_DC_Capacity_Alloc'!E969</f>
        <v/>
      </c>
      <c r="F969" s="5">
        <f>'02a_DC_Capacity_Alloc'!F969</f>
        <v/>
      </c>
      <c r="G969" s="5">
        <f>B969&amp;"|"&amp;E969&amp;"|"&amp;D969</f>
        <v/>
      </c>
      <c r="H969" s="28">
        <f>'02a_DC_Capacity_Alloc'!H969*'02a_DC_Capacity_Alloc'!I969*'02a_DC_Capacity_Alloc'!J969</f>
        <v/>
      </c>
      <c r="I969" s="6">
        <f>IFERROR(INDEX('02b_DC_Accelerator_Mix'!$F$2:$F$977,MATCH(G969,'02b_DC_Accelerator_Mix'!$A$2:$A$977,0)),0)</f>
        <v/>
      </c>
      <c r="J969" s="6">
        <f>IFERROR(INDEX('02b_DC_Accelerator_Mix'!$G$2:$G$977,MATCH(G969,'02b_DC_Accelerator_Mix'!$A$2:$A$977,0)),0)</f>
        <v/>
      </c>
      <c r="K969" s="6">
        <f>IFERROR(INDEX('02b_DC_Accelerator_Mix'!$H$2:$H$977,MATCH(G969,'02b_DC_Accelerator_Mix'!$A$2:$A$977,0)),0)</f>
        <v/>
      </c>
      <c r="L969" s="6">
        <f>IFERROR(INDEX('02b_DC_Accelerator_Mix'!$I$2:$I$977,MATCH(G969,'02b_DC_Accelerator_Mix'!$A$2:$A$977,0)),0)</f>
        <v/>
      </c>
      <c r="M969" s="6">
        <f>IFERROR(INDEX('02b_DC_Accelerator_Mix'!$J$2:$J$977,MATCH(G969,'02b_DC_Accelerator_Mix'!$A$2:$A$977,0)),0)</f>
        <v/>
      </c>
      <c r="N969" s="6">
        <f>IFERROR(INDEX('02b_DC_Accelerator_Mix'!$K$2:$K$977,MATCH(G969,'02b_DC_Accelerator_Mix'!$A$2:$A$977,0)),0)</f>
        <v/>
      </c>
      <c r="O969" s="6">
        <f>IFERROR(INDEX('02b_DC_Accelerator_Mix'!$L$2:$L$977,MATCH(G969,'02b_DC_Accelerator_Mix'!$A$2:$A$977,0)),0)</f>
        <v/>
      </c>
      <c r="P969" s="6">
        <f>IFERROR(INDEX('02b_DC_Accelerator_Mix'!$M$2:$M$977,MATCH(G969,'02b_DC_Accelerator_Mix'!$A$2:$A$977,0)),0)</f>
        <v/>
      </c>
      <c r="Q969" s="6">
        <f>IFERROR(INDEX('02b_DC_Accelerator_Mix'!$N$2:$N$977,MATCH(G969,'02b_DC_Accelerator_Mix'!$A$2:$A$977,0)),0)</f>
        <v/>
      </c>
      <c r="R969" s="28">
        <f>H969*I969</f>
        <v/>
      </c>
      <c r="S969" s="28">
        <f>H969*J969</f>
        <v/>
      </c>
      <c r="T969" s="28">
        <f>H969*K969</f>
        <v/>
      </c>
      <c r="U969" s="28">
        <f>H969*L969</f>
        <v/>
      </c>
      <c r="V969" s="28">
        <f>H969*M969</f>
        <v/>
      </c>
      <c r="W969" s="28">
        <f>H969*N969</f>
        <v/>
      </c>
      <c r="X969" s="28">
        <f>H969*O969</f>
        <v/>
      </c>
      <c r="Y969" s="28">
        <f>H969*P969</f>
        <v/>
      </c>
      <c r="Z969" s="28">
        <f>H969*Q969</f>
        <v/>
      </c>
      <c r="AA969" s="28">
        <f>SUM(U969:Z969)</f>
        <v/>
      </c>
      <c r="AB969" s="5">
        <f>IF(COUNTIF('02b_DC_Accelerator_Mix'!$A$2:$A$977,G969)&gt;0,"matched","missing_mix")</f>
        <v/>
      </c>
    </row>
    <row r="970">
      <c r="A970" s="5">
        <f>'02a_DC_Capacity_Alloc'!A970</f>
        <v/>
      </c>
      <c r="B970" s="5">
        <f>'02a_DC_Capacity_Alloc'!B970</f>
        <v/>
      </c>
      <c r="C970" s="5">
        <f>'02a_DC_Capacity_Alloc'!C970</f>
        <v/>
      </c>
      <c r="D970" s="5">
        <f>'02a_DC_Capacity_Alloc'!D970</f>
        <v/>
      </c>
      <c r="E970" s="5">
        <f>'02a_DC_Capacity_Alloc'!E970</f>
        <v/>
      </c>
      <c r="F970" s="5">
        <f>'02a_DC_Capacity_Alloc'!F970</f>
        <v/>
      </c>
      <c r="G970" s="5">
        <f>B970&amp;"|"&amp;E970&amp;"|"&amp;D970</f>
        <v/>
      </c>
      <c r="H970" s="28">
        <f>'02a_DC_Capacity_Alloc'!H970*'02a_DC_Capacity_Alloc'!I970*'02a_DC_Capacity_Alloc'!J970</f>
        <v/>
      </c>
      <c r="I970" s="6">
        <f>IFERROR(INDEX('02b_DC_Accelerator_Mix'!$F$2:$F$977,MATCH(G970,'02b_DC_Accelerator_Mix'!$A$2:$A$977,0)),0)</f>
        <v/>
      </c>
      <c r="J970" s="6">
        <f>IFERROR(INDEX('02b_DC_Accelerator_Mix'!$G$2:$G$977,MATCH(G970,'02b_DC_Accelerator_Mix'!$A$2:$A$977,0)),0)</f>
        <v/>
      </c>
      <c r="K970" s="6">
        <f>IFERROR(INDEX('02b_DC_Accelerator_Mix'!$H$2:$H$977,MATCH(G970,'02b_DC_Accelerator_Mix'!$A$2:$A$977,0)),0)</f>
        <v/>
      </c>
      <c r="L970" s="6">
        <f>IFERROR(INDEX('02b_DC_Accelerator_Mix'!$I$2:$I$977,MATCH(G970,'02b_DC_Accelerator_Mix'!$A$2:$A$977,0)),0)</f>
        <v/>
      </c>
      <c r="M970" s="6">
        <f>IFERROR(INDEX('02b_DC_Accelerator_Mix'!$J$2:$J$977,MATCH(G970,'02b_DC_Accelerator_Mix'!$A$2:$A$977,0)),0)</f>
        <v/>
      </c>
      <c r="N970" s="6">
        <f>IFERROR(INDEX('02b_DC_Accelerator_Mix'!$K$2:$K$977,MATCH(G970,'02b_DC_Accelerator_Mix'!$A$2:$A$977,0)),0)</f>
        <v/>
      </c>
      <c r="O970" s="6">
        <f>IFERROR(INDEX('02b_DC_Accelerator_Mix'!$L$2:$L$977,MATCH(G970,'02b_DC_Accelerator_Mix'!$A$2:$A$977,0)),0)</f>
        <v/>
      </c>
      <c r="P970" s="6">
        <f>IFERROR(INDEX('02b_DC_Accelerator_Mix'!$M$2:$M$977,MATCH(G970,'02b_DC_Accelerator_Mix'!$A$2:$A$977,0)),0)</f>
        <v/>
      </c>
      <c r="Q970" s="6">
        <f>IFERROR(INDEX('02b_DC_Accelerator_Mix'!$N$2:$N$977,MATCH(G970,'02b_DC_Accelerator_Mix'!$A$2:$A$977,0)),0)</f>
        <v/>
      </c>
      <c r="R970" s="28">
        <f>H970*I970</f>
        <v/>
      </c>
      <c r="S970" s="28">
        <f>H970*J970</f>
        <v/>
      </c>
      <c r="T970" s="28">
        <f>H970*K970</f>
        <v/>
      </c>
      <c r="U970" s="28">
        <f>H970*L970</f>
        <v/>
      </c>
      <c r="V970" s="28">
        <f>H970*M970</f>
        <v/>
      </c>
      <c r="W970" s="28">
        <f>H970*N970</f>
        <v/>
      </c>
      <c r="X970" s="28">
        <f>H970*O970</f>
        <v/>
      </c>
      <c r="Y970" s="28">
        <f>H970*P970</f>
        <v/>
      </c>
      <c r="Z970" s="28">
        <f>H970*Q970</f>
        <v/>
      </c>
      <c r="AA970" s="28">
        <f>SUM(U970:Z970)</f>
        <v/>
      </c>
      <c r="AB970" s="5">
        <f>IF(COUNTIF('02b_DC_Accelerator_Mix'!$A$2:$A$977,G970)&gt;0,"matched","missing_mix")</f>
        <v/>
      </c>
    </row>
    <row r="971">
      <c r="A971" s="5">
        <f>'02a_DC_Capacity_Alloc'!A971</f>
        <v/>
      </c>
      <c r="B971" s="5">
        <f>'02a_DC_Capacity_Alloc'!B971</f>
        <v/>
      </c>
      <c r="C971" s="5">
        <f>'02a_DC_Capacity_Alloc'!C971</f>
        <v/>
      </c>
      <c r="D971" s="5">
        <f>'02a_DC_Capacity_Alloc'!D971</f>
        <v/>
      </c>
      <c r="E971" s="5">
        <f>'02a_DC_Capacity_Alloc'!E971</f>
        <v/>
      </c>
      <c r="F971" s="5">
        <f>'02a_DC_Capacity_Alloc'!F971</f>
        <v/>
      </c>
      <c r="G971" s="5">
        <f>B971&amp;"|"&amp;E971&amp;"|"&amp;D971</f>
        <v/>
      </c>
      <c r="H971" s="28">
        <f>'02a_DC_Capacity_Alloc'!H971*'02a_DC_Capacity_Alloc'!I971*'02a_DC_Capacity_Alloc'!J971</f>
        <v/>
      </c>
      <c r="I971" s="6">
        <f>IFERROR(INDEX('02b_DC_Accelerator_Mix'!$F$2:$F$977,MATCH(G971,'02b_DC_Accelerator_Mix'!$A$2:$A$977,0)),0)</f>
        <v/>
      </c>
      <c r="J971" s="6">
        <f>IFERROR(INDEX('02b_DC_Accelerator_Mix'!$G$2:$G$977,MATCH(G971,'02b_DC_Accelerator_Mix'!$A$2:$A$977,0)),0)</f>
        <v/>
      </c>
      <c r="K971" s="6">
        <f>IFERROR(INDEX('02b_DC_Accelerator_Mix'!$H$2:$H$977,MATCH(G971,'02b_DC_Accelerator_Mix'!$A$2:$A$977,0)),0)</f>
        <v/>
      </c>
      <c r="L971" s="6">
        <f>IFERROR(INDEX('02b_DC_Accelerator_Mix'!$I$2:$I$977,MATCH(G971,'02b_DC_Accelerator_Mix'!$A$2:$A$977,0)),0)</f>
        <v/>
      </c>
      <c r="M971" s="6">
        <f>IFERROR(INDEX('02b_DC_Accelerator_Mix'!$J$2:$J$977,MATCH(G971,'02b_DC_Accelerator_Mix'!$A$2:$A$977,0)),0)</f>
        <v/>
      </c>
      <c r="N971" s="6">
        <f>IFERROR(INDEX('02b_DC_Accelerator_Mix'!$K$2:$K$977,MATCH(G971,'02b_DC_Accelerator_Mix'!$A$2:$A$977,0)),0)</f>
        <v/>
      </c>
      <c r="O971" s="6">
        <f>IFERROR(INDEX('02b_DC_Accelerator_Mix'!$L$2:$L$977,MATCH(G971,'02b_DC_Accelerator_Mix'!$A$2:$A$977,0)),0)</f>
        <v/>
      </c>
      <c r="P971" s="6">
        <f>IFERROR(INDEX('02b_DC_Accelerator_Mix'!$M$2:$M$977,MATCH(G971,'02b_DC_Accelerator_Mix'!$A$2:$A$977,0)),0)</f>
        <v/>
      </c>
      <c r="Q971" s="6">
        <f>IFERROR(INDEX('02b_DC_Accelerator_Mix'!$N$2:$N$977,MATCH(G971,'02b_DC_Accelerator_Mix'!$A$2:$A$977,0)),0)</f>
        <v/>
      </c>
      <c r="R971" s="28">
        <f>H971*I971</f>
        <v/>
      </c>
      <c r="S971" s="28">
        <f>H971*J971</f>
        <v/>
      </c>
      <c r="T971" s="28">
        <f>H971*K971</f>
        <v/>
      </c>
      <c r="U971" s="28">
        <f>H971*L971</f>
        <v/>
      </c>
      <c r="V971" s="28">
        <f>H971*M971</f>
        <v/>
      </c>
      <c r="W971" s="28">
        <f>H971*N971</f>
        <v/>
      </c>
      <c r="X971" s="28">
        <f>H971*O971</f>
        <v/>
      </c>
      <c r="Y971" s="28">
        <f>H971*P971</f>
        <v/>
      </c>
      <c r="Z971" s="28">
        <f>H971*Q971</f>
        <v/>
      </c>
      <c r="AA971" s="28">
        <f>SUM(U971:Z971)</f>
        <v/>
      </c>
      <c r="AB971" s="5">
        <f>IF(COUNTIF('02b_DC_Accelerator_Mix'!$A$2:$A$977,G971)&gt;0,"matched","missing_mix")</f>
        <v/>
      </c>
    </row>
    <row r="972">
      <c r="A972" s="5">
        <f>'02a_DC_Capacity_Alloc'!A972</f>
        <v/>
      </c>
      <c r="B972" s="5">
        <f>'02a_DC_Capacity_Alloc'!B972</f>
        <v/>
      </c>
      <c r="C972" s="5">
        <f>'02a_DC_Capacity_Alloc'!C972</f>
        <v/>
      </c>
      <c r="D972" s="5">
        <f>'02a_DC_Capacity_Alloc'!D972</f>
        <v/>
      </c>
      <c r="E972" s="5">
        <f>'02a_DC_Capacity_Alloc'!E972</f>
        <v/>
      </c>
      <c r="F972" s="5">
        <f>'02a_DC_Capacity_Alloc'!F972</f>
        <v/>
      </c>
      <c r="G972" s="5">
        <f>B972&amp;"|"&amp;E972&amp;"|"&amp;D972</f>
        <v/>
      </c>
      <c r="H972" s="28">
        <f>'02a_DC_Capacity_Alloc'!H972*'02a_DC_Capacity_Alloc'!I972*'02a_DC_Capacity_Alloc'!J972</f>
        <v/>
      </c>
      <c r="I972" s="6">
        <f>IFERROR(INDEX('02b_DC_Accelerator_Mix'!$F$2:$F$977,MATCH(G972,'02b_DC_Accelerator_Mix'!$A$2:$A$977,0)),0)</f>
        <v/>
      </c>
      <c r="J972" s="6">
        <f>IFERROR(INDEX('02b_DC_Accelerator_Mix'!$G$2:$G$977,MATCH(G972,'02b_DC_Accelerator_Mix'!$A$2:$A$977,0)),0)</f>
        <v/>
      </c>
      <c r="K972" s="6">
        <f>IFERROR(INDEX('02b_DC_Accelerator_Mix'!$H$2:$H$977,MATCH(G972,'02b_DC_Accelerator_Mix'!$A$2:$A$977,0)),0)</f>
        <v/>
      </c>
      <c r="L972" s="6">
        <f>IFERROR(INDEX('02b_DC_Accelerator_Mix'!$I$2:$I$977,MATCH(G972,'02b_DC_Accelerator_Mix'!$A$2:$A$977,0)),0)</f>
        <v/>
      </c>
      <c r="M972" s="6">
        <f>IFERROR(INDEX('02b_DC_Accelerator_Mix'!$J$2:$J$977,MATCH(G972,'02b_DC_Accelerator_Mix'!$A$2:$A$977,0)),0)</f>
        <v/>
      </c>
      <c r="N972" s="6">
        <f>IFERROR(INDEX('02b_DC_Accelerator_Mix'!$K$2:$K$977,MATCH(G972,'02b_DC_Accelerator_Mix'!$A$2:$A$977,0)),0)</f>
        <v/>
      </c>
      <c r="O972" s="6">
        <f>IFERROR(INDEX('02b_DC_Accelerator_Mix'!$L$2:$L$977,MATCH(G972,'02b_DC_Accelerator_Mix'!$A$2:$A$977,0)),0)</f>
        <v/>
      </c>
      <c r="P972" s="6">
        <f>IFERROR(INDEX('02b_DC_Accelerator_Mix'!$M$2:$M$977,MATCH(G972,'02b_DC_Accelerator_Mix'!$A$2:$A$977,0)),0)</f>
        <v/>
      </c>
      <c r="Q972" s="6">
        <f>IFERROR(INDEX('02b_DC_Accelerator_Mix'!$N$2:$N$977,MATCH(G972,'02b_DC_Accelerator_Mix'!$A$2:$A$977,0)),0)</f>
        <v/>
      </c>
      <c r="R972" s="28">
        <f>H972*I972</f>
        <v/>
      </c>
      <c r="S972" s="28">
        <f>H972*J972</f>
        <v/>
      </c>
      <c r="T972" s="28">
        <f>H972*K972</f>
        <v/>
      </c>
      <c r="U972" s="28">
        <f>H972*L972</f>
        <v/>
      </c>
      <c r="V972" s="28">
        <f>H972*M972</f>
        <v/>
      </c>
      <c r="W972" s="28">
        <f>H972*N972</f>
        <v/>
      </c>
      <c r="X972" s="28">
        <f>H972*O972</f>
        <v/>
      </c>
      <c r="Y972" s="28">
        <f>H972*P972</f>
        <v/>
      </c>
      <c r="Z972" s="28">
        <f>H972*Q972</f>
        <v/>
      </c>
      <c r="AA972" s="28">
        <f>SUM(U972:Z972)</f>
        <v/>
      </c>
      <c r="AB972" s="5">
        <f>IF(COUNTIF('02b_DC_Accelerator_Mix'!$A$2:$A$977,G972)&gt;0,"matched","missing_mix")</f>
        <v/>
      </c>
    </row>
    <row r="973">
      <c r="A973" s="5">
        <f>'02a_DC_Capacity_Alloc'!A973</f>
        <v/>
      </c>
      <c r="B973" s="5">
        <f>'02a_DC_Capacity_Alloc'!B973</f>
        <v/>
      </c>
      <c r="C973" s="5">
        <f>'02a_DC_Capacity_Alloc'!C973</f>
        <v/>
      </c>
      <c r="D973" s="5">
        <f>'02a_DC_Capacity_Alloc'!D973</f>
        <v/>
      </c>
      <c r="E973" s="5">
        <f>'02a_DC_Capacity_Alloc'!E973</f>
        <v/>
      </c>
      <c r="F973" s="5">
        <f>'02a_DC_Capacity_Alloc'!F973</f>
        <v/>
      </c>
      <c r="G973" s="5">
        <f>B973&amp;"|"&amp;E973&amp;"|"&amp;D973</f>
        <v/>
      </c>
      <c r="H973" s="28">
        <f>'02a_DC_Capacity_Alloc'!H973*'02a_DC_Capacity_Alloc'!I973*'02a_DC_Capacity_Alloc'!J973</f>
        <v/>
      </c>
      <c r="I973" s="6">
        <f>IFERROR(INDEX('02b_DC_Accelerator_Mix'!$F$2:$F$977,MATCH(G973,'02b_DC_Accelerator_Mix'!$A$2:$A$977,0)),0)</f>
        <v/>
      </c>
      <c r="J973" s="6">
        <f>IFERROR(INDEX('02b_DC_Accelerator_Mix'!$G$2:$G$977,MATCH(G973,'02b_DC_Accelerator_Mix'!$A$2:$A$977,0)),0)</f>
        <v/>
      </c>
      <c r="K973" s="6">
        <f>IFERROR(INDEX('02b_DC_Accelerator_Mix'!$H$2:$H$977,MATCH(G973,'02b_DC_Accelerator_Mix'!$A$2:$A$977,0)),0)</f>
        <v/>
      </c>
      <c r="L973" s="6">
        <f>IFERROR(INDEX('02b_DC_Accelerator_Mix'!$I$2:$I$977,MATCH(G973,'02b_DC_Accelerator_Mix'!$A$2:$A$977,0)),0)</f>
        <v/>
      </c>
      <c r="M973" s="6">
        <f>IFERROR(INDEX('02b_DC_Accelerator_Mix'!$J$2:$J$977,MATCH(G973,'02b_DC_Accelerator_Mix'!$A$2:$A$977,0)),0)</f>
        <v/>
      </c>
      <c r="N973" s="6">
        <f>IFERROR(INDEX('02b_DC_Accelerator_Mix'!$K$2:$K$977,MATCH(G973,'02b_DC_Accelerator_Mix'!$A$2:$A$977,0)),0)</f>
        <v/>
      </c>
      <c r="O973" s="6">
        <f>IFERROR(INDEX('02b_DC_Accelerator_Mix'!$L$2:$L$977,MATCH(G973,'02b_DC_Accelerator_Mix'!$A$2:$A$977,0)),0)</f>
        <v/>
      </c>
      <c r="P973" s="6">
        <f>IFERROR(INDEX('02b_DC_Accelerator_Mix'!$M$2:$M$977,MATCH(G973,'02b_DC_Accelerator_Mix'!$A$2:$A$977,0)),0)</f>
        <v/>
      </c>
      <c r="Q973" s="6">
        <f>IFERROR(INDEX('02b_DC_Accelerator_Mix'!$N$2:$N$977,MATCH(G973,'02b_DC_Accelerator_Mix'!$A$2:$A$977,0)),0)</f>
        <v/>
      </c>
      <c r="R973" s="28">
        <f>H973*I973</f>
        <v/>
      </c>
      <c r="S973" s="28">
        <f>H973*J973</f>
        <v/>
      </c>
      <c r="T973" s="28">
        <f>H973*K973</f>
        <v/>
      </c>
      <c r="U973" s="28">
        <f>H973*L973</f>
        <v/>
      </c>
      <c r="V973" s="28">
        <f>H973*M973</f>
        <v/>
      </c>
      <c r="W973" s="28">
        <f>H973*N973</f>
        <v/>
      </c>
      <c r="X973" s="28">
        <f>H973*O973</f>
        <v/>
      </c>
      <c r="Y973" s="28">
        <f>H973*P973</f>
        <v/>
      </c>
      <c r="Z973" s="28">
        <f>H973*Q973</f>
        <v/>
      </c>
      <c r="AA973" s="28">
        <f>SUM(U973:Z973)</f>
        <v/>
      </c>
      <c r="AB973" s="5">
        <f>IF(COUNTIF('02b_DC_Accelerator_Mix'!$A$2:$A$977,G973)&gt;0,"matched","missing_mix")</f>
        <v/>
      </c>
    </row>
    <row r="974">
      <c r="A974" s="5">
        <f>'02a_DC_Capacity_Alloc'!A974</f>
        <v/>
      </c>
      <c r="B974" s="5">
        <f>'02a_DC_Capacity_Alloc'!B974</f>
        <v/>
      </c>
      <c r="C974" s="5">
        <f>'02a_DC_Capacity_Alloc'!C974</f>
        <v/>
      </c>
      <c r="D974" s="5">
        <f>'02a_DC_Capacity_Alloc'!D974</f>
        <v/>
      </c>
      <c r="E974" s="5">
        <f>'02a_DC_Capacity_Alloc'!E974</f>
        <v/>
      </c>
      <c r="F974" s="5">
        <f>'02a_DC_Capacity_Alloc'!F974</f>
        <v/>
      </c>
      <c r="G974" s="5">
        <f>B974&amp;"|"&amp;E974&amp;"|"&amp;D974</f>
        <v/>
      </c>
      <c r="H974" s="28">
        <f>'02a_DC_Capacity_Alloc'!H974*'02a_DC_Capacity_Alloc'!I974*'02a_DC_Capacity_Alloc'!J974</f>
        <v/>
      </c>
      <c r="I974" s="6">
        <f>IFERROR(INDEX('02b_DC_Accelerator_Mix'!$F$2:$F$977,MATCH(G974,'02b_DC_Accelerator_Mix'!$A$2:$A$977,0)),0)</f>
        <v/>
      </c>
      <c r="J974" s="6">
        <f>IFERROR(INDEX('02b_DC_Accelerator_Mix'!$G$2:$G$977,MATCH(G974,'02b_DC_Accelerator_Mix'!$A$2:$A$977,0)),0)</f>
        <v/>
      </c>
      <c r="K974" s="6">
        <f>IFERROR(INDEX('02b_DC_Accelerator_Mix'!$H$2:$H$977,MATCH(G974,'02b_DC_Accelerator_Mix'!$A$2:$A$977,0)),0)</f>
        <v/>
      </c>
      <c r="L974" s="6">
        <f>IFERROR(INDEX('02b_DC_Accelerator_Mix'!$I$2:$I$977,MATCH(G974,'02b_DC_Accelerator_Mix'!$A$2:$A$977,0)),0)</f>
        <v/>
      </c>
      <c r="M974" s="6">
        <f>IFERROR(INDEX('02b_DC_Accelerator_Mix'!$J$2:$J$977,MATCH(G974,'02b_DC_Accelerator_Mix'!$A$2:$A$977,0)),0)</f>
        <v/>
      </c>
      <c r="N974" s="6">
        <f>IFERROR(INDEX('02b_DC_Accelerator_Mix'!$K$2:$K$977,MATCH(G974,'02b_DC_Accelerator_Mix'!$A$2:$A$977,0)),0)</f>
        <v/>
      </c>
      <c r="O974" s="6">
        <f>IFERROR(INDEX('02b_DC_Accelerator_Mix'!$L$2:$L$977,MATCH(G974,'02b_DC_Accelerator_Mix'!$A$2:$A$977,0)),0)</f>
        <v/>
      </c>
      <c r="P974" s="6">
        <f>IFERROR(INDEX('02b_DC_Accelerator_Mix'!$M$2:$M$977,MATCH(G974,'02b_DC_Accelerator_Mix'!$A$2:$A$977,0)),0)</f>
        <v/>
      </c>
      <c r="Q974" s="6">
        <f>IFERROR(INDEX('02b_DC_Accelerator_Mix'!$N$2:$N$977,MATCH(G974,'02b_DC_Accelerator_Mix'!$A$2:$A$977,0)),0)</f>
        <v/>
      </c>
      <c r="R974" s="28">
        <f>H974*I974</f>
        <v/>
      </c>
      <c r="S974" s="28">
        <f>H974*J974</f>
        <v/>
      </c>
      <c r="T974" s="28">
        <f>H974*K974</f>
        <v/>
      </c>
      <c r="U974" s="28">
        <f>H974*L974</f>
        <v/>
      </c>
      <c r="V974" s="28">
        <f>H974*M974</f>
        <v/>
      </c>
      <c r="W974" s="28">
        <f>H974*N974</f>
        <v/>
      </c>
      <c r="X974" s="28">
        <f>H974*O974</f>
        <v/>
      </c>
      <c r="Y974" s="28">
        <f>H974*P974</f>
        <v/>
      </c>
      <c r="Z974" s="28">
        <f>H974*Q974</f>
        <v/>
      </c>
      <c r="AA974" s="28">
        <f>SUM(U974:Z974)</f>
        <v/>
      </c>
      <c r="AB974" s="5">
        <f>IF(COUNTIF('02b_DC_Accelerator_Mix'!$A$2:$A$977,G974)&gt;0,"matched","missing_mix")</f>
        <v/>
      </c>
    </row>
    <row r="975">
      <c r="A975" s="5">
        <f>'02a_DC_Capacity_Alloc'!A975</f>
        <v/>
      </c>
      <c r="B975" s="5">
        <f>'02a_DC_Capacity_Alloc'!B975</f>
        <v/>
      </c>
      <c r="C975" s="5">
        <f>'02a_DC_Capacity_Alloc'!C975</f>
        <v/>
      </c>
      <c r="D975" s="5">
        <f>'02a_DC_Capacity_Alloc'!D975</f>
        <v/>
      </c>
      <c r="E975" s="5">
        <f>'02a_DC_Capacity_Alloc'!E975</f>
        <v/>
      </c>
      <c r="F975" s="5">
        <f>'02a_DC_Capacity_Alloc'!F975</f>
        <v/>
      </c>
      <c r="G975" s="5">
        <f>B975&amp;"|"&amp;E975&amp;"|"&amp;D975</f>
        <v/>
      </c>
      <c r="H975" s="28">
        <f>'02a_DC_Capacity_Alloc'!H975*'02a_DC_Capacity_Alloc'!I975*'02a_DC_Capacity_Alloc'!J975</f>
        <v/>
      </c>
      <c r="I975" s="6">
        <f>IFERROR(INDEX('02b_DC_Accelerator_Mix'!$F$2:$F$977,MATCH(G975,'02b_DC_Accelerator_Mix'!$A$2:$A$977,0)),0)</f>
        <v/>
      </c>
      <c r="J975" s="6">
        <f>IFERROR(INDEX('02b_DC_Accelerator_Mix'!$G$2:$G$977,MATCH(G975,'02b_DC_Accelerator_Mix'!$A$2:$A$977,0)),0)</f>
        <v/>
      </c>
      <c r="K975" s="6">
        <f>IFERROR(INDEX('02b_DC_Accelerator_Mix'!$H$2:$H$977,MATCH(G975,'02b_DC_Accelerator_Mix'!$A$2:$A$977,0)),0)</f>
        <v/>
      </c>
      <c r="L975" s="6">
        <f>IFERROR(INDEX('02b_DC_Accelerator_Mix'!$I$2:$I$977,MATCH(G975,'02b_DC_Accelerator_Mix'!$A$2:$A$977,0)),0)</f>
        <v/>
      </c>
      <c r="M975" s="6">
        <f>IFERROR(INDEX('02b_DC_Accelerator_Mix'!$J$2:$J$977,MATCH(G975,'02b_DC_Accelerator_Mix'!$A$2:$A$977,0)),0)</f>
        <v/>
      </c>
      <c r="N975" s="6">
        <f>IFERROR(INDEX('02b_DC_Accelerator_Mix'!$K$2:$K$977,MATCH(G975,'02b_DC_Accelerator_Mix'!$A$2:$A$977,0)),0)</f>
        <v/>
      </c>
      <c r="O975" s="6">
        <f>IFERROR(INDEX('02b_DC_Accelerator_Mix'!$L$2:$L$977,MATCH(G975,'02b_DC_Accelerator_Mix'!$A$2:$A$977,0)),0)</f>
        <v/>
      </c>
      <c r="P975" s="6">
        <f>IFERROR(INDEX('02b_DC_Accelerator_Mix'!$M$2:$M$977,MATCH(G975,'02b_DC_Accelerator_Mix'!$A$2:$A$977,0)),0)</f>
        <v/>
      </c>
      <c r="Q975" s="6">
        <f>IFERROR(INDEX('02b_DC_Accelerator_Mix'!$N$2:$N$977,MATCH(G975,'02b_DC_Accelerator_Mix'!$A$2:$A$977,0)),0)</f>
        <v/>
      </c>
      <c r="R975" s="28">
        <f>H975*I975</f>
        <v/>
      </c>
      <c r="S975" s="28">
        <f>H975*J975</f>
        <v/>
      </c>
      <c r="T975" s="28">
        <f>H975*K975</f>
        <v/>
      </c>
      <c r="U975" s="28">
        <f>H975*L975</f>
        <v/>
      </c>
      <c r="V975" s="28">
        <f>H975*M975</f>
        <v/>
      </c>
      <c r="W975" s="28">
        <f>H975*N975</f>
        <v/>
      </c>
      <c r="X975" s="28">
        <f>H975*O975</f>
        <v/>
      </c>
      <c r="Y975" s="28">
        <f>H975*P975</f>
        <v/>
      </c>
      <c r="Z975" s="28">
        <f>H975*Q975</f>
        <v/>
      </c>
      <c r="AA975" s="28">
        <f>SUM(U975:Z975)</f>
        <v/>
      </c>
      <c r="AB975" s="5">
        <f>IF(COUNTIF('02b_DC_Accelerator_Mix'!$A$2:$A$977,G975)&gt;0,"matched","missing_mix")</f>
        <v/>
      </c>
    </row>
    <row r="976">
      <c r="A976" s="5">
        <f>'02a_DC_Capacity_Alloc'!A976</f>
        <v/>
      </c>
      <c r="B976" s="5">
        <f>'02a_DC_Capacity_Alloc'!B976</f>
        <v/>
      </c>
      <c r="C976" s="5">
        <f>'02a_DC_Capacity_Alloc'!C976</f>
        <v/>
      </c>
      <c r="D976" s="5">
        <f>'02a_DC_Capacity_Alloc'!D976</f>
        <v/>
      </c>
      <c r="E976" s="5">
        <f>'02a_DC_Capacity_Alloc'!E976</f>
        <v/>
      </c>
      <c r="F976" s="5">
        <f>'02a_DC_Capacity_Alloc'!F976</f>
        <v/>
      </c>
      <c r="G976" s="5">
        <f>B976&amp;"|"&amp;E976&amp;"|"&amp;D976</f>
        <v/>
      </c>
      <c r="H976" s="28">
        <f>'02a_DC_Capacity_Alloc'!H976*'02a_DC_Capacity_Alloc'!I976*'02a_DC_Capacity_Alloc'!J976</f>
        <v/>
      </c>
      <c r="I976" s="6">
        <f>IFERROR(INDEX('02b_DC_Accelerator_Mix'!$F$2:$F$977,MATCH(G976,'02b_DC_Accelerator_Mix'!$A$2:$A$977,0)),0)</f>
        <v/>
      </c>
      <c r="J976" s="6">
        <f>IFERROR(INDEX('02b_DC_Accelerator_Mix'!$G$2:$G$977,MATCH(G976,'02b_DC_Accelerator_Mix'!$A$2:$A$977,0)),0)</f>
        <v/>
      </c>
      <c r="K976" s="6">
        <f>IFERROR(INDEX('02b_DC_Accelerator_Mix'!$H$2:$H$977,MATCH(G976,'02b_DC_Accelerator_Mix'!$A$2:$A$977,0)),0)</f>
        <v/>
      </c>
      <c r="L976" s="6">
        <f>IFERROR(INDEX('02b_DC_Accelerator_Mix'!$I$2:$I$977,MATCH(G976,'02b_DC_Accelerator_Mix'!$A$2:$A$977,0)),0)</f>
        <v/>
      </c>
      <c r="M976" s="6">
        <f>IFERROR(INDEX('02b_DC_Accelerator_Mix'!$J$2:$J$977,MATCH(G976,'02b_DC_Accelerator_Mix'!$A$2:$A$977,0)),0)</f>
        <v/>
      </c>
      <c r="N976" s="6">
        <f>IFERROR(INDEX('02b_DC_Accelerator_Mix'!$K$2:$K$977,MATCH(G976,'02b_DC_Accelerator_Mix'!$A$2:$A$977,0)),0)</f>
        <v/>
      </c>
      <c r="O976" s="6">
        <f>IFERROR(INDEX('02b_DC_Accelerator_Mix'!$L$2:$L$977,MATCH(G976,'02b_DC_Accelerator_Mix'!$A$2:$A$977,0)),0)</f>
        <v/>
      </c>
      <c r="P976" s="6">
        <f>IFERROR(INDEX('02b_DC_Accelerator_Mix'!$M$2:$M$977,MATCH(G976,'02b_DC_Accelerator_Mix'!$A$2:$A$977,0)),0)</f>
        <v/>
      </c>
      <c r="Q976" s="6">
        <f>IFERROR(INDEX('02b_DC_Accelerator_Mix'!$N$2:$N$977,MATCH(G976,'02b_DC_Accelerator_Mix'!$A$2:$A$977,0)),0)</f>
        <v/>
      </c>
      <c r="R976" s="28">
        <f>H976*I976</f>
        <v/>
      </c>
      <c r="S976" s="28">
        <f>H976*J976</f>
        <v/>
      </c>
      <c r="T976" s="28">
        <f>H976*K976</f>
        <v/>
      </c>
      <c r="U976" s="28">
        <f>H976*L976</f>
        <v/>
      </c>
      <c r="V976" s="28">
        <f>H976*M976</f>
        <v/>
      </c>
      <c r="W976" s="28">
        <f>H976*N976</f>
        <v/>
      </c>
      <c r="X976" s="28">
        <f>H976*O976</f>
        <v/>
      </c>
      <c r="Y976" s="28">
        <f>H976*P976</f>
        <v/>
      </c>
      <c r="Z976" s="28">
        <f>H976*Q976</f>
        <v/>
      </c>
      <c r="AA976" s="28">
        <f>SUM(U976:Z976)</f>
        <v/>
      </c>
      <c r="AB976" s="5">
        <f>IF(COUNTIF('02b_DC_Accelerator_Mix'!$A$2:$A$977,G976)&gt;0,"matched","missing_mix")</f>
        <v/>
      </c>
    </row>
    <row r="977">
      <c r="A977" s="5">
        <f>'02a_DC_Capacity_Alloc'!A977</f>
        <v/>
      </c>
      <c r="B977" s="5">
        <f>'02a_DC_Capacity_Alloc'!B977</f>
        <v/>
      </c>
      <c r="C977" s="5">
        <f>'02a_DC_Capacity_Alloc'!C977</f>
        <v/>
      </c>
      <c r="D977" s="5">
        <f>'02a_DC_Capacity_Alloc'!D977</f>
        <v/>
      </c>
      <c r="E977" s="5">
        <f>'02a_DC_Capacity_Alloc'!E977</f>
        <v/>
      </c>
      <c r="F977" s="5">
        <f>'02a_DC_Capacity_Alloc'!F977</f>
        <v/>
      </c>
      <c r="G977" s="5">
        <f>B977&amp;"|"&amp;E977&amp;"|"&amp;D977</f>
        <v/>
      </c>
      <c r="H977" s="28">
        <f>'02a_DC_Capacity_Alloc'!H977*'02a_DC_Capacity_Alloc'!I977*'02a_DC_Capacity_Alloc'!J977</f>
        <v/>
      </c>
      <c r="I977" s="6">
        <f>IFERROR(INDEX('02b_DC_Accelerator_Mix'!$F$2:$F$977,MATCH(G977,'02b_DC_Accelerator_Mix'!$A$2:$A$977,0)),0)</f>
        <v/>
      </c>
      <c r="J977" s="6">
        <f>IFERROR(INDEX('02b_DC_Accelerator_Mix'!$G$2:$G$977,MATCH(G977,'02b_DC_Accelerator_Mix'!$A$2:$A$977,0)),0)</f>
        <v/>
      </c>
      <c r="K977" s="6">
        <f>IFERROR(INDEX('02b_DC_Accelerator_Mix'!$H$2:$H$977,MATCH(G977,'02b_DC_Accelerator_Mix'!$A$2:$A$977,0)),0)</f>
        <v/>
      </c>
      <c r="L977" s="6">
        <f>IFERROR(INDEX('02b_DC_Accelerator_Mix'!$I$2:$I$977,MATCH(G977,'02b_DC_Accelerator_Mix'!$A$2:$A$977,0)),0)</f>
        <v/>
      </c>
      <c r="M977" s="6">
        <f>IFERROR(INDEX('02b_DC_Accelerator_Mix'!$J$2:$J$977,MATCH(G977,'02b_DC_Accelerator_Mix'!$A$2:$A$977,0)),0)</f>
        <v/>
      </c>
      <c r="N977" s="6">
        <f>IFERROR(INDEX('02b_DC_Accelerator_Mix'!$K$2:$K$977,MATCH(G977,'02b_DC_Accelerator_Mix'!$A$2:$A$977,0)),0)</f>
        <v/>
      </c>
      <c r="O977" s="6">
        <f>IFERROR(INDEX('02b_DC_Accelerator_Mix'!$L$2:$L$977,MATCH(G977,'02b_DC_Accelerator_Mix'!$A$2:$A$977,0)),0)</f>
        <v/>
      </c>
      <c r="P977" s="6">
        <f>IFERROR(INDEX('02b_DC_Accelerator_Mix'!$M$2:$M$977,MATCH(G977,'02b_DC_Accelerator_Mix'!$A$2:$A$977,0)),0)</f>
        <v/>
      </c>
      <c r="Q977" s="6">
        <f>IFERROR(INDEX('02b_DC_Accelerator_Mix'!$N$2:$N$977,MATCH(G977,'02b_DC_Accelerator_Mix'!$A$2:$A$977,0)),0)</f>
        <v/>
      </c>
      <c r="R977" s="28">
        <f>H977*I977</f>
        <v/>
      </c>
      <c r="S977" s="28">
        <f>H977*J977</f>
        <v/>
      </c>
      <c r="T977" s="28">
        <f>H977*K977</f>
        <v/>
      </c>
      <c r="U977" s="28">
        <f>H977*L977</f>
        <v/>
      </c>
      <c r="V977" s="28">
        <f>H977*M977</f>
        <v/>
      </c>
      <c r="W977" s="28">
        <f>H977*N977</f>
        <v/>
      </c>
      <c r="X977" s="28">
        <f>H977*O977</f>
        <v/>
      </c>
      <c r="Y977" s="28">
        <f>H977*P977</f>
        <v/>
      </c>
      <c r="Z977" s="28">
        <f>H977*Q977</f>
        <v/>
      </c>
      <c r="AA977" s="28">
        <f>SUM(U977:Z977)</f>
        <v/>
      </c>
      <c r="AB977" s="5">
        <f>IF(COUNTIF('02b_DC_Accelerator_Mix'!$A$2:$A$977,G977)&gt;0,"matched","missing_mix")</f>
        <v/>
      </c>
    </row>
    <row r="978">
      <c r="A978" s="5">
        <f>'02a_DC_Capacity_Alloc'!A978</f>
        <v/>
      </c>
      <c r="B978" s="5">
        <f>'02a_DC_Capacity_Alloc'!B978</f>
        <v/>
      </c>
      <c r="C978" s="5">
        <f>'02a_DC_Capacity_Alloc'!C978</f>
        <v/>
      </c>
      <c r="D978" s="5">
        <f>'02a_DC_Capacity_Alloc'!D978</f>
        <v/>
      </c>
      <c r="E978" s="5">
        <f>'02a_DC_Capacity_Alloc'!E978</f>
        <v/>
      </c>
      <c r="F978" s="5">
        <f>'02a_DC_Capacity_Alloc'!F978</f>
        <v/>
      </c>
      <c r="G978" s="5">
        <f>B978&amp;"|"&amp;E978&amp;"|"&amp;D978</f>
        <v/>
      </c>
      <c r="H978" s="28">
        <f>'02a_DC_Capacity_Alloc'!H978*'02a_DC_Capacity_Alloc'!I978*'02a_DC_Capacity_Alloc'!J978</f>
        <v/>
      </c>
      <c r="I978" s="6">
        <f>IFERROR(INDEX('02b_DC_Accelerator_Mix'!$F$2:$F$977,MATCH(G978,'02b_DC_Accelerator_Mix'!$A$2:$A$977,0)),0)</f>
        <v/>
      </c>
      <c r="J978" s="6">
        <f>IFERROR(INDEX('02b_DC_Accelerator_Mix'!$G$2:$G$977,MATCH(G978,'02b_DC_Accelerator_Mix'!$A$2:$A$977,0)),0)</f>
        <v/>
      </c>
      <c r="K978" s="6">
        <f>IFERROR(INDEX('02b_DC_Accelerator_Mix'!$H$2:$H$977,MATCH(G978,'02b_DC_Accelerator_Mix'!$A$2:$A$977,0)),0)</f>
        <v/>
      </c>
      <c r="L978" s="6">
        <f>IFERROR(INDEX('02b_DC_Accelerator_Mix'!$I$2:$I$977,MATCH(G978,'02b_DC_Accelerator_Mix'!$A$2:$A$977,0)),0)</f>
        <v/>
      </c>
      <c r="M978" s="6">
        <f>IFERROR(INDEX('02b_DC_Accelerator_Mix'!$J$2:$J$977,MATCH(G978,'02b_DC_Accelerator_Mix'!$A$2:$A$977,0)),0)</f>
        <v/>
      </c>
      <c r="N978" s="6">
        <f>IFERROR(INDEX('02b_DC_Accelerator_Mix'!$K$2:$K$977,MATCH(G978,'02b_DC_Accelerator_Mix'!$A$2:$A$977,0)),0)</f>
        <v/>
      </c>
      <c r="O978" s="6">
        <f>IFERROR(INDEX('02b_DC_Accelerator_Mix'!$L$2:$L$977,MATCH(G978,'02b_DC_Accelerator_Mix'!$A$2:$A$977,0)),0)</f>
        <v/>
      </c>
      <c r="P978" s="6">
        <f>IFERROR(INDEX('02b_DC_Accelerator_Mix'!$M$2:$M$977,MATCH(G978,'02b_DC_Accelerator_Mix'!$A$2:$A$977,0)),0)</f>
        <v/>
      </c>
      <c r="Q978" s="6">
        <f>IFERROR(INDEX('02b_DC_Accelerator_Mix'!$N$2:$N$977,MATCH(G978,'02b_DC_Accelerator_Mix'!$A$2:$A$977,0)),0)</f>
        <v/>
      </c>
      <c r="R978" s="28">
        <f>H978*I978</f>
        <v/>
      </c>
      <c r="S978" s="28">
        <f>H978*J978</f>
        <v/>
      </c>
      <c r="T978" s="28">
        <f>H978*K978</f>
        <v/>
      </c>
      <c r="U978" s="28">
        <f>H978*L978</f>
        <v/>
      </c>
      <c r="V978" s="28">
        <f>H978*M978</f>
        <v/>
      </c>
      <c r="W978" s="28">
        <f>H978*N978</f>
        <v/>
      </c>
      <c r="X978" s="28">
        <f>H978*O978</f>
        <v/>
      </c>
      <c r="Y978" s="28">
        <f>H978*P978</f>
        <v/>
      </c>
      <c r="Z978" s="28">
        <f>H978*Q978</f>
        <v/>
      </c>
      <c r="AA978" s="28">
        <f>SUM(U978:Z978)</f>
        <v/>
      </c>
      <c r="AB978" s="5">
        <f>IF(COUNTIF('02b_DC_Accelerator_Mix'!$A$2:$A$977,G978)&gt;0,"matched","missing_mix")</f>
        <v/>
      </c>
    </row>
    <row r="979">
      <c r="A979" s="5">
        <f>'02a_DC_Capacity_Alloc'!A979</f>
        <v/>
      </c>
      <c r="B979" s="5">
        <f>'02a_DC_Capacity_Alloc'!B979</f>
        <v/>
      </c>
      <c r="C979" s="5">
        <f>'02a_DC_Capacity_Alloc'!C979</f>
        <v/>
      </c>
      <c r="D979" s="5">
        <f>'02a_DC_Capacity_Alloc'!D979</f>
        <v/>
      </c>
      <c r="E979" s="5">
        <f>'02a_DC_Capacity_Alloc'!E979</f>
        <v/>
      </c>
      <c r="F979" s="5">
        <f>'02a_DC_Capacity_Alloc'!F979</f>
        <v/>
      </c>
      <c r="G979" s="5">
        <f>B979&amp;"|"&amp;E979&amp;"|"&amp;D979</f>
        <v/>
      </c>
      <c r="H979" s="28">
        <f>'02a_DC_Capacity_Alloc'!H979*'02a_DC_Capacity_Alloc'!I979*'02a_DC_Capacity_Alloc'!J979</f>
        <v/>
      </c>
      <c r="I979" s="6">
        <f>IFERROR(INDEX('02b_DC_Accelerator_Mix'!$F$2:$F$977,MATCH(G979,'02b_DC_Accelerator_Mix'!$A$2:$A$977,0)),0)</f>
        <v/>
      </c>
      <c r="J979" s="6">
        <f>IFERROR(INDEX('02b_DC_Accelerator_Mix'!$G$2:$G$977,MATCH(G979,'02b_DC_Accelerator_Mix'!$A$2:$A$977,0)),0)</f>
        <v/>
      </c>
      <c r="K979" s="6">
        <f>IFERROR(INDEX('02b_DC_Accelerator_Mix'!$H$2:$H$977,MATCH(G979,'02b_DC_Accelerator_Mix'!$A$2:$A$977,0)),0)</f>
        <v/>
      </c>
      <c r="L979" s="6">
        <f>IFERROR(INDEX('02b_DC_Accelerator_Mix'!$I$2:$I$977,MATCH(G979,'02b_DC_Accelerator_Mix'!$A$2:$A$977,0)),0)</f>
        <v/>
      </c>
      <c r="M979" s="6">
        <f>IFERROR(INDEX('02b_DC_Accelerator_Mix'!$J$2:$J$977,MATCH(G979,'02b_DC_Accelerator_Mix'!$A$2:$A$977,0)),0)</f>
        <v/>
      </c>
      <c r="N979" s="6">
        <f>IFERROR(INDEX('02b_DC_Accelerator_Mix'!$K$2:$K$977,MATCH(G979,'02b_DC_Accelerator_Mix'!$A$2:$A$977,0)),0)</f>
        <v/>
      </c>
      <c r="O979" s="6">
        <f>IFERROR(INDEX('02b_DC_Accelerator_Mix'!$L$2:$L$977,MATCH(G979,'02b_DC_Accelerator_Mix'!$A$2:$A$977,0)),0)</f>
        <v/>
      </c>
      <c r="P979" s="6">
        <f>IFERROR(INDEX('02b_DC_Accelerator_Mix'!$M$2:$M$977,MATCH(G979,'02b_DC_Accelerator_Mix'!$A$2:$A$977,0)),0)</f>
        <v/>
      </c>
      <c r="Q979" s="6">
        <f>IFERROR(INDEX('02b_DC_Accelerator_Mix'!$N$2:$N$977,MATCH(G979,'02b_DC_Accelerator_Mix'!$A$2:$A$977,0)),0)</f>
        <v/>
      </c>
      <c r="R979" s="28">
        <f>H979*I979</f>
        <v/>
      </c>
      <c r="S979" s="28">
        <f>H979*J979</f>
        <v/>
      </c>
      <c r="T979" s="28">
        <f>H979*K979</f>
        <v/>
      </c>
      <c r="U979" s="28">
        <f>H979*L979</f>
        <v/>
      </c>
      <c r="V979" s="28">
        <f>H979*M979</f>
        <v/>
      </c>
      <c r="W979" s="28">
        <f>H979*N979</f>
        <v/>
      </c>
      <c r="X979" s="28">
        <f>H979*O979</f>
        <v/>
      </c>
      <c r="Y979" s="28">
        <f>H979*P979</f>
        <v/>
      </c>
      <c r="Z979" s="28">
        <f>H979*Q979</f>
        <v/>
      </c>
      <c r="AA979" s="28">
        <f>SUM(U979:Z979)</f>
        <v/>
      </c>
      <c r="AB979" s="5">
        <f>IF(COUNTIF('02b_DC_Accelerator_Mix'!$A$2:$A$977,G979)&gt;0,"matched","missing_mix")</f>
        <v/>
      </c>
    </row>
    <row r="980">
      <c r="A980" s="5">
        <f>'02a_DC_Capacity_Alloc'!A980</f>
        <v/>
      </c>
      <c r="B980" s="5">
        <f>'02a_DC_Capacity_Alloc'!B980</f>
        <v/>
      </c>
      <c r="C980" s="5">
        <f>'02a_DC_Capacity_Alloc'!C980</f>
        <v/>
      </c>
      <c r="D980" s="5">
        <f>'02a_DC_Capacity_Alloc'!D980</f>
        <v/>
      </c>
      <c r="E980" s="5">
        <f>'02a_DC_Capacity_Alloc'!E980</f>
        <v/>
      </c>
      <c r="F980" s="5">
        <f>'02a_DC_Capacity_Alloc'!F980</f>
        <v/>
      </c>
      <c r="G980" s="5">
        <f>B980&amp;"|"&amp;E980&amp;"|"&amp;D980</f>
        <v/>
      </c>
      <c r="H980" s="28">
        <f>'02a_DC_Capacity_Alloc'!H980*'02a_DC_Capacity_Alloc'!I980*'02a_DC_Capacity_Alloc'!J980</f>
        <v/>
      </c>
      <c r="I980" s="6">
        <f>IFERROR(INDEX('02b_DC_Accelerator_Mix'!$F$2:$F$977,MATCH(G980,'02b_DC_Accelerator_Mix'!$A$2:$A$977,0)),0)</f>
        <v/>
      </c>
      <c r="J980" s="6">
        <f>IFERROR(INDEX('02b_DC_Accelerator_Mix'!$G$2:$G$977,MATCH(G980,'02b_DC_Accelerator_Mix'!$A$2:$A$977,0)),0)</f>
        <v/>
      </c>
      <c r="K980" s="6">
        <f>IFERROR(INDEX('02b_DC_Accelerator_Mix'!$H$2:$H$977,MATCH(G980,'02b_DC_Accelerator_Mix'!$A$2:$A$977,0)),0)</f>
        <v/>
      </c>
      <c r="L980" s="6">
        <f>IFERROR(INDEX('02b_DC_Accelerator_Mix'!$I$2:$I$977,MATCH(G980,'02b_DC_Accelerator_Mix'!$A$2:$A$977,0)),0)</f>
        <v/>
      </c>
      <c r="M980" s="6">
        <f>IFERROR(INDEX('02b_DC_Accelerator_Mix'!$J$2:$J$977,MATCH(G980,'02b_DC_Accelerator_Mix'!$A$2:$A$977,0)),0)</f>
        <v/>
      </c>
      <c r="N980" s="6">
        <f>IFERROR(INDEX('02b_DC_Accelerator_Mix'!$K$2:$K$977,MATCH(G980,'02b_DC_Accelerator_Mix'!$A$2:$A$977,0)),0)</f>
        <v/>
      </c>
      <c r="O980" s="6">
        <f>IFERROR(INDEX('02b_DC_Accelerator_Mix'!$L$2:$L$977,MATCH(G980,'02b_DC_Accelerator_Mix'!$A$2:$A$977,0)),0)</f>
        <v/>
      </c>
      <c r="P980" s="6">
        <f>IFERROR(INDEX('02b_DC_Accelerator_Mix'!$M$2:$M$977,MATCH(G980,'02b_DC_Accelerator_Mix'!$A$2:$A$977,0)),0)</f>
        <v/>
      </c>
      <c r="Q980" s="6">
        <f>IFERROR(INDEX('02b_DC_Accelerator_Mix'!$N$2:$N$977,MATCH(G980,'02b_DC_Accelerator_Mix'!$A$2:$A$977,0)),0)</f>
        <v/>
      </c>
      <c r="R980" s="28">
        <f>H980*I980</f>
        <v/>
      </c>
      <c r="S980" s="28">
        <f>H980*J980</f>
        <v/>
      </c>
      <c r="T980" s="28">
        <f>H980*K980</f>
        <v/>
      </c>
      <c r="U980" s="28">
        <f>H980*L980</f>
        <v/>
      </c>
      <c r="V980" s="28">
        <f>H980*M980</f>
        <v/>
      </c>
      <c r="W980" s="28">
        <f>H980*N980</f>
        <v/>
      </c>
      <c r="X980" s="28">
        <f>H980*O980</f>
        <v/>
      </c>
      <c r="Y980" s="28">
        <f>H980*P980</f>
        <v/>
      </c>
      <c r="Z980" s="28">
        <f>H980*Q980</f>
        <v/>
      </c>
      <c r="AA980" s="28">
        <f>SUM(U980:Z980)</f>
        <v/>
      </c>
      <c r="AB980" s="5">
        <f>IF(COUNTIF('02b_DC_Accelerator_Mix'!$A$2:$A$977,G980)&gt;0,"matched","missing_mix")</f>
        <v/>
      </c>
    </row>
    <row r="981">
      <c r="A981" s="5">
        <f>'02a_DC_Capacity_Alloc'!A981</f>
        <v/>
      </c>
      <c r="B981" s="5">
        <f>'02a_DC_Capacity_Alloc'!B981</f>
        <v/>
      </c>
      <c r="C981" s="5">
        <f>'02a_DC_Capacity_Alloc'!C981</f>
        <v/>
      </c>
      <c r="D981" s="5">
        <f>'02a_DC_Capacity_Alloc'!D981</f>
        <v/>
      </c>
      <c r="E981" s="5">
        <f>'02a_DC_Capacity_Alloc'!E981</f>
        <v/>
      </c>
      <c r="F981" s="5">
        <f>'02a_DC_Capacity_Alloc'!F981</f>
        <v/>
      </c>
      <c r="G981" s="5">
        <f>B981&amp;"|"&amp;E981&amp;"|"&amp;D981</f>
        <v/>
      </c>
      <c r="H981" s="28">
        <f>'02a_DC_Capacity_Alloc'!H981*'02a_DC_Capacity_Alloc'!I981*'02a_DC_Capacity_Alloc'!J981</f>
        <v/>
      </c>
      <c r="I981" s="6">
        <f>IFERROR(INDEX('02b_DC_Accelerator_Mix'!$F$2:$F$977,MATCH(G981,'02b_DC_Accelerator_Mix'!$A$2:$A$977,0)),0)</f>
        <v/>
      </c>
      <c r="J981" s="6">
        <f>IFERROR(INDEX('02b_DC_Accelerator_Mix'!$G$2:$G$977,MATCH(G981,'02b_DC_Accelerator_Mix'!$A$2:$A$977,0)),0)</f>
        <v/>
      </c>
      <c r="K981" s="6">
        <f>IFERROR(INDEX('02b_DC_Accelerator_Mix'!$H$2:$H$977,MATCH(G981,'02b_DC_Accelerator_Mix'!$A$2:$A$977,0)),0)</f>
        <v/>
      </c>
      <c r="L981" s="6">
        <f>IFERROR(INDEX('02b_DC_Accelerator_Mix'!$I$2:$I$977,MATCH(G981,'02b_DC_Accelerator_Mix'!$A$2:$A$977,0)),0)</f>
        <v/>
      </c>
      <c r="M981" s="6">
        <f>IFERROR(INDEX('02b_DC_Accelerator_Mix'!$J$2:$J$977,MATCH(G981,'02b_DC_Accelerator_Mix'!$A$2:$A$977,0)),0)</f>
        <v/>
      </c>
      <c r="N981" s="6">
        <f>IFERROR(INDEX('02b_DC_Accelerator_Mix'!$K$2:$K$977,MATCH(G981,'02b_DC_Accelerator_Mix'!$A$2:$A$977,0)),0)</f>
        <v/>
      </c>
      <c r="O981" s="6">
        <f>IFERROR(INDEX('02b_DC_Accelerator_Mix'!$L$2:$L$977,MATCH(G981,'02b_DC_Accelerator_Mix'!$A$2:$A$977,0)),0)</f>
        <v/>
      </c>
      <c r="P981" s="6">
        <f>IFERROR(INDEX('02b_DC_Accelerator_Mix'!$M$2:$M$977,MATCH(G981,'02b_DC_Accelerator_Mix'!$A$2:$A$977,0)),0)</f>
        <v/>
      </c>
      <c r="Q981" s="6">
        <f>IFERROR(INDEX('02b_DC_Accelerator_Mix'!$N$2:$N$977,MATCH(G981,'02b_DC_Accelerator_Mix'!$A$2:$A$977,0)),0)</f>
        <v/>
      </c>
      <c r="R981" s="28">
        <f>H981*I981</f>
        <v/>
      </c>
      <c r="S981" s="28">
        <f>H981*J981</f>
        <v/>
      </c>
      <c r="T981" s="28">
        <f>H981*K981</f>
        <v/>
      </c>
      <c r="U981" s="28">
        <f>H981*L981</f>
        <v/>
      </c>
      <c r="V981" s="28">
        <f>H981*M981</f>
        <v/>
      </c>
      <c r="W981" s="28">
        <f>H981*N981</f>
        <v/>
      </c>
      <c r="X981" s="28">
        <f>H981*O981</f>
        <v/>
      </c>
      <c r="Y981" s="28">
        <f>H981*P981</f>
        <v/>
      </c>
      <c r="Z981" s="28">
        <f>H981*Q981</f>
        <v/>
      </c>
      <c r="AA981" s="28">
        <f>SUM(U981:Z981)</f>
        <v/>
      </c>
      <c r="AB981" s="5">
        <f>IF(COUNTIF('02b_DC_Accelerator_Mix'!$A$2:$A$977,G981)&gt;0,"matched","missing_mix")</f>
        <v/>
      </c>
    </row>
    <row r="982">
      <c r="A982" s="5">
        <f>'02a_DC_Capacity_Alloc'!A982</f>
        <v/>
      </c>
      <c r="B982" s="5">
        <f>'02a_DC_Capacity_Alloc'!B982</f>
        <v/>
      </c>
      <c r="C982" s="5">
        <f>'02a_DC_Capacity_Alloc'!C982</f>
        <v/>
      </c>
      <c r="D982" s="5">
        <f>'02a_DC_Capacity_Alloc'!D982</f>
        <v/>
      </c>
      <c r="E982" s="5">
        <f>'02a_DC_Capacity_Alloc'!E982</f>
        <v/>
      </c>
      <c r="F982" s="5">
        <f>'02a_DC_Capacity_Alloc'!F982</f>
        <v/>
      </c>
      <c r="G982" s="5">
        <f>B982&amp;"|"&amp;E982&amp;"|"&amp;D982</f>
        <v/>
      </c>
      <c r="H982" s="28">
        <f>'02a_DC_Capacity_Alloc'!H982*'02a_DC_Capacity_Alloc'!I982*'02a_DC_Capacity_Alloc'!J982</f>
        <v/>
      </c>
      <c r="I982" s="6">
        <f>IFERROR(INDEX('02b_DC_Accelerator_Mix'!$F$2:$F$977,MATCH(G982,'02b_DC_Accelerator_Mix'!$A$2:$A$977,0)),0)</f>
        <v/>
      </c>
      <c r="J982" s="6">
        <f>IFERROR(INDEX('02b_DC_Accelerator_Mix'!$G$2:$G$977,MATCH(G982,'02b_DC_Accelerator_Mix'!$A$2:$A$977,0)),0)</f>
        <v/>
      </c>
      <c r="K982" s="6">
        <f>IFERROR(INDEX('02b_DC_Accelerator_Mix'!$H$2:$H$977,MATCH(G982,'02b_DC_Accelerator_Mix'!$A$2:$A$977,0)),0)</f>
        <v/>
      </c>
      <c r="L982" s="6">
        <f>IFERROR(INDEX('02b_DC_Accelerator_Mix'!$I$2:$I$977,MATCH(G982,'02b_DC_Accelerator_Mix'!$A$2:$A$977,0)),0)</f>
        <v/>
      </c>
      <c r="M982" s="6">
        <f>IFERROR(INDEX('02b_DC_Accelerator_Mix'!$J$2:$J$977,MATCH(G982,'02b_DC_Accelerator_Mix'!$A$2:$A$977,0)),0)</f>
        <v/>
      </c>
      <c r="N982" s="6">
        <f>IFERROR(INDEX('02b_DC_Accelerator_Mix'!$K$2:$K$977,MATCH(G982,'02b_DC_Accelerator_Mix'!$A$2:$A$977,0)),0)</f>
        <v/>
      </c>
      <c r="O982" s="6">
        <f>IFERROR(INDEX('02b_DC_Accelerator_Mix'!$L$2:$L$977,MATCH(G982,'02b_DC_Accelerator_Mix'!$A$2:$A$977,0)),0)</f>
        <v/>
      </c>
      <c r="P982" s="6">
        <f>IFERROR(INDEX('02b_DC_Accelerator_Mix'!$M$2:$M$977,MATCH(G982,'02b_DC_Accelerator_Mix'!$A$2:$A$977,0)),0)</f>
        <v/>
      </c>
      <c r="Q982" s="6">
        <f>IFERROR(INDEX('02b_DC_Accelerator_Mix'!$N$2:$N$977,MATCH(G982,'02b_DC_Accelerator_Mix'!$A$2:$A$977,0)),0)</f>
        <v/>
      </c>
      <c r="R982" s="28">
        <f>H982*I982</f>
        <v/>
      </c>
      <c r="S982" s="28">
        <f>H982*J982</f>
        <v/>
      </c>
      <c r="T982" s="28">
        <f>H982*K982</f>
        <v/>
      </c>
      <c r="U982" s="28">
        <f>H982*L982</f>
        <v/>
      </c>
      <c r="V982" s="28">
        <f>H982*M982</f>
        <v/>
      </c>
      <c r="W982" s="28">
        <f>H982*N982</f>
        <v/>
      </c>
      <c r="X982" s="28">
        <f>H982*O982</f>
        <v/>
      </c>
      <c r="Y982" s="28">
        <f>H982*P982</f>
        <v/>
      </c>
      <c r="Z982" s="28">
        <f>H982*Q982</f>
        <v/>
      </c>
      <c r="AA982" s="28">
        <f>SUM(U982:Z982)</f>
        <v/>
      </c>
      <c r="AB982" s="5">
        <f>IF(COUNTIF('02b_DC_Accelerator_Mix'!$A$2:$A$977,G982)&gt;0,"matched","missing_mix")</f>
        <v/>
      </c>
    </row>
    <row r="983">
      <c r="A983" s="5">
        <f>'02a_DC_Capacity_Alloc'!A983</f>
        <v/>
      </c>
      <c r="B983" s="5">
        <f>'02a_DC_Capacity_Alloc'!B983</f>
        <v/>
      </c>
      <c r="C983" s="5">
        <f>'02a_DC_Capacity_Alloc'!C983</f>
        <v/>
      </c>
      <c r="D983" s="5">
        <f>'02a_DC_Capacity_Alloc'!D983</f>
        <v/>
      </c>
      <c r="E983" s="5">
        <f>'02a_DC_Capacity_Alloc'!E983</f>
        <v/>
      </c>
      <c r="F983" s="5">
        <f>'02a_DC_Capacity_Alloc'!F983</f>
        <v/>
      </c>
      <c r="G983" s="5">
        <f>B983&amp;"|"&amp;E983&amp;"|"&amp;D983</f>
        <v/>
      </c>
      <c r="H983" s="28">
        <f>'02a_DC_Capacity_Alloc'!H983*'02a_DC_Capacity_Alloc'!I983*'02a_DC_Capacity_Alloc'!J983</f>
        <v/>
      </c>
      <c r="I983" s="6">
        <f>IFERROR(INDEX('02b_DC_Accelerator_Mix'!$F$2:$F$977,MATCH(G983,'02b_DC_Accelerator_Mix'!$A$2:$A$977,0)),0)</f>
        <v/>
      </c>
      <c r="J983" s="6">
        <f>IFERROR(INDEX('02b_DC_Accelerator_Mix'!$G$2:$G$977,MATCH(G983,'02b_DC_Accelerator_Mix'!$A$2:$A$977,0)),0)</f>
        <v/>
      </c>
      <c r="K983" s="6">
        <f>IFERROR(INDEX('02b_DC_Accelerator_Mix'!$H$2:$H$977,MATCH(G983,'02b_DC_Accelerator_Mix'!$A$2:$A$977,0)),0)</f>
        <v/>
      </c>
      <c r="L983" s="6">
        <f>IFERROR(INDEX('02b_DC_Accelerator_Mix'!$I$2:$I$977,MATCH(G983,'02b_DC_Accelerator_Mix'!$A$2:$A$977,0)),0)</f>
        <v/>
      </c>
      <c r="M983" s="6">
        <f>IFERROR(INDEX('02b_DC_Accelerator_Mix'!$J$2:$J$977,MATCH(G983,'02b_DC_Accelerator_Mix'!$A$2:$A$977,0)),0)</f>
        <v/>
      </c>
      <c r="N983" s="6">
        <f>IFERROR(INDEX('02b_DC_Accelerator_Mix'!$K$2:$K$977,MATCH(G983,'02b_DC_Accelerator_Mix'!$A$2:$A$977,0)),0)</f>
        <v/>
      </c>
      <c r="O983" s="6">
        <f>IFERROR(INDEX('02b_DC_Accelerator_Mix'!$L$2:$L$977,MATCH(G983,'02b_DC_Accelerator_Mix'!$A$2:$A$977,0)),0)</f>
        <v/>
      </c>
      <c r="P983" s="6">
        <f>IFERROR(INDEX('02b_DC_Accelerator_Mix'!$M$2:$M$977,MATCH(G983,'02b_DC_Accelerator_Mix'!$A$2:$A$977,0)),0)</f>
        <v/>
      </c>
      <c r="Q983" s="6">
        <f>IFERROR(INDEX('02b_DC_Accelerator_Mix'!$N$2:$N$977,MATCH(G983,'02b_DC_Accelerator_Mix'!$A$2:$A$977,0)),0)</f>
        <v/>
      </c>
      <c r="R983" s="28">
        <f>H983*I983</f>
        <v/>
      </c>
      <c r="S983" s="28">
        <f>H983*J983</f>
        <v/>
      </c>
      <c r="T983" s="28">
        <f>H983*K983</f>
        <v/>
      </c>
      <c r="U983" s="28">
        <f>H983*L983</f>
        <v/>
      </c>
      <c r="V983" s="28">
        <f>H983*M983</f>
        <v/>
      </c>
      <c r="W983" s="28">
        <f>H983*N983</f>
        <v/>
      </c>
      <c r="X983" s="28">
        <f>H983*O983</f>
        <v/>
      </c>
      <c r="Y983" s="28">
        <f>H983*P983</f>
        <v/>
      </c>
      <c r="Z983" s="28">
        <f>H983*Q983</f>
        <v/>
      </c>
      <c r="AA983" s="28">
        <f>SUM(U983:Z983)</f>
        <v/>
      </c>
      <c r="AB983" s="5">
        <f>IF(COUNTIF('02b_DC_Accelerator_Mix'!$A$2:$A$977,G983)&gt;0,"matched","missing_mix")</f>
        <v/>
      </c>
    </row>
    <row r="984">
      <c r="A984" s="5">
        <f>'02a_DC_Capacity_Alloc'!A984</f>
        <v/>
      </c>
      <c r="B984" s="5">
        <f>'02a_DC_Capacity_Alloc'!B984</f>
        <v/>
      </c>
      <c r="C984" s="5">
        <f>'02a_DC_Capacity_Alloc'!C984</f>
        <v/>
      </c>
      <c r="D984" s="5">
        <f>'02a_DC_Capacity_Alloc'!D984</f>
        <v/>
      </c>
      <c r="E984" s="5">
        <f>'02a_DC_Capacity_Alloc'!E984</f>
        <v/>
      </c>
      <c r="F984" s="5">
        <f>'02a_DC_Capacity_Alloc'!F984</f>
        <v/>
      </c>
      <c r="G984" s="5">
        <f>B984&amp;"|"&amp;E984&amp;"|"&amp;D984</f>
        <v/>
      </c>
      <c r="H984" s="28">
        <f>'02a_DC_Capacity_Alloc'!H984*'02a_DC_Capacity_Alloc'!I984*'02a_DC_Capacity_Alloc'!J984</f>
        <v/>
      </c>
      <c r="I984" s="6">
        <f>IFERROR(INDEX('02b_DC_Accelerator_Mix'!$F$2:$F$977,MATCH(G984,'02b_DC_Accelerator_Mix'!$A$2:$A$977,0)),0)</f>
        <v/>
      </c>
      <c r="J984" s="6">
        <f>IFERROR(INDEX('02b_DC_Accelerator_Mix'!$G$2:$G$977,MATCH(G984,'02b_DC_Accelerator_Mix'!$A$2:$A$977,0)),0)</f>
        <v/>
      </c>
      <c r="K984" s="6">
        <f>IFERROR(INDEX('02b_DC_Accelerator_Mix'!$H$2:$H$977,MATCH(G984,'02b_DC_Accelerator_Mix'!$A$2:$A$977,0)),0)</f>
        <v/>
      </c>
      <c r="L984" s="6">
        <f>IFERROR(INDEX('02b_DC_Accelerator_Mix'!$I$2:$I$977,MATCH(G984,'02b_DC_Accelerator_Mix'!$A$2:$A$977,0)),0)</f>
        <v/>
      </c>
      <c r="M984" s="6">
        <f>IFERROR(INDEX('02b_DC_Accelerator_Mix'!$J$2:$J$977,MATCH(G984,'02b_DC_Accelerator_Mix'!$A$2:$A$977,0)),0)</f>
        <v/>
      </c>
      <c r="N984" s="6">
        <f>IFERROR(INDEX('02b_DC_Accelerator_Mix'!$K$2:$K$977,MATCH(G984,'02b_DC_Accelerator_Mix'!$A$2:$A$977,0)),0)</f>
        <v/>
      </c>
      <c r="O984" s="6">
        <f>IFERROR(INDEX('02b_DC_Accelerator_Mix'!$L$2:$L$977,MATCH(G984,'02b_DC_Accelerator_Mix'!$A$2:$A$977,0)),0)</f>
        <v/>
      </c>
      <c r="P984" s="6">
        <f>IFERROR(INDEX('02b_DC_Accelerator_Mix'!$M$2:$M$977,MATCH(G984,'02b_DC_Accelerator_Mix'!$A$2:$A$977,0)),0)</f>
        <v/>
      </c>
      <c r="Q984" s="6">
        <f>IFERROR(INDEX('02b_DC_Accelerator_Mix'!$N$2:$N$977,MATCH(G984,'02b_DC_Accelerator_Mix'!$A$2:$A$977,0)),0)</f>
        <v/>
      </c>
      <c r="R984" s="28">
        <f>H984*I984</f>
        <v/>
      </c>
      <c r="S984" s="28">
        <f>H984*J984</f>
        <v/>
      </c>
      <c r="T984" s="28">
        <f>H984*K984</f>
        <v/>
      </c>
      <c r="U984" s="28">
        <f>H984*L984</f>
        <v/>
      </c>
      <c r="V984" s="28">
        <f>H984*M984</f>
        <v/>
      </c>
      <c r="W984" s="28">
        <f>H984*N984</f>
        <v/>
      </c>
      <c r="X984" s="28">
        <f>H984*O984</f>
        <v/>
      </c>
      <c r="Y984" s="28">
        <f>H984*P984</f>
        <v/>
      </c>
      <c r="Z984" s="28">
        <f>H984*Q984</f>
        <v/>
      </c>
      <c r="AA984" s="28">
        <f>SUM(U984:Z984)</f>
        <v/>
      </c>
      <c r="AB984" s="5">
        <f>IF(COUNTIF('02b_DC_Accelerator_Mix'!$A$2:$A$977,G984)&gt;0,"matched","missing_mix")</f>
        <v/>
      </c>
    </row>
    <row r="985">
      <c r="A985" s="5">
        <f>'02a_DC_Capacity_Alloc'!A985</f>
        <v/>
      </c>
      <c r="B985" s="5">
        <f>'02a_DC_Capacity_Alloc'!B985</f>
        <v/>
      </c>
      <c r="C985" s="5">
        <f>'02a_DC_Capacity_Alloc'!C985</f>
        <v/>
      </c>
      <c r="D985" s="5">
        <f>'02a_DC_Capacity_Alloc'!D985</f>
        <v/>
      </c>
      <c r="E985" s="5">
        <f>'02a_DC_Capacity_Alloc'!E985</f>
        <v/>
      </c>
      <c r="F985" s="5">
        <f>'02a_DC_Capacity_Alloc'!F985</f>
        <v/>
      </c>
      <c r="G985" s="5">
        <f>B985&amp;"|"&amp;E985&amp;"|"&amp;D985</f>
        <v/>
      </c>
      <c r="H985" s="28">
        <f>'02a_DC_Capacity_Alloc'!H985*'02a_DC_Capacity_Alloc'!I985*'02a_DC_Capacity_Alloc'!J985</f>
        <v/>
      </c>
      <c r="I985" s="6">
        <f>IFERROR(INDEX('02b_DC_Accelerator_Mix'!$F$2:$F$977,MATCH(G985,'02b_DC_Accelerator_Mix'!$A$2:$A$977,0)),0)</f>
        <v/>
      </c>
      <c r="J985" s="6">
        <f>IFERROR(INDEX('02b_DC_Accelerator_Mix'!$G$2:$G$977,MATCH(G985,'02b_DC_Accelerator_Mix'!$A$2:$A$977,0)),0)</f>
        <v/>
      </c>
      <c r="K985" s="6">
        <f>IFERROR(INDEX('02b_DC_Accelerator_Mix'!$H$2:$H$977,MATCH(G985,'02b_DC_Accelerator_Mix'!$A$2:$A$977,0)),0)</f>
        <v/>
      </c>
      <c r="L985" s="6">
        <f>IFERROR(INDEX('02b_DC_Accelerator_Mix'!$I$2:$I$977,MATCH(G985,'02b_DC_Accelerator_Mix'!$A$2:$A$977,0)),0)</f>
        <v/>
      </c>
      <c r="M985" s="6">
        <f>IFERROR(INDEX('02b_DC_Accelerator_Mix'!$J$2:$J$977,MATCH(G985,'02b_DC_Accelerator_Mix'!$A$2:$A$977,0)),0)</f>
        <v/>
      </c>
      <c r="N985" s="6">
        <f>IFERROR(INDEX('02b_DC_Accelerator_Mix'!$K$2:$K$977,MATCH(G985,'02b_DC_Accelerator_Mix'!$A$2:$A$977,0)),0)</f>
        <v/>
      </c>
      <c r="O985" s="6">
        <f>IFERROR(INDEX('02b_DC_Accelerator_Mix'!$L$2:$L$977,MATCH(G985,'02b_DC_Accelerator_Mix'!$A$2:$A$977,0)),0)</f>
        <v/>
      </c>
      <c r="P985" s="6">
        <f>IFERROR(INDEX('02b_DC_Accelerator_Mix'!$M$2:$M$977,MATCH(G985,'02b_DC_Accelerator_Mix'!$A$2:$A$977,0)),0)</f>
        <v/>
      </c>
      <c r="Q985" s="6">
        <f>IFERROR(INDEX('02b_DC_Accelerator_Mix'!$N$2:$N$977,MATCH(G985,'02b_DC_Accelerator_Mix'!$A$2:$A$977,0)),0)</f>
        <v/>
      </c>
      <c r="R985" s="28">
        <f>H985*I985</f>
        <v/>
      </c>
      <c r="S985" s="28">
        <f>H985*J985</f>
        <v/>
      </c>
      <c r="T985" s="28">
        <f>H985*K985</f>
        <v/>
      </c>
      <c r="U985" s="28">
        <f>H985*L985</f>
        <v/>
      </c>
      <c r="V985" s="28">
        <f>H985*M985</f>
        <v/>
      </c>
      <c r="W985" s="28">
        <f>H985*N985</f>
        <v/>
      </c>
      <c r="X985" s="28">
        <f>H985*O985</f>
        <v/>
      </c>
      <c r="Y985" s="28">
        <f>H985*P985</f>
        <v/>
      </c>
      <c r="Z985" s="28">
        <f>H985*Q985</f>
        <v/>
      </c>
      <c r="AA985" s="28">
        <f>SUM(U985:Z985)</f>
        <v/>
      </c>
      <c r="AB985" s="5">
        <f>IF(COUNTIF('02b_DC_Accelerator_Mix'!$A$2:$A$977,G985)&gt;0,"matched","missing_mix")</f>
        <v/>
      </c>
    </row>
    <row r="986">
      <c r="A986" s="5">
        <f>'02a_DC_Capacity_Alloc'!A986</f>
        <v/>
      </c>
      <c r="B986" s="5">
        <f>'02a_DC_Capacity_Alloc'!B986</f>
        <v/>
      </c>
      <c r="C986" s="5">
        <f>'02a_DC_Capacity_Alloc'!C986</f>
        <v/>
      </c>
      <c r="D986" s="5">
        <f>'02a_DC_Capacity_Alloc'!D986</f>
        <v/>
      </c>
      <c r="E986" s="5">
        <f>'02a_DC_Capacity_Alloc'!E986</f>
        <v/>
      </c>
      <c r="F986" s="5">
        <f>'02a_DC_Capacity_Alloc'!F986</f>
        <v/>
      </c>
      <c r="G986" s="5">
        <f>B986&amp;"|"&amp;E986&amp;"|"&amp;D986</f>
        <v/>
      </c>
      <c r="H986" s="28">
        <f>'02a_DC_Capacity_Alloc'!H986*'02a_DC_Capacity_Alloc'!I986*'02a_DC_Capacity_Alloc'!J986</f>
        <v/>
      </c>
      <c r="I986" s="6">
        <f>IFERROR(INDEX('02b_DC_Accelerator_Mix'!$F$2:$F$977,MATCH(G986,'02b_DC_Accelerator_Mix'!$A$2:$A$977,0)),0)</f>
        <v/>
      </c>
      <c r="J986" s="6">
        <f>IFERROR(INDEX('02b_DC_Accelerator_Mix'!$G$2:$G$977,MATCH(G986,'02b_DC_Accelerator_Mix'!$A$2:$A$977,0)),0)</f>
        <v/>
      </c>
      <c r="K986" s="6">
        <f>IFERROR(INDEX('02b_DC_Accelerator_Mix'!$H$2:$H$977,MATCH(G986,'02b_DC_Accelerator_Mix'!$A$2:$A$977,0)),0)</f>
        <v/>
      </c>
      <c r="L986" s="6">
        <f>IFERROR(INDEX('02b_DC_Accelerator_Mix'!$I$2:$I$977,MATCH(G986,'02b_DC_Accelerator_Mix'!$A$2:$A$977,0)),0)</f>
        <v/>
      </c>
      <c r="M986" s="6">
        <f>IFERROR(INDEX('02b_DC_Accelerator_Mix'!$J$2:$J$977,MATCH(G986,'02b_DC_Accelerator_Mix'!$A$2:$A$977,0)),0)</f>
        <v/>
      </c>
      <c r="N986" s="6">
        <f>IFERROR(INDEX('02b_DC_Accelerator_Mix'!$K$2:$K$977,MATCH(G986,'02b_DC_Accelerator_Mix'!$A$2:$A$977,0)),0)</f>
        <v/>
      </c>
      <c r="O986" s="6">
        <f>IFERROR(INDEX('02b_DC_Accelerator_Mix'!$L$2:$L$977,MATCH(G986,'02b_DC_Accelerator_Mix'!$A$2:$A$977,0)),0)</f>
        <v/>
      </c>
      <c r="P986" s="6">
        <f>IFERROR(INDEX('02b_DC_Accelerator_Mix'!$M$2:$M$977,MATCH(G986,'02b_DC_Accelerator_Mix'!$A$2:$A$977,0)),0)</f>
        <v/>
      </c>
      <c r="Q986" s="6">
        <f>IFERROR(INDEX('02b_DC_Accelerator_Mix'!$N$2:$N$977,MATCH(G986,'02b_DC_Accelerator_Mix'!$A$2:$A$977,0)),0)</f>
        <v/>
      </c>
      <c r="R986" s="28">
        <f>H986*I986</f>
        <v/>
      </c>
      <c r="S986" s="28">
        <f>H986*J986</f>
        <v/>
      </c>
      <c r="T986" s="28">
        <f>H986*K986</f>
        <v/>
      </c>
      <c r="U986" s="28">
        <f>H986*L986</f>
        <v/>
      </c>
      <c r="V986" s="28">
        <f>H986*M986</f>
        <v/>
      </c>
      <c r="W986" s="28">
        <f>H986*N986</f>
        <v/>
      </c>
      <c r="X986" s="28">
        <f>H986*O986</f>
        <v/>
      </c>
      <c r="Y986" s="28">
        <f>H986*P986</f>
        <v/>
      </c>
      <c r="Z986" s="28">
        <f>H986*Q986</f>
        <v/>
      </c>
      <c r="AA986" s="28">
        <f>SUM(U986:Z986)</f>
        <v/>
      </c>
      <c r="AB986" s="5">
        <f>IF(COUNTIF('02b_DC_Accelerator_Mix'!$A$2:$A$977,G986)&gt;0,"matched","missing_mix")</f>
        <v/>
      </c>
    </row>
    <row r="987">
      <c r="A987" s="5">
        <f>'02a_DC_Capacity_Alloc'!A987</f>
        <v/>
      </c>
      <c r="B987" s="5">
        <f>'02a_DC_Capacity_Alloc'!B987</f>
        <v/>
      </c>
      <c r="C987" s="5">
        <f>'02a_DC_Capacity_Alloc'!C987</f>
        <v/>
      </c>
      <c r="D987" s="5">
        <f>'02a_DC_Capacity_Alloc'!D987</f>
        <v/>
      </c>
      <c r="E987" s="5">
        <f>'02a_DC_Capacity_Alloc'!E987</f>
        <v/>
      </c>
      <c r="F987" s="5">
        <f>'02a_DC_Capacity_Alloc'!F987</f>
        <v/>
      </c>
      <c r="G987" s="5">
        <f>B987&amp;"|"&amp;E987&amp;"|"&amp;D987</f>
        <v/>
      </c>
      <c r="H987" s="28">
        <f>'02a_DC_Capacity_Alloc'!H987*'02a_DC_Capacity_Alloc'!I987*'02a_DC_Capacity_Alloc'!J987</f>
        <v/>
      </c>
      <c r="I987" s="6">
        <f>IFERROR(INDEX('02b_DC_Accelerator_Mix'!$F$2:$F$977,MATCH(G987,'02b_DC_Accelerator_Mix'!$A$2:$A$977,0)),0)</f>
        <v/>
      </c>
      <c r="J987" s="6">
        <f>IFERROR(INDEX('02b_DC_Accelerator_Mix'!$G$2:$G$977,MATCH(G987,'02b_DC_Accelerator_Mix'!$A$2:$A$977,0)),0)</f>
        <v/>
      </c>
      <c r="K987" s="6">
        <f>IFERROR(INDEX('02b_DC_Accelerator_Mix'!$H$2:$H$977,MATCH(G987,'02b_DC_Accelerator_Mix'!$A$2:$A$977,0)),0)</f>
        <v/>
      </c>
      <c r="L987" s="6">
        <f>IFERROR(INDEX('02b_DC_Accelerator_Mix'!$I$2:$I$977,MATCH(G987,'02b_DC_Accelerator_Mix'!$A$2:$A$977,0)),0)</f>
        <v/>
      </c>
      <c r="M987" s="6">
        <f>IFERROR(INDEX('02b_DC_Accelerator_Mix'!$J$2:$J$977,MATCH(G987,'02b_DC_Accelerator_Mix'!$A$2:$A$977,0)),0)</f>
        <v/>
      </c>
      <c r="N987" s="6">
        <f>IFERROR(INDEX('02b_DC_Accelerator_Mix'!$K$2:$K$977,MATCH(G987,'02b_DC_Accelerator_Mix'!$A$2:$A$977,0)),0)</f>
        <v/>
      </c>
      <c r="O987" s="6">
        <f>IFERROR(INDEX('02b_DC_Accelerator_Mix'!$L$2:$L$977,MATCH(G987,'02b_DC_Accelerator_Mix'!$A$2:$A$977,0)),0)</f>
        <v/>
      </c>
      <c r="P987" s="6">
        <f>IFERROR(INDEX('02b_DC_Accelerator_Mix'!$M$2:$M$977,MATCH(G987,'02b_DC_Accelerator_Mix'!$A$2:$A$977,0)),0)</f>
        <v/>
      </c>
      <c r="Q987" s="6">
        <f>IFERROR(INDEX('02b_DC_Accelerator_Mix'!$N$2:$N$977,MATCH(G987,'02b_DC_Accelerator_Mix'!$A$2:$A$977,0)),0)</f>
        <v/>
      </c>
      <c r="R987" s="28">
        <f>H987*I987</f>
        <v/>
      </c>
      <c r="S987" s="28">
        <f>H987*J987</f>
        <v/>
      </c>
      <c r="T987" s="28">
        <f>H987*K987</f>
        <v/>
      </c>
      <c r="U987" s="28">
        <f>H987*L987</f>
        <v/>
      </c>
      <c r="V987" s="28">
        <f>H987*M987</f>
        <v/>
      </c>
      <c r="W987" s="28">
        <f>H987*N987</f>
        <v/>
      </c>
      <c r="X987" s="28">
        <f>H987*O987</f>
        <v/>
      </c>
      <c r="Y987" s="28">
        <f>H987*P987</f>
        <v/>
      </c>
      <c r="Z987" s="28">
        <f>H987*Q987</f>
        <v/>
      </c>
      <c r="AA987" s="28">
        <f>SUM(U987:Z987)</f>
        <v/>
      </c>
      <c r="AB987" s="5">
        <f>IF(COUNTIF('02b_DC_Accelerator_Mix'!$A$2:$A$977,G987)&gt;0,"matched","missing_mix")</f>
        <v/>
      </c>
    </row>
    <row r="988">
      <c r="A988" s="5">
        <f>'02a_DC_Capacity_Alloc'!A988</f>
        <v/>
      </c>
      <c r="B988" s="5">
        <f>'02a_DC_Capacity_Alloc'!B988</f>
        <v/>
      </c>
      <c r="C988" s="5">
        <f>'02a_DC_Capacity_Alloc'!C988</f>
        <v/>
      </c>
      <c r="D988" s="5">
        <f>'02a_DC_Capacity_Alloc'!D988</f>
        <v/>
      </c>
      <c r="E988" s="5">
        <f>'02a_DC_Capacity_Alloc'!E988</f>
        <v/>
      </c>
      <c r="F988" s="5">
        <f>'02a_DC_Capacity_Alloc'!F988</f>
        <v/>
      </c>
      <c r="G988" s="5">
        <f>B988&amp;"|"&amp;E988&amp;"|"&amp;D988</f>
        <v/>
      </c>
      <c r="H988" s="28">
        <f>'02a_DC_Capacity_Alloc'!H988*'02a_DC_Capacity_Alloc'!I988*'02a_DC_Capacity_Alloc'!J988</f>
        <v/>
      </c>
      <c r="I988" s="6">
        <f>IFERROR(INDEX('02b_DC_Accelerator_Mix'!$F$2:$F$977,MATCH(G988,'02b_DC_Accelerator_Mix'!$A$2:$A$977,0)),0)</f>
        <v/>
      </c>
      <c r="J988" s="6">
        <f>IFERROR(INDEX('02b_DC_Accelerator_Mix'!$G$2:$G$977,MATCH(G988,'02b_DC_Accelerator_Mix'!$A$2:$A$977,0)),0)</f>
        <v/>
      </c>
      <c r="K988" s="6">
        <f>IFERROR(INDEX('02b_DC_Accelerator_Mix'!$H$2:$H$977,MATCH(G988,'02b_DC_Accelerator_Mix'!$A$2:$A$977,0)),0)</f>
        <v/>
      </c>
      <c r="L988" s="6">
        <f>IFERROR(INDEX('02b_DC_Accelerator_Mix'!$I$2:$I$977,MATCH(G988,'02b_DC_Accelerator_Mix'!$A$2:$A$977,0)),0)</f>
        <v/>
      </c>
      <c r="M988" s="6">
        <f>IFERROR(INDEX('02b_DC_Accelerator_Mix'!$J$2:$J$977,MATCH(G988,'02b_DC_Accelerator_Mix'!$A$2:$A$977,0)),0)</f>
        <v/>
      </c>
      <c r="N988" s="6">
        <f>IFERROR(INDEX('02b_DC_Accelerator_Mix'!$K$2:$K$977,MATCH(G988,'02b_DC_Accelerator_Mix'!$A$2:$A$977,0)),0)</f>
        <v/>
      </c>
      <c r="O988" s="6">
        <f>IFERROR(INDEX('02b_DC_Accelerator_Mix'!$L$2:$L$977,MATCH(G988,'02b_DC_Accelerator_Mix'!$A$2:$A$977,0)),0)</f>
        <v/>
      </c>
      <c r="P988" s="6">
        <f>IFERROR(INDEX('02b_DC_Accelerator_Mix'!$M$2:$M$977,MATCH(G988,'02b_DC_Accelerator_Mix'!$A$2:$A$977,0)),0)</f>
        <v/>
      </c>
      <c r="Q988" s="6">
        <f>IFERROR(INDEX('02b_DC_Accelerator_Mix'!$N$2:$N$977,MATCH(G988,'02b_DC_Accelerator_Mix'!$A$2:$A$977,0)),0)</f>
        <v/>
      </c>
      <c r="R988" s="28">
        <f>H988*I988</f>
        <v/>
      </c>
      <c r="S988" s="28">
        <f>H988*J988</f>
        <v/>
      </c>
      <c r="T988" s="28">
        <f>H988*K988</f>
        <v/>
      </c>
      <c r="U988" s="28">
        <f>H988*L988</f>
        <v/>
      </c>
      <c r="V988" s="28">
        <f>H988*M988</f>
        <v/>
      </c>
      <c r="W988" s="28">
        <f>H988*N988</f>
        <v/>
      </c>
      <c r="X988" s="28">
        <f>H988*O988</f>
        <v/>
      </c>
      <c r="Y988" s="28">
        <f>H988*P988</f>
        <v/>
      </c>
      <c r="Z988" s="28">
        <f>H988*Q988</f>
        <v/>
      </c>
      <c r="AA988" s="28">
        <f>SUM(U988:Z988)</f>
        <v/>
      </c>
      <c r="AB988" s="5">
        <f>IF(COUNTIF('02b_DC_Accelerator_Mix'!$A$2:$A$977,G988)&gt;0,"matched","missing_mix")</f>
        <v/>
      </c>
    </row>
    <row r="989">
      <c r="A989" s="5">
        <f>'02a_DC_Capacity_Alloc'!A989</f>
        <v/>
      </c>
      <c r="B989" s="5">
        <f>'02a_DC_Capacity_Alloc'!B989</f>
        <v/>
      </c>
      <c r="C989" s="5">
        <f>'02a_DC_Capacity_Alloc'!C989</f>
        <v/>
      </c>
      <c r="D989" s="5">
        <f>'02a_DC_Capacity_Alloc'!D989</f>
        <v/>
      </c>
      <c r="E989" s="5">
        <f>'02a_DC_Capacity_Alloc'!E989</f>
        <v/>
      </c>
      <c r="F989" s="5">
        <f>'02a_DC_Capacity_Alloc'!F989</f>
        <v/>
      </c>
      <c r="G989" s="5">
        <f>B989&amp;"|"&amp;E989&amp;"|"&amp;D989</f>
        <v/>
      </c>
      <c r="H989" s="28">
        <f>'02a_DC_Capacity_Alloc'!H989*'02a_DC_Capacity_Alloc'!I989*'02a_DC_Capacity_Alloc'!J989</f>
        <v/>
      </c>
      <c r="I989" s="6">
        <f>IFERROR(INDEX('02b_DC_Accelerator_Mix'!$F$2:$F$977,MATCH(G989,'02b_DC_Accelerator_Mix'!$A$2:$A$977,0)),0)</f>
        <v/>
      </c>
      <c r="J989" s="6">
        <f>IFERROR(INDEX('02b_DC_Accelerator_Mix'!$G$2:$G$977,MATCH(G989,'02b_DC_Accelerator_Mix'!$A$2:$A$977,0)),0)</f>
        <v/>
      </c>
      <c r="K989" s="6">
        <f>IFERROR(INDEX('02b_DC_Accelerator_Mix'!$H$2:$H$977,MATCH(G989,'02b_DC_Accelerator_Mix'!$A$2:$A$977,0)),0)</f>
        <v/>
      </c>
      <c r="L989" s="6">
        <f>IFERROR(INDEX('02b_DC_Accelerator_Mix'!$I$2:$I$977,MATCH(G989,'02b_DC_Accelerator_Mix'!$A$2:$A$977,0)),0)</f>
        <v/>
      </c>
      <c r="M989" s="6">
        <f>IFERROR(INDEX('02b_DC_Accelerator_Mix'!$J$2:$J$977,MATCH(G989,'02b_DC_Accelerator_Mix'!$A$2:$A$977,0)),0)</f>
        <v/>
      </c>
      <c r="N989" s="6">
        <f>IFERROR(INDEX('02b_DC_Accelerator_Mix'!$K$2:$K$977,MATCH(G989,'02b_DC_Accelerator_Mix'!$A$2:$A$977,0)),0)</f>
        <v/>
      </c>
      <c r="O989" s="6">
        <f>IFERROR(INDEX('02b_DC_Accelerator_Mix'!$L$2:$L$977,MATCH(G989,'02b_DC_Accelerator_Mix'!$A$2:$A$977,0)),0)</f>
        <v/>
      </c>
      <c r="P989" s="6">
        <f>IFERROR(INDEX('02b_DC_Accelerator_Mix'!$M$2:$M$977,MATCH(G989,'02b_DC_Accelerator_Mix'!$A$2:$A$977,0)),0)</f>
        <v/>
      </c>
      <c r="Q989" s="6">
        <f>IFERROR(INDEX('02b_DC_Accelerator_Mix'!$N$2:$N$977,MATCH(G989,'02b_DC_Accelerator_Mix'!$A$2:$A$977,0)),0)</f>
        <v/>
      </c>
      <c r="R989" s="28">
        <f>H989*I989</f>
        <v/>
      </c>
      <c r="S989" s="28">
        <f>H989*J989</f>
        <v/>
      </c>
      <c r="T989" s="28">
        <f>H989*K989</f>
        <v/>
      </c>
      <c r="U989" s="28">
        <f>H989*L989</f>
        <v/>
      </c>
      <c r="V989" s="28">
        <f>H989*M989</f>
        <v/>
      </c>
      <c r="W989" s="28">
        <f>H989*N989</f>
        <v/>
      </c>
      <c r="X989" s="28">
        <f>H989*O989</f>
        <v/>
      </c>
      <c r="Y989" s="28">
        <f>H989*P989</f>
        <v/>
      </c>
      <c r="Z989" s="28">
        <f>H989*Q989</f>
        <v/>
      </c>
      <c r="AA989" s="28">
        <f>SUM(U989:Z989)</f>
        <v/>
      </c>
      <c r="AB989" s="5">
        <f>IF(COUNTIF('02b_DC_Accelerator_Mix'!$A$2:$A$977,G989)&gt;0,"matched","missing_mix")</f>
        <v/>
      </c>
    </row>
    <row r="990">
      <c r="A990" s="5">
        <f>'02a_DC_Capacity_Alloc'!A990</f>
        <v/>
      </c>
      <c r="B990" s="5">
        <f>'02a_DC_Capacity_Alloc'!B990</f>
        <v/>
      </c>
      <c r="C990" s="5">
        <f>'02a_DC_Capacity_Alloc'!C990</f>
        <v/>
      </c>
      <c r="D990" s="5">
        <f>'02a_DC_Capacity_Alloc'!D990</f>
        <v/>
      </c>
      <c r="E990" s="5">
        <f>'02a_DC_Capacity_Alloc'!E990</f>
        <v/>
      </c>
      <c r="F990" s="5">
        <f>'02a_DC_Capacity_Alloc'!F990</f>
        <v/>
      </c>
      <c r="G990" s="5">
        <f>B990&amp;"|"&amp;E990&amp;"|"&amp;D990</f>
        <v/>
      </c>
      <c r="H990" s="28">
        <f>'02a_DC_Capacity_Alloc'!H990*'02a_DC_Capacity_Alloc'!I990*'02a_DC_Capacity_Alloc'!J990</f>
        <v/>
      </c>
      <c r="I990" s="6">
        <f>IFERROR(INDEX('02b_DC_Accelerator_Mix'!$F$2:$F$977,MATCH(G990,'02b_DC_Accelerator_Mix'!$A$2:$A$977,0)),0)</f>
        <v/>
      </c>
      <c r="J990" s="6">
        <f>IFERROR(INDEX('02b_DC_Accelerator_Mix'!$G$2:$G$977,MATCH(G990,'02b_DC_Accelerator_Mix'!$A$2:$A$977,0)),0)</f>
        <v/>
      </c>
      <c r="K990" s="6">
        <f>IFERROR(INDEX('02b_DC_Accelerator_Mix'!$H$2:$H$977,MATCH(G990,'02b_DC_Accelerator_Mix'!$A$2:$A$977,0)),0)</f>
        <v/>
      </c>
      <c r="L990" s="6">
        <f>IFERROR(INDEX('02b_DC_Accelerator_Mix'!$I$2:$I$977,MATCH(G990,'02b_DC_Accelerator_Mix'!$A$2:$A$977,0)),0)</f>
        <v/>
      </c>
      <c r="M990" s="6">
        <f>IFERROR(INDEX('02b_DC_Accelerator_Mix'!$J$2:$J$977,MATCH(G990,'02b_DC_Accelerator_Mix'!$A$2:$A$977,0)),0)</f>
        <v/>
      </c>
      <c r="N990" s="6">
        <f>IFERROR(INDEX('02b_DC_Accelerator_Mix'!$K$2:$K$977,MATCH(G990,'02b_DC_Accelerator_Mix'!$A$2:$A$977,0)),0)</f>
        <v/>
      </c>
      <c r="O990" s="6">
        <f>IFERROR(INDEX('02b_DC_Accelerator_Mix'!$L$2:$L$977,MATCH(G990,'02b_DC_Accelerator_Mix'!$A$2:$A$977,0)),0)</f>
        <v/>
      </c>
      <c r="P990" s="6">
        <f>IFERROR(INDEX('02b_DC_Accelerator_Mix'!$M$2:$M$977,MATCH(G990,'02b_DC_Accelerator_Mix'!$A$2:$A$977,0)),0)</f>
        <v/>
      </c>
      <c r="Q990" s="6">
        <f>IFERROR(INDEX('02b_DC_Accelerator_Mix'!$N$2:$N$977,MATCH(G990,'02b_DC_Accelerator_Mix'!$A$2:$A$977,0)),0)</f>
        <v/>
      </c>
      <c r="R990" s="28">
        <f>H990*I990</f>
        <v/>
      </c>
      <c r="S990" s="28">
        <f>H990*J990</f>
        <v/>
      </c>
      <c r="T990" s="28">
        <f>H990*K990</f>
        <v/>
      </c>
      <c r="U990" s="28">
        <f>H990*L990</f>
        <v/>
      </c>
      <c r="V990" s="28">
        <f>H990*M990</f>
        <v/>
      </c>
      <c r="W990" s="28">
        <f>H990*N990</f>
        <v/>
      </c>
      <c r="X990" s="28">
        <f>H990*O990</f>
        <v/>
      </c>
      <c r="Y990" s="28">
        <f>H990*P990</f>
        <v/>
      </c>
      <c r="Z990" s="28">
        <f>H990*Q990</f>
        <v/>
      </c>
      <c r="AA990" s="28">
        <f>SUM(U990:Z990)</f>
        <v/>
      </c>
      <c r="AB990" s="5">
        <f>IF(COUNTIF('02b_DC_Accelerator_Mix'!$A$2:$A$977,G990)&gt;0,"matched","missing_mix")</f>
        <v/>
      </c>
    </row>
    <row r="991">
      <c r="A991" s="5">
        <f>'02a_DC_Capacity_Alloc'!A991</f>
        <v/>
      </c>
      <c r="B991" s="5">
        <f>'02a_DC_Capacity_Alloc'!B991</f>
        <v/>
      </c>
      <c r="C991" s="5">
        <f>'02a_DC_Capacity_Alloc'!C991</f>
        <v/>
      </c>
      <c r="D991" s="5">
        <f>'02a_DC_Capacity_Alloc'!D991</f>
        <v/>
      </c>
      <c r="E991" s="5">
        <f>'02a_DC_Capacity_Alloc'!E991</f>
        <v/>
      </c>
      <c r="F991" s="5">
        <f>'02a_DC_Capacity_Alloc'!F991</f>
        <v/>
      </c>
      <c r="G991" s="5">
        <f>B991&amp;"|"&amp;E991&amp;"|"&amp;D991</f>
        <v/>
      </c>
      <c r="H991" s="28">
        <f>'02a_DC_Capacity_Alloc'!H991*'02a_DC_Capacity_Alloc'!I991*'02a_DC_Capacity_Alloc'!J991</f>
        <v/>
      </c>
      <c r="I991" s="6">
        <f>IFERROR(INDEX('02b_DC_Accelerator_Mix'!$F$2:$F$977,MATCH(G991,'02b_DC_Accelerator_Mix'!$A$2:$A$977,0)),0)</f>
        <v/>
      </c>
      <c r="J991" s="6">
        <f>IFERROR(INDEX('02b_DC_Accelerator_Mix'!$G$2:$G$977,MATCH(G991,'02b_DC_Accelerator_Mix'!$A$2:$A$977,0)),0)</f>
        <v/>
      </c>
      <c r="K991" s="6">
        <f>IFERROR(INDEX('02b_DC_Accelerator_Mix'!$H$2:$H$977,MATCH(G991,'02b_DC_Accelerator_Mix'!$A$2:$A$977,0)),0)</f>
        <v/>
      </c>
      <c r="L991" s="6">
        <f>IFERROR(INDEX('02b_DC_Accelerator_Mix'!$I$2:$I$977,MATCH(G991,'02b_DC_Accelerator_Mix'!$A$2:$A$977,0)),0)</f>
        <v/>
      </c>
      <c r="M991" s="6">
        <f>IFERROR(INDEX('02b_DC_Accelerator_Mix'!$J$2:$J$977,MATCH(G991,'02b_DC_Accelerator_Mix'!$A$2:$A$977,0)),0)</f>
        <v/>
      </c>
      <c r="N991" s="6">
        <f>IFERROR(INDEX('02b_DC_Accelerator_Mix'!$K$2:$K$977,MATCH(G991,'02b_DC_Accelerator_Mix'!$A$2:$A$977,0)),0)</f>
        <v/>
      </c>
      <c r="O991" s="6">
        <f>IFERROR(INDEX('02b_DC_Accelerator_Mix'!$L$2:$L$977,MATCH(G991,'02b_DC_Accelerator_Mix'!$A$2:$A$977,0)),0)</f>
        <v/>
      </c>
      <c r="P991" s="6">
        <f>IFERROR(INDEX('02b_DC_Accelerator_Mix'!$M$2:$M$977,MATCH(G991,'02b_DC_Accelerator_Mix'!$A$2:$A$977,0)),0)</f>
        <v/>
      </c>
      <c r="Q991" s="6">
        <f>IFERROR(INDEX('02b_DC_Accelerator_Mix'!$N$2:$N$977,MATCH(G991,'02b_DC_Accelerator_Mix'!$A$2:$A$977,0)),0)</f>
        <v/>
      </c>
      <c r="R991" s="28">
        <f>H991*I991</f>
        <v/>
      </c>
      <c r="S991" s="28">
        <f>H991*J991</f>
        <v/>
      </c>
      <c r="T991" s="28">
        <f>H991*K991</f>
        <v/>
      </c>
      <c r="U991" s="28">
        <f>H991*L991</f>
        <v/>
      </c>
      <c r="V991" s="28">
        <f>H991*M991</f>
        <v/>
      </c>
      <c r="W991" s="28">
        <f>H991*N991</f>
        <v/>
      </c>
      <c r="X991" s="28">
        <f>H991*O991</f>
        <v/>
      </c>
      <c r="Y991" s="28">
        <f>H991*P991</f>
        <v/>
      </c>
      <c r="Z991" s="28">
        <f>H991*Q991</f>
        <v/>
      </c>
      <c r="AA991" s="28">
        <f>SUM(U991:Z991)</f>
        <v/>
      </c>
      <c r="AB991" s="5">
        <f>IF(COUNTIF('02b_DC_Accelerator_Mix'!$A$2:$A$977,G991)&gt;0,"matched","missing_mix")</f>
        <v/>
      </c>
    </row>
    <row r="992">
      <c r="A992" s="5">
        <f>'02a_DC_Capacity_Alloc'!A992</f>
        <v/>
      </c>
      <c r="B992" s="5">
        <f>'02a_DC_Capacity_Alloc'!B992</f>
        <v/>
      </c>
      <c r="C992" s="5">
        <f>'02a_DC_Capacity_Alloc'!C992</f>
        <v/>
      </c>
      <c r="D992" s="5">
        <f>'02a_DC_Capacity_Alloc'!D992</f>
        <v/>
      </c>
      <c r="E992" s="5">
        <f>'02a_DC_Capacity_Alloc'!E992</f>
        <v/>
      </c>
      <c r="F992" s="5">
        <f>'02a_DC_Capacity_Alloc'!F992</f>
        <v/>
      </c>
      <c r="G992" s="5">
        <f>B992&amp;"|"&amp;E992&amp;"|"&amp;D992</f>
        <v/>
      </c>
      <c r="H992" s="28">
        <f>'02a_DC_Capacity_Alloc'!H992*'02a_DC_Capacity_Alloc'!I992*'02a_DC_Capacity_Alloc'!J992</f>
        <v/>
      </c>
      <c r="I992" s="6">
        <f>IFERROR(INDEX('02b_DC_Accelerator_Mix'!$F$2:$F$977,MATCH(G992,'02b_DC_Accelerator_Mix'!$A$2:$A$977,0)),0)</f>
        <v/>
      </c>
      <c r="J992" s="6">
        <f>IFERROR(INDEX('02b_DC_Accelerator_Mix'!$G$2:$G$977,MATCH(G992,'02b_DC_Accelerator_Mix'!$A$2:$A$977,0)),0)</f>
        <v/>
      </c>
      <c r="K992" s="6">
        <f>IFERROR(INDEX('02b_DC_Accelerator_Mix'!$H$2:$H$977,MATCH(G992,'02b_DC_Accelerator_Mix'!$A$2:$A$977,0)),0)</f>
        <v/>
      </c>
      <c r="L992" s="6">
        <f>IFERROR(INDEX('02b_DC_Accelerator_Mix'!$I$2:$I$977,MATCH(G992,'02b_DC_Accelerator_Mix'!$A$2:$A$977,0)),0)</f>
        <v/>
      </c>
      <c r="M992" s="6">
        <f>IFERROR(INDEX('02b_DC_Accelerator_Mix'!$J$2:$J$977,MATCH(G992,'02b_DC_Accelerator_Mix'!$A$2:$A$977,0)),0)</f>
        <v/>
      </c>
      <c r="N992" s="6">
        <f>IFERROR(INDEX('02b_DC_Accelerator_Mix'!$K$2:$K$977,MATCH(G992,'02b_DC_Accelerator_Mix'!$A$2:$A$977,0)),0)</f>
        <v/>
      </c>
      <c r="O992" s="6">
        <f>IFERROR(INDEX('02b_DC_Accelerator_Mix'!$L$2:$L$977,MATCH(G992,'02b_DC_Accelerator_Mix'!$A$2:$A$977,0)),0)</f>
        <v/>
      </c>
      <c r="P992" s="6">
        <f>IFERROR(INDEX('02b_DC_Accelerator_Mix'!$M$2:$M$977,MATCH(G992,'02b_DC_Accelerator_Mix'!$A$2:$A$977,0)),0)</f>
        <v/>
      </c>
      <c r="Q992" s="6">
        <f>IFERROR(INDEX('02b_DC_Accelerator_Mix'!$N$2:$N$977,MATCH(G992,'02b_DC_Accelerator_Mix'!$A$2:$A$977,0)),0)</f>
        <v/>
      </c>
      <c r="R992" s="28">
        <f>H992*I992</f>
        <v/>
      </c>
      <c r="S992" s="28">
        <f>H992*J992</f>
        <v/>
      </c>
      <c r="T992" s="28">
        <f>H992*K992</f>
        <v/>
      </c>
      <c r="U992" s="28">
        <f>H992*L992</f>
        <v/>
      </c>
      <c r="V992" s="28">
        <f>H992*M992</f>
        <v/>
      </c>
      <c r="W992" s="28">
        <f>H992*N992</f>
        <v/>
      </c>
      <c r="X992" s="28">
        <f>H992*O992</f>
        <v/>
      </c>
      <c r="Y992" s="28">
        <f>H992*P992</f>
        <v/>
      </c>
      <c r="Z992" s="28">
        <f>H992*Q992</f>
        <v/>
      </c>
      <c r="AA992" s="28">
        <f>SUM(U992:Z992)</f>
        <v/>
      </c>
      <c r="AB992" s="5">
        <f>IF(COUNTIF('02b_DC_Accelerator_Mix'!$A$2:$A$977,G992)&gt;0,"matched","missing_mix")</f>
        <v/>
      </c>
    </row>
    <row r="993">
      <c r="A993" s="5">
        <f>'02a_DC_Capacity_Alloc'!A993</f>
        <v/>
      </c>
      <c r="B993" s="5">
        <f>'02a_DC_Capacity_Alloc'!B993</f>
        <v/>
      </c>
      <c r="C993" s="5">
        <f>'02a_DC_Capacity_Alloc'!C993</f>
        <v/>
      </c>
      <c r="D993" s="5">
        <f>'02a_DC_Capacity_Alloc'!D993</f>
        <v/>
      </c>
      <c r="E993" s="5">
        <f>'02a_DC_Capacity_Alloc'!E993</f>
        <v/>
      </c>
      <c r="F993" s="5">
        <f>'02a_DC_Capacity_Alloc'!F993</f>
        <v/>
      </c>
      <c r="G993" s="5">
        <f>B993&amp;"|"&amp;E993&amp;"|"&amp;D993</f>
        <v/>
      </c>
      <c r="H993" s="28">
        <f>'02a_DC_Capacity_Alloc'!H993*'02a_DC_Capacity_Alloc'!I993*'02a_DC_Capacity_Alloc'!J993</f>
        <v/>
      </c>
      <c r="I993" s="6">
        <f>IFERROR(INDEX('02b_DC_Accelerator_Mix'!$F$2:$F$977,MATCH(G993,'02b_DC_Accelerator_Mix'!$A$2:$A$977,0)),0)</f>
        <v/>
      </c>
      <c r="J993" s="6">
        <f>IFERROR(INDEX('02b_DC_Accelerator_Mix'!$G$2:$G$977,MATCH(G993,'02b_DC_Accelerator_Mix'!$A$2:$A$977,0)),0)</f>
        <v/>
      </c>
      <c r="K993" s="6">
        <f>IFERROR(INDEX('02b_DC_Accelerator_Mix'!$H$2:$H$977,MATCH(G993,'02b_DC_Accelerator_Mix'!$A$2:$A$977,0)),0)</f>
        <v/>
      </c>
      <c r="L993" s="6">
        <f>IFERROR(INDEX('02b_DC_Accelerator_Mix'!$I$2:$I$977,MATCH(G993,'02b_DC_Accelerator_Mix'!$A$2:$A$977,0)),0)</f>
        <v/>
      </c>
      <c r="M993" s="6">
        <f>IFERROR(INDEX('02b_DC_Accelerator_Mix'!$J$2:$J$977,MATCH(G993,'02b_DC_Accelerator_Mix'!$A$2:$A$977,0)),0)</f>
        <v/>
      </c>
      <c r="N993" s="6">
        <f>IFERROR(INDEX('02b_DC_Accelerator_Mix'!$K$2:$K$977,MATCH(G993,'02b_DC_Accelerator_Mix'!$A$2:$A$977,0)),0)</f>
        <v/>
      </c>
      <c r="O993" s="6">
        <f>IFERROR(INDEX('02b_DC_Accelerator_Mix'!$L$2:$L$977,MATCH(G993,'02b_DC_Accelerator_Mix'!$A$2:$A$977,0)),0)</f>
        <v/>
      </c>
      <c r="P993" s="6">
        <f>IFERROR(INDEX('02b_DC_Accelerator_Mix'!$M$2:$M$977,MATCH(G993,'02b_DC_Accelerator_Mix'!$A$2:$A$977,0)),0)</f>
        <v/>
      </c>
      <c r="Q993" s="6">
        <f>IFERROR(INDEX('02b_DC_Accelerator_Mix'!$N$2:$N$977,MATCH(G993,'02b_DC_Accelerator_Mix'!$A$2:$A$977,0)),0)</f>
        <v/>
      </c>
      <c r="R993" s="28">
        <f>H993*I993</f>
        <v/>
      </c>
      <c r="S993" s="28">
        <f>H993*J993</f>
        <v/>
      </c>
      <c r="T993" s="28">
        <f>H993*K993</f>
        <v/>
      </c>
      <c r="U993" s="28">
        <f>H993*L993</f>
        <v/>
      </c>
      <c r="V993" s="28">
        <f>H993*M993</f>
        <v/>
      </c>
      <c r="W993" s="28">
        <f>H993*N993</f>
        <v/>
      </c>
      <c r="X993" s="28">
        <f>H993*O993</f>
        <v/>
      </c>
      <c r="Y993" s="28">
        <f>H993*P993</f>
        <v/>
      </c>
      <c r="Z993" s="28">
        <f>H993*Q993</f>
        <v/>
      </c>
      <c r="AA993" s="28">
        <f>SUM(U993:Z993)</f>
        <v/>
      </c>
      <c r="AB993" s="5">
        <f>IF(COUNTIF('02b_DC_Accelerator_Mix'!$A$2:$A$977,G993)&gt;0,"matched","missing_mix")</f>
        <v/>
      </c>
    </row>
    <row r="994">
      <c r="A994" s="5">
        <f>'02a_DC_Capacity_Alloc'!A994</f>
        <v/>
      </c>
      <c r="B994" s="5">
        <f>'02a_DC_Capacity_Alloc'!B994</f>
        <v/>
      </c>
      <c r="C994" s="5">
        <f>'02a_DC_Capacity_Alloc'!C994</f>
        <v/>
      </c>
      <c r="D994" s="5">
        <f>'02a_DC_Capacity_Alloc'!D994</f>
        <v/>
      </c>
      <c r="E994" s="5">
        <f>'02a_DC_Capacity_Alloc'!E994</f>
        <v/>
      </c>
      <c r="F994" s="5">
        <f>'02a_DC_Capacity_Alloc'!F994</f>
        <v/>
      </c>
      <c r="G994" s="5">
        <f>B994&amp;"|"&amp;E994&amp;"|"&amp;D994</f>
        <v/>
      </c>
      <c r="H994" s="28">
        <f>'02a_DC_Capacity_Alloc'!H994*'02a_DC_Capacity_Alloc'!I994*'02a_DC_Capacity_Alloc'!J994</f>
        <v/>
      </c>
      <c r="I994" s="6">
        <f>IFERROR(INDEX('02b_DC_Accelerator_Mix'!$F$2:$F$977,MATCH(G994,'02b_DC_Accelerator_Mix'!$A$2:$A$977,0)),0)</f>
        <v/>
      </c>
      <c r="J994" s="6">
        <f>IFERROR(INDEX('02b_DC_Accelerator_Mix'!$G$2:$G$977,MATCH(G994,'02b_DC_Accelerator_Mix'!$A$2:$A$977,0)),0)</f>
        <v/>
      </c>
      <c r="K994" s="6">
        <f>IFERROR(INDEX('02b_DC_Accelerator_Mix'!$H$2:$H$977,MATCH(G994,'02b_DC_Accelerator_Mix'!$A$2:$A$977,0)),0)</f>
        <v/>
      </c>
      <c r="L994" s="6">
        <f>IFERROR(INDEX('02b_DC_Accelerator_Mix'!$I$2:$I$977,MATCH(G994,'02b_DC_Accelerator_Mix'!$A$2:$A$977,0)),0)</f>
        <v/>
      </c>
      <c r="M994" s="6">
        <f>IFERROR(INDEX('02b_DC_Accelerator_Mix'!$J$2:$J$977,MATCH(G994,'02b_DC_Accelerator_Mix'!$A$2:$A$977,0)),0)</f>
        <v/>
      </c>
      <c r="N994" s="6">
        <f>IFERROR(INDEX('02b_DC_Accelerator_Mix'!$K$2:$K$977,MATCH(G994,'02b_DC_Accelerator_Mix'!$A$2:$A$977,0)),0)</f>
        <v/>
      </c>
      <c r="O994" s="6">
        <f>IFERROR(INDEX('02b_DC_Accelerator_Mix'!$L$2:$L$977,MATCH(G994,'02b_DC_Accelerator_Mix'!$A$2:$A$977,0)),0)</f>
        <v/>
      </c>
      <c r="P994" s="6">
        <f>IFERROR(INDEX('02b_DC_Accelerator_Mix'!$M$2:$M$977,MATCH(G994,'02b_DC_Accelerator_Mix'!$A$2:$A$977,0)),0)</f>
        <v/>
      </c>
      <c r="Q994" s="6">
        <f>IFERROR(INDEX('02b_DC_Accelerator_Mix'!$N$2:$N$977,MATCH(G994,'02b_DC_Accelerator_Mix'!$A$2:$A$977,0)),0)</f>
        <v/>
      </c>
      <c r="R994" s="28">
        <f>H994*I994</f>
        <v/>
      </c>
      <c r="S994" s="28">
        <f>H994*J994</f>
        <v/>
      </c>
      <c r="T994" s="28">
        <f>H994*K994</f>
        <v/>
      </c>
      <c r="U994" s="28">
        <f>H994*L994</f>
        <v/>
      </c>
      <c r="V994" s="28">
        <f>H994*M994</f>
        <v/>
      </c>
      <c r="W994" s="28">
        <f>H994*N994</f>
        <v/>
      </c>
      <c r="X994" s="28">
        <f>H994*O994</f>
        <v/>
      </c>
      <c r="Y994" s="28">
        <f>H994*P994</f>
        <v/>
      </c>
      <c r="Z994" s="28">
        <f>H994*Q994</f>
        <v/>
      </c>
      <c r="AA994" s="28">
        <f>SUM(U994:Z994)</f>
        <v/>
      </c>
      <c r="AB994" s="5">
        <f>IF(COUNTIF('02b_DC_Accelerator_Mix'!$A$2:$A$977,G994)&gt;0,"matched","missing_mix")</f>
        <v/>
      </c>
    </row>
    <row r="995">
      <c r="A995" s="5">
        <f>'02a_DC_Capacity_Alloc'!A995</f>
        <v/>
      </c>
      <c r="B995" s="5">
        <f>'02a_DC_Capacity_Alloc'!B995</f>
        <v/>
      </c>
      <c r="C995" s="5">
        <f>'02a_DC_Capacity_Alloc'!C995</f>
        <v/>
      </c>
      <c r="D995" s="5">
        <f>'02a_DC_Capacity_Alloc'!D995</f>
        <v/>
      </c>
      <c r="E995" s="5">
        <f>'02a_DC_Capacity_Alloc'!E995</f>
        <v/>
      </c>
      <c r="F995" s="5">
        <f>'02a_DC_Capacity_Alloc'!F995</f>
        <v/>
      </c>
      <c r="G995" s="5">
        <f>B995&amp;"|"&amp;E995&amp;"|"&amp;D995</f>
        <v/>
      </c>
      <c r="H995" s="28">
        <f>'02a_DC_Capacity_Alloc'!H995*'02a_DC_Capacity_Alloc'!I995*'02a_DC_Capacity_Alloc'!J995</f>
        <v/>
      </c>
      <c r="I995" s="6">
        <f>IFERROR(INDEX('02b_DC_Accelerator_Mix'!$F$2:$F$977,MATCH(G995,'02b_DC_Accelerator_Mix'!$A$2:$A$977,0)),0)</f>
        <v/>
      </c>
      <c r="J995" s="6">
        <f>IFERROR(INDEX('02b_DC_Accelerator_Mix'!$G$2:$G$977,MATCH(G995,'02b_DC_Accelerator_Mix'!$A$2:$A$977,0)),0)</f>
        <v/>
      </c>
      <c r="K995" s="6">
        <f>IFERROR(INDEX('02b_DC_Accelerator_Mix'!$H$2:$H$977,MATCH(G995,'02b_DC_Accelerator_Mix'!$A$2:$A$977,0)),0)</f>
        <v/>
      </c>
      <c r="L995" s="6">
        <f>IFERROR(INDEX('02b_DC_Accelerator_Mix'!$I$2:$I$977,MATCH(G995,'02b_DC_Accelerator_Mix'!$A$2:$A$977,0)),0)</f>
        <v/>
      </c>
      <c r="M995" s="6">
        <f>IFERROR(INDEX('02b_DC_Accelerator_Mix'!$J$2:$J$977,MATCH(G995,'02b_DC_Accelerator_Mix'!$A$2:$A$977,0)),0)</f>
        <v/>
      </c>
      <c r="N995" s="6">
        <f>IFERROR(INDEX('02b_DC_Accelerator_Mix'!$K$2:$K$977,MATCH(G995,'02b_DC_Accelerator_Mix'!$A$2:$A$977,0)),0)</f>
        <v/>
      </c>
      <c r="O995" s="6">
        <f>IFERROR(INDEX('02b_DC_Accelerator_Mix'!$L$2:$L$977,MATCH(G995,'02b_DC_Accelerator_Mix'!$A$2:$A$977,0)),0)</f>
        <v/>
      </c>
      <c r="P995" s="6">
        <f>IFERROR(INDEX('02b_DC_Accelerator_Mix'!$M$2:$M$977,MATCH(G995,'02b_DC_Accelerator_Mix'!$A$2:$A$977,0)),0)</f>
        <v/>
      </c>
      <c r="Q995" s="6">
        <f>IFERROR(INDEX('02b_DC_Accelerator_Mix'!$N$2:$N$977,MATCH(G995,'02b_DC_Accelerator_Mix'!$A$2:$A$977,0)),0)</f>
        <v/>
      </c>
      <c r="R995" s="28">
        <f>H995*I995</f>
        <v/>
      </c>
      <c r="S995" s="28">
        <f>H995*J995</f>
        <v/>
      </c>
      <c r="T995" s="28">
        <f>H995*K995</f>
        <v/>
      </c>
      <c r="U995" s="28">
        <f>H995*L995</f>
        <v/>
      </c>
      <c r="V995" s="28">
        <f>H995*M995</f>
        <v/>
      </c>
      <c r="W995" s="28">
        <f>H995*N995</f>
        <v/>
      </c>
      <c r="X995" s="28">
        <f>H995*O995</f>
        <v/>
      </c>
      <c r="Y995" s="28">
        <f>H995*P995</f>
        <v/>
      </c>
      <c r="Z995" s="28">
        <f>H995*Q995</f>
        <v/>
      </c>
      <c r="AA995" s="28">
        <f>SUM(U995:Z995)</f>
        <v/>
      </c>
      <c r="AB995" s="5">
        <f>IF(COUNTIF('02b_DC_Accelerator_Mix'!$A$2:$A$977,G995)&gt;0,"matched","missing_mix")</f>
        <v/>
      </c>
    </row>
    <row r="996">
      <c r="A996" s="5">
        <f>'02a_DC_Capacity_Alloc'!A996</f>
        <v/>
      </c>
      <c r="B996" s="5">
        <f>'02a_DC_Capacity_Alloc'!B996</f>
        <v/>
      </c>
      <c r="C996" s="5">
        <f>'02a_DC_Capacity_Alloc'!C996</f>
        <v/>
      </c>
      <c r="D996" s="5">
        <f>'02a_DC_Capacity_Alloc'!D996</f>
        <v/>
      </c>
      <c r="E996" s="5">
        <f>'02a_DC_Capacity_Alloc'!E996</f>
        <v/>
      </c>
      <c r="F996" s="5">
        <f>'02a_DC_Capacity_Alloc'!F996</f>
        <v/>
      </c>
      <c r="G996" s="5">
        <f>B996&amp;"|"&amp;E996&amp;"|"&amp;D996</f>
        <v/>
      </c>
      <c r="H996" s="28">
        <f>'02a_DC_Capacity_Alloc'!H996*'02a_DC_Capacity_Alloc'!I996*'02a_DC_Capacity_Alloc'!J996</f>
        <v/>
      </c>
      <c r="I996" s="6">
        <f>IFERROR(INDEX('02b_DC_Accelerator_Mix'!$F$2:$F$977,MATCH(G996,'02b_DC_Accelerator_Mix'!$A$2:$A$977,0)),0)</f>
        <v/>
      </c>
      <c r="J996" s="6">
        <f>IFERROR(INDEX('02b_DC_Accelerator_Mix'!$G$2:$G$977,MATCH(G996,'02b_DC_Accelerator_Mix'!$A$2:$A$977,0)),0)</f>
        <v/>
      </c>
      <c r="K996" s="6">
        <f>IFERROR(INDEX('02b_DC_Accelerator_Mix'!$H$2:$H$977,MATCH(G996,'02b_DC_Accelerator_Mix'!$A$2:$A$977,0)),0)</f>
        <v/>
      </c>
      <c r="L996" s="6">
        <f>IFERROR(INDEX('02b_DC_Accelerator_Mix'!$I$2:$I$977,MATCH(G996,'02b_DC_Accelerator_Mix'!$A$2:$A$977,0)),0)</f>
        <v/>
      </c>
      <c r="M996" s="6">
        <f>IFERROR(INDEX('02b_DC_Accelerator_Mix'!$J$2:$J$977,MATCH(G996,'02b_DC_Accelerator_Mix'!$A$2:$A$977,0)),0)</f>
        <v/>
      </c>
      <c r="N996" s="6">
        <f>IFERROR(INDEX('02b_DC_Accelerator_Mix'!$K$2:$K$977,MATCH(G996,'02b_DC_Accelerator_Mix'!$A$2:$A$977,0)),0)</f>
        <v/>
      </c>
      <c r="O996" s="6">
        <f>IFERROR(INDEX('02b_DC_Accelerator_Mix'!$L$2:$L$977,MATCH(G996,'02b_DC_Accelerator_Mix'!$A$2:$A$977,0)),0)</f>
        <v/>
      </c>
      <c r="P996" s="6">
        <f>IFERROR(INDEX('02b_DC_Accelerator_Mix'!$M$2:$M$977,MATCH(G996,'02b_DC_Accelerator_Mix'!$A$2:$A$977,0)),0)</f>
        <v/>
      </c>
      <c r="Q996" s="6">
        <f>IFERROR(INDEX('02b_DC_Accelerator_Mix'!$N$2:$N$977,MATCH(G996,'02b_DC_Accelerator_Mix'!$A$2:$A$977,0)),0)</f>
        <v/>
      </c>
      <c r="R996" s="28">
        <f>H996*I996</f>
        <v/>
      </c>
      <c r="S996" s="28">
        <f>H996*J996</f>
        <v/>
      </c>
      <c r="T996" s="28">
        <f>H996*K996</f>
        <v/>
      </c>
      <c r="U996" s="28">
        <f>H996*L996</f>
        <v/>
      </c>
      <c r="V996" s="28">
        <f>H996*M996</f>
        <v/>
      </c>
      <c r="W996" s="28">
        <f>H996*N996</f>
        <v/>
      </c>
      <c r="X996" s="28">
        <f>H996*O996</f>
        <v/>
      </c>
      <c r="Y996" s="28">
        <f>H996*P996</f>
        <v/>
      </c>
      <c r="Z996" s="28">
        <f>H996*Q996</f>
        <v/>
      </c>
      <c r="AA996" s="28">
        <f>SUM(U996:Z996)</f>
        <v/>
      </c>
      <c r="AB996" s="5">
        <f>IF(COUNTIF('02b_DC_Accelerator_Mix'!$A$2:$A$977,G996)&gt;0,"matched","missing_mix")</f>
        <v/>
      </c>
    </row>
    <row r="997">
      <c r="A997" s="5">
        <f>'02a_DC_Capacity_Alloc'!A997</f>
        <v/>
      </c>
      <c r="B997" s="5">
        <f>'02a_DC_Capacity_Alloc'!B997</f>
        <v/>
      </c>
      <c r="C997" s="5">
        <f>'02a_DC_Capacity_Alloc'!C997</f>
        <v/>
      </c>
      <c r="D997" s="5">
        <f>'02a_DC_Capacity_Alloc'!D997</f>
        <v/>
      </c>
      <c r="E997" s="5">
        <f>'02a_DC_Capacity_Alloc'!E997</f>
        <v/>
      </c>
      <c r="F997" s="5">
        <f>'02a_DC_Capacity_Alloc'!F997</f>
        <v/>
      </c>
      <c r="G997" s="5">
        <f>B997&amp;"|"&amp;E997&amp;"|"&amp;D997</f>
        <v/>
      </c>
      <c r="H997" s="28">
        <f>'02a_DC_Capacity_Alloc'!H997*'02a_DC_Capacity_Alloc'!I997*'02a_DC_Capacity_Alloc'!J997</f>
        <v/>
      </c>
      <c r="I997" s="6">
        <f>IFERROR(INDEX('02b_DC_Accelerator_Mix'!$F$2:$F$977,MATCH(G997,'02b_DC_Accelerator_Mix'!$A$2:$A$977,0)),0)</f>
        <v/>
      </c>
      <c r="J997" s="6">
        <f>IFERROR(INDEX('02b_DC_Accelerator_Mix'!$G$2:$G$977,MATCH(G997,'02b_DC_Accelerator_Mix'!$A$2:$A$977,0)),0)</f>
        <v/>
      </c>
      <c r="K997" s="6">
        <f>IFERROR(INDEX('02b_DC_Accelerator_Mix'!$H$2:$H$977,MATCH(G997,'02b_DC_Accelerator_Mix'!$A$2:$A$977,0)),0)</f>
        <v/>
      </c>
      <c r="L997" s="6">
        <f>IFERROR(INDEX('02b_DC_Accelerator_Mix'!$I$2:$I$977,MATCH(G997,'02b_DC_Accelerator_Mix'!$A$2:$A$977,0)),0)</f>
        <v/>
      </c>
      <c r="M997" s="6">
        <f>IFERROR(INDEX('02b_DC_Accelerator_Mix'!$J$2:$J$977,MATCH(G997,'02b_DC_Accelerator_Mix'!$A$2:$A$977,0)),0)</f>
        <v/>
      </c>
      <c r="N997" s="6">
        <f>IFERROR(INDEX('02b_DC_Accelerator_Mix'!$K$2:$K$977,MATCH(G997,'02b_DC_Accelerator_Mix'!$A$2:$A$977,0)),0)</f>
        <v/>
      </c>
      <c r="O997" s="6">
        <f>IFERROR(INDEX('02b_DC_Accelerator_Mix'!$L$2:$L$977,MATCH(G997,'02b_DC_Accelerator_Mix'!$A$2:$A$977,0)),0)</f>
        <v/>
      </c>
      <c r="P997" s="6">
        <f>IFERROR(INDEX('02b_DC_Accelerator_Mix'!$M$2:$M$977,MATCH(G997,'02b_DC_Accelerator_Mix'!$A$2:$A$977,0)),0)</f>
        <v/>
      </c>
      <c r="Q997" s="6">
        <f>IFERROR(INDEX('02b_DC_Accelerator_Mix'!$N$2:$N$977,MATCH(G997,'02b_DC_Accelerator_Mix'!$A$2:$A$977,0)),0)</f>
        <v/>
      </c>
      <c r="R997" s="28">
        <f>H997*I997</f>
        <v/>
      </c>
      <c r="S997" s="28">
        <f>H997*J997</f>
        <v/>
      </c>
      <c r="T997" s="28">
        <f>H997*K997</f>
        <v/>
      </c>
      <c r="U997" s="28">
        <f>H997*L997</f>
        <v/>
      </c>
      <c r="V997" s="28">
        <f>H997*M997</f>
        <v/>
      </c>
      <c r="W997" s="28">
        <f>H997*N997</f>
        <v/>
      </c>
      <c r="X997" s="28">
        <f>H997*O997</f>
        <v/>
      </c>
      <c r="Y997" s="28">
        <f>H997*P997</f>
        <v/>
      </c>
      <c r="Z997" s="28">
        <f>H997*Q997</f>
        <v/>
      </c>
      <c r="AA997" s="28">
        <f>SUM(U997:Z997)</f>
        <v/>
      </c>
      <c r="AB997" s="5">
        <f>IF(COUNTIF('02b_DC_Accelerator_Mix'!$A$2:$A$977,G997)&gt;0,"matched","missing_mix")</f>
        <v/>
      </c>
    </row>
    <row r="998">
      <c r="A998" s="5">
        <f>'02a_DC_Capacity_Alloc'!A998</f>
        <v/>
      </c>
      <c r="B998" s="5">
        <f>'02a_DC_Capacity_Alloc'!B998</f>
        <v/>
      </c>
      <c r="C998" s="5">
        <f>'02a_DC_Capacity_Alloc'!C998</f>
        <v/>
      </c>
      <c r="D998" s="5">
        <f>'02a_DC_Capacity_Alloc'!D998</f>
        <v/>
      </c>
      <c r="E998" s="5">
        <f>'02a_DC_Capacity_Alloc'!E998</f>
        <v/>
      </c>
      <c r="F998" s="5">
        <f>'02a_DC_Capacity_Alloc'!F998</f>
        <v/>
      </c>
      <c r="G998" s="5">
        <f>B998&amp;"|"&amp;E998&amp;"|"&amp;D998</f>
        <v/>
      </c>
      <c r="H998" s="28">
        <f>'02a_DC_Capacity_Alloc'!H998*'02a_DC_Capacity_Alloc'!I998*'02a_DC_Capacity_Alloc'!J998</f>
        <v/>
      </c>
      <c r="I998" s="6">
        <f>IFERROR(INDEX('02b_DC_Accelerator_Mix'!$F$2:$F$977,MATCH(G998,'02b_DC_Accelerator_Mix'!$A$2:$A$977,0)),0)</f>
        <v/>
      </c>
      <c r="J998" s="6">
        <f>IFERROR(INDEX('02b_DC_Accelerator_Mix'!$G$2:$G$977,MATCH(G998,'02b_DC_Accelerator_Mix'!$A$2:$A$977,0)),0)</f>
        <v/>
      </c>
      <c r="K998" s="6">
        <f>IFERROR(INDEX('02b_DC_Accelerator_Mix'!$H$2:$H$977,MATCH(G998,'02b_DC_Accelerator_Mix'!$A$2:$A$977,0)),0)</f>
        <v/>
      </c>
      <c r="L998" s="6">
        <f>IFERROR(INDEX('02b_DC_Accelerator_Mix'!$I$2:$I$977,MATCH(G998,'02b_DC_Accelerator_Mix'!$A$2:$A$977,0)),0)</f>
        <v/>
      </c>
      <c r="M998" s="6">
        <f>IFERROR(INDEX('02b_DC_Accelerator_Mix'!$J$2:$J$977,MATCH(G998,'02b_DC_Accelerator_Mix'!$A$2:$A$977,0)),0)</f>
        <v/>
      </c>
      <c r="N998" s="6">
        <f>IFERROR(INDEX('02b_DC_Accelerator_Mix'!$K$2:$K$977,MATCH(G998,'02b_DC_Accelerator_Mix'!$A$2:$A$977,0)),0)</f>
        <v/>
      </c>
      <c r="O998" s="6">
        <f>IFERROR(INDEX('02b_DC_Accelerator_Mix'!$L$2:$L$977,MATCH(G998,'02b_DC_Accelerator_Mix'!$A$2:$A$977,0)),0)</f>
        <v/>
      </c>
      <c r="P998" s="6">
        <f>IFERROR(INDEX('02b_DC_Accelerator_Mix'!$M$2:$M$977,MATCH(G998,'02b_DC_Accelerator_Mix'!$A$2:$A$977,0)),0)</f>
        <v/>
      </c>
      <c r="Q998" s="6">
        <f>IFERROR(INDEX('02b_DC_Accelerator_Mix'!$N$2:$N$977,MATCH(G998,'02b_DC_Accelerator_Mix'!$A$2:$A$977,0)),0)</f>
        <v/>
      </c>
      <c r="R998" s="28">
        <f>H998*I998</f>
        <v/>
      </c>
      <c r="S998" s="28">
        <f>H998*J998</f>
        <v/>
      </c>
      <c r="T998" s="28">
        <f>H998*K998</f>
        <v/>
      </c>
      <c r="U998" s="28">
        <f>H998*L998</f>
        <v/>
      </c>
      <c r="V998" s="28">
        <f>H998*M998</f>
        <v/>
      </c>
      <c r="W998" s="28">
        <f>H998*N998</f>
        <v/>
      </c>
      <c r="X998" s="28">
        <f>H998*O998</f>
        <v/>
      </c>
      <c r="Y998" s="28">
        <f>H998*P998</f>
        <v/>
      </c>
      <c r="Z998" s="28">
        <f>H998*Q998</f>
        <v/>
      </c>
      <c r="AA998" s="28">
        <f>SUM(U998:Z998)</f>
        <v/>
      </c>
      <c r="AB998" s="5">
        <f>IF(COUNTIF('02b_DC_Accelerator_Mix'!$A$2:$A$977,G998)&gt;0,"matched","missing_mix")</f>
        <v/>
      </c>
    </row>
    <row r="999">
      <c r="A999" s="5">
        <f>'02a_DC_Capacity_Alloc'!A999</f>
        <v/>
      </c>
      <c r="B999" s="5">
        <f>'02a_DC_Capacity_Alloc'!B999</f>
        <v/>
      </c>
      <c r="C999" s="5">
        <f>'02a_DC_Capacity_Alloc'!C999</f>
        <v/>
      </c>
      <c r="D999" s="5">
        <f>'02a_DC_Capacity_Alloc'!D999</f>
        <v/>
      </c>
      <c r="E999" s="5">
        <f>'02a_DC_Capacity_Alloc'!E999</f>
        <v/>
      </c>
      <c r="F999" s="5">
        <f>'02a_DC_Capacity_Alloc'!F999</f>
        <v/>
      </c>
      <c r="G999" s="5">
        <f>B999&amp;"|"&amp;E999&amp;"|"&amp;D999</f>
        <v/>
      </c>
      <c r="H999" s="28">
        <f>'02a_DC_Capacity_Alloc'!H999*'02a_DC_Capacity_Alloc'!I999*'02a_DC_Capacity_Alloc'!J999</f>
        <v/>
      </c>
      <c r="I999" s="6">
        <f>IFERROR(INDEX('02b_DC_Accelerator_Mix'!$F$2:$F$977,MATCH(G999,'02b_DC_Accelerator_Mix'!$A$2:$A$977,0)),0)</f>
        <v/>
      </c>
      <c r="J999" s="6">
        <f>IFERROR(INDEX('02b_DC_Accelerator_Mix'!$G$2:$G$977,MATCH(G999,'02b_DC_Accelerator_Mix'!$A$2:$A$977,0)),0)</f>
        <v/>
      </c>
      <c r="K999" s="6">
        <f>IFERROR(INDEX('02b_DC_Accelerator_Mix'!$H$2:$H$977,MATCH(G999,'02b_DC_Accelerator_Mix'!$A$2:$A$977,0)),0)</f>
        <v/>
      </c>
      <c r="L999" s="6">
        <f>IFERROR(INDEX('02b_DC_Accelerator_Mix'!$I$2:$I$977,MATCH(G999,'02b_DC_Accelerator_Mix'!$A$2:$A$977,0)),0)</f>
        <v/>
      </c>
      <c r="M999" s="6">
        <f>IFERROR(INDEX('02b_DC_Accelerator_Mix'!$J$2:$J$977,MATCH(G999,'02b_DC_Accelerator_Mix'!$A$2:$A$977,0)),0)</f>
        <v/>
      </c>
      <c r="N999" s="6">
        <f>IFERROR(INDEX('02b_DC_Accelerator_Mix'!$K$2:$K$977,MATCH(G999,'02b_DC_Accelerator_Mix'!$A$2:$A$977,0)),0)</f>
        <v/>
      </c>
      <c r="O999" s="6">
        <f>IFERROR(INDEX('02b_DC_Accelerator_Mix'!$L$2:$L$977,MATCH(G999,'02b_DC_Accelerator_Mix'!$A$2:$A$977,0)),0)</f>
        <v/>
      </c>
      <c r="P999" s="6">
        <f>IFERROR(INDEX('02b_DC_Accelerator_Mix'!$M$2:$M$977,MATCH(G999,'02b_DC_Accelerator_Mix'!$A$2:$A$977,0)),0)</f>
        <v/>
      </c>
      <c r="Q999" s="6">
        <f>IFERROR(INDEX('02b_DC_Accelerator_Mix'!$N$2:$N$977,MATCH(G999,'02b_DC_Accelerator_Mix'!$A$2:$A$977,0)),0)</f>
        <v/>
      </c>
      <c r="R999" s="28">
        <f>H999*I999</f>
        <v/>
      </c>
      <c r="S999" s="28">
        <f>H999*J999</f>
        <v/>
      </c>
      <c r="T999" s="28">
        <f>H999*K999</f>
        <v/>
      </c>
      <c r="U999" s="28">
        <f>H999*L999</f>
        <v/>
      </c>
      <c r="V999" s="28">
        <f>H999*M999</f>
        <v/>
      </c>
      <c r="W999" s="28">
        <f>H999*N999</f>
        <v/>
      </c>
      <c r="X999" s="28">
        <f>H999*O999</f>
        <v/>
      </c>
      <c r="Y999" s="28">
        <f>H999*P999</f>
        <v/>
      </c>
      <c r="Z999" s="28">
        <f>H999*Q999</f>
        <v/>
      </c>
      <c r="AA999" s="28">
        <f>SUM(U999:Z999)</f>
        <v/>
      </c>
      <c r="AB999" s="5">
        <f>IF(COUNTIF('02b_DC_Accelerator_Mix'!$A$2:$A$977,G999)&gt;0,"matched","missing_mix")</f>
        <v/>
      </c>
    </row>
    <row r="1000">
      <c r="A1000" s="5">
        <f>'02a_DC_Capacity_Alloc'!A1000</f>
        <v/>
      </c>
      <c r="B1000" s="5">
        <f>'02a_DC_Capacity_Alloc'!B1000</f>
        <v/>
      </c>
      <c r="C1000" s="5">
        <f>'02a_DC_Capacity_Alloc'!C1000</f>
        <v/>
      </c>
      <c r="D1000" s="5">
        <f>'02a_DC_Capacity_Alloc'!D1000</f>
        <v/>
      </c>
      <c r="E1000" s="5">
        <f>'02a_DC_Capacity_Alloc'!E1000</f>
        <v/>
      </c>
      <c r="F1000" s="5">
        <f>'02a_DC_Capacity_Alloc'!F1000</f>
        <v/>
      </c>
      <c r="G1000" s="5">
        <f>B1000&amp;"|"&amp;E1000&amp;"|"&amp;D1000</f>
        <v/>
      </c>
      <c r="H1000" s="28">
        <f>'02a_DC_Capacity_Alloc'!H1000*'02a_DC_Capacity_Alloc'!I1000*'02a_DC_Capacity_Alloc'!J1000</f>
        <v/>
      </c>
      <c r="I1000" s="6">
        <f>IFERROR(INDEX('02b_DC_Accelerator_Mix'!$F$2:$F$977,MATCH(G1000,'02b_DC_Accelerator_Mix'!$A$2:$A$977,0)),0)</f>
        <v/>
      </c>
      <c r="J1000" s="6">
        <f>IFERROR(INDEX('02b_DC_Accelerator_Mix'!$G$2:$G$977,MATCH(G1000,'02b_DC_Accelerator_Mix'!$A$2:$A$977,0)),0)</f>
        <v/>
      </c>
      <c r="K1000" s="6">
        <f>IFERROR(INDEX('02b_DC_Accelerator_Mix'!$H$2:$H$977,MATCH(G1000,'02b_DC_Accelerator_Mix'!$A$2:$A$977,0)),0)</f>
        <v/>
      </c>
      <c r="L1000" s="6">
        <f>IFERROR(INDEX('02b_DC_Accelerator_Mix'!$I$2:$I$977,MATCH(G1000,'02b_DC_Accelerator_Mix'!$A$2:$A$977,0)),0)</f>
        <v/>
      </c>
      <c r="M1000" s="6">
        <f>IFERROR(INDEX('02b_DC_Accelerator_Mix'!$J$2:$J$977,MATCH(G1000,'02b_DC_Accelerator_Mix'!$A$2:$A$977,0)),0)</f>
        <v/>
      </c>
      <c r="N1000" s="6">
        <f>IFERROR(INDEX('02b_DC_Accelerator_Mix'!$K$2:$K$977,MATCH(G1000,'02b_DC_Accelerator_Mix'!$A$2:$A$977,0)),0)</f>
        <v/>
      </c>
      <c r="O1000" s="6">
        <f>IFERROR(INDEX('02b_DC_Accelerator_Mix'!$L$2:$L$977,MATCH(G1000,'02b_DC_Accelerator_Mix'!$A$2:$A$977,0)),0)</f>
        <v/>
      </c>
      <c r="P1000" s="6">
        <f>IFERROR(INDEX('02b_DC_Accelerator_Mix'!$M$2:$M$977,MATCH(G1000,'02b_DC_Accelerator_Mix'!$A$2:$A$977,0)),0)</f>
        <v/>
      </c>
      <c r="Q1000" s="6">
        <f>IFERROR(INDEX('02b_DC_Accelerator_Mix'!$N$2:$N$977,MATCH(G1000,'02b_DC_Accelerator_Mix'!$A$2:$A$977,0)),0)</f>
        <v/>
      </c>
      <c r="R1000" s="28">
        <f>H1000*I1000</f>
        <v/>
      </c>
      <c r="S1000" s="28">
        <f>H1000*J1000</f>
        <v/>
      </c>
      <c r="T1000" s="28">
        <f>H1000*K1000</f>
        <v/>
      </c>
      <c r="U1000" s="28">
        <f>H1000*L1000</f>
        <v/>
      </c>
      <c r="V1000" s="28">
        <f>H1000*M1000</f>
        <v/>
      </c>
      <c r="W1000" s="28">
        <f>H1000*N1000</f>
        <v/>
      </c>
      <c r="X1000" s="28">
        <f>H1000*O1000</f>
        <v/>
      </c>
      <c r="Y1000" s="28">
        <f>H1000*P1000</f>
        <v/>
      </c>
      <c r="Z1000" s="28">
        <f>H1000*Q1000</f>
        <v/>
      </c>
      <c r="AA1000" s="28">
        <f>SUM(U1000:Z1000)</f>
        <v/>
      </c>
      <c r="AB1000" s="5">
        <f>IF(COUNTIF('02b_DC_Accelerator_Mix'!$A$2:$A$977,G1000)&gt;0,"matched","missing_mix")</f>
        <v/>
      </c>
    </row>
    <row r="1001">
      <c r="A1001" s="5">
        <f>'02a_DC_Capacity_Alloc'!A1001</f>
        <v/>
      </c>
      <c r="B1001" s="5">
        <f>'02a_DC_Capacity_Alloc'!B1001</f>
        <v/>
      </c>
      <c r="C1001" s="5">
        <f>'02a_DC_Capacity_Alloc'!C1001</f>
        <v/>
      </c>
      <c r="D1001" s="5">
        <f>'02a_DC_Capacity_Alloc'!D1001</f>
        <v/>
      </c>
      <c r="E1001" s="5">
        <f>'02a_DC_Capacity_Alloc'!E1001</f>
        <v/>
      </c>
      <c r="F1001" s="5">
        <f>'02a_DC_Capacity_Alloc'!F1001</f>
        <v/>
      </c>
      <c r="G1001" s="5">
        <f>B1001&amp;"|"&amp;E1001&amp;"|"&amp;D1001</f>
        <v/>
      </c>
      <c r="H1001" s="28">
        <f>'02a_DC_Capacity_Alloc'!H1001*'02a_DC_Capacity_Alloc'!I1001*'02a_DC_Capacity_Alloc'!J1001</f>
        <v/>
      </c>
      <c r="I1001" s="6">
        <f>IFERROR(INDEX('02b_DC_Accelerator_Mix'!$F$2:$F$977,MATCH(G1001,'02b_DC_Accelerator_Mix'!$A$2:$A$977,0)),0)</f>
        <v/>
      </c>
      <c r="J1001" s="6">
        <f>IFERROR(INDEX('02b_DC_Accelerator_Mix'!$G$2:$G$977,MATCH(G1001,'02b_DC_Accelerator_Mix'!$A$2:$A$977,0)),0)</f>
        <v/>
      </c>
      <c r="K1001" s="6">
        <f>IFERROR(INDEX('02b_DC_Accelerator_Mix'!$H$2:$H$977,MATCH(G1001,'02b_DC_Accelerator_Mix'!$A$2:$A$977,0)),0)</f>
        <v/>
      </c>
      <c r="L1001" s="6">
        <f>IFERROR(INDEX('02b_DC_Accelerator_Mix'!$I$2:$I$977,MATCH(G1001,'02b_DC_Accelerator_Mix'!$A$2:$A$977,0)),0)</f>
        <v/>
      </c>
      <c r="M1001" s="6">
        <f>IFERROR(INDEX('02b_DC_Accelerator_Mix'!$J$2:$J$977,MATCH(G1001,'02b_DC_Accelerator_Mix'!$A$2:$A$977,0)),0)</f>
        <v/>
      </c>
      <c r="N1001" s="6">
        <f>IFERROR(INDEX('02b_DC_Accelerator_Mix'!$K$2:$K$977,MATCH(G1001,'02b_DC_Accelerator_Mix'!$A$2:$A$977,0)),0)</f>
        <v/>
      </c>
      <c r="O1001" s="6">
        <f>IFERROR(INDEX('02b_DC_Accelerator_Mix'!$L$2:$L$977,MATCH(G1001,'02b_DC_Accelerator_Mix'!$A$2:$A$977,0)),0)</f>
        <v/>
      </c>
      <c r="P1001" s="6">
        <f>IFERROR(INDEX('02b_DC_Accelerator_Mix'!$M$2:$M$977,MATCH(G1001,'02b_DC_Accelerator_Mix'!$A$2:$A$977,0)),0)</f>
        <v/>
      </c>
      <c r="Q1001" s="6">
        <f>IFERROR(INDEX('02b_DC_Accelerator_Mix'!$N$2:$N$977,MATCH(G1001,'02b_DC_Accelerator_Mix'!$A$2:$A$977,0)),0)</f>
        <v/>
      </c>
      <c r="R1001" s="28">
        <f>H1001*I1001</f>
        <v/>
      </c>
      <c r="S1001" s="28">
        <f>H1001*J1001</f>
        <v/>
      </c>
      <c r="T1001" s="28">
        <f>H1001*K1001</f>
        <v/>
      </c>
      <c r="U1001" s="28">
        <f>H1001*L1001</f>
        <v/>
      </c>
      <c r="V1001" s="28">
        <f>H1001*M1001</f>
        <v/>
      </c>
      <c r="W1001" s="28">
        <f>H1001*N1001</f>
        <v/>
      </c>
      <c r="X1001" s="28">
        <f>H1001*O1001</f>
        <v/>
      </c>
      <c r="Y1001" s="28">
        <f>H1001*P1001</f>
        <v/>
      </c>
      <c r="Z1001" s="28">
        <f>H1001*Q1001</f>
        <v/>
      </c>
      <c r="AA1001" s="28">
        <f>SUM(U1001:Z1001)</f>
        <v/>
      </c>
      <c r="AB1001" s="5">
        <f>IF(COUNTIF('02b_DC_Accelerator_Mix'!$A$2:$A$977,G1001)&gt;0,"matched","missing_mix")</f>
        <v/>
      </c>
    </row>
    <row r="1002">
      <c r="A1002" s="5">
        <f>'02a_DC_Capacity_Alloc'!A1002</f>
        <v/>
      </c>
      <c r="B1002" s="5">
        <f>'02a_DC_Capacity_Alloc'!B1002</f>
        <v/>
      </c>
      <c r="C1002" s="5">
        <f>'02a_DC_Capacity_Alloc'!C1002</f>
        <v/>
      </c>
      <c r="D1002" s="5">
        <f>'02a_DC_Capacity_Alloc'!D1002</f>
        <v/>
      </c>
      <c r="E1002" s="5">
        <f>'02a_DC_Capacity_Alloc'!E1002</f>
        <v/>
      </c>
      <c r="F1002" s="5">
        <f>'02a_DC_Capacity_Alloc'!F1002</f>
        <v/>
      </c>
      <c r="G1002" s="5">
        <f>B1002&amp;"|"&amp;E1002&amp;"|"&amp;D1002</f>
        <v/>
      </c>
      <c r="H1002" s="28">
        <f>'02a_DC_Capacity_Alloc'!H1002*'02a_DC_Capacity_Alloc'!I1002*'02a_DC_Capacity_Alloc'!J1002</f>
        <v/>
      </c>
      <c r="I1002" s="6">
        <f>IFERROR(INDEX('02b_DC_Accelerator_Mix'!$F$2:$F$977,MATCH(G1002,'02b_DC_Accelerator_Mix'!$A$2:$A$977,0)),0)</f>
        <v/>
      </c>
      <c r="J1002" s="6">
        <f>IFERROR(INDEX('02b_DC_Accelerator_Mix'!$G$2:$G$977,MATCH(G1002,'02b_DC_Accelerator_Mix'!$A$2:$A$977,0)),0)</f>
        <v/>
      </c>
      <c r="K1002" s="6">
        <f>IFERROR(INDEX('02b_DC_Accelerator_Mix'!$H$2:$H$977,MATCH(G1002,'02b_DC_Accelerator_Mix'!$A$2:$A$977,0)),0)</f>
        <v/>
      </c>
      <c r="L1002" s="6">
        <f>IFERROR(INDEX('02b_DC_Accelerator_Mix'!$I$2:$I$977,MATCH(G1002,'02b_DC_Accelerator_Mix'!$A$2:$A$977,0)),0)</f>
        <v/>
      </c>
      <c r="M1002" s="6">
        <f>IFERROR(INDEX('02b_DC_Accelerator_Mix'!$J$2:$J$977,MATCH(G1002,'02b_DC_Accelerator_Mix'!$A$2:$A$977,0)),0)</f>
        <v/>
      </c>
      <c r="N1002" s="6">
        <f>IFERROR(INDEX('02b_DC_Accelerator_Mix'!$K$2:$K$977,MATCH(G1002,'02b_DC_Accelerator_Mix'!$A$2:$A$977,0)),0)</f>
        <v/>
      </c>
      <c r="O1002" s="6">
        <f>IFERROR(INDEX('02b_DC_Accelerator_Mix'!$L$2:$L$977,MATCH(G1002,'02b_DC_Accelerator_Mix'!$A$2:$A$977,0)),0)</f>
        <v/>
      </c>
      <c r="P1002" s="6">
        <f>IFERROR(INDEX('02b_DC_Accelerator_Mix'!$M$2:$M$977,MATCH(G1002,'02b_DC_Accelerator_Mix'!$A$2:$A$977,0)),0)</f>
        <v/>
      </c>
      <c r="Q1002" s="6">
        <f>IFERROR(INDEX('02b_DC_Accelerator_Mix'!$N$2:$N$977,MATCH(G1002,'02b_DC_Accelerator_Mix'!$A$2:$A$977,0)),0)</f>
        <v/>
      </c>
      <c r="R1002" s="28">
        <f>H1002*I1002</f>
        <v/>
      </c>
      <c r="S1002" s="28">
        <f>H1002*J1002</f>
        <v/>
      </c>
      <c r="T1002" s="28">
        <f>H1002*K1002</f>
        <v/>
      </c>
      <c r="U1002" s="28">
        <f>H1002*L1002</f>
        <v/>
      </c>
      <c r="V1002" s="28">
        <f>H1002*M1002</f>
        <v/>
      </c>
      <c r="W1002" s="28">
        <f>H1002*N1002</f>
        <v/>
      </c>
      <c r="X1002" s="28">
        <f>H1002*O1002</f>
        <v/>
      </c>
      <c r="Y1002" s="28">
        <f>H1002*P1002</f>
        <v/>
      </c>
      <c r="Z1002" s="28">
        <f>H1002*Q1002</f>
        <v/>
      </c>
      <c r="AA1002" s="28">
        <f>SUM(U1002:Z1002)</f>
        <v/>
      </c>
      <c r="AB1002" s="5">
        <f>IF(COUNTIF('02b_DC_Accelerator_Mix'!$A$2:$A$977,G1002)&gt;0,"matched","missing_mix")</f>
        <v/>
      </c>
    </row>
    <row r="1003">
      <c r="A1003" s="5">
        <f>'02a_DC_Capacity_Alloc'!A1003</f>
        <v/>
      </c>
      <c r="B1003" s="5">
        <f>'02a_DC_Capacity_Alloc'!B1003</f>
        <v/>
      </c>
      <c r="C1003" s="5">
        <f>'02a_DC_Capacity_Alloc'!C1003</f>
        <v/>
      </c>
      <c r="D1003" s="5">
        <f>'02a_DC_Capacity_Alloc'!D1003</f>
        <v/>
      </c>
      <c r="E1003" s="5">
        <f>'02a_DC_Capacity_Alloc'!E1003</f>
        <v/>
      </c>
      <c r="F1003" s="5">
        <f>'02a_DC_Capacity_Alloc'!F1003</f>
        <v/>
      </c>
      <c r="G1003" s="5">
        <f>B1003&amp;"|"&amp;E1003&amp;"|"&amp;D1003</f>
        <v/>
      </c>
      <c r="H1003" s="28">
        <f>'02a_DC_Capacity_Alloc'!H1003*'02a_DC_Capacity_Alloc'!I1003*'02a_DC_Capacity_Alloc'!J1003</f>
        <v/>
      </c>
      <c r="I1003" s="6">
        <f>IFERROR(INDEX('02b_DC_Accelerator_Mix'!$F$2:$F$977,MATCH(G1003,'02b_DC_Accelerator_Mix'!$A$2:$A$977,0)),0)</f>
        <v/>
      </c>
      <c r="J1003" s="6">
        <f>IFERROR(INDEX('02b_DC_Accelerator_Mix'!$G$2:$G$977,MATCH(G1003,'02b_DC_Accelerator_Mix'!$A$2:$A$977,0)),0)</f>
        <v/>
      </c>
      <c r="K1003" s="6">
        <f>IFERROR(INDEX('02b_DC_Accelerator_Mix'!$H$2:$H$977,MATCH(G1003,'02b_DC_Accelerator_Mix'!$A$2:$A$977,0)),0)</f>
        <v/>
      </c>
      <c r="L1003" s="6">
        <f>IFERROR(INDEX('02b_DC_Accelerator_Mix'!$I$2:$I$977,MATCH(G1003,'02b_DC_Accelerator_Mix'!$A$2:$A$977,0)),0)</f>
        <v/>
      </c>
      <c r="M1003" s="6">
        <f>IFERROR(INDEX('02b_DC_Accelerator_Mix'!$J$2:$J$977,MATCH(G1003,'02b_DC_Accelerator_Mix'!$A$2:$A$977,0)),0)</f>
        <v/>
      </c>
      <c r="N1003" s="6">
        <f>IFERROR(INDEX('02b_DC_Accelerator_Mix'!$K$2:$K$977,MATCH(G1003,'02b_DC_Accelerator_Mix'!$A$2:$A$977,0)),0)</f>
        <v/>
      </c>
      <c r="O1003" s="6">
        <f>IFERROR(INDEX('02b_DC_Accelerator_Mix'!$L$2:$L$977,MATCH(G1003,'02b_DC_Accelerator_Mix'!$A$2:$A$977,0)),0)</f>
        <v/>
      </c>
      <c r="P1003" s="6">
        <f>IFERROR(INDEX('02b_DC_Accelerator_Mix'!$M$2:$M$977,MATCH(G1003,'02b_DC_Accelerator_Mix'!$A$2:$A$977,0)),0)</f>
        <v/>
      </c>
      <c r="Q1003" s="6">
        <f>IFERROR(INDEX('02b_DC_Accelerator_Mix'!$N$2:$N$977,MATCH(G1003,'02b_DC_Accelerator_Mix'!$A$2:$A$977,0)),0)</f>
        <v/>
      </c>
      <c r="R1003" s="28">
        <f>H1003*I1003</f>
        <v/>
      </c>
      <c r="S1003" s="28">
        <f>H1003*J1003</f>
        <v/>
      </c>
      <c r="T1003" s="28">
        <f>H1003*K1003</f>
        <v/>
      </c>
      <c r="U1003" s="28">
        <f>H1003*L1003</f>
        <v/>
      </c>
      <c r="V1003" s="28">
        <f>H1003*M1003</f>
        <v/>
      </c>
      <c r="W1003" s="28">
        <f>H1003*N1003</f>
        <v/>
      </c>
      <c r="X1003" s="28">
        <f>H1003*O1003</f>
        <v/>
      </c>
      <c r="Y1003" s="28">
        <f>H1003*P1003</f>
        <v/>
      </c>
      <c r="Z1003" s="28">
        <f>H1003*Q1003</f>
        <v/>
      </c>
      <c r="AA1003" s="28">
        <f>SUM(U1003:Z1003)</f>
        <v/>
      </c>
      <c r="AB1003" s="5">
        <f>IF(COUNTIF('02b_DC_Accelerator_Mix'!$A$2:$A$977,G1003)&gt;0,"matched","missing_mix")</f>
        <v/>
      </c>
    </row>
    <row r="1004">
      <c r="A1004" s="5">
        <f>'02a_DC_Capacity_Alloc'!A1004</f>
        <v/>
      </c>
      <c r="B1004" s="5">
        <f>'02a_DC_Capacity_Alloc'!B1004</f>
        <v/>
      </c>
      <c r="C1004" s="5">
        <f>'02a_DC_Capacity_Alloc'!C1004</f>
        <v/>
      </c>
      <c r="D1004" s="5">
        <f>'02a_DC_Capacity_Alloc'!D1004</f>
        <v/>
      </c>
      <c r="E1004" s="5">
        <f>'02a_DC_Capacity_Alloc'!E1004</f>
        <v/>
      </c>
      <c r="F1004" s="5">
        <f>'02a_DC_Capacity_Alloc'!F1004</f>
        <v/>
      </c>
      <c r="G1004" s="5">
        <f>B1004&amp;"|"&amp;E1004&amp;"|"&amp;D1004</f>
        <v/>
      </c>
      <c r="H1004" s="28">
        <f>'02a_DC_Capacity_Alloc'!H1004*'02a_DC_Capacity_Alloc'!I1004*'02a_DC_Capacity_Alloc'!J1004</f>
        <v/>
      </c>
      <c r="I1004" s="6">
        <f>IFERROR(INDEX('02b_DC_Accelerator_Mix'!$F$2:$F$977,MATCH(G1004,'02b_DC_Accelerator_Mix'!$A$2:$A$977,0)),0)</f>
        <v/>
      </c>
      <c r="J1004" s="6">
        <f>IFERROR(INDEX('02b_DC_Accelerator_Mix'!$G$2:$G$977,MATCH(G1004,'02b_DC_Accelerator_Mix'!$A$2:$A$977,0)),0)</f>
        <v/>
      </c>
      <c r="K1004" s="6">
        <f>IFERROR(INDEX('02b_DC_Accelerator_Mix'!$H$2:$H$977,MATCH(G1004,'02b_DC_Accelerator_Mix'!$A$2:$A$977,0)),0)</f>
        <v/>
      </c>
      <c r="L1004" s="6">
        <f>IFERROR(INDEX('02b_DC_Accelerator_Mix'!$I$2:$I$977,MATCH(G1004,'02b_DC_Accelerator_Mix'!$A$2:$A$977,0)),0)</f>
        <v/>
      </c>
      <c r="M1004" s="6">
        <f>IFERROR(INDEX('02b_DC_Accelerator_Mix'!$J$2:$J$977,MATCH(G1004,'02b_DC_Accelerator_Mix'!$A$2:$A$977,0)),0)</f>
        <v/>
      </c>
      <c r="N1004" s="6">
        <f>IFERROR(INDEX('02b_DC_Accelerator_Mix'!$K$2:$K$977,MATCH(G1004,'02b_DC_Accelerator_Mix'!$A$2:$A$977,0)),0)</f>
        <v/>
      </c>
      <c r="O1004" s="6">
        <f>IFERROR(INDEX('02b_DC_Accelerator_Mix'!$L$2:$L$977,MATCH(G1004,'02b_DC_Accelerator_Mix'!$A$2:$A$977,0)),0)</f>
        <v/>
      </c>
      <c r="P1004" s="6">
        <f>IFERROR(INDEX('02b_DC_Accelerator_Mix'!$M$2:$M$977,MATCH(G1004,'02b_DC_Accelerator_Mix'!$A$2:$A$977,0)),0)</f>
        <v/>
      </c>
      <c r="Q1004" s="6">
        <f>IFERROR(INDEX('02b_DC_Accelerator_Mix'!$N$2:$N$977,MATCH(G1004,'02b_DC_Accelerator_Mix'!$A$2:$A$977,0)),0)</f>
        <v/>
      </c>
      <c r="R1004" s="28">
        <f>H1004*I1004</f>
        <v/>
      </c>
      <c r="S1004" s="28">
        <f>H1004*J1004</f>
        <v/>
      </c>
      <c r="T1004" s="28">
        <f>H1004*K1004</f>
        <v/>
      </c>
      <c r="U1004" s="28">
        <f>H1004*L1004</f>
        <v/>
      </c>
      <c r="V1004" s="28">
        <f>H1004*M1004</f>
        <v/>
      </c>
      <c r="W1004" s="28">
        <f>H1004*N1004</f>
        <v/>
      </c>
      <c r="X1004" s="28">
        <f>H1004*O1004</f>
        <v/>
      </c>
      <c r="Y1004" s="28">
        <f>H1004*P1004</f>
        <v/>
      </c>
      <c r="Z1004" s="28">
        <f>H1004*Q1004</f>
        <v/>
      </c>
      <c r="AA1004" s="28">
        <f>SUM(U1004:Z1004)</f>
        <v/>
      </c>
      <c r="AB1004" s="5">
        <f>IF(COUNTIF('02b_DC_Accelerator_Mix'!$A$2:$A$977,G1004)&gt;0,"matched","missing_mix")</f>
        <v/>
      </c>
    </row>
    <row r="1005">
      <c r="A1005" s="5">
        <f>'02a_DC_Capacity_Alloc'!A1005</f>
        <v/>
      </c>
      <c r="B1005" s="5">
        <f>'02a_DC_Capacity_Alloc'!B1005</f>
        <v/>
      </c>
      <c r="C1005" s="5">
        <f>'02a_DC_Capacity_Alloc'!C1005</f>
        <v/>
      </c>
      <c r="D1005" s="5">
        <f>'02a_DC_Capacity_Alloc'!D1005</f>
        <v/>
      </c>
      <c r="E1005" s="5">
        <f>'02a_DC_Capacity_Alloc'!E1005</f>
        <v/>
      </c>
      <c r="F1005" s="5">
        <f>'02a_DC_Capacity_Alloc'!F1005</f>
        <v/>
      </c>
      <c r="G1005" s="5">
        <f>B1005&amp;"|"&amp;E1005&amp;"|"&amp;D1005</f>
        <v/>
      </c>
      <c r="H1005" s="28">
        <f>'02a_DC_Capacity_Alloc'!H1005*'02a_DC_Capacity_Alloc'!I1005*'02a_DC_Capacity_Alloc'!J1005</f>
        <v/>
      </c>
      <c r="I1005" s="6">
        <f>IFERROR(INDEX('02b_DC_Accelerator_Mix'!$F$2:$F$977,MATCH(G1005,'02b_DC_Accelerator_Mix'!$A$2:$A$977,0)),0)</f>
        <v/>
      </c>
      <c r="J1005" s="6">
        <f>IFERROR(INDEX('02b_DC_Accelerator_Mix'!$G$2:$G$977,MATCH(G1005,'02b_DC_Accelerator_Mix'!$A$2:$A$977,0)),0)</f>
        <v/>
      </c>
      <c r="K1005" s="6">
        <f>IFERROR(INDEX('02b_DC_Accelerator_Mix'!$H$2:$H$977,MATCH(G1005,'02b_DC_Accelerator_Mix'!$A$2:$A$977,0)),0)</f>
        <v/>
      </c>
      <c r="L1005" s="6">
        <f>IFERROR(INDEX('02b_DC_Accelerator_Mix'!$I$2:$I$977,MATCH(G1005,'02b_DC_Accelerator_Mix'!$A$2:$A$977,0)),0)</f>
        <v/>
      </c>
      <c r="M1005" s="6">
        <f>IFERROR(INDEX('02b_DC_Accelerator_Mix'!$J$2:$J$977,MATCH(G1005,'02b_DC_Accelerator_Mix'!$A$2:$A$977,0)),0)</f>
        <v/>
      </c>
      <c r="N1005" s="6">
        <f>IFERROR(INDEX('02b_DC_Accelerator_Mix'!$K$2:$K$977,MATCH(G1005,'02b_DC_Accelerator_Mix'!$A$2:$A$977,0)),0)</f>
        <v/>
      </c>
      <c r="O1005" s="6">
        <f>IFERROR(INDEX('02b_DC_Accelerator_Mix'!$L$2:$L$977,MATCH(G1005,'02b_DC_Accelerator_Mix'!$A$2:$A$977,0)),0)</f>
        <v/>
      </c>
      <c r="P1005" s="6">
        <f>IFERROR(INDEX('02b_DC_Accelerator_Mix'!$M$2:$M$977,MATCH(G1005,'02b_DC_Accelerator_Mix'!$A$2:$A$977,0)),0)</f>
        <v/>
      </c>
      <c r="Q1005" s="6">
        <f>IFERROR(INDEX('02b_DC_Accelerator_Mix'!$N$2:$N$977,MATCH(G1005,'02b_DC_Accelerator_Mix'!$A$2:$A$977,0)),0)</f>
        <v/>
      </c>
      <c r="R1005" s="28">
        <f>H1005*I1005</f>
        <v/>
      </c>
      <c r="S1005" s="28">
        <f>H1005*J1005</f>
        <v/>
      </c>
      <c r="T1005" s="28">
        <f>H1005*K1005</f>
        <v/>
      </c>
      <c r="U1005" s="28">
        <f>H1005*L1005</f>
        <v/>
      </c>
      <c r="V1005" s="28">
        <f>H1005*M1005</f>
        <v/>
      </c>
      <c r="W1005" s="28">
        <f>H1005*N1005</f>
        <v/>
      </c>
      <c r="X1005" s="28">
        <f>H1005*O1005</f>
        <v/>
      </c>
      <c r="Y1005" s="28">
        <f>H1005*P1005</f>
        <v/>
      </c>
      <c r="Z1005" s="28">
        <f>H1005*Q1005</f>
        <v/>
      </c>
      <c r="AA1005" s="28">
        <f>SUM(U1005:Z1005)</f>
        <v/>
      </c>
      <c r="AB1005" s="5">
        <f>IF(COUNTIF('02b_DC_Accelerator_Mix'!$A$2:$A$977,G1005)&gt;0,"matched","missing_mix")</f>
        <v/>
      </c>
    </row>
    <row r="1006">
      <c r="A1006" s="5">
        <f>'02a_DC_Capacity_Alloc'!A1006</f>
        <v/>
      </c>
      <c r="B1006" s="5">
        <f>'02a_DC_Capacity_Alloc'!B1006</f>
        <v/>
      </c>
      <c r="C1006" s="5">
        <f>'02a_DC_Capacity_Alloc'!C1006</f>
        <v/>
      </c>
      <c r="D1006" s="5">
        <f>'02a_DC_Capacity_Alloc'!D1006</f>
        <v/>
      </c>
      <c r="E1006" s="5">
        <f>'02a_DC_Capacity_Alloc'!E1006</f>
        <v/>
      </c>
      <c r="F1006" s="5">
        <f>'02a_DC_Capacity_Alloc'!F1006</f>
        <v/>
      </c>
      <c r="G1006" s="5">
        <f>B1006&amp;"|"&amp;E1006&amp;"|"&amp;D1006</f>
        <v/>
      </c>
      <c r="H1006" s="28">
        <f>'02a_DC_Capacity_Alloc'!H1006*'02a_DC_Capacity_Alloc'!I1006*'02a_DC_Capacity_Alloc'!J1006</f>
        <v/>
      </c>
      <c r="I1006" s="6">
        <f>IFERROR(INDEX('02b_DC_Accelerator_Mix'!$F$2:$F$977,MATCH(G1006,'02b_DC_Accelerator_Mix'!$A$2:$A$977,0)),0)</f>
        <v/>
      </c>
      <c r="J1006" s="6">
        <f>IFERROR(INDEX('02b_DC_Accelerator_Mix'!$G$2:$G$977,MATCH(G1006,'02b_DC_Accelerator_Mix'!$A$2:$A$977,0)),0)</f>
        <v/>
      </c>
      <c r="K1006" s="6">
        <f>IFERROR(INDEX('02b_DC_Accelerator_Mix'!$H$2:$H$977,MATCH(G1006,'02b_DC_Accelerator_Mix'!$A$2:$A$977,0)),0)</f>
        <v/>
      </c>
      <c r="L1006" s="6">
        <f>IFERROR(INDEX('02b_DC_Accelerator_Mix'!$I$2:$I$977,MATCH(G1006,'02b_DC_Accelerator_Mix'!$A$2:$A$977,0)),0)</f>
        <v/>
      </c>
      <c r="M1006" s="6">
        <f>IFERROR(INDEX('02b_DC_Accelerator_Mix'!$J$2:$J$977,MATCH(G1006,'02b_DC_Accelerator_Mix'!$A$2:$A$977,0)),0)</f>
        <v/>
      </c>
      <c r="N1006" s="6">
        <f>IFERROR(INDEX('02b_DC_Accelerator_Mix'!$K$2:$K$977,MATCH(G1006,'02b_DC_Accelerator_Mix'!$A$2:$A$977,0)),0)</f>
        <v/>
      </c>
      <c r="O1006" s="6">
        <f>IFERROR(INDEX('02b_DC_Accelerator_Mix'!$L$2:$L$977,MATCH(G1006,'02b_DC_Accelerator_Mix'!$A$2:$A$977,0)),0)</f>
        <v/>
      </c>
      <c r="P1006" s="6">
        <f>IFERROR(INDEX('02b_DC_Accelerator_Mix'!$M$2:$M$977,MATCH(G1006,'02b_DC_Accelerator_Mix'!$A$2:$A$977,0)),0)</f>
        <v/>
      </c>
      <c r="Q1006" s="6">
        <f>IFERROR(INDEX('02b_DC_Accelerator_Mix'!$N$2:$N$977,MATCH(G1006,'02b_DC_Accelerator_Mix'!$A$2:$A$977,0)),0)</f>
        <v/>
      </c>
      <c r="R1006" s="28">
        <f>H1006*I1006</f>
        <v/>
      </c>
      <c r="S1006" s="28">
        <f>H1006*J1006</f>
        <v/>
      </c>
      <c r="T1006" s="28">
        <f>H1006*K1006</f>
        <v/>
      </c>
      <c r="U1006" s="28">
        <f>H1006*L1006</f>
        <v/>
      </c>
      <c r="V1006" s="28">
        <f>H1006*M1006</f>
        <v/>
      </c>
      <c r="W1006" s="28">
        <f>H1006*N1006</f>
        <v/>
      </c>
      <c r="X1006" s="28">
        <f>H1006*O1006</f>
        <v/>
      </c>
      <c r="Y1006" s="28">
        <f>H1006*P1006</f>
        <v/>
      </c>
      <c r="Z1006" s="28">
        <f>H1006*Q1006</f>
        <v/>
      </c>
      <c r="AA1006" s="28">
        <f>SUM(U1006:Z1006)</f>
        <v/>
      </c>
      <c r="AB1006" s="5">
        <f>IF(COUNTIF('02b_DC_Accelerator_Mix'!$A$2:$A$977,G1006)&gt;0,"matched","missing_mix")</f>
        <v/>
      </c>
    </row>
    <row r="1007">
      <c r="A1007" s="5">
        <f>'02a_DC_Capacity_Alloc'!A1007</f>
        <v/>
      </c>
      <c r="B1007" s="5">
        <f>'02a_DC_Capacity_Alloc'!B1007</f>
        <v/>
      </c>
      <c r="C1007" s="5">
        <f>'02a_DC_Capacity_Alloc'!C1007</f>
        <v/>
      </c>
      <c r="D1007" s="5">
        <f>'02a_DC_Capacity_Alloc'!D1007</f>
        <v/>
      </c>
      <c r="E1007" s="5">
        <f>'02a_DC_Capacity_Alloc'!E1007</f>
        <v/>
      </c>
      <c r="F1007" s="5">
        <f>'02a_DC_Capacity_Alloc'!F1007</f>
        <v/>
      </c>
      <c r="G1007" s="5">
        <f>B1007&amp;"|"&amp;E1007&amp;"|"&amp;D1007</f>
        <v/>
      </c>
      <c r="H1007" s="28">
        <f>'02a_DC_Capacity_Alloc'!H1007*'02a_DC_Capacity_Alloc'!I1007*'02a_DC_Capacity_Alloc'!J1007</f>
        <v/>
      </c>
      <c r="I1007" s="6">
        <f>IFERROR(INDEX('02b_DC_Accelerator_Mix'!$F$2:$F$977,MATCH(G1007,'02b_DC_Accelerator_Mix'!$A$2:$A$977,0)),0)</f>
        <v/>
      </c>
      <c r="J1007" s="6">
        <f>IFERROR(INDEX('02b_DC_Accelerator_Mix'!$G$2:$G$977,MATCH(G1007,'02b_DC_Accelerator_Mix'!$A$2:$A$977,0)),0)</f>
        <v/>
      </c>
      <c r="K1007" s="6">
        <f>IFERROR(INDEX('02b_DC_Accelerator_Mix'!$H$2:$H$977,MATCH(G1007,'02b_DC_Accelerator_Mix'!$A$2:$A$977,0)),0)</f>
        <v/>
      </c>
      <c r="L1007" s="6">
        <f>IFERROR(INDEX('02b_DC_Accelerator_Mix'!$I$2:$I$977,MATCH(G1007,'02b_DC_Accelerator_Mix'!$A$2:$A$977,0)),0)</f>
        <v/>
      </c>
      <c r="M1007" s="6">
        <f>IFERROR(INDEX('02b_DC_Accelerator_Mix'!$J$2:$J$977,MATCH(G1007,'02b_DC_Accelerator_Mix'!$A$2:$A$977,0)),0)</f>
        <v/>
      </c>
      <c r="N1007" s="6">
        <f>IFERROR(INDEX('02b_DC_Accelerator_Mix'!$K$2:$K$977,MATCH(G1007,'02b_DC_Accelerator_Mix'!$A$2:$A$977,0)),0)</f>
        <v/>
      </c>
      <c r="O1007" s="6">
        <f>IFERROR(INDEX('02b_DC_Accelerator_Mix'!$L$2:$L$977,MATCH(G1007,'02b_DC_Accelerator_Mix'!$A$2:$A$977,0)),0)</f>
        <v/>
      </c>
      <c r="P1007" s="6">
        <f>IFERROR(INDEX('02b_DC_Accelerator_Mix'!$M$2:$M$977,MATCH(G1007,'02b_DC_Accelerator_Mix'!$A$2:$A$977,0)),0)</f>
        <v/>
      </c>
      <c r="Q1007" s="6">
        <f>IFERROR(INDEX('02b_DC_Accelerator_Mix'!$N$2:$N$977,MATCH(G1007,'02b_DC_Accelerator_Mix'!$A$2:$A$977,0)),0)</f>
        <v/>
      </c>
      <c r="R1007" s="28">
        <f>H1007*I1007</f>
        <v/>
      </c>
      <c r="S1007" s="28">
        <f>H1007*J1007</f>
        <v/>
      </c>
      <c r="T1007" s="28">
        <f>H1007*K1007</f>
        <v/>
      </c>
      <c r="U1007" s="28">
        <f>H1007*L1007</f>
        <v/>
      </c>
      <c r="V1007" s="28">
        <f>H1007*M1007</f>
        <v/>
      </c>
      <c r="W1007" s="28">
        <f>H1007*N1007</f>
        <v/>
      </c>
      <c r="X1007" s="28">
        <f>H1007*O1007</f>
        <v/>
      </c>
      <c r="Y1007" s="28">
        <f>H1007*P1007</f>
        <v/>
      </c>
      <c r="Z1007" s="28">
        <f>H1007*Q1007</f>
        <v/>
      </c>
      <c r="AA1007" s="28">
        <f>SUM(U1007:Z1007)</f>
        <v/>
      </c>
      <c r="AB1007" s="5">
        <f>IF(COUNTIF('02b_DC_Accelerator_Mix'!$A$2:$A$977,G1007)&gt;0,"matched","missing_mix")</f>
        <v/>
      </c>
    </row>
    <row r="1008">
      <c r="A1008" s="5">
        <f>'02a_DC_Capacity_Alloc'!A1008</f>
        <v/>
      </c>
      <c r="B1008" s="5">
        <f>'02a_DC_Capacity_Alloc'!B1008</f>
        <v/>
      </c>
      <c r="C1008" s="5">
        <f>'02a_DC_Capacity_Alloc'!C1008</f>
        <v/>
      </c>
      <c r="D1008" s="5">
        <f>'02a_DC_Capacity_Alloc'!D1008</f>
        <v/>
      </c>
      <c r="E1008" s="5">
        <f>'02a_DC_Capacity_Alloc'!E1008</f>
        <v/>
      </c>
      <c r="F1008" s="5">
        <f>'02a_DC_Capacity_Alloc'!F1008</f>
        <v/>
      </c>
      <c r="G1008" s="5">
        <f>B1008&amp;"|"&amp;E1008&amp;"|"&amp;D1008</f>
        <v/>
      </c>
      <c r="H1008" s="28">
        <f>'02a_DC_Capacity_Alloc'!H1008*'02a_DC_Capacity_Alloc'!I1008*'02a_DC_Capacity_Alloc'!J1008</f>
        <v/>
      </c>
      <c r="I1008" s="6">
        <f>IFERROR(INDEX('02b_DC_Accelerator_Mix'!$F$2:$F$977,MATCH(G1008,'02b_DC_Accelerator_Mix'!$A$2:$A$977,0)),0)</f>
        <v/>
      </c>
      <c r="J1008" s="6">
        <f>IFERROR(INDEX('02b_DC_Accelerator_Mix'!$G$2:$G$977,MATCH(G1008,'02b_DC_Accelerator_Mix'!$A$2:$A$977,0)),0)</f>
        <v/>
      </c>
      <c r="K1008" s="6">
        <f>IFERROR(INDEX('02b_DC_Accelerator_Mix'!$H$2:$H$977,MATCH(G1008,'02b_DC_Accelerator_Mix'!$A$2:$A$977,0)),0)</f>
        <v/>
      </c>
      <c r="L1008" s="6">
        <f>IFERROR(INDEX('02b_DC_Accelerator_Mix'!$I$2:$I$977,MATCH(G1008,'02b_DC_Accelerator_Mix'!$A$2:$A$977,0)),0)</f>
        <v/>
      </c>
      <c r="M1008" s="6">
        <f>IFERROR(INDEX('02b_DC_Accelerator_Mix'!$J$2:$J$977,MATCH(G1008,'02b_DC_Accelerator_Mix'!$A$2:$A$977,0)),0)</f>
        <v/>
      </c>
      <c r="N1008" s="6">
        <f>IFERROR(INDEX('02b_DC_Accelerator_Mix'!$K$2:$K$977,MATCH(G1008,'02b_DC_Accelerator_Mix'!$A$2:$A$977,0)),0)</f>
        <v/>
      </c>
      <c r="O1008" s="6">
        <f>IFERROR(INDEX('02b_DC_Accelerator_Mix'!$L$2:$L$977,MATCH(G1008,'02b_DC_Accelerator_Mix'!$A$2:$A$977,0)),0)</f>
        <v/>
      </c>
      <c r="P1008" s="6">
        <f>IFERROR(INDEX('02b_DC_Accelerator_Mix'!$M$2:$M$977,MATCH(G1008,'02b_DC_Accelerator_Mix'!$A$2:$A$977,0)),0)</f>
        <v/>
      </c>
      <c r="Q1008" s="6">
        <f>IFERROR(INDEX('02b_DC_Accelerator_Mix'!$N$2:$N$977,MATCH(G1008,'02b_DC_Accelerator_Mix'!$A$2:$A$977,0)),0)</f>
        <v/>
      </c>
      <c r="R1008" s="28">
        <f>H1008*I1008</f>
        <v/>
      </c>
      <c r="S1008" s="28">
        <f>H1008*J1008</f>
        <v/>
      </c>
      <c r="T1008" s="28">
        <f>H1008*K1008</f>
        <v/>
      </c>
      <c r="U1008" s="28">
        <f>H1008*L1008</f>
        <v/>
      </c>
      <c r="V1008" s="28">
        <f>H1008*M1008</f>
        <v/>
      </c>
      <c r="W1008" s="28">
        <f>H1008*N1008</f>
        <v/>
      </c>
      <c r="X1008" s="28">
        <f>H1008*O1008</f>
        <v/>
      </c>
      <c r="Y1008" s="28">
        <f>H1008*P1008</f>
        <v/>
      </c>
      <c r="Z1008" s="28">
        <f>H1008*Q1008</f>
        <v/>
      </c>
      <c r="AA1008" s="28">
        <f>SUM(U1008:Z1008)</f>
        <v/>
      </c>
      <c r="AB1008" s="5">
        <f>IF(COUNTIF('02b_DC_Accelerator_Mix'!$A$2:$A$977,G1008)&gt;0,"matched","missing_mix")</f>
        <v/>
      </c>
    </row>
    <row r="1009">
      <c r="A1009" s="5">
        <f>'02a_DC_Capacity_Alloc'!A1009</f>
        <v/>
      </c>
      <c r="B1009" s="5">
        <f>'02a_DC_Capacity_Alloc'!B1009</f>
        <v/>
      </c>
      <c r="C1009" s="5">
        <f>'02a_DC_Capacity_Alloc'!C1009</f>
        <v/>
      </c>
      <c r="D1009" s="5">
        <f>'02a_DC_Capacity_Alloc'!D1009</f>
        <v/>
      </c>
      <c r="E1009" s="5">
        <f>'02a_DC_Capacity_Alloc'!E1009</f>
        <v/>
      </c>
      <c r="F1009" s="5">
        <f>'02a_DC_Capacity_Alloc'!F1009</f>
        <v/>
      </c>
      <c r="G1009" s="5">
        <f>B1009&amp;"|"&amp;E1009&amp;"|"&amp;D1009</f>
        <v/>
      </c>
      <c r="H1009" s="28">
        <f>'02a_DC_Capacity_Alloc'!H1009*'02a_DC_Capacity_Alloc'!I1009*'02a_DC_Capacity_Alloc'!J1009</f>
        <v/>
      </c>
      <c r="I1009" s="6">
        <f>IFERROR(INDEX('02b_DC_Accelerator_Mix'!$F$2:$F$977,MATCH(G1009,'02b_DC_Accelerator_Mix'!$A$2:$A$977,0)),0)</f>
        <v/>
      </c>
      <c r="J1009" s="6">
        <f>IFERROR(INDEX('02b_DC_Accelerator_Mix'!$G$2:$G$977,MATCH(G1009,'02b_DC_Accelerator_Mix'!$A$2:$A$977,0)),0)</f>
        <v/>
      </c>
      <c r="K1009" s="6">
        <f>IFERROR(INDEX('02b_DC_Accelerator_Mix'!$H$2:$H$977,MATCH(G1009,'02b_DC_Accelerator_Mix'!$A$2:$A$977,0)),0)</f>
        <v/>
      </c>
      <c r="L1009" s="6">
        <f>IFERROR(INDEX('02b_DC_Accelerator_Mix'!$I$2:$I$977,MATCH(G1009,'02b_DC_Accelerator_Mix'!$A$2:$A$977,0)),0)</f>
        <v/>
      </c>
      <c r="M1009" s="6">
        <f>IFERROR(INDEX('02b_DC_Accelerator_Mix'!$J$2:$J$977,MATCH(G1009,'02b_DC_Accelerator_Mix'!$A$2:$A$977,0)),0)</f>
        <v/>
      </c>
      <c r="N1009" s="6">
        <f>IFERROR(INDEX('02b_DC_Accelerator_Mix'!$K$2:$K$977,MATCH(G1009,'02b_DC_Accelerator_Mix'!$A$2:$A$977,0)),0)</f>
        <v/>
      </c>
      <c r="O1009" s="6">
        <f>IFERROR(INDEX('02b_DC_Accelerator_Mix'!$L$2:$L$977,MATCH(G1009,'02b_DC_Accelerator_Mix'!$A$2:$A$977,0)),0)</f>
        <v/>
      </c>
      <c r="P1009" s="6">
        <f>IFERROR(INDEX('02b_DC_Accelerator_Mix'!$M$2:$M$977,MATCH(G1009,'02b_DC_Accelerator_Mix'!$A$2:$A$977,0)),0)</f>
        <v/>
      </c>
      <c r="Q1009" s="6">
        <f>IFERROR(INDEX('02b_DC_Accelerator_Mix'!$N$2:$N$977,MATCH(G1009,'02b_DC_Accelerator_Mix'!$A$2:$A$977,0)),0)</f>
        <v/>
      </c>
      <c r="R1009" s="28">
        <f>H1009*I1009</f>
        <v/>
      </c>
      <c r="S1009" s="28">
        <f>H1009*J1009</f>
        <v/>
      </c>
      <c r="T1009" s="28">
        <f>H1009*K1009</f>
        <v/>
      </c>
      <c r="U1009" s="28">
        <f>H1009*L1009</f>
        <v/>
      </c>
      <c r="V1009" s="28">
        <f>H1009*M1009</f>
        <v/>
      </c>
      <c r="W1009" s="28">
        <f>H1009*N1009</f>
        <v/>
      </c>
      <c r="X1009" s="28">
        <f>H1009*O1009</f>
        <v/>
      </c>
      <c r="Y1009" s="28">
        <f>H1009*P1009</f>
        <v/>
      </c>
      <c r="Z1009" s="28">
        <f>H1009*Q1009</f>
        <v/>
      </c>
      <c r="AA1009" s="28">
        <f>SUM(U1009:Z1009)</f>
        <v/>
      </c>
      <c r="AB1009" s="5">
        <f>IF(COUNTIF('02b_DC_Accelerator_Mix'!$A$2:$A$977,G1009)&gt;0,"matched","missing_mix")</f>
        <v/>
      </c>
    </row>
    <row r="1010">
      <c r="A1010" s="5">
        <f>'02a_DC_Capacity_Alloc'!A1010</f>
        <v/>
      </c>
      <c r="B1010" s="5">
        <f>'02a_DC_Capacity_Alloc'!B1010</f>
        <v/>
      </c>
      <c r="C1010" s="5">
        <f>'02a_DC_Capacity_Alloc'!C1010</f>
        <v/>
      </c>
      <c r="D1010" s="5">
        <f>'02a_DC_Capacity_Alloc'!D1010</f>
        <v/>
      </c>
      <c r="E1010" s="5">
        <f>'02a_DC_Capacity_Alloc'!E1010</f>
        <v/>
      </c>
      <c r="F1010" s="5">
        <f>'02a_DC_Capacity_Alloc'!F1010</f>
        <v/>
      </c>
      <c r="G1010" s="5">
        <f>B1010&amp;"|"&amp;E1010&amp;"|"&amp;D1010</f>
        <v/>
      </c>
      <c r="H1010" s="28">
        <f>'02a_DC_Capacity_Alloc'!H1010*'02a_DC_Capacity_Alloc'!I1010*'02a_DC_Capacity_Alloc'!J1010</f>
        <v/>
      </c>
      <c r="I1010" s="6">
        <f>IFERROR(INDEX('02b_DC_Accelerator_Mix'!$F$2:$F$977,MATCH(G1010,'02b_DC_Accelerator_Mix'!$A$2:$A$977,0)),0)</f>
        <v/>
      </c>
      <c r="J1010" s="6">
        <f>IFERROR(INDEX('02b_DC_Accelerator_Mix'!$G$2:$G$977,MATCH(G1010,'02b_DC_Accelerator_Mix'!$A$2:$A$977,0)),0)</f>
        <v/>
      </c>
      <c r="K1010" s="6">
        <f>IFERROR(INDEX('02b_DC_Accelerator_Mix'!$H$2:$H$977,MATCH(G1010,'02b_DC_Accelerator_Mix'!$A$2:$A$977,0)),0)</f>
        <v/>
      </c>
      <c r="L1010" s="6">
        <f>IFERROR(INDEX('02b_DC_Accelerator_Mix'!$I$2:$I$977,MATCH(G1010,'02b_DC_Accelerator_Mix'!$A$2:$A$977,0)),0)</f>
        <v/>
      </c>
      <c r="M1010" s="6">
        <f>IFERROR(INDEX('02b_DC_Accelerator_Mix'!$J$2:$J$977,MATCH(G1010,'02b_DC_Accelerator_Mix'!$A$2:$A$977,0)),0)</f>
        <v/>
      </c>
      <c r="N1010" s="6">
        <f>IFERROR(INDEX('02b_DC_Accelerator_Mix'!$K$2:$K$977,MATCH(G1010,'02b_DC_Accelerator_Mix'!$A$2:$A$977,0)),0)</f>
        <v/>
      </c>
      <c r="O1010" s="6">
        <f>IFERROR(INDEX('02b_DC_Accelerator_Mix'!$L$2:$L$977,MATCH(G1010,'02b_DC_Accelerator_Mix'!$A$2:$A$977,0)),0)</f>
        <v/>
      </c>
      <c r="P1010" s="6">
        <f>IFERROR(INDEX('02b_DC_Accelerator_Mix'!$M$2:$M$977,MATCH(G1010,'02b_DC_Accelerator_Mix'!$A$2:$A$977,0)),0)</f>
        <v/>
      </c>
      <c r="Q1010" s="6">
        <f>IFERROR(INDEX('02b_DC_Accelerator_Mix'!$N$2:$N$977,MATCH(G1010,'02b_DC_Accelerator_Mix'!$A$2:$A$977,0)),0)</f>
        <v/>
      </c>
      <c r="R1010" s="28">
        <f>H1010*I1010</f>
        <v/>
      </c>
      <c r="S1010" s="28">
        <f>H1010*J1010</f>
        <v/>
      </c>
      <c r="T1010" s="28">
        <f>H1010*K1010</f>
        <v/>
      </c>
      <c r="U1010" s="28">
        <f>H1010*L1010</f>
        <v/>
      </c>
      <c r="V1010" s="28">
        <f>H1010*M1010</f>
        <v/>
      </c>
      <c r="W1010" s="28">
        <f>H1010*N1010</f>
        <v/>
      </c>
      <c r="X1010" s="28">
        <f>H1010*O1010</f>
        <v/>
      </c>
      <c r="Y1010" s="28">
        <f>H1010*P1010</f>
        <v/>
      </c>
      <c r="Z1010" s="28">
        <f>H1010*Q1010</f>
        <v/>
      </c>
      <c r="AA1010" s="28">
        <f>SUM(U1010:Z1010)</f>
        <v/>
      </c>
      <c r="AB1010" s="5">
        <f>IF(COUNTIF('02b_DC_Accelerator_Mix'!$A$2:$A$977,G1010)&gt;0,"matched","missing_mix")</f>
        <v/>
      </c>
    </row>
    <row r="1011">
      <c r="A1011" s="5">
        <f>'02a_DC_Capacity_Alloc'!A1011</f>
        <v/>
      </c>
      <c r="B1011" s="5">
        <f>'02a_DC_Capacity_Alloc'!B1011</f>
        <v/>
      </c>
      <c r="C1011" s="5">
        <f>'02a_DC_Capacity_Alloc'!C1011</f>
        <v/>
      </c>
      <c r="D1011" s="5">
        <f>'02a_DC_Capacity_Alloc'!D1011</f>
        <v/>
      </c>
      <c r="E1011" s="5">
        <f>'02a_DC_Capacity_Alloc'!E1011</f>
        <v/>
      </c>
      <c r="F1011" s="5">
        <f>'02a_DC_Capacity_Alloc'!F1011</f>
        <v/>
      </c>
      <c r="G1011" s="5">
        <f>B1011&amp;"|"&amp;E1011&amp;"|"&amp;D1011</f>
        <v/>
      </c>
      <c r="H1011" s="28">
        <f>'02a_DC_Capacity_Alloc'!H1011*'02a_DC_Capacity_Alloc'!I1011*'02a_DC_Capacity_Alloc'!J1011</f>
        <v/>
      </c>
      <c r="I1011" s="6">
        <f>IFERROR(INDEX('02b_DC_Accelerator_Mix'!$F$2:$F$977,MATCH(G1011,'02b_DC_Accelerator_Mix'!$A$2:$A$977,0)),0)</f>
        <v/>
      </c>
      <c r="J1011" s="6">
        <f>IFERROR(INDEX('02b_DC_Accelerator_Mix'!$G$2:$G$977,MATCH(G1011,'02b_DC_Accelerator_Mix'!$A$2:$A$977,0)),0)</f>
        <v/>
      </c>
      <c r="K1011" s="6">
        <f>IFERROR(INDEX('02b_DC_Accelerator_Mix'!$H$2:$H$977,MATCH(G1011,'02b_DC_Accelerator_Mix'!$A$2:$A$977,0)),0)</f>
        <v/>
      </c>
      <c r="L1011" s="6">
        <f>IFERROR(INDEX('02b_DC_Accelerator_Mix'!$I$2:$I$977,MATCH(G1011,'02b_DC_Accelerator_Mix'!$A$2:$A$977,0)),0)</f>
        <v/>
      </c>
      <c r="M1011" s="6">
        <f>IFERROR(INDEX('02b_DC_Accelerator_Mix'!$J$2:$J$977,MATCH(G1011,'02b_DC_Accelerator_Mix'!$A$2:$A$977,0)),0)</f>
        <v/>
      </c>
      <c r="N1011" s="6">
        <f>IFERROR(INDEX('02b_DC_Accelerator_Mix'!$K$2:$K$977,MATCH(G1011,'02b_DC_Accelerator_Mix'!$A$2:$A$977,0)),0)</f>
        <v/>
      </c>
      <c r="O1011" s="6">
        <f>IFERROR(INDEX('02b_DC_Accelerator_Mix'!$L$2:$L$977,MATCH(G1011,'02b_DC_Accelerator_Mix'!$A$2:$A$977,0)),0)</f>
        <v/>
      </c>
      <c r="P1011" s="6">
        <f>IFERROR(INDEX('02b_DC_Accelerator_Mix'!$M$2:$M$977,MATCH(G1011,'02b_DC_Accelerator_Mix'!$A$2:$A$977,0)),0)</f>
        <v/>
      </c>
      <c r="Q1011" s="6">
        <f>IFERROR(INDEX('02b_DC_Accelerator_Mix'!$N$2:$N$977,MATCH(G1011,'02b_DC_Accelerator_Mix'!$A$2:$A$977,0)),0)</f>
        <v/>
      </c>
      <c r="R1011" s="28">
        <f>H1011*I1011</f>
        <v/>
      </c>
      <c r="S1011" s="28">
        <f>H1011*J1011</f>
        <v/>
      </c>
      <c r="T1011" s="28">
        <f>H1011*K1011</f>
        <v/>
      </c>
      <c r="U1011" s="28">
        <f>H1011*L1011</f>
        <v/>
      </c>
      <c r="V1011" s="28">
        <f>H1011*M1011</f>
        <v/>
      </c>
      <c r="W1011" s="28">
        <f>H1011*N1011</f>
        <v/>
      </c>
      <c r="X1011" s="28">
        <f>H1011*O1011</f>
        <v/>
      </c>
      <c r="Y1011" s="28">
        <f>H1011*P1011</f>
        <v/>
      </c>
      <c r="Z1011" s="28">
        <f>H1011*Q1011</f>
        <v/>
      </c>
      <c r="AA1011" s="28">
        <f>SUM(U1011:Z1011)</f>
        <v/>
      </c>
      <c r="AB1011" s="5">
        <f>IF(COUNTIF('02b_DC_Accelerator_Mix'!$A$2:$A$977,G1011)&gt;0,"matched","missing_mix")</f>
        <v/>
      </c>
    </row>
    <row r="1012">
      <c r="A1012" s="5">
        <f>'02a_DC_Capacity_Alloc'!A1012</f>
        <v/>
      </c>
      <c r="B1012" s="5">
        <f>'02a_DC_Capacity_Alloc'!B1012</f>
        <v/>
      </c>
      <c r="C1012" s="5">
        <f>'02a_DC_Capacity_Alloc'!C1012</f>
        <v/>
      </c>
      <c r="D1012" s="5">
        <f>'02a_DC_Capacity_Alloc'!D1012</f>
        <v/>
      </c>
      <c r="E1012" s="5">
        <f>'02a_DC_Capacity_Alloc'!E1012</f>
        <v/>
      </c>
      <c r="F1012" s="5">
        <f>'02a_DC_Capacity_Alloc'!F1012</f>
        <v/>
      </c>
      <c r="G1012" s="5">
        <f>B1012&amp;"|"&amp;E1012&amp;"|"&amp;D1012</f>
        <v/>
      </c>
      <c r="H1012" s="28">
        <f>'02a_DC_Capacity_Alloc'!H1012*'02a_DC_Capacity_Alloc'!I1012*'02a_DC_Capacity_Alloc'!J1012</f>
        <v/>
      </c>
      <c r="I1012" s="6">
        <f>IFERROR(INDEX('02b_DC_Accelerator_Mix'!$F$2:$F$977,MATCH(G1012,'02b_DC_Accelerator_Mix'!$A$2:$A$977,0)),0)</f>
        <v/>
      </c>
      <c r="J1012" s="6">
        <f>IFERROR(INDEX('02b_DC_Accelerator_Mix'!$G$2:$G$977,MATCH(G1012,'02b_DC_Accelerator_Mix'!$A$2:$A$977,0)),0)</f>
        <v/>
      </c>
      <c r="K1012" s="6">
        <f>IFERROR(INDEX('02b_DC_Accelerator_Mix'!$H$2:$H$977,MATCH(G1012,'02b_DC_Accelerator_Mix'!$A$2:$A$977,0)),0)</f>
        <v/>
      </c>
      <c r="L1012" s="6">
        <f>IFERROR(INDEX('02b_DC_Accelerator_Mix'!$I$2:$I$977,MATCH(G1012,'02b_DC_Accelerator_Mix'!$A$2:$A$977,0)),0)</f>
        <v/>
      </c>
      <c r="M1012" s="6">
        <f>IFERROR(INDEX('02b_DC_Accelerator_Mix'!$J$2:$J$977,MATCH(G1012,'02b_DC_Accelerator_Mix'!$A$2:$A$977,0)),0)</f>
        <v/>
      </c>
      <c r="N1012" s="6">
        <f>IFERROR(INDEX('02b_DC_Accelerator_Mix'!$K$2:$K$977,MATCH(G1012,'02b_DC_Accelerator_Mix'!$A$2:$A$977,0)),0)</f>
        <v/>
      </c>
      <c r="O1012" s="6">
        <f>IFERROR(INDEX('02b_DC_Accelerator_Mix'!$L$2:$L$977,MATCH(G1012,'02b_DC_Accelerator_Mix'!$A$2:$A$977,0)),0)</f>
        <v/>
      </c>
      <c r="P1012" s="6">
        <f>IFERROR(INDEX('02b_DC_Accelerator_Mix'!$M$2:$M$977,MATCH(G1012,'02b_DC_Accelerator_Mix'!$A$2:$A$977,0)),0)</f>
        <v/>
      </c>
      <c r="Q1012" s="6">
        <f>IFERROR(INDEX('02b_DC_Accelerator_Mix'!$N$2:$N$977,MATCH(G1012,'02b_DC_Accelerator_Mix'!$A$2:$A$977,0)),0)</f>
        <v/>
      </c>
      <c r="R1012" s="28">
        <f>H1012*I1012</f>
        <v/>
      </c>
      <c r="S1012" s="28">
        <f>H1012*J1012</f>
        <v/>
      </c>
      <c r="T1012" s="28">
        <f>H1012*K1012</f>
        <v/>
      </c>
      <c r="U1012" s="28">
        <f>H1012*L1012</f>
        <v/>
      </c>
      <c r="V1012" s="28">
        <f>H1012*M1012</f>
        <v/>
      </c>
      <c r="W1012" s="28">
        <f>H1012*N1012</f>
        <v/>
      </c>
      <c r="X1012" s="28">
        <f>H1012*O1012</f>
        <v/>
      </c>
      <c r="Y1012" s="28">
        <f>H1012*P1012</f>
        <v/>
      </c>
      <c r="Z1012" s="28">
        <f>H1012*Q1012</f>
        <v/>
      </c>
      <c r="AA1012" s="28">
        <f>SUM(U1012:Z1012)</f>
        <v/>
      </c>
      <c r="AB1012" s="5">
        <f>IF(COUNTIF('02b_DC_Accelerator_Mix'!$A$2:$A$977,G1012)&gt;0,"matched","missing_mix")</f>
        <v/>
      </c>
    </row>
    <row r="1013">
      <c r="A1013" s="5">
        <f>'02a_DC_Capacity_Alloc'!A1013</f>
        <v/>
      </c>
      <c r="B1013" s="5">
        <f>'02a_DC_Capacity_Alloc'!B1013</f>
        <v/>
      </c>
      <c r="C1013" s="5">
        <f>'02a_DC_Capacity_Alloc'!C1013</f>
        <v/>
      </c>
      <c r="D1013" s="5">
        <f>'02a_DC_Capacity_Alloc'!D1013</f>
        <v/>
      </c>
      <c r="E1013" s="5">
        <f>'02a_DC_Capacity_Alloc'!E1013</f>
        <v/>
      </c>
      <c r="F1013" s="5">
        <f>'02a_DC_Capacity_Alloc'!F1013</f>
        <v/>
      </c>
      <c r="G1013" s="5">
        <f>B1013&amp;"|"&amp;E1013&amp;"|"&amp;D1013</f>
        <v/>
      </c>
      <c r="H1013" s="28">
        <f>'02a_DC_Capacity_Alloc'!H1013*'02a_DC_Capacity_Alloc'!I1013*'02a_DC_Capacity_Alloc'!J1013</f>
        <v/>
      </c>
      <c r="I1013" s="6">
        <f>IFERROR(INDEX('02b_DC_Accelerator_Mix'!$F$2:$F$977,MATCH(G1013,'02b_DC_Accelerator_Mix'!$A$2:$A$977,0)),0)</f>
        <v/>
      </c>
      <c r="J1013" s="6">
        <f>IFERROR(INDEX('02b_DC_Accelerator_Mix'!$G$2:$G$977,MATCH(G1013,'02b_DC_Accelerator_Mix'!$A$2:$A$977,0)),0)</f>
        <v/>
      </c>
      <c r="K1013" s="6">
        <f>IFERROR(INDEX('02b_DC_Accelerator_Mix'!$H$2:$H$977,MATCH(G1013,'02b_DC_Accelerator_Mix'!$A$2:$A$977,0)),0)</f>
        <v/>
      </c>
      <c r="L1013" s="6">
        <f>IFERROR(INDEX('02b_DC_Accelerator_Mix'!$I$2:$I$977,MATCH(G1013,'02b_DC_Accelerator_Mix'!$A$2:$A$977,0)),0)</f>
        <v/>
      </c>
      <c r="M1013" s="6">
        <f>IFERROR(INDEX('02b_DC_Accelerator_Mix'!$J$2:$J$977,MATCH(G1013,'02b_DC_Accelerator_Mix'!$A$2:$A$977,0)),0)</f>
        <v/>
      </c>
      <c r="N1013" s="6">
        <f>IFERROR(INDEX('02b_DC_Accelerator_Mix'!$K$2:$K$977,MATCH(G1013,'02b_DC_Accelerator_Mix'!$A$2:$A$977,0)),0)</f>
        <v/>
      </c>
      <c r="O1013" s="6">
        <f>IFERROR(INDEX('02b_DC_Accelerator_Mix'!$L$2:$L$977,MATCH(G1013,'02b_DC_Accelerator_Mix'!$A$2:$A$977,0)),0)</f>
        <v/>
      </c>
      <c r="P1013" s="6">
        <f>IFERROR(INDEX('02b_DC_Accelerator_Mix'!$M$2:$M$977,MATCH(G1013,'02b_DC_Accelerator_Mix'!$A$2:$A$977,0)),0)</f>
        <v/>
      </c>
      <c r="Q1013" s="6">
        <f>IFERROR(INDEX('02b_DC_Accelerator_Mix'!$N$2:$N$977,MATCH(G1013,'02b_DC_Accelerator_Mix'!$A$2:$A$977,0)),0)</f>
        <v/>
      </c>
      <c r="R1013" s="28">
        <f>H1013*I1013</f>
        <v/>
      </c>
      <c r="S1013" s="28">
        <f>H1013*J1013</f>
        <v/>
      </c>
      <c r="T1013" s="28">
        <f>H1013*K1013</f>
        <v/>
      </c>
      <c r="U1013" s="28">
        <f>H1013*L1013</f>
        <v/>
      </c>
      <c r="V1013" s="28">
        <f>H1013*M1013</f>
        <v/>
      </c>
      <c r="W1013" s="28">
        <f>H1013*N1013</f>
        <v/>
      </c>
      <c r="X1013" s="28">
        <f>H1013*O1013</f>
        <v/>
      </c>
      <c r="Y1013" s="28">
        <f>H1013*P1013</f>
        <v/>
      </c>
      <c r="Z1013" s="28">
        <f>H1013*Q1013</f>
        <v/>
      </c>
      <c r="AA1013" s="28">
        <f>SUM(U1013:Z1013)</f>
        <v/>
      </c>
      <c r="AB1013" s="5">
        <f>IF(COUNTIF('02b_DC_Accelerator_Mix'!$A$2:$A$977,G1013)&gt;0,"matched","missing_mix")</f>
        <v/>
      </c>
    </row>
    <row r="1014">
      <c r="A1014" s="5">
        <f>'02a_DC_Capacity_Alloc'!A1014</f>
        <v/>
      </c>
      <c r="B1014" s="5">
        <f>'02a_DC_Capacity_Alloc'!B1014</f>
        <v/>
      </c>
      <c r="C1014" s="5">
        <f>'02a_DC_Capacity_Alloc'!C1014</f>
        <v/>
      </c>
      <c r="D1014" s="5">
        <f>'02a_DC_Capacity_Alloc'!D1014</f>
        <v/>
      </c>
      <c r="E1014" s="5">
        <f>'02a_DC_Capacity_Alloc'!E1014</f>
        <v/>
      </c>
      <c r="F1014" s="5">
        <f>'02a_DC_Capacity_Alloc'!F1014</f>
        <v/>
      </c>
      <c r="G1014" s="5">
        <f>B1014&amp;"|"&amp;E1014&amp;"|"&amp;D1014</f>
        <v/>
      </c>
      <c r="H1014" s="28">
        <f>'02a_DC_Capacity_Alloc'!H1014*'02a_DC_Capacity_Alloc'!I1014*'02a_DC_Capacity_Alloc'!J1014</f>
        <v/>
      </c>
      <c r="I1014" s="6">
        <f>IFERROR(INDEX('02b_DC_Accelerator_Mix'!$F$2:$F$977,MATCH(G1014,'02b_DC_Accelerator_Mix'!$A$2:$A$977,0)),0)</f>
        <v/>
      </c>
      <c r="J1014" s="6">
        <f>IFERROR(INDEX('02b_DC_Accelerator_Mix'!$G$2:$G$977,MATCH(G1014,'02b_DC_Accelerator_Mix'!$A$2:$A$977,0)),0)</f>
        <v/>
      </c>
      <c r="K1014" s="6">
        <f>IFERROR(INDEX('02b_DC_Accelerator_Mix'!$H$2:$H$977,MATCH(G1014,'02b_DC_Accelerator_Mix'!$A$2:$A$977,0)),0)</f>
        <v/>
      </c>
      <c r="L1014" s="6">
        <f>IFERROR(INDEX('02b_DC_Accelerator_Mix'!$I$2:$I$977,MATCH(G1014,'02b_DC_Accelerator_Mix'!$A$2:$A$977,0)),0)</f>
        <v/>
      </c>
      <c r="M1014" s="6">
        <f>IFERROR(INDEX('02b_DC_Accelerator_Mix'!$J$2:$J$977,MATCH(G1014,'02b_DC_Accelerator_Mix'!$A$2:$A$977,0)),0)</f>
        <v/>
      </c>
      <c r="N1014" s="6">
        <f>IFERROR(INDEX('02b_DC_Accelerator_Mix'!$K$2:$K$977,MATCH(G1014,'02b_DC_Accelerator_Mix'!$A$2:$A$977,0)),0)</f>
        <v/>
      </c>
      <c r="O1014" s="6">
        <f>IFERROR(INDEX('02b_DC_Accelerator_Mix'!$L$2:$L$977,MATCH(G1014,'02b_DC_Accelerator_Mix'!$A$2:$A$977,0)),0)</f>
        <v/>
      </c>
      <c r="P1014" s="6">
        <f>IFERROR(INDEX('02b_DC_Accelerator_Mix'!$M$2:$M$977,MATCH(G1014,'02b_DC_Accelerator_Mix'!$A$2:$A$977,0)),0)</f>
        <v/>
      </c>
      <c r="Q1014" s="6">
        <f>IFERROR(INDEX('02b_DC_Accelerator_Mix'!$N$2:$N$977,MATCH(G1014,'02b_DC_Accelerator_Mix'!$A$2:$A$977,0)),0)</f>
        <v/>
      </c>
      <c r="R1014" s="28">
        <f>H1014*I1014</f>
        <v/>
      </c>
      <c r="S1014" s="28">
        <f>H1014*J1014</f>
        <v/>
      </c>
      <c r="T1014" s="28">
        <f>H1014*K1014</f>
        <v/>
      </c>
      <c r="U1014" s="28">
        <f>H1014*L1014</f>
        <v/>
      </c>
      <c r="V1014" s="28">
        <f>H1014*M1014</f>
        <v/>
      </c>
      <c r="W1014" s="28">
        <f>H1014*N1014</f>
        <v/>
      </c>
      <c r="X1014" s="28">
        <f>H1014*O1014</f>
        <v/>
      </c>
      <c r="Y1014" s="28">
        <f>H1014*P1014</f>
        <v/>
      </c>
      <c r="Z1014" s="28">
        <f>H1014*Q1014</f>
        <v/>
      </c>
      <c r="AA1014" s="28">
        <f>SUM(U1014:Z1014)</f>
        <v/>
      </c>
      <c r="AB1014" s="5">
        <f>IF(COUNTIF('02b_DC_Accelerator_Mix'!$A$2:$A$977,G1014)&gt;0,"matched","missing_mix")</f>
        <v/>
      </c>
    </row>
    <row r="1015">
      <c r="A1015" s="5">
        <f>'02a_DC_Capacity_Alloc'!A1015</f>
        <v/>
      </c>
      <c r="B1015" s="5">
        <f>'02a_DC_Capacity_Alloc'!B1015</f>
        <v/>
      </c>
      <c r="C1015" s="5">
        <f>'02a_DC_Capacity_Alloc'!C1015</f>
        <v/>
      </c>
      <c r="D1015" s="5">
        <f>'02a_DC_Capacity_Alloc'!D1015</f>
        <v/>
      </c>
      <c r="E1015" s="5">
        <f>'02a_DC_Capacity_Alloc'!E1015</f>
        <v/>
      </c>
      <c r="F1015" s="5">
        <f>'02a_DC_Capacity_Alloc'!F1015</f>
        <v/>
      </c>
      <c r="G1015" s="5">
        <f>B1015&amp;"|"&amp;E1015&amp;"|"&amp;D1015</f>
        <v/>
      </c>
      <c r="H1015" s="28">
        <f>'02a_DC_Capacity_Alloc'!H1015*'02a_DC_Capacity_Alloc'!I1015*'02a_DC_Capacity_Alloc'!J1015</f>
        <v/>
      </c>
      <c r="I1015" s="6">
        <f>IFERROR(INDEX('02b_DC_Accelerator_Mix'!$F$2:$F$977,MATCH(G1015,'02b_DC_Accelerator_Mix'!$A$2:$A$977,0)),0)</f>
        <v/>
      </c>
      <c r="J1015" s="6">
        <f>IFERROR(INDEX('02b_DC_Accelerator_Mix'!$G$2:$G$977,MATCH(G1015,'02b_DC_Accelerator_Mix'!$A$2:$A$977,0)),0)</f>
        <v/>
      </c>
      <c r="K1015" s="6">
        <f>IFERROR(INDEX('02b_DC_Accelerator_Mix'!$H$2:$H$977,MATCH(G1015,'02b_DC_Accelerator_Mix'!$A$2:$A$977,0)),0)</f>
        <v/>
      </c>
      <c r="L1015" s="6">
        <f>IFERROR(INDEX('02b_DC_Accelerator_Mix'!$I$2:$I$977,MATCH(G1015,'02b_DC_Accelerator_Mix'!$A$2:$A$977,0)),0)</f>
        <v/>
      </c>
      <c r="M1015" s="6">
        <f>IFERROR(INDEX('02b_DC_Accelerator_Mix'!$J$2:$J$977,MATCH(G1015,'02b_DC_Accelerator_Mix'!$A$2:$A$977,0)),0)</f>
        <v/>
      </c>
      <c r="N1015" s="6">
        <f>IFERROR(INDEX('02b_DC_Accelerator_Mix'!$K$2:$K$977,MATCH(G1015,'02b_DC_Accelerator_Mix'!$A$2:$A$977,0)),0)</f>
        <v/>
      </c>
      <c r="O1015" s="6">
        <f>IFERROR(INDEX('02b_DC_Accelerator_Mix'!$L$2:$L$977,MATCH(G1015,'02b_DC_Accelerator_Mix'!$A$2:$A$977,0)),0)</f>
        <v/>
      </c>
      <c r="P1015" s="6">
        <f>IFERROR(INDEX('02b_DC_Accelerator_Mix'!$M$2:$M$977,MATCH(G1015,'02b_DC_Accelerator_Mix'!$A$2:$A$977,0)),0)</f>
        <v/>
      </c>
      <c r="Q1015" s="6">
        <f>IFERROR(INDEX('02b_DC_Accelerator_Mix'!$N$2:$N$977,MATCH(G1015,'02b_DC_Accelerator_Mix'!$A$2:$A$977,0)),0)</f>
        <v/>
      </c>
      <c r="R1015" s="28">
        <f>H1015*I1015</f>
        <v/>
      </c>
      <c r="S1015" s="28">
        <f>H1015*J1015</f>
        <v/>
      </c>
      <c r="T1015" s="28">
        <f>H1015*K1015</f>
        <v/>
      </c>
      <c r="U1015" s="28">
        <f>H1015*L1015</f>
        <v/>
      </c>
      <c r="V1015" s="28">
        <f>H1015*M1015</f>
        <v/>
      </c>
      <c r="W1015" s="28">
        <f>H1015*N1015</f>
        <v/>
      </c>
      <c r="X1015" s="28">
        <f>H1015*O1015</f>
        <v/>
      </c>
      <c r="Y1015" s="28">
        <f>H1015*P1015</f>
        <v/>
      </c>
      <c r="Z1015" s="28">
        <f>H1015*Q1015</f>
        <v/>
      </c>
      <c r="AA1015" s="28">
        <f>SUM(U1015:Z1015)</f>
        <v/>
      </c>
      <c r="AB1015" s="5">
        <f>IF(COUNTIF('02b_DC_Accelerator_Mix'!$A$2:$A$977,G1015)&gt;0,"matched","missing_mix")</f>
        <v/>
      </c>
    </row>
    <row r="1016">
      <c r="A1016" s="5">
        <f>'02a_DC_Capacity_Alloc'!A1016</f>
        <v/>
      </c>
      <c r="B1016" s="5">
        <f>'02a_DC_Capacity_Alloc'!B1016</f>
        <v/>
      </c>
      <c r="C1016" s="5">
        <f>'02a_DC_Capacity_Alloc'!C1016</f>
        <v/>
      </c>
      <c r="D1016" s="5">
        <f>'02a_DC_Capacity_Alloc'!D1016</f>
        <v/>
      </c>
      <c r="E1016" s="5">
        <f>'02a_DC_Capacity_Alloc'!E1016</f>
        <v/>
      </c>
      <c r="F1016" s="5">
        <f>'02a_DC_Capacity_Alloc'!F1016</f>
        <v/>
      </c>
      <c r="G1016" s="5">
        <f>B1016&amp;"|"&amp;E1016&amp;"|"&amp;D1016</f>
        <v/>
      </c>
      <c r="H1016" s="28">
        <f>'02a_DC_Capacity_Alloc'!H1016*'02a_DC_Capacity_Alloc'!I1016*'02a_DC_Capacity_Alloc'!J1016</f>
        <v/>
      </c>
      <c r="I1016" s="6">
        <f>IFERROR(INDEX('02b_DC_Accelerator_Mix'!$F$2:$F$977,MATCH(G1016,'02b_DC_Accelerator_Mix'!$A$2:$A$977,0)),0)</f>
        <v/>
      </c>
      <c r="J1016" s="6">
        <f>IFERROR(INDEX('02b_DC_Accelerator_Mix'!$G$2:$G$977,MATCH(G1016,'02b_DC_Accelerator_Mix'!$A$2:$A$977,0)),0)</f>
        <v/>
      </c>
      <c r="K1016" s="6">
        <f>IFERROR(INDEX('02b_DC_Accelerator_Mix'!$H$2:$H$977,MATCH(G1016,'02b_DC_Accelerator_Mix'!$A$2:$A$977,0)),0)</f>
        <v/>
      </c>
      <c r="L1016" s="6">
        <f>IFERROR(INDEX('02b_DC_Accelerator_Mix'!$I$2:$I$977,MATCH(G1016,'02b_DC_Accelerator_Mix'!$A$2:$A$977,0)),0)</f>
        <v/>
      </c>
      <c r="M1016" s="6">
        <f>IFERROR(INDEX('02b_DC_Accelerator_Mix'!$J$2:$J$977,MATCH(G1016,'02b_DC_Accelerator_Mix'!$A$2:$A$977,0)),0)</f>
        <v/>
      </c>
      <c r="N1016" s="6">
        <f>IFERROR(INDEX('02b_DC_Accelerator_Mix'!$K$2:$K$977,MATCH(G1016,'02b_DC_Accelerator_Mix'!$A$2:$A$977,0)),0)</f>
        <v/>
      </c>
      <c r="O1016" s="6">
        <f>IFERROR(INDEX('02b_DC_Accelerator_Mix'!$L$2:$L$977,MATCH(G1016,'02b_DC_Accelerator_Mix'!$A$2:$A$977,0)),0)</f>
        <v/>
      </c>
      <c r="P1016" s="6">
        <f>IFERROR(INDEX('02b_DC_Accelerator_Mix'!$M$2:$M$977,MATCH(G1016,'02b_DC_Accelerator_Mix'!$A$2:$A$977,0)),0)</f>
        <v/>
      </c>
      <c r="Q1016" s="6">
        <f>IFERROR(INDEX('02b_DC_Accelerator_Mix'!$N$2:$N$977,MATCH(G1016,'02b_DC_Accelerator_Mix'!$A$2:$A$977,0)),0)</f>
        <v/>
      </c>
      <c r="R1016" s="28">
        <f>H1016*I1016</f>
        <v/>
      </c>
      <c r="S1016" s="28">
        <f>H1016*J1016</f>
        <v/>
      </c>
      <c r="T1016" s="28">
        <f>H1016*K1016</f>
        <v/>
      </c>
      <c r="U1016" s="28">
        <f>H1016*L1016</f>
        <v/>
      </c>
      <c r="V1016" s="28">
        <f>H1016*M1016</f>
        <v/>
      </c>
      <c r="W1016" s="28">
        <f>H1016*N1016</f>
        <v/>
      </c>
      <c r="X1016" s="28">
        <f>H1016*O1016</f>
        <v/>
      </c>
      <c r="Y1016" s="28">
        <f>H1016*P1016</f>
        <v/>
      </c>
      <c r="Z1016" s="28">
        <f>H1016*Q1016</f>
        <v/>
      </c>
      <c r="AA1016" s="28">
        <f>SUM(U1016:Z1016)</f>
        <v/>
      </c>
      <c r="AB1016" s="5">
        <f>IF(COUNTIF('02b_DC_Accelerator_Mix'!$A$2:$A$977,G1016)&gt;0,"matched","missing_mix")</f>
        <v/>
      </c>
    </row>
    <row r="1017">
      <c r="A1017" s="5">
        <f>'02a_DC_Capacity_Alloc'!A1017</f>
        <v/>
      </c>
      <c r="B1017" s="5">
        <f>'02a_DC_Capacity_Alloc'!B1017</f>
        <v/>
      </c>
      <c r="C1017" s="5">
        <f>'02a_DC_Capacity_Alloc'!C1017</f>
        <v/>
      </c>
      <c r="D1017" s="5">
        <f>'02a_DC_Capacity_Alloc'!D1017</f>
        <v/>
      </c>
      <c r="E1017" s="5">
        <f>'02a_DC_Capacity_Alloc'!E1017</f>
        <v/>
      </c>
      <c r="F1017" s="5">
        <f>'02a_DC_Capacity_Alloc'!F1017</f>
        <v/>
      </c>
      <c r="G1017" s="5">
        <f>B1017&amp;"|"&amp;E1017&amp;"|"&amp;D1017</f>
        <v/>
      </c>
      <c r="H1017" s="28">
        <f>'02a_DC_Capacity_Alloc'!H1017*'02a_DC_Capacity_Alloc'!I1017*'02a_DC_Capacity_Alloc'!J1017</f>
        <v/>
      </c>
      <c r="I1017" s="6">
        <f>IFERROR(INDEX('02b_DC_Accelerator_Mix'!$F$2:$F$977,MATCH(G1017,'02b_DC_Accelerator_Mix'!$A$2:$A$977,0)),0)</f>
        <v/>
      </c>
      <c r="J1017" s="6">
        <f>IFERROR(INDEX('02b_DC_Accelerator_Mix'!$G$2:$G$977,MATCH(G1017,'02b_DC_Accelerator_Mix'!$A$2:$A$977,0)),0)</f>
        <v/>
      </c>
      <c r="K1017" s="6">
        <f>IFERROR(INDEX('02b_DC_Accelerator_Mix'!$H$2:$H$977,MATCH(G1017,'02b_DC_Accelerator_Mix'!$A$2:$A$977,0)),0)</f>
        <v/>
      </c>
      <c r="L1017" s="6">
        <f>IFERROR(INDEX('02b_DC_Accelerator_Mix'!$I$2:$I$977,MATCH(G1017,'02b_DC_Accelerator_Mix'!$A$2:$A$977,0)),0)</f>
        <v/>
      </c>
      <c r="M1017" s="6">
        <f>IFERROR(INDEX('02b_DC_Accelerator_Mix'!$J$2:$J$977,MATCH(G1017,'02b_DC_Accelerator_Mix'!$A$2:$A$977,0)),0)</f>
        <v/>
      </c>
      <c r="N1017" s="6">
        <f>IFERROR(INDEX('02b_DC_Accelerator_Mix'!$K$2:$K$977,MATCH(G1017,'02b_DC_Accelerator_Mix'!$A$2:$A$977,0)),0)</f>
        <v/>
      </c>
      <c r="O1017" s="6">
        <f>IFERROR(INDEX('02b_DC_Accelerator_Mix'!$L$2:$L$977,MATCH(G1017,'02b_DC_Accelerator_Mix'!$A$2:$A$977,0)),0)</f>
        <v/>
      </c>
      <c r="P1017" s="6">
        <f>IFERROR(INDEX('02b_DC_Accelerator_Mix'!$M$2:$M$977,MATCH(G1017,'02b_DC_Accelerator_Mix'!$A$2:$A$977,0)),0)</f>
        <v/>
      </c>
      <c r="Q1017" s="6">
        <f>IFERROR(INDEX('02b_DC_Accelerator_Mix'!$N$2:$N$977,MATCH(G1017,'02b_DC_Accelerator_Mix'!$A$2:$A$977,0)),0)</f>
        <v/>
      </c>
      <c r="R1017" s="28">
        <f>H1017*I1017</f>
        <v/>
      </c>
      <c r="S1017" s="28">
        <f>H1017*J1017</f>
        <v/>
      </c>
      <c r="T1017" s="28">
        <f>H1017*K1017</f>
        <v/>
      </c>
      <c r="U1017" s="28">
        <f>H1017*L1017</f>
        <v/>
      </c>
      <c r="V1017" s="28">
        <f>H1017*M1017</f>
        <v/>
      </c>
      <c r="W1017" s="28">
        <f>H1017*N1017</f>
        <v/>
      </c>
      <c r="X1017" s="28">
        <f>H1017*O1017</f>
        <v/>
      </c>
      <c r="Y1017" s="28">
        <f>H1017*P1017</f>
        <v/>
      </c>
      <c r="Z1017" s="28">
        <f>H1017*Q1017</f>
        <v/>
      </c>
      <c r="AA1017" s="28">
        <f>SUM(U1017:Z1017)</f>
        <v/>
      </c>
      <c r="AB1017" s="5">
        <f>IF(COUNTIF('02b_DC_Accelerator_Mix'!$A$2:$A$977,G1017)&gt;0,"matched","missing_mix")</f>
        <v/>
      </c>
    </row>
    <row r="1018">
      <c r="A1018" s="5">
        <f>'02a_DC_Capacity_Alloc'!A1018</f>
        <v/>
      </c>
      <c r="B1018" s="5">
        <f>'02a_DC_Capacity_Alloc'!B1018</f>
        <v/>
      </c>
      <c r="C1018" s="5">
        <f>'02a_DC_Capacity_Alloc'!C1018</f>
        <v/>
      </c>
      <c r="D1018" s="5">
        <f>'02a_DC_Capacity_Alloc'!D1018</f>
        <v/>
      </c>
      <c r="E1018" s="5">
        <f>'02a_DC_Capacity_Alloc'!E1018</f>
        <v/>
      </c>
      <c r="F1018" s="5">
        <f>'02a_DC_Capacity_Alloc'!F1018</f>
        <v/>
      </c>
      <c r="G1018" s="5">
        <f>B1018&amp;"|"&amp;E1018&amp;"|"&amp;D1018</f>
        <v/>
      </c>
      <c r="H1018" s="28">
        <f>'02a_DC_Capacity_Alloc'!H1018*'02a_DC_Capacity_Alloc'!I1018*'02a_DC_Capacity_Alloc'!J1018</f>
        <v/>
      </c>
      <c r="I1018" s="6">
        <f>IFERROR(INDEX('02b_DC_Accelerator_Mix'!$F$2:$F$977,MATCH(G1018,'02b_DC_Accelerator_Mix'!$A$2:$A$977,0)),0)</f>
        <v/>
      </c>
      <c r="J1018" s="6">
        <f>IFERROR(INDEX('02b_DC_Accelerator_Mix'!$G$2:$G$977,MATCH(G1018,'02b_DC_Accelerator_Mix'!$A$2:$A$977,0)),0)</f>
        <v/>
      </c>
      <c r="K1018" s="6">
        <f>IFERROR(INDEX('02b_DC_Accelerator_Mix'!$H$2:$H$977,MATCH(G1018,'02b_DC_Accelerator_Mix'!$A$2:$A$977,0)),0)</f>
        <v/>
      </c>
      <c r="L1018" s="6">
        <f>IFERROR(INDEX('02b_DC_Accelerator_Mix'!$I$2:$I$977,MATCH(G1018,'02b_DC_Accelerator_Mix'!$A$2:$A$977,0)),0)</f>
        <v/>
      </c>
      <c r="M1018" s="6">
        <f>IFERROR(INDEX('02b_DC_Accelerator_Mix'!$J$2:$J$977,MATCH(G1018,'02b_DC_Accelerator_Mix'!$A$2:$A$977,0)),0)</f>
        <v/>
      </c>
      <c r="N1018" s="6">
        <f>IFERROR(INDEX('02b_DC_Accelerator_Mix'!$K$2:$K$977,MATCH(G1018,'02b_DC_Accelerator_Mix'!$A$2:$A$977,0)),0)</f>
        <v/>
      </c>
      <c r="O1018" s="6">
        <f>IFERROR(INDEX('02b_DC_Accelerator_Mix'!$L$2:$L$977,MATCH(G1018,'02b_DC_Accelerator_Mix'!$A$2:$A$977,0)),0)</f>
        <v/>
      </c>
      <c r="P1018" s="6">
        <f>IFERROR(INDEX('02b_DC_Accelerator_Mix'!$M$2:$M$977,MATCH(G1018,'02b_DC_Accelerator_Mix'!$A$2:$A$977,0)),0)</f>
        <v/>
      </c>
      <c r="Q1018" s="6">
        <f>IFERROR(INDEX('02b_DC_Accelerator_Mix'!$N$2:$N$977,MATCH(G1018,'02b_DC_Accelerator_Mix'!$A$2:$A$977,0)),0)</f>
        <v/>
      </c>
      <c r="R1018" s="28">
        <f>H1018*I1018</f>
        <v/>
      </c>
      <c r="S1018" s="28">
        <f>H1018*J1018</f>
        <v/>
      </c>
      <c r="T1018" s="28">
        <f>H1018*K1018</f>
        <v/>
      </c>
      <c r="U1018" s="28">
        <f>H1018*L1018</f>
        <v/>
      </c>
      <c r="V1018" s="28">
        <f>H1018*M1018</f>
        <v/>
      </c>
      <c r="W1018" s="28">
        <f>H1018*N1018</f>
        <v/>
      </c>
      <c r="X1018" s="28">
        <f>H1018*O1018</f>
        <v/>
      </c>
      <c r="Y1018" s="28">
        <f>H1018*P1018</f>
        <v/>
      </c>
      <c r="Z1018" s="28">
        <f>H1018*Q1018</f>
        <v/>
      </c>
      <c r="AA1018" s="28">
        <f>SUM(U1018:Z1018)</f>
        <v/>
      </c>
      <c r="AB1018" s="5">
        <f>IF(COUNTIF('02b_DC_Accelerator_Mix'!$A$2:$A$977,G1018)&gt;0,"matched","missing_mix")</f>
        <v/>
      </c>
    </row>
    <row r="1019">
      <c r="A1019" s="5">
        <f>'02a_DC_Capacity_Alloc'!A1019</f>
        <v/>
      </c>
      <c r="B1019" s="5">
        <f>'02a_DC_Capacity_Alloc'!B1019</f>
        <v/>
      </c>
      <c r="C1019" s="5">
        <f>'02a_DC_Capacity_Alloc'!C1019</f>
        <v/>
      </c>
      <c r="D1019" s="5">
        <f>'02a_DC_Capacity_Alloc'!D1019</f>
        <v/>
      </c>
      <c r="E1019" s="5">
        <f>'02a_DC_Capacity_Alloc'!E1019</f>
        <v/>
      </c>
      <c r="F1019" s="5">
        <f>'02a_DC_Capacity_Alloc'!F1019</f>
        <v/>
      </c>
      <c r="G1019" s="5">
        <f>B1019&amp;"|"&amp;E1019&amp;"|"&amp;D1019</f>
        <v/>
      </c>
      <c r="H1019" s="28">
        <f>'02a_DC_Capacity_Alloc'!H1019*'02a_DC_Capacity_Alloc'!I1019*'02a_DC_Capacity_Alloc'!J1019</f>
        <v/>
      </c>
      <c r="I1019" s="6">
        <f>IFERROR(INDEX('02b_DC_Accelerator_Mix'!$F$2:$F$977,MATCH(G1019,'02b_DC_Accelerator_Mix'!$A$2:$A$977,0)),0)</f>
        <v/>
      </c>
      <c r="J1019" s="6">
        <f>IFERROR(INDEX('02b_DC_Accelerator_Mix'!$G$2:$G$977,MATCH(G1019,'02b_DC_Accelerator_Mix'!$A$2:$A$977,0)),0)</f>
        <v/>
      </c>
      <c r="K1019" s="6">
        <f>IFERROR(INDEX('02b_DC_Accelerator_Mix'!$H$2:$H$977,MATCH(G1019,'02b_DC_Accelerator_Mix'!$A$2:$A$977,0)),0)</f>
        <v/>
      </c>
      <c r="L1019" s="6">
        <f>IFERROR(INDEX('02b_DC_Accelerator_Mix'!$I$2:$I$977,MATCH(G1019,'02b_DC_Accelerator_Mix'!$A$2:$A$977,0)),0)</f>
        <v/>
      </c>
      <c r="M1019" s="6">
        <f>IFERROR(INDEX('02b_DC_Accelerator_Mix'!$J$2:$J$977,MATCH(G1019,'02b_DC_Accelerator_Mix'!$A$2:$A$977,0)),0)</f>
        <v/>
      </c>
      <c r="N1019" s="6">
        <f>IFERROR(INDEX('02b_DC_Accelerator_Mix'!$K$2:$K$977,MATCH(G1019,'02b_DC_Accelerator_Mix'!$A$2:$A$977,0)),0)</f>
        <v/>
      </c>
      <c r="O1019" s="6">
        <f>IFERROR(INDEX('02b_DC_Accelerator_Mix'!$L$2:$L$977,MATCH(G1019,'02b_DC_Accelerator_Mix'!$A$2:$A$977,0)),0)</f>
        <v/>
      </c>
      <c r="P1019" s="6">
        <f>IFERROR(INDEX('02b_DC_Accelerator_Mix'!$M$2:$M$977,MATCH(G1019,'02b_DC_Accelerator_Mix'!$A$2:$A$977,0)),0)</f>
        <v/>
      </c>
      <c r="Q1019" s="6">
        <f>IFERROR(INDEX('02b_DC_Accelerator_Mix'!$N$2:$N$977,MATCH(G1019,'02b_DC_Accelerator_Mix'!$A$2:$A$977,0)),0)</f>
        <v/>
      </c>
      <c r="R1019" s="28">
        <f>H1019*I1019</f>
        <v/>
      </c>
      <c r="S1019" s="28">
        <f>H1019*J1019</f>
        <v/>
      </c>
      <c r="T1019" s="28">
        <f>H1019*K1019</f>
        <v/>
      </c>
      <c r="U1019" s="28">
        <f>H1019*L1019</f>
        <v/>
      </c>
      <c r="V1019" s="28">
        <f>H1019*M1019</f>
        <v/>
      </c>
      <c r="W1019" s="28">
        <f>H1019*N1019</f>
        <v/>
      </c>
      <c r="X1019" s="28">
        <f>H1019*O1019</f>
        <v/>
      </c>
      <c r="Y1019" s="28">
        <f>H1019*P1019</f>
        <v/>
      </c>
      <c r="Z1019" s="28">
        <f>H1019*Q1019</f>
        <v/>
      </c>
      <c r="AA1019" s="28">
        <f>SUM(U1019:Z1019)</f>
        <v/>
      </c>
      <c r="AB1019" s="5">
        <f>IF(COUNTIF('02b_DC_Accelerator_Mix'!$A$2:$A$977,G1019)&gt;0,"matched","missing_mix")</f>
        <v/>
      </c>
    </row>
    <row r="1020">
      <c r="A1020" s="5">
        <f>'02a_DC_Capacity_Alloc'!A1020</f>
        <v/>
      </c>
      <c r="B1020" s="5">
        <f>'02a_DC_Capacity_Alloc'!B1020</f>
        <v/>
      </c>
      <c r="C1020" s="5">
        <f>'02a_DC_Capacity_Alloc'!C1020</f>
        <v/>
      </c>
      <c r="D1020" s="5">
        <f>'02a_DC_Capacity_Alloc'!D1020</f>
        <v/>
      </c>
      <c r="E1020" s="5">
        <f>'02a_DC_Capacity_Alloc'!E1020</f>
        <v/>
      </c>
      <c r="F1020" s="5">
        <f>'02a_DC_Capacity_Alloc'!F1020</f>
        <v/>
      </c>
      <c r="G1020" s="5">
        <f>B1020&amp;"|"&amp;E1020&amp;"|"&amp;D1020</f>
        <v/>
      </c>
      <c r="H1020" s="28">
        <f>'02a_DC_Capacity_Alloc'!H1020*'02a_DC_Capacity_Alloc'!I1020*'02a_DC_Capacity_Alloc'!J1020</f>
        <v/>
      </c>
      <c r="I1020" s="6">
        <f>IFERROR(INDEX('02b_DC_Accelerator_Mix'!$F$2:$F$977,MATCH(G1020,'02b_DC_Accelerator_Mix'!$A$2:$A$977,0)),0)</f>
        <v/>
      </c>
      <c r="J1020" s="6">
        <f>IFERROR(INDEX('02b_DC_Accelerator_Mix'!$G$2:$G$977,MATCH(G1020,'02b_DC_Accelerator_Mix'!$A$2:$A$977,0)),0)</f>
        <v/>
      </c>
      <c r="K1020" s="6">
        <f>IFERROR(INDEX('02b_DC_Accelerator_Mix'!$H$2:$H$977,MATCH(G1020,'02b_DC_Accelerator_Mix'!$A$2:$A$977,0)),0)</f>
        <v/>
      </c>
      <c r="L1020" s="6">
        <f>IFERROR(INDEX('02b_DC_Accelerator_Mix'!$I$2:$I$977,MATCH(G1020,'02b_DC_Accelerator_Mix'!$A$2:$A$977,0)),0)</f>
        <v/>
      </c>
      <c r="M1020" s="6">
        <f>IFERROR(INDEX('02b_DC_Accelerator_Mix'!$J$2:$J$977,MATCH(G1020,'02b_DC_Accelerator_Mix'!$A$2:$A$977,0)),0)</f>
        <v/>
      </c>
      <c r="N1020" s="6">
        <f>IFERROR(INDEX('02b_DC_Accelerator_Mix'!$K$2:$K$977,MATCH(G1020,'02b_DC_Accelerator_Mix'!$A$2:$A$977,0)),0)</f>
        <v/>
      </c>
      <c r="O1020" s="6">
        <f>IFERROR(INDEX('02b_DC_Accelerator_Mix'!$L$2:$L$977,MATCH(G1020,'02b_DC_Accelerator_Mix'!$A$2:$A$977,0)),0)</f>
        <v/>
      </c>
      <c r="P1020" s="6">
        <f>IFERROR(INDEX('02b_DC_Accelerator_Mix'!$M$2:$M$977,MATCH(G1020,'02b_DC_Accelerator_Mix'!$A$2:$A$977,0)),0)</f>
        <v/>
      </c>
      <c r="Q1020" s="6">
        <f>IFERROR(INDEX('02b_DC_Accelerator_Mix'!$N$2:$N$977,MATCH(G1020,'02b_DC_Accelerator_Mix'!$A$2:$A$977,0)),0)</f>
        <v/>
      </c>
      <c r="R1020" s="28">
        <f>H1020*I1020</f>
        <v/>
      </c>
      <c r="S1020" s="28">
        <f>H1020*J1020</f>
        <v/>
      </c>
      <c r="T1020" s="28">
        <f>H1020*K1020</f>
        <v/>
      </c>
      <c r="U1020" s="28">
        <f>H1020*L1020</f>
        <v/>
      </c>
      <c r="V1020" s="28">
        <f>H1020*M1020</f>
        <v/>
      </c>
      <c r="W1020" s="28">
        <f>H1020*N1020</f>
        <v/>
      </c>
      <c r="X1020" s="28">
        <f>H1020*O1020</f>
        <v/>
      </c>
      <c r="Y1020" s="28">
        <f>H1020*P1020</f>
        <v/>
      </c>
      <c r="Z1020" s="28">
        <f>H1020*Q1020</f>
        <v/>
      </c>
      <c r="AA1020" s="28">
        <f>SUM(U1020:Z1020)</f>
        <v/>
      </c>
      <c r="AB1020" s="5">
        <f>IF(COUNTIF('02b_DC_Accelerator_Mix'!$A$2:$A$977,G1020)&gt;0,"matched","missing_mix")</f>
        <v/>
      </c>
    </row>
    <row r="1021">
      <c r="A1021" s="5">
        <f>'02a_DC_Capacity_Alloc'!A1021</f>
        <v/>
      </c>
      <c r="B1021" s="5">
        <f>'02a_DC_Capacity_Alloc'!B1021</f>
        <v/>
      </c>
      <c r="C1021" s="5">
        <f>'02a_DC_Capacity_Alloc'!C1021</f>
        <v/>
      </c>
      <c r="D1021" s="5">
        <f>'02a_DC_Capacity_Alloc'!D1021</f>
        <v/>
      </c>
      <c r="E1021" s="5">
        <f>'02a_DC_Capacity_Alloc'!E1021</f>
        <v/>
      </c>
      <c r="F1021" s="5">
        <f>'02a_DC_Capacity_Alloc'!F1021</f>
        <v/>
      </c>
      <c r="G1021" s="5">
        <f>B1021&amp;"|"&amp;E1021&amp;"|"&amp;D1021</f>
        <v/>
      </c>
      <c r="H1021" s="28">
        <f>'02a_DC_Capacity_Alloc'!H1021*'02a_DC_Capacity_Alloc'!I1021*'02a_DC_Capacity_Alloc'!J1021</f>
        <v/>
      </c>
      <c r="I1021" s="6">
        <f>IFERROR(INDEX('02b_DC_Accelerator_Mix'!$F$2:$F$977,MATCH(G1021,'02b_DC_Accelerator_Mix'!$A$2:$A$977,0)),0)</f>
        <v/>
      </c>
      <c r="J1021" s="6">
        <f>IFERROR(INDEX('02b_DC_Accelerator_Mix'!$G$2:$G$977,MATCH(G1021,'02b_DC_Accelerator_Mix'!$A$2:$A$977,0)),0)</f>
        <v/>
      </c>
      <c r="K1021" s="6">
        <f>IFERROR(INDEX('02b_DC_Accelerator_Mix'!$H$2:$H$977,MATCH(G1021,'02b_DC_Accelerator_Mix'!$A$2:$A$977,0)),0)</f>
        <v/>
      </c>
      <c r="L1021" s="6">
        <f>IFERROR(INDEX('02b_DC_Accelerator_Mix'!$I$2:$I$977,MATCH(G1021,'02b_DC_Accelerator_Mix'!$A$2:$A$977,0)),0)</f>
        <v/>
      </c>
      <c r="M1021" s="6">
        <f>IFERROR(INDEX('02b_DC_Accelerator_Mix'!$J$2:$J$977,MATCH(G1021,'02b_DC_Accelerator_Mix'!$A$2:$A$977,0)),0)</f>
        <v/>
      </c>
      <c r="N1021" s="6">
        <f>IFERROR(INDEX('02b_DC_Accelerator_Mix'!$K$2:$K$977,MATCH(G1021,'02b_DC_Accelerator_Mix'!$A$2:$A$977,0)),0)</f>
        <v/>
      </c>
      <c r="O1021" s="6">
        <f>IFERROR(INDEX('02b_DC_Accelerator_Mix'!$L$2:$L$977,MATCH(G1021,'02b_DC_Accelerator_Mix'!$A$2:$A$977,0)),0)</f>
        <v/>
      </c>
      <c r="P1021" s="6">
        <f>IFERROR(INDEX('02b_DC_Accelerator_Mix'!$M$2:$M$977,MATCH(G1021,'02b_DC_Accelerator_Mix'!$A$2:$A$977,0)),0)</f>
        <v/>
      </c>
      <c r="Q1021" s="6">
        <f>IFERROR(INDEX('02b_DC_Accelerator_Mix'!$N$2:$N$977,MATCH(G1021,'02b_DC_Accelerator_Mix'!$A$2:$A$977,0)),0)</f>
        <v/>
      </c>
      <c r="R1021" s="28">
        <f>H1021*I1021</f>
        <v/>
      </c>
      <c r="S1021" s="28">
        <f>H1021*J1021</f>
        <v/>
      </c>
      <c r="T1021" s="28">
        <f>H1021*K1021</f>
        <v/>
      </c>
      <c r="U1021" s="28">
        <f>H1021*L1021</f>
        <v/>
      </c>
      <c r="V1021" s="28">
        <f>H1021*M1021</f>
        <v/>
      </c>
      <c r="W1021" s="28">
        <f>H1021*N1021</f>
        <v/>
      </c>
      <c r="X1021" s="28">
        <f>H1021*O1021</f>
        <v/>
      </c>
      <c r="Y1021" s="28">
        <f>H1021*P1021</f>
        <v/>
      </c>
      <c r="Z1021" s="28">
        <f>H1021*Q1021</f>
        <v/>
      </c>
      <c r="AA1021" s="28">
        <f>SUM(U1021:Z1021)</f>
        <v/>
      </c>
      <c r="AB1021" s="5">
        <f>IF(COUNTIF('02b_DC_Accelerator_Mix'!$A$2:$A$977,G1021)&gt;0,"matched","missing_mix")</f>
        <v/>
      </c>
    </row>
    <row r="1022">
      <c r="A1022" s="5">
        <f>'02a_DC_Capacity_Alloc'!A1022</f>
        <v/>
      </c>
      <c r="B1022" s="5">
        <f>'02a_DC_Capacity_Alloc'!B1022</f>
        <v/>
      </c>
      <c r="C1022" s="5">
        <f>'02a_DC_Capacity_Alloc'!C1022</f>
        <v/>
      </c>
      <c r="D1022" s="5">
        <f>'02a_DC_Capacity_Alloc'!D1022</f>
        <v/>
      </c>
      <c r="E1022" s="5">
        <f>'02a_DC_Capacity_Alloc'!E1022</f>
        <v/>
      </c>
      <c r="F1022" s="5">
        <f>'02a_DC_Capacity_Alloc'!F1022</f>
        <v/>
      </c>
      <c r="G1022" s="5">
        <f>B1022&amp;"|"&amp;E1022&amp;"|"&amp;D1022</f>
        <v/>
      </c>
      <c r="H1022" s="28">
        <f>'02a_DC_Capacity_Alloc'!H1022*'02a_DC_Capacity_Alloc'!I1022*'02a_DC_Capacity_Alloc'!J1022</f>
        <v/>
      </c>
      <c r="I1022" s="6">
        <f>IFERROR(INDEX('02b_DC_Accelerator_Mix'!$F$2:$F$977,MATCH(G1022,'02b_DC_Accelerator_Mix'!$A$2:$A$977,0)),0)</f>
        <v/>
      </c>
      <c r="J1022" s="6">
        <f>IFERROR(INDEX('02b_DC_Accelerator_Mix'!$G$2:$G$977,MATCH(G1022,'02b_DC_Accelerator_Mix'!$A$2:$A$977,0)),0)</f>
        <v/>
      </c>
      <c r="K1022" s="6">
        <f>IFERROR(INDEX('02b_DC_Accelerator_Mix'!$H$2:$H$977,MATCH(G1022,'02b_DC_Accelerator_Mix'!$A$2:$A$977,0)),0)</f>
        <v/>
      </c>
      <c r="L1022" s="6">
        <f>IFERROR(INDEX('02b_DC_Accelerator_Mix'!$I$2:$I$977,MATCH(G1022,'02b_DC_Accelerator_Mix'!$A$2:$A$977,0)),0)</f>
        <v/>
      </c>
      <c r="M1022" s="6">
        <f>IFERROR(INDEX('02b_DC_Accelerator_Mix'!$J$2:$J$977,MATCH(G1022,'02b_DC_Accelerator_Mix'!$A$2:$A$977,0)),0)</f>
        <v/>
      </c>
      <c r="N1022" s="6">
        <f>IFERROR(INDEX('02b_DC_Accelerator_Mix'!$K$2:$K$977,MATCH(G1022,'02b_DC_Accelerator_Mix'!$A$2:$A$977,0)),0)</f>
        <v/>
      </c>
      <c r="O1022" s="6">
        <f>IFERROR(INDEX('02b_DC_Accelerator_Mix'!$L$2:$L$977,MATCH(G1022,'02b_DC_Accelerator_Mix'!$A$2:$A$977,0)),0)</f>
        <v/>
      </c>
      <c r="P1022" s="6">
        <f>IFERROR(INDEX('02b_DC_Accelerator_Mix'!$M$2:$M$977,MATCH(G1022,'02b_DC_Accelerator_Mix'!$A$2:$A$977,0)),0)</f>
        <v/>
      </c>
      <c r="Q1022" s="6">
        <f>IFERROR(INDEX('02b_DC_Accelerator_Mix'!$N$2:$N$977,MATCH(G1022,'02b_DC_Accelerator_Mix'!$A$2:$A$977,0)),0)</f>
        <v/>
      </c>
      <c r="R1022" s="28">
        <f>H1022*I1022</f>
        <v/>
      </c>
      <c r="S1022" s="28">
        <f>H1022*J1022</f>
        <v/>
      </c>
      <c r="T1022" s="28">
        <f>H1022*K1022</f>
        <v/>
      </c>
      <c r="U1022" s="28">
        <f>H1022*L1022</f>
        <v/>
      </c>
      <c r="V1022" s="28">
        <f>H1022*M1022</f>
        <v/>
      </c>
      <c r="W1022" s="28">
        <f>H1022*N1022</f>
        <v/>
      </c>
      <c r="X1022" s="28">
        <f>H1022*O1022</f>
        <v/>
      </c>
      <c r="Y1022" s="28">
        <f>H1022*P1022</f>
        <v/>
      </c>
      <c r="Z1022" s="28">
        <f>H1022*Q1022</f>
        <v/>
      </c>
      <c r="AA1022" s="28">
        <f>SUM(U1022:Z1022)</f>
        <v/>
      </c>
      <c r="AB1022" s="5">
        <f>IF(COUNTIF('02b_DC_Accelerator_Mix'!$A$2:$A$977,G1022)&gt;0,"matched","missing_mix")</f>
        <v/>
      </c>
    </row>
    <row r="1023">
      <c r="A1023" s="5">
        <f>'02a_DC_Capacity_Alloc'!A1023</f>
        <v/>
      </c>
      <c r="B1023" s="5">
        <f>'02a_DC_Capacity_Alloc'!B1023</f>
        <v/>
      </c>
      <c r="C1023" s="5">
        <f>'02a_DC_Capacity_Alloc'!C1023</f>
        <v/>
      </c>
      <c r="D1023" s="5">
        <f>'02a_DC_Capacity_Alloc'!D1023</f>
        <v/>
      </c>
      <c r="E1023" s="5">
        <f>'02a_DC_Capacity_Alloc'!E1023</f>
        <v/>
      </c>
      <c r="F1023" s="5">
        <f>'02a_DC_Capacity_Alloc'!F1023</f>
        <v/>
      </c>
      <c r="G1023" s="5">
        <f>B1023&amp;"|"&amp;E1023&amp;"|"&amp;D1023</f>
        <v/>
      </c>
      <c r="H1023" s="28">
        <f>'02a_DC_Capacity_Alloc'!H1023*'02a_DC_Capacity_Alloc'!I1023*'02a_DC_Capacity_Alloc'!J1023</f>
        <v/>
      </c>
      <c r="I1023" s="6">
        <f>IFERROR(INDEX('02b_DC_Accelerator_Mix'!$F$2:$F$977,MATCH(G1023,'02b_DC_Accelerator_Mix'!$A$2:$A$977,0)),0)</f>
        <v/>
      </c>
      <c r="J1023" s="6">
        <f>IFERROR(INDEX('02b_DC_Accelerator_Mix'!$G$2:$G$977,MATCH(G1023,'02b_DC_Accelerator_Mix'!$A$2:$A$977,0)),0)</f>
        <v/>
      </c>
      <c r="K1023" s="6">
        <f>IFERROR(INDEX('02b_DC_Accelerator_Mix'!$H$2:$H$977,MATCH(G1023,'02b_DC_Accelerator_Mix'!$A$2:$A$977,0)),0)</f>
        <v/>
      </c>
      <c r="L1023" s="6">
        <f>IFERROR(INDEX('02b_DC_Accelerator_Mix'!$I$2:$I$977,MATCH(G1023,'02b_DC_Accelerator_Mix'!$A$2:$A$977,0)),0)</f>
        <v/>
      </c>
      <c r="M1023" s="6">
        <f>IFERROR(INDEX('02b_DC_Accelerator_Mix'!$J$2:$J$977,MATCH(G1023,'02b_DC_Accelerator_Mix'!$A$2:$A$977,0)),0)</f>
        <v/>
      </c>
      <c r="N1023" s="6">
        <f>IFERROR(INDEX('02b_DC_Accelerator_Mix'!$K$2:$K$977,MATCH(G1023,'02b_DC_Accelerator_Mix'!$A$2:$A$977,0)),0)</f>
        <v/>
      </c>
      <c r="O1023" s="6">
        <f>IFERROR(INDEX('02b_DC_Accelerator_Mix'!$L$2:$L$977,MATCH(G1023,'02b_DC_Accelerator_Mix'!$A$2:$A$977,0)),0)</f>
        <v/>
      </c>
      <c r="P1023" s="6">
        <f>IFERROR(INDEX('02b_DC_Accelerator_Mix'!$M$2:$M$977,MATCH(G1023,'02b_DC_Accelerator_Mix'!$A$2:$A$977,0)),0)</f>
        <v/>
      </c>
      <c r="Q1023" s="6">
        <f>IFERROR(INDEX('02b_DC_Accelerator_Mix'!$N$2:$N$977,MATCH(G1023,'02b_DC_Accelerator_Mix'!$A$2:$A$977,0)),0)</f>
        <v/>
      </c>
      <c r="R1023" s="28">
        <f>H1023*I1023</f>
        <v/>
      </c>
      <c r="S1023" s="28">
        <f>H1023*J1023</f>
        <v/>
      </c>
      <c r="T1023" s="28">
        <f>H1023*K1023</f>
        <v/>
      </c>
      <c r="U1023" s="28">
        <f>H1023*L1023</f>
        <v/>
      </c>
      <c r="V1023" s="28">
        <f>H1023*M1023</f>
        <v/>
      </c>
      <c r="W1023" s="28">
        <f>H1023*N1023</f>
        <v/>
      </c>
      <c r="X1023" s="28">
        <f>H1023*O1023</f>
        <v/>
      </c>
      <c r="Y1023" s="28">
        <f>H1023*P1023</f>
        <v/>
      </c>
      <c r="Z1023" s="28">
        <f>H1023*Q1023</f>
        <v/>
      </c>
      <c r="AA1023" s="28">
        <f>SUM(U1023:Z1023)</f>
        <v/>
      </c>
      <c r="AB1023" s="5">
        <f>IF(COUNTIF('02b_DC_Accelerator_Mix'!$A$2:$A$977,G1023)&gt;0,"matched","missing_mix")</f>
        <v/>
      </c>
    </row>
    <row r="1024">
      <c r="A1024" s="5">
        <f>'02a_DC_Capacity_Alloc'!A1024</f>
        <v/>
      </c>
      <c r="B1024" s="5">
        <f>'02a_DC_Capacity_Alloc'!B1024</f>
        <v/>
      </c>
      <c r="C1024" s="5">
        <f>'02a_DC_Capacity_Alloc'!C1024</f>
        <v/>
      </c>
      <c r="D1024" s="5">
        <f>'02a_DC_Capacity_Alloc'!D1024</f>
        <v/>
      </c>
      <c r="E1024" s="5">
        <f>'02a_DC_Capacity_Alloc'!E1024</f>
        <v/>
      </c>
      <c r="F1024" s="5">
        <f>'02a_DC_Capacity_Alloc'!F1024</f>
        <v/>
      </c>
      <c r="G1024" s="5">
        <f>B1024&amp;"|"&amp;E1024&amp;"|"&amp;D1024</f>
        <v/>
      </c>
      <c r="H1024" s="28">
        <f>'02a_DC_Capacity_Alloc'!H1024*'02a_DC_Capacity_Alloc'!I1024*'02a_DC_Capacity_Alloc'!J1024</f>
        <v/>
      </c>
      <c r="I1024" s="6">
        <f>IFERROR(INDEX('02b_DC_Accelerator_Mix'!$F$2:$F$977,MATCH(G1024,'02b_DC_Accelerator_Mix'!$A$2:$A$977,0)),0)</f>
        <v/>
      </c>
      <c r="J1024" s="6">
        <f>IFERROR(INDEX('02b_DC_Accelerator_Mix'!$G$2:$G$977,MATCH(G1024,'02b_DC_Accelerator_Mix'!$A$2:$A$977,0)),0)</f>
        <v/>
      </c>
      <c r="K1024" s="6">
        <f>IFERROR(INDEX('02b_DC_Accelerator_Mix'!$H$2:$H$977,MATCH(G1024,'02b_DC_Accelerator_Mix'!$A$2:$A$977,0)),0)</f>
        <v/>
      </c>
      <c r="L1024" s="6">
        <f>IFERROR(INDEX('02b_DC_Accelerator_Mix'!$I$2:$I$977,MATCH(G1024,'02b_DC_Accelerator_Mix'!$A$2:$A$977,0)),0)</f>
        <v/>
      </c>
      <c r="M1024" s="6">
        <f>IFERROR(INDEX('02b_DC_Accelerator_Mix'!$J$2:$J$977,MATCH(G1024,'02b_DC_Accelerator_Mix'!$A$2:$A$977,0)),0)</f>
        <v/>
      </c>
      <c r="N1024" s="6">
        <f>IFERROR(INDEX('02b_DC_Accelerator_Mix'!$K$2:$K$977,MATCH(G1024,'02b_DC_Accelerator_Mix'!$A$2:$A$977,0)),0)</f>
        <v/>
      </c>
      <c r="O1024" s="6">
        <f>IFERROR(INDEX('02b_DC_Accelerator_Mix'!$L$2:$L$977,MATCH(G1024,'02b_DC_Accelerator_Mix'!$A$2:$A$977,0)),0)</f>
        <v/>
      </c>
      <c r="P1024" s="6">
        <f>IFERROR(INDEX('02b_DC_Accelerator_Mix'!$M$2:$M$977,MATCH(G1024,'02b_DC_Accelerator_Mix'!$A$2:$A$977,0)),0)</f>
        <v/>
      </c>
      <c r="Q1024" s="6">
        <f>IFERROR(INDEX('02b_DC_Accelerator_Mix'!$N$2:$N$977,MATCH(G1024,'02b_DC_Accelerator_Mix'!$A$2:$A$977,0)),0)</f>
        <v/>
      </c>
      <c r="R1024" s="28">
        <f>H1024*I1024</f>
        <v/>
      </c>
      <c r="S1024" s="28">
        <f>H1024*J1024</f>
        <v/>
      </c>
      <c r="T1024" s="28">
        <f>H1024*K1024</f>
        <v/>
      </c>
      <c r="U1024" s="28">
        <f>H1024*L1024</f>
        <v/>
      </c>
      <c r="V1024" s="28">
        <f>H1024*M1024</f>
        <v/>
      </c>
      <c r="W1024" s="28">
        <f>H1024*N1024</f>
        <v/>
      </c>
      <c r="X1024" s="28">
        <f>H1024*O1024</f>
        <v/>
      </c>
      <c r="Y1024" s="28">
        <f>H1024*P1024</f>
        <v/>
      </c>
      <c r="Z1024" s="28">
        <f>H1024*Q1024</f>
        <v/>
      </c>
      <c r="AA1024" s="28">
        <f>SUM(U1024:Z1024)</f>
        <v/>
      </c>
      <c r="AB1024" s="5">
        <f>IF(COUNTIF('02b_DC_Accelerator_Mix'!$A$2:$A$977,G1024)&gt;0,"matched","missing_mix")</f>
        <v/>
      </c>
    </row>
    <row r="1025">
      <c r="A1025" s="5">
        <f>'02a_DC_Capacity_Alloc'!A1025</f>
        <v/>
      </c>
      <c r="B1025" s="5">
        <f>'02a_DC_Capacity_Alloc'!B1025</f>
        <v/>
      </c>
      <c r="C1025" s="5">
        <f>'02a_DC_Capacity_Alloc'!C1025</f>
        <v/>
      </c>
      <c r="D1025" s="5">
        <f>'02a_DC_Capacity_Alloc'!D1025</f>
        <v/>
      </c>
      <c r="E1025" s="5">
        <f>'02a_DC_Capacity_Alloc'!E1025</f>
        <v/>
      </c>
      <c r="F1025" s="5">
        <f>'02a_DC_Capacity_Alloc'!F1025</f>
        <v/>
      </c>
      <c r="G1025" s="5">
        <f>B1025&amp;"|"&amp;E1025&amp;"|"&amp;D1025</f>
        <v/>
      </c>
      <c r="H1025" s="28">
        <f>'02a_DC_Capacity_Alloc'!H1025*'02a_DC_Capacity_Alloc'!I1025*'02a_DC_Capacity_Alloc'!J1025</f>
        <v/>
      </c>
      <c r="I1025" s="6">
        <f>IFERROR(INDEX('02b_DC_Accelerator_Mix'!$F$2:$F$977,MATCH(G1025,'02b_DC_Accelerator_Mix'!$A$2:$A$977,0)),0)</f>
        <v/>
      </c>
      <c r="J1025" s="6">
        <f>IFERROR(INDEX('02b_DC_Accelerator_Mix'!$G$2:$G$977,MATCH(G1025,'02b_DC_Accelerator_Mix'!$A$2:$A$977,0)),0)</f>
        <v/>
      </c>
      <c r="K1025" s="6">
        <f>IFERROR(INDEX('02b_DC_Accelerator_Mix'!$H$2:$H$977,MATCH(G1025,'02b_DC_Accelerator_Mix'!$A$2:$A$977,0)),0)</f>
        <v/>
      </c>
      <c r="L1025" s="6">
        <f>IFERROR(INDEX('02b_DC_Accelerator_Mix'!$I$2:$I$977,MATCH(G1025,'02b_DC_Accelerator_Mix'!$A$2:$A$977,0)),0)</f>
        <v/>
      </c>
      <c r="M1025" s="6">
        <f>IFERROR(INDEX('02b_DC_Accelerator_Mix'!$J$2:$J$977,MATCH(G1025,'02b_DC_Accelerator_Mix'!$A$2:$A$977,0)),0)</f>
        <v/>
      </c>
      <c r="N1025" s="6">
        <f>IFERROR(INDEX('02b_DC_Accelerator_Mix'!$K$2:$K$977,MATCH(G1025,'02b_DC_Accelerator_Mix'!$A$2:$A$977,0)),0)</f>
        <v/>
      </c>
      <c r="O1025" s="6">
        <f>IFERROR(INDEX('02b_DC_Accelerator_Mix'!$L$2:$L$977,MATCH(G1025,'02b_DC_Accelerator_Mix'!$A$2:$A$977,0)),0)</f>
        <v/>
      </c>
      <c r="P1025" s="6">
        <f>IFERROR(INDEX('02b_DC_Accelerator_Mix'!$M$2:$M$977,MATCH(G1025,'02b_DC_Accelerator_Mix'!$A$2:$A$977,0)),0)</f>
        <v/>
      </c>
      <c r="Q1025" s="6">
        <f>IFERROR(INDEX('02b_DC_Accelerator_Mix'!$N$2:$N$977,MATCH(G1025,'02b_DC_Accelerator_Mix'!$A$2:$A$977,0)),0)</f>
        <v/>
      </c>
      <c r="R1025" s="28">
        <f>H1025*I1025</f>
        <v/>
      </c>
      <c r="S1025" s="28">
        <f>H1025*J1025</f>
        <v/>
      </c>
      <c r="T1025" s="28">
        <f>H1025*K1025</f>
        <v/>
      </c>
      <c r="U1025" s="28">
        <f>H1025*L1025</f>
        <v/>
      </c>
      <c r="V1025" s="28">
        <f>H1025*M1025</f>
        <v/>
      </c>
      <c r="W1025" s="28">
        <f>H1025*N1025</f>
        <v/>
      </c>
      <c r="X1025" s="28">
        <f>H1025*O1025</f>
        <v/>
      </c>
      <c r="Y1025" s="28">
        <f>H1025*P1025</f>
        <v/>
      </c>
      <c r="Z1025" s="28">
        <f>H1025*Q1025</f>
        <v/>
      </c>
      <c r="AA1025" s="28">
        <f>SUM(U1025:Z1025)</f>
        <v/>
      </c>
      <c r="AB1025" s="5">
        <f>IF(COUNTIF('02b_DC_Accelerator_Mix'!$A$2:$A$977,G1025)&gt;0,"matched","missing_mix")</f>
        <v/>
      </c>
    </row>
    <row r="1026">
      <c r="A1026" s="5">
        <f>'02a_DC_Capacity_Alloc'!A1026</f>
        <v/>
      </c>
      <c r="B1026" s="5">
        <f>'02a_DC_Capacity_Alloc'!B1026</f>
        <v/>
      </c>
      <c r="C1026" s="5">
        <f>'02a_DC_Capacity_Alloc'!C1026</f>
        <v/>
      </c>
      <c r="D1026" s="5">
        <f>'02a_DC_Capacity_Alloc'!D1026</f>
        <v/>
      </c>
      <c r="E1026" s="5">
        <f>'02a_DC_Capacity_Alloc'!E1026</f>
        <v/>
      </c>
      <c r="F1026" s="5">
        <f>'02a_DC_Capacity_Alloc'!F1026</f>
        <v/>
      </c>
      <c r="G1026" s="5">
        <f>B1026&amp;"|"&amp;E1026&amp;"|"&amp;D1026</f>
        <v/>
      </c>
      <c r="H1026" s="28">
        <f>'02a_DC_Capacity_Alloc'!H1026*'02a_DC_Capacity_Alloc'!I1026*'02a_DC_Capacity_Alloc'!J1026</f>
        <v/>
      </c>
      <c r="I1026" s="6">
        <f>IFERROR(INDEX('02b_DC_Accelerator_Mix'!$F$2:$F$977,MATCH(G1026,'02b_DC_Accelerator_Mix'!$A$2:$A$977,0)),0)</f>
        <v/>
      </c>
      <c r="J1026" s="6">
        <f>IFERROR(INDEX('02b_DC_Accelerator_Mix'!$G$2:$G$977,MATCH(G1026,'02b_DC_Accelerator_Mix'!$A$2:$A$977,0)),0)</f>
        <v/>
      </c>
      <c r="K1026" s="6">
        <f>IFERROR(INDEX('02b_DC_Accelerator_Mix'!$H$2:$H$977,MATCH(G1026,'02b_DC_Accelerator_Mix'!$A$2:$A$977,0)),0)</f>
        <v/>
      </c>
      <c r="L1026" s="6">
        <f>IFERROR(INDEX('02b_DC_Accelerator_Mix'!$I$2:$I$977,MATCH(G1026,'02b_DC_Accelerator_Mix'!$A$2:$A$977,0)),0)</f>
        <v/>
      </c>
      <c r="M1026" s="6">
        <f>IFERROR(INDEX('02b_DC_Accelerator_Mix'!$J$2:$J$977,MATCH(G1026,'02b_DC_Accelerator_Mix'!$A$2:$A$977,0)),0)</f>
        <v/>
      </c>
      <c r="N1026" s="6">
        <f>IFERROR(INDEX('02b_DC_Accelerator_Mix'!$K$2:$K$977,MATCH(G1026,'02b_DC_Accelerator_Mix'!$A$2:$A$977,0)),0)</f>
        <v/>
      </c>
      <c r="O1026" s="6">
        <f>IFERROR(INDEX('02b_DC_Accelerator_Mix'!$L$2:$L$977,MATCH(G1026,'02b_DC_Accelerator_Mix'!$A$2:$A$977,0)),0)</f>
        <v/>
      </c>
      <c r="P1026" s="6">
        <f>IFERROR(INDEX('02b_DC_Accelerator_Mix'!$M$2:$M$977,MATCH(G1026,'02b_DC_Accelerator_Mix'!$A$2:$A$977,0)),0)</f>
        <v/>
      </c>
      <c r="Q1026" s="6">
        <f>IFERROR(INDEX('02b_DC_Accelerator_Mix'!$N$2:$N$977,MATCH(G1026,'02b_DC_Accelerator_Mix'!$A$2:$A$977,0)),0)</f>
        <v/>
      </c>
      <c r="R1026" s="28">
        <f>H1026*I1026</f>
        <v/>
      </c>
      <c r="S1026" s="28">
        <f>H1026*J1026</f>
        <v/>
      </c>
      <c r="T1026" s="28">
        <f>H1026*K1026</f>
        <v/>
      </c>
      <c r="U1026" s="28">
        <f>H1026*L1026</f>
        <v/>
      </c>
      <c r="V1026" s="28">
        <f>H1026*M1026</f>
        <v/>
      </c>
      <c r="W1026" s="28">
        <f>H1026*N1026</f>
        <v/>
      </c>
      <c r="X1026" s="28">
        <f>H1026*O1026</f>
        <v/>
      </c>
      <c r="Y1026" s="28">
        <f>H1026*P1026</f>
        <v/>
      </c>
      <c r="Z1026" s="28">
        <f>H1026*Q1026</f>
        <v/>
      </c>
      <c r="AA1026" s="28">
        <f>SUM(U1026:Z1026)</f>
        <v/>
      </c>
      <c r="AB1026" s="5">
        <f>IF(COUNTIF('02b_DC_Accelerator_Mix'!$A$2:$A$977,G1026)&gt;0,"matched","missing_mix")</f>
        <v/>
      </c>
    </row>
    <row r="1027">
      <c r="A1027" s="5">
        <f>'02a_DC_Capacity_Alloc'!A1027</f>
        <v/>
      </c>
      <c r="B1027" s="5">
        <f>'02a_DC_Capacity_Alloc'!B1027</f>
        <v/>
      </c>
      <c r="C1027" s="5">
        <f>'02a_DC_Capacity_Alloc'!C1027</f>
        <v/>
      </c>
      <c r="D1027" s="5">
        <f>'02a_DC_Capacity_Alloc'!D1027</f>
        <v/>
      </c>
      <c r="E1027" s="5">
        <f>'02a_DC_Capacity_Alloc'!E1027</f>
        <v/>
      </c>
      <c r="F1027" s="5">
        <f>'02a_DC_Capacity_Alloc'!F1027</f>
        <v/>
      </c>
      <c r="G1027" s="5">
        <f>B1027&amp;"|"&amp;E1027&amp;"|"&amp;D1027</f>
        <v/>
      </c>
      <c r="H1027" s="28">
        <f>'02a_DC_Capacity_Alloc'!H1027*'02a_DC_Capacity_Alloc'!I1027*'02a_DC_Capacity_Alloc'!J1027</f>
        <v/>
      </c>
      <c r="I1027" s="6">
        <f>IFERROR(INDEX('02b_DC_Accelerator_Mix'!$F$2:$F$977,MATCH(G1027,'02b_DC_Accelerator_Mix'!$A$2:$A$977,0)),0)</f>
        <v/>
      </c>
      <c r="J1027" s="6">
        <f>IFERROR(INDEX('02b_DC_Accelerator_Mix'!$G$2:$G$977,MATCH(G1027,'02b_DC_Accelerator_Mix'!$A$2:$A$977,0)),0)</f>
        <v/>
      </c>
      <c r="K1027" s="6">
        <f>IFERROR(INDEX('02b_DC_Accelerator_Mix'!$H$2:$H$977,MATCH(G1027,'02b_DC_Accelerator_Mix'!$A$2:$A$977,0)),0)</f>
        <v/>
      </c>
      <c r="L1027" s="6">
        <f>IFERROR(INDEX('02b_DC_Accelerator_Mix'!$I$2:$I$977,MATCH(G1027,'02b_DC_Accelerator_Mix'!$A$2:$A$977,0)),0)</f>
        <v/>
      </c>
      <c r="M1027" s="6">
        <f>IFERROR(INDEX('02b_DC_Accelerator_Mix'!$J$2:$J$977,MATCH(G1027,'02b_DC_Accelerator_Mix'!$A$2:$A$977,0)),0)</f>
        <v/>
      </c>
      <c r="N1027" s="6">
        <f>IFERROR(INDEX('02b_DC_Accelerator_Mix'!$K$2:$K$977,MATCH(G1027,'02b_DC_Accelerator_Mix'!$A$2:$A$977,0)),0)</f>
        <v/>
      </c>
      <c r="O1027" s="6">
        <f>IFERROR(INDEX('02b_DC_Accelerator_Mix'!$L$2:$L$977,MATCH(G1027,'02b_DC_Accelerator_Mix'!$A$2:$A$977,0)),0)</f>
        <v/>
      </c>
      <c r="P1027" s="6">
        <f>IFERROR(INDEX('02b_DC_Accelerator_Mix'!$M$2:$M$977,MATCH(G1027,'02b_DC_Accelerator_Mix'!$A$2:$A$977,0)),0)</f>
        <v/>
      </c>
      <c r="Q1027" s="6">
        <f>IFERROR(INDEX('02b_DC_Accelerator_Mix'!$N$2:$N$977,MATCH(G1027,'02b_DC_Accelerator_Mix'!$A$2:$A$977,0)),0)</f>
        <v/>
      </c>
      <c r="R1027" s="28">
        <f>H1027*I1027</f>
        <v/>
      </c>
      <c r="S1027" s="28">
        <f>H1027*J1027</f>
        <v/>
      </c>
      <c r="T1027" s="28">
        <f>H1027*K1027</f>
        <v/>
      </c>
      <c r="U1027" s="28">
        <f>H1027*L1027</f>
        <v/>
      </c>
      <c r="V1027" s="28">
        <f>H1027*M1027</f>
        <v/>
      </c>
      <c r="W1027" s="28">
        <f>H1027*N1027</f>
        <v/>
      </c>
      <c r="X1027" s="28">
        <f>H1027*O1027</f>
        <v/>
      </c>
      <c r="Y1027" s="28">
        <f>H1027*P1027</f>
        <v/>
      </c>
      <c r="Z1027" s="28">
        <f>H1027*Q1027</f>
        <v/>
      </c>
      <c r="AA1027" s="28">
        <f>SUM(U1027:Z1027)</f>
        <v/>
      </c>
      <c r="AB1027" s="5">
        <f>IF(COUNTIF('02b_DC_Accelerator_Mix'!$A$2:$A$977,G1027)&gt;0,"matched","missing_mix")</f>
        <v/>
      </c>
    </row>
    <row r="1028">
      <c r="A1028" s="5">
        <f>'02a_DC_Capacity_Alloc'!A1028</f>
        <v/>
      </c>
      <c r="B1028" s="5">
        <f>'02a_DC_Capacity_Alloc'!B1028</f>
        <v/>
      </c>
      <c r="C1028" s="5">
        <f>'02a_DC_Capacity_Alloc'!C1028</f>
        <v/>
      </c>
      <c r="D1028" s="5">
        <f>'02a_DC_Capacity_Alloc'!D1028</f>
        <v/>
      </c>
      <c r="E1028" s="5">
        <f>'02a_DC_Capacity_Alloc'!E1028</f>
        <v/>
      </c>
      <c r="F1028" s="5">
        <f>'02a_DC_Capacity_Alloc'!F1028</f>
        <v/>
      </c>
      <c r="G1028" s="5">
        <f>B1028&amp;"|"&amp;E1028&amp;"|"&amp;D1028</f>
        <v/>
      </c>
      <c r="H1028" s="28">
        <f>'02a_DC_Capacity_Alloc'!H1028*'02a_DC_Capacity_Alloc'!I1028*'02a_DC_Capacity_Alloc'!J1028</f>
        <v/>
      </c>
      <c r="I1028" s="6">
        <f>IFERROR(INDEX('02b_DC_Accelerator_Mix'!$F$2:$F$977,MATCH(G1028,'02b_DC_Accelerator_Mix'!$A$2:$A$977,0)),0)</f>
        <v/>
      </c>
      <c r="J1028" s="6">
        <f>IFERROR(INDEX('02b_DC_Accelerator_Mix'!$G$2:$G$977,MATCH(G1028,'02b_DC_Accelerator_Mix'!$A$2:$A$977,0)),0)</f>
        <v/>
      </c>
      <c r="K1028" s="6">
        <f>IFERROR(INDEX('02b_DC_Accelerator_Mix'!$H$2:$H$977,MATCH(G1028,'02b_DC_Accelerator_Mix'!$A$2:$A$977,0)),0)</f>
        <v/>
      </c>
      <c r="L1028" s="6">
        <f>IFERROR(INDEX('02b_DC_Accelerator_Mix'!$I$2:$I$977,MATCH(G1028,'02b_DC_Accelerator_Mix'!$A$2:$A$977,0)),0)</f>
        <v/>
      </c>
      <c r="M1028" s="6">
        <f>IFERROR(INDEX('02b_DC_Accelerator_Mix'!$J$2:$J$977,MATCH(G1028,'02b_DC_Accelerator_Mix'!$A$2:$A$977,0)),0)</f>
        <v/>
      </c>
      <c r="N1028" s="6">
        <f>IFERROR(INDEX('02b_DC_Accelerator_Mix'!$K$2:$K$977,MATCH(G1028,'02b_DC_Accelerator_Mix'!$A$2:$A$977,0)),0)</f>
        <v/>
      </c>
      <c r="O1028" s="6">
        <f>IFERROR(INDEX('02b_DC_Accelerator_Mix'!$L$2:$L$977,MATCH(G1028,'02b_DC_Accelerator_Mix'!$A$2:$A$977,0)),0)</f>
        <v/>
      </c>
      <c r="P1028" s="6">
        <f>IFERROR(INDEX('02b_DC_Accelerator_Mix'!$M$2:$M$977,MATCH(G1028,'02b_DC_Accelerator_Mix'!$A$2:$A$977,0)),0)</f>
        <v/>
      </c>
      <c r="Q1028" s="6">
        <f>IFERROR(INDEX('02b_DC_Accelerator_Mix'!$N$2:$N$977,MATCH(G1028,'02b_DC_Accelerator_Mix'!$A$2:$A$977,0)),0)</f>
        <v/>
      </c>
      <c r="R1028" s="28">
        <f>H1028*I1028</f>
        <v/>
      </c>
      <c r="S1028" s="28">
        <f>H1028*J1028</f>
        <v/>
      </c>
      <c r="T1028" s="28">
        <f>H1028*K1028</f>
        <v/>
      </c>
      <c r="U1028" s="28">
        <f>H1028*L1028</f>
        <v/>
      </c>
      <c r="V1028" s="28">
        <f>H1028*M1028</f>
        <v/>
      </c>
      <c r="W1028" s="28">
        <f>H1028*N1028</f>
        <v/>
      </c>
      <c r="X1028" s="28">
        <f>H1028*O1028</f>
        <v/>
      </c>
      <c r="Y1028" s="28">
        <f>H1028*P1028</f>
        <v/>
      </c>
      <c r="Z1028" s="28">
        <f>H1028*Q1028</f>
        <v/>
      </c>
      <c r="AA1028" s="28">
        <f>SUM(U1028:Z1028)</f>
        <v/>
      </c>
      <c r="AB1028" s="5">
        <f>IF(COUNTIF('02b_DC_Accelerator_Mix'!$A$2:$A$977,G1028)&gt;0,"matched","missing_mix")</f>
        <v/>
      </c>
    </row>
    <row r="1029">
      <c r="A1029" s="5">
        <f>'02a_DC_Capacity_Alloc'!A1029</f>
        <v/>
      </c>
      <c r="B1029" s="5">
        <f>'02a_DC_Capacity_Alloc'!B1029</f>
        <v/>
      </c>
      <c r="C1029" s="5">
        <f>'02a_DC_Capacity_Alloc'!C1029</f>
        <v/>
      </c>
      <c r="D1029" s="5">
        <f>'02a_DC_Capacity_Alloc'!D1029</f>
        <v/>
      </c>
      <c r="E1029" s="5">
        <f>'02a_DC_Capacity_Alloc'!E1029</f>
        <v/>
      </c>
      <c r="F1029" s="5">
        <f>'02a_DC_Capacity_Alloc'!F1029</f>
        <v/>
      </c>
      <c r="G1029" s="5">
        <f>B1029&amp;"|"&amp;E1029&amp;"|"&amp;D1029</f>
        <v/>
      </c>
      <c r="H1029" s="28">
        <f>'02a_DC_Capacity_Alloc'!H1029*'02a_DC_Capacity_Alloc'!I1029*'02a_DC_Capacity_Alloc'!J1029</f>
        <v/>
      </c>
      <c r="I1029" s="6">
        <f>IFERROR(INDEX('02b_DC_Accelerator_Mix'!$F$2:$F$977,MATCH(G1029,'02b_DC_Accelerator_Mix'!$A$2:$A$977,0)),0)</f>
        <v/>
      </c>
      <c r="J1029" s="6">
        <f>IFERROR(INDEX('02b_DC_Accelerator_Mix'!$G$2:$G$977,MATCH(G1029,'02b_DC_Accelerator_Mix'!$A$2:$A$977,0)),0)</f>
        <v/>
      </c>
      <c r="K1029" s="6">
        <f>IFERROR(INDEX('02b_DC_Accelerator_Mix'!$H$2:$H$977,MATCH(G1029,'02b_DC_Accelerator_Mix'!$A$2:$A$977,0)),0)</f>
        <v/>
      </c>
      <c r="L1029" s="6">
        <f>IFERROR(INDEX('02b_DC_Accelerator_Mix'!$I$2:$I$977,MATCH(G1029,'02b_DC_Accelerator_Mix'!$A$2:$A$977,0)),0)</f>
        <v/>
      </c>
      <c r="M1029" s="6">
        <f>IFERROR(INDEX('02b_DC_Accelerator_Mix'!$J$2:$J$977,MATCH(G1029,'02b_DC_Accelerator_Mix'!$A$2:$A$977,0)),0)</f>
        <v/>
      </c>
      <c r="N1029" s="6">
        <f>IFERROR(INDEX('02b_DC_Accelerator_Mix'!$K$2:$K$977,MATCH(G1029,'02b_DC_Accelerator_Mix'!$A$2:$A$977,0)),0)</f>
        <v/>
      </c>
      <c r="O1029" s="6">
        <f>IFERROR(INDEX('02b_DC_Accelerator_Mix'!$L$2:$L$977,MATCH(G1029,'02b_DC_Accelerator_Mix'!$A$2:$A$977,0)),0)</f>
        <v/>
      </c>
      <c r="P1029" s="6">
        <f>IFERROR(INDEX('02b_DC_Accelerator_Mix'!$M$2:$M$977,MATCH(G1029,'02b_DC_Accelerator_Mix'!$A$2:$A$977,0)),0)</f>
        <v/>
      </c>
      <c r="Q1029" s="6">
        <f>IFERROR(INDEX('02b_DC_Accelerator_Mix'!$N$2:$N$977,MATCH(G1029,'02b_DC_Accelerator_Mix'!$A$2:$A$977,0)),0)</f>
        <v/>
      </c>
      <c r="R1029" s="28">
        <f>H1029*I1029</f>
        <v/>
      </c>
      <c r="S1029" s="28">
        <f>H1029*J1029</f>
        <v/>
      </c>
      <c r="T1029" s="28">
        <f>H1029*K1029</f>
        <v/>
      </c>
      <c r="U1029" s="28">
        <f>H1029*L1029</f>
        <v/>
      </c>
      <c r="V1029" s="28">
        <f>H1029*M1029</f>
        <v/>
      </c>
      <c r="W1029" s="28">
        <f>H1029*N1029</f>
        <v/>
      </c>
      <c r="X1029" s="28">
        <f>H1029*O1029</f>
        <v/>
      </c>
      <c r="Y1029" s="28">
        <f>H1029*P1029</f>
        <v/>
      </c>
      <c r="Z1029" s="28">
        <f>H1029*Q1029</f>
        <v/>
      </c>
      <c r="AA1029" s="28">
        <f>SUM(U1029:Z1029)</f>
        <v/>
      </c>
      <c r="AB1029" s="5">
        <f>IF(COUNTIF('02b_DC_Accelerator_Mix'!$A$2:$A$977,G1029)&gt;0,"matched","missing_mix")</f>
        <v/>
      </c>
    </row>
    <row r="1030">
      <c r="A1030" s="5">
        <f>'02a_DC_Capacity_Alloc'!A1030</f>
        <v/>
      </c>
      <c r="B1030" s="5">
        <f>'02a_DC_Capacity_Alloc'!B1030</f>
        <v/>
      </c>
      <c r="C1030" s="5">
        <f>'02a_DC_Capacity_Alloc'!C1030</f>
        <v/>
      </c>
      <c r="D1030" s="5">
        <f>'02a_DC_Capacity_Alloc'!D1030</f>
        <v/>
      </c>
      <c r="E1030" s="5">
        <f>'02a_DC_Capacity_Alloc'!E1030</f>
        <v/>
      </c>
      <c r="F1030" s="5">
        <f>'02a_DC_Capacity_Alloc'!F1030</f>
        <v/>
      </c>
      <c r="G1030" s="5">
        <f>B1030&amp;"|"&amp;E1030&amp;"|"&amp;D1030</f>
        <v/>
      </c>
      <c r="H1030" s="28">
        <f>'02a_DC_Capacity_Alloc'!H1030*'02a_DC_Capacity_Alloc'!I1030*'02a_DC_Capacity_Alloc'!J1030</f>
        <v/>
      </c>
      <c r="I1030" s="6">
        <f>IFERROR(INDEX('02b_DC_Accelerator_Mix'!$F$2:$F$977,MATCH(G1030,'02b_DC_Accelerator_Mix'!$A$2:$A$977,0)),0)</f>
        <v/>
      </c>
      <c r="J1030" s="6">
        <f>IFERROR(INDEX('02b_DC_Accelerator_Mix'!$G$2:$G$977,MATCH(G1030,'02b_DC_Accelerator_Mix'!$A$2:$A$977,0)),0)</f>
        <v/>
      </c>
      <c r="K1030" s="6">
        <f>IFERROR(INDEX('02b_DC_Accelerator_Mix'!$H$2:$H$977,MATCH(G1030,'02b_DC_Accelerator_Mix'!$A$2:$A$977,0)),0)</f>
        <v/>
      </c>
      <c r="L1030" s="6">
        <f>IFERROR(INDEX('02b_DC_Accelerator_Mix'!$I$2:$I$977,MATCH(G1030,'02b_DC_Accelerator_Mix'!$A$2:$A$977,0)),0)</f>
        <v/>
      </c>
      <c r="M1030" s="6">
        <f>IFERROR(INDEX('02b_DC_Accelerator_Mix'!$J$2:$J$977,MATCH(G1030,'02b_DC_Accelerator_Mix'!$A$2:$A$977,0)),0)</f>
        <v/>
      </c>
      <c r="N1030" s="6">
        <f>IFERROR(INDEX('02b_DC_Accelerator_Mix'!$K$2:$K$977,MATCH(G1030,'02b_DC_Accelerator_Mix'!$A$2:$A$977,0)),0)</f>
        <v/>
      </c>
      <c r="O1030" s="6">
        <f>IFERROR(INDEX('02b_DC_Accelerator_Mix'!$L$2:$L$977,MATCH(G1030,'02b_DC_Accelerator_Mix'!$A$2:$A$977,0)),0)</f>
        <v/>
      </c>
      <c r="P1030" s="6">
        <f>IFERROR(INDEX('02b_DC_Accelerator_Mix'!$M$2:$M$977,MATCH(G1030,'02b_DC_Accelerator_Mix'!$A$2:$A$977,0)),0)</f>
        <v/>
      </c>
      <c r="Q1030" s="6">
        <f>IFERROR(INDEX('02b_DC_Accelerator_Mix'!$N$2:$N$977,MATCH(G1030,'02b_DC_Accelerator_Mix'!$A$2:$A$977,0)),0)</f>
        <v/>
      </c>
      <c r="R1030" s="28">
        <f>H1030*I1030</f>
        <v/>
      </c>
      <c r="S1030" s="28">
        <f>H1030*J1030</f>
        <v/>
      </c>
      <c r="T1030" s="28">
        <f>H1030*K1030</f>
        <v/>
      </c>
      <c r="U1030" s="28">
        <f>H1030*L1030</f>
        <v/>
      </c>
      <c r="V1030" s="28">
        <f>H1030*M1030</f>
        <v/>
      </c>
      <c r="W1030" s="28">
        <f>H1030*N1030</f>
        <v/>
      </c>
      <c r="X1030" s="28">
        <f>H1030*O1030</f>
        <v/>
      </c>
      <c r="Y1030" s="28">
        <f>H1030*P1030</f>
        <v/>
      </c>
      <c r="Z1030" s="28">
        <f>H1030*Q1030</f>
        <v/>
      </c>
      <c r="AA1030" s="28">
        <f>SUM(U1030:Z1030)</f>
        <v/>
      </c>
      <c r="AB1030" s="5">
        <f>IF(COUNTIF('02b_DC_Accelerator_Mix'!$A$2:$A$977,G1030)&gt;0,"matched","missing_mix")</f>
        <v/>
      </c>
    </row>
    <row r="1031">
      <c r="A1031" s="5">
        <f>'02a_DC_Capacity_Alloc'!A1031</f>
        <v/>
      </c>
      <c r="B1031" s="5">
        <f>'02a_DC_Capacity_Alloc'!B1031</f>
        <v/>
      </c>
      <c r="C1031" s="5">
        <f>'02a_DC_Capacity_Alloc'!C1031</f>
        <v/>
      </c>
      <c r="D1031" s="5">
        <f>'02a_DC_Capacity_Alloc'!D1031</f>
        <v/>
      </c>
      <c r="E1031" s="5">
        <f>'02a_DC_Capacity_Alloc'!E1031</f>
        <v/>
      </c>
      <c r="F1031" s="5">
        <f>'02a_DC_Capacity_Alloc'!F1031</f>
        <v/>
      </c>
      <c r="G1031" s="5">
        <f>B1031&amp;"|"&amp;E1031&amp;"|"&amp;D1031</f>
        <v/>
      </c>
      <c r="H1031" s="28">
        <f>'02a_DC_Capacity_Alloc'!H1031*'02a_DC_Capacity_Alloc'!I1031*'02a_DC_Capacity_Alloc'!J1031</f>
        <v/>
      </c>
      <c r="I1031" s="6">
        <f>IFERROR(INDEX('02b_DC_Accelerator_Mix'!$F$2:$F$977,MATCH(G1031,'02b_DC_Accelerator_Mix'!$A$2:$A$977,0)),0)</f>
        <v/>
      </c>
      <c r="J1031" s="6">
        <f>IFERROR(INDEX('02b_DC_Accelerator_Mix'!$G$2:$G$977,MATCH(G1031,'02b_DC_Accelerator_Mix'!$A$2:$A$977,0)),0)</f>
        <v/>
      </c>
      <c r="K1031" s="6">
        <f>IFERROR(INDEX('02b_DC_Accelerator_Mix'!$H$2:$H$977,MATCH(G1031,'02b_DC_Accelerator_Mix'!$A$2:$A$977,0)),0)</f>
        <v/>
      </c>
      <c r="L1031" s="6">
        <f>IFERROR(INDEX('02b_DC_Accelerator_Mix'!$I$2:$I$977,MATCH(G1031,'02b_DC_Accelerator_Mix'!$A$2:$A$977,0)),0)</f>
        <v/>
      </c>
      <c r="M1031" s="6">
        <f>IFERROR(INDEX('02b_DC_Accelerator_Mix'!$J$2:$J$977,MATCH(G1031,'02b_DC_Accelerator_Mix'!$A$2:$A$977,0)),0)</f>
        <v/>
      </c>
      <c r="N1031" s="6">
        <f>IFERROR(INDEX('02b_DC_Accelerator_Mix'!$K$2:$K$977,MATCH(G1031,'02b_DC_Accelerator_Mix'!$A$2:$A$977,0)),0)</f>
        <v/>
      </c>
      <c r="O1031" s="6">
        <f>IFERROR(INDEX('02b_DC_Accelerator_Mix'!$L$2:$L$977,MATCH(G1031,'02b_DC_Accelerator_Mix'!$A$2:$A$977,0)),0)</f>
        <v/>
      </c>
      <c r="P1031" s="6">
        <f>IFERROR(INDEX('02b_DC_Accelerator_Mix'!$M$2:$M$977,MATCH(G1031,'02b_DC_Accelerator_Mix'!$A$2:$A$977,0)),0)</f>
        <v/>
      </c>
      <c r="Q1031" s="6">
        <f>IFERROR(INDEX('02b_DC_Accelerator_Mix'!$N$2:$N$977,MATCH(G1031,'02b_DC_Accelerator_Mix'!$A$2:$A$977,0)),0)</f>
        <v/>
      </c>
      <c r="R1031" s="28">
        <f>H1031*I1031</f>
        <v/>
      </c>
      <c r="S1031" s="28">
        <f>H1031*J1031</f>
        <v/>
      </c>
      <c r="T1031" s="28">
        <f>H1031*K1031</f>
        <v/>
      </c>
      <c r="U1031" s="28">
        <f>H1031*L1031</f>
        <v/>
      </c>
      <c r="V1031" s="28">
        <f>H1031*M1031</f>
        <v/>
      </c>
      <c r="W1031" s="28">
        <f>H1031*N1031</f>
        <v/>
      </c>
      <c r="X1031" s="28">
        <f>H1031*O1031</f>
        <v/>
      </c>
      <c r="Y1031" s="28">
        <f>H1031*P1031</f>
        <v/>
      </c>
      <c r="Z1031" s="28">
        <f>H1031*Q1031</f>
        <v/>
      </c>
      <c r="AA1031" s="28">
        <f>SUM(U1031:Z1031)</f>
        <v/>
      </c>
      <c r="AB1031" s="5">
        <f>IF(COUNTIF('02b_DC_Accelerator_Mix'!$A$2:$A$977,G1031)&gt;0,"matched","missing_mix")</f>
        <v/>
      </c>
    </row>
    <row r="1032">
      <c r="A1032" s="5">
        <f>'02a_DC_Capacity_Alloc'!A1032</f>
        <v/>
      </c>
      <c r="B1032" s="5">
        <f>'02a_DC_Capacity_Alloc'!B1032</f>
        <v/>
      </c>
      <c r="C1032" s="5">
        <f>'02a_DC_Capacity_Alloc'!C1032</f>
        <v/>
      </c>
      <c r="D1032" s="5">
        <f>'02a_DC_Capacity_Alloc'!D1032</f>
        <v/>
      </c>
      <c r="E1032" s="5">
        <f>'02a_DC_Capacity_Alloc'!E1032</f>
        <v/>
      </c>
      <c r="F1032" s="5">
        <f>'02a_DC_Capacity_Alloc'!F1032</f>
        <v/>
      </c>
      <c r="G1032" s="5">
        <f>B1032&amp;"|"&amp;E1032&amp;"|"&amp;D1032</f>
        <v/>
      </c>
      <c r="H1032" s="28">
        <f>'02a_DC_Capacity_Alloc'!H1032*'02a_DC_Capacity_Alloc'!I1032*'02a_DC_Capacity_Alloc'!J1032</f>
        <v/>
      </c>
      <c r="I1032" s="6">
        <f>IFERROR(INDEX('02b_DC_Accelerator_Mix'!$F$2:$F$977,MATCH(G1032,'02b_DC_Accelerator_Mix'!$A$2:$A$977,0)),0)</f>
        <v/>
      </c>
      <c r="J1032" s="6">
        <f>IFERROR(INDEX('02b_DC_Accelerator_Mix'!$G$2:$G$977,MATCH(G1032,'02b_DC_Accelerator_Mix'!$A$2:$A$977,0)),0)</f>
        <v/>
      </c>
      <c r="K1032" s="6">
        <f>IFERROR(INDEX('02b_DC_Accelerator_Mix'!$H$2:$H$977,MATCH(G1032,'02b_DC_Accelerator_Mix'!$A$2:$A$977,0)),0)</f>
        <v/>
      </c>
      <c r="L1032" s="6">
        <f>IFERROR(INDEX('02b_DC_Accelerator_Mix'!$I$2:$I$977,MATCH(G1032,'02b_DC_Accelerator_Mix'!$A$2:$A$977,0)),0)</f>
        <v/>
      </c>
      <c r="M1032" s="6">
        <f>IFERROR(INDEX('02b_DC_Accelerator_Mix'!$J$2:$J$977,MATCH(G1032,'02b_DC_Accelerator_Mix'!$A$2:$A$977,0)),0)</f>
        <v/>
      </c>
      <c r="N1032" s="6">
        <f>IFERROR(INDEX('02b_DC_Accelerator_Mix'!$K$2:$K$977,MATCH(G1032,'02b_DC_Accelerator_Mix'!$A$2:$A$977,0)),0)</f>
        <v/>
      </c>
      <c r="O1032" s="6">
        <f>IFERROR(INDEX('02b_DC_Accelerator_Mix'!$L$2:$L$977,MATCH(G1032,'02b_DC_Accelerator_Mix'!$A$2:$A$977,0)),0)</f>
        <v/>
      </c>
      <c r="P1032" s="6">
        <f>IFERROR(INDEX('02b_DC_Accelerator_Mix'!$M$2:$M$977,MATCH(G1032,'02b_DC_Accelerator_Mix'!$A$2:$A$977,0)),0)</f>
        <v/>
      </c>
      <c r="Q1032" s="6">
        <f>IFERROR(INDEX('02b_DC_Accelerator_Mix'!$N$2:$N$977,MATCH(G1032,'02b_DC_Accelerator_Mix'!$A$2:$A$977,0)),0)</f>
        <v/>
      </c>
      <c r="R1032" s="28">
        <f>H1032*I1032</f>
        <v/>
      </c>
      <c r="S1032" s="28">
        <f>H1032*J1032</f>
        <v/>
      </c>
      <c r="T1032" s="28">
        <f>H1032*K1032</f>
        <v/>
      </c>
      <c r="U1032" s="28">
        <f>H1032*L1032</f>
        <v/>
      </c>
      <c r="V1032" s="28">
        <f>H1032*M1032</f>
        <v/>
      </c>
      <c r="W1032" s="28">
        <f>H1032*N1032</f>
        <v/>
      </c>
      <c r="X1032" s="28">
        <f>H1032*O1032</f>
        <v/>
      </c>
      <c r="Y1032" s="28">
        <f>H1032*P1032</f>
        <v/>
      </c>
      <c r="Z1032" s="28">
        <f>H1032*Q1032</f>
        <v/>
      </c>
      <c r="AA1032" s="28">
        <f>SUM(U1032:Z1032)</f>
        <v/>
      </c>
      <c r="AB1032" s="5">
        <f>IF(COUNTIF('02b_DC_Accelerator_Mix'!$A$2:$A$977,G1032)&gt;0,"matched","missing_mix")</f>
        <v/>
      </c>
    </row>
    <row r="1033">
      <c r="A1033" s="5">
        <f>'02a_DC_Capacity_Alloc'!A1033</f>
        <v/>
      </c>
      <c r="B1033" s="5">
        <f>'02a_DC_Capacity_Alloc'!B1033</f>
        <v/>
      </c>
      <c r="C1033" s="5">
        <f>'02a_DC_Capacity_Alloc'!C1033</f>
        <v/>
      </c>
      <c r="D1033" s="5">
        <f>'02a_DC_Capacity_Alloc'!D1033</f>
        <v/>
      </c>
      <c r="E1033" s="5">
        <f>'02a_DC_Capacity_Alloc'!E1033</f>
        <v/>
      </c>
      <c r="F1033" s="5">
        <f>'02a_DC_Capacity_Alloc'!F1033</f>
        <v/>
      </c>
      <c r="G1033" s="5">
        <f>B1033&amp;"|"&amp;E1033&amp;"|"&amp;D1033</f>
        <v/>
      </c>
      <c r="H1033" s="28">
        <f>'02a_DC_Capacity_Alloc'!H1033*'02a_DC_Capacity_Alloc'!I1033*'02a_DC_Capacity_Alloc'!J1033</f>
        <v/>
      </c>
      <c r="I1033" s="6">
        <f>IFERROR(INDEX('02b_DC_Accelerator_Mix'!$F$2:$F$977,MATCH(G1033,'02b_DC_Accelerator_Mix'!$A$2:$A$977,0)),0)</f>
        <v/>
      </c>
      <c r="J1033" s="6">
        <f>IFERROR(INDEX('02b_DC_Accelerator_Mix'!$G$2:$G$977,MATCH(G1033,'02b_DC_Accelerator_Mix'!$A$2:$A$977,0)),0)</f>
        <v/>
      </c>
      <c r="K1033" s="6">
        <f>IFERROR(INDEX('02b_DC_Accelerator_Mix'!$H$2:$H$977,MATCH(G1033,'02b_DC_Accelerator_Mix'!$A$2:$A$977,0)),0)</f>
        <v/>
      </c>
      <c r="L1033" s="6">
        <f>IFERROR(INDEX('02b_DC_Accelerator_Mix'!$I$2:$I$977,MATCH(G1033,'02b_DC_Accelerator_Mix'!$A$2:$A$977,0)),0)</f>
        <v/>
      </c>
      <c r="M1033" s="6">
        <f>IFERROR(INDEX('02b_DC_Accelerator_Mix'!$J$2:$J$977,MATCH(G1033,'02b_DC_Accelerator_Mix'!$A$2:$A$977,0)),0)</f>
        <v/>
      </c>
      <c r="N1033" s="6">
        <f>IFERROR(INDEX('02b_DC_Accelerator_Mix'!$K$2:$K$977,MATCH(G1033,'02b_DC_Accelerator_Mix'!$A$2:$A$977,0)),0)</f>
        <v/>
      </c>
      <c r="O1033" s="6">
        <f>IFERROR(INDEX('02b_DC_Accelerator_Mix'!$L$2:$L$977,MATCH(G1033,'02b_DC_Accelerator_Mix'!$A$2:$A$977,0)),0)</f>
        <v/>
      </c>
      <c r="P1033" s="6">
        <f>IFERROR(INDEX('02b_DC_Accelerator_Mix'!$M$2:$M$977,MATCH(G1033,'02b_DC_Accelerator_Mix'!$A$2:$A$977,0)),0)</f>
        <v/>
      </c>
      <c r="Q1033" s="6">
        <f>IFERROR(INDEX('02b_DC_Accelerator_Mix'!$N$2:$N$977,MATCH(G1033,'02b_DC_Accelerator_Mix'!$A$2:$A$977,0)),0)</f>
        <v/>
      </c>
      <c r="R1033" s="28">
        <f>H1033*I1033</f>
        <v/>
      </c>
      <c r="S1033" s="28">
        <f>H1033*J1033</f>
        <v/>
      </c>
      <c r="T1033" s="28">
        <f>H1033*K1033</f>
        <v/>
      </c>
      <c r="U1033" s="28">
        <f>H1033*L1033</f>
        <v/>
      </c>
      <c r="V1033" s="28">
        <f>H1033*M1033</f>
        <v/>
      </c>
      <c r="W1033" s="28">
        <f>H1033*N1033</f>
        <v/>
      </c>
      <c r="X1033" s="28">
        <f>H1033*O1033</f>
        <v/>
      </c>
      <c r="Y1033" s="28">
        <f>H1033*P1033</f>
        <v/>
      </c>
      <c r="Z1033" s="28">
        <f>H1033*Q1033</f>
        <v/>
      </c>
      <c r="AA1033" s="28">
        <f>SUM(U1033:Z1033)</f>
        <v/>
      </c>
      <c r="AB1033" s="5">
        <f>IF(COUNTIF('02b_DC_Accelerator_Mix'!$A$2:$A$977,G1033)&gt;0,"matched","missing_mix")</f>
        <v/>
      </c>
    </row>
    <row r="1034">
      <c r="A1034" s="5">
        <f>'02a_DC_Capacity_Alloc'!A1034</f>
        <v/>
      </c>
      <c r="B1034" s="5">
        <f>'02a_DC_Capacity_Alloc'!B1034</f>
        <v/>
      </c>
      <c r="C1034" s="5">
        <f>'02a_DC_Capacity_Alloc'!C1034</f>
        <v/>
      </c>
      <c r="D1034" s="5">
        <f>'02a_DC_Capacity_Alloc'!D1034</f>
        <v/>
      </c>
      <c r="E1034" s="5">
        <f>'02a_DC_Capacity_Alloc'!E1034</f>
        <v/>
      </c>
      <c r="F1034" s="5">
        <f>'02a_DC_Capacity_Alloc'!F1034</f>
        <v/>
      </c>
      <c r="G1034" s="5">
        <f>B1034&amp;"|"&amp;E1034&amp;"|"&amp;D1034</f>
        <v/>
      </c>
      <c r="H1034" s="28">
        <f>'02a_DC_Capacity_Alloc'!H1034*'02a_DC_Capacity_Alloc'!I1034*'02a_DC_Capacity_Alloc'!J1034</f>
        <v/>
      </c>
      <c r="I1034" s="6">
        <f>IFERROR(INDEX('02b_DC_Accelerator_Mix'!$F$2:$F$977,MATCH(G1034,'02b_DC_Accelerator_Mix'!$A$2:$A$977,0)),0)</f>
        <v/>
      </c>
      <c r="J1034" s="6">
        <f>IFERROR(INDEX('02b_DC_Accelerator_Mix'!$G$2:$G$977,MATCH(G1034,'02b_DC_Accelerator_Mix'!$A$2:$A$977,0)),0)</f>
        <v/>
      </c>
      <c r="K1034" s="6">
        <f>IFERROR(INDEX('02b_DC_Accelerator_Mix'!$H$2:$H$977,MATCH(G1034,'02b_DC_Accelerator_Mix'!$A$2:$A$977,0)),0)</f>
        <v/>
      </c>
      <c r="L1034" s="6">
        <f>IFERROR(INDEX('02b_DC_Accelerator_Mix'!$I$2:$I$977,MATCH(G1034,'02b_DC_Accelerator_Mix'!$A$2:$A$977,0)),0)</f>
        <v/>
      </c>
      <c r="M1034" s="6">
        <f>IFERROR(INDEX('02b_DC_Accelerator_Mix'!$J$2:$J$977,MATCH(G1034,'02b_DC_Accelerator_Mix'!$A$2:$A$977,0)),0)</f>
        <v/>
      </c>
      <c r="N1034" s="6">
        <f>IFERROR(INDEX('02b_DC_Accelerator_Mix'!$K$2:$K$977,MATCH(G1034,'02b_DC_Accelerator_Mix'!$A$2:$A$977,0)),0)</f>
        <v/>
      </c>
      <c r="O1034" s="6">
        <f>IFERROR(INDEX('02b_DC_Accelerator_Mix'!$L$2:$L$977,MATCH(G1034,'02b_DC_Accelerator_Mix'!$A$2:$A$977,0)),0)</f>
        <v/>
      </c>
      <c r="P1034" s="6">
        <f>IFERROR(INDEX('02b_DC_Accelerator_Mix'!$M$2:$M$977,MATCH(G1034,'02b_DC_Accelerator_Mix'!$A$2:$A$977,0)),0)</f>
        <v/>
      </c>
      <c r="Q1034" s="6">
        <f>IFERROR(INDEX('02b_DC_Accelerator_Mix'!$N$2:$N$977,MATCH(G1034,'02b_DC_Accelerator_Mix'!$A$2:$A$977,0)),0)</f>
        <v/>
      </c>
      <c r="R1034" s="28">
        <f>H1034*I1034</f>
        <v/>
      </c>
      <c r="S1034" s="28">
        <f>H1034*J1034</f>
        <v/>
      </c>
      <c r="T1034" s="28">
        <f>H1034*K1034</f>
        <v/>
      </c>
      <c r="U1034" s="28">
        <f>H1034*L1034</f>
        <v/>
      </c>
      <c r="V1034" s="28">
        <f>H1034*M1034</f>
        <v/>
      </c>
      <c r="W1034" s="28">
        <f>H1034*N1034</f>
        <v/>
      </c>
      <c r="X1034" s="28">
        <f>H1034*O1034</f>
        <v/>
      </c>
      <c r="Y1034" s="28">
        <f>H1034*P1034</f>
        <v/>
      </c>
      <c r="Z1034" s="28">
        <f>H1034*Q1034</f>
        <v/>
      </c>
      <c r="AA1034" s="28">
        <f>SUM(U1034:Z1034)</f>
        <v/>
      </c>
      <c r="AB1034" s="5">
        <f>IF(COUNTIF('02b_DC_Accelerator_Mix'!$A$2:$A$977,G1034)&gt;0,"matched","missing_mix")</f>
        <v/>
      </c>
    </row>
    <row r="1035">
      <c r="A1035" s="5">
        <f>'02a_DC_Capacity_Alloc'!A1035</f>
        <v/>
      </c>
      <c r="B1035" s="5">
        <f>'02a_DC_Capacity_Alloc'!B1035</f>
        <v/>
      </c>
      <c r="C1035" s="5">
        <f>'02a_DC_Capacity_Alloc'!C1035</f>
        <v/>
      </c>
      <c r="D1035" s="5">
        <f>'02a_DC_Capacity_Alloc'!D1035</f>
        <v/>
      </c>
      <c r="E1035" s="5">
        <f>'02a_DC_Capacity_Alloc'!E1035</f>
        <v/>
      </c>
      <c r="F1035" s="5">
        <f>'02a_DC_Capacity_Alloc'!F1035</f>
        <v/>
      </c>
      <c r="G1035" s="5">
        <f>B1035&amp;"|"&amp;E1035&amp;"|"&amp;D1035</f>
        <v/>
      </c>
      <c r="H1035" s="28">
        <f>'02a_DC_Capacity_Alloc'!H1035*'02a_DC_Capacity_Alloc'!I1035*'02a_DC_Capacity_Alloc'!J1035</f>
        <v/>
      </c>
      <c r="I1035" s="6">
        <f>IFERROR(INDEX('02b_DC_Accelerator_Mix'!$F$2:$F$977,MATCH(G1035,'02b_DC_Accelerator_Mix'!$A$2:$A$977,0)),0)</f>
        <v/>
      </c>
      <c r="J1035" s="6">
        <f>IFERROR(INDEX('02b_DC_Accelerator_Mix'!$G$2:$G$977,MATCH(G1035,'02b_DC_Accelerator_Mix'!$A$2:$A$977,0)),0)</f>
        <v/>
      </c>
      <c r="K1035" s="6">
        <f>IFERROR(INDEX('02b_DC_Accelerator_Mix'!$H$2:$H$977,MATCH(G1035,'02b_DC_Accelerator_Mix'!$A$2:$A$977,0)),0)</f>
        <v/>
      </c>
      <c r="L1035" s="6">
        <f>IFERROR(INDEX('02b_DC_Accelerator_Mix'!$I$2:$I$977,MATCH(G1035,'02b_DC_Accelerator_Mix'!$A$2:$A$977,0)),0)</f>
        <v/>
      </c>
      <c r="M1035" s="6">
        <f>IFERROR(INDEX('02b_DC_Accelerator_Mix'!$J$2:$J$977,MATCH(G1035,'02b_DC_Accelerator_Mix'!$A$2:$A$977,0)),0)</f>
        <v/>
      </c>
      <c r="N1035" s="6">
        <f>IFERROR(INDEX('02b_DC_Accelerator_Mix'!$K$2:$K$977,MATCH(G1035,'02b_DC_Accelerator_Mix'!$A$2:$A$977,0)),0)</f>
        <v/>
      </c>
      <c r="O1035" s="6">
        <f>IFERROR(INDEX('02b_DC_Accelerator_Mix'!$L$2:$L$977,MATCH(G1035,'02b_DC_Accelerator_Mix'!$A$2:$A$977,0)),0)</f>
        <v/>
      </c>
      <c r="P1035" s="6">
        <f>IFERROR(INDEX('02b_DC_Accelerator_Mix'!$M$2:$M$977,MATCH(G1035,'02b_DC_Accelerator_Mix'!$A$2:$A$977,0)),0)</f>
        <v/>
      </c>
      <c r="Q1035" s="6">
        <f>IFERROR(INDEX('02b_DC_Accelerator_Mix'!$N$2:$N$977,MATCH(G1035,'02b_DC_Accelerator_Mix'!$A$2:$A$977,0)),0)</f>
        <v/>
      </c>
      <c r="R1035" s="28">
        <f>H1035*I1035</f>
        <v/>
      </c>
      <c r="S1035" s="28">
        <f>H1035*J1035</f>
        <v/>
      </c>
      <c r="T1035" s="28">
        <f>H1035*K1035</f>
        <v/>
      </c>
      <c r="U1035" s="28">
        <f>H1035*L1035</f>
        <v/>
      </c>
      <c r="V1035" s="28">
        <f>H1035*M1035</f>
        <v/>
      </c>
      <c r="W1035" s="28">
        <f>H1035*N1035</f>
        <v/>
      </c>
      <c r="X1035" s="28">
        <f>H1035*O1035</f>
        <v/>
      </c>
      <c r="Y1035" s="28">
        <f>H1035*P1035</f>
        <v/>
      </c>
      <c r="Z1035" s="28">
        <f>H1035*Q1035</f>
        <v/>
      </c>
      <c r="AA1035" s="28">
        <f>SUM(U1035:Z1035)</f>
        <v/>
      </c>
      <c r="AB1035" s="5">
        <f>IF(COUNTIF('02b_DC_Accelerator_Mix'!$A$2:$A$977,G1035)&gt;0,"matched","missing_mix")</f>
        <v/>
      </c>
    </row>
    <row r="1036">
      <c r="A1036" s="5">
        <f>'02a_DC_Capacity_Alloc'!A1036</f>
        <v/>
      </c>
      <c r="B1036" s="5">
        <f>'02a_DC_Capacity_Alloc'!B1036</f>
        <v/>
      </c>
      <c r="C1036" s="5">
        <f>'02a_DC_Capacity_Alloc'!C1036</f>
        <v/>
      </c>
      <c r="D1036" s="5">
        <f>'02a_DC_Capacity_Alloc'!D1036</f>
        <v/>
      </c>
      <c r="E1036" s="5">
        <f>'02a_DC_Capacity_Alloc'!E1036</f>
        <v/>
      </c>
      <c r="F1036" s="5">
        <f>'02a_DC_Capacity_Alloc'!F1036</f>
        <v/>
      </c>
      <c r="G1036" s="5">
        <f>B1036&amp;"|"&amp;E1036&amp;"|"&amp;D1036</f>
        <v/>
      </c>
      <c r="H1036" s="28">
        <f>'02a_DC_Capacity_Alloc'!H1036*'02a_DC_Capacity_Alloc'!I1036*'02a_DC_Capacity_Alloc'!J1036</f>
        <v/>
      </c>
      <c r="I1036" s="6">
        <f>IFERROR(INDEX('02b_DC_Accelerator_Mix'!$F$2:$F$977,MATCH(G1036,'02b_DC_Accelerator_Mix'!$A$2:$A$977,0)),0)</f>
        <v/>
      </c>
      <c r="J1036" s="6">
        <f>IFERROR(INDEX('02b_DC_Accelerator_Mix'!$G$2:$G$977,MATCH(G1036,'02b_DC_Accelerator_Mix'!$A$2:$A$977,0)),0)</f>
        <v/>
      </c>
      <c r="K1036" s="6">
        <f>IFERROR(INDEX('02b_DC_Accelerator_Mix'!$H$2:$H$977,MATCH(G1036,'02b_DC_Accelerator_Mix'!$A$2:$A$977,0)),0)</f>
        <v/>
      </c>
      <c r="L1036" s="6">
        <f>IFERROR(INDEX('02b_DC_Accelerator_Mix'!$I$2:$I$977,MATCH(G1036,'02b_DC_Accelerator_Mix'!$A$2:$A$977,0)),0)</f>
        <v/>
      </c>
      <c r="M1036" s="6">
        <f>IFERROR(INDEX('02b_DC_Accelerator_Mix'!$J$2:$J$977,MATCH(G1036,'02b_DC_Accelerator_Mix'!$A$2:$A$977,0)),0)</f>
        <v/>
      </c>
      <c r="N1036" s="6">
        <f>IFERROR(INDEX('02b_DC_Accelerator_Mix'!$K$2:$K$977,MATCH(G1036,'02b_DC_Accelerator_Mix'!$A$2:$A$977,0)),0)</f>
        <v/>
      </c>
      <c r="O1036" s="6">
        <f>IFERROR(INDEX('02b_DC_Accelerator_Mix'!$L$2:$L$977,MATCH(G1036,'02b_DC_Accelerator_Mix'!$A$2:$A$977,0)),0)</f>
        <v/>
      </c>
      <c r="P1036" s="6">
        <f>IFERROR(INDEX('02b_DC_Accelerator_Mix'!$M$2:$M$977,MATCH(G1036,'02b_DC_Accelerator_Mix'!$A$2:$A$977,0)),0)</f>
        <v/>
      </c>
      <c r="Q1036" s="6">
        <f>IFERROR(INDEX('02b_DC_Accelerator_Mix'!$N$2:$N$977,MATCH(G1036,'02b_DC_Accelerator_Mix'!$A$2:$A$977,0)),0)</f>
        <v/>
      </c>
      <c r="R1036" s="28">
        <f>H1036*I1036</f>
        <v/>
      </c>
      <c r="S1036" s="28">
        <f>H1036*J1036</f>
        <v/>
      </c>
      <c r="T1036" s="28">
        <f>H1036*K1036</f>
        <v/>
      </c>
      <c r="U1036" s="28">
        <f>H1036*L1036</f>
        <v/>
      </c>
      <c r="V1036" s="28">
        <f>H1036*M1036</f>
        <v/>
      </c>
      <c r="W1036" s="28">
        <f>H1036*N1036</f>
        <v/>
      </c>
      <c r="X1036" s="28">
        <f>H1036*O1036</f>
        <v/>
      </c>
      <c r="Y1036" s="28">
        <f>H1036*P1036</f>
        <v/>
      </c>
      <c r="Z1036" s="28">
        <f>H1036*Q1036</f>
        <v/>
      </c>
      <c r="AA1036" s="28">
        <f>SUM(U1036:Z1036)</f>
        <v/>
      </c>
      <c r="AB1036" s="5">
        <f>IF(COUNTIF('02b_DC_Accelerator_Mix'!$A$2:$A$977,G1036)&gt;0,"matched","missing_mix")</f>
        <v/>
      </c>
    </row>
    <row r="1037">
      <c r="A1037" s="5">
        <f>'02a_DC_Capacity_Alloc'!A1037</f>
        <v/>
      </c>
      <c r="B1037" s="5">
        <f>'02a_DC_Capacity_Alloc'!B1037</f>
        <v/>
      </c>
      <c r="C1037" s="5">
        <f>'02a_DC_Capacity_Alloc'!C1037</f>
        <v/>
      </c>
      <c r="D1037" s="5">
        <f>'02a_DC_Capacity_Alloc'!D1037</f>
        <v/>
      </c>
      <c r="E1037" s="5">
        <f>'02a_DC_Capacity_Alloc'!E1037</f>
        <v/>
      </c>
      <c r="F1037" s="5">
        <f>'02a_DC_Capacity_Alloc'!F1037</f>
        <v/>
      </c>
      <c r="G1037" s="5">
        <f>B1037&amp;"|"&amp;E1037&amp;"|"&amp;D1037</f>
        <v/>
      </c>
      <c r="H1037" s="28">
        <f>'02a_DC_Capacity_Alloc'!H1037*'02a_DC_Capacity_Alloc'!I1037*'02a_DC_Capacity_Alloc'!J1037</f>
        <v/>
      </c>
      <c r="I1037" s="6">
        <f>IFERROR(INDEX('02b_DC_Accelerator_Mix'!$F$2:$F$977,MATCH(G1037,'02b_DC_Accelerator_Mix'!$A$2:$A$977,0)),0)</f>
        <v/>
      </c>
      <c r="J1037" s="6">
        <f>IFERROR(INDEX('02b_DC_Accelerator_Mix'!$G$2:$G$977,MATCH(G1037,'02b_DC_Accelerator_Mix'!$A$2:$A$977,0)),0)</f>
        <v/>
      </c>
      <c r="K1037" s="6">
        <f>IFERROR(INDEX('02b_DC_Accelerator_Mix'!$H$2:$H$977,MATCH(G1037,'02b_DC_Accelerator_Mix'!$A$2:$A$977,0)),0)</f>
        <v/>
      </c>
      <c r="L1037" s="6">
        <f>IFERROR(INDEX('02b_DC_Accelerator_Mix'!$I$2:$I$977,MATCH(G1037,'02b_DC_Accelerator_Mix'!$A$2:$A$977,0)),0)</f>
        <v/>
      </c>
      <c r="M1037" s="6">
        <f>IFERROR(INDEX('02b_DC_Accelerator_Mix'!$J$2:$J$977,MATCH(G1037,'02b_DC_Accelerator_Mix'!$A$2:$A$977,0)),0)</f>
        <v/>
      </c>
      <c r="N1037" s="6">
        <f>IFERROR(INDEX('02b_DC_Accelerator_Mix'!$K$2:$K$977,MATCH(G1037,'02b_DC_Accelerator_Mix'!$A$2:$A$977,0)),0)</f>
        <v/>
      </c>
      <c r="O1037" s="6">
        <f>IFERROR(INDEX('02b_DC_Accelerator_Mix'!$L$2:$L$977,MATCH(G1037,'02b_DC_Accelerator_Mix'!$A$2:$A$977,0)),0)</f>
        <v/>
      </c>
      <c r="P1037" s="6">
        <f>IFERROR(INDEX('02b_DC_Accelerator_Mix'!$M$2:$M$977,MATCH(G1037,'02b_DC_Accelerator_Mix'!$A$2:$A$977,0)),0)</f>
        <v/>
      </c>
      <c r="Q1037" s="6">
        <f>IFERROR(INDEX('02b_DC_Accelerator_Mix'!$N$2:$N$977,MATCH(G1037,'02b_DC_Accelerator_Mix'!$A$2:$A$977,0)),0)</f>
        <v/>
      </c>
      <c r="R1037" s="28">
        <f>H1037*I1037</f>
        <v/>
      </c>
      <c r="S1037" s="28">
        <f>H1037*J1037</f>
        <v/>
      </c>
      <c r="T1037" s="28">
        <f>H1037*K1037</f>
        <v/>
      </c>
      <c r="U1037" s="28">
        <f>H1037*L1037</f>
        <v/>
      </c>
      <c r="V1037" s="28">
        <f>H1037*M1037</f>
        <v/>
      </c>
      <c r="W1037" s="28">
        <f>H1037*N1037</f>
        <v/>
      </c>
      <c r="X1037" s="28">
        <f>H1037*O1037</f>
        <v/>
      </c>
      <c r="Y1037" s="28">
        <f>H1037*P1037</f>
        <v/>
      </c>
      <c r="Z1037" s="28">
        <f>H1037*Q1037</f>
        <v/>
      </c>
      <c r="AA1037" s="28">
        <f>SUM(U1037:Z1037)</f>
        <v/>
      </c>
      <c r="AB1037" s="5">
        <f>IF(COUNTIF('02b_DC_Accelerator_Mix'!$A$2:$A$977,G1037)&gt;0,"matched","missing_mix")</f>
        <v/>
      </c>
    </row>
    <row r="1038">
      <c r="A1038" s="5">
        <f>'02a_DC_Capacity_Alloc'!A1038</f>
        <v/>
      </c>
      <c r="B1038" s="5">
        <f>'02a_DC_Capacity_Alloc'!B1038</f>
        <v/>
      </c>
      <c r="C1038" s="5">
        <f>'02a_DC_Capacity_Alloc'!C1038</f>
        <v/>
      </c>
      <c r="D1038" s="5">
        <f>'02a_DC_Capacity_Alloc'!D1038</f>
        <v/>
      </c>
      <c r="E1038" s="5">
        <f>'02a_DC_Capacity_Alloc'!E1038</f>
        <v/>
      </c>
      <c r="F1038" s="5">
        <f>'02a_DC_Capacity_Alloc'!F1038</f>
        <v/>
      </c>
      <c r="G1038" s="5">
        <f>B1038&amp;"|"&amp;E1038&amp;"|"&amp;D1038</f>
        <v/>
      </c>
      <c r="H1038" s="28">
        <f>'02a_DC_Capacity_Alloc'!H1038*'02a_DC_Capacity_Alloc'!I1038*'02a_DC_Capacity_Alloc'!J1038</f>
        <v/>
      </c>
      <c r="I1038" s="6">
        <f>IFERROR(INDEX('02b_DC_Accelerator_Mix'!$F$2:$F$977,MATCH(G1038,'02b_DC_Accelerator_Mix'!$A$2:$A$977,0)),0)</f>
        <v/>
      </c>
      <c r="J1038" s="6">
        <f>IFERROR(INDEX('02b_DC_Accelerator_Mix'!$G$2:$G$977,MATCH(G1038,'02b_DC_Accelerator_Mix'!$A$2:$A$977,0)),0)</f>
        <v/>
      </c>
      <c r="K1038" s="6">
        <f>IFERROR(INDEX('02b_DC_Accelerator_Mix'!$H$2:$H$977,MATCH(G1038,'02b_DC_Accelerator_Mix'!$A$2:$A$977,0)),0)</f>
        <v/>
      </c>
      <c r="L1038" s="6">
        <f>IFERROR(INDEX('02b_DC_Accelerator_Mix'!$I$2:$I$977,MATCH(G1038,'02b_DC_Accelerator_Mix'!$A$2:$A$977,0)),0)</f>
        <v/>
      </c>
      <c r="M1038" s="6">
        <f>IFERROR(INDEX('02b_DC_Accelerator_Mix'!$J$2:$J$977,MATCH(G1038,'02b_DC_Accelerator_Mix'!$A$2:$A$977,0)),0)</f>
        <v/>
      </c>
      <c r="N1038" s="6">
        <f>IFERROR(INDEX('02b_DC_Accelerator_Mix'!$K$2:$K$977,MATCH(G1038,'02b_DC_Accelerator_Mix'!$A$2:$A$977,0)),0)</f>
        <v/>
      </c>
      <c r="O1038" s="6">
        <f>IFERROR(INDEX('02b_DC_Accelerator_Mix'!$L$2:$L$977,MATCH(G1038,'02b_DC_Accelerator_Mix'!$A$2:$A$977,0)),0)</f>
        <v/>
      </c>
      <c r="P1038" s="6">
        <f>IFERROR(INDEX('02b_DC_Accelerator_Mix'!$M$2:$M$977,MATCH(G1038,'02b_DC_Accelerator_Mix'!$A$2:$A$977,0)),0)</f>
        <v/>
      </c>
      <c r="Q1038" s="6">
        <f>IFERROR(INDEX('02b_DC_Accelerator_Mix'!$N$2:$N$977,MATCH(G1038,'02b_DC_Accelerator_Mix'!$A$2:$A$977,0)),0)</f>
        <v/>
      </c>
      <c r="R1038" s="28">
        <f>H1038*I1038</f>
        <v/>
      </c>
      <c r="S1038" s="28">
        <f>H1038*J1038</f>
        <v/>
      </c>
      <c r="T1038" s="28">
        <f>H1038*K1038</f>
        <v/>
      </c>
      <c r="U1038" s="28">
        <f>H1038*L1038</f>
        <v/>
      </c>
      <c r="V1038" s="28">
        <f>H1038*M1038</f>
        <v/>
      </c>
      <c r="W1038" s="28">
        <f>H1038*N1038</f>
        <v/>
      </c>
      <c r="X1038" s="28">
        <f>H1038*O1038</f>
        <v/>
      </c>
      <c r="Y1038" s="28">
        <f>H1038*P1038</f>
        <v/>
      </c>
      <c r="Z1038" s="28">
        <f>H1038*Q1038</f>
        <v/>
      </c>
      <c r="AA1038" s="28">
        <f>SUM(U1038:Z1038)</f>
        <v/>
      </c>
      <c r="AB1038" s="5">
        <f>IF(COUNTIF('02b_DC_Accelerator_Mix'!$A$2:$A$977,G1038)&gt;0,"matched","missing_mix")</f>
        <v/>
      </c>
    </row>
    <row r="1039">
      <c r="A1039" s="5">
        <f>'02a_DC_Capacity_Alloc'!A1039</f>
        <v/>
      </c>
      <c r="B1039" s="5">
        <f>'02a_DC_Capacity_Alloc'!B1039</f>
        <v/>
      </c>
      <c r="C1039" s="5">
        <f>'02a_DC_Capacity_Alloc'!C1039</f>
        <v/>
      </c>
      <c r="D1039" s="5">
        <f>'02a_DC_Capacity_Alloc'!D1039</f>
        <v/>
      </c>
      <c r="E1039" s="5">
        <f>'02a_DC_Capacity_Alloc'!E1039</f>
        <v/>
      </c>
      <c r="F1039" s="5">
        <f>'02a_DC_Capacity_Alloc'!F1039</f>
        <v/>
      </c>
      <c r="G1039" s="5">
        <f>B1039&amp;"|"&amp;E1039&amp;"|"&amp;D1039</f>
        <v/>
      </c>
      <c r="H1039" s="28">
        <f>'02a_DC_Capacity_Alloc'!H1039*'02a_DC_Capacity_Alloc'!I1039*'02a_DC_Capacity_Alloc'!J1039</f>
        <v/>
      </c>
      <c r="I1039" s="6">
        <f>IFERROR(INDEX('02b_DC_Accelerator_Mix'!$F$2:$F$977,MATCH(G1039,'02b_DC_Accelerator_Mix'!$A$2:$A$977,0)),0)</f>
        <v/>
      </c>
      <c r="J1039" s="6">
        <f>IFERROR(INDEX('02b_DC_Accelerator_Mix'!$G$2:$G$977,MATCH(G1039,'02b_DC_Accelerator_Mix'!$A$2:$A$977,0)),0)</f>
        <v/>
      </c>
      <c r="K1039" s="6">
        <f>IFERROR(INDEX('02b_DC_Accelerator_Mix'!$H$2:$H$977,MATCH(G1039,'02b_DC_Accelerator_Mix'!$A$2:$A$977,0)),0)</f>
        <v/>
      </c>
      <c r="L1039" s="6">
        <f>IFERROR(INDEX('02b_DC_Accelerator_Mix'!$I$2:$I$977,MATCH(G1039,'02b_DC_Accelerator_Mix'!$A$2:$A$977,0)),0)</f>
        <v/>
      </c>
      <c r="M1039" s="6">
        <f>IFERROR(INDEX('02b_DC_Accelerator_Mix'!$J$2:$J$977,MATCH(G1039,'02b_DC_Accelerator_Mix'!$A$2:$A$977,0)),0)</f>
        <v/>
      </c>
      <c r="N1039" s="6">
        <f>IFERROR(INDEX('02b_DC_Accelerator_Mix'!$K$2:$K$977,MATCH(G1039,'02b_DC_Accelerator_Mix'!$A$2:$A$977,0)),0)</f>
        <v/>
      </c>
      <c r="O1039" s="6">
        <f>IFERROR(INDEX('02b_DC_Accelerator_Mix'!$L$2:$L$977,MATCH(G1039,'02b_DC_Accelerator_Mix'!$A$2:$A$977,0)),0)</f>
        <v/>
      </c>
      <c r="P1039" s="6">
        <f>IFERROR(INDEX('02b_DC_Accelerator_Mix'!$M$2:$M$977,MATCH(G1039,'02b_DC_Accelerator_Mix'!$A$2:$A$977,0)),0)</f>
        <v/>
      </c>
      <c r="Q1039" s="6">
        <f>IFERROR(INDEX('02b_DC_Accelerator_Mix'!$N$2:$N$977,MATCH(G1039,'02b_DC_Accelerator_Mix'!$A$2:$A$977,0)),0)</f>
        <v/>
      </c>
      <c r="R1039" s="28">
        <f>H1039*I1039</f>
        <v/>
      </c>
      <c r="S1039" s="28">
        <f>H1039*J1039</f>
        <v/>
      </c>
      <c r="T1039" s="28">
        <f>H1039*K1039</f>
        <v/>
      </c>
      <c r="U1039" s="28">
        <f>H1039*L1039</f>
        <v/>
      </c>
      <c r="V1039" s="28">
        <f>H1039*M1039</f>
        <v/>
      </c>
      <c r="W1039" s="28">
        <f>H1039*N1039</f>
        <v/>
      </c>
      <c r="X1039" s="28">
        <f>H1039*O1039</f>
        <v/>
      </c>
      <c r="Y1039" s="28">
        <f>H1039*P1039</f>
        <v/>
      </c>
      <c r="Z1039" s="28">
        <f>H1039*Q1039</f>
        <v/>
      </c>
      <c r="AA1039" s="28">
        <f>SUM(U1039:Z1039)</f>
        <v/>
      </c>
      <c r="AB1039" s="5">
        <f>IF(COUNTIF('02b_DC_Accelerator_Mix'!$A$2:$A$977,G1039)&gt;0,"matched","missing_mix")</f>
        <v/>
      </c>
    </row>
    <row r="1040">
      <c r="A1040" s="5">
        <f>'02a_DC_Capacity_Alloc'!A1040</f>
        <v/>
      </c>
      <c r="B1040" s="5">
        <f>'02a_DC_Capacity_Alloc'!B1040</f>
        <v/>
      </c>
      <c r="C1040" s="5">
        <f>'02a_DC_Capacity_Alloc'!C1040</f>
        <v/>
      </c>
      <c r="D1040" s="5">
        <f>'02a_DC_Capacity_Alloc'!D1040</f>
        <v/>
      </c>
      <c r="E1040" s="5">
        <f>'02a_DC_Capacity_Alloc'!E1040</f>
        <v/>
      </c>
      <c r="F1040" s="5">
        <f>'02a_DC_Capacity_Alloc'!F1040</f>
        <v/>
      </c>
      <c r="G1040" s="5">
        <f>B1040&amp;"|"&amp;E1040&amp;"|"&amp;D1040</f>
        <v/>
      </c>
      <c r="H1040" s="28">
        <f>'02a_DC_Capacity_Alloc'!H1040*'02a_DC_Capacity_Alloc'!I1040*'02a_DC_Capacity_Alloc'!J1040</f>
        <v/>
      </c>
      <c r="I1040" s="6">
        <f>IFERROR(INDEX('02b_DC_Accelerator_Mix'!$F$2:$F$977,MATCH(G1040,'02b_DC_Accelerator_Mix'!$A$2:$A$977,0)),0)</f>
        <v/>
      </c>
      <c r="J1040" s="6">
        <f>IFERROR(INDEX('02b_DC_Accelerator_Mix'!$G$2:$G$977,MATCH(G1040,'02b_DC_Accelerator_Mix'!$A$2:$A$977,0)),0)</f>
        <v/>
      </c>
      <c r="K1040" s="6">
        <f>IFERROR(INDEX('02b_DC_Accelerator_Mix'!$H$2:$H$977,MATCH(G1040,'02b_DC_Accelerator_Mix'!$A$2:$A$977,0)),0)</f>
        <v/>
      </c>
      <c r="L1040" s="6">
        <f>IFERROR(INDEX('02b_DC_Accelerator_Mix'!$I$2:$I$977,MATCH(G1040,'02b_DC_Accelerator_Mix'!$A$2:$A$977,0)),0)</f>
        <v/>
      </c>
      <c r="M1040" s="6">
        <f>IFERROR(INDEX('02b_DC_Accelerator_Mix'!$J$2:$J$977,MATCH(G1040,'02b_DC_Accelerator_Mix'!$A$2:$A$977,0)),0)</f>
        <v/>
      </c>
      <c r="N1040" s="6">
        <f>IFERROR(INDEX('02b_DC_Accelerator_Mix'!$K$2:$K$977,MATCH(G1040,'02b_DC_Accelerator_Mix'!$A$2:$A$977,0)),0)</f>
        <v/>
      </c>
      <c r="O1040" s="6">
        <f>IFERROR(INDEX('02b_DC_Accelerator_Mix'!$L$2:$L$977,MATCH(G1040,'02b_DC_Accelerator_Mix'!$A$2:$A$977,0)),0)</f>
        <v/>
      </c>
      <c r="P1040" s="6">
        <f>IFERROR(INDEX('02b_DC_Accelerator_Mix'!$M$2:$M$977,MATCH(G1040,'02b_DC_Accelerator_Mix'!$A$2:$A$977,0)),0)</f>
        <v/>
      </c>
      <c r="Q1040" s="6">
        <f>IFERROR(INDEX('02b_DC_Accelerator_Mix'!$N$2:$N$977,MATCH(G1040,'02b_DC_Accelerator_Mix'!$A$2:$A$977,0)),0)</f>
        <v/>
      </c>
      <c r="R1040" s="28">
        <f>H1040*I1040</f>
        <v/>
      </c>
      <c r="S1040" s="28">
        <f>H1040*J1040</f>
        <v/>
      </c>
      <c r="T1040" s="28">
        <f>H1040*K1040</f>
        <v/>
      </c>
      <c r="U1040" s="28">
        <f>H1040*L1040</f>
        <v/>
      </c>
      <c r="V1040" s="28">
        <f>H1040*M1040</f>
        <v/>
      </c>
      <c r="W1040" s="28">
        <f>H1040*N1040</f>
        <v/>
      </c>
      <c r="X1040" s="28">
        <f>H1040*O1040</f>
        <v/>
      </c>
      <c r="Y1040" s="28">
        <f>H1040*P1040</f>
        <v/>
      </c>
      <c r="Z1040" s="28">
        <f>H1040*Q1040</f>
        <v/>
      </c>
      <c r="AA1040" s="28">
        <f>SUM(U1040:Z1040)</f>
        <v/>
      </c>
      <c r="AB1040" s="5">
        <f>IF(COUNTIF('02b_DC_Accelerator_Mix'!$A$2:$A$977,G1040)&gt;0,"matched","missing_mix")</f>
        <v/>
      </c>
    </row>
    <row r="1041">
      <c r="A1041" s="5">
        <f>'02a_DC_Capacity_Alloc'!A1041</f>
        <v/>
      </c>
      <c r="B1041" s="5">
        <f>'02a_DC_Capacity_Alloc'!B1041</f>
        <v/>
      </c>
      <c r="C1041" s="5">
        <f>'02a_DC_Capacity_Alloc'!C1041</f>
        <v/>
      </c>
      <c r="D1041" s="5">
        <f>'02a_DC_Capacity_Alloc'!D1041</f>
        <v/>
      </c>
      <c r="E1041" s="5">
        <f>'02a_DC_Capacity_Alloc'!E1041</f>
        <v/>
      </c>
      <c r="F1041" s="5">
        <f>'02a_DC_Capacity_Alloc'!F1041</f>
        <v/>
      </c>
      <c r="G1041" s="5">
        <f>B1041&amp;"|"&amp;E1041&amp;"|"&amp;D1041</f>
        <v/>
      </c>
      <c r="H1041" s="28">
        <f>'02a_DC_Capacity_Alloc'!H1041*'02a_DC_Capacity_Alloc'!I1041*'02a_DC_Capacity_Alloc'!J1041</f>
        <v/>
      </c>
      <c r="I1041" s="6">
        <f>IFERROR(INDEX('02b_DC_Accelerator_Mix'!$F$2:$F$977,MATCH(G1041,'02b_DC_Accelerator_Mix'!$A$2:$A$977,0)),0)</f>
        <v/>
      </c>
      <c r="J1041" s="6">
        <f>IFERROR(INDEX('02b_DC_Accelerator_Mix'!$G$2:$G$977,MATCH(G1041,'02b_DC_Accelerator_Mix'!$A$2:$A$977,0)),0)</f>
        <v/>
      </c>
      <c r="K1041" s="6">
        <f>IFERROR(INDEX('02b_DC_Accelerator_Mix'!$H$2:$H$977,MATCH(G1041,'02b_DC_Accelerator_Mix'!$A$2:$A$977,0)),0)</f>
        <v/>
      </c>
      <c r="L1041" s="6">
        <f>IFERROR(INDEX('02b_DC_Accelerator_Mix'!$I$2:$I$977,MATCH(G1041,'02b_DC_Accelerator_Mix'!$A$2:$A$977,0)),0)</f>
        <v/>
      </c>
      <c r="M1041" s="6">
        <f>IFERROR(INDEX('02b_DC_Accelerator_Mix'!$J$2:$J$977,MATCH(G1041,'02b_DC_Accelerator_Mix'!$A$2:$A$977,0)),0)</f>
        <v/>
      </c>
      <c r="N1041" s="6">
        <f>IFERROR(INDEX('02b_DC_Accelerator_Mix'!$K$2:$K$977,MATCH(G1041,'02b_DC_Accelerator_Mix'!$A$2:$A$977,0)),0)</f>
        <v/>
      </c>
      <c r="O1041" s="6">
        <f>IFERROR(INDEX('02b_DC_Accelerator_Mix'!$L$2:$L$977,MATCH(G1041,'02b_DC_Accelerator_Mix'!$A$2:$A$977,0)),0)</f>
        <v/>
      </c>
      <c r="P1041" s="6">
        <f>IFERROR(INDEX('02b_DC_Accelerator_Mix'!$M$2:$M$977,MATCH(G1041,'02b_DC_Accelerator_Mix'!$A$2:$A$977,0)),0)</f>
        <v/>
      </c>
      <c r="Q1041" s="6">
        <f>IFERROR(INDEX('02b_DC_Accelerator_Mix'!$N$2:$N$977,MATCH(G1041,'02b_DC_Accelerator_Mix'!$A$2:$A$977,0)),0)</f>
        <v/>
      </c>
      <c r="R1041" s="28">
        <f>H1041*I1041</f>
        <v/>
      </c>
      <c r="S1041" s="28">
        <f>H1041*J1041</f>
        <v/>
      </c>
      <c r="T1041" s="28">
        <f>H1041*K1041</f>
        <v/>
      </c>
      <c r="U1041" s="28">
        <f>H1041*L1041</f>
        <v/>
      </c>
      <c r="V1041" s="28">
        <f>H1041*M1041</f>
        <v/>
      </c>
      <c r="W1041" s="28">
        <f>H1041*N1041</f>
        <v/>
      </c>
      <c r="X1041" s="28">
        <f>H1041*O1041</f>
        <v/>
      </c>
      <c r="Y1041" s="28">
        <f>H1041*P1041</f>
        <v/>
      </c>
      <c r="Z1041" s="28">
        <f>H1041*Q1041</f>
        <v/>
      </c>
      <c r="AA1041" s="28">
        <f>SUM(U1041:Z1041)</f>
        <v/>
      </c>
      <c r="AB1041" s="5">
        <f>IF(COUNTIF('02b_DC_Accelerator_Mix'!$A$2:$A$977,G1041)&gt;0,"matched","missing_mix")</f>
        <v/>
      </c>
    </row>
    <row r="1042">
      <c r="A1042" s="5">
        <f>'02a_DC_Capacity_Alloc'!A1042</f>
        <v/>
      </c>
      <c r="B1042" s="5">
        <f>'02a_DC_Capacity_Alloc'!B1042</f>
        <v/>
      </c>
      <c r="C1042" s="5">
        <f>'02a_DC_Capacity_Alloc'!C1042</f>
        <v/>
      </c>
      <c r="D1042" s="5">
        <f>'02a_DC_Capacity_Alloc'!D1042</f>
        <v/>
      </c>
      <c r="E1042" s="5">
        <f>'02a_DC_Capacity_Alloc'!E1042</f>
        <v/>
      </c>
      <c r="F1042" s="5">
        <f>'02a_DC_Capacity_Alloc'!F1042</f>
        <v/>
      </c>
      <c r="G1042" s="5">
        <f>B1042&amp;"|"&amp;E1042&amp;"|"&amp;D1042</f>
        <v/>
      </c>
      <c r="H1042" s="28">
        <f>'02a_DC_Capacity_Alloc'!H1042*'02a_DC_Capacity_Alloc'!I1042*'02a_DC_Capacity_Alloc'!J1042</f>
        <v/>
      </c>
      <c r="I1042" s="6">
        <f>IFERROR(INDEX('02b_DC_Accelerator_Mix'!$F$2:$F$977,MATCH(G1042,'02b_DC_Accelerator_Mix'!$A$2:$A$977,0)),0)</f>
        <v/>
      </c>
      <c r="J1042" s="6">
        <f>IFERROR(INDEX('02b_DC_Accelerator_Mix'!$G$2:$G$977,MATCH(G1042,'02b_DC_Accelerator_Mix'!$A$2:$A$977,0)),0)</f>
        <v/>
      </c>
      <c r="K1042" s="6">
        <f>IFERROR(INDEX('02b_DC_Accelerator_Mix'!$H$2:$H$977,MATCH(G1042,'02b_DC_Accelerator_Mix'!$A$2:$A$977,0)),0)</f>
        <v/>
      </c>
      <c r="L1042" s="6">
        <f>IFERROR(INDEX('02b_DC_Accelerator_Mix'!$I$2:$I$977,MATCH(G1042,'02b_DC_Accelerator_Mix'!$A$2:$A$977,0)),0)</f>
        <v/>
      </c>
      <c r="M1042" s="6">
        <f>IFERROR(INDEX('02b_DC_Accelerator_Mix'!$J$2:$J$977,MATCH(G1042,'02b_DC_Accelerator_Mix'!$A$2:$A$977,0)),0)</f>
        <v/>
      </c>
      <c r="N1042" s="6">
        <f>IFERROR(INDEX('02b_DC_Accelerator_Mix'!$K$2:$K$977,MATCH(G1042,'02b_DC_Accelerator_Mix'!$A$2:$A$977,0)),0)</f>
        <v/>
      </c>
      <c r="O1042" s="6">
        <f>IFERROR(INDEX('02b_DC_Accelerator_Mix'!$L$2:$L$977,MATCH(G1042,'02b_DC_Accelerator_Mix'!$A$2:$A$977,0)),0)</f>
        <v/>
      </c>
      <c r="P1042" s="6">
        <f>IFERROR(INDEX('02b_DC_Accelerator_Mix'!$M$2:$M$977,MATCH(G1042,'02b_DC_Accelerator_Mix'!$A$2:$A$977,0)),0)</f>
        <v/>
      </c>
      <c r="Q1042" s="6">
        <f>IFERROR(INDEX('02b_DC_Accelerator_Mix'!$N$2:$N$977,MATCH(G1042,'02b_DC_Accelerator_Mix'!$A$2:$A$977,0)),0)</f>
        <v/>
      </c>
      <c r="R1042" s="28">
        <f>H1042*I1042</f>
        <v/>
      </c>
      <c r="S1042" s="28">
        <f>H1042*J1042</f>
        <v/>
      </c>
      <c r="T1042" s="28">
        <f>H1042*K1042</f>
        <v/>
      </c>
      <c r="U1042" s="28">
        <f>H1042*L1042</f>
        <v/>
      </c>
      <c r="V1042" s="28">
        <f>H1042*M1042</f>
        <v/>
      </c>
      <c r="W1042" s="28">
        <f>H1042*N1042</f>
        <v/>
      </c>
      <c r="X1042" s="28">
        <f>H1042*O1042</f>
        <v/>
      </c>
      <c r="Y1042" s="28">
        <f>H1042*P1042</f>
        <v/>
      </c>
      <c r="Z1042" s="28">
        <f>H1042*Q1042</f>
        <v/>
      </c>
      <c r="AA1042" s="28">
        <f>SUM(U1042:Z1042)</f>
        <v/>
      </c>
      <c r="AB1042" s="5">
        <f>IF(COUNTIF('02b_DC_Accelerator_Mix'!$A$2:$A$977,G1042)&gt;0,"matched","missing_mix")</f>
        <v/>
      </c>
    </row>
    <row r="1043">
      <c r="A1043" s="5">
        <f>'02a_DC_Capacity_Alloc'!A1043</f>
        <v/>
      </c>
      <c r="B1043" s="5">
        <f>'02a_DC_Capacity_Alloc'!B1043</f>
        <v/>
      </c>
      <c r="C1043" s="5">
        <f>'02a_DC_Capacity_Alloc'!C1043</f>
        <v/>
      </c>
      <c r="D1043" s="5">
        <f>'02a_DC_Capacity_Alloc'!D1043</f>
        <v/>
      </c>
      <c r="E1043" s="5">
        <f>'02a_DC_Capacity_Alloc'!E1043</f>
        <v/>
      </c>
      <c r="F1043" s="5">
        <f>'02a_DC_Capacity_Alloc'!F1043</f>
        <v/>
      </c>
      <c r="G1043" s="5">
        <f>B1043&amp;"|"&amp;E1043&amp;"|"&amp;D1043</f>
        <v/>
      </c>
      <c r="H1043" s="28">
        <f>'02a_DC_Capacity_Alloc'!H1043*'02a_DC_Capacity_Alloc'!I1043*'02a_DC_Capacity_Alloc'!J1043</f>
        <v/>
      </c>
      <c r="I1043" s="6">
        <f>IFERROR(INDEX('02b_DC_Accelerator_Mix'!$F$2:$F$977,MATCH(G1043,'02b_DC_Accelerator_Mix'!$A$2:$A$977,0)),0)</f>
        <v/>
      </c>
      <c r="J1043" s="6">
        <f>IFERROR(INDEX('02b_DC_Accelerator_Mix'!$G$2:$G$977,MATCH(G1043,'02b_DC_Accelerator_Mix'!$A$2:$A$977,0)),0)</f>
        <v/>
      </c>
      <c r="K1043" s="6">
        <f>IFERROR(INDEX('02b_DC_Accelerator_Mix'!$H$2:$H$977,MATCH(G1043,'02b_DC_Accelerator_Mix'!$A$2:$A$977,0)),0)</f>
        <v/>
      </c>
      <c r="L1043" s="6">
        <f>IFERROR(INDEX('02b_DC_Accelerator_Mix'!$I$2:$I$977,MATCH(G1043,'02b_DC_Accelerator_Mix'!$A$2:$A$977,0)),0)</f>
        <v/>
      </c>
      <c r="M1043" s="6">
        <f>IFERROR(INDEX('02b_DC_Accelerator_Mix'!$J$2:$J$977,MATCH(G1043,'02b_DC_Accelerator_Mix'!$A$2:$A$977,0)),0)</f>
        <v/>
      </c>
      <c r="N1043" s="6">
        <f>IFERROR(INDEX('02b_DC_Accelerator_Mix'!$K$2:$K$977,MATCH(G1043,'02b_DC_Accelerator_Mix'!$A$2:$A$977,0)),0)</f>
        <v/>
      </c>
      <c r="O1043" s="6">
        <f>IFERROR(INDEX('02b_DC_Accelerator_Mix'!$L$2:$L$977,MATCH(G1043,'02b_DC_Accelerator_Mix'!$A$2:$A$977,0)),0)</f>
        <v/>
      </c>
      <c r="P1043" s="6">
        <f>IFERROR(INDEX('02b_DC_Accelerator_Mix'!$M$2:$M$977,MATCH(G1043,'02b_DC_Accelerator_Mix'!$A$2:$A$977,0)),0)</f>
        <v/>
      </c>
      <c r="Q1043" s="6">
        <f>IFERROR(INDEX('02b_DC_Accelerator_Mix'!$N$2:$N$977,MATCH(G1043,'02b_DC_Accelerator_Mix'!$A$2:$A$977,0)),0)</f>
        <v/>
      </c>
      <c r="R1043" s="28">
        <f>H1043*I1043</f>
        <v/>
      </c>
      <c r="S1043" s="28">
        <f>H1043*J1043</f>
        <v/>
      </c>
      <c r="T1043" s="28">
        <f>H1043*K1043</f>
        <v/>
      </c>
      <c r="U1043" s="28">
        <f>H1043*L1043</f>
        <v/>
      </c>
      <c r="V1043" s="28">
        <f>H1043*M1043</f>
        <v/>
      </c>
      <c r="W1043" s="28">
        <f>H1043*N1043</f>
        <v/>
      </c>
      <c r="X1043" s="28">
        <f>H1043*O1043</f>
        <v/>
      </c>
      <c r="Y1043" s="28">
        <f>H1043*P1043</f>
        <v/>
      </c>
      <c r="Z1043" s="28">
        <f>H1043*Q1043</f>
        <v/>
      </c>
      <c r="AA1043" s="28">
        <f>SUM(U1043:Z1043)</f>
        <v/>
      </c>
      <c r="AB1043" s="5">
        <f>IF(COUNTIF('02b_DC_Accelerator_Mix'!$A$2:$A$977,G1043)&gt;0,"matched","missing_mix")</f>
        <v/>
      </c>
    </row>
    <row r="1044">
      <c r="A1044" s="5">
        <f>'02a_DC_Capacity_Alloc'!A1044</f>
        <v/>
      </c>
      <c r="B1044" s="5">
        <f>'02a_DC_Capacity_Alloc'!B1044</f>
        <v/>
      </c>
      <c r="C1044" s="5">
        <f>'02a_DC_Capacity_Alloc'!C1044</f>
        <v/>
      </c>
      <c r="D1044" s="5">
        <f>'02a_DC_Capacity_Alloc'!D1044</f>
        <v/>
      </c>
      <c r="E1044" s="5">
        <f>'02a_DC_Capacity_Alloc'!E1044</f>
        <v/>
      </c>
      <c r="F1044" s="5">
        <f>'02a_DC_Capacity_Alloc'!F1044</f>
        <v/>
      </c>
      <c r="G1044" s="5">
        <f>B1044&amp;"|"&amp;E1044&amp;"|"&amp;D1044</f>
        <v/>
      </c>
      <c r="H1044" s="28">
        <f>'02a_DC_Capacity_Alloc'!H1044*'02a_DC_Capacity_Alloc'!I1044*'02a_DC_Capacity_Alloc'!J1044</f>
        <v/>
      </c>
      <c r="I1044" s="6">
        <f>IFERROR(INDEX('02b_DC_Accelerator_Mix'!$F$2:$F$977,MATCH(G1044,'02b_DC_Accelerator_Mix'!$A$2:$A$977,0)),0)</f>
        <v/>
      </c>
      <c r="J1044" s="6">
        <f>IFERROR(INDEX('02b_DC_Accelerator_Mix'!$G$2:$G$977,MATCH(G1044,'02b_DC_Accelerator_Mix'!$A$2:$A$977,0)),0)</f>
        <v/>
      </c>
      <c r="K1044" s="6">
        <f>IFERROR(INDEX('02b_DC_Accelerator_Mix'!$H$2:$H$977,MATCH(G1044,'02b_DC_Accelerator_Mix'!$A$2:$A$977,0)),0)</f>
        <v/>
      </c>
      <c r="L1044" s="6">
        <f>IFERROR(INDEX('02b_DC_Accelerator_Mix'!$I$2:$I$977,MATCH(G1044,'02b_DC_Accelerator_Mix'!$A$2:$A$977,0)),0)</f>
        <v/>
      </c>
      <c r="M1044" s="6">
        <f>IFERROR(INDEX('02b_DC_Accelerator_Mix'!$J$2:$J$977,MATCH(G1044,'02b_DC_Accelerator_Mix'!$A$2:$A$977,0)),0)</f>
        <v/>
      </c>
      <c r="N1044" s="6">
        <f>IFERROR(INDEX('02b_DC_Accelerator_Mix'!$K$2:$K$977,MATCH(G1044,'02b_DC_Accelerator_Mix'!$A$2:$A$977,0)),0)</f>
        <v/>
      </c>
      <c r="O1044" s="6">
        <f>IFERROR(INDEX('02b_DC_Accelerator_Mix'!$L$2:$L$977,MATCH(G1044,'02b_DC_Accelerator_Mix'!$A$2:$A$977,0)),0)</f>
        <v/>
      </c>
      <c r="P1044" s="6">
        <f>IFERROR(INDEX('02b_DC_Accelerator_Mix'!$M$2:$M$977,MATCH(G1044,'02b_DC_Accelerator_Mix'!$A$2:$A$977,0)),0)</f>
        <v/>
      </c>
      <c r="Q1044" s="6">
        <f>IFERROR(INDEX('02b_DC_Accelerator_Mix'!$N$2:$N$977,MATCH(G1044,'02b_DC_Accelerator_Mix'!$A$2:$A$977,0)),0)</f>
        <v/>
      </c>
      <c r="R1044" s="28">
        <f>H1044*I1044</f>
        <v/>
      </c>
      <c r="S1044" s="28">
        <f>H1044*J1044</f>
        <v/>
      </c>
      <c r="T1044" s="28">
        <f>H1044*K1044</f>
        <v/>
      </c>
      <c r="U1044" s="28">
        <f>H1044*L1044</f>
        <v/>
      </c>
      <c r="V1044" s="28">
        <f>H1044*M1044</f>
        <v/>
      </c>
      <c r="W1044" s="28">
        <f>H1044*N1044</f>
        <v/>
      </c>
      <c r="X1044" s="28">
        <f>H1044*O1044</f>
        <v/>
      </c>
      <c r="Y1044" s="28">
        <f>H1044*P1044</f>
        <v/>
      </c>
      <c r="Z1044" s="28">
        <f>H1044*Q1044</f>
        <v/>
      </c>
      <c r="AA1044" s="28">
        <f>SUM(U1044:Z1044)</f>
        <v/>
      </c>
      <c r="AB1044" s="5">
        <f>IF(COUNTIF('02b_DC_Accelerator_Mix'!$A$2:$A$977,G1044)&gt;0,"matched","missing_mix")</f>
        <v/>
      </c>
    </row>
    <row r="1045">
      <c r="A1045" s="5">
        <f>'02a_DC_Capacity_Alloc'!A1045</f>
        <v/>
      </c>
      <c r="B1045" s="5">
        <f>'02a_DC_Capacity_Alloc'!B1045</f>
        <v/>
      </c>
      <c r="C1045" s="5">
        <f>'02a_DC_Capacity_Alloc'!C1045</f>
        <v/>
      </c>
      <c r="D1045" s="5">
        <f>'02a_DC_Capacity_Alloc'!D1045</f>
        <v/>
      </c>
      <c r="E1045" s="5">
        <f>'02a_DC_Capacity_Alloc'!E1045</f>
        <v/>
      </c>
      <c r="F1045" s="5">
        <f>'02a_DC_Capacity_Alloc'!F1045</f>
        <v/>
      </c>
      <c r="G1045" s="5">
        <f>B1045&amp;"|"&amp;E1045&amp;"|"&amp;D1045</f>
        <v/>
      </c>
      <c r="H1045" s="28">
        <f>'02a_DC_Capacity_Alloc'!H1045*'02a_DC_Capacity_Alloc'!I1045*'02a_DC_Capacity_Alloc'!J1045</f>
        <v/>
      </c>
      <c r="I1045" s="6">
        <f>IFERROR(INDEX('02b_DC_Accelerator_Mix'!$F$2:$F$977,MATCH(G1045,'02b_DC_Accelerator_Mix'!$A$2:$A$977,0)),0)</f>
        <v/>
      </c>
      <c r="J1045" s="6">
        <f>IFERROR(INDEX('02b_DC_Accelerator_Mix'!$G$2:$G$977,MATCH(G1045,'02b_DC_Accelerator_Mix'!$A$2:$A$977,0)),0)</f>
        <v/>
      </c>
      <c r="K1045" s="6">
        <f>IFERROR(INDEX('02b_DC_Accelerator_Mix'!$H$2:$H$977,MATCH(G1045,'02b_DC_Accelerator_Mix'!$A$2:$A$977,0)),0)</f>
        <v/>
      </c>
      <c r="L1045" s="6">
        <f>IFERROR(INDEX('02b_DC_Accelerator_Mix'!$I$2:$I$977,MATCH(G1045,'02b_DC_Accelerator_Mix'!$A$2:$A$977,0)),0)</f>
        <v/>
      </c>
      <c r="M1045" s="6">
        <f>IFERROR(INDEX('02b_DC_Accelerator_Mix'!$J$2:$J$977,MATCH(G1045,'02b_DC_Accelerator_Mix'!$A$2:$A$977,0)),0)</f>
        <v/>
      </c>
      <c r="N1045" s="6">
        <f>IFERROR(INDEX('02b_DC_Accelerator_Mix'!$K$2:$K$977,MATCH(G1045,'02b_DC_Accelerator_Mix'!$A$2:$A$977,0)),0)</f>
        <v/>
      </c>
      <c r="O1045" s="6">
        <f>IFERROR(INDEX('02b_DC_Accelerator_Mix'!$L$2:$L$977,MATCH(G1045,'02b_DC_Accelerator_Mix'!$A$2:$A$977,0)),0)</f>
        <v/>
      </c>
      <c r="P1045" s="6">
        <f>IFERROR(INDEX('02b_DC_Accelerator_Mix'!$M$2:$M$977,MATCH(G1045,'02b_DC_Accelerator_Mix'!$A$2:$A$977,0)),0)</f>
        <v/>
      </c>
      <c r="Q1045" s="6">
        <f>IFERROR(INDEX('02b_DC_Accelerator_Mix'!$N$2:$N$977,MATCH(G1045,'02b_DC_Accelerator_Mix'!$A$2:$A$977,0)),0)</f>
        <v/>
      </c>
      <c r="R1045" s="28">
        <f>H1045*I1045</f>
        <v/>
      </c>
      <c r="S1045" s="28">
        <f>H1045*J1045</f>
        <v/>
      </c>
      <c r="T1045" s="28">
        <f>H1045*K1045</f>
        <v/>
      </c>
      <c r="U1045" s="28">
        <f>H1045*L1045</f>
        <v/>
      </c>
      <c r="V1045" s="28">
        <f>H1045*M1045</f>
        <v/>
      </c>
      <c r="W1045" s="28">
        <f>H1045*N1045</f>
        <v/>
      </c>
      <c r="X1045" s="28">
        <f>H1045*O1045</f>
        <v/>
      </c>
      <c r="Y1045" s="28">
        <f>H1045*P1045</f>
        <v/>
      </c>
      <c r="Z1045" s="28">
        <f>H1045*Q1045</f>
        <v/>
      </c>
      <c r="AA1045" s="28">
        <f>SUM(U1045:Z1045)</f>
        <v/>
      </c>
      <c r="AB1045" s="5">
        <f>IF(COUNTIF('02b_DC_Accelerator_Mix'!$A$2:$A$977,G1045)&gt;0,"matched","missing_mix")</f>
        <v/>
      </c>
    </row>
    <row r="1046">
      <c r="A1046" s="5">
        <f>'02a_DC_Capacity_Alloc'!A1046</f>
        <v/>
      </c>
      <c r="B1046" s="5">
        <f>'02a_DC_Capacity_Alloc'!B1046</f>
        <v/>
      </c>
      <c r="C1046" s="5">
        <f>'02a_DC_Capacity_Alloc'!C1046</f>
        <v/>
      </c>
      <c r="D1046" s="5">
        <f>'02a_DC_Capacity_Alloc'!D1046</f>
        <v/>
      </c>
      <c r="E1046" s="5">
        <f>'02a_DC_Capacity_Alloc'!E1046</f>
        <v/>
      </c>
      <c r="F1046" s="5">
        <f>'02a_DC_Capacity_Alloc'!F1046</f>
        <v/>
      </c>
      <c r="G1046" s="5">
        <f>B1046&amp;"|"&amp;E1046&amp;"|"&amp;D1046</f>
        <v/>
      </c>
      <c r="H1046" s="28">
        <f>'02a_DC_Capacity_Alloc'!H1046*'02a_DC_Capacity_Alloc'!I1046*'02a_DC_Capacity_Alloc'!J1046</f>
        <v/>
      </c>
      <c r="I1046" s="6">
        <f>IFERROR(INDEX('02b_DC_Accelerator_Mix'!$F$2:$F$977,MATCH(G1046,'02b_DC_Accelerator_Mix'!$A$2:$A$977,0)),0)</f>
        <v/>
      </c>
      <c r="J1046" s="6">
        <f>IFERROR(INDEX('02b_DC_Accelerator_Mix'!$G$2:$G$977,MATCH(G1046,'02b_DC_Accelerator_Mix'!$A$2:$A$977,0)),0)</f>
        <v/>
      </c>
      <c r="K1046" s="6">
        <f>IFERROR(INDEX('02b_DC_Accelerator_Mix'!$H$2:$H$977,MATCH(G1046,'02b_DC_Accelerator_Mix'!$A$2:$A$977,0)),0)</f>
        <v/>
      </c>
      <c r="L1046" s="6">
        <f>IFERROR(INDEX('02b_DC_Accelerator_Mix'!$I$2:$I$977,MATCH(G1046,'02b_DC_Accelerator_Mix'!$A$2:$A$977,0)),0)</f>
        <v/>
      </c>
      <c r="M1046" s="6">
        <f>IFERROR(INDEX('02b_DC_Accelerator_Mix'!$J$2:$J$977,MATCH(G1046,'02b_DC_Accelerator_Mix'!$A$2:$A$977,0)),0)</f>
        <v/>
      </c>
      <c r="N1046" s="6">
        <f>IFERROR(INDEX('02b_DC_Accelerator_Mix'!$K$2:$K$977,MATCH(G1046,'02b_DC_Accelerator_Mix'!$A$2:$A$977,0)),0)</f>
        <v/>
      </c>
      <c r="O1046" s="6">
        <f>IFERROR(INDEX('02b_DC_Accelerator_Mix'!$L$2:$L$977,MATCH(G1046,'02b_DC_Accelerator_Mix'!$A$2:$A$977,0)),0)</f>
        <v/>
      </c>
      <c r="P1046" s="6">
        <f>IFERROR(INDEX('02b_DC_Accelerator_Mix'!$M$2:$M$977,MATCH(G1046,'02b_DC_Accelerator_Mix'!$A$2:$A$977,0)),0)</f>
        <v/>
      </c>
      <c r="Q1046" s="6">
        <f>IFERROR(INDEX('02b_DC_Accelerator_Mix'!$N$2:$N$977,MATCH(G1046,'02b_DC_Accelerator_Mix'!$A$2:$A$977,0)),0)</f>
        <v/>
      </c>
      <c r="R1046" s="28">
        <f>H1046*I1046</f>
        <v/>
      </c>
      <c r="S1046" s="28">
        <f>H1046*J1046</f>
        <v/>
      </c>
      <c r="T1046" s="28">
        <f>H1046*K1046</f>
        <v/>
      </c>
      <c r="U1046" s="28">
        <f>H1046*L1046</f>
        <v/>
      </c>
      <c r="V1046" s="28">
        <f>H1046*M1046</f>
        <v/>
      </c>
      <c r="W1046" s="28">
        <f>H1046*N1046</f>
        <v/>
      </c>
      <c r="X1046" s="28">
        <f>H1046*O1046</f>
        <v/>
      </c>
      <c r="Y1046" s="28">
        <f>H1046*P1046</f>
        <v/>
      </c>
      <c r="Z1046" s="28">
        <f>H1046*Q1046</f>
        <v/>
      </c>
      <c r="AA1046" s="28">
        <f>SUM(U1046:Z1046)</f>
        <v/>
      </c>
      <c r="AB1046" s="5">
        <f>IF(COUNTIF('02b_DC_Accelerator_Mix'!$A$2:$A$977,G1046)&gt;0,"matched","missing_mix")</f>
        <v/>
      </c>
    </row>
    <row r="1047">
      <c r="A1047" s="5">
        <f>'02a_DC_Capacity_Alloc'!A1047</f>
        <v/>
      </c>
      <c r="B1047" s="5">
        <f>'02a_DC_Capacity_Alloc'!B1047</f>
        <v/>
      </c>
      <c r="C1047" s="5">
        <f>'02a_DC_Capacity_Alloc'!C1047</f>
        <v/>
      </c>
      <c r="D1047" s="5">
        <f>'02a_DC_Capacity_Alloc'!D1047</f>
        <v/>
      </c>
      <c r="E1047" s="5">
        <f>'02a_DC_Capacity_Alloc'!E1047</f>
        <v/>
      </c>
      <c r="F1047" s="5">
        <f>'02a_DC_Capacity_Alloc'!F1047</f>
        <v/>
      </c>
      <c r="G1047" s="5">
        <f>B1047&amp;"|"&amp;E1047&amp;"|"&amp;D1047</f>
        <v/>
      </c>
      <c r="H1047" s="28">
        <f>'02a_DC_Capacity_Alloc'!H1047*'02a_DC_Capacity_Alloc'!I1047*'02a_DC_Capacity_Alloc'!J1047</f>
        <v/>
      </c>
      <c r="I1047" s="6">
        <f>IFERROR(INDEX('02b_DC_Accelerator_Mix'!$F$2:$F$977,MATCH(G1047,'02b_DC_Accelerator_Mix'!$A$2:$A$977,0)),0)</f>
        <v/>
      </c>
      <c r="J1047" s="6">
        <f>IFERROR(INDEX('02b_DC_Accelerator_Mix'!$G$2:$G$977,MATCH(G1047,'02b_DC_Accelerator_Mix'!$A$2:$A$977,0)),0)</f>
        <v/>
      </c>
      <c r="K1047" s="6">
        <f>IFERROR(INDEX('02b_DC_Accelerator_Mix'!$H$2:$H$977,MATCH(G1047,'02b_DC_Accelerator_Mix'!$A$2:$A$977,0)),0)</f>
        <v/>
      </c>
      <c r="L1047" s="6">
        <f>IFERROR(INDEX('02b_DC_Accelerator_Mix'!$I$2:$I$977,MATCH(G1047,'02b_DC_Accelerator_Mix'!$A$2:$A$977,0)),0)</f>
        <v/>
      </c>
      <c r="M1047" s="6">
        <f>IFERROR(INDEX('02b_DC_Accelerator_Mix'!$J$2:$J$977,MATCH(G1047,'02b_DC_Accelerator_Mix'!$A$2:$A$977,0)),0)</f>
        <v/>
      </c>
      <c r="N1047" s="6">
        <f>IFERROR(INDEX('02b_DC_Accelerator_Mix'!$K$2:$K$977,MATCH(G1047,'02b_DC_Accelerator_Mix'!$A$2:$A$977,0)),0)</f>
        <v/>
      </c>
      <c r="O1047" s="6">
        <f>IFERROR(INDEX('02b_DC_Accelerator_Mix'!$L$2:$L$977,MATCH(G1047,'02b_DC_Accelerator_Mix'!$A$2:$A$977,0)),0)</f>
        <v/>
      </c>
      <c r="P1047" s="6">
        <f>IFERROR(INDEX('02b_DC_Accelerator_Mix'!$M$2:$M$977,MATCH(G1047,'02b_DC_Accelerator_Mix'!$A$2:$A$977,0)),0)</f>
        <v/>
      </c>
      <c r="Q1047" s="6">
        <f>IFERROR(INDEX('02b_DC_Accelerator_Mix'!$N$2:$N$977,MATCH(G1047,'02b_DC_Accelerator_Mix'!$A$2:$A$977,0)),0)</f>
        <v/>
      </c>
      <c r="R1047" s="28">
        <f>H1047*I1047</f>
        <v/>
      </c>
      <c r="S1047" s="28">
        <f>H1047*J1047</f>
        <v/>
      </c>
      <c r="T1047" s="28">
        <f>H1047*K1047</f>
        <v/>
      </c>
      <c r="U1047" s="28">
        <f>H1047*L1047</f>
        <v/>
      </c>
      <c r="V1047" s="28">
        <f>H1047*M1047</f>
        <v/>
      </c>
      <c r="W1047" s="28">
        <f>H1047*N1047</f>
        <v/>
      </c>
      <c r="X1047" s="28">
        <f>H1047*O1047</f>
        <v/>
      </c>
      <c r="Y1047" s="28">
        <f>H1047*P1047</f>
        <v/>
      </c>
      <c r="Z1047" s="28">
        <f>H1047*Q1047</f>
        <v/>
      </c>
      <c r="AA1047" s="28">
        <f>SUM(U1047:Z1047)</f>
        <v/>
      </c>
      <c r="AB1047" s="5">
        <f>IF(COUNTIF('02b_DC_Accelerator_Mix'!$A$2:$A$977,G1047)&gt;0,"matched","missing_mix")</f>
        <v/>
      </c>
    </row>
    <row r="1048">
      <c r="A1048" s="5">
        <f>'02a_DC_Capacity_Alloc'!A1048</f>
        <v/>
      </c>
      <c r="B1048" s="5">
        <f>'02a_DC_Capacity_Alloc'!B1048</f>
        <v/>
      </c>
      <c r="C1048" s="5">
        <f>'02a_DC_Capacity_Alloc'!C1048</f>
        <v/>
      </c>
      <c r="D1048" s="5">
        <f>'02a_DC_Capacity_Alloc'!D1048</f>
        <v/>
      </c>
      <c r="E1048" s="5">
        <f>'02a_DC_Capacity_Alloc'!E1048</f>
        <v/>
      </c>
      <c r="F1048" s="5">
        <f>'02a_DC_Capacity_Alloc'!F1048</f>
        <v/>
      </c>
      <c r="G1048" s="5">
        <f>B1048&amp;"|"&amp;E1048&amp;"|"&amp;D1048</f>
        <v/>
      </c>
      <c r="H1048" s="28">
        <f>'02a_DC_Capacity_Alloc'!H1048*'02a_DC_Capacity_Alloc'!I1048*'02a_DC_Capacity_Alloc'!J1048</f>
        <v/>
      </c>
      <c r="I1048" s="6">
        <f>IFERROR(INDEX('02b_DC_Accelerator_Mix'!$F$2:$F$977,MATCH(G1048,'02b_DC_Accelerator_Mix'!$A$2:$A$977,0)),0)</f>
        <v/>
      </c>
      <c r="J1048" s="6">
        <f>IFERROR(INDEX('02b_DC_Accelerator_Mix'!$G$2:$G$977,MATCH(G1048,'02b_DC_Accelerator_Mix'!$A$2:$A$977,0)),0)</f>
        <v/>
      </c>
      <c r="K1048" s="6">
        <f>IFERROR(INDEX('02b_DC_Accelerator_Mix'!$H$2:$H$977,MATCH(G1048,'02b_DC_Accelerator_Mix'!$A$2:$A$977,0)),0)</f>
        <v/>
      </c>
      <c r="L1048" s="6">
        <f>IFERROR(INDEX('02b_DC_Accelerator_Mix'!$I$2:$I$977,MATCH(G1048,'02b_DC_Accelerator_Mix'!$A$2:$A$977,0)),0)</f>
        <v/>
      </c>
      <c r="M1048" s="6">
        <f>IFERROR(INDEX('02b_DC_Accelerator_Mix'!$J$2:$J$977,MATCH(G1048,'02b_DC_Accelerator_Mix'!$A$2:$A$977,0)),0)</f>
        <v/>
      </c>
      <c r="N1048" s="6">
        <f>IFERROR(INDEX('02b_DC_Accelerator_Mix'!$K$2:$K$977,MATCH(G1048,'02b_DC_Accelerator_Mix'!$A$2:$A$977,0)),0)</f>
        <v/>
      </c>
      <c r="O1048" s="6">
        <f>IFERROR(INDEX('02b_DC_Accelerator_Mix'!$L$2:$L$977,MATCH(G1048,'02b_DC_Accelerator_Mix'!$A$2:$A$977,0)),0)</f>
        <v/>
      </c>
      <c r="P1048" s="6">
        <f>IFERROR(INDEX('02b_DC_Accelerator_Mix'!$M$2:$M$977,MATCH(G1048,'02b_DC_Accelerator_Mix'!$A$2:$A$977,0)),0)</f>
        <v/>
      </c>
      <c r="Q1048" s="6">
        <f>IFERROR(INDEX('02b_DC_Accelerator_Mix'!$N$2:$N$977,MATCH(G1048,'02b_DC_Accelerator_Mix'!$A$2:$A$977,0)),0)</f>
        <v/>
      </c>
      <c r="R1048" s="28">
        <f>H1048*I1048</f>
        <v/>
      </c>
      <c r="S1048" s="28">
        <f>H1048*J1048</f>
        <v/>
      </c>
      <c r="T1048" s="28">
        <f>H1048*K1048</f>
        <v/>
      </c>
      <c r="U1048" s="28">
        <f>H1048*L1048</f>
        <v/>
      </c>
      <c r="V1048" s="28">
        <f>H1048*M1048</f>
        <v/>
      </c>
      <c r="W1048" s="28">
        <f>H1048*N1048</f>
        <v/>
      </c>
      <c r="X1048" s="28">
        <f>H1048*O1048</f>
        <v/>
      </c>
      <c r="Y1048" s="28">
        <f>H1048*P1048</f>
        <v/>
      </c>
      <c r="Z1048" s="28">
        <f>H1048*Q1048</f>
        <v/>
      </c>
      <c r="AA1048" s="28">
        <f>SUM(U1048:Z1048)</f>
        <v/>
      </c>
      <c r="AB1048" s="5">
        <f>IF(COUNTIF('02b_DC_Accelerator_Mix'!$A$2:$A$977,G1048)&gt;0,"matched","missing_mix")</f>
        <v/>
      </c>
    </row>
    <row r="1049">
      <c r="A1049" s="5">
        <f>'02a_DC_Capacity_Alloc'!A1049</f>
        <v/>
      </c>
      <c r="B1049" s="5">
        <f>'02a_DC_Capacity_Alloc'!B1049</f>
        <v/>
      </c>
      <c r="C1049" s="5">
        <f>'02a_DC_Capacity_Alloc'!C1049</f>
        <v/>
      </c>
      <c r="D1049" s="5">
        <f>'02a_DC_Capacity_Alloc'!D1049</f>
        <v/>
      </c>
      <c r="E1049" s="5">
        <f>'02a_DC_Capacity_Alloc'!E1049</f>
        <v/>
      </c>
      <c r="F1049" s="5">
        <f>'02a_DC_Capacity_Alloc'!F1049</f>
        <v/>
      </c>
      <c r="G1049" s="5">
        <f>B1049&amp;"|"&amp;E1049&amp;"|"&amp;D1049</f>
        <v/>
      </c>
      <c r="H1049" s="28">
        <f>'02a_DC_Capacity_Alloc'!H1049*'02a_DC_Capacity_Alloc'!I1049*'02a_DC_Capacity_Alloc'!J1049</f>
        <v/>
      </c>
      <c r="I1049" s="6">
        <f>IFERROR(INDEX('02b_DC_Accelerator_Mix'!$F$2:$F$977,MATCH(G1049,'02b_DC_Accelerator_Mix'!$A$2:$A$977,0)),0)</f>
        <v/>
      </c>
      <c r="J1049" s="6">
        <f>IFERROR(INDEX('02b_DC_Accelerator_Mix'!$G$2:$G$977,MATCH(G1049,'02b_DC_Accelerator_Mix'!$A$2:$A$977,0)),0)</f>
        <v/>
      </c>
      <c r="K1049" s="6">
        <f>IFERROR(INDEX('02b_DC_Accelerator_Mix'!$H$2:$H$977,MATCH(G1049,'02b_DC_Accelerator_Mix'!$A$2:$A$977,0)),0)</f>
        <v/>
      </c>
      <c r="L1049" s="6">
        <f>IFERROR(INDEX('02b_DC_Accelerator_Mix'!$I$2:$I$977,MATCH(G1049,'02b_DC_Accelerator_Mix'!$A$2:$A$977,0)),0)</f>
        <v/>
      </c>
      <c r="M1049" s="6">
        <f>IFERROR(INDEX('02b_DC_Accelerator_Mix'!$J$2:$J$977,MATCH(G1049,'02b_DC_Accelerator_Mix'!$A$2:$A$977,0)),0)</f>
        <v/>
      </c>
      <c r="N1049" s="6">
        <f>IFERROR(INDEX('02b_DC_Accelerator_Mix'!$K$2:$K$977,MATCH(G1049,'02b_DC_Accelerator_Mix'!$A$2:$A$977,0)),0)</f>
        <v/>
      </c>
      <c r="O1049" s="6">
        <f>IFERROR(INDEX('02b_DC_Accelerator_Mix'!$L$2:$L$977,MATCH(G1049,'02b_DC_Accelerator_Mix'!$A$2:$A$977,0)),0)</f>
        <v/>
      </c>
      <c r="P1049" s="6">
        <f>IFERROR(INDEX('02b_DC_Accelerator_Mix'!$M$2:$M$977,MATCH(G1049,'02b_DC_Accelerator_Mix'!$A$2:$A$977,0)),0)</f>
        <v/>
      </c>
      <c r="Q1049" s="6">
        <f>IFERROR(INDEX('02b_DC_Accelerator_Mix'!$N$2:$N$977,MATCH(G1049,'02b_DC_Accelerator_Mix'!$A$2:$A$977,0)),0)</f>
        <v/>
      </c>
      <c r="R1049" s="28">
        <f>H1049*I1049</f>
        <v/>
      </c>
      <c r="S1049" s="28">
        <f>H1049*J1049</f>
        <v/>
      </c>
      <c r="T1049" s="28">
        <f>H1049*K1049</f>
        <v/>
      </c>
      <c r="U1049" s="28">
        <f>H1049*L1049</f>
        <v/>
      </c>
      <c r="V1049" s="28">
        <f>H1049*M1049</f>
        <v/>
      </c>
      <c r="W1049" s="28">
        <f>H1049*N1049</f>
        <v/>
      </c>
      <c r="X1049" s="28">
        <f>H1049*O1049</f>
        <v/>
      </c>
      <c r="Y1049" s="28">
        <f>H1049*P1049</f>
        <v/>
      </c>
      <c r="Z1049" s="28">
        <f>H1049*Q1049</f>
        <v/>
      </c>
      <c r="AA1049" s="28">
        <f>SUM(U1049:Z1049)</f>
        <v/>
      </c>
      <c r="AB1049" s="5">
        <f>IF(COUNTIF('02b_DC_Accelerator_Mix'!$A$2:$A$977,G1049)&gt;0,"matched","missing_mix")</f>
        <v/>
      </c>
    </row>
    <row r="1050">
      <c r="A1050" s="5">
        <f>'02a_DC_Capacity_Alloc'!A1050</f>
        <v/>
      </c>
      <c r="B1050" s="5">
        <f>'02a_DC_Capacity_Alloc'!B1050</f>
        <v/>
      </c>
      <c r="C1050" s="5">
        <f>'02a_DC_Capacity_Alloc'!C1050</f>
        <v/>
      </c>
      <c r="D1050" s="5">
        <f>'02a_DC_Capacity_Alloc'!D1050</f>
        <v/>
      </c>
      <c r="E1050" s="5">
        <f>'02a_DC_Capacity_Alloc'!E1050</f>
        <v/>
      </c>
      <c r="F1050" s="5">
        <f>'02a_DC_Capacity_Alloc'!F1050</f>
        <v/>
      </c>
      <c r="G1050" s="5">
        <f>B1050&amp;"|"&amp;E1050&amp;"|"&amp;D1050</f>
        <v/>
      </c>
      <c r="H1050" s="28">
        <f>'02a_DC_Capacity_Alloc'!H1050*'02a_DC_Capacity_Alloc'!I1050*'02a_DC_Capacity_Alloc'!J1050</f>
        <v/>
      </c>
      <c r="I1050" s="6">
        <f>IFERROR(INDEX('02b_DC_Accelerator_Mix'!$F$2:$F$977,MATCH(G1050,'02b_DC_Accelerator_Mix'!$A$2:$A$977,0)),0)</f>
        <v/>
      </c>
      <c r="J1050" s="6">
        <f>IFERROR(INDEX('02b_DC_Accelerator_Mix'!$G$2:$G$977,MATCH(G1050,'02b_DC_Accelerator_Mix'!$A$2:$A$977,0)),0)</f>
        <v/>
      </c>
      <c r="K1050" s="6">
        <f>IFERROR(INDEX('02b_DC_Accelerator_Mix'!$H$2:$H$977,MATCH(G1050,'02b_DC_Accelerator_Mix'!$A$2:$A$977,0)),0)</f>
        <v/>
      </c>
      <c r="L1050" s="6">
        <f>IFERROR(INDEX('02b_DC_Accelerator_Mix'!$I$2:$I$977,MATCH(G1050,'02b_DC_Accelerator_Mix'!$A$2:$A$977,0)),0)</f>
        <v/>
      </c>
      <c r="M1050" s="6">
        <f>IFERROR(INDEX('02b_DC_Accelerator_Mix'!$J$2:$J$977,MATCH(G1050,'02b_DC_Accelerator_Mix'!$A$2:$A$977,0)),0)</f>
        <v/>
      </c>
      <c r="N1050" s="6">
        <f>IFERROR(INDEX('02b_DC_Accelerator_Mix'!$K$2:$K$977,MATCH(G1050,'02b_DC_Accelerator_Mix'!$A$2:$A$977,0)),0)</f>
        <v/>
      </c>
      <c r="O1050" s="6">
        <f>IFERROR(INDEX('02b_DC_Accelerator_Mix'!$L$2:$L$977,MATCH(G1050,'02b_DC_Accelerator_Mix'!$A$2:$A$977,0)),0)</f>
        <v/>
      </c>
      <c r="P1050" s="6">
        <f>IFERROR(INDEX('02b_DC_Accelerator_Mix'!$M$2:$M$977,MATCH(G1050,'02b_DC_Accelerator_Mix'!$A$2:$A$977,0)),0)</f>
        <v/>
      </c>
      <c r="Q1050" s="6">
        <f>IFERROR(INDEX('02b_DC_Accelerator_Mix'!$N$2:$N$977,MATCH(G1050,'02b_DC_Accelerator_Mix'!$A$2:$A$977,0)),0)</f>
        <v/>
      </c>
      <c r="R1050" s="28">
        <f>H1050*I1050</f>
        <v/>
      </c>
      <c r="S1050" s="28">
        <f>H1050*J1050</f>
        <v/>
      </c>
      <c r="T1050" s="28">
        <f>H1050*K1050</f>
        <v/>
      </c>
      <c r="U1050" s="28">
        <f>H1050*L1050</f>
        <v/>
      </c>
      <c r="V1050" s="28">
        <f>H1050*M1050</f>
        <v/>
      </c>
      <c r="W1050" s="28">
        <f>H1050*N1050</f>
        <v/>
      </c>
      <c r="X1050" s="28">
        <f>H1050*O1050</f>
        <v/>
      </c>
      <c r="Y1050" s="28">
        <f>H1050*P1050</f>
        <v/>
      </c>
      <c r="Z1050" s="28">
        <f>H1050*Q1050</f>
        <v/>
      </c>
      <c r="AA1050" s="28">
        <f>SUM(U1050:Z1050)</f>
        <v/>
      </c>
      <c r="AB1050" s="5">
        <f>IF(COUNTIF('02b_DC_Accelerator_Mix'!$A$2:$A$977,G1050)&gt;0,"matched","missing_mix")</f>
        <v/>
      </c>
    </row>
    <row r="1051">
      <c r="A1051" s="5">
        <f>'02a_DC_Capacity_Alloc'!A1051</f>
        <v/>
      </c>
      <c r="B1051" s="5">
        <f>'02a_DC_Capacity_Alloc'!B1051</f>
        <v/>
      </c>
      <c r="C1051" s="5">
        <f>'02a_DC_Capacity_Alloc'!C1051</f>
        <v/>
      </c>
      <c r="D1051" s="5">
        <f>'02a_DC_Capacity_Alloc'!D1051</f>
        <v/>
      </c>
      <c r="E1051" s="5">
        <f>'02a_DC_Capacity_Alloc'!E1051</f>
        <v/>
      </c>
      <c r="F1051" s="5">
        <f>'02a_DC_Capacity_Alloc'!F1051</f>
        <v/>
      </c>
      <c r="G1051" s="5">
        <f>B1051&amp;"|"&amp;E1051&amp;"|"&amp;D1051</f>
        <v/>
      </c>
      <c r="H1051" s="28">
        <f>'02a_DC_Capacity_Alloc'!H1051*'02a_DC_Capacity_Alloc'!I1051*'02a_DC_Capacity_Alloc'!J1051</f>
        <v/>
      </c>
      <c r="I1051" s="6">
        <f>IFERROR(INDEX('02b_DC_Accelerator_Mix'!$F$2:$F$977,MATCH(G1051,'02b_DC_Accelerator_Mix'!$A$2:$A$977,0)),0)</f>
        <v/>
      </c>
      <c r="J1051" s="6">
        <f>IFERROR(INDEX('02b_DC_Accelerator_Mix'!$G$2:$G$977,MATCH(G1051,'02b_DC_Accelerator_Mix'!$A$2:$A$977,0)),0)</f>
        <v/>
      </c>
      <c r="K1051" s="6">
        <f>IFERROR(INDEX('02b_DC_Accelerator_Mix'!$H$2:$H$977,MATCH(G1051,'02b_DC_Accelerator_Mix'!$A$2:$A$977,0)),0)</f>
        <v/>
      </c>
      <c r="L1051" s="6">
        <f>IFERROR(INDEX('02b_DC_Accelerator_Mix'!$I$2:$I$977,MATCH(G1051,'02b_DC_Accelerator_Mix'!$A$2:$A$977,0)),0)</f>
        <v/>
      </c>
      <c r="M1051" s="6">
        <f>IFERROR(INDEX('02b_DC_Accelerator_Mix'!$J$2:$J$977,MATCH(G1051,'02b_DC_Accelerator_Mix'!$A$2:$A$977,0)),0)</f>
        <v/>
      </c>
      <c r="N1051" s="6">
        <f>IFERROR(INDEX('02b_DC_Accelerator_Mix'!$K$2:$K$977,MATCH(G1051,'02b_DC_Accelerator_Mix'!$A$2:$A$977,0)),0)</f>
        <v/>
      </c>
      <c r="O1051" s="6">
        <f>IFERROR(INDEX('02b_DC_Accelerator_Mix'!$L$2:$L$977,MATCH(G1051,'02b_DC_Accelerator_Mix'!$A$2:$A$977,0)),0)</f>
        <v/>
      </c>
      <c r="P1051" s="6">
        <f>IFERROR(INDEX('02b_DC_Accelerator_Mix'!$M$2:$M$977,MATCH(G1051,'02b_DC_Accelerator_Mix'!$A$2:$A$977,0)),0)</f>
        <v/>
      </c>
      <c r="Q1051" s="6">
        <f>IFERROR(INDEX('02b_DC_Accelerator_Mix'!$N$2:$N$977,MATCH(G1051,'02b_DC_Accelerator_Mix'!$A$2:$A$977,0)),0)</f>
        <v/>
      </c>
      <c r="R1051" s="28">
        <f>H1051*I1051</f>
        <v/>
      </c>
      <c r="S1051" s="28">
        <f>H1051*J1051</f>
        <v/>
      </c>
      <c r="T1051" s="28">
        <f>H1051*K1051</f>
        <v/>
      </c>
      <c r="U1051" s="28">
        <f>H1051*L1051</f>
        <v/>
      </c>
      <c r="V1051" s="28">
        <f>H1051*M1051</f>
        <v/>
      </c>
      <c r="W1051" s="28">
        <f>H1051*N1051</f>
        <v/>
      </c>
      <c r="X1051" s="28">
        <f>H1051*O1051</f>
        <v/>
      </c>
      <c r="Y1051" s="28">
        <f>H1051*P1051</f>
        <v/>
      </c>
      <c r="Z1051" s="28">
        <f>H1051*Q1051</f>
        <v/>
      </c>
      <c r="AA1051" s="28">
        <f>SUM(U1051:Z1051)</f>
        <v/>
      </c>
      <c r="AB1051" s="5">
        <f>IF(COUNTIF('02b_DC_Accelerator_Mix'!$A$2:$A$977,G1051)&gt;0,"matched","missing_mix")</f>
        <v/>
      </c>
    </row>
    <row r="1052">
      <c r="A1052" s="5">
        <f>'02a_DC_Capacity_Alloc'!A1052</f>
        <v/>
      </c>
      <c r="B1052" s="5">
        <f>'02a_DC_Capacity_Alloc'!B1052</f>
        <v/>
      </c>
      <c r="C1052" s="5">
        <f>'02a_DC_Capacity_Alloc'!C1052</f>
        <v/>
      </c>
      <c r="D1052" s="5">
        <f>'02a_DC_Capacity_Alloc'!D1052</f>
        <v/>
      </c>
      <c r="E1052" s="5">
        <f>'02a_DC_Capacity_Alloc'!E1052</f>
        <v/>
      </c>
      <c r="F1052" s="5">
        <f>'02a_DC_Capacity_Alloc'!F1052</f>
        <v/>
      </c>
      <c r="G1052" s="5">
        <f>B1052&amp;"|"&amp;E1052&amp;"|"&amp;D1052</f>
        <v/>
      </c>
      <c r="H1052" s="28">
        <f>'02a_DC_Capacity_Alloc'!H1052*'02a_DC_Capacity_Alloc'!I1052*'02a_DC_Capacity_Alloc'!J1052</f>
        <v/>
      </c>
      <c r="I1052" s="6">
        <f>IFERROR(INDEX('02b_DC_Accelerator_Mix'!$F$2:$F$977,MATCH(G1052,'02b_DC_Accelerator_Mix'!$A$2:$A$977,0)),0)</f>
        <v/>
      </c>
      <c r="J1052" s="6">
        <f>IFERROR(INDEX('02b_DC_Accelerator_Mix'!$G$2:$G$977,MATCH(G1052,'02b_DC_Accelerator_Mix'!$A$2:$A$977,0)),0)</f>
        <v/>
      </c>
      <c r="K1052" s="6">
        <f>IFERROR(INDEX('02b_DC_Accelerator_Mix'!$H$2:$H$977,MATCH(G1052,'02b_DC_Accelerator_Mix'!$A$2:$A$977,0)),0)</f>
        <v/>
      </c>
      <c r="L1052" s="6">
        <f>IFERROR(INDEX('02b_DC_Accelerator_Mix'!$I$2:$I$977,MATCH(G1052,'02b_DC_Accelerator_Mix'!$A$2:$A$977,0)),0)</f>
        <v/>
      </c>
      <c r="M1052" s="6">
        <f>IFERROR(INDEX('02b_DC_Accelerator_Mix'!$J$2:$J$977,MATCH(G1052,'02b_DC_Accelerator_Mix'!$A$2:$A$977,0)),0)</f>
        <v/>
      </c>
      <c r="N1052" s="6">
        <f>IFERROR(INDEX('02b_DC_Accelerator_Mix'!$K$2:$K$977,MATCH(G1052,'02b_DC_Accelerator_Mix'!$A$2:$A$977,0)),0)</f>
        <v/>
      </c>
      <c r="O1052" s="6">
        <f>IFERROR(INDEX('02b_DC_Accelerator_Mix'!$L$2:$L$977,MATCH(G1052,'02b_DC_Accelerator_Mix'!$A$2:$A$977,0)),0)</f>
        <v/>
      </c>
      <c r="P1052" s="6">
        <f>IFERROR(INDEX('02b_DC_Accelerator_Mix'!$M$2:$M$977,MATCH(G1052,'02b_DC_Accelerator_Mix'!$A$2:$A$977,0)),0)</f>
        <v/>
      </c>
      <c r="Q1052" s="6">
        <f>IFERROR(INDEX('02b_DC_Accelerator_Mix'!$N$2:$N$977,MATCH(G1052,'02b_DC_Accelerator_Mix'!$A$2:$A$977,0)),0)</f>
        <v/>
      </c>
      <c r="R1052" s="28">
        <f>H1052*I1052</f>
        <v/>
      </c>
      <c r="S1052" s="28">
        <f>H1052*J1052</f>
        <v/>
      </c>
      <c r="T1052" s="28">
        <f>H1052*K1052</f>
        <v/>
      </c>
      <c r="U1052" s="28">
        <f>H1052*L1052</f>
        <v/>
      </c>
      <c r="V1052" s="28">
        <f>H1052*M1052</f>
        <v/>
      </c>
      <c r="W1052" s="28">
        <f>H1052*N1052</f>
        <v/>
      </c>
      <c r="X1052" s="28">
        <f>H1052*O1052</f>
        <v/>
      </c>
      <c r="Y1052" s="28">
        <f>H1052*P1052</f>
        <v/>
      </c>
      <c r="Z1052" s="28">
        <f>H1052*Q1052</f>
        <v/>
      </c>
      <c r="AA1052" s="28">
        <f>SUM(U1052:Z1052)</f>
        <v/>
      </c>
      <c r="AB1052" s="5">
        <f>IF(COUNTIF('02b_DC_Accelerator_Mix'!$A$2:$A$977,G1052)&gt;0,"matched","missing_mix")</f>
        <v/>
      </c>
    </row>
    <row r="1053">
      <c r="A1053" s="5">
        <f>'02a_DC_Capacity_Alloc'!A1053</f>
        <v/>
      </c>
      <c r="B1053" s="5">
        <f>'02a_DC_Capacity_Alloc'!B1053</f>
        <v/>
      </c>
      <c r="C1053" s="5">
        <f>'02a_DC_Capacity_Alloc'!C1053</f>
        <v/>
      </c>
      <c r="D1053" s="5">
        <f>'02a_DC_Capacity_Alloc'!D1053</f>
        <v/>
      </c>
      <c r="E1053" s="5">
        <f>'02a_DC_Capacity_Alloc'!E1053</f>
        <v/>
      </c>
      <c r="F1053" s="5">
        <f>'02a_DC_Capacity_Alloc'!F1053</f>
        <v/>
      </c>
      <c r="G1053" s="5">
        <f>B1053&amp;"|"&amp;E1053&amp;"|"&amp;D1053</f>
        <v/>
      </c>
      <c r="H1053" s="28">
        <f>'02a_DC_Capacity_Alloc'!H1053*'02a_DC_Capacity_Alloc'!I1053*'02a_DC_Capacity_Alloc'!J1053</f>
        <v/>
      </c>
      <c r="I1053" s="6">
        <f>IFERROR(INDEX('02b_DC_Accelerator_Mix'!$F$2:$F$977,MATCH(G1053,'02b_DC_Accelerator_Mix'!$A$2:$A$977,0)),0)</f>
        <v/>
      </c>
      <c r="J1053" s="6">
        <f>IFERROR(INDEX('02b_DC_Accelerator_Mix'!$G$2:$G$977,MATCH(G1053,'02b_DC_Accelerator_Mix'!$A$2:$A$977,0)),0)</f>
        <v/>
      </c>
      <c r="K1053" s="6">
        <f>IFERROR(INDEX('02b_DC_Accelerator_Mix'!$H$2:$H$977,MATCH(G1053,'02b_DC_Accelerator_Mix'!$A$2:$A$977,0)),0)</f>
        <v/>
      </c>
      <c r="L1053" s="6">
        <f>IFERROR(INDEX('02b_DC_Accelerator_Mix'!$I$2:$I$977,MATCH(G1053,'02b_DC_Accelerator_Mix'!$A$2:$A$977,0)),0)</f>
        <v/>
      </c>
      <c r="M1053" s="6">
        <f>IFERROR(INDEX('02b_DC_Accelerator_Mix'!$J$2:$J$977,MATCH(G1053,'02b_DC_Accelerator_Mix'!$A$2:$A$977,0)),0)</f>
        <v/>
      </c>
      <c r="N1053" s="6">
        <f>IFERROR(INDEX('02b_DC_Accelerator_Mix'!$K$2:$K$977,MATCH(G1053,'02b_DC_Accelerator_Mix'!$A$2:$A$977,0)),0)</f>
        <v/>
      </c>
      <c r="O1053" s="6">
        <f>IFERROR(INDEX('02b_DC_Accelerator_Mix'!$L$2:$L$977,MATCH(G1053,'02b_DC_Accelerator_Mix'!$A$2:$A$977,0)),0)</f>
        <v/>
      </c>
      <c r="P1053" s="6">
        <f>IFERROR(INDEX('02b_DC_Accelerator_Mix'!$M$2:$M$977,MATCH(G1053,'02b_DC_Accelerator_Mix'!$A$2:$A$977,0)),0)</f>
        <v/>
      </c>
      <c r="Q1053" s="6">
        <f>IFERROR(INDEX('02b_DC_Accelerator_Mix'!$N$2:$N$977,MATCH(G1053,'02b_DC_Accelerator_Mix'!$A$2:$A$977,0)),0)</f>
        <v/>
      </c>
      <c r="R1053" s="28">
        <f>H1053*I1053</f>
        <v/>
      </c>
      <c r="S1053" s="28">
        <f>H1053*J1053</f>
        <v/>
      </c>
      <c r="T1053" s="28">
        <f>H1053*K1053</f>
        <v/>
      </c>
      <c r="U1053" s="28">
        <f>H1053*L1053</f>
        <v/>
      </c>
      <c r="V1053" s="28">
        <f>H1053*M1053</f>
        <v/>
      </c>
      <c r="W1053" s="28">
        <f>H1053*N1053</f>
        <v/>
      </c>
      <c r="X1053" s="28">
        <f>H1053*O1053</f>
        <v/>
      </c>
      <c r="Y1053" s="28">
        <f>H1053*P1053</f>
        <v/>
      </c>
      <c r="Z1053" s="28">
        <f>H1053*Q1053</f>
        <v/>
      </c>
      <c r="AA1053" s="28">
        <f>SUM(U1053:Z1053)</f>
        <v/>
      </c>
      <c r="AB1053" s="5">
        <f>IF(COUNTIF('02b_DC_Accelerator_Mix'!$A$2:$A$977,G1053)&gt;0,"matched","missing_mix")</f>
        <v/>
      </c>
    </row>
    <row r="1054">
      <c r="A1054" s="5">
        <f>'02a_DC_Capacity_Alloc'!A1054</f>
        <v/>
      </c>
      <c r="B1054" s="5">
        <f>'02a_DC_Capacity_Alloc'!B1054</f>
        <v/>
      </c>
      <c r="C1054" s="5">
        <f>'02a_DC_Capacity_Alloc'!C1054</f>
        <v/>
      </c>
      <c r="D1054" s="5">
        <f>'02a_DC_Capacity_Alloc'!D1054</f>
        <v/>
      </c>
      <c r="E1054" s="5">
        <f>'02a_DC_Capacity_Alloc'!E1054</f>
        <v/>
      </c>
      <c r="F1054" s="5">
        <f>'02a_DC_Capacity_Alloc'!F1054</f>
        <v/>
      </c>
      <c r="G1054" s="5">
        <f>B1054&amp;"|"&amp;E1054&amp;"|"&amp;D1054</f>
        <v/>
      </c>
      <c r="H1054" s="28">
        <f>'02a_DC_Capacity_Alloc'!H1054*'02a_DC_Capacity_Alloc'!I1054*'02a_DC_Capacity_Alloc'!J1054</f>
        <v/>
      </c>
      <c r="I1054" s="6">
        <f>IFERROR(INDEX('02b_DC_Accelerator_Mix'!$F$2:$F$977,MATCH(G1054,'02b_DC_Accelerator_Mix'!$A$2:$A$977,0)),0)</f>
        <v/>
      </c>
      <c r="J1054" s="6">
        <f>IFERROR(INDEX('02b_DC_Accelerator_Mix'!$G$2:$G$977,MATCH(G1054,'02b_DC_Accelerator_Mix'!$A$2:$A$977,0)),0)</f>
        <v/>
      </c>
      <c r="K1054" s="6">
        <f>IFERROR(INDEX('02b_DC_Accelerator_Mix'!$H$2:$H$977,MATCH(G1054,'02b_DC_Accelerator_Mix'!$A$2:$A$977,0)),0)</f>
        <v/>
      </c>
      <c r="L1054" s="6">
        <f>IFERROR(INDEX('02b_DC_Accelerator_Mix'!$I$2:$I$977,MATCH(G1054,'02b_DC_Accelerator_Mix'!$A$2:$A$977,0)),0)</f>
        <v/>
      </c>
      <c r="M1054" s="6">
        <f>IFERROR(INDEX('02b_DC_Accelerator_Mix'!$J$2:$J$977,MATCH(G1054,'02b_DC_Accelerator_Mix'!$A$2:$A$977,0)),0)</f>
        <v/>
      </c>
      <c r="N1054" s="6">
        <f>IFERROR(INDEX('02b_DC_Accelerator_Mix'!$K$2:$K$977,MATCH(G1054,'02b_DC_Accelerator_Mix'!$A$2:$A$977,0)),0)</f>
        <v/>
      </c>
      <c r="O1054" s="6">
        <f>IFERROR(INDEX('02b_DC_Accelerator_Mix'!$L$2:$L$977,MATCH(G1054,'02b_DC_Accelerator_Mix'!$A$2:$A$977,0)),0)</f>
        <v/>
      </c>
      <c r="P1054" s="6">
        <f>IFERROR(INDEX('02b_DC_Accelerator_Mix'!$M$2:$M$977,MATCH(G1054,'02b_DC_Accelerator_Mix'!$A$2:$A$977,0)),0)</f>
        <v/>
      </c>
      <c r="Q1054" s="6">
        <f>IFERROR(INDEX('02b_DC_Accelerator_Mix'!$N$2:$N$977,MATCH(G1054,'02b_DC_Accelerator_Mix'!$A$2:$A$977,0)),0)</f>
        <v/>
      </c>
      <c r="R1054" s="28">
        <f>H1054*I1054</f>
        <v/>
      </c>
      <c r="S1054" s="28">
        <f>H1054*J1054</f>
        <v/>
      </c>
      <c r="T1054" s="28">
        <f>H1054*K1054</f>
        <v/>
      </c>
      <c r="U1054" s="28">
        <f>H1054*L1054</f>
        <v/>
      </c>
      <c r="V1054" s="28">
        <f>H1054*M1054</f>
        <v/>
      </c>
      <c r="W1054" s="28">
        <f>H1054*N1054</f>
        <v/>
      </c>
      <c r="X1054" s="28">
        <f>H1054*O1054</f>
        <v/>
      </c>
      <c r="Y1054" s="28">
        <f>H1054*P1054</f>
        <v/>
      </c>
      <c r="Z1054" s="28">
        <f>H1054*Q1054</f>
        <v/>
      </c>
      <c r="AA1054" s="28">
        <f>SUM(U1054:Z1054)</f>
        <v/>
      </c>
      <c r="AB1054" s="5">
        <f>IF(COUNTIF('02b_DC_Accelerator_Mix'!$A$2:$A$977,G1054)&gt;0,"matched","missing_mix")</f>
        <v/>
      </c>
    </row>
    <row r="1055">
      <c r="A1055" s="5">
        <f>'02a_DC_Capacity_Alloc'!A1055</f>
        <v/>
      </c>
      <c r="B1055" s="5">
        <f>'02a_DC_Capacity_Alloc'!B1055</f>
        <v/>
      </c>
      <c r="C1055" s="5">
        <f>'02a_DC_Capacity_Alloc'!C1055</f>
        <v/>
      </c>
      <c r="D1055" s="5">
        <f>'02a_DC_Capacity_Alloc'!D1055</f>
        <v/>
      </c>
      <c r="E1055" s="5">
        <f>'02a_DC_Capacity_Alloc'!E1055</f>
        <v/>
      </c>
      <c r="F1055" s="5">
        <f>'02a_DC_Capacity_Alloc'!F1055</f>
        <v/>
      </c>
      <c r="G1055" s="5">
        <f>B1055&amp;"|"&amp;E1055&amp;"|"&amp;D1055</f>
        <v/>
      </c>
      <c r="H1055" s="28">
        <f>'02a_DC_Capacity_Alloc'!H1055*'02a_DC_Capacity_Alloc'!I1055*'02a_DC_Capacity_Alloc'!J1055</f>
        <v/>
      </c>
      <c r="I1055" s="6">
        <f>IFERROR(INDEX('02b_DC_Accelerator_Mix'!$F$2:$F$977,MATCH(G1055,'02b_DC_Accelerator_Mix'!$A$2:$A$977,0)),0)</f>
        <v/>
      </c>
      <c r="J1055" s="6">
        <f>IFERROR(INDEX('02b_DC_Accelerator_Mix'!$G$2:$G$977,MATCH(G1055,'02b_DC_Accelerator_Mix'!$A$2:$A$977,0)),0)</f>
        <v/>
      </c>
      <c r="K1055" s="6">
        <f>IFERROR(INDEX('02b_DC_Accelerator_Mix'!$H$2:$H$977,MATCH(G1055,'02b_DC_Accelerator_Mix'!$A$2:$A$977,0)),0)</f>
        <v/>
      </c>
      <c r="L1055" s="6">
        <f>IFERROR(INDEX('02b_DC_Accelerator_Mix'!$I$2:$I$977,MATCH(G1055,'02b_DC_Accelerator_Mix'!$A$2:$A$977,0)),0)</f>
        <v/>
      </c>
      <c r="M1055" s="6">
        <f>IFERROR(INDEX('02b_DC_Accelerator_Mix'!$J$2:$J$977,MATCH(G1055,'02b_DC_Accelerator_Mix'!$A$2:$A$977,0)),0)</f>
        <v/>
      </c>
      <c r="N1055" s="6">
        <f>IFERROR(INDEX('02b_DC_Accelerator_Mix'!$K$2:$K$977,MATCH(G1055,'02b_DC_Accelerator_Mix'!$A$2:$A$977,0)),0)</f>
        <v/>
      </c>
      <c r="O1055" s="6">
        <f>IFERROR(INDEX('02b_DC_Accelerator_Mix'!$L$2:$L$977,MATCH(G1055,'02b_DC_Accelerator_Mix'!$A$2:$A$977,0)),0)</f>
        <v/>
      </c>
      <c r="P1055" s="6">
        <f>IFERROR(INDEX('02b_DC_Accelerator_Mix'!$M$2:$M$977,MATCH(G1055,'02b_DC_Accelerator_Mix'!$A$2:$A$977,0)),0)</f>
        <v/>
      </c>
      <c r="Q1055" s="6">
        <f>IFERROR(INDEX('02b_DC_Accelerator_Mix'!$N$2:$N$977,MATCH(G1055,'02b_DC_Accelerator_Mix'!$A$2:$A$977,0)),0)</f>
        <v/>
      </c>
      <c r="R1055" s="28">
        <f>H1055*I1055</f>
        <v/>
      </c>
      <c r="S1055" s="28">
        <f>H1055*J1055</f>
        <v/>
      </c>
      <c r="T1055" s="28">
        <f>H1055*K1055</f>
        <v/>
      </c>
      <c r="U1055" s="28">
        <f>H1055*L1055</f>
        <v/>
      </c>
      <c r="V1055" s="28">
        <f>H1055*M1055</f>
        <v/>
      </c>
      <c r="W1055" s="28">
        <f>H1055*N1055</f>
        <v/>
      </c>
      <c r="X1055" s="28">
        <f>H1055*O1055</f>
        <v/>
      </c>
      <c r="Y1055" s="28">
        <f>H1055*P1055</f>
        <v/>
      </c>
      <c r="Z1055" s="28">
        <f>H1055*Q1055</f>
        <v/>
      </c>
      <c r="AA1055" s="28">
        <f>SUM(U1055:Z1055)</f>
        <v/>
      </c>
      <c r="AB1055" s="5">
        <f>IF(COUNTIF('02b_DC_Accelerator_Mix'!$A$2:$A$977,G1055)&gt;0,"matched","missing_mix")</f>
        <v/>
      </c>
    </row>
    <row r="1056">
      <c r="A1056" s="5">
        <f>'02a_DC_Capacity_Alloc'!A1056</f>
        <v/>
      </c>
      <c r="B1056" s="5">
        <f>'02a_DC_Capacity_Alloc'!B1056</f>
        <v/>
      </c>
      <c r="C1056" s="5">
        <f>'02a_DC_Capacity_Alloc'!C1056</f>
        <v/>
      </c>
      <c r="D1056" s="5">
        <f>'02a_DC_Capacity_Alloc'!D1056</f>
        <v/>
      </c>
      <c r="E1056" s="5">
        <f>'02a_DC_Capacity_Alloc'!E1056</f>
        <v/>
      </c>
      <c r="F1056" s="5">
        <f>'02a_DC_Capacity_Alloc'!F1056</f>
        <v/>
      </c>
      <c r="G1056" s="5">
        <f>B1056&amp;"|"&amp;E1056&amp;"|"&amp;D1056</f>
        <v/>
      </c>
      <c r="H1056" s="28">
        <f>'02a_DC_Capacity_Alloc'!H1056*'02a_DC_Capacity_Alloc'!I1056*'02a_DC_Capacity_Alloc'!J1056</f>
        <v/>
      </c>
      <c r="I1056" s="6">
        <f>IFERROR(INDEX('02b_DC_Accelerator_Mix'!$F$2:$F$977,MATCH(G1056,'02b_DC_Accelerator_Mix'!$A$2:$A$977,0)),0)</f>
        <v/>
      </c>
      <c r="J1056" s="6">
        <f>IFERROR(INDEX('02b_DC_Accelerator_Mix'!$G$2:$G$977,MATCH(G1056,'02b_DC_Accelerator_Mix'!$A$2:$A$977,0)),0)</f>
        <v/>
      </c>
      <c r="K1056" s="6">
        <f>IFERROR(INDEX('02b_DC_Accelerator_Mix'!$H$2:$H$977,MATCH(G1056,'02b_DC_Accelerator_Mix'!$A$2:$A$977,0)),0)</f>
        <v/>
      </c>
      <c r="L1056" s="6">
        <f>IFERROR(INDEX('02b_DC_Accelerator_Mix'!$I$2:$I$977,MATCH(G1056,'02b_DC_Accelerator_Mix'!$A$2:$A$977,0)),0)</f>
        <v/>
      </c>
      <c r="M1056" s="6">
        <f>IFERROR(INDEX('02b_DC_Accelerator_Mix'!$J$2:$J$977,MATCH(G1056,'02b_DC_Accelerator_Mix'!$A$2:$A$977,0)),0)</f>
        <v/>
      </c>
      <c r="N1056" s="6">
        <f>IFERROR(INDEX('02b_DC_Accelerator_Mix'!$K$2:$K$977,MATCH(G1056,'02b_DC_Accelerator_Mix'!$A$2:$A$977,0)),0)</f>
        <v/>
      </c>
      <c r="O1056" s="6">
        <f>IFERROR(INDEX('02b_DC_Accelerator_Mix'!$L$2:$L$977,MATCH(G1056,'02b_DC_Accelerator_Mix'!$A$2:$A$977,0)),0)</f>
        <v/>
      </c>
      <c r="P1056" s="6">
        <f>IFERROR(INDEX('02b_DC_Accelerator_Mix'!$M$2:$M$977,MATCH(G1056,'02b_DC_Accelerator_Mix'!$A$2:$A$977,0)),0)</f>
        <v/>
      </c>
      <c r="Q1056" s="6">
        <f>IFERROR(INDEX('02b_DC_Accelerator_Mix'!$N$2:$N$977,MATCH(G1056,'02b_DC_Accelerator_Mix'!$A$2:$A$977,0)),0)</f>
        <v/>
      </c>
      <c r="R1056" s="28">
        <f>H1056*I1056</f>
        <v/>
      </c>
      <c r="S1056" s="28">
        <f>H1056*J1056</f>
        <v/>
      </c>
      <c r="T1056" s="28">
        <f>H1056*K1056</f>
        <v/>
      </c>
      <c r="U1056" s="28">
        <f>H1056*L1056</f>
        <v/>
      </c>
      <c r="V1056" s="28">
        <f>H1056*M1056</f>
        <v/>
      </c>
      <c r="W1056" s="28">
        <f>H1056*N1056</f>
        <v/>
      </c>
      <c r="X1056" s="28">
        <f>H1056*O1056</f>
        <v/>
      </c>
      <c r="Y1056" s="28">
        <f>H1056*P1056</f>
        <v/>
      </c>
      <c r="Z1056" s="28">
        <f>H1056*Q1056</f>
        <v/>
      </c>
      <c r="AA1056" s="28">
        <f>SUM(U1056:Z1056)</f>
        <v/>
      </c>
      <c r="AB1056" s="5">
        <f>IF(COUNTIF('02b_DC_Accelerator_Mix'!$A$2:$A$977,G1056)&gt;0,"matched","missing_mix")</f>
        <v/>
      </c>
    </row>
    <row r="1057">
      <c r="A1057" s="5">
        <f>'02a_DC_Capacity_Alloc'!A1057</f>
        <v/>
      </c>
      <c r="B1057" s="5">
        <f>'02a_DC_Capacity_Alloc'!B1057</f>
        <v/>
      </c>
      <c r="C1057" s="5">
        <f>'02a_DC_Capacity_Alloc'!C1057</f>
        <v/>
      </c>
      <c r="D1057" s="5">
        <f>'02a_DC_Capacity_Alloc'!D1057</f>
        <v/>
      </c>
      <c r="E1057" s="5">
        <f>'02a_DC_Capacity_Alloc'!E1057</f>
        <v/>
      </c>
      <c r="F1057" s="5">
        <f>'02a_DC_Capacity_Alloc'!F1057</f>
        <v/>
      </c>
      <c r="G1057" s="5">
        <f>B1057&amp;"|"&amp;E1057&amp;"|"&amp;D1057</f>
        <v/>
      </c>
      <c r="H1057" s="28">
        <f>'02a_DC_Capacity_Alloc'!H1057*'02a_DC_Capacity_Alloc'!I1057*'02a_DC_Capacity_Alloc'!J1057</f>
        <v/>
      </c>
      <c r="I1057" s="6">
        <f>IFERROR(INDEX('02b_DC_Accelerator_Mix'!$F$2:$F$977,MATCH(G1057,'02b_DC_Accelerator_Mix'!$A$2:$A$977,0)),0)</f>
        <v/>
      </c>
      <c r="J1057" s="6">
        <f>IFERROR(INDEX('02b_DC_Accelerator_Mix'!$G$2:$G$977,MATCH(G1057,'02b_DC_Accelerator_Mix'!$A$2:$A$977,0)),0)</f>
        <v/>
      </c>
      <c r="K1057" s="6">
        <f>IFERROR(INDEX('02b_DC_Accelerator_Mix'!$H$2:$H$977,MATCH(G1057,'02b_DC_Accelerator_Mix'!$A$2:$A$977,0)),0)</f>
        <v/>
      </c>
      <c r="L1057" s="6">
        <f>IFERROR(INDEX('02b_DC_Accelerator_Mix'!$I$2:$I$977,MATCH(G1057,'02b_DC_Accelerator_Mix'!$A$2:$A$977,0)),0)</f>
        <v/>
      </c>
      <c r="M1057" s="6">
        <f>IFERROR(INDEX('02b_DC_Accelerator_Mix'!$J$2:$J$977,MATCH(G1057,'02b_DC_Accelerator_Mix'!$A$2:$A$977,0)),0)</f>
        <v/>
      </c>
      <c r="N1057" s="6">
        <f>IFERROR(INDEX('02b_DC_Accelerator_Mix'!$K$2:$K$977,MATCH(G1057,'02b_DC_Accelerator_Mix'!$A$2:$A$977,0)),0)</f>
        <v/>
      </c>
      <c r="O1057" s="6">
        <f>IFERROR(INDEX('02b_DC_Accelerator_Mix'!$L$2:$L$977,MATCH(G1057,'02b_DC_Accelerator_Mix'!$A$2:$A$977,0)),0)</f>
        <v/>
      </c>
      <c r="P1057" s="6">
        <f>IFERROR(INDEX('02b_DC_Accelerator_Mix'!$M$2:$M$977,MATCH(G1057,'02b_DC_Accelerator_Mix'!$A$2:$A$977,0)),0)</f>
        <v/>
      </c>
      <c r="Q1057" s="6">
        <f>IFERROR(INDEX('02b_DC_Accelerator_Mix'!$N$2:$N$977,MATCH(G1057,'02b_DC_Accelerator_Mix'!$A$2:$A$977,0)),0)</f>
        <v/>
      </c>
      <c r="R1057" s="28">
        <f>H1057*I1057</f>
        <v/>
      </c>
      <c r="S1057" s="28">
        <f>H1057*J1057</f>
        <v/>
      </c>
      <c r="T1057" s="28">
        <f>H1057*K1057</f>
        <v/>
      </c>
      <c r="U1057" s="28">
        <f>H1057*L1057</f>
        <v/>
      </c>
      <c r="V1057" s="28">
        <f>H1057*M1057</f>
        <v/>
      </c>
      <c r="W1057" s="28">
        <f>H1057*N1057</f>
        <v/>
      </c>
      <c r="X1057" s="28">
        <f>H1057*O1057</f>
        <v/>
      </c>
      <c r="Y1057" s="28">
        <f>H1057*P1057</f>
        <v/>
      </c>
      <c r="Z1057" s="28">
        <f>H1057*Q1057</f>
        <v/>
      </c>
      <c r="AA1057" s="28">
        <f>SUM(U1057:Z1057)</f>
        <v/>
      </c>
      <c r="AB1057" s="5">
        <f>IF(COUNTIF('02b_DC_Accelerator_Mix'!$A$2:$A$977,G1057)&gt;0,"matched","missing_mix")</f>
        <v/>
      </c>
    </row>
  </sheetData>
  <autoFilter ref="A1:AB10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72" customWidth="1" min="16" max="16"/>
    <col width="34" customWidth="1" min="17" max="17"/>
    <col width="72" customWidth="1" min="18" max="1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h200_reference_share</t>
        </is>
      </c>
      <c r="E1" s="4" t="inlineStr">
        <is>
          <t>b200_reference_share</t>
        </is>
      </c>
      <c r="F1" s="4" t="inlineStr">
        <is>
          <t>gb200_reference_share</t>
        </is>
      </c>
      <c r="G1" s="4" t="inlineStr">
        <is>
          <t>purpose_or_unbenchmarked_share</t>
        </is>
      </c>
      <c r="H1" s="4" t="inlineStr">
        <is>
          <t>share_sum_check</t>
        </is>
      </c>
      <c r="I1" s="4" t="inlineStr">
        <is>
          <t>inference_weight_mw</t>
        </is>
      </c>
      <c r="J1" s="4" t="inlineStr">
        <is>
          <t>r200_future_share</t>
        </is>
      </c>
      <c r="K1" s="4" t="inlineStr">
        <is>
          <t>tpu_share</t>
        </is>
      </c>
      <c r="L1" s="4" t="inlineStr">
        <is>
          <t>trainium_share</t>
        </is>
      </c>
      <c r="M1" s="4" t="inlineStr">
        <is>
          <t>maia_share</t>
        </is>
      </c>
      <c r="N1" s="4" t="inlineStr">
        <is>
          <t>mtia_share</t>
        </is>
      </c>
      <c r="O1" s="4" t="inlineStr">
        <is>
          <t>other_share</t>
        </is>
      </c>
      <c r="P1" s="4" t="inlineStr">
        <is>
          <t>mix_derivation_formula</t>
        </is>
      </c>
      <c r="Q1" s="4" t="inlineStr">
        <is>
          <t>source_type</t>
        </is>
      </c>
      <c r="R1" s="4" t="inlineStr">
        <is>
          <t>note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>
        <f>IF(I2&gt;0,SUMIFS('02c_DC_Accel_Bridge'!$R$2:$R$1057,'02c_DC_Accel_Bridge'!$B$2:$B$1057,A2,'02c_DC_Accel_Bridge'!$C$2:$C$1057,B2,'02c_DC_Accel_Bridge'!$D$2:$D$1057,C2)/I2,0.079463)</f>
        <v/>
      </c>
      <c r="E2" s="6">
        <f>IF(I2&gt;0,SUMIFS('02c_DC_Accel_Bridge'!$S$2:$S$1057,'02c_DC_Accel_Bridge'!$B$2:$B$1057,A2,'02c_DC_Accel_Bridge'!$C$2:$C$1057,B2,'02c_DC_Accel_Bridge'!$D$2:$D$1057,C2)/I2,0.920537)</f>
        <v/>
      </c>
      <c r="F2" s="6">
        <f>IF(I2&gt;0,SUMIFS('02c_DC_Accel_Bridge'!$T$2:$T$1057,'02c_DC_Accel_Bridge'!$B$2:$B$1057,A2,'02c_DC_Accel_Bridge'!$C$2:$C$1057,B2,'02c_DC_Accel_Bridge'!$D$2:$D$1057,C2)/I2,0.0)</f>
        <v/>
      </c>
      <c r="G2" s="6">
        <f>IF(I2&gt;0,SUMIFS('02c_DC_Accel_Bridge'!$AA$2:$AA$1057,'02c_DC_Accel_Bridge'!$B$2:$B$1057,A2,'02c_DC_Accel_Bridge'!$C$2:$C$1057,B2,'02c_DC_Accel_Bridge'!$D$2:$D$1057,C2)/I2,0.0)</f>
        <v/>
      </c>
      <c r="H2" s="6">
        <f>SUM(D2:G2)</f>
        <v/>
      </c>
      <c r="I2" s="28">
        <f>SUMIFS('02c_DC_Accel_Bridge'!$H$2:$H$1057,'02c_DC_Accel_Bridge'!$B$2:$B$1057,A2,'02c_DC_Accel_Bridge'!$C$2:$C$1057,B2,'02c_DC_Accel_Bridge'!$D$2:$D$1057,C2)</f>
        <v/>
      </c>
      <c r="J2" s="6">
        <f>IF(I2&gt;0,SUMIFS('02c_DC_Accel_Bridge'!$U$2:$U$1057,'02c_DC_Accel_Bridge'!$B$2:$B$1057,A2,'02c_DC_Accel_Bridge'!$C$2:$C$1057,B2,'02c_DC_Accel_Bridge'!$D$2:$D$1057,C2)/I2,0)</f>
        <v/>
      </c>
      <c r="K2" s="6">
        <f>IF(I2&gt;0,SUMIFS('02c_DC_Accel_Bridge'!$V$2:$V$1057,'02c_DC_Accel_Bridge'!$B$2:$B$1057,A2,'02c_DC_Accel_Bridge'!$C$2:$C$1057,B2,'02c_DC_Accel_Bridge'!$D$2:$D$1057,C2)/I2,0)</f>
        <v/>
      </c>
      <c r="L2" s="6">
        <f>IF(I2&gt;0,SUMIFS('02c_DC_Accel_Bridge'!$W$2:$W$1057,'02c_DC_Accel_Bridge'!$B$2:$B$1057,A2,'02c_DC_Accel_Bridge'!$C$2:$C$1057,B2,'02c_DC_Accel_Bridge'!$D$2:$D$1057,C2)/I2,0)</f>
        <v/>
      </c>
      <c r="M2" s="6">
        <f>IF(I2&gt;0,SUMIFS('02c_DC_Accel_Bridge'!$X$2:$X$1057,'02c_DC_Accel_Bridge'!$B$2:$B$1057,A2,'02c_DC_Accel_Bridge'!$C$2:$C$1057,B2,'02c_DC_Accel_Bridge'!$D$2:$D$1057,C2)/I2,0)</f>
        <v/>
      </c>
      <c r="N2" s="6">
        <f>IF(I2&gt;0,SUMIFS('02c_DC_Accel_Bridge'!$Y$2:$Y$1057,'02c_DC_Accel_Bridge'!$B$2:$B$1057,A2,'02c_DC_Accel_Bridge'!$C$2:$C$1057,B2,'02c_DC_Accel_Bridge'!$D$2:$D$1057,C2)/I2,0)</f>
        <v/>
      </c>
      <c r="O2" s="6">
        <f>IF(I2&gt;0,SUMIFS('02c_DC_Accel_Bridge'!$Z$2:$Z$1057,'02c_DC_Accel_Bridge'!$B$2:$B$1057,A2,'02c_DC_Accel_Bridge'!$C$2:$C$1057,B2,'02c_DC_Accel_Bridge'!$D$2:$D$1057,C2)/I2,0)</f>
        <v/>
      </c>
      <c r="P2" s="3" t="inlineStr">
        <is>
          <t>weighted average: sum(site inference_weight_mw * accelerator_share) / sum(site inference_weight_mw)</t>
        </is>
      </c>
      <c r="Q2" s="3" t="inlineStr">
        <is>
          <t>dc_capacity_x_dc_accelerator_mix</t>
        </is>
      </c>
      <c r="R2" s="3" t="inlineStr">
        <is>
          <t>Edit 02a capacity allocation and 02b site accelerator mix; 03_Calculation reads D:G from this sheet.</t>
        </is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>
        <f>IF(I3&gt;0,SUMIFS('02c_DC_Accel_Bridge'!$R$2:$R$1057,'02c_DC_Accel_Bridge'!$B$2:$B$1057,A3,'02c_DC_Accel_Bridge'!$C$2:$C$1057,B3,'02c_DC_Accel_Bridge'!$D$2:$D$1057,C3)/I3,0.033529)</f>
        <v/>
      </c>
      <c r="E3" s="6">
        <f>IF(I3&gt;0,SUMIFS('02c_DC_Accel_Bridge'!$S$2:$S$1057,'02c_DC_Accel_Bridge'!$B$2:$B$1057,A3,'02c_DC_Accel_Bridge'!$C$2:$C$1057,B3,'02c_DC_Accel_Bridge'!$D$2:$D$1057,C3)/I3,0.520995)</f>
        <v/>
      </c>
      <c r="F3" s="6">
        <f>IF(I3&gt;0,SUMIFS('02c_DC_Accel_Bridge'!$T$2:$T$1057,'02c_DC_Accel_Bridge'!$B$2:$B$1057,A3,'02c_DC_Accel_Bridge'!$C$2:$C$1057,B3,'02c_DC_Accel_Bridge'!$D$2:$D$1057,C3)/I3,0.0)</f>
        <v/>
      </c>
      <c r="G3" s="6">
        <f>IF(I3&gt;0,SUMIFS('02c_DC_Accel_Bridge'!$AA$2:$AA$1057,'02c_DC_Accel_Bridge'!$B$2:$B$1057,A3,'02c_DC_Accel_Bridge'!$C$2:$C$1057,B3,'02c_DC_Accel_Bridge'!$D$2:$D$1057,C3)/I3,0.445476)</f>
        <v/>
      </c>
      <c r="H3" s="6">
        <f>SUM(D3:G3)</f>
        <v/>
      </c>
      <c r="I3" s="28">
        <f>SUMIFS('02c_DC_Accel_Bridge'!$H$2:$H$1057,'02c_DC_Accel_Bridge'!$B$2:$B$1057,A3,'02c_DC_Accel_Bridge'!$C$2:$C$1057,B3,'02c_DC_Accel_Bridge'!$D$2:$D$1057,C3)</f>
        <v/>
      </c>
      <c r="J3" s="6">
        <f>IF(I3&gt;0,SUMIFS('02c_DC_Accel_Bridge'!$U$2:$U$1057,'02c_DC_Accel_Bridge'!$B$2:$B$1057,A3,'02c_DC_Accel_Bridge'!$C$2:$C$1057,B3,'02c_DC_Accel_Bridge'!$D$2:$D$1057,C3)/I3,0)</f>
        <v/>
      </c>
      <c r="K3" s="6">
        <f>IF(I3&gt;0,SUMIFS('02c_DC_Accel_Bridge'!$V$2:$V$1057,'02c_DC_Accel_Bridge'!$B$2:$B$1057,A3,'02c_DC_Accel_Bridge'!$C$2:$C$1057,B3,'02c_DC_Accel_Bridge'!$D$2:$D$1057,C3)/I3,0)</f>
        <v/>
      </c>
      <c r="L3" s="6">
        <f>IF(I3&gt;0,SUMIFS('02c_DC_Accel_Bridge'!$W$2:$W$1057,'02c_DC_Accel_Bridge'!$B$2:$B$1057,A3,'02c_DC_Accel_Bridge'!$C$2:$C$1057,B3,'02c_DC_Accel_Bridge'!$D$2:$D$1057,C3)/I3,0)</f>
        <v/>
      </c>
      <c r="M3" s="6">
        <f>IF(I3&gt;0,SUMIFS('02c_DC_Accel_Bridge'!$X$2:$X$1057,'02c_DC_Accel_Bridge'!$B$2:$B$1057,A3,'02c_DC_Accel_Bridge'!$C$2:$C$1057,B3,'02c_DC_Accel_Bridge'!$D$2:$D$1057,C3)/I3,0)</f>
        <v/>
      </c>
      <c r="N3" s="6">
        <f>IF(I3&gt;0,SUMIFS('02c_DC_Accel_Bridge'!$Y$2:$Y$1057,'02c_DC_Accel_Bridge'!$B$2:$B$1057,A3,'02c_DC_Accel_Bridge'!$C$2:$C$1057,B3,'02c_DC_Accel_Bridge'!$D$2:$D$1057,C3)/I3,0)</f>
        <v/>
      </c>
      <c r="O3" s="6">
        <f>IF(I3&gt;0,SUMIFS('02c_DC_Accel_Bridge'!$Z$2:$Z$1057,'02c_DC_Accel_Bridge'!$B$2:$B$1057,A3,'02c_DC_Accel_Bridge'!$C$2:$C$1057,B3,'02c_DC_Accel_Bridge'!$D$2:$D$1057,C3)/I3,0)</f>
        <v/>
      </c>
      <c r="P3" s="3" t="inlineStr">
        <is>
          <t>weighted average: sum(site inference_weight_mw * accelerator_share) / sum(site inference_weight_mw)</t>
        </is>
      </c>
      <c r="Q3" s="3" t="inlineStr">
        <is>
          <t>dc_capacity_x_dc_accelerator_mix</t>
        </is>
      </c>
      <c r="R3" s="3" t="inlineStr">
        <is>
          <t>Edit 02a capacity allocation and 02b site accelerator mix; 03_Calculation reads D:G from this sheet.</t>
        </is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>
        <f>IF(I4&gt;0,SUMIFS('02c_DC_Accel_Bridge'!$R$2:$R$1057,'02c_DC_Accel_Bridge'!$B$2:$B$1057,A4,'02c_DC_Accel_Bridge'!$C$2:$C$1057,B4,'02c_DC_Accel_Bridge'!$D$2:$D$1057,C4)/I4,0.020598)</f>
        <v/>
      </c>
      <c r="E4" s="6">
        <f>IF(I4&gt;0,SUMIFS('02c_DC_Accel_Bridge'!$S$2:$S$1057,'02c_DC_Accel_Bridge'!$B$2:$B$1057,A4,'02c_DC_Accel_Bridge'!$C$2:$C$1057,B4,'02c_DC_Accel_Bridge'!$D$2:$D$1057,C4)/I4,0.705731)</f>
        <v/>
      </c>
      <c r="F4" s="6">
        <f>IF(I4&gt;0,SUMIFS('02c_DC_Accel_Bridge'!$T$2:$T$1057,'02c_DC_Accel_Bridge'!$B$2:$B$1057,A4,'02c_DC_Accel_Bridge'!$C$2:$C$1057,B4,'02c_DC_Accel_Bridge'!$D$2:$D$1057,C4)/I4,0.0)</f>
        <v/>
      </c>
      <c r="G4" s="6">
        <f>IF(I4&gt;0,SUMIFS('02c_DC_Accel_Bridge'!$AA$2:$AA$1057,'02c_DC_Accel_Bridge'!$B$2:$B$1057,A4,'02c_DC_Accel_Bridge'!$C$2:$C$1057,B4,'02c_DC_Accel_Bridge'!$D$2:$D$1057,C4)/I4,0.273671)</f>
        <v/>
      </c>
      <c r="H4" s="6">
        <f>SUM(D4:G4)</f>
        <v/>
      </c>
      <c r="I4" s="28">
        <f>SUMIFS('02c_DC_Accel_Bridge'!$H$2:$H$1057,'02c_DC_Accel_Bridge'!$B$2:$B$1057,A4,'02c_DC_Accel_Bridge'!$C$2:$C$1057,B4,'02c_DC_Accel_Bridge'!$D$2:$D$1057,C4)</f>
        <v/>
      </c>
      <c r="J4" s="6">
        <f>IF(I4&gt;0,SUMIFS('02c_DC_Accel_Bridge'!$U$2:$U$1057,'02c_DC_Accel_Bridge'!$B$2:$B$1057,A4,'02c_DC_Accel_Bridge'!$C$2:$C$1057,B4,'02c_DC_Accel_Bridge'!$D$2:$D$1057,C4)/I4,0)</f>
        <v/>
      </c>
      <c r="K4" s="6">
        <f>IF(I4&gt;0,SUMIFS('02c_DC_Accel_Bridge'!$V$2:$V$1057,'02c_DC_Accel_Bridge'!$B$2:$B$1057,A4,'02c_DC_Accel_Bridge'!$C$2:$C$1057,B4,'02c_DC_Accel_Bridge'!$D$2:$D$1057,C4)/I4,0)</f>
        <v/>
      </c>
      <c r="L4" s="6">
        <f>IF(I4&gt;0,SUMIFS('02c_DC_Accel_Bridge'!$W$2:$W$1057,'02c_DC_Accel_Bridge'!$B$2:$B$1057,A4,'02c_DC_Accel_Bridge'!$C$2:$C$1057,B4,'02c_DC_Accel_Bridge'!$D$2:$D$1057,C4)/I4,0)</f>
        <v/>
      </c>
      <c r="M4" s="6">
        <f>IF(I4&gt;0,SUMIFS('02c_DC_Accel_Bridge'!$X$2:$X$1057,'02c_DC_Accel_Bridge'!$B$2:$B$1057,A4,'02c_DC_Accel_Bridge'!$C$2:$C$1057,B4,'02c_DC_Accel_Bridge'!$D$2:$D$1057,C4)/I4,0)</f>
        <v/>
      </c>
      <c r="N4" s="6">
        <f>IF(I4&gt;0,SUMIFS('02c_DC_Accel_Bridge'!$Y$2:$Y$1057,'02c_DC_Accel_Bridge'!$B$2:$B$1057,A4,'02c_DC_Accel_Bridge'!$C$2:$C$1057,B4,'02c_DC_Accel_Bridge'!$D$2:$D$1057,C4)/I4,0)</f>
        <v/>
      </c>
      <c r="O4" s="6">
        <f>IF(I4&gt;0,SUMIFS('02c_DC_Accel_Bridge'!$Z$2:$Z$1057,'02c_DC_Accel_Bridge'!$B$2:$B$1057,A4,'02c_DC_Accel_Bridge'!$C$2:$C$1057,B4,'02c_DC_Accel_Bridge'!$D$2:$D$1057,C4)/I4,0)</f>
        <v/>
      </c>
      <c r="P4" s="3" t="inlineStr">
        <is>
          <t>weighted average: sum(site inference_weight_mw * accelerator_share) / sum(site inference_weight_mw)</t>
        </is>
      </c>
      <c r="Q4" s="3" t="inlineStr">
        <is>
          <t>dc_capacity_x_dc_accelerator_mix</t>
        </is>
      </c>
      <c r="R4" s="3" t="inlineStr">
        <is>
          <t>Edit 02a capacity allocation and 02b site accelerator mix; 03_Calculation reads D:G from this sheet.</t>
        </is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>
        <f>IF(I5&gt;0,SUMIFS('02c_DC_Accel_Bridge'!$R$2:$R$1057,'02c_DC_Accel_Bridge'!$B$2:$B$1057,A5,'02c_DC_Accel_Bridge'!$C$2:$C$1057,B5,'02c_DC_Accel_Bridge'!$D$2:$D$1057,C5)/I5,0.020598)</f>
        <v/>
      </c>
      <c r="E5" s="6">
        <f>IF(I5&gt;0,SUMIFS('02c_DC_Accel_Bridge'!$S$2:$S$1057,'02c_DC_Accel_Bridge'!$B$2:$B$1057,A5,'02c_DC_Accel_Bridge'!$C$2:$C$1057,B5,'02c_DC_Accel_Bridge'!$D$2:$D$1057,C5)/I5,0.705731)</f>
        <v/>
      </c>
      <c r="F5" s="6">
        <f>IF(I5&gt;0,SUMIFS('02c_DC_Accel_Bridge'!$T$2:$T$1057,'02c_DC_Accel_Bridge'!$B$2:$B$1057,A5,'02c_DC_Accel_Bridge'!$C$2:$C$1057,B5,'02c_DC_Accel_Bridge'!$D$2:$D$1057,C5)/I5,0.0)</f>
        <v/>
      </c>
      <c r="G5" s="6">
        <f>IF(I5&gt;0,SUMIFS('02c_DC_Accel_Bridge'!$AA$2:$AA$1057,'02c_DC_Accel_Bridge'!$B$2:$B$1057,A5,'02c_DC_Accel_Bridge'!$C$2:$C$1057,B5,'02c_DC_Accel_Bridge'!$D$2:$D$1057,C5)/I5,0.273671)</f>
        <v/>
      </c>
      <c r="H5" s="6">
        <f>SUM(D5:G5)</f>
        <v/>
      </c>
      <c r="I5" s="28">
        <f>SUMIFS('02c_DC_Accel_Bridge'!$H$2:$H$1057,'02c_DC_Accel_Bridge'!$B$2:$B$1057,A5,'02c_DC_Accel_Bridge'!$C$2:$C$1057,B5,'02c_DC_Accel_Bridge'!$D$2:$D$1057,C5)</f>
        <v/>
      </c>
      <c r="J5" s="6">
        <f>IF(I5&gt;0,SUMIFS('02c_DC_Accel_Bridge'!$U$2:$U$1057,'02c_DC_Accel_Bridge'!$B$2:$B$1057,A5,'02c_DC_Accel_Bridge'!$C$2:$C$1057,B5,'02c_DC_Accel_Bridge'!$D$2:$D$1057,C5)/I5,0)</f>
        <v/>
      </c>
      <c r="K5" s="6">
        <f>IF(I5&gt;0,SUMIFS('02c_DC_Accel_Bridge'!$V$2:$V$1057,'02c_DC_Accel_Bridge'!$B$2:$B$1057,A5,'02c_DC_Accel_Bridge'!$C$2:$C$1057,B5,'02c_DC_Accel_Bridge'!$D$2:$D$1057,C5)/I5,0)</f>
        <v/>
      </c>
      <c r="L5" s="6">
        <f>IF(I5&gt;0,SUMIFS('02c_DC_Accel_Bridge'!$W$2:$W$1057,'02c_DC_Accel_Bridge'!$B$2:$B$1057,A5,'02c_DC_Accel_Bridge'!$C$2:$C$1057,B5,'02c_DC_Accel_Bridge'!$D$2:$D$1057,C5)/I5,0)</f>
        <v/>
      </c>
      <c r="M5" s="6">
        <f>IF(I5&gt;0,SUMIFS('02c_DC_Accel_Bridge'!$X$2:$X$1057,'02c_DC_Accel_Bridge'!$B$2:$B$1057,A5,'02c_DC_Accel_Bridge'!$C$2:$C$1057,B5,'02c_DC_Accel_Bridge'!$D$2:$D$1057,C5)/I5,0)</f>
        <v/>
      </c>
      <c r="N5" s="6">
        <f>IF(I5&gt;0,SUMIFS('02c_DC_Accel_Bridge'!$Y$2:$Y$1057,'02c_DC_Accel_Bridge'!$B$2:$B$1057,A5,'02c_DC_Accel_Bridge'!$C$2:$C$1057,B5,'02c_DC_Accel_Bridge'!$D$2:$D$1057,C5)/I5,0)</f>
        <v/>
      </c>
      <c r="O5" s="6">
        <f>IF(I5&gt;0,SUMIFS('02c_DC_Accel_Bridge'!$Z$2:$Z$1057,'02c_DC_Accel_Bridge'!$B$2:$B$1057,A5,'02c_DC_Accel_Bridge'!$C$2:$C$1057,B5,'02c_DC_Accel_Bridge'!$D$2:$D$1057,C5)/I5,0)</f>
        <v/>
      </c>
      <c r="P5" s="3" t="inlineStr">
        <is>
          <t>weighted average: sum(site inference_weight_mw * accelerator_share) / sum(site inference_weight_mw)</t>
        </is>
      </c>
      <c r="Q5" s="3" t="inlineStr">
        <is>
          <t>dc_capacity_x_dc_accelerator_mix</t>
        </is>
      </c>
      <c r="R5" s="3" t="inlineStr">
        <is>
          <t>Edit 02a capacity allocation and 02b site accelerator mix; 03_Calculation reads D:G from this sheet.</t>
        </is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>
        <f>IF(I6&gt;0,SUMIFS('02c_DC_Accel_Bridge'!$R$2:$R$1057,'02c_DC_Accel_Bridge'!$B$2:$B$1057,A6,'02c_DC_Accel_Bridge'!$C$2:$C$1057,B6,'02c_DC_Accel_Bridge'!$D$2:$D$1057,C6)/I6,0.020598)</f>
        <v/>
      </c>
      <c r="E6" s="6">
        <f>IF(I6&gt;0,SUMIFS('02c_DC_Accel_Bridge'!$S$2:$S$1057,'02c_DC_Accel_Bridge'!$B$2:$B$1057,A6,'02c_DC_Accel_Bridge'!$C$2:$C$1057,B6,'02c_DC_Accel_Bridge'!$D$2:$D$1057,C6)/I6,0.705731)</f>
        <v/>
      </c>
      <c r="F6" s="6">
        <f>IF(I6&gt;0,SUMIFS('02c_DC_Accel_Bridge'!$T$2:$T$1057,'02c_DC_Accel_Bridge'!$B$2:$B$1057,A6,'02c_DC_Accel_Bridge'!$C$2:$C$1057,B6,'02c_DC_Accel_Bridge'!$D$2:$D$1057,C6)/I6,0.0)</f>
        <v/>
      </c>
      <c r="G6" s="6">
        <f>IF(I6&gt;0,SUMIFS('02c_DC_Accel_Bridge'!$AA$2:$AA$1057,'02c_DC_Accel_Bridge'!$B$2:$B$1057,A6,'02c_DC_Accel_Bridge'!$C$2:$C$1057,B6,'02c_DC_Accel_Bridge'!$D$2:$D$1057,C6)/I6,0.273671)</f>
        <v/>
      </c>
      <c r="H6" s="6">
        <f>SUM(D6:G6)</f>
        <v/>
      </c>
      <c r="I6" s="28">
        <f>SUMIFS('02c_DC_Accel_Bridge'!$H$2:$H$1057,'02c_DC_Accel_Bridge'!$B$2:$B$1057,A6,'02c_DC_Accel_Bridge'!$C$2:$C$1057,B6,'02c_DC_Accel_Bridge'!$D$2:$D$1057,C6)</f>
        <v/>
      </c>
      <c r="J6" s="6">
        <f>IF(I6&gt;0,SUMIFS('02c_DC_Accel_Bridge'!$U$2:$U$1057,'02c_DC_Accel_Bridge'!$B$2:$B$1057,A6,'02c_DC_Accel_Bridge'!$C$2:$C$1057,B6,'02c_DC_Accel_Bridge'!$D$2:$D$1057,C6)/I6,0)</f>
        <v/>
      </c>
      <c r="K6" s="6">
        <f>IF(I6&gt;0,SUMIFS('02c_DC_Accel_Bridge'!$V$2:$V$1057,'02c_DC_Accel_Bridge'!$B$2:$B$1057,A6,'02c_DC_Accel_Bridge'!$C$2:$C$1057,B6,'02c_DC_Accel_Bridge'!$D$2:$D$1057,C6)/I6,0)</f>
        <v/>
      </c>
      <c r="L6" s="6">
        <f>IF(I6&gt;0,SUMIFS('02c_DC_Accel_Bridge'!$W$2:$W$1057,'02c_DC_Accel_Bridge'!$B$2:$B$1057,A6,'02c_DC_Accel_Bridge'!$C$2:$C$1057,B6,'02c_DC_Accel_Bridge'!$D$2:$D$1057,C6)/I6,0)</f>
        <v/>
      </c>
      <c r="M6" s="6">
        <f>IF(I6&gt;0,SUMIFS('02c_DC_Accel_Bridge'!$X$2:$X$1057,'02c_DC_Accel_Bridge'!$B$2:$B$1057,A6,'02c_DC_Accel_Bridge'!$C$2:$C$1057,B6,'02c_DC_Accel_Bridge'!$D$2:$D$1057,C6)/I6,0)</f>
        <v/>
      </c>
      <c r="N6" s="6">
        <f>IF(I6&gt;0,SUMIFS('02c_DC_Accel_Bridge'!$Y$2:$Y$1057,'02c_DC_Accel_Bridge'!$B$2:$B$1057,A6,'02c_DC_Accel_Bridge'!$C$2:$C$1057,B6,'02c_DC_Accel_Bridge'!$D$2:$D$1057,C6)/I6,0)</f>
        <v/>
      </c>
      <c r="O6" s="6">
        <f>IF(I6&gt;0,SUMIFS('02c_DC_Accel_Bridge'!$Z$2:$Z$1057,'02c_DC_Accel_Bridge'!$B$2:$B$1057,A6,'02c_DC_Accel_Bridge'!$C$2:$C$1057,B6,'02c_DC_Accel_Bridge'!$D$2:$D$1057,C6)/I6,0)</f>
        <v/>
      </c>
      <c r="P6" s="3" t="inlineStr">
        <is>
          <t>weighted average: sum(site inference_weight_mw * accelerator_share) / sum(site inference_weight_mw)</t>
        </is>
      </c>
      <c r="Q6" s="3" t="inlineStr">
        <is>
          <t>dc_capacity_x_dc_accelerator_mix</t>
        </is>
      </c>
      <c r="R6" s="3" t="inlineStr">
        <is>
          <t>Edit 02a capacity allocation and 02b site accelerator mix; 03_Calculation reads D:G from this sheet.</t>
        </is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>
        <f>IF(I7&gt;0,SUMIFS('02c_DC_Accel_Bridge'!$R$2:$R$1057,'02c_DC_Accel_Bridge'!$B$2:$B$1057,A7,'02c_DC_Accel_Bridge'!$C$2:$C$1057,B7,'02c_DC_Accel_Bridge'!$D$2:$D$1057,C7)/I7,0.0)</f>
        <v/>
      </c>
      <c r="E7" s="6">
        <f>IF(I7&gt;0,SUMIFS('02c_DC_Accel_Bridge'!$S$2:$S$1057,'02c_DC_Accel_Bridge'!$B$2:$B$1057,A7,'02c_DC_Accel_Bridge'!$C$2:$C$1057,B7,'02c_DC_Accel_Bridge'!$D$2:$D$1057,C7)/I7,0.0)</f>
        <v/>
      </c>
      <c r="F7" s="6">
        <f>IF(I7&gt;0,SUMIFS('02c_DC_Accel_Bridge'!$T$2:$T$1057,'02c_DC_Accel_Bridge'!$B$2:$B$1057,A7,'02c_DC_Accel_Bridge'!$C$2:$C$1057,B7,'02c_DC_Accel_Bridge'!$D$2:$D$1057,C7)/I7,0.0)</f>
        <v/>
      </c>
      <c r="G7" s="6">
        <f>IF(I7&gt;0,SUMIFS('02c_DC_Accel_Bridge'!$AA$2:$AA$1057,'02c_DC_Accel_Bridge'!$B$2:$B$1057,A7,'02c_DC_Accel_Bridge'!$C$2:$C$1057,B7,'02c_DC_Accel_Bridge'!$D$2:$D$1057,C7)/I7,1.0)</f>
        <v/>
      </c>
      <c r="H7" s="6">
        <f>SUM(D7:G7)</f>
        <v/>
      </c>
      <c r="I7" s="28">
        <f>SUMIFS('02c_DC_Accel_Bridge'!$H$2:$H$1057,'02c_DC_Accel_Bridge'!$B$2:$B$1057,A7,'02c_DC_Accel_Bridge'!$C$2:$C$1057,B7,'02c_DC_Accel_Bridge'!$D$2:$D$1057,C7)</f>
        <v/>
      </c>
      <c r="J7" s="6">
        <f>IF(I7&gt;0,SUMIFS('02c_DC_Accel_Bridge'!$U$2:$U$1057,'02c_DC_Accel_Bridge'!$B$2:$B$1057,A7,'02c_DC_Accel_Bridge'!$C$2:$C$1057,B7,'02c_DC_Accel_Bridge'!$D$2:$D$1057,C7)/I7,0)</f>
        <v/>
      </c>
      <c r="K7" s="6">
        <f>IF(I7&gt;0,SUMIFS('02c_DC_Accel_Bridge'!$V$2:$V$1057,'02c_DC_Accel_Bridge'!$B$2:$B$1057,A7,'02c_DC_Accel_Bridge'!$C$2:$C$1057,B7,'02c_DC_Accel_Bridge'!$D$2:$D$1057,C7)/I7,0)</f>
        <v/>
      </c>
      <c r="L7" s="6">
        <f>IF(I7&gt;0,SUMIFS('02c_DC_Accel_Bridge'!$W$2:$W$1057,'02c_DC_Accel_Bridge'!$B$2:$B$1057,A7,'02c_DC_Accel_Bridge'!$C$2:$C$1057,B7,'02c_DC_Accel_Bridge'!$D$2:$D$1057,C7)/I7,0)</f>
        <v/>
      </c>
      <c r="M7" s="6">
        <f>IF(I7&gt;0,SUMIFS('02c_DC_Accel_Bridge'!$X$2:$X$1057,'02c_DC_Accel_Bridge'!$B$2:$B$1057,A7,'02c_DC_Accel_Bridge'!$C$2:$C$1057,B7,'02c_DC_Accel_Bridge'!$D$2:$D$1057,C7)/I7,0)</f>
        <v/>
      </c>
      <c r="N7" s="6">
        <f>IF(I7&gt;0,SUMIFS('02c_DC_Accel_Bridge'!$Y$2:$Y$1057,'02c_DC_Accel_Bridge'!$B$2:$B$1057,A7,'02c_DC_Accel_Bridge'!$C$2:$C$1057,B7,'02c_DC_Accel_Bridge'!$D$2:$D$1057,C7)/I7,0)</f>
        <v/>
      </c>
      <c r="O7" s="6">
        <f>IF(I7&gt;0,SUMIFS('02c_DC_Accel_Bridge'!$Z$2:$Z$1057,'02c_DC_Accel_Bridge'!$B$2:$B$1057,A7,'02c_DC_Accel_Bridge'!$C$2:$C$1057,B7,'02c_DC_Accel_Bridge'!$D$2:$D$1057,C7)/I7,0)</f>
        <v/>
      </c>
      <c r="P7" s="3" t="inlineStr">
        <is>
          <t>weighted average: sum(site inference_weight_mw * accelerator_share) / sum(site inference_weight_mw)</t>
        </is>
      </c>
      <c r="Q7" s="3" t="inlineStr">
        <is>
          <t>dc_capacity_x_dc_accelerator_mix</t>
        </is>
      </c>
      <c r="R7" s="3" t="inlineStr">
        <is>
          <t>Edit 02a capacity allocation and 02b site accelerator mix; 03_Calculation reads D:G from this sheet.</t>
        </is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>
        <f>IF(I8&gt;0,SUMIFS('02c_DC_Accel_Bridge'!$R$2:$R$1057,'02c_DC_Accel_Bridge'!$B$2:$B$1057,A8,'02c_DC_Accel_Bridge'!$C$2:$C$1057,B8,'02c_DC_Accel_Bridge'!$D$2:$D$1057,C8)/I8,0.005625)</f>
        <v/>
      </c>
      <c r="E8" s="6">
        <f>IF(I8&gt;0,SUMIFS('02c_DC_Accel_Bridge'!$S$2:$S$1057,'02c_DC_Accel_Bridge'!$B$2:$B$1057,A8,'02c_DC_Accel_Bridge'!$C$2:$C$1057,B8,'02c_DC_Accel_Bridge'!$D$2:$D$1057,C8)/I8,0.098131)</f>
        <v/>
      </c>
      <c r="F8" s="6">
        <f>IF(I8&gt;0,SUMIFS('02c_DC_Accel_Bridge'!$T$2:$T$1057,'02c_DC_Accel_Bridge'!$B$2:$B$1057,A8,'02c_DC_Accel_Bridge'!$C$2:$C$1057,B8,'02c_DC_Accel_Bridge'!$D$2:$D$1057,C8)/I8,0.002191)</f>
        <v/>
      </c>
      <c r="G8" s="6">
        <f>IF(I8&gt;0,SUMIFS('02c_DC_Accel_Bridge'!$AA$2:$AA$1057,'02c_DC_Accel_Bridge'!$B$2:$B$1057,A8,'02c_DC_Accel_Bridge'!$C$2:$C$1057,B8,'02c_DC_Accel_Bridge'!$D$2:$D$1057,C8)/I8,0.894053)</f>
        <v/>
      </c>
      <c r="H8" s="6">
        <f>SUM(D8:G8)</f>
        <v/>
      </c>
      <c r="I8" s="28">
        <f>SUMIFS('02c_DC_Accel_Bridge'!$H$2:$H$1057,'02c_DC_Accel_Bridge'!$B$2:$B$1057,A8,'02c_DC_Accel_Bridge'!$C$2:$C$1057,B8,'02c_DC_Accel_Bridge'!$D$2:$D$1057,C8)</f>
        <v/>
      </c>
      <c r="J8" s="6">
        <f>IF(I8&gt;0,SUMIFS('02c_DC_Accel_Bridge'!$U$2:$U$1057,'02c_DC_Accel_Bridge'!$B$2:$B$1057,A8,'02c_DC_Accel_Bridge'!$C$2:$C$1057,B8,'02c_DC_Accel_Bridge'!$D$2:$D$1057,C8)/I8,0)</f>
        <v/>
      </c>
      <c r="K8" s="6">
        <f>IF(I8&gt;0,SUMIFS('02c_DC_Accel_Bridge'!$V$2:$V$1057,'02c_DC_Accel_Bridge'!$B$2:$B$1057,A8,'02c_DC_Accel_Bridge'!$C$2:$C$1057,B8,'02c_DC_Accel_Bridge'!$D$2:$D$1057,C8)/I8,0)</f>
        <v/>
      </c>
      <c r="L8" s="6">
        <f>IF(I8&gt;0,SUMIFS('02c_DC_Accel_Bridge'!$W$2:$W$1057,'02c_DC_Accel_Bridge'!$B$2:$B$1057,A8,'02c_DC_Accel_Bridge'!$C$2:$C$1057,B8,'02c_DC_Accel_Bridge'!$D$2:$D$1057,C8)/I8,0)</f>
        <v/>
      </c>
      <c r="M8" s="6">
        <f>IF(I8&gt;0,SUMIFS('02c_DC_Accel_Bridge'!$X$2:$X$1057,'02c_DC_Accel_Bridge'!$B$2:$B$1057,A8,'02c_DC_Accel_Bridge'!$C$2:$C$1057,B8,'02c_DC_Accel_Bridge'!$D$2:$D$1057,C8)/I8,0)</f>
        <v/>
      </c>
      <c r="N8" s="6">
        <f>IF(I8&gt;0,SUMIFS('02c_DC_Accel_Bridge'!$Y$2:$Y$1057,'02c_DC_Accel_Bridge'!$B$2:$B$1057,A8,'02c_DC_Accel_Bridge'!$C$2:$C$1057,B8,'02c_DC_Accel_Bridge'!$D$2:$D$1057,C8)/I8,0)</f>
        <v/>
      </c>
      <c r="O8" s="6">
        <f>IF(I8&gt;0,SUMIFS('02c_DC_Accel_Bridge'!$Z$2:$Z$1057,'02c_DC_Accel_Bridge'!$B$2:$B$1057,A8,'02c_DC_Accel_Bridge'!$C$2:$C$1057,B8,'02c_DC_Accel_Bridge'!$D$2:$D$1057,C8)/I8,0)</f>
        <v/>
      </c>
      <c r="P8" s="3" t="inlineStr">
        <is>
          <t>weighted average: sum(site inference_weight_mw * accelerator_share) / sum(site inference_weight_mw)</t>
        </is>
      </c>
      <c r="Q8" s="3" t="inlineStr">
        <is>
          <t>dc_capacity_x_dc_accelerator_mix</t>
        </is>
      </c>
      <c r="R8" s="3" t="inlineStr">
        <is>
          <t>Edit 02a capacity allocation and 02b site accelerator mix; 03_Calculation reads D:G from this sheet.</t>
        </is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>
        <f>IF(I9&gt;0,SUMIFS('02c_DC_Accel_Bridge'!$R$2:$R$1057,'02c_DC_Accel_Bridge'!$B$2:$B$1057,A9,'02c_DC_Accel_Bridge'!$C$2:$C$1057,B9,'02c_DC_Accel_Bridge'!$D$2:$D$1057,C9)/I9,0.011989)</f>
        <v/>
      </c>
      <c r="E9" s="6">
        <f>IF(I9&gt;0,SUMIFS('02c_DC_Accel_Bridge'!$S$2:$S$1057,'02c_DC_Accel_Bridge'!$B$2:$B$1057,A9,'02c_DC_Accel_Bridge'!$C$2:$C$1057,B9,'02c_DC_Accel_Bridge'!$D$2:$D$1057,C9)/I9,0.086159)</f>
        <v/>
      </c>
      <c r="F9" s="6">
        <f>IF(I9&gt;0,SUMIFS('02c_DC_Accel_Bridge'!$T$2:$T$1057,'02c_DC_Accel_Bridge'!$B$2:$B$1057,A9,'02c_DC_Accel_Bridge'!$C$2:$C$1057,B9,'02c_DC_Accel_Bridge'!$D$2:$D$1057,C9)/I9,0.01101)</f>
        <v/>
      </c>
      <c r="G9" s="6">
        <f>IF(I9&gt;0,SUMIFS('02c_DC_Accel_Bridge'!$AA$2:$AA$1057,'02c_DC_Accel_Bridge'!$B$2:$B$1057,A9,'02c_DC_Accel_Bridge'!$C$2:$C$1057,B9,'02c_DC_Accel_Bridge'!$D$2:$D$1057,C9)/I9,0.890842)</f>
        <v/>
      </c>
      <c r="H9" s="6">
        <f>SUM(D9:G9)</f>
        <v/>
      </c>
      <c r="I9" s="28">
        <f>SUMIFS('02c_DC_Accel_Bridge'!$H$2:$H$1057,'02c_DC_Accel_Bridge'!$B$2:$B$1057,A9,'02c_DC_Accel_Bridge'!$C$2:$C$1057,B9,'02c_DC_Accel_Bridge'!$D$2:$D$1057,C9)</f>
        <v/>
      </c>
      <c r="J9" s="6">
        <f>IF(I9&gt;0,SUMIFS('02c_DC_Accel_Bridge'!$U$2:$U$1057,'02c_DC_Accel_Bridge'!$B$2:$B$1057,A9,'02c_DC_Accel_Bridge'!$C$2:$C$1057,B9,'02c_DC_Accel_Bridge'!$D$2:$D$1057,C9)/I9,0)</f>
        <v/>
      </c>
      <c r="K9" s="6">
        <f>IF(I9&gt;0,SUMIFS('02c_DC_Accel_Bridge'!$V$2:$V$1057,'02c_DC_Accel_Bridge'!$B$2:$B$1057,A9,'02c_DC_Accel_Bridge'!$C$2:$C$1057,B9,'02c_DC_Accel_Bridge'!$D$2:$D$1057,C9)/I9,0)</f>
        <v/>
      </c>
      <c r="L9" s="6">
        <f>IF(I9&gt;0,SUMIFS('02c_DC_Accel_Bridge'!$W$2:$W$1057,'02c_DC_Accel_Bridge'!$B$2:$B$1057,A9,'02c_DC_Accel_Bridge'!$C$2:$C$1057,B9,'02c_DC_Accel_Bridge'!$D$2:$D$1057,C9)/I9,0)</f>
        <v/>
      </c>
      <c r="M9" s="6">
        <f>IF(I9&gt;0,SUMIFS('02c_DC_Accel_Bridge'!$X$2:$X$1057,'02c_DC_Accel_Bridge'!$B$2:$B$1057,A9,'02c_DC_Accel_Bridge'!$C$2:$C$1057,B9,'02c_DC_Accel_Bridge'!$D$2:$D$1057,C9)/I9,0)</f>
        <v/>
      </c>
      <c r="N9" s="6">
        <f>IF(I9&gt;0,SUMIFS('02c_DC_Accel_Bridge'!$Y$2:$Y$1057,'02c_DC_Accel_Bridge'!$B$2:$B$1057,A9,'02c_DC_Accel_Bridge'!$C$2:$C$1057,B9,'02c_DC_Accel_Bridge'!$D$2:$D$1057,C9)/I9,0)</f>
        <v/>
      </c>
      <c r="O9" s="6">
        <f>IF(I9&gt;0,SUMIFS('02c_DC_Accel_Bridge'!$Z$2:$Z$1057,'02c_DC_Accel_Bridge'!$B$2:$B$1057,A9,'02c_DC_Accel_Bridge'!$C$2:$C$1057,B9,'02c_DC_Accel_Bridge'!$D$2:$D$1057,C9)/I9,0)</f>
        <v/>
      </c>
      <c r="P9" s="3" t="inlineStr">
        <is>
          <t>weighted average: sum(site inference_weight_mw * accelerator_share) / sum(site inference_weight_mw)</t>
        </is>
      </c>
      <c r="Q9" s="3" t="inlineStr">
        <is>
          <t>dc_capacity_x_dc_accelerator_mix</t>
        </is>
      </c>
      <c r="R9" s="3" t="inlineStr">
        <is>
          <t>Edit 02a capacity allocation and 02b site accelerator mix; 03_Calculation reads D:G from this sheet.</t>
        </is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>
        <f>IF(I10&gt;0,SUMIFS('02c_DC_Accel_Bridge'!$R$2:$R$1057,'02c_DC_Accel_Bridge'!$B$2:$B$1057,A10,'02c_DC_Accel_Bridge'!$C$2:$C$1057,B10,'02c_DC_Accel_Bridge'!$D$2:$D$1057,C10)/I10,0.006606)</f>
        <v/>
      </c>
      <c r="E10" s="6">
        <f>IF(I10&gt;0,SUMIFS('02c_DC_Accel_Bridge'!$S$2:$S$1057,'02c_DC_Accel_Bridge'!$B$2:$B$1057,A10,'02c_DC_Accel_Bridge'!$C$2:$C$1057,B10,'02c_DC_Accel_Bridge'!$D$2:$D$1057,C10)/I10,0.083468)</f>
        <v/>
      </c>
      <c r="F10" s="6">
        <f>IF(I10&gt;0,SUMIFS('02c_DC_Accel_Bridge'!$T$2:$T$1057,'02c_DC_Accel_Bridge'!$B$2:$B$1057,A10,'02c_DC_Accel_Bridge'!$C$2:$C$1057,B10,'02c_DC_Accel_Bridge'!$D$2:$D$1057,C10)/I10,0.012967)</f>
        <v/>
      </c>
      <c r="G10" s="6">
        <f>IF(I10&gt;0,SUMIFS('02c_DC_Accel_Bridge'!$AA$2:$AA$1057,'02c_DC_Accel_Bridge'!$B$2:$B$1057,A10,'02c_DC_Accel_Bridge'!$C$2:$C$1057,B10,'02c_DC_Accel_Bridge'!$D$2:$D$1057,C10)/I10,0.896959)</f>
        <v/>
      </c>
      <c r="H10" s="6">
        <f>SUM(D10:G10)</f>
        <v/>
      </c>
      <c r="I10" s="28">
        <f>SUMIFS('02c_DC_Accel_Bridge'!$H$2:$H$1057,'02c_DC_Accel_Bridge'!$B$2:$B$1057,A10,'02c_DC_Accel_Bridge'!$C$2:$C$1057,B10,'02c_DC_Accel_Bridge'!$D$2:$D$1057,C10)</f>
        <v/>
      </c>
      <c r="J10" s="6">
        <f>IF(I10&gt;0,SUMIFS('02c_DC_Accel_Bridge'!$U$2:$U$1057,'02c_DC_Accel_Bridge'!$B$2:$B$1057,A10,'02c_DC_Accel_Bridge'!$C$2:$C$1057,B10,'02c_DC_Accel_Bridge'!$D$2:$D$1057,C10)/I10,0)</f>
        <v/>
      </c>
      <c r="K10" s="6">
        <f>IF(I10&gt;0,SUMIFS('02c_DC_Accel_Bridge'!$V$2:$V$1057,'02c_DC_Accel_Bridge'!$B$2:$B$1057,A10,'02c_DC_Accel_Bridge'!$C$2:$C$1057,B10,'02c_DC_Accel_Bridge'!$D$2:$D$1057,C10)/I10,0)</f>
        <v/>
      </c>
      <c r="L10" s="6">
        <f>IF(I10&gt;0,SUMIFS('02c_DC_Accel_Bridge'!$W$2:$W$1057,'02c_DC_Accel_Bridge'!$B$2:$B$1057,A10,'02c_DC_Accel_Bridge'!$C$2:$C$1057,B10,'02c_DC_Accel_Bridge'!$D$2:$D$1057,C10)/I10,0)</f>
        <v/>
      </c>
      <c r="M10" s="6">
        <f>IF(I10&gt;0,SUMIFS('02c_DC_Accel_Bridge'!$X$2:$X$1057,'02c_DC_Accel_Bridge'!$B$2:$B$1057,A10,'02c_DC_Accel_Bridge'!$C$2:$C$1057,B10,'02c_DC_Accel_Bridge'!$D$2:$D$1057,C10)/I10,0)</f>
        <v/>
      </c>
      <c r="N10" s="6">
        <f>IF(I10&gt;0,SUMIFS('02c_DC_Accel_Bridge'!$Y$2:$Y$1057,'02c_DC_Accel_Bridge'!$B$2:$B$1057,A10,'02c_DC_Accel_Bridge'!$C$2:$C$1057,B10,'02c_DC_Accel_Bridge'!$D$2:$D$1057,C10)/I10,0)</f>
        <v/>
      </c>
      <c r="O10" s="6">
        <f>IF(I10&gt;0,SUMIFS('02c_DC_Accel_Bridge'!$Z$2:$Z$1057,'02c_DC_Accel_Bridge'!$B$2:$B$1057,A10,'02c_DC_Accel_Bridge'!$C$2:$C$1057,B10,'02c_DC_Accel_Bridge'!$D$2:$D$1057,C10)/I10,0)</f>
        <v/>
      </c>
      <c r="P10" s="3" t="inlineStr">
        <is>
          <t>weighted average: sum(site inference_weight_mw * accelerator_share) / sum(site inference_weight_mw)</t>
        </is>
      </c>
      <c r="Q10" s="3" t="inlineStr">
        <is>
          <t>dc_capacity_x_dc_accelerator_mix</t>
        </is>
      </c>
      <c r="R10" s="3" t="inlineStr">
        <is>
          <t>Edit 02a capacity allocation and 02b site accelerator mix; 03_Calculation reads D:G from this sheet.</t>
        </is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>
        <f>IF(I11&gt;0,SUMIFS('02c_DC_Accel_Bridge'!$R$2:$R$1057,'02c_DC_Accel_Bridge'!$B$2:$B$1057,A11,'02c_DC_Accel_Bridge'!$C$2:$C$1057,B11,'02c_DC_Accel_Bridge'!$D$2:$D$1057,C11)/I11,0.002447)</f>
        <v/>
      </c>
      <c r="E11" s="6">
        <f>IF(I11&gt;0,SUMIFS('02c_DC_Accel_Bridge'!$S$2:$S$1057,'02c_DC_Accel_Bridge'!$B$2:$B$1057,A11,'02c_DC_Accel_Bridge'!$C$2:$C$1057,B11,'02c_DC_Accel_Bridge'!$D$2:$D$1057,C11)/I11,0.081021)</f>
        <v/>
      </c>
      <c r="F11" s="6">
        <f>IF(I11&gt;0,SUMIFS('02c_DC_Accel_Bridge'!$T$2:$T$1057,'02c_DC_Accel_Bridge'!$B$2:$B$1057,A11,'02c_DC_Accel_Bridge'!$C$2:$C$1057,B11,'02c_DC_Accel_Bridge'!$D$2:$D$1057,C11)/I11,0.013457)</f>
        <v/>
      </c>
      <c r="G11" s="6">
        <f>IF(I11&gt;0,SUMIFS('02c_DC_Accel_Bridge'!$AA$2:$AA$1057,'02c_DC_Accel_Bridge'!$B$2:$B$1057,A11,'02c_DC_Accel_Bridge'!$C$2:$C$1057,B11,'02c_DC_Accel_Bridge'!$D$2:$D$1057,C11)/I11,0.903075)</f>
        <v/>
      </c>
      <c r="H11" s="6">
        <f>SUM(D11:G11)</f>
        <v/>
      </c>
      <c r="I11" s="28">
        <f>SUMIFS('02c_DC_Accel_Bridge'!$H$2:$H$1057,'02c_DC_Accel_Bridge'!$B$2:$B$1057,A11,'02c_DC_Accel_Bridge'!$C$2:$C$1057,B11,'02c_DC_Accel_Bridge'!$D$2:$D$1057,C11)</f>
        <v/>
      </c>
      <c r="J11" s="6">
        <f>IF(I11&gt;0,SUMIFS('02c_DC_Accel_Bridge'!$U$2:$U$1057,'02c_DC_Accel_Bridge'!$B$2:$B$1057,A11,'02c_DC_Accel_Bridge'!$C$2:$C$1057,B11,'02c_DC_Accel_Bridge'!$D$2:$D$1057,C11)/I11,0)</f>
        <v/>
      </c>
      <c r="K11" s="6">
        <f>IF(I11&gt;0,SUMIFS('02c_DC_Accel_Bridge'!$V$2:$V$1057,'02c_DC_Accel_Bridge'!$B$2:$B$1057,A11,'02c_DC_Accel_Bridge'!$C$2:$C$1057,B11,'02c_DC_Accel_Bridge'!$D$2:$D$1057,C11)/I11,0)</f>
        <v/>
      </c>
      <c r="L11" s="6">
        <f>IF(I11&gt;0,SUMIFS('02c_DC_Accel_Bridge'!$W$2:$W$1057,'02c_DC_Accel_Bridge'!$B$2:$B$1057,A11,'02c_DC_Accel_Bridge'!$C$2:$C$1057,B11,'02c_DC_Accel_Bridge'!$D$2:$D$1057,C11)/I11,0)</f>
        <v/>
      </c>
      <c r="M11" s="6">
        <f>IF(I11&gt;0,SUMIFS('02c_DC_Accel_Bridge'!$X$2:$X$1057,'02c_DC_Accel_Bridge'!$B$2:$B$1057,A11,'02c_DC_Accel_Bridge'!$C$2:$C$1057,B11,'02c_DC_Accel_Bridge'!$D$2:$D$1057,C11)/I11,0)</f>
        <v/>
      </c>
      <c r="N11" s="6">
        <f>IF(I11&gt;0,SUMIFS('02c_DC_Accel_Bridge'!$Y$2:$Y$1057,'02c_DC_Accel_Bridge'!$B$2:$B$1057,A11,'02c_DC_Accel_Bridge'!$C$2:$C$1057,B11,'02c_DC_Accel_Bridge'!$D$2:$D$1057,C11)/I11,0)</f>
        <v/>
      </c>
      <c r="O11" s="6">
        <f>IF(I11&gt;0,SUMIFS('02c_DC_Accel_Bridge'!$Z$2:$Z$1057,'02c_DC_Accel_Bridge'!$B$2:$B$1057,A11,'02c_DC_Accel_Bridge'!$C$2:$C$1057,B11,'02c_DC_Accel_Bridge'!$D$2:$D$1057,C11)/I11,0)</f>
        <v/>
      </c>
      <c r="P11" s="3" t="inlineStr">
        <is>
          <t>weighted average: sum(site inference_weight_mw * accelerator_share) / sum(site inference_weight_mw)</t>
        </is>
      </c>
      <c r="Q11" s="3" t="inlineStr">
        <is>
          <t>dc_capacity_x_dc_accelerator_mix</t>
        </is>
      </c>
      <c r="R11" s="3" t="inlineStr">
        <is>
          <t>Edit 02a capacity allocation and 02b site accelerator mix; 03_Calculation reads D:G from this sheet.</t>
        </is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>
        <f>IF(I12&gt;0,SUMIFS('02c_DC_Accel_Bridge'!$R$2:$R$1057,'02c_DC_Accel_Bridge'!$B$2:$B$1057,A12,'02c_DC_Accel_Bridge'!$C$2:$C$1057,B12,'02c_DC_Accel_Bridge'!$D$2:$D$1057,C12)/I12,0.0)</f>
        <v/>
      </c>
      <c r="E12" s="6">
        <f>IF(I12&gt;0,SUMIFS('02c_DC_Accel_Bridge'!$S$2:$S$1057,'02c_DC_Accel_Bridge'!$B$2:$B$1057,A12,'02c_DC_Accel_Bridge'!$C$2:$C$1057,B12,'02c_DC_Accel_Bridge'!$D$2:$D$1057,C12)/I12,1.0)</f>
        <v/>
      </c>
      <c r="F12" s="6">
        <f>IF(I12&gt;0,SUMIFS('02c_DC_Accel_Bridge'!$T$2:$T$1057,'02c_DC_Accel_Bridge'!$B$2:$B$1057,A12,'02c_DC_Accel_Bridge'!$C$2:$C$1057,B12,'02c_DC_Accel_Bridge'!$D$2:$D$1057,C12)/I12,0.0)</f>
        <v/>
      </c>
      <c r="G12" s="6">
        <f>IF(I12&gt;0,SUMIFS('02c_DC_Accel_Bridge'!$AA$2:$AA$1057,'02c_DC_Accel_Bridge'!$B$2:$B$1057,A12,'02c_DC_Accel_Bridge'!$C$2:$C$1057,B12,'02c_DC_Accel_Bridge'!$D$2:$D$1057,C12)/I12,0.0)</f>
        <v/>
      </c>
      <c r="H12" s="6">
        <f>SUM(D12:G12)</f>
        <v/>
      </c>
      <c r="I12" s="28">
        <f>SUMIFS('02c_DC_Accel_Bridge'!$H$2:$H$1057,'02c_DC_Accel_Bridge'!$B$2:$B$1057,A12,'02c_DC_Accel_Bridge'!$C$2:$C$1057,B12,'02c_DC_Accel_Bridge'!$D$2:$D$1057,C12)</f>
        <v/>
      </c>
      <c r="J12" s="6">
        <f>IF(I12&gt;0,SUMIFS('02c_DC_Accel_Bridge'!$U$2:$U$1057,'02c_DC_Accel_Bridge'!$B$2:$B$1057,A12,'02c_DC_Accel_Bridge'!$C$2:$C$1057,B12,'02c_DC_Accel_Bridge'!$D$2:$D$1057,C12)/I12,0)</f>
        <v/>
      </c>
      <c r="K12" s="6">
        <f>IF(I12&gt;0,SUMIFS('02c_DC_Accel_Bridge'!$V$2:$V$1057,'02c_DC_Accel_Bridge'!$B$2:$B$1057,A12,'02c_DC_Accel_Bridge'!$C$2:$C$1057,B12,'02c_DC_Accel_Bridge'!$D$2:$D$1057,C12)/I12,0)</f>
        <v/>
      </c>
      <c r="L12" s="6">
        <f>IF(I12&gt;0,SUMIFS('02c_DC_Accel_Bridge'!$W$2:$W$1057,'02c_DC_Accel_Bridge'!$B$2:$B$1057,A12,'02c_DC_Accel_Bridge'!$C$2:$C$1057,B12,'02c_DC_Accel_Bridge'!$D$2:$D$1057,C12)/I12,0)</f>
        <v/>
      </c>
      <c r="M12" s="6">
        <f>IF(I12&gt;0,SUMIFS('02c_DC_Accel_Bridge'!$X$2:$X$1057,'02c_DC_Accel_Bridge'!$B$2:$B$1057,A12,'02c_DC_Accel_Bridge'!$C$2:$C$1057,B12,'02c_DC_Accel_Bridge'!$D$2:$D$1057,C12)/I12,0)</f>
        <v/>
      </c>
      <c r="N12" s="6">
        <f>IF(I12&gt;0,SUMIFS('02c_DC_Accel_Bridge'!$Y$2:$Y$1057,'02c_DC_Accel_Bridge'!$B$2:$B$1057,A12,'02c_DC_Accel_Bridge'!$C$2:$C$1057,B12,'02c_DC_Accel_Bridge'!$D$2:$D$1057,C12)/I12,0)</f>
        <v/>
      </c>
      <c r="O12" s="6">
        <f>IF(I12&gt;0,SUMIFS('02c_DC_Accel_Bridge'!$Z$2:$Z$1057,'02c_DC_Accel_Bridge'!$B$2:$B$1057,A12,'02c_DC_Accel_Bridge'!$C$2:$C$1057,B12,'02c_DC_Accel_Bridge'!$D$2:$D$1057,C12)/I12,0)</f>
        <v/>
      </c>
      <c r="P12" s="3" t="inlineStr">
        <is>
          <t>weighted average: sum(site inference_weight_mw * accelerator_share) / sum(site inference_weight_mw)</t>
        </is>
      </c>
      <c r="Q12" s="3" t="inlineStr">
        <is>
          <t>dc_capacity_x_dc_accelerator_mix</t>
        </is>
      </c>
      <c r="R12" s="3" t="inlineStr">
        <is>
          <t>Edit 02a capacity allocation and 02b site accelerator mix; 03_Calculation reads D:G from this sheet.</t>
        </is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>
        <f>IF(I13&gt;0,SUMIFS('02c_DC_Accel_Bridge'!$R$2:$R$1057,'02c_DC_Accel_Bridge'!$B$2:$B$1057,A13,'02c_DC_Accel_Bridge'!$C$2:$C$1057,B13,'02c_DC_Accel_Bridge'!$D$2:$D$1057,C13)/I13,0.0)</f>
        <v/>
      </c>
      <c r="E13" s="6">
        <f>IF(I13&gt;0,SUMIFS('02c_DC_Accel_Bridge'!$S$2:$S$1057,'02c_DC_Accel_Bridge'!$B$2:$B$1057,A13,'02c_DC_Accel_Bridge'!$C$2:$C$1057,B13,'02c_DC_Accel_Bridge'!$D$2:$D$1057,C13)/I13,1.0)</f>
        <v/>
      </c>
      <c r="F13" s="6">
        <f>IF(I13&gt;0,SUMIFS('02c_DC_Accel_Bridge'!$T$2:$T$1057,'02c_DC_Accel_Bridge'!$B$2:$B$1057,A13,'02c_DC_Accel_Bridge'!$C$2:$C$1057,B13,'02c_DC_Accel_Bridge'!$D$2:$D$1057,C13)/I13,0.0)</f>
        <v/>
      </c>
      <c r="G13" s="6">
        <f>IF(I13&gt;0,SUMIFS('02c_DC_Accel_Bridge'!$AA$2:$AA$1057,'02c_DC_Accel_Bridge'!$B$2:$B$1057,A13,'02c_DC_Accel_Bridge'!$C$2:$C$1057,B13,'02c_DC_Accel_Bridge'!$D$2:$D$1057,C13)/I13,0.0)</f>
        <v/>
      </c>
      <c r="H13" s="6">
        <f>SUM(D13:G13)</f>
        <v/>
      </c>
      <c r="I13" s="28">
        <f>SUMIFS('02c_DC_Accel_Bridge'!$H$2:$H$1057,'02c_DC_Accel_Bridge'!$B$2:$B$1057,A13,'02c_DC_Accel_Bridge'!$C$2:$C$1057,B13,'02c_DC_Accel_Bridge'!$D$2:$D$1057,C13)</f>
        <v/>
      </c>
      <c r="J13" s="6">
        <f>IF(I13&gt;0,SUMIFS('02c_DC_Accel_Bridge'!$U$2:$U$1057,'02c_DC_Accel_Bridge'!$B$2:$B$1057,A13,'02c_DC_Accel_Bridge'!$C$2:$C$1057,B13,'02c_DC_Accel_Bridge'!$D$2:$D$1057,C13)/I13,0)</f>
        <v/>
      </c>
      <c r="K13" s="6">
        <f>IF(I13&gt;0,SUMIFS('02c_DC_Accel_Bridge'!$V$2:$V$1057,'02c_DC_Accel_Bridge'!$B$2:$B$1057,A13,'02c_DC_Accel_Bridge'!$C$2:$C$1057,B13,'02c_DC_Accel_Bridge'!$D$2:$D$1057,C13)/I13,0)</f>
        <v/>
      </c>
      <c r="L13" s="6">
        <f>IF(I13&gt;0,SUMIFS('02c_DC_Accel_Bridge'!$W$2:$W$1057,'02c_DC_Accel_Bridge'!$B$2:$B$1057,A13,'02c_DC_Accel_Bridge'!$C$2:$C$1057,B13,'02c_DC_Accel_Bridge'!$D$2:$D$1057,C13)/I13,0)</f>
        <v/>
      </c>
      <c r="M13" s="6">
        <f>IF(I13&gt;0,SUMIFS('02c_DC_Accel_Bridge'!$X$2:$X$1057,'02c_DC_Accel_Bridge'!$B$2:$B$1057,A13,'02c_DC_Accel_Bridge'!$C$2:$C$1057,B13,'02c_DC_Accel_Bridge'!$D$2:$D$1057,C13)/I13,0)</f>
        <v/>
      </c>
      <c r="N13" s="6">
        <f>IF(I13&gt;0,SUMIFS('02c_DC_Accel_Bridge'!$Y$2:$Y$1057,'02c_DC_Accel_Bridge'!$B$2:$B$1057,A13,'02c_DC_Accel_Bridge'!$C$2:$C$1057,B13,'02c_DC_Accel_Bridge'!$D$2:$D$1057,C13)/I13,0)</f>
        <v/>
      </c>
      <c r="O13" s="6">
        <f>IF(I13&gt;0,SUMIFS('02c_DC_Accel_Bridge'!$Z$2:$Z$1057,'02c_DC_Accel_Bridge'!$B$2:$B$1057,A13,'02c_DC_Accel_Bridge'!$C$2:$C$1057,B13,'02c_DC_Accel_Bridge'!$D$2:$D$1057,C13)/I13,0)</f>
        <v/>
      </c>
      <c r="P13" s="3" t="inlineStr">
        <is>
          <t>weighted average: sum(site inference_weight_mw * accelerator_share) / sum(site inference_weight_mw)</t>
        </is>
      </c>
      <c r="Q13" s="3" t="inlineStr">
        <is>
          <t>dc_capacity_x_dc_accelerator_mix</t>
        </is>
      </c>
      <c r="R13" s="3" t="inlineStr">
        <is>
          <t>Edit 02a capacity allocation and 02b site accelerator mix; 03_Calculation reads D:G from this sheet.</t>
        </is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>
        <f>IF(I14&gt;0,SUMIFS('02c_DC_Accel_Bridge'!$R$2:$R$1057,'02c_DC_Accel_Bridge'!$B$2:$B$1057,A14,'02c_DC_Accel_Bridge'!$C$2:$C$1057,B14,'02c_DC_Accel_Bridge'!$D$2:$D$1057,C14)/I14,0.0)</f>
        <v/>
      </c>
      <c r="E14" s="6">
        <f>IF(I14&gt;0,SUMIFS('02c_DC_Accel_Bridge'!$S$2:$S$1057,'02c_DC_Accel_Bridge'!$B$2:$B$1057,A14,'02c_DC_Accel_Bridge'!$C$2:$C$1057,B14,'02c_DC_Accel_Bridge'!$D$2:$D$1057,C14)/I14,0.612306)</f>
        <v/>
      </c>
      <c r="F14" s="6">
        <f>IF(I14&gt;0,SUMIFS('02c_DC_Accel_Bridge'!$T$2:$T$1057,'02c_DC_Accel_Bridge'!$B$2:$B$1057,A14,'02c_DC_Accel_Bridge'!$C$2:$C$1057,B14,'02c_DC_Accel_Bridge'!$D$2:$D$1057,C14)/I14,0.0)</f>
        <v/>
      </c>
      <c r="G14" s="6">
        <f>IF(I14&gt;0,SUMIFS('02c_DC_Accel_Bridge'!$AA$2:$AA$1057,'02c_DC_Accel_Bridge'!$B$2:$B$1057,A14,'02c_DC_Accel_Bridge'!$C$2:$C$1057,B14,'02c_DC_Accel_Bridge'!$D$2:$D$1057,C14)/I14,0.387694)</f>
        <v/>
      </c>
      <c r="H14" s="6">
        <f>SUM(D14:G14)</f>
        <v/>
      </c>
      <c r="I14" s="28">
        <f>SUMIFS('02c_DC_Accel_Bridge'!$H$2:$H$1057,'02c_DC_Accel_Bridge'!$B$2:$B$1057,A14,'02c_DC_Accel_Bridge'!$C$2:$C$1057,B14,'02c_DC_Accel_Bridge'!$D$2:$D$1057,C14)</f>
        <v/>
      </c>
      <c r="J14" s="6">
        <f>IF(I14&gt;0,SUMIFS('02c_DC_Accel_Bridge'!$U$2:$U$1057,'02c_DC_Accel_Bridge'!$B$2:$B$1057,A14,'02c_DC_Accel_Bridge'!$C$2:$C$1057,B14,'02c_DC_Accel_Bridge'!$D$2:$D$1057,C14)/I14,0)</f>
        <v/>
      </c>
      <c r="K14" s="6">
        <f>IF(I14&gt;0,SUMIFS('02c_DC_Accel_Bridge'!$V$2:$V$1057,'02c_DC_Accel_Bridge'!$B$2:$B$1057,A14,'02c_DC_Accel_Bridge'!$C$2:$C$1057,B14,'02c_DC_Accel_Bridge'!$D$2:$D$1057,C14)/I14,0)</f>
        <v/>
      </c>
      <c r="L14" s="6">
        <f>IF(I14&gt;0,SUMIFS('02c_DC_Accel_Bridge'!$W$2:$W$1057,'02c_DC_Accel_Bridge'!$B$2:$B$1057,A14,'02c_DC_Accel_Bridge'!$C$2:$C$1057,B14,'02c_DC_Accel_Bridge'!$D$2:$D$1057,C14)/I14,0)</f>
        <v/>
      </c>
      <c r="M14" s="6">
        <f>IF(I14&gt;0,SUMIFS('02c_DC_Accel_Bridge'!$X$2:$X$1057,'02c_DC_Accel_Bridge'!$B$2:$B$1057,A14,'02c_DC_Accel_Bridge'!$C$2:$C$1057,B14,'02c_DC_Accel_Bridge'!$D$2:$D$1057,C14)/I14,0)</f>
        <v/>
      </c>
      <c r="N14" s="6">
        <f>IF(I14&gt;0,SUMIFS('02c_DC_Accel_Bridge'!$Y$2:$Y$1057,'02c_DC_Accel_Bridge'!$B$2:$B$1057,A14,'02c_DC_Accel_Bridge'!$C$2:$C$1057,B14,'02c_DC_Accel_Bridge'!$D$2:$D$1057,C14)/I14,0)</f>
        <v/>
      </c>
      <c r="O14" s="6">
        <f>IF(I14&gt;0,SUMIFS('02c_DC_Accel_Bridge'!$Z$2:$Z$1057,'02c_DC_Accel_Bridge'!$B$2:$B$1057,A14,'02c_DC_Accel_Bridge'!$C$2:$C$1057,B14,'02c_DC_Accel_Bridge'!$D$2:$D$1057,C14)/I14,0)</f>
        <v/>
      </c>
      <c r="P14" s="3" t="inlineStr">
        <is>
          <t>weighted average: sum(site inference_weight_mw * accelerator_share) / sum(site inference_weight_mw)</t>
        </is>
      </c>
      <c r="Q14" s="3" t="inlineStr">
        <is>
          <t>dc_capacity_x_dc_accelerator_mix</t>
        </is>
      </c>
      <c r="R14" s="3" t="inlineStr">
        <is>
          <t>Edit 02a capacity allocation and 02b site accelerator mix; 03_Calculation reads D:G from this sheet.</t>
        </is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>
        <f>IF(I15&gt;0,SUMIFS('02c_DC_Accel_Bridge'!$R$2:$R$1057,'02c_DC_Accel_Bridge'!$B$2:$B$1057,A15,'02c_DC_Accel_Bridge'!$C$2:$C$1057,B15,'02c_DC_Accel_Bridge'!$D$2:$D$1057,C15)/I15,0.0)</f>
        <v/>
      </c>
      <c r="E15" s="6">
        <f>IF(I15&gt;0,SUMIFS('02c_DC_Accel_Bridge'!$S$2:$S$1057,'02c_DC_Accel_Bridge'!$B$2:$B$1057,A15,'02c_DC_Accel_Bridge'!$C$2:$C$1057,B15,'02c_DC_Accel_Bridge'!$D$2:$D$1057,C15)/I15,0.612306)</f>
        <v/>
      </c>
      <c r="F15" s="6">
        <f>IF(I15&gt;0,SUMIFS('02c_DC_Accel_Bridge'!$T$2:$T$1057,'02c_DC_Accel_Bridge'!$B$2:$B$1057,A15,'02c_DC_Accel_Bridge'!$C$2:$C$1057,B15,'02c_DC_Accel_Bridge'!$D$2:$D$1057,C15)/I15,0.0)</f>
        <v/>
      </c>
      <c r="G15" s="6">
        <f>IF(I15&gt;0,SUMIFS('02c_DC_Accel_Bridge'!$AA$2:$AA$1057,'02c_DC_Accel_Bridge'!$B$2:$B$1057,A15,'02c_DC_Accel_Bridge'!$C$2:$C$1057,B15,'02c_DC_Accel_Bridge'!$D$2:$D$1057,C15)/I15,0.387694)</f>
        <v/>
      </c>
      <c r="H15" s="6">
        <f>SUM(D15:G15)</f>
        <v/>
      </c>
      <c r="I15" s="28">
        <f>SUMIFS('02c_DC_Accel_Bridge'!$H$2:$H$1057,'02c_DC_Accel_Bridge'!$B$2:$B$1057,A15,'02c_DC_Accel_Bridge'!$C$2:$C$1057,B15,'02c_DC_Accel_Bridge'!$D$2:$D$1057,C15)</f>
        <v/>
      </c>
      <c r="J15" s="6">
        <f>IF(I15&gt;0,SUMIFS('02c_DC_Accel_Bridge'!$U$2:$U$1057,'02c_DC_Accel_Bridge'!$B$2:$B$1057,A15,'02c_DC_Accel_Bridge'!$C$2:$C$1057,B15,'02c_DC_Accel_Bridge'!$D$2:$D$1057,C15)/I15,0)</f>
        <v/>
      </c>
      <c r="K15" s="6">
        <f>IF(I15&gt;0,SUMIFS('02c_DC_Accel_Bridge'!$V$2:$V$1057,'02c_DC_Accel_Bridge'!$B$2:$B$1057,A15,'02c_DC_Accel_Bridge'!$C$2:$C$1057,B15,'02c_DC_Accel_Bridge'!$D$2:$D$1057,C15)/I15,0)</f>
        <v/>
      </c>
      <c r="L15" s="6">
        <f>IF(I15&gt;0,SUMIFS('02c_DC_Accel_Bridge'!$W$2:$W$1057,'02c_DC_Accel_Bridge'!$B$2:$B$1057,A15,'02c_DC_Accel_Bridge'!$C$2:$C$1057,B15,'02c_DC_Accel_Bridge'!$D$2:$D$1057,C15)/I15,0)</f>
        <v/>
      </c>
      <c r="M15" s="6">
        <f>IF(I15&gt;0,SUMIFS('02c_DC_Accel_Bridge'!$X$2:$X$1057,'02c_DC_Accel_Bridge'!$B$2:$B$1057,A15,'02c_DC_Accel_Bridge'!$C$2:$C$1057,B15,'02c_DC_Accel_Bridge'!$D$2:$D$1057,C15)/I15,0)</f>
        <v/>
      </c>
      <c r="N15" s="6">
        <f>IF(I15&gt;0,SUMIFS('02c_DC_Accel_Bridge'!$Y$2:$Y$1057,'02c_DC_Accel_Bridge'!$B$2:$B$1057,A15,'02c_DC_Accel_Bridge'!$C$2:$C$1057,B15,'02c_DC_Accel_Bridge'!$D$2:$D$1057,C15)/I15,0)</f>
        <v/>
      </c>
      <c r="O15" s="6">
        <f>IF(I15&gt;0,SUMIFS('02c_DC_Accel_Bridge'!$Z$2:$Z$1057,'02c_DC_Accel_Bridge'!$B$2:$B$1057,A15,'02c_DC_Accel_Bridge'!$C$2:$C$1057,B15,'02c_DC_Accel_Bridge'!$D$2:$D$1057,C15)/I15,0)</f>
        <v/>
      </c>
      <c r="P15" s="3" t="inlineStr">
        <is>
          <t>weighted average: sum(site inference_weight_mw * accelerator_share) / sum(site inference_weight_mw)</t>
        </is>
      </c>
      <c r="Q15" s="3" t="inlineStr">
        <is>
          <t>dc_capacity_x_dc_accelerator_mix</t>
        </is>
      </c>
      <c r="R15" s="3" t="inlineStr">
        <is>
          <t>Edit 02a capacity allocation and 02b site accelerator mix; 03_Calculation reads D:G from this sheet.</t>
        </is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>
        <f>IF(I16&gt;0,SUMIFS('02c_DC_Accel_Bridge'!$R$2:$R$1057,'02c_DC_Accel_Bridge'!$B$2:$B$1057,A16,'02c_DC_Accel_Bridge'!$C$2:$C$1057,B16,'02c_DC_Accel_Bridge'!$D$2:$D$1057,C16)/I16,0.0)</f>
        <v/>
      </c>
      <c r="E16" s="6">
        <f>IF(I16&gt;0,SUMIFS('02c_DC_Accel_Bridge'!$S$2:$S$1057,'02c_DC_Accel_Bridge'!$B$2:$B$1057,A16,'02c_DC_Accel_Bridge'!$C$2:$C$1057,B16,'02c_DC_Accel_Bridge'!$D$2:$D$1057,C16)/I16,0.612306)</f>
        <v/>
      </c>
      <c r="F16" s="6">
        <f>IF(I16&gt;0,SUMIFS('02c_DC_Accel_Bridge'!$T$2:$T$1057,'02c_DC_Accel_Bridge'!$B$2:$B$1057,A16,'02c_DC_Accel_Bridge'!$C$2:$C$1057,B16,'02c_DC_Accel_Bridge'!$D$2:$D$1057,C16)/I16,0.0)</f>
        <v/>
      </c>
      <c r="G16" s="6">
        <f>IF(I16&gt;0,SUMIFS('02c_DC_Accel_Bridge'!$AA$2:$AA$1057,'02c_DC_Accel_Bridge'!$B$2:$B$1057,A16,'02c_DC_Accel_Bridge'!$C$2:$C$1057,B16,'02c_DC_Accel_Bridge'!$D$2:$D$1057,C16)/I16,0.387694)</f>
        <v/>
      </c>
      <c r="H16" s="6">
        <f>SUM(D16:G16)</f>
        <v/>
      </c>
      <c r="I16" s="28">
        <f>SUMIFS('02c_DC_Accel_Bridge'!$H$2:$H$1057,'02c_DC_Accel_Bridge'!$B$2:$B$1057,A16,'02c_DC_Accel_Bridge'!$C$2:$C$1057,B16,'02c_DC_Accel_Bridge'!$D$2:$D$1057,C16)</f>
        <v/>
      </c>
      <c r="J16" s="6">
        <f>IF(I16&gt;0,SUMIFS('02c_DC_Accel_Bridge'!$U$2:$U$1057,'02c_DC_Accel_Bridge'!$B$2:$B$1057,A16,'02c_DC_Accel_Bridge'!$C$2:$C$1057,B16,'02c_DC_Accel_Bridge'!$D$2:$D$1057,C16)/I16,0)</f>
        <v/>
      </c>
      <c r="K16" s="6">
        <f>IF(I16&gt;0,SUMIFS('02c_DC_Accel_Bridge'!$V$2:$V$1057,'02c_DC_Accel_Bridge'!$B$2:$B$1057,A16,'02c_DC_Accel_Bridge'!$C$2:$C$1057,B16,'02c_DC_Accel_Bridge'!$D$2:$D$1057,C16)/I16,0)</f>
        <v/>
      </c>
      <c r="L16" s="6">
        <f>IF(I16&gt;0,SUMIFS('02c_DC_Accel_Bridge'!$W$2:$W$1057,'02c_DC_Accel_Bridge'!$B$2:$B$1057,A16,'02c_DC_Accel_Bridge'!$C$2:$C$1057,B16,'02c_DC_Accel_Bridge'!$D$2:$D$1057,C16)/I16,0)</f>
        <v/>
      </c>
      <c r="M16" s="6">
        <f>IF(I16&gt;0,SUMIFS('02c_DC_Accel_Bridge'!$X$2:$X$1057,'02c_DC_Accel_Bridge'!$B$2:$B$1057,A16,'02c_DC_Accel_Bridge'!$C$2:$C$1057,B16,'02c_DC_Accel_Bridge'!$D$2:$D$1057,C16)/I16,0)</f>
        <v/>
      </c>
      <c r="N16" s="6">
        <f>IF(I16&gt;0,SUMIFS('02c_DC_Accel_Bridge'!$Y$2:$Y$1057,'02c_DC_Accel_Bridge'!$B$2:$B$1057,A16,'02c_DC_Accel_Bridge'!$C$2:$C$1057,B16,'02c_DC_Accel_Bridge'!$D$2:$D$1057,C16)/I16,0)</f>
        <v/>
      </c>
      <c r="O16" s="6">
        <f>IF(I16&gt;0,SUMIFS('02c_DC_Accel_Bridge'!$Z$2:$Z$1057,'02c_DC_Accel_Bridge'!$B$2:$B$1057,A16,'02c_DC_Accel_Bridge'!$C$2:$C$1057,B16,'02c_DC_Accel_Bridge'!$D$2:$D$1057,C16)/I16,0)</f>
        <v/>
      </c>
      <c r="P16" s="3" t="inlineStr">
        <is>
          <t>weighted average: sum(site inference_weight_mw * accelerator_share) / sum(site inference_weight_mw)</t>
        </is>
      </c>
      <c r="Q16" s="3" t="inlineStr">
        <is>
          <t>dc_capacity_x_dc_accelerator_mix</t>
        </is>
      </c>
      <c r="R16" s="3" t="inlineStr">
        <is>
          <t>Edit 02a capacity allocation and 02b site accelerator mix; 03_Calculation reads D:G from this sheet.</t>
        </is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>
        <f>IF(I17&gt;0,SUMIFS('02c_DC_Accel_Bridge'!$R$2:$R$1057,'02c_DC_Accel_Bridge'!$B$2:$B$1057,A17,'02c_DC_Accel_Bridge'!$C$2:$C$1057,B17,'02c_DC_Accel_Bridge'!$D$2:$D$1057,C17)/I17,0.0)</f>
        <v/>
      </c>
      <c r="E17" s="6">
        <f>IF(I17&gt;0,SUMIFS('02c_DC_Accel_Bridge'!$S$2:$S$1057,'02c_DC_Accel_Bridge'!$B$2:$B$1057,A17,'02c_DC_Accel_Bridge'!$C$2:$C$1057,B17,'02c_DC_Accel_Bridge'!$D$2:$D$1057,C17)/I17,1.0)</f>
        <v/>
      </c>
      <c r="F17" s="6">
        <f>IF(I17&gt;0,SUMIFS('02c_DC_Accel_Bridge'!$T$2:$T$1057,'02c_DC_Accel_Bridge'!$B$2:$B$1057,A17,'02c_DC_Accel_Bridge'!$C$2:$C$1057,B17,'02c_DC_Accel_Bridge'!$D$2:$D$1057,C17)/I17,0.0)</f>
        <v/>
      </c>
      <c r="G17" s="6">
        <f>IF(I17&gt;0,SUMIFS('02c_DC_Accel_Bridge'!$AA$2:$AA$1057,'02c_DC_Accel_Bridge'!$B$2:$B$1057,A17,'02c_DC_Accel_Bridge'!$C$2:$C$1057,B17,'02c_DC_Accel_Bridge'!$D$2:$D$1057,C17)/I17,0.0)</f>
        <v/>
      </c>
      <c r="H17" s="6">
        <f>SUM(D17:G17)</f>
        <v/>
      </c>
      <c r="I17" s="28">
        <f>SUMIFS('02c_DC_Accel_Bridge'!$H$2:$H$1057,'02c_DC_Accel_Bridge'!$B$2:$B$1057,A17,'02c_DC_Accel_Bridge'!$C$2:$C$1057,B17,'02c_DC_Accel_Bridge'!$D$2:$D$1057,C17)</f>
        <v/>
      </c>
      <c r="J17" s="6">
        <f>IF(I17&gt;0,SUMIFS('02c_DC_Accel_Bridge'!$U$2:$U$1057,'02c_DC_Accel_Bridge'!$B$2:$B$1057,A17,'02c_DC_Accel_Bridge'!$C$2:$C$1057,B17,'02c_DC_Accel_Bridge'!$D$2:$D$1057,C17)/I17,0)</f>
        <v/>
      </c>
      <c r="K17" s="6">
        <f>IF(I17&gt;0,SUMIFS('02c_DC_Accel_Bridge'!$V$2:$V$1057,'02c_DC_Accel_Bridge'!$B$2:$B$1057,A17,'02c_DC_Accel_Bridge'!$C$2:$C$1057,B17,'02c_DC_Accel_Bridge'!$D$2:$D$1057,C17)/I17,0)</f>
        <v/>
      </c>
      <c r="L17" s="6">
        <f>IF(I17&gt;0,SUMIFS('02c_DC_Accel_Bridge'!$W$2:$W$1057,'02c_DC_Accel_Bridge'!$B$2:$B$1057,A17,'02c_DC_Accel_Bridge'!$C$2:$C$1057,B17,'02c_DC_Accel_Bridge'!$D$2:$D$1057,C17)/I17,0)</f>
        <v/>
      </c>
      <c r="M17" s="6">
        <f>IF(I17&gt;0,SUMIFS('02c_DC_Accel_Bridge'!$X$2:$X$1057,'02c_DC_Accel_Bridge'!$B$2:$B$1057,A17,'02c_DC_Accel_Bridge'!$C$2:$C$1057,B17,'02c_DC_Accel_Bridge'!$D$2:$D$1057,C17)/I17,0)</f>
        <v/>
      </c>
      <c r="N17" s="6">
        <f>IF(I17&gt;0,SUMIFS('02c_DC_Accel_Bridge'!$Y$2:$Y$1057,'02c_DC_Accel_Bridge'!$B$2:$B$1057,A17,'02c_DC_Accel_Bridge'!$C$2:$C$1057,B17,'02c_DC_Accel_Bridge'!$D$2:$D$1057,C17)/I17,0)</f>
        <v/>
      </c>
      <c r="O17" s="6">
        <f>IF(I17&gt;0,SUMIFS('02c_DC_Accel_Bridge'!$Z$2:$Z$1057,'02c_DC_Accel_Bridge'!$B$2:$B$1057,A17,'02c_DC_Accel_Bridge'!$C$2:$C$1057,B17,'02c_DC_Accel_Bridge'!$D$2:$D$1057,C17)/I17,0)</f>
        <v/>
      </c>
      <c r="P17" s="3" t="inlineStr">
        <is>
          <t>weighted average: sum(site inference_weight_mw * accelerator_share) / sum(site inference_weight_mw)</t>
        </is>
      </c>
      <c r="Q17" s="3" t="inlineStr">
        <is>
          <t>dc_capacity_x_dc_accelerator_mix</t>
        </is>
      </c>
      <c r="R17" s="3" t="inlineStr">
        <is>
          <t>Edit 02a capacity allocation and 02b site accelerator mix; 03_Calculation reads D:G from this sheet.</t>
        </is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>
        <f>IF(I18&gt;0,SUMIFS('02c_DC_Accel_Bridge'!$R$2:$R$1057,'02c_DC_Accel_Bridge'!$B$2:$B$1057,A18,'02c_DC_Accel_Bridge'!$C$2:$C$1057,B18,'02c_DC_Accel_Bridge'!$D$2:$D$1057,C18)/I18,0.0)</f>
        <v/>
      </c>
      <c r="E18" s="6">
        <f>IF(I18&gt;0,SUMIFS('02c_DC_Accel_Bridge'!$S$2:$S$1057,'02c_DC_Accel_Bridge'!$B$2:$B$1057,A18,'02c_DC_Accel_Bridge'!$C$2:$C$1057,B18,'02c_DC_Accel_Bridge'!$D$2:$D$1057,C18)/I18,1.0)</f>
        <v/>
      </c>
      <c r="F18" s="6">
        <f>IF(I18&gt;0,SUMIFS('02c_DC_Accel_Bridge'!$T$2:$T$1057,'02c_DC_Accel_Bridge'!$B$2:$B$1057,A18,'02c_DC_Accel_Bridge'!$C$2:$C$1057,B18,'02c_DC_Accel_Bridge'!$D$2:$D$1057,C18)/I18,0.0)</f>
        <v/>
      </c>
      <c r="G18" s="6">
        <f>IF(I18&gt;0,SUMIFS('02c_DC_Accel_Bridge'!$AA$2:$AA$1057,'02c_DC_Accel_Bridge'!$B$2:$B$1057,A18,'02c_DC_Accel_Bridge'!$C$2:$C$1057,B18,'02c_DC_Accel_Bridge'!$D$2:$D$1057,C18)/I18,0.0)</f>
        <v/>
      </c>
      <c r="H18" s="6">
        <f>SUM(D18:G18)</f>
        <v/>
      </c>
      <c r="I18" s="28">
        <f>SUMIFS('02c_DC_Accel_Bridge'!$H$2:$H$1057,'02c_DC_Accel_Bridge'!$B$2:$B$1057,A18,'02c_DC_Accel_Bridge'!$C$2:$C$1057,B18,'02c_DC_Accel_Bridge'!$D$2:$D$1057,C18)</f>
        <v/>
      </c>
      <c r="J18" s="6">
        <f>IF(I18&gt;0,SUMIFS('02c_DC_Accel_Bridge'!$U$2:$U$1057,'02c_DC_Accel_Bridge'!$B$2:$B$1057,A18,'02c_DC_Accel_Bridge'!$C$2:$C$1057,B18,'02c_DC_Accel_Bridge'!$D$2:$D$1057,C18)/I18,0)</f>
        <v/>
      </c>
      <c r="K18" s="6">
        <f>IF(I18&gt;0,SUMIFS('02c_DC_Accel_Bridge'!$V$2:$V$1057,'02c_DC_Accel_Bridge'!$B$2:$B$1057,A18,'02c_DC_Accel_Bridge'!$C$2:$C$1057,B18,'02c_DC_Accel_Bridge'!$D$2:$D$1057,C18)/I18,0)</f>
        <v/>
      </c>
      <c r="L18" s="6">
        <f>IF(I18&gt;0,SUMIFS('02c_DC_Accel_Bridge'!$W$2:$W$1057,'02c_DC_Accel_Bridge'!$B$2:$B$1057,A18,'02c_DC_Accel_Bridge'!$C$2:$C$1057,B18,'02c_DC_Accel_Bridge'!$D$2:$D$1057,C18)/I18,0)</f>
        <v/>
      </c>
      <c r="M18" s="6">
        <f>IF(I18&gt;0,SUMIFS('02c_DC_Accel_Bridge'!$X$2:$X$1057,'02c_DC_Accel_Bridge'!$B$2:$B$1057,A18,'02c_DC_Accel_Bridge'!$C$2:$C$1057,B18,'02c_DC_Accel_Bridge'!$D$2:$D$1057,C18)/I18,0)</f>
        <v/>
      </c>
      <c r="N18" s="6">
        <f>IF(I18&gt;0,SUMIFS('02c_DC_Accel_Bridge'!$Y$2:$Y$1057,'02c_DC_Accel_Bridge'!$B$2:$B$1057,A18,'02c_DC_Accel_Bridge'!$C$2:$C$1057,B18,'02c_DC_Accel_Bridge'!$D$2:$D$1057,C18)/I18,0)</f>
        <v/>
      </c>
      <c r="O18" s="6">
        <f>IF(I18&gt;0,SUMIFS('02c_DC_Accel_Bridge'!$Z$2:$Z$1057,'02c_DC_Accel_Bridge'!$B$2:$B$1057,A18,'02c_DC_Accel_Bridge'!$C$2:$C$1057,B18,'02c_DC_Accel_Bridge'!$D$2:$D$1057,C18)/I18,0)</f>
        <v/>
      </c>
      <c r="P18" s="3" t="inlineStr">
        <is>
          <t>weighted average: sum(site inference_weight_mw * accelerator_share) / sum(site inference_weight_mw)</t>
        </is>
      </c>
      <c r="Q18" s="3" t="inlineStr">
        <is>
          <t>dc_capacity_x_dc_accelerator_mix</t>
        </is>
      </c>
      <c r="R18" s="3" t="inlineStr">
        <is>
          <t>Edit 02a capacity allocation and 02b site accelerator mix; 03_Calculation reads D:G from this sheet.</t>
        </is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>
        <f>IF(I19&gt;0,SUMIFS('02c_DC_Accel_Bridge'!$R$2:$R$1057,'02c_DC_Accel_Bridge'!$B$2:$B$1057,A19,'02c_DC_Accel_Bridge'!$C$2:$C$1057,B19,'02c_DC_Accel_Bridge'!$D$2:$D$1057,C19)/I19,0.0)</f>
        <v/>
      </c>
      <c r="E19" s="6">
        <f>IF(I19&gt;0,SUMIFS('02c_DC_Accel_Bridge'!$S$2:$S$1057,'02c_DC_Accel_Bridge'!$B$2:$B$1057,A19,'02c_DC_Accel_Bridge'!$C$2:$C$1057,B19,'02c_DC_Accel_Bridge'!$D$2:$D$1057,C19)/I19,1.0)</f>
        <v/>
      </c>
      <c r="F19" s="6">
        <f>IF(I19&gt;0,SUMIFS('02c_DC_Accel_Bridge'!$T$2:$T$1057,'02c_DC_Accel_Bridge'!$B$2:$B$1057,A19,'02c_DC_Accel_Bridge'!$C$2:$C$1057,B19,'02c_DC_Accel_Bridge'!$D$2:$D$1057,C19)/I19,0.0)</f>
        <v/>
      </c>
      <c r="G19" s="6">
        <f>IF(I19&gt;0,SUMIFS('02c_DC_Accel_Bridge'!$AA$2:$AA$1057,'02c_DC_Accel_Bridge'!$B$2:$B$1057,A19,'02c_DC_Accel_Bridge'!$C$2:$C$1057,B19,'02c_DC_Accel_Bridge'!$D$2:$D$1057,C19)/I19,0.0)</f>
        <v/>
      </c>
      <c r="H19" s="6">
        <f>SUM(D19:G19)</f>
        <v/>
      </c>
      <c r="I19" s="28">
        <f>SUMIFS('02c_DC_Accel_Bridge'!$H$2:$H$1057,'02c_DC_Accel_Bridge'!$B$2:$B$1057,A19,'02c_DC_Accel_Bridge'!$C$2:$C$1057,B19,'02c_DC_Accel_Bridge'!$D$2:$D$1057,C19)</f>
        <v/>
      </c>
      <c r="J19" s="6">
        <f>IF(I19&gt;0,SUMIFS('02c_DC_Accel_Bridge'!$U$2:$U$1057,'02c_DC_Accel_Bridge'!$B$2:$B$1057,A19,'02c_DC_Accel_Bridge'!$C$2:$C$1057,B19,'02c_DC_Accel_Bridge'!$D$2:$D$1057,C19)/I19,0)</f>
        <v/>
      </c>
      <c r="K19" s="6">
        <f>IF(I19&gt;0,SUMIFS('02c_DC_Accel_Bridge'!$V$2:$V$1057,'02c_DC_Accel_Bridge'!$B$2:$B$1057,A19,'02c_DC_Accel_Bridge'!$C$2:$C$1057,B19,'02c_DC_Accel_Bridge'!$D$2:$D$1057,C19)/I19,0)</f>
        <v/>
      </c>
      <c r="L19" s="6">
        <f>IF(I19&gt;0,SUMIFS('02c_DC_Accel_Bridge'!$W$2:$W$1057,'02c_DC_Accel_Bridge'!$B$2:$B$1057,A19,'02c_DC_Accel_Bridge'!$C$2:$C$1057,B19,'02c_DC_Accel_Bridge'!$D$2:$D$1057,C19)/I19,0)</f>
        <v/>
      </c>
      <c r="M19" s="6">
        <f>IF(I19&gt;0,SUMIFS('02c_DC_Accel_Bridge'!$X$2:$X$1057,'02c_DC_Accel_Bridge'!$B$2:$B$1057,A19,'02c_DC_Accel_Bridge'!$C$2:$C$1057,B19,'02c_DC_Accel_Bridge'!$D$2:$D$1057,C19)/I19,0)</f>
        <v/>
      </c>
      <c r="N19" s="6">
        <f>IF(I19&gt;0,SUMIFS('02c_DC_Accel_Bridge'!$Y$2:$Y$1057,'02c_DC_Accel_Bridge'!$B$2:$B$1057,A19,'02c_DC_Accel_Bridge'!$C$2:$C$1057,B19,'02c_DC_Accel_Bridge'!$D$2:$D$1057,C19)/I19,0)</f>
        <v/>
      </c>
      <c r="O19" s="6">
        <f>IF(I19&gt;0,SUMIFS('02c_DC_Accel_Bridge'!$Z$2:$Z$1057,'02c_DC_Accel_Bridge'!$B$2:$B$1057,A19,'02c_DC_Accel_Bridge'!$C$2:$C$1057,B19,'02c_DC_Accel_Bridge'!$D$2:$D$1057,C19)/I19,0)</f>
        <v/>
      </c>
      <c r="P19" s="3" t="inlineStr">
        <is>
          <t>weighted average: sum(site inference_weight_mw * accelerator_share) / sum(site inference_weight_mw)</t>
        </is>
      </c>
      <c r="Q19" s="3" t="inlineStr">
        <is>
          <t>dc_capacity_x_dc_accelerator_mix</t>
        </is>
      </c>
      <c r="R19" s="3" t="inlineStr">
        <is>
          <t>Edit 02a capacity allocation and 02b site accelerator mix; 03_Calculation reads D:G from this sheet.</t>
        </is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>
        <f>IF(I20&gt;0,SUMIFS('02c_DC_Accel_Bridge'!$R$2:$R$1057,'02c_DC_Accel_Bridge'!$B$2:$B$1057,A20,'02c_DC_Accel_Bridge'!$C$2:$C$1057,B20,'02c_DC_Accel_Bridge'!$D$2:$D$1057,C20)/I20,0.0)</f>
        <v/>
      </c>
      <c r="E20" s="6">
        <f>IF(I20&gt;0,SUMIFS('02c_DC_Accel_Bridge'!$S$2:$S$1057,'02c_DC_Accel_Bridge'!$B$2:$B$1057,A20,'02c_DC_Accel_Bridge'!$C$2:$C$1057,B20,'02c_DC_Accel_Bridge'!$D$2:$D$1057,C20)/I20,1.0)</f>
        <v/>
      </c>
      <c r="F20" s="6">
        <f>IF(I20&gt;0,SUMIFS('02c_DC_Accel_Bridge'!$T$2:$T$1057,'02c_DC_Accel_Bridge'!$B$2:$B$1057,A20,'02c_DC_Accel_Bridge'!$C$2:$C$1057,B20,'02c_DC_Accel_Bridge'!$D$2:$D$1057,C20)/I20,0.0)</f>
        <v/>
      </c>
      <c r="G20" s="6">
        <f>IF(I20&gt;0,SUMIFS('02c_DC_Accel_Bridge'!$AA$2:$AA$1057,'02c_DC_Accel_Bridge'!$B$2:$B$1057,A20,'02c_DC_Accel_Bridge'!$C$2:$C$1057,B20,'02c_DC_Accel_Bridge'!$D$2:$D$1057,C20)/I20,0.0)</f>
        <v/>
      </c>
      <c r="H20" s="6">
        <f>SUM(D20:G20)</f>
        <v/>
      </c>
      <c r="I20" s="28">
        <f>SUMIFS('02c_DC_Accel_Bridge'!$H$2:$H$1057,'02c_DC_Accel_Bridge'!$B$2:$B$1057,A20,'02c_DC_Accel_Bridge'!$C$2:$C$1057,B20,'02c_DC_Accel_Bridge'!$D$2:$D$1057,C20)</f>
        <v/>
      </c>
      <c r="J20" s="6">
        <f>IF(I20&gt;0,SUMIFS('02c_DC_Accel_Bridge'!$U$2:$U$1057,'02c_DC_Accel_Bridge'!$B$2:$B$1057,A20,'02c_DC_Accel_Bridge'!$C$2:$C$1057,B20,'02c_DC_Accel_Bridge'!$D$2:$D$1057,C20)/I20,0)</f>
        <v/>
      </c>
      <c r="K20" s="6">
        <f>IF(I20&gt;0,SUMIFS('02c_DC_Accel_Bridge'!$V$2:$V$1057,'02c_DC_Accel_Bridge'!$B$2:$B$1057,A20,'02c_DC_Accel_Bridge'!$C$2:$C$1057,B20,'02c_DC_Accel_Bridge'!$D$2:$D$1057,C20)/I20,0)</f>
        <v/>
      </c>
      <c r="L20" s="6">
        <f>IF(I20&gt;0,SUMIFS('02c_DC_Accel_Bridge'!$W$2:$W$1057,'02c_DC_Accel_Bridge'!$B$2:$B$1057,A20,'02c_DC_Accel_Bridge'!$C$2:$C$1057,B20,'02c_DC_Accel_Bridge'!$D$2:$D$1057,C20)/I20,0)</f>
        <v/>
      </c>
      <c r="M20" s="6">
        <f>IF(I20&gt;0,SUMIFS('02c_DC_Accel_Bridge'!$X$2:$X$1057,'02c_DC_Accel_Bridge'!$B$2:$B$1057,A20,'02c_DC_Accel_Bridge'!$C$2:$C$1057,B20,'02c_DC_Accel_Bridge'!$D$2:$D$1057,C20)/I20,0)</f>
        <v/>
      </c>
      <c r="N20" s="6">
        <f>IF(I20&gt;0,SUMIFS('02c_DC_Accel_Bridge'!$Y$2:$Y$1057,'02c_DC_Accel_Bridge'!$B$2:$B$1057,A20,'02c_DC_Accel_Bridge'!$C$2:$C$1057,B20,'02c_DC_Accel_Bridge'!$D$2:$D$1057,C20)/I20,0)</f>
        <v/>
      </c>
      <c r="O20" s="6">
        <f>IF(I20&gt;0,SUMIFS('02c_DC_Accel_Bridge'!$Z$2:$Z$1057,'02c_DC_Accel_Bridge'!$B$2:$B$1057,A20,'02c_DC_Accel_Bridge'!$C$2:$C$1057,B20,'02c_DC_Accel_Bridge'!$D$2:$D$1057,C20)/I20,0)</f>
        <v/>
      </c>
      <c r="P20" s="3" t="inlineStr">
        <is>
          <t>weighted average: sum(site inference_weight_mw * accelerator_share) / sum(site inference_weight_mw)</t>
        </is>
      </c>
      <c r="Q20" s="3" t="inlineStr">
        <is>
          <t>dc_capacity_x_dc_accelerator_mix</t>
        </is>
      </c>
      <c r="R20" s="3" t="inlineStr">
        <is>
          <t>Edit 02a capacity allocation and 02b site accelerator mix; 03_Calculation reads D:G from this sheet.</t>
        </is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>
        <f>IF(I21&gt;0,SUMIFS('02c_DC_Accel_Bridge'!$R$2:$R$1057,'02c_DC_Accel_Bridge'!$B$2:$B$1057,A21,'02c_DC_Accel_Bridge'!$C$2:$C$1057,B21,'02c_DC_Accel_Bridge'!$D$2:$D$1057,C21)/I21,0.0)</f>
        <v/>
      </c>
      <c r="E21" s="6">
        <f>IF(I21&gt;0,SUMIFS('02c_DC_Accel_Bridge'!$S$2:$S$1057,'02c_DC_Accel_Bridge'!$B$2:$B$1057,A21,'02c_DC_Accel_Bridge'!$C$2:$C$1057,B21,'02c_DC_Accel_Bridge'!$D$2:$D$1057,C21)/I21,1.0)</f>
        <v/>
      </c>
      <c r="F21" s="6">
        <f>IF(I21&gt;0,SUMIFS('02c_DC_Accel_Bridge'!$T$2:$T$1057,'02c_DC_Accel_Bridge'!$B$2:$B$1057,A21,'02c_DC_Accel_Bridge'!$C$2:$C$1057,B21,'02c_DC_Accel_Bridge'!$D$2:$D$1057,C21)/I21,0.0)</f>
        <v/>
      </c>
      <c r="G21" s="6">
        <f>IF(I21&gt;0,SUMIFS('02c_DC_Accel_Bridge'!$AA$2:$AA$1057,'02c_DC_Accel_Bridge'!$B$2:$B$1057,A21,'02c_DC_Accel_Bridge'!$C$2:$C$1057,B21,'02c_DC_Accel_Bridge'!$D$2:$D$1057,C21)/I21,0.0)</f>
        <v/>
      </c>
      <c r="H21" s="6">
        <f>SUM(D21:G21)</f>
        <v/>
      </c>
      <c r="I21" s="28">
        <f>SUMIFS('02c_DC_Accel_Bridge'!$H$2:$H$1057,'02c_DC_Accel_Bridge'!$B$2:$B$1057,A21,'02c_DC_Accel_Bridge'!$C$2:$C$1057,B21,'02c_DC_Accel_Bridge'!$D$2:$D$1057,C21)</f>
        <v/>
      </c>
      <c r="J21" s="6">
        <f>IF(I21&gt;0,SUMIFS('02c_DC_Accel_Bridge'!$U$2:$U$1057,'02c_DC_Accel_Bridge'!$B$2:$B$1057,A21,'02c_DC_Accel_Bridge'!$C$2:$C$1057,B21,'02c_DC_Accel_Bridge'!$D$2:$D$1057,C21)/I21,0)</f>
        <v/>
      </c>
      <c r="K21" s="6">
        <f>IF(I21&gt;0,SUMIFS('02c_DC_Accel_Bridge'!$V$2:$V$1057,'02c_DC_Accel_Bridge'!$B$2:$B$1057,A21,'02c_DC_Accel_Bridge'!$C$2:$C$1057,B21,'02c_DC_Accel_Bridge'!$D$2:$D$1057,C21)/I21,0)</f>
        <v/>
      </c>
      <c r="L21" s="6">
        <f>IF(I21&gt;0,SUMIFS('02c_DC_Accel_Bridge'!$W$2:$W$1057,'02c_DC_Accel_Bridge'!$B$2:$B$1057,A21,'02c_DC_Accel_Bridge'!$C$2:$C$1057,B21,'02c_DC_Accel_Bridge'!$D$2:$D$1057,C21)/I21,0)</f>
        <v/>
      </c>
      <c r="M21" s="6">
        <f>IF(I21&gt;0,SUMIFS('02c_DC_Accel_Bridge'!$X$2:$X$1057,'02c_DC_Accel_Bridge'!$B$2:$B$1057,A21,'02c_DC_Accel_Bridge'!$C$2:$C$1057,B21,'02c_DC_Accel_Bridge'!$D$2:$D$1057,C21)/I21,0)</f>
        <v/>
      </c>
      <c r="N21" s="6">
        <f>IF(I21&gt;0,SUMIFS('02c_DC_Accel_Bridge'!$Y$2:$Y$1057,'02c_DC_Accel_Bridge'!$B$2:$B$1057,A21,'02c_DC_Accel_Bridge'!$C$2:$C$1057,B21,'02c_DC_Accel_Bridge'!$D$2:$D$1057,C21)/I21,0)</f>
        <v/>
      </c>
      <c r="O21" s="6">
        <f>IF(I21&gt;0,SUMIFS('02c_DC_Accel_Bridge'!$Z$2:$Z$1057,'02c_DC_Accel_Bridge'!$B$2:$B$1057,A21,'02c_DC_Accel_Bridge'!$C$2:$C$1057,B21,'02c_DC_Accel_Bridge'!$D$2:$D$1057,C21)/I21,0)</f>
        <v/>
      </c>
      <c r="P21" s="3" t="inlineStr">
        <is>
          <t>weighted average: sum(site inference_weight_mw * accelerator_share) / sum(site inference_weight_mw)</t>
        </is>
      </c>
      <c r="Q21" s="3" t="inlineStr">
        <is>
          <t>dc_capacity_x_dc_accelerator_mix</t>
        </is>
      </c>
      <c r="R21" s="3" t="inlineStr">
        <is>
          <t>Edit 02a capacity allocation and 02b site accelerator mix; 03_Calculation reads D:G from this sheet.</t>
        </is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>
        <f>IF(I22&gt;0,SUMIFS('02c_DC_Accel_Bridge'!$R$2:$R$1057,'02c_DC_Accel_Bridge'!$B$2:$B$1057,A22,'02c_DC_Accel_Bridge'!$C$2:$C$1057,B22,'02c_DC_Accel_Bridge'!$D$2:$D$1057,C22)/I22,0.085502)</f>
        <v/>
      </c>
      <c r="E22" s="6">
        <f>IF(I22&gt;0,SUMIFS('02c_DC_Accel_Bridge'!$S$2:$S$1057,'02c_DC_Accel_Bridge'!$B$2:$B$1057,A22,'02c_DC_Accel_Bridge'!$C$2:$C$1057,B22,'02c_DC_Accel_Bridge'!$D$2:$D$1057,C22)/I22,0.914498)</f>
        <v/>
      </c>
      <c r="F22" s="6">
        <f>IF(I22&gt;0,SUMIFS('02c_DC_Accel_Bridge'!$T$2:$T$1057,'02c_DC_Accel_Bridge'!$B$2:$B$1057,A22,'02c_DC_Accel_Bridge'!$C$2:$C$1057,B22,'02c_DC_Accel_Bridge'!$D$2:$D$1057,C22)/I22,0.0)</f>
        <v/>
      </c>
      <c r="G22" s="6">
        <f>IF(I22&gt;0,SUMIFS('02c_DC_Accel_Bridge'!$AA$2:$AA$1057,'02c_DC_Accel_Bridge'!$B$2:$B$1057,A22,'02c_DC_Accel_Bridge'!$C$2:$C$1057,B22,'02c_DC_Accel_Bridge'!$D$2:$D$1057,C22)/I22,0.0)</f>
        <v/>
      </c>
      <c r="H22" s="6">
        <f>SUM(D22:G22)</f>
        <v/>
      </c>
      <c r="I22" s="28">
        <f>SUMIFS('02c_DC_Accel_Bridge'!$H$2:$H$1057,'02c_DC_Accel_Bridge'!$B$2:$B$1057,A22,'02c_DC_Accel_Bridge'!$C$2:$C$1057,B22,'02c_DC_Accel_Bridge'!$D$2:$D$1057,C22)</f>
        <v/>
      </c>
      <c r="J22" s="6">
        <f>IF(I22&gt;0,SUMIFS('02c_DC_Accel_Bridge'!$U$2:$U$1057,'02c_DC_Accel_Bridge'!$B$2:$B$1057,A22,'02c_DC_Accel_Bridge'!$C$2:$C$1057,B22,'02c_DC_Accel_Bridge'!$D$2:$D$1057,C22)/I22,0)</f>
        <v/>
      </c>
      <c r="K22" s="6">
        <f>IF(I22&gt;0,SUMIFS('02c_DC_Accel_Bridge'!$V$2:$V$1057,'02c_DC_Accel_Bridge'!$B$2:$B$1057,A22,'02c_DC_Accel_Bridge'!$C$2:$C$1057,B22,'02c_DC_Accel_Bridge'!$D$2:$D$1057,C22)/I22,0)</f>
        <v/>
      </c>
      <c r="L22" s="6">
        <f>IF(I22&gt;0,SUMIFS('02c_DC_Accel_Bridge'!$W$2:$W$1057,'02c_DC_Accel_Bridge'!$B$2:$B$1057,A22,'02c_DC_Accel_Bridge'!$C$2:$C$1057,B22,'02c_DC_Accel_Bridge'!$D$2:$D$1057,C22)/I22,0)</f>
        <v/>
      </c>
      <c r="M22" s="6">
        <f>IF(I22&gt;0,SUMIFS('02c_DC_Accel_Bridge'!$X$2:$X$1057,'02c_DC_Accel_Bridge'!$B$2:$B$1057,A22,'02c_DC_Accel_Bridge'!$C$2:$C$1057,B22,'02c_DC_Accel_Bridge'!$D$2:$D$1057,C22)/I22,0)</f>
        <v/>
      </c>
      <c r="N22" s="6">
        <f>IF(I22&gt;0,SUMIFS('02c_DC_Accel_Bridge'!$Y$2:$Y$1057,'02c_DC_Accel_Bridge'!$B$2:$B$1057,A22,'02c_DC_Accel_Bridge'!$C$2:$C$1057,B22,'02c_DC_Accel_Bridge'!$D$2:$D$1057,C22)/I22,0)</f>
        <v/>
      </c>
      <c r="O22" s="6">
        <f>IF(I22&gt;0,SUMIFS('02c_DC_Accel_Bridge'!$Z$2:$Z$1057,'02c_DC_Accel_Bridge'!$B$2:$B$1057,A22,'02c_DC_Accel_Bridge'!$C$2:$C$1057,B22,'02c_DC_Accel_Bridge'!$D$2:$D$1057,C22)/I22,0)</f>
        <v/>
      </c>
      <c r="P22" s="3" t="inlineStr">
        <is>
          <t>weighted average: sum(site inference_weight_mw * accelerator_share) / sum(site inference_weight_mw)</t>
        </is>
      </c>
      <c r="Q22" s="3" t="inlineStr">
        <is>
          <t>dc_capacity_x_dc_accelerator_mix</t>
        </is>
      </c>
      <c r="R22" s="3" t="inlineStr">
        <is>
          <t>Edit 02a capacity allocation and 02b site accelerator mix; 03_Calculation reads D:G from this sheet.</t>
        </is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>
        <f>IF(I23&gt;0,SUMIFS('02c_DC_Accel_Bridge'!$R$2:$R$1057,'02c_DC_Accel_Bridge'!$B$2:$B$1057,A23,'02c_DC_Accel_Bridge'!$C$2:$C$1057,B23,'02c_DC_Accel_Bridge'!$D$2:$D$1057,C23)/I23,0.07041)</f>
        <v/>
      </c>
      <c r="E23" s="6">
        <f>IF(I23&gt;0,SUMIFS('02c_DC_Accel_Bridge'!$S$2:$S$1057,'02c_DC_Accel_Bridge'!$B$2:$B$1057,A23,'02c_DC_Accel_Bridge'!$C$2:$C$1057,B23,'02c_DC_Accel_Bridge'!$D$2:$D$1057,C23)/I23,0.92959)</f>
        <v/>
      </c>
      <c r="F23" s="6">
        <f>IF(I23&gt;0,SUMIFS('02c_DC_Accel_Bridge'!$T$2:$T$1057,'02c_DC_Accel_Bridge'!$B$2:$B$1057,A23,'02c_DC_Accel_Bridge'!$C$2:$C$1057,B23,'02c_DC_Accel_Bridge'!$D$2:$D$1057,C23)/I23,0.0)</f>
        <v/>
      </c>
      <c r="G23" s="6">
        <f>IF(I23&gt;0,SUMIFS('02c_DC_Accel_Bridge'!$AA$2:$AA$1057,'02c_DC_Accel_Bridge'!$B$2:$B$1057,A23,'02c_DC_Accel_Bridge'!$C$2:$C$1057,B23,'02c_DC_Accel_Bridge'!$D$2:$D$1057,C23)/I23,0.0)</f>
        <v/>
      </c>
      <c r="H23" s="6">
        <f>SUM(D23:G23)</f>
        <v/>
      </c>
      <c r="I23" s="28">
        <f>SUMIFS('02c_DC_Accel_Bridge'!$H$2:$H$1057,'02c_DC_Accel_Bridge'!$B$2:$B$1057,A23,'02c_DC_Accel_Bridge'!$C$2:$C$1057,B23,'02c_DC_Accel_Bridge'!$D$2:$D$1057,C23)</f>
        <v/>
      </c>
      <c r="J23" s="6">
        <f>IF(I23&gt;0,SUMIFS('02c_DC_Accel_Bridge'!$U$2:$U$1057,'02c_DC_Accel_Bridge'!$B$2:$B$1057,A23,'02c_DC_Accel_Bridge'!$C$2:$C$1057,B23,'02c_DC_Accel_Bridge'!$D$2:$D$1057,C23)/I23,0)</f>
        <v/>
      </c>
      <c r="K23" s="6">
        <f>IF(I23&gt;0,SUMIFS('02c_DC_Accel_Bridge'!$V$2:$V$1057,'02c_DC_Accel_Bridge'!$B$2:$B$1057,A23,'02c_DC_Accel_Bridge'!$C$2:$C$1057,B23,'02c_DC_Accel_Bridge'!$D$2:$D$1057,C23)/I23,0)</f>
        <v/>
      </c>
      <c r="L23" s="6">
        <f>IF(I23&gt;0,SUMIFS('02c_DC_Accel_Bridge'!$W$2:$W$1057,'02c_DC_Accel_Bridge'!$B$2:$B$1057,A23,'02c_DC_Accel_Bridge'!$C$2:$C$1057,B23,'02c_DC_Accel_Bridge'!$D$2:$D$1057,C23)/I23,0)</f>
        <v/>
      </c>
      <c r="M23" s="6">
        <f>IF(I23&gt;0,SUMIFS('02c_DC_Accel_Bridge'!$X$2:$X$1057,'02c_DC_Accel_Bridge'!$B$2:$B$1057,A23,'02c_DC_Accel_Bridge'!$C$2:$C$1057,B23,'02c_DC_Accel_Bridge'!$D$2:$D$1057,C23)/I23,0)</f>
        <v/>
      </c>
      <c r="N23" s="6">
        <f>IF(I23&gt;0,SUMIFS('02c_DC_Accel_Bridge'!$Y$2:$Y$1057,'02c_DC_Accel_Bridge'!$B$2:$B$1057,A23,'02c_DC_Accel_Bridge'!$C$2:$C$1057,B23,'02c_DC_Accel_Bridge'!$D$2:$D$1057,C23)/I23,0)</f>
        <v/>
      </c>
      <c r="O23" s="6">
        <f>IF(I23&gt;0,SUMIFS('02c_DC_Accel_Bridge'!$Z$2:$Z$1057,'02c_DC_Accel_Bridge'!$B$2:$B$1057,A23,'02c_DC_Accel_Bridge'!$C$2:$C$1057,B23,'02c_DC_Accel_Bridge'!$D$2:$D$1057,C23)/I23,0)</f>
        <v/>
      </c>
      <c r="P23" s="3" t="inlineStr">
        <is>
          <t>weighted average: sum(site inference_weight_mw * accelerator_share) / sum(site inference_weight_mw)</t>
        </is>
      </c>
      <c r="Q23" s="3" t="inlineStr">
        <is>
          <t>dc_capacity_x_dc_accelerator_mix</t>
        </is>
      </c>
      <c r="R23" s="3" t="inlineStr">
        <is>
          <t>Edit 02a capacity allocation and 02b site accelerator mix; 03_Calculation reads D:G from this sheet.</t>
        </is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>
        <f>IF(I24&gt;0,SUMIFS('02c_DC_Accel_Bridge'!$R$2:$R$1057,'02c_DC_Accel_Bridge'!$B$2:$B$1057,A24,'02c_DC_Accel_Bridge'!$C$2:$C$1057,B24,'02c_DC_Accel_Bridge'!$D$2:$D$1057,C24)/I24,0.153136)</f>
        <v/>
      </c>
      <c r="E24" s="6">
        <f>IF(I24&gt;0,SUMIFS('02c_DC_Accel_Bridge'!$S$2:$S$1057,'02c_DC_Accel_Bridge'!$B$2:$B$1057,A24,'02c_DC_Accel_Bridge'!$C$2:$C$1057,B24,'02c_DC_Accel_Bridge'!$D$2:$D$1057,C24)/I24,0.517322)</f>
        <v/>
      </c>
      <c r="F24" s="6">
        <f>IF(I24&gt;0,SUMIFS('02c_DC_Accel_Bridge'!$T$2:$T$1057,'02c_DC_Accel_Bridge'!$B$2:$B$1057,A24,'02c_DC_Accel_Bridge'!$C$2:$C$1057,B24,'02c_DC_Accel_Bridge'!$D$2:$D$1057,C24)/I24,0.124026)</f>
        <v/>
      </c>
      <c r="G24" s="6">
        <f>IF(I24&gt;0,SUMIFS('02c_DC_Accel_Bridge'!$AA$2:$AA$1057,'02c_DC_Accel_Bridge'!$B$2:$B$1057,A24,'02c_DC_Accel_Bridge'!$C$2:$C$1057,B24,'02c_DC_Accel_Bridge'!$D$2:$D$1057,C24)/I24,0.205515)</f>
        <v/>
      </c>
      <c r="H24" s="6">
        <f>SUM(D24:G24)</f>
        <v/>
      </c>
      <c r="I24" s="28">
        <f>SUMIFS('02c_DC_Accel_Bridge'!$H$2:$H$1057,'02c_DC_Accel_Bridge'!$B$2:$B$1057,A24,'02c_DC_Accel_Bridge'!$C$2:$C$1057,B24,'02c_DC_Accel_Bridge'!$D$2:$D$1057,C24)</f>
        <v/>
      </c>
      <c r="J24" s="6">
        <f>IF(I24&gt;0,SUMIFS('02c_DC_Accel_Bridge'!$U$2:$U$1057,'02c_DC_Accel_Bridge'!$B$2:$B$1057,A24,'02c_DC_Accel_Bridge'!$C$2:$C$1057,B24,'02c_DC_Accel_Bridge'!$D$2:$D$1057,C24)/I24,0)</f>
        <v/>
      </c>
      <c r="K24" s="6">
        <f>IF(I24&gt;0,SUMIFS('02c_DC_Accel_Bridge'!$V$2:$V$1057,'02c_DC_Accel_Bridge'!$B$2:$B$1057,A24,'02c_DC_Accel_Bridge'!$C$2:$C$1057,B24,'02c_DC_Accel_Bridge'!$D$2:$D$1057,C24)/I24,0)</f>
        <v/>
      </c>
      <c r="L24" s="6">
        <f>IF(I24&gt;0,SUMIFS('02c_DC_Accel_Bridge'!$W$2:$W$1057,'02c_DC_Accel_Bridge'!$B$2:$B$1057,A24,'02c_DC_Accel_Bridge'!$C$2:$C$1057,B24,'02c_DC_Accel_Bridge'!$D$2:$D$1057,C24)/I24,0)</f>
        <v/>
      </c>
      <c r="M24" s="6">
        <f>IF(I24&gt;0,SUMIFS('02c_DC_Accel_Bridge'!$X$2:$X$1057,'02c_DC_Accel_Bridge'!$B$2:$B$1057,A24,'02c_DC_Accel_Bridge'!$C$2:$C$1057,B24,'02c_DC_Accel_Bridge'!$D$2:$D$1057,C24)/I24,0)</f>
        <v/>
      </c>
      <c r="N24" s="6">
        <f>IF(I24&gt;0,SUMIFS('02c_DC_Accel_Bridge'!$Y$2:$Y$1057,'02c_DC_Accel_Bridge'!$B$2:$B$1057,A24,'02c_DC_Accel_Bridge'!$C$2:$C$1057,B24,'02c_DC_Accel_Bridge'!$D$2:$D$1057,C24)/I24,0)</f>
        <v/>
      </c>
      <c r="O24" s="6">
        <f>IF(I24&gt;0,SUMIFS('02c_DC_Accel_Bridge'!$Z$2:$Z$1057,'02c_DC_Accel_Bridge'!$B$2:$B$1057,A24,'02c_DC_Accel_Bridge'!$C$2:$C$1057,B24,'02c_DC_Accel_Bridge'!$D$2:$D$1057,C24)/I24,0)</f>
        <v/>
      </c>
      <c r="P24" s="3" t="inlineStr">
        <is>
          <t>weighted average: sum(site inference_weight_mw * accelerator_share) / sum(site inference_weight_mw)</t>
        </is>
      </c>
      <c r="Q24" s="3" t="inlineStr">
        <is>
          <t>dc_capacity_x_dc_accelerator_mix</t>
        </is>
      </c>
      <c r="R24" s="3" t="inlineStr">
        <is>
          <t>Edit 02a capacity allocation and 02b site accelerator mix; 03_Calculation reads D:G from this sheet.</t>
        </is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>
        <f>IF(I25&gt;0,SUMIFS('02c_DC_Accel_Bridge'!$R$2:$R$1057,'02c_DC_Accel_Bridge'!$B$2:$B$1057,A25,'02c_DC_Accel_Bridge'!$C$2:$C$1057,B25,'02c_DC_Accel_Bridge'!$D$2:$D$1057,C25)/I25,0.102937)</f>
        <v/>
      </c>
      <c r="E25" s="6">
        <f>IF(I25&gt;0,SUMIFS('02c_DC_Accel_Bridge'!$S$2:$S$1057,'02c_DC_Accel_Bridge'!$B$2:$B$1057,A25,'02c_DC_Accel_Bridge'!$C$2:$C$1057,B25,'02c_DC_Accel_Bridge'!$D$2:$D$1057,C25)/I25,0.529748)</f>
        <v/>
      </c>
      <c r="F25" s="6">
        <f>IF(I25&gt;0,SUMIFS('02c_DC_Accel_Bridge'!$T$2:$T$1057,'02c_DC_Accel_Bridge'!$B$2:$B$1057,A25,'02c_DC_Accel_Bridge'!$C$2:$C$1057,B25,'02c_DC_Accel_Bridge'!$D$2:$D$1057,C25)/I25,0.169295)</f>
        <v/>
      </c>
      <c r="G25" s="6">
        <f>IF(I25&gt;0,SUMIFS('02c_DC_Accel_Bridge'!$AA$2:$AA$1057,'02c_DC_Accel_Bridge'!$B$2:$B$1057,A25,'02c_DC_Accel_Bridge'!$C$2:$C$1057,B25,'02c_DC_Accel_Bridge'!$D$2:$D$1057,C25)/I25,0.19802)</f>
        <v/>
      </c>
      <c r="H25" s="6">
        <f>SUM(D25:G25)</f>
        <v/>
      </c>
      <c r="I25" s="28">
        <f>SUMIFS('02c_DC_Accel_Bridge'!$H$2:$H$1057,'02c_DC_Accel_Bridge'!$B$2:$B$1057,A25,'02c_DC_Accel_Bridge'!$C$2:$C$1057,B25,'02c_DC_Accel_Bridge'!$D$2:$D$1057,C25)</f>
        <v/>
      </c>
      <c r="J25" s="6">
        <f>IF(I25&gt;0,SUMIFS('02c_DC_Accel_Bridge'!$U$2:$U$1057,'02c_DC_Accel_Bridge'!$B$2:$B$1057,A25,'02c_DC_Accel_Bridge'!$C$2:$C$1057,B25,'02c_DC_Accel_Bridge'!$D$2:$D$1057,C25)/I25,0)</f>
        <v/>
      </c>
      <c r="K25" s="6">
        <f>IF(I25&gt;0,SUMIFS('02c_DC_Accel_Bridge'!$V$2:$V$1057,'02c_DC_Accel_Bridge'!$B$2:$B$1057,A25,'02c_DC_Accel_Bridge'!$C$2:$C$1057,B25,'02c_DC_Accel_Bridge'!$D$2:$D$1057,C25)/I25,0)</f>
        <v/>
      </c>
      <c r="L25" s="6">
        <f>IF(I25&gt;0,SUMIFS('02c_DC_Accel_Bridge'!$W$2:$W$1057,'02c_DC_Accel_Bridge'!$B$2:$B$1057,A25,'02c_DC_Accel_Bridge'!$C$2:$C$1057,B25,'02c_DC_Accel_Bridge'!$D$2:$D$1057,C25)/I25,0)</f>
        <v/>
      </c>
      <c r="M25" s="6">
        <f>IF(I25&gt;0,SUMIFS('02c_DC_Accel_Bridge'!$X$2:$X$1057,'02c_DC_Accel_Bridge'!$B$2:$B$1057,A25,'02c_DC_Accel_Bridge'!$C$2:$C$1057,B25,'02c_DC_Accel_Bridge'!$D$2:$D$1057,C25)/I25,0)</f>
        <v/>
      </c>
      <c r="N25" s="6">
        <f>IF(I25&gt;0,SUMIFS('02c_DC_Accel_Bridge'!$Y$2:$Y$1057,'02c_DC_Accel_Bridge'!$B$2:$B$1057,A25,'02c_DC_Accel_Bridge'!$C$2:$C$1057,B25,'02c_DC_Accel_Bridge'!$D$2:$D$1057,C25)/I25,0)</f>
        <v/>
      </c>
      <c r="O25" s="6">
        <f>IF(I25&gt;0,SUMIFS('02c_DC_Accel_Bridge'!$Z$2:$Z$1057,'02c_DC_Accel_Bridge'!$B$2:$B$1057,A25,'02c_DC_Accel_Bridge'!$C$2:$C$1057,B25,'02c_DC_Accel_Bridge'!$D$2:$D$1057,C25)/I25,0)</f>
        <v/>
      </c>
      <c r="P25" s="3" t="inlineStr">
        <is>
          <t>weighted average: sum(site inference_weight_mw * accelerator_share) / sum(site inference_weight_mw)</t>
        </is>
      </c>
      <c r="Q25" s="3" t="inlineStr">
        <is>
          <t>dc_capacity_x_dc_accelerator_mix</t>
        </is>
      </c>
      <c r="R25" s="3" t="inlineStr">
        <is>
          <t>Edit 02a capacity allocation and 02b site accelerator mix; 03_Calculation reads D:G from this sheet.</t>
        </is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>
        <f>IF(I26&gt;0,SUMIFS('02c_DC_Accel_Bridge'!$R$2:$R$1057,'02c_DC_Accel_Bridge'!$B$2:$B$1057,A26,'02c_DC_Accel_Bridge'!$C$2:$C$1057,B26,'02c_DC_Accel_Bridge'!$D$2:$D$1057,C26)/I26,0.057924)</f>
        <v/>
      </c>
      <c r="E26" s="6">
        <f>IF(I26&gt;0,SUMIFS('02c_DC_Accel_Bridge'!$S$2:$S$1057,'02c_DC_Accel_Bridge'!$B$2:$B$1057,A26,'02c_DC_Accel_Bridge'!$C$2:$C$1057,B26,'02c_DC_Accel_Bridge'!$D$2:$D$1057,C26)/I26,0.524968)</f>
        <v/>
      </c>
      <c r="F26" s="6">
        <f>IF(I26&gt;0,SUMIFS('02c_DC_Accel_Bridge'!$T$2:$T$1057,'02c_DC_Accel_Bridge'!$B$2:$B$1057,A26,'02c_DC_Accel_Bridge'!$C$2:$C$1057,B26,'02c_DC_Accel_Bridge'!$D$2:$D$1057,C26)/I26,0.219088)</f>
        <v/>
      </c>
      <c r="G26" s="6">
        <f>IF(I26&gt;0,SUMIFS('02c_DC_Accel_Bridge'!$AA$2:$AA$1057,'02c_DC_Accel_Bridge'!$B$2:$B$1057,A26,'02c_DC_Accel_Bridge'!$C$2:$C$1057,B26,'02c_DC_Accel_Bridge'!$D$2:$D$1057,C26)/I26,0.19802)</f>
        <v/>
      </c>
      <c r="H26" s="6">
        <f>SUM(D26:G26)</f>
        <v/>
      </c>
      <c r="I26" s="28">
        <f>SUMIFS('02c_DC_Accel_Bridge'!$H$2:$H$1057,'02c_DC_Accel_Bridge'!$B$2:$B$1057,A26,'02c_DC_Accel_Bridge'!$C$2:$C$1057,B26,'02c_DC_Accel_Bridge'!$D$2:$D$1057,C26)</f>
        <v/>
      </c>
      <c r="J26" s="6">
        <f>IF(I26&gt;0,SUMIFS('02c_DC_Accel_Bridge'!$U$2:$U$1057,'02c_DC_Accel_Bridge'!$B$2:$B$1057,A26,'02c_DC_Accel_Bridge'!$C$2:$C$1057,B26,'02c_DC_Accel_Bridge'!$D$2:$D$1057,C26)/I26,0)</f>
        <v/>
      </c>
      <c r="K26" s="6">
        <f>IF(I26&gt;0,SUMIFS('02c_DC_Accel_Bridge'!$V$2:$V$1057,'02c_DC_Accel_Bridge'!$B$2:$B$1057,A26,'02c_DC_Accel_Bridge'!$C$2:$C$1057,B26,'02c_DC_Accel_Bridge'!$D$2:$D$1057,C26)/I26,0)</f>
        <v/>
      </c>
      <c r="L26" s="6">
        <f>IF(I26&gt;0,SUMIFS('02c_DC_Accel_Bridge'!$W$2:$W$1057,'02c_DC_Accel_Bridge'!$B$2:$B$1057,A26,'02c_DC_Accel_Bridge'!$C$2:$C$1057,B26,'02c_DC_Accel_Bridge'!$D$2:$D$1057,C26)/I26,0)</f>
        <v/>
      </c>
      <c r="M26" s="6">
        <f>IF(I26&gt;0,SUMIFS('02c_DC_Accel_Bridge'!$X$2:$X$1057,'02c_DC_Accel_Bridge'!$B$2:$B$1057,A26,'02c_DC_Accel_Bridge'!$C$2:$C$1057,B26,'02c_DC_Accel_Bridge'!$D$2:$D$1057,C26)/I26,0)</f>
        <v/>
      </c>
      <c r="N26" s="6">
        <f>IF(I26&gt;0,SUMIFS('02c_DC_Accel_Bridge'!$Y$2:$Y$1057,'02c_DC_Accel_Bridge'!$B$2:$B$1057,A26,'02c_DC_Accel_Bridge'!$C$2:$C$1057,B26,'02c_DC_Accel_Bridge'!$D$2:$D$1057,C26)/I26,0)</f>
        <v/>
      </c>
      <c r="O26" s="6">
        <f>IF(I26&gt;0,SUMIFS('02c_DC_Accel_Bridge'!$Z$2:$Z$1057,'02c_DC_Accel_Bridge'!$B$2:$B$1057,A26,'02c_DC_Accel_Bridge'!$C$2:$C$1057,B26,'02c_DC_Accel_Bridge'!$D$2:$D$1057,C26)/I26,0)</f>
        <v/>
      </c>
      <c r="P26" s="3" t="inlineStr">
        <is>
          <t>weighted average: sum(site inference_weight_mw * accelerator_share) / sum(site inference_weight_mw)</t>
        </is>
      </c>
      <c r="Q26" s="3" t="inlineStr">
        <is>
          <t>dc_capacity_x_dc_accelerator_mix</t>
        </is>
      </c>
      <c r="R26" s="3" t="inlineStr">
        <is>
          <t>Edit 02a capacity allocation and 02b site accelerator mix; 03_Calculation reads D:G from this sheet.</t>
        </is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>
        <f>IF(I27&gt;0,SUMIFS('02c_DC_Accel_Bridge'!$R$2:$R$1057,'02c_DC_Accel_Bridge'!$B$2:$B$1057,A27,'02c_DC_Accel_Bridge'!$C$2:$C$1057,B27,'02c_DC_Accel_Bridge'!$D$2:$D$1057,C27)/I27,0.138978)</f>
        <v/>
      </c>
      <c r="E27" s="6">
        <f>IF(I27&gt;0,SUMIFS('02c_DC_Accel_Bridge'!$S$2:$S$1057,'02c_DC_Accel_Bridge'!$B$2:$B$1057,A27,'02c_DC_Accel_Bridge'!$C$2:$C$1057,B27,'02c_DC_Accel_Bridge'!$D$2:$D$1057,C27)/I27,0.181561)</f>
        <v/>
      </c>
      <c r="F27" s="6">
        <f>IF(I27&gt;0,SUMIFS('02c_DC_Accel_Bridge'!$T$2:$T$1057,'02c_DC_Accel_Bridge'!$B$2:$B$1057,A27,'02c_DC_Accel_Bridge'!$C$2:$C$1057,B27,'02c_DC_Accel_Bridge'!$D$2:$D$1057,C27)/I27,0.0)</f>
        <v/>
      </c>
      <c r="G27" s="6">
        <f>IF(I27&gt;0,SUMIFS('02c_DC_Accel_Bridge'!$AA$2:$AA$1057,'02c_DC_Accel_Bridge'!$B$2:$B$1057,A27,'02c_DC_Accel_Bridge'!$C$2:$C$1057,B27,'02c_DC_Accel_Bridge'!$D$2:$D$1057,C27)/I27,0.679461)</f>
        <v/>
      </c>
      <c r="H27" s="6">
        <f>SUM(D27:G27)</f>
        <v/>
      </c>
      <c r="I27" s="28">
        <f>SUMIFS('02c_DC_Accel_Bridge'!$H$2:$H$1057,'02c_DC_Accel_Bridge'!$B$2:$B$1057,A27,'02c_DC_Accel_Bridge'!$C$2:$C$1057,B27,'02c_DC_Accel_Bridge'!$D$2:$D$1057,C27)</f>
        <v/>
      </c>
      <c r="J27" s="6">
        <f>IF(I27&gt;0,SUMIFS('02c_DC_Accel_Bridge'!$U$2:$U$1057,'02c_DC_Accel_Bridge'!$B$2:$B$1057,A27,'02c_DC_Accel_Bridge'!$C$2:$C$1057,B27,'02c_DC_Accel_Bridge'!$D$2:$D$1057,C27)/I27,0)</f>
        <v/>
      </c>
      <c r="K27" s="6">
        <f>IF(I27&gt;0,SUMIFS('02c_DC_Accel_Bridge'!$V$2:$V$1057,'02c_DC_Accel_Bridge'!$B$2:$B$1057,A27,'02c_DC_Accel_Bridge'!$C$2:$C$1057,B27,'02c_DC_Accel_Bridge'!$D$2:$D$1057,C27)/I27,0)</f>
        <v/>
      </c>
      <c r="L27" s="6">
        <f>IF(I27&gt;0,SUMIFS('02c_DC_Accel_Bridge'!$W$2:$W$1057,'02c_DC_Accel_Bridge'!$B$2:$B$1057,A27,'02c_DC_Accel_Bridge'!$C$2:$C$1057,B27,'02c_DC_Accel_Bridge'!$D$2:$D$1057,C27)/I27,0)</f>
        <v/>
      </c>
      <c r="M27" s="6">
        <f>IF(I27&gt;0,SUMIFS('02c_DC_Accel_Bridge'!$X$2:$X$1057,'02c_DC_Accel_Bridge'!$B$2:$B$1057,A27,'02c_DC_Accel_Bridge'!$C$2:$C$1057,B27,'02c_DC_Accel_Bridge'!$D$2:$D$1057,C27)/I27,0)</f>
        <v/>
      </c>
      <c r="N27" s="6">
        <f>IF(I27&gt;0,SUMIFS('02c_DC_Accel_Bridge'!$Y$2:$Y$1057,'02c_DC_Accel_Bridge'!$B$2:$B$1057,A27,'02c_DC_Accel_Bridge'!$C$2:$C$1057,B27,'02c_DC_Accel_Bridge'!$D$2:$D$1057,C27)/I27,0)</f>
        <v/>
      </c>
      <c r="O27" s="6">
        <f>IF(I27&gt;0,SUMIFS('02c_DC_Accel_Bridge'!$Z$2:$Z$1057,'02c_DC_Accel_Bridge'!$B$2:$B$1057,A27,'02c_DC_Accel_Bridge'!$C$2:$C$1057,B27,'02c_DC_Accel_Bridge'!$D$2:$D$1057,C27)/I27,0)</f>
        <v/>
      </c>
      <c r="P27" s="3" t="inlineStr">
        <is>
          <t>weighted average: sum(site inference_weight_mw * accelerator_share) / sum(site inference_weight_mw)</t>
        </is>
      </c>
      <c r="Q27" s="3" t="inlineStr">
        <is>
          <t>dc_capacity_x_dc_accelerator_mix</t>
        </is>
      </c>
      <c r="R27" s="3" t="inlineStr">
        <is>
          <t>Edit 02a capacity allocation and 02b site accelerator mix; 03_Calculation reads D:G from this sheet.</t>
        </is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>
        <f>IF(I28&gt;0,SUMIFS('02c_DC_Accel_Bridge'!$R$2:$R$1057,'02c_DC_Accel_Bridge'!$B$2:$B$1057,A28,'02c_DC_Accel_Bridge'!$C$2:$C$1057,B28,'02c_DC_Accel_Bridge'!$D$2:$D$1057,C28)/I28,0.128806)</f>
        <v/>
      </c>
      <c r="E28" s="6">
        <f>IF(I28&gt;0,SUMIFS('02c_DC_Accel_Bridge'!$S$2:$S$1057,'02c_DC_Accel_Bridge'!$B$2:$B$1057,A28,'02c_DC_Accel_Bridge'!$C$2:$C$1057,B28,'02c_DC_Accel_Bridge'!$D$2:$D$1057,C28)/I28,0.207151)</f>
        <v/>
      </c>
      <c r="F28" s="6">
        <f>IF(I28&gt;0,SUMIFS('02c_DC_Accel_Bridge'!$T$2:$T$1057,'02c_DC_Accel_Bridge'!$B$2:$B$1057,A28,'02c_DC_Accel_Bridge'!$C$2:$C$1057,B28,'02c_DC_Accel_Bridge'!$D$2:$D$1057,C28)/I28,0.0)</f>
        <v/>
      </c>
      <c r="G28" s="6">
        <f>IF(I28&gt;0,SUMIFS('02c_DC_Accel_Bridge'!$AA$2:$AA$1057,'02c_DC_Accel_Bridge'!$B$2:$B$1057,A28,'02c_DC_Accel_Bridge'!$C$2:$C$1057,B28,'02c_DC_Accel_Bridge'!$D$2:$D$1057,C28)/I28,0.664043)</f>
        <v/>
      </c>
      <c r="H28" s="6">
        <f>SUM(D28:G28)</f>
        <v/>
      </c>
      <c r="I28" s="28">
        <f>SUMIFS('02c_DC_Accel_Bridge'!$H$2:$H$1057,'02c_DC_Accel_Bridge'!$B$2:$B$1057,A28,'02c_DC_Accel_Bridge'!$C$2:$C$1057,B28,'02c_DC_Accel_Bridge'!$D$2:$D$1057,C28)</f>
        <v/>
      </c>
      <c r="J28" s="6">
        <f>IF(I28&gt;0,SUMIFS('02c_DC_Accel_Bridge'!$U$2:$U$1057,'02c_DC_Accel_Bridge'!$B$2:$B$1057,A28,'02c_DC_Accel_Bridge'!$C$2:$C$1057,B28,'02c_DC_Accel_Bridge'!$D$2:$D$1057,C28)/I28,0)</f>
        <v/>
      </c>
      <c r="K28" s="6">
        <f>IF(I28&gt;0,SUMIFS('02c_DC_Accel_Bridge'!$V$2:$V$1057,'02c_DC_Accel_Bridge'!$B$2:$B$1057,A28,'02c_DC_Accel_Bridge'!$C$2:$C$1057,B28,'02c_DC_Accel_Bridge'!$D$2:$D$1057,C28)/I28,0)</f>
        <v/>
      </c>
      <c r="L28" s="6">
        <f>IF(I28&gt;0,SUMIFS('02c_DC_Accel_Bridge'!$W$2:$W$1057,'02c_DC_Accel_Bridge'!$B$2:$B$1057,A28,'02c_DC_Accel_Bridge'!$C$2:$C$1057,B28,'02c_DC_Accel_Bridge'!$D$2:$D$1057,C28)/I28,0)</f>
        <v/>
      </c>
      <c r="M28" s="6">
        <f>IF(I28&gt;0,SUMIFS('02c_DC_Accel_Bridge'!$X$2:$X$1057,'02c_DC_Accel_Bridge'!$B$2:$B$1057,A28,'02c_DC_Accel_Bridge'!$C$2:$C$1057,B28,'02c_DC_Accel_Bridge'!$D$2:$D$1057,C28)/I28,0)</f>
        <v/>
      </c>
      <c r="N28" s="6">
        <f>IF(I28&gt;0,SUMIFS('02c_DC_Accel_Bridge'!$Y$2:$Y$1057,'02c_DC_Accel_Bridge'!$B$2:$B$1057,A28,'02c_DC_Accel_Bridge'!$C$2:$C$1057,B28,'02c_DC_Accel_Bridge'!$D$2:$D$1057,C28)/I28,0)</f>
        <v/>
      </c>
      <c r="O28" s="6">
        <f>IF(I28&gt;0,SUMIFS('02c_DC_Accel_Bridge'!$Z$2:$Z$1057,'02c_DC_Accel_Bridge'!$B$2:$B$1057,A28,'02c_DC_Accel_Bridge'!$C$2:$C$1057,B28,'02c_DC_Accel_Bridge'!$D$2:$D$1057,C28)/I28,0)</f>
        <v/>
      </c>
      <c r="P28" s="3" t="inlineStr">
        <is>
          <t>weighted average: sum(site inference_weight_mw * accelerator_share) / sum(site inference_weight_mw)</t>
        </is>
      </c>
      <c r="Q28" s="3" t="inlineStr">
        <is>
          <t>dc_capacity_x_dc_accelerator_mix</t>
        </is>
      </c>
      <c r="R28" s="3" t="inlineStr">
        <is>
          <t>Edit 02a capacity allocation and 02b site accelerator mix; 03_Calculation reads D:G from this sheet.</t>
        </is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>
        <f>IF(I29&gt;0,SUMIFS('02c_DC_Accel_Bridge'!$R$2:$R$1057,'02c_DC_Accel_Bridge'!$B$2:$B$1057,A29,'02c_DC_Accel_Bridge'!$C$2:$C$1057,B29,'02c_DC_Accel_Bridge'!$D$2:$D$1057,C29)/I29,0.068417)</f>
        <v/>
      </c>
      <c r="E29" s="6">
        <f>IF(I29&gt;0,SUMIFS('02c_DC_Accel_Bridge'!$S$2:$S$1057,'02c_DC_Accel_Bridge'!$B$2:$B$1057,A29,'02c_DC_Accel_Bridge'!$C$2:$C$1057,B29,'02c_DC_Accel_Bridge'!$D$2:$D$1057,C29)/I29,0.110031)</f>
        <v/>
      </c>
      <c r="F29" s="6">
        <f>IF(I29&gt;0,SUMIFS('02c_DC_Accel_Bridge'!$T$2:$T$1057,'02c_DC_Accel_Bridge'!$B$2:$B$1057,A29,'02c_DC_Accel_Bridge'!$C$2:$C$1057,B29,'02c_DC_Accel_Bridge'!$D$2:$D$1057,C29)/I29,0.0)</f>
        <v/>
      </c>
      <c r="G29" s="6">
        <f>IF(I29&gt;0,SUMIFS('02c_DC_Accel_Bridge'!$AA$2:$AA$1057,'02c_DC_Accel_Bridge'!$B$2:$B$1057,A29,'02c_DC_Accel_Bridge'!$C$2:$C$1057,B29,'02c_DC_Accel_Bridge'!$D$2:$D$1057,C29)/I29,0.821552)</f>
        <v/>
      </c>
      <c r="H29" s="6">
        <f>SUM(D29:G29)</f>
        <v/>
      </c>
      <c r="I29" s="28">
        <f>SUMIFS('02c_DC_Accel_Bridge'!$H$2:$H$1057,'02c_DC_Accel_Bridge'!$B$2:$B$1057,A29,'02c_DC_Accel_Bridge'!$C$2:$C$1057,B29,'02c_DC_Accel_Bridge'!$D$2:$D$1057,C29)</f>
        <v/>
      </c>
      <c r="J29" s="6">
        <f>IF(I29&gt;0,SUMIFS('02c_DC_Accel_Bridge'!$U$2:$U$1057,'02c_DC_Accel_Bridge'!$B$2:$B$1057,A29,'02c_DC_Accel_Bridge'!$C$2:$C$1057,B29,'02c_DC_Accel_Bridge'!$D$2:$D$1057,C29)/I29,0)</f>
        <v/>
      </c>
      <c r="K29" s="6">
        <f>IF(I29&gt;0,SUMIFS('02c_DC_Accel_Bridge'!$V$2:$V$1057,'02c_DC_Accel_Bridge'!$B$2:$B$1057,A29,'02c_DC_Accel_Bridge'!$C$2:$C$1057,B29,'02c_DC_Accel_Bridge'!$D$2:$D$1057,C29)/I29,0)</f>
        <v/>
      </c>
      <c r="L29" s="6">
        <f>IF(I29&gt;0,SUMIFS('02c_DC_Accel_Bridge'!$W$2:$W$1057,'02c_DC_Accel_Bridge'!$B$2:$B$1057,A29,'02c_DC_Accel_Bridge'!$C$2:$C$1057,B29,'02c_DC_Accel_Bridge'!$D$2:$D$1057,C29)/I29,0)</f>
        <v/>
      </c>
      <c r="M29" s="6">
        <f>IF(I29&gt;0,SUMIFS('02c_DC_Accel_Bridge'!$X$2:$X$1057,'02c_DC_Accel_Bridge'!$B$2:$B$1057,A29,'02c_DC_Accel_Bridge'!$C$2:$C$1057,B29,'02c_DC_Accel_Bridge'!$D$2:$D$1057,C29)/I29,0)</f>
        <v/>
      </c>
      <c r="N29" s="6">
        <f>IF(I29&gt;0,SUMIFS('02c_DC_Accel_Bridge'!$Y$2:$Y$1057,'02c_DC_Accel_Bridge'!$B$2:$B$1057,A29,'02c_DC_Accel_Bridge'!$C$2:$C$1057,B29,'02c_DC_Accel_Bridge'!$D$2:$D$1057,C29)/I29,0)</f>
        <v/>
      </c>
      <c r="O29" s="6">
        <f>IF(I29&gt;0,SUMIFS('02c_DC_Accel_Bridge'!$Z$2:$Z$1057,'02c_DC_Accel_Bridge'!$B$2:$B$1057,A29,'02c_DC_Accel_Bridge'!$C$2:$C$1057,B29,'02c_DC_Accel_Bridge'!$D$2:$D$1057,C29)/I29,0)</f>
        <v/>
      </c>
      <c r="P29" s="3" t="inlineStr">
        <is>
          <t>weighted average: sum(site inference_weight_mw * accelerator_share) / sum(site inference_weight_mw)</t>
        </is>
      </c>
      <c r="Q29" s="3" t="inlineStr">
        <is>
          <t>dc_capacity_x_dc_accelerator_mix</t>
        </is>
      </c>
      <c r="R29" s="3" t="inlineStr">
        <is>
          <t>Edit 02a capacity allocation and 02b site accelerator mix; 03_Calculation reads D:G from this sheet.</t>
        </is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>
        <f>IF(I30&gt;0,SUMIFS('02c_DC_Accel_Bridge'!$R$2:$R$1057,'02c_DC_Accel_Bridge'!$B$2:$B$1057,A30,'02c_DC_Accel_Bridge'!$C$2:$C$1057,B30,'02c_DC_Accel_Bridge'!$D$2:$D$1057,C30)/I30,0.068417)</f>
        <v/>
      </c>
      <c r="E30" s="6">
        <f>IF(I30&gt;0,SUMIFS('02c_DC_Accel_Bridge'!$S$2:$S$1057,'02c_DC_Accel_Bridge'!$B$2:$B$1057,A30,'02c_DC_Accel_Bridge'!$C$2:$C$1057,B30,'02c_DC_Accel_Bridge'!$D$2:$D$1057,C30)/I30,0.110031)</f>
        <v/>
      </c>
      <c r="F30" s="6">
        <f>IF(I30&gt;0,SUMIFS('02c_DC_Accel_Bridge'!$T$2:$T$1057,'02c_DC_Accel_Bridge'!$B$2:$B$1057,A30,'02c_DC_Accel_Bridge'!$C$2:$C$1057,B30,'02c_DC_Accel_Bridge'!$D$2:$D$1057,C30)/I30,0.0)</f>
        <v/>
      </c>
      <c r="G30" s="6">
        <f>IF(I30&gt;0,SUMIFS('02c_DC_Accel_Bridge'!$AA$2:$AA$1057,'02c_DC_Accel_Bridge'!$B$2:$B$1057,A30,'02c_DC_Accel_Bridge'!$C$2:$C$1057,B30,'02c_DC_Accel_Bridge'!$D$2:$D$1057,C30)/I30,0.821552)</f>
        <v/>
      </c>
      <c r="H30" s="6">
        <f>SUM(D30:G30)</f>
        <v/>
      </c>
      <c r="I30" s="28">
        <f>SUMIFS('02c_DC_Accel_Bridge'!$H$2:$H$1057,'02c_DC_Accel_Bridge'!$B$2:$B$1057,A30,'02c_DC_Accel_Bridge'!$C$2:$C$1057,B30,'02c_DC_Accel_Bridge'!$D$2:$D$1057,C30)</f>
        <v/>
      </c>
      <c r="J30" s="6">
        <f>IF(I30&gt;0,SUMIFS('02c_DC_Accel_Bridge'!$U$2:$U$1057,'02c_DC_Accel_Bridge'!$B$2:$B$1057,A30,'02c_DC_Accel_Bridge'!$C$2:$C$1057,B30,'02c_DC_Accel_Bridge'!$D$2:$D$1057,C30)/I30,0)</f>
        <v/>
      </c>
      <c r="K30" s="6">
        <f>IF(I30&gt;0,SUMIFS('02c_DC_Accel_Bridge'!$V$2:$V$1057,'02c_DC_Accel_Bridge'!$B$2:$B$1057,A30,'02c_DC_Accel_Bridge'!$C$2:$C$1057,B30,'02c_DC_Accel_Bridge'!$D$2:$D$1057,C30)/I30,0)</f>
        <v/>
      </c>
      <c r="L30" s="6">
        <f>IF(I30&gt;0,SUMIFS('02c_DC_Accel_Bridge'!$W$2:$W$1057,'02c_DC_Accel_Bridge'!$B$2:$B$1057,A30,'02c_DC_Accel_Bridge'!$C$2:$C$1057,B30,'02c_DC_Accel_Bridge'!$D$2:$D$1057,C30)/I30,0)</f>
        <v/>
      </c>
      <c r="M30" s="6">
        <f>IF(I30&gt;0,SUMIFS('02c_DC_Accel_Bridge'!$X$2:$X$1057,'02c_DC_Accel_Bridge'!$B$2:$B$1057,A30,'02c_DC_Accel_Bridge'!$C$2:$C$1057,B30,'02c_DC_Accel_Bridge'!$D$2:$D$1057,C30)/I30,0)</f>
        <v/>
      </c>
      <c r="N30" s="6">
        <f>IF(I30&gt;0,SUMIFS('02c_DC_Accel_Bridge'!$Y$2:$Y$1057,'02c_DC_Accel_Bridge'!$B$2:$B$1057,A30,'02c_DC_Accel_Bridge'!$C$2:$C$1057,B30,'02c_DC_Accel_Bridge'!$D$2:$D$1057,C30)/I30,0)</f>
        <v/>
      </c>
      <c r="O30" s="6">
        <f>IF(I30&gt;0,SUMIFS('02c_DC_Accel_Bridge'!$Z$2:$Z$1057,'02c_DC_Accel_Bridge'!$B$2:$B$1057,A30,'02c_DC_Accel_Bridge'!$C$2:$C$1057,B30,'02c_DC_Accel_Bridge'!$D$2:$D$1057,C30)/I30,0)</f>
        <v/>
      </c>
      <c r="P30" s="3" t="inlineStr">
        <is>
          <t>weighted average: sum(site inference_weight_mw * accelerator_share) / sum(site inference_weight_mw)</t>
        </is>
      </c>
      <c r="Q30" s="3" t="inlineStr">
        <is>
          <t>dc_capacity_x_dc_accelerator_mix</t>
        </is>
      </c>
      <c r="R30" s="3" t="inlineStr">
        <is>
          <t>Edit 02a capacity allocation and 02b site accelerator mix; 03_Calculation reads D:G from this sheet.</t>
        </is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>
        <f>IF(I31&gt;0,SUMIFS('02c_DC_Accel_Bridge'!$R$2:$R$1057,'02c_DC_Accel_Bridge'!$B$2:$B$1057,A31,'02c_DC_Accel_Bridge'!$C$2:$C$1057,B31,'02c_DC_Accel_Bridge'!$D$2:$D$1057,C31)/I31,0.068417)</f>
        <v/>
      </c>
      <c r="E31" s="6">
        <f>IF(I31&gt;0,SUMIFS('02c_DC_Accel_Bridge'!$S$2:$S$1057,'02c_DC_Accel_Bridge'!$B$2:$B$1057,A31,'02c_DC_Accel_Bridge'!$C$2:$C$1057,B31,'02c_DC_Accel_Bridge'!$D$2:$D$1057,C31)/I31,0.110031)</f>
        <v/>
      </c>
      <c r="F31" s="6">
        <f>IF(I31&gt;0,SUMIFS('02c_DC_Accel_Bridge'!$T$2:$T$1057,'02c_DC_Accel_Bridge'!$B$2:$B$1057,A31,'02c_DC_Accel_Bridge'!$C$2:$C$1057,B31,'02c_DC_Accel_Bridge'!$D$2:$D$1057,C31)/I31,0.0)</f>
        <v/>
      </c>
      <c r="G31" s="6">
        <f>IF(I31&gt;0,SUMIFS('02c_DC_Accel_Bridge'!$AA$2:$AA$1057,'02c_DC_Accel_Bridge'!$B$2:$B$1057,A31,'02c_DC_Accel_Bridge'!$C$2:$C$1057,B31,'02c_DC_Accel_Bridge'!$D$2:$D$1057,C31)/I31,0.821552)</f>
        <v/>
      </c>
      <c r="H31" s="6">
        <f>SUM(D31:G31)</f>
        <v/>
      </c>
      <c r="I31" s="28">
        <f>SUMIFS('02c_DC_Accel_Bridge'!$H$2:$H$1057,'02c_DC_Accel_Bridge'!$B$2:$B$1057,A31,'02c_DC_Accel_Bridge'!$C$2:$C$1057,B31,'02c_DC_Accel_Bridge'!$D$2:$D$1057,C31)</f>
        <v/>
      </c>
      <c r="J31" s="6">
        <f>IF(I31&gt;0,SUMIFS('02c_DC_Accel_Bridge'!$U$2:$U$1057,'02c_DC_Accel_Bridge'!$B$2:$B$1057,A31,'02c_DC_Accel_Bridge'!$C$2:$C$1057,B31,'02c_DC_Accel_Bridge'!$D$2:$D$1057,C31)/I31,0)</f>
        <v/>
      </c>
      <c r="K31" s="6">
        <f>IF(I31&gt;0,SUMIFS('02c_DC_Accel_Bridge'!$V$2:$V$1057,'02c_DC_Accel_Bridge'!$B$2:$B$1057,A31,'02c_DC_Accel_Bridge'!$C$2:$C$1057,B31,'02c_DC_Accel_Bridge'!$D$2:$D$1057,C31)/I31,0)</f>
        <v/>
      </c>
      <c r="L31" s="6">
        <f>IF(I31&gt;0,SUMIFS('02c_DC_Accel_Bridge'!$W$2:$W$1057,'02c_DC_Accel_Bridge'!$B$2:$B$1057,A31,'02c_DC_Accel_Bridge'!$C$2:$C$1057,B31,'02c_DC_Accel_Bridge'!$D$2:$D$1057,C31)/I31,0)</f>
        <v/>
      </c>
      <c r="M31" s="6">
        <f>IF(I31&gt;0,SUMIFS('02c_DC_Accel_Bridge'!$X$2:$X$1057,'02c_DC_Accel_Bridge'!$B$2:$B$1057,A31,'02c_DC_Accel_Bridge'!$C$2:$C$1057,B31,'02c_DC_Accel_Bridge'!$D$2:$D$1057,C31)/I31,0)</f>
        <v/>
      </c>
      <c r="N31" s="6">
        <f>IF(I31&gt;0,SUMIFS('02c_DC_Accel_Bridge'!$Y$2:$Y$1057,'02c_DC_Accel_Bridge'!$B$2:$B$1057,A31,'02c_DC_Accel_Bridge'!$C$2:$C$1057,B31,'02c_DC_Accel_Bridge'!$D$2:$D$1057,C31)/I31,0)</f>
        <v/>
      </c>
      <c r="O31" s="6">
        <f>IF(I31&gt;0,SUMIFS('02c_DC_Accel_Bridge'!$Z$2:$Z$1057,'02c_DC_Accel_Bridge'!$B$2:$B$1057,A31,'02c_DC_Accel_Bridge'!$C$2:$C$1057,B31,'02c_DC_Accel_Bridge'!$D$2:$D$1057,C31)/I31,0)</f>
        <v/>
      </c>
      <c r="P31" s="3" t="inlineStr">
        <is>
          <t>weighted average: sum(site inference_weight_mw * accelerator_share) / sum(site inference_weight_mw)</t>
        </is>
      </c>
      <c r="Q31" s="3" t="inlineStr">
        <is>
          <t>dc_capacity_x_dc_accelerator_mix</t>
        </is>
      </c>
      <c r="R31" s="3" t="inlineStr">
        <is>
          <t>Edit 02a capacity allocation and 02b site accelerator mix; 03_Calculation reads D:G from this sheet.</t>
        </is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>
        <f>IF(I32&gt;0,SUMIFS('02c_DC_Accel_Bridge'!$R$2:$R$1057,'02c_DC_Accel_Bridge'!$B$2:$B$1057,A32,'02c_DC_Accel_Bridge'!$C$2:$C$1057,B32,'02c_DC_Accel_Bridge'!$D$2:$D$1057,C32)/I32,0.55)</f>
        <v/>
      </c>
      <c r="E32" s="6">
        <f>IF(I32&gt;0,SUMIFS('02c_DC_Accel_Bridge'!$S$2:$S$1057,'02c_DC_Accel_Bridge'!$B$2:$B$1057,A32,'02c_DC_Accel_Bridge'!$C$2:$C$1057,B32,'02c_DC_Accel_Bridge'!$D$2:$D$1057,C32)/I32,0.4)</f>
        <v/>
      </c>
      <c r="F32" s="6">
        <f>IF(I32&gt;0,SUMIFS('02c_DC_Accel_Bridge'!$T$2:$T$1057,'02c_DC_Accel_Bridge'!$B$2:$B$1057,A32,'02c_DC_Accel_Bridge'!$C$2:$C$1057,B32,'02c_DC_Accel_Bridge'!$D$2:$D$1057,C32)/I32,0.05)</f>
        <v/>
      </c>
      <c r="G32" s="6">
        <f>IF(I32&gt;0,SUMIFS('02c_DC_Accel_Bridge'!$AA$2:$AA$1057,'02c_DC_Accel_Bridge'!$B$2:$B$1057,A32,'02c_DC_Accel_Bridge'!$C$2:$C$1057,B32,'02c_DC_Accel_Bridge'!$D$2:$D$1057,C32)/I32,0.0)</f>
        <v/>
      </c>
      <c r="H32" s="6">
        <f>SUM(D32:G32)</f>
        <v/>
      </c>
      <c r="I32" s="28">
        <f>SUMIFS('02c_DC_Accel_Bridge'!$H$2:$H$1057,'02c_DC_Accel_Bridge'!$B$2:$B$1057,A32,'02c_DC_Accel_Bridge'!$C$2:$C$1057,B32,'02c_DC_Accel_Bridge'!$D$2:$D$1057,C32)</f>
        <v/>
      </c>
      <c r="J32" s="6">
        <f>IF(I32&gt;0,SUMIFS('02c_DC_Accel_Bridge'!$U$2:$U$1057,'02c_DC_Accel_Bridge'!$B$2:$B$1057,A32,'02c_DC_Accel_Bridge'!$C$2:$C$1057,B32,'02c_DC_Accel_Bridge'!$D$2:$D$1057,C32)/I32,0)</f>
        <v/>
      </c>
      <c r="K32" s="6">
        <f>IF(I32&gt;0,SUMIFS('02c_DC_Accel_Bridge'!$V$2:$V$1057,'02c_DC_Accel_Bridge'!$B$2:$B$1057,A32,'02c_DC_Accel_Bridge'!$C$2:$C$1057,B32,'02c_DC_Accel_Bridge'!$D$2:$D$1057,C32)/I32,0)</f>
        <v/>
      </c>
      <c r="L32" s="6">
        <f>IF(I32&gt;0,SUMIFS('02c_DC_Accel_Bridge'!$W$2:$W$1057,'02c_DC_Accel_Bridge'!$B$2:$B$1057,A32,'02c_DC_Accel_Bridge'!$C$2:$C$1057,B32,'02c_DC_Accel_Bridge'!$D$2:$D$1057,C32)/I32,0)</f>
        <v/>
      </c>
      <c r="M32" s="6">
        <f>IF(I32&gt;0,SUMIFS('02c_DC_Accel_Bridge'!$X$2:$X$1057,'02c_DC_Accel_Bridge'!$B$2:$B$1057,A32,'02c_DC_Accel_Bridge'!$C$2:$C$1057,B32,'02c_DC_Accel_Bridge'!$D$2:$D$1057,C32)/I32,0)</f>
        <v/>
      </c>
      <c r="N32" s="6">
        <f>IF(I32&gt;0,SUMIFS('02c_DC_Accel_Bridge'!$Y$2:$Y$1057,'02c_DC_Accel_Bridge'!$B$2:$B$1057,A32,'02c_DC_Accel_Bridge'!$C$2:$C$1057,B32,'02c_DC_Accel_Bridge'!$D$2:$D$1057,C32)/I32,0)</f>
        <v/>
      </c>
      <c r="O32" s="6">
        <f>IF(I32&gt;0,SUMIFS('02c_DC_Accel_Bridge'!$Z$2:$Z$1057,'02c_DC_Accel_Bridge'!$B$2:$B$1057,A32,'02c_DC_Accel_Bridge'!$C$2:$C$1057,B32,'02c_DC_Accel_Bridge'!$D$2:$D$1057,C32)/I32,0)</f>
        <v/>
      </c>
      <c r="P32" s="3" t="inlineStr">
        <is>
          <t>weighted average: sum(site inference_weight_mw * accelerator_share) / sum(site inference_weight_mw)</t>
        </is>
      </c>
      <c r="Q32" s="3" t="inlineStr">
        <is>
          <t>dc_capacity_x_dc_accelerator_mix</t>
        </is>
      </c>
      <c r="R32" s="3" t="inlineStr">
        <is>
          <t>Edit 02a capacity allocation and 02b site accelerator mix; 03_Calculation reads D:G from this sheet.</t>
        </is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>
        <f>IF(I33&gt;0,SUMIFS('02c_DC_Accel_Bridge'!$R$2:$R$1057,'02c_DC_Accel_Bridge'!$B$2:$B$1057,A33,'02c_DC_Accel_Bridge'!$C$2:$C$1057,B33,'02c_DC_Accel_Bridge'!$D$2:$D$1057,C33)/I33,0.438)</f>
        <v/>
      </c>
      <c r="E33" s="6">
        <f>IF(I33&gt;0,SUMIFS('02c_DC_Accel_Bridge'!$S$2:$S$1057,'02c_DC_Accel_Bridge'!$B$2:$B$1057,A33,'02c_DC_Accel_Bridge'!$C$2:$C$1057,B33,'02c_DC_Accel_Bridge'!$D$2:$D$1057,C33)/I33,0.388)</f>
        <v/>
      </c>
      <c r="F33" s="6">
        <f>IF(I33&gt;0,SUMIFS('02c_DC_Accel_Bridge'!$T$2:$T$1057,'02c_DC_Accel_Bridge'!$B$2:$B$1057,A33,'02c_DC_Accel_Bridge'!$C$2:$C$1057,B33,'02c_DC_Accel_Bridge'!$D$2:$D$1057,C33)/I33,0.174)</f>
        <v/>
      </c>
      <c r="G33" s="6">
        <f>IF(I33&gt;0,SUMIFS('02c_DC_Accel_Bridge'!$AA$2:$AA$1057,'02c_DC_Accel_Bridge'!$B$2:$B$1057,A33,'02c_DC_Accel_Bridge'!$C$2:$C$1057,B33,'02c_DC_Accel_Bridge'!$D$2:$D$1057,C33)/I33,0.0)</f>
        <v/>
      </c>
      <c r="H33" s="6">
        <f>SUM(D33:G33)</f>
        <v/>
      </c>
      <c r="I33" s="28">
        <f>SUMIFS('02c_DC_Accel_Bridge'!$H$2:$H$1057,'02c_DC_Accel_Bridge'!$B$2:$B$1057,A33,'02c_DC_Accel_Bridge'!$C$2:$C$1057,B33,'02c_DC_Accel_Bridge'!$D$2:$D$1057,C33)</f>
        <v/>
      </c>
      <c r="J33" s="6">
        <f>IF(I33&gt;0,SUMIFS('02c_DC_Accel_Bridge'!$U$2:$U$1057,'02c_DC_Accel_Bridge'!$B$2:$B$1057,A33,'02c_DC_Accel_Bridge'!$C$2:$C$1057,B33,'02c_DC_Accel_Bridge'!$D$2:$D$1057,C33)/I33,0)</f>
        <v/>
      </c>
      <c r="K33" s="6">
        <f>IF(I33&gt;0,SUMIFS('02c_DC_Accel_Bridge'!$V$2:$V$1057,'02c_DC_Accel_Bridge'!$B$2:$B$1057,A33,'02c_DC_Accel_Bridge'!$C$2:$C$1057,B33,'02c_DC_Accel_Bridge'!$D$2:$D$1057,C33)/I33,0)</f>
        <v/>
      </c>
      <c r="L33" s="6">
        <f>IF(I33&gt;0,SUMIFS('02c_DC_Accel_Bridge'!$W$2:$W$1057,'02c_DC_Accel_Bridge'!$B$2:$B$1057,A33,'02c_DC_Accel_Bridge'!$C$2:$C$1057,B33,'02c_DC_Accel_Bridge'!$D$2:$D$1057,C33)/I33,0)</f>
        <v/>
      </c>
      <c r="M33" s="6">
        <f>IF(I33&gt;0,SUMIFS('02c_DC_Accel_Bridge'!$X$2:$X$1057,'02c_DC_Accel_Bridge'!$B$2:$B$1057,A33,'02c_DC_Accel_Bridge'!$C$2:$C$1057,B33,'02c_DC_Accel_Bridge'!$D$2:$D$1057,C33)/I33,0)</f>
        <v/>
      </c>
      <c r="N33" s="6">
        <f>IF(I33&gt;0,SUMIFS('02c_DC_Accel_Bridge'!$Y$2:$Y$1057,'02c_DC_Accel_Bridge'!$B$2:$B$1057,A33,'02c_DC_Accel_Bridge'!$C$2:$C$1057,B33,'02c_DC_Accel_Bridge'!$D$2:$D$1057,C33)/I33,0)</f>
        <v/>
      </c>
      <c r="O33" s="6">
        <f>IF(I33&gt;0,SUMIFS('02c_DC_Accel_Bridge'!$Z$2:$Z$1057,'02c_DC_Accel_Bridge'!$B$2:$B$1057,A33,'02c_DC_Accel_Bridge'!$C$2:$C$1057,B33,'02c_DC_Accel_Bridge'!$D$2:$D$1057,C33)/I33,0)</f>
        <v/>
      </c>
      <c r="P33" s="3" t="inlineStr">
        <is>
          <t>weighted average: sum(site inference_weight_mw * accelerator_share) / sum(site inference_weight_mw)</t>
        </is>
      </c>
      <c r="Q33" s="3" t="inlineStr">
        <is>
          <t>dc_capacity_x_dc_accelerator_mix</t>
        </is>
      </c>
      <c r="R33" s="3" t="inlineStr">
        <is>
          <t>Edit 02a capacity allocation and 02b site accelerator mix; 03_Calculation reads D:G from this sheet.</t>
        </is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>
        <f>IF(I34&gt;0,SUMIFS('02c_DC_Accel_Bridge'!$R$2:$R$1057,'02c_DC_Accel_Bridge'!$B$2:$B$1057,A34,'02c_DC_Accel_Bridge'!$C$2:$C$1057,B34,'02c_DC_Accel_Bridge'!$D$2:$D$1057,C34)/I34,0.325)</f>
        <v/>
      </c>
      <c r="E34" s="6">
        <f>IF(I34&gt;0,SUMIFS('02c_DC_Accel_Bridge'!$S$2:$S$1057,'02c_DC_Accel_Bridge'!$B$2:$B$1057,A34,'02c_DC_Accel_Bridge'!$C$2:$C$1057,B34,'02c_DC_Accel_Bridge'!$D$2:$D$1057,C34)/I34,0.375)</f>
        <v/>
      </c>
      <c r="F34" s="6">
        <f>IF(I34&gt;0,SUMIFS('02c_DC_Accel_Bridge'!$T$2:$T$1057,'02c_DC_Accel_Bridge'!$B$2:$B$1057,A34,'02c_DC_Accel_Bridge'!$C$2:$C$1057,B34,'02c_DC_Accel_Bridge'!$D$2:$D$1057,C34)/I34,0.3)</f>
        <v/>
      </c>
      <c r="G34" s="6">
        <f>IF(I34&gt;0,SUMIFS('02c_DC_Accel_Bridge'!$AA$2:$AA$1057,'02c_DC_Accel_Bridge'!$B$2:$B$1057,A34,'02c_DC_Accel_Bridge'!$C$2:$C$1057,B34,'02c_DC_Accel_Bridge'!$D$2:$D$1057,C34)/I34,0.0)</f>
        <v/>
      </c>
      <c r="H34" s="6">
        <f>SUM(D34:G34)</f>
        <v/>
      </c>
      <c r="I34" s="28">
        <f>SUMIFS('02c_DC_Accel_Bridge'!$H$2:$H$1057,'02c_DC_Accel_Bridge'!$B$2:$B$1057,A34,'02c_DC_Accel_Bridge'!$C$2:$C$1057,B34,'02c_DC_Accel_Bridge'!$D$2:$D$1057,C34)</f>
        <v/>
      </c>
      <c r="J34" s="6">
        <f>IF(I34&gt;0,SUMIFS('02c_DC_Accel_Bridge'!$U$2:$U$1057,'02c_DC_Accel_Bridge'!$B$2:$B$1057,A34,'02c_DC_Accel_Bridge'!$C$2:$C$1057,B34,'02c_DC_Accel_Bridge'!$D$2:$D$1057,C34)/I34,0)</f>
        <v/>
      </c>
      <c r="K34" s="6">
        <f>IF(I34&gt;0,SUMIFS('02c_DC_Accel_Bridge'!$V$2:$V$1057,'02c_DC_Accel_Bridge'!$B$2:$B$1057,A34,'02c_DC_Accel_Bridge'!$C$2:$C$1057,B34,'02c_DC_Accel_Bridge'!$D$2:$D$1057,C34)/I34,0)</f>
        <v/>
      </c>
      <c r="L34" s="6">
        <f>IF(I34&gt;0,SUMIFS('02c_DC_Accel_Bridge'!$W$2:$W$1057,'02c_DC_Accel_Bridge'!$B$2:$B$1057,A34,'02c_DC_Accel_Bridge'!$C$2:$C$1057,B34,'02c_DC_Accel_Bridge'!$D$2:$D$1057,C34)/I34,0)</f>
        <v/>
      </c>
      <c r="M34" s="6">
        <f>IF(I34&gt;0,SUMIFS('02c_DC_Accel_Bridge'!$X$2:$X$1057,'02c_DC_Accel_Bridge'!$B$2:$B$1057,A34,'02c_DC_Accel_Bridge'!$C$2:$C$1057,B34,'02c_DC_Accel_Bridge'!$D$2:$D$1057,C34)/I34,0)</f>
        <v/>
      </c>
      <c r="N34" s="6">
        <f>IF(I34&gt;0,SUMIFS('02c_DC_Accel_Bridge'!$Y$2:$Y$1057,'02c_DC_Accel_Bridge'!$B$2:$B$1057,A34,'02c_DC_Accel_Bridge'!$C$2:$C$1057,B34,'02c_DC_Accel_Bridge'!$D$2:$D$1057,C34)/I34,0)</f>
        <v/>
      </c>
      <c r="O34" s="6">
        <f>IF(I34&gt;0,SUMIFS('02c_DC_Accel_Bridge'!$Z$2:$Z$1057,'02c_DC_Accel_Bridge'!$B$2:$B$1057,A34,'02c_DC_Accel_Bridge'!$C$2:$C$1057,B34,'02c_DC_Accel_Bridge'!$D$2:$D$1057,C34)/I34,0)</f>
        <v/>
      </c>
      <c r="P34" s="3" t="inlineStr">
        <is>
          <t>weighted average: sum(site inference_weight_mw * accelerator_share) / sum(site inference_weight_mw)</t>
        </is>
      </c>
      <c r="Q34" s="3" t="inlineStr">
        <is>
          <t>dc_capacity_x_dc_accelerator_mix</t>
        </is>
      </c>
      <c r="R34" s="3" t="inlineStr">
        <is>
          <t>Edit 02a capacity allocation and 02b site accelerator mix; 03_Calculation reads D:G from this sheet.</t>
        </is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>
        <f>IF(I35&gt;0,SUMIFS('02c_DC_Accel_Bridge'!$R$2:$R$1057,'02c_DC_Accel_Bridge'!$B$2:$B$1057,A35,'02c_DC_Accel_Bridge'!$C$2:$C$1057,B35,'02c_DC_Accel_Bridge'!$D$2:$D$1057,C35)/I35,0.213)</f>
        <v/>
      </c>
      <c r="E35" s="6">
        <f>IF(I35&gt;0,SUMIFS('02c_DC_Accel_Bridge'!$S$2:$S$1057,'02c_DC_Accel_Bridge'!$B$2:$B$1057,A35,'02c_DC_Accel_Bridge'!$C$2:$C$1057,B35,'02c_DC_Accel_Bridge'!$D$2:$D$1057,C35)/I35,0.362)</f>
        <v/>
      </c>
      <c r="F35" s="6">
        <f>IF(I35&gt;0,SUMIFS('02c_DC_Accel_Bridge'!$T$2:$T$1057,'02c_DC_Accel_Bridge'!$B$2:$B$1057,A35,'02c_DC_Accel_Bridge'!$C$2:$C$1057,B35,'02c_DC_Accel_Bridge'!$D$2:$D$1057,C35)/I35,0.425)</f>
        <v/>
      </c>
      <c r="G35" s="6">
        <f>IF(I35&gt;0,SUMIFS('02c_DC_Accel_Bridge'!$AA$2:$AA$1057,'02c_DC_Accel_Bridge'!$B$2:$B$1057,A35,'02c_DC_Accel_Bridge'!$C$2:$C$1057,B35,'02c_DC_Accel_Bridge'!$D$2:$D$1057,C35)/I35,0.0)</f>
        <v/>
      </c>
      <c r="H35" s="6">
        <f>SUM(D35:G35)</f>
        <v/>
      </c>
      <c r="I35" s="28">
        <f>SUMIFS('02c_DC_Accel_Bridge'!$H$2:$H$1057,'02c_DC_Accel_Bridge'!$B$2:$B$1057,A35,'02c_DC_Accel_Bridge'!$C$2:$C$1057,B35,'02c_DC_Accel_Bridge'!$D$2:$D$1057,C35)</f>
        <v/>
      </c>
      <c r="J35" s="6">
        <f>IF(I35&gt;0,SUMIFS('02c_DC_Accel_Bridge'!$U$2:$U$1057,'02c_DC_Accel_Bridge'!$B$2:$B$1057,A35,'02c_DC_Accel_Bridge'!$C$2:$C$1057,B35,'02c_DC_Accel_Bridge'!$D$2:$D$1057,C35)/I35,0)</f>
        <v/>
      </c>
      <c r="K35" s="6">
        <f>IF(I35&gt;0,SUMIFS('02c_DC_Accel_Bridge'!$V$2:$V$1057,'02c_DC_Accel_Bridge'!$B$2:$B$1057,A35,'02c_DC_Accel_Bridge'!$C$2:$C$1057,B35,'02c_DC_Accel_Bridge'!$D$2:$D$1057,C35)/I35,0)</f>
        <v/>
      </c>
      <c r="L35" s="6">
        <f>IF(I35&gt;0,SUMIFS('02c_DC_Accel_Bridge'!$W$2:$W$1057,'02c_DC_Accel_Bridge'!$B$2:$B$1057,A35,'02c_DC_Accel_Bridge'!$C$2:$C$1057,B35,'02c_DC_Accel_Bridge'!$D$2:$D$1057,C35)/I35,0)</f>
        <v/>
      </c>
      <c r="M35" s="6">
        <f>IF(I35&gt;0,SUMIFS('02c_DC_Accel_Bridge'!$X$2:$X$1057,'02c_DC_Accel_Bridge'!$B$2:$B$1057,A35,'02c_DC_Accel_Bridge'!$C$2:$C$1057,B35,'02c_DC_Accel_Bridge'!$D$2:$D$1057,C35)/I35,0)</f>
        <v/>
      </c>
      <c r="N35" s="6">
        <f>IF(I35&gt;0,SUMIFS('02c_DC_Accel_Bridge'!$Y$2:$Y$1057,'02c_DC_Accel_Bridge'!$B$2:$B$1057,A35,'02c_DC_Accel_Bridge'!$C$2:$C$1057,B35,'02c_DC_Accel_Bridge'!$D$2:$D$1057,C35)/I35,0)</f>
        <v/>
      </c>
      <c r="O35" s="6">
        <f>IF(I35&gt;0,SUMIFS('02c_DC_Accel_Bridge'!$Z$2:$Z$1057,'02c_DC_Accel_Bridge'!$B$2:$B$1057,A35,'02c_DC_Accel_Bridge'!$C$2:$C$1057,B35,'02c_DC_Accel_Bridge'!$D$2:$D$1057,C35)/I35,0)</f>
        <v/>
      </c>
      <c r="P35" s="3" t="inlineStr">
        <is>
          <t>weighted average: sum(site inference_weight_mw * accelerator_share) / sum(site inference_weight_mw)</t>
        </is>
      </c>
      <c r="Q35" s="3" t="inlineStr">
        <is>
          <t>dc_capacity_x_dc_accelerator_mix</t>
        </is>
      </c>
      <c r="R35" s="3" t="inlineStr">
        <is>
          <t>Edit 02a capacity allocation and 02b site accelerator mix; 03_Calculation reads D:G from this sheet.</t>
        </is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>
        <f>IF(I36&gt;0,SUMIFS('02c_DC_Accel_Bridge'!$R$2:$R$1057,'02c_DC_Accel_Bridge'!$B$2:$B$1057,A36,'02c_DC_Accel_Bridge'!$C$2:$C$1057,B36,'02c_DC_Accel_Bridge'!$D$2:$D$1057,C36)/I36,0.1)</f>
        <v/>
      </c>
      <c r="E36" s="6">
        <f>IF(I36&gt;0,SUMIFS('02c_DC_Accel_Bridge'!$S$2:$S$1057,'02c_DC_Accel_Bridge'!$B$2:$B$1057,A36,'02c_DC_Accel_Bridge'!$C$2:$C$1057,B36,'02c_DC_Accel_Bridge'!$D$2:$D$1057,C36)/I36,0.35)</f>
        <v/>
      </c>
      <c r="F36" s="6">
        <f>IF(I36&gt;0,SUMIFS('02c_DC_Accel_Bridge'!$T$2:$T$1057,'02c_DC_Accel_Bridge'!$B$2:$B$1057,A36,'02c_DC_Accel_Bridge'!$C$2:$C$1057,B36,'02c_DC_Accel_Bridge'!$D$2:$D$1057,C36)/I36,0.55)</f>
        <v/>
      </c>
      <c r="G36" s="6">
        <f>IF(I36&gt;0,SUMIFS('02c_DC_Accel_Bridge'!$AA$2:$AA$1057,'02c_DC_Accel_Bridge'!$B$2:$B$1057,A36,'02c_DC_Accel_Bridge'!$C$2:$C$1057,B36,'02c_DC_Accel_Bridge'!$D$2:$D$1057,C36)/I36,0.0)</f>
        <v/>
      </c>
      <c r="H36" s="6">
        <f>SUM(D36:G36)</f>
        <v/>
      </c>
      <c r="I36" s="28">
        <f>SUMIFS('02c_DC_Accel_Bridge'!$H$2:$H$1057,'02c_DC_Accel_Bridge'!$B$2:$B$1057,A36,'02c_DC_Accel_Bridge'!$C$2:$C$1057,B36,'02c_DC_Accel_Bridge'!$D$2:$D$1057,C36)</f>
        <v/>
      </c>
      <c r="J36" s="6">
        <f>IF(I36&gt;0,SUMIFS('02c_DC_Accel_Bridge'!$U$2:$U$1057,'02c_DC_Accel_Bridge'!$B$2:$B$1057,A36,'02c_DC_Accel_Bridge'!$C$2:$C$1057,B36,'02c_DC_Accel_Bridge'!$D$2:$D$1057,C36)/I36,0)</f>
        <v/>
      </c>
      <c r="K36" s="6">
        <f>IF(I36&gt;0,SUMIFS('02c_DC_Accel_Bridge'!$V$2:$V$1057,'02c_DC_Accel_Bridge'!$B$2:$B$1057,A36,'02c_DC_Accel_Bridge'!$C$2:$C$1057,B36,'02c_DC_Accel_Bridge'!$D$2:$D$1057,C36)/I36,0)</f>
        <v/>
      </c>
      <c r="L36" s="6">
        <f>IF(I36&gt;0,SUMIFS('02c_DC_Accel_Bridge'!$W$2:$W$1057,'02c_DC_Accel_Bridge'!$B$2:$B$1057,A36,'02c_DC_Accel_Bridge'!$C$2:$C$1057,B36,'02c_DC_Accel_Bridge'!$D$2:$D$1057,C36)/I36,0)</f>
        <v/>
      </c>
      <c r="M36" s="6">
        <f>IF(I36&gt;0,SUMIFS('02c_DC_Accel_Bridge'!$X$2:$X$1057,'02c_DC_Accel_Bridge'!$B$2:$B$1057,A36,'02c_DC_Accel_Bridge'!$C$2:$C$1057,B36,'02c_DC_Accel_Bridge'!$D$2:$D$1057,C36)/I36,0)</f>
        <v/>
      </c>
      <c r="N36" s="6">
        <f>IF(I36&gt;0,SUMIFS('02c_DC_Accel_Bridge'!$Y$2:$Y$1057,'02c_DC_Accel_Bridge'!$B$2:$B$1057,A36,'02c_DC_Accel_Bridge'!$C$2:$C$1057,B36,'02c_DC_Accel_Bridge'!$D$2:$D$1057,C36)/I36,0)</f>
        <v/>
      </c>
      <c r="O36" s="6">
        <f>IF(I36&gt;0,SUMIFS('02c_DC_Accel_Bridge'!$Z$2:$Z$1057,'02c_DC_Accel_Bridge'!$B$2:$B$1057,A36,'02c_DC_Accel_Bridge'!$C$2:$C$1057,B36,'02c_DC_Accel_Bridge'!$D$2:$D$1057,C36)/I36,0)</f>
        <v/>
      </c>
      <c r="P36" s="3" t="inlineStr">
        <is>
          <t>weighted average: sum(site inference_weight_mw * accelerator_share) / sum(site inference_weight_mw)</t>
        </is>
      </c>
      <c r="Q36" s="3" t="inlineStr">
        <is>
          <t>dc_capacity_x_dc_accelerator_mix</t>
        </is>
      </c>
      <c r="R36" s="3" t="inlineStr">
        <is>
          <t>Edit 02a capacity allocation and 02b site accelerator mix; 03_Calculation reads D:G from this sheet.</t>
        </is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>
        <f>IF(I37&gt;0,SUMIFS('02c_DC_Accel_Bridge'!$R$2:$R$1057,'02c_DC_Accel_Bridge'!$B$2:$B$1057,A37,'02c_DC_Accel_Bridge'!$C$2:$C$1057,B37,'02c_DC_Accel_Bridge'!$D$2:$D$1057,C37)/I37,1.0)</f>
        <v/>
      </c>
      <c r="E37" s="6">
        <f>IF(I37&gt;0,SUMIFS('02c_DC_Accel_Bridge'!$S$2:$S$1057,'02c_DC_Accel_Bridge'!$B$2:$B$1057,A37,'02c_DC_Accel_Bridge'!$C$2:$C$1057,B37,'02c_DC_Accel_Bridge'!$D$2:$D$1057,C37)/I37,0.0)</f>
        <v/>
      </c>
      <c r="F37" s="6">
        <f>IF(I37&gt;0,SUMIFS('02c_DC_Accel_Bridge'!$T$2:$T$1057,'02c_DC_Accel_Bridge'!$B$2:$B$1057,A37,'02c_DC_Accel_Bridge'!$C$2:$C$1057,B37,'02c_DC_Accel_Bridge'!$D$2:$D$1057,C37)/I37,0.0)</f>
        <v/>
      </c>
      <c r="G37" s="6">
        <f>IF(I37&gt;0,SUMIFS('02c_DC_Accel_Bridge'!$AA$2:$AA$1057,'02c_DC_Accel_Bridge'!$B$2:$B$1057,A37,'02c_DC_Accel_Bridge'!$C$2:$C$1057,B37,'02c_DC_Accel_Bridge'!$D$2:$D$1057,C37)/I37,0.0)</f>
        <v/>
      </c>
      <c r="H37" s="6">
        <f>SUM(D37:G37)</f>
        <v/>
      </c>
      <c r="I37" s="28">
        <f>SUMIFS('02c_DC_Accel_Bridge'!$H$2:$H$1057,'02c_DC_Accel_Bridge'!$B$2:$B$1057,A37,'02c_DC_Accel_Bridge'!$C$2:$C$1057,B37,'02c_DC_Accel_Bridge'!$D$2:$D$1057,C37)</f>
        <v/>
      </c>
      <c r="J37" s="6">
        <f>IF(I37&gt;0,SUMIFS('02c_DC_Accel_Bridge'!$U$2:$U$1057,'02c_DC_Accel_Bridge'!$B$2:$B$1057,A37,'02c_DC_Accel_Bridge'!$C$2:$C$1057,B37,'02c_DC_Accel_Bridge'!$D$2:$D$1057,C37)/I37,0)</f>
        <v/>
      </c>
      <c r="K37" s="6">
        <f>IF(I37&gt;0,SUMIFS('02c_DC_Accel_Bridge'!$V$2:$V$1057,'02c_DC_Accel_Bridge'!$B$2:$B$1057,A37,'02c_DC_Accel_Bridge'!$C$2:$C$1057,B37,'02c_DC_Accel_Bridge'!$D$2:$D$1057,C37)/I37,0)</f>
        <v/>
      </c>
      <c r="L37" s="6">
        <f>IF(I37&gt;0,SUMIFS('02c_DC_Accel_Bridge'!$W$2:$W$1057,'02c_DC_Accel_Bridge'!$B$2:$B$1057,A37,'02c_DC_Accel_Bridge'!$C$2:$C$1057,B37,'02c_DC_Accel_Bridge'!$D$2:$D$1057,C37)/I37,0)</f>
        <v/>
      </c>
      <c r="M37" s="6">
        <f>IF(I37&gt;0,SUMIFS('02c_DC_Accel_Bridge'!$X$2:$X$1057,'02c_DC_Accel_Bridge'!$B$2:$B$1057,A37,'02c_DC_Accel_Bridge'!$C$2:$C$1057,B37,'02c_DC_Accel_Bridge'!$D$2:$D$1057,C37)/I37,0)</f>
        <v/>
      </c>
      <c r="N37" s="6">
        <f>IF(I37&gt;0,SUMIFS('02c_DC_Accel_Bridge'!$Y$2:$Y$1057,'02c_DC_Accel_Bridge'!$B$2:$B$1057,A37,'02c_DC_Accel_Bridge'!$C$2:$C$1057,B37,'02c_DC_Accel_Bridge'!$D$2:$D$1057,C37)/I37,0)</f>
        <v/>
      </c>
      <c r="O37" s="6">
        <f>IF(I37&gt;0,SUMIFS('02c_DC_Accel_Bridge'!$Z$2:$Z$1057,'02c_DC_Accel_Bridge'!$B$2:$B$1057,A37,'02c_DC_Accel_Bridge'!$C$2:$C$1057,B37,'02c_DC_Accel_Bridge'!$D$2:$D$1057,C37)/I37,0)</f>
        <v/>
      </c>
      <c r="P37" s="3" t="inlineStr">
        <is>
          <t>weighted average: sum(site inference_weight_mw * accelerator_share) / sum(site inference_weight_mw)</t>
        </is>
      </c>
      <c r="Q37" s="3" t="inlineStr">
        <is>
          <t>dc_capacity_x_dc_accelerator_mix</t>
        </is>
      </c>
      <c r="R37" s="3" t="inlineStr">
        <is>
          <t>Edit 02a capacity allocation and 02b site accelerator mix; 03_Calculation reads D:G from this sheet.</t>
        </is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>
        <f>IF(I38&gt;0,SUMIFS('02c_DC_Accel_Bridge'!$R$2:$R$1057,'02c_DC_Accel_Bridge'!$B$2:$B$1057,A38,'02c_DC_Accel_Bridge'!$C$2:$C$1057,B38,'02c_DC_Accel_Bridge'!$D$2:$D$1057,C38)/I38,1.0)</f>
        <v/>
      </c>
      <c r="E38" s="6">
        <f>IF(I38&gt;0,SUMIFS('02c_DC_Accel_Bridge'!$S$2:$S$1057,'02c_DC_Accel_Bridge'!$B$2:$B$1057,A38,'02c_DC_Accel_Bridge'!$C$2:$C$1057,B38,'02c_DC_Accel_Bridge'!$D$2:$D$1057,C38)/I38,0.0)</f>
        <v/>
      </c>
      <c r="F38" s="6">
        <f>IF(I38&gt;0,SUMIFS('02c_DC_Accel_Bridge'!$T$2:$T$1057,'02c_DC_Accel_Bridge'!$B$2:$B$1057,A38,'02c_DC_Accel_Bridge'!$C$2:$C$1057,B38,'02c_DC_Accel_Bridge'!$D$2:$D$1057,C38)/I38,0.0)</f>
        <v/>
      </c>
      <c r="G38" s="6">
        <f>IF(I38&gt;0,SUMIFS('02c_DC_Accel_Bridge'!$AA$2:$AA$1057,'02c_DC_Accel_Bridge'!$B$2:$B$1057,A38,'02c_DC_Accel_Bridge'!$C$2:$C$1057,B38,'02c_DC_Accel_Bridge'!$D$2:$D$1057,C38)/I38,0.0)</f>
        <v/>
      </c>
      <c r="H38" s="6">
        <f>SUM(D38:G38)</f>
        <v/>
      </c>
      <c r="I38" s="28">
        <f>SUMIFS('02c_DC_Accel_Bridge'!$H$2:$H$1057,'02c_DC_Accel_Bridge'!$B$2:$B$1057,A38,'02c_DC_Accel_Bridge'!$C$2:$C$1057,B38,'02c_DC_Accel_Bridge'!$D$2:$D$1057,C38)</f>
        <v/>
      </c>
      <c r="J38" s="6">
        <f>IF(I38&gt;0,SUMIFS('02c_DC_Accel_Bridge'!$U$2:$U$1057,'02c_DC_Accel_Bridge'!$B$2:$B$1057,A38,'02c_DC_Accel_Bridge'!$C$2:$C$1057,B38,'02c_DC_Accel_Bridge'!$D$2:$D$1057,C38)/I38,0)</f>
        <v/>
      </c>
      <c r="K38" s="6">
        <f>IF(I38&gt;0,SUMIFS('02c_DC_Accel_Bridge'!$V$2:$V$1057,'02c_DC_Accel_Bridge'!$B$2:$B$1057,A38,'02c_DC_Accel_Bridge'!$C$2:$C$1057,B38,'02c_DC_Accel_Bridge'!$D$2:$D$1057,C38)/I38,0)</f>
        <v/>
      </c>
      <c r="L38" s="6">
        <f>IF(I38&gt;0,SUMIFS('02c_DC_Accel_Bridge'!$W$2:$W$1057,'02c_DC_Accel_Bridge'!$B$2:$B$1057,A38,'02c_DC_Accel_Bridge'!$C$2:$C$1057,B38,'02c_DC_Accel_Bridge'!$D$2:$D$1057,C38)/I38,0)</f>
        <v/>
      </c>
      <c r="M38" s="6">
        <f>IF(I38&gt;0,SUMIFS('02c_DC_Accel_Bridge'!$X$2:$X$1057,'02c_DC_Accel_Bridge'!$B$2:$B$1057,A38,'02c_DC_Accel_Bridge'!$C$2:$C$1057,B38,'02c_DC_Accel_Bridge'!$D$2:$D$1057,C38)/I38,0)</f>
        <v/>
      </c>
      <c r="N38" s="6">
        <f>IF(I38&gt;0,SUMIFS('02c_DC_Accel_Bridge'!$Y$2:$Y$1057,'02c_DC_Accel_Bridge'!$B$2:$B$1057,A38,'02c_DC_Accel_Bridge'!$C$2:$C$1057,B38,'02c_DC_Accel_Bridge'!$D$2:$D$1057,C38)/I38,0)</f>
        <v/>
      </c>
      <c r="O38" s="6">
        <f>IF(I38&gt;0,SUMIFS('02c_DC_Accel_Bridge'!$Z$2:$Z$1057,'02c_DC_Accel_Bridge'!$B$2:$B$1057,A38,'02c_DC_Accel_Bridge'!$C$2:$C$1057,B38,'02c_DC_Accel_Bridge'!$D$2:$D$1057,C38)/I38,0)</f>
        <v/>
      </c>
      <c r="P38" s="3" t="inlineStr">
        <is>
          <t>weighted average: sum(site inference_weight_mw * accelerator_share) / sum(site inference_weight_mw)</t>
        </is>
      </c>
      <c r="Q38" s="3" t="inlineStr">
        <is>
          <t>dc_capacity_x_dc_accelerator_mix</t>
        </is>
      </c>
      <c r="R38" s="3" t="inlineStr">
        <is>
          <t>Edit 02a capacity allocation and 02b site accelerator mix; 03_Calculation reads D:G from this sheet.</t>
        </is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>
        <f>IF(I39&gt;0,SUMIFS('02c_DC_Accel_Bridge'!$R$2:$R$1057,'02c_DC_Accel_Bridge'!$B$2:$B$1057,A39,'02c_DC_Accel_Bridge'!$C$2:$C$1057,B39,'02c_DC_Accel_Bridge'!$D$2:$D$1057,C39)/I39,1.0)</f>
        <v/>
      </c>
      <c r="E39" s="6">
        <f>IF(I39&gt;0,SUMIFS('02c_DC_Accel_Bridge'!$S$2:$S$1057,'02c_DC_Accel_Bridge'!$B$2:$B$1057,A39,'02c_DC_Accel_Bridge'!$C$2:$C$1057,B39,'02c_DC_Accel_Bridge'!$D$2:$D$1057,C39)/I39,0.0)</f>
        <v/>
      </c>
      <c r="F39" s="6">
        <f>IF(I39&gt;0,SUMIFS('02c_DC_Accel_Bridge'!$T$2:$T$1057,'02c_DC_Accel_Bridge'!$B$2:$B$1057,A39,'02c_DC_Accel_Bridge'!$C$2:$C$1057,B39,'02c_DC_Accel_Bridge'!$D$2:$D$1057,C39)/I39,0.0)</f>
        <v/>
      </c>
      <c r="G39" s="6">
        <f>IF(I39&gt;0,SUMIFS('02c_DC_Accel_Bridge'!$AA$2:$AA$1057,'02c_DC_Accel_Bridge'!$B$2:$B$1057,A39,'02c_DC_Accel_Bridge'!$C$2:$C$1057,B39,'02c_DC_Accel_Bridge'!$D$2:$D$1057,C39)/I39,0.0)</f>
        <v/>
      </c>
      <c r="H39" s="6">
        <f>SUM(D39:G39)</f>
        <v/>
      </c>
      <c r="I39" s="28">
        <f>SUMIFS('02c_DC_Accel_Bridge'!$H$2:$H$1057,'02c_DC_Accel_Bridge'!$B$2:$B$1057,A39,'02c_DC_Accel_Bridge'!$C$2:$C$1057,B39,'02c_DC_Accel_Bridge'!$D$2:$D$1057,C39)</f>
        <v/>
      </c>
      <c r="J39" s="6">
        <f>IF(I39&gt;0,SUMIFS('02c_DC_Accel_Bridge'!$U$2:$U$1057,'02c_DC_Accel_Bridge'!$B$2:$B$1057,A39,'02c_DC_Accel_Bridge'!$C$2:$C$1057,B39,'02c_DC_Accel_Bridge'!$D$2:$D$1057,C39)/I39,0)</f>
        <v/>
      </c>
      <c r="K39" s="6">
        <f>IF(I39&gt;0,SUMIFS('02c_DC_Accel_Bridge'!$V$2:$V$1057,'02c_DC_Accel_Bridge'!$B$2:$B$1057,A39,'02c_DC_Accel_Bridge'!$C$2:$C$1057,B39,'02c_DC_Accel_Bridge'!$D$2:$D$1057,C39)/I39,0)</f>
        <v/>
      </c>
      <c r="L39" s="6">
        <f>IF(I39&gt;0,SUMIFS('02c_DC_Accel_Bridge'!$W$2:$W$1057,'02c_DC_Accel_Bridge'!$B$2:$B$1057,A39,'02c_DC_Accel_Bridge'!$C$2:$C$1057,B39,'02c_DC_Accel_Bridge'!$D$2:$D$1057,C39)/I39,0)</f>
        <v/>
      </c>
      <c r="M39" s="6">
        <f>IF(I39&gt;0,SUMIFS('02c_DC_Accel_Bridge'!$X$2:$X$1057,'02c_DC_Accel_Bridge'!$B$2:$B$1057,A39,'02c_DC_Accel_Bridge'!$C$2:$C$1057,B39,'02c_DC_Accel_Bridge'!$D$2:$D$1057,C39)/I39,0)</f>
        <v/>
      </c>
      <c r="N39" s="6">
        <f>IF(I39&gt;0,SUMIFS('02c_DC_Accel_Bridge'!$Y$2:$Y$1057,'02c_DC_Accel_Bridge'!$B$2:$B$1057,A39,'02c_DC_Accel_Bridge'!$C$2:$C$1057,B39,'02c_DC_Accel_Bridge'!$D$2:$D$1057,C39)/I39,0)</f>
        <v/>
      </c>
      <c r="O39" s="6">
        <f>IF(I39&gt;0,SUMIFS('02c_DC_Accel_Bridge'!$Z$2:$Z$1057,'02c_DC_Accel_Bridge'!$B$2:$B$1057,A39,'02c_DC_Accel_Bridge'!$C$2:$C$1057,B39,'02c_DC_Accel_Bridge'!$D$2:$D$1057,C39)/I39,0)</f>
        <v/>
      </c>
      <c r="P39" s="3" t="inlineStr">
        <is>
          <t>weighted average: sum(site inference_weight_mw * accelerator_share) / sum(site inference_weight_mw)</t>
        </is>
      </c>
      <c r="Q39" s="3" t="inlineStr">
        <is>
          <t>dc_capacity_x_dc_accelerator_mix</t>
        </is>
      </c>
      <c r="R39" s="3" t="inlineStr">
        <is>
          <t>Edit 02a capacity allocation and 02b site accelerator mix; 03_Calculation reads D:G from this sheet.</t>
        </is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>
        <f>IF(I40&gt;0,SUMIFS('02c_DC_Accel_Bridge'!$R$2:$R$1057,'02c_DC_Accel_Bridge'!$B$2:$B$1057,A40,'02c_DC_Accel_Bridge'!$C$2:$C$1057,B40,'02c_DC_Accel_Bridge'!$D$2:$D$1057,C40)/I40,1.0)</f>
        <v/>
      </c>
      <c r="E40" s="6">
        <f>IF(I40&gt;0,SUMIFS('02c_DC_Accel_Bridge'!$S$2:$S$1057,'02c_DC_Accel_Bridge'!$B$2:$B$1057,A40,'02c_DC_Accel_Bridge'!$C$2:$C$1057,B40,'02c_DC_Accel_Bridge'!$D$2:$D$1057,C40)/I40,0.0)</f>
        <v/>
      </c>
      <c r="F40" s="6">
        <f>IF(I40&gt;0,SUMIFS('02c_DC_Accel_Bridge'!$T$2:$T$1057,'02c_DC_Accel_Bridge'!$B$2:$B$1057,A40,'02c_DC_Accel_Bridge'!$C$2:$C$1057,B40,'02c_DC_Accel_Bridge'!$D$2:$D$1057,C40)/I40,0.0)</f>
        <v/>
      </c>
      <c r="G40" s="6">
        <f>IF(I40&gt;0,SUMIFS('02c_DC_Accel_Bridge'!$AA$2:$AA$1057,'02c_DC_Accel_Bridge'!$B$2:$B$1057,A40,'02c_DC_Accel_Bridge'!$C$2:$C$1057,B40,'02c_DC_Accel_Bridge'!$D$2:$D$1057,C40)/I40,0.0)</f>
        <v/>
      </c>
      <c r="H40" s="6">
        <f>SUM(D40:G40)</f>
        <v/>
      </c>
      <c r="I40" s="28">
        <f>SUMIFS('02c_DC_Accel_Bridge'!$H$2:$H$1057,'02c_DC_Accel_Bridge'!$B$2:$B$1057,A40,'02c_DC_Accel_Bridge'!$C$2:$C$1057,B40,'02c_DC_Accel_Bridge'!$D$2:$D$1057,C40)</f>
        <v/>
      </c>
      <c r="J40" s="6">
        <f>IF(I40&gt;0,SUMIFS('02c_DC_Accel_Bridge'!$U$2:$U$1057,'02c_DC_Accel_Bridge'!$B$2:$B$1057,A40,'02c_DC_Accel_Bridge'!$C$2:$C$1057,B40,'02c_DC_Accel_Bridge'!$D$2:$D$1057,C40)/I40,0)</f>
        <v/>
      </c>
      <c r="K40" s="6">
        <f>IF(I40&gt;0,SUMIFS('02c_DC_Accel_Bridge'!$V$2:$V$1057,'02c_DC_Accel_Bridge'!$B$2:$B$1057,A40,'02c_DC_Accel_Bridge'!$C$2:$C$1057,B40,'02c_DC_Accel_Bridge'!$D$2:$D$1057,C40)/I40,0)</f>
        <v/>
      </c>
      <c r="L40" s="6">
        <f>IF(I40&gt;0,SUMIFS('02c_DC_Accel_Bridge'!$W$2:$W$1057,'02c_DC_Accel_Bridge'!$B$2:$B$1057,A40,'02c_DC_Accel_Bridge'!$C$2:$C$1057,B40,'02c_DC_Accel_Bridge'!$D$2:$D$1057,C40)/I40,0)</f>
        <v/>
      </c>
      <c r="M40" s="6">
        <f>IF(I40&gt;0,SUMIFS('02c_DC_Accel_Bridge'!$X$2:$X$1057,'02c_DC_Accel_Bridge'!$B$2:$B$1057,A40,'02c_DC_Accel_Bridge'!$C$2:$C$1057,B40,'02c_DC_Accel_Bridge'!$D$2:$D$1057,C40)/I40,0)</f>
        <v/>
      </c>
      <c r="N40" s="6">
        <f>IF(I40&gt;0,SUMIFS('02c_DC_Accel_Bridge'!$Y$2:$Y$1057,'02c_DC_Accel_Bridge'!$B$2:$B$1057,A40,'02c_DC_Accel_Bridge'!$C$2:$C$1057,B40,'02c_DC_Accel_Bridge'!$D$2:$D$1057,C40)/I40,0)</f>
        <v/>
      </c>
      <c r="O40" s="6">
        <f>IF(I40&gt;0,SUMIFS('02c_DC_Accel_Bridge'!$Z$2:$Z$1057,'02c_DC_Accel_Bridge'!$B$2:$B$1057,A40,'02c_DC_Accel_Bridge'!$C$2:$C$1057,B40,'02c_DC_Accel_Bridge'!$D$2:$D$1057,C40)/I40,0)</f>
        <v/>
      </c>
      <c r="P40" s="3" t="inlineStr">
        <is>
          <t>weighted average: sum(site inference_weight_mw * accelerator_share) / sum(site inference_weight_mw)</t>
        </is>
      </c>
      <c r="Q40" s="3" t="inlineStr">
        <is>
          <t>dc_capacity_x_dc_accelerator_mix</t>
        </is>
      </c>
      <c r="R40" s="3" t="inlineStr">
        <is>
          <t>Edit 02a capacity allocation and 02b site accelerator mix; 03_Calculation reads D:G from this sheet.</t>
        </is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>
        <f>IF(I41&gt;0,SUMIFS('02c_DC_Accel_Bridge'!$R$2:$R$1057,'02c_DC_Accel_Bridge'!$B$2:$B$1057,A41,'02c_DC_Accel_Bridge'!$C$2:$C$1057,B41,'02c_DC_Accel_Bridge'!$D$2:$D$1057,C41)/I41,1.0)</f>
        <v/>
      </c>
      <c r="E41" s="6">
        <f>IF(I41&gt;0,SUMIFS('02c_DC_Accel_Bridge'!$S$2:$S$1057,'02c_DC_Accel_Bridge'!$B$2:$B$1057,A41,'02c_DC_Accel_Bridge'!$C$2:$C$1057,B41,'02c_DC_Accel_Bridge'!$D$2:$D$1057,C41)/I41,0.0)</f>
        <v/>
      </c>
      <c r="F41" s="6">
        <f>IF(I41&gt;0,SUMIFS('02c_DC_Accel_Bridge'!$T$2:$T$1057,'02c_DC_Accel_Bridge'!$B$2:$B$1057,A41,'02c_DC_Accel_Bridge'!$C$2:$C$1057,B41,'02c_DC_Accel_Bridge'!$D$2:$D$1057,C41)/I41,0.0)</f>
        <v/>
      </c>
      <c r="G41" s="6">
        <f>IF(I41&gt;0,SUMIFS('02c_DC_Accel_Bridge'!$AA$2:$AA$1057,'02c_DC_Accel_Bridge'!$B$2:$B$1057,A41,'02c_DC_Accel_Bridge'!$C$2:$C$1057,B41,'02c_DC_Accel_Bridge'!$D$2:$D$1057,C41)/I41,0.0)</f>
        <v/>
      </c>
      <c r="H41" s="6">
        <f>SUM(D41:G41)</f>
        <v/>
      </c>
      <c r="I41" s="28">
        <f>SUMIFS('02c_DC_Accel_Bridge'!$H$2:$H$1057,'02c_DC_Accel_Bridge'!$B$2:$B$1057,A41,'02c_DC_Accel_Bridge'!$C$2:$C$1057,B41,'02c_DC_Accel_Bridge'!$D$2:$D$1057,C41)</f>
        <v/>
      </c>
      <c r="J41" s="6">
        <f>IF(I41&gt;0,SUMIFS('02c_DC_Accel_Bridge'!$U$2:$U$1057,'02c_DC_Accel_Bridge'!$B$2:$B$1057,A41,'02c_DC_Accel_Bridge'!$C$2:$C$1057,B41,'02c_DC_Accel_Bridge'!$D$2:$D$1057,C41)/I41,0)</f>
        <v/>
      </c>
      <c r="K41" s="6">
        <f>IF(I41&gt;0,SUMIFS('02c_DC_Accel_Bridge'!$V$2:$V$1057,'02c_DC_Accel_Bridge'!$B$2:$B$1057,A41,'02c_DC_Accel_Bridge'!$C$2:$C$1057,B41,'02c_DC_Accel_Bridge'!$D$2:$D$1057,C41)/I41,0)</f>
        <v/>
      </c>
      <c r="L41" s="6">
        <f>IF(I41&gt;0,SUMIFS('02c_DC_Accel_Bridge'!$W$2:$W$1057,'02c_DC_Accel_Bridge'!$B$2:$B$1057,A41,'02c_DC_Accel_Bridge'!$C$2:$C$1057,B41,'02c_DC_Accel_Bridge'!$D$2:$D$1057,C41)/I41,0)</f>
        <v/>
      </c>
      <c r="M41" s="6">
        <f>IF(I41&gt;0,SUMIFS('02c_DC_Accel_Bridge'!$X$2:$X$1057,'02c_DC_Accel_Bridge'!$B$2:$B$1057,A41,'02c_DC_Accel_Bridge'!$C$2:$C$1057,B41,'02c_DC_Accel_Bridge'!$D$2:$D$1057,C41)/I41,0)</f>
        <v/>
      </c>
      <c r="N41" s="6">
        <f>IF(I41&gt;0,SUMIFS('02c_DC_Accel_Bridge'!$Y$2:$Y$1057,'02c_DC_Accel_Bridge'!$B$2:$B$1057,A41,'02c_DC_Accel_Bridge'!$C$2:$C$1057,B41,'02c_DC_Accel_Bridge'!$D$2:$D$1057,C41)/I41,0)</f>
        <v/>
      </c>
      <c r="O41" s="6">
        <f>IF(I41&gt;0,SUMIFS('02c_DC_Accel_Bridge'!$Z$2:$Z$1057,'02c_DC_Accel_Bridge'!$B$2:$B$1057,A41,'02c_DC_Accel_Bridge'!$C$2:$C$1057,B41,'02c_DC_Accel_Bridge'!$D$2:$D$1057,C41)/I41,0)</f>
        <v/>
      </c>
      <c r="P41" s="3" t="inlineStr">
        <is>
          <t>weighted average: sum(site inference_weight_mw * accelerator_share) / sum(site inference_weight_mw)</t>
        </is>
      </c>
      <c r="Q41" s="3" t="inlineStr">
        <is>
          <t>dc_capacity_x_dc_accelerator_mix</t>
        </is>
      </c>
      <c r="R41" s="3" t="inlineStr">
        <is>
          <t>Edit 02a capacity allocation and 02b site accelerator mix; 03_Calculation reads D:G from this sheet.</t>
        </is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>
        <f>IF(I42&gt;0,SUMIFS('02c_DC_Accel_Bridge'!$R$2:$R$1057,'02c_DC_Accel_Bridge'!$B$2:$B$1057,A42,'02c_DC_Accel_Bridge'!$C$2:$C$1057,B42,'02c_DC_Accel_Bridge'!$D$2:$D$1057,C42)/I42,0.55)</f>
        <v/>
      </c>
      <c r="E42" s="6">
        <f>IF(I42&gt;0,SUMIFS('02c_DC_Accel_Bridge'!$S$2:$S$1057,'02c_DC_Accel_Bridge'!$B$2:$B$1057,A42,'02c_DC_Accel_Bridge'!$C$2:$C$1057,B42,'02c_DC_Accel_Bridge'!$D$2:$D$1057,C42)/I42,0.4)</f>
        <v/>
      </c>
      <c r="F42" s="6">
        <f>IF(I42&gt;0,SUMIFS('02c_DC_Accel_Bridge'!$T$2:$T$1057,'02c_DC_Accel_Bridge'!$B$2:$B$1057,A42,'02c_DC_Accel_Bridge'!$C$2:$C$1057,B42,'02c_DC_Accel_Bridge'!$D$2:$D$1057,C42)/I42,0.05)</f>
        <v/>
      </c>
      <c r="G42" s="6">
        <f>IF(I42&gt;0,SUMIFS('02c_DC_Accel_Bridge'!$AA$2:$AA$1057,'02c_DC_Accel_Bridge'!$B$2:$B$1057,A42,'02c_DC_Accel_Bridge'!$C$2:$C$1057,B42,'02c_DC_Accel_Bridge'!$D$2:$D$1057,C42)/I42,0.0)</f>
        <v/>
      </c>
      <c r="H42" s="6">
        <f>SUM(D42:G42)</f>
        <v/>
      </c>
      <c r="I42" s="28">
        <f>SUMIFS('02c_DC_Accel_Bridge'!$H$2:$H$1057,'02c_DC_Accel_Bridge'!$B$2:$B$1057,A42,'02c_DC_Accel_Bridge'!$C$2:$C$1057,B42,'02c_DC_Accel_Bridge'!$D$2:$D$1057,C42)</f>
        <v/>
      </c>
      <c r="J42" s="6">
        <f>IF(I42&gt;0,SUMIFS('02c_DC_Accel_Bridge'!$U$2:$U$1057,'02c_DC_Accel_Bridge'!$B$2:$B$1057,A42,'02c_DC_Accel_Bridge'!$C$2:$C$1057,B42,'02c_DC_Accel_Bridge'!$D$2:$D$1057,C42)/I42,0)</f>
        <v/>
      </c>
      <c r="K42" s="6">
        <f>IF(I42&gt;0,SUMIFS('02c_DC_Accel_Bridge'!$V$2:$V$1057,'02c_DC_Accel_Bridge'!$B$2:$B$1057,A42,'02c_DC_Accel_Bridge'!$C$2:$C$1057,B42,'02c_DC_Accel_Bridge'!$D$2:$D$1057,C42)/I42,0)</f>
        <v/>
      </c>
      <c r="L42" s="6">
        <f>IF(I42&gt;0,SUMIFS('02c_DC_Accel_Bridge'!$W$2:$W$1057,'02c_DC_Accel_Bridge'!$B$2:$B$1057,A42,'02c_DC_Accel_Bridge'!$C$2:$C$1057,B42,'02c_DC_Accel_Bridge'!$D$2:$D$1057,C42)/I42,0)</f>
        <v/>
      </c>
      <c r="M42" s="6">
        <f>IF(I42&gt;0,SUMIFS('02c_DC_Accel_Bridge'!$X$2:$X$1057,'02c_DC_Accel_Bridge'!$B$2:$B$1057,A42,'02c_DC_Accel_Bridge'!$C$2:$C$1057,B42,'02c_DC_Accel_Bridge'!$D$2:$D$1057,C42)/I42,0)</f>
        <v/>
      </c>
      <c r="N42" s="6">
        <f>IF(I42&gt;0,SUMIFS('02c_DC_Accel_Bridge'!$Y$2:$Y$1057,'02c_DC_Accel_Bridge'!$B$2:$B$1057,A42,'02c_DC_Accel_Bridge'!$C$2:$C$1057,B42,'02c_DC_Accel_Bridge'!$D$2:$D$1057,C42)/I42,0)</f>
        <v/>
      </c>
      <c r="O42" s="6">
        <f>IF(I42&gt;0,SUMIFS('02c_DC_Accel_Bridge'!$Z$2:$Z$1057,'02c_DC_Accel_Bridge'!$B$2:$B$1057,A42,'02c_DC_Accel_Bridge'!$C$2:$C$1057,B42,'02c_DC_Accel_Bridge'!$D$2:$D$1057,C42)/I42,0)</f>
        <v/>
      </c>
      <c r="P42" s="3" t="inlineStr">
        <is>
          <t>weighted average: sum(site inference_weight_mw * accelerator_share) / sum(site inference_weight_mw)</t>
        </is>
      </c>
      <c r="Q42" s="3" t="inlineStr">
        <is>
          <t>dc_capacity_x_dc_accelerator_mix</t>
        </is>
      </c>
      <c r="R42" s="3" t="inlineStr">
        <is>
          <t>Edit 02a capacity allocation and 02b site accelerator mix; 03_Calculation reads D:G from this sheet.</t>
        </is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>
        <f>IF(I43&gt;0,SUMIFS('02c_DC_Accel_Bridge'!$R$2:$R$1057,'02c_DC_Accel_Bridge'!$B$2:$B$1057,A43,'02c_DC_Accel_Bridge'!$C$2:$C$1057,B43,'02c_DC_Accel_Bridge'!$D$2:$D$1057,C43)/I43,0.438)</f>
        <v/>
      </c>
      <c r="E43" s="6">
        <f>IF(I43&gt;0,SUMIFS('02c_DC_Accel_Bridge'!$S$2:$S$1057,'02c_DC_Accel_Bridge'!$B$2:$B$1057,A43,'02c_DC_Accel_Bridge'!$C$2:$C$1057,B43,'02c_DC_Accel_Bridge'!$D$2:$D$1057,C43)/I43,0.388)</f>
        <v/>
      </c>
      <c r="F43" s="6">
        <f>IF(I43&gt;0,SUMIFS('02c_DC_Accel_Bridge'!$T$2:$T$1057,'02c_DC_Accel_Bridge'!$B$2:$B$1057,A43,'02c_DC_Accel_Bridge'!$C$2:$C$1057,B43,'02c_DC_Accel_Bridge'!$D$2:$D$1057,C43)/I43,0.174)</f>
        <v/>
      </c>
      <c r="G43" s="6">
        <f>IF(I43&gt;0,SUMIFS('02c_DC_Accel_Bridge'!$AA$2:$AA$1057,'02c_DC_Accel_Bridge'!$B$2:$B$1057,A43,'02c_DC_Accel_Bridge'!$C$2:$C$1057,B43,'02c_DC_Accel_Bridge'!$D$2:$D$1057,C43)/I43,0.0)</f>
        <v/>
      </c>
      <c r="H43" s="6">
        <f>SUM(D43:G43)</f>
        <v/>
      </c>
      <c r="I43" s="28">
        <f>SUMIFS('02c_DC_Accel_Bridge'!$H$2:$H$1057,'02c_DC_Accel_Bridge'!$B$2:$B$1057,A43,'02c_DC_Accel_Bridge'!$C$2:$C$1057,B43,'02c_DC_Accel_Bridge'!$D$2:$D$1057,C43)</f>
        <v/>
      </c>
      <c r="J43" s="6">
        <f>IF(I43&gt;0,SUMIFS('02c_DC_Accel_Bridge'!$U$2:$U$1057,'02c_DC_Accel_Bridge'!$B$2:$B$1057,A43,'02c_DC_Accel_Bridge'!$C$2:$C$1057,B43,'02c_DC_Accel_Bridge'!$D$2:$D$1057,C43)/I43,0)</f>
        <v/>
      </c>
      <c r="K43" s="6">
        <f>IF(I43&gt;0,SUMIFS('02c_DC_Accel_Bridge'!$V$2:$V$1057,'02c_DC_Accel_Bridge'!$B$2:$B$1057,A43,'02c_DC_Accel_Bridge'!$C$2:$C$1057,B43,'02c_DC_Accel_Bridge'!$D$2:$D$1057,C43)/I43,0)</f>
        <v/>
      </c>
      <c r="L43" s="6">
        <f>IF(I43&gt;0,SUMIFS('02c_DC_Accel_Bridge'!$W$2:$W$1057,'02c_DC_Accel_Bridge'!$B$2:$B$1057,A43,'02c_DC_Accel_Bridge'!$C$2:$C$1057,B43,'02c_DC_Accel_Bridge'!$D$2:$D$1057,C43)/I43,0)</f>
        <v/>
      </c>
      <c r="M43" s="6">
        <f>IF(I43&gt;0,SUMIFS('02c_DC_Accel_Bridge'!$X$2:$X$1057,'02c_DC_Accel_Bridge'!$B$2:$B$1057,A43,'02c_DC_Accel_Bridge'!$C$2:$C$1057,B43,'02c_DC_Accel_Bridge'!$D$2:$D$1057,C43)/I43,0)</f>
        <v/>
      </c>
      <c r="N43" s="6">
        <f>IF(I43&gt;0,SUMIFS('02c_DC_Accel_Bridge'!$Y$2:$Y$1057,'02c_DC_Accel_Bridge'!$B$2:$B$1057,A43,'02c_DC_Accel_Bridge'!$C$2:$C$1057,B43,'02c_DC_Accel_Bridge'!$D$2:$D$1057,C43)/I43,0)</f>
        <v/>
      </c>
      <c r="O43" s="6">
        <f>IF(I43&gt;0,SUMIFS('02c_DC_Accel_Bridge'!$Z$2:$Z$1057,'02c_DC_Accel_Bridge'!$B$2:$B$1057,A43,'02c_DC_Accel_Bridge'!$C$2:$C$1057,B43,'02c_DC_Accel_Bridge'!$D$2:$D$1057,C43)/I43,0)</f>
        <v/>
      </c>
      <c r="P43" s="3" t="inlineStr">
        <is>
          <t>weighted average: sum(site inference_weight_mw * accelerator_share) / sum(site inference_weight_mw)</t>
        </is>
      </c>
      <c r="Q43" s="3" t="inlineStr">
        <is>
          <t>dc_capacity_x_dc_accelerator_mix</t>
        </is>
      </c>
      <c r="R43" s="3" t="inlineStr">
        <is>
          <t>Edit 02a capacity allocation and 02b site accelerator mix; 03_Calculation reads D:G from this sheet.</t>
        </is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>
        <f>IF(I44&gt;0,SUMIFS('02c_DC_Accel_Bridge'!$R$2:$R$1057,'02c_DC_Accel_Bridge'!$B$2:$B$1057,A44,'02c_DC_Accel_Bridge'!$C$2:$C$1057,B44,'02c_DC_Accel_Bridge'!$D$2:$D$1057,C44)/I44,0.325)</f>
        <v/>
      </c>
      <c r="E44" s="6">
        <f>IF(I44&gt;0,SUMIFS('02c_DC_Accel_Bridge'!$S$2:$S$1057,'02c_DC_Accel_Bridge'!$B$2:$B$1057,A44,'02c_DC_Accel_Bridge'!$C$2:$C$1057,B44,'02c_DC_Accel_Bridge'!$D$2:$D$1057,C44)/I44,0.375)</f>
        <v/>
      </c>
      <c r="F44" s="6">
        <f>IF(I44&gt;0,SUMIFS('02c_DC_Accel_Bridge'!$T$2:$T$1057,'02c_DC_Accel_Bridge'!$B$2:$B$1057,A44,'02c_DC_Accel_Bridge'!$C$2:$C$1057,B44,'02c_DC_Accel_Bridge'!$D$2:$D$1057,C44)/I44,0.3)</f>
        <v/>
      </c>
      <c r="G44" s="6">
        <f>IF(I44&gt;0,SUMIFS('02c_DC_Accel_Bridge'!$AA$2:$AA$1057,'02c_DC_Accel_Bridge'!$B$2:$B$1057,A44,'02c_DC_Accel_Bridge'!$C$2:$C$1057,B44,'02c_DC_Accel_Bridge'!$D$2:$D$1057,C44)/I44,0.0)</f>
        <v/>
      </c>
      <c r="H44" s="6">
        <f>SUM(D44:G44)</f>
        <v/>
      </c>
      <c r="I44" s="28">
        <f>SUMIFS('02c_DC_Accel_Bridge'!$H$2:$H$1057,'02c_DC_Accel_Bridge'!$B$2:$B$1057,A44,'02c_DC_Accel_Bridge'!$C$2:$C$1057,B44,'02c_DC_Accel_Bridge'!$D$2:$D$1057,C44)</f>
        <v/>
      </c>
      <c r="J44" s="6">
        <f>IF(I44&gt;0,SUMIFS('02c_DC_Accel_Bridge'!$U$2:$U$1057,'02c_DC_Accel_Bridge'!$B$2:$B$1057,A44,'02c_DC_Accel_Bridge'!$C$2:$C$1057,B44,'02c_DC_Accel_Bridge'!$D$2:$D$1057,C44)/I44,0)</f>
        <v/>
      </c>
      <c r="K44" s="6">
        <f>IF(I44&gt;0,SUMIFS('02c_DC_Accel_Bridge'!$V$2:$V$1057,'02c_DC_Accel_Bridge'!$B$2:$B$1057,A44,'02c_DC_Accel_Bridge'!$C$2:$C$1057,B44,'02c_DC_Accel_Bridge'!$D$2:$D$1057,C44)/I44,0)</f>
        <v/>
      </c>
      <c r="L44" s="6">
        <f>IF(I44&gt;0,SUMIFS('02c_DC_Accel_Bridge'!$W$2:$W$1057,'02c_DC_Accel_Bridge'!$B$2:$B$1057,A44,'02c_DC_Accel_Bridge'!$C$2:$C$1057,B44,'02c_DC_Accel_Bridge'!$D$2:$D$1057,C44)/I44,0)</f>
        <v/>
      </c>
      <c r="M44" s="6">
        <f>IF(I44&gt;0,SUMIFS('02c_DC_Accel_Bridge'!$X$2:$X$1057,'02c_DC_Accel_Bridge'!$B$2:$B$1057,A44,'02c_DC_Accel_Bridge'!$C$2:$C$1057,B44,'02c_DC_Accel_Bridge'!$D$2:$D$1057,C44)/I44,0)</f>
        <v/>
      </c>
      <c r="N44" s="6">
        <f>IF(I44&gt;0,SUMIFS('02c_DC_Accel_Bridge'!$Y$2:$Y$1057,'02c_DC_Accel_Bridge'!$B$2:$B$1057,A44,'02c_DC_Accel_Bridge'!$C$2:$C$1057,B44,'02c_DC_Accel_Bridge'!$D$2:$D$1057,C44)/I44,0)</f>
        <v/>
      </c>
      <c r="O44" s="6">
        <f>IF(I44&gt;0,SUMIFS('02c_DC_Accel_Bridge'!$Z$2:$Z$1057,'02c_DC_Accel_Bridge'!$B$2:$B$1057,A44,'02c_DC_Accel_Bridge'!$C$2:$C$1057,B44,'02c_DC_Accel_Bridge'!$D$2:$D$1057,C44)/I44,0)</f>
        <v/>
      </c>
      <c r="P44" s="3" t="inlineStr">
        <is>
          <t>weighted average: sum(site inference_weight_mw * accelerator_share) / sum(site inference_weight_mw)</t>
        </is>
      </c>
      <c r="Q44" s="3" t="inlineStr">
        <is>
          <t>dc_capacity_x_dc_accelerator_mix</t>
        </is>
      </c>
      <c r="R44" s="3" t="inlineStr">
        <is>
          <t>Edit 02a capacity allocation and 02b site accelerator mix; 03_Calculation reads D:G from this sheet.</t>
        </is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>
        <f>IF(I45&gt;0,SUMIFS('02c_DC_Accel_Bridge'!$R$2:$R$1057,'02c_DC_Accel_Bridge'!$B$2:$B$1057,A45,'02c_DC_Accel_Bridge'!$C$2:$C$1057,B45,'02c_DC_Accel_Bridge'!$D$2:$D$1057,C45)/I45,0.213)</f>
        <v/>
      </c>
      <c r="E45" s="6">
        <f>IF(I45&gt;0,SUMIFS('02c_DC_Accel_Bridge'!$S$2:$S$1057,'02c_DC_Accel_Bridge'!$B$2:$B$1057,A45,'02c_DC_Accel_Bridge'!$C$2:$C$1057,B45,'02c_DC_Accel_Bridge'!$D$2:$D$1057,C45)/I45,0.362)</f>
        <v/>
      </c>
      <c r="F45" s="6">
        <f>IF(I45&gt;0,SUMIFS('02c_DC_Accel_Bridge'!$T$2:$T$1057,'02c_DC_Accel_Bridge'!$B$2:$B$1057,A45,'02c_DC_Accel_Bridge'!$C$2:$C$1057,B45,'02c_DC_Accel_Bridge'!$D$2:$D$1057,C45)/I45,0.425)</f>
        <v/>
      </c>
      <c r="G45" s="6">
        <f>IF(I45&gt;0,SUMIFS('02c_DC_Accel_Bridge'!$AA$2:$AA$1057,'02c_DC_Accel_Bridge'!$B$2:$B$1057,A45,'02c_DC_Accel_Bridge'!$C$2:$C$1057,B45,'02c_DC_Accel_Bridge'!$D$2:$D$1057,C45)/I45,0.0)</f>
        <v/>
      </c>
      <c r="H45" s="6">
        <f>SUM(D45:G45)</f>
        <v/>
      </c>
      <c r="I45" s="28">
        <f>SUMIFS('02c_DC_Accel_Bridge'!$H$2:$H$1057,'02c_DC_Accel_Bridge'!$B$2:$B$1057,A45,'02c_DC_Accel_Bridge'!$C$2:$C$1057,B45,'02c_DC_Accel_Bridge'!$D$2:$D$1057,C45)</f>
        <v/>
      </c>
      <c r="J45" s="6">
        <f>IF(I45&gt;0,SUMIFS('02c_DC_Accel_Bridge'!$U$2:$U$1057,'02c_DC_Accel_Bridge'!$B$2:$B$1057,A45,'02c_DC_Accel_Bridge'!$C$2:$C$1057,B45,'02c_DC_Accel_Bridge'!$D$2:$D$1057,C45)/I45,0)</f>
        <v/>
      </c>
      <c r="K45" s="6">
        <f>IF(I45&gt;0,SUMIFS('02c_DC_Accel_Bridge'!$V$2:$V$1057,'02c_DC_Accel_Bridge'!$B$2:$B$1057,A45,'02c_DC_Accel_Bridge'!$C$2:$C$1057,B45,'02c_DC_Accel_Bridge'!$D$2:$D$1057,C45)/I45,0)</f>
        <v/>
      </c>
      <c r="L45" s="6">
        <f>IF(I45&gt;0,SUMIFS('02c_DC_Accel_Bridge'!$W$2:$W$1057,'02c_DC_Accel_Bridge'!$B$2:$B$1057,A45,'02c_DC_Accel_Bridge'!$C$2:$C$1057,B45,'02c_DC_Accel_Bridge'!$D$2:$D$1057,C45)/I45,0)</f>
        <v/>
      </c>
      <c r="M45" s="6">
        <f>IF(I45&gt;0,SUMIFS('02c_DC_Accel_Bridge'!$X$2:$X$1057,'02c_DC_Accel_Bridge'!$B$2:$B$1057,A45,'02c_DC_Accel_Bridge'!$C$2:$C$1057,B45,'02c_DC_Accel_Bridge'!$D$2:$D$1057,C45)/I45,0)</f>
        <v/>
      </c>
      <c r="N45" s="6">
        <f>IF(I45&gt;0,SUMIFS('02c_DC_Accel_Bridge'!$Y$2:$Y$1057,'02c_DC_Accel_Bridge'!$B$2:$B$1057,A45,'02c_DC_Accel_Bridge'!$C$2:$C$1057,B45,'02c_DC_Accel_Bridge'!$D$2:$D$1057,C45)/I45,0)</f>
        <v/>
      </c>
      <c r="O45" s="6">
        <f>IF(I45&gt;0,SUMIFS('02c_DC_Accel_Bridge'!$Z$2:$Z$1057,'02c_DC_Accel_Bridge'!$B$2:$B$1057,A45,'02c_DC_Accel_Bridge'!$C$2:$C$1057,B45,'02c_DC_Accel_Bridge'!$D$2:$D$1057,C45)/I45,0)</f>
        <v/>
      </c>
      <c r="P45" s="3" t="inlineStr">
        <is>
          <t>weighted average: sum(site inference_weight_mw * accelerator_share) / sum(site inference_weight_mw)</t>
        </is>
      </c>
      <c r="Q45" s="3" t="inlineStr">
        <is>
          <t>dc_capacity_x_dc_accelerator_mix</t>
        </is>
      </c>
      <c r="R45" s="3" t="inlineStr">
        <is>
          <t>Edit 02a capacity allocation and 02b site accelerator mix; 03_Calculation reads D:G from this sheet.</t>
        </is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>
        <f>IF(I46&gt;0,SUMIFS('02c_DC_Accel_Bridge'!$R$2:$R$1057,'02c_DC_Accel_Bridge'!$B$2:$B$1057,A46,'02c_DC_Accel_Bridge'!$C$2:$C$1057,B46,'02c_DC_Accel_Bridge'!$D$2:$D$1057,C46)/I46,0.1)</f>
        <v/>
      </c>
      <c r="E46" s="6">
        <f>IF(I46&gt;0,SUMIFS('02c_DC_Accel_Bridge'!$S$2:$S$1057,'02c_DC_Accel_Bridge'!$B$2:$B$1057,A46,'02c_DC_Accel_Bridge'!$C$2:$C$1057,B46,'02c_DC_Accel_Bridge'!$D$2:$D$1057,C46)/I46,0.35)</f>
        <v/>
      </c>
      <c r="F46" s="6">
        <f>IF(I46&gt;0,SUMIFS('02c_DC_Accel_Bridge'!$T$2:$T$1057,'02c_DC_Accel_Bridge'!$B$2:$B$1057,A46,'02c_DC_Accel_Bridge'!$C$2:$C$1057,B46,'02c_DC_Accel_Bridge'!$D$2:$D$1057,C46)/I46,0.55)</f>
        <v/>
      </c>
      <c r="G46" s="6">
        <f>IF(I46&gt;0,SUMIFS('02c_DC_Accel_Bridge'!$AA$2:$AA$1057,'02c_DC_Accel_Bridge'!$B$2:$B$1057,A46,'02c_DC_Accel_Bridge'!$C$2:$C$1057,B46,'02c_DC_Accel_Bridge'!$D$2:$D$1057,C46)/I46,0.0)</f>
        <v/>
      </c>
      <c r="H46" s="6">
        <f>SUM(D46:G46)</f>
        <v/>
      </c>
      <c r="I46" s="28">
        <f>SUMIFS('02c_DC_Accel_Bridge'!$H$2:$H$1057,'02c_DC_Accel_Bridge'!$B$2:$B$1057,A46,'02c_DC_Accel_Bridge'!$C$2:$C$1057,B46,'02c_DC_Accel_Bridge'!$D$2:$D$1057,C46)</f>
        <v/>
      </c>
      <c r="J46" s="6">
        <f>IF(I46&gt;0,SUMIFS('02c_DC_Accel_Bridge'!$U$2:$U$1057,'02c_DC_Accel_Bridge'!$B$2:$B$1057,A46,'02c_DC_Accel_Bridge'!$C$2:$C$1057,B46,'02c_DC_Accel_Bridge'!$D$2:$D$1057,C46)/I46,0)</f>
        <v/>
      </c>
      <c r="K46" s="6">
        <f>IF(I46&gt;0,SUMIFS('02c_DC_Accel_Bridge'!$V$2:$V$1057,'02c_DC_Accel_Bridge'!$B$2:$B$1057,A46,'02c_DC_Accel_Bridge'!$C$2:$C$1057,B46,'02c_DC_Accel_Bridge'!$D$2:$D$1057,C46)/I46,0)</f>
        <v/>
      </c>
      <c r="L46" s="6">
        <f>IF(I46&gt;0,SUMIFS('02c_DC_Accel_Bridge'!$W$2:$W$1057,'02c_DC_Accel_Bridge'!$B$2:$B$1057,A46,'02c_DC_Accel_Bridge'!$C$2:$C$1057,B46,'02c_DC_Accel_Bridge'!$D$2:$D$1057,C46)/I46,0)</f>
        <v/>
      </c>
      <c r="M46" s="6">
        <f>IF(I46&gt;0,SUMIFS('02c_DC_Accel_Bridge'!$X$2:$X$1057,'02c_DC_Accel_Bridge'!$B$2:$B$1057,A46,'02c_DC_Accel_Bridge'!$C$2:$C$1057,B46,'02c_DC_Accel_Bridge'!$D$2:$D$1057,C46)/I46,0)</f>
        <v/>
      </c>
      <c r="N46" s="6">
        <f>IF(I46&gt;0,SUMIFS('02c_DC_Accel_Bridge'!$Y$2:$Y$1057,'02c_DC_Accel_Bridge'!$B$2:$B$1057,A46,'02c_DC_Accel_Bridge'!$C$2:$C$1057,B46,'02c_DC_Accel_Bridge'!$D$2:$D$1057,C46)/I46,0)</f>
        <v/>
      </c>
      <c r="O46" s="6">
        <f>IF(I46&gt;0,SUMIFS('02c_DC_Accel_Bridge'!$Z$2:$Z$1057,'02c_DC_Accel_Bridge'!$B$2:$B$1057,A46,'02c_DC_Accel_Bridge'!$C$2:$C$1057,B46,'02c_DC_Accel_Bridge'!$D$2:$D$1057,C46)/I46,0)</f>
        <v/>
      </c>
      <c r="P46" s="3" t="inlineStr">
        <is>
          <t>weighted average: sum(site inference_weight_mw * accelerator_share) / sum(site inference_weight_mw)</t>
        </is>
      </c>
      <c r="Q46" s="3" t="inlineStr">
        <is>
          <t>dc_capacity_x_dc_accelerator_mix</t>
        </is>
      </c>
      <c r="R46" s="3" t="inlineStr">
        <is>
          <t>Edit 02a capacity allocation and 02b site accelerator mix; 03_Calculation reads D:G from this sheet.</t>
        </is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>
        <f>IF(I47&gt;0,SUMIFS('02c_DC_Accel_Bridge'!$R$2:$R$1057,'02c_DC_Accel_Bridge'!$B$2:$B$1057,A47,'02c_DC_Accel_Bridge'!$C$2:$C$1057,B47,'02c_DC_Accel_Bridge'!$D$2:$D$1057,C47)/I47,0.079463)</f>
        <v/>
      </c>
      <c r="E47" s="6">
        <f>IF(I47&gt;0,SUMIFS('02c_DC_Accel_Bridge'!$S$2:$S$1057,'02c_DC_Accel_Bridge'!$B$2:$B$1057,A47,'02c_DC_Accel_Bridge'!$C$2:$C$1057,B47,'02c_DC_Accel_Bridge'!$D$2:$D$1057,C47)/I47,0.920537)</f>
        <v/>
      </c>
      <c r="F47" s="6">
        <f>IF(I47&gt;0,SUMIFS('02c_DC_Accel_Bridge'!$T$2:$T$1057,'02c_DC_Accel_Bridge'!$B$2:$B$1057,A47,'02c_DC_Accel_Bridge'!$C$2:$C$1057,B47,'02c_DC_Accel_Bridge'!$D$2:$D$1057,C47)/I47,0.0)</f>
        <v/>
      </c>
      <c r="G47" s="6">
        <f>IF(I47&gt;0,SUMIFS('02c_DC_Accel_Bridge'!$AA$2:$AA$1057,'02c_DC_Accel_Bridge'!$B$2:$B$1057,A47,'02c_DC_Accel_Bridge'!$C$2:$C$1057,B47,'02c_DC_Accel_Bridge'!$D$2:$D$1057,C47)/I47,0.0)</f>
        <v/>
      </c>
      <c r="H47" s="6">
        <f>SUM(D47:G47)</f>
        <v/>
      </c>
      <c r="I47" s="28">
        <f>SUMIFS('02c_DC_Accel_Bridge'!$H$2:$H$1057,'02c_DC_Accel_Bridge'!$B$2:$B$1057,A47,'02c_DC_Accel_Bridge'!$C$2:$C$1057,B47,'02c_DC_Accel_Bridge'!$D$2:$D$1057,C47)</f>
        <v/>
      </c>
      <c r="J47" s="6">
        <f>IF(I47&gt;0,SUMIFS('02c_DC_Accel_Bridge'!$U$2:$U$1057,'02c_DC_Accel_Bridge'!$B$2:$B$1057,A47,'02c_DC_Accel_Bridge'!$C$2:$C$1057,B47,'02c_DC_Accel_Bridge'!$D$2:$D$1057,C47)/I47,0)</f>
        <v/>
      </c>
      <c r="K47" s="6">
        <f>IF(I47&gt;0,SUMIFS('02c_DC_Accel_Bridge'!$V$2:$V$1057,'02c_DC_Accel_Bridge'!$B$2:$B$1057,A47,'02c_DC_Accel_Bridge'!$C$2:$C$1057,B47,'02c_DC_Accel_Bridge'!$D$2:$D$1057,C47)/I47,0)</f>
        <v/>
      </c>
      <c r="L47" s="6">
        <f>IF(I47&gt;0,SUMIFS('02c_DC_Accel_Bridge'!$W$2:$W$1057,'02c_DC_Accel_Bridge'!$B$2:$B$1057,A47,'02c_DC_Accel_Bridge'!$C$2:$C$1057,B47,'02c_DC_Accel_Bridge'!$D$2:$D$1057,C47)/I47,0)</f>
        <v/>
      </c>
      <c r="M47" s="6">
        <f>IF(I47&gt;0,SUMIFS('02c_DC_Accel_Bridge'!$X$2:$X$1057,'02c_DC_Accel_Bridge'!$B$2:$B$1057,A47,'02c_DC_Accel_Bridge'!$C$2:$C$1057,B47,'02c_DC_Accel_Bridge'!$D$2:$D$1057,C47)/I47,0)</f>
        <v/>
      </c>
      <c r="N47" s="6">
        <f>IF(I47&gt;0,SUMIFS('02c_DC_Accel_Bridge'!$Y$2:$Y$1057,'02c_DC_Accel_Bridge'!$B$2:$B$1057,A47,'02c_DC_Accel_Bridge'!$C$2:$C$1057,B47,'02c_DC_Accel_Bridge'!$D$2:$D$1057,C47)/I47,0)</f>
        <v/>
      </c>
      <c r="O47" s="6">
        <f>IF(I47&gt;0,SUMIFS('02c_DC_Accel_Bridge'!$Z$2:$Z$1057,'02c_DC_Accel_Bridge'!$B$2:$B$1057,A47,'02c_DC_Accel_Bridge'!$C$2:$C$1057,B47,'02c_DC_Accel_Bridge'!$D$2:$D$1057,C47)/I47,0)</f>
        <v/>
      </c>
      <c r="P47" s="3" t="inlineStr">
        <is>
          <t>weighted average: sum(site inference_weight_mw * accelerator_share) / sum(site inference_weight_mw)</t>
        </is>
      </c>
      <c r="Q47" s="3" t="inlineStr">
        <is>
          <t>dc_capacity_x_dc_accelerator_mix</t>
        </is>
      </c>
      <c r="R47" s="3" t="inlineStr">
        <is>
          <t>Edit 02a capacity allocation and 02b site accelerator mix; 03_Calculation reads D:G from this sheet.</t>
        </is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>
        <f>IF(I48&gt;0,SUMIFS('02c_DC_Accel_Bridge'!$R$2:$R$1057,'02c_DC_Accel_Bridge'!$B$2:$B$1057,A48,'02c_DC_Accel_Bridge'!$C$2:$C$1057,B48,'02c_DC_Accel_Bridge'!$D$2:$D$1057,C48)/I48,0.033529)</f>
        <v/>
      </c>
      <c r="E48" s="6">
        <f>IF(I48&gt;0,SUMIFS('02c_DC_Accel_Bridge'!$S$2:$S$1057,'02c_DC_Accel_Bridge'!$B$2:$B$1057,A48,'02c_DC_Accel_Bridge'!$C$2:$C$1057,B48,'02c_DC_Accel_Bridge'!$D$2:$D$1057,C48)/I48,0.520995)</f>
        <v/>
      </c>
      <c r="F48" s="6">
        <f>IF(I48&gt;0,SUMIFS('02c_DC_Accel_Bridge'!$T$2:$T$1057,'02c_DC_Accel_Bridge'!$B$2:$B$1057,A48,'02c_DC_Accel_Bridge'!$C$2:$C$1057,B48,'02c_DC_Accel_Bridge'!$D$2:$D$1057,C48)/I48,0.0)</f>
        <v/>
      </c>
      <c r="G48" s="6">
        <f>IF(I48&gt;0,SUMIFS('02c_DC_Accel_Bridge'!$AA$2:$AA$1057,'02c_DC_Accel_Bridge'!$B$2:$B$1057,A48,'02c_DC_Accel_Bridge'!$C$2:$C$1057,B48,'02c_DC_Accel_Bridge'!$D$2:$D$1057,C48)/I48,0.445476)</f>
        <v/>
      </c>
      <c r="H48" s="6">
        <f>SUM(D48:G48)</f>
        <v/>
      </c>
      <c r="I48" s="28">
        <f>SUMIFS('02c_DC_Accel_Bridge'!$H$2:$H$1057,'02c_DC_Accel_Bridge'!$B$2:$B$1057,A48,'02c_DC_Accel_Bridge'!$C$2:$C$1057,B48,'02c_DC_Accel_Bridge'!$D$2:$D$1057,C48)</f>
        <v/>
      </c>
      <c r="J48" s="6">
        <f>IF(I48&gt;0,SUMIFS('02c_DC_Accel_Bridge'!$U$2:$U$1057,'02c_DC_Accel_Bridge'!$B$2:$B$1057,A48,'02c_DC_Accel_Bridge'!$C$2:$C$1057,B48,'02c_DC_Accel_Bridge'!$D$2:$D$1057,C48)/I48,0)</f>
        <v/>
      </c>
      <c r="K48" s="6">
        <f>IF(I48&gt;0,SUMIFS('02c_DC_Accel_Bridge'!$V$2:$V$1057,'02c_DC_Accel_Bridge'!$B$2:$B$1057,A48,'02c_DC_Accel_Bridge'!$C$2:$C$1057,B48,'02c_DC_Accel_Bridge'!$D$2:$D$1057,C48)/I48,0)</f>
        <v/>
      </c>
      <c r="L48" s="6">
        <f>IF(I48&gt;0,SUMIFS('02c_DC_Accel_Bridge'!$W$2:$W$1057,'02c_DC_Accel_Bridge'!$B$2:$B$1057,A48,'02c_DC_Accel_Bridge'!$C$2:$C$1057,B48,'02c_DC_Accel_Bridge'!$D$2:$D$1057,C48)/I48,0)</f>
        <v/>
      </c>
      <c r="M48" s="6">
        <f>IF(I48&gt;0,SUMIFS('02c_DC_Accel_Bridge'!$X$2:$X$1057,'02c_DC_Accel_Bridge'!$B$2:$B$1057,A48,'02c_DC_Accel_Bridge'!$C$2:$C$1057,B48,'02c_DC_Accel_Bridge'!$D$2:$D$1057,C48)/I48,0)</f>
        <v/>
      </c>
      <c r="N48" s="6">
        <f>IF(I48&gt;0,SUMIFS('02c_DC_Accel_Bridge'!$Y$2:$Y$1057,'02c_DC_Accel_Bridge'!$B$2:$B$1057,A48,'02c_DC_Accel_Bridge'!$C$2:$C$1057,B48,'02c_DC_Accel_Bridge'!$D$2:$D$1057,C48)/I48,0)</f>
        <v/>
      </c>
      <c r="O48" s="6">
        <f>IF(I48&gt;0,SUMIFS('02c_DC_Accel_Bridge'!$Z$2:$Z$1057,'02c_DC_Accel_Bridge'!$B$2:$B$1057,A48,'02c_DC_Accel_Bridge'!$C$2:$C$1057,B48,'02c_DC_Accel_Bridge'!$D$2:$D$1057,C48)/I48,0)</f>
        <v/>
      </c>
      <c r="P48" s="3" t="inlineStr">
        <is>
          <t>weighted average: sum(site inference_weight_mw * accelerator_share) / sum(site inference_weight_mw)</t>
        </is>
      </c>
      <c r="Q48" s="3" t="inlineStr">
        <is>
          <t>dc_capacity_x_dc_accelerator_mix</t>
        </is>
      </c>
      <c r="R48" s="3" t="inlineStr">
        <is>
          <t>Edit 02a capacity allocation and 02b site accelerator mix; 03_Calculation reads D:G from this sheet.</t>
        </is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>
        <f>IF(I49&gt;0,SUMIFS('02c_DC_Accel_Bridge'!$R$2:$R$1057,'02c_DC_Accel_Bridge'!$B$2:$B$1057,A49,'02c_DC_Accel_Bridge'!$C$2:$C$1057,B49,'02c_DC_Accel_Bridge'!$D$2:$D$1057,C49)/I49,0.020598)</f>
        <v/>
      </c>
      <c r="E49" s="6">
        <f>IF(I49&gt;0,SUMIFS('02c_DC_Accel_Bridge'!$S$2:$S$1057,'02c_DC_Accel_Bridge'!$B$2:$B$1057,A49,'02c_DC_Accel_Bridge'!$C$2:$C$1057,B49,'02c_DC_Accel_Bridge'!$D$2:$D$1057,C49)/I49,0.705731)</f>
        <v/>
      </c>
      <c r="F49" s="6">
        <f>IF(I49&gt;0,SUMIFS('02c_DC_Accel_Bridge'!$T$2:$T$1057,'02c_DC_Accel_Bridge'!$B$2:$B$1057,A49,'02c_DC_Accel_Bridge'!$C$2:$C$1057,B49,'02c_DC_Accel_Bridge'!$D$2:$D$1057,C49)/I49,0.0)</f>
        <v/>
      </c>
      <c r="G49" s="6">
        <f>IF(I49&gt;0,SUMIFS('02c_DC_Accel_Bridge'!$AA$2:$AA$1057,'02c_DC_Accel_Bridge'!$B$2:$B$1057,A49,'02c_DC_Accel_Bridge'!$C$2:$C$1057,B49,'02c_DC_Accel_Bridge'!$D$2:$D$1057,C49)/I49,0.273671)</f>
        <v/>
      </c>
      <c r="H49" s="6">
        <f>SUM(D49:G49)</f>
        <v/>
      </c>
      <c r="I49" s="28">
        <f>SUMIFS('02c_DC_Accel_Bridge'!$H$2:$H$1057,'02c_DC_Accel_Bridge'!$B$2:$B$1057,A49,'02c_DC_Accel_Bridge'!$C$2:$C$1057,B49,'02c_DC_Accel_Bridge'!$D$2:$D$1057,C49)</f>
        <v/>
      </c>
      <c r="J49" s="6">
        <f>IF(I49&gt;0,SUMIFS('02c_DC_Accel_Bridge'!$U$2:$U$1057,'02c_DC_Accel_Bridge'!$B$2:$B$1057,A49,'02c_DC_Accel_Bridge'!$C$2:$C$1057,B49,'02c_DC_Accel_Bridge'!$D$2:$D$1057,C49)/I49,0)</f>
        <v/>
      </c>
      <c r="K49" s="6">
        <f>IF(I49&gt;0,SUMIFS('02c_DC_Accel_Bridge'!$V$2:$V$1057,'02c_DC_Accel_Bridge'!$B$2:$B$1057,A49,'02c_DC_Accel_Bridge'!$C$2:$C$1057,B49,'02c_DC_Accel_Bridge'!$D$2:$D$1057,C49)/I49,0)</f>
        <v/>
      </c>
      <c r="L49" s="6">
        <f>IF(I49&gt;0,SUMIFS('02c_DC_Accel_Bridge'!$W$2:$W$1057,'02c_DC_Accel_Bridge'!$B$2:$B$1057,A49,'02c_DC_Accel_Bridge'!$C$2:$C$1057,B49,'02c_DC_Accel_Bridge'!$D$2:$D$1057,C49)/I49,0)</f>
        <v/>
      </c>
      <c r="M49" s="6">
        <f>IF(I49&gt;0,SUMIFS('02c_DC_Accel_Bridge'!$X$2:$X$1057,'02c_DC_Accel_Bridge'!$B$2:$B$1057,A49,'02c_DC_Accel_Bridge'!$C$2:$C$1057,B49,'02c_DC_Accel_Bridge'!$D$2:$D$1057,C49)/I49,0)</f>
        <v/>
      </c>
      <c r="N49" s="6">
        <f>IF(I49&gt;0,SUMIFS('02c_DC_Accel_Bridge'!$Y$2:$Y$1057,'02c_DC_Accel_Bridge'!$B$2:$B$1057,A49,'02c_DC_Accel_Bridge'!$C$2:$C$1057,B49,'02c_DC_Accel_Bridge'!$D$2:$D$1057,C49)/I49,0)</f>
        <v/>
      </c>
      <c r="O49" s="6">
        <f>IF(I49&gt;0,SUMIFS('02c_DC_Accel_Bridge'!$Z$2:$Z$1057,'02c_DC_Accel_Bridge'!$B$2:$B$1057,A49,'02c_DC_Accel_Bridge'!$C$2:$C$1057,B49,'02c_DC_Accel_Bridge'!$D$2:$D$1057,C49)/I49,0)</f>
        <v/>
      </c>
      <c r="P49" s="3" t="inlineStr">
        <is>
          <t>weighted average: sum(site inference_weight_mw * accelerator_share) / sum(site inference_weight_mw)</t>
        </is>
      </c>
      <c r="Q49" s="3" t="inlineStr">
        <is>
          <t>dc_capacity_x_dc_accelerator_mix</t>
        </is>
      </c>
      <c r="R49" s="3" t="inlineStr">
        <is>
          <t>Edit 02a capacity allocation and 02b site accelerator mix; 03_Calculation reads D:G from this sheet.</t>
        </is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>
        <f>IF(I50&gt;0,SUMIFS('02c_DC_Accel_Bridge'!$R$2:$R$1057,'02c_DC_Accel_Bridge'!$B$2:$B$1057,A50,'02c_DC_Accel_Bridge'!$C$2:$C$1057,B50,'02c_DC_Accel_Bridge'!$D$2:$D$1057,C50)/I50,0.020598)</f>
        <v/>
      </c>
      <c r="E50" s="6">
        <f>IF(I50&gt;0,SUMIFS('02c_DC_Accel_Bridge'!$S$2:$S$1057,'02c_DC_Accel_Bridge'!$B$2:$B$1057,A50,'02c_DC_Accel_Bridge'!$C$2:$C$1057,B50,'02c_DC_Accel_Bridge'!$D$2:$D$1057,C50)/I50,0.705731)</f>
        <v/>
      </c>
      <c r="F50" s="6">
        <f>IF(I50&gt;0,SUMIFS('02c_DC_Accel_Bridge'!$T$2:$T$1057,'02c_DC_Accel_Bridge'!$B$2:$B$1057,A50,'02c_DC_Accel_Bridge'!$C$2:$C$1057,B50,'02c_DC_Accel_Bridge'!$D$2:$D$1057,C50)/I50,0.0)</f>
        <v/>
      </c>
      <c r="G50" s="6">
        <f>IF(I50&gt;0,SUMIFS('02c_DC_Accel_Bridge'!$AA$2:$AA$1057,'02c_DC_Accel_Bridge'!$B$2:$B$1057,A50,'02c_DC_Accel_Bridge'!$C$2:$C$1057,B50,'02c_DC_Accel_Bridge'!$D$2:$D$1057,C50)/I50,0.273671)</f>
        <v/>
      </c>
      <c r="H50" s="6">
        <f>SUM(D50:G50)</f>
        <v/>
      </c>
      <c r="I50" s="28">
        <f>SUMIFS('02c_DC_Accel_Bridge'!$H$2:$H$1057,'02c_DC_Accel_Bridge'!$B$2:$B$1057,A50,'02c_DC_Accel_Bridge'!$C$2:$C$1057,B50,'02c_DC_Accel_Bridge'!$D$2:$D$1057,C50)</f>
        <v/>
      </c>
      <c r="J50" s="6">
        <f>IF(I50&gt;0,SUMIFS('02c_DC_Accel_Bridge'!$U$2:$U$1057,'02c_DC_Accel_Bridge'!$B$2:$B$1057,A50,'02c_DC_Accel_Bridge'!$C$2:$C$1057,B50,'02c_DC_Accel_Bridge'!$D$2:$D$1057,C50)/I50,0)</f>
        <v/>
      </c>
      <c r="K50" s="6">
        <f>IF(I50&gt;0,SUMIFS('02c_DC_Accel_Bridge'!$V$2:$V$1057,'02c_DC_Accel_Bridge'!$B$2:$B$1057,A50,'02c_DC_Accel_Bridge'!$C$2:$C$1057,B50,'02c_DC_Accel_Bridge'!$D$2:$D$1057,C50)/I50,0)</f>
        <v/>
      </c>
      <c r="L50" s="6">
        <f>IF(I50&gt;0,SUMIFS('02c_DC_Accel_Bridge'!$W$2:$W$1057,'02c_DC_Accel_Bridge'!$B$2:$B$1057,A50,'02c_DC_Accel_Bridge'!$C$2:$C$1057,B50,'02c_DC_Accel_Bridge'!$D$2:$D$1057,C50)/I50,0)</f>
        <v/>
      </c>
      <c r="M50" s="6">
        <f>IF(I50&gt;0,SUMIFS('02c_DC_Accel_Bridge'!$X$2:$X$1057,'02c_DC_Accel_Bridge'!$B$2:$B$1057,A50,'02c_DC_Accel_Bridge'!$C$2:$C$1057,B50,'02c_DC_Accel_Bridge'!$D$2:$D$1057,C50)/I50,0)</f>
        <v/>
      </c>
      <c r="N50" s="6">
        <f>IF(I50&gt;0,SUMIFS('02c_DC_Accel_Bridge'!$Y$2:$Y$1057,'02c_DC_Accel_Bridge'!$B$2:$B$1057,A50,'02c_DC_Accel_Bridge'!$C$2:$C$1057,B50,'02c_DC_Accel_Bridge'!$D$2:$D$1057,C50)/I50,0)</f>
        <v/>
      </c>
      <c r="O50" s="6">
        <f>IF(I50&gt;0,SUMIFS('02c_DC_Accel_Bridge'!$Z$2:$Z$1057,'02c_DC_Accel_Bridge'!$B$2:$B$1057,A50,'02c_DC_Accel_Bridge'!$C$2:$C$1057,B50,'02c_DC_Accel_Bridge'!$D$2:$D$1057,C50)/I50,0)</f>
        <v/>
      </c>
      <c r="P50" s="3" t="inlineStr">
        <is>
          <t>weighted average: sum(site inference_weight_mw * accelerator_share) / sum(site inference_weight_mw)</t>
        </is>
      </c>
      <c r="Q50" s="3" t="inlineStr">
        <is>
          <t>dc_capacity_x_dc_accelerator_mix</t>
        </is>
      </c>
      <c r="R50" s="3" t="inlineStr">
        <is>
          <t>Edit 02a capacity allocation and 02b site accelerator mix; 03_Calculation reads D:G from this sheet.</t>
        </is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>
        <f>IF(I51&gt;0,SUMIFS('02c_DC_Accel_Bridge'!$R$2:$R$1057,'02c_DC_Accel_Bridge'!$B$2:$B$1057,A51,'02c_DC_Accel_Bridge'!$C$2:$C$1057,B51,'02c_DC_Accel_Bridge'!$D$2:$D$1057,C51)/I51,0.020598)</f>
        <v/>
      </c>
      <c r="E51" s="6">
        <f>IF(I51&gt;0,SUMIFS('02c_DC_Accel_Bridge'!$S$2:$S$1057,'02c_DC_Accel_Bridge'!$B$2:$B$1057,A51,'02c_DC_Accel_Bridge'!$C$2:$C$1057,B51,'02c_DC_Accel_Bridge'!$D$2:$D$1057,C51)/I51,0.705731)</f>
        <v/>
      </c>
      <c r="F51" s="6">
        <f>IF(I51&gt;0,SUMIFS('02c_DC_Accel_Bridge'!$T$2:$T$1057,'02c_DC_Accel_Bridge'!$B$2:$B$1057,A51,'02c_DC_Accel_Bridge'!$C$2:$C$1057,B51,'02c_DC_Accel_Bridge'!$D$2:$D$1057,C51)/I51,0.0)</f>
        <v/>
      </c>
      <c r="G51" s="6">
        <f>IF(I51&gt;0,SUMIFS('02c_DC_Accel_Bridge'!$AA$2:$AA$1057,'02c_DC_Accel_Bridge'!$B$2:$B$1057,A51,'02c_DC_Accel_Bridge'!$C$2:$C$1057,B51,'02c_DC_Accel_Bridge'!$D$2:$D$1057,C51)/I51,0.273671)</f>
        <v/>
      </c>
      <c r="H51" s="6">
        <f>SUM(D51:G51)</f>
        <v/>
      </c>
      <c r="I51" s="28">
        <f>SUMIFS('02c_DC_Accel_Bridge'!$H$2:$H$1057,'02c_DC_Accel_Bridge'!$B$2:$B$1057,A51,'02c_DC_Accel_Bridge'!$C$2:$C$1057,B51,'02c_DC_Accel_Bridge'!$D$2:$D$1057,C51)</f>
        <v/>
      </c>
      <c r="J51" s="6">
        <f>IF(I51&gt;0,SUMIFS('02c_DC_Accel_Bridge'!$U$2:$U$1057,'02c_DC_Accel_Bridge'!$B$2:$B$1057,A51,'02c_DC_Accel_Bridge'!$C$2:$C$1057,B51,'02c_DC_Accel_Bridge'!$D$2:$D$1057,C51)/I51,0)</f>
        <v/>
      </c>
      <c r="K51" s="6">
        <f>IF(I51&gt;0,SUMIFS('02c_DC_Accel_Bridge'!$V$2:$V$1057,'02c_DC_Accel_Bridge'!$B$2:$B$1057,A51,'02c_DC_Accel_Bridge'!$C$2:$C$1057,B51,'02c_DC_Accel_Bridge'!$D$2:$D$1057,C51)/I51,0)</f>
        <v/>
      </c>
      <c r="L51" s="6">
        <f>IF(I51&gt;0,SUMIFS('02c_DC_Accel_Bridge'!$W$2:$W$1057,'02c_DC_Accel_Bridge'!$B$2:$B$1057,A51,'02c_DC_Accel_Bridge'!$C$2:$C$1057,B51,'02c_DC_Accel_Bridge'!$D$2:$D$1057,C51)/I51,0)</f>
        <v/>
      </c>
      <c r="M51" s="6">
        <f>IF(I51&gt;0,SUMIFS('02c_DC_Accel_Bridge'!$X$2:$X$1057,'02c_DC_Accel_Bridge'!$B$2:$B$1057,A51,'02c_DC_Accel_Bridge'!$C$2:$C$1057,B51,'02c_DC_Accel_Bridge'!$D$2:$D$1057,C51)/I51,0)</f>
        <v/>
      </c>
      <c r="N51" s="6">
        <f>IF(I51&gt;0,SUMIFS('02c_DC_Accel_Bridge'!$Y$2:$Y$1057,'02c_DC_Accel_Bridge'!$B$2:$B$1057,A51,'02c_DC_Accel_Bridge'!$C$2:$C$1057,B51,'02c_DC_Accel_Bridge'!$D$2:$D$1057,C51)/I51,0)</f>
        <v/>
      </c>
      <c r="O51" s="6">
        <f>IF(I51&gt;0,SUMIFS('02c_DC_Accel_Bridge'!$Z$2:$Z$1057,'02c_DC_Accel_Bridge'!$B$2:$B$1057,A51,'02c_DC_Accel_Bridge'!$C$2:$C$1057,B51,'02c_DC_Accel_Bridge'!$D$2:$D$1057,C51)/I51,0)</f>
        <v/>
      </c>
      <c r="P51" s="3" t="inlineStr">
        <is>
          <t>weighted average: sum(site inference_weight_mw * accelerator_share) / sum(site inference_weight_mw)</t>
        </is>
      </c>
      <c r="Q51" s="3" t="inlineStr">
        <is>
          <t>dc_capacity_x_dc_accelerator_mix</t>
        </is>
      </c>
      <c r="R51" s="3" t="inlineStr">
        <is>
          <t>Edit 02a capacity allocation and 02b site accelerator mix; 03_Calculation reads D:G from this sheet.</t>
        </is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>
        <f>IF(I52&gt;0,SUMIFS('02c_DC_Accel_Bridge'!$R$2:$R$1057,'02c_DC_Accel_Bridge'!$B$2:$B$1057,A52,'02c_DC_Accel_Bridge'!$C$2:$C$1057,B52,'02c_DC_Accel_Bridge'!$D$2:$D$1057,C52)/I52,0.0)</f>
        <v/>
      </c>
      <c r="E52" s="6">
        <f>IF(I52&gt;0,SUMIFS('02c_DC_Accel_Bridge'!$S$2:$S$1057,'02c_DC_Accel_Bridge'!$B$2:$B$1057,A52,'02c_DC_Accel_Bridge'!$C$2:$C$1057,B52,'02c_DC_Accel_Bridge'!$D$2:$D$1057,C52)/I52,0.0)</f>
        <v/>
      </c>
      <c r="F52" s="6">
        <f>IF(I52&gt;0,SUMIFS('02c_DC_Accel_Bridge'!$T$2:$T$1057,'02c_DC_Accel_Bridge'!$B$2:$B$1057,A52,'02c_DC_Accel_Bridge'!$C$2:$C$1057,B52,'02c_DC_Accel_Bridge'!$D$2:$D$1057,C52)/I52,0.0)</f>
        <v/>
      </c>
      <c r="G52" s="6">
        <f>IF(I52&gt;0,SUMIFS('02c_DC_Accel_Bridge'!$AA$2:$AA$1057,'02c_DC_Accel_Bridge'!$B$2:$B$1057,A52,'02c_DC_Accel_Bridge'!$C$2:$C$1057,B52,'02c_DC_Accel_Bridge'!$D$2:$D$1057,C52)/I52,1.0)</f>
        <v/>
      </c>
      <c r="H52" s="6">
        <f>SUM(D52:G52)</f>
        <v/>
      </c>
      <c r="I52" s="28">
        <f>SUMIFS('02c_DC_Accel_Bridge'!$H$2:$H$1057,'02c_DC_Accel_Bridge'!$B$2:$B$1057,A52,'02c_DC_Accel_Bridge'!$C$2:$C$1057,B52,'02c_DC_Accel_Bridge'!$D$2:$D$1057,C52)</f>
        <v/>
      </c>
      <c r="J52" s="6">
        <f>IF(I52&gt;0,SUMIFS('02c_DC_Accel_Bridge'!$U$2:$U$1057,'02c_DC_Accel_Bridge'!$B$2:$B$1057,A52,'02c_DC_Accel_Bridge'!$C$2:$C$1057,B52,'02c_DC_Accel_Bridge'!$D$2:$D$1057,C52)/I52,0)</f>
        <v/>
      </c>
      <c r="K52" s="6">
        <f>IF(I52&gt;0,SUMIFS('02c_DC_Accel_Bridge'!$V$2:$V$1057,'02c_DC_Accel_Bridge'!$B$2:$B$1057,A52,'02c_DC_Accel_Bridge'!$C$2:$C$1057,B52,'02c_DC_Accel_Bridge'!$D$2:$D$1057,C52)/I52,0)</f>
        <v/>
      </c>
      <c r="L52" s="6">
        <f>IF(I52&gt;0,SUMIFS('02c_DC_Accel_Bridge'!$W$2:$W$1057,'02c_DC_Accel_Bridge'!$B$2:$B$1057,A52,'02c_DC_Accel_Bridge'!$C$2:$C$1057,B52,'02c_DC_Accel_Bridge'!$D$2:$D$1057,C52)/I52,0)</f>
        <v/>
      </c>
      <c r="M52" s="6">
        <f>IF(I52&gt;0,SUMIFS('02c_DC_Accel_Bridge'!$X$2:$X$1057,'02c_DC_Accel_Bridge'!$B$2:$B$1057,A52,'02c_DC_Accel_Bridge'!$C$2:$C$1057,B52,'02c_DC_Accel_Bridge'!$D$2:$D$1057,C52)/I52,0)</f>
        <v/>
      </c>
      <c r="N52" s="6">
        <f>IF(I52&gt;0,SUMIFS('02c_DC_Accel_Bridge'!$Y$2:$Y$1057,'02c_DC_Accel_Bridge'!$B$2:$B$1057,A52,'02c_DC_Accel_Bridge'!$C$2:$C$1057,B52,'02c_DC_Accel_Bridge'!$D$2:$D$1057,C52)/I52,0)</f>
        <v/>
      </c>
      <c r="O52" s="6">
        <f>IF(I52&gt;0,SUMIFS('02c_DC_Accel_Bridge'!$Z$2:$Z$1057,'02c_DC_Accel_Bridge'!$B$2:$B$1057,A52,'02c_DC_Accel_Bridge'!$C$2:$C$1057,B52,'02c_DC_Accel_Bridge'!$D$2:$D$1057,C52)/I52,0)</f>
        <v/>
      </c>
      <c r="P52" s="3" t="inlineStr">
        <is>
          <t>weighted average: sum(site inference_weight_mw * accelerator_share) / sum(site inference_weight_mw)</t>
        </is>
      </c>
      <c r="Q52" s="3" t="inlineStr">
        <is>
          <t>dc_capacity_x_dc_accelerator_mix</t>
        </is>
      </c>
      <c r="R52" s="3" t="inlineStr">
        <is>
          <t>Edit 02a capacity allocation and 02b site accelerator mix; 03_Calculation reads D:G from this sheet.</t>
        </is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>
        <f>IF(I53&gt;0,SUMIFS('02c_DC_Accel_Bridge'!$R$2:$R$1057,'02c_DC_Accel_Bridge'!$B$2:$B$1057,A53,'02c_DC_Accel_Bridge'!$C$2:$C$1057,B53,'02c_DC_Accel_Bridge'!$D$2:$D$1057,C53)/I53,0.005625)</f>
        <v/>
      </c>
      <c r="E53" s="6">
        <f>IF(I53&gt;0,SUMIFS('02c_DC_Accel_Bridge'!$S$2:$S$1057,'02c_DC_Accel_Bridge'!$B$2:$B$1057,A53,'02c_DC_Accel_Bridge'!$C$2:$C$1057,B53,'02c_DC_Accel_Bridge'!$D$2:$D$1057,C53)/I53,0.098131)</f>
        <v/>
      </c>
      <c r="F53" s="6">
        <f>IF(I53&gt;0,SUMIFS('02c_DC_Accel_Bridge'!$T$2:$T$1057,'02c_DC_Accel_Bridge'!$B$2:$B$1057,A53,'02c_DC_Accel_Bridge'!$C$2:$C$1057,B53,'02c_DC_Accel_Bridge'!$D$2:$D$1057,C53)/I53,0.002191)</f>
        <v/>
      </c>
      <c r="G53" s="6">
        <f>IF(I53&gt;0,SUMIFS('02c_DC_Accel_Bridge'!$AA$2:$AA$1057,'02c_DC_Accel_Bridge'!$B$2:$B$1057,A53,'02c_DC_Accel_Bridge'!$C$2:$C$1057,B53,'02c_DC_Accel_Bridge'!$D$2:$D$1057,C53)/I53,0.894053)</f>
        <v/>
      </c>
      <c r="H53" s="6">
        <f>SUM(D53:G53)</f>
        <v/>
      </c>
      <c r="I53" s="28">
        <f>SUMIFS('02c_DC_Accel_Bridge'!$H$2:$H$1057,'02c_DC_Accel_Bridge'!$B$2:$B$1057,A53,'02c_DC_Accel_Bridge'!$C$2:$C$1057,B53,'02c_DC_Accel_Bridge'!$D$2:$D$1057,C53)</f>
        <v/>
      </c>
      <c r="J53" s="6">
        <f>IF(I53&gt;0,SUMIFS('02c_DC_Accel_Bridge'!$U$2:$U$1057,'02c_DC_Accel_Bridge'!$B$2:$B$1057,A53,'02c_DC_Accel_Bridge'!$C$2:$C$1057,B53,'02c_DC_Accel_Bridge'!$D$2:$D$1057,C53)/I53,0)</f>
        <v/>
      </c>
      <c r="K53" s="6">
        <f>IF(I53&gt;0,SUMIFS('02c_DC_Accel_Bridge'!$V$2:$V$1057,'02c_DC_Accel_Bridge'!$B$2:$B$1057,A53,'02c_DC_Accel_Bridge'!$C$2:$C$1057,B53,'02c_DC_Accel_Bridge'!$D$2:$D$1057,C53)/I53,0)</f>
        <v/>
      </c>
      <c r="L53" s="6">
        <f>IF(I53&gt;0,SUMIFS('02c_DC_Accel_Bridge'!$W$2:$W$1057,'02c_DC_Accel_Bridge'!$B$2:$B$1057,A53,'02c_DC_Accel_Bridge'!$C$2:$C$1057,B53,'02c_DC_Accel_Bridge'!$D$2:$D$1057,C53)/I53,0)</f>
        <v/>
      </c>
      <c r="M53" s="6">
        <f>IF(I53&gt;0,SUMIFS('02c_DC_Accel_Bridge'!$X$2:$X$1057,'02c_DC_Accel_Bridge'!$B$2:$B$1057,A53,'02c_DC_Accel_Bridge'!$C$2:$C$1057,B53,'02c_DC_Accel_Bridge'!$D$2:$D$1057,C53)/I53,0)</f>
        <v/>
      </c>
      <c r="N53" s="6">
        <f>IF(I53&gt;0,SUMIFS('02c_DC_Accel_Bridge'!$Y$2:$Y$1057,'02c_DC_Accel_Bridge'!$B$2:$B$1057,A53,'02c_DC_Accel_Bridge'!$C$2:$C$1057,B53,'02c_DC_Accel_Bridge'!$D$2:$D$1057,C53)/I53,0)</f>
        <v/>
      </c>
      <c r="O53" s="6">
        <f>IF(I53&gt;0,SUMIFS('02c_DC_Accel_Bridge'!$Z$2:$Z$1057,'02c_DC_Accel_Bridge'!$B$2:$B$1057,A53,'02c_DC_Accel_Bridge'!$C$2:$C$1057,B53,'02c_DC_Accel_Bridge'!$D$2:$D$1057,C53)/I53,0)</f>
        <v/>
      </c>
      <c r="P53" s="3" t="inlineStr">
        <is>
          <t>weighted average: sum(site inference_weight_mw * accelerator_share) / sum(site inference_weight_mw)</t>
        </is>
      </c>
      <c r="Q53" s="3" t="inlineStr">
        <is>
          <t>dc_capacity_x_dc_accelerator_mix</t>
        </is>
      </c>
      <c r="R53" s="3" t="inlineStr">
        <is>
          <t>Edit 02a capacity allocation and 02b site accelerator mix; 03_Calculation reads D:G from this sheet.</t>
        </is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>
        <f>IF(I54&gt;0,SUMIFS('02c_DC_Accel_Bridge'!$R$2:$R$1057,'02c_DC_Accel_Bridge'!$B$2:$B$1057,A54,'02c_DC_Accel_Bridge'!$C$2:$C$1057,B54,'02c_DC_Accel_Bridge'!$D$2:$D$1057,C54)/I54,0.011989)</f>
        <v/>
      </c>
      <c r="E54" s="6">
        <f>IF(I54&gt;0,SUMIFS('02c_DC_Accel_Bridge'!$S$2:$S$1057,'02c_DC_Accel_Bridge'!$B$2:$B$1057,A54,'02c_DC_Accel_Bridge'!$C$2:$C$1057,B54,'02c_DC_Accel_Bridge'!$D$2:$D$1057,C54)/I54,0.086159)</f>
        <v/>
      </c>
      <c r="F54" s="6">
        <f>IF(I54&gt;0,SUMIFS('02c_DC_Accel_Bridge'!$T$2:$T$1057,'02c_DC_Accel_Bridge'!$B$2:$B$1057,A54,'02c_DC_Accel_Bridge'!$C$2:$C$1057,B54,'02c_DC_Accel_Bridge'!$D$2:$D$1057,C54)/I54,0.01101)</f>
        <v/>
      </c>
      <c r="G54" s="6">
        <f>IF(I54&gt;0,SUMIFS('02c_DC_Accel_Bridge'!$AA$2:$AA$1057,'02c_DC_Accel_Bridge'!$B$2:$B$1057,A54,'02c_DC_Accel_Bridge'!$C$2:$C$1057,B54,'02c_DC_Accel_Bridge'!$D$2:$D$1057,C54)/I54,0.890842)</f>
        <v/>
      </c>
      <c r="H54" s="6">
        <f>SUM(D54:G54)</f>
        <v/>
      </c>
      <c r="I54" s="28">
        <f>SUMIFS('02c_DC_Accel_Bridge'!$H$2:$H$1057,'02c_DC_Accel_Bridge'!$B$2:$B$1057,A54,'02c_DC_Accel_Bridge'!$C$2:$C$1057,B54,'02c_DC_Accel_Bridge'!$D$2:$D$1057,C54)</f>
        <v/>
      </c>
      <c r="J54" s="6">
        <f>IF(I54&gt;0,SUMIFS('02c_DC_Accel_Bridge'!$U$2:$U$1057,'02c_DC_Accel_Bridge'!$B$2:$B$1057,A54,'02c_DC_Accel_Bridge'!$C$2:$C$1057,B54,'02c_DC_Accel_Bridge'!$D$2:$D$1057,C54)/I54,0)</f>
        <v/>
      </c>
      <c r="K54" s="6">
        <f>IF(I54&gt;0,SUMIFS('02c_DC_Accel_Bridge'!$V$2:$V$1057,'02c_DC_Accel_Bridge'!$B$2:$B$1057,A54,'02c_DC_Accel_Bridge'!$C$2:$C$1057,B54,'02c_DC_Accel_Bridge'!$D$2:$D$1057,C54)/I54,0)</f>
        <v/>
      </c>
      <c r="L54" s="6">
        <f>IF(I54&gt;0,SUMIFS('02c_DC_Accel_Bridge'!$W$2:$W$1057,'02c_DC_Accel_Bridge'!$B$2:$B$1057,A54,'02c_DC_Accel_Bridge'!$C$2:$C$1057,B54,'02c_DC_Accel_Bridge'!$D$2:$D$1057,C54)/I54,0)</f>
        <v/>
      </c>
      <c r="M54" s="6">
        <f>IF(I54&gt;0,SUMIFS('02c_DC_Accel_Bridge'!$X$2:$X$1057,'02c_DC_Accel_Bridge'!$B$2:$B$1057,A54,'02c_DC_Accel_Bridge'!$C$2:$C$1057,B54,'02c_DC_Accel_Bridge'!$D$2:$D$1057,C54)/I54,0)</f>
        <v/>
      </c>
      <c r="N54" s="6">
        <f>IF(I54&gt;0,SUMIFS('02c_DC_Accel_Bridge'!$Y$2:$Y$1057,'02c_DC_Accel_Bridge'!$B$2:$B$1057,A54,'02c_DC_Accel_Bridge'!$C$2:$C$1057,B54,'02c_DC_Accel_Bridge'!$D$2:$D$1057,C54)/I54,0)</f>
        <v/>
      </c>
      <c r="O54" s="6">
        <f>IF(I54&gt;0,SUMIFS('02c_DC_Accel_Bridge'!$Z$2:$Z$1057,'02c_DC_Accel_Bridge'!$B$2:$B$1057,A54,'02c_DC_Accel_Bridge'!$C$2:$C$1057,B54,'02c_DC_Accel_Bridge'!$D$2:$D$1057,C54)/I54,0)</f>
        <v/>
      </c>
      <c r="P54" s="3" t="inlineStr">
        <is>
          <t>weighted average: sum(site inference_weight_mw * accelerator_share) / sum(site inference_weight_mw)</t>
        </is>
      </c>
      <c r="Q54" s="3" t="inlineStr">
        <is>
          <t>dc_capacity_x_dc_accelerator_mix</t>
        </is>
      </c>
      <c r="R54" s="3" t="inlineStr">
        <is>
          <t>Edit 02a capacity allocation and 02b site accelerator mix; 03_Calculation reads D:G from this sheet.</t>
        </is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>
        <f>IF(I55&gt;0,SUMIFS('02c_DC_Accel_Bridge'!$R$2:$R$1057,'02c_DC_Accel_Bridge'!$B$2:$B$1057,A55,'02c_DC_Accel_Bridge'!$C$2:$C$1057,B55,'02c_DC_Accel_Bridge'!$D$2:$D$1057,C55)/I55,0.006606)</f>
        <v/>
      </c>
      <c r="E55" s="6">
        <f>IF(I55&gt;0,SUMIFS('02c_DC_Accel_Bridge'!$S$2:$S$1057,'02c_DC_Accel_Bridge'!$B$2:$B$1057,A55,'02c_DC_Accel_Bridge'!$C$2:$C$1057,B55,'02c_DC_Accel_Bridge'!$D$2:$D$1057,C55)/I55,0.083468)</f>
        <v/>
      </c>
      <c r="F55" s="6">
        <f>IF(I55&gt;0,SUMIFS('02c_DC_Accel_Bridge'!$T$2:$T$1057,'02c_DC_Accel_Bridge'!$B$2:$B$1057,A55,'02c_DC_Accel_Bridge'!$C$2:$C$1057,B55,'02c_DC_Accel_Bridge'!$D$2:$D$1057,C55)/I55,0.012967)</f>
        <v/>
      </c>
      <c r="G55" s="6">
        <f>IF(I55&gt;0,SUMIFS('02c_DC_Accel_Bridge'!$AA$2:$AA$1057,'02c_DC_Accel_Bridge'!$B$2:$B$1057,A55,'02c_DC_Accel_Bridge'!$C$2:$C$1057,B55,'02c_DC_Accel_Bridge'!$D$2:$D$1057,C55)/I55,0.896959)</f>
        <v/>
      </c>
      <c r="H55" s="6">
        <f>SUM(D55:G55)</f>
        <v/>
      </c>
      <c r="I55" s="28">
        <f>SUMIFS('02c_DC_Accel_Bridge'!$H$2:$H$1057,'02c_DC_Accel_Bridge'!$B$2:$B$1057,A55,'02c_DC_Accel_Bridge'!$C$2:$C$1057,B55,'02c_DC_Accel_Bridge'!$D$2:$D$1057,C55)</f>
        <v/>
      </c>
      <c r="J55" s="6">
        <f>IF(I55&gt;0,SUMIFS('02c_DC_Accel_Bridge'!$U$2:$U$1057,'02c_DC_Accel_Bridge'!$B$2:$B$1057,A55,'02c_DC_Accel_Bridge'!$C$2:$C$1057,B55,'02c_DC_Accel_Bridge'!$D$2:$D$1057,C55)/I55,0)</f>
        <v/>
      </c>
      <c r="K55" s="6">
        <f>IF(I55&gt;0,SUMIFS('02c_DC_Accel_Bridge'!$V$2:$V$1057,'02c_DC_Accel_Bridge'!$B$2:$B$1057,A55,'02c_DC_Accel_Bridge'!$C$2:$C$1057,B55,'02c_DC_Accel_Bridge'!$D$2:$D$1057,C55)/I55,0)</f>
        <v/>
      </c>
      <c r="L55" s="6">
        <f>IF(I55&gt;0,SUMIFS('02c_DC_Accel_Bridge'!$W$2:$W$1057,'02c_DC_Accel_Bridge'!$B$2:$B$1057,A55,'02c_DC_Accel_Bridge'!$C$2:$C$1057,B55,'02c_DC_Accel_Bridge'!$D$2:$D$1057,C55)/I55,0)</f>
        <v/>
      </c>
      <c r="M55" s="6">
        <f>IF(I55&gt;0,SUMIFS('02c_DC_Accel_Bridge'!$X$2:$X$1057,'02c_DC_Accel_Bridge'!$B$2:$B$1057,A55,'02c_DC_Accel_Bridge'!$C$2:$C$1057,B55,'02c_DC_Accel_Bridge'!$D$2:$D$1057,C55)/I55,0)</f>
        <v/>
      </c>
      <c r="N55" s="6">
        <f>IF(I55&gt;0,SUMIFS('02c_DC_Accel_Bridge'!$Y$2:$Y$1057,'02c_DC_Accel_Bridge'!$B$2:$B$1057,A55,'02c_DC_Accel_Bridge'!$C$2:$C$1057,B55,'02c_DC_Accel_Bridge'!$D$2:$D$1057,C55)/I55,0)</f>
        <v/>
      </c>
      <c r="O55" s="6">
        <f>IF(I55&gt;0,SUMIFS('02c_DC_Accel_Bridge'!$Z$2:$Z$1057,'02c_DC_Accel_Bridge'!$B$2:$B$1057,A55,'02c_DC_Accel_Bridge'!$C$2:$C$1057,B55,'02c_DC_Accel_Bridge'!$D$2:$D$1057,C55)/I55,0)</f>
        <v/>
      </c>
      <c r="P55" s="3" t="inlineStr">
        <is>
          <t>weighted average: sum(site inference_weight_mw * accelerator_share) / sum(site inference_weight_mw)</t>
        </is>
      </c>
      <c r="Q55" s="3" t="inlineStr">
        <is>
          <t>dc_capacity_x_dc_accelerator_mix</t>
        </is>
      </c>
      <c r="R55" s="3" t="inlineStr">
        <is>
          <t>Edit 02a capacity allocation and 02b site accelerator mix; 03_Calculation reads D:G from this sheet.</t>
        </is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>
        <f>IF(I56&gt;0,SUMIFS('02c_DC_Accel_Bridge'!$R$2:$R$1057,'02c_DC_Accel_Bridge'!$B$2:$B$1057,A56,'02c_DC_Accel_Bridge'!$C$2:$C$1057,B56,'02c_DC_Accel_Bridge'!$D$2:$D$1057,C56)/I56,0.002447)</f>
        <v/>
      </c>
      <c r="E56" s="6">
        <f>IF(I56&gt;0,SUMIFS('02c_DC_Accel_Bridge'!$S$2:$S$1057,'02c_DC_Accel_Bridge'!$B$2:$B$1057,A56,'02c_DC_Accel_Bridge'!$C$2:$C$1057,B56,'02c_DC_Accel_Bridge'!$D$2:$D$1057,C56)/I56,0.081021)</f>
        <v/>
      </c>
      <c r="F56" s="6">
        <f>IF(I56&gt;0,SUMIFS('02c_DC_Accel_Bridge'!$T$2:$T$1057,'02c_DC_Accel_Bridge'!$B$2:$B$1057,A56,'02c_DC_Accel_Bridge'!$C$2:$C$1057,B56,'02c_DC_Accel_Bridge'!$D$2:$D$1057,C56)/I56,0.013457)</f>
        <v/>
      </c>
      <c r="G56" s="6">
        <f>IF(I56&gt;0,SUMIFS('02c_DC_Accel_Bridge'!$AA$2:$AA$1057,'02c_DC_Accel_Bridge'!$B$2:$B$1057,A56,'02c_DC_Accel_Bridge'!$C$2:$C$1057,B56,'02c_DC_Accel_Bridge'!$D$2:$D$1057,C56)/I56,0.903075)</f>
        <v/>
      </c>
      <c r="H56" s="6">
        <f>SUM(D56:G56)</f>
        <v/>
      </c>
      <c r="I56" s="28">
        <f>SUMIFS('02c_DC_Accel_Bridge'!$H$2:$H$1057,'02c_DC_Accel_Bridge'!$B$2:$B$1057,A56,'02c_DC_Accel_Bridge'!$C$2:$C$1057,B56,'02c_DC_Accel_Bridge'!$D$2:$D$1057,C56)</f>
        <v/>
      </c>
      <c r="J56" s="6">
        <f>IF(I56&gt;0,SUMIFS('02c_DC_Accel_Bridge'!$U$2:$U$1057,'02c_DC_Accel_Bridge'!$B$2:$B$1057,A56,'02c_DC_Accel_Bridge'!$C$2:$C$1057,B56,'02c_DC_Accel_Bridge'!$D$2:$D$1057,C56)/I56,0)</f>
        <v/>
      </c>
      <c r="K56" s="6">
        <f>IF(I56&gt;0,SUMIFS('02c_DC_Accel_Bridge'!$V$2:$V$1057,'02c_DC_Accel_Bridge'!$B$2:$B$1057,A56,'02c_DC_Accel_Bridge'!$C$2:$C$1057,B56,'02c_DC_Accel_Bridge'!$D$2:$D$1057,C56)/I56,0)</f>
        <v/>
      </c>
      <c r="L56" s="6">
        <f>IF(I56&gt;0,SUMIFS('02c_DC_Accel_Bridge'!$W$2:$W$1057,'02c_DC_Accel_Bridge'!$B$2:$B$1057,A56,'02c_DC_Accel_Bridge'!$C$2:$C$1057,B56,'02c_DC_Accel_Bridge'!$D$2:$D$1057,C56)/I56,0)</f>
        <v/>
      </c>
      <c r="M56" s="6">
        <f>IF(I56&gt;0,SUMIFS('02c_DC_Accel_Bridge'!$X$2:$X$1057,'02c_DC_Accel_Bridge'!$B$2:$B$1057,A56,'02c_DC_Accel_Bridge'!$C$2:$C$1057,B56,'02c_DC_Accel_Bridge'!$D$2:$D$1057,C56)/I56,0)</f>
        <v/>
      </c>
      <c r="N56" s="6">
        <f>IF(I56&gt;0,SUMIFS('02c_DC_Accel_Bridge'!$Y$2:$Y$1057,'02c_DC_Accel_Bridge'!$B$2:$B$1057,A56,'02c_DC_Accel_Bridge'!$C$2:$C$1057,B56,'02c_DC_Accel_Bridge'!$D$2:$D$1057,C56)/I56,0)</f>
        <v/>
      </c>
      <c r="O56" s="6">
        <f>IF(I56&gt;0,SUMIFS('02c_DC_Accel_Bridge'!$Z$2:$Z$1057,'02c_DC_Accel_Bridge'!$B$2:$B$1057,A56,'02c_DC_Accel_Bridge'!$C$2:$C$1057,B56,'02c_DC_Accel_Bridge'!$D$2:$D$1057,C56)/I56,0)</f>
        <v/>
      </c>
      <c r="P56" s="3" t="inlineStr">
        <is>
          <t>weighted average: sum(site inference_weight_mw * accelerator_share) / sum(site inference_weight_mw)</t>
        </is>
      </c>
      <c r="Q56" s="3" t="inlineStr">
        <is>
          <t>dc_capacity_x_dc_accelerator_mix</t>
        </is>
      </c>
      <c r="R56" s="3" t="inlineStr">
        <is>
          <t>Edit 02a capacity allocation and 02b site accelerator mix; 03_Calculation reads D:G from this sheet.</t>
        </is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>
        <f>IF(I57&gt;0,SUMIFS('02c_DC_Accel_Bridge'!$R$2:$R$1057,'02c_DC_Accel_Bridge'!$B$2:$B$1057,A57,'02c_DC_Accel_Bridge'!$C$2:$C$1057,B57,'02c_DC_Accel_Bridge'!$D$2:$D$1057,C57)/I57,0.0)</f>
        <v/>
      </c>
      <c r="E57" s="6">
        <f>IF(I57&gt;0,SUMIFS('02c_DC_Accel_Bridge'!$S$2:$S$1057,'02c_DC_Accel_Bridge'!$B$2:$B$1057,A57,'02c_DC_Accel_Bridge'!$C$2:$C$1057,B57,'02c_DC_Accel_Bridge'!$D$2:$D$1057,C57)/I57,1.0)</f>
        <v/>
      </c>
      <c r="F57" s="6">
        <f>IF(I57&gt;0,SUMIFS('02c_DC_Accel_Bridge'!$T$2:$T$1057,'02c_DC_Accel_Bridge'!$B$2:$B$1057,A57,'02c_DC_Accel_Bridge'!$C$2:$C$1057,B57,'02c_DC_Accel_Bridge'!$D$2:$D$1057,C57)/I57,0.0)</f>
        <v/>
      </c>
      <c r="G57" s="6">
        <f>IF(I57&gt;0,SUMIFS('02c_DC_Accel_Bridge'!$AA$2:$AA$1057,'02c_DC_Accel_Bridge'!$B$2:$B$1057,A57,'02c_DC_Accel_Bridge'!$C$2:$C$1057,B57,'02c_DC_Accel_Bridge'!$D$2:$D$1057,C57)/I57,0.0)</f>
        <v/>
      </c>
      <c r="H57" s="6">
        <f>SUM(D57:G57)</f>
        <v/>
      </c>
      <c r="I57" s="28">
        <f>SUMIFS('02c_DC_Accel_Bridge'!$H$2:$H$1057,'02c_DC_Accel_Bridge'!$B$2:$B$1057,A57,'02c_DC_Accel_Bridge'!$C$2:$C$1057,B57,'02c_DC_Accel_Bridge'!$D$2:$D$1057,C57)</f>
        <v/>
      </c>
      <c r="J57" s="6">
        <f>IF(I57&gt;0,SUMIFS('02c_DC_Accel_Bridge'!$U$2:$U$1057,'02c_DC_Accel_Bridge'!$B$2:$B$1057,A57,'02c_DC_Accel_Bridge'!$C$2:$C$1057,B57,'02c_DC_Accel_Bridge'!$D$2:$D$1057,C57)/I57,0)</f>
        <v/>
      </c>
      <c r="K57" s="6">
        <f>IF(I57&gt;0,SUMIFS('02c_DC_Accel_Bridge'!$V$2:$V$1057,'02c_DC_Accel_Bridge'!$B$2:$B$1057,A57,'02c_DC_Accel_Bridge'!$C$2:$C$1057,B57,'02c_DC_Accel_Bridge'!$D$2:$D$1057,C57)/I57,0)</f>
        <v/>
      </c>
      <c r="L57" s="6">
        <f>IF(I57&gt;0,SUMIFS('02c_DC_Accel_Bridge'!$W$2:$W$1057,'02c_DC_Accel_Bridge'!$B$2:$B$1057,A57,'02c_DC_Accel_Bridge'!$C$2:$C$1057,B57,'02c_DC_Accel_Bridge'!$D$2:$D$1057,C57)/I57,0)</f>
        <v/>
      </c>
      <c r="M57" s="6">
        <f>IF(I57&gt;0,SUMIFS('02c_DC_Accel_Bridge'!$X$2:$X$1057,'02c_DC_Accel_Bridge'!$B$2:$B$1057,A57,'02c_DC_Accel_Bridge'!$C$2:$C$1057,B57,'02c_DC_Accel_Bridge'!$D$2:$D$1057,C57)/I57,0)</f>
        <v/>
      </c>
      <c r="N57" s="6">
        <f>IF(I57&gt;0,SUMIFS('02c_DC_Accel_Bridge'!$Y$2:$Y$1057,'02c_DC_Accel_Bridge'!$B$2:$B$1057,A57,'02c_DC_Accel_Bridge'!$C$2:$C$1057,B57,'02c_DC_Accel_Bridge'!$D$2:$D$1057,C57)/I57,0)</f>
        <v/>
      </c>
      <c r="O57" s="6">
        <f>IF(I57&gt;0,SUMIFS('02c_DC_Accel_Bridge'!$Z$2:$Z$1057,'02c_DC_Accel_Bridge'!$B$2:$B$1057,A57,'02c_DC_Accel_Bridge'!$C$2:$C$1057,B57,'02c_DC_Accel_Bridge'!$D$2:$D$1057,C57)/I57,0)</f>
        <v/>
      </c>
      <c r="P57" s="3" t="inlineStr">
        <is>
          <t>weighted average: sum(site inference_weight_mw * accelerator_share) / sum(site inference_weight_mw)</t>
        </is>
      </c>
      <c r="Q57" s="3" t="inlineStr">
        <is>
          <t>dc_capacity_x_dc_accelerator_mix</t>
        </is>
      </c>
      <c r="R57" s="3" t="inlineStr">
        <is>
          <t>Edit 02a capacity allocation and 02b site accelerator mix; 03_Calculation reads D:G from this sheet.</t>
        </is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>
        <f>IF(I58&gt;0,SUMIFS('02c_DC_Accel_Bridge'!$R$2:$R$1057,'02c_DC_Accel_Bridge'!$B$2:$B$1057,A58,'02c_DC_Accel_Bridge'!$C$2:$C$1057,B58,'02c_DC_Accel_Bridge'!$D$2:$D$1057,C58)/I58,0.0)</f>
        <v/>
      </c>
      <c r="E58" s="6">
        <f>IF(I58&gt;0,SUMIFS('02c_DC_Accel_Bridge'!$S$2:$S$1057,'02c_DC_Accel_Bridge'!$B$2:$B$1057,A58,'02c_DC_Accel_Bridge'!$C$2:$C$1057,B58,'02c_DC_Accel_Bridge'!$D$2:$D$1057,C58)/I58,1.0)</f>
        <v/>
      </c>
      <c r="F58" s="6">
        <f>IF(I58&gt;0,SUMIFS('02c_DC_Accel_Bridge'!$T$2:$T$1057,'02c_DC_Accel_Bridge'!$B$2:$B$1057,A58,'02c_DC_Accel_Bridge'!$C$2:$C$1057,B58,'02c_DC_Accel_Bridge'!$D$2:$D$1057,C58)/I58,0.0)</f>
        <v/>
      </c>
      <c r="G58" s="6">
        <f>IF(I58&gt;0,SUMIFS('02c_DC_Accel_Bridge'!$AA$2:$AA$1057,'02c_DC_Accel_Bridge'!$B$2:$B$1057,A58,'02c_DC_Accel_Bridge'!$C$2:$C$1057,B58,'02c_DC_Accel_Bridge'!$D$2:$D$1057,C58)/I58,0.0)</f>
        <v/>
      </c>
      <c r="H58" s="6">
        <f>SUM(D58:G58)</f>
        <v/>
      </c>
      <c r="I58" s="28">
        <f>SUMIFS('02c_DC_Accel_Bridge'!$H$2:$H$1057,'02c_DC_Accel_Bridge'!$B$2:$B$1057,A58,'02c_DC_Accel_Bridge'!$C$2:$C$1057,B58,'02c_DC_Accel_Bridge'!$D$2:$D$1057,C58)</f>
        <v/>
      </c>
      <c r="J58" s="6">
        <f>IF(I58&gt;0,SUMIFS('02c_DC_Accel_Bridge'!$U$2:$U$1057,'02c_DC_Accel_Bridge'!$B$2:$B$1057,A58,'02c_DC_Accel_Bridge'!$C$2:$C$1057,B58,'02c_DC_Accel_Bridge'!$D$2:$D$1057,C58)/I58,0)</f>
        <v/>
      </c>
      <c r="K58" s="6">
        <f>IF(I58&gt;0,SUMIFS('02c_DC_Accel_Bridge'!$V$2:$V$1057,'02c_DC_Accel_Bridge'!$B$2:$B$1057,A58,'02c_DC_Accel_Bridge'!$C$2:$C$1057,B58,'02c_DC_Accel_Bridge'!$D$2:$D$1057,C58)/I58,0)</f>
        <v/>
      </c>
      <c r="L58" s="6">
        <f>IF(I58&gt;0,SUMIFS('02c_DC_Accel_Bridge'!$W$2:$W$1057,'02c_DC_Accel_Bridge'!$B$2:$B$1057,A58,'02c_DC_Accel_Bridge'!$C$2:$C$1057,B58,'02c_DC_Accel_Bridge'!$D$2:$D$1057,C58)/I58,0)</f>
        <v/>
      </c>
      <c r="M58" s="6">
        <f>IF(I58&gt;0,SUMIFS('02c_DC_Accel_Bridge'!$X$2:$X$1057,'02c_DC_Accel_Bridge'!$B$2:$B$1057,A58,'02c_DC_Accel_Bridge'!$C$2:$C$1057,B58,'02c_DC_Accel_Bridge'!$D$2:$D$1057,C58)/I58,0)</f>
        <v/>
      </c>
      <c r="N58" s="6">
        <f>IF(I58&gt;0,SUMIFS('02c_DC_Accel_Bridge'!$Y$2:$Y$1057,'02c_DC_Accel_Bridge'!$B$2:$B$1057,A58,'02c_DC_Accel_Bridge'!$C$2:$C$1057,B58,'02c_DC_Accel_Bridge'!$D$2:$D$1057,C58)/I58,0)</f>
        <v/>
      </c>
      <c r="O58" s="6">
        <f>IF(I58&gt;0,SUMIFS('02c_DC_Accel_Bridge'!$Z$2:$Z$1057,'02c_DC_Accel_Bridge'!$B$2:$B$1057,A58,'02c_DC_Accel_Bridge'!$C$2:$C$1057,B58,'02c_DC_Accel_Bridge'!$D$2:$D$1057,C58)/I58,0)</f>
        <v/>
      </c>
      <c r="P58" s="3" t="inlineStr">
        <is>
          <t>weighted average: sum(site inference_weight_mw * accelerator_share) / sum(site inference_weight_mw)</t>
        </is>
      </c>
      <c r="Q58" s="3" t="inlineStr">
        <is>
          <t>dc_capacity_x_dc_accelerator_mix</t>
        </is>
      </c>
      <c r="R58" s="3" t="inlineStr">
        <is>
          <t>Edit 02a capacity allocation and 02b site accelerator mix; 03_Calculation reads D:G from this sheet.</t>
        </is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>
        <f>IF(I59&gt;0,SUMIFS('02c_DC_Accel_Bridge'!$R$2:$R$1057,'02c_DC_Accel_Bridge'!$B$2:$B$1057,A59,'02c_DC_Accel_Bridge'!$C$2:$C$1057,B59,'02c_DC_Accel_Bridge'!$D$2:$D$1057,C59)/I59,0.0)</f>
        <v/>
      </c>
      <c r="E59" s="6">
        <f>IF(I59&gt;0,SUMIFS('02c_DC_Accel_Bridge'!$S$2:$S$1057,'02c_DC_Accel_Bridge'!$B$2:$B$1057,A59,'02c_DC_Accel_Bridge'!$C$2:$C$1057,B59,'02c_DC_Accel_Bridge'!$D$2:$D$1057,C59)/I59,0.612306)</f>
        <v/>
      </c>
      <c r="F59" s="6">
        <f>IF(I59&gt;0,SUMIFS('02c_DC_Accel_Bridge'!$T$2:$T$1057,'02c_DC_Accel_Bridge'!$B$2:$B$1057,A59,'02c_DC_Accel_Bridge'!$C$2:$C$1057,B59,'02c_DC_Accel_Bridge'!$D$2:$D$1057,C59)/I59,0.0)</f>
        <v/>
      </c>
      <c r="G59" s="6">
        <f>IF(I59&gt;0,SUMIFS('02c_DC_Accel_Bridge'!$AA$2:$AA$1057,'02c_DC_Accel_Bridge'!$B$2:$B$1057,A59,'02c_DC_Accel_Bridge'!$C$2:$C$1057,B59,'02c_DC_Accel_Bridge'!$D$2:$D$1057,C59)/I59,0.387694)</f>
        <v/>
      </c>
      <c r="H59" s="6">
        <f>SUM(D59:G59)</f>
        <v/>
      </c>
      <c r="I59" s="28">
        <f>SUMIFS('02c_DC_Accel_Bridge'!$H$2:$H$1057,'02c_DC_Accel_Bridge'!$B$2:$B$1057,A59,'02c_DC_Accel_Bridge'!$C$2:$C$1057,B59,'02c_DC_Accel_Bridge'!$D$2:$D$1057,C59)</f>
        <v/>
      </c>
      <c r="J59" s="6">
        <f>IF(I59&gt;0,SUMIFS('02c_DC_Accel_Bridge'!$U$2:$U$1057,'02c_DC_Accel_Bridge'!$B$2:$B$1057,A59,'02c_DC_Accel_Bridge'!$C$2:$C$1057,B59,'02c_DC_Accel_Bridge'!$D$2:$D$1057,C59)/I59,0)</f>
        <v/>
      </c>
      <c r="K59" s="6">
        <f>IF(I59&gt;0,SUMIFS('02c_DC_Accel_Bridge'!$V$2:$V$1057,'02c_DC_Accel_Bridge'!$B$2:$B$1057,A59,'02c_DC_Accel_Bridge'!$C$2:$C$1057,B59,'02c_DC_Accel_Bridge'!$D$2:$D$1057,C59)/I59,0)</f>
        <v/>
      </c>
      <c r="L59" s="6">
        <f>IF(I59&gt;0,SUMIFS('02c_DC_Accel_Bridge'!$W$2:$W$1057,'02c_DC_Accel_Bridge'!$B$2:$B$1057,A59,'02c_DC_Accel_Bridge'!$C$2:$C$1057,B59,'02c_DC_Accel_Bridge'!$D$2:$D$1057,C59)/I59,0)</f>
        <v/>
      </c>
      <c r="M59" s="6">
        <f>IF(I59&gt;0,SUMIFS('02c_DC_Accel_Bridge'!$X$2:$X$1057,'02c_DC_Accel_Bridge'!$B$2:$B$1057,A59,'02c_DC_Accel_Bridge'!$C$2:$C$1057,B59,'02c_DC_Accel_Bridge'!$D$2:$D$1057,C59)/I59,0)</f>
        <v/>
      </c>
      <c r="N59" s="6">
        <f>IF(I59&gt;0,SUMIFS('02c_DC_Accel_Bridge'!$Y$2:$Y$1057,'02c_DC_Accel_Bridge'!$B$2:$B$1057,A59,'02c_DC_Accel_Bridge'!$C$2:$C$1057,B59,'02c_DC_Accel_Bridge'!$D$2:$D$1057,C59)/I59,0)</f>
        <v/>
      </c>
      <c r="O59" s="6">
        <f>IF(I59&gt;0,SUMIFS('02c_DC_Accel_Bridge'!$Z$2:$Z$1057,'02c_DC_Accel_Bridge'!$B$2:$B$1057,A59,'02c_DC_Accel_Bridge'!$C$2:$C$1057,B59,'02c_DC_Accel_Bridge'!$D$2:$D$1057,C59)/I59,0)</f>
        <v/>
      </c>
      <c r="P59" s="3" t="inlineStr">
        <is>
          <t>weighted average: sum(site inference_weight_mw * accelerator_share) / sum(site inference_weight_mw)</t>
        </is>
      </c>
      <c r="Q59" s="3" t="inlineStr">
        <is>
          <t>dc_capacity_x_dc_accelerator_mix</t>
        </is>
      </c>
      <c r="R59" s="3" t="inlineStr">
        <is>
          <t>Edit 02a capacity allocation and 02b site accelerator mix; 03_Calculation reads D:G from this sheet.</t>
        </is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>
        <f>IF(I60&gt;0,SUMIFS('02c_DC_Accel_Bridge'!$R$2:$R$1057,'02c_DC_Accel_Bridge'!$B$2:$B$1057,A60,'02c_DC_Accel_Bridge'!$C$2:$C$1057,B60,'02c_DC_Accel_Bridge'!$D$2:$D$1057,C60)/I60,0.0)</f>
        <v/>
      </c>
      <c r="E60" s="6">
        <f>IF(I60&gt;0,SUMIFS('02c_DC_Accel_Bridge'!$S$2:$S$1057,'02c_DC_Accel_Bridge'!$B$2:$B$1057,A60,'02c_DC_Accel_Bridge'!$C$2:$C$1057,B60,'02c_DC_Accel_Bridge'!$D$2:$D$1057,C60)/I60,0.612306)</f>
        <v/>
      </c>
      <c r="F60" s="6">
        <f>IF(I60&gt;0,SUMIFS('02c_DC_Accel_Bridge'!$T$2:$T$1057,'02c_DC_Accel_Bridge'!$B$2:$B$1057,A60,'02c_DC_Accel_Bridge'!$C$2:$C$1057,B60,'02c_DC_Accel_Bridge'!$D$2:$D$1057,C60)/I60,0.0)</f>
        <v/>
      </c>
      <c r="G60" s="6">
        <f>IF(I60&gt;0,SUMIFS('02c_DC_Accel_Bridge'!$AA$2:$AA$1057,'02c_DC_Accel_Bridge'!$B$2:$B$1057,A60,'02c_DC_Accel_Bridge'!$C$2:$C$1057,B60,'02c_DC_Accel_Bridge'!$D$2:$D$1057,C60)/I60,0.387694)</f>
        <v/>
      </c>
      <c r="H60" s="6">
        <f>SUM(D60:G60)</f>
        <v/>
      </c>
      <c r="I60" s="28">
        <f>SUMIFS('02c_DC_Accel_Bridge'!$H$2:$H$1057,'02c_DC_Accel_Bridge'!$B$2:$B$1057,A60,'02c_DC_Accel_Bridge'!$C$2:$C$1057,B60,'02c_DC_Accel_Bridge'!$D$2:$D$1057,C60)</f>
        <v/>
      </c>
      <c r="J60" s="6">
        <f>IF(I60&gt;0,SUMIFS('02c_DC_Accel_Bridge'!$U$2:$U$1057,'02c_DC_Accel_Bridge'!$B$2:$B$1057,A60,'02c_DC_Accel_Bridge'!$C$2:$C$1057,B60,'02c_DC_Accel_Bridge'!$D$2:$D$1057,C60)/I60,0)</f>
        <v/>
      </c>
      <c r="K60" s="6">
        <f>IF(I60&gt;0,SUMIFS('02c_DC_Accel_Bridge'!$V$2:$V$1057,'02c_DC_Accel_Bridge'!$B$2:$B$1057,A60,'02c_DC_Accel_Bridge'!$C$2:$C$1057,B60,'02c_DC_Accel_Bridge'!$D$2:$D$1057,C60)/I60,0)</f>
        <v/>
      </c>
      <c r="L60" s="6">
        <f>IF(I60&gt;0,SUMIFS('02c_DC_Accel_Bridge'!$W$2:$W$1057,'02c_DC_Accel_Bridge'!$B$2:$B$1057,A60,'02c_DC_Accel_Bridge'!$C$2:$C$1057,B60,'02c_DC_Accel_Bridge'!$D$2:$D$1057,C60)/I60,0)</f>
        <v/>
      </c>
      <c r="M60" s="6">
        <f>IF(I60&gt;0,SUMIFS('02c_DC_Accel_Bridge'!$X$2:$X$1057,'02c_DC_Accel_Bridge'!$B$2:$B$1057,A60,'02c_DC_Accel_Bridge'!$C$2:$C$1057,B60,'02c_DC_Accel_Bridge'!$D$2:$D$1057,C60)/I60,0)</f>
        <v/>
      </c>
      <c r="N60" s="6">
        <f>IF(I60&gt;0,SUMIFS('02c_DC_Accel_Bridge'!$Y$2:$Y$1057,'02c_DC_Accel_Bridge'!$B$2:$B$1057,A60,'02c_DC_Accel_Bridge'!$C$2:$C$1057,B60,'02c_DC_Accel_Bridge'!$D$2:$D$1057,C60)/I60,0)</f>
        <v/>
      </c>
      <c r="O60" s="6">
        <f>IF(I60&gt;0,SUMIFS('02c_DC_Accel_Bridge'!$Z$2:$Z$1057,'02c_DC_Accel_Bridge'!$B$2:$B$1057,A60,'02c_DC_Accel_Bridge'!$C$2:$C$1057,B60,'02c_DC_Accel_Bridge'!$D$2:$D$1057,C60)/I60,0)</f>
        <v/>
      </c>
      <c r="P60" s="3" t="inlineStr">
        <is>
          <t>weighted average: sum(site inference_weight_mw * accelerator_share) / sum(site inference_weight_mw)</t>
        </is>
      </c>
      <c r="Q60" s="3" t="inlineStr">
        <is>
          <t>dc_capacity_x_dc_accelerator_mix</t>
        </is>
      </c>
      <c r="R60" s="3" t="inlineStr">
        <is>
          <t>Edit 02a capacity allocation and 02b site accelerator mix; 03_Calculation reads D:G from this sheet.</t>
        </is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>
        <f>IF(I61&gt;0,SUMIFS('02c_DC_Accel_Bridge'!$R$2:$R$1057,'02c_DC_Accel_Bridge'!$B$2:$B$1057,A61,'02c_DC_Accel_Bridge'!$C$2:$C$1057,B61,'02c_DC_Accel_Bridge'!$D$2:$D$1057,C61)/I61,0.0)</f>
        <v/>
      </c>
      <c r="E61" s="6">
        <f>IF(I61&gt;0,SUMIFS('02c_DC_Accel_Bridge'!$S$2:$S$1057,'02c_DC_Accel_Bridge'!$B$2:$B$1057,A61,'02c_DC_Accel_Bridge'!$C$2:$C$1057,B61,'02c_DC_Accel_Bridge'!$D$2:$D$1057,C61)/I61,0.612306)</f>
        <v/>
      </c>
      <c r="F61" s="6">
        <f>IF(I61&gt;0,SUMIFS('02c_DC_Accel_Bridge'!$T$2:$T$1057,'02c_DC_Accel_Bridge'!$B$2:$B$1057,A61,'02c_DC_Accel_Bridge'!$C$2:$C$1057,B61,'02c_DC_Accel_Bridge'!$D$2:$D$1057,C61)/I61,0.0)</f>
        <v/>
      </c>
      <c r="G61" s="6">
        <f>IF(I61&gt;0,SUMIFS('02c_DC_Accel_Bridge'!$AA$2:$AA$1057,'02c_DC_Accel_Bridge'!$B$2:$B$1057,A61,'02c_DC_Accel_Bridge'!$C$2:$C$1057,B61,'02c_DC_Accel_Bridge'!$D$2:$D$1057,C61)/I61,0.387694)</f>
        <v/>
      </c>
      <c r="H61" s="6">
        <f>SUM(D61:G61)</f>
        <v/>
      </c>
      <c r="I61" s="28">
        <f>SUMIFS('02c_DC_Accel_Bridge'!$H$2:$H$1057,'02c_DC_Accel_Bridge'!$B$2:$B$1057,A61,'02c_DC_Accel_Bridge'!$C$2:$C$1057,B61,'02c_DC_Accel_Bridge'!$D$2:$D$1057,C61)</f>
        <v/>
      </c>
      <c r="J61" s="6">
        <f>IF(I61&gt;0,SUMIFS('02c_DC_Accel_Bridge'!$U$2:$U$1057,'02c_DC_Accel_Bridge'!$B$2:$B$1057,A61,'02c_DC_Accel_Bridge'!$C$2:$C$1057,B61,'02c_DC_Accel_Bridge'!$D$2:$D$1057,C61)/I61,0)</f>
        <v/>
      </c>
      <c r="K61" s="6">
        <f>IF(I61&gt;0,SUMIFS('02c_DC_Accel_Bridge'!$V$2:$V$1057,'02c_DC_Accel_Bridge'!$B$2:$B$1057,A61,'02c_DC_Accel_Bridge'!$C$2:$C$1057,B61,'02c_DC_Accel_Bridge'!$D$2:$D$1057,C61)/I61,0)</f>
        <v/>
      </c>
      <c r="L61" s="6">
        <f>IF(I61&gt;0,SUMIFS('02c_DC_Accel_Bridge'!$W$2:$W$1057,'02c_DC_Accel_Bridge'!$B$2:$B$1057,A61,'02c_DC_Accel_Bridge'!$C$2:$C$1057,B61,'02c_DC_Accel_Bridge'!$D$2:$D$1057,C61)/I61,0)</f>
        <v/>
      </c>
      <c r="M61" s="6">
        <f>IF(I61&gt;0,SUMIFS('02c_DC_Accel_Bridge'!$X$2:$X$1057,'02c_DC_Accel_Bridge'!$B$2:$B$1057,A61,'02c_DC_Accel_Bridge'!$C$2:$C$1057,B61,'02c_DC_Accel_Bridge'!$D$2:$D$1057,C61)/I61,0)</f>
        <v/>
      </c>
      <c r="N61" s="6">
        <f>IF(I61&gt;0,SUMIFS('02c_DC_Accel_Bridge'!$Y$2:$Y$1057,'02c_DC_Accel_Bridge'!$B$2:$B$1057,A61,'02c_DC_Accel_Bridge'!$C$2:$C$1057,B61,'02c_DC_Accel_Bridge'!$D$2:$D$1057,C61)/I61,0)</f>
        <v/>
      </c>
      <c r="O61" s="6">
        <f>IF(I61&gt;0,SUMIFS('02c_DC_Accel_Bridge'!$Z$2:$Z$1057,'02c_DC_Accel_Bridge'!$B$2:$B$1057,A61,'02c_DC_Accel_Bridge'!$C$2:$C$1057,B61,'02c_DC_Accel_Bridge'!$D$2:$D$1057,C61)/I61,0)</f>
        <v/>
      </c>
      <c r="P61" s="3" t="inlineStr">
        <is>
          <t>weighted average: sum(site inference_weight_mw * accelerator_share) / sum(site inference_weight_mw)</t>
        </is>
      </c>
      <c r="Q61" s="3" t="inlineStr">
        <is>
          <t>dc_capacity_x_dc_accelerator_mix</t>
        </is>
      </c>
      <c r="R61" s="3" t="inlineStr">
        <is>
          <t>Edit 02a capacity allocation and 02b site accelerator mix; 03_Calculation reads D:G from this sheet.</t>
        </is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>
        <f>IF(I62&gt;0,SUMIFS('02c_DC_Accel_Bridge'!$R$2:$R$1057,'02c_DC_Accel_Bridge'!$B$2:$B$1057,A62,'02c_DC_Accel_Bridge'!$C$2:$C$1057,B62,'02c_DC_Accel_Bridge'!$D$2:$D$1057,C62)/I62,0.0)</f>
        <v/>
      </c>
      <c r="E62" s="6">
        <f>IF(I62&gt;0,SUMIFS('02c_DC_Accel_Bridge'!$S$2:$S$1057,'02c_DC_Accel_Bridge'!$B$2:$B$1057,A62,'02c_DC_Accel_Bridge'!$C$2:$C$1057,B62,'02c_DC_Accel_Bridge'!$D$2:$D$1057,C62)/I62,1.0)</f>
        <v/>
      </c>
      <c r="F62" s="6">
        <f>IF(I62&gt;0,SUMIFS('02c_DC_Accel_Bridge'!$T$2:$T$1057,'02c_DC_Accel_Bridge'!$B$2:$B$1057,A62,'02c_DC_Accel_Bridge'!$C$2:$C$1057,B62,'02c_DC_Accel_Bridge'!$D$2:$D$1057,C62)/I62,0.0)</f>
        <v/>
      </c>
      <c r="G62" s="6">
        <f>IF(I62&gt;0,SUMIFS('02c_DC_Accel_Bridge'!$AA$2:$AA$1057,'02c_DC_Accel_Bridge'!$B$2:$B$1057,A62,'02c_DC_Accel_Bridge'!$C$2:$C$1057,B62,'02c_DC_Accel_Bridge'!$D$2:$D$1057,C62)/I62,0.0)</f>
        <v/>
      </c>
      <c r="H62" s="6">
        <f>SUM(D62:G62)</f>
        <v/>
      </c>
      <c r="I62" s="28">
        <f>SUMIFS('02c_DC_Accel_Bridge'!$H$2:$H$1057,'02c_DC_Accel_Bridge'!$B$2:$B$1057,A62,'02c_DC_Accel_Bridge'!$C$2:$C$1057,B62,'02c_DC_Accel_Bridge'!$D$2:$D$1057,C62)</f>
        <v/>
      </c>
      <c r="J62" s="6">
        <f>IF(I62&gt;0,SUMIFS('02c_DC_Accel_Bridge'!$U$2:$U$1057,'02c_DC_Accel_Bridge'!$B$2:$B$1057,A62,'02c_DC_Accel_Bridge'!$C$2:$C$1057,B62,'02c_DC_Accel_Bridge'!$D$2:$D$1057,C62)/I62,0)</f>
        <v/>
      </c>
      <c r="K62" s="6">
        <f>IF(I62&gt;0,SUMIFS('02c_DC_Accel_Bridge'!$V$2:$V$1057,'02c_DC_Accel_Bridge'!$B$2:$B$1057,A62,'02c_DC_Accel_Bridge'!$C$2:$C$1057,B62,'02c_DC_Accel_Bridge'!$D$2:$D$1057,C62)/I62,0)</f>
        <v/>
      </c>
      <c r="L62" s="6">
        <f>IF(I62&gt;0,SUMIFS('02c_DC_Accel_Bridge'!$W$2:$W$1057,'02c_DC_Accel_Bridge'!$B$2:$B$1057,A62,'02c_DC_Accel_Bridge'!$C$2:$C$1057,B62,'02c_DC_Accel_Bridge'!$D$2:$D$1057,C62)/I62,0)</f>
        <v/>
      </c>
      <c r="M62" s="6">
        <f>IF(I62&gt;0,SUMIFS('02c_DC_Accel_Bridge'!$X$2:$X$1057,'02c_DC_Accel_Bridge'!$B$2:$B$1057,A62,'02c_DC_Accel_Bridge'!$C$2:$C$1057,B62,'02c_DC_Accel_Bridge'!$D$2:$D$1057,C62)/I62,0)</f>
        <v/>
      </c>
      <c r="N62" s="6">
        <f>IF(I62&gt;0,SUMIFS('02c_DC_Accel_Bridge'!$Y$2:$Y$1057,'02c_DC_Accel_Bridge'!$B$2:$B$1057,A62,'02c_DC_Accel_Bridge'!$C$2:$C$1057,B62,'02c_DC_Accel_Bridge'!$D$2:$D$1057,C62)/I62,0)</f>
        <v/>
      </c>
      <c r="O62" s="6">
        <f>IF(I62&gt;0,SUMIFS('02c_DC_Accel_Bridge'!$Z$2:$Z$1057,'02c_DC_Accel_Bridge'!$B$2:$B$1057,A62,'02c_DC_Accel_Bridge'!$C$2:$C$1057,B62,'02c_DC_Accel_Bridge'!$D$2:$D$1057,C62)/I62,0)</f>
        <v/>
      </c>
      <c r="P62" s="3" t="inlineStr">
        <is>
          <t>weighted average: sum(site inference_weight_mw * accelerator_share) / sum(site inference_weight_mw)</t>
        </is>
      </c>
      <c r="Q62" s="3" t="inlineStr">
        <is>
          <t>dc_capacity_x_dc_accelerator_mix</t>
        </is>
      </c>
      <c r="R62" s="3" t="inlineStr">
        <is>
          <t>Edit 02a capacity allocation and 02b site accelerator mix; 03_Calculation reads D:G from this sheet.</t>
        </is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>
        <f>IF(I63&gt;0,SUMIFS('02c_DC_Accel_Bridge'!$R$2:$R$1057,'02c_DC_Accel_Bridge'!$B$2:$B$1057,A63,'02c_DC_Accel_Bridge'!$C$2:$C$1057,B63,'02c_DC_Accel_Bridge'!$D$2:$D$1057,C63)/I63,0.0)</f>
        <v/>
      </c>
      <c r="E63" s="6">
        <f>IF(I63&gt;0,SUMIFS('02c_DC_Accel_Bridge'!$S$2:$S$1057,'02c_DC_Accel_Bridge'!$B$2:$B$1057,A63,'02c_DC_Accel_Bridge'!$C$2:$C$1057,B63,'02c_DC_Accel_Bridge'!$D$2:$D$1057,C63)/I63,1.0)</f>
        <v/>
      </c>
      <c r="F63" s="6">
        <f>IF(I63&gt;0,SUMIFS('02c_DC_Accel_Bridge'!$T$2:$T$1057,'02c_DC_Accel_Bridge'!$B$2:$B$1057,A63,'02c_DC_Accel_Bridge'!$C$2:$C$1057,B63,'02c_DC_Accel_Bridge'!$D$2:$D$1057,C63)/I63,0.0)</f>
        <v/>
      </c>
      <c r="G63" s="6">
        <f>IF(I63&gt;0,SUMIFS('02c_DC_Accel_Bridge'!$AA$2:$AA$1057,'02c_DC_Accel_Bridge'!$B$2:$B$1057,A63,'02c_DC_Accel_Bridge'!$C$2:$C$1057,B63,'02c_DC_Accel_Bridge'!$D$2:$D$1057,C63)/I63,0.0)</f>
        <v/>
      </c>
      <c r="H63" s="6">
        <f>SUM(D63:G63)</f>
        <v/>
      </c>
      <c r="I63" s="28">
        <f>SUMIFS('02c_DC_Accel_Bridge'!$H$2:$H$1057,'02c_DC_Accel_Bridge'!$B$2:$B$1057,A63,'02c_DC_Accel_Bridge'!$C$2:$C$1057,B63,'02c_DC_Accel_Bridge'!$D$2:$D$1057,C63)</f>
        <v/>
      </c>
      <c r="J63" s="6">
        <f>IF(I63&gt;0,SUMIFS('02c_DC_Accel_Bridge'!$U$2:$U$1057,'02c_DC_Accel_Bridge'!$B$2:$B$1057,A63,'02c_DC_Accel_Bridge'!$C$2:$C$1057,B63,'02c_DC_Accel_Bridge'!$D$2:$D$1057,C63)/I63,0)</f>
        <v/>
      </c>
      <c r="K63" s="6">
        <f>IF(I63&gt;0,SUMIFS('02c_DC_Accel_Bridge'!$V$2:$V$1057,'02c_DC_Accel_Bridge'!$B$2:$B$1057,A63,'02c_DC_Accel_Bridge'!$C$2:$C$1057,B63,'02c_DC_Accel_Bridge'!$D$2:$D$1057,C63)/I63,0)</f>
        <v/>
      </c>
      <c r="L63" s="6">
        <f>IF(I63&gt;0,SUMIFS('02c_DC_Accel_Bridge'!$W$2:$W$1057,'02c_DC_Accel_Bridge'!$B$2:$B$1057,A63,'02c_DC_Accel_Bridge'!$C$2:$C$1057,B63,'02c_DC_Accel_Bridge'!$D$2:$D$1057,C63)/I63,0)</f>
        <v/>
      </c>
      <c r="M63" s="6">
        <f>IF(I63&gt;0,SUMIFS('02c_DC_Accel_Bridge'!$X$2:$X$1057,'02c_DC_Accel_Bridge'!$B$2:$B$1057,A63,'02c_DC_Accel_Bridge'!$C$2:$C$1057,B63,'02c_DC_Accel_Bridge'!$D$2:$D$1057,C63)/I63,0)</f>
        <v/>
      </c>
      <c r="N63" s="6">
        <f>IF(I63&gt;0,SUMIFS('02c_DC_Accel_Bridge'!$Y$2:$Y$1057,'02c_DC_Accel_Bridge'!$B$2:$B$1057,A63,'02c_DC_Accel_Bridge'!$C$2:$C$1057,B63,'02c_DC_Accel_Bridge'!$D$2:$D$1057,C63)/I63,0)</f>
        <v/>
      </c>
      <c r="O63" s="6">
        <f>IF(I63&gt;0,SUMIFS('02c_DC_Accel_Bridge'!$Z$2:$Z$1057,'02c_DC_Accel_Bridge'!$B$2:$B$1057,A63,'02c_DC_Accel_Bridge'!$C$2:$C$1057,B63,'02c_DC_Accel_Bridge'!$D$2:$D$1057,C63)/I63,0)</f>
        <v/>
      </c>
      <c r="P63" s="3" t="inlineStr">
        <is>
          <t>weighted average: sum(site inference_weight_mw * accelerator_share) / sum(site inference_weight_mw)</t>
        </is>
      </c>
      <c r="Q63" s="3" t="inlineStr">
        <is>
          <t>dc_capacity_x_dc_accelerator_mix</t>
        </is>
      </c>
      <c r="R63" s="3" t="inlineStr">
        <is>
          <t>Edit 02a capacity allocation and 02b site accelerator mix; 03_Calculation reads D:G from this sheet.</t>
        </is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>
        <f>IF(I64&gt;0,SUMIFS('02c_DC_Accel_Bridge'!$R$2:$R$1057,'02c_DC_Accel_Bridge'!$B$2:$B$1057,A64,'02c_DC_Accel_Bridge'!$C$2:$C$1057,B64,'02c_DC_Accel_Bridge'!$D$2:$D$1057,C64)/I64,0.0)</f>
        <v/>
      </c>
      <c r="E64" s="6">
        <f>IF(I64&gt;0,SUMIFS('02c_DC_Accel_Bridge'!$S$2:$S$1057,'02c_DC_Accel_Bridge'!$B$2:$B$1057,A64,'02c_DC_Accel_Bridge'!$C$2:$C$1057,B64,'02c_DC_Accel_Bridge'!$D$2:$D$1057,C64)/I64,1.0)</f>
        <v/>
      </c>
      <c r="F64" s="6">
        <f>IF(I64&gt;0,SUMIFS('02c_DC_Accel_Bridge'!$T$2:$T$1057,'02c_DC_Accel_Bridge'!$B$2:$B$1057,A64,'02c_DC_Accel_Bridge'!$C$2:$C$1057,B64,'02c_DC_Accel_Bridge'!$D$2:$D$1057,C64)/I64,0.0)</f>
        <v/>
      </c>
      <c r="G64" s="6">
        <f>IF(I64&gt;0,SUMIFS('02c_DC_Accel_Bridge'!$AA$2:$AA$1057,'02c_DC_Accel_Bridge'!$B$2:$B$1057,A64,'02c_DC_Accel_Bridge'!$C$2:$C$1057,B64,'02c_DC_Accel_Bridge'!$D$2:$D$1057,C64)/I64,0.0)</f>
        <v/>
      </c>
      <c r="H64" s="6">
        <f>SUM(D64:G64)</f>
        <v/>
      </c>
      <c r="I64" s="28">
        <f>SUMIFS('02c_DC_Accel_Bridge'!$H$2:$H$1057,'02c_DC_Accel_Bridge'!$B$2:$B$1057,A64,'02c_DC_Accel_Bridge'!$C$2:$C$1057,B64,'02c_DC_Accel_Bridge'!$D$2:$D$1057,C64)</f>
        <v/>
      </c>
      <c r="J64" s="6">
        <f>IF(I64&gt;0,SUMIFS('02c_DC_Accel_Bridge'!$U$2:$U$1057,'02c_DC_Accel_Bridge'!$B$2:$B$1057,A64,'02c_DC_Accel_Bridge'!$C$2:$C$1057,B64,'02c_DC_Accel_Bridge'!$D$2:$D$1057,C64)/I64,0)</f>
        <v/>
      </c>
      <c r="K64" s="6">
        <f>IF(I64&gt;0,SUMIFS('02c_DC_Accel_Bridge'!$V$2:$V$1057,'02c_DC_Accel_Bridge'!$B$2:$B$1057,A64,'02c_DC_Accel_Bridge'!$C$2:$C$1057,B64,'02c_DC_Accel_Bridge'!$D$2:$D$1057,C64)/I64,0)</f>
        <v/>
      </c>
      <c r="L64" s="6">
        <f>IF(I64&gt;0,SUMIFS('02c_DC_Accel_Bridge'!$W$2:$W$1057,'02c_DC_Accel_Bridge'!$B$2:$B$1057,A64,'02c_DC_Accel_Bridge'!$C$2:$C$1057,B64,'02c_DC_Accel_Bridge'!$D$2:$D$1057,C64)/I64,0)</f>
        <v/>
      </c>
      <c r="M64" s="6">
        <f>IF(I64&gt;0,SUMIFS('02c_DC_Accel_Bridge'!$X$2:$X$1057,'02c_DC_Accel_Bridge'!$B$2:$B$1057,A64,'02c_DC_Accel_Bridge'!$C$2:$C$1057,B64,'02c_DC_Accel_Bridge'!$D$2:$D$1057,C64)/I64,0)</f>
        <v/>
      </c>
      <c r="N64" s="6">
        <f>IF(I64&gt;0,SUMIFS('02c_DC_Accel_Bridge'!$Y$2:$Y$1057,'02c_DC_Accel_Bridge'!$B$2:$B$1057,A64,'02c_DC_Accel_Bridge'!$C$2:$C$1057,B64,'02c_DC_Accel_Bridge'!$D$2:$D$1057,C64)/I64,0)</f>
        <v/>
      </c>
      <c r="O64" s="6">
        <f>IF(I64&gt;0,SUMIFS('02c_DC_Accel_Bridge'!$Z$2:$Z$1057,'02c_DC_Accel_Bridge'!$B$2:$B$1057,A64,'02c_DC_Accel_Bridge'!$C$2:$C$1057,B64,'02c_DC_Accel_Bridge'!$D$2:$D$1057,C64)/I64,0)</f>
        <v/>
      </c>
      <c r="P64" s="3" t="inlineStr">
        <is>
          <t>weighted average: sum(site inference_weight_mw * accelerator_share) / sum(site inference_weight_mw)</t>
        </is>
      </c>
      <c r="Q64" s="3" t="inlineStr">
        <is>
          <t>dc_capacity_x_dc_accelerator_mix</t>
        </is>
      </c>
      <c r="R64" s="3" t="inlineStr">
        <is>
          <t>Edit 02a capacity allocation and 02b site accelerator mix; 03_Calculation reads D:G from this sheet.</t>
        </is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>
        <f>IF(I65&gt;0,SUMIFS('02c_DC_Accel_Bridge'!$R$2:$R$1057,'02c_DC_Accel_Bridge'!$B$2:$B$1057,A65,'02c_DC_Accel_Bridge'!$C$2:$C$1057,B65,'02c_DC_Accel_Bridge'!$D$2:$D$1057,C65)/I65,0.0)</f>
        <v/>
      </c>
      <c r="E65" s="6">
        <f>IF(I65&gt;0,SUMIFS('02c_DC_Accel_Bridge'!$S$2:$S$1057,'02c_DC_Accel_Bridge'!$B$2:$B$1057,A65,'02c_DC_Accel_Bridge'!$C$2:$C$1057,B65,'02c_DC_Accel_Bridge'!$D$2:$D$1057,C65)/I65,1.0)</f>
        <v/>
      </c>
      <c r="F65" s="6">
        <f>IF(I65&gt;0,SUMIFS('02c_DC_Accel_Bridge'!$T$2:$T$1057,'02c_DC_Accel_Bridge'!$B$2:$B$1057,A65,'02c_DC_Accel_Bridge'!$C$2:$C$1057,B65,'02c_DC_Accel_Bridge'!$D$2:$D$1057,C65)/I65,0.0)</f>
        <v/>
      </c>
      <c r="G65" s="6">
        <f>IF(I65&gt;0,SUMIFS('02c_DC_Accel_Bridge'!$AA$2:$AA$1057,'02c_DC_Accel_Bridge'!$B$2:$B$1057,A65,'02c_DC_Accel_Bridge'!$C$2:$C$1057,B65,'02c_DC_Accel_Bridge'!$D$2:$D$1057,C65)/I65,0.0)</f>
        <v/>
      </c>
      <c r="H65" s="6">
        <f>SUM(D65:G65)</f>
        <v/>
      </c>
      <c r="I65" s="28">
        <f>SUMIFS('02c_DC_Accel_Bridge'!$H$2:$H$1057,'02c_DC_Accel_Bridge'!$B$2:$B$1057,A65,'02c_DC_Accel_Bridge'!$C$2:$C$1057,B65,'02c_DC_Accel_Bridge'!$D$2:$D$1057,C65)</f>
        <v/>
      </c>
      <c r="J65" s="6">
        <f>IF(I65&gt;0,SUMIFS('02c_DC_Accel_Bridge'!$U$2:$U$1057,'02c_DC_Accel_Bridge'!$B$2:$B$1057,A65,'02c_DC_Accel_Bridge'!$C$2:$C$1057,B65,'02c_DC_Accel_Bridge'!$D$2:$D$1057,C65)/I65,0)</f>
        <v/>
      </c>
      <c r="K65" s="6">
        <f>IF(I65&gt;0,SUMIFS('02c_DC_Accel_Bridge'!$V$2:$V$1057,'02c_DC_Accel_Bridge'!$B$2:$B$1057,A65,'02c_DC_Accel_Bridge'!$C$2:$C$1057,B65,'02c_DC_Accel_Bridge'!$D$2:$D$1057,C65)/I65,0)</f>
        <v/>
      </c>
      <c r="L65" s="6">
        <f>IF(I65&gt;0,SUMIFS('02c_DC_Accel_Bridge'!$W$2:$W$1057,'02c_DC_Accel_Bridge'!$B$2:$B$1057,A65,'02c_DC_Accel_Bridge'!$C$2:$C$1057,B65,'02c_DC_Accel_Bridge'!$D$2:$D$1057,C65)/I65,0)</f>
        <v/>
      </c>
      <c r="M65" s="6">
        <f>IF(I65&gt;0,SUMIFS('02c_DC_Accel_Bridge'!$X$2:$X$1057,'02c_DC_Accel_Bridge'!$B$2:$B$1057,A65,'02c_DC_Accel_Bridge'!$C$2:$C$1057,B65,'02c_DC_Accel_Bridge'!$D$2:$D$1057,C65)/I65,0)</f>
        <v/>
      </c>
      <c r="N65" s="6">
        <f>IF(I65&gt;0,SUMIFS('02c_DC_Accel_Bridge'!$Y$2:$Y$1057,'02c_DC_Accel_Bridge'!$B$2:$B$1057,A65,'02c_DC_Accel_Bridge'!$C$2:$C$1057,B65,'02c_DC_Accel_Bridge'!$D$2:$D$1057,C65)/I65,0)</f>
        <v/>
      </c>
      <c r="O65" s="6">
        <f>IF(I65&gt;0,SUMIFS('02c_DC_Accel_Bridge'!$Z$2:$Z$1057,'02c_DC_Accel_Bridge'!$B$2:$B$1057,A65,'02c_DC_Accel_Bridge'!$C$2:$C$1057,B65,'02c_DC_Accel_Bridge'!$D$2:$D$1057,C65)/I65,0)</f>
        <v/>
      </c>
      <c r="P65" s="3" t="inlineStr">
        <is>
          <t>weighted average: sum(site inference_weight_mw * accelerator_share) / sum(site inference_weight_mw)</t>
        </is>
      </c>
      <c r="Q65" s="3" t="inlineStr">
        <is>
          <t>dc_capacity_x_dc_accelerator_mix</t>
        </is>
      </c>
      <c r="R65" s="3" t="inlineStr">
        <is>
          <t>Edit 02a capacity allocation and 02b site accelerator mix; 03_Calculation reads D:G from this sheet.</t>
        </is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>
        <f>IF(I66&gt;0,SUMIFS('02c_DC_Accel_Bridge'!$R$2:$R$1057,'02c_DC_Accel_Bridge'!$B$2:$B$1057,A66,'02c_DC_Accel_Bridge'!$C$2:$C$1057,B66,'02c_DC_Accel_Bridge'!$D$2:$D$1057,C66)/I66,0.0)</f>
        <v/>
      </c>
      <c r="E66" s="6">
        <f>IF(I66&gt;0,SUMIFS('02c_DC_Accel_Bridge'!$S$2:$S$1057,'02c_DC_Accel_Bridge'!$B$2:$B$1057,A66,'02c_DC_Accel_Bridge'!$C$2:$C$1057,B66,'02c_DC_Accel_Bridge'!$D$2:$D$1057,C66)/I66,1.0)</f>
        <v/>
      </c>
      <c r="F66" s="6">
        <f>IF(I66&gt;0,SUMIFS('02c_DC_Accel_Bridge'!$T$2:$T$1057,'02c_DC_Accel_Bridge'!$B$2:$B$1057,A66,'02c_DC_Accel_Bridge'!$C$2:$C$1057,B66,'02c_DC_Accel_Bridge'!$D$2:$D$1057,C66)/I66,0.0)</f>
        <v/>
      </c>
      <c r="G66" s="6">
        <f>IF(I66&gt;0,SUMIFS('02c_DC_Accel_Bridge'!$AA$2:$AA$1057,'02c_DC_Accel_Bridge'!$B$2:$B$1057,A66,'02c_DC_Accel_Bridge'!$C$2:$C$1057,B66,'02c_DC_Accel_Bridge'!$D$2:$D$1057,C66)/I66,0.0)</f>
        <v/>
      </c>
      <c r="H66" s="6">
        <f>SUM(D66:G66)</f>
        <v/>
      </c>
      <c r="I66" s="28">
        <f>SUMIFS('02c_DC_Accel_Bridge'!$H$2:$H$1057,'02c_DC_Accel_Bridge'!$B$2:$B$1057,A66,'02c_DC_Accel_Bridge'!$C$2:$C$1057,B66,'02c_DC_Accel_Bridge'!$D$2:$D$1057,C66)</f>
        <v/>
      </c>
      <c r="J66" s="6">
        <f>IF(I66&gt;0,SUMIFS('02c_DC_Accel_Bridge'!$U$2:$U$1057,'02c_DC_Accel_Bridge'!$B$2:$B$1057,A66,'02c_DC_Accel_Bridge'!$C$2:$C$1057,B66,'02c_DC_Accel_Bridge'!$D$2:$D$1057,C66)/I66,0)</f>
        <v/>
      </c>
      <c r="K66" s="6">
        <f>IF(I66&gt;0,SUMIFS('02c_DC_Accel_Bridge'!$V$2:$V$1057,'02c_DC_Accel_Bridge'!$B$2:$B$1057,A66,'02c_DC_Accel_Bridge'!$C$2:$C$1057,B66,'02c_DC_Accel_Bridge'!$D$2:$D$1057,C66)/I66,0)</f>
        <v/>
      </c>
      <c r="L66" s="6">
        <f>IF(I66&gt;0,SUMIFS('02c_DC_Accel_Bridge'!$W$2:$W$1057,'02c_DC_Accel_Bridge'!$B$2:$B$1057,A66,'02c_DC_Accel_Bridge'!$C$2:$C$1057,B66,'02c_DC_Accel_Bridge'!$D$2:$D$1057,C66)/I66,0)</f>
        <v/>
      </c>
      <c r="M66" s="6">
        <f>IF(I66&gt;0,SUMIFS('02c_DC_Accel_Bridge'!$X$2:$X$1057,'02c_DC_Accel_Bridge'!$B$2:$B$1057,A66,'02c_DC_Accel_Bridge'!$C$2:$C$1057,B66,'02c_DC_Accel_Bridge'!$D$2:$D$1057,C66)/I66,0)</f>
        <v/>
      </c>
      <c r="N66" s="6">
        <f>IF(I66&gt;0,SUMIFS('02c_DC_Accel_Bridge'!$Y$2:$Y$1057,'02c_DC_Accel_Bridge'!$B$2:$B$1057,A66,'02c_DC_Accel_Bridge'!$C$2:$C$1057,B66,'02c_DC_Accel_Bridge'!$D$2:$D$1057,C66)/I66,0)</f>
        <v/>
      </c>
      <c r="O66" s="6">
        <f>IF(I66&gt;0,SUMIFS('02c_DC_Accel_Bridge'!$Z$2:$Z$1057,'02c_DC_Accel_Bridge'!$B$2:$B$1057,A66,'02c_DC_Accel_Bridge'!$C$2:$C$1057,B66,'02c_DC_Accel_Bridge'!$D$2:$D$1057,C66)/I66,0)</f>
        <v/>
      </c>
      <c r="P66" s="3" t="inlineStr">
        <is>
          <t>weighted average: sum(site inference_weight_mw * accelerator_share) / sum(site inference_weight_mw)</t>
        </is>
      </c>
      <c r="Q66" s="3" t="inlineStr">
        <is>
          <t>dc_capacity_x_dc_accelerator_mix</t>
        </is>
      </c>
      <c r="R66" s="3" t="inlineStr">
        <is>
          <t>Edit 02a capacity allocation and 02b site accelerator mix; 03_Calculation reads D:G from this sheet.</t>
        </is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>
        <f>IF(I67&gt;0,SUMIFS('02c_DC_Accel_Bridge'!$R$2:$R$1057,'02c_DC_Accel_Bridge'!$B$2:$B$1057,A67,'02c_DC_Accel_Bridge'!$C$2:$C$1057,B67,'02c_DC_Accel_Bridge'!$D$2:$D$1057,C67)/I67,0.085502)</f>
        <v/>
      </c>
      <c r="E67" s="6">
        <f>IF(I67&gt;0,SUMIFS('02c_DC_Accel_Bridge'!$S$2:$S$1057,'02c_DC_Accel_Bridge'!$B$2:$B$1057,A67,'02c_DC_Accel_Bridge'!$C$2:$C$1057,B67,'02c_DC_Accel_Bridge'!$D$2:$D$1057,C67)/I67,0.914498)</f>
        <v/>
      </c>
      <c r="F67" s="6">
        <f>IF(I67&gt;0,SUMIFS('02c_DC_Accel_Bridge'!$T$2:$T$1057,'02c_DC_Accel_Bridge'!$B$2:$B$1057,A67,'02c_DC_Accel_Bridge'!$C$2:$C$1057,B67,'02c_DC_Accel_Bridge'!$D$2:$D$1057,C67)/I67,0.0)</f>
        <v/>
      </c>
      <c r="G67" s="6">
        <f>IF(I67&gt;0,SUMIFS('02c_DC_Accel_Bridge'!$AA$2:$AA$1057,'02c_DC_Accel_Bridge'!$B$2:$B$1057,A67,'02c_DC_Accel_Bridge'!$C$2:$C$1057,B67,'02c_DC_Accel_Bridge'!$D$2:$D$1057,C67)/I67,0.0)</f>
        <v/>
      </c>
      <c r="H67" s="6">
        <f>SUM(D67:G67)</f>
        <v/>
      </c>
      <c r="I67" s="28">
        <f>SUMIFS('02c_DC_Accel_Bridge'!$H$2:$H$1057,'02c_DC_Accel_Bridge'!$B$2:$B$1057,A67,'02c_DC_Accel_Bridge'!$C$2:$C$1057,B67,'02c_DC_Accel_Bridge'!$D$2:$D$1057,C67)</f>
        <v/>
      </c>
      <c r="J67" s="6">
        <f>IF(I67&gt;0,SUMIFS('02c_DC_Accel_Bridge'!$U$2:$U$1057,'02c_DC_Accel_Bridge'!$B$2:$B$1057,A67,'02c_DC_Accel_Bridge'!$C$2:$C$1057,B67,'02c_DC_Accel_Bridge'!$D$2:$D$1057,C67)/I67,0)</f>
        <v/>
      </c>
      <c r="K67" s="6">
        <f>IF(I67&gt;0,SUMIFS('02c_DC_Accel_Bridge'!$V$2:$V$1057,'02c_DC_Accel_Bridge'!$B$2:$B$1057,A67,'02c_DC_Accel_Bridge'!$C$2:$C$1057,B67,'02c_DC_Accel_Bridge'!$D$2:$D$1057,C67)/I67,0)</f>
        <v/>
      </c>
      <c r="L67" s="6">
        <f>IF(I67&gt;0,SUMIFS('02c_DC_Accel_Bridge'!$W$2:$W$1057,'02c_DC_Accel_Bridge'!$B$2:$B$1057,A67,'02c_DC_Accel_Bridge'!$C$2:$C$1057,B67,'02c_DC_Accel_Bridge'!$D$2:$D$1057,C67)/I67,0)</f>
        <v/>
      </c>
      <c r="M67" s="6">
        <f>IF(I67&gt;0,SUMIFS('02c_DC_Accel_Bridge'!$X$2:$X$1057,'02c_DC_Accel_Bridge'!$B$2:$B$1057,A67,'02c_DC_Accel_Bridge'!$C$2:$C$1057,B67,'02c_DC_Accel_Bridge'!$D$2:$D$1057,C67)/I67,0)</f>
        <v/>
      </c>
      <c r="N67" s="6">
        <f>IF(I67&gt;0,SUMIFS('02c_DC_Accel_Bridge'!$Y$2:$Y$1057,'02c_DC_Accel_Bridge'!$B$2:$B$1057,A67,'02c_DC_Accel_Bridge'!$C$2:$C$1057,B67,'02c_DC_Accel_Bridge'!$D$2:$D$1057,C67)/I67,0)</f>
        <v/>
      </c>
      <c r="O67" s="6">
        <f>IF(I67&gt;0,SUMIFS('02c_DC_Accel_Bridge'!$Z$2:$Z$1057,'02c_DC_Accel_Bridge'!$B$2:$B$1057,A67,'02c_DC_Accel_Bridge'!$C$2:$C$1057,B67,'02c_DC_Accel_Bridge'!$D$2:$D$1057,C67)/I67,0)</f>
        <v/>
      </c>
      <c r="P67" s="3" t="inlineStr">
        <is>
          <t>weighted average: sum(site inference_weight_mw * accelerator_share) / sum(site inference_weight_mw)</t>
        </is>
      </c>
      <c r="Q67" s="3" t="inlineStr">
        <is>
          <t>dc_capacity_x_dc_accelerator_mix</t>
        </is>
      </c>
      <c r="R67" s="3" t="inlineStr">
        <is>
          <t>Edit 02a capacity allocation and 02b site accelerator mix; 03_Calculation reads D:G from this sheet.</t>
        </is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>
        <f>IF(I68&gt;0,SUMIFS('02c_DC_Accel_Bridge'!$R$2:$R$1057,'02c_DC_Accel_Bridge'!$B$2:$B$1057,A68,'02c_DC_Accel_Bridge'!$C$2:$C$1057,B68,'02c_DC_Accel_Bridge'!$D$2:$D$1057,C68)/I68,0.07041)</f>
        <v/>
      </c>
      <c r="E68" s="6">
        <f>IF(I68&gt;0,SUMIFS('02c_DC_Accel_Bridge'!$S$2:$S$1057,'02c_DC_Accel_Bridge'!$B$2:$B$1057,A68,'02c_DC_Accel_Bridge'!$C$2:$C$1057,B68,'02c_DC_Accel_Bridge'!$D$2:$D$1057,C68)/I68,0.92959)</f>
        <v/>
      </c>
      <c r="F68" s="6">
        <f>IF(I68&gt;0,SUMIFS('02c_DC_Accel_Bridge'!$T$2:$T$1057,'02c_DC_Accel_Bridge'!$B$2:$B$1057,A68,'02c_DC_Accel_Bridge'!$C$2:$C$1057,B68,'02c_DC_Accel_Bridge'!$D$2:$D$1057,C68)/I68,0.0)</f>
        <v/>
      </c>
      <c r="G68" s="6">
        <f>IF(I68&gt;0,SUMIFS('02c_DC_Accel_Bridge'!$AA$2:$AA$1057,'02c_DC_Accel_Bridge'!$B$2:$B$1057,A68,'02c_DC_Accel_Bridge'!$C$2:$C$1057,B68,'02c_DC_Accel_Bridge'!$D$2:$D$1057,C68)/I68,0.0)</f>
        <v/>
      </c>
      <c r="H68" s="6">
        <f>SUM(D68:G68)</f>
        <v/>
      </c>
      <c r="I68" s="28">
        <f>SUMIFS('02c_DC_Accel_Bridge'!$H$2:$H$1057,'02c_DC_Accel_Bridge'!$B$2:$B$1057,A68,'02c_DC_Accel_Bridge'!$C$2:$C$1057,B68,'02c_DC_Accel_Bridge'!$D$2:$D$1057,C68)</f>
        <v/>
      </c>
      <c r="J68" s="6">
        <f>IF(I68&gt;0,SUMIFS('02c_DC_Accel_Bridge'!$U$2:$U$1057,'02c_DC_Accel_Bridge'!$B$2:$B$1057,A68,'02c_DC_Accel_Bridge'!$C$2:$C$1057,B68,'02c_DC_Accel_Bridge'!$D$2:$D$1057,C68)/I68,0)</f>
        <v/>
      </c>
      <c r="K68" s="6">
        <f>IF(I68&gt;0,SUMIFS('02c_DC_Accel_Bridge'!$V$2:$V$1057,'02c_DC_Accel_Bridge'!$B$2:$B$1057,A68,'02c_DC_Accel_Bridge'!$C$2:$C$1057,B68,'02c_DC_Accel_Bridge'!$D$2:$D$1057,C68)/I68,0)</f>
        <v/>
      </c>
      <c r="L68" s="6">
        <f>IF(I68&gt;0,SUMIFS('02c_DC_Accel_Bridge'!$W$2:$W$1057,'02c_DC_Accel_Bridge'!$B$2:$B$1057,A68,'02c_DC_Accel_Bridge'!$C$2:$C$1057,B68,'02c_DC_Accel_Bridge'!$D$2:$D$1057,C68)/I68,0)</f>
        <v/>
      </c>
      <c r="M68" s="6">
        <f>IF(I68&gt;0,SUMIFS('02c_DC_Accel_Bridge'!$X$2:$X$1057,'02c_DC_Accel_Bridge'!$B$2:$B$1057,A68,'02c_DC_Accel_Bridge'!$C$2:$C$1057,B68,'02c_DC_Accel_Bridge'!$D$2:$D$1057,C68)/I68,0)</f>
        <v/>
      </c>
      <c r="N68" s="6">
        <f>IF(I68&gt;0,SUMIFS('02c_DC_Accel_Bridge'!$Y$2:$Y$1057,'02c_DC_Accel_Bridge'!$B$2:$B$1057,A68,'02c_DC_Accel_Bridge'!$C$2:$C$1057,B68,'02c_DC_Accel_Bridge'!$D$2:$D$1057,C68)/I68,0)</f>
        <v/>
      </c>
      <c r="O68" s="6">
        <f>IF(I68&gt;0,SUMIFS('02c_DC_Accel_Bridge'!$Z$2:$Z$1057,'02c_DC_Accel_Bridge'!$B$2:$B$1057,A68,'02c_DC_Accel_Bridge'!$C$2:$C$1057,B68,'02c_DC_Accel_Bridge'!$D$2:$D$1057,C68)/I68,0)</f>
        <v/>
      </c>
      <c r="P68" s="3" t="inlineStr">
        <is>
          <t>weighted average: sum(site inference_weight_mw * accelerator_share) / sum(site inference_weight_mw)</t>
        </is>
      </c>
      <c r="Q68" s="3" t="inlineStr">
        <is>
          <t>dc_capacity_x_dc_accelerator_mix</t>
        </is>
      </c>
      <c r="R68" s="3" t="inlineStr">
        <is>
          <t>Edit 02a capacity allocation and 02b site accelerator mix; 03_Calculation reads D:G from this sheet.</t>
        </is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>
        <f>IF(I69&gt;0,SUMIFS('02c_DC_Accel_Bridge'!$R$2:$R$1057,'02c_DC_Accel_Bridge'!$B$2:$B$1057,A69,'02c_DC_Accel_Bridge'!$C$2:$C$1057,B69,'02c_DC_Accel_Bridge'!$D$2:$D$1057,C69)/I69,0.153136)</f>
        <v/>
      </c>
      <c r="E69" s="6">
        <f>IF(I69&gt;0,SUMIFS('02c_DC_Accel_Bridge'!$S$2:$S$1057,'02c_DC_Accel_Bridge'!$B$2:$B$1057,A69,'02c_DC_Accel_Bridge'!$C$2:$C$1057,B69,'02c_DC_Accel_Bridge'!$D$2:$D$1057,C69)/I69,0.517322)</f>
        <v/>
      </c>
      <c r="F69" s="6">
        <f>IF(I69&gt;0,SUMIFS('02c_DC_Accel_Bridge'!$T$2:$T$1057,'02c_DC_Accel_Bridge'!$B$2:$B$1057,A69,'02c_DC_Accel_Bridge'!$C$2:$C$1057,B69,'02c_DC_Accel_Bridge'!$D$2:$D$1057,C69)/I69,0.124026)</f>
        <v/>
      </c>
      <c r="G69" s="6">
        <f>IF(I69&gt;0,SUMIFS('02c_DC_Accel_Bridge'!$AA$2:$AA$1057,'02c_DC_Accel_Bridge'!$B$2:$B$1057,A69,'02c_DC_Accel_Bridge'!$C$2:$C$1057,B69,'02c_DC_Accel_Bridge'!$D$2:$D$1057,C69)/I69,0.205515)</f>
        <v/>
      </c>
      <c r="H69" s="6">
        <f>SUM(D69:G69)</f>
        <v/>
      </c>
      <c r="I69" s="28">
        <f>SUMIFS('02c_DC_Accel_Bridge'!$H$2:$H$1057,'02c_DC_Accel_Bridge'!$B$2:$B$1057,A69,'02c_DC_Accel_Bridge'!$C$2:$C$1057,B69,'02c_DC_Accel_Bridge'!$D$2:$D$1057,C69)</f>
        <v/>
      </c>
      <c r="J69" s="6">
        <f>IF(I69&gt;0,SUMIFS('02c_DC_Accel_Bridge'!$U$2:$U$1057,'02c_DC_Accel_Bridge'!$B$2:$B$1057,A69,'02c_DC_Accel_Bridge'!$C$2:$C$1057,B69,'02c_DC_Accel_Bridge'!$D$2:$D$1057,C69)/I69,0)</f>
        <v/>
      </c>
      <c r="K69" s="6">
        <f>IF(I69&gt;0,SUMIFS('02c_DC_Accel_Bridge'!$V$2:$V$1057,'02c_DC_Accel_Bridge'!$B$2:$B$1057,A69,'02c_DC_Accel_Bridge'!$C$2:$C$1057,B69,'02c_DC_Accel_Bridge'!$D$2:$D$1057,C69)/I69,0)</f>
        <v/>
      </c>
      <c r="L69" s="6">
        <f>IF(I69&gt;0,SUMIFS('02c_DC_Accel_Bridge'!$W$2:$W$1057,'02c_DC_Accel_Bridge'!$B$2:$B$1057,A69,'02c_DC_Accel_Bridge'!$C$2:$C$1057,B69,'02c_DC_Accel_Bridge'!$D$2:$D$1057,C69)/I69,0)</f>
        <v/>
      </c>
      <c r="M69" s="6">
        <f>IF(I69&gt;0,SUMIFS('02c_DC_Accel_Bridge'!$X$2:$X$1057,'02c_DC_Accel_Bridge'!$B$2:$B$1057,A69,'02c_DC_Accel_Bridge'!$C$2:$C$1057,B69,'02c_DC_Accel_Bridge'!$D$2:$D$1057,C69)/I69,0)</f>
        <v/>
      </c>
      <c r="N69" s="6">
        <f>IF(I69&gt;0,SUMIFS('02c_DC_Accel_Bridge'!$Y$2:$Y$1057,'02c_DC_Accel_Bridge'!$B$2:$B$1057,A69,'02c_DC_Accel_Bridge'!$C$2:$C$1057,B69,'02c_DC_Accel_Bridge'!$D$2:$D$1057,C69)/I69,0)</f>
        <v/>
      </c>
      <c r="O69" s="6">
        <f>IF(I69&gt;0,SUMIFS('02c_DC_Accel_Bridge'!$Z$2:$Z$1057,'02c_DC_Accel_Bridge'!$B$2:$B$1057,A69,'02c_DC_Accel_Bridge'!$C$2:$C$1057,B69,'02c_DC_Accel_Bridge'!$D$2:$D$1057,C69)/I69,0)</f>
        <v/>
      </c>
      <c r="P69" s="3" t="inlineStr">
        <is>
          <t>weighted average: sum(site inference_weight_mw * accelerator_share) / sum(site inference_weight_mw)</t>
        </is>
      </c>
      <c r="Q69" s="3" t="inlineStr">
        <is>
          <t>dc_capacity_x_dc_accelerator_mix</t>
        </is>
      </c>
      <c r="R69" s="3" t="inlineStr">
        <is>
          <t>Edit 02a capacity allocation and 02b site accelerator mix; 03_Calculation reads D:G from this sheet.</t>
        </is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>
        <f>IF(I70&gt;0,SUMIFS('02c_DC_Accel_Bridge'!$R$2:$R$1057,'02c_DC_Accel_Bridge'!$B$2:$B$1057,A70,'02c_DC_Accel_Bridge'!$C$2:$C$1057,B70,'02c_DC_Accel_Bridge'!$D$2:$D$1057,C70)/I70,0.102937)</f>
        <v/>
      </c>
      <c r="E70" s="6">
        <f>IF(I70&gt;0,SUMIFS('02c_DC_Accel_Bridge'!$S$2:$S$1057,'02c_DC_Accel_Bridge'!$B$2:$B$1057,A70,'02c_DC_Accel_Bridge'!$C$2:$C$1057,B70,'02c_DC_Accel_Bridge'!$D$2:$D$1057,C70)/I70,0.529748)</f>
        <v/>
      </c>
      <c r="F70" s="6">
        <f>IF(I70&gt;0,SUMIFS('02c_DC_Accel_Bridge'!$T$2:$T$1057,'02c_DC_Accel_Bridge'!$B$2:$B$1057,A70,'02c_DC_Accel_Bridge'!$C$2:$C$1057,B70,'02c_DC_Accel_Bridge'!$D$2:$D$1057,C70)/I70,0.169295)</f>
        <v/>
      </c>
      <c r="G70" s="6">
        <f>IF(I70&gt;0,SUMIFS('02c_DC_Accel_Bridge'!$AA$2:$AA$1057,'02c_DC_Accel_Bridge'!$B$2:$B$1057,A70,'02c_DC_Accel_Bridge'!$C$2:$C$1057,B70,'02c_DC_Accel_Bridge'!$D$2:$D$1057,C70)/I70,0.19802)</f>
        <v/>
      </c>
      <c r="H70" s="6">
        <f>SUM(D70:G70)</f>
        <v/>
      </c>
      <c r="I70" s="28">
        <f>SUMIFS('02c_DC_Accel_Bridge'!$H$2:$H$1057,'02c_DC_Accel_Bridge'!$B$2:$B$1057,A70,'02c_DC_Accel_Bridge'!$C$2:$C$1057,B70,'02c_DC_Accel_Bridge'!$D$2:$D$1057,C70)</f>
        <v/>
      </c>
      <c r="J70" s="6">
        <f>IF(I70&gt;0,SUMIFS('02c_DC_Accel_Bridge'!$U$2:$U$1057,'02c_DC_Accel_Bridge'!$B$2:$B$1057,A70,'02c_DC_Accel_Bridge'!$C$2:$C$1057,B70,'02c_DC_Accel_Bridge'!$D$2:$D$1057,C70)/I70,0)</f>
        <v/>
      </c>
      <c r="K70" s="6">
        <f>IF(I70&gt;0,SUMIFS('02c_DC_Accel_Bridge'!$V$2:$V$1057,'02c_DC_Accel_Bridge'!$B$2:$B$1057,A70,'02c_DC_Accel_Bridge'!$C$2:$C$1057,B70,'02c_DC_Accel_Bridge'!$D$2:$D$1057,C70)/I70,0)</f>
        <v/>
      </c>
      <c r="L70" s="6">
        <f>IF(I70&gt;0,SUMIFS('02c_DC_Accel_Bridge'!$W$2:$W$1057,'02c_DC_Accel_Bridge'!$B$2:$B$1057,A70,'02c_DC_Accel_Bridge'!$C$2:$C$1057,B70,'02c_DC_Accel_Bridge'!$D$2:$D$1057,C70)/I70,0)</f>
        <v/>
      </c>
      <c r="M70" s="6">
        <f>IF(I70&gt;0,SUMIFS('02c_DC_Accel_Bridge'!$X$2:$X$1057,'02c_DC_Accel_Bridge'!$B$2:$B$1057,A70,'02c_DC_Accel_Bridge'!$C$2:$C$1057,B70,'02c_DC_Accel_Bridge'!$D$2:$D$1057,C70)/I70,0)</f>
        <v/>
      </c>
      <c r="N70" s="6">
        <f>IF(I70&gt;0,SUMIFS('02c_DC_Accel_Bridge'!$Y$2:$Y$1057,'02c_DC_Accel_Bridge'!$B$2:$B$1057,A70,'02c_DC_Accel_Bridge'!$C$2:$C$1057,B70,'02c_DC_Accel_Bridge'!$D$2:$D$1057,C70)/I70,0)</f>
        <v/>
      </c>
      <c r="O70" s="6">
        <f>IF(I70&gt;0,SUMIFS('02c_DC_Accel_Bridge'!$Z$2:$Z$1057,'02c_DC_Accel_Bridge'!$B$2:$B$1057,A70,'02c_DC_Accel_Bridge'!$C$2:$C$1057,B70,'02c_DC_Accel_Bridge'!$D$2:$D$1057,C70)/I70,0)</f>
        <v/>
      </c>
      <c r="P70" s="3" t="inlineStr">
        <is>
          <t>weighted average: sum(site inference_weight_mw * accelerator_share) / sum(site inference_weight_mw)</t>
        </is>
      </c>
      <c r="Q70" s="3" t="inlineStr">
        <is>
          <t>dc_capacity_x_dc_accelerator_mix</t>
        </is>
      </c>
      <c r="R70" s="3" t="inlineStr">
        <is>
          <t>Edit 02a capacity allocation and 02b site accelerator mix; 03_Calculation reads D:G from this sheet.</t>
        </is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>
        <f>IF(I71&gt;0,SUMIFS('02c_DC_Accel_Bridge'!$R$2:$R$1057,'02c_DC_Accel_Bridge'!$B$2:$B$1057,A71,'02c_DC_Accel_Bridge'!$C$2:$C$1057,B71,'02c_DC_Accel_Bridge'!$D$2:$D$1057,C71)/I71,0.057924)</f>
        <v/>
      </c>
      <c r="E71" s="6">
        <f>IF(I71&gt;0,SUMIFS('02c_DC_Accel_Bridge'!$S$2:$S$1057,'02c_DC_Accel_Bridge'!$B$2:$B$1057,A71,'02c_DC_Accel_Bridge'!$C$2:$C$1057,B71,'02c_DC_Accel_Bridge'!$D$2:$D$1057,C71)/I71,0.524968)</f>
        <v/>
      </c>
      <c r="F71" s="6">
        <f>IF(I71&gt;0,SUMIFS('02c_DC_Accel_Bridge'!$T$2:$T$1057,'02c_DC_Accel_Bridge'!$B$2:$B$1057,A71,'02c_DC_Accel_Bridge'!$C$2:$C$1057,B71,'02c_DC_Accel_Bridge'!$D$2:$D$1057,C71)/I71,0.219088)</f>
        <v/>
      </c>
      <c r="G71" s="6">
        <f>IF(I71&gt;0,SUMIFS('02c_DC_Accel_Bridge'!$AA$2:$AA$1057,'02c_DC_Accel_Bridge'!$B$2:$B$1057,A71,'02c_DC_Accel_Bridge'!$C$2:$C$1057,B71,'02c_DC_Accel_Bridge'!$D$2:$D$1057,C71)/I71,0.19802)</f>
        <v/>
      </c>
      <c r="H71" s="6">
        <f>SUM(D71:G71)</f>
        <v/>
      </c>
      <c r="I71" s="28">
        <f>SUMIFS('02c_DC_Accel_Bridge'!$H$2:$H$1057,'02c_DC_Accel_Bridge'!$B$2:$B$1057,A71,'02c_DC_Accel_Bridge'!$C$2:$C$1057,B71,'02c_DC_Accel_Bridge'!$D$2:$D$1057,C71)</f>
        <v/>
      </c>
      <c r="J71" s="6">
        <f>IF(I71&gt;0,SUMIFS('02c_DC_Accel_Bridge'!$U$2:$U$1057,'02c_DC_Accel_Bridge'!$B$2:$B$1057,A71,'02c_DC_Accel_Bridge'!$C$2:$C$1057,B71,'02c_DC_Accel_Bridge'!$D$2:$D$1057,C71)/I71,0)</f>
        <v/>
      </c>
      <c r="K71" s="6">
        <f>IF(I71&gt;0,SUMIFS('02c_DC_Accel_Bridge'!$V$2:$V$1057,'02c_DC_Accel_Bridge'!$B$2:$B$1057,A71,'02c_DC_Accel_Bridge'!$C$2:$C$1057,B71,'02c_DC_Accel_Bridge'!$D$2:$D$1057,C71)/I71,0)</f>
        <v/>
      </c>
      <c r="L71" s="6">
        <f>IF(I71&gt;0,SUMIFS('02c_DC_Accel_Bridge'!$W$2:$W$1057,'02c_DC_Accel_Bridge'!$B$2:$B$1057,A71,'02c_DC_Accel_Bridge'!$C$2:$C$1057,B71,'02c_DC_Accel_Bridge'!$D$2:$D$1057,C71)/I71,0)</f>
        <v/>
      </c>
      <c r="M71" s="6">
        <f>IF(I71&gt;0,SUMIFS('02c_DC_Accel_Bridge'!$X$2:$X$1057,'02c_DC_Accel_Bridge'!$B$2:$B$1057,A71,'02c_DC_Accel_Bridge'!$C$2:$C$1057,B71,'02c_DC_Accel_Bridge'!$D$2:$D$1057,C71)/I71,0)</f>
        <v/>
      </c>
      <c r="N71" s="6">
        <f>IF(I71&gt;0,SUMIFS('02c_DC_Accel_Bridge'!$Y$2:$Y$1057,'02c_DC_Accel_Bridge'!$B$2:$B$1057,A71,'02c_DC_Accel_Bridge'!$C$2:$C$1057,B71,'02c_DC_Accel_Bridge'!$D$2:$D$1057,C71)/I71,0)</f>
        <v/>
      </c>
      <c r="O71" s="6">
        <f>IF(I71&gt;0,SUMIFS('02c_DC_Accel_Bridge'!$Z$2:$Z$1057,'02c_DC_Accel_Bridge'!$B$2:$B$1057,A71,'02c_DC_Accel_Bridge'!$C$2:$C$1057,B71,'02c_DC_Accel_Bridge'!$D$2:$D$1057,C71)/I71,0)</f>
        <v/>
      </c>
      <c r="P71" s="3" t="inlineStr">
        <is>
          <t>weighted average: sum(site inference_weight_mw * accelerator_share) / sum(site inference_weight_mw)</t>
        </is>
      </c>
      <c r="Q71" s="3" t="inlineStr">
        <is>
          <t>dc_capacity_x_dc_accelerator_mix</t>
        </is>
      </c>
      <c r="R71" s="3" t="inlineStr">
        <is>
          <t>Edit 02a capacity allocation and 02b site accelerator mix; 03_Calculation reads D:G from this sheet.</t>
        </is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>
        <f>IF(I72&gt;0,SUMIFS('02c_DC_Accel_Bridge'!$R$2:$R$1057,'02c_DC_Accel_Bridge'!$B$2:$B$1057,A72,'02c_DC_Accel_Bridge'!$C$2:$C$1057,B72,'02c_DC_Accel_Bridge'!$D$2:$D$1057,C72)/I72,0.138978)</f>
        <v/>
      </c>
      <c r="E72" s="6">
        <f>IF(I72&gt;0,SUMIFS('02c_DC_Accel_Bridge'!$S$2:$S$1057,'02c_DC_Accel_Bridge'!$B$2:$B$1057,A72,'02c_DC_Accel_Bridge'!$C$2:$C$1057,B72,'02c_DC_Accel_Bridge'!$D$2:$D$1057,C72)/I72,0.181561)</f>
        <v/>
      </c>
      <c r="F72" s="6">
        <f>IF(I72&gt;0,SUMIFS('02c_DC_Accel_Bridge'!$T$2:$T$1057,'02c_DC_Accel_Bridge'!$B$2:$B$1057,A72,'02c_DC_Accel_Bridge'!$C$2:$C$1057,B72,'02c_DC_Accel_Bridge'!$D$2:$D$1057,C72)/I72,0.0)</f>
        <v/>
      </c>
      <c r="G72" s="6">
        <f>IF(I72&gt;0,SUMIFS('02c_DC_Accel_Bridge'!$AA$2:$AA$1057,'02c_DC_Accel_Bridge'!$B$2:$B$1057,A72,'02c_DC_Accel_Bridge'!$C$2:$C$1057,B72,'02c_DC_Accel_Bridge'!$D$2:$D$1057,C72)/I72,0.679461)</f>
        <v/>
      </c>
      <c r="H72" s="6">
        <f>SUM(D72:G72)</f>
        <v/>
      </c>
      <c r="I72" s="28">
        <f>SUMIFS('02c_DC_Accel_Bridge'!$H$2:$H$1057,'02c_DC_Accel_Bridge'!$B$2:$B$1057,A72,'02c_DC_Accel_Bridge'!$C$2:$C$1057,B72,'02c_DC_Accel_Bridge'!$D$2:$D$1057,C72)</f>
        <v/>
      </c>
      <c r="J72" s="6">
        <f>IF(I72&gt;0,SUMIFS('02c_DC_Accel_Bridge'!$U$2:$U$1057,'02c_DC_Accel_Bridge'!$B$2:$B$1057,A72,'02c_DC_Accel_Bridge'!$C$2:$C$1057,B72,'02c_DC_Accel_Bridge'!$D$2:$D$1057,C72)/I72,0)</f>
        <v/>
      </c>
      <c r="K72" s="6">
        <f>IF(I72&gt;0,SUMIFS('02c_DC_Accel_Bridge'!$V$2:$V$1057,'02c_DC_Accel_Bridge'!$B$2:$B$1057,A72,'02c_DC_Accel_Bridge'!$C$2:$C$1057,B72,'02c_DC_Accel_Bridge'!$D$2:$D$1057,C72)/I72,0)</f>
        <v/>
      </c>
      <c r="L72" s="6">
        <f>IF(I72&gt;0,SUMIFS('02c_DC_Accel_Bridge'!$W$2:$W$1057,'02c_DC_Accel_Bridge'!$B$2:$B$1057,A72,'02c_DC_Accel_Bridge'!$C$2:$C$1057,B72,'02c_DC_Accel_Bridge'!$D$2:$D$1057,C72)/I72,0)</f>
        <v/>
      </c>
      <c r="M72" s="6">
        <f>IF(I72&gt;0,SUMIFS('02c_DC_Accel_Bridge'!$X$2:$X$1057,'02c_DC_Accel_Bridge'!$B$2:$B$1057,A72,'02c_DC_Accel_Bridge'!$C$2:$C$1057,B72,'02c_DC_Accel_Bridge'!$D$2:$D$1057,C72)/I72,0)</f>
        <v/>
      </c>
      <c r="N72" s="6">
        <f>IF(I72&gt;0,SUMIFS('02c_DC_Accel_Bridge'!$Y$2:$Y$1057,'02c_DC_Accel_Bridge'!$B$2:$B$1057,A72,'02c_DC_Accel_Bridge'!$C$2:$C$1057,B72,'02c_DC_Accel_Bridge'!$D$2:$D$1057,C72)/I72,0)</f>
        <v/>
      </c>
      <c r="O72" s="6">
        <f>IF(I72&gt;0,SUMIFS('02c_DC_Accel_Bridge'!$Z$2:$Z$1057,'02c_DC_Accel_Bridge'!$B$2:$B$1057,A72,'02c_DC_Accel_Bridge'!$C$2:$C$1057,B72,'02c_DC_Accel_Bridge'!$D$2:$D$1057,C72)/I72,0)</f>
        <v/>
      </c>
      <c r="P72" s="3" t="inlineStr">
        <is>
          <t>weighted average: sum(site inference_weight_mw * accelerator_share) / sum(site inference_weight_mw)</t>
        </is>
      </c>
      <c r="Q72" s="3" t="inlineStr">
        <is>
          <t>dc_capacity_x_dc_accelerator_mix</t>
        </is>
      </c>
      <c r="R72" s="3" t="inlineStr">
        <is>
          <t>Edit 02a capacity allocation and 02b site accelerator mix; 03_Calculation reads D:G from this sheet.</t>
        </is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>
        <f>IF(I73&gt;0,SUMIFS('02c_DC_Accel_Bridge'!$R$2:$R$1057,'02c_DC_Accel_Bridge'!$B$2:$B$1057,A73,'02c_DC_Accel_Bridge'!$C$2:$C$1057,B73,'02c_DC_Accel_Bridge'!$D$2:$D$1057,C73)/I73,0.128806)</f>
        <v/>
      </c>
      <c r="E73" s="6">
        <f>IF(I73&gt;0,SUMIFS('02c_DC_Accel_Bridge'!$S$2:$S$1057,'02c_DC_Accel_Bridge'!$B$2:$B$1057,A73,'02c_DC_Accel_Bridge'!$C$2:$C$1057,B73,'02c_DC_Accel_Bridge'!$D$2:$D$1057,C73)/I73,0.207151)</f>
        <v/>
      </c>
      <c r="F73" s="6">
        <f>IF(I73&gt;0,SUMIFS('02c_DC_Accel_Bridge'!$T$2:$T$1057,'02c_DC_Accel_Bridge'!$B$2:$B$1057,A73,'02c_DC_Accel_Bridge'!$C$2:$C$1057,B73,'02c_DC_Accel_Bridge'!$D$2:$D$1057,C73)/I73,0.0)</f>
        <v/>
      </c>
      <c r="G73" s="6">
        <f>IF(I73&gt;0,SUMIFS('02c_DC_Accel_Bridge'!$AA$2:$AA$1057,'02c_DC_Accel_Bridge'!$B$2:$B$1057,A73,'02c_DC_Accel_Bridge'!$C$2:$C$1057,B73,'02c_DC_Accel_Bridge'!$D$2:$D$1057,C73)/I73,0.664043)</f>
        <v/>
      </c>
      <c r="H73" s="6">
        <f>SUM(D73:G73)</f>
        <v/>
      </c>
      <c r="I73" s="28">
        <f>SUMIFS('02c_DC_Accel_Bridge'!$H$2:$H$1057,'02c_DC_Accel_Bridge'!$B$2:$B$1057,A73,'02c_DC_Accel_Bridge'!$C$2:$C$1057,B73,'02c_DC_Accel_Bridge'!$D$2:$D$1057,C73)</f>
        <v/>
      </c>
      <c r="J73" s="6">
        <f>IF(I73&gt;0,SUMIFS('02c_DC_Accel_Bridge'!$U$2:$U$1057,'02c_DC_Accel_Bridge'!$B$2:$B$1057,A73,'02c_DC_Accel_Bridge'!$C$2:$C$1057,B73,'02c_DC_Accel_Bridge'!$D$2:$D$1057,C73)/I73,0)</f>
        <v/>
      </c>
      <c r="K73" s="6">
        <f>IF(I73&gt;0,SUMIFS('02c_DC_Accel_Bridge'!$V$2:$V$1057,'02c_DC_Accel_Bridge'!$B$2:$B$1057,A73,'02c_DC_Accel_Bridge'!$C$2:$C$1057,B73,'02c_DC_Accel_Bridge'!$D$2:$D$1057,C73)/I73,0)</f>
        <v/>
      </c>
      <c r="L73" s="6">
        <f>IF(I73&gt;0,SUMIFS('02c_DC_Accel_Bridge'!$W$2:$W$1057,'02c_DC_Accel_Bridge'!$B$2:$B$1057,A73,'02c_DC_Accel_Bridge'!$C$2:$C$1057,B73,'02c_DC_Accel_Bridge'!$D$2:$D$1057,C73)/I73,0)</f>
        <v/>
      </c>
      <c r="M73" s="6">
        <f>IF(I73&gt;0,SUMIFS('02c_DC_Accel_Bridge'!$X$2:$X$1057,'02c_DC_Accel_Bridge'!$B$2:$B$1057,A73,'02c_DC_Accel_Bridge'!$C$2:$C$1057,B73,'02c_DC_Accel_Bridge'!$D$2:$D$1057,C73)/I73,0)</f>
        <v/>
      </c>
      <c r="N73" s="6">
        <f>IF(I73&gt;0,SUMIFS('02c_DC_Accel_Bridge'!$Y$2:$Y$1057,'02c_DC_Accel_Bridge'!$B$2:$B$1057,A73,'02c_DC_Accel_Bridge'!$C$2:$C$1057,B73,'02c_DC_Accel_Bridge'!$D$2:$D$1057,C73)/I73,0)</f>
        <v/>
      </c>
      <c r="O73" s="6">
        <f>IF(I73&gt;0,SUMIFS('02c_DC_Accel_Bridge'!$Z$2:$Z$1057,'02c_DC_Accel_Bridge'!$B$2:$B$1057,A73,'02c_DC_Accel_Bridge'!$C$2:$C$1057,B73,'02c_DC_Accel_Bridge'!$D$2:$D$1057,C73)/I73,0)</f>
        <v/>
      </c>
      <c r="P73" s="3" t="inlineStr">
        <is>
          <t>weighted average: sum(site inference_weight_mw * accelerator_share) / sum(site inference_weight_mw)</t>
        </is>
      </c>
      <c r="Q73" s="3" t="inlineStr">
        <is>
          <t>dc_capacity_x_dc_accelerator_mix</t>
        </is>
      </c>
      <c r="R73" s="3" t="inlineStr">
        <is>
          <t>Edit 02a capacity allocation and 02b site accelerator mix; 03_Calculation reads D:G from this sheet.</t>
        </is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>
        <f>IF(I74&gt;0,SUMIFS('02c_DC_Accel_Bridge'!$R$2:$R$1057,'02c_DC_Accel_Bridge'!$B$2:$B$1057,A74,'02c_DC_Accel_Bridge'!$C$2:$C$1057,B74,'02c_DC_Accel_Bridge'!$D$2:$D$1057,C74)/I74,0.068417)</f>
        <v/>
      </c>
      <c r="E74" s="6">
        <f>IF(I74&gt;0,SUMIFS('02c_DC_Accel_Bridge'!$S$2:$S$1057,'02c_DC_Accel_Bridge'!$B$2:$B$1057,A74,'02c_DC_Accel_Bridge'!$C$2:$C$1057,B74,'02c_DC_Accel_Bridge'!$D$2:$D$1057,C74)/I74,0.110031)</f>
        <v/>
      </c>
      <c r="F74" s="6">
        <f>IF(I74&gt;0,SUMIFS('02c_DC_Accel_Bridge'!$T$2:$T$1057,'02c_DC_Accel_Bridge'!$B$2:$B$1057,A74,'02c_DC_Accel_Bridge'!$C$2:$C$1057,B74,'02c_DC_Accel_Bridge'!$D$2:$D$1057,C74)/I74,0.0)</f>
        <v/>
      </c>
      <c r="G74" s="6">
        <f>IF(I74&gt;0,SUMIFS('02c_DC_Accel_Bridge'!$AA$2:$AA$1057,'02c_DC_Accel_Bridge'!$B$2:$B$1057,A74,'02c_DC_Accel_Bridge'!$C$2:$C$1057,B74,'02c_DC_Accel_Bridge'!$D$2:$D$1057,C74)/I74,0.821552)</f>
        <v/>
      </c>
      <c r="H74" s="6">
        <f>SUM(D74:G74)</f>
        <v/>
      </c>
      <c r="I74" s="28">
        <f>SUMIFS('02c_DC_Accel_Bridge'!$H$2:$H$1057,'02c_DC_Accel_Bridge'!$B$2:$B$1057,A74,'02c_DC_Accel_Bridge'!$C$2:$C$1057,B74,'02c_DC_Accel_Bridge'!$D$2:$D$1057,C74)</f>
        <v/>
      </c>
      <c r="J74" s="6">
        <f>IF(I74&gt;0,SUMIFS('02c_DC_Accel_Bridge'!$U$2:$U$1057,'02c_DC_Accel_Bridge'!$B$2:$B$1057,A74,'02c_DC_Accel_Bridge'!$C$2:$C$1057,B74,'02c_DC_Accel_Bridge'!$D$2:$D$1057,C74)/I74,0)</f>
        <v/>
      </c>
      <c r="K74" s="6">
        <f>IF(I74&gt;0,SUMIFS('02c_DC_Accel_Bridge'!$V$2:$V$1057,'02c_DC_Accel_Bridge'!$B$2:$B$1057,A74,'02c_DC_Accel_Bridge'!$C$2:$C$1057,B74,'02c_DC_Accel_Bridge'!$D$2:$D$1057,C74)/I74,0)</f>
        <v/>
      </c>
      <c r="L74" s="6">
        <f>IF(I74&gt;0,SUMIFS('02c_DC_Accel_Bridge'!$W$2:$W$1057,'02c_DC_Accel_Bridge'!$B$2:$B$1057,A74,'02c_DC_Accel_Bridge'!$C$2:$C$1057,B74,'02c_DC_Accel_Bridge'!$D$2:$D$1057,C74)/I74,0)</f>
        <v/>
      </c>
      <c r="M74" s="6">
        <f>IF(I74&gt;0,SUMIFS('02c_DC_Accel_Bridge'!$X$2:$X$1057,'02c_DC_Accel_Bridge'!$B$2:$B$1057,A74,'02c_DC_Accel_Bridge'!$C$2:$C$1057,B74,'02c_DC_Accel_Bridge'!$D$2:$D$1057,C74)/I74,0)</f>
        <v/>
      </c>
      <c r="N74" s="6">
        <f>IF(I74&gt;0,SUMIFS('02c_DC_Accel_Bridge'!$Y$2:$Y$1057,'02c_DC_Accel_Bridge'!$B$2:$B$1057,A74,'02c_DC_Accel_Bridge'!$C$2:$C$1057,B74,'02c_DC_Accel_Bridge'!$D$2:$D$1057,C74)/I74,0)</f>
        <v/>
      </c>
      <c r="O74" s="6">
        <f>IF(I74&gt;0,SUMIFS('02c_DC_Accel_Bridge'!$Z$2:$Z$1057,'02c_DC_Accel_Bridge'!$B$2:$B$1057,A74,'02c_DC_Accel_Bridge'!$C$2:$C$1057,B74,'02c_DC_Accel_Bridge'!$D$2:$D$1057,C74)/I74,0)</f>
        <v/>
      </c>
      <c r="P74" s="3" t="inlineStr">
        <is>
          <t>weighted average: sum(site inference_weight_mw * accelerator_share) / sum(site inference_weight_mw)</t>
        </is>
      </c>
      <c r="Q74" s="3" t="inlineStr">
        <is>
          <t>dc_capacity_x_dc_accelerator_mix</t>
        </is>
      </c>
      <c r="R74" s="3" t="inlineStr">
        <is>
          <t>Edit 02a capacity allocation and 02b site accelerator mix; 03_Calculation reads D:G from this sheet.</t>
        </is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>
        <f>IF(I75&gt;0,SUMIFS('02c_DC_Accel_Bridge'!$R$2:$R$1057,'02c_DC_Accel_Bridge'!$B$2:$B$1057,A75,'02c_DC_Accel_Bridge'!$C$2:$C$1057,B75,'02c_DC_Accel_Bridge'!$D$2:$D$1057,C75)/I75,0.068417)</f>
        <v/>
      </c>
      <c r="E75" s="6">
        <f>IF(I75&gt;0,SUMIFS('02c_DC_Accel_Bridge'!$S$2:$S$1057,'02c_DC_Accel_Bridge'!$B$2:$B$1057,A75,'02c_DC_Accel_Bridge'!$C$2:$C$1057,B75,'02c_DC_Accel_Bridge'!$D$2:$D$1057,C75)/I75,0.110031)</f>
        <v/>
      </c>
      <c r="F75" s="6">
        <f>IF(I75&gt;0,SUMIFS('02c_DC_Accel_Bridge'!$T$2:$T$1057,'02c_DC_Accel_Bridge'!$B$2:$B$1057,A75,'02c_DC_Accel_Bridge'!$C$2:$C$1057,B75,'02c_DC_Accel_Bridge'!$D$2:$D$1057,C75)/I75,0.0)</f>
        <v/>
      </c>
      <c r="G75" s="6">
        <f>IF(I75&gt;0,SUMIFS('02c_DC_Accel_Bridge'!$AA$2:$AA$1057,'02c_DC_Accel_Bridge'!$B$2:$B$1057,A75,'02c_DC_Accel_Bridge'!$C$2:$C$1057,B75,'02c_DC_Accel_Bridge'!$D$2:$D$1057,C75)/I75,0.821552)</f>
        <v/>
      </c>
      <c r="H75" s="6">
        <f>SUM(D75:G75)</f>
        <v/>
      </c>
      <c r="I75" s="28">
        <f>SUMIFS('02c_DC_Accel_Bridge'!$H$2:$H$1057,'02c_DC_Accel_Bridge'!$B$2:$B$1057,A75,'02c_DC_Accel_Bridge'!$C$2:$C$1057,B75,'02c_DC_Accel_Bridge'!$D$2:$D$1057,C75)</f>
        <v/>
      </c>
      <c r="J75" s="6">
        <f>IF(I75&gt;0,SUMIFS('02c_DC_Accel_Bridge'!$U$2:$U$1057,'02c_DC_Accel_Bridge'!$B$2:$B$1057,A75,'02c_DC_Accel_Bridge'!$C$2:$C$1057,B75,'02c_DC_Accel_Bridge'!$D$2:$D$1057,C75)/I75,0)</f>
        <v/>
      </c>
      <c r="K75" s="6">
        <f>IF(I75&gt;0,SUMIFS('02c_DC_Accel_Bridge'!$V$2:$V$1057,'02c_DC_Accel_Bridge'!$B$2:$B$1057,A75,'02c_DC_Accel_Bridge'!$C$2:$C$1057,B75,'02c_DC_Accel_Bridge'!$D$2:$D$1057,C75)/I75,0)</f>
        <v/>
      </c>
      <c r="L75" s="6">
        <f>IF(I75&gt;0,SUMIFS('02c_DC_Accel_Bridge'!$W$2:$W$1057,'02c_DC_Accel_Bridge'!$B$2:$B$1057,A75,'02c_DC_Accel_Bridge'!$C$2:$C$1057,B75,'02c_DC_Accel_Bridge'!$D$2:$D$1057,C75)/I75,0)</f>
        <v/>
      </c>
      <c r="M75" s="6">
        <f>IF(I75&gt;0,SUMIFS('02c_DC_Accel_Bridge'!$X$2:$X$1057,'02c_DC_Accel_Bridge'!$B$2:$B$1057,A75,'02c_DC_Accel_Bridge'!$C$2:$C$1057,B75,'02c_DC_Accel_Bridge'!$D$2:$D$1057,C75)/I75,0)</f>
        <v/>
      </c>
      <c r="N75" s="6">
        <f>IF(I75&gt;0,SUMIFS('02c_DC_Accel_Bridge'!$Y$2:$Y$1057,'02c_DC_Accel_Bridge'!$B$2:$B$1057,A75,'02c_DC_Accel_Bridge'!$C$2:$C$1057,B75,'02c_DC_Accel_Bridge'!$D$2:$D$1057,C75)/I75,0)</f>
        <v/>
      </c>
      <c r="O75" s="6">
        <f>IF(I75&gt;0,SUMIFS('02c_DC_Accel_Bridge'!$Z$2:$Z$1057,'02c_DC_Accel_Bridge'!$B$2:$B$1057,A75,'02c_DC_Accel_Bridge'!$C$2:$C$1057,B75,'02c_DC_Accel_Bridge'!$D$2:$D$1057,C75)/I75,0)</f>
        <v/>
      </c>
      <c r="P75" s="3" t="inlineStr">
        <is>
          <t>weighted average: sum(site inference_weight_mw * accelerator_share) / sum(site inference_weight_mw)</t>
        </is>
      </c>
      <c r="Q75" s="3" t="inlineStr">
        <is>
          <t>dc_capacity_x_dc_accelerator_mix</t>
        </is>
      </c>
      <c r="R75" s="3" t="inlineStr">
        <is>
          <t>Edit 02a capacity allocation and 02b site accelerator mix; 03_Calculation reads D:G from this sheet.</t>
        </is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>
        <f>IF(I76&gt;0,SUMIFS('02c_DC_Accel_Bridge'!$R$2:$R$1057,'02c_DC_Accel_Bridge'!$B$2:$B$1057,A76,'02c_DC_Accel_Bridge'!$C$2:$C$1057,B76,'02c_DC_Accel_Bridge'!$D$2:$D$1057,C76)/I76,0.068417)</f>
        <v/>
      </c>
      <c r="E76" s="6">
        <f>IF(I76&gt;0,SUMIFS('02c_DC_Accel_Bridge'!$S$2:$S$1057,'02c_DC_Accel_Bridge'!$B$2:$B$1057,A76,'02c_DC_Accel_Bridge'!$C$2:$C$1057,B76,'02c_DC_Accel_Bridge'!$D$2:$D$1057,C76)/I76,0.110031)</f>
        <v/>
      </c>
      <c r="F76" s="6">
        <f>IF(I76&gt;0,SUMIFS('02c_DC_Accel_Bridge'!$T$2:$T$1057,'02c_DC_Accel_Bridge'!$B$2:$B$1057,A76,'02c_DC_Accel_Bridge'!$C$2:$C$1057,B76,'02c_DC_Accel_Bridge'!$D$2:$D$1057,C76)/I76,0.0)</f>
        <v/>
      </c>
      <c r="G76" s="6">
        <f>IF(I76&gt;0,SUMIFS('02c_DC_Accel_Bridge'!$AA$2:$AA$1057,'02c_DC_Accel_Bridge'!$B$2:$B$1057,A76,'02c_DC_Accel_Bridge'!$C$2:$C$1057,B76,'02c_DC_Accel_Bridge'!$D$2:$D$1057,C76)/I76,0.821552)</f>
        <v/>
      </c>
      <c r="H76" s="6">
        <f>SUM(D76:G76)</f>
        <v/>
      </c>
      <c r="I76" s="28">
        <f>SUMIFS('02c_DC_Accel_Bridge'!$H$2:$H$1057,'02c_DC_Accel_Bridge'!$B$2:$B$1057,A76,'02c_DC_Accel_Bridge'!$C$2:$C$1057,B76,'02c_DC_Accel_Bridge'!$D$2:$D$1057,C76)</f>
        <v/>
      </c>
      <c r="J76" s="6">
        <f>IF(I76&gt;0,SUMIFS('02c_DC_Accel_Bridge'!$U$2:$U$1057,'02c_DC_Accel_Bridge'!$B$2:$B$1057,A76,'02c_DC_Accel_Bridge'!$C$2:$C$1057,B76,'02c_DC_Accel_Bridge'!$D$2:$D$1057,C76)/I76,0)</f>
        <v/>
      </c>
      <c r="K76" s="6">
        <f>IF(I76&gt;0,SUMIFS('02c_DC_Accel_Bridge'!$V$2:$V$1057,'02c_DC_Accel_Bridge'!$B$2:$B$1057,A76,'02c_DC_Accel_Bridge'!$C$2:$C$1057,B76,'02c_DC_Accel_Bridge'!$D$2:$D$1057,C76)/I76,0)</f>
        <v/>
      </c>
      <c r="L76" s="6">
        <f>IF(I76&gt;0,SUMIFS('02c_DC_Accel_Bridge'!$W$2:$W$1057,'02c_DC_Accel_Bridge'!$B$2:$B$1057,A76,'02c_DC_Accel_Bridge'!$C$2:$C$1057,B76,'02c_DC_Accel_Bridge'!$D$2:$D$1057,C76)/I76,0)</f>
        <v/>
      </c>
      <c r="M76" s="6">
        <f>IF(I76&gt;0,SUMIFS('02c_DC_Accel_Bridge'!$X$2:$X$1057,'02c_DC_Accel_Bridge'!$B$2:$B$1057,A76,'02c_DC_Accel_Bridge'!$C$2:$C$1057,B76,'02c_DC_Accel_Bridge'!$D$2:$D$1057,C76)/I76,0)</f>
        <v/>
      </c>
      <c r="N76" s="6">
        <f>IF(I76&gt;0,SUMIFS('02c_DC_Accel_Bridge'!$Y$2:$Y$1057,'02c_DC_Accel_Bridge'!$B$2:$B$1057,A76,'02c_DC_Accel_Bridge'!$C$2:$C$1057,B76,'02c_DC_Accel_Bridge'!$D$2:$D$1057,C76)/I76,0)</f>
        <v/>
      </c>
      <c r="O76" s="6">
        <f>IF(I76&gt;0,SUMIFS('02c_DC_Accel_Bridge'!$Z$2:$Z$1057,'02c_DC_Accel_Bridge'!$B$2:$B$1057,A76,'02c_DC_Accel_Bridge'!$C$2:$C$1057,B76,'02c_DC_Accel_Bridge'!$D$2:$D$1057,C76)/I76,0)</f>
        <v/>
      </c>
      <c r="P76" s="3" t="inlineStr">
        <is>
          <t>weighted average: sum(site inference_weight_mw * accelerator_share) / sum(site inference_weight_mw)</t>
        </is>
      </c>
      <c r="Q76" s="3" t="inlineStr">
        <is>
          <t>dc_capacity_x_dc_accelerator_mix</t>
        </is>
      </c>
      <c r="R76" s="3" t="inlineStr">
        <is>
          <t>Edit 02a capacity allocation and 02b site accelerator mix; 03_Calculation reads D:G from this sheet.</t>
        </is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>
        <f>IF(I77&gt;0,SUMIFS('02c_DC_Accel_Bridge'!$R$2:$R$1057,'02c_DC_Accel_Bridge'!$B$2:$B$1057,A77,'02c_DC_Accel_Bridge'!$C$2:$C$1057,B77,'02c_DC_Accel_Bridge'!$D$2:$D$1057,C77)/I77,0.55)</f>
        <v/>
      </c>
      <c r="E77" s="6">
        <f>IF(I77&gt;0,SUMIFS('02c_DC_Accel_Bridge'!$S$2:$S$1057,'02c_DC_Accel_Bridge'!$B$2:$B$1057,A77,'02c_DC_Accel_Bridge'!$C$2:$C$1057,B77,'02c_DC_Accel_Bridge'!$D$2:$D$1057,C77)/I77,0.4)</f>
        <v/>
      </c>
      <c r="F77" s="6">
        <f>IF(I77&gt;0,SUMIFS('02c_DC_Accel_Bridge'!$T$2:$T$1057,'02c_DC_Accel_Bridge'!$B$2:$B$1057,A77,'02c_DC_Accel_Bridge'!$C$2:$C$1057,B77,'02c_DC_Accel_Bridge'!$D$2:$D$1057,C77)/I77,0.05)</f>
        <v/>
      </c>
      <c r="G77" s="6">
        <f>IF(I77&gt;0,SUMIFS('02c_DC_Accel_Bridge'!$AA$2:$AA$1057,'02c_DC_Accel_Bridge'!$B$2:$B$1057,A77,'02c_DC_Accel_Bridge'!$C$2:$C$1057,B77,'02c_DC_Accel_Bridge'!$D$2:$D$1057,C77)/I77,0.0)</f>
        <v/>
      </c>
      <c r="H77" s="6">
        <f>SUM(D77:G77)</f>
        <v/>
      </c>
      <c r="I77" s="28">
        <f>SUMIFS('02c_DC_Accel_Bridge'!$H$2:$H$1057,'02c_DC_Accel_Bridge'!$B$2:$B$1057,A77,'02c_DC_Accel_Bridge'!$C$2:$C$1057,B77,'02c_DC_Accel_Bridge'!$D$2:$D$1057,C77)</f>
        <v/>
      </c>
      <c r="J77" s="6">
        <f>IF(I77&gt;0,SUMIFS('02c_DC_Accel_Bridge'!$U$2:$U$1057,'02c_DC_Accel_Bridge'!$B$2:$B$1057,A77,'02c_DC_Accel_Bridge'!$C$2:$C$1057,B77,'02c_DC_Accel_Bridge'!$D$2:$D$1057,C77)/I77,0)</f>
        <v/>
      </c>
      <c r="K77" s="6">
        <f>IF(I77&gt;0,SUMIFS('02c_DC_Accel_Bridge'!$V$2:$V$1057,'02c_DC_Accel_Bridge'!$B$2:$B$1057,A77,'02c_DC_Accel_Bridge'!$C$2:$C$1057,B77,'02c_DC_Accel_Bridge'!$D$2:$D$1057,C77)/I77,0)</f>
        <v/>
      </c>
      <c r="L77" s="6">
        <f>IF(I77&gt;0,SUMIFS('02c_DC_Accel_Bridge'!$W$2:$W$1057,'02c_DC_Accel_Bridge'!$B$2:$B$1057,A77,'02c_DC_Accel_Bridge'!$C$2:$C$1057,B77,'02c_DC_Accel_Bridge'!$D$2:$D$1057,C77)/I77,0)</f>
        <v/>
      </c>
      <c r="M77" s="6">
        <f>IF(I77&gt;0,SUMIFS('02c_DC_Accel_Bridge'!$X$2:$X$1057,'02c_DC_Accel_Bridge'!$B$2:$B$1057,A77,'02c_DC_Accel_Bridge'!$C$2:$C$1057,B77,'02c_DC_Accel_Bridge'!$D$2:$D$1057,C77)/I77,0)</f>
        <v/>
      </c>
      <c r="N77" s="6">
        <f>IF(I77&gt;0,SUMIFS('02c_DC_Accel_Bridge'!$Y$2:$Y$1057,'02c_DC_Accel_Bridge'!$B$2:$B$1057,A77,'02c_DC_Accel_Bridge'!$C$2:$C$1057,B77,'02c_DC_Accel_Bridge'!$D$2:$D$1057,C77)/I77,0)</f>
        <v/>
      </c>
      <c r="O77" s="6">
        <f>IF(I77&gt;0,SUMIFS('02c_DC_Accel_Bridge'!$Z$2:$Z$1057,'02c_DC_Accel_Bridge'!$B$2:$B$1057,A77,'02c_DC_Accel_Bridge'!$C$2:$C$1057,B77,'02c_DC_Accel_Bridge'!$D$2:$D$1057,C77)/I77,0)</f>
        <v/>
      </c>
      <c r="P77" s="3" t="inlineStr">
        <is>
          <t>weighted average: sum(site inference_weight_mw * accelerator_share) / sum(site inference_weight_mw)</t>
        </is>
      </c>
      <c r="Q77" s="3" t="inlineStr">
        <is>
          <t>dc_capacity_x_dc_accelerator_mix</t>
        </is>
      </c>
      <c r="R77" s="3" t="inlineStr">
        <is>
          <t>Edit 02a capacity allocation and 02b site accelerator mix; 03_Calculation reads D:G from this sheet.</t>
        </is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>
        <f>IF(I78&gt;0,SUMIFS('02c_DC_Accel_Bridge'!$R$2:$R$1057,'02c_DC_Accel_Bridge'!$B$2:$B$1057,A78,'02c_DC_Accel_Bridge'!$C$2:$C$1057,B78,'02c_DC_Accel_Bridge'!$D$2:$D$1057,C78)/I78,0.438)</f>
        <v/>
      </c>
      <c r="E78" s="6">
        <f>IF(I78&gt;0,SUMIFS('02c_DC_Accel_Bridge'!$S$2:$S$1057,'02c_DC_Accel_Bridge'!$B$2:$B$1057,A78,'02c_DC_Accel_Bridge'!$C$2:$C$1057,B78,'02c_DC_Accel_Bridge'!$D$2:$D$1057,C78)/I78,0.388)</f>
        <v/>
      </c>
      <c r="F78" s="6">
        <f>IF(I78&gt;0,SUMIFS('02c_DC_Accel_Bridge'!$T$2:$T$1057,'02c_DC_Accel_Bridge'!$B$2:$B$1057,A78,'02c_DC_Accel_Bridge'!$C$2:$C$1057,B78,'02c_DC_Accel_Bridge'!$D$2:$D$1057,C78)/I78,0.174)</f>
        <v/>
      </c>
      <c r="G78" s="6">
        <f>IF(I78&gt;0,SUMIFS('02c_DC_Accel_Bridge'!$AA$2:$AA$1057,'02c_DC_Accel_Bridge'!$B$2:$B$1057,A78,'02c_DC_Accel_Bridge'!$C$2:$C$1057,B78,'02c_DC_Accel_Bridge'!$D$2:$D$1057,C78)/I78,0.0)</f>
        <v/>
      </c>
      <c r="H78" s="6">
        <f>SUM(D78:G78)</f>
        <v/>
      </c>
      <c r="I78" s="28">
        <f>SUMIFS('02c_DC_Accel_Bridge'!$H$2:$H$1057,'02c_DC_Accel_Bridge'!$B$2:$B$1057,A78,'02c_DC_Accel_Bridge'!$C$2:$C$1057,B78,'02c_DC_Accel_Bridge'!$D$2:$D$1057,C78)</f>
        <v/>
      </c>
      <c r="J78" s="6">
        <f>IF(I78&gt;0,SUMIFS('02c_DC_Accel_Bridge'!$U$2:$U$1057,'02c_DC_Accel_Bridge'!$B$2:$B$1057,A78,'02c_DC_Accel_Bridge'!$C$2:$C$1057,B78,'02c_DC_Accel_Bridge'!$D$2:$D$1057,C78)/I78,0)</f>
        <v/>
      </c>
      <c r="K78" s="6">
        <f>IF(I78&gt;0,SUMIFS('02c_DC_Accel_Bridge'!$V$2:$V$1057,'02c_DC_Accel_Bridge'!$B$2:$B$1057,A78,'02c_DC_Accel_Bridge'!$C$2:$C$1057,B78,'02c_DC_Accel_Bridge'!$D$2:$D$1057,C78)/I78,0)</f>
        <v/>
      </c>
      <c r="L78" s="6">
        <f>IF(I78&gt;0,SUMIFS('02c_DC_Accel_Bridge'!$W$2:$W$1057,'02c_DC_Accel_Bridge'!$B$2:$B$1057,A78,'02c_DC_Accel_Bridge'!$C$2:$C$1057,B78,'02c_DC_Accel_Bridge'!$D$2:$D$1057,C78)/I78,0)</f>
        <v/>
      </c>
      <c r="M78" s="6">
        <f>IF(I78&gt;0,SUMIFS('02c_DC_Accel_Bridge'!$X$2:$X$1057,'02c_DC_Accel_Bridge'!$B$2:$B$1057,A78,'02c_DC_Accel_Bridge'!$C$2:$C$1057,B78,'02c_DC_Accel_Bridge'!$D$2:$D$1057,C78)/I78,0)</f>
        <v/>
      </c>
      <c r="N78" s="6">
        <f>IF(I78&gt;0,SUMIFS('02c_DC_Accel_Bridge'!$Y$2:$Y$1057,'02c_DC_Accel_Bridge'!$B$2:$B$1057,A78,'02c_DC_Accel_Bridge'!$C$2:$C$1057,B78,'02c_DC_Accel_Bridge'!$D$2:$D$1057,C78)/I78,0)</f>
        <v/>
      </c>
      <c r="O78" s="6">
        <f>IF(I78&gt;0,SUMIFS('02c_DC_Accel_Bridge'!$Z$2:$Z$1057,'02c_DC_Accel_Bridge'!$B$2:$B$1057,A78,'02c_DC_Accel_Bridge'!$C$2:$C$1057,B78,'02c_DC_Accel_Bridge'!$D$2:$D$1057,C78)/I78,0)</f>
        <v/>
      </c>
      <c r="P78" s="3" t="inlineStr">
        <is>
          <t>weighted average: sum(site inference_weight_mw * accelerator_share) / sum(site inference_weight_mw)</t>
        </is>
      </c>
      <c r="Q78" s="3" t="inlineStr">
        <is>
          <t>dc_capacity_x_dc_accelerator_mix</t>
        </is>
      </c>
      <c r="R78" s="3" t="inlineStr">
        <is>
          <t>Edit 02a capacity allocation and 02b site accelerator mix; 03_Calculation reads D:G from this sheet.</t>
        </is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>
        <f>IF(I79&gt;0,SUMIFS('02c_DC_Accel_Bridge'!$R$2:$R$1057,'02c_DC_Accel_Bridge'!$B$2:$B$1057,A79,'02c_DC_Accel_Bridge'!$C$2:$C$1057,B79,'02c_DC_Accel_Bridge'!$D$2:$D$1057,C79)/I79,0.325)</f>
        <v/>
      </c>
      <c r="E79" s="6">
        <f>IF(I79&gt;0,SUMIFS('02c_DC_Accel_Bridge'!$S$2:$S$1057,'02c_DC_Accel_Bridge'!$B$2:$B$1057,A79,'02c_DC_Accel_Bridge'!$C$2:$C$1057,B79,'02c_DC_Accel_Bridge'!$D$2:$D$1057,C79)/I79,0.375)</f>
        <v/>
      </c>
      <c r="F79" s="6">
        <f>IF(I79&gt;0,SUMIFS('02c_DC_Accel_Bridge'!$T$2:$T$1057,'02c_DC_Accel_Bridge'!$B$2:$B$1057,A79,'02c_DC_Accel_Bridge'!$C$2:$C$1057,B79,'02c_DC_Accel_Bridge'!$D$2:$D$1057,C79)/I79,0.3)</f>
        <v/>
      </c>
      <c r="G79" s="6">
        <f>IF(I79&gt;0,SUMIFS('02c_DC_Accel_Bridge'!$AA$2:$AA$1057,'02c_DC_Accel_Bridge'!$B$2:$B$1057,A79,'02c_DC_Accel_Bridge'!$C$2:$C$1057,B79,'02c_DC_Accel_Bridge'!$D$2:$D$1057,C79)/I79,0.0)</f>
        <v/>
      </c>
      <c r="H79" s="6">
        <f>SUM(D79:G79)</f>
        <v/>
      </c>
      <c r="I79" s="28">
        <f>SUMIFS('02c_DC_Accel_Bridge'!$H$2:$H$1057,'02c_DC_Accel_Bridge'!$B$2:$B$1057,A79,'02c_DC_Accel_Bridge'!$C$2:$C$1057,B79,'02c_DC_Accel_Bridge'!$D$2:$D$1057,C79)</f>
        <v/>
      </c>
      <c r="J79" s="6">
        <f>IF(I79&gt;0,SUMIFS('02c_DC_Accel_Bridge'!$U$2:$U$1057,'02c_DC_Accel_Bridge'!$B$2:$B$1057,A79,'02c_DC_Accel_Bridge'!$C$2:$C$1057,B79,'02c_DC_Accel_Bridge'!$D$2:$D$1057,C79)/I79,0)</f>
        <v/>
      </c>
      <c r="K79" s="6">
        <f>IF(I79&gt;0,SUMIFS('02c_DC_Accel_Bridge'!$V$2:$V$1057,'02c_DC_Accel_Bridge'!$B$2:$B$1057,A79,'02c_DC_Accel_Bridge'!$C$2:$C$1057,B79,'02c_DC_Accel_Bridge'!$D$2:$D$1057,C79)/I79,0)</f>
        <v/>
      </c>
      <c r="L79" s="6">
        <f>IF(I79&gt;0,SUMIFS('02c_DC_Accel_Bridge'!$W$2:$W$1057,'02c_DC_Accel_Bridge'!$B$2:$B$1057,A79,'02c_DC_Accel_Bridge'!$C$2:$C$1057,B79,'02c_DC_Accel_Bridge'!$D$2:$D$1057,C79)/I79,0)</f>
        <v/>
      </c>
      <c r="M79" s="6">
        <f>IF(I79&gt;0,SUMIFS('02c_DC_Accel_Bridge'!$X$2:$X$1057,'02c_DC_Accel_Bridge'!$B$2:$B$1057,A79,'02c_DC_Accel_Bridge'!$C$2:$C$1057,B79,'02c_DC_Accel_Bridge'!$D$2:$D$1057,C79)/I79,0)</f>
        <v/>
      </c>
      <c r="N79" s="6">
        <f>IF(I79&gt;0,SUMIFS('02c_DC_Accel_Bridge'!$Y$2:$Y$1057,'02c_DC_Accel_Bridge'!$B$2:$B$1057,A79,'02c_DC_Accel_Bridge'!$C$2:$C$1057,B79,'02c_DC_Accel_Bridge'!$D$2:$D$1057,C79)/I79,0)</f>
        <v/>
      </c>
      <c r="O79" s="6">
        <f>IF(I79&gt;0,SUMIFS('02c_DC_Accel_Bridge'!$Z$2:$Z$1057,'02c_DC_Accel_Bridge'!$B$2:$B$1057,A79,'02c_DC_Accel_Bridge'!$C$2:$C$1057,B79,'02c_DC_Accel_Bridge'!$D$2:$D$1057,C79)/I79,0)</f>
        <v/>
      </c>
      <c r="P79" s="3" t="inlineStr">
        <is>
          <t>weighted average: sum(site inference_weight_mw * accelerator_share) / sum(site inference_weight_mw)</t>
        </is>
      </c>
      <c r="Q79" s="3" t="inlineStr">
        <is>
          <t>dc_capacity_x_dc_accelerator_mix</t>
        </is>
      </c>
      <c r="R79" s="3" t="inlineStr">
        <is>
          <t>Edit 02a capacity allocation and 02b site accelerator mix; 03_Calculation reads D:G from this sheet.</t>
        </is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>
        <f>IF(I80&gt;0,SUMIFS('02c_DC_Accel_Bridge'!$R$2:$R$1057,'02c_DC_Accel_Bridge'!$B$2:$B$1057,A80,'02c_DC_Accel_Bridge'!$C$2:$C$1057,B80,'02c_DC_Accel_Bridge'!$D$2:$D$1057,C80)/I80,0.213)</f>
        <v/>
      </c>
      <c r="E80" s="6">
        <f>IF(I80&gt;0,SUMIFS('02c_DC_Accel_Bridge'!$S$2:$S$1057,'02c_DC_Accel_Bridge'!$B$2:$B$1057,A80,'02c_DC_Accel_Bridge'!$C$2:$C$1057,B80,'02c_DC_Accel_Bridge'!$D$2:$D$1057,C80)/I80,0.362)</f>
        <v/>
      </c>
      <c r="F80" s="6">
        <f>IF(I80&gt;0,SUMIFS('02c_DC_Accel_Bridge'!$T$2:$T$1057,'02c_DC_Accel_Bridge'!$B$2:$B$1057,A80,'02c_DC_Accel_Bridge'!$C$2:$C$1057,B80,'02c_DC_Accel_Bridge'!$D$2:$D$1057,C80)/I80,0.425)</f>
        <v/>
      </c>
      <c r="G80" s="6">
        <f>IF(I80&gt;0,SUMIFS('02c_DC_Accel_Bridge'!$AA$2:$AA$1057,'02c_DC_Accel_Bridge'!$B$2:$B$1057,A80,'02c_DC_Accel_Bridge'!$C$2:$C$1057,B80,'02c_DC_Accel_Bridge'!$D$2:$D$1057,C80)/I80,0.0)</f>
        <v/>
      </c>
      <c r="H80" s="6">
        <f>SUM(D80:G80)</f>
        <v/>
      </c>
      <c r="I80" s="28">
        <f>SUMIFS('02c_DC_Accel_Bridge'!$H$2:$H$1057,'02c_DC_Accel_Bridge'!$B$2:$B$1057,A80,'02c_DC_Accel_Bridge'!$C$2:$C$1057,B80,'02c_DC_Accel_Bridge'!$D$2:$D$1057,C80)</f>
        <v/>
      </c>
      <c r="J80" s="6">
        <f>IF(I80&gt;0,SUMIFS('02c_DC_Accel_Bridge'!$U$2:$U$1057,'02c_DC_Accel_Bridge'!$B$2:$B$1057,A80,'02c_DC_Accel_Bridge'!$C$2:$C$1057,B80,'02c_DC_Accel_Bridge'!$D$2:$D$1057,C80)/I80,0)</f>
        <v/>
      </c>
      <c r="K80" s="6">
        <f>IF(I80&gt;0,SUMIFS('02c_DC_Accel_Bridge'!$V$2:$V$1057,'02c_DC_Accel_Bridge'!$B$2:$B$1057,A80,'02c_DC_Accel_Bridge'!$C$2:$C$1057,B80,'02c_DC_Accel_Bridge'!$D$2:$D$1057,C80)/I80,0)</f>
        <v/>
      </c>
      <c r="L80" s="6">
        <f>IF(I80&gt;0,SUMIFS('02c_DC_Accel_Bridge'!$W$2:$W$1057,'02c_DC_Accel_Bridge'!$B$2:$B$1057,A80,'02c_DC_Accel_Bridge'!$C$2:$C$1057,B80,'02c_DC_Accel_Bridge'!$D$2:$D$1057,C80)/I80,0)</f>
        <v/>
      </c>
      <c r="M80" s="6">
        <f>IF(I80&gt;0,SUMIFS('02c_DC_Accel_Bridge'!$X$2:$X$1057,'02c_DC_Accel_Bridge'!$B$2:$B$1057,A80,'02c_DC_Accel_Bridge'!$C$2:$C$1057,B80,'02c_DC_Accel_Bridge'!$D$2:$D$1057,C80)/I80,0)</f>
        <v/>
      </c>
      <c r="N80" s="6">
        <f>IF(I80&gt;0,SUMIFS('02c_DC_Accel_Bridge'!$Y$2:$Y$1057,'02c_DC_Accel_Bridge'!$B$2:$B$1057,A80,'02c_DC_Accel_Bridge'!$C$2:$C$1057,B80,'02c_DC_Accel_Bridge'!$D$2:$D$1057,C80)/I80,0)</f>
        <v/>
      </c>
      <c r="O80" s="6">
        <f>IF(I80&gt;0,SUMIFS('02c_DC_Accel_Bridge'!$Z$2:$Z$1057,'02c_DC_Accel_Bridge'!$B$2:$B$1057,A80,'02c_DC_Accel_Bridge'!$C$2:$C$1057,B80,'02c_DC_Accel_Bridge'!$D$2:$D$1057,C80)/I80,0)</f>
        <v/>
      </c>
      <c r="P80" s="3" t="inlineStr">
        <is>
          <t>weighted average: sum(site inference_weight_mw * accelerator_share) / sum(site inference_weight_mw)</t>
        </is>
      </c>
      <c r="Q80" s="3" t="inlineStr">
        <is>
          <t>dc_capacity_x_dc_accelerator_mix</t>
        </is>
      </c>
      <c r="R80" s="3" t="inlineStr">
        <is>
          <t>Edit 02a capacity allocation and 02b site accelerator mix; 03_Calculation reads D:G from this sheet.</t>
        </is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>
        <f>IF(I81&gt;0,SUMIFS('02c_DC_Accel_Bridge'!$R$2:$R$1057,'02c_DC_Accel_Bridge'!$B$2:$B$1057,A81,'02c_DC_Accel_Bridge'!$C$2:$C$1057,B81,'02c_DC_Accel_Bridge'!$D$2:$D$1057,C81)/I81,0.1)</f>
        <v/>
      </c>
      <c r="E81" s="6">
        <f>IF(I81&gt;0,SUMIFS('02c_DC_Accel_Bridge'!$S$2:$S$1057,'02c_DC_Accel_Bridge'!$B$2:$B$1057,A81,'02c_DC_Accel_Bridge'!$C$2:$C$1057,B81,'02c_DC_Accel_Bridge'!$D$2:$D$1057,C81)/I81,0.35)</f>
        <v/>
      </c>
      <c r="F81" s="6">
        <f>IF(I81&gt;0,SUMIFS('02c_DC_Accel_Bridge'!$T$2:$T$1057,'02c_DC_Accel_Bridge'!$B$2:$B$1057,A81,'02c_DC_Accel_Bridge'!$C$2:$C$1057,B81,'02c_DC_Accel_Bridge'!$D$2:$D$1057,C81)/I81,0.55)</f>
        <v/>
      </c>
      <c r="G81" s="6">
        <f>IF(I81&gt;0,SUMIFS('02c_DC_Accel_Bridge'!$AA$2:$AA$1057,'02c_DC_Accel_Bridge'!$B$2:$B$1057,A81,'02c_DC_Accel_Bridge'!$C$2:$C$1057,B81,'02c_DC_Accel_Bridge'!$D$2:$D$1057,C81)/I81,0.0)</f>
        <v/>
      </c>
      <c r="H81" s="6">
        <f>SUM(D81:G81)</f>
        <v/>
      </c>
      <c r="I81" s="28">
        <f>SUMIFS('02c_DC_Accel_Bridge'!$H$2:$H$1057,'02c_DC_Accel_Bridge'!$B$2:$B$1057,A81,'02c_DC_Accel_Bridge'!$C$2:$C$1057,B81,'02c_DC_Accel_Bridge'!$D$2:$D$1057,C81)</f>
        <v/>
      </c>
      <c r="J81" s="6">
        <f>IF(I81&gt;0,SUMIFS('02c_DC_Accel_Bridge'!$U$2:$U$1057,'02c_DC_Accel_Bridge'!$B$2:$B$1057,A81,'02c_DC_Accel_Bridge'!$C$2:$C$1057,B81,'02c_DC_Accel_Bridge'!$D$2:$D$1057,C81)/I81,0)</f>
        <v/>
      </c>
      <c r="K81" s="6">
        <f>IF(I81&gt;0,SUMIFS('02c_DC_Accel_Bridge'!$V$2:$V$1057,'02c_DC_Accel_Bridge'!$B$2:$B$1057,A81,'02c_DC_Accel_Bridge'!$C$2:$C$1057,B81,'02c_DC_Accel_Bridge'!$D$2:$D$1057,C81)/I81,0)</f>
        <v/>
      </c>
      <c r="L81" s="6">
        <f>IF(I81&gt;0,SUMIFS('02c_DC_Accel_Bridge'!$W$2:$W$1057,'02c_DC_Accel_Bridge'!$B$2:$B$1057,A81,'02c_DC_Accel_Bridge'!$C$2:$C$1057,B81,'02c_DC_Accel_Bridge'!$D$2:$D$1057,C81)/I81,0)</f>
        <v/>
      </c>
      <c r="M81" s="6">
        <f>IF(I81&gt;0,SUMIFS('02c_DC_Accel_Bridge'!$X$2:$X$1057,'02c_DC_Accel_Bridge'!$B$2:$B$1057,A81,'02c_DC_Accel_Bridge'!$C$2:$C$1057,B81,'02c_DC_Accel_Bridge'!$D$2:$D$1057,C81)/I81,0)</f>
        <v/>
      </c>
      <c r="N81" s="6">
        <f>IF(I81&gt;0,SUMIFS('02c_DC_Accel_Bridge'!$Y$2:$Y$1057,'02c_DC_Accel_Bridge'!$B$2:$B$1057,A81,'02c_DC_Accel_Bridge'!$C$2:$C$1057,B81,'02c_DC_Accel_Bridge'!$D$2:$D$1057,C81)/I81,0)</f>
        <v/>
      </c>
      <c r="O81" s="6">
        <f>IF(I81&gt;0,SUMIFS('02c_DC_Accel_Bridge'!$Z$2:$Z$1057,'02c_DC_Accel_Bridge'!$B$2:$B$1057,A81,'02c_DC_Accel_Bridge'!$C$2:$C$1057,B81,'02c_DC_Accel_Bridge'!$D$2:$D$1057,C81)/I81,0)</f>
        <v/>
      </c>
      <c r="P81" s="3" t="inlineStr">
        <is>
          <t>weighted average: sum(site inference_weight_mw * accelerator_share) / sum(site inference_weight_mw)</t>
        </is>
      </c>
      <c r="Q81" s="3" t="inlineStr">
        <is>
          <t>dc_capacity_x_dc_accelerator_mix</t>
        </is>
      </c>
      <c r="R81" s="3" t="inlineStr">
        <is>
          <t>Edit 02a capacity allocation and 02b site accelerator mix; 03_Calculation reads D:G from this sheet.</t>
        </is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>
        <f>IF(I82&gt;0,SUMIFS('02c_DC_Accel_Bridge'!$R$2:$R$1057,'02c_DC_Accel_Bridge'!$B$2:$B$1057,A82,'02c_DC_Accel_Bridge'!$C$2:$C$1057,B82,'02c_DC_Accel_Bridge'!$D$2:$D$1057,C82)/I82,1.0)</f>
        <v/>
      </c>
      <c r="E82" s="6">
        <f>IF(I82&gt;0,SUMIFS('02c_DC_Accel_Bridge'!$S$2:$S$1057,'02c_DC_Accel_Bridge'!$B$2:$B$1057,A82,'02c_DC_Accel_Bridge'!$C$2:$C$1057,B82,'02c_DC_Accel_Bridge'!$D$2:$D$1057,C82)/I82,0.0)</f>
        <v/>
      </c>
      <c r="F82" s="6">
        <f>IF(I82&gt;0,SUMIFS('02c_DC_Accel_Bridge'!$T$2:$T$1057,'02c_DC_Accel_Bridge'!$B$2:$B$1057,A82,'02c_DC_Accel_Bridge'!$C$2:$C$1057,B82,'02c_DC_Accel_Bridge'!$D$2:$D$1057,C82)/I82,0.0)</f>
        <v/>
      </c>
      <c r="G82" s="6">
        <f>IF(I82&gt;0,SUMIFS('02c_DC_Accel_Bridge'!$AA$2:$AA$1057,'02c_DC_Accel_Bridge'!$B$2:$B$1057,A82,'02c_DC_Accel_Bridge'!$C$2:$C$1057,B82,'02c_DC_Accel_Bridge'!$D$2:$D$1057,C82)/I82,0.0)</f>
        <v/>
      </c>
      <c r="H82" s="6">
        <f>SUM(D82:G82)</f>
        <v/>
      </c>
      <c r="I82" s="28">
        <f>SUMIFS('02c_DC_Accel_Bridge'!$H$2:$H$1057,'02c_DC_Accel_Bridge'!$B$2:$B$1057,A82,'02c_DC_Accel_Bridge'!$C$2:$C$1057,B82,'02c_DC_Accel_Bridge'!$D$2:$D$1057,C82)</f>
        <v/>
      </c>
      <c r="J82" s="6">
        <f>IF(I82&gt;0,SUMIFS('02c_DC_Accel_Bridge'!$U$2:$U$1057,'02c_DC_Accel_Bridge'!$B$2:$B$1057,A82,'02c_DC_Accel_Bridge'!$C$2:$C$1057,B82,'02c_DC_Accel_Bridge'!$D$2:$D$1057,C82)/I82,0)</f>
        <v/>
      </c>
      <c r="K82" s="6">
        <f>IF(I82&gt;0,SUMIFS('02c_DC_Accel_Bridge'!$V$2:$V$1057,'02c_DC_Accel_Bridge'!$B$2:$B$1057,A82,'02c_DC_Accel_Bridge'!$C$2:$C$1057,B82,'02c_DC_Accel_Bridge'!$D$2:$D$1057,C82)/I82,0)</f>
        <v/>
      </c>
      <c r="L82" s="6">
        <f>IF(I82&gt;0,SUMIFS('02c_DC_Accel_Bridge'!$W$2:$W$1057,'02c_DC_Accel_Bridge'!$B$2:$B$1057,A82,'02c_DC_Accel_Bridge'!$C$2:$C$1057,B82,'02c_DC_Accel_Bridge'!$D$2:$D$1057,C82)/I82,0)</f>
        <v/>
      </c>
      <c r="M82" s="6">
        <f>IF(I82&gt;0,SUMIFS('02c_DC_Accel_Bridge'!$X$2:$X$1057,'02c_DC_Accel_Bridge'!$B$2:$B$1057,A82,'02c_DC_Accel_Bridge'!$C$2:$C$1057,B82,'02c_DC_Accel_Bridge'!$D$2:$D$1057,C82)/I82,0)</f>
        <v/>
      </c>
      <c r="N82" s="6">
        <f>IF(I82&gt;0,SUMIFS('02c_DC_Accel_Bridge'!$Y$2:$Y$1057,'02c_DC_Accel_Bridge'!$B$2:$B$1057,A82,'02c_DC_Accel_Bridge'!$C$2:$C$1057,B82,'02c_DC_Accel_Bridge'!$D$2:$D$1057,C82)/I82,0)</f>
        <v/>
      </c>
      <c r="O82" s="6">
        <f>IF(I82&gt;0,SUMIFS('02c_DC_Accel_Bridge'!$Z$2:$Z$1057,'02c_DC_Accel_Bridge'!$B$2:$B$1057,A82,'02c_DC_Accel_Bridge'!$C$2:$C$1057,B82,'02c_DC_Accel_Bridge'!$D$2:$D$1057,C82)/I82,0)</f>
        <v/>
      </c>
      <c r="P82" s="3" t="inlineStr">
        <is>
          <t>weighted average: sum(site inference_weight_mw * accelerator_share) / sum(site inference_weight_mw)</t>
        </is>
      </c>
      <c r="Q82" s="3" t="inlineStr">
        <is>
          <t>dc_capacity_x_dc_accelerator_mix</t>
        </is>
      </c>
      <c r="R82" s="3" t="inlineStr">
        <is>
          <t>Edit 02a capacity allocation and 02b site accelerator mix; 03_Calculation reads D:G from this sheet.</t>
        </is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>
        <f>IF(I83&gt;0,SUMIFS('02c_DC_Accel_Bridge'!$R$2:$R$1057,'02c_DC_Accel_Bridge'!$B$2:$B$1057,A83,'02c_DC_Accel_Bridge'!$C$2:$C$1057,B83,'02c_DC_Accel_Bridge'!$D$2:$D$1057,C83)/I83,1.0)</f>
        <v/>
      </c>
      <c r="E83" s="6">
        <f>IF(I83&gt;0,SUMIFS('02c_DC_Accel_Bridge'!$S$2:$S$1057,'02c_DC_Accel_Bridge'!$B$2:$B$1057,A83,'02c_DC_Accel_Bridge'!$C$2:$C$1057,B83,'02c_DC_Accel_Bridge'!$D$2:$D$1057,C83)/I83,0.0)</f>
        <v/>
      </c>
      <c r="F83" s="6">
        <f>IF(I83&gt;0,SUMIFS('02c_DC_Accel_Bridge'!$T$2:$T$1057,'02c_DC_Accel_Bridge'!$B$2:$B$1057,A83,'02c_DC_Accel_Bridge'!$C$2:$C$1057,B83,'02c_DC_Accel_Bridge'!$D$2:$D$1057,C83)/I83,0.0)</f>
        <v/>
      </c>
      <c r="G83" s="6">
        <f>IF(I83&gt;0,SUMIFS('02c_DC_Accel_Bridge'!$AA$2:$AA$1057,'02c_DC_Accel_Bridge'!$B$2:$B$1057,A83,'02c_DC_Accel_Bridge'!$C$2:$C$1057,B83,'02c_DC_Accel_Bridge'!$D$2:$D$1057,C83)/I83,0.0)</f>
        <v/>
      </c>
      <c r="H83" s="6">
        <f>SUM(D83:G83)</f>
        <v/>
      </c>
      <c r="I83" s="28">
        <f>SUMIFS('02c_DC_Accel_Bridge'!$H$2:$H$1057,'02c_DC_Accel_Bridge'!$B$2:$B$1057,A83,'02c_DC_Accel_Bridge'!$C$2:$C$1057,B83,'02c_DC_Accel_Bridge'!$D$2:$D$1057,C83)</f>
        <v/>
      </c>
      <c r="J83" s="6">
        <f>IF(I83&gt;0,SUMIFS('02c_DC_Accel_Bridge'!$U$2:$U$1057,'02c_DC_Accel_Bridge'!$B$2:$B$1057,A83,'02c_DC_Accel_Bridge'!$C$2:$C$1057,B83,'02c_DC_Accel_Bridge'!$D$2:$D$1057,C83)/I83,0)</f>
        <v/>
      </c>
      <c r="K83" s="6">
        <f>IF(I83&gt;0,SUMIFS('02c_DC_Accel_Bridge'!$V$2:$V$1057,'02c_DC_Accel_Bridge'!$B$2:$B$1057,A83,'02c_DC_Accel_Bridge'!$C$2:$C$1057,B83,'02c_DC_Accel_Bridge'!$D$2:$D$1057,C83)/I83,0)</f>
        <v/>
      </c>
      <c r="L83" s="6">
        <f>IF(I83&gt;0,SUMIFS('02c_DC_Accel_Bridge'!$W$2:$W$1057,'02c_DC_Accel_Bridge'!$B$2:$B$1057,A83,'02c_DC_Accel_Bridge'!$C$2:$C$1057,B83,'02c_DC_Accel_Bridge'!$D$2:$D$1057,C83)/I83,0)</f>
        <v/>
      </c>
      <c r="M83" s="6">
        <f>IF(I83&gt;0,SUMIFS('02c_DC_Accel_Bridge'!$X$2:$X$1057,'02c_DC_Accel_Bridge'!$B$2:$B$1057,A83,'02c_DC_Accel_Bridge'!$C$2:$C$1057,B83,'02c_DC_Accel_Bridge'!$D$2:$D$1057,C83)/I83,0)</f>
        <v/>
      </c>
      <c r="N83" s="6">
        <f>IF(I83&gt;0,SUMIFS('02c_DC_Accel_Bridge'!$Y$2:$Y$1057,'02c_DC_Accel_Bridge'!$B$2:$B$1057,A83,'02c_DC_Accel_Bridge'!$C$2:$C$1057,B83,'02c_DC_Accel_Bridge'!$D$2:$D$1057,C83)/I83,0)</f>
        <v/>
      </c>
      <c r="O83" s="6">
        <f>IF(I83&gt;0,SUMIFS('02c_DC_Accel_Bridge'!$Z$2:$Z$1057,'02c_DC_Accel_Bridge'!$B$2:$B$1057,A83,'02c_DC_Accel_Bridge'!$C$2:$C$1057,B83,'02c_DC_Accel_Bridge'!$D$2:$D$1057,C83)/I83,0)</f>
        <v/>
      </c>
      <c r="P83" s="3" t="inlineStr">
        <is>
          <t>weighted average: sum(site inference_weight_mw * accelerator_share) / sum(site inference_weight_mw)</t>
        </is>
      </c>
      <c r="Q83" s="3" t="inlineStr">
        <is>
          <t>dc_capacity_x_dc_accelerator_mix</t>
        </is>
      </c>
      <c r="R83" s="3" t="inlineStr">
        <is>
          <t>Edit 02a capacity allocation and 02b site accelerator mix; 03_Calculation reads D:G from this sheet.</t>
        </is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>
        <f>IF(I84&gt;0,SUMIFS('02c_DC_Accel_Bridge'!$R$2:$R$1057,'02c_DC_Accel_Bridge'!$B$2:$B$1057,A84,'02c_DC_Accel_Bridge'!$C$2:$C$1057,B84,'02c_DC_Accel_Bridge'!$D$2:$D$1057,C84)/I84,1.0)</f>
        <v/>
      </c>
      <c r="E84" s="6">
        <f>IF(I84&gt;0,SUMIFS('02c_DC_Accel_Bridge'!$S$2:$S$1057,'02c_DC_Accel_Bridge'!$B$2:$B$1057,A84,'02c_DC_Accel_Bridge'!$C$2:$C$1057,B84,'02c_DC_Accel_Bridge'!$D$2:$D$1057,C84)/I84,0.0)</f>
        <v/>
      </c>
      <c r="F84" s="6">
        <f>IF(I84&gt;0,SUMIFS('02c_DC_Accel_Bridge'!$T$2:$T$1057,'02c_DC_Accel_Bridge'!$B$2:$B$1057,A84,'02c_DC_Accel_Bridge'!$C$2:$C$1057,B84,'02c_DC_Accel_Bridge'!$D$2:$D$1057,C84)/I84,0.0)</f>
        <v/>
      </c>
      <c r="G84" s="6">
        <f>IF(I84&gt;0,SUMIFS('02c_DC_Accel_Bridge'!$AA$2:$AA$1057,'02c_DC_Accel_Bridge'!$B$2:$B$1057,A84,'02c_DC_Accel_Bridge'!$C$2:$C$1057,B84,'02c_DC_Accel_Bridge'!$D$2:$D$1057,C84)/I84,0.0)</f>
        <v/>
      </c>
      <c r="H84" s="6">
        <f>SUM(D84:G84)</f>
        <v/>
      </c>
      <c r="I84" s="28">
        <f>SUMIFS('02c_DC_Accel_Bridge'!$H$2:$H$1057,'02c_DC_Accel_Bridge'!$B$2:$B$1057,A84,'02c_DC_Accel_Bridge'!$C$2:$C$1057,B84,'02c_DC_Accel_Bridge'!$D$2:$D$1057,C84)</f>
        <v/>
      </c>
      <c r="J84" s="6">
        <f>IF(I84&gt;0,SUMIFS('02c_DC_Accel_Bridge'!$U$2:$U$1057,'02c_DC_Accel_Bridge'!$B$2:$B$1057,A84,'02c_DC_Accel_Bridge'!$C$2:$C$1057,B84,'02c_DC_Accel_Bridge'!$D$2:$D$1057,C84)/I84,0)</f>
        <v/>
      </c>
      <c r="K84" s="6">
        <f>IF(I84&gt;0,SUMIFS('02c_DC_Accel_Bridge'!$V$2:$V$1057,'02c_DC_Accel_Bridge'!$B$2:$B$1057,A84,'02c_DC_Accel_Bridge'!$C$2:$C$1057,B84,'02c_DC_Accel_Bridge'!$D$2:$D$1057,C84)/I84,0)</f>
        <v/>
      </c>
      <c r="L84" s="6">
        <f>IF(I84&gt;0,SUMIFS('02c_DC_Accel_Bridge'!$W$2:$W$1057,'02c_DC_Accel_Bridge'!$B$2:$B$1057,A84,'02c_DC_Accel_Bridge'!$C$2:$C$1057,B84,'02c_DC_Accel_Bridge'!$D$2:$D$1057,C84)/I84,0)</f>
        <v/>
      </c>
      <c r="M84" s="6">
        <f>IF(I84&gt;0,SUMIFS('02c_DC_Accel_Bridge'!$X$2:$X$1057,'02c_DC_Accel_Bridge'!$B$2:$B$1057,A84,'02c_DC_Accel_Bridge'!$C$2:$C$1057,B84,'02c_DC_Accel_Bridge'!$D$2:$D$1057,C84)/I84,0)</f>
        <v/>
      </c>
      <c r="N84" s="6">
        <f>IF(I84&gt;0,SUMIFS('02c_DC_Accel_Bridge'!$Y$2:$Y$1057,'02c_DC_Accel_Bridge'!$B$2:$B$1057,A84,'02c_DC_Accel_Bridge'!$C$2:$C$1057,B84,'02c_DC_Accel_Bridge'!$D$2:$D$1057,C84)/I84,0)</f>
        <v/>
      </c>
      <c r="O84" s="6">
        <f>IF(I84&gt;0,SUMIFS('02c_DC_Accel_Bridge'!$Z$2:$Z$1057,'02c_DC_Accel_Bridge'!$B$2:$B$1057,A84,'02c_DC_Accel_Bridge'!$C$2:$C$1057,B84,'02c_DC_Accel_Bridge'!$D$2:$D$1057,C84)/I84,0)</f>
        <v/>
      </c>
      <c r="P84" s="3" t="inlineStr">
        <is>
          <t>weighted average: sum(site inference_weight_mw * accelerator_share) / sum(site inference_weight_mw)</t>
        </is>
      </c>
      <c r="Q84" s="3" t="inlineStr">
        <is>
          <t>dc_capacity_x_dc_accelerator_mix</t>
        </is>
      </c>
      <c r="R84" s="3" t="inlineStr">
        <is>
          <t>Edit 02a capacity allocation and 02b site accelerator mix; 03_Calculation reads D:G from this sheet.</t>
        </is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>
        <f>IF(I85&gt;0,SUMIFS('02c_DC_Accel_Bridge'!$R$2:$R$1057,'02c_DC_Accel_Bridge'!$B$2:$B$1057,A85,'02c_DC_Accel_Bridge'!$C$2:$C$1057,B85,'02c_DC_Accel_Bridge'!$D$2:$D$1057,C85)/I85,1.0)</f>
        <v/>
      </c>
      <c r="E85" s="6">
        <f>IF(I85&gt;0,SUMIFS('02c_DC_Accel_Bridge'!$S$2:$S$1057,'02c_DC_Accel_Bridge'!$B$2:$B$1057,A85,'02c_DC_Accel_Bridge'!$C$2:$C$1057,B85,'02c_DC_Accel_Bridge'!$D$2:$D$1057,C85)/I85,0.0)</f>
        <v/>
      </c>
      <c r="F85" s="6">
        <f>IF(I85&gt;0,SUMIFS('02c_DC_Accel_Bridge'!$T$2:$T$1057,'02c_DC_Accel_Bridge'!$B$2:$B$1057,A85,'02c_DC_Accel_Bridge'!$C$2:$C$1057,B85,'02c_DC_Accel_Bridge'!$D$2:$D$1057,C85)/I85,0.0)</f>
        <v/>
      </c>
      <c r="G85" s="6">
        <f>IF(I85&gt;0,SUMIFS('02c_DC_Accel_Bridge'!$AA$2:$AA$1057,'02c_DC_Accel_Bridge'!$B$2:$B$1057,A85,'02c_DC_Accel_Bridge'!$C$2:$C$1057,B85,'02c_DC_Accel_Bridge'!$D$2:$D$1057,C85)/I85,0.0)</f>
        <v/>
      </c>
      <c r="H85" s="6">
        <f>SUM(D85:G85)</f>
        <v/>
      </c>
      <c r="I85" s="28">
        <f>SUMIFS('02c_DC_Accel_Bridge'!$H$2:$H$1057,'02c_DC_Accel_Bridge'!$B$2:$B$1057,A85,'02c_DC_Accel_Bridge'!$C$2:$C$1057,B85,'02c_DC_Accel_Bridge'!$D$2:$D$1057,C85)</f>
        <v/>
      </c>
      <c r="J85" s="6">
        <f>IF(I85&gt;0,SUMIFS('02c_DC_Accel_Bridge'!$U$2:$U$1057,'02c_DC_Accel_Bridge'!$B$2:$B$1057,A85,'02c_DC_Accel_Bridge'!$C$2:$C$1057,B85,'02c_DC_Accel_Bridge'!$D$2:$D$1057,C85)/I85,0)</f>
        <v/>
      </c>
      <c r="K85" s="6">
        <f>IF(I85&gt;0,SUMIFS('02c_DC_Accel_Bridge'!$V$2:$V$1057,'02c_DC_Accel_Bridge'!$B$2:$B$1057,A85,'02c_DC_Accel_Bridge'!$C$2:$C$1057,B85,'02c_DC_Accel_Bridge'!$D$2:$D$1057,C85)/I85,0)</f>
        <v/>
      </c>
      <c r="L85" s="6">
        <f>IF(I85&gt;0,SUMIFS('02c_DC_Accel_Bridge'!$W$2:$W$1057,'02c_DC_Accel_Bridge'!$B$2:$B$1057,A85,'02c_DC_Accel_Bridge'!$C$2:$C$1057,B85,'02c_DC_Accel_Bridge'!$D$2:$D$1057,C85)/I85,0)</f>
        <v/>
      </c>
      <c r="M85" s="6">
        <f>IF(I85&gt;0,SUMIFS('02c_DC_Accel_Bridge'!$X$2:$X$1057,'02c_DC_Accel_Bridge'!$B$2:$B$1057,A85,'02c_DC_Accel_Bridge'!$C$2:$C$1057,B85,'02c_DC_Accel_Bridge'!$D$2:$D$1057,C85)/I85,0)</f>
        <v/>
      </c>
      <c r="N85" s="6">
        <f>IF(I85&gt;0,SUMIFS('02c_DC_Accel_Bridge'!$Y$2:$Y$1057,'02c_DC_Accel_Bridge'!$B$2:$B$1057,A85,'02c_DC_Accel_Bridge'!$C$2:$C$1057,B85,'02c_DC_Accel_Bridge'!$D$2:$D$1057,C85)/I85,0)</f>
        <v/>
      </c>
      <c r="O85" s="6">
        <f>IF(I85&gt;0,SUMIFS('02c_DC_Accel_Bridge'!$Z$2:$Z$1057,'02c_DC_Accel_Bridge'!$B$2:$B$1057,A85,'02c_DC_Accel_Bridge'!$C$2:$C$1057,B85,'02c_DC_Accel_Bridge'!$D$2:$D$1057,C85)/I85,0)</f>
        <v/>
      </c>
      <c r="P85" s="3" t="inlineStr">
        <is>
          <t>weighted average: sum(site inference_weight_mw * accelerator_share) / sum(site inference_weight_mw)</t>
        </is>
      </c>
      <c r="Q85" s="3" t="inlineStr">
        <is>
          <t>dc_capacity_x_dc_accelerator_mix</t>
        </is>
      </c>
      <c r="R85" s="3" t="inlineStr">
        <is>
          <t>Edit 02a capacity allocation and 02b site accelerator mix; 03_Calculation reads D:G from this sheet.</t>
        </is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>
        <f>IF(I86&gt;0,SUMIFS('02c_DC_Accel_Bridge'!$R$2:$R$1057,'02c_DC_Accel_Bridge'!$B$2:$B$1057,A86,'02c_DC_Accel_Bridge'!$C$2:$C$1057,B86,'02c_DC_Accel_Bridge'!$D$2:$D$1057,C86)/I86,1.0)</f>
        <v/>
      </c>
      <c r="E86" s="6">
        <f>IF(I86&gt;0,SUMIFS('02c_DC_Accel_Bridge'!$S$2:$S$1057,'02c_DC_Accel_Bridge'!$B$2:$B$1057,A86,'02c_DC_Accel_Bridge'!$C$2:$C$1057,B86,'02c_DC_Accel_Bridge'!$D$2:$D$1057,C86)/I86,0.0)</f>
        <v/>
      </c>
      <c r="F86" s="6">
        <f>IF(I86&gt;0,SUMIFS('02c_DC_Accel_Bridge'!$T$2:$T$1057,'02c_DC_Accel_Bridge'!$B$2:$B$1057,A86,'02c_DC_Accel_Bridge'!$C$2:$C$1057,B86,'02c_DC_Accel_Bridge'!$D$2:$D$1057,C86)/I86,0.0)</f>
        <v/>
      </c>
      <c r="G86" s="6">
        <f>IF(I86&gt;0,SUMIFS('02c_DC_Accel_Bridge'!$AA$2:$AA$1057,'02c_DC_Accel_Bridge'!$B$2:$B$1057,A86,'02c_DC_Accel_Bridge'!$C$2:$C$1057,B86,'02c_DC_Accel_Bridge'!$D$2:$D$1057,C86)/I86,0.0)</f>
        <v/>
      </c>
      <c r="H86" s="6">
        <f>SUM(D86:G86)</f>
        <v/>
      </c>
      <c r="I86" s="28">
        <f>SUMIFS('02c_DC_Accel_Bridge'!$H$2:$H$1057,'02c_DC_Accel_Bridge'!$B$2:$B$1057,A86,'02c_DC_Accel_Bridge'!$C$2:$C$1057,B86,'02c_DC_Accel_Bridge'!$D$2:$D$1057,C86)</f>
        <v/>
      </c>
      <c r="J86" s="6">
        <f>IF(I86&gt;0,SUMIFS('02c_DC_Accel_Bridge'!$U$2:$U$1057,'02c_DC_Accel_Bridge'!$B$2:$B$1057,A86,'02c_DC_Accel_Bridge'!$C$2:$C$1057,B86,'02c_DC_Accel_Bridge'!$D$2:$D$1057,C86)/I86,0)</f>
        <v/>
      </c>
      <c r="K86" s="6">
        <f>IF(I86&gt;0,SUMIFS('02c_DC_Accel_Bridge'!$V$2:$V$1057,'02c_DC_Accel_Bridge'!$B$2:$B$1057,A86,'02c_DC_Accel_Bridge'!$C$2:$C$1057,B86,'02c_DC_Accel_Bridge'!$D$2:$D$1057,C86)/I86,0)</f>
        <v/>
      </c>
      <c r="L86" s="6">
        <f>IF(I86&gt;0,SUMIFS('02c_DC_Accel_Bridge'!$W$2:$W$1057,'02c_DC_Accel_Bridge'!$B$2:$B$1057,A86,'02c_DC_Accel_Bridge'!$C$2:$C$1057,B86,'02c_DC_Accel_Bridge'!$D$2:$D$1057,C86)/I86,0)</f>
        <v/>
      </c>
      <c r="M86" s="6">
        <f>IF(I86&gt;0,SUMIFS('02c_DC_Accel_Bridge'!$X$2:$X$1057,'02c_DC_Accel_Bridge'!$B$2:$B$1057,A86,'02c_DC_Accel_Bridge'!$C$2:$C$1057,B86,'02c_DC_Accel_Bridge'!$D$2:$D$1057,C86)/I86,0)</f>
        <v/>
      </c>
      <c r="N86" s="6">
        <f>IF(I86&gt;0,SUMIFS('02c_DC_Accel_Bridge'!$Y$2:$Y$1057,'02c_DC_Accel_Bridge'!$B$2:$B$1057,A86,'02c_DC_Accel_Bridge'!$C$2:$C$1057,B86,'02c_DC_Accel_Bridge'!$D$2:$D$1057,C86)/I86,0)</f>
        <v/>
      </c>
      <c r="O86" s="6">
        <f>IF(I86&gt;0,SUMIFS('02c_DC_Accel_Bridge'!$Z$2:$Z$1057,'02c_DC_Accel_Bridge'!$B$2:$B$1057,A86,'02c_DC_Accel_Bridge'!$C$2:$C$1057,B86,'02c_DC_Accel_Bridge'!$D$2:$D$1057,C86)/I86,0)</f>
        <v/>
      </c>
      <c r="P86" s="3" t="inlineStr">
        <is>
          <t>weighted average: sum(site inference_weight_mw * accelerator_share) / sum(site inference_weight_mw)</t>
        </is>
      </c>
      <c r="Q86" s="3" t="inlineStr">
        <is>
          <t>dc_capacity_x_dc_accelerator_mix</t>
        </is>
      </c>
      <c r="R86" s="3" t="inlineStr">
        <is>
          <t>Edit 02a capacity allocation and 02b site accelerator mix; 03_Calculation reads D:G from this sheet.</t>
        </is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>
        <f>IF(I87&gt;0,SUMIFS('02c_DC_Accel_Bridge'!$R$2:$R$1057,'02c_DC_Accel_Bridge'!$B$2:$B$1057,A87,'02c_DC_Accel_Bridge'!$C$2:$C$1057,B87,'02c_DC_Accel_Bridge'!$D$2:$D$1057,C87)/I87,0.55)</f>
        <v/>
      </c>
      <c r="E87" s="6">
        <f>IF(I87&gt;0,SUMIFS('02c_DC_Accel_Bridge'!$S$2:$S$1057,'02c_DC_Accel_Bridge'!$B$2:$B$1057,A87,'02c_DC_Accel_Bridge'!$C$2:$C$1057,B87,'02c_DC_Accel_Bridge'!$D$2:$D$1057,C87)/I87,0.4)</f>
        <v/>
      </c>
      <c r="F87" s="6">
        <f>IF(I87&gt;0,SUMIFS('02c_DC_Accel_Bridge'!$T$2:$T$1057,'02c_DC_Accel_Bridge'!$B$2:$B$1057,A87,'02c_DC_Accel_Bridge'!$C$2:$C$1057,B87,'02c_DC_Accel_Bridge'!$D$2:$D$1057,C87)/I87,0.05)</f>
        <v/>
      </c>
      <c r="G87" s="6">
        <f>IF(I87&gt;0,SUMIFS('02c_DC_Accel_Bridge'!$AA$2:$AA$1057,'02c_DC_Accel_Bridge'!$B$2:$B$1057,A87,'02c_DC_Accel_Bridge'!$C$2:$C$1057,B87,'02c_DC_Accel_Bridge'!$D$2:$D$1057,C87)/I87,0.0)</f>
        <v/>
      </c>
      <c r="H87" s="6">
        <f>SUM(D87:G87)</f>
        <v/>
      </c>
      <c r="I87" s="28">
        <f>SUMIFS('02c_DC_Accel_Bridge'!$H$2:$H$1057,'02c_DC_Accel_Bridge'!$B$2:$B$1057,A87,'02c_DC_Accel_Bridge'!$C$2:$C$1057,B87,'02c_DC_Accel_Bridge'!$D$2:$D$1057,C87)</f>
        <v/>
      </c>
      <c r="J87" s="6">
        <f>IF(I87&gt;0,SUMIFS('02c_DC_Accel_Bridge'!$U$2:$U$1057,'02c_DC_Accel_Bridge'!$B$2:$B$1057,A87,'02c_DC_Accel_Bridge'!$C$2:$C$1057,B87,'02c_DC_Accel_Bridge'!$D$2:$D$1057,C87)/I87,0)</f>
        <v/>
      </c>
      <c r="K87" s="6">
        <f>IF(I87&gt;0,SUMIFS('02c_DC_Accel_Bridge'!$V$2:$V$1057,'02c_DC_Accel_Bridge'!$B$2:$B$1057,A87,'02c_DC_Accel_Bridge'!$C$2:$C$1057,B87,'02c_DC_Accel_Bridge'!$D$2:$D$1057,C87)/I87,0)</f>
        <v/>
      </c>
      <c r="L87" s="6">
        <f>IF(I87&gt;0,SUMIFS('02c_DC_Accel_Bridge'!$W$2:$W$1057,'02c_DC_Accel_Bridge'!$B$2:$B$1057,A87,'02c_DC_Accel_Bridge'!$C$2:$C$1057,B87,'02c_DC_Accel_Bridge'!$D$2:$D$1057,C87)/I87,0)</f>
        <v/>
      </c>
      <c r="M87" s="6">
        <f>IF(I87&gt;0,SUMIFS('02c_DC_Accel_Bridge'!$X$2:$X$1057,'02c_DC_Accel_Bridge'!$B$2:$B$1057,A87,'02c_DC_Accel_Bridge'!$C$2:$C$1057,B87,'02c_DC_Accel_Bridge'!$D$2:$D$1057,C87)/I87,0)</f>
        <v/>
      </c>
      <c r="N87" s="6">
        <f>IF(I87&gt;0,SUMIFS('02c_DC_Accel_Bridge'!$Y$2:$Y$1057,'02c_DC_Accel_Bridge'!$B$2:$B$1057,A87,'02c_DC_Accel_Bridge'!$C$2:$C$1057,B87,'02c_DC_Accel_Bridge'!$D$2:$D$1057,C87)/I87,0)</f>
        <v/>
      </c>
      <c r="O87" s="6">
        <f>IF(I87&gt;0,SUMIFS('02c_DC_Accel_Bridge'!$Z$2:$Z$1057,'02c_DC_Accel_Bridge'!$B$2:$B$1057,A87,'02c_DC_Accel_Bridge'!$C$2:$C$1057,B87,'02c_DC_Accel_Bridge'!$D$2:$D$1057,C87)/I87,0)</f>
        <v/>
      </c>
      <c r="P87" s="3" t="inlineStr">
        <is>
          <t>weighted average: sum(site inference_weight_mw * accelerator_share) / sum(site inference_weight_mw)</t>
        </is>
      </c>
      <c r="Q87" s="3" t="inlineStr">
        <is>
          <t>dc_capacity_x_dc_accelerator_mix</t>
        </is>
      </c>
      <c r="R87" s="3" t="inlineStr">
        <is>
          <t>Edit 02a capacity allocation and 02b site accelerator mix; 03_Calculation reads D:G from this sheet.</t>
        </is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>
        <f>IF(I88&gt;0,SUMIFS('02c_DC_Accel_Bridge'!$R$2:$R$1057,'02c_DC_Accel_Bridge'!$B$2:$B$1057,A88,'02c_DC_Accel_Bridge'!$C$2:$C$1057,B88,'02c_DC_Accel_Bridge'!$D$2:$D$1057,C88)/I88,0.438)</f>
        <v/>
      </c>
      <c r="E88" s="6">
        <f>IF(I88&gt;0,SUMIFS('02c_DC_Accel_Bridge'!$S$2:$S$1057,'02c_DC_Accel_Bridge'!$B$2:$B$1057,A88,'02c_DC_Accel_Bridge'!$C$2:$C$1057,B88,'02c_DC_Accel_Bridge'!$D$2:$D$1057,C88)/I88,0.388)</f>
        <v/>
      </c>
      <c r="F88" s="6">
        <f>IF(I88&gt;0,SUMIFS('02c_DC_Accel_Bridge'!$T$2:$T$1057,'02c_DC_Accel_Bridge'!$B$2:$B$1057,A88,'02c_DC_Accel_Bridge'!$C$2:$C$1057,B88,'02c_DC_Accel_Bridge'!$D$2:$D$1057,C88)/I88,0.174)</f>
        <v/>
      </c>
      <c r="G88" s="6">
        <f>IF(I88&gt;0,SUMIFS('02c_DC_Accel_Bridge'!$AA$2:$AA$1057,'02c_DC_Accel_Bridge'!$B$2:$B$1057,A88,'02c_DC_Accel_Bridge'!$C$2:$C$1057,B88,'02c_DC_Accel_Bridge'!$D$2:$D$1057,C88)/I88,0.0)</f>
        <v/>
      </c>
      <c r="H88" s="6">
        <f>SUM(D88:G88)</f>
        <v/>
      </c>
      <c r="I88" s="28">
        <f>SUMIFS('02c_DC_Accel_Bridge'!$H$2:$H$1057,'02c_DC_Accel_Bridge'!$B$2:$B$1057,A88,'02c_DC_Accel_Bridge'!$C$2:$C$1057,B88,'02c_DC_Accel_Bridge'!$D$2:$D$1057,C88)</f>
        <v/>
      </c>
      <c r="J88" s="6">
        <f>IF(I88&gt;0,SUMIFS('02c_DC_Accel_Bridge'!$U$2:$U$1057,'02c_DC_Accel_Bridge'!$B$2:$B$1057,A88,'02c_DC_Accel_Bridge'!$C$2:$C$1057,B88,'02c_DC_Accel_Bridge'!$D$2:$D$1057,C88)/I88,0)</f>
        <v/>
      </c>
      <c r="K88" s="6">
        <f>IF(I88&gt;0,SUMIFS('02c_DC_Accel_Bridge'!$V$2:$V$1057,'02c_DC_Accel_Bridge'!$B$2:$B$1057,A88,'02c_DC_Accel_Bridge'!$C$2:$C$1057,B88,'02c_DC_Accel_Bridge'!$D$2:$D$1057,C88)/I88,0)</f>
        <v/>
      </c>
      <c r="L88" s="6">
        <f>IF(I88&gt;0,SUMIFS('02c_DC_Accel_Bridge'!$W$2:$W$1057,'02c_DC_Accel_Bridge'!$B$2:$B$1057,A88,'02c_DC_Accel_Bridge'!$C$2:$C$1057,B88,'02c_DC_Accel_Bridge'!$D$2:$D$1057,C88)/I88,0)</f>
        <v/>
      </c>
      <c r="M88" s="6">
        <f>IF(I88&gt;0,SUMIFS('02c_DC_Accel_Bridge'!$X$2:$X$1057,'02c_DC_Accel_Bridge'!$B$2:$B$1057,A88,'02c_DC_Accel_Bridge'!$C$2:$C$1057,B88,'02c_DC_Accel_Bridge'!$D$2:$D$1057,C88)/I88,0)</f>
        <v/>
      </c>
      <c r="N88" s="6">
        <f>IF(I88&gt;0,SUMIFS('02c_DC_Accel_Bridge'!$Y$2:$Y$1057,'02c_DC_Accel_Bridge'!$B$2:$B$1057,A88,'02c_DC_Accel_Bridge'!$C$2:$C$1057,B88,'02c_DC_Accel_Bridge'!$D$2:$D$1057,C88)/I88,0)</f>
        <v/>
      </c>
      <c r="O88" s="6">
        <f>IF(I88&gt;0,SUMIFS('02c_DC_Accel_Bridge'!$Z$2:$Z$1057,'02c_DC_Accel_Bridge'!$B$2:$B$1057,A88,'02c_DC_Accel_Bridge'!$C$2:$C$1057,B88,'02c_DC_Accel_Bridge'!$D$2:$D$1057,C88)/I88,0)</f>
        <v/>
      </c>
      <c r="P88" s="3" t="inlineStr">
        <is>
          <t>weighted average: sum(site inference_weight_mw * accelerator_share) / sum(site inference_weight_mw)</t>
        </is>
      </c>
      <c r="Q88" s="3" t="inlineStr">
        <is>
          <t>dc_capacity_x_dc_accelerator_mix</t>
        </is>
      </c>
      <c r="R88" s="3" t="inlineStr">
        <is>
          <t>Edit 02a capacity allocation and 02b site accelerator mix; 03_Calculation reads D:G from this sheet.</t>
        </is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>
        <f>IF(I89&gt;0,SUMIFS('02c_DC_Accel_Bridge'!$R$2:$R$1057,'02c_DC_Accel_Bridge'!$B$2:$B$1057,A89,'02c_DC_Accel_Bridge'!$C$2:$C$1057,B89,'02c_DC_Accel_Bridge'!$D$2:$D$1057,C89)/I89,0.325)</f>
        <v/>
      </c>
      <c r="E89" s="6">
        <f>IF(I89&gt;0,SUMIFS('02c_DC_Accel_Bridge'!$S$2:$S$1057,'02c_DC_Accel_Bridge'!$B$2:$B$1057,A89,'02c_DC_Accel_Bridge'!$C$2:$C$1057,B89,'02c_DC_Accel_Bridge'!$D$2:$D$1057,C89)/I89,0.375)</f>
        <v/>
      </c>
      <c r="F89" s="6">
        <f>IF(I89&gt;0,SUMIFS('02c_DC_Accel_Bridge'!$T$2:$T$1057,'02c_DC_Accel_Bridge'!$B$2:$B$1057,A89,'02c_DC_Accel_Bridge'!$C$2:$C$1057,B89,'02c_DC_Accel_Bridge'!$D$2:$D$1057,C89)/I89,0.3)</f>
        <v/>
      </c>
      <c r="G89" s="6">
        <f>IF(I89&gt;0,SUMIFS('02c_DC_Accel_Bridge'!$AA$2:$AA$1057,'02c_DC_Accel_Bridge'!$B$2:$B$1057,A89,'02c_DC_Accel_Bridge'!$C$2:$C$1057,B89,'02c_DC_Accel_Bridge'!$D$2:$D$1057,C89)/I89,0.0)</f>
        <v/>
      </c>
      <c r="H89" s="6">
        <f>SUM(D89:G89)</f>
        <v/>
      </c>
      <c r="I89" s="28">
        <f>SUMIFS('02c_DC_Accel_Bridge'!$H$2:$H$1057,'02c_DC_Accel_Bridge'!$B$2:$B$1057,A89,'02c_DC_Accel_Bridge'!$C$2:$C$1057,B89,'02c_DC_Accel_Bridge'!$D$2:$D$1057,C89)</f>
        <v/>
      </c>
      <c r="J89" s="6">
        <f>IF(I89&gt;0,SUMIFS('02c_DC_Accel_Bridge'!$U$2:$U$1057,'02c_DC_Accel_Bridge'!$B$2:$B$1057,A89,'02c_DC_Accel_Bridge'!$C$2:$C$1057,B89,'02c_DC_Accel_Bridge'!$D$2:$D$1057,C89)/I89,0)</f>
        <v/>
      </c>
      <c r="K89" s="6">
        <f>IF(I89&gt;0,SUMIFS('02c_DC_Accel_Bridge'!$V$2:$V$1057,'02c_DC_Accel_Bridge'!$B$2:$B$1057,A89,'02c_DC_Accel_Bridge'!$C$2:$C$1057,B89,'02c_DC_Accel_Bridge'!$D$2:$D$1057,C89)/I89,0)</f>
        <v/>
      </c>
      <c r="L89" s="6">
        <f>IF(I89&gt;0,SUMIFS('02c_DC_Accel_Bridge'!$W$2:$W$1057,'02c_DC_Accel_Bridge'!$B$2:$B$1057,A89,'02c_DC_Accel_Bridge'!$C$2:$C$1057,B89,'02c_DC_Accel_Bridge'!$D$2:$D$1057,C89)/I89,0)</f>
        <v/>
      </c>
      <c r="M89" s="6">
        <f>IF(I89&gt;0,SUMIFS('02c_DC_Accel_Bridge'!$X$2:$X$1057,'02c_DC_Accel_Bridge'!$B$2:$B$1057,A89,'02c_DC_Accel_Bridge'!$C$2:$C$1057,B89,'02c_DC_Accel_Bridge'!$D$2:$D$1057,C89)/I89,0)</f>
        <v/>
      </c>
      <c r="N89" s="6">
        <f>IF(I89&gt;0,SUMIFS('02c_DC_Accel_Bridge'!$Y$2:$Y$1057,'02c_DC_Accel_Bridge'!$B$2:$B$1057,A89,'02c_DC_Accel_Bridge'!$C$2:$C$1057,B89,'02c_DC_Accel_Bridge'!$D$2:$D$1057,C89)/I89,0)</f>
        <v/>
      </c>
      <c r="O89" s="6">
        <f>IF(I89&gt;0,SUMIFS('02c_DC_Accel_Bridge'!$Z$2:$Z$1057,'02c_DC_Accel_Bridge'!$B$2:$B$1057,A89,'02c_DC_Accel_Bridge'!$C$2:$C$1057,B89,'02c_DC_Accel_Bridge'!$D$2:$D$1057,C89)/I89,0)</f>
        <v/>
      </c>
      <c r="P89" s="3" t="inlineStr">
        <is>
          <t>weighted average: sum(site inference_weight_mw * accelerator_share) / sum(site inference_weight_mw)</t>
        </is>
      </c>
      <c r="Q89" s="3" t="inlineStr">
        <is>
          <t>dc_capacity_x_dc_accelerator_mix</t>
        </is>
      </c>
      <c r="R89" s="3" t="inlineStr">
        <is>
          <t>Edit 02a capacity allocation and 02b site accelerator mix; 03_Calculation reads D:G from this sheet.</t>
        </is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>
        <f>IF(I90&gt;0,SUMIFS('02c_DC_Accel_Bridge'!$R$2:$R$1057,'02c_DC_Accel_Bridge'!$B$2:$B$1057,A90,'02c_DC_Accel_Bridge'!$C$2:$C$1057,B90,'02c_DC_Accel_Bridge'!$D$2:$D$1057,C90)/I90,0.213)</f>
        <v/>
      </c>
      <c r="E90" s="6">
        <f>IF(I90&gt;0,SUMIFS('02c_DC_Accel_Bridge'!$S$2:$S$1057,'02c_DC_Accel_Bridge'!$B$2:$B$1057,A90,'02c_DC_Accel_Bridge'!$C$2:$C$1057,B90,'02c_DC_Accel_Bridge'!$D$2:$D$1057,C90)/I90,0.362)</f>
        <v/>
      </c>
      <c r="F90" s="6">
        <f>IF(I90&gt;0,SUMIFS('02c_DC_Accel_Bridge'!$T$2:$T$1057,'02c_DC_Accel_Bridge'!$B$2:$B$1057,A90,'02c_DC_Accel_Bridge'!$C$2:$C$1057,B90,'02c_DC_Accel_Bridge'!$D$2:$D$1057,C90)/I90,0.425)</f>
        <v/>
      </c>
      <c r="G90" s="6">
        <f>IF(I90&gt;0,SUMIFS('02c_DC_Accel_Bridge'!$AA$2:$AA$1057,'02c_DC_Accel_Bridge'!$B$2:$B$1057,A90,'02c_DC_Accel_Bridge'!$C$2:$C$1057,B90,'02c_DC_Accel_Bridge'!$D$2:$D$1057,C90)/I90,0.0)</f>
        <v/>
      </c>
      <c r="H90" s="6">
        <f>SUM(D90:G90)</f>
        <v/>
      </c>
      <c r="I90" s="28">
        <f>SUMIFS('02c_DC_Accel_Bridge'!$H$2:$H$1057,'02c_DC_Accel_Bridge'!$B$2:$B$1057,A90,'02c_DC_Accel_Bridge'!$C$2:$C$1057,B90,'02c_DC_Accel_Bridge'!$D$2:$D$1057,C90)</f>
        <v/>
      </c>
      <c r="J90" s="6">
        <f>IF(I90&gt;0,SUMIFS('02c_DC_Accel_Bridge'!$U$2:$U$1057,'02c_DC_Accel_Bridge'!$B$2:$B$1057,A90,'02c_DC_Accel_Bridge'!$C$2:$C$1057,B90,'02c_DC_Accel_Bridge'!$D$2:$D$1057,C90)/I90,0)</f>
        <v/>
      </c>
      <c r="K90" s="6">
        <f>IF(I90&gt;0,SUMIFS('02c_DC_Accel_Bridge'!$V$2:$V$1057,'02c_DC_Accel_Bridge'!$B$2:$B$1057,A90,'02c_DC_Accel_Bridge'!$C$2:$C$1057,B90,'02c_DC_Accel_Bridge'!$D$2:$D$1057,C90)/I90,0)</f>
        <v/>
      </c>
      <c r="L90" s="6">
        <f>IF(I90&gt;0,SUMIFS('02c_DC_Accel_Bridge'!$W$2:$W$1057,'02c_DC_Accel_Bridge'!$B$2:$B$1057,A90,'02c_DC_Accel_Bridge'!$C$2:$C$1057,B90,'02c_DC_Accel_Bridge'!$D$2:$D$1057,C90)/I90,0)</f>
        <v/>
      </c>
      <c r="M90" s="6">
        <f>IF(I90&gt;0,SUMIFS('02c_DC_Accel_Bridge'!$X$2:$X$1057,'02c_DC_Accel_Bridge'!$B$2:$B$1057,A90,'02c_DC_Accel_Bridge'!$C$2:$C$1057,B90,'02c_DC_Accel_Bridge'!$D$2:$D$1057,C90)/I90,0)</f>
        <v/>
      </c>
      <c r="N90" s="6">
        <f>IF(I90&gt;0,SUMIFS('02c_DC_Accel_Bridge'!$Y$2:$Y$1057,'02c_DC_Accel_Bridge'!$B$2:$B$1057,A90,'02c_DC_Accel_Bridge'!$C$2:$C$1057,B90,'02c_DC_Accel_Bridge'!$D$2:$D$1057,C90)/I90,0)</f>
        <v/>
      </c>
      <c r="O90" s="6">
        <f>IF(I90&gt;0,SUMIFS('02c_DC_Accel_Bridge'!$Z$2:$Z$1057,'02c_DC_Accel_Bridge'!$B$2:$B$1057,A90,'02c_DC_Accel_Bridge'!$C$2:$C$1057,B90,'02c_DC_Accel_Bridge'!$D$2:$D$1057,C90)/I90,0)</f>
        <v/>
      </c>
      <c r="P90" s="3" t="inlineStr">
        <is>
          <t>weighted average: sum(site inference_weight_mw * accelerator_share) / sum(site inference_weight_mw)</t>
        </is>
      </c>
      <c r="Q90" s="3" t="inlineStr">
        <is>
          <t>dc_capacity_x_dc_accelerator_mix</t>
        </is>
      </c>
      <c r="R90" s="3" t="inlineStr">
        <is>
          <t>Edit 02a capacity allocation and 02b site accelerator mix; 03_Calculation reads D:G from this sheet.</t>
        </is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>
        <f>IF(I91&gt;0,SUMIFS('02c_DC_Accel_Bridge'!$R$2:$R$1057,'02c_DC_Accel_Bridge'!$B$2:$B$1057,A91,'02c_DC_Accel_Bridge'!$C$2:$C$1057,B91,'02c_DC_Accel_Bridge'!$D$2:$D$1057,C91)/I91,0.1)</f>
        <v/>
      </c>
      <c r="E91" s="6">
        <f>IF(I91&gt;0,SUMIFS('02c_DC_Accel_Bridge'!$S$2:$S$1057,'02c_DC_Accel_Bridge'!$B$2:$B$1057,A91,'02c_DC_Accel_Bridge'!$C$2:$C$1057,B91,'02c_DC_Accel_Bridge'!$D$2:$D$1057,C91)/I91,0.35)</f>
        <v/>
      </c>
      <c r="F91" s="6">
        <f>IF(I91&gt;0,SUMIFS('02c_DC_Accel_Bridge'!$T$2:$T$1057,'02c_DC_Accel_Bridge'!$B$2:$B$1057,A91,'02c_DC_Accel_Bridge'!$C$2:$C$1057,B91,'02c_DC_Accel_Bridge'!$D$2:$D$1057,C91)/I91,0.55)</f>
        <v/>
      </c>
      <c r="G91" s="6">
        <f>IF(I91&gt;0,SUMIFS('02c_DC_Accel_Bridge'!$AA$2:$AA$1057,'02c_DC_Accel_Bridge'!$B$2:$B$1057,A91,'02c_DC_Accel_Bridge'!$C$2:$C$1057,B91,'02c_DC_Accel_Bridge'!$D$2:$D$1057,C91)/I91,0.0)</f>
        <v/>
      </c>
      <c r="H91" s="6">
        <f>SUM(D91:G91)</f>
        <v/>
      </c>
      <c r="I91" s="28">
        <f>SUMIFS('02c_DC_Accel_Bridge'!$H$2:$H$1057,'02c_DC_Accel_Bridge'!$B$2:$B$1057,A91,'02c_DC_Accel_Bridge'!$C$2:$C$1057,B91,'02c_DC_Accel_Bridge'!$D$2:$D$1057,C91)</f>
        <v/>
      </c>
      <c r="J91" s="6">
        <f>IF(I91&gt;0,SUMIFS('02c_DC_Accel_Bridge'!$U$2:$U$1057,'02c_DC_Accel_Bridge'!$B$2:$B$1057,A91,'02c_DC_Accel_Bridge'!$C$2:$C$1057,B91,'02c_DC_Accel_Bridge'!$D$2:$D$1057,C91)/I91,0)</f>
        <v/>
      </c>
      <c r="K91" s="6">
        <f>IF(I91&gt;0,SUMIFS('02c_DC_Accel_Bridge'!$V$2:$V$1057,'02c_DC_Accel_Bridge'!$B$2:$B$1057,A91,'02c_DC_Accel_Bridge'!$C$2:$C$1057,B91,'02c_DC_Accel_Bridge'!$D$2:$D$1057,C91)/I91,0)</f>
        <v/>
      </c>
      <c r="L91" s="6">
        <f>IF(I91&gt;0,SUMIFS('02c_DC_Accel_Bridge'!$W$2:$W$1057,'02c_DC_Accel_Bridge'!$B$2:$B$1057,A91,'02c_DC_Accel_Bridge'!$C$2:$C$1057,B91,'02c_DC_Accel_Bridge'!$D$2:$D$1057,C91)/I91,0)</f>
        <v/>
      </c>
      <c r="M91" s="6">
        <f>IF(I91&gt;0,SUMIFS('02c_DC_Accel_Bridge'!$X$2:$X$1057,'02c_DC_Accel_Bridge'!$B$2:$B$1057,A91,'02c_DC_Accel_Bridge'!$C$2:$C$1057,B91,'02c_DC_Accel_Bridge'!$D$2:$D$1057,C91)/I91,0)</f>
        <v/>
      </c>
      <c r="N91" s="6">
        <f>IF(I91&gt;0,SUMIFS('02c_DC_Accel_Bridge'!$Y$2:$Y$1057,'02c_DC_Accel_Bridge'!$B$2:$B$1057,A91,'02c_DC_Accel_Bridge'!$C$2:$C$1057,B91,'02c_DC_Accel_Bridge'!$D$2:$D$1057,C91)/I91,0)</f>
        <v/>
      </c>
      <c r="O91" s="6">
        <f>IF(I91&gt;0,SUMIFS('02c_DC_Accel_Bridge'!$Z$2:$Z$1057,'02c_DC_Accel_Bridge'!$B$2:$B$1057,A91,'02c_DC_Accel_Bridge'!$C$2:$C$1057,B91,'02c_DC_Accel_Bridge'!$D$2:$D$1057,C91)/I91,0)</f>
        <v/>
      </c>
      <c r="P91" s="3" t="inlineStr">
        <is>
          <t>weighted average: sum(site inference_weight_mw * accelerator_share) / sum(site inference_weight_mw)</t>
        </is>
      </c>
      <c r="Q91" s="3" t="inlineStr">
        <is>
          <t>dc_capacity_x_dc_accelerator_mix</t>
        </is>
      </c>
      <c r="R91" s="3" t="inlineStr">
        <is>
          <t>Edit 02a capacity allocation and 02b site accelerator mix; 03_Calculation reads D:G from this sheet.</t>
        </is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>
        <f>IF(I92&gt;0,SUMIFS('02c_DC_Accel_Bridge'!$R$2:$R$1057,'02c_DC_Accel_Bridge'!$B$2:$B$1057,A92,'02c_DC_Accel_Bridge'!$C$2:$C$1057,B92,'02c_DC_Accel_Bridge'!$D$2:$D$1057,C92)/I92,0.079463)</f>
        <v/>
      </c>
      <c r="E92" s="6">
        <f>IF(I92&gt;0,SUMIFS('02c_DC_Accel_Bridge'!$S$2:$S$1057,'02c_DC_Accel_Bridge'!$B$2:$B$1057,A92,'02c_DC_Accel_Bridge'!$C$2:$C$1057,B92,'02c_DC_Accel_Bridge'!$D$2:$D$1057,C92)/I92,0.920537)</f>
        <v/>
      </c>
      <c r="F92" s="6">
        <f>IF(I92&gt;0,SUMIFS('02c_DC_Accel_Bridge'!$T$2:$T$1057,'02c_DC_Accel_Bridge'!$B$2:$B$1057,A92,'02c_DC_Accel_Bridge'!$C$2:$C$1057,B92,'02c_DC_Accel_Bridge'!$D$2:$D$1057,C92)/I92,0.0)</f>
        <v/>
      </c>
      <c r="G92" s="6">
        <f>IF(I92&gt;0,SUMIFS('02c_DC_Accel_Bridge'!$AA$2:$AA$1057,'02c_DC_Accel_Bridge'!$B$2:$B$1057,A92,'02c_DC_Accel_Bridge'!$C$2:$C$1057,B92,'02c_DC_Accel_Bridge'!$D$2:$D$1057,C92)/I92,0.0)</f>
        <v/>
      </c>
      <c r="H92" s="6">
        <f>SUM(D92:G92)</f>
        <v/>
      </c>
      <c r="I92" s="28">
        <f>SUMIFS('02c_DC_Accel_Bridge'!$H$2:$H$1057,'02c_DC_Accel_Bridge'!$B$2:$B$1057,A92,'02c_DC_Accel_Bridge'!$C$2:$C$1057,B92,'02c_DC_Accel_Bridge'!$D$2:$D$1057,C92)</f>
        <v/>
      </c>
      <c r="J92" s="6">
        <f>IF(I92&gt;0,SUMIFS('02c_DC_Accel_Bridge'!$U$2:$U$1057,'02c_DC_Accel_Bridge'!$B$2:$B$1057,A92,'02c_DC_Accel_Bridge'!$C$2:$C$1057,B92,'02c_DC_Accel_Bridge'!$D$2:$D$1057,C92)/I92,0)</f>
        <v/>
      </c>
      <c r="K92" s="6">
        <f>IF(I92&gt;0,SUMIFS('02c_DC_Accel_Bridge'!$V$2:$V$1057,'02c_DC_Accel_Bridge'!$B$2:$B$1057,A92,'02c_DC_Accel_Bridge'!$C$2:$C$1057,B92,'02c_DC_Accel_Bridge'!$D$2:$D$1057,C92)/I92,0)</f>
        <v/>
      </c>
      <c r="L92" s="6">
        <f>IF(I92&gt;0,SUMIFS('02c_DC_Accel_Bridge'!$W$2:$W$1057,'02c_DC_Accel_Bridge'!$B$2:$B$1057,A92,'02c_DC_Accel_Bridge'!$C$2:$C$1057,B92,'02c_DC_Accel_Bridge'!$D$2:$D$1057,C92)/I92,0)</f>
        <v/>
      </c>
      <c r="M92" s="6">
        <f>IF(I92&gt;0,SUMIFS('02c_DC_Accel_Bridge'!$X$2:$X$1057,'02c_DC_Accel_Bridge'!$B$2:$B$1057,A92,'02c_DC_Accel_Bridge'!$C$2:$C$1057,B92,'02c_DC_Accel_Bridge'!$D$2:$D$1057,C92)/I92,0)</f>
        <v/>
      </c>
      <c r="N92" s="6">
        <f>IF(I92&gt;0,SUMIFS('02c_DC_Accel_Bridge'!$Y$2:$Y$1057,'02c_DC_Accel_Bridge'!$B$2:$B$1057,A92,'02c_DC_Accel_Bridge'!$C$2:$C$1057,B92,'02c_DC_Accel_Bridge'!$D$2:$D$1057,C92)/I92,0)</f>
        <v/>
      </c>
      <c r="O92" s="6">
        <f>IF(I92&gt;0,SUMIFS('02c_DC_Accel_Bridge'!$Z$2:$Z$1057,'02c_DC_Accel_Bridge'!$B$2:$B$1057,A92,'02c_DC_Accel_Bridge'!$C$2:$C$1057,B92,'02c_DC_Accel_Bridge'!$D$2:$D$1057,C92)/I92,0)</f>
        <v/>
      </c>
      <c r="P92" s="3" t="inlineStr">
        <is>
          <t>weighted average: sum(site inference_weight_mw * accelerator_share) / sum(site inference_weight_mw)</t>
        </is>
      </c>
      <c r="Q92" s="3" t="inlineStr">
        <is>
          <t>dc_capacity_x_dc_accelerator_mix</t>
        </is>
      </c>
      <c r="R92" s="3" t="inlineStr">
        <is>
          <t>Edit 02a capacity allocation and 02b site accelerator mix; 03_Calculation reads D:G from this sheet.</t>
        </is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>
        <f>IF(I93&gt;0,SUMIFS('02c_DC_Accel_Bridge'!$R$2:$R$1057,'02c_DC_Accel_Bridge'!$B$2:$B$1057,A93,'02c_DC_Accel_Bridge'!$C$2:$C$1057,B93,'02c_DC_Accel_Bridge'!$D$2:$D$1057,C93)/I93,0.033529)</f>
        <v/>
      </c>
      <c r="E93" s="6">
        <f>IF(I93&gt;0,SUMIFS('02c_DC_Accel_Bridge'!$S$2:$S$1057,'02c_DC_Accel_Bridge'!$B$2:$B$1057,A93,'02c_DC_Accel_Bridge'!$C$2:$C$1057,B93,'02c_DC_Accel_Bridge'!$D$2:$D$1057,C93)/I93,0.520995)</f>
        <v/>
      </c>
      <c r="F93" s="6">
        <f>IF(I93&gt;0,SUMIFS('02c_DC_Accel_Bridge'!$T$2:$T$1057,'02c_DC_Accel_Bridge'!$B$2:$B$1057,A93,'02c_DC_Accel_Bridge'!$C$2:$C$1057,B93,'02c_DC_Accel_Bridge'!$D$2:$D$1057,C93)/I93,0.0)</f>
        <v/>
      </c>
      <c r="G93" s="6">
        <f>IF(I93&gt;0,SUMIFS('02c_DC_Accel_Bridge'!$AA$2:$AA$1057,'02c_DC_Accel_Bridge'!$B$2:$B$1057,A93,'02c_DC_Accel_Bridge'!$C$2:$C$1057,B93,'02c_DC_Accel_Bridge'!$D$2:$D$1057,C93)/I93,0.445476)</f>
        <v/>
      </c>
      <c r="H93" s="6">
        <f>SUM(D93:G93)</f>
        <v/>
      </c>
      <c r="I93" s="28">
        <f>SUMIFS('02c_DC_Accel_Bridge'!$H$2:$H$1057,'02c_DC_Accel_Bridge'!$B$2:$B$1057,A93,'02c_DC_Accel_Bridge'!$C$2:$C$1057,B93,'02c_DC_Accel_Bridge'!$D$2:$D$1057,C93)</f>
        <v/>
      </c>
      <c r="J93" s="6">
        <f>IF(I93&gt;0,SUMIFS('02c_DC_Accel_Bridge'!$U$2:$U$1057,'02c_DC_Accel_Bridge'!$B$2:$B$1057,A93,'02c_DC_Accel_Bridge'!$C$2:$C$1057,B93,'02c_DC_Accel_Bridge'!$D$2:$D$1057,C93)/I93,0)</f>
        <v/>
      </c>
      <c r="K93" s="6">
        <f>IF(I93&gt;0,SUMIFS('02c_DC_Accel_Bridge'!$V$2:$V$1057,'02c_DC_Accel_Bridge'!$B$2:$B$1057,A93,'02c_DC_Accel_Bridge'!$C$2:$C$1057,B93,'02c_DC_Accel_Bridge'!$D$2:$D$1057,C93)/I93,0)</f>
        <v/>
      </c>
      <c r="L93" s="6">
        <f>IF(I93&gt;0,SUMIFS('02c_DC_Accel_Bridge'!$W$2:$W$1057,'02c_DC_Accel_Bridge'!$B$2:$B$1057,A93,'02c_DC_Accel_Bridge'!$C$2:$C$1057,B93,'02c_DC_Accel_Bridge'!$D$2:$D$1057,C93)/I93,0)</f>
        <v/>
      </c>
      <c r="M93" s="6">
        <f>IF(I93&gt;0,SUMIFS('02c_DC_Accel_Bridge'!$X$2:$X$1057,'02c_DC_Accel_Bridge'!$B$2:$B$1057,A93,'02c_DC_Accel_Bridge'!$C$2:$C$1057,B93,'02c_DC_Accel_Bridge'!$D$2:$D$1057,C93)/I93,0)</f>
        <v/>
      </c>
      <c r="N93" s="6">
        <f>IF(I93&gt;0,SUMIFS('02c_DC_Accel_Bridge'!$Y$2:$Y$1057,'02c_DC_Accel_Bridge'!$B$2:$B$1057,A93,'02c_DC_Accel_Bridge'!$C$2:$C$1057,B93,'02c_DC_Accel_Bridge'!$D$2:$D$1057,C93)/I93,0)</f>
        <v/>
      </c>
      <c r="O93" s="6">
        <f>IF(I93&gt;0,SUMIFS('02c_DC_Accel_Bridge'!$Z$2:$Z$1057,'02c_DC_Accel_Bridge'!$B$2:$B$1057,A93,'02c_DC_Accel_Bridge'!$C$2:$C$1057,B93,'02c_DC_Accel_Bridge'!$D$2:$D$1057,C93)/I93,0)</f>
        <v/>
      </c>
      <c r="P93" s="3" t="inlineStr">
        <is>
          <t>weighted average: sum(site inference_weight_mw * accelerator_share) / sum(site inference_weight_mw)</t>
        </is>
      </c>
      <c r="Q93" s="3" t="inlineStr">
        <is>
          <t>dc_capacity_x_dc_accelerator_mix</t>
        </is>
      </c>
      <c r="R93" s="3" t="inlineStr">
        <is>
          <t>Edit 02a capacity allocation and 02b site accelerator mix; 03_Calculation reads D:G from this sheet.</t>
        </is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>
        <f>IF(I94&gt;0,SUMIFS('02c_DC_Accel_Bridge'!$R$2:$R$1057,'02c_DC_Accel_Bridge'!$B$2:$B$1057,A94,'02c_DC_Accel_Bridge'!$C$2:$C$1057,B94,'02c_DC_Accel_Bridge'!$D$2:$D$1057,C94)/I94,0.020598)</f>
        <v/>
      </c>
      <c r="E94" s="6">
        <f>IF(I94&gt;0,SUMIFS('02c_DC_Accel_Bridge'!$S$2:$S$1057,'02c_DC_Accel_Bridge'!$B$2:$B$1057,A94,'02c_DC_Accel_Bridge'!$C$2:$C$1057,B94,'02c_DC_Accel_Bridge'!$D$2:$D$1057,C94)/I94,0.705731)</f>
        <v/>
      </c>
      <c r="F94" s="6">
        <f>IF(I94&gt;0,SUMIFS('02c_DC_Accel_Bridge'!$T$2:$T$1057,'02c_DC_Accel_Bridge'!$B$2:$B$1057,A94,'02c_DC_Accel_Bridge'!$C$2:$C$1057,B94,'02c_DC_Accel_Bridge'!$D$2:$D$1057,C94)/I94,0.0)</f>
        <v/>
      </c>
      <c r="G94" s="6">
        <f>IF(I94&gt;0,SUMIFS('02c_DC_Accel_Bridge'!$AA$2:$AA$1057,'02c_DC_Accel_Bridge'!$B$2:$B$1057,A94,'02c_DC_Accel_Bridge'!$C$2:$C$1057,B94,'02c_DC_Accel_Bridge'!$D$2:$D$1057,C94)/I94,0.273671)</f>
        <v/>
      </c>
      <c r="H94" s="6">
        <f>SUM(D94:G94)</f>
        <v/>
      </c>
      <c r="I94" s="28">
        <f>SUMIFS('02c_DC_Accel_Bridge'!$H$2:$H$1057,'02c_DC_Accel_Bridge'!$B$2:$B$1057,A94,'02c_DC_Accel_Bridge'!$C$2:$C$1057,B94,'02c_DC_Accel_Bridge'!$D$2:$D$1057,C94)</f>
        <v/>
      </c>
      <c r="J94" s="6">
        <f>IF(I94&gt;0,SUMIFS('02c_DC_Accel_Bridge'!$U$2:$U$1057,'02c_DC_Accel_Bridge'!$B$2:$B$1057,A94,'02c_DC_Accel_Bridge'!$C$2:$C$1057,B94,'02c_DC_Accel_Bridge'!$D$2:$D$1057,C94)/I94,0)</f>
        <v/>
      </c>
      <c r="K94" s="6">
        <f>IF(I94&gt;0,SUMIFS('02c_DC_Accel_Bridge'!$V$2:$V$1057,'02c_DC_Accel_Bridge'!$B$2:$B$1057,A94,'02c_DC_Accel_Bridge'!$C$2:$C$1057,B94,'02c_DC_Accel_Bridge'!$D$2:$D$1057,C94)/I94,0)</f>
        <v/>
      </c>
      <c r="L94" s="6">
        <f>IF(I94&gt;0,SUMIFS('02c_DC_Accel_Bridge'!$W$2:$W$1057,'02c_DC_Accel_Bridge'!$B$2:$B$1057,A94,'02c_DC_Accel_Bridge'!$C$2:$C$1057,B94,'02c_DC_Accel_Bridge'!$D$2:$D$1057,C94)/I94,0)</f>
        <v/>
      </c>
      <c r="M94" s="6">
        <f>IF(I94&gt;0,SUMIFS('02c_DC_Accel_Bridge'!$X$2:$X$1057,'02c_DC_Accel_Bridge'!$B$2:$B$1057,A94,'02c_DC_Accel_Bridge'!$C$2:$C$1057,B94,'02c_DC_Accel_Bridge'!$D$2:$D$1057,C94)/I94,0)</f>
        <v/>
      </c>
      <c r="N94" s="6">
        <f>IF(I94&gt;0,SUMIFS('02c_DC_Accel_Bridge'!$Y$2:$Y$1057,'02c_DC_Accel_Bridge'!$B$2:$B$1057,A94,'02c_DC_Accel_Bridge'!$C$2:$C$1057,B94,'02c_DC_Accel_Bridge'!$D$2:$D$1057,C94)/I94,0)</f>
        <v/>
      </c>
      <c r="O94" s="6">
        <f>IF(I94&gt;0,SUMIFS('02c_DC_Accel_Bridge'!$Z$2:$Z$1057,'02c_DC_Accel_Bridge'!$B$2:$B$1057,A94,'02c_DC_Accel_Bridge'!$C$2:$C$1057,B94,'02c_DC_Accel_Bridge'!$D$2:$D$1057,C94)/I94,0)</f>
        <v/>
      </c>
      <c r="P94" s="3" t="inlineStr">
        <is>
          <t>weighted average: sum(site inference_weight_mw * accelerator_share) / sum(site inference_weight_mw)</t>
        </is>
      </c>
      <c r="Q94" s="3" t="inlineStr">
        <is>
          <t>dc_capacity_x_dc_accelerator_mix</t>
        </is>
      </c>
      <c r="R94" s="3" t="inlineStr">
        <is>
          <t>Edit 02a capacity allocation and 02b site accelerator mix; 03_Calculation reads D:G from this sheet.</t>
        </is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>
        <f>IF(I95&gt;0,SUMIFS('02c_DC_Accel_Bridge'!$R$2:$R$1057,'02c_DC_Accel_Bridge'!$B$2:$B$1057,A95,'02c_DC_Accel_Bridge'!$C$2:$C$1057,B95,'02c_DC_Accel_Bridge'!$D$2:$D$1057,C95)/I95,0.020598)</f>
        <v/>
      </c>
      <c r="E95" s="6">
        <f>IF(I95&gt;0,SUMIFS('02c_DC_Accel_Bridge'!$S$2:$S$1057,'02c_DC_Accel_Bridge'!$B$2:$B$1057,A95,'02c_DC_Accel_Bridge'!$C$2:$C$1057,B95,'02c_DC_Accel_Bridge'!$D$2:$D$1057,C95)/I95,0.705731)</f>
        <v/>
      </c>
      <c r="F95" s="6">
        <f>IF(I95&gt;0,SUMIFS('02c_DC_Accel_Bridge'!$T$2:$T$1057,'02c_DC_Accel_Bridge'!$B$2:$B$1057,A95,'02c_DC_Accel_Bridge'!$C$2:$C$1057,B95,'02c_DC_Accel_Bridge'!$D$2:$D$1057,C95)/I95,0.0)</f>
        <v/>
      </c>
      <c r="G95" s="6">
        <f>IF(I95&gt;0,SUMIFS('02c_DC_Accel_Bridge'!$AA$2:$AA$1057,'02c_DC_Accel_Bridge'!$B$2:$B$1057,A95,'02c_DC_Accel_Bridge'!$C$2:$C$1057,B95,'02c_DC_Accel_Bridge'!$D$2:$D$1057,C95)/I95,0.273671)</f>
        <v/>
      </c>
      <c r="H95" s="6">
        <f>SUM(D95:G95)</f>
        <v/>
      </c>
      <c r="I95" s="28">
        <f>SUMIFS('02c_DC_Accel_Bridge'!$H$2:$H$1057,'02c_DC_Accel_Bridge'!$B$2:$B$1057,A95,'02c_DC_Accel_Bridge'!$C$2:$C$1057,B95,'02c_DC_Accel_Bridge'!$D$2:$D$1057,C95)</f>
        <v/>
      </c>
      <c r="J95" s="6">
        <f>IF(I95&gt;0,SUMIFS('02c_DC_Accel_Bridge'!$U$2:$U$1057,'02c_DC_Accel_Bridge'!$B$2:$B$1057,A95,'02c_DC_Accel_Bridge'!$C$2:$C$1057,B95,'02c_DC_Accel_Bridge'!$D$2:$D$1057,C95)/I95,0)</f>
        <v/>
      </c>
      <c r="K95" s="6">
        <f>IF(I95&gt;0,SUMIFS('02c_DC_Accel_Bridge'!$V$2:$V$1057,'02c_DC_Accel_Bridge'!$B$2:$B$1057,A95,'02c_DC_Accel_Bridge'!$C$2:$C$1057,B95,'02c_DC_Accel_Bridge'!$D$2:$D$1057,C95)/I95,0)</f>
        <v/>
      </c>
      <c r="L95" s="6">
        <f>IF(I95&gt;0,SUMIFS('02c_DC_Accel_Bridge'!$W$2:$W$1057,'02c_DC_Accel_Bridge'!$B$2:$B$1057,A95,'02c_DC_Accel_Bridge'!$C$2:$C$1057,B95,'02c_DC_Accel_Bridge'!$D$2:$D$1057,C95)/I95,0)</f>
        <v/>
      </c>
      <c r="M95" s="6">
        <f>IF(I95&gt;0,SUMIFS('02c_DC_Accel_Bridge'!$X$2:$X$1057,'02c_DC_Accel_Bridge'!$B$2:$B$1057,A95,'02c_DC_Accel_Bridge'!$C$2:$C$1057,B95,'02c_DC_Accel_Bridge'!$D$2:$D$1057,C95)/I95,0)</f>
        <v/>
      </c>
      <c r="N95" s="6">
        <f>IF(I95&gt;0,SUMIFS('02c_DC_Accel_Bridge'!$Y$2:$Y$1057,'02c_DC_Accel_Bridge'!$B$2:$B$1057,A95,'02c_DC_Accel_Bridge'!$C$2:$C$1057,B95,'02c_DC_Accel_Bridge'!$D$2:$D$1057,C95)/I95,0)</f>
        <v/>
      </c>
      <c r="O95" s="6">
        <f>IF(I95&gt;0,SUMIFS('02c_DC_Accel_Bridge'!$Z$2:$Z$1057,'02c_DC_Accel_Bridge'!$B$2:$B$1057,A95,'02c_DC_Accel_Bridge'!$C$2:$C$1057,B95,'02c_DC_Accel_Bridge'!$D$2:$D$1057,C95)/I95,0)</f>
        <v/>
      </c>
      <c r="P95" s="3" t="inlineStr">
        <is>
          <t>weighted average: sum(site inference_weight_mw * accelerator_share) / sum(site inference_weight_mw)</t>
        </is>
      </c>
      <c r="Q95" s="3" t="inlineStr">
        <is>
          <t>dc_capacity_x_dc_accelerator_mix</t>
        </is>
      </c>
      <c r="R95" s="3" t="inlineStr">
        <is>
          <t>Edit 02a capacity allocation and 02b site accelerator mix; 03_Calculation reads D:G from this sheet.</t>
        </is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>
        <f>IF(I96&gt;0,SUMIFS('02c_DC_Accel_Bridge'!$R$2:$R$1057,'02c_DC_Accel_Bridge'!$B$2:$B$1057,A96,'02c_DC_Accel_Bridge'!$C$2:$C$1057,B96,'02c_DC_Accel_Bridge'!$D$2:$D$1057,C96)/I96,0.020598)</f>
        <v/>
      </c>
      <c r="E96" s="6">
        <f>IF(I96&gt;0,SUMIFS('02c_DC_Accel_Bridge'!$S$2:$S$1057,'02c_DC_Accel_Bridge'!$B$2:$B$1057,A96,'02c_DC_Accel_Bridge'!$C$2:$C$1057,B96,'02c_DC_Accel_Bridge'!$D$2:$D$1057,C96)/I96,0.705731)</f>
        <v/>
      </c>
      <c r="F96" s="6">
        <f>IF(I96&gt;0,SUMIFS('02c_DC_Accel_Bridge'!$T$2:$T$1057,'02c_DC_Accel_Bridge'!$B$2:$B$1057,A96,'02c_DC_Accel_Bridge'!$C$2:$C$1057,B96,'02c_DC_Accel_Bridge'!$D$2:$D$1057,C96)/I96,0.0)</f>
        <v/>
      </c>
      <c r="G96" s="6">
        <f>IF(I96&gt;0,SUMIFS('02c_DC_Accel_Bridge'!$AA$2:$AA$1057,'02c_DC_Accel_Bridge'!$B$2:$B$1057,A96,'02c_DC_Accel_Bridge'!$C$2:$C$1057,B96,'02c_DC_Accel_Bridge'!$D$2:$D$1057,C96)/I96,0.273671)</f>
        <v/>
      </c>
      <c r="H96" s="6">
        <f>SUM(D96:G96)</f>
        <v/>
      </c>
      <c r="I96" s="28">
        <f>SUMIFS('02c_DC_Accel_Bridge'!$H$2:$H$1057,'02c_DC_Accel_Bridge'!$B$2:$B$1057,A96,'02c_DC_Accel_Bridge'!$C$2:$C$1057,B96,'02c_DC_Accel_Bridge'!$D$2:$D$1057,C96)</f>
        <v/>
      </c>
      <c r="J96" s="6">
        <f>IF(I96&gt;0,SUMIFS('02c_DC_Accel_Bridge'!$U$2:$U$1057,'02c_DC_Accel_Bridge'!$B$2:$B$1057,A96,'02c_DC_Accel_Bridge'!$C$2:$C$1057,B96,'02c_DC_Accel_Bridge'!$D$2:$D$1057,C96)/I96,0)</f>
        <v/>
      </c>
      <c r="K96" s="6">
        <f>IF(I96&gt;0,SUMIFS('02c_DC_Accel_Bridge'!$V$2:$V$1057,'02c_DC_Accel_Bridge'!$B$2:$B$1057,A96,'02c_DC_Accel_Bridge'!$C$2:$C$1057,B96,'02c_DC_Accel_Bridge'!$D$2:$D$1057,C96)/I96,0)</f>
        <v/>
      </c>
      <c r="L96" s="6">
        <f>IF(I96&gt;0,SUMIFS('02c_DC_Accel_Bridge'!$W$2:$W$1057,'02c_DC_Accel_Bridge'!$B$2:$B$1057,A96,'02c_DC_Accel_Bridge'!$C$2:$C$1057,B96,'02c_DC_Accel_Bridge'!$D$2:$D$1057,C96)/I96,0)</f>
        <v/>
      </c>
      <c r="M96" s="6">
        <f>IF(I96&gt;0,SUMIFS('02c_DC_Accel_Bridge'!$X$2:$X$1057,'02c_DC_Accel_Bridge'!$B$2:$B$1057,A96,'02c_DC_Accel_Bridge'!$C$2:$C$1057,B96,'02c_DC_Accel_Bridge'!$D$2:$D$1057,C96)/I96,0)</f>
        <v/>
      </c>
      <c r="N96" s="6">
        <f>IF(I96&gt;0,SUMIFS('02c_DC_Accel_Bridge'!$Y$2:$Y$1057,'02c_DC_Accel_Bridge'!$B$2:$B$1057,A96,'02c_DC_Accel_Bridge'!$C$2:$C$1057,B96,'02c_DC_Accel_Bridge'!$D$2:$D$1057,C96)/I96,0)</f>
        <v/>
      </c>
      <c r="O96" s="6">
        <f>IF(I96&gt;0,SUMIFS('02c_DC_Accel_Bridge'!$Z$2:$Z$1057,'02c_DC_Accel_Bridge'!$B$2:$B$1057,A96,'02c_DC_Accel_Bridge'!$C$2:$C$1057,B96,'02c_DC_Accel_Bridge'!$D$2:$D$1057,C96)/I96,0)</f>
        <v/>
      </c>
      <c r="P96" s="3" t="inlineStr">
        <is>
          <t>weighted average: sum(site inference_weight_mw * accelerator_share) / sum(site inference_weight_mw)</t>
        </is>
      </c>
      <c r="Q96" s="3" t="inlineStr">
        <is>
          <t>dc_capacity_x_dc_accelerator_mix</t>
        </is>
      </c>
      <c r="R96" s="3" t="inlineStr">
        <is>
          <t>Edit 02a capacity allocation and 02b site accelerator mix; 03_Calculation reads D:G from this sheet.</t>
        </is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>
        <f>IF(I97&gt;0,SUMIFS('02c_DC_Accel_Bridge'!$R$2:$R$1057,'02c_DC_Accel_Bridge'!$B$2:$B$1057,A97,'02c_DC_Accel_Bridge'!$C$2:$C$1057,B97,'02c_DC_Accel_Bridge'!$D$2:$D$1057,C97)/I97,0.0)</f>
        <v/>
      </c>
      <c r="E97" s="6">
        <f>IF(I97&gt;0,SUMIFS('02c_DC_Accel_Bridge'!$S$2:$S$1057,'02c_DC_Accel_Bridge'!$B$2:$B$1057,A97,'02c_DC_Accel_Bridge'!$C$2:$C$1057,B97,'02c_DC_Accel_Bridge'!$D$2:$D$1057,C97)/I97,0.0)</f>
        <v/>
      </c>
      <c r="F97" s="6">
        <f>IF(I97&gt;0,SUMIFS('02c_DC_Accel_Bridge'!$T$2:$T$1057,'02c_DC_Accel_Bridge'!$B$2:$B$1057,A97,'02c_DC_Accel_Bridge'!$C$2:$C$1057,B97,'02c_DC_Accel_Bridge'!$D$2:$D$1057,C97)/I97,0.0)</f>
        <v/>
      </c>
      <c r="G97" s="6">
        <f>IF(I97&gt;0,SUMIFS('02c_DC_Accel_Bridge'!$AA$2:$AA$1057,'02c_DC_Accel_Bridge'!$B$2:$B$1057,A97,'02c_DC_Accel_Bridge'!$C$2:$C$1057,B97,'02c_DC_Accel_Bridge'!$D$2:$D$1057,C97)/I97,1.0)</f>
        <v/>
      </c>
      <c r="H97" s="6">
        <f>SUM(D97:G97)</f>
        <v/>
      </c>
      <c r="I97" s="28">
        <f>SUMIFS('02c_DC_Accel_Bridge'!$H$2:$H$1057,'02c_DC_Accel_Bridge'!$B$2:$B$1057,A97,'02c_DC_Accel_Bridge'!$C$2:$C$1057,B97,'02c_DC_Accel_Bridge'!$D$2:$D$1057,C97)</f>
        <v/>
      </c>
      <c r="J97" s="6">
        <f>IF(I97&gt;0,SUMIFS('02c_DC_Accel_Bridge'!$U$2:$U$1057,'02c_DC_Accel_Bridge'!$B$2:$B$1057,A97,'02c_DC_Accel_Bridge'!$C$2:$C$1057,B97,'02c_DC_Accel_Bridge'!$D$2:$D$1057,C97)/I97,0)</f>
        <v/>
      </c>
      <c r="K97" s="6">
        <f>IF(I97&gt;0,SUMIFS('02c_DC_Accel_Bridge'!$V$2:$V$1057,'02c_DC_Accel_Bridge'!$B$2:$B$1057,A97,'02c_DC_Accel_Bridge'!$C$2:$C$1057,B97,'02c_DC_Accel_Bridge'!$D$2:$D$1057,C97)/I97,0)</f>
        <v/>
      </c>
      <c r="L97" s="6">
        <f>IF(I97&gt;0,SUMIFS('02c_DC_Accel_Bridge'!$W$2:$W$1057,'02c_DC_Accel_Bridge'!$B$2:$B$1057,A97,'02c_DC_Accel_Bridge'!$C$2:$C$1057,B97,'02c_DC_Accel_Bridge'!$D$2:$D$1057,C97)/I97,0)</f>
        <v/>
      </c>
      <c r="M97" s="6">
        <f>IF(I97&gt;0,SUMIFS('02c_DC_Accel_Bridge'!$X$2:$X$1057,'02c_DC_Accel_Bridge'!$B$2:$B$1057,A97,'02c_DC_Accel_Bridge'!$C$2:$C$1057,B97,'02c_DC_Accel_Bridge'!$D$2:$D$1057,C97)/I97,0)</f>
        <v/>
      </c>
      <c r="N97" s="6">
        <f>IF(I97&gt;0,SUMIFS('02c_DC_Accel_Bridge'!$Y$2:$Y$1057,'02c_DC_Accel_Bridge'!$B$2:$B$1057,A97,'02c_DC_Accel_Bridge'!$C$2:$C$1057,B97,'02c_DC_Accel_Bridge'!$D$2:$D$1057,C97)/I97,0)</f>
        <v/>
      </c>
      <c r="O97" s="6">
        <f>IF(I97&gt;0,SUMIFS('02c_DC_Accel_Bridge'!$Z$2:$Z$1057,'02c_DC_Accel_Bridge'!$B$2:$B$1057,A97,'02c_DC_Accel_Bridge'!$C$2:$C$1057,B97,'02c_DC_Accel_Bridge'!$D$2:$D$1057,C97)/I97,0)</f>
        <v/>
      </c>
      <c r="P97" s="3" t="inlineStr">
        <is>
          <t>weighted average: sum(site inference_weight_mw * accelerator_share) / sum(site inference_weight_mw)</t>
        </is>
      </c>
      <c r="Q97" s="3" t="inlineStr">
        <is>
          <t>dc_capacity_x_dc_accelerator_mix</t>
        </is>
      </c>
      <c r="R97" s="3" t="inlineStr">
        <is>
          <t>Edit 02a capacity allocation and 02b site accelerator mix; 03_Calculation reads D:G from this sheet.</t>
        </is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>
        <f>IF(I98&gt;0,SUMIFS('02c_DC_Accel_Bridge'!$R$2:$R$1057,'02c_DC_Accel_Bridge'!$B$2:$B$1057,A98,'02c_DC_Accel_Bridge'!$C$2:$C$1057,B98,'02c_DC_Accel_Bridge'!$D$2:$D$1057,C98)/I98,0.005625)</f>
        <v/>
      </c>
      <c r="E98" s="6">
        <f>IF(I98&gt;0,SUMIFS('02c_DC_Accel_Bridge'!$S$2:$S$1057,'02c_DC_Accel_Bridge'!$B$2:$B$1057,A98,'02c_DC_Accel_Bridge'!$C$2:$C$1057,B98,'02c_DC_Accel_Bridge'!$D$2:$D$1057,C98)/I98,0.098131)</f>
        <v/>
      </c>
      <c r="F98" s="6">
        <f>IF(I98&gt;0,SUMIFS('02c_DC_Accel_Bridge'!$T$2:$T$1057,'02c_DC_Accel_Bridge'!$B$2:$B$1057,A98,'02c_DC_Accel_Bridge'!$C$2:$C$1057,B98,'02c_DC_Accel_Bridge'!$D$2:$D$1057,C98)/I98,0.002191)</f>
        <v/>
      </c>
      <c r="G98" s="6">
        <f>IF(I98&gt;0,SUMIFS('02c_DC_Accel_Bridge'!$AA$2:$AA$1057,'02c_DC_Accel_Bridge'!$B$2:$B$1057,A98,'02c_DC_Accel_Bridge'!$C$2:$C$1057,B98,'02c_DC_Accel_Bridge'!$D$2:$D$1057,C98)/I98,0.894053)</f>
        <v/>
      </c>
      <c r="H98" s="6">
        <f>SUM(D98:G98)</f>
        <v/>
      </c>
      <c r="I98" s="28">
        <f>SUMIFS('02c_DC_Accel_Bridge'!$H$2:$H$1057,'02c_DC_Accel_Bridge'!$B$2:$B$1057,A98,'02c_DC_Accel_Bridge'!$C$2:$C$1057,B98,'02c_DC_Accel_Bridge'!$D$2:$D$1057,C98)</f>
        <v/>
      </c>
      <c r="J98" s="6">
        <f>IF(I98&gt;0,SUMIFS('02c_DC_Accel_Bridge'!$U$2:$U$1057,'02c_DC_Accel_Bridge'!$B$2:$B$1057,A98,'02c_DC_Accel_Bridge'!$C$2:$C$1057,B98,'02c_DC_Accel_Bridge'!$D$2:$D$1057,C98)/I98,0)</f>
        <v/>
      </c>
      <c r="K98" s="6">
        <f>IF(I98&gt;0,SUMIFS('02c_DC_Accel_Bridge'!$V$2:$V$1057,'02c_DC_Accel_Bridge'!$B$2:$B$1057,A98,'02c_DC_Accel_Bridge'!$C$2:$C$1057,B98,'02c_DC_Accel_Bridge'!$D$2:$D$1057,C98)/I98,0)</f>
        <v/>
      </c>
      <c r="L98" s="6">
        <f>IF(I98&gt;0,SUMIFS('02c_DC_Accel_Bridge'!$W$2:$W$1057,'02c_DC_Accel_Bridge'!$B$2:$B$1057,A98,'02c_DC_Accel_Bridge'!$C$2:$C$1057,B98,'02c_DC_Accel_Bridge'!$D$2:$D$1057,C98)/I98,0)</f>
        <v/>
      </c>
      <c r="M98" s="6">
        <f>IF(I98&gt;0,SUMIFS('02c_DC_Accel_Bridge'!$X$2:$X$1057,'02c_DC_Accel_Bridge'!$B$2:$B$1057,A98,'02c_DC_Accel_Bridge'!$C$2:$C$1057,B98,'02c_DC_Accel_Bridge'!$D$2:$D$1057,C98)/I98,0)</f>
        <v/>
      </c>
      <c r="N98" s="6">
        <f>IF(I98&gt;0,SUMIFS('02c_DC_Accel_Bridge'!$Y$2:$Y$1057,'02c_DC_Accel_Bridge'!$B$2:$B$1057,A98,'02c_DC_Accel_Bridge'!$C$2:$C$1057,B98,'02c_DC_Accel_Bridge'!$D$2:$D$1057,C98)/I98,0)</f>
        <v/>
      </c>
      <c r="O98" s="6">
        <f>IF(I98&gt;0,SUMIFS('02c_DC_Accel_Bridge'!$Z$2:$Z$1057,'02c_DC_Accel_Bridge'!$B$2:$B$1057,A98,'02c_DC_Accel_Bridge'!$C$2:$C$1057,B98,'02c_DC_Accel_Bridge'!$D$2:$D$1057,C98)/I98,0)</f>
        <v/>
      </c>
      <c r="P98" s="3" t="inlineStr">
        <is>
          <t>weighted average: sum(site inference_weight_mw * accelerator_share) / sum(site inference_weight_mw)</t>
        </is>
      </c>
      <c r="Q98" s="3" t="inlineStr">
        <is>
          <t>dc_capacity_x_dc_accelerator_mix</t>
        </is>
      </c>
      <c r="R98" s="3" t="inlineStr">
        <is>
          <t>Edit 02a capacity allocation and 02b site accelerator mix; 03_Calculation reads D:G from this sheet.</t>
        </is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>
        <f>IF(I99&gt;0,SUMIFS('02c_DC_Accel_Bridge'!$R$2:$R$1057,'02c_DC_Accel_Bridge'!$B$2:$B$1057,A99,'02c_DC_Accel_Bridge'!$C$2:$C$1057,B99,'02c_DC_Accel_Bridge'!$D$2:$D$1057,C99)/I99,0.011989)</f>
        <v/>
      </c>
      <c r="E99" s="6">
        <f>IF(I99&gt;0,SUMIFS('02c_DC_Accel_Bridge'!$S$2:$S$1057,'02c_DC_Accel_Bridge'!$B$2:$B$1057,A99,'02c_DC_Accel_Bridge'!$C$2:$C$1057,B99,'02c_DC_Accel_Bridge'!$D$2:$D$1057,C99)/I99,0.086159)</f>
        <v/>
      </c>
      <c r="F99" s="6">
        <f>IF(I99&gt;0,SUMIFS('02c_DC_Accel_Bridge'!$T$2:$T$1057,'02c_DC_Accel_Bridge'!$B$2:$B$1057,A99,'02c_DC_Accel_Bridge'!$C$2:$C$1057,B99,'02c_DC_Accel_Bridge'!$D$2:$D$1057,C99)/I99,0.01101)</f>
        <v/>
      </c>
      <c r="G99" s="6">
        <f>IF(I99&gt;0,SUMIFS('02c_DC_Accel_Bridge'!$AA$2:$AA$1057,'02c_DC_Accel_Bridge'!$B$2:$B$1057,A99,'02c_DC_Accel_Bridge'!$C$2:$C$1057,B99,'02c_DC_Accel_Bridge'!$D$2:$D$1057,C99)/I99,0.890842)</f>
        <v/>
      </c>
      <c r="H99" s="6">
        <f>SUM(D99:G99)</f>
        <v/>
      </c>
      <c r="I99" s="28">
        <f>SUMIFS('02c_DC_Accel_Bridge'!$H$2:$H$1057,'02c_DC_Accel_Bridge'!$B$2:$B$1057,A99,'02c_DC_Accel_Bridge'!$C$2:$C$1057,B99,'02c_DC_Accel_Bridge'!$D$2:$D$1057,C99)</f>
        <v/>
      </c>
      <c r="J99" s="6">
        <f>IF(I99&gt;0,SUMIFS('02c_DC_Accel_Bridge'!$U$2:$U$1057,'02c_DC_Accel_Bridge'!$B$2:$B$1057,A99,'02c_DC_Accel_Bridge'!$C$2:$C$1057,B99,'02c_DC_Accel_Bridge'!$D$2:$D$1057,C99)/I99,0)</f>
        <v/>
      </c>
      <c r="K99" s="6">
        <f>IF(I99&gt;0,SUMIFS('02c_DC_Accel_Bridge'!$V$2:$V$1057,'02c_DC_Accel_Bridge'!$B$2:$B$1057,A99,'02c_DC_Accel_Bridge'!$C$2:$C$1057,B99,'02c_DC_Accel_Bridge'!$D$2:$D$1057,C99)/I99,0)</f>
        <v/>
      </c>
      <c r="L99" s="6">
        <f>IF(I99&gt;0,SUMIFS('02c_DC_Accel_Bridge'!$W$2:$W$1057,'02c_DC_Accel_Bridge'!$B$2:$B$1057,A99,'02c_DC_Accel_Bridge'!$C$2:$C$1057,B99,'02c_DC_Accel_Bridge'!$D$2:$D$1057,C99)/I99,0)</f>
        <v/>
      </c>
      <c r="M99" s="6">
        <f>IF(I99&gt;0,SUMIFS('02c_DC_Accel_Bridge'!$X$2:$X$1057,'02c_DC_Accel_Bridge'!$B$2:$B$1057,A99,'02c_DC_Accel_Bridge'!$C$2:$C$1057,B99,'02c_DC_Accel_Bridge'!$D$2:$D$1057,C99)/I99,0)</f>
        <v/>
      </c>
      <c r="N99" s="6">
        <f>IF(I99&gt;0,SUMIFS('02c_DC_Accel_Bridge'!$Y$2:$Y$1057,'02c_DC_Accel_Bridge'!$B$2:$B$1057,A99,'02c_DC_Accel_Bridge'!$C$2:$C$1057,B99,'02c_DC_Accel_Bridge'!$D$2:$D$1057,C99)/I99,0)</f>
        <v/>
      </c>
      <c r="O99" s="6">
        <f>IF(I99&gt;0,SUMIFS('02c_DC_Accel_Bridge'!$Z$2:$Z$1057,'02c_DC_Accel_Bridge'!$B$2:$B$1057,A99,'02c_DC_Accel_Bridge'!$C$2:$C$1057,B99,'02c_DC_Accel_Bridge'!$D$2:$D$1057,C99)/I99,0)</f>
        <v/>
      </c>
      <c r="P99" s="3" t="inlineStr">
        <is>
          <t>weighted average: sum(site inference_weight_mw * accelerator_share) / sum(site inference_weight_mw)</t>
        </is>
      </c>
      <c r="Q99" s="3" t="inlineStr">
        <is>
          <t>dc_capacity_x_dc_accelerator_mix</t>
        </is>
      </c>
      <c r="R99" s="3" t="inlineStr">
        <is>
          <t>Edit 02a capacity allocation and 02b site accelerator mix; 03_Calculation reads D:G from this sheet.</t>
        </is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>
        <f>IF(I100&gt;0,SUMIFS('02c_DC_Accel_Bridge'!$R$2:$R$1057,'02c_DC_Accel_Bridge'!$B$2:$B$1057,A100,'02c_DC_Accel_Bridge'!$C$2:$C$1057,B100,'02c_DC_Accel_Bridge'!$D$2:$D$1057,C100)/I100,0.006606)</f>
        <v/>
      </c>
      <c r="E100" s="6">
        <f>IF(I100&gt;0,SUMIFS('02c_DC_Accel_Bridge'!$S$2:$S$1057,'02c_DC_Accel_Bridge'!$B$2:$B$1057,A100,'02c_DC_Accel_Bridge'!$C$2:$C$1057,B100,'02c_DC_Accel_Bridge'!$D$2:$D$1057,C100)/I100,0.083468)</f>
        <v/>
      </c>
      <c r="F100" s="6">
        <f>IF(I100&gt;0,SUMIFS('02c_DC_Accel_Bridge'!$T$2:$T$1057,'02c_DC_Accel_Bridge'!$B$2:$B$1057,A100,'02c_DC_Accel_Bridge'!$C$2:$C$1057,B100,'02c_DC_Accel_Bridge'!$D$2:$D$1057,C100)/I100,0.012967)</f>
        <v/>
      </c>
      <c r="G100" s="6">
        <f>IF(I100&gt;0,SUMIFS('02c_DC_Accel_Bridge'!$AA$2:$AA$1057,'02c_DC_Accel_Bridge'!$B$2:$B$1057,A100,'02c_DC_Accel_Bridge'!$C$2:$C$1057,B100,'02c_DC_Accel_Bridge'!$D$2:$D$1057,C100)/I100,0.896959)</f>
        <v/>
      </c>
      <c r="H100" s="6">
        <f>SUM(D100:G100)</f>
        <v/>
      </c>
      <c r="I100" s="28">
        <f>SUMIFS('02c_DC_Accel_Bridge'!$H$2:$H$1057,'02c_DC_Accel_Bridge'!$B$2:$B$1057,A100,'02c_DC_Accel_Bridge'!$C$2:$C$1057,B100,'02c_DC_Accel_Bridge'!$D$2:$D$1057,C100)</f>
        <v/>
      </c>
      <c r="J100" s="6">
        <f>IF(I100&gt;0,SUMIFS('02c_DC_Accel_Bridge'!$U$2:$U$1057,'02c_DC_Accel_Bridge'!$B$2:$B$1057,A100,'02c_DC_Accel_Bridge'!$C$2:$C$1057,B100,'02c_DC_Accel_Bridge'!$D$2:$D$1057,C100)/I100,0)</f>
        <v/>
      </c>
      <c r="K100" s="6">
        <f>IF(I100&gt;0,SUMIFS('02c_DC_Accel_Bridge'!$V$2:$V$1057,'02c_DC_Accel_Bridge'!$B$2:$B$1057,A100,'02c_DC_Accel_Bridge'!$C$2:$C$1057,B100,'02c_DC_Accel_Bridge'!$D$2:$D$1057,C100)/I100,0)</f>
        <v/>
      </c>
      <c r="L100" s="6">
        <f>IF(I100&gt;0,SUMIFS('02c_DC_Accel_Bridge'!$W$2:$W$1057,'02c_DC_Accel_Bridge'!$B$2:$B$1057,A100,'02c_DC_Accel_Bridge'!$C$2:$C$1057,B100,'02c_DC_Accel_Bridge'!$D$2:$D$1057,C100)/I100,0)</f>
        <v/>
      </c>
      <c r="M100" s="6">
        <f>IF(I100&gt;0,SUMIFS('02c_DC_Accel_Bridge'!$X$2:$X$1057,'02c_DC_Accel_Bridge'!$B$2:$B$1057,A100,'02c_DC_Accel_Bridge'!$C$2:$C$1057,B100,'02c_DC_Accel_Bridge'!$D$2:$D$1057,C100)/I100,0)</f>
        <v/>
      </c>
      <c r="N100" s="6">
        <f>IF(I100&gt;0,SUMIFS('02c_DC_Accel_Bridge'!$Y$2:$Y$1057,'02c_DC_Accel_Bridge'!$B$2:$B$1057,A100,'02c_DC_Accel_Bridge'!$C$2:$C$1057,B100,'02c_DC_Accel_Bridge'!$D$2:$D$1057,C100)/I100,0)</f>
        <v/>
      </c>
      <c r="O100" s="6">
        <f>IF(I100&gt;0,SUMIFS('02c_DC_Accel_Bridge'!$Z$2:$Z$1057,'02c_DC_Accel_Bridge'!$B$2:$B$1057,A100,'02c_DC_Accel_Bridge'!$C$2:$C$1057,B100,'02c_DC_Accel_Bridge'!$D$2:$D$1057,C100)/I100,0)</f>
        <v/>
      </c>
      <c r="P100" s="3" t="inlineStr">
        <is>
          <t>weighted average: sum(site inference_weight_mw * accelerator_share) / sum(site inference_weight_mw)</t>
        </is>
      </c>
      <c r="Q100" s="3" t="inlineStr">
        <is>
          <t>dc_capacity_x_dc_accelerator_mix</t>
        </is>
      </c>
      <c r="R100" s="3" t="inlineStr">
        <is>
          <t>Edit 02a capacity allocation and 02b site accelerator mix; 03_Calculation reads D:G from this sheet.</t>
        </is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>
        <f>IF(I101&gt;0,SUMIFS('02c_DC_Accel_Bridge'!$R$2:$R$1057,'02c_DC_Accel_Bridge'!$B$2:$B$1057,A101,'02c_DC_Accel_Bridge'!$C$2:$C$1057,B101,'02c_DC_Accel_Bridge'!$D$2:$D$1057,C101)/I101,0.002447)</f>
        <v/>
      </c>
      <c r="E101" s="6">
        <f>IF(I101&gt;0,SUMIFS('02c_DC_Accel_Bridge'!$S$2:$S$1057,'02c_DC_Accel_Bridge'!$B$2:$B$1057,A101,'02c_DC_Accel_Bridge'!$C$2:$C$1057,B101,'02c_DC_Accel_Bridge'!$D$2:$D$1057,C101)/I101,0.081021)</f>
        <v/>
      </c>
      <c r="F101" s="6">
        <f>IF(I101&gt;0,SUMIFS('02c_DC_Accel_Bridge'!$T$2:$T$1057,'02c_DC_Accel_Bridge'!$B$2:$B$1057,A101,'02c_DC_Accel_Bridge'!$C$2:$C$1057,B101,'02c_DC_Accel_Bridge'!$D$2:$D$1057,C101)/I101,0.013457)</f>
        <v/>
      </c>
      <c r="G101" s="6">
        <f>IF(I101&gt;0,SUMIFS('02c_DC_Accel_Bridge'!$AA$2:$AA$1057,'02c_DC_Accel_Bridge'!$B$2:$B$1057,A101,'02c_DC_Accel_Bridge'!$C$2:$C$1057,B101,'02c_DC_Accel_Bridge'!$D$2:$D$1057,C101)/I101,0.903075)</f>
        <v/>
      </c>
      <c r="H101" s="6">
        <f>SUM(D101:G101)</f>
        <v/>
      </c>
      <c r="I101" s="28">
        <f>SUMIFS('02c_DC_Accel_Bridge'!$H$2:$H$1057,'02c_DC_Accel_Bridge'!$B$2:$B$1057,A101,'02c_DC_Accel_Bridge'!$C$2:$C$1057,B101,'02c_DC_Accel_Bridge'!$D$2:$D$1057,C101)</f>
        <v/>
      </c>
      <c r="J101" s="6">
        <f>IF(I101&gt;0,SUMIFS('02c_DC_Accel_Bridge'!$U$2:$U$1057,'02c_DC_Accel_Bridge'!$B$2:$B$1057,A101,'02c_DC_Accel_Bridge'!$C$2:$C$1057,B101,'02c_DC_Accel_Bridge'!$D$2:$D$1057,C101)/I101,0)</f>
        <v/>
      </c>
      <c r="K101" s="6">
        <f>IF(I101&gt;0,SUMIFS('02c_DC_Accel_Bridge'!$V$2:$V$1057,'02c_DC_Accel_Bridge'!$B$2:$B$1057,A101,'02c_DC_Accel_Bridge'!$C$2:$C$1057,B101,'02c_DC_Accel_Bridge'!$D$2:$D$1057,C101)/I101,0)</f>
        <v/>
      </c>
      <c r="L101" s="6">
        <f>IF(I101&gt;0,SUMIFS('02c_DC_Accel_Bridge'!$W$2:$W$1057,'02c_DC_Accel_Bridge'!$B$2:$B$1057,A101,'02c_DC_Accel_Bridge'!$C$2:$C$1057,B101,'02c_DC_Accel_Bridge'!$D$2:$D$1057,C101)/I101,0)</f>
        <v/>
      </c>
      <c r="M101" s="6">
        <f>IF(I101&gt;0,SUMIFS('02c_DC_Accel_Bridge'!$X$2:$X$1057,'02c_DC_Accel_Bridge'!$B$2:$B$1057,A101,'02c_DC_Accel_Bridge'!$C$2:$C$1057,B101,'02c_DC_Accel_Bridge'!$D$2:$D$1057,C101)/I101,0)</f>
        <v/>
      </c>
      <c r="N101" s="6">
        <f>IF(I101&gt;0,SUMIFS('02c_DC_Accel_Bridge'!$Y$2:$Y$1057,'02c_DC_Accel_Bridge'!$B$2:$B$1057,A101,'02c_DC_Accel_Bridge'!$C$2:$C$1057,B101,'02c_DC_Accel_Bridge'!$D$2:$D$1057,C101)/I101,0)</f>
        <v/>
      </c>
      <c r="O101" s="6">
        <f>IF(I101&gt;0,SUMIFS('02c_DC_Accel_Bridge'!$Z$2:$Z$1057,'02c_DC_Accel_Bridge'!$B$2:$B$1057,A101,'02c_DC_Accel_Bridge'!$C$2:$C$1057,B101,'02c_DC_Accel_Bridge'!$D$2:$D$1057,C101)/I101,0)</f>
        <v/>
      </c>
      <c r="P101" s="3" t="inlineStr">
        <is>
          <t>weighted average: sum(site inference_weight_mw * accelerator_share) / sum(site inference_weight_mw)</t>
        </is>
      </c>
      <c r="Q101" s="3" t="inlineStr">
        <is>
          <t>dc_capacity_x_dc_accelerator_mix</t>
        </is>
      </c>
      <c r="R101" s="3" t="inlineStr">
        <is>
          <t>Edit 02a capacity allocation and 02b site accelerator mix; 03_Calculation reads D:G from this sheet.</t>
        </is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>
        <f>IF(I102&gt;0,SUMIFS('02c_DC_Accel_Bridge'!$R$2:$R$1057,'02c_DC_Accel_Bridge'!$B$2:$B$1057,A102,'02c_DC_Accel_Bridge'!$C$2:$C$1057,B102,'02c_DC_Accel_Bridge'!$D$2:$D$1057,C102)/I102,0.0)</f>
        <v/>
      </c>
      <c r="E102" s="6">
        <f>IF(I102&gt;0,SUMIFS('02c_DC_Accel_Bridge'!$S$2:$S$1057,'02c_DC_Accel_Bridge'!$B$2:$B$1057,A102,'02c_DC_Accel_Bridge'!$C$2:$C$1057,B102,'02c_DC_Accel_Bridge'!$D$2:$D$1057,C102)/I102,1.0)</f>
        <v/>
      </c>
      <c r="F102" s="6">
        <f>IF(I102&gt;0,SUMIFS('02c_DC_Accel_Bridge'!$T$2:$T$1057,'02c_DC_Accel_Bridge'!$B$2:$B$1057,A102,'02c_DC_Accel_Bridge'!$C$2:$C$1057,B102,'02c_DC_Accel_Bridge'!$D$2:$D$1057,C102)/I102,0.0)</f>
        <v/>
      </c>
      <c r="G102" s="6">
        <f>IF(I102&gt;0,SUMIFS('02c_DC_Accel_Bridge'!$AA$2:$AA$1057,'02c_DC_Accel_Bridge'!$B$2:$B$1057,A102,'02c_DC_Accel_Bridge'!$C$2:$C$1057,B102,'02c_DC_Accel_Bridge'!$D$2:$D$1057,C102)/I102,0.0)</f>
        <v/>
      </c>
      <c r="H102" s="6">
        <f>SUM(D102:G102)</f>
        <v/>
      </c>
      <c r="I102" s="28">
        <f>SUMIFS('02c_DC_Accel_Bridge'!$H$2:$H$1057,'02c_DC_Accel_Bridge'!$B$2:$B$1057,A102,'02c_DC_Accel_Bridge'!$C$2:$C$1057,B102,'02c_DC_Accel_Bridge'!$D$2:$D$1057,C102)</f>
        <v/>
      </c>
      <c r="J102" s="6">
        <f>IF(I102&gt;0,SUMIFS('02c_DC_Accel_Bridge'!$U$2:$U$1057,'02c_DC_Accel_Bridge'!$B$2:$B$1057,A102,'02c_DC_Accel_Bridge'!$C$2:$C$1057,B102,'02c_DC_Accel_Bridge'!$D$2:$D$1057,C102)/I102,0)</f>
        <v/>
      </c>
      <c r="K102" s="6">
        <f>IF(I102&gt;0,SUMIFS('02c_DC_Accel_Bridge'!$V$2:$V$1057,'02c_DC_Accel_Bridge'!$B$2:$B$1057,A102,'02c_DC_Accel_Bridge'!$C$2:$C$1057,B102,'02c_DC_Accel_Bridge'!$D$2:$D$1057,C102)/I102,0)</f>
        <v/>
      </c>
      <c r="L102" s="6">
        <f>IF(I102&gt;0,SUMIFS('02c_DC_Accel_Bridge'!$W$2:$W$1057,'02c_DC_Accel_Bridge'!$B$2:$B$1057,A102,'02c_DC_Accel_Bridge'!$C$2:$C$1057,B102,'02c_DC_Accel_Bridge'!$D$2:$D$1057,C102)/I102,0)</f>
        <v/>
      </c>
      <c r="M102" s="6">
        <f>IF(I102&gt;0,SUMIFS('02c_DC_Accel_Bridge'!$X$2:$X$1057,'02c_DC_Accel_Bridge'!$B$2:$B$1057,A102,'02c_DC_Accel_Bridge'!$C$2:$C$1057,B102,'02c_DC_Accel_Bridge'!$D$2:$D$1057,C102)/I102,0)</f>
        <v/>
      </c>
      <c r="N102" s="6">
        <f>IF(I102&gt;0,SUMIFS('02c_DC_Accel_Bridge'!$Y$2:$Y$1057,'02c_DC_Accel_Bridge'!$B$2:$B$1057,A102,'02c_DC_Accel_Bridge'!$C$2:$C$1057,B102,'02c_DC_Accel_Bridge'!$D$2:$D$1057,C102)/I102,0)</f>
        <v/>
      </c>
      <c r="O102" s="6">
        <f>IF(I102&gt;0,SUMIFS('02c_DC_Accel_Bridge'!$Z$2:$Z$1057,'02c_DC_Accel_Bridge'!$B$2:$B$1057,A102,'02c_DC_Accel_Bridge'!$C$2:$C$1057,B102,'02c_DC_Accel_Bridge'!$D$2:$D$1057,C102)/I102,0)</f>
        <v/>
      </c>
      <c r="P102" s="3" t="inlineStr">
        <is>
          <t>weighted average: sum(site inference_weight_mw * accelerator_share) / sum(site inference_weight_mw)</t>
        </is>
      </c>
      <c r="Q102" s="3" t="inlineStr">
        <is>
          <t>dc_capacity_x_dc_accelerator_mix</t>
        </is>
      </c>
      <c r="R102" s="3" t="inlineStr">
        <is>
          <t>Edit 02a capacity allocation and 02b site accelerator mix; 03_Calculation reads D:G from this sheet.</t>
        </is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>
        <f>IF(I103&gt;0,SUMIFS('02c_DC_Accel_Bridge'!$R$2:$R$1057,'02c_DC_Accel_Bridge'!$B$2:$B$1057,A103,'02c_DC_Accel_Bridge'!$C$2:$C$1057,B103,'02c_DC_Accel_Bridge'!$D$2:$D$1057,C103)/I103,0.0)</f>
        <v/>
      </c>
      <c r="E103" s="6">
        <f>IF(I103&gt;0,SUMIFS('02c_DC_Accel_Bridge'!$S$2:$S$1057,'02c_DC_Accel_Bridge'!$B$2:$B$1057,A103,'02c_DC_Accel_Bridge'!$C$2:$C$1057,B103,'02c_DC_Accel_Bridge'!$D$2:$D$1057,C103)/I103,1.0)</f>
        <v/>
      </c>
      <c r="F103" s="6">
        <f>IF(I103&gt;0,SUMIFS('02c_DC_Accel_Bridge'!$T$2:$T$1057,'02c_DC_Accel_Bridge'!$B$2:$B$1057,A103,'02c_DC_Accel_Bridge'!$C$2:$C$1057,B103,'02c_DC_Accel_Bridge'!$D$2:$D$1057,C103)/I103,0.0)</f>
        <v/>
      </c>
      <c r="G103" s="6">
        <f>IF(I103&gt;0,SUMIFS('02c_DC_Accel_Bridge'!$AA$2:$AA$1057,'02c_DC_Accel_Bridge'!$B$2:$B$1057,A103,'02c_DC_Accel_Bridge'!$C$2:$C$1057,B103,'02c_DC_Accel_Bridge'!$D$2:$D$1057,C103)/I103,0.0)</f>
        <v/>
      </c>
      <c r="H103" s="6">
        <f>SUM(D103:G103)</f>
        <v/>
      </c>
      <c r="I103" s="28">
        <f>SUMIFS('02c_DC_Accel_Bridge'!$H$2:$H$1057,'02c_DC_Accel_Bridge'!$B$2:$B$1057,A103,'02c_DC_Accel_Bridge'!$C$2:$C$1057,B103,'02c_DC_Accel_Bridge'!$D$2:$D$1057,C103)</f>
        <v/>
      </c>
      <c r="J103" s="6">
        <f>IF(I103&gt;0,SUMIFS('02c_DC_Accel_Bridge'!$U$2:$U$1057,'02c_DC_Accel_Bridge'!$B$2:$B$1057,A103,'02c_DC_Accel_Bridge'!$C$2:$C$1057,B103,'02c_DC_Accel_Bridge'!$D$2:$D$1057,C103)/I103,0)</f>
        <v/>
      </c>
      <c r="K103" s="6">
        <f>IF(I103&gt;0,SUMIFS('02c_DC_Accel_Bridge'!$V$2:$V$1057,'02c_DC_Accel_Bridge'!$B$2:$B$1057,A103,'02c_DC_Accel_Bridge'!$C$2:$C$1057,B103,'02c_DC_Accel_Bridge'!$D$2:$D$1057,C103)/I103,0)</f>
        <v/>
      </c>
      <c r="L103" s="6">
        <f>IF(I103&gt;0,SUMIFS('02c_DC_Accel_Bridge'!$W$2:$W$1057,'02c_DC_Accel_Bridge'!$B$2:$B$1057,A103,'02c_DC_Accel_Bridge'!$C$2:$C$1057,B103,'02c_DC_Accel_Bridge'!$D$2:$D$1057,C103)/I103,0)</f>
        <v/>
      </c>
      <c r="M103" s="6">
        <f>IF(I103&gt;0,SUMIFS('02c_DC_Accel_Bridge'!$X$2:$X$1057,'02c_DC_Accel_Bridge'!$B$2:$B$1057,A103,'02c_DC_Accel_Bridge'!$C$2:$C$1057,B103,'02c_DC_Accel_Bridge'!$D$2:$D$1057,C103)/I103,0)</f>
        <v/>
      </c>
      <c r="N103" s="6">
        <f>IF(I103&gt;0,SUMIFS('02c_DC_Accel_Bridge'!$Y$2:$Y$1057,'02c_DC_Accel_Bridge'!$B$2:$B$1057,A103,'02c_DC_Accel_Bridge'!$C$2:$C$1057,B103,'02c_DC_Accel_Bridge'!$D$2:$D$1057,C103)/I103,0)</f>
        <v/>
      </c>
      <c r="O103" s="6">
        <f>IF(I103&gt;0,SUMIFS('02c_DC_Accel_Bridge'!$Z$2:$Z$1057,'02c_DC_Accel_Bridge'!$B$2:$B$1057,A103,'02c_DC_Accel_Bridge'!$C$2:$C$1057,B103,'02c_DC_Accel_Bridge'!$D$2:$D$1057,C103)/I103,0)</f>
        <v/>
      </c>
      <c r="P103" s="3" t="inlineStr">
        <is>
          <t>weighted average: sum(site inference_weight_mw * accelerator_share) / sum(site inference_weight_mw)</t>
        </is>
      </c>
      <c r="Q103" s="3" t="inlineStr">
        <is>
          <t>dc_capacity_x_dc_accelerator_mix</t>
        </is>
      </c>
      <c r="R103" s="3" t="inlineStr">
        <is>
          <t>Edit 02a capacity allocation and 02b site accelerator mix; 03_Calculation reads D:G from this sheet.</t>
        </is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>
        <f>IF(I104&gt;0,SUMIFS('02c_DC_Accel_Bridge'!$R$2:$R$1057,'02c_DC_Accel_Bridge'!$B$2:$B$1057,A104,'02c_DC_Accel_Bridge'!$C$2:$C$1057,B104,'02c_DC_Accel_Bridge'!$D$2:$D$1057,C104)/I104,0.0)</f>
        <v/>
      </c>
      <c r="E104" s="6">
        <f>IF(I104&gt;0,SUMIFS('02c_DC_Accel_Bridge'!$S$2:$S$1057,'02c_DC_Accel_Bridge'!$B$2:$B$1057,A104,'02c_DC_Accel_Bridge'!$C$2:$C$1057,B104,'02c_DC_Accel_Bridge'!$D$2:$D$1057,C104)/I104,0.612306)</f>
        <v/>
      </c>
      <c r="F104" s="6">
        <f>IF(I104&gt;0,SUMIFS('02c_DC_Accel_Bridge'!$T$2:$T$1057,'02c_DC_Accel_Bridge'!$B$2:$B$1057,A104,'02c_DC_Accel_Bridge'!$C$2:$C$1057,B104,'02c_DC_Accel_Bridge'!$D$2:$D$1057,C104)/I104,0.0)</f>
        <v/>
      </c>
      <c r="G104" s="6">
        <f>IF(I104&gt;0,SUMIFS('02c_DC_Accel_Bridge'!$AA$2:$AA$1057,'02c_DC_Accel_Bridge'!$B$2:$B$1057,A104,'02c_DC_Accel_Bridge'!$C$2:$C$1057,B104,'02c_DC_Accel_Bridge'!$D$2:$D$1057,C104)/I104,0.387694)</f>
        <v/>
      </c>
      <c r="H104" s="6">
        <f>SUM(D104:G104)</f>
        <v/>
      </c>
      <c r="I104" s="28">
        <f>SUMIFS('02c_DC_Accel_Bridge'!$H$2:$H$1057,'02c_DC_Accel_Bridge'!$B$2:$B$1057,A104,'02c_DC_Accel_Bridge'!$C$2:$C$1057,B104,'02c_DC_Accel_Bridge'!$D$2:$D$1057,C104)</f>
        <v/>
      </c>
      <c r="J104" s="6">
        <f>IF(I104&gt;0,SUMIFS('02c_DC_Accel_Bridge'!$U$2:$U$1057,'02c_DC_Accel_Bridge'!$B$2:$B$1057,A104,'02c_DC_Accel_Bridge'!$C$2:$C$1057,B104,'02c_DC_Accel_Bridge'!$D$2:$D$1057,C104)/I104,0)</f>
        <v/>
      </c>
      <c r="K104" s="6">
        <f>IF(I104&gt;0,SUMIFS('02c_DC_Accel_Bridge'!$V$2:$V$1057,'02c_DC_Accel_Bridge'!$B$2:$B$1057,A104,'02c_DC_Accel_Bridge'!$C$2:$C$1057,B104,'02c_DC_Accel_Bridge'!$D$2:$D$1057,C104)/I104,0)</f>
        <v/>
      </c>
      <c r="L104" s="6">
        <f>IF(I104&gt;0,SUMIFS('02c_DC_Accel_Bridge'!$W$2:$W$1057,'02c_DC_Accel_Bridge'!$B$2:$B$1057,A104,'02c_DC_Accel_Bridge'!$C$2:$C$1057,B104,'02c_DC_Accel_Bridge'!$D$2:$D$1057,C104)/I104,0)</f>
        <v/>
      </c>
      <c r="M104" s="6">
        <f>IF(I104&gt;0,SUMIFS('02c_DC_Accel_Bridge'!$X$2:$X$1057,'02c_DC_Accel_Bridge'!$B$2:$B$1057,A104,'02c_DC_Accel_Bridge'!$C$2:$C$1057,B104,'02c_DC_Accel_Bridge'!$D$2:$D$1057,C104)/I104,0)</f>
        <v/>
      </c>
      <c r="N104" s="6">
        <f>IF(I104&gt;0,SUMIFS('02c_DC_Accel_Bridge'!$Y$2:$Y$1057,'02c_DC_Accel_Bridge'!$B$2:$B$1057,A104,'02c_DC_Accel_Bridge'!$C$2:$C$1057,B104,'02c_DC_Accel_Bridge'!$D$2:$D$1057,C104)/I104,0)</f>
        <v/>
      </c>
      <c r="O104" s="6">
        <f>IF(I104&gt;0,SUMIFS('02c_DC_Accel_Bridge'!$Z$2:$Z$1057,'02c_DC_Accel_Bridge'!$B$2:$B$1057,A104,'02c_DC_Accel_Bridge'!$C$2:$C$1057,B104,'02c_DC_Accel_Bridge'!$D$2:$D$1057,C104)/I104,0)</f>
        <v/>
      </c>
      <c r="P104" s="3" t="inlineStr">
        <is>
          <t>weighted average: sum(site inference_weight_mw * accelerator_share) / sum(site inference_weight_mw)</t>
        </is>
      </c>
      <c r="Q104" s="3" t="inlineStr">
        <is>
          <t>dc_capacity_x_dc_accelerator_mix</t>
        </is>
      </c>
      <c r="R104" s="3" t="inlineStr">
        <is>
          <t>Edit 02a capacity allocation and 02b site accelerator mix; 03_Calculation reads D:G from this sheet.</t>
        </is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>
        <f>IF(I105&gt;0,SUMIFS('02c_DC_Accel_Bridge'!$R$2:$R$1057,'02c_DC_Accel_Bridge'!$B$2:$B$1057,A105,'02c_DC_Accel_Bridge'!$C$2:$C$1057,B105,'02c_DC_Accel_Bridge'!$D$2:$D$1057,C105)/I105,0.0)</f>
        <v/>
      </c>
      <c r="E105" s="6">
        <f>IF(I105&gt;0,SUMIFS('02c_DC_Accel_Bridge'!$S$2:$S$1057,'02c_DC_Accel_Bridge'!$B$2:$B$1057,A105,'02c_DC_Accel_Bridge'!$C$2:$C$1057,B105,'02c_DC_Accel_Bridge'!$D$2:$D$1057,C105)/I105,0.612306)</f>
        <v/>
      </c>
      <c r="F105" s="6">
        <f>IF(I105&gt;0,SUMIFS('02c_DC_Accel_Bridge'!$T$2:$T$1057,'02c_DC_Accel_Bridge'!$B$2:$B$1057,A105,'02c_DC_Accel_Bridge'!$C$2:$C$1057,B105,'02c_DC_Accel_Bridge'!$D$2:$D$1057,C105)/I105,0.0)</f>
        <v/>
      </c>
      <c r="G105" s="6">
        <f>IF(I105&gt;0,SUMIFS('02c_DC_Accel_Bridge'!$AA$2:$AA$1057,'02c_DC_Accel_Bridge'!$B$2:$B$1057,A105,'02c_DC_Accel_Bridge'!$C$2:$C$1057,B105,'02c_DC_Accel_Bridge'!$D$2:$D$1057,C105)/I105,0.387694)</f>
        <v/>
      </c>
      <c r="H105" s="6">
        <f>SUM(D105:G105)</f>
        <v/>
      </c>
      <c r="I105" s="28">
        <f>SUMIFS('02c_DC_Accel_Bridge'!$H$2:$H$1057,'02c_DC_Accel_Bridge'!$B$2:$B$1057,A105,'02c_DC_Accel_Bridge'!$C$2:$C$1057,B105,'02c_DC_Accel_Bridge'!$D$2:$D$1057,C105)</f>
        <v/>
      </c>
      <c r="J105" s="6">
        <f>IF(I105&gt;0,SUMIFS('02c_DC_Accel_Bridge'!$U$2:$U$1057,'02c_DC_Accel_Bridge'!$B$2:$B$1057,A105,'02c_DC_Accel_Bridge'!$C$2:$C$1057,B105,'02c_DC_Accel_Bridge'!$D$2:$D$1057,C105)/I105,0)</f>
        <v/>
      </c>
      <c r="K105" s="6">
        <f>IF(I105&gt;0,SUMIFS('02c_DC_Accel_Bridge'!$V$2:$V$1057,'02c_DC_Accel_Bridge'!$B$2:$B$1057,A105,'02c_DC_Accel_Bridge'!$C$2:$C$1057,B105,'02c_DC_Accel_Bridge'!$D$2:$D$1057,C105)/I105,0)</f>
        <v/>
      </c>
      <c r="L105" s="6">
        <f>IF(I105&gt;0,SUMIFS('02c_DC_Accel_Bridge'!$W$2:$W$1057,'02c_DC_Accel_Bridge'!$B$2:$B$1057,A105,'02c_DC_Accel_Bridge'!$C$2:$C$1057,B105,'02c_DC_Accel_Bridge'!$D$2:$D$1057,C105)/I105,0)</f>
        <v/>
      </c>
      <c r="M105" s="6">
        <f>IF(I105&gt;0,SUMIFS('02c_DC_Accel_Bridge'!$X$2:$X$1057,'02c_DC_Accel_Bridge'!$B$2:$B$1057,A105,'02c_DC_Accel_Bridge'!$C$2:$C$1057,B105,'02c_DC_Accel_Bridge'!$D$2:$D$1057,C105)/I105,0)</f>
        <v/>
      </c>
      <c r="N105" s="6">
        <f>IF(I105&gt;0,SUMIFS('02c_DC_Accel_Bridge'!$Y$2:$Y$1057,'02c_DC_Accel_Bridge'!$B$2:$B$1057,A105,'02c_DC_Accel_Bridge'!$C$2:$C$1057,B105,'02c_DC_Accel_Bridge'!$D$2:$D$1057,C105)/I105,0)</f>
        <v/>
      </c>
      <c r="O105" s="6">
        <f>IF(I105&gt;0,SUMIFS('02c_DC_Accel_Bridge'!$Z$2:$Z$1057,'02c_DC_Accel_Bridge'!$B$2:$B$1057,A105,'02c_DC_Accel_Bridge'!$C$2:$C$1057,B105,'02c_DC_Accel_Bridge'!$D$2:$D$1057,C105)/I105,0)</f>
        <v/>
      </c>
      <c r="P105" s="3" t="inlineStr">
        <is>
          <t>weighted average: sum(site inference_weight_mw * accelerator_share) / sum(site inference_weight_mw)</t>
        </is>
      </c>
      <c r="Q105" s="3" t="inlineStr">
        <is>
          <t>dc_capacity_x_dc_accelerator_mix</t>
        </is>
      </c>
      <c r="R105" s="3" t="inlineStr">
        <is>
          <t>Edit 02a capacity allocation and 02b site accelerator mix; 03_Calculation reads D:G from this sheet.</t>
        </is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>
        <f>IF(I106&gt;0,SUMIFS('02c_DC_Accel_Bridge'!$R$2:$R$1057,'02c_DC_Accel_Bridge'!$B$2:$B$1057,A106,'02c_DC_Accel_Bridge'!$C$2:$C$1057,B106,'02c_DC_Accel_Bridge'!$D$2:$D$1057,C106)/I106,0.0)</f>
        <v/>
      </c>
      <c r="E106" s="6">
        <f>IF(I106&gt;0,SUMIFS('02c_DC_Accel_Bridge'!$S$2:$S$1057,'02c_DC_Accel_Bridge'!$B$2:$B$1057,A106,'02c_DC_Accel_Bridge'!$C$2:$C$1057,B106,'02c_DC_Accel_Bridge'!$D$2:$D$1057,C106)/I106,0.612306)</f>
        <v/>
      </c>
      <c r="F106" s="6">
        <f>IF(I106&gt;0,SUMIFS('02c_DC_Accel_Bridge'!$T$2:$T$1057,'02c_DC_Accel_Bridge'!$B$2:$B$1057,A106,'02c_DC_Accel_Bridge'!$C$2:$C$1057,B106,'02c_DC_Accel_Bridge'!$D$2:$D$1057,C106)/I106,0.0)</f>
        <v/>
      </c>
      <c r="G106" s="6">
        <f>IF(I106&gt;0,SUMIFS('02c_DC_Accel_Bridge'!$AA$2:$AA$1057,'02c_DC_Accel_Bridge'!$B$2:$B$1057,A106,'02c_DC_Accel_Bridge'!$C$2:$C$1057,B106,'02c_DC_Accel_Bridge'!$D$2:$D$1057,C106)/I106,0.387694)</f>
        <v/>
      </c>
      <c r="H106" s="6">
        <f>SUM(D106:G106)</f>
        <v/>
      </c>
      <c r="I106" s="28">
        <f>SUMIFS('02c_DC_Accel_Bridge'!$H$2:$H$1057,'02c_DC_Accel_Bridge'!$B$2:$B$1057,A106,'02c_DC_Accel_Bridge'!$C$2:$C$1057,B106,'02c_DC_Accel_Bridge'!$D$2:$D$1057,C106)</f>
        <v/>
      </c>
      <c r="J106" s="6">
        <f>IF(I106&gt;0,SUMIFS('02c_DC_Accel_Bridge'!$U$2:$U$1057,'02c_DC_Accel_Bridge'!$B$2:$B$1057,A106,'02c_DC_Accel_Bridge'!$C$2:$C$1057,B106,'02c_DC_Accel_Bridge'!$D$2:$D$1057,C106)/I106,0)</f>
        <v/>
      </c>
      <c r="K106" s="6">
        <f>IF(I106&gt;0,SUMIFS('02c_DC_Accel_Bridge'!$V$2:$V$1057,'02c_DC_Accel_Bridge'!$B$2:$B$1057,A106,'02c_DC_Accel_Bridge'!$C$2:$C$1057,B106,'02c_DC_Accel_Bridge'!$D$2:$D$1057,C106)/I106,0)</f>
        <v/>
      </c>
      <c r="L106" s="6">
        <f>IF(I106&gt;0,SUMIFS('02c_DC_Accel_Bridge'!$W$2:$W$1057,'02c_DC_Accel_Bridge'!$B$2:$B$1057,A106,'02c_DC_Accel_Bridge'!$C$2:$C$1057,B106,'02c_DC_Accel_Bridge'!$D$2:$D$1057,C106)/I106,0)</f>
        <v/>
      </c>
      <c r="M106" s="6">
        <f>IF(I106&gt;0,SUMIFS('02c_DC_Accel_Bridge'!$X$2:$X$1057,'02c_DC_Accel_Bridge'!$B$2:$B$1057,A106,'02c_DC_Accel_Bridge'!$C$2:$C$1057,B106,'02c_DC_Accel_Bridge'!$D$2:$D$1057,C106)/I106,0)</f>
        <v/>
      </c>
      <c r="N106" s="6">
        <f>IF(I106&gt;0,SUMIFS('02c_DC_Accel_Bridge'!$Y$2:$Y$1057,'02c_DC_Accel_Bridge'!$B$2:$B$1057,A106,'02c_DC_Accel_Bridge'!$C$2:$C$1057,B106,'02c_DC_Accel_Bridge'!$D$2:$D$1057,C106)/I106,0)</f>
        <v/>
      </c>
      <c r="O106" s="6">
        <f>IF(I106&gt;0,SUMIFS('02c_DC_Accel_Bridge'!$Z$2:$Z$1057,'02c_DC_Accel_Bridge'!$B$2:$B$1057,A106,'02c_DC_Accel_Bridge'!$C$2:$C$1057,B106,'02c_DC_Accel_Bridge'!$D$2:$D$1057,C106)/I106,0)</f>
        <v/>
      </c>
      <c r="P106" s="3" t="inlineStr">
        <is>
          <t>weighted average: sum(site inference_weight_mw * accelerator_share) / sum(site inference_weight_mw)</t>
        </is>
      </c>
      <c r="Q106" s="3" t="inlineStr">
        <is>
          <t>dc_capacity_x_dc_accelerator_mix</t>
        </is>
      </c>
      <c r="R106" s="3" t="inlineStr">
        <is>
          <t>Edit 02a capacity allocation and 02b site accelerator mix; 03_Calculation reads D:G from this sheet.</t>
        </is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>
        <f>IF(I107&gt;0,SUMIFS('02c_DC_Accel_Bridge'!$R$2:$R$1057,'02c_DC_Accel_Bridge'!$B$2:$B$1057,A107,'02c_DC_Accel_Bridge'!$C$2:$C$1057,B107,'02c_DC_Accel_Bridge'!$D$2:$D$1057,C107)/I107,0.0)</f>
        <v/>
      </c>
      <c r="E107" s="6">
        <f>IF(I107&gt;0,SUMIFS('02c_DC_Accel_Bridge'!$S$2:$S$1057,'02c_DC_Accel_Bridge'!$B$2:$B$1057,A107,'02c_DC_Accel_Bridge'!$C$2:$C$1057,B107,'02c_DC_Accel_Bridge'!$D$2:$D$1057,C107)/I107,1.0)</f>
        <v/>
      </c>
      <c r="F107" s="6">
        <f>IF(I107&gt;0,SUMIFS('02c_DC_Accel_Bridge'!$T$2:$T$1057,'02c_DC_Accel_Bridge'!$B$2:$B$1057,A107,'02c_DC_Accel_Bridge'!$C$2:$C$1057,B107,'02c_DC_Accel_Bridge'!$D$2:$D$1057,C107)/I107,0.0)</f>
        <v/>
      </c>
      <c r="G107" s="6">
        <f>IF(I107&gt;0,SUMIFS('02c_DC_Accel_Bridge'!$AA$2:$AA$1057,'02c_DC_Accel_Bridge'!$B$2:$B$1057,A107,'02c_DC_Accel_Bridge'!$C$2:$C$1057,B107,'02c_DC_Accel_Bridge'!$D$2:$D$1057,C107)/I107,0.0)</f>
        <v/>
      </c>
      <c r="H107" s="6">
        <f>SUM(D107:G107)</f>
        <v/>
      </c>
      <c r="I107" s="28">
        <f>SUMIFS('02c_DC_Accel_Bridge'!$H$2:$H$1057,'02c_DC_Accel_Bridge'!$B$2:$B$1057,A107,'02c_DC_Accel_Bridge'!$C$2:$C$1057,B107,'02c_DC_Accel_Bridge'!$D$2:$D$1057,C107)</f>
        <v/>
      </c>
      <c r="J107" s="6">
        <f>IF(I107&gt;0,SUMIFS('02c_DC_Accel_Bridge'!$U$2:$U$1057,'02c_DC_Accel_Bridge'!$B$2:$B$1057,A107,'02c_DC_Accel_Bridge'!$C$2:$C$1057,B107,'02c_DC_Accel_Bridge'!$D$2:$D$1057,C107)/I107,0)</f>
        <v/>
      </c>
      <c r="K107" s="6">
        <f>IF(I107&gt;0,SUMIFS('02c_DC_Accel_Bridge'!$V$2:$V$1057,'02c_DC_Accel_Bridge'!$B$2:$B$1057,A107,'02c_DC_Accel_Bridge'!$C$2:$C$1057,B107,'02c_DC_Accel_Bridge'!$D$2:$D$1057,C107)/I107,0)</f>
        <v/>
      </c>
      <c r="L107" s="6">
        <f>IF(I107&gt;0,SUMIFS('02c_DC_Accel_Bridge'!$W$2:$W$1057,'02c_DC_Accel_Bridge'!$B$2:$B$1057,A107,'02c_DC_Accel_Bridge'!$C$2:$C$1057,B107,'02c_DC_Accel_Bridge'!$D$2:$D$1057,C107)/I107,0)</f>
        <v/>
      </c>
      <c r="M107" s="6">
        <f>IF(I107&gt;0,SUMIFS('02c_DC_Accel_Bridge'!$X$2:$X$1057,'02c_DC_Accel_Bridge'!$B$2:$B$1057,A107,'02c_DC_Accel_Bridge'!$C$2:$C$1057,B107,'02c_DC_Accel_Bridge'!$D$2:$D$1057,C107)/I107,0)</f>
        <v/>
      </c>
      <c r="N107" s="6">
        <f>IF(I107&gt;0,SUMIFS('02c_DC_Accel_Bridge'!$Y$2:$Y$1057,'02c_DC_Accel_Bridge'!$B$2:$B$1057,A107,'02c_DC_Accel_Bridge'!$C$2:$C$1057,B107,'02c_DC_Accel_Bridge'!$D$2:$D$1057,C107)/I107,0)</f>
        <v/>
      </c>
      <c r="O107" s="6">
        <f>IF(I107&gt;0,SUMIFS('02c_DC_Accel_Bridge'!$Z$2:$Z$1057,'02c_DC_Accel_Bridge'!$B$2:$B$1057,A107,'02c_DC_Accel_Bridge'!$C$2:$C$1057,B107,'02c_DC_Accel_Bridge'!$D$2:$D$1057,C107)/I107,0)</f>
        <v/>
      </c>
      <c r="P107" s="3" t="inlineStr">
        <is>
          <t>weighted average: sum(site inference_weight_mw * accelerator_share) / sum(site inference_weight_mw)</t>
        </is>
      </c>
      <c r="Q107" s="3" t="inlineStr">
        <is>
          <t>dc_capacity_x_dc_accelerator_mix</t>
        </is>
      </c>
      <c r="R107" s="3" t="inlineStr">
        <is>
          <t>Edit 02a capacity allocation and 02b site accelerator mix; 03_Calculation reads D:G from this sheet.</t>
        </is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>
        <f>IF(I108&gt;0,SUMIFS('02c_DC_Accel_Bridge'!$R$2:$R$1057,'02c_DC_Accel_Bridge'!$B$2:$B$1057,A108,'02c_DC_Accel_Bridge'!$C$2:$C$1057,B108,'02c_DC_Accel_Bridge'!$D$2:$D$1057,C108)/I108,0.0)</f>
        <v/>
      </c>
      <c r="E108" s="6">
        <f>IF(I108&gt;0,SUMIFS('02c_DC_Accel_Bridge'!$S$2:$S$1057,'02c_DC_Accel_Bridge'!$B$2:$B$1057,A108,'02c_DC_Accel_Bridge'!$C$2:$C$1057,B108,'02c_DC_Accel_Bridge'!$D$2:$D$1057,C108)/I108,1.0)</f>
        <v/>
      </c>
      <c r="F108" s="6">
        <f>IF(I108&gt;0,SUMIFS('02c_DC_Accel_Bridge'!$T$2:$T$1057,'02c_DC_Accel_Bridge'!$B$2:$B$1057,A108,'02c_DC_Accel_Bridge'!$C$2:$C$1057,B108,'02c_DC_Accel_Bridge'!$D$2:$D$1057,C108)/I108,0.0)</f>
        <v/>
      </c>
      <c r="G108" s="6">
        <f>IF(I108&gt;0,SUMIFS('02c_DC_Accel_Bridge'!$AA$2:$AA$1057,'02c_DC_Accel_Bridge'!$B$2:$B$1057,A108,'02c_DC_Accel_Bridge'!$C$2:$C$1057,B108,'02c_DC_Accel_Bridge'!$D$2:$D$1057,C108)/I108,0.0)</f>
        <v/>
      </c>
      <c r="H108" s="6">
        <f>SUM(D108:G108)</f>
        <v/>
      </c>
      <c r="I108" s="28">
        <f>SUMIFS('02c_DC_Accel_Bridge'!$H$2:$H$1057,'02c_DC_Accel_Bridge'!$B$2:$B$1057,A108,'02c_DC_Accel_Bridge'!$C$2:$C$1057,B108,'02c_DC_Accel_Bridge'!$D$2:$D$1057,C108)</f>
        <v/>
      </c>
      <c r="J108" s="6">
        <f>IF(I108&gt;0,SUMIFS('02c_DC_Accel_Bridge'!$U$2:$U$1057,'02c_DC_Accel_Bridge'!$B$2:$B$1057,A108,'02c_DC_Accel_Bridge'!$C$2:$C$1057,B108,'02c_DC_Accel_Bridge'!$D$2:$D$1057,C108)/I108,0)</f>
        <v/>
      </c>
      <c r="K108" s="6">
        <f>IF(I108&gt;0,SUMIFS('02c_DC_Accel_Bridge'!$V$2:$V$1057,'02c_DC_Accel_Bridge'!$B$2:$B$1057,A108,'02c_DC_Accel_Bridge'!$C$2:$C$1057,B108,'02c_DC_Accel_Bridge'!$D$2:$D$1057,C108)/I108,0)</f>
        <v/>
      </c>
      <c r="L108" s="6">
        <f>IF(I108&gt;0,SUMIFS('02c_DC_Accel_Bridge'!$W$2:$W$1057,'02c_DC_Accel_Bridge'!$B$2:$B$1057,A108,'02c_DC_Accel_Bridge'!$C$2:$C$1057,B108,'02c_DC_Accel_Bridge'!$D$2:$D$1057,C108)/I108,0)</f>
        <v/>
      </c>
      <c r="M108" s="6">
        <f>IF(I108&gt;0,SUMIFS('02c_DC_Accel_Bridge'!$X$2:$X$1057,'02c_DC_Accel_Bridge'!$B$2:$B$1057,A108,'02c_DC_Accel_Bridge'!$C$2:$C$1057,B108,'02c_DC_Accel_Bridge'!$D$2:$D$1057,C108)/I108,0)</f>
        <v/>
      </c>
      <c r="N108" s="6">
        <f>IF(I108&gt;0,SUMIFS('02c_DC_Accel_Bridge'!$Y$2:$Y$1057,'02c_DC_Accel_Bridge'!$B$2:$B$1057,A108,'02c_DC_Accel_Bridge'!$C$2:$C$1057,B108,'02c_DC_Accel_Bridge'!$D$2:$D$1057,C108)/I108,0)</f>
        <v/>
      </c>
      <c r="O108" s="6">
        <f>IF(I108&gt;0,SUMIFS('02c_DC_Accel_Bridge'!$Z$2:$Z$1057,'02c_DC_Accel_Bridge'!$B$2:$B$1057,A108,'02c_DC_Accel_Bridge'!$C$2:$C$1057,B108,'02c_DC_Accel_Bridge'!$D$2:$D$1057,C108)/I108,0)</f>
        <v/>
      </c>
      <c r="P108" s="3" t="inlineStr">
        <is>
          <t>weighted average: sum(site inference_weight_mw * accelerator_share) / sum(site inference_weight_mw)</t>
        </is>
      </c>
      <c r="Q108" s="3" t="inlineStr">
        <is>
          <t>dc_capacity_x_dc_accelerator_mix</t>
        </is>
      </c>
      <c r="R108" s="3" t="inlineStr">
        <is>
          <t>Edit 02a capacity allocation and 02b site accelerator mix; 03_Calculation reads D:G from this sheet.</t>
        </is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>
        <f>IF(I109&gt;0,SUMIFS('02c_DC_Accel_Bridge'!$R$2:$R$1057,'02c_DC_Accel_Bridge'!$B$2:$B$1057,A109,'02c_DC_Accel_Bridge'!$C$2:$C$1057,B109,'02c_DC_Accel_Bridge'!$D$2:$D$1057,C109)/I109,0.0)</f>
        <v/>
      </c>
      <c r="E109" s="6">
        <f>IF(I109&gt;0,SUMIFS('02c_DC_Accel_Bridge'!$S$2:$S$1057,'02c_DC_Accel_Bridge'!$B$2:$B$1057,A109,'02c_DC_Accel_Bridge'!$C$2:$C$1057,B109,'02c_DC_Accel_Bridge'!$D$2:$D$1057,C109)/I109,1.0)</f>
        <v/>
      </c>
      <c r="F109" s="6">
        <f>IF(I109&gt;0,SUMIFS('02c_DC_Accel_Bridge'!$T$2:$T$1057,'02c_DC_Accel_Bridge'!$B$2:$B$1057,A109,'02c_DC_Accel_Bridge'!$C$2:$C$1057,B109,'02c_DC_Accel_Bridge'!$D$2:$D$1057,C109)/I109,0.0)</f>
        <v/>
      </c>
      <c r="G109" s="6">
        <f>IF(I109&gt;0,SUMIFS('02c_DC_Accel_Bridge'!$AA$2:$AA$1057,'02c_DC_Accel_Bridge'!$B$2:$B$1057,A109,'02c_DC_Accel_Bridge'!$C$2:$C$1057,B109,'02c_DC_Accel_Bridge'!$D$2:$D$1057,C109)/I109,0.0)</f>
        <v/>
      </c>
      <c r="H109" s="6">
        <f>SUM(D109:G109)</f>
        <v/>
      </c>
      <c r="I109" s="28">
        <f>SUMIFS('02c_DC_Accel_Bridge'!$H$2:$H$1057,'02c_DC_Accel_Bridge'!$B$2:$B$1057,A109,'02c_DC_Accel_Bridge'!$C$2:$C$1057,B109,'02c_DC_Accel_Bridge'!$D$2:$D$1057,C109)</f>
        <v/>
      </c>
      <c r="J109" s="6">
        <f>IF(I109&gt;0,SUMIFS('02c_DC_Accel_Bridge'!$U$2:$U$1057,'02c_DC_Accel_Bridge'!$B$2:$B$1057,A109,'02c_DC_Accel_Bridge'!$C$2:$C$1057,B109,'02c_DC_Accel_Bridge'!$D$2:$D$1057,C109)/I109,0)</f>
        <v/>
      </c>
      <c r="K109" s="6">
        <f>IF(I109&gt;0,SUMIFS('02c_DC_Accel_Bridge'!$V$2:$V$1057,'02c_DC_Accel_Bridge'!$B$2:$B$1057,A109,'02c_DC_Accel_Bridge'!$C$2:$C$1057,B109,'02c_DC_Accel_Bridge'!$D$2:$D$1057,C109)/I109,0)</f>
        <v/>
      </c>
      <c r="L109" s="6">
        <f>IF(I109&gt;0,SUMIFS('02c_DC_Accel_Bridge'!$W$2:$W$1057,'02c_DC_Accel_Bridge'!$B$2:$B$1057,A109,'02c_DC_Accel_Bridge'!$C$2:$C$1057,B109,'02c_DC_Accel_Bridge'!$D$2:$D$1057,C109)/I109,0)</f>
        <v/>
      </c>
      <c r="M109" s="6">
        <f>IF(I109&gt;0,SUMIFS('02c_DC_Accel_Bridge'!$X$2:$X$1057,'02c_DC_Accel_Bridge'!$B$2:$B$1057,A109,'02c_DC_Accel_Bridge'!$C$2:$C$1057,B109,'02c_DC_Accel_Bridge'!$D$2:$D$1057,C109)/I109,0)</f>
        <v/>
      </c>
      <c r="N109" s="6">
        <f>IF(I109&gt;0,SUMIFS('02c_DC_Accel_Bridge'!$Y$2:$Y$1057,'02c_DC_Accel_Bridge'!$B$2:$B$1057,A109,'02c_DC_Accel_Bridge'!$C$2:$C$1057,B109,'02c_DC_Accel_Bridge'!$D$2:$D$1057,C109)/I109,0)</f>
        <v/>
      </c>
      <c r="O109" s="6">
        <f>IF(I109&gt;0,SUMIFS('02c_DC_Accel_Bridge'!$Z$2:$Z$1057,'02c_DC_Accel_Bridge'!$B$2:$B$1057,A109,'02c_DC_Accel_Bridge'!$C$2:$C$1057,B109,'02c_DC_Accel_Bridge'!$D$2:$D$1057,C109)/I109,0)</f>
        <v/>
      </c>
      <c r="P109" s="3" t="inlineStr">
        <is>
          <t>weighted average: sum(site inference_weight_mw * accelerator_share) / sum(site inference_weight_mw)</t>
        </is>
      </c>
      <c r="Q109" s="3" t="inlineStr">
        <is>
          <t>dc_capacity_x_dc_accelerator_mix</t>
        </is>
      </c>
      <c r="R109" s="3" t="inlineStr">
        <is>
          <t>Edit 02a capacity allocation and 02b site accelerator mix; 03_Calculation reads D:G from this sheet.</t>
        </is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>
        <f>IF(I110&gt;0,SUMIFS('02c_DC_Accel_Bridge'!$R$2:$R$1057,'02c_DC_Accel_Bridge'!$B$2:$B$1057,A110,'02c_DC_Accel_Bridge'!$C$2:$C$1057,B110,'02c_DC_Accel_Bridge'!$D$2:$D$1057,C110)/I110,0.0)</f>
        <v/>
      </c>
      <c r="E110" s="6">
        <f>IF(I110&gt;0,SUMIFS('02c_DC_Accel_Bridge'!$S$2:$S$1057,'02c_DC_Accel_Bridge'!$B$2:$B$1057,A110,'02c_DC_Accel_Bridge'!$C$2:$C$1057,B110,'02c_DC_Accel_Bridge'!$D$2:$D$1057,C110)/I110,1.0)</f>
        <v/>
      </c>
      <c r="F110" s="6">
        <f>IF(I110&gt;0,SUMIFS('02c_DC_Accel_Bridge'!$T$2:$T$1057,'02c_DC_Accel_Bridge'!$B$2:$B$1057,A110,'02c_DC_Accel_Bridge'!$C$2:$C$1057,B110,'02c_DC_Accel_Bridge'!$D$2:$D$1057,C110)/I110,0.0)</f>
        <v/>
      </c>
      <c r="G110" s="6">
        <f>IF(I110&gt;0,SUMIFS('02c_DC_Accel_Bridge'!$AA$2:$AA$1057,'02c_DC_Accel_Bridge'!$B$2:$B$1057,A110,'02c_DC_Accel_Bridge'!$C$2:$C$1057,B110,'02c_DC_Accel_Bridge'!$D$2:$D$1057,C110)/I110,0.0)</f>
        <v/>
      </c>
      <c r="H110" s="6">
        <f>SUM(D110:G110)</f>
        <v/>
      </c>
      <c r="I110" s="28">
        <f>SUMIFS('02c_DC_Accel_Bridge'!$H$2:$H$1057,'02c_DC_Accel_Bridge'!$B$2:$B$1057,A110,'02c_DC_Accel_Bridge'!$C$2:$C$1057,B110,'02c_DC_Accel_Bridge'!$D$2:$D$1057,C110)</f>
        <v/>
      </c>
      <c r="J110" s="6">
        <f>IF(I110&gt;0,SUMIFS('02c_DC_Accel_Bridge'!$U$2:$U$1057,'02c_DC_Accel_Bridge'!$B$2:$B$1057,A110,'02c_DC_Accel_Bridge'!$C$2:$C$1057,B110,'02c_DC_Accel_Bridge'!$D$2:$D$1057,C110)/I110,0)</f>
        <v/>
      </c>
      <c r="K110" s="6">
        <f>IF(I110&gt;0,SUMIFS('02c_DC_Accel_Bridge'!$V$2:$V$1057,'02c_DC_Accel_Bridge'!$B$2:$B$1057,A110,'02c_DC_Accel_Bridge'!$C$2:$C$1057,B110,'02c_DC_Accel_Bridge'!$D$2:$D$1057,C110)/I110,0)</f>
        <v/>
      </c>
      <c r="L110" s="6">
        <f>IF(I110&gt;0,SUMIFS('02c_DC_Accel_Bridge'!$W$2:$W$1057,'02c_DC_Accel_Bridge'!$B$2:$B$1057,A110,'02c_DC_Accel_Bridge'!$C$2:$C$1057,B110,'02c_DC_Accel_Bridge'!$D$2:$D$1057,C110)/I110,0)</f>
        <v/>
      </c>
      <c r="M110" s="6">
        <f>IF(I110&gt;0,SUMIFS('02c_DC_Accel_Bridge'!$X$2:$X$1057,'02c_DC_Accel_Bridge'!$B$2:$B$1057,A110,'02c_DC_Accel_Bridge'!$C$2:$C$1057,B110,'02c_DC_Accel_Bridge'!$D$2:$D$1057,C110)/I110,0)</f>
        <v/>
      </c>
      <c r="N110" s="6">
        <f>IF(I110&gt;0,SUMIFS('02c_DC_Accel_Bridge'!$Y$2:$Y$1057,'02c_DC_Accel_Bridge'!$B$2:$B$1057,A110,'02c_DC_Accel_Bridge'!$C$2:$C$1057,B110,'02c_DC_Accel_Bridge'!$D$2:$D$1057,C110)/I110,0)</f>
        <v/>
      </c>
      <c r="O110" s="6">
        <f>IF(I110&gt;0,SUMIFS('02c_DC_Accel_Bridge'!$Z$2:$Z$1057,'02c_DC_Accel_Bridge'!$B$2:$B$1057,A110,'02c_DC_Accel_Bridge'!$C$2:$C$1057,B110,'02c_DC_Accel_Bridge'!$D$2:$D$1057,C110)/I110,0)</f>
        <v/>
      </c>
      <c r="P110" s="3" t="inlineStr">
        <is>
          <t>weighted average: sum(site inference_weight_mw * accelerator_share) / sum(site inference_weight_mw)</t>
        </is>
      </c>
      <c r="Q110" s="3" t="inlineStr">
        <is>
          <t>dc_capacity_x_dc_accelerator_mix</t>
        </is>
      </c>
      <c r="R110" s="3" t="inlineStr">
        <is>
          <t>Edit 02a capacity allocation and 02b site accelerator mix; 03_Calculation reads D:G from this sheet.</t>
        </is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>
        <f>IF(I111&gt;0,SUMIFS('02c_DC_Accel_Bridge'!$R$2:$R$1057,'02c_DC_Accel_Bridge'!$B$2:$B$1057,A111,'02c_DC_Accel_Bridge'!$C$2:$C$1057,B111,'02c_DC_Accel_Bridge'!$D$2:$D$1057,C111)/I111,0.0)</f>
        <v/>
      </c>
      <c r="E111" s="6">
        <f>IF(I111&gt;0,SUMIFS('02c_DC_Accel_Bridge'!$S$2:$S$1057,'02c_DC_Accel_Bridge'!$B$2:$B$1057,A111,'02c_DC_Accel_Bridge'!$C$2:$C$1057,B111,'02c_DC_Accel_Bridge'!$D$2:$D$1057,C111)/I111,1.0)</f>
        <v/>
      </c>
      <c r="F111" s="6">
        <f>IF(I111&gt;0,SUMIFS('02c_DC_Accel_Bridge'!$T$2:$T$1057,'02c_DC_Accel_Bridge'!$B$2:$B$1057,A111,'02c_DC_Accel_Bridge'!$C$2:$C$1057,B111,'02c_DC_Accel_Bridge'!$D$2:$D$1057,C111)/I111,0.0)</f>
        <v/>
      </c>
      <c r="G111" s="6">
        <f>IF(I111&gt;0,SUMIFS('02c_DC_Accel_Bridge'!$AA$2:$AA$1057,'02c_DC_Accel_Bridge'!$B$2:$B$1057,A111,'02c_DC_Accel_Bridge'!$C$2:$C$1057,B111,'02c_DC_Accel_Bridge'!$D$2:$D$1057,C111)/I111,0.0)</f>
        <v/>
      </c>
      <c r="H111" s="6">
        <f>SUM(D111:G111)</f>
        <v/>
      </c>
      <c r="I111" s="28">
        <f>SUMIFS('02c_DC_Accel_Bridge'!$H$2:$H$1057,'02c_DC_Accel_Bridge'!$B$2:$B$1057,A111,'02c_DC_Accel_Bridge'!$C$2:$C$1057,B111,'02c_DC_Accel_Bridge'!$D$2:$D$1057,C111)</f>
        <v/>
      </c>
      <c r="J111" s="6">
        <f>IF(I111&gt;0,SUMIFS('02c_DC_Accel_Bridge'!$U$2:$U$1057,'02c_DC_Accel_Bridge'!$B$2:$B$1057,A111,'02c_DC_Accel_Bridge'!$C$2:$C$1057,B111,'02c_DC_Accel_Bridge'!$D$2:$D$1057,C111)/I111,0)</f>
        <v/>
      </c>
      <c r="K111" s="6">
        <f>IF(I111&gt;0,SUMIFS('02c_DC_Accel_Bridge'!$V$2:$V$1057,'02c_DC_Accel_Bridge'!$B$2:$B$1057,A111,'02c_DC_Accel_Bridge'!$C$2:$C$1057,B111,'02c_DC_Accel_Bridge'!$D$2:$D$1057,C111)/I111,0)</f>
        <v/>
      </c>
      <c r="L111" s="6">
        <f>IF(I111&gt;0,SUMIFS('02c_DC_Accel_Bridge'!$W$2:$W$1057,'02c_DC_Accel_Bridge'!$B$2:$B$1057,A111,'02c_DC_Accel_Bridge'!$C$2:$C$1057,B111,'02c_DC_Accel_Bridge'!$D$2:$D$1057,C111)/I111,0)</f>
        <v/>
      </c>
      <c r="M111" s="6">
        <f>IF(I111&gt;0,SUMIFS('02c_DC_Accel_Bridge'!$X$2:$X$1057,'02c_DC_Accel_Bridge'!$B$2:$B$1057,A111,'02c_DC_Accel_Bridge'!$C$2:$C$1057,B111,'02c_DC_Accel_Bridge'!$D$2:$D$1057,C111)/I111,0)</f>
        <v/>
      </c>
      <c r="N111" s="6">
        <f>IF(I111&gt;0,SUMIFS('02c_DC_Accel_Bridge'!$Y$2:$Y$1057,'02c_DC_Accel_Bridge'!$B$2:$B$1057,A111,'02c_DC_Accel_Bridge'!$C$2:$C$1057,B111,'02c_DC_Accel_Bridge'!$D$2:$D$1057,C111)/I111,0)</f>
        <v/>
      </c>
      <c r="O111" s="6">
        <f>IF(I111&gt;0,SUMIFS('02c_DC_Accel_Bridge'!$Z$2:$Z$1057,'02c_DC_Accel_Bridge'!$B$2:$B$1057,A111,'02c_DC_Accel_Bridge'!$C$2:$C$1057,B111,'02c_DC_Accel_Bridge'!$D$2:$D$1057,C111)/I111,0)</f>
        <v/>
      </c>
      <c r="P111" s="3" t="inlineStr">
        <is>
          <t>weighted average: sum(site inference_weight_mw * accelerator_share) / sum(site inference_weight_mw)</t>
        </is>
      </c>
      <c r="Q111" s="3" t="inlineStr">
        <is>
          <t>dc_capacity_x_dc_accelerator_mix</t>
        </is>
      </c>
      <c r="R111" s="3" t="inlineStr">
        <is>
          <t>Edit 02a capacity allocation and 02b site accelerator mix; 03_Calculation reads D:G from this sheet.</t>
        </is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>
        <f>IF(I112&gt;0,SUMIFS('02c_DC_Accel_Bridge'!$R$2:$R$1057,'02c_DC_Accel_Bridge'!$B$2:$B$1057,A112,'02c_DC_Accel_Bridge'!$C$2:$C$1057,B112,'02c_DC_Accel_Bridge'!$D$2:$D$1057,C112)/I112,0.085502)</f>
        <v/>
      </c>
      <c r="E112" s="6">
        <f>IF(I112&gt;0,SUMIFS('02c_DC_Accel_Bridge'!$S$2:$S$1057,'02c_DC_Accel_Bridge'!$B$2:$B$1057,A112,'02c_DC_Accel_Bridge'!$C$2:$C$1057,B112,'02c_DC_Accel_Bridge'!$D$2:$D$1057,C112)/I112,0.914498)</f>
        <v/>
      </c>
      <c r="F112" s="6">
        <f>IF(I112&gt;0,SUMIFS('02c_DC_Accel_Bridge'!$T$2:$T$1057,'02c_DC_Accel_Bridge'!$B$2:$B$1057,A112,'02c_DC_Accel_Bridge'!$C$2:$C$1057,B112,'02c_DC_Accel_Bridge'!$D$2:$D$1057,C112)/I112,0.0)</f>
        <v/>
      </c>
      <c r="G112" s="6">
        <f>IF(I112&gt;0,SUMIFS('02c_DC_Accel_Bridge'!$AA$2:$AA$1057,'02c_DC_Accel_Bridge'!$B$2:$B$1057,A112,'02c_DC_Accel_Bridge'!$C$2:$C$1057,B112,'02c_DC_Accel_Bridge'!$D$2:$D$1057,C112)/I112,0.0)</f>
        <v/>
      </c>
      <c r="H112" s="6">
        <f>SUM(D112:G112)</f>
        <v/>
      </c>
      <c r="I112" s="28">
        <f>SUMIFS('02c_DC_Accel_Bridge'!$H$2:$H$1057,'02c_DC_Accel_Bridge'!$B$2:$B$1057,A112,'02c_DC_Accel_Bridge'!$C$2:$C$1057,B112,'02c_DC_Accel_Bridge'!$D$2:$D$1057,C112)</f>
        <v/>
      </c>
      <c r="J112" s="6">
        <f>IF(I112&gt;0,SUMIFS('02c_DC_Accel_Bridge'!$U$2:$U$1057,'02c_DC_Accel_Bridge'!$B$2:$B$1057,A112,'02c_DC_Accel_Bridge'!$C$2:$C$1057,B112,'02c_DC_Accel_Bridge'!$D$2:$D$1057,C112)/I112,0)</f>
        <v/>
      </c>
      <c r="K112" s="6">
        <f>IF(I112&gt;0,SUMIFS('02c_DC_Accel_Bridge'!$V$2:$V$1057,'02c_DC_Accel_Bridge'!$B$2:$B$1057,A112,'02c_DC_Accel_Bridge'!$C$2:$C$1057,B112,'02c_DC_Accel_Bridge'!$D$2:$D$1057,C112)/I112,0)</f>
        <v/>
      </c>
      <c r="L112" s="6">
        <f>IF(I112&gt;0,SUMIFS('02c_DC_Accel_Bridge'!$W$2:$W$1057,'02c_DC_Accel_Bridge'!$B$2:$B$1057,A112,'02c_DC_Accel_Bridge'!$C$2:$C$1057,B112,'02c_DC_Accel_Bridge'!$D$2:$D$1057,C112)/I112,0)</f>
        <v/>
      </c>
      <c r="M112" s="6">
        <f>IF(I112&gt;0,SUMIFS('02c_DC_Accel_Bridge'!$X$2:$X$1057,'02c_DC_Accel_Bridge'!$B$2:$B$1057,A112,'02c_DC_Accel_Bridge'!$C$2:$C$1057,B112,'02c_DC_Accel_Bridge'!$D$2:$D$1057,C112)/I112,0)</f>
        <v/>
      </c>
      <c r="N112" s="6">
        <f>IF(I112&gt;0,SUMIFS('02c_DC_Accel_Bridge'!$Y$2:$Y$1057,'02c_DC_Accel_Bridge'!$B$2:$B$1057,A112,'02c_DC_Accel_Bridge'!$C$2:$C$1057,B112,'02c_DC_Accel_Bridge'!$D$2:$D$1057,C112)/I112,0)</f>
        <v/>
      </c>
      <c r="O112" s="6">
        <f>IF(I112&gt;0,SUMIFS('02c_DC_Accel_Bridge'!$Z$2:$Z$1057,'02c_DC_Accel_Bridge'!$B$2:$B$1057,A112,'02c_DC_Accel_Bridge'!$C$2:$C$1057,B112,'02c_DC_Accel_Bridge'!$D$2:$D$1057,C112)/I112,0)</f>
        <v/>
      </c>
      <c r="P112" s="3" t="inlineStr">
        <is>
          <t>weighted average: sum(site inference_weight_mw * accelerator_share) / sum(site inference_weight_mw)</t>
        </is>
      </c>
      <c r="Q112" s="3" t="inlineStr">
        <is>
          <t>dc_capacity_x_dc_accelerator_mix</t>
        </is>
      </c>
      <c r="R112" s="3" t="inlineStr">
        <is>
          <t>Edit 02a capacity allocation and 02b site accelerator mix; 03_Calculation reads D:G from this sheet.</t>
        </is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>
        <f>IF(I113&gt;0,SUMIFS('02c_DC_Accel_Bridge'!$R$2:$R$1057,'02c_DC_Accel_Bridge'!$B$2:$B$1057,A113,'02c_DC_Accel_Bridge'!$C$2:$C$1057,B113,'02c_DC_Accel_Bridge'!$D$2:$D$1057,C113)/I113,0.07041)</f>
        <v/>
      </c>
      <c r="E113" s="6">
        <f>IF(I113&gt;0,SUMIFS('02c_DC_Accel_Bridge'!$S$2:$S$1057,'02c_DC_Accel_Bridge'!$B$2:$B$1057,A113,'02c_DC_Accel_Bridge'!$C$2:$C$1057,B113,'02c_DC_Accel_Bridge'!$D$2:$D$1057,C113)/I113,0.92959)</f>
        <v/>
      </c>
      <c r="F113" s="6">
        <f>IF(I113&gt;0,SUMIFS('02c_DC_Accel_Bridge'!$T$2:$T$1057,'02c_DC_Accel_Bridge'!$B$2:$B$1057,A113,'02c_DC_Accel_Bridge'!$C$2:$C$1057,B113,'02c_DC_Accel_Bridge'!$D$2:$D$1057,C113)/I113,0.0)</f>
        <v/>
      </c>
      <c r="G113" s="6">
        <f>IF(I113&gt;0,SUMIFS('02c_DC_Accel_Bridge'!$AA$2:$AA$1057,'02c_DC_Accel_Bridge'!$B$2:$B$1057,A113,'02c_DC_Accel_Bridge'!$C$2:$C$1057,B113,'02c_DC_Accel_Bridge'!$D$2:$D$1057,C113)/I113,0.0)</f>
        <v/>
      </c>
      <c r="H113" s="6">
        <f>SUM(D113:G113)</f>
        <v/>
      </c>
      <c r="I113" s="28">
        <f>SUMIFS('02c_DC_Accel_Bridge'!$H$2:$H$1057,'02c_DC_Accel_Bridge'!$B$2:$B$1057,A113,'02c_DC_Accel_Bridge'!$C$2:$C$1057,B113,'02c_DC_Accel_Bridge'!$D$2:$D$1057,C113)</f>
        <v/>
      </c>
      <c r="J113" s="6">
        <f>IF(I113&gt;0,SUMIFS('02c_DC_Accel_Bridge'!$U$2:$U$1057,'02c_DC_Accel_Bridge'!$B$2:$B$1057,A113,'02c_DC_Accel_Bridge'!$C$2:$C$1057,B113,'02c_DC_Accel_Bridge'!$D$2:$D$1057,C113)/I113,0)</f>
        <v/>
      </c>
      <c r="K113" s="6">
        <f>IF(I113&gt;0,SUMIFS('02c_DC_Accel_Bridge'!$V$2:$V$1057,'02c_DC_Accel_Bridge'!$B$2:$B$1057,A113,'02c_DC_Accel_Bridge'!$C$2:$C$1057,B113,'02c_DC_Accel_Bridge'!$D$2:$D$1057,C113)/I113,0)</f>
        <v/>
      </c>
      <c r="L113" s="6">
        <f>IF(I113&gt;0,SUMIFS('02c_DC_Accel_Bridge'!$W$2:$W$1057,'02c_DC_Accel_Bridge'!$B$2:$B$1057,A113,'02c_DC_Accel_Bridge'!$C$2:$C$1057,B113,'02c_DC_Accel_Bridge'!$D$2:$D$1057,C113)/I113,0)</f>
        <v/>
      </c>
      <c r="M113" s="6">
        <f>IF(I113&gt;0,SUMIFS('02c_DC_Accel_Bridge'!$X$2:$X$1057,'02c_DC_Accel_Bridge'!$B$2:$B$1057,A113,'02c_DC_Accel_Bridge'!$C$2:$C$1057,B113,'02c_DC_Accel_Bridge'!$D$2:$D$1057,C113)/I113,0)</f>
        <v/>
      </c>
      <c r="N113" s="6">
        <f>IF(I113&gt;0,SUMIFS('02c_DC_Accel_Bridge'!$Y$2:$Y$1057,'02c_DC_Accel_Bridge'!$B$2:$B$1057,A113,'02c_DC_Accel_Bridge'!$C$2:$C$1057,B113,'02c_DC_Accel_Bridge'!$D$2:$D$1057,C113)/I113,0)</f>
        <v/>
      </c>
      <c r="O113" s="6">
        <f>IF(I113&gt;0,SUMIFS('02c_DC_Accel_Bridge'!$Z$2:$Z$1057,'02c_DC_Accel_Bridge'!$B$2:$B$1057,A113,'02c_DC_Accel_Bridge'!$C$2:$C$1057,B113,'02c_DC_Accel_Bridge'!$D$2:$D$1057,C113)/I113,0)</f>
        <v/>
      </c>
      <c r="P113" s="3" t="inlineStr">
        <is>
          <t>weighted average: sum(site inference_weight_mw * accelerator_share) / sum(site inference_weight_mw)</t>
        </is>
      </c>
      <c r="Q113" s="3" t="inlineStr">
        <is>
          <t>dc_capacity_x_dc_accelerator_mix</t>
        </is>
      </c>
      <c r="R113" s="3" t="inlineStr">
        <is>
          <t>Edit 02a capacity allocation and 02b site accelerator mix; 03_Calculation reads D:G from this sheet.</t>
        </is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>
        <f>IF(I114&gt;0,SUMIFS('02c_DC_Accel_Bridge'!$R$2:$R$1057,'02c_DC_Accel_Bridge'!$B$2:$B$1057,A114,'02c_DC_Accel_Bridge'!$C$2:$C$1057,B114,'02c_DC_Accel_Bridge'!$D$2:$D$1057,C114)/I114,0.153136)</f>
        <v/>
      </c>
      <c r="E114" s="6">
        <f>IF(I114&gt;0,SUMIFS('02c_DC_Accel_Bridge'!$S$2:$S$1057,'02c_DC_Accel_Bridge'!$B$2:$B$1057,A114,'02c_DC_Accel_Bridge'!$C$2:$C$1057,B114,'02c_DC_Accel_Bridge'!$D$2:$D$1057,C114)/I114,0.517322)</f>
        <v/>
      </c>
      <c r="F114" s="6">
        <f>IF(I114&gt;0,SUMIFS('02c_DC_Accel_Bridge'!$T$2:$T$1057,'02c_DC_Accel_Bridge'!$B$2:$B$1057,A114,'02c_DC_Accel_Bridge'!$C$2:$C$1057,B114,'02c_DC_Accel_Bridge'!$D$2:$D$1057,C114)/I114,0.124026)</f>
        <v/>
      </c>
      <c r="G114" s="6">
        <f>IF(I114&gt;0,SUMIFS('02c_DC_Accel_Bridge'!$AA$2:$AA$1057,'02c_DC_Accel_Bridge'!$B$2:$B$1057,A114,'02c_DC_Accel_Bridge'!$C$2:$C$1057,B114,'02c_DC_Accel_Bridge'!$D$2:$D$1057,C114)/I114,0.205515)</f>
        <v/>
      </c>
      <c r="H114" s="6">
        <f>SUM(D114:G114)</f>
        <v/>
      </c>
      <c r="I114" s="28">
        <f>SUMIFS('02c_DC_Accel_Bridge'!$H$2:$H$1057,'02c_DC_Accel_Bridge'!$B$2:$B$1057,A114,'02c_DC_Accel_Bridge'!$C$2:$C$1057,B114,'02c_DC_Accel_Bridge'!$D$2:$D$1057,C114)</f>
        <v/>
      </c>
      <c r="J114" s="6">
        <f>IF(I114&gt;0,SUMIFS('02c_DC_Accel_Bridge'!$U$2:$U$1057,'02c_DC_Accel_Bridge'!$B$2:$B$1057,A114,'02c_DC_Accel_Bridge'!$C$2:$C$1057,B114,'02c_DC_Accel_Bridge'!$D$2:$D$1057,C114)/I114,0)</f>
        <v/>
      </c>
      <c r="K114" s="6">
        <f>IF(I114&gt;0,SUMIFS('02c_DC_Accel_Bridge'!$V$2:$V$1057,'02c_DC_Accel_Bridge'!$B$2:$B$1057,A114,'02c_DC_Accel_Bridge'!$C$2:$C$1057,B114,'02c_DC_Accel_Bridge'!$D$2:$D$1057,C114)/I114,0)</f>
        <v/>
      </c>
      <c r="L114" s="6">
        <f>IF(I114&gt;0,SUMIFS('02c_DC_Accel_Bridge'!$W$2:$W$1057,'02c_DC_Accel_Bridge'!$B$2:$B$1057,A114,'02c_DC_Accel_Bridge'!$C$2:$C$1057,B114,'02c_DC_Accel_Bridge'!$D$2:$D$1057,C114)/I114,0)</f>
        <v/>
      </c>
      <c r="M114" s="6">
        <f>IF(I114&gt;0,SUMIFS('02c_DC_Accel_Bridge'!$X$2:$X$1057,'02c_DC_Accel_Bridge'!$B$2:$B$1057,A114,'02c_DC_Accel_Bridge'!$C$2:$C$1057,B114,'02c_DC_Accel_Bridge'!$D$2:$D$1057,C114)/I114,0)</f>
        <v/>
      </c>
      <c r="N114" s="6">
        <f>IF(I114&gt;0,SUMIFS('02c_DC_Accel_Bridge'!$Y$2:$Y$1057,'02c_DC_Accel_Bridge'!$B$2:$B$1057,A114,'02c_DC_Accel_Bridge'!$C$2:$C$1057,B114,'02c_DC_Accel_Bridge'!$D$2:$D$1057,C114)/I114,0)</f>
        <v/>
      </c>
      <c r="O114" s="6">
        <f>IF(I114&gt;0,SUMIFS('02c_DC_Accel_Bridge'!$Z$2:$Z$1057,'02c_DC_Accel_Bridge'!$B$2:$B$1057,A114,'02c_DC_Accel_Bridge'!$C$2:$C$1057,B114,'02c_DC_Accel_Bridge'!$D$2:$D$1057,C114)/I114,0)</f>
        <v/>
      </c>
      <c r="P114" s="3" t="inlineStr">
        <is>
          <t>weighted average: sum(site inference_weight_mw * accelerator_share) / sum(site inference_weight_mw)</t>
        </is>
      </c>
      <c r="Q114" s="3" t="inlineStr">
        <is>
          <t>dc_capacity_x_dc_accelerator_mix</t>
        </is>
      </c>
      <c r="R114" s="3" t="inlineStr">
        <is>
          <t>Edit 02a capacity allocation and 02b site accelerator mix; 03_Calculation reads D:G from this sheet.</t>
        </is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>
        <f>IF(I115&gt;0,SUMIFS('02c_DC_Accel_Bridge'!$R$2:$R$1057,'02c_DC_Accel_Bridge'!$B$2:$B$1057,A115,'02c_DC_Accel_Bridge'!$C$2:$C$1057,B115,'02c_DC_Accel_Bridge'!$D$2:$D$1057,C115)/I115,0.102937)</f>
        <v/>
      </c>
      <c r="E115" s="6">
        <f>IF(I115&gt;0,SUMIFS('02c_DC_Accel_Bridge'!$S$2:$S$1057,'02c_DC_Accel_Bridge'!$B$2:$B$1057,A115,'02c_DC_Accel_Bridge'!$C$2:$C$1057,B115,'02c_DC_Accel_Bridge'!$D$2:$D$1057,C115)/I115,0.529748)</f>
        <v/>
      </c>
      <c r="F115" s="6">
        <f>IF(I115&gt;0,SUMIFS('02c_DC_Accel_Bridge'!$T$2:$T$1057,'02c_DC_Accel_Bridge'!$B$2:$B$1057,A115,'02c_DC_Accel_Bridge'!$C$2:$C$1057,B115,'02c_DC_Accel_Bridge'!$D$2:$D$1057,C115)/I115,0.169295)</f>
        <v/>
      </c>
      <c r="G115" s="6">
        <f>IF(I115&gt;0,SUMIFS('02c_DC_Accel_Bridge'!$AA$2:$AA$1057,'02c_DC_Accel_Bridge'!$B$2:$B$1057,A115,'02c_DC_Accel_Bridge'!$C$2:$C$1057,B115,'02c_DC_Accel_Bridge'!$D$2:$D$1057,C115)/I115,0.19802)</f>
        <v/>
      </c>
      <c r="H115" s="6">
        <f>SUM(D115:G115)</f>
        <v/>
      </c>
      <c r="I115" s="28">
        <f>SUMIFS('02c_DC_Accel_Bridge'!$H$2:$H$1057,'02c_DC_Accel_Bridge'!$B$2:$B$1057,A115,'02c_DC_Accel_Bridge'!$C$2:$C$1057,B115,'02c_DC_Accel_Bridge'!$D$2:$D$1057,C115)</f>
        <v/>
      </c>
      <c r="J115" s="6">
        <f>IF(I115&gt;0,SUMIFS('02c_DC_Accel_Bridge'!$U$2:$U$1057,'02c_DC_Accel_Bridge'!$B$2:$B$1057,A115,'02c_DC_Accel_Bridge'!$C$2:$C$1057,B115,'02c_DC_Accel_Bridge'!$D$2:$D$1057,C115)/I115,0)</f>
        <v/>
      </c>
      <c r="K115" s="6">
        <f>IF(I115&gt;0,SUMIFS('02c_DC_Accel_Bridge'!$V$2:$V$1057,'02c_DC_Accel_Bridge'!$B$2:$B$1057,A115,'02c_DC_Accel_Bridge'!$C$2:$C$1057,B115,'02c_DC_Accel_Bridge'!$D$2:$D$1057,C115)/I115,0)</f>
        <v/>
      </c>
      <c r="L115" s="6">
        <f>IF(I115&gt;0,SUMIFS('02c_DC_Accel_Bridge'!$W$2:$W$1057,'02c_DC_Accel_Bridge'!$B$2:$B$1057,A115,'02c_DC_Accel_Bridge'!$C$2:$C$1057,B115,'02c_DC_Accel_Bridge'!$D$2:$D$1057,C115)/I115,0)</f>
        <v/>
      </c>
      <c r="M115" s="6">
        <f>IF(I115&gt;0,SUMIFS('02c_DC_Accel_Bridge'!$X$2:$X$1057,'02c_DC_Accel_Bridge'!$B$2:$B$1057,A115,'02c_DC_Accel_Bridge'!$C$2:$C$1057,B115,'02c_DC_Accel_Bridge'!$D$2:$D$1057,C115)/I115,0)</f>
        <v/>
      </c>
      <c r="N115" s="6">
        <f>IF(I115&gt;0,SUMIFS('02c_DC_Accel_Bridge'!$Y$2:$Y$1057,'02c_DC_Accel_Bridge'!$B$2:$B$1057,A115,'02c_DC_Accel_Bridge'!$C$2:$C$1057,B115,'02c_DC_Accel_Bridge'!$D$2:$D$1057,C115)/I115,0)</f>
        <v/>
      </c>
      <c r="O115" s="6">
        <f>IF(I115&gt;0,SUMIFS('02c_DC_Accel_Bridge'!$Z$2:$Z$1057,'02c_DC_Accel_Bridge'!$B$2:$B$1057,A115,'02c_DC_Accel_Bridge'!$C$2:$C$1057,B115,'02c_DC_Accel_Bridge'!$D$2:$D$1057,C115)/I115,0)</f>
        <v/>
      </c>
      <c r="P115" s="3" t="inlineStr">
        <is>
          <t>weighted average: sum(site inference_weight_mw * accelerator_share) / sum(site inference_weight_mw)</t>
        </is>
      </c>
      <c r="Q115" s="3" t="inlineStr">
        <is>
          <t>dc_capacity_x_dc_accelerator_mix</t>
        </is>
      </c>
      <c r="R115" s="3" t="inlineStr">
        <is>
          <t>Edit 02a capacity allocation and 02b site accelerator mix; 03_Calculation reads D:G from this sheet.</t>
        </is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>
        <f>IF(I116&gt;0,SUMIFS('02c_DC_Accel_Bridge'!$R$2:$R$1057,'02c_DC_Accel_Bridge'!$B$2:$B$1057,A116,'02c_DC_Accel_Bridge'!$C$2:$C$1057,B116,'02c_DC_Accel_Bridge'!$D$2:$D$1057,C116)/I116,0.057924)</f>
        <v/>
      </c>
      <c r="E116" s="6">
        <f>IF(I116&gt;0,SUMIFS('02c_DC_Accel_Bridge'!$S$2:$S$1057,'02c_DC_Accel_Bridge'!$B$2:$B$1057,A116,'02c_DC_Accel_Bridge'!$C$2:$C$1057,B116,'02c_DC_Accel_Bridge'!$D$2:$D$1057,C116)/I116,0.524968)</f>
        <v/>
      </c>
      <c r="F116" s="6">
        <f>IF(I116&gt;0,SUMIFS('02c_DC_Accel_Bridge'!$T$2:$T$1057,'02c_DC_Accel_Bridge'!$B$2:$B$1057,A116,'02c_DC_Accel_Bridge'!$C$2:$C$1057,B116,'02c_DC_Accel_Bridge'!$D$2:$D$1057,C116)/I116,0.219088)</f>
        <v/>
      </c>
      <c r="G116" s="6">
        <f>IF(I116&gt;0,SUMIFS('02c_DC_Accel_Bridge'!$AA$2:$AA$1057,'02c_DC_Accel_Bridge'!$B$2:$B$1057,A116,'02c_DC_Accel_Bridge'!$C$2:$C$1057,B116,'02c_DC_Accel_Bridge'!$D$2:$D$1057,C116)/I116,0.19802)</f>
        <v/>
      </c>
      <c r="H116" s="6">
        <f>SUM(D116:G116)</f>
        <v/>
      </c>
      <c r="I116" s="28">
        <f>SUMIFS('02c_DC_Accel_Bridge'!$H$2:$H$1057,'02c_DC_Accel_Bridge'!$B$2:$B$1057,A116,'02c_DC_Accel_Bridge'!$C$2:$C$1057,B116,'02c_DC_Accel_Bridge'!$D$2:$D$1057,C116)</f>
        <v/>
      </c>
      <c r="J116" s="6">
        <f>IF(I116&gt;0,SUMIFS('02c_DC_Accel_Bridge'!$U$2:$U$1057,'02c_DC_Accel_Bridge'!$B$2:$B$1057,A116,'02c_DC_Accel_Bridge'!$C$2:$C$1057,B116,'02c_DC_Accel_Bridge'!$D$2:$D$1057,C116)/I116,0)</f>
        <v/>
      </c>
      <c r="K116" s="6">
        <f>IF(I116&gt;0,SUMIFS('02c_DC_Accel_Bridge'!$V$2:$V$1057,'02c_DC_Accel_Bridge'!$B$2:$B$1057,A116,'02c_DC_Accel_Bridge'!$C$2:$C$1057,B116,'02c_DC_Accel_Bridge'!$D$2:$D$1057,C116)/I116,0)</f>
        <v/>
      </c>
      <c r="L116" s="6">
        <f>IF(I116&gt;0,SUMIFS('02c_DC_Accel_Bridge'!$W$2:$W$1057,'02c_DC_Accel_Bridge'!$B$2:$B$1057,A116,'02c_DC_Accel_Bridge'!$C$2:$C$1057,B116,'02c_DC_Accel_Bridge'!$D$2:$D$1057,C116)/I116,0)</f>
        <v/>
      </c>
      <c r="M116" s="6">
        <f>IF(I116&gt;0,SUMIFS('02c_DC_Accel_Bridge'!$X$2:$X$1057,'02c_DC_Accel_Bridge'!$B$2:$B$1057,A116,'02c_DC_Accel_Bridge'!$C$2:$C$1057,B116,'02c_DC_Accel_Bridge'!$D$2:$D$1057,C116)/I116,0)</f>
        <v/>
      </c>
      <c r="N116" s="6">
        <f>IF(I116&gt;0,SUMIFS('02c_DC_Accel_Bridge'!$Y$2:$Y$1057,'02c_DC_Accel_Bridge'!$B$2:$B$1057,A116,'02c_DC_Accel_Bridge'!$C$2:$C$1057,B116,'02c_DC_Accel_Bridge'!$D$2:$D$1057,C116)/I116,0)</f>
        <v/>
      </c>
      <c r="O116" s="6">
        <f>IF(I116&gt;0,SUMIFS('02c_DC_Accel_Bridge'!$Z$2:$Z$1057,'02c_DC_Accel_Bridge'!$B$2:$B$1057,A116,'02c_DC_Accel_Bridge'!$C$2:$C$1057,B116,'02c_DC_Accel_Bridge'!$D$2:$D$1057,C116)/I116,0)</f>
        <v/>
      </c>
      <c r="P116" s="3" t="inlineStr">
        <is>
          <t>weighted average: sum(site inference_weight_mw * accelerator_share) / sum(site inference_weight_mw)</t>
        </is>
      </c>
      <c r="Q116" s="3" t="inlineStr">
        <is>
          <t>dc_capacity_x_dc_accelerator_mix</t>
        </is>
      </c>
      <c r="R116" s="3" t="inlineStr">
        <is>
          <t>Edit 02a capacity allocation and 02b site accelerator mix; 03_Calculation reads D:G from this sheet.</t>
        </is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>
        <f>IF(I117&gt;0,SUMIFS('02c_DC_Accel_Bridge'!$R$2:$R$1057,'02c_DC_Accel_Bridge'!$B$2:$B$1057,A117,'02c_DC_Accel_Bridge'!$C$2:$C$1057,B117,'02c_DC_Accel_Bridge'!$D$2:$D$1057,C117)/I117,0.138978)</f>
        <v/>
      </c>
      <c r="E117" s="6">
        <f>IF(I117&gt;0,SUMIFS('02c_DC_Accel_Bridge'!$S$2:$S$1057,'02c_DC_Accel_Bridge'!$B$2:$B$1057,A117,'02c_DC_Accel_Bridge'!$C$2:$C$1057,B117,'02c_DC_Accel_Bridge'!$D$2:$D$1057,C117)/I117,0.181561)</f>
        <v/>
      </c>
      <c r="F117" s="6">
        <f>IF(I117&gt;0,SUMIFS('02c_DC_Accel_Bridge'!$T$2:$T$1057,'02c_DC_Accel_Bridge'!$B$2:$B$1057,A117,'02c_DC_Accel_Bridge'!$C$2:$C$1057,B117,'02c_DC_Accel_Bridge'!$D$2:$D$1057,C117)/I117,0.0)</f>
        <v/>
      </c>
      <c r="G117" s="6">
        <f>IF(I117&gt;0,SUMIFS('02c_DC_Accel_Bridge'!$AA$2:$AA$1057,'02c_DC_Accel_Bridge'!$B$2:$B$1057,A117,'02c_DC_Accel_Bridge'!$C$2:$C$1057,B117,'02c_DC_Accel_Bridge'!$D$2:$D$1057,C117)/I117,0.679461)</f>
        <v/>
      </c>
      <c r="H117" s="6">
        <f>SUM(D117:G117)</f>
        <v/>
      </c>
      <c r="I117" s="28">
        <f>SUMIFS('02c_DC_Accel_Bridge'!$H$2:$H$1057,'02c_DC_Accel_Bridge'!$B$2:$B$1057,A117,'02c_DC_Accel_Bridge'!$C$2:$C$1057,B117,'02c_DC_Accel_Bridge'!$D$2:$D$1057,C117)</f>
        <v/>
      </c>
      <c r="J117" s="6">
        <f>IF(I117&gt;0,SUMIFS('02c_DC_Accel_Bridge'!$U$2:$U$1057,'02c_DC_Accel_Bridge'!$B$2:$B$1057,A117,'02c_DC_Accel_Bridge'!$C$2:$C$1057,B117,'02c_DC_Accel_Bridge'!$D$2:$D$1057,C117)/I117,0)</f>
        <v/>
      </c>
      <c r="K117" s="6">
        <f>IF(I117&gt;0,SUMIFS('02c_DC_Accel_Bridge'!$V$2:$V$1057,'02c_DC_Accel_Bridge'!$B$2:$B$1057,A117,'02c_DC_Accel_Bridge'!$C$2:$C$1057,B117,'02c_DC_Accel_Bridge'!$D$2:$D$1057,C117)/I117,0)</f>
        <v/>
      </c>
      <c r="L117" s="6">
        <f>IF(I117&gt;0,SUMIFS('02c_DC_Accel_Bridge'!$W$2:$W$1057,'02c_DC_Accel_Bridge'!$B$2:$B$1057,A117,'02c_DC_Accel_Bridge'!$C$2:$C$1057,B117,'02c_DC_Accel_Bridge'!$D$2:$D$1057,C117)/I117,0)</f>
        <v/>
      </c>
      <c r="M117" s="6">
        <f>IF(I117&gt;0,SUMIFS('02c_DC_Accel_Bridge'!$X$2:$X$1057,'02c_DC_Accel_Bridge'!$B$2:$B$1057,A117,'02c_DC_Accel_Bridge'!$C$2:$C$1057,B117,'02c_DC_Accel_Bridge'!$D$2:$D$1057,C117)/I117,0)</f>
        <v/>
      </c>
      <c r="N117" s="6">
        <f>IF(I117&gt;0,SUMIFS('02c_DC_Accel_Bridge'!$Y$2:$Y$1057,'02c_DC_Accel_Bridge'!$B$2:$B$1057,A117,'02c_DC_Accel_Bridge'!$C$2:$C$1057,B117,'02c_DC_Accel_Bridge'!$D$2:$D$1057,C117)/I117,0)</f>
        <v/>
      </c>
      <c r="O117" s="6">
        <f>IF(I117&gt;0,SUMIFS('02c_DC_Accel_Bridge'!$Z$2:$Z$1057,'02c_DC_Accel_Bridge'!$B$2:$B$1057,A117,'02c_DC_Accel_Bridge'!$C$2:$C$1057,B117,'02c_DC_Accel_Bridge'!$D$2:$D$1057,C117)/I117,0)</f>
        <v/>
      </c>
      <c r="P117" s="3" t="inlineStr">
        <is>
          <t>weighted average: sum(site inference_weight_mw * accelerator_share) / sum(site inference_weight_mw)</t>
        </is>
      </c>
      <c r="Q117" s="3" t="inlineStr">
        <is>
          <t>dc_capacity_x_dc_accelerator_mix</t>
        </is>
      </c>
      <c r="R117" s="3" t="inlineStr">
        <is>
          <t>Edit 02a capacity allocation and 02b site accelerator mix; 03_Calculation reads D:G from this sheet.</t>
        </is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>
        <f>IF(I118&gt;0,SUMIFS('02c_DC_Accel_Bridge'!$R$2:$R$1057,'02c_DC_Accel_Bridge'!$B$2:$B$1057,A118,'02c_DC_Accel_Bridge'!$C$2:$C$1057,B118,'02c_DC_Accel_Bridge'!$D$2:$D$1057,C118)/I118,0.128806)</f>
        <v/>
      </c>
      <c r="E118" s="6">
        <f>IF(I118&gt;0,SUMIFS('02c_DC_Accel_Bridge'!$S$2:$S$1057,'02c_DC_Accel_Bridge'!$B$2:$B$1057,A118,'02c_DC_Accel_Bridge'!$C$2:$C$1057,B118,'02c_DC_Accel_Bridge'!$D$2:$D$1057,C118)/I118,0.207151)</f>
        <v/>
      </c>
      <c r="F118" s="6">
        <f>IF(I118&gt;0,SUMIFS('02c_DC_Accel_Bridge'!$T$2:$T$1057,'02c_DC_Accel_Bridge'!$B$2:$B$1057,A118,'02c_DC_Accel_Bridge'!$C$2:$C$1057,B118,'02c_DC_Accel_Bridge'!$D$2:$D$1057,C118)/I118,0.0)</f>
        <v/>
      </c>
      <c r="G118" s="6">
        <f>IF(I118&gt;0,SUMIFS('02c_DC_Accel_Bridge'!$AA$2:$AA$1057,'02c_DC_Accel_Bridge'!$B$2:$B$1057,A118,'02c_DC_Accel_Bridge'!$C$2:$C$1057,B118,'02c_DC_Accel_Bridge'!$D$2:$D$1057,C118)/I118,0.664043)</f>
        <v/>
      </c>
      <c r="H118" s="6">
        <f>SUM(D118:G118)</f>
        <v/>
      </c>
      <c r="I118" s="28">
        <f>SUMIFS('02c_DC_Accel_Bridge'!$H$2:$H$1057,'02c_DC_Accel_Bridge'!$B$2:$B$1057,A118,'02c_DC_Accel_Bridge'!$C$2:$C$1057,B118,'02c_DC_Accel_Bridge'!$D$2:$D$1057,C118)</f>
        <v/>
      </c>
      <c r="J118" s="6">
        <f>IF(I118&gt;0,SUMIFS('02c_DC_Accel_Bridge'!$U$2:$U$1057,'02c_DC_Accel_Bridge'!$B$2:$B$1057,A118,'02c_DC_Accel_Bridge'!$C$2:$C$1057,B118,'02c_DC_Accel_Bridge'!$D$2:$D$1057,C118)/I118,0)</f>
        <v/>
      </c>
      <c r="K118" s="6">
        <f>IF(I118&gt;0,SUMIFS('02c_DC_Accel_Bridge'!$V$2:$V$1057,'02c_DC_Accel_Bridge'!$B$2:$B$1057,A118,'02c_DC_Accel_Bridge'!$C$2:$C$1057,B118,'02c_DC_Accel_Bridge'!$D$2:$D$1057,C118)/I118,0)</f>
        <v/>
      </c>
      <c r="L118" s="6">
        <f>IF(I118&gt;0,SUMIFS('02c_DC_Accel_Bridge'!$W$2:$W$1057,'02c_DC_Accel_Bridge'!$B$2:$B$1057,A118,'02c_DC_Accel_Bridge'!$C$2:$C$1057,B118,'02c_DC_Accel_Bridge'!$D$2:$D$1057,C118)/I118,0)</f>
        <v/>
      </c>
      <c r="M118" s="6">
        <f>IF(I118&gt;0,SUMIFS('02c_DC_Accel_Bridge'!$X$2:$X$1057,'02c_DC_Accel_Bridge'!$B$2:$B$1057,A118,'02c_DC_Accel_Bridge'!$C$2:$C$1057,B118,'02c_DC_Accel_Bridge'!$D$2:$D$1057,C118)/I118,0)</f>
        <v/>
      </c>
      <c r="N118" s="6">
        <f>IF(I118&gt;0,SUMIFS('02c_DC_Accel_Bridge'!$Y$2:$Y$1057,'02c_DC_Accel_Bridge'!$B$2:$B$1057,A118,'02c_DC_Accel_Bridge'!$C$2:$C$1057,B118,'02c_DC_Accel_Bridge'!$D$2:$D$1057,C118)/I118,0)</f>
        <v/>
      </c>
      <c r="O118" s="6">
        <f>IF(I118&gt;0,SUMIFS('02c_DC_Accel_Bridge'!$Z$2:$Z$1057,'02c_DC_Accel_Bridge'!$B$2:$B$1057,A118,'02c_DC_Accel_Bridge'!$C$2:$C$1057,B118,'02c_DC_Accel_Bridge'!$D$2:$D$1057,C118)/I118,0)</f>
        <v/>
      </c>
      <c r="P118" s="3" t="inlineStr">
        <is>
          <t>weighted average: sum(site inference_weight_mw * accelerator_share) / sum(site inference_weight_mw)</t>
        </is>
      </c>
      <c r="Q118" s="3" t="inlineStr">
        <is>
          <t>dc_capacity_x_dc_accelerator_mix</t>
        </is>
      </c>
      <c r="R118" s="3" t="inlineStr">
        <is>
          <t>Edit 02a capacity allocation and 02b site accelerator mix; 03_Calculation reads D:G from this sheet.</t>
        </is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>
        <f>IF(I119&gt;0,SUMIFS('02c_DC_Accel_Bridge'!$R$2:$R$1057,'02c_DC_Accel_Bridge'!$B$2:$B$1057,A119,'02c_DC_Accel_Bridge'!$C$2:$C$1057,B119,'02c_DC_Accel_Bridge'!$D$2:$D$1057,C119)/I119,0.068417)</f>
        <v/>
      </c>
      <c r="E119" s="6">
        <f>IF(I119&gt;0,SUMIFS('02c_DC_Accel_Bridge'!$S$2:$S$1057,'02c_DC_Accel_Bridge'!$B$2:$B$1057,A119,'02c_DC_Accel_Bridge'!$C$2:$C$1057,B119,'02c_DC_Accel_Bridge'!$D$2:$D$1057,C119)/I119,0.110031)</f>
        <v/>
      </c>
      <c r="F119" s="6">
        <f>IF(I119&gt;0,SUMIFS('02c_DC_Accel_Bridge'!$T$2:$T$1057,'02c_DC_Accel_Bridge'!$B$2:$B$1057,A119,'02c_DC_Accel_Bridge'!$C$2:$C$1057,B119,'02c_DC_Accel_Bridge'!$D$2:$D$1057,C119)/I119,0.0)</f>
        <v/>
      </c>
      <c r="G119" s="6">
        <f>IF(I119&gt;0,SUMIFS('02c_DC_Accel_Bridge'!$AA$2:$AA$1057,'02c_DC_Accel_Bridge'!$B$2:$B$1057,A119,'02c_DC_Accel_Bridge'!$C$2:$C$1057,B119,'02c_DC_Accel_Bridge'!$D$2:$D$1057,C119)/I119,0.821552)</f>
        <v/>
      </c>
      <c r="H119" s="6">
        <f>SUM(D119:G119)</f>
        <v/>
      </c>
      <c r="I119" s="28">
        <f>SUMIFS('02c_DC_Accel_Bridge'!$H$2:$H$1057,'02c_DC_Accel_Bridge'!$B$2:$B$1057,A119,'02c_DC_Accel_Bridge'!$C$2:$C$1057,B119,'02c_DC_Accel_Bridge'!$D$2:$D$1057,C119)</f>
        <v/>
      </c>
      <c r="J119" s="6">
        <f>IF(I119&gt;0,SUMIFS('02c_DC_Accel_Bridge'!$U$2:$U$1057,'02c_DC_Accel_Bridge'!$B$2:$B$1057,A119,'02c_DC_Accel_Bridge'!$C$2:$C$1057,B119,'02c_DC_Accel_Bridge'!$D$2:$D$1057,C119)/I119,0)</f>
        <v/>
      </c>
      <c r="K119" s="6">
        <f>IF(I119&gt;0,SUMIFS('02c_DC_Accel_Bridge'!$V$2:$V$1057,'02c_DC_Accel_Bridge'!$B$2:$B$1057,A119,'02c_DC_Accel_Bridge'!$C$2:$C$1057,B119,'02c_DC_Accel_Bridge'!$D$2:$D$1057,C119)/I119,0)</f>
        <v/>
      </c>
      <c r="L119" s="6">
        <f>IF(I119&gt;0,SUMIFS('02c_DC_Accel_Bridge'!$W$2:$W$1057,'02c_DC_Accel_Bridge'!$B$2:$B$1057,A119,'02c_DC_Accel_Bridge'!$C$2:$C$1057,B119,'02c_DC_Accel_Bridge'!$D$2:$D$1057,C119)/I119,0)</f>
        <v/>
      </c>
      <c r="M119" s="6">
        <f>IF(I119&gt;0,SUMIFS('02c_DC_Accel_Bridge'!$X$2:$X$1057,'02c_DC_Accel_Bridge'!$B$2:$B$1057,A119,'02c_DC_Accel_Bridge'!$C$2:$C$1057,B119,'02c_DC_Accel_Bridge'!$D$2:$D$1057,C119)/I119,0)</f>
        <v/>
      </c>
      <c r="N119" s="6">
        <f>IF(I119&gt;0,SUMIFS('02c_DC_Accel_Bridge'!$Y$2:$Y$1057,'02c_DC_Accel_Bridge'!$B$2:$B$1057,A119,'02c_DC_Accel_Bridge'!$C$2:$C$1057,B119,'02c_DC_Accel_Bridge'!$D$2:$D$1057,C119)/I119,0)</f>
        <v/>
      </c>
      <c r="O119" s="6">
        <f>IF(I119&gt;0,SUMIFS('02c_DC_Accel_Bridge'!$Z$2:$Z$1057,'02c_DC_Accel_Bridge'!$B$2:$B$1057,A119,'02c_DC_Accel_Bridge'!$C$2:$C$1057,B119,'02c_DC_Accel_Bridge'!$D$2:$D$1057,C119)/I119,0)</f>
        <v/>
      </c>
      <c r="P119" s="3" t="inlineStr">
        <is>
          <t>weighted average: sum(site inference_weight_mw * accelerator_share) / sum(site inference_weight_mw)</t>
        </is>
      </c>
      <c r="Q119" s="3" t="inlineStr">
        <is>
          <t>dc_capacity_x_dc_accelerator_mix</t>
        </is>
      </c>
      <c r="R119" s="3" t="inlineStr">
        <is>
          <t>Edit 02a capacity allocation and 02b site accelerator mix; 03_Calculation reads D:G from this sheet.</t>
        </is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>
        <f>IF(I120&gt;0,SUMIFS('02c_DC_Accel_Bridge'!$R$2:$R$1057,'02c_DC_Accel_Bridge'!$B$2:$B$1057,A120,'02c_DC_Accel_Bridge'!$C$2:$C$1057,B120,'02c_DC_Accel_Bridge'!$D$2:$D$1057,C120)/I120,0.068417)</f>
        <v/>
      </c>
      <c r="E120" s="6">
        <f>IF(I120&gt;0,SUMIFS('02c_DC_Accel_Bridge'!$S$2:$S$1057,'02c_DC_Accel_Bridge'!$B$2:$B$1057,A120,'02c_DC_Accel_Bridge'!$C$2:$C$1057,B120,'02c_DC_Accel_Bridge'!$D$2:$D$1057,C120)/I120,0.110031)</f>
        <v/>
      </c>
      <c r="F120" s="6">
        <f>IF(I120&gt;0,SUMIFS('02c_DC_Accel_Bridge'!$T$2:$T$1057,'02c_DC_Accel_Bridge'!$B$2:$B$1057,A120,'02c_DC_Accel_Bridge'!$C$2:$C$1057,B120,'02c_DC_Accel_Bridge'!$D$2:$D$1057,C120)/I120,0.0)</f>
        <v/>
      </c>
      <c r="G120" s="6">
        <f>IF(I120&gt;0,SUMIFS('02c_DC_Accel_Bridge'!$AA$2:$AA$1057,'02c_DC_Accel_Bridge'!$B$2:$B$1057,A120,'02c_DC_Accel_Bridge'!$C$2:$C$1057,B120,'02c_DC_Accel_Bridge'!$D$2:$D$1057,C120)/I120,0.821552)</f>
        <v/>
      </c>
      <c r="H120" s="6">
        <f>SUM(D120:G120)</f>
        <v/>
      </c>
      <c r="I120" s="28">
        <f>SUMIFS('02c_DC_Accel_Bridge'!$H$2:$H$1057,'02c_DC_Accel_Bridge'!$B$2:$B$1057,A120,'02c_DC_Accel_Bridge'!$C$2:$C$1057,B120,'02c_DC_Accel_Bridge'!$D$2:$D$1057,C120)</f>
        <v/>
      </c>
      <c r="J120" s="6">
        <f>IF(I120&gt;0,SUMIFS('02c_DC_Accel_Bridge'!$U$2:$U$1057,'02c_DC_Accel_Bridge'!$B$2:$B$1057,A120,'02c_DC_Accel_Bridge'!$C$2:$C$1057,B120,'02c_DC_Accel_Bridge'!$D$2:$D$1057,C120)/I120,0)</f>
        <v/>
      </c>
      <c r="K120" s="6">
        <f>IF(I120&gt;0,SUMIFS('02c_DC_Accel_Bridge'!$V$2:$V$1057,'02c_DC_Accel_Bridge'!$B$2:$B$1057,A120,'02c_DC_Accel_Bridge'!$C$2:$C$1057,B120,'02c_DC_Accel_Bridge'!$D$2:$D$1057,C120)/I120,0)</f>
        <v/>
      </c>
      <c r="L120" s="6">
        <f>IF(I120&gt;0,SUMIFS('02c_DC_Accel_Bridge'!$W$2:$W$1057,'02c_DC_Accel_Bridge'!$B$2:$B$1057,A120,'02c_DC_Accel_Bridge'!$C$2:$C$1057,B120,'02c_DC_Accel_Bridge'!$D$2:$D$1057,C120)/I120,0)</f>
        <v/>
      </c>
      <c r="M120" s="6">
        <f>IF(I120&gt;0,SUMIFS('02c_DC_Accel_Bridge'!$X$2:$X$1057,'02c_DC_Accel_Bridge'!$B$2:$B$1057,A120,'02c_DC_Accel_Bridge'!$C$2:$C$1057,B120,'02c_DC_Accel_Bridge'!$D$2:$D$1057,C120)/I120,0)</f>
        <v/>
      </c>
      <c r="N120" s="6">
        <f>IF(I120&gt;0,SUMIFS('02c_DC_Accel_Bridge'!$Y$2:$Y$1057,'02c_DC_Accel_Bridge'!$B$2:$B$1057,A120,'02c_DC_Accel_Bridge'!$C$2:$C$1057,B120,'02c_DC_Accel_Bridge'!$D$2:$D$1057,C120)/I120,0)</f>
        <v/>
      </c>
      <c r="O120" s="6">
        <f>IF(I120&gt;0,SUMIFS('02c_DC_Accel_Bridge'!$Z$2:$Z$1057,'02c_DC_Accel_Bridge'!$B$2:$B$1057,A120,'02c_DC_Accel_Bridge'!$C$2:$C$1057,B120,'02c_DC_Accel_Bridge'!$D$2:$D$1057,C120)/I120,0)</f>
        <v/>
      </c>
      <c r="P120" s="3" t="inlineStr">
        <is>
          <t>weighted average: sum(site inference_weight_mw * accelerator_share) / sum(site inference_weight_mw)</t>
        </is>
      </c>
      <c r="Q120" s="3" t="inlineStr">
        <is>
          <t>dc_capacity_x_dc_accelerator_mix</t>
        </is>
      </c>
      <c r="R120" s="3" t="inlineStr">
        <is>
          <t>Edit 02a capacity allocation and 02b site accelerator mix; 03_Calculation reads D:G from this sheet.</t>
        </is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>
        <f>IF(I121&gt;0,SUMIFS('02c_DC_Accel_Bridge'!$R$2:$R$1057,'02c_DC_Accel_Bridge'!$B$2:$B$1057,A121,'02c_DC_Accel_Bridge'!$C$2:$C$1057,B121,'02c_DC_Accel_Bridge'!$D$2:$D$1057,C121)/I121,0.068417)</f>
        <v/>
      </c>
      <c r="E121" s="6">
        <f>IF(I121&gt;0,SUMIFS('02c_DC_Accel_Bridge'!$S$2:$S$1057,'02c_DC_Accel_Bridge'!$B$2:$B$1057,A121,'02c_DC_Accel_Bridge'!$C$2:$C$1057,B121,'02c_DC_Accel_Bridge'!$D$2:$D$1057,C121)/I121,0.110031)</f>
        <v/>
      </c>
      <c r="F121" s="6">
        <f>IF(I121&gt;0,SUMIFS('02c_DC_Accel_Bridge'!$T$2:$T$1057,'02c_DC_Accel_Bridge'!$B$2:$B$1057,A121,'02c_DC_Accel_Bridge'!$C$2:$C$1057,B121,'02c_DC_Accel_Bridge'!$D$2:$D$1057,C121)/I121,0.0)</f>
        <v/>
      </c>
      <c r="G121" s="6">
        <f>IF(I121&gt;0,SUMIFS('02c_DC_Accel_Bridge'!$AA$2:$AA$1057,'02c_DC_Accel_Bridge'!$B$2:$B$1057,A121,'02c_DC_Accel_Bridge'!$C$2:$C$1057,B121,'02c_DC_Accel_Bridge'!$D$2:$D$1057,C121)/I121,0.821552)</f>
        <v/>
      </c>
      <c r="H121" s="6">
        <f>SUM(D121:G121)</f>
        <v/>
      </c>
      <c r="I121" s="28">
        <f>SUMIFS('02c_DC_Accel_Bridge'!$H$2:$H$1057,'02c_DC_Accel_Bridge'!$B$2:$B$1057,A121,'02c_DC_Accel_Bridge'!$C$2:$C$1057,B121,'02c_DC_Accel_Bridge'!$D$2:$D$1057,C121)</f>
        <v/>
      </c>
      <c r="J121" s="6">
        <f>IF(I121&gt;0,SUMIFS('02c_DC_Accel_Bridge'!$U$2:$U$1057,'02c_DC_Accel_Bridge'!$B$2:$B$1057,A121,'02c_DC_Accel_Bridge'!$C$2:$C$1057,B121,'02c_DC_Accel_Bridge'!$D$2:$D$1057,C121)/I121,0)</f>
        <v/>
      </c>
      <c r="K121" s="6">
        <f>IF(I121&gt;0,SUMIFS('02c_DC_Accel_Bridge'!$V$2:$V$1057,'02c_DC_Accel_Bridge'!$B$2:$B$1057,A121,'02c_DC_Accel_Bridge'!$C$2:$C$1057,B121,'02c_DC_Accel_Bridge'!$D$2:$D$1057,C121)/I121,0)</f>
        <v/>
      </c>
      <c r="L121" s="6">
        <f>IF(I121&gt;0,SUMIFS('02c_DC_Accel_Bridge'!$W$2:$W$1057,'02c_DC_Accel_Bridge'!$B$2:$B$1057,A121,'02c_DC_Accel_Bridge'!$C$2:$C$1057,B121,'02c_DC_Accel_Bridge'!$D$2:$D$1057,C121)/I121,0)</f>
        <v/>
      </c>
      <c r="M121" s="6">
        <f>IF(I121&gt;0,SUMIFS('02c_DC_Accel_Bridge'!$X$2:$X$1057,'02c_DC_Accel_Bridge'!$B$2:$B$1057,A121,'02c_DC_Accel_Bridge'!$C$2:$C$1057,B121,'02c_DC_Accel_Bridge'!$D$2:$D$1057,C121)/I121,0)</f>
        <v/>
      </c>
      <c r="N121" s="6">
        <f>IF(I121&gt;0,SUMIFS('02c_DC_Accel_Bridge'!$Y$2:$Y$1057,'02c_DC_Accel_Bridge'!$B$2:$B$1057,A121,'02c_DC_Accel_Bridge'!$C$2:$C$1057,B121,'02c_DC_Accel_Bridge'!$D$2:$D$1057,C121)/I121,0)</f>
        <v/>
      </c>
      <c r="O121" s="6">
        <f>IF(I121&gt;0,SUMIFS('02c_DC_Accel_Bridge'!$Z$2:$Z$1057,'02c_DC_Accel_Bridge'!$B$2:$B$1057,A121,'02c_DC_Accel_Bridge'!$C$2:$C$1057,B121,'02c_DC_Accel_Bridge'!$D$2:$D$1057,C121)/I121,0)</f>
        <v/>
      </c>
      <c r="P121" s="3" t="inlineStr">
        <is>
          <t>weighted average: sum(site inference_weight_mw * accelerator_share) / sum(site inference_weight_mw)</t>
        </is>
      </c>
      <c r="Q121" s="3" t="inlineStr">
        <is>
          <t>dc_capacity_x_dc_accelerator_mix</t>
        </is>
      </c>
      <c r="R121" s="3" t="inlineStr">
        <is>
          <t>Edit 02a capacity allocation and 02b site accelerator mix; 03_Calculation reads D:G from this sheet.</t>
        </is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>
        <f>IF(I122&gt;0,SUMIFS('02c_DC_Accel_Bridge'!$R$2:$R$1057,'02c_DC_Accel_Bridge'!$B$2:$B$1057,A122,'02c_DC_Accel_Bridge'!$C$2:$C$1057,B122,'02c_DC_Accel_Bridge'!$D$2:$D$1057,C122)/I122,0.55)</f>
        <v/>
      </c>
      <c r="E122" s="6">
        <f>IF(I122&gt;0,SUMIFS('02c_DC_Accel_Bridge'!$S$2:$S$1057,'02c_DC_Accel_Bridge'!$B$2:$B$1057,A122,'02c_DC_Accel_Bridge'!$C$2:$C$1057,B122,'02c_DC_Accel_Bridge'!$D$2:$D$1057,C122)/I122,0.4)</f>
        <v/>
      </c>
      <c r="F122" s="6">
        <f>IF(I122&gt;0,SUMIFS('02c_DC_Accel_Bridge'!$T$2:$T$1057,'02c_DC_Accel_Bridge'!$B$2:$B$1057,A122,'02c_DC_Accel_Bridge'!$C$2:$C$1057,B122,'02c_DC_Accel_Bridge'!$D$2:$D$1057,C122)/I122,0.05)</f>
        <v/>
      </c>
      <c r="G122" s="6">
        <f>IF(I122&gt;0,SUMIFS('02c_DC_Accel_Bridge'!$AA$2:$AA$1057,'02c_DC_Accel_Bridge'!$B$2:$B$1057,A122,'02c_DC_Accel_Bridge'!$C$2:$C$1057,B122,'02c_DC_Accel_Bridge'!$D$2:$D$1057,C122)/I122,0.0)</f>
        <v/>
      </c>
      <c r="H122" s="6">
        <f>SUM(D122:G122)</f>
        <v/>
      </c>
      <c r="I122" s="28">
        <f>SUMIFS('02c_DC_Accel_Bridge'!$H$2:$H$1057,'02c_DC_Accel_Bridge'!$B$2:$B$1057,A122,'02c_DC_Accel_Bridge'!$C$2:$C$1057,B122,'02c_DC_Accel_Bridge'!$D$2:$D$1057,C122)</f>
        <v/>
      </c>
      <c r="J122" s="6">
        <f>IF(I122&gt;0,SUMIFS('02c_DC_Accel_Bridge'!$U$2:$U$1057,'02c_DC_Accel_Bridge'!$B$2:$B$1057,A122,'02c_DC_Accel_Bridge'!$C$2:$C$1057,B122,'02c_DC_Accel_Bridge'!$D$2:$D$1057,C122)/I122,0)</f>
        <v/>
      </c>
      <c r="K122" s="6">
        <f>IF(I122&gt;0,SUMIFS('02c_DC_Accel_Bridge'!$V$2:$V$1057,'02c_DC_Accel_Bridge'!$B$2:$B$1057,A122,'02c_DC_Accel_Bridge'!$C$2:$C$1057,B122,'02c_DC_Accel_Bridge'!$D$2:$D$1057,C122)/I122,0)</f>
        <v/>
      </c>
      <c r="L122" s="6">
        <f>IF(I122&gt;0,SUMIFS('02c_DC_Accel_Bridge'!$W$2:$W$1057,'02c_DC_Accel_Bridge'!$B$2:$B$1057,A122,'02c_DC_Accel_Bridge'!$C$2:$C$1057,B122,'02c_DC_Accel_Bridge'!$D$2:$D$1057,C122)/I122,0)</f>
        <v/>
      </c>
      <c r="M122" s="6">
        <f>IF(I122&gt;0,SUMIFS('02c_DC_Accel_Bridge'!$X$2:$X$1057,'02c_DC_Accel_Bridge'!$B$2:$B$1057,A122,'02c_DC_Accel_Bridge'!$C$2:$C$1057,B122,'02c_DC_Accel_Bridge'!$D$2:$D$1057,C122)/I122,0)</f>
        <v/>
      </c>
      <c r="N122" s="6">
        <f>IF(I122&gt;0,SUMIFS('02c_DC_Accel_Bridge'!$Y$2:$Y$1057,'02c_DC_Accel_Bridge'!$B$2:$B$1057,A122,'02c_DC_Accel_Bridge'!$C$2:$C$1057,B122,'02c_DC_Accel_Bridge'!$D$2:$D$1057,C122)/I122,0)</f>
        <v/>
      </c>
      <c r="O122" s="6">
        <f>IF(I122&gt;0,SUMIFS('02c_DC_Accel_Bridge'!$Z$2:$Z$1057,'02c_DC_Accel_Bridge'!$B$2:$B$1057,A122,'02c_DC_Accel_Bridge'!$C$2:$C$1057,B122,'02c_DC_Accel_Bridge'!$D$2:$D$1057,C122)/I122,0)</f>
        <v/>
      </c>
      <c r="P122" s="3" t="inlineStr">
        <is>
          <t>weighted average: sum(site inference_weight_mw * accelerator_share) / sum(site inference_weight_mw)</t>
        </is>
      </c>
      <c r="Q122" s="3" t="inlineStr">
        <is>
          <t>dc_capacity_x_dc_accelerator_mix</t>
        </is>
      </c>
      <c r="R122" s="3" t="inlineStr">
        <is>
          <t>Edit 02a capacity allocation and 02b site accelerator mix; 03_Calculation reads D:G from this sheet.</t>
        </is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>
        <f>IF(I123&gt;0,SUMIFS('02c_DC_Accel_Bridge'!$R$2:$R$1057,'02c_DC_Accel_Bridge'!$B$2:$B$1057,A123,'02c_DC_Accel_Bridge'!$C$2:$C$1057,B123,'02c_DC_Accel_Bridge'!$D$2:$D$1057,C123)/I123,0.438)</f>
        <v/>
      </c>
      <c r="E123" s="6">
        <f>IF(I123&gt;0,SUMIFS('02c_DC_Accel_Bridge'!$S$2:$S$1057,'02c_DC_Accel_Bridge'!$B$2:$B$1057,A123,'02c_DC_Accel_Bridge'!$C$2:$C$1057,B123,'02c_DC_Accel_Bridge'!$D$2:$D$1057,C123)/I123,0.388)</f>
        <v/>
      </c>
      <c r="F123" s="6">
        <f>IF(I123&gt;0,SUMIFS('02c_DC_Accel_Bridge'!$T$2:$T$1057,'02c_DC_Accel_Bridge'!$B$2:$B$1057,A123,'02c_DC_Accel_Bridge'!$C$2:$C$1057,B123,'02c_DC_Accel_Bridge'!$D$2:$D$1057,C123)/I123,0.174)</f>
        <v/>
      </c>
      <c r="G123" s="6">
        <f>IF(I123&gt;0,SUMIFS('02c_DC_Accel_Bridge'!$AA$2:$AA$1057,'02c_DC_Accel_Bridge'!$B$2:$B$1057,A123,'02c_DC_Accel_Bridge'!$C$2:$C$1057,B123,'02c_DC_Accel_Bridge'!$D$2:$D$1057,C123)/I123,0.0)</f>
        <v/>
      </c>
      <c r="H123" s="6">
        <f>SUM(D123:G123)</f>
        <v/>
      </c>
      <c r="I123" s="28">
        <f>SUMIFS('02c_DC_Accel_Bridge'!$H$2:$H$1057,'02c_DC_Accel_Bridge'!$B$2:$B$1057,A123,'02c_DC_Accel_Bridge'!$C$2:$C$1057,B123,'02c_DC_Accel_Bridge'!$D$2:$D$1057,C123)</f>
        <v/>
      </c>
      <c r="J123" s="6">
        <f>IF(I123&gt;0,SUMIFS('02c_DC_Accel_Bridge'!$U$2:$U$1057,'02c_DC_Accel_Bridge'!$B$2:$B$1057,A123,'02c_DC_Accel_Bridge'!$C$2:$C$1057,B123,'02c_DC_Accel_Bridge'!$D$2:$D$1057,C123)/I123,0)</f>
        <v/>
      </c>
      <c r="K123" s="6">
        <f>IF(I123&gt;0,SUMIFS('02c_DC_Accel_Bridge'!$V$2:$V$1057,'02c_DC_Accel_Bridge'!$B$2:$B$1057,A123,'02c_DC_Accel_Bridge'!$C$2:$C$1057,B123,'02c_DC_Accel_Bridge'!$D$2:$D$1057,C123)/I123,0)</f>
        <v/>
      </c>
      <c r="L123" s="6">
        <f>IF(I123&gt;0,SUMIFS('02c_DC_Accel_Bridge'!$W$2:$W$1057,'02c_DC_Accel_Bridge'!$B$2:$B$1057,A123,'02c_DC_Accel_Bridge'!$C$2:$C$1057,B123,'02c_DC_Accel_Bridge'!$D$2:$D$1057,C123)/I123,0)</f>
        <v/>
      </c>
      <c r="M123" s="6">
        <f>IF(I123&gt;0,SUMIFS('02c_DC_Accel_Bridge'!$X$2:$X$1057,'02c_DC_Accel_Bridge'!$B$2:$B$1057,A123,'02c_DC_Accel_Bridge'!$C$2:$C$1057,B123,'02c_DC_Accel_Bridge'!$D$2:$D$1057,C123)/I123,0)</f>
        <v/>
      </c>
      <c r="N123" s="6">
        <f>IF(I123&gt;0,SUMIFS('02c_DC_Accel_Bridge'!$Y$2:$Y$1057,'02c_DC_Accel_Bridge'!$B$2:$B$1057,A123,'02c_DC_Accel_Bridge'!$C$2:$C$1057,B123,'02c_DC_Accel_Bridge'!$D$2:$D$1057,C123)/I123,0)</f>
        <v/>
      </c>
      <c r="O123" s="6">
        <f>IF(I123&gt;0,SUMIFS('02c_DC_Accel_Bridge'!$Z$2:$Z$1057,'02c_DC_Accel_Bridge'!$B$2:$B$1057,A123,'02c_DC_Accel_Bridge'!$C$2:$C$1057,B123,'02c_DC_Accel_Bridge'!$D$2:$D$1057,C123)/I123,0)</f>
        <v/>
      </c>
      <c r="P123" s="3" t="inlineStr">
        <is>
          <t>weighted average: sum(site inference_weight_mw * accelerator_share) / sum(site inference_weight_mw)</t>
        </is>
      </c>
      <c r="Q123" s="3" t="inlineStr">
        <is>
          <t>dc_capacity_x_dc_accelerator_mix</t>
        </is>
      </c>
      <c r="R123" s="3" t="inlineStr">
        <is>
          <t>Edit 02a capacity allocation and 02b site accelerator mix; 03_Calculation reads D:G from this sheet.</t>
        </is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>
        <f>IF(I124&gt;0,SUMIFS('02c_DC_Accel_Bridge'!$R$2:$R$1057,'02c_DC_Accel_Bridge'!$B$2:$B$1057,A124,'02c_DC_Accel_Bridge'!$C$2:$C$1057,B124,'02c_DC_Accel_Bridge'!$D$2:$D$1057,C124)/I124,0.325)</f>
        <v/>
      </c>
      <c r="E124" s="6">
        <f>IF(I124&gt;0,SUMIFS('02c_DC_Accel_Bridge'!$S$2:$S$1057,'02c_DC_Accel_Bridge'!$B$2:$B$1057,A124,'02c_DC_Accel_Bridge'!$C$2:$C$1057,B124,'02c_DC_Accel_Bridge'!$D$2:$D$1057,C124)/I124,0.375)</f>
        <v/>
      </c>
      <c r="F124" s="6">
        <f>IF(I124&gt;0,SUMIFS('02c_DC_Accel_Bridge'!$T$2:$T$1057,'02c_DC_Accel_Bridge'!$B$2:$B$1057,A124,'02c_DC_Accel_Bridge'!$C$2:$C$1057,B124,'02c_DC_Accel_Bridge'!$D$2:$D$1057,C124)/I124,0.3)</f>
        <v/>
      </c>
      <c r="G124" s="6">
        <f>IF(I124&gt;0,SUMIFS('02c_DC_Accel_Bridge'!$AA$2:$AA$1057,'02c_DC_Accel_Bridge'!$B$2:$B$1057,A124,'02c_DC_Accel_Bridge'!$C$2:$C$1057,B124,'02c_DC_Accel_Bridge'!$D$2:$D$1057,C124)/I124,0.0)</f>
        <v/>
      </c>
      <c r="H124" s="6">
        <f>SUM(D124:G124)</f>
        <v/>
      </c>
      <c r="I124" s="28">
        <f>SUMIFS('02c_DC_Accel_Bridge'!$H$2:$H$1057,'02c_DC_Accel_Bridge'!$B$2:$B$1057,A124,'02c_DC_Accel_Bridge'!$C$2:$C$1057,B124,'02c_DC_Accel_Bridge'!$D$2:$D$1057,C124)</f>
        <v/>
      </c>
      <c r="J124" s="6">
        <f>IF(I124&gt;0,SUMIFS('02c_DC_Accel_Bridge'!$U$2:$U$1057,'02c_DC_Accel_Bridge'!$B$2:$B$1057,A124,'02c_DC_Accel_Bridge'!$C$2:$C$1057,B124,'02c_DC_Accel_Bridge'!$D$2:$D$1057,C124)/I124,0)</f>
        <v/>
      </c>
      <c r="K124" s="6">
        <f>IF(I124&gt;0,SUMIFS('02c_DC_Accel_Bridge'!$V$2:$V$1057,'02c_DC_Accel_Bridge'!$B$2:$B$1057,A124,'02c_DC_Accel_Bridge'!$C$2:$C$1057,B124,'02c_DC_Accel_Bridge'!$D$2:$D$1057,C124)/I124,0)</f>
        <v/>
      </c>
      <c r="L124" s="6">
        <f>IF(I124&gt;0,SUMIFS('02c_DC_Accel_Bridge'!$W$2:$W$1057,'02c_DC_Accel_Bridge'!$B$2:$B$1057,A124,'02c_DC_Accel_Bridge'!$C$2:$C$1057,B124,'02c_DC_Accel_Bridge'!$D$2:$D$1057,C124)/I124,0)</f>
        <v/>
      </c>
      <c r="M124" s="6">
        <f>IF(I124&gt;0,SUMIFS('02c_DC_Accel_Bridge'!$X$2:$X$1057,'02c_DC_Accel_Bridge'!$B$2:$B$1057,A124,'02c_DC_Accel_Bridge'!$C$2:$C$1057,B124,'02c_DC_Accel_Bridge'!$D$2:$D$1057,C124)/I124,0)</f>
        <v/>
      </c>
      <c r="N124" s="6">
        <f>IF(I124&gt;0,SUMIFS('02c_DC_Accel_Bridge'!$Y$2:$Y$1057,'02c_DC_Accel_Bridge'!$B$2:$B$1057,A124,'02c_DC_Accel_Bridge'!$C$2:$C$1057,B124,'02c_DC_Accel_Bridge'!$D$2:$D$1057,C124)/I124,0)</f>
        <v/>
      </c>
      <c r="O124" s="6">
        <f>IF(I124&gt;0,SUMIFS('02c_DC_Accel_Bridge'!$Z$2:$Z$1057,'02c_DC_Accel_Bridge'!$B$2:$B$1057,A124,'02c_DC_Accel_Bridge'!$C$2:$C$1057,B124,'02c_DC_Accel_Bridge'!$D$2:$D$1057,C124)/I124,0)</f>
        <v/>
      </c>
      <c r="P124" s="3" t="inlineStr">
        <is>
          <t>weighted average: sum(site inference_weight_mw * accelerator_share) / sum(site inference_weight_mw)</t>
        </is>
      </c>
      <c r="Q124" s="3" t="inlineStr">
        <is>
          <t>dc_capacity_x_dc_accelerator_mix</t>
        </is>
      </c>
      <c r="R124" s="3" t="inlineStr">
        <is>
          <t>Edit 02a capacity allocation and 02b site accelerator mix; 03_Calculation reads D:G from this sheet.</t>
        </is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>
        <f>IF(I125&gt;0,SUMIFS('02c_DC_Accel_Bridge'!$R$2:$R$1057,'02c_DC_Accel_Bridge'!$B$2:$B$1057,A125,'02c_DC_Accel_Bridge'!$C$2:$C$1057,B125,'02c_DC_Accel_Bridge'!$D$2:$D$1057,C125)/I125,0.213)</f>
        <v/>
      </c>
      <c r="E125" s="6">
        <f>IF(I125&gt;0,SUMIFS('02c_DC_Accel_Bridge'!$S$2:$S$1057,'02c_DC_Accel_Bridge'!$B$2:$B$1057,A125,'02c_DC_Accel_Bridge'!$C$2:$C$1057,B125,'02c_DC_Accel_Bridge'!$D$2:$D$1057,C125)/I125,0.362)</f>
        <v/>
      </c>
      <c r="F125" s="6">
        <f>IF(I125&gt;0,SUMIFS('02c_DC_Accel_Bridge'!$T$2:$T$1057,'02c_DC_Accel_Bridge'!$B$2:$B$1057,A125,'02c_DC_Accel_Bridge'!$C$2:$C$1057,B125,'02c_DC_Accel_Bridge'!$D$2:$D$1057,C125)/I125,0.425)</f>
        <v/>
      </c>
      <c r="G125" s="6">
        <f>IF(I125&gt;0,SUMIFS('02c_DC_Accel_Bridge'!$AA$2:$AA$1057,'02c_DC_Accel_Bridge'!$B$2:$B$1057,A125,'02c_DC_Accel_Bridge'!$C$2:$C$1057,B125,'02c_DC_Accel_Bridge'!$D$2:$D$1057,C125)/I125,0.0)</f>
        <v/>
      </c>
      <c r="H125" s="6">
        <f>SUM(D125:G125)</f>
        <v/>
      </c>
      <c r="I125" s="28">
        <f>SUMIFS('02c_DC_Accel_Bridge'!$H$2:$H$1057,'02c_DC_Accel_Bridge'!$B$2:$B$1057,A125,'02c_DC_Accel_Bridge'!$C$2:$C$1057,B125,'02c_DC_Accel_Bridge'!$D$2:$D$1057,C125)</f>
        <v/>
      </c>
      <c r="J125" s="6">
        <f>IF(I125&gt;0,SUMIFS('02c_DC_Accel_Bridge'!$U$2:$U$1057,'02c_DC_Accel_Bridge'!$B$2:$B$1057,A125,'02c_DC_Accel_Bridge'!$C$2:$C$1057,B125,'02c_DC_Accel_Bridge'!$D$2:$D$1057,C125)/I125,0)</f>
        <v/>
      </c>
      <c r="K125" s="6">
        <f>IF(I125&gt;0,SUMIFS('02c_DC_Accel_Bridge'!$V$2:$V$1057,'02c_DC_Accel_Bridge'!$B$2:$B$1057,A125,'02c_DC_Accel_Bridge'!$C$2:$C$1057,B125,'02c_DC_Accel_Bridge'!$D$2:$D$1057,C125)/I125,0)</f>
        <v/>
      </c>
      <c r="L125" s="6">
        <f>IF(I125&gt;0,SUMIFS('02c_DC_Accel_Bridge'!$W$2:$W$1057,'02c_DC_Accel_Bridge'!$B$2:$B$1057,A125,'02c_DC_Accel_Bridge'!$C$2:$C$1057,B125,'02c_DC_Accel_Bridge'!$D$2:$D$1057,C125)/I125,0)</f>
        <v/>
      </c>
      <c r="M125" s="6">
        <f>IF(I125&gt;0,SUMIFS('02c_DC_Accel_Bridge'!$X$2:$X$1057,'02c_DC_Accel_Bridge'!$B$2:$B$1057,A125,'02c_DC_Accel_Bridge'!$C$2:$C$1057,B125,'02c_DC_Accel_Bridge'!$D$2:$D$1057,C125)/I125,0)</f>
        <v/>
      </c>
      <c r="N125" s="6">
        <f>IF(I125&gt;0,SUMIFS('02c_DC_Accel_Bridge'!$Y$2:$Y$1057,'02c_DC_Accel_Bridge'!$B$2:$B$1057,A125,'02c_DC_Accel_Bridge'!$C$2:$C$1057,B125,'02c_DC_Accel_Bridge'!$D$2:$D$1057,C125)/I125,0)</f>
        <v/>
      </c>
      <c r="O125" s="6">
        <f>IF(I125&gt;0,SUMIFS('02c_DC_Accel_Bridge'!$Z$2:$Z$1057,'02c_DC_Accel_Bridge'!$B$2:$B$1057,A125,'02c_DC_Accel_Bridge'!$C$2:$C$1057,B125,'02c_DC_Accel_Bridge'!$D$2:$D$1057,C125)/I125,0)</f>
        <v/>
      </c>
      <c r="P125" s="3" t="inlineStr">
        <is>
          <t>weighted average: sum(site inference_weight_mw * accelerator_share) / sum(site inference_weight_mw)</t>
        </is>
      </c>
      <c r="Q125" s="3" t="inlineStr">
        <is>
          <t>dc_capacity_x_dc_accelerator_mix</t>
        </is>
      </c>
      <c r="R125" s="3" t="inlineStr">
        <is>
          <t>Edit 02a capacity allocation and 02b site accelerator mix; 03_Calculation reads D:G from this sheet.</t>
        </is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>
        <f>IF(I126&gt;0,SUMIFS('02c_DC_Accel_Bridge'!$R$2:$R$1057,'02c_DC_Accel_Bridge'!$B$2:$B$1057,A126,'02c_DC_Accel_Bridge'!$C$2:$C$1057,B126,'02c_DC_Accel_Bridge'!$D$2:$D$1057,C126)/I126,0.1)</f>
        <v/>
      </c>
      <c r="E126" s="6">
        <f>IF(I126&gt;0,SUMIFS('02c_DC_Accel_Bridge'!$S$2:$S$1057,'02c_DC_Accel_Bridge'!$B$2:$B$1057,A126,'02c_DC_Accel_Bridge'!$C$2:$C$1057,B126,'02c_DC_Accel_Bridge'!$D$2:$D$1057,C126)/I126,0.35)</f>
        <v/>
      </c>
      <c r="F126" s="6">
        <f>IF(I126&gt;0,SUMIFS('02c_DC_Accel_Bridge'!$T$2:$T$1057,'02c_DC_Accel_Bridge'!$B$2:$B$1057,A126,'02c_DC_Accel_Bridge'!$C$2:$C$1057,B126,'02c_DC_Accel_Bridge'!$D$2:$D$1057,C126)/I126,0.55)</f>
        <v/>
      </c>
      <c r="G126" s="6">
        <f>IF(I126&gt;0,SUMIFS('02c_DC_Accel_Bridge'!$AA$2:$AA$1057,'02c_DC_Accel_Bridge'!$B$2:$B$1057,A126,'02c_DC_Accel_Bridge'!$C$2:$C$1057,B126,'02c_DC_Accel_Bridge'!$D$2:$D$1057,C126)/I126,0.0)</f>
        <v/>
      </c>
      <c r="H126" s="6">
        <f>SUM(D126:G126)</f>
        <v/>
      </c>
      <c r="I126" s="28">
        <f>SUMIFS('02c_DC_Accel_Bridge'!$H$2:$H$1057,'02c_DC_Accel_Bridge'!$B$2:$B$1057,A126,'02c_DC_Accel_Bridge'!$C$2:$C$1057,B126,'02c_DC_Accel_Bridge'!$D$2:$D$1057,C126)</f>
        <v/>
      </c>
      <c r="J126" s="6">
        <f>IF(I126&gt;0,SUMIFS('02c_DC_Accel_Bridge'!$U$2:$U$1057,'02c_DC_Accel_Bridge'!$B$2:$B$1057,A126,'02c_DC_Accel_Bridge'!$C$2:$C$1057,B126,'02c_DC_Accel_Bridge'!$D$2:$D$1057,C126)/I126,0)</f>
        <v/>
      </c>
      <c r="K126" s="6">
        <f>IF(I126&gt;0,SUMIFS('02c_DC_Accel_Bridge'!$V$2:$V$1057,'02c_DC_Accel_Bridge'!$B$2:$B$1057,A126,'02c_DC_Accel_Bridge'!$C$2:$C$1057,B126,'02c_DC_Accel_Bridge'!$D$2:$D$1057,C126)/I126,0)</f>
        <v/>
      </c>
      <c r="L126" s="6">
        <f>IF(I126&gt;0,SUMIFS('02c_DC_Accel_Bridge'!$W$2:$W$1057,'02c_DC_Accel_Bridge'!$B$2:$B$1057,A126,'02c_DC_Accel_Bridge'!$C$2:$C$1057,B126,'02c_DC_Accel_Bridge'!$D$2:$D$1057,C126)/I126,0)</f>
        <v/>
      </c>
      <c r="M126" s="6">
        <f>IF(I126&gt;0,SUMIFS('02c_DC_Accel_Bridge'!$X$2:$X$1057,'02c_DC_Accel_Bridge'!$B$2:$B$1057,A126,'02c_DC_Accel_Bridge'!$C$2:$C$1057,B126,'02c_DC_Accel_Bridge'!$D$2:$D$1057,C126)/I126,0)</f>
        <v/>
      </c>
      <c r="N126" s="6">
        <f>IF(I126&gt;0,SUMIFS('02c_DC_Accel_Bridge'!$Y$2:$Y$1057,'02c_DC_Accel_Bridge'!$B$2:$B$1057,A126,'02c_DC_Accel_Bridge'!$C$2:$C$1057,B126,'02c_DC_Accel_Bridge'!$D$2:$D$1057,C126)/I126,0)</f>
        <v/>
      </c>
      <c r="O126" s="6">
        <f>IF(I126&gt;0,SUMIFS('02c_DC_Accel_Bridge'!$Z$2:$Z$1057,'02c_DC_Accel_Bridge'!$B$2:$B$1057,A126,'02c_DC_Accel_Bridge'!$C$2:$C$1057,B126,'02c_DC_Accel_Bridge'!$D$2:$D$1057,C126)/I126,0)</f>
        <v/>
      </c>
      <c r="P126" s="3" t="inlineStr">
        <is>
          <t>weighted average: sum(site inference_weight_mw * accelerator_share) / sum(site inference_weight_mw)</t>
        </is>
      </c>
      <c r="Q126" s="3" t="inlineStr">
        <is>
          <t>dc_capacity_x_dc_accelerator_mix</t>
        </is>
      </c>
      <c r="R126" s="3" t="inlineStr">
        <is>
          <t>Edit 02a capacity allocation and 02b site accelerator mix; 03_Calculation reads D:G from this sheet.</t>
        </is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>
        <f>IF(I127&gt;0,SUMIFS('02c_DC_Accel_Bridge'!$R$2:$R$1057,'02c_DC_Accel_Bridge'!$B$2:$B$1057,A127,'02c_DC_Accel_Bridge'!$C$2:$C$1057,B127,'02c_DC_Accel_Bridge'!$D$2:$D$1057,C127)/I127,1.0)</f>
        <v/>
      </c>
      <c r="E127" s="6">
        <f>IF(I127&gt;0,SUMIFS('02c_DC_Accel_Bridge'!$S$2:$S$1057,'02c_DC_Accel_Bridge'!$B$2:$B$1057,A127,'02c_DC_Accel_Bridge'!$C$2:$C$1057,B127,'02c_DC_Accel_Bridge'!$D$2:$D$1057,C127)/I127,0.0)</f>
        <v/>
      </c>
      <c r="F127" s="6">
        <f>IF(I127&gt;0,SUMIFS('02c_DC_Accel_Bridge'!$T$2:$T$1057,'02c_DC_Accel_Bridge'!$B$2:$B$1057,A127,'02c_DC_Accel_Bridge'!$C$2:$C$1057,B127,'02c_DC_Accel_Bridge'!$D$2:$D$1057,C127)/I127,0.0)</f>
        <v/>
      </c>
      <c r="G127" s="6">
        <f>IF(I127&gt;0,SUMIFS('02c_DC_Accel_Bridge'!$AA$2:$AA$1057,'02c_DC_Accel_Bridge'!$B$2:$B$1057,A127,'02c_DC_Accel_Bridge'!$C$2:$C$1057,B127,'02c_DC_Accel_Bridge'!$D$2:$D$1057,C127)/I127,0.0)</f>
        <v/>
      </c>
      <c r="H127" s="6">
        <f>SUM(D127:G127)</f>
        <v/>
      </c>
      <c r="I127" s="28">
        <f>SUMIFS('02c_DC_Accel_Bridge'!$H$2:$H$1057,'02c_DC_Accel_Bridge'!$B$2:$B$1057,A127,'02c_DC_Accel_Bridge'!$C$2:$C$1057,B127,'02c_DC_Accel_Bridge'!$D$2:$D$1057,C127)</f>
        <v/>
      </c>
      <c r="J127" s="6">
        <f>IF(I127&gt;0,SUMIFS('02c_DC_Accel_Bridge'!$U$2:$U$1057,'02c_DC_Accel_Bridge'!$B$2:$B$1057,A127,'02c_DC_Accel_Bridge'!$C$2:$C$1057,B127,'02c_DC_Accel_Bridge'!$D$2:$D$1057,C127)/I127,0)</f>
        <v/>
      </c>
      <c r="K127" s="6">
        <f>IF(I127&gt;0,SUMIFS('02c_DC_Accel_Bridge'!$V$2:$V$1057,'02c_DC_Accel_Bridge'!$B$2:$B$1057,A127,'02c_DC_Accel_Bridge'!$C$2:$C$1057,B127,'02c_DC_Accel_Bridge'!$D$2:$D$1057,C127)/I127,0)</f>
        <v/>
      </c>
      <c r="L127" s="6">
        <f>IF(I127&gt;0,SUMIFS('02c_DC_Accel_Bridge'!$W$2:$W$1057,'02c_DC_Accel_Bridge'!$B$2:$B$1057,A127,'02c_DC_Accel_Bridge'!$C$2:$C$1057,B127,'02c_DC_Accel_Bridge'!$D$2:$D$1057,C127)/I127,0)</f>
        <v/>
      </c>
      <c r="M127" s="6">
        <f>IF(I127&gt;0,SUMIFS('02c_DC_Accel_Bridge'!$X$2:$X$1057,'02c_DC_Accel_Bridge'!$B$2:$B$1057,A127,'02c_DC_Accel_Bridge'!$C$2:$C$1057,B127,'02c_DC_Accel_Bridge'!$D$2:$D$1057,C127)/I127,0)</f>
        <v/>
      </c>
      <c r="N127" s="6">
        <f>IF(I127&gt;0,SUMIFS('02c_DC_Accel_Bridge'!$Y$2:$Y$1057,'02c_DC_Accel_Bridge'!$B$2:$B$1057,A127,'02c_DC_Accel_Bridge'!$C$2:$C$1057,B127,'02c_DC_Accel_Bridge'!$D$2:$D$1057,C127)/I127,0)</f>
        <v/>
      </c>
      <c r="O127" s="6">
        <f>IF(I127&gt;0,SUMIFS('02c_DC_Accel_Bridge'!$Z$2:$Z$1057,'02c_DC_Accel_Bridge'!$B$2:$B$1057,A127,'02c_DC_Accel_Bridge'!$C$2:$C$1057,B127,'02c_DC_Accel_Bridge'!$D$2:$D$1057,C127)/I127,0)</f>
        <v/>
      </c>
      <c r="P127" s="3" t="inlineStr">
        <is>
          <t>weighted average: sum(site inference_weight_mw * accelerator_share) / sum(site inference_weight_mw)</t>
        </is>
      </c>
      <c r="Q127" s="3" t="inlineStr">
        <is>
          <t>dc_capacity_x_dc_accelerator_mix</t>
        </is>
      </c>
      <c r="R127" s="3" t="inlineStr">
        <is>
          <t>Edit 02a capacity allocation and 02b site accelerator mix; 03_Calculation reads D:G from this sheet.</t>
        </is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>
        <f>IF(I128&gt;0,SUMIFS('02c_DC_Accel_Bridge'!$R$2:$R$1057,'02c_DC_Accel_Bridge'!$B$2:$B$1057,A128,'02c_DC_Accel_Bridge'!$C$2:$C$1057,B128,'02c_DC_Accel_Bridge'!$D$2:$D$1057,C128)/I128,1.0)</f>
        <v/>
      </c>
      <c r="E128" s="6">
        <f>IF(I128&gt;0,SUMIFS('02c_DC_Accel_Bridge'!$S$2:$S$1057,'02c_DC_Accel_Bridge'!$B$2:$B$1057,A128,'02c_DC_Accel_Bridge'!$C$2:$C$1057,B128,'02c_DC_Accel_Bridge'!$D$2:$D$1057,C128)/I128,0.0)</f>
        <v/>
      </c>
      <c r="F128" s="6">
        <f>IF(I128&gt;0,SUMIFS('02c_DC_Accel_Bridge'!$T$2:$T$1057,'02c_DC_Accel_Bridge'!$B$2:$B$1057,A128,'02c_DC_Accel_Bridge'!$C$2:$C$1057,B128,'02c_DC_Accel_Bridge'!$D$2:$D$1057,C128)/I128,0.0)</f>
        <v/>
      </c>
      <c r="G128" s="6">
        <f>IF(I128&gt;0,SUMIFS('02c_DC_Accel_Bridge'!$AA$2:$AA$1057,'02c_DC_Accel_Bridge'!$B$2:$B$1057,A128,'02c_DC_Accel_Bridge'!$C$2:$C$1057,B128,'02c_DC_Accel_Bridge'!$D$2:$D$1057,C128)/I128,0.0)</f>
        <v/>
      </c>
      <c r="H128" s="6">
        <f>SUM(D128:G128)</f>
        <v/>
      </c>
      <c r="I128" s="28">
        <f>SUMIFS('02c_DC_Accel_Bridge'!$H$2:$H$1057,'02c_DC_Accel_Bridge'!$B$2:$B$1057,A128,'02c_DC_Accel_Bridge'!$C$2:$C$1057,B128,'02c_DC_Accel_Bridge'!$D$2:$D$1057,C128)</f>
        <v/>
      </c>
      <c r="J128" s="6">
        <f>IF(I128&gt;0,SUMIFS('02c_DC_Accel_Bridge'!$U$2:$U$1057,'02c_DC_Accel_Bridge'!$B$2:$B$1057,A128,'02c_DC_Accel_Bridge'!$C$2:$C$1057,B128,'02c_DC_Accel_Bridge'!$D$2:$D$1057,C128)/I128,0)</f>
        <v/>
      </c>
      <c r="K128" s="6">
        <f>IF(I128&gt;0,SUMIFS('02c_DC_Accel_Bridge'!$V$2:$V$1057,'02c_DC_Accel_Bridge'!$B$2:$B$1057,A128,'02c_DC_Accel_Bridge'!$C$2:$C$1057,B128,'02c_DC_Accel_Bridge'!$D$2:$D$1057,C128)/I128,0)</f>
        <v/>
      </c>
      <c r="L128" s="6">
        <f>IF(I128&gt;0,SUMIFS('02c_DC_Accel_Bridge'!$W$2:$W$1057,'02c_DC_Accel_Bridge'!$B$2:$B$1057,A128,'02c_DC_Accel_Bridge'!$C$2:$C$1057,B128,'02c_DC_Accel_Bridge'!$D$2:$D$1057,C128)/I128,0)</f>
        <v/>
      </c>
      <c r="M128" s="6">
        <f>IF(I128&gt;0,SUMIFS('02c_DC_Accel_Bridge'!$X$2:$X$1057,'02c_DC_Accel_Bridge'!$B$2:$B$1057,A128,'02c_DC_Accel_Bridge'!$C$2:$C$1057,B128,'02c_DC_Accel_Bridge'!$D$2:$D$1057,C128)/I128,0)</f>
        <v/>
      </c>
      <c r="N128" s="6">
        <f>IF(I128&gt;0,SUMIFS('02c_DC_Accel_Bridge'!$Y$2:$Y$1057,'02c_DC_Accel_Bridge'!$B$2:$B$1057,A128,'02c_DC_Accel_Bridge'!$C$2:$C$1057,B128,'02c_DC_Accel_Bridge'!$D$2:$D$1057,C128)/I128,0)</f>
        <v/>
      </c>
      <c r="O128" s="6">
        <f>IF(I128&gt;0,SUMIFS('02c_DC_Accel_Bridge'!$Z$2:$Z$1057,'02c_DC_Accel_Bridge'!$B$2:$B$1057,A128,'02c_DC_Accel_Bridge'!$C$2:$C$1057,B128,'02c_DC_Accel_Bridge'!$D$2:$D$1057,C128)/I128,0)</f>
        <v/>
      </c>
      <c r="P128" s="3" t="inlineStr">
        <is>
          <t>weighted average: sum(site inference_weight_mw * accelerator_share) / sum(site inference_weight_mw)</t>
        </is>
      </c>
      <c r="Q128" s="3" t="inlineStr">
        <is>
          <t>dc_capacity_x_dc_accelerator_mix</t>
        </is>
      </c>
      <c r="R128" s="3" t="inlineStr">
        <is>
          <t>Edit 02a capacity allocation and 02b site accelerator mix; 03_Calculation reads D:G from this sheet.</t>
        </is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>
        <f>IF(I129&gt;0,SUMIFS('02c_DC_Accel_Bridge'!$R$2:$R$1057,'02c_DC_Accel_Bridge'!$B$2:$B$1057,A129,'02c_DC_Accel_Bridge'!$C$2:$C$1057,B129,'02c_DC_Accel_Bridge'!$D$2:$D$1057,C129)/I129,1.0)</f>
        <v/>
      </c>
      <c r="E129" s="6">
        <f>IF(I129&gt;0,SUMIFS('02c_DC_Accel_Bridge'!$S$2:$S$1057,'02c_DC_Accel_Bridge'!$B$2:$B$1057,A129,'02c_DC_Accel_Bridge'!$C$2:$C$1057,B129,'02c_DC_Accel_Bridge'!$D$2:$D$1057,C129)/I129,0.0)</f>
        <v/>
      </c>
      <c r="F129" s="6">
        <f>IF(I129&gt;0,SUMIFS('02c_DC_Accel_Bridge'!$T$2:$T$1057,'02c_DC_Accel_Bridge'!$B$2:$B$1057,A129,'02c_DC_Accel_Bridge'!$C$2:$C$1057,B129,'02c_DC_Accel_Bridge'!$D$2:$D$1057,C129)/I129,0.0)</f>
        <v/>
      </c>
      <c r="G129" s="6">
        <f>IF(I129&gt;0,SUMIFS('02c_DC_Accel_Bridge'!$AA$2:$AA$1057,'02c_DC_Accel_Bridge'!$B$2:$B$1057,A129,'02c_DC_Accel_Bridge'!$C$2:$C$1057,B129,'02c_DC_Accel_Bridge'!$D$2:$D$1057,C129)/I129,0.0)</f>
        <v/>
      </c>
      <c r="H129" s="6">
        <f>SUM(D129:G129)</f>
        <v/>
      </c>
      <c r="I129" s="28">
        <f>SUMIFS('02c_DC_Accel_Bridge'!$H$2:$H$1057,'02c_DC_Accel_Bridge'!$B$2:$B$1057,A129,'02c_DC_Accel_Bridge'!$C$2:$C$1057,B129,'02c_DC_Accel_Bridge'!$D$2:$D$1057,C129)</f>
        <v/>
      </c>
      <c r="J129" s="6">
        <f>IF(I129&gt;0,SUMIFS('02c_DC_Accel_Bridge'!$U$2:$U$1057,'02c_DC_Accel_Bridge'!$B$2:$B$1057,A129,'02c_DC_Accel_Bridge'!$C$2:$C$1057,B129,'02c_DC_Accel_Bridge'!$D$2:$D$1057,C129)/I129,0)</f>
        <v/>
      </c>
      <c r="K129" s="6">
        <f>IF(I129&gt;0,SUMIFS('02c_DC_Accel_Bridge'!$V$2:$V$1057,'02c_DC_Accel_Bridge'!$B$2:$B$1057,A129,'02c_DC_Accel_Bridge'!$C$2:$C$1057,B129,'02c_DC_Accel_Bridge'!$D$2:$D$1057,C129)/I129,0)</f>
        <v/>
      </c>
      <c r="L129" s="6">
        <f>IF(I129&gt;0,SUMIFS('02c_DC_Accel_Bridge'!$W$2:$W$1057,'02c_DC_Accel_Bridge'!$B$2:$B$1057,A129,'02c_DC_Accel_Bridge'!$C$2:$C$1057,B129,'02c_DC_Accel_Bridge'!$D$2:$D$1057,C129)/I129,0)</f>
        <v/>
      </c>
      <c r="M129" s="6">
        <f>IF(I129&gt;0,SUMIFS('02c_DC_Accel_Bridge'!$X$2:$X$1057,'02c_DC_Accel_Bridge'!$B$2:$B$1057,A129,'02c_DC_Accel_Bridge'!$C$2:$C$1057,B129,'02c_DC_Accel_Bridge'!$D$2:$D$1057,C129)/I129,0)</f>
        <v/>
      </c>
      <c r="N129" s="6">
        <f>IF(I129&gt;0,SUMIFS('02c_DC_Accel_Bridge'!$Y$2:$Y$1057,'02c_DC_Accel_Bridge'!$B$2:$B$1057,A129,'02c_DC_Accel_Bridge'!$C$2:$C$1057,B129,'02c_DC_Accel_Bridge'!$D$2:$D$1057,C129)/I129,0)</f>
        <v/>
      </c>
      <c r="O129" s="6">
        <f>IF(I129&gt;0,SUMIFS('02c_DC_Accel_Bridge'!$Z$2:$Z$1057,'02c_DC_Accel_Bridge'!$B$2:$B$1057,A129,'02c_DC_Accel_Bridge'!$C$2:$C$1057,B129,'02c_DC_Accel_Bridge'!$D$2:$D$1057,C129)/I129,0)</f>
        <v/>
      </c>
      <c r="P129" s="3" t="inlineStr">
        <is>
          <t>weighted average: sum(site inference_weight_mw * accelerator_share) / sum(site inference_weight_mw)</t>
        </is>
      </c>
      <c r="Q129" s="3" t="inlineStr">
        <is>
          <t>dc_capacity_x_dc_accelerator_mix</t>
        </is>
      </c>
      <c r="R129" s="3" t="inlineStr">
        <is>
          <t>Edit 02a capacity allocation and 02b site accelerator mix; 03_Calculation reads D:G from this sheet.</t>
        </is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>
        <f>IF(I130&gt;0,SUMIFS('02c_DC_Accel_Bridge'!$R$2:$R$1057,'02c_DC_Accel_Bridge'!$B$2:$B$1057,A130,'02c_DC_Accel_Bridge'!$C$2:$C$1057,B130,'02c_DC_Accel_Bridge'!$D$2:$D$1057,C130)/I130,1.0)</f>
        <v/>
      </c>
      <c r="E130" s="6">
        <f>IF(I130&gt;0,SUMIFS('02c_DC_Accel_Bridge'!$S$2:$S$1057,'02c_DC_Accel_Bridge'!$B$2:$B$1057,A130,'02c_DC_Accel_Bridge'!$C$2:$C$1057,B130,'02c_DC_Accel_Bridge'!$D$2:$D$1057,C130)/I130,0.0)</f>
        <v/>
      </c>
      <c r="F130" s="6">
        <f>IF(I130&gt;0,SUMIFS('02c_DC_Accel_Bridge'!$T$2:$T$1057,'02c_DC_Accel_Bridge'!$B$2:$B$1057,A130,'02c_DC_Accel_Bridge'!$C$2:$C$1057,B130,'02c_DC_Accel_Bridge'!$D$2:$D$1057,C130)/I130,0.0)</f>
        <v/>
      </c>
      <c r="G130" s="6">
        <f>IF(I130&gt;0,SUMIFS('02c_DC_Accel_Bridge'!$AA$2:$AA$1057,'02c_DC_Accel_Bridge'!$B$2:$B$1057,A130,'02c_DC_Accel_Bridge'!$C$2:$C$1057,B130,'02c_DC_Accel_Bridge'!$D$2:$D$1057,C130)/I130,0.0)</f>
        <v/>
      </c>
      <c r="H130" s="6">
        <f>SUM(D130:G130)</f>
        <v/>
      </c>
      <c r="I130" s="28">
        <f>SUMIFS('02c_DC_Accel_Bridge'!$H$2:$H$1057,'02c_DC_Accel_Bridge'!$B$2:$B$1057,A130,'02c_DC_Accel_Bridge'!$C$2:$C$1057,B130,'02c_DC_Accel_Bridge'!$D$2:$D$1057,C130)</f>
        <v/>
      </c>
      <c r="J130" s="6">
        <f>IF(I130&gt;0,SUMIFS('02c_DC_Accel_Bridge'!$U$2:$U$1057,'02c_DC_Accel_Bridge'!$B$2:$B$1057,A130,'02c_DC_Accel_Bridge'!$C$2:$C$1057,B130,'02c_DC_Accel_Bridge'!$D$2:$D$1057,C130)/I130,0)</f>
        <v/>
      </c>
      <c r="K130" s="6">
        <f>IF(I130&gt;0,SUMIFS('02c_DC_Accel_Bridge'!$V$2:$V$1057,'02c_DC_Accel_Bridge'!$B$2:$B$1057,A130,'02c_DC_Accel_Bridge'!$C$2:$C$1057,B130,'02c_DC_Accel_Bridge'!$D$2:$D$1057,C130)/I130,0)</f>
        <v/>
      </c>
      <c r="L130" s="6">
        <f>IF(I130&gt;0,SUMIFS('02c_DC_Accel_Bridge'!$W$2:$W$1057,'02c_DC_Accel_Bridge'!$B$2:$B$1057,A130,'02c_DC_Accel_Bridge'!$C$2:$C$1057,B130,'02c_DC_Accel_Bridge'!$D$2:$D$1057,C130)/I130,0)</f>
        <v/>
      </c>
      <c r="M130" s="6">
        <f>IF(I130&gt;0,SUMIFS('02c_DC_Accel_Bridge'!$X$2:$X$1057,'02c_DC_Accel_Bridge'!$B$2:$B$1057,A130,'02c_DC_Accel_Bridge'!$C$2:$C$1057,B130,'02c_DC_Accel_Bridge'!$D$2:$D$1057,C130)/I130,0)</f>
        <v/>
      </c>
      <c r="N130" s="6">
        <f>IF(I130&gt;0,SUMIFS('02c_DC_Accel_Bridge'!$Y$2:$Y$1057,'02c_DC_Accel_Bridge'!$B$2:$B$1057,A130,'02c_DC_Accel_Bridge'!$C$2:$C$1057,B130,'02c_DC_Accel_Bridge'!$D$2:$D$1057,C130)/I130,0)</f>
        <v/>
      </c>
      <c r="O130" s="6">
        <f>IF(I130&gt;0,SUMIFS('02c_DC_Accel_Bridge'!$Z$2:$Z$1057,'02c_DC_Accel_Bridge'!$B$2:$B$1057,A130,'02c_DC_Accel_Bridge'!$C$2:$C$1057,B130,'02c_DC_Accel_Bridge'!$D$2:$D$1057,C130)/I130,0)</f>
        <v/>
      </c>
      <c r="P130" s="3" t="inlineStr">
        <is>
          <t>weighted average: sum(site inference_weight_mw * accelerator_share) / sum(site inference_weight_mw)</t>
        </is>
      </c>
      <c r="Q130" s="3" t="inlineStr">
        <is>
          <t>dc_capacity_x_dc_accelerator_mix</t>
        </is>
      </c>
      <c r="R130" s="3" t="inlineStr">
        <is>
          <t>Edit 02a capacity allocation and 02b site accelerator mix; 03_Calculation reads D:G from this sheet.</t>
        </is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>
        <f>IF(I131&gt;0,SUMIFS('02c_DC_Accel_Bridge'!$R$2:$R$1057,'02c_DC_Accel_Bridge'!$B$2:$B$1057,A131,'02c_DC_Accel_Bridge'!$C$2:$C$1057,B131,'02c_DC_Accel_Bridge'!$D$2:$D$1057,C131)/I131,1.0)</f>
        <v/>
      </c>
      <c r="E131" s="6">
        <f>IF(I131&gt;0,SUMIFS('02c_DC_Accel_Bridge'!$S$2:$S$1057,'02c_DC_Accel_Bridge'!$B$2:$B$1057,A131,'02c_DC_Accel_Bridge'!$C$2:$C$1057,B131,'02c_DC_Accel_Bridge'!$D$2:$D$1057,C131)/I131,0.0)</f>
        <v/>
      </c>
      <c r="F131" s="6">
        <f>IF(I131&gt;0,SUMIFS('02c_DC_Accel_Bridge'!$T$2:$T$1057,'02c_DC_Accel_Bridge'!$B$2:$B$1057,A131,'02c_DC_Accel_Bridge'!$C$2:$C$1057,B131,'02c_DC_Accel_Bridge'!$D$2:$D$1057,C131)/I131,0.0)</f>
        <v/>
      </c>
      <c r="G131" s="6">
        <f>IF(I131&gt;0,SUMIFS('02c_DC_Accel_Bridge'!$AA$2:$AA$1057,'02c_DC_Accel_Bridge'!$B$2:$B$1057,A131,'02c_DC_Accel_Bridge'!$C$2:$C$1057,B131,'02c_DC_Accel_Bridge'!$D$2:$D$1057,C131)/I131,0.0)</f>
        <v/>
      </c>
      <c r="H131" s="6">
        <f>SUM(D131:G131)</f>
        <v/>
      </c>
      <c r="I131" s="28">
        <f>SUMIFS('02c_DC_Accel_Bridge'!$H$2:$H$1057,'02c_DC_Accel_Bridge'!$B$2:$B$1057,A131,'02c_DC_Accel_Bridge'!$C$2:$C$1057,B131,'02c_DC_Accel_Bridge'!$D$2:$D$1057,C131)</f>
        <v/>
      </c>
      <c r="J131" s="6">
        <f>IF(I131&gt;0,SUMIFS('02c_DC_Accel_Bridge'!$U$2:$U$1057,'02c_DC_Accel_Bridge'!$B$2:$B$1057,A131,'02c_DC_Accel_Bridge'!$C$2:$C$1057,B131,'02c_DC_Accel_Bridge'!$D$2:$D$1057,C131)/I131,0)</f>
        <v/>
      </c>
      <c r="K131" s="6">
        <f>IF(I131&gt;0,SUMIFS('02c_DC_Accel_Bridge'!$V$2:$V$1057,'02c_DC_Accel_Bridge'!$B$2:$B$1057,A131,'02c_DC_Accel_Bridge'!$C$2:$C$1057,B131,'02c_DC_Accel_Bridge'!$D$2:$D$1057,C131)/I131,0)</f>
        <v/>
      </c>
      <c r="L131" s="6">
        <f>IF(I131&gt;0,SUMIFS('02c_DC_Accel_Bridge'!$W$2:$W$1057,'02c_DC_Accel_Bridge'!$B$2:$B$1057,A131,'02c_DC_Accel_Bridge'!$C$2:$C$1057,B131,'02c_DC_Accel_Bridge'!$D$2:$D$1057,C131)/I131,0)</f>
        <v/>
      </c>
      <c r="M131" s="6">
        <f>IF(I131&gt;0,SUMIFS('02c_DC_Accel_Bridge'!$X$2:$X$1057,'02c_DC_Accel_Bridge'!$B$2:$B$1057,A131,'02c_DC_Accel_Bridge'!$C$2:$C$1057,B131,'02c_DC_Accel_Bridge'!$D$2:$D$1057,C131)/I131,0)</f>
        <v/>
      </c>
      <c r="N131" s="6">
        <f>IF(I131&gt;0,SUMIFS('02c_DC_Accel_Bridge'!$Y$2:$Y$1057,'02c_DC_Accel_Bridge'!$B$2:$B$1057,A131,'02c_DC_Accel_Bridge'!$C$2:$C$1057,B131,'02c_DC_Accel_Bridge'!$D$2:$D$1057,C131)/I131,0)</f>
        <v/>
      </c>
      <c r="O131" s="6">
        <f>IF(I131&gt;0,SUMIFS('02c_DC_Accel_Bridge'!$Z$2:$Z$1057,'02c_DC_Accel_Bridge'!$B$2:$B$1057,A131,'02c_DC_Accel_Bridge'!$C$2:$C$1057,B131,'02c_DC_Accel_Bridge'!$D$2:$D$1057,C131)/I131,0)</f>
        <v/>
      </c>
      <c r="P131" s="3" t="inlineStr">
        <is>
          <t>weighted average: sum(site inference_weight_mw * accelerator_share) / sum(site inference_weight_mw)</t>
        </is>
      </c>
      <c r="Q131" s="3" t="inlineStr">
        <is>
          <t>dc_capacity_x_dc_accelerator_mix</t>
        </is>
      </c>
      <c r="R131" s="3" t="inlineStr">
        <is>
          <t>Edit 02a capacity allocation and 02b site accelerator mix; 03_Calculation reads D:G from this sheet.</t>
        </is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>
        <f>IF(I132&gt;0,SUMIFS('02c_DC_Accel_Bridge'!$R$2:$R$1057,'02c_DC_Accel_Bridge'!$B$2:$B$1057,A132,'02c_DC_Accel_Bridge'!$C$2:$C$1057,B132,'02c_DC_Accel_Bridge'!$D$2:$D$1057,C132)/I132,0.55)</f>
        <v/>
      </c>
      <c r="E132" s="6">
        <f>IF(I132&gt;0,SUMIFS('02c_DC_Accel_Bridge'!$S$2:$S$1057,'02c_DC_Accel_Bridge'!$B$2:$B$1057,A132,'02c_DC_Accel_Bridge'!$C$2:$C$1057,B132,'02c_DC_Accel_Bridge'!$D$2:$D$1057,C132)/I132,0.4)</f>
        <v/>
      </c>
      <c r="F132" s="6">
        <f>IF(I132&gt;0,SUMIFS('02c_DC_Accel_Bridge'!$T$2:$T$1057,'02c_DC_Accel_Bridge'!$B$2:$B$1057,A132,'02c_DC_Accel_Bridge'!$C$2:$C$1057,B132,'02c_DC_Accel_Bridge'!$D$2:$D$1057,C132)/I132,0.05)</f>
        <v/>
      </c>
      <c r="G132" s="6">
        <f>IF(I132&gt;0,SUMIFS('02c_DC_Accel_Bridge'!$AA$2:$AA$1057,'02c_DC_Accel_Bridge'!$B$2:$B$1057,A132,'02c_DC_Accel_Bridge'!$C$2:$C$1057,B132,'02c_DC_Accel_Bridge'!$D$2:$D$1057,C132)/I132,0.0)</f>
        <v/>
      </c>
      <c r="H132" s="6">
        <f>SUM(D132:G132)</f>
        <v/>
      </c>
      <c r="I132" s="28">
        <f>SUMIFS('02c_DC_Accel_Bridge'!$H$2:$H$1057,'02c_DC_Accel_Bridge'!$B$2:$B$1057,A132,'02c_DC_Accel_Bridge'!$C$2:$C$1057,B132,'02c_DC_Accel_Bridge'!$D$2:$D$1057,C132)</f>
        <v/>
      </c>
      <c r="J132" s="6">
        <f>IF(I132&gt;0,SUMIFS('02c_DC_Accel_Bridge'!$U$2:$U$1057,'02c_DC_Accel_Bridge'!$B$2:$B$1057,A132,'02c_DC_Accel_Bridge'!$C$2:$C$1057,B132,'02c_DC_Accel_Bridge'!$D$2:$D$1057,C132)/I132,0)</f>
        <v/>
      </c>
      <c r="K132" s="6">
        <f>IF(I132&gt;0,SUMIFS('02c_DC_Accel_Bridge'!$V$2:$V$1057,'02c_DC_Accel_Bridge'!$B$2:$B$1057,A132,'02c_DC_Accel_Bridge'!$C$2:$C$1057,B132,'02c_DC_Accel_Bridge'!$D$2:$D$1057,C132)/I132,0)</f>
        <v/>
      </c>
      <c r="L132" s="6">
        <f>IF(I132&gt;0,SUMIFS('02c_DC_Accel_Bridge'!$W$2:$W$1057,'02c_DC_Accel_Bridge'!$B$2:$B$1057,A132,'02c_DC_Accel_Bridge'!$C$2:$C$1057,B132,'02c_DC_Accel_Bridge'!$D$2:$D$1057,C132)/I132,0)</f>
        <v/>
      </c>
      <c r="M132" s="6">
        <f>IF(I132&gt;0,SUMIFS('02c_DC_Accel_Bridge'!$X$2:$X$1057,'02c_DC_Accel_Bridge'!$B$2:$B$1057,A132,'02c_DC_Accel_Bridge'!$C$2:$C$1057,B132,'02c_DC_Accel_Bridge'!$D$2:$D$1057,C132)/I132,0)</f>
        <v/>
      </c>
      <c r="N132" s="6">
        <f>IF(I132&gt;0,SUMIFS('02c_DC_Accel_Bridge'!$Y$2:$Y$1057,'02c_DC_Accel_Bridge'!$B$2:$B$1057,A132,'02c_DC_Accel_Bridge'!$C$2:$C$1057,B132,'02c_DC_Accel_Bridge'!$D$2:$D$1057,C132)/I132,0)</f>
        <v/>
      </c>
      <c r="O132" s="6">
        <f>IF(I132&gt;0,SUMIFS('02c_DC_Accel_Bridge'!$Z$2:$Z$1057,'02c_DC_Accel_Bridge'!$B$2:$B$1057,A132,'02c_DC_Accel_Bridge'!$C$2:$C$1057,B132,'02c_DC_Accel_Bridge'!$D$2:$D$1057,C132)/I132,0)</f>
        <v/>
      </c>
      <c r="P132" s="3" t="inlineStr">
        <is>
          <t>weighted average: sum(site inference_weight_mw * accelerator_share) / sum(site inference_weight_mw)</t>
        </is>
      </c>
      <c r="Q132" s="3" t="inlineStr">
        <is>
          <t>dc_capacity_x_dc_accelerator_mix</t>
        </is>
      </c>
      <c r="R132" s="3" t="inlineStr">
        <is>
          <t>Edit 02a capacity allocation and 02b site accelerator mix; 03_Calculation reads D:G from this sheet.</t>
        </is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>
        <f>IF(I133&gt;0,SUMIFS('02c_DC_Accel_Bridge'!$R$2:$R$1057,'02c_DC_Accel_Bridge'!$B$2:$B$1057,A133,'02c_DC_Accel_Bridge'!$C$2:$C$1057,B133,'02c_DC_Accel_Bridge'!$D$2:$D$1057,C133)/I133,0.438)</f>
        <v/>
      </c>
      <c r="E133" s="6">
        <f>IF(I133&gt;0,SUMIFS('02c_DC_Accel_Bridge'!$S$2:$S$1057,'02c_DC_Accel_Bridge'!$B$2:$B$1057,A133,'02c_DC_Accel_Bridge'!$C$2:$C$1057,B133,'02c_DC_Accel_Bridge'!$D$2:$D$1057,C133)/I133,0.388)</f>
        <v/>
      </c>
      <c r="F133" s="6">
        <f>IF(I133&gt;0,SUMIFS('02c_DC_Accel_Bridge'!$T$2:$T$1057,'02c_DC_Accel_Bridge'!$B$2:$B$1057,A133,'02c_DC_Accel_Bridge'!$C$2:$C$1057,B133,'02c_DC_Accel_Bridge'!$D$2:$D$1057,C133)/I133,0.174)</f>
        <v/>
      </c>
      <c r="G133" s="6">
        <f>IF(I133&gt;0,SUMIFS('02c_DC_Accel_Bridge'!$AA$2:$AA$1057,'02c_DC_Accel_Bridge'!$B$2:$B$1057,A133,'02c_DC_Accel_Bridge'!$C$2:$C$1057,B133,'02c_DC_Accel_Bridge'!$D$2:$D$1057,C133)/I133,0.0)</f>
        <v/>
      </c>
      <c r="H133" s="6">
        <f>SUM(D133:G133)</f>
        <v/>
      </c>
      <c r="I133" s="28">
        <f>SUMIFS('02c_DC_Accel_Bridge'!$H$2:$H$1057,'02c_DC_Accel_Bridge'!$B$2:$B$1057,A133,'02c_DC_Accel_Bridge'!$C$2:$C$1057,B133,'02c_DC_Accel_Bridge'!$D$2:$D$1057,C133)</f>
        <v/>
      </c>
      <c r="J133" s="6">
        <f>IF(I133&gt;0,SUMIFS('02c_DC_Accel_Bridge'!$U$2:$U$1057,'02c_DC_Accel_Bridge'!$B$2:$B$1057,A133,'02c_DC_Accel_Bridge'!$C$2:$C$1057,B133,'02c_DC_Accel_Bridge'!$D$2:$D$1057,C133)/I133,0)</f>
        <v/>
      </c>
      <c r="K133" s="6">
        <f>IF(I133&gt;0,SUMIFS('02c_DC_Accel_Bridge'!$V$2:$V$1057,'02c_DC_Accel_Bridge'!$B$2:$B$1057,A133,'02c_DC_Accel_Bridge'!$C$2:$C$1057,B133,'02c_DC_Accel_Bridge'!$D$2:$D$1057,C133)/I133,0)</f>
        <v/>
      </c>
      <c r="L133" s="6">
        <f>IF(I133&gt;0,SUMIFS('02c_DC_Accel_Bridge'!$W$2:$W$1057,'02c_DC_Accel_Bridge'!$B$2:$B$1057,A133,'02c_DC_Accel_Bridge'!$C$2:$C$1057,B133,'02c_DC_Accel_Bridge'!$D$2:$D$1057,C133)/I133,0)</f>
        <v/>
      </c>
      <c r="M133" s="6">
        <f>IF(I133&gt;0,SUMIFS('02c_DC_Accel_Bridge'!$X$2:$X$1057,'02c_DC_Accel_Bridge'!$B$2:$B$1057,A133,'02c_DC_Accel_Bridge'!$C$2:$C$1057,B133,'02c_DC_Accel_Bridge'!$D$2:$D$1057,C133)/I133,0)</f>
        <v/>
      </c>
      <c r="N133" s="6">
        <f>IF(I133&gt;0,SUMIFS('02c_DC_Accel_Bridge'!$Y$2:$Y$1057,'02c_DC_Accel_Bridge'!$B$2:$B$1057,A133,'02c_DC_Accel_Bridge'!$C$2:$C$1057,B133,'02c_DC_Accel_Bridge'!$D$2:$D$1057,C133)/I133,0)</f>
        <v/>
      </c>
      <c r="O133" s="6">
        <f>IF(I133&gt;0,SUMIFS('02c_DC_Accel_Bridge'!$Z$2:$Z$1057,'02c_DC_Accel_Bridge'!$B$2:$B$1057,A133,'02c_DC_Accel_Bridge'!$C$2:$C$1057,B133,'02c_DC_Accel_Bridge'!$D$2:$D$1057,C133)/I133,0)</f>
        <v/>
      </c>
      <c r="P133" s="3" t="inlineStr">
        <is>
          <t>weighted average: sum(site inference_weight_mw * accelerator_share) / sum(site inference_weight_mw)</t>
        </is>
      </c>
      <c r="Q133" s="3" t="inlineStr">
        <is>
          <t>dc_capacity_x_dc_accelerator_mix</t>
        </is>
      </c>
      <c r="R133" s="3" t="inlineStr">
        <is>
          <t>Edit 02a capacity allocation and 02b site accelerator mix; 03_Calculation reads D:G from this sheet.</t>
        </is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>
        <f>IF(I134&gt;0,SUMIFS('02c_DC_Accel_Bridge'!$R$2:$R$1057,'02c_DC_Accel_Bridge'!$B$2:$B$1057,A134,'02c_DC_Accel_Bridge'!$C$2:$C$1057,B134,'02c_DC_Accel_Bridge'!$D$2:$D$1057,C134)/I134,0.325)</f>
        <v/>
      </c>
      <c r="E134" s="6">
        <f>IF(I134&gt;0,SUMIFS('02c_DC_Accel_Bridge'!$S$2:$S$1057,'02c_DC_Accel_Bridge'!$B$2:$B$1057,A134,'02c_DC_Accel_Bridge'!$C$2:$C$1057,B134,'02c_DC_Accel_Bridge'!$D$2:$D$1057,C134)/I134,0.375)</f>
        <v/>
      </c>
      <c r="F134" s="6">
        <f>IF(I134&gt;0,SUMIFS('02c_DC_Accel_Bridge'!$T$2:$T$1057,'02c_DC_Accel_Bridge'!$B$2:$B$1057,A134,'02c_DC_Accel_Bridge'!$C$2:$C$1057,B134,'02c_DC_Accel_Bridge'!$D$2:$D$1057,C134)/I134,0.3)</f>
        <v/>
      </c>
      <c r="G134" s="6">
        <f>IF(I134&gt;0,SUMIFS('02c_DC_Accel_Bridge'!$AA$2:$AA$1057,'02c_DC_Accel_Bridge'!$B$2:$B$1057,A134,'02c_DC_Accel_Bridge'!$C$2:$C$1057,B134,'02c_DC_Accel_Bridge'!$D$2:$D$1057,C134)/I134,0.0)</f>
        <v/>
      </c>
      <c r="H134" s="6">
        <f>SUM(D134:G134)</f>
        <v/>
      </c>
      <c r="I134" s="28">
        <f>SUMIFS('02c_DC_Accel_Bridge'!$H$2:$H$1057,'02c_DC_Accel_Bridge'!$B$2:$B$1057,A134,'02c_DC_Accel_Bridge'!$C$2:$C$1057,B134,'02c_DC_Accel_Bridge'!$D$2:$D$1057,C134)</f>
        <v/>
      </c>
      <c r="J134" s="6">
        <f>IF(I134&gt;0,SUMIFS('02c_DC_Accel_Bridge'!$U$2:$U$1057,'02c_DC_Accel_Bridge'!$B$2:$B$1057,A134,'02c_DC_Accel_Bridge'!$C$2:$C$1057,B134,'02c_DC_Accel_Bridge'!$D$2:$D$1057,C134)/I134,0)</f>
        <v/>
      </c>
      <c r="K134" s="6">
        <f>IF(I134&gt;0,SUMIFS('02c_DC_Accel_Bridge'!$V$2:$V$1057,'02c_DC_Accel_Bridge'!$B$2:$B$1057,A134,'02c_DC_Accel_Bridge'!$C$2:$C$1057,B134,'02c_DC_Accel_Bridge'!$D$2:$D$1057,C134)/I134,0)</f>
        <v/>
      </c>
      <c r="L134" s="6">
        <f>IF(I134&gt;0,SUMIFS('02c_DC_Accel_Bridge'!$W$2:$W$1057,'02c_DC_Accel_Bridge'!$B$2:$B$1057,A134,'02c_DC_Accel_Bridge'!$C$2:$C$1057,B134,'02c_DC_Accel_Bridge'!$D$2:$D$1057,C134)/I134,0)</f>
        <v/>
      </c>
      <c r="M134" s="6">
        <f>IF(I134&gt;0,SUMIFS('02c_DC_Accel_Bridge'!$X$2:$X$1057,'02c_DC_Accel_Bridge'!$B$2:$B$1057,A134,'02c_DC_Accel_Bridge'!$C$2:$C$1057,B134,'02c_DC_Accel_Bridge'!$D$2:$D$1057,C134)/I134,0)</f>
        <v/>
      </c>
      <c r="N134" s="6">
        <f>IF(I134&gt;0,SUMIFS('02c_DC_Accel_Bridge'!$Y$2:$Y$1057,'02c_DC_Accel_Bridge'!$B$2:$B$1057,A134,'02c_DC_Accel_Bridge'!$C$2:$C$1057,B134,'02c_DC_Accel_Bridge'!$D$2:$D$1057,C134)/I134,0)</f>
        <v/>
      </c>
      <c r="O134" s="6">
        <f>IF(I134&gt;0,SUMIFS('02c_DC_Accel_Bridge'!$Z$2:$Z$1057,'02c_DC_Accel_Bridge'!$B$2:$B$1057,A134,'02c_DC_Accel_Bridge'!$C$2:$C$1057,B134,'02c_DC_Accel_Bridge'!$D$2:$D$1057,C134)/I134,0)</f>
        <v/>
      </c>
      <c r="P134" s="3" t="inlineStr">
        <is>
          <t>weighted average: sum(site inference_weight_mw * accelerator_share) / sum(site inference_weight_mw)</t>
        </is>
      </c>
      <c r="Q134" s="3" t="inlineStr">
        <is>
          <t>dc_capacity_x_dc_accelerator_mix</t>
        </is>
      </c>
      <c r="R134" s="3" t="inlineStr">
        <is>
          <t>Edit 02a capacity allocation and 02b site accelerator mix; 03_Calculation reads D:G from this sheet.</t>
        </is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>
        <f>IF(I135&gt;0,SUMIFS('02c_DC_Accel_Bridge'!$R$2:$R$1057,'02c_DC_Accel_Bridge'!$B$2:$B$1057,A135,'02c_DC_Accel_Bridge'!$C$2:$C$1057,B135,'02c_DC_Accel_Bridge'!$D$2:$D$1057,C135)/I135,0.213)</f>
        <v/>
      </c>
      <c r="E135" s="6">
        <f>IF(I135&gt;0,SUMIFS('02c_DC_Accel_Bridge'!$S$2:$S$1057,'02c_DC_Accel_Bridge'!$B$2:$B$1057,A135,'02c_DC_Accel_Bridge'!$C$2:$C$1057,B135,'02c_DC_Accel_Bridge'!$D$2:$D$1057,C135)/I135,0.362)</f>
        <v/>
      </c>
      <c r="F135" s="6">
        <f>IF(I135&gt;0,SUMIFS('02c_DC_Accel_Bridge'!$T$2:$T$1057,'02c_DC_Accel_Bridge'!$B$2:$B$1057,A135,'02c_DC_Accel_Bridge'!$C$2:$C$1057,B135,'02c_DC_Accel_Bridge'!$D$2:$D$1057,C135)/I135,0.425)</f>
        <v/>
      </c>
      <c r="G135" s="6">
        <f>IF(I135&gt;0,SUMIFS('02c_DC_Accel_Bridge'!$AA$2:$AA$1057,'02c_DC_Accel_Bridge'!$B$2:$B$1057,A135,'02c_DC_Accel_Bridge'!$C$2:$C$1057,B135,'02c_DC_Accel_Bridge'!$D$2:$D$1057,C135)/I135,0.0)</f>
        <v/>
      </c>
      <c r="H135" s="6">
        <f>SUM(D135:G135)</f>
        <v/>
      </c>
      <c r="I135" s="28">
        <f>SUMIFS('02c_DC_Accel_Bridge'!$H$2:$H$1057,'02c_DC_Accel_Bridge'!$B$2:$B$1057,A135,'02c_DC_Accel_Bridge'!$C$2:$C$1057,B135,'02c_DC_Accel_Bridge'!$D$2:$D$1057,C135)</f>
        <v/>
      </c>
      <c r="J135" s="6">
        <f>IF(I135&gt;0,SUMIFS('02c_DC_Accel_Bridge'!$U$2:$U$1057,'02c_DC_Accel_Bridge'!$B$2:$B$1057,A135,'02c_DC_Accel_Bridge'!$C$2:$C$1057,B135,'02c_DC_Accel_Bridge'!$D$2:$D$1057,C135)/I135,0)</f>
        <v/>
      </c>
      <c r="K135" s="6">
        <f>IF(I135&gt;0,SUMIFS('02c_DC_Accel_Bridge'!$V$2:$V$1057,'02c_DC_Accel_Bridge'!$B$2:$B$1057,A135,'02c_DC_Accel_Bridge'!$C$2:$C$1057,B135,'02c_DC_Accel_Bridge'!$D$2:$D$1057,C135)/I135,0)</f>
        <v/>
      </c>
      <c r="L135" s="6">
        <f>IF(I135&gt;0,SUMIFS('02c_DC_Accel_Bridge'!$W$2:$W$1057,'02c_DC_Accel_Bridge'!$B$2:$B$1057,A135,'02c_DC_Accel_Bridge'!$C$2:$C$1057,B135,'02c_DC_Accel_Bridge'!$D$2:$D$1057,C135)/I135,0)</f>
        <v/>
      </c>
      <c r="M135" s="6">
        <f>IF(I135&gt;0,SUMIFS('02c_DC_Accel_Bridge'!$X$2:$X$1057,'02c_DC_Accel_Bridge'!$B$2:$B$1057,A135,'02c_DC_Accel_Bridge'!$C$2:$C$1057,B135,'02c_DC_Accel_Bridge'!$D$2:$D$1057,C135)/I135,0)</f>
        <v/>
      </c>
      <c r="N135" s="6">
        <f>IF(I135&gt;0,SUMIFS('02c_DC_Accel_Bridge'!$Y$2:$Y$1057,'02c_DC_Accel_Bridge'!$B$2:$B$1057,A135,'02c_DC_Accel_Bridge'!$C$2:$C$1057,B135,'02c_DC_Accel_Bridge'!$D$2:$D$1057,C135)/I135,0)</f>
        <v/>
      </c>
      <c r="O135" s="6">
        <f>IF(I135&gt;0,SUMIFS('02c_DC_Accel_Bridge'!$Z$2:$Z$1057,'02c_DC_Accel_Bridge'!$B$2:$B$1057,A135,'02c_DC_Accel_Bridge'!$C$2:$C$1057,B135,'02c_DC_Accel_Bridge'!$D$2:$D$1057,C135)/I135,0)</f>
        <v/>
      </c>
      <c r="P135" s="3" t="inlineStr">
        <is>
          <t>weighted average: sum(site inference_weight_mw * accelerator_share) / sum(site inference_weight_mw)</t>
        </is>
      </c>
      <c r="Q135" s="3" t="inlineStr">
        <is>
          <t>dc_capacity_x_dc_accelerator_mix</t>
        </is>
      </c>
      <c r="R135" s="3" t="inlineStr">
        <is>
          <t>Edit 02a capacity allocation and 02b site accelerator mix; 03_Calculation reads D:G from this sheet.</t>
        </is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>
        <f>IF(I136&gt;0,SUMIFS('02c_DC_Accel_Bridge'!$R$2:$R$1057,'02c_DC_Accel_Bridge'!$B$2:$B$1057,A136,'02c_DC_Accel_Bridge'!$C$2:$C$1057,B136,'02c_DC_Accel_Bridge'!$D$2:$D$1057,C136)/I136,0.1)</f>
        <v/>
      </c>
      <c r="E136" s="6">
        <f>IF(I136&gt;0,SUMIFS('02c_DC_Accel_Bridge'!$S$2:$S$1057,'02c_DC_Accel_Bridge'!$B$2:$B$1057,A136,'02c_DC_Accel_Bridge'!$C$2:$C$1057,B136,'02c_DC_Accel_Bridge'!$D$2:$D$1057,C136)/I136,0.35)</f>
        <v/>
      </c>
      <c r="F136" s="6">
        <f>IF(I136&gt;0,SUMIFS('02c_DC_Accel_Bridge'!$T$2:$T$1057,'02c_DC_Accel_Bridge'!$B$2:$B$1057,A136,'02c_DC_Accel_Bridge'!$C$2:$C$1057,B136,'02c_DC_Accel_Bridge'!$D$2:$D$1057,C136)/I136,0.55)</f>
        <v/>
      </c>
      <c r="G136" s="6">
        <f>IF(I136&gt;0,SUMIFS('02c_DC_Accel_Bridge'!$AA$2:$AA$1057,'02c_DC_Accel_Bridge'!$B$2:$B$1057,A136,'02c_DC_Accel_Bridge'!$C$2:$C$1057,B136,'02c_DC_Accel_Bridge'!$D$2:$D$1057,C136)/I136,0.0)</f>
        <v/>
      </c>
      <c r="H136" s="6">
        <f>SUM(D136:G136)</f>
        <v/>
      </c>
      <c r="I136" s="28">
        <f>SUMIFS('02c_DC_Accel_Bridge'!$H$2:$H$1057,'02c_DC_Accel_Bridge'!$B$2:$B$1057,A136,'02c_DC_Accel_Bridge'!$C$2:$C$1057,B136,'02c_DC_Accel_Bridge'!$D$2:$D$1057,C136)</f>
        <v/>
      </c>
      <c r="J136" s="6">
        <f>IF(I136&gt;0,SUMIFS('02c_DC_Accel_Bridge'!$U$2:$U$1057,'02c_DC_Accel_Bridge'!$B$2:$B$1057,A136,'02c_DC_Accel_Bridge'!$C$2:$C$1057,B136,'02c_DC_Accel_Bridge'!$D$2:$D$1057,C136)/I136,0)</f>
        <v/>
      </c>
      <c r="K136" s="6">
        <f>IF(I136&gt;0,SUMIFS('02c_DC_Accel_Bridge'!$V$2:$V$1057,'02c_DC_Accel_Bridge'!$B$2:$B$1057,A136,'02c_DC_Accel_Bridge'!$C$2:$C$1057,B136,'02c_DC_Accel_Bridge'!$D$2:$D$1057,C136)/I136,0)</f>
        <v/>
      </c>
      <c r="L136" s="6">
        <f>IF(I136&gt;0,SUMIFS('02c_DC_Accel_Bridge'!$W$2:$W$1057,'02c_DC_Accel_Bridge'!$B$2:$B$1057,A136,'02c_DC_Accel_Bridge'!$C$2:$C$1057,B136,'02c_DC_Accel_Bridge'!$D$2:$D$1057,C136)/I136,0)</f>
        <v/>
      </c>
      <c r="M136" s="6">
        <f>IF(I136&gt;0,SUMIFS('02c_DC_Accel_Bridge'!$X$2:$X$1057,'02c_DC_Accel_Bridge'!$B$2:$B$1057,A136,'02c_DC_Accel_Bridge'!$C$2:$C$1057,B136,'02c_DC_Accel_Bridge'!$D$2:$D$1057,C136)/I136,0)</f>
        <v/>
      </c>
      <c r="N136" s="6">
        <f>IF(I136&gt;0,SUMIFS('02c_DC_Accel_Bridge'!$Y$2:$Y$1057,'02c_DC_Accel_Bridge'!$B$2:$B$1057,A136,'02c_DC_Accel_Bridge'!$C$2:$C$1057,B136,'02c_DC_Accel_Bridge'!$D$2:$D$1057,C136)/I136,0)</f>
        <v/>
      </c>
      <c r="O136" s="6">
        <f>IF(I136&gt;0,SUMIFS('02c_DC_Accel_Bridge'!$Z$2:$Z$1057,'02c_DC_Accel_Bridge'!$B$2:$B$1057,A136,'02c_DC_Accel_Bridge'!$C$2:$C$1057,B136,'02c_DC_Accel_Bridge'!$D$2:$D$1057,C136)/I136,0)</f>
        <v/>
      </c>
      <c r="P136" s="3" t="inlineStr">
        <is>
          <t>weighted average: sum(site inference_weight_mw * accelerator_share) / sum(site inference_weight_mw)</t>
        </is>
      </c>
      <c r="Q136" s="3" t="inlineStr">
        <is>
          <t>dc_capacity_x_dc_accelerator_mix</t>
        </is>
      </c>
      <c r="R136" s="3" t="inlineStr">
        <is>
          <t>Edit 02a capacity allocation and 02b site accelerator mix; 03_Calculation reads D:G from this sheet.</t>
        </is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>
        <f>IF(I137&gt;0,SUMIFS('02c_DC_Accel_Bridge'!$R$2:$R$1057,'02c_DC_Accel_Bridge'!$B$2:$B$1057,A137,'02c_DC_Accel_Bridge'!$C$2:$C$1057,B137,'02c_DC_Accel_Bridge'!$D$2:$D$1057,C137)/I137,0.079463)</f>
        <v/>
      </c>
      <c r="E137" s="6">
        <f>IF(I137&gt;0,SUMIFS('02c_DC_Accel_Bridge'!$S$2:$S$1057,'02c_DC_Accel_Bridge'!$B$2:$B$1057,A137,'02c_DC_Accel_Bridge'!$C$2:$C$1057,B137,'02c_DC_Accel_Bridge'!$D$2:$D$1057,C137)/I137,0.920537)</f>
        <v/>
      </c>
      <c r="F137" s="6">
        <f>IF(I137&gt;0,SUMIFS('02c_DC_Accel_Bridge'!$T$2:$T$1057,'02c_DC_Accel_Bridge'!$B$2:$B$1057,A137,'02c_DC_Accel_Bridge'!$C$2:$C$1057,B137,'02c_DC_Accel_Bridge'!$D$2:$D$1057,C137)/I137,0.0)</f>
        <v/>
      </c>
      <c r="G137" s="6">
        <f>IF(I137&gt;0,SUMIFS('02c_DC_Accel_Bridge'!$AA$2:$AA$1057,'02c_DC_Accel_Bridge'!$B$2:$B$1057,A137,'02c_DC_Accel_Bridge'!$C$2:$C$1057,B137,'02c_DC_Accel_Bridge'!$D$2:$D$1057,C137)/I137,0.0)</f>
        <v/>
      </c>
      <c r="H137" s="6">
        <f>SUM(D137:G137)</f>
        <v/>
      </c>
      <c r="I137" s="28">
        <f>SUMIFS('02c_DC_Accel_Bridge'!$H$2:$H$1057,'02c_DC_Accel_Bridge'!$B$2:$B$1057,A137,'02c_DC_Accel_Bridge'!$C$2:$C$1057,B137,'02c_DC_Accel_Bridge'!$D$2:$D$1057,C137)</f>
        <v/>
      </c>
      <c r="J137" s="6">
        <f>IF(I137&gt;0,SUMIFS('02c_DC_Accel_Bridge'!$U$2:$U$1057,'02c_DC_Accel_Bridge'!$B$2:$B$1057,A137,'02c_DC_Accel_Bridge'!$C$2:$C$1057,B137,'02c_DC_Accel_Bridge'!$D$2:$D$1057,C137)/I137,0)</f>
        <v/>
      </c>
      <c r="K137" s="6">
        <f>IF(I137&gt;0,SUMIFS('02c_DC_Accel_Bridge'!$V$2:$V$1057,'02c_DC_Accel_Bridge'!$B$2:$B$1057,A137,'02c_DC_Accel_Bridge'!$C$2:$C$1057,B137,'02c_DC_Accel_Bridge'!$D$2:$D$1057,C137)/I137,0)</f>
        <v/>
      </c>
      <c r="L137" s="6">
        <f>IF(I137&gt;0,SUMIFS('02c_DC_Accel_Bridge'!$W$2:$W$1057,'02c_DC_Accel_Bridge'!$B$2:$B$1057,A137,'02c_DC_Accel_Bridge'!$C$2:$C$1057,B137,'02c_DC_Accel_Bridge'!$D$2:$D$1057,C137)/I137,0)</f>
        <v/>
      </c>
      <c r="M137" s="6">
        <f>IF(I137&gt;0,SUMIFS('02c_DC_Accel_Bridge'!$X$2:$X$1057,'02c_DC_Accel_Bridge'!$B$2:$B$1057,A137,'02c_DC_Accel_Bridge'!$C$2:$C$1057,B137,'02c_DC_Accel_Bridge'!$D$2:$D$1057,C137)/I137,0)</f>
        <v/>
      </c>
      <c r="N137" s="6">
        <f>IF(I137&gt;0,SUMIFS('02c_DC_Accel_Bridge'!$Y$2:$Y$1057,'02c_DC_Accel_Bridge'!$B$2:$B$1057,A137,'02c_DC_Accel_Bridge'!$C$2:$C$1057,B137,'02c_DC_Accel_Bridge'!$D$2:$D$1057,C137)/I137,0)</f>
        <v/>
      </c>
      <c r="O137" s="6">
        <f>IF(I137&gt;0,SUMIFS('02c_DC_Accel_Bridge'!$Z$2:$Z$1057,'02c_DC_Accel_Bridge'!$B$2:$B$1057,A137,'02c_DC_Accel_Bridge'!$C$2:$C$1057,B137,'02c_DC_Accel_Bridge'!$D$2:$D$1057,C137)/I137,0)</f>
        <v/>
      </c>
      <c r="P137" s="3" t="inlineStr">
        <is>
          <t>weighted average: sum(site inference_weight_mw * accelerator_share) / sum(site inference_weight_mw)</t>
        </is>
      </c>
      <c r="Q137" s="3" t="inlineStr">
        <is>
          <t>dc_capacity_x_dc_accelerator_mix</t>
        </is>
      </c>
      <c r="R137" s="3" t="inlineStr">
        <is>
          <t>Edit 02a capacity allocation and 02b site accelerator mix; 03_Calculation reads D:G from this sheet.</t>
        </is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>
        <f>IF(I138&gt;0,SUMIFS('02c_DC_Accel_Bridge'!$R$2:$R$1057,'02c_DC_Accel_Bridge'!$B$2:$B$1057,A138,'02c_DC_Accel_Bridge'!$C$2:$C$1057,B138,'02c_DC_Accel_Bridge'!$D$2:$D$1057,C138)/I138,0.033529)</f>
        <v/>
      </c>
      <c r="E138" s="6">
        <f>IF(I138&gt;0,SUMIFS('02c_DC_Accel_Bridge'!$S$2:$S$1057,'02c_DC_Accel_Bridge'!$B$2:$B$1057,A138,'02c_DC_Accel_Bridge'!$C$2:$C$1057,B138,'02c_DC_Accel_Bridge'!$D$2:$D$1057,C138)/I138,0.520995)</f>
        <v/>
      </c>
      <c r="F138" s="6">
        <f>IF(I138&gt;0,SUMIFS('02c_DC_Accel_Bridge'!$T$2:$T$1057,'02c_DC_Accel_Bridge'!$B$2:$B$1057,A138,'02c_DC_Accel_Bridge'!$C$2:$C$1057,B138,'02c_DC_Accel_Bridge'!$D$2:$D$1057,C138)/I138,0.0)</f>
        <v/>
      </c>
      <c r="G138" s="6">
        <f>IF(I138&gt;0,SUMIFS('02c_DC_Accel_Bridge'!$AA$2:$AA$1057,'02c_DC_Accel_Bridge'!$B$2:$B$1057,A138,'02c_DC_Accel_Bridge'!$C$2:$C$1057,B138,'02c_DC_Accel_Bridge'!$D$2:$D$1057,C138)/I138,0.445476)</f>
        <v/>
      </c>
      <c r="H138" s="6">
        <f>SUM(D138:G138)</f>
        <v/>
      </c>
      <c r="I138" s="28">
        <f>SUMIFS('02c_DC_Accel_Bridge'!$H$2:$H$1057,'02c_DC_Accel_Bridge'!$B$2:$B$1057,A138,'02c_DC_Accel_Bridge'!$C$2:$C$1057,B138,'02c_DC_Accel_Bridge'!$D$2:$D$1057,C138)</f>
        <v/>
      </c>
      <c r="J138" s="6">
        <f>IF(I138&gt;0,SUMIFS('02c_DC_Accel_Bridge'!$U$2:$U$1057,'02c_DC_Accel_Bridge'!$B$2:$B$1057,A138,'02c_DC_Accel_Bridge'!$C$2:$C$1057,B138,'02c_DC_Accel_Bridge'!$D$2:$D$1057,C138)/I138,0)</f>
        <v/>
      </c>
      <c r="K138" s="6">
        <f>IF(I138&gt;0,SUMIFS('02c_DC_Accel_Bridge'!$V$2:$V$1057,'02c_DC_Accel_Bridge'!$B$2:$B$1057,A138,'02c_DC_Accel_Bridge'!$C$2:$C$1057,B138,'02c_DC_Accel_Bridge'!$D$2:$D$1057,C138)/I138,0)</f>
        <v/>
      </c>
      <c r="L138" s="6">
        <f>IF(I138&gt;0,SUMIFS('02c_DC_Accel_Bridge'!$W$2:$W$1057,'02c_DC_Accel_Bridge'!$B$2:$B$1057,A138,'02c_DC_Accel_Bridge'!$C$2:$C$1057,B138,'02c_DC_Accel_Bridge'!$D$2:$D$1057,C138)/I138,0)</f>
        <v/>
      </c>
      <c r="M138" s="6">
        <f>IF(I138&gt;0,SUMIFS('02c_DC_Accel_Bridge'!$X$2:$X$1057,'02c_DC_Accel_Bridge'!$B$2:$B$1057,A138,'02c_DC_Accel_Bridge'!$C$2:$C$1057,B138,'02c_DC_Accel_Bridge'!$D$2:$D$1057,C138)/I138,0)</f>
        <v/>
      </c>
      <c r="N138" s="6">
        <f>IF(I138&gt;0,SUMIFS('02c_DC_Accel_Bridge'!$Y$2:$Y$1057,'02c_DC_Accel_Bridge'!$B$2:$B$1057,A138,'02c_DC_Accel_Bridge'!$C$2:$C$1057,B138,'02c_DC_Accel_Bridge'!$D$2:$D$1057,C138)/I138,0)</f>
        <v/>
      </c>
      <c r="O138" s="6">
        <f>IF(I138&gt;0,SUMIFS('02c_DC_Accel_Bridge'!$Z$2:$Z$1057,'02c_DC_Accel_Bridge'!$B$2:$B$1057,A138,'02c_DC_Accel_Bridge'!$C$2:$C$1057,B138,'02c_DC_Accel_Bridge'!$D$2:$D$1057,C138)/I138,0)</f>
        <v/>
      </c>
      <c r="P138" s="3" t="inlineStr">
        <is>
          <t>weighted average: sum(site inference_weight_mw * accelerator_share) / sum(site inference_weight_mw)</t>
        </is>
      </c>
      <c r="Q138" s="3" t="inlineStr">
        <is>
          <t>dc_capacity_x_dc_accelerator_mix</t>
        </is>
      </c>
      <c r="R138" s="3" t="inlineStr">
        <is>
          <t>Edit 02a capacity allocation and 02b site accelerator mix; 03_Calculation reads D:G from this sheet.</t>
        </is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>
        <f>IF(I139&gt;0,SUMIFS('02c_DC_Accel_Bridge'!$R$2:$R$1057,'02c_DC_Accel_Bridge'!$B$2:$B$1057,A139,'02c_DC_Accel_Bridge'!$C$2:$C$1057,B139,'02c_DC_Accel_Bridge'!$D$2:$D$1057,C139)/I139,0.020598)</f>
        <v/>
      </c>
      <c r="E139" s="6">
        <f>IF(I139&gt;0,SUMIFS('02c_DC_Accel_Bridge'!$S$2:$S$1057,'02c_DC_Accel_Bridge'!$B$2:$B$1057,A139,'02c_DC_Accel_Bridge'!$C$2:$C$1057,B139,'02c_DC_Accel_Bridge'!$D$2:$D$1057,C139)/I139,0.705731)</f>
        <v/>
      </c>
      <c r="F139" s="6">
        <f>IF(I139&gt;0,SUMIFS('02c_DC_Accel_Bridge'!$T$2:$T$1057,'02c_DC_Accel_Bridge'!$B$2:$B$1057,A139,'02c_DC_Accel_Bridge'!$C$2:$C$1057,B139,'02c_DC_Accel_Bridge'!$D$2:$D$1057,C139)/I139,0.0)</f>
        <v/>
      </c>
      <c r="G139" s="6">
        <f>IF(I139&gt;0,SUMIFS('02c_DC_Accel_Bridge'!$AA$2:$AA$1057,'02c_DC_Accel_Bridge'!$B$2:$B$1057,A139,'02c_DC_Accel_Bridge'!$C$2:$C$1057,B139,'02c_DC_Accel_Bridge'!$D$2:$D$1057,C139)/I139,0.273671)</f>
        <v/>
      </c>
      <c r="H139" s="6">
        <f>SUM(D139:G139)</f>
        <v/>
      </c>
      <c r="I139" s="28">
        <f>SUMIFS('02c_DC_Accel_Bridge'!$H$2:$H$1057,'02c_DC_Accel_Bridge'!$B$2:$B$1057,A139,'02c_DC_Accel_Bridge'!$C$2:$C$1057,B139,'02c_DC_Accel_Bridge'!$D$2:$D$1057,C139)</f>
        <v/>
      </c>
      <c r="J139" s="6">
        <f>IF(I139&gt;0,SUMIFS('02c_DC_Accel_Bridge'!$U$2:$U$1057,'02c_DC_Accel_Bridge'!$B$2:$B$1057,A139,'02c_DC_Accel_Bridge'!$C$2:$C$1057,B139,'02c_DC_Accel_Bridge'!$D$2:$D$1057,C139)/I139,0)</f>
        <v/>
      </c>
      <c r="K139" s="6">
        <f>IF(I139&gt;0,SUMIFS('02c_DC_Accel_Bridge'!$V$2:$V$1057,'02c_DC_Accel_Bridge'!$B$2:$B$1057,A139,'02c_DC_Accel_Bridge'!$C$2:$C$1057,B139,'02c_DC_Accel_Bridge'!$D$2:$D$1057,C139)/I139,0)</f>
        <v/>
      </c>
      <c r="L139" s="6">
        <f>IF(I139&gt;0,SUMIFS('02c_DC_Accel_Bridge'!$W$2:$W$1057,'02c_DC_Accel_Bridge'!$B$2:$B$1057,A139,'02c_DC_Accel_Bridge'!$C$2:$C$1057,B139,'02c_DC_Accel_Bridge'!$D$2:$D$1057,C139)/I139,0)</f>
        <v/>
      </c>
      <c r="M139" s="6">
        <f>IF(I139&gt;0,SUMIFS('02c_DC_Accel_Bridge'!$X$2:$X$1057,'02c_DC_Accel_Bridge'!$B$2:$B$1057,A139,'02c_DC_Accel_Bridge'!$C$2:$C$1057,B139,'02c_DC_Accel_Bridge'!$D$2:$D$1057,C139)/I139,0)</f>
        <v/>
      </c>
      <c r="N139" s="6">
        <f>IF(I139&gt;0,SUMIFS('02c_DC_Accel_Bridge'!$Y$2:$Y$1057,'02c_DC_Accel_Bridge'!$B$2:$B$1057,A139,'02c_DC_Accel_Bridge'!$C$2:$C$1057,B139,'02c_DC_Accel_Bridge'!$D$2:$D$1057,C139)/I139,0)</f>
        <v/>
      </c>
      <c r="O139" s="6">
        <f>IF(I139&gt;0,SUMIFS('02c_DC_Accel_Bridge'!$Z$2:$Z$1057,'02c_DC_Accel_Bridge'!$B$2:$B$1057,A139,'02c_DC_Accel_Bridge'!$C$2:$C$1057,B139,'02c_DC_Accel_Bridge'!$D$2:$D$1057,C139)/I139,0)</f>
        <v/>
      </c>
      <c r="P139" s="3" t="inlineStr">
        <is>
          <t>weighted average: sum(site inference_weight_mw * accelerator_share) / sum(site inference_weight_mw)</t>
        </is>
      </c>
      <c r="Q139" s="3" t="inlineStr">
        <is>
          <t>dc_capacity_x_dc_accelerator_mix</t>
        </is>
      </c>
      <c r="R139" s="3" t="inlineStr">
        <is>
          <t>Edit 02a capacity allocation and 02b site accelerator mix; 03_Calculation reads D:G from this sheet.</t>
        </is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>
        <f>IF(I140&gt;0,SUMIFS('02c_DC_Accel_Bridge'!$R$2:$R$1057,'02c_DC_Accel_Bridge'!$B$2:$B$1057,A140,'02c_DC_Accel_Bridge'!$C$2:$C$1057,B140,'02c_DC_Accel_Bridge'!$D$2:$D$1057,C140)/I140,0.020598)</f>
        <v/>
      </c>
      <c r="E140" s="6">
        <f>IF(I140&gt;0,SUMIFS('02c_DC_Accel_Bridge'!$S$2:$S$1057,'02c_DC_Accel_Bridge'!$B$2:$B$1057,A140,'02c_DC_Accel_Bridge'!$C$2:$C$1057,B140,'02c_DC_Accel_Bridge'!$D$2:$D$1057,C140)/I140,0.705731)</f>
        <v/>
      </c>
      <c r="F140" s="6">
        <f>IF(I140&gt;0,SUMIFS('02c_DC_Accel_Bridge'!$T$2:$T$1057,'02c_DC_Accel_Bridge'!$B$2:$B$1057,A140,'02c_DC_Accel_Bridge'!$C$2:$C$1057,B140,'02c_DC_Accel_Bridge'!$D$2:$D$1057,C140)/I140,0.0)</f>
        <v/>
      </c>
      <c r="G140" s="6">
        <f>IF(I140&gt;0,SUMIFS('02c_DC_Accel_Bridge'!$AA$2:$AA$1057,'02c_DC_Accel_Bridge'!$B$2:$B$1057,A140,'02c_DC_Accel_Bridge'!$C$2:$C$1057,B140,'02c_DC_Accel_Bridge'!$D$2:$D$1057,C140)/I140,0.273671)</f>
        <v/>
      </c>
      <c r="H140" s="6">
        <f>SUM(D140:G140)</f>
        <v/>
      </c>
      <c r="I140" s="28">
        <f>SUMIFS('02c_DC_Accel_Bridge'!$H$2:$H$1057,'02c_DC_Accel_Bridge'!$B$2:$B$1057,A140,'02c_DC_Accel_Bridge'!$C$2:$C$1057,B140,'02c_DC_Accel_Bridge'!$D$2:$D$1057,C140)</f>
        <v/>
      </c>
      <c r="J140" s="6">
        <f>IF(I140&gt;0,SUMIFS('02c_DC_Accel_Bridge'!$U$2:$U$1057,'02c_DC_Accel_Bridge'!$B$2:$B$1057,A140,'02c_DC_Accel_Bridge'!$C$2:$C$1057,B140,'02c_DC_Accel_Bridge'!$D$2:$D$1057,C140)/I140,0)</f>
        <v/>
      </c>
      <c r="K140" s="6">
        <f>IF(I140&gt;0,SUMIFS('02c_DC_Accel_Bridge'!$V$2:$V$1057,'02c_DC_Accel_Bridge'!$B$2:$B$1057,A140,'02c_DC_Accel_Bridge'!$C$2:$C$1057,B140,'02c_DC_Accel_Bridge'!$D$2:$D$1057,C140)/I140,0)</f>
        <v/>
      </c>
      <c r="L140" s="6">
        <f>IF(I140&gt;0,SUMIFS('02c_DC_Accel_Bridge'!$W$2:$W$1057,'02c_DC_Accel_Bridge'!$B$2:$B$1057,A140,'02c_DC_Accel_Bridge'!$C$2:$C$1057,B140,'02c_DC_Accel_Bridge'!$D$2:$D$1057,C140)/I140,0)</f>
        <v/>
      </c>
      <c r="M140" s="6">
        <f>IF(I140&gt;0,SUMIFS('02c_DC_Accel_Bridge'!$X$2:$X$1057,'02c_DC_Accel_Bridge'!$B$2:$B$1057,A140,'02c_DC_Accel_Bridge'!$C$2:$C$1057,B140,'02c_DC_Accel_Bridge'!$D$2:$D$1057,C140)/I140,0)</f>
        <v/>
      </c>
      <c r="N140" s="6">
        <f>IF(I140&gt;0,SUMIFS('02c_DC_Accel_Bridge'!$Y$2:$Y$1057,'02c_DC_Accel_Bridge'!$B$2:$B$1057,A140,'02c_DC_Accel_Bridge'!$C$2:$C$1057,B140,'02c_DC_Accel_Bridge'!$D$2:$D$1057,C140)/I140,0)</f>
        <v/>
      </c>
      <c r="O140" s="6">
        <f>IF(I140&gt;0,SUMIFS('02c_DC_Accel_Bridge'!$Z$2:$Z$1057,'02c_DC_Accel_Bridge'!$B$2:$B$1057,A140,'02c_DC_Accel_Bridge'!$C$2:$C$1057,B140,'02c_DC_Accel_Bridge'!$D$2:$D$1057,C140)/I140,0)</f>
        <v/>
      </c>
      <c r="P140" s="3" t="inlineStr">
        <is>
          <t>weighted average: sum(site inference_weight_mw * accelerator_share) / sum(site inference_weight_mw)</t>
        </is>
      </c>
      <c r="Q140" s="3" t="inlineStr">
        <is>
          <t>dc_capacity_x_dc_accelerator_mix</t>
        </is>
      </c>
      <c r="R140" s="3" t="inlineStr">
        <is>
          <t>Edit 02a capacity allocation and 02b site accelerator mix; 03_Calculation reads D:G from this sheet.</t>
        </is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>
        <f>IF(I141&gt;0,SUMIFS('02c_DC_Accel_Bridge'!$R$2:$R$1057,'02c_DC_Accel_Bridge'!$B$2:$B$1057,A141,'02c_DC_Accel_Bridge'!$C$2:$C$1057,B141,'02c_DC_Accel_Bridge'!$D$2:$D$1057,C141)/I141,0.020598)</f>
        <v/>
      </c>
      <c r="E141" s="6">
        <f>IF(I141&gt;0,SUMIFS('02c_DC_Accel_Bridge'!$S$2:$S$1057,'02c_DC_Accel_Bridge'!$B$2:$B$1057,A141,'02c_DC_Accel_Bridge'!$C$2:$C$1057,B141,'02c_DC_Accel_Bridge'!$D$2:$D$1057,C141)/I141,0.705731)</f>
        <v/>
      </c>
      <c r="F141" s="6">
        <f>IF(I141&gt;0,SUMIFS('02c_DC_Accel_Bridge'!$T$2:$T$1057,'02c_DC_Accel_Bridge'!$B$2:$B$1057,A141,'02c_DC_Accel_Bridge'!$C$2:$C$1057,B141,'02c_DC_Accel_Bridge'!$D$2:$D$1057,C141)/I141,0.0)</f>
        <v/>
      </c>
      <c r="G141" s="6">
        <f>IF(I141&gt;0,SUMIFS('02c_DC_Accel_Bridge'!$AA$2:$AA$1057,'02c_DC_Accel_Bridge'!$B$2:$B$1057,A141,'02c_DC_Accel_Bridge'!$C$2:$C$1057,B141,'02c_DC_Accel_Bridge'!$D$2:$D$1057,C141)/I141,0.273671)</f>
        <v/>
      </c>
      <c r="H141" s="6">
        <f>SUM(D141:G141)</f>
        <v/>
      </c>
      <c r="I141" s="28">
        <f>SUMIFS('02c_DC_Accel_Bridge'!$H$2:$H$1057,'02c_DC_Accel_Bridge'!$B$2:$B$1057,A141,'02c_DC_Accel_Bridge'!$C$2:$C$1057,B141,'02c_DC_Accel_Bridge'!$D$2:$D$1057,C141)</f>
        <v/>
      </c>
      <c r="J141" s="6">
        <f>IF(I141&gt;0,SUMIFS('02c_DC_Accel_Bridge'!$U$2:$U$1057,'02c_DC_Accel_Bridge'!$B$2:$B$1057,A141,'02c_DC_Accel_Bridge'!$C$2:$C$1057,B141,'02c_DC_Accel_Bridge'!$D$2:$D$1057,C141)/I141,0)</f>
        <v/>
      </c>
      <c r="K141" s="6">
        <f>IF(I141&gt;0,SUMIFS('02c_DC_Accel_Bridge'!$V$2:$V$1057,'02c_DC_Accel_Bridge'!$B$2:$B$1057,A141,'02c_DC_Accel_Bridge'!$C$2:$C$1057,B141,'02c_DC_Accel_Bridge'!$D$2:$D$1057,C141)/I141,0)</f>
        <v/>
      </c>
      <c r="L141" s="6">
        <f>IF(I141&gt;0,SUMIFS('02c_DC_Accel_Bridge'!$W$2:$W$1057,'02c_DC_Accel_Bridge'!$B$2:$B$1057,A141,'02c_DC_Accel_Bridge'!$C$2:$C$1057,B141,'02c_DC_Accel_Bridge'!$D$2:$D$1057,C141)/I141,0)</f>
        <v/>
      </c>
      <c r="M141" s="6">
        <f>IF(I141&gt;0,SUMIFS('02c_DC_Accel_Bridge'!$X$2:$X$1057,'02c_DC_Accel_Bridge'!$B$2:$B$1057,A141,'02c_DC_Accel_Bridge'!$C$2:$C$1057,B141,'02c_DC_Accel_Bridge'!$D$2:$D$1057,C141)/I141,0)</f>
        <v/>
      </c>
      <c r="N141" s="6">
        <f>IF(I141&gt;0,SUMIFS('02c_DC_Accel_Bridge'!$Y$2:$Y$1057,'02c_DC_Accel_Bridge'!$B$2:$B$1057,A141,'02c_DC_Accel_Bridge'!$C$2:$C$1057,B141,'02c_DC_Accel_Bridge'!$D$2:$D$1057,C141)/I141,0)</f>
        <v/>
      </c>
      <c r="O141" s="6">
        <f>IF(I141&gt;0,SUMIFS('02c_DC_Accel_Bridge'!$Z$2:$Z$1057,'02c_DC_Accel_Bridge'!$B$2:$B$1057,A141,'02c_DC_Accel_Bridge'!$C$2:$C$1057,B141,'02c_DC_Accel_Bridge'!$D$2:$D$1057,C141)/I141,0)</f>
        <v/>
      </c>
      <c r="P141" s="3" t="inlineStr">
        <is>
          <t>weighted average: sum(site inference_weight_mw * accelerator_share) / sum(site inference_weight_mw)</t>
        </is>
      </c>
      <c r="Q141" s="3" t="inlineStr">
        <is>
          <t>dc_capacity_x_dc_accelerator_mix</t>
        </is>
      </c>
      <c r="R141" s="3" t="inlineStr">
        <is>
          <t>Edit 02a capacity allocation and 02b site accelerator mix; 03_Calculation reads D:G from this sheet.</t>
        </is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>
        <f>IF(I142&gt;0,SUMIFS('02c_DC_Accel_Bridge'!$R$2:$R$1057,'02c_DC_Accel_Bridge'!$B$2:$B$1057,A142,'02c_DC_Accel_Bridge'!$C$2:$C$1057,B142,'02c_DC_Accel_Bridge'!$D$2:$D$1057,C142)/I142,0.0)</f>
        <v/>
      </c>
      <c r="E142" s="6">
        <f>IF(I142&gt;0,SUMIFS('02c_DC_Accel_Bridge'!$S$2:$S$1057,'02c_DC_Accel_Bridge'!$B$2:$B$1057,A142,'02c_DC_Accel_Bridge'!$C$2:$C$1057,B142,'02c_DC_Accel_Bridge'!$D$2:$D$1057,C142)/I142,0.0)</f>
        <v/>
      </c>
      <c r="F142" s="6">
        <f>IF(I142&gt;0,SUMIFS('02c_DC_Accel_Bridge'!$T$2:$T$1057,'02c_DC_Accel_Bridge'!$B$2:$B$1057,A142,'02c_DC_Accel_Bridge'!$C$2:$C$1057,B142,'02c_DC_Accel_Bridge'!$D$2:$D$1057,C142)/I142,0.0)</f>
        <v/>
      </c>
      <c r="G142" s="6">
        <f>IF(I142&gt;0,SUMIFS('02c_DC_Accel_Bridge'!$AA$2:$AA$1057,'02c_DC_Accel_Bridge'!$B$2:$B$1057,A142,'02c_DC_Accel_Bridge'!$C$2:$C$1057,B142,'02c_DC_Accel_Bridge'!$D$2:$D$1057,C142)/I142,1.0)</f>
        <v/>
      </c>
      <c r="H142" s="6">
        <f>SUM(D142:G142)</f>
        <v/>
      </c>
      <c r="I142" s="28">
        <f>SUMIFS('02c_DC_Accel_Bridge'!$H$2:$H$1057,'02c_DC_Accel_Bridge'!$B$2:$B$1057,A142,'02c_DC_Accel_Bridge'!$C$2:$C$1057,B142,'02c_DC_Accel_Bridge'!$D$2:$D$1057,C142)</f>
        <v/>
      </c>
      <c r="J142" s="6">
        <f>IF(I142&gt;0,SUMIFS('02c_DC_Accel_Bridge'!$U$2:$U$1057,'02c_DC_Accel_Bridge'!$B$2:$B$1057,A142,'02c_DC_Accel_Bridge'!$C$2:$C$1057,B142,'02c_DC_Accel_Bridge'!$D$2:$D$1057,C142)/I142,0)</f>
        <v/>
      </c>
      <c r="K142" s="6">
        <f>IF(I142&gt;0,SUMIFS('02c_DC_Accel_Bridge'!$V$2:$V$1057,'02c_DC_Accel_Bridge'!$B$2:$B$1057,A142,'02c_DC_Accel_Bridge'!$C$2:$C$1057,B142,'02c_DC_Accel_Bridge'!$D$2:$D$1057,C142)/I142,0)</f>
        <v/>
      </c>
      <c r="L142" s="6">
        <f>IF(I142&gt;0,SUMIFS('02c_DC_Accel_Bridge'!$W$2:$W$1057,'02c_DC_Accel_Bridge'!$B$2:$B$1057,A142,'02c_DC_Accel_Bridge'!$C$2:$C$1057,B142,'02c_DC_Accel_Bridge'!$D$2:$D$1057,C142)/I142,0)</f>
        <v/>
      </c>
      <c r="M142" s="6">
        <f>IF(I142&gt;0,SUMIFS('02c_DC_Accel_Bridge'!$X$2:$X$1057,'02c_DC_Accel_Bridge'!$B$2:$B$1057,A142,'02c_DC_Accel_Bridge'!$C$2:$C$1057,B142,'02c_DC_Accel_Bridge'!$D$2:$D$1057,C142)/I142,0)</f>
        <v/>
      </c>
      <c r="N142" s="6">
        <f>IF(I142&gt;0,SUMIFS('02c_DC_Accel_Bridge'!$Y$2:$Y$1057,'02c_DC_Accel_Bridge'!$B$2:$B$1057,A142,'02c_DC_Accel_Bridge'!$C$2:$C$1057,B142,'02c_DC_Accel_Bridge'!$D$2:$D$1057,C142)/I142,0)</f>
        <v/>
      </c>
      <c r="O142" s="6">
        <f>IF(I142&gt;0,SUMIFS('02c_DC_Accel_Bridge'!$Z$2:$Z$1057,'02c_DC_Accel_Bridge'!$B$2:$B$1057,A142,'02c_DC_Accel_Bridge'!$C$2:$C$1057,B142,'02c_DC_Accel_Bridge'!$D$2:$D$1057,C142)/I142,0)</f>
        <v/>
      </c>
      <c r="P142" s="3" t="inlineStr">
        <is>
          <t>weighted average: sum(site inference_weight_mw * accelerator_share) / sum(site inference_weight_mw)</t>
        </is>
      </c>
      <c r="Q142" s="3" t="inlineStr">
        <is>
          <t>dc_capacity_x_dc_accelerator_mix</t>
        </is>
      </c>
      <c r="R142" s="3" t="inlineStr">
        <is>
          <t>Edit 02a capacity allocation and 02b site accelerator mix; 03_Calculation reads D:G from this sheet.</t>
        </is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>
        <f>IF(I143&gt;0,SUMIFS('02c_DC_Accel_Bridge'!$R$2:$R$1057,'02c_DC_Accel_Bridge'!$B$2:$B$1057,A143,'02c_DC_Accel_Bridge'!$C$2:$C$1057,B143,'02c_DC_Accel_Bridge'!$D$2:$D$1057,C143)/I143,0.005625)</f>
        <v/>
      </c>
      <c r="E143" s="6">
        <f>IF(I143&gt;0,SUMIFS('02c_DC_Accel_Bridge'!$S$2:$S$1057,'02c_DC_Accel_Bridge'!$B$2:$B$1057,A143,'02c_DC_Accel_Bridge'!$C$2:$C$1057,B143,'02c_DC_Accel_Bridge'!$D$2:$D$1057,C143)/I143,0.098131)</f>
        <v/>
      </c>
      <c r="F143" s="6">
        <f>IF(I143&gt;0,SUMIFS('02c_DC_Accel_Bridge'!$T$2:$T$1057,'02c_DC_Accel_Bridge'!$B$2:$B$1057,A143,'02c_DC_Accel_Bridge'!$C$2:$C$1057,B143,'02c_DC_Accel_Bridge'!$D$2:$D$1057,C143)/I143,0.002191)</f>
        <v/>
      </c>
      <c r="G143" s="6">
        <f>IF(I143&gt;0,SUMIFS('02c_DC_Accel_Bridge'!$AA$2:$AA$1057,'02c_DC_Accel_Bridge'!$B$2:$B$1057,A143,'02c_DC_Accel_Bridge'!$C$2:$C$1057,B143,'02c_DC_Accel_Bridge'!$D$2:$D$1057,C143)/I143,0.894053)</f>
        <v/>
      </c>
      <c r="H143" s="6">
        <f>SUM(D143:G143)</f>
        <v/>
      </c>
      <c r="I143" s="28">
        <f>SUMIFS('02c_DC_Accel_Bridge'!$H$2:$H$1057,'02c_DC_Accel_Bridge'!$B$2:$B$1057,A143,'02c_DC_Accel_Bridge'!$C$2:$C$1057,B143,'02c_DC_Accel_Bridge'!$D$2:$D$1057,C143)</f>
        <v/>
      </c>
      <c r="J143" s="6">
        <f>IF(I143&gt;0,SUMIFS('02c_DC_Accel_Bridge'!$U$2:$U$1057,'02c_DC_Accel_Bridge'!$B$2:$B$1057,A143,'02c_DC_Accel_Bridge'!$C$2:$C$1057,B143,'02c_DC_Accel_Bridge'!$D$2:$D$1057,C143)/I143,0)</f>
        <v/>
      </c>
      <c r="K143" s="6">
        <f>IF(I143&gt;0,SUMIFS('02c_DC_Accel_Bridge'!$V$2:$V$1057,'02c_DC_Accel_Bridge'!$B$2:$B$1057,A143,'02c_DC_Accel_Bridge'!$C$2:$C$1057,B143,'02c_DC_Accel_Bridge'!$D$2:$D$1057,C143)/I143,0)</f>
        <v/>
      </c>
      <c r="L143" s="6">
        <f>IF(I143&gt;0,SUMIFS('02c_DC_Accel_Bridge'!$W$2:$W$1057,'02c_DC_Accel_Bridge'!$B$2:$B$1057,A143,'02c_DC_Accel_Bridge'!$C$2:$C$1057,B143,'02c_DC_Accel_Bridge'!$D$2:$D$1057,C143)/I143,0)</f>
        <v/>
      </c>
      <c r="M143" s="6">
        <f>IF(I143&gt;0,SUMIFS('02c_DC_Accel_Bridge'!$X$2:$X$1057,'02c_DC_Accel_Bridge'!$B$2:$B$1057,A143,'02c_DC_Accel_Bridge'!$C$2:$C$1057,B143,'02c_DC_Accel_Bridge'!$D$2:$D$1057,C143)/I143,0)</f>
        <v/>
      </c>
      <c r="N143" s="6">
        <f>IF(I143&gt;0,SUMIFS('02c_DC_Accel_Bridge'!$Y$2:$Y$1057,'02c_DC_Accel_Bridge'!$B$2:$B$1057,A143,'02c_DC_Accel_Bridge'!$C$2:$C$1057,B143,'02c_DC_Accel_Bridge'!$D$2:$D$1057,C143)/I143,0)</f>
        <v/>
      </c>
      <c r="O143" s="6">
        <f>IF(I143&gt;0,SUMIFS('02c_DC_Accel_Bridge'!$Z$2:$Z$1057,'02c_DC_Accel_Bridge'!$B$2:$B$1057,A143,'02c_DC_Accel_Bridge'!$C$2:$C$1057,B143,'02c_DC_Accel_Bridge'!$D$2:$D$1057,C143)/I143,0)</f>
        <v/>
      </c>
      <c r="P143" s="3" t="inlineStr">
        <is>
          <t>weighted average: sum(site inference_weight_mw * accelerator_share) / sum(site inference_weight_mw)</t>
        </is>
      </c>
      <c r="Q143" s="3" t="inlineStr">
        <is>
          <t>dc_capacity_x_dc_accelerator_mix</t>
        </is>
      </c>
      <c r="R143" s="3" t="inlineStr">
        <is>
          <t>Edit 02a capacity allocation and 02b site accelerator mix; 03_Calculation reads D:G from this sheet.</t>
        </is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>
        <f>IF(I144&gt;0,SUMIFS('02c_DC_Accel_Bridge'!$R$2:$R$1057,'02c_DC_Accel_Bridge'!$B$2:$B$1057,A144,'02c_DC_Accel_Bridge'!$C$2:$C$1057,B144,'02c_DC_Accel_Bridge'!$D$2:$D$1057,C144)/I144,0.011989)</f>
        <v/>
      </c>
      <c r="E144" s="6">
        <f>IF(I144&gt;0,SUMIFS('02c_DC_Accel_Bridge'!$S$2:$S$1057,'02c_DC_Accel_Bridge'!$B$2:$B$1057,A144,'02c_DC_Accel_Bridge'!$C$2:$C$1057,B144,'02c_DC_Accel_Bridge'!$D$2:$D$1057,C144)/I144,0.086159)</f>
        <v/>
      </c>
      <c r="F144" s="6">
        <f>IF(I144&gt;0,SUMIFS('02c_DC_Accel_Bridge'!$T$2:$T$1057,'02c_DC_Accel_Bridge'!$B$2:$B$1057,A144,'02c_DC_Accel_Bridge'!$C$2:$C$1057,B144,'02c_DC_Accel_Bridge'!$D$2:$D$1057,C144)/I144,0.01101)</f>
        <v/>
      </c>
      <c r="G144" s="6">
        <f>IF(I144&gt;0,SUMIFS('02c_DC_Accel_Bridge'!$AA$2:$AA$1057,'02c_DC_Accel_Bridge'!$B$2:$B$1057,A144,'02c_DC_Accel_Bridge'!$C$2:$C$1057,B144,'02c_DC_Accel_Bridge'!$D$2:$D$1057,C144)/I144,0.890842)</f>
        <v/>
      </c>
      <c r="H144" s="6">
        <f>SUM(D144:G144)</f>
        <v/>
      </c>
      <c r="I144" s="28">
        <f>SUMIFS('02c_DC_Accel_Bridge'!$H$2:$H$1057,'02c_DC_Accel_Bridge'!$B$2:$B$1057,A144,'02c_DC_Accel_Bridge'!$C$2:$C$1057,B144,'02c_DC_Accel_Bridge'!$D$2:$D$1057,C144)</f>
        <v/>
      </c>
      <c r="J144" s="6">
        <f>IF(I144&gt;0,SUMIFS('02c_DC_Accel_Bridge'!$U$2:$U$1057,'02c_DC_Accel_Bridge'!$B$2:$B$1057,A144,'02c_DC_Accel_Bridge'!$C$2:$C$1057,B144,'02c_DC_Accel_Bridge'!$D$2:$D$1057,C144)/I144,0)</f>
        <v/>
      </c>
      <c r="K144" s="6">
        <f>IF(I144&gt;0,SUMIFS('02c_DC_Accel_Bridge'!$V$2:$V$1057,'02c_DC_Accel_Bridge'!$B$2:$B$1057,A144,'02c_DC_Accel_Bridge'!$C$2:$C$1057,B144,'02c_DC_Accel_Bridge'!$D$2:$D$1057,C144)/I144,0)</f>
        <v/>
      </c>
      <c r="L144" s="6">
        <f>IF(I144&gt;0,SUMIFS('02c_DC_Accel_Bridge'!$W$2:$W$1057,'02c_DC_Accel_Bridge'!$B$2:$B$1057,A144,'02c_DC_Accel_Bridge'!$C$2:$C$1057,B144,'02c_DC_Accel_Bridge'!$D$2:$D$1057,C144)/I144,0)</f>
        <v/>
      </c>
      <c r="M144" s="6">
        <f>IF(I144&gt;0,SUMIFS('02c_DC_Accel_Bridge'!$X$2:$X$1057,'02c_DC_Accel_Bridge'!$B$2:$B$1057,A144,'02c_DC_Accel_Bridge'!$C$2:$C$1057,B144,'02c_DC_Accel_Bridge'!$D$2:$D$1057,C144)/I144,0)</f>
        <v/>
      </c>
      <c r="N144" s="6">
        <f>IF(I144&gt;0,SUMIFS('02c_DC_Accel_Bridge'!$Y$2:$Y$1057,'02c_DC_Accel_Bridge'!$B$2:$B$1057,A144,'02c_DC_Accel_Bridge'!$C$2:$C$1057,B144,'02c_DC_Accel_Bridge'!$D$2:$D$1057,C144)/I144,0)</f>
        <v/>
      </c>
      <c r="O144" s="6">
        <f>IF(I144&gt;0,SUMIFS('02c_DC_Accel_Bridge'!$Z$2:$Z$1057,'02c_DC_Accel_Bridge'!$B$2:$B$1057,A144,'02c_DC_Accel_Bridge'!$C$2:$C$1057,B144,'02c_DC_Accel_Bridge'!$D$2:$D$1057,C144)/I144,0)</f>
        <v/>
      </c>
      <c r="P144" s="3" t="inlineStr">
        <is>
          <t>weighted average: sum(site inference_weight_mw * accelerator_share) / sum(site inference_weight_mw)</t>
        </is>
      </c>
      <c r="Q144" s="3" t="inlineStr">
        <is>
          <t>dc_capacity_x_dc_accelerator_mix</t>
        </is>
      </c>
      <c r="R144" s="3" t="inlineStr">
        <is>
          <t>Edit 02a capacity allocation and 02b site accelerator mix; 03_Calculation reads D:G from this sheet.</t>
        </is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>
        <f>IF(I145&gt;0,SUMIFS('02c_DC_Accel_Bridge'!$R$2:$R$1057,'02c_DC_Accel_Bridge'!$B$2:$B$1057,A145,'02c_DC_Accel_Bridge'!$C$2:$C$1057,B145,'02c_DC_Accel_Bridge'!$D$2:$D$1057,C145)/I145,0.006606)</f>
        <v/>
      </c>
      <c r="E145" s="6">
        <f>IF(I145&gt;0,SUMIFS('02c_DC_Accel_Bridge'!$S$2:$S$1057,'02c_DC_Accel_Bridge'!$B$2:$B$1057,A145,'02c_DC_Accel_Bridge'!$C$2:$C$1057,B145,'02c_DC_Accel_Bridge'!$D$2:$D$1057,C145)/I145,0.083468)</f>
        <v/>
      </c>
      <c r="F145" s="6">
        <f>IF(I145&gt;0,SUMIFS('02c_DC_Accel_Bridge'!$T$2:$T$1057,'02c_DC_Accel_Bridge'!$B$2:$B$1057,A145,'02c_DC_Accel_Bridge'!$C$2:$C$1057,B145,'02c_DC_Accel_Bridge'!$D$2:$D$1057,C145)/I145,0.012967)</f>
        <v/>
      </c>
      <c r="G145" s="6">
        <f>IF(I145&gt;0,SUMIFS('02c_DC_Accel_Bridge'!$AA$2:$AA$1057,'02c_DC_Accel_Bridge'!$B$2:$B$1057,A145,'02c_DC_Accel_Bridge'!$C$2:$C$1057,B145,'02c_DC_Accel_Bridge'!$D$2:$D$1057,C145)/I145,0.896959)</f>
        <v/>
      </c>
      <c r="H145" s="6">
        <f>SUM(D145:G145)</f>
        <v/>
      </c>
      <c r="I145" s="28">
        <f>SUMIFS('02c_DC_Accel_Bridge'!$H$2:$H$1057,'02c_DC_Accel_Bridge'!$B$2:$B$1057,A145,'02c_DC_Accel_Bridge'!$C$2:$C$1057,B145,'02c_DC_Accel_Bridge'!$D$2:$D$1057,C145)</f>
        <v/>
      </c>
      <c r="J145" s="6">
        <f>IF(I145&gt;0,SUMIFS('02c_DC_Accel_Bridge'!$U$2:$U$1057,'02c_DC_Accel_Bridge'!$B$2:$B$1057,A145,'02c_DC_Accel_Bridge'!$C$2:$C$1057,B145,'02c_DC_Accel_Bridge'!$D$2:$D$1057,C145)/I145,0)</f>
        <v/>
      </c>
      <c r="K145" s="6">
        <f>IF(I145&gt;0,SUMIFS('02c_DC_Accel_Bridge'!$V$2:$V$1057,'02c_DC_Accel_Bridge'!$B$2:$B$1057,A145,'02c_DC_Accel_Bridge'!$C$2:$C$1057,B145,'02c_DC_Accel_Bridge'!$D$2:$D$1057,C145)/I145,0)</f>
        <v/>
      </c>
      <c r="L145" s="6">
        <f>IF(I145&gt;0,SUMIFS('02c_DC_Accel_Bridge'!$W$2:$W$1057,'02c_DC_Accel_Bridge'!$B$2:$B$1057,A145,'02c_DC_Accel_Bridge'!$C$2:$C$1057,B145,'02c_DC_Accel_Bridge'!$D$2:$D$1057,C145)/I145,0)</f>
        <v/>
      </c>
      <c r="M145" s="6">
        <f>IF(I145&gt;0,SUMIFS('02c_DC_Accel_Bridge'!$X$2:$X$1057,'02c_DC_Accel_Bridge'!$B$2:$B$1057,A145,'02c_DC_Accel_Bridge'!$C$2:$C$1057,B145,'02c_DC_Accel_Bridge'!$D$2:$D$1057,C145)/I145,0)</f>
        <v/>
      </c>
      <c r="N145" s="6">
        <f>IF(I145&gt;0,SUMIFS('02c_DC_Accel_Bridge'!$Y$2:$Y$1057,'02c_DC_Accel_Bridge'!$B$2:$B$1057,A145,'02c_DC_Accel_Bridge'!$C$2:$C$1057,B145,'02c_DC_Accel_Bridge'!$D$2:$D$1057,C145)/I145,0)</f>
        <v/>
      </c>
      <c r="O145" s="6">
        <f>IF(I145&gt;0,SUMIFS('02c_DC_Accel_Bridge'!$Z$2:$Z$1057,'02c_DC_Accel_Bridge'!$B$2:$B$1057,A145,'02c_DC_Accel_Bridge'!$C$2:$C$1057,B145,'02c_DC_Accel_Bridge'!$D$2:$D$1057,C145)/I145,0)</f>
        <v/>
      </c>
      <c r="P145" s="3" t="inlineStr">
        <is>
          <t>weighted average: sum(site inference_weight_mw * accelerator_share) / sum(site inference_weight_mw)</t>
        </is>
      </c>
      <c r="Q145" s="3" t="inlineStr">
        <is>
          <t>dc_capacity_x_dc_accelerator_mix</t>
        </is>
      </c>
      <c r="R145" s="3" t="inlineStr">
        <is>
          <t>Edit 02a capacity allocation and 02b site accelerator mix; 03_Calculation reads D:G from this sheet.</t>
        </is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>
        <f>IF(I146&gt;0,SUMIFS('02c_DC_Accel_Bridge'!$R$2:$R$1057,'02c_DC_Accel_Bridge'!$B$2:$B$1057,A146,'02c_DC_Accel_Bridge'!$C$2:$C$1057,B146,'02c_DC_Accel_Bridge'!$D$2:$D$1057,C146)/I146,0.002447)</f>
        <v/>
      </c>
      <c r="E146" s="6">
        <f>IF(I146&gt;0,SUMIFS('02c_DC_Accel_Bridge'!$S$2:$S$1057,'02c_DC_Accel_Bridge'!$B$2:$B$1057,A146,'02c_DC_Accel_Bridge'!$C$2:$C$1057,B146,'02c_DC_Accel_Bridge'!$D$2:$D$1057,C146)/I146,0.081021)</f>
        <v/>
      </c>
      <c r="F146" s="6">
        <f>IF(I146&gt;0,SUMIFS('02c_DC_Accel_Bridge'!$T$2:$T$1057,'02c_DC_Accel_Bridge'!$B$2:$B$1057,A146,'02c_DC_Accel_Bridge'!$C$2:$C$1057,B146,'02c_DC_Accel_Bridge'!$D$2:$D$1057,C146)/I146,0.013457)</f>
        <v/>
      </c>
      <c r="G146" s="6">
        <f>IF(I146&gt;0,SUMIFS('02c_DC_Accel_Bridge'!$AA$2:$AA$1057,'02c_DC_Accel_Bridge'!$B$2:$B$1057,A146,'02c_DC_Accel_Bridge'!$C$2:$C$1057,B146,'02c_DC_Accel_Bridge'!$D$2:$D$1057,C146)/I146,0.903075)</f>
        <v/>
      </c>
      <c r="H146" s="6">
        <f>SUM(D146:G146)</f>
        <v/>
      </c>
      <c r="I146" s="28">
        <f>SUMIFS('02c_DC_Accel_Bridge'!$H$2:$H$1057,'02c_DC_Accel_Bridge'!$B$2:$B$1057,A146,'02c_DC_Accel_Bridge'!$C$2:$C$1057,B146,'02c_DC_Accel_Bridge'!$D$2:$D$1057,C146)</f>
        <v/>
      </c>
      <c r="J146" s="6">
        <f>IF(I146&gt;0,SUMIFS('02c_DC_Accel_Bridge'!$U$2:$U$1057,'02c_DC_Accel_Bridge'!$B$2:$B$1057,A146,'02c_DC_Accel_Bridge'!$C$2:$C$1057,B146,'02c_DC_Accel_Bridge'!$D$2:$D$1057,C146)/I146,0)</f>
        <v/>
      </c>
      <c r="K146" s="6">
        <f>IF(I146&gt;0,SUMIFS('02c_DC_Accel_Bridge'!$V$2:$V$1057,'02c_DC_Accel_Bridge'!$B$2:$B$1057,A146,'02c_DC_Accel_Bridge'!$C$2:$C$1057,B146,'02c_DC_Accel_Bridge'!$D$2:$D$1057,C146)/I146,0)</f>
        <v/>
      </c>
      <c r="L146" s="6">
        <f>IF(I146&gt;0,SUMIFS('02c_DC_Accel_Bridge'!$W$2:$W$1057,'02c_DC_Accel_Bridge'!$B$2:$B$1057,A146,'02c_DC_Accel_Bridge'!$C$2:$C$1057,B146,'02c_DC_Accel_Bridge'!$D$2:$D$1057,C146)/I146,0)</f>
        <v/>
      </c>
      <c r="M146" s="6">
        <f>IF(I146&gt;0,SUMIFS('02c_DC_Accel_Bridge'!$X$2:$X$1057,'02c_DC_Accel_Bridge'!$B$2:$B$1057,A146,'02c_DC_Accel_Bridge'!$C$2:$C$1057,B146,'02c_DC_Accel_Bridge'!$D$2:$D$1057,C146)/I146,0)</f>
        <v/>
      </c>
      <c r="N146" s="6">
        <f>IF(I146&gt;0,SUMIFS('02c_DC_Accel_Bridge'!$Y$2:$Y$1057,'02c_DC_Accel_Bridge'!$B$2:$B$1057,A146,'02c_DC_Accel_Bridge'!$C$2:$C$1057,B146,'02c_DC_Accel_Bridge'!$D$2:$D$1057,C146)/I146,0)</f>
        <v/>
      </c>
      <c r="O146" s="6">
        <f>IF(I146&gt;0,SUMIFS('02c_DC_Accel_Bridge'!$Z$2:$Z$1057,'02c_DC_Accel_Bridge'!$B$2:$B$1057,A146,'02c_DC_Accel_Bridge'!$C$2:$C$1057,B146,'02c_DC_Accel_Bridge'!$D$2:$D$1057,C146)/I146,0)</f>
        <v/>
      </c>
      <c r="P146" s="3" t="inlineStr">
        <is>
          <t>weighted average: sum(site inference_weight_mw * accelerator_share) / sum(site inference_weight_mw)</t>
        </is>
      </c>
      <c r="Q146" s="3" t="inlineStr">
        <is>
          <t>dc_capacity_x_dc_accelerator_mix</t>
        </is>
      </c>
      <c r="R146" s="3" t="inlineStr">
        <is>
          <t>Edit 02a capacity allocation and 02b site accelerator mix; 03_Calculation reads D:G from this sheet.</t>
        </is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>
        <f>IF(I147&gt;0,SUMIFS('02c_DC_Accel_Bridge'!$R$2:$R$1057,'02c_DC_Accel_Bridge'!$B$2:$B$1057,A147,'02c_DC_Accel_Bridge'!$C$2:$C$1057,B147,'02c_DC_Accel_Bridge'!$D$2:$D$1057,C147)/I147,0.0)</f>
        <v/>
      </c>
      <c r="E147" s="6">
        <f>IF(I147&gt;0,SUMIFS('02c_DC_Accel_Bridge'!$S$2:$S$1057,'02c_DC_Accel_Bridge'!$B$2:$B$1057,A147,'02c_DC_Accel_Bridge'!$C$2:$C$1057,B147,'02c_DC_Accel_Bridge'!$D$2:$D$1057,C147)/I147,1.0)</f>
        <v/>
      </c>
      <c r="F147" s="6">
        <f>IF(I147&gt;0,SUMIFS('02c_DC_Accel_Bridge'!$T$2:$T$1057,'02c_DC_Accel_Bridge'!$B$2:$B$1057,A147,'02c_DC_Accel_Bridge'!$C$2:$C$1057,B147,'02c_DC_Accel_Bridge'!$D$2:$D$1057,C147)/I147,0.0)</f>
        <v/>
      </c>
      <c r="G147" s="6">
        <f>IF(I147&gt;0,SUMIFS('02c_DC_Accel_Bridge'!$AA$2:$AA$1057,'02c_DC_Accel_Bridge'!$B$2:$B$1057,A147,'02c_DC_Accel_Bridge'!$C$2:$C$1057,B147,'02c_DC_Accel_Bridge'!$D$2:$D$1057,C147)/I147,0.0)</f>
        <v/>
      </c>
      <c r="H147" s="6">
        <f>SUM(D147:G147)</f>
        <v/>
      </c>
      <c r="I147" s="28">
        <f>SUMIFS('02c_DC_Accel_Bridge'!$H$2:$H$1057,'02c_DC_Accel_Bridge'!$B$2:$B$1057,A147,'02c_DC_Accel_Bridge'!$C$2:$C$1057,B147,'02c_DC_Accel_Bridge'!$D$2:$D$1057,C147)</f>
        <v/>
      </c>
      <c r="J147" s="6">
        <f>IF(I147&gt;0,SUMIFS('02c_DC_Accel_Bridge'!$U$2:$U$1057,'02c_DC_Accel_Bridge'!$B$2:$B$1057,A147,'02c_DC_Accel_Bridge'!$C$2:$C$1057,B147,'02c_DC_Accel_Bridge'!$D$2:$D$1057,C147)/I147,0)</f>
        <v/>
      </c>
      <c r="K147" s="6">
        <f>IF(I147&gt;0,SUMIFS('02c_DC_Accel_Bridge'!$V$2:$V$1057,'02c_DC_Accel_Bridge'!$B$2:$B$1057,A147,'02c_DC_Accel_Bridge'!$C$2:$C$1057,B147,'02c_DC_Accel_Bridge'!$D$2:$D$1057,C147)/I147,0)</f>
        <v/>
      </c>
      <c r="L147" s="6">
        <f>IF(I147&gt;0,SUMIFS('02c_DC_Accel_Bridge'!$W$2:$W$1057,'02c_DC_Accel_Bridge'!$B$2:$B$1057,A147,'02c_DC_Accel_Bridge'!$C$2:$C$1057,B147,'02c_DC_Accel_Bridge'!$D$2:$D$1057,C147)/I147,0)</f>
        <v/>
      </c>
      <c r="M147" s="6">
        <f>IF(I147&gt;0,SUMIFS('02c_DC_Accel_Bridge'!$X$2:$X$1057,'02c_DC_Accel_Bridge'!$B$2:$B$1057,A147,'02c_DC_Accel_Bridge'!$C$2:$C$1057,B147,'02c_DC_Accel_Bridge'!$D$2:$D$1057,C147)/I147,0)</f>
        <v/>
      </c>
      <c r="N147" s="6">
        <f>IF(I147&gt;0,SUMIFS('02c_DC_Accel_Bridge'!$Y$2:$Y$1057,'02c_DC_Accel_Bridge'!$B$2:$B$1057,A147,'02c_DC_Accel_Bridge'!$C$2:$C$1057,B147,'02c_DC_Accel_Bridge'!$D$2:$D$1057,C147)/I147,0)</f>
        <v/>
      </c>
      <c r="O147" s="6">
        <f>IF(I147&gt;0,SUMIFS('02c_DC_Accel_Bridge'!$Z$2:$Z$1057,'02c_DC_Accel_Bridge'!$B$2:$B$1057,A147,'02c_DC_Accel_Bridge'!$C$2:$C$1057,B147,'02c_DC_Accel_Bridge'!$D$2:$D$1057,C147)/I147,0)</f>
        <v/>
      </c>
      <c r="P147" s="3" t="inlineStr">
        <is>
          <t>weighted average: sum(site inference_weight_mw * accelerator_share) / sum(site inference_weight_mw)</t>
        </is>
      </c>
      <c r="Q147" s="3" t="inlineStr">
        <is>
          <t>dc_capacity_x_dc_accelerator_mix</t>
        </is>
      </c>
      <c r="R147" s="3" t="inlineStr">
        <is>
          <t>Edit 02a capacity allocation and 02b site accelerator mix; 03_Calculation reads D:G from this sheet.</t>
        </is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>
        <f>IF(I148&gt;0,SUMIFS('02c_DC_Accel_Bridge'!$R$2:$R$1057,'02c_DC_Accel_Bridge'!$B$2:$B$1057,A148,'02c_DC_Accel_Bridge'!$C$2:$C$1057,B148,'02c_DC_Accel_Bridge'!$D$2:$D$1057,C148)/I148,0.0)</f>
        <v/>
      </c>
      <c r="E148" s="6">
        <f>IF(I148&gt;0,SUMIFS('02c_DC_Accel_Bridge'!$S$2:$S$1057,'02c_DC_Accel_Bridge'!$B$2:$B$1057,A148,'02c_DC_Accel_Bridge'!$C$2:$C$1057,B148,'02c_DC_Accel_Bridge'!$D$2:$D$1057,C148)/I148,1.0)</f>
        <v/>
      </c>
      <c r="F148" s="6">
        <f>IF(I148&gt;0,SUMIFS('02c_DC_Accel_Bridge'!$T$2:$T$1057,'02c_DC_Accel_Bridge'!$B$2:$B$1057,A148,'02c_DC_Accel_Bridge'!$C$2:$C$1057,B148,'02c_DC_Accel_Bridge'!$D$2:$D$1057,C148)/I148,0.0)</f>
        <v/>
      </c>
      <c r="G148" s="6">
        <f>IF(I148&gt;0,SUMIFS('02c_DC_Accel_Bridge'!$AA$2:$AA$1057,'02c_DC_Accel_Bridge'!$B$2:$B$1057,A148,'02c_DC_Accel_Bridge'!$C$2:$C$1057,B148,'02c_DC_Accel_Bridge'!$D$2:$D$1057,C148)/I148,0.0)</f>
        <v/>
      </c>
      <c r="H148" s="6">
        <f>SUM(D148:G148)</f>
        <v/>
      </c>
      <c r="I148" s="28">
        <f>SUMIFS('02c_DC_Accel_Bridge'!$H$2:$H$1057,'02c_DC_Accel_Bridge'!$B$2:$B$1057,A148,'02c_DC_Accel_Bridge'!$C$2:$C$1057,B148,'02c_DC_Accel_Bridge'!$D$2:$D$1057,C148)</f>
        <v/>
      </c>
      <c r="J148" s="6">
        <f>IF(I148&gt;0,SUMIFS('02c_DC_Accel_Bridge'!$U$2:$U$1057,'02c_DC_Accel_Bridge'!$B$2:$B$1057,A148,'02c_DC_Accel_Bridge'!$C$2:$C$1057,B148,'02c_DC_Accel_Bridge'!$D$2:$D$1057,C148)/I148,0)</f>
        <v/>
      </c>
      <c r="K148" s="6">
        <f>IF(I148&gt;0,SUMIFS('02c_DC_Accel_Bridge'!$V$2:$V$1057,'02c_DC_Accel_Bridge'!$B$2:$B$1057,A148,'02c_DC_Accel_Bridge'!$C$2:$C$1057,B148,'02c_DC_Accel_Bridge'!$D$2:$D$1057,C148)/I148,0)</f>
        <v/>
      </c>
      <c r="L148" s="6">
        <f>IF(I148&gt;0,SUMIFS('02c_DC_Accel_Bridge'!$W$2:$W$1057,'02c_DC_Accel_Bridge'!$B$2:$B$1057,A148,'02c_DC_Accel_Bridge'!$C$2:$C$1057,B148,'02c_DC_Accel_Bridge'!$D$2:$D$1057,C148)/I148,0)</f>
        <v/>
      </c>
      <c r="M148" s="6">
        <f>IF(I148&gt;0,SUMIFS('02c_DC_Accel_Bridge'!$X$2:$X$1057,'02c_DC_Accel_Bridge'!$B$2:$B$1057,A148,'02c_DC_Accel_Bridge'!$C$2:$C$1057,B148,'02c_DC_Accel_Bridge'!$D$2:$D$1057,C148)/I148,0)</f>
        <v/>
      </c>
      <c r="N148" s="6">
        <f>IF(I148&gt;0,SUMIFS('02c_DC_Accel_Bridge'!$Y$2:$Y$1057,'02c_DC_Accel_Bridge'!$B$2:$B$1057,A148,'02c_DC_Accel_Bridge'!$C$2:$C$1057,B148,'02c_DC_Accel_Bridge'!$D$2:$D$1057,C148)/I148,0)</f>
        <v/>
      </c>
      <c r="O148" s="6">
        <f>IF(I148&gt;0,SUMIFS('02c_DC_Accel_Bridge'!$Z$2:$Z$1057,'02c_DC_Accel_Bridge'!$B$2:$B$1057,A148,'02c_DC_Accel_Bridge'!$C$2:$C$1057,B148,'02c_DC_Accel_Bridge'!$D$2:$D$1057,C148)/I148,0)</f>
        <v/>
      </c>
      <c r="P148" s="3" t="inlineStr">
        <is>
          <t>weighted average: sum(site inference_weight_mw * accelerator_share) / sum(site inference_weight_mw)</t>
        </is>
      </c>
      <c r="Q148" s="3" t="inlineStr">
        <is>
          <t>dc_capacity_x_dc_accelerator_mix</t>
        </is>
      </c>
      <c r="R148" s="3" t="inlineStr">
        <is>
          <t>Edit 02a capacity allocation and 02b site accelerator mix; 03_Calculation reads D:G from this sheet.</t>
        </is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>
        <f>IF(I149&gt;0,SUMIFS('02c_DC_Accel_Bridge'!$R$2:$R$1057,'02c_DC_Accel_Bridge'!$B$2:$B$1057,A149,'02c_DC_Accel_Bridge'!$C$2:$C$1057,B149,'02c_DC_Accel_Bridge'!$D$2:$D$1057,C149)/I149,0.0)</f>
        <v/>
      </c>
      <c r="E149" s="6">
        <f>IF(I149&gt;0,SUMIFS('02c_DC_Accel_Bridge'!$S$2:$S$1057,'02c_DC_Accel_Bridge'!$B$2:$B$1057,A149,'02c_DC_Accel_Bridge'!$C$2:$C$1057,B149,'02c_DC_Accel_Bridge'!$D$2:$D$1057,C149)/I149,0.612306)</f>
        <v/>
      </c>
      <c r="F149" s="6">
        <f>IF(I149&gt;0,SUMIFS('02c_DC_Accel_Bridge'!$T$2:$T$1057,'02c_DC_Accel_Bridge'!$B$2:$B$1057,A149,'02c_DC_Accel_Bridge'!$C$2:$C$1057,B149,'02c_DC_Accel_Bridge'!$D$2:$D$1057,C149)/I149,0.0)</f>
        <v/>
      </c>
      <c r="G149" s="6">
        <f>IF(I149&gt;0,SUMIFS('02c_DC_Accel_Bridge'!$AA$2:$AA$1057,'02c_DC_Accel_Bridge'!$B$2:$B$1057,A149,'02c_DC_Accel_Bridge'!$C$2:$C$1057,B149,'02c_DC_Accel_Bridge'!$D$2:$D$1057,C149)/I149,0.387694)</f>
        <v/>
      </c>
      <c r="H149" s="6">
        <f>SUM(D149:G149)</f>
        <v/>
      </c>
      <c r="I149" s="28">
        <f>SUMIFS('02c_DC_Accel_Bridge'!$H$2:$H$1057,'02c_DC_Accel_Bridge'!$B$2:$B$1057,A149,'02c_DC_Accel_Bridge'!$C$2:$C$1057,B149,'02c_DC_Accel_Bridge'!$D$2:$D$1057,C149)</f>
        <v/>
      </c>
      <c r="J149" s="6">
        <f>IF(I149&gt;0,SUMIFS('02c_DC_Accel_Bridge'!$U$2:$U$1057,'02c_DC_Accel_Bridge'!$B$2:$B$1057,A149,'02c_DC_Accel_Bridge'!$C$2:$C$1057,B149,'02c_DC_Accel_Bridge'!$D$2:$D$1057,C149)/I149,0)</f>
        <v/>
      </c>
      <c r="K149" s="6">
        <f>IF(I149&gt;0,SUMIFS('02c_DC_Accel_Bridge'!$V$2:$V$1057,'02c_DC_Accel_Bridge'!$B$2:$B$1057,A149,'02c_DC_Accel_Bridge'!$C$2:$C$1057,B149,'02c_DC_Accel_Bridge'!$D$2:$D$1057,C149)/I149,0)</f>
        <v/>
      </c>
      <c r="L149" s="6">
        <f>IF(I149&gt;0,SUMIFS('02c_DC_Accel_Bridge'!$W$2:$W$1057,'02c_DC_Accel_Bridge'!$B$2:$B$1057,A149,'02c_DC_Accel_Bridge'!$C$2:$C$1057,B149,'02c_DC_Accel_Bridge'!$D$2:$D$1057,C149)/I149,0)</f>
        <v/>
      </c>
      <c r="M149" s="6">
        <f>IF(I149&gt;0,SUMIFS('02c_DC_Accel_Bridge'!$X$2:$X$1057,'02c_DC_Accel_Bridge'!$B$2:$B$1057,A149,'02c_DC_Accel_Bridge'!$C$2:$C$1057,B149,'02c_DC_Accel_Bridge'!$D$2:$D$1057,C149)/I149,0)</f>
        <v/>
      </c>
      <c r="N149" s="6">
        <f>IF(I149&gt;0,SUMIFS('02c_DC_Accel_Bridge'!$Y$2:$Y$1057,'02c_DC_Accel_Bridge'!$B$2:$B$1057,A149,'02c_DC_Accel_Bridge'!$C$2:$C$1057,B149,'02c_DC_Accel_Bridge'!$D$2:$D$1057,C149)/I149,0)</f>
        <v/>
      </c>
      <c r="O149" s="6">
        <f>IF(I149&gt;0,SUMIFS('02c_DC_Accel_Bridge'!$Z$2:$Z$1057,'02c_DC_Accel_Bridge'!$B$2:$B$1057,A149,'02c_DC_Accel_Bridge'!$C$2:$C$1057,B149,'02c_DC_Accel_Bridge'!$D$2:$D$1057,C149)/I149,0)</f>
        <v/>
      </c>
      <c r="P149" s="3" t="inlineStr">
        <is>
          <t>weighted average: sum(site inference_weight_mw * accelerator_share) / sum(site inference_weight_mw)</t>
        </is>
      </c>
      <c r="Q149" s="3" t="inlineStr">
        <is>
          <t>dc_capacity_x_dc_accelerator_mix</t>
        </is>
      </c>
      <c r="R149" s="3" t="inlineStr">
        <is>
          <t>Edit 02a capacity allocation and 02b site accelerator mix; 03_Calculation reads D:G from this sheet.</t>
        </is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>
        <f>IF(I150&gt;0,SUMIFS('02c_DC_Accel_Bridge'!$R$2:$R$1057,'02c_DC_Accel_Bridge'!$B$2:$B$1057,A150,'02c_DC_Accel_Bridge'!$C$2:$C$1057,B150,'02c_DC_Accel_Bridge'!$D$2:$D$1057,C150)/I150,0.0)</f>
        <v/>
      </c>
      <c r="E150" s="6">
        <f>IF(I150&gt;0,SUMIFS('02c_DC_Accel_Bridge'!$S$2:$S$1057,'02c_DC_Accel_Bridge'!$B$2:$B$1057,A150,'02c_DC_Accel_Bridge'!$C$2:$C$1057,B150,'02c_DC_Accel_Bridge'!$D$2:$D$1057,C150)/I150,0.612306)</f>
        <v/>
      </c>
      <c r="F150" s="6">
        <f>IF(I150&gt;0,SUMIFS('02c_DC_Accel_Bridge'!$T$2:$T$1057,'02c_DC_Accel_Bridge'!$B$2:$B$1057,A150,'02c_DC_Accel_Bridge'!$C$2:$C$1057,B150,'02c_DC_Accel_Bridge'!$D$2:$D$1057,C150)/I150,0.0)</f>
        <v/>
      </c>
      <c r="G150" s="6">
        <f>IF(I150&gt;0,SUMIFS('02c_DC_Accel_Bridge'!$AA$2:$AA$1057,'02c_DC_Accel_Bridge'!$B$2:$B$1057,A150,'02c_DC_Accel_Bridge'!$C$2:$C$1057,B150,'02c_DC_Accel_Bridge'!$D$2:$D$1057,C150)/I150,0.387694)</f>
        <v/>
      </c>
      <c r="H150" s="6">
        <f>SUM(D150:G150)</f>
        <v/>
      </c>
      <c r="I150" s="28">
        <f>SUMIFS('02c_DC_Accel_Bridge'!$H$2:$H$1057,'02c_DC_Accel_Bridge'!$B$2:$B$1057,A150,'02c_DC_Accel_Bridge'!$C$2:$C$1057,B150,'02c_DC_Accel_Bridge'!$D$2:$D$1057,C150)</f>
        <v/>
      </c>
      <c r="J150" s="6">
        <f>IF(I150&gt;0,SUMIFS('02c_DC_Accel_Bridge'!$U$2:$U$1057,'02c_DC_Accel_Bridge'!$B$2:$B$1057,A150,'02c_DC_Accel_Bridge'!$C$2:$C$1057,B150,'02c_DC_Accel_Bridge'!$D$2:$D$1057,C150)/I150,0)</f>
        <v/>
      </c>
      <c r="K150" s="6">
        <f>IF(I150&gt;0,SUMIFS('02c_DC_Accel_Bridge'!$V$2:$V$1057,'02c_DC_Accel_Bridge'!$B$2:$B$1057,A150,'02c_DC_Accel_Bridge'!$C$2:$C$1057,B150,'02c_DC_Accel_Bridge'!$D$2:$D$1057,C150)/I150,0)</f>
        <v/>
      </c>
      <c r="L150" s="6">
        <f>IF(I150&gt;0,SUMIFS('02c_DC_Accel_Bridge'!$W$2:$W$1057,'02c_DC_Accel_Bridge'!$B$2:$B$1057,A150,'02c_DC_Accel_Bridge'!$C$2:$C$1057,B150,'02c_DC_Accel_Bridge'!$D$2:$D$1057,C150)/I150,0)</f>
        <v/>
      </c>
      <c r="M150" s="6">
        <f>IF(I150&gt;0,SUMIFS('02c_DC_Accel_Bridge'!$X$2:$X$1057,'02c_DC_Accel_Bridge'!$B$2:$B$1057,A150,'02c_DC_Accel_Bridge'!$C$2:$C$1057,B150,'02c_DC_Accel_Bridge'!$D$2:$D$1057,C150)/I150,0)</f>
        <v/>
      </c>
      <c r="N150" s="6">
        <f>IF(I150&gt;0,SUMIFS('02c_DC_Accel_Bridge'!$Y$2:$Y$1057,'02c_DC_Accel_Bridge'!$B$2:$B$1057,A150,'02c_DC_Accel_Bridge'!$C$2:$C$1057,B150,'02c_DC_Accel_Bridge'!$D$2:$D$1057,C150)/I150,0)</f>
        <v/>
      </c>
      <c r="O150" s="6">
        <f>IF(I150&gt;0,SUMIFS('02c_DC_Accel_Bridge'!$Z$2:$Z$1057,'02c_DC_Accel_Bridge'!$B$2:$B$1057,A150,'02c_DC_Accel_Bridge'!$C$2:$C$1057,B150,'02c_DC_Accel_Bridge'!$D$2:$D$1057,C150)/I150,0)</f>
        <v/>
      </c>
      <c r="P150" s="3" t="inlineStr">
        <is>
          <t>weighted average: sum(site inference_weight_mw * accelerator_share) / sum(site inference_weight_mw)</t>
        </is>
      </c>
      <c r="Q150" s="3" t="inlineStr">
        <is>
          <t>dc_capacity_x_dc_accelerator_mix</t>
        </is>
      </c>
      <c r="R150" s="3" t="inlineStr">
        <is>
          <t>Edit 02a capacity allocation and 02b site accelerator mix; 03_Calculation reads D:G from this sheet.</t>
        </is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>
        <f>IF(I151&gt;0,SUMIFS('02c_DC_Accel_Bridge'!$R$2:$R$1057,'02c_DC_Accel_Bridge'!$B$2:$B$1057,A151,'02c_DC_Accel_Bridge'!$C$2:$C$1057,B151,'02c_DC_Accel_Bridge'!$D$2:$D$1057,C151)/I151,0.0)</f>
        <v/>
      </c>
      <c r="E151" s="6">
        <f>IF(I151&gt;0,SUMIFS('02c_DC_Accel_Bridge'!$S$2:$S$1057,'02c_DC_Accel_Bridge'!$B$2:$B$1057,A151,'02c_DC_Accel_Bridge'!$C$2:$C$1057,B151,'02c_DC_Accel_Bridge'!$D$2:$D$1057,C151)/I151,0.612306)</f>
        <v/>
      </c>
      <c r="F151" s="6">
        <f>IF(I151&gt;0,SUMIFS('02c_DC_Accel_Bridge'!$T$2:$T$1057,'02c_DC_Accel_Bridge'!$B$2:$B$1057,A151,'02c_DC_Accel_Bridge'!$C$2:$C$1057,B151,'02c_DC_Accel_Bridge'!$D$2:$D$1057,C151)/I151,0.0)</f>
        <v/>
      </c>
      <c r="G151" s="6">
        <f>IF(I151&gt;0,SUMIFS('02c_DC_Accel_Bridge'!$AA$2:$AA$1057,'02c_DC_Accel_Bridge'!$B$2:$B$1057,A151,'02c_DC_Accel_Bridge'!$C$2:$C$1057,B151,'02c_DC_Accel_Bridge'!$D$2:$D$1057,C151)/I151,0.387694)</f>
        <v/>
      </c>
      <c r="H151" s="6">
        <f>SUM(D151:G151)</f>
        <v/>
      </c>
      <c r="I151" s="28">
        <f>SUMIFS('02c_DC_Accel_Bridge'!$H$2:$H$1057,'02c_DC_Accel_Bridge'!$B$2:$B$1057,A151,'02c_DC_Accel_Bridge'!$C$2:$C$1057,B151,'02c_DC_Accel_Bridge'!$D$2:$D$1057,C151)</f>
        <v/>
      </c>
      <c r="J151" s="6">
        <f>IF(I151&gt;0,SUMIFS('02c_DC_Accel_Bridge'!$U$2:$U$1057,'02c_DC_Accel_Bridge'!$B$2:$B$1057,A151,'02c_DC_Accel_Bridge'!$C$2:$C$1057,B151,'02c_DC_Accel_Bridge'!$D$2:$D$1057,C151)/I151,0)</f>
        <v/>
      </c>
      <c r="K151" s="6">
        <f>IF(I151&gt;0,SUMIFS('02c_DC_Accel_Bridge'!$V$2:$V$1057,'02c_DC_Accel_Bridge'!$B$2:$B$1057,A151,'02c_DC_Accel_Bridge'!$C$2:$C$1057,B151,'02c_DC_Accel_Bridge'!$D$2:$D$1057,C151)/I151,0)</f>
        <v/>
      </c>
      <c r="L151" s="6">
        <f>IF(I151&gt;0,SUMIFS('02c_DC_Accel_Bridge'!$W$2:$W$1057,'02c_DC_Accel_Bridge'!$B$2:$B$1057,A151,'02c_DC_Accel_Bridge'!$C$2:$C$1057,B151,'02c_DC_Accel_Bridge'!$D$2:$D$1057,C151)/I151,0)</f>
        <v/>
      </c>
      <c r="M151" s="6">
        <f>IF(I151&gt;0,SUMIFS('02c_DC_Accel_Bridge'!$X$2:$X$1057,'02c_DC_Accel_Bridge'!$B$2:$B$1057,A151,'02c_DC_Accel_Bridge'!$C$2:$C$1057,B151,'02c_DC_Accel_Bridge'!$D$2:$D$1057,C151)/I151,0)</f>
        <v/>
      </c>
      <c r="N151" s="6">
        <f>IF(I151&gt;0,SUMIFS('02c_DC_Accel_Bridge'!$Y$2:$Y$1057,'02c_DC_Accel_Bridge'!$B$2:$B$1057,A151,'02c_DC_Accel_Bridge'!$C$2:$C$1057,B151,'02c_DC_Accel_Bridge'!$D$2:$D$1057,C151)/I151,0)</f>
        <v/>
      </c>
      <c r="O151" s="6">
        <f>IF(I151&gt;0,SUMIFS('02c_DC_Accel_Bridge'!$Z$2:$Z$1057,'02c_DC_Accel_Bridge'!$B$2:$B$1057,A151,'02c_DC_Accel_Bridge'!$C$2:$C$1057,B151,'02c_DC_Accel_Bridge'!$D$2:$D$1057,C151)/I151,0)</f>
        <v/>
      </c>
      <c r="P151" s="3" t="inlineStr">
        <is>
          <t>weighted average: sum(site inference_weight_mw * accelerator_share) / sum(site inference_weight_mw)</t>
        </is>
      </c>
      <c r="Q151" s="3" t="inlineStr">
        <is>
          <t>dc_capacity_x_dc_accelerator_mix</t>
        </is>
      </c>
      <c r="R151" s="3" t="inlineStr">
        <is>
          <t>Edit 02a capacity allocation and 02b site accelerator mix; 03_Calculation reads D:G from this sheet.</t>
        </is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>
        <f>IF(I152&gt;0,SUMIFS('02c_DC_Accel_Bridge'!$R$2:$R$1057,'02c_DC_Accel_Bridge'!$B$2:$B$1057,A152,'02c_DC_Accel_Bridge'!$C$2:$C$1057,B152,'02c_DC_Accel_Bridge'!$D$2:$D$1057,C152)/I152,0.0)</f>
        <v/>
      </c>
      <c r="E152" s="6">
        <f>IF(I152&gt;0,SUMIFS('02c_DC_Accel_Bridge'!$S$2:$S$1057,'02c_DC_Accel_Bridge'!$B$2:$B$1057,A152,'02c_DC_Accel_Bridge'!$C$2:$C$1057,B152,'02c_DC_Accel_Bridge'!$D$2:$D$1057,C152)/I152,1.0)</f>
        <v/>
      </c>
      <c r="F152" s="6">
        <f>IF(I152&gt;0,SUMIFS('02c_DC_Accel_Bridge'!$T$2:$T$1057,'02c_DC_Accel_Bridge'!$B$2:$B$1057,A152,'02c_DC_Accel_Bridge'!$C$2:$C$1057,B152,'02c_DC_Accel_Bridge'!$D$2:$D$1057,C152)/I152,0.0)</f>
        <v/>
      </c>
      <c r="G152" s="6">
        <f>IF(I152&gt;0,SUMIFS('02c_DC_Accel_Bridge'!$AA$2:$AA$1057,'02c_DC_Accel_Bridge'!$B$2:$B$1057,A152,'02c_DC_Accel_Bridge'!$C$2:$C$1057,B152,'02c_DC_Accel_Bridge'!$D$2:$D$1057,C152)/I152,0.0)</f>
        <v/>
      </c>
      <c r="H152" s="6">
        <f>SUM(D152:G152)</f>
        <v/>
      </c>
      <c r="I152" s="28">
        <f>SUMIFS('02c_DC_Accel_Bridge'!$H$2:$H$1057,'02c_DC_Accel_Bridge'!$B$2:$B$1057,A152,'02c_DC_Accel_Bridge'!$C$2:$C$1057,B152,'02c_DC_Accel_Bridge'!$D$2:$D$1057,C152)</f>
        <v/>
      </c>
      <c r="J152" s="6">
        <f>IF(I152&gt;0,SUMIFS('02c_DC_Accel_Bridge'!$U$2:$U$1057,'02c_DC_Accel_Bridge'!$B$2:$B$1057,A152,'02c_DC_Accel_Bridge'!$C$2:$C$1057,B152,'02c_DC_Accel_Bridge'!$D$2:$D$1057,C152)/I152,0)</f>
        <v/>
      </c>
      <c r="K152" s="6">
        <f>IF(I152&gt;0,SUMIFS('02c_DC_Accel_Bridge'!$V$2:$V$1057,'02c_DC_Accel_Bridge'!$B$2:$B$1057,A152,'02c_DC_Accel_Bridge'!$C$2:$C$1057,B152,'02c_DC_Accel_Bridge'!$D$2:$D$1057,C152)/I152,0)</f>
        <v/>
      </c>
      <c r="L152" s="6">
        <f>IF(I152&gt;0,SUMIFS('02c_DC_Accel_Bridge'!$W$2:$W$1057,'02c_DC_Accel_Bridge'!$B$2:$B$1057,A152,'02c_DC_Accel_Bridge'!$C$2:$C$1057,B152,'02c_DC_Accel_Bridge'!$D$2:$D$1057,C152)/I152,0)</f>
        <v/>
      </c>
      <c r="M152" s="6">
        <f>IF(I152&gt;0,SUMIFS('02c_DC_Accel_Bridge'!$X$2:$X$1057,'02c_DC_Accel_Bridge'!$B$2:$B$1057,A152,'02c_DC_Accel_Bridge'!$C$2:$C$1057,B152,'02c_DC_Accel_Bridge'!$D$2:$D$1057,C152)/I152,0)</f>
        <v/>
      </c>
      <c r="N152" s="6">
        <f>IF(I152&gt;0,SUMIFS('02c_DC_Accel_Bridge'!$Y$2:$Y$1057,'02c_DC_Accel_Bridge'!$B$2:$B$1057,A152,'02c_DC_Accel_Bridge'!$C$2:$C$1057,B152,'02c_DC_Accel_Bridge'!$D$2:$D$1057,C152)/I152,0)</f>
        <v/>
      </c>
      <c r="O152" s="6">
        <f>IF(I152&gt;0,SUMIFS('02c_DC_Accel_Bridge'!$Z$2:$Z$1057,'02c_DC_Accel_Bridge'!$B$2:$B$1057,A152,'02c_DC_Accel_Bridge'!$C$2:$C$1057,B152,'02c_DC_Accel_Bridge'!$D$2:$D$1057,C152)/I152,0)</f>
        <v/>
      </c>
      <c r="P152" s="3" t="inlineStr">
        <is>
          <t>weighted average: sum(site inference_weight_mw * accelerator_share) / sum(site inference_weight_mw)</t>
        </is>
      </c>
      <c r="Q152" s="3" t="inlineStr">
        <is>
          <t>dc_capacity_x_dc_accelerator_mix</t>
        </is>
      </c>
      <c r="R152" s="3" t="inlineStr">
        <is>
          <t>Edit 02a capacity allocation and 02b site accelerator mix; 03_Calculation reads D:G from this sheet.</t>
        </is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>
        <f>IF(I153&gt;0,SUMIFS('02c_DC_Accel_Bridge'!$R$2:$R$1057,'02c_DC_Accel_Bridge'!$B$2:$B$1057,A153,'02c_DC_Accel_Bridge'!$C$2:$C$1057,B153,'02c_DC_Accel_Bridge'!$D$2:$D$1057,C153)/I153,0.0)</f>
        <v/>
      </c>
      <c r="E153" s="6">
        <f>IF(I153&gt;0,SUMIFS('02c_DC_Accel_Bridge'!$S$2:$S$1057,'02c_DC_Accel_Bridge'!$B$2:$B$1057,A153,'02c_DC_Accel_Bridge'!$C$2:$C$1057,B153,'02c_DC_Accel_Bridge'!$D$2:$D$1057,C153)/I153,1.0)</f>
        <v/>
      </c>
      <c r="F153" s="6">
        <f>IF(I153&gt;0,SUMIFS('02c_DC_Accel_Bridge'!$T$2:$T$1057,'02c_DC_Accel_Bridge'!$B$2:$B$1057,A153,'02c_DC_Accel_Bridge'!$C$2:$C$1057,B153,'02c_DC_Accel_Bridge'!$D$2:$D$1057,C153)/I153,0.0)</f>
        <v/>
      </c>
      <c r="G153" s="6">
        <f>IF(I153&gt;0,SUMIFS('02c_DC_Accel_Bridge'!$AA$2:$AA$1057,'02c_DC_Accel_Bridge'!$B$2:$B$1057,A153,'02c_DC_Accel_Bridge'!$C$2:$C$1057,B153,'02c_DC_Accel_Bridge'!$D$2:$D$1057,C153)/I153,0.0)</f>
        <v/>
      </c>
      <c r="H153" s="6">
        <f>SUM(D153:G153)</f>
        <v/>
      </c>
      <c r="I153" s="28">
        <f>SUMIFS('02c_DC_Accel_Bridge'!$H$2:$H$1057,'02c_DC_Accel_Bridge'!$B$2:$B$1057,A153,'02c_DC_Accel_Bridge'!$C$2:$C$1057,B153,'02c_DC_Accel_Bridge'!$D$2:$D$1057,C153)</f>
        <v/>
      </c>
      <c r="J153" s="6">
        <f>IF(I153&gt;0,SUMIFS('02c_DC_Accel_Bridge'!$U$2:$U$1057,'02c_DC_Accel_Bridge'!$B$2:$B$1057,A153,'02c_DC_Accel_Bridge'!$C$2:$C$1057,B153,'02c_DC_Accel_Bridge'!$D$2:$D$1057,C153)/I153,0)</f>
        <v/>
      </c>
      <c r="K153" s="6">
        <f>IF(I153&gt;0,SUMIFS('02c_DC_Accel_Bridge'!$V$2:$V$1057,'02c_DC_Accel_Bridge'!$B$2:$B$1057,A153,'02c_DC_Accel_Bridge'!$C$2:$C$1057,B153,'02c_DC_Accel_Bridge'!$D$2:$D$1057,C153)/I153,0)</f>
        <v/>
      </c>
      <c r="L153" s="6">
        <f>IF(I153&gt;0,SUMIFS('02c_DC_Accel_Bridge'!$W$2:$W$1057,'02c_DC_Accel_Bridge'!$B$2:$B$1057,A153,'02c_DC_Accel_Bridge'!$C$2:$C$1057,B153,'02c_DC_Accel_Bridge'!$D$2:$D$1057,C153)/I153,0)</f>
        <v/>
      </c>
      <c r="M153" s="6">
        <f>IF(I153&gt;0,SUMIFS('02c_DC_Accel_Bridge'!$X$2:$X$1057,'02c_DC_Accel_Bridge'!$B$2:$B$1057,A153,'02c_DC_Accel_Bridge'!$C$2:$C$1057,B153,'02c_DC_Accel_Bridge'!$D$2:$D$1057,C153)/I153,0)</f>
        <v/>
      </c>
      <c r="N153" s="6">
        <f>IF(I153&gt;0,SUMIFS('02c_DC_Accel_Bridge'!$Y$2:$Y$1057,'02c_DC_Accel_Bridge'!$B$2:$B$1057,A153,'02c_DC_Accel_Bridge'!$C$2:$C$1057,B153,'02c_DC_Accel_Bridge'!$D$2:$D$1057,C153)/I153,0)</f>
        <v/>
      </c>
      <c r="O153" s="6">
        <f>IF(I153&gt;0,SUMIFS('02c_DC_Accel_Bridge'!$Z$2:$Z$1057,'02c_DC_Accel_Bridge'!$B$2:$B$1057,A153,'02c_DC_Accel_Bridge'!$C$2:$C$1057,B153,'02c_DC_Accel_Bridge'!$D$2:$D$1057,C153)/I153,0)</f>
        <v/>
      </c>
      <c r="P153" s="3" t="inlineStr">
        <is>
          <t>weighted average: sum(site inference_weight_mw * accelerator_share) / sum(site inference_weight_mw)</t>
        </is>
      </c>
      <c r="Q153" s="3" t="inlineStr">
        <is>
          <t>dc_capacity_x_dc_accelerator_mix</t>
        </is>
      </c>
      <c r="R153" s="3" t="inlineStr">
        <is>
          <t>Edit 02a capacity allocation and 02b site accelerator mix; 03_Calculation reads D:G from this sheet.</t>
        </is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>
        <f>IF(I154&gt;0,SUMIFS('02c_DC_Accel_Bridge'!$R$2:$R$1057,'02c_DC_Accel_Bridge'!$B$2:$B$1057,A154,'02c_DC_Accel_Bridge'!$C$2:$C$1057,B154,'02c_DC_Accel_Bridge'!$D$2:$D$1057,C154)/I154,0.0)</f>
        <v/>
      </c>
      <c r="E154" s="6">
        <f>IF(I154&gt;0,SUMIFS('02c_DC_Accel_Bridge'!$S$2:$S$1057,'02c_DC_Accel_Bridge'!$B$2:$B$1057,A154,'02c_DC_Accel_Bridge'!$C$2:$C$1057,B154,'02c_DC_Accel_Bridge'!$D$2:$D$1057,C154)/I154,1.0)</f>
        <v/>
      </c>
      <c r="F154" s="6">
        <f>IF(I154&gt;0,SUMIFS('02c_DC_Accel_Bridge'!$T$2:$T$1057,'02c_DC_Accel_Bridge'!$B$2:$B$1057,A154,'02c_DC_Accel_Bridge'!$C$2:$C$1057,B154,'02c_DC_Accel_Bridge'!$D$2:$D$1057,C154)/I154,0.0)</f>
        <v/>
      </c>
      <c r="G154" s="6">
        <f>IF(I154&gt;0,SUMIFS('02c_DC_Accel_Bridge'!$AA$2:$AA$1057,'02c_DC_Accel_Bridge'!$B$2:$B$1057,A154,'02c_DC_Accel_Bridge'!$C$2:$C$1057,B154,'02c_DC_Accel_Bridge'!$D$2:$D$1057,C154)/I154,0.0)</f>
        <v/>
      </c>
      <c r="H154" s="6">
        <f>SUM(D154:G154)</f>
        <v/>
      </c>
      <c r="I154" s="28">
        <f>SUMIFS('02c_DC_Accel_Bridge'!$H$2:$H$1057,'02c_DC_Accel_Bridge'!$B$2:$B$1057,A154,'02c_DC_Accel_Bridge'!$C$2:$C$1057,B154,'02c_DC_Accel_Bridge'!$D$2:$D$1057,C154)</f>
        <v/>
      </c>
      <c r="J154" s="6">
        <f>IF(I154&gt;0,SUMIFS('02c_DC_Accel_Bridge'!$U$2:$U$1057,'02c_DC_Accel_Bridge'!$B$2:$B$1057,A154,'02c_DC_Accel_Bridge'!$C$2:$C$1057,B154,'02c_DC_Accel_Bridge'!$D$2:$D$1057,C154)/I154,0)</f>
        <v/>
      </c>
      <c r="K154" s="6">
        <f>IF(I154&gt;0,SUMIFS('02c_DC_Accel_Bridge'!$V$2:$V$1057,'02c_DC_Accel_Bridge'!$B$2:$B$1057,A154,'02c_DC_Accel_Bridge'!$C$2:$C$1057,B154,'02c_DC_Accel_Bridge'!$D$2:$D$1057,C154)/I154,0)</f>
        <v/>
      </c>
      <c r="L154" s="6">
        <f>IF(I154&gt;0,SUMIFS('02c_DC_Accel_Bridge'!$W$2:$W$1057,'02c_DC_Accel_Bridge'!$B$2:$B$1057,A154,'02c_DC_Accel_Bridge'!$C$2:$C$1057,B154,'02c_DC_Accel_Bridge'!$D$2:$D$1057,C154)/I154,0)</f>
        <v/>
      </c>
      <c r="M154" s="6">
        <f>IF(I154&gt;0,SUMIFS('02c_DC_Accel_Bridge'!$X$2:$X$1057,'02c_DC_Accel_Bridge'!$B$2:$B$1057,A154,'02c_DC_Accel_Bridge'!$C$2:$C$1057,B154,'02c_DC_Accel_Bridge'!$D$2:$D$1057,C154)/I154,0)</f>
        <v/>
      </c>
      <c r="N154" s="6">
        <f>IF(I154&gt;0,SUMIFS('02c_DC_Accel_Bridge'!$Y$2:$Y$1057,'02c_DC_Accel_Bridge'!$B$2:$B$1057,A154,'02c_DC_Accel_Bridge'!$C$2:$C$1057,B154,'02c_DC_Accel_Bridge'!$D$2:$D$1057,C154)/I154,0)</f>
        <v/>
      </c>
      <c r="O154" s="6">
        <f>IF(I154&gt;0,SUMIFS('02c_DC_Accel_Bridge'!$Z$2:$Z$1057,'02c_DC_Accel_Bridge'!$B$2:$B$1057,A154,'02c_DC_Accel_Bridge'!$C$2:$C$1057,B154,'02c_DC_Accel_Bridge'!$D$2:$D$1057,C154)/I154,0)</f>
        <v/>
      </c>
      <c r="P154" s="3" t="inlineStr">
        <is>
          <t>weighted average: sum(site inference_weight_mw * accelerator_share) / sum(site inference_weight_mw)</t>
        </is>
      </c>
      <c r="Q154" s="3" t="inlineStr">
        <is>
          <t>dc_capacity_x_dc_accelerator_mix</t>
        </is>
      </c>
      <c r="R154" s="3" t="inlineStr">
        <is>
          <t>Edit 02a capacity allocation and 02b site accelerator mix; 03_Calculation reads D:G from this sheet.</t>
        </is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>
        <f>IF(I155&gt;0,SUMIFS('02c_DC_Accel_Bridge'!$R$2:$R$1057,'02c_DC_Accel_Bridge'!$B$2:$B$1057,A155,'02c_DC_Accel_Bridge'!$C$2:$C$1057,B155,'02c_DC_Accel_Bridge'!$D$2:$D$1057,C155)/I155,0.0)</f>
        <v/>
      </c>
      <c r="E155" s="6">
        <f>IF(I155&gt;0,SUMIFS('02c_DC_Accel_Bridge'!$S$2:$S$1057,'02c_DC_Accel_Bridge'!$B$2:$B$1057,A155,'02c_DC_Accel_Bridge'!$C$2:$C$1057,B155,'02c_DC_Accel_Bridge'!$D$2:$D$1057,C155)/I155,1.0)</f>
        <v/>
      </c>
      <c r="F155" s="6">
        <f>IF(I155&gt;0,SUMIFS('02c_DC_Accel_Bridge'!$T$2:$T$1057,'02c_DC_Accel_Bridge'!$B$2:$B$1057,A155,'02c_DC_Accel_Bridge'!$C$2:$C$1057,B155,'02c_DC_Accel_Bridge'!$D$2:$D$1057,C155)/I155,0.0)</f>
        <v/>
      </c>
      <c r="G155" s="6">
        <f>IF(I155&gt;0,SUMIFS('02c_DC_Accel_Bridge'!$AA$2:$AA$1057,'02c_DC_Accel_Bridge'!$B$2:$B$1057,A155,'02c_DC_Accel_Bridge'!$C$2:$C$1057,B155,'02c_DC_Accel_Bridge'!$D$2:$D$1057,C155)/I155,0.0)</f>
        <v/>
      </c>
      <c r="H155" s="6">
        <f>SUM(D155:G155)</f>
        <v/>
      </c>
      <c r="I155" s="28">
        <f>SUMIFS('02c_DC_Accel_Bridge'!$H$2:$H$1057,'02c_DC_Accel_Bridge'!$B$2:$B$1057,A155,'02c_DC_Accel_Bridge'!$C$2:$C$1057,B155,'02c_DC_Accel_Bridge'!$D$2:$D$1057,C155)</f>
        <v/>
      </c>
      <c r="J155" s="6">
        <f>IF(I155&gt;0,SUMIFS('02c_DC_Accel_Bridge'!$U$2:$U$1057,'02c_DC_Accel_Bridge'!$B$2:$B$1057,A155,'02c_DC_Accel_Bridge'!$C$2:$C$1057,B155,'02c_DC_Accel_Bridge'!$D$2:$D$1057,C155)/I155,0)</f>
        <v/>
      </c>
      <c r="K155" s="6">
        <f>IF(I155&gt;0,SUMIFS('02c_DC_Accel_Bridge'!$V$2:$V$1057,'02c_DC_Accel_Bridge'!$B$2:$B$1057,A155,'02c_DC_Accel_Bridge'!$C$2:$C$1057,B155,'02c_DC_Accel_Bridge'!$D$2:$D$1057,C155)/I155,0)</f>
        <v/>
      </c>
      <c r="L155" s="6">
        <f>IF(I155&gt;0,SUMIFS('02c_DC_Accel_Bridge'!$W$2:$W$1057,'02c_DC_Accel_Bridge'!$B$2:$B$1057,A155,'02c_DC_Accel_Bridge'!$C$2:$C$1057,B155,'02c_DC_Accel_Bridge'!$D$2:$D$1057,C155)/I155,0)</f>
        <v/>
      </c>
      <c r="M155" s="6">
        <f>IF(I155&gt;0,SUMIFS('02c_DC_Accel_Bridge'!$X$2:$X$1057,'02c_DC_Accel_Bridge'!$B$2:$B$1057,A155,'02c_DC_Accel_Bridge'!$C$2:$C$1057,B155,'02c_DC_Accel_Bridge'!$D$2:$D$1057,C155)/I155,0)</f>
        <v/>
      </c>
      <c r="N155" s="6">
        <f>IF(I155&gt;0,SUMIFS('02c_DC_Accel_Bridge'!$Y$2:$Y$1057,'02c_DC_Accel_Bridge'!$B$2:$B$1057,A155,'02c_DC_Accel_Bridge'!$C$2:$C$1057,B155,'02c_DC_Accel_Bridge'!$D$2:$D$1057,C155)/I155,0)</f>
        <v/>
      </c>
      <c r="O155" s="6">
        <f>IF(I155&gt;0,SUMIFS('02c_DC_Accel_Bridge'!$Z$2:$Z$1057,'02c_DC_Accel_Bridge'!$B$2:$B$1057,A155,'02c_DC_Accel_Bridge'!$C$2:$C$1057,B155,'02c_DC_Accel_Bridge'!$D$2:$D$1057,C155)/I155,0)</f>
        <v/>
      </c>
      <c r="P155" s="3" t="inlineStr">
        <is>
          <t>weighted average: sum(site inference_weight_mw * accelerator_share) / sum(site inference_weight_mw)</t>
        </is>
      </c>
      <c r="Q155" s="3" t="inlineStr">
        <is>
          <t>dc_capacity_x_dc_accelerator_mix</t>
        </is>
      </c>
      <c r="R155" s="3" t="inlineStr">
        <is>
          <t>Edit 02a capacity allocation and 02b site accelerator mix; 03_Calculation reads D:G from this sheet.</t>
        </is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>
        <f>IF(I156&gt;0,SUMIFS('02c_DC_Accel_Bridge'!$R$2:$R$1057,'02c_DC_Accel_Bridge'!$B$2:$B$1057,A156,'02c_DC_Accel_Bridge'!$C$2:$C$1057,B156,'02c_DC_Accel_Bridge'!$D$2:$D$1057,C156)/I156,0.0)</f>
        <v/>
      </c>
      <c r="E156" s="6">
        <f>IF(I156&gt;0,SUMIFS('02c_DC_Accel_Bridge'!$S$2:$S$1057,'02c_DC_Accel_Bridge'!$B$2:$B$1057,A156,'02c_DC_Accel_Bridge'!$C$2:$C$1057,B156,'02c_DC_Accel_Bridge'!$D$2:$D$1057,C156)/I156,1.0)</f>
        <v/>
      </c>
      <c r="F156" s="6">
        <f>IF(I156&gt;0,SUMIFS('02c_DC_Accel_Bridge'!$T$2:$T$1057,'02c_DC_Accel_Bridge'!$B$2:$B$1057,A156,'02c_DC_Accel_Bridge'!$C$2:$C$1057,B156,'02c_DC_Accel_Bridge'!$D$2:$D$1057,C156)/I156,0.0)</f>
        <v/>
      </c>
      <c r="G156" s="6">
        <f>IF(I156&gt;0,SUMIFS('02c_DC_Accel_Bridge'!$AA$2:$AA$1057,'02c_DC_Accel_Bridge'!$B$2:$B$1057,A156,'02c_DC_Accel_Bridge'!$C$2:$C$1057,B156,'02c_DC_Accel_Bridge'!$D$2:$D$1057,C156)/I156,0.0)</f>
        <v/>
      </c>
      <c r="H156" s="6">
        <f>SUM(D156:G156)</f>
        <v/>
      </c>
      <c r="I156" s="28">
        <f>SUMIFS('02c_DC_Accel_Bridge'!$H$2:$H$1057,'02c_DC_Accel_Bridge'!$B$2:$B$1057,A156,'02c_DC_Accel_Bridge'!$C$2:$C$1057,B156,'02c_DC_Accel_Bridge'!$D$2:$D$1057,C156)</f>
        <v/>
      </c>
      <c r="J156" s="6">
        <f>IF(I156&gt;0,SUMIFS('02c_DC_Accel_Bridge'!$U$2:$U$1057,'02c_DC_Accel_Bridge'!$B$2:$B$1057,A156,'02c_DC_Accel_Bridge'!$C$2:$C$1057,B156,'02c_DC_Accel_Bridge'!$D$2:$D$1057,C156)/I156,0)</f>
        <v/>
      </c>
      <c r="K156" s="6">
        <f>IF(I156&gt;0,SUMIFS('02c_DC_Accel_Bridge'!$V$2:$V$1057,'02c_DC_Accel_Bridge'!$B$2:$B$1057,A156,'02c_DC_Accel_Bridge'!$C$2:$C$1057,B156,'02c_DC_Accel_Bridge'!$D$2:$D$1057,C156)/I156,0)</f>
        <v/>
      </c>
      <c r="L156" s="6">
        <f>IF(I156&gt;0,SUMIFS('02c_DC_Accel_Bridge'!$W$2:$W$1057,'02c_DC_Accel_Bridge'!$B$2:$B$1057,A156,'02c_DC_Accel_Bridge'!$C$2:$C$1057,B156,'02c_DC_Accel_Bridge'!$D$2:$D$1057,C156)/I156,0)</f>
        <v/>
      </c>
      <c r="M156" s="6">
        <f>IF(I156&gt;0,SUMIFS('02c_DC_Accel_Bridge'!$X$2:$X$1057,'02c_DC_Accel_Bridge'!$B$2:$B$1057,A156,'02c_DC_Accel_Bridge'!$C$2:$C$1057,B156,'02c_DC_Accel_Bridge'!$D$2:$D$1057,C156)/I156,0)</f>
        <v/>
      </c>
      <c r="N156" s="6">
        <f>IF(I156&gt;0,SUMIFS('02c_DC_Accel_Bridge'!$Y$2:$Y$1057,'02c_DC_Accel_Bridge'!$B$2:$B$1057,A156,'02c_DC_Accel_Bridge'!$C$2:$C$1057,B156,'02c_DC_Accel_Bridge'!$D$2:$D$1057,C156)/I156,0)</f>
        <v/>
      </c>
      <c r="O156" s="6">
        <f>IF(I156&gt;0,SUMIFS('02c_DC_Accel_Bridge'!$Z$2:$Z$1057,'02c_DC_Accel_Bridge'!$B$2:$B$1057,A156,'02c_DC_Accel_Bridge'!$C$2:$C$1057,B156,'02c_DC_Accel_Bridge'!$D$2:$D$1057,C156)/I156,0)</f>
        <v/>
      </c>
      <c r="P156" s="3" t="inlineStr">
        <is>
          <t>weighted average: sum(site inference_weight_mw * accelerator_share) / sum(site inference_weight_mw)</t>
        </is>
      </c>
      <c r="Q156" s="3" t="inlineStr">
        <is>
          <t>dc_capacity_x_dc_accelerator_mix</t>
        </is>
      </c>
      <c r="R156" s="3" t="inlineStr">
        <is>
          <t>Edit 02a capacity allocation and 02b site accelerator mix; 03_Calculation reads D:G from this sheet.</t>
        </is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>
        <f>IF(I157&gt;0,SUMIFS('02c_DC_Accel_Bridge'!$R$2:$R$1057,'02c_DC_Accel_Bridge'!$B$2:$B$1057,A157,'02c_DC_Accel_Bridge'!$C$2:$C$1057,B157,'02c_DC_Accel_Bridge'!$D$2:$D$1057,C157)/I157,0.085502)</f>
        <v/>
      </c>
      <c r="E157" s="6">
        <f>IF(I157&gt;0,SUMIFS('02c_DC_Accel_Bridge'!$S$2:$S$1057,'02c_DC_Accel_Bridge'!$B$2:$B$1057,A157,'02c_DC_Accel_Bridge'!$C$2:$C$1057,B157,'02c_DC_Accel_Bridge'!$D$2:$D$1057,C157)/I157,0.914498)</f>
        <v/>
      </c>
      <c r="F157" s="6">
        <f>IF(I157&gt;0,SUMIFS('02c_DC_Accel_Bridge'!$T$2:$T$1057,'02c_DC_Accel_Bridge'!$B$2:$B$1057,A157,'02c_DC_Accel_Bridge'!$C$2:$C$1057,B157,'02c_DC_Accel_Bridge'!$D$2:$D$1057,C157)/I157,0.0)</f>
        <v/>
      </c>
      <c r="G157" s="6">
        <f>IF(I157&gt;0,SUMIFS('02c_DC_Accel_Bridge'!$AA$2:$AA$1057,'02c_DC_Accel_Bridge'!$B$2:$B$1057,A157,'02c_DC_Accel_Bridge'!$C$2:$C$1057,B157,'02c_DC_Accel_Bridge'!$D$2:$D$1057,C157)/I157,0.0)</f>
        <v/>
      </c>
      <c r="H157" s="6">
        <f>SUM(D157:G157)</f>
        <v/>
      </c>
      <c r="I157" s="28">
        <f>SUMIFS('02c_DC_Accel_Bridge'!$H$2:$H$1057,'02c_DC_Accel_Bridge'!$B$2:$B$1057,A157,'02c_DC_Accel_Bridge'!$C$2:$C$1057,B157,'02c_DC_Accel_Bridge'!$D$2:$D$1057,C157)</f>
        <v/>
      </c>
      <c r="J157" s="6">
        <f>IF(I157&gt;0,SUMIFS('02c_DC_Accel_Bridge'!$U$2:$U$1057,'02c_DC_Accel_Bridge'!$B$2:$B$1057,A157,'02c_DC_Accel_Bridge'!$C$2:$C$1057,B157,'02c_DC_Accel_Bridge'!$D$2:$D$1057,C157)/I157,0)</f>
        <v/>
      </c>
      <c r="K157" s="6">
        <f>IF(I157&gt;0,SUMIFS('02c_DC_Accel_Bridge'!$V$2:$V$1057,'02c_DC_Accel_Bridge'!$B$2:$B$1057,A157,'02c_DC_Accel_Bridge'!$C$2:$C$1057,B157,'02c_DC_Accel_Bridge'!$D$2:$D$1057,C157)/I157,0)</f>
        <v/>
      </c>
      <c r="L157" s="6">
        <f>IF(I157&gt;0,SUMIFS('02c_DC_Accel_Bridge'!$W$2:$W$1057,'02c_DC_Accel_Bridge'!$B$2:$B$1057,A157,'02c_DC_Accel_Bridge'!$C$2:$C$1057,B157,'02c_DC_Accel_Bridge'!$D$2:$D$1057,C157)/I157,0)</f>
        <v/>
      </c>
      <c r="M157" s="6">
        <f>IF(I157&gt;0,SUMIFS('02c_DC_Accel_Bridge'!$X$2:$X$1057,'02c_DC_Accel_Bridge'!$B$2:$B$1057,A157,'02c_DC_Accel_Bridge'!$C$2:$C$1057,B157,'02c_DC_Accel_Bridge'!$D$2:$D$1057,C157)/I157,0)</f>
        <v/>
      </c>
      <c r="N157" s="6">
        <f>IF(I157&gt;0,SUMIFS('02c_DC_Accel_Bridge'!$Y$2:$Y$1057,'02c_DC_Accel_Bridge'!$B$2:$B$1057,A157,'02c_DC_Accel_Bridge'!$C$2:$C$1057,B157,'02c_DC_Accel_Bridge'!$D$2:$D$1057,C157)/I157,0)</f>
        <v/>
      </c>
      <c r="O157" s="6">
        <f>IF(I157&gt;0,SUMIFS('02c_DC_Accel_Bridge'!$Z$2:$Z$1057,'02c_DC_Accel_Bridge'!$B$2:$B$1057,A157,'02c_DC_Accel_Bridge'!$C$2:$C$1057,B157,'02c_DC_Accel_Bridge'!$D$2:$D$1057,C157)/I157,0)</f>
        <v/>
      </c>
      <c r="P157" s="3" t="inlineStr">
        <is>
          <t>weighted average: sum(site inference_weight_mw * accelerator_share) / sum(site inference_weight_mw)</t>
        </is>
      </c>
      <c r="Q157" s="3" t="inlineStr">
        <is>
          <t>dc_capacity_x_dc_accelerator_mix</t>
        </is>
      </c>
      <c r="R157" s="3" t="inlineStr">
        <is>
          <t>Edit 02a capacity allocation and 02b site accelerator mix; 03_Calculation reads D:G from this sheet.</t>
        </is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>
        <f>IF(I158&gt;0,SUMIFS('02c_DC_Accel_Bridge'!$R$2:$R$1057,'02c_DC_Accel_Bridge'!$B$2:$B$1057,A158,'02c_DC_Accel_Bridge'!$C$2:$C$1057,B158,'02c_DC_Accel_Bridge'!$D$2:$D$1057,C158)/I158,0.07041)</f>
        <v/>
      </c>
      <c r="E158" s="6">
        <f>IF(I158&gt;0,SUMIFS('02c_DC_Accel_Bridge'!$S$2:$S$1057,'02c_DC_Accel_Bridge'!$B$2:$B$1057,A158,'02c_DC_Accel_Bridge'!$C$2:$C$1057,B158,'02c_DC_Accel_Bridge'!$D$2:$D$1057,C158)/I158,0.92959)</f>
        <v/>
      </c>
      <c r="F158" s="6">
        <f>IF(I158&gt;0,SUMIFS('02c_DC_Accel_Bridge'!$T$2:$T$1057,'02c_DC_Accel_Bridge'!$B$2:$B$1057,A158,'02c_DC_Accel_Bridge'!$C$2:$C$1057,B158,'02c_DC_Accel_Bridge'!$D$2:$D$1057,C158)/I158,0.0)</f>
        <v/>
      </c>
      <c r="G158" s="6">
        <f>IF(I158&gt;0,SUMIFS('02c_DC_Accel_Bridge'!$AA$2:$AA$1057,'02c_DC_Accel_Bridge'!$B$2:$B$1057,A158,'02c_DC_Accel_Bridge'!$C$2:$C$1057,B158,'02c_DC_Accel_Bridge'!$D$2:$D$1057,C158)/I158,0.0)</f>
        <v/>
      </c>
      <c r="H158" s="6">
        <f>SUM(D158:G158)</f>
        <v/>
      </c>
      <c r="I158" s="28">
        <f>SUMIFS('02c_DC_Accel_Bridge'!$H$2:$H$1057,'02c_DC_Accel_Bridge'!$B$2:$B$1057,A158,'02c_DC_Accel_Bridge'!$C$2:$C$1057,B158,'02c_DC_Accel_Bridge'!$D$2:$D$1057,C158)</f>
        <v/>
      </c>
      <c r="J158" s="6">
        <f>IF(I158&gt;0,SUMIFS('02c_DC_Accel_Bridge'!$U$2:$U$1057,'02c_DC_Accel_Bridge'!$B$2:$B$1057,A158,'02c_DC_Accel_Bridge'!$C$2:$C$1057,B158,'02c_DC_Accel_Bridge'!$D$2:$D$1057,C158)/I158,0)</f>
        <v/>
      </c>
      <c r="K158" s="6">
        <f>IF(I158&gt;0,SUMIFS('02c_DC_Accel_Bridge'!$V$2:$V$1057,'02c_DC_Accel_Bridge'!$B$2:$B$1057,A158,'02c_DC_Accel_Bridge'!$C$2:$C$1057,B158,'02c_DC_Accel_Bridge'!$D$2:$D$1057,C158)/I158,0)</f>
        <v/>
      </c>
      <c r="L158" s="6">
        <f>IF(I158&gt;0,SUMIFS('02c_DC_Accel_Bridge'!$W$2:$W$1057,'02c_DC_Accel_Bridge'!$B$2:$B$1057,A158,'02c_DC_Accel_Bridge'!$C$2:$C$1057,B158,'02c_DC_Accel_Bridge'!$D$2:$D$1057,C158)/I158,0)</f>
        <v/>
      </c>
      <c r="M158" s="6">
        <f>IF(I158&gt;0,SUMIFS('02c_DC_Accel_Bridge'!$X$2:$X$1057,'02c_DC_Accel_Bridge'!$B$2:$B$1057,A158,'02c_DC_Accel_Bridge'!$C$2:$C$1057,B158,'02c_DC_Accel_Bridge'!$D$2:$D$1057,C158)/I158,0)</f>
        <v/>
      </c>
      <c r="N158" s="6">
        <f>IF(I158&gt;0,SUMIFS('02c_DC_Accel_Bridge'!$Y$2:$Y$1057,'02c_DC_Accel_Bridge'!$B$2:$B$1057,A158,'02c_DC_Accel_Bridge'!$C$2:$C$1057,B158,'02c_DC_Accel_Bridge'!$D$2:$D$1057,C158)/I158,0)</f>
        <v/>
      </c>
      <c r="O158" s="6">
        <f>IF(I158&gt;0,SUMIFS('02c_DC_Accel_Bridge'!$Z$2:$Z$1057,'02c_DC_Accel_Bridge'!$B$2:$B$1057,A158,'02c_DC_Accel_Bridge'!$C$2:$C$1057,B158,'02c_DC_Accel_Bridge'!$D$2:$D$1057,C158)/I158,0)</f>
        <v/>
      </c>
      <c r="P158" s="3" t="inlineStr">
        <is>
          <t>weighted average: sum(site inference_weight_mw * accelerator_share) / sum(site inference_weight_mw)</t>
        </is>
      </c>
      <c r="Q158" s="3" t="inlineStr">
        <is>
          <t>dc_capacity_x_dc_accelerator_mix</t>
        </is>
      </c>
      <c r="R158" s="3" t="inlineStr">
        <is>
          <t>Edit 02a capacity allocation and 02b site accelerator mix; 03_Calculation reads D:G from this sheet.</t>
        </is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>
        <f>IF(I159&gt;0,SUMIFS('02c_DC_Accel_Bridge'!$R$2:$R$1057,'02c_DC_Accel_Bridge'!$B$2:$B$1057,A159,'02c_DC_Accel_Bridge'!$C$2:$C$1057,B159,'02c_DC_Accel_Bridge'!$D$2:$D$1057,C159)/I159,0.153136)</f>
        <v/>
      </c>
      <c r="E159" s="6">
        <f>IF(I159&gt;0,SUMIFS('02c_DC_Accel_Bridge'!$S$2:$S$1057,'02c_DC_Accel_Bridge'!$B$2:$B$1057,A159,'02c_DC_Accel_Bridge'!$C$2:$C$1057,B159,'02c_DC_Accel_Bridge'!$D$2:$D$1057,C159)/I159,0.517322)</f>
        <v/>
      </c>
      <c r="F159" s="6">
        <f>IF(I159&gt;0,SUMIFS('02c_DC_Accel_Bridge'!$T$2:$T$1057,'02c_DC_Accel_Bridge'!$B$2:$B$1057,A159,'02c_DC_Accel_Bridge'!$C$2:$C$1057,B159,'02c_DC_Accel_Bridge'!$D$2:$D$1057,C159)/I159,0.124026)</f>
        <v/>
      </c>
      <c r="G159" s="6">
        <f>IF(I159&gt;0,SUMIFS('02c_DC_Accel_Bridge'!$AA$2:$AA$1057,'02c_DC_Accel_Bridge'!$B$2:$B$1057,A159,'02c_DC_Accel_Bridge'!$C$2:$C$1057,B159,'02c_DC_Accel_Bridge'!$D$2:$D$1057,C159)/I159,0.205515)</f>
        <v/>
      </c>
      <c r="H159" s="6">
        <f>SUM(D159:G159)</f>
        <v/>
      </c>
      <c r="I159" s="28">
        <f>SUMIFS('02c_DC_Accel_Bridge'!$H$2:$H$1057,'02c_DC_Accel_Bridge'!$B$2:$B$1057,A159,'02c_DC_Accel_Bridge'!$C$2:$C$1057,B159,'02c_DC_Accel_Bridge'!$D$2:$D$1057,C159)</f>
        <v/>
      </c>
      <c r="J159" s="6">
        <f>IF(I159&gt;0,SUMIFS('02c_DC_Accel_Bridge'!$U$2:$U$1057,'02c_DC_Accel_Bridge'!$B$2:$B$1057,A159,'02c_DC_Accel_Bridge'!$C$2:$C$1057,B159,'02c_DC_Accel_Bridge'!$D$2:$D$1057,C159)/I159,0)</f>
        <v/>
      </c>
      <c r="K159" s="6">
        <f>IF(I159&gt;0,SUMIFS('02c_DC_Accel_Bridge'!$V$2:$V$1057,'02c_DC_Accel_Bridge'!$B$2:$B$1057,A159,'02c_DC_Accel_Bridge'!$C$2:$C$1057,B159,'02c_DC_Accel_Bridge'!$D$2:$D$1057,C159)/I159,0)</f>
        <v/>
      </c>
      <c r="L159" s="6">
        <f>IF(I159&gt;0,SUMIFS('02c_DC_Accel_Bridge'!$W$2:$W$1057,'02c_DC_Accel_Bridge'!$B$2:$B$1057,A159,'02c_DC_Accel_Bridge'!$C$2:$C$1057,B159,'02c_DC_Accel_Bridge'!$D$2:$D$1057,C159)/I159,0)</f>
        <v/>
      </c>
      <c r="M159" s="6">
        <f>IF(I159&gt;0,SUMIFS('02c_DC_Accel_Bridge'!$X$2:$X$1057,'02c_DC_Accel_Bridge'!$B$2:$B$1057,A159,'02c_DC_Accel_Bridge'!$C$2:$C$1057,B159,'02c_DC_Accel_Bridge'!$D$2:$D$1057,C159)/I159,0)</f>
        <v/>
      </c>
      <c r="N159" s="6">
        <f>IF(I159&gt;0,SUMIFS('02c_DC_Accel_Bridge'!$Y$2:$Y$1057,'02c_DC_Accel_Bridge'!$B$2:$B$1057,A159,'02c_DC_Accel_Bridge'!$C$2:$C$1057,B159,'02c_DC_Accel_Bridge'!$D$2:$D$1057,C159)/I159,0)</f>
        <v/>
      </c>
      <c r="O159" s="6">
        <f>IF(I159&gt;0,SUMIFS('02c_DC_Accel_Bridge'!$Z$2:$Z$1057,'02c_DC_Accel_Bridge'!$B$2:$B$1057,A159,'02c_DC_Accel_Bridge'!$C$2:$C$1057,B159,'02c_DC_Accel_Bridge'!$D$2:$D$1057,C159)/I159,0)</f>
        <v/>
      </c>
      <c r="P159" s="3" t="inlineStr">
        <is>
          <t>weighted average: sum(site inference_weight_mw * accelerator_share) / sum(site inference_weight_mw)</t>
        </is>
      </c>
      <c r="Q159" s="3" t="inlineStr">
        <is>
          <t>dc_capacity_x_dc_accelerator_mix</t>
        </is>
      </c>
      <c r="R159" s="3" t="inlineStr">
        <is>
          <t>Edit 02a capacity allocation and 02b site accelerator mix; 03_Calculation reads D:G from this sheet.</t>
        </is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>
        <f>IF(I160&gt;0,SUMIFS('02c_DC_Accel_Bridge'!$R$2:$R$1057,'02c_DC_Accel_Bridge'!$B$2:$B$1057,A160,'02c_DC_Accel_Bridge'!$C$2:$C$1057,B160,'02c_DC_Accel_Bridge'!$D$2:$D$1057,C160)/I160,0.102937)</f>
        <v/>
      </c>
      <c r="E160" s="6">
        <f>IF(I160&gt;0,SUMIFS('02c_DC_Accel_Bridge'!$S$2:$S$1057,'02c_DC_Accel_Bridge'!$B$2:$B$1057,A160,'02c_DC_Accel_Bridge'!$C$2:$C$1057,B160,'02c_DC_Accel_Bridge'!$D$2:$D$1057,C160)/I160,0.529748)</f>
        <v/>
      </c>
      <c r="F160" s="6">
        <f>IF(I160&gt;0,SUMIFS('02c_DC_Accel_Bridge'!$T$2:$T$1057,'02c_DC_Accel_Bridge'!$B$2:$B$1057,A160,'02c_DC_Accel_Bridge'!$C$2:$C$1057,B160,'02c_DC_Accel_Bridge'!$D$2:$D$1057,C160)/I160,0.169295)</f>
        <v/>
      </c>
      <c r="G160" s="6">
        <f>IF(I160&gt;0,SUMIFS('02c_DC_Accel_Bridge'!$AA$2:$AA$1057,'02c_DC_Accel_Bridge'!$B$2:$B$1057,A160,'02c_DC_Accel_Bridge'!$C$2:$C$1057,B160,'02c_DC_Accel_Bridge'!$D$2:$D$1057,C160)/I160,0.19802)</f>
        <v/>
      </c>
      <c r="H160" s="6">
        <f>SUM(D160:G160)</f>
        <v/>
      </c>
      <c r="I160" s="28">
        <f>SUMIFS('02c_DC_Accel_Bridge'!$H$2:$H$1057,'02c_DC_Accel_Bridge'!$B$2:$B$1057,A160,'02c_DC_Accel_Bridge'!$C$2:$C$1057,B160,'02c_DC_Accel_Bridge'!$D$2:$D$1057,C160)</f>
        <v/>
      </c>
      <c r="J160" s="6">
        <f>IF(I160&gt;0,SUMIFS('02c_DC_Accel_Bridge'!$U$2:$U$1057,'02c_DC_Accel_Bridge'!$B$2:$B$1057,A160,'02c_DC_Accel_Bridge'!$C$2:$C$1057,B160,'02c_DC_Accel_Bridge'!$D$2:$D$1057,C160)/I160,0)</f>
        <v/>
      </c>
      <c r="K160" s="6">
        <f>IF(I160&gt;0,SUMIFS('02c_DC_Accel_Bridge'!$V$2:$V$1057,'02c_DC_Accel_Bridge'!$B$2:$B$1057,A160,'02c_DC_Accel_Bridge'!$C$2:$C$1057,B160,'02c_DC_Accel_Bridge'!$D$2:$D$1057,C160)/I160,0)</f>
        <v/>
      </c>
      <c r="L160" s="6">
        <f>IF(I160&gt;0,SUMIFS('02c_DC_Accel_Bridge'!$W$2:$W$1057,'02c_DC_Accel_Bridge'!$B$2:$B$1057,A160,'02c_DC_Accel_Bridge'!$C$2:$C$1057,B160,'02c_DC_Accel_Bridge'!$D$2:$D$1057,C160)/I160,0)</f>
        <v/>
      </c>
      <c r="M160" s="6">
        <f>IF(I160&gt;0,SUMIFS('02c_DC_Accel_Bridge'!$X$2:$X$1057,'02c_DC_Accel_Bridge'!$B$2:$B$1057,A160,'02c_DC_Accel_Bridge'!$C$2:$C$1057,B160,'02c_DC_Accel_Bridge'!$D$2:$D$1057,C160)/I160,0)</f>
        <v/>
      </c>
      <c r="N160" s="6">
        <f>IF(I160&gt;0,SUMIFS('02c_DC_Accel_Bridge'!$Y$2:$Y$1057,'02c_DC_Accel_Bridge'!$B$2:$B$1057,A160,'02c_DC_Accel_Bridge'!$C$2:$C$1057,B160,'02c_DC_Accel_Bridge'!$D$2:$D$1057,C160)/I160,0)</f>
        <v/>
      </c>
      <c r="O160" s="6">
        <f>IF(I160&gt;0,SUMIFS('02c_DC_Accel_Bridge'!$Z$2:$Z$1057,'02c_DC_Accel_Bridge'!$B$2:$B$1057,A160,'02c_DC_Accel_Bridge'!$C$2:$C$1057,B160,'02c_DC_Accel_Bridge'!$D$2:$D$1057,C160)/I160,0)</f>
        <v/>
      </c>
      <c r="P160" s="3" t="inlineStr">
        <is>
          <t>weighted average: sum(site inference_weight_mw * accelerator_share) / sum(site inference_weight_mw)</t>
        </is>
      </c>
      <c r="Q160" s="3" t="inlineStr">
        <is>
          <t>dc_capacity_x_dc_accelerator_mix</t>
        </is>
      </c>
      <c r="R160" s="3" t="inlineStr">
        <is>
          <t>Edit 02a capacity allocation and 02b site accelerator mix; 03_Calculation reads D:G from this sheet.</t>
        </is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>
        <f>IF(I161&gt;0,SUMIFS('02c_DC_Accel_Bridge'!$R$2:$R$1057,'02c_DC_Accel_Bridge'!$B$2:$B$1057,A161,'02c_DC_Accel_Bridge'!$C$2:$C$1057,B161,'02c_DC_Accel_Bridge'!$D$2:$D$1057,C161)/I161,0.057924)</f>
        <v/>
      </c>
      <c r="E161" s="6">
        <f>IF(I161&gt;0,SUMIFS('02c_DC_Accel_Bridge'!$S$2:$S$1057,'02c_DC_Accel_Bridge'!$B$2:$B$1057,A161,'02c_DC_Accel_Bridge'!$C$2:$C$1057,B161,'02c_DC_Accel_Bridge'!$D$2:$D$1057,C161)/I161,0.524968)</f>
        <v/>
      </c>
      <c r="F161" s="6">
        <f>IF(I161&gt;0,SUMIFS('02c_DC_Accel_Bridge'!$T$2:$T$1057,'02c_DC_Accel_Bridge'!$B$2:$B$1057,A161,'02c_DC_Accel_Bridge'!$C$2:$C$1057,B161,'02c_DC_Accel_Bridge'!$D$2:$D$1057,C161)/I161,0.219088)</f>
        <v/>
      </c>
      <c r="G161" s="6">
        <f>IF(I161&gt;0,SUMIFS('02c_DC_Accel_Bridge'!$AA$2:$AA$1057,'02c_DC_Accel_Bridge'!$B$2:$B$1057,A161,'02c_DC_Accel_Bridge'!$C$2:$C$1057,B161,'02c_DC_Accel_Bridge'!$D$2:$D$1057,C161)/I161,0.19802)</f>
        <v/>
      </c>
      <c r="H161" s="6">
        <f>SUM(D161:G161)</f>
        <v/>
      </c>
      <c r="I161" s="28">
        <f>SUMIFS('02c_DC_Accel_Bridge'!$H$2:$H$1057,'02c_DC_Accel_Bridge'!$B$2:$B$1057,A161,'02c_DC_Accel_Bridge'!$C$2:$C$1057,B161,'02c_DC_Accel_Bridge'!$D$2:$D$1057,C161)</f>
        <v/>
      </c>
      <c r="J161" s="6">
        <f>IF(I161&gt;0,SUMIFS('02c_DC_Accel_Bridge'!$U$2:$U$1057,'02c_DC_Accel_Bridge'!$B$2:$B$1057,A161,'02c_DC_Accel_Bridge'!$C$2:$C$1057,B161,'02c_DC_Accel_Bridge'!$D$2:$D$1057,C161)/I161,0)</f>
        <v/>
      </c>
      <c r="K161" s="6">
        <f>IF(I161&gt;0,SUMIFS('02c_DC_Accel_Bridge'!$V$2:$V$1057,'02c_DC_Accel_Bridge'!$B$2:$B$1057,A161,'02c_DC_Accel_Bridge'!$C$2:$C$1057,B161,'02c_DC_Accel_Bridge'!$D$2:$D$1057,C161)/I161,0)</f>
        <v/>
      </c>
      <c r="L161" s="6">
        <f>IF(I161&gt;0,SUMIFS('02c_DC_Accel_Bridge'!$W$2:$W$1057,'02c_DC_Accel_Bridge'!$B$2:$B$1057,A161,'02c_DC_Accel_Bridge'!$C$2:$C$1057,B161,'02c_DC_Accel_Bridge'!$D$2:$D$1057,C161)/I161,0)</f>
        <v/>
      </c>
      <c r="M161" s="6">
        <f>IF(I161&gt;0,SUMIFS('02c_DC_Accel_Bridge'!$X$2:$X$1057,'02c_DC_Accel_Bridge'!$B$2:$B$1057,A161,'02c_DC_Accel_Bridge'!$C$2:$C$1057,B161,'02c_DC_Accel_Bridge'!$D$2:$D$1057,C161)/I161,0)</f>
        <v/>
      </c>
      <c r="N161" s="6">
        <f>IF(I161&gt;0,SUMIFS('02c_DC_Accel_Bridge'!$Y$2:$Y$1057,'02c_DC_Accel_Bridge'!$B$2:$B$1057,A161,'02c_DC_Accel_Bridge'!$C$2:$C$1057,B161,'02c_DC_Accel_Bridge'!$D$2:$D$1057,C161)/I161,0)</f>
        <v/>
      </c>
      <c r="O161" s="6">
        <f>IF(I161&gt;0,SUMIFS('02c_DC_Accel_Bridge'!$Z$2:$Z$1057,'02c_DC_Accel_Bridge'!$B$2:$B$1057,A161,'02c_DC_Accel_Bridge'!$C$2:$C$1057,B161,'02c_DC_Accel_Bridge'!$D$2:$D$1057,C161)/I161,0)</f>
        <v/>
      </c>
      <c r="P161" s="3" t="inlineStr">
        <is>
          <t>weighted average: sum(site inference_weight_mw * accelerator_share) / sum(site inference_weight_mw)</t>
        </is>
      </c>
      <c r="Q161" s="3" t="inlineStr">
        <is>
          <t>dc_capacity_x_dc_accelerator_mix</t>
        </is>
      </c>
      <c r="R161" s="3" t="inlineStr">
        <is>
          <t>Edit 02a capacity allocation and 02b site accelerator mix; 03_Calculation reads D:G from this sheet.</t>
        </is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>
        <f>IF(I162&gt;0,SUMIFS('02c_DC_Accel_Bridge'!$R$2:$R$1057,'02c_DC_Accel_Bridge'!$B$2:$B$1057,A162,'02c_DC_Accel_Bridge'!$C$2:$C$1057,B162,'02c_DC_Accel_Bridge'!$D$2:$D$1057,C162)/I162,0.138978)</f>
        <v/>
      </c>
      <c r="E162" s="6">
        <f>IF(I162&gt;0,SUMIFS('02c_DC_Accel_Bridge'!$S$2:$S$1057,'02c_DC_Accel_Bridge'!$B$2:$B$1057,A162,'02c_DC_Accel_Bridge'!$C$2:$C$1057,B162,'02c_DC_Accel_Bridge'!$D$2:$D$1057,C162)/I162,0.181561)</f>
        <v/>
      </c>
      <c r="F162" s="6">
        <f>IF(I162&gt;0,SUMIFS('02c_DC_Accel_Bridge'!$T$2:$T$1057,'02c_DC_Accel_Bridge'!$B$2:$B$1057,A162,'02c_DC_Accel_Bridge'!$C$2:$C$1057,B162,'02c_DC_Accel_Bridge'!$D$2:$D$1057,C162)/I162,0.0)</f>
        <v/>
      </c>
      <c r="G162" s="6">
        <f>IF(I162&gt;0,SUMIFS('02c_DC_Accel_Bridge'!$AA$2:$AA$1057,'02c_DC_Accel_Bridge'!$B$2:$B$1057,A162,'02c_DC_Accel_Bridge'!$C$2:$C$1057,B162,'02c_DC_Accel_Bridge'!$D$2:$D$1057,C162)/I162,0.679461)</f>
        <v/>
      </c>
      <c r="H162" s="6">
        <f>SUM(D162:G162)</f>
        <v/>
      </c>
      <c r="I162" s="28">
        <f>SUMIFS('02c_DC_Accel_Bridge'!$H$2:$H$1057,'02c_DC_Accel_Bridge'!$B$2:$B$1057,A162,'02c_DC_Accel_Bridge'!$C$2:$C$1057,B162,'02c_DC_Accel_Bridge'!$D$2:$D$1057,C162)</f>
        <v/>
      </c>
      <c r="J162" s="6">
        <f>IF(I162&gt;0,SUMIFS('02c_DC_Accel_Bridge'!$U$2:$U$1057,'02c_DC_Accel_Bridge'!$B$2:$B$1057,A162,'02c_DC_Accel_Bridge'!$C$2:$C$1057,B162,'02c_DC_Accel_Bridge'!$D$2:$D$1057,C162)/I162,0)</f>
        <v/>
      </c>
      <c r="K162" s="6">
        <f>IF(I162&gt;0,SUMIFS('02c_DC_Accel_Bridge'!$V$2:$V$1057,'02c_DC_Accel_Bridge'!$B$2:$B$1057,A162,'02c_DC_Accel_Bridge'!$C$2:$C$1057,B162,'02c_DC_Accel_Bridge'!$D$2:$D$1057,C162)/I162,0)</f>
        <v/>
      </c>
      <c r="L162" s="6">
        <f>IF(I162&gt;0,SUMIFS('02c_DC_Accel_Bridge'!$W$2:$W$1057,'02c_DC_Accel_Bridge'!$B$2:$B$1057,A162,'02c_DC_Accel_Bridge'!$C$2:$C$1057,B162,'02c_DC_Accel_Bridge'!$D$2:$D$1057,C162)/I162,0)</f>
        <v/>
      </c>
      <c r="M162" s="6">
        <f>IF(I162&gt;0,SUMIFS('02c_DC_Accel_Bridge'!$X$2:$X$1057,'02c_DC_Accel_Bridge'!$B$2:$B$1057,A162,'02c_DC_Accel_Bridge'!$C$2:$C$1057,B162,'02c_DC_Accel_Bridge'!$D$2:$D$1057,C162)/I162,0)</f>
        <v/>
      </c>
      <c r="N162" s="6">
        <f>IF(I162&gt;0,SUMIFS('02c_DC_Accel_Bridge'!$Y$2:$Y$1057,'02c_DC_Accel_Bridge'!$B$2:$B$1057,A162,'02c_DC_Accel_Bridge'!$C$2:$C$1057,B162,'02c_DC_Accel_Bridge'!$D$2:$D$1057,C162)/I162,0)</f>
        <v/>
      </c>
      <c r="O162" s="6">
        <f>IF(I162&gt;0,SUMIFS('02c_DC_Accel_Bridge'!$Z$2:$Z$1057,'02c_DC_Accel_Bridge'!$B$2:$B$1057,A162,'02c_DC_Accel_Bridge'!$C$2:$C$1057,B162,'02c_DC_Accel_Bridge'!$D$2:$D$1057,C162)/I162,0)</f>
        <v/>
      </c>
      <c r="P162" s="3" t="inlineStr">
        <is>
          <t>weighted average: sum(site inference_weight_mw * accelerator_share) / sum(site inference_weight_mw)</t>
        </is>
      </c>
      <c r="Q162" s="3" t="inlineStr">
        <is>
          <t>dc_capacity_x_dc_accelerator_mix</t>
        </is>
      </c>
      <c r="R162" s="3" t="inlineStr">
        <is>
          <t>Edit 02a capacity allocation and 02b site accelerator mix; 03_Calculation reads D:G from this sheet.</t>
        </is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>
        <f>IF(I163&gt;0,SUMIFS('02c_DC_Accel_Bridge'!$R$2:$R$1057,'02c_DC_Accel_Bridge'!$B$2:$B$1057,A163,'02c_DC_Accel_Bridge'!$C$2:$C$1057,B163,'02c_DC_Accel_Bridge'!$D$2:$D$1057,C163)/I163,0.128806)</f>
        <v/>
      </c>
      <c r="E163" s="6">
        <f>IF(I163&gt;0,SUMIFS('02c_DC_Accel_Bridge'!$S$2:$S$1057,'02c_DC_Accel_Bridge'!$B$2:$B$1057,A163,'02c_DC_Accel_Bridge'!$C$2:$C$1057,B163,'02c_DC_Accel_Bridge'!$D$2:$D$1057,C163)/I163,0.207151)</f>
        <v/>
      </c>
      <c r="F163" s="6">
        <f>IF(I163&gt;0,SUMIFS('02c_DC_Accel_Bridge'!$T$2:$T$1057,'02c_DC_Accel_Bridge'!$B$2:$B$1057,A163,'02c_DC_Accel_Bridge'!$C$2:$C$1057,B163,'02c_DC_Accel_Bridge'!$D$2:$D$1057,C163)/I163,0.0)</f>
        <v/>
      </c>
      <c r="G163" s="6">
        <f>IF(I163&gt;0,SUMIFS('02c_DC_Accel_Bridge'!$AA$2:$AA$1057,'02c_DC_Accel_Bridge'!$B$2:$B$1057,A163,'02c_DC_Accel_Bridge'!$C$2:$C$1057,B163,'02c_DC_Accel_Bridge'!$D$2:$D$1057,C163)/I163,0.664043)</f>
        <v/>
      </c>
      <c r="H163" s="6">
        <f>SUM(D163:G163)</f>
        <v/>
      </c>
      <c r="I163" s="28">
        <f>SUMIFS('02c_DC_Accel_Bridge'!$H$2:$H$1057,'02c_DC_Accel_Bridge'!$B$2:$B$1057,A163,'02c_DC_Accel_Bridge'!$C$2:$C$1057,B163,'02c_DC_Accel_Bridge'!$D$2:$D$1057,C163)</f>
        <v/>
      </c>
      <c r="J163" s="6">
        <f>IF(I163&gt;0,SUMIFS('02c_DC_Accel_Bridge'!$U$2:$U$1057,'02c_DC_Accel_Bridge'!$B$2:$B$1057,A163,'02c_DC_Accel_Bridge'!$C$2:$C$1057,B163,'02c_DC_Accel_Bridge'!$D$2:$D$1057,C163)/I163,0)</f>
        <v/>
      </c>
      <c r="K163" s="6">
        <f>IF(I163&gt;0,SUMIFS('02c_DC_Accel_Bridge'!$V$2:$V$1057,'02c_DC_Accel_Bridge'!$B$2:$B$1057,A163,'02c_DC_Accel_Bridge'!$C$2:$C$1057,B163,'02c_DC_Accel_Bridge'!$D$2:$D$1057,C163)/I163,0)</f>
        <v/>
      </c>
      <c r="L163" s="6">
        <f>IF(I163&gt;0,SUMIFS('02c_DC_Accel_Bridge'!$W$2:$W$1057,'02c_DC_Accel_Bridge'!$B$2:$B$1057,A163,'02c_DC_Accel_Bridge'!$C$2:$C$1057,B163,'02c_DC_Accel_Bridge'!$D$2:$D$1057,C163)/I163,0)</f>
        <v/>
      </c>
      <c r="M163" s="6">
        <f>IF(I163&gt;0,SUMIFS('02c_DC_Accel_Bridge'!$X$2:$X$1057,'02c_DC_Accel_Bridge'!$B$2:$B$1057,A163,'02c_DC_Accel_Bridge'!$C$2:$C$1057,B163,'02c_DC_Accel_Bridge'!$D$2:$D$1057,C163)/I163,0)</f>
        <v/>
      </c>
      <c r="N163" s="6">
        <f>IF(I163&gt;0,SUMIFS('02c_DC_Accel_Bridge'!$Y$2:$Y$1057,'02c_DC_Accel_Bridge'!$B$2:$B$1057,A163,'02c_DC_Accel_Bridge'!$C$2:$C$1057,B163,'02c_DC_Accel_Bridge'!$D$2:$D$1057,C163)/I163,0)</f>
        <v/>
      </c>
      <c r="O163" s="6">
        <f>IF(I163&gt;0,SUMIFS('02c_DC_Accel_Bridge'!$Z$2:$Z$1057,'02c_DC_Accel_Bridge'!$B$2:$B$1057,A163,'02c_DC_Accel_Bridge'!$C$2:$C$1057,B163,'02c_DC_Accel_Bridge'!$D$2:$D$1057,C163)/I163,0)</f>
        <v/>
      </c>
      <c r="P163" s="3" t="inlineStr">
        <is>
          <t>weighted average: sum(site inference_weight_mw * accelerator_share) / sum(site inference_weight_mw)</t>
        </is>
      </c>
      <c r="Q163" s="3" t="inlineStr">
        <is>
          <t>dc_capacity_x_dc_accelerator_mix</t>
        </is>
      </c>
      <c r="R163" s="3" t="inlineStr">
        <is>
          <t>Edit 02a capacity allocation and 02b site accelerator mix; 03_Calculation reads D:G from this sheet.</t>
        </is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>
        <f>IF(I164&gt;0,SUMIFS('02c_DC_Accel_Bridge'!$R$2:$R$1057,'02c_DC_Accel_Bridge'!$B$2:$B$1057,A164,'02c_DC_Accel_Bridge'!$C$2:$C$1057,B164,'02c_DC_Accel_Bridge'!$D$2:$D$1057,C164)/I164,0.068417)</f>
        <v/>
      </c>
      <c r="E164" s="6">
        <f>IF(I164&gt;0,SUMIFS('02c_DC_Accel_Bridge'!$S$2:$S$1057,'02c_DC_Accel_Bridge'!$B$2:$B$1057,A164,'02c_DC_Accel_Bridge'!$C$2:$C$1057,B164,'02c_DC_Accel_Bridge'!$D$2:$D$1057,C164)/I164,0.110031)</f>
        <v/>
      </c>
      <c r="F164" s="6">
        <f>IF(I164&gt;0,SUMIFS('02c_DC_Accel_Bridge'!$T$2:$T$1057,'02c_DC_Accel_Bridge'!$B$2:$B$1057,A164,'02c_DC_Accel_Bridge'!$C$2:$C$1057,B164,'02c_DC_Accel_Bridge'!$D$2:$D$1057,C164)/I164,0.0)</f>
        <v/>
      </c>
      <c r="G164" s="6">
        <f>IF(I164&gt;0,SUMIFS('02c_DC_Accel_Bridge'!$AA$2:$AA$1057,'02c_DC_Accel_Bridge'!$B$2:$B$1057,A164,'02c_DC_Accel_Bridge'!$C$2:$C$1057,B164,'02c_DC_Accel_Bridge'!$D$2:$D$1057,C164)/I164,0.821552)</f>
        <v/>
      </c>
      <c r="H164" s="6">
        <f>SUM(D164:G164)</f>
        <v/>
      </c>
      <c r="I164" s="28">
        <f>SUMIFS('02c_DC_Accel_Bridge'!$H$2:$H$1057,'02c_DC_Accel_Bridge'!$B$2:$B$1057,A164,'02c_DC_Accel_Bridge'!$C$2:$C$1057,B164,'02c_DC_Accel_Bridge'!$D$2:$D$1057,C164)</f>
        <v/>
      </c>
      <c r="J164" s="6">
        <f>IF(I164&gt;0,SUMIFS('02c_DC_Accel_Bridge'!$U$2:$U$1057,'02c_DC_Accel_Bridge'!$B$2:$B$1057,A164,'02c_DC_Accel_Bridge'!$C$2:$C$1057,B164,'02c_DC_Accel_Bridge'!$D$2:$D$1057,C164)/I164,0)</f>
        <v/>
      </c>
      <c r="K164" s="6">
        <f>IF(I164&gt;0,SUMIFS('02c_DC_Accel_Bridge'!$V$2:$V$1057,'02c_DC_Accel_Bridge'!$B$2:$B$1057,A164,'02c_DC_Accel_Bridge'!$C$2:$C$1057,B164,'02c_DC_Accel_Bridge'!$D$2:$D$1057,C164)/I164,0)</f>
        <v/>
      </c>
      <c r="L164" s="6">
        <f>IF(I164&gt;0,SUMIFS('02c_DC_Accel_Bridge'!$W$2:$W$1057,'02c_DC_Accel_Bridge'!$B$2:$B$1057,A164,'02c_DC_Accel_Bridge'!$C$2:$C$1057,B164,'02c_DC_Accel_Bridge'!$D$2:$D$1057,C164)/I164,0)</f>
        <v/>
      </c>
      <c r="M164" s="6">
        <f>IF(I164&gt;0,SUMIFS('02c_DC_Accel_Bridge'!$X$2:$X$1057,'02c_DC_Accel_Bridge'!$B$2:$B$1057,A164,'02c_DC_Accel_Bridge'!$C$2:$C$1057,B164,'02c_DC_Accel_Bridge'!$D$2:$D$1057,C164)/I164,0)</f>
        <v/>
      </c>
      <c r="N164" s="6">
        <f>IF(I164&gt;0,SUMIFS('02c_DC_Accel_Bridge'!$Y$2:$Y$1057,'02c_DC_Accel_Bridge'!$B$2:$B$1057,A164,'02c_DC_Accel_Bridge'!$C$2:$C$1057,B164,'02c_DC_Accel_Bridge'!$D$2:$D$1057,C164)/I164,0)</f>
        <v/>
      </c>
      <c r="O164" s="6">
        <f>IF(I164&gt;0,SUMIFS('02c_DC_Accel_Bridge'!$Z$2:$Z$1057,'02c_DC_Accel_Bridge'!$B$2:$B$1057,A164,'02c_DC_Accel_Bridge'!$C$2:$C$1057,B164,'02c_DC_Accel_Bridge'!$D$2:$D$1057,C164)/I164,0)</f>
        <v/>
      </c>
      <c r="P164" s="3" t="inlineStr">
        <is>
          <t>weighted average: sum(site inference_weight_mw * accelerator_share) / sum(site inference_weight_mw)</t>
        </is>
      </c>
      <c r="Q164" s="3" t="inlineStr">
        <is>
          <t>dc_capacity_x_dc_accelerator_mix</t>
        </is>
      </c>
      <c r="R164" s="3" t="inlineStr">
        <is>
          <t>Edit 02a capacity allocation and 02b site accelerator mix; 03_Calculation reads D:G from this sheet.</t>
        </is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>
        <f>IF(I165&gt;0,SUMIFS('02c_DC_Accel_Bridge'!$R$2:$R$1057,'02c_DC_Accel_Bridge'!$B$2:$B$1057,A165,'02c_DC_Accel_Bridge'!$C$2:$C$1057,B165,'02c_DC_Accel_Bridge'!$D$2:$D$1057,C165)/I165,0.068417)</f>
        <v/>
      </c>
      <c r="E165" s="6">
        <f>IF(I165&gt;0,SUMIFS('02c_DC_Accel_Bridge'!$S$2:$S$1057,'02c_DC_Accel_Bridge'!$B$2:$B$1057,A165,'02c_DC_Accel_Bridge'!$C$2:$C$1057,B165,'02c_DC_Accel_Bridge'!$D$2:$D$1057,C165)/I165,0.110031)</f>
        <v/>
      </c>
      <c r="F165" s="6">
        <f>IF(I165&gt;0,SUMIFS('02c_DC_Accel_Bridge'!$T$2:$T$1057,'02c_DC_Accel_Bridge'!$B$2:$B$1057,A165,'02c_DC_Accel_Bridge'!$C$2:$C$1057,B165,'02c_DC_Accel_Bridge'!$D$2:$D$1057,C165)/I165,0.0)</f>
        <v/>
      </c>
      <c r="G165" s="6">
        <f>IF(I165&gt;0,SUMIFS('02c_DC_Accel_Bridge'!$AA$2:$AA$1057,'02c_DC_Accel_Bridge'!$B$2:$B$1057,A165,'02c_DC_Accel_Bridge'!$C$2:$C$1057,B165,'02c_DC_Accel_Bridge'!$D$2:$D$1057,C165)/I165,0.821552)</f>
        <v/>
      </c>
      <c r="H165" s="6">
        <f>SUM(D165:G165)</f>
        <v/>
      </c>
      <c r="I165" s="28">
        <f>SUMIFS('02c_DC_Accel_Bridge'!$H$2:$H$1057,'02c_DC_Accel_Bridge'!$B$2:$B$1057,A165,'02c_DC_Accel_Bridge'!$C$2:$C$1057,B165,'02c_DC_Accel_Bridge'!$D$2:$D$1057,C165)</f>
        <v/>
      </c>
      <c r="J165" s="6">
        <f>IF(I165&gt;0,SUMIFS('02c_DC_Accel_Bridge'!$U$2:$U$1057,'02c_DC_Accel_Bridge'!$B$2:$B$1057,A165,'02c_DC_Accel_Bridge'!$C$2:$C$1057,B165,'02c_DC_Accel_Bridge'!$D$2:$D$1057,C165)/I165,0)</f>
        <v/>
      </c>
      <c r="K165" s="6">
        <f>IF(I165&gt;0,SUMIFS('02c_DC_Accel_Bridge'!$V$2:$V$1057,'02c_DC_Accel_Bridge'!$B$2:$B$1057,A165,'02c_DC_Accel_Bridge'!$C$2:$C$1057,B165,'02c_DC_Accel_Bridge'!$D$2:$D$1057,C165)/I165,0)</f>
        <v/>
      </c>
      <c r="L165" s="6">
        <f>IF(I165&gt;0,SUMIFS('02c_DC_Accel_Bridge'!$W$2:$W$1057,'02c_DC_Accel_Bridge'!$B$2:$B$1057,A165,'02c_DC_Accel_Bridge'!$C$2:$C$1057,B165,'02c_DC_Accel_Bridge'!$D$2:$D$1057,C165)/I165,0)</f>
        <v/>
      </c>
      <c r="M165" s="6">
        <f>IF(I165&gt;0,SUMIFS('02c_DC_Accel_Bridge'!$X$2:$X$1057,'02c_DC_Accel_Bridge'!$B$2:$B$1057,A165,'02c_DC_Accel_Bridge'!$C$2:$C$1057,B165,'02c_DC_Accel_Bridge'!$D$2:$D$1057,C165)/I165,0)</f>
        <v/>
      </c>
      <c r="N165" s="6">
        <f>IF(I165&gt;0,SUMIFS('02c_DC_Accel_Bridge'!$Y$2:$Y$1057,'02c_DC_Accel_Bridge'!$B$2:$B$1057,A165,'02c_DC_Accel_Bridge'!$C$2:$C$1057,B165,'02c_DC_Accel_Bridge'!$D$2:$D$1057,C165)/I165,0)</f>
        <v/>
      </c>
      <c r="O165" s="6">
        <f>IF(I165&gt;0,SUMIFS('02c_DC_Accel_Bridge'!$Z$2:$Z$1057,'02c_DC_Accel_Bridge'!$B$2:$B$1057,A165,'02c_DC_Accel_Bridge'!$C$2:$C$1057,B165,'02c_DC_Accel_Bridge'!$D$2:$D$1057,C165)/I165,0)</f>
        <v/>
      </c>
      <c r="P165" s="3" t="inlineStr">
        <is>
          <t>weighted average: sum(site inference_weight_mw * accelerator_share) / sum(site inference_weight_mw)</t>
        </is>
      </c>
      <c r="Q165" s="3" t="inlineStr">
        <is>
          <t>dc_capacity_x_dc_accelerator_mix</t>
        </is>
      </c>
      <c r="R165" s="3" t="inlineStr">
        <is>
          <t>Edit 02a capacity allocation and 02b site accelerator mix; 03_Calculation reads D:G from this sheet.</t>
        </is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>
        <f>IF(I166&gt;0,SUMIFS('02c_DC_Accel_Bridge'!$R$2:$R$1057,'02c_DC_Accel_Bridge'!$B$2:$B$1057,A166,'02c_DC_Accel_Bridge'!$C$2:$C$1057,B166,'02c_DC_Accel_Bridge'!$D$2:$D$1057,C166)/I166,0.068417)</f>
        <v/>
      </c>
      <c r="E166" s="6">
        <f>IF(I166&gt;0,SUMIFS('02c_DC_Accel_Bridge'!$S$2:$S$1057,'02c_DC_Accel_Bridge'!$B$2:$B$1057,A166,'02c_DC_Accel_Bridge'!$C$2:$C$1057,B166,'02c_DC_Accel_Bridge'!$D$2:$D$1057,C166)/I166,0.110031)</f>
        <v/>
      </c>
      <c r="F166" s="6">
        <f>IF(I166&gt;0,SUMIFS('02c_DC_Accel_Bridge'!$T$2:$T$1057,'02c_DC_Accel_Bridge'!$B$2:$B$1057,A166,'02c_DC_Accel_Bridge'!$C$2:$C$1057,B166,'02c_DC_Accel_Bridge'!$D$2:$D$1057,C166)/I166,0.0)</f>
        <v/>
      </c>
      <c r="G166" s="6">
        <f>IF(I166&gt;0,SUMIFS('02c_DC_Accel_Bridge'!$AA$2:$AA$1057,'02c_DC_Accel_Bridge'!$B$2:$B$1057,A166,'02c_DC_Accel_Bridge'!$C$2:$C$1057,B166,'02c_DC_Accel_Bridge'!$D$2:$D$1057,C166)/I166,0.821552)</f>
        <v/>
      </c>
      <c r="H166" s="6">
        <f>SUM(D166:G166)</f>
        <v/>
      </c>
      <c r="I166" s="28">
        <f>SUMIFS('02c_DC_Accel_Bridge'!$H$2:$H$1057,'02c_DC_Accel_Bridge'!$B$2:$B$1057,A166,'02c_DC_Accel_Bridge'!$C$2:$C$1057,B166,'02c_DC_Accel_Bridge'!$D$2:$D$1057,C166)</f>
        <v/>
      </c>
      <c r="J166" s="6">
        <f>IF(I166&gt;0,SUMIFS('02c_DC_Accel_Bridge'!$U$2:$U$1057,'02c_DC_Accel_Bridge'!$B$2:$B$1057,A166,'02c_DC_Accel_Bridge'!$C$2:$C$1057,B166,'02c_DC_Accel_Bridge'!$D$2:$D$1057,C166)/I166,0)</f>
        <v/>
      </c>
      <c r="K166" s="6">
        <f>IF(I166&gt;0,SUMIFS('02c_DC_Accel_Bridge'!$V$2:$V$1057,'02c_DC_Accel_Bridge'!$B$2:$B$1057,A166,'02c_DC_Accel_Bridge'!$C$2:$C$1057,B166,'02c_DC_Accel_Bridge'!$D$2:$D$1057,C166)/I166,0)</f>
        <v/>
      </c>
      <c r="L166" s="6">
        <f>IF(I166&gt;0,SUMIFS('02c_DC_Accel_Bridge'!$W$2:$W$1057,'02c_DC_Accel_Bridge'!$B$2:$B$1057,A166,'02c_DC_Accel_Bridge'!$C$2:$C$1057,B166,'02c_DC_Accel_Bridge'!$D$2:$D$1057,C166)/I166,0)</f>
        <v/>
      </c>
      <c r="M166" s="6">
        <f>IF(I166&gt;0,SUMIFS('02c_DC_Accel_Bridge'!$X$2:$X$1057,'02c_DC_Accel_Bridge'!$B$2:$B$1057,A166,'02c_DC_Accel_Bridge'!$C$2:$C$1057,B166,'02c_DC_Accel_Bridge'!$D$2:$D$1057,C166)/I166,0)</f>
        <v/>
      </c>
      <c r="N166" s="6">
        <f>IF(I166&gt;0,SUMIFS('02c_DC_Accel_Bridge'!$Y$2:$Y$1057,'02c_DC_Accel_Bridge'!$B$2:$B$1057,A166,'02c_DC_Accel_Bridge'!$C$2:$C$1057,B166,'02c_DC_Accel_Bridge'!$D$2:$D$1057,C166)/I166,0)</f>
        <v/>
      </c>
      <c r="O166" s="6">
        <f>IF(I166&gt;0,SUMIFS('02c_DC_Accel_Bridge'!$Z$2:$Z$1057,'02c_DC_Accel_Bridge'!$B$2:$B$1057,A166,'02c_DC_Accel_Bridge'!$C$2:$C$1057,B166,'02c_DC_Accel_Bridge'!$D$2:$D$1057,C166)/I166,0)</f>
        <v/>
      </c>
      <c r="P166" s="3" t="inlineStr">
        <is>
          <t>weighted average: sum(site inference_weight_mw * accelerator_share) / sum(site inference_weight_mw)</t>
        </is>
      </c>
      <c r="Q166" s="3" t="inlineStr">
        <is>
          <t>dc_capacity_x_dc_accelerator_mix</t>
        </is>
      </c>
      <c r="R166" s="3" t="inlineStr">
        <is>
          <t>Edit 02a capacity allocation and 02b site accelerator mix; 03_Calculation reads D:G from this sheet.</t>
        </is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>
        <f>IF(I167&gt;0,SUMIFS('02c_DC_Accel_Bridge'!$R$2:$R$1057,'02c_DC_Accel_Bridge'!$B$2:$B$1057,A167,'02c_DC_Accel_Bridge'!$C$2:$C$1057,B167,'02c_DC_Accel_Bridge'!$D$2:$D$1057,C167)/I167,0.55)</f>
        <v/>
      </c>
      <c r="E167" s="6">
        <f>IF(I167&gt;0,SUMIFS('02c_DC_Accel_Bridge'!$S$2:$S$1057,'02c_DC_Accel_Bridge'!$B$2:$B$1057,A167,'02c_DC_Accel_Bridge'!$C$2:$C$1057,B167,'02c_DC_Accel_Bridge'!$D$2:$D$1057,C167)/I167,0.4)</f>
        <v/>
      </c>
      <c r="F167" s="6">
        <f>IF(I167&gt;0,SUMIFS('02c_DC_Accel_Bridge'!$T$2:$T$1057,'02c_DC_Accel_Bridge'!$B$2:$B$1057,A167,'02c_DC_Accel_Bridge'!$C$2:$C$1057,B167,'02c_DC_Accel_Bridge'!$D$2:$D$1057,C167)/I167,0.05)</f>
        <v/>
      </c>
      <c r="G167" s="6">
        <f>IF(I167&gt;0,SUMIFS('02c_DC_Accel_Bridge'!$AA$2:$AA$1057,'02c_DC_Accel_Bridge'!$B$2:$B$1057,A167,'02c_DC_Accel_Bridge'!$C$2:$C$1057,B167,'02c_DC_Accel_Bridge'!$D$2:$D$1057,C167)/I167,0.0)</f>
        <v/>
      </c>
      <c r="H167" s="6">
        <f>SUM(D167:G167)</f>
        <v/>
      </c>
      <c r="I167" s="28">
        <f>SUMIFS('02c_DC_Accel_Bridge'!$H$2:$H$1057,'02c_DC_Accel_Bridge'!$B$2:$B$1057,A167,'02c_DC_Accel_Bridge'!$C$2:$C$1057,B167,'02c_DC_Accel_Bridge'!$D$2:$D$1057,C167)</f>
        <v/>
      </c>
      <c r="J167" s="6">
        <f>IF(I167&gt;0,SUMIFS('02c_DC_Accel_Bridge'!$U$2:$U$1057,'02c_DC_Accel_Bridge'!$B$2:$B$1057,A167,'02c_DC_Accel_Bridge'!$C$2:$C$1057,B167,'02c_DC_Accel_Bridge'!$D$2:$D$1057,C167)/I167,0)</f>
        <v/>
      </c>
      <c r="K167" s="6">
        <f>IF(I167&gt;0,SUMIFS('02c_DC_Accel_Bridge'!$V$2:$V$1057,'02c_DC_Accel_Bridge'!$B$2:$B$1057,A167,'02c_DC_Accel_Bridge'!$C$2:$C$1057,B167,'02c_DC_Accel_Bridge'!$D$2:$D$1057,C167)/I167,0)</f>
        <v/>
      </c>
      <c r="L167" s="6">
        <f>IF(I167&gt;0,SUMIFS('02c_DC_Accel_Bridge'!$W$2:$W$1057,'02c_DC_Accel_Bridge'!$B$2:$B$1057,A167,'02c_DC_Accel_Bridge'!$C$2:$C$1057,B167,'02c_DC_Accel_Bridge'!$D$2:$D$1057,C167)/I167,0)</f>
        <v/>
      </c>
      <c r="M167" s="6">
        <f>IF(I167&gt;0,SUMIFS('02c_DC_Accel_Bridge'!$X$2:$X$1057,'02c_DC_Accel_Bridge'!$B$2:$B$1057,A167,'02c_DC_Accel_Bridge'!$C$2:$C$1057,B167,'02c_DC_Accel_Bridge'!$D$2:$D$1057,C167)/I167,0)</f>
        <v/>
      </c>
      <c r="N167" s="6">
        <f>IF(I167&gt;0,SUMIFS('02c_DC_Accel_Bridge'!$Y$2:$Y$1057,'02c_DC_Accel_Bridge'!$B$2:$B$1057,A167,'02c_DC_Accel_Bridge'!$C$2:$C$1057,B167,'02c_DC_Accel_Bridge'!$D$2:$D$1057,C167)/I167,0)</f>
        <v/>
      </c>
      <c r="O167" s="6">
        <f>IF(I167&gt;0,SUMIFS('02c_DC_Accel_Bridge'!$Z$2:$Z$1057,'02c_DC_Accel_Bridge'!$B$2:$B$1057,A167,'02c_DC_Accel_Bridge'!$C$2:$C$1057,B167,'02c_DC_Accel_Bridge'!$D$2:$D$1057,C167)/I167,0)</f>
        <v/>
      </c>
      <c r="P167" s="3" t="inlineStr">
        <is>
          <t>weighted average: sum(site inference_weight_mw * accelerator_share) / sum(site inference_weight_mw)</t>
        </is>
      </c>
      <c r="Q167" s="3" t="inlineStr">
        <is>
          <t>dc_capacity_x_dc_accelerator_mix</t>
        </is>
      </c>
      <c r="R167" s="3" t="inlineStr">
        <is>
          <t>Edit 02a capacity allocation and 02b site accelerator mix; 03_Calculation reads D:G from this sheet.</t>
        </is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>
        <f>IF(I168&gt;0,SUMIFS('02c_DC_Accel_Bridge'!$R$2:$R$1057,'02c_DC_Accel_Bridge'!$B$2:$B$1057,A168,'02c_DC_Accel_Bridge'!$C$2:$C$1057,B168,'02c_DC_Accel_Bridge'!$D$2:$D$1057,C168)/I168,0.438)</f>
        <v/>
      </c>
      <c r="E168" s="6">
        <f>IF(I168&gt;0,SUMIFS('02c_DC_Accel_Bridge'!$S$2:$S$1057,'02c_DC_Accel_Bridge'!$B$2:$B$1057,A168,'02c_DC_Accel_Bridge'!$C$2:$C$1057,B168,'02c_DC_Accel_Bridge'!$D$2:$D$1057,C168)/I168,0.388)</f>
        <v/>
      </c>
      <c r="F168" s="6">
        <f>IF(I168&gt;0,SUMIFS('02c_DC_Accel_Bridge'!$T$2:$T$1057,'02c_DC_Accel_Bridge'!$B$2:$B$1057,A168,'02c_DC_Accel_Bridge'!$C$2:$C$1057,B168,'02c_DC_Accel_Bridge'!$D$2:$D$1057,C168)/I168,0.174)</f>
        <v/>
      </c>
      <c r="G168" s="6">
        <f>IF(I168&gt;0,SUMIFS('02c_DC_Accel_Bridge'!$AA$2:$AA$1057,'02c_DC_Accel_Bridge'!$B$2:$B$1057,A168,'02c_DC_Accel_Bridge'!$C$2:$C$1057,B168,'02c_DC_Accel_Bridge'!$D$2:$D$1057,C168)/I168,0.0)</f>
        <v/>
      </c>
      <c r="H168" s="6">
        <f>SUM(D168:G168)</f>
        <v/>
      </c>
      <c r="I168" s="28">
        <f>SUMIFS('02c_DC_Accel_Bridge'!$H$2:$H$1057,'02c_DC_Accel_Bridge'!$B$2:$B$1057,A168,'02c_DC_Accel_Bridge'!$C$2:$C$1057,B168,'02c_DC_Accel_Bridge'!$D$2:$D$1057,C168)</f>
        <v/>
      </c>
      <c r="J168" s="6">
        <f>IF(I168&gt;0,SUMIFS('02c_DC_Accel_Bridge'!$U$2:$U$1057,'02c_DC_Accel_Bridge'!$B$2:$B$1057,A168,'02c_DC_Accel_Bridge'!$C$2:$C$1057,B168,'02c_DC_Accel_Bridge'!$D$2:$D$1057,C168)/I168,0)</f>
        <v/>
      </c>
      <c r="K168" s="6">
        <f>IF(I168&gt;0,SUMIFS('02c_DC_Accel_Bridge'!$V$2:$V$1057,'02c_DC_Accel_Bridge'!$B$2:$B$1057,A168,'02c_DC_Accel_Bridge'!$C$2:$C$1057,B168,'02c_DC_Accel_Bridge'!$D$2:$D$1057,C168)/I168,0)</f>
        <v/>
      </c>
      <c r="L168" s="6">
        <f>IF(I168&gt;0,SUMIFS('02c_DC_Accel_Bridge'!$W$2:$W$1057,'02c_DC_Accel_Bridge'!$B$2:$B$1057,A168,'02c_DC_Accel_Bridge'!$C$2:$C$1057,B168,'02c_DC_Accel_Bridge'!$D$2:$D$1057,C168)/I168,0)</f>
        <v/>
      </c>
      <c r="M168" s="6">
        <f>IF(I168&gt;0,SUMIFS('02c_DC_Accel_Bridge'!$X$2:$X$1057,'02c_DC_Accel_Bridge'!$B$2:$B$1057,A168,'02c_DC_Accel_Bridge'!$C$2:$C$1057,B168,'02c_DC_Accel_Bridge'!$D$2:$D$1057,C168)/I168,0)</f>
        <v/>
      </c>
      <c r="N168" s="6">
        <f>IF(I168&gt;0,SUMIFS('02c_DC_Accel_Bridge'!$Y$2:$Y$1057,'02c_DC_Accel_Bridge'!$B$2:$B$1057,A168,'02c_DC_Accel_Bridge'!$C$2:$C$1057,B168,'02c_DC_Accel_Bridge'!$D$2:$D$1057,C168)/I168,0)</f>
        <v/>
      </c>
      <c r="O168" s="6">
        <f>IF(I168&gt;0,SUMIFS('02c_DC_Accel_Bridge'!$Z$2:$Z$1057,'02c_DC_Accel_Bridge'!$B$2:$B$1057,A168,'02c_DC_Accel_Bridge'!$C$2:$C$1057,B168,'02c_DC_Accel_Bridge'!$D$2:$D$1057,C168)/I168,0)</f>
        <v/>
      </c>
      <c r="P168" s="3" t="inlineStr">
        <is>
          <t>weighted average: sum(site inference_weight_mw * accelerator_share) / sum(site inference_weight_mw)</t>
        </is>
      </c>
      <c r="Q168" s="3" t="inlineStr">
        <is>
          <t>dc_capacity_x_dc_accelerator_mix</t>
        </is>
      </c>
      <c r="R168" s="3" t="inlineStr">
        <is>
          <t>Edit 02a capacity allocation and 02b site accelerator mix; 03_Calculation reads D:G from this sheet.</t>
        </is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>
        <f>IF(I169&gt;0,SUMIFS('02c_DC_Accel_Bridge'!$R$2:$R$1057,'02c_DC_Accel_Bridge'!$B$2:$B$1057,A169,'02c_DC_Accel_Bridge'!$C$2:$C$1057,B169,'02c_DC_Accel_Bridge'!$D$2:$D$1057,C169)/I169,0.325)</f>
        <v/>
      </c>
      <c r="E169" s="6">
        <f>IF(I169&gt;0,SUMIFS('02c_DC_Accel_Bridge'!$S$2:$S$1057,'02c_DC_Accel_Bridge'!$B$2:$B$1057,A169,'02c_DC_Accel_Bridge'!$C$2:$C$1057,B169,'02c_DC_Accel_Bridge'!$D$2:$D$1057,C169)/I169,0.375)</f>
        <v/>
      </c>
      <c r="F169" s="6">
        <f>IF(I169&gt;0,SUMIFS('02c_DC_Accel_Bridge'!$T$2:$T$1057,'02c_DC_Accel_Bridge'!$B$2:$B$1057,A169,'02c_DC_Accel_Bridge'!$C$2:$C$1057,B169,'02c_DC_Accel_Bridge'!$D$2:$D$1057,C169)/I169,0.3)</f>
        <v/>
      </c>
      <c r="G169" s="6">
        <f>IF(I169&gt;0,SUMIFS('02c_DC_Accel_Bridge'!$AA$2:$AA$1057,'02c_DC_Accel_Bridge'!$B$2:$B$1057,A169,'02c_DC_Accel_Bridge'!$C$2:$C$1057,B169,'02c_DC_Accel_Bridge'!$D$2:$D$1057,C169)/I169,0.0)</f>
        <v/>
      </c>
      <c r="H169" s="6">
        <f>SUM(D169:G169)</f>
        <v/>
      </c>
      <c r="I169" s="28">
        <f>SUMIFS('02c_DC_Accel_Bridge'!$H$2:$H$1057,'02c_DC_Accel_Bridge'!$B$2:$B$1057,A169,'02c_DC_Accel_Bridge'!$C$2:$C$1057,B169,'02c_DC_Accel_Bridge'!$D$2:$D$1057,C169)</f>
        <v/>
      </c>
      <c r="J169" s="6">
        <f>IF(I169&gt;0,SUMIFS('02c_DC_Accel_Bridge'!$U$2:$U$1057,'02c_DC_Accel_Bridge'!$B$2:$B$1057,A169,'02c_DC_Accel_Bridge'!$C$2:$C$1057,B169,'02c_DC_Accel_Bridge'!$D$2:$D$1057,C169)/I169,0)</f>
        <v/>
      </c>
      <c r="K169" s="6">
        <f>IF(I169&gt;0,SUMIFS('02c_DC_Accel_Bridge'!$V$2:$V$1057,'02c_DC_Accel_Bridge'!$B$2:$B$1057,A169,'02c_DC_Accel_Bridge'!$C$2:$C$1057,B169,'02c_DC_Accel_Bridge'!$D$2:$D$1057,C169)/I169,0)</f>
        <v/>
      </c>
      <c r="L169" s="6">
        <f>IF(I169&gt;0,SUMIFS('02c_DC_Accel_Bridge'!$W$2:$W$1057,'02c_DC_Accel_Bridge'!$B$2:$B$1057,A169,'02c_DC_Accel_Bridge'!$C$2:$C$1057,B169,'02c_DC_Accel_Bridge'!$D$2:$D$1057,C169)/I169,0)</f>
        <v/>
      </c>
      <c r="M169" s="6">
        <f>IF(I169&gt;0,SUMIFS('02c_DC_Accel_Bridge'!$X$2:$X$1057,'02c_DC_Accel_Bridge'!$B$2:$B$1057,A169,'02c_DC_Accel_Bridge'!$C$2:$C$1057,B169,'02c_DC_Accel_Bridge'!$D$2:$D$1057,C169)/I169,0)</f>
        <v/>
      </c>
      <c r="N169" s="6">
        <f>IF(I169&gt;0,SUMIFS('02c_DC_Accel_Bridge'!$Y$2:$Y$1057,'02c_DC_Accel_Bridge'!$B$2:$B$1057,A169,'02c_DC_Accel_Bridge'!$C$2:$C$1057,B169,'02c_DC_Accel_Bridge'!$D$2:$D$1057,C169)/I169,0)</f>
        <v/>
      </c>
      <c r="O169" s="6">
        <f>IF(I169&gt;0,SUMIFS('02c_DC_Accel_Bridge'!$Z$2:$Z$1057,'02c_DC_Accel_Bridge'!$B$2:$B$1057,A169,'02c_DC_Accel_Bridge'!$C$2:$C$1057,B169,'02c_DC_Accel_Bridge'!$D$2:$D$1057,C169)/I169,0)</f>
        <v/>
      </c>
      <c r="P169" s="3" t="inlineStr">
        <is>
          <t>weighted average: sum(site inference_weight_mw * accelerator_share) / sum(site inference_weight_mw)</t>
        </is>
      </c>
      <c r="Q169" s="3" t="inlineStr">
        <is>
          <t>dc_capacity_x_dc_accelerator_mix</t>
        </is>
      </c>
      <c r="R169" s="3" t="inlineStr">
        <is>
          <t>Edit 02a capacity allocation and 02b site accelerator mix; 03_Calculation reads D:G from this sheet.</t>
        </is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>
        <f>IF(I170&gt;0,SUMIFS('02c_DC_Accel_Bridge'!$R$2:$R$1057,'02c_DC_Accel_Bridge'!$B$2:$B$1057,A170,'02c_DC_Accel_Bridge'!$C$2:$C$1057,B170,'02c_DC_Accel_Bridge'!$D$2:$D$1057,C170)/I170,0.213)</f>
        <v/>
      </c>
      <c r="E170" s="6">
        <f>IF(I170&gt;0,SUMIFS('02c_DC_Accel_Bridge'!$S$2:$S$1057,'02c_DC_Accel_Bridge'!$B$2:$B$1057,A170,'02c_DC_Accel_Bridge'!$C$2:$C$1057,B170,'02c_DC_Accel_Bridge'!$D$2:$D$1057,C170)/I170,0.362)</f>
        <v/>
      </c>
      <c r="F170" s="6">
        <f>IF(I170&gt;0,SUMIFS('02c_DC_Accel_Bridge'!$T$2:$T$1057,'02c_DC_Accel_Bridge'!$B$2:$B$1057,A170,'02c_DC_Accel_Bridge'!$C$2:$C$1057,B170,'02c_DC_Accel_Bridge'!$D$2:$D$1057,C170)/I170,0.425)</f>
        <v/>
      </c>
      <c r="G170" s="6">
        <f>IF(I170&gt;0,SUMIFS('02c_DC_Accel_Bridge'!$AA$2:$AA$1057,'02c_DC_Accel_Bridge'!$B$2:$B$1057,A170,'02c_DC_Accel_Bridge'!$C$2:$C$1057,B170,'02c_DC_Accel_Bridge'!$D$2:$D$1057,C170)/I170,0.0)</f>
        <v/>
      </c>
      <c r="H170" s="6">
        <f>SUM(D170:G170)</f>
        <v/>
      </c>
      <c r="I170" s="28">
        <f>SUMIFS('02c_DC_Accel_Bridge'!$H$2:$H$1057,'02c_DC_Accel_Bridge'!$B$2:$B$1057,A170,'02c_DC_Accel_Bridge'!$C$2:$C$1057,B170,'02c_DC_Accel_Bridge'!$D$2:$D$1057,C170)</f>
        <v/>
      </c>
      <c r="J170" s="6">
        <f>IF(I170&gt;0,SUMIFS('02c_DC_Accel_Bridge'!$U$2:$U$1057,'02c_DC_Accel_Bridge'!$B$2:$B$1057,A170,'02c_DC_Accel_Bridge'!$C$2:$C$1057,B170,'02c_DC_Accel_Bridge'!$D$2:$D$1057,C170)/I170,0)</f>
        <v/>
      </c>
      <c r="K170" s="6">
        <f>IF(I170&gt;0,SUMIFS('02c_DC_Accel_Bridge'!$V$2:$V$1057,'02c_DC_Accel_Bridge'!$B$2:$B$1057,A170,'02c_DC_Accel_Bridge'!$C$2:$C$1057,B170,'02c_DC_Accel_Bridge'!$D$2:$D$1057,C170)/I170,0)</f>
        <v/>
      </c>
      <c r="L170" s="6">
        <f>IF(I170&gt;0,SUMIFS('02c_DC_Accel_Bridge'!$W$2:$W$1057,'02c_DC_Accel_Bridge'!$B$2:$B$1057,A170,'02c_DC_Accel_Bridge'!$C$2:$C$1057,B170,'02c_DC_Accel_Bridge'!$D$2:$D$1057,C170)/I170,0)</f>
        <v/>
      </c>
      <c r="M170" s="6">
        <f>IF(I170&gt;0,SUMIFS('02c_DC_Accel_Bridge'!$X$2:$X$1057,'02c_DC_Accel_Bridge'!$B$2:$B$1057,A170,'02c_DC_Accel_Bridge'!$C$2:$C$1057,B170,'02c_DC_Accel_Bridge'!$D$2:$D$1057,C170)/I170,0)</f>
        <v/>
      </c>
      <c r="N170" s="6">
        <f>IF(I170&gt;0,SUMIFS('02c_DC_Accel_Bridge'!$Y$2:$Y$1057,'02c_DC_Accel_Bridge'!$B$2:$B$1057,A170,'02c_DC_Accel_Bridge'!$C$2:$C$1057,B170,'02c_DC_Accel_Bridge'!$D$2:$D$1057,C170)/I170,0)</f>
        <v/>
      </c>
      <c r="O170" s="6">
        <f>IF(I170&gt;0,SUMIFS('02c_DC_Accel_Bridge'!$Z$2:$Z$1057,'02c_DC_Accel_Bridge'!$B$2:$B$1057,A170,'02c_DC_Accel_Bridge'!$C$2:$C$1057,B170,'02c_DC_Accel_Bridge'!$D$2:$D$1057,C170)/I170,0)</f>
        <v/>
      </c>
      <c r="P170" s="3" t="inlineStr">
        <is>
          <t>weighted average: sum(site inference_weight_mw * accelerator_share) / sum(site inference_weight_mw)</t>
        </is>
      </c>
      <c r="Q170" s="3" t="inlineStr">
        <is>
          <t>dc_capacity_x_dc_accelerator_mix</t>
        </is>
      </c>
      <c r="R170" s="3" t="inlineStr">
        <is>
          <t>Edit 02a capacity allocation and 02b site accelerator mix; 03_Calculation reads D:G from this sheet.</t>
        </is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>
        <f>IF(I171&gt;0,SUMIFS('02c_DC_Accel_Bridge'!$R$2:$R$1057,'02c_DC_Accel_Bridge'!$B$2:$B$1057,A171,'02c_DC_Accel_Bridge'!$C$2:$C$1057,B171,'02c_DC_Accel_Bridge'!$D$2:$D$1057,C171)/I171,0.1)</f>
        <v/>
      </c>
      <c r="E171" s="6">
        <f>IF(I171&gt;0,SUMIFS('02c_DC_Accel_Bridge'!$S$2:$S$1057,'02c_DC_Accel_Bridge'!$B$2:$B$1057,A171,'02c_DC_Accel_Bridge'!$C$2:$C$1057,B171,'02c_DC_Accel_Bridge'!$D$2:$D$1057,C171)/I171,0.35)</f>
        <v/>
      </c>
      <c r="F171" s="6">
        <f>IF(I171&gt;0,SUMIFS('02c_DC_Accel_Bridge'!$T$2:$T$1057,'02c_DC_Accel_Bridge'!$B$2:$B$1057,A171,'02c_DC_Accel_Bridge'!$C$2:$C$1057,B171,'02c_DC_Accel_Bridge'!$D$2:$D$1057,C171)/I171,0.55)</f>
        <v/>
      </c>
      <c r="G171" s="6">
        <f>IF(I171&gt;0,SUMIFS('02c_DC_Accel_Bridge'!$AA$2:$AA$1057,'02c_DC_Accel_Bridge'!$B$2:$B$1057,A171,'02c_DC_Accel_Bridge'!$C$2:$C$1057,B171,'02c_DC_Accel_Bridge'!$D$2:$D$1057,C171)/I171,0.0)</f>
        <v/>
      </c>
      <c r="H171" s="6">
        <f>SUM(D171:G171)</f>
        <v/>
      </c>
      <c r="I171" s="28">
        <f>SUMIFS('02c_DC_Accel_Bridge'!$H$2:$H$1057,'02c_DC_Accel_Bridge'!$B$2:$B$1057,A171,'02c_DC_Accel_Bridge'!$C$2:$C$1057,B171,'02c_DC_Accel_Bridge'!$D$2:$D$1057,C171)</f>
        <v/>
      </c>
      <c r="J171" s="6">
        <f>IF(I171&gt;0,SUMIFS('02c_DC_Accel_Bridge'!$U$2:$U$1057,'02c_DC_Accel_Bridge'!$B$2:$B$1057,A171,'02c_DC_Accel_Bridge'!$C$2:$C$1057,B171,'02c_DC_Accel_Bridge'!$D$2:$D$1057,C171)/I171,0)</f>
        <v/>
      </c>
      <c r="K171" s="6">
        <f>IF(I171&gt;0,SUMIFS('02c_DC_Accel_Bridge'!$V$2:$V$1057,'02c_DC_Accel_Bridge'!$B$2:$B$1057,A171,'02c_DC_Accel_Bridge'!$C$2:$C$1057,B171,'02c_DC_Accel_Bridge'!$D$2:$D$1057,C171)/I171,0)</f>
        <v/>
      </c>
      <c r="L171" s="6">
        <f>IF(I171&gt;0,SUMIFS('02c_DC_Accel_Bridge'!$W$2:$W$1057,'02c_DC_Accel_Bridge'!$B$2:$B$1057,A171,'02c_DC_Accel_Bridge'!$C$2:$C$1057,B171,'02c_DC_Accel_Bridge'!$D$2:$D$1057,C171)/I171,0)</f>
        <v/>
      </c>
      <c r="M171" s="6">
        <f>IF(I171&gt;0,SUMIFS('02c_DC_Accel_Bridge'!$X$2:$X$1057,'02c_DC_Accel_Bridge'!$B$2:$B$1057,A171,'02c_DC_Accel_Bridge'!$C$2:$C$1057,B171,'02c_DC_Accel_Bridge'!$D$2:$D$1057,C171)/I171,0)</f>
        <v/>
      </c>
      <c r="N171" s="6">
        <f>IF(I171&gt;0,SUMIFS('02c_DC_Accel_Bridge'!$Y$2:$Y$1057,'02c_DC_Accel_Bridge'!$B$2:$B$1057,A171,'02c_DC_Accel_Bridge'!$C$2:$C$1057,B171,'02c_DC_Accel_Bridge'!$D$2:$D$1057,C171)/I171,0)</f>
        <v/>
      </c>
      <c r="O171" s="6">
        <f>IF(I171&gt;0,SUMIFS('02c_DC_Accel_Bridge'!$Z$2:$Z$1057,'02c_DC_Accel_Bridge'!$B$2:$B$1057,A171,'02c_DC_Accel_Bridge'!$C$2:$C$1057,B171,'02c_DC_Accel_Bridge'!$D$2:$D$1057,C171)/I171,0)</f>
        <v/>
      </c>
      <c r="P171" s="3" t="inlineStr">
        <is>
          <t>weighted average: sum(site inference_weight_mw * accelerator_share) / sum(site inference_weight_mw)</t>
        </is>
      </c>
      <c r="Q171" s="3" t="inlineStr">
        <is>
          <t>dc_capacity_x_dc_accelerator_mix</t>
        </is>
      </c>
      <c r="R171" s="3" t="inlineStr">
        <is>
          <t>Edit 02a capacity allocation and 02b site accelerator mix; 03_Calculation reads D:G from this sheet.</t>
        </is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>
        <f>IF(I172&gt;0,SUMIFS('02c_DC_Accel_Bridge'!$R$2:$R$1057,'02c_DC_Accel_Bridge'!$B$2:$B$1057,A172,'02c_DC_Accel_Bridge'!$C$2:$C$1057,B172,'02c_DC_Accel_Bridge'!$D$2:$D$1057,C172)/I172,1.0)</f>
        <v/>
      </c>
      <c r="E172" s="6">
        <f>IF(I172&gt;0,SUMIFS('02c_DC_Accel_Bridge'!$S$2:$S$1057,'02c_DC_Accel_Bridge'!$B$2:$B$1057,A172,'02c_DC_Accel_Bridge'!$C$2:$C$1057,B172,'02c_DC_Accel_Bridge'!$D$2:$D$1057,C172)/I172,0.0)</f>
        <v/>
      </c>
      <c r="F172" s="6">
        <f>IF(I172&gt;0,SUMIFS('02c_DC_Accel_Bridge'!$T$2:$T$1057,'02c_DC_Accel_Bridge'!$B$2:$B$1057,A172,'02c_DC_Accel_Bridge'!$C$2:$C$1057,B172,'02c_DC_Accel_Bridge'!$D$2:$D$1057,C172)/I172,0.0)</f>
        <v/>
      </c>
      <c r="G172" s="6">
        <f>IF(I172&gt;0,SUMIFS('02c_DC_Accel_Bridge'!$AA$2:$AA$1057,'02c_DC_Accel_Bridge'!$B$2:$B$1057,A172,'02c_DC_Accel_Bridge'!$C$2:$C$1057,B172,'02c_DC_Accel_Bridge'!$D$2:$D$1057,C172)/I172,0.0)</f>
        <v/>
      </c>
      <c r="H172" s="6">
        <f>SUM(D172:G172)</f>
        <v/>
      </c>
      <c r="I172" s="28">
        <f>SUMIFS('02c_DC_Accel_Bridge'!$H$2:$H$1057,'02c_DC_Accel_Bridge'!$B$2:$B$1057,A172,'02c_DC_Accel_Bridge'!$C$2:$C$1057,B172,'02c_DC_Accel_Bridge'!$D$2:$D$1057,C172)</f>
        <v/>
      </c>
      <c r="J172" s="6">
        <f>IF(I172&gt;0,SUMIFS('02c_DC_Accel_Bridge'!$U$2:$U$1057,'02c_DC_Accel_Bridge'!$B$2:$B$1057,A172,'02c_DC_Accel_Bridge'!$C$2:$C$1057,B172,'02c_DC_Accel_Bridge'!$D$2:$D$1057,C172)/I172,0)</f>
        <v/>
      </c>
      <c r="K172" s="6">
        <f>IF(I172&gt;0,SUMIFS('02c_DC_Accel_Bridge'!$V$2:$V$1057,'02c_DC_Accel_Bridge'!$B$2:$B$1057,A172,'02c_DC_Accel_Bridge'!$C$2:$C$1057,B172,'02c_DC_Accel_Bridge'!$D$2:$D$1057,C172)/I172,0)</f>
        <v/>
      </c>
      <c r="L172" s="6">
        <f>IF(I172&gt;0,SUMIFS('02c_DC_Accel_Bridge'!$W$2:$W$1057,'02c_DC_Accel_Bridge'!$B$2:$B$1057,A172,'02c_DC_Accel_Bridge'!$C$2:$C$1057,B172,'02c_DC_Accel_Bridge'!$D$2:$D$1057,C172)/I172,0)</f>
        <v/>
      </c>
      <c r="M172" s="6">
        <f>IF(I172&gt;0,SUMIFS('02c_DC_Accel_Bridge'!$X$2:$X$1057,'02c_DC_Accel_Bridge'!$B$2:$B$1057,A172,'02c_DC_Accel_Bridge'!$C$2:$C$1057,B172,'02c_DC_Accel_Bridge'!$D$2:$D$1057,C172)/I172,0)</f>
        <v/>
      </c>
      <c r="N172" s="6">
        <f>IF(I172&gt;0,SUMIFS('02c_DC_Accel_Bridge'!$Y$2:$Y$1057,'02c_DC_Accel_Bridge'!$B$2:$B$1057,A172,'02c_DC_Accel_Bridge'!$C$2:$C$1057,B172,'02c_DC_Accel_Bridge'!$D$2:$D$1057,C172)/I172,0)</f>
        <v/>
      </c>
      <c r="O172" s="6">
        <f>IF(I172&gt;0,SUMIFS('02c_DC_Accel_Bridge'!$Z$2:$Z$1057,'02c_DC_Accel_Bridge'!$B$2:$B$1057,A172,'02c_DC_Accel_Bridge'!$C$2:$C$1057,B172,'02c_DC_Accel_Bridge'!$D$2:$D$1057,C172)/I172,0)</f>
        <v/>
      </c>
      <c r="P172" s="3" t="inlineStr">
        <is>
          <t>weighted average: sum(site inference_weight_mw * accelerator_share) / sum(site inference_weight_mw)</t>
        </is>
      </c>
      <c r="Q172" s="3" t="inlineStr">
        <is>
          <t>dc_capacity_x_dc_accelerator_mix</t>
        </is>
      </c>
      <c r="R172" s="3" t="inlineStr">
        <is>
          <t>Edit 02a capacity allocation and 02b site accelerator mix; 03_Calculation reads D:G from this sheet.</t>
        </is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>
        <f>IF(I173&gt;0,SUMIFS('02c_DC_Accel_Bridge'!$R$2:$R$1057,'02c_DC_Accel_Bridge'!$B$2:$B$1057,A173,'02c_DC_Accel_Bridge'!$C$2:$C$1057,B173,'02c_DC_Accel_Bridge'!$D$2:$D$1057,C173)/I173,1.0)</f>
        <v/>
      </c>
      <c r="E173" s="6">
        <f>IF(I173&gt;0,SUMIFS('02c_DC_Accel_Bridge'!$S$2:$S$1057,'02c_DC_Accel_Bridge'!$B$2:$B$1057,A173,'02c_DC_Accel_Bridge'!$C$2:$C$1057,B173,'02c_DC_Accel_Bridge'!$D$2:$D$1057,C173)/I173,0.0)</f>
        <v/>
      </c>
      <c r="F173" s="6">
        <f>IF(I173&gt;0,SUMIFS('02c_DC_Accel_Bridge'!$T$2:$T$1057,'02c_DC_Accel_Bridge'!$B$2:$B$1057,A173,'02c_DC_Accel_Bridge'!$C$2:$C$1057,B173,'02c_DC_Accel_Bridge'!$D$2:$D$1057,C173)/I173,0.0)</f>
        <v/>
      </c>
      <c r="G173" s="6">
        <f>IF(I173&gt;0,SUMIFS('02c_DC_Accel_Bridge'!$AA$2:$AA$1057,'02c_DC_Accel_Bridge'!$B$2:$B$1057,A173,'02c_DC_Accel_Bridge'!$C$2:$C$1057,B173,'02c_DC_Accel_Bridge'!$D$2:$D$1057,C173)/I173,0.0)</f>
        <v/>
      </c>
      <c r="H173" s="6">
        <f>SUM(D173:G173)</f>
        <v/>
      </c>
      <c r="I173" s="28">
        <f>SUMIFS('02c_DC_Accel_Bridge'!$H$2:$H$1057,'02c_DC_Accel_Bridge'!$B$2:$B$1057,A173,'02c_DC_Accel_Bridge'!$C$2:$C$1057,B173,'02c_DC_Accel_Bridge'!$D$2:$D$1057,C173)</f>
        <v/>
      </c>
      <c r="J173" s="6">
        <f>IF(I173&gt;0,SUMIFS('02c_DC_Accel_Bridge'!$U$2:$U$1057,'02c_DC_Accel_Bridge'!$B$2:$B$1057,A173,'02c_DC_Accel_Bridge'!$C$2:$C$1057,B173,'02c_DC_Accel_Bridge'!$D$2:$D$1057,C173)/I173,0)</f>
        <v/>
      </c>
      <c r="K173" s="6">
        <f>IF(I173&gt;0,SUMIFS('02c_DC_Accel_Bridge'!$V$2:$V$1057,'02c_DC_Accel_Bridge'!$B$2:$B$1057,A173,'02c_DC_Accel_Bridge'!$C$2:$C$1057,B173,'02c_DC_Accel_Bridge'!$D$2:$D$1057,C173)/I173,0)</f>
        <v/>
      </c>
      <c r="L173" s="6">
        <f>IF(I173&gt;0,SUMIFS('02c_DC_Accel_Bridge'!$W$2:$W$1057,'02c_DC_Accel_Bridge'!$B$2:$B$1057,A173,'02c_DC_Accel_Bridge'!$C$2:$C$1057,B173,'02c_DC_Accel_Bridge'!$D$2:$D$1057,C173)/I173,0)</f>
        <v/>
      </c>
      <c r="M173" s="6">
        <f>IF(I173&gt;0,SUMIFS('02c_DC_Accel_Bridge'!$X$2:$X$1057,'02c_DC_Accel_Bridge'!$B$2:$B$1057,A173,'02c_DC_Accel_Bridge'!$C$2:$C$1057,B173,'02c_DC_Accel_Bridge'!$D$2:$D$1057,C173)/I173,0)</f>
        <v/>
      </c>
      <c r="N173" s="6">
        <f>IF(I173&gt;0,SUMIFS('02c_DC_Accel_Bridge'!$Y$2:$Y$1057,'02c_DC_Accel_Bridge'!$B$2:$B$1057,A173,'02c_DC_Accel_Bridge'!$C$2:$C$1057,B173,'02c_DC_Accel_Bridge'!$D$2:$D$1057,C173)/I173,0)</f>
        <v/>
      </c>
      <c r="O173" s="6">
        <f>IF(I173&gt;0,SUMIFS('02c_DC_Accel_Bridge'!$Z$2:$Z$1057,'02c_DC_Accel_Bridge'!$B$2:$B$1057,A173,'02c_DC_Accel_Bridge'!$C$2:$C$1057,B173,'02c_DC_Accel_Bridge'!$D$2:$D$1057,C173)/I173,0)</f>
        <v/>
      </c>
      <c r="P173" s="3" t="inlineStr">
        <is>
          <t>weighted average: sum(site inference_weight_mw * accelerator_share) / sum(site inference_weight_mw)</t>
        </is>
      </c>
      <c r="Q173" s="3" t="inlineStr">
        <is>
          <t>dc_capacity_x_dc_accelerator_mix</t>
        </is>
      </c>
      <c r="R173" s="3" t="inlineStr">
        <is>
          <t>Edit 02a capacity allocation and 02b site accelerator mix; 03_Calculation reads D:G from this sheet.</t>
        </is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>
        <f>IF(I174&gt;0,SUMIFS('02c_DC_Accel_Bridge'!$R$2:$R$1057,'02c_DC_Accel_Bridge'!$B$2:$B$1057,A174,'02c_DC_Accel_Bridge'!$C$2:$C$1057,B174,'02c_DC_Accel_Bridge'!$D$2:$D$1057,C174)/I174,1.0)</f>
        <v/>
      </c>
      <c r="E174" s="6">
        <f>IF(I174&gt;0,SUMIFS('02c_DC_Accel_Bridge'!$S$2:$S$1057,'02c_DC_Accel_Bridge'!$B$2:$B$1057,A174,'02c_DC_Accel_Bridge'!$C$2:$C$1057,B174,'02c_DC_Accel_Bridge'!$D$2:$D$1057,C174)/I174,0.0)</f>
        <v/>
      </c>
      <c r="F174" s="6">
        <f>IF(I174&gt;0,SUMIFS('02c_DC_Accel_Bridge'!$T$2:$T$1057,'02c_DC_Accel_Bridge'!$B$2:$B$1057,A174,'02c_DC_Accel_Bridge'!$C$2:$C$1057,B174,'02c_DC_Accel_Bridge'!$D$2:$D$1057,C174)/I174,0.0)</f>
        <v/>
      </c>
      <c r="G174" s="6">
        <f>IF(I174&gt;0,SUMIFS('02c_DC_Accel_Bridge'!$AA$2:$AA$1057,'02c_DC_Accel_Bridge'!$B$2:$B$1057,A174,'02c_DC_Accel_Bridge'!$C$2:$C$1057,B174,'02c_DC_Accel_Bridge'!$D$2:$D$1057,C174)/I174,0.0)</f>
        <v/>
      </c>
      <c r="H174" s="6">
        <f>SUM(D174:G174)</f>
        <v/>
      </c>
      <c r="I174" s="28">
        <f>SUMIFS('02c_DC_Accel_Bridge'!$H$2:$H$1057,'02c_DC_Accel_Bridge'!$B$2:$B$1057,A174,'02c_DC_Accel_Bridge'!$C$2:$C$1057,B174,'02c_DC_Accel_Bridge'!$D$2:$D$1057,C174)</f>
        <v/>
      </c>
      <c r="J174" s="6">
        <f>IF(I174&gt;0,SUMIFS('02c_DC_Accel_Bridge'!$U$2:$U$1057,'02c_DC_Accel_Bridge'!$B$2:$B$1057,A174,'02c_DC_Accel_Bridge'!$C$2:$C$1057,B174,'02c_DC_Accel_Bridge'!$D$2:$D$1057,C174)/I174,0)</f>
        <v/>
      </c>
      <c r="K174" s="6">
        <f>IF(I174&gt;0,SUMIFS('02c_DC_Accel_Bridge'!$V$2:$V$1057,'02c_DC_Accel_Bridge'!$B$2:$B$1057,A174,'02c_DC_Accel_Bridge'!$C$2:$C$1057,B174,'02c_DC_Accel_Bridge'!$D$2:$D$1057,C174)/I174,0)</f>
        <v/>
      </c>
      <c r="L174" s="6">
        <f>IF(I174&gt;0,SUMIFS('02c_DC_Accel_Bridge'!$W$2:$W$1057,'02c_DC_Accel_Bridge'!$B$2:$B$1057,A174,'02c_DC_Accel_Bridge'!$C$2:$C$1057,B174,'02c_DC_Accel_Bridge'!$D$2:$D$1057,C174)/I174,0)</f>
        <v/>
      </c>
      <c r="M174" s="6">
        <f>IF(I174&gt;0,SUMIFS('02c_DC_Accel_Bridge'!$X$2:$X$1057,'02c_DC_Accel_Bridge'!$B$2:$B$1057,A174,'02c_DC_Accel_Bridge'!$C$2:$C$1057,B174,'02c_DC_Accel_Bridge'!$D$2:$D$1057,C174)/I174,0)</f>
        <v/>
      </c>
      <c r="N174" s="6">
        <f>IF(I174&gt;0,SUMIFS('02c_DC_Accel_Bridge'!$Y$2:$Y$1057,'02c_DC_Accel_Bridge'!$B$2:$B$1057,A174,'02c_DC_Accel_Bridge'!$C$2:$C$1057,B174,'02c_DC_Accel_Bridge'!$D$2:$D$1057,C174)/I174,0)</f>
        <v/>
      </c>
      <c r="O174" s="6">
        <f>IF(I174&gt;0,SUMIFS('02c_DC_Accel_Bridge'!$Z$2:$Z$1057,'02c_DC_Accel_Bridge'!$B$2:$B$1057,A174,'02c_DC_Accel_Bridge'!$C$2:$C$1057,B174,'02c_DC_Accel_Bridge'!$D$2:$D$1057,C174)/I174,0)</f>
        <v/>
      </c>
      <c r="P174" s="3" t="inlineStr">
        <is>
          <t>weighted average: sum(site inference_weight_mw * accelerator_share) / sum(site inference_weight_mw)</t>
        </is>
      </c>
      <c r="Q174" s="3" t="inlineStr">
        <is>
          <t>dc_capacity_x_dc_accelerator_mix</t>
        </is>
      </c>
      <c r="R174" s="3" t="inlineStr">
        <is>
          <t>Edit 02a capacity allocation and 02b site accelerator mix; 03_Calculation reads D:G from this sheet.</t>
        </is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>
        <f>IF(I175&gt;0,SUMIFS('02c_DC_Accel_Bridge'!$R$2:$R$1057,'02c_DC_Accel_Bridge'!$B$2:$B$1057,A175,'02c_DC_Accel_Bridge'!$C$2:$C$1057,B175,'02c_DC_Accel_Bridge'!$D$2:$D$1057,C175)/I175,1.0)</f>
        <v/>
      </c>
      <c r="E175" s="6">
        <f>IF(I175&gt;0,SUMIFS('02c_DC_Accel_Bridge'!$S$2:$S$1057,'02c_DC_Accel_Bridge'!$B$2:$B$1057,A175,'02c_DC_Accel_Bridge'!$C$2:$C$1057,B175,'02c_DC_Accel_Bridge'!$D$2:$D$1057,C175)/I175,0.0)</f>
        <v/>
      </c>
      <c r="F175" s="6">
        <f>IF(I175&gt;0,SUMIFS('02c_DC_Accel_Bridge'!$T$2:$T$1057,'02c_DC_Accel_Bridge'!$B$2:$B$1057,A175,'02c_DC_Accel_Bridge'!$C$2:$C$1057,B175,'02c_DC_Accel_Bridge'!$D$2:$D$1057,C175)/I175,0.0)</f>
        <v/>
      </c>
      <c r="G175" s="6">
        <f>IF(I175&gt;0,SUMIFS('02c_DC_Accel_Bridge'!$AA$2:$AA$1057,'02c_DC_Accel_Bridge'!$B$2:$B$1057,A175,'02c_DC_Accel_Bridge'!$C$2:$C$1057,B175,'02c_DC_Accel_Bridge'!$D$2:$D$1057,C175)/I175,0.0)</f>
        <v/>
      </c>
      <c r="H175" s="6">
        <f>SUM(D175:G175)</f>
        <v/>
      </c>
      <c r="I175" s="28">
        <f>SUMIFS('02c_DC_Accel_Bridge'!$H$2:$H$1057,'02c_DC_Accel_Bridge'!$B$2:$B$1057,A175,'02c_DC_Accel_Bridge'!$C$2:$C$1057,B175,'02c_DC_Accel_Bridge'!$D$2:$D$1057,C175)</f>
        <v/>
      </c>
      <c r="J175" s="6">
        <f>IF(I175&gt;0,SUMIFS('02c_DC_Accel_Bridge'!$U$2:$U$1057,'02c_DC_Accel_Bridge'!$B$2:$B$1057,A175,'02c_DC_Accel_Bridge'!$C$2:$C$1057,B175,'02c_DC_Accel_Bridge'!$D$2:$D$1057,C175)/I175,0)</f>
        <v/>
      </c>
      <c r="K175" s="6">
        <f>IF(I175&gt;0,SUMIFS('02c_DC_Accel_Bridge'!$V$2:$V$1057,'02c_DC_Accel_Bridge'!$B$2:$B$1057,A175,'02c_DC_Accel_Bridge'!$C$2:$C$1057,B175,'02c_DC_Accel_Bridge'!$D$2:$D$1057,C175)/I175,0)</f>
        <v/>
      </c>
      <c r="L175" s="6">
        <f>IF(I175&gt;0,SUMIFS('02c_DC_Accel_Bridge'!$W$2:$W$1057,'02c_DC_Accel_Bridge'!$B$2:$B$1057,A175,'02c_DC_Accel_Bridge'!$C$2:$C$1057,B175,'02c_DC_Accel_Bridge'!$D$2:$D$1057,C175)/I175,0)</f>
        <v/>
      </c>
      <c r="M175" s="6">
        <f>IF(I175&gt;0,SUMIFS('02c_DC_Accel_Bridge'!$X$2:$X$1057,'02c_DC_Accel_Bridge'!$B$2:$B$1057,A175,'02c_DC_Accel_Bridge'!$C$2:$C$1057,B175,'02c_DC_Accel_Bridge'!$D$2:$D$1057,C175)/I175,0)</f>
        <v/>
      </c>
      <c r="N175" s="6">
        <f>IF(I175&gt;0,SUMIFS('02c_DC_Accel_Bridge'!$Y$2:$Y$1057,'02c_DC_Accel_Bridge'!$B$2:$B$1057,A175,'02c_DC_Accel_Bridge'!$C$2:$C$1057,B175,'02c_DC_Accel_Bridge'!$D$2:$D$1057,C175)/I175,0)</f>
        <v/>
      </c>
      <c r="O175" s="6">
        <f>IF(I175&gt;0,SUMIFS('02c_DC_Accel_Bridge'!$Z$2:$Z$1057,'02c_DC_Accel_Bridge'!$B$2:$B$1057,A175,'02c_DC_Accel_Bridge'!$C$2:$C$1057,B175,'02c_DC_Accel_Bridge'!$D$2:$D$1057,C175)/I175,0)</f>
        <v/>
      </c>
      <c r="P175" s="3" t="inlineStr">
        <is>
          <t>weighted average: sum(site inference_weight_mw * accelerator_share) / sum(site inference_weight_mw)</t>
        </is>
      </c>
      <c r="Q175" s="3" t="inlineStr">
        <is>
          <t>dc_capacity_x_dc_accelerator_mix</t>
        </is>
      </c>
      <c r="R175" s="3" t="inlineStr">
        <is>
          <t>Edit 02a capacity allocation and 02b site accelerator mix; 03_Calculation reads D:G from this sheet.</t>
        </is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>
        <f>IF(I176&gt;0,SUMIFS('02c_DC_Accel_Bridge'!$R$2:$R$1057,'02c_DC_Accel_Bridge'!$B$2:$B$1057,A176,'02c_DC_Accel_Bridge'!$C$2:$C$1057,B176,'02c_DC_Accel_Bridge'!$D$2:$D$1057,C176)/I176,1.0)</f>
        <v/>
      </c>
      <c r="E176" s="6">
        <f>IF(I176&gt;0,SUMIFS('02c_DC_Accel_Bridge'!$S$2:$S$1057,'02c_DC_Accel_Bridge'!$B$2:$B$1057,A176,'02c_DC_Accel_Bridge'!$C$2:$C$1057,B176,'02c_DC_Accel_Bridge'!$D$2:$D$1057,C176)/I176,0.0)</f>
        <v/>
      </c>
      <c r="F176" s="6">
        <f>IF(I176&gt;0,SUMIFS('02c_DC_Accel_Bridge'!$T$2:$T$1057,'02c_DC_Accel_Bridge'!$B$2:$B$1057,A176,'02c_DC_Accel_Bridge'!$C$2:$C$1057,B176,'02c_DC_Accel_Bridge'!$D$2:$D$1057,C176)/I176,0.0)</f>
        <v/>
      </c>
      <c r="G176" s="6">
        <f>IF(I176&gt;0,SUMIFS('02c_DC_Accel_Bridge'!$AA$2:$AA$1057,'02c_DC_Accel_Bridge'!$B$2:$B$1057,A176,'02c_DC_Accel_Bridge'!$C$2:$C$1057,B176,'02c_DC_Accel_Bridge'!$D$2:$D$1057,C176)/I176,0.0)</f>
        <v/>
      </c>
      <c r="H176" s="6">
        <f>SUM(D176:G176)</f>
        <v/>
      </c>
      <c r="I176" s="28">
        <f>SUMIFS('02c_DC_Accel_Bridge'!$H$2:$H$1057,'02c_DC_Accel_Bridge'!$B$2:$B$1057,A176,'02c_DC_Accel_Bridge'!$C$2:$C$1057,B176,'02c_DC_Accel_Bridge'!$D$2:$D$1057,C176)</f>
        <v/>
      </c>
      <c r="J176" s="6">
        <f>IF(I176&gt;0,SUMIFS('02c_DC_Accel_Bridge'!$U$2:$U$1057,'02c_DC_Accel_Bridge'!$B$2:$B$1057,A176,'02c_DC_Accel_Bridge'!$C$2:$C$1057,B176,'02c_DC_Accel_Bridge'!$D$2:$D$1057,C176)/I176,0)</f>
        <v/>
      </c>
      <c r="K176" s="6">
        <f>IF(I176&gt;0,SUMIFS('02c_DC_Accel_Bridge'!$V$2:$V$1057,'02c_DC_Accel_Bridge'!$B$2:$B$1057,A176,'02c_DC_Accel_Bridge'!$C$2:$C$1057,B176,'02c_DC_Accel_Bridge'!$D$2:$D$1057,C176)/I176,0)</f>
        <v/>
      </c>
      <c r="L176" s="6">
        <f>IF(I176&gt;0,SUMIFS('02c_DC_Accel_Bridge'!$W$2:$W$1057,'02c_DC_Accel_Bridge'!$B$2:$B$1057,A176,'02c_DC_Accel_Bridge'!$C$2:$C$1057,B176,'02c_DC_Accel_Bridge'!$D$2:$D$1057,C176)/I176,0)</f>
        <v/>
      </c>
      <c r="M176" s="6">
        <f>IF(I176&gt;0,SUMIFS('02c_DC_Accel_Bridge'!$X$2:$X$1057,'02c_DC_Accel_Bridge'!$B$2:$B$1057,A176,'02c_DC_Accel_Bridge'!$C$2:$C$1057,B176,'02c_DC_Accel_Bridge'!$D$2:$D$1057,C176)/I176,0)</f>
        <v/>
      </c>
      <c r="N176" s="6">
        <f>IF(I176&gt;0,SUMIFS('02c_DC_Accel_Bridge'!$Y$2:$Y$1057,'02c_DC_Accel_Bridge'!$B$2:$B$1057,A176,'02c_DC_Accel_Bridge'!$C$2:$C$1057,B176,'02c_DC_Accel_Bridge'!$D$2:$D$1057,C176)/I176,0)</f>
        <v/>
      </c>
      <c r="O176" s="6">
        <f>IF(I176&gt;0,SUMIFS('02c_DC_Accel_Bridge'!$Z$2:$Z$1057,'02c_DC_Accel_Bridge'!$B$2:$B$1057,A176,'02c_DC_Accel_Bridge'!$C$2:$C$1057,B176,'02c_DC_Accel_Bridge'!$D$2:$D$1057,C176)/I176,0)</f>
        <v/>
      </c>
      <c r="P176" s="3" t="inlineStr">
        <is>
          <t>weighted average: sum(site inference_weight_mw * accelerator_share) / sum(site inference_weight_mw)</t>
        </is>
      </c>
      <c r="Q176" s="3" t="inlineStr">
        <is>
          <t>dc_capacity_x_dc_accelerator_mix</t>
        </is>
      </c>
      <c r="R176" s="3" t="inlineStr">
        <is>
          <t>Edit 02a capacity allocation and 02b site accelerator mix; 03_Calculation reads D:G from this sheet.</t>
        </is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>
        <f>IF(I177&gt;0,SUMIFS('02c_DC_Accel_Bridge'!$R$2:$R$1057,'02c_DC_Accel_Bridge'!$B$2:$B$1057,A177,'02c_DC_Accel_Bridge'!$C$2:$C$1057,B177,'02c_DC_Accel_Bridge'!$D$2:$D$1057,C177)/I177,0.55)</f>
        <v/>
      </c>
      <c r="E177" s="6">
        <f>IF(I177&gt;0,SUMIFS('02c_DC_Accel_Bridge'!$S$2:$S$1057,'02c_DC_Accel_Bridge'!$B$2:$B$1057,A177,'02c_DC_Accel_Bridge'!$C$2:$C$1057,B177,'02c_DC_Accel_Bridge'!$D$2:$D$1057,C177)/I177,0.4)</f>
        <v/>
      </c>
      <c r="F177" s="6">
        <f>IF(I177&gt;0,SUMIFS('02c_DC_Accel_Bridge'!$T$2:$T$1057,'02c_DC_Accel_Bridge'!$B$2:$B$1057,A177,'02c_DC_Accel_Bridge'!$C$2:$C$1057,B177,'02c_DC_Accel_Bridge'!$D$2:$D$1057,C177)/I177,0.05)</f>
        <v/>
      </c>
      <c r="G177" s="6">
        <f>IF(I177&gt;0,SUMIFS('02c_DC_Accel_Bridge'!$AA$2:$AA$1057,'02c_DC_Accel_Bridge'!$B$2:$B$1057,A177,'02c_DC_Accel_Bridge'!$C$2:$C$1057,B177,'02c_DC_Accel_Bridge'!$D$2:$D$1057,C177)/I177,0.0)</f>
        <v/>
      </c>
      <c r="H177" s="6">
        <f>SUM(D177:G177)</f>
        <v/>
      </c>
      <c r="I177" s="28">
        <f>SUMIFS('02c_DC_Accel_Bridge'!$H$2:$H$1057,'02c_DC_Accel_Bridge'!$B$2:$B$1057,A177,'02c_DC_Accel_Bridge'!$C$2:$C$1057,B177,'02c_DC_Accel_Bridge'!$D$2:$D$1057,C177)</f>
        <v/>
      </c>
      <c r="J177" s="6">
        <f>IF(I177&gt;0,SUMIFS('02c_DC_Accel_Bridge'!$U$2:$U$1057,'02c_DC_Accel_Bridge'!$B$2:$B$1057,A177,'02c_DC_Accel_Bridge'!$C$2:$C$1057,B177,'02c_DC_Accel_Bridge'!$D$2:$D$1057,C177)/I177,0)</f>
        <v/>
      </c>
      <c r="K177" s="6">
        <f>IF(I177&gt;0,SUMIFS('02c_DC_Accel_Bridge'!$V$2:$V$1057,'02c_DC_Accel_Bridge'!$B$2:$B$1057,A177,'02c_DC_Accel_Bridge'!$C$2:$C$1057,B177,'02c_DC_Accel_Bridge'!$D$2:$D$1057,C177)/I177,0)</f>
        <v/>
      </c>
      <c r="L177" s="6">
        <f>IF(I177&gt;0,SUMIFS('02c_DC_Accel_Bridge'!$W$2:$W$1057,'02c_DC_Accel_Bridge'!$B$2:$B$1057,A177,'02c_DC_Accel_Bridge'!$C$2:$C$1057,B177,'02c_DC_Accel_Bridge'!$D$2:$D$1057,C177)/I177,0)</f>
        <v/>
      </c>
      <c r="M177" s="6">
        <f>IF(I177&gt;0,SUMIFS('02c_DC_Accel_Bridge'!$X$2:$X$1057,'02c_DC_Accel_Bridge'!$B$2:$B$1057,A177,'02c_DC_Accel_Bridge'!$C$2:$C$1057,B177,'02c_DC_Accel_Bridge'!$D$2:$D$1057,C177)/I177,0)</f>
        <v/>
      </c>
      <c r="N177" s="6">
        <f>IF(I177&gt;0,SUMIFS('02c_DC_Accel_Bridge'!$Y$2:$Y$1057,'02c_DC_Accel_Bridge'!$B$2:$B$1057,A177,'02c_DC_Accel_Bridge'!$C$2:$C$1057,B177,'02c_DC_Accel_Bridge'!$D$2:$D$1057,C177)/I177,0)</f>
        <v/>
      </c>
      <c r="O177" s="6">
        <f>IF(I177&gt;0,SUMIFS('02c_DC_Accel_Bridge'!$Z$2:$Z$1057,'02c_DC_Accel_Bridge'!$B$2:$B$1057,A177,'02c_DC_Accel_Bridge'!$C$2:$C$1057,B177,'02c_DC_Accel_Bridge'!$D$2:$D$1057,C177)/I177,0)</f>
        <v/>
      </c>
      <c r="P177" s="3" t="inlineStr">
        <is>
          <t>weighted average: sum(site inference_weight_mw * accelerator_share) / sum(site inference_weight_mw)</t>
        </is>
      </c>
      <c r="Q177" s="3" t="inlineStr">
        <is>
          <t>dc_capacity_x_dc_accelerator_mix</t>
        </is>
      </c>
      <c r="R177" s="3" t="inlineStr">
        <is>
          <t>Edit 02a capacity allocation and 02b site accelerator mix; 03_Calculation reads D:G from this sheet.</t>
        </is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>
        <f>IF(I178&gt;0,SUMIFS('02c_DC_Accel_Bridge'!$R$2:$R$1057,'02c_DC_Accel_Bridge'!$B$2:$B$1057,A178,'02c_DC_Accel_Bridge'!$C$2:$C$1057,B178,'02c_DC_Accel_Bridge'!$D$2:$D$1057,C178)/I178,0.438)</f>
        <v/>
      </c>
      <c r="E178" s="6">
        <f>IF(I178&gt;0,SUMIFS('02c_DC_Accel_Bridge'!$S$2:$S$1057,'02c_DC_Accel_Bridge'!$B$2:$B$1057,A178,'02c_DC_Accel_Bridge'!$C$2:$C$1057,B178,'02c_DC_Accel_Bridge'!$D$2:$D$1057,C178)/I178,0.388)</f>
        <v/>
      </c>
      <c r="F178" s="6">
        <f>IF(I178&gt;0,SUMIFS('02c_DC_Accel_Bridge'!$T$2:$T$1057,'02c_DC_Accel_Bridge'!$B$2:$B$1057,A178,'02c_DC_Accel_Bridge'!$C$2:$C$1057,B178,'02c_DC_Accel_Bridge'!$D$2:$D$1057,C178)/I178,0.174)</f>
        <v/>
      </c>
      <c r="G178" s="6">
        <f>IF(I178&gt;0,SUMIFS('02c_DC_Accel_Bridge'!$AA$2:$AA$1057,'02c_DC_Accel_Bridge'!$B$2:$B$1057,A178,'02c_DC_Accel_Bridge'!$C$2:$C$1057,B178,'02c_DC_Accel_Bridge'!$D$2:$D$1057,C178)/I178,0.0)</f>
        <v/>
      </c>
      <c r="H178" s="6">
        <f>SUM(D178:G178)</f>
        <v/>
      </c>
      <c r="I178" s="28">
        <f>SUMIFS('02c_DC_Accel_Bridge'!$H$2:$H$1057,'02c_DC_Accel_Bridge'!$B$2:$B$1057,A178,'02c_DC_Accel_Bridge'!$C$2:$C$1057,B178,'02c_DC_Accel_Bridge'!$D$2:$D$1057,C178)</f>
        <v/>
      </c>
      <c r="J178" s="6">
        <f>IF(I178&gt;0,SUMIFS('02c_DC_Accel_Bridge'!$U$2:$U$1057,'02c_DC_Accel_Bridge'!$B$2:$B$1057,A178,'02c_DC_Accel_Bridge'!$C$2:$C$1057,B178,'02c_DC_Accel_Bridge'!$D$2:$D$1057,C178)/I178,0)</f>
        <v/>
      </c>
      <c r="K178" s="6">
        <f>IF(I178&gt;0,SUMIFS('02c_DC_Accel_Bridge'!$V$2:$V$1057,'02c_DC_Accel_Bridge'!$B$2:$B$1057,A178,'02c_DC_Accel_Bridge'!$C$2:$C$1057,B178,'02c_DC_Accel_Bridge'!$D$2:$D$1057,C178)/I178,0)</f>
        <v/>
      </c>
      <c r="L178" s="6">
        <f>IF(I178&gt;0,SUMIFS('02c_DC_Accel_Bridge'!$W$2:$W$1057,'02c_DC_Accel_Bridge'!$B$2:$B$1057,A178,'02c_DC_Accel_Bridge'!$C$2:$C$1057,B178,'02c_DC_Accel_Bridge'!$D$2:$D$1057,C178)/I178,0)</f>
        <v/>
      </c>
      <c r="M178" s="6">
        <f>IF(I178&gt;0,SUMIFS('02c_DC_Accel_Bridge'!$X$2:$X$1057,'02c_DC_Accel_Bridge'!$B$2:$B$1057,A178,'02c_DC_Accel_Bridge'!$C$2:$C$1057,B178,'02c_DC_Accel_Bridge'!$D$2:$D$1057,C178)/I178,0)</f>
        <v/>
      </c>
      <c r="N178" s="6">
        <f>IF(I178&gt;0,SUMIFS('02c_DC_Accel_Bridge'!$Y$2:$Y$1057,'02c_DC_Accel_Bridge'!$B$2:$B$1057,A178,'02c_DC_Accel_Bridge'!$C$2:$C$1057,B178,'02c_DC_Accel_Bridge'!$D$2:$D$1057,C178)/I178,0)</f>
        <v/>
      </c>
      <c r="O178" s="6">
        <f>IF(I178&gt;0,SUMIFS('02c_DC_Accel_Bridge'!$Z$2:$Z$1057,'02c_DC_Accel_Bridge'!$B$2:$B$1057,A178,'02c_DC_Accel_Bridge'!$C$2:$C$1057,B178,'02c_DC_Accel_Bridge'!$D$2:$D$1057,C178)/I178,0)</f>
        <v/>
      </c>
      <c r="P178" s="3" t="inlineStr">
        <is>
          <t>weighted average: sum(site inference_weight_mw * accelerator_share) / sum(site inference_weight_mw)</t>
        </is>
      </c>
      <c r="Q178" s="3" t="inlineStr">
        <is>
          <t>dc_capacity_x_dc_accelerator_mix</t>
        </is>
      </c>
      <c r="R178" s="3" t="inlineStr">
        <is>
          <t>Edit 02a capacity allocation and 02b site accelerator mix; 03_Calculation reads D:G from this sheet.</t>
        </is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>
        <f>IF(I179&gt;0,SUMIFS('02c_DC_Accel_Bridge'!$R$2:$R$1057,'02c_DC_Accel_Bridge'!$B$2:$B$1057,A179,'02c_DC_Accel_Bridge'!$C$2:$C$1057,B179,'02c_DC_Accel_Bridge'!$D$2:$D$1057,C179)/I179,0.325)</f>
        <v/>
      </c>
      <c r="E179" s="6">
        <f>IF(I179&gt;0,SUMIFS('02c_DC_Accel_Bridge'!$S$2:$S$1057,'02c_DC_Accel_Bridge'!$B$2:$B$1057,A179,'02c_DC_Accel_Bridge'!$C$2:$C$1057,B179,'02c_DC_Accel_Bridge'!$D$2:$D$1057,C179)/I179,0.375)</f>
        <v/>
      </c>
      <c r="F179" s="6">
        <f>IF(I179&gt;0,SUMIFS('02c_DC_Accel_Bridge'!$T$2:$T$1057,'02c_DC_Accel_Bridge'!$B$2:$B$1057,A179,'02c_DC_Accel_Bridge'!$C$2:$C$1057,B179,'02c_DC_Accel_Bridge'!$D$2:$D$1057,C179)/I179,0.3)</f>
        <v/>
      </c>
      <c r="G179" s="6">
        <f>IF(I179&gt;0,SUMIFS('02c_DC_Accel_Bridge'!$AA$2:$AA$1057,'02c_DC_Accel_Bridge'!$B$2:$B$1057,A179,'02c_DC_Accel_Bridge'!$C$2:$C$1057,B179,'02c_DC_Accel_Bridge'!$D$2:$D$1057,C179)/I179,0.0)</f>
        <v/>
      </c>
      <c r="H179" s="6">
        <f>SUM(D179:G179)</f>
        <v/>
      </c>
      <c r="I179" s="28">
        <f>SUMIFS('02c_DC_Accel_Bridge'!$H$2:$H$1057,'02c_DC_Accel_Bridge'!$B$2:$B$1057,A179,'02c_DC_Accel_Bridge'!$C$2:$C$1057,B179,'02c_DC_Accel_Bridge'!$D$2:$D$1057,C179)</f>
        <v/>
      </c>
      <c r="J179" s="6">
        <f>IF(I179&gt;0,SUMIFS('02c_DC_Accel_Bridge'!$U$2:$U$1057,'02c_DC_Accel_Bridge'!$B$2:$B$1057,A179,'02c_DC_Accel_Bridge'!$C$2:$C$1057,B179,'02c_DC_Accel_Bridge'!$D$2:$D$1057,C179)/I179,0)</f>
        <v/>
      </c>
      <c r="K179" s="6">
        <f>IF(I179&gt;0,SUMIFS('02c_DC_Accel_Bridge'!$V$2:$V$1057,'02c_DC_Accel_Bridge'!$B$2:$B$1057,A179,'02c_DC_Accel_Bridge'!$C$2:$C$1057,B179,'02c_DC_Accel_Bridge'!$D$2:$D$1057,C179)/I179,0)</f>
        <v/>
      </c>
      <c r="L179" s="6">
        <f>IF(I179&gt;0,SUMIFS('02c_DC_Accel_Bridge'!$W$2:$W$1057,'02c_DC_Accel_Bridge'!$B$2:$B$1057,A179,'02c_DC_Accel_Bridge'!$C$2:$C$1057,B179,'02c_DC_Accel_Bridge'!$D$2:$D$1057,C179)/I179,0)</f>
        <v/>
      </c>
      <c r="M179" s="6">
        <f>IF(I179&gt;0,SUMIFS('02c_DC_Accel_Bridge'!$X$2:$X$1057,'02c_DC_Accel_Bridge'!$B$2:$B$1057,A179,'02c_DC_Accel_Bridge'!$C$2:$C$1057,B179,'02c_DC_Accel_Bridge'!$D$2:$D$1057,C179)/I179,0)</f>
        <v/>
      </c>
      <c r="N179" s="6">
        <f>IF(I179&gt;0,SUMIFS('02c_DC_Accel_Bridge'!$Y$2:$Y$1057,'02c_DC_Accel_Bridge'!$B$2:$B$1057,A179,'02c_DC_Accel_Bridge'!$C$2:$C$1057,B179,'02c_DC_Accel_Bridge'!$D$2:$D$1057,C179)/I179,0)</f>
        <v/>
      </c>
      <c r="O179" s="6">
        <f>IF(I179&gt;0,SUMIFS('02c_DC_Accel_Bridge'!$Z$2:$Z$1057,'02c_DC_Accel_Bridge'!$B$2:$B$1057,A179,'02c_DC_Accel_Bridge'!$C$2:$C$1057,B179,'02c_DC_Accel_Bridge'!$D$2:$D$1057,C179)/I179,0)</f>
        <v/>
      </c>
      <c r="P179" s="3" t="inlineStr">
        <is>
          <t>weighted average: sum(site inference_weight_mw * accelerator_share) / sum(site inference_weight_mw)</t>
        </is>
      </c>
      <c r="Q179" s="3" t="inlineStr">
        <is>
          <t>dc_capacity_x_dc_accelerator_mix</t>
        </is>
      </c>
      <c r="R179" s="3" t="inlineStr">
        <is>
          <t>Edit 02a capacity allocation and 02b site accelerator mix; 03_Calculation reads D:G from this sheet.</t>
        </is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>
        <f>IF(I180&gt;0,SUMIFS('02c_DC_Accel_Bridge'!$R$2:$R$1057,'02c_DC_Accel_Bridge'!$B$2:$B$1057,A180,'02c_DC_Accel_Bridge'!$C$2:$C$1057,B180,'02c_DC_Accel_Bridge'!$D$2:$D$1057,C180)/I180,0.213)</f>
        <v/>
      </c>
      <c r="E180" s="6">
        <f>IF(I180&gt;0,SUMIFS('02c_DC_Accel_Bridge'!$S$2:$S$1057,'02c_DC_Accel_Bridge'!$B$2:$B$1057,A180,'02c_DC_Accel_Bridge'!$C$2:$C$1057,B180,'02c_DC_Accel_Bridge'!$D$2:$D$1057,C180)/I180,0.362)</f>
        <v/>
      </c>
      <c r="F180" s="6">
        <f>IF(I180&gt;0,SUMIFS('02c_DC_Accel_Bridge'!$T$2:$T$1057,'02c_DC_Accel_Bridge'!$B$2:$B$1057,A180,'02c_DC_Accel_Bridge'!$C$2:$C$1057,B180,'02c_DC_Accel_Bridge'!$D$2:$D$1057,C180)/I180,0.425)</f>
        <v/>
      </c>
      <c r="G180" s="6">
        <f>IF(I180&gt;0,SUMIFS('02c_DC_Accel_Bridge'!$AA$2:$AA$1057,'02c_DC_Accel_Bridge'!$B$2:$B$1057,A180,'02c_DC_Accel_Bridge'!$C$2:$C$1057,B180,'02c_DC_Accel_Bridge'!$D$2:$D$1057,C180)/I180,0.0)</f>
        <v/>
      </c>
      <c r="H180" s="6">
        <f>SUM(D180:G180)</f>
        <v/>
      </c>
      <c r="I180" s="28">
        <f>SUMIFS('02c_DC_Accel_Bridge'!$H$2:$H$1057,'02c_DC_Accel_Bridge'!$B$2:$B$1057,A180,'02c_DC_Accel_Bridge'!$C$2:$C$1057,B180,'02c_DC_Accel_Bridge'!$D$2:$D$1057,C180)</f>
        <v/>
      </c>
      <c r="J180" s="6">
        <f>IF(I180&gt;0,SUMIFS('02c_DC_Accel_Bridge'!$U$2:$U$1057,'02c_DC_Accel_Bridge'!$B$2:$B$1057,A180,'02c_DC_Accel_Bridge'!$C$2:$C$1057,B180,'02c_DC_Accel_Bridge'!$D$2:$D$1057,C180)/I180,0)</f>
        <v/>
      </c>
      <c r="K180" s="6">
        <f>IF(I180&gt;0,SUMIFS('02c_DC_Accel_Bridge'!$V$2:$V$1057,'02c_DC_Accel_Bridge'!$B$2:$B$1057,A180,'02c_DC_Accel_Bridge'!$C$2:$C$1057,B180,'02c_DC_Accel_Bridge'!$D$2:$D$1057,C180)/I180,0)</f>
        <v/>
      </c>
      <c r="L180" s="6">
        <f>IF(I180&gt;0,SUMIFS('02c_DC_Accel_Bridge'!$W$2:$W$1057,'02c_DC_Accel_Bridge'!$B$2:$B$1057,A180,'02c_DC_Accel_Bridge'!$C$2:$C$1057,B180,'02c_DC_Accel_Bridge'!$D$2:$D$1057,C180)/I180,0)</f>
        <v/>
      </c>
      <c r="M180" s="6">
        <f>IF(I180&gt;0,SUMIFS('02c_DC_Accel_Bridge'!$X$2:$X$1057,'02c_DC_Accel_Bridge'!$B$2:$B$1057,A180,'02c_DC_Accel_Bridge'!$C$2:$C$1057,B180,'02c_DC_Accel_Bridge'!$D$2:$D$1057,C180)/I180,0)</f>
        <v/>
      </c>
      <c r="N180" s="6">
        <f>IF(I180&gt;0,SUMIFS('02c_DC_Accel_Bridge'!$Y$2:$Y$1057,'02c_DC_Accel_Bridge'!$B$2:$B$1057,A180,'02c_DC_Accel_Bridge'!$C$2:$C$1057,B180,'02c_DC_Accel_Bridge'!$D$2:$D$1057,C180)/I180,0)</f>
        <v/>
      </c>
      <c r="O180" s="6">
        <f>IF(I180&gt;0,SUMIFS('02c_DC_Accel_Bridge'!$Z$2:$Z$1057,'02c_DC_Accel_Bridge'!$B$2:$B$1057,A180,'02c_DC_Accel_Bridge'!$C$2:$C$1057,B180,'02c_DC_Accel_Bridge'!$D$2:$D$1057,C180)/I180,0)</f>
        <v/>
      </c>
      <c r="P180" s="3" t="inlineStr">
        <is>
          <t>weighted average: sum(site inference_weight_mw * accelerator_share) / sum(site inference_weight_mw)</t>
        </is>
      </c>
      <c r="Q180" s="3" t="inlineStr">
        <is>
          <t>dc_capacity_x_dc_accelerator_mix</t>
        </is>
      </c>
      <c r="R180" s="3" t="inlineStr">
        <is>
          <t>Edit 02a capacity allocation and 02b site accelerator mix; 03_Calculation reads D:G from this sheet.</t>
        </is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>
        <f>IF(I181&gt;0,SUMIFS('02c_DC_Accel_Bridge'!$R$2:$R$1057,'02c_DC_Accel_Bridge'!$B$2:$B$1057,A181,'02c_DC_Accel_Bridge'!$C$2:$C$1057,B181,'02c_DC_Accel_Bridge'!$D$2:$D$1057,C181)/I181,0.1)</f>
        <v/>
      </c>
      <c r="E181" s="6">
        <f>IF(I181&gt;0,SUMIFS('02c_DC_Accel_Bridge'!$S$2:$S$1057,'02c_DC_Accel_Bridge'!$B$2:$B$1057,A181,'02c_DC_Accel_Bridge'!$C$2:$C$1057,B181,'02c_DC_Accel_Bridge'!$D$2:$D$1057,C181)/I181,0.35)</f>
        <v/>
      </c>
      <c r="F181" s="6">
        <f>IF(I181&gt;0,SUMIFS('02c_DC_Accel_Bridge'!$T$2:$T$1057,'02c_DC_Accel_Bridge'!$B$2:$B$1057,A181,'02c_DC_Accel_Bridge'!$C$2:$C$1057,B181,'02c_DC_Accel_Bridge'!$D$2:$D$1057,C181)/I181,0.55)</f>
        <v/>
      </c>
      <c r="G181" s="6">
        <f>IF(I181&gt;0,SUMIFS('02c_DC_Accel_Bridge'!$AA$2:$AA$1057,'02c_DC_Accel_Bridge'!$B$2:$B$1057,A181,'02c_DC_Accel_Bridge'!$C$2:$C$1057,B181,'02c_DC_Accel_Bridge'!$D$2:$D$1057,C181)/I181,0.0)</f>
        <v/>
      </c>
      <c r="H181" s="6">
        <f>SUM(D181:G181)</f>
        <v/>
      </c>
      <c r="I181" s="28">
        <f>SUMIFS('02c_DC_Accel_Bridge'!$H$2:$H$1057,'02c_DC_Accel_Bridge'!$B$2:$B$1057,A181,'02c_DC_Accel_Bridge'!$C$2:$C$1057,B181,'02c_DC_Accel_Bridge'!$D$2:$D$1057,C181)</f>
        <v/>
      </c>
      <c r="J181" s="6">
        <f>IF(I181&gt;0,SUMIFS('02c_DC_Accel_Bridge'!$U$2:$U$1057,'02c_DC_Accel_Bridge'!$B$2:$B$1057,A181,'02c_DC_Accel_Bridge'!$C$2:$C$1057,B181,'02c_DC_Accel_Bridge'!$D$2:$D$1057,C181)/I181,0)</f>
        <v/>
      </c>
      <c r="K181" s="6">
        <f>IF(I181&gt;0,SUMIFS('02c_DC_Accel_Bridge'!$V$2:$V$1057,'02c_DC_Accel_Bridge'!$B$2:$B$1057,A181,'02c_DC_Accel_Bridge'!$C$2:$C$1057,B181,'02c_DC_Accel_Bridge'!$D$2:$D$1057,C181)/I181,0)</f>
        <v/>
      </c>
      <c r="L181" s="6">
        <f>IF(I181&gt;0,SUMIFS('02c_DC_Accel_Bridge'!$W$2:$W$1057,'02c_DC_Accel_Bridge'!$B$2:$B$1057,A181,'02c_DC_Accel_Bridge'!$C$2:$C$1057,B181,'02c_DC_Accel_Bridge'!$D$2:$D$1057,C181)/I181,0)</f>
        <v/>
      </c>
      <c r="M181" s="6">
        <f>IF(I181&gt;0,SUMIFS('02c_DC_Accel_Bridge'!$X$2:$X$1057,'02c_DC_Accel_Bridge'!$B$2:$B$1057,A181,'02c_DC_Accel_Bridge'!$C$2:$C$1057,B181,'02c_DC_Accel_Bridge'!$D$2:$D$1057,C181)/I181,0)</f>
        <v/>
      </c>
      <c r="N181" s="6">
        <f>IF(I181&gt;0,SUMIFS('02c_DC_Accel_Bridge'!$Y$2:$Y$1057,'02c_DC_Accel_Bridge'!$B$2:$B$1057,A181,'02c_DC_Accel_Bridge'!$C$2:$C$1057,B181,'02c_DC_Accel_Bridge'!$D$2:$D$1057,C181)/I181,0)</f>
        <v/>
      </c>
      <c r="O181" s="6">
        <f>IF(I181&gt;0,SUMIFS('02c_DC_Accel_Bridge'!$Z$2:$Z$1057,'02c_DC_Accel_Bridge'!$B$2:$B$1057,A181,'02c_DC_Accel_Bridge'!$C$2:$C$1057,B181,'02c_DC_Accel_Bridge'!$D$2:$D$1057,C181)/I181,0)</f>
        <v/>
      </c>
      <c r="P181" s="3" t="inlineStr">
        <is>
          <t>weighted average: sum(site inference_weight_mw * accelerator_share) / sum(site inference_weight_mw)</t>
        </is>
      </c>
      <c r="Q181" s="3" t="inlineStr">
        <is>
          <t>dc_capacity_x_dc_accelerator_mix</t>
        </is>
      </c>
      <c r="R181" s="3" t="inlineStr">
        <is>
          <t>Edit 02a capacity allocation and 02b site accelerator mix; 03_Calculation reads D:G from this sheet.</t>
        </is>
      </c>
    </row>
  </sheetData>
  <autoFilter ref="A1:R18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8" customWidth="1" min="22" max="22"/>
    <col width="38" customWidth="1" min="23" max="23"/>
    <col width="38" customWidth="1" min="24" max="24"/>
    <col width="38" customWidth="1" min="25" max="25"/>
    <col width="32" customWidth="1" min="26" max="26"/>
    <col width="20" customWidth="1" min="27" max="27"/>
    <col width="26" customWidth="1" min="28" max="28"/>
    <col width="27" customWidth="1" min="29" max="29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h200_workload_avg_tps_per_mw</t>
        </is>
      </c>
      <c r="S1" s="4" t="inlineStr">
        <is>
          <t>b200_workload_avg_tps_per_mw</t>
        </is>
      </c>
      <c r="T1" s="4" t="inlineStr">
        <is>
          <t>gb200_workload_avg_tps_per_mw</t>
        </is>
      </c>
      <c r="U1" s="4" t="inlineStr">
        <is>
          <t>purpose_workload_avg_tps_per_mw</t>
        </is>
      </c>
      <c r="V1" s="4" t="inlineStr">
        <is>
          <t>short_chat_share</t>
        </is>
      </c>
      <c r="W1" s="4" t="inlineStr">
        <is>
          <t>long_chat_share</t>
        </is>
      </c>
      <c r="X1" s="4" t="inlineStr">
        <is>
          <t>agentic_share</t>
        </is>
      </c>
      <c r="Y1" s="4" t="inlineStr">
        <is>
          <t>fleet_reference_tps_per_mw</t>
        </is>
      </c>
      <c r="Z1" s="4" t="inlineStr">
        <is>
          <t>commercial_workload_fit_factor</t>
        </is>
      </c>
      <c r="AA1" s="4" t="inlineStr">
        <is>
          <t>serving_tps_per_mw</t>
        </is>
      </c>
      <c r="AB1" s="4" t="inlineStr">
        <is>
          <t>inference_tokens_per_day</t>
        </is>
      </c>
      <c r="AC1" s="4" t="inlineStr">
        <is>
          <t>inference_tokens_per_year</t>
        </is>
      </c>
    </row>
    <row r="2">
      <c r="A2" s="5">
        <f>'02_Inputs'!A2</f>
        <v/>
      </c>
      <c r="B2" s="5">
        <f>'02_Inputs'!B2</f>
        <v/>
      </c>
      <c r="C2" s="5">
        <f>'02_Inputs'!C2</f>
        <v/>
      </c>
      <c r="D2" s="29">
        <f>'02_Inputs'!D2</f>
        <v/>
      </c>
      <c r="E2" s="6">
        <f>'02_Inputs'!E2</f>
        <v/>
      </c>
      <c r="F2" s="29">
        <f>D2*E2</f>
        <v/>
      </c>
      <c r="G2" s="5">
        <f>'02_Inputs'!F2</f>
        <v/>
      </c>
      <c r="H2" s="29">
        <f>F2/G2</f>
        <v/>
      </c>
      <c r="I2" s="6">
        <f>'02_Inputs'!G2</f>
        <v/>
      </c>
      <c r="J2" s="29">
        <f>H2*I2</f>
        <v/>
      </c>
      <c r="K2" s="6">
        <f>'02_Inputs'!H2</f>
        <v/>
      </c>
      <c r="L2" s="29">
        <f>J2*K2</f>
        <v/>
      </c>
      <c r="M2" s="29">
        <f>J2*(1-K2)</f>
        <v/>
      </c>
      <c r="N2" s="6">
        <f>'02_GPU_Mix_Input'!D2</f>
        <v/>
      </c>
      <c r="O2" s="6">
        <f>'02_GPU_Mix_Input'!E2</f>
        <v/>
      </c>
      <c r="P2" s="6">
        <f>'02_GPU_Mix_Input'!F2</f>
        <v/>
      </c>
      <c r="Q2" s="6">
        <f>'02_GPU_Mix_Input'!G2</f>
        <v/>
      </c>
      <c r="R2" s="7">
        <f>INDEX('01_Benchmark_Input'!$K$2:$K$10,MATCH(B2,'01_Benchmark_Input'!$A$2:$A$10,0))</f>
        <v/>
      </c>
      <c r="S2" s="7">
        <f>INDEX('01_Benchmark_Input'!$P$2:$P$10,MATCH(B2,'01_Benchmark_Input'!$A$2:$A$10,0))</f>
        <v/>
      </c>
      <c r="T2" s="7">
        <f>INDEX('01_Benchmark_Input'!$U$2:$U$10,MATCH(B2,'01_Benchmark_Input'!$A$2:$A$10,0))</f>
        <v/>
      </c>
      <c r="U2" s="7">
        <f>INDEX('01_Benchmark_Input'!$Z$2:$Z$10,MATCH(B2,'01_Benchmark_Input'!$A$2:$A$10,0))</f>
        <v/>
      </c>
      <c r="V2" s="6">
        <f>INDEX('01_Benchmark_Input'!$D$2:$D$10,MATCH(B2,'01_Benchmark_Input'!$A$2:$A$10,0))</f>
        <v/>
      </c>
      <c r="W2" s="6">
        <f>INDEX('01_Benchmark_Input'!$E$2:$E$10,MATCH(B2,'01_Benchmark_Input'!$A$2:$A$10,0))</f>
        <v/>
      </c>
      <c r="X2" s="6">
        <f>INDEX('01_Benchmark_Input'!$F$2:$F$10,MATCH(B2,'01_Benchmark_Input'!$A$2:$A$10,0))</f>
        <v/>
      </c>
      <c r="Y2" s="7">
        <f>N2*R2+O2*S2+P2*T2+Q2*U2</f>
        <v/>
      </c>
      <c r="Z2" s="6">
        <f>'02_Inputs'!K2</f>
        <v/>
      </c>
      <c r="AA2" s="7">
        <f>Y2*Z2</f>
        <v/>
      </c>
      <c r="AB2" s="5">
        <f>L2*1000*AA2*86400</f>
        <v/>
      </c>
      <c r="AC2" s="5">
        <f>AB2*365</f>
        <v/>
      </c>
    </row>
    <row r="3">
      <c r="A3" s="5">
        <f>'02_Inputs'!A3</f>
        <v/>
      </c>
      <c r="B3" s="5">
        <f>'02_Inputs'!B3</f>
        <v/>
      </c>
      <c r="C3" s="5">
        <f>'02_Inputs'!C3</f>
        <v/>
      </c>
      <c r="D3" s="29">
        <f>'02_Inputs'!D3</f>
        <v/>
      </c>
      <c r="E3" s="6">
        <f>'02_Inputs'!E3</f>
        <v/>
      </c>
      <c r="F3" s="29">
        <f>D3*E3</f>
        <v/>
      </c>
      <c r="G3" s="5">
        <f>'02_Inputs'!F3</f>
        <v/>
      </c>
      <c r="H3" s="29">
        <f>F3/G3</f>
        <v/>
      </c>
      <c r="I3" s="6">
        <f>'02_Inputs'!G3</f>
        <v/>
      </c>
      <c r="J3" s="29">
        <f>H3*I3</f>
        <v/>
      </c>
      <c r="K3" s="6">
        <f>'02_Inputs'!H3</f>
        <v/>
      </c>
      <c r="L3" s="29">
        <f>J3*K3</f>
        <v/>
      </c>
      <c r="M3" s="29">
        <f>J3*(1-K3)</f>
        <v/>
      </c>
      <c r="N3" s="6">
        <f>'02_GPU_Mix_Input'!D3</f>
        <v/>
      </c>
      <c r="O3" s="6">
        <f>'02_GPU_Mix_Input'!E3</f>
        <v/>
      </c>
      <c r="P3" s="6">
        <f>'02_GPU_Mix_Input'!F3</f>
        <v/>
      </c>
      <c r="Q3" s="6">
        <f>'02_GPU_Mix_Input'!G3</f>
        <v/>
      </c>
      <c r="R3" s="7">
        <f>INDEX('01_Benchmark_Input'!$K$2:$K$10,MATCH(B3,'01_Benchmark_Input'!$A$2:$A$10,0))</f>
        <v/>
      </c>
      <c r="S3" s="7">
        <f>INDEX('01_Benchmark_Input'!$P$2:$P$10,MATCH(B3,'01_Benchmark_Input'!$A$2:$A$10,0))</f>
        <v/>
      </c>
      <c r="T3" s="7">
        <f>INDEX('01_Benchmark_Input'!$U$2:$U$10,MATCH(B3,'01_Benchmark_Input'!$A$2:$A$10,0))</f>
        <v/>
      </c>
      <c r="U3" s="7">
        <f>INDEX('01_Benchmark_Input'!$Z$2:$Z$10,MATCH(B3,'01_Benchmark_Input'!$A$2:$A$10,0))</f>
        <v/>
      </c>
      <c r="V3" s="6">
        <f>INDEX('01_Benchmark_Input'!$D$2:$D$10,MATCH(B3,'01_Benchmark_Input'!$A$2:$A$10,0))</f>
        <v/>
      </c>
      <c r="W3" s="6">
        <f>INDEX('01_Benchmark_Input'!$E$2:$E$10,MATCH(B3,'01_Benchmark_Input'!$A$2:$A$10,0))</f>
        <v/>
      </c>
      <c r="X3" s="6">
        <f>INDEX('01_Benchmark_Input'!$F$2:$F$10,MATCH(B3,'01_Benchmark_Input'!$A$2:$A$10,0))</f>
        <v/>
      </c>
      <c r="Y3" s="7">
        <f>N3*R3+O3*S3+P3*T3+Q3*U3</f>
        <v/>
      </c>
      <c r="Z3" s="6">
        <f>'02_Inputs'!K3</f>
        <v/>
      </c>
      <c r="AA3" s="7">
        <f>Y3*Z3</f>
        <v/>
      </c>
      <c r="AB3" s="5">
        <f>L3*1000*AA3*86400</f>
        <v/>
      </c>
      <c r="AC3" s="5">
        <f>AB3*365</f>
        <v/>
      </c>
    </row>
    <row r="4">
      <c r="A4" s="5">
        <f>'02_Inputs'!A4</f>
        <v/>
      </c>
      <c r="B4" s="5">
        <f>'02_Inputs'!B4</f>
        <v/>
      </c>
      <c r="C4" s="5">
        <f>'02_Inputs'!C4</f>
        <v/>
      </c>
      <c r="D4" s="29">
        <f>'02_Inputs'!D4</f>
        <v/>
      </c>
      <c r="E4" s="6">
        <f>'02_Inputs'!E4</f>
        <v/>
      </c>
      <c r="F4" s="29">
        <f>D4*E4</f>
        <v/>
      </c>
      <c r="G4" s="5">
        <f>'02_Inputs'!F4</f>
        <v/>
      </c>
      <c r="H4" s="29">
        <f>F4/G4</f>
        <v/>
      </c>
      <c r="I4" s="6">
        <f>'02_Inputs'!G4</f>
        <v/>
      </c>
      <c r="J4" s="29">
        <f>H4*I4</f>
        <v/>
      </c>
      <c r="K4" s="6">
        <f>'02_Inputs'!H4</f>
        <v/>
      </c>
      <c r="L4" s="29">
        <f>J4*K4</f>
        <v/>
      </c>
      <c r="M4" s="29">
        <f>J4*(1-K4)</f>
        <v/>
      </c>
      <c r="N4" s="6">
        <f>'02_GPU_Mix_Input'!D4</f>
        <v/>
      </c>
      <c r="O4" s="6">
        <f>'02_GPU_Mix_Input'!E4</f>
        <v/>
      </c>
      <c r="P4" s="6">
        <f>'02_GPU_Mix_Input'!F4</f>
        <v/>
      </c>
      <c r="Q4" s="6">
        <f>'02_GPU_Mix_Input'!G4</f>
        <v/>
      </c>
      <c r="R4" s="7">
        <f>INDEX('01_Benchmark_Input'!$K$2:$K$10,MATCH(B4,'01_Benchmark_Input'!$A$2:$A$10,0))</f>
        <v/>
      </c>
      <c r="S4" s="7">
        <f>INDEX('01_Benchmark_Input'!$P$2:$P$10,MATCH(B4,'01_Benchmark_Input'!$A$2:$A$10,0))</f>
        <v/>
      </c>
      <c r="T4" s="7">
        <f>INDEX('01_Benchmark_Input'!$U$2:$U$10,MATCH(B4,'01_Benchmark_Input'!$A$2:$A$10,0))</f>
        <v/>
      </c>
      <c r="U4" s="7">
        <f>INDEX('01_Benchmark_Input'!$Z$2:$Z$10,MATCH(B4,'01_Benchmark_Input'!$A$2:$A$10,0))</f>
        <v/>
      </c>
      <c r="V4" s="6">
        <f>INDEX('01_Benchmark_Input'!$D$2:$D$10,MATCH(B4,'01_Benchmark_Input'!$A$2:$A$10,0))</f>
        <v/>
      </c>
      <c r="W4" s="6">
        <f>INDEX('01_Benchmark_Input'!$E$2:$E$10,MATCH(B4,'01_Benchmark_Input'!$A$2:$A$10,0))</f>
        <v/>
      </c>
      <c r="X4" s="6">
        <f>INDEX('01_Benchmark_Input'!$F$2:$F$10,MATCH(B4,'01_Benchmark_Input'!$A$2:$A$10,0))</f>
        <v/>
      </c>
      <c r="Y4" s="7">
        <f>N4*R4+O4*S4+P4*T4+Q4*U4</f>
        <v/>
      </c>
      <c r="Z4" s="6">
        <f>'02_Inputs'!K4</f>
        <v/>
      </c>
      <c r="AA4" s="7">
        <f>Y4*Z4</f>
        <v/>
      </c>
      <c r="AB4" s="5">
        <f>L4*1000*AA4*86400</f>
        <v/>
      </c>
      <c r="AC4" s="5">
        <f>AB4*365</f>
        <v/>
      </c>
    </row>
    <row r="5">
      <c r="A5" s="5">
        <f>'02_Inputs'!A5</f>
        <v/>
      </c>
      <c r="B5" s="5">
        <f>'02_Inputs'!B5</f>
        <v/>
      </c>
      <c r="C5" s="5">
        <f>'02_Inputs'!C5</f>
        <v/>
      </c>
      <c r="D5" s="29">
        <f>'02_Inputs'!D5</f>
        <v/>
      </c>
      <c r="E5" s="6">
        <f>'02_Inputs'!E5</f>
        <v/>
      </c>
      <c r="F5" s="29">
        <f>D5*E5</f>
        <v/>
      </c>
      <c r="G5" s="5">
        <f>'02_Inputs'!F5</f>
        <v/>
      </c>
      <c r="H5" s="29">
        <f>F5/G5</f>
        <v/>
      </c>
      <c r="I5" s="6">
        <f>'02_Inputs'!G5</f>
        <v/>
      </c>
      <c r="J5" s="29">
        <f>H5*I5</f>
        <v/>
      </c>
      <c r="K5" s="6">
        <f>'02_Inputs'!H5</f>
        <v/>
      </c>
      <c r="L5" s="29">
        <f>J5*K5</f>
        <v/>
      </c>
      <c r="M5" s="29">
        <f>J5*(1-K5)</f>
        <v/>
      </c>
      <c r="N5" s="6">
        <f>'02_GPU_Mix_Input'!D5</f>
        <v/>
      </c>
      <c r="O5" s="6">
        <f>'02_GPU_Mix_Input'!E5</f>
        <v/>
      </c>
      <c r="P5" s="6">
        <f>'02_GPU_Mix_Input'!F5</f>
        <v/>
      </c>
      <c r="Q5" s="6">
        <f>'02_GPU_Mix_Input'!G5</f>
        <v/>
      </c>
      <c r="R5" s="7">
        <f>INDEX('01_Benchmark_Input'!$K$2:$K$10,MATCH(B5,'01_Benchmark_Input'!$A$2:$A$10,0))</f>
        <v/>
      </c>
      <c r="S5" s="7">
        <f>INDEX('01_Benchmark_Input'!$P$2:$P$10,MATCH(B5,'01_Benchmark_Input'!$A$2:$A$10,0))</f>
        <v/>
      </c>
      <c r="T5" s="7">
        <f>INDEX('01_Benchmark_Input'!$U$2:$U$10,MATCH(B5,'01_Benchmark_Input'!$A$2:$A$10,0))</f>
        <v/>
      </c>
      <c r="U5" s="7">
        <f>INDEX('01_Benchmark_Input'!$Z$2:$Z$10,MATCH(B5,'01_Benchmark_Input'!$A$2:$A$10,0))</f>
        <v/>
      </c>
      <c r="V5" s="6">
        <f>INDEX('01_Benchmark_Input'!$D$2:$D$10,MATCH(B5,'01_Benchmark_Input'!$A$2:$A$10,0))</f>
        <v/>
      </c>
      <c r="W5" s="6">
        <f>INDEX('01_Benchmark_Input'!$E$2:$E$10,MATCH(B5,'01_Benchmark_Input'!$A$2:$A$10,0))</f>
        <v/>
      </c>
      <c r="X5" s="6">
        <f>INDEX('01_Benchmark_Input'!$F$2:$F$10,MATCH(B5,'01_Benchmark_Input'!$A$2:$A$10,0))</f>
        <v/>
      </c>
      <c r="Y5" s="7">
        <f>N5*R5+O5*S5+P5*T5+Q5*U5</f>
        <v/>
      </c>
      <c r="Z5" s="6">
        <f>'02_Inputs'!K5</f>
        <v/>
      </c>
      <c r="AA5" s="7">
        <f>Y5*Z5</f>
        <v/>
      </c>
      <c r="AB5" s="5">
        <f>L5*1000*AA5*86400</f>
        <v/>
      </c>
      <c r="AC5" s="5">
        <f>AB5*365</f>
        <v/>
      </c>
    </row>
    <row r="6">
      <c r="A6" s="5">
        <f>'02_Inputs'!A6</f>
        <v/>
      </c>
      <c r="B6" s="5">
        <f>'02_Inputs'!B6</f>
        <v/>
      </c>
      <c r="C6" s="5">
        <f>'02_Inputs'!C6</f>
        <v/>
      </c>
      <c r="D6" s="29">
        <f>'02_Inputs'!D6</f>
        <v/>
      </c>
      <c r="E6" s="6">
        <f>'02_Inputs'!E6</f>
        <v/>
      </c>
      <c r="F6" s="29">
        <f>D6*E6</f>
        <v/>
      </c>
      <c r="G6" s="5">
        <f>'02_Inputs'!F6</f>
        <v/>
      </c>
      <c r="H6" s="29">
        <f>F6/G6</f>
        <v/>
      </c>
      <c r="I6" s="6">
        <f>'02_Inputs'!G6</f>
        <v/>
      </c>
      <c r="J6" s="29">
        <f>H6*I6</f>
        <v/>
      </c>
      <c r="K6" s="6">
        <f>'02_Inputs'!H6</f>
        <v/>
      </c>
      <c r="L6" s="29">
        <f>J6*K6</f>
        <v/>
      </c>
      <c r="M6" s="29">
        <f>J6*(1-K6)</f>
        <v/>
      </c>
      <c r="N6" s="6">
        <f>'02_GPU_Mix_Input'!D6</f>
        <v/>
      </c>
      <c r="O6" s="6">
        <f>'02_GPU_Mix_Input'!E6</f>
        <v/>
      </c>
      <c r="P6" s="6">
        <f>'02_GPU_Mix_Input'!F6</f>
        <v/>
      </c>
      <c r="Q6" s="6">
        <f>'02_GPU_Mix_Input'!G6</f>
        <v/>
      </c>
      <c r="R6" s="7">
        <f>INDEX('01_Benchmark_Input'!$K$2:$K$10,MATCH(B6,'01_Benchmark_Input'!$A$2:$A$10,0))</f>
        <v/>
      </c>
      <c r="S6" s="7">
        <f>INDEX('01_Benchmark_Input'!$P$2:$P$10,MATCH(B6,'01_Benchmark_Input'!$A$2:$A$10,0))</f>
        <v/>
      </c>
      <c r="T6" s="7">
        <f>INDEX('01_Benchmark_Input'!$U$2:$U$10,MATCH(B6,'01_Benchmark_Input'!$A$2:$A$10,0))</f>
        <v/>
      </c>
      <c r="U6" s="7">
        <f>INDEX('01_Benchmark_Input'!$Z$2:$Z$10,MATCH(B6,'01_Benchmark_Input'!$A$2:$A$10,0))</f>
        <v/>
      </c>
      <c r="V6" s="6">
        <f>INDEX('01_Benchmark_Input'!$D$2:$D$10,MATCH(B6,'01_Benchmark_Input'!$A$2:$A$10,0))</f>
        <v/>
      </c>
      <c r="W6" s="6">
        <f>INDEX('01_Benchmark_Input'!$E$2:$E$10,MATCH(B6,'01_Benchmark_Input'!$A$2:$A$10,0))</f>
        <v/>
      </c>
      <c r="X6" s="6">
        <f>INDEX('01_Benchmark_Input'!$F$2:$F$10,MATCH(B6,'01_Benchmark_Input'!$A$2:$A$10,0))</f>
        <v/>
      </c>
      <c r="Y6" s="7">
        <f>N6*R6+O6*S6+P6*T6+Q6*U6</f>
        <v/>
      </c>
      <c r="Z6" s="6">
        <f>'02_Inputs'!K6</f>
        <v/>
      </c>
      <c r="AA6" s="7">
        <f>Y6*Z6</f>
        <v/>
      </c>
      <c r="AB6" s="5">
        <f>L6*1000*AA6*86400</f>
        <v/>
      </c>
      <c r="AC6" s="5">
        <f>AB6*365</f>
        <v/>
      </c>
    </row>
    <row r="7">
      <c r="A7" s="5">
        <f>'02_Inputs'!A7</f>
        <v/>
      </c>
      <c r="B7" s="5">
        <f>'02_Inputs'!B7</f>
        <v/>
      </c>
      <c r="C7" s="5">
        <f>'02_Inputs'!C7</f>
        <v/>
      </c>
      <c r="D7" s="29">
        <f>'02_Inputs'!D7</f>
        <v/>
      </c>
      <c r="E7" s="6">
        <f>'02_Inputs'!E7</f>
        <v/>
      </c>
      <c r="F7" s="29">
        <f>D7*E7</f>
        <v/>
      </c>
      <c r="G7" s="5">
        <f>'02_Inputs'!F7</f>
        <v/>
      </c>
      <c r="H7" s="29">
        <f>F7/G7</f>
        <v/>
      </c>
      <c r="I7" s="6">
        <f>'02_Inputs'!G7</f>
        <v/>
      </c>
      <c r="J7" s="29">
        <f>H7*I7</f>
        <v/>
      </c>
      <c r="K7" s="6">
        <f>'02_Inputs'!H7</f>
        <v/>
      </c>
      <c r="L7" s="29">
        <f>J7*K7</f>
        <v/>
      </c>
      <c r="M7" s="29">
        <f>J7*(1-K7)</f>
        <v/>
      </c>
      <c r="N7" s="6">
        <f>'02_GPU_Mix_Input'!D7</f>
        <v/>
      </c>
      <c r="O7" s="6">
        <f>'02_GPU_Mix_Input'!E7</f>
        <v/>
      </c>
      <c r="P7" s="6">
        <f>'02_GPU_Mix_Input'!F7</f>
        <v/>
      </c>
      <c r="Q7" s="6">
        <f>'02_GPU_Mix_Input'!G7</f>
        <v/>
      </c>
      <c r="R7" s="7">
        <f>INDEX('01_Benchmark_Input'!$K$2:$K$10,MATCH(B7,'01_Benchmark_Input'!$A$2:$A$10,0))</f>
        <v/>
      </c>
      <c r="S7" s="7">
        <f>INDEX('01_Benchmark_Input'!$P$2:$P$10,MATCH(B7,'01_Benchmark_Input'!$A$2:$A$10,0))</f>
        <v/>
      </c>
      <c r="T7" s="7">
        <f>INDEX('01_Benchmark_Input'!$U$2:$U$10,MATCH(B7,'01_Benchmark_Input'!$A$2:$A$10,0))</f>
        <v/>
      </c>
      <c r="U7" s="7">
        <f>INDEX('01_Benchmark_Input'!$Z$2:$Z$10,MATCH(B7,'01_Benchmark_Input'!$A$2:$A$10,0))</f>
        <v/>
      </c>
      <c r="V7" s="6">
        <f>INDEX('01_Benchmark_Input'!$D$2:$D$10,MATCH(B7,'01_Benchmark_Input'!$A$2:$A$10,0))</f>
        <v/>
      </c>
      <c r="W7" s="6">
        <f>INDEX('01_Benchmark_Input'!$E$2:$E$10,MATCH(B7,'01_Benchmark_Input'!$A$2:$A$10,0))</f>
        <v/>
      </c>
      <c r="X7" s="6">
        <f>INDEX('01_Benchmark_Input'!$F$2:$F$10,MATCH(B7,'01_Benchmark_Input'!$A$2:$A$10,0))</f>
        <v/>
      </c>
      <c r="Y7" s="7">
        <f>N7*R7+O7*S7+P7*T7+Q7*U7</f>
        <v/>
      </c>
      <c r="Z7" s="6">
        <f>'02_Inputs'!K7</f>
        <v/>
      </c>
      <c r="AA7" s="7">
        <f>Y7*Z7</f>
        <v/>
      </c>
      <c r="AB7" s="5">
        <f>L7*1000*AA7*86400</f>
        <v/>
      </c>
      <c r="AC7" s="5">
        <f>AB7*365</f>
        <v/>
      </c>
    </row>
    <row r="8">
      <c r="A8" s="5">
        <f>'02_Inputs'!A8</f>
        <v/>
      </c>
      <c r="B8" s="5">
        <f>'02_Inputs'!B8</f>
        <v/>
      </c>
      <c r="C8" s="5">
        <f>'02_Inputs'!C8</f>
        <v/>
      </c>
      <c r="D8" s="29">
        <f>'02_Inputs'!D8</f>
        <v/>
      </c>
      <c r="E8" s="6">
        <f>'02_Inputs'!E8</f>
        <v/>
      </c>
      <c r="F8" s="29">
        <f>D8*E8</f>
        <v/>
      </c>
      <c r="G8" s="5">
        <f>'02_Inputs'!F8</f>
        <v/>
      </c>
      <c r="H8" s="29">
        <f>F8/G8</f>
        <v/>
      </c>
      <c r="I8" s="6">
        <f>'02_Inputs'!G8</f>
        <v/>
      </c>
      <c r="J8" s="29">
        <f>H8*I8</f>
        <v/>
      </c>
      <c r="K8" s="6">
        <f>'02_Inputs'!H8</f>
        <v/>
      </c>
      <c r="L8" s="29">
        <f>J8*K8</f>
        <v/>
      </c>
      <c r="M8" s="29">
        <f>J8*(1-K8)</f>
        <v/>
      </c>
      <c r="N8" s="6">
        <f>'02_GPU_Mix_Input'!D8</f>
        <v/>
      </c>
      <c r="O8" s="6">
        <f>'02_GPU_Mix_Input'!E8</f>
        <v/>
      </c>
      <c r="P8" s="6">
        <f>'02_GPU_Mix_Input'!F8</f>
        <v/>
      </c>
      <c r="Q8" s="6">
        <f>'02_GPU_Mix_Input'!G8</f>
        <v/>
      </c>
      <c r="R8" s="7">
        <f>INDEX('01_Benchmark_Input'!$K$2:$K$10,MATCH(B8,'01_Benchmark_Input'!$A$2:$A$10,0))</f>
        <v/>
      </c>
      <c r="S8" s="7">
        <f>INDEX('01_Benchmark_Input'!$P$2:$P$10,MATCH(B8,'01_Benchmark_Input'!$A$2:$A$10,0))</f>
        <v/>
      </c>
      <c r="T8" s="7">
        <f>INDEX('01_Benchmark_Input'!$U$2:$U$10,MATCH(B8,'01_Benchmark_Input'!$A$2:$A$10,0))</f>
        <v/>
      </c>
      <c r="U8" s="7">
        <f>INDEX('01_Benchmark_Input'!$Z$2:$Z$10,MATCH(B8,'01_Benchmark_Input'!$A$2:$A$10,0))</f>
        <v/>
      </c>
      <c r="V8" s="6">
        <f>INDEX('01_Benchmark_Input'!$D$2:$D$10,MATCH(B8,'01_Benchmark_Input'!$A$2:$A$10,0))</f>
        <v/>
      </c>
      <c r="W8" s="6">
        <f>INDEX('01_Benchmark_Input'!$E$2:$E$10,MATCH(B8,'01_Benchmark_Input'!$A$2:$A$10,0))</f>
        <v/>
      </c>
      <c r="X8" s="6">
        <f>INDEX('01_Benchmark_Input'!$F$2:$F$10,MATCH(B8,'01_Benchmark_Input'!$A$2:$A$10,0))</f>
        <v/>
      </c>
      <c r="Y8" s="7">
        <f>N8*R8+O8*S8+P8*T8+Q8*U8</f>
        <v/>
      </c>
      <c r="Z8" s="6">
        <f>'02_Inputs'!K8</f>
        <v/>
      </c>
      <c r="AA8" s="7">
        <f>Y8*Z8</f>
        <v/>
      </c>
      <c r="AB8" s="5">
        <f>L8*1000*AA8*86400</f>
        <v/>
      </c>
      <c r="AC8" s="5">
        <f>AB8*365</f>
        <v/>
      </c>
    </row>
    <row r="9">
      <c r="A9" s="5">
        <f>'02_Inputs'!A9</f>
        <v/>
      </c>
      <c r="B9" s="5">
        <f>'02_Inputs'!B9</f>
        <v/>
      </c>
      <c r="C9" s="5">
        <f>'02_Inputs'!C9</f>
        <v/>
      </c>
      <c r="D9" s="29">
        <f>'02_Inputs'!D9</f>
        <v/>
      </c>
      <c r="E9" s="6">
        <f>'02_Inputs'!E9</f>
        <v/>
      </c>
      <c r="F9" s="29">
        <f>D9*E9</f>
        <v/>
      </c>
      <c r="G9" s="5">
        <f>'02_Inputs'!F9</f>
        <v/>
      </c>
      <c r="H9" s="29">
        <f>F9/G9</f>
        <v/>
      </c>
      <c r="I9" s="6">
        <f>'02_Inputs'!G9</f>
        <v/>
      </c>
      <c r="J9" s="29">
        <f>H9*I9</f>
        <v/>
      </c>
      <c r="K9" s="6">
        <f>'02_Inputs'!H9</f>
        <v/>
      </c>
      <c r="L9" s="29">
        <f>J9*K9</f>
        <v/>
      </c>
      <c r="M9" s="29">
        <f>J9*(1-K9)</f>
        <v/>
      </c>
      <c r="N9" s="6">
        <f>'02_GPU_Mix_Input'!D9</f>
        <v/>
      </c>
      <c r="O9" s="6">
        <f>'02_GPU_Mix_Input'!E9</f>
        <v/>
      </c>
      <c r="P9" s="6">
        <f>'02_GPU_Mix_Input'!F9</f>
        <v/>
      </c>
      <c r="Q9" s="6">
        <f>'02_GPU_Mix_Input'!G9</f>
        <v/>
      </c>
      <c r="R9" s="7">
        <f>INDEX('01_Benchmark_Input'!$K$2:$K$10,MATCH(B9,'01_Benchmark_Input'!$A$2:$A$10,0))</f>
        <v/>
      </c>
      <c r="S9" s="7">
        <f>INDEX('01_Benchmark_Input'!$P$2:$P$10,MATCH(B9,'01_Benchmark_Input'!$A$2:$A$10,0))</f>
        <v/>
      </c>
      <c r="T9" s="7">
        <f>INDEX('01_Benchmark_Input'!$U$2:$U$10,MATCH(B9,'01_Benchmark_Input'!$A$2:$A$10,0))</f>
        <v/>
      </c>
      <c r="U9" s="7">
        <f>INDEX('01_Benchmark_Input'!$Z$2:$Z$10,MATCH(B9,'01_Benchmark_Input'!$A$2:$A$10,0))</f>
        <v/>
      </c>
      <c r="V9" s="6">
        <f>INDEX('01_Benchmark_Input'!$D$2:$D$10,MATCH(B9,'01_Benchmark_Input'!$A$2:$A$10,0))</f>
        <v/>
      </c>
      <c r="W9" s="6">
        <f>INDEX('01_Benchmark_Input'!$E$2:$E$10,MATCH(B9,'01_Benchmark_Input'!$A$2:$A$10,0))</f>
        <v/>
      </c>
      <c r="X9" s="6">
        <f>INDEX('01_Benchmark_Input'!$F$2:$F$10,MATCH(B9,'01_Benchmark_Input'!$A$2:$A$10,0))</f>
        <v/>
      </c>
      <c r="Y9" s="7">
        <f>N9*R9+O9*S9+P9*T9+Q9*U9</f>
        <v/>
      </c>
      <c r="Z9" s="6">
        <f>'02_Inputs'!K9</f>
        <v/>
      </c>
      <c r="AA9" s="7">
        <f>Y9*Z9</f>
        <v/>
      </c>
      <c r="AB9" s="5">
        <f>L9*1000*AA9*86400</f>
        <v/>
      </c>
      <c r="AC9" s="5">
        <f>AB9*365</f>
        <v/>
      </c>
    </row>
    <row r="10">
      <c r="A10" s="5">
        <f>'02_Inputs'!A10</f>
        <v/>
      </c>
      <c r="B10" s="5">
        <f>'02_Inputs'!B10</f>
        <v/>
      </c>
      <c r="C10" s="5">
        <f>'02_Inputs'!C10</f>
        <v/>
      </c>
      <c r="D10" s="29">
        <f>'02_Inputs'!D10</f>
        <v/>
      </c>
      <c r="E10" s="6">
        <f>'02_Inputs'!E10</f>
        <v/>
      </c>
      <c r="F10" s="29">
        <f>D10*E10</f>
        <v/>
      </c>
      <c r="G10" s="5">
        <f>'02_Inputs'!F10</f>
        <v/>
      </c>
      <c r="H10" s="29">
        <f>F10/G10</f>
        <v/>
      </c>
      <c r="I10" s="6">
        <f>'02_Inputs'!G10</f>
        <v/>
      </c>
      <c r="J10" s="29">
        <f>H10*I10</f>
        <v/>
      </c>
      <c r="K10" s="6">
        <f>'02_Inputs'!H10</f>
        <v/>
      </c>
      <c r="L10" s="29">
        <f>J10*K10</f>
        <v/>
      </c>
      <c r="M10" s="29">
        <f>J10*(1-K10)</f>
        <v/>
      </c>
      <c r="N10" s="6">
        <f>'02_GPU_Mix_Input'!D10</f>
        <v/>
      </c>
      <c r="O10" s="6">
        <f>'02_GPU_Mix_Input'!E10</f>
        <v/>
      </c>
      <c r="P10" s="6">
        <f>'02_GPU_Mix_Input'!F10</f>
        <v/>
      </c>
      <c r="Q10" s="6">
        <f>'02_GPU_Mix_Input'!G10</f>
        <v/>
      </c>
      <c r="R10" s="7">
        <f>INDEX('01_Benchmark_Input'!$K$2:$K$10,MATCH(B10,'01_Benchmark_Input'!$A$2:$A$10,0))</f>
        <v/>
      </c>
      <c r="S10" s="7">
        <f>INDEX('01_Benchmark_Input'!$P$2:$P$10,MATCH(B10,'01_Benchmark_Input'!$A$2:$A$10,0))</f>
        <v/>
      </c>
      <c r="T10" s="7">
        <f>INDEX('01_Benchmark_Input'!$U$2:$U$10,MATCH(B10,'01_Benchmark_Input'!$A$2:$A$10,0))</f>
        <v/>
      </c>
      <c r="U10" s="7">
        <f>INDEX('01_Benchmark_Input'!$Z$2:$Z$10,MATCH(B10,'01_Benchmark_Input'!$A$2:$A$10,0))</f>
        <v/>
      </c>
      <c r="V10" s="6">
        <f>INDEX('01_Benchmark_Input'!$D$2:$D$10,MATCH(B10,'01_Benchmark_Input'!$A$2:$A$10,0))</f>
        <v/>
      </c>
      <c r="W10" s="6">
        <f>INDEX('01_Benchmark_Input'!$E$2:$E$10,MATCH(B10,'01_Benchmark_Input'!$A$2:$A$10,0))</f>
        <v/>
      </c>
      <c r="X10" s="6">
        <f>INDEX('01_Benchmark_Input'!$F$2:$F$10,MATCH(B10,'01_Benchmark_Input'!$A$2:$A$10,0))</f>
        <v/>
      </c>
      <c r="Y10" s="7">
        <f>N10*R10+O10*S10+P10*T10+Q10*U10</f>
        <v/>
      </c>
      <c r="Z10" s="6">
        <f>'02_Inputs'!K10</f>
        <v/>
      </c>
      <c r="AA10" s="7">
        <f>Y10*Z10</f>
        <v/>
      </c>
      <c r="AB10" s="5">
        <f>L10*1000*AA10*86400</f>
        <v/>
      </c>
      <c r="AC10" s="5">
        <f>AB10*365</f>
        <v/>
      </c>
    </row>
    <row r="11">
      <c r="A11" s="5">
        <f>'02_Inputs'!A11</f>
        <v/>
      </c>
      <c r="B11" s="5">
        <f>'02_Inputs'!B11</f>
        <v/>
      </c>
      <c r="C11" s="5">
        <f>'02_Inputs'!C11</f>
        <v/>
      </c>
      <c r="D11" s="29">
        <f>'02_Inputs'!D11</f>
        <v/>
      </c>
      <c r="E11" s="6">
        <f>'02_Inputs'!E11</f>
        <v/>
      </c>
      <c r="F11" s="29">
        <f>D11*E11</f>
        <v/>
      </c>
      <c r="G11" s="5">
        <f>'02_Inputs'!F11</f>
        <v/>
      </c>
      <c r="H11" s="29">
        <f>F11/G11</f>
        <v/>
      </c>
      <c r="I11" s="6">
        <f>'02_Inputs'!G11</f>
        <v/>
      </c>
      <c r="J11" s="29">
        <f>H11*I11</f>
        <v/>
      </c>
      <c r="K11" s="6">
        <f>'02_Inputs'!H11</f>
        <v/>
      </c>
      <c r="L11" s="29">
        <f>J11*K11</f>
        <v/>
      </c>
      <c r="M11" s="29">
        <f>J11*(1-K11)</f>
        <v/>
      </c>
      <c r="N11" s="6">
        <f>'02_GPU_Mix_Input'!D11</f>
        <v/>
      </c>
      <c r="O11" s="6">
        <f>'02_GPU_Mix_Input'!E11</f>
        <v/>
      </c>
      <c r="P11" s="6">
        <f>'02_GPU_Mix_Input'!F11</f>
        <v/>
      </c>
      <c r="Q11" s="6">
        <f>'02_GPU_Mix_Input'!G11</f>
        <v/>
      </c>
      <c r="R11" s="7">
        <f>INDEX('01_Benchmark_Input'!$K$2:$K$10,MATCH(B11,'01_Benchmark_Input'!$A$2:$A$10,0))</f>
        <v/>
      </c>
      <c r="S11" s="7">
        <f>INDEX('01_Benchmark_Input'!$P$2:$P$10,MATCH(B11,'01_Benchmark_Input'!$A$2:$A$10,0))</f>
        <v/>
      </c>
      <c r="T11" s="7">
        <f>INDEX('01_Benchmark_Input'!$U$2:$U$10,MATCH(B11,'01_Benchmark_Input'!$A$2:$A$10,0))</f>
        <v/>
      </c>
      <c r="U11" s="7">
        <f>INDEX('01_Benchmark_Input'!$Z$2:$Z$10,MATCH(B11,'01_Benchmark_Input'!$A$2:$A$10,0))</f>
        <v/>
      </c>
      <c r="V11" s="6">
        <f>INDEX('01_Benchmark_Input'!$D$2:$D$10,MATCH(B11,'01_Benchmark_Input'!$A$2:$A$10,0))</f>
        <v/>
      </c>
      <c r="W11" s="6">
        <f>INDEX('01_Benchmark_Input'!$E$2:$E$10,MATCH(B11,'01_Benchmark_Input'!$A$2:$A$10,0))</f>
        <v/>
      </c>
      <c r="X11" s="6">
        <f>INDEX('01_Benchmark_Input'!$F$2:$F$10,MATCH(B11,'01_Benchmark_Input'!$A$2:$A$10,0))</f>
        <v/>
      </c>
      <c r="Y11" s="7">
        <f>N11*R11+O11*S11+P11*T11+Q11*U11</f>
        <v/>
      </c>
      <c r="Z11" s="6">
        <f>'02_Inputs'!K11</f>
        <v/>
      </c>
      <c r="AA11" s="7">
        <f>Y11*Z11</f>
        <v/>
      </c>
      <c r="AB11" s="5">
        <f>L11*1000*AA11*86400</f>
        <v/>
      </c>
      <c r="AC11" s="5">
        <f>AB11*365</f>
        <v/>
      </c>
    </row>
    <row r="12">
      <c r="A12" s="5">
        <f>'02_Inputs'!A12</f>
        <v/>
      </c>
      <c r="B12" s="5">
        <f>'02_Inputs'!B12</f>
        <v/>
      </c>
      <c r="C12" s="5">
        <f>'02_Inputs'!C12</f>
        <v/>
      </c>
      <c r="D12" s="29">
        <f>'02_Inputs'!D12</f>
        <v/>
      </c>
      <c r="E12" s="6">
        <f>'02_Inputs'!E12</f>
        <v/>
      </c>
      <c r="F12" s="29">
        <f>D12*E12</f>
        <v/>
      </c>
      <c r="G12" s="5">
        <f>'02_Inputs'!F12</f>
        <v/>
      </c>
      <c r="H12" s="29">
        <f>F12/G12</f>
        <v/>
      </c>
      <c r="I12" s="6">
        <f>'02_Inputs'!G12</f>
        <v/>
      </c>
      <c r="J12" s="29">
        <f>H12*I12</f>
        <v/>
      </c>
      <c r="K12" s="6">
        <f>'02_Inputs'!H12</f>
        <v/>
      </c>
      <c r="L12" s="29">
        <f>J12*K12</f>
        <v/>
      </c>
      <c r="M12" s="29">
        <f>J12*(1-K12)</f>
        <v/>
      </c>
      <c r="N12" s="6">
        <f>'02_GPU_Mix_Input'!D12</f>
        <v/>
      </c>
      <c r="O12" s="6">
        <f>'02_GPU_Mix_Input'!E12</f>
        <v/>
      </c>
      <c r="P12" s="6">
        <f>'02_GPU_Mix_Input'!F12</f>
        <v/>
      </c>
      <c r="Q12" s="6">
        <f>'02_GPU_Mix_Input'!G12</f>
        <v/>
      </c>
      <c r="R12" s="7">
        <f>INDEX('01_Benchmark_Input'!$K$2:$K$10,MATCH(B12,'01_Benchmark_Input'!$A$2:$A$10,0))</f>
        <v/>
      </c>
      <c r="S12" s="7">
        <f>INDEX('01_Benchmark_Input'!$P$2:$P$10,MATCH(B12,'01_Benchmark_Input'!$A$2:$A$10,0))</f>
        <v/>
      </c>
      <c r="T12" s="7">
        <f>INDEX('01_Benchmark_Input'!$U$2:$U$10,MATCH(B12,'01_Benchmark_Input'!$A$2:$A$10,0))</f>
        <v/>
      </c>
      <c r="U12" s="7">
        <f>INDEX('01_Benchmark_Input'!$Z$2:$Z$10,MATCH(B12,'01_Benchmark_Input'!$A$2:$A$10,0))</f>
        <v/>
      </c>
      <c r="V12" s="6">
        <f>INDEX('01_Benchmark_Input'!$D$2:$D$10,MATCH(B12,'01_Benchmark_Input'!$A$2:$A$10,0))</f>
        <v/>
      </c>
      <c r="W12" s="6">
        <f>INDEX('01_Benchmark_Input'!$E$2:$E$10,MATCH(B12,'01_Benchmark_Input'!$A$2:$A$10,0))</f>
        <v/>
      </c>
      <c r="X12" s="6">
        <f>INDEX('01_Benchmark_Input'!$F$2:$F$10,MATCH(B12,'01_Benchmark_Input'!$A$2:$A$10,0))</f>
        <v/>
      </c>
      <c r="Y12" s="7">
        <f>N12*R12+O12*S12+P12*T12+Q12*U12</f>
        <v/>
      </c>
      <c r="Z12" s="6">
        <f>'02_Inputs'!K12</f>
        <v/>
      </c>
      <c r="AA12" s="7">
        <f>Y12*Z12</f>
        <v/>
      </c>
      <c r="AB12" s="5">
        <f>L12*1000*AA12*86400</f>
        <v/>
      </c>
      <c r="AC12" s="5">
        <f>AB12*365</f>
        <v/>
      </c>
    </row>
    <row r="13">
      <c r="A13" s="5">
        <f>'02_Inputs'!A13</f>
        <v/>
      </c>
      <c r="B13" s="5">
        <f>'02_Inputs'!B13</f>
        <v/>
      </c>
      <c r="C13" s="5">
        <f>'02_Inputs'!C13</f>
        <v/>
      </c>
      <c r="D13" s="29">
        <f>'02_Inputs'!D13</f>
        <v/>
      </c>
      <c r="E13" s="6">
        <f>'02_Inputs'!E13</f>
        <v/>
      </c>
      <c r="F13" s="29">
        <f>D13*E13</f>
        <v/>
      </c>
      <c r="G13" s="5">
        <f>'02_Inputs'!F13</f>
        <v/>
      </c>
      <c r="H13" s="29">
        <f>F13/G13</f>
        <v/>
      </c>
      <c r="I13" s="6">
        <f>'02_Inputs'!G13</f>
        <v/>
      </c>
      <c r="J13" s="29">
        <f>H13*I13</f>
        <v/>
      </c>
      <c r="K13" s="6">
        <f>'02_Inputs'!H13</f>
        <v/>
      </c>
      <c r="L13" s="29">
        <f>J13*K13</f>
        <v/>
      </c>
      <c r="M13" s="29">
        <f>J13*(1-K13)</f>
        <v/>
      </c>
      <c r="N13" s="6">
        <f>'02_GPU_Mix_Input'!D13</f>
        <v/>
      </c>
      <c r="O13" s="6">
        <f>'02_GPU_Mix_Input'!E13</f>
        <v/>
      </c>
      <c r="P13" s="6">
        <f>'02_GPU_Mix_Input'!F13</f>
        <v/>
      </c>
      <c r="Q13" s="6">
        <f>'02_GPU_Mix_Input'!G13</f>
        <v/>
      </c>
      <c r="R13" s="7">
        <f>INDEX('01_Benchmark_Input'!$K$2:$K$10,MATCH(B13,'01_Benchmark_Input'!$A$2:$A$10,0))</f>
        <v/>
      </c>
      <c r="S13" s="7">
        <f>INDEX('01_Benchmark_Input'!$P$2:$P$10,MATCH(B13,'01_Benchmark_Input'!$A$2:$A$10,0))</f>
        <v/>
      </c>
      <c r="T13" s="7">
        <f>INDEX('01_Benchmark_Input'!$U$2:$U$10,MATCH(B13,'01_Benchmark_Input'!$A$2:$A$10,0))</f>
        <v/>
      </c>
      <c r="U13" s="7">
        <f>INDEX('01_Benchmark_Input'!$Z$2:$Z$10,MATCH(B13,'01_Benchmark_Input'!$A$2:$A$10,0))</f>
        <v/>
      </c>
      <c r="V13" s="6">
        <f>INDEX('01_Benchmark_Input'!$D$2:$D$10,MATCH(B13,'01_Benchmark_Input'!$A$2:$A$10,0))</f>
        <v/>
      </c>
      <c r="W13" s="6">
        <f>INDEX('01_Benchmark_Input'!$E$2:$E$10,MATCH(B13,'01_Benchmark_Input'!$A$2:$A$10,0))</f>
        <v/>
      </c>
      <c r="X13" s="6">
        <f>INDEX('01_Benchmark_Input'!$F$2:$F$10,MATCH(B13,'01_Benchmark_Input'!$A$2:$A$10,0))</f>
        <v/>
      </c>
      <c r="Y13" s="7">
        <f>N13*R13+O13*S13+P13*T13+Q13*U13</f>
        <v/>
      </c>
      <c r="Z13" s="6">
        <f>'02_Inputs'!K13</f>
        <v/>
      </c>
      <c r="AA13" s="7">
        <f>Y13*Z13</f>
        <v/>
      </c>
      <c r="AB13" s="5">
        <f>L13*1000*AA13*86400</f>
        <v/>
      </c>
      <c r="AC13" s="5">
        <f>AB13*365</f>
        <v/>
      </c>
    </row>
    <row r="14">
      <c r="A14" s="5">
        <f>'02_Inputs'!A14</f>
        <v/>
      </c>
      <c r="B14" s="5">
        <f>'02_Inputs'!B14</f>
        <v/>
      </c>
      <c r="C14" s="5">
        <f>'02_Inputs'!C14</f>
        <v/>
      </c>
      <c r="D14" s="29">
        <f>'02_Inputs'!D14</f>
        <v/>
      </c>
      <c r="E14" s="6">
        <f>'02_Inputs'!E14</f>
        <v/>
      </c>
      <c r="F14" s="29">
        <f>D14*E14</f>
        <v/>
      </c>
      <c r="G14" s="5">
        <f>'02_Inputs'!F14</f>
        <v/>
      </c>
      <c r="H14" s="29">
        <f>F14/G14</f>
        <v/>
      </c>
      <c r="I14" s="6">
        <f>'02_Inputs'!G14</f>
        <v/>
      </c>
      <c r="J14" s="29">
        <f>H14*I14</f>
        <v/>
      </c>
      <c r="K14" s="6">
        <f>'02_Inputs'!H14</f>
        <v/>
      </c>
      <c r="L14" s="29">
        <f>J14*K14</f>
        <v/>
      </c>
      <c r="M14" s="29">
        <f>J14*(1-K14)</f>
        <v/>
      </c>
      <c r="N14" s="6">
        <f>'02_GPU_Mix_Input'!D14</f>
        <v/>
      </c>
      <c r="O14" s="6">
        <f>'02_GPU_Mix_Input'!E14</f>
        <v/>
      </c>
      <c r="P14" s="6">
        <f>'02_GPU_Mix_Input'!F14</f>
        <v/>
      </c>
      <c r="Q14" s="6">
        <f>'02_GPU_Mix_Input'!G14</f>
        <v/>
      </c>
      <c r="R14" s="7">
        <f>INDEX('01_Benchmark_Input'!$K$2:$K$10,MATCH(B14,'01_Benchmark_Input'!$A$2:$A$10,0))</f>
        <v/>
      </c>
      <c r="S14" s="7">
        <f>INDEX('01_Benchmark_Input'!$P$2:$P$10,MATCH(B14,'01_Benchmark_Input'!$A$2:$A$10,0))</f>
        <v/>
      </c>
      <c r="T14" s="7">
        <f>INDEX('01_Benchmark_Input'!$U$2:$U$10,MATCH(B14,'01_Benchmark_Input'!$A$2:$A$10,0))</f>
        <v/>
      </c>
      <c r="U14" s="7">
        <f>INDEX('01_Benchmark_Input'!$Z$2:$Z$10,MATCH(B14,'01_Benchmark_Input'!$A$2:$A$10,0))</f>
        <v/>
      </c>
      <c r="V14" s="6">
        <f>INDEX('01_Benchmark_Input'!$D$2:$D$10,MATCH(B14,'01_Benchmark_Input'!$A$2:$A$10,0))</f>
        <v/>
      </c>
      <c r="W14" s="6">
        <f>INDEX('01_Benchmark_Input'!$E$2:$E$10,MATCH(B14,'01_Benchmark_Input'!$A$2:$A$10,0))</f>
        <v/>
      </c>
      <c r="X14" s="6">
        <f>INDEX('01_Benchmark_Input'!$F$2:$F$10,MATCH(B14,'01_Benchmark_Input'!$A$2:$A$10,0))</f>
        <v/>
      </c>
      <c r="Y14" s="7">
        <f>N14*R14+O14*S14+P14*T14+Q14*U14</f>
        <v/>
      </c>
      <c r="Z14" s="6">
        <f>'02_Inputs'!K14</f>
        <v/>
      </c>
      <c r="AA14" s="7">
        <f>Y14*Z14</f>
        <v/>
      </c>
      <c r="AB14" s="5">
        <f>L14*1000*AA14*86400</f>
        <v/>
      </c>
      <c r="AC14" s="5">
        <f>AB14*365</f>
        <v/>
      </c>
    </row>
    <row r="15">
      <c r="A15" s="5">
        <f>'02_Inputs'!A15</f>
        <v/>
      </c>
      <c r="B15" s="5">
        <f>'02_Inputs'!B15</f>
        <v/>
      </c>
      <c r="C15" s="5">
        <f>'02_Inputs'!C15</f>
        <v/>
      </c>
      <c r="D15" s="29">
        <f>'02_Inputs'!D15</f>
        <v/>
      </c>
      <c r="E15" s="6">
        <f>'02_Inputs'!E15</f>
        <v/>
      </c>
      <c r="F15" s="29">
        <f>D15*E15</f>
        <v/>
      </c>
      <c r="G15" s="5">
        <f>'02_Inputs'!F15</f>
        <v/>
      </c>
      <c r="H15" s="29">
        <f>F15/G15</f>
        <v/>
      </c>
      <c r="I15" s="6">
        <f>'02_Inputs'!G15</f>
        <v/>
      </c>
      <c r="J15" s="29">
        <f>H15*I15</f>
        <v/>
      </c>
      <c r="K15" s="6">
        <f>'02_Inputs'!H15</f>
        <v/>
      </c>
      <c r="L15" s="29">
        <f>J15*K15</f>
        <v/>
      </c>
      <c r="M15" s="29">
        <f>J15*(1-K15)</f>
        <v/>
      </c>
      <c r="N15" s="6">
        <f>'02_GPU_Mix_Input'!D15</f>
        <v/>
      </c>
      <c r="O15" s="6">
        <f>'02_GPU_Mix_Input'!E15</f>
        <v/>
      </c>
      <c r="P15" s="6">
        <f>'02_GPU_Mix_Input'!F15</f>
        <v/>
      </c>
      <c r="Q15" s="6">
        <f>'02_GPU_Mix_Input'!G15</f>
        <v/>
      </c>
      <c r="R15" s="7">
        <f>INDEX('01_Benchmark_Input'!$K$2:$K$10,MATCH(B15,'01_Benchmark_Input'!$A$2:$A$10,0))</f>
        <v/>
      </c>
      <c r="S15" s="7">
        <f>INDEX('01_Benchmark_Input'!$P$2:$P$10,MATCH(B15,'01_Benchmark_Input'!$A$2:$A$10,0))</f>
        <v/>
      </c>
      <c r="T15" s="7">
        <f>INDEX('01_Benchmark_Input'!$U$2:$U$10,MATCH(B15,'01_Benchmark_Input'!$A$2:$A$10,0))</f>
        <v/>
      </c>
      <c r="U15" s="7">
        <f>INDEX('01_Benchmark_Input'!$Z$2:$Z$10,MATCH(B15,'01_Benchmark_Input'!$A$2:$A$10,0))</f>
        <v/>
      </c>
      <c r="V15" s="6">
        <f>INDEX('01_Benchmark_Input'!$D$2:$D$10,MATCH(B15,'01_Benchmark_Input'!$A$2:$A$10,0))</f>
        <v/>
      </c>
      <c r="W15" s="6">
        <f>INDEX('01_Benchmark_Input'!$E$2:$E$10,MATCH(B15,'01_Benchmark_Input'!$A$2:$A$10,0))</f>
        <v/>
      </c>
      <c r="X15" s="6">
        <f>INDEX('01_Benchmark_Input'!$F$2:$F$10,MATCH(B15,'01_Benchmark_Input'!$A$2:$A$10,0))</f>
        <v/>
      </c>
      <c r="Y15" s="7">
        <f>N15*R15+O15*S15+P15*T15+Q15*U15</f>
        <v/>
      </c>
      <c r="Z15" s="6">
        <f>'02_Inputs'!K15</f>
        <v/>
      </c>
      <c r="AA15" s="7">
        <f>Y15*Z15</f>
        <v/>
      </c>
      <c r="AB15" s="5">
        <f>L15*1000*AA15*86400</f>
        <v/>
      </c>
      <c r="AC15" s="5">
        <f>AB15*365</f>
        <v/>
      </c>
    </row>
    <row r="16">
      <c r="A16" s="5">
        <f>'02_Inputs'!A16</f>
        <v/>
      </c>
      <c r="B16" s="5">
        <f>'02_Inputs'!B16</f>
        <v/>
      </c>
      <c r="C16" s="5">
        <f>'02_Inputs'!C16</f>
        <v/>
      </c>
      <c r="D16" s="29">
        <f>'02_Inputs'!D16</f>
        <v/>
      </c>
      <c r="E16" s="6">
        <f>'02_Inputs'!E16</f>
        <v/>
      </c>
      <c r="F16" s="29">
        <f>D16*E16</f>
        <v/>
      </c>
      <c r="G16" s="5">
        <f>'02_Inputs'!F16</f>
        <v/>
      </c>
      <c r="H16" s="29">
        <f>F16/G16</f>
        <v/>
      </c>
      <c r="I16" s="6">
        <f>'02_Inputs'!G16</f>
        <v/>
      </c>
      <c r="J16" s="29">
        <f>H16*I16</f>
        <v/>
      </c>
      <c r="K16" s="6">
        <f>'02_Inputs'!H16</f>
        <v/>
      </c>
      <c r="L16" s="29">
        <f>J16*K16</f>
        <v/>
      </c>
      <c r="M16" s="29">
        <f>J16*(1-K16)</f>
        <v/>
      </c>
      <c r="N16" s="6">
        <f>'02_GPU_Mix_Input'!D16</f>
        <v/>
      </c>
      <c r="O16" s="6">
        <f>'02_GPU_Mix_Input'!E16</f>
        <v/>
      </c>
      <c r="P16" s="6">
        <f>'02_GPU_Mix_Input'!F16</f>
        <v/>
      </c>
      <c r="Q16" s="6">
        <f>'02_GPU_Mix_Input'!G16</f>
        <v/>
      </c>
      <c r="R16" s="7">
        <f>INDEX('01_Benchmark_Input'!$K$2:$K$10,MATCH(B16,'01_Benchmark_Input'!$A$2:$A$10,0))</f>
        <v/>
      </c>
      <c r="S16" s="7">
        <f>INDEX('01_Benchmark_Input'!$P$2:$P$10,MATCH(B16,'01_Benchmark_Input'!$A$2:$A$10,0))</f>
        <v/>
      </c>
      <c r="T16" s="7">
        <f>INDEX('01_Benchmark_Input'!$U$2:$U$10,MATCH(B16,'01_Benchmark_Input'!$A$2:$A$10,0))</f>
        <v/>
      </c>
      <c r="U16" s="7">
        <f>INDEX('01_Benchmark_Input'!$Z$2:$Z$10,MATCH(B16,'01_Benchmark_Input'!$A$2:$A$10,0))</f>
        <v/>
      </c>
      <c r="V16" s="6">
        <f>INDEX('01_Benchmark_Input'!$D$2:$D$10,MATCH(B16,'01_Benchmark_Input'!$A$2:$A$10,0))</f>
        <v/>
      </c>
      <c r="W16" s="6">
        <f>INDEX('01_Benchmark_Input'!$E$2:$E$10,MATCH(B16,'01_Benchmark_Input'!$A$2:$A$10,0))</f>
        <v/>
      </c>
      <c r="X16" s="6">
        <f>INDEX('01_Benchmark_Input'!$F$2:$F$10,MATCH(B16,'01_Benchmark_Input'!$A$2:$A$10,0))</f>
        <v/>
      </c>
      <c r="Y16" s="7">
        <f>N16*R16+O16*S16+P16*T16+Q16*U16</f>
        <v/>
      </c>
      <c r="Z16" s="6">
        <f>'02_Inputs'!K16</f>
        <v/>
      </c>
      <c r="AA16" s="7">
        <f>Y16*Z16</f>
        <v/>
      </c>
      <c r="AB16" s="5">
        <f>L16*1000*AA16*86400</f>
        <v/>
      </c>
      <c r="AC16" s="5">
        <f>AB16*365</f>
        <v/>
      </c>
    </row>
    <row r="17">
      <c r="A17" s="5">
        <f>'02_Inputs'!A17</f>
        <v/>
      </c>
      <c r="B17" s="5">
        <f>'02_Inputs'!B17</f>
        <v/>
      </c>
      <c r="C17" s="5">
        <f>'02_Inputs'!C17</f>
        <v/>
      </c>
      <c r="D17" s="29">
        <f>'02_Inputs'!D17</f>
        <v/>
      </c>
      <c r="E17" s="6">
        <f>'02_Inputs'!E17</f>
        <v/>
      </c>
      <c r="F17" s="29">
        <f>D17*E17</f>
        <v/>
      </c>
      <c r="G17" s="5">
        <f>'02_Inputs'!F17</f>
        <v/>
      </c>
      <c r="H17" s="29">
        <f>F17/G17</f>
        <v/>
      </c>
      <c r="I17" s="6">
        <f>'02_Inputs'!G17</f>
        <v/>
      </c>
      <c r="J17" s="29">
        <f>H17*I17</f>
        <v/>
      </c>
      <c r="K17" s="6">
        <f>'02_Inputs'!H17</f>
        <v/>
      </c>
      <c r="L17" s="29">
        <f>J17*K17</f>
        <v/>
      </c>
      <c r="M17" s="29">
        <f>J17*(1-K17)</f>
        <v/>
      </c>
      <c r="N17" s="6">
        <f>'02_GPU_Mix_Input'!D17</f>
        <v/>
      </c>
      <c r="O17" s="6">
        <f>'02_GPU_Mix_Input'!E17</f>
        <v/>
      </c>
      <c r="P17" s="6">
        <f>'02_GPU_Mix_Input'!F17</f>
        <v/>
      </c>
      <c r="Q17" s="6">
        <f>'02_GPU_Mix_Input'!G17</f>
        <v/>
      </c>
      <c r="R17" s="7">
        <f>INDEX('01_Benchmark_Input'!$K$2:$K$10,MATCH(B17,'01_Benchmark_Input'!$A$2:$A$10,0))</f>
        <v/>
      </c>
      <c r="S17" s="7">
        <f>INDEX('01_Benchmark_Input'!$P$2:$P$10,MATCH(B17,'01_Benchmark_Input'!$A$2:$A$10,0))</f>
        <v/>
      </c>
      <c r="T17" s="7">
        <f>INDEX('01_Benchmark_Input'!$U$2:$U$10,MATCH(B17,'01_Benchmark_Input'!$A$2:$A$10,0))</f>
        <v/>
      </c>
      <c r="U17" s="7">
        <f>INDEX('01_Benchmark_Input'!$Z$2:$Z$10,MATCH(B17,'01_Benchmark_Input'!$A$2:$A$10,0))</f>
        <v/>
      </c>
      <c r="V17" s="6">
        <f>INDEX('01_Benchmark_Input'!$D$2:$D$10,MATCH(B17,'01_Benchmark_Input'!$A$2:$A$10,0))</f>
        <v/>
      </c>
      <c r="W17" s="6">
        <f>INDEX('01_Benchmark_Input'!$E$2:$E$10,MATCH(B17,'01_Benchmark_Input'!$A$2:$A$10,0))</f>
        <v/>
      </c>
      <c r="X17" s="6">
        <f>INDEX('01_Benchmark_Input'!$F$2:$F$10,MATCH(B17,'01_Benchmark_Input'!$A$2:$A$10,0))</f>
        <v/>
      </c>
      <c r="Y17" s="7">
        <f>N17*R17+O17*S17+P17*T17+Q17*U17</f>
        <v/>
      </c>
      <c r="Z17" s="6">
        <f>'02_Inputs'!K17</f>
        <v/>
      </c>
      <c r="AA17" s="7">
        <f>Y17*Z17</f>
        <v/>
      </c>
      <c r="AB17" s="5">
        <f>L17*1000*AA17*86400</f>
        <v/>
      </c>
      <c r="AC17" s="5">
        <f>AB17*365</f>
        <v/>
      </c>
    </row>
    <row r="18">
      <c r="A18" s="5">
        <f>'02_Inputs'!A18</f>
        <v/>
      </c>
      <c r="B18" s="5">
        <f>'02_Inputs'!B18</f>
        <v/>
      </c>
      <c r="C18" s="5">
        <f>'02_Inputs'!C18</f>
        <v/>
      </c>
      <c r="D18" s="29">
        <f>'02_Inputs'!D18</f>
        <v/>
      </c>
      <c r="E18" s="6">
        <f>'02_Inputs'!E18</f>
        <v/>
      </c>
      <c r="F18" s="29">
        <f>D18*E18</f>
        <v/>
      </c>
      <c r="G18" s="5">
        <f>'02_Inputs'!F18</f>
        <v/>
      </c>
      <c r="H18" s="29">
        <f>F18/G18</f>
        <v/>
      </c>
      <c r="I18" s="6">
        <f>'02_Inputs'!G18</f>
        <v/>
      </c>
      <c r="J18" s="29">
        <f>H18*I18</f>
        <v/>
      </c>
      <c r="K18" s="6">
        <f>'02_Inputs'!H18</f>
        <v/>
      </c>
      <c r="L18" s="29">
        <f>J18*K18</f>
        <v/>
      </c>
      <c r="M18" s="29">
        <f>J18*(1-K18)</f>
        <v/>
      </c>
      <c r="N18" s="6">
        <f>'02_GPU_Mix_Input'!D18</f>
        <v/>
      </c>
      <c r="O18" s="6">
        <f>'02_GPU_Mix_Input'!E18</f>
        <v/>
      </c>
      <c r="P18" s="6">
        <f>'02_GPU_Mix_Input'!F18</f>
        <v/>
      </c>
      <c r="Q18" s="6">
        <f>'02_GPU_Mix_Input'!G18</f>
        <v/>
      </c>
      <c r="R18" s="7">
        <f>INDEX('01_Benchmark_Input'!$K$2:$K$10,MATCH(B18,'01_Benchmark_Input'!$A$2:$A$10,0))</f>
        <v/>
      </c>
      <c r="S18" s="7">
        <f>INDEX('01_Benchmark_Input'!$P$2:$P$10,MATCH(B18,'01_Benchmark_Input'!$A$2:$A$10,0))</f>
        <v/>
      </c>
      <c r="T18" s="7">
        <f>INDEX('01_Benchmark_Input'!$U$2:$U$10,MATCH(B18,'01_Benchmark_Input'!$A$2:$A$10,0))</f>
        <v/>
      </c>
      <c r="U18" s="7">
        <f>INDEX('01_Benchmark_Input'!$Z$2:$Z$10,MATCH(B18,'01_Benchmark_Input'!$A$2:$A$10,0))</f>
        <v/>
      </c>
      <c r="V18" s="6">
        <f>INDEX('01_Benchmark_Input'!$D$2:$D$10,MATCH(B18,'01_Benchmark_Input'!$A$2:$A$10,0))</f>
        <v/>
      </c>
      <c r="W18" s="6">
        <f>INDEX('01_Benchmark_Input'!$E$2:$E$10,MATCH(B18,'01_Benchmark_Input'!$A$2:$A$10,0))</f>
        <v/>
      </c>
      <c r="X18" s="6">
        <f>INDEX('01_Benchmark_Input'!$F$2:$F$10,MATCH(B18,'01_Benchmark_Input'!$A$2:$A$10,0))</f>
        <v/>
      </c>
      <c r="Y18" s="7">
        <f>N18*R18+O18*S18+P18*T18+Q18*U18</f>
        <v/>
      </c>
      <c r="Z18" s="6">
        <f>'02_Inputs'!K18</f>
        <v/>
      </c>
      <c r="AA18" s="7">
        <f>Y18*Z18</f>
        <v/>
      </c>
      <c r="AB18" s="5">
        <f>L18*1000*AA18*86400</f>
        <v/>
      </c>
      <c r="AC18" s="5">
        <f>AB18*365</f>
        <v/>
      </c>
    </row>
    <row r="19">
      <c r="A19" s="5">
        <f>'02_Inputs'!A19</f>
        <v/>
      </c>
      <c r="B19" s="5">
        <f>'02_Inputs'!B19</f>
        <v/>
      </c>
      <c r="C19" s="5">
        <f>'02_Inputs'!C19</f>
        <v/>
      </c>
      <c r="D19" s="29">
        <f>'02_Inputs'!D19</f>
        <v/>
      </c>
      <c r="E19" s="6">
        <f>'02_Inputs'!E19</f>
        <v/>
      </c>
      <c r="F19" s="29">
        <f>D19*E19</f>
        <v/>
      </c>
      <c r="G19" s="5">
        <f>'02_Inputs'!F19</f>
        <v/>
      </c>
      <c r="H19" s="29">
        <f>F19/G19</f>
        <v/>
      </c>
      <c r="I19" s="6">
        <f>'02_Inputs'!G19</f>
        <v/>
      </c>
      <c r="J19" s="29">
        <f>H19*I19</f>
        <v/>
      </c>
      <c r="K19" s="6">
        <f>'02_Inputs'!H19</f>
        <v/>
      </c>
      <c r="L19" s="29">
        <f>J19*K19</f>
        <v/>
      </c>
      <c r="M19" s="29">
        <f>J19*(1-K19)</f>
        <v/>
      </c>
      <c r="N19" s="6">
        <f>'02_GPU_Mix_Input'!D19</f>
        <v/>
      </c>
      <c r="O19" s="6">
        <f>'02_GPU_Mix_Input'!E19</f>
        <v/>
      </c>
      <c r="P19" s="6">
        <f>'02_GPU_Mix_Input'!F19</f>
        <v/>
      </c>
      <c r="Q19" s="6">
        <f>'02_GPU_Mix_Input'!G19</f>
        <v/>
      </c>
      <c r="R19" s="7">
        <f>INDEX('01_Benchmark_Input'!$K$2:$K$10,MATCH(B19,'01_Benchmark_Input'!$A$2:$A$10,0))</f>
        <v/>
      </c>
      <c r="S19" s="7">
        <f>INDEX('01_Benchmark_Input'!$P$2:$P$10,MATCH(B19,'01_Benchmark_Input'!$A$2:$A$10,0))</f>
        <v/>
      </c>
      <c r="T19" s="7">
        <f>INDEX('01_Benchmark_Input'!$U$2:$U$10,MATCH(B19,'01_Benchmark_Input'!$A$2:$A$10,0))</f>
        <v/>
      </c>
      <c r="U19" s="7">
        <f>INDEX('01_Benchmark_Input'!$Z$2:$Z$10,MATCH(B19,'01_Benchmark_Input'!$A$2:$A$10,0))</f>
        <v/>
      </c>
      <c r="V19" s="6">
        <f>INDEX('01_Benchmark_Input'!$D$2:$D$10,MATCH(B19,'01_Benchmark_Input'!$A$2:$A$10,0))</f>
        <v/>
      </c>
      <c r="W19" s="6">
        <f>INDEX('01_Benchmark_Input'!$E$2:$E$10,MATCH(B19,'01_Benchmark_Input'!$A$2:$A$10,0))</f>
        <v/>
      </c>
      <c r="X19" s="6">
        <f>INDEX('01_Benchmark_Input'!$F$2:$F$10,MATCH(B19,'01_Benchmark_Input'!$A$2:$A$10,0))</f>
        <v/>
      </c>
      <c r="Y19" s="7">
        <f>N19*R19+O19*S19+P19*T19+Q19*U19</f>
        <v/>
      </c>
      <c r="Z19" s="6">
        <f>'02_Inputs'!K19</f>
        <v/>
      </c>
      <c r="AA19" s="7">
        <f>Y19*Z19</f>
        <v/>
      </c>
      <c r="AB19" s="5">
        <f>L19*1000*AA19*86400</f>
        <v/>
      </c>
      <c r="AC19" s="5">
        <f>AB19*365</f>
        <v/>
      </c>
    </row>
    <row r="20">
      <c r="A20" s="5">
        <f>'02_Inputs'!A20</f>
        <v/>
      </c>
      <c r="B20" s="5">
        <f>'02_Inputs'!B20</f>
        <v/>
      </c>
      <c r="C20" s="5">
        <f>'02_Inputs'!C20</f>
        <v/>
      </c>
      <c r="D20" s="29">
        <f>'02_Inputs'!D20</f>
        <v/>
      </c>
      <c r="E20" s="6">
        <f>'02_Inputs'!E20</f>
        <v/>
      </c>
      <c r="F20" s="29">
        <f>D20*E20</f>
        <v/>
      </c>
      <c r="G20" s="5">
        <f>'02_Inputs'!F20</f>
        <v/>
      </c>
      <c r="H20" s="29">
        <f>F20/G20</f>
        <v/>
      </c>
      <c r="I20" s="6">
        <f>'02_Inputs'!G20</f>
        <v/>
      </c>
      <c r="J20" s="29">
        <f>H20*I20</f>
        <v/>
      </c>
      <c r="K20" s="6">
        <f>'02_Inputs'!H20</f>
        <v/>
      </c>
      <c r="L20" s="29">
        <f>J20*K20</f>
        <v/>
      </c>
      <c r="M20" s="29">
        <f>J20*(1-K20)</f>
        <v/>
      </c>
      <c r="N20" s="6">
        <f>'02_GPU_Mix_Input'!D20</f>
        <v/>
      </c>
      <c r="O20" s="6">
        <f>'02_GPU_Mix_Input'!E20</f>
        <v/>
      </c>
      <c r="P20" s="6">
        <f>'02_GPU_Mix_Input'!F20</f>
        <v/>
      </c>
      <c r="Q20" s="6">
        <f>'02_GPU_Mix_Input'!G20</f>
        <v/>
      </c>
      <c r="R20" s="7">
        <f>INDEX('01_Benchmark_Input'!$K$2:$K$10,MATCH(B20,'01_Benchmark_Input'!$A$2:$A$10,0))</f>
        <v/>
      </c>
      <c r="S20" s="7">
        <f>INDEX('01_Benchmark_Input'!$P$2:$P$10,MATCH(B20,'01_Benchmark_Input'!$A$2:$A$10,0))</f>
        <v/>
      </c>
      <c r="T20" s="7">
        <f>INDEX('01_Benchmark_Input'!$U$2:$U$10,MATCH(B20,'01_Benchmark_Input'!$A$2:$A$10,0))</f>
        <v/>
      </c>
      <c r="U20" s="7">
        <f>INDEX('01_Benchmark_Input'!$Z$2:$Z$10,MATCH(B20,'01_Benchmark_Input'!$A$2:$A$10,0))</f>
        <v/>
      </c>
      <c r="V20" s="6">
        <f>INDEX('01_Benchmark_Input'!$D$2:$D$10,MATCH(B20,'01_Benchmark_Input'!$A$2:$A$10,0))</f>
        <v/>
      </c>
      <c r="W20" s="6">
        <f>INDEX('01_Benchmark_Input'!$E$2:$E$10,MATCH(B20,'01_Benchmark_Input'!$A$2:$A$10,0))</f>
        <v/>
      </c>
      <c r="X20" s="6">
        <f>INDEX('01_Benchmark_Input'!$F$2:$F$10,MATCH(B20,'01_Benchmark_Input'!$A$2:$A$10,0))</f>
        <v/>
      </c>
      <c r="Y20" s="7">
        <f>N20*R20+O20*S20+P20*T20+Q20*U20</f>
        <v/>
      </c>
      <c r="Z20" s="6">
        <f>'02_Inputs'!K20</f>
        <v/>
      </c>
      <c r="AA20" s="7">
        <f>Y20*Z20</f>
        <v/>
      </c>
      <c r="AB20" s="5">
        <f>L20*1000*AA20*86400</f>
        <v/>
      </c>
      <c r="AC20" s="5">
        <f>AB20*365</f>
        <v/>
      </c>
    </row>
    <row r="21">
      <c r="A21" s="5">
        <f>'02_Inputs'!A21</f>
        <v/>
      </c>
      <c r="B21" s="5">
        <f>'02_Inputs'!B21</f>
        <v/>
      </c>
      <c r="C21" s="5">
        <f>'02_Inputs'!C21</f>
        <v/>
      </c>
      <c r="D21" s="29">
        <f>'02_Inputs'!D21</f>
        <v/>
      </c>
      <c r="E21" s="6">
        <f>'02_Inputs'!E21</f>
        <v/>
      </c>
      <c r="F21" s="29">
        <f>D21*E21</f>
        <v/>
      </c>
      <c r="G21" s="5">
        <f>'02_Inputs'!F21</f>
        <v/>
      </c>
      <c r="H21" s="29">
        <f>F21/G21</f>
        <v/>
      </c>
      <c r="I21" s="6">
        <f>'02_Inputs'!G21</f>
        <v/>
      </c>
      <c r="J21" s="29">
        <f>H21*I21</f>
        <v/>
      </c>
      <c r="K21" s="6">
        <f>'02_Inputs'!H21</f>
        <v/>
      </c>
      <c r="L21" s="29">
        <f>J21*K21</f>
        <v/>
      </c>
      <c r="M21" s="29">
        <f>J21*(1-K21)</f>
        <v/>
      </c>
      <c r="N21" s="6">
        <f>'02_GPU_Mix_Input'!D21</f>
        <v/>
      </c>
      <c r="O21" s="6">
        <f>'02_GPU_Mix_Input'!E21</f>
        <v/>
      </c>
      <c r="P21" s="6">
        <f>'02_GPU_Mix_Input'!F21</f>
        <v/>
      </c>
      <c r="Q21" s="6">
        <f>'02_GPU_Mix_Input'!G21</f>
        <v/>
      </c>
      <c r="R21" s="7">
        <f>INDEX('01_Benchmark_Input'!$K$2:$K$10,MATCH(B21,'01_Benchmark_Input'!$A$2:$A$10,0))</f>
        <v/>
      </c>
      <c r="S21" s="7">
        <f>INDEX('01_Benchmark_Input'!$P$2:$P$10,MATCH(B21,'01_Benchmark_Input'!$A$2:$A$10,0))</f>
        <v/>
      </c>
      <c r="T21" s="7">
        <f>INDEX('01_Benchmark_Input'!$U$2:$U$10,MATCH(B21,'01_Benchmark_Input'!$A$2:$A$10,0))</f>
        <v/>
      </c>
      <c r="U21" s="7">
        <f>INDEX('01_Benchmark_Input'!$Z$2:$Z$10,MATCH(B21,'01_Benchmark_Input'!$A$2:$A$10,0))</f>
        <v/>
      </c>
      <c r="V21" s="6">
        <f>INDEX('01_Benchmark_Input'!$D$2:$D$10,MATCH(B21,'01_Benchmark_Input'!$A$2:$A$10,0))</f>
        <v/>
      </c>
      <c r="W21" s="6">
        <f>INDEX('01_Benchmark_Input'!$E$2:$E$10,MATCH(B21,'01_Benchmark_Input'!$A$2:$A$10,0))</f>
        <v/>
      </c>
      <c r="X21" s="6">
        <f>INDEX('01_Benchmark_Input'!$F$2:$F$10,MATCH(B21,'01_Benchmark_Input'!$A$2:$A$10,0))</f>
        <v/>
      </c>
      <c r="Y21" s="7">
        <f>N21*R21+O21*S21+P21*T21+Q21*U21</f>
        <v/>
      </c>
      <c r="Z21" s="6">
        <f>'02_Inputs'!K21</f>
        <v/>
      </c>
      <c r="AA21" s="7">
        <f>Y21*Z21</f>
        <v/>
      </c>
      <c r="AB21" s="5">
        <f>L21*1000*AA21*86400</f>
        <v/>
      </c>
      <c r="AC21" s="5">
        <f>AB21*365</f>
        <v/>
      </c>
    </row>
    <row r="22">
      <c r="A22" s="5">
        <f>'02_Inputs'!A22</f>
        <v/>
      </c>
      <c r="B22" s="5">
        <f>'02_Inputs'!B22</f>
        <v/>
      </c>
      <c r="C22" s="5">
        <f>'02_Inputs'!C22</f>
        <v/>
      </c>
      <c r="D22" s="29">
        <f>'02_Inputs'!D22</f>
        <v/>
      </c>
      <c r="E22" s="6">
        <f>'02_Inputs'!E22</f>
        <v/>
      </c>
      <c r="F22" s="29">
        <f>D22*E22</f>
        <v/>
      </c>
      <c r="G22" s="5">
        <f>'02_Inputs'!F22</f>
        <v/>
      </c>
      <c r="H22" s="29">
        <f>F22/G22</f>
        <v/>
      </c>
      <c r="I22" s="6">
        <f>'02_Inputs'!G22</f>
        <v/>
      </c>
      <c r="J22" s="29">
        <f>H22*I22</f>
        <v/>
      </c>
      <c r="K22" s="6">
        <f>'02_Inputs'!H22</f>
        <v/>
      </c>
      <c r="L22" s="29">
        <f>J22*K22</f>
        <v/>
      </c>
      <c r="M22" s="29">
        <f>J22*(1-K22)</f>
        <v/>
      </c>
      <c r="N22" s="6">
        <f>'02_GPU_Mix_Input'!D22</f>
        <v/>
      </c>
      <c r="O22" s="6">
        <f>'02_GPU_Mix_Input'!E22</f>
        <v/>
      </c>
      <c r="P22" s="6">
        <f>'02_GPU_Mix_Input'!F22</f>
        <v/>
      </c>
      <c r="Q22" s="6">
        <f>'02_GPU_Mix_Input'!G22</f>
        <v/>
      </c>
      <c r="R22" s="7">
        <f>INDEX('01_Benchmark_Input'!$K$2:$K$10,MATCH(B22,'01_Benchmark_Input'!$A$2:$A$10,0))</f>
        <v/>
      </c>
      <c r="S22" s="7">
        <f>INDEX('01_Benchmark_Input'!$P$2:$P$10,MATCH(B22,'01_Benchmark_Input'!$A$2:$A$10,0))</f>
        <v/>
      </c>
      <c r="T22" s="7">
        <f>INDEX('01_Benchmark_Input'!$U$2:$U$10,MATCH(B22,'01_Benchmark_Input'!$A$2:$A$10,0))</f>
        <v/>
      </c>
      <c r="U22" s="7">
        <f>INDEX('01_Benchmark_Input'!$Z$2:$Z$10,MATCH(B22,'01_Benchmark_Input'!$A$2:$A$10,0))</f>
        <v/>
      </c>
      <c r="V22" s="6">
        <f>INDEX('01_Benchmark_Input'!$D$2:$D$10,MATCH(B22,'01_Benchmark_Input'!$A$2:$A$10,0))</f>
        <v/>
      </c>
      <c r="W22" s="6">
        <f>INDEX('01_Benchmark_Input'!$E$2:$E$10,MATCH(B22,'01_Benchmark_Input'!$A$2:$A$10,0))</f>
        <v/>
      </c>
      <c r="X22" s="6">
        <f>INDEX('01_Benchmark_Input'!$F$2:$F$10,MATCH(B22,'01_Benchmark_Input'!$A$2:$A$10,0))</f>
        <v/>
      </c>
      <c r="Y22" s="7">
        <f>N22*R22+O22*S22+P22*T22+Q22*U22</f>
        <v/>
      </c>
      <c r="Z22" s="6">
        <f>'02_Inputs'!K22</f>
        <v/>
      </c>
      <c r="AA22" s="7">
        <f>Y22*Z22</f>
        <v/>
      </c>
      <c r="AB22" s="5">
        <f>L22*1000*AA22*86400</f>
        <v/>
      </c>
      <c r="AC22" s="5">
        <f>AB22*365</f>
        <v/>
      </c>
    </row>
    <row r="23">
      <c r="A23" s="5">
        <f>'02_Inputs'!A23</f>
        <v/>
      </c>
      <c r="B23" s="5">
        <f>'02_Inputs'!B23</f>
        <v/>
      </c>
      <c r="C23" s="5">
        <f>'02_Inputs'!C23</f>
        <v/>
      </c>
      <c r="D23" s="29">
        <f>'02_Inputs'!D23</f>
        <v/>
      </c>
      <c r="E23" s="6">
        <f>'02_Inputs'!E23</f>
        <v/>
      </c>
      <c r="F23" s="29">
        <f>D23*E23</f>
        <v/>
      </c>
      <c r="G23" s="5">
        <f>'02_Inputs'!F23</f>
        <v/>
      </c>
      <c r="H23" s="29">
        <f>F23/G23</f>
        <v/>
      </c>
      <c r="I23" s="6">
        <f>'02_Inputs'!G23</f>
        <v/>
      </c>
      <c r="J23" s="29">
        <f>H23*I23</f>
        <v/>
      </c>
      <c r="K23" s="6">
        <f>'02_Inputs'!H23</f>
        <v/>
      </c>
      <c r="L23" s="29">
        <f>J23*K23</f>
        <v/>
      </c>
      <c r="M23" s="29">
        <f>J23*(1-K23)</f>
        <v/>
      </c>
      <c r="N23" s="6">
        <f>'02_GPU_Mix_Input'!D23</f>
        <v/>
      </c>
      <c r="O23" s="6">
        <f>'02_GPU_Mix_Input'!E23</f>
        <v/>
      </c>
      <c r="P23" s="6">
        <f>'02_GPU_Mix_Input'!F23</f>
        <v/>
      </c>
      <c r="Q23" s="6">
        <f>'02_GPU_Mix_Input'!G23</f>
        <v/>
      </c>
      <c r="R23" s="7">
        <f>INDEX('01_Benchmark_Input'!$K$2:$K$10,MATCH(B23,'01_Benchmark_Input'!$A$2:$A$10,0))</f>
        <v/>
      </c>
      <c r="S23" s="7">
        <f>INDEX('01_Benchmark_Input'!$P$2:$P$10,MATCH(B23,'01_Benchmark_Input'!$A$2:$A$10,0))</f>
        <v/>
      </c>
      <c r="T23" s="7">
        <f>INDEX('01_Benchmark_Input'!$U$2:$U$10,MATCH(B23,'01_Benchmark_Input'!$A$2:$A$10,0))</f>
        <v/>
      </c>
      <c r="U23" s="7">
        <f>INDEX('01_Benchmark_Input'!$Z$2:$Z$10,MATCH(B23,'01_Benchmark_Input'!$A$2:$A$10,0))</f>
        <v/>
      </c>
      <c r="V23" s="6">
        <f>INDEX('01_Benchmark_Input'!$D$2:$D$10,MATCH(B23,'01_Benchmark_Input'!$A$2:$A$10,0))</f>
        <v/>
      </c>
      <c r="W23" s="6">
        <f>INDEX('01_Benchmark_Input'!$E$2:$E$10,MATCH(B23,'01_Benchmark_Input'!$A$2:$A$10,0))</f>
        <v/>
      </c>
      <c r="X23" s="6">
        <f>INDEX('01_Benchmark_Input'!$F$2:$F$10,MATCH(B23,'01_Benchmark_Input'!$A$2:$A$10,0))</f>
        <v/>
      </c>
      <c r="Y23" s="7">
        <f>N23*R23+O23*S23+P23*T23+Q23*U23</f>
        <v/>
      </c>
      <c r="Z23" s="6">
        <f>'02_Inputs'!K23</f>
        <v/>
      </c>
      <c r="AA23" s="7">
        <f>Y23*Z23</f>
        <v/>
      </c>
      <c r="AB23" s="5">
        <f>L23*1000*AA23*86400</f>
        <v/>
      </c>
      <c r="AC23" s="5">
        <f>AB23*365</f>
        <v/>
      </c>
    </row>
    <row r="24">
      <c r="A24" s="5">
        <f>'02_Inputs'!A24</f>
        <v/>
      </c>
      <c r="B24" s="5">
        <f>'02_Inputs'!B24</f>
        <v/>
      </c>
      <c r="C24" s="5">
        <f>'02_Inputs'!C24</f>
        <v/>
      </c>
      <c r="D24" s="29">
        <f>'02_Inputs'!D24</f>
        <v/>
      </c>
      <c r="E24" s="6">
        <f>'02_Inputs'!E24</f>
        <v/>
      </c>
      <c r="F24" s="29">
        <f>D24*E24</f>
        <v/>
      </c>
      <c r="G24" s="5">
        <f>'02_Inputs'!F24</f>
        <v/>
      </c>
      <c r="H24" s="29">
        <f>F24/G24</f>
        <v/>
      </c>
      <c r="I24" s="6">
        <f>'02_Inputs'!G24</f>
        <v/>
      </c>
      <c r="J24" s="29">
        <f>H24*I24</f>
        <v/>
      </c>
      <c r="K24" s="6">
        <f>'02_Inputs'!H24</f>
        <v/>
      </c>
      <c r="L24" s="29">
        <f>J24*K24</f>
        <v/>
      </c>
      <c r="M24" s="29">
        <f>J24*(1-K24)</f>
        <v/>
      </c>
      <c r="N24" s="6">
        <f>'02_GPU_Mix_Input'!D24</f>
        <v/>
      </c>
      <c r="O24" s="6">
        <f>'02_GPU_Mix_Input'!E24</f>
        <v/>
      </c>
      <c r="P24" s="6">
        <f>'02_GPU_Mix_Input'!F24</f>
        <v/>
      </c>
      <c r="Q24" s="6">
        <f>'02_GPU_Mix_Input'!G24</f>
        <v/>
      </c>
      <c r="R24" s="7">
        <f>INDEX('01_Benchmark_Input'!$K$2:$K$10,MATCH(B24,'01_Benchmark_Input'!$A$2:$A$10,0))</f>
        <v/>
      </c>
      <c r="S24" s="7">
        <f>INDEX('01_Benchmark_Input'!$P$2:$P$10,MATCH(B24,'01_Benchmark_Input'!$A$2:$A$10,0))</f>
        <v/>
      </c>
      <c r="T24" s="7">
        <f>INDEX('01_Benchmark_Input'!$U$2:$U$10,MATCH(B24,'01_Benchmark_Input'!$A$2:$A$10,0))</f>
        <v/>
      </c>
      <c r="U24" s="7">
        <f>INDEX('01_Benchmark_Input'!$Z$2:$Z$10,MATCH(B24,'01_Benchmark_Input'!$A$2:$A$10,0))</f>
        <v/>
      </c>
      <c r="V24" s="6">
        <f>INDEX('01_Benchmark_Input'!$D$2:$D$10,MATCH(B24,'01_Benchmark_Input'!$A$2:$A$10,0))</f>
        <v/>
      </c>
      <c r="W24" s="6">
        <f>INDEX('01_Benchmark_Input'!$E$2:$E$10,MATCH(B24,'01_Benchmark_Input'!$A$2:$A$10,0))</f>
        <v/>
      </c>
      <c r="X24" s="6">
        <f>INDEX('01_Benchmark_Input'!$F$2:$F$10,MATCH(B24,'01_Benchmark_Input'!$A$2:$A$10,0))</f>
        <v/>
      </c>
      <c r="Y24" s="7">
        <f>N24*R24+O24*S24+P24*T24+Q24*U24</f>
        <v/>
      </c>
      <c r="Z24" s="6">
        <f>'02_Inputs'!K24</f>
        <v/>
      </c>
      <c r="AA24" s="7">
        <f>Y24*Z24</f>
        <v/>
      </c>
      <c r="AB24" s="5">
        <f>L24*1000*AA24*86400</f>
        <v/>
      </c>
      <c r="AC24" s="5">
        <f>AB24*365</f>
        <v/>
      </c>
    </row>
    <row r="25">
      <c r="A25" s="5">
        <f>'02_Inputs'!A25</f>
        <v/>
      </c>
      <c r="B25" s="5">
        <f>'02_Inputs'!B25</f>
        <v/>
      </c>
      <c r="C25" s="5">
        <f>'02_Inputs'!C25</f>
        <v/>
      </c>
      <c r="D25" s="29">
        <f>'02_Inputs'!D25</f>
        <v/>
      </c>
      <c r="E25" s="6">
        <f>'02_Inputs'!E25</f>
        <v/>
      </c>
      <c r="F25" s="29">
        <f>D25*E25</f>
        <v/>
      </c>
      <c r="G25" s="5">
        <f>'02_Inputs'!F25</f>
        <v/>
      </c>
      <c r="H25" s="29">
        <f>F25/G25</f>
        <v/>
      </c>
      <c r="I25" s="6">
        <f>'02_Inputs'!G25</f>
        <v/>
      </c>
      <c r="J25" s="29">
        <f>H25*I25</f>
        <v/>
      </c>
      <c r="K25" s="6">
        <f>'02_Inputs'!H25</f>
        <v/>
      </c>
      <c r="L25" s="29">
        <f>J25*K25</f>
        <v/>
      </c>
      <c r="M25" s="29">
        <f>J25*(1-K25)</f>
        <v/>
      </c>
      <c r="N25" s="6">
        <f>'02_GPU_Mix_Input'!D25</f>
        <v/>
      </c>
      <c r="O25" s="6">
        <f>'02_GPU_Mix_Input'!E25</f>
        <v/>
      </c>
      <c r="P25" s="6">
        <f>'02_GPU_Mix_Input'!F25</f>
        <v/>
      </c>
      <c r="Q25" s="6">
        <f>'02_GPU_Mix_Input'!G25</f>
        <v/>
      </c>
      <c r="R25" s="7">
        <f>INDEX('01_Benchmark_Input'!$K$2:$K$10,MATCH(B25,'01_Benchmark_Input'!$A$2:$A$10,0))</f>
        <v/>
      </c>
      <c r="S25" s="7">
        <f>INDEX('01_Benchmark_Input'!$P$2:$P$10,MATCH(B25,'01_Benchmark_Input'!$A$2:$A$10,0))</f>
        <v/>
      </c>
      <c r="T25" s="7">
        <f>INDEX('01_Benchmark_Input'!$U$2:$U$10,MATCH(B25,'01_Benchmark_Input'!$A$2:$A$10,0))</f>
        <v/>
      </c>
      <c r="U25" s="7">
        <f>INDEX('01_Benchmark_Input'!$Z$2:$Z$10,MATCH(B25,'01_Benchmark_Input'!$A$2:$A$10,0))</f>
        <v/>
      </c>
      <c r="V25" s="6">
        <f>INDEX('01_Benchmark_Input'!$D$2:$D$10,MATCH(B25,'01_Benchmark_Input'!$A$2:$A$10,0))</f>
        <v/>
      </c>
      <c r="W25" s="6">
        <f>INDEX('01_Benchmark_Input'!$E$2:$E$10,MATCH(B25,'01_Benchmark_Input'!$A$2:$A$10,0))</f>
        <v/>
      </c>
      <c r="X25" s="6">
        <f>INDEX('01_Benchmark_Input'!$F$2:$F$10,MATCH(B25,'01_Benchmark_Input'!$A$2:$A$10,0))</f>
        <v/>
      </c>
      <c r="Y25" s="7">
        <f>N25*R25+O25*S25+P25*T25+Q25*U25</f>
        <v/>
      </c>
      <c r="Z25" s="6">
        <f>'02_Inputs'!K25</f>
        <v/>
      </c>
      <c r="AA25" s="7">
        <f>Y25*Z25</f>
        <v/>
      </c>
      <c r="AB25" s="5">
        <f>L25*1000*AA25*86400</f>
        <v/>
      </c>
      <c r="AC25" s="5">
        <f>AB25*365</f>
        <v/>
      </c>
    </row>
    <row r="26">
      <c r="A26" s="5">
        <f>'02_Inputs'!A26</f>
        <v/>
      </c>
      <c r="B26" s="5">
        <f>'02_Inputs'!B26</f>
        <v/>
      </c>
      <c r="C26" s="5">
        <f>'02_Inputs'!C26</f>
        <v/>
      </c>
      <c r="D26" s="29">
        <f>'02_Inputs'!D26</f>
        <v/>
      </c>
      <c r="E26" s="6">
        <f>'02_Inputs'!E26</f>
        <v/>
      </c>
      <c r="F26" s="29">
        <f>D26*E26</f>
        <v/>
      </c>
      <c r="G26" s="5">
        <f>'02_Inputs'!F26</f>
        <v/>
      </c>
      <c r="H26" s="29">
        <f>F26/G26</f>
        <v/>
      </c>
      <c r="I26" s="6">
        <f>'02_Inputs'!G26</f>
        <v/>
      </c>
      <c r="J26" s="29">
        <f>H26*I26</f>
        <v/>
      </c>
      <c r="K26" s="6">
        <f>'02_Inputs'!H26</f>
        <v/>
      </c>
      <c r="L26" s="29">
        <f>J26*K26</f>
        <v/>
      </c>
      <c r="M26" s="29">
        <f>J26*(1-K26)</f>
        <v/>
      </c>
      <c r="N26" s="6">
        <f>'02_GPU_Mix_Input'!D26</f>
        <v/>
      </c>
      <c r="O26" s="6">
        <f>'02_GPU_Mix_Input'!E26</f>
        <v/>
      </c>
      <c r="P26" s="6">
        <f>'02_GPU_Mix_Input'!F26</f>
        <v/>
      </c>
      <c r="Q26" s="6">
        <f>'02_GPU_Mix_Input'!G26</f>
        <v/>
      </c>
      <c r="R26" s="7">
        <f>INDEX('01_Benchmark_Input'!$K$2:$K$10,MATCH(B26,'01_Benchmark_Input'!$A$2:$A$10,0))</f>
        <v/>
      </c>
      <c r="S26" s="7">
        <f>INDEX('01_Benchmark_Input'!$P$2:$P$10,MATCH(B26,'01_Benchmark_Input'!$A$2:$A$10,0))</f>
        <v/>
      </c>
      <c r="T26" s="7">
        <f>INDEX('01_Benchmark_Input'!$U$2:$U$10,MATCH(B26,'01_Benchmark_Input'!$A$2:$A$10,0))</f>
        <v/>
      </c>
      <c r="U26" s="7">
        <f>INDEX('01_Benchmark_Input'!$Z$2:$Z$10,MATCH(B26,'01_Benchmark_Input'!$A$2:$A$10,0))</f>
        <v/>
      </c>
      <c r="V26" s="6">
        <f>INDEX('01_Benchmark_Input'!$D$2:$D$10,MATCH(B26,'01_Benchmark_Input'!$A$2:$A$10,0))</f>
        <v/>
      </c>
      <c r="W26" s="6">
        <f>INDEX('01_Benchmark_Input'!$E$2:$E$10,MATCH(B26,'01_Benchmark_Input'!$A$2:$A$10,0))</f>
        <v/>
      </c>
      <c r="X26" s="6">
        <f>INDEX('01_Benchmark_Input'!$F$2:$F$10,MATCH(B26,'01_Benchmark_Input'!$A$2:$A$10,0))</f>
        <v/>
      </c>
      <c r="Y26" s="7">
        <f>N26*R26+O26*S26+P26*T26+Q26*U26</f>
        <v/>
      </c>
      <c r="Z26" s="6">
        <f>'02_Inputs'!K26</f>
        <v/>
      </c>
      <c r="AA26" s="7">
        <f>Y26*Z26</f>
        <v/>
      </c>
      <c r="AB26" s="5">
        <f>L26*1000*AA26*86400</f>
        <v/>
      </c>
      <c r="AC26" s="5">
        <f>AB26*365</f>
        <v/>
      </c>
    </row>
    <row r="27">
      <c r="A27" s="5">
        <f>'02_Inputs'!A27</f>
        <v/>
      </c>
      <c r="B27" s="5">
        <f>'02_Inputs'!B27</f>
        <v/>
      </c>
      <c r="C27" s="5">
        <f>'02_Inputs'!C27</f>
        <v/>
      </c>
      <c r="D27" s="29">
        <f>'02_Inputs'!D27</f>
        <v/>
      </c>
      <c r="E27" s="6">
        <f>'02_Inputs'!E27</f>
        <v/>
      </c>
      <c r="F27" s="29">
        <f>D27*E27</f>
        <v/>
      </c>
      <c r="G27" s="5">
        <f>'02_Inputs'!F27</f>
        <v/>
      </c>
      <c r="H27" s="29">
        <f>F27/G27</f>
        <v/>
      </c>
      <c r="I27" s="6">
        <f>'02_Inputs'!G27</f>
        <v/>
      </c>
      <c r="J27" s="29">
        <f>H27*I27</f>
        <v/>
      </c>
      <c r="K27" s="6">
        <f>'02_Inputs'!H27</f>
        <v/>
      </c>
      <c r="L27" s="29">
        <f>J27*K27</f>
        <v/>
      </c>
      <c r="M27" s="29">
        <f>J27*(1-K27)</f>
        <v/>
      </c>
      <c r="N27" s="6">
        <f>'02_GPU_Mix_Input'!D27</f>
        <v/>
      </c>
      <c r="O27" s="6">
        <f>'02_GPU_Mix_Input'!E27</f>
        <v/>
      </c>
      <c r="P27" s="6">
        <f>'02_GPU_Mix_Input'!F27</f>
        <v/>
      </c>
      <c r="Q27" s="6">
        <f>'02_GPU_Mix_Input'!G27</f>
        <v/>
      </c>
      <c r="R27" s="7">
        <f>INDEX('01_Benchmark_Input'!$K$2:$K$10,MATCH(B27,'01_Benchmark_Input'!$A$2:$A$10,0))</f>
        <v/>
      </c>
      <c r="S27" s="7">
        <f>INDEX('01_Benchmark_Input'!$P$2:$P$10,MATCH(B27,'01_Benchmark_Input'!$A$2:$A$10,0))</f>
        <v/>
      </c>
      <c r="T27" s="7">
        <f>INDEX('01_Benchmark_Input'!$U$2:$U$10,MATCH(B27,'01_Benchmark_Input'!$A$2:$A$10,0))</f>
        <v/>
      </c>
      <c r="U27" s="7">
        <f>INDEX('01_Benchmark_Input'!$Z$2:$Z$10,MATCH(B27,'01_Benchmark_Input'!$A$2:$A$10,0))</f>
        <v/>
      </c>
      <c r="V27" s="6">
        <f>INDEX('01_Benchmark_Input'!$D$2:$D$10,MATCH(B27,'01_Benchmark_Input'!$A$2:$A$10,0))</f>
        <v/>
      </c>
      <c r="W27" s="6">
        <f>INDEX('01_Benchmark_Input'!$E$2:$E$10,MATCH(B27,'01_Benchmark_Input'!$A$2:$A$10,0))</f>
        <v/>
      </c>
      <c r="X27" s="6">
        <f>INDEX('01_Benchmark_Input'!$F$2:$F$10,MATCH(B27,'01_Benchmark_Input'!$A$2:$A$10,0))</f>
        <v/>
      </c>
      <c r="Y27" s="7">
        <f>N27*R27+O27*S27+P27*T27+Q27*U27</f>
        <v/>
      </c>
      <c r="Z27" s="6">
        <f>'02_Inputs'!K27</f>
        <v/>
      </c>
      <c r="AA27" s="7">
        <f>Y27*Z27</f>
        <v/>
      </c>
      <c r="AB27" s="5">
        <f>L27*1000*AA27*86400</f>
        <v/>
      </c>
      <c r="AC27" s="5">
        <f>AB27*365</f>
        <v/>
      </c>
    </row>
    <row r="28">
      <c r="A28" s="5">
        <f>'02_Inputs'!A28</f>
        <v/>
      </c>
      <c r="B28" s="5">
        <f>'02_Inputs'!B28</f>
        <v/>
      </c>
      <c r="C28" s="5">
        <f>'02_Inputs'!C28</f>
        <v/>
      </c>
      <c r="D28" s="29">
        <f>'02_Inputs'!D28</f>
        <v/>
      </c>
      <c r="E28" s="6">
        <f>'02_Inputs'!E28</f>
        <v/>
      </c>
      <c r="F28" s="29">
        <f>D28*E28</f>
        <v/>
      </c>
      <c r="G28" s="5">
        <f>'02_Inputs'!F28</f>
        <v/>
      </c>
      <c r="H28" s="29">
        <f>F28/G28</f>
        <v/>
      </c>
      <c r="I28" s="6">
        <f>'02_Inputs'!G28</f>
        <v/>
      </c>
      <c r="J28" s="29">
        <f>H28*I28</f>
        <v/>
      </c>
      <c r="K28" s="6">
        <f>'02_Inputs'!H28</f>
        <v/>
      </c>
      <c r="L28" s="29">
        <f>J28*K28</f>
        <v/>
      </c>
      <c r="M28" s="29">
        <f>J28*(1-K28)</f>
        <v/>
      </c>
      <c r="N28" s="6">
        <f>'02_GPU_Mix_Input'!D28</f>
        <v/>
      </c>
      <c r="O28" s="6">
        <f>'02_GPU_Mix_Input'!E28</f>
        <v/>
      </c>
      <c r="P28" s="6">
        <f>'02_GPU_Mix_Input'!F28</f>
        <v/>
      </c>
      <c r="Q28" s="6">
        <f>'02_GPU_Mix_Input'!G28</f>
        <v/>
      </c>
      <c r="R28" s="7">
        <f>INDEX('01_Benchmark_Input'!$K$2:$K$10,MATCH(B28,'01_Benchmark_Input'!$A$2:$A$10,0))</f>
        <v/>
      </c>
      <c r="S28" s="7">
        <f>INDEX('01_Benchmark_Input'!$P$2:$P$10,MATCH(B28,'01_Benchmark_Input'!$A$2:$A$10,0))</f>
        <v/>
      </c>
      <c r="T28" s="7">
        <f>INDEX('01_Benchmark_Input'!$U$2:$U$10,MATCH(B28,'01_Benchmark_Input'!$A$2:$A$10,0))</f>
        <v/>
      </c>
      <c r="U28" s="7">
        <f>INDEX('01_Benchmark_Input'!$Z$2:$Z$10,MATCH(B28,'01_Benchmark_Input'!$A$2:$A$10,0))</f>
        <v/>
      </c>
      <c r="V28" s="6">
        <f>INDEX('01_Benchmark_Input'!$D$2:$D$10,MATCH(B28,'01_Benchmark_Input'!$A$2:$A$10,0))</f>
        <v/>
      </c>
      <c r="W28" s="6">
        <f>INDEX('01_Benchmark_Input'!$E$2:$E$10,MATCH(B28,'01_Benchmark_Input'!$A$2:$A$10,0))</f>
        <v/>
      </c>
      <c r="X28" s="6">
        <f>INDEX('01_Benchmark_Input'!$F$2:$F$10,MATCH(B28,'01_Benchmark_Input'!$A$2:$A$10,0))</f>
        <v/>
      </c>
      <c r="Y28" s="7">
        <f>N28*R28+O28*S28+P28*T28+Q28*U28</f>
        <v/>
      </c>
      <c r="Z28" s="6">
        <f>'02_Inputs'!K28</f>
        <v/>
      </c>
      <c r="AA28" s="7">
        <f>Y28*Z28</f>
        <v/>
      </c>
      <c r="AB28" s="5">
        <f>L28*1000*AA28*86400</f>
        <v/>
      </c>
      <c r="AC28" s="5">
        <f>AB28*365</f>
        <v/>
      </c>
    </row>
    <row r="29">
      <c r="A29" s="5">
        <f>'02_Inputs'!A29</f>
        <v/>
      </c>
      <c r="B29" s="5">
        <f>'02_Inputs'!B29</f>
        <v/>
      </c>
      <c r="C29" s="5">
        <f>'02_Inputs'!C29</f>
        <v/>
      </c>
      <c r="D29" s="29">
        <f>'02_Inputs'!D29</f>
        <v/>
      </c>
      <c r="E29" s="6">
        <f>'02_Inputs'!E29</f>
        <v/>
      </c>
      <c r="F29" s="29">
        <f>D29*E29</f>
        <v/>
      </c>
      <c r="G29" s="5">
        <f>'02_Inputs'!F29</f>
        <v/>
      </c>
      <c r="H29" s="29">
        <f>F29/G29</f>
        <v/>
      </c>
      <c r="I29" s="6">
        <f>'02_Inputs'!G29</f>
        <v/>
      </c>
      <c r="J29" s="29">
        <f>H29*I29</f>
        <v/>
      </c>
      <c r="K29" s="6">
        <f>'02_Inputs'!H29</f>
        <v/>
      </c>
      <c r="L29" s="29">
        <f>J29*K29</f>
        <v/>
      </c>
      <c r="M29" s="29">
        <f>J29*(1-K29)</f>
        <v/>
      </c>
      <c r="N29" s="6">
        <f>'02_GPU_Mix_Input'!D29</f>
        <v/>
      </c>
      <c r="O29" s="6">
        <f>'02_GPU_Mix_Input'!E29</f>
        <v/>
      </c>
      <c r="P29" s="6">
        <f>'02_GPU_Mix_Input'!F29</f>
        <v/>
      </c>
      <c r="Q29" s="6">
        <f>'02_GPU_Mix_Input'!G29</f>
        <v/>
      </c>
      <c r="R29" s="7">
        <f>INDEX('01_Benchmark_Input'!$K$2:$K$10,MATCH(B29,'01_Benchmark_Input'!$A$2:$A$10,0))</f>
        <v/>
      </c>
      <c r="S29" s="7">
        <f>INDEX('01_Benchmark_Input'!$P$2:$P$10,MATCH(B29,'01_Benchmark_Input'!$A$2:$A$10,0))</f>
        <v/>
      </c>
      <c r="T29" s="7">
        <f>INDEX('01_Benchmark_Input'!$U$2:$U$10,MATCH(B29,'01_Benchmark_Input'!$A$2:$A$10,0))</f>
        <v/>
      </c>
      <c r="U29" s="7">
        <f>INDEX('01_Benchmark_Input'!$Z$2:$Z$10,MATCH(B29,'01_Benchmark_Input'!$A$2:$A$10,0))</f>
        <v/>
      </c>
      <c r="V29" s="6">
        <f>INDEX('01_Benchmark_Input'!$D$2:$D$10,MATCH(B29,'01_Benchmark_Input'!$A$2:$A$10,0))</f>
        <v/>
      </c>
      <c r="W29" s="6">
        <f>INDEX('01_Benchmark_Input'!$E$2:$E$10,MATCH(B29,'01_Benchmark_Input'!$A$2:$A$10,0))</f>
        <v/>
      </c>
      <c r="X29" s="6">
        <f>INDEX('01_Benchmark_Input'!$F$2:$F$10,MATCH(B29,'01_Benchmark_Input'!$A$2:$A$10,0))</f>
        <v/>
      </c>
      <c r="Y29" s="7">
        <f>N29*R29+O29*S29+P29*T29+Q29*U29</f>
        <v/>
      </c>
      <c r="Z29" s="6">
        <f>'02_Inputs'!K29</f>
        <v/>
      </c>
      <c r="AA29" s="7">
        <f>Y29*Z29</f>
        <v/>
      </c>
      <c r="AB29" s="5">
        <f>L29*1000*AA29*86400</f>
        <v/>
      </c>
      <c r="AC29" s="5">
        <f>AB29*365</f>
        <v/>
      </c>
    </row>
    <row r="30">
      <c r="A30" s="5">
        <f>'02_Inputs'!A30</f>
        <v/>
      </c>
      <c r="B30" s="5">
        <f>'02_Inputs'!B30</f>
        <v/>
      </c>
      <c r="C30" s="5">
        <f>'02_Inputs'!C30</f>
        <v/>
      </c>
      <c r="D30" s="29">
        <f>'02_Inputs'!D30</f>
        <v/>
      </c>
      <c r="E30" s="6">
        <f>'02_Inputs'!E30</f>
        <v/>
      </c>
      <c r="F30" s="29">
        <f>D30*E30</f>
        <v/>
      </c>
      <c r="G30" s="5">
        <f>'02_Inputs'!F30</f>
        <v/>
      </c>
      <c r="H30" s="29">
        <f>F30/G30</f>
        <v/>
      </c>
      <c r="I30" s="6">
        <f>'02_Inputs'!G30</f>
        <v/>
      </c>
      <c r="J30" s="29">
        <f>H30*I30</f>
        <v/>
      </c>
      <c r="K30" s="6">
        <f>'02_Inputs'!H30</f>
        <v/>
      </c>
      <c r="L30" s="29">
        <f>J30*K30</f>
        <v/>
      </c>
      <c r="M30" s="29">
        <f>J30*(1-K30)</f>
        <v/>
      </c>
      <c r="N30" s="6">
        <f>'02_GPU_Mix_Input'!D30</f>
        <v/>
      </c>
      <c r="O30" s="6">
        <f>'02_GPU_Mix_Input'!E30</f>
        <v/>
      </c>
      <c r="P30" s="6">
        <f>'02_GPU_Mix_Input'!F30</f>
        <v/>
      </c>
      <c r="Q30" s="6">
        <f>'02_GPU_Mix_Input'!G30</f>
        <v/>
      </c>
      <c r="R30" s="7">
        <f>INDEX('01_Benchmark_Input'!$K$2:$K$10,MATCH(B30,'01_Benchmark_Input'!$A$2:$A$10,0))</f>
        <v/>
      </c>
      <c r="S30" s="7">
        <f>INDEX('01_Benchmark_Input'!$P$2:$P$10,MATCH(B30,'01_Benchmark_Input'!$A$2:$A$10,0))</f>
        <v/>
      </c>
      <c r="T30" s="7">
        <f>INDEX('01_Benchmark_Input'!$U$2:$U$10,MATCH(B30,'01_Benchmark_Input'!$A$2:$A$10,0))</f>
        <v/>
      </c>
      <c r="U30" s="7">
        <f>INDEX('01_Benchmark_Input'!$Z$2:$Z$10,MATCH(B30,'01_Benchmark_Input'!$A$2:$A$10,0))</f>
        <v/>
      </c>
      <c r="V30" s="6">
        <f>INDEX('01_Benchmark_Input'!$D$2:$D$10,MATCH(B30,'01_Benchmark_Input'!$A$2:$A$10,0))</f>
        <v/>
      </c>
      <c r="W30" s="6">
        <f>INDEX('01_Benchmark_Input'!$E$2:$E$10,MATCH(B30,'01_Benchmark_Input'!$A$2:$A$10,0))</f>
        <v/>
      </c>
      <c r="X30" s="6">
        <f>INDEX('01_Benchmark_Input'!$F$2:$F$10,MATCH(B30,'01_Benchmark_Input'!$A$2:$A$10,0))</f>
        <v/>
      </c>
      <c r="Y30" s="7">
        <f>N30*R30+O30*S30+P30*T30+Q30*U30</f>
        <v/>
      </c>
      <c r="Z30" s="6">
        <f>'02_Inputs'!K30</f>
        <v/>
      </c>
      <c r="AA30" s="7">
        <f>Y30*Z30</f>
        <v/>
      </c>
      <c r="AB30" s="5">
        <f>L30*1000*AA30*86400</f>
        <v/>
      </c>
      <c r="AC30" s="5">
        <f>AB30*365</f>
        <v/>
      </c>
    </row>
    <row r="31">
      <c r="A31" s="5">
        <f>'02_Inputs'!A31</f>
        <v/>
      </c>
      <c r="B31" s="5">
        <f>'02_Inputs'!B31</f>
        <v/>
      </c>
      <c r="C31" s="5">
        <f>'02_Inputs'!C31</f>
        <v/>
      </c>
      <c r="D31" s="29">
        <f>'02_Inputs'!D31</f>
        <v/>
      </c>
      <c r="E31" s="6">
        <f>'02_Inputs'!E31</f>
        <v/>
      </c>
      <c r="F31" s="29">
        <f>D31*E31</f>
        <v/>
      </c>
      <c r="G31" s="5">
        <f>'02_Inputs'!F31</f>
        <v/>
      </c>
      <c r="H31" s="29">
        <f>F31/G31</f>
        <v/>
      </c>
      <c r="I31" s="6">
        <f>'02_Inputs'!G31</f>
        <v/>
      </c>
      <c r="J31" s="29">
        <f>H31*I31</f>
        <v/>
      </c>
      <c r="K31" s="6">
        <f>'02_Inputs'!H31</f>
        <v/>
      </c>
      <c r="L31" s="29">
        <f>J31*K31</f>
        <v/>
      </c>
      <c r="M31" s="29">
        <f>J31*(1-K31)</f>
        <v/>
      </c>
      <c r="N31" s="6">
        <f>'02_GPU_Mix_Input'!D31</f>
        <v/>
      </c>
      <c r="O31" s="6">
        <f>'02_GPU_Mix_Input'!E31</f>
        <v/>
      </c>
      <c r="P31" s="6">
        <f>'02_GPU_Mix_Input'!F31</f>
        <v/>
      </c>
      <c r="Q31" s="6">
        <f>'02_GPU_Mix_Input'!G31</f>
        <v/>
      </c>
      <c r="R31" s="7">
        <f>INDEX('01_Benchmark_Input'!$K$2:$K$10,MATCH(B31,'01_Benchmark_Input'!$A$2:$A$10,0))</f>
        <v/>
      </c>
      <c r="S31" s="7">
        <f>INDEX('01_Benchmark_Input'!$P$2:$P$10,MATCH(B31,'01_Benchmark_Input'!$A$2:$A$10,0))</f>
        <v/>
      </c>
      <c r="T31" s="7">
        <f>INDEX('01_Benchmark_Input'!$U$2:$U$10,MATCH(B31,'01_Benchmark_Input'!$A$2:$A$10,0))</f>
        <v/>
      </c>
      <c r="U31" s="7">
        <f>INDEX('01_Benchmark_Input'!$Z$2:$Z$10,MATCH(B31,'01_Benchmark_Input'!$A$2:$A$10,0))</f>
        <v/>
      </c>
      <c r="V31" s="6">
        <f>INDEX('01_Benchmark_Input'!$D$2:$D$10,MATCH(B31,'01_Benchmark_Input'!$A$2:$A$10,0))</f>
        <v/>
      </c>
      <c r="W31" s="6">
        <f>INDEX('01_Benchmark_Input'!$E$2:$E$10,MATCH(B31,'01_Benchmark_Input'!$A$2:$A$10,0))</f>
        <v/>
      </c>
      <c r="X31" s="6">
        <f>INDEX('01_Benchmark_Input'!$F$2:$F$10,MATCH(B31,'01_Benchmark_Input'!$A$2:$A$10,0))</f>
        <v/>
      </c>
      <c r="Y31" s="7">
        <f>N31*R31+O31*S31+P31*T31+Q31*U31</f>
        <v/>
      </c>
      <c r="Z31" s="6">
        <f>'02_Inputs'!K31</f>
        <v/>
      </c>
      <c r="AA31" s="7">
        <f>Y31*Z31</f>
        <v/>
      </c>
      <c r="AB31" s="5">
        <f>L31*1000*AA31*86400</f>
        <v/>
      </c>
      <c r="AC31" s="5">
        <f>AB31*365</f>
        <v/>
      </c>
    </row>
    <row r="32">
      <c r="A32" s="5">
        <f>'02_Inputs'!A32</f>
        <v/>
      </c>
      <c r="B32" s="5">
        <f>'02_Inputs'!B32</f>
        <v/>
      </c>
      <c r="C32" s="5">
        <f>'02_Inputs'!C32</f>
        <v/>
      </c>
      <c r="D32" s="29">
        <f>'02_Inputs'!D32</f>
        <v/>
      </c>
      <c r="E32" s="6">
        <f>'02_Inputs'!E32</f>
        <v/>
      </c>
      <c r="F32" s="29">
        <f>D32*E32</f>
        <v/>
      </c>
      <c r="G32" s="5">
        <f>'02_Inputs'!F32</f>
        <v/>
      </c>
      <c r="H32" s="29">
        <f>F32/G32</f>
        <v/>
      </c>
      <c r="I32" s="6">
        <f>'02_Inputs'!G32</f>
        <v/>
      </c>
      <c r="J32" s="29">
        <f>H32*I32</f>
        <v/>
      </c>
      <c r="K32" s="6">
        <f>'02_Inputs'!H32</f>
        <v/>
      </c>
      <c r="L32" s="29">
        <f>J32*K32</f>
        <v/>
      </c>
      <c r="M32" s="29">
        <f>J32*(1-K32)</f>
        <v/>
      </c>
      <c r="N32" s="6">
        <f>'02_GPU_Mix_Input'!D32</f>
        <v/>
      </c>
      <c r="O32" s="6">
        <f>'02_GPU_Mix_Input'!E32</f>
        <v/>
      </c>
      <c r="P32" s="6">
        <f>'02_GPU_Mix_Input'!F32</f>
        <v/>
      </c>
      <c r="Q32" s="6">
        <f>'02_GPU_Mix_Input'!G32</f>
        <v/>
      </c>
      <c r="R32" s="7">
        <f>INDEX('01_Benchmark_Input'!$K$2:$K$10,MATCH(B32,'01_Benchmark_Input'!$A$2:$A$10,0))</f>
        <v/>
      </c>
      <c r="S32" s="7">
        <f>INDEX('01_Benchmark_Input'!$P$2:$P$10,MATCH(B32,'01_Benchmark_Input'!$A$2:$A$10,0))</f>
        <v/>
      </c>
      <c r="T32" s="7">
        <f>INDEX('01_Benchmark_Input'!$U$2:$U$10,MATCH(B32,'01_Benchmark_Input'!$A$2:$A$10,0))</f>
        <v/>
      </c>
      <c r="U32" s="7">
        <f>INDEX('01_Benchmark_Input'!$Z$2:$Z$10,MATCH(B32,'01_Benchmark_Input'!$A$2:$A$10,0))</f>
        <v/>
      </c>
      <c r="V32" s="6">
        <f>INDEX('01_Benchmark_Input'!$D$2:$D$10,MATCH(B32,'01_Benchmark_Input'!$A$2:$A$10,0))</f>
        <v/>
      </c>
      <c r="W32" s="6">
        <f>INDEX('01_Benchmark_Input'!$E$2:$E$10,MATCH(B32,'01_Benchmark_Input'!$A$2:$A$10,0))</f>
        <v/>
      </c>
      <c r="X32" s="6">
        <f>INDEX('01_Benchmark_Input'!$F$2:$F$10,MATCH(B32,'01_Benchmark_Input'!$A$2:$A$10,0))</f>
        <v/>
      </c>
      <c r="Y32" s="7">
        <f>N32*R32+O32*S32+P32*T32+Q32*U32</f>
        <v/>
      </c>
      <c r="Z32" s="6">
        <f>'02_Inputs'!K32</f>
        <v/>
      </c>
      <c r="AA32" s="7">
        <f>Y32*Z32</f>
        <v/>
      </c>
      <c r="AB32" s="5">
        <f>L32*1000*AA32*86400</f>
        <v/>
      </c>
      <c r="AC32" s="5">
        <f>AB32*365</f>
        <v/>
      </c>
    </row>
    <row r="33">
      <c r="A33" s="5">
        <f>'02_Inputs'!A33</f>
        <v/>
      </c>
      <c r="B33" s="5">
        <f>'02_Inputs'!B33</f>
        <v/>
      </c>
      <c r="C33" s="5">
        <f>'02_Inputs'!C33</f>
        <v/>
      </c>
      <c r="D33" s="29">
        <f>'02_Inputs'!D33</f>
        <v/>
      </c>
      <c r="E33" s="6">
        <f>'02_Inputs'!E33</f>
        <v/>
      </c>
      <c r="F33" s="29">
        <f>D33*E33</f>
        <v/>
      </c>
      <c r="G33" s="5">
        <f>'02_Inputs'!F33</f>
        <v/>
      </c>
      <c r="H33" s="29">
        <f>F33/G33</f>
        <v/>
      </c>
      <c r="I33" s="6">
        <f>'02_Inputs'!G33</f>
        <v/>
      </c>
      <c r="J33" s="29">
        <f>H33*I33</f>
        <v/>
      </c>
      <c r="K33" s="6">
        <f>'02_Inputs'!H33</f>
        <v/>
      </c>
      <c r="L33" s="29">
        <f>J33*K33</f>
        <v/>
      </c>
      <c r="M33" s="29">
        <f>J33*(1-K33)</f>
        <v/>
      </c>
      <c r="N33" s="6">
        <f>'02_GPU_Mix_Input'!D33</f>
        <v/>
      </c>
      <c r="O33" s="6">
        <f>'02_GPU_Mix_Input'!E33</f>
        <v/>
      </c>
      <c r="P33" s="6">
        <f>'02_GPU_Mix_Input'!F33</f>
        <v/>
      </c>
      <c r="Q33" s="6">
        <f>'02_GPU_Mix_Input'!G33</f>
        <v/>
      </c>
      <c r="R33" s="7">
        <f>INDEX('01_Benchmark_Input'!$K$2:$K$10,MATCH(B33,'01_Benchmark_Input'!$A$2:$A$10,0))</f>
        <v/>
      </c>
      <c r="S33" s="7">
        <f>INDEX('01_Benchmark_Input'!$P$2:$P$10,MATCH(B33,'01_Benchmark_Input'!$A$2:$A$10,0))</f>
        <v/>
      </c>
      <c r="T33" s="7">
        <f>INDEX('01_Benchmark_Input'!$U$2:$U$10,MATCH(B33,'01_Benchmark_Input'!$A$2:$A$10,0))</f>
        <v/>
      </c>
      <c r="U33" s="7">
        <f>INDEX('01_Benchmark_Input'!$Z$2:$Z$10,MATCH(B33,'01_Benchmark_Input'!$A$2:$A$10,0))</f>
        <v/>
      </c>
      <c r="V33" s="6">
        <f>INDEX('01_Benchmark_Input'!$D$2:$D$10,MATCH(B33,'01_Benchmark_Input'!$A$2:$A$10,0))</f>
        <v/>
      </c>
      <c r="W33" s="6">
        <f>INDEX('01_Benchmark_Input'!$E$2:$E$10,MATCH(B33,'01_Benchmark_Input'!$A$2:$A$10,0))</f>
        <v/>
      </c>
      <c r="X33" s="6">
        <f>INDEX('01_Benchmark_Input'!$F$2:$F$10,MATCH(B33,'01_Benchmark_Input'!$A$2:$A$10,0))</f>
        <v/>
      </c>
      <c r="Y33" s="7">
        <f>N33*R33+O33*S33+P33*T33+Q33*U33</f>
        <v/>
      </c>
      <c r="Z33" s="6">
        <f>'02_Inputs'!K33</f>
        <v/>
      </c>
      <c r="AA33" s="7">
        <f>Y33*Z33</f>
        <v/>
      </c>
      <c r="AB33" s="5">
        <f>L33*1000*AA33*86400</f>
        <v/>
      </c>
      <c r="AC33" s="5">
        <f>AB33*365</f>
        <v/>
      </c>
    </row>
    <row r="34">
      <c r="A34" s="5">
        <f>'02_Inputs'!A34</f>
        <v/>
      </c>
      <c r="B34" s="5">
        <f>'02_Inputs'!B34</f>
        <v/>
      </c>
      <c r="C34" s="5">
        <f>'02_Inputs'!C34</f>
        <v/>
      </c>
      <c r="D34" s="29">
        <f>'02_Inputs'!D34</f>
        <v/>
      </c>
      <c r="E34" s="6">
        <f>'02_Inputs'!E34</f>
        <v/>
      </c>
      <c r="F34" s="29">
        <f>D34*E34</f>
        <v/>
      </c>
      <c r="G34" s="5">
        <f>'02_Inputs'!F34</f>
        <v/>
      </c>
      <c r="H34" s="29">
        <f>F34/G34</f>
        <v/>
      </c>
      <c r="I34" s="6">
        <f>'02_Inputs'!G34</f>
        <v/>
      </c>
      <c r="J34" s="29">
        <f>H34*I34</f>
        <v/>
      </c>
      <c r="K34" s="6">
        <f>'02_Inputs'!H34</f>
        <v/>
      </c>
      <c r="L34" s="29">
        <f>J34*K34</f>
        <v/>
      </c>
      <c r="M34" s="29">
        <f>J34*(1-K34)</f>
        <v/>
      </c>
      <c r="N34" s="6">
        <f>'02_GPU_Mix_Input'!D34</f>
        <v/>
      </c>
      <c r="O34" s="6">
        <f>'02_GPU_Mix_Input'!E34</f>
        <v/>
      </c>
      <c r="P34" s="6">
        <f>'02_GPU_Mix_Input'!F34</f>
        <v/>
      </c>
      <c r="Q34" s="6">
        <f>'02_GPU_Mix_Input'!G34</f>
        <v/>
      </c>
      <c r="R34" s="7">
        <f>INDEX('01_Benchmark_Input'!$K$2:$K$10,MATCH(B34,'01_Benchmark_Input'!$A$2:$A$10,0))</f>
        <v/>
      </c>
      <c r="S34" s="7">
        <f>INDEX('01_Benchmark_Input'!$P$2:$P$10,MATCH(B34,'01_Benchmark_Input'!$A$2:$A$10,0))</f>
        <v/>
      </c>
      <c r="T34" s="7">
        <f>INDEX('01_Benchmark_Input'!$U$2:$U$10,MATCH(B34,'01_Benchmark_Input'!$A$2:$A$10,0))</f>
        <v/>
      </c>
      <c r="U34" s="7">
        <f>INDEX('01_Benchmark_Input'!$Z$2:$Z$10,MATCH(B34,'01_Benchmark_Input'!$A$2:$A$10,0))</f>
        <v/>
      </c>
      <c r="V34" s="6">
        <f>INDEX('01_Benchmark_Input'!$D$2:$D$10,MATCH(B34,'01_Benchmark_Input'!$A$2:$A$10,0))</f>
        <v/>
      </c>
      <c r="W34" s="6">
        <f>INDEX('01_Benchmark_Input'!$E$2:$E$10,MATCH(B34,'01_Benchmark_Input'!$A$2:$A$10,0))</f>
        <v/>
      </c>
      <c r="X34" s="6">
        <f>INDEX('01_Benchmark_Input'!$F$2:$F$10,MATCH(B34,'01_Benchmark_Input'!$A$2:$A$10,0))</f>
        <v/>
      </c>
      <c r="Y34" s="7">
        <f>N34*R34+O34*S34+P34*T34+Q34*U34</f>
        <v/>
      </c>
      <c r="Z34" s="6">
        <f>'02_Inputs'!K34</f>
        <v/>
      </c>
      <c r="AA34" s="7">
        <f>Y34*Z34</f>
        <v/>
      </c>
      <c r="AB34" s="5">
        <f>L34*1000*AA34*86400</f>
        <v/>
      </c>
      <c r="AC34" s="5">
        <f>AB34*365</f>
        <v/>
      </c>
    </row>
    <row r="35">
      <c r="A35" s="5">
        <f>'02_Inputs'!A35</f>
        <v/>
      </c>
      <c r="B35" s="5">
        <f>'02_Inputs'!B35</f>
        <v/>
      </c>
      <c r="C35" s="5">
        <f>'02_Inputs'!C35</f>
        <v/>
      </c>
      <c r="D35" s="29">
        <f>'02_Inputs'!D35</f>
        <v/>
      </c>
      <c r="E35" s="6">
        <f>'02_Inputs'!E35</f>
        <v/>
      </c>
      <c r="F35" s="29">
        <f>D35*E35</f>
        <v/>
      </c>
      <c r="G35" s="5">
        <f>'02_Inputs'!F35</f>
        <v/>
      </c>
      <c r="H35" s="29">
        <f>F35/G35</f>
        <v/>
      </c>
      <c r="I35" s="6">
        <f>'02_Inputs'!G35</f>
        <v/>
      </c>
      <c r="J35" s="29">
        <f>H35*I35</f>
        <v/>
      </c>
      <c r="K35" s="6">
        <f>'02_Inputs'!H35</f>
        <v/>
      </c>
      <c r="L35" s="29">
        <f>J35*K35</f>
        <v/>
      </c>
      <c r="M35" s="29">
        <f>J35*(1-K35)</f>
        <v/>
      </c>
      <c r="N35" s="6">
        <f>'02_GPU_Mix_Input'!D35</f>
        <v/>
      </c>
      <c r="O35" s="6">
        <f>'02_GPU_Mix_Input'!E35</f>
        <v/>
      </c>
      <c r="P35" s="6">
        <f>'02_GPU_Mix_Input'!F35</f>
        <v/>
      </c>
      <c r="Q35" s="6">
        <f>'02_GPU_Mix_Input'!G35</f>
        <v/>
      </c>
      <c r="R35" s="7">
        <f>INDEX('01_Benchmark_Input'!$K$2:$K$10,MATCH(B35,'01_Benchmark_Input'!$A$2:$A$10,0))</f>
        <v/>
      </c>
      <c r="S35" s="7">
        <f>INDEX('01_Benchmark_Input'!$P$2:$P$10,MATCH(B35,'01_Benchmark_Input'!$A$2:$A$10,0))</f>
        <v/>
      </c>
      <c r="T35" s="7">
        <f>INDEX('01_Benchmark_Input'!$U$2:$U$10,MATCH(B35,'01_Benchmark_Input'!$A$2:$A$10,0))</f>
        <v/>
      </c>
      <c r="U35" s="7">
        <f>INDEX('01_Benchmark_Input'!$Z$2:$Z$10,MATCH(B35,'01_Benchmark_Input'!$A$2:$A$10,0))</f>
        <v/>
      </c>
      <c r="V35" s="6">
        <f>INDEX('01_Benchmark_Input'!$D$2:$D$10,MATCH(B35,'01_Benchmark_Input'!$A$2:$A$10,0))</f>
        <v/>
      </c>
      <c r="W35" s="6">
        <f>INDEX('01_Benchmark_Input'!$E$2:$E$10,MATCH(B35,'01_Benchmark_Input'!$A$2:$A$10,0))</f>
        <v/>
      </c>
      <c r="X35" s="6">
        <f>INDEX('01_Benchmark_Input'!$F$2:$F$10,MATCH(B35,'01_Benchmark_Input'!$A$2:$A$10,0))</f>
        <v/>
      </c>
      <c r="Y35" s="7">
        <f>N35*R35+O35*S35+P35*T35+Q35*U35</f>
        <v/>
      </c>
      <c r="Z35" s="6">
        <f>'02_Inputs'!K35</f>
        <v/>
      </c>
      <c r="AA35" s="7">
        <f>Y35*Z35</f>
        <v/>
      </c>
      <c r="AB35" s="5">
        <f>L35*1000*AA35*86400</f>
        <v/>
      </c>
      <c r="AC35" s="5">
        <f>AB35*365</f>
        <v/>
      </c>
    </row>
    <row r="36">
      <c r="A36" s="5">
        <f>'02_Inputs'!A36</f>
        <v/>
      </c>
      <c r="B36" s="5">
        <f>'02_Inputs'!B36</f>
        <v/>
      </c>
      <c r="C36" s="5">
        <f>'02_Inputs'!C36</f>
        <v/>
      </c>
      <c r="D36" s="29">
        <f>'02_Inputs'!D36</f>
        <v/>
      </c>
      <c r="E36" s="6">
        <f>'02_Inputs'!E36</f>
        <v/>
      </c>
      <c r="F36" s="29">
        <f>D36*E36</f>
        <v/>
      </c>
      <c r="G36" s="5">
        <f>'02_Inputs'!F36</f>
        <v/>
      </c>
      <c r="H36" s="29">
        <f>F36/G36</f>
        <v/>
      </c>
      <c r="I36" s="6">
        <f>'02_Inputs'!G36</f>
        <v/>
      </c>
      <c r="J36" s="29">
        <f>H36*I36</f>
        <v/>
      </c>
      <c r="K36" s="6">
        <f>'02_Inputs'!H36</f>
        <v/>
      </c>
      <c r="L36" s="29">
        <f>J36*K36</f>
        <v/>
      </c>
      <c r="M36" s="29">
        <f>J36*(1-K36)</f>
        <v/>
      </c>
      <c r="N36" s="6">
        <f>'02_GPU_Mix_Input'!D36</f>
        <v/>
      </c>
      <c r="O36" s="6">
        <f>'02_GPU_Mix_Input'!E36</f>
        <v/>
      </c>
      <c r="P36" s="6">
        <f>'02_GPU_Mix_Input'!F36</f>
        <v/>
      </c>
      <c r="Q36" s="6">
        <f>'02_GPU_Mix_Input'!G36</f>
        <v/>
      </c>
      <c r="R36" s="7">
        <f>INDEX('01_Benchmark_Input'!$K$2:$K$10,MATCH(B36,'01_Benchmark_Input'!$A$2:$A$10,0))</f>
        <v/>
      </c>
      <c r="S36" s="7">
        <f>INDEX('01_Benchmark_Input'!$P$2:$P$10,MATCH(B36,'01_Benchmark_Input'!$A$2:$A$10,0))</f>
        <v/>
      </c>
      <c r="T36" s="7">
        <f>INDEX('01_Benchmark_Input'!$U$2:$U$10,MATCH(B36,'01_Benchmark_Input'!$A$2:$A$10,0))</f>
        <v/>
      </c>
      <c r="U36" s="7">
        <f>INDEX('01_Benchmark_Input'!$Z$2:$Z$10,MATCH(B36,'01_Benchmark_Input'!$A$2:$A$10,0))</f>
        <v/>
      </c>
      <c r="V36" s="6">
        <f>INDEX('01_Benchmark_Input'!$D$2:$D$10,MATCH(B36,'01_Benchmark_Input'!$A$2:$A$10,0))</f>
        <v/>
      </c>
      <c r="W36" s="6">
        <f>INDEX('01_Benchmark_Input'!$E$2:$E$10,MATCH(B36,'01_Benchmark_Input'!$A$2:$A$10,0))</f>
        <v/>
      </c>
      <c r="X36" s="6">
        <f>INDEX('01_Benchmark_Input'!$F$2:$F$10,MATCH(B36,'01_Benchmark_Input'!$A$2:$A$10,0))</f>
        <v/>
      </c>
      <c r="Y36" s="7">
        <f>N36*R36+O36*S36+P36*T36+Q36*U36</f>
        <v/>
      </c>
      <c r="Z36" s="6">
        <f>'02_Inputs'!K36</f>
        <v/>
      </c>
      <c r="AA36" s="7">
        <f>Y36*Z36</f>
        <v/>
      </c>
      <c r="AB36" s="5">
        <f>L36*1000*AA36*86400</f>
        <v/>
      </c>
      <c r="AC36" s="5">
        <f>AB36*365</f>
        <v/>
      </c>
    </row>
    <row r="37">
      <c r="A37" s="5">
        <f>'02_Inputs'!A37</f>
        <v/>
      </c>
      <c r="B37" s="5">
        <f>'02_Inputs'!B37</f>
        <v/>
      </c>
      <c r="C37" s="5">
        <f>'02_Inputs'!C37</f>
        <v/>
      </c>
      <c r="D37" s="29">
        <f>'02_Inputs'!D37</f>
        <v/>
      </c>
      <c r="E37" s="6">
        <f>'02_Inputs'!E37</f>
        <v/>
      </c>
      <c r="F37" s="29">
        <f>D37*E37</f>
        <v/>
      </c>
      <c r="G37" s="5">
        <f>'02_Inputs'!F37</f>
        <v/>
      </c>
      <c r="H37" s="29">
        <f>F37/G37</f>
        <v/>
      </c>
      <c r="I37" s="6">
        <f>'02_Inputs'!G37</f>
        <v/>
      </c>
      <c r="J37" s="29">
        <f>H37*I37</f>
        <v/>
      </c>
      <c r="K37" s="6">
        <f>'02_Inputs'!H37</f>
        <v/>
      </c>
      <c r="L37" s="29">
        <f>J37*K37</f>
        <v/>
      </c>
      <c r="M37" s="29">
        <f>J37*(1-K37)</f>
        <v/>
      </c>
      <c r="N37" s="6">
        <f>'02_GPU_Mix_Input'!D37</f>
        <v/>
      </c>
      <c r="O37" s="6">
        <f>'02_GPU_Mix_Input'!E37</f>
        <v/>
      </c>
      <c r="P37" s="6">
        <f>'02_GPU_Mix_Input'!F37</f>
        <v/>
      </c>
      <c r="Q37" s="6">
        <f>'02_GPU_Mix_Input'!G37</f>
        <v/>
      </c>
      <c r="R37" s="7">
        <f>INDEX('01_Benchmark_Input'!$K$2:$K$10,MATCH(B37,'01_Benchmark_Input'!$A$2:$A$10,0))</f>
        <v/>
      </c>
      <c r="S37" s="7">
        <f>INDEX('01_Benchmark_Input'!$P$2:$P$10,MATCH(B37,'01_Benchmark_Input'!$A$2:$A$10,0))</f>
        <v/>
      </c>
      <c r="T37" s="7">
        <f>INDEX('01_Benchmark_Input'!$U$2:$U$10,MATCH(B37,'01_Benchmark_Input'!$A$2:$A$10,0))</f>
        <v/>
      </c>
      <c r="U37" s="7">
        <f>INDEX('01_Benchmark_Input'!$Z$2:$Z$10,MATCH(B37,'01_Benchmark_Input'!$A$2:$A$10,0))</f>
        <v/>
      </c>
      <c r="V37" s="6">
        <f>INDEX('01_Benchmark_Input'!$D$2:$D$10,MATCH(B37,'01_Benchmark_Input'!$A$2:$A$10,0))</f>
        <v/>
      </c>
      <c r="W37" s="6">
        <f>INDEX('01_Benchmark_Input'!$E$2:$E$10,MATCH(B37,'01_Benchmark_Input'!$A$2:$A$10,0))</f>
        <v/>
      </c>
      <c r="X37" s="6">
        <f>INDEX('01_Benchmark_Input'!$F$2:$F$10,MATCH(B37,'01_Benchmark_Input'!$A$2:$A$10,0))</f>
        <v/>
      </c>
      <c r="Y37" s="7">
        <f>N37*R37+O37*S37+P37*T37+Q37*U37</f>
        <v/>
      </c>
      <c r="Z37" s="6">
        <f>'02_Inputs'!K37</f>
        <v/>
      </c>
      <c r="AA37" s="7">
        <f>Y37*Z37</f>
        <v/>
      </c>
      <c r="AB37" s="5">
        <f>L37*1000*AA37*86400</f>
        <v/>
      </c>
      <c r="AC37" s="5">
        <f>AB37*365</f>
        <v/>
      </c>
    </row>
    <row r="38">
      <c r="A38" s="5">
        <f>'02_Inputs'!A38</f>
        <v/>
      </c>
      <c r="B38" s="5">
        <f>'02_Inputs'!B38</f>
        <v/>
      </c>
      <c r="C38" s="5">
        <f>'02_Inputs'!C38</f>
        <v/>
      </c>
      <c r="D38" s="29">
        <f>'02_Inputs'!D38</f>
        <v/>
      </c>
      <c r="E38" s="6">
        <f>'02_Inputs'!E38</f>
        <v/>
      </c>
      <c r="F38" s="29">
        <f>D38*E38</f>
        <v/>
      </c>
      <c r="G38" s="5">
        <f>'02_Inputs'!F38</f>
        <v/>
      </c>
      <c r="H38" s="29">
        <f>F38/G38</f>
        <v/>
      </c>
      <c r="I38" s="6">
        <f>'02_Inputs'!G38</f>
        <v/>
      </c>
      <c r="J38" s="29">
        <f>H38*I38</f>
        <v/>
      </c>
      <c r="K38" s="6">
        <f>'02_Inputs'!H38</f>
        <v/>
      </c>
      <c r="L38" s="29">
        <f>J38*K38</f>
        <v/>
      </c>
      <c r="M38" s="29">
        <f>J38*(1-K38)</f>
        <v/>
      </c>
      <c r="N38" s="6">
        <f>'02_GPU_Mix_Input'!D38</f>
        <v/>
      </c>
      <c r="O38" s="6">
        <f>'02_GPU_Mix_Input'!E38</f>
        <v/>
      </c>
      <c r="P38" s="6">
        <f>'02_GPU_Mix_Input'!F38</f>
        <v/>
      </c>
      <c r="Q38" s="6">
        <f>'02_GPU_Mix_Input'!G38</f>
        <v/>
      </c>
      <c r="R38" s="7">
        <f>INDEX('01_Benchmark_Input'!$K$2:$K$10,MATCH(B38,'01_Benchmark_Input'!$A$2:$A$10,0))</f>
        <v/>
      </c>
      <c r="S38" s="7">
        <f>INDEX('01_Benchmark_Input'!$P$2:$P$10,MATCH(B38,'01_Benchmark_Input'!$A$2:$A$10,0))</f>
        <v/>
      </c>
      <c r="T38" s="7">
        <f>INDEX('01_Benchmark_Input'!$U$2:$U$10,MATCH(B38,'01_Benchmark_Input'!$A$2:$A$10,0))</f>
        <v/>
      </c>
      <c r="U38" s="7">
        <f>INDEX('01_Benchmark_Input'!$Z$2:$Z$10,MATCH(B38,'01_Benchmark_Input'!$A$2:$A$10,0))</f>
        <v/>
      </c>
      <c r="V38" s="6">
        <f>INDEX('01_Benchmark_Input'!$D$2:$D$10,MATCH(B38,'01_Benchmark_Input'!$A$2:$A$10,0))</f>
        <v/>
      </c>
      <c r="W38" s="6">
        <f>INDEX('01_Benchmark_Input'!$E$2:$E$10,MATCH(B38,'01_Benchmark_Input'!$A$2:$A$10,0))</f>
        <v/>
      </c>
      <c r="X38" s="6">
        <f>INDEX('01_Benchmark_Input'!$F$2:$F$10,MATCH(B38,'01_Benchmark_Input'!$A$2:$A$10,0))</f>
        <v/>
      </c>
      <c r="Y38" s="7">
        <f>N38*R38+O38*S38+P38*T38+Q38*U38</f>
        <v/>
      </c>
      <c r="Z38" s="6">
        <f>'02_Inputs'!K38</f>
        <v/>
      </c>
      <c r="AA38" s="7">
        <f>Y38*Z38</f>
        <v/>
      </c>
      <c r="AB38" s="5">
        <f>L38*1000*AA38*86400</f>
        <v/>
      </c>
      <c r="AC38" s="5">
        <f>AB38*365</f>
        <v/>
      </c>
    </row>
    <row r="39">
      <c r="A39" s="5">
        <f>'02_Inputs'!A39</f>
        <v/>
      </c>
      <c r="B39" s="5">
        <f>'02_Inputs'!B39</f>
        <v/>
      </c>
      <c r="C39" s="5">
        <f>'02_Inputs'!C39</f>
        <v/>
      </c>
      <c r="D39" s="29">
        <f>'02_Inputs'!D39</f>
        <v/>
      </c>
      <c r="E39" s="6">
        <f>'02_Inputs'!E39</f>
        <v/>
      </c>
      <c r="F39" s="29">
        <f>D39*E39</f>
        <v/>
      </c>
      <c r="G39" s="5">
        <f>'02_Inputs'!F39</f>
        <v/>
      </c>
      <c r="H39" s="29">
        <f>F39/G39</f>
        <v/>
      </c>
      <c r="I39" s="6">
        <f>'02_Inputs'!G39</f>
        <v/>
      </c>
      <c r="J39" s="29">
        <f>H39*I39</f>
        <v/>
      </c>
      <c r="K39" s="6">
        <f>'02_Inputs'!H39</f>
        <v/>
      </c>
      <c r="L39" s="29">
        <f>J39*K39</f>
        <v/>
      </c>
      <c r="M39" s="29">
        <f>J39*(1-K39)</f>
        <v/>
      </c>
      <c r="N39" s="6">
        <f>'02_GPU_Mix_Input'!D39</f>
        <v/>
      </c>
      <c r="O39" s="6">
        <f>'02_GPU_Mix_Input'!E39</f>
        <v/>
      </c>
      <c r="P39" s="6">
        <f>'02_GPU_Mix_Input'!F39</f>
        <v/>
      </c>
      <c r="Q39" s="6">
        <f>'02_GPU_Mix_Input'!G39</f>
        <v/>
      </c>
      <c r="R39" s="7">
        <f>INDEX('01_Benchmark_Input'!$K$2:$K$10,MATCH(B39,'01_Benchmark_Input'!$A$2:$A$10,0))</f>
        <v/>
      </c>
      <c r="S39" s="7">
        <f>INDEX('01_Benchmark_Input'!$P$2:$P$10,MATCH(B39,'01_Benchmark_Input'!$A$2:$A$10,0))</f>
        <v/>
      </c>
      <c r="T39" s="7">
        <f>INDEX('01_Benchmark_Input'!$U$2:$U$10,MATCH(B39,'01_Benchmark_Input'!$A$2:$A$10,0))</f>
        <v/>
      </c>
      <c r="U39" s="7">
        <f>INDEX('01_Benchmark_Input'!$Z$2:$Z$10,MATCH(B39,'01_Benchmark_Input'!$A$2:$A$10,0))</f>
        <v/>
      </c>
      <c r="V39" s="6">
        <f>INDEX('01_Benchmark_Input'!$D$2:$D$10,MATCH(B39,'01_Benchmark_Input'!$A$2:$A$10,0))</f>
        <v/>
      </c>
      <c r="W39" s="6">
        <f>INDEX('01_Benchmark_Input'!$E$2:$E$10,MATCH(B39,'01_Benchmark_Input'!$A$2:$A$10,0))</f>
        <v/>
      </c>
      <c r="X39" s="6">
        <f>INDEX('01_Benchmark_Input'!$F$2:$F$10,MATCH(B39,'01_Benchmark_Input'!$A$2:$A$10,0))</f>
        <v/>
      </c>
      <c r="Y39" s="7">
        <f>N39*R39+O39*S39+P39*T39+Q39*U39</f>
        <v/>
      </c>
      <c r="Z39" s="6">
        <f>'02_Inputs'!K39</f>
        <v/>
      </c>
      <c r="AA39" s="7">
        <f>Y39*Z39</f>
        <v/>
      </c>
      <c r="AB39" s="5">
        <f>L39*1000*AA39*86400</f>
        <v/>
      </c>
      <c r="AC39" s="5">
        <f>AB39*365</f>
        <v/>
      </c>
    </row>
    <row r="40">
      <c r="A40" s="5">
        <f>'02_Inputs'!A40</f>
        <v/>
      </c>
      <c r="B40" s="5">
        <f>'02_Inputs'!B40</f>
        <v/>
      </c>
      <c r="C40" s="5">
        <f>'02_Inputs'!C40</f>
        <v/>
      </c>
      <c r="D40" s="29">
        <f>'02_Inputs'!D40</f>
        <v/>
      </c>
      <c r="E40" s="6">
        <f>'02_Inputs'!E40</f>
        <v/>
      </c>
      <c r="F40" s="29">
        <f>D40*E40</f>
        <v/>
      </c>
      <c r="G40" s="5">
        <f>'02_Inputs'!F40</f>
        <v/>
      </c>
      <c r="H40" s="29">
        <f>F40/G40</f>
        <v/>
      </c>
      <c r="I40" s="6">
        <f>'02_Inputs'!G40</f>
        <v/>
      </c>
      <c r="J40" s="29">
        <f>H40*I40</f>
        <v/>
      </c>
      <c r="K40" s="6">
        <f>'02_Inputs'!H40</f>
        <v/>
      </c>
      <c r="L40" s="29">
        <f>J40*K40</f>
        <v/>
      </c>
      <c r="M40" s="29">
        <f>J40*(1-K40)</f>
        <v/>
      </c>
      <c r="N40" s="6">
        <f>'02_GPU_Mix_Input'!D40</f>
        <v/>
      </c>
      <c r="O40" s="6">
        <f>'02_GPU_Mix_Input'!E40</f>
        <v/>
      </c>
      <c r="P40" s="6">
        <f>'02_GPU_Mix_Input'!F40</f>
        <v/>
      </c>
      <c r="Q40" s="6">
        <f>'02_GPU_Mix_Input'!G40</f>
        <v/>
      </c>
      <c r="R40" s="7">
        <f>INDEX('01_Benchmark_Input'!$K$2:$K$10,MATCH(B40,'01_Benchmark_Input'!$A$2:$A$10,0))</f>
        <v/>
      </c>
      <c r="S40" s="7">
        <f>INDEX('01_Benchmark_Input'!$P$2:$P$10,MATCH(B40,'01_Benchmark_Input'!$A$2:$A$10,0))</f>
        <v/>
      </c>
      <c r="T40" s="7">
        <f>INDEX('01_Benchmark_Input'!$U$2:$U$10,MATCH(B40,'01_Benchmark_Input'!$A$2:$A$10,0))</f>
        <v/>
      </c>
      <c r="U40" s="7">
        <f>INDEX('01_Benchmark_Input'!$Z$2:$Z$10,MATCH(B40,'01_Benchmark_Input'!$A$2:$A$10,0))</f>
        <v/>
      </c>
      <c r="V40" s="6">
        <f>INDEX('01_Benchmark_Input'!$D$2:$D$10,MATCH(B40,'01_Benchmark_Input'!$A$2:$A$10,0))</f>
        <v/>
      </c>
      <c r="W40" s="6">
        <f>INDEX('01_Benchmark_Input'!$E$2:$E$10,MATCH(B40,'01_Benchmark_Input'!$A$2:$A$10,0))</f>
        <v/>
      </c>
      <c r="X40" s="6">
        <f>INDEX('01_Benchmark_Input'!$F$2:$F$10,MATCH(B40,'01_Benchmark_Input'!$A$2:$A$10,0))</f>
        <v/>
      </c>
      <c r="Y40" s="7">
        <f>N40*R40+O40*S40+P40*T40+Q40*U40</f>
        <v/>
      </c>
      <c r="Z40" s="6">
        <f>'02_Inputs'!K40</f>
        <v/>
      </c>
      <c r="AA40" s="7">
        <f>Y40*Z40</f>
        <v/>
      </c>
      <c r="AB40" s="5">
        <f>L40*1000*AA40*86400</f>
        <v/>
      </c>
      <c r="AC40" s="5">
        <f>AB40*365</f>
        <v/>
      </c>
    </row>
    <row r="41">
      <c r="A41" s="5">
        <f>'02_Inputs'!A41</f>
        <v/>
      </c>
      <c r="B41" s="5">
        <f>'02_Inputs'!B41</f>
        <v/>
      </c>
      <c r="C41" s="5">
        <f>'02_Inputs'!C41</f>
        <v/>
      </c>
      <c r="D41" s="29">
        <f>'02_Inputs'!D41</f>
        <v/>
      </c>
      <c r="E41" s="6">
        <f>'02_Inputs'!E41</f>
        <v/>
      </c>
      <c r="F41" s="29">
        <f>D41*E41</f>
        <v/>
      </c>
      <c r="G41" s="5">
        <f>'02_Inputs'!F41</f>
        <v/>
      </c>
      <c r="H41" s="29">
        <f>F41/G41</f>
        <v/>
      </c>
      <c r="I41" s="6">
        <f>'02_Inputs'!G41</f>
        <v/>
      </c>
      <c r="J41" s="29">
        <f>H41*I41</f>
        <v/>
      </c>
      <c r="K41" s="6">
        <f>'02_Inputs'!H41</f>
        <v/>
      </c>
      <c r="L41" s="29">
        <f>J41*K41</f>
        <v/>
      </c>
      <c r="M41" s="29">
        <f>J41*(1-K41)</f>
        <v/>
      </c>
      <c r="N41" s="6">
        <f>'02_GPU_Mix_Input'!D41</f>
        <v/>
      </c>
      <c r="O41" s="6">
        <f>'02_GPU_Mix_Input'!E41</f>
        <v/>
      </c>
      <c r="P41" s="6">
        <f>'02_GPU_Mix_Input'!F41</f>
        <v/>
      </c>
      <c r="Q41" s="6">
        <f>'02_GPU_Mix_Input'!G41</f>
        <v/>
      </c>
      <c r="R41" s="7">
        <f>INDEX('01_Benchmark_Input'!$K$2:$K$10,MATCH(B41,'01_Benchmark_Input'!$A$2:$A$10,0))</f>
        <v/>
      </c>
      <c r="S41" s="7">
        <f>INDEX('01_Benchmark_Input'!$P$2:$P$10,MATCH(B41,'01_Benchmark_Input'!$A$2:$A$10,0))</f>
        <v/>
      </c>
      <c r="T41" s="7">
        <f>INDEX('01_Benchmark_Input'!$U$2:$U$10,MATCH(B41,'01_Benchmark_Input'!$A$2:$A$10,0))</f>
        <v/>
      </c>
      <c r="U41" s="7">
        <f>INDEX('01_Benchmark_Input'!$Z$2:$Z$10,MATCH(B41,'01_Benchmark_Input'!$A$2:$A$10,0))</f>
        <v/>
      </c>
      <c r="V41" s="6">
        <f>INDEX('01_Benchmark_Input'!$D$2:$D$10,MATCH(B41,'01_Benchmark_Input'!$A$2:$A$10,0))</f>
        <v/>
      </c>
      <c r="W41" s="6">
        <f>INDEX('01_Benchmark_Input'!$E$2:$E$10,MATCH(B41,'01_Benchmark_Input'!$A$2:$A$10,0))</f>
        <v/>
      </c>
      <c r="X41" s="6">
        <f>INDEX('01_Benchmark_Input'!$F$2:$F$10,MATCH(B41,'01_Benchmark_Input'!$A$2:$A$10,0))</f>
        <v/>
      </c>
      <c r="Y41" s="7">
        <f>N41*R41+O41*S41+P41*T41+Q41*U41</f>
        <v/>
      </c>
      <c r="Z41" s="6">
        <f>'02_Inputs'!K41</f>
        <v/>
      </c>
      <c r="AA41" s="7">
        <f>Y41*Z41</f>
        <v/>
      </c>
      <c r="AB41" s="5">
        <f>L41*1000*AA41*86400</f>
        <v/>
      </c>
      <c r="AC41" s="5">
        <f>AB41*365</f>
        <v/>
      </c>
    </row>
    <row r="42">
      <c r="A42" s="5">
        <f>'02_Inputs'!A42</f>
        <v/>
      </c>
      <c r="B42" s="5">
        <f>'02_Inputs'!B42</f>
        <v/>
      </c>
      <c r="C42" s="5">
        <f>'02_Inputs'!C42</f>
        <v/>
      </c>
      <c r="D42" s="29">
        <f>'02_Inputs'!D42</f>
        <v/>
      </c>
      <c r="E42" s="6">
        <f>'02_Inputs'!E42</f>
        <v/>
      </c>
      <c r="F42" s="29">
        <f>D42*E42</f>
        <v/>
      </c>
      <c r="G42" s="5">
        <f>'02_Inputs'!F42</f>
        <v/>
      </c>
      <c r="H42" s="29">
        <f>F42/G42</f>
        <v/>
      </c>
      <c r="I42" s="6">
        <f>'02_Inputs'!G42</f>
        <v/>
      </c>
      <c r="J42" s="29">
        <f>H42*I42</f>
        <v/>
      </c>
      <c r="K42" s="6">
        <f>'02_Inputs'!H42</f>
        <v/>
      </c>
      <c r="L42" s="29">
        <f>J42*K42</f>
        <v/>
      </c>
      <c r="M42" s="29">
        <f>J42*(1-K42)</f>
        <v/>
      </c>
      <c r="N42" s="6">
        <f>'02_GPU_Mix_Input'!D42</f>
        <v/>
      </c>
      <c r="O42" s="6">
        <f>'02_GPU_Mix_Input'!E42</f>
        <v/>
      </c>
      <c r="P42" s="6">
        <f>'02_GPU_Mix_Input'!F42</f>
        <v/>
      </c>
      <c r="Q42" s="6">
        <f>'02_GPU_Mix_Input'!G42</f>
        <v/>
      </c>
      <c r="R42" s="7">
        <f>INDEX('01_Benchmark_Input'!$K$2:$K$10,MATCH(B42,'01_Benchmark_Input'!$A$2:$A$10,0))</f>
        <v/>
      </c>
      <c r="S42" s="7">
        <f>INDEX('01_Benchmark_Input'!$P$2:$P$10,MATCH(B42,'01_Benchmark_Input'!$A$2:$A$10,0))</f>
        <v/>
      </c>
      <c r="T42" s="7">
        <f>INDEX('01_Benchmark_Input'!$U$2:$U$10,MATCH(B42,'01_Benchmark_Input'!$A$2:$A$10,0))</f>
        <v/>
      </c>
      <c r="U42" s="7">
        <f>INDEX('01_Benchmark_Input'!$Z$2:$Z$10,MATCH(B42,'01_Benchmark_Input'!$A$2:$A$10,0))</f>
        <v/>
      </c>
      <c r="V42" s="6">
        <f>INDEX('01_Benchmark_Input'!$D$2:$D$10,MATCH(B42,'01_Benchmark_Input'!$A$2:$A$10,0))</f>
        <v/>
      </c>
      <c r="W42" s="6">
        <f>INDEX('01_Benchmark_Input'!$E$2:$E$10,MATCH(B42,'01_Benchmark_Input'!$A$2:$A$10,0))</f>
        <v/>
      </c>
      <c r="X42" s="6">
        <f>INDEX('01_Benchmark_Input'!$F$2:$F$10,MATCH(B42,'01_Benchmark_Input'!$A$2:$A$10,0))</f>
        <v/>
      </c>
      <c r="Y42" s="7">
        <f>N42*R42+O42*S42+P42*T42+Q42*U42</f>
        <v/>
      </c>
      <c r="Z42" s="6">
        <f>'02_Inputs'!K42</f>
        <v/>
      </c>
      <c r="AA42" s="7">
        <f>Y42*Z42</f>
        <v/>
      </c>
      <c r="AB42" s="5">
        <f>L42*1000*AA42*86400</f>
        <v/>
      </c>
      <c r="AC42" s="5">
        <f>AB42*365</f>
        <v/>
      </c>
    </row>
    <row r="43">
      <c r="A43" s="5">
        <f>'02_Inputs'!A43</f>
        <v/>
      </c>
      <c r="B43" s="5">
        <f>'02_Inputs'!B43</f>
        <v/>
      </c>
      <c r="C43" s="5">
        <f>'02_Inputs'!C43</f>
        <v/>
      </c>
      <c r="D43" s="29">
        <f>'02_Inputs'!D43</f>
        <v/>
      </c>
      <c r="E43" s="6">
        <f>'02_Inputs'!E43</f>
        <v/>
      </c>
      <c r="F43" s="29">
        <f>D43*E43</f>
        <v/>
      </c>
      <c r="G43" s="5">
        <f>'02_Inputs'!F43</f>
        <v/>
      </c>
      <c r="H43" s="29">
        <f>F43/G43</f>
        <v/>
      </c>
      <c r="I43" s="6">
        <f>'02_Inputs'!G43</f>
        <v/>
      </c>
      <c r="J43" s="29">
        <f>H43*I43</f>
        <v/>
      </c>
      <c r="K43" s="6">
        <f>'02_Inputs'!H43</f>
        <v/>
      </c>
      <c r="L43" s="29">
        <f>J43*K43</f>
        <v/>
      </c>
      <c r="M43" s="29">
        <f>J43*(1-K43)</f>
        <v/>
      </c>
      <c r="N43" s="6">
        <f>'02_GPU_Mix_Input'!D43</f>
        <v/>
      </c>
      <c r="O43" s="6">
        <f>'02_GPU_Mix_Input'!E43</f>
        <v/>
      </c>
      <c r="P43" s="6">
        <f>'02_GPU_Mix_Input'!F43</f>
        <v/>
      </c>
      <c r="Q43" s="6">
        <f>'02_GPU_Mix_Input'!G43</f>
        <v/>
      </c>
      <c r="R43" s="7">
        <f>INDEX('01_Benchmark_Input'!$K$2:$K$10,MATCH(B43,'01_Benchmark_Input'!$A$2:$A$10,0))</f>
        <v/>
      </c>
      <c r="S43" s="7">
        <f>INDEX('01_Benchmark_Input'!$P$2:$P$10,MATCH(B43,'01_Benchmark_Input'!$A$2:$A$10,0))</f>
        <v/>
      </c>
      <c r="T43" s="7">
        <f>INDEX('01_Benchmark_Input'!$U$2:$U$10,MATCH(B43,'01_Benchmark_Input'!$A$2:$A$10,0))</f>
        <v/>
      </c>
      <c r="U43" s="7">
        <f>INDEX('01_Benchmark_Input'!$Z$2:$Z$10,MATCH(B43,'01_Benchmark_Input'!$A$2:$A$10,0))</f>
        <v/>
      </c>
      <c r="V43" s="6">
        <f>INDEX('01_Benchmark_Input'!$D$2:$D$10,MATCH(B43,'01_Benchmark_Input'!$A$2:$A$10,0))</f>
        <v/>
      </c>
      <c r="W43" s="6">
        <f>INDEX('01_Benchmark_Input'!$E$2:$E$10,MATCH(B43,'01_Benchmark_Input'!$A$2:$A$10,0))</f>
        <v/>
      </c>
      <c r="X43" s="6">
        <f>INDEX('01_Benchmark_Input'!$F$2:$F$10,MATCH(B43,'01_Benchmark_Input'!$A$2:$A$10,0))</f>
        <v/>
      </c>
      <c r="Y43" s="7">
        <f>N43*R43+O43*S43+P43*T43+Q43*U43</f>
        <v/>
      </c>
      <c r="Z43" s="6">
        <f>'02_Inputs'!K43</f>
        <v/>
      </c>
      <c r="AA43" s="7">
        <f>Y43*Z43</f>
        <v/>
      </c>
      <c r="AB43" s="5">
        <f>L43*1000*AA43*86400</f>
        <v/>
      </c>
      <c r="AC43" s="5">
        <f>AB43*365</f>
        <v/>
      </c>
    </row>
    <row r="44">
      <c r="A44" s="5">
        <f>'02_Inputs'!A44</f>
        <v/>
      </c>
      <c r="B44" s="5">
        <f>'02_Inputs'!B44</f>
        <v/>
      </c>
      <c r="C44" s="5">
        <f>'02_Inputs'!C44</f>
        <v/>
      </c>
      <c r="D44" s="29">
        <f>'02_Inputs'!D44</f>
        <v/>
      </c>
      <c r="E44" s="6">
        <f>'02_Inputs'!E44</f>
        <v/>
      </c>
      <c r="F44" s="29">
        <f>D44*E44</f>
        <v/>
      </c>
      <c r="G44" s="5">
        <f>'02_Inputs'!F44</f>
        <v/>
      </c>
      <c r="H44" s="29">
        <f>F44/G44</f>
        <v/>
      </c>
      <c r="I44" s="6">
        <f>'02_Inputs'!G44</f>
        <v/>
      </c>
      <c r="J44" s="29">
        <f>H44*I44</f>
        <v/>
      </c>
      <c r="K44" s="6">
        <f>'02_Inputs'!H44</f>
        <v/>
      </c>
      <c r="L44" s="29">
        <f>J44*K44</f>
        <v/>
      </c>
      <c r="M44" s="29">
        <f>J44*(1-K44)</f>
        <v/>
      </c>
      <c r="N44" s="6">
        <f>'02_GPU_Mix_Input'!D44</f>
        <v/>
      </c>
      <c r="O44" s="6">
        <f>'02_GPU_Mix_Input'!E44</f>
        <v/>
      </c>
      <c r="P44" s="6">
        <f>'02_GPU_Mix_Input'!F44</f>
        <v/>
      </c>
      <c r="Q44" s="6">
        <f>'02_GPU_Mix_Input'!G44</f>
        <v/>
      </c>
      <c r="R44" s="7">
        <f>INDEX('01_Benchmark_Input'!$K$2:$K$10,MATCH(B44,'01_Benchmark_Input'!$A$2:$A$10,0))</f>
        <v/>
      </c>
      <c r="S44" s="7">
        <f>INDEX('01_Benchmark_Input'!$P$2:$P$10,MATCH(B44,'01_Benchmark_Input'!$A$2:$A$10,0))</f>
        <v/>
      </c>
      <c r="T44" s="7">
        <f>INDEX('01_Benchmark_Input'!$U$2:$U$10,MATCH(B44,'01_Benchmark_Input'!$A$2:$A$10,0))</f>
        <v/>
      </c>
      <c r="U44" s="7">
        <f>INDEX('01_Benchmark_Input'!$Z$2:$Z$10,MATCH(B44,'01_Benchmark_Input'!$A$2:$A$10,0))</f>
        <v/>
      </c>
      <c r="V44" s="6">
        <f>INDEX('01_Benchmark_Input'!$D$2:$D$10,MATCH(B44,'01_Benchmark_Input'!$A$2:$A$10,0))</f>
        <v/>
      </c>
      <c r="W44" s="6">
        <f>INDEX('01_Benchmark_Input'!$E$2:$E$10,MATCH(B44,'01_Benchmark_Input'!$A$2:$A$10,0))</f>
        <v/>
      </c>
      <c r="X44" s="6">
        <f>INDEX('01_Benchmark_Input'!$F$2:$F$10,MATCH(B44,'01_Benchmark_Input'!$A$2:$A$10,0))</f>
        <v/>
      </c>
      <c r="Y44" s="7">
        <f>N44*R44+O44*S44+P44*T44+Q44*U44</f>
        <v/>
      </c>
      <c r="Z44" s="6">
        <f>'02_Inputs'!K44</f>
        <v/>
      </c>
      <c r="AA44" s="7">
        <f>Y44*Z44</f>
        <v/>
      </c>
      <c r="AB44" s="5">
        <f>L44*1000*AA44*86400</f>
        <v/>
      </c>
      <c r="AC44" s="5">
        <f>AB44*365</f>
        <v/>
      </c>
    </row>
    <row r="45">
      <c r="A45" s="5">
        <f>'02_Inputs'!A45</f>
        <v/>
      </c>
      <c r="B45" s="5">
        <f>'02_Inputs'!B45</f>
        <v/>
      </c>
      <c r="C45" s="5">
        <f>'02_Inputs'!C45</f>
        <v/>
      </c>
      <c r="D45" s="29">
        <f>'02_Inputs'!D45</f>
        <v/>
      </c>
      <c r="E45" s="6">
        <f>'02_Inputs'!E45</f>
        <v/>
      </c>
      <c r="F45" s="29">
        <f>D45*E45</f>
        <v/>
      </c>
      <c r="G45" s="5">
        <f>'02_Inputs'!F45</f>
        <v/>
      </c>
      <c r="H45" s="29">
        <f>F45/G45</f>
        <v/>
      </c>
      <c r="I45" s="6">
        <f>'02_Inputs'!G45</f>
        <v/>
      </c>
      <c r="J45" s="29">
        <f>H45*I45</f>
        <v/>
      </c>
      <c r="K45" s="6">
        <f>'02_Inputs'!H45</f>
        <v/>
      </c>
      <c r="L45" s="29">
        <f>J45*K45</f>
        <v/>
      </c>
      <c r="M45" s="29">
        <f>J45*(1-K45)</f>
        <v/>
      </c>
      <c r="N45" s="6">
        <f>'02_GPU_Mix_Input'!D45</f>
        <v/>
      </c>
      <c r="O45" s="6">
        <f>'02_GPU_Mix_Input'!E45</f>
        <v/>
      </c>
      <c r="P45" s="6">
        <f>'02_GPU_Mix_Input'!F45</f>
        <v/>
      </c>
      <c r="Q45" s="6">
        <f>'02_GPU_Mix_Input'!G45</f>
        <v/>
      </c>
      <c r="R45" s="7">
        <f>INDEX('01_Benchmark_Input'!$K$2:$K$10,MATCH(B45,'01_Benchmark_Input'!$A$2:$A$10,0))</f>
        <v/>
      </c>
      <c r="S45" s="7">
        <f>INDEX('01_Benchmark_Input'!$P$2:$P$10,MATCH(B45,'01_Benchmark_Input'!$A$2:$A$10,0))</f>
        <v/>
      </c>
      <c r="T45" s="7">
        <f>INDEX('01_Benchmark_Input'!$U$2:$U$10,MATCH(B45,'01_Benchmark_Input'!$A$2:$A$10,0))</f>
        <v/>
      </c>
      <c r="U45" s="7">
        <f>INDEX('01_Benchmark_Input'!$Z$2:$Z$10,MATCH(B45,'01_Benchmark_Input'!$A$2:$A$10,0))</f>
        <v/>
      </c>
      <c r="V45" s="6">
        <f>INDEX('01_Benchmark_Input'!$D$2:$D$10,MATCH(B45,'01_Benchmark_Input'!$A$2:$A$10,0))</f>
        <v/>
      </c>
      <c r="W45" s="6">
        <f>INDEX('01_Benchmark_Input'!$E$2:$E$10,MATCH(B45,'01_Benchmark_Input'!$A$2:$A$10,0))</f>
        <v/>
      </c>
      <c r="X45" s="6">
        <f>INDEX('01_Benchmark_Input'!$F$2:$F$10,MATCH(B45,'01_Benchmark_Input'!$A$2:$A$10,0))</f>
        <v/>
      </c>
      <c r="Y45" s="7">
        <f>N45*R45+O45*S45+P45*T45+Q45*U45</f>
        <v/>
      </c>
      <c r="Z45" s="6">
        <f>'02_Inputs'!K45</f>
        <v/>
      </c>
      <c r="AA45" s="7">
        <f>Y45*Z45</f>
        <v/>
      </c>
      <c r="AB45" s="5">
        <f>L45*1000*AA45*86400</f>
        <v/>
      </c>
      <c r="AC45" s="5">
        <f>AB45*365</f>
        <v/>
      </c>
    </row>
    <row r="46">
      <c r="A46" s="5">
        <f>'02_Inputs'!A46</f>
        <v/>
      </c>
      <c r="B46" s="5">
        <f>'02_Inputs'!B46</f>
        <v/>
      </c>
      <c r="C46" s="5">
        <f>'02_Inputs'!C46</f>
        <v/>
      </c>
      <c r="D46" s="29">
        <f>'02_Inputs'!D46</f>
        <v/>
      </c>
      <c r="E46" s="6">
        <f>'02_Inputs'!E46</f>
        <v/>
      </c>
      <c r="F46" s="29">
        <f>D46*E46</f>
        <v/>
      </c>
      <c r="G46" s="5">
        <f>'02_Inputs'!F46</f>
        <v/>
      </c>
      <c r="H46" s="29">
        <f>F46/G46</f>
        <v/>
      </c>
      <c r="I46" s="6">
        <f>'02_Inputs'!G46</f>
        <v/>
      </c>
      <c r="J46" s="29">
        <f>H46*I46</f>
        <v/>
      </c>
      <c r="K46" s="6">
        <f>'02_Inputs'!H46</f>
        <v/>
      </c>
      <c r="L46" s="29">
        <f>J46*K46</f>
        <v/>
      </c>
      <c r="M46" s="29">
        <f>J46*(1-K46)</f>
        <v/>
      </c>
      <c r="N46" s="6">
        <f>'02_GPU_Mix_Input'!D46</f>
        <v/>
      </c>
      <c r="O46" s="6">
        <f>'02_GPU_Mix_Input'!E46</f>
        <v/>
      </c>
      <c r="P46" s="6">
        <f>'02_GPU_Mix_Input'!F46</f>
        <v/>
      </c>
      <c r="Q46" s="6">
        <f>'02_GPU_Mix_Input'!G46</f>
        <v/>
      </c>
      <c r="R46" s="7">
        <f>INDEX('01_Benchmark_Input'!$K$2:$K$10,MATCH(B46,'01_Benchmark_Input'!$A$2:$A$10,0))</f>
        <v/>
      </c>
      <c r="S46" s="7">
        <f>INDEX('01_Benchmark_Input'!$P$2:$P$10,MATCH(B46,'01_Benchmark_Input'!$A$2:$A$10,0))</f>
        <v/>
      </c>
      <c r="T46" s="7">
        <f>INDEX('01_Benchmark_Input'!$U$2:$U$10,MATCH(B46,'01_Benchmark_Input'!$A$2:$A$10,0))</f>
        <v/>
      </c>
      <c r="U46" s="7">
        <f>INDEX('01_Benchmark_Input'!$Z$2:$Z$10,MATCH(B46,'01_Benchmark_Input'!$A$2:$A$10,0))</f>
        <v/>
      </c>
      <c r="V46" s="6">
        <f>INDEX('01_Benchmark_Input'!$D$2:$D$10,MATCH(B46,'01_Benchmark_Input'!$A$2:$A$10,0))</f>
        <v/>
      </c>
      <c r="W46" s="6">
        <f>INDEX('01_Benchmark_Input'!$E$2:$E$10,MATCH(B46,'01_Benchmark_Input'!$A$2:$A$10,0))</f>
        <v/>
      </c>
      <c r="X46" s="6">
        <f>INDEX('01_Benchmark_Input'!$F$2:$F$10,MATCH(B46,'01_Benchmark_Input'!$A$2:$A$10,0))</f>
        <v/>
      </c>
      <c r="Y46" s="7">
        <f>N46*R46+O46*S46+P46*T46+Q46*U46</f>
        <v/>
      </c>
      <c r="Z46" s="6">
        <f>'02_Inputs'!K46</f>
        <v/>
      </c>
      <c r="AA46" s="7">
        <f>Y46*Z46</f>
        <v/>
      </c>
      <c r="AB46" s="5">
        <f>L46*1000*AA46*86400</f>
        <v/>
      </c>
      <c r="AC46" s="5">
        <f>AB46*365</f>
        <v/>
      </c>
    </row>
    <row r="47">
      <c r="A47" s="5">
        <f>'02_Inputs'!A47</f>
        <v/>
      </c>
      <c r="B47" s="5">
        <f>'02_Inputs'!B47</f>
        <v/>
      </c>
      <c r="C47" s="5">
        <f>'02_Inputs'!C47</f>
        <v/>
      </c>
      <c r="D47" s="29">
        <f>'02_Inputs'!D47</f>
        <v/>
      </c>
      <c r="E47" s="6">
        <f>'02_Inputs'!E47</f>
        <v/>
      </c>
      <c r="F47" s="29">
        <f>D47*E47</f>
        <v/>
      </c>
      <c r="G47" s="5">
        <f>'02_Inputs'!F47</f>
        <v/>
      </c>
      <c r="H47" s="29">
        <f>F47/G47</f>
        <v/>
      </c>
      <c r="I47" s="6">
        <f>'02_Inputs'!G47</f>
        <v/>
      </c>
      <c r="J47" s="29">
        <f>H47*I47</f>
        <v/>
      </c>
      <c r="K47" s="6">
        <f>'02_Inputs'!H47</f>
        <v/>
      </c>
      <c r="L47" s="29">
        <f>J47*K47</f>
        <v/>
      </c>
      <c r="M47" s="29">
        <f>J47*(1-K47)</f>
        <v/>
      </c>
      <c r="N47" s="6">
        <f>'02_GPU_Mix_Input'!D47</f>
        <v/>
      </c>
      <c r="O47" s="6">
        <f>'02_GPU_Mix_Input'!E47</f>
        <v/>
      </c>
      <c r="P47" s="6">
        <f>'02_GPU_Mix_Input'!F47</f>
        <v/>
      </c>
      <c r="Q47" s="6">
        <f>'02_GPU_Mix_Input'!G47</f>
        <v/>
      </c>
      <c r="R47" s="7">
        <f>INDEX('01_Benchmark_Input'!$K$2:$K$10,MATCH(B47,'01_Benchmark_Input'!$A$2:$A$10,0))</f>
        <v/>
      </c>
      <c r="S47" s="7">
        <f>INDEX('01_Benchmark_Input'!$P$2:$P$10,MATCH(B47,'01_Benchmark_Input'!$A$2:$A$10,0))</f>
        <v/>
      </c>
      <c r="T47" s="7">
        <f>INDEX('01_Benchmark_Input'!$U$2:$U$10,MATCH(B47,'01_Benchmark_Input'!$A$2:$A$10,0))</f>
        <v/>
      </c>
      <c r="U47" s="7">
        <f>INDEX('01_Benchmark_Input'!$Z$2:$Z$10,MATCH(B47,'01_Benchmark_Input'!$A$2:$A$10,0))</f>
        <v/>
      </c>
      <c r="V47" s="6">
        <f>INDEX('01_Benchmark_Input'!$D$2:$D$10,MATCH(B47,'01_Benchmark_Input'!$A$2:$A$10,0))</f>
        <v/>
      </c>
      <c r="W47" s="6">
        <f>INDEX('01_Benchmark_Input'!$E$2:$E$10,MATCH(B47,'01_Benchmark_Input'!$A$2:$A$10,0))</f>
        <v/>
      </c>
      <c r="X47" s="6">
        <f>INDEX('01_Benchmark_Input'!$F$2:$F$10,MATCH(B47,'01_Benchmark_Input'!$A$2:$A$10,0))</f>
        <v/>
      </c>
      <c r="Y47" s="7">
        <f>N47*R47+O47*S47+P47*T47+Q47*U47</f>
        <v/>
      </c>
      <c r="Z47" s="6">
        <f>'02_Inputs'!K47</f>
        <v/>
      </c>
      <c r="AA47" s="7">
        <f>Y47*Z47</f>
        <v/>
      </c>
      <c r="AB47" s="5">
        <f>L47*1000*AA47*86400</f>
        <v/>
      </c>
      <c r="AC47" s="5">
        <f>AB47*365</f>
        <v/>
      </c>
    </row>
    <row r="48">
      <c r="A48" s="5">
        <f>'02_Inputs'!A48</f>
        <v/>
      </c>
      <c r="B48" s="5">
        <f>'02_Inputs'!B48</f>
        <v/>
      </c>
      <c r="C48" s="5">
        <f>'02_Inputs'!C48</f>
        <v/>
      </c>
      <c r="D48" s="29">
        <f>'02_Inputs'!D48</f>
        <v/>
      </c>
      <c r="E48" s="6">
        <f>'02_Inputs'!E48</f>
        <v/>
      </c>
      <c r="F48" s="29">
        <f>D48*E48</f>
        <v/>
      </c>
      <c r="G48" s="5">
        <f>'02_Inputs'!F48</f>
        <v/>
      </c>
      <c r="H48" s="29">
        <f>F48/G48</f>
        <v/>
      </c>
      <c r="I48" s="6">
        <f>'02_Inputs'!G48</f>
        <v/>
      </c>
      <c r="J48" s="29">
        <f>H48*I48</f>
        <v/>
      </c>
      <c r="K48" s="6">
        <f>'02_Inputs'!H48</f>
        <v/>
      </c>
      <c r="L48" s="29">
        <f>J48*K48</f>
        <v/>
      </c>
      <c r="M48" s="29">
        <f>J48*(1-K48)</f>
        <v/>
      </c>
      <c r="N48" s="6">
        <f>'02_GPU_Mix_Input'!D48</f>
        <v/>
      </c>
      <c r="O48" s="6">
        <f>'02_GPU_Mix_Input'!E48</f>
        <v/>
      </c>
      <c r="P48" s="6">
        <f>'02_GPU_Mix_Input'!F48</f>
        <v/>
      </c>
      <c r="Q48" s="6">
        <f>'02_GPU_Mix_Input'!G48</f>
        <v/>
      </c>
      <c r="R48" s="7">
        <f>INDEX('01_Benchmark_Input'!$K$2:$K$10,MATCH(B48,'01_Benchmark_Input'!$A$2:$A$10,0))</f>
        <v/>
      </c>
      <c r="S48" s="7">
        <f>INDEX('01_Benchmark_Input'!$P$2:$P$10,MATCH(B48,'01_Benchmark_Input'!$A$2:$A$10,0))</f>
        <v/>
      </c>
      <c r="T48" s="7">
        <f>INDEX('01_Benchmark_Input'!$U$2:$U$10,MATCH(B48,'01_Benchmark_Input'!$A$2:$A$10,0))</f>
        <v/>
      </c>
      <c r="U48" s="7">
        <f>INDEX('01_Benchmark_Input'!$Z$2:$Z$10,MATCH(B48,'01_Benchmark_Input'!$A$2:$A$10,0))</f>
        <v/>
      </c>
      <c r="V48" s="6">
        <f>INDEX('01_Benchmark_Input'!$D$2:$D$10,MATCH(B48,'01_Benchmark_Input'!$A$2:$A$10,0))</f>
        <v/>
      </c>
      <c r="W48" s="6">
        <f>INDEX('01_Benchmark_Input'!$E$2:$E$10,MATCH(B48,'01_Benchmark_Input'!$A$2:$A$10,0))</f>
        <v/>
      </c>
      <c r="X48" s="6">
        <f>INDEX('01_Benchmark_Input'!$F$2:$F$10,MATCH(B48,'01_Benchmark_Input'!$A$2:$A$10,0))</f>
        <v/>
      </c>
      <c r="Y48" s="7">
        <f>N48*R48+O48*S48+P48*T48+Q48*U48</f>
        <v/>
      </c>
      <c r="Z48" s="6">
        <f>'02_Inputs'!K48</f>
        <v/>
      </c>
      <c r="AA48" s="7">
        <f>Y48*Z48</f>
        <v/>
      </c>
      <c r="AB48" s="5">
        <f>L48*1000*AA48*86400</f>
        <v/>
      </c>
      <c r="AC48" s="5">
        <f>AB48*365</f>
        <v/>
      </c>
    </row>
    <row r="49">
      <c r="A49" s="5">
        <f>'02_Inputs'!A49</f>
        <v/>
      </c>
      <c r="B49" s="5">
        <f>'02_Inputs'!B49</f>
        <v/>
      </c>
      <c r="C49" s="5">
        <f>'02_Inputs'!C49</f>
        <v/>
      </c>
      <c r="D49" s="29">
        <f>'02_Inputs'!D49</f>
        <v/>
      </c>
      <c r="E49" s="6">
        <f>'02_Inputs'!E49</f>
        <v/>
      </c>
      <c r="F49" s="29">
        <f>D49*E49</f>
        <v/>
      </c>
      <c r="G49" s="5">
        <f>'02_Inputs'!F49</f>
        <v/>
      </c>
      <c r="H49" s="29">
        <f>F49/G49</f>
        <v/>
      </c>
      <c r="I49" s="6">
        <f>'02_Inputs'!G49</f>
        <v/>
      </c>
      <c r="J49" s="29">
        <f>H49*I49</f>
        <v/>
      </c>
      <c r="K49" s="6">
        <f>'02_Inputs'!H49</f>
        <v/>
      </c>
      <c r="L49" s="29">
        <f>J49*K49</f>
        <v/>
      </c>
      <c r="M49" s="29">
        <f>J49*(1-K49)</f>
        <v/>
      </c>
      <c r="N49" s="6">
        <f>'02_GPU_Mix_Input'!D49</f>
        <v/>
      </c>
      <c r="O49" s="6">
        <f>'02_GPU_Mix_Input'!E49</f>
        <v/>
      </c>
      <c r="P49" s="6">
        <f>'02_GPU_Mix_Input'!F49</f>
        <v/>
      </c>
      <c r="Q49" s="6">
        <f>'02_GPU_Mix_Input'!G49</f>
        <v/>
      </c>
      <c r="R49" s="7">
        <f>INDEX('01_Benchmark_Input'!$K$2:$K$10,MATCH(B49,'01_Benchmark_Input'!$A$2:$A$10,0))</f>
        <v/>
      </c>
      <c r="S49" s="7">
        <f>INDEX('01_Benchmark_Input'!$P$2:$P$10,MATCH(B49,'01_Benchmark_Input'!$A$2:$A$10,0))</f>
        <v/>
      </c>
      <c r="T49" s="7">
        <f>INDEX('01_Benchmark_Input'!$U$2:$U$10,MATCH(B49,'01_Benchmark_Input'!$A$2:$A$10,0))</f>
        <v/>
      </c>
      <c r="U49" s="7">
        <f>INDEX('01_Benchmark_Input'!$Z$2:$Z$10,MATCH(B49,'01_Benchmark_Input'!$A$2:$A$10,0))</f>
        <v/>
      </c>
      <c r="V49" s="6">
        <f>INDEX('01_Benchmark_Input'!$D$2:$D$10,MATCH(B49,'01_Benchmark_Input'!$A$2:$A$10,0))</f>
        <v/>
      </c>
      <c r="W49" s="6">
        <f>INDEX('01_Benchmark_Input'!$E$2:$E$10,MATCH(B49,'01_Benchmark_Input'!$A$2:$A$10,0))</f>
        <v/>
      </c>
      <c r="X49" s="6">
        <f>INDEX('01_Benchmark_Input'!$F$2:$F$10,MATCH(B49,'01_Benchmark_Input'!$A$2:$A$10,0))</f>
        <v/>
      </c>
      <c r="Y49" s="7">
        <f>N49*R49+O49*S49+P49*T49+Q49*U49</f>
        <v/>
      </c>
      <c r="Z49" s="6">
        <f>'02_Inputs'!K49</f>
        <v/>
      </c>
      <c r="AA49" s="7">
        <f>Y49*Z49</f>
        <v/>
      </c>
      <c r="AB49" s="5">
        <f>L49*1000*AA49*86400</f>
        <v/>
      </c>
      <c r="AC49" s="5">
        <f>AB49*365</f>
        <v/>
      </c>
    </row>
    <row r="50">
      <c r="A50" s="5">
        <f>'02_Inputs'!A50</f>
        <v/>
      </c>
      <c r="B50" s="5">
        <f>'02_Inputs'!B50</f>
        <v/>
      </c>
      <c r="C50" s="5">
        <f>'02_Inputs'!C50</f>
        <v/>
      </c>
      <c r="D50" s="29">
        <f>'02_Inputs'!D50</f>
        <v/>
      </c>
      <c r="E50" s="6">
        <f>'02_Inputs'!E50</f>
        <v/>
      </c>
      <c r="F50" s="29">
        <f>D50*E50</f>
        <v/>
      </c>
      <c r="G50" s="5">
        <f>'02_Inputs'!F50</f>
        <v/>
      </c>
      <c r="H50" s="29">
        <f>F50/G50</f>
        <v/>
      </c>
      <c r="I50" s="6">
        <f>'02_Inputs'!G50</f>
        <v/>
      </c>
      <c r="J50" s="29">
        <f>H50*I50</f>
        <v/>
      </c>
      <c r="K50" s="6">
        <f>'02_Inputs'!H50</f>
        <v/>
      </c>
      <c r="L50" s="29">
        <f>J50*K50</f>
        <v/>
      </c>
      <c r="M50" s="29">
        <f>J50*(1-K50)</f>
        <v/>
      </c>
      <c r="N50" s="6">
        <f>'02_GPU_Mix_Input'!D50</f>
        <v/>
      </c>
      <c r="O50" s="6">
        <f>'02_GPU_Mix_Input'!E50</f>
        <v/>
      </c>
      <c r="P50" s="6">
        <f>'02_GPU_Mix_Input'!F50</f>
        <v/>
      </c>
      <c r="Q50" s="6">
        <f>'02_GPU_Mix_Input'!G50</f>
        <v/>
      </c>
      <c r="R50" s="7">
        <f>INDEX('01_Benchmark_Input'!$K$2:$K$10,MATCH(B50,'01_Benchmark_Input'!$A$2:$A$10,0))</f>
        <v/>
      </c>
      <c r="S50" s="7">
        <f>INDEX('01_Benchmark_Input'!$P$2:$P$10,MATCH(B50,'01_Benchmark_Input'!$A$2:$A$10,0))</f>
        <v/>
      </c>
      <c r="T50" s="7">
        <f>INDEX('01_Benchmark_Input'!$U$2:$U$10,MATCH(B50,'01_Benchmark_Input'!$A$2:$A$10,0))</f>
        <v/>
      </c>
      <c r="U50" s="7">
        <f>INDEX('01_Benchmark_Input'!$Z$2:$Z$10,MATCH(B50,'01_Benchmark_Input'!$A$2:$A$10,0))</f>
        <v/>
      </c>
      <c r="V50" s="6">
        <f>INDEX('01_Benchmark_Input'!$D$2:$D$10,MATCH(B50,'01_Benchmark_Input'!$A$2:$A$10,0))</f>
        <v/>
      </c>
      <c r="W50" s="6">
        <f>INDEX('01_Benchmark_Input'!$E$2:$E$10,MATCH(B50,'01_Benchmark_Input'!$A$2:$A$10,0))</f>
        <v/>
      </c>
      <c r="X50" s="6">
        <f>INDEX('01_Benchmark_Input'!$F$2:$F$10,MATCH(B50,'01_Benchmark_Input'!$A$2:$A$10,0))</f>
        <v/>
      </c>
      <c r="Y50" s="7">
        <f>N50*R50+O50*S50+P50*T50+Q50*U50</f>
        <v/>
      </c>
      <c r="Z50" s="6">
        <f>'02_Inputs'!K50</f>
        <v/>
      </c>
      <c r="AA50" s="7">
        <f>Y50*Z50</f>
        <v/>
      </c>
      <c r="AB50" s="5">
        <f>L50*1000*AA50*86400</f>
        <v/>
      </c>
      <c r="AC50" s="5">
        <f>AB50*365</f>
        <v/>
      </c>
    </row>
    <row r="51">
      <c r="A51" s="5">
        <f>'02_Inputs'!A51</f>
        <v/>
      </c>
      <c r="B51" s="5">
        <f>'02_Inputs'!B51</f>
        <v/>
      </c>
      <c r="C51" s="5">
        <f>'02_Inputs'!C51</f>
        <v/>
      </c>
      <c r="D51" s="29">
        <f>'02_Inputs'!D51</f>
        <v/>
      </c>
      <c r="E51" s="6">
        <f>'02_Inputs'!E51</f>
        <v/>
      </c>
      <c r="F51" s="29">
        <f>D51*E51</f>
        <v/>
      </c>
      <c r="G51" s="5">
        <f>'02_Inputs'!F51</f>
        <v/>
      </c>
      <c r="H51" s="29">
        <f>F51/G51</f>
        <v/>
      </c>
      <c r="I51" s="6">
        <f>'02_Inputs'!G51</f>
        <v/>
      </c>
      <c r="J51" s="29">
        <f>H51*I51</f>
        <v/>
      </c>
      <c r="K51" s="6">
        <f>'02_Inputs'!H51</f>
        <v/>
      </c>
      <c r="L51" s="29">
        <f>J51*K51</f>
        <v/>
      </c>
      <c r="M51" s="29">
        <f>J51*(1-K51)</f>
        <v/>
      </c>
      <c r="N51" s="6">
        <f>'02_GPU_Mix_Input'!D51</f>
        <v/>
      </c>
      <c r="O51" s="6">
        <f>'02_GPU_Mix_Input'!E51</f>
        <v/>
      </c>
      <c r="P51" s="6">
        <f>'02_GPU_Mix_Input'!F51</f>
        <v/>
      </c>
      <c r="Q51" s="6">
        <f>'02_GPU_Mix_Input'!G51</f>
        <v/>
      </c>
      <c r="R51" s="7">
        <f>INDEX('01_Benchmark_Input'!$K$2:$K$10,MATCH(B51,'01_Benchmark_Input'!$A$2:$A$10,0))</f>
        <v/>
      </c>
      <c r="S51" s="7">
        <f>INDEX('01_Benchmark_Input'!$P$2:$P$10,MATCH(B51,'01_Benchmark_Input'!$A$2:$A$10,0))</f>
        <v/>
      </c>
      <c r="T51" s="7">
        <f>INDEX('01_Benchmark_Input'!$U$2:$U$10,MATCH(B51,'01_Benchmark_Input'!$A$2:$A$10,0))</f>
        <v/>
      </c>
      <c r="U51" s="7">
        <f>INDEX('01_Benchmark_Input'!$Z$2:$Z$10,MATCH(B51,'01_Benchmark_Input'!$A$2:$A$10,0))</f>
        <v/>
      </c>
      <c r="V51" s="6">
        <f>INDEX('01_Benchmark_Input'!$D$2:$D$10,MATCH(B51,'01_Benchmark_Input'!$A$2:$A$10,0))</f>
        <v/>
      </c>
      <c r="W51" s="6">
        <f>INDEX('01_Benchmark_Input'!$E$2:$E$10,MATCH(B51,'01_Benchmark_Input'!$A$2:$A$10,0))</f>
        <v/>
      </c>
      <c r="X51" s="6">
        <f>INDEX('01_Benchmark_Input'!$F$2:$F$10,MATCH(B51,'01_Benchmark_Input'!$A$2:$A$10,0))</f>
        <v/>
      </c>
      <c r="Y51" s="7">
        <f>N51*R51+O51*S51+P51*T51+Q51*U51</f>
        <v/>
      </c>
      <c r="Z51" s="6">
        <f>'02_Inputs'!K51</f>
        <v/>
      </c>
      <c r="AA51" s="7">
        <f>Y51*Z51</f>
        <v/>
      </c>
      <c r="AB51" s="5">
        <f>L51*1000*AA51*86400</f>
        <v/>
      </c>
      <c r="AC51" s="5">
        <f>AB51*365</f>
        <v/>
      </c>
    </row>
    <row r="52">
      <c r="A52" s="5">
        <f>'02_Inputs'!A52</f>
        <v/>
      </c>
      <c r="B52" s="5">
        <f>'02_Inputs'!B52</f>
        <v/>
      </c>
      <c r="C52" s="5">
        <f>'02_Inputs'!C52</f>
        <v/>
      </c>
      <c r="D52" s="29">
        <f>'02_Inputs'!D52</f>
        <v/>
      </c>
      <c r="E52" s="6">
        <f>'02_Inputs'!E52</f>
        <v/>
      </c>
      <c r="F52" s="29">
        <f>D52*E52</f>
        <v/>
      </c>
      <c r="G52" s="5">
        <f>'02_Inputs'!F52</f>
        <v/>
      </c>
      <c r="H52" s="29">
        <f>F52/G52</f>
        <v/>
      </c>
      <c r="I52" s="6">
        <f>'02_Inputs'!G52</f>
        <v/>
      </c>
      <c r="J52" s="29">
        <f>H52*I52</f>
        <v/>
      </c>
      <c r="K52" s="6">
        <f>'02_Inputs'!H52</f>
        <v/>
      </c>
      <c r="L52" s="29">
        <f>J52*K52</f>
        <v/>
      </c>
      <c r="M52" s="29">
        <f>J52*(1-K52)</f>
        <v/>
      </c>
      <c r="N52" s="6">
        <f>'02_GPU_Mix_Input'!D52</f>
        <v/>
      </c>
      <c r="O52" s="6">
        <f>'02_GPU_Mix_Input'!E52</f>
        <v/>
      </c>
      <c r="P52" s="6">
        <f>'02_GPU_Mix_Input'!F52</f>
        <v/>
      </c>
      <c r="Q52" s="6">
        <f>'02_GPU_Mix_Input'!G52</f>
        <v/>
      </c>
      <c r="R52" s="7">
        <f>INDEX('01_Benchmark_Input'!$K$2:$K$10,MATCH(B52,'01_Benchmark_Input'!$A$2:$A$10,0))</f>
        <v/>
      </c>
      <c r="S52" s="7">
        <f>INDEX('01_Benchmark_Input'!$P$2:$P$10,MATCH(B52,'01_Benchmark_Input'!$A$2:$A$10,0))</f>
        <v/>
      </c>
      <c r="T52" s="7">
        <f>INDEX('01_Benchmark_Input'!$U$2:$U$10,MATCH(B52,'01_Benchmark_Input'!$A$2:$A$10,0))</f>
        <v/>
      </c>
      <c r="U52" s="7">
        <f>INDEX('01_Benchmark_Input'!$Z$2:$Z$10,MATCH(B52,'01_Benchmark_Input'!$A$2:$A$10,0))</f>
        <v/>
      </c>
      <c r="V52" s="6">
        <f>INDEX('01_Benchmark_Input'!$D$2:$D$10,MATCH(B52,'01_Benchmark_Input'!$A$2:$A$10,0))</f>
        <v/>
      </c>
      <c r="W52" s="6">
        <f>INDEX('01_Benchmark_Input'!$E$2:$E$10,MATCH(B52,'01_Benchmark_Input'!$A$2:$A$10,0))</f>
        <v/>
      </c>
      <c r="X52" s="6">
        <f>INDEX('01_Benchmark_Input'!$F$2:$F$10,MATCH(B52,'01_Benchmark_Input'!$A$2:$A$10,0))</f>
        <v/>
      </c>
      <c r="Y52" s="7">
        <f>N52*R52+O52*S52+P52*T52+Q52*U52</f>
        <v/>
      </c>
      <c r="Z52" s="6">
        <f>'02_Inputs'!K52</f>
        <v/>
      </c>
      <c r="AA52" s="7">
        <f>Y52*Z52</f>
        <v/>
      </c>
      <c r="AB52" s="5">
        <f>L52*1000*AA52*86400</f>
        <v/>
      </c>
      <c r="AC52" s="5">
        <f>AB52*365</f>
        <v/>
      </c>
    </row>
    <row r="53">
      <c r="A53" s="5">
        <f>'02_Inputs'!A53</f>
        <v/>
      </c>
      <c r="B53" s="5">
        <f>'02_Inputs'!B53</f>
        <v/>
      </c>
      <c r="C53" s="5">
        <f>'02_Inputs'!C53</f>
        <v/>
      </c>
      <c r="D53" s="29">
        <f>'02_Inputs'!D53</f>
        <v/>
      </c>
      <c r="E53" s="6">
        <f>'02_Inputs'!E53</f>
        <v/>
      </c>
      <c r="F53" s="29">
        <f>D53*E53</f>
        <v/>
      </c>
      <c r="G53" s="5">
        <f>'02_Inputs'!F53</f>
        <v/>
      </c>
      <c r="H53" s="29">
        <f>F53/G53</f>
        <v/>
      </c>
      <c r="I53" s="6">
        <f>'02_Inputs'!G53</f>
        <v/>
      </c>
      <c r="J53" s="29">
        <f>H53*I53</f>
        <v/>
      </c>
      <c r="K53" s="6">
        <f>'02_Inputs'!H53</f>
        <v/>
      </c>
      <c r="L53" s="29">
        <f>J53*K53</f>
        <v/>
      </c>
      <c r="M53" s="29">
        <f>J53*(1-K53)</f>
        <v/>
      </c>
      <c r="N53" s="6">
        <f>'02_GPU_Mix_Input'!D53</f>
        <v/>
      </c>
      <c r="O53" s="6">
        <f>'02_GPU_Mix_Input'!E53</f>
        <v/>
      </c>
      <c r="P53" s="6">
        <f>'02_GPU_Mix_Input'!F53</f>
        <v/>
      </c>
      <c r="Q53" s="6">
        <f>'02_GPU_Mix_Input'!G53</f>
        <v/>
      </c>
      <c r="R53" s="7">
        <f>INDEX('01_Benchmark_Input'!$K$2:$K$10,MATCH(B53,'01_Benchmark_Input'!$A$2:$A$10,0))</f>
        <v/>
      </c>
      <c r="S53" s="7">
        <f>INDEX('01_Benchmark_Input'!$P$2:$P$10,MATCH(B53,'01_Benchmark_Input'!$A$2:$A$10,0))</f>
        <v/>
      </c>
      <c r="T53" s="7">
        <f>INDEX('01_Benchmark_Input'!$U$2:$U$10,MATCH(B53,'01_Benchmark_Input'!$A$2:$A$10,0))</f>
        <v/>
      </c>
      <c r="U53" s="7">
        <f>INDEX('01_Benchmark_Input'!$Z$2:$Z$10,MATCH(B53,'01_Benchmark_Input'!$A$2:$A$10,0))</f>
        <v/>
      </c>
      <c r="V53" s="6">
        <f>INDEX('01_Benchmark_Input'!$D$2:$D$10,MATCH(B53,'01_Benchmark_Input'!$A$2:$A$10,0))</f>
        <v/>
      </c>
      <c r="W53" s="6">
        <f>INDEX('01_Benchmark_Input'!$E$2:$E$10,MATCH(B53,'01_Benchmark_Input'!$A$2:$A$10,0))</f>
        <v/>
      </c>
      <c r="X53" s="6">
        <f>INDEX('01_Benchmark_Input'!$F$2:$F$10,MATCH(B53,'01_Benchmark_Input'!$A$2:$A$10,0))</f>
        <v/>
      </c>
      <c r="Y53" s="7">
        <f>N53*R53+O53*S53+P53*T53+Q53*U53</f>
        <v/>
      </c>
      <c r="Z53" s="6">
        <f>'02_Inputs'!K53</f>
        <v/>
      </c>
      <c r="AA53" s="7">
        <f>Y53*Z53</f>
        <v/>
      </c>
      <c r="AB53" s="5">
        <f>L53*1000*AA53*86400</f>
        <v/>
      </c>
      <c r="AC53" s="5">
        <f>AB53*365</f>
        <v/>
      </c>
    </row>
    <row r="54">
      <c r="A54" s="5">
        <f>'02_Inputs'!A54</f>
        <v/>
      </c>
      <c r="B54" s="5">
        <f>'02_Inputs'!B54</f>
        <v/>
      </c>
      <c r="C54" s="5">
        <f>'02_Inputs'!C54</f>
        <v/>
      </c>
      <c r="D54" s="29">
        <f>'02_Inputs'!D54</f>
        <v/>
      </c>
      <c r="E54" s="6">
        <f>'02_Inputs'!E54</f>
        <v/>
      </c>
      <c r="F54" s="29">
        <f>D54*E54</f>
        <v/>
      </c>
      <c r="G54" s="5">
        <f>'02_Inputs'!F54</f>
        <v/>
      </c>
      <c r="H54" s="29">
        <f>F54/G54</f>
        <v/>
      </c>
      <c r="I54" s="6">
        <f>'02_Inputs'!G54</f>
        <v/>
      </c>
      <c r="J54" s="29">
        <f>H54*I54</f>
        <v/>
      </c>
      <c r="K54" s="6">
        <f>'02_Inputs'!H54</f>
        <v/>
      </c>
      <c r="L54" s="29">
        <f>J54*K54</f>
        <v/>
      </c>
      <c r="M54" s="29">
        <f>J54*(1-K54)</f>
        <v/>
      </c>
      <c r="N54" s="6">
        <f>'02_GPU_Mix_Input'!D54</f>
        <v/>
      </c>
      <c r="O54" s="6">
        <f>'02_GPU_Mix_Input'!E54</f>
        <v/>
      </c>
      <c r="P54" s="6">
        <f>'02_GPU_Mix_Input'!F54</f>
        <v/>
      </c>
      <c r="Q54" s="6">
        <f>'02_GPU_Mix_Input'!G54</f>
        <v/>
      </c>
      <c r="R54" s="7">
        <f>INDEX('01_Benchmark_Input'!$K$2:$K$10,MATCH(B54,'01_Benchmark_Input'!$A$2:$A$10,0))</f>
        <v/>
      </c>
      <c r="S54" s="7">
        <f>INDEX('01_Benchmark_Input'!$P$2:$P$10,MATCH(B54,'01_Benchmark_Input'!$A$2:$A$10,0))</f>
        <v/>
      </c>
      <c r="T54" s="7">
        <f>INDEX('01_Benchmark_Input'!$U$2:$U$10,MATCH(B54,'01_Benchmark_Input'!$A$2:$A$10,0))</f>
        <v/>
      </c>
      <c r="U54" s="7">
        <f>INDEX('01_Benchmark_Input'!$Z$2:$Z$10,MATCH(B54,'01_Benchmark_Input'!$A$2:$A$10,0))</f>
        <v/>
      </c>
      <c r="V54" s="6">
        <f>INDEX('01_Benchmark_Input'!$D$2:$D$10,MATCH(B54,'01_Benchmark_Input'!$A$2:$A$10,0))</f>
        <v/>
      </c>
      <c r="W54" s="6">
        <f>INDEX('01_Benchmark_Input'!$E$2:$E$10,MATCH(B54,'01_Benchmark_Input'!$A$2:$A$10,0))</f>
        <v/>
      </c>
      <c r="X54" s="6">
        <f>INDEX('01_Benchmark_Input'!$F$2:$F$10,MATCH(B54,'01_Benchmark_Input'!$A$2:$A$10,0))</f>
        <v/>
      </c>
      <c r="Y54" s="7">
        <f>N54*R54+O54*S54+P54*T54+Q54*U54</f>
        <v/>
      </c>
      <c r="Z54" s="6">
        <f>'02_Inputs'!K54</f>
        <v/>
      </c>
      <c r="AA54" s="7">
        <f>Y54*Z54</f>
        <v/>
      </c>
      <c r="AB54" s="5">
        <f>L54*1000*AA54*86400</f>
        <v/>
      </c>
      <c r="AC54" s="5">
        <f>AB54*365</f>
        <v/>
      </c>
    </row>
    <row r="55">
      <c r="A55" s="5">
        <f>'02_Inputs'!A55</f>
        <v/>
      </c>
      <c r="B55" s="5">
        <f>'02_Inputs'!B55</f>
        <v/>
      </c>
      <c r="C55" s="5">
        <f>'02_Inputs'!C55</f>
        <v/>
      </c>
      <c r="D55" s="29">
        <f>'02_Inputs'!D55</f>
        <v/>
      </c>
      <c r="E55" s="6">
        <f>'02_Inputs'!E55</f>
        <v/>
      </c>
      <c r="F55" s="29">
        <f>D55*E55</f>
        <v/>
      </c>
      <c r="G55" s="5">
        <f>'02_Inputs'!F55</f>
        <v/>
      </c>
      <c r="H55" s="29">
        <f>F55/G55</f>
        <v/>
      </c>
      <c r="I55" s="6">
        <f>'02_Inputs'!G55</f>
        <v/>
      </c>
      <c r="J55" s="29">
        <f>H55*I55</f>
        <v/>
      </c>
      <c r="K55" s="6">
        <f>'02_Inputs'!H55</f>
        <v/>
      </c>
      <c r="L55" s="29">
        <f>J55*K55</f>
        <v/>
      </c>
      <c r="M55" s="29">
        <f>J55*(1-K55)</f>
        <v/>
      </c>
      <c r="N55" s="6">
        <f>'02_GPU_Mix_Input'!D55</f>
        <v/>
      </c>
      <c r="O55" s="6">
        <f>'02_GPU_Mix_Input'!E55</f>
        <v/>
      </c>
      <c r="P55" s="6">
        <f>'02_GPU_Mix_Input'!F55</f>
        <v/>
      </c>
      <c r="Q55" s="6">
        <f>'02_GPU_Mix_Input'!G55</f>
        <v/>
      </c>
      <c r="R55" s="7">
        <f>INDEX('01_Benchmark_Input'!$K$2:$K$10,MATCH(B55,'01_Benchmark_Input'!$A$2:$A$10,0))</f>
        <v/>
      </c>
      <c r="S55" s="7">
        <f>INDEX('01_Benchmark_Input'!$P$2:$P$10,MATCH(B55,'01_Benchmark_Input'!$A$2:$A$10,0))</f>
        <v/>
      </c>
      <c r="T55" s="7">
        <f>INDEX('01_Benchmark_Input'!$U$2:$U$10,MATCH(B55,'01_Benchmark_Input'!$A$2:$A$10,0))</f>
        <v/>
      </c>
      <c r="U55" s="7">
        <f>INDEX('01_Benchmark_Input'!$Z$2:$Z$10,MATCH(B55,'01_Benchmark_Input'!$A$2:$A$10,0))</f>
        <v/>
      </c>
      <c r="V55" s="6">
        <f>INDEX('01_Benchmark_Input'!$D$2:$D$10,MATCH(B55,'01_Benchmark_Input'!$A$2:$A$10,0))</f>
        <v/>
      </c>
      <c r="W55" s="6">
        <f>INDEX('01_Benchmark_Input'!$E$2:$E$10,MATCH(B55,'01_Benchmark_Input'!$A$2:$A$10,0))</f>
        <v/>
      </c>
      <c r="X55" s="6">
        <f>INDEX('01_Benchmark_Input'!$F$2:$F$10,MATCH(B55,'01_Benchmark_Input'!$A$2:$A$10,0))</f>
        <v/>
      </c>
      <c r="Y55" s="7">
        <f>N55*R55+O55*S55+P55*T55+Q55*U55</f>
        <v/>
      </c>
      <c r="Z55" s="6">
        <f>'02_Inputs'!K55</f>
        <v/>
      </c>
      <c r="AA55" s="7">
        <f>Y55*Z55</f>
        <v/>
      </c>
      <c r="AB55" s="5">
        <f>L55*1000*AA55*86400</f>
        <v/>
      </c>
      <c r="AC55" s="5">
        <f>AB55*365</f>
        <v/>
      </c>
    </row>
    <row r="56">
      <c r="A56" s="5">
        <f>'02_Inputs'!A56</f>
        <v/>
      </c>
      <c r="B56" s="5">
        <f>'02_Inputs'!B56</f>
        <v/>
      </c>
      <c r="C56" s="5">
        <f>'02_Inputs'!C56</f>
        <v/>
      </c>
      <c r="D56" s="29">
        <f>'02_Inputs'!D56</f>
        <v/>
      </c>
      <c r="E56" s="6">
        <f>'02_Inputs'!E56</f>
        <v/>
      </c>
      <c r="F56" s="29">
        <f>D56*E56</f>
        <v/>
      </c>
      <c r="G56" s="5">
        <f>'02_Inputs'!F56</f>
        <v/>
      </c>
      <c r="H56" s="29">
        <f>F56/G56</f>
        <v/>
      </c>
      <c r="I56" s="6">
        <f>'02_Inputs'!G56</f>
        <v/>
      </c>
      <c r="J56" s="29">
        <f>H56*I56</f>
        <v/>
      </c>
      <c r="K56" s="6">
        <f>'02_Inputs'!H56</f>
        <v/>
      </c>
      <c r="L56" s="29">
        <f>J56*K56</f>
        <v/>
      </c>
      <c r="M56" s="29">
        <f>J56*(1-K56)</f>
        <v/>
      </c>
      <c r="N56" s="6">
        <f>'02_GPU_Mix_Input'!D56</f>
        <v/>
      </c>
      <c r="O56" s="6">
        <f>'02_GPU_Mix_Input'!E56</f>
        <v/>
      </c>
      <c r="P56" s="6">
        <f>'02_GPU_Mix_Input'!F56</f>
        <v/>
      </c>
      <c r="Q56" s="6">
        <f>'02_GPU_Mix_Input'!G56</f>
        <v/>
      </c>
      <c r="R56" s="7">
        <f>INDEX('01_Benchmark_Input'!$K$2:$K$10,MATCH(B56,'01_Benchmark_Input'!$A$2:$A$10,0))</f>
        <v/>
      </c>
      <c r="S56" s="7">
        <f>INDEX('01_Benchmark_Input'!$P$2:$P$10,MATCH(B56,'01_Benchmark_Input'!$A$2:$A$10,0))</f>
        <v/>
      </c>
      <c r="T56" s="7">
        <f>INDEX('01_Benchmark_Input'!$U$2:$U$10,MATCH(B56,'01_Benchmark_Input'!$A$2:$A$10,0))</f>
        <v/>
      </c>
      <c r="U56" s="7">
        <f>INDEX('01_Benchmark_Input'!$Z$2:$Z$10,MATCH(B56,'01_Benchmark_Input'!$A$2:$A$10,0))</f>
        <v/>
      </c>
      <c r="V56" s="6">
        <f>INDEX('01_Benchmark_Input'!$D$2:$D$10,MATCH(B56,'01_Benchmark_Input'!$A$2:$A$10,0))</f>
        <v/>
      </c>
      <c r="W56" s="6">
        <f>INDEX('01_Benchmark_Input'!$E$2:$E$10,MATCH(B56,'01_Benchmark_Input'!$A$2:$A$10,0))</f>
        <v/>
      </c>
      <c r="X56" s="6">
        <f>INDEX('01_Benchmark_Input'!$F$2:$F$10,MATCH(B56,'01_Benchmark_Input'!$A$2:$A$10,0))</f>
        <v/>
      </c>
      <c r="Y56" s="7">
        <f>N56*R56+O56*S56+P56*T56+Q56*U56</f>
        <v/>
      </c>
      <c r="Z56" s="6">
        <f>'02_Inputs'!K56</f>
        <v/>
      </c>
      <c r="AA56" s="7">
        <f>Y56*Z56</f>
        <v/>
      </c>
      <c r="AB56" s="5">
        <f>L56*1000*AA56*86400</f>
        <v/>
      </c>
      <c r="AC56" s="5">
        <f>AB56*365</f>
        <v/>
      </c>
    </row>
    <row r="57">
      <c r="A57" s="5">
        <f>'02_Inputs'!A57</f>
        <v/>
      </c>
      <c r="B57" s="5">
        <f>'02_Inputs'!B57</f>
        <v/>
      </c>
      <c r="C57" s="5">
        <f>'02_Inputs'!C57</f>
        <v/>
      </c>
      <c r="D57" s="29">
        <f>'02_Inputs'!D57</f>
        <v/>
      </c>
      <c r="E57" s="6">
        <f>'02_Inputs'!E57</f>
        <v/>
      </c>
      <c r="F57" s="29">
        <f>D57*E57</f>
        <v/>
      </c>
      <c r="G57" s="5">
        <f>'02_Inputs'!F57</f>
        <v/>
      </c>
      <c r="H57" s="29">
        <f>F57/G57</f>
        <v/>
      </c>
      <c r="I57" s="6">
        <f>'02_Inputs'!G57</f>
        <v/>
      </c>
      <c r="J57" s="29">
        <f>H57*I57</f>
        <v/>
      </c>
      <c r="K57" s="6">
        <f>'02_Inputs'!H57</f>
        <v/>
      </c>
      <c r="L57" s="29">
        <f>J57*K57</f>
        <v/>
      </c>
      <c r="M57" s="29">
        <f>J57*(1-K57)</f>
        <v/>
      </c>
      <c r="N57" s="6">
        <f>'02_GPU_Mix_Input'!D57</f>
        <v/>
      </c>
      <c r="O57" s="6">
        <f>'02_GPU_Mix_Input'!E57</f>
        <v/>
      </c>
      <c r="P57" s="6">
        <f>'02_GPU_Mix_Input'!F57</f>
        <v/>
      </c>
      <c r="Q57" s="6">
        <f>'02_GPU_Mix_Input'!G57</f>
        <v/>
      </c>
      <c r="R57" s="7">
        <f>INDEX('01_Benchmark_Input'!$K$2:$K$10,MATCH(B57,'01_Benchmark_Input'!$A$2:$A$10,0))</f>
        <v/>
      </c>
      <c r="S57" s="7">
        <f>INDEX('01_Benchmark_Input'!$P$2:$P$10,MATCH(B57,'01_Benchmark_Input'!$A$2:$A$10,0))</f>
        <v/>
      </c>
      <c r="T57" s="7">
        <f>INDEX('01_Benchmark_Input'!$U$2:$U$10,MATCH(B57,'01_Benchmark_Input'!$A$2:$A$10,0))</f>
        <v/>
      </c>
      <c r="U57" s="7">
        <f>INDEX('01_Benchmark_Input'!$Z$2:$Z$10,MATCH(B57,'01_Benchmark_Input'!$A$2:$A$10,0))</f>
        <v/>
      </c>
      <c r="V57" s="6">
        <f>INDEX('01_Benchmark_Input'!$D$2:$D$10,MATCH(B57,'01_Benchmark_Input'!$A$2:$A$10,0))</f>
        <v/>
      </c>
      <c r="W57" s="6">
        <f>INDEX('01_Benchmark_Input'!$E$2:$E$10,MATCH(B57,'01_Benchmark_Input'!$A$2:$A$10,0))</f>
        <v/>
      </c>
      <c r="X57" s="6">
        <f>INDEX('01_Benchmark_Input'!$F$2:$F$10,MATCH(B57,'01_Benchmark_Input'!$A$2:$A$10,0))</f>
        <v/>
      </c>
      <c r="Y57" s="7">
        <f>N57*R57+O57*S57+P57*T57+Q57*U57</f>
        <v/>
      </c>
      <c r="Z57" s="6">
        <f>'02_Inputs'!K57</f>
        <v/>
      </c>
      <c r="AA57" s="7">
        <f>Y57*Z57</f>
        <v/>
      </c>
      <c r="AB57" s="5">
        <f>L57*1000*AA57*86400</f>
        <v/>
      </c>
      <c r="AC57" s="5">
        <f>AB57*365</f>
        <v/>
      </c>
    </row>
    <row r="58">
      <c r="A58" s="5">
        <f>'02_Inputs'!A58</f>
        <v/>
      </c>
      <c r="B58" s="5">
        <f>'02_Inputs'!B58</f>
        <v/>
      </c>
      <c r="C58" s="5">
        <f>'02_Inputs'!C58</f>
        <v/>
      </c>
      <c r="D58" s="29">
        <f>'02_Inputs'!D58</f>
        <v/>
      </c>
      <c r="E58" s="6">
        <f>'02_Inputs'!E58</f>
        <v/>
      </c>
      <c r="F58" s="29">
        <f>D58*E58</f>
        <v/>
      </c>
      <c r="G58" s="5">
        <f>'02_Inputs'!F58</f>
        <v/>
      </c>
      <c r="H58" s="29">
        <f>F58/G58</f>
        <v/>
      </c>
      <c r="I58" s="6">
        <f>'02_Inputs'!G58</f>
        <v/>
      </c>
      <c r="J58" s="29">
        <f>H58*I58</f>
        <v/>
      </c>
      <c r="K58" s="6">
        <f>'02_Inputs'!H58</f>
        <v/>
      </c>
      <c r="L58" s="29">
        <f>J58*K58</f>
        <v/>
      </c>
      <c r="M58" s="29">
        <f>J58*(1-K58)</f>
        <v/>
      </c>
      <c r="N58" s="6">
        <f>'02_GPU_Mix_Input'!D58</f>
        <v/>
      </c>
      <c r="O58" s="6">
        <f>'02_GPU_Mix_Input'!E58</f>
        <v/>
      </c>
      <c r="P58" s="6">
        <f>'02_GPU_Mix_Input'!F58</f>
        <v/>
      </c>
      <c r="Q58" s="6">
        <f>'02_GPU_Mix_Input'!G58</f>
        <v/>
      </c>
      <c r="R58" s="7">
        <f>INDEX('01_Benchmark_Input'!$K$2:$K$10,MATCH(B58,'01_Benchmark_Input'!$A$2:$A$10,0))</f>
        <v/>
      </c>
      <c r="S58" s="7">
        <f>INDEX('01_Benchmark_Input'!$P$2:$P$10,MATCH(B58,'01_Benchmark_Input'!$A$2:$A$10,0))</f>
        <v/>
      </c>
      <c r="T58" s="7">
        <f>INDEX('01_Benchmark_Input'!$U$2:$U$10,MATCH(B58,'01_Benchmark_Input'!$A$2:$A$10,0))</f>
        <v/>
      </c>
      <c r="U58" s="7">
        <f>INDEX('01_Benchmark_Input'!$Z$2:$Z$10,MATCH(B58,'01_Benchmark_Input'!$A$2:$A$10,0))</f>
        <v/>
      </c>
      <c r="V58" s="6">
        <f>INDEX('01_Benchmark_Input'!$D$2:$D$10,MATCH(B58,'01_Benchmark_Input'!$A$2:$A$10,0))</f>
        <v/>
      </c>
      <c r="W58" s="6">
        <f>INDEX('01_Benchmark_Input'!$E$2:$E$10,MATCH(B58,'01_Benchmark_Input'!$A$2:$A$10,0))</f>
        <v/>
      </c>
      <c r="X58" s="6">
        <f>INDEX('01_Benchmark_Input'!$F$2:$F$10,MATCH(B58,'01_Benchmark_Input'!$A$2:$A$10,0))</f>
        <v/>
      </c>
      <c r="Y58" s="7">
        <f>N58*R58+O58*S58+P58*T58+Q58*U58</f>
        <v/>
      </c>
      <c r="Z58" s="6">
        <f>'02_Inputs'!K58</f>
        <v/>
      </c>
      <c r="AA58" s="7">
        <f>Y58*Z58</f>
        <v/>
      </c>
      <c r="AB58" s="5">
        <f>L58*1000*AA58*86400</f>
        <v/>
      </c>
      <c r="AC58" s="5">
        <f>AB58*365</f>
        <v/>
      </c>
    </row>
    <row r="59">
      <c r="A59" s="5">
        <f>'02_Inputs'!A59</f>
        <v/>
      </c>
      <c r="B59" s="5">
        <f>'02_Inputs'!B59</f>
        <v/>
      </c>
      <c r="C59" s="5">
        <f>'02_Inputs'!C59</f>
        <v/>
      </c>
      <c r="D59" s="29">
        <f>'02_Inputs'!D59</f>
        <v/>
      </c>
      <c r="E59" s="6">
        <f>'02_Inputs'!E59</f>
        <v/>
      </c>
      <c r="F59" s="29">
        <f>D59*E59</f>
        <v/>
      </c>
      <c r="G59" s="5">
        <f>'02_Inputs'!F59</f>
        <v/>
      </c>
      <c r="H59" s="29">
        <f>F59/G59</f>
        <v/>
      </c>
      <c r="I59" s="6">
        <f>'02_Inputs'!G59</f>
        <v/>
      </c>
      <c r="J59" s="29">
        <f>H59*I59</f>
        <v/>
      </c>
      <c r="K59" s="6">
        <f>'02_Inputs'!H59</f>
        <v/>
      </c>
      <c r="L59" s="29">
        <f>J59*K59</f>
        <v/>
      </c>
      <c r="M59" s="29">
        <f>J59*(1-K59)</f>
        <v/>
      </c>
      <c r="N59" s="6">
        <f>'02_GPU_Mix_Input'!D59</f>
        <v/>
      </c>
      <c r="O59" s="6">
        <f>'02_GPU_Mix_Input'!E59</f>
        <v/>
      </c>
      <c r="P59" s="6">
        <f>'02_GPU_Mix_Input'!F59</f>
        <v/>
      </c>
      <c r="Q59" s="6">
        <f>'02_GPU_Mix_Input'!G59</f>
        <v/>
      </c>
      <c r="R59" s="7">
        <f>INDEX('01_Benchmark_Input'!$K$2:$K$10,MATCH(B59,'01_Benchmark_Input'!$A$2:$A$10,0))</f>
        <v/>
      </c>
      <c r="S59" s="7">
        <f>INDEX('01_Benchmark_Input'!$P$2:$P$10,MATCH(B59,'01_Benchmark_Input'!$A$2:$A$10,0))</f>
        <v/>
      </c>
      <c r="T59" s="7">
        <f>INDEX('01_Benchmark_Input'!$U$2:$U$10,MATCH(B59,'01_Benchmark_Input'!$A$2:$A$10,0))</f>
        <v/>
      </c>
      <c r="U59" s="7">
        <f>INDEX('01_Benchmark_Input'!$Z$2:$Z$10,MATCH(B59,'01_Benchmark_Input'!$A$2:$A$10,0))</f>
        <v/>
      </c>
      <c r="V59" s="6">
        <f>INDEX('01_Benchmark_Input'!$D$2:$D$10,MATCH(B59,'01_Benchmark_Input'!$A$2:$A$10,0))</f>
        <v/>
      </c>
      <c r="W59" s="6">
        <f>INDEX('01_Benchmark_Input'!$E$2:$E$10,MATCH(B59,'01_Benchmark_Input'!$A$2:$A$10,0))</f>
        <v/>
      </c>
      <c r="X59" s="6">
        <f>INDEX('01_Benchmark_Input'!$F$2:$F$10,MATCH(B59,'01_Benchmark_Input'!$A$2:$A$10,0))</f>
        <v/>
      </c>
      <c r="Y59" s="7">
        <f>N59*R59+O59*S59+P59*T59+Q59*U59</f>
        <v/>
      </c>
      <c r="Z59" s="6">
        <f>'02_Inputs'!K59</f>
        <v/>
      </c>
      <c r="AA59" s="7">
        <f>Y59*Z59</f>
        <v/>
      </c>
      <c r="AB59" s="5">
        <f>L59*1000*AA59*86400</f>
        <v/>
      </c>
      <c r="AC59" s="5">
        <f>AB59*365</f>
        <v/>
      </c>
    </row>
    <row r="60">
      <c r="A60" s="5">
        <f>'02_Inputs'!A60</f>
        <v/>
      </c>
      <c r="B60" s="5">
        <f>'02_Inputs'!B60</f>
        <v/>
      </c>
      <c r="C60" s="5">
        <f>'02_Inputs'!C60</f>
        <v/>
      </c>
      <c r="D60" s="29">
        <f>'02_Inputs'!D60</f>
        <v/>
      </c>
      <c r="E60" s="6">
        <f>'02_Inputs'!E60</f>
        <v/>
      </c>
      <c r="F60" s="29">
        <f>D60*E60</f>
        <v/>
      </c>
      <c r="G60" s="5">
        <f>'02_Inputs'!F60</f>
        <v/>
      </c>
      <c r="H60" s="29">
        <f>F60/G60</f>
        <v/>
      </c>
      <c r="I60" s="6">
        <f>'02_Inputs'!G60</f>
        <v/>
      </c>
      <c r="J60" s="29">
        <f>H60*I60</f>
        <v/>
      </c>
      <c r="K60" s="6">
        <f>'02_Inputs'!H60</f>
        <v/>
      </c>
      <c r="L60" s="29">
        <f>J60*K60</f>
        <v/>
      </c>
      <c r="M60" s="29">
        <f>J60*(1-K60)</f>
        <v/>
      </c>
      <c r="N60" s="6">
        <f>'02_GPU_Mix_Input'!D60</f>
        <v/>
      </c>
      <c r="O60" s="6">
        <f>'02_GPU_Mix_Input'!E60</f>
        <v/>
      </c>
      <c r="P60" s="6">
        <f>'02_GPU_Mix_Input'!F60</f>
        <v/>
      </c>
      <c r="Q60" s="6">
        <f>'02_GPU_Mix_Input'!G60</f>
        <v/>
      </c>
      <c r="R60" s="7">
        <f>INDEX('01_Benchmark_Input'!$K$2:$K$10,MATCH(B60,'01_Benchmark_Input'!$A$2:$A$10,0))</f>
        <v/>
      </c>
      <c r="S60" s="7">
        <f>INDEX('01_Benchmark_Input'!$P$2:$P$10,MATCH(B60,'01_Benchmark_Input'!$A$2:$A$10,0))</f>
        <v/>
      </c>
      <c r="T60" s="7">
        <f>INDEX('01_Benchmark_Input'!$U$2:$U$10,MATCH(B60,'01_Benchmark_Input'!$A$2:$A$10,0))</f>
        <v/>
      </c>
      <c r="U60" s="7">
        <f>INDEX('01_Benchmark_Input'!$Z$2:$Z$10,MATCH(B60,'01_Benchmark_Input'!$A$2:$A$10,0))</f>
        <v/>
      </c>
      <c r="V60" s="6">
        <f>INDEX('01_Benchmark_Input'!$D$2:$D$10,MATCH(B60,'01_Benchmark_Input'!$A$2:$A$10,0))</f>
        <v/>
      </c>
      <c r="W60" s="6">
        <f>INDEX('01_Benchmark_Input'!$E$2:$E$10,MATCH(B60,'01_Benchmark_Input'!$A$2:$A$10,0))</f>
        <v/>
      </c>
      <c r="X60" s="6">
        <f>INDEX('01_Benchmark_Input'!$F$2:$F$10,MATCH(B60,'01_Benchmark_Input'!$A$2:$A$10,0))</f>
        <v/>
      </c>
      <c r="Y60" s="7">
        <f>N60*R60+O60*S60+P60*T60+Q60*U60</f>
        <v/>
      </c>
      <c r="Z60" s="6">
        <f>'02_Inputs'!K60</f>
        <v/>
      </c>
      <c r="AA60" s="7">
        <f>Y60*Z60</f>
        <v/>
      </c>
      <c r="AB60" s="5">
        <f>L60*1000*AA60*86400</f>
        <v/>
      </c>
      <c r="AC60" s="5">
        <f>AB60*365</f>
        <v/>
      </c>
    </row>
    <row r="61">
      <c r="A61" s="5">
        <f>'02_Inputs'!A61</f>
        <v/>
      </c>
      <c r="B61" s="5">
        <f>'02_Inputs'!B61</f>
        <v/>
      </c>
      <c r="C61" s="5">
        <f>'02_Inputs'!C61</f>
        <v/>
      </c>
      <c r="D61" s="29">
        <f>'02_Inputs'!D61</f>
        <v/>
      </c>
      <c r="E61" s="6">
        <f>'02_Inputs'!E61</f>
        <v/>
      </c>
      <c r="F61" s="29">
        <f>D61*E61</f>
        <v/>
      </c>
      <c r="G61" s="5">
        <f>'02_Inputs'!F61</f>
        <v/>
      </c>
      <c r="H61" s="29">
        <f>F61/G61</f>
        <v/>
      </c>
      <c r="I61" s="6">
        <f>'02_Inputs'!G61</f>
        <v/>
      </c>
      <c r="J61" s="29">
        <f>H61*I61</f>
        <v/>
      </c>
      <c r="K61" s="6">
        <f>'02_Inputs'!H61</f>
        <v/>
      </c>
      <c r="L61" s="29">
        <f>J61*K61</f>
        <v/>
      </c>
      <c r="M61" s="29">
        <f>J61*(1-K61)</f>
        <v/>
      </c>
      <c r="N61" s="6">
        <f>'02_GPU_Mix_Input'!D61</f>
        <v/>
      </c>
      <c r="O61" s="6">
        <f>'02_GPU_Mix_Input'!E61</f>
        <v/>
      </c>
      <c r="P61" s="6">
        <f>'02_GPU_Mix_Input'!F61</f>
        <v/>
      </c>
      <c r="Q61" s="6">
        <f>'02_GPU_Mix_Input'!G61</f>
        <v/>
      </c>
      <c r="R61" s="7">
        <f>INDEX('01_Benchmark_Input'!$K$2:$K$10,MATCH(B61,'01_Benchmark_Input'!$A$2:$A$10,0))</f>
        <v/>
      </c>
      <c r="S61" s="7">
        <f>INDEX('01_Benchmark_Input'!$P$2:$P$10,MATCH(B61,'01_Benchmark_Input'!$A$2:$A$10,0))</f>
        <v/>
      </c>
      <c r="T61" s="7">
        <f>INDEX('01_Benchmark_Input'!$U$2:$U$10,MATCH(B61,'01_Benchmark_Input'!$A$2:$A$10,0))</f>
        <v/>
      </c>
      <c r="U61" s="7">
        <f>INDEX('01_Benchmark_Input'!$Z$2:$Z$10,MATCH(B61,'01_Benchmark_Input'!$A$2:$A$10,0))</f>
        <v/>
      </c>
      <c r="V61" s="6">
        <f>INDEX('01_Benchmark_Input'!$D$2:$D$10,MATCH(B61,'01_Benchmark_Input'!$A$2:$A$10,0))</f>
        <v/>
      </c>
      <c r="W61" s="6">
        <f>INDEX('01_Benchmark_Input'!$E$2:$E$10,MATCH(B61,'01_Benchmark_Input'!$A$2:$A$10,0))</f>
        <v/>
      </c>
      <c r="X61" s="6">
        <f>INDEX('01_Benchmark_Input'!$F$2:$F$10,MATCH(B61,'01_Benchmark_Input'!$A$2:$A$10,0))</f>
        <v/>
      </c>
      <c r="Y61" s="7">
        <f>N61*R61+O61*S61+P61*T61+Q61*U61</f>
        <v/>
      </c>
      <c r="Z61" s="6">
        <f>'02_Inputs'!K61</f>
        <v/>
      </c>
      <c r="AA61" s="7">
        <f>Y61*Z61</f>
        <v/>
      </c>
      <c r="AB61" s="5">
        <f>L61*1000*AA61*86400</f>
        <v/>
      </c>
      <c r="AC61" s="5">
        <f>AB61*365</f>
        <v/>
      </c>
    </row>
    <row r="62">
      <c r="A62" s="5">
        <f>'02_Inputs'!A62</f>
        <v/>
      </c>
      <c r="B62" s="5">
        <f>'02_Inputs'!B62</f>
        <v/>
      </c>
      <c r="C62" s="5">
        <f>'02_Inputs'!C62</f>
        <v/>
      </c>
      <c r="D62" s="29">
        <f>'02_Inputs'!D62</f>
        <v/>
      </c>
      <c r="E62" s="6">
        <f>'02_Inputs'!E62</f>
        <v/>
      </c>
      <c r="F62" s="29">
        <f>D62*E62</f>
        <v/>
      </c>
      <c r="G62" s="5">
        <f>'02_Inputs'!F62</f>
        <v/>
      </c>
      <c r="H62" s="29">
        <f>F62/G62</f>
        <v/>
      </c>
      <c r="I62" s="6">
        <f>'02_Inputs'!G62</f>
        <v/>
      </c>
      <c r="J62" s="29">
        <f>H62*I62</f>
        <v/>
      </c>
      <c r="K62" s="6">
        <f>'02_Inputs'!H62</f>
        <v/>
      </c>
      <c r="L62" s="29">
        <f>J62*K62</f>
        <v/>
      </c>
      <c r="M62" s="29">
        <f>J62*(1-K62)</f>
        <v/>
      </c>
      <c r="N62" s="6">
        <f>'02_GPU_Mix_Input'!D62</f>
        <v/>
      </c>
      <c r="O62" s="6">
        <f>'02_GPU_Mix_Input'!E62</f>
        <v/>
      </c>
      <c r="P62" s="6">
        <f>'02_GPU_Mix_Input'!F62</f>
        <v/>
      </c>
      <c r="Q62" s="6">
        <f>'02_GPU_Mix_Input'!G62</f>
        <v/>
      </c>
      <c r="R62" s="7">
        <f>INDEX('01_Benchmark_Input'!$K$2:$K$10,MATCH(B62,'01_Benchmark_Input'!$A$2:$A$10,0))</f>
        <v/>
      </c>
      <c r="S62" s="7">
        <f>INDEX('01_Benchmark_Input'!$P$2:$P$10,MATCH(B62,'01_Benchmark_Input'!$A$2:$A$10,0))</f>
        <v/>
      </c>
      <c r="T62" s="7">
        <f>INDEX('01_Benchmark_Input'!$U$2:$U$10,MATCH(B62,'01_Benchmark_Input'!$A$2:$A$10,0))</f>
        <v/>
      </c>
      <c r="U62" s="7">
        <f>INDEX('01_Benchmark_Input'!$Z$2:$Z$10,MATCH(B62,'01_Benchmark_Input'!$A$2:$A$10,0))</f>
        <v/>
      </c>
      <c r="V62" s="6">
        <f>INDEX('01_Benchmark_Input'!$D$2:$D$10,MATCH(B62,'01_Benchmark_Input'!$A$2:$A$10,0))</f>
        <v/>
      </c>
      <c r="W62" s="6">
        <f>INDEX('01_Benchmark_Input'!$E$2:$E$10,MATCH(B62,'01_Benchmark_Input'!$A$2:$A$10,0))</f>
        <v/>
      </c>
      <c r="X62" s="6">
        <f>INDEX('01_Benchmark_Input'!$F$2:$F$10,MATCH(B62,'01_Benchmark_Input'!$A$2:$A$10,0))</f>
        <v/>
      </c>
      <c r="Y62" s="7">
        <f>N62*R62+O62*S62+P62*T62+Q62*U62</f>
        <v/>
      </c>
      <c r="Z62" s="6">
        <f>'02_Inputs'!K62</f>
        <v/>
      </c>
      <c r="AA62" s="7">
        <f>Y62*Z62</f>
        <v/>
      </c>
      <c r="AB62" s="5">
        <f>L62*1000*AA62*86400</f>
        <v/>
      </c>
      <c r="AC62" s="5">
        <f>AB62*365</f>
        <v/>
      </c>
    </row>
    <row r="63">
      <c r="A63" s="5">
        <f>'02_Inputs'!A63</f>
        <v/>
      </c>
      <c r="B63" s="5">
        <f>'02_Inputs'!B63</f>
        <v/>
      </c>
      <c r="C63" s="5">
        <f>'02_Inputs'!C63</f>
        <v/>
      </c>
      <c r="D63" s="29">
        <f>'02_Inputs'!D63</f>
        <v/>
      </c>
      <c r="E63" s="6">
        <f>'02_Inputs'!E63</f>
        <v/>
      </c>
      <c r="F63" s="29">
        <f>D63*E63</f>
        <v/>
      </c>
      <c r="G63" s="5">
        <f>'02_Inputs'!F63</f>
        <v/>
      </c>
      <c r="H63" s="29">
        <f>F63/G63</f>
        <v/>
      </c>
      <c r="I63" s="6">
        <f>'02_Inputs'!G63</f>
        <v/>
      </c>
      <c r="J63" s="29">
        <f>H63*I63</f>
        <v/>
      </c>
      <c r="K63" s="6">
        <f>'02_Inputs'!H63</f>
        <v/>
      </c>
      <c r="L63" s="29">
        <f>J63*K63</f>
        <v/>
      </c>
      <c r="M63" s="29">
        <f>J63*(1-K63)</f>
        <v/>
      </c>
      <c r="N63" s="6">
        <f>'02_GPU_Mix_Input'!D63</f>
        <v/>
      </c>
      <c r="O63" s="6">
        <f>'02_GPU_Mix_Input'!E63</f>
        <v/>
      </c>
      <c r="P63" s="6">
        <f>'02_GPU_Mix_Input'!F63</f>
        <v/>
      </c>
      <c r="Q63" s="6">
        <f>'02_GPU_Mix_Input'!G63</f>
        <v/>
      </c>
      <c r="R63" s="7">
        <f>INDEX('01_Benchmark_Input'!$K$2:$K$10,MATCH(B63,'01_Benchmark_Input'!$A$2:$A$10,0))</f>
        <v/>
      </c>
      <c r="S63" s="7">
        <f>INDEX('01_Benchmark_Input'!$P$2:$P$10,MATCH(B63,'01_Benchmark_Input'!$A$2:$A$10,0))</f>
        <v/>
      </c>
      <c r="T63" s="7">
        <f>INDEX('01_Benchmark_Input'!$U$2:$U$10,MATCH(B63,'01_Benchmark_Input'!$A$2:$A$10,0))</f>
        <v/>
      </c>
      <c r="U63" s="7">
        <f>INDEX('01_Benchmark_Input'!$Z$2:$Z$10,MATCH(B63,'01_Benchmark_Input'!$A$2:$A$10,0))</f>
        <v/>
      </c>
      <c r="V63" s="6">
        <f>INDEX('01_Benchmark_Input'!$D$2:$D$10,MATCH(B63,'01_Benchmark_Input'!$A$2:$A$10,0))</f>
        <v/>
      </c>
      <c r="W63" s="6">
        <f>INDEX('01_Benchmark_Input'!$E$2:$E$10,MATCH(B63,'01_Benchmark_Input'!$A$2:$A$10,0))</f>
        <v/>
      </c>
      <c r="X63" s="6">
        <f>INDEX('01_Benchmark_Input'!$F$2:$F$10,MATCH(B63,'01_Benchmark_Input'!$A$2:$A$10,0))</f>
        <v/>
      </c>
      <c r="Y63" s="7">
        <f>N63*R63+O63*S63+P63*T63+Q63*U63</f>
        <v/>
      </c>
      <c r="Z63" s="6">
        <f>'02_Inputs'!K63</f>
        <v/>
      </c>
      <c r="AA63" s="7">
        <f>Y63*Z63</f>
        <v/>
      </c>
      <c r="AB63" s="5">
        <f>L63*1000*AA63*86400</f>
        <v/>
      </c>
      <c r="AC63" s="5">
        <f>AB63*365</f>
        <v/>
      </c>
    </row>
    <row r="64">
      <c r="A64" s="5">
        <f>'02_Inputs'!A64</f>
        <v/>
      </c>
      <c r="B64" s="5">
        <f>'02_Inputs'!B64</f>
        <v/>
      </c>
      <c r="C64" s="5">
        <f>'02_Inputs'!C64</f>
        <v/>
      </c>
      <c r="D64" s="29">
        <f>'02_Inputs'!D64</f>
        <v/>
      </c>
      <c r="E64" s="6">
        <f>'02_Inputs'!E64</f>
        <v/>
      </c>
      <c r="F64" s="29">
        <f>D64*E64</f>
        <v/>
      </c>
      <c r="G64" s="5">
        <f>'02_Inputs'!F64</f>
        <v/>
      </c>
      <c r="H64" s="29">
        <f>F64/G64</f>
        <v/>
      </c>
      <c r="I64" s="6">
        <f>'02_Inputs'!G64</f>
        <v/>
      </c>
      <c r="J64" s="29">
        <f>H64*I64</f>
        <v/>
      </c>
      <c r="K64" s="6">
        <f>'02_Inputs'!H64</f>
        <v/>
      </c>
      <c r="L64" s="29">
        <f>J64*K64</f>
        <v/>
      </c>
      <c r="M64" s="29">
        <f>J64*(1-K64)</f>
        <v/>
      </c>
      <c r="N64" s="6">
        <f>'02_GPU_Mix_Input'!D64</f>
        <v/>
      </c>
      <c r="O64" s="6">
        <f>'02_GPU_Mix_Input'!E64</f>
        <v/>
      </c>
      <c r="P64" s="6">
        <f>'02_GPU_Mix_Input'!F64</f>
        <v/>
      </c>
      <c r="Q64" s="6">
        <f>'02_GPU_Mix_Input'!G64</f>
        <v/>
      </c>
      <c r="R64" s="7">
        <f>INDEX('01_Benchmark_Input'!$K$2:$K$10,MATCH(B64,'01_Benchmark_Input'!$A$2:$A$10,0))</f>
        <v/>
      </c>
      <c r="S64" s="7">
        <f>INDEX('01_Benchmark_Input'!$P$2:$P$10,MATCH(B64,'01_Benchmark_Input'!$A$2:$A$10,0))</f>
        <v/>
      </c>
      <c r="T64" s="7">
        <f>INDEX('01_Benchmark_Input'!$U$2:$U$10,MATCH(B64,'01_Benchmark_Input'!$A$2:$A$10,0))</f>
        <v/>
      </c>
      <c r="U64" s="7">
        <f>INDEX('01_Benchmark_Input'!$Z$2:$Z$10,MATCH(B64,'01_Benchmark_Input'!$A$2:$A$10,0))</f>
        <v/>
      </c>
      <c r="V64" s="6">
        <f>INDEX('01_Benchmark_Input'!$D$2:$D$10,MATCH(B64,'01_Benchmark_Input'!$A$2:$A$10,0))</f>
        <v/>
      </c>
      <c r="W64" s="6">
        <f>INDEX('01_Benchmark_Input'!$E$2:$E$10,MATCH(B64,'01_Benchmark_Input'!$A$2:$A$10,0))</f>
        <v/>
      </c>
      <c r="X64" s="6">
        <f>INDEX('01_Benchmark_Input'!$F$2:$F$10,MATCH(B64,'01_Benchmark_Input'!$A$2:$A$10,0))</f>
        <v/>
      </c>
      <c r="Y64" s="7">
        <f>N64*R64+O64*S64+P64*T64+Q64*U64</f>
        <v/>
      </c>
      <c r="Z64" s="6">
        <f>'02_Inputs'!K64</f>
        <v/>
      </c>
      <c r="AA64" s="7">
        <f>Y64*Z64</f>
        <v/>
      </c>
      <c r="AB64" s="5">
        <f>L64*1000*AA64*86400</f>
        <v/>
      </c>
      <c r="AC64" s="5">
        <f>AB64*365</f>
        <v/>
      </c>
    </row>
    <row r="65">
      <c r="A65" s="5">
        <f>'02_Inputs'!A65</f>
        <v/>
      </c>
      <c r="B65" s="5">
        <f>'02_Inputs'!B65</f>
        <v/>
      </c>
      <c r="C65" s="5">
        <f>'02_Inputs'!C65</f>
        <v/>
      </c>
      <c r="D65" s="29">
        <f>'02_Inputs'!D65</f>
        <v/>
      </c>
      <c r="E65" s="6">
        <f>'02_Inputs'!E65</f>
        <v/>
      </c>
      <c r="F65" s="29">
        <f>D65*E65</f>
        <v/>
      </c>
      <c r="G65" s="5">
        <f>'02_Inputs'!F65</f>
        <v/>
      </c>
      <c r="H65" s="29">
        <f>F65/G65</f>
        <v/>
      </c>
      <c r="I65" s="6">
        <f>'02_Inputs'!G65</f>
        <v/>
      </c>
      <c r="J65" s="29">
        <f>H65*I65</f>
        <v/>
      </c>
      <c r="K65" s="6">
        <f>'02_Inputs'!H65</f>
        <v/>
      </c>
      <c r="L65" s="29">
        <f>J65*K65</f>
        <v/>
      </c>
      <c r="M65" s="29">
        <f>J65*(1-K65)</f>
        <v/>
      </c>
      <c r="N65" s="6">
        <f>'02_GPU_Mix_Input'!D65</f>
        <v/>
      </c>
      <c r="O65" s="6">
        <f>'02_GPU_Mix_Input'!E65</f>
        <v/>
      </c>
      <c r="P65" s="6">
        <f>'02_GPU_Mix_Input'!F65</f>
        <v/>
      </c>
      <c r="Q65" s="6">
        <f>'02_GPU_Mix_Input'!G65</f>
        <v/>
      </c>
      <c r="R65" s="7">
        <f>INDEX('01_Benchmark_Input'!$K$2:$K$10,MATCH(B65,'01_Benchmark_Input'!$A$2:$A$10,0))</f>
        <v/>
      </c>
      <c r="S65" s="7">
        <f>INDEX('01_Benchmark_Input'!$P$2:$P$10,MATCH(B65,'01_Benchmark_Input'!$A$2:$A$10,0))</f>
        <v/>
      </c>
      <c r="T65" s="7">
        <f>INDEX('01_Benchmark_Input'!$U$2:$U$10,MATCH(B65,'01_Benchmark_Input'!$A$2:$A$10,0))</f>
        <v/>
      </c>
      <c r="U65" s="7">
        <f>INDEX('01_Benchmark_Input'!$Z$2:$Z$10,MATCH(B65,'01_Benchmark_Input'!$A$2:$A$10,0))</f>
        <v/>
      </c>
      <c r="V65" s="6">
        <f>INDEX('01_Benchmark_Input'!$D$2:$D$10,MATCH(B65,'01_Benchmark_Input'!$A$2:$A$10,0))</f>
        <v/>
      </c>
      <c r="W65" s="6">
        <f>INDEX('01_Benchmark_Input'!$E$2:$E$10,MATCH(B65,'01_Benchmark_Input'!$A$2:$A$10,0))</f>
        <v/>
      </c>
      <c r="X65" s="6">
        <f>INDEX('01_Benchmark_Input'!$F$2:$F$10,MATCH(B65,'01_Benchmark_Input'!$A$2:$A$10,0))</f>
        <v/>
      </c>
      <c r="Y65" s="7">
        <f>N65*R65+O65*S65+P65*T65+Q65*U65</f>
        <v/>
      </c>
      <c r="Z65" s="6">
        <f>'02_Inputs'!K65</f>
        <v/>
      </c>
      <c r="AA65" s="7">
        <f>Y65*Z65</f>
        <v/>
      </c>
      <c r="AB65" s="5">
        <f>L65*1000*AA65*86400</f>
        <v/>
      </c>
      <c r="AC65" s="5">
        <f>AB65*365</f>
        <v/>
      </c>
    </row>
    <row r="66">
      <c r="A66" s="5">
        <f>'02_Inputs'!A66</f>
        <v/>
      </c>
      <c r="B66" s="5">
        <f>'02_Inputs'!B66</f>
        <v/>
      </c>
      <c r="C66" s="5">
        <f>'02_Inputs'!C66</f>
        <v/>
      </c>
      <c r="D66" s="29">
        <f>'02_Inputs'!D66</f>
        <v/>
      </c>
      <c r="E66" s="6">
        <f>'02_Inputs'!E66</f>
        <v/>
      </c>
      <c r="F66" s="29">
        <f>D66*E66</f>
        <v/>
      </c>
      <c r="G66" s="5">
        <f>'02_Inputs'!F66</f>
        <v/>
      </c>
      <c r="H66" s="29">
        <f>F66/G66</f>
        <v/>
      </c>
      <c r="I66" s="6">
        <f>'02_Inputs'!G66</f>
        <v/>
      </c>
      <c r="J66" s="29">
        <f>H66*I66</f>
        <v/>
      </c>
      <c r="K66" s="6">
        <f>'02_Inputs'!H66</f>
        <v/>
      </c>
      <c r="L66" s="29">
        <f>J66*K66</f>
        <v/>
      </c>
      <c r="M66" s="29">
        <f>J66*(1-K66)</f>
        <v/>
      </c>
      <c r="N66" s="6">
        <f>'02_GPU_Mix_Input'!D66</f>
        <v/>
      </c>
      <c r="O66" s="6">
        <f>'02_GPU_Mix_Input'!E66</f>
        <v/>
      </c>
      <c r="P66" s="6">
        <f>'02_GPU_Mix_Input'!F66</f>
        <v/>
      </c>
      <c r="Q66" s="6">
        <f>'02_GPU_Mix_Input'!G66</f>
        <v/>
      </c>
      <c r="R66" s="7">
        <f>INDEX('01_Benchmark_Input'!$K$2:$K$10,MATCH(B66,'01_Benchmark_Input'!$A$2:$A$10,0))</f>
        <v/>
      </c>
      <c r="S66" s="7">
        <f>INDEX('01_Benchmark_Input'!$P$2:$P$10,MATCH(B66,'01_Benchmark_Input'!$A$2:$A$10,0))</f>
        <v/>
      </c>
      <c r="T66" s="7">
        <f>INDEX('01_Benchmark_Input'!$U$2:$U$10,MATCH(B66,'01_Benchmark_Input'!$A$2:$A$10,0))</f>
        <v/>
      </c>
      <c r="U66" s="7">
        <f>INDEX('01_Benchmark_Input'!$Z$2:$Z$10,MATCH(B66,'01_Benchmark_Input'!$A$2:$A$10,0))</f>
        <v/>
      </c>
      <c r="V66" s="6">
        <f>INDEX('01_Benchmark_Input'!$D$2:$D$10,MATCH(B66,'01_Benchmark_Input'!$A$2:$A$10,0))</f>
        <v/>
      </c>
      <c r="W66" s="6">
        <f>INDEX('01_Benchmark_Input'!$E$2:$E$10,MATCH(B66,'01_Benchmark_Input'!$A$2:$A$10,0))</f>
        <v/>
      </c>
      <c r="X66" s="6">
        <f>INDEX('01_Benchmark_Input'!$F$2:$F$10,MATCH(B66,'01_Benchmark_Input'!$A$2:$A$10,0))</f>
        <v/>
      </c>
      <c r="Y66" s="7">
        <f>N66*R66+O66*S66+P66*T66+Q66*U66</f>
        <v/>
      </c>
      <c r="Z66" s="6">
        <f>'02_Inputs'!K66</f>
        <v/>
      </c>
      <c r="AA66" s="7">
        <f>Y66*Z66</f>
        <v/>
      </c>
      <c r="AB66" s="5">
        <f>L66*1000*AA66*86400</f>
        <v/>
      </c>
      <c r="AC66" s="5">
        <f>AB66*365</f>
        <v/>
      </c>
    </row>
    <row r="67">
      <c r="A67" s="5">
        <f>'02_Inputs'!A67</f>
        <v/>
      </c>
      <c r="B67" s="5">
        <f>'02_Inputs'!B67</f>
        <v/>
      </c>
      <c r="C67" s="5">
        <f>'02_Inputs'!C67</f>
        <v/>
      </c>
      <c r="D67" s="29">
        <f>'02_Inputs'!D67</f>
        <v/>
      </c>
      <c r="E67" s="6">
        <f>'02_Inputs'!E67</f>
        <v/>
      </c>
      <c r="F67" s="29">
        <f>D67*E67</f>
        <v/>
      </c>
      <c r="G67" s="5">
        <f>'02_Inputs'!F67</f>
        <v/>
      </c>
      <c r="H67" s="29">
        <f>F67/G67</f>
        <v/>
      </c>
      <c r="I67" s="6">
        <f>'02_Inputs'!G67</f>
        <v/>
      </c>
      <c r="J67" s="29">
        <f>H67*I67</f>
        <v/>
      </c>
      <c r="K67" s="6">
        <f>'02_Inputs'!H67</f>
        <v/>
      </c>
      <c r="L67" s="29">
        <f>J67*K67</f>
        <v/>
      </c>
      <c r="M67" s="29">
        <f>J67*(1-K67)</f>
        <v/>
      </c>
      <c r="N67" s="6">
        <f>'02_GPU_Mix_Input'!D67</f>
        <v/>
      </c>
      <c r="O67" s="6">
        <f>'02_GPU_Mix_Input'!E67</f>
        <v/>
      </c>
      <c r="P67" s="6">
        <f>'02_GPU_Mix_Input'!F67</f>
        <v/>
      </c>
      <c r="Q67" s="6">
        <f>'02_GPU_Mix_Input'!G67</f>
        <v/>
      </c>
      <c r="R67" s="7">
        <f>INDEX('01_Benchmark_Input'!$K$2:$K$10,MATCH(B67,'01_Benchmark_Input'!$A$2:$A$10,0))</f>
        <v/>
      </c>
      <c r="S67" s="7">
        <f>INDEX('01_Benchmark_Input'!$P$2:$P$10,MATCH(B67,'01_Benchmark_Input'!$A$2:$A$10,0))</f>
        <v/>
      </c>
      <c r="T67" s="7">
        <f>INDEX('01_Benchmark_Input'!$U$2:$U$10,MATCH(B67,'01_Benchmark_Input'!$A$2:$A$10,0))</f>
        <v/>
      </c>
      <c r="U67" s="7">
        <f>INDEX('01_Benchmark_Input'!$Z$2:$Z$10,MATCH(B67,'01_Benchmark_Input'!$A$2:$A$10,0))</f>
        <v/>
      </c>
      <c r="V67" s="6">
        <f>INDEX('01_Benchmark_Input'!$D$2:$D$10,MATCH(B67,'01_Benchmark_Input'!$A$2:$A$10,0))</f>
        <v/>
      </c>
      <c r="W67" s="6">
        <f>INDEX('01_Benchmark_Input'!$E$2:$E$10,MATCH(B67,'01_Benchmark_Input'!$A$2:$A$10,0))</f>
        <v/>
      </c>
      <c r="X67" s="6">
        <f>INDEX('01_Benchmark_Input'!$F$2:$F$10,MATCH(B67,'01_Benchmark_Input'!$A$2:$A$10,0))</f>
        <v/>
      </c>
      <c r="Y67" s="7">
        <f>N67*R67+O67*S67+P67*T67+Q67*U67</f>
        <v/>
      </c>
      <c r="Z67" s="6">
        <f>'02_Inputs'!K67</f>
        <v/>
      </c>
      <c r="AA67" s="7">
        <f>Y67*Z67</f>
        <v/>
      </c>
      <c r="AB67" s="5">
        <f>L67*1000*AA67*86400</f>
        <v/>
      </c>
      <c r="AC67" s="5">
        <f>AB67*365</f>
        <v/>
      </c>
    </row>
    <row r="68">
      <c r="A68" s="5">
        <f>'02_Inputs'!A68</f>
        <v/>
      </c>
      <c r="B68" s="5">
        <f>'02_Inputs'!B68</f>
        <v/>
      </c>
      <c r="C68" s="5">
        <f>'02_Inputs'!C68</f>
        <v/>
      </c>
      <c r="D68" s="29">
        <f>'02_Inputs'!D68</f>
        <v/>
      </c>
      <c r="E68" s="6">
        <f>'02_Inputs'!E68</f>
        <v/>
      </c>
      <c r="F68" s="29">
        <f>D68*E68</f>
        <v/>
      </c>
      <c r="G68" s="5">
        <f>'02_Inputs'!F68</f>
        <v/>
      </c>
      <c r="H68" s="29">
        <f>F68/G68</f>
        <v/>
      </c>
      <c r="I68" s="6">
        <f>'02_Inputs'!G68</f>
        <v/>
      </c>
      <c r="J68" s="29">
        <f>H68*I68</f>
        <v/>
      </c>
      <c r="K68" s="6">
        <f>'02_Inputs'!H68</f>
        <v/>
      </c>
      <c r="L68" s="29">
        <f>J68*K68</f>
        <v/>
      </c>
      <c r="M68" s="29">
        <f>J68*(1-K68)</f>
        <v/>
      </c>
      <c r="N68" s="6">
        <f>'02_GPU_Mix_Input'!D68</f>
        <v/>
      </c>
      <c r="O68" s="6">
        <f>'02_GPU_Mix_Input'!E68</f>
        <v/>
      </c>
      <c r="P68" s="6">
        <f>'02_GPU_Mix_Input'!F68</f>
        <v/>
      </c>
      <c r="Q68" s="6">
        <f>'02_GPU_Mix_Input'!G68</f>
        <v/>
      </c>
      <c r="R68" s="7">
        <f>INDEX('01_Benchmark_Input'!$K$2:$K$10,MATCH(B68,'01_Benchmark_Input'!$A$2:$A$10,0))</f>
        <v/>
      </c>
      <c r="S68" s="7">
        <f>INDEX('01_Benchmark_Input'!$P$2:$P$10,MATCH(B68,'01_Benchmark_Input'!$A$2:$A$10,0))</f>
        <v/>
      </c>
      <c r="T68" s="7">
        <f>INDEX('01_Benchmark_Input'!$U$2:$U$10,MATCH(B68,'01_Benchmark_Input'!$A$2:$A$10,0))</f>
        <v/>
      </c>
      <c r="U68" s="7">
        <f>INDEX('01_Benchmark_Input'!$Z$2:$Z$10,MATCH(B68,'01_Benchmark_Input'!$A$2:$A$10,0))</f>
        <v/>
      </c>
      <c r="V68" s="6">
        <f>INDEX('01_Benchmark_Input'!$D$2:$D$10,MATCH(B68,'01_Benchmark_Input'!$A$2:$A$10,0))</f>
        <v/>
      </c>
      <c r="W68" s="6">
        <f>INDEX('01_Benchmark_Input'!$E$2:$E$10,MATCH(B68,'01_Benchmark_Input'!$A$2:$A$10,0))</f>
        <v/>
      </c>
      <c r="X68" s="6">
        <f>INDEX('01_Benchmark_Input'!$F$2:$F$10,MATCH(B68,'01_Benchmark_Input'!$A$2:$A$10,0))</f>
        <v/>
      </c>
      <c r="Y68" s="7">
        <f>N68*R68+O68*S68+P68*T68+Q68*U68</f>
        <v/>
      </c>
      <c r="Z68" s="6">
        <f>'02_Inputs'!K68</f>
        <v/>
      </c>
      <c r="AA68" s="7">
        <f>Y68*Z68</f>
        <v/>
      </c>
      <c r="AB68" s="5">
        <f>L68*1000*AA68*86400</f>
        <v/>
      </c>
      <c r="AC68" s="5">
        <f>AB68*365</f>
        <v/>
      </c>
    </row>
    <row r="69">
      <c r="A69" s="5">
        <f>'02_Inputs'!A69</f>
        <v/>
      </c>
      <c r="B69" s="5">
        <f>'02_Inputs'!B69</f>
        <v/>
      </c>
      <c r="C69" s="5">
        <f>'02_Inputs'!C69</f>
        <v/>
      </c>
      <c r="D69" s="29">
        <f>'02_Inputs'!D69</f>
        <v/>
      </c>
      <c r="E69" s="6">
        <f>'02_Inputs'!E69</f>
        <v/>
      </c>
      <c r="F69" s="29">
        <f>D69*E69</f>
        <v/>
      </c>
      <c r="G69" s="5">
        <f>'02_Inputs'!F69</f>
        <v/>
      </c>
      <c r="H69" s="29">
        <f>F69/G69</f>
        <v/>
      </c>
      <c r="I69" s="6">
        <f>'02_Inputs'!G69</f>
        <v/>
      </c>
      <c r="J69" s="29">
        <f>H69*I69</f>
        <v/>
      </c>
      <c r="K69" s="6">
        <f>'02_Inputs'!H69</f>
        <v/>
      </c>
      <c r="L69" s="29">
        <f>J69*K69</f>
        <v/>
      </c>
      <c r="M69" s="29">
        <f>J69*(1-K69)</f>
        <v/>
      </c>
      <c r="N69" s="6">
        <f>'02_GPU_Mix_Input'!D69</f>
        <v/>
      </c>
      <c r="O69" s="6">
        <f>'02_GPU_Mix_Input'!E69</f>
        <v/>
      </c>
      <c r="P69" s="6">
        <f>'02_GPU_Mix_Input'!F69</f>
        <v/>
      </c>
      <c r="Q69" s="6">
        <f>'02_GPU_Mix_Input'!G69</f>
        <v/>
      </c>
      <c r="R69" s="7">
        <f>INDEX('01_Benchmark_Input'!$K$2:$K$10,MATCH(B69,'01_Benchmark_Input'!$A$2:$A$10,0))</f>
        <v/>
      </c>
      <c r="S69" s="7">
        <f>INDEX('01_Benchmark_Input'!$P$2:$P$10,MATCH(B69,'01_Benchmark_Input'!$A$2:$A$10,0))</f>
        <v/>
      </c>
      <c r="T69" s="7">
        <f>INDEX('01_Benchmark_Input'!$U$2:$U$10,MATCH(B69,'01_Benchmark_Input'!$A$2:$A$10,0))</f>
        <v/>
      </c>
      <c r="U69" s="7">
        <f>INDEX('01_Benchmark_Input'!$Z$2:$Z$10,MATCH(B69,'01_Benchmark_Input'!$A$2:$A$10,0))</f>
        <v/>
      </c>
      <c r="V69" s="6">
        <f>INDEX('01_Benchmark_Input'!$D$2:$D$10,MATCH(B69,'01_Benchmark_Input'!$A$2:$A$10,0))</f>
        <v/>
      </c>
      <c r="W69" s="6">
        <f>INDEX('01_Benchmark_Input'!$E$2:$E$10,MATCH(B69,'01_Benchmark_Input'!$A$2:$A$10,0))</f>
        <v/>
      </c>
      <c r="X69" s="6">
        <f>INDEX('01_Benchmark_Input'!$F$2:$F$10,MATCH(B69,'01_Benchmark_Input'!$A$2:$A$10,0))</f>
        <v/>
      </c>
      <c r="Y69" s="7">
        <f>N69*R69+O69*S69+P69*T69+Q69*U69</f>
        <v/>
      </c>
      <c r="Z69" s="6">
        <f>'02_Inputs'!K69</f>
        <v/>
      </c>
      <c r="AA69" s="7">
        <f>Y69*Z69</f>
        <v/>
      </c>
      <c r="AB69" s="5">
        <f>L69*1000*AA69*86400</f>
        <v/>
      </c>
      <c r="AC69" s="5">
        <f>AB69*365</f>
        <v/>
      </c>
    </row>
    <row r="70">
      <c r="A70" s="5">
        <f>'02_Inputs'!A70</f>
        <v/>
      </c>
      <c r="B70" s="5">
        <f>'02_Inputs'!B70</f>
        <v/>
      </c>
      <c r="C70" s="5">
        <f>'02_Inputs'!C70</f>
        <v/>
      </c>
      <c r="D70" s="29">
        <f>'02_Inputs'!D70</f>
        <v/>
      </c>
      <c r="E70" s="6">
        <f>'02_Inputs'!E70</f>
        <v/>
      </c>
      <c r="F70" s="29">
        <f>D70*E70</f>
        <v/>
      </c>
      <c r="G70" s="5">
        <f>'02_Inputs'!F70</f>
        <v/>
      </c>
      <c r="H70" s="29">
        <f>F70/G70</f>
        <v/>
      </c>
      <c r="I70" s="6">
        <f>'02_Inputs'!G70</f>
        <v/>
      </c>
      <c r="J70" s="29">
        <f>H70*I70</f>
        <v/>
      </c>
      <c r="K70" s="6">
        <f>'02_Inputs'!H70</f>
        <v/>
      </c>
      <c r="L70" s="29">
        <f>J70*K70</f>
        <v/>
      </c>
      <c r="M70" s="29">
        <f>J70*(1-K70)</f>
        <v/>
      </c>
      <c r="N70" s="6">
        <f>'02_GPU_Mix_Input'!D70</f>
        <v/>
      </c>
      <c r="O70" s="6">
        <f>'02_GPU_Mix_Input'!E70</f>
        <v/>
      </c>
      <c r="P70" s="6">
        <f>'02_GPU_Mix_Input'!F70</f>
        <v/>
      </c>
      <c r="Q70" s="6">
        <f>'02_GPU_Mix_Input'!G70</f>
        <v/>
      </c>
      <c r="R70" s="7">
        <f>INDEX('01_Benchmark_Input'!$K$2:$K$10,MATCH(B70,'01_Benchmark_Input'!$A$2:$A$10,0))</f>
        <v/>
      </c>
      <c r="S70" s="7">
        <f>INDEX('01_Benchmark_Input'!$P$2:$P$10,MATCH(B70,'01_Benchmark_Input'!$A$2:$A$10,0))</f>
        <v/>
      </c>
      <c r="T70" s="7">
        <f>INDEX('01_Benchmark_Input'!$U$2:$U$10,MATCH(B70,'01_Benchmark_Input'!$A$2:$A$10,0))</f>
        <v/>
      </c>
      <c r="U70" s="7">
        <f>INDEX('01_Benchmark_Input'!$Z$2:$Z$10,MATCH(B70,'01_Benchmark_Input'!$A$2:$A$10,0))</f>
        <v/>
      </c>
      <c r="V70" s="6">
        <f>INDEX('01_Benchmark_Input'!$D$2:$D$10,MATCH(B70,'01_Benchmark_Input'!$A$2:$A$10,0))</f>
        <v/>
      </c>
      <c r="W70" s="6">
        <f>INDEX('01_Benchmark_Input'!$E$2:$E$10,MATCH(B70,'01_Benchmark_Input'!$A$2:$A$10,0))</f>
        <v/>
      </c>
      <c r="X70" s="6">
        <f>INDEX('01_Benchmark_Input'!$F$2:$F$10,MATCH(B70,'01_Benchmark_Input'!$A$2:$A$10,0))</f>
        <v/>
      </c>
      <c r="Y70" s="7">
        <f>N70*R70+O70*S70+P70*T70+Q70*U70</f>
        <v/>
      </c>
      <c r="Z70" s="6">
        <f>'02_Inputs'!K70</f>
        <v/>
      </c>
      <c r="AA70" s="7">
        <f>Y70*Z70</f>
        <v/>
      </c>
      <c r="AB70" s="5">
        <f>L70*1000*AA70*86400</f>
        <v/>
      </c>
      <c r="AC70" s="5">
        <f>AB70*365</f>
        <v/>
      </c>
    </row>
    <row r="71">
      <c r="A71" s="5">
        <f>'02_Inputs'!A71</f>
        <v/>
      </c>
      <c r="B71" s="5">
        <f>'02_Inputs'!B71</f>
        <v/>
      </c>
      <c r="C71" s="5">
        <f>'02_Inputs'!C71</f>
        <v/>
      </c>
      <c r="D71" s="29">
        <f>'02_Inputs'!D71</f>
        <v/>
      </c>
      <c r="E71" s="6">
        <f>'02_Inputs'!E71</f>
        <v/>
      </c>
      <c r="F71" s="29">
        <f>D71*E71</f>
        <v/>
      </c>
      <c r="G71" s="5">
        <f>'02_Inputs'!F71</f>
        <v/>
      </c>
      <c r="H71" s="29">
        <f>F71/G71</f>
        <v/>
      </c>
      <c r="I71" s="6">
        <f>'02_Inputs'!G71</f>
        <v/>
      </c>
      <c r="J71" s="29">
        <f>H71*I71</f>
        <v/>
      </c>
      <c r="K71" s="6">
        <f>'02_Inputs'!H71</f>
        <v/>
      </c>
      <c r="L71" s="29">
        <f>J71*K71</f>
        <v/>
      </c>
      <c r="M71" s="29">
        <f>J71*(1-K71)</f>
        <v/>
      </c>
      <c r="N71" s="6">
        <f>'02_GPU_Mix_Input'!D71</f>
        <v/>
      </c>
      <c r="O71" s="6">
        <f>'02_GPU_Mix_Input'!E71</f>
        <v/>
      </c>
      <c r="P71" s="6">
        <f>'02_GPU_Mix_Input'!F71</f>
        <v/>
      </c>
      <c r="Q71" s="6">
        <f>'02_GPU_Mix_Input'!G71</f>
        <v/>
      </c>
      <c r="R71" s="7">
        <f>INDEX('01_Benchmark_Input'!$K$2:$K$10,MATCH(B71,'01_Benchmark_Input'!$A$2:$A$10,0))</f>
        <v/>
      </c>
      <c r="S71" s="7">
        <f>INDEX('01_Benchmark_Input'!$P$2:$P$10,MATCH(B71,'01_Benchmark_Input'!$A$2:$A$10,0))</f>
        <v/>
      </c>
      <c r="T71" s="7">
        <f>INDEX('01_Benchmark_Input'!$U$2:$U$10,MATCH(B71,'01_Benchmark_Input'!$A$2:$A$10,0))</f>
        <v/>
      </c>
      <c r="U71" s="7">
        <f>INDEX('01_Benchmark_Input'!$Z$2:$Z$10,MATCH(B71,'01_Benchmark_Input'!$A$2:$A$10,0))</f>
        <v/>
      </c>
      <c r="V71" s="6">
        <f>INDEX('01_Benchmark_Input'!$D$2:$D$10,MATCH(B71,'01_Benchmark_Input'!$A$2:$A$10,0))</f>
        <v/>
      </c>
      <c r="W71" s="6">
        <f>INDEX('01_Benchmark_Input'!$E$2:$E$10,MATCH(B71,'01_Benchmark_Input'!$A$2:$A$10,0))</f>
        <v/>
      </c>
      <c r="X71" s="6">
        <f>INDEX('01_Benchmark_Input'!$F$2:$F$10,MATCH(B71,'01_Benchmark_Input'!$A$2:$A$10,0))</f>
        <v/>
      </c>
      <c r="Y71" s="7">
        <f>N71*R71+O71*S71+P71*T71+Q71*U71</f>
        <v/>
      </c>
      <c r="Z71" s="6">
        <f>'02_Inputs'!K71</f>
        <v/>
      </c>
      <c r="AA71" s="7">
        <f>Y71*Z71</f>
        <v/>
      </c>
      <c r="AB71" s="5">
        <f>L71*1000*AA71*86400</f>
        <v/>
      </c>
      <c r="AC71" s="5">
        <f>AB71*365</f>
        <v/>
      </c>
    </row>
    <row r="72">
      <c r="A72" s="5">
        <f>'02_Inputs'!A72</f>
        <v/>
      </c>
      <c r="B72" s="5">
        <f>'02_Inputs'!B72</f>
        <v/>
      </c>
      <c r="C72" s="5">
        <f>'02_Inputs'!C72</f>
        <v/>
      </c>
      <c r="D72" s="29">
        <f>'02_Inputs'!D72</f>
        <v/>
      </c>
      <c r="E72" s="6">
        <f>'02_Inputs'!E72</f>
        <v/>
      </c>
      <c r="F72" s="29">
        <f>D72*E72</f>
        <v/>
      </c>
      <c r="G72" s="5">
        <f>'02_Inputs'!F72</f>
        <v/>
      </c>
      <c r="H72" s="29">
        <f>F72/G72</f>
        <v/>
      </c>
      <c r="I72" s="6">
        <f>'02_Inputs'!G72</f>
        <v/>
      </c>
      <c r="J72" s="29">
        <f>H72*I72</f>
        <v/>
      </c>
      <c r="K72" s="6">
        <f>'02_Inputs'!H72</f>
        <v/>
      </c>
      <c r="L72" s="29">
        <f>J72*K72</f>
        <v/>
      </c>
      <c r="M72" s="29">
        <f>J72*(1-K72)</f>
        <v/>
      </c>
      <c r="N72" s="6">
        <f>'02_GPU_Mix_Input'!D72</f>
        <v/>
      </c>
      <c r="O72" s="6">
        <f>'02_GPU_Mix_Input'!E72</f>
        <v/>
      </c>
      <c r="P72" s="6">
        <f>'02_GPU_Mix_Input'!F72</f>
        <v/>
      </c>
      <c r="Q72" s="6">
        <f>'02_GPU_Mix_Input'!G72</f>
        <v/>
      </c>
      <c r="R72" s="7">
        <f>INDEX('01_Benchmark_Input'!$K$2:$K$10,MATCH(B72,'01_Benchmark_Input'!$A$2:$A$10,0))</f>
        <v/>
      </c>
      <c r="S72" s="7">
        <f>INDEX('01_Benchmark_Input'!$P$2:$P$10,MATCH(B72,'01_Benchmark_Input'!$A$2:$A$10,0))</f>
        <v/>
      </c>
      <c r="T72" s="7">
        <f>INDEX('01_Benchmark_Input'!$U$2:$U$10,MATCH(B72,'01_Benchmark_Input'!$A$2:$A$10,0))</f>
        <v/>
      </c>
      <c r="U72" s="7">
        <f>INDEX('01_Benchmark_Input'!$Z$2:$Z$10,MATCH(B72,'01_Benchmark_Input'!$A$2:$A$10,0))</f>
        <v/>
      </c>
      <c r="V72" s="6">
        <f>INDEX('01_Benchmark_Input'!$D$2:$D$10,MATCH(B72,'01_Benchmark_Input'!$A$2:$A$10,0))</f>
        <v/>
      </c>
      <c r="W72" s="6">
        <f>INDEX('01_Benchmark_Input'!$E$2:$E$10,MATCH(B72,'01_Benchmark_Input'!$A$2:$A$10,0))</f>
        <v/>
      </c>
      <c r="X72" s="6">
        <f>INDEX('01_Benchmark_Input'!$F$2:$F$10,MATCH(B72,'01_Benchmark_Input'!$A$2:$A$10,0))</f>
        <v/>
      </c>
      <c r="Y72" s="7">
        <f>N72*R72+O72*S72+P72*T72+Q72*U72</f>
        <v/>
      </c>
      <c r="Z72" s="6">
        <f>'02_Inputs'!K72</f>
        <v/>
      </c>
      <c r="AA72" s="7">
        <f>Y72*Z72</f>
        <v/>
      </c>
      <c r="AB72" s="5">
        <f>L72*1000*AA72*86400</f>
        <v/>
      </c>
      <c r="AC72" s="5">
        <f>AB72*365</f>
        <v/>
      </c>
    </row>
    <row r="73">
      <c r="A73" s="5">
        <f>'02_Inputs'!A73</f>
        <v/>
      </c>
      <c r="B73" s="5">
        <f>'02_Inputs'!B73</f>
        <v/>
      </c>
      <c r="C73" s="5">
        <f>'02_Inputs'!C73</f>
        <v/>
      </c>
      <c r="D73" s="29">
        <f>'02_Inputs'!D73</f>
        <v/>
      </c>
      <c r="E73" s="6">
        <f>'02_Inputs'!E73</f>
        <v/>
      </c>
      <c r="F73" s="29">
        <f>D73*E73</f>
        <v/>
      </c>
      <c r="G73" s="5">
        <f>'02_Inputs'!F73</f>
        <v/>
      </c>
      <c r="H73" s="29">
        <f>F73/G73</f>
        <v/>
      </c>
      <c r="I73" s="6">
        <f>'02_Inputs'!G73</f>
        <v/>
      </c>
      <c r="J73" s="29">
        <f>H73*I73</f>
        <v/>
      </c>
      <c r="K73" s="6">
        <f>'02_Inputs'!H73</f>
        <v/>
      </c>
      <c r="L73" s="29">
        <f>J73*K73</f>
        <v/>
      </c>
      <c r="M73" s="29">
        <f>J73*(1-K73)</f>
        <v/>
      </c>
      <c r="N73" s="6">
        <f>'02_GPU_Mix_Input'!D73</f>
        <v/>
      </c>
      <c r="O73" s="6">
        <f>'02_GPU_Mix_Input'!E73</f>
        <v/>
      </c>
      <c r="P73" s="6">
        <f>'02_GPU_Mix_Input'!F73</f>
        <v/>
      </c>
      <c r="Q73" s="6">
        <f>'02_GPU_Mix_Input'!G73</f>
        <v/>
      </c>
      <c r="R73" s="7">
        <f>INDEX('01_Benchmark_Input'!$K$2:$K$10,MATCH(B73,'01_Benchmark_Input'!$A$2:$A$10,0))</f>
        <v/>
      </c>
      <c r="S73" s="7">
        <f>INDEX('01_Benchmark_Input'!$P$2:$P$10,MATCH(B73,'01_Benchmark_Input'!$A$2:$A$10,0))</f>
        <v/>
      </c>
      <c r="T73" s="7">
        <f>INDEX('01_Benchmark_Input'!$U$2:$U$10,MATCH(B73,'01_Benchmark_Input'!$A$2:$A$10,0))</f>
        <v/>
      </c>
      <c r="U73" s="7">
        <f>INDEX('01_Benchmark_Input'!$Z$2:$Z$10,MATCH(B73,'01_Benchmark_Input'!$A$2:$A$10,0))</f>
        <v/>
      </c>
      <c r="V73" s="6">
        <f>INDEX('01_Benchmark_Input'!$D$2:$D$10,MATCH(B73,'01_Benchmark_Input'!$A$2:$A$10,0))</f>
        <v/>
      </c>
      <c r="W73" s="6">
        <f>INDEX('01_Benchmark_Input'!$E$2:$E$10,MATCH(B73,'01_Benchmark_Input'!$A$2:$A$10,0))</f>
        <v/>
      </c>
      <c r="X73" s="6">
        <f>INDEX('01_Benchmark_Input'!$F$2:$F$10,MATCH(B73,'01_Benchmark_Input'!$A$2:$A$10,0))</f>
        <v/>
      </c>
      <c r="Y73" s="7">
        <f>N73*R73+O73*S73+P73*T73+Q73*U73</f>
        <v/>
      </c>
      <c r="Z73" s="6">
        <f>'02_Inputs'!K73</f>
        <v/>
      </c>
      <c r="AA73" s="7">
        <f>Y73*Z73</f>
        <v/>
      </c>
      <c r="AB73" s="5">
        <f>L73*1000*AA73*86400</f>
        <v/>
      </c>
      <c r="AC73" s="5">
        <f>AB73*365</f>
        <v/>
      </c>
    </row>
    <row r="74">
      <c r="A74" s="5">
        <f>'02_Inputs'!A74</f>
        <v/>
      </c>
      <c r="B74" s="5">
        <f>'02_Inputs'!B74</f>
        <v/>
      </c>
      <c r="C74" s="5">
        <f>'02_Inputs'!C74</f>
        <v/>
      </c>
      <c r="D74" s="29">
        <f>'02_Inputs'!D74</f>
        <v/>
      </c>
      <c r="E74" s="6">
        <f>'02_Inputs'!E74</f>
        <v/>
      </c>
      <c r="F74" s="29">
        <f>D74*E74</f>
        <v/>
      </c>
      <c r="G74" s="5">
        <f>'02_Inputs'!F74</f>
        <v/>
      </c>
      <c r="H74" s="29">
        <f>F74/G74</f>
        <v/>
      </c>
      <c r="I74" s="6">
        <f>'02_Inputs'!G74</f>
        <v/>
      </c>
      <c r="J74" s="29">
        <f>H74*I74</f>
        <v/>
      </c>
      <c r="K74" s="6">
        <f>'02_Inputs'!H74</f>
        <v/>
      </c>
      <c r="L74" s="29">
        <f>J74*K74</f>
        <v/>
      </c>
      <c r="M74" s="29">
        <f>J74*(1-K74)</f>
        <v/>
      </c>
      <c r="N74" s="6">
        <f>'02_GPU_Mix_Input'!D74</f>
        <v/>
      </c>
      <c r="O74" s="6">
        <f>'02_GPU_Mix_Input'!E74</f>
        <v/>
      </c>
      <c r="P74" s="6">
        <f>'02_GPU_Mix_Input'!F74</f>
        <v/>
      </c>
      <c r="Q74" s="6">
        <f>'02_GPU_Mix_Input'!G74</f>
        <v/>
      </c>
      <c r="R74" s="7">
        <f>INDEX('01_Benchmark_Input'!$K$2:$K$10,MATCH(B74,'01_Benchmark_Input'!$A$2:$A$10,0))</f>
        <v/>
      </c>
      <c r="S74" s="7">
        <f>INDEX('01_Benchmark_Input'!$P$2:$P$10,MATCH(B74,'01_Benchmark_Input'!$A$2:$A$10,0))</f>
        <v/>
      </c>
      <c r="T74" s="7">
        <f>INDEX('01_Benchmark_Input'!$U$2:$U$10,MATCH(B74,'01_Benchmark_Input'!$A$2:$A$10,0))</f>
        <v/>
      </c>
      <c r="U74" s="7">
        <f>INDEX('01_Benchmark_Input'!$Z$2:$Z$10,MATCH(B74,'01_Benchmark_Input'!$A$2:$A$10,0))</f>
        <v/>
      </c>
      <c r="V74" s="6">
        <f>INDEX('01_Benchmark_Input'!$D$2:$D$10,MATCH(B74,'01_Benchmark_Input'!$A$2:$A$10,0))</f>
        <v/>
      </c>
      <c r="W74" s="6">
        <f>INDEX('01_Benchmark_Input'!$E$2:$E$10,MATCH(B74,'01_Benchmark_Input'!$A$2:$A$10,0))</f>
        <v/>
      </c>
      <c r="X74" s="6">
        <f>INDEX('01_Benchmark_Input'!$F$2:$F$10,MATCH(B74,'01_Benchmark_Input'!$A$2:$A$10,0))</f>
        <v/>
      </c>
      <c r="Y74" s="7">
        <f>N74*R74+O74*S74+P74*T74+Q74*U74</f>
        <v/>
      </c>
      <c r="Z74" s="6">
        <f>'02_Inputs'!K74</f>
        <v/>
      </c>
      <c r="AA74" s="7">
        <f>Y74*Z74</f>
        <v/>
      </c>
      <c r="AB74" s="5">
        <f>L74*1000*AA74*86400</f>
        <v/>
      </c>
      <c r="AC74" s="5">
        <f>AB74*365</f>
        <v/>
      </c>
    </row>
    <row r="75">
      <c r="A75" s="5">
        <f>'02_Inputs'!A75</f>
        <v/>
      </c>
      <c r="B75" s="5">
        <f>'02_Inputs'!B75</f>
        <v/>
      </c>
      <c r="C75" s="5">
        <f>'02_Inputs'!C75</f>
        <v/>
      </c>
      <c r="D75" s="29">
        <f>'02_Inputs'!D75</f>
        <v/>
      </c>
      <c r="E75" s="6">
        <f>'02_Inputs'!E75</f>
        <v/>
      </c>
      <c r="F75" s="29">
        <f>D75*E75</f>
        <v/>
      </c>
      <c r="G75" s="5">
        <f>'02_Inputs'!F75</f>
        <v/>
      </c>
      <c r="H75" s="29">
        <f>F75/G75</f>
        <v/>
      </c>
      <c r="I75" s="6">
        <f>'02_Inputs'!G75</f>
        <v/>
      </c>
      <c r="J75" s="29">
        <f>H75*I75</f>
        <v/>
      </c>
      <c r="K75" s="6">
        <f>'02_Inputs'!H75</f>
        <v/>
      </c>
      <c r="L75" s="29">
        <f>J75*K75</f>
        <v/>
      </c>
      <c r="M75" s="29">
        <f>J75*(1-K75)</f>
        <v/>
      </c>
      <c r="N75" s="6">
        <f>'02_GPU_Mix_Input'!D75</f>
        <v/>
      </c>
      <c r="O75" s="6">
        <f>'02_GPU_Mix_Input'!E75</f>
        <v/>
      </c>
      <c r="P75" s="6">
        <f>'02_GPU_Mix_Input'!F75</f>
        <v/>
      </c>
      <c r="Q75" s="6">
        <f>'02_GPU_Mix_Input'!G75</f>
        <v/>
      </c>
      <c r="R75" s="7">
        <f>INDEX('01_Benchmark_Input'!$K$2:$K$10,MATCH(B75,'01_Benchmark_Input'!$A$2:$A$10,0))</f>
        <v/>
      </c>
      <c r="S75" s="7">
        <f>INDEX('01_Benchmark_Input'!$P$2:$P$10,MATCH(B75,'01_Benchmark_Input'!$A$2:$A$10,0))</f>
        <v/>
      </c>
      <c r="T75" s="7">
        <f>INDEX('01_Benchmark_Input'!$U$2:$U$10,MATCH(B75,'01_Benchmark_Input'!$A$2:$A$10,0))</f>
        <v/>
      </c>
      <c r="U75" s="7">
        <f>INDEX('01_Benchmark_Input'!$Z$2:$Z$10,MATCH(B75,'01_Benchmark_Input'!$A$2:$A$10,0))</f>
        <v/>
      </c>
      <c r="V75" s="6">
        <f>INDEX('01_Benchmark_Input'!$D$2:$D$10,MATCH(B75,'01_Benchmark_Input'!$A$2:$A$10,0))</f>
        <v/>
      </c>
      <c r="W75" s="6">
        <f>INDEX('01_Benchmark_Input'!$E$2:$E$10,MATCH(B75,'01_Benchmark_Input'!$A$2:$A$10,0))</f>
        <v/>
      </c>
      <c r="X75" s="6">
        <f>INDEX('01_Benchmark_Input'!$F$2:$F$10,MATCH(B75,'01_Benchmark_Input'!$A$2:$A$10,0))</f>
        <v/>
      </c>
      <c r="Y75" s="7">
        <f>N75*R75+O75*S75+P75*T75+Q75*U75</f>
        <v/>
      </c>
      <c r="Z75" s="6">
        <f>'02_Inputs'!K75</f>
        <v/>
      </c>
      <c r="AA75" s="7">
        <f>Y75*Z75</f>
        <v/>
      </c>
      <c r="AB75" s="5">
        <f>L75*1000*AA75*86400</f>
        <v/>
      </c>
      <c r="AC75" s="5">
        <f>AB75*365</f>
        <v/>
      </c>
    </row>
    <row r="76">
      <c r="A76" s="5">
        <f>'02_Inputs'!A76</f>
        <v/>
      </c>
      <c r="B76" s="5">
        <f>'02_Inputs'!B76</f>
        <v/>
      </c>
      <c r="C76" s="5">
        <f>'02_Inputs'!C76</f>
        <v/>
      </c>
      <c r="D76" s="29">
        <f>'02_Inputs'!D76</f>
        <v/>
      </c>
      <c r="E76" s="6">
        <f>'02_Inputs'!E76</f>
        <v/>
      </c>
      <c r="F76" s="29">
        <f>D76*E76</f>
        <v/>
      </c>
      <c r="G76" s="5">
        <f>'02_Inputs'!F76</f>
        <v/>
      </c>
      <c r="H76" s="29">
        <f>F76/G76</f>
        <v/>
      </c>
      <c r="I76" s="6">
        <f>'02_Inputs'!G76</f>
        <v/>
      </c>
      <c r="J76" s="29">
        <f>H76*I76</f>
        <v/>
      </c>
      <c r="K76" s="6">
        <f>'02_Inputs'!H76</f>
        <v/>
      </c>
      <c r="L76" s="29">
        <f>J76*K76</f>
        <v/>
      </c>
      <c r="M76" s="29">
        <f>J76*(1-K76)</f>
        <v/>
      </c>
      <c r="N76" s="6">
        <f>'02_GPU_Mix_Input'!D76</f>
        <v/>
      </c>
      <c r="O76" s="6">
        <f>'02_GPU_Mix_Input'!E76</f>
        <v/>
      </c>
      <c r="P76" s="6">
        <f>'02_GPU_Mix_Input'!F76</f>
        <v/>
      </c>
      <c r="Q76" s="6">
        <f>'02_GPU_Mix_Input'!G76</f>
        <v/>
      </c>
      <c r="R76" s="7">
        <f>INDEX('01_Benchmark_Input'!$K$2:$K$10,MATCH(B76,'01_Benchmark_Input'!$A$2:$A$10,0))</f>
        <v/>
      </c>
      <c r="S76" s="7">
        <f>INDEX('01_Benchmark_Input'!$P$2:$P$10,MATCH(B76,'01_Benchmark_Input'!$A$2:$A$10,0))</f>
        <v/>
      </c>
      <c r="T76" s="7">
        <f>INDEX('01_Benchmark_Input'!$U$2:$U$10,MATCH(B76,'01_Benchmark_Input'!$A$2:$A$10,0))</f>
        <v/>
      </c>
      <c r="U76" s="7">
        <f>INDEX('01_Benchmark_Input'!$Z$2:$Z$10,MATCH(B76,'01_Benchmark_Input'!$A$2:$A$10,0))</f>
        <v/>
      </c>
      <c r="V76" s="6">
        <f>INDEX('01_Benchmark_Input'!$D$2:$D$10,MATCH(B76,'01_Benchmark_Input'!$A$2:$A$10,0))</f>
        <v/>
      </c>
      <c r="W76" s="6">
        <f>INDEX('01_Benchmark_Input'!$E$2:$E$10,MATCH(B76,'01_Benchmark_Input'!$A$2:$A$10,0))</f>
        <v/>
      </c>
      <c r="X76" s="6">
        <f>INDEX('01_Benchmark_Input'!$F$2:$F$10,MATCH(B76,'01_Benchmark_Input'!$A$2:$A$10,0))</f>
        <v/>
      </c>
      <c r="Y76" s="7">
        <f>N76*R76+O76*S76+P76*T76+Q76*U76</f>
        <v/>
      </c>
      <c r="Z76" s="6">
        <f>'02_Inputs'!K76</f>
        <v/>
      </c>
      <c r="AA76" s="7">
        <f>Y76*Z76</f>
        <v/>
      </c>
      <c r="AB76" s="5">
        <f>L76*1000*AA76*86400</f>
        <v/>
      </c>
      <c r="AC76" s="5">
        <f>AB76*365</f>
        <v/>
      </c>
    </row>
    <row r="77">
      <c r="A77" s="5">
        <f>'02_Inputs'!A77</f>
        <v/>
      </c>
      <c r="B77" s="5">
        <f>'02_Inputs'!B77</f>
        <v/>
      </c>
      <c r="C77" s="5">
        <f>'02_Inputs'!C77</f>
        <v/>
      </c>
      <c r="D77" s="29">
        <f>'02_Inputs'!D77</f>
        <v/>
      </c>
      <c r="E77" s="6">
        <f>'02_Inputs'!E77</f>
        <v/>
      </c>
      <c r="F77" s="29">
        <f>D77*E77</f>
        <v/>
      </c>
      <c r="G77" s="5">
        <f>'02_Inputs'!F77</f>
        <v/>
      </c>
      <c r="H77" s="29">
        <f>F77/G77</f>
        <v/>
      </c>
      <c r="I77" s="6">
        <f>'02_Inputs'!G77</f>
        <v/>
      </c>
      <c r="J77" s="29">
        <f>H77*I77</f>
        <v/>
      </c>
      <c r="K77" s="6">
        <f>'02_Inputs'!H77</f>
        <v/>
      </c>
      <c r="L77" s="29">
        <f>J77*K77</f>
        <v/>
      </c>
      <c r="M77" s="29">
        <f>J77*(1-K77)</f>
        <v/>
      </c>
      <c r="N77" s="6">
        <f>'02_GPU_Mix_Input'!D77</f>
        <v/>
      </c>
      <c r="O77" s="6">
        <f>'02_GPU_Mix_Input'!E77</f>
        <v/>
      </c>
      <c r="P77" s="6">
        <f>'02_GPU_Mix_Input'!F77</f>
        <v/>
      </c>
      <c r="Q77" s="6">
        <f>'02_GPU_Mix_Input'!G77</f>
        <v/>
      </c>
      <c r="R77" s="7">
        <f>INDEX('01_Benchmark_Input'!$K$2:$K$10,MATCH(B77,'01_Benchmark_Input'!$A$2:$A$10,0))</f>
        <v/>
      </c>
      <c r="S77" s="7">
        <f>INDEX('01_Benchmark_Input'!$P$2:$P$10,MATCH(B77,'01_Benchmark_Input'!$A$2:$A$10,0))</f>
        <v/>
      </c>
      <c r="T77" s="7">
        <f>INDEX('01_Benchmark_Input'!$U$2:$U$10,MATCH(B77,'01_Benchmark_Input'!$A$2:$A$10,0))</f>
        <v/>
      </c>
      <c r="U77" s="7">
        <f>INDEX('01_Benchmark_Input'!$Z$2:$Z$10,MATCH(B77,'01_Benchmark_Input'!$A$2:$A$10,0))</f>
        <v/>
      </c>
      <c r="V77" s="6">
        <f>INDEX('01_Benchmark_Input'!$D$2:$D$10,MATCH(B77,'01_Benchmark_Input'!$A$2:$A$10,0))</f>
        <v/>
      </c>
      <c r="W77" s="6">
        <f>INDEX('01_Benchmark_Input'!$E$2:$E$10,MATCH(B77,'01_Benchmark_Input'!$A$2:$A$10,0))</f>
        <v/>
      </c>
      <c r="X77" s="6">
        <f>INDEX('01_Benchmark_Input'!$F$2:$F$10,MATCH(B77,'01_Benchmark_Input'!$A$2:$A$10,0))</f>
        <v/>
      </c>
      <c r="Y77" s="7">
        <f>N77*R77+O77*S77+P77*T77+Q77*U77</f>
        <v/>
      </c>
      <c r="Z77" s="6">
        <f>'02_Inputs'!K77</f>
        <v/>
      </c>
      <c r="AA77" s="7">
        <f>Y77*Z77</f>
        <v/>
      </c>
      <c r="AB77" s="5">
        <f>L77*1000*AA77*86400</f>
        <v/>
      </c>
      <c r="AC77" s="5">
        <f>AB77*365</f>
        <v/>
      </c>
    </row>
    <row r="78">
      <c r="A78" s="5">
        <f>'02_Inputs'!A78</f>
        <v/>
      </c>
      <c r="B78" s="5">
        <f>'02_Inputs'!B78</f>
        <v/>
      </c>
      <c r="C78" s="5">
        <f>'02_Inputs'!C78</f>
        <v/>
      </c>
      <c r="D78" s="29">
        <f>'02_Inputs'!D78</f>
        <v/>
      </c>
      <c r="E78" s="6">
        <f>'02_Inputs'!E78</f>
        <v/>
      </c>
      <c r="F78" s="29">
        <f>D78*E78</f>
        <v/>
      </c>
      <c r="G78" s="5">
        <f>'02_Inputs'!F78</f>
        <v/>
      </c>
      <c r="H78" s="29">
        <f>F78/G78</f>
        <v/>
      </c>
      <c r="I78" s="6">
        <f>'02_Inputs'!G78</f>
        <v/>
      </c>
      <c r="J78" s="29">
        <f>H78*I78</f>
        <v/>
      </c>
      <c r="K78" s="6">
        <f>'02_Inputs'!H78</f>
        <v/>
      </c>
      <c r="L78" s="29">
        <f>J78*K78</f>
        <v/>
      </c>
      <c r="M78" s="29">
        <f>J78*(1-K78)</f>
        <v/>
      </c>
      <c r="N78" s="6">
        <f>'02_GPU_Mix_Input'!D78</f>
        <v/>
      </c>
      <c r="O78" s="6">
        <f>'02_GPU_Mix_Input'!E78</f>
        <v/>
      </c>
      <c r="P78" s="6">
        <f>'02_GPU_Mix_Input'!F78</f>
        <v/>
      </c>
      <c r="Q78" s="6">
        <f>'02_GPU_Mix_Input'!G78</f>
        <v/>
      </c>
      <c r="R78" s="7">
        <f>INDEX('01_Benchmark_Input'!$K$2:$K$10,MATCH(B78,'01_Benchmark_Input'!$A$2:$A$10,0))</f>
        <v/>
      </c>
      <c r="S78" s="7">
        <f>INDEX('01_Benchmark_Input'!$P$2:$P$10,MATCH(B78,'01_Benchmark_Input'!$A$2:$A$10,0))</f>
        <v/>
      </c>
      <c r="T78" s="7">
        <f>INDEX('01_Benchmark_Input'!$U$2:$U$10,MATCH(B78,'01_Benchmark_Input'!$A$2:$A$10,0))</f>
        <v/>
      </c>
      <c r="U78" s="7">
        <f>INDEX('01_Benchmark_Input'!$Z$2:$Z$10,MATCH(B78,'01_Benchmark_Input'!$A$2:$A$10,0))</f>
        <v/>
      </c>
      <c r="V78" s="6">
        <f>INDEX('01_Benchmark_Input'!$D$2:$D$10,MATCH(B78,'01_Benchmark_Input'!$A$2:$A$10,0))</f>
        <v/>
      </c>
      <c r="W78" s="6">
        <f>INDEX('01_Benchmark_Input'!$E$2:$E$10,MATCH(B78,'01_Benchmark_Input'!$A$2:$A$10,0))</f>
        <v/>
      </c>
      <c r="X78" s="6">
        <f>INDEX('01_Benchmark_Input'!$F$2:$F$10,MATCH(B78,'01_Benchmark_Input'!$A$2:$A$10,0))</f>
        <v/>
      </c>
      <c r="Y78" s="7">
        <f>N78*R78+O78*S78+P78*T78+Q78*U78</f>
        <v/>
      </c>
      <c r="Z78" s="6">
        <f>'02_Inputs'!K78</f>
        <v/>
      </c>
      <c r="AA78" s="7">
        <f>Y78*Z78</f>
        <v/>
      </c>
      <c r="AB78" s="5">
        <f>L78*1000*AA78*86400</f>
        <v/>
      </c>
      <c r="AC78" s="5">
        <f>AB78*365</f>
        <v/>
      </c>
    </row>
    <row r="79">
      <c r="A79" s="5">
        <f>'02_Inputs'!A79</f>
        <v/>
      </c>
      <c r="B79" s="5">
        <f>'02_Inputs'!B79</f>
        <v/>
      </c>
      <c r="C79" s="5">
        <f>'02_Inputs'!C79</f>
        <v/>
      </c>
      <c r="D79" s="29">
        <f>'02_Inputs'!D79</f>
        <v/>
      </c>
      <c r="E79" s="6">
        <f>'02_Inputs'!E79</f>
        <v/>
      </c>
      <c r="F79" s="29">
        <f>D79*E79</f>
        <v/>
      </c>
      <c r="G79" s="5">
        <f>'02_Inputs'!F79</f>
        <v/>
      </c>
      <c r="H79" s="29">
        <f>F79/G79</f>
        <v/>
      </c>
      <c r="I79" s="6">
        <f>'02_Inputs'!G79</f>
        <v/>
      </c>
      <c r="J79" s="29">
        <f>H79*I79</f>
        <v/>
      </c>
      <c r="K79" s="6">
        <f>'02_Inputs'!H79</f>
        <v/>
      </c>
      <c r="L79" s="29">
        <f>J79*K79</f>
        <v/>
      </c>
      <c r="M79" s="29">
        <f>J79*(1-K79)</f>
        <v/>
      </c>
      <c r="N79" s="6">
        <f>'02_GPU_Mix_Input'!D79</f>
        <v/>
      </c>
      <c r="O79" s="6">
        <f>'02_GPU_Mix_Input'!E79</f>
        <v/>
      </c>
      <c r="P79" s="6">
        <f>'02_GPU_Mix_Input'!F79</f>
        <v/>
      </c>
      <c r="Q79" s="6">
        <f>'02_GPU_Mix_Input'!G79</f>
        <v/>
      </c>
      <c r="R79" s="7">
        <f>INDEX('01_Benchmark_Input'!$K$2:$K$10,MATCH(B79,'01_Benchmark_Input'!$A$2:$A$10,0))</f>
        <v/>
      </c>
      <c r="S79" s="7">
        <f>INDEX('01_Benchmark_Input'!$P$2:$P$10,MATCH(B79,'01_Benchmark_Input'!$A$2:$A$10,0))</f>
        <v/>
      </c>
      <c r="T79" s="7">
        <f>INDEX('01_Benchmark_Input'!$U$2:$U$10,MATCH(B79,'01_Benchmark_Input'!$A$2:$A$10,0))</f>
        <v/>
      </c>
      <c r="U79" s="7">
        <f>INDEX('01_Benchmark_Input'!$Z$2:$Z$10,MATCH(B79,'01_Benchmark_Input'!$A$2:$A$10,0))</f>
        <v/>
      </c>
      <c r="V79" s="6">
        <f>INDEX('01_Benchmark_Input'!$D$2:$D$10,MATCH(B79,'01_Benchmark_Input'!$A$2:$A$10,0))</f>
        <v/>
      </c>
      <c r="W79" s="6">
        <f>INDEX('01_Benchmark_Input'!$E$2:$E$10,MATCH(B79,'01_Benchmark_Input'!$A$2:$A$10,0))</f>
        <v/>
      </c>
      <c r="X79" s="6">
        <f>INDEX('01_Benchmark_Input'!$F$2:$F$10,MATCH(B79,'01_Benchmark_Input'!$A$2:$A$10,0))</f>
        <v/>
      </c>
      <c r="Y79" s="7">
        <f>N79*R79+O79*S79+P79*T79+Q79*U79</f>
        <v/>
      </c>
      <c r="Z79" s="6">
        <f>'02_Inputs'!K79</f>
        <v/>
      </c>
      <c r="AA79" s="7">
        <f>Y79*Z79</f>
        <v/>
      </c>
      <c r="AB79" s="5">
        <f>L79*1000*AA79*86400</f>
        <v/>
      </c>
      <c r="AC79" s="5">
        <f>AB79*365</f>
        <v/>
      </c>
    </row>
    <row r="80">
      <c r="A80" s="5">
        <f>'02_Inputs'!A80</f>
        <v/>
      </c>
      <c r="B80" s="5">
        <f>'02_Inputs'!B80</f>
        <v/>
      </c>
      <c r="C80" s="5">
        <f>'02_Inputs'!C80</f>
        <v/>
      </c>
      <c r="D80" s="29">
        <f>'02_Inputs'!D80</f>
        <v/>
      </c>
      <c r="E80" s="6">
        <f>'02_Inputs'!E80</f>
        <v/>
      </c>
      <c r="F80" s="29">
        <f>D80*E80</f>
        <v/>
      </c>
      <c r="G80" s="5">
        <f>'02_Inputs'!F80</f>
        <v/>
      </c>
      <c r="H80" s="29">
        <f>F80/G80</f>
        <v/>
      </c>
      <c r="I80" s="6">
        <f>'02_Inputs'!G80</f>
        <v/>
      </c>
      <c r="J80" s="29">
        <f>H80*I80</f>
        <v/>
      </c>
      <c r="K80" s="6">
        <f>'02_Inputs'!H80</f>
        <v/>
      </c>
      <c r="L80" s="29">
        <f>J80*K80</f>
        <v/>
      </c>
      <c r="M80" s="29">
        <f>J80*(1-K80)</f>
        <v/>
      </c>
      <c r="N80" s="6">
        <f>'02_GPU_Mix_Input'!D80</f>
        <v/>
      </c>
      <c r="O80" s="6">
        <f>'02_GPU_Mix_Input'!E80</f>
        <v/>
      </c>
      <c r="P80" s="6">
        <f>'02_GPU_Mix_Input'!F80</f>
        <v/>
      </c>
      <c r="Q80" s="6">
        <f>'02_GPU_Mix_Input'!G80</f>
        <v/>
      </c>
      <c r="R80" s="7">
        <f>INDEX('01_Benchmark_Input'!$K$2:$K$10,MATCH(B80,'01_Benchmark_Input'!$A$2:$A$10,0))</f>
        <v/>
      </c>
      <c r="S80" s="7">
        <f>INDEX('01_Benchmark_Input'!$P$2:$P$10,MATCH(B80,'01_Benchmark_Input'!$A$2:$A$10,0))</f>
        <v/>
      </c>
      <c r="T80" s="7">
        <f>INDEX('01_Benchmark_Input'!$U$2:$U$10,MATCH(B80,'01_Benchmark_Input'!$A$2:$A$10,0))</f>
        <v/>
      </c>
      <c r="U80" s="7">
        <f>INDEX('01_Benchmark_Input'!$Z$2:$Z$10,MATCH(B80,'01_Benchmark_Input'!$A$2:$A$10,0))</f>
        <v/>
      </c>
      <c r="V80" s="6">
        <f>INDEX('01_Benchmark_Input'!$D$2:$D$10,MATCH(B80,'01_Benchmark_Input'!$A$2:$A$10,0))</f>
        <v/>
      </c>
      <c r="W80" s="6">
        <f>INDEX('01_Benchmark_Input'!$E$2:$E$10,MATCH(B80,'01_Benchmark_Input'!$A$2:$A$10,0))</f>
        <v/>
      </c>
      <c r="X80" s="6">
        <f>INDEX('01_Benchmark_Input'!$F$2:$F$10,MATCH(B80,'01_Benchmark_Input'!$A$2:$A$10,0))</f>
        <v/>
      </c>
      <c r="Y80" s="7">
        <f>N80*R80+O80*S80+P80*T80+Q80*U80</f>
        <v/>
      </c>
      <c r="Z80" s="6">
        <f>'02_Inputs'!K80</f>
        <v/>
      </c>
      <c r="AA80" s="7">
        <f>Y80*Z80</f>
        <v/>
      </c>
      <c r="AB80" s="5">
        <f>L80*1000*AA80*86400</f>
        <v/>
      </c>
      <c r="AC80" s="5">
        <f>AB80*365</f>
        <v/>
      </c>
    </row>
    <row r="81">
      <c r="A81" s="5">
        <f>'02_Inputs'!A81</f>
        <v/>
      </c>
      <c r="B81" s="5">
        <f>'02_Inputs'!B81</f>
        <v/>
      </c>
      <c r="C81" s="5">
        <f>'02_Inputs'!C81</f>
        <v/>
      </c>
      <c r="D81" s="29">
        <f>'02_Inputs'!D81</f>
        <v/>
      </c>
      <c r="E81" s="6">
        <f>'02_Inputs'!E81</f>
        <v/>
      </c>
      <c r="F81" s="29">
        <f>D81*E81</f>
        <v/>
      </c>
      <c r="G81" s="5">
        <f>'02_Inputs'!F81</f>
        <v/>
      </c>
      <c r="H81" s="29">
        <f>F81/G81</f>
        <v/>
      </c>
      <c r="I81" s="6">
        <f>'02_Inputs'!G81</f>
        <v/>
      </c>
      <c r="J81" s="29">
        <f>H81*I81</f>
        <v/>
      </c>
      <c r="K81" s="6">
        <f>'02_Inputs'!H81</f>
        <v/>
      </c>
      <c r="L81" s="29">
        <f>J81*K81</f>
        <v/>
      </c>
      <c r="M81" s="29">
        <f>J81*(1-K81)</f>
        <v/>
      </c>
      <c r="N81" s="6">
        <f>'02_GPU_Mix_Input'!D81</f>
        <v/>
      </c>
      <c r="O81" s="6">
        <f>'02_GPU_Mix_Input'!E81</f>
        <v/>
      </c>
      <c r="P81" s="6">
        <f>'02_GPU_Mix_Input'!F81</f>
        <v/>
      </c>
      <c r="Q81" s="6">
        <f>'02_GPU_Mix_Input'!G81</f>
        <v/>
      </c>
      <c r="R81" s="7">
        <f>INDEX('01_Benchmark_Input'!$K$2:$K$10,MATCH(B81,'01_Benchmark_Input'!$A$2:$A$10,0))</f>
        <v/>
      </c>
      <c r="S81" s="7">
        <f>INDEX('01_Benchmark_Input'!$P$2:$P$10,MATCH(B81,'01_Benchmark_Input'!$A$2:$A$10,0))</f>
        <v/>
      </c>
      <c r="T81" s="7">
        <f>INDEX('01_Benchmark_Input'!$U$2:$U$10,MATCH(B81,'01_Benchmark_Input'!$A$2:$A$10,0))</f>
        <v/>
      </c>
      <c r="U81" s="7">
        <f>INDEX('01_Benchmark_Input'!$Z$2:$Z$10,MATCH(B81,'01_Benchmark_Input'!$A$2:$A$10,0))</f>
        <v/>
      </c>
      <c r="V81" s="6">
        <f>INDEX('01_Benchmark_Input'!$D$2:$D$10,MATCH(B81,'01_Benchmark_Input'!$A$2:$A$10,0))</f>
        <v/>
      </c>
      <c r="W81" s="6">
        <f>INDEX('01_Benchmark_Input'!$E$2:$E$10,MATCH(B81,'01_Benchmark_Input'!$A$2:$A$10,0))</f>
        <v/>
      </c>
      <c r="X81" s="6">
        <f>INDEX('01_Benchmark_Input'!$F$2:$F$10,MATCH(B81,'01_Benchmark_Input'!$A$2:$A$10,0))</f>
        <v/>
      </c>
      <c r="Y81" s="7">
        <f>N81*R81+O81*S81+P81*T81+Q81*U81</f>
        <v/>
      </c>
      <c r="Z81" s="6">
        <f>'02_Inputs'!K81</f>
        <v/>
      </c>
      <c r="AA81" s="7">
        <f>Y81*Z81</f>
        <v/>
      </c>
      <c r="AB81" s="5">
        <f>L81*1000*AA81*86400</f>
        <v/>
      </c>
      <c r="AC81" s="5">
        <f>AB81*365</f>
        <v/>
      </c>
    </row>
    <row r="82">
      <c r="A82" s="5">
        <f>'02_Inputs'!A82</f>
        <v/>
      </c>
      <c r="B82" s="5">
        <f>'02_Inputs'!B82</f>
        <v/>
      </c>
      <c r="C82" s="5">
        <f>'02_Inputs'!C82</f>
        <v/>
      </c>
      <c r="D82" s="29">
        <f>'02_Inputs'!D82</f>
        <v/>
      </c>
      <c r="E82" s="6">
        <f>'02_Inputs'!E82</f>
        <v/>
      </c>
      <c r="F82" s="29">
        <f>D82*E82</f>
        <v/>
      </c>
      <c r="G82" s="5">
        <f>'02_Inputs'!F82</f>
        <v/>
      </c>
      <c r="H82" s="29">
        <f>F82/G82</f>
        <v/>
      </c>
      <c r="I82" s="6">
        <f>'02_Inputs'!G82</f>
        <v/>
      </c>
      <c r="J82" s="29">
        <f>H82*I82</f>
        <v/>
      </c>
      <c r="K82" s="6">
        <f>'02_Inputs'!H82</f>
        <v/>
      </c>
      <c r="L82" s="29">
        <f>J82*K82</f>
        <v/>
      </c>
      <c r="M82" s="29">
        <f>J82*(1-K82)</f>
        <v/>
      </c>
      <c r="N82" s="6">
        <f>'02_GPU_Mix_Input'!D82</f>
        <v/>
      </c>
      <c r="O82" s="6">
        <f>'02_GPU_Mix_Input'!E82</f>
        <v/>
      </c>
      <c r="P82" s="6">
        <f>'02_GPU_Mix_Input'!F82</f>
        <v/>
      </c>
      <c r="Q82" s="6">
        <f>'02_GPU_Mix_Input'!G82</f>
        <v/>
      </c>
      <c r="R82" s="7">
        <f>INDEX('01_Benchmark_Input'!$K$2:$K$10,MATCH(B82,'01_Benchmark_Input'!$A$2:$A$10,0))</f>
        <v/>
      </c>
      <c r="S82" s="7">
        <f>INDEX('01_Benchmark_Input'!$P$2:$P$10,MATCH(B82,'01_Benchmark_Input'!$A$2:$A$10,0))</f>
        <v/>
      </c>
      <c r="T82" s="7">
        <f>INDEX('01_Benchmark_Input'!$U$2:$U$10,MATCH(B82,'01_Benchmark_Input'!$A$2:$A$10,0))</f>
        <v/>
      </c>
      <c r="U82" s="7">
        <f>INDEX('01_Benchmark_Input'!$Z$2:$Z$10,MATCH(B82,'01_Benchmark_Input'!$A$2:$A$10,0))</f>
        <v/>
      </c>
      <c r="V82" s="6">
        <f>INDEX('01_Benchmark_Input'!$D$2:$D$10,MATCH(B82,'01_Benchmark_Input'!$A$2:$A$10,0))</f>
        <v/>
      </c>
      <c r="W82" s="6">
        <f>INDEX('01_Benchmark_Input'!$E$2:$E$10,MATCH(B82,'01_Benchmark_Input'!$A$2:$A$10,0))</f>
        <v/>
      </c>
      <c r="X82" s="6">
        <f>INDEX('01_Benchmark_Input'!$F$2:$F$10,MATCH(B82,'01_Benchmark_Input'!$A$2:$A$10,0))</f>
        <v/>
      </c>
      <c r="Y82" s="7">
        <f>N82*R82+O82*S82+P82*T82+Q82*U82</f>
        <v/>
      </c>
      <c r="Z82" s="6">
        <f>'02_Inputs'!K82</f>
        <v/>
      </c>
      <c r="AA82" s="7">
        <f>Y82*Z82</f>
        <v/>
      </c>
      <c r="AB82" s="5">
        <f>L82*1000*AA82*86400</f>
        <v/>
      </c>
      <c r="AC82" s="5">
        <f>AB82*365</f>
        <v/>
      </c>
    </row>
    <row r="83">
      <c r="A83" s="5">
        <f>'02_Inputs'!A83</f>
        <v/>
      </c>
      <c r="B83" s="5">
        <f>'02_Inputs'!B83</f>
        <v/>
      </c>
      <c r="C83" s="5">
        <f>'02_Inputs'!C83</f>
        <v/>
      </c>
      <c r="D83" s="29">
        <f>'02_Inputs'!D83</f>
        <v/>
      </c>
      <c r="E83" s="6">
        <f>'02_Inputs'!E83</f>
        <v/>
      </c>
      <c r="F83" s="29">
        <f>D83*E83</f>
        <v/>
      </c>
      <c r="G83" s="5">
        <f>'02_Inputs'!F83</f>
        <v/>
      </c>
      <c r="H83" s="29">
        <f>F83/G83</f>
        <v/>
      </c>
      <c r="I83" s="6">
        <f>'02_Inputs'!G83</f>
        <v/>
      </c>
      <c r="J83" s="29">
        <f>H83*I83</f>
        <v/>
      </c>
      <c r="K83" s="6">
        <f>'02_Inputs'!H83</f>
        <v/>
      </c>
      <c r="L83" s="29">
        <f>J83*K83</f>
        <v/>
      </c>
      <c r="M83" s="29">
        <f>J83*(1-K83)</f>
        <v/>
      </c>
      <c r="N83" s="6">
        <f>'02_GPU_Mix_Input'!D83</f>
        <v/>
      </c>
      <c r="O83" s="6">
        <f>'02_GPU_Mix_Input'!E83</f>
        <v/>
      </c>
      <c r="P83" s="6">
        <f>'02_GPU_Mix_Input'!F83</f>
        <v/>
      </c>
      <c r="Q83" s="6">
        <f>'02_GPU_Mix_Input'!G83</f>
        <v/>
      </c>
      <c r="R83" s="7">
        <f>INDEX('01_Benchmark_Input'!$K$2:$K$10,MATCH(B83,'01_Benchmark_Input'!$A$2:$A$10,0))</f>
        <v/>
      </c>
      <c r="S83" s="7">
        <f>INDEX('01_Benchmark_Input'!$P$2:$P$10,MATCH(B83,'01_Benchmark_Input'!$A$2:$A$10,0))</f>
        <v/>
      </c>
      <c r="T83" s="7">
        <f>INDEX('01_Benchmark_Input'!$U$2:$U$10,MATCH(B83,'01_Benchmark_Input'!$A$2:$A$10,0))</f>
        <v/>
      </c>
      <c r="U83" s="7">
        <f>INDEX('01_Benchmark_Input'!$Z$2:$Z$10,MATCH(B83,'01_Benchmark_Input'!$A$2:$A$10,0))</f>
        <v/>
      </c>
      <c r="V83" s="6">
        <f>INDEX('01_Benchmark_Input'!$D$2:$D$10,MATCH(B83,'01_Benchmark_Input'!$A$2:$A$10,0))</f>
        <v/>
      </c>
      <c r="W83" s="6">
        <f>INDEX('01_Benchmark_Input'!$E$2:$E$10,MATCH(B83,'01_Benchmark_Input'!$A$2:$A$10,0))</f>
        <v/>
      </c>
      <c r="X83" s="6">
        <f>INDEX('01_Benchmark_Input'!$F$2:$F$10,MATCH(B83,'01_Benchmark_Input'!$A$2:$A$10,0))</f>
        <v/>
      </c>
      <c r="Y83" s="7">
        <f>N83*R83+O83*S83+P83*T83+Q83*U83</f>
        <v/>
      </c>
      <c r="Z83" s="6">
        <f>'02_Inputs'!K83</f>
        <v/>
      </c>
      <c r="AA83" s="7">
        <f>Y83*Z83</f>
        <v/>
      </c>
      <c r="AB83" s="5">
        <f>L83*1000*AA83*86400</f>
        <v/>
      </c>
      <c r="AC83" s="5">
        <f>AB83*365</f>
        <v/>
      </c>
    </row>
    <row r="84">
      <c r="A84" s="5">
        <f>'02_Inputs'!A84</f>
        <v/>
      </c>
      <c r="B84" s="5">
        <f>'02_Inputs'!B84</f>
        <v/>
      </c>
      <c r="C84" s="5">
        <f>'02_Inputs'!C84</f>
        <v/>
      </c>
      <c r="D84" s="29">
        <f>'02_Inputs'!D84</f>
        <v/>
      </c>
      <c r="E84" s="6">
        <f>'02_Inputs'!E84</f>
        <v/>
      </c>
      <c r="F84" s="29">
        <f>D84*E84</f>
        <v/>
      </c>
      <c r="G84" s="5">
        <f>'02_Inputs'!F84</f>
        <v/>
      </c>
      <c r="H84" s="29">
        <f>F84/G84</f>
        <v/>
      </c>
      <c r="I84" s="6">
        <f>'02_Inputs'!G84</f>
        <v/>
      </c>
      <c r="J84" s="29">
        <f>H84*I84</f>
        <v/>
      </c>
      <c r="K84" s="6">
        <f>'02_Inputs'!H84</f>
        <v/>
      </c>
      <c r="L84" s="29">
        <f>J84*K84</f>
        <v/>
      </c>
      <c r="M84" s="29">
        <f>J84*(1-K84)</f>
        <v/>
      </c>
      <c r="N84" s="6">
        <f>'02_GPU_Mix_Input'!D84</f>
        <v/>
      </c>
      <c r="O84" s="6">
        <f>'02_GPU_Mix_Input'!E84</f>
        <v/>
      </c>
      <c r="P84" s="6">
        <f>'02_GPU_Mix_Input'!F84</f>
        <v/>
      </c>
      <c r="Q84" s="6">
        <f>'02_GPU_Mix_Input'!G84</f>
        <v/>
      </c>
      <c r="R84" s="7">
        <f>INDEX('01_Benchmark_Input'!$K$2:$K$10,MATCH(B84,'01_Benchmark_Input'!$A$2:$A$10,0))</f>
        <v/>
      </c>
      <c r="S84" s="7">
        <f>INDEX('01_Benchmark_Input'!$P$2:$P$10,MATCH(B84,'01_Benchmark_Input'!$A$2:$A$10,0))</f>
        <v/>
      </c>
      <c r="T84" s="7">
        <f>INDEX('01_Benchmark_Input'!$U$2:$U$10,MATCH(B84,'01_Benchmark_Input'!$A$2:$A$10,0))</f>
        <v/>
      </c>
      <c r="U84" s="7">
        <f>INDEX('01_Benchmark_Input'!$Z$2:$Z$10,MATCH(B84,'01_Benchmark_Input'!$A$2:$A$10,0))</f>
        <v/>
      </c>
      <c r="V84" s="6">
        <f>INDEX('01_Benchmark_Input'!$D$2:$D$10,MATCH(B84,'01_Benchmark_Input'!$A$2:$A$10,0))</f>
        <v/>
      </c>
      <c r="W84" s="6">
        <f>INDEX('01_Benchmark_Input'!$E$2:$E$10,MATCH(B84,'01_Benchmark_Input'!$A$2:$A$10,0))</f>
        <v/>
      </c>
      <c r="X84" s="6">
        <f>INDEX('01_Benchmark_Input'!$F$2:$F$10,MATCH(B84,'01_Benchmark_Input'!$A$2:$A$10,0))</f>
        <v/>
      </c>
      <c r="Y84" s="7">
        <f>N84*R84+O84*S84+P84*T84+Q84*U84</f>
        <v/>
      </c>
      <c r="Z84" s="6">
        <f>'02_Inputs'!K84</f>
        <v/>
      </c>
      <c r="AA84" s="7">
        <f>Y84*Z84</f>
        <v/>
      </c>
      <c r="AB84" s="5">
        <f>L84*1000*AA84*86400</f>
        <v/>
      </c>
      <c r="AC84" s="5">
        <f>AB84*365</f>
        <v/>
      </c>
    </row>
    <row r="85">
      <c r="A85" s="5">
        <f>'02_Inputs'!A85</f>
        <v/>
      </c>
      <c r="B85" s="5">
        <f>'02_Inputs'!B85</f>
        <v/>
      </c>
      <c r="C85" s="5">
        <f>'02_Inputs'!C85</f>
        <v/>
      </c>
      <c r="D85" s="29">
        <f>'02_Inputs'!D85</f>
        <v/>
      </c>
      <c r="E85" s="6">
        <f>'02_Inputs'!E85</f>
        <v/>
      </c>
      <c r="F85" s="29">
        <f>D85*E85</f>
        <v/>
      </c>
      <c r="G85" s="5">
        <f>'02_Inputs'!F85</f>
        <v/>
      </c>
      <c r="H85" s="29">
        <f>F85/G85</f>
        <v/>
      </c>
      <c r="I85" s="6">
        <f>'02_Inputs'!G85</f>
        <v/>
      </c>
      <c r="J85" s="29">
        <f>H85*I85</f>
        <v/>
      </c>
      <c r="K85" s="6">
        <f>'02_Inputs'!H85</f>
        <v/>
      </c>
      <c r="L85" s="29">
        <f>J85*K85</f>
        <v/>
      </c>
      <c r="M85" s="29">
        <f>J85*(1-K85)</f>
        <v/>
      </c>
      <c r="N85" s="6">
        <f>'02_GPU_Mix_Input'!D85</f>
        <v/>
      </c>
      <c r="O85" s="6">
        <f>'02_GPU_Mix_Input'!E85</f>
        <v/>
      </c>
      <c r="P85" s="6">
        <f>'02_GPU_Mix_Input'!F85</f>
        <v/>
      </c>
      <c r="Q85" s="6">
        <f>'02_GPU_Mix_Input'!G85</f>
        <v/>
      </c>
      <c r="R85" s="7">
        <f>INDEX('01_Benchmark_Input'!$K$2:$K$10,MATCH(B85,'01_Benchmark_Input'!$A$2:$A$10,0))</f>
        <v/>
      </c>
      <c r="S85" s="7">
        <f>INDEX('01_Benchmark_Input'!$P$2:$P$10,MATCH(B85,'01_Benchmark_Input'!$A$2:$A$10,0))</f>
        <v/>
      </c>
      <c r="T85" s="7">
        <f>INDEX('01_Benchmark_Input'!$U$2:$U$10,MATCH(B85,'01_Benchmark_Input'!$A$2:$A$10,0))</f>
        <v/>
      </c>
      <c r="U85" s="7">
        <f>INDEX('01_Benchmark_Input'!$Z$2:$Z$10,MATCH(B85,'01_Benchmark_Input'!$A$2:$A$10,0))</f>
        <v/>
      </c>
      <c r="V85" s="6">
        <f>INDEX('01_Benchmark_Input'!$D$2:$D$10,MATCH(B85,'01_Benchmark_Input'!$A$2:$A$10,0))</f>
        <v/>
      </c>
      <c r="W85" s="6">
        <f>INDEX('01_Benchmark_Input'!$E$2:$E$10,MATCH(B85,'01_Benchmark_Input'!$A$2:$A$10,0))</f>
        <v/>
      </c>
      <c r="X85" s="6">
        <f>INDEX('01_Benchmark_Input'!$F$2:$F$10,MATCH(B85,'01_Benchmark_Input'!$A$2:$A$10,0))</f>
        <v/>
      </c>
      <c r="Y85" s="7">
        <f>N85*R85+O85*S85+P85*T85+Q85*U85</f>
        <v/>
      </c>
      <c r="Z85" s="6">
        <f>'02_Inputs'!K85</f>
        <v/>
      </c>
      <c r="AA85" s="7">
        <f>Y85*Z85</f>
        <v/>
      </c>
      <c r="AB85" s="5">
        <f>L85*1000*AA85*86400</f>
        <v/>
      </c>
      <c r="AC85" s="5">
        <f>AB85*365</f>
        <v/>
      </c>
    </row>
    <row r="86">
      <c r="A86" s="5">
        <f>'02_Inputs'!A86</f>
        <v/>
      </c>
      <c r="B86" s="5">
        <f>'02_Inputs'!B86</f>
        <v/>
      </c>
      <c r="C86" s="5">
        <f>'02_Inputs'!C86</f>
        <v/>
      </c>
      <c r="D86" s="29">
        <f>'02_Inputs'!D86</f>
        <v/>
      </c>
      <c r="E86" s="6">
        <f>'02_Inputs'!E86</f>
        <v/>
      </c>
      <c r="F86" s="29">
        <f>D86*E86</f>
        <v/>
      </c>
      <c r="G86" s="5">
        <f>'02_Inputs'!F86</f>
        <v/>
      </c>
      <c r="H86" s="29">
        <f>F86/G86</f>
        <v/>
      </c>
      <c r="I86" s="6">
        <f>'02_Inputs'!G86</f>
        <v/>
      </c>
      <c r="J86" s="29">
        <f>H86*I86</f>
        <v/>
      </c>
      <c r="K86" s="6">
        <f>'02_Inputs'!H86</f>
        <v/>
      </c>
      <c r="L86" s="29">
        <f>J86*K86</f>
        <v/>
      </c>
      <c r="M86" s="29">
        <f>J86*(1-K86)</f>
        <v/>
      </c>
      <c r="N86" s="6">
        <f>'02_GPU_Mix_Input'!D86</f>
        <v/>
      </c>
      <c r="O86" s="6">
        <f>'02_GPU_Mix_Input'!E86</f>
        <v/>
      </c>
      <c r="P86" s="6">
        <f>'02_GPU_Mix_Input'!F86</f>
        <v/>
      </c>
      <c r="Q86" s="6">
        <f>'02_GPU_Mix_Input'!G86</f>
        <v/>
      </c>
      <c r="R86" s="7">
        <f>INDEX('01_Benchmark_Input'!$K$2:$K$10,MATCH(B86,'01_Benchmark_Input'!$A$2:$A$10,0))</f>
        <v/>
      </c>
      <c r="S86" s="7">
        <f>INDEX('01_Benchmark_Input'!$P$2:$P$10,MATCH(B86,'01_Benchmark_Input'!$A$2:$A$10,0))</f>
        <v/>
      </c>
      <c r="T86" s="7">
        <f>INDEX('01_Benchmark_Input'!$U$2:$U$10,MATCH(B86,'01_Benchmark_Input'!$A$2:$A$10,0))</f>
        <v/>
      </c>
      <c r="U86" s="7">
        <f>INDEX('01_Benchmark_Input'!$Z$2:$Z$10,MATCH(B86,'01_Benchmark_Input'!$A$2:$A$10,0))</f>
        <v/>
      </c>
      <c r="V86" s="6">
        <f>INDEX('01_Benchmark_Input'!$D$2:$D$10,MATCH(B86,'01_Benchmark_Input'!$A$2:$A$10,0))</f>
        <v/>
      </c>
      <c r="W86" s="6">
        <f>INDEX('01_Benchmark_Input'!$E$2:$E$10,MATCH(B86,'01_Benchmark_Input'!$A$2:$A$10,0))</f>
        <v/>
      </c>
      <c r="X86" s="6">
        <f>INDEX('01_Benchmark_Input'!$F$2:$F$10,MATCH(B86,'01_Benchmark_Input'!$A$2:$A$10,0))</f>
        <v/>
      </c>
      <c r="Y86" s="7">
        <f>N86*R86+O86*S86+P86*T86+Q86*U86</f>
        <v/>
      </c>
      <c r="Z86" s="6">
        <f>'02_Inputs'!K86</f>
        <v/>
      </c>
      <c r="AA86" s="7">
        <f>Y86*Z86</f>
        <v/>
      </c>
      <c r="AB86" s="5">
        <f>L86*1000*AA86*86400</f>
        <v/>
      </c>
      <c r="AC86" s="5">
        <f>AB86*365</f>
        <v/>
      </c>
    </row>
    <row r="87">
      <c r="A87" s="5">
        <f>'02_Inputs'!A87</f>
        <v/>
      </c>
      <c r="B87" s="5">
        <f>'02_Inputs'!B87</f>
        <v/>
      </c>
      <c r="C87" s="5">
        <f>'02_Inputs'!C87</f>
        <v/>
      </c>
      <c r="D87" s="29">
        <f>'02_Inputs'!D87</f>
        <v/>
      </c>
      <c r="E87" s="6">
        <f>'02_Inputs'!E87</f>
        <v/>
      </c>
      <c r="F87" s="29">
        <f>D87*E87</f>
        <v/>
      </c>
      <c r="G87" s="5">
        <f>'02_Inputs'!F87</f>
        <v/>
      </c>
      <c r="H87" s="29">
        <f>F87/G87</f>
        <v/>
      </c>
      <c r="I87" s="6">
        <f>'02_Inputs'!G87</f>
        <v/>
      </c>
      <c r="J87" s="29">
        <f>H87*I87</f>
        <v/>
      </c>
      <c r="K87" s="6">
        <f>'02_Inputs'!H87</f>
        <v/>
      </c>
      <c r="L87" s="29">
        <f>J87*K87</f>
        <v/>
      </c>
      <c r="M87" s="29">
        <f>J87*(1-K87)</f>
        <v/>
      </c>
      <c r="N87" s="6">
        <f>'02_GPU_Mix_Input'!D87</f>
        <v/>
      </c>
      <c r="O87" s="6">
        <f>'02_GPU_Mix_Input'!E87</f>
        <v/>
      </c>
      <c r="P87" s="6">
        <f>'02_GPU_Mix_Input'!F87</f>
        <v/>
      </c>
      <c r="Q87" s="6">
        <f>'02_GPU_Mix_Input'!G87</f>
        <v/>
      </c>
      <c r="R87" s="7">
        <f>INDEX('01_Benchmark_Input'!$K$2:$K$10,MATCH(B87,'01_Benchmark_Input'!$A$2:$A$10,0))</f>
        <v/>
      </c>
      <c r="S87" s="7">
        <f>INDEX('01_Benchmark_Input'!$P$2:$P$10,MATCH(B87,'01_Benchmark_Input'!$A$2:$A$10,0))</f>
        <v/>
      </c>
      <c r="T87" s="7">
        <f>INDEX('01_Benchmark_Input'!$U$2:$U$10,MATCH(B87,'01_Benchmark_Input'!$A$2:$A$10,0))</f>
        <v/>
      </c>
      <c r="U87" s="7">
        <f>INDEX('01_Benchmark_Input'!$Z$2:$Z$10,MATCH(B87,'01_Benchmark_Input'!$A$2:$A$10,0))</f>
        <v/>
      </c>
      <c r="V87" s="6">
        <f>INDEX('01_Benchmark_Input'!$D$2:$D$10,MATCH(B87,'01_Benchmark_Input'!$A$2:$A$10,0))</f>
        <v/>
      </c>
      <c r="W87" s="6">
        <f>INDEX('01_Benchmark_Input'!$E$2:$E$10,MATCH(B87,'01_Benchmark_Input'!$A$2:$A$10,0))</f>
        <v/>
      </c>
      <c r="X87" s="6">
        <f>INDEX('01_Benchmark_Input'!$F$2:$F$10,MATCH(B87,'01_Benchmark_Input'!$A$2:$A$10,0))</f>
        <v/>
      </c>
      <c r="Y87" s="7">
        <f>N87*R87+O87*S87+P87*T87+Q87*U87</f>
        <v/>
      </c>
      <c r="Z87" s="6">
        <f>'02_Inputs'!K87</f>
        <v/>
      </c>
      <c r="AA87" s="7">
        <f>Y87*Z87</f>
        <v/>
      </c>
      <c r="AB87" s="5">
        <f>L87*1000*AA87*86400</f>
        <v/>
      </c>
      <c r="AC87" s="5">
        <f>AB87*365</f>
        <v/>
      </c>
    </row>
    <row r="88">
      <c r="A88" s="5">
        <f>'02_Inputs'!A88</f>
        <v/>
      </c>
      <c r="B88" s="5">
        <f>'02_Inputs'!B88</f>
        <v/>
      </c>
      <c r="C88" s="5">
        <f>'02_Inputs'!C88</f>
        <v/>
      </c>
      <c r="D88" s="29">
        <f>'02_Inputs'!D88</f>
        <v/>
      </c>
      <c r="E88" s="6">
        <f>'02_Inputs'!E88</f>
        <v/>
      </c>
      <c r="F88" s="29">
        <f>D88*E88</f>
        <v/>
      </c>
      <c r="G88" s="5">
        <f>'02_Inputs'!F88</f>
        <v/>
      </c>
      <c r="H88" s="29">
        <f>F88/G88</f>
        <v/>
      </c>
      <c r="I88" s="6">
        <f>'02_Inputs'!G88</f>
        <v/>
      </c>
      <c r="J88" s="29">
        <f>H88*I88</f>
        <v/>
      </c>
      <c r="K88" s="6">
        <f>'02_Inputs'!H88</f>
        <v/>
      </c>
      <c r="L88" s="29">
        <f>J88*K88</f>
        <v/>
      </c>
      <c r="M88" s="29">
        <f>J88*(1-K88)</f>
        <v/>
      </c>
      <c r="N88" s="6">
        <f>'02_GPU_Mix_Input'!D88</f>
        <v/>
      </c>
      <c r="O88" s="6">
        <f>'02_GPU_Mix_Input'!E88</f>
        <v/>
      </c>
      <c r="P88" s="6">
        <f>'02_GPU_Mix_Input'!F88</f>
        <v/>
      </c>
      <c r="Q88" s="6">
        <f>'02_GPU_Mix_Input'!G88</f>
        <v/>
      </c>
      <c r="R88" s="7">
        <f>INDEX('01_Benchmark_Input'!$K$2:$K$10,MATCH(B88,'01_Benchmark_Input'!$A$2:$A$10,0))</f>
        <v/>
      </c>
      <c r="S88" s="7">
        <f>INDEX('01_Benchmark_Input'!$P$2:$P$10,MATCH(B88,'01_Benchmark_Input'!$A$2:$A$10,0))</f>
        <v/>
      </c>
      <c r="T88" s="7">
        <f>INDEX('01_Benchmark_Input'!$U$2:$U$10,MATCH(B88,'01_Benchmark_Input'!$A$2:$A$10,0))</f>
        <v/>
      </c>
      <c r="U88" s="7">
        <f>INDEX('01_Benchmark_Input'!$Z$2:$Z$10,MATCH(B88,'01_Benchmark_Input'!$A$2:$A$10,0))</f>
        <v/>
      </c>
      <c r="V88" s="6">
        <f>INDEX('01_Benchmark_Input'!$D$2:$D$10,MATCH(B88,'01_Benchmark_Input'!$A$2:$A$10,0))</f>
        <v/>
      </c>
      <c r="W88" s="6">
        <f>INDEX('01_Benchmark_Input'!$E$2:$E$10,MATCH(B88,'01_Benchmark_Input'!$A$2:$A$10,0))</f>
        <v/>
      </c>
      <c r="X88" s="6">
        <f>INDEX('01_Benchmark_Input'!$F$2:$F$10,MATCH(B88,'01_Benchmark_Input'!$A$2:$A$10,0))</f>
        <v/>
      </c>
      <c r="Y88" s="7">
        <f>N88*R88+O88*S88+P88*T88+Q88*U88</f>
        <v/>
      </c>
      <c r="Z88" s="6">
        <f>'02_Inputs'!K88</f>
        <v/>
      </c>
      <c r="AA88" s="7">
        <f>Y88*Z88</f>
        <v/>
      </c>
      <c r="AB88" s="5">
        <f>L88*1000*AA88*86400</f>
        <v/>
      </c>
      <c r="AC88" s="5">
        <f>AB88*365</f>
        <v/>
      </c>
    </row>
    <row r="89">
      <c r="A89" s="5">
        <f>'02_Inputs'!A89</f>
        <v/>
      </c>
      <c r="B89" s="5">
        <f>'02_Inputs'!B89</f>
        <v/>
      </c>
      <c r="C89" s="5">
        <f>'02_Inputs'!C89</f>
        <v/>
      </c>
      <c r="D89" s="29">
        <f>'02_Inputs'!D89</f>
        <v/>
      </c>
      <c r="E89" s="6">
        <f>'02_Inputs'!E89</f>
        <v/>
      </c>
      <c r="F89" s="29">
        <f>D89*E89</f>
        <v/>
      </c>
      <c r="G89" s="5">
        <f>'02_Inputs'!F89</f>
        <v/>
      </c>
      <c r="H89" s="29">
        <f>F89/G89</f>
        <v/>
      </c>
      <c r="I89" s="6">
        <f>'02_Inputs'!G89</f>
        <v/>
      </c>
      <c r="J89" s="29">
        <f>H89*I89</f>
        <v/>
      </c>
      <c r="K89" s="6">
        <f>'02_Inputs'!H89</f>
        <v/>
      </c>
      <c r="L89" s="29">
        <f>J89*K89</f>
        <v/>
      </c>
      <c r="M89" s="29">
        <f>J89*(1-K89)</f>
        <v/>
      </c>
      <c r="N89" s="6">
        <f>'02_GPU_Mix_Input'!D89</f>
        <v/>
      </c>
      <c r="O89" s="6">
        <f>'02_GPU_Mix_Input'!E89</f>
        <v/>
      </c>
      <c r="P89" s="6">
        <f>'02_GPU_Mix_Input'!F89</f>
        <v/>
      </c>
      <c r="Q89" s="6">
        <f>'02_GPU_Mix_Input'!G89</f>
        <v/>
      </c>
      <c r="R89" s="7">
        <f>INDEX('01_Benchmark_Input'!$K$2:$K$10,MATCH(B89,'01_Benchmark_Input'!$A$2:$A$10,0))</f>
        <v/>
      </c>
      <c r="S89" s="7">
        <f>INDEX('01_Benchmark_Input'!$P$2:$P$10,MATCH(B89,'01_Benchmark_Input'!$A$2:$A$10,0))</f>
        <v/>
      </c>
      <c r="T89" s="7">
        <f>INDEX('01_Benchmark_Input'!$U$2:$U$10,MATCH(B89,'01_Benchmark_Input'!$A$2:$A$10,0))</f>
        <v/>
      </c>
      <c r="U89" s="7">
        <f>INDEX('01_Benchmark_Input'!$Z$2:$Z$10,MATCH(B89,'01_Benchmark_Input'!$A$2:$A$10,0))</f>
        <v/>
      </c>
      <c r="V89" s="6">
        <f>INDEX('01_Benchmark_Input'!$D$2:$D$10,MATCH(B89,'01_Benchmark_Input'!$A$2:$A$10,0))</f>
        <v/>
      </c>
      <c r="W89" s="6">
        <f>INDEX('01_Benchmark_Input'!$E$2:$E$10,MATCH(B89,'01_Benchmark_Input'!$A$2:$A$10,0))</f>
        <v/>
      </c>
      <c r="X89" s="6">
        <f>INDEX('01_Benchmark_Input'!$F$2:$F$10,MATCH(B89,'01_Benchmark_Input'!$A$2:$A$10,0))</f>
        <v/>
      </c>
      <c r="Y89" s="7">
        <f>N89*R89+O89*S89+P89*T89+Q89*U89</f>
        <v/>
      </c>
      <c r="Z89" s="6">
        <f>'02_Inputs'!K89</f>
        <v/>
      </c>
      <c r="AA89" s="7">
        <f>Y89*Z89</f>
        <v/>
      </c>
      <c r="AB89" s="5">
        <f>L89*1000*AA89*86400</f>
        <v/>
      </c>
      <c r="AC89" s="5">
        <f>AB89*365</f>
        <v/>
      </c>
    </row>
    <row r="90">
      <c r="A90" s="5">
        <f>'02_Inputs'!A90</f>
        <v/>
      </c>
      <c r="B90" s="5">
        <f>'02_Inputs'!B90</f>
        <v/>
      </c>
      <c r="C90" s="5">
        <f>'02_Inputs'!C90</f>
        <v/>
      </c>
      <c r="D90" s="29">
        <f>'02_Inputs'!D90</f>
        <v/>
      </c>
      <c r="E90" s="6">
        <f>'02_Inputs'!E90</f>
        <v/>
      </c>
      <c r="F90" s="29">
        <f>D90*E90</f>
        <v/>
      </c>
      <c r="G90" s="5">
        <f>'02_Inputs'!F90</f>
        <v/>
      </c>
      <c r="H90" s="29">
        <f>F90/G90</f>
        <v/>
      </c>
      <c r="I90" s="6">
        <f>'02_Inputs'!G90</f>
        <v/>
      </c>
      <c r="J90" s="29">
        <f>H90*I90</f>
        <v/>
      </c>
      <c r="K90" s="6">
        <f>'02_Inputs'!H90</f>
        <v/>
      </c>
      <c r="L90" s="29">
        <f>J90*K90</f>
        <v/>
      </c>
      <c r="M90" s="29">
        <f>J90*(1-K90)</f>
        <v/>
      </c>
      <c r="N90" s="6">
        <f>'02_GPU_Mix_Input'!D90</f>
        <v/>
      </c>
      <c r="O90" s="6">
        <f>'02_GPU_Mix_Input'!E90</f>
        <v/>
      </c>
      <c r="P90" s="6">
        <f>'02_GPU_Mix_Input'!F90</f>
        <v/>
      </c>
      <c r="Q90" s="6">
        <f>'02_GPU_Mix_Input'!G90</f>
        <v/>
      </c>
      <c r="R90" s="7">
        <f>INDEX('01_Benchmark_Input'!$K$2:$K$10,MATCH(B90,'01_Benchmark_Input'!$A$2:$A$10,0))</f>
        <v/>
      </c>
      <c r="S90" s="7">
        <f>INDEX('01_Benchmark_Input'!$P$2:$P$10,MATCH(B90,'01_Benchmark_Input'!$A$2:$A$10,0))</f>
        <v/>
      </c>
      <c r="T90" s="7">
        <f>INDEX('01_Benchmark_Input'!$U$2:$U$10,MATCH(B90,'01_Benchmark_Input'!$A$2:$A$10,0))</f>
        <v/>
      </c>
      <c r="U90" s="7">
        <f>INDEX('01_Benchmark_Input'!$Z$2:$Z$10,MATCH(B90,'01_Benchmark_Input'!$A$2:$A$10,0))</f>
        <v/>
      </c>
      <c r="V90" s="6">
        <f>INDEX('01_Benchmark_Input'!$D$2:$D$10,MATCH(B90,'01_Benchmark_Input'!$A$2:$A$10,0))</f>
        <v/>
      </c>
      <c r="W90" s="6">
        <f>INDEX('01_Benchmark_Input'!$E$2:$E$10,MATCH(B90,'01_Benchmark_Input'!$A$2:$A$10,0))</f>
        <v/>
      </c>
      <c r="X90" s="6">
        <f>INDEX('01_Benchmark_Input'!$F$2:$F$10,MATCH(B90,'01_Benchmark_Input'!$A$2:$A$10,0))</f>
        <v/>
      </c>
      <c r="Y90" s="7">
        <f>N90*R90+O90*S90+P90*T90+Q90*U90</f>
        <v/>
      </c>
      <c r="Z90" s="6">
        <f>'02_Inputs'!K90</f>
        <v/>
      </c>
      <c r="AA90" s="7">
        <f>Y90*Z90</f>
        <v/>
      </c>
      <c r="AB90" s="5">
        <f>L90*1000*AA90*86400</f>
        <v/>
      </c>
      <c r="AC90" s="5">
        <f>AB90*365</f>
        <v/>
      </c>
    </row>
    <row r="91">
      <c r="A91" s="5">
        <f>'02_Inputs'!A91</f>
        <v/>
      </c>
      <c r="B91" s="5">
        <f>'02_Inputs'!B91</f>
        <v/>
      </c>
      <c r="C91" s="5">
        <f>'02_Inputs'!C91</f>
        <v/>
      </c>
      <c r="D91" s="29">
        <f>'02_Inputs'!D91</f>
        <v/>
      </c>
      <c r="E91" s="6">
        <f>'02_Inputs'!E91</f>
        <v/>
      </c>
      <c r="F91" s="29">
        <f>D91*E91</f>
        <v/>
      </c>
      <c r="G91" s="5">
        <f>'02_Inputs'!F91</f>
        <v/>
      </c>
      <c r="H91" s="29">
        <f>F91/G91</f>
        <v/>
      </c>
      <c r="I91" s="6">
        <f>'02_Inputs'!G91</f>
        <v/>
      </c>
      <c r="J91" s="29">
        <f>H91*I91</f>
        <v/>
      </c>
      <c r="K91" s="6">
        <f>'02_Inputs'!H91</f>
        <v/>
      </c>
      <c r="L91" s="29">
        <f>J91*K91</f>
        <v/>
      </c>
      <c r="M91" s="29">
        <f>J91*(1-K91)</f>
        <v/>
      </c>
      <c r="N91" s="6">
        <f>'02_GPU_Mix_Input'!D91</f>
        <v/>
      </c>
      <c r="O91" s="6">
        <f>'02_GPU_Mix_Input'!E91</f>
        <v/>
      </c>
      <c r="P91" s="6">
        <f>'02_GPU_Mix_Input'!F91</f>
        <v/>
      </c>
      <c r="Q91" s="6">
        <f>'02_GPU_Mix_Input'!G91</f>
        <v/>
      </c>
      <c r="R91" s="7">
        <f>INDEX('01_Benchmark_Input'!$K$2:$K$10,MATCH(B91,'01_Benchmark_Input'!$A$2:$A$10,0))</f>
        <v/>
      </c>
      <c r="S91" s="7">
        <f>INDEX('01_Benchmark_Input'!$P$2:$P$10,MATCH(B91,'01_Benchmark_Input'!$A$2:$A$10,0))</f>
        <v/>
      </c>
      <c r="T91" s="7">
        <f>INDEX('01_Benchmark_Input'!$U$2:$U$10,MATCH(B91,'01_Benchmark_Input'!$A$2:$A$10,0))</f>
        <v/>
      </c>
      <c r="U91" s="7">
        <f>INDEX('01_Benchmark_Input'!$Z$2:$Z$10,MATCH(B91,'01_Benchmark_Input'!$A$2:$A$10,0))</f>
        <v/>
      </c>
      <c r="V91" s="6">
        <f>INDEX('01_Benchmark_Input'!$D$2:$D$10,MATCH(B91,'01_Benchmark_Input'!$A$2:$A$10,0))</f>
        <v/>
      </c>
      <c r="W91" s="6">
        <f>INDEX('01_Benchmark_Input'!$E$2:$E$10,MATCH(B91,'01_Benchmark_Input'!$A$2:$A$10,0))</f>
        <v/>
      </c>
      <c r="X91" s="6">
        <f>INDEX('01_Benchmark_Input'!$F$2:$F$10,MATCH(B91,'01_Benchmark_Input'!$A$2:$A$10,0))</f>
        <v/>
      </c>
      <c r="Y91" s="7">
        <f>N91*R91+O91*S91+P91*T91+Q91*U91</f>
        <v/>
      </c>
      <c r="Z91" s="6">
        <f>'02_Inputs'!K91</f>
        <v/>
      </c>
      <c r="AA91" s="7">
        <f>Y91*Z91</f>
        <v/>
      </c>
      <c r="AB91" s="5">
        <f>L91*1000*AA91*86400</f>
        <v/>
      </c>
      <c r="AC91" s="5">
        <f>AB91*365</f>
        <v/>
      </c>
    </row>
    <row r="92">
      <c r="A92" s="5">
        <f>'02_Inputs'!A92</f>
        <v/>
      </c>
      <c r="B92" s="5">
        <f>'02_Inputs'!B92</f>
        <v/>
      </c>
      <c r="C92" s="5">
        <f>'02_Inputs'!C92</f>
        <v/>
      </c>
      <c r="D92" s="29">
        <f>'02_Inputs'!D92</f>
        <v/>
      </c>
      <c r="E92" s="6">
        <f>'02_Inputs'!E92</f>
        <v/>
      </c>
      <c r="F92" s="29">
        <f>D92*E92</f>
        <v/>
      </c>
      <c r="G92" s="5">
        <f>'02_Inputs'!F92</f>
        <v/>
      </c>
      <c r="H92" s="29">
        <f>F92/G92</f>
        <v/>
      </c>
      <c r="I92" s="6">
        <f>'02_Inputs'!G92</f>
        <v/>
      </c>
      <c r="J92" s="29">
        <f>H92*I92</f>
        <v/>
      </c>
      <c r="K92" s="6">
        <f>'02_Inputs'!H92</f>
        <v/>
      </c>
      <c r="L92" s="29">
        <f>J92*K92</f>
        <v/>
      </c>
      <c r="M92" s="29">
        <f>J92*(1-K92)</f>
        <v/>
      </c>
      <c r="N92" s="6">
        <f>'02_GPU_Mix_Input'!D92</f>
        <v/>
      </c>
      <c r="O92" s="6">
        <f>'02_GPU_Mix_Input'!E92</f>
        <v/>
      </c>
      <c r="P92" s="6">
        <f>'02_GPU_Mix_Input'!F92</f>
        <v/>
      </c>
      <c r="Q92" s="6">
        <f>'02_GPU_Mix_Input'!G92</f>
        <v/>
      </c>
      <c r="R92" s="7">
        <f>INDEX('01_Benchmark_Input'!$K$2:$K$10,MATCH(B92,'01_Benchmark_Input'!$A$2:$A$10,0))</f>
        <v/>
      </c>
      <c r="S92" s="7">
        <f>INDEX('01_Benchmark_Input'!$P$2:$P$10,MATCH(B92,'01_Benchmark_Input'!$A$2:$A$10,0))</f>
        <v/>
      </c>
      <c r="T92" s="7">
        <f>INDEX('01_Benchmark_Input'!$U$2:$U$10,MATCH(B92,'01_Benchmark_Input'!$A$2:$A$10,0))</f>
        <v/>
      </c>
      <c r="U92" s="7">
        <f>INDEX('01_Benchmark_Input'!$Z$2:$Z$10,MATCH(B92,'01_Benchmark_Input'!$A$2:$A$10,0))</f>
        <v/>
      </c>
      <c r="V92" s="6">
        <f>INDEX('01_Benchmark_Input'!$D$2:$D$10,MATCH(B92,'01_Benchmark_Input'!$A$2:$A$10,0))</f>
        <v/>
      </c>
      <c r="W92" s="6">
        <f>INDEX('01_Benchmark_Input'!$E$2:$E$10,MATCH(B92,'01_Benchmark_Input'!$A$2:$A$10,0))</f>
        <v/>
      </c>
      <c r="X92" s="6">
        <f>INDEX('01_Benchmark_Input'!$F$2:$F$10,MATCH(B92,'01_Benchmark_Input'!$A$2:$A$10,0))</f>
        <v/>
      </c>
      <c r="Y92" s="7">
        <f>N92*R92+O92*S92+P92*T92+Q92*U92</f>
        <v/>
      </c>
      <c r="Z92" s="6">
        <f>'02_Inputs'!K92</f>
        <v/>
      </c>
      <c r="AA92" s="7">
        <f>Y92*Z92</f>
        <v/>
      </c>
      <c r="AB92" s="5">
        <f>L92*1000*AA92*86400</f>
        <v/>
      </c>
      <c r="AC92" s="5">
        <f>AB92*365</f>
        <v/>
      </c>
    </row>
    <row r="93">
      <c r="A93" s="5">
        <f>'02_Inputs'!A93</f>
        <v/>
      </c>
      <c r="B93" s="5">
        <f>'02_Inputs'!B93</f>
        <v/>
      </c>
      <c r="C93" s="5">
        <f>'02_Inputs'!C93</f>
        <v/>
      </c>
      <c r="D93" s="29">
        <f>'02_Inputs'!D93</f>
        <v/>
      </c>
      <c r="E93" s="6">
        <f>'02_Inputs'!E93</f>
        <v/>
      </c>
      <c r="F93" s="29">
        <f>D93*E93</f>
        <v/>
      </c>
      <c r="G93" s="5">
        <f>'02_Inputs'!F93</f>
        <v/>
      </c>
      <c r="H93" s="29">
        <f>F93/G93</f>
        <v/>
      </c>
      <c r="I93" s="6">
        <f>'02_Inputs'!G93</f>
        <v/>
      </c>
      <c r="J93" s="29">
        <f>H93*I93</f>
        <v/>
      </c>
      <c r="K93" s="6">
        <f>'02_Inputs'!H93</f>
        <v/>
      </c>
      <c r="L93" s="29">
        <f>J93*K93</f>
        <v/>
      </c>
      <c r="M93" s="29">
        <f>J93*(1-K93)</f>
        <v/>
      </c>
      <c r="N93" s="6">
        <f>'02_GPU_Mix_Input'!D93</f>
        <v/>
      </c>
      <c r="O93" s="6">
        <f>'02_GPU_Mix_Input'!E93</f>
        <v/>
      </c>
      <c r="P93" s="6">
        <f>'02_GPU_Mix_Input'!F93</f>
        <v/>
      </c>
      <c r="Q93" s="6">
        <f>'02_GPU_Mix_Input'!G93</f>
        <v/>
      </c>
      <c r="R93" s="7">
        <f>INDEX('01_Benchmark_Input'!$K$2:$K$10,MATCH(B93,'01_Benchmark_Input'!$A$2:$A$10,0))</f>
        <v/>
      </c>
      <c r="S93" s="7">
        <f>INDEX('01_Benchmark_Input'!$P$2:$P$10,MATCH(B93,'01_Benchmark_Input'!$A$2:$A$10,0))</f>
        <v/>
      </c>
      <c r="T93" s="7">
        <f>INDEX('01_Benchmark_Input'!$U$2:$U$10,MATCH(B93,'01_Benchmark_Input'!$A$2:$A$10,0))</f>
        <v/>
      </c>
      <c r="U93" s="7">
        <f>INDEX('01_Benchmark_Input'!$Z$2:$Z$10,MATCH(B93,'01_Benchmark_Input'!$A$2:$A$10,0))</f>
        <v/>
      </c>
      <c r="V93" s="6">
        <f>INDEX('01_Benchmark_Input'!$D$2:$D$10,MATCH(B93,'01_Benchmark_Input'!$A$2:$A$10,0))</f>
        <v/>
      </c>
      <c r="W93" s="6">
        <f>INDEX('01_Benchmark_Input'!$E$2:$E$10,MATCH(B93,'01_Benchmark_Input'!$A$2:$A$10,0))</f>
        <v/>
      </c>
      <c r="X93" s="6">
        <f>INDEX('01_Benchmark_Input'!$F$2:$F$10,MATCH(B93,'01_Benchmark_Input'!$A$2:$A$10,0))</f>
        <v/>
      </c>
      <c r="Y93" s="7">
        <f>N93*R93+O93*S93+P93*T93+Q93*U93</f>
        <v/>
      </c>
      <c r="Z93" s="6">
        <f>'02_Inputs'!K93</f>
        <v/>
      </c>
      <c r="AA93" s="7">
        <f>Y93*Z93</f>
        <v/>
      </c>
      <c r="AB93" s="5">
        <f>L93*1000*AA93*86400</f>
        <v/>
      </c>
      <c r="AC93" s="5">
        <f>AB93*365</f>
        <v/>
      </c>
    </row>
    <row r="94">
      <c r="A94" s="5">
        <f>'02_Inputs'!A94</f>
        <v/>
      </c>
      <c r="B94" s="5">
        <f>'02_Inputs'!B94</f>
        <v/>
      </c>
      <c r="C94" s="5">
        <f>'02_Inputs'!C94</f>
        <v/>
      </c>
      <c r="D94" s="29">
        <f>'02_Inputs'!D94</f>
        <v/>
      </c>
      <c r="E94" s="6">
        <f>'02_Inputs'!E94</f>
        <v/>
      </c>
      <c r="F94" s="29">
        <f>D94*E94</f>
        <v/>
      </c>
      <c r="G94" s="5">
        <f>'02_Inputs'!F94</f>
        <v/>
      </c>
      <c r="H94" s="29">
        <f>F94/G94</f>
        <v/>
      </c>
      <c r="I94" s="6">
        <f>'02_Inputs'!G94</f>
        <v/>
      </c>
      <c r="J94" s="29">
        <f>H94*I94</f>
        <v/>
      </c>
      <c r="K94" s="6">
        <f>'02_Inputs'!H94</f>
        <v/>
      </c>
      <c r="L94" s="29">
        <f>J94*K94</f>
        <v/>
      </c>
      <c r="M94" s="29">
        <f>J94*(1-K94)</f>
        <v/>
      </c>
      <c r="N94" s="6">
        <f>'02_GPU_Mix_Input'!D94</f>
        <v/>
      </c>
      <c r="O94" s="6">
        <f>'02_GPU_Mix_Input'!E94</f>
        <v/>
      </c>
      <c r="P94" s="6">
        <f>'02_GPU_Mix_Input'!F94</f>
        <v/>
      </c>
      <c r="Q94" s="6">
        <f>'02_GPU_Mix_Input'!G94</f>
        <v/>
      </c>
      <c r="R94" s="7">
        <f>INDEX('01_Benchmark_Input'!$K$2:$K$10,MATCH(B94,'01_Benchmark_Input'!$A$2:$A$10,0))</f>
        <v/>
      </c>
      <c r="S94" s="7">
        <f>INDEX('01_Benchmark_Input'!$P$2:$P$10,MATCH(B94,'01_Benchmark_Input'!$A$2:$A$10,0))</f>
        <v/>
      </c>
      <c r="T94" s="7">
        <f>INDEX('01_Benchmark_Input'!$U$2:$U$10,MATCH(B94,'01_Benchmark_Input'!$A$2:$A$10,0))</f>
        <v/>
      </c>
      <c r="U94" s="7">
        <f>INDEX('01_Benchmark_Input'!$Z$2:$Z$10,MATCH(B94,'01_Benchmark_Input'!$A$2:$A$10,0))</f>
        <v/>
      </c>
      <c r="V94" s="6">
        <f>INDEX('01_Benchmark_Input'!$D$2:$D$10,MATCH(B94,'01_Benchmark_Input'!$A$2:$A$10,0))</f>
        <v/>
      </c>
      <c r="W94" s="6">
        <f>INDEX('01_Benchmark_Input'!$E$2:$E$10,MATCH(B94,'01_Benchmark_Input'!$A$2:$A$10,0))</f>
        <v/>
      </c>
      <c r="X94" s="6">
        <f>INDEX('01_Benchmark_Input'!$F$2:$F$10,MATCH(B94,'01_Benchmark_Input'!$A$2:$A$10,0))</f>
        <v/>
      </c>
      <c r="Y94" s="7">
        <f>N94*R94+O94*S94+P94*T94+Q94*U94</f>
        <v/>
      </c>
      <c r="Z94" s="6">
        <f>'02_Inputs'!K94</f>
        <v/>
      </c>
      <c r="AA94" s="7">
        <f>Y94*Z94</f>
        <v/>
      </c>
      <c r="AB94" s="5">
        <f>L94*1000*AA94*86400</f>
        <v/>
      </c>
      <c r="AC94" s="5">
        <f>AB94*365</f>
        <v/>
      </c>
    </row>
    <row r="95">
      <c r="A95" s="5">
        <f>'02_Inputs'!A95</f>
        <v/>
      </c>
      <c r="B95" s="5">
        <f>'02_Inputs'!B95</f>
        <v/>
      </c>
      <c r="C95" s="5">
        <f>'02_Inputs'!C95</f>
        <v/>
      </c>
      <c r="D95" s="29">
        <f>'02_Inputs'!D95</f>
        <v/>
      </c>
      <c r="E95" s="6">
        <f>'02_Inputs'!E95</f>
        <v/>
      </c>
      <c r="F95" s="29">
        <f>D95*E95</f>
        <v/>
      </c>
      <c r="G95" s="5">
        <f>'02_Inputs'!F95</f>
        <v/>
      </c>
      <c r="H95" s="29">
        <f>F95/G95</f>
        <v/>
      </c>
      <c r="I95" s="6">
        <f>'02_Inputs'!G95</f>
        <v/>
      </c>
      <c r="J95" s="29">
        <f>H95*I95</f>
        <v/>
      </c>
      <c r="K95" s="6">
        <f>'02_Inputs'!H95</f>
        <v/>
      </c>
      <c r="L95" s="29">
        <f>J95*K95</f>
        <v/>
      </c>
      <c r="M95" s="29">
        <f>J95*(1-K95)</f>
        <v/>
      </c>
      <c r="N95" s="6">
        <f>'02_GPU_Mix_Input'!D95</f>
        <v/>
      </c>
      <c r="O95" s="6">
        <f>'02_GPU_Mix_Input'!E95</f>
        <v/>
      </c>
      <c r="P95" s="6">
        <f>'02_GPU_Mix_Input'!F95</f>
        <v/>
      </c>
      <c r="Q95" s="6">
        <f>'02_GPU_Mix_Input'!G95</f>
        <v/>
      </c>
      <c r="R95" s="7">
        <f>INDEX('01_Benchmark_Input'!$K$2:$K$10,MATCH(B95,'01_Benchmark_Input'!$A$2:$A$10,0))</f>
        <v/>
      </c>
      <c r="S95" s="7">
        <f>INDEX('01_Benchmark_Input'!$P$2:$P$10,MATCH(B95,'01_Benchmark_Input'!$A$2:$A$10,0))</f>
        <v/>
      </c>
      <c r="T95" s="7">
        <f>INDEX('01_Benchmark_Input'!$U$2:$U$10,MATCH(B95,'01_Benchmark_Input'!$A$2:$A$10,0))</f>
        <v/>
      </c>
      <c r="U95" s="7">
        <f>INDEX('01_Benchmark_Input'!$Z$2:$Z$10,MATCH(B95,'01_Benchmark_Input'!$A$2:$A$10,0))</f>
        <v/>
      </c>
      <c r="V95" s="6">
        <f>INDEX('01_Benchmark_Input'!$D$2:$D$10,MATCH(B95,'01_Benchmark_Input'!$A$2:$A$10,0))</f>
        <v/>
      </c>
      <c r="W95" s="6">
        <f>INDEX('01_Benchmark_Input'!$E$2:$E$10,MATCH(B95,'01_Benchmark_Input'!$A$2:$A$10,0))</f>
        <v/>
      </c>
      <c r="X95" s="6">
        <f>INDEX('01_Benchmark_Input'!$F$2:$F$10,MATCH(B95,'01_Benchmark_Input'!$A$2:$A$10,0))</f>
        <v/>
      </c>
      <c r="Y95" s="7">
        <f>N95*R95+O95*S95+P95*T95+Q95*U95</f>
        <v/>
      </c>
      <c r="Z95" s="6">
        <f>'02_Inputs'!K95</f>
        <v/>
      </c>
      <c r="AA95" s="7">
        <f>Y95*Z95</f>
        <v/>
      </c>
      <c r="AB95" s="5">
        <f>L95*1000*AA95*86400</f>
        <v/>
      </c>
      <c r="AC95" s="5">
        <f>AB95*365</f>
        <v/>
      </c>
    </row>
    <row r="96">
      <c r="A96" s="5">
        <f>'02_Inputs'!A96</f>
        <v/>
      </c>
      <c r="B96" s="5">
        <f>'02_Inputs'!B96</f>
        <v/>
      </c>
      <c r="C96" s="5">
        <f>'02_Inputs'!C96</f>
        <v/>
      </c>
      <c r="D96" s="29">
        <f>'02_Inputs'!D96</f>
        <v/>
      </c>
      <c r="E96" s="6">
        <f>'02_Inputs'!E96</f>
        <v/>
      </c>
      <c r="F96" s="29">
        <f>D96*E96</f>
        <v/>
      </c>
      <c r="G96" s="5">
        <f>'02_Inputs'!F96</f>
        <v/>
      </c>
      <c r="H96" s="29">
        <f>F96/G96</f>
        <v/>
      </c>
      <c r="I96" s="6">
        <f>'02_Inputs'!G96</f>
        <v/>
      </c>
      <c r="J96" s="29">
        <f>H96*I96</f>
        <v/>
      </c>
      <c r="K96" s="6">
        <f>'02_Inputs'!H96</f>
        <v/>
      </c>
      <c r="L96" s="29">
        <f>J96*K96</f>
        <v/>
      </c>
      <c r="M96" s="29">
        <f>J96*(1-K96)</f>
        <v/>
      </c>
      <c r="N96" s="6">
        <f>'02_GPU_Mix_Input'!D96</f>
        <v/>
      </c>
      <c r="O96" s="6">
        <f>'02_GPU_Mix_Input'!E96</f>
        <v/>
      </c>
      <c r="P96" s="6">
        <f>'02_GPU_Mix_Input'!F96</f>
        <v/>
      </c>
      <c r="Q96" s="6">
        <f>'02_GPU_Mix_Input'!G96</f>
        <v/>
      </c>
      <c r="R96" s="7">
        <f>INDEX('01_Benchmark_Input'!$K$2:$K$10,MATCH(B96,'01_Benchmark_Input'!$A$2:$A$10,0))</f>
        <v/>
      </c>
      <c r="S96" s="7">
        <f>INDEX('01_Benchmark_Input'!$P$2:$P$10,MATCH(B96,'01_Benchmark_Input'!$A$2:$A$10,0))</f>
        <v/>
      </c>
      <c r="T96" s="7">
        <f>INDEX('01_Benchmark_Input'!$U$2:$U$10,MATCH(B96,'01_Benchmark_Input'!$A$2:$A$10,0))</f>
        <v/>
      </c>
      <c r="U96" s="7">
        <f>INDEX('01_Benchmark_Input'!$Z$2:$Z$10,MATCH(B96,'01_Benchmark_Input'!$A$2:$A$10,0))</f>
        <v/>
      </c>
      <c r="V96" s="6">
        <f>INDEX('01_Benchmark_Input'!$D$2:$D$10,MATCH(B96,'01_Benchmark_Input'!$A$2:$A$10,0))</f>
        <v/>
      </c>
      <c r="W96" s="6">
        <f>INDEX('01_Benchmark_Input'!$E$2:$E$10,MATCH(B96,'01_Benchmark_Input'!$A$2:$A$10,0))</f>
        <v/>
      </c>
      <c r="X96" s="6">
        <f>INDEX('01_Benchmark_Input'!$F$2:$F$10,MATCH(B96,'01_Benchmark_Input'!$A$2:$A$10,0))</f>
        <v/>
      </c>
      <c r="Y96" s="7">
        <f>N96*R96+O96*S96+P96*T96+Q96*U96</f>
        <v/>
      </c>
      <c r="Z96" s="6">
        <f>'02_Inputs'!K96</f>
        <v/>
      </c>
      <c r="AA96" s="7">
        <f>Y96*Z96</f>
        <v/>
      </c>
      <c r="AB96" s="5">
        <f>L96*1000*AA96*86400</f>
        <v/>
      </c>
      <c r="AC96" s="5">
        <f>AB96*365</f>
        <v/>
      </c>
    </row>
    <row r="97">
      <c r="A97" s="5">
        <f>'02_Inputs'!A97</f>
        <v/>
      </c>
      <c r="B97" s="5">
        <f>'02_Inputs'!B97</f>
        <v/>
      </c>
      <c r="C97" s="5">
        <f>'02_Inputs'!C97</f>
        <v/>
      </c>
      <c r="D97" s="29">
        <f>'02_Inputs'!D97</f>
        <v/>
      </c>
      <c r="E97" s="6">
        <f>'02_Inputs'!E97</f>
        <v/>
      </c>
      <c r="F97" s="29">
        <f>D97*E97</f>
        <v/>
      </c>
      <c r="G97" s="5">
        <f>'02_Inputs'!F97</f>
        <v/>
      </c>
      <c r="H97" s="29">
        <f>F97/G97</f>
        <v/>
      </c>
      <c r="I97" s="6">
        <f>'02_Inputs'!G97</f>
        <v/>
      </c>
      <c r="J97" s="29">
        <f>H97*I97</f>
        <v/>
      </c>
      <c r="K97" s="6">
        <f>'02_Inputs'!H97</f>
        <v/>
      </c>
      <c r="L97" s="29">
        <f>J97*K97</f>
        <v/>
      </c>
      <c r="M97" s="29">
        <f>J97*(1-K97)</f>
        <v/>
      </c>
      <c r="N97" s="6">
        <f>'02_GPU_Mix_Input'!D97</f>
        <v/>
      </c>
      <c r="O97" s="6">
        <f>'02_GPU_Mix_Input'!E97</f>
        <v/>
      </c>
      <c r="P97" s="6">
        <f>'02_GPU_Mix_Input'!F97</f>
        <v/>
      </c>
      <c r="Q97" s="6">
        <f>'02_GPU_Mix_Input'!G97</f>
        <v/>
      </c>
      <c r="R97" s="7">
        <f>INDEX('01_Benchmark_Input'!$K$2:$K$10,MATCH(B97,'01_Benchmark_Input'!$A$2:$A$10,0))</f>
        <v/>
      </c>
      <c r="S97" s="7">
        <f>INDEX('01_Benchmark_Input'!$P$2:$P$10,MATCH(B97,'01_Benchmark_Input'!$A$2:$A$10,0))</f>
        <v/>
      </c>
      <c r="T97" s="7">
        <f>INDEX('01_Benchmark_Input'!$U$2:$U$10,MATCH(B97,'01_Benchmark_Input'!$A$2:$A$10,0))</f>
        <v/>
      </c>
      <c r="U97" s="7">
        <f>INDEX('01_Benchmark_Input'!$Z$2:$Z$10,MATCH(B97,'01_Benchmark_Input'!$A$2:$A$10,0))</f>
        <v/>
      </c>
      <c r="V97" s="6">
        <f>INDEX('01_Benchmark_Input'!$D$2:$D$10,MATCH(B97,'01_Benchmark_Input'!$A$2:$A$10,0))</f>
        <v/>
      </c>
      <c r="W97" s="6">
        <f>INDEX('01_Benchmark_Input'!$E$2:$E$10,MATCH(B97,'01_Benchmark_Input'!$A$2:$A$10,0))</f>
        <v/>
      </c>
      <c r="X97" s="6">
        <f>INDEX('01_Benchmark_Input'!$F$2:$F$10,MATCH(B97,'01_Benchmark_Input'!$A$2:$A$10,0))</f>
        <v/>
      </c>
      <c r="Y97" s="7">
        <f>N97*R97+O97*S97+P97*T97+Q97*U97</f>
        <v/>
      </c>
      <c r="Z97" s="6">
        <f>'02_Inputs'!K97</f>
        <v/>
      </c>
      <c r="AA97" s="7">
        <f>Y97*Z97</f>
        <v/>
      </c>
      <c r="AB97" s="5">
        <f>L97*1000*AA97*86400</f>
        <v/>
      </c>
      <c r="AC97" s="5">
        <f>AB97*365</f>
        <v/>
      </c>
    </row>
    <row r="98">
      <c r="A98" s="5">
        <f>'02_Inputs'!A98</f>
        <v/>
      </c>
      <c r="B98" s="5">
        <f>'02_Inputs'!B98</f>
        <v/>
      </c>
      <c r="C98" s="5">
        <f>'02_Inputs'!C98</f>
        <v/>
      </c>
      <c r="D98" s="29">
        <f>'02_Inputs'!D98</f>
        <v/>
      </c>
      <c r="E98" s="6">
        <f>'02_Inputs'!E98</f>
        <v/>
      </c>
      <c r="F98" s="29">
        <f>D98*E98</f>
        <v/>
      </c>
      <c r="G98" s="5">
        <f>'02_Inputs'!F98</f>
        <v/>
      </c>
      <c r="H98" s="29">
        <f>F98/G98</f>
        <v/>
      </c>
      <c r="I98" s="6">
        <f>'02_Inputs'!G98</f>
        <v/>
      </c>
      <c r="J98" s="29">
        <f>H98*I98</f>
        <v/>
      </c>
      <c r="K98" s="6">
        <f>'02_Inputs'!H98</f>
        <v/>
      </c>
      <c r="L98" s="29">
        <f>J98*K98</f>
        <v/>
      </c>
      <c r="M98" s="29">
        <f>J98*(1-K98)</f>
        <v/>
      </c>
      <c r="N98" s="6">
        <f>'02_GPU_Mix_Input'!D98</f>
        <v/>
      </c>
      <c r="O98" s="6">
        <f>'02_GPU_Mix_Input'!E98</f>
        <v/>
      </c>
      <c r="P98" s="6">
        <f>'02_GPU_Mix_Input'!F98</f>
        <v/>
      </c>
      <c r="Q98" s="6">
        <f>'02_GPU_Mix_Input'!G98</f>
        <v/>
      </c>
      <c r="R98" s="7">
        <f>INDEX('01_Benchmark_Input'!$K$2:$K$10,MATCH(B98,'01_Benchmark_Input'!$A$2:$A$10,0))</f>
        <v/>
      </c>
      <c r="S98" s="7">
        <f>INDEX('01_Benchmark_Input'!$P$2:$P$10,MATCH(B98,'01_Benchmark_Input'!$A$2:$A$10,0))</f>
        <v/>
      </c>
      <c r="T98" s="7">
        <f>INDEX('01_Benchmark_Input'!$U$2:$U$10,MATCH(B98,'01_Benchmark_Input'!$A$2:$A$10,0))</f>
        <v/>
      </c>
      <c r="U98" s="7">
        <f>INDEX('01_Benchmark_Input'!$Z$2:$Z$10,MATCH(B98,'01_Benchmark_Input'!$A$2:$A$10,0))</f>
        <v/>
      </c>
      <c r="V98" s="6">
        <f>INDEX('01_Benchmark_Input'!$D$2:$D$10,MATCH(B98,'01_Benchmark_Input'!$A$2:$A$10,0))</f>
        <v/>
      </c>
      <c r="W98" s="6">
        <f>INDEX('01_Benchmark_Input'!$E$2:$E$10,MATCH(B98,'01_Benchmark_Input'!$A$2:$A$10,0))</f>
        <v/>
      </c>
      <c r="X98" s="6">
        <f>INDEX('01_Benchmark_Input'!$F$2:$F$10,MATCH(B98,'01_Benchmark_Input'!$A$2:$A$10,0))</f>
        <v/>
      </c>
      <c r="Y98" s="7">
        <f>N98*R98+O98*S98+P98*T98+Q98*U98</f>
        <v/>
      </c>
      <c r="Z98" s="6">
        <f>'02_Inputs'!K98</f>
        <v/>
      </c>
      <c r="AA98" s="7">
        <f>Y98*Z98</f>
        <v/>
      </c>
      <c r="AB98" s="5">
        <f>L98*1000*AA98*86400</f>
        <v/>
      </c>
      <c r="AC98" s="5">
        <f>AB98*365</f>
        <v/>
      </c>
    </row>
    <row r="99">
      <c r="A99" s="5">
        <f>'02_Inputs'!A99</f>
        <v/>
      </c>
      <c r="B99" s="5">
        <f>'02_Inputs'!B99</f>
        <v/>
      </c>
      <c r="C99" s="5">
        <f>'02_Inputs'!C99</f>
        <v/>
      </c>
      <c r="D99" s="29">
        <f>'02_Inputs'!D99</f>
        <v/>
      </c>
      <c r="E99" s="6">
        <f>'02_Inputs'!E99</f>
        <v/>
      </c>
      <c r="F99" s="29">
        <f>D99*E99</f>
        <v/>
      </c>
      <c r="G99" s="5">
        <f>'02_Inputs'!F99</f>
        <v/>
      </c>
      <c r="H99" s="29">
        <f>F99/G99</f>
        <v/>
      </c>
      <c r="I99" s="6">
        <f>'02_Inputs'!G99</f>
        <v/>
      </c>
      <c r="J99" s="29">
        <f>H99*I99</f>
        <v/>
      </c>
      <c r="K99" s="6">
        <f>'02_Inputs'!H99</f>
        <v/>
      </c>
      <c r="L99" s="29">
        <f>J99*K99</f>
        <v/>
      </c>
      <c r="M99" s="29">
        <f>J99*(1-K99)</f>
        <v/>
      </c>
      <c r="N99" s="6">
        <f>'02_GPU_Mix_Input'!D99</f>
        <v/>
      </c>
      <c r="O99" s="6">
        <f>'02_GPU_Mix_Input'!E99</f>
        <v/>
      </c>
      <c r="P99" s="6">
        <f>'02_GPU_Mix_Input'!F99</f>
        <v/>
      </c>
      <c r="Q99" s="6">
        <f>'02_GPU_Mix_Input'!G99</f>
        <v/>
      </c>
      <c r="R99" s="7">
        <f>INDEX('01_Benchmark_Input'!$K$2:$K$10,MATCH(B99,'01_Benchmark_Input'!$A$2:$A$10,0))</f>
        <v/>
      </c>
      <c r="S99" s="7">
        <f>INDEX('01_Benchmark_Input'!$P$2:$P$10,MATCH(B99,'01_Benchmark_Input'!$A$2:$A$10,0))</f>
        <v/>
      </c>
      <c r="T99" s="7">
        <f>INDEX('01_Benchmark_Input'!$U$2:$U$10,MATCH(B99,'01_Benchmark_Input'!$A$2:$A$10,0))</f>
        <v/>
      </c>
      <c r="U99" s="7">
        <f>INDEX('01_Benchmark_Input'!$Z$2:$Z$10,MATCH(B99,'01_Benchmark_Input'!$A$2:$A$10,0))</f>
        <v/>
      </c>
      <c r="V99" s="6">
        <f>INDEX('01_Benchmark_Input'!$D$2:$D$10,MATCH(B99,'01_Benchmark_Input'!$A$2:$A$10,0))</f>
        <v/>
      </c>
      <c r="W99" s="6">
        <f>INDEX('01_Benchmark_Input'!$E$2:$E$10,MATCH(B99,'01_Benchmark_Input'!$A$2:$A$10,0))</f>
        <v/>
      </c>
      <c r="X99" s="6">
        <f>INDEX('01_Benchmark_Input'!$F$2:$F$10,MATCH(B99,'01_Benchmark_Input'!$A$2:$A$10,0))</f>
        <v/>
      </c>
      <c r="Y99" s="7">
        <f>N99*R99+O99*S99+P99*T99+Q99*U99</f>
        <v/>
      </c>
      <c r="Z99" s="6">
        <f>'02_Inputs'!K99</f>
        <v/>
      </c>
      <c r="AA99" s="7">
        <f>Y99*Z99</f>
        <v/>
      </c>
      <c r="AB99" s="5">
        <f>L99*1000*AA99*86400</f>
        <v/>
      </c>
      <c r="AC99" s="5">
        <f>AB99*365</f>
        <v/>
      </c>
    </row>
    <row r="100">
      <c r="A100" s="5">
        <f>'02_Inputs'!A100</f>
        <v/>
      </c>
      <c r="B100" s="5">
        <f>'02_Inputs'!B100</f>
        <v/>
      </c>
      <c r="C100" s="5">
        <f>'02_Inputs'!C100</f>
        <v/>
      </c>
      <c r="D100" s="29">
        <f>'02_Inputs'!D100</f>
        <v/>
      </c>
      <c r="E100" s="6">
        <f>'02_Inputs'!E100</f>
        <v/>
      </c>
      <c r="F100" s="29">
        <f>D100*E100</f>
        <v/>
      </c>
      <c r="G100" s="5">
        <f>'02_Inputs'!F100</f>
        <v/>
      </c>
      <c r="H100" s="29">
        <f>F100/G100</f>
        <v/>
      </c>
      <c r="I100" s="6">
        <f>'02_Inputs'!G100</f>
        <v/>
      </c>
      <c r="J100" s="29">
        <f>H100*I100</f>
        <v/>
      </c>
      <c r="K100" s="6">
        <f>'02_Inputs'!H100</f>
        <v/>
      </c>
      <c r="L100" s="29">
        <f>J100*K100</f>
        <v/>
      </c>
      <c r="M100" s="29">
        <f>J100*(1-K100)</f>
        <v/>
      </c>
      <c r="N100" s="6">
        <f>'02_GPU_Mix_Input'!D100</f>
        <v/>
      </c>
      <c r="O100" s="6">
        <f>'02_GPU_Mix_Input'!E100</f>
        <v/>
      </c>
      <c r="P100" s="6">
        <f>'02_GPU_Mix_Input'!F100</f>
        <v/>
      </c>
      <c r="Q100" s="6">
        <f>'02_GPU_Mix_Input'!G100</f>
        <v/>
      </c>
      <c r="R100" s="7">
        <f>INDEX('01_Benchmark_Input'!$K$2:$K$10,MATCH(B100,'01_Benchmark_Input'!$A$2:$A$10,0))</f>
        <v/>
      </c>
      <c r="S100" s="7">
        <f>INDEX('01_Benchmark_Input'!$P$2:$P$10,MATCH(B100,'01_Benchmark_Input'!$A$2:$A$10,0))</f>
        <v/>
      </c>
      <c r="T100" s="7">
        <f>INDEX('01_Benchmark_Input'!$U$2:$U$10,MATCH(B100,'01_Benchmark_Input'!$A$2:$A$10,0))</f>
        <v/>
      </c>
      <c r="U100" s="7">
        <f>INDEX('01_Benchmark_Input'!$Z$2:$Z$10,MATCH(B100,'01_Benchmark_Input'!$A$2:$A$10,0))</f>
        <v/>
      </c>
      <c r="V100" s="6">
        <f>INDEX('01_Benchmark_Input'!$D$2:$D$10,MATCH(B100,'01_Benchmark_Input'!$A$2:$A$10,0))</f>
        <v/>
      </c>
      <c r="W100" s="6">
        <f>INDEX('01_Benchmark_Input'!$E$2:$E$10,MATCH(B100,'01_Benchmark_Input'!$A$2:$A$10,0))</f>
        <v/>
      </c>
      <c r="X100" s="6">
        <f>INDEX('01_Benchmark_Input'!$F$2:$F$10,MATCH(B100,'01_Benchmark_Input'!$A$2:$A$10,0))</f>
        <v/>
      </c>
      <c r="Y100" s="7">
        <f>N100*R100+O100*S100+P100*T100+Q100*U100</f>
        <v/>
      </c>
      <c r="Z100" s="6">
        <f>'02_Inputs'!K100</f>
        <v/>
      </c>
      <c r="AA100" s="7">
        <f>Y100*Z100</f>
        <v/>
      </c>
      <c r="AB100" s="5">
        <f>L100*1000*AA100*86400</f>
        <v/>
      </c>
      <c r="AC100" s="5">
        <f>AB100*365</f>
        <v/>
      </c>
    </row>
    <row r="101">
      <c r="A101" s="5">
        <f>'02_Inputs'!A101</f>
        <v/>
      </c>
      <c r="B101" s="5">
        <f>'02_Inputs'!B101</f>
        <v/>
      </c>
      <c r="C101" s="5">
        <f>'02_Inputs'!C101</f>
        <v/>
      </c>
      <c r="D101" s="29">
        <f>'02_Inputs'!D101</f>
        <v/>
      </c>
      <c r="E101" s="6">
        <f>'02_Inputs'!E101</f>
        <v/>
      </c>
      <c r="F101" s="29">
        <f>D101*E101</f>
        <v/>
      </c>
      <c r="G101" s="5">
        <f>'02_Inputs'!F101</f>
        <v/>
      </c>
      <c r="H101" s="29">
        <f>F101/G101</f>
        <v/>
      </c>
      <c r="I101" s="6">
        <f>'02_Inputs'!G101</f>
        <v/>
      </c>
      <c r="J101" s="29">
        <f>H101*I101</f>
        <v/>
      </c>
      <c r="K101" s="6">
        <f>'02_Inputs'!H101</f>
        <v/>
      </c>
      <c r="L101" s="29">
        <f>J101*K101</f>
        <v/>
      </c>
      <c r="M101" s="29">
        <f>J101*(1-K101)</f>
        <v/>
      </c>
      <c r="N101" s="6">
        <f>'02_GPU_Mix_Input'!D101</f>
        <v/>
      </c>
      <c r="O101" s="6">
        <f>'02_GPU_Mix_Input'!E101</f>
        <v/>
      </c>
      <c r="P101" s="6">
        <f>'02_GPU_Mix_Input'!F101</f>
        <v/>
      </c>
      <c r="Q101" s="6">
        <f>'02_GPU_Mix_Input'!G101</f>
        <v/>
      </c>
      <c r="R101" s="7">
        <f>INDEX('01_Benchmark_Input'!$K$2:$K$10,MATCH(B101,'01_Benchmark_Input'!$A$2:$A$10,0))</f>
        <v/>
      </c>
      <c r="S101" s="7">
        <f>INDEX('01_Benchmark_Input'!$P$2:$P$10,MATCH(B101,'01_Benchmark_Input'!$A$2:$A$10,0))</f>
        <v/>
      </c>
      <c r="T101" s="7">
        <f>INDEX('01_Benchmark_Input'!$U$2:$U$10,MATCH(B101,'01_Benchmark_Input'!$A$2:$A$10,0))</f>
        <v/>
      </c>
      <c r="U101" s="7">
        <f>INDEX('01_Benchmark_Input'!$Z$2:$Z$10,MATCH(B101,'01_Benchmark_Input'!$A$2:$A$10,0))</f>
        <v/>
      </c>
      <c r="V101" s="6">
        <f>INDEX('01_Benchmark_Input'!$D$2:$D$10,MATCH(B101,'01_Benchmark_Input'!$A$2:$A$10,0))</f>
        <v/>
      </c>
      <c r="W101" s="6">
        <f>INDEX('01_Benchmark_Input'!$E$2:$E$10,MATCH(B101,'01_Benchmark_Input'!$A$2:$A$10,0))</f>
        <v/>
      </c>
      <c r="X101" s="6">
        <f>INDEX('01_Benchmark_Input'!$F$2:$F$10,MATCH(B101,'01_Benchmark_Input'!$A$2:$A$10,0))</f>
        <v/>
      </c>
      <c r="Y101" s="7">
        <f>N101*R101+O101*S101+P101*T101+Q101*U101</f>
        <v/>
      </c>
      <c r="Z101" s="6">
        <f>'02_Inputs'!K101</f>
        <v/>
      </c>
      <c r="AA101" s="7">
        <f>Y101*Z101</f>
        <v/>
      </c>
      <c r="AB101" s="5">
        <f>L101*1000*AA101*86400</f>
        <v/>
      </c>
      <c r="AC101" s="5">
        <f>AB101*365</f>
        <v/>
      </c>
    </row>
    <row r="102">
      <c r="A102" s="5">
        <f>'02_Inputs'!A102</f>
        <v/>
      </c>
      <c r="B102" s="5">
        <f>'02_Inputs'!B102</f>
        <v/>
      </c>
      <c r="C102" s="5">
        <f>'02_Inputs'!C102</f>
        <v/>
      </c>
      <c r="D102" s="29">
        <f>'02_Inputs'!D102</f>
        <v/>
      </c>
      <c r="E102" s="6">
        <f>'02_Inputs'!E102</f>
        <v/>
      </c>
      <c r="F102" s="29">
        <f>D102*E102</f>
        <v/>
      </c>
      <c r="G102" s="5">
        <f>'02_Inputs'!F102</f>
        <v/>
      </c>
      <c r="H102" s="29">
        <f>F102/G102</f>
        <v/>
      </c>
      <c r="I102" s="6">
        <f>'02_Inputs'!G102</f>
        <v/>
      </c>
      <c r="J102" s="29">
        <f>H102*I102</f>
        <v/>
      </c>
      <c r="K102" s="6">
        <f>'02_Inputs'!H102</f>
        <v/>
      </c>
      <c r="L102" s="29">
        <f>J102*K102</f>
        <v/>
      </c>
      <c r="M102" s="29">
        <f>J102*(1-K102)</f>
        <v/>
      </c>
      <c r="N102" s="6">
        <f>'02_GPU_Mix_Input'!D102</f>
        <v/>
      </c>
      <c r="O102" s="6">
        <f>'02_GPU_Mix_Input'!E102</f>
        <v/>
      </c>
      <c r="P102" s="6">
        <f>'02_GPU_Mix_Input'!F102</f>
        <v/>
      </c>
      <c r="Q102" s="6">
        <f>'02_GPU_Mix_Input'!G102</f>
        <v/>
      </c>
      <c r="R102" s="7">
        <f>INDEX('01_Benchmark_Input'!$K$2:$K$10,MATCH(B102,'01_Benchmark_Input'!$A$2:$A$10,0))</f>
        <v/>
      </c>
      <c r="S102" s="7">
        <f>INDEX('01_Benchmark_Input'!$P$2:$P$10,MATCH(B102,'01_Benchmark_Input'!$A$2:$A$10,0))</f>
        <v/>
      </c>
      <c r="T102" s="7">
        <f>INDEX('01_Benchmark_Input'!$U$2:$U$10,MATCH(B102,'01_Benchmark_Input'!$A$2:$A$10,0))</f>
        <v/>
      </c>
      <c r="U102" s="7">
        <f>INDEX('01_Benchmark_Input'!$Z$2:$Z$10,MATCH(B102,'01_Benchmark_Input'!$A$2:$A$10,0))</f>
        <v/>
      </c>
      <c r="V102" s="6">
        <f>INDEX('01_Benchmark_Input'!$D$2:$D$10,MATCH(B102,'01_Benchmark_Input'!$A$2:$A$10,0))</f>
        <v/>
      </c>
      <c r="W102" s="6">
        <f>INDEX('01_Benchmark_Input'!$E$2:$E$10,MATCH(B102,'01_Benchmark_Input'!$A$2:$A$10,0))</f>
        <v/>
      </c>
      <c r="X102" s="6">
        <f>INDEX('01_Benchmark_Input'!$F$2:$F$10,MATCH(B102,'01_Benchmark_Input'!$A$2:$A$10,0))</f>
        <v/>
      </c>
      <c r="Y102" s="7">
        <f>N102*R102+O102*S102+P102*T102+Q102*U102</f>
        <v/>
      </c>
      <c r="Z102" s="6">
        <f>'02_Inputs'!K102</f>
        <v/>
      </c>
      <c r="AA102" s="7">
        <f>Y102*Z102</f>
        <v/>
      </c>
      <c r="AB102" s="5">
        <f>L102*1000*AA102*86400</f>
        <v/>
      </c>
      <c r="AC102" s="5">
        <f>AB102*365</f>
        <v/>
      </c>
    </row>
    <row r="103">
      <c r="A103" s="5">
        <f>'02_Inputs'!A103</f>
        <v/>
      </c>
      <c r="B103" s="5">
        <f>'02_Inputs'!B103</f>
        <v/>
      </c>
      <c r="C103" s="5">
        <f>'02_Inputs'!C103</f>
        <v/>
      </c>
      <c r="D103" s="29">
        <f>'02_Inputs'!D103</f>
        <v/>
      </c>
      <c r="E103" s="6">
        <f>'02_Inputs'!E103</f>
        <v/>
      </c>
      <c r="F103" s="29">
        <f>D103*E103</f>
        <v/>
      </c>
      <c r="G103" s="5">
        <f>'02_Inputs'!F103</f>
        <v/>
      </c>
      <c r="H103" s="29">
        <f>F103/G103</f>
        <v/>
      </c>
      <c r="I103" s="6">
        <f>'02_Inputs'!G103</f>
        <v/>
      </c>
      <c r="J103" s="29">
        <f>H103*I103</f>
        <v/>
      </c>
      <c r="K103" s="6">
        <f>'02_Inputs'!H103</f>
        <v/>
      </c>
      <c r="L103" s="29">
        <f>J103*K103</f>
        <v/>
      </c>
      <c r="M103" s="29">
        <f>J103*(1-K103)</f>
        <v/>
      </c>
      <c r="N103" s="6">
        <f>'02_GPU_Mix_Input'!D103</f>
        <v/>
      </c>
      <c r="O103" s="6">
        <f>'02_GPU_Mix_Input'!E103</f>
        <v/>
      </c>
      <c r="P103" s="6">
        <f>'02_GPU_Mix_Input'!F103</f>
        <v/>
      </c>
      <c r="Q103" s="6">
        <f>'02_GPU_Mix_Input'!G103</f>
        <v/>
      </c>
      <c r="R103" s="7">
        <f>INDEX('01_Benchmark_Input'!$K$2:$K$10,MATCH(B103,'01_Benchmark_Input'!$A$2:$A$10,0))</f>
        <v/>
      </c>
      <c r="S103" s="7">
        <f>INDEX('01_Benchmark_Input'!$P$2:$P$10,MATCH(B103,'01_Benchmark_Input'!$A$2:$A$10,0))</f>
        <v/>
      </c>
      <c r="T103" s="7">
        <f>INDEX('01_Benchmark_Input'!$U$2:$U$10,MATCH(B103,'01_Benchmark_Input'!$A$2:$A$10,0))</f>
        <v/>
      </c>
      <c r="U103" s="7">
        <f>INDEX('01_Benchmark_Input'!$Z$2:$Z$10,MATCH(B103,'01_Benchmark_Input'!$A$2:$A$10,0))</f>
        <v/>
      </c>
      <c r="V103" s="6">
        <f>INDEX('01_Benchmark_Input'!$D$2:$D$10,MATCH(B103,'01_Benchmark_Input'!$A$2:$A$10,0))</f>
        <v/>
      </c>
      <c r="W103" s="6">
        <f>INDEX('01_Benchmark_Input'!$E$2:$E$10,MATCH(B103,'01_Benchmark_Input'!$A$2:$A$10,0))</f>
        <v/>
      </c>
      <c r="X103" s="6">
        <f>INDEX('01_Benchmark_Input'!$F$2:$F$10,MATCH(B103,'01_Benchmark_Input'!$A$2:$A$10,0))</f>
        <v/>
      </c>
      <c r="Y103" s="7">
        <f>N103*R103+O103*S103+P103*T103+Q103*U103</f>
        <v/>
      </c>
      <c r="Z103" s="6">
        <f>'02_Inputs'!K103</f>
        <v/>
      </c>
      <c r="AA103" s="7">
        <f>Y103*Z103</f>
        <v/>
      </c>
      <c r="AB103" s="5">
        <f>L103*1000*AA103*86400</f>
        <v/>
      </c>
      <c r="AC103" s="5">
        <f>AB103*365</f>
        <v/>
      </c>
    </row>
    <row r="104">
      <c r="A104" s="5">
        <f>'02_Inputs'!A104</f>
        <v/>
      </c>
      <c r="B104" s="5">
        <f>'02_Inputs'!B104</f>
        <v/>
      </c>
      <c r="C104" s="5">
        <f>'02_Inputs'!C104</f>
        <v/>
      </c>
      <c r="D104" s="29">
        <f>'02_Inputs'!D104</f>
        <v/>
      </c>
      <c r="E104" s="6">
        <f>'02_Inputs'!E104</f>
        <v/>
      </c>
      <c r="F104" s="29">
        <f>D104*E104</f>
        <v/>
      </c>
      <c r="G104" s="5">
        <f>'02_Inputs'!F104</f>
        <v/>
      </c>
      <c r="H104" s="29">
        <f>F104/G104</f>
        <v/>
      </c>
      <c r="I104" s="6">
        <f>'02_Inputs'!G104</f>
        <v/>
      </c>
      <c r="J104" s="29">
        <f>H104*I104</f>
        <v/>
      </c>
      <c r="K104" s="6">
        <f>'02_Inputs'!H104</f>
        <v/>
      </c>
      <c r="L104" s="29">
        <f>J104*K104</f>
        <v/>
      </c>
      <c r="M104" s="29">
        <f>J104*(1-K104)</f>
        <v/>
      </c>
      <c r="N104" s="6">
        <f>'02_GPU_Mix_Input'!D104</f>
        <v/>
      </c>
      <c r="O104" s="6">
        <f>'02_GPU_Mix_Input'!E104</f>
        <v/>
      </c>
      <c r="P104" s="6">
        <f>'02_GPU_Mix_Input'!F104</f>
        <v/>
      </c>
      <c r="Q104" s="6">
        <f>'02_GPU_Mix_Input'!G104</f>
        <v/>
      </c>
      <c r="R104" s="7">
        <f>INDEX('01_Benchmark_Input'!$K$2:$K$10,MATCH(B104,'01_Benchmark_Input'!$A$2:$A$10,0))</f>
        <v/>
      </c>
      <c r="S104" s="7">
        <f>INDEX('01_Benchmark_Input'!$P$2:$P$10,MATCH(B104,'01_Benchmark_Input'!$A$2:$A$10,0))</f>
        <v/>
      </c>
      <c r="T104" s="7">
        <f>INDEX('01_Benchmark_Input'!$U$2:$U$10,MATCH(B104,'01_Benchmark_Input'!$A$2:$A$10,0))</f>
        <v/>
      </c>
      <c r="U104" s="7">
        <f>INDEX('01_Benchmark_Input'!$Z$2:$Z$10,MATCH(B104,'01_Benchmark_Input'!$A$2:$A$10,0))</f>
        <v/>
      </c>
      <c r="V104" s="6">
        <f>INDEX('01_Benchmark_Input'!$D$2:$D$10,MATCH(B104,'01_Benchmark_Input'!$A$2:$A$10,0))</f>
        <v/>
      </c>
      <c r="W104" s="6">
        <f>INDEX('01_Benchmark_Input'!$E$2:$E$10,MATCH(B104,'01_Benchmark_Input'!$A$2:$A$10,0))</f>
        <v/>
      </c>
      <c r="X104" s="6">
        <f>INDEX('01_Benchmark_Input'!$F$2:$F$10,MATCH(B104,'01_Benchmark_Input'!$A$2:$A$10,0))</f>
        <v/>
      </c>
      <c r="Y104" s="7">
        <f>N104*R104+O104*S104+P104*T104+Q104*U104</f>
        <v/>
      </c>
      <c r="Z104" s="6">
        <f>'02_Inputs'!K104</f>
        <v/>
      </c>
      <c r="AA104" s="7">
        <f>Y104*Z104</f>
        <v/>
      </c>
      <c r="AB104" s="5">
        <f>L104*1000*AA104*86400</f>
        <v/>
      </c>
      <c r="AC104" s="5">
        <f>AB104*365</f>
        <v/>
      </c>
    </row>
    <row r="105">
      <c r="A105" s="5">
        <f>'02_Inputs'!A105</f>
        <v/>
      </c>
      <c r="B105" s="5">
        <f>'02_Inputs'!B105</f>
        <v/>
      </c>
      <c r="C105" s="5">
        <f>'02_Inputs'!C105</f>
        <v/>
      </c>
      <c r="D105" s="29">
        <f>'02_Inputs'!D105</f>
        <v/>
      </c>
      <c r="E105" s="6">
        <f>'02_Inputs'!E105</f>
        <v/>
      </c>
      <c r="F105" s="29">
        <f>D105*E105</f>
        <v/>
      </c>
      <c r="G105" s="5">
        <f>'02_Inputs'!F105</f>
        <v/>
      </c>
      <c r="H105" s="29">
        <f>F105/G105</f>
        <v/>
      </c>
      <c r="I105" s="6">
        <f>'02_Inputs'!G105</f>
        <v/>
      </c>
      <c r="J105" s="29">
        <f>H105*I105</f>
        <v/>
      </c>
      <c r="K105" s="6">
        <f>'02_Inputs'!H105</f>
        <v/>
      </c>
      <c r="L105" s="29">
        <f>J105*K105</f>
        <v/>
      </c>
      <c r="M105" s="29">
        <f>J105*(1-K105)</f>
        <v/>
      </c>
      <c r="N105" s="6">
        <f>'02_GPU_Mix_Input'!D105</f>
        <v/>
      </c>
      <c r="O105" s="6">
        <f>'02_GPU_Mix_Input'!E105</f>
        <v/>
      </c>
      <c r="P105" s="6">
        <f>'02_GPU_Mix_Input'!F105</f>
        <v/>
      </c>
      <c r="Q105" s="6">
        <f>'02_GPU_Mix_Input'!G105</f>
        <v/>
      </c>
      <c r="R105" s="7">
        <f>INDEX('01_Benchmark_Input'!$K$2:$K$10,MATCH(B105,'01_Benchmark_Input'!$A$2:$A$10,0))</f>
        <v/>
      </c>
      <c r="S105" s="7">
        <f>INDEX('01_Benchmark_Input'!$P$2:$P$10,MATCH(B105,'01_Benchmark_Input'!$A$2:$A$10,0))</f>
        <v/>
      </c>
      <c r="T105" s="7">
        <f>INDEX('01_Benchmark_Input'!$U$2:$U$10,MATCH(B105,'01_Benchmark_Input'!$A$2:$A$10,0))</f>
        <v/>
      </c>
      <c r="U105" s="7">
        <f>INDEX('01_Benchmark_Input'!$Z$2:$Z$10,MATCH(B105,'01_Benchmark_Input'!$A$2:$A$10,0))</f>
        <v/>
      </c>
      <c r="V105" s="6">
        <f>INDEX('01_Benchmark_Input'!$D$2:$D$10,MATCH(B105,'01_Benchmark_Input'!$A$2:$A$10,0))</f>
        <v/>
      </c>
      <c r="W105" s="6">
        <f>INDEX('01_Benchmark_Input'!$E$2:$E$10,MATCH(B105,'01_Benchmark_Input'!$A$2:$A$10,0))</f>
        <v/>
      </c>
      <c r="X105" s="6">
        <f>INDEX('01_Benchmark_Input'!$F$2:$F$10,MATCH(B105,'01_Benchmark_Input'!$A$2:$A$10,0))</f>
        <v/>
      </c>
      <c r="Y105" s="7">
        <f>N105*R105+O105*S105+P105*T105+Q105*U105</f>
        <v/>
      </c>
      <c r="Z105" s="6">
        <f>'02_Inputs'!K105</f>
        <v/>
      </c>
      <c r="AA105" s="7">
        <f>Y105*Z105</f>
        <v/>
      </c>
      <c r="AB105" s="5">
        <f>L105*1000*AA105*86400</f>
        <v/>
      </c>
      <c r="AC105" s="5">
        <f>AB105*365</f>
        <v/>
      </c>
    </row>
    <row r="106">
      <c r="A106" s="5">
        <f>'02_Inputs'!A106</f>
        <v/>
      </c>
      <c r="B106" s="5">
        <f>'02_Inputs'!B106</f>
        <v/>
      </c>
      <c r="C106" s="5">
        <f>'02_Inputs'!C106</f>
        <v/>
      </c>
      <c r="D106" s="29">
        <f>'02_Inputs'!D106</f>
        <v/>
      </c>
      <c r="E106" s="6">
        <f>'02_Inputs'!E106</f>
        <v/>
      </c>
      <c r="F106" s="29">
        <f>D106*E106</f>
        <v/>
      </c>
      <c r="G106" s="5">
        <f>'02_Inputs'!F106</f>
        <v/>
      </c>
      <c r="H106" s="29">
        <f>F106/G106</f>
        <v/>
      </c>
      <c r="I106" s="6">
        <f>'02_Inputs'!G106</f>
        <v/>
      </c>
      <c r="J106" s="29">
        <f>H106*I106</f>
        <v/>
      </c>
      <c r="K106" s="6">
        <f>'02_Inputs'!H106</f>
        <v/>
      </c>
      <c r="L106" s="29">
        <f>J106*K106</f>
        <v/>
      </c>
      <c r="M106" s="29">
        <f>J106*(1-K106)</f>
        <v/>
      </c>
      <c r="N106" s="6">
        <f>'02_GPU_Mix_Input'!D106</f>
        <v/>
      </c>
      <c r="O106" s="6">
        <f>'02_GPU_Mix_Input'!E106</f>
        <v/>
      </c>
      <c r="P106" s="6">
        <f>'02_GPU_Mix_Input'!F106</f>
        <v/>
      </c>
      <c r="Q106" s="6">
        <f>'02_GPU_Mix_Input'!G106</f>
        <v/>
      </c>
      <c r="R106" s="7">
        <f>INDEX('01_Benchmark_Input'!$K$2:$K$10,MATCH(B106,'01_Benchmark_Input'!$A$2:$A$10,0))</f>
        <v/>
      </c>
      <c r="S106" s="7">
        <f>INDEX('01_Benchmark_Input'!$P$2:$P$10,MATCH(B106,'01_Benchmark_Input'!$A$2:$A$10,0))</f>
        <v/>
      </c>
      <c r="T106" s="7">
        <f>INDEX('01_Benchmark_Input'!$U$2:$U$10,MATCH(B106,'01_Benchmark_Input'!$A$2:$A$10,0))</f>
        <v/>
      </c>
      <c r="U106" s="7">
        <f>INDEX('01_Benchmark_Input'!$Z$2:$Z$10,MATCH(B106,'01_Benchmark_Input'!$A$2:$A$10,0))</f>
        <v/>
      </c>
      <c r="V106" s="6">
        <f>INDEX('01_Benchmark_Input'!$D$2:$D$10,MATCH(B106,'01_Benchmark_Input'!$A$2:$A$10,0))</f>
        <v/>
      </c>
      <c r="W106" s="6">
        <f>INDEX('01_Benchmark_Input'!$E$2:$E$10,MATCH(B106,'01_Benchmark_Input'!$A$2:$A$10,0))</f>
        <v/>
      </c>
      <c r="X106" s="6">
        <f>INDEX('01_Benchmark_Input'!$F$2:$F$10,MATCH(B106,'01_Benchmark_Input'!$A$2:$A$10,0))</f>
        <v/>
      </c>
      <c r="Y106" s="7">
        <f>N106*R106+O106*S106+P106*T106+Q106*U106</f>
        <v/>
      </c>
      <c r="Z106" s="6">
        <f>'02_Inputs'!K106</f>
        <v/>
      </c>
      <c r="AA106" s="7">
        <f>Y106*Z106</f>
        <v/>
      </c>
      <c r="AB106" s="5">
        <f>L106*1000*AA106*86400</f>
        <v/>
      </c>
      <c r="AC106" s="5">
        <f>AB106*365</f>
        <v/>
      </c>
    </row>
    <row r="107">
      <c r="A107" s="5">
        <f>'02_Inputs'!A107</f>
        <v/>
      </c>
      <c r="B107" s="5">
        <f>'02_Inputs'!B107</f>
        <v/>
      </c>
      <c r="C107" s="5">
        <f>'02_Inputs'!C107</f>
        <v/>
      </c>
      <c r="D107" s="29">
        <f>'02_Inputs'!D107</f>
        <v/>
      </c>
      <c r="E107" s="6">
        <f>'02_Inputs'!E107</f>
        <v/>
      </c>
      <c r="F107" s="29">
        <f>D107*E107</f>
        <v/>
      </c>
      <c r="G107" s="5">
        <f>'02_Inputs'!F107</f>
        <v/>
      </c>
      <c r="H107" s="29">
        <f>F107/G107</f>
        <v/>
      </c>
      <c r="I107" s="6">
        <f>'02_Inputs'!G107</f>
        <v/>
      </c>
      <c r="J107" s="29">
        <f>H107*I107</f>
        <v/>
      </c>
      <c r="K107" s="6">
        <f>'02_Inputs'!H107</f>
        <v/>
      </c>
      <c r="L107" s="29">
        <f>J107*K107</f>
        <v/>
      </c>
      <c r="M107" s="29">
        <f>J107*(1-K107)</f>
        <v/>
      </c>
      <c r="N107" s="6">
        <f>'02_GPU_Mix_Input'!D107</f>
        <v/>
      </c>
      <c r="O107" s="6">
        <f>'02_GPU_Mix_Input'!E107</f>
        <v/>
      </c>
      <c r="P107" s="6">
        <f>'02_GPU_Mix_Input'!F107</f>
        <v/>
      </c>
      <c r="Q107" s="6">
        <f>'02_GPU_Mix_Input'!G107</f>
        <v/>
      </c>
      <c r="R107" s="7">
        <f>INDEX('01_Benchmark_Input'!$K$2:$K$10,MATCH(B107,'01_Benchmark_Input'!$A$2:$A$10,0))</f>
        <v/>
      </c>
      <c r="S107" s="7">
        <f>INDEX('01_Benchmark_Input'!$P$2:$P$10,MATCH(B107,'01_Benchmark_Input'!$A$2:$A$10,0))</f>
        <v/>
      </c>
      <c r="T107" s="7">
        <f>INDEX('01_Benchmark_Input'!$U$2:$U$10,MATCH(B107,'01_Benchmark_Input'!$A$2:$A$10,0))</f>
        <v/>
      </c>
      <c r="U107" s="7">
        <f>INDEX('01_Benchmark_Input'!$Z$2:$Z$10,MATCH(B107,'01_Benchmark_Input'!$A$2:$A$10,0))</f>
        <v/>
      </c>
      <c r="V107" s="6">
        <f>INDEX('01_Benchmark_Input'!$D$2:$D$10,MATCH(B107,'01_Benchmark_Input'!$A$2:$A$10,0))</f>
        <v/>
      </c>
      <c r="W107" s="6">
        <f>INDEX('01_Benchmark_Input'!$E$2:$E$10,MATCH(B107,'01_Benchmark_Input'!$A$2:$A$10,0))</f>
        <v/>
      </c>
      <c r="X107" s="6">
        <f>INDEX('01_Benchmark_Input'!$F$2:$F$10,MATCH(B107,'01_Benchmark_Input'!$A$2:$A$10,0))</f>
        <v/>
      </c>
      <c r="Y107" s="7">
        <f>N107*R107+O107*S107+P107*T107+Q107*U107</f>
        <v/>
      </c>
      <c r="Z107" s="6">
        <f>'02_Inputs'!K107</f>
        <v/>
      </c>
      <c r="AA107" s="7">
        <f>Y107*Z107</f>
        <v/>
      </c>
      <c r="AB107" s="5">
        <f>L107*1000*AA107*86400</f>
        <v/>
      </c>
      <c r="AC107" s="5">
        <f>AB107*365</f>
        <v/>
      </c>
    </row>
    <row r="108">
      <c r="A108" s="5">
        <f>'02_Inputs'!A108</f>
        <v/>
      </c>
      <c r="B108" s="5">
        <f>'02_Inputs'!B108</f>
        <v/>
      </c>
      <c r="C108" s="5">
        <f>'02_Inputs'!C108</f>
        <v/>
      </c>
      <c r="D108" s="29">
        <f>'02_Inputs'!D108</f>
        <v/>
      </c>
      <c r="E108" s="6">
        <f>'02_Inputs'!E108</f>
        <v/>
      </c>
      <c r="F108" s="29">
        <f>D108*E108</f>
        <v/>
      </c>
      <c r="G108" s="5">
        <f>'02_Inputs'!F108</f>
        <v/>
      </c>
      <c r="H108" s="29">
        <f>F108/G108</f>
        <v/>
      </c>
      <c r="I108" s="6">
        <f>'02_Inputs'!G108</f>
        <v/>
      </c>
      <c r="J108" s="29">
        <f>H108*I108</f>
        <v/>
      </c>
      <c r="K108" s="6">
        <f>'02_Inputs'!H108</f>
        <v/>
      </c>
      <c r="L108" s="29">
        <f>J108*K108</f>
        <v/>
      </c>
      <c r="M108" s="29">
        <f>J108*(1-K108)</f>
        <v/>
      </c>
      <c r="N108" s="6">
        <f>'02_GPU_Mix_Input'!D108</f>
        <v/>
      </c>
      <c r="O108" s="6">
        <f>'02_GPU_Mix_Input'!E108</f>
        <v/>
      </c>
      <c r="P108" s="6">
        <f>'02_GPU_Mix_Input'!F108</f>
        <v/>
      </c>
      <c r="Q108" s="6">
        <f>'02_GPU_Mix_Input'!G108</f>
        <v/>
      </c>
      <c r="R108" s="7">
        <f>INDEX('01_Benchmark_Input'!$K$2:$K$10,MATCH(B108,'01_Benchmark_Input'!$A$2:$A$10,0))</f>
        <v/>
      </c>
      <c r="S108" s="7">
        <f>INDEX('01_Benchmark_Input'!$P$2:$P$10,MATCH(B108,'01_Benchmark_Input'!$A$2:$A$10,0))</f>
        <v/>
      </c>
      <c r="T108" s="7">
        <f>INDEX('01_Benchmark_Input'!$U$2:$U$10,MATCH(B108,'01_Benchmark_Input'!$A$2:$A$10,0))</f>
        <v/>
      </c>
      <c r="U108" s="7">
        <f>INDEX('01_Benchmark_Input'!$Z$2:$Z$10,MATCH(B108,'01_Benchmark_Input'!$A$2:$A$10,0))</f>
        <v/>
      </c>
      <c r="V108" s="6">
        <f>INDEX('01_Benchmark_Input'!$D$2:$D$10,MATCH(B108,'01_Benchmark_Input'!$A$2:$A$10,0))</f>
        <v/>
      </c>
      <c r="W108" s="6">
        <f>INDEX('01_Benchmark_Input'!$E$2:$E$10,MATCH(B108,'01_Benchmark_Input'!$A$2:$A$10,0))</f>
        <v/>
      </c>
      <c r="X108" s="6">
        <f>INDEX('01_Benchmark_Input'!$F$2:$F$10,MATCH(B108,'01_Benchmark_Input'!$A$2:$A$10,0))</f>
        <v/>
      </c>
      <c r="Y108" s="7">
        <f>N108*R108+O108*S108+P108*T108+Q108*U108</f>
        <v/>
      </c>
      <c r="Z108" s="6">
        <f>'02_Inputs'!K108</f>
        <v/>
      </c>
      <c r="AA108" s="7">
        <f>Y108*Z108</f>
        <v/>
      </c>
      <c r="AB108" s="5">
        <f>L108*1000*AA108*86400</f>
        <v/>
      </c>
      <c r="AC108" s="5">
        <f>AB108*365</f>
        <v/>
      </c>
    </row>
    <row r="109">
      <c r="A109" s="5">
        <f>'02_Inputs'!A109</f>
        <v/>
      </c>
      <c r="B109" s="5">
        <f>'02_Inputs'!B109</f>
        <v/>
      </c>
      <c r="C109" s="5">
        <f>'02_Inputs'!C109</f>
        <v/>
      </c>
      <c r="D109" s="29">
        <f>'02_Inputs'!D109</f>
        <v/>
      </c>
      <c r="E109" s="6">
        <f>'02_Inputs'!E109</f>
        <v/>
      </c>
      <c r="F109" s="29">
        <f>D109*E109</f>
        <v/>
      </c>
      <c r="G109" s="5">
        <f>'02_Inputs'!F109</f>
        <v/>
      </c>
      <c r="H109" s="29">
        <f>F109/G109</f>
        <v/>
      </c>
      <c r="I109" s="6">
        <f>'02_Inputs'!G109</f>
        <v/>
      </c>
      <c r="J109" s="29">
        <f>H109*I109</f>
        <v/>
      </c>
      <c r="K109" s="6">
        <f>'02_Inputs'!H109</f>
        <v/>
      </c>
      <c r="L109" s="29">
        <f>J109*K109</f>
        <v/>
      </c>
      <c r="M109" s="29">
        <f>J109*(1-K109)</f>
        <v/>
      </c>
      <c r="N109" s="6">
        <f>'02_GPU_Mix_Input'!D109</f>
        <v/>
      </c>
      <c r="O109" s="6">
        <f>'02_GPU_Mix_Input'!E109</f>
        <v/>
      </c>
      <c r="P109" s="6">
        <f>'02_GPU_Mix_Input'!F109</f>
        <v/>
      </c>
      <c r="Q109" s="6">
        <f>'02_GPU_Mix_Input'!G109</f>
        <v/>
      </c>
      <c r="R109" s="7">
        <f>INDEX('01_Benchmark_Input'!$K$2:$K$10,MATCH(B109,'01_Benchmark_Input'!$A$2:$A$10,0))</f>
        <v/>
      </c>
      <c r="S109" s="7">
        <f>INDEX('01_Benchmark_Input'!$P$2:$P$10,MATCH(B109,'01_Benchmark_Input'!$A$2:$A$10,0))</f>
        <v/>
      </c>
      <c r="T109" s="7">
        <f>INDEX('01_Benchmark_Input'!$U$2:$U$10,MATCH(B109,'01_Benchmark_Input'!$A$2:$A$10,0))</f>
        <v/>
      </c>
      <c r="U109" s="7">
        <f>INDEX('01_Benchmark_Input'!$Z$2:$Z$10,MATCH(B109,'01_Benchmark_Input'!$A$2:$A$10,0))</f>
        <v/>
      </c>
      <c r="V109" s="6">
        <f>INDEX('01_Benchmark_Input'!$D$2:$D$10,MATCH(B109,'01_Benchmark_Input'!$A$2:$A$10,0))</f>
        <v/>
      </c>
      <c r="W109" s="6">
        <f>INDEX('01_Benchmark_Input'!$E$2:$E$10,MATCH(B109,'01_Benchmark_Input'!$A$2:$A$10,0))</f>
        <v/>
      </c>
      <c r="X109" s="6">
        <f>INDEX('01_Benchmark_Input'!$F$2:$F$10,MATCH(B109,'01_Benchmark_Input'!$A$2:$A$10,0))</f>
        <v/>
      </c>
      <c r="Y109" s="7">
        <f>N109*R109+O109*S109+P109*T109+Q109*U109</f>
        <v/>
      </c>
      <c r="Z109" s="6">
        <f>'02_Inputs'!K109</f>
        <v/>
      </c>
      <c r="AA109" s="7">
        <f>Y109*Z109</f>
        <v/>
      </c>
      <c r="AB109" s="5">
        <f>L109*1000*AA109*86400</f>
        <v/>
      </c>
      <c r="AC109" s="5">
        <f>AB109*365</f>
        <v/>
      </c>
    </row>
    <row r="110">
      <c r="A110" s="5">
        <f>'02_Inputs'!A110</f>
        <v/>
      </c>
      <c r="B110" s="5">
        <f>'02_Inputs'!B110</f>
        <v/>
      </c>
      <c r="C110" s="5">
        <f>'02_Inputs'!C110</f>
        <v/>
      </c>
      <c r="D110" s="29">
        <f>'02_Inputs'!D110</f>
        <v/>
      </c>
      <c r="E110" s="6">
        <f>'02_Inputs'!E110</f>
        <v/>
      </c>
      <c r="F110" s="29">
        <f>D110*E110</f>
        <v/>
      </c>
      <c r="G110" s="5">
        <f>'02_Inputs'!F110</f>
        <v/>
      </c>
      <c r="H110" s="29">
        <f>F110/G110</f>
        <v/>
      </c>
      <c r="I110" s="6">
        <f>'02_Inputs'!G110</f>
        <v/>
      </c>
      <c r="J110" s="29">
        <f>H110*I110</f>
        <v/>
      </c>
      <c r="K110" s="6">
        <f>'02_Inputs'!H110</f>
        <v/>
      </c>
      <c r="L110" s="29">
        <f>J110*K110</f>
        <v/>
      </c>
      <c r="M110" s="29">
        <f>J110*(1-K110)</f>
        <v/>
      </c>
      <c r="N110" s="6">
        <f>'02_GPU_Mix_Input'!D110</f>
        <v/>
      </c>
      <c r="O110" s="6">
        <f>'02_GPU_Mix_Input'!E110</f>
        <v/>
      </c>
      <c r="P110" s="6">
        <f>'02_GPU_Mix_Input'!F110</f>
        <v/>
      </c>
      <c r="Q110" s="6">
        <f>'02_GPU_Mix_Input'!G110</f>
        <v/>
      </c>
      <c r="R110" s="7">
        <f>INDEX('01_Benchmark_Input'!$K$2:$K$10,MATCH(B110,'01_Benchmark_Input'!$A$2:$A$10,0))</f>
        <v/>
      </c>
      <c r="S110" s="7">
        <f>INDEX('01_Benchmark_Input'!$P$2:$P$10,MATCH(B110,'01_Benchmark_Input'!$A$2:$A$10,0))</f>
        <v/>
      </c>
      <c r="T110" s="7">
        <f>INDEX('01_Benchmark_Input'!$U$2:$U$10,MATCH(B110,'01_Benchmark_Input'!$A$2:$A$10,0))</f>
        <v/>
      </c>
      <c r="U110" s="7">
        <f>INDEX('01_Benchmark_Input'!$Z$2:$Z$10,MATCH(B110,'01_Benchmark_Input'!$A$2:$A$10,0))</f>
        <v/>
      </c>
      <c r="V110" s="6">
        <f>INDEX('01_Benchmark_Input'!$D$2:$D$10,MATCH(B110,'01_Benchmark_Input'!$A$2:$A$10,0))</f>
        <v/>
      </c>
      <c r="W110" s="6">
        <f>INDEX('01_Benchmark_Input'!$E$2:$E$10,MATCH(B110,'01_Benchmark_Input'!$A$2:$A$10,0))</f>
        <v/>
      </c>
      <c r="X110" s="6">
        <f>INDEX('01_Benchmark_Input'!$F$2:$F$10,MATCH(B110,'01_Benchmark_Input'!$A$2:$A$10,0))</f>
        <v/>
      </c>
      <c r="Y110" s="7">
        <f>N110*R110+O110*S110+P110*T110+Q110*U110</f>
        <v/>
      </c>
      <c r="Z110" s="6">
        <f>'02_Inputs'!K110</f>
        <v/>
      </c>
      <c r="AA110" s="7">
        <f>Y110*Z110</f>
        <v/>
      </c>
      <c r="AB110" s="5">
        <f>L110*1000*AA110*86400</f>
        <v/>
      </c>
      <c r="AC110" s="5">
        <f>AB110*365</f>
        <v/>
      </c>
    </row>
    <row r="111">
      <c r="A111" s="5">
        <f>'02_Inputs'!A111</f>
        <v/>
      </c>
      <c r="B111" s="5">
        <f>'02_Inputs'!B111</f>
        <v/>
      </c>
      <c r="C111" s="5">
        <f>'02_Inputs'!C111</f>
        <v/>
      </c>
      <c r="D111" s="29">
        <f>'02_Inputs'!D111</f>
        <v/>
      </c>
      <c r="E111" s="6">
        <f>'02_Inputs'!E111</f>
        <v/>
      </c>
      <c r="F111" s="29">
        <f>D111*E111</f>
        <v/>
      </c>
      <c r="G111" s="5">
        <f>'02_Inputs'!F111</f>
        <v/>
      </c>
      <c r="H111" s="29">
        <f>F111/G111</f>
        <v/>
      </c>
      <c r="I111" s="6">
        <f>'02_Inputs'!G111</f>
        <v/>
      </c>
      <c r="J111" s="29">
        <f>H111*I111</f>
        <v/>
      </c>
      <c r="K111" s="6">
        <f>'02_Inputs'!H111</f>
        <v/>
      </c>
      <c r="L111" s="29">
        <f>J111*K111</f>
        <v/>
      </c>
      <c r="M111" s="29">
        <f>J111*(1-K111)</f>
        <v/>
      </c>
      <c r="N111" s="6">
        <f>'02_GPU_Mix_Input'!D111</f>
        <v/>
      </c>
      <c r="O111" s="6">
        <f>'02_GPU_Mix_Input'!E111</f>
        <v/>
      </c>
      <c r="P111" s="6">
        <f>'02_GPU_Mix_Input'!F111</f>
        <v/>
      </c>
      <c r="Q111" s="6">
        <f>'02_GPU_Mix_Input'!G111</f>
        <v/>
      </c>
      <c r="R111" s="7">
        <f>INDEX('01_Benchmark_Input'!$K$2:$K$10,MATCH(B111,'01_Benchmark_Input'!$A$2:$A$10,0))</f>
        <v/>
      </c>
      <c r="S111" s="7">
        <f>INDEX('01_Benchmark_Input'!$P$2:$P$10,MATCH(B111,'01_Benchmark_Input'!$A$2:$A$10,0))</f>
        <v/>
      </c>
      <c r="T111" s="7">
        <f>INDEX('01_Benchmark_Input'!$U$2:$U$10,MATCH(B111,'01_Benchmark_Input'!$A$2:$A$10,0))</f>
        <v/>
      </c>
      <c r="U111" s="7">
        <f>INDEX('01_Benchmark_Input'!$Z$2:$Z$10,MATCH(B111,'01_Benchmark_Input'!$A$2:$A$10,0))</f>
        <v/>
      </c>
      <c r="V111" s="6">
        <f>INDEX('01_Benchmark_Input'!$D$2:$D$10,MATCH(B111,'01_Benchmark_Input'!$A$2:$A$10,0))</f>
        <v/>
      </c>
      <c r="W111" s="6">
        <f>INDEX('01_Benchmark_Input'!$E$2:$E$10,MATCH(B111,'01_Benchmark_Input'!$A$2:$A$10,0))</f>
        <v/>
      </c>
      <c r="X111" s="6">
        <f>INDEX('01_Benchmark_Input'!$F$2:$F$10,MATCH(B111,'01_Benchmark_Input'!$A$2:$A$10,0))</f>
        <v/>
      </c>
      <c r="Y111" s="7">
        <f>N111*R111+O111*S111+P111*T111+Q111*U111</f>
        <v/>
      </c>
      <c r="Z111" s="6">
        <f>'02_Inputs'!K111</f>
        <v/>
      </c>
      <c r="AA111" s="7">
        <f>Y111*Z111</f>
        <v/>
      </c>
      <c r="AB111" s="5">
        <f>L111*1000*AA111*86400</f>
        <v/>
      </c>
      <c r="AC111" s="5">
        <f>AB111*365</f>
        <v/>
      </c>
    </row>
    <row r="112">
      <c r="A112" s="5">
        <f>'02_Inputs'!A112</f>
        <v/>
      </c>
      <c r="B112" s="5">
        <f>'02_Inputs'!B112</f>
        <v/>
      </c>
      <c r="C112" s="5">
        <f>'02_Inputs'!C112</f>
        <v/>
      </c>
      <c r="D112" s="29">
        <f>'02_Inputs'!D112</f>
        <v/>
      </c>
      <c r="E112" s="6">
        <f>'02_Inputs'!E112</f>
        <v/>
      </c>
      <c r="F112" s="29">
        <f>D112*E112</f>
        <v/>
      </c>
      <c r="G112" s="5">
        <f>'02_Inputs'!F112</f>
        <v/>
      </c>
      <c r="H112" s="29">
        <f>F112/G112</f>
        <v/>
      </c>
      <c r="I112" s="6">
        <f>'02_Inputs'!G112</f>
        <v/>
      </c>
      <c r="J112" s="29">
        <f>H112*I112</f>
        <v/>
      </c>
      <c r="K112" s="6">
        <f>'02_Inputs'!H112</f>
        <v/>
      </c>
      <c r="L112" s="29">
        <f>J112*K112</f>
        <v/>
      </c>
      <c r="M112" s="29">
        <f>J112*(1-K112)</f>
        <v/>
      </c>
      <c r="N112" s="6">
        <f>'02_GPU_Mix_Input'!D112</f>
        <v/>
      </c>
      <c r="O112" s="6">
        <f>'02_GPU_Mix_Input'!E112</f>
        <v/>
      </c>
      <c r="P112" s="6">
        <f>'02_GPU_Mix_Input'!F112</f>
        <v/>
      </c>
      <c r="Q112" s="6">
        <f>'02_GPU_Mix_Input'!G112</f>
        <v/>
      </c>
      <c r="R112" s="7">
        <f>INDEX('01_Benchmark_Input'!$K$2:$K$10,MATCH(B112,'01_Benchmark_Input'!$A$2:$A$10,0))</f>
        <v/>
      </c>
      <c r="S112" s="7">
        <f>INDEX('01_Benchmark_Input'!$P$2:$P$10,MATCH(B112,'01_Benchmark_Input'!$A$2:$A$10,0))</f>
        <v/>
      </c>
      <c r="T112" s="7">
        <f>INDEX('01_Benchmark_Input'!$U$2:$U$10,MATCH(B112,'01_Benchmark_Input'!$A$2:$A$10,0))</f>
        <v/>
      </c>
      <c r="U112" s="7">
        <f>INDEX('01_Benchmark_Input'!$Z$2:$Z$10,MATCH(B112,'01_Benchmark_Input'!$A$2:$A$10,0))</f>
        <v/>
      </c>
      <c r="V112" s="6">
        <f>INDEX('01_Benchmark_Input'!$D$2:$D$10,MATCH(B112,'01_Benchmark_Input'!$A$2:$A$10,0))</f>
        <v/>
      </c>
      <c r="W112" s="6">
        <f>INDEX('01_Benchmark_Input'!$E$2:$E$10,MATCH(B112,'01_Benchmark_Input'!$A$2:$A$10,0))</f>
        <v/>
      </c>
      <c r="X112" s="6">
        <f>INDEX('01_Benchmark_Input'!$F$2:$F$10,MATCH(B112,'01_Benchmark_Input'!$A$2:$A$10,0))</f>
        <v/>
      </c>
      <c r="Y112" s="7">
        <f>N112*R112+O112*S112+P112*T112+Q112*U112</f>
        <v/>
      </c>
      <c r="Z112" s="6">
        <f>'02_Inputs'!K112</f>
        <v/>
      </c>
      <c r="AA112" s="7">
        <f>Y112*Z112</f>
        <v/>
      </c>
      <c r="AB112" s="5">
        <f>L112*1000*AA112*86400</f>
        <v/>
      </c>
      <c r="AC112" s="5">
        <f>AB112*365</f>
        <v/>
      </c>
    </row>
    <row r="113">
      <c r="A113" s="5">
        <f>'02_Inputs'!A113</f>
        <v/>
      </c>
      <c r="B113" s="5">
        <f>'02_Inputs'!B113</f>
        <v/>
      </c>
      <c r="C113" s="5">
        <f>'02_Inputs'!C113</f>
        <v/>
      </c>
      <c r="D113" s="29">
        <f>'02_Inputs'!D113</f>
        <v/>
      </c>
      <c r="E113" s="6">
        <f>'02_Inputs'!E113</f>
        <v/>
      </c>
      <c r="F113" s="29">
        <f>D113*E113</f>
        <v/>
      </c>
      <c r="G113" s="5">
        <f>'02_Inputs'!F113</f>
        <v/>
      </c>
      <c r="H113" s="29">
        <f>F113/G113</f>
        <v/>
      </c>
      <c r="I113" s="6">
        <f>'02_Inputs'!G113</f>
        <v/>
      </c>
      <c r="J113" s="29">
        <f>H113*I113</f>
        <v/>
      </c>
      <c r="K113" s="6">
        <f>'02_Inputs'!H113</f>
        <v/>
      </c>
      <c r="L113" s="29">
        <f>J113*K113</f>
        <v/>
      </c>
      <c r="M113" s="29">
        <f>J113*(1-K113)</f>
        <v/>
      </c>
      <c r="N113" s="6">
        <f>'02_GPU_Mix_Input'!D113</f>
        <v/>
      </c>
      <c r="O113" s="6">
        <f>'02_GPU_Mix_Input'!E113</f>
        <v/>
      </c>
      <c r="P113" s="6">
        <f>'02_GPU_Mix_Input'!F113</f>
        <v/>
      </c>
      <c r="Q113" s="6">
        <f>'02_GPU_Mix_Input'!G113</f>
        <v/>
      </c>
      <c r="R113" s="7">
        <f>INDEX('01_Benchmark_Input'!$K$2:$K$10,MATCH(B113,'01_Benchmark_Input'!$A$2:$A$10,0))</f>
        <v/>
      </c>
      <c r="S113" s="7">
        <f>INDEX('01_Benchmark_Input'!$P$2:$P$10,MATCH(B113,'01_Benchmark_Input'!$A$2:$A$10,0))</f>
        <v/>
      </c>
      <c r="T113" s="7">
        <f>INDEX('01_Benchmark_Input'!$U$2:$U$10,MATCH(B113,'01_Benchmark_Input'!$A$2:$A$10,0))</f>
        <v/>
      </c>
      <c r="U113" s="7">
        <f>INDEX('01_Benchmark_Input'!$Z$2:$Z$10,MATCH(B113,'01_Benchmark_Input'!$A$2:$A$10,0))</f>
        <v/>
      </c>
      <c r="V113" s="6">
        <f>INDEX('01_Benchmark_Input'!$D$2:$D$10,MATCH(B113,'01_Benchmark_Input'!$A$2:$A$10,0))</f>
        <v/>
      </c>
      <c r="W113" s="6">
        <f>INDEX('01_Benchmark_Input'!$E$2:$E$10,MATCH(B113,'01_Benchmark_Input'!$A$2:$A$10,0))</f>
        <v/>
      </c>
      <c r="X113" s="6">
        <f>INDEX('01_Benchmark_Input'!$F$2:$F$10,MATCH(B113,'01_Benchmark_Input'!$A$2:$A$10,0))</f>
        <v/>
      </c>
      <c r="Y113" s="7">
        <f>N113*R113+O113*S113+P113*T113+Q113*U113</f>
        <v/>
      </c>
      <c r="Z113" s="6">
        <f>'02_Inputs'!K113</f>
        <v/>
      </c>
      <c r="AA113" s="7">
        <f>Y113*Z113</f>
        <v/>
      </c>
      <c r="AB113" s="5">
        <f>L113*1000*AA113*86400</f>
        <v/>
      </c>
      <c r="AC113" s="5">
        <f>AB113*365</f>
        <v/>
      </c>
    </row>
    <row r="114">
      <c r="A114" s="5">
        <f>'02_Inputs'!A114</f>
        <v/>
      </c>
      <c r="B114" s="5">
        <f>'02_Inputs'!B114</f>
        <v/>
      </c>
      <c r="C114" s="5">
        <f>'02_Inputs'!C114</f>
        <v/>
      </c>
      <c r="D114" s="29">
        <f>'02_Inputs'!D114</f>
        <v/>
      </c>
      <c r="E114" s="6">
        <f>'02_Inputs'!E114</f>
        <v/>
      </c>
      <c r="F114" s="29">
        <f>D114*E114</f>
        <v/>
      </c>
      <c r="G114" s="5">
        <f>'02_Inputs'!F114</f>
        <v/>
      </c>
      <c r="H114" s="29">
        <f>F114/G114</f>
        <v/>
      </c>
      <c r="I114" s="6">
        <f>'02_Inputs'!G114</f>
        <v/>
      </c>
      <c r="J114" s="29">
        <f>H114*I114</f>
        <v/>
      </c>
      <c r="K114" s="6">
        <f>'02_Inputs'!H114</f>
        <v/>
      </c>
      <c r="L114" s="29">
        <f>J114*K114</f>
        <v/>
      </c>
      <c r="M114" s="29">
        <f>J114*(1-K114)</f>
        <v/>
      </c>
      <c r="N114" s="6">
        <f>'02_GPU_Mix_Input'!D114</f>
        <v/>
      </c>
      <c r="O114" s="6">
        <f>'02_GPU_Mix_Input'!E114</f>
        <v/>
      </c>
      <c r="P114" s="6">
        <f>'02_GPU_Mix_Input'!F114</f>
        <v/>
      </c>
      <c r="Q114" s="6">
        <f>'02_GPU_Mix_Input'!G114</f>
        <v/>
      </c>
      <c r="R114" s="7">
        <f>INDEX('01_Benchmark_Input'!$K$2:$K$10,MATCH(B114,'01_Benchmark_Input'!$A$2:$A$10,0))</f>
        <v/>
      </c>
      <c r="S114" s="7">
        <f>INDEX('01_Benchmark_Input'!$P$2:$P$10,MATCH(B114,'01_Benchmark_Input'!$A$2:$A$10,0))</f>
        <v/>
      </c>
      <c r="T114" s="7">
        <f>INDEX('01_Benchmark_Input'!$U$2:$U$10,MATCH(B114,'01_Benchmark_Input'!$A$2:$A$10,0))</f>
        <v/>
      </c>
      <c r="U114" s="7">
        <f>INDEX('01_Benchmark_Input'!$Z$2:$Z$10,MATCH(B114,'01_Benchmark_Input'!$A$2:$A$10,0))</f>
        <v/>
      </c>
      <c r="V114" s="6">
        <f>INDEX('01_Benchmark_Input'!$D$2:$D$10,MATCH(B114,'01_Benchmark_Input'!$A$2:$A$10,0))</f>
        <v/>
      </c>
      <c r="W114" s="6">
        <f>INDEX('01_Benchmark_Input'!$E$2:$E$10,MATCH(B114,'01_Benchmark_Input'!$A$2:$A$10,0))</f>
        <v/>
      </c>
      <c r="X114" s="6">
        <f>INDEX('01_Benchmark_Input'!$F$2:$F$10,MATCH(B114,'01_Benchmark_Input'!$A$2:$A$10,0))</f>
        <v/>
      </c>
      <c r="Y114" s="7">
        <f>N114*R114+O114*S114+P114*T114+Q114*U114</f>
        <v/>
      </c>
      <c r="Z114" s="6">
        <f>'02_Inputs'!K114</f>
        <v/>
      </c>
      <c r="AA114" s="7">
        <f>Y114*Z114</f>
        <v/>
      </c>
      <c r="AB114" s="5">
        <f>L114*1000*AA114*86400</f>
        <v/>
      </c>
      <c r="AC114" s="5">
        <f>AB114*365</f>
        <v/>
      </c>
    </row>
    <row r="115">
      <c r="A115" s="5">
        <f>'02_Inputs'!A115</f>
        <v/>
      </c>
      <c r="B115" s="5">
        <f>'02_Inputs'!B115</f>
        <v/>
      </c>
      <c r="C115" s="5">
        <f>'02_Inputs'!C115</f>
        <v/>
      </c>
      <c r="D115" s="29">
        <f>'02_Inputs'!D115</f>
        <v/>
      </c>
      <c r="E115" s="6">
        <f>'02_Inputs'!E115</f>
        <v/>
      </c>
      <c r="F115" s="29">
        <f>D115*E115</f>
        <v/>
      </c>
      <c r="G115" s="5">
        <f>'02_Inputs'!F115</f>
        <v/>
      </c>
      <c r="H115" s="29">
        <f>F115/G115</f>
        <v/>
      </c>
      <c r="I115" s="6">
        <f>'02_Inputs'!G115</f>
        <v/>
      </c>
      <c r="J115" s="29">
        <f>H115*I115</f>
        <v/>
      </c>
      <c r="K115" s="6">
        <f>'02_Inputs'!H115</f>
        <v/>
      </c>
      <c r="L115" s="29">
        <f>J115*K115</f>
        <v/>
      </c>
      <c r="M115" s="29">
        <f>J115*(1-K115)</f>
        <v/>
      </c>
      <c r="N115" s="6">
        <f>'02_GPU_Mix_Input'!D115</f>
        <v/>
      </c>
      <c r="O115" s="6">
        <f>'02_GPU_Mix_Input'!E115</f>
        <v/>
      </c>
      <c r="P115" s="6">
        <f>'02_GPU_Mix_Input'!F115</f>
        <v/>
      </c>
      <c r="Q115" s="6">
        <f>'02_GPU_Mix_Input'!G115</f>
        <v/>
      </c>
      <c r="R115" s="7">
        <f>INDEX('01_Benchmark_Input'!$K$2:$K$10,MATCH(B115,'01_Benchmark_Input'!$A$2:$A$10,0))</f>
        <v/>
      </c>
      <c r="S115" s="7">
        <f>INDEX('01_Benchmark_Input'!$P$2:$P$10,MATCH(B115,'01_Benchmark_Input'!$A$2:$A$10,0))</f>
        <v/>
      </c>
      <c r="T115" s="7">
        <f>INDEX('01_Benchmark_Input'!$U$2:$U$10,MATCH(B115,'01_Benchmark_Input'!$A$2:$A$10,0))</f>
        <v/>
      </c>
      <c r="U115" s="7">
        <f>INDEX('01_Benchmark_Input'!$Z$2:$Z$10,MATCH(B115,'01_Benchmark_Input'!$A$2:$A$10,0))</f>
        <v/>
      </c>
      <c r="V115" s="6">
        <f>INDEX('01_Benchmark_Input'!$D$2:$D$10,MATCH(B115,'01_Benchmark_Input'!$A$2:$A$10,0))</f>
        <v/>
      </c>
      <c r="W115" s="6">
        <f>INDEX('01_Benchmark_Input'!$E$2:$E$10,MATCH(B115,'01_Benchmark_Input'!$A$2:$A$10,0))</f>
        <v/>
      </c>
      <c r="X115" s="6">
        <f>INDEX('01_Benchmark_Input'!$F$2:$F$10,MATCH(B115,'01_Benchmark_Input'!$A$2:$A$10,0))</f>
        <v/>
      </c>
      <c r="Y115" s="7">
        <f>N115*R115+O115*S115+P115*T115+Q115*U115</f>
        <v/>
      </c>
      <c r="Z115" s="6">
        <f>'02_Inputs'!K115</f>
        <v/>
      </c>
      <c r="AA115" s="7">
        <f>Y115*Z115</f>
        <v/>
      </c>
      <c r="AB115" s="5">
        <f>L115*1000*AA115*86400</f>
        <v/>
      </c>
      <c r="AC115" s="5">
        <f>AB115*365</f>
        <v/>
      </c>
    </row>
    <row r="116">
      <c r="A116" s="5">
        <f>'02_Inputs'!A116</f>
        <v/>
      </c>
      <c r="B116" s="5">
        <f>'02_Inputs'!B116</f>
        <v/>
      </c>
      <c r="C116" s="5">
        <f>'02_Inputs'!C116</f>
        <v/>
      </c>
      <c r="D116" s="29">
        <f>'02_Inputs'!D116</f>
        <v/>
      </c>
      <c r="E116" s="6">
        <f>'02_Inputs'!E116</f>
        <v/>
      </c>
      <c r="F116" s="29">
        <f>D116*E116</f>
        <v/>
      </c>
      <c r="G116" s="5">
        <f>'02_Inputs'!F116</f>
        <v/>
      </c>
      <c r="H116" s="29">
        <f>F116/G116</f>
        <v/>
      </c>
      <c r="I116" s="6">
        <f>'02_Inputs'!G116</f>
        <v/>
      </c>
      <c r="J116" s="29">
        <f>H116*I116</f>
        <v/>
      </c>
      <c r="K116" s="6">
        <f>'02_Inputs'!H116</f>
        <v/>
      </c>
      <c r="L116" s="29">
        <f>J116*K116</f>
        <v/>
      </c>
      <c r="M116" s="29">
        <f>J116*(1-K116)</f>
        <v/>
      </c>
      <c r="N116" s="6">
        <f>'02_GPU_Mix_Input'!D116</f>
        <v/>
      </c>
      <c r="O116" s="6">
        <f>'02_GPU_Mix_Input'!E116</f>
        <v/>
      </c>
      <c r="P116" s="6">
        <f>'02_GPU_Mix_Input'!F116</f>
        <v/>
      </c>
      <c r="Q116" s="6">
        <f>'02_GPU_Mix_Input'!G116</f>
        <v/>
      </c>
      <c r="R116" s="7">
        <f>INDEX('01_Benchmark_Input'!$K$2:$K$10,MATCH(B116,'01_Benchmark_Input'!$A$2:$A$10,0))</f>
        <v/>
      </c>
      <c r="S116" s="7">
        <f>INDEX('01_Benchmark_Input'!$P$2:$P$10,MATCH(B116,'01_Benchmark_Input'!$A$2:$A$10,0))</f>
        <v/>
      </c>
      <c r="T116" s="7">
        <f>INDEX('01_Benchmark_Input'!$U$2:$U$10,MATCH(B116,'01_Benchmark_Input'!$A$2:$A$10,0))</f>
        <v/>
      </c>
      <c r="U116" s="7">
        <f>INDEX('01_Benchmark_Input'!$Z$2:$Z$10,MATCH(B116,'01_Benchmark_Input'!$A$2:$A$10,0))</f>
        <v/>
      </c>
      <c r="V116" s="6">
        <f>INDEX('01_Benchmark_Input'!$D$2:$D$10,MATCH(B116,'01_Benchmark_Input'!$A$2:$A$10,0))</f>
        <v/>
      </c>
      <c r="W116" s="6">
        <f>INDEX('01_Benchmark_Input'!$E$2:$E$10,MATCH(B116,'01_Benchmark_Input'!$A$2:$A$10,0))</f>
        <v/>
      </c>
      <c r="X116" s="6">
        <f>INDEX('01_Benchmark_Input'!$F$2:$F$10,MATCH(B116,'01_Benchmark_Input'!$A$2:$A$10,0))</f>
        <v/>
      </c>
      <c r="Y116" s="7">
        <f>N116*R116+O116*S116+P116*T116+Q116*U116</f>
        <v/>
      </c>
      <c r="Z116" s="6">
        <f>'02_Inputs'!K116</f>
        <v/>
      </c>
      <c r="AA116" s="7">
        <f>Y116*Z116</f>
        <v/>
      </c>
      <c r="AB116" s="5">
        <f>L116*1000*AA116*86400</f>
        <v/>
      </c>
      <c r="AC116" s="5">
        <f>AB116*365</f>
        <v/>
      </c>
    </row>
    <row r="117">
      <c r="A117" s="5">
        <f>'02_Inputs'!A117</f>
        <v/>
      </c>
      <c r="B117" s="5">
        <f>'02_Inputs'!B117</f>
        <v/>
      </c>
      <c r="C117" s="5">
        <f>'02_Inputs'!C117</f>
        <v/>
      </c>
      <c r="D117" s="29">
        <f>'02_Inputs'!D117</f>
        <v/>
      </c>
      <c r="E117" s="6">
        <f>'02_Inputs'!E117</f>
        <v/>
      </c>
      <c r="F117" s="29">
        <f>D117*E117</f>
        <v/>
      </c>
      <c r="G117" s="5">
        <f>'02_Inputs'!F117</f>
        <v/>
      </c>
      <c r="H117" s="29">
        <f>F117/G117</f>
        <v/>
      </c>
      <c r="I117" s="6">
        <f>'02_Inputs'!G117</f>
        <v/>
      </c>
      <c r="J117" s="29">
        <f>H117*I117</f>
        <v/>
      </c>
      <c r="K117" s="6">
        <f>'02_Inputs'!H117</f>
        <v/>
      </c>
      <c r="L117" s="29">
        <f>J117*K117</f>
        <v/>
      </c>
      <c r="M117" s="29">
        <f>J117*(1-K117)</f>
        <v/>
      </c>
      <c r="N117" s="6">
        <f>'02_GPU_Mix_Input'!D117</f>
        <v/>
      </c>
      <c r="O117" s="6">
        <f>'02_GPU_Mix_Input'!E117</f>
        <v/>
      </c>
      <c r="P117" s="6">
        <f>'02_GPU_Mix_Input'!F117</f>
        <v/>
      </c>
      <c r="Q117" s="6">
        <f>'02_GPU_Mix_Input'!G117</f>
        <v/>
      </c>
      <c r="R117" s="7">
        <f>INDEX('01_Benchmark_Input'!$K$2:$K$10,MATCH(B117,'01_Benchmark_Input'!$A$2:$A$10,0))</f>
        <v/>
      </c>
      <c r="S117" s="7">
        <f>INDEX('01_Benchmark_Input'!$P$2:$P$10,MATCH(B117,'01_Benchmark_Input'!$A$2:$A$10,0))</f>
        <v/>
      </c>
      <c r="T117" s="7">
        <f>INDEX('01_Benchmark_Input'!$U$2:$U$10,MATCH(B117,'01_Benchmark_Input'!$A$2:$A$10,0))</f>
        <v/>
      </c>
      <c r="U117" s="7">
        <f>INDEX('01_Benchmark_Input'!$Z$2:$Z$10,MATCH(B117,'01_Benchmark_Input'!$A$2:$A$10,0))</f>
        <v/>
      </c>
      <c r="V117" s="6">
        <f>INDEX('01_Benchmark_Input'!$D$2:$D$10,MATCH(B117,'01_Benchmark_Input'!$A$2:$A$10,0))</f>
        <v/>
      </c>
      <c r="W117" s="6">
        <f>INDEX('01_Benchmark_Input'!$E$2:$E$10,MATCH(B117,'01_Benchmark_Input'!$A$2:$A$10,0))</f>
        <v/>
      </c>
      <c r="X117" s="6">
        <f>INDEX('01_Benchmark_Input'!$F$2:$F$10,MATCH(B117,'01_Benchmark_Input'!$A$2:$A$10,0))</f>
        <v/>
      </c>
      <c r="Y117" s="7">
        <f>N117*R117+O117*S117+P117*T117+Q117*U117</f>
        <v/>
      </c>
      <c r="Z117" s="6">
        <f>'02_Inputs'!K117</f>
        <v/>
      </c>
      <c r="AA117" s="7">
        <f>Y117*Z117</f>
        <v/>
      </c>
      <c r="AB117" s="5">
        <f>L117*1000*AA117*86400</f>
        <v/>
      </c>
      <c r="AC117" s="5">
        <f>AB117*365</f>
        <v/>
      </c>
    </row>
    <row r="118">
      <c r="A118" s="5">
        <f>'02_Inputs'!A118</f>
        <v/>
      </c>
      <c r="B118" s="5">
        <f>'02_Inputs'!B118</f>
        <v/>
      </c>
      <c r="C118" s="5">
        <f>'02_Inputs'!C118</f>
        <v/>
      </c>
      <c r="D118" s="29">
        <f>'02_Inputs'!D118</f>
        <v/>
      </c>
      <c r="E118" s="6">
        <f>'02_Inputs'!E118</f>
        <v/>
      </c>
      <c r="F118" s="29">
        <f>D118*E118</f>
        <v/>
      </c>
      <c r="G118" s="5">
        <f>'02_Inputs'!F118</f>
        <v/>
      </c>
      <c r="H118" s="29">
        <f>F118/G118</f>
        <v/>
      </c>
      <c r="I118" s="6">
        <f>'02_Inputs'!G118</f>
        <v/>
      </c>
      <c r="J118" s="29">
        <f>H118*I118</f>
        <v/>
      </c>
      <c r="K118" s="6">
        <f>'02_Inputs'!H118</f>
        <v/>
      </c>
      <c r="L118" s="29">
        <f>J118*K118</f>
        <v/>
      </c>
      <c r="M118" s="29">
        <f>J118*(1-K118)</f>
        <v/>
      </c>
      <c r="N118" s="6">
        <f>'02_GPU_Mix_Input'!D118</f>
        <v/>
      </c>
      <c r="O118" s="6">
        <f>'02_GPU_Mix_Input'!E118</f>
        <v/>
      </c>
      <c r="P118" s="6">
        <f>'02_GPU_Mix_Input'!F118</f>
        <v/>
      </c>
      <c r="Q118" s="6">
        <f>'02_GPU_Mix_Input'!G118</f>
        <v/>
      </c>
      <c r="R118" s="7">
        <f>INDEX('01_Benchmark_Input'!$K$2:$K$10,MATCH(B118,'01_Benchmark_Input'!$A$2:$A$10,0))</f>
        <v/>
      </c>
      <c r="S118" s="7">
        <f>INDEX('01_Benchmark_Input'!$P$2:$P$10,MATCH(B118,'01_Benchmark_Input'!$A$2:$A$10,0))</f>
        <v/>
      </c>
      <c r="T118" s="7">
        <f>INDEX('01_Benchmark_Input'!$U$2:$U$10,MATCH(B118,'01_Benchmark_Input'!$A$2:$A$10,0))</f>
        <v/>
      </c>
      <c r="U118" s="7">
        <f>INDEX('01_Benchmark_Input'!$Z$2:$Z$10,MATCH(B118,'01_Benchmark_Input'!$A$2:$A$10,0))</f>
        <v/>
      </c>
      <c r="V118" s="6">
        <f>INDEX('01_Benchmark_Input'!$D$2:$D$10,MATCH(B118,'01_Benchmark_Input'!$A$2:$A$10,0))</f>
        <v/>
      </c>
      <c r="W118" s="6">
        <f>INDEX('01_Benchmark_Input'!$E$2:$E$10,MATCH(B118,'01_Benchmark_Input'!$A$2:$A$10,0))</f>
        <v/>
      </c>
      <c r="X118" s="6">
        <f>INDEX('01_Benchmark_Input'!$F$2:$F$10,MATCH(B118,'01_Benchmark_Input'!$A$2:$A$10,0))</f>
        <v/>
      </c>
      <c r="Y118" s="7">
        <f>N118*R118+O118*S118+P118*T118+Q118*U118</f>
        <v/>
      </c>
      <c r="Z118" s="6">
        <f>'02_Inputs'!K118</f>
        <v/>
      </c>
      <c r="AA118" s="7">
        <f>Y118*Z118</f>
        <v/>
      </c>
      <c r="AB118" s="5">
        <f>L118*1000*AA118*86400</f>
        <v/>
      </c>
      <c r="AC118" s="5">
        <f>AB118*365</f>
        <v/>
      </c>
    </row>
    <row r="119">
      <c r="A119" s="5">
        <f>'02_Inputs'!A119</f>
        <v/>
      </c>
      <c r="B119" s="5">
        <f>'02_Inputs'!B119</f>
        <v/>
      </c>
      <c r="C119" s="5">
        <f>'02_Inputs'!C119</f>
        <v/>
      </c>
      <c r="D119" s="29">
        <f>'02_Inputs'!D119</f>
        <v/>
      </c>
      <c r="E119" s="6">
        <f>'02_Inputs'!E119</f>
        <v/>
      </c>
      <c r="F119" s="29">
        <f>D119*E119</f>
        <v/>
      </c>
      <c r="G119" s="5">
        <f>'02_Inputs'!F119</f>
        <v/>
      </c>
      <c r="H119" s="29">
        <f>F119/G119</f>
        <v/>
      </c>
      <c r="I119" s="6">
        <f>'02_Inputs'!G119</f>
        <v/>
      </c>
      <c r="J119" s="29">
        <f>H119*I119</f>
        <v/>
      </c>
      <c r="K119" s="6">
        <f>'02_Inputs'!H119</f>
        <v/>
      </c>
      <c r="L119" s="29">
        <f>J119*K119</f>
        <v/>
      </c>
      <c r="M119" s="29">
        <f>J119*(1-K119)</f>
        <v/>
      </c>
      <c r="N119" s="6">
        <f>'02_GPU_Mix_Input'!D119</f>
        <v/>
      </c>
      <c r="O119" s="6">
        <f>'02_GPU_Mix_Input'!E119</f>
        <v/>
      </c>
      <c r="P119" s="6">
        <f>'02_GPU_Mix_Input'!F119</f>
        <v/>
      </c>
      <c r="Q119" s="6">
        <f>'02_GPU_Mix_Input'!G119</f>
        <v/>
      </c>
      <c r="R119" s="7">
        <f>INDEX('01_Benchmark_Input'!$K$2:$K$10,MATCH(B119,'01_Benchmark_Input'!$A$2:$A$10,0))</f>
        <v/>
      </c>
      <c r="S119" s="7">
        <f>INDEX('01_Benchmark_Input'!$P$2:$P$10,MATCH(B119,'01_Benchmark_Input'!$A$2:$A$10,0))</f>
        <v/>
      </c>
      <c r="T119" s="7">
        <f>INDEX('01_Benchmark_Input'!$U$2:$U$10,MATCH(B119,'01_Benchmark_Input'!$A$2:$A$10,0))</f>
        <v/>
      </c>
      <c r="U119" s="7">
        <f>INDEX('01_Benchmark_Input'!$Z$2:$Z$10,MATCH(B119,'01_Benchmark_Input'!$A$2:$A$10,0))</f>
        <v/>
      </c>
      <c r="V119" s="6">
        <f>INDEX('01_Benchmark_Input'!$D$2:$D$10,MATCH(B119,'01_Benchmark_Input'!$A$2:$A$10,0))</f>
        <v/>
      </c>
      <c r="W119" s="6">
        <f>INDEX('01_Benchmark_Input'!$E$2:$E$10,MATCH(B119,'01_Benchmark_Input'!$A$2:$A$10,0))</f>
        <v/>
      </c>
      <c r="X119" s="6">
        <f>INDEX('01_Benchmark_Input'!$F$2:$F$10,MATCH(B119,'01_Benchmark_Input'!$A$2:$A$10,0))</f>
        <v/>
      </c>
      <c r="Y119" s="7">
        <f>N119*R119+O119*S119+P119*T119+Q119*U119</f>
        <v/>
      </c>
      <c r="Z119" s="6">
        <f>'02_Inputs'!K119</f>
        <v/>
      </c>
      <c r="AA119" s="7">
        <f>Y119*Z119</f>
        <v/>
      </c>
      <c r="AB119" s="5">
        <f>L119*1000*AA119*86400</f>
        <v/>
      </c>
      <c r="AC119" s="5">
        <f>AB119*365</f>
        <v/>
      </c>
    </row>
    <row r="120">
      <c r="A120" s="5">
        <f>'02_Inputs'!A120</f>
        <v/>
      </c>
      <c r="B120" s="5">
        <f>'02_Inputs'!B120</f>
        <v/>
      </c>
      <c r="C120" s="5">
        <f>'02_Inputs'!C120</f>
        <v/>
      </c>
      <c r="D120" s="29">
        <f>'02_Inputs'!D120</f>
        <v/>
      </c>
      <c r="E120" s="6">
        <f>'02_Inputs'!E120</f>
        <v/>
      </c>
      <c r="F120" s="29">
        <f>D120*E120</f>
        <v/>
      </c>
      <c r="G120" s="5">
        <f>'02_Inputs'!F120</f>
        <v/>
      </c>
      <c r="H120" s="29">
        <f>F120/G120</f>
        <v/>
      </c>
      <c r="I120" s="6">
        <f>'02_Inputs'!G120</f>
        <v/>
      </c>
      <c r="J120" s="29">
        <f>H120*I120</f>
        <v/>
      </c>
      <c r="K120" s="6">
        <f>'02_Inputs'!H120</f>
        <v/>
      </c>
      <c r="L120" s="29">
        <f>J120*K120</f>
        <v/>
      </c>
      <c r="M120" s="29">
        <f>J120*(1-K120)</f>
        <v/>
      </c>
      <c r="N120" s="6">
        <f>'02_GPU_Mix_Input'!D120</f>
        <v/>
      </c>
      <c r="O120" s="6">
        <f>'02_GPU_Mix_Input'!E120</f>
        <v/>
      </c>
      <c r="P120" s="6">
        <f>'02_GPU_Mix_Input'!F120</f>
        <v/>
      </c>
      <c r="Q120" s="6">
        <f>'02_GPU_Mix_Input'!G120</f>
        <v/>
      </c>
      <c r="R120" s="7">
        <f>INDEX('01_Benchmark_Input'!$K$2:$K$10,MATCH(B120,'01_Benchmark_Input'!$A$2:$A$10,0))</f>
        <v/>
      </c>
      <c r="S120" s="7">
        <f>INDEX('01_Benchmark_Input'!$P$2:$P$10,MATCH(B120,'01_Benchmark_Input'!$A$2:$A$10,0))</f>
        <v/>
      </c>
      <c r="T120" s="7">
        <f>INDEX('01_Benchmark_Input'!$U$2:$U$10,MATCH(B120,'01_Benchmark_Input'!$A$2:$A$10,0))</f>
        <v/>
      </c>
      <c r="U120" s="7">
        <f>INDEX('01_Benchmark_Input'!$Z$2:$Z$10,MATCH(B120,'01_Benchmark_Input'!$A$2:$A$10,0))</f>
        <v/>
      </c>
      <c r="V120" s="6">
        <f>INDEX('01_Benchmark_Input'!$D$2:$D$10,MATCH(B120,'01_Benchmark_Input'!$A$2:$A$10,0))</f>
        <v/>
      </c>
      <c r="W120" s="6">
        <f>INDEX('01_Benchmark_Input'!$E$2:$E$10,MATCH(B120,'01_Benchmark_Input'!$A$2:$A$10,0))</f>
        <v/>
      </c>
      <c r="X120" s="6">
        <f>INDEX('01_Benchmark_Input'!$F$2:$F$10,MATCH(B120,'01_Benchmark_Input'!$A$2:$A$10,0))</f>
        <v/>
      </c>
      <c r="Y120" s="7">
        <f>N120*R120+O120*S120+P120*T120+Q120*U120</f>
        <v/>
      </c>
      <c r="Z120" s="6">
        <f>'02_Inputs'!K120</f>
        <v/>
      </c>
      <c r="AA120" s="7">
        <f>Y120*Z120</f>
        <v/>
      </c>
      <c r="AB120" s="5">
        <f>L120*1000*AA120*86400</f>
        <v/>
      </c>
      <c r="AC120" s="5">
        <f>AB120*365</f>
        <v/>
      </c>
    </row>
    <row r="121">
      <c r="A121" s="5">
        <f>'02_Inputs'!A121</f>
        <v/>
      </c>
      <c r="B121" s="5">
        <f>'02_Inputs'!B121</f>
        <v/>
      </c>
      <c r="C121" s="5">
        <f>'02_Inputs'!C121</f>
        <v/>
      </c>
      <c r="D121" s="29">
        <f>'02_Inputs'!D121</f>
        <v/>
      </c>
      <c r="E121" s="6">
        <f>'02_Inputs'!E121</f>
        <v/>
      </c>
      <c r="F121" s="29">
        <f>D121*E121</f>
        <v/>
      </c>
      <c r="G121" s="5">
        <f>'02_Inputs'!F121</f>
        <v/>
      </c>
      <c r="H121" s="29">
        <f>F121/G121</f>
        <v/>
      </c>
      <c r="I121" s="6">
        <f>'02_Inputs'!G121</f>
        <v/>
      </c>
      <c r="J121" s="29">
        <f>H121*I121</f>
        <v/>
      </c>
      <c r="K121" s="6">
        <f>'02_Inputs'!H121</f>
        <v/>
      </c>
      <c r="L121" s="29">
        <f>J121*K121</f>
        <v/>
      </c>
      <c r="M121" s="29">
        <f>J121*(1-K121)</f>
        <v/>
      </c>
      <c r="N121" s="6">
        <f>'02_GPU_Mix_Input'!D121</f>
        <v/>
      </c>
      <c r="O121" s="6">
        <f>'02_GPU_Mix_Input'!E121</f>
        <v/>
      </c>
      <c r="P121" s="6">
        <f>'02_GPU_Mix_Input'!F121</f>
        <v/>
      </c>
      <c r="Q121" s="6">
        <f>'02_GPU_Mix_Input'!G121</f>
        <v/>
      </c>
      <c r="R121" s="7">
        <f>INDEX('01_Benchmark_Input'!$K$2:$K$10,MATCH(B121,'01_Benchmark_Input'!$A$2:$A$10,0))</f>
        <v/>
      </c>
      <c r="S121" s="7">
        <f>INDEX('01_Benchmark_Input'!$P$2:$P$10,MATCH(B121,'01_Benchmark_Input'!$A$2:$A$10,0))</f>
        <v/>
      </c>
      <c r="T121" s="7">
        <f>INDEX('01_Benchmark_Input'!$U$2:$U$10,MATCH(B121,'01_Benchmark_Input'!$A$2:$A$10,0))</f>
        <v/>
      </c>
      <c r="U121" s="7">
        <f>INDEX('01_Benchmark_Input'!$Z$2:$Z$10,MATCH(B121,'01_Benchmark_Input'!$A$2:$A$10,0))</f>
        <v/>
      </c>
      <c r="V121" s="6">
        <f>INDEX('01_Benchmark_Input'!$D$2:$D$10,MATCH(B121,'01_Benchmark_Input'!$A$2:$A$10,0))</f>
        <v/>
      </c>
      <c r="W121" s="6">
        <f>INDEX('01_Benchmark_Input'!$E$2:$E$10,MATCH(B121,'01_Benchmark_Input'!$A$2:$A$10,0))</f>
        <v/>
      </c>
      <c r="X121" s="6">
        <f>INDEX('01_Benchmark_Input'!$F$2:$F$10,MATCH(B121,'01_Benchmark_Input'!$A$2:$A$10,0))</f>
        <v/>
      </c>
      <c r="Y121" s="7">
        <f>N121*R121+O121*S121+P121*T121+Q121*U121</f>
        <v/>
      </c>
      <c r="Z121" s="6">
        <f>'02_Inputs'!K121</f>
        <v/>
      </c>
      <c r="AA121" s="7">
        <f>Y121*Z121</f>
        <v/>
      </c>
      <c r="AB121" s="5">
        <f>L121*1000*AA121*86400</f>
        <v/>
      </c>
      <c r="AC121" s="5">
        <f>AB121*365</f>
        <v/>
      </c>
    </row>
    <row r="122">
      <c r="A122" s="5">
        <f>'02_Inputs'!A122</f>
        <v/>
      </c>
      <c r="B122" s="5">
        <f>'02_Inputs'!B122</f>
        <v/>
      </c>
      <c r="C122" s="5">
        <f>'02_Inputs'!C122</f>
        <v/>
      </c>
      <c r="D122" s="29">
        <f>'02_Inputs'!D122</f>
        <v/>
      </c>
      <c r="E122" s="6">
        <f>'02_Inputs'!E122</f>
        <v/>
      </c>
      <c r="F122" s="29">
        <f>D122*E122</f>
        <v/>
      </c>
      <c r="G122" s="5">
        <f>'02_Inputs'!F122</f>
        <v/>
      </c>
      <c r="H122" s="29">
        <f>F122/G122</f>
        <v/>
      </c>
      <c r="I122" s="6">
        <f>'02_Inputs'!G122</f>
        <v/>
      </c>
      <c r="J122" s="29">
        <f>H122*I122</f>
        <v/>
      </c>
      <c r="K122" s="6">
        <f>'02_Inputs'!H122</f>
        <v/>
      </c>
      <c r="L122" s="29">
        <f>J122*K122</f>
        <v/>
      </c>
      <c r="M122" s="29">
        <f>J122*(1-K122)</f>
        <v/>
      </c>
      <c r="N122" s="6">
        <f>'02_GPU_Mix_Input'!D122</f>
        <v/>
      </c>
      <c r="O122" s="6">
        <f>'02_GPU_Mix_Input'!E122</f>
        <v/>
      </c>
      <c r="P122" s="6">
        <f>'02_GPU_Mix_Input'!F122</f>
        <v/>
      </c>
      <c r="Q122" s="6">
        <f>'02_GPU_Mix_Input'!G122</f>
        <v/>
      </c>
      <c r="R122" s="7">
        <f>INDEX('01_Benchmark_Input'!$K$2:$K$10,MATCH(B122,'01_Benchmark_Input'!$A$2:$A$10,0))</f>
        <v/>
      </c>
      <c r="S122" s="7">
        <f>INDEX('01_Benchmark_Input'!$P$2:$P$10,MATCH(B122,'01_Benchmark_Input'!$A$2:$A$10,0))</f>
        <v/>
      </c>
      <c r="T122" s="7">
        <f>INDEX('01_Benchmark_Input'!$U$2:$U$10,MATCH(B122,'01_Benchmark_Input'!$A$2:$A$10,0))</f>
        <v/>
      </c>
      <c r="U122" s="7">
        <f>INDEX('01_Benchmark_Input'!$Z$2:$Z$10,MATCH(B122,'01_Benchmark_Input'!$A$2:$A$10,0))</f>
        <v/>
      </c>
      <c r="V122" s="6">
        <f>INDEX('01_Benchmark_Input'!$D$2:$D$10,MATCH(B122,'01_Benchmark_Input'!$A$2:$A$10,0))</f>
        <v/>
      </c>
      <c r="W122" s="6">
        <f>INDEX('01_Benchmark_Input'!$E$2:$E$10,MATCH(B122,'01_Benchmark_Input'!$A$2:$A$10,0))</f>
        <v/>
      </c>
      <c r="X122" s="6">
        <f>INDEX('01_Benchmark_Input'!$F$2:$F$10,MATCH(B122,'01_Benchmark_Input'!$A$2:$A$10,0))</f>
        <v/>
      </c>
      <c r="Y122" s="7">
        <f>N122*R122+O122*S122+P122*T122+Q122*U122</f>
        <v/>
      </c>
      <c r="Z122" s="6">
        <f>'02_Inputs'!K122</f>
        <v/>
      </c>
      <c r="AA122" s="7">
        <f>Y122*Z122</f>
        <v/>
      </c>
      <c r="AB122" s="5">
        <f>L122*1000*AA122*86400</f>
        <v/>
      </c>
      <c r="AC122" s="5">
        <f>AB122*365</f>
        <v/>
      </c>
    </row>
    <row r="123">
      <c r="A123" s="5">
        <f>'02_Inputs'!A123</f>
        <v/>
      </c>
      <c r="B123" s="5">
        <f>'02_Inputs'!B123</f>
        <v/>
      </c>
      <c r="C123" s="5">
        <f>'02_Inputs'!C123</f>
        <v/>
      </c>
      <c r="D123" s="29">
        <f>'02_Inputs'!D123</f>
        <v/>
      </c>
      <c r="E123" s="6">
        <f>'02_Inputs'!E123</f>
        <v/>
      </c>
      <c r="F123" s="29">
        <f>D123*E123</f>
        <v/>
      </c>
      <c r="G123" s="5">
        <f>'02_Inputs'!F123</f>
        <v/>
      </c>
      <c r="H123" s="29">
        <f>F123/G123</f>
        <v/>
      </c>
      <c r="I123" s="6">
        <f>'02_Inputs'!G123</f>
        <v/>
      </c>
      <c r="J123" s="29">
        <f>H123*I123</f>
        <v/>
      </c>
      <c r="K123" s="6">
        <f>'02_Inputs'!H123</f>
        <v/>
      </c>
      <c r="L123" s="29">
        <f>J123*K123</f>
        <v/>
      </c>
      <c r="M123" s="29">
        <f>J123*(1-K123)</f>
        <v/>
      </c>
      <c r="N123" s="6">
        <f>'02_GPU_Mix_Input'!D123</f>
        <v/>
      </c>
      <c r="O123" s="6">
        <f>'02_GPU_Mix_Input'!E123</f>
        <v/>
      </c>
      <c r="P123" s="6">
        <f>'02_GPU_Mix_Input'!F123</f>
        <v/>
      </c>
      <c r="Q123" s="6">
        <f>'02_GPU_Mix_Input'!G123</f>
        <v/>
      </c>
      <c r="R123" s="7">
        <f>INDEX('01_Benchmark_Input'!$K$2:$K$10,MATCH(B123,'01_Benchmark_Input'!$A$2:$A$10,0))</f>
        <v/>
      </c>
      <c r="S123" s="7">
        <f>INDEX('01_Benchmark_Input'!$P$2:$P$10,MATCH(B123,'01_Benchmark_Input'!$A$2:$A$10,0))</f>
        <v/>
      </c>
      <c r="T123" s="7">
        <f>INDEX('01_Benchmark_Input'!$U$2:$U$10,MATCH(B123,'01_Benchmark_Input'!$A$2:$A$10,0))</f>
        <v/>
      </c>
      <c r="U123" s="7">
        <f>INDEX('01_Benchmark_Input'!$Z$2:$Z$10,MATCH(B123,'01_Benchmark_Input'!$A$2:$A$10,0))</f>
        <v/>
      </c>
      <c r="V123" s="6">
        <f>INDEX('01_Benchmark_Input'!$D$2:$D$10,MATCH(B123,'01_Benchmark_Input'!$A$2:$A$10,0))</f>
        <v/>
      </c>
      <c r="W123" s="6">
        <f>INDEX('01_Benchmark_Input'!$E$2:$E$10,MATCH(B123,'01_Benchmark_Input'!$A$2:$A$10,0))</f>
        <v/>
      </c>
      <c r="X123" s="6">
        <f>INDEX('01_Benchmark_Input'!$F$2:$F$10,MATCH(B123,'01_Benchmark_Input'!$A$2:$A$10,0))</f>
        <v/>
      </c>
      <c r="Y123" s="7">
        <f>N123*R123+O123*S123+P123*T123+Q123*U123</f>
        <v/>
      </c>
      <c r="Z123" s="6">
        <f>'02_Inputs'!K123</f>
        <v/>
      </c>
      <c r="AA123" s="7">
        <f>Y123*Z123</f>
        <v/>
      </c>
      <c r="AB123" s="5">
        <f>L123*1000*AA123*86400</f>
        <v/>
      </c>
      <c r="AC123" s="5">
        <f>AB123*365</f>
        <v/>
      </c>
    </row>
    <row r="124">
      <c r="A124" s="5">
        <f>'02_Inputs'!A124</f>
        <v/>
      </c>
      <c r="B124" s="5">
        <f>'02_Inputs'!B124</f>
        <v/>
      </c>
      <c r="C124" s="5">
        <f>'02_Inputs'!C124</f>
        <v/>
      </c>
      <c r="D124" s="29">
        <f>'02_Inputs'!D124</f>
        <v/>
      </c>
      <c r="E124" s="6">
        <f>'02_Inputs'!E124</f>
        <v/>
      </c>
      <c r="F124" s="29">
        <f>D124*E124</f>
        <v/>
      </c>
      <c r="G124" s="5">
        <f>'02_Inputs'!F124</f>
        <v/>
      </c>
      <c r="H124" s="29">
        <f>F124/G124</f>
        <v/>
      </c>
      <c r="I124" s="6">
        <f>'02_Inputs'!G124</f>
        <v/>
      </c>
      <c r="J124" s="29">
        <f>H124*I124</f>
        <v/>
      </c>
      <c r="K124" s="6">
        <f>'02_Inputs'!H124</f>
        <v/>
      </c>
      <c r="L124" s="29">
        <f>J124*K124</f>
        <v/>
      </c>
      <c r="M124" s="29">
        <f>J124*(1-K124)</f>
        <v/>
      </c>
      <c r="N124" s="6">
        <f>'02_GPU_Mix_Input'!D124</f>
        <v/>
      </c>
      <c r="O124" s="6">
        <f>'02_GPU_Mix_Input'!E124</f>
        <v/>
      </c>
      <c r="P124" s="6">
        <f>'02_GPU_Mix_Input'!F124</f>
        <v/>
      </c>
      <c r="Q124" s="6">
        <f>'02_GPU_Mix_Input'!G124</f>
        <v/>
      </c>
      <c r="R124" s="7">
        <f>INDEX('01_Benchmark_Input'!$K$2:$K$10,MATCH(B124,'01_Benchmark_Input'!$A$2:$A$10,0))</f>
        <v/>
      </c>
      <c r="S124" s="7">
        <f>INDEX('01_Benchmark_Input'!$P$2:$P$10,MATCH(B124,'01_Benchmark_Input'!$A$2:$A$10,0))</f>
        <v/>
      </c>
      <c r="T124" s="7">
        <f>INDEX('01_Benchmark_Input'!$U$2:$U$10,MATCH(B124,'01_Benchmark_Input'!$A$2:$A$10,0))</f>
        <v/>
      </c>
      <c r="U124" s="7">
        <f>INDEX('01_Benchmark_Input'!$Z$2:$Z$10,MATCH(B124,'01_Benchmark_Input'!$A$2:$A$10,0))</f>
        <v/>
      </c>
      <c r="V124" s="6">
        <f>INDEX('01_Benchmark_Input'!$D$2:$D$10,MATCH(B124,'01_Benchmark_Input'!$A$2:$A$10,0))</f>
        <v/>
      </c>
      <c r="W124" s="6">
        <f>INDEX('01_Benchmark_Input'!$E$2:$E$10,MATCH(B124,'01_Benchmark_Input'!$A$2:$A$10,0))</f>
        <v/>
      </c>
      <c r="X124" s="6">
        <f>INDEX('01_Benchmark_Input'!$F$2:$F$10,MATCH(B124,'01_Benchmark_Input'!$A$2:$A$10,0))</f>
        <v/>
      </c>
      <c r="Y124" s="7">
        <f>N124*R124+O124*S124+P124*T124+Q124*U124</f>
        <v/>
      </c>
      <c r="Z124" s="6">
        <f>'02_Inputs'!K124</f>
        <v/>
      </c>
      <c r="AA124" s="7">
        <f>Y124*Z124</f>
        <v/>
      </c>
      <c r="AB124" s="5">
        <f>L124*1000*AA124*86400</f>
        <v/>
      </c>
      <c r="AC124" s="5">
        <f>AB124*365</f>
        <v/>
      </c>
    </row>
    <row r="125">
      <c r="A125" s="5">
        <f>'02_Inputs'!A125</f>
        <v/>
      </c>
      <c r="B125" s="5">
        <f>'02_Inputs'!B125</f>
        <v/>
      </c>
      <c r="C125" s="5">
        <f>'02_Inputs'!C125</f>
        <v/>
      </c>
      <c r="D125" s="29">
        <f>'02_Inputs'!D125</f>
        <v/>
      </c>
      <c r="E125" s="6">
        <f>'02_Inputs'!E125</f>
        <v/>
      </c>
      <c r="F125" s="29">
        <f>D125*E125</f>
        <v/>
      </c>
      <c r="G125" s="5">
        <f>'02_Inputs'!F125</f>
        <v/>
      </c>
      <c r="H125" s="29">
        <f>F125/G125</f>
        <v/>
      </c>
      <c r="I125" s="6">
        <f>'02_Inputs'!G125</f>
        <v/>
      </c>
      <c r="J125" s="29">
        <f>H125*I125</f>
        <v/>
      </c>
      <c r="K125" s="6">
        <f>'02_Inputs'!H125</f>
        <v/>
      </c>
      <c r="L125" s="29">
        <f>J125*K125</f>
        <v/>
      </c>
      <c r="M125" s="29">
        <f>J125*(1-K125)</f>
        <v/>
      </c>
      <c r="N125" s="6">
        <f>'02_GPU_Mix_Input'!D125</f>
        <v/>
      </c>
      <c r="O125" s="6">
        <f>'02_GPU_Mix_Input'!E125</f>
        <v/>
      </c>
      <c r="P125" s="6">
        <f>'02_GPU_Mix_Input'!F125</f>
        <v/>
      </c>
      <c r="Q125" s="6">
        <f>'02_GPU_Mix_Input'!G125</f>
        <v/>
      </c>
      <c r="R125" s="7">
        <f>INDEX('01_Benchmark_Input'!$K$2:$K$10,MATCH(B125,'01_Benchmark_Input'!$A$2:$A$10,0))</f>
        <v/>
      </c>
      <c r="S125" s="7">
        <f>INDEX('01_Benchmark_Input'!$P$2:$P$10,MATCH(B125,'01_Benchmark_Input'!$A$2:$A$10,0))</f>
        <v/>
      </c>
      <c r="T125" s="7">
        <f>INDEX('01_Benchmark_Input'!$U$2:$U$10,MATCH(B125,'01_Benchmark_Input'!$A$2:$A$10,0))</f>
        <v/>
      </c>
      <c r="U125" s="7">
        <f>INDEX('01_Benchmark_Input'!$Z$2:$Z$10,MATCH(B125,'01_Benchmark_Input'!$A$2:$A$10,0))</f>
        <v/>
      </c>
      <c r="V125" s="6">
        <f>INDEX('01_Benchmark_Input'!$D$2:$D$10,MATCH(B125,'01_Benchmark_Input'!$A$2:$A$10,0))</f>
        <v/>
      </c>
      <c r="W125" s="6">
        <f>INDEX('01_Benchmark_Input'!$E$2:$E$10,MATCH(B125,'01_Benchmark_Input'!$A$2:$A$10,0))</f>
        <v/>
      </c>
      <c r="X125" s="6">
        <f>INDEX('01_Benchmark_Input'!$F$2:$F$10,MATCH(B125,'01_Benchmark_Input'!$A$2:$A$10,0))</f>
        <v/>
      </c>
      <c r="Y125" s="7">
        <f>N125*R125+O125*S125+P125*T125+Q125*U125</f>
        <v/>
      </c>
      <c r="Z125" s="6">
        <f>'02_Inputs'!K125</f>
        <v/>
      </c>
      <c r="AA125" s="7">
        <f>Y125*Z125</f>
        <v/>
      </c>
      <c r="AB125" s="5">
        <f>L125*1000*AA125*86400</f>
        <v/>
      </c>
      <c r="AC125" s="5">
        <f>AB125*365</f>
        <v/>
      </c>
    </row>
    <row r="126">
      <c r="A126" s="5">
        <f>'02_Inputs'!A126</f>
        <v/>
      </c>
      <c r="B126" s="5">
        <f>'02_Inputs'!B126</f>
        <v/>
      </c>
      <c r="C126" s="5">
        <f>'02_Inputs'!C126</f>
        <v/>
      </c>
      <c r="D126" s="29">
        <f>'02_Inputs'!D126</f>
        <v/>
      </c>
      <c r="E126" s="6">
        <f>'02_Inputs'!E126</f>
        <v/>
      </c>
      <c r="F126" s="29">
        <f>D126*E126</f>
        <v/>
      </c>
      <c r="G126" s="5">
        <f>'02_Inputs'!F126</f>
        <v/>
      </c>
      <c r="H126" s="29">
        <f>F126/G126</f>
        <v/>
      </c>
      <c r="I126" s="6">
        <f>'02_Inputs'!G126</f>
        <v/>
      </c>
      <c r="J126" s="29">
        <f>H126*I126</f>
        <v/>
      </c>
      <c r="K126" s="6">
        <f>'02_Inputs'!H126</f>
        <v/>
      </c>
      <c r="L126" s="29">
        <f>J126*K126</f>
        <v/>
      </c>
      <c r="M126" s="29">
        <f>J126*(1-K126)</f>
        <v/>
      </c>
      <c r="N126" s="6">
        <f>'02_GPU_Mix_Input'!D126</f>
        <v/>
      </c>
      <c r="O126" s="6">
        <f>'02_GPU_Mix_Input'!E126</f>
        <v/>
      </c>
      <c r="P126" s="6">
        <f>'02_GPU_Mix_Input'!F126</f>
        <v/>
      </c>
      <c r="Q126" s="6">
        <f>'02_GPU_Mix_Input'!G126</f>
        <v/>
      </c>
      <c r="R126" s="7">
        <f>INDEX('01_Benchmark_Input'!$K$2:$K$10,MATCH(B126,'01_Benchmark_Input'!$A$2:$A$10,0))</f>
        <v/>
      </c>
      <c r="S126" s="7">
        <f>INDEX('01_Benchmark_Input'!$P$2:$P$10,MATCH(B126,'01_Benchmark_Input'!$A$2:$A$10,0))</f>
        <v/>
      </c>
      <c r="T126" s="7">
        <f>INDEX('01_Benchmark_Input'!$U$2:$U$10,MATCH(B126,'01_Benchmark_Input'!$A$2:$A$10,0))</f>
        <v/>
      </c>
      <c r="U126" s="7">
        <f>INDEX('01_Benchmark_Input'!$Z$2:$Z$10,MATCH(B126,'01_Benchmark_Input'!$A$2:$A$10,0))</f>
        <v/>
      </c>
      <c r="V126" s="6">
        <f>INDEX('01_Benchmark_Input'!$D$2:$D$10,MATCH(B126,'01_Benchmark_Input'!$A$2:$A$10,0))</f>
        <v/>
      </c>
      <c r="W126" s="6">
        <f>INDEX('01_Benchmark_Input'!$E$2:$E$10,MATCH(B126,'01_Benchmark_Input'!$A$2:$A$10,0))</f>
        <v/>
      </c>
      <c r="X126" s="6">
        <f>INDEX('01_Benchmark_Input'!$F$2:$F$10,MATCH(B126,'01_Benchmark_Input'!$A$2:$A$10,0))</f>
        <v/>
      </c>
      <c r="Y126" s="7">
        <f>N126*R126+O126*S126+P126*T126+Q126*U126</f>
        <v/>
      </c>
      <c r="Z126" s="6">
        <f>'02_Inputs'!K126</f>
        <v/>
      </c>
      <c r="AA126" s="7">
        <f>Y126*Z126</f>
        <v/>
      </c>
      <c r="AB126" s="5">
        <f>L126*1000*AA126*86400</f>
        <v/>
      </c>
      <c r="AC126" s="5">
        <f>AB126*365</f>
        <v/>
      </c>
    </row>
    <row r="127">
      <c r="A127" s="5">
        <f>'02_Inputs'!A127</f>
        <v/>
      </c>
      <c r="B127" s="5">
        <f>'02_Inputs'!B127</f>
        <v/>
      </c>
      <c r="C127" s="5">
        <f>'02_Inputs'!C127</f>
        <v/>
      </c>
      <c r="D127" s="29">
        <f>'02_Inputs'!D127</f>
        <v/>
      </c>
      <c r="E127" s="6">
        <f>'02_Inputs'!E127</f>
        <v/>
      </c>
      <c r="F127" s="29">
        <f>D127*E127</f>
        <v/>
      </c>
      <c r="G127" s="5">
        <f>'02_Inputs'!F127</f>
        <v/>
      </c>
      <c r="H127" s="29">
        <f>F127/G127</f>
        <v/>
      </c>
      <c r="I127" s="6">
        <f>'02_Inputs'!G127</f>
        <v/>
      </c>
      <c r="J127" s="29">
        <f>H127*I127</f>
        <v/>
      </c>
      <c r="K127" s="6">
        <f>'02_Inputs'!H127</f>
        <v/>
      </c>
      <c r="L127" s="29">
        <f>J127*K127</f>
        <v/>
      </c>
      <c r="M127" s="29">
        <f>J127*(1-K127)</f>
        <v/>
      </c>
      <c r="N127" s="6">
        <f>'02_GPU_Mix_Input'!D127</f>
        <v/>
      </c>
      <c r="O127" s="6">
        <f>'02_GPU_Mix_Input'!E127</f>
        <v/>
      </c>
      <c r="P127" s="6">
        <f>'02_GPU_Mix_Input'!F127</f>
        <v/>
      </c>
      <c r="Q127" s="6">
        <f>'02_GPU_Mix_Input'!G127</f>
        <v/>
      </c>
      <c r="R127" s="7">
        <f>INDEX('01_Benchmark_Input'!$K$2:$K$10,MATCH(B127,'01_Benchmark_Input'!$A$2:$A$10,0))</f>
        <v/>
      </c>
      <c r="S127" s="7">
        <f>INDEX('01_Benchmark_Input'!$P$2:$P$10,MATCH(B127,'01_Benchmark_Input'!$A$2:$A$10,0))</f>
        <v/>
      </c>
      <c r="T127" s="7">
        <f>INDEX('01_Benchmark_Input'!$U$2:$U$10,MATCH(B127,'01_Benchmark_Input'!$A$2:$A$10,0))</f>
        <v/>
      </c>
      <c r="U127" s="7">
        <f>INDEX('01_Benchmark_Input'!$Z$2:$Z$10,MATCH(B127,'01_Benchmark_Input'!$A$2:$A$10,0))</f>
        <v/>
      </c>
      <c r="V127" s="6">
        <f>INDEX('01_Benchmark_Input'!$D$2:$D$10,MATCH(B127,'01_Benchmark_Input'!$A$2:$A$10,0))</f>
        <v/>
      </c>
      <c r="W127" s="6">
        <f>INDEX('01_Benchmark_Input'!$E$2:$E$10,MATCH(B127,'01_Benchmark_Input'!$A$2:$A$10,0))</f>
        <v/>
      </c>
      <c r="X127" s="6">
        <f>INDEX('01_Benchmark_Input'!$F$2:$F$10,MATCH(B127,'01_Benchmark_Input'!$A$2:$A$10,0))</f>
        <v/>
      </c>
      <c r="Y127" s="7">
        <f>N127*R127+O127*S127+P127*T127+Q127*U127</f>
        <v/>
      </c>
      <c r="Z127" s="6">
        <f>'02_Inputs'!K127</f>
        <v/>
      </c>
      <c r="AA127" s="7">
        <f>Y127*Z127</f>
        <v/>
      </c>
      <c r="AB127" s="5">
        <f>L127*1000*AA127*86400</f>
        <v/>
      </c>
      <c r="AC127" s="5">
        <f>AB127*365</f>
        <v/>
      </c>
    </row>
    <row r="128">
      <c r="A128" s="5">
        <f>'02_Inputs'!A128</f>
        <v/>
      </c>
      <c r="B128" s="5">
        <f>'02_Inputs'!B128</f>
        <v/>
      </c>
      <c r="C128" s="5">
        <f>'02_Inputs'!C128</f>
        <v/>
      </c>
      <c r="D128" s="29">
        <f>'02_Inputs'!D128</f>
        <v/>
      </c>
      <c r="E128" s="6">
        <f>'02_Inputs'!E128</f>
        <v/>
      </c>
      <c r="F128" s="29">
        <f>D128*E128</f>
        <v/>
      </c>
      <c r="G128" s="5">
        <f>'02_Inputs'!F128</f>
        <v/>
      </c>
      <c r="H128" s="29">
        <f>F128/G128</f>
        <v/>
      </c>
      <c r="I128" s="6">
        <f>'02_Inputs'!G128</f>
        <v/>
      </c>
      <c r="J128" s="29">
        <f>H128*I128</f>
        <v/>
      </c>
      <c r="K128" s="6">
        <f>'02_Inputs'!H128</f>
        <v/>
      </c>
      <c r="L128" s="29">
        <f>J128*K128</f>
        <v/>
      </c>
      <c r="M128" s="29">
        <f>J128*(1-K128)</f>
        <v/>
      </c>
      <c r="N128" s="6">
        <f>'02_GPU_Mix_Input'!D128</f>
        <v/>
      </c>
      <c r="O128" s="6">
        <f>'02_GPU_Mix_Input'!E128</f>
        <v/>
      </c>
      <c r="P128" s="6">
        <f>'02_GPU_Mix_Input'!F128</f>
        <v/>
      </c>
      <c r="Q128" s="6">
        <f>'02_GPU_Mix_Input'!G128</f>
        <v/>
      </c>
      <c r="R128" s="7">
        <f>INDEX('01_Benchmark_Input'!$K$2:$K$10,MATCH(B128,'01_Benchmark_Input'!$A$2:$A$10,0))</f>
        <v/>
      </c>
      <c r="S128" s="7">
        <f>INDEX('01_Benchmark_Input'!$P$2:$P$10,MATCH(B128,'01_Benchmark_Input'!$A$2:$A$10,0))</f>
        <v/>
      </c>
      <c r="T128" s="7">
        <f>INDEX('01_Benchmark_Input'!$U$2:$U$10,MATCH(B128,'01_Benchmark_Input'!$A$2:$A$10,0))</f>
        <v/>
      </c>
      <c r="U128" s="7">
        <f>INDEX('01_Benchmark_Input'!$Z$2:$Z$10,MATCH(B128,'01_Benchmark_Input'!$A$2:$A$10,0))</f>
        <v/>
      </c>
      <c r="V128" s="6">
        <f>INDEX('01_Benchmark_Input'!$D$2:$D$10,MATCH(B128,'01_Benchmark_Input'!$A$2:$A$10,0))</f>
        <v/>
      </c>
      <c r="W128" s="6">
        <f>INDEX('01_Benchmark_Input'!$E$2:$E$10,MATCH(B128,'01_Benchmark_Input'!$A$2:$A$10,0))</f>
        <v/>
      </c>
      <c r="X128" s="6">
        <f>INDEX('01_Benchmark_Input'!$F$2:$F$10,MATCH(B128,'01_Benchmark_Input'!$A$2:$A$10,0))</f>
        <v/>
      </c>
      <c r="Y128" s="7">
        <f>N128*R128+O128*S128+P128*T128+Q128*U128</f>
        <v/>
      </c>
      <c r="Z128" s="6">
        <f>'02_Inputs'!K128</f>
        <v/>
      </c>
      <c r="AA128" s="7">
        <f>Y128*Z128</f>
        <v/>
      </c>
      <c r="AB128" s="5">
        <f>L128*1000*AA128*86400</f>
        <v/>
      </c>
      <c r="AC128" s="5">
        <f>AB128*365</f>
        <v/>
      </c>
    </row>
    <row r="129">
      <c r="A129" s="5">
        <f>'02_Inputs'!A129</f>
        <v/>
      </c>
      <c r="B129" s="5">
        <f>'02_Inputs'!B129</f>
        <v/>
      </c>
      <c r="C129" s="5">
        <f>'02_Inputs'!C129</f>
        <v/>
      </c>
      <c r="D129" s="29">
        <f>'02_Inputs'!D129</f>
        <v/>
      </c>
      <c r="E129" s="6">
        <f>'02_Inputs'!E129</f>
        <v/>
      </c>
      <c r="F129" s="29">
        <f>D129*E129</f>
        <v/>
      </c>
      <c r="G129" s="5">
        <f>'02_Inputs'!F129</f>
        <v/>
      </c>
      <c r="H129" s="29">
        <f>F129/G129</f>
        <v/>
      </c>
      <c r="I129" s="6">
        <f>'02_Inputs'!G129</f>
        <v/>
      </c>
      <c r="J129" s="29">
        <f>H129*I129</f>
        <v/>
      </c>
      <c r="K129" s="6">
        <f>'02_Inputs'!H129</f>
        <v/>
      </c>
      <c r="L129" s="29">
        <f>J129*K129</f>
        <v/>
      </c>
      <c r="M129" s="29">
        <f>J129*(1-K129)</f>
        <v/>
      </c>
      <c r="N129" s="6">
        <f>'02_GPU_Mix_Input'!D129</f>
        <v/>
      </c>
      <c r="O129" s="6">
        <f>'02_GPU_Mix_Input'!E129</f>
        <v/>
      </c>
      <c r="P129" s="6">
        <f>'02_GPU_Mix_Input'!F129</f>
        <v/>
      </c>
      <c r="Q129" s="6">
        <f>'02_GPU_Mix_Input'!G129</f>
        <v/>
      </c>
      <c r="R129" s="7">
        <f>INDEX('01_Benchmark_Input'!$K$2:$K$10,MATCH(B129,'01_Benchmark_Input'!$A$2:$A$10,0))</f>
        <v/>
      </c>
      <c r="S129" s="7">
        <f>INDEX('01_Benchmark_Input'!$P$2:$P$10,MATCH(B129,'01_Benchmark_Input'!$A$2:$A$10,0))</f>
        <v/>
      </c>
      <c r="T129" s="7">
        <f>INDEX('01_Benchmark_Input'!$U$2:$U$10,MATCH(B129,'01_Benchmark_Input'!$A$2:$A$10,0))</f>
        <v/>
      </c>
      <c r="U129" s="7">
        <f>INDEX('01_Benchmark_Input'!$Z$2:$Z$10,MATCH(B129,'01_Benchmark_Input'!$A$2:$A$10,0))</f>
        <v/>
      </c>
      <c r="V129" s="6">
        <f>INDEX('01_Benchmark_Input'!$D$2:$D$10,MATCH(B129,'01_Benchmark_Input'!$A$2:$A$10,0))</f>
        <v/>
      </c>
      <c r="W129" s="6">
        <f>INDEX('01_Benchmark_Input'!$E$2:$E$10,MATCH(B129,'01_Benchmark_Input'!$A$2:$A$10,0))</f>
        <v/>
      </c>
      <c r="X129" s="6">
        <f>INDEX('01_Benchmark_Input'!$F$2:$F$10,MATCH(B129,'01_Benchmark_Input'!$A$2:$A$10,0))</f>
        <v/>
      </c>
      <c r="Y129" s="7">
        <f>N129*R129+O129*S129+P129*T129+Q129*U129</f>
        <v/>
      </c>
      <c r="Z129" s="6">
        <f>'02_Inputs'!K129</f>
        <v/>
      </c>
      <c r="AA129" s="7">
        <f>Y129*Z129</f>
        <v/>
      </c>
      <c r="AB129" s="5">
        <f>L129*1000*AA129*86400</f>
        <v/>
      </c>
      <c r="AC129" s="5">
        <f>AB129*365</f>
        <v/>
      </c>
    </row>
    <row r="130">
      <c r="A130" s="5">
        <f>'02_Inputs'!A130</f>
        <v/>
      </c>
      <c r="B130" s="5">
        <f>'02_Inputs'!B130</f>
        <v/>
      </c>
      <c r="C130" s="5">
        <f>'02_Inputs'!C130</f>
        <v/>
      </c>
      <c r="D130" s="29">
        <f>'02_Inputs'!D130</f>
        <v/>
      </c>
      <c r="E130" s="6">
        <f>'02_Inputs'!E130</f>
        <v/>
      </c>
      <c r="F130" s="29">
        <f>D130*E130</f>
        <v/>
      </c>
      <c r="G130" s="5">
        <f>'02_Inputs'!F130</f>
        <v/>
      </c>
      <c r="H130" s="29">
        <f>F130/G130</f>
        <v/>
      </c>
      <c r="I130" s="6">
        <f>'02_Inputs'!G130</f>
        <v/>
      </c>
      <c r="J130" s="29">
        <f>H130*I130</f>
        <v/>
      </c>
      <c r="K130" s="6">
        <f>'02_Inputs'!H130</f>
        <v/>
      </c>
      <c r="L130" s="29">
        <f>J130*K130</f>
        <v/>
      </c>
      <c r="M130" s="29">
        <f>J130*(1-K130)</f>
        <v/>
      </c>
      <c r="N130" s="6">
        <f>'02_GPU_Mix_Input'!D130</f>
        <v/>
      </c>
      <c r="O130" s="6">
        <f>'02_GPU_Mix_Input'!E130</f>
        <v/>
      </c>
      <c r="P130" s="6">
        <f>'02_GPU_Mix_Input'!F130</f>
        <v/>
      </c>
      <c r="Q130" s="6">
        <f>'02_GPU_Mix_Input'!G130</f>
        <v/>
      </c>
      <c r="R130" s="7">
        <f>INDEX('01_Benchmark_Input'!$K$2:$K$10,MATCH(B130,'01_Benchmark_Input'!$A$2:$A$10,0))</f>
        <v/>
      </c>
      <c r="S130" s="7">
        <f>INDEX('01_Benchmark_Input'!$P$2:$P$10,MATCH(B130,'01_Benchmark_Input'!$A$2:$A$10,0))</f>
        <v/>
      </c>
      <c r="T130" s="7">
        <f>INDEX('01_Benchmark_Input'!$U$2:$U$10,MATCH(B130,'01_Benchmark_Input'!$A$2:$A$10,0))</f>
        <v/>
      </c>
      <c r="U130" s="7">
        <f>INDEX('01_Benchmark_Input'!$Z$2:$Z$10,MATCH(B130,'01_Benchmark_Input'!$A$2:$A$10,0))</f>
        <v/>
      </c>
      <c r="V130" s="6">
        <f>INDEX('01_Benchmark_Input'!$D$2:$D$10,MATCH(B130,'01_Benchmark_Input'!$A$2:$A$10,0))</f>
        <v/>
      </c>
      <c r="W130" s="6">
        <f>INDEX('01_Benchmark_Input'!$E$2:$E$10,MATCH(B130,'01_Benchmark_Input'!$A$2:$A$10,0))</f>
        <v/>
      </c>
      <c r="X130" s="6">
        <f>INDEX('01_Benchmark_Input'!$F$2:$F$10,MATCH(B130,'01_Benchmark_Input'!$A$2:$A$10,0))</f>
        <v/>
      </c>
      <c r="Y130" s="7">
        <f>N130*R130+O130*S130+P130*T130+Q130*U130</f>
        <v/>
      </c>
      <c r="Z130" s="6">
        <f>'02_Inputs'!K130</f>
        <v/>
      </c>
      <c r="AA130" s="7">
        <f>Y130*Z130</f>
        <v/>
      </c>
      <c r="AB130" s="5">
        <f>L130*1000*AA130*86400</f>
        <v/>
      </c>
      <c r="AC130" s="5">
        <f>AB130*365</f>
        <v/>
      </c>
    </row>
    <row r="131">
      <c r="A131" s="5">
        <f>'02_Inputs'!A131</f>
        <v/>
      </c>
      <c r="B131" s="5">
        <f>'02_Inputs'!B131</f>
        <v/>
      </c>
      <c r="C131" s="5">
        <f>'02_Inputs'!C131</f>
        <v/>
      </c>
      <c r="D131" s="29">
        <f>'02_Inputs'!D131</f>
        <v/>
      </c>
      <c r="E131" s="6">
        <f>'02_Inputs'!E131</f>
        <v/>
      </c>
      <c r="F131" s="29">
        <f>D131*E131</f>
        <v/>
      </c>
      <c r="G131" s="5">
        <f>'02_Inputs'!F131</f>
        <v/>
      </c>
      <c r="H131" s="29">
        <f>F131/G131</f>
        <v/>
      </c>
      <c r="I131" s="6">
        <f>'02_Inputs'!G131</f>
        <v/>
      </c>
      <c r="J131" s="29">
        <f>H131*I131</f>
        <v/>
      </c>
      <c r="K131" s="6">
        <f>'02_Inputs'!H131</f>
        <v/>
      </c>
      <c r="L131" s="29">
        <f>J131*K131</f>
        <v/>
      </c>
      <c r="M131" s="29">
        <f>J131*(1-K131)</f>
        <v/>
      </c>
      <c r="N131" s="6">
        <f>'02_GPU_Mix_Input'!D131</f>
        <v/>
      </c>
      <c r="O131" s="6">
        <f>'02_GPU_Mix_Input'!E131</f>
        <v/>
      </c>
      <c r="P131" s="6">
        <f>'02_GPU_Mix_Input'!F131</f>
        <v/>
      </c>
      <c r="Q131" s="6">
        <f>'02_GPU_Mix_Input'!G131</f>
        <v/>
      </c>
      <c r="R131" s="7">
        <f>INDEX('01_Benchmark_Input'!$K$2:$K$10,MATCH(B131,'01_Benchmark_Input'!$A$2:$A$10,0))</f>
        <v/>
      </c>
      <c r="S131" s="7">
        <f>INDEX('01_Benchmark_Input'!$P$2:$P$10,MATCH(B131,'01_Benchmark_Input'!$A$2:$A$10,0))</f>
        <v/>
      </c>
      <c r="T131" s="7">
        <f>INDEX('01_Benchmark_Input'!$U$2:$U$10,MATCH(B131,'01_Benchmark_Input'!$A$2:$A$10,0))</f>
        <v/>
      </c>
      <c r="U131" s="7">
        <f>INDEX('01_Benchmark_Input'!$Z$2:$Z$10,MATCH(B131,'01_Benchmark_Input'!$A$2:$A$10,0))</f>
        <v/>
      </c>
      <c r="V131" s="6">
        <f>INDEX('01_Benchmark_Input'!$D$2:$D$10,MATCH(B131,'01_Benchmark_Input'!$A$2:$A$10,0))</f>
        <v/>
      </c>
      <c r="W131" s="6">
        <f>INDEX('01_Benchmark_Input'!$E$2:$E$10,MATCH(B131,'01_Benchmark_Input'!$A$2:$A$10,0))</f>
        <v/>
      </c>
      <c r="X131" s="6">
        <f>INDEX('01_Benchmark_Input'!$F$2:$F$10,MATCH(B131,'01_Benchmark_Input'!$A$2:$A$10,0))</f>
        <v/>
      </c>
      <c r="Y131" s="7">
        <f>N131*R131+O131*S131+P131*T131+Q131*U131</f>
        <v/>
      </c>
      <c r="Z131" s="6">
        <f>'02_Inputs'!K131</f>
        <v/>
      </c>
      <c r="AA131" s="7">
        <f>Y131*Z131</f>
        <v/>
      </c>
      <c r="AB131" s="5">
        <f>L131*1000*AA131*86400</f>
        <v/>
      </c>
      <c r="AC131" s="5">
        <f>AB131*365</f>
        <v/>
      </c>
    </row>
    <row r="132">
      <c r="A132" s="5">
        <f>'02_Inputs'!A132</f>
        <v/>
      </c>
      <c r="B132" s="5">
        <f>'02_Inputs'!B132</f>
        <v/>
      </c>
      <c r="C132" s="5">
        <f>'02_Inputs'!C132</f>
        <v/>
      </c>
      <c r="D132" s="29">
        <f>'02_Inputs'!D132</f>
        <v/>
      </c>
      <c r="E132" s="6">
        <f>'02_Inputs'!E132</f>
        <v/>
      </c>
      <c r="F132" s="29">
        <f>D132*E132</f>
        <v/>
      </c>
      <c r="G132" s="5">
        <f>'02_Inputs'!F132</f>
        <v/>
      </c>
      <c r="H132" s="29">
        <f>F132/G132</f>
        <v/>
      </c>
      <c r="I132" s="6">
        <f>'02_Inputs'!G132</f>
        <v/>
      </c>
      <c r="J132" s="29">
        <f>H132*I132</f>
        <v/>
      </c>
      <c r="K132" s="6">
        <f>'02_Inputs'!H132</f>
        <v/>
      </c>
      <c r="L132" s="29">
        <f>J132*K132</f>
        <v/>
      </c>
      <c r="M132" s="29">
        <f>J132*(1-K132)</f>
        <v/>
      </c>
      <c r="N132" s="6">
        <f>'02_GPU_Mix_Input'!D132</f>
        <v/>
      </c>
      <c r="O132" s="6">
        <f>'02_GPU_Mix_Input'!E132</f>
        <v/>
      </c>
      <c r="P132" s="6">
        <f>'02_GPU_Mix_Input'!F132</f>
        <v/>
      </c>
      <c r="Q132" s="6">
        <f>'02_GPU_Mix_Input'!G132</f>
        <v/>
      </c>
      <c r="R132" s="7">
        <f>INDEX('01_Benchmark_Input'!$K$2:$K$10,MATCH(B132,'01_Benchmark_Input'!$A$2:$A$10,0))</f>
        <v/>
      </c>
      <c r="S132" s="7">
        <f>INDEX('01_Benchmark_Input'!$P$2:$P$10,MATCH(B132,'01_Benchmark_Input'!$A$2:$A$10,0))</f>
        <v/>
      </c>
      <c r="T132" s="7">
        <f>INDEX('01_Benchmark_Input'!$U$2:$U$10,MATCH(B132,'01_Benchmark_Input'!$A$2:$A$10,0))</f>
        <v/>
      </c>
      <c r="U132" s="7">
        <f>INDEX('01_Benchmark_Input'!$Z$2:$Z$10,MATCH(B132,'01_Benchmark_Input'!$A$2:$A$10,0))</f>
        <v/>
      </c>
      <c r="V132" s="6">
        <f>INDEX('01_Benchmark_Input'!$D$2:$D$10,MATCH(B132,'01_Benchmark_Input'!$A$2:$A$10,0))</f>
        <v/>
      </c>
      <c r="W132" s="6">
        <f>INDEX('01_Benchmark_Input'!$E$2:$E$10,MATCH(B132,'01_Benchmark_Input'!$A$2:$A$10,0))</f>
        <v/>
      </c>
      <c r="X132" s="6">
        <f>INDEX('01_Benchmark_Input'!$F$2:$F$10,MATCH(B132,'01_Benchmark_Input'!$A$2:$A$10,0))</f>
        <v/>
      </c>
      <c r="Y132" s="7">
        <f>N132*R132+O132*S132+P132*T132+Q132*U132</f>
        <v/>
      </c>
      <c r="Z132" s="6">
        <f>'02_Inputs'!K132</f>
        <v/>
      </c>
      <c r="AA132" s="7">
        <f>Y132*Z132</f>
        <v/>
      </c>
      <c r="AB132" s="5">
        <f>L132*1000*AA132*86400</f>
        <v/>
      </c>
      <c r="AC132" s="5">
        <f>AB132*365</f>
        <v/>
      </c>
    </row>
    <row r="133">
      <c r="A133" s="5">
        <f>'02_Inputs'!A133</f>
        <v/>
      </c>
      <c r="B133" s="5">
        <f>'02_Inputs'!B133</f>
        <v/>
      </c>
      <c r="C133" s="5">
        <f>'02_Inputs'!C133</f>
        <v/>
      </c>
      <c r="D133" s="29">
        <f>'02_Inputs'!D133</f>
        <v/>
      </c>
      <c r="E133" s="6">
        <f>'02_Inputs'!E133</f>
        <v/>
      </c>
      <c r="F133" s="29">
        <f>D133*E133</f>
        <v/>
      </c>
      <c r="G133" s="5">
        <f>'02_Inputs'!F133</f>
        <v/>
      </c>
      <c r="H133" s="29">
        <f>F133/G133</f>
        <v/>
      </c>
      <c r="I133" s="6">
        <f>'02_Inputs'!G133</f>
        <v/>
      </c>
      <c r="J133" s="29">
        <f>H133*I133</f>
        <v/>
      </c>
      <c r="K133" s="6">
        <f>'02_Inputs'!H133</f>
        <v/>
      </c>
      <c r="L133" s="29">
        <f>J133*K133</f>
        <v/>
      </c>
      <c r="M133" s="29">
        <f>J133*(1-K133)</f>
        <v/>
      </c>
      <c r="N133" s="6">
        <f>'02_GPU_Mix_Input'!D133</f>
        <v/>
      </c>
      <c r="O133" s="6">
        <f>'02_GPU_Mix_Input'!E133</f>
        <v/>
      </c>
      <c r="P133" s="6">
        <f>'02_GPU_Mix_Input'!F133</f>
        <v/>
      </c>
      <c r="Q133" s="6">
        <f>'02_GPU_Mix_Input'!G133</f>
        <v/>
      </c>
      <c r="R133" s="7">
        <f>INDEX('01_Benchmark_Input'!$K$2:$K$10,MATCH(B133,'01_Benchmark_Input'!$A$2:$A$10,0))</f>
        <v/>
      </c>
      <c r="S133" s="7">
        <f>INDEX('01_Benchmark_Input'!$P$2:$P$10,MATCH(B133,'01_Benchmark_Input'!$A$2:$A$10,0))</f>
        <v/>
      </c>
      <c r="T133" s="7">
        <f>INDEX('01_Benchmark_Input'!$U$2:$U$10,MATCH(B133,'01_Benchmark_Input'!$A$2:$A$10,0))</f>
        <v/>
      </c>
      <c r="U133" s="7">
        <f>INDEX('01_Benchmark_Input'!$Z$2:$Z$10,MATCH(B133,'01_Benchmark_Input'!$A$2:$A$10,0))</f>
        <v/>
      </c>
      <c r="V133" s="6">
        <f>INDEX('01_Benchmark_Input'!$D$2:$D$10,MATCH(B133,'01_Benchmark_Input'!$A$2:$A$10,0))</f>
        <v/>
      </c>
      <c r="W133" s="6">
        <f>INDEX('01_Benchmark_Input'!$E$2:$E$10,MATCH(B133,'01_Benchmark_Input'!$A$2:$A$10,0))</f>
        <v/>
      </c>
      <c r="X133" s="6">
        <f>INDEX('01_Benchmark_Input'!$F$2:$F$10,MATCH(B133,'01_Benchmark_Input'!$A$2:$A$10,0))</f>
        <v/>
      </c>
      <c r="Y133" s="7">
        <f>N133*R133+O133*S133+P133*T133+Q133*U133</f>
        <v/>
      </c>
      <c r="Z133" s="6">
        <f>'02_Inputs'!K133</f>
        <v/>
      </c>
      <c r="AA133" s="7">
        <f>Y133*Z133</f>
        <v/>
      </c>
      <c r="AB133" s="5">
        <f>L133*1000*AA133*86400</f>
        <v/>
      </c>
      <c r="AC133" s="5">
        <f>AB133*365</f>
        <v/>
      </c>
    </row>
    <row r="134">
      <c r="A134" s="5">
        <f>'02_Inputs'!A134</f>
        <v/>
      </c>
      <c r="B134" s="5">
        <f>'02_Inputs'!B134</f>
        <v/>
      </c>
      <c r="C134" s="5">
        <f>'02_Inputs'!C134</f>
        <v/>
      </c>
      <c r="D134" s="29">
        <f>'02_Inputs'!D134</f>
        <v/>
      </c>
      <c r="E134" s="6">
        <f>'02_Inputs'!E134</f>
        <v/>
      </c>
      <c r="F134" s="29">
        <f>D134*E134</f>
        <v/>
      </c>
      <c r="G134" s="5">
        <f>'02_Inputs'!F134</f>
        <v/>
      </c>
      <c r="H134" s="29">
        <f>F134/G134</f>
        <v/>
      </c>
      <c r="I134" s="6">
        <f>'02_Inputs'!G134</f>
        <v/>
      </c>
      <c r="J134" s="29">
        <f>H134*I134</f>
        <v/>
      </c>
      <c r="K134" s="6">
        <f>'02_Inputs'!H134</f>
        <v/>
      </c>
      <c r="L134" s="29">
        <f>J134*K134</f>
        <v/>
      </c>
      <c r="M134" s="29">
        <f>J134*(1-K134)</f>
        <v/>
      </c>
      <c r="N134" s="6">
        <f>'02_GPU_Mix_Input'!D134</f>
        <v/>
      </c>
      <c r="O134" s="6">
        <f>'02_GPU_Mix_Input'!E134</f>
        <v/>
      </c>
      <c r="P134" s="6">
        <f>'02_GPU_Mix_Input'!F134</f>
        <v/>
      </c>
      <c r="Q134" s="6">
        <f>'02_GPU_Mix_Input'!G134</f>
        <v/>
      </c>
      <c r="R134" s="7">
        <f>INDEX('01_Benchmark_Input'!$K$2:$K$10,MATCH(B134,'01_Benchmark_Input'!$A$2:$A$10,0))</f>
        <v/>
      </c>
      <c r="S134" s="7">
        <f>INDEX('01_Benchmark_Input'!$P$2:$P$10,MATCH(B134,'01_Benchmark_Input'!$A$2:$A$10,0))</f>
        <v/>
      </c>
      <c r="T134" s="7">
        <f>INDEX('01_Benchmark_Input'!$U$2:$U$10,MATCH(B134,'01_Benchmark_Input'!$A$2:$A$10,0))</f>
        <v/>
      </c>
      <c r="U134" s="7">
        <f>INDEX('01_Benchmark_Input'!$Z$2:$Z$10,MATCH(B134,'01_Benchmark_Input'!$A$2:$A$10,0))</f>
        <v/>
      </c>
      <c r="V134" s="6">
        <f>INDEX('01_Benchmark_Input'!$D$2:$D$10,MATCH(B134,'01_Benchmark_Input'!$A$2:$A$10,0))</f>
        <v/>
      </c>
      <c r="W134" s="6">
        <f>INDEX('01_Benchmark_Input'!$E$2:$E$10,MATCH(B134,'01_Benchmark_Input'!$A$2:$A$10,0))</f>
        <v/>
      </c>
      <c r="X134" s="6">
        <f>INDEX('01_Benchmark_Input'!$F$2:$F$10,MATCH(B134,'01_Benchmark_Input'!$A$2:$A$10,0))</f>
        <v/>
      </c>
      <c r="Y134" s="7">
        <f>N134*R134+O134*S134+P134*T134+Q134*U134</f>
        <v/>
      </c>
      <c r="Z134" s="6">
        <f>'02_Inputs'!K134</f>
        <v/>
      </c>
      <c r="AA134" s="7">
        <f>Y134*Z134</f>
        <v/>
      </c>
      <c r="AB134" s="5">
        <f>L134*1000*AA134*86400</f>
        <v/>
      </c>
      <c r="AC134" s="5">
        <f>AB134*365</f>
        <v/>
      </c>
    </row>
    <row r="135">
      <c r="A135" s="5">
        <f>'02_Inputs'!A135</f>
        <v/>
      </c>
      <c r="B135" s="5">
        <f>'02_Inputs'!B135</f>
        <v/>
      </c>
      <c r="C135" s="5">
        <f>'02_Inputs'!C135</f>
        <v/>
      </c>
      <c r="D135" s="29">
        <f>'02_Inputs'!D135</f>
        <v/>
      </c>
      <c r="E135" s="6">
        <f>'02_Inputs'!E135</f>
        <v/>
      </c>
      <c r="F135" s="29">
        <f>D135*E135</f>
        <v/>
      </c>
      <c r="G135" s="5">
        <f>'02_Inputs'!F135</f>
        <v/>
      </c>
      <c r="H135" s="29">
        <f>F135/G135</f>
        <v/>
      </c>
      <c r="I135" s="6">
        <f>'02_Inputs'!G135</f>
        <v/>
      </c>
      <c r="J135" s="29">
        <f>H135*I135</f>
        <v/>
      </c>
      <c r="K135" s="6">
        <f>'02_Inputs'!H135</f>
        <v/>
      </c>
      <c r="L135" s="29">
        <f>J135*K135</f>
        <v/>
      </c>
      <c r="M135" s="29">
        <f>J135*(1-K135)</f>
        <v/>
      </c>
      <c r="N135" s="6">
        <f>'02_GPU_Mix_Input'!D135</f>
        <v/>
      </c>
      <c r="O135" s="6">
        <f>'02_GPU_Mix_Input'!E135</f>
        <v/>
      </c>
      <c r="P135" s="6">
        <f>'02_GPU_Mix_Input'!F135</f>
        <v/>
      </c>
      <c r="Q135" s="6">
        <f>'02_GPU_Mix_Input'!G135</f>
        <v/>
      </c>
      <c r="R135" s="7">
        <f>INDEX('01_Benchmark_Input'!$K$2:$K$10,MATCH(B135,'01_Benchmark_Input'!$A$2:$A$10,0))</f>
        <v/>
      </c>
      <c r="S135" s="7">
        <f>INDEX('01_Benchmark_Input'!$P$2:$P$10,MATCH(B135,'01_Benchmark_Input'!$A$2:$A$10,0))</f>
        <v/>
      </c>
      <c r="T135" s="7">
        <f>INDEX('01_Benchmark_Input'!$U$2:$U$10,MATCH(B135,'01_Benchmark_Input'!$A$2:$A$10,0))</f>
        <v/>
      </c>
      <c r="U135" s="7">
        <f>INDEX('01_Benchmark_Input'!$Z$2:$Z$10,MATCH(B135,'01_Benchmark_Input'!$A$2:$A$10,0))</f>
        <v/>
      </c>
      <c r="V135" s="6">
        <f>INDEX('01_Benchmark_Input'!$D$2:$D$10,MATCH(B135,'01_Benchmark_Input'!$A$2:$A$10,0))</f>
        <v/>
      </c>
      <c r="W135" s="6">
        <f>INDEX('01_Benchmark_Input'!$E$2:$E$10,MATCH(B135,'01_Benchmark_Input'!$A$2:$A$10,0))</f>
        <v/>
      </c>
      <c r="X135" s="6">
        <f>INDEX('01_Benchmark_Input'!$F$2:$F$10,MATCH(B135,'01_Benchmark_Input'!$A$2:$A$10,0))</f>
        <v/>
      </c>
      <c r="Y135" s="7">
        <f>N135*R135+O135*S135+P135*T135+Q135*U135</f>
        <v/>
      </c>
      <c r="Z135" s="6">
        <f>'02_Inputs'!K135</f>
        <v/>
      </c>
      <c r="AA135" s="7">
        <f>Y135*Z135</f>
        <v/>
      </c>
      <c r="AB135" s="5">
        <f>L135*1000*AA135*86400</f>
        <v/>
      </c>
      <c r="AC135" s="5">
        <f>AB135*365</f>
        <v/>
      </c>
    </row>
    <row r="136">
      <c r="A136" s="5">
        <f>'02_Inputs'!A136</f>
        <v/>
      </c>
      <c r="B136" s="5">
        <f>'02_Inputs'!B136</f>
        <v/>
      </c>
      <c r="C136" s="5">
        <f>'02_Inputs'!C136</f>
        <v/>
      </c>
      <c r="D136" s="29">
        <f>'02_Inputs'!D136</f>
        <v/>
      </c>
      <c r="E136" s="6">
        <f>'02_Inputs'!E136</f>
        <v/>
      </c>
      <c r="F136" s="29">
        <f>D136*E136</f>
        <v/>
      </c>
      <c r="G136" s="5">
        <f>'02_Inputs'!F136</f>
        <v/>
      </c>
      <c r="H136" s="29">
        <f>F136/G136</f>
        <v/>
      </c>
      <c r="I136" s="6">
        <f>'02_Inputs'!G136</f>
        <v/>
      </c>
      <c r="J136" s="29">
        <f>H136*I136</f>
        <v/>
      </c>
      <c r="K136" s="6">
        <f>'02_Inputs'!H136</f>
        <v/>
      </c>
      <c r="L136" s="29">
        <f>J136*K136</f>
        <v/>
      </c>
      <c r="M136" s="29">
        <f>J136*(1-K136)</f>
        <v/>
      </c>
      <c r="N136" s="6">
        <f>'02_GPU_Mix_Input'!D136</f>
        <v/>
      </c>
      <c r="O136" s="6">
        <f>'02_GPU_Mix_Input'!E136</f>
        <v/>
      </c>
      <c r="P136" s="6">
        <f>'02_GPU_Mix_Input'!F136</f>
        <v/>
      </c>
      <c r="Q136" s="6">
        <f>'02_GPU_Mix_Input'!G136</f>
        <v/>
      </c>
      <c r="R136" s="7">
        <f>INDEX('01_Benchmark_Input'!$K$2:$K$10,MATCH(B136,'01_Benchmark_Input'!$A$2:$A$10,0))</f>
        <v/>
      </c>
      <c r="S136" s="7">
        <f>INDEX('01_Benchmark_Input'!$P$2:$P$10,MATCH(B136,'01_Benchmark_Input'!$A$2:$A$10,0))</f>
        <v/>
      </c>
      <c r="T136" s="7">
        <f>INDEX('01_Benchmark_Input'!$U$2:$U$10,MATCH(B136,'01_Benchmark_Input'!$A$2:$A$10,0))</f>
        <v/>
      </c>
      <c r="U136" s="7">
        <f>INDEX('01_Benchmark_Input'!$Z$2:$Z$10,MATCH(B136,'01_Benchmark_Input'!$A$2:$A$10,0))</f>
        <v/>
      </c>
      <c r="V136" s="6">
        <f>INDEX('01_Benchmark_Input'!$D$2:$D$10,MATCH(B136,'01_Benchmark_Input'!$A$2:$A$10,0))</f>
        <v/>
      </c>
      <c r="W136" s="6">
        <f>INDEX('01_Benchmark_Input'!$E$2:$E$10,MATCH(B136,'01_Benchmark_Input'!$A$2:$A$10,0))</f>
        <v/>
      </c>
      <c r="X136" s="6">
        <f>INDEX('01_Benchmark_Input'!$F$2:$F$10,MATCH(B136,'01_Benchmark_Input'!$A$2:$A$10,0))</f>
        <v/>
      </c>
      <c r="Y136" s="7">
        <f>N136*R136+O136*S136+P136*T136+Q136*U136</f>
        <v/>
      </c>
      <c r="Z136" s="6">
        <f>'02_Inputs'!K136</f>
        <v/>
      </c>
      <c r="AA136" s="7">
        <f>Y136*Z136</f>
        <v/>
      </c>
      <c r="AB136" s="5">
        <f>L136*1000*AA136*86400</f>
        <v/>
      </c>
      <c r="AC136" s="5">
        <f>AB136*365</f>
        <v/>
      </c>
    </row>
    <row r="137">
      <c r="A137" s="5">
        <f>'02_Inputs'!A137</f>
        <v/>
      </c>
      <c r="B137" s="5">
        <f>'02_Inputs'!B137</f>
        <v/>
      </c>
      <c r="C137" s="5">
        <f>'02_Inputs'!C137</f>
        <v/>
      </c>
      <c r="D137" s="29">
        <f>'02_Inputs'!D137</f>
        <v/>
      </c>
      <c r="E137" s="6">
        <f>'02_Inputs'!E137</f>
        <v/>
      </c>
      <c r="F137" s="29">
        <f>D137*E137</f>
        <v/>
      </c>
      <c r="G137" s="5">
        <f>'02_Inputs'!F137</f>
        <v/>
      </c>
      <c r="H137" s="29">
        <f>F137/G137</f>
        <v/>
      </c>
      <c r="I137" s="6">
        <f>'02_Inputs'!G137</f>
        <v/>
      </c>
      <c r="J137" s="29">
        <f>H137*I137</f>
        <v/>
      </c>
      <c r="K137" s="6">
        <f>'02_Inputs'!H137</f>
        <v/>
      </c>
      <c r="L137" s="29">
        <f>J137*K137</f>
        <v/>
      </c>
      <c r="M137" s="29">
        <f>J137*(1-K137)</f>
        <v/>
      </c>
      <c r="N137" s="6">
        <f>'02_GPU_Mix_Input'!D137</f>
        <v/>
      </c>
      <c r="O137" s="6">
        <f>'02_GPU_Mix_Input'!E137</f>
        <v/>
      </c>
      <c r="P137" s="6">
        <f>'02_GPU_Mix_Input'!F137</f>
        <v/>
      </c>
      <c r="Q137" s="6">
        <f>'02_GPU_Mix_Input'!G137</f>
        <v/>
      </c>
      <c r="R137" s="7">
        <f>INDEX('01_Benchmark_Input'!$K$2:$K$10,MATCH(B137,'01_Benchmark_Input'!$A$2:$A$10,0))</f>
        <v/>
      </c>
      <c r="S137" s="7">
        <f>INDEX('01_Benchmark_Input'!$P$2:$P$10,MATCH(B137,'01_Benchmark_Input'!$A$2:$A$10,0))</f>
        <v/>
      </c>
      <c r="T137" s="7">
        <f>INDEX('01_Benchmark_Input'!$U$2:$U$10,MATCH(B137,'01_Benchmark_Input'!$A$2:$A$10,0))</f>
        <v/>
      </c>
      <c r="U137" s="7">
        <f>INDEX('01_Benchmark_Input'!$Z$2:$Z$10,MATCH(B137,'01_Benchmark_Input'!$A$2:$A$10,0))</f>
        <v/>
      </c>
      <c r="V137" s="6">
        <f>INDEX('01_Benchmark_Input'!$D$2:$D$10,MATCH(B137,'01_Benchmark_Input'!$A$2:$A$10,0))</f>
        <v/>
      </c>
      <c r="W137" s="6">
        <f>INDEX('01_Benchmark_Input'!$E$2:$E$10,MATCH(B137,'01_Benchmark_Input'!$A$2:$A$10,0))</f>
        <v/>
      </c>
      <c r="X137" s="6">
        <f>INDEX('01_Benchmark_Input'!$F$2:$F$10,MATCH(B137,'01_Benchmark_Input'!$A$2:$A$10,0))</f>
        <v/>
      </c>
      <c r="Y137" s="7">
        <f>N137*R137+O137*S137+P137*T137+Q137*U137</f>
        <v/>
      </c>
      <c r="Z137" s="6">
        <f>'02_Inputs'!K137</f>
        <v/>
      </c>
      <c r="AA137" s="7">
        <f>Y137*Z137</f>
        <v/>
      </c>
      <c r="AB137" s="5">
        <f>L137*1000*AA137*86400</f>
        <v/>
      </c>
      <c r="AC137" s="5">
        <f>AB137*365</f>
        <v/>
      </c>
    </row>
    <row r="138">
      <c r="A138" s="5">
        <f>'02_Inputs'!A138</f>
        <v/>
      </c>
      <c r="B138" s="5">
        <f>'02_Inputs'!B138</f>
        <v/>
      </c>
      <c r="C138" s="5">
        <f>'02_Inputs'!C138</f>
        <v/>
      </c>
      <c r="D138" s="29">
        <f>'02_Inputs'!D138</f>
        <v/>
      </c>
      <c r="E138" s="6">
        <f>'02_Inputs'!E138</f>
        <v/>
      </c>
      <c r="F138" s="29">
        <f>D138*E138</f>
        <v/>
      </c>
      <c r="G138" s="5">
        <f>'02_Inputs'!F138</f>
        <v/>
      </c>
      <c r="H138" s="29">
        <f>F138/G138</f>
        <v/>
      </c>
      <c r="I138" s="6">
        <f>'02_Inputs'!G138</f>
        <v/>
      </c>
      <c r="J138" s="29">
        <f>H138*I138</f>
        <v/>
      </c>
      <c r="K138" s="6">
        <f>'02_Inputs'!H138</f>
        <v/>
      </c>
      <c r="L138" s="29">
        <f>J138*K138</f>
        <v/>
      </c>
      <c r="M138" s="29">
        <f>J138*(1-K138)</f>
        <v/>
      </c>
      <c r="N138" s="6">
        <f>'02_GPU_Mix_Input'!D138</f>
        <v/>
      </c>
      <c r="O138" s="6">
        <f>'02_GPU_Mix_Input'!E138</f>
        <v/>
      </c>
      <c r="P138" s="6">
        <f>'02_GPU_Mix_Input'!F138</f>
        <v/>
      </c>
      <c r="Q138" s="6">
        <f>'02_GPU_Mix_Input'!G138</f>
        <v/>
      </c>
      <c r="R138" s="7">
        <f>INDEX('01_Benchmark_Input'!$K$2:$K$10,MATCH(B138,'01_Benchmark_Input'!$A$2:$A$10,0))</f>
        <v/>
      </c>
      <c r="S138" s="7">
        <f>INDEX('01_Benchmark_Input'!$P$2:$P$10,MATCH(B138,'01_Benchmark_Input'!$A$2:$A$10,0))</f>
        <v/>
      </c>
      <c r="T138" s="7">
        <f>INDEX('01_Benchmark_Input'!$U$2:$U$10,MATCH(B138,'01_Benchmark_Input'!$A$2:$A$10,0))</f>
        <v/>
      </c>
      <c r="U138" s="7">
        <f>INDEX('01_Benchmark_Input'!$Z$2:$Z$10,MATCH(B138,'01_Benchmark_Input'!$A$2:$A$10,0))</f>
        <v/>
      </c>
      <c r="V138" s="6">
        <f>INDEX('01_Benchmark_Input'!$D$2:$D$10,MATCH(B138,'01_Benchmark_Input'!$A$2:$A$10,0))</f>
        <v/>
      </c>
      <c r="W138" s="6">
        <f>INDEX('01_Benchmark_Input'!$E$2:$E$10,MATCH(B138,'01_Benchmark_Input'!$A$2:$A$10,0))</f>
        <v/>
      </c>
      <c r="X138" s="6">
        <f>INDEX('01_Benchmark_Input'!$F$2:$F$10,MATCH(B138,'01_Benchmark_Input'!$A$2:$A$10,0))</f>
        <v/>
      </c>
      <c r="Y138" s="7">
        <f>N138*R138+O138*S138+P138*T138+Q138*U138</f>
        <v/>
      </c>
      <c r="Z138" s="6">
        <f>'02_Inputs'!K138</f>
        <v/>
      </c>
      <c r="AA138" s="7">
        <f>Y138*Z138</f>
        <v/>
      </c>
      <c r="AB138" s="5">
        <f>L138*1000*AA138*86400</f>
        <v/>
      </c>
      <c r="AC138" s="5">
        <f>AB138*365</f>
        <v/>
      </c>
    </row>
    <row r="139">
      <c r="A139" s="5">
        <f>'02_Inputs'!A139</f>
        <v/>
      </c>
      <c r="B139" s="5">
        <f>'02_Inputs'!B139</f>
        <v/>
      </c>
      <c r="C139" s="5">
        <f>'02_Inputs'!C139</f>
        <v/>
      </c>
      <c r="D139" s="29">
        <f>'02_Inputs'!D139</f>
        <v/>
      </c>
      <c r="E139" s="6">
        <f>'02_Inputs'!E139</f>
        <v/>
      </c>
      <c r="F139" s="29">
        <f>D139*E139</f>
        <v/>
      </c>
      <c r="G139" s="5">
        <f>'02_Inputs'!F139</f>
        <v/>
      </c>
      <c r="H139" s="29">
        <f>F139/G139</f>
        <v/>
      </c>
      <c r="I139" s="6">
        <f>'02_Inputs'!G139</f>
        <v/>
      </c>
      <c r="J139" s="29">
        <f>H139*I139</f>
        <v/>
      </c>
      <c r="K139" s="6">
        <f>'02_Inputs'!H139</f>
        <v/>
      </c>
      <c r="L139" s="29">
        <f>J139*K139</f>
        <v/>
      </c>
      <c r="M139" s="29">
        <f>J139*(1-K139)</f>
        <v/>
      </c>
      <c r="N139" s="6">
        <f>'02_GPU_Mix_Input'!D139</f>
        <v/>
      </c>
      <c r="O139" s="6">
        <f>'02_GPU_Mix_Input'!E139</f>
        <v/>
      </c>
      <c r="P139" s="6">
        <f>'02_GPU_Mix_Input'!F139</f>
        <v/>
      </c>
      <c r="Q139" s="6">
        <f>'02_GPU_Mix_Input'!G139</f>
        <v/>
      </c>
      <c r="R139" s="7">
        <f>INDEX('01_Benchmark_Input'!$K$2:$K$10,MATCH(B139,'01_Benchmark_Input'!$A$2:$A$10,0))</f>
        <v/>
      </c>
      <c r="S139" s="7">
        <f>INDEX('01_Benchmark_Input'!$P$2:$P$10,MATCH(B139,'01_Benchmark_Input'!$A$2:$A$10,0))</f>
        <v/>
      </c>
      <c r="T139" s="7">
        <f>INDEX('01_Benchmark_Input'!$U$2:$U$10,MATCH(B139,'01_Benchmark_Input'!$A$2:$A$10,0))</f>
        <v/>
      </c>
      <c r="U139" s="7">
        <f>INDEX('01_Benchmark_Input'!$Z$2:$Z$10,MATCH(B139,'01_Benchmark_Input'!$A$2:$A$10,0))</f>
        <v/>
      </c>
      <c r="V139" s="6">
        <f>INDEX('01_Benchmark_Input'!$D$2:$D$10,MATCH(B139,'01_Benchmark_Input'!$A$2:$A$10,0))</f>
        <v/>
      </c>
      <c r="W139" s="6">
        <f>INDEX('01_Benchmark_Input'!$E$2:$E$10,MATCH(B139,'01_Benchmark_Input'!$A$2:$A$10,0))</f>
        <v/>
      </c>
      <c r="X139" s="6">
        <f>INDEX('01_Benchmark_Input'!$F$2:$F$10,MATCH(B139,'01_Benchmark_Input'!$A$2:$A$10,0))</f>
        <v/>
      </c>
      <c r="Y139" s="7">
        <f>N139*R139+O139*S139+P139*T139+Q139*U139</f>
        <v/>
      </c>
      <c r="Z139" s="6">
        <f>'02_Inputs'!K139</f>
        <v/>
      </c>
      <c r="AA139" s="7">
        <f>Y139*Z139</f>
        <v/>
      </c>
      <c r="AB139" s="5">
        <f>L139*1000*AA139*86400</f>
        <v/>
      </c>
      <c r="AC139" s="5">
        <f>AB139*365</f>
        <v/>
      </c>
    </row>
    <row r="140">
      <c r="A140" s="5">
        <f>'02_Inputs'!A140</f>
        <v/>
      </c>
      <c r="B140" s="5">
        <f>'02_Inputs'!B140</f>
        <v/>
      </c>
      <c r="C140" s="5">
        <f>'02_Inputs'!C140</f>
        <v/>
      </c>
      <c r="D140" s="29">
        <f>'02_Inputs'!D140</f>
        <v/>
      </c>
      <c r="E140" s="6">
        <f>'02_Inputs'!E140</f>
        <v/>
      </c>
      <c r="F140" s="29">
        <f>D140*E140</f>
        <v/>
      </c>
      <c r="G140" s="5">
        <f>'02_Inputs'!F140</f>
        <v/>
      </c>
      <c r="H140" s="29">
        <f>F140/G140</f>
        <v/>
      </c>
      <c r="I140" s="6">
        <f>'02_Inputs'!G140</f>
        <v/>
      </c>
      <c r="J140" s="29">
        <f>H140*I140</f>
        <v/>
      </c>
      <c r="K140" s="6">
        <f>'02_Inputs'!H140</f>
        <v/>
      </c>
      <c r="L140" s="29">
        <f>J140*K140</f>
        <v/>
      </c>
      <c r="M140" s="29">
        <f>J140*(1-K140)</f>
        <v/>
      </c>
      <c r="N140" s="6">
        <f>'02_GPU_Mix_Input'!D140</f>
        <v/>
      </c>
      <c r="O140" s="6">
        <f>'02_GPU_Mix_Input'!E140</f>
        <v/>
      </c>
      <c r="P140" s="6">
        <f>'02_GPU_Mix_Input'!F140</f>
        <v/>
      </c>
      <c r="Q140" s="6">
        <f>'02_GPU_Mix_Input'!G140</f>
        <v/>
      </c>
      <c r="R140" s="7">
        <f>INDEX('01_Benchmark_Input'!$K$2:$K$10,MATCH(B140,'01_Benchmark_Input'!$A$2:$A$10,0))</f>
        <v/>
      </c>
      <c r="S140" s="7">
        <f>INDEX('01_Benchmark_Input'!$P$2:$P$10,MATCH(B140,'01_Benchmark_Input'!$A$2:$A$10,0))</f>
        <v/>
      </c>
      <c r="T140" s="7">
        <f>INDEX('01_Benchmark_Input'!$U$2:$U$10,MATCH(B140,'01_Benchmark_Input'!$A$2:$A$10,0))</f>
        <v/>
      </c>
      <c r="U140" s="7">
        <f>INDEX('01_Benchmark_Input'!$Z$2:$Z$10,MATCH(B140,'01_Benchmark_Input'!$A$2:$A$10,0))</f>
        <v/>
      </c>
      <c r="V140" s="6">
        <f>INDEX('01_Benchmark_Input'!$D$2:$D$10,MATCH(B140,'01_Benchmark_Input'!$A$2:$A$10,0))</f>
        <v/>
      </c>
      <c r="W140" s="6">
        <f>INDEX('01_Benchmark_Input'!$E$2:$E$10,MATCH(B140,'01_Benchmark_Input'!$A$2:$A$10,0))</f>
        <v/>
      </c>
      <c r="X140" s="6">
        <f>INDEX('01_Benchmark_Input'!$F$2:$F$10,MATCH(B140,'01_Benchmark_Input'!$A$2:$A$10,0))</f>
        <v/>
      </c>
      <c r="Y140" s="7">
        <f>N140*R140+O140*S140+P140*T140+Q140*U140</f>
        <v/>
      </c>
      <c r="Z140" s="6">
        <f>'02_Inputs'!K140</f>
        <v/>
      </c>
      <c r="AA140" s="7">
        <f>Y140*Z140</f>
        <v/>
      </c>
      <c r="AB140" s="5">
        <f>L140*1000*AA140*86400</f>
        <v/>
      </c>
      <c r="AC140" s="5">
        <f>AB140*365</f>
        <v/>
      </c>
    </row>
    <row r="141">
      <c r="A141" s="5">
        <f>'02_Inputs'!A141</f>
        <v/>
      </c>
      <c r="B141" s="5">
        <f>'02_Inputs'!B141</f>
        <v/>
      </c>
      <c r="C141" s="5">
        <f>'02_Inputs'!C141</f>
        <v/>
      </c>
      <c r="D141" s="29">
        <f>'02_Inputs'!D141</f>
        <v/>
      </c>
      <c r="E141" s="6">
        <f>'02_Inputs'!E141</f>
        <v/>
      </c>
      <c r="F141" s="29">
        <f>D141*E141</f>
        <v/>
      </c>
      <c r="G141" s="5">
        <f>'02_Inputs'!F141</f>
        <v/>
      </c>
      <c r="H141" s="29">
        <f>F141/G141</f>
        <v/>
      </c>
      <c r="I141" s="6">
        <f>'02_Inputs'!G141</f>
        <v/>
      </c>
      <c r="J141" s="29">
        <f>H141*I141</f>
        <v/>
      </c>
      <c r="K141" s="6">
        <f>'02_Inputs'!H141</f>
        <v/>
      </c>
      <c r="L141" s="29">
        <f>J141*K141</f>
        <v/>
      </c>
      <c r="M141" s="29">
        <f>J141*(1-K141)</f>
        <v/>
      </c>
      <c r="N141" s="6">
        <f>'02_GPU_Mix_Input'!D141</f>
        <v/>
      </c>
      <c r="O141" s="6">
        <f>'02_GPU_Mix_Input'!E141</f>
        <v/>
      </c>
      <c r="P141" s="6">
        <f>'02_GPU_Mix_Input'!F141</f>
        <v/>
      </c>
      <c r="Q141" s="6">
        <f>'02_GPU_Mix_Input'!G141</f>
        <v/>
      </c>
      <c r="R141" s="7">
        <f>INDEX('01_Benchmark_Input'!$K$2:$K$10,MATCH(B141,'01_Benchmark_Input'!$A$2:$A$10,0))</f>
        <v/>
      </c>
      <c r="S141" s="7">
        <f>INDEX('01_Benchmark_Input'!$P$2:$P$10,MATCH(B141,'01_Benchmark_Input'!$A$2:$A$10,0))</f>
        <v/>
      </c>
      <c r="T141" s="7">
        <f>INDEX('01_Benchmark_Input'!$U$2:$U$10,MATCH(B141,'01_Benchmark_Input'!$A$2:$A$10,0))</f>
        <v/>
      </c>
      <c r="U141" s="7">
        <f>INDEX('01_Benchmark_Input'!$Z$2:$Z$10,MATCH(B141,'01_Benchmark_Input'!$A$2:$A$10,0))</f>
        <v/>
      </c>
      <c r="V141" s="6">
        <f>INDEX('01_Benchmark_Input'!$D$2:$D$10,MATCH(B141,'01_Benchmark_Input'!$A$2:$A$10,0))</f>
        <v/>
      </c>
      <c r="W141" s="6">
        <f>INDEX('01_Benchmark_Input'!$E$2:$E$10,MATCH(B141,'01_Benchmark_Input'!$A$2:$A$10,0))</f>
        <v/>
      </c>
      <c r="X141" s="6">
        <f>INDEX('01_Benchmark_Input'!$F$2:$F$10,MATCH(B141,'01_Benchmark_Input'!$A$2:$A$10,0))</f>
        <v/>
      </c>
      <c r="Y141" s="7">
        <f>N141*R141+O141*S141+P141*T141+Q141*U141</f>
        <v/>
      </c>
      <c r="Z141" s="6">
        <f>'02_Inputs'!K141</f>
        <v/>
      </c>
      <c r="AA141" s="7">
        <f>Y141*Z141</f>
        <v/>
      </c>
      <c r="AB141" s="5">
        <f>L141*1000*AA141*86400</f>
        <v/>
      </c>
      <c r="AC141" s="5">
        <f>AB141*365</f>
        <v/>
      </c>
    </row>
    <row r="142">
      <c r="A142" s="5">
        <f>'02_Inputs'!A142</f>
        <v/>
      </c>
      <c r="B142" s="5">
        <f>'02_Inputs'!B142</f>
        <v/>
      </c>
      <c r="C142" s="5">
        <f>'02_Inputs'!C142</f>
        <v/>
      </c>
      <c r="D142" s="29">
        <f>'02_Inputs'!D142</f>
        <v/>
      </c>
      <c r="E142" s="6">
        <f>'02_Inputs'!E142</f>
        <v/>
      </c>
      <c r="F142" s="29">
        <f>D142*E142</f>
        <v/>
      </c>
      <c r="G142" s="5">
        <f>'02_Inputs'!F142</f>
        <v/>
      </c>
      <c r="H142" s="29">
        <f>F142/G142</f>
        <v/>
      </c>
      <c r="I142" s="6">
        <f>'02_Inputs'!G142</f>
        <v/>
      </c>
      <c r="J142" s="29">
        <f>H142*I142</f>
        <v/>
      </c>
      <c r="K142" s="6">
        <f>'02_Inputs'!H142</f>
        <v/>
      </c>
      <c r="L142" s="29">
        <f>J142*K142</f>
        <v/>
      </c>
      <c r="M142" s="29">
        <f>J142*(1-K142)</f>
        <v/>
      </c>
      <c r="N142" s="6">
        <f>'02_GPU_Mix_Input'!D142</f>
        <v/>
      </c>
      <c r="O142" s="6">
        <f>'02_GPU_Mix_Input'!E142</f>
        <v/>
      </c>
      <c r="P142" s="6">
        <f>'02_GPU_Mix_Input'!F142</f>
        <v/>
      </c>
      <c r="Q142" s="6">
        <f>'02_GPU_Mix_Input'!G142</f>
        <v/>
      </c>
      <c r="R142" s="7">
        <f>INDEX('01_Benchmark_Input'!$K$2:$K$10,MATCH(B142,'01_Benchmark_Input'!$A$2:$A$10,0))</f>
        <v/>
      </c>
      <c r="S142" s="7">
        <f>INDEX('01_Benchmark_Input'!$P$2:$P$10,MATCH(B142,'01_Benchmark_Input'!$A$2:$A$10,0))</f>
        <v/>
      </c>
      <c r="T142" s="7">
        <f>INDEX('01_Benchmark_Input'!$U$2:$U$10,MATCH(B142,'01_Benchmark_Input'!$A$2:$A$10,0))</f>
        <v/>
      </c>
      <c r="U142" s="7">
        <f>INDEX('01_Benchmark_Input'!$Z$2:$Z$10,MATCH(B142,'01_Benchmark_Input'!$A$2:$A$10,0))</f>
        <v/>
      </c>
      <c r="V142" s="6">
        <f>INDEX('01_Benchmark_Input'!$D$2:$D$10,MATCH(B142,'01_Benchmark_Input'!$A$2:$A$10,0))</f>
        <v/>
      </c>
      <c r="W142" s="6">
        <f>INDEX('01_Benchmark_Input'!$E$2:$E$10,MATCH(B142,'01_Benchmark_Input'!$A$2:$A$10,0))</f>
        <v/>
      </c>
      <c r="X142" s="6">
        <f>INDEX('01_Benchmark_Input'!$F$2:$F$10,MATCH(B142,'01_Benchmark_Input'!$A$2:$A$10,0))</f>
        <v/>
      </c>
      <c r="Y142" s="7">
        <f>N142*R142+O142*S142+P142*T142+Q142*U142</f>
        <v/>
      </c>
      <c r="Z142" s="6">
        <f>'02_Inputs'!K142</f>
        <v/>
      </c>
      <c r="AA142" s="7">
        <f>Y142*Z142</f>
        <v/>
      </c>
      <c r="AB142" s="5">
        <f>L142*1000*AA142*86400</f>
        <v/>
      </c>
      <c r="AC142" s="5">
        <f>AB142*365</f>
        <v/>
      </c>
    </row>
    <row r="143">
      <c r="A143" s="5">
        <f>'02_Inputs'!A143</f>
        <v/>
      </c>
      <c r="B143" s="5">
        <f>'02_Inputs'!B143</f>
        <v/>
      </c>
      <c r="C143" s="5">
        <f>'02_Inputs'!C143</f>
        <v/>
      </c>
      <c r="D143" s="29">
        <f>'02_Inputs'!D143</f>
        <v/>
      </c>
      <c r="E143" s="6">
        <f>'02_Inputs'!E143</f>
        <v/>
      </c>
      <c r="F143" s="29">
        <f>D143*E143</f>
        <v/>
      </c>
      <c r="G143" s="5">
        <f>'02_Inputs'!F143</f>
        <v/>
      </c>
      <c r="H143" s="29">
        <f>F143/G143</f>
        <v/>
      </c>
      <c r="I143" s="6">
        <f>'02_Inputs'!G143</f>
        <v/>
      </c>
      <c r="J143" s="29">
        <f>H143*I143</f>
        <v/>
      </c>
      <c r="K143" s="6">
        <f>'02_Inputs'!H143</f>
        <v/>
      </c>
      <c r="L143" s="29">
        <f>J143*K143</f>
        <v/>
      </c>
      <c r="M143" s="29">
        <f>J143*(1-K143)</f>
        <v/>
      </c>
      <c r="N143" s="6">
        <f>'02_GPU_Mix_Input'!D143</f>
        <v/>
      </c>
      <c r="O143" s="6">
        <f>'02_GPU_Mix_Input'!E143</f>
        <v/>
      </c>
      <c r="P143" s="6">
        <f>'02_GPU_Mix_Input'!F143</f>
        <v/>
      </c>
      <c r="Q143" s="6">
        <f>'02_GPU_Mix_Input'!G143</f>
        <v/>
      </c>
      <c r="R143" s="7">
        <f>INDEX('01_Benchmark_Input'!$K$2:$K$10,MATCH(B143,'01_Benchmark_Input'!$A$2:$A$10,0))</f>
        <v/>
      </c>
      <c r="S143" s="7">
        <f>INDEX('01_Benchmark_Input'!$P$2:$P$10,MATCH(B143,'01_Benchmark_Input'!$A$2:$A$10,0))</f>
        <v/>
      </c>
      <c r="T143" s="7">
        <f>INDEX('01_Benchmark_Input'!$U$2:$U$10,MATCH(B143,'01_Benchmark_Input'!$A$2:$A$10,0))</f>
        <v/>
      </c>
      <c r="U143" s="7">
        <f>INDEX('01_Benchmark_Input'!$Z$2:$Z$10,MATCH(B143,'01_Benchmark_Input'!$A$2:$A$10,0))</f>
        <v/>
      </c>
      <c r="V143" s="6">
        <f>INDEX('01_Benchmark_Input'!$D$2:$D$10,MATCH(B143,'01_Benchmark_Input'!$A$2:$A$10,0))</f>
        <v/>
      </c>
      <c r="W143" s="6">
        <f>INDEX('01_Benchmark_Input'!$E$2:$E$10,MATCH(B143,'01_Benchmark_Input'!$A$2:$A$10,0))</f>
        <v/>
      </c>
      <c r="X143" s="6">
        <f>INDEX('01_Benchmark_Input'!$F$2:$F$10,MATCH(B143,'01_Benchmark_Input'!$A$2:$A$10,0))</f>
        <v/>
      </c>
      <c r="Y143" s="7">
        <f>N143*R143+O143*S143+P143*T143+Q143*U143</f>
        <v/>
      </c>
      <c r="Z143" s="6">
        <f>'02_Inputs'!K143</f>
        <v/>
      </c>
      <c r="AA143" s="7">
        <f>Y143*Z143</f>
        <v/>
      </c>
      <c r="AB143" s="5">
        <f>L143*1000*AA143*86400</f>
        <v/>
      </c>
      <c r="AC143" s="5">
        <f>AB143*365</f>
        <v/>
      </c>
    </row>
    <row r="144">
      <c r="A144" s="5">
        <f>'02_Inputs'!A144</f>
        <v/>
      </c>
      <c r="B144" s="5">
        <f>'02_Inputs'!B144</f>
        <v/>
      </c>
      <c r="C144" s="5">
        <f>'02_Inputs'!C144</f>
        <v/>
      </c>
      <c r="D144" s="29">
        <f>'02_Inputs'!D144</f>
        <v/>
      </c>
      <c r="E144" s="6">
        <f>'02_Inputs'!E144</f>
        <v/>
      </c>
      <c r="F144" s="29">
        <f>D144*E144</f>
        <v/>
      </c>
      <c r="G144" s="5">
        <f>'02_Inputs'!F144</f>
        <v/>
      </c>
      <c r="H144" s="29">
        <f>F144/G144</f>
        <v/>
      </c>
      <c r="I144" s="6">
        <f>'02_Inputs'!G144</f>
        <v/>
      </c>
      <c r="J144" s="29">
        <f>H144*I144</f>
        <v/>
      </c>
      <c r="K144" s="6">
        <f>'02_Inputs'!H144</f>
        <v/>
      </c>
      <c r="L144" s="29">
        <f>J144*K144</f>
        <v/>
      </c>
      <c r="M144" s="29">
        <f>J144*(1-K144)</f>
        <v/>
      </c>
      <c r="N144" s="6">
        <f>'02_GPU_Mix_Input'!D144</f>
        <v/>
      </c>
      <c r="O144" s="6">
        <f>'02_GPU_Mix_Input'!E144</f>
        <v/>
      </c>
      <c r="P144" s="6">
        <f>'02_GPU_Mix_Input'!F144</f>
        <v/>
      </c>
      <c r="Q144" s="6">
        <f>'02_GPU_Mix_Input'!G144</f>
        <v/>
      </c>
      <c r="R144" s="7">
        <f>INDEX('01_Benchmark_Input'!$K$2:$K$10,MATCH(B144,'01_Benchmark_Input'!$A$2:$A$10,0))</f>
        <v/>
      </c>
      <c r="S144" s="7">
        <f>INDEX('01_Benchmark_Input'!$P$2:$P$10,MATCH(B144,'01_Benchmark_Input'!$A$2:$A$10,0))</f>
        <v/>
      </c>
      <c r="T144" s="7">
        <f>INDEX('01_Benchmark_Input'!$U$2:$U$10,MATCH(B144,'01_Benchmark_Input'!$A$2:$A$10,0))</f>
        <v/>
      </c>
      <c r="U144" s="7">
        <f>INDEX('01_Benchmark_Input'!$Z$2:$Z$10,MATCH(B144,'01_Benchmark_Input'!$A$2:$A$10,0))</f>
        <v/>
      </c>
      <c r="V144" s="6">
        <f>INDEX('01_Benchmark_Input'!$D$2:$D$10,MATCH(B144,'01_Benchmark_Input'!$A$2:$A$10,0))</f>
        <v/>
      </c>
      <c r="W144" s="6">
        <f>INDEX('01_Benchmark_Input'!$E$2:$E$10,MATCH(B144,'01_Benchmark_Input'!$A$2:$A$10,0))</f>
        <v/>
      </c>
      <c r="X144" s="6">
        <f>INDEX('01_Benchmark_Input'!$F$2:$F$10,MATCH(B144,'01_Benchmark_Input'!$A$2:$A$10,0))</f>
        <v/>
      </c>
      <c r="Y144" s="7">
        <f>N144*R144+O144*S144+P144*T144+Q144*U144</f>
        <v/>
      </c>
      <c r="Z144" s="6">
        <f>'02_Inputs'!K144</f>
        <v/>
      </c>
      <c r="AA144" s="7">
        <f>Y144*Z144</f>
        <v/>
      </c>
      <c r="AB144" s="5">
        <f>L144*1000*AA144*86400</f>
        <v/>
      </c>
      <c r="AC144" s="5">
        <f>AB144*365</f>
        <v/>
      </c>
    </row>
    <row r="145">
      <c r="A145" s="5">
        <f>'02_Inputs'!A145</f>
        <v/>
      </c>
      <c r="B145" s="5">
        <f>'02_Inputs'!B145</f>
        <v/>
      </c>
      <c r="C145" s="5">
        <f>'02_Inputs'!C145</f>
        <v/>
      </c>
      <c r="D145" s="29">
        <f>'02_Inputs'!D145</f>
        <v/>
      </c>
      <c r="E145" s="6">
        <f>'02_Inputs'!E145</f>
        <v/>
      </c>
      <c r="F145" s="29">
        <f>D145*E145</f>
        <v/>
      </c>
      <c r="G145" s="5">
        <f>'02_Inputs'!F145</f>
        <v/>
      </c>
      <c r="H145" s="29">
        <f>F145/G145</f>
        <v/>
      </c>
      <c r="I145" s="6">
        <f>'02_Inputs'!G145</f>
        <v/>
      </c>
      <c r="J145" s="29">
        <f>H145*I145</f>
        <v/>
      </c>
      <c r="K145" s="6">
        <f>'02_Inputs'!H145</f>
        <v/>
      </c>
      <c r="L145" s="29">
        <f>J145*K145</f>
        <v/>
      </c>
      <c r="M145" s="29">
        <f>J145*(1-K145)</f>
        <v/>
      </c>
      <c r="N145" s="6">
        <f>'02_GPU_Mix_Input'!D145</f>
        <v/>
      </c>
      <c r="O145" s="6">
        <f>'02_GPU_Mix_Input'!E145</f>
        <v/>
      </c>
      <c r="P145" s="6">
        <f>'02_GPU_Mix_Input'!F145</f>
        <v/>
      </c>
      <c r="Q145" s="6">
        <f>'02_GPU_Mix_Input'!G145</f>
        <v/>
      </c>
      <c r="R145" s="7">
        <f>INDEX('01_Benchmark_Input'!$K$2:$K$10,MATCH(B145,'01_Benchmark_Input'!$A$2:$A$10,0))</f>
        <v/>
      </c>
      <c r="S145" s="7">
        <f>INDEX('01_Benchmark_Input'!$P$2:$P$10,MATCH(B145,'01_Benchmark_Input'!$A$2:$A$10,0))</f>
        <v/>
      </c>
      <c r="T145" s="7">
        <f>INDEX('01_Benchmark_Input'!$U$2:$U$10,MATCH(B145,'01_Benchmark_Input'!$A$2:$A$10,0))</f>
        <v/>
      </c>
      <c r="U145" s="7">
        <f>INDEX('01_Benchmark_Input'!$Z$2:$Z$10,MATCH(B145,'01_Benchmark_Input'!$A$2:$A$10,0))</f>
        <v/>
      </c>
      <c r="V145" s="6">
        <f>INDEX('01_Benchmark_Input'!$D$2:$D$10,MATCH(B145,'01_Benchmark_Input'!$A$2:$A$10,0))</f>
        <v/>
      </c>
      <c r="W145" s="6">
        <f>INDEX('01_Benchmark_Input'!$E$2:$E$10,MATCH(B145,'01_Benchmark_Input'!$A$2:$A$10,0))</f>
        <v/>
      </c>
      <c r="X145" s="6">
        <f>INDEX('01_Benchmark_Input'!$F$2:$F$10,MATCH(B145,'01_Benchmark_Input'!$A$2:$A$10,0))</f>
        <v/>
      </c>
      <c r="Y145" s="7">
        <f>N145*R145+O145*S145+P145*T145+Q145*U145</f>
        <v/>
      </c>
      <c r="Z145" s="6">
        <f>'02_Inputs'!K145</f>
        <v/>
      </c>
      <c r="AA145" s="7">
        <f>Y145*Z145</f>
        <v/>
      </c>
      <c r="AB145" s="5">
        <f>L145*1000*AA145*86400</f>
        <v/>
      </c>
      <c r="AC145" s="5">
        <f>AB145*365</f>
        <v/>
      </c>
    </row>
    <row r="146">
      <c r="A146" s="5">
        <f>'02_Inputs'!A146</f>
        <v/>
      </c>
      <c r="B146" s="5">
        <f>'02_Inputs'!B146</f>
        <v/>
      </c>
      <c r="C146" s="5">
        <f>'02_Inputs'!C146</f>
        <v/>
      </c>
      <c r="D146" s="29">
        <f>'02_Inputs'!D146</f>
        <v/>
      </c>
      <c r="E146" s="6">
        <f>'02_Inputs'!E146</f>
        <v/>
      </c>
      <c r="F146" s="29">
        <f>D146*E146</f>
        <v/>
      </c>
      <c r="G146" s="5">
        <f>'02_Inputs'!F146</f>
        <v/>
      </c>
      <c r="H146" s="29">
        <f>F146/G146</f>
        <v/>
      </c>
      <c r="I146" s="6">
        <f>'02_Inputs'!G146</f>
        <v/>
      </c>
      <c r="J146" s="29">
        <f>H146*I146</f>
        <v/>
      </c>
      <c r="K146" s="6">
        <f>'02_Inputs'!H146</f>
        <v/>
      </c>
      <c r="L146" s="29">
        <f>J146*K146</f>
        <v/>
      </c>
      <c r="M146" s="29">
        <f>J146*(1-K146)</f>
        <v/>
      </c>
      <c r="N146" s="6">
        <f>'02_GPU_Mix_Input'!D146</f>
        <v/>
      </c>
      <c r="O146" s="6">
        <f>'02_GPU_Mix_Input'!E146</f>
        <v/>
      </c>
      <c r="P146" s="6">
        <f>'02_GPU_Mix_Input'!F146</f>
        <v/>
      </c>
      <c r="Q146" s="6">
        <f>'02_GPU_Mix_Input'!G146</f>
        <v/>
      </c>
      <c r="R146" s="7">
        <f>INDEX('01_Benchmark_Input'!$K$2:$K$10,MATCH(B146,'01_Benchmark_Input'!$A$2:$A$10,0))</f>
        <v/>
      </c>
      <c r="S146" s="7">
        <f>INDEX('01_Benchmark_Input'!$P$2:$P$10,MATCH(B146,'01_Benchmark_Input'!$A$2:$A$10,0))</f>
        <v/>
      </c>
      <c r="T146" s="7">
        <f>INDEX('01_Benchmark_Input'!$U$2:$U$10,MATCH(B146,'01_Benchmark_Input'!$A$2:$A$10,0))</f>
        <v/>
      </c>
      <c r="U146" s="7">
        <f>INDEX('01_Benchmark_Input'!$Z$2:$Z$10,MATCH(B146,'01_Benchmark_Input'!$A$2:$A$10,0))</f>
        <v/>
      </c>
      <c r="V146" s="6">
        <f>INDEX('01_Benchmark_Input'!$D$2:$D$10,MATCH(B146,'01_Benchmark_Input'!$A$2:$A$10,0))</f>
        <v/>
      </c>
      <c r="W146" s="6">
        <f>INDEX('01_Benchmark_Input'!$E$2:$E$10,MATCH(B146,'01_Benchmark_Input'!$A$2:$A$10,0))</f>
        <v/>
      </c>
      <c r="X146" s="6">
        <f>INDEX('01_Benchmark_Input'!$F$2:$F$10,MATCH(B146,'01_Benchmark_Input'!$A$2:$A$10,0))</f>
        <v/>
      </c>
      <c r="Y146" s="7">
        <f>N146*R146+O146*S146+P146*T146+Q146*U146</f>
        <v/>
      </c>
      <c r="Z146" s="6">
        <f>'02_Inputs'!K146</f>
        <v/>
      </c>
      <c r="AA146" s="7">
        <f>Y146*Z146</f>
        <v/>
      </c>
      <c r="AB146" s="5">
        <f>L146*1000*AA146*86400</f>
        <v/>
      </c>
      <c r="AC146" s="5">
        <f>AB146*365</f>
        <v/>
      </c>
    </row>
    <row r="147">
      <c r="A147" s="5">
        <f>'02_Inputs'!A147</f>
        <v/>
      </c>
      <c r="B147" s="5">
        <f>'02_Inputs'!B147</f>
        <v/>
      </c>
      <c r="C147" s="5">
        <f>'02_Inputs'!C147</f>
        <v/>
      </c>
      <c r="D147" s="29">
        <f>'02_Inputs'!D147</f>
        <v/>
      </c>
      <c r="E147" s="6">
        <f>'02_Inputs'!E147</f>
        <v/>
      </c>
      <c r="F147" s="29">
        <f>D147*E147</f>
        <v/>
      </c>
      <c r="G147" s="5">
        <f>'02_Inputs'!F147</f>
        <v/>
      </c>
      <c r="H147" s="29">
        <f>F147/G147</f>
        <v/>
      </c>
      <c r="I147" s="6">
        <f>'02_Inputs'!G147</f>
        <v/>
      </c>
      <c r="J147" s="29">
        <f>H147*I147</f>
        <v/>
      </c>
      <c r="K147" s="6">
        <f>'02_Inputs'!H147</f>
        <v/>
      </c>
      <c r="L147" s="29">
        <f>J147*K147</f>
        <v/>
      </c>
      <c r="M147" s="29">
        <f>J147*(1-K147)</f>
        <v/>
      </c>
      <c r="N147" s="6">
        <f>'02_GPU_Mix_Input'!D147</f>
        <v/>
      </c>
      <c r="O147" s="6">
        <f>'02_GPU_Mix_Input'!E147</f>
        <v/>
      </c>
      <c r="P147" s="6">
        <f>'02_GPU_Mix_Input'!F147</f>
        <v/>
      </c>
      <c r="Q147" s="6">
        <f>'02_GPU_Mix_Input'!G147</f>
        <v/>
      </c>
      <c r="R147" s="7">
        <f>INDEX('01_Benchmark_Input'!$K$2:$K$10,MATCH(B147,'01_Benchmark_Input'!$A$2:$A$10,0))</f>
        <v/>
      </c>
      <c r="S147" s="7">
        <f>INDEX('01_Benchmark_Input'!$P$2:$P$10,MATCH(B147,'01_Benchmark_Input'!$A$2:$A$10,0))</f>
        <v/>
      </c>
      <c r="T147" s="7">
        <f>INDEX('01_Benchmark_Input'!$U$2:$U$10,MATCH(B147,'01_Benchmark_Input'!$A$2:$A$10,0))</f>
        <v/>
      </c>
      <c r="U147" s="7">
        <f>INDEX('01_Benchmark_Input'!$Z$2:$Z$10,MATCH(B147,'01_Benchmark_Input'!$A$2:$A$10,0))</f>
        <v/>
      </c>
      <c r="V147" s="6">
        <f>INDEX('01_Benchmark_Input'!$D$2:$D$10,MATCH(B147,'01_Benchmark_Input'!$A$2:$A$10,0))</f>
        <v/>
      </c>
      <c r="W147" s="6">
        <f>INDEX('01_Benchmark_Input'!$E$2:$E$10,MATCH(B147,'01_Benchmark_Input'!$A$2:$A$10,0))</f>
        <v/>
      </c>
      <c r="X147" s="6">
        <f>INDEX('01_Benchmark_Input'!$F$2:$F$10,MATCH(B147,'01_Benchmark_Input'!$A$2:$A$10,0))</f>
        <v/>
      </c>
      <c r="Y147" s="7">
        <f>N147*R147+O147*S147+P147*T147+Q147*U147</f>
        <v/>
      </c>
      <c r="Z147" s="6">
        <f>'02_Inputs'!K147</f>
        <v/>
      </c>
      <c r="AA147" s="7">
        <f>Y147*Z147</f>
        <v/>
      </c>
      <c r="AB147" s="5">
        <f>L147*1000*AA147*86400</f>
        <v/>
      </c>
      <c r="AC147" s="5">
        <f>AB147*365</f>
        <v/>
      </c>
    </row>
    <row r="148">
      <c r="A148" s="5">
        <f>'02_Inputs'!A148</f>
        <v/>
      </c>
      <c r="B148" s="5">
        <f>'02_Inputs'!B148</f>
        <v/>
      </c>
      <c r="C148" s="5">
        <f>'02_Inputs'!C148</f>
        <v/>
      </c>
      <c r="D148" s="29">
        <f>'02_Inputs'!D148</f>
        <v/>
      </c>
      <c r="E148" s="6">
        <f>'02_Inputs'!E148</f>
        <v/>
      </c>
      <c r="F148" s="29">
        <f>D148*E148</f>
        <v/>
      </c>
      <c r="G148" s="5">
        <f>'02_Inputs'!F148</f>
        <v/>
      </c>
      <c r="H148" s="29">
        <f>F148/G148</f>
        <v/>
      </c>
      <c r="I148" s="6">
        <f>'02_Inputs'!G148</f>
        <v/>
      </c>
      <c r="J148" s="29">
        <f>H148*I148</f>
        <v/>
      </c>
      <c r="K148" s="6">
        <f>'02_Inputs'!H148</f>
        <v/>
      </c>
      <c r="L148" s="29">
        <f>J148*K148</f>
        <v/>
      </c>
      <c r="M148" s="29">
        <f>J148*(1-K148)</f>
        <v/>
      </c>
      <c r="N148" s="6">
        <f>'02_GPU_Mix_Input'!D148</f>
        <v/>
      </c>
      <c r="O148" s="6">
        <f>'02_GPU_Mix_Input'!E148</f>
        <v/>
      </c>
      <c r="P148" s="6">
        <f>'02_GPU_Mix_Input'!F148</f>
        <v/>
      </c>
      <c r="Q148" s="6">
        <f>'02_GPU_Mix_Input'!G148</f>
        <v/>
      </c>
      <c r="R148" s="7">
        <f>INDEX('01_Benchmark_Input'!$K$2:$K$10,MATCH(B148,'01_Benchmark_Input'!$A$2:$A$10,0))</f>
        <v/>
      </c>
      <c r="S148" s="7">
        <f>INDEX('01_Benchmark_Input'!$P$2:$P$10,MATCH(B148,'01_Benchmark_Input'!$A$2:$A$10,0))</f>
        <v/>
      </c>
      <c r="T148" s="7">
        <f>INDEX('01_Benchmark_Input'!$U$2:$U$10,MATCH(B148,'01_Benchmark_Input'!$A$2:$A$10,0))</f>
        <v/>
      </c>
      <c r="U148" s="7">
        <f>INDEX('01_Benchmark_Input'!$Z$2:$Z$10,MATCH(B148,'01_Benchmark_Input'!$A$2:$A$10,0))</f>
        <v/>
      </c>
      <c r="V148" s="6">
        <f>INDEX('01_Benchmark_Input'!$D$2:$D$10,MATCH(B148,'01_Benchmark_Input'!$A$2:$A$10,0))</f>
        <v/>
      </c>
      <c r="W148" s="6">
        <f>INDEX('01_Benchmark_Input'!$E$2:$E$10,MATCH(B148,'01_Benchmark_Input'!$A$2:$A$10,0))</f>
        <v/>
      </c>
      <c r="X148" s="6">
        <f>INDEX('01_Benchmark_Input'!$F$2:$F$10,MATCH(B148,'01_Benchmark_Input'!$A$2:$A$10,0))</f>
        <v/>
      </c>
      <c r="Y148" s="7">
        <f>N148*R148+O148*S148+P148*T148+Q148*U148</f>
        <v/>
      </c>
      <c r="Z148" s="6">
        <f>'02_Inputs'!K148</f>
        <v/>
      </c>
      <c r="AA148" s="7">
        <f>Y148*Z148</f>
        <v/>
      </c>
      <c r="AB148" s="5">
        <f>L148*1000*AA148*86400</f>
        <v/>
      </c>
      <c r="AC148" s="5">
        <f>AB148*365</f>
        <v/>
      </c>
    </row>
    <row r="149">
      <c r="A149" s="5">
        <f>'02_Inputs'!A149</f>
        <v/>
      </c>
      <c r="B149" s="5">
        <f>'02_Inputs'!B149</f>
        <v/>
      </c>
      <c r="C149" s="5">
        <f>'02_Inputs'!C149</f>
        <v/>
      </c>
      <c r="D149" s="29">
        <f>'02_Inputs'!D149</f>
        <v/>
      </c>
      <c r="E149" s="6">
        <f>'02_Inputs'!E149</f>
        <v/>
      </c>
      <c r="F149" s="29">
        <f>D149*E149</f>
        <v/>
      </c>
      <c r="G149" s="5">
        <f>'02_Inputs'!F149</f>
        <v/>
      </c>
      <c r="H149" s="29">
        <f>F149/G149</f>
        <v/>
      </c>
      <c r="I149" s="6">
        <f>'02_Inputs'!G149</f>
        <v/>
      </c>
      <c r="J149" s="29">
        <f>H149*I149</f>
        <v/>
      </c>
      <c r="K149" s="6">
        <f>'02_Inputs'!H149</f>
        <v/>
      </c>
      <c r="L149" s="29">
        <f>J149*K149</f>
        <v/>
      </c>
      <c r="M149" s="29">
        <f>J149*(1-K149)</f>
        <v/>
      </c>
      <c r="N149" s="6">
        <f>'02_GPU_Mix_Input'!D149</f>
        <v/>
      </c>
      <c r="O149" s="6">
        <f>'02_GPU_Mix_Input'!E149</f>
        <v/>
      </c>
      <c r="P149" s="6">
        <f>'02_GPU_Mix_Input'!F149</f>
        <v/>
      </c>
      <c r="Q149" s="6">
        <f>'02_GPU_Mix_Input'!G149</f>
        <v/>
      </c>
      <c r="R149" s="7">
        <f>INDEX('01_Benchmark_Input'!$K$2:$K$10,MATCH(B149,'01_Benchmark_Input'!$A$2:$A$10,0))</f>
        <v/>
      </c>
      <c r="S149" s="7">
        <f>INDEX('01_Benchmark_Input'!$P$2:$P$10,MATCH(B149,'01_Benchmark_Input'!$A$2:$A$10,0))</f>
        <v/>
      </c>
      <c r="T149" s="7">
        <f>INDEX('01_Benchmark_Input'!$U$2:$U$10,MATCH(B149,'01_Benchmark_Input'!$A$2:$A$10,0))</f>
        <v/>
      </c>
      <c r="U149" s="7">
        <f>INDEX('01_Benchmark_Input'!$Z$2:$Z$10,MATCH(B149,'01_Benchmark_Input'!$A$2:$A$10,0))</f>
        <v/>
      </c>
      <c r="V149" s="6">
        <f>INDEX('01_Benchmark_Input'!$D$2:$D$10,MATCH(B149,'01_Benchmark_Input'!$A$2:$A$10,0))</f>
        <v/>
      </c>
      <c r="W149" s="6">
        <f>INDEX('01_Benchmark_Input'!$E$2:$E$10,MATCH(B149,'01_Benchmark_Input'!$A$2:$A$10,0))</f>
        <v/>
      </c>
      <c r="X149" s="6">
        <f>INDEX('01_Benchmark_Input'!$F$2:$F$10,MATCH(B149,'01_Benchmark_Input'!$A$2:$A$10,0))</f>
        <v/>
      </c>
      <c r="Y149" s="7">
        <f>N149*R149+O149*S149+P149*T149+Q149*U149</f>
        <v/>
      </c>
      <c r="Z149" s="6">
        <f>'02_Inputs'!K149</f>
        <v/>
      </c>
      <c r="AA149" s="7">
        <f>Y149*Z149</f>
        <v/>
      </c>
      <c r="AB149" s="5">
        <f>L149*1000*AA149*86400</f>
        <v/>
      </c>
      <c r="AC149" s="5">
        <f>AB149*365</f>
        <v/>
      </c>
    </row>
    <row r="150">
      <c r="A150" s="5">
        <f>'02_Inputs'!A150</f>
        <v/>
      </c>
      <c r="B150" s="5">
        <f>'02_Inputs'!B150</f>
        <v/>
      </c>
      <c r="C150" s="5">
        <f>'02_Inputs'!C150</f>
        <v/>
      </c>
      <c r="D150" s="29">
        <f>'02_Inputs'!D150</f>
        <v/>
      </c>
      <c r="E150" s="6">
        <f>'02_Inputs'!E150</f>
        <v/>
      </c>
      <c r="F150" s="29">
        <f>D150*E150</f>
        <v/>
      </c>
      <c r="G150" s="5">
        <f>'02_Inputs'!F150</f>
        <v/>
      </c>
      <c r="H150" s="29">
        <f>F150/G150</f>
        <v/>
      </c>
      <c r="I150" s="6">
        <f>'02_Inputs'!G150</f>
        <v/>
      </c>
      <c r="J150" s="29">
        <f>H150*I150</f>
        <v/>
      </c>
      <c r="K150" s="6">
        <f>'02_Inputs'!H150</f>
        <v/>
      </c>
      <c r="L150" s="29">
        <f>J150*K150</f>
        <v/>
      </c>
      <c r="M150" s="29">
        <f>J150*(1-K150)</f>
        <v/>
      </c>
      <c r="N150" s="6">
        <f>'02_GPU_Mix_Input'!D150</f>
        <v/>
      </c>
      <c r="O150" s="6">
        <f>'02_GPU_Mix_Input'!E150</f>
        <v/>
      </c>
      <c r="P150" s="6">
        <f>'02_GPU_Mix_Input'!F150</f>
        <v/>
      </c>
      <c r="Q150" s="6">
        <f>'02_GPU_Mix_Input'!G150</f>
        <v/>
      </c>
      <c r="R150" s="7">
        <f>INDEX('01_Benchmark_Input'!$K$2:$K$10,MATCH(B150,'01_Benchmark_Input'!$A$2:$A$10,0))</f>
        <v/>
      </c>
      <c r="S150" s="7">
        <f>INDEX('01_Benchmark_Input'!$P$2:$P$10,MATCH(B150,'01_Benchmark_Input'!$A$2:$A$10,0))</f>
        <v/>
      </c>
      <c r="T150" s="7">
        <f>INDEX('01_Benchmark_Input'!$U$2:$U$10,MATCH(B150,'01_Benchmark_Input'!$A$2:$A$10,0))</f>
        <v/>
      </c>
      <c r="U150" s="7">
        <f>INDEX('01_Benchmark_Input'!$Z$2:$Z$10,MATCH(B150,'01_Benchmark_Input'!$A$2:$A$10,0))</f>
        <v/>
      </c>
      <c r="V150" s="6">
        <f>INDEX('01_Benchmark_Input'!$D$2:$D$10,MATCH(B150,'01_Benchmark_Input'!$A$2:$A$10,0))</f>
        <v/>
      </c>
      <c r="W150" s="6">
        <f>INDEX('01_Benchmark_Input'!$E$2:$E$10,MATCH(B150,'01_Benchmark_Input'!$A$2:$A$10,0))</f>
        <v/>
      </c>
      <c r="X150" s="6">
        <f>INDEX('01_Benchmark_Input'!$F$2:$F$10,MATCH(B150,'01_Benchmark_Input'!$A$2:$A$10,0))</f>
        <v/>
      </c>
      <c r="Y150" s="7">
        <f>N150*R150+O150*S150+P150*T150+Q150*U150</f>
        <v/>
      </c>
      <c r="Z150" s="6">
        <f>'02_Inputs'!K150</f>
        <v/>
      </c>
      <c r="AA150" s="7">
        <f>Y150*Z150</f>
        <v/>
      </c>
      <c r="AB150" s="5">
        <f>L150*1000*AA150*86400</f>
        <v/>
      </c>
      <c r="AC150" s="5">
        <f>AB150*365</f>
        <v/>
      </c>
    </row>
    <row r="151">
      <c r="A151" s="5">
        <f>'02_Inputs'!A151</f>
        <v/>
      </c>
      <c r="B151" s="5">
        <f>'02_Inputs'!B151</f>
        <v/>
      </c>
      <c r="C151" s="5">
        <f>'02_Inputs'!C151</f>
        <v/>
      </c>
      <c r="D151" s="29">
        <f>'02_Inputs'!D151</f>
        <v/>
      </c>
      <c r="E151" s="6">
        <f>'02_Inputs'!E151</f>
        <v/>
      </c>
      <c r="F151" s="29">
        <f>D151*E151</f>
        <v/>
      </c>
      <c r="G151" s="5">
        <f>'02_Inputs'!F151</f>
        <v/>
      </c>
      <c r="H151" s="29">
        <f>F151/G151</f>
        <v/>
      </c>
      <c r="I151" s="6">
        <f>'02_Inputs'!G151</f>
        <v/>
      </c>
      <c r="J151" s="29">
        <f>H151*I151</f>
        <v/>
      </c>
      <c r="K151" s="6">
        <f>'02_Inputs'!H151</f>
        <v/>
      </c>
      <c r="L151" s="29">
        <f>J151*K151</f>
        <v/>
      </c>
      <c r="M151" s="29">
        <f>J151*(1-K151)</f>
        <v/>
      </c>
      <c r="N151" s="6">
        <f>'02_GPU_Mix_Input'!D151</f>
        <v/>
      </c>
      <c r="O151" s="6">
        <f>'02_GPU_Mix_Input'!E151</f>
        <v/>
      </c>
      <c r="P151" s="6">
        <f>'02_GPU_Mix_Input'!F151</f>
        <v/>
      </c>
      <c r="Q151" s="6">
        <f>'02_GPU_Mix_Input'!G151</f>
        <v/>
      </c>
      <c r="R151" s="7">
        <f>INDEX('01_Benchmark_Input'!$K$2:$K$10,MATCH(B151,'01_Benchmark_Input'!$A$2:$A$10,0))</f>
        <v/>
      </c>
      <c r="S151" s="7">
        <f>INDEX('01_Benchmark_Input'!$P$2:$P$10,MATCH(B151,'01_Benchmark_Input'!$A$2:$A$10,0))</f>
        <v/>
      </c>
      <c r="T151" s="7">
        <f>INDEX('01_Benchmark_Input'!$U$2:$U$10,MATCH(B151,'01_Benchmark_Input'!$A$2:$A$10,0))</f>
        <v/>
      </c>
      <c r="U151" s="7">
        <f>INDEX('01_Benchmark_Input'!$Z$2:$Z$10,MATCH(B151,'01_Benchmark_Input'!$A$2:$A$10,0))</f>
        <v/>
      </c>
      <c r="V151" s="6">
        <f>INDEX('01_Benchmark_Input'!$D$2:$D$10,MATCH(B151,'01_Benchmark_Input'!$A$2:$A$10,0))</f>
        <v/>
      </c>
      <c r="W151" s="6">
        <f>INDEX('01_Benchmark_Input'!$E$2:$E$10,MATCH(B151,'01_Benchmark_Input'!$A$2:$A$10,0))</f>
        <v/>
      </c>
      <c r="X151" s="6">
        <f>INDEX('01_Benchmark_Input'!$F$2:$F$10,MATCH(B151,'01_Benchmark_Input'!$A$2:$A$10,0))</f>
        <v/>
      </c>
      <c r="Y151" s="7">
        <f>N151*R151+O151*S151+P151*T151+Q151*U151</f>
        <v/>
      </c>
      <c r="Z151" s="6">
        <f>'02_Inputs'!K151</f>
        <v/>
      </c>
      <c r="AA151" s="7">
        <f>Y151*Z151</f>
        <v/>
      </c>
      <c r="AB151" s="5">
        <f>L151*1000*AA151*86400</f>
        <v/>
      </c>
      <c r="AC151" s="5">
        <f>AB151*365</f>
        <v/>
      </c>
    </row>
    <row r="152">
      <c r="A152" s="5">
        <f>'02_Inputs'!A152</f>
        <v/>
      </c>
      <c r="B152" s="5">
        <f>'02_Inputs'!B152</f>
        <v/>
      </c>
      <c r="C152" s="5">
        <f>'02_Inputs'!C152</f>
        <v/>
      </c>
      <c r="D152" s="29">
        <f>'02_Inputs'!D152</f>
        <v/>
      </c>
      <c r="E152" s="6">
        <f>'02_Inputs'!E152</f>
        <v/>
      </c>
      <c r="F152" s="29">
        <f>D152*E152</f>
        <v/>
      </c>
      <c r="G152" s="5">
        <f>'02_Inputs'!F152</f>
        <v/>
      </c>
      <c r="H152" s="29">
        <f>F152/G152</f>
        <v/>
      </c>
      <c r="I152" s="6">
        <f>'02_Inputs'!G152</f>
        <v/>
      </c>
      <c r="J152" s="29">
        <f>H152*I152</f>
        <v/>
      </c>
      <c r="K152" s="6">
        <f>'02_Inputs'!H152</f>
        <v/>
      </c>
      <c r="L152" s="29">
        <f>J152*K152</f>
        <v/>
      </c>
      <c r="M152" s="29">
        <f>J152*(1-K152)</f>
        <v/>
      </c>
      <c r="N152" s="6">
        <f>'02_GPU_Mix_Input'!D152</f>
        <v/>
      </c>
      <c r="O152" s="6">
        <f>'02_GPU_Mix_Input'!E152</f>
        <v/>
      </c>
      <c r="P152" s="6">
        <f>'02_GPU_Mix_Input'!F152</f>
        <v/>
      </c>
      <c r="Q152" s="6">
        <f>'02_GPU_Mix_Input'!G152</f>
        <v/>
      </c>
      <c r="R152" s="7">
        <f>INDEX('01_Benchmark_Input'!$K$2:$K$10,MATCH(B152,'01_Benchmark_Input'!$A$2:$A$10,0))</f>
        <v/>
      </c>
      <c r="S152" s="7">
        <f>INDEX('01_Benchmark_Input'!$P$2:$P$10,MATCH(B152,'01_Benchmark_Input'!$A$2:$A$10,0))</f>
        <v/>
      </c>
      <c r="T152" s="7">
        <f>INDEX('01_Benchmark_Input'!$U$2:$U$10,MATCH(B152,'01_Benchmark_Input'!$A$2:$A$10,0))</f>
        <v/>
      </c>
      <c r="U152" s="7">
        <f>INDEX('01_Benchmark_Input'!$Z$2:$Z$10,MATCH(B152,'01_Benchmark_Input'!$A$2:$A$10,0))</f>
        <v/>
      </c>
      <c r="V152" s="6">
        <f>INDEX('01_Benchmark_Input'!$D$2:$D$10,MATCH(B152,'01_Benchmark_Input'!$A$2:$A$10,0))</f>
        <v/>
      </c>
      <c r="W152" s="6">
        <f>INDEX('01_Benchmark_Input'!$E$2:$E$10,MATCH(B152,'01_Benchmark_Input'!$A$2:$A$10,0))</f>
        <v/>
      </c>
      <c r="X152" s="6">
        <f>INDEX('01_Benchmark_Input'!$F$2:$F$10,MATCH(B152,'01_Benchmark_Input'!$A$2:$A$10,0))</f>
        <v/>
      </c>
      <c r="Y152" s="7">
        <f>N152*R152+O152*S152+P152*T152+Q152*U152</f>
        <v/>
      </c>
      <c r="Z152" s="6">
        <f>'02_Inputs'!K152</f>
        <v/>
      </c>
      <c r="AA152" s="7">
        <f>Y152*Z152</f>
        <v/>
      </c>
      <c r="AB152" s="5">
        <f>L152*1000*AA152*86400</f>
        <v/>
      </c>
      <c r="AC152" s="5">
        <f>AB152*365</f>
        <v/>
      </c>
    </row>
    <row r="153">
      <c r="A153" s="5">
        <f>'02_Inputs'!A153</f>
        <v/>
      </c>
      <c r="B153" s="5">
        <f>'02_Inputs'!B153</f>
        <v/>
      </c>
      <c r="C153" s="5">
        <f>'02_Inputs'!C153</f>
        <v/>
      </c>
      <c r="D153" s="29">
        <f>'02_Inputs'!D153</f>
        <v/>
      </c>
      <c r="E153" s="6">
        <f>'02_Inputs'!E153</f>
        <v/>
      </c>
      <c r="F153" s="29">
        <f>D153*E153</f>
        <v/>
      </c>
      <c r="G153" s="5">
        <f>'02_Inputs'!F153</f>
        <v/>
      </c>
      <c r="H153" s="29">
        <f>F153/G153</f>
        <v/>
      </c>
      <c r="I153" s="6">
        <f>'02_Inputs'!G153</f>
        <v/>
      </c>
      <c r="J153" s="29">
        <f>H153*I153</f>
        <v/>
      </c>
      <c r="K153" s="6">
        <f>'02_Inputs'!H153</f>
        <v/>
      </c>
      <c r="L153" s="29">
        <f>J153*K153</f>
        <v/>
      </c>
      <c r="M153" s="29">
        <f>J153*(1-K153)</f>
        <v/>
      </c>
      <c r="N153" s="6">
        <f>'02_GPU_Mix_Input'!D153</f>
        <v/>
      </c>
      <c r="O153" s="6">
        <f>'02_GPU_Mix_Input'!E153</f>
        <v/>
      </c>
      <c r="P153" s="6">
        <f>'02_GPU_Mix_Input'!F153</f>
        <v/>
      </c>
      <c r="Q153" s="6">
        <f>'02_GPU_Mix_Input'!G153</f>
        <v/>
      </c>
      <c r="R153" s="7">
        <f>INDEX('01_Benchmark_Input'!$K$2:$K$10,MATCH(B153,'01_Benchmark_Input'!$A$2:$A$10,0))</f>
        <v/>
      </c>
      <c r="S153" s="7">
        <f>INDEX('01_Benchmark_Input'!$P$2:$P$10,MATCH(B153,'01_Benchmark_Input'!$A$2:$A$10,0))</f>
        <v/>
      </c>
      <c r="T153" s="7">
        <f>INDEX('01_Benchmark_Input'!$U$2:$U$10,MATCH(B153,'01_Benchmark_Input'!$A$2:$A$10,0))</f>
        <v/>
      </c>
      <c r="U153" s="7">
        <f>INDEX('01_Benchmark_Input'!$Z$2:$Z$10,MATCH(B153,'01_Benchmark_Input'!$A$2:$A$10,0))</f>
        <v/>
      </c>
      <c r="V153" s="6">
        <f>INDEX('01_Benchmark_Input'!$D$2:$D$10,MATCH(B153,'01_Benchmark_Input'!$A$2:$A$10,0))</f>
        <v/>
      </c>
      <c r="W153" s="6">
        <f>INDEX('01_Benchmark_Input'!$E$2:$E$10,MATCH(B153,'01_Benchmark_Input'!$A$2:$A$10,0))</f>
        <v/>
      </c>
      <c r="X153" s="6">
        <f>INDEX('01_Benchmark_Input'!$F$2:$F$10,MATCH(B153,'01_Benchmark_Input'!$A$2:$A$10,0))</f>
        <v/>
      </c>
      <c r="Y153" s="7">
        <f>N153*R153+O153*S153+P153*T153+Q153*U153</f>
        <v/>
      </c>
      <c r="Z153" s="6">
        <f>'02_Inputs'!K153</f>
        <v/>
      </c>
      <c r="AA153" s="7">
        <f>Y153*Z153</f>
        <v/>
      </c>
      <c r="AB153" s="5">
        <f>L153*1000*AA153*86400</f>
        <v/>
      </c>
      <c r="AC153" s="5">
        <f>AB153*365</f>
        <v/>
      </c>
    </row>
    <row r="154">
      <c r="A154" s="5">
        <f>'02_Inputs'!A154</f>
        <v/>
      </c>
      <c r="B154" s="5">
        <f>'02_Inputs'!B154</f>
        <v/>
      </c>
      <c r="C154" s="5">
        <f>'02_Inputs'!C154</f>
        <v/>
      </c>
      <c r="D154" s="29">
        <f>'02_Inputs'!D154</f>
        <v/>
      </c>
      <c r="E154" s="6">
        <f>'02_Inputs'!E154</f>
        <v/>
      </c>
      <c r="F154" s="29">
        <f>D154*E154</f>
        <v/>
      </c>
      <c r="G154" s="5">
        <f>'02_Inputs'!F154</f>
        <v/>
      </c>
      <c r="H154" s="29">
        <f>F154/G154</f>
        <v/>
      </c>
      <c r="I154" s="6">
        <f>'02_Inputs'!G154</f>
        <v/>
      </c>
      <c r="J154" s="29">
        <f>H154*I154</f>
        <v/>
      </c>
      <c r="K154" s="6">
        <f>'02_Inputs'!H154</f>
        <v/>
      </c>
      <c r="L154" s="29">
        <f>J154*K154</f>
        <v/>
      </c>
      <c r="M154" s="29">
        <f>J154*(1-K154)</f>
        <v/>
      </c>
      <c r="N154" s="6">
        <f>'02_GPU_Mix_Input'!D154</f>
        <v/>
      </c>
      <c r="O154" s="6">
        <f>'02_GPU_Mix_Input'!E154</f>
        <v/>
      </c>
      <c r="P154" s="6">
        <f>'02_GPU_Mix_Input'!F154</f>
        <v/>
      </c>
      <c r="Q154" s="6">
        <f>'02_GPU_Mix_Input'!G154</f>
        <v/>
      </c>
      <c r="R154" s="7">
        <f>INDEX('01_Benchmark_Input'!$K$2:$K$10,MATCH(B154,'01_Benchmark_Input'!$A$2:$A$10,0))</f>
        <v/>
      </c>
      <c r="S154" s="7">
        <f>INDEX('01_Benchmark_Input'!$P$2:$P$10,MATCH(B154,'01_Benchmark_Input'!$A$2:$A$10,0))</f>
        <v/>
      </c>
      <c r="T154" s="7">
        <f>INDEX('01_Benchmark_Input'!$U$2:$U$10,MATCH(B154,'01_Benchmark_Input'!$A$2:$A$10,0))</f>
        <v/>
      </c>
      <c r="U154" s="7">
        <f>INDEX('01_Benchmark_Input'!$Z$2:$Z$10,MATCH(B154,'01_Benchmark_Input'!$A$2:$A$10,0))</f>
        <v/>
      </c>
      <c r="V154" s="6">
        <f>INDEX('01_Benchmark_Input'!$D$2:$D$10,MATCH(B154,'01_Benchmark_Input'!$A$2:$A$10,0))</f>
        <v/>
      </c>
      <c r="W154" s="6">
        <f>INDEX('01_Benchmark_Input'!$E$2:$E$10,MATCH(B154,'01_Benchmark_Input'!$A$2:$A$10,0))</f>
        <v/>
      </c>
      <c r="X154" s="6">
        <f>INDEX('01_Benchmark_Input'!$F$2:$F$10,MATCH(B154,'01_Benchmark_Input'!$A$2:$A$10,0))</f>
        <v/>
      </c>
      <c r="Y154" s="7">
        <f>N154*R154+O154*S154+P154*T154+Q154*U154</f>
        <v/>
      </c>
      <c r="Z154" s="6">
        <f>'02_Inputs'!K154</f>
        <v/>
      </c>
      <c r="AA154" s="7">
        <f>Y154*Z154</f>
        <v/>
      </c>
      <c r="AB154" s="5">
        <f>L154*1000*AA154*86400</f>
        <v/>
      </c>
      <c r="AC154" s="5">
        <f>AB154*365</f>
        <v/>
      </c>
    </row>
    <row r="155">
      <c r="A155" s="5">
        <f>'02_Inputs'!A155</f>
        <v/>
      </c>
      <c r="B155" s="5">
        <f>'02_Inputs'!B155</f>
        <v/>
      </c>
      <c r="C155" s="5">
        <f>'02_Inputs'!C155</f>
        <v/>
      </c>
      <c r="D155" s="29">
        <f>'02_Inputs'!D155</f>
        <v/>
      </c>
      <c r="E155" s="6">
        <f>'02_Inputs'!E155</f>
        <v/>
      </c>
      <c r="F155" s="29">
        <f>D155*E155</f>
        <v/>
      </c>
      <c r="G155" s="5">
        <f>'02_Inputs'!F155</f>
        <v/>
      </c>
      <c r="H155" s="29">
        <f>F155/G155</f>
        <v/>
      </c>
      <c r="I155" s="6">
        <f>'02_Inputs'!G155</f>
        <v/>
      </c>
      <c r="J155" s="29">
        <f>H155*I155</f>
        <v/>
      </c>
      <c r="K155" s="6">
        <f>'02_Inputs'!H155</f>
        <v/>
      </c>
      <c r="L155" s="29">
        <f>J155*K155</f>
        <v/>
      </c>
      <c r="M155" s="29">
        <f>J155*(1-K155)</f>
        <v/>
      </c>
      <c r="N155" s="6">
        <f>'02_GPU_Mix_Input'!D155</f>
        <v/>
      </c>
      <c r="O155" s="6">
        <f>'02_GPU_Mix_Input'!E155</f>
        <v/>
      </c>
      <c r="P155" s="6">
        <f>'02_GPU_Mix_Input'!F155</f>
        <v/>
      </c>
      <c r="Q155" s="6">
        <f>'02_GPU_Mix_Input'!G155</f>
        <v/>
      </c>
      <c r="R155" s="7">
        <f>INDEX('01_Benchmark_Input'!$K$2:$K$10,MATCH(B155,'01_Benchmark_Input'!$A$2:$A$10,0))</f>
        <v/>
      </c>
      <c r="S155" s="7">
        <f>INDEX('01_Benchmark_Input'!$P$2:$P$10,MATCH(B155,'01_Benchmark_Input'!$A$2:$A$10,0))</f>
        <v/>
      </c>
      <c r="T155" s="7">
        <f>INDEX('01_Benchmark_Input'!$U$2:$U$10,MATCH(B155,'01_Benchmark_Input'!$A$2:$A$10,0))</f>
        <v/>
      </c>
      <c r="U155" s="7">
        <f>INDEX('01_Benchmark_Input'!$Z$2:$Z$10,MATCH(B155,'01_Benchmark_Input'!$A$2:$A$10,0))</f>
        <v/>
      </c>
      <c r="V155" s="6">
        <f>INDEX('01_Benchmark_Input'!$D$2:$D$10,MATCH(B155,'01_Benchmark_Input'!$A$2:$A$10,0))</f>
        <v/>
      </c>
      <c r="W155" s="6">
        <f>INDEX('01_Benchmark_Input'!$E$2:$E$10,MATCH(B155,'01_Benchmark_Input'!$A$2:$A$10,0))</f>
        <v/>
      </c>
      <c r="X155" s="6">
        <f>INDEX('01_Benchmark_Input'!$F$2:$F$10,MATCH(B155,'01_Benchmark_Input'!$A$2:$A$10,0))</f>
        <v/>
      </c>
      <c r="Y155" s="7">
        <f>N155*R155+O155*S155+P155*T155+Q155*U155</f>
        <v/>
      </c>
      <c r="Z155" s="6">
        <f>'02_Inputs'!K155</f>
        <v/>
      </c>
      <c r="AA155" s="7">
        <f>Y155*Z155</f>
        <v/>
      </c>
      <c r="AB155" s="5">
        <f>L155*1000*AA155*86400</f>
        <v/>
      </c>
      <c r="AC155" s="5">
        <f>AB155*365</f>
        <v/>
      </c>
    </row>
    <row r="156">
      <c r="A156" s="5">
        <f>'02_Inputs'!A156</f>
        <v/>
      </c>
      <c r="B156" s="5">
        <f>'02_Inputs'!B156</f>
        <v/>
      </c>
      <c r="C156" s="5">
        <f>'02_Inputs'!C156</f>
        <v/>
      </c>
      <c r="D156" s="29">
        <f>'02_Inputs'!D156</f>
        <v/>
      </c>
      <c r="E156" s="6">
        <f>'02_Inputs'!E156</f>
        <v/>
      </c>
      <c r="F156" s="29">
        <f>D156*E156</f>
        <v/>
      </c>
      <c r="G156" s="5">
        <f>'02_Inputs'!F156</f>
        <v/>
      </c>
      <c r="H156" s="29">
        <f>F156/G156</f>
        <v/>
      </c>
      <c r="I156" s="6">
        <f>'02_Inputs'!G156</f>
        <v/>
      </c>
      <c r="J156" s="29">
        <f>H156*I156</f>
        <v/>
      </c>
      <c r="K156" s="6">
        <f>'02_Inputs'!H156</f>
        <v/>
      </c>
      <c r="L156" s="29">
        <f>J156*K156</f>
        <v/>
      </c>
      <c r="M156" s="29">
        <f>J156*(1-K156)</f>
        <v/>
      </c>
      <c r="N156" s="6">
        <f>'02_GPU_Mix_Input'!D156</f>
        <v/>
      </c>
      <c r="O156" s="6">
        <f>'02_GPU_Mix_Input'!E156</f>
        <v/>
      </c>
      <c r="P156" s="6">
        <f>'02_GPU_Mix_Input'!F156</f>
        <v/>
      </c>
      <c r="Q156" s="6">
        <f>'02_GPU_Mix_Input'!G156</f>
        <v/>
      </c>
      <c r="R156" s="7">
        <f>INDEX('01_Benchmark_Input'!$K$2:$K$10,MATCH(B156,'01_Benchmark_Input'!$A$2:$A$10,0))</f>
        <v/>
      </c>
      <c r="S156" s="7">
        <f>INDEX('01_Benchmark_Input'!$P$2:$P$10,MATCH(B156,'01_Benchmark_Input'!$A$2:$A$10,0))</f>
        <v/>
      </c>
      <c r="T156" s="7">
        <f>INDEX('01_Benchmark_Input'!$U$2:$U$10,MATCH(B156,'01_Benchmark_Input'!$A$2:$A$10,0))</f>
        <v/>
      </c>
      <c r="U156" s="7">
        <f>INDEX('01_Benchmark_Input'!$Z$2:$Z$10,MATCH(B156,'01_Benchmark_Input'!$A$2:$A$10,0))</f>
        <v/>
      </c>
      <c r="V156" s="6">
        <f>INDEX('01_Benchmark_Input'!$D$2:$D$10,MATCH(B156,'01_Benchmark_Input'!$A$2:$A$10,0))</f>
        <v/>
      </c>
      <c r="W156" s="6">
        <f>INDEX('01_Benchmark_Input'!$E$2:$E$10,MATCH(B156,'01_Benchmark_Input'!$A$2:$A$10,0))</f>
        <v/>
      </c>
      <c r="X156" s="6">
        <f>INDEX('01_Benchmark_Input'!$F$2:$F$10,MATCH(B156,'01_Benchmark_Input'!$A$2:$A$10,0))</f>
        <v/>
      </c>
      <c r="Y156" s="7">
        <f>N156*R156+O156*S156+P156*T156+Q156*U156</f>
        <v/>
      </c>
      <c r="Z156" s="6">
        <f>'02_Inputs'!K156</f>
        <v/>
      </c>
      <c r="AA156" s="7">
        <f>Y156*Z156</f>
        <v/>
      </c>
      <c r="AB156" s="5">
        <f>L156*1000*AA156*86400</f>
        <v/>
      </c>
      <c r="AC156" s="5">
        <f>AB156*365</f>
        <v/>
      </c>
    </row>
    <row r="157">
      <c r="A157" s="5">
        <f>'02_Inputs'!A157</f>
        <v/>
      </c>
      <c r="B157" s="5">
        <f>'02_Inputs'!B157</f>
        <v/>
      </c>
      <c r="C157" s="5">
        <f>'02_Inputs'!C157</f>
        <v/>
      </c>
      <c r="D157" s="29">
        <f>'02_Inputs'!D157</f>
        <v/>
      </c>
      <c r="E157" s="6">
        <f>'02_Inputs'!E157</f>
        <v/>
      </c>
      <c r="F157" s="29">
        <f>D157*E157</f>
        <v/>
      </c>
      <c r="G157" s="5">
        <f>'02_Inputs'!F157</f>
        <v/>
      </c>
      <c r="H157" s="29">
        <f>F157/G157</f>
        <v/>
      </c>
      <c r="I157" s="6">
        <f>'02_Inputs'!G157</f>
        <v/>
      </c>
      <c r="J157" s="29">
        <f>H157*I157</f>
        <v/>
      </c>
      <c r="K157" s="6">
        <f>'02_Inputs'!H157</f>
        <v/>
      </c>
      <c r="L157" s="29">
        <f>J157*K157</f>
        <v/>
      </c>
      <c r="M157" s="29">
        <f>J157*(1-K157)</f>
        <v/>
      </c>
      <c r="N157" s="6">
        <f>'02_GPU_Mix_Input'!D157</f>
        <v/>
      </c>
      <c r="O157" s="6">
        <f>'02_GPU_Mix_Input'!E157</f>
        <v/>
      </c>
      <c r="P157" s="6">
        <f>'02_GPU_Mix_Input'!F157</f>
        <v/>
      </c>
      <c r="Q157" s="6">
        <f>'02_GPU_Mix_Input'!G157</f>
        <v/>
      </c>
      <c r="R157" s="7">
        <f>INDEX('01_Benchmark_Input'!$K$2:$K$10,MATCH(B157,'01_Benchmark_Input'!$A$2:$A$10,0))</f>
        <v/>
      </c>
      <c r="S157" s="7">
        <f>INDEX('01_Benchmark_Input'!$P$2:$P$10,MATCH(B157,'01_Benchmark_Input'!$A$2:$A$10,0))</f>
        <v/>
      </c>
      <c r="T157" s="7">
        <f>INDEX('01_Benchmark_Input'!$U$2:$U$10,MATCH(B157,'01_Benchmark_Input'!$A$2:$A$10,0))</f>
        <v/>
      </c>
      <c r="U157" s="7">
        <f>INDEX('01_Benchmark_Input'!$Z$2:$Z$10,MATCH(B157,'01_Benchmark_Input'!$A$2:$A$10,0))</f>
        <v/>
      </c>
      <c r="V157" s="6">
        <f>INDEX('01_Benchmark_Input'!$D$2:$D$10,MATCH(B157,'01_Benchmark_Input'!$A$2:$A$10,0))</f>
        <v/>
      </c>
      <c r="W157" s="6">
        <f>INDEX('01_Benchmark_Input'!$E$2:$E$10,MATCH(B157,'01_Benchmark_Input'!$A$2:$A$10,0))</f>
        <v/>
      </c>
      <c r="X157" s="6">
        <f>INDEX('01_Benchmark_Input'!$F$2:$F$10,MATCH(B157,'01_Benchmark_Input'!$A$2:$A$10,0))</f>
        <v/>
      </c>
      <c r="Y157" s="7">
        <f>N157*R157+O157*S157+P157*T157+Q157*U157</f>
        <v/>
      </c>
      <c r="Z157" s="6">
        <f>'02_Inputs'!K157</f>
        <v/>
      </c>
      <c r="AA157" s="7">
        <f>Y157*Z157</f>
        <v/>
      </c>
      <c r="AB157" s="5">
        <f>L157*1000*AA157*86400</f>
        <v/>
      </c>
      <c r="AC157" s="5">
        <f>AB157*365</f>
        <v/>
      </c>
    </row>
    <row r="158">
      <c r="A158" s="5">
        <f>'02_Inputs'!A158</f>
        <v/>
      </c>
      <c r="B158" s="5">
        <f>'02_Inputs'!B158</f>
        <v/>
      </c>
      <c r="C158" s="5">
        <f>'02_Inputs'!C158</f>
        <v/>
      </c>
      <c r="D158" s="29">
        <f>'02_Inputs'!D158</f>
        <v/>
      </c>
      <c r="E158" s="6">
        <f>'02_Inputs'!E158</f>
        <v/>
      </c>
      <c r="F158" s="29">
        <f>D158*E158</f>
        <v/>
      </c>
      <c r="G158" s="5">
        <f>'02_Inputs'!F158</f>
        <v/>
      </c>
      <c r="H158" s="29">
        <f>F158/G158</f>
        <v/>
      </c>
      <c r="I158" s="6">
        <f>'02_Inputs'!G158</f>
        <v/>
      </c>
      <c r="J158" s="29">
        <f>H158*I158</f>
        <v/>
      </c>
      <c r="K158" s="6">
        <f>'02_Inputs'!H158</f>
        <v/>
      </c>
      <c r="L158" s="29">
        <f>J158*K158</f>
        <v/>
      </c>
      <c r="M158" s="29">
        <f>J158*(1-K158)</f>
        <v/>
      </c>
      <c r="N158" s="6">
        <f>'02_GPU_Mix_Input'!D158</f>
        <v/>
      </c>
      <c r="O158" s="6">
        <f>'02_GPU_Mix_Input'!E158</f>
        <v/>
      </c>
      <c r="P158" s="6">
        <f>'02_GPU_Mix_Input'!F158</f>
        <v/>
      </c>
      <c r="Q158" s="6">
        <f>'02_GPU_Mix_Input'!G158</f>
        <v/>
      </c>
      <c r="R158" s="7">
        <f>INDEX('01_Benchmark_Input'!$K$2:$K$10,MATCH(B158,'01_Benchmark_Input'!$A$2:$A$10,0))</f>
        <v/>
      </c>
      <c r="S158" s="7">
        <f>INDEX('01_Benchmark_Input'!$P$2:$P$10,MATCH(B158,'01_Benchmark_Input'!$A$2:$A$10,0))</f>
        <v/>
      </c>
      <c r="T158" s="7">
        <f>INDEX('01_Benchmark_Input'!$U$2:$U$10,MATCH(B158,'01_Benchmark_Input'!$A$2:$A$10,0))</f>
        <v/>
      </c>
      <c r="U158" s="7">
        <f>INDEX('01_Benchmark_Input'!$Z$2:$Z$10,MATCH(B158,'01_Benchmark_Input'!$A$2:$A$10,0))</f>
        <v/>
      </c>
      <c r="V158" s="6">
        <f>INDEX('01_Benchmark_Input'!$D$2:$D$10,MATCH(B158,'01_Benchmark_Input'!$A$2:$A$10,0))</f>
        <v/>
      </c>
      <c r="W158" s="6">
        <f>INDEX('01_Benchmark_Input'!$E$2:$E$10,MATCH(B158,'01_Benchmark_Input'!$A$2:$A$10,0))</f>
        <v/>
      </c>
      <c r="X158" s="6">
        <f>INDEX('01_Benchmark_Input'!$F$2:$F$10,MATCH(B158,'01_Benchmark_Input'!$A$2:$A$10,0))</f>
        <v/>
      </c>
      <c r="Y158" s="7">
        <f>N158*R158+O158*S158+P158*T158+Q158*U158</f>
        <v/>
      </c>
      <c r="Z158" s="6">
        <f>'02_Inputs'!K158</f>
        <v/>
      </c>
      <c r="AA158" s="7">
        <f>Y158*Z158</f>
        <v/>
      </c>
      <c r="AB158" s="5">
        <f>L158*1000*AA158*86400</f>
        <v/>
      </c>
      <c r="AC158" s="5">
        <f>AB158*365</f>
        <v/>
      </c>
    </row>
    <row r="159">
      <c r="A159" s="5">
        <f>'02_Inputs'!A159</f>
        <v/>
      </c>
      <c r="B159" s="5">
        <f>'02_Inputs'!B159</f>
        <v/>
      </c>
      <c r="C159" s="5">
        <f>'02_Inputs'!C159</f>
        <v/>
      </c>
      <c r="D159" s="29">
        <f>'02_Inputs'!D159</f>
        <v/>
      </c>
      <c r="E159" s="6">
        <f>'02_Inputs'!E159</f>
        <v/>
      </c>
      <c r="F159" s="29">
        <f>D159*E159</f>
        <v/>
      </c>
      <c r="G159" s="5">
        <f>'02_Inputs'!F159</f>
        <v/>
      </c>
      <c r="H159" s="29">
        <f>F159/G159</f>
        <v/>
      </c>
      <c r="I159" s="6">
        <f>'02_Inputs'!G159</f>
        <v/>
      </c>
      <c r="J159" s="29">
        <f>H159*I159</f>
        <v/>
      </c>
      <c r="K159" s="6">
        <f>'02_Inputs'!H159</f>
        <v/>
      </c>
      <c r="L159" s="29">
        <f>J159*K159</f>
        <v/>
      </c>
      <c r="M159" s="29">
        <f>J159*(1-K159)</f>
        <v/>
      </c>
      <c r="N159" s="6">
        <f>'02_GPU_Mix_Input'!D159</f>
        <v/>
      </c>
      <c r="O159" s="6">
        <f>'02_GPU_Mix_Input'!E159</f>
        <v/>
      </c>
      <c r="P159" s="6">
        <f>'02_GPU_Mix_Input'!F159</f>
        <v/>
      </c>
      <c r="Q159" s="6">
        <f>'02_GPU_Mix_Input'!G159</f>
        <v/>
      </c>
      <c r="R159" s="7">
        <f>INDEX('01_Benchmark_Input'!$K$2:$K$10,MATCH(B159,'01_Benchmark_Input'!$A$2:$A$10,0))</f>
        <v/>
      </c>
      <c r="S159" s="7">
        <f>INDEX('01_Benchmark_Input'!$P$2:$P$10,MATCH(B159,'01_Benchmark_Input'!$A$2:$A$10,0))</f>
        <v/>
      </c>
      <c r="T159" s="7">
        <f>INDEX('01_Benchmark_Input'!$U$2:$U$10,MATCH(B159,'01_Benchmark_Input'!$A$2:$A$10,0))</f>
        <v/>
      </c>
      <c r="U159" s="7">
        <f>INDEX('01_Benchmark_Input'!$Z$2:$Z$10,MATCH(B159,'01_Benchmark_Input'!$A$2:$A$10,0))</f>
        <v/>
      </c>
      <c r="V159" s="6">
        <f>INDEX('01_Benchmark_Input'!$D$2:$D$10,MATCH(B159,'01_Benchmark_Input'!$A$2:$A$10,0))</f>
        <v/>
      </c>
      <c r="W159" s="6">
        <f>INDEX('01_Benchmark_Input'!$E$2:$E$10,MATCH(B159,'01_Benchmark_Input'!$A$2:$A$10,0))</f>
        <v/>
      </c>
      <c r="X159" s="6">
        <f>INDEX('01_Benchmark_Input'!$F$2:$F$10,MATCH(B159,'01_Benchmark_Input'!$A$2:$A$10,0))</f>
        <v/>
      </c>
      <c r="Y159" s="7">
        <f>N159*R159+O159*S159+P159*T159+Q159*U159</f>
        <v/>
      </c>
      <c r="Z159" s="6">
        <f>'02_Inputs'!K159</f>
        <v/>
      </c>
      <c r="AA159" s="7">
        <f>Y159*Z159</f>
        <v/>
      </c>
      <c r="AB159" s="5">
        <f>L159*1000*AA159*86400</f>
        <v/>
      </c>
      <c r="AC159" s="5">
        <f>AB159*365</f>
        <v/>
      </c>
    </row>
    <row r="160">
      <c r="A160" s="5">
        <f>'02_Inputs'!A160</f>
        <v/>
      </c>
      <c r="B160" s="5">
        <f>'02_Inputs'!B160</f>
        <v/>
      </c>
      <c r="C160" s="5">
        <f>'02_Inputs'!C160</f>
        <v/>
      </c>
      <c r="D160" s="29">
        <f>'02_Inputs'!D160</f>
        <v/>
      </c>
      <c r="E160" s="6">
        <f>'02_Inputs'!E160</f>
        <v/>
      </c>
      <c r="F160" s="29">
        <f>D160*E160</f>
        <v/>
      </c>
      <c r="G160" s="5">
        <f>'02_Inputs'!F160</f>
        <v/>
      </c>
      <c r="H160" s="29">
        <f>F160/G160</f>
        <v/>
      </c>
      <c r="I160" s="6">
        <f>'02_Inputs'!G160</f>
        <v/>
      </c>
      <c r="J160" s="29">
        <f>H160*I160</f>
        <v/>
      </c>
      <c r="K160" s="6">
        <f>'02_Inputs'!H160</f>
        <v/>
      </c>
      <c r="L160" s="29">
        <f>J160*K160</f>
        <v/>
      </c>
      <c r="M160" s="29">
        <f>J160*(1-K160)</f>
        <v/>
      </c>
      <c r="N160" s="6">
        <f>'02_GPU_Mix_Input'!D160</f>
        <v/>
      </c>
      <c r="O160" s="6">
        <f>'02_GPU_Mix_Input'!E160</f>
        <v/>
      </c>
      <c r="P160" s="6">
        <f>'02_GPU_Mix_Input'!F160</f>
        <v/>
      </c>
      <c r="Q160" s="6">
        <f>'02_GPU_Mix_Input'!G160</f>
        <v/>
      </c>
      <c r="R160" s="7">
        <f>INDEX('01_Benchmark_Input'!$K$2:$K$10,MATCH(B160,'01_Benchmark_Input'!$A$2:$A$10,0))</f>
        <v/>
      </c>
      <c r="S160" s="7">
        <f>INDEX('01_Benchmark_Input'!$P$2:$P$10,MATCH(B160,'01_Benchmark_Input'!$A$2:$A$10,0))</f>
        <v/>
      </c>
      <c r="T160" s="7">
        <f>INDEX('01_Benchmark_Input'!$U$2:$U$10,MATCH(B160,'01_Benchmark_Input'!$A$2:$A$10,0))</f>
        <v/>
      </c>
      <c r="U160" s="7">
        <f>INDEX('01_Benchmark_Input'!$Z$2:$Z$10,MATCH(B160,'01_Benchmark_Input'!$A$2:$A$10,0))</f>
        <v/>
      </c>
      <c r="V160" s="6">
        <f>INDEX('01_Benchmark_Input'!$D$2:$D$10,MATCH(B160,'01_Benchmark_Input'!$A$2:$A$10,0))</f>
        <v/>
      </c>
      <c r="W160" s="6">
        <f>INDEX('01_Benchmark_Input'!$E$2:$E$10,MATCH(B160,'01_Benchmark_Input'!$A$2:$A$10,0))</f>
        <v/>
      </c>
      <c r="X160" s="6">
        <f>INDEX('01_Benchmark_Input'!$F$2:$F$10,MATCH(B160,'01_Benchmark_Input'!$A$2:$A$10,0))</f>
        <v/>
      </c>
      <c r="Y160" s="7">
        <f>N160*R160+O160*S160+P160*T160+Q160*U160</f>
        <v/>
      </c>
      <c r="Z160" s="6">
        <f>'02_Inputs'!K160</f>
        <v/>
      </c>
      <c r="AA160" s="7">
        <f>Y160*Z160</f>
        <v/>
      </c>
      <c r="AB160" s="5">
        <f>L160*1000*AA160*86400</f>
        <v/>
      </c>
      <c r="AC160" s="5">
        <f>AB160*365</f>
        <v/>
      </c>
    </row>
    <row r="161">
      <c r="A161" s="5">
        <f>'02_Inputs'!A161</f>
        <v/>
      </c>
      <c r="B161" s="5">
        <f>'02_Inputs'!B161</f>
        <v/>
      </c>
      <c r="C161" s="5">
        <f>'02_Inputs'!C161</f>
        <v/>
      </c>
      <c r="D161" s="29">
        <f>'02_Inputs'!D161</f>
        <v/>
      </c>
      <c r="E161" s="6">
        <f>'02_Inputs'!E161</f>
        <v/>
      </c>
      <c r="F161" s="29">
        <f>D161*E161</f>
        <v/>
      </c>
      <c r="G161" s="5">
        <f>'02_Inputs'!F161</f>
        <v/>
      </c>
      <c r="H161" s="29">
        <f>F161/G161</f>
        <v/>
      </c>
      <c r="I161" s="6">
        <f>'02_Inputs'!G161</f>
        <v/>
      </c>
      <c r="J161" s="29">
        <f>H161*I161</f>
        <v/>
      </c>
      <c r="K161" s="6">
        <f>'02_Inputs'!H161</f>
        <v/>
      </c>
      <c r="L161" s="29">
        <f>J161*K161</f>
        <v/>
      </c>
      <c r="M161" s="29">
        <f>J161*(1-K161)</f>
        <v/>
      </c>
      <c r="N161" s="6">
        <f>'02_GPU_Mix_Input'!D161</f>
        <v/>
      </c>
      <c r="O161" s="6">
        <f>'02_GPU_Mix_Input'!E161</f>
        <v/>
      </c>
      <c r="P161" s="6">
        <f>'02_GPU_Mix_Input'!F161</f>
        <v/>
      </c>
      <c r="Q161" s="6">
        <f>'02_GPU_Mix_Input'!G161</f>
        <v/>
      </c>
      <c r="R161" s="7">
        <f>INDEX('01_Benchmark_Input'!$K$2:$K$10,MATCH(B161,'01_Benchmark_Input'!$A$2:$A$10,0))</f>
        <v/>
      </c>
      <c r="S161" s="7">
        <f>INDEX('01_Benchmark_Input'!$P$2:$P$10,MATCH(B161,'01_Benchmark_Input'!$A$2:$A$10,0))</f>
        <v/>
      </c>
      <c r="T161" s="7">
        <f>INDEX('01_Benchmark_Input'!$U$2:$U$10,MATCH(B161,'01_Benchmark_Input'!$A$2:$A$10,0))</f>
        <v/>
      </c>
      <c r="U161" s="7">
        <f>INDEX('01_Benchmark_Input'!$Z$2:$Z$10,MATCH(B161,'01_Benchmark_Input'!$A$2:$A$10,0))</f>
        <v/>
      </c>
      <c r="V161" s="6">
        <f>INDEX('01_Benchmark_Input'!$D$2:$D$10,MATCH(B161,'01_Benchmark_Input'!$A$2:$A$10,0))</f>
        <v/>
      </c>
      <c r="W161" s="6">
        <f>INDEX('01_Benchmark_Input'!$E$2:$E$10,MATCH(B161,'01_Benchmark_Input'!$A$2:$A$10,0))</f>
        <v/>
      </c>
      <c r="X161" s="6">
        <f>INDEX('01_Benchmark_Input'!$F$2:$F$10,MATCH(B161,'01_Benchmark_Input'!$A$2:$A$10,0))</f>
        <v/>
      </c>
      <c r="Y161" s="7">
        <f>N161*R161+O161*S161+P161*T161+Q161*U161</f>
        <v/>
      </c>
      <c r="Z161" s="6">
        <f>'02_Inputs'!K161</f>
        <v/>
      </c>
      <c r="AA161" s="7">
        <f>Y161*Z161</f>
        <v/>
      </c>
      <c r="AB161" s="5">
        <f>L161*1000*AA161*86400</f>
        <v/>
      </c>
      <c r="AC161" s="5">
        <f>AB161*365</f>
        <v/>
      </c>
    </row>
    <row r="162">
      <c r="A162" s="5">
        <f>'02_Inputs'!A162</f>
        <v/>
      </c>
      <c r="B162" s="5">
        <f>'02_Inputs'!B162</f>
        <v/>
      </c>
      <c r="C162" s="5">
        <f>'02_Inputs'!C162</f>
        <v/>
      </c>
      <c r="D162" s="29">
        <f>'02_Inputs'!D162</f>
        <v/>
      </c>
      <c r="E162" s="6">
        <f>'02_Inputs'!E162</f>
        <v/>
      </c>
      <c r="F162" s="29">
        <f>D162*E162</f>
        <v/>
      </c>
      <c r="G162" s="5">
        <f>'02_Inputs'!F162</f>
        <v/>
      </c>
      <c r="H162" s="29">
        <f>F162/G162</f>
        <v/>
      </c>
      <c r="I162" s="6">
        <f>'02_Inputs'!G162</f>
        <v/>
      </c>
      <c r="J162" s="29">
        <f>H162*I162</f>
        <v/>
      </c>
      <c r="K162" s="6">
        <f>'02_Inputs'!H162</f>
        <v/>
      </c>
      <c r="L162" s="29">
        <f>J162*K162</f>
        <v/>
      </c>
      <c r="M162" s="29">
        <f>J162*(1-K162)</f>
        <v/>
      </c>
      <c r="N162" s="6">
        <f>'02_GPU_Mix_Input'!D162</f>
        <v/>
      </c>
      <c r="O162" s="6">
        <f>'02_GPU_Mix_Input'!E162</f>
        <v/>
      </c>
      <c r="P162" s="6">
        <f>'02_GPU_Mix_Input'!F162</f>
        <v/>
      </c>
      <c r="Q162" s="6">
        <f>'02_GPU_Mix_Input'!G162</f>
        <v/>
      </c>
      <c r="R162" s="7">
        <f>INDEX('01_Benchmark_Input'!$K$2:$K$10,MATCH(B162,'01_Benchmark_Input'!$A$2:$A$10,0))</f>
        <v/>
      </c>
      <c r="S162" s="7">
        <f>INDEX('01_Benchmark_Input'!$P$2:$P$10,MATCH(B162,'01_Benchmark_Input'!$A$2:$A$10,0))</f>
        <v/>
      </c>
      <c r="T162" s="7">
        <f>INDEX('01_Benchmark_Input'!$U$2:$U$10,MATCH(B162,'01_Benchmark_Input'!$A$2:$A$10,0))</f>
        <v/>
      </c>
      <c r="U162" s="7">
        <f>INDEX('01_Benchmark_Input'!$Z$2:$Z$10,MATCH(B162,'01_Benchmark_Input'!$A$2:$A$10,0))</f>
        <v/>
      </c>
      <c r="V162" s="6">
        <f>INDEX('01_Benchmark_Input'!$D$2:$D$10,MATCH(B162,'01_Benchmark_Input'!$A$2:$A$10,0))</f>
        <v/>
      </c>
      <c r="W162" s="6">
        <f>INDEX('01_Benchmark_Input'!$E$2:$E$10,MATCH(B162,'01_Benchmark_Input'!$A$2:$A$10,0))</f>
        <v/>
      </c>
      <c r="X162" s="6">
        <f>INDEX('01_Benchmark_Input'!$F$2:$F$10,MATCH(B162,'01_Benchmark_Input'!$A$2:$A$10,0))</f>
        <v/>
      </c>
      <c r="Y162" s="7">
        <f>N162*R162+O162*S162+P162*T162+Q162*U162</f>
        <v/>
      </c>
      <c r="Z162" s="6">
        <f>'02_Inputs'!K162</f>
        <v/>
      </c>
      <c r="AA162" s="7">
        <f>Y162*Z162</f>
        <v/>
      </c>
      <c r="AB162" s="5">
        <f>L162*1000*AA162*86400</f>
        <v/>
      </c>
      <c r="AC162" s="5">
        <f>AB162*365</f>
        <v/>
      </c>
    </row>
    <row r="163">
      <c r="A163" s="5">
        <f>'02_Inputs'!A163</f>
        <v/>
      </c>
      <c r="B163" s="5">
        <f>'02_Inputs'!B163</f>
        <v/>
      </c>
      <c r="C163" s="5">
        <f>'02_Inputs'!C163</f>
        <v/>
      </c>
      <c r="D163" s="29">
        <f>'02_Inputs'!D163</f>
        <v/>
      </c>
      <c r="E163" s="6">
        <f>'02_Inputs'!E163</f>
        <v/>
      </c>
      <c r="F163" s="29">
        <f>D163*E163</f>
        <v/>
      </c>
      <c r="G163" s="5">
        <f>'02_Inputs'!F163</f>
        <v/>
      </c>
      <c r="H163" s="29">
        <f>F163/G163</f>
        <v/>
      </c>
      <c r="I163" s="6">
        <f>'02_Inputs'!G163</f>
        <v/>
      </c>
      <c r="J163" s="29">
        <f>H163*I163</f>
        <v/>
      </c>
      <c r="K163" s="6">
        <f>'02_Inputs'!H163</f>
        <v/>
      </c>
      <c r="L163" s="29">
        <f>J163*K163</f>
        <v/>
      </c>
      <c r="M163" s="29">
        <f>J163*(1-K163)</f>
        <v/>
      </c>
      <c r="N163" s="6">
        <f>'02_GPU_Mix_Input'!D163</f>
        <v/>
      </c>
      <c r="O163" s="6">
        <f>'02_GPU_Mix_Input'!E163</f>
        <v/>
      </c>
      <c r="P163" s="6">
        <f>'02_GPU_Mix_Input'!F163</f>
        <v/>
      </c>
      <c r="Q163" s="6">
        <f>'02_GPU_Mix_Input'!G163</f>
        <v/>
      </c>
      <c r="R163" s="7">
        <f>INDEX('01_Benchmark_Input'!$K$2:$K$10,MATCH(B163,'01_Benchmark_Input'!$A$2:$A$10,0))</f>
        <v/>
      </c>
      <c r="S163" s="7">
        <f>INDEX('01_Benchmark_Input'!$P$2:$P$10,MATCH(B163,'01_Benchmark_Input'!$A$2:$A$10,0))</f>
        <v/>
      </c>
      <c r="T163" s="7">
        <f>INDEX('01_Benchmark_Input'!$U$2:$U$10,MATCH(B163,'01_Benchmark_Input'!$A$2:$A$10,0))</f>
        <v/>
      </c>
      <c r="U163" s="7">
        <f>INDEX('01_Benchmark_Input'!$Z$2:$Z$10,MATCH(B163,'01_Benchmark_Input'!$A$2:$A$10,0))</f>
        <v/>
      </c>
      <c r="V163" s="6">
        <f>INDEX('01_Benchmark_Input'!$D$2:$D$10,MATCH(B163,'01_Benchmark_Input'!$A$2:$A$10,0))</f>
        <v/>
      </c>
      <c r="W163" s="6">
        <f>INDEX('01_Benchmark_Input'!$E$2:$E$10,MATCH(B163,'01_Benchmark_Input'!$A$2:$A$10,0))</f>
        <v/>
      </c>
      <c r="X163" s="6">
        <f>INDEX('01_Benchmark_Input'!$F$2:$F$10,MATCH(B163,'01_Benchmark_Input'!$A$2:$A$10,0))</f>
        <v/>
      </c>
      <c r="Y163" s="7">
        <f>N163*R163+O163*S163+P163*T163+Q163*U163</f>
        <v/>
      </c>
      <c r="Z163" s="6">
        <f>'02_Inputs'!K163</f>
        <v/>
      </c>
      <c r="AA163" s="7">
        <f>Y163*Z163</f>
        <v/>
      </c>
      <c r="AB163" s="5">
        <f>L163*1000*AA163*86400</f>
        <v/>
      </c>
      <c r="AC163" s="5">
        <f>AB163*365</f>
        <v/>
      </c>
    </row>
    <row r="164">
      <c r="A164" s="5">
        <f>'02_Inputs'!A164</f>
        <v/>
      </c>
      <c r="B164" s="5">
        <f>'02_Inputs'!B164</f>
        <v/>
      </c>
      <c r="C164" s="5">
        <f>'02_Inputs'!C164</f>
        <v/>
      </c>
      <c r="D164" s="29">
        <f>'02_Inputs'!D164</f>
        <v/>
      </c>
      <c r="E164" s="6">
        <f>'02_Inputs'!E164</f>
        <v/>
      </c>
      <c r="F164" s="29">
        <f>D164*E164</f>
        <v/>
      </c>
      <c r="G164" s="5">
        <f>'02_Inputs'!F164</f>
        <v/>
      </c>
      <c r="H164" s="29">
        <f>F164/G164</f>
        <v/>
      </c>
      <c r="I164" s="6">
        <f>'02_Inputs'!G164</f>
        <v/>
      </c>
      <c r="J164" s="29">
        <f>H164*I164</f>
        <v/>
      </c>
      <c r="K164" s="6">
        <f>'02_Inputs'!H164</f>
        <v/>
      </c>
      <c r="L164" s="29">
        <f>J164*K164</f>
        <v/>
      </c>
      <c r="M164" s="29">
        <f>J164*(1-K164)</f>
        <v/>
      </c>
      <c r="N164" s="6">
        <f>'02_GPU_Mix_Input'!D164</f>
        <v/>
      </c>
      <c r="O164" s="6">
        <f>'02_GPU_Mix_Input'!E164</f>
        <v/>
      </c>
      <c r="P164" s="6">
        <f>'02_GPU_Mix_Input'!F164</f>
        <v/>
      </c>
      <c r="Q164" s="6">
        <f>'02_GPU_Mix_Input'!G164</f>
        <v/>
      </c>
      <c r="R164" s="7">
        <f>INDEX('01_Benchmark_Input'!$K$2:$K$10,MATCH(B164,'01_Benchmark_Input'!$A$2:$A$10,0))</f>
        <v/>
      </c>
      <c r="S164" s="7">
        <f>INDEX('01_Benchmark_Input'!$P$2:$P$10,MATCH(B164,'01_Benchmark_Input'!$A$2:$A$10,0))</f>
        <v/>
      </c>
      <c r="T164" s="7">
        <f>INDEX('01_Benchmark_Input'!$U$2:$U$10,MATCH(B164,'01_Benchmark_Input'!$A$2:$A$10,0))</f>
        <v/>
      </c>
      <c r="U164" s="7">
        <f>INDEX('01_Benchmark_Input'!$Z$2:$Z$10,MATCH(B164,'01_Benchmark_Input'!$A$2:$A$10,0))</f>
        <v/>
      </c>
      <c r="V164" s="6">
        <f>INDEX('01_Benchmark_Input'!$D$2:$D$10,MATCH(B164,'01_Benchmark_Input'!$A$2:$A$10,0))</f>
        <v/>
      </c>
      <c r="W164" s="6">
        <f>INDEX('01_Benchmark_Input'!$E$2:$E$10,MATCH(B164,'01_Benchmark_Input'!$A$2:$A$10,0))</f>
        <v/>
      </c>
      <c r="X164" s="6">
        <f>INDEX('01_Benchmark_Input'!$F$2:$F$10,MATCH(B164,'01_Benchmark_Input'!$A$2:$A$10,0))</f>
        <v/>
      </c>
      <c r="Y164" s="7">
        <f>N164*R164+O164*S164+P164*T164+Q164*U164</f>
        <v/>
      </c>
      <c r="Z164" s="6">
        <f>'02_Inputs'!K164</f>
        <v/>
      </c>
      <c r="AA164" s="7">
        <f>Y164*Z164</f>
        <v/>
      </c>
      <c r="AB164" s="5">
        <f>L164*1000*AA164*86400</f>
        <v/>
      </c>
      <c r="AC164" s="5">
        <f>AB164*365</f>
        <v/>
      </c>
    </row>
    <row r="165">
      <c r="A165" s="5">
        <f>'02_Inputs'!A165</f>
        <v/>
      </c>
      <c r="B165" s="5">
        <f>'02_Inputs'!B165</f>
        <v/>
      </c>
      <c r="C165" s="5">
        <f>'02_Inputs'!C165</f>
        <v/>
      </c>
      <c r="D165" s="29">
        <f>'02_Inputs'!D165</f>
        <v/>
      </c>
      <c r="E165" s="6">
        <f>'02_Inputs'!E165</f>
        <v/>
      </c>
      <c r="F165" s="29">
        <f>D165*E165</f>
        <v/>
      </c>
      <c r="G165" s="5">
        <f>'02_Inputs'!F165</f>
        <v/>
      </c>
      <c r="H165" s="29">
        <f>F165/G165</f>
        <v/>
      </c>
      <c r="I165" s="6">
        <f>'02_Inputs'!G165</f>
        <v/>
      </c>
      <c r="J165" s="29">
        <f>H165*I165</f>
        <v/>
      </c>
      <c r="K165" s="6">
        <f>'02_Inputs'!H165</f>
        <v/>
      </c>
      <c r="L165" s="29">
        <f>J165*K165</f>
        <v/>
      </c>
      <c r="M165" s="29">
        <f>J165*(1-K165)</f>
        <v/>
      </c>
      <c r="N165" s="6">
        <f>'02_GPU_Mix_Input'!D165</f>
        <v/>
      </c>
      <c r="O165" s="6">
        <f>'02_GPU_Mix_Input'!E165</f>
        <v/>
      </c>
      <c r="P165" s="6">
        <f>'02_GPU_Mix_Input'!F165</f>
        <v/>
      </c>
      <c r="Q165" s="6">
        <f>'02_GPU_Mix_Input'!G165</f>
        <v/>
      </c>
      <c r="R165" s="7">
        <f>INDEX('01_Benchmark_Input'!$K$2:$K$10,MATCH(B165,'01_Benchmark_Input'!$A$2:$A$10,0))</f>
        <v/>
      </c>
      <c r="S165" s="7">
        <f>INDEX('01_Benchmark_Input'!$P$2:$P$10,MATCH(B165,'01_Benchmark_Input'!$A$2:$A$10,0))</f>
        <v/>
      </c>
      <c r="T165" s="7">
        <f>INDEX('01_Benchmark_Input'!$U$2:$U$10,MATCH(B165,'01_Benchmark_Input'!$A$2:$A$10,0))</f>
        <v/>
      </c>
      <c r="U165" s="7">
        <f>INDEX('01_Benchmark_Input'!$Z$2:$Z$10,MATCH(B165,'01_Benchmark_Input'!$A$2:$A$10,0))</f>
        <v/>
      </c>
      <c r="V165" s="6">
        <f>INDEX('01_Benchmark_Input'!$D$2:$D$10,MATCH(B165,'01_Benchmark_Input'!$A$2:$A$10,0))</f>
        <v/>
      </c>
      <c r="W165" s="6">
        <f>INDEX('01_Benchmark_Input'!$E$2:$E$10,MATCH(B165,'01_Benchmark_Input'!$A$2:$A$10,0))</f>
        <v/>
      </c>
      <c r="X165" s="6">
        <f>INDEX('01_Benchmark_Input'!$F$2:$F$10,MATCH(B165,'01_Benchmark_Input'!$A$2:$A$10,0))</f>
        <v/>
      </c>
      <c r="Y165" s="7">
        <f>N165*R165+O165*S165+P165*T165+Q165*U165</f>
        <v/>
      </c>
      <c r="Z165" s="6">
        <f>'02_Inputs'!K165</f>
        <v/>
      </c>
      <c r="AA165" s="7">
        <f>Y165*Z165</f>
        <v/>
      </c>
      <c r="AB165" s="5">
        <f>L165*1000*AA165*86400</f>
        <v/>
      </c>
      <c r="AC165" s="5">
        <f>AB165*365</f>
        <v/>
      </c>
    </row>
    <row r="166">
      <c r="A166" s="5">
        <f>'02_Inputs'!A166</f>
        <v/>
      </c>
      <c r="B166" s="5">
        <f>'02_Inputs'!B166</f>
        <v/>
      </c>
      <c r="C166" s="5">
        <f>'02_Inputs'!C166</f>
        <v/>
      </c>
      <c r="D166" s="29">
        <f>'02_Inputs'!D166</f>
        <v/>
      </c>
      <c r="E166" s="6">
        <f>'02_Inputs'!E166</f>
        <v/>
      </c>
      <c r="F166" s="29">
        <f>D166*E166</f>
        <v/>
      </c>
      <c r="G166" s="5">
        <f>'02_Inputs'!F166</f>
        <v/>
      </c>
      <c r="H166" s="29">
        <f>F166/G166</f>
        <v/>
      </c>
      <c r="I166" s="6">
        <f>'02_Inputs'!G166</f>
        <v/>
      </c>
      <c r="J166" s="29">
        <f>H166*I166</f>
        <v/>
      </c>
      <c r="K166" s="6">
        <f>'02_Inputs'!H166</f>
        <v/>
      </c>
      <c r="L166" s="29">
        <f>J166*K166</f>
        <v/>
      </c>
      <c r="M166" s="29">
        <f>J166*(1-K166)</f>
        <v/>
      </c>
      <c r="N166" s="6">
        <f>'02_GPU_Mix_Input'!D166</f>
        <v/>
      </c>
      <c r="O166" s="6">
        <f>'02_GPU_Mix_Input'!E166</f>
        <v/>
      </c>
      <c r="P166" s="6">
        <f>'02_GPU_Mix_Input'!F166</f>
        <v/>
      </c>
      <c r="Q166" s="6">
        <f>'02_GPU_Mix_Input'!G166</f>
        <v/>
      </c>
      <c r="R166" s="7">
        <f>INDEX('01_Benchmark_Input'!$K$2:$K$10,MATCH(B166,'01_Benchmark_Input'!$A$2:$A$10,0))</f>
        <v/>
      </c>
      <c r="S166" s="7">
        <f>INDEX('01_Benchmark_Input'!$P$2:$P$10,MATCH(B166,'01_Benchmark_Input'!$A$2:$A$10,0))</f>
        <v/>
      </c>
      <c r="T166" s="7">
        <f>INDEX('01_Benchmark_Input'!$U$2:$U$10,MATCH(B166,'01_Benchmark_Input'!$A$2:$A$10,0))</f>
        <v/>
      </c>
      <c r="U166" s="7">
        <f>INDEX('01_Benchmark_Input'!$Z$2:$Z$10,MATCH(B166,'01_Benchmark_Input'!$A$2:$A$10,0))</f>
        <v/>
      </c>
      <c r="V166" s="6">
        <f>INDEX('01_Benchmark_Input'!$D$2:$D$10,MATCH(B166,'01_Benchmark_Input'!$A$2:$A$10,0))</f>
        <v/>
      </c>
      <c r="W166" s="6">
        <f>INDEX('01_Benchmark_Input'!$E$2:$E$10,MATCH(B166,'01_Benchmark_Input'!$A$2:$A$10,0))</f>
        <v/>
      </c>
      <c r="X166" s="6">
        <f>INDEX('01_Benchmark_Input'!$F$2:$F$10,MATCH(B166,'01_Benchmark_Input'!$A$2:$A$10,0))</f>
        <v/>
      </c>
      <c r="Y166" s="7">
        <f>N166*R166+O166*S166+P166*T166+Q166*U166</f>
        <v/>
      </c>
      <c r="Z166" s="6">
        <f>'02_Inputs'!K166</f>
        <v/>
      </c>
      <c r="AA166" s="7">
        <f>Y166*Z166</f>
        <v/>
      </c>
      <c r="AB166" s="5">
        <f>L166*1000*AA166*86400</f>
        <v/>
      </c>
      <c r="AC166" s="5">
        <f>AB166*365</f>
        <v/>
      </c>
    </row>
    <row r="167">
      <c r="A167" s="5">
        <f>'02_Inputs'!A167</f>
        <v/>
      </c>
      <c r="B167" s="5">
        <f>'02_Inputs'!B167</f>
        <v/>
      </c>
      <c r="C167" s="5">
        <f>'02_Inputs'!C167</f>
        <v/>
      </c>
      <c r="D167" s="29">
        <f>'02_Inputs'!D167</f>
        <v/>
      </c>
      <c r="E167" s="6">
        <f>'02_Inputs'!E167</f>
        <v/>
      </c>
      <c r="F167" s="29">
        <f>D167*E167</f>
        <v/>
      </c>
      <c r="G167" s="5">
        <f>'02_Inputs'!F167</f>
        <v/>
      </c>
      <c r="H167" s="29">
        <f>F167/G167</f>
        <v/>
      </c>
      <c r="I167" s="6">
        <f>'02_Inputs'!G167</f>
        <v/>
      </c>
      <c r="J167" s="29">
        <f>H167*I167</f>
        <v/>
      </c>
      <c r="K167" s="6">
        <f>'02_Inputs'!H167</f>
        <v/>
      </c>
      <c r="L167" s="29">
        <f>J167*K167</f>
        <v/>
      </c>
      <c r="M167" s="29">
        <f>J167*(1-K167)</f>
        <v/>
      </c>
      <c r="N167" s="6">
        <f>'02_GPU_Mix_Input'!D167</f>
        <v/>
      </c>
      <c r="O167" s="6">
        <f>'02_GPU_Mix_Input'!E167</f>
        <v/>
      </c>
      <c r="P167" s="6">
        <f>'02_GPU_Mix_Input'!F167</f>
        <v/>
      </c>
      <c r="Q167" s="6">
        <f>'02_GPU_Mix_Input'!G167</f>
        <v/>
      </c>
      <c r="R167" s="7">
        <f>INDEX('01_Benchmark_Input'!$K$2:$K$10,MATCH(B167,'01_Benchmark_Input'!$A$2:$A$10,0))</f>
        <v/>
      </c>
      <c r="S167" s="7">
        <f>INDEX('01_Benchmark_Input'!$P$2:$P$10,MATCH(B167,'01_Benchmark_Input'!$A$2:$A$10,0))</f>
        <v/>
      </c>
      <c r="T167" s="7">
        <f>INDEX('01_Benchmark_Input'!$U$2:$U$10,MATCH(B167,'01_Benchmark_Input'!$A$2:$A$10,0))</f>
        <v/>
      </c>
      <c r="U167" s="7">
        <f>INDEX('01_Benchmark_Input'!$Z$2:$Z$10,MATCH(B167,'01_Benchmark_Input'!$A$2:$A$10,0))</f>
        <v/>
      </c>
      <c r="V167" s="6">
        <f>INDEX('01_Benchmark_Input'!$D$2:$D$10,MATCH(B167,'01_Benchmark_Input'!$A$2:$A$10,0))</f>
        <v/>
      </c>
      <c r="W167" s="6">
        <f>INDEX('01_Benchmark_Input'!$E$2:$E$10,MATCH(B167,'01_Benchmark_Input'!$A$2:$A$10,0))</f>
        <v/>
      </c>
      <c r="X167" s="6">
        <f>INDEX('01_Benchmark_Input'!$F$2:$F$10,MATCH(B167,'01_Benchmark_Input'!$A$2:$A$10,0))</f>
        <v/>
      </c>
      <c r="Y167" s="7">
        <f>N167*R167+O167*S167+P167*T167+Q167*U167</f>
        <v/>
      </c>
      <c r="Z167" s="6">
        <f>'02_Inputs'!K167</f>
        <v/>
      </c>
      <c r="AA167" s="7">
        <f>Y167*Z167</f>
        <v/>
      </c>
      <c r="AB167" s="5">
        <f>L167*1000*AA167*86400</f>
        <v/>
      </c>
      <c r="AC167" s="5">
        <f>AB167*365</f>
        <v/>
      </c>
    </row>
    <row r="168">
      <c r="A168" s="5">
        <f>'02_Inputs'!A168</f>
        <v/>
      </c>
      <c r="B168" s="5">
        <f>'02_Inputs'!B168</f>
        <v/>
      </c>
      <c r="C168" s="5">
        <f>'02_Inputs'!C168</f>
        <v/>
      </c>
      <c r="D168" s="29">
        <f>'02_Inputs'!D168</f>
        <v/>
      </c>
      <c r="E168" s="6">
        <f>'02_Inputs'!E168</f>
        <v/>
      </c>
      <c r="F168" s="29">
        <f>D168*E168</f>
        <v/>
      </c>
      <c r="G168" s="5">
        <f>'02_Inputs'!F168</f>
        <v/>
      </c>
      <c r="H168" s="29">
        <f>F168/G168</f>
        <v/>
      </c>
      <c r="I168" s="6">
        <f>'02_Inputs'!G168</f>
        <v/>
      </c>
      <c r="J168" s="29">
        <f>H168*I168</f>
        <v/>
      </c>
      <c r="K168" s="6">
        <f>'02_Inputs'!H168</f>
        <v/>
      </c>
      <c r="L168" s="29">
        <f>J168*K168</f>
        <v/>
      </c>
      <c r="M168" s="29">
        <f>J168*(1-K168)</f>
        <v/>
      </c>
      <c r="N168" s="6">
        <f>'02_GPU_Mix_Input'!D168</f>
        <v/>
      </c>
      <c r="O168" s="6">
        <f>'02_GPU_Mix_Input'!E168</f>
        <v/>
      </c>
      <c r="P168" s="6">
        <f>'02_GPU_Mix_Input'!F168</f>
        <v/>
      </c>
      <c r="Q168" s="6">
        <f>'02_GPU_Mix_Input'!G168</f>
        <v/>
      </c>
      <c r="R168" s="7">
        <f>INDEX('01_Benchmark_Input'!$K$2:$K$10,MATCH(B168,'01_Benchmark_Input'!$A$2:$A$10,0))</f>
        <v/>
      </c>
      <c r="S168" s="7">
        <f>INDEX('01_Benchmark_Input'!$P$2:$P$10,MATCH(B168,'01_Benchmark_Input'!$A$2:$A$10,0))</f>
        <v/>
      </c>
      <c r="T168" s="7">
        <f>INDEX('01_Benchmark_Input'!$U$2:$U$10,MATCH(B168,'01_Benchmark_Input'!$A$2:$A$10,0))</f>
        <v/>
      </c>
      <c r="U168" s="7">
        <f>INDEX('01_Benchmark_Input'!$Z$2:$Z$10,MATCH(B168,'01_Benchmark_Input'!$A$2:$A$10,0))</f>
        <v/>
      </c>
      <c r="V168" s="6">
        <f>INDEX('01_Benchmark_Input'!$D$2:$D$10,MATCH(B168,'01_Benchmark_Input'!$A$2:$A$10,0))</f>
        <v/>
      </c>
      <c r="W168" s="6">
        <f>INDEX('01_Benchmark_Input'!$E$2:$E$10,MATCH(B168,'01_Benchmark_Input'!$A$2:$A$10,0))</f>
        <v/>
      </c>
      <c r="X168" s="6">
        <f>INDEX('01_Benchmark_Input'!$F$2:$F$10,MATCH(B168,'01_Benchmark_Input'!$A$2:$A$10,0))</f>
        <v/>
      </c>
      <c r="Y168" s="7">
        <f>N168*R168+O168*S168+P168*T168+Q168*U168</f>
        <v/>
      </c>
      <c r="Z168" s="6">
        <f>'02_Inputs'!K168</f>
        <v/>
      </c>
      <c r="AA168" s="7">
        <f>Y168*Z168</f>
        <v/>
      </c>
      <c r="AB168" s="5">
        <f>L168*1000*AA168*86400</f>
        <v/>
      </c>
      <c r="AC168" s="5">
        <f>AB168*365</f>
        <v/>
      </c>
    </row>
    <row r="169">
      <c r="A169" s="5">
        <f>'02_Inputs'!A169</f>
        <v/>
      </c>
      <c r="B169" s="5">
        <f>'02_Inputs'!B169</f>
        <v/>
      </c>
      <c r="C169" s="5">
        <f>'02_Inputs'!C169</f>
        <v/>
      </c>
      <c r="D169" s="29">
        <f>'02_Inputs'!D169</f>
        <v/>
      </c>
      <c r="E169" s="6">
        <f>'02_Inputs'!E169</f>
        <v/>
      </c>
      <c r="F169" s="29">
        <f>D169*E169</f>
        <v/>
      </c>
      <c r="G169" s="5">
        <f>'02_Inputs'!F169</f>
        <v/>
      </c>
      <c r="H169" s="29">
        <f>F169/G169</f>
        <v/>
      </c>
      <c r="I169" s="6">
        <f>'02_Inputs'!G169</f>
        <v/>
      </c>
      <c r="J169" s="29">
        <f>H169*I169</f>
        <v/>
      </c>
      <c r="K169" s="6">
        <f>'02_Inputs'!H169</f>
        <v/>
      </c>
      <c r="L169" s="29">
        <f>J169*K169</f>
        <v/>
      </c>
      <c r="M169" s="29">
        <f>J169*(1-K169)</f>
        <v/>
      </c>
      <c r="N169" s="6">
        <f>'02_GPU_Mix_Input'!D169</f>
        <v/>
      </c>
      <c r="O169" s="6">
        <f>'02_GPU_Mix_Input'!E169</f>
        <v/>
      </c>
      <c r="P169" s="6">
        <f>'02_GPU_Mix_Input'!F169</f>
        <v/>
      </c>
      <c r="Q169" s="6">
        <f>'02_GPU_Mix_Input'!G169</f>
        <v/>
      </c>
      <c r="R169" s="7">
        <f>INDEX('01_Benchmark_Input'!$K$2:$K$10,MATCH(B169,'01_Benchmark_Input'!$A$2:$A$10,0))</f>
        <v/>
      </c>
      <c r="S169" s="7">
        <f>INDEX('01_Benchmark_Input'!$P$2:$P$10,MATCH(B169,'01_Benchmark_Input'!$A$2:$A$10,0))</f>
        <v/>
      </c>
      <c r="T169" s="7">
        <f>INDEX('01_Benchmark_Input'!$U$2:$U$10,MATCH(B169,'01_Benchmark_Input'!$A$2:$A$10,0))</f>
        <v/>
      </c>
      <c r="U169" s="7">
        <f>INDEX('01_Benchmark_Input'!$Z$2:$Z$10,MATCH(B169,'01_Benchmark_Input'!$A$2:$A$10,0))</f>
        <v/>
      </c>
      <c r="V169" s="6">
        <f>INDEX('01_Benchmark_Input'!$D$2:$D$10,MATCH(B169,'01_Benchmark_Input'!$A$2:$A$10,0))</f>
        <v/>
      </c>
      <c r="W169" s="6">
        <f>INDEX('01_Benchmark_Input'!$E$2:$E$10,MATCH(B169,'01_Benchmark_Input'!$A$2:$A$10,0))</f>
        <v/>
      </c>
      <c r="X169" s="6">
        <f>INDEX('01_Benchmark_Input'!$F$2:$F$10,MATCH(B169,'01_Benchmark_Input'!$A$2:$A$10,0))</f>
        <v/>
      </c>
      <c r="Y169" s="7">
        <f>N169*R169+O169*S169+P169*T169+Q169*U169</f>
        <v/>
      </c>
      <c r="Z169" s="6">
        <f>'02_Inputs'!K169</f>
        <v/>
      </c>
      <c r="AA169" s="7">
        <f>Y169*Z169</f>
        <v/>
      </c>
      <c r="AB169" s="5">
        <f>L169*1000*AA169*86400</f>
        <v/>
      </c>
      <c r="AC169" s="5">
        <f>AB169*365</f>
        <v/>
      </c>
    </row>
    <row r="170">
      <c r="A170" s="5">
        <f>'02_Inputs'!A170</f>
        <v/>
      </c>
      <c r="B170" s="5">
        <f>'02_Inputs'!B170</f>
        <v/>
      </c>
      <c r="C170" s="5">
        <f>'02_Inputs'!C170</f>
        <v/>
      </c>
      <c r="D170" s="29">
        <f>'02_Inputs'!D170</f>
        <v/>
      </c>
      <c r="E170" s="6">
        <f>'02_Inputs'!E170</f>
        <v/>
      </c>
      <c r="F170" s="29">
        <f>D170*E170</f>
        <v/>
      </c>
      <c r="G170" s="5">
        <f>'02_Inputs'!F170</f>
        <v/>
      </c>
      <c r="H170" s="29">
        <f>F170/G170</f>
        <v/>
      </c>
      <c r="I170" s="6">
        <f>'02_Inputs'!G170</f>
        <v/>
      </c>
      <c r="J170" s="29">
        <f>H170*I170</f>
        <v/>
      </c>
      <c r="K170" s="6">
        <f>'02_Inputs'!H170</f>
        <v/>
      </c>
      <c r="L170" s="29">
        <f>J170*K170</f>
        <v/>
      </c>
      <c r="M170" s="29">
        <f>J170*(1-K170)</f>
        <v/>
      </c>
      <c r="N170" s="6">
        <f>'02_GPU_Mix_Input'!D170</f>
        <v/>
      </c>
      <c r="O170" s="6">
        <f>'02_GPU_Mix_Input'!E170</f>
        <v/>
      </c>
      <c r="P170" s="6">
        <f>'02_GPU_Mix_Input'!F170</f>
        <v/>
      </c>
      <c r="Q170" s="6">
        <f>'02_GPU_Mix_Input'!G170</f>
        <v/>
      </c>
      <c r="R170" s="7">
        <f>INDEX('01_Benchmark_Input'!$K$2:$K$10,MATCH(B170,'01_Benchmark_Input'!$A$2:$A$10,0))</f>
        <v/>
      </c>
      <c r="S170" s="7">
        <f>INDEX('01_Benchmark_Input'!$P$2:$P$10,MATCH(B170,'01_Benchmark_Input'!$A$2:$A$10,0))</f>
        <v/>
      </c>
      <c r="T170" s="7">
        <f>INDEX('01_Benchmark_Input'!$U$2:$U$10,MATCH(B170,'01_Benchmark_Input'!$A$2:$A$10,0))</f>
        <v/>
      </c>
      <c r="U170" s="7">
        <f>INDEX('01_Benchmark_Input'!$Z$2:$Z$10,MATCH(B170,'01_Benchmark_Input'!$A$2:$A$10,0))</f>
        <v/>
      </c>
      <c r="V170" s="6">
        <f>INDEX('01_Benchmark_Input'!$D$2:$D$10,MATCH(B170,'01_Benchmark_Input'!$A$2:$A$10,0))</f>
        <v/>
      </c>
      <c r="W170" s="6">
        <f>INDEX('01_Benchmark_Input'!$E$2:$E$10,MATCH(B170,'01_Benchmark_Input'!$A$2:$A$10,0))</f>
        <v/>
      </c>
      <c r="X170" s="6">
        <f>INDEX('01_Benchmark_Input'!$F$2:$F$10,MATCH(B170,'01_Benchmark_Input'!$A$2:$A$10,0))</f>
        <v/>
      </c>
      <c r="Y170" s="7">
        <f>N170*R170+O170*S170+P170*T170+Q170*U170</f>
        <v/>
      </c>
      <c r="Z170" s="6">
        <f>'02_Inputs'!K170</f>
        <v/>
      </c>
      <c r="AA170" s="7">
        <f>Y170*Z170</f>
        <v/>
      </c>
      <c r="AB170" s="5">
        <f>L170*1000*AA170*86400</f>
        <v/>
      </c>
      <c r="AC170" s="5">
        <f>AB170*365</f>
        <v/>
      </c>
    </row>
    <row r="171">
      <c r="A171" s="5">
        <f>'02_Inputs'!A171</f>
        <v/>
      </c>
      <c r="B171" s="5">
        <f>'02_Inputs'!B171</f>
        <v/>
      </c>
      <c r="C171" s="5">
        <f>'02_Inputs'!C171</f>
        <v/>
      </c>
      <c r="D171" s="29">
        <f>'02_Inputs'!D171</f>
        <v/>
      </c>
      <c r="E171" s="6">
        <f>'02_Inputs'!E171</f>
        <v/>
      </c>
      <c r="F171" s="29">
        <f>D171*E171</f>
        <v/>
      </c>
      <c r="G171" s="5">
        <f>'02_Inputs'!F171</f>
        <v/>
      </c>
      <c r="H171" s="29">
        <f>F171/G171</f>
        <v/>
      </c>
      <c r="I171" s="6">
        <f>'02_Inputs'!G171</f>
        <v/>
      </c>
      <c r="J171" s="29">
        <f>H171*I171</f>
        <v/>
      </c>
      <c r="K171" s="6">
        <f>'02_Inputs'!H171</f>
        <v/>
      </c>
      <c r="L171" s="29">
        <f>J171*K171</f>
        <v/>
      </c>
      <c r="M171" s="29">
        <f>J171*(1-K171)</f>
        <v/>
      </c>
      <c r="N171" s="6">
        <f>'02_GPU_Mix_Input'!D171</f>
        <v/>
      </c>
      <c r="O171" s="6">
        <f>'02_GPU_Mix_Input'!E171</f>
        <v/>
      </c>
      <c r="P171" s="6">
        <f>'02_GPU_Mix_Input'!F171</f>
        <v/>
      </c>
      <c r="Q171" s="6">
        <f>'02_GPU_Mix_Input'!G171</f>
        <v/>
      </c>
      <c r="R171" s="7">
        <f>INDEX('01_Benchmark_Input'!$K$2:$K$10,MATCH(B171,'01_Benchmark_Input'!$A$2:$A$10,0))</f>
        <v/>
      </c>
      <c r="S171" s="7">
        <f>INDEX('01_Benchmark_Input'!$P$2:$P$10,MATCH(B171,'01_Benchmark_Input'!$A$2:$A$10,0))</f>
        <v/>
      </c>
      <c r="T171" s="7">
        <f>INDEX('01_Benchmark_Input'!$U$2:$U$10,MATCH(B171,'01_Benchmark_Input'!$A$2:$A$10,0))</f>
        <v/>
      </c>
      <c r="U171" s="7">
        <f>INDEX('01_Benchmark_Input'!$Z$2:$Z$10,MATCH(B171,'01_Benchmark_Input'!$A$2:$A$10,0))</f>
        <v/>
      </c>
      <c r="V171" s="6">
        <f>INDEX('01_Benchmark_Input'!$D$2:$D$10,MATCH(B171,'01_Benchmark_Input'!$A$2:$A$10,0))</f>
        <v/>
      </c>
      <c r="W171" s="6">
        <f>INDEX('01_Benchmark_Input'!$E$2:$E$10,MATCH(B171,'01_Benchmark_Input'!$A$2:$A$10,0))</f>
        <v/>
      </c>
      <c r="X171" s="6">
        <f>INDEX('01_Benchmark_Input'!$F$2:$F$10,MATCH(B171,'01_Benchmark_Input'!$A$2:$A$10,0))</f>
        <v/>
      </c>
      <c r="Y171" s="7">
        <f>N171*R171+O171*S171+P171*T171+Q171*U171</f>
        <v/>
      </c>
      <c r="Z171" s="6">
        <f>'02_Inputs'!K171</f>
        <v/>
      </c>
      <c r="AA171" s="7">
        <f>Y171*Z171</f>
        <v/>
      </c>
      <c r="AB171" s="5">
        <f>L171*1000*AA171*86400</f>
        <v/>
      </c>
      <c r="AC171" s="5">
        <f>AB171*365</f>
        <v/>
      </c>
    </row>
    <row r="172">
      <c r="A172" s="5">
        <f>'02_Inputs'!A172</f>
        <v/>
      </c>
      <c r="B172" s="5">
        <f>'02_Inputs'!B172</f>
        <v/>
      </c>
      <c r="C172" s="5">
        <f>'02_Inputs'!C172</f>
        <v/>
      </c>
      <c r="D172" s="29">
        <f>'02_Inputs'!D172</f>
        <v/>
      </c>
      <c r="E172" s="6">
        <f>'02_Inputs'!E172</f>
        <v/>
      </c>
      <c r="F172" s="29">
        <f>D172*E172</f>
        <v/>
      </c>
      <c r="G172" s="5">
        <f>'02_Inputs'!F172</f>
        <v/>
      </c>
      <c r="H172" s="29">
        <f>F172/G172</f>
        <v/>
      </c>
      <c r="I172" s="6">
        <f>'02_Inputs'!G172</f>
        <v/>
      </c>
      <c r="J172" s="29">
        <f>H172*I172</f>
        <v/>
      </c>
      <c r="K172" s="6">
        <f>'02_Inputs'!H172</f>
        <v/>
      </c>
      <c r="L172" s="29">
        <f>J172*K172</f>
        <v/>
      </c>
      <c r="M172" s="29">
        <f>J172*(1-K172)</f>
        <v/>
      </c>
      <c r="N172" s="6">
        <f>'02_GPU_Mix_Input'!D172</f>
        <v/>
      </c>
      <c r="O172" s="6">
        <f>'02_GPU_Mix_Input'!E172</f>
        <v/>
      </c>
      <c r="P172" s="6">
        <f>'02_GPU_Mix_Input'!F172</f>
        <v/>
      </c>
      <c r="Q172" s="6">
        <f>'02_GPU_Mix_Input'!G172</f>
        <v/>
      </c>
      <c r="R172" s="7">
        <f>INDEX('01_Benchmark_Input'!$K$2:$K$10,MATCH(B172,'01_Benchmark_Input'!$A$2:$A$10,0))</f>
        <v/>
      </c>
      <c r="S172" s="7">
        <f>INDEX('01_Benchmark_Input'!$P$2:$P$10,MATCH(B172,'01_Benchmark_Input'!$A$2:$A$10,0))</f>
        <v/>
      </c>
      <c r="T172" s="7">
        <f>INDEX('01_Benchmark_Input'!$U$2:$U$10,MATCH(B172,'01_Benchmark_Input'!$A$2:$A$10,0))</f>
        <v/>
      </c>
      <c r="U172" s="7">
        <f>INDEX('01_Benchmark_Input'!$Z$2:$Z$10,MATCH(B172,'01_Benchmark_Input'!$A$2:$A$10,0))</f>
        <v/>
      </c>
      <c r="V172" s="6">
        <f>INDEX('01_Benchmark_Input'!$D$2:$D$10,MATCH(B172,'01_Benchmark_Input'!$A$2:$A$10,0))</f>
        <v/>
      </c>
      <c r="W172" s="6">
        <f>INDEX('01_Benchmark_Input'!$E$2:$E$10,MATCH(B172,'01_Benchmark_Input'!$A$2:$A$10,0))</f>
        <v/>
      </c>
      <c r="X172" s="6">
        <f>INDEX('01_Benchmark_Input'!$F$2:$F$10,MATCH(B172,'01_Benchmark_Input'!$A$2:$A$10,0))</f>
        <v/>
      </c>
      <c r="Y172" s="7">
        <f>N172*R172+O172*S172+P172*T172+Q172*U172</f>
        <v/>
      </c>
      <c r="Z172" s="6">
        <f>'02_Inputs'!K172</f>
        <v/>
      </c>
      <c r="AA172" s="7">
        <f>Y172*Z172</f>
        <v/>
      </c>
      <c r="AB172" s="5">
        <f>L172*1000*AA172*86400</f>
        <v/>
      </c>
      <c r="AC172" s="5">
        <f>AB172*365</f>
        <v/>
      </c>
    </row>
    <row r="173">
      <c r="A173" s="5">
        <f>'02_Inputs'!A173</f>
        <v/>
      </c>
      <c r="B173" s="5">
        <f>'02_Inputs'!B173</f>
        <v/>
      </c>
      <c r="C173" s="5">
        <f>'02_Inputs'!C173</f>
        <v/>
      </c>
      <c r="D173" s="29">
        <f>'02_Inputs'!D173</f>
        <v/>
      </c>
      <c r="E173" s="6">
        <f>'02_Inputs'!E173</f>
        <v/>
      </c>
      <c r="F173" s="29">
        <f>D173*E173</f>
        <v/>
      </c>
      <c r="G173" s="5">
        <f>'02_Inputs'!F173</f>
        <v/>
      </c>
      <c r="H173" s="29">
        <f>F173/G173</f>
        <v/>
      </c>
      <c r="I173" s="6">
        <f>'02_Inputs'!G173</f>
        <v/>
      </c>
      <c r="J173" s="29">
        <f>H173*I173</f>
        <v/>
      </c>
      <c r="K173" s="6">
        <f>'02_Inputs'!H173</f>
        <v/>
      </c>
      <c r="L173" s="29">
        <f>J173*K173</f>
        <v/>
      </c>
      <c r="M173" s="29">
        <f>J173*(1-K173)</f>
        <v/>
      </c>
      <c r="N173" s="6">
        <f>'02_GPU_Mix_Input'!D173</f>
        <v/>
      </c>
      <c r="O173" s="6">
        <f>'02_GPU_Mix_Input'!E173</f>
        <v/>
      </c>
      <c r="P173" s="6">
        <f>'02_GPU_Mix_Input'!F173</f>
        <v/>
      </c>
      <c r="Q173" s="6">
        <f>'02_GPU_Mix_Input'!G173</f>
        <v/>
      </c>
      <c r="R173" s="7">
        <f>INDEX('01_Benchmark_Input'!$K$2:$K$10,MATCH(B173,'01_Benchmark_Input'!$A$2:$A$10,0))</f>
        <v/>
      </c>
      <c r="S173" s="7">
        <f>INDEX('01_Benchmark_Input'!$P$2:$P$10,MATCH(B173,'01_Benchmark_Input'!$A$2:$A$10,0))</f>
        <v/>
      </c>
      <c r="T173" s="7">
        <f>INDEX('01_Benchmark_Input'!$U$2:$U$10,MATCH(B173,'01_Benchmark_Input'!$A$2:$A$10,0))</f>
        <v/>
      </c>
      <c r="U173" s="7">
        <f>INDEX('01_Benchmark_Input'!$Z$2:$Z$10,MATCH(B173,'01_Benchmark_Input'!$A$2:$A$10,0))</f>
        <v/>
      </c>
      <c r="V173" s="6">
        <f>INDEX('01_Benchmark_Input'!$D$2:$D$10,MATCH(B173,'01_Benchmark_Input'!$A$2:$A$10,0))</f>
        <v/>
      </c>
      <c r="W173" s="6">
        <f>INDEX('01_Benchmark_Input'!$E$2:$E$10,MATCH(B173,'01_Benchmark_Input'!$A$2:$A$10,0))</f>
        <v/>
      </c>
      <c r="X173" s="6">
        <f>INDEX('01_Benchmark_Input'!$F$2:$F$10,MATCH(B173,'01_Benchmark_Input'!$A$2:$A$10,0))</f>
        <v/>
      </c>
      <c r="Y173" s="7">
        <f>N173*R173+O173*S173+P173*T173+Q173*U173</f>
        <v/>
      </c>
      <c r="Z173" s="6">
        <f>'02_Inputs'!K173</f>
        <v/>
      </c>
      <c r="AA173" s="7">
        <f>Y173*Z173</f>
        <v/>
      </c>
      <c r="AB173" s="5">
        <f>L173*1000*AA173*86400</f>
        <v/>
      </c>
      <c r="AC173" s="5">
        <f>AB173*365</f>
        <v/>
      </c>
    </row>
    <row r="174">
      <c r="A174" s="5">
        <f>'02_Inputs'!A174</f>
        <v/>
      </c>
      <c r="B174" s="5">
        <f>'02_Inputs'!B174</f>
        <v/>
      </c>
      <c r="C174" s="5">
        <f>'02_Inputs'!C174</f>
        <v/>
      </c>
      <c r="D174" s="29">
        <f>'02_Inputs'!D174</f>
        <v/>
      </c>
      <c r="E174" s="6">
        <f>'02_Inputs'!E174</f>
        <v/>
      </c>
      <c r="F174" s="29">
        <f>D174*E174</f>
        <v/>
      </c>
      <c r="G174" s="5">
        <f>'02_Inputs'!F174</f>
        <v/>
      </c>
      <c r="H174" s="29">
        <f>F174/G174</f>
        <v/>
      </c>
      <c r="I174" s="6">
        <f>'02_Inputs'!G174</f>
        <v/>
      </c>
      <c r="J174" s="29">
        <f>H174*I174</f>
        <v/>
      </c>
      <c r="K174" s="6">
        <f>'02_Inputs'!H174</f>
        <v/>
      </c>
      <c r="L174" s="29">
        <f>J174*K174</f>
        <v/>
      </c>
      <c r="M174" s="29">
        <f>J174*(1-K174)</f>
        <v/>
      </c>
      <c r="N174" s="6">
        <f>'02_GPU_Mix_Input'!D174</f>
        <v/>
      </c>
      <c r="O174" s="6">
        <f>'02_GPU_Mix_Input'!E174</f>
        <v/>
      </c>
      <c r="P174" s="6">
        <f>'02_GPU_Mix_Input'!F174</f>
        <v/>
      </c>
      <c r="Q174" s="6">
        <f>'02_GPU_Mix_Input'!G174</f>
        <v/>
      </c>
      <c r="R174" s="7">
        <f>INDEX('01_Benchmark_Input'!$K$2:$K$10,MATCH(B174,'01_Benchmark_Input'!$A$2:$A$10,0))</f>
        <v/>
      </c>
      <c r="S174" s="7">
        <f>INDEX('01_Benchmark_Input'!$P$2:$P$10,MATCH(B174,'01_Benchmark_Input'!$A$2:$A$10,0))</f>
        <v/>
      </c>
      <c r="T174" s="7">
        <f>INDEX('01_Benchmark_Input'!$U$2:$U$10,MATCH(B174,'01_Benchmark_Input'!$A$2:$A$10,0))</f>
        <v/>
      </c>
      <c r="U174" s="7">
        <f>INDEX('01_Benchmark_Input'!$Z$2:$Z$10,MATCH(B174,'01_Benchmark_Input'!$A$2:$A$10,0))</f>
        <v/>
      </c>
      <c r="V174" s="6">
        <f>INDEX('01_Benchmark_Input'!$D$2:$D$10,MATCH(B174,'01_Benchmark_Input'!$A$2:$A$10,0))</f>
        <v/>
      </c>
      <c r="W174" s="6">
        <f>INDEX('01_Benchmark_Input'!$E$2:$E$10,MATCH(B174,'01_Benchmark_Input'!$A$2:$A$10,0))</f>
        <v/>
      </c>
      <c r="X174" s="6">
        <f>INDEX('01_Benchmark_Input'!$F$2:$F$10,MATCH(B174,'01_Benchmark_Input'!$A$2:$A$10,0))</f>
        <v/>
      </c>
      <c r="Y174" s="7">
        <f>N174*R174+O174*S174+P174*T174+Q174*U174</f>
        <v/>
      </c>
      <c r="Z174" s="6">
        <f>'02_Inputs'!K174</f>
        <v/>
      </c>
      <c r="AA174" s="7">
        <f>Y174*Z174</f>
        <v/>
      </c>
      <c r="AB174" s="5">
        <f>L174*1000*AA174*86400</f>
        <v/>
      </c>
      <c r="AC174" s="5">
        <f>AB174*365</f>
        <v/>
      </c>
    </row>
    <row r="175">
      <c r="A175" s="5">
        <f>'02_Inputs'!A175</f>
        <v/>
      </c>
      <c r="B175" s="5">
        <f>'02_Inputs'!B175</f>
        <v/>
      </c>
      <c r="C175" s="5">
        <f>'02_Inputs'!C175</f>
        <v/>
      </c>
      <c r="D175" s="29">
        <f>'02_Inputs'!D175</f>
        <v/>
      </c>
      <c r="E175" s="6">
        <f>'02_Inputs'!E175</f>
        <v/>
      </c>
      <c r="F175" s="29">
        <f>D175*E175</f>
        <v/>
      </c>
      <c r="G175" s="5">
        <f>'02_Inputs'!F175</f>
        <v/>
      </c>
      <c r="H175" s="29">
        <f>F175/G175</f>
        <v/>
      </c>
      <c r="I175" s="6">
        <f>'02_Inputs'!G175</f>
        <v/>
      </c>
      <c r="J175" s="29">
        <f>H175*I175</f>
        <v/>
      </c>
      <c r="K175" s="6">
        <f>'02_Inputs'!H175</f>
        <v/>
      </c>
      <c r="L175" s="29">
        <f>J175*K175</f>
        <v/>
      </c>
      <c r="M175" s="29">
        <f>J175*(1-K175)</f>
        <v/>
      </c>
      <c r="N175" s="6">
        <f>'02_GPU_Mix_Input'!D175</f>
        <v/>
      </c>
      <c r="O175" s="6">
        <f>'02_GPU_Mix_Input'!E175</f>
        <v/>
      </c>
      <c r="P175" s="6">
        <f>'02_GPU_Mix_Input'!F175</f>
        <v/>
      </c>
      <c r="Q175" s="6">
        <f>'02_GPU_Mix_Input'!G175</f>
        <v/>
      </c>
      <c r="R175" s="7">
        <f>INDEX('01_Benchmark_Input'!$K$2:$K$10,MATCH(B175,'01_Benchmark_Input'!$A$2:$A$10,0))</f>
        <v/>
      </c>
      <c r="S175" s="7">
        <f>INDEX('01_Benchmark_Input'!$P$2:$P$10,MATCH(B175,'01_Benchmark_Input'!$A$2:$A$10,0))</f>
        <v/>
      </c>
      <c r="T175" s="7">
        <f>INDEX('01_Benchmark_Input'!$U$2:$U$10,MATCH(B175,'01_Benchmark_Input'!$A$2:$A$10,0))</f>
        <v/>
      </c>
      <c r="U175" s="7">
        <f>INDEX('01_Benchmark_Input'!$Z$2:$Z$10,MATCH(B175,'01_Benchmark_Input'!$A$2:$A$10,0))</f>
        <v/>
      </c>
      <c r="V175" s="6">
        <f>INDEX('01_Benchmark_Input'!$D$2:$D$10,MATCH(B175,'01_Benchmark_Input'!$A$2:$A$10,0))</f>
        <v/>
      </c>
      <c r="W175" s="6">
        <f>INDEX('01_Benchmark_Input'!$E$2:$E$10,MATCH(B175,'01_Benchmark_Input'!$A$2:$A$10,0))</f>
        <v/>
      </c>
      <c r="X175" s="6">
        <f>INDEX('01_Benchmark_Input'!$F$2:$F$10,MATCH(B175,'01_Benchmark_Input'!$A$2:$A$10,0))</f>
        <v/>
      </c>
      <c r="Y175" s="7">
        <f>N175*R175+O175*S175+P175*T175+Q175*U175</f>
        <v/>
      </c>
      <c r="Z175" s="6">
        <f>'02_Inputs'!K175</f>
        <v/>
      </c>
      <c r="AA175" s="7">
        <f>Y175*Z175</f>
        <v/>
      </c>
      <c r="AB175" s="5">
        <f>L175*1000*AA175*86400</f>
        <v/>
      </c>
      <c r="AC175" s="5">
        <f>AB175*365</f>
        <v/>
      </c>
    </row>
    <row r="176">
      <c r="A176" s="5">
        <f>'02_Inputs'!A176</f>
        <v/>
      </c>
      <c r="B176" s="5">
        <f>'02_Inputs'!B176</f>
        <v/>
      </c>
      <c r="C176" s="5">
        <f>'02_Inputs'!C176</f>
        <v/>
      </c>
      <c r="D176" s="29">
        <f>'02_Inputs'!D176</f>
        <v/>
      </c>
      <c r="E176" s="6">
        <f>'02_Inputs'!E176</f>
        <v/>
      </c>
      <c r="F176" s="29">
        <f>D176*E176</f>
        <v/>
      </c>
      <c r="G176" s="5">
        <f>'02_Inputs'!F176</f>
        <v/>
      </c>
      <c r="H176" s="29">
        <f>F176/G176</f>
        <v/>
      </c>
      <c r="I176" s="6">
        <f>'02_Inputs'!G176</f>
        <v/>
      </c>
      <c r="J176" s="29">
        <f>H176*I176</f>
        <v/>
      </c>
      <c r="K176" s="6">
        <f>'02_Inputs'!H176</f>
        <v/>
      </c>
      <c r="L176" s="29">
        <f>J176*K176</f>
        <v/>
      </c>
      <c r="M176" s="29">
        <f>J176*(1-K176)</f>
        <v/>
      </c>
      <c r="N176" s="6">
        <f>'02_GPU_Mix_Input'!D176</f>
        <v/>
      </c>
      <c r="O176" s="6">
        <f>'02_GPU_Mix_Input'!E176</f>
        <v/>
      </c>
      <c r="P176" s="6">
        <f>'02_GPU_Mix_Input'!F176</f>
        <v/>
      </c>
      <c r="Q176" s="6">
        <f>'02_GPU_Mix_Input'!G176</f>
        <v/>
      </c>
      <c r="R176" s="7">
        <f>INDEX('01_Benchmark_Input'!$K$2:$K$10,MATCH(B176,'01_Benchmark_Input'!$A$2:$A$10,0))</f>
        <v/>
      </c>
      <c r="S176" s="7">
        <f>INDEX('01_Benchmark_Input'!$P$2:$P$10,MATCH(B176,'01_Benchmark_Input'!$A$2:$A$10,0))</f>
        <v/>
      </c>
      <c r="T176" s="7">
        <f>INDEX('01_Benchmark_Input'!$U$2:$U$10,MATCH(B176,'01_Benchmark_Input'!$A$2:$A$10,0))</f>
        <v/>
      </c>
      <c r="U176" s="7">
        <f>INDEX('01_Benchmark_Input'!$Z$2:$Z$10,MATCH(B176,'01_Benchmark_Input'!$A$2:$A$10,0))</f>
        <v/>
      </c>
      <c r="V176" s="6">
        <f>INDEX('01_Benchmark_Input'!$D$2:$D$10,MATCH(B176,'01_Benchmark_Input'!$A$2:$A$10,0))</f>
        <v/>
      </c>
      <c r="W176" s="6">
        <f>INDEX('01_Benchmark_Input'!$E$2:$E$10,MATCH(B176,'01_Benchmark_Input'!$A$2:$A$10,0))</f>
        <v/>
      </c>
      <c r="X176" s="6">
        <f>INDEX('01_Benchmark_Input'!$F$2:$F$10,MATCH(B176,'01_Benchmark_Input'!$A$2:$A$10,0))</f>
        <v/>
      </c>
      <c r="Y176" s="7">
        <f>N176*R176+O176*S176+P176*T176+Q176*U176</f>
        <v/>
      </c>
      <c r="Z176" s="6">
        <f>'02_Inputs'!K176</f>
        <v/>
      </c>
      <c r="AA176" s="7">
        <f>Y176*Z176</f>
        <v/>
      </c>
      <c r="AB176" s="5">
        <f>L176*1000*AA176*86400</f>
        <v/>
      </c>
      <c r="AC176" s="5">
        <f>AB176*365</f>
        <v/>
      </c>
    </row>
    <row r="177">
      <c r="A177" s="5">
        <f>'02_Inputs'!A177</f>
        <v/>
      </c>
      <c r="B177" s="5">
        <f>'02_Inputs'!B177</f>
        <v/>
      </c>
      <c r="C177" s="5">
        <f>'02_Inputs'!C177</f>
        <v/>
      </c>
      <c r="D177" s="29">
        <f>'02_Inputs'!D177</f>
        <v/>
      </c>
      <c r="E177" s="6">
        <f>'02_Inputs'!E177</f>
        <v/>
      </c>
      <c r="F177" s="29">
        <f>D177*E177</f>
        <v/>
      </c>
      <c r="G177" s="5">
        <f>'02_Inputs'!F177</f>
        <v/>
      </c>
      <c r="H177" s="29">
        <f>F177/G177</f>
        <v/>
      </c>
      <c r="I177" s="6">
        <f>'02_Inputs'!G177</f>
        <v/>
      </c>
      <c r="J177" s="29">
        <f>H177*I177</f>
        <v/>
      </c>
      <c r="K177" s="6">
        <f>'02_Inputs'!H177</f>
        <v/>
      </c>
      <c r="L177" s="29">
        <f>J177*K177</f>
        <v/>
      </c>
      <c r="M177" s="29">
        <f>J177*(1-K177)</f>
        <v/>
      </c>
      <c r="N177" s="6">
        <f>'02_GPU_Mix_Input'!D177</f>
        <v/>
      </c>
      <c r="O177" s="6">
        <f>'02_GPU_Mix_Input'!E177</f>
        <v/>
      </c>
      <c r="P177" s="6">
        <f>'02_GPU_Mix_Input'!F177</f>
        <v/>
      </c>
      <c r="Q177" s="6">
        <f>'02_GPU_Mix_Input'!G177</f>
        <v/>
      </c>
      <c r="R177" s="7">
        <f>INDEX('01_Benchmark_Input'!$K$2:$K$10,MATCH(B177,'01_Benchmark_Input'!$A$2:$A$10,0))</f>
        <v/>
      </c>
      <c r="S177" s="7">
        <f>INDEX('01_Benchmark_Input'!$P$2:$P$10,MATCH(B177,'01_Benchmark_Input'!$A$2:$A$10,0))</f>
        <v/>
      </c>
      <c r="T177" s="7">
        <f>INDEX('01_Benchmark_Input'!$U$2:$U$10,MATCH(B177,'01_Benchmark_Input'!$A$2:$A$10,0))</f>
        <v/>
      </c>
      <c r="U177" s="7">
        <f>INDEX('01_Benchmark_Input'!$Z$2:$Z$10,MATCH(B177,'01_Benchmark_Input'!$A$2:$A$10,0))</f>
        <v/>
      </c>
      <c r="V177" s="6">
        <f>INDEX('01_Benchmark_Input'!$D$2:$D$10,MATCH(B177,'01_Benchmark_Input'!$A$2:$A$10,0))</f>
        <v/>
      </c>
      <c r="W177" s="6">
        <f>INDEX('01_Benchmark_Input'!$E$2:$E$10,MATCH(B177,'01_Benchmark_Input'!$A$2:$A$10,0))</f>
        <v/>
      </c>
      <c r="X177" s="6">
        <f>INDEX('01_Benchmark_Input'!$F$2:$F$10,MATCH(B177,'01_Benchmark_Input'!$A$2:$A$10,0))</f>
        <v/>
      </c>
      <c r="Y177" s="7">
        <f>N177*R177+O177*S177+P177*T177+Q177*U177</f>
        <v/>
      </c>
      <c r="Z177" s="6">
        <f>'02_Inputs'!K177</f>
        <v/>
      </c>
      <c r="AA177" s="7">
        <f>Y177*Z177</f>
        <v/>
      </c>
      <c r="AB177" s="5">
        <f>L177*1000*AA177*86400</f>
        <v/>
      </c>
      <c r="AC177" s="5">
        <f>AB177*365</f>
        <v/>
      </c>
    </row>
    <row r="178">
      <c r="A178" s="5">
        <f>'02_Inputs'!A178</f>
        <v/>
      </c>
      <c r="B178" s="5">
        <f>'02_Inputs'!B178</f>
        <v/>
      </c>
      <c r="C178" s="5">
        <f>'02_Inputs'!C178</f>
        <v/>
      </c>
      <c r="D178" s="29">
        <f>'02_Inputs'!D178</f>
        <v/>
      </c>
      <c r="E178" s="6">
        <f>'02_Inputs'!E178</f>
        <v/>
      </c>
      <c r="F178" s="29">
        <f>D178*E178</f>
        <v/>
      </c>
      <c r="G178" s="5">
        <f>'02_Inputs'!F178</f>
        <v/>
      </c>
      <c r="H178" s="29">
        <f>F178/G178</f>
        <v/>
      </c>
      <c r="I178" s="6">
        <f>'02_Inputs'!G178</f>
        <v/>
      </c>
      <c r="J178" s="29">
        <f>H178*I178</f>
        <v/>
      </c>
      <c r="K178" s="6">
        <f>'02_Inputs'!H178</f>
        <v/>
      </c>
      <c r="L178" s="29">
        <f>J178*K178</f>
        <v/>
      </c>
      <c r="M178" s="29">
        <f>J178*(1-K178)</f>
        <v/>
      </c>
      <c r="N178" s="6">
        <f>'02_GPU_Mix_Input'!D178</f>
        <v/>
      </c>
      <c r="O178" s="6">
        <f>'02_GPU_Mix_Input'!E178</f>
        <v/>
      </c>
      <c r="P178" s="6">
        <f>'02_GPU_Mix_Input'!F178</f>
        <v/>
      </c>
      <c r="Q178" s="6">
        <f>'02_GPU_Mix_Input'!G178</f>
        <v/>
      </c>
      <c r="R178" s="7">
        <f>INDEX('01_Benchmark_Input'!$K$2:$K$10,MATCH(B178,'01_Benchmark_Input'!$A$2:$A$10,0))</f>
        <v/>
      </c>
      <c r="S178" s="7">
        <f>INDEX('01_Benchmark_Input'!$P$2:$P$10,MATCH(B178,'01_Benchmark_Input'!$A$2:$A$10,0))</f>
        <v/>
      </c>
      <c r="T178" s="7">
        <f>INDEX('01_Benchmark_Input'!$U$2:$U$10,MATCH(B178,'01_Benchmark_Input'!$A$2:$A$10,0))</f>
        <v/>
      </c>
      <c r="U178" s="7">
        <f>INDEX('01_Benchmark_Input'!$Z$2:$Z$10,MATCH(B178,'01_Benchmark_Input'!$A$2:$A$10,0))</f>
        <v/>
      </c>
      <c r="V178" s="6">
        <f>INDEX('01_Benchmark_Input'!$D$2:$D$10,MATCH(B178,'01_Benchmark_Input'!$A$2:$A$10,0))</f>
        <v/>
      </c>
      <c r="W178" s="6">
        <f>INDEX('01_Benchmark_Input'!$E$2:$E$10,MATCH(B178,'01_Benchmark_Input'!$A$2:$A$10,0))</f>
        <v/>
      </c>
      <c r="X178" s="6">
        <f>INDEX('01_Benchmark_Input'!$F$2:$F$10,MATCH(B178,'01_Benchmark_Input'!$A$2:$A$10,0))</f>
        <v/>
      </c>
      <c r="Y178" s="7">
        <f>N178*R178+O178*S178+P178*T178+Q178*U178</f>
        <v/>
      </c>
      <c r="Z178" s="6">
        <f>'02_Inputs'!K178</f>
        <v/>
      </c>
      <c r="AA178" s="7">
        <f>Y178*Z178</f>
        <v/>
      </c>
      <c r="AB178" s="5">
        <f>L178*1000*AA178*86400</f>
        <v/>
      </c>
      <c r="AC178" s="5">
        <f>AB178*365</f>
        <v/>
      </c>
    </row>
    <row r="179">
      <c r="A179" s="5">
        <f>'02_Inputs'!A179</f>
        <v/>
      </c>
      <c r="B179" s="5">
        <f>'02_Inputs'!B179</f>
        <v/>
      </c>
      <c r="C179" s="5">
        <f>'02_Inputs'!C179</f>
        <v/>
      </c>
      <c r="D179" s="29">
        <f>'02_Inputs'!D179</f>
        <v/>
      </c>
      <c r="E179" s="6">
        <f>'02_Inputs'!E179</f>
        <v/>
      </c>
      <c r="F179" s="29">
        <f>D179*E179</f>
        <v/>
      </c>
      <c r="G179" s="5">
        <f>'02_Inputs'!F179</f>
        <v/>
      </c>
      <c r="H179" s="29">
        <f>F179/G179</f>
        <v/>
      </c>
      <c r="I179" s="6">
        <f>'02_Inputs'!G179</f>
        <v/>
      </c>
      <c r="J179" s="29">
        <f>H179*I179</f>
        <v/>
      </c>
      <c r="K179" s="6">
        <f>'02_Inputs'!H179</f>
        <v/>
      </c>
      <c r="L179" s="29">
        <f>J179*K179</f>
        <v/>
      </c>
      <c r="M179" s="29">
        <f>J179*(1-K179)</f>
        <v/>
      </c>
      <c r="N179" s="6">
        <f>'02_GPU_Mix_Input'!D179</f>
        <v/>
      </c>
      <c r="O179" s="6">
        <f>'02_GPU_Mix_Input'!E179</f>
        <v/>
      </c>
      <c r="P179" s="6">
        <f>'02_GPU_Mix_Input'!F179</f>
        <v/>
      </c>
      <c r="Q179" s="6">
        <f>'02_GPU_Mix_Input'!G179</f>
        <v/>
      </c>
      <c r="R179" s="7">
        <f>INDEX('01_Benchmark_Input'!$K$2:$K$10,MATCH(B179,'01_Benchmark_Input'!$A$2:$A$10,0))</f>
        <v/>
      </c>
      <c r="S179" s="7">
        <f>INDEX('01_Benchmark_Input'!$P$2:$P$10,MATCH(B179,'01_Benchmark_Input'!$A$2:$A$10,0))</f>
        <v/>
      </c>
      <c r="T179" s="7">
        <f>INDEX('01_Benchmark_Input'!$U$2:$U$10,MATCH(B179,'01_Benchmark_Input'!$A$2:$A$10,0))</f>
        <v/>
      </c>
      <c r="U179" s="7">
        <f>INDEX('01_Benchmark_Input'!$Z$2:$Z$10,MATCH(B179,'01_Benchmark_Input'!$A$2:$A$10,0))</f>
        <v/>
      </c>
      <c r="V179" s="6">
        <f>INDEX('01_Benchmark_Input'!$D$2:$D$10,MATCH(B179,'01_Benchmark_Input'!$A$2:$A$10,0))</f>
        <v/>
      </c>
      <c r="W179" s="6">
        <f>INDEX('01_Benchmark_Input'!$E$2:$E$10,MATCH(B179,'01_Benchmark_Input'!$A$2:$A$10,0))</f>
        <v/>
      </c>
      <c r="X179" s="6">
        <f>INDEX('01_Benchmark_Input'!$F$2:$F$10,MATCH(B179,'01_Benchmark_Input'!$A$2:$A$10,0))</f>
        <v/>
      </c>
      <c r="Y179" s="7">
        <f>N179*R179+O179*S179+P179*T179+Q179*U179</f>
        <v/>
      </c>
      <c r="Z179" s="6">
        <f>'02_Inputs'!K179</f>
        <v/>
      </c>
      <c r="AA179" s="7">
        <f>Y179*Z179</f>
        <v/>
      </c>
      <c r="AB179" s="5">
        <f>L179*1000*AA179*86400</f>
        <v/>
      </c>
      <c r="AC179" s="5">
        <f>AB179*365</f>
        <v/>
      </c>
    </row>
    <row r="180">
      <c r="A180" s="5">
        <f>'02_Inputs'!A180</f>
        <v/>
      </c>
      <c r="B180" s="5">
        <f>'02_Inputs'!B180</f>
        <v/>
      </c>
      <c r="C180" s="5">
        <f>'02_Inputs'!C180</f>
        <v/>
      </c>
      <c r="D180" s="29">
        <f>'02_Inputs'!D180</f>
        <v/>
      </c>
      <c r="E180" s="6">
        <f>'02_Inputs'!E180</f>
        <v/>
      </c>
      <c r="F180" s="29">
        <f>D180*E180</f>
        <v/>
      </c>
      <c r="G180" s="5">
        <f>'02_Inputs'!F180</f>
        <v/>
      </c>
      <c r="H180" s="29">
        <f>F180/G180</f>
        <v/>
      </c>
      <c r="I180" s="6">
        <f>'02_Inputs'!G180</f>
        <v/>
      </c>
      <c r="J180" s="29">
        <f>H180*I180</f>
        <v/>
      </c>
      <c r="K180" s="6">
        <f>'02_Inputs'!H180</f>
        <v/>
      </c>
      <c r="L180" s="29">
        <f>J180*K180</f>
        <v/>
      </c>
      <c r="M180" s="29">
        <f>J180*(1-K180)</f>
        <v/>
      </c>
      <c r="N180" s="6">
        <f>'02_GPU_Mix_Input'!D180</f>
        <v/>
      </c>
      <c r="O180" s="6">
        <f>'02_GPU_Mix_Input'!E180</f>
        <v/>
      </c>
      <c r="P180" s="6">
        <f>'02_GPU_Mix_Input'!F180</f>
        <v/>
      </c>
      <c r="Q180" s="6">
        <f>'02_GPU_Mix_Input'!G180</f>
        <v/>
      </c>
      <c r="R180" s="7">
        <f>INDEX('01_Benchmark_Input'!$K$2:$K$10,MATCH(B180,'01_Benchmark_Input'!$A$2:$A$10,0))</f>
        <v/>
      </c>
      <c r="S180" s="7">
        <f>INDEX('01_Benchmark_Input'!$P$2:$P$10,MATCH(B180,'01_Benchmark_Input'!$A$2:$A$10,0))</f>
        <v/>
      </c>
      <c r="T180" s="7">
        <f>INDEX('01_Benchmark_Input'!$U$2:$U$10,MATCH(B180,'01_Benchmark_Input'!$A$2:$A$10,0))</f>
        <v/>
      </c>
      <c r="U180" s="7">
        <f>INDEX('01_Benchmark_Input'!$Z$2:$Z$10,MATCH(B180,'01_Benchmark_Input'!$A$2:$A$10,0))</f>
        <v/>
      </c>
      <c r="V180" s="6">
        <f>INDEX('01_Benchmark_Input'!$D$2:$D$10,MATCH(B180,'01_Benchmark_Input'!$A$2:$A$10,0))</f>
        <v/>
      </c>
      <c r="W180" s="6">
        <f>INDEX('01_Benchmark_Input'!$E$2:$E$10,MATCH(B180,'01_Benchmark_Input'!$A$2:$A$10,0))</f>
        <v/>
      </c>
      <c r="X180" s="6">
        <f>INDEX('01_Benchmark_Input'!$F$2:$F$10,MATCH(B180,'01_Benchmark_Input'!$A$2:$A$10,0))</f>
        <v/>
      </c>
      <c r="Y180" s="7">
        <f>N180*R180+O180*S180+P180*T180+Q180*U180</f>
        <v/>
      </c>
      <c r="Z180" s="6">
        <f>'02_Inputs'!K180</f>
        <v/>
      </c>
      <c r="AA180" s="7">
        <f>Y180*Z180</f>
        <v/>
      </c>
      <c r="AB180" s="5">
        <f>L180*1000*AA180*86400</f>
        <v/>
      </c>
      <c r="AC180" s="5">
        <f>AB180*365</f>
        <v/>
      </c>
    </row>
    <row r="181">
      <c r="A181" s="5">
        <f>'02_Inputs'!A181</f>
        <v/>
      </c>
      <c r="B181" s="5">
        <f>'02_Inputs'!B181</f>
        <v/>
      </c>
      <c r="C181" s="5">
        <f>'02_Inputs'!C181</f>
        <v/>
      </c>
      <c r="D181" s="29">
        <f>'02_Inputs'!D181</f>
        <v/>
      </c>
      <c r="E181" s="6">
        <f>'02_Inputs'!E181</f>
        <v/>
      </c>
      <c r="F181" s="29">
        <f>D181*E181</f>
        <v/>
      </c>
      <c r="G181" s="5">
        <f>'02_Inputs'!F181</f>
        <v/>
      </c>
      <c r="H181" s="29">
        <f>F181/G181</f>
        <v/>
      </c>
      <c r="I181" s="6">
        <f>'02_Inputs'!G181</f>
        <v/>
      </c>
      <c r="J181" s="29">
        <f>H181*I181</f>
        <v/>
      </c>
      <c r="K181" s="6">
        <f>'02_Inputs'!H181</f>
        <v/>
      </c>
      <c r="L181" s="29">
        <f>J181*K181</f>
        <v/>
      </c>
      <c r="M181" s="29">
        <f>J181*(1-K181)</f>
        <v/>
      </c>
      <c r="N181" s="6">
        <f>'02_GPU_Mix_Input'!D181</f>
        <v/>
      </c>
      <c r="O181" s="6">
        <f>'02_GPU_Mix_Input'!E181</f>
        <v/>
      </c>
      <c r="P181" s="6">
        <f>'02_GPU_Mix_Input'!F181</f>
        <v/>
      </c>
      <c r="Q181" s="6">
        <f>'02_GPU_Mix_Input'!G181</f>
        <v/>
      </c>
      <c r="R181" s="7">
        <f>INDEX('01_Benchmark_Input'!$K$2:$K$10,MATCH(B181,'01_Benchmark_Input'!$A$2:$A$10,0))</f>
        <v/>
      </c>
      <c r="S181" s="7">
        <f>INDEX('01_Benchmark_Input'!$P$2:$P$10,MATCH(B181,'01_Benchmark_Input'!$A$2:$A$10,0))</f>
        <v/>
      </c>
      <c r="T181" s="7">
        <f>INDEX('01_Benchmark_Input'!$U$2:$U$10,MATCH(B181,'01_Benchmark_Input'!$A$2:$A$10,0))</f>
        <v/>
      </c>
      <c r="U181" s="7">
        <f>INDEX('01_Benchmark_Input'!$Z$2:$Z$10,MATCH(B181,'01_Benchmark_Input'!$A$2:$A$10,0))</f>
        <v/>
      </c>
      <c r="V181" s="6">
        <f>INDEX('01_Benchmark_Input'!$D$2:$D$10,MATCH(B181,'01_Benchmark_Input'!$A$2:$A$10,0))</f>
        <v/>
      </c>
      <c r="W181" s="6">
        <f>INDEX('01_Benchmark_Input'!$E$2:$E$10,MATCH(B181,'01_Benchmark_Input'!$A$2:$A$10,0))</f>
        <v/>
      </c>
      <c r="X181" s="6">
        <f>INDEX('01_Benchmark_Input'!$F$2:$F$10,MATCH(B181,'01_Benchmark_Input'!$A$2:$A$10,0))</f>
        <v/>
      </c>
      <c r="Y181" s="7">
        <f>N181*R181+O181*S181+P181*T181+Q181*U181</f>
        <v/>
      </c>
      <c r="Z181" s="6">
        <f>'02_Inputs'!K181</f>
        <v/>
      </c>
      <c r="AA181" s="7">
        <f>Y181*Z181</f>
        <v/>
      </c>
      <c r="AB181" s="5">
        <f>L181*1000*AA181*86400</f>
        <v/>
      </c>
      <c r="AC181" s="5">
        <f>AB181*365</f>
        <v/>
      </c>
    </row>
  </sheetData>
  <autoFilter ref="A1:AC18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0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31" t="inlineStr">
        <is>
          <t>Provider</t>
        </is>
      </c>
      <c r="B5" s="31" t="n">
        <v>2026</v>
      </c>
      <c r="C5" s="31" t="n">
        <v>2027</v>
      </c>
      <c r="D5" s="31" t="n">
        <v>2028</v>
      </c>
      <c r="E5" s="31" t="n">
        <v>2029</v>
      </c>
      <c r="F5" s="31" t="n">
        <v>2030</v>
      </c>
    </row>
    <row r="6">
      <c r="A6" s="3" t="inlineStr">
        <is>
          <t>Microsoft</t>
        </is>
      </c>
      <c r="B6" s="29">
        <f>SUMIFS('03_Calculation'!$AB$2:$AB$181,'03_Calculation'!$A$2:$A$181,"Base",'03_Calculation'!$B$2:$B$181,$A6,'03_Calculation'!$C$2:$C$181,B$5)/1000000000000000</f>
        <v/>
      </c>
      <c r="C6" s="29">
        <f>SUMIFS('03_Calculation'!$AB$2:$AB$181,'03_Calculation'!$A$2:$A$181,"Base",'03_Calculation'!$B$2:$B$181,$A6,'03_Calculation'!$C$2:$C$181,C$5)/1000000000000000</f>
        <v/>
      </c>
      <c r="D6" s="29">
        <f>SUMIFS('03_Calculation'!$AB$2:$AB$181,'03_Calculation'!$A$2:$A$181,"Base",'03_Calculation'!$B$2:$B$181,$A6,'03_Calculation'!$C$2:$C$181,D$5)/1000000000000000</f>
        <v/>
      </c>
      <c r="E6" s="29">
        <f>SUMIFS('03_Calculation'!$AB$2:$AB$181,'03_Calculation'!$A$2:$A$181,"Base",'03_Calculation'!$B$2:$B$181,$A6,'03_Calculation'!$C$2:$C$181,E$5)/1000000000000000</f>
        <v/>
      </c>
      <c r="F6" s="29">
        <f>SUMIFS('03_Calculation'!$AB$2:$AB$181,'03_Calculation'!$A$2:$A$181,"Base",'03_Calculation'!$B$2:$B$181,$A6,'03_Calculation'!$C$2:$C$181,F$5)/1000000000000000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29">
        <f>SUMIFS('03_Calculation'!$AB$2:$AB$181,'03_Calculation'!$A$2:$A$181,"Base",'03_Calculation'!$B$2:$B$181,$A7,'03_Calculation'!$C$2:$C$181,B$5)/1000000000000000</f>
        <v/>
      </c>
      <c r="C7" s="29">
        <f>SUMIFS('03_Calculation'!$AB$2:$AB$181,'03_Calculation'!$A$2:$A$181,"Base",'03_Calculation'!$B$2:$B$181,$A7,'03_Calculation'!$C$2:$C$181,C$5)/1000000000000000</f>
        <v/>
      </c>
      <c r="D7" s="29">
        <f>SUMIFS('03_Calculation'!$AB$2:$AB$181,'03_Calculation'!$A$2:$A$181,"Base",'03_Calculation'!$B$2:$B$181,$A7,'03_Calculation'!$C$2:$C$181,D$5)/1000000000000000</f>
        <v/>
      </c>
      <c r="E7" s="29">
        <f>SUMIFS('03_Calculation'!$AB$2:$AB$181,'03_Calculation'!$A$2:$A$181,"Base",'03_Calculation'!$B$2:$B$181,$A7,'03_Calculation'!$C$2:$C$181,E$5)/1000000000000000</f>
        <v/>
      </c>
      <c r="F7" s="29">
        <f>SUMIFS('03_Calculation'!$AB$2:$AB$181,'03_Calculation'!$A$2:$A$181,"Base",'03_Calculation'!$B$2:$B$181,$A7,'03_Calculation'!$C$2:$C$181,F$5)/1000000000000000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29">
        <f>SUMIFS('03_Calculation'!$AB$2:$AB$181,'03_Calculation'!$A$2:$A$181,"Base",'03_Calculation'!$B$2:$B$181,$A8,'03_Calculation'!$C$2:$C$181,B$5)/1000000000000000</f>
        <v/>
      </c>
      <c r="C8" s="29">
        <f>SUMIFS('03_Calculation'!$AB$2:$AB$181,'03_Calculation'!$A$2:$A$181,"Base",'03_Calculation'!$B$2:$B$181,$A8,'03_Calculation'!$C$2:$C$181,C$5)/1000000000000000</f>
        <v/>
      </c>
      <c r="D8" s="29">
        <f>SUMIFS('03_Calculation'!$AB$2:$AB$181,'03_Calculation'!$A$2:$A$181,"Base",'03_Calculation'!$B$2:$B$181,$A8,'03_Calculation'!$C$2:$C$181,D$5)/1000000000000000</f>
        <v/>
      </c>
      <c r="E8" s="29">
        <f>SUMIFS('03_Calculation'!$AB$2:$AB$181,'03_Calculation'!$A$2:$A$181,"Base",'03_Calculation'!$B$2:$B$181,$A8,'03_Calculation'!$C$2:$C$181,E$5)/1000000000000000</f>
        <v/>
      </c>
      <c r="F8" s="29">
        <f>SUMIFS('03_Calculation'!$AB$2:$AB$181,'03_Calculation'!$A$2:$A$181,"Base",'03_Calculation'!$B$2:$B$181,$A8,'03_Calculation'!$C$2:$C$181,F$5)/1000000000000000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29">
        <f>SUMIFS('03_Calculation'!$AB$2:$AB$181,'03_Calculation'!$A$2:$A$181,"Base",'03_Calculation'!$B$2:$B$181,$A9,'03_Calculation'!$C$2:$C$181,B$5)/1000000000000000</f>
        <v/>
      </c>
      <c r="C9" s="29">
        <f>SUMIFS('03_Calculation'!$AB$2:$AB$181,'03_Calculation'!$A$2:$A$181,"Base",'03_Calculation'!$B$2:$B$181,$A9,'03_Calculation'!$C$2:$C$181,C$5)/1000000000000000</f>
        <v/>
      </c>
      <c r="D9" s="29">
        <f>SUMIFS('03_Calculation'!$AB$2:$AB$181,'03_Calculation'!$A$2:$A$181,"Base",'03_Calculation'!$B$2:$B$181,$A9,'03_Calculation'!$C$2:$C$181,D$5)/1000000000000000</f>
        <v/>
      </c>
      <c r="E9" s="29">
        <f>SUMIFS('03_Calculation'!$AB$2:$AB$181,'03_Calculation'!$A$2:$A$181,"Base",'03_Calculation'!$B$2:$B$181,$A9,'03_Calculation'!$C$2:$C$181,E$5)/1000000000000000</f>
        <v/>
      </c>
      <c r="F9" s="29">
        <f>SUMIFS('03_Calculation'!$AB$2:$AB$181,'03_Calculation'!$A$2:$A$181,"Base",'03_Calculation'!$B$2:$B$181,$A9,'03_Calculation'!$C$2:$C$181,F$5)/1000000000000000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29">
        <f>SUMIFS('03_Calculation'!$AB$2:$AB$181,'03_Calculation'!$A$2:$A$181,"Base",'03_Calculation'!$B$2:$B$181,$A10,'03_Calculation'!$C$2:$C$181,B$5)/1000000000000000</f>
        <v/>
      </c>
      <c r="C10" s="29">
        <f>SUMIFS('03_Calculation'!$AB$2:$AB$181,'03_Calculation'!$A$2:$A$181,"Base",'03_Calculation'!$B$2:$B$181,$A10,'03_Calculation'!$C$2:$C$181,C$5)/1000000000000000</f>
        <v/>
      </c>
      <c r="D10" s="29">
        <f>SUMIFS('03_Calculation'!$AB$2:$AB$181,'03_Calculation'!$A$2:$A$181,"Base",'03_Calculation'!$B$2:$B$181,$A10,'03_Calculation'!$C$2:$C$181,D$5)/1000000000000000</f>
        <v/>
      </c>
      <c r="E10" s="29">
        <f>SUMIFS('03_Calculation'!$AB$2:$AB$181,'03_Calculation'!$A$2:$A$181,"Base",'03_Calculation'!$B$2:$B$181,$A10,'03_Calculation'!$C$2:$C$181,E$5)/1000000000000000</f>
        <v/>
      </c>
      <c r="F10" s="29">
        <f>SUMIFS('03_Calculation'!$AB$2:$AB$181,'03_Calculation'!$A$2:$A$181,"Base",'03_Calculation'!$B$2:$B$181,$A10,'03_Calculation'!$C$2:$C$181,F$5)/1000000000000000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29">
        <f>SUMIFS('03_Calculation'!$AB$2:$AB$181,'03_Calculation'!$A$2:$A$181,"Base",'03_Calculation'!$B$2:$B$181,$A11,'03_Calculation'!$C$2:$C$181,B$5)/1000000000000000</f>
        <v/>
      </c>
      <c r="C11" s="29">
        <f>SUMIFS('03_Calculation'!$AB$2:$AB$181,'03_Calculation'!$A$2:$A$181,"Base",'03_Calculation'!$B$2:$B$181,$A11,'03_Calculation'!$C$2:$C$181,C$5)/1000000000000000</f>
        <v/>
      </c>
      <c r="D11" s="29">
        <f>SUMIFS('03_Calculation'!$AB$2:$AB$181,'03_Calculation'!$A$2:$A$181,"Base",'03_Calculation'!$B$2:$B$181,$A11,'03_Calculation'!$C$2:$C$181,D$5)/1000000000000000</f>
        <v/>
      </c>
      <c r="E11" s="29">
        <f>SUMIFS('03_Calculation'!$AB$2:$AB$181,'03_Calculation'!$A$2:$A$181,"Base",'03_Calculation'!$B$2:$B$181,$A11,'03_Calculation'!$C$2:$C$181,E$5)/1000000000000000</f>
        <v/>
      </c>
      <c r="F11" s="29">
        <f>SUMIFS('03_Calculation'!$AB$2:$AB$181,'03_Calculation'!$A$2:$A$181,"Base",'03_Calculation'!$B$2:$B$181,$A11,'03_Calculation'!$C$2:$C$181,F$5)/1000000000000000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29">
        <f>SUMIFS('03_Calculation'!$AB$2:$AB$181,'03_Calculation'!$A$2:$A$181,"Base",'03_Calculation'!$B$2:$B$181,$A12,'03_Calculation'!$C$2:$C$181,B$5)/1000000000000000</f>
        <v/>
      </c>
      <c r="C12" s="29">
        <f>SUMIFS('03_Calculation'!$AB$2:$AB$181,'03_Calculation'!$A$2:$A$181,"Base",'03_Calculation'!$B$2:$B$181,$A12,'03_Calculation'!$C$2:$C$181,C$5)/1000000000000000</f>
        <v/>
      </c>
      <c r="D12" s="29">
        <f>SUMIFS('03_Calculation'!$AB$2:$AB$181,'03_Calculation'!$A$2:$A$181,"Base",'03_Calculation'!$B$2:$B$181,$A12,'03_Calculation'!$C$2:$C$181,D$5)/1000000000000000</f>
        <v/>
      </c>
      <c r="E12" s="29">
        <f>SUMIFS('03_Calculation'!$AB$2:$AB$181,'03_Calculation'!$A$2:$A$181,"Base",'03_Calculation'!$B$2:$B$181,$A12,'03_Calculation'!$C$2:$C$181,E$5)/1000000000000000</f>
        <v/>
      </c>
      <c r="F12" s="29">
        <f>SUMIFS('03_Calculation'!$AB$2:$AB$181,'03_Calculation'!$A$2:$A$181,"Base",'03_Calculation'!$B$2:$B$181,$A12,'03_Calculation'!$C$2:$C$181,F$5)/1000000000000000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29">
        <f>SUMIFS('03_Calculation'!$AB$2:$AB$181,'03_Calculation'!$A$2:$A$181,"Base",'03_Calculation'!$B$2:$B$181,$A13,'03_Calculation'!$C$2:$C$181,B$5)/1000000000000000</f>
        <v/>
      </c>
      <c r="C13" s="29">
        <f>SUMIFS('03_Calculation'!$AB$2:$AB$181,'03_Calculation'!$A$2:$A$181,"Base",'03_Calculation'!$B$2:$B$181,$A13,'03_Calculation'!$C$2:$C$181,C$5)/1000000000000000</f>
        <v/>
      </c>
      <c r="D13" s="29">
        <f>SUMIFS('03_Calculation'!$AB$2:$AB$181,'03_Calculation'!$A$2:$A$181,"Base",'03_Calculation'!$B$2:$B$181,$A13,'03_Calculation'!$C$2:$C$181,D$5)/1000000000000000</f>
        <v/>
      </c>
      <c r="E13" s="29">
        <f>SUMIFS('03_Calculation'!$AB$2:$AB$181,'03_Calculation'!$A$2:$A$181,"Base",'03_Calculation'!$B$2:$B$181,$A13,'03_Calculation'!$C$2:$C$181,E$5)/1000000000000000</f>
        <v/>
      </c>
      <c r="F13" s="29">
        <f>SUMIFS('03_Calculation'!$AB$2:$AB$181,'03_Calculation'!$A$2:$A$181,"Base",'03_Calculation'!$B$2:$B$181,$A13,'03_Calculation'!$C$2:$C$181,F$5)/1000000000000000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29">
        <f>SUMIFS('03_Calculation'!$AB$2:$AB$181,'03_Calculation'!$A$2:$A$181,"Base",'03_Calculation'!$B$2:$B$181,$A14,'03_Calculation'!$C$2:$C$181,B$5)/1000000000000000</f>
        <v/>
      </c>
      <c r="C14" s="29">
        <f>SUMIFS('03_Calculation'!$AB$2:$AB$181,'03_Calculation'!$A$2:$A$181,"Base",'03_Calculation'!$B$2:$B$181,$A14,'03_Calculation'!$C$2:$C$181,C$5)/1000000000000000</f>
        <v/>
      </c>
      <c r="D14" s="29">
        <f>SUMIFS('03_Calculation'!$AB$2:$AB$181,'03_Calculation'!$A$2:$A$181,"Base",'03_Calculation'!$B$2:$B$181,$A14,'03_Calculation'!$C$2:$C$181,D$5)/1000000000000000</f>
        <v/>
      </c>
      <c r="E14" s="29">
        <f>SUMIFS('03_Calculation'!$AB$2:$AB$181,'03_Calculation'!$A$2:$A$181,"Base",'03_Calculation'!$B$2:$B$181,$A14,'03_Calculation'!$C$2:$C$181,E$5)/1000000000000000</f>
        <v/>
      </c>
      <c r="F14" s="29">
        <f>SUMIFS('03_Calculation'!$AB$2:$AB$181,'03_Calculation'!$A$2:$A$181,"Base",'03_Calculation'!$B$2:$B$181,$A14,'03_Calculation'!$C$2:$C$181,F$5)/1000000000000000</f>
        <v/>
      </c>
    </row>
    <row r="15">
      <c r="A15" s="32" t="inlineStr">
        <is>
          <t>Total</t>
        </is>
      </c>
      <c r="B15" s="33">
        <f>SUM(B6:B14)</f>
        <v/>
      </c>
      <c r="C15" s="33">
        <f>SUM(C6:C14)</f>
        <v/>
      </c>
      <c r="D15" s="33">
        <f>SUM(D6:D14)</f>
        <v/>
      </c>
      <c r="E15" s="33">
        <f>SUM(E6:E14)</f>
        <v/>
      </c>
      <c r="F15" s="33">
        <f>SUM(F6:F14)</f>
        <v/>
      </c>
    </row>
    <row r="16">
      <c r="A16" s="30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31" t="inlineStr">
        <is>
          <t>Provider</t>
        </is>
      </c>
      <c r="B18" s="31" t="n">
        <v>2026</v>
      </c>
      <c r="C18" s="31" t="n">
        <v>2027</v>
      </c>
      <c r="D18" s="31" t="n">
        <v>2028</v>
      </c>
      <c r="E18" s="31" t="n">
        <v>2029</v>
      </c>
      <c r="F18" s="31" t="n">
        <v>2030</v>
      </c>
    </row>
    <row r="19">
      <c r="A19" s="3" t="inlineStr">
        <is>
          <t>Microsoft</t>
        </is>
      </c>
      <c r="B19" s="29">
        <f>SUMIFS('03_Calculation'!$AC$2:$AC$181,'03_Calculation'!$A$2:$A$181,"Base",'03_Calculation'!$B$2:$B$181,$A19,'03_Calculation'!$C$2:$C$181,B$18)/1000000000000000</f>
        <v/>
      </c>
      <c r="C19" s="29">
        <f>SUMIFS('03_Calculation'!$AC$2:$AC$181,'03_Calculation'!$A$2:$A$181,"Base",'03_Calculation'!$B$2:$B$181,$A19,'03_Calculation'!$C$2:$C$181,C$18)/1000000000000000</f>
        <v/>
      </c>
      <c r="D19" s="29">
        <f>SUMIFS('03_Calculation'!$AC$2:$AC$181,'03_Calculation'!$A$2:$A$181,"Base",'03_Calculation'!$B$2:$B$181,$A19,'03_Calculation'!$C$2:$C$181,D$18)/1000000000000000</f>
        <v/>
      </c>
      <c r="E19" s="29">
        <f>SUMIFS('03_Calculation'!$AC$2:$AC$181,'03_Calculation'!$A$2:$A$181,"Base",'03_Calculation'!$B$2:$B$181,$A19,'03_Calculation'!$C$2:$C$181,E$18)/1000000000000000</f>
        <v/>
      </c>
      <c r="F19" s="29">
        <f>SUMIFS('03_Calculation'!$AC$2:$AC$181,'03_Calculation'!$A$2:$A$181,"Base",'03_Calculation'!$B$2:$B$181,$A19,'03_Calculation'!$C$2:$C$181,F$18)/1000000000000000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29">
        <f>SUMIFS('03_Calculation'!$AC$2:$AC$181,'03_Calculation'!$A$2:$A$181,"Base",'03_Calculation'!$B$2:$B$181,$A20,'03_Calculation'!$C$2:$C$181,B$18)/1000000000000000</f>
        <v/>
      </c>
      <c r="C20" s="29">
        <f>SUMIFS('03_Calculation'!$AC$2:$AC$181,'03_Calculation'!$A$2:$A$181,"Base",'03_Calculation'!$B$2:$B$181,$A20,'03_Calculation'!$C$2:$C$181,C$18)/1000000000000000</f>
        <v/>
      </c>
      <c r="D20" s="29">
        <f>SUMIFS('03_Calculation'!$AC$2:$AC$181,'03_Calculation'!$A$2:$A$181,"Base",'03_Calculation'!$B$2:$B$181,$A20,'03_Calculation'!$C$2:$C$181,D$18)/1000000000000000</f>
        <v/>
      </c>
      <c r="E20" s="29">
        <f>SUMIFS('03_Calculation'!$AC$2:$AC$181,'03_Calculation'!$A$2:$A$181,"Base",'03_Calculation'!$B$2:$B$181,$A20,'03_Calculation'!$C$2:$C$181,E$18)/1000000000000000</f>
        <v/>
      </c>
      <c r="F20" s="29">
        <f>SUMIFS('03_Calculation'!$AC$2:$AC$181,'03_Calculation'!$A$2:$A$181,"Base",'03_Calculation'!$B$2:$B$181,$A20,'03_Calculation'!$C$2:$C$181,F$18)/1000000000000000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29">
        <f>SUMIFS('03_Calculation'!$AC$2:$AC$181,'03_Calculation'!$A$2:$A$181,"Base",'03_Calculation'!$B$2:$B$181,$A21,'03_Calculation'!$C$2:$C$181,B$18)/1000000000000000</f>
        <v/>
      </c>
      <c r="C21" s="29">
        <f>SUMIFS('03_Calculation'!$AC$2:$AC$181,'03_Calculation'!$A$2:$A$181,"Base",'03_Calculation'!$B$2:$B$181,$A21,'03_Calculation'!$C$2:$C$181,C$18)/1000000000000000</f>
        <v/>
      </c>
      <c r="D21" s="29">
        <f>SUMIFS('03_Calculation'!$AC$2:$AC$181,'03_Calculation'!$A$2:$A$181,"Base",'03_Calculation'!$B$2:$B$181,$A21,'03_Calculation'!$C$2:$C$181,D$18)/1000000000000000</f>
        <v/>
      </c>
      <c r="E21" s="29">
        <f>SUMIFS('03_Calculation'!$AC$2:$AC$181,'03_Calculation'!$A$2:$A$181,"Base",'03_Calculation'!$B$2:$B$181,$A21,'03_Calculation'!$C$2:$C$181,E$18)/1000000000000000</f>
        <v/>
      </c>
      <c r="F21" s="29">
        <f>SUMIFS('03_Calculation'!$AC$2:$AC$181,'03_Calculation'!$A$2:$A$181,"Base",'03_Calculation'!$B$2:$B$181,$A21,'03_Calculation'!$C$2:$C$181,F$18)/1000000000000000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29">
        <f>SUMIFS('03_Calculation'!$AC$2:$AC$181,'03_Calculation'!$A$2:$A$181,"Base",'03_Calculation'!$B$2:$B$181,$A22,'03_Calculation'!$C$2:$C$181,B$18)/1000000000000000</f>
        <v/>
      </c>
      <c r="C22" s="29">
        <f>SUMIFS('03_Calculation'!$AC$2:$AC$181,'03_Calculation'!$A$2:$A$181,"Base",'03_Calculation'!$B$2:$B$181,$A22,'03_Calculation'!$C$2:$C$181,C$18)/1000000000000000</f>
        <v/>
      </c>
      <c r="D22" s="29">
        <f>SUMIFS('03_Calculation'!$AC$2:$AC$181,'03_Calculation'!$A$2:$A$181,"Base",'03_Calculation'!$B$2:$B$181,$A22,'03_Calculation'!$C$2:$C$181,D$18)/1000000000000000</f>
        <v/>
      </c>
      <c r="E22" s="29">
        <f>SUMIFS('03_Calculation'!$AC$2:$AC$181,'03_Calculation'!$A$2:$A$181,"Base",'03_Calculation'!$B$2:$B$181,$A22,'03_Calculation'!$C$2:$C$181,E$18)/1000000000000000</f>
        <v/>
      </c>
      <c r="F22" s="29">
        <f>SUMIFS('03_Calculation'!$AC$2:$AC$181,'03_Calculation'!$A$2:$A$181,"Base",'03_Calculation'!$B$2:$B$181,$A22,'03_Calculation'!$C$2:$C$181,F$18)/1000000000000000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29">
        <f>SUMIFS('03_Calculation'!$AC$2:$AC$181,'03_Calculation'!$A$2:$A$181,"Base",'03_Calculation'!$B$2:$B$181,$A23,'03_Calculation'!$C$2:$C$181,B$18)/1000000000000000</f>
        <v/>
      </c>
      <c r="C23" s="29">
        <f>SUMIFS('03_Calculation'!$AC$2:$AC$181,'03_Calculation'!$A$2:$A$181,"Base",'03_Calculation'!$B$2:$B$181,$A23,'03_Calculation'!$C$2:$C$181,C$18)/1000000000000000</f>
        <v/>
      </c>
      <c r="D23" s="29">
        <f>SUMIFS('03_Calculation'!$AC$2:$AC$181,'03_Calculation'!$A$2:$A$181,"Base",'03_Calculation'!$B$2:$B$181,$A23,'03_Calculation'!$C$2:$C$181,D$18)/1000000000000000</f>
        <v/>
      </c>
      <c r="E23" s="29">
        <f>SUMIFS('03_Calculation'!$AC$2:$AC$181,'03_Calculation'!$A$2:$A$181,"Base",'03_Calculation'!$B$2:$B$181,$A23,'03_Calculation'!$C$2:$C$181,E$18)/1000000000000000</f>
        <v/>
      </c>
      <c r="F23" s="29">
        <f>SUMIFS('03_Calculation'!$AC$2:$AC$181,'03_Calculation'!$A$2:$A$181,"Base",'03_Calculation'!$B$2:$B$181,$A23,'03_Calculation'!$C$2:$C$181,F$18)/1000000000000000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29">
        <f>SUMIFS('03_Calculation'!$AC$2:$AC$181,'03_Calculation'!$A$2:$A$181,"Base",'03_Calculation'!$B$2:$B$181,$A24,'03_Calculation'!$C$2:$C$181,B$18)/1000000000000000</f>
        <v/>
      </c>
      <c r="C24" s="29">
        <f>SUMIFS('03_Calculation'!$AC$2:$AC$181,'03_Calculation'!$A$2:$A$181,"Base",'03_Calculation'!$B$2:$B$181,$A24,'03_Calculation'!$C$2:$C$181,C$18)/1000000000000000</f>
        <v/>
      </c>
      <c r="D24" s="29">
        <f>SUMIFS('03_Calculation'!$AC$2:$AC$181,'03_Calculation'!$A$2:$A$181,"Base",'03_Calculation'!$B$2:$B$181,$A24,'03_Calculation'!$C$2:$C$181,D$18)/1000000000000000</f>
        <v/>
      </c>
      <c r="E24" s="29">
        <f>SUMIFS('03_Calculation'!$AC$2:$AC$181,'03_Calculation'!$A$2:$A$181,"Base",'03_Calculation'!$B$2:$B$181,$A24,'03_Calculation'!$C$2:$C$181,E$18)/1000000000000000</f>
        <v/>
      </c>
      <c r="F24" s="29">
        <f>SUMIFS('03_Calculation'!$AC$2:$AC$181,'03_Calculation'!$A$2:$A$181,"Base",'03_Calculation'!$B$2:$B$181,$A24,'03_Calculation'!$C$2:$C$181,F$18)/1000000000000000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29">
        <f>SUMIFS('03_Calculation'!$AC$2:$AC$181,'03_Calculation'!$A$2:$A$181,"Base",'03_Calculation'!$B$2:$B$181,$A25,'03_Calculation'!$C$2:$C$181,B$18)/1000000000000000</f>
        <v/>
      </c>
      <c r="C25" s="29">
        <f>SUMIFS('03_Calculation'!$AC$2:$AC$181,'03_Calculation'!$A$2:$A$181,"Base",'03_Calculation'!$B$2:$B$181,$A25,'03_Calculation'!$C$2:$C$181,C$18)/1000000000000000</f>
        <v/>
      </c>
      <c r="D25" s="29">
        <f>SUMIFS('03_Calculation'!$AC$2:$AC$181,'03_Calculation'!$A$2:$A$181,"Base",'03_Calculation'!$B$2:$B$181,$A25,'03_Calculation'!$C$2:$C$181,D$18)/1000000000000000</f>
        <v/>
      </c>
      <c r="E25" s="29">
        <f>SUMIFS('03_Calculation'!$AC$2:$AC$181,'03_Calculation'!$A$2:$A$181,"Base",'03_Calculation'!$B$2:$B$181,$A25,'03_Calculation'!$C$2:$C$181,E$18)/1000000000000000</f>
        <v/>
      </c>
      <c r="F25" s="29">
        <f>SUMIFS('03_Calculation'!$AC$2:$AC$181,'03_Calculation'!$A$2:$A$181,"Base",'03_Calculation'!$B$2:$B$181,$A25,'03_Calculation'!$C$2:$C$181,F$18)/1000000000000000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29">
        <f>SUMIFS('03_Calculation'!$AC$2:$AC$181,'03_Calculation'!$A$2:$A$181,"Base",'03_Calculation'!$B$2:$B$181,$A26,'03_Calculation'!$C$2:$C$181,B$18)/1000000000000000</f>
        <v/>
      </c>
      <c r="C26" s="29">
        <f>SUMIFS('03_Calculation'!$AC$2:$AC$181,'03_Calculation'!$A$2:$A$181,"Base",'03_Calculation'!$B$2:$B$181,$A26,'03_Calculation'!$C$2:$C$181,C$18)/1000000000000000</f>
        <v/>
      </c>
      <c r="D26" s="29">
        <f>SUMIFS('03_Calculation'!$AC$2:$AC$181,'03_Calculation'!$A$2:$A$181,"Base",'03_Calculation'!$B$2:$B$181,$A26,'03_Calculation'!$C$2:$C$181,D$18)/1000000000000000</f>
        <v/>
      </c>
      <c r="E26" s="29">
        <f>SUMIFS('03_Calculation'!$AC$2:$AC$181,'03_Calculation'!$A$2:$A$181,"Base",'03_Calculation'!$B$2:$B$181,$A26,'03_Calculation'!$C$2:$C$181,E$18)/1000000000000000</f>
        <v/>
      </c>
      <c r="F26" s="29">
        <f>SUMIFS('03_Calculation'!$AC$2:$AC$181,'03_Calculation'!$A$2:$A$181,"Base",'03_Calculation'!$B$2:$B$181,$A26,'03_Calculation'!$C$2:$C$181,F$18)/1000000000000000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29">
        <f>SUMIFS('03_Calculation'!$AC$2:$AC$181,'03_Calculation'!$A$2:$A$181,"Base",'03_Calculation'!$B$2:$B$181,$A27,'03_Calculation'!$C$2:$C$181,B$18)/1000000000000000</f>
        <v/>
      </c>
      <c r="C27" s="29">
        <f>SUMIFS('03_Calculation'!$AC$2:$AC$181,'03_Calculation'!$A$2:$A$181,"Base",'03_Calculation'!$B$2:$B$181,$A27,'03_Calculation'!$C$2:$C$181,C$18)/1000000000000000</f>
        <v/>
      </c>
      <c r="D27" s="29">
        <f>SUMIFS('03_Calculation'!$AC$2:$AC$181,'03_Calculation'!$A$2:$A$181,"Base",'03_Calculation'!$B$2:$B$181,$A27,'03_Calculation'!$C$2:$C$181,D$18)/1000000000000000</f>
        <v/>
      </c>
      <c r="E27" s="29">
        <f>SUMIFS('03_Calculation'!$AC$2:$AC$181,'03_Calculation'!$A$2:$A$181,"Base",'03_Calculation'!$B$2:$B$181,$A27,'03_Calculation'!$C$2:$C$181,E$18)/1000000000000000</f>
        <v/>
      </c>
      <c r="F27" s="29">
        <f>SUMIFS('03_Calculation'!$AC$2:$AC$181,'03_Calculation'!$A$2:$A$181,"Base",'03_Calculation'!$B$2:$B$181,$A27,'03_Calculation'!$C$2:$C$181,F$18)/1000000000000000</f>
        <v/>
      </c>
    </row>
    <row r="28">
      <c r="A28" s="32" t="inlineStr">
        <is>
          <t>Total</t>
        </is>
      </c>
      <c r="B28" s="33">
        <f>SUM(B19:B27)</f>
        <v/>
      </c>
      <c r="C28" s="33">
        <f>SUM(C19:C27)</f>
        <v/>
      </c>
      <c r="D28" s="33">
        <f>SUM(D19:D27)</f>
        <v/>
      </c>
      <c r="E28" s="33">
        <f>SUM(E19:E27)</f>
        <v/>
      </c>
      <c r="F28" s="33">
        <f>SUM(F19:F27)</f>
        <v/>
      </c>
    </row>
    <row r="29">
      <c r="A29" s="30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31" t="inlineStr">
        <is>
          <t>Scenario</t>
        </is>
      </c>
      <c r="B31" s="31" t="n">
        <v>2026</v>
      </c>
      <c r="C31" s="31" t="n">
        <v>2027</v>
      </c>
      <c r="D31" s="31" t="n">
        <v>2028</v>
      </c>
      <c r="E31" s="31" t="n">
        <v>2029</v>
      </c>
      <c r="F31" s="31" t="n">
        <v>2030</v>
      </c>
    </row>
    <row r="32">
      <c r="A32" s="3" t="inlineStr">
        <is>
          <t>Bear</t>
        </is>
      </c>
      <c r="B32" s="29">
        <f>SUMIFS('03_Calculation'!$AB$2:$AB$181,'03_Calculation'!$A$2:$A$181,$A32,'03_Calculation'!$C$2:$C$181,B$31)/1000000000000000</f>
        <v/>
      </c>
      <c r="C32" s="29">
        <f>SUMIFS('03_Calculation'!$AB$2:$AB$181,'03_Calculation'!$A$2:$A$181,$A32,'03_Calculation'!$C$2:$C$181,C$31)/1000000000000000</f>
        <v/>
      </c>
      <c r="D32" s="29">
        <f>SUMIFS('03_Calculation'!$AB$2:$AB$181,'03_Calculation'!$A$2:$A$181,$A32,'03_Calculation'!$C$2:$C$181,D$31)/1000000000000000</f>
        <v/>
      </c>
      <c r="E32" s="29">
        <f>SUMIFS('03_Calculation'!$AB$2:$AB$181,'03_Calculation'!$A$2:$A$181,$A32,'03_Calculation'!$C$2:$C$181,E$31)/1000000000000000</f>
        <v/>
      </c>
      <c r="F32" s="29">
        <f>SUMIFS('03_Calculation'!$AB$2:$AB$181,'03_Calculation'!$A$2:$A$181,$A32,'03_Calculation'!$C$2:$C$181,F$31)/1000000000000000</f>
        <v/>
      </c>
    </row>
    <row r="33">
      <c r="A33" s="3" t="inlineStr">
        <is>
          <t>Base</t>
        </is>
      </c>
      <c r="B33" s="29">
        <f>SUMIFS('03_Calculation'!$AB$2:$AB$181,'03_Calculation'!$A$2:$A$181,$A33,'03_Calculation'!$C$2:$C$181,B$31)/1000000000000000</f>
        <v/>
      </c>
      <c r="C33" s="29">
        <f>SUMIFS('03_Calculation'!$AB$2:$AB$181,'03_Calculation'!$A$2:$A$181,$A33,'03_Calculation'!$C$2:$C$181,C$31)/1000000000000000</f>
        <v/>
      </c>
      <c r="D33" s="29">
        <f>SUMIFS('03_Calculation'!$AB$2:$AB$181,'03_Calculation'!$A$2:$A$181,$A33,'03_Calculation'!$C$2:$C$181,D$31)/1000000000000000</f>
        <v/>
      </c>
      <c r="E33" s="29">
        <f>SUMIFS('03_Calculation'!$AB$2:$AB$181,'03_Calculation'!$A$2:$A$181,$A33,'03_Calculation'!$C$2:$C$181,E$31)/1000000000000000</f>
        <v/>
      </c>
      <c r="F33" s="29">
        <f>SUMIFS('03_Calculation'!$AB$2:$AB$181,'03_Calculation'!$A$2:$A$181,$A33,'03_Calculation'!$C$2:$C$181,F$31)/1000000000000000</f>
        <v/>
      </c>
    </row>
    <row r="34">
      <c r="A34" s="3" t="inlineStr">
        <is>
          <t>Bull</t>
        </is>
      </c>
      <c r="B34" s="29">
        <f>SUMIFS('03_Calculation'!$AB$2:$AB$181,'03_Calculation'!$A$2:$A$181,$A34,'03_Calculation'!$C$2:$C$181,B$31)/1000000000000000</f>
        <v/>
      </c>
      <c r="C34" s="29">
        <f>SUMIFS('03_Calculation'!$AB$2:$AB$181,'03_Calculation'!$A$2:$A$181,$A34,'03_Calculation'!$C$2:$C$181,C$31)/1000000000000000</f>
        <v/>
      </c>
      <c r="D34" s="29">
        <f>SUMIFS('03_Calculation'!$AB$2:$AB$181,'03_Calculation'!$A$2:$A$181,$A34,'03_Calculation'!$C$2:$C$181,D$31)/1000000000000000</f>
        <v/>
      </c>
      <c r="E34" s="29">
        <f>SUMIFS('03_Calculation'!$AB$2:$AB$181,'03_Calculation'!$A$2:$A$181,$A34,'03_Calculation'!$C$2:$C$181,E$31)/1000000000000000</f>
        <v/>
      </c>
      <c r="F34" s="29">
        <f>SUMIFS('03_Calculation'!$AB$2:$AB$181,'03_Calculation'!$A$2:$A$181,$A34,'03_Calculation'!$C$2:$C$181,F$31)/1000000000000000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29">
        <f>SUMIFS('03_Calculation'!$AB$2:$AB$181,'03_Calculation'!$A$2:$A$181,$A35,'03_Calculation'!$C$2:$C$181,B$31)/1000000000000000</f>
        <v/>
      </c>
      <c r="C35" s="29">
        <f>SUMIFS('03_Calculation'!$AB$2:$AB$181,'03_Calculation'!$A$2:$A$181,$A35,'03_Calculation'!$C$2:$C$181,C$31)/1000000000000000</f>
        <v/>
      </c>
      <c r="D35" s="29">
        <f>SUMIFS('03_Calculation'!$AB$2:$AB$181,'03_Calculation'!$A$2:$A$181,$A35,'03_Calculation'!$C$2:$C$181,D$31)/1000000000000000</f>
        <v/>
      </c>
      <c r="E35" s="29">
        <f>SUMIFS('03_Calculation'!$AB$2:$AB$181,'03_Calculation'!$A$2:$A$181,$A35,'03_Calculation'!$C$2:$C$181,E$31)/1000000000000000</f>
        <v/>
      </c>
      <c r="F35" s="29">
        <f>SUMIFS('03_Calculation'!$AB$2:$AB$181,'03_Calculation'!$A$2:$A$181,$A35,'03_Calculation'!$C$2:$C$181,F$31)/1000000000000000</f>
        <v/>
      </c>
    </row>
    <row r="36">
      <c r="A36" s="30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31" t="inlineStr">
        <is>
          <t>Scenario</t>
        </is>
      </c>
      <c r="B38" s="31" t="n">
        <v>2026</v>
      </c>
      <c r="C38" s="31" t="n">
        <v>2027</v>
      </c>
      <c r="D38" s="31" t="n">
        <v>2028</v>
      </c>
      <c r="E38" s="31" t="n">
        <v>2029</v>
      </c>
      <c r="F38" s="31" t="n">
        <v>2030</v>
      </c>
    </row>
    <row r="39">
      <c r="A39" s="3" t="inlineStr">
        <is>
          <t>Bear</t>
        </is>
      </c>
      <c r="B39" s="29">
        <f>SUMIFS('03_Calculation'!$AC$2:$AC$181,'03_Calculation'!$A$2:$A$181,$A39,'03_Calculation'!$C$2:$C$181,B$38)/1000000000000000</f>
        <v/>
      </c>
      <c r="C39" s="29">
        <f>SUMIFS('03_Calculation'!$AC$2:$AC$181,'03_Calculation'!$A$2:$A$181,$A39,'03_Calculation'!$C$2:$C$181,C$38)/1000000000000000</f>
        <v/>
      </c>
      <c r="D39" s="29">
        <f>SUMIFS('03_Calculation'!$AC$2:$AC$181,'03_Calculation'!$A$2:$A$181,$A39,'03_Calculation'!$C$2:$C$181,D$38)/1000000000000000</f>
        <v/>
      </c>
      <c r="E39" s="29">
        <f>SUMIFS('03_Calculation'!$AC$2:$AC$181,'03_Calculation'!$A$2:$A$181,$A39,'03_Calculation'!$C$2:$C$181,E$38)/1000000000000000</f>
        <v/>
      </c>
      <c r="F39" s="29">
        <f>SUMIFS('03_Calculation'!$AC$2:$AC$181,'03_Calculation'!$A$2:$A$181,$A39,'03_Calculation'!$C$2:$C$181,F$38)/1000000000000000</f>
        <v/>
      </c>
    </row>
    <row r="40">
      <c r="A40" s="3" t="inlineStr">
        <is>
          <t>Base</t>
        </is>
      </c>
      <c r="B40" s="29">
        <f>SUMIFS('03_Calculation'!$AC$2:$AC$181,'03_Calculation'!$A$2:$A$181,$A40,'03_Calculation'!$C$2:$C$181,B$38)/1000000000000000</f>
        <v/>
      </c>
      <c r="C40" s="29">
        <f>SUMIFS('03_Calculation'!$AC$2:$AC$181,'03_Calculation'!$A$2:$A$181,$A40,'03_Calculation'!$C$2:$C$181,C$38)/1000000000000000</f>
        <v/>
      </c>
      <c r="D40" s="29">
        <f>SUMIFS('03_Calculation'!$AC$2:$AC$181,'03_Calculation'!$A$2:$A$181,$A40,'03_Calculation'!$C$2:$C$181,D$38)/1000000000000000</f>
        <v/>
      </c>
      <c r="E40" s="29">
        <f>SUMIFS('03_Calculation'!$AC$2:$AC$181,'03_Calculation'!$A$2:$A$181,$A40,'03_Calculation'!$C$2:$C$181,E$38)/1000000000000000</f>
        <v/>
      </c>
      <c r="F40" s="29">
        <f>SUMIFS('03_Calculation'!$AC$2:$AC$181,'03_Calculation'!$A$2:$A$181,$A40,'03_Calculation'!$C$2:$C$181,F$38)/1000000000000000</f>
        <v/>
      </c>
    </row>
    <row r="41">
      <c r="A41" s="3" t="inlineStr">
        <is>
          <t>Bull</t>
        </is>
      </c>
      <c r="B41" s="29">
        <f>SUMIFS('03_Calculation'!$AC$2:$AC$181,'03_Calculation'!$A$2:$A$181,$A41,'03_Calculation'!$C$2:$C$181,B$38)/1000000000000000</f>
        <v/>
      </c>
      <c r="C41" s="29">
        <f>SUMIFS('03_Calculation'!$AC$2:$AC$181,'03_Calculation'!$A$2:$A$181,$A41,'03_Calculation'!$C$2:$C$181,C$38)/1000000000000000</f>
        <v/>
      </c>
      <c r="D41" s="29">
        <f>SUMIFS('03_Calculation'!$AC$2:$AC$181,'03_Calculation'!$A$2:$A$181,$A41,'03_Calculation'!$C$2:$C$181,D$38)/1000000000000000</f>
        <v/>
      </c>
      <c r="E41" s="29">
        <f>SUMIFS('03_Calculation'!$AC$2:$AC$181,'03_Calculation'!$A$2:$A$181,$A41,'03_Calculation'!$C$2:$C$181,E$38)/1000000000000000</f>
        <v/>
      </c>
      <c r="F41" s="29">
        <f>SUMIFS('03_Calculation'!$AC$2:$AC$181,'03_Calculation'!$A$2:$A$181,$A41,'03_Calculation'!$C$2:$C$181,F$38)/1000000000000000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29">
        <f>SUMIFS('03_Calculation'!$AC$2:$AC$181,'03_Calculation'!$A$2:$A$181,$A42,'03_Calculation'!$C$2:$C$181,B$38)/1000000000000000</f>
        <v/>
      </c>
      <c r="C42" s="29">
        <f>SUMIFS('03_Calculation'!$AC$2:$AC$181,'03_Calculation'!$A$2:$A$181,$A42,'03_Calculation'!$C$2:$C$181,C$38)/1000000000000000</f>
        <v/>
      </c>
      <c r="D42" s="29">
        <f>SUMIFS('03_Calculation'!$AC$2:$AC$181,'03_Calculation'!$A$2:$A$181,$A42,'03_Calculation'!$C$2:$C$181,D$38)/1000000000000000</f>
        <v/>
      </c>
      <c r="E42" s="29">
        <f>SUMIFS('03_Calculation'!$AC$2:$AC$181,'03_Calculation'!$A$2:$A$181,$A42,'03_Calculation'!$C$2:$C$181,E$38)/1000000000000000</f>
        <v/>
      </c>
      <c r="F42" s="29">
        <f>SUMIFS('03_Calculation'!$AC$2:$AC$181,'03_Calculation'!$A$2:$A$181,$A42,'03_Calculation'!$C$2:$C$181,F$38)/1000000000000000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34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34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34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34">
        <f>B5</f>
        <v/>
      </c>
    </row>
    <row r="6">
      <c r="A6" s="3" t="inlineStr">
        <is>
          <t>Chat workload shares sum to 100%</t>
        </is>
      </c>
      <c r="B6" s="3">
        <f>IF(SUMPRODUCT(--(ABS(1-('03_Calculation'!$V$2:$V$181+'03_Calculation'!$W$2:$W$181+'03_Calculation'!$X$2:$X$181))&gt;0.002))=0,"PASS","FAIL")</f>
        <v/>
      </c>
      <c r="C6" s="34">
        <f>B6</f>
        <v/>
      </c>
    </row>
    <row r="7">
      <c r="A7" s="3" t="inlineStr">
        <is>
          <t>Serving reference equals fleet reference x workload fit</t>
        </is>
      </c>
      <c r="B7" s="3">
        <f>IF(SUMPRODUCT(--(ABS('03_Calculation'!$AA$2:$AA$181-('03_Calculation'!$Y$2:$Y$181*'03_Calculation'!$Z$2:$Z$181))&gt;0.01))=0,"PASS","FAIL")</f>
        <v/>
      </c>
      <c r="C7" s="34">
        <f>B7</f>
        <v/>
      </c>
    </row>
    <row r="8">
      <c r="A8" s="3" t="inlineStr">
        <is>
          <t>Purpose-built reference defaults to B200 without unsupported uplift</t>
        </is>
      </c>
      <c r="B8" s="3">
        <f>IF(SUMPRODUCT(--('01_Benchmark_Input'!$W$2:$Y$10&lt;&gt;'01_Benchmark_Input'!$M$2:$O$10))=0,"PASS","FAIL")</f>
        <v/>
      </c>
      <c r="C8" s="34">
        <f>B8</f>
        <v/>
      </c>
    </row>
    <row r="9">
      <c r="A9" s="3" t="inlineStr">
        <is>
          <t>Headline excludes utilization/MoE/software multipliers</t>
        </is>
      </c>
      <c r="B9" s="3">
        <f>"PASS - formula uses inference GW x fleet-weighted serving TPS/MW x seconds/day only"</f>
        <v/>
      </c>
      <c r="C9" s="34">
        <f>B9</f>
        <v/>
      </c>
    </row>
  </sheetData>
  <autoFilter ref="A1:C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35" t="inlineStr">
        <is>
          <t>Provider</t>
        </is>
      </c>
      <c r="B3" s="35" t="inlineStr">
        <is>
          <t>Base 2030 Q/day</t>
        </is>
      </c>
      <c r="C3" s="35" t="inlineStr">
        <is>
          <t>Bull 2030 Q/day</t>
        </is>
      </c>
      <c r="D3" s="35" t="inlineStr">
        <is>
          <t>Bull vs Base</t>
        </is>
      </c>
      <c r="E3" s="35" t="inlineStr">
        <is>
          <t>Bull Fit Factor</t>
        </is>
      </c>
      <c r="F3" s="35" t="inlineStr">
        <is>
          <t>Bull Serving TPS/MW</t>
        </is>
      </c>
      <c r="G3" s="35" t="inlineStr">
        <is>
          <t>Public Reference Ceiling Q/day</t>
        </is>
      </c>
      <c r="H3" s="35" t="inlineStr">
        <is>
          <t>Required condition</t>
        </is>
      </c>
    </row>
    <row r="4">
      <c r="A4" s="36">
        <f>'03_Calculation'!B96</f>
        <v/>
      </c>
      <c r="B4" s="37">
        <f>'03_Calculation'!AB51/1000000000000000</f>
        <v/>
      </c>
      <c r="C4" s="37">
        <f>'03_Calculation'!AB96/1000000000000000</f>
        <v/>
      </c>
      <c r="D4" s="38">
        <f>C4/B4-1</f>
        <v/>
      </c>
      <c r="E4" s="38">
        <f>'03_Calculation'!Z96</f>
        <v/>
      </c>
      <c r="F4" s="36">
        <f>'03_Calculation'!AA96</f>
        <v/>
      </c>
      <c r="G4" s="37">
        <f>C4/E4</f>
        <v/>
      </c>
      <c r="H4" t="inlineStr">
        <is>
          <t>Public-reference conditions become commercially repeatable</t>
        </is>
      </c>
    </row>
    <row r="5">
      <c r="A5" s="36">
        <f>'03_Calculation'!B101</f>
        <v/>
      </c>
      <c r="B5" s="37">
        <f>'03_Calculation'!AB56/1000000000000000</f>
        <v/>
      </c>
      <c r="C5" s="37">
        <f>'03_Calculation'!AB101/1000000000000000</f>
        <v/>
      </c>
      <c r="D5" s="38">
        <f>C5/B5-1</f>
        <v/>
      </c>
      <c r="E5" s="38">
        <f>'03_Calculation'!Z101</f>
        <v/>
      </c>
      <c r="F5" s="36">
        <f>'03_Calculation'!AA101</f>
        <v/>
      </c>
      <c r="G5" s="37">
        <f>C5/E5</f>
        <v/>
      </c>
      <c r="H5" t="inlineStr">
        <is>
          <t>Public-reference conditions become commercially repeatable</t>
        </is>
      </c>
    </row>
    <row r="6">
      <c r="A6" s="36">
        <f>'03_Calculation'!B106</f>
        <v/>
      </c>
      <c r="B6" s="37">
        <f>'03_Calculation'!AB61/1000000000000000</f>
        <v/>
      </c>
      <c r="C6" s="37">
        <f>'03_Calculation'!AB106/1000000000000000</f>
        <v/>
      </c>
      <c r="D6" s="38">
        <f>C6/B6-1</f>
        <v/>
      </c>
      <c r="E6" s="38">
        <f>'03_Calculation'!Z106</f>
        <v/>
      </c>
      <c r="F6" s="36">
        <f>'03_Calculation'!AA106</f>
        <v/>
      </c>
      <c r="G6" s="37">
        <f>C6/E6</f>
        <v/>
      </c>
      <c r="H6" t="inlineStr">
        <is>
          <t>Public-reference conditions become commercially repeatable</t>
        </is>
      </c>
    </row>
    <row r="7">
      <c r="A7" s="36">
        <f>'03_Calculation'!B111</f>
        <v/>
      </c>
      <c r="B7" s="37">
        <f>'03_Calculation'!AB66/1000000000000000</f>
        <v/>
      </c>
      <c r="C7" s="37">
        <f>'03_Calculation'!AB111/1000000000000000</f>
        <v/>
      </c>
      <c r="D7" s="38">
        <f>C7/B7-1</f>
        <v/>
      </c>
      <c r="E7" s="38">
        <f>'03_Calculation'!Z111</f>
        <v/>
      </c>
      <c r="F7" s="36">
        <f>'03_Calculation'!AA111</f>
        <v/>
      </c>
      <c r="G7" s="37">
        <f>C7/E7</f>
        <v/>
      </c>
      <c r="H7" t="inlineStr">
        <is>
          <t>Public-reference conditions become commercially repeatable</t>
        </is>
      </c>
    </row>
    <row r="8">
      <c r="A8" s="36">
        <f>'03_Calculation'!B116</f>
        <v/>
      </c>
      <c r="B8" s="37">
        <f>'03_Calculation'!AB71/1000000000000000</f>
        <v/>
      </c>
      <c r="C8" s="37">
        <f>'03_Calculation'!AB116/1000000000000000</f>
        <v/>
      </c>
      <c r="D8" s="38">
        <f>C8/B8-1</f>
        <v/>
      </c>
      <c r="E8" s="38">
        <f>'03_Calculation'!Z116</f>
        <v/>
      </c>
      <c r="F8" s="36">
        <f>'03_Calculation'!AA116</f>
        <v/>
      </c>
      <c r="G8" s="37">
        <f>C8/E8</f>
        <v/>
      </c>
      <c r="H8" t="inlineStr">
        <is>
          <t>Public-reference conditions become commercially repeatable</t>
        </is>
      </c>
    </row>
    <row r="9">
      <c r="A9" s="36">
        <f>'03_Calculation'!B121</f>
        <v/>
      </c>
      <c r="B9" s="37">
        <f>'03_Calculation'!AB76/1000000000000000</f>
        <v/>
      </c>
      <c r="C9" s="37">
        <f>'03_Calculation'!AB121/1000000000000000</f>
        <v/>
      </c>
      <c r="D9" s="38">
        <f>C9/B9-1</f>
        <v/>
      </c>
      <c r="E9" s="38">
        <f>'03_Calculation'!Z121</f>
        <v/>
      </c>
      <c r="F9" s="36">
        <f>'03_Calculation'!AA121</f>
        <v/>
      </c>
      <c r="G9" s="37">
        <f>C9/E9</f>
        <v/>
      </c>
      <c r="H9" t="inlineStr">
        <is>
          <t>Public-reference conditions become commercially repeatable</t>
        </is>
      </c>
    </row>
    <row r="10">
      <c r="A10" s="36">
        <f>'03_Calculation'!B126</f>
        <v/>
      </c>
      <c r="B10" s="37">
        <f>'03_Calculation'!AB81/1000000000000000</f>
        <v/>
      </c>
      <c r="C10" s="37">
        <f>'03_Calculation'!AB126/1000000000000000</f>
        <v/>
      </c>
      <c r="D10" s="38">
        <f>C10/B10-1</f>
        <v/>
      </c>
      <c r="E10" s="38">
        <f>'03_Calculation'!Z126</f>
        <v/>
      </c>
      <c r="F10" s="36">
        <f>'03_Calculation'!AA126</f>
        <v/>
      </c>
      <c r="G10" s="37">
        <f>C10/E10</f>
        <v/>
      </c>
      <c r="H10" t="inlineStr">
        <is>
          <t>Public-reference conditions become commercially repeatable</t>
        </is>
      </c>
    </row>
    <row r="11">
      <c r="A11" s="36">
        <f>'03_Calculation'!B131</f>
        <v/>
      </c>
      <c r="B11" s="37">
        <f>'03_Calculation'!AB86/1000000000000000</f>
        <v/>
      </c>
      <c r="C11" s="37">
        <f>'03_Calculation'!AB131/1000000000000000</f>
        <v/>
      </c>
      <c r="D11" s="38">
        <f>C11/B11-1</f>
        <v/>
      </c>
      <c r="E11" s="38">
        <f>'03_Calculation'!Z131</f>
        <v/>
      </c>
      <c r="F11" s="36">
        <f>'03_Calculation'!AA131</f>
        <v/>
      </c>
      <c r="G11" s="37">
        <f>C11/E11</f>
        <v/>
      </c>
      <c r="H11" t="inlineStr">
        <is>
          <t>Public-reference conditions become commercially repeatable</t>
        </is>
      </c>
    </row>
    <row r="12">
      <c r="A12" s="36">
        <f>'03_Calculation'!B136</f>
        <v/>
      </c>
      <c r="B12" s="37">
        <f>'03_Calculation'!AB91/1000000000000000</f>
        <v/>
      </c>
      <c r="C12" s="37">
        <f>'03_Calculation'!AB136/1000000000000000</f>
        <v/>
      </c>
      <c r="D12" s="38">
        <f>C12/B12-1</f>
        <v/>
      </c>
      <c r="E12" s="38">
        <f>'03_Calculation'!Z136</f>
        <v/>
      </c>
      <c r="F12" s="36">
        <f>'03_Calculation'!AA136</f>
        <v/>
      </c>
      <c r="G12" s="37">
        <f>C12/E12</f>
        <v/>
      </c>
      <c r="H12" t="inlineStr">
        <is>
          <t>Public-reference conditions become commercially repeatable</t>
        </is>
      </c>
    </row>
    <row r="13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>
      <c r="A14" t="inlineStr">
        <is>
          <t>Total Q generated output tokens/day</t>
        </is>
      </c>
      <c r="B14" s="39" t="inlineStr">
        <is>
          <t>Base</t>
        </is>
      </c>
      <c r="C14" s="39" t="inlineStr">
        <is>
          <t>Bull</t>
        </is>
      </c>
      <c r="D14" s="39" t="inlineStr">
        <is>
          <t>Public Reference Ceiling</t>
        </is>
      </c>
    </row>
    <row r="15">
      <c r="A15" t="n">
        <v>2026</v>
      </c>
      <c r="B15" s="37">
        <f>SUMIFS('03_Calculation'!$AB:$AB,'03_Calculation'!$A:$A,"Base",'03_Calculation'!$C:$C,$A15)/1000000000000000</f>
        <v/>
      </c>
      <c r="C15" s="37">
        <f>SUMIFS('03_Calculation'!$AB:$AB,'03_Calculation'!$A:$A,"Bull",'03_Calculation'!$C:$C,$A15)/1000000000000000</f>
        <v/>
      </c>
      <c r="D15" s="37">
        <f>SUMPRODUCT(('03_Calculation'!$A$2:$A$181="Bull")*('03_Calculation'!$C$2:$C$181=$A15)*('03_Calculation'!$AB$2:$AB$181/'03_Calculation'!$Z$2:$Z$181))/1000000000000000</f>
        <v/>
      </c>
      <c r="E15" s="36" t="n"/>
      <c r="F15" s="36" t="n"/>
      <c r="G15" s="36" t="n"/>
      <c r="H15" s="36" t="n"/>
    </row>
    <row r="16">
      <c r="A16" t="n">
        <v>2027</v>
      </c>
      <c r="B16" s="37">
        <f>SUMIFS('03_Calculation'!$AB:$AB,'03_Calculation'!$A:$A,"Base",'03_Calculation'!$C:$C,$A16)/1000000000000000</f>
        <v/>
      </c>
      <c r="C16" s="37">
        <f>SUMIFS('03_Calculation'!$AB:$AB,'03_Calculation'!$A:$A,"Bull",'03_Calculation'!$C:$C,$A16)/1000000000000000</f>
        <v/>
      </c>
      <c r="D16" s="37">
        <f>SUMPRODUCT(('03_Calculation'!$A$2:$A$181="Bull")*('03_Calculation'!$C$2:$C$181=$A16)*('03_Calculation'!$AB$2:$AB$181/'03_Calculation'!$Z$2:$Z$181))/1000000000000000</f>
        <v/>
      </c>
      <c r="E16" s="36" t="n"/>
      <c r="F16" s="36" t="n"/>
      <c r="G16" s="36" t="n"/>
      <c r="H16" s="36" t="n"/>
    </row>
    <row r="17">
      <c r="A17" t="n">
        <v>2028</v>
      </c>
      <c r="B17" s="37">
        <f>SUMIFS('03_Calculation'!$AB:$AB,'03_Calculation'!$A:$A,"Base",'03_Calculation'!$C:$C,$A17)/1000000000000000</f>
        <v/>
      </c>
      <c r="C17" s="37">
        <f>SUMIFS('03_Calculation'!$AB:$AB,'03_Calculation'!$A:$A,"Bull",'03_Calculation'!$C:$C,$A17)/1000000000000000</f>
        <v/>
      </c>
      <c r="D17" s="37">
        <f>SUMPRODUCT(('03_Calculation'!$A$2:$A$181="Bull")*('03_Calculation'!$C$2:$C$181=$A17)*('03_Calculation'!$AB$2:$AB$181/'03_Calculation'!$Z$2:$Z$181))/1000000000000000</f>
        <v/>
      </c>
      <c r="E17" s="36" t="n"/>
      <c r="F17" s="36" t="n"/>
      <c r="G17" s="36" t="n"/>
      <c r="H17" s="36" t="n"/>
    </row>
    <row r="18">
      <c r="A18" t="n">
        <v>2029</v>
      </c>
      <c r="B18" s="37">
        <f>SUMIFS('03_Calculation'!$AB:$AB,'03_Calculation'!$A:$A,"Base",'03_Calculation'!$C:$C,$A18)/1000000000000000</f>
        <v/>
      </c>
      <c r="C18" s="37">
        <f>SUMIFS('03_Calculation'!$AB:$AB,'03_Calculation'!$A:$A,"Bull",'03_Calculation'!$C:$C,$A18)/1000000000000000</f>
        <v/>
      </c>
      <c r="D18" s="37">
        <f>SUMPRODUCT(('03_Calculation'!$A$2:$A$181="Bull")*('03_Calculation'!$C$2:$C$181=$A18)*('03_Calculation'!$AB$2:$AB$181/'03_Calculation'!$Z$2:$Z$181))/1000000000000000</f>
        <v/>
      </c>
      <c r="E18" s="36" t="n"/>
      <c r="F18" s="36" t="n"/>
      <c r="G18" s="36" t="n"/>
      <c r="H18" s="36" t="n"/>
    </row>
    <row r="19">
      <c r="A19" t="n">
        <v>2030</v>
      </c>
      <c r="B19" s="37">
        <f>SUMIFS('03_Calculation'!$AB:$AB,'03_Calculation'!$A:$A,"Base",'03_Calculation'!$C:$C,$A19)/1000000000000000</f>
        <v/>
      </c>
      <c r="C19" s="37">
        <f>SUMIFS('03_Calculation'!$AB:$AB,'03_Calculation'!$A:$A,"Bull",'03_Calculation'!$C:$C,$A19)/1000000000000000</f>
        <v/>
      </c>
      <c r="D19" s="37">
        <f>SUMPRODUCT(('03_Calculation'!$A$2:$A$181="Bull")*('03_Calculation'!$C$2:$C$181=$A19)*('03_Calculation'!$AB$2:$AB$181/'03_Calculation'!$Z$2:$Z$181))/1000000000000000</f>
        <v/>
      </c>
      <c r="E19" s="36" t="n"/>
      <c r="F19" s="36" t="n"/>
      <c r="G19" s="36" t="n"/>
      <c r="H19" s="36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6" customWidth="1" min="2" max="2"/>
    <col width="24" customWidth="1" min="3" max="3"/>
    <col width="20" customWidth="1" min="4" max="4"/>
    <col width="64" customWidth="1" min="5" max="5"/>
    <col width="14" customWidth="1" min="6" max="6"/>
    <col width="58" customWidth="1" min="7" max="7"/>
    <col width="12" customWidth="1" min="8" max="8"/>
    <col width="72" customWidth="1" min="9" max="9"/>
  </cols>
  <sheetData>
    <row r="1">
      <c r="A1" s="4" t="inlineStr">
        <is>
          <t>source_id</t>
        </is>
      </c>
      <c r="B1" s="4" t="inlineStr">
        <is>
          <t>title</t>
        </is>
      </c>
      <c r="C1" s="4" t="inlineStr">
        <is>
          <t>publisher</t>
        </is>
      </c>
      <c r="D1" s="4" t="inlineStr">
        <is>
          <t>date</t>
        </is>
      </c>
      <c r="E1" s="4" t="inlineStr">
        <is>
          <t>url_or_report</t>
        </is>
      </c>
      <c r="F1" s="4" t="inlineStr">
        <is>
          <t>tier</t>
        </is>
      </c>
      <c r="G1" s="4" t="inlineStr">
        <is>
          <t>use_in_model</t>
        </is>
      </c>
      <c r="H1" s="4" t="inlineStr">
        <is>
          <t>confidence</t>
        </is>
      </c>
      <c r="I1" s="4" t="inlineStr">
        <is>
          <t>note_kr</t>
        </is>
      </c>
    </row>
    <row r="2">
      <c r="A2" s="3" t="inlineStr">
        <is>
          <t>SRC_OPENAI_GPT41_DOCS</t>
        </is>
      </c>
      <c r="B2" s="3" t="inlineStr">
        <is>
          <t>GPT-4.1 model documentation</t>
        </is>
      </c>
      <c r="C2" s="3" t="inlineStr">
        <is>
          <t>OpenAI</t>
        </is>
      </c>
      <c r="D2" s="3" t="inlineStr">
        <is>
          <t>2025-04-14</t>
        </is>
      </c>
      <c r="E2" s="3" t="inlineStr">
        <is>
          <t>https://platform.openai.com/docs/models/gpt-4.1</t>
        </is>
      </c>
      <c r="F2" s="3" t="inlineStr">
        <is>
          <t>Tier 1</t>
        </is>
      </c>
      <c r="G2" s="3" t="inlineStr">
        <is>
          <t>OpenAI commercial model family and closed-model parameter disclosure boundary</t>
        </is>
      </c>
      <c r="H2" s="3" t="n">
        <v>0.9</v>
      </c>
      <c r="I2" s="3" t="inlineStr">
        <is>
          <t>모델 제공 사실 확인. 파라미터는 비공개이므로 band로만 사용.</t>
        </is>
      </c>
    </row>
    <row r="3">
      <c r="A3" s="3" t="inlineStr">
        <is>
          <t>SRC_OPENAI_STARGATE_ORACLE</t>
        </is>
      </c>
      <c r="B3" s="3" t="inlineStr">
        <is>
          <t>Stargate advances with partnership with Oracle</t>
        </is>
      </c>
      <c r="C3" s="3" t="inlineStr">
        <is>
          <t>OpenAI</t>
        </is>
      </c>
      <c r="D3" s="3" t="inlineStr">
        <is>
          <t>2025-07-22</t>
        </is>
      </c>
      <c r="E3" s="3" t="inlineStr">
        <is>
          <t>https://openai.com/index/stargate-advances-with-partnership-with-oracle/</t>
        </is>
      </c>
      <c r="F3" s="3" t="inlineStr">
        <is>
          <t>Tier 1</t>
        </is>
      </c>
      <c r="G3" s="3" t="inlineStr">
        <is>
          <t>OpenAI hosting capacity ramp anchor, not a precise active IT load</t>
        </is>
      </c>
      <c r="H3" s="3" t="n">
        <v>0.85</v>
      </c>
      <c r="I3" s="3" t="inlineStr">
        <is>
          <t>Stargate/Oracle capacity는 OpenAI 모델 owner capacity로 귀속하되 ramp는 시나리오.</t>
        </is>
      </c>
    </row>
    <row r="4">
      <c r="A4" s="3" t="inlineStr">
        <is>
          <t>SRC_OPENAI_STARGATE_PROGRESS</t>
        </is>
      </c>
      <c r="B4" s="3" t="inlineStr">
        <is>
          <t>Five new Stargate sites and nearly 7 GW planned capacity</t>
        </is>
      </c>
      <c r="C4" s="3" t="inlineStr">
        <is>
          <t>OpenAI</t>
        </is>
      </c>
      <c r="D4" s="3" t="inlineStr">
        <is>
          <t>2025-09-23</t>
        </is>
      </c>
      <c r="E4" s="3" t="inlineStr">
        <is>
          <t>https://openai.com/index/five-new-stargate-sites/</t>
        </is>
      </c>
      <c r="F4" s="3" t="inlineStr">
        <is>
          <t>Tier 1</t>
        </is>
      </c>
      <c r="G4" s="3" t="inlineStr">
        <is>
          <t>OpenAI 2030 contracted/planned capacity upper-bound anchor</t>
        </is>
      </c>
      <c r="H4" s="3" t="n">
        <v>0.86</v>
      </c>
      <c r="I4" s="3" t="inlineStr">
        <is>
          <t>Stargate planned capacity는 active IT load가 아니며 operational deploy multiplier를 통해 반영.</t>
        </is>
      </c>
    </row>
    <row r="5">
      <c r="A5" s="3" t="inlineStr">
        <is>
          <t>SRC_GOOGLE_GEMINI_TOKENS</t>
        </is>
      </c>
      <c r="B5" s="3" t="inlineStr">
        <is>
          <t>Gemini API token documentation</t>
        </is>
      </c>
      <c r="C5" s="3" t="inlineStr">
        <is>
          <t>Google AI for Developers</t>
        </is>
      </c>
      <c r="D5" s="3" t="inlineStr">
        <is>
          <t>2026-05-13 accessed</t>
        </is>
      </c>
      <c r="E5" s="3" t="inlineStr">
        <is>
          <t>https://ai.google.dev/gemini-api/docs/tokens</t>
        </is>
      </c>
      <c r="F5" s="3" t="inlineStr">
        <is>
          <t>Tier 1</t>
        </is>
      </c>
      <c r="G5" s="3" t="inlineStr">
        <is>
          <t>Token accounting and context handling anchor for Gemini surfaces</t>
        </is>
      </c>
      <c r="H5" s="3" t="n">
        <v>0.9</v>
      </c>
      <c r="I5" s="3" t="inlineStr">
        <is>
          <t>토큰 산식 및 Gemini API token accounting 확인용.</t>
        </is>
      </c>
    </row>
    <row r="6">
      <c r="A6" s="3" t="inlineStr">
        <is>
          <t>SRC_GOOGLE_IRONWOOD</t>
        </is>
      </c>
      <c r="B6" s="3" t="inlineStr">
        <is>
          <t>Ironwood TPU: the age of inference</t>
        </is>
      </c>
      <c r="C6" s="3" t="inlineStr">
        <is>
          <t>Google Cloud</t>
        </is>
      </c>
      <c r="D6" s="3" t="inlineStr">
        <is>
          <t>2025-04-09</t>
        </is>
      </c>
      <c r="E6" s="3" t="inlineStr">
        <is>
          <t>https://blog.google/products/google-cloud/ironwood-tpu-age-of-inference/</t>
        </is>
      </c>
      <c r="F6" s="3" t="inlineStr">
        <is>
          <t>Tier 1</t>
        </is>
      </c>
      <c r="G6" s="3" t="inlineStr">
        <is>
          <t>Google TPU serving platform and inference-optimized hardware direction</t>
        </is>
      </c>
      <c r="H6" s="3" t="n">
        <v>0.88</v>
      </c>
      <c r="I6" s="3" t="inlineStr">
        <is>
          <t>Google은 TPU 기반 serving 효율 개선 가정의 1차 anchor.</t>
        </is>
      </c>
    </row>
    <row r="7">
      <c r="A7" s="3" t="inlineStr">
        <is>
          <t>SRC_META_LLAMA</t>
        </is>
      </c>
      <c r="B7" s="3" t="inlineStr">
        <is>
          <t>Llama model family official site and model cards</t>
        </is>
      </c>
      <c r="C7" s="3" t="inlineStr">
        <is>
          <t>Meta AI</t>
        </is>
      </c>
      <c r="D7" s="3" t="inlineStr">
        <is>
          <t>2026-05-13 accessed</t>
        </is>
      </c>
      <c r="E7" s="3" t="inlineStr">
        <is>
          <t>https://www.llama.com/</t>
        </is>
      </c>
      <c r="F7" s="3" t="inlineStr">
        <is>
          <t>Tier 1</t>
        </is>
      </c>
      <c r="G7" s="3" t="inlineStr">
        <is>
          <t>Llama model family and open model parameter disclosures where available</t>
        </is>
      </c>
      <c r="H7" s="3" t="n">
        <v>0.82</v>
      </c>
      <c r="I7" s="3" t="inlineStr">
        <is>
          <t>공개 Llama 계열은 model card 기준, 비공개 Meta AI serving은 band 처리.</t>
        </is>
      </c>
    </row>
    <row r="8">
      <c r="A8" s="3" t="inlineStr">
        <is>
          <t>SRC_XAI_MODELS</t>
        </is>
      </c>
      <c r="B8" s="3" t="inlineStr">
        <is>
          <t>xAI model documentation</t>
        </is>
      </c>
      <c r="C8" s="3" t="inlineStr">
        <is>
          <t>xAI</t>
        </is>
      </c>
      <c r="D8" s="3" t="inlineStr">
        <is>
          <t>2026-05-13 accessed</t>
        </is>
      </c>
      <c r="E8" s="3" t="inlineStr">
        <is>
          <t>https://docs.x.ai/docs/models</t>
        </is>
      </c>
      <c r="F8" s="3" t="inlineStr">
        <is>
          <t>Tier 1</t>
        </is>
      </c>
      <c r="G8" s="3" t="inlineStr">
        <is>
          <t>Grok commercial model surface and closed-model disclosure boundary</t>
        </is>
      </c>
      <c r="H8" s="3" t="n">
        <v>0.78</v>
      </c>
      <c r="I8" s="3" t="inlineStr">
        <is>
          <t>Grok 모델 제공 사실 확인. Colossus active power는 scenario.</t>
        </is>
      </c>
    </row>
    <row r="9">
      <c r="A9" s="3" t="inlineStr">
        <is>
          <t>SRC_XAI_NVIDIA_COLOSSUS</t>
        </is>
      </c>
      <c r="B9" s="3" t="inlineStr">
        <is>
          <t>xAI's Colossus supercomputer cluster</t>
        </is>
      </c>
      <c r="C9" s="3" t="inlineStr">
        <is>
          <t>NVIDIA</t>
        </is>
      </c>
      <c r="D9" s="3" t="inlineStr">
        <is>
          <t>2024-12-04</t>
        </is>
      </c>
      <c r="E9" s="3" t="inlineStr">
        <is>
          <t>https://blogs.nvidia.com/blog/xai-colossus/</t>
        </is>
      </c>
      <c r="F9" s="3" t="inlineStr">
        <is>
          <t>Tier 1/2</t>
        </is>
      </c>
      <c r="G9" s="3" t="inlineStr">
        <is>
          <t>xAI GPU cluster scale anchor for active power and serving/training capacity scenarios</t>
        </is>
      </c>
      <c r="H9" s="3" t="n">
        <v>0.82</v>
      </c>
      <c r="I9" s="3" t="inlineStr">
        <is>
          <t>100k Hopper GPU와 200k expansion 방향성은 cluster scale anchor. GW 환산은 estimate.</t>
        </is>
      </c>
    </row>
    <row r="10">
      <c r="A10" s="3" t="inlineStr">
        <is>
          <t>SRC_DEEPSEEK_V3</t>
        </is>
      </c>
      <c r="B10" s="3" t="inlineStr">
        <is>
          <t>DeepSeek-V3 GitHub repository and technical report</t>
        </is>
      </c>
      <c r="C10" s="3" t="inlineStr">
        <is>
          <t>DeepSeek</t>
        </is>
      </c>
      <c r="D10" s="3" t="inlineStr">
        <is>
          <t>2024-12-26</t>
        </is>
      </c>
      <c r="E10" s="3" t="inlineStr">
        <is>
          <t>https://github.com/deepseek-ai/DeepSeek-V3</t>
        </is>
      </c>
      <c r="F10" s="3" t="inlineStr">
        <is>
          <t>Tier 1</t>
        </is>
      </c>
      <c r="G10" s="3" t="inlineStr">
        <is>
          <t>MoE total and active parameter anchor</t>
        </is>
      </c>
      <c r="H10" s="3" t="n">
        <v>0.92</v>
      </c>
      <c r="I10" s="3" t="inlineStr">
        <is>
          <t>671B total / 37B active MoE 구조 anchor.</t>
        </is>
      </c>
    </row>
    <row r="11">
      <c r="A11" s="3" t="inlineStr">
        <is>
          <t>SRC_DEEPSEEK_R1</t>
        </is>
      </c>
      <c r="B11" s="3" t="inlineStr">
        <is>
          <t>DeepSeek-R1 GitHub repository</t>
        </is>
      </c>
      <c r="C11" s="3" t="inlineStr">
        <is>
          <t>DeepSeek</t>
        </is>
      </c>
      <c r="D11" s="3" t="inlineStr">
        <is>
          <t>2025-01-20</t>
        </is>
      </c>
      <c r="E11" s="3" t="inlineStr">
        <is>
          <t>https://github.com/deepseek-ai/DeepSeek-R1</t>
        </is>
      </c>
      <c r="F11" s="3" t="inlineStr">
        <is>
          <t>Tier 1</t>
        </is>
      </c>
      <c r="G11" s="3" t="inlineStr">
        <is>
          <t>Reasoning model family and distillation ecosystem anchor</t>
        </is>
      </c>
      <c r="H11" s="3" t="n">
        <v>0.88</v>
      </c>
      <c r="I11" s="3" t="inlineStr">
        <is>
          <t>R1 상용/오픈 생태계 확인. serving power는 별도 scenario.</t>
        </is>
      </c>
    </row>
    <row r="12">
      <c r="A12" s="3" t="inlineStr">
        <is>
          <t>SRC_DEEPSEEK_V4_PRO</t>
        </is>
      </c>
      <c r="B12" s="3" t="inlineStr">
        <is>
          <t>DeepSeek-V4-Pro model card</t>
        </is>
      </c>
      <c r="C12" s="3" t="inlineStr">
        <is>
          <t>DeepSeek / Hugging Face</t>
        </is>
      </c>
      <c r="D12" s="3" t="inlineStr">
        <is>
          <t>2026-06-26</t>
        </is>
      </c>
      <c r="E12" s="3" t="inlineStr">
        <is>
          <t>https://huggingface.co/deepseek-ai/DeepSeek-V4-Pro</t>
        </is>
      </c>
      <c r="F12" s="3" t="inlineStr">
        <is>
          <t>Tier 1</t>
        </is>
      </c>
      <c r="G12" s="3" t="inlineStr">
        <is>
          <t>DeepSeek V4 Pro proxy model identity, MoE total/active parameter anchor and long-context capability</t>
        </is>
      </c>
      <c r="H12" s="3" t="n">
        <v>0.9</v>
      </c>
      <c r="I12" s="3" t="inlineStr">
        <is>
          <t>DeepSeek V4 Pro는 1.6T total / 49B activated MoE 및 1M context를 공개한 frontier-class proxy로 사용.</t>
        </is>
      </c>
    </row>
    <row r="13">
      <c r="A13" s="3" t="inlineStr">
        <is>
          <t>SRC_KIMI_K25</t>
        </is>
      </c>
      <c r="B13" s="3" t="inlineStr">
        <is>
          <t>Kimi K2.5 model page and repository</t>
        </is>
      </c>
      <c r="C13" s="3" t="inlineStr">
        <is>
          <t>Moonshot AI</t>
        </is>
      </c>
      <c r="D13" s="3" t="inlineStr">
        <is>
          <t>2026-02-22</t>
        </is>
      </c>
      <c r="E13" s="3" t="inlineStr">
        <is>
          <t>https://www.kimi.com/ai-models/kimi-k2-5 ; https://github.com/MoonshotAI/Kimi-K2.5</t>
        </is>
      </c>
      <c r="F13" s="3" t="inlineStr">
        <is>
          <t>Tier 1</t>
        </is>
      </c>
      <c r="G13" s="3" t="inlineStr">
        <is>
          <t>Kimi K2.5 proxy model identity, multimodal/agentic capability and deployment support</t>
        </is>
      </c>
      <c r="H13" s="3" t="n">
        <v>0.88</v>
      </c>
      <c r="I13" s="3" t="inlineStr">
        <is>
          <t>Kimi K2.5는 공개 agentic/multimodal frontier proxy로 DeepSeek V4 Pro와 함께 composite TPS/MW 산정에 사용.</t>
        </is>
      </c>
    </row>
    <row r="14">
      <c r="A14" s="3" t="inlineStr">
        <is>
          <t>SRC_QWEN3_GITHUB</t>
        </is>
      </c>
      <c r="B14" s="3" t="inlineStr">
        <is>
          <t>Qwen3 GitHub repository</t>
        </is>
      </c>
      <c r="C14" s="3" t="inlineStr">
        <is>
          <t>Alibaba / Qwen Team</t>
        </is>
      </c>
      <c r="D14" s="3" t="inlineStr">
        <is>
          <t>2025-04-29</t>
        </is>
      </c>
      <c r="E14" s="3" t="inlineStr">
        <is>
          <t>https://github.com/QwenLM/Qwen3</t>
        </is>
      </c>
      <c r="F14" s="3" t="inlineStr">
        <is>
          <t>Tier 1</t>
        </is>
      </c>
      <c r="G14" s="3" t="inlineStr">
        <is>
          <t>Qwen3 dense/MoE family and active parameter anchor</t>
        </is>
      </c>
      <c r="H14" s="3" t="n">
        <v>0.9</v>
      </c>
      <c r="I14" s="3" t="inlineStr">
        <is>
          <t>Qwen3 MoE total/active parameter 구조 anchor.</t>
        </is>
      </c>
    </row>
    <row r="15">
      <c r="A15" s="3" t="inlineStr">
        <is>
          <t>SRC_META_LLAMA4_NVIDIA</t>
        </is>
      </c>
      <c r="B15" s="3" t="inlineStr">
        <is>
          <t>Meta Llama 4 model family optimization notes</t>
        </is>
      </c>
      <c r="C15" s="3" t="inlineStr">
        <is>
          <t>NVIDIA Developer Blog</t>
        </is>
      </c>
      <c r="D15" s="3" t="inlineStr">
        <is>
          <t>2025-04-07</t>
        </is>
      </c>
      <c r="E15" s="3" t="inlineStr">
        <is>
          <t>https://developer.nvidia.com/blog/meta-llama-4-first-nvidia-optimized-mixture-of-experts-models/</t>
        </is>
      </c>
      <c r="F15" s="3" t="inlineStr">
        <is>
          <t>Tier 2</t>
        </is>
      </c>
      <c r="G15" s="3" t="inlineStr">
        <is>
          <t>Llama 4 Scout/Maverick total-active parameter anchor when official Meta page is less accessible</t>
        </is>
      </c>
      <c r="H15" s="3" t="n">
        <v>0.74</v>
      </c>
      <c r="I15" s="3" t="inlineStr">
        <is>
          <t>Meta Llama 4 MoE parameter facts는 model card/official ecosystem cross-check 필요.</t>
        </is>
      </c>
    </row>
    <row r="16">
      <c r="A16" s="3" t="inlineStr">
        <is>
          <t>SRC_TENCENT_HY3</t>
        </is>
      </c>
      <c r="B16" s="3" t="inlineStr">
        <is>
          <t>Tencent launches Hunyuan 3D generation model Hy3</t>
        </is>
      </c>
      <c r="C16" s="3" t="inlineStr">
        <is>
          <t>Tencent</t>
        </is>
      </c>
      <c r="D16" s="3" t="inlineStr">
        <is>
          <t>2025-01-21</t>
        </is>
      </c>
      <c r="E16" s="3" t="inlineStr">
        <is>
          <t>https://www.tencent.com/en-us/articles/2202320.html</t>
        </is>
      </c>
      <c r="F16" s="3" t="inlineStr">
        <is>
          <t>Tier 1</t>
        </is>
      </c>
      <c r="G16" s="3" t="inlineStr">
        <is>
          <t>Tencent Hunyuan commercial surface and model-family anchor</t>
        </is>
      </c>
      <c r="H16" s="3" t="n">
        <v>0.78</v>
      </c>
      <c r="I16" s="3" t="inlineStr">
        <is>
          <t>Hy3는 3D 생성 모델이므로 LLM token forecast에는 Hunyuan surface 확인용으로만 사용.</t>
        </is>
      </c>
    </row>
    <row r="17">
      <c r="A17" s="3" t="inlineStr">
        <is>
          <t>SRC_TENCENT_HUNYUAN</t>
        </is>
      </c>
      <c r="B17" s="3" t="inlineStr">
        <is>
          <t>Tencent unveils Hunyuan foundation model</t>
        </is>
      </c>
      <c r="C17" s="3" t="inlineStr">
        <is>
          <t>Tencent</t>
        </is>
      </c>
      <c r="D17" s="3" t="inlineStr">
        <is>
          <t>2023-09-07</t>
        </is>
      </c>
      <c r="E17" s="3" t="inlineStr">
        <is>
          <t>https://www.tencent.com/en-us/articles/2201460.html</t>
        </is>
      </c>
      <c r="F17" s="3" t="inlineStr">
        <is>
          <t>Tier 1</t>
        </is>
      </c>
      <c r="G17" s="3" t="inlineStr">
        <is>
          <t>Tencent Hunyuan parameter and pretraining token anchor</t>
        </is>
      </c>
      <c r="H17" s="3" t="n">
        <v>0.82</v>
      </c>
      <c r="I17" s="3" t="inlineStr">
        <is>
          <t>Hunyuan 100B+ parameter와 2T+ pretraining token 공개 anchor.</t>
        </is>
      </c>
    </row>
    <row r="18">
      <c r="A18" s="3" t="inlineStr">
        <is>
          <t>SRC_MS_PHI</t>
        </is>
      </c>
      <c r="B18" s="3" t="inlineStr">
        <is>
          <t>Phi model family on Azure AI Foundry / Microsoft documentation</t>
        </is>
      </c>
      <c r="C18" s="3" t="inlineStr">
        <is>
          <t>Microsoft</t>
        </is>
      </c>
      <c r="D18" s="3" t="inlineStr">
        <is>
          <t>2026-05-13 accessed</t>
        </is>
      </c>
      <c r="E18" s="3" t="inlineStr">
        <is>
          <t>https://learn.microsoft.com/en-us/azure/ai-foundry/model-inference/concepts/models</t>
        </is>
      </c>
      <c r="F18" s="3" t="inlineStr">
        <is>
          <t>Tier 1</t>
        </is>
      </c>
      <c r="G18" s="3" t="inlineStr">
        <is>
          <t>Microsoft-owned small language model family anchor</t>
        </is>
      </c>
      <c r="H18" s="3" t="n">
        <v>0.78</v>
      </c>
      <c r="I18" s="3" t="inlineStr">
        <is>
          <t>Microsoft token attribution은 Phi/MAI owned와 OpenAI model dependency를 분리.</t>
        </is>
      </c>
    </row>
    <row r="19">
      <c r="A19" s="3" t="inlineStr">
        <is>
          <t>SRC_MS_PHI4_TECHREPORT</t>
        </is>
      </c>
      <c r="B19" s="3" t="inlineStr">
        <is>
          <t>Phi-4 technical report</t>
        </is>
      </c>
      <c r="C19" s="3" t="inlineStr">
        <is>
          <t>Microsoft</t>
        </is>
      </c>
      <c r="D19" s="3" t="inlineStr">
        <is>
          <t>2024-12-12</t>
        </is>
      </c>
      <c r="E19" s="3" t="inlineStr">
        <is>
          <t>https://arxiv.org/abs/2412.08905</t>
        </is>
      </c>
      <c r="F19" s="3" t="inlineStr">
        <is>
          <t>Tier 1/2</t>
        </is>
      </c>
      <c r="G19" s="3" t="inlineStr">
        <is>
          <t>Microsoft-owned Phi-4 14B parameter anchor</t>
        </is>
      </c>
      <c r="H19" s="3" t="n">
        <v>0.82</v>
      </c>
      <c r="I19" s="3" t="inlineStr">
        <is>
          <t>Phi-4는 Microsoft-owned model size anchor. Copilot frontier routing은 별도 attribution.</t>
        </is>
      </c>
    </row>
    <row r="20">
      <c r="A20" s="3" t="inlineStr">
        <is>
          <t>SRC_MS_MAIA200</t>
        </is>
      </c>
      <c r="B20" s="3" t="inlineStr">
        <is>
          <t>Microsoft introduces Maia 200: New inference accelerator enhances AI performance in Azure</t>
        </is>
      </c>
      <c r="C20" s="3" t="inlineStr">
        <is>
          <t>Microsoft</t>
        </is>
      </c>
      <c r="D20" s="3" t="inlineStr">
        <is>
          <t>2026-01-26</t>
        </is>
      </c>
      <c r="E20" s="3" t="inlineStr">
        <is>
          <t>https://news.microsoft.com/source/emea/2026/01/microsoft-introduces-maia-200-new-inference-accelerator-enhances-ai-performance-in-azure/</t>
        </is>
      </c>
      <c r="F20" s="3" t="inlineStr">
        <is>
          <t>Tier 1</t>
        </is>
      </c>
      <c r="G20" s="3" t="inlineStr">
        <is>
          <t>Confirms Maia 200 is an inference accelerator deployed for Microsoft AI models, Azure AI Foundry and Microsoft 365 Copilot</t>
        </is>
      </c>
      <c r="H20" s="3" t="n">
        <v>0.91</v>
      </c>
      <c r="I20" s="3" t="inlineStr">
        <is>
          <t>Maia 존재와 inference 용도는 fact. Microsoft serving fleet 내 Maia 비중은 scenario.</t>
        </is>
      </c>
    </row>
    <row r="21">
      <c r="A21" s="3" t="inlineStr">
        <is>
          <t>SRC_GOOGLE_TPU_V6E</t>
        </is>
      </c>
      <c r="B21" s="3" t="inlineStr">
        <is>
          <t>Cloud TPU v6e / Trillium documentation</t>
        </is>
      </c>
      <c r="C21" s="3" t="inlineStr">
        <is>
          <t>Google Cloud</t>
        </is>
      </c>
      <c r="D21" s="3" t="inlineStr">
        <is>
          <t>2026-05-14 accessed</t>
        </is>
      </c>
      <c r="E21" s="3" t="inlineStr">
        <is>
          <t>https://cloud.google.com/tpu/docs/v6e</t>
        </is>
      </c>
      <c r="F21" s="3" t="inlineStr">
        <is>
          <t>Tier 1</t>
        </is>
      </c>
      <c r="G21" s="3" t="inlineStr">
        <is>
          <t>Google TPU serving/training platform generation anchor</t>
        </is>
      </c>
      <c r="H21" s="3" t="n">
        <v>0.84</v>
      </c>
      <c r="I21" s="3" t="inlineStr">
        <is>
          <t>Ironwood와 함께 Google TPU-heavy serving platform의 factual hardware lineage.</t>
        </is>
      </c>
    </row>
    <row r="22">
      <c r="A22" s="3" t="inlineStr">
        <is>
          <t>SRC_ANTHROPIC_AMAZON_COMPUTE</t>
        </is>
      </c>
      <c r="B22" s="3" t="inlineStr">
        <is>
          <t>Anthropic and AWS expand partnership with Project Rainier</t>
        </is>
      </c>
      <c r="C22" s="3" t="inlineStr">
        <is>
          <t>Anthropic / Amazon</t>
        </is>
      </c>
      <c r="D22" s="3" t="inlineStr">
        <is>
          <t>2025-2026</t>
        </is>
      </c>
      <c r="E22" s="3" t="inlineStr">
        <is>
          <t>https://www.anthropic.com/news/anthropic-amazon-compute</t>
        </is>
      </c>
      <c r="F22" s="3" t="inlineStr">
        <is>
          <t>Tier 1</t>
        </is>
      </c>
      <c r="G22" s="3" t="inlineStr">
        <is>
          <t>Anthropic contracted/hosted capacity anchor; capacity attributed to Anthropic model owner</t>
        </is>
      </c>
      <c r="H22" s="3" t="n">
        <v>0.84</v>
      </c>
      <c r="I22" s="3" t="inlineStr">
        <is>
          <t>AWS Trainium/Rainier capacity는 Anthropic 모델 serving/training capacity anchor로 사용하되 active GW는 시나리오.</t>
        </is>
      </c>
    </row>
    <row r="23">
      <c r="A23" s="3" t="inlineStr">
        <is>
          <t>SRC_ANTHROPIC_CLAUDE_DOCS</t>
        </is>
      </c>
      <c r="B23" s="3" t="inlineStr">
        <is>
          <t>Claude model documentation</t>
        </is>
      </c>
      <c r="C23" s="3" t="inlineStr">
        <is>
          <t>Anthropic</t>
        </is>
      </c>
      <c r="D23" s="3" t="inlineStr">
        <is>
          <t>2026-05-14 accessed</t>
        </is>
      </c>
      <c r="E23" s="3" t="inlineStr">
        <is>
          <t>https://docs.anthropic.com/en/docs/about-claude/models/overview</t>
        </is>
      </c>
      <c r="F23" s="3" t="inlineStr">
        <is>
          <t>Tier 1</t>
        </is>
      </c>
      <c r="G23" s="3" t="inlineStr">
        <is>
          <t>Claude commercial model family and closed-model disclosure boundary</t>
        </is>
      </c>
      <c r="H23" s="3" t="n">
        <v>0.86</v>
      </c>
      <c r="I23" s="3" t="inlineStr">
        <is>
          <t>Claude 모델 family 확인. 파라미터는 비공개이므로 band/benchmark proxy만 사용.</t>
        </is>
      </c>
    </row>
    <row r="24">
      <c r="A24" s="3" t="inlineStr">
        <is>
          <t>SRC_AWS_RAINIER_ACTIVE</t>
        </is>
      </c>
      <c r="B24" s="3" t="inlineStr">
        <is>
          <t>AWS activates Project Rainier: AI compute cluster for Anthropic</t>
        </is>
      </c>
      <c r="C24" s="3" t="inlineStr">
        <is>
          <t>Amazon Web Services / Amazon</t>
        </is>
      </c>
      <c r="D24" s="3" t="inlineStr">
        <is>
          <t>2025-10-29</t>
        </is>
      </c>
      <c r="E24" s="3" t="inlineStr">
        <is>
          <t>https://www.aboutamazon.com/news/aws/aws-project-rainier-ai-trainium-chips-compute-cluster</t>
        </is>
      </c>
      <c r="F24" s="3" t="inlineStr">
        <is>
          <t>Tier 1</t>
        </is>
      </c>
      <c r="G24" s="3" t="inlineStr">
        <is>
          <t>Confirms Anthropic-dedicated Trainium2 capacity direction and purpose-built accelerator presence</t>
        </is>
      </c>
      <c r="H24" s="3" t="n">
        <v>0.9</v>
      </c>
      <c r="I24" s="3" t="inlineStr">
        <is>
          <t>Trainium hardware direction은 fact. Claude inference/training allocation과 year-by-year mix는 scenario.</t>
        </is>
      </c>
    </row>
    <row r="25">
      <c r="A25" s="3" t="inlineStr">
        <is>
          <t>SRC_META_MTIA_GENAI_2026</t>
        </is>
      </c>
      <c r="B25" s="3" t="inlineStr">
        <is>
          <t>Expanding Meta's Custom Silicon to Power Our AI Workloads</t>
        </is>
      </c>
      <c r="C25" s="3" t="inlineStr">
        <is>
          <t>Meta</t>
        </is>
      </c>
      <c r="D25" s="3" t="inlineStr">
        <is>
          <t>2026-03-11</t>
        </is>
      </c>
      <c r="E25" s="3" t="inlineStr">
        <is>
          <t>https://about.fb.com/news/2026/03/expanding-metas-custom-silicon-to-power-our-ai-workloads/</t>
        </is>
      </c>
      <c r="F25" s="3" t="inlineStr">
        <is>
          <t>Tier 1</t>
        </is>
      </c>
      <c r="G25" s="3" t="inlineStr">
        <is>
          <t>Confirms hundreds of thousands of MTIA deployed for inference and MTIA 400/450/500 focus on GenAI inference production</t>
        </is>
      </c>
      <c r="H25" s="3" t="n">
        <v>0.92</v>
      </c>
      <c r="I25" s="3" t="inlineStr">
        <is>
          <t>MTIA 존재와 inference-first 방향은 fact. Meta AI LLM serving의 MTIA share는 scenario.</t>
        </is>
      </c>
    </row>
    <row r="26">
      <c r="A26" s="3" t="inlineStr">
        <is>
          <t>SRC_DEEPSEEK_H800_INFERENCE</t>
        </is>
      </c>
      <c r="B26" s="3" t="inlineStr">
        <is>
          <t>DeepSeek-V3/R1 inference system overview</t>
        </is>
      </c>
      <c r="C26" s="3" t="inlineStr">
        <is>
          <t>DeepSeek</t>
        </is>
      </c>
      <c r="D26" s="3" t="inlineStr">
        <is>
          <t>2025-02-28</t>
        </is>
      </c>
      <c r="E26" s="3" t="inlineStr">
        <is>
          <t>https://github.com/deepseek-ai/open-infra-index/blob/main/202502OpenSourceWeek/day_6_one_more_thing_deepseekV3R1_inference_system_overview.md</t>
        </is>
      </c>
      <c r="F26" s="3" t="inlineStr">
        <is>
          <t>Tier 1</t>
        </is>
      </c>
      <c r="G26" s="3" t="inlineStr">
        <is>
          <t>Confirms disclosed DeepSeek-operated V3/R1 inference services used H800 GPUs and reports peak/average node occupancy</t>
        </is>
      </c>
      <c r="H26" s="3" t="n">
        <v>0.91</v>
      </c>
      <c r="I26" s="3" t="inlineStr">
        <is>
          <t>공개 시점의 H800 serving은 fact. 2026-2030 증설 규모는 scenario.</t>
        </is>
      </c>
    </row>
    <row r="27">
      <c r="A27" s="3" t="inlineStr">
        <is>
          <t>SRC_ALIBABA_QWEN_GPU_DEPLOY</t>
        </is>
      </c>
      <c r="B27" s="3" t="inlineStr">
        <is>
          <t>Deploy a Qwen3-32B inference service with ACS GPU computing power</t>
        </is>
      </c>
      <c r="C27" s="3" t="inlineStr">
        <is>
          <t>Alibaba Cloud</t>
        </is>
      </c>
      <c r="D27" s="3" t="inlineStr">
        <is>
          <t>2025-09-18</t>
        </is>
      </c>
      <c r="E27" s="3" t="inlineStr">
        <is>
          <t>https://www.alibabacloud.com/help/doc-detail/2921971.html</t>
        </is>
      </c>
      <c r="F27" s="3" t="inlineStr">
        <is>
          <t>Tier 1</t>
        </is>
      </c>
      <c r="G27" s="3" t="inlineStr">
        <is>
          <t>Confirms an official Alibaba Cloud GPU deployment path for Qwen inference; not an operated fleet-share disclosure</t>
        </is>
      </c>
      <c r="H27" s="3" t="n">
        <v>0.78</v>
      </c>
      <c r="I27" s="3" t="inlineStr">
        <is>
          <t>Qwen GPU serving 가능성은 fact. 실제 Alibaba-operated GPU/ASIC 비중은 공개되지 않아 Base는 GPU reference 처리.</t>
        </is>
      </c>
    </row>
    <row r="28">
      <c r="A28" s="3" t="inlineStr">
        <is>
          <t>SRC_TENCENT_AI_INFRA_MOE</t>
        </is>
      </c>
      <c r="B28" s="3" t="inlineStr">
        <is>
          <t>Tencent Unveils New AI Upgrades, Proprietary Innovations, and Global Solutions</t>
        </is>
      </c>
      <c r="C28" s="3" t="inlineStr">
        <is>
          <t>Tencent</t>
        </is>
      </c>
      <c r="D28" s="3" t="inlineStr">
        <is>
          <t>2024-09-05</t>
        </is>
      </c>
      <c r="E28" s="3" t="inlineStr">
        <is>
          <t>https://www.tencent.com/en-us/articles/2201930.html</t>
        </is>
      </c>
      <c r="F28" s="3" t="inlineStr">
        <is>
          <t>Tier 1</t>
        </is>
      </c>
      <c r="G28" s="3" t="inlineStr">
        <is>
          <t>Confirms Tencent AI Infra and Hunyuan Turbo MoE service with stated inference-cost reduction</t>
        </is>
      </c>
      <c r="H28" s="3" t="n">
        <v>0.84</v>
      </c>
      <c r="I28" s="3" t="inlineStr">
        <is>
          <t>MoE/infra 방향은 fact. 운영 GPU/ASIC mix와 tokens/MW는 정량 미공개로 scenario.</t>
        </is>
      </c>
    </row>
    <row r="29">
      <c r="A29" s="3" t="inlineStr">
        <is>
          <t>SRC_SEMIANALYSIS_INFERENCEX</t>
        </is>
      </c>
      <c r="B29" s="3" t="inlineStr">
        <is>
          <t>InferenceX / InferenceMAX benchmark methodology</t>
        </is>
      </c>
      <c r="C29" s="3" t="inlineStr">
        <is>
          <t>SemiAnalysis</t>
        </is>
      </c>
      <c r="D29" s="3" t="inlineStr">
        <is>
          <t>2025-2026</t>
        </is>
      </c>
      <c r="E29" s="3" t="inlineStr">
        <is>
          <t>https://inferencex.semianalysis.com/about</t>
        </is>
      </c>
      <c r="F29" s="3" t="inlineStr">
        <is>
          <t>Tier 2</t>
        </is>
      </c>
      <c r="G29" s="3" t="inlineStr">
        <is>
          <t>Benchmark layer for tokens/sec/MW sensitivity, not company capacity</t>
        </is>
      </c>
      <c r="H29" s="3" t="n">
        <v>0.7</v>
      </c>
      <c r="I29" s="3" t="inlineStr">
        <is>
          <t>tokens/sec/MW benchmark calibration. 업체별 capacity fact로 직접 사용하지 않음.</t>
        </is>
      </c>
    </row>
    <row r="30">
      <c r="A30" s="3" t="inlineStr">
        <is>
          <t>SRC_MLPERF_INFERENCE</t>
        </is>
      </c>
      <c r="B30" s="3" t="inlineStr">
        <is>
          <t>MLPerf Inference datacenter benchmark results</t>
        </is>
      </c>
      <c r="C30" s="3" t="inlineStr">
        <is>
          <t>MLCommons</t>
        </is>
      </c>
      <c r="D30" s="3" t="inlineStr">
        <is>
          <t>2026-06-09 accessed</t>
        </is>
      </c>
      <c r="E30" s="3" t="inlineStr">
        <is>
          <t>https://mlcommons.org/benchmarks/inference-datacenter/</t>
        </is>
      </c>
      <c r="F30" s="3" t="inlineStr">
        <is>
          <t>Tier 2</t>
        </is>
      </c>
      <c r="G30" s="3" t="inlineStr">
        <is>
          <t>Official inference submission anchor for hardware/software comparisons</t>
        </is>
      </c>
      <c r="H30" s="3" t="n">
        <v>0.74</v>
      </c>
      <c r="I30" s="3" t="inlineStr">
        <is>
          <t>규칙화된 official benchmark anchor. LLM serving 조건은 InferenceX와 별도 비교 필요.</t>
        </is>
      </c>
    </row>
    <row r="31">
      <c r="A31" s="3" t="inlineStr">
        <is>
          <t>SRC_MLPERF_POWER</t>
        </is>
      </c>
      <c r="B31" s="3" t="inlineStr">
        <is>
          <t>MLPerf Power methodology and results</t>
        </is>
      </c>
      <c r="C31" s="3" t="inlineStr">
        <is>
          <t>MLCommons</t>
        </is>
      </c>
      <c r="D31" s="3" t="inlineStr">
        <is>
          <t>2026-06-09 accessed</t>
        </is>
      </c>
      <c r="E31" s="3" t="inlineStr">
        <is>
          <t>https://mlcommons.org/benchmarks/power/</t>
        </is>
      </c>
      <c r="F31" s="3" t="inlineStr">
        <is>
          <t>Tier 2</t>
        </is>
      </c>
      <c r="G31" s="3" t="inlineStr">
        <is>
          <t>Optional measured power/performance benchmark anchor</t>
        </is>
      </c>
      <c r="H31" s="3" t="n">
        <v>0.72</v>
      </c>
      <c r="I31" s="3" t="inlineStr">
        <is>
          <t>power 측정이 포함된 benchmark anchor. company production telemetry는 아님.</t>
        </is>
      </c>
    </row>
    <row r="32">
      <c r="A32" s="3" t="inlineStr">
        <is>
          <t>SRC_MLPERF_INFERENCE_DOCS</t>
        </is>
      </c>
      <c r="B32" s="3" t="inlineStr">
        <is>
          <t>MLPerf Inference documentation</t>
        </is>
      </c>
      <c r="C32" s="3" t="inlineStr">
        <is>
          <t>MLCommons</t>
        </is>
      </c>
      <c r="D32" s="3" t="inlineStr">
        <is>
          <t>2026-06-09 accessed</t>
        </is>
      </c>
      <c r="E32" s="3" t="inlineStr">
        <is>
          <t>https://docs.mlcommons.org/inference/</t>
        </is>
      </c>
      <c r="F32" s="3" t="inlineStr">
        <is>
          <t>Tier 2</t>
        </is>
      </c>
      <c r="G32" s="3" t="inlineStr">
        <is>
          <t>Benchmark rules, scenarios, loadgen and divisions</t>
        </is>
      </c>
      <c r="H32" s="3" t="n">
        <v>0.72</v>
      </c>
      <c r="I32" s="3" t="inlineStr">
        <is>
          <t>Server/Offline/SUT 규칙과 latency scenario를 해석하는 기준 문서.</t>
        </is>
      </c>
    </row>
    <row r="33">
      <c r="A33" s="3" t="inlineStr">
        <is>
          <t>SRC_VLLM_DOCS</t>
        </is>
      </c>
      <c r="B33" s="3" t="inlineStr">
        <is>
          <t>vLLM documentation</t>
        </is>
      </c>
      <c r="C33" s="3" t="inlineStr">
        <is>
          <t>vLLM project</t>
        </is>
      </c>
      <c r="D33" s="3" t="inlineStr">
        <is>
          <t>2026-06-09 accessed</t>
        </is>
      </c>
      <c r="E33" s="3" t="inlineStr">
        <is>
          <t>https://docs.vllm.ai/</t>
        </is>
      </c>
      <c r="F33" s="3" t="inlineStr">
        <is>
          <t>Tier 2</t>
        </is>
      </c>
      <c r="G33" s="3" t="inlineStr">
        <is>
          <t>Production serving mechanism, scheduler and KV cache behavior</t>
        </is>
      </c>
      <c r="H33" s="3" t="n">
        <v>0.66</v>
      </c>
      <c r="I33" s="3" t="inlineStr">
        <is>
          <t>serving stack mechanism source. 특정 업체 tokens/MW fact는 아님.</t>
        </is>
      </c>
    </row>
    <row r="34">
      <c r="A34" s="3" t="inlineStr">
        <is>
          <t>SRC_TENSORRT_LLM</t>
        </is>
      </c>
      <c r="B34" s="3" t="inlineStr">
        <is>
          <t>NVIDIA TensorRT-LLM documentation</t>
        </is>
      </c>
      <c r="C34" s="3" t="inlineStr">
        <is>
          <t>NVIDIA</t>
        </is>
      </c>
      <c r="D34" s="3" t="inlineStr">
        <is>
          <t>2026-06-09 accessed</t>
        </is>
      </c>
      <c r="E34" s="3" t="inlineStr">
        <is>
          <t>https://nvidia.github.io/TensorRT-LLM/</t>
        </is>
      </c>
      <c r="F34" s="3" t="inlineStr">
        <is>
          <t>Tier 2</t>
        </is>
      </c>
      <c r="G34" s="3" t="inlineStr">
        <is>
          <t>Vendor-optimized inference stack and deployment mechanism</t>
        </is>
      </c>
      <c r="H34" s="3" t="n">
        <v>0.68</v>
      </c>
      <c r="I34" s="3" t="inlineStr">
        <is>
          <t>NVIDIA stack 최적화 근거. workload matched benchmark 없이는 uplift로 직접 적용하지 않음.</t>
        </is>
      </c>
    </row>
    <row r="35">
      <c r="A35" s="3" t="inlineStr">
        <is>
          <t>SRC_SGLANG_DOCS</t>
        </is>
      </c>
      <c r="B35" s="3" t="inlineStr">
        <is>
          <t>SGLang documentation</t>
        </is>
      </c>
      <c r="C35" s="3" t="inlineStr">
        <is>
          <t>SGLang project</t>
        </is>
      </c>
      <c r="D35" s="3" t="inlineStr">
        <is>
          <t>2026-06-09 accessed</t>
        </is>
      </c>
      <c r="E35" s="3" t="inlineStr">
        <is>
          <t>https://docs.sglang.ai/</t>
        </is>
      </c>
      <c r="F35" s="3" t="inlineStr">
        <is>
          <t>Tier 2</t>
        </is>
      </c>
      <c r="G35" s="3" t="inlineStr">
        <is>
          <t>Serving runtime, structured generation and batching behavior</t>
        </is>
      </c>
      <c r="H35" s="3" t="n">
        <v>0.64</v>
      </c>
      <c r="I35" s="3" t="inlineStr">
        <is>
          <t>batching/structured generation mechanism source. production telemetry는 아님.</t>
        </is>
      </c>
    </row>
    <row r="36">
      <c r="A36" s="3" t="inlineStr">
        <is>
          <t>SRC_FLASHINFER</t>
        </is>
      </c>
      <c r="B36" s="3" t="inlineStr">
        <is>
          <t>FlashInfer documentation</t>
        </is>
      </c>
      <c r="C36" s="3" t="inlineStr">
        <is>
          <t>FlashInfer project</t>
        </is>
      </c>
      <c r="D36" s="3" t="inlineStr">
        <is>
          <t>2026-06-09 accessed</t>
        </is>
      </c>
      <c r="E36" s="3" t="inlineStr">
        <is>
          <t>https://docs.flashinfer.ai/</t>
        </is>
      </c>
      <c r="F36" s="3" t="inlineStr">
        <is>
          <t>Tier 2</t>
        </is>
      </c>
      <c r="G36" s="3" t="inlineStr">
        <is>
          <t>Attention/decode kernel mechanism for serving efficiency</t>
        </is>
      </c>
      <c r="H36" s="3" t="n">
        <v>0.62</v>
      </c>
      <c r="I36" s="3" t="inlineStr">
        <is>
          <t>kernel-level efficiency mechanism source. company-level throughput fact로 승격하지 않음.</t>
        </is>
      </c>
    </row>
    <row r="37">
      <c r="A37" s="3" t="inlineStr">
        <is>
          <t>SRC_SARATHI_SERVE</t>
        </is>
      </c>
      <c r="B37" s="3" t="inlineStr">
        <is>
          <t>Sarathi-Serve</t>
        </is>
      </c>
      <c r="C37" s="3" t="inlineStr">
        <is>
          <t>arXiv</t>
        </is>
      </c>
      <c r="D37" s="3" t="inlineStr">
        <is>
          <t>2024</t>
        </is>
      </c>
      <c r="E37" s="3" t="inlineStr">
        <is>
          <t>https://arxiv.org/abs/2403.02310</t>
        </is>
      </c>
      <c r="F37" s="3" t="inlineStr">
        <is>
          <t>Tier 2</t>
        </is>
      </c>
      <c r="G37" s="3" t="inlineStr">
        <is>
          <t>Chunked prefill and decode scheduling mechanism</t>
        </is>
      </c>
      <c r="H37" s="3" t="n">
        <v>0.64</v>
      </c>
      <c r="I37" s="3" t="inlineStr">
        <is>
          <t>prefill/decode scheduling sensitivity source.</t>
        </is>
      </c>
    </row>
    <row r="38">
      <c r="A38" s="3" t="inlineStr">
        <is>
          <t>SRC_ORCA_SERVING</t>
        </is>
      </c>
      <c r="B38" s="3" t="inlineStr">
        <is>
          <t>Orca: A Distributed Serving System for Transformer-Based Generative Models</t>
        </is>
      </c>
      <c r="C38" s="3" t="inlineStr">
        <is>
          <t>OSDI</t>
        </is>
      </c>
      <c r="D38" s="3" t="inlineStr">
        <is>
          <t>2022</t>
        </is>
      </c>
      <c r="E38" s="3" t="inlineStr">
        <is>
          <t>https://www.usenix.org/conference/osdi22/presentation/yu</t>
        </is>
      </c>
      <c r="F38" s="3" t="inlineStr">
        <is>
          <t>Tier 2</t>
        </is>
      </c>
      <c r="G38" s="3" t="inlineStr">
        <is>
          <t>Iteration-level scheduling and batching foundation</t>
        </is>
      </c>
      <c r="H38" s="3" t="n">
        <v>0.66</v>
      </c>
      <c r="I38" s="3" t="inlineStr">
        <is>
          <t>LLM serving scheduling foundation. modern hardware TPS/MW fact는 아님.</t>
        </is>
      </c>
    </row>
    <row r="39">
      <c r="A39" s="3" t="inlineStr">
        <is>
          <t>SRC_ARXIV_INFERENCE_ENERGY</t>
        </is>
      </c>
      <c r="B39" s="3" t="inlineStr">
        <is>
          <t>LLM inference energy and serving efficiency literature set</t>
        </is>
      </c>
      <c r="C39" s="3" t="inlineStr">
        <is>
          <t>arXiv</t>
        </is>
      </c>
      <c r="D39" s="3" t="inlineStr">
        <is>
          <t>2024-2026</t>
        </is>
      </c>
      <c r="E39" s="3" t="inlineStr">
        <is>
          <t>https://arxiv.org/search/?query=large+language+model+inference+energy+joules+per+token&amp;searchtype=all</t>
        </is>
      </c>
      <c r="F39" s="3" t="inlineStr">
        <is>
          <t>Tier 2</t>
        </is>
      </c>
      <c r="G39" s="3" t="inlineStr">
        <is>
          <t>Joules/token sanity check, prefill/decode split, batching, quantization sensitivity</t>
        </is>
      </c>
      <c r="H39" s="3" t="n">
        <v>0.65</v>
      </c>
      <c r="I39" s="3" t="inlineStr">
        <is>
          <t>논문별 수치는 workload 차이가 커서 sensitivity layer로만 사용.</t>
        </is>
      </c>
    </row>
    <row r="40">
      <c r="A40" s="3" t="inlineStr">
        <is>
          <t>SRC_JOULE_INFERENCE_ENERGY_2026</t>
        </is>
      </c>
      <c r="B40" s="3" t="inlineStr">
        <is>
          <t>Energy use of AI inference, efficiency pathways, and test-time scaling</t>
        </is>
      </c>
      <c r="C40" s="3" t="inlineStr">
        <is>
          <t>Joule / Cell Press</t>
        </is>
      </c>
      <c r="D40" s="3" t="inlineStr">
        <is>
          <t>2026</t>
        </is>
      </c>
      <c r="E40" s="3" t="inlineStr">
        <is>
          <t>https://www.sciencedirect.com/science/article/pii/S2542435126001145</t>
        </is>
      </c>
      <c r="F40" s="3" t="inlineStr">
        <is>
          <t>Tier 2</t>
        </is>
      </c>
      <c r="G40" s="3" t="inlineStr">
        <is>
          <t>Energy/query and joules/token sanity layer for inference forecasts</t>
        </is>
      </c>
      <c r="H40" s="3" t="n">
        <v>0.7</v>
      </c>
      <c r="I40" s="3" t="inlineStr">
        <is>
          <t>회사별 production telemetry가 아니라 energy sanity check와 test-time compute sensitivity로만 사용.</t>
        </is>
      </c>
    </row>
    <row r="41">
      <c r="A41" s="3" t="inlineStr">
        <is>
          <t>SRC_IBM_PD_DISAGG_2026</t>
        </is>
      </c>
      <c r="B41" s="3" t="inlineStr">
        <is>
          <t>Revisiting Disaggregated Large Language Model Serving for Performance and Energy Implications</t>
        </is>
      </c>
      <c r="C41" s="3" t="inlineStr">
        <is>
          <t>IBM Research / EuroSys</t>
        </is>
      </c>
      <c r="D41" s="3" t="inlineStr">
        <is>
          <t>2026</t>
        </is>
      </c>
      <c r="E41" s="3" t="inlineStr">
        <is>
          <t>https://research.ibm.com/publications/revisiting-disaggregated-large-language-model-serving-for-performance-and-energy-implications</t>
        </is>
      </c>
      <c r="F41" s="3" t="inlineStr">
        <is>
          <t>Tier 2</t>
        </is>
      </c>
      <c r="G41" s="3" t="inlineStr">
        <is>
          <t>Prefill/decode disaggregation performance and energy trade-off mechanism</t>
        </is>
      </c>
      <c r="H41" s="3" t="n">
        <v>0.72</v>
      </c>
      <c r="I41" s="3" t="inlineStr">
        <is>
          <t>P/D disaggregation은 항상 positive가 아니므로 workload/SLO별 sensitivity로 처리.</t>
        </is>
      </c>
    </row>
    <row r="42">
      <c r="A42" s="3" t="inlineStr">
        <is>
          <t>SRC_ARXIV_SLO_PD_2026</t>
        </is>
      </c>
      <c r="B42" s="3" t="inlineStr">
        <is>
          <t>SLO-Aware Compute Resource Allocation for Prefill-Decode Disaggregated LLM Inference</t>
        </is>
      </c>
      <c r="C42" s="3" t="inlineStr">
        <is>
          <t>arXiv</t>
        </is>
      </c>
      <c r="D42" s="3" t="inlineStr">
        <is>
          <t>2026</t>
        </is>
      </c>
      <c r="E42" s="3" t="inlineStr">
        <is>
          <t>https://arxiv.org/abs/2603.04716</t>
        </is>
      </c>
      <c r="F42" s="3" t="inlineStr">
        <is>
          <t>Tier 2</t>
        </is>
      </c>
      <c r="G42" s="3" t="inlineStr">
        <is>
          <t>Utilization caveat for TTFT/TPOT SLO constrained serving</t>
        </is>
      </c>
      <c r="H42" s="3" t="n">
        <v>0.62</v>
      </c>
      <c r="I42" s="3" t="inlineStr">
        <is>
          <t>utilization은 GPU occupancy가 아니라 latency SLO와 reserve에 의해 제한됨을 반영.</t>
        </is>
      </c>
    </row>
    <row r="43">
      <c r="A43" s="3" t="inlineStr">
        <is>
          <t>SRC_ARXIV_PREFILL_AS_SERVICE_2026</t>
        </is>
      </c>
      <c r="B43" s="3" t="inlineStr">
        <is>
          <t>Prefill-as-a-Service</t>
        </is>
      </c>
      <c r="C43" s="3" t="inlineStr">
        <is>
          <t>arXiv</t>
        </is>
      </c>
      <c r="D43" s="3" t="inlineStr">
        <is>
          <t>2026</t>
        </is>
      </c>
      <c r="E43" s="3" t="inlineStr">
        <is>
          <t>https://arxiv.org/abs/2604.15039</t>
        </is>
      </c>
      <c r="F43" s="3" t="inlineStr">
        <is>
          <t>Tier 2</t>
        </is>
      </c>
      <c r="G43" s="3" t="inlineStr">
        <is>
          <t>Agentic/long-context placement and network sensitivity for utilization</t>
        </is>
      </c>
      <c r="H43" s="3" t="n">
        <v>0.6</v>
      </c>
      <c r="I43" s="3" t="inlineStr">
        <is>
          <t>cross-datacenter prefill/KV movement은 Base fact가 아니라 future sensitivity로만 사용.</t>
        </is>
      </c>
    </row>
    <row r="44">
      <c r="A44" s="3" t="inlineStr">
        <is>
          <t>SRC_ARXIV_SPEC_DECODING_LATENCY_2026</t>
        </is>
      </c>
      <c r="B44" s="3" t="inlineStr">
        <is>
          <t>An Interpretable Latency Model for Speculative Decoding in LLM Serving</t>
        </is>
      </c>
      <c r="C44" s="3" t="inlineStr">
        <is>
          <t>arXiv</t>
        </is>
      </c>
      <c r="D44" s="3" t="inlineStr">
        <is>
          <t>2026</t>
        </is>
      </c>
      <c r="E44" s="3" t="inlineStr">
        <is>
          <t>https://arxiv.org/abs/2605.15051</t>
        </is>
      </c>
      <c r="F44" s="3" t="inlineStr">
        <is>
          <t>Tier 2</t>
        </is>
      </c>
      <c r="G44" s="3" t="inlineStr">
        <is>
          <t>Speculative decoding latency and throughput trade-off mechanism</t>
        </is>
      </c>
      <c r="H44" s="3" t="n">
        <v>0.6</v>
      </c>
      <c r="I44" s="3" t="inlineStr">
        <is>
          <t>speculative decoding은 tokens/MW 개선 가능성이 있으나 model/workload별 검증 필요.</t>
        </is>
      </c>
    </row>
    <row r="45">
      <c r="A45" s="3" t="inlineStr">
        <is>
          <t>SRC_MCKINSEY_AI_WORKLOADS</t>
        </is>
      </c>
      <c r="B45" s="3" t="inlineStr">
        <is>
          <t>The future of AI workloads</t>
        </is>
      </c>
      <c r="C45" s="3" t="inlineStr">
        <is>
          <t>McKinsey &amp; Company</t>
        </is>
      </c>
      <c r="D45" s="3" t="inlineStr">
        <is>
          <t>2026-02-24</t>
        </is>
      </c>
      <c r="E45" s="3" t="inlineStr">
        <is>
          <t>https://www.mckinsey.com/featured-insights/week-in-charts/the-future-of-ai-workloads</t>
        </is>
      </c>
      <c r="F45" s="3" t="inlineStr">
        <is>
          <t>Tier 2</t>
        </is>
      </c>
      <c r="G45" s="3" t="inlineStr">
        <is>
          <t>Inference share fact-check and 2030 workload mix directional anchor</t>
        </is>
      </c>
      <c r="H45" s="3" t="n">
        <v>0.72</v>
      </c>
      <c r="I45" s="3" t="inlineStr">
        <is>
          <t>2030년 inference가 AI compute의 절반 이상이 될 수 있다는 전망. 2026 현재 GW fact로 직접 사용하지 않음.</t>
        </is>
      </c>
    </row>
    <row r="46">
      <c r="A46" s="3" t="inlineStr">
        <is>
          <t>SRC_DELOITTE_AI_POWER</t>
        </is>
      </c>
      <c r="B46" s="3" t="inlineStr">
        <is>
          <t>More compute for AI, not less</t>
        </is>
      </c>
      <c r="C46" s="3" t="inlineStr">
        <is>
          <t>Deloitte</t>
        </is>
      </c>
      <c r="D46" s="3" t="inlineStr">
        <is>
          <t>2025-12</t>
        </is>
      </c>
      <c r="E46" s="3" t="inlineStr">
        <is>
          <t>https://www.deloitte.com/us/en/insights/industry/technology/technology-media-and-telecom-predictions/2026/compute-power-ai.html</t>
        </is>
      </c>
      <c r="F46" s="3" t="inlineStr">
        <is>
          <t>Tier 2</t>
        </is>
      </c>
      <c r="G46" s="3" t="inlineStr">
        <is>
          <t>Inference compute share outlook, used only as scenario cross-check</t>
        </is>
      </c>
      <c r="H46" s="3" t="n">
        <v>0.68</v>
      </c>
      <c r="I46" s="3" t="inlineStr">
        <is>
          <t>2026 compute 기준 inference 비중 전망을 제공하지만 업체별 GW fact는 아님.</t>
        </is>
      </c>
    </row>
    <row r="47">
      <c r="A47" s="3" t="inlineStr">
        <is>
          <t>SRC_EPRI_EPOCH_AI_POWER</t>
        </is>
      </c>
      <c r="B47" s="3" t="inlineStr">
        <is>
          <t>How much power will frontier AI training demand in 2030?</t>
        </is>
      </c>
      <c r="C47" s="3" t="inlineStr">
        <is>
          <t>EPRI / Epoch AI</t>
        </is>
      </c>
      <c r="D47" s="3" t="inlineStr">
        <is>
          <t>2025-08</t>
        </is>
      </c>
      <c r="E47" s="3" t="inlineStr">
        <is>
          <t>https://epoch.ai/blog/power-demands-of-frontier-ai-training</t>
        </is>
      </c>
      <c r="F47" s="3" t="inlineStr">
        <is>
          <t>Tier 2</t>
        </is>
      </c>
      <c r="G47" s="3" t="inlineStr">
        <is>
          <t>Current AI power allocation sanity check across training, experiments, and inference</t>
        </is>
      </c>
      <c r="H47" s="3" t="n">
        <v>0.7</v>
      </c>
      <c r="I47" s="3" t="inlineStr">
        <is>
          <t>현재 power allocation은 training/experiments/inference가 대략 나뉜다는 관점. 60%+ inference fact 주장에 대한 반대 anchor.</t>
        </is>
      </c>
    </row>
    <row r="48">
      <c r="A48" s="3" t="inlineStr">
        <is>
          <t>SRC_EPOCH_TRAIN</t>
        </is>
      </c>
      <c r="B48" s="3" t="inlineStr">
        <is>
          <t>Training compute of frontier AI models grows by 4-5x per year</t>
        </is>
      </c>
      <c r="C48" s="3" t="inlineStr">
        <is>
          <t>Epoch AI</t>
        </is>
      </c>
      <c r="D48" s="3" t="inlineStr">
        <is>
          <t>2024</t>
        </is>
      </c>
      <c r="E48" s="3" t="inlineStr">
        <is>
          <t>https://epoch.ai/blog/training-compute-of-frontier-ai-models-grows-by-4-5x-per-year</t>
        </is>
      </c>
      <c r="F48" s="3" t="inlineStr">
        <is>
          <t>Tier 2</t>
        </is>
      </c>
      <c r="G48" s="3" t="inlineStr">
        <is>
          <t>Frontier training compute growth anchor</t>
        </is>
      </c>
      <c r="H48" s="3" t="n">
        <v>0.7</v>
      </c>
      <c r="I48" s="3" t="inlineStr">
        <is>
          <t>training reserve를 남겨야 하는 장기 compute-growth 근거.</t>
        </is>
      </c>
    </row>
    <row r="49">
      <c r="A49" s="3" t="inlineStr">
        <is>
          <t>SRC_EPOCH_SCALING_2030</t>
        </is>
      </c>
      <c r="B49" s="3" t="inlineStr">
        <is>
          <t>Can AI scaling continue through 2030?</t>
        </is>
      </c>
      <c r="C49" s="3" t="inlineStr">
        <is>
          <t>Epoch AI</t>
        </is>
      </c>
      <c r="D49" s="3" t="inlineStr">
        <is>
          <t>2024/2026 accessed</t>
        </is>
      </c>
      <c r="E49" s="3" t="inlineStr">
        <is>
          <t>https://epoch.ai/publications/can-ai-scaling-continue-through-2030</t>
        </is>
      </c>
      <c r="F49" s="3" t="inlineStr">
        <is>
          <t>Tier 2</t>
        </is>
      </c>
      <c r="G49" s="3" t="inlineStr">
        <is>
          <t>Scaling bottlenecks across power, data, capex and hardware supply</t>
        </is>
      </c>
      <c r="H49" s="3" t="n">
        <v>0.7</v>
      </c>
      <c r="I49" s="3" t="inlineStr">
        <is>
          <t>2030 scaling feasibility와 병목 source. 업체별 active power fact는 아님.</t>
        </is>
      </c>
    </row>
    <row r="50">
      <c r="A50" s="3" t="inlineStr">
        <is>
          <t>SRC_EPOCH_INFERENCE_PRICE</t>
        </is>
      </c>
      <c r="B50" s="3" t="inlineStr">
        <is>
          <t>LLM inference price trends</t>
        </is>
      </c>
      <c r="C50" s="3" t="inlineStr">
        <is>
          <t>Epoch AI</t>
        </is>
      </c>
      <c r="D50" s="3" t="inlineStr">
        <is>
          <t>2026-06-09 accessed</t>
        </is>
      </c>
      <c r="E50" s="3" t="inlineStr">
        <is>
          <t>https://epoch.ai/data-insights/llm-inference-price-trends</t>
        </is>
      </c>
      <c r="F50" s="3" t="inlineStr">
        <is>
          <t>Tier 2</t>
        </is>
      </c>
      <c r="G50" s="3" t="inlineStr">
        <is>
          <t>Inference cost trend proxy and commercial efficiency context</t>
        </is>
      </c>
      <c r="H50" s="3" t="n">
        <v>0.66</v>
      </c>
      <c r="I50" s="3" t="inlineStr">
        <is>
          <t>API price/performance trend proxy. tokens/MW 생산 telemetry로 직접 사용하지 않음.</t>
        </is>
      </c>
    </row>
    <row r="51">
      <c r="A51" s="3" t="inlineStr">
        <is>
          <t>SRC_EPOCH_AI_DATA_CENTERS</t>
        </is>
      </c>
      <c r="B51" s="3" t="inlineStr">
        <is>
          <t>AI data centers dataset</t>
        </is>
      </c>
      <c r="C51" s="3" t="inlineStr">
        <is>
          <t>Epoch AI</t>
        </is>
      </c>
      <c r="D51" s="3" t="inlineStr">
        <is>
          <t>2026-07-30 local snapshot</t>
        </is>
      </c>
      <c r="E51" s="3" t="inlineStr">
        <is>
          <t>https://epoch.ai/data/ai-data-centers</t>
        </is>
      </c>
      <c r="F51" s="3" t="inlineStr">
        <is>
          <t>Tier 2</t>
        </is>
      </c>
      <c r="G51" s="3" t="inlineStr">
        <is>
          <t>Site/user capacity attribution, completion timing and site-level accelerator inventory seed</t>
        </is>
      </c>
      <c r="H51" s="3" t="n">
        <v>0.7</v>
      </c>
      <c r="I51" s="3" t="inlineStr">
        <is>
          <t>데이터센터별 user exposure, current/contracted IT power, completion date, chip type/quantity를 accelerator mix 입력 seed로 사용. 회사 총 전력 규모는 기존 02_Inputs가 유지.</t>
        </is>
      </c>
    </row>
    <row r="52">
      <c r="A52" s="3" t="inlineStr">
        <is>
          <t>SRC_EIA_DC_POWER</t>
        </is>
      </c>
      <c r="B52" s="3" t="inlineStr">
        <is>
          <t>U.S. electricity data and data center power context</t>
        </is>
      </c>
      <c r="C52" s="3" t="inlineStr">
        <is>
          <t>U.S. EIA</t>
        </is>
      </c>
      <c r="D52" s="3" t="inlineStr">
        <is>
          <t>2026-06-09 accessed</t>
        </is>
      </c>
      <c r="E52" s="3" t="inlineStr">
        <is>
          <t>https://www.eia.gov/</t>
        </is>
      </c>
      <c r="F52" s="3" t="inlineStr">
        <is>
          <t>Tier 2</t>
        </is>
      </c>
      <c r="G52" s="3" t="inlineStr">
        <is>
          <t>Electricity demand and regional power baseline</t>
        </is>
      </c>
      <c r="H52" s="3" t="n">
        <v>0.68</v>
      </c>
      <c r="I52" s="3" t="inlineStr">
        <is>
          <t>macro grid plausibility source. company contracted GW를 직접 바꾸지 않음.</t>
        </is>
      </c>
    </row>
    <row r="53">
      <c r="A53" s="3" t="inlineStr">
        <is>
          <t>SRC_FERC_INTERCONNECT</t>
        </is>
      </c>
      <c r="B53" s="3" t="inlineStr">
        <is>
          <t>FERC interconnection and grid reliability proceedings</t>
        </is>
      </c>
      <c r="C53" s="3" t="inlineStr">
        <is>
          <t>FERC</t>
        </is>
      </c>
      <c r="D53" s="3" t="inlineStr">
        <is>
          <t>2026-06-09 accessed</t>
        </is>
      </c>
      <c r="E53" s="3" t="inlineStr">
        <is>
          <t>https://www.ferc.gov/</t>
        </is>
      </c>
      <c r="F53" s="3" t="inlineStr">
        <is>
          <t>Tier 2</t>
        </is>
      </c>
      <c r="G53" s="3" t="inlineStr">
        <is>
          <t>Interconnection, transmission and reliability context</t>
        </is>
      </c>
      <c r="H53" s="3" t="n">
        <v>0.66</v>
      </c>
      <c r="I53" s="3" t="inlineStr">
        <is>
          <t>grid constraint context. model-owner capacity attribution fact는 아님.</t>
        </is>
      </c>
    </row>
    <row r="54">
      <c r="A54" s="3" t="inlineStr">
        <is>
          <t>SRC_UPTIME_GLOBAL_DC</t>
        </is>
      </c>
      <c r="B54" s="3" t="inlineStr">
        <is>
          <t>Uptime Institute Global Data Center Survey</t>
        </is>
      </c>
      <c r="C54" s="3" t="inlineStr">
        <is>
          <t>Uptime Institute</t>
        </is>
      </c>
      <c r="D54" s="3" t="inlineStr">
        <is>
          <t>2026-06-09 accessed</t>
        </is>
      </c>
      <c r="E54" s="3" t="inlineStr">
        <is>
          <t>https://uptimeinstitute.com/resources/research-and-reports</t>
        </is>
      </c>
      <c r="F54" s="3" t="inlineStr">
        <is>
          <t>Tier 2</t>
        </is>
      </c>
      <c r="G54" s="3" t="inlineStr">
        <is>
          <t>PUE, cooling, outage and density operating context</t>
        </is>
      </c>
      <c r="H54" s="3" t="n">
        <v>0.68</v>
      </c>
      <c r="I54" s="3" t="inlineStr">
        <is>
          <t>facility/PUE context. company site-level PUE가 있으면 교체.</t>
        </is>
      </c>
    </row>
    <row r="55">
      <c r="A55" s="3" t="inlineStr">
        <is>
          <t>SRC_ASHRAE_TC99</t>
        </is>
      </c>
      <c r="B55" s="3" t="inlineStr">
        <is>
          <t>ASHRAE TC 9.9 data center thermal guidance</t>
        </is>
      </c>
      <c r="C55" s="3" t="inlineStr">
        <is>
          <t>ASHRAE</t>
        </is>
      </c>
      <c r="D55" s="3" t="inlineStr">
        <is>
          <t>2026-06-09 accessed</t>
        </is>
      </c>
      <c r="E55" s="3" t="inlineStr">
        <is>
          <t>https://www.ashrae.org/technical-resources/bookstore/datacom-series</t>
        </is>
      </c>
      <c r="F55" s="3" t="inlineStr">
        <is>
          <t>Tier 2</t>
        </is>
      </c>
      <c r="G55" s="3" t="inlineStr">
        <is>
          <t>Thermal envelope and cooling design reference</t>
        </is>
      </c>
      <c r="H55" s="3" t="n">
        <v>0.64</v>
      </c>
      <c r="I55" s="3" t="inlineStr">
        <is>
          <t>cooling design reference. PUE 숫자 자체의 direct fact는 아님.</t>
        </is>
      </c>
    </row>
    <row r="56">
      <c r="A56" s="3" t="inlineStr">
        <is>
          <t>SRC_MISTRAL_MODELS</t>
        </is>
      </c>
      <c r="B56" s="3" t="inlineStr">
        <is>
          <t>Mistral AI model documentation</t>
        </is>
      </c>
      <c r="C56" s="3" t="inlineStr">
        <is>
          <t>Mistral AI</t>
        </is>
      </c>
      <c r="D56" s="3" t="inlineStr">
        <is>
          <t>2026-06-09 accessed</t>
        </is>
      </c>
      <c r="E56" s="3" t="inlineStr">
        <is>
          <t>https://docs.mistral.ai/</t>
        </is>
      </c>
      <c r="F56" s="3" t="inlineStr">
        <is>
          <t>Tier 1/2</t>
        </is>
      </c>
      <c r="G56" s="3" t="inlineStr">
        <is>
          <t>Dense/MoE open model family and context anchor</t>
        </is>
      </c>
      <c r="H56" s="3" t="n">
        <v>0.72</v>
      </c>
      <c r="I56" s="3" t="inlineStr">
        <is>
          <t>open/served model family 비교 anchor. 본 모델의 core company row에는 직접 포함하지 않음.</t>
        </is>
      </c>
    </row>
    <row r="57">
      <c r="A57" s="3" t="inlineStr">
        <is>
          <t>SRC_DBRX_MODEL</t>
        </is>
      </c>
      <c r="B57" s="3" t="inlineStr">
        <is>
          <t>Introducing DBRX</t>
        </is>
      </c>
      <c r="C57" s="3" t="inlineStr">
        <is>
          <t>Databricks</t>
        </is>
      </c>
      <c r="D57" s="3" t="inlineStr">
        <is>
          <t>2024</t>
        </is>
      </c>
      <c r="E57" s="3" t="inlineStr">
        <is>
          <t>https://www.databricks.com/blog/introducing-dbrx-new-state-art-open-llm</t>
        </is>
      </c>
      <c r="F57" s="3" t="inlineStr">
        <is>
          <t>Tier 1/2</t>
        </is>
      </c>
      <c r="G57" s="3" t="inlineStr">
        <is>
          <t>Open MoE parameter anchor</t>
        </is>
      </c>
      <c r="H57" s="3" t="n">
        <v>0.7</v>
      </c>
      <c r="I57" s="3" t="inlineStr">
        <is>
          <t>MoE total/active parameter 읽기용 비교 source.</t>
        </is>
      </c>
    </row>
    <row r="58">
      <c r="A58" s="3" t="inlineStr">
        <is>
          <t>SRC_OPENAI_API_PRICING</t>
        </is>
      </c>
      <c r="B58" s="3" t="inlineStr">
        <is>
          <t>OpenAI API pricing</t>
        </is>
      </c>
      <c r="C58" s="3" t="inlineStr">
        <is>
          <t>OpenAI</t>
        </is>
      </c>
      <c r="D58" s="3" t="inlineStr">
        <is>
          <t>2026-06-09 accessed</t>
        </is>
      </c>
      <c r="E58" s="3" t="inlineStr">
        <is>
          <t>https://openai.com/api/pricing/</t>
        </is>
      </c>
      <c r="F58" s="3" t="inlineStr">
        <is>
          <t>Tier 1</t>
        </is>
      </c>
      <c r="G58" s="3" t="inlineStr">
        <is>
          <t>Commercial token surface and price proxy</t>
        </is>
      </c>
      <c r="H58" s="3" t="n">
        <v>0.78</v>
      </c>
      <c r="I58" s="3" t="inlineStr">
        <is>
          <t>price surface proxy. output volume 또는 tokens/MW production fact는 아님.</t>
        </is>
      </c>
    </row>
    <row r="59">
      <c r="A59" s="3" t="inlineStr">
        <is>
          <t>SRC_OPENAI_CODEX_RATE_CARD</t>
        </is>
      </c>
      <c r="B59" s="3" t="inlineStr">
        <is>
          <t>Codex rate card</t>
        </is>
      </c>
      <c r="C59" s="3" t="inlineStr">
        <is>
          <t>OpenAI Help Center</t>
        </is>
      </c>
      <c r="D59" s="3" t="inlineStr">
        <is>
          <t>2026-07 accessed</t>
        </is>
      </c>
      <c r="E59" s="3" t="inlineStr">
        <is>
          <t>https://help.openai.com/en/articles/20001106</t>
        </is>
      </c>
      <c r="F59" s="3" t="inlineStr">
        <is>
          <t>Tier 1</t>
        </is>
      </c>
      <c r="G59" s="3" t="inlineStr">
        <is>
          <t>Codex usage is token-metered with separate input/cached-input/output token rates; supports modeling Codex as high-context agentic workload.</t>
        </is>
      </c>
      <c r="H59" s="3" t="n">
        <v>0.84</v>
      </c>
      <c r="I59" s="3" t="inlineStr">
        <is>
          <t>Codex seat/usage pricing이 token 기반으로 바뀐 점은 agentic workload가 별도 consumption surface임을 보여준다.</t>
        </is>
      </c>
    </row>
    <row r="60">
      <c r="A60" s="3" t="inlineStr">
        <is>
          <t>SRC_OPENAI_CHATGPT_ENTERPRISE</t>
        </is>
      </c>
      <c r="B60" s="3" t="inlineStr">
        <is>
          <t>What is ChatGPT Enterprise?</t>
        </is>
      </c>
      <c r="C60" s="3" t="inlineStr">
        <is>
          <t>OpenAI Help Center</t>
        </is>
      </c>
      <c r="D60" s="3" t="inlineStr">
        <is>
          <t>2026-07 accessed</t>
        </is>
      </c>
      <c r="E60" s="3" t="inlineStr">
        <is>
          <t>https://help.openai.com/en/articles/8265053-what-is-chatgpt-enterprise</t>
        </is>
      </c>
      <c r="F60" s="3" t="inlineStr">
        <is>
          <t>Tier 1</t>
        </is>
      </c>
      <c r="G60" s="3" t="inlineStr">
        <is>
          <t>Enterprise includes ChatGPT, ChatGPT Agent, Deep Research and Codex/Codex seats; supports separating chat and agentic surfaces.</t>
        </is>
      </c>
      <c r="H60" s="3" t="n">
        <v>0.82</v>
      </c>
      <c r="I60" s="3" t="inlineStr">
        <is>
          <t>ChatGPT Enterprise의 standard/Codex seat 구분과 advanced tools는 workload mix 근거로만 사용.</t>
        </is>
      </c>
    </row>
    <row r="61">
      <c r="A61" s="3" t="inlineStr">
        <is>
          <t>SRC_ANTHROPIC_PRICING</t>
        </is>
      </c>
      <c r="B61" s="3" t="inlineStr">
        <is>
          <t>Anthropic API pricing</t>
        </is>
      </c>
      <c r="C61" s="3" t="inlineStr">
        <is>
          <t>Anthropic</t>
        </is>
      </c>
      <c r="D61" s="3" t="inlineStr">
        <is>
          <t>2026-06-09 accessed</t>
        </is>
      </c>
      <c r="E61" s="3" t="inlineStr">
        <is>
          <t>https://www.anthropic.com/pricing</t>
        </is>
      </c>
      <c r="F61" s="3" t="inlineStr">
        <is>
          <t>Tier 1</t>
        </is>
      </c>
      <c r="G61" s="3" t="inlineStr">
        <is>
          <t>Commercial token surface and price proxy</t>
        </is>
      </c>
      <c r="H61" s="3" t="n">
        <v>0.78</v>
      </c>
      <c r="I61" s="3" t="inlineStr">
        <is>
          <t>price surface proxy. Claude production output volume은 공개하지 않음.</t>
        </is>
      </c>
    </row>
    <row r="62">
      <c r="A62" s="3" t="inlineStr">
        <is>
          <t>SRC_ANTHROPIC_CONSUMPTION_GUIDE</t>
        </is>
      </c>
      <c r="B62" s="3" t="inlineStr">
        <is>
          <t>Claude Enterprise consumption guide</t>
        </is>
      </c>
      <c r="C62" s="3" t="inlineStr">
        <is>
          <t>Anthropic Help Center</t>
        </is>
      </c>
      <c r="D62" s="3" t="inlineStr">
        <is>
          <t>2026-07 accessed</t>
        </is>
      </c>
      <c r="E62" s="3" t="inlineStr">
        <is>
          <t>https://support.claude.com/en/articles/14782391-claude-enterprise-consumption-guide</t>
        </is>
      </c>
      <c r="F62" s="3" t="inlineStr">
        <is>
          <t>Tier 1</t>
        </is>
      </c>
      <c r="G62" s="3" t="inlineStr">
        <is>
          <t>Anthropic states Claude Code and Cowork are significantly more token-intensive than standard chat.</t>
        </is>
      </c>
      <c r="H62" s="3" t="n">
        <v>0.88</v>
      </c>
      <c r="I62" s="3" t="inlineStr">
        <is>
          <t>Claude의 agentic/coding workload 비중 및 high token intensity를 정당화하되, 회사별 traffic share는 scenario.</t>
        </is>
      </c>
    </row>
    <row r="63">
      <c r="A63" s="3" t="inlineStr">
        <is>
          <t>SRC_ANTHROPIC_CODE_PRACTICE</t>
        </is>
      </c>
      <c r="B63" s="3" t="inlineStr">
        <is>
          <t>Agentic coding and persistent returns to expertise</t>
        </is>
      </c>
      <c r="C63" s="3" t="inlineStr">
        <is>
          <t>Anthropic Research</t>
        </is>
      </c>
      <c r="D63" s="3" t="inlineStr">
        <is>
          <t>2026-06-16</t>
        </is>
      </c>
      <c r="E63" s="3" t="inlineStr">
        <is>
          <t>https://www.anthropic.com/research/claude-code-expertise</t>
        </is>
      </c>
      <c r="F63" s="3" t="inlineStr">
        <is>
          <t>Tier 1</t>
        </is>
      </c>
      <c r="G63" s="3" t="inlineStr">
        <is>
          <t>Claude Code usage study of roughly 400k sessions; supports agentic coding as a major Claude surface.</t>
        </is>
      </c>
      <c r="H63" s="3" t="n">
        <v>0.84</v>
      </c>
      <c r="I63" s="3" t="inlineStr">
        <is>
          <t>Claude Code adoption/usage intensity direction의 근거. tokens/MW 생산 telemetry는 아님.</t>
        </is>
      </c>
    </row>
    <row r="64">
      <c r="A64" s="3" t="inlineStr">
        <is>
          <t>SRC_GOOGLE_GEMINI_LONG_CONTEXT</t>
        </is>
      </c>
      <c r="B64" s="3" t="inlineStr">
        <is>
          <t>Gemini API long context documentation</t>
        </is>
      </c>
      <c r="C64" s="3" t="inlineStr">
        <is>
          <t>Google AI for Developers</t>
        </is>
      </c>
      <c r="D64" s="3" t="inlineStr">
        <is>
          <t>2026-07 accessed</t>
        </is>
      </c>
      <c r="E64" s="3" t="inlineStr">
        <is>
          <t>https://ai.google.dev/gemini-api/docs/long-context</t>
        </is>
      </c>
      <c r="F64" s="3" t="inlineStr">
        <is>
          <t>Tier 1</t>
        </is>
      </c>
      <c r="G64" s="3" t="inlineStr">
        <is>
          <t>Gemini models support 1M+ context windows and long-context use cases; supports a separate long-chat workload class.</t>
        </is>
      </c>
      <c r="H64" s="3" t="n">
        <v>0.86</v>
      </c>
      <c r="I64" s="3" t="inlineStr">
        <is>
          <t>Gemini long context는 workload shape 근거이며, production traffic share 또는 tokens/MW fact가 아님.</t>
        </is>
      </c>
    </row>
    <row r="65">
      <c r="A65" s="3" t="inlineStr">
        <is>
          <t>SRC_GOOGLE_GEMINI_AGENT_PLATFORM</t>
        </is>
      </c>
      <c r="B65" s="3" t="inlineStr">
        <is>
          <t>Introducing Gemini Enterprise Agent Platform</t>
        </is>
      </c>
      <c r="C65" s="3" t="inlineStr">
        <is>
          <t>Google Cloud</t>
        </is>
      </c>
      <c r="D65" s="3" t="inlineStr">
        <is>
          <t>2026-04-22</t>
        </is>
      </c>
      <c r="E65" s="3" t="inlineStr">
        <is>
          <t>https://cloud.google.com/blog/products/ai-machine-learning/introducing-gemini-enterprise-agent-platform</t>
        </is>
      </c>
      <c r="F65" s="3" t="inlineStr">
        <is>
          <t>Tier 1</t>
        </is>
      </c>
      <c r="G65" s="3" t="inlineStr">
        <is>
          <t>Google positions Gemini Enterprise Agent Platform for agents interacting across systems.</t>
        </is>
      </c>
      <c r="H65" s="3" t="n">
        <v>0.82</v>
      </c>
      <c r="I65" s="3" t="inlineStr">
        <is>
          <t>Google agentic enterprise surface의 방향성 근거. exact traffic mix는 scenario.</t>
        </is>
      </c>
    </row>
    <row r="66">
      <c r="A66" s="3" t="inlineStr">
        <is>
          <t>SRC_META_BUSINESS_AGENT</t>
        </is>
      </c>
      <c r="B66" s="3" t="inlineStr">
        <is>
          <t>Be There for Every Customer With Meta Business Agent</t>
        </is>
      </c>
      <c r="C66" s="3" t="inlineStr">
        <is>
          <t>Meta</t>
        </is>
      </c>
      <c r="D66" s="3" t="inlineStr">
        <is>
          <t>2026-06-03</t>
        </is>
      </c>
      <c r="E66" s="3" t="inlineStr">
        <is>
          <t>https://about.fb.com/news/2026/06/meta-business-agent/</t>
        </is>
      </c>
      <c r="F66" s="3" t="inlineStr">
        <is>
          <t>Tier 1</t>
        </is>
      </c>
      <c r="G66" s="3" t="inlineStr">
        <is>
          <t>Meta discloses broad business-agent messaging surface and over one million businesses using Meta Business Agent.</t>
        </is>
      </c>
      <c r="H66" s="3" t="n">
        <v>0.86</v>
      </c>
      <c r="I66" s="3" t="inlineStr">
        <is>
          <t>Meta workload mix를 short/business chat-heavy로 두는 방향성 근거.</t>
        </is>
      </c>
    </row>
    <row r="67">
      <c r="A67" s="3" t="inlineStr">
        <is>
          <t>SRC_INFERENCEX_AGENTIC_TRACES_256K</t>
        </is>
      </c>
      <c r="B67" s="3" t="inlineStr">
        <is>
          <t>CC Traces — Weka, With Subagents, 256k cap</t>
        </is>
      </c>
      <c r="C67" s="3" t="inlineStr">
        <is>
          <t>SemiAnalysisAI / Hugging Face</t>
        </is>
      </c>
      <c r="D67" s="3" t="inlineStr">
        <is>
          <t>2026-06-21</t>
        </is>
      </c>
      <c r="E67" s="3" t="inlineStr">
        <is>
          <t>https://huggingface.co/datasets/semianalysisai/cc-traces-weka-062126-256k</t>
        </is>
      </c>
      <c r="F67" s="3" t="inlineStr">
        <is>
          <t>Tier 2</t>
        </is>
      </c>
      <c r="G67" s="3" t="inlineStr">
        <is>
          <t>Agentic coding trace profile used for input/output load-shape calibration.</t>
        </is>
      </c>
      <c r="H67" s="3" t="n">
        <v>0.74</v>
      </c>
      <c r="I67" s="3" t="inlineStr">
        <is>
          <t>평균 input 약 101k/output 약 860 tokens/request인 agentic load shape 근거. throughput telemetry는 아님.</t>
        </is>
      </c>
    </row>
    <row r="68">
      <c r="A68" s="3" t="inlineStr">
        <is>
          <t>SRC_AZURE_OPENAI</t>
        </is>
      </c>
      <c r="B68" s="3" t="inlineStr">
        <is>
          <t>Azure OpenAI Service documentation</t>
        </is>
      </c>
      <c r="C68" s="3" t="inlineStr">
        <is>
          <t>Microsoft</t>
        </is>
      </c>
      <c r="D68" s="3" t="inlineStr">
        <is>
          <t>2026-06-09 accessed</t>
        </is>
      </c>
      <c r="E68" s="3" t="inlineStr">
        <is>
          <t>https://learn.microsoft.com/azure/ai-services/openai/</t>
        </is>
      </c>
      <c r="F68" s="3" t="inlineStr">
        <is>
          <t>Tier 1</t>
        </is>
      </c>
      <c r="G68" s="3" t="inlineStr">
        <is>
          <t>Microsoft host/product surface vs OpenAI model attribution</t>
        </is>
      </c>
      <c r="H68" s="3" t="n">
        <v>0.78</v>
      </c>
      <c r="I68" s="3" t="inlineStr">
        <is>
          <t>OpenAI model owner와 Azure product/host surface 분리용.</t>
        </is>
      </c>
    </row>
    <row r="69">
      <c r="A69" s="3" t="inlineStr">
        <is>
          <t>SRC_GOOGLE_CLOUD_ANTHROPIC</t>
        </is>
      </c>
      <c r="B69" s="3" t="inlineStr">
        <is>
          <t>Google Cloud and Anthropic partnership</t>
        </is>
      </c>
      <c r="C69" s="3" t="inlineStr">
        <is>
          <t>Google Cloud</t>
        </is>
      </c>
      <c r="D69" s="3" t="inlineStr">
        <is>
          <t>2026-06-09 accessed</t>
        </is>
      </c>
      <c r="E69" s="3" t="inlineStr">
        <is>
          <t>https://cloud.google.com/blog/products/ai-machine-learning/google-cloud-anthropic-ai-partnership</t>
        </is>
      </c>
      <c r="F69" s="3" t="inlineStr">
        <is>
          <t>Tier 1/2</t>
        </is>
      </c>
      <c r="G69" s="3" t="inlineStr">
        <is>
          <t>Third-party model hosted on cloud provider</t>
        </is>
      </c>
      <c r="H69" s="3" t="n">
        <v>0.72</v>
      </c>
      <c r="I69" s="3" t="inlineStr">
        <is>
          <t>Google host capacity와 Anthropic model-owner attribution 분리용.</t>
        </is>
      </c>
    </row>
    <row r="70">
      <c r="A70" s="3" t="inlineStr">
        <is>
          <t>SRC_ARTIFICIAL_ANALYSIS</t>
        </is>
      </c>
      <c r="B70" s="3" t="inlineStr">
        <is>
          <t>Artificial Analysis model and API benchmarks</t>
        </is>
      </c>
      <c r="C70" s="3" t="inlineStr">
        <is>
          <t>Artificial Analysis</t>
        </is>
      </c>
      <c r="D70" s="3" t="inlineStr">
        <is>
          <t>2026-06-09 accessed</t>
        </is>
      </c>
      <c r="E70" s="3" t="inlineStr">
        <is>
          <t>https://artificialanalysis.ai/</t>
        </is>
      </c>
      <c r="F70" s="3" t="inlineStr">
        <is>
          <t>Tier 2</t>
        </is>
      </c>
      <c r="G70" s="3" t="inlineStr">
        <is>
          <t>Public API price/performance and latency proxy</t>
        </is>
      </c>
      <c r="H70" s="3" t="n">
        <v>0.64</v>
      </c>
      <c r="I70" s="3" t="inlineStr">
        <is>
          <t>commercial API price/latency proxy. company capacity fact 아님.</t>
        </is>
      </c>
    </row>
    <row r="71">
      <c r="A71" s="3" t="inlineStr">
        <is>
          <t>SRC_OPENROUTER_RANKINGS</t>
        </is>
      </c>
      <c r="B71" s="3" t="inlineStr">
        <is>
          <t>OpenRouter model pricing and usage market signals</t>
        </is>
      </c>
      <c r="C71" s="3" t="inlineStr">
        <is>
          <t>OpenRouter</t>
        </is>
      </c>
      <c r="D71" s="3" t="inlineStr">
        <is>
          <t>2026-06-09 accessed</t>
        </is>
      </c>
      <c r="E71" s="3" t="inlineStr">
        <is>
          <t>https://openrouter.ai/rankings</t>
        </is>
      </c>
      <c r="F71" s="3" t="inlineStr">
        <is>
          <t>Tier 2</t>
        </is>
      </c>
      <c r="G71" s="3" t="inlineStr">
        <is>
          <t>API price and demand mix proxy</t>
        </is>
      </c>
      <c r="H71" s="3" t="n">
        <v>0.58</v>
      </c>
      <c r="I71" s="3" t="inlineStr">
        <is>
          <t>market routing proxy. 전체 production traffic fact로 해석하지 않음.</t>
        </is>
      </c>
    </row>
    <row r="72">
      <c r="A72" s="3" t="inlineStr">
        <is>
          <t>SRC_SEMI_100K_CLUSTER</t>
        </is>
      </c>
      <c r="B72" s="3" t="inlineStr">
        <is>
          <t>SemiAnalysis AI infrastructure and 100k H100 cluster analysis</t>
        </is>
      </c>
      <c r="C72" s="3" t="inlineStr">
        <is>
          <t>SemiAnalysis</t>
        </is>
      </c>
      <c r="D72" s="3" t="inlineStr">
        <is>
          <t>2026-06-09 accessed</t>
        </is>
      </c>
      <c r="E72" s="3" t="inlineStr">
        <is>
          <t>https://semianalysis.com/</t>
        </is>
      </c>
      <c r="F72" s="3" t="inlineStr">
        <is>
          <t>Tier 2</t>
        </is>
      </c>
      <c r="G72" s="3" t="inlineStr">
        <is>
          <t>Accelerator cluster, networking and non-GPU overhead context</t>
        </is>
      </c>
      <c r="H72" s="3" t="n">
        <v>0.62</v>
      </c>
      <c r="I72" s="3" t="inlineStr">
        <is>
          <t>cluster architecture context. specific company active GW fact는 아님.</t>
        </is>
      </c>
    </row>
    <row r="73">
      <c r="A73" s="3" t="inlineStr">
        <is>
          <t>SRC_DELLORO_AI_NETWORKS</t>
        </is>
      </c>
      <c r="B73" s="3" t="inlineStr">
        <is>
          <t>AI networks and data center switch market context</t>
        </is>
      </c>
      <c r="C73" s="3" t="inlineStr">
        <is>
          <t>Dell'Oro Group</t>
        </is>
      </c>
      <c r="D73" s="3" t="inlineStr">
        <is>
          <t>2026-06-09 accessed</t>
        </is>
      </c>
      <c r="E73" s="3" t="inlineStr">
        <is>
          <t>https://www.delloro.com/</t>
        </is>
      </c>
      <c r="F73" s="3" t="inlineStr">
        <is>
          <t>Tier 2</t>
        </is>
      </c>
      <c r="G73" s="3" t="inlineStr">
        <is>
          <t>Network/power overhead and AI cluster infrastructure context</t>
        </is>
      </c>
      <c r="H73" s="3" t="n">
        <v>0.58</v>
      </c>
      <c r="I73" s="3" t="inlineStr">
        <is>
          <t>network overhead/context source. model equation에는 직접 계수로 넣지 않음.</t>
        </is>
      </c>
    </row>
  </sheetData>
  <autoFilter ref="A1:I7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8" customWidth="1" min="4" max="4"/>
    <col width="18" customWidth="1" min="5" max="5"/>
    <col width="18" customWidth="1" min="6" max="6"/>
    <col width="26" customWidth="1" min="7" max="7"/>
    <col width="44" customWidth="1" min="8" max="8"/>
    <col width="54" customWidth="1" min="9" max="9"/>
    <col width="34" customWidth="1" min="10" max="10"/>
    <col width="46" customWidth="1" min="11" max="11"/>
    <col width="34" customWidth="1" min="12" max="12"/>
    <col width="46" customWidth="1" min="13" max="13"/>
  </cols>
  <sheetData>
    <row r="1">
      <c r="A1" s="4" t="inlineStr">
        <is>
          <t>company</t>
        </is>
      </c>
      <c r="B1" s="4" t="inlineStr">
        <is>
          <t>year</t>
        </is>
      </c>
      <c r="C1" s="4" t="inlineStr">
        <is>
          <t>scenario</t>
        </is>
      </c>
      <c r="D1" s="4" t="inlineStr">
        <is>
          <t>metric</t>
        </is>
      </c>
      <c r="E1" s="4" t="inlineStr">
        <is>
          <t>value</t>
        </is>
      </c>
      <c r="F1" s="4" t="inlineStr">
        <is>
          <t>unit</t>
        </is>
      </c>
      <c r="G1" s="4" t="inlineStr">
        <is>
          <t>derivation_type</t>
        </is>
      </c>
      <c r="H1" s="4" t="inlineStr">
        <is>
          <t>formula_or_rule</t>
        </is>
      </c>
      <c r="I1" s="4" t="inlineStr">
        <is>
          <t>why_this_number</t>
        </is>
      </c>
      <c r="J1" s="4" t="inlineStr">
        <is>
          <t>source_ids</t>
        </is>
      </c>
      <c r="K1" s="4" t="inlineStr">
        <is>
          <t>assumption_ids</t>
        </is>
      </c>
      <c r="L1" s="4" t="inlineStr">
        <is>
          <t>replacement_path</t>
        </is>
      </c>
    </row>
    <row r="2">
      <c r="A2" s="3" t="inlineStr">
        <is>
          <t>Microsoft</t>
        </is>
      </c>
      <c r="B2" s="3" t="n">
        <v>2026</v>
      </c>
      <c r="C2" s="3" t="inlineStr">
        <is>
          <t>Bear</t>
        </is>
      </c>
      <c r="D2" s="3" t="inlineStr">
        <is>
          <t>contracted_power_gw</t>
        </is>
      </c>
      <c r="E2" s="3" t="n">
        <v>4</v>
      </c>
      <c r="F2" s="3" t="inlineStr">
        <is>
          <t>GW</t>
        </is>
      </c>
      <c r="G2" s="3" t="inlineStr">
        <is>
          <t>Scenario capacity envelope</t>
        </is>
      </c>
      <c r="H2" s="3" t="inlineStr">
        <is>
          <t>linear interpolation between 2026 and 2030 company capacity endpoints</t>
        </is>
      </c>
      <c r="I2" s="3" t="inlineStr">
        <is>
          <t>Scenario envelope for Microsoft-controlled/Copilot serving burden; not an official contracted-GW disclosure.</t>
        </is>
      </c>
      <c r="J2" s="3" t="inlineStr">
        <is>
          <t>ASSUMP_POWER_RAMP; SRC_MS_MAIA200</t>
        </is>
      </c>
      <c r="K2" s="3" t="inlineStr">
        <is>
          <t>ASSUMP_POWER_RAMP; ASSUMP_MS_OPENAI_ATTRIBUTION; ASSUMP_NUMERIC_ACCELERATOR_MIX; ASSUMP_INFERENCE_SHARE_NOT_FACT_60; ASSUMP_WORKLOAD_CLASS_MIX; ASSUMP_AGENTIC_CONTEXT_PENALTY</t>
        </is>
      </c>
      <c r="L2" s="3" t="inlineStr">
        <is>
          <t>Company/site-level committed MW/GW, interconnect and contract disclosure.</t>
        </is>
      </c>
    </row>
    <row r="3">
      <c r="A3" s="3" t="inlineStr">
        <is>
          <t>Microsoft</t>
        </is>
      </c>
      <c r="B3" s="3" t="n">
        <v>2026</v>
      </c>
      <c r="C3" s="3" t="inlineStr">
        <is>
          <t>Bear</t>
        </is>
      </c>
      <c r="D3" s="3" t="inlineStr">
        <is>
          <t>operational_deployment_share</t>
        </is>
      </c>
      <c r="E3" s="3" t="n">
        <v>0.405</v>
      </c>
      <c r="F3" s="3" t="inlineStr">
        <is>
          <t>share</t>
        </is>
      </c>
      <c r="G3" s="3" t="inlineStr">
        <is>
          <t>Scenario conversion</t>
        </is>
      </c>
      <c r="H3" s="3" t="inlineStr">
        <is>
          <t>active_power_gw / contracted_power_gw</t>
        </is>
      </c>
      <c r="I3" s="3" t="inlineStr">
        <is>
          <t>This is the single explicit conversion from contracted/attributed capacity to operationally usable capacity.</t>
        </is>
      </c>
      <c r="J3" s="3" t="inlineStr">
        <is>
          <t>ASSUMP_POWER_RAMP; SRC_MS_MAIA200</t>
        </is>
      </c>
      <c r="K3" s="3" t="inlineStr">
        <is>
          <t>ASSUMP_POWER_RAMP; ASSUMP_MS_OPENAI_ATTRIBUTION; ASSUMP_NUMERIC_ACCELERATOR_MIX; ASSUMP_INFERENCE_SHARE_NOT_FACT_60; ASSUMP_WORKLOAD_CLASS_MIX; ASSUMP_AGENTIC_CONTEXT_PENALTY</t>
        </is>
      </c>
      <c r="L3" s="3" t="inlineStr">
        <is>
          <t>Energized operational capacity divided by contracted/attributed capacity.</t>
        </is>
      </c>
    </row>
    <row r="4">
      <c r="A4" s="3" t="inlineStr">
        <is>
          <t>Microsoft</t>
        </is>
      </c>
      <c r="B4" s="3" t="n">
        <v>2026</v>
      </c>
      <c r="C4" s="3" t="inlineStr">
        <is>
          <t>Bear</t>
        </is>
      </c>
      <c r="D4" s="3" t="inlineStr">
        <is>
          <t>active_power_gw</t>
        </is>
      </c>
      <c r="E4" s="3" t="n">
        <v>1.62</v>
      </c>
      <c r="F4" s="3" t="inlineStr">
        <is>
          <t>GW</t>
        </is>
      </c>
      <c r="G4" s="3" t="inlineStr">
        <is>
          <t>Derived scenario</t>
        </is>
      </c>
      <c r="H4" s="3" t="inlineStr">
        <is>
          <t>contracted_power_gw * operational_deployment_share</t>
        </is>
      </c>
      <c r="I4" s="3" t="inlineStr">
        <is>
          <t>Active GW is a staged operational deployment fraction of modeled capacity, reflecting site energization and accelerator availability.</t>
        </is>
      </c>
      <c r="J4" s="3" t="inlineStr">
        <is>
          <t>ASSUMP_POWER_RAMP; SRC_MS_MAIA200</t>
        </is>
      </c>
      <c r="K4" s="3" t="inlineStr">
        <is>
          <t>ASSUMP_POWER_RAMP; ASSUMP_MS_OPENAI_ATTRIBUTION; ASSUMP_NUMERIC_ACCELERATOR_MIX; ASSUMP_INFERENCE_SHARE_NOT_FACT_60; ASSUMP_WORKLOAD_CLASS_MIX; ASSUMP_AGENTIC_CONTEXT_PENALTY</t>
        </is>
      </c>
      <c r="L4" s="3" t="inlineStr">
        <is>
          <t>Energization dates, accelerator deliveries and operational powered-rack telemetry.</t>
        </is>
      </c>
    </row>
    <row r="5">
      <c r="A5" s="3" t="inlineStr">
        <is>
          <t>Microsoft</t>
        </is>
      </c>
      <c r="B5" s="3" t="n">
        <v>2026</v>
      </c>
      <c r="C5" s="3" t="inlineStr">
        <is>
          <t>Bear</t>
        </is>
      </c>
      <c r="D5" s="3" t="inlineStr">
        <is>
          <t>pue</t>
        </is>
      </c>
      <c r="E5" s="3" t="n">
        <v>1.2</v>
      </c>
      <c r="F5" s="3" t="inlineStr">
        <is>
          <t>ratio</t>
        </is>
      </c>
      <c r="G5" s="3" t="inlineStr">
        <is>
          <t>Scenario parameter</t>
        </is>
      </c>
      <c r="H5" s="3" t="inlineStr">
        <is>
          <t>it_load_gw = active_power_gw / pue</t>
        </is>
      </c>
      <c r="I5" s="3" t="inlineStr">
        <is>
          <t>No provider-wide site-level PUE is used as a disclosed fact; PUE represents facility-to-IT conversion within the scenario.</t>
        </is>
      </c>
      <c r="J5" s="3" t="inlineStr">
        <is>
          <t>ASSUMP_POWER_RAMP</t>
        </is>
      </c>
      <c r="K5" s="3" t="inlineStr">
        <is>
          <t>ASSUMP_POWER_RAMP; ASSUMP_MS_OPENAI_ATTRIBUTION; ASSUMP_NUMERIC_ACCELERATOR_MIX; ASSUMP_INFERENCE_SHARE_NOT_FACT_60; ASSUMP_WORKLOAD_CLASS_MIX; ASSUMP_AGENTIC_CONTEXT_PENALTY</t>
        </is>
      </c>
      <c r="L5" s="3" t="inlineStr">
        <is>
          <t>Site-level measured PUE matched to attributed AI capacity.</t>
        </is>
      </c>
    </row>
    <row r="6">
      <c r="A6" s="3" t="inlineStr">
        <is>
          <t>Microsoft</t>
        </is>
      </c>
      <c r="B6" s="3" t="n">
        <v>2026</v>
      </c>
      <c r="C6" s="3" t="inlineStr">
        <is>
          <t>Bear</t>
        </is>
      </c>
      <c r="D6" s="3" t="inlineStr">
        <is>
          <t>it_load_gw</t>
        </is>
      </c>
      <c r="E6" s="3" t="n">
        <v>1.35</v>
      </c>
      <c r="F6" s="3" t="inlineStr">
        <is>
          <t>GW</t>
        </is>
      </c>
      <c r="G6" s="3" t="inlineStr">
        <is>
          <t>Derived formula</t>
        </is>
      </c>
      <c r="H6" s="3" t="inlineStr">
        <is>
          <t>active_power_gw / pue</t>
        </is>
      </c>
      <c r="I6" s="3" t="inlineStr">
        <is>
          <t>Facility power is converted to IT-deliverable power before attributing AI workloads.</t>
        </is>
      </c>
      <c r="J6" s="3" t="inlineStr">
        <is>
          <t>ASSUMP_POWER_RAMP; SRC_MS_MAIA200</t>
        </is>
      </c>
      <c r="K6" s="3" t="inlineStr">
        <is>
          <t>ASSUMP_POWER_RAMP; ASSUMP_MS_OPENAI_ATTRIBUTION; ASSUMP_NUMERIC_ACCELERATOR_MIX; ASSUMP_INFERENCE_SHARE_NOT_FACT_60; ASSUMP_WORKLOAD_CLASS_MIX; ASSUMP_AGENTIC_CONTEXT_PENALTY</t>
        </is>
      </c>
      <c r="L6" s="3" t="inlineStr">
        <is>
          <t>Recompute once active power and PUE become site-observable.</t>
        </is>
      </c>
    </row>
    <row r="7">
      <c r="A7" s="3" t="inlineStr">
        <is>
          <t>Microsoft</t>
        </is>
      </c>
      <c r="B7" s="3" t="n">
        <v>2026</v>
      </c>
      <c r="C7" s="3" t="inlineStr">
        <is>
          <t>Bear</t>
        </is>
      </c>
      <c r="D7" s="3" t="inlineStr">
        <is>
          <t>ai_workload_share</t>
        </is>
      </c>
      <c r="E7" s="3" t="n">
        <v>0.86</v>
      </c>
      <c r="F7" s="3" t="inlineStr">
        <is>
          <t>share</t>
        </is>
      </c>
      <c r="G7" s="3" t="inlineStr">
        <is>
          <t>Scenario allocation</t>
        </is>
      </c>
      <c r="H7" s="3" t="inlineStr">
        <is>
          <t>ai_it_load_gw = it_load_gw * ai_workload_share</t>
        </is>
      </c>
      <c r="I7" s="3" t="inlineStr">
        <is>
          <t>Azure/Copilot serving burden is AI-oriented but shares infrastructure with platform and reserve overhead; 86% is a scenario allocation.</t>
        </is>
      </c>
      <c r="J7" s="3" t="inlineStr">
        <is>
          <t>SRC_MS_PHI; SRC_OPENAI_GPT41_DOCS; SRC_MS_PHI4_TECHREPORT; SRC_MS_MAIA200; SRC_EPOCH_AI_DATA_CENTERS</t>
        </is>
      </c>
      <c r="K7" s="3" t="inlineStr">
        <is>
          <t>ASSUMP_POWER_RAMP; ASSUMP_MS_OPENAI_ATTRIBUTION; ASSUMP_NUMERIC_ACCELERATOR_MIX; ASSUMP_INFERENCE_SHARE_NOT_FACT_60; ASSUMP_WORKLOAD_CLASS_MIX; ASSUMP_AGENTIC_CONTEXT_PENALTY</t>
        </is>
      </c>
      <c r="L7" s="3" t="inlineStr">
        <is>
          <t>Model-owner AI workload allocation or cluster scheduling telemetry.</t>
        </is>
      </c>
    </row>
    <row r="8">
      <c r="A8" s="3" t="inlineStr">
        <is>
          <t>Microsoft</t>
        </is>
      </c>
      <c r="B8" s="3" t="n">
        <v>2026</v>
      </c>
      <c r="C8" s="3" t="inlineStr">
        <is>
          <t>Bear</t>
        </is>
      </c>
      <c r="D8" s="3" t="inlineStr">
        <is>
          <t>ai_it_load_gw</t>
        </is>
      </c>
      <c r="E8" s="3" t="n">
        <v>1.161</v>
      </c>
      <c r="F8" s="3" t="inlineStr">
        <is>
          <t>GW</t>
        </is>
      </c>
      <c r="G8" s="3" t="inlineStr">
        <is>
          <t>Derived formula</t>
        </is>
      </c>
      <c r="H8" s="3" t="inlineStr">
        <is>
          <t>it_load_gw * ai_workload_share</t>
        </is>
      </c>
      <c r="I8" s="3" t="inlineStr">
        <is>
          <t>Only the AI-attributed portion of IT load enters training/inference allocation.</t>
        </is>
      </c>
      <c r="J8" s="3" t="inlineStr">
        <is>
          <t>SRC_MS_PHI; SRC_OPENAI_GPT41_DOCS; SRC_MS_PHI4_TECHREPORT; SRC_MS_MAIA200; SRC_EPOCH_AI_DATA_CENTERS</t>
        </is>
      </c>
      <c r="K8" s="3" t="inlineStr">
        <is>
          <t>ASSUMP_POWER_RAMP; ASSUMP_MS_OPENAI_ATTRIBUTION; ASSUMP_NUMERIC_ACCELERATOR_MIX; ASSUMP_INFERENCE_SHARE_NOT_FACT_60; ASSUMP_WORKLOAD_CLASS_MIX; ASSUMP_AGENTIC_CONTEXT_PENALTY</t>
        </is>
      </c>
      <c r="L8" s="3" t="inlineStr">
        <is>
          <t>Recompute after ai_workload_share is replaced by telemetry.</t>
        </is>
      </c>
    </row>
    <row r="9">
      <c r="A9" s="3" t="inlineStr">
        <is>
          <t>Microsoft</t>
        </is>
      </c>
      <c r="B9" s="3" t="n">
        <v>2026</v>
      </c>
      <c r="C9" s="3" t="inlineStr">
        <is>
          <t>Bear</t>
        </is>
      </c>
      <c r="D9" s="3" t="inlineStr">
        <is>
          <t>gpu_share</t>
        </is>
      </c>
      <c r="E9" s="3" t="n">
        <v>1</v>
      </c>
      <c r="F9" s="3" t="inlineStr">
        <is>
          <t>share of inference-serving accelerator load</t>
        </is>
      </c>
      <c r="G9" s="3" t="inlineStr">
        <is>
          <t>Numeric scenario</t>
        </is>
      </c>
      <c r="H9" s="3" t="inlineStr">
        <is>
          <t>gpu_share interpolated from company 2026/2030 accelerator-mix endpoints</t>
        </is>
      </c>
      <c r="I9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9" s="3" t="inlineStr">
        <is>
          <t>SRC_MS_PHI; SRC_OPENAI_GPT41_DOCS; SRC_MS_PHI4_TECHREPORT; SRC_MS_MAIA200; SRC_EPOCH_AI_DATA_CENTERS; ASSUMP_NUMERIC_ACCELERATOR_MIX</t>
        </is>
      </c>
      <c r="K9" s="3" t="inlineStr">
        <is>
          <t>ASSUMP_POWER_RAMP; ASSUMP_MS_OPENAI_ATTRIBUTION; ASSUMP_NUMERIC_ACCELERATOR_MIX; ASSUMP_INFERENCE_SHARE_NOT_FACT_60; ASSUMP_WORKLOAD_CLASS_MIX; ASSUMP_AGENTIC_CONTEXT_PENALTY</t>
        </is>
      </c>
      <c r="L9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">
      <c r="A10" s="3" t="inlineStr">
        <is>
          <t>Microsoft</t>
        </is>
      </c>
      <c r="B10" s="3" t="n">
        <v>2026</v>
      </c>
      <c r="C10" s="3" t="inlineStr">
        <is>
          <t>Bear</t>
        </is>
      </c>
      <c r="D10" s="3" t="inlineStr">
        <is>
          <t>h200_share</t>
        </is>
      </c>
      <c r="E10" s="3" t="n">
        <v>0.07946300000000001</v>
      </c>
      <c r="F10" s="3" t="inlineStr">
        <is>
          <t>share of inference-serving accelerator load</t>
        </is>
      </c>
      <c r="G10" s="3" t="inlineStr">
        <is>
          <t>Editable numeric scenario</t>
        </is>
      </c>
      <c r="H10" s="3" t="inlineStr">
        <is>
          <t>h200_share = gpu_share * default_gpu_generation_mix_h200</t>
        </is>
      </c>
      <c r="I10" s="3" t="inlineStr">
        <is>
          <t>Default GPU-generation migration assumption; executive workbook allows later manual replacement by company/year/scenario.</t>
        </is>
      </c>
      <c r="J10" s="3" t="inlineStr">
        <is>
          <t>SRC_SEMIANALYSIS_INFERENCEX; ASSUMP_NUMERIC_ACCELERATOR_MIX</t>
        </is>
      </c>
      <c r="K10" s="3" t="inlineStr">
        <is>
          <t>ASSUMP_POWER_RAMP; ASSUMP_MS_OPENAI_ATTRIBUTION; ASSUMP_NUMERIC_ACCELERATOR_MIX; ASSUMP_INFERENCE_SHARE_NOT_FACT_60; ASSUMP_WORKLOAD_CLASS_MIX; ASSUMP_AGENTIC_CONTEXT_PENALTY</t>
        </is>
      </c>
      <c r="L10" s="3" t="inlineStr">
        <is>
          <t>Company fleet inventory, accelerator-hours or procurement/deployment records by GPU generation.</t>
        </is>
      </c>
    </row>
    <row r="11">
      <c r="A11" s="3" t="inlineStr">
        <is>
          <t>Microsoft</t>
        </is>
      </c>
      <c r="B11" s="3" t="n">
        <v>2026</v>
      </c>
      <c r="C11" s="3" t="inlineStr">
        <is>
          <t>Bear</t>
        </is>
      </c>
      <c r="D11" s="3" t="inlineStr">
        <is>
          <t>b200_share</t>
        </is>
      </c>
      <c r="E11" s="3" t="n">
        <v>0.920537</v>
      </c>
      <c r="F11" s="3" t="inlineStr">
        <is>
          <t>share of inference-serving accelerator load</t>
        </is>
      </c>
      <c r="G11" s="3" t="inlineStr">
        <is>
          <t>Editable numeric scenario</t>
        </is>
      </c>
      <c r="H11" s="3" t="inlineStr">
        <is>
          <t>b200_share = gpu_share * default_gpu_generation_mix_b200</t>
        </is>
      </c>
      <c r="I11" s="3" t="inlineStr">
        <is>
          <t>Default GPU-generation migration assumption; executive workbook allows later manual replacement by company/year/scenario.</t>
        </is>
      </c>
      <c r="J11" s="3" t="inlineStr">
        <is>
          <t>SRC_SEMIANALYSIS_INFERENCEX; ASSUMP_NUMERIC_ACCELERATOR_MIX</t>
        </is>
      </c>
      <c r="K11" s="3" t="inlineStr">
        <is>
          <t>ASSUMP_POWER_RAMP; ASSUMP_MS_OPENAI_ATTRIBUTION; ASSUMP_NUMERIC_ACCELERATOR_MIX; ASSUMP_INFERENCE_SHARE_NOT_FACT_60; ASSUMP_WORKLOAD_CLASS_MIX; ASSUMP_AGENTIC_CONTEXT_PENALTY</t>
        </is>
      </c>
      <c r="L11" s="3" t="inlineStr">
        <is>
          <t>Company fleet inventory, accelerator-hours or procurement/deployment records by GPU generation.</t>
        </is>
      </c>
    </row>
    <row r="12">
      <c r="A12" s="3" t="inlineStr">
        <is>
          <t>Microsoft</t>
        </is>
      </c>
      <c r="B12" s="3" t="n">
        <v>2026</v>
      </c>
      <c r="C12" s="3" t="inlineStr">
        <is>
          <t>Bear</t>
        </is>
      </c>
      <c r="D12" s="3" t="inlineStr">
        <is>
          <t>gb200_share</t>
        </is>
      </c>
      <c r="E12" s="3" t="n">
        <v>0</v>
      </c>
      <c r="F12" s="3" t="inlineStr">
        <is>
          <t>share of inference-serving accelerator load</t>
        </is>
      </c>
      <c r="G12" s="3" t="inlineStr">
        <is>
          <t>Editable numeric scenario</t>
        </is>
      </c>
      <c r="H12" s="3" t="inlineStr">
        <is>
          <t>gb200_share = gpu_share * default_gpu_generation_mix_gb200</t>
        </is>
      </c>
      <c r="I12" s="3" t="inlineStr">
        <is>
          <t>Default GPU-generation migration assumption; executive workbook allows later manual replacement by company/year/scenario.</t>
        </is>
      </c>
      <c r="J12" s="3" t="inlineStr">
        <is>
          <t>SRC_SEMIANALYSIS_INFERENCEX; ASSUMP_NUMERIC_ACCELERATOR_MIX</t>
        </is>
      </c>
      <c r="K12" s="3" t="inlineStr">
        <is>
          <t>ASSUMP_POWER_RAMP; ASSUMP_MS_OPENAI_ATTRIBUTION; ASSUMP_NUMERIC_ACCELERATOR_MIX; ASSUMP_INFERENCE_SHARE_NOT_FACT_60; ASSUMP_WORKLOAD_CLASS_MIX; ASSUMP_AGENTIC_CONTEXT_PENALTY</t>
        </is>
      </c>
      <c r="L12" s="3" t="inlineStr">
        <is>
          <t>Company fleet inventory, accelerator-hours or procurement/deployment records by GPU generation.</t>
        </is>
      </c>
    </row>
    <row r="13">
      <c r="A13" s="3" t="inlineStr">
        <is>
          <t>Microsoft</t>
        </is>
      </c>
      <c r="B13" s="3" t="n">
        <v>2026</v>
      </c>
      <c r="C13" s="3" t="inlineStr">
        <is>
          <t>Bear</t>
        </is>
      </c>
      <c r="D13" s="3" t="inlineStr">
        <is>
          <t>purpose_built_accelerator_share</t>
        </is>
      </c>
      <c r="E13" s="3" t="n">
        <v>0</v>
      </c>
      <c r="F13" s="3" t="inlineStr">
        <is>
          <t>share of inference-serving accelerator load</t>
        </is>
      </c>
      <c r="G13" s="3" t="inlineStr">
        <is>
          <t>Numeric scenario</t>
        </is>
      </c>
      <c r="H13" s="3" t="inlineStr">
        <is>
          <t>1 - gpu_share</t>
        </is>
      </c>
      <c r="I13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3" s="3" t="inlineStr">
        <is>
          <t>SRC_MS_PHI; SRC_OPENAI_GPT41_DOCS; SRC_MS_PHI4_TECHREPORT; SRC_MS_MAIA200; SRC_EPOCH_AI_DATA_CENTERS; ASSUMP_NUMERIC_ACCELERATOR_MIX</t>
        </is>
      </c>
      <c r="K13" s="3" t="inlineStr">
        <is>
          <t>ASSUMP_POWER_RAMP; ASSUMP_MS_OPENAI_ATTRIBUTION; ASSUMP_NUMERIC_ACCELERATOR_MIX; ASSUMP_INFERENCE_SHARE_NOT_FACT_60; ASSUMP_WORKLOAD_CLASS_MIX; ASSUMP_AGENTIC_CONTEXT_PENALTY</t>
        </is>
      </c>
      <c r="L13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4">
      <c r="A14" s="3" t="inlineStr">
        <is>
          <t>Microsoft</t>
        </is>
      </c>
      <c r="B14" s="3" t="n">
        <v>2026</v>
      </c>
      <c r="C14" s="3" t="inlineStr">
        <is>
          <t>Bear</t>
        </is>
      </c>
      <c r="D14" s="3" t="inlineStr">
        <is>
          <t>fleet_reference_tps_per_mw</t>
        </is>
      </c>
      <c r="E14" s="3" t="n">
        <v>2753112</v>
      </c>
      <c r="F14" s="3" t="inlineStr">
        <is>
          <t>generated output tokens/sec/MW</t>
        </is>
      </c>
      <c r="G14" s="3" t="inlineStr">
        <is>
          <t>Fleet-weighted public benchmark reference</t>
        </is>
      </c>
      <c r="H14" s="3" t="inlineStr">
        <is>
          <t>h200_share*h200_workload_avg + b200_share*b200_workload_avg + gb200_share*gb200_workload_avg + purpose_built_share*purpose_workload_avg</t>
        </is>
      </c>
      <c r="I1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" s="3" t="inlineStr">
        <is>
          <t>SRC_SEMIANALYSIS_INFERENCEX; ASSUMP_NUMERIC_ACCELERATOR_MIX; ASSUMP_WORKLOAD_CLASS_MIX; ASSUMP_AGENTIC_CONTEXT_PENALTY</t>
        </is>
      </c>
      <c r="K14" s="3" t="inlineStr">
        <is>
          <t>ASSUMP_POWER_RAMP; ASSUMP_MS_OPENAI_ATTRIBUTION; ASSUMP_NUMERIC_ACCELERATOR_MIX; ASSUMP_INFERENCE_SHARE_NOT_FACT_60; ASSUMP_WORKLOAD_CLASS_MIX; ASSUMP_AGENTIC_CONTEXT_PENALTY</t>
        </is>
      </c>
      <c r="L14" s="3" t="inlineStr">
        <is>
          <t>Comparable production output-token throughput or a more closely matched benchmark.</t>
        </is>
      </c>
    </row>
    <row r="15">
      <c r="A15" s="3" t="inlineStr">
        <is>
          <t>Microsoft</t>
        </is>
      </c>
      <c r="B15" s="3" t="n">
        <v>2026</v>
      </c>
      <c r="C15" s="3" t="inlineStr">
        <is>
          <t>Bear</t>
        </is>
      </c>
      <c r="D15" s="3" t="inlineStr">
        <is>
          <t>commercial_workload_fit_factor</t>
        </is>
      </c>
      <c r="E15" s="3" t="n">
        <v>0.4</v>
      </c>
      <c r="F15" s="3" t="inlineStr">
        <is>
          <t>share of public reference throughput</t>
        </is>
      </c>
      <c r="G15" s="3" t="inlineStr">
        <is>
          <t>Scenario assumption</t>
        </is>
      </c>
      <c r="H15" s="3" t="inlineStr">
        <is>
          <t>reference_serving_tps_per_mw = fleet_reference_tps_per_mw * commercial_workload_fit_factor</t>
        </is>
      </c>
      <c r="I1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5" s="3" t="inlineStr">
        <is>
          <t>SRC_SEMIANALYSIS_INFERENCEX; ASSUMP_NUMERIC_ACCELERATOR_MIX; ASSUMP_WORKLOAD_CLASS_MIX; ASSUMP_AGENTIC_CONTEXT_PENALTY</t>
        </is>
      </c>
      <c r="K15" s="3" t="inlineStr">
        <is>
          <t>ASSUMP_POWER_RAMP; ASSUMP_MS_OPENAI_ATTRIBUTION; ASSUMP_NUMERIC_ACCELERATOR_MIX; ASSUMP_INFERENCE_SHARE_NOT_FACT_60; ASSUMP_WORKLOAD_CLASS_MIX; ASSUMP_AGENTIC_CONTEXT_PENALTY</t>
        </is>
      </c>
      <c r="L15" s="3" t="inlineStr">
        <is>
          <t>Matched commercial serving benchmark by product surface, context shape and latency SLO.</t>
        </is>
      </c>
    </row>
    <row r="16">
      <c r="A16" s="3" t="inlineStr">
        <is>
          <t>Microsoft</t>
        </is>
      </c>
      <c r="B16" s="3" t="n">
        <v>2026</v>
      </c>
      <c r="C16" s="3" t="inlineStr">
        <is>
          <t>Bear</t>
        </is>
      </c>
      <c r="D16" s="3" t="inlineStr">
        <is>
          <t>reference_serving_tps_per_mw</t>
        </is>
      </c>
      <c r="E16" s="3" t="n">
        <v>1101245</v>
      </c>
      <c r="F16" s="3" t="inlineStr">
        <is>
          <t>generated output tokens/sec/MW</t>
        </is>
      </c>
      <c r="G16" s="3" t="inlineStr">
        <is>
          <t>Workload-adjusted benchmark proxy</t>
        </is>
      </c>
      <c r="H16" s="3" t="inlineStr">
        <is>
          <t>fleet_reference_tps_per_mw * commercial_workload_fit_factor</t>
        </is>
      </c>
      <c r="I16" s="3" t="inlineStr">
        <is>
          <t>This is the coefficient used for headline token generation; each GPU's short chat, long chat and agentic TPS/MW are weighted before fleet mix and commercial fit are applied.</t>
        </is>
      </c>
      <c r="J16" s="3" t="inlineStr">
        <is>
          <t>SRC_SEMIANALYSIS_INFERENCEX; ASSUMP_NUMERIC_ACCELERATOR_MIX; ASSUMP_WORKLOAD_CLASS_MIX; ASSUMP_AGENTIC_CONTEXT_PENALTY</t>
        </is>
      </c>
      <c r="K16" s="3" t="inlineStr">
        <is>
          <t>ASSUMP_POWER_RAMP; ASSUMP_MS_OPENAI_ATTRIBUTION; ASSUMP_NUMERIC_ACCELERATOR_MIX; ASSUMP_INFERENCE_SHARE_NOT_FACT_60; ASSUMP_WORKLOAD_CLASS_MIX; ASSUMP_AGENTIC_CONTEXT_PENALTY</t>
        </is>
      </c>
      <c r="L16" s="3" t="inlineStr">
        <is>
          <t>Provider production output-token throughput with comparable workload/SLO.</t>
        </is>
      </c>
    </row>
    <row r="17">
      <c r="A17" s="3" t="inlineStr">
        <is>
          <t>Microsoft</t>
        </is>
      </c>
      <c r="B17" s="3" t="n">
        <v>2026</v>
      </c>
      <c r="C17" s="3" t="inlineStr">
        <is>
          <t>Bear</t>
        </is>
      </c>
      <c r="D17" s="3" t="inlineStr">
        <is>
          <t>purpose_built_tps_per_mw</t>
        </is>
      </c>
      <c r="E17" s="3" t="n">
        <v>1806787</v>
      </c>
      <c r="F17" s="3" t="inlineStr">
        <is>
          <t>generated output tokens/sec/MW</t>
        </is>
      </c>
      <c r="G17" s="3" t="inlineStr">
        <is>
          <t>Conservative no-uplift proxy</t>
        </is>
      </c>
      <c r="H17" s="3" t="inlineStr">
        <is>
          <t>purpose_built_tps_per_mw = purpose_built_reference_tps_per_mw * commercial_workload_fit_factor until comparable output-token benchmark is adopted</t>
        </is>
      </c>
      <c r="I17" s="3" t="inlineStr">
        <is>
          <t>No comparable public output-token/MW row adopted; B200 public reference placeholder is used and remains editable.</t>
        </is>
      </c>
      <c r="J17" s="3" t="inlineStr">
        <is>
          <t>SRC_MS_PHI; SRC_OPENAI_GPT41_DOCS; SRC_MS_PHI4_TECHREPORT; SRC_MS_MAIA200; SRC_EPOCH_AI_DATA_CENTERS; ASSUMP_NUMERIC_ACCELERATOR_MIX</t>
        </is>
      </c>
      <c r="K17" s="3" t="inlineStr">
        <is>
          <t>ASSUMP_POWER_RAMP; ASSUMP_MS_OPENAI_ATTRIBUTION; ASSUMP_NUMERIC_ACCELERATOR_MIX; ASSUMP_INFERENCE_SHARE_NOT_FACT_60; ASSUMP_WORKLOAD_CLASS_MIX; ASSUMP_AGENTIC_CONTEXT_PENALTY</t>
        </is>
      </c>
      <c r="L17" s="3" t="inlineStr">
        <is>
          <t>Matched-workload generated-output benchmark for the provider purpose-built accelerator.</t>
        </is>
      </c>
    </row>
    <row r="18">
      <c r="A18" s="3" t="inlineStr">
        <is>
          <t>Microsoft</t>
        </is>
      </c>
      <c r="B18" s="3" t="n">
        <v>2026</v>
      </c>
      <c r="C18" s="3" t="inlineStr">
        <is>
          <t>Bear</t>
        </is>
      </c>
      <c r="D18" s="3" t="inlineStr">
        <is>
          <t>inference_power_share</t>
        </is>
      </c>
      <c r="E18" s="3" t="n">
        <v>0.47</v>
      </c>
      <c r="F18" s="3" t="inlineStr">
        <is>
          <t>share of AI IT load</t>
        </is>
      </c>
      <c r="G18" s="3" t="inlineStr">
        <is>
          <t>Scenario allocation</t>
        </is>
      </c>
      <c r="H18" s="3" t="inlineStr">
        <is>
          <t>inference_gw = ai_it_load_gw * inference_power_share</t>
        </is>
      </c>
      <c r="I18" s="3" t="inlineStr">
        <is>
          <t>Copilot commercial serving growth supports rising inference allocation; OpenAI model-owner output must remain separately attributed.</t>
        </is>
      </c>
      <c r="J18" s="3" t="inlineStr">
        <is>
          <t>SRC_MS_PHI; SRC_OPENAI_GPT41_DOCS; SRC_MS_PHI4_TECHREPORT; SRC_MS_MAIA200; SRC_EPOCH_AI_DATA_CENTERS; ASSUMP_INFERENCE_SHARE_NOT_FACT_60</t>
        </is>
      </c>
      <c r="K18" s="3" t="inlineStr">
        <is>
          <t>ASSUMP_POWER_RAMP; ASSUMP_MS_OPENAI_ATTRIBUTION; ASSUMP_NUMERIC_ACCELERATOR_MIX; ASSUMP_INFERENCE_SHARE_NOT_FACT_60; ASSUMP_WORKLOAD_CLASS_MIX; ASSUMP_AGENTIC_CONTEXT_PENALTY</t>
        </is>
      </c>
      <c r="L18" s="3" t="inlineStr">
        <is>
          <t>Provider-specific inference/training workload power telemetry.</t>
        </is>
      </c>
    </row>
    <row r="19">
      <c r="A19" s="3" t="inlineStr">
        <is>
          <t>Microsoft</t>
        </is>
      </c>
      <c r="B19" s="3" t="n">
        <v>2026</v>
      </c>
      <c r="C19" s="3" t="inlineStr">
        <is>
          <t>Bear</t>
        </is>
      </c>
      <c r="D19" s="3" t="inlineStr">
        <is>
          <t>inference_gw</t>
        </is>
      </c>
      <c r="E19" s="3" t="n">
        <v>0.546</v>
      </c>
      <c r="F19" s="3" t="inlineStr">
        <is>
          <t>GW</t>
        </is>
      </c>
      <c r="G19" s="3" t="inlineStr">
        <is>
          <t>Derived formula</t>
        </is>
      </c>
      <c r="H19" s="3" t="inlineStr">
        <is>
          <t>ai_it_load_gw * inference_power_share</t>
        </is>
      </c>
      <c r="I19" s="3" t="inlineStr">
        <is>
          <t>This is the operational power eligible to become commercial generated output tokens through the selected TPS/MW proxy.</t>
        </is>
      </c>
      <c r="J19" s="3" t="inlineStr">
        <is>
          <t>SRC_MS_PHI; SRC_OPENAI_GPT41_DOCS; SRC_MS_PHI4_TECHREPORT; SRC_MS_MAIA200; SRC_EPOCH_AI_DATA_CENTERS</t>
        </is>
      </c>
      <c r="K19" s="3" t="inlineStr">
        <is>
          <t>ASSUMP_POWER_RAMP; ASSUMP_MS_OPENAI_ATTRIBUTION; ASSUMP_NUMERIC_ACCELERATOR_MIX; ASSUMP_INFERENCE_SHARE_NOT_FACT_60; ASSUMP_WORKLOAD_CLASS_MIX; ASSUMP_AGENTIC_CONTEXT_PENALTY</t>
        </is>
      </c>
      <c r="L19" s="3" t="inlineStr">
        <is>
          <t>Recompute after AI allocation or inference-share evidence changes.</t>
        </is>
      </c>
    </row>
    <row r="20">
      <c r="A20" s="3" t="inlineStr">
        <is>
          <t>Microsoft</t>
        </is>
      </c>
      <c r="B20" s="3" t="n">
        <v>2026</v>
      </c>
      <c r="C20" s="3" t="inlineStr">
        <is>
          <t>Bear</t>
        </is>
      </c>
      <c r="D20" s="3" t="inlineStr">
        <is>
          <t>training_power_share</t>
        </is>
      </c>
      <c r="E20" s="3" t="n">
        <v>0.53</v>
      </c>
      <c r="F20" s="3" t="inlineStr">
        <is>
          <t>share of AI IT load</t>
        </is>
      </c>
      <c r="G20" s="3" t="inlineStr">
        <is>
          <t>Derived allocation</t>
        </is>
      </c>
      <c r="H20" s="3" t="inlineStr">
        <is>
          <t>1 - inference_power_share</t>
        </is>
      </c>
      <c r="I20" s="3" t="inlineStr">
        <is>
          <t>Training receives the complementary modeled AI IT allocation; it is not a disclosed company workload split.</t>
        </is>
      </c>
      <c r="J20" s="3" t="inlineStr">
        <is>
          <t>SRC_MS_PHI; SRC_OPENAI_GPT41_DOCS; SRC_MS_PHI4_TECHREPORT; SRC_MS_MAIA200; SRC_EPOCH_AI_DATA_CENTERS; ASSUMP_INFERENCE_SHARE_NOT_FACT_60</t>
        </is>
      </c>
      <c r="K20" s="3" t="inlineStr">
        <is>
          <t>ASSUMP_POWER_RAMP; ASSUMP_MS_OPENAI_ATTRIBUTION; ASSUMP_NUMERIC_ACCELERATOR_MIX; ASSUMP_INFERENCE_SHARE_NOT_FACT_60; ASSUMP_WORKLOAD_CLASS_MIX; ASSUMP_AGENTIC_CONTEXT_PENALTY</t>
        </is>
      </c>
      <c r="L20" s="3" t="inlineStr">
        <is>
          <t>Provider-specific inference/training workload power telemetry.</t>
        </is>
      </c>
    </row>
    <row r="21">
      <c r="A21" s="3" t="inlineStr">
        <is>
          <t>Microsoft</t>
        </is>
      </c>
      <c r="B21" s="3" t="n">
        <v>2026</v>
      </c>
      <c r="C21" s="3" t="inlineStr">
        <is>
          <t>Bear</t>
        </is>
      </c>
      <c r="D21" s="3" t="inlineStr">
        <is>
          <t>training_gw</t>
        </is>
      </c>
      <c r="E21" s="3" t="n">
        <v>0.615</v>
      </c>
      <c r="F21" s="3" t="inlineStr">
        <is>
          <t>GW</t>
        </is>
      </c>
      <c r="G21" s="3" t="inlineStr">
        <is>
          <t>Derived formula</t>
        </is>
      </c>
      <c r="H21" s="3" t="inlineStr">
        <is>
          <t>ai_it_load_gw * training_power_share</t>
        </is>
      </c>
      <c r="I21" s="3" t="inlineStr">
        <is>
          <t>Training GW is shown separately so commercial inference token capacity is not overstated.</t>
        </is>
      </c>
      <c r="J21" s="3" t="inlineStr">
        <is>
          <t>SRC_MS_PHI; SRC_OPENAI_GPT41_DOCS; SRC_MS_PHI4_TECHREPORT; SRC_MS_MAIA200; SRC_EPOCH_AI_DATA_CENTERS</t>
        </is>
      </c>
      <c r="K21" s="3" t="inlineStr">
        <is>
          <t>ASSUMP_POWER_RAMP; ASSUMP_MS_OPENAI_ATTRIBUTION; ASSUMP_NUMERIC_ACCELERATOR_MIX; ASSUMP_INFERENCE_SHARE_NOT_FACT_60; ASSUMP_WORKLOAD_CLASS_MIX; ASSUMP_AGENTIC_CONTEXT_PENALTY</t>
        </is>
      </c>
      <c r="L21" s="3" t="inlineStr">
        <is>
          <t>Recompute after AI allocation or workload-split evidence changes.</t>
        </is>
      </c>
    </row>
    <row r="22">
      <c r="A22" s="3" t="inlineStr">
        <is>
          <t>Microsoft</t>
        </is>
      </c>
      <c r="B22" s="3" t="n">
        <v>2026</v>
      </c>
      <c r="C22" s="3" t="inlineStr">
        <is>
          <t>Bear</t>
        </is>
      </c>
      <c r="D22" s="3" t="inlineStr">
        <is>
          <t>tokens_per_second_per_mw</t>
        </is>
      </c>
      <c r="E22" s="3" t="n">
        <v>1101245</v>
      </c>
      <c r="F22" s="3" t="inlineStr">
        <is>
          <t>generated output tokens/sec/MW</t>
        </is>
      </c>
      <c r="G22" s="3" t="inlineStr">
        <is>
          <t>Derived estimate + benchmark calibration</t>
        </is>
      </c>
      <c r="H22" s="3" t="inlineStr">
        <is>
          <t>fleet_reference_tps_per_mw * commercial_workload_fit_factor</t>
        </is>
      </c>
      <c r="I2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2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2" s="3" t="inlineStr">
        <is>
          <t>ASSUMP_POWER_RAMP; ASSUMP_MS_OPENAI_ATTRIBUTION; ASSUMP_NUMERIC_ACCELERATOR_MIX; ASSUMP_INFERENCE_SHARE_NOT_FACT_60; ASSUMP_WORKLOAD_CLASS_MIX; ASSUMP_AGENTIC_CONTEXT_PENALTY</t>
        </is>
      </c>
      <c r="L22" s="3" t="inlineStr">
        <is>
          <t>Comparable production output-token throughput with model, hardware, precision, ISL/OSL and SLO matched.</t>
        </is>
      </c>
    </row>
    <row r="23">
      <c r="A23" s="3" t="inlineStr">
        <is>
          <t>Microsoft</t>
        </is>
      </c>
      <c r="B23" s="3" t="n">
        <v>2026</v>
      </c>
      <c r="C23" s="3" t="inlineStr">
        <is>
          <t>Bear</t>
        </is>
      </c>
      <c r="D23" s="3" t="inlineStr">
        <is>
          <t>inference_tokens_per_day</t>
        </is>
      </c>
      <c r="E23" s="3" t="n">
        <v>51950572128000</v>
      </c>
      <c r="F23" s="3" t="inlineStr">
        <is>
          <t>generated output tokens/day</t>
        </is>
      </c>
      <c r="G23" s="3" t="inlineStr">
        <is>
          <t>Derived headline metric</t>
        </is>
      </c>
      <c r="H23" s="3" t="inlineStr">
        <is>
          <t>inference_gw * 1000 * tokens_per_second_per_mw * 86,400</t>
        </is>
      </c>
      <c r="I23" s="3" t="inlineStr">
        <is>
          <t>Headline capacity uses no utilization, MoE, architecture or software-growth multiplier; it is not observed commercial output volume.</t>
        </is>
      </c>
      <c r="J23" s="3" t="inlineStr">
        <is>
          <t>SRC_MS_PHI; SRC_OPENAI_GPT41_DOCS; SRC_MS_PHI4_TECHREPORT; SRC_MS_MAIA200; SRC_EPOCH_AI_DATA_CENTERS; SRC_SEMIANALYSIS_INFERENCEX</t>
        </is>
      </c>
      <c r="K23" s="3" t="inlineStr">
        <is>
          <t>ASSUMP_POWER_RAMP; ASSUMP_MS_OPENAI_ATTRIBUTION; ASSUMP_NUMERIC_ACCELERATOR_MIX; ASSUMP_INFERENCE_SHARE_NOT_FACT_60; ASSUMP_WORKLOAD_CLASS_MIX; ASSUMP_AGENTIC_CONTEXT_PENALTY</t>
        </is>
      </c>
      <c r="L23" s="3" t="inlineStr">
        <is>
          <t>Provider-disclosed generated output token volume or calibrated capacity telemetry.</t>
        </is>
      </c>
    </row>
    <row r="24">
      <c r="A24" s="3" t="inlineStr">
        <is>
          <t>Microsoft</t>
        </is>
      </c>
      <c r="B24" s="3" t="n">
        <v>2026</v>
      </c>
      <c r="C24" s="3" t="inlineStr">
        <is>
          <t>Bear</t>
        </is>
      </c>
      <c r="D24" s="3" t="inlineStr">
        <is>
          <t>inference_tokens_per_year</t>
        </is>
      </c>
      <c r="E24" s="3" t="n">
        <v>1.896195882672e+16</v>
      </c>
      <c r="F24" s="3" t="inlineStr">
        <is>
          <t>generated output tokens/year</t>
        </is>
      </c>
      <c r="G24" s="3" t="inlineStr">
        <is>
          <t>Derived headline metric</t>
        </is>
      </c>
      <c r="H24" s="3" t="inlineStr">
        <is>
          <t>inference_tokens_per_day * 365</t>
        </is>
      </c>
      <c r="I24" s="3" t="inlineStr">
        <is>
          <t>Annualized version of generated output token capacity; it is not observed annual demand or billable volume.</t>
        </is>
      </c>
      <c r="J24" s="3" t="inlineStr">
        <is>
          <t>SRC_MS_PHI; SRC_OPENAI_GPT41_DOCS; SRC_MS_PHI4_TECHREPORT; SRC_MS_MAIA200; SRC_EPOCH_AI_DATA_CENTERS; SRC_SEMIANALYSIS_INFERENCEX</t>
        </is>
      </c>
      <c r="K24" s="3" t="inlineStr">
        <is>
          <t>ASSUMP_POWER_RAMP; ASSUMP_MS_OPENAI_ATTRIBUTION; ASSUMP_NUMERIC_ACCELERATOR_MIX; ASSUMP_INFERENCE_SHARE_NOT_FACT_60; ASSUMP_WORKLOAD_CLASS_MIX; ASSUMP_AGENTIC_CONTEXT_PENALTY</t>
        </is>
      </c>
      <c r="L24" s="3" t="inlineStr">
        <is>
          <t>Provider-disclosed annual generated-output volume or metered serving telemetry.</t>
        </is>
      </c>
    </row>
    <row r="25">
      <c r="A25" s="3" t="inlineStr">
        <is>
          <t>Microsoft</t>
        </is>
      </c>
      <c r="B25" s="3" t="n">
        <v>2027</v>
      </c>
      <c r="C25" s="3" t="inlineStr">
        <is>
          <t>Bear</t>
        </is>
      </c>
      <c r="D25" s="3" t="inlineStr">
        <is>
          <t>contracted_power_gw</t>
        </is>
      </c>
      <c r="E25" s="3" t="n">
        <v>5.25</v>
      </c>
      <c r="F25" s="3" t="inlineStr">
        <is>
          <t>GW</t>
        </is>
      </c>
      <c r="G25" s="3" t="inlineStr">
        <is>
          <t>Scenario capacity envelope</t>
        </is>
      </c>
      <c r="H25" s="3" t="inlineStr">
        <is>
          <t>linear interpolation between 2026 and 2030 company capacity endpoints</t>
        </is>
      </c>
      <c r="I25" s="3" t="inlineStr">
        <is>
          <t>Scenario envelope for Microsoft-controlled/Copilot serving burden; not an official contracted-GW disclosure.</t>
        </is>
      </c>
      <c r="J25" s="3" t="inlineStr">
        <is>
          <t>ASSUMP_POWER_RAMP; SRC_MS_MAIA200</t>
        </is>
      </c>
      <c r="K25" s="3" t="inlineStr">
        <is>
          <t>ASSUMP_POWER_RAMP; ASSUMP_MS_OPENAI_ATTRIBUTION; ASSUMP_NUMERIC_ACCELERATOR_MIX; ASSUMP_INFERENCE_SHARE_NOT_FACT_60; ASSUMP_WORKLOAD_CLASS_MIX; ASSUMP_AGENTIC_CONTEXT_PENALTY</t>
        </is>
      </c>
      <c r="L25" s="3" t="inlineStr">
        <is>
          <t>Company/site-level committed MW/GW, interconnect and contract disclosure.</t>
        </is>
      </c>
    </row>
    <row r="26">
      <c r="A26" s="3" t="inlineStr">
        <is>
          <t>Microsoft</t>
        </is>
      </c>
      <c r="B26" s="3" t="n">
        <v>2027</v>
      </c>
      <c r="C26" s="3" t="inlineStr">
        <is>
          <t>Bear</t>
        </is>
      </c>
      <c r="D26" s="3" t="inlineStr">
        <is>
          <t>operational_deployment_share</t>
        </is>
      </c>
      <c r="E26" s="3" t="n">
        <v>0.48609524</v>
      </c>
      <c r="F26" s="3" t="inlineStr">
        <is>
          <t>share</t>
        </is>
      </c>
      <c r="G26" s="3" t="inlineStr">
        <is>
          <t>Scenario conversion</t>
        </is>
      </c>
      <c r="H26" s="3" t="inlineStr">
        <is>
          <t>active_power_gw / contracted_power_gw</t>
        </is>
      </c>
      <c r="I26" s="3" t="inlineStr">
        <is>
          <t>This is the single explicit conversion from contracted/attributed capacity to operationally usable capacity.</t>
        </is>
      </c>
      <c r="J26" s="3" t="inlineStr">
        <is>
          <t>ASSUMP_POWER_RAMP; SRC_MS_MAIA200</t>
        </is>
      </c>
      <c r="K26" s="3" t="inlineStr">
        <is>
          <t>ASSUMP_POWER_RAMP; ASSUMP_MS_OPENAI_ATTRIBUTION; ASSUMP_NUMERIC_ACCELERATOR_MIX; ASSUMP_INFERENCE_SHARE_NOT_FACT_60; ASSUMP_WORKLOAD_CLASS_MIX; ASSUMP_AGENTIC_CONTEXT_PENALTY</t>
        </is>
      </c>
      <c r="L26" s="3" t="inlineStr">
        <is>
          <t>Energized operational capacity divided by contracted/attributed capacity.</t>
        </is>
      </c>
    </row>
    <row r="27">
      <c r="A27" s="3" t="inlineStr">
        <is>
          <t>Microsoft</t>
        </is>
      </c>
      <c r="B27" s="3" t="n">
        <v>2027</v>
      </c>
      <c r="C27" s="3" t="inlineStr">
        <is>
          <t>Bear</t>
        </is>
      </c>
      <c r="D27" s="3" t="inlineStr">
        <is>
          <t>active_power_gw</t>
        </is>
      </c>
      <c r="E27" s="3" t="n">
        <v>2.552</v>
      </c>
      <c r="F27" s="3" t="inlineStr">
        <is>
          <t>GW</t>
        </is>
      </c>
      <c r="G27" s="3" t="inlineStr">
        <is>
          <t>Derived scenario</t>
        </is>
      </c>
      <c r="H27" s="3" t="inlineStr">
        <is>
          <t>contracted_power_gw * operational_deployment_share</t>
        </is>
      </c>
      <c r="I27" s="3" t="inlineStr">
        <is>
          <t>Active GW is a staged operational deployment fraction of modeled capacity, reflecting site energization and accelerator availability.</t>
        </is>
      </c>
      <c r="J27" s="3" t="inlineStr">
        <is>
          <t>ASSUMP_POWER_RAMP; SRC_MS_MAIA200</t>
        </is>
      </c>
      <c r="K27" s="3" t="inlineStr">
        <is>
          <t>ASSUMP_POWER_RAMP; ASSUMP_MS_OPENAI_ATTRIBUTION; ASSUMP_NUMERIC_ACCELERATOR_MIX; ASSUMP_INFERENCE_SHARE_NOT_FACT_60; ASSUMP_WORKLOAD_CLASS_MIX; ASSUMP_AGENTIC_CONTEXT_PENALTY</t>
        </is>
      </c>
      <c r="L27" s="3" t="inlineStr">
        <is>
          <t>Energization dates, accelerator deliveries and operational powered-rack telemetry.</t>
        </is>
      </c>
    </row>
    <row r="28">
      <c r="A28" s="3" t="inlineStr">
        <is>
          <t>Microsoft</t>
        </is>
      </c>
      <c r="B28" s="3" t="n">
        <v>2027</v>
      </c>
      <c r="C28" s="3" t="inlineStr">
        <is>
          <t>Bear</t>
        </is>
      </c>
      <c r="D28" s="3" t="inlineStr">
        <is>
          <t>pue</t>
        </is>
      </c>
      <c r="E28" s="3" t="n">
        <v>1.2</v>
      </c>
      <c r="F28" s="3" t="inlineStr">
        <is>
          <t>ratio</t>
        </is>
      </c>
      <c r="G28" s="3" t="inlineStr">
        <is>
          <t>Scenario parameter</t>
        </is>
      </c>
      <c r="H28" s="3" t="inlineStr">
        <is>
          <t>it_load_gw = active_power_gw / pue</t>
        </is>
      </c>
      <c r="I28" s="3" t="inlineStr">
        <is>
          <t>No provider-wide site-level PUE is used as a disclosed fact; PUE represents facility-to-IT conversion within the scenario.</t>
        </is>
      </c>
      <c r="J28" s="3" t="inlineStr">
        <is>
          <t>ASSUMP_POWER_RAMP</t>
        </is>
      </c>
      <c r="K28" s="3" t="inlineStr">
        <is>
          <t>ASSUMP_POWER_RAMP; ASSUMP_MS_OPENAI_ATTRIBUTION; ASSUMP_NUMERIC_ACCELERATOR_MIX; ASSUMP_INFERENCE_SHARE_NOT_FACT_60; ASSUMP_WORKLOAD_CLASS_MIX; ASSUMP_AGENTIC_CONTEXT_PENALTY</t>
        </is>
      </c>
      <c r="L28" s="3" t="inlineStr">
        <is>
          <t>Site-level measured PUE matched to attributed AI capacity.</t>
        </is>
      </c>
    </row>
    <row r="29">
      <c r="A29" s="3" t="inlineStr">
        <is>
          <t>Microsoft</t>
        </is>
      </c>
      <c r="B29" s="3" t="n">
        <v>2027</v>
      </c>
      <c r="C29" s="3" t="inlineStr">
        <is>
          <t>Bear</t>
        </is>
      </c>
      <c r="D29" s="3" t="inlineStr">
        <is>
          <t>it_load_gw</t>
        </is>
      </c>
      <c r="E29" s="3" t="n">
        <v>2.127</v>
      </c>
      <c r="F29" s="3" t="inlineStr">
        <is>
          <t>GW</t>
        </is>
      </c>
      <c r="G29" s="3" t="inlineStr">
        <is>
          <t>Derived formula</t>
        </is>
      </c>
      <c r="H29" s="3" t="inlineStr">
        <is>
          <t>active_power_gw / pue</t>
        </is>
      </c>
      <c r="I29" s="3" t="inlineStr">
        <is>
          <t>Facility power is converted to IT-deliverable power before attributing AI workloads.</t>
        </is>
      </c>
      <c r="J29" s="3" t="inlineStr">
        <is>
          <t>ASSUMP_POWER_RAMP; SRC_MS_MAIA200</t>
        </is>
      </c>
      <c r="K29" s="3" t="inlineStr">
        <is>
          <t>ASSUMP_POWER_RAMP; ASSUMP_MS_OPENAI_ATTRIBUTION; ASSUMP_NUMERIC_ACCELERATOR_MIX; ASSUMP_INFERENCE_SHARE_NOT_FACT_60; ASSUMP_WORKLOAD_CLASS_MIX; ASSUMP_AGENTIC_CONTEXT_PENALTY</t>
        </is>
      </c>
      <c r="L29" s="3" t="inlineStr">
        <is>
          <t>Recompute once active power and PUE become site-observable.</t>
        </is>
      </c>
    </row>
    <row r="30">
      <c r="A30" s="3" t="inlineStr">
        <is>
          <t>Microsoft</t>
        </is>
      </c>
      <c r="B30" s="3" t="n">
        <v>2027</v>
      </c>
      <c r="C30" s="3" t="inlineStr">
        <is>
          <t>Bear</t>
        </is>
      </c>
      <c r="D30" s="3" t="inlineStr">
        <is>
          <t>ai_workload_share</t>
        </is>
      </c>
      <c r="E30" s="3" t="n">
        <v>0.86</v>
      </c>
      <c r="F30" s="3" t="inlineStr">
        <is>
          <t>share</t>
        </is>
      </c>
      <c r="G30" s="3" t="inlineStr">
        <is>
          <t>Scenario allocation</t>
        </is>
      </c>
      <c r="H30" s="3" t="inlineStr">
        <is>
          <t>ai_it_load_gw = it_load_gw * ai_workload_share</t>
        </is>
      </c>
      <c r="I30" s="3" t="inlineStr">
        <is>
          <t>Azure/Copilot serving burden is AI-oriented but shares infrastructure with platform and reserve overhead; 86% is a scenario allocation.</t>
        </is>
      </c>
      <c r="J30" s="3" t="inlineStr">
        <is>
          <t>SRC_MS_PHI; SRC_OPENAI_GPT41_DOCS; SRC_MS_PHI4_TECHREPORT; SRC_MS_MAIA200; SRC_EPOCH_AI_DATA_CENTERS</t>
        </is>
      </c>
      <c r="K30" s="3" t="inlineStr">
        <is>
          <t>ASSUMP_POWER_RAMP; ASSUMP_MS_OPENAI_ATTRIBUTION; ASSUMP_NUMERIC_ACCELERATOR_MIX; ASSUMP_INFERENCE_SHARE_NOT_FACT_60; ASSUMP_WORKLOAD_CLASS_MIX; ASSUMP_AGENTIC_CONTEXT_PENALTY</t>
        </is>
      </c>
      <c r="L30" s="3" t="inlineStr">
        <is>
          <t>Model-owner AI workload allocation or cluster scheduling telemetry.</t>
        </is>
      </c>
    </row>
    <row r="31">
      <c r="A31" s="3" t="inlineStr">
        <is>
          <t>Microsoft</t>
        </is>
      </c>
      <c r="B31" s="3" t="n">
        <v>2027</v>
      </c>
      <c r="C31" s="3" t="inlineStr">
        <is>
          <t>Bear</t>
        </is>
      </c>
      <c r="D31" s="3" t="inlineStr">
        <is>
          <t>ai_it_load_gw</t>
        </is>
      </c>
      <c r="E31" s="3" t="n">
        <v>1.829</v>
      </c>
      <c r="F31" s="3" t="inlineStr">
        <is>
          <t>GW</t>
        </is>
      </c>
      <c r="G31" s="3" t="inlineStr">
        <is>
          <t>Derived formula</t>
        </is>
      </c>
      <c r="H31" s="3" t="inlineStr">
        <is>
          <t>it_load_gw * ai_workload_share</t>
        </is>
      </c>
      <c r="I31" s="3" t="inlineStr">
        <is>
          <t>Only the AI-attributed portion of IT load enters training/inference allocation.</t>
        </is>
      </c>
      <c r="J31" s="3" t="inlineStr">
        <is>
          <t>SRC_MS_PHI; SRC_OPENAI_GPT41_DOCS; SRC_MS_PHI4_TECHREPORT; SRC_MS_MAIA200; SRC_EPOCH_AI_DATA_CENTERS</t>
        </is>
      </c>
      <c r="K31" s="3" t="inlineStr">
        <is>
          <t>ASSUMP_POWER_RAMP; ASSUMP_MS_OPENAI_ATTRIBUTION; ASSUMP_NUMERIC_ACCELERATOR_MIX; ASSUMP_INFERENCE_SHARE_NOT_FACT_60; ASSUMP_WORKLOAD_CLASS_MIX; ASSUMP_AGENTIC_CONTEXT_PENALTY</t>
        </is>
      </c>
      <c r="L31" s="3" t="inlineStr">
        <is>
          <t>Recompute after ai_workload_share is replaced by telemetry.</t>
        </is>
      </c>
    </row>
    <row r="32">
      <c r="A32" s="3" t="inlineStr">
        <is>
          <t>Microsoft</t>
        </is>
      </c>
      <c r="B32" s="3" t="n">
        <v>2027</v>
      </c>
      <c r="C32" s="3" t="inlineStr">
        <is>
          <t>Bear</t>
        </is>
      </c>
      <c r="D32" s="3" t="inlineStr">
        <is>
          <t>gpu_share</t>
        </is>
      </c>
      <c r="E32" s="3" t="n">
        <v>0.554524</v>
      </c>
      <c r="F32" s="3" t="inlineStr">
        <is>
          <t>share of inference-serving accelerator load</t>
        </is>
      </c>
      <c r="G32" s="3" t="inlineStr">
        <is>
          <t>Numeric scenario</t>
        </is>
      </c>
      <c r="H32" s="3" t="inlineStr">
        <is>
          <t>gpu_share interpolated from company 2026/2030 accelerator-mix endpoints</t>
        </is>
      </c>
      <c r="I32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2" s="3" t="inlineStr">
        <is>
          <t>SRC_MS_PHI; SRC_OPENAI_GPT41_DOCS; SRC_MS_PHI4_TECHREPORT; SRC_MS_MAIA200; SRC_EPOCH_AI_DATA_CENTERS; ASSUMP_NUMERIC_ACCELERATOR_MIX</t>
        </is>
      </c>
      <c r="K32" s="3" t="inlineStr">
        <is>
          <t>ASSUMP_POWER_RAMP; ASSUMP_MS_OPENAI_ATTRIBUTION; ASSUMP_NUMERIC_ACCELERATOR_MIX; ASSUMP_INFERENCE_SHARE_NOT_FACT_60; ASSUMP_WORKLOAD_CLASS_MIX; ASSUMP_AGENTIC_CONTEXT_PENALTY</t>
        </is>
      </c>
      <c r="L32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3">
      <c r="A33" s="3" t="inlineStr">
        <is>
          <t>Microsoft</t>
        </is>
      </c>
      <c r="B33" s="3" t="n">
        <v>2027</v>
      </c>
      <c r="C33" s="3" t="inlineStr">
        <is>
          <t>Bear</t>
        </is>
      </c>
      <c r="D33" s="3" t="inlineStr">
        <is>
          <t>h200_share</t>
        </is>
      </c>
      <c r="E33" s="3" t="n">
        <v>0.033529</v>
      </c>
      <c r="F33" s="3" t="inlineStr">
        <is>
          <t>share of inference-serving accelerator load</t>
        </is>
      </c>
      <c r="G33" s="3" t="inlineStr">
        <is>
          <t>Editable numeric scenario</t>
        </is>
      </c>
      <c r="H33" s="3" t="inlineStr">
        <is>
          <t>h200_share = gpu_share * default_gpu_generation_mix_h200</t>
        </is>
      </c>
      <c r="I33" s="3" t="inlineStr">
        <is>
          <t>Default GPU-generation migration assumption; executive workbook allows later manual replacement by company/year/scenario.</t>
        </is>
      </c>
      <c r="J33" s="3" t="inlineStr">
        <is>
          <t>SRC_SEMIANALYSIS_INFERENCEX; ASSUMP_NUMERIC_ACCELERATOR_MIX</t>
        </is>
      </c>
      <c r="K33" s="3" t="inlineStr">
        <is>
          <t>ASSUMP_POWER_RAMP; ASSUMP_MS_OPENAI_ATTRIBUTION; ASSUMP_NUMERIC_ACCELERATOR_MIX; ASSUMP_INFERENCE_SHARE_NOT_FACT_60; ASSUMP_WORKLOAD_CLASS_MIX; ASSUMP_AGENTIC_CONTEXT_PENALTY</t>
        </is>
      </c>
      <c r="L33" s="3" t="inlineStr">
        <is>
          <t>Company fleet inventory, accelerator-hours or procurement/deployment records by GPU generation.</t>
        </is>
      </c>
    </row>
    <row r="34">
      <c r="A34" s="3" t="inlineStr">
        <is>
          <t>Microsoft</t>
        </is>
      </c>
      <c r="B34" s="3" t="n">
        <v>2027</v>
      </c>
      <c r="C34" s="3" t="inlineStr">
        <is>
          <t>Bear</t>
        </is>
      </c>
      <c r="D34" s="3" t="inlineStr">
        <is>
          <t>b200_share</t>
        </is>
      </c>
      <c r="E34" s="3" t="n">
        <v>0.520995</v>
      </c>
      <c r="F34" s="3" t="inlineStr">
        <is>
          <t>share of inference-serving accelerator load</t>
        </is>
      </c>
      <c r="G34" s="3" t="inlineStr">
        <is>
          <t>Editable numeric scenario</t>
        </is>
      </c>
      <c r="H34" s="3" t="inlineStr">
        <is>
          <t>b200_share = gpu_share * default_gpu_generation_mix_b200</t>
        </is>
      </c>
      <c r="I34" s="3" t="inlineStr">
        <is>
          <t>Default GPU-generation migration assumption; executive workbook allows later manual replacement by company/year/scenario.</t>
        </is>
      </c>
      <c r="J34" s="3" t="inlineStr">
        <is>
          <t>SRC_SEMIANALYSIS_INFERENCEX; ASSUMP_NUMERIC_ACCELERATOR_MIX</t>
        </is>
      </c>
      <c r="K34" s="3" t="inlineStr">
        <is>
          <t>ASSUMP_POWER_RAMP; ASSUMP_MS_OPENAI_ATTRIBUTION; ASSUMP_NUMERIC_ACCELERATOR_MIX; ASSUMP_INFERENCE_SHARE_NOT_FACT_60; ASSUMP_WORKLOAD_CLASS_MIX; ASSUMP_AGENTIC_CONTEXT_PENALTY</t>
        </is>
      </c>
      <c r="L34" s="3" t="inlineStr">
        <is>
          <t>Company fleet inventory, accelerator-hours or procurement/deployment records by GPU generation.</t>
        </is>
      </c>
    </row>
    <row r="35">
      <c r="A35" s="3" t="inlineStr">
        <is>
          <t>Microsoft</t>
        </is>
      </c>
      <c r="B35" s="3" t="n">
        <v>2027</v>
      </c>
      <c r="C35" s="3" t="inlineStr">
        <is>
          <t>Bear</t>
        </is>
      </c>
      <c r="D35" s="3" t="inlineStr">
        <is>
          <t>gb200_share</t>
        </is>
      </c>
      <c r="E35" s="3" t="n">
        <v>0</v>
      </c>
      <c r="F35" s="3" t="inlineStr">
        <is>
          <t>share of inference-serving accelerator load</t>
        </is>
      </c>
      <c r="G35" s="3" t="inlineStr">
        <is>
          <t>Editable numeric scenario</t>
        </is>
      </c>
      <c r="H35" s="3" t="inlineStr">
        <is>
          <t>gb200_share = gpu_share * default_gpu_generation_mix_gb200</t>
        </is>
      </c>
      <c r="I35" s="3" t="inlineStr">
        <is>
          <t>Default GPU-generation migration assumption; executive workbook allows later manual replacement by company/year/scenario.</t>
        </is>
      </c>
      <c r="J35" s="3" t="inlineStr">
        <is>
          <t>SRC_SEMIANALYSIS_INFERENCEX; ASSUMP_NUMERIC_ACCELERATOR_MIX</t>
        </is>
      </c>
      <c r="K35" s="3" t="inlineStr">
        <is>
          <t>ASSUMP_POWER_RAMP; ASSUMP_MS_OPENAI_ATTRIBUTION; ASSUMP_NUMERIC_ACCELERATOR_MIX; ASSUMP_INFERENCE_SHARE_NOT_FACT_60; ASSUMP_WORKLOAD_CLASS_MIX; ASSUMP_AGENTIC_CONTEXT_PENALTY</t>
        </is>
      </c>
      <c r="L35" s="3" t="inlineStr">
        <is>
          <t>Company fleet inventory, accelerator-hours or procurement/deployment records by GPU generation.</t>
        </is>
      </c>
    </row>
    <row r="36">
      <c r="A36" s="3" t="inlineStr">
        <is>
          <t>Microsoft</t>
        </is>
      </c>
      <c r="B36" s="3" t="n">
        <v>2027</v>
      </c>
      <c r="C36" s="3" t="inlineStr">
        <is>
          <t>Bear</t>
        </is>
      </c>
      <c r="D36" s="3" t="inlineStr">
        <is>
          <t>purpose_built_accelerator_share</t>
        </is>
      </c>
      <c r="E36" s="3" t="n">
        <v>0.445476</v>
      </c>
      <c r="F36" s="3" t="inlineStr">
        <is>
          <t>share of inference-serving accelerator load</t>
        </is>
      </c>
      <c r="G36" s="3" t="inlineStr">
        <is>
          <t>Numeric scenario</t>
        </is>
      </c>
      <c r="H36" s="3" t="inlineStr">
        <is>
          <t>1 - gpu_share</t>
        </is>
      </c>
      <c r="I36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6" s="3" t="inlineStr">
        <is>
          <t>SRC_MS_PHI; SRC_OPENAI_GPT41_DOCS; SRC_MS_PHI4_TECHREPORT; SRC_MS_MAIA200; SRC_EPOCH_AI_DATA_CENTERS; ASSUMP_NUMERIC_ACCELERATOR_MIX</t>
        </is>
      </c>
      <c r="K36" s="3" t="inlineStr">
        <is>
          <t>ASSUMP_POWER_RAMP; ASSUMP_MS_OPENAI_ATTRIBUTION; ASSUMP_NUMERIC_ACCELERATOR_MIX; ASSUMP_INFERENCE_SHARE_NOT_FACT_60; ASSUMP_WORKLOAD_CLASS_MIX; ASSUMP_AGENTIC_CONTEXT_PENALTY</t>
        </is>
      </c>
      <c r="L36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7">
      <c r="A37" s="3" t="inlineStr">
        <is>
          <t>Microsoft</t>
        </is>
      </c>
      <c r="B37" s="3" t="n">
        <v>2027</v>
      </c>
      <c r="C37" s="3" t="inlineStr">
        <is>
          <t>Bear</t>
        </is>
      </c>
      <c r="D37" s="3" t="inlineStr">
        <is>
          <t>fleet_reference_tps_per_mw</t>
        </is>
      </c>
      <c r="E37" s="3" t="n">
        <v>2834024</v>
      </c>
      <c r="F37" s="3" t="inlineStr">
        <is>
          <t>generated output tokens/sec/MW</t>
        </is>
      </c>
      <c r="G37" s="3" t="inlineStr">
        <is>
          <t>Fleet-weighted public benchmark reference</t>
        </is>
      </c>
      <c r="H37" s="3" t="inlineStr">
        <is>
          <t>h200_share*h200_workload_avg + b200_share*b200_workload_avg + gb200_share*gb200_workload_avg + purpose_built_share*purpose_workload_avg</t>
        </is>
      </c>
      <c r="I3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7" s="3" t="inlineStr">
        <is>
          <t>SRC_SEMIANALYSIS_INFERENCEX; ASSUMP_NUMERIC_ACCELERATOR_MIX; ASSUMP_WORKLOAD_CLASS_MIX; ASSUMP_AGENTIC_CONTEXT_PENALTY</t>
        </is>
      </c>
      <c r="K37" s="3" t="inlineStr">
        <is>
          <t>ASSUMP_POWER_RAMP; ASSUMP_MS_OPENAI_ATTRIBUTION; ASSUMP_NUMERIC_ACCELERATOR_MIX; ASSUMP_INFERENCE_SHARE_NOT_FACT_60; ASSUMP_WORKLOAD_CLASS_MIX; ASSUMP_AGENTIC_CONTEXT_PENALTY</t>
        </is>
      </c>
      <c r="L37" s="3" t="inlineStr">
        <is>
          <t>Comparable production output-token throughput or a more closely matched benchmark.</t>
        </is>
      </c>
    </row>
    <row r="38">
      <c r="A38" s="3" t="inlineStr">
        <is>
          <t>Microsoft</t>
        </is>
      </c>
      <c r="B38" s="3" t="n">
        <v>2027</v>
      </c>
      <c r="C38" s="3" t="inlineStr">
        <is>
          <t>Bear</t>
        </is>
      </c>
      <c r="D38" s="3" t="inlineStr">
        <is>
          <t>commercial_workload_fit_factor</t>
        </is>
      </c>
      <c r="E38" s="3" t="n">
        <v>0.4</v>
      </c>
      <c r="F38" s="3" t="inlineStr">
        <is>
          <t>share of public reference throughput</t>
        </is>
      </c>
      <c r="G38" s="3" t="inlineStr">
        <is>
          <t>Scenario assumption</t>
        </is>
      </c>
      <c r="H38" s="3" t="inlineStr">
        <is>
          <t>reference_serving_tps_per_mw = fleet_reference_tps_per_mw * commercial_workload_fit_factor</t>
        </is>
      </c>
      <c r="I3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8" s="3" t="inlineStr">
        <is>
          <t>SRC_SEMIANALYSIS_INFERENCEX; ASSUMP_NUMERIC_ACCELERATOR_MIX; ASSUMP_WORKLOAD_CLASS_MIX; ASSUMP_AGENTIC_CONTEXT_PENALTY</t>
        </is>
      </c>
      <c r="K38" s="3" t="inlineStr">
        <is>
          <t>ASSUMP_POWER_RAMP; ASSUMP_MS_OPENAI_ATTRIBUTION; ASSUMP_NUMERIC_ACCELERATOR_MIX; ASSUMP_INFERENCE_SHARE_NOT_FACT_60; ASSUMP_WORKLOAD_CLASS_MIX; ASSUMP_AGENTIC_CONTEXT_PENALTY</t>
        </is>
      </c>
      <c r="L38" s="3" t="inlineStr">
        <is>
          <t>Matched commercial serving benchmark by product surface, context shape and latency SLO.</t>
        </is>
      </c>
    </row>
    <row r="39">
      <c r="A39" s="3" t="inlineStr">
        <is>
          <t>Microsoft</t>
        </is>
      </c>
      <c r="B39" s="3" t="n">
        <v>2027</v>
      </c>
      <c r="C39" s="3" t="inlineStr">
        <is>
          <t>Bear</t>
        </is>
      </c>
      <c r="D39" s="3" t="inlineStr">
        <is>
          <t>reference_serving_tps_per_mw</t>
        </is>
      </c>
      <c r="E39" s="3" t="n">
        <v>1133610</v>
      </c>
      <c r="F39" s="3" t="inlineStr">
        <is>
          <t>generated output tokens/sec/MW</t>
        </is>
      </c>
      <c r="G39" s="3" t="inlineStr">
        <is>
          <t>Workload-adjusted benchmark proxy</t>
        </is>
      </c>
      <c r="H39" s="3" t="inlineStr">
        <is>
          <t>fleet_reference_tps_per_mw * commercial_workload_fit_factor</t>
        </is>
      </c>
      <c r="I39" s="3" t="inlineStr">
        <is>
          <t>This is the coefficient used for headline token generation; each GPU's short chat, long chat and agentic TPS/MW are weighted before fleet mix and commercial fit are applied.</t>
        </is>
      </c>
      <c r="J39" s="3" t="inlineStr">
        <is>
          <t>SRC_SEMIANALYSIS_INFERENCEX; ASSUMP_NUMERIC_ACCELERATOR_MIX; ASSUMP_WORKLOAD_CLASS_MIX; ASSUMP_AGENTIC_CONTEXT_PENALTY</t>
        </is>
      </c>
      <c r="K39" s="3" t="inlineStr">
        <is>
          <t>ASSUMP_POWER_RAMP; ASSUMP_MS_OPENAI_ATTRIBUTION; ASSUMP_NUMERIC_ACCELERATOR_MIX; ASSUMP_INFERENCE_SHARE_NOT_FACT_60; ASSUMP_WORKLOAD_CLASS_MIX; ASSUMP_AGENTIC_CONTEXT_PENALTY</t>
        </is>
      </c>
      <c r="L39" s="3" t="inlineStr">
        <is>
          <t>Provider production output-token throughput with comparable workload/SLO.</t>
        </is>
      </c>
    </row>
    <row r="40">
      <c r="A40" s="3" t="inlineStr">
        <is>
          <t>Microsoft</t>
        </is>
      </c>
      <c r="B40" s="3" t="n">
        <v>2027</v>
      </c>
      <c r="C40" s="3" t="inlineStr">
        <is>
          <t>Bear</t>
        </is>
      </c>
      <c r="D40" s="3" t="inlineStr">
        <is>
          <t>purpose_built_tps_per_mw</t>
        </is>
      </c>
      <c r="E40" s="3" t="n">
        <v>1806787</v>
      </c>
      <c r="F40" s="3" t="inlineStr">
        <is>
          <t>generated output tokens/sec/MW</t>
        </is>
      </c>
      <c r="G40" s="3" t="inlineStr">
        <is>
          <t>Conservative no-uplift proxy</t>
        </is>
      </c>
      <c r="H40" s="3" t="inlineStr">
        <is>
          <t>purpose_built_tps_per_mw = purpose_built_reference_tps_per_mw * commercial_workload_fit_factor until comparable output-token benchmark is adopted</t>
        </is>
      </c>
      <c r="I40" s="3" t="inlineStr">
        <is>
          <t>No comparable public output-token/MW row adopted; B200 public reference placeholder is used and remains editable.</t>
        </is>
      </c>
      <c r="J40" s="3" t="inlineStr">
        <is>
          <t>SRC_MS_PHI; SRC_OPENAI_GPT41_DOCS; SRC_MS_PHI4_TECHREPORT; SRC_MS_MAIA200; SRC_EPOCH_AI_DATA_CENTERS; ASSUMP_NUMERIC_ACCELERATOR_MIX</t>
        </is>
      </c>
      <c r="K40" s="3" t="inlineStr">
        <is>
          <t>ASSUMP_POWER_RAMP; ASSUMP_MS_OPENAI_ATTRIBUTION; ASSUMP_NUMERIC_ACCELERATOR_MIX; ASSUMP_INFERENCE_SHARE_NOT_FACT_60; ASSUMP_WORKLOAD_CLASS_MIX; ASSUMP_AGENTIC_CONTEXT_PENALTY</t>
        </is>
      </c>
      <c r="L40" s="3" t="inlineStr">
        <is>
          <t>Matched-workload generated-output benchmark for the provider purpose-built accelerator.</t>
        </is>
      </c>
    </row>
    <row r="41">
      <c r="A41" s="3" t="inlineStr">
        <is>
          <t>Microsoft</t>
        </is>
      </c>
      <c r="B41" s="3" t="n">
        <v>2027</v>
      </c>
      <c r="C41" s="3" t="inlineStr">
        <is>
          <t>Bear</t>
        </is>
      </c>
      <c r="D41" s="3" t="inlineStr">
        <is>
          <t>inference_power_share</t>
        </is>
      </c>
      <c r="E41" s="3" t="n">
        <v>0.515</v>
      </c>
      <c r="F41" s="3" t="inlineStr">
        <is>
          <t>share of AI IT load</t>
        </is>
      </c>
      <c r="G41" s="3" t="inlineStr">
        <is>
          <t>Scenario allocation</t>
        </is>
      </c>
      <c r="H41" s="3" t="inlineStr">
        <is>
          <t>inference_gw = ai_it_load_gw * inference_power_share</t>
        </is>
      </c>
      <c r="I41" s="3" t="inlineStr">
        <is>
          <t>Copilot commercial serving growth supports rising inference allocation; OpenAI model-owner output must remain separately attributed.</t>
        </is>
      </c>
      <c r="J41" s="3" t="inlineStr">
        <is>
          <t>SRC_MS_PHI; SRC_OPENAI_GPT41_DOCS; SRC_MS_PHI4_TECHREPORT; SRC_MS_MAIA200; SRC_EPOCH_AI_DATA_CENTERS; ASSUMP_INFERENCE_SHARE_NOT_FACT_60</t>
        </is>
      </c>
      <c r="K41" s="3" t="inlineStr">
        <is>
          <t>ASSUMP_POWER_RAMP; ASSUMP_MS_OPENAI_ATTRIBUTION; ASSUMP_NUMERIC_ACCELERATOR_MIX; ASSUMP_INFERENCE_SHARE_NOT_FACT_60; ASSUMP_WORKLOAD_CLASS_MIX; ASSUMP_AGENTIC_CONTEXT_PENALTY</t>
        </is>
      </c>
      <c r="L41" s="3" t="inlineStr">
        <is>
          <t>Provider-specific inference/training workload power telemetry.</t>
        </is>
      </c>
    </row>
    <row r="42">
      <c r="A42" s="3" t="inlineStr">
        <is>
          <t>Microsoft</t>
        </is>
      </c>
      <c r="B42" s="3" t="n">
        <v>2027</v>
      </c>
      <c r="C42" s="3" t="inlineStr">
        <is>
          <t>Bear</t>
        </is>
      </c>
      <c r="D42" s="3" t="inlineStr">
        <is>
          <t>inference_gw</t>
        </is>
      </c>
      <c r="E42" s="3" t="n">
        <v>0.9419999999999999</v>
      </c>
      <c r="F42" s="3" t="inlineStr">
        <is>
          <t>GW</t>
        </is>
      </c>
      <c r="G42" s="3" t="inlineStr">
        <is>
          <t>Derived formula</t>
        </is>
      </c>
      <c r="H42" s="3" t="inlineStr">
        <is>
          <t>ai_it_load_gw * inference_power_share</t>
        </is>
      </c>
      <c r="I42" s="3" t="inlineStr">
        <is>
          <t>This is the operational power eligible to become commercial generated output tokens through the selected TPS/MW proxy.</t>
        </is>
      </c>
      <c r="J42" s="3" t="inlineStr">
        <is>
          <t>SRC_MS_PHI; SRC_OPENAI_GPT41_DOCS; SRC_MS_PHI4_TECHREPORT; SRC_MS_MAIA200; SRC_EPOCH_AI_DATA_CENTERS</t>
        </is>
      </c>
      <c r="K42" s="3" t="inlineStr">
        <is>
          <t>ASSUMP_POWER_RAMP; ASSUMP_MS_OPENAI_ATTRIBUTION; ASSUMP_NUMERIC_ACCELERATOR_MIX; ASSUMP_INFERENCE_SHARE_NOT_FACT_60; ASSUMP_WORKLOAD_CLASS_MIX; ASSUMP_AGENTIC_CONTEXT_PENALTY</t>
        </is>
      </c>
      <c r="L42" s="3" t="inlineStr">
        <is>
          <t>Recompute after AI allocation or inference-share evidence changes.</t>
        </is>
      </c>
    </row>
    <row r="43">
      <c r="A43" s="3" t="inlineStr">
        <is>
          <t>Microsoft</t>
        </is>
      </c>
      <c r="B43" s="3" t="n">
        <v>2027</v>
      </c>
      <c r="C43" s="3" t="inlineStr">
        <is>
          <t>Bear</t>
        </is>
      </c>
      <c r="D43" s="3" t="inlineStr">
        <is>
          <t>training_power_share</t>
        </is>
      </c>
      <c r="E43" s="3" t="n">
        <v>0.485</v>
      </c>
      <c r="F43" s="3" t="inlineStr">
        <is>
          <t>share of AI IT load</t>
        </is>
      </c>
      <c r="G43" s="3" t="inlineStr">
        <is>
          <t>Derived allocation</t>
        </is>
      </c>
      <c r="H43" s="3" t="inlineStr">
        <is>
          <t>1 - inference_power_share</t>
        </is>
      </c>
      <c r="I43" s="3" t="inlineStr">
        <is>
          <t>Training receives the complementary modeled AI IT allocation; it is not a disclosed company workload split.</t>
        </is>
      </c>
      <c r="J43" s="3" t="inlineStr">
        <is>
          <t>SRC_MS_PHI; SRC_OPENAI_GPT41_DOCS; SRC_MS_PHI4_TECHREPORT; SRC_MS_MAIA200; SRC_EPOCH_AI_DATA_CENTERS; ASSUMP_INFERENCE_SHARE_NOT_FACT_60</t>
        </is>
      </c>
      <c r="K43" s="3" t="inlineStr">
        <is>
          <t>ASSUMP_POWER_RAMP; ASSUMP_MS_OPENAI_ATTRIBUTION; ASSUMP_NUMERIC_ACCELERATOR_MIX; ASSUMP_INFERENCE_SHARE_NOT_FACT_60; ASSUMP_WORKLOAD_CLASS_MIX; ASSUMP_AGENTIC_CONTEXT_PENALTY</t>
        </is>
      </c>
      <c r="L43" s="3" t="inlineStr">
        <is>
          <t>Provider-specific inference/training workload power telemetry.</t>
        </is>
      </c>
    </row>
    <row r="44">
      <c r="A44" s="3" t="inlineStr">
        <is>
          <t>Microsoft</t>
        </is>
      </c>
      <c r="B44" s="3" t="n">
        <v>2027</v>
      </c>
      <c r="C44" s="3" t="inlineStr">
        <is>
          <t>Bear</t>
        </is>
      </c>
      <c r="D44" s="3" t="inlineStr">
        <is>
          <t>training_gw</t>
        </is>
      </c>
      <c r="E44" s="3" t="n">
        <v>0.887</v>
      </c>
      <c r="F44" s="3" t="inlineStr">
        <is>
          <t>GW</t>
        </is>
      </c>
      <c r="G44" s="3" t="inlineStr">
        <is>
          <t>Derived formula</t>
        </is>
      </c>
      <c r="H44" s="3" t="inlineStr">
        <is>
          <t>ai_it_load_gw * training_power_share</t>
        </is>
      </c>
      <c r="I44" s="3" t="inlineStr">
        <is>
          <t>Training GW is shown separately so commercial inference token capacity is not overstated.</t>
        </is>
      </c>
      <c r="J44" s="3" t="inlineStr">
        <is>
          <t>SRC_MS_PHI; SRC_OPENAI_GPT41_DOCS; SRC_MS_PHI4_TECHREPORT; SRC_MS_MAIA200; SRC_EPOCH_AI_DATA_CENTERS</t>
        </is>
      </c>
      <c r="K44" s="3" t="inlineStr">
        <is>
          <t>ASSUMP_POWER_RAMP; ASSUMP_MS_OPENAI_ATTRIBUTION; ASSUMP_NUMERIC_ACCELERATOR_MIX; ASSUMP_INFERENCE_SHARE_NOT_FACT_60; ASSUMP_WORKLOAD_CLASS_MIX; ASSUMP_AGENTIC_CONTEXT_PENALTY</t>
        </is>
      </c>
      <c r="L44" s="3" t="inlineStr">
        <is>
          <t>Recompute after AI allocation or workload-split evidence changes.</t>
        </is>
      </c>
    </row>
    <row r="45">
      <c r="A45" s="3" t="inlineStr">
        <is>
          <t>Microsoft</t>
        </is>
      </c>
      <c r="B45" s="3" t="n">
        <v>2027</v>
      </c>
      <c r="C45" s="3" t="inlineStr">
        <is>
          <t>Bear</t>
        </is>
      </c>
      <c r="D45" s="3" t="inlineStr">
        <is>
          <t>tokens_per_second_per_mw</t>
        </is>
      </c>
      <c r="E45" s="3" t="n">
        <v>1133610</v>
      </c>
      <c r="F45" s="3" t="inlineStr">
        <is>
          <t>generated output tokens/sec/MW</t>
        </is>
      </c>
      <c r="G45" s="3" t="inlineStr">
        <is>
          <t>Derived estimate + benchmark calibration</t>
        </is>
      </c>
      <c r="H45" s="3" t="inlineStr">
        <is>
          <t>fleet_reference_tps_per_mw * commercial_workload_fit_factor</t>
        </is>
      </c>
      <c r="I4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45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45" s="3" t="inlineStr">
        <is>
          <t>ASSUMP_POWER_RAMP; ASSUMP_MS_OPENAI_ATTRIBUTION; ASSUMP_NUMERIC_ACCELERATOR_MIX; ASSUMP_INFERENCE_SHARE_NOT_FACT_60; ASSUMP_WORKLOAD_CLASS_MIX; ASSUMP_AGENTIC_CONTEXT_PENALTY</t>
        </is>
      </c>
      <c r="L45" s="3" t="inlineStr">
        <is>
          <t>Comparable production output-token throughput with model, hardware, precision, ISL/OSL and SLO matched.</t>
        </is>
      </c>
    </row>
    <row r="46">
      <c r="A46" s="3" t="inlineStr">
        <is>
          <t>Microsoft</t>
        </is>
      </c>
      <c r="B46" s="3" t="n">
        <v>2027</v>
      </c>
      <c r="C46" s="3" t="inlineStr">
        <is>
          <t>Bear</t>
        </is>
      </c>
      <c r="D46" s="3" t="inlineStr">
        <is>
          <t>inference_tokens_per_day</t>
        </is>
      </c>
      <c r="E46" s="3" t="n">
        <v>92263157568000</v>
      </c>
      <c r="F46" s="3" t="inlineStr">
        <is>
          <t>generated output tokens/day</t>
        </is>
      </c>
      <c r="G46" s="3" t="inlineStr">
        <is>
          <t>Derived headline metric</t>
        </is>
      </c>
      <c r="H46" s="3" t="inlineStr">
        <is>
          <t>inference_gw * 1000 * tokens_per_second_per_mw * 86,400</t>
        </is>
      </c>
      <c r="I46" s="3" t="inlineStr">
        <is>
          <t>Headline capacity uses no utilization, MoE, architecture or software-growth multiplier; it is not observed commercial output volume.</t>
        </is>
      </c>
      <c r="J46" s="3" t="inlineStr">
        <is>
          <t>SRC_MS_PHI; SRC_OPENAI_GPT41_DOCS; SRC_MS_PHI4_TECHREPORT; SRC_MS_MAIA200; SRC_EPOCH_AI_DATA_CENTERS; SRC_SEMIANALYSIS_INFERENCEX</t>
        </is>
      </c>
      <c r="K46" s="3" t="inlineStr">
        <is>
          <t>ASSUMP_POWER_RAMP; ASSUMP_MS_OPENAI_ATTRIBUTION; ASSUMP_NUMERIC_ACCELERATOR_MIX; ASSUMP_INFERENCE_SHARE_NOT_FACT_60; ASSUMP_WORKLOAD_CLASS_MIX; ASSUMP_AGENTIC_CONTEXT_PENALTY</t>
        </is>
      </c>
      <c r="L46" s="3" t="inlineStr">
        <is>
          <t>Provider-disclosed generated output token volume or calibrated capacity telemetry.</t>
        </is>
      </c>
    </row>
    <row r="47">
      <c r="A47" s="3" t="inlineStr">
        <is>
          <t>Microsoft</t>
        </is>
      </c>
      <c r="B47" s="3" t="n">
        <v>2027</v>
      </c>
      <c r="C47" s="3" t="inlineStr">
        <is>
          <t>Bear</t>
        </is>
      </c>
      <c r="D47" s="3" t="inlineStr">
        <is>
          <t>inference_tokens_per_year</t>
        </is>
      </c>
      <c r="E47" s="3" t="n">
        <v>3.367605251232e+16</v>
      </c>
      <c r="F47" s="3" t="inlineStr">
        <is>
          <t>generated output tokens/year</t>
        </is>
      </c>
      <c r="G47" s="3" t="inlineStr">
        <is>
          <t>Derived headline metric</t>
        </is>
      </c>
      <c r="H47" s="3" t="inlineStr">
        <is>
          <t>inference_tokens_per_day * 365</t>
        </is>
      </c>
      <c r="I47" s="3" t="inlineStr">
        <is>
          <t>Annualized version of generated output token capacity; it is not observed annual demand or billable volume.</t>
        </is>
      </c>
      <c r="J47" s="3" t="inlineStr">
        <is>
          <t>SRC_MS_PHI; SRC_OPENAI_GPT41_DOCS; SRC_MS_PHI4_TECHREPORT; SRC_MS_MAIA200; SRC_EPOCH_AI_DATA_CENTERS; SRC_SEMIANALYSIS_INFERENCEX</t>
        </is>
      </c>
      <c r="K47" s="3" t="inlineStr">
        <is>
          <t>ASSUMP_POWER_RAMP; ASSUMP_MS_OPENAI_ATTRIBUTION; ASSUMP_NUMERIC_ACCELERATOR_MIX; ASSUMP_INFERENCE_SHARE_NOT_FACT_60; ASSUMP_WORKLOAD_CLASS_MIX; ASSUMP_AGENTIC_CONTEXT_PENALTY</t>
        </is>
      </c>
      <c r="L47" s="3" t="inlineStr">
        <is>
          <t>Provider-disclosed annual generated-output volume or metered serving telemetry.</t>
        </is>
      </c>
    </row>
    <row r="48">
      <c r="A48" s="3" t="inlineStr">
        <is>
          <t>Microsoft</t>
        </is>
      </c>
      <c r="B48" s="3" t="n">
        <v>2028</v>
      </c>
      <c r="C48" s="3" t="inlineStr">
        <is>
          <t>Bear</t>
        </is>
      </c>
      <c r="D48" s="3" t="inlineStr">
        <is>
          <t>contracted_power_gw</t>
        </is>
      </c>
      <c r="E48" s="3" t="n">
        <v>6.5</v>
      </c>
      <c r="F48" s="3" t="inlineStr">
        <is>
          <t>GW</t>
        </is>
      </c>
      <c r="G48" s="3" t="inlineStr">
        <is>
          <t>Scenario capacity envelope</t>
        </is>
      </c>
      <c r="H48" s="3" t="inlineStr">
        <is>
          <t>linear interpolation between 2026 and 2030 company capacity endpoints</t>
        </is>
      </c>
      <c r="I48" s="3" t="inlineStr">
        <is>
          <t>Scenario envelope for Microsoft-controlled/Copilot serving burden; not an official contracted-GW disclosure.</t>
        </is>
      </c>
      <c r="J48" s="3" t="inlineStr">
        <is>
          <t>ASSUMP_POWER_RAMP; SRC_MS_MAIA200</t>
        </is>
      </c>
      <c r="K48" s="3" t="inlineStr">
        <is>
          <t>ASSUMP_POWER_RAMP; ASSUMP_MS_OPENAI_ATTRIBUTION; ASSUMP_NUMERIC_ACCELERATOR_MIX; ASSUMP_INFERENCE_SHARE_NOT_FACT_60; ASSUMP_WORKLOAD_CLASS_MIX; ASSUMP_AGENTIC_CONTEXT_PENALTY</t>
        </is>
      </c>
      <c r="L48" s="3" t="inlineStr">
        <is>
          <t>Company/site-level committed MW/GW, interconnect and contract disclosure.</t>
        </is>
      </c>
    </row>
    <row r="49">
      <c r="A49" s="3" t="inlineStr">
        <is>
          <t>Microsoft</t>
        </is>
      </c>
      <c r="B49" s="3" t="n">
        <v>2028</v>
      </c>
      <c r="C49" s="3" t="inlineStr">
        <is>
          <t>Bear</t>
        </is>
      </c>
      <c r="D49" s="3" t="inlineStr">
        <is>
          <t>operational_deployment_share</t>
        </is>
      </c>
      <c r="E49" s="3" t="n">
        <v>0.52923077</v>
      </c>
      <c r="F49" s="3" t="inlineStr">
        <is>
          <t>share</t>
        </is>
      </c>
      <c r="G49" s="3" t="inlineStr">
        <is>
          <t>Scenario conversion</t>
        </is>
      </c>
      <c r="H49" s="3" t="inlineStr">
        <is>
          <t>active_power_gw / contracted_power_gw</t>
        </is>
      </c>
      <c r="I49" s="3" t="inlineStr">
        <is>
          <t>This is the single explicit conversion from contracted/attributed capacity to operationally usable capacity.</t>
        </is>
      </c>
      <c r="J49" s="3" t="inlineStr">
        <is>
          <t>ASSUMP_POWER_RAMP; SRC_MS_MAIA200</t>
        </is>
      </c>
      <c r="K49" s="3" t="inlineStr">
        <is>
          <t>ASSUMP_POWER_RAMP; ASSUMP_MS_OPENAI_ATTRIBUTION; ASSUMP_NUMERIC_ACCELERATOR_MIX; ASSUMP_INFERENCE_SHARE_NOT_FACT_60; ASSUMP_WORKLOAD_CLASS_MIX; ASSUMP_AGENTIC_CONTEXT_PENALTY</t>
        </is>
      </c>
      <c r="L49" s="3" t="inlineStr">
        <is>
          <t>Energized operational capacity divided by contracted/attributed capacity.</t>
        </is>
      </c>
    </row>
    <row r="50">
      <c r="A50" s="3" t="inlineStr">
        <is>
          <t>Microsoft</t>
        </is>
      </c>
      <c r="B50" s="3" t="n">
        <v>2028</v>
      </c>
      <c r="C50" s="3" t="inlineStr">
        <is>
          <t>Bear</t>
        </is>
      </c>
      <c r="D50" s="3" t="inlineStr">
        <is>
          <t>active_power_gw</t>
        </is>
      </c>
      <c r="E50" s="3" t="n">
        <v>3.44</v>
      </c>
      <c r="F50" s="3" t="inlineStr">
        <is>
          <t>GW</t>
        </is>
      </c>
      <c r="G50" s="3" t="inlineStr">
        <is>
          <t>Derived scenario</t>
        </is>
      </c>
      <c r="H50" s="3" t="inlineStr">
        <is>
          <t>contracted_power_gw * operational_deployment_share</t>
        </is>
      </c>
      <c r="I50" s="3" t="inlineStr">
        <is>
          <t>Active GW is a staged operational deployment fraction of modeled capacity, reflecting site energization and accelerator availability.</t>
        </is>
      </c>
      <c r="J50" s="3" t="inlineStr">
        <is>
          <t>ASSUMP_POWER_RAMP; SRC_MS_MAIA200</t>
        </is>
      </c>
      <c r="K50" s="3" t="inlineStr">
        <is>
          <t>ASSUMP_POWER_RAMP; ASSUMP_MS_OPENAI_ATTRIBUTION; ASSUMP_NUMERIC_ACCELERATOR_MIX; ASSUMP_INFERENCE_SHARE_NOT_FACT_60; ASSUMP_WORKLOAD_CLASS_MIX; ASSUMP_AGENTIC_CONTEXT_PENALTY</t>
        </is>
      </c>
      <c r="L50" s="3" t="inlineStr">
        <is>
          <t>Energization dates, accelerator deliveries and operational powered-rack telemetry.</t>
        </is>
      </c>
    </row>
    <row r="51">
      <c r="A51" s="3" t="inlineStr">
        <is>
          <t>Microsoft</t>
        </is>
      </c>
      <c r="B51" s="3" t="n">
        <v>2028</v>
      </c>
      <c r="C51" s="3" t="inlineStr">
        <is>
          <t>Bear</t>
        </is>
      </c>
      <c r="D51" s="3" t="inlineStr">
        <is>
          <t>pue</t>
        </is>
      </c>
      <c r="E51" s="3" t="n">
        <v>1.2</v>
      </c>
      <c r="F51" s="3" t="inlineStr">
        <is>
          <t>ratio</t>
        </is>
      </c>
      <c r="G51" s="3" t="inlineStr">
        <is>
          <t>Scenario parameter</t>
        </is>
      </c>
      <c r="H51" s="3" t="inlineStr">
        <is>
          <t>it_load_gw = active_power_gw / pue</t>
        </is>
      </c>
      <c r="I51" s="3" t="inlineStr">
        <is>
          <t>No provider-wide site-level PUE is used as a disclosed fact; PUE represents facility-to-IT conversion within the scenario.</t>
        </is>
      </c>
      <c r="J51" s="3" t="inlineStr">
        <is>
          <t>ASSUMP_POWER_RAMP</t>
        </is>
      </c>
      <c r="K51" s="3" t="inlineStr">
        <is>
          <t>ASSUMP_POWER_RAMP; ASSUMP_MS_OPENAI_ATTRIBUTION; ASSUMP_NUMERIC_ACCELERATOR_MIX; ASSUMP_INFERENCE_SHARE_NOT_FACT_60; ASSUMP_WORKLOAD_CLASS_MIX; ASSUMP_AGENTIC_CONTEXT_PENALTY</t>
        </is>
      </c>
      <c r="L51" s="3" t="inlineStr">
        <is>
          <t>Site-level measured PUE matched to attributed AI capacity.</t>
        </is>
      </c>
    </row>
    <row r="52">
      <c r="A52" s="3" t="inlineStr">
        <is>
          <t>Microsoft</t>
        </is>
      </c>
      <c r="B52" s="3" t="n">
        <v>2028</v>
      </c>
      <c r="C52" s="3" t="inlineStr">
        <is>
          <t>Bear</t>
        </is>
      </c>
      <c r="D52" s="3" t="inlineStr">
        <is>
          <t>it_load_gw</t>
        </is>
      </c>
      <c r="E52" s="3" t="n">
        <v>2.867</v>
      </c>
      <c r="F52" s="3" t="inlineStr">
        <is>
          <t>GW</t>
        </is>
      </c>
      <c r="G52" s="3" t="inlineStr">
        <is>
          <t>Derived formula</t>
        </is>
      </c>
      <c r="H52" s="3" t="inlineStr">
        <is>
          <t>active_power_gw / pue</t>
        </is>
      </c>
      <c r="I52" s="3" t="inlineStr">
        <is>
          <t>Facility power is converted to IT-deliverable power before attributing AI workloads.</t>
        </is>
      </c>
      <c r="J52" s="3" t="inlineStr">
        <is>
          <t>ASSUMP_POWER_RAMP; SRC_MS_MAIA200</t>
        </is>
      </c>
      <c r="K52" s="3" t="inlineStr">
        <is>
          <t>ASSUMP_POWER_RAMP; ASSUMP_MS_OPENAI_ATTRIBUTION; ASSUMP_NUMERIC_ACCELERATOR_MIX; ASSUMP_INFERENCE_SHARE_NOT_FACT_60; ASSUMP_WORKLOAD_CLASS_MIX; ASSUMP_AGENTIC_CONTEXT_PENALTY</t>
        </is>
      </c>
      <c r="L52" s="3" t="inlineStr">
        <is>
          <t>Recompute once active power and PUE become site-observable.</t>
        </is>
      </c>
    </row>
    <row r="53">
      <c r="A53" s="3" t="inlineStr">
        <is>
          <t>Microsoft</t>
        </is>
      </c>
      <c r="B53" s="3" t="n">
        <v>2028</v>
      </c>
      <c r="C53" s="3" t="inlineStr">
        <is>
          <t>Bear</t>
        </is>
      </c>
      <c r="D53" s="3" t="inlineStr">
        <is>
          <t>ai_workload_share</t>
        </is>
      </c>
      <c r="E53" s="3" t="n">
        <v>0.86</v>
      </c>
      <c r="F53" s="3" t="inlineStr">
        <is>
          <t>share</t>
        </is>
      </c>
      <c r="G53" s="3" t="inlineStr">
        <is>
          <t>Scenario allocation</t>
        </is>
      </c>
      <c r="H53" s="3" t="inlineStr">
        <is>
          <t>ai_it_load_gw = it_load_gw * ai_workload_share</t>
        </is>
      </c>
      <c r="I53" s="3" t="inlineStr">
        <is>
          <t>Azure/Copilot serving burden is AI-oriented but shares infrastructure with platform and reserve overhead; 86% is a scenario allocation.</t>
        </is>
      </c>
      <c r="J53" s="3" t="inlineStr">
        <is>
          <t>SRC_MS_PHI; SRC_OPENAI_GPT41_DOCS; SRC_MS_PHI4_TECHREPORT; SRC_MS_MAIA200; SRC_EPOCH_AI_DATA_CENTERS</t>
        </is>
      </c>
      <c r="K53" s="3" t="inlineStr">
        <is>
          <t>ASSUMP_POWER_RAMP; ASSUMP_MS_OPENAI_ATTRIBUTION; ASSUMP_NUMERIC_ACCELERATOR_MIX; ASSUMP_INFERENCE_SHARE_NOT_FACT_60; ASSUMP_WORKLOAD_CLASS_MIX; ASSUMP_AGENTIC_CONTEXT_PENALTY</t>
        </is>
      </c>
      <c r="L53" s="3" t="inlineStr">
        <is>
          <t>Model-owner AI workload allocation or cluster scheduling telemetry.</t>
        </is>
      </c>
    </row>
    <row r="54">
      <c r="A54" s="3" t="inlineStr">
        <is>
          <t>Microsoft</t>
        </is>
      </c>
      <c r="B54" s="3" t="n">
        <v>2028</v>
      </c>
      <c r="C54" s="3" t="inlineStr">
        <is>
          <t>Bear</t>
        </is>
      </c>
      <c r="D54" s="3" t="inlineStr">
        <is>
          <t>ai_it_load_gw</t>
        </is>
      </c>
      <c r="E54" s="3" t="n">
        <v>2.465</v>
      </c>
      <c r="F54" s="3" t="inlineStr">
        <is>
          <t>GW</t>
        </is>
      </c>
      <c r="G54" s="3" t="inlineStr">
        <is>
          <t>Derived formula</t>
        </is>
      </c>
      <c r="H54" s="3" t="inlineStr">
        <is>
          <t>it_load_gw * ai_workload_share</t>
        </is>
      </c>
      <c r="I54" s="3" t="inlineStr">
        <is>
          <t>Only the AI-attributed portion of IT load enters training/inference allocation.</t>
        </is>
      </c>
      <c r="J54" s="3" t="inlineStr">
        <is>
          <t>SRC_MS_PHI; SRC_OPENAI_GPT41_DOCS; SRC_MS_PHI4_TECHREPORT; SRC_MS_MAIA200; SRC_EPOCH_AI_DATA_CENTERS</t>
        </is>
      </c>
      <c r="K54" s="3" t="inlineStr">
        <is>
          <t>ASSUMP_POWER_RAMP; ASSUMP_MS_OPENAI_ATTRIBUTION; ASSUMP_NUMERIC_ACCELERATOR_MIX; ASSUMP_INFERENCE_SHARE_NOT_FACT_60; ASSUMP_WORKLOAD_CLASS_MIX; ASSUMP_AGENTIC_CONTEXT_PENALTY</t>
        </is>
      </c>
      <c r="L54" s="3" t="inlineStr">
        <is>
          <t>Recompute after ai_workload_share is replaced by telemetry.</t>
        </is>
      </c>
    </row>
    <row r="55">
      <c r="A55" s="3" t="inlineStr">
        <is>
          <t>Microsoft</t>
        </is>
      </c>
      <c r="B55" s="3" t="n">
        <v>2028</v>
      </c>
      <c r="C55" s="3" t="inlineStr">
        <is>
          <t>Bear</t>
        </is>
      </c>
      <c r="D55" s="3" t="inlineStr">
        <is>
          <t>gpu_share</t>
        </is>
      </c>
      <c r="E55" s="3" t="n">
        <v>0.726329</v>
      </c>
      <c r="F55" s="3" t="inlineStr">
        <is>
          <t>share of inference-serving accelerator load</t>
        </is>
      </c>
      <c r="G55" s="3" t="inlineStr">
        <is>
          <t>Numeric scenario</t>
        </is>
      </c>
      <c r="H55" s="3" t="inlineStr">
        <is>
          <t>gpu_share interpolated from company 2026/2030 accelerator-mix endpoints</t>
        </is>
      </c>
      <c r="I55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55" s="3" t="inlineStr">
        <is>
          <t>SRC_MS_PHI; SRC_OPENAI_GPT41_DOCS; SRC_MS_PHI4_TECHREPORT; SRC_MS_MAIA200; SRC_EPOCH_AI_DATA_CENTERS; ASSUMP_NUMERIC_ACCELERATOR_MIX</t>
        </is>
      </c>
      <c r="K55" s="3" t="inlineStr">
        <is>
          <t>ASSUMP_POWER_RAMP; ASSUMP_MS_OPENAI_ATTRIBUTION; ASSUMP_NUMERIC_ACCELERATOR_MIX; ASSUMP_INFERENCE_SHARE_NOT_FACT_60; ASSUMP_WORKLOAD_CLASS_MIX; ASSUMP_AGENTIC_CONTEXT_PENALTY</t>
        </is>
      </c>
      <c r="L55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56">
      <c r="A56" s="3" t="inlineStr">
        <is>
          <t>Microsoft</t>
        </is>
      </c>
      <c r="B56" s="3" t="n">
        <v>2028</v>
      </c>
      <c r="C56" s="3" t="inlineStr">
        <is>
          <t>Bear</t>
        </is>
      </c>
      <c r="D56" s="3" t="inlineStr">
        <is>
          <t>h200_share</t>
        </is>
      </c>
      <c r="E56" s="3" t="n">
        <v>0.020598</v>
      </c>
      <c r="F56" s="3" t="inlineStr">
        <is>
          <t>share of inference-serving accelerator load</t>
        </is>
      </c>
      <c r="G56" s="3" t="inlineStr">
        <is>
          <t>Editable numeric scenario</t>
        </is>
      </c>
      <c r="H56" s="3" t="inlineStr">
        <is>
          <t>h200_share = gpu_share * default_gpu_generation_mix_h200</t>
        </is>
      </c>
      <c r="I56" s="3" t="inlineStr">
        <is>
          <t>Default GPU-generation migration assumption; executive workbook allows later manual replacement by company/year/scenario.</t>
        </is>
      </c>
      <c r="J56" s="3" t="inlineStr">
        <is>
          <t>SRC_SEMIANALYSIS_INFERENCEX; ASSUMP_NUMERIC_ACCELERATOR_MIX</t>
        </is>
      </c>
      <c r="K56" s="3" t="inlineStr">
        <is>
          <t>ASSUMP_POWER_RAMP; ASSUMP_MS_OPENAI_ATTRIBUTION; ASSUMP_NUMERIC_ACCELERATOR_MIX; ASSUMP_INFERENCE_SHARE_NOT_FACT_60; ASSUMP_WORKLOAD_CLASS_MIX; ASSUMP_AGENTIC_CONTEXT_PENALTY</t>
        </is>
      </c>
      <c r="L56" s="3" t="inlineStr">
        <is>
          <t>Company fleet inventory, accelerator-hours or procurement/deployment records by GPU generation.</t>
        </is>
      </c>
    </row>
    <row r="57">
      <c r="A57" s="3" t="inlineStr">
        <is>
          <t>Microsoft</t>
        </is>
      </c>
      <c r="B57" s="3" t="n">
        <v>2028</v>
      </c>
      <c r="C57" s="3" t="inlineStr">
        <is>
          <t>Bear</t>
        </is>
      </c>
      <c r="D57" s="3" t="inlineStr">
        <is>
          <t>b200_share</t>
        </is>
      </c>
      <c r="E57" s="3" t="n">
        <v>0.705731</v>
      </c>
      <c r="F57" s="3" t="inlineStr">
        <is>
          <t>share of inference-serving accelerator load</t>
        </is>
      </c>
      <c r="G57" s="3" t="inlineStr">
        <is>
          <t>Editable numeric scenario</t>
        </is>
      </c>
      <c r="H57" s="3" t="inlineStr">
        <is>
          <t>b200_share = gpu_share * default_gpu_generation_mix_b200</t>
        </is>
      </c>
      <c r="I57" s="3" t="inlineStr">
        <is>
          <t>Default GPU-generation migration assumption; executive workbook allows later manual replacement by company/year/scenario.</t>
        </is>
      </c>
      <c r="J57" s="3" t="inlineStr">
        <is>
          <t>SRC_SEMIANALYSIS_INFERENCEX; ASSUMP_NUMERIC_ACCELERATOR_MIX</t>
        </is>
      </c>
      <c r="K57" s="3" t="inlineStr">
        <is>
          <t>ASSUMP_POWER_RAMP; ASSUMP_MS_OPENAI_ATTRIBUTION; ASSUMP_NUMERIC_ACCELERATOR_MIX; ASSUMP_INFERENCE_SHARE_NOT_FACT_60; ASSUMP_WORKLOAD_CLASS_MIX; ASSUMP_AGENTIC_CONTEXT_PENALTY</t>
        </is>
      </c>
      <c r="L57" s="3" t="inlineStr">
        <is>
          <t>Company fleet inventory, accelerator-hours or procurement/deployment records by GPU generation.</t>
        </is>
      </c>
    </row>
    <row r="58">
      <c r="A58" s="3" t="inlineStr">
        <is>
          <t>Microsoft</t>
        </is>
      </c>
      <c r="B58" s="3" t="n">
        <v>2028</v>
      </c>
      <c r="C58" s="3" t="inlineStr">
        <is>
          <t>Bear</t>
        </is>
      </c>
      <c r="D58" s="3" t="inlineStr">
        <is>
          <t>gb200_share</t>
        </is>
      </c>
      <c r="E58" s="3" t="n">
        <v>0</v>
      </c>
      <c r="F58" s="3" t="inlineStr">
        <is>
          <t>share of inference-serving accelerator load</t>
        </is>
      </c>
      <c r="G58" s="3" t="inlineStr">
        <is>
          <t>Editable numeric scenario</t>
        </is>
      </c>
      <c r="H58" s="3" t="inlineStr">
        <is>
          <t>gb200_share = gpu_share * default_gpu_generation_mix_gb200</t>
        </is>
      </c>
      <c r="I58" s="3" t="inlineStr">
        <is>
          <t>Default GPU-generation migration assumption; executive workbook allows later manual replacement by company/year/scenario.</t>
        </is>
      </c>
      <c r="J58" s="3" t="inlineStr">
        <is>
          <t>SRC_SEMIANALYSIS_INFERENCEX; ASSUMP_NUMERIC_ACCELERATOR_MIX</t>
        </is>
      </c>
      <c r="K58" s="3" t="inlineStr">
        <is>
          <t>ASSUMP_POWER_RAMP; ASSUMP_MS_OPENAI_ATTRIBUTION; ASSUMP_NUMERIC_ACCELERATOR_MIX; ASSUMP_INFERENCE_SHARE_NOT_FACT_60; ASSUMP_WORKLOAD_CLASS_MIX; ASSUMP_AGENTIC_CONTEXT_PENALTY</t>
        </is>
      </c>
      <c r="L58" s="3" t="inlineStr">
        <is>
          <t>Company fleet inventory, accelerator-hours or procurement/deployment records by GPU generation.</t>
        </is>
      </c>
    </row>
    <row r="59">
      <c r="A59" s="3" t="inlineStr">
        <is>
          <t>Microsoft</t>
        </is>
      </c>
      <c r="B59" s="3" t="n">
        <v>2028</v>
      </c>
      <c r="C59" s="3" t="inlineStr">
        <is>
          <t>Bear</t>
        </is>
      </c>
      <c r="D59" s="3" t="inlineStr">
        <is>
          <t>purpose_built_accelerator_share</t>
        </is>
      </c>
      <c r="E59" s="3" t="n">
        <v>0.273671</v>
      </c>
      <c r="F59" s="3" t="inlineStr">
        <is>
          <t>share of inference-serving accelerator load</t>
        </is>
      </c>
      <c r="G59" s="3" t="inlineStr">
        <is>
          <t>Numeric scenario</t>
        </is>
      </c>
      <c r="H59" s="3" t="inlineStr">
        <is>
          <t>1 - gpu_share</t>
        </is>
      </c>
      <c r="I59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59" s="3" t="inlineStr">
        <is>
          <t>SRC_MS_PHI; SRC_OPENAI_GPT41_DOCS; SRC_MS_PHI4_TECHREPORT; SRC_MS_MAIA200; SRC_EPOCH_AI_DATA_CENTERS; ASSUMP_NUMERIC_ACCELERATOR_MIX</t>
        </is>
      </c>
      <c r="K59" s="3" t="inlineStr">
        <is>
          <t>ASSUMP_POWER_RAMP; ASSUMP_MS_OPENAI_ATTRIBUTION; ASSUMP_NUMERIC_ACCELERATOR_MIX; ASSUMP_INFERENCE_SHARE_NOT_FACT_60; ASSUMP_WORKLOAD_CLASS_MIX; ASSUMP_AGENTIC_CONTEXT_PENALTY</t>
        </is>
      </c>
      <c r="L59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60">
      <c r="A60" s="3" t="inlineStr">
        <is>
          <t>Microsoft</t>
        </is>
      </c>
      <c r="B60" s="3" t="n">
        <v>2028</v>
      </c>
      <c r="C60" s="3" t="inlineStr">
        <is>
          <t>Bear</t>
        </is>
      </c>
      <c r="D60" s="3" t="inlineStr">
        <is>
          <t>fleet_reference_tps_per_mw</t>
        </is>
      </c>
      <c r="E60" s="3" t="n">
        <v>2856801</v>
      </c>
      <c r="F60" s="3" t="inlineStr">
        <is>
          <t>generated output tokens/sec/MW</t>
        </is>
      </c>
      <c r="G60" s="3" t="inlineStr">
        <is>
          <t>Fleet-weighted public benchmark reference</t>
        </is>
      </c>
      <c r="H60" s="3" t="inlineStr">
        <is>
          <t>h200_share*h200_workload_avg + b200_share*b200_workload_avg + gb200_share*gb200_workload_avg + purpose_built_share*purpose_workload_avg</t>
        </is>
      </c>
      <c r="I6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60" s="3" t="inlineStr">
        <is>
          <t>SRC_SEMIANALYSIS_INFERENCEX; ASSUMP_NUMERIC_ACCELERATOR_MIX; ASSUMP_WORKLOAD_CLASS_MIX; ASSUMP_AGENTIC_CONTEXT_PENALTY</t>
        </is>
      </c>
      <c r="K60" s="3" t="inlineStr">
        <is>
          <t>ASSUMP_POWER_RAMP; ASSUMP_MS_OPENAI_ATTRIBUTION; ASSUMP_NUMERIC_ACCELERATOR_MIX; ASSUMP_INFERENCE_SHARE_NOT_FACT_60; ASSUMP_WORKLOAD_CLASS_MIX; ASSUMP_AGENTIC_CONTEXT_PENALTY</t>
        </is>
      </c>
      <c r="L60" s="3" t="inlineStr">
        <is>
          <t>Comparable production output-token throughput or a more closely matched benchmark.</t>
        </is>
      </c>
    </row>
    <row r="61">
      <c r="A61" s="3" t="inlineStr">
        <is>
          <t>Microsoft</t>
        </is>
      </c>
      <c r="B61" s="3" t="n">
        <v>2028</v>
      </c>
      <c r="C61" s="3" t="inlineStr">
        <is>
          <t>Bear</t>
        </is>
      </c>
      <c r="D61" s="3" t="inlineStr">
        <is>
          <t>commercial_workload_fit_factor</t>
        </is>
      </c>
      <c r="E61" s="3" t="n">
        <v>0.4</v>
      </c>
      <c r="F61" s="3" t="inlineStr">
        <is>
          <t>share of public reference throughput</t>
        </is>
      </c>
      <c r="G61" s="3" t="inlineStr">
        <is>
          <t>Scenario assumption</t>
        </is>
      </c>
      <c r="H61" s="3" t="inlineStr">
        <is>
          <t>reference_serving_tps_per_mw = fleet_reference_tps_per_mw * commercial_workload_fit_factor</t>
        </is>
      </c>
      <c r="I6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61" s="3" t="inlineStr">
        <is>
          <t>SRC_SEMIANALYSIS_INFERENCEX; ASSUMP_NUMERIC_ACCELERATOR_MIX; ASSUMP_WORKLOAD_CLASS_MIX; ASSUMP_AGENTIC_CONTEXT_PENALTY</t>
        </is>
      </c>
      <c r="K61" s="3" t="inlineStr">
        <is>
          <t>ASSUMP_POWER_RAMP; ASSUMP_MS_OPENAI_ATTRIBUTION; ASSUMP_NUMERIC_ACCELERATOR_MIX; ASSUMP_INFERENCE_SHARE_NOT_FACT_60; ASSUMP_WORKLOAD_CLASS_MIX; ASSUMP_AGENTIC_CONTEXT_PENALTY</t>
        </is>
      </c>
      <c r="L61" s="3" t="inlineStr">
        <is>
          <t>Matched commercial serving benchmark by product surface, context shape and latency SLO.</t>
        </is>
      </c>
    </row>
    <row r="62">
      <c r="A62" s="3" t="inlineStr">
        <is>
          <t>Microsoft</t>
        </is>
      </c>
      <c r="B62" s="3" t="n">
        <v>2028</v>
      </c>
      <c r="C62" s="3" t="inlineStr">
        <is>
          <t>Bear</t>
        </is>
      </c>
      <c r="D62" s="3" t="inlineStr">
        <is>
          <t>reference_serving_tps_per_mw</t>
        </is>
      </c>
      <c r="E62" s="3" t="n">
        <v>1142720</v>
      </c>
      <c r="F62" s="3" t="inlineStr">
        <is>
          <t>generated output tokens/sec/MW</t>
        </is>
      </c>
      <c r="G62" s="3" t="inlineStr">
        <is>
          <t>Workload-adjusted benchmark proxy</t>
        </is>
      </c>
      <c r="H62" s="3" t="inlineStr">
        <is>
          <t>fleet_reference_tps_per_mw * commercial_workload_fit_factor</t>
        </is>
      </c>
      <c r="I62" s="3" t="inlineStr">
        <is>
          <t>This is the coefficient used for headline token generation; each GPU's short chat, long chat and agentic TPS/MW are weighted before fleet mix and commercial fit are applied.</t>
        </is>
      </c>
      <c r="J62" s="3" t="inlineStr">
        <is>
          <t>SRC_SEMIANALYSIS_INFERENCEX; ASSUMP_NUMERIC_ACCELERATOR_MIX; ASSUMP_WORKLOAD_CLASS_MIX; ASSUMP_AGENTIC_CONTEXT_PENALTY</t>
        </is>
      </c>
      <c r="K62" s="3" t="inlineStr">
        <is>
          <t>ASSUMP_POWER_RAMP; ASSUMP_MS_OPENAI_ATTRIBUTION; ASSUMP_NUMERIC_ACCELERATOR_MIX; ASSUMP_INFERENCE_SHARE_NOT_FACT_60; ASSUMP_WORKLOAD_CLASS_MIX; ASSUMP_AGENTIC_CONTEXT_PENALTY</t>
        </is>
      </c>
      <c r="L62" s="3" t="inlineStr">
        <is>
          <t>Provider production output-token throughput with comparable workload/SLO.</t>
        </is>
      </c>
    </row>
    <row r="63">
      <c r="A63" s="3" t="inlineStr">
        <is>
          <t>Microsoft</t>
        </is>
      </c>
      <c r="B63" s="3" t="n">
        <v>2028</v>
      </c>
      <c r="C63" s="3" t="inlineStr">
        <is>
          <t>Bear</t>
        </is>
      </c>
      <c r="D63" s="3" t="inlineStr">
        <is>
          <t>purpose_built_tps_per_mw</t>
        </is>
      </c>
      <c r="E63" s="3" t="n">
        <v>1806787</v>
      </c>
      <c r="F63" s="3" t="inlineStr">
        <is>
          <t>generated output tokens/sec/MW</t>
        </is>
      </c>
      <c r="G63" s="3" t="inlineStr">
        <is>
          <t>Conservative no-uplift proxy</t>
        </is>
      </c>
      <c r="H63" s="3" t="inlineStr">
        <is>
          <t>purpose_built_tps_per_mw = purpose_built_reference_tps_per_mw * commercial_workload_fit_factor until comparable output-token benchmark is adopted</t>
        </is>
      </c>
      <c r="I63" s="3" t="inlineStr">
        <is>
          <t>No comparable public output-token/MW row adopted; B200 public reference placeholder is used and remains editable.</t>
        </is>
      </c>
      <c r="J63" s="3" t="inlineStr">
        <is>
          <t>SRC_MS_PHI; SRC_OPENAI_GPT41_DOCS; SRC_MS_PHI4_TECHREPORT; SRC_MS_MAIA200; SRC_EPOCH_AI_DATA_CENTERS; ASSUMP_NUMERIC_ACCELERATOR_MIX</t>
        </is>
      </c>
      <c r="K63" s="3" t="inlineStr">
        <is>
          <t>ASSUMP_POWER_RAMP; ASSUMP_MS_OPENAI_ATTRIBUTION; ASSUMP_NUMERIC_ACCELERATOR_MIX; ASSUMP_INFERENCE_SHARE_NOT_FACT_60; ASSUMP_WORKLOAD_CLASS_MIX; ASSUMP_AGENTIC_CONTEXT_PENALTY</t>
        </is>
      </c>
      <c r="L63" s="3" t="inlineStr">
        <is>
          <t>Matched-workload generated-output benchmark for the provider purpose-built accelerator.</t>
        </is>
      </c>
    </row>
    <row r="64">
      <c r="A64" s="3" t="inlineStr">
        <is>
          <t>Microsoft</t>
        </is>
      </c>
      <c r="B64" s="3" t="n">
        <v>2028</v>
      </c>
      <c r="C64" s="3" t="inlineStr">
        <is>
          <t>Bear</t>
        </is>
      </c>
      <c r="D64" s="3" t="inlineStr">
        <is>
          <t>inference_power_share</t>
        </is>
      </c>
      <c r="E64" s="3" t="n">
        <v>0.5600000000000001</v>
      </c>
      <c r="F64" s="3" t="inlineStr">
        <is>
          <t>share of AI IT load</t>
        </is>
      </c>
      <c r="G64" s="3" t="inlineStr">
        <is>
          <t>Scenario allocation</t>
        </is>
      </c>
      <c r="H64" s="3" t="inlineStr">
        <is>
          <t>inference_gw = ai_it_load_gw * inference_power_share</t>
        </is>
      </c>
      <c r="I64" s="3" t="inlineStr">
        <is>
          <t>Copilot commercial serving growth supports rising inference allocation; OpenAI model-owner output must remain separately attributed.</t>
        </is>
      </c>
      <c r="J64" s="3" t="inlineStr">
        <is>
          <t>SRC_MS_PHI; SRC_OPENAI_GPT41_DOCS; SRC_MS_PHI4_TECHREPORT; SRC_MS_MAIA200; SRC_EPOCH_AI_DATA_CENTERS; ASSUMP_INFERENCE_SHARE_NOT_FACT_60</t>
        </is>
      </c>
      <c r="K64" s="3" t="inlineStr">
        <is>
          <t>ASSUMP_POWER_RAMP; ASSUMP_MS_OPENAI_ATTRIBUTION; ASSUMP_NUMERIC_ACCELERATOR_MIX; ASSUMP_INFERENCE_SHARE_NOT_FACT_60; ASSUMP_WORKLOAD_CLASS_MIX; ASSUMP_AGENTIC_CONTEXT_PENALTY</t>
        </is>
      </c>
      <c r="L64" s="3" t="inlineStr">
        <is>
          <t>Provider-specific inference/training workload power telemetry.</t>
        </is>
      </c>
    </row>
    <row r="65">
      <c r="A65" s="3" t="inlineStr">
        <is>
          <t>Microsoft</t>
        </is>
      </c>
      <c r="B65" s="3" t="n">
        <v>2028</v>
      </c>
      <c r="C65" s="3" t="inlineStr">
        <is>
          <t>Bear</t>
        </is>
      </c>
      <c r="D65" s="3" t="inlineStr">
        <is>
          <t>inference_gw</t>
        </is>
      </c>
      <c r="E65" s="3" t="n">
        <v>1.381</v>
      </c>
      <c r="F65" s="3" t="inlineStr">
        <is>
          <t>GW</t>
        </is>
      </c>
      <c r="G65" s="3" t="inlineStr">
        <is>
          <t>Derived formula</t>
        </is>
      </c>
      <c r="H65" s="3" t="inlineStr">
        <is>
          <t>ai_it_load_gw * inference_power_share</t>
        </is>
      </c>
      <c r="I65" s="3" t="inlineStr">
        <is>
          <t>This is the operational power eligible to become commercial generated output tokens through the selected TPS/MW proxy.</t>
        </is>
      </c>
      <c r="J65" s="3" t="inlineStr">
        <is>
          <t>SRC_MS_PHI; SRC_OPENAI_GPT41_DOCS; SRC_MS_PHI4_TECHREPORT; SRC_MS_MAIA200; SRC_EPOCH_AI_DATA_CENTERS</t>
        </is>
      </c>
      <c r="K65" s="3" t="inlineStr">
        <is>
          <t>ASSUMP_POWER_RAMP; ASSUMP_MS_OPENAI_ATTRIBUTION; ASSUMP_NUMERIC_ACCELERATOR_MIX; ASSUMP_INFERENCE_SHARE_NOT_FACT_60; ASSUMP_WORKLOAD_CLASS_MIX; ASSUMP_AGENTIC_CONTEXT_PENALTY</t>
        </is>
      </c>
      <c r="L65" s="3" t="inlineStr">
        <is>
          <t>Recompute after AI allocation or inference-share evidence changes.</t>
        </is>
      </c>
    </row>
    <row r="66">
      <c r="A66" s="3" t="inlineStr">
        <is>
          <t>Microsoft</t>
        </is>
      </c>
      <c r="B66" s="3" t="n">
        <v>2028</v>
      </c>
      <c r="C66" s="3" t="inlineStr">
        <is>
          <t>Bear</t>
        </is>
      </c>
      <c r="D66" s="3" t="inlineStr">
        <is>
          <t>training_power_share</t>
        </is>
      </c>
      <c r="E66" s="3" t="n">
        <v>0.44</v>
      </c>
      <c r="F66" s="3" t="inlineStr">
        <is>
          <t>share of AI IT load</t>
        </is>
      </c>
      <c r="G66" s="3" t="inlineStr">
        <is>
          <t>Derived allocation</t>
        </is>
      </c>
      <c r="H66" s="3" t="inlineStr">
        <is>
          <t>1 - inference_power_share</t>
        </is>
      </c>
      <c r="I66" s="3" t="inlineStr">
        <is>
          <t>Training receives the complementary modeled AI IT allocation; it is not a disclosed company workload split.</t>
        </is>
      </c>
      <c r="J66" s="3" t="inlineStr">
        <is>
          <t>SRC_MS_PHI; SRC_OPENAI_GPT41_DOCS; SRC_MS_PHI4_TECHREPORT; SRC_MS_MAIA200; SRC_EPOCH_AI_DATA_CENTERS; ASSUMP_INFERENCE_SHARE_NOT_FACT_60</t>
        </is>
      </c>
      <c r="K66" s="3" t="inlineStr">
        <is>
          <t>ASSUMP_POWER_RAMP; ASSUMP_MS_OPENAI_ATTRIBUTION; ASSUMP_NUMERIC_ACCELERATOR_MIX; ASSUMP_INFERENCE_SHARE_NOT_FACT_60; ASSUMP_WORKLOAD_CLASS_MIX; ASSUMP_AGENTIC_CONTEXT_PENALTY</t>
        </is>
      </c>
      <c r="L66" s="3" t="inlineStr">
        <is>
          <t>Provider-specific inference/training workload power telemetry.</t>
        </is>
      </c>
    </row>
    <row r="67">
      <c r="A67" s="3" t="inlineStr">
        <is>
          <t>Microsoft</t>
        </is>
      </c>
      <c r="B67" s="3" t="n">
        <v>2028</v>
      </c>
      <c r="C67" s="3" t="inlineStr">
        <is>
          <t>Bear</t>
        </is>
      </c>
      <c r="D67" s="3" t="inlineStr">
        <is>
          <t>training_gw</t>
        </is>
      </c>
      <c r="E67" s="3" t="n">
        <v>1.085</v>
      </c>
      <c r="F67" s="3" t="inlineStr">
        <is>
          <t>GW</t>
        </is>
      </c>
      <c r="G67" s="3" t="inlineStr">
        <is>
          <t>Derived formula</t>
        </is>
      </c>
      <c r="H67" s="3" t="inlineStr">
        <is>
          <t>ai_it_load_gw * training_power_share</t>
        </is>
      </c>
      <c r="I67" s="3" t="inlineStr">
        <is>
          <t>Training GW is shown separately so commercial inference token capacity is not overstated.</t>
        </is>
      </c>
      <c r="J67" s="3" t="inlineStr">
        <is>
          <t>SRC_MS_PHI; SRC_OPENAI_GPT41_DOCS; SRC_MS_PHI4_TECHREPORT; SRC_MS_MAIA200; SRC_EPOCH_AI_DATA_CENTERS</t>
        </is>
      </c>
      <c r="K67" s="3" t="inlineStr">
        <is>
          <t>ASSUMP_POWER_RAMP; ASSUMP_MS_OPENAI_ATTRIBUTION; ASSUMP_NUMERIC_ACCELERATOR_MIX; ASSUMP_INFERENCE_SHARE_NOT_FACT_60; ASSUMP_WORKLOAD_CLASS_MIX; ASSUMP_AGENTIC_CONTEXT_PENALTY</t>
        </is>
      </c>
      <c r="L67" s="3" t="inlineStr">
        <is>
          <t>Recompute after AI allocation or workload-split evidence changes.</t>
        </is>
      </c>
    </row>
    <row r="68">
      <c r="A68" s="3" t="inlineStr">
        <is>
          <t>Microsoft</t>
        </is>
      </c>
      <c r="B68" s="3" t="n">
        <v>2028</v>
      </c>
      <c r="C68" s="3" t="inlineStr">
        <is>
          <t>Bear</t>
        </is>
      </c>
      <c r="D68" s="3" t="inlineStr">
        <is>
          <t>tokens_per_second_per_mw</t>
        </is>
      </c>
      <c r="E68" s="3" t="n">
        <v>1142720</v>
      </c>
      <c r="F68" s="3" t="inlineStr">
        <is>
          <t>generated output tokens/sec/MW</t>
        </is>
      </c>
      <c r="G68" s="3" t="inlineStr">
        <is>
          <t>Derived estimate + benchmark calibration</t>
        </is>
      </c>
      <c r="H68" s="3" t="inlineStr">
        <is>
          <t>fleet_reference_tps_per_mw * commercial_workload_fit_factor</t>
        </is>
      </c>
      <c r="I6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68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68" s="3" t="inlineStr">
        <is>
          <t>ASSUMP_POWER_RAMP; ASSUMP_MS_OPENAI_ATTRIBUTION; ASSUMP_NUMERIC_ACCELERATOR_MIX; ASSUMP_INFERENCE_SHARE_NOT_FACT_60; ASSUMP_WORKLOAD_CLASS_MIX; ASSUMP_AGENTIC_CONTEXT_PENALTY</t>
        </is>
      </c>
      <c r="L68" s="3" t="inlineStr">
        <is>
          <t>Comparable production output-token throughput with model, hardware, precision, ISL/OSL and SLO matched.</t>
        </is>
      </c>
    </row>
    <row r="69">
      <c r="A69" s="3" t="inlineStr">
        <is>
          <t>Microsoft</t>
        </is>
      </c>
      <c r="B69" s="3" t="n">
        <v>2028</v>
      </c>
      <c r="C69" s="3" t="inlineStr">
        <is>
          <t>Bear</t>
        </is>
      </c>
      <c r="D69" s="3" t="inlineStr">
        <is>
          <t>inference_tokens_per_day</t>
        </is>
      </c>
      <c r="E69" s="3" t="n">
        <v>136347522048000</v>
      </c>
      <c r="F69" s="3" t="inlineStr">
        <is>
          <t>generated output tokens/day</t>
        </is>
      </c>
      <c r="G69" s="3" t="inlineStr">
        <is>
          <t>Derived headline metric</t>
        </is>
      </c>
      <c r="H69" s="3" t="inlineStr">
        <is>
          <t>inference_gw * 1000 * tokens_per_second_per_mw * 86,400</t>
        </is>
      </c>
      <c r="I69" s="3" t="inlineStr">
        <is>
          <t>Headline capacity uses no utilization, MoE, architecture or software-growth multiplier; it is not observed commercial output volume.</t>
        </is>
      </c>
      <c r="J69" s="3" t="inlineStr">
        <is>
          <t>SRC_MS_PHI; SRC_OPENAI_GPT41_DOCS; SRC_MS_PHI4_TECHREPORT; SRC_MS_MAIA200; SRC_EPOCH_AI_DATA_CENTERS; SRC_SEMIANALYSIS_INFERENCEX</t>
        </is>
      </c>
      <c r="K69" s="3" t="inlineStr">
        <is>
          <t>ASSUMP_POWER_RAMP; ASSUMP_MS_OPENAI_ATTRIBUTION; ASSUMP_NUMERIC_ACCELERATOR_MIX; ASSUMP_INFERENCE_SHARE_NOT_FACT_60; ASSUMP_WORKLOAD_CLASS_MIX; ASSUMP_AGENTIC_CONTEXT_PENALTY</t>
        </is>
      </c>
      <c r="L69" s="3" t="inlineStr">
        <is>
          <t>Provider-disclosed generated output token volume or calibrated capacity telemetry.</t>
        </is>
      </c>
    </row>
    <row r="70">
      <c r="A70" s="3" t="inlineStr">
        <is>
          <t>Microsoft</t>
        </is>
      </c>
      <c r="B70" s="3" t="n">
        <v>2028</v>
      </c>
      <c r="C70" s="3" t="inlineStr">
        <is>
          <t>Bear</t>
        </is>
      </c>
      <c r="D70" s="3" t="inlineStr">
        <is>
          <t>inference_tokens_per_year</t>
        </is>
      </c>
      <c r="E70" s="3" t="n">
        <v>4.976684554752e+16</v>
      </c>
      <c r="F70" s="3" t="inlineStr">
        <is>
          <t>generated output tokens/year</t>
        </is>
      </c>
      <c r="G70" s="3" t="inlineStr">
        <is>
          <t>Derived headline metric</t>
        </is>
      </c>
      <c r="H70" s="3" t="inlineStr">
        <is>
          <t>inference_tokens_per_day * 365</t>
        </is>
      </c>
      <c r="I70" s="3" t="inlineStr">
        <is>
          <t>Annualized version of generated output token capacity; it is not observed annual demand or billable volume.</t>
        </is>
      </c>
      <c r="J70" s="3" t="inlineStr">
        <is>
          <t>SRC_MS_PHI; SRC_OPENAI_GPT41_DOCS; SRC_MS_PHI4_TECHREPORT; SRC_MS_MAIA200; SRC_EPOCH_AI_DATA_CENTERS; SRC_SEMIANALYSIS_INFERENCEX</t>
        </is>
      </c>
      <c r="K70" s="3" t="inlineStr">
        <is>
          <t>ASSUMP_POWER_RAMP; ASSUMP_MS_OPENAI_ATTRIBUTION; ASSUMP_NUMERIC_ACCELERATOR_MIX; ASSUMP_INFERENCE_SHARE_NOT_FACT_60; ASSUMP_WORKLOAD_CLASS_MIX; ASSUMP_AGENTIC_CONTEXT_PENALTY</t>
        </is>
      </c>
      <c r="L70" s="3" t="inlineStr">
        <is>
          <t>Provider-disclosed annual generated-output volume or metered serving telemetry.</t>
        </is>
      </c>
    </row>
    <row r="71">
      <c r="A71" s="3" t="inlineStr">
        <is>
          <t>Microsoft</t>
        </is>
      </c>
      <c r="B71" s="3" t="n">
        <v>2029</v>
      </c>
      <c r="C71" s="3" t="inlineStr">
        <is>
          <t>Bear</t>
        </is>
      </c>
      <c r="D71" s="3" t="inlineStr">
        <is>
          <t>contracted_power_gw</t>
        </is>
      </c>
      <c r="E71" s="3" t="n">
        <v>7.75</v>
      </c>
      <c r="F71" s="3" t="inlineStr">
        <is>
          <t>GW</t>
        </is>
      </c>
      <c r="G71" s="3" t="inlineStr">
        <is>
          <t>Scenario capacity envelope</t>
        </is>
      </c>
      <c r="H71" s="3" t="inlineStr">
        <is>
          <t>linear interpolation between 2026 and 2030 company capacity endpoints</t>
        </is>
      </c>
      <c r="I71" s="3" t="inlineStr">
        <is>
          <t>Scenario envelope for Microsoft-controlled/Copilot serving burden; not an official contracted-GW disclosure.</t>
        </is>
      </c>
      <c r="J71" s="3" t="inlineStr">
        <is>
          <t>ASSUMP_POWER_RAMP; SRC_MS_MAIA200</t>
        </is>
      </c>
      <c r="K71" s="3" t="inlineStr">
        <is>
          <t>ASSUMP_POWER_RAMP; ASSUMP_MS_OPENAI_ATTRIBUTION; ASSUMP_NUMERIC_ACCELERATOR_MIX; ASSUMP_INFERENCE_SHARE_NOT_FACT_60; ASSUMP_WORKLOAD_CLASS_MIX; ASSUMP_AGENTIC_CONTEXT_PENALTY</t>
        </is>
      </c>
      <c r="L71" s="3" t="inlineStr">
        <is>
          <t>Company/site-level committed MW/GW, interconnect and contract disclosure.</t>
        </is>
      </c>
    </row>
    <row r="72">
      <c r="A72" s="3" t="inlineStr">
        <is>
          <t>Microsoft</t>
        </is>
      </c>
      <c r="B72" s="3" t="n">
        <v>2029</v>
      </c>
      <c r="C72" s="3" t="inlineStr">
        <is>
          <t>Bear</t>
        </is>
      </c>
      <c r="D72" s="3" t="inlineStr">
        <is>
          <t>operational_deployment_share</t>
        </is>
      </c>
      <c r="E72" s="3" t="n">
        <v>0.5527741900000001</v>
      </c>
      <c r="F72" s="3" t="inlineStr">
        <is>
          <t>share</t>
        </is>
      </c>
      <c r="G72" s="3" t="inlineStr">
        <is>
          <t>Scenario conversion</t>
        </is>
      </c>
      <c r="H72" s="3" t="inlineStr">
        <is>
          <t>active_power_gw / contracted_power_gw</t>
        </is>
      </c>
      <c r="I72" s="3" t="inlineStr">
        <is>
          <t>This is the single explicit conversion from contracted/attributed capacity to operationally usable capacity.</t>
        </is>
      </c>
      <c r="J72" s="3" t="inlineStr">
        <is>
          <t>ASSUMP_POWER_RAMP; SRC_MS_MAIA200</t>
        </is>
      </c>
      <c r="K72" s="3" t="inlineStr">
        <is>
          <t>ASSUMP_POWER_RAMP; ASSUMP_MS_OPENAI_ATTRIBUTION; ASSUMP_NUMERIC_ACCELERATOR_MIX; ASSUMP_INFERENCE_SHARE_NOT_FACT_60; ASSUMP_WORKLOAD_CLASS_MIX; ASSUMP_AGENTIC_CONTEXT_PENALTY</t>
        </is>
      </c>
      <c r="L72" s="3" t="inlineStr">
        <is>
          <t>Energized operational capacity divided by contracted/attributed capacity.</t>
        </is>
      </c>
    </row>
    <row r="73">
      <c r="A73" s="3" t="inlineStr">
        <is>
          <t>Microsoft</t>
        </is>
      </c>
      <c r="B73" s="3" t="n">
        <v>2029</v>
      </c>
      <c r="C73" s="3" t="inlineStr">
        <is>
          <t>Bear</t>
        </is>
      </c>
      <c r="D73" s="3" t="inlineStr">
        <is>
          <t>active_power_gw</t>
        </is>
      </c>
      <c r="E73" s="3" t="n">
        <v>4.284</v>
      </c>
      <c r="F73" s="3" t="inlineStr">
        <is>
          <t>GW</t>
        </is>
      </c>
      <c r="G73" s="3" t="inlineStr">
        <is>
          <t>Derived scenario</t>
        </is>
      </c>
      <c r="H73" s="3" t="inlineStr">
        <is>
          <t>contracted_power_gw * operational_deployment_share</t>
        </is>
      </c>
      <c r="I73" s="3" t="inlineStr">
        <is>
          <t>Active GW is a staged operational deployment fraction of modeled capacity, reflecting site energization and accelerator availability.</t>
        </is>
      </c>
      <c r="J73" s="3" t="inlineStr">
        <is>
          <t>ASSUMP_POWER_RAMP; SRC_MS_MAIA200</t>
        </is>
      </c>
      <c r="K73" s="3" t="inlineStr">
        <is>
          <t>ASSUMP_POWER_RAMP; ASSUMP_MS_OPENAI_ATTRIBUTION; ASSUMP_NUMERIC_ACCELERATOR_MIX; ASSUMP_INFERENCE_SHARE_NOT_FACT_60; ASSUMP_WORKLOAD_CLASS_MIX; ASSUMP_AGENTIC_CONTEXT_PENALTY</t>
        </is>
      </c>
      <c r="L73" s="3" t="inlineStr">
        <is>
          <t>Energization dates, accelerator deliveries and operational powered-rack telemetry.</t>
        </is>
      </c>
    </row>
    <row r="74">
      <c r="A74" s="3" t="inlineStr">
        <is>
          <t>Microsoft</t>
        </is>
      </c>
      <c r="B74" s="3" t="n">
        <v>2029</v>
      </c>
      <c r="C74" s="3" t="inlineStr">
        <is>
          <t>Bear</t>
        </is>
      </c>
      <c r="D74" s="3" t="inlineStr">
        <is>
          <t>pue</t>
        </is>
      </c>
      <c r="E74" s="3" t="n">
        <v>1.2</v>
      </c>
      <c r="F74" s="3" t="inlineStr">
        <is>
          <t>ratio</t>
        </is>
      </c>
      <c r="G74" s="3" t="inlineStr">
        <is>
          <t>Scenario parameter</t>
        </is>
      </c>
      <c r="H74" s="3" t="inlineStr">
        <is>
          <t>it_load_gw = active_power_gw / pue</t>
        </is>
      </c>
      <c r="I74" s="3" t="inlineStr">
        <is>
          <t>No provider-wide site-level PUE is used as a disclosed fact; PUE represents facility-to-IT conversion within the scenario.</t>
        </is>
      </c>
      <c r="J74" s="3" t="inlineStr">
        <is>
          <t>ASSUMP_POWER_RAMP</t>
        </is>
      </c>
      <c r="K74" s="3" t="inlineStr">
        <is>
          <t>ASSUMP_POWER_RAMP; ASSUMP_MS_OPENAI_ATTRIBUTION; ASSUMP_NUMERIC_ACCELERATOR_MIX; ASSUMP_INFERENCE_SHARE_NOT_FACT_60; ASSUMP_WORKLOAD_CLASS_MIX; ASSUMP_AGENTIC_CONTEXT_PENALTY</t>
        </is>
      </c>
      <c r="L74" s="3" t="inlineStr">
        <is>
          <t>Site-level measured PUE matched to attributed AI capacity.</t>
        </is>
      </c>
    </row>
    <row r="75">
      <c r="A75" s="3" t="inlineStr">
        <is>
          <t>Microsoft</t>
        </is>
      </c>
      <c r="B75" s="3" t="n">
        <v>2029</v>
      </c>
      <c r="C75" s="3" t="inlineStr">
        <is>
          <t>Bear</t>
        </is>
      </c>
      <c r="D75" s="3" t="inlineStr">
        <is>
          <t>it_load_gw</t>
        </is>
      </c>
      <c r="E75" s="3" t="n">
        <v>3.57</v>
      </c>
      <c r="F75" s="3" t="inlineStr">
        <is>
          <t>GW</t>
        </is>
      </c>
      <c r="G75" s="3" t="inlineStr">
        <is>
          <t>Derived formula</t>
        </is>
      </c>
      <c r="H75" s="3" t="inlineStr">
        <is>
          <t>active_power_gw / pue</t>
        </is>
      </c>
      <c r="I75" s="3" t="inlineStr">
        <is>
          <t>Facility power is converted to IT-deliverable power before attributing AI workloads.</t>
        </is>
      </c>
      <c r="J75" s="3" t="inlineStr">
        <is>
          <t>ASSUMP_POWER_RAMP; SRC_MS_MAIA200</t>
        </is>
      </c>
      <c r="K75" s="3" t="inlineStr">
        <is>
          <t>ASSUMP_POWER_RAMP; ASSUMP_MS_OPENAI_ATTRIBUTION; ASSUMP_NUMERIC_ACCELERATOR_MIX; ASSUMP_INFERENCE_SHARE_NOT_FACT_60; ASSUMP_WORKLOAD_CLASS_MIX; ASSUMP_AGENTIC_CONTEXT_PENALTY</t>
        </is>
      </c>
      <c r="L75" s="3" t="inlineStr">
        <is>
          <t>Recompute once active power and PUE become site-observable.</t>
        </is>
      </c>
    </row>
    <row r="76">
      <c r="A76" s="3" t="inlineStr">
        <is>
          <t>Microsoft</t>
        </is>
      </c>
      <c r="B76" s="3" t="n">
        <v>2029</v>
      </c>
      <c r="C76" s="3" t="inlineStr">
        <is>
          <t>Bear</t>
        </is>
      </c>
      <c r="D76" s="3" t="inlineStr">
        <is>
          <t>ai_workload_share</t>
        </is>
      </c>
      <c r="E76" s="3" t="n">
        <v>0.86</v>
      </c>
      <c r="F76" s="3" t="inlineStr">
        <is>
          <t>share</t>
        </is>
      </c>
      <c r="G76" s="3" t="inlineStr">
        <is>
          <t>Scenario allocation</t>
        </is>
      </c>
      <c r="H76" s="3" t="inlineStr">
        <is>
          <t>ai_it_load_gw = it_load_gw * ai_workload_share</t>
        </is>
      </c>
      <c r="I76" s="3" t="inlineStr">
        <is>
          <t>Azure/Copilot serving burden is AI-oriented but shares infrastructure with platform and reserve overhead; 86% is a scenario allocation.</t>
        </is>
      </c>
      <c r="J76" s="3" t="inlineStr">
        <is>
          <t>SRC_MS_PHI; SRC_OPENAI_GPT41_DOCS; SRC_MS_PHI4_TECHREPORT; SRC_MS_MAIA200; SRC_EPOCH_AI_DATA_CENTERS</t>
        </is>
      </c>
      <c r="K76" s="3" t="inlineStr">
        <is>
          <t>ASSUMP_POWER_RAMP; ASSUMP_MS_OPENAI_ATTRIBUTION; ASSUMP_NUMERIC_ACCELERATOR_MIX; ASSUMP_INFERENCE_SHARE_NOT_FACT_60; ASSUMP_WORKLOAD_CLASS_MIX; ASSUMP_AGENTIC_CONTEXT_PENALTY</t>
        </is>
      </c>
      <c r="L76" s="3" t="inlineStr">
        <is>
          <t>Model-owner AI workload allocation or cluster scheduling telemetry.</t>
        </is>
      </c>
    </row>
    <row r="77">
      <c r="A77" s="3" t="inlineStr">
        <is>
          <t>Microsoft</t>
        </is>
      </c>
      <c r="B77" s="3" t="n">
        <v>2029</v>
      </c>
      <c r="C77" s="3" t="inlineStr">
        <is>
          <t>Bear</t>
        </is>
      </c>
      <c r="D77" s="3" t="inlineStr">
        <is>
          <t>ai_it_load_gw</t>
        </is>
      </c>
      <c r="E77" s="3" t="n">
        <v>3.07</v>
      </c>
      <c r="F77" s="3" t="inlineStr">
        <is>
          <t>GW</t>
        </is>
      </c>
      <c r="G77" s="3" t="inlineStr">
        <is>
          <t>Derived formula</t>
        </is>
      </c>
      <c r="H77" s="3" t="inlineStr">
        <is>
          <t>it_load_gw * ai_workload_share</t>
        </is>
      </c>
      <c r="I77" s="3" t="inlineStr">
        <is>
          <t>Only the AI-attributed portion of IT load enters training/inference allocation.</t>
        </is>
      </c>
      <c r="J77" s="3" t="inlineStr">
        <is>
          <t>SRC_MS_PHI; SRC_OPENAI_GPT41_DOCS; SRC_MS_PHI4_TECHREPORT; SRC_MS_MAIA200; SRC_EPOCH_AI_DATA_CENTERS</t>
        </is>
      </c>
      <c r="K77" s="3" t="inlineStr">
        <is>
          <t>ASSUMP_POWER_RAMP; ASSUMP_MS_OPENAI_ATTRIBUTION; ASSUMP_NUMERIC_ACCELERATOR_MIX; ASSUMP_INFERENCE_SHARE_NOT_FACT_60; ASSUMP_WORKLOAD_CLASS_MIX; ASSUMP_AGENTIC_CONTEXT_PENALTY</t>
        </is>
      </c>
      <c r="L77" s="3" t="inlineStr">
        <is>
          <t>Recompute after ai_workload_share is replaced by telemetry.</t>
        </is>
      </c>
    </row>
    <row r="78">
      <c r="A78" s="3" t="inlineStr">
        <is>
          <t>Microsoft</t>
        </is>
      </c>
      <c r="B78" s="3" t="n">
        <v>2029</v>
      </c>
      <c r="C78" s="3" t="inlineStr">
        <is>
          <t>Bear</t>
        </is>
      </c>
      <c r="D78" s="3" t="inlineStr">
        <is>
          <t>gpu_share</t>
        </is>
      </c>
      <c r="E78" s="3" t="n">
        <v>0.726329</v>
      </c>
      <c r="F78" s="3" t="inlineStr">
        <is>
          <t>share of inference-serving accelerator load</t>
        </is>
      </c>
      <c r="G78" s="3" t="inlineStr">
        <is>
          <t>Numeric scenario</t>
        </is>
      </c>
      <c r="H78" s="3" t="inlineStr">
        <is>
          <t>gpu_share interpolated from company 2026/2030 accelerator-mix endpoints</t>
        </is>
      </c>
      <c r="I78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78" s="3" t="inlineStr">
        <is>
          <t>SRC_MS_PHI; SRC_OPENAI_GPT41_DOCS; SRC_MS_PHI4_TECHREPORT; SRC_MS_MAIA200; SRC_EPOCH_AI_DATA_CENTERS; ASSUMP_NUMERIC_ACCELERATOR_MIX</t>
        </is>
      </c>
      <c r="K78" s="3" t="inlineStr">
        <is>
          <t>ASSUMP_POWER_RAMP; ASSUMP_MS_OPENAI_ATTRIBUTION; ASSUMP_NUMERIC_ACCELERATOR_MIX; ASSUMP_INFERENCE_SHARE_NOT_FACT_60; ASSUMP_WORKLOAD_CLASS_MIX; ASSUMP_AGENTIC_CONTEXT_PENALTY</t>
        </is>
      </c>
      <c r="L78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79">
      <c r="A79" s="3" t="inlineStr">
        <is>
          <t>Microsoft</t>
        </is>
      </c>
      <c r="B79" s="3" t="n">
        <v>2029</v>
      </c>
      <c r="C79" s="3" t="inlineStr">
        <is>
          <t>Bear</t>
        </is>
      </c>
      <c r="D79" s="3" t="inlineStr">
        <is>
          <t>h200_share</t>
        </is>
      </c>
      <c r="E79" s="3" t="n">
        <v>0.020598</v>
      </c>
      <c r="F79" s="3" t="inlineStr">
        <is>
          <t>share of inference-serving accelerator load</t>
        </is>
      </c>
      <c r="G79" s="3" t="inlineStr">
        <is>
          <t>Editable numeric scenario</t>
        </is>
      </c>
      <c r="H79" s="3" t="inlineStr">
        <is>
          <t>h200_share = gpu_share * default_gpu_generation_mix_h200</t>
        </is>
      </c>
      <c r="I79" s="3" t="inlineStr">
        <is>
          <t>Default GPU-generation migration assumption; executive workbook allows later manual replacement by company/year/scenario.</t>
        </is>
      </c>
      <c r="J79" s="3" t="inlineStr">
        <is>
          <t>SRC_SEMIANALYSIS_INFERENCEX; ASSUMP_NUMERIC_ACCELERATOR_MIX</t>
        </is>
      </c>
      <c r="K79" s="3" t="inlineStr">
        <is>
          <t>ASSUMP_POWER_RAMP; ASSUMP_MS_OPENAI_ATTRIBUTION; ASSUMP_NUMERIC_ACCELERATOR_MIX; ASSUMP_INFERENCE_SHARE_NOT_FACT_60; ASSUMP_WORKLOAD_CLASS_MIX; ASSUMP_AGENTIC_CONTEXT_PENALTY</t>
        </is>
      </c>
      <c r="L79" s="3" t="inlineStr">
        <is>
          <t>Company fleet inventory, accelerator-hours or procurement/deployment records by GPU generation.</t>
        </is>
      </c>
    </row>
    <row r="80">
      <c r="A80" s="3" t="inlineStr">
        <is>
          <t>Microsoft</t>
        </is>
      </c>
      <c r="B80" s="3" t="n">
        <v>2029</v>
      </c>
      <c r="C80" s="3" t="inlineStr">
        <is>
          <t>Bear</t>
        </is>
      </c>
      <c r="D80" s="3" t="inlineStr">
        <is>
          <t>b200_share</t>
        </is>
      </c>
      <c r="E80" s="3" t="n">
        <v>0.705731</v>
      </c>
      <c r="F80" s="3" t="inlineStr">
        <is>
          <t>share of inference-serving accelerator load</t>
        </is>
      </c>
      <c r="G80" s="3" t="inlineStr">
        <is>
          <t>Editable numeric scenario</t>
        </is>
      </c>
      <c r="H80" s="3" t="inlineStr">
        <is>
          <t>b200_share = gpu_share * default_gpu_generation_mix_b200</t>
        </is>
      </c>
      <c r="I80" s="3" t="inlineStr">
        <is>
          <t>Default GPU-generation migration assumption; executive workbook allows later manual replacement by company/year/scenario.</t>
        </is>
      </c>
      <c r="J80" s="3" t="inlineStr">
        <is>
          <t>SRC_SEMIANALYSIS_INFERENCEX; ASSUMP_NUMERIC_ACCELERATOR_MIX</t>
        </is>
      </c>
      <c r="K80" s="3" t="inlineStr">
        <is>
          <t>ASSUMP_POWER_RAMP; ASSUMP_MS_OPENAI_ATTRIBUTION; ASSUMP_NUMERIC_ACCELERATOR_MIX; ASSUMP_INFERENCE_SHARE_NOT_FACT_60; ASSUMP_WORKLOAD_CLASS_MIX; ASSUMP_AGENTIC_CONTEXT_PENALTY</t>
        </is>
      </c>
      <c r="L80" s="3" t="inlineStr">
        <is>
          <t>Company fleet inventory, accelerator-hours or procurement/deployment records by GPU generation.</t>
        </is>
      </c>
    </row>
    <row r="81">
      <c r="A81" s="3" t="inlineStr">
        <is>
          <t>Microsoft</t>
        </is>
      </c>
      <c r="B81" s="3" t="n">
        <v>2029</v>
      </c>
      <c r="C81" s="3" t="inlineStr">
        <is>
          <t>Bear</t>
        </is>
      </c>
      <c r="D81" s="3" t="inlineStr">
        <is>
          <t>gb200_share</t>
        </is>
      </c>
      <c r="E81" s="3" t="n">
        <v>0</v>
      </c>
      <c r="F81" s="3" t="inlineStr">
        <is>
          <t>share of inference-serving accelerator load</t>
        </is>
      </c>
      <c r="G81" s="3" t="inlineStr">
        <is>
          <t>Editable numeric scenario</t>
        </is>
      </c>
      <c r="H81" s="3" t="inlineStr">
        <is>
          <t>gb200_share = gpu_share * default_gpu_generation_mix_gb200</t>
        </is>
      </c>
      <c r="I81" s="3" t="inlineStr">
        <is>
          <t>Default GPU-generation migration assumption; executive workbook allows later manual replacement by company/year/scenario.</t>
        </is>
      </c>
      <c r="J81" s="3" t="inlineStr">
        <is>
          <t>SRC_SEMIANALYSIS_INFERENCEX; ASSUMP_NUMERIC_ACCELERATOR_MIX</t>
        </is>
      </c>
      <c r="K81" s="3" t="inlineStr">
        <is>
          <t>ASSUMP_POWER_RAMP; ASSUMP_MS_OPENAI_ATTRIBUTION; ASSUMP_NUMERIC_ACCELERATOR_MIX; ASSUMP_INFERENCE_SHARE_NOT_FACT_60; ASSUMP_WORKLOAD_CLASS_MIX; ASSUMP_AGENTIC_CONTEXT_PENALTY</t>
        </is>
      </c>
      <c r="L81" s="3" t="inlineStr">
        <is>
          <t>Company fleet inventory, accelerator-hours or procurement/deployment records by GPU generation.</t>
        </is>
      </c>
    </row>
    <row r="82">
      <c r="A82" s="3" t="inlineStr">
        <is>
          <t>Microsoft</t>
        </is>
      </c>
      <c r="B82" s="3" t="n">
        <v>2029</v>
      </c>
      <c r="C82" s="3" t="inlineStr">
        <is>
          <t>Bear</t>
        </is>
      </c>
      <c r="D82" s="3" t="inlineStr">
        <is>
          <t>purpose_built_accelerator_share</t>
        </is>
      </c>
      <c r="E82" s="3" t="n">
        <v>0.273671</v>
      </c>
      <c r="F82" s="3" t="inlineStr">
        <is>
          <t>share of inference-serving accelerator load</t>
        </is>
      </c>
      <c r="G82" s="3" t="inlineStr">
        <is>
          <t>Numeric scenario</t>
        </is>
      </c>
      <c r="H82" s="3" t="inlineStr">
        <is>
          <t>1 - gpu_share</t>
        </is>
      </c>
      <c r="I82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82" s="3" t="inlineStr">
        <is>
          <t>SRC_MS_PHI; SRC_OPENAI_GPT41_DOCS; SRC_MS_PHI4_TECHREPORT; SRC_MS_MAIA200; SRC_EPOCH_AI_DATA_CENTERS; ASSUMP_NUMERIC_ACCELERATOR_MIX</t>
        </is>
      </c>
      <c r="K82" s="3" t="inlineStr">
        <is>
          <t>ASSUMP_POWER_RAMP; ASSUMP_MS_OPENAI_ATTRIBUTION; ASSUMP_NUMERIC_ACCELERATOR_MIX; ASSUMP_INFERENCE_SHARE_NOT_FACT_60; ASSUMP_WORKLOAD_CLASS_MIX; ASSUMP_AGENTIC_CONTEXT_PENALTY</t>
        </is>
      </c>
      <c r="L82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83">
      <c r="A83" s="3" t="inlineStr">
        <is>
          <t>Microsoft</t>
        </is>
      </c>
      <c r="B83" s="3" t="n">
        <v>2029</v>
      </c>
      <c r="C83" s="3" t="inlineStr">
        <is>
          <t>Bear</t>
        </is>
      </c>
      <c r="D83" s="3" t="inlineStr">
        <is>
          <t>fleet_reference_tps_per_mw</t>
        </is>
      </c>
      <c r="E83" s="3" t="n">
        <v>2856801</v>
      </c>
      <c r="F83" s="3" t="inlineStr">
        <is>
          <t>generated output tokens/sec/MW</t>
        </is>
      </c>
      <c r="G83" s="3" t="inlineStr">
        <is>
          <t>Fleet-weighted public benchmark reference</t>
        </is>
      </c>
      <c r="H83" s="3" t="inlineStr">
        <is>
          <t>h200_share*h200_workload_avg + b200_share*b200_workload_avg + gb200_share*gb200_workload_avg + purpose_built_share*purpose_workload_avg</t>
        </is>
      </c>
      <c r="I8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83" s="3" t="inlineStr">
        <is>
          <t>SRC_SEMIANALYSIS_INFERENCEX; ASSUMP_NUMERIC_ACCELERATOR_MIX; ASSUMP_WORKLOAD_CLASS_MIX; ASSUMP_AGENTIC_CONTEXT_PENALTY</t>
        </is>
      </c>
      <c r="K83" s="3" t="inlineStr">
        <is>
          <t>ASSUMP_POWER_RAMP; ASSUMP_MS_OPENAI_ATTRIBUTION; ASSUMP_NUMERIC_ACCELERATOR_MIX; ASSUMP_INFERENCE_SHARE_NOT_FACT_60; ASSUMP_WORKLOAD_CLASS_MIX; ASSUMP_AGENTIC_CONTEXT_PENALTY</t>
        </is>
      </c>
      <c r="L83" s="3" t="inlineStr">
        <is>
          <t>Comparable production output-token throughput or a more closely matched benchmark.</t>
        </is>
      </c>
    </row>
    <row r="84">
      <c r="A84" s="3" t="inlineStr">
        <is>
          <t>Microsoft</t>
        </is>
      </c>
      <c r="B84" s="3" t="n">
        <v>2029</v>
      </c>
      <c r="C84" s="3" t="inlineStr">
        <is>
          <t>Bear</t>
        </is>
      </c>
      <c r="D84" s="3" t="inlineStr">
        <is>
          <t>commercial_workload_fit_factor</t>
        </is>
      </c>
      <c r="E84" s="3" t="n">
        <v>0.4</v>
      </c>
      <c r="F84" s="3" t="inlineStr">
        <is>
          <t>share of public reference throughput</t>
        </is>
      </c>
      <c r="G84" s="3" t="inlineStr">
        <is>
          <t>Scenario assumption</t>
        </is>
      </c>
      <c r="H84" s="3" t="inlineStr">
        <is>
          <t>reference_serving_tps_per_mw = fleet_reference_tps_per_mw * commercial_workload_fit_factor</t>
        </is>
      </c>
      <c r="I8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84" s="3" t="inlineStr">
        <is>
          <t>SRC_SEMIANALYSIS_INFERENCEX; ASSUMP_NUMERIC_ACCELERATOR_MIX; ASSUMP_WORKLOAD_CLASS_MIX; ASSUMP_AGENTIC_CONTEXT_PENALTY</t>
        </is>
      </c>
      <c r="K84" s="3" t="inlineStr">
        <is>
          <t>ASSUMP_POWER_RAMP; ASSUMP_MS_OPENAI_ATTRIBUTION; ASSUMP_NUMERIC_ACCELERATOR_MIX; ASSUMP_INFERENCE_SHARE_NOT_FACT_60; ASSUMP_WORKLOAD_CLASS_MIX; ASSUMP_AGENTIC_CONTEXT_PENALTY</t>
        </is>
      </c>
      <c r="L84" s="3" t="inlineStr">
        <is>
          <t>Matched commercial serving benchmark by product surface, context shape and latency SLO.</t>
        </is>
      </c>
    </row>
    <row r="85">
      <c r="A85" s="3" t="inlineStr">
        <is>
          <t>Microsoft</t>
        </is>
      </c>
      <c r="B85" s="3" t="n">
        <v>2029</v>
      </c>
      <c r="C85" s="3" t="inlineStr">
        <is>
          <t>Bear</t>
        </is>
      </c>
      <c r="D85" s="3" t="inlineStr">
        <is>
          <t>reference_serving_tps_per_mw</t>
        </is>
      </c>
      <c r="E85" s="3" t="n">
        <v>1142720</v>
      </c>
      <c r="F85" s="3" t="inlineStr">
        <is>
          <t>generated output tokens/sec/MW</t>
        </is>
      </c>
      <c r="G85" s="3" t="inlineStr">
        <is>
          <t>Workload-adjusted benchmark proxy</t>
        </is>
      </c>
      <c r="H85" s="3" t="inlineStr">
        <is>
          <t>fleet_reference_tps_per_mw * commercial_workload_fit_factor</t>
        </is>
      </c>
      <c r="I85" s="3" t="inlineStr">
        <is>
          <t>This is the coefficient used for headline token generation; each GPU's short chat, long chat and agentic TPS/MW are weighted before fleet mix and commercial fit are applied.</t>
        </is>
      </c>
      <c r="J85" s="3" t="inlineStr">
        <is>
          <t>SRC_SEMIANALYSIS_INFERENCEX; ASSUMP_NUMERIC_ACCELERATOR_MIX; ASSUMP_WORKLOAD_CLASS_MIX; ASSUMP_AGENTIC_CONTEXT_PENALTY</t>
        </is>
      </c>
      <c r="K85" s="3" t="inlineStr">
        <is>
          <t>ASSUMP_POWER_RAMP; ASSUMP_MS_OPENAI_ATTRIBUTION; ASSUMP_NUMERIC_ACCELERATOR_MIX; ASSUMP_INFERENCE_SHARE_NOT_FACT_60; ASSUMP_WORKLOAD_CLASS_MIX; ASSUMP_AGENTIC_CONTEXT_PENALTY</t>
        </is>
      </c>
      <c r="L85" s="3" t="inlineStr">
        <is>
          <t>Provider production output-token throughput with comparable workload/SLO.</t>
        </is>
      </c>
    </row>
    <row r="86">
      <c r="A86" s="3" t="inlineStr">
        <is>
          <t>Microsoft</t>
        </is>
      </c>
      <c r="B86" s="3" t="n">
        <v>2029</v>
      </c>
      <c r="C86" s="3" t="inlineStr">
        <is>
          <t>Bear</t>
        </is>
      </c>
      <c r="D86" s="3" t="inlineStr">
        <is>
          <t>purpose_built_tps_per_mw</t>
        </is>
      </c>
      <c r="E86" s="3" t="n">
        <v>1806787</v>
      </c>
      <c r="F86" s="3" t="inlineStr">
        <is>
          <t>generated output tokens/sec/MW</t>
        </is>
      </c>
      <c r="G86" s="3" t="inlineStr">
        <is>
          <t>Conservative no-uplift proxy</t>
        </is>
      </c>
      <c r="H86" s="3" t="inlineStr">
        <is>
          <t>purpose_built_tps_per_mw = purpose_built_reference_tps_per_mw * commercial_workload_fit_factor until comparable output-token benchmark is adopted</t>
        </is>
      </c>
      <c r="I86" s="3" t="inlineStr">
        <is>
          <t>No comparable public output-token/MW row adopted; B200 public reference placeholder is used and remains editable.</t>
        </is>
      </c>
      <c r="J86" s="3" t="inlineStr">
        <is>
          <t>SRC_MS_PHI; SRC_OPENAI_GPT41_DOCS; SRC_MS_PHI4_TECHREPORT; SRC_MS_MAIA200; SRC_EPOCH_AI_DATA_CENTERS; ASSUMP_NUMERIC_ACCELERATOR_MIX</t>
        </is>
      </c>
      <c r="K86" s="3" t="inlineStr">
        <is>
          <t>ASSUMP_POWER_RAMP; ASSUMP_MS_OPENAI_ATTRIBUTION; ASSUMP_NUMERIC_ACCELERATOR_MIX; ASSUMP_INFERENCE_SHARE_NOT_FACT_60; ASSUMP_WORKLOAD_CLASS_MIX; ASSUMP_AGENTIC_CONTEXT_PENALTY</t>
        </is>
      </c>
      <c r="L86" s="3" t="inlineStr">
        <is>
          <t>Matched-workload generated-output benchmark for the provider purpose-built accelerator.</t>
        </is>
      </c>
    </row>
    <row r="87">
      <c r="A87" s="3" t="inlineStr">
        <is>
          <t>Microsoft</t>
        </is>
      </c>
      <c r="B87" s="3" t="n">
        <v>2029</v>
      </c>
      <c r="C87" s="3" t="inlineStr">
        <is>
          <t>Bear</t>
        </is>
      </c>
      <c r="D87" s="3" t="inlineStr">
        <is>
          <t>inference_power_share</t>
        </is>
      </c>
      <c r="E87" s="3" t="n">
        <v>0.605</v>
      </c>
      <c r="F87" s="3" t="inlineStr">
        <is>
          <t>share of AI IT load</t>
        </is>
      </c>
      <c r="G87" s="3" t="inlineStr">
        <is>
          <t>Scenario allocation</t>
        </is>
      </c>
      <c r="H87" s="3" t="inlineStr">
        <is>
          <t>inference_gw = ai_it_load_gw * inference_power_share</t>
        </is>
      </c>
      <c r="I87" s="3" t="inlineStr">
        <is>
          <t>Copilot commercial serving growth supports rising inference allocation; OpenAI model-owner output must remain separately attributed.</t>
        </is>
      </c>
      <c r="J87" s="3" t="inlineStr">
        <is>
          <t>SRC_MS_PHI; SRC_OPENAI_GPT41_DOCS; SRC_MS_PHI4_TECHREPORT; SRC_MS_MAIA200; SRC_EPOCH_AI_DATA_CENTERS; ASSUMP_INFERENCE_SHARE_NOT_FACT_60</t>
        </is>
      </c>
      <c r="K87" s="3" t="inlineStr">
        <is>
          <t>ASSUMP_POWER_RAMP; ASSUMP_MS_OPENAI_ATTRIBUTION; ASSUMP_NUMERIC_ACCELERATOR_MIX; ASSUMP_INFERENCE_SHARE_NOT_FACT_60; ASSUMP_WORKLOAD_CLASS_MIX; ASSUMP_AGENTIC_CONTEXT_PENALTY</t>
        </is>
      </c>
      <c r="L87" s="3" t="inlineStr">
        <is>
          <t>Provider-specific inference/training workload power telemetry.</t>
        </is>
      </c>
    </row>
    <row r="88">
      <c r="A88" s="3" t="inlineStr">
        <is>
          <t>Microsoft</t>
        </is>
      </c>
      <c r="B88" s="3" t="n">
        <v>2029</v>
      </c>
      <c r="C88" s="3" t="inlineStr">
        <is>
          <t>Bear</t>
        </is>
      </c>
      <c r="D88" s="3" t="inlineStr">
        <is>
          <t>inference_gw</t>
        </is>
      </c>
      <c r="E88" s="3" t="n">
        <v>1.857</v>
      </c>
      <c r="F88" s="3" t="inlineStr">
        <is>
          <t>GW</t>
        </is>
      </c>
      <c r="G88" s="3" t="inlineStr">
        <is>
          <t>Derived formula</t>
        </is>
      </c>
      <c r="H88" s="3" t="inlineStr">
        <is>
          <t>ai_it_load_gw * inference_power_share</t>
        </is>
      </c>
      <c r="I88" s="3" t="inlineStr">
        <is>
          <t>This is the operational power eligible to become commercial generated output tokens through the selected TPS/MW proxy.</t>
        </is>
      </c>
      <c r="J88" s="3" t="inlineStr">
        <is>
          <t>SRC_MS_PHI; SRC_OPENAI_GPT41_DOCS; SRC_MS_PHI4_TECHREPORT; SRC_MS_MAIA200; SRC_EPOCH_AI_DATA_CENTERS</t>
        </is>
      </c>
      <c r="K88" s="3" t="inlineStr">
        <is>
          <t>ASSUMP_POWER_RAMP; ASSUMP_MS_OPENAI_ATTRIBUTION; ASSUMP_NUMERIC_ACCELERATOR_MIX; ASSUMP_INFERENCE_SHARE_NOT_FACT_60; ASSUMP_WORKLOAD_CLASS_MIX; ASSUMP_AGENTIC_CONTEXT_PENALTY</t>
        </is>
      </c>
      <c r="L88" s="3" t="inlineStr">
        <is>
          <t>Recompute after AI allocation or inference-share evidence changes.</t>
        </is>
      </c>
    </row>
    <row r="89">
      <c r="A89" s="3" t="inlineStr">
        <is>
          <t>Microsoft</t>
        </is>
      </c>
      <c r="B89" s="3" t="n">
        <v>2029</v>
      </c>
      <c r="C89" s="3" t="inlineStr">
        <is>
          <t>Bear</t>
        </is>
      </c>
      <c r="D89" s="3" t="inlineStr">
        <is>
          <t>training_power_share</t>
        </is>
      </c>
      <c r="E89" s="3" t="n">
        <v>0.395</v>
      </c>
      <c r="F89" s="3" t="inlineStr">
        <is>
          <t>share of AI IT load</t>
        </is>
      </c>
      <c r="G89" s="3" t="inlineStr">
        <is>
          <t>Derived allocation</t>
        </is>
      </c>
      <c r="H89" s="3" t="inlineStr">
        <is>
          <t>1 - inference_power_share</t>
        </is>
      </c>
      <c r="I89" s="3" t="inlineStr">
        <is>
          <t>Training receives the complementary modeled AI IT allocation; it is not a disclosed company workload split.</t>
        </is>
      </c>
      <c r="J89" s="3" t="inlineStr">
        <is>
          <t>SRC_MS_PHI; SRC_OPENAI_GPT41_DOCS; SRC_MS_PHI4_TECHREPORT; SRC_MS_MAIA200; SRC_EPOCH_AI_DATA_CENTERS; ASSUMP_INFERENCE_SHARE_NOT_FACT_60</t>
        </is>
      </c>
      <c r="K89" s="3" t="inlineStr">
        <is>
          <t>ASSUMP_POWER_RAMP; ASSUMP_MS_OPENAI_ATTRIBUTION; ASSUMP_NUMERIC_ACCELERATOR_MIX; ASSUMP_INFERENCE_SHARE_NOT_FACT_60; ASSUMP_WORKLOAD_CLASS_MIX; ASSUMP_AGENTIC_CONTEXT_PENALTY</t>
        </is>
      </c>
      <c r="L89" s="3" t="inlineStr">
        <is>
          <t>Provider-specific inference/training workload power telemetry.</t>
        </is>
      </c>
    </row>
    <row r="90">
      <c r="A90" s="3" t="inlineStr">
        <is>
          <t>Microsoft</t>
        </is>
      </c>
      <c r="B90" s="3" t="n">
        <v>2029</v>
      </c>
      <c r="C90" s="3" t="inlineStr">
        <is>
          <t>Bear</t>
        </is>
      </c>
      <c r="D90" s="3" t="inlineStr">
        <is>
          <t>training_gw</t>
        </is>
      </c>
      <c r="E90" s="3" t="n">
        <v>1.213</v>
      </c>
      <c r="F90" s="3" t="inlineStr">
        <is>
          <t>GW</t>
        </is>
      </c>
      <c r="G90" s="3" t="inlineStr">
        <is>
          <t>Derived formula</t>
        </is>
      </c>
      <c r="H90" s="3" t="inlineStr">
        <is>
          <t>ai_it_load_gw * training_power_share</t>
        </is>
      </c>
      <c r="I90" s="3" t="inlineStr">
        <is>
          <t>Training GW is shown separately so commercial inference token capacity is not overstated.</t>
        </is>
      </c>
      <c r="J90" s="3" t="inlineStr">
        <is>
          <t>SRC_MS_PHI; SRC_OPENAI_GPT41_DOCS; SRC_MS_PHI4_TECHREPORT; SRC_MS_MAIA200; SRC_EPOCH_AI_DATA_CENTERS</t>
        </is>
      </c>
      <c r="K90" s="3" t="inlineStr">
        <is>
          <t>ASSUMP_POWER_RAMP; ASSUMP_MS_OPENAI_ATTRIBUTION; ASSUMP_NUMERIC_ACCELERATOR_MIX; ASSUMP_INFERENCE_SHARE_NOT_FACT_60; ASSUMP_WORKLOAD_CLASS_MIX; ASSUMP_AGENTIC_CONTEXT_PENALTY</t>
        </is>
      </c>
      <c r="L90" s="3" t="inlineStr">
        <is>
          <t>Recompute after AI allocation or workload-split evidence changes.</t>
        </is>
      </c>
    </row>
    <row r="91">
      <c r="A91" s="3" t="inlineStr">
        <is>
          <t>Microsoft</t>
        </is>
      </c>
      <c r="B91" s="3" t="n">
        <v>2029</v>
      </c>
      <c r="C91" s="3" t="inlineStr">
        <is>
          <t>Bear</t>
        </is>
      </c>
      <c r="D91" s="3" t="inlineStr">
        <is>
          <t>tokens_per_second_per_mw</t>
        </is>
      </c>
      <c r="E91" s="3" t="n">
        <v>1142720</v>
      </c>
      <c r="F91" s="3" t="inlineStr">
        <is>
          <t>generated output tokens/sec/MW</t>
        </is>
      </c>
      <c r="G91" s="3" t="inlineStr">
        <is>
          <t>Derived estimate + benchmark calibration</t>
        </is>
      </c>
      <c r="H91" s="3" t="inlineStr">
        <is>
          <t>fleet_reference_tps_per_mw * commercial_workload_fit_factor</t>
        </is>
      </c>
      <c r="I9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91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91" s="3" t="inlineStr">
        <is>
          <t>ASSUMP_POWER_RAMP; ASSUMP_MS_OPENAI_ATTRIBUTION; ASSUMP_NUMERIC_ACCELERATOR_MIX; ASSUMP_INFERENCE_SHARE_NOT_FACT_60; ASSUMP_WORKLOAD_CLASS_MIX; ASSUMP_AGENTIC_CONTEXT_PENALTY</t>
        </is>
      </c>
      <c r="L91" s="3" t="inlineStr">
        <is>
          <t>Comparable production output-token throughput with model, hardware, precision, ISL/OSL and SLO matched.</t>
        </is>
      </c>
    </row>
    <row r="92">
      <c r="A92" s="3" t="inlineStr">
        <is>
          <t>Microsoft</t>
        </is>
      </c>
      <c r="B92" s="3" t="n">
        <v>2029</v>
      </c>
      <c r="C92" s="3" t="inlineStr">
        <is>
          <t>Bear</t>
        </is>
      </c>
      <c r="D92" s="3" t="inlineStr">
        <is>
          <t>inference_tokens_per_day</t>
        </is>
      </c>
      <c r="E92" s="3" t="n">
        <v>183343481856000</v>
      </c>
      <c r="F92" s="3" t="inlineStr">
        <is>
          <t>generated output tokens/day</t>
        </is>
      </c>
      <c r="G92" s="3" t="inlineStr">
        <is>
          <t>Derived headline metric</t>
        </is>
      </c>
      <c r="H92" s="3" t="inlineStr">
        <is>
          <t>inference_gw * 1000 * tokens_per_second_per_mw * 86,400</t>
        </is>
      </c>
      <c r="I92" s="3" t="inlineStr">
        <is>
          <t>Headline capacity uses no utilization, MoE, architecture or software-growth multiplier; it is not observed commercial output volume.</t>
        </is>
      </c>
      <c r="J92" s="3" t="inlineStr">
        <is>
          <t>SRC_MS_PHI; SRC_OPENAI_GPT41_DOCS; SRC_MS_PHI4_TECHREPORT; SRC_MS_MAIA200; SRC_EPOCH_AI_DATA_CENTERS; SRC_SEMIANALYSIS_INFERENCEX</t>
        </is>
      </c>
      <c r="K92" s="3" t="inlineStr">
        <is>
          <t>ASSUMP_POWER_RAMP; ASSUMP_MS_OPENAI_ATTRIBUTION; ASSUMP_NUMERIC_ACCELERATOR_MIX; ASSUMP_INFERENCE_SHARE_NOT_FACT_60; ASSUMP_WORKLOAD_CLASS_MIX; ASSUMP_AGENTIC_CONTEXT_PENALTY</t>
        </is>
      </c>
      <c r="L92" s="3" t="inlineStr">
        <is>
          <t>Provider-disclosed generated output token volume or calibrated capacity telemetry.</t>
        </is>
      </c>
    </row>
    <row r="93">
      <c r="A93" s="3" t="inlineStr">
        <is>
          <t>Microsoft</t>
        </is>
      </c>
      <c r="B93" s="3" t="n">
        <v>2029</v>
      </c>
      <c r="C93" s="3" t="inlineStr">
        <is>
          <t>Bear</t>
        </is>
      </c>
      <c r="D93" s="3" t="inlineStr">
        <is>
          <t>inference_tokens_per_year</t>
        </is>
      </c>
      <c r="E93" s="3" t="n">
        <v>6.692037087744e+16</v>
      </c>
      <c r="F93" s="3" t="inlineStr">
        <is>
          <t>generated output tokens/year</t>
        </is>
      </c>
      <c r="G93" s="3" t="inlineStr">
        <is>
          <t>Derived headline metric</t>
        </is>
      </c>
      <c r="H93" s="3" t="inlineStr">
        <is>
          <t>inference_tokens_per_day * 365</t>
        </is>
      </c>
      <c r="I93" s="3" t="inlineStr">
        <is>
          <t>Annualized version of generated output token capacity; it is not observed annual demand or billable volume.</t>
        </is>
      </c>
      <c r="J93" s="3" t="inlineStr">
        <is>
          <t>SRC_MS_PHI; SRC_OPENAI_GPT41_DOCS; SRC_MS_PHI4_TECHREPORT; SRC_MS_MAIA200; SRC_EPOCH_AI_DATA_CENTERS; SRC_SEMIANALYSIS_INFERENCEX</t>
        </is>
      </c>
      <c r="K93" s="3" t="inlineStr">
        <is>
          <t>ASSUMP_POWER_RAMP; ASSUMP_MS_OPENAI_ATTRIBUTION; ASSUMP_NUMERIC_ACCELERATOR_MIX; ASSUMP_INFERENCE_SHARE_NOT_FACT_60; ASSUMP_WORKLOAD_CLASS_MIX; ASSUMP_AGENTIC_CONTEXT_PENALTY</t>
        </is>
      </c>
      <c r="L93" s="3" t="inlineStr">
        <is>
          <t>Provider-disclosed annual generated-output volume or metered serving telemetry.</t>
        </is>
      </c>
    </row>
    <row r="94">
      <c r="A94" s="3" t="inlineStr">
        <is>
          <t>Microsoft</t>
        </is>
      </c>
      <c r="B94" s="3" t="n">
        <v>2030</v>
      </c>
      <c r="C94" s="3" t="inlineStr">
        <is>
          <t>Bear</t>
        </is>
      </c>
      <c r="D94" s="3" t="inlineStr">
        <is>
          <t>contracted_power_gw</t>
        </is>
      </c>
      <c r="E94" s="3" t="n">
        <v>9</v>
      </c>
      <c r="F94" s="3" t="inlineStr">
        <is>
          <t>GW</t>
        </is>
      </c>
      <c r="G94" s="3" t="inlineStr">
        <is>
          <t>Scenario capacity envelope</t>
        </is>
      </c>
      <c r="H94" s="3" t="inlineStr">
        <is>
          <t>linear interpolation between 2026 and 2030 company capacity endpoints</t>
        </is>
      </c>
      <c r="I94" s="3" t="inlineStr">
        <is>
          <t>Scenario envelope for Microsoft-controlled/Copilot serving burden; not an official contracted-GW disclosure.</t>
        </is>
      </c>
      <c r="J94" s="3" t="inlineStr">
        <is>
          <t>ASSUMP_POWER_RAMP; SRC_MS_MAIA200</t>
        </is>
      </c>
      <c r="K94" s="3" t="inlineStr">
        <is>
          <t>ASSUMP_POWER_RAMP; ASSUMP_MS_OPENAI_ATTRIBUTION; ASSUMP_NUMERIC_ACCELERATOR_MIX; ASSUMP_INFERENCE_SHARE_NOT_FACT_60; ASSUMP_WORKLOAD_CLASS_MIX; ASSUMP_AGENTIC_CONTEXT_PENALTY</t>
        </is>
      </c>
      <c r="L94" s="3" t="inlineStr">
        <is>
          <t>Company/site-level committed MW/GW, interconnect and contract disclosure.</t>
        </is>
      </c>
    </row>
    <row r="95">
      <c r="A95" s="3" t="inlineStr">
        <is>
          <t>Microsoft</t>
        </is>
      </c>
      <c r="B95" s="3" t="n">
        <v>2030</v>
      </c>
      <c r="C95" s="3" t="inlineStr">
        <is>
          <t>Bear</t>
        </is>
      </c>
      <c r="D95" s="3" t="inlineStr">
        <is>
          <t>operational_deployment_share</t>
        </is>
      </c>
      <c r="E95" s="3" t="n">
        <v>0.56488889</v>
      </c>
      <c r="F95" s="3" t="inlineStr">
        <is>
          <t>share</t>
        </is>
      </c>
      <c r="G95" s="3" t="inlineStr">
        <is>
          <t>Scenario conversion</t>
        </is>
      </c>
      <c r="H95" s="3" t="inlineStr">
        <is>
          <t>active_power_gw / contracted_power_gw</t>
        </is>
      </c>
      <c r="I95" s="3" t="inlineStr">
        <is>
          <t>This is the single explicit conversion from contracted/attributed capacity to operationally usable capacity.</t>
        </is>
      </c>
      <c r="J95" s="3" t="inlineStr">
        <is>
          <t>ASSUMP_POWER_RAMP; SRC_MS_MAIA200</t>
        </is>
      </c>
      <c r="K95" s="3" t="inlineStr">
        <is>
          <t>ASSUMP_POWER_RAMP; ASSUMP_MS_OPENAI_ATTRIBUTION; ASSUMP_NUMERIC_ACCELERATOR_MIX; ASSUMP_INFERENCE_SHARE_NOT_FACT_60; ASSUMP_WORKLOAD_CLASS_MIX; ASSUMP_AGENTIC_CONTEXT_PENALTY</t>
        </is>
      </c>
      <c r="L95" s="3" t="inlineStr">
        <is>
          <t>Energized operational capacity divided by contracted/attributed capacity.</t>
        </is>
      </c>
    </row>
    <row r="96">
      <c r="A96" s="3" t="inlineStr">
        <is>
          <t>Microsoft</t>
        </is>
      </c>
      <c r="B96" s="3" t="n">
        <v>2030</v>
      </c>
      <c r="C96" s="3" t="inlineStr">
        <is>
          <t>Bear</t>
        </is>
      </c>
      <c r="D96" s="3" t="inlineStr">
        <is>
          <t>active_power_gw</t>
        </is>
      </c>
      <c r="E96" s="3" t="n">
        <v>5.084</v>
      </c>
      <c r="F96" s="3" t="inlineStr">
        <is>
          <t>GW</t>
        </is>
      </c>
      <c r="G96" s="3" t="inlineStr">
        <is>
          <t>Derived scenario</t>
        </is>
      </c>
      <c r="H96" s="3" t="inlineStr">
        <is>
          <t>contracted_power_gw * operational_deployment_share</t>
        </is>
      </c>
      <c r="I96" s="3" t="inlineStr">
        <is>
          <t>Active GW is a staged operational deployment fraction of modeled capacity, reflecting site energization and accelerator availability.</t>
        </is>
      </c>
      <c r="J96" s="3" t="inlineStr">
        <is>
          <t>ASSUMP_POWER_RAMP; SRC_MS_MAIA200</t>
        </is>
      </c>
      <c r="K96" s="3" t="inlineStr">
        <is>
          <t>ASSUMP_POWER_RAMP; ASSUMP_MS_OPENAI_ATTRIBUTION; ASSUMP_NUMERIC_ACCELERATOR_MIX; ASSUMP_INFERENCE_SHARE_NOT_FACT_60; ASSUMP_WORKLOAD_CLASS_MIX; ASSUMP_AGENTIC_CONTEXT_PENALTY</t>
        </is>
      </c>
      <c r="L96" s="3" t="inlineStr">
        <is>
          <t>Energization dates, accelerator deliveries and operational powered-rack telemetry.</t>
        </is>
      </c>
    </row>
    <row r="97">
      <c r="A97" s="3" t="inlineStr">
        <is>
          <t>Microsoft</t>
        </is>
      </c>
      <c r="B97" s="3" t="n">
        <v>2030</v>
      </c>
      <c r="C97" s="3" t="inlineStr">
        <is>
          <t>Bear</t>
        </is>
      </c>
      <c r="D97" s="3" t="inlineStr">
        <is>
          <t>pue</t>
        </is>
      </c>
      <c r="E97" s="3" t="n">
        <v>1.2</v>
      </c>
      <c r="F97" s="3" t="inlineStr">
        <is>
          <t>ratio</t>
        </is>
      </c>
      <c r="G97" s="3" t="inlineStr">
        <is>
          <t>Scenario parameter</t>
        </is>
      </c>
      <c r="H97" s="3" t="inlineStr">
        <is>
          <t>it_load_gw = active_power_gw / pue</t>
        </is>
      </c>
      <c r="I97" s="3" t="inlineStr">
        <is>
          <t>No provider-wide site-level PUE is used as a disclosed fact; PUE represents facility-to-IT conversion within the scenario.</t>
        </is>
      </c>
      <c r="J97" s="3" t="inlineStr">
        <is>
          <t>ASSUMP_POWER_RAMP</t>
        </is>
      </c>
      <c r="K97" s="3" t="inlineStr">
        <is>
          <t>ASSUMP_POWER_RAMP; ASSUMP_MS_OPENAI_ATTRIBUTION; ASSUMP_NUMERIC_ACCELERATOR_MIX; ASSUMP_INFERENCE_SHARE_NOT_FACT_60; ASSUMP_WORKLOAD_CLASS_MIX; ASSUMP_AGENTIC_CONTEXT_PENALTY</t>
        </is>
      </c>
      <c r="L97" s="3" t="inlineStr">
        <is>
          <t>Site-level measured PUE matched to attributed AI capacity.</t>
        </is>
      </c>
    </row>
    <row r="98">
      <c r="A98" s="3" t="inlineStr">
        <is>
          <t>Microsoft</t>
        </is>
      </c>
      <c r="B98" s="3" t="n">
        <v>2030</v>
      </c>
      <c r="C98" s="3" t="inlineStr">
        <is>
          <t>Bear</t>
        </is>
      </c>
      <c r="D98" s="3" t="inlineStr">
        <is>
          <t>it_load_gw</t>
        </is>
      </c>
      <c r="E98" s="3" t="n">
        <v>4.237</v>
      </c>
      <c r="F98" s="3" t="inlineStr">
        <is>
          <t>GW</t>
        </is>
      </c>
      <c r="G98" s="3" t="inlineStr">
        <is>
          <t>Derived formula</t>
        </is>
      </c>
      <c r="H98" s="3" t="inlineStr">
        <is>
          <t>active_power_gw / pue</t>
        </is>
      </c>
      <c r="I98" s="3" t="inlineStr">
        <is>
          <t>Facility power is converted to IT-deliverable power before attributing AI workloads.</t>
        </is>
      </c>
      <c r="J98" s="3" t="inlineStr">
        <is>
          <t>ASSUMP_POWER_RAMP; SRC_MS_MAIA200</t>
        </is>
      </c>
      <c r="K98" s="3" t="inlineStr">
        <is>
          <t>ASSUMP_POWER_RAMP; ASSUMP_MS_OPENAI_ATTRIBUTION; ASSUMP_NUMERIC_ACCELERATOR_MIX; ASSUMP_INFERENCE_SHARE_NOT_FACT_60; ASSUMP_WORKLOAD_CLASS_MIX; ASSUMP_AGENTIC_CONTEXT_PENALTY</t>
        </is>
      </c>
      <c r="L98" s="3" t="inlineStr">
        <is>
          <t>Recompute once active power and PUE become site-observable.</t>
        </is>
      </c>
    </row>
    <row r="99">
      <c r="A99" s="3" t="inlineStr">
        <is>
          <t>Microsoft</t>
        </is>
      </c>
      <c r="B99" s="3" t="n">
        <v>2030</v>
      </c>
      <c r="C99" s="3" t="inlineStr">
        <is>
          <t>Bear</t>
        </is>
      </c>
      <c r="D99" s="3" t="inlineStr">
        <is>
          <t>ai_workload_share</t>
        </is>
      </c>
      <c r="E99" s="3" t="n">
        <v>0.86</v>
      </c>
      <c r="F99" s="3" t="inlineStr">
        <is>
          <t>share</t>
        </is>
      </c>
      <c r="G99" s="3" t="inlineStr">
        <is>
          <t>Scenario allocation</t>
        </is>
      </c>
      <c r="H99" s="3" t="inlineStr">
        <is>
          <t>ai_it_load_gw = it_load_gw * ai_workload_share</t>
        </is>
      </c>
      <c r="I99" s="3" t="inlineStr">
        <is>
          <t>Azure/Copilot serving burden is AI-oriented but shares infrastructure with platform and reserve overhead; 86% is a scenario allocation.</t>
        </is>
      </c>
      <c r="J99" s="3" t="inlineStr">
        <is>
          <t>SRC_MS_PHI; SRC_OPENAI_GPT41_DOCS; SRC_MS_PHI4_TECHREPORT; SRC_MS_MAIA200; SRC_EPOCH_AI_DATA_CENTERS</t>
        </is>
      </c>
      <c r="K99" s="3" t="inlineStr">
        <is>
          <t>ASSUMP_POWER_RAMP; ASSUMP_MS_OPENAI_ATTRIBUTION; ASSUMP_NUMERIC_ACCELERATOR_MIX; ASSUMP_INFERENCE_SHARE_NOT_FACT_60; ASSUMP_WORKLOAD_CLASS_MIX; ASSUMP_AGENTIC_CONTEXT_PENALTY</t>
        </is>
      </c>
      <c r="L99" s="3" t="inlineStr">
        <is>
          <t>Model-owner AI workload allocation or cluster scheduling telemetry.</t>
        </is>
      </c>
    </row>
    <row r="100">
      <c r="A100" s="3" t="inlineStr">
        <is>
          <t>Microsoft</t>
        </is>
      </c>
      <c r="B100" s="3" t="n">
        <v>2030</v>
      </c>
      <c r="C100" s="3" t="inlineStr">
        <is>
          <t>Bear</t>
        </is>
      </c>
      <c r="D100" s="3" t="inlineStr">
        <is>
          <t>ai_it_load_gw</t>
        </is>
      </c>
      <c r="E100" s="3" t="n">
        <v>3.644</v>
      </c>
      <c r="F100" s="3" t="inlineStr">
        <is>
          <t>GW</t>
        </is>
      </c>
      <c r="G100" s="3" t="inlineStr">
        <is>
          <t>Derived formula</t>
        </is>
      </c>
      <c r="H100" s="3" t="inlineStr">
        <is>
          <t>it_load_gw * ai_workload_share</t>
        </is>
      </c>
      <c r="I100" s="3" t="inlineStr">
        <is>
          <t>Only the AI-attributed portion of IT load enters training/inference allocation.</t>
        </is>
      </c>
      <c r="J100" s="3" t="inlineStr">
        <is>
          <t>SRC_MS_PHI; SRC_OPENAI_GPT41_DOCS; SRC_MS_PHI4_TECHREPORT; SRC_MS_MAIA200; SRC_EPOCH_AI_DATA_CENTERS</t>
        </is>
      </c>
      <c r="K100" s="3" t="inlineStr">
        <is>
          <t>ASSUMP_POWER_RAMP; ASSUMP_MS_OPENAI_ATTRIBUTION; ASSUMP_NUMERIC_ACCELERATOR_MIX; ASSUMP_INFERENCE_SHARE_NOT_FACT_60; ASSUMP_WORKLOAD_CLASS_MIX; ASSUMP_AGENTIC_CONTEXT_PENALTY</t>
        </is>
      </c>
      <c r="L100" s="3" t="inlineStr">
        <is>
          <t>Recompute after ai_workload_share is replaced by telemetry.</t>
        </is>
      </c>
    </row>
    <row r="101">
      <c r="A101" s="3" t="inlineStr">
        <is>
          <t>Microsoft</t>
        </is>
      </c>
      <c r="B101" s="3" t="n">
        <v>2030</v>
      </c>
      <c r="C101" s="3" t="inlineStr">
        <is>
          <t>Bear</t>
        </is>
      </c>
      <c r="D101" s="3" t="inlineStr">
        <is>
          <t>gpu_share</t>
        </is>
      </c>
      <c r="E101" s="3" t="n">
        <v>0.726329</v>
      </c>
      <c r="F101" s="3" t="inlineStr">
        <is>
          <t>share of inference-serving accelerator load</t>
        </is>
      </c>
      <c r="G101" s="3" t="inlineStr">
        <is>
          <t>Numeric scenario</t>
        </is>
      </c>
      <c r="H101" s="3" t="inlineStr">
        <is>
          <t>gpu_share interpolated from company 2026/2030 accelerator-mix endpoints</t>
        </is>
      </c>
      <c r="I101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1" s="3" t="inlineStr">
        <is>
          <t>SRC_MS_PHI; SRC_OPENAI_GPT41_DOCS; SRC_MS_PHI4_TECHREPORT; SRC_MS_MAIA200; SRC_EPOCH_AI_DATA_CENTERS; ASSUMP_NUMERIC_ACCELERATOR_MIX</t>
        </is>
      </c>
      <c r="K101" s="3" t="inlineStr">
        <is>
          <t>ASSUMP_POWER_RAMP; ASSUMP_MS_OPENAI_ATTRIBUTION; ASSUMP_NUMERIC_ACCELERATOR_MIX; ASSUMP_INFERENCE_SHARE_NOT_FACT_60; ASSUMP_WORKLOAD_CLASS_MIX; ASSUMP_AGENTIC_CONTEXT_PENALTY</t>
        </is>
      </c>
      <c r="L101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2">
      <c r="A102" s="3" t="inlineStr">
        <is>
          <t>Microsoft</t>
        </is>
      </c>
      <c r="B102" s="3" t="n">
        <v>2030</v>
      </c>
      <c r="C102" s="3" t="inlineStr">
        <is>
          <t>Bear</t>
        </is>
      </c>
      <c r="D102" s="3" t="inlineStr">
        <is>
          <t>h200_share</t>
        </is>
      </c>
      <c r="E102" s="3" t="n">
        <v>0.020598</v>
      </c>
      <c r="F102" s="3" t="inlineStr">
        <is>
          <t>share of inference-serving accelerator load</t>
        </is>
      </c>
      <c r="G102" s="3" t="inlineStr">
        <is>
          <t>Editable numeric scenario</t>
        </is>
      </c>
      <c r="H102" s="3" t="inlineStr">
        <is>
          <t>h200_share = gpu_share * default_gpu_generation_mix_h200</t>
        </is>
      </c>
      <c r="I102" s="3" t="inlineStr">
        <is>
          <t>Default GPU-generation migration assumption; executive workbook allows later manual replacement by company/year/scenario.</t>
        </is>
      </c>
      <c r="J102" s="3" t="inlineStr">
        <is>
          <t>SRC_SEMIANALYSIS_INFERENCEX; ASSUMP_NUMERIC_ACCELERATOR_MIX</t>
        </is>
      </c>
      <c r="K102" s="3" t="inlineStr">
        <is>
          <t>ASSUMP_POWER_RAMP; ASSUMP_MS_OPENAI_ATTRIBUTION; ASSUMP_NUMERIC_ACCELERATOR_MIX; ASSUMP_INFERENCE_SHARE_NOT_FACT_60; ASSUMP_WORKLOAD_CLASS_MIX; ASSUMP_AGENTIC_CONTEXT_PENALTY</t>
        </is>
      </c>
      <c r="L102" s="3" t="inlineStr">
        <is>
          <t>Company fleet inventory, accelerator-hours or procurement/deployment records by GPU generation.</t>
        </is>
      </c>
    </row>
    <row r="103">
      <c r="A103" s="3" t="inlineStr">
        <is>
          <t>Microsoft</t>
        </is>
      </c>
      <c r="B103" s="3" t="n">
        <v>2030</v>
      </c>
      <c r="C103" s="3" t="inlineStr">
        <is>
          <t>Bear</t>
        </is>
      </c>
      <c r="D103" s="3" t="inlineStr">
        <is>
          <t>b200_share</t>
        </is>
      </c>
      <c r="E103" s="3" t="n">
        <v>0.705731</v>
      </c>
      <c r="F103" s="3" t="inlineStr">
        <is>
          <t>share of inference-serving accelerator load</t>
        </is>
      </c>
      <c r="G103" s="3" t="inlineStr">
        <is>
          <t>Editable numeric scenario</t>
        </is>
      </c>
      <c r="H103" s="3" t="inlineStr">
        <is>
          <t>b200_share = gpu_share * default_gpu_generation_mix_b200</t>
        </is>
      </c>
      <c r="I103" s="3" t="inlineStr">
        <is>
          <t>Default GPU-generation migration assumption; executive workbook allows later manual replacement by company/year/scenario.</t>
        </is>
      </c>
      <c r="J103" s="3" t="inlineStr">
        <is>
          <t>SRC_SEMIANALYSIS_INFERENCEX; ASSUMP_NUMERIC_ACCELERATOR_MIX</t>
        </is>
      </c>
      <c r="K103" s="3" t="inlineStr">
        <is>
          <t>ASSUMP_POWER_RAMP; ASSUMP_MS_OPENAI_ATTRIBUTION; ASSUMP_NUMERIC_ACCELERATOR_MIX; ASSUMP_INFERENCE_SHARE_NOT_FACT_60; ASSUMP_WORKLOAD_CLASS_MIX; ASSUMP_AGENTIC_CONTEXT_PENALTY</t>
        </is>
      </c>
      <c r="L103" s="3" t="inlineStr">
        <is>
          <t>Company fleet inventory, accelerator-hours or procurement/deployment records by GPU generation.</t>
        </is>
      </c>
    </row>
    <row r="104">
      <c r="A104" s="3" t="inlineStr">
        <is>
          <t>Microsoft</t>
        </is>
      </c>
      <c r="B104" s="3" t="n">
        <v>2030</v>
      </c>
      <c r="C104" s="3" t="inlineStr">
        <is>
          <t>Bear</t>
        </is>
      </c>
      <c r="D104" s="3" t="inlineStr">
        <is>
          <t>gb200_share</t>
        </is>
      </c>
      <c r="E104" s="3" t="n">
        <v>0</v>
      </c>
      <c r="F104" s="3" t="inlineStr">
        <is>
          <t>share of inference-serving accelerator load</t>
        </is>
      </c>
      <c r="G104" s="3" t="inlineStr">
        <is>
          <t>Editable numeric scenario</t>
        </is>
      </c>
      <c r="H104" s="3" t="inlineStr">
        <is>
          <t>gb200_share = gpu_share * default_gpu_generation_mix_gb200</t>
        </is>
      </c>
      <c r="I104" s="3" t="inlineStr">
        <is>
          <t>Default GPU-generation migration assumption; executive workbook allows later manual replacement by company/year/scenario.</t>
        </is>
      </c>
      <c r="J104" s="3" t="inlineStr">
        <is>
          <t>SRC_SEMIANALYSIS_INFERENCEX; ASSUMP_NUMERIC_ACCELERATOR_MIX</t>
        </is>
      </c>
      <c r="K104" s="3" t="inlineStr">
        <is>
          <t>ASSUMP_POWER_RAMP; ASSUMP_MS_OPENAI_ATTRIBUTION; ASSUMP_NUMERIC_ACCELERATOR_MIX; ASSUMP_INFERENCE_SHARE_NOT_FACT_60; ASSUMP_WORKLOAD_CLASS_MIX; ASSUMP_AGENTIC_CONTEXT_PENALTY</t>
        </is>
      </c>
      <c r="L104" s="3" t="inlineStr">
        <is>
          <t>Company fleet inventory, accelerator-hours or procurement/deployment records by GPU generation.</t>
        </is>
      </c>
    </row>
    <row r="105">
      <c r="A105" s="3" t="inlineStr">
        <is>
          <t>Microsoft</t>
        </is>
      </c>
      <c r="B105" s="3" t="n">
        <v>2030</v>
      </c>
      <c r="C105" s="3" t="inlineStr">
        <is>
          <t>Bear</t>
        </is>
      </c>
      <c r="D105" s="3" t="inlineStr">
        <is>
          <t>purpose_built_accelerator_share</t>
        </is>
      </c>
      <c r="E105" s="3" t="n">
        <v>0.273671</v>
      </c>
      <c r="F105" s="3" t="inlineStr">
        <is>
          <t>share of inference-serving accelerator load</t>
        </is>
      </c>
      <c r="G105" s="3" t="inlineStr">
        <is>
          <t>Numeric scenario</t>
        </is>
      </c>
      <c r="H105" s="3" t="inlineStr">
        <is>
          <t>1 - gpu_share</t>
        </is>
      </c>
      <c r="I105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5" s="3" t="inlineStr">
        <is>
          <t>SRC_MS_PHI; SRC_OPENAI_GPT41_DOCS; SRC_MS_PHI4_TECHREPORT; SRC_MS_MAIA200; SRC_EPOCH_AI_DATA_CENTERS; ASSUMP_NUMERIC_ACCELERATOR_MIX</t>
        </is>
      </c>
      <c r="K105" s="3" t="inlineStr">
        <is>
          <t>ASSUMP_POWER_RAMP; ASSUMP_MS_OPENAI_ATTRIBUTION; ASSUMP_NUMERIC_ACCELERATOR_MIX; ASSUMP_INFERENCE_SHARE_NOT_FACT_60; ASSUMP_WORKLOAD_CLASS_MIX; ASSUMP_AGENTIC_CONTEXT_PENALTY</t>
        </is>
      </c>
      <c r="L105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6">
      <c r="A106" s="3" t="inlineStr">
        <is>
          <t>Microsoft</t>
        </is>
      </c>
      <c r="B106" s="3" t="n">
        <v>2030</v>
      </c>
      <c r="C106" s="3" t="inlineStr">
        <is>
          <t>Bear</t>
        </is>
      </c>
      <c r="D106" s="3" t="inlineStr">
        <is>
          <t>fleet_reference_tps_per_mw</t>
        </is>
      </c>
      <c r="E106" s="3" t="n">
        <v>2856801</v>
      </c>
      <c r="F106" s="3" t="inlineStr">
        <is>
          <t>generated output tokens/sec/MW</t>
        </is>
      </c>
      <c r="G106" s="3" t="inlineStr">
        <is>
          <t>Fleet-weighted public benchmark reference</t>
        </is>
      </c>
      <c r="H106" s="3" t="inlineStr">
        <is>
          <t>h200_share*h200_workload_avg + b200_share*b200_workload_avg + gb200_share*gb200_workload_avg + purpose_built_share*purpose_workload_avg</t>
        </is>
      </c>
      <c r="I10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6" s="3" t="inlineStr">
        <is>
          <t>SRC_SEMIANALYSIS_INFERENCEX; ASSUMP_NUMERIC_ACCELERATOR_MIX; ASSUMP_WORKLOAD_CLASS_MIX; ASSUMP_AGENTIC_CONTEXT_PENALTY</t>
        </is>
      </c>
      <c r="K106" s="3" t="inlineStr">
        <is>
          <t>ASSUMP_POWER_RAMP; ASSUMP_MS_OPENAI_ATTRIBUTION; ASSUMP_NUMERIC_ACCELERATOR_MIX; ASSUMP_INFERENCE_SHARE_NOT_FACT_60; ASSUMP_WORKLOAD_CLASS_MIX; ASSUMP_AGENTIC_CONTEXT_PENALTY</t>
        </is>
      </c>
      <c r="L106" s="3" t="inlineStr">
        <is>
          <t>Comparable production output-token throughput or a more closely matched benchmark.</t>
        </is>
      </c>
    </row>
    <row r="107">
      <c r="A107" s="3" t="inlineStr">
        <is>
          <t>Microsoft</t>
        </is>
      </c>
      <c r="B107" s="3" t="n">
        <v>2030</v>
      </c>
      <c r="C107" s="3" t="inlineStr">
        <is>
          <t>Bear</t>
        </is>
      </c>
      <c r="D107" s="3" t="inlineStr">
        <is>
          <t>commercial_workload_fit_factor</t>
        </is>
      </c>
      <c r="E107" s="3" t="n">
        <v>0.4</v>
      </c>
      <c r="F107" s="3" t="inlineStr">
        <is>
          <t>share of public reference throughput</t>
        </is>
      </c>
      <c r="G107" s="3" t="inlineStr">
        <is>
          <t>Scenario assumption</t>
        </is>
      </c>
      <c r="H107" s="3" t="inlineStr">
        <is>
          <t>reference_serving_tps_per_mw = fleet_reference_tps_per_mw * commercial_workload_fit_factor</t>
        </is>
      </c>
      <c r="I10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" s="3" t="inlineStr">
        <is>
          <t>SRC_SEMIANALYSIS_INFERENCEX; ASSUMP_NUMERIC_ACCELERATOR_MIX; ASSUMP_WORKLOAD_CLASS_MIX; ASSUMP_AGENTIC_CONTEXT_PENALTY</t>
        </is>
      </c>
      <c r="K107" s="3" t="inlineStr">
        <is>
          <t>ASSUMP_POWER_RAMP; ASSUMP_MS_OPENAI_ATTRIBUTION; ASSUMP_NUMERIC_ACCELERATOR_MIX; ASSUMP_INFERENCE_SHARE_NOT_FACT_60; ASSUMP_WORKLOAD_CLASS_MIX; ASSUMP_AGENTIC_CONTEXT_PENALTY</t>
        </is>
      </c>
      <c r="L107" s="3" t="inlineStr">
        <is>
          <t>Matched commercial serving benchmark by product surface, context shape and latency SLO.</t>
        </is>
      </c>
    </row>
    <row r="108">
      <c r="A108" s="3" t="inlineStr">
        <is>
          <t>Microsoft</t>
        </is>
      </c>
      <c r="B108" s="3" t="n">
        <v>2030</v>
      </c>
      <c r="C108" s="3" t="inlineStr">
        <is>
          <t>Bear</t>
        </is>
      </c>
      <c r="D108" s="3" t="inlineStr">
        <is>
          <t>reference_serving_tps_per_mw</t>
        </is>
      </c>
      <c r="E108" s="3" t="n">
        <v>1142720</v>
      </c>
      <c r="F108" s="3" t="inlineStr">
        <is>
          <t>generated output tokens/sec/MW</t>
        </is>
      </c>
      <c r="G108" s="3" t="inlineStr">
        <is>
          <t>Workload-adjusted benchmark proxy</t>
        </is>
      </c>
      <c r="H108" s="3" t="inlineStr">
        <is>
          <t>fleet_reference_tps_per_mw * commercial_workload_fit_factor</t>
        </is>
      </c>
      <c r="I108" s="3" t="inlineStr">
        <is>
          <t>This is the coefficient used for headline token generation; each GPU's short chat, long chat and agentic TPS/MW are weighted before fleet mix and commercial fit are applied.</t>
        </is>
      </c>
      <c r="J108" s="3" t="inlineStr">
        <is>
          <t>SRC_SEMIANALYSIS_INFERENCEX; ASSUMP_NUMERIC_ACCELERATOR_MIX; ASSUMP_WORKLOAD_CLASS_MIX; ASSUMP_AGENTIC_CONTEXT_PENALTY</t>
        </is>
      </c>
      <c r="K108" s="3" t="inlineStr">
        <is>
          <t>ASSUMP_POWER_RAMP; ASSUMP_MS_OPENAI_ATTRIBUTION; ASSUMP_NUMERIC_ACCELERATOR_MIX; ASSUMP_INFERENCE_SHARE_NOT_FACT_60; ASSUMP_WORKLOAD_CLASS_MIX; ASSUMP_AGENTIC_CONTEXT_PENALTY</t>
        </is>
      </c>
      <c r="L108" s="3" t="inlineStr">
        <is>
          <t>Provider production output-token throughput with comparable workload/SLO.</t>
        </is>
      </c>
    </row>
    <row r="109">
      <c r="A109" s="3" t="inlineStr">
        <is>
          <t>Microsoft</t>
        </is>
      </c>
      <c r="B109" s="3" t="n">
        <v>2030</v>
      </c>
      <c r="C109" s="3" t="inlineStr">
        <is>
          <t>Bear</t>
        </is>
      </c>
      <c r="D109" s="3" t="inlineStr">
        <is>
          <t>purpose_built_tps_per_mw</t>
        </is>
      </c>
      <c r="E109" s="3" t="n">
        <v>1806787</v>
      </c>
      <c r="F109" s="3" t="inlineStr">
        <is>
          <t>generated output tokens/sec/MW</t>
        </is>
      </c>
      <c r="G109" s="3" t="inlineStr">
        <is>
          <t>Conservative no-uplift proxy</t>
        </is>
      </c>
      <c r="H109" s="3" t="inlineStr">
        <is>
          <t>purpose_built_tps_per_mw = purpose_built_reference_tps_per_mw * commercial_workload_fit_factor until comparable output-token benchmark is adopted</t>
        </is>
      </c>
      <c r="I109" s="3" t="inlineStr">
        <is>
          <t>No comparable public output-token/MW row adopted; B200 public reference placeholder is used and remains editable.</t>
        </is>
      </c>
      <c r="J109" s="3" t="inlineStr">
        <is>
          <t>SRC_MS_PHI; SRC_OPENAI_GPT41_DOCS; SRC_MS_PHI4_TECHREPORT; SRC_MS_MAIA200; SRC_EPOCH_AI_DATA_CENTERS; ASSUMP_NUMERIC_ACCELERATOR_MIX</t>
        </is>
      </c>
      <c r="K109" s="3" t="inlineStr">
        <is>
          <t>ASSUMP_POWER_RAMP; ASSUMP_MS_OPENAI_ATTRIBUTION; ASSUMP_NUMERIC_ACCELERATOR_MIX; ASSUMP_INFERENCE_SHARE_NOT_FACT_60; ASSUMP_WORKLOAD_CLASS_MIX; ASSUMP_AGENTIC_CONTEXT_PENALTY</t>
        </is>
      </c>
      <c r="L109" s="3" t="inlineStr">
        <is>
          <t>Matched-workload generated-output benchmark for the provider purpose-built accelerator.</t>
        </is>
      </c>
    </row>
    <row r="110">
      <c r="A110" s="3" t="inlineStr">
        <is>
          <t>Microsoft</t>
        </is>
      </c>
      <c r="B110" s="3" t="n">
        <v>2030</v>
      </c>
      <c r="C110" s="3" t="inlineStr">
        <is>
          <t>Bear</t>
        </is>
      </c>
      <c r="D110" s="3" t="inlineStr">
        <is>
          <t>inference_power_share</t>
        </is>
      </c>
      <c r="E110" s="3" t="n">
        <v>0.65</v>
      </c>
      <c r="F110" s="3" t="inlineStr">
        <is>
          <t>share of AI IT load</t>
        </is>
      </c>
      <c r="G110" s="3" t="inlineStr">
        <is>
          <t>Scenario allocation</t>
        </is>
      </c>
      <c r="H110" s="3" t="inlineStr">
        <is>
          <t>inference_gw = ai_it_load_gw * inference_power_share</t>
        </is>
      </c>
      <c r="I110" s="3" t="inlineStr">
        <is>
          <t>Copilot commercial serving growth supports rising inference allocation; OpenAI model-owner output must remain separately attributed.</t>
        </is>
      </c>
      <c r="J110" s="3" t="inlineStr">
        <is>
          <t>SRC_MS_PHI; SRC_OPENAI_GPT41_DOCS; SRC_MS_PHI4_TECHREPORT; SRC_MS_MAIA200; SRC_EPOCH_AI_DATA_CENTERS; ASSUMP_INFERENCE_SHARE_NOT_FACT_60</t>
        </is>
      </c>
      <c r="K110" s="3" t="inlineStr">
        <is>
          <t>ASSUMP_POWER_RAMP; ASSUMP_MS_OPENAI_ATTRIBUTION; ASSUMP_NUMERIC_ACCELERATOR_MIX; ASSUMP_INFERENCE_SHARE_NOT_FACT_60; ASSUMP_WORKLOAD_CLASS_MIX; ASSUMP_AGENTIC_CONTEXT_PENALTY</t>
        </is>
      </c>
      <c r="L110" s="3" t="inlineStr">
        <is>
          <t>Provider-specific inference/training workload power telemetry.</t>
        </is>
      </c>
    </row>
    <row r="111">
      <c r="A111" s="3" t="inlineStr">
        <is>
          <t>Microsoft</t>
        </is>
      </c>
      <c r="B111" s="3" t="n">
        <v>2030</v>
      </c>
      <c r="C111" s="3" t="inlineStr">
        <is>
          <t>Bear</t>
        </is>
      </c>
      <c r="D111" s="3" t="inlineStr">
        <is>
          <t>inference_gw</t>
        </is>
      </c>
      <c r="E111" s="3" t="n">
        <v>2.368</v>
      </c>
      <c r="F111" s="3" t="inlineStr">
        <is>
          <t>GW</t>
        </is>
      </c>
      <c r="G111" s="3" t="inlineStr">
        <is>
          <t>Derived formula</t>
        </is>
      </c>
      <c r="H111" s="3" t="inlineStr">
        <is>
          <t>ai_it_load_gw * inference_power_share</t>
        </is>
      </c>
      <c r="I111" s="3" t="inlineStr">
        <is>
          <t>This is the operational power eligible to become commercial generated output tokens through the selected TPS/MW proxy.</t>
        </is>
      </c>
      <c r="J111" s="3" t="inlineStr">
        <is>
          <t>SRC_MS_PHI; SRC_OPENAI_GPT41_DOCS; SRC_MS_PHI4_TECHREPORT; SRC_MS_MAIA200; SRC_EPOCH_AI_DATA_CENTERS</t>
        </is>
      </c>
      <c r="K111" s="3" t="inlineStr">
        <is>
          <t>ASSUMP_POWER_RAMP; ASSUMP_MS_OPENAI_ATTRIBUTION; ASSUMP_NUMERIC_ACCELERATOR_MIX; ASSUMP_INFERENCE_SHARE_NOT_FACT_60; ASSUMP_WORKLOAD_CLASS_MIX; ASSUMP_AGENTIC_CONTEXT_PENALTY</t>
        </is>
      </c>
      <c r="L111" s="3" t="inlineStr">
        <is>
          <t>Recompute after AI allocation or inference-share evidence changes.</t>
        </is>
      </c>
    </row>
    <row r="112">
      <c r="A112" s="3" t="inlineStr">
        <is>
          <t>Microsoft</t>
        </is>
      </c>
      <c r="B112" s="3" t="n">
        <v>2030</v>
      </c>
      <c r="C112" s="3" t="inlineStr">
        <is>
          <t>Bear</t>
        </is>
      </c>
      <c r="D112" s="3" t="inlineStr">
        <is>
          <t>training_power_share</t>
        </is>
      </c>
      <c r="E112" s="3" t="n">
        <v>0.35</v>
      </c>
      <c r="F112" s="3" t="inlineStr">
        <is>
          <t>share of AI IT load</t>
        </is>
      </c>
      <c r="G112" s="3" t="inlineStr">
        <is>
          <t>Derived allocation</t>
        </is>
      </c>
      <c r="H112" s="3" t="inlineStr">
        <is>
          <t>1 - inference_power_share</t>
        </is>
      </c>
      <c r="I112" s="3" t="inlineStr">
        <is>
          <t>Training receives the complementary modeled AI IT allocation; it is not a disclosed company workload split.</t>
        </is>
      </c>
      <c r="J112" s="3" t="inlineStr">
        <is>
          <t>SRC_MS_PHI; SRC_OPENAI_GPT41_DOCS; SRC_MS_PHI4_TECHREPORT; SRC_MS_MAIA200; SRC_EPOCH_AI_DATA_CENTERS; ASSUMP_INFERENCE_SHARE_NOT_FACT_60</t>
        </is>
      </c>
      <c r="K112" s="3" t="inlineStr">
        <is>
          <t>ASSUMP_POWER_RAMP; ASSUMP_MS_OPENAI_ATTRIBUTION; ASSUMP_NUMERIC_ACCELERATOR_MIX; ASSUMP_INFERENCE_SHARE_NOT_FACT_60; ASSUMP_WORKLOAD_CLASS_MIX; ASSUMP_AGENTIC_CONTEXT_PENALTY</t>
        </is>
      </c>
      <c r="L112" s="3" t="inlineStr">
        <is>
          <t>Provider-specific inference/training workload power telemetry.</t>
        </is>
      </c>
    </row>
    <row r="113">
      <c r="A113" s="3" t="inlineStr">
        <is>
          <t>Microsoft</t>
        </is>
      </c>
      <c r="B113" s="3" t="n">
        <v>2030</v>
      </c>
      <c r="C113" s="3" t="inlineStr">
        <is>
          <t>Bear</t>
        </is>
      </c>
      <c r="D113" s="3" t="inlineStr">
        <is>
          <t>training_gw</t>
        </is>
      </c>
      <c r="E113" s="3" t="n">
        <v>1.275</v>
      </c>
      <c r="F113" s="3" t="inlineStr">
        <is>
          <t>GW</t>
        </is>
      </c>
      <c r="G113" s="3" t="inlineStr">
        <is>
          <t>Derived formula</t>
        </is>
      </c>
      <c r="H113" s="3" t="inlineStr">
        <is>
          <t>ai_it_load_gw * training_power_share</t>
        </is>
      </c>
      <c r="I113" s="3" t="inlineStr">
        <is>
          <t>Training GW is shown separately so commercial inference token capacity is not overstated.</t>
        </is>
      </c>
      <c r="J113" s="3" t="inlineStr">
        <is>
          <t>SRC_MS_PHI; SRC_OPENAI_GPT41_DOCS; SRC_MS_PHI4_TECHREPORT; SRC_MS_MAIA200; SRC_EPOCH_AI_DATA_CENTERS</t>
        </is>
      </c>
      <c r="K113" s="3" t="inlineStr">
        <is>
          <t>ASSUMP_POWER_RAMP; ASSUMP_MS_OPENAI_ATTRIBUTION; ASSUMP_NUMERIC_ACCELERATOR_MIX; ASSUMP_INFERENCE_SHARE_NOT_FACT_60; ASSUMP_WORKLOAD_CLASS_MIX; ASSUMP_AGENTIC_CONTEXT_PENALTY</t>
        </is>
      </c>
      <c r="L113" s="3" t="inlineStr">
        <is>
          <t>Recompute after AI allocation or workload-split evidence changes.</t>
        </is>
      </c>
    </row>
    <row r="114">
      <c r="A114" s="3" t="inlineStr">
        <is>
          <t>Microsoft</t>
        </is>
      </c>
      <c r="B114" s="3" t="n">
        <v>2030</v>
      </c>
      <c r="C114" s="3" t="inlineStr">
        <is>
          <t>Bear</t>
        </is>
      </c>
      <c r="D114" s="3" t="inlineStr">
        <is>
          <t>tokens_per_second_per_mw</t>
        </is>
      </c>
      <c r="E114" s="3" t="n">
        <v>1142720</v>
      </c>
      <c r="F114" s="3" t="inlineStr">
        <is>
          <t>generated output tokens/sec/MW</t>
        </is>
      </c>
      <c r="G114" s="3" t="inlineStr">
        <is>
          <t>Derived estimate + benchmark calibration</t>
        </is>
      </c>
      <c r="H114" s="3" t="inlineStr">
        <is>
          <t>fleet_reference_tps_per_mw * commercial_workload_fit_factor</t>
        </is>
      </c>
      <c r="I11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4" s="3" t="inlineStr">
        <is>
          <t>ASSUMP_POWER_RAMP; ASSUMP_MS_OPENAI_ATTRIBUTION; ASSUMP_NUMERIC_ACCELERATOR_MIX; ASSUMP_INFERENCE_SHARE_NOT_FACT_60; ASSUMP_WORKLOAD_CLASS_MIX; ASSUMP_AGENTIC_CONTEXT_PENALTY</t>
        </is>
      </c>
      <c r="L114" s="3" t="inlineStr">
        <is>
          <t>Comparable production output-token throughput with model, hardware, precision, ISL/OSL and SLO matched.</t>
        </is>
      </c>
    </row>
    <row r="115">
      <c r="A115" s="3" t="inlineStr">
        <is>
          <t>Microsoft</t>
        </is>
      </c>
      <c r="B115" s="3" t="n">
        <v>2030</v>
      </c>
      <c r="C115" s="3" t="inlineStr">
        <is>
          <t>Bear</t>
        </is>
      </c>
      <c r="D115" s="3" t="inlineStr">
        <is>
          <t>inference_tokens_per_day</t>
        </is>
      </c>
      <c r="E115" s="3" t="n">
        <v>233795026944000</v>
      </c>
      <c r="F115" s="3" t="inlineStr">
        <is>
          <t>generated output tokens/day</t>
        </is>
      </c>
      <c r="G115" s="3" t="inlineStr">
        <is>
          <t>Derived headline metric</t>
        </is>
      </c>
      <c r="H115" s="3" t="inlineStr">
        <is>
          <t>inference_gw * 1000 * tokens_per_second_per_mw * 86,400</t>
        </is>
      </c>
      <c r="I115" s="3" t="inlineStr">
        <is>
          <t>Headline capacity uses no utilization, MoE, architecture or software-growth multiplier; it is not observed commercial output volume.</t>
        </is>
      </c>
      <c r="J115" s="3" t="inlineStr">
        <is>
          <t>SRC_MS_PHI; SRC_OPENAI_GPT41_DOCS; SRC_MS_PHI4_TECHREPORT; SRC_MS_MAIA200; SRC_EPOCH_AI_DATA_CENTERS; SRC_SEMIANALYSIS_INFERENCEX</t>
        </is>
      </c>
      <c r="K115" s="3" t="inlineStr">
        <is>
          <t>ASSUMP_POWER_RAMP; ASSUMP_MS_OPENAI_ATTRIBUTION; ASSUMP_NUMERIC_ACCELERATOR_MIX; ASSUMP_INFERENCE_SHARE_NOT_FACT_60; ASSUMP_WORKLOAD_CLASS_MIX; ASSUMP_AGENTIC_CONTEXT_PENALTY</t>
        </is>
      </c>
      <c r="L115" s="3" t="inlineStr">
        <is>
          <t>Provider-disclosed generated output token volume or calibrated capacity telemetry.</t>
        </is>
      </c>
    </row>
    <row r="116">
      <c r="A116" s="3" t="inlineStr">
        <is>
          <t>Microsoft</t>
        </is>
      </c>
      <c r="B116" s="3" t="n">
        <v>2030</v>
      </c>
      <c r="C116" s="3" t="inlineStr">
        <is>
          <t>Bear</t>
        </is>
      </c>
      <c r="D116" s="3" t="inlineStr">
        <is>
          <t>inference_tokens_per_year</t>
        </is>
      </c>
      <c r="E116" s="3" t="n">
        <v>8.533518483456e+16</v>
      </c>
      <c r="F116" s="3" t="inlineStr">
        <is>
          <t>generated output tokens/year</t>
        </is>
      </c>
      <c r="G116" s="3" t="inlineStr">
        <is>
          <t>Derived headline metric</t>
        </is>
      </c>
      <c r="H116" s="3" t="inlineStr">
        <is>
          <t>inference_tokens_per_day * 365</t>
        </is>
      </c>
      <c r="I116" s="3" t="inlineStr">
        <is>
          <t>Annualized version of generated output token capacity; it is not observed annual demand or billable volume.</t>
        </is>
      </c>
      <c r="J116" s="3" t="inlineStr">
        <is>
          <t>SRC_MS_PHI; SRC_OPENAI_GPT41_DOCS; SRC_MS_PHI4_TECHREPORT; SRC_MS_MAIA200; SRC_EPOCH_AI_DATA_CENTERS; SRC_SEMIANALYSIS_INFERENCEX</t>
        </is>
      </c>
      <c r="K116" s="3" t="inlineStr">
        <is>
          <t>ASSUMP_POWER_RAMP; ASSUMP_MS_OPENAI_ATTRIBUTION; ASSUMP_NUMERIC_ACCELERATOR_MIX; ASSUMP_INFERENCE_SHARE_NOT_FACT_60; ASSUMP_WORKLOAD_CLASS_MIX; ASSUMP_AGENTIC_CONTEXT_PENALTY</t>
        </is>
      </c>
      <c r="L116" s="3" t="inlineStr">
        <is>
          <t>Provider-disclosed annual generated-output volume or metered serving telemetry.</t>
        </is>
      </c>
    </row>
    <row r="117">
      <c r="A117" s="3" t="inlineStr">
        <is>
          <t>Google</t>
        </is>
      </c>
      <c r="B117" s="3" t="n">
        <v>2026</v>
      </c>
      <c r="C117" s="3" t="inlineStr">
        <is>
          <t>Bear</t>
        </is>
      </c>
      <c r="D117" s="3" t="inlineStr">
        <is>
          <t>contracted_power_gw</t>
        </is>
      </c>
      <c r="E117" s="3" t="n">
        <v>4.5</v>
      </c>
      <c r="F117" s="3" t="inlineStr">
        <is>
          <t>GW</t>
        </is>
      </c>
      <c r="G117" s="3" t="inlineStr">
        <is>
          <t>Scenario capacity envelope</t>
        </is>
      </c>
      <c r="H117" s="3" t="inlineStr">
        <is>
          <t>linear interpolation between 2026 and 2030 company capacity endpoints</t>
        </is>
      </c>
      <c r="I117" s="3" t="inlineStr">
        <is>
          <t>Scenario envelope for Gemini-serving capacity; official TPU hardware direction is disclosed, company-level contracted GW is not.</t>
        </is>
      </c>
      <c r="J117" s="3" t="inlineStr">
        <is>
          <t>ASSUMP_POWER_RAMP; SRC_GOOGLE_IRONWOOD; SRC_GOOGLE_TPU_V6E</t>
        </is>
      </c>
      <c r="K117" s="3" t="inlineStr">
        <is>
          <t>ASSUMP_TPU_EFFICIENCY; ASSUMP_POWER_RAMP; ASSUMP_NUMERIC_ACCELERATOR_MIX; ASSUMP_INFERENCE_SHARE_NOT_FACT_60; ASSUMP_WORKLOAD_CLASS_MIX; ASSUMP_AGENTIC_CONTEXT_PENALTY</t>
        </is>
      </c>
      <c r="L117" s="3" t="inlineStr">
        <is>
          <t>Company/site-level committed MW/GW, interconnect and contract disclosure.</t>
        </is>
      </c>
    </row>
    <row r="118">
      <c r="A118" s="3" t="inlineStr">
        <is>
          <t>Google</t>
        </is>
      </c>
      <c r="B118" s="3" t="n">
        <v>2026</v>
      </c>
      <c r="C118" s="3" t="inlineStr">
        <is>
          <t>Bear</t>
        </is>
      </c>
      <c r="D118" s="3" t="inlineStr">
        <is>
          <t>operational_deployment_share</t>
        </is>
      </c>
      <c r="E118" s="3" t="n">
        <v>0.44</v>
      </c>
      <c r="F118" s="3" t="inlineStr">
        <is>
          <t>share</t>
        </is>
      </c>
      <c r="G118" s="3" t="inlineStr">
        <is>
          <t>Scenario conversion</t>
        </is>
      </c>
      <c r="H118" s="3" t="inlineStr">
        <is>
          <t>active_power_gw / contracted_power_gw</t>
        </is>
      </c>
      <c r="I118" s="3" t="inlineStr">
        <is>
          <t>This is the single explicit conversion from contracted/attributed capacity to operationally usable capacity.</t>
        </is>
      </c>
      <c r="J118" s="3" t="inlineStr">
        <is>
          <t>ASSUMP_POWER_RAMP; SRC_GOOGLE_IRONWOOD; SRC_GOOGLE_TPU_V6E</t>
        </is>
      </c>
      <c r="K118" s="3" t="inlineStr">
        <is>
          <t>ASSUMP_TPU_EFFICIENCY; ASSUMP_POWER_RAMP; ASSUMP_NUMERIC_ACCELERATOR_MIX; ASSUMP_INFERENCE_SHARE_NOT_FACT_60; ASSUMP_WORKLOAD_CLASS_MIX; ASSUMP_AGENTIC_CONTEXT_PENALTY</t>
        </is>
      </c>
      <c r="L118" s="3" t="inlineStr">
        <is>
          <t>Energized operational capacity divided by contracted/attributed capacity.</t>
        </is>
      </c>
    </row>
    <row r="119">
      <c r="A119" s="3" t="inlineStr">
        <is>
          <t>Google</t>
        </is>
      </c>
      <c r="B119" s="3" t="n">
        <v>2026</v>
      </c>
      <c r="C119" s="3" t="inlineStr">
        <is>
          <t>Bear</t>
        </is>
      </c>
      <c r="D119" s="3" t="inlineStr">
        <is>
          <t>active_power_gw</t>
        </is>
      </c>
      <c r="E119" s="3" t="n">
        <v>1.98</v>
      </c>
      <c r="F119" s="3" t="inlineStr">
        <is>
          <t>GW</t>
        </is>
      </c>
      <c r="G119" s="3" t="inlineStr">
        <is>
          <t>Derived scenario</t>
        </is>
      </c>
      <c r="H119" s="3" t="inlineStr">
        <is>
          <t>contracted_power_gw * operational_deployment_share</t>
        </is>
      </c>
      <c r="I119" s="3" t="inlineStr">
        <is>
          <t>TPU generation availability supports ramp direction, while active GW remains a staged deployment estimate.</t>
        </is>
      </c>
      <c r="J119" s="3" t="inlineStr">
        <is>
          <t>ASSUMP_POWER_RAMP; SRC_GOOGLE_IRONWOOD; SRC_GOOGLE_TPU_V6E</t>
        </is>
      </c>
      <c r="K119" s="3" t="inlineStr">
        <is>
          <t>ASSUMP_TPU_EFFICIENCY; ASSUMP_POWER_RAMP; ASSUMP_NUMERIC_ACCELERATOR_MIX; ASSUMP_INFERENCE_SHARE_NOT_FACT_60; ASSUMP_WORKLOAD_CLASS_MIX; ASSUMP_AGENTIC_CONTEXT_PENALTY</t>
        </is>
      </c>
      <c r="L119" s="3" t="inlineStr">
        <is>
          <t>Energization dates, accelerator deliveries and operational powered-rack telemetry.</t>
        </is>
      </c>
    </row>
    <row r="120">
      <c r="A120" s="3" t="inlineStr">
        <is>
          <t>Google</t>
        </is>
      </c>
      <c r="B120" s="3" t="n">
        <v>2026</v>
      </c>
      <c r="C120" s="3" t="inlineStr">
        <is>
          <t>Bear</t>
        </is>
      </c>
      <c r="D120" s="3" t="inlineStr">
        <is>
          <t>pue</t>
        </is>
      </c>
      <c r="E120" s="3" t="n">
        <v>1.18</v>
      </c>
      <c r="F120" s="3" t="inlineStr">
        <is>
          <t>ratio</t>
        </is>
      </c>
      <c r="G120" s="3" t="inlineStr">
        <is>
          <t>Scenario parameter</t>
        </is>
      </c>
      <c r="H120" s="3" t="inlineStr">
        <is>
          <t>it_load_gw = active_power_gw / pue</t>
        </is>
      </c>
      <c r="I120" s="3" t="inlineStr">
        <is>
          <t>No provider-wide site-level PUE is used as a disclosed fact; PUE represents facility-to-IT conversion within the scenario.</t>
        </is>
      </c>
      <c r="J120" s="3" t="inlineStr">
        <is>
          <t>ASSUMP_POWER_RAMP</t>
        </is>
      </c>
      <c r="K120" s="3" t="inlineStr">
        <is>
          <t>ASSUMP_TPU_EFFICIENCY; ASSUMP_POWER_RAMP; ASSUMP_NUMERIC_ACCELERATOR_MIX; ASSUMP_INFERENCE_SHARE_NOT_FACT_60; ASSUMP_WORKLOAD_CLASS_MIX; ASSUMP_AGENTIC_CONTEXT_PENALTY</t>
        </is>
      </c>
      <c r="L120" s="3" t="inlineStr">
        <is>
          <t>Site-level measured PUE matched to attributed AI capacity.</t>
        </is>
      </c>
    </row>
    <row r="121">
      <c r="A121" s="3" t="inlineStr">
        <is>
          <t>Google</t>
        </is>
      </c>
      <c r="B121" s="3" t="n">
        <v>2026</v>
      </c>
      <c r="C121" s="3" t="inlineStr">
        <is>
          <t>Bear</t>
        </is>
      </c>
      <c r="D121" s="3" t="inlineStr">
        <is>
          <t>it_load_gw</t>
        </is>
      </c>
      <c r="E121" s="3" t="n">
        <v>1.678</v>
      </c>
      <c r="F121" s="3" t="inlineStr">
        <is>
          <t>GW</t>
        </is>
      </c>
      <c r="G121" s="3" t="inlineStr">
        <is>
          <t>Derived formula</t>
        </is>
      </c>
      <c r="H121" s="3" t="inlineStr">
        <is>
          <t>active_power_gw / pue</t>
        </is>
      </c>
      <c r="I121" s="3" t="inlineStr">
        <is>
          <t>Facility power is converted to IT-deliverable power before attributing AI workloads.</t>
        </is>
      </c>
      <c r="J121" s="3" t="inlineStr">
        <is>
          <t>ASSUMP_POWER_RAMP; SRC_GOOGLE_IRONWOOD; SRC_GOOGLE_TPU_V6E</t>
        </is>
      </c>
      <c r="K121" s="3" t="inlineStr">
        <is>
          <t>ASSUMP_TPU_EFFICIENCY; ASSUMP_POWER_RAMP; ASSUMP_NUMERIC_ACCELERATOR_MIX; ASSUMP_INFERENCE_SHARE_NOT_FACT_60; ASSUMP_WORKLOAD_CLASS_MIX; ASSUMP_AGENTIC_CONTEXT_PENALTY</t>
        </is>
      </c>
      <c r="L121" s="3" t="inlineStr">
        <is>
          <t>Recompute once active power and PUE become site-observable.</t>
        </is>
      </c>
    </row>
    <row r="122">
      <c r="A122" s="3" t="inlineStr">
        <is>
          <t>Google</t>
        </is>
      </c>
      <c r="B122" s="3" t="n">
        <v>2026</v>
      </c>
      <c r="C122" s="3" t="inlineStr">
        <is>
          <t>Bear</t>
        </is>
      </c>
      <c r="D122" s="3" t="inlineStr">
        <is>
          <t>ai_workload_share</t>
        </is>
      </c>
      <c r="E122" s="3" t="n">
        <v>0.88</v>
      </c>
      <c r="F122" s="3" t="inlineStr">
        <is>
          <t>share</t>
        </is>
      </c>
      <c r="G122" s="3" t="inlineStr">
        <is>
          <t>Scenario allocation</t>
        </is>
      </c>
      <c r="H122" s="3" t="inlineStr">
        <is>
          <t>ai_it_load_gw = it_load_gw * ai_workload_share</t>
        </is>
      </c>
      <c r="I122" s="3" t="inlineStr">
        <is>
          <t>Gemini/Vertex TPU serving is AI-dedicated in the modeled capacity envelope; 88% excludes platform/reserve load.</t>
        </is>
      </c>
      <c r="J122" s="3" t="inlineStr">
        <is>
          <t>SRC_GOOGLE_GEMINI_TOKENS; SRC_GOOGLE_IRONWOOD; SRC_GOOGLE_TPU_V6E; SRC_EPOCH_AI_DATA_CENTERS</t>
        </is>
      </c>
      <c r="K122" s="3" t="inlineStr">
        <is>
          <t>ASSUMP_TPU_EFFICIENCY; ASSUMP_POWER_RAMP; ASSUMP_NUMERIC_ACCELERATOR_MIX; ASSUMP_INFERENCE_SHARE_NOT_FACT_60; ASSUMP_WORKLOAD_CLASS_MIX; ASSUMP_AGENTIC_CONTEXT_PENALTY</t>
        </is>
      </c>
      <c r="L122" s="3" t="inlineStr">
        <is>
          <t>Model-owner AI workload allocation or cluster scheduling telemetry.</t>
        </is>
      </c>
    </row>
    <row r="123">
      <c r="A123" s="3" t="inlineStr">
        <is>
          <t>Google</t>
        </is>
      </c>
      <c r="B123" s="3" t="n">
        <v>2026</v>
      </c>
      <c r="C123" s="3" t="inlineStr">
        <is>
          <t>Bear</t>
        </is>
      </c>
      <c r="D123" s="3" t="inlineStr">
        <is>
          <t>ai_it_load_gw</t>
        </is>
      </c>
      <c r="E123" s="3" t="n">
        <v>1.477</v>
      </c>
      <c r="F123" s="3" t="inlineStr">
        <is>
          <t>GW</t>
        </is>
      </c>
      <c r="G123" s="3" t="inlineStr">
        <is>
          <t>Derived formula</t>
        </is>
      </c>
      <c r="H123" s="3" t="inlineStr">
        <is>
          <t>it_load_gw * ai_workload_share</t>
        </is>
      </c>
      <c r="I123" s="3" t="inlineStr">
        <is>
          <t>Only the AI-attributed portion of IT load enters training/inference allocation.</t>
        </is>
      </c>
      <c r="J123" s="3" t="inlineStr">
        <is>
          <t>SRC_GOOGLE_GEMINI_TOKENS; SRC_GOOGLE_IRONWOOD; SRC_GOOGLE_TPU_V6E; SRC_EPOCH_AI_DATA_CENTERS</t>
        </is>
      </c>
      <c r="K123" s="3" t="inlineStr">
        <is>
          <t>ASSUMP_TPU_EFFICIENCY; ASSUMP_POWER_RAMP; ASSUMP_NUMERIC_ACCELERATOR_MIX; ASSUMP_INFERENCE_SHARE_NOT_FACT_60; ASSUMP_WORKLOAD_CLASS_MIX; ASSUMP_AGENTIC_CONTEXT_PENALTY</t>
        </is>
      </c>
      <c r="L123" s="3" t="inlineStr">
        <is>
          <t>Recompute after ai_workload_share is replaced by telemetry.</t>
        </is>
      </c>
    </row>
    <row r="124">
      <c r="A124" s="3" t="inlineStr">
        <is>
          <t>Google</t>
        </is>
      </c>
      <c r="B124" s="3" t="n">
        <v>2026</v>
      </c>
      <c r="C124" s="3" t="inlineStr">
        <is>
          <t>Bear</t>
        </is>
      </c>
      <c r="D124" s="3" t="inlineStr">
        <is>
          <t>gpu_share</t>
        </is>
      </c>
      <c r="E124" s="3" t="n">
        <v>0</v>
      </c>
      <c r="F124" s="3" t="inlineStr">
        <is>
          <t>share of inference-serving accelerator load</t>
        </is>
      </c>
      <c r="G124" s="3" t="inlineStr">
        <is>
          <t>Numeric scenario</t>
        </is>
      </c>
      <c r="H124" s="3" t="inlineStr">
        <is>
          <t>gpu_share interpolated from company 2026/2030 accelerator-mix endpoints</t>
        </is>
      </c>
      <c r="I124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4" s="3" t="inlineStr">
        <is>
          <t>SRC_GOOGLE_GEMINI_TOKENS; SRC_GOOGLE_IRONWOOD; SRC_GOOGLE_TPU_V6E; SRC_EPOCH_AI_DATA_CENTERS; ASSUMP_NUMERIC_ACCELERATOR_MIX</t>
        </is>
      </c>
      <c r="K124" s="3" t="inlineStr">
        <is>
          <t>ASSUMP_TPU_EFFICIENCY; ASSUMP_POWER_RAMP; ASSUMP_NUMERIC_ACCELERATOR_MIX; ASSUMP_INFERENCE_SHARE_NOT_FACT_60; ASSUMP_WORKLOAD_CLASS_MIX; ASSUMP_AGENTIC_CONTEXT_PENALTY</t>
        </is>
      </c>
      <c r="L124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5">
      <c r="A125" s="3" t="inlineStr">
        <is>
          <t>Google</t>
        </is>
      </c>
      <c r="B125" s="3" t="n">
        <v>2026</v>
      </c>
      <c r="C125" s="3" t="inlineStr">
        <is>
          <t>Bear</t>
        </is>
      </c>
      <c r="D125" s="3" t="inlineStr">
        <is>
          <t>h200_share</t>
        </is>
      </c>
      <c r="E125" s="3" t="n">
        <v>0</v>
      </c>
      <c r="F125" s="3" t="inlineStr">
        <is>
          <t>share of inference-serving accelerator load</t>
        </is>
      </c>
      <c r="G125" s="3" t="inlineStr">
        <is>
          <t>Editable numeric scenario</t>
        </is>
      </c>
      <c r="H125" s="3" t="inlineStr">
        <is>
          <t>h200_share = gpu_share * default_gpu_generation_mix_h200</t>
        </is>
      </c>
      <c r="I125" s="3" t="inlineStr">
        <is>
          <t>Default GPU-generation migration assumption; executive workbook allows later manual replacement by company/year/scenario.</t>
        </is>
      </c>
      <c r="J125" s="3" t="inlineStr">
        <is>
          <t>SRC_SEMIANALYSIS_INFERENCEX; ASSUMP_NUMERIC_ACCELERATOR_MIX</t>
        </is>
      </c>
      <c r="K125" s="3" t="inlineStr">
        <is>
          <t>ASSUMP_TPU_EFFICIENCY; ASSUMP_POWER_RAMP; ASSUMP_NUMERIC_ACCELERATOR_MIX; ASSUMP_INFERENCE_SHARE_NOT_FACT_60; ASSUMP_WORKLOAD_CLASS_MIX; ASSUMP_AGENTIC_CONTEXT_PENALTY</t>
        </is>
      </c>
      <c r="L125" s="3" t="inlineStr">
        <is>
          <t>Company fleet inventory, accelerator-hours or procurement/deployment records by GPU generation.</t>
        </is>
      </c>
    </row>
    <row r="126">
      <c r="A126" s="3" t="inlineStr">
        <is>
          <t>Google</t>
        </is>
      </c>
      <c r="B126" s="3" t="n">
        <v>2026</v>
      </c>
      <c r="C126" s="3" t="inlineStr">
        <is>
          <t>Bear</t>
        </is>
      </c>
      <c r="D126" s="3" t="inlineStr">
        <is>
          <t>b200_share</t>
        </is>
      </c>
      <c r="E126" s="3" t="n">
        <v>0</v>
      </c>
      <c r="F126" s="3" t="inlineStr">
        <is>
          <t>share of inference-serving accelerator load</t>
        </is>
      </c>
      <c r="G126" s="3" t="inlineStr">
        <is>
          <t>Editable numeric scenario</t>
        </is>
      </c>
      <c r="H126" s="3" t="inlineStr">
        <is>
          <t>b200_share = gpu_share * default_gpu_generation_mix_b200</t>
        </is>
      </c>
      <c r="I126" s="3" t="inlineStr">
        <is>
          <t>Default GPU-generation migration assumption; executive workbook allows later manual replacement by company/year/scenario.</t>
        </is>
      </c>
      <c r="J126" s="3" t="inlineStr">
        <is>
          <t>SRC_SEMIANALYSIS_INFERENCEX; ASSUMP_NUMERIC_ACCELERATOR_MIX</t>
        </is>
      </c>
      <c r="K126" s="3" t="inlineStr">
        <is>
          <t>ASSUMP_TPU_EFFICIENCY; ASSUMP_POWER_RAMP; ASSUMP_NUMERIC_ACCELERATOR_MIX; ASSUMP_INFERENCE_SHARE_NOT_FACT_60; ASSUMP_WORKLOAD_CLASS_MIX; ASSUMP_AGENTIC_CONTEXT_PENALTY</t>
        </is>
      </c>
      <c r="L126" s="3" t="inlineStr">
        <is>
          <t>Company fleet inventory, accelerator-hours or procurement/deployment records by GPU generation.</t>
        </is>
      </c>
    </row>
    <row r="127">
      <c r="A127" s="3" t="inlineStr">
        <is>
          <t>Google</t>
        </is>
      </c>
      <c r="B127" s="3" t="n">
        <v>2026</v>
      </c>
      <c r="C127" s="3" t="inlineStr">
        <is>
          <t>Bear</t>
        </is>
      </c>
      <c r="D127" s="3" t="inlineStr">
        <is>
          <t>gb200_share</t>
        </is>
      </c>
      <c r="E127" s="3" t="n">
        <v>0</v>
      </c>
      <c r="F127" s="3" t="inlineStr">
        <is>
          <t>share of inference-serving accelerator load</t>
        </is>
      </c>
      <c r="G127" s="3" t="inlineStr">
        <is>
          <t>Editable numeric scenario</t>
        </is>
      </c>
      <c r="H127" s="3" t="inlineStr">
        <is>
          <t>gb200_share = gpu_share * default_gpu_generation_mix_gb200</t>
        </is>
      </c>
      <c r="I127" s="3" t="inlineStr">
        <is>
          <t>Default GPU-generation migration assumption; executive workbook allows later manual replacement by company/year/scenario.</t>
        </is>
      </c>
      <c r="J127" s="3" t="inlineStr">
        <is>
          <t>SRC_SEMIANALYSIS_INFERENCEX; ASSUMP_NUMERIC_ACCELERATOR_MIX</t>
        </is>
      </c>
      <c r="K127" s="3" t="inlineStr">
        <is>
          <t>ASSUMP_TPU_EFFICIENCY; ASSUMP_POWER_RAMP; ASSUMP_NUMERIC_ACCELERATOR_MIX; ASSUMP_INFERENCE_SHARE_NOT_FACT_60; ASSUMP_WORKLOAD_CLASS_MIX; ASSUMP_AGENTIC_CONTEXT_PENALTY</t>
        </is>
      </c>
      <c r="L127" s="3" t="inlineStr">
        <is>
          <t>Company fleet inventory, accelerator-hours or procurement/deployment records by GPU generation.</t>
        </is>
      </c>
    </row>
    <row r="128">
      <c r="A128" s="3" t="inlineStr">
        <is>
          <t>Google</t>
        </is>
      </c>
      <c r="B128" s="3" t="n">
        <v>2026</v>
      </c>
      <c r="C128" s="3" t="inlineStr">
        <is>
          <t>Bear</t>
        </is>
      </c>
      <c r="D128" s="3" t="inlineStr">
        <is>
          <t>purpose_built_accelerator_share</t>
        </is>
      </c>
      <c r="E128" s="3" t="n">
        <v>1</v>
      </c>
      <c r="F128" s="3" t="inlineStr">
        <is>
          <t>share of inference-serving accelerator load</t>
        </is>
      </c>
      <c r="G128" s="3" t="inlineStr">
        <is>
          <t>Numeric scenario</t>
        </is>
      </c>
      <c r="H128" s="3" t="inlineStr">
        <is>
          <t>1 - gpu_share</t>
        </is>
      </c>
      <c r="I128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8" s="3" t="inlineStr">
        <is>
          <t>SRC_GOOGLE_GEMINI_TOKENS; SRC_GOOGLE_IRONWOOD; SRC_GOOGLE_TPU_V6E; SRC_EPOCH_AI_DATA_CENTERS; ASSUMP_NUMERIC_ACCELERATOR_MIX</t>
        </is>
      </c>
      <c r="K128" s="3" t="inlineStr">
        <is>
          <t>ASSUMP_TPU_EFFICIENCY; ASSUMP_POWER_RAMP; ASSUMP_NUMERIC_ACCELERATOR_MIX; ASSUMP_INFERENCE_SHARE_NOT_FACT_60; ASSUMP_WORKLOAD_CLASS_MIX; ASSUMP_AGENTIC_CONTEXT_PENALTY</t>
        </is>
      </c>
      <c r="L128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9">
      <c r="A129" s="3" t="inlineStr">
        <is>
          <t>Google</t>
        </is>
      </c>
      <c r="B129" s="3" t="n">
        <v>2026</v>
      </c>
      <c r="C129" s="3" t="inlineStr">
        <is>
          <t>Bear</t>
        </is>
      </c>
      <c r="D129" s="3" t="inlineStr">
        <is>
          <t>fleet_reference_tps_per_mw</t>
        </is>
      </c>
      <c r="E129" s="3" t="n">
        <v>167768</v>
      </c>
      <c r="F129" s="3" t="inlineStr">
        <is>
          <t>generated output tokens/sec/MW</t>
        </is>
      </c>
      <c r="G129" s="3" t="inlineStr">
        <is>
          <t>Fleet-weighted public benchmark reference</t>
        </is>
      </c>
      <c r="H129" s="3" t="inlineStr">
        <is>
          <t>h200_share*h200_workload_avg + b200_share*b200_workload_avg + gb200_share*gb200_workload_avg + purpose_built_share*purpose_workload_avg</t>
        </is>
      </c>
      <c r="I12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9" s="3" t="inlineStr">
        <is>
          <t>SRC_SEMIANALYSIS_INFERENCEX; ASSUMP_NUMERIC_ACCELERATOR_MIX; ASSUMP_WORKLOAD_CLASS_MIX; ASSUMP_AGENTIC_CONTEXT_PENALTY</t>
        </is>
      </c>
      <c r="K129" s="3" t="inlineStr">
        <is>
          <t>ASSUMP_TPU_EFFICIENCY; ASSUMP_POWER_RAMP; ASSUMP_NUMERIC_ACCELERATOR_MIX; ASSUMP_INFERENCE_SHARE_NOT_FACT_60; ASSUMP_WORKLOAD_CLASS_MIX; ASSUMP_AGENTIC_CONTEXT_PENALTY</t>
        </is>
      </c>
      <c r="L129" s="3" t="inlineStr">
        <is>
          <t>Comparable production output-token throughput or a more closely matched benchmark.</t>
        </is>
      </c>
    </row>
    <row r="130">
      <c r="A130" s="3" t="inlineStr">
        <is>
          <t>Google</t>
        </is>
      </c>
      <c r="B130" s="3" t="n">
        <v>2026</v>
      </c>
      <c r="C130" s="3" t="inlineStr">
        <is>
          <t>Bear</t>
        </is>
      </c>
      <c r="D130" s="3" t="inlineStr">
        <is>
          <t>commercial_workload_fit_factor</t>
        </is>
      </c>
      <c r="E130" s="3" t="n">
        <v>0.4</v>
      </c>
      <c r="F130" s="3" t="inlineStr">
        <is>
          <t>share of public reference throughput</t>
        </is>
      </c>
      <c r="G130" s="3" t="inlineStr">
        <is>
          <t>Scenario assumption</t>
        </is>
      </c>
      <c r="H130" s="3" t="inlineStr">
        <is>
          <t>reference_serving_tps_per_mw = fleet_reference_tps_per_mw * commercial_workload_fit_factor</t>
        </is>
      </c>
      <c r="I13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30" s="3" t="inlineStr">
        <is>
          <t>SRC_SEMIANALYSIS_INFERENCEX; ASSUMP_NUMERIC_ACCELERATOR_MIX; ASSUMP_WORKLOAD_CLASS_MIX; ASSUMP_AGENTIC_CONTEXT_PENALTY</t>
        </is>
      </c>
      <c r="K130" s="3" t="inlineStr">
        <is>
          <t>ASSUMP_TPU_EFFICIENCY; ASSUMP_POWER_RAMP; ASSUMP_NUMERIC_ACCELERATOR_MIX; ASSUMP_INFERENCE_SHARE_NOT_FACT_60; ASSUMP_WORKLOAD_CLASS_MIX; ASSUMP_AGENTIC_CONTEXT_PENALTY</t>
        </is>
      </c>
      <c r="L130" s="3" t="inlineStr">
        <is>
          <t>Matched commercial serving benchmark by product surface, context shape and latency SLO.</t>
        </is>
      </c>
    </row>
    <row r="131">
      <c r="A131" s="3" t="inlineStr">
        <is>
          <t>Google</t>
        </is>
      </c>
      <c r="B131" s="3" t="n">
        <v>2026</v>
      </c>
      <c r="C131" s="3" t="inlineStr">
        <is>
          <t>Bear</t>
        </is>
      </c>
      <c r="D131" s="3" t="inlineStr">
        <is>
          <t>reference_serving_tps_per_mw</t>
        </is>
      </c>
      <c r="E131" s="3" t="n">
        <v>67107</v>
      </c>
      <c r="F131" s="3" t="inlineStr">
        <is>
          <t>generated output tokens/sec/MW</t>
        </is>
      </c>
      <c r="G131" s="3" t="inlineStr">
        <is>
          <t>Workload-adjusted benchmark proxy</t>
        </is>
      </c>
      <c r="H131" s="3" t="inlineStr">
        <is>
          <t>fleet_reference_tps_per_mw * commercial_workload_fit_factor</t>
        </is>
      </c>
      <c r="I131" s="3" t="inlineStr">
        <is>
          <t>This is the coefficient used for headline token generation; each GPU's short chat, long chat and agentic TPS/MW are weighted before fleet mix and commercial fit are applied.</t>
        </is>
      </c>
      <c r="J131" s="3" t="inlineStr">
        <is>
          <t>SRC_SEMIANALYSIS_INFERENCEX; ASSUMP_NUMERIC_ACCELERATOR_MIX; ASSUMP_WORKLOAD_CLASS_MIX; ASSUMP_AGENTIC_CONTEXT_PENALTY</t>
        </is>
      </c>
      <c r="K131" s="3" t="inlineStr">
        <is>
          <t>ASSUMP_TPU_EFFICIENCY; ASSUMP_POWER_RAMP; ASSUMP_NUMERIC_ACCELERATOR_MIX; ASSUMP_INFERENCE_SHARE_NOT_FACT_60; ASSUMP_WORKLOAD_CLASS_MIX; ASSUMP_AGENTIC_CONTEXT_PENALTY</t>
        </is>
      </c>
      <c r="L131" s="3" t="inlineStr">
        <is>
          <t>Provider production output-token throughput with comparable workload/SLO.</t>
        </is>
      </c>
    </row>
    <row r="132">
      <c r="A132" s="3" t="inlineStr">
        <is>
          <t>Google</t>
        </is>
      </c>
      <c r="B132" s="3" t="n">
        <v>2026</v>
      </c>
      <c r="C132" s="3" t="inlineStr">
        <is>
          <t>Bear</t>
        </is>
      </c>
      <c r="D132" s="3" t="inlineStr">
        <is>
          <t>purpose_built_tps_per_mw</t>
        </is>
      </c>
      <c r="E132" s="3" t="n">
        <v>54122</v>
      </c>
      <c r="F132" s="3" t="inlineStr">
        <is>
          <t>generated output tokens/sec/MW</t>
        </is>
      </c>
      <c r="G132" s="3" t="inlineStr">
        <is>
          <t>Conservative no-uplift proxy</t>
        </is>
      </c>
      <c r="H132" s="3" t="inlineStr">
        <is>
          <t>purpose_built_tps_per_mw = purpose_built_reference_tps_per_mw * commercial_workload_fit_factor until comparable output-token benchmark is adopted</t>
        </is>
      </c>
      <c r="I132" s="3" t="inlineStr">
        <is>
          <t>No comparable public output-token/MW row adopted; B200 public reference placeholder is used and remains editable.</t>
        </is>
      </c>
      <c r="J132" s="3" t="inlineStr">
        <is>
          <t>SRC_GOOGLE_GEMINI_TOKENS; SRC_GOOGLE_IRONWOOD; SRC_GOOGLE_TPU_V6E; SRC_EPOCH_AI_DATA_CENTERS; ASSUMP_NUMERIC_ACCELERATOR_MIX</t>
        </is>
      </c>
      <c r="K132" s="3" t="inlineStr">
        <is>
          <t>ASSUMP_TPU_EFFICIENCY; ASSUMP_POWER_RAMP; ASSUMP_NUMERIC_ACCELERATOR_MIX; ASSUMP_INFERENCE_SHARE_NOT_FACT_60; ASSUMP_WORKLOAD_CLASS_MIX; ASSUMP_AGENTIC_CONTEXT_PENALTY</t>
        </is>
      </c>
      <c r="L132" s="3" t="inlineStr">
        <is>
          <t>Matched-workload generated-output benchmark for the provider purpose-built accelerator.</t>
        </is>
      </c>
    </row>
    <row r="133">
      <c r="A133" s="3" t="inlineStr">
        <is>
          <t>Google</t>
        </is>
      </c>
      <c r="B133" s="3" t="n">
        <v>2026</v>
      </c>
      <c r="C133" s="3" t="inlineStr">
        <is>
          <t>Bear</t>
        </is>
      </c>
      <c r="D133" s="3" t="inlineStr">
        <is>
          <t>inference_power_share</t>
        </is>
      </c>
      <c r="E133" s="3" t="n">
        <v>0.47</v>
      </c>
      <c r="F133" s="3" t="inlineStr">
        <is>
          <t>share of AI IT load</t>
        </is>
      </c>
      <c r="G133" s="3" t="inlineStr">
        <is>
          <t>Scenario allocation</t>
        </is>
      </c>
      <c r="H133" s="3" t="inlineStr">
        <is>
          <t>inference_gw = ai_it_load_gw * inference_power_share</t>
        </is>
      </c>
      <c r="I133" s="3" t="inlineStr">
        <is>
          <t>Ironwood is positioned for inference and Gemini is commercialized across products; inference share increases as a scenario.</t>
        </is>
      </c>
      <c r="J133" s="3" t="inlineStr">
        <is>
          <t>SRC_GOOGLE_GEMINI_TOKENS; SRC_GOOGLE_IRONWOOD; SRC_GOOGLE_TPU_V6E; SRC_EPOCH_AI_DATA_CENTERS; ASSUMP_INFERENCE_SHARE_NOT_FACT_60</t>
        </is>
      </c>
      <c r="K133" s="3" t="inlineStr">
        <is>
          <t>ASSUMP_TPU_EFFICIENCY; ASSUMP_POWER_RAMP; ASSUMP_NUMERIC_ACCELERATOR_MIX; ASSUMP_INFERENCE_SHARE_NOT_FACT_60; ASSUMP_WORKLOAD_CLASS_MIX; ASSUMP_AGENTIC_CONTEXT_PENALTY</t>
        </is>
      </c>
      <c r="L133" s="3" t="inlineStr">
        <is>
          <t>Provider-specific inference/training workload power telemetry.</t>
        </is>
      </c>
    </row>
    <row r="134">
      <c r="A134" s="3" t="inlineStr">
        <is>
          <t>Google</t>
        </is>
      </c>
      <c r="B134" s="3" t="n">
        <v>2026</v>
      </c>
      <c r="C134" s="3" t="inlineStr">
        <is>
          <t>Bear</t>
        </is>
      </c>
      <c r="D134" s="3" t="inlineStr">
        <is>
          <t>inference_gw</t>
        </is>
      </c>
      <c r="E134" s="3" t="n">
        <v>0.694</v>
      </c>
      <c r="F134" s="3" t="inlineStr">
        <is>
          <t>GW</t>
        </is>
      </c>
      <c r="G134" s="3" t="inlineStr">
        <is>
          <t>Derived formula</t>
        </is>
      </c>
      <c r="H134" s="3" t="inlineStr">
        <is>
          <t>ai_it_load_gw * inference_power_share</t>
        </is>
      </c>
      <c r="I134" s="3" t="inlineStr">
        <is>
          <t>This is the operational power eligible to become commercial generated output tokens through the selected TPS/MW proxy.</t>
        </is>
      </c>
      <c r="J134" s="3" t="inlineStr">
        <is>
          <t>SRC_GOOGLE_GEMINI_TOKENS; SRC_GOOGLE_IRONWOOD; SRC_GOOGLE_TPU_V6E; SRC_EPOCH_AI_DATA_CENTERS</t>
        </is>
      </c>
      <c r="K134" s="3" t="inlineStr">
        <is>
          <t>ASSUMP_TPU_EFFICIENCY; ASSUMP_POWER_RAMP; ASSUMP_NUMERIC_ACCELERATOR_MIX; ASSUMP_INFERENCE_SHARE_NOT_FACT_60; ASSUMP_WORKLOAD_CLASS_MIX; ASSUMP_AGENTIC_CONTEXT_PENALTY</t>
        </is>
      </c>
      <c r="L134" s="3" t="inlineStr">
        <is>
          <t>Recompute after AI allocation or inference-share evidence changes.</t>
        </is>
      </c>
    </row>
    <row r="135">
      <c r="A135" s="3" t="inlineStr">
        <is>
          <t>Google</t>
        </is>
      </c>
      <c r="B135" s="3" t="n">
        <v>2026</v>
      </c>
      <c r="C135" s="3" t="inlineStr">
        <is>
          <t>Bear</t>
        </is>
      </c>
      <c r="D135" s="3" t="inlineStr">
        <is>
          <t>training_power_share</t>
        </is>
      </c>
      <c r="E135" s="3" t="n">
        <v>0.53</v>
      </c>
      <c r="F135" s="3" t="inlineStr">
        <is>
          <t>share of AI IT load</t>
        </is>
      </c>
      <c r="G135" s="3" t="inlineStr">
        <is>
          <t>Derived allocation</t>
        </is>
      </c>
      <c r="H135" s="3" t="inlineStr">
        <is>
          <t>1 - inference_power_share</t>
        </is>
      </c>
      <c r="I135" s="3" t="inlineStr">
        <is>
          <t>Training receives the complementary modeled AI IT allocation; it is not a disclosed company workload split.</t>
        </is>
      </c>
      <c r="J135" s="3" t="inlineStr">
        <is>
          <t>SRC_GOOGLE_GEMINI_TOKENS; SRC_GOOGLE_IRONWOOD; SRC_GOOGLE_TPU_V6E; SRC_EPOCH_AI_DATA_CENTERS; ASSUMP_INFERENCE_SHARE_NOT_FACT_60</t>
        </is>
      </c>
      <c r="K135" s="3" t="inlineStr">
        <is>
          <t>ASSUMP_TPU_EFFICIENCY; ASSUMP_POWER_RAMP; ASSUMP_NUMERIC_ACCELERATOR_MIX; ASSUMP_INFERENCE_SHARE_NOT_FACT_60; ASSUMP_WORKLOAD_CLASS_MIX; ASSUMP_AGENTIC_CONTEXT_PENALTY</t>
        </is>
      </c>
      <c r="L135" s="3" t="inlineStr">
        <is>
          <t>Provider-specific inference/training workload power telemetry.</t>
        </is>
      </c>
    </row>
    <row r="136">
      <c r="A136" s="3" t="inlineStr">
        <is>
          <t>Google</t>
        </is>
      </c>
      <c r="B136" s="3" t="n">
        <v>2026</v>
      </c>
      <c r="C136" s="3" t="inlineStr">
        <is>
          <t>Bear</t>
        </is>
      </c>
      <c r="D136" s="3" t="inlineStr">
        <is>
          <t>training_gw</t>
        </is>
      </c>
      <c r="E136" s="3" t="n">
        <v>0.783</v>
      </c>
      <c r="F136" s="3" t="inlineStr">
        <is>
          <t>GW</t>
        </is>
      </c>
      <c r="G136" s="3" t="inlineStr">
        <is>
          <t>Derived formula</t>
        </is>
      </c>
      <c r="H136" s="3" t="inlineStr">
        <is>
          <t>ai_it_load_gw * training_power_share</t>
        </is>
      </c>
      <c r="I136" s="3" t="inlineStr">
        <is>
          <t>Training GW is shown separately so commercial inference token capacity is not overstated.</t>
        </is>
      </c>
      <c r="J136" s="3" t="inlineStr">
        <is>
          <t>SRC_GOOGLE_GEMINI_TOKENS; SRC_GOOGLE_IRONWOOD; SRC_GOOGLE_TPU_V6E; SRC_EPOCH_AI_DATA_CENTERS</t>
        </is>
      </c>
      <c r="K136" s="3" t="inlineStr">
        <is>
          <t>ASSUMP_TPU_EFFICIENCY; ASSUMP_POWER_RAMP; ASSUMP_NUMERIC_ACCELERATOR_MIX; ASSUMP_INFERENCE_SHARE_NOT_FACT_60; ASSUMP_WORKLOAD_CLASS_MIX; ASSUMP_AGENTIC_CONTEXT_PENALTY</t>
        </is>
      </c>
      <c r="L136" s="3" t="inlineStr">
        <is>
          <t>Recompute after AI allocation or workload-split evidence changes.</t>
        </is>
      </c>
    </row>
    <row r="137">
      <c r="A137" s="3" t="inlineStr">
        <is>
          <t>Google</t>
        </is>
      </c>
      <c r="B137" s="3" t="n">
        <v>2026</v>
      </c>
      <c r="C137" s="3" t="inlineStr">
        <is>
          <t>Bear</t>
        </is>
      </c>
      <c r="D137" s="3" t="inlineStr">
        <is>
          <t>tokens_per_second_per_mw</t>
        </is>
      </c>
      <c r="E137" s="3" t="n">
        <v>67107</v>
      </c>
      <c r="F137" s="3" t="inlineStr">
        <is>
          <t>generated output tokens/sec/MW</t>
        </is>
      </c>
      <c r="G137" s="3" t="inlineStr">
        <is>
          <t>Derived estimate + benchmark calibration</t>
        </is>
      </c>
      <c r="H137" s="3" t="inlineStr">
        <is>
          <t>fleet_reference_tps_per_mw * commercial_workload_fit_factor</t>
        </is>
      </c>
      <c r="I13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37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37" s="3" t="inlineStr">
        <is>
          <t>ASSUMP_TPU_EFFICIENCY; ASSUMP_POWER_RAMP; ASSUMP_NUMERIC_ACCELERATOR_MIX; ASSUMP_INFERENCE_SHARE_NOT_FACT_60; ASSUMP_WORKLOAD_CLASS_MIX; ASSUMP_AGENTIC_CONTEXT_PENALTY</t>
        </is>
      </c>
      <c r="L137" s="3" t="inlineStr">
        <is>
          <t>Comparable production output-token throughput with model, hardware, precision, ISL/OSL and SLO matched.</t>
        </is>
      </c>
    </row>
    <row r="138">
      <c r="A138" s="3" t="inlineStr">
        <is>
          <t>Google</t>
        </is>
      </c>
      <c r="B138" s="3" t="n">
        <v>2026</v>
      </c>
      <c r="C138" s="3" t="inlineStr">
        <is>
          <t>Bear</t>
        </is>
      </c>
      <c r="D138" s="3" t="inlineStr">
        <is>
          <t>inference_tokens_per_day</t>
        </is>
      </c>
      <c r="E138" s="3" t="n">
        <v>4023843091200</v>
      </c>
      <c r="F138" s="3" t="inlineStr">
        <is>
          <t>generated output tokens/day</t>
        </is>
      </c>
      <c r="G138" s="3" t="inlineStr">
        <is>
          <t>Derived headline metric</t>
        </is>
      </c>
      <c r="H138" s="3" t="inlineStr">
        <is>
          <t>inference_gw * 1000 * tokens_per_second_per_mw * 86,400</t>
        </is>
      </c>
      <c r="I138" s="3" t="inlineStr">
        <is>
          <t>Headline capacity uses no utilization, MoE, architecture or software-growth multiplier; it is not observed commercial output volume.</t>
        </is>
      </c>
      <c r="J138" s="3" t="inlineStr">
        <is>
          <t>SRC_GOOGLE_GEMINI_TOKENS; SRC_GOOGLE_IRONWOOD; SRC_GOOGLE_TPU_V6E; SRC_EPOCH_AI_DATA_CENTERS; SRC_SEMIANALYSIS_INFERENCEX</t>
        </is>
      </c>
      <c r="K138" s="3" t="inlineStr">
        <is>
          <t>ASSUMP_TPU_EFFICIENCY; ASSUMP_POWER_RAMP; ASSUMP_NUMERIC_ACCELERATOR_MIX; ASSUMP_INFERENCE_SHARE_NOT_FACT_60; ASSUMP_WORKLOAD_CLASS_MIX; ASSUMP_AGENTIC_CONTEXT_PENALTY</t>
        </is>
      </c>
      <c r="L138" s="3" t="inlineStr">
        <is>
          <t>Provider-disclosed generated output token volume or calibrated capacity telemetry.</t>
        </is>
      </c>
    </row>
    <row r="139">
      <c r="A139" s="3" t="inlineStr">
        <is>
          <t>Google</t>
        </is>
      </c>
      <c r="B139" s="3" t="n">
        <v>2026</v>
      </c>
      <c r="C139" s="3" t="inlineStr">
        <is>
          <t>Bear</t>
        </is>
      </c>
      <c r="D139" s="3" t="inlineStr">
        <is>
          <t>inference_tokens_per_year</t>
        </is>
      </c>
      <c r="E139" s="3" t="n">
        <v>1468702728288000</v>
      </c>
      <c r="F139" s="3" t="inlineStr">
        <is>
          <t>generated output tokens/year</t>
        </is>
      </c>
      <c r="G139" s="3" t="inlineStr">
        <is>
          <t>Derived headline metric</t>
        </is>
      </c>
      <c r="H139" s="3" t="inlineStr">
        <is>
          <t>inference_tokens_per_day * 365</t>
        </is>
      </c>
      <c r="I139" s="3" t="inlineStr">
        <is>
          <t>Annualized version of generated output token capacity; it is not observed annual demand or billable volume.</t>
        </is>
      </c>
      <c r="J139" s="3" t="inlineStr">
        <is>
          <t>SRC_GOOGLE_GEMINI_TOKENS; SRC_GOOGLE_IRONWOOD; SRC_GOOGLE_TPU_V6E; SRC_EPOCH_AI_DATA_CENTERS; SRC_SEMIANALYSIS_INFERENCEX</t>
        </is>
      </c>
      <c r="K139" s="3" t="inlineStr">
        <is>
          <t>ASSUMP_TPU_EFFICIENCY; ASSUMP_POWER_RAMP; ASSUMP_NUMERIC_ACCELERATOR_MIX; ASSUMP_INFERENCE_SHARE_NOT_FACT_60; ASSUMP_WORKLOAD_CLASS_MIX; ASSUMP_AGENTIC_CONTEXT_PENALTY</t>
        </is>
      </c>
      <c r="L139" s="3" t="inlineStr">
        <is>
          <t>Provider-disclosed annual generated-output volume or metered serving telemetry.</t>
        </is>
      </c>
    </row>
    <row r="140">
      <c r="A140" s="3" t="inlineStr">
        <is>
          <t>Google</t>
        </is>
      </c>
      <c r="B140" s="3" t="n">
        <v>2027</v>
      </c>
      <c r="C140" s="3" t="inlineStr">
        <is>
          <t>Bear</t>
        </is>
      </c>
      <c r="D140" s="3" t="inlineStr">
        <is>
          <t>contracted_power_gw</t>
        </is>
      </c>
      <c r="E140" s="3" t="n">
        <v>5.375</v>
      </c>
      <c r="F140" s="3" t="inlineStr">
        <is>
          <t>GW</t>
        </is>
      </c>
      <c r="G140" s="3" t="inlineStr">
        <is>
          <t>Scenario capacity envelope</t>
        </is>
      </c>
      <c r="H140" s="3" t="inlineStr">
        <is>
          <t>linear interpolation between 2026 and 2030 company capacity endpoints</t>
        </is>
      </c>
      <c r="I140" s="3" t="inlineStr">
        <is>
          <t>Scenario envelope for Gemini-serving capacity; official TPU hardware direction is disclosed, company-level contracted GW is not.</t>
        </is>
      </c>
      <c r="J140" s="3" t="inlineStr">
        <is>
          <t>ASSUMP_POWER_RAMP; SRC_GOOGLE_IRONWOOD; SRC_GOOGLE_TPU_V6E</t>
        </is>
      </c>
      <c r="K140" s="3" t="inlineStr">
        <is>
          <t>ASSUMP_TPU_EFFICIENCY; ASSUMP_POWER_RAMP; ASSUMP_NUMERIC_ACCELERATOR_MIX; ASSUMP_INFERENCE_SHARE_NOT_FACT_60; ASSUMP_WORKLOAD_CLASS_MIX; ASSUMP_AGENTIC_CONTEXT_PENALTY</t>
        </is>
      </c>
      <c r="L140" s="3" t="inlineStr">
        <is>
          <t>Company/site-level committed MW/GW, interconnect and contract disclosure.</t>
        </is>
      </c>
    </row>
    <row r="141">
      <c r="A141" s="3" t="inlineStr">
        <is>
          <t>Google</t>
        </is>
      </c>
      <c r="B141" s="3" t="n">
        <v>2027</v>
      </c>
      <c r="C141" s="3" t="inlineStr">
        <is>
          <t>Bear</t>
        </is>
      </c>
      <c r="D141" s="3" t="inlineStr">
        <is>
          <t>operational_deployment_share</t>
        </is>
      </c>
      <c r="E141" s="3" t="n">
        <v>0.54846512</v>
      </c>
      <c r="F141" s="3" t="inlineStr">
        <is>
          <t>share</t>
        </is>
      </c>
      <c r="G141" s="3" t="inlineStr">
        <is>
          <t>Scenario conversion</t>
        </is>
      </c>
      <c r="H141" s="3" t="inlineStr">
        <is>
          <t>active_power_gw / contracted_power_gw</t>
        </is>
      </c>
      <c r="I141" s="3" t="inlineStr">
        <is>
          <t>This is the single explicit conversion from contracted/attributed capacity to operationally usable capacity.</t>
        </is>
      </c>
      <c r="J141" s="3" t="inlineStr">
        <is>
          <t>ASSUMP_POWER_RAMP; SRC_GOOGLE_IRONWOOD; SRC_GOOGLE_TPU_V6E</t>
        </is>
      </c>
      <c r="K141" s="3" t="inlineStr">
        <is>
          <t>ASSUMP_TPU_EFFICIENCY; ASSUMP_POWER_RAMP; ASSUMP_NUMERIC_ACCELERATOR_MIX; ASSUMP_INFERENCE_SHARE_NOT_FACT_60; ASSUMP_WORKLOAD_CLASS_MIX; ASSUMP_AGENTIC_CONTEXT_PENALTY</t>
        </is>
      </c>
      <c r="L141" s="3" t="inlineStr">
        <is>
          <t>Energized operational capacity divided by contracted/attributed capacity.</t>
        </is>
      </c>
    </row>
    <row r="142">
      <c r="A142" s="3" t="inlineStr">
        <is>
          <t>Google</t>
        </is>
      </c>
      <c r="B142" s="3" t="n">
        <v>2027</v>
      </c>
      <c r="C142" s="3" t="inlineStr">
        <is>
          <t>Bear</t>
        </is>
      </c>
      <c r="D142" s="3" t="inlineStr">
        <is>
          <t>active_power_gw</t>
        </is>
      </c>
      <c r="E142" s="3" t="n">
        <v>2.948</v>
      </c>
      <c r="F142" s="3" t="inlineStr">
        <is>
          <t>GW</t>
        </is>
      </c>
      <c r="G142" s="3" t="inlineStr">
        <is>
          <t>Derived scenario</t>
        </is>
      </c>
      <c r="H142" s="3" t="inlineStr">
        <is>
          <t>contracted_power_gw * operational_deployment_share</t>
        </is>
      </c>
      <c r="I142" s="3" t="inlineStr">
        <is>
          <t>TPU generation availability supports ramp direction, while active GW remains a staged deployment estimate.</t>
        </is>
      </c>
      <c r="J142" s="3" t="inlineStr">
        <is>
          <t>ASSUMP_POWER_RAMP; SRC_GOOGLE_IRONWOOD; SRC_GOOGLE_TPU_V6E</t>
        </is>
      </c>
      <c r="K142" s="3" t="inlineStr">
        <is>
          <t>ASSUMP_TPU_EFFICIENCY; ASSUMP_POWER_RAMP; ASSUMP_NUMERIC_ACCELERATOR_MIX; ASSUMP_INFERENCE_SHARE_NOT_FACT_60; ASSUMP_WORKLOAD_CLASS_MIX; ASSUMP_AGENTIC_CONTEXT_PENALTY</t>
        </is>
      </c>
      <c r="L142" s="3" t="inlineStr">
        <is>
          <t>Energization dates, accelerator deliveries and operational powered-rack telemetry.</t>
        </is>
      </c>
    </row>
    <row r="143">
      <c r="A143" s="3" t="inlineStr">
        <is>
          <t>Google</t>
        </is>
      </c>
      <c r="B143" s="3" t="n">
        <v>2027</v>
      </c>
      <c r="C143" s="3" t="inlineStr">
        <is>
          <t>Bear</t>
        </is>
      </c>
      <c r="D143" s="3" t="inlineStr">
        <is>
          <t>pue</t>
        </is>
      </c>
      <c r="E143" s="3" t="n">
        <v>1.18</v>
      </c>
      <c r="F143" s="3" t="inlineStr">
        <is>
          <t>ratio</t>
        </is>
      </c>
      <c r="G143" s="3" t="inlineStr">
        <is>
          <t>Scenario parameter</t>
        </is>
      </c>
      <c r="H143" s="3" t="inlineStr">
        <is>
          <t>it_load_gw = active_power_gw / pue</t>
        </is>
      </c>
      <c r="I143" s="3" t="inlineStr">
        <is>
          <t>No provider-wide site-level PUE is used as a disclosed fact; PUE represents facility-to-IT conversion within the scenario.</t>
        </is>
      </c>
      <c r="J143" s="3" t="inlineStr">
        <is>
          <t>ASSUMP_POWER_RAMP</t>
        </is>
      </c>
      <c r="K143" s="3" t="inlineStr">
        <is>
          <t>ASSUMP_TPU_EFFICIENCY; ASSUMP_POWER_RAMP; ASSUMP_NUMERIC_ACCELERATOR_MIX; ASSUMP_INFERENCE_SHARE_NOT_FACT_60; ASSUMP_WORKLOAD_CLASS_MIX; ASSUMP_AGENTIC_CONTEXT_PENALTY</t>
        </is>
      </c>
      <c r="L143" s="3" t="inlineStr">
        <is>
          <t>Site-level measured PUE matched to attributed AI capacity.</t>
        </is>
      </c>
    </row>
    <row r="144">
      <c r="A144" s="3" t="inlineStr">
        <is>
          <t>Google</t>
        </is>
      </c>
      <c r="B144" s="3" t="n">
        <v>2027</v>
      </c>
      <c r="C144" s="3" t="inlineStr">
        <is>
          <t>Bear</t>
        </is>
      </c>
      <c r="D144" s="3" t="inlineStr">
        <is>
          <t>it_load_gw</t>
        </is>
      </c>
      <c r="E144" s="3" t="n">
        <v>2.498</v>
      </c>
      <c r="F144" s="3" t="inlineStr">
        <is>
          <t>GW</t>
        </is>
      </c>
      <c r="G144" s="3" t="inlineStr">
        <is>
          <t>Derived formula</t>
        </is>
      </c>
      <c r="H144" s="3" t="inlineStr">
        <is>
          <t>active_power_gw / pue</t>
        </is>
      </c>
      <c r="I144" s="3" t="inlineStr">
        <is>
          <t>Facility power is converted to IT-deliverable power before attributing AI workloads.</t>
        </is>
      </c>
      <c r="J144" s="3" t="inlineStr">
        <is>
          <t>ASSUMP_POWER_RAMP; SRC_GOOGLE_IRONWOOD; SRC_GOOGLE_TPU_V6E</t>
        </is>
      </c>
      <c r="K144" s="3" t="inlineStr">
        <is>
          <t>ASSUMP_TPU_EFFICIENCY; ASSUMP_POWER_RAMP; ASSUMP_NUMERIC_ACCELERATOR_MIX; ASSUMP_INFERENCE_SHARE_NOT_FACT_60; ASSUMP_WORKLOAD_CLASS_MIX; ASSUMP_AGENTIC_CONTEXT_PENALTY</t>
        </is>
      </c>
      <c r="L144" s="3" t="inlineStr">
        <is>
          <t>Recompute once active power and PUE become site-observable.</t>
        </is>
      </c>
    </row>
    <row r="145">
      <c r="A145" s="3" t="inlineStr">
        <is>
          <t>Google</t>
        </is>
      </c>
      <c r="B145" s="3" t="n">
        <v>2027</v>
      </c>
      <c r="C145" s="3" t="inlineStr">
        <is>
          <t>Bear</t>
        </is>
      </c>
      <c r="D145" s="3" t="inlineStr">
        <is>
          <t>ai_workload_share</t>
        </is>
      </c>
      <c r="E145" s="3" t="n">
        <v>0.88</v>
      </c>
      <c r="F145" s="3" t="inlineStr">
        <is>
          <t>share</t>
        </is>
      </c>
      <c r="G145" s="3" t="inlineStr">
        <is>
          <t>Scenario allocation</t>
        </is>
      </c>
      <c r="H145" s="3" t="inlineStr">
        <is>
          <t>ai_it_load_gw = it_load_gw * ai_workload_share</t>
        </is>
      </c>
      <c r="I145" s="3" t="inlineStr">
        <is>
          <t>Gemini/Vertex TPU serving is AI-dedicated in the modeled capacity envelope; 88% excludes platform/reserve load.</t>
        </is>
      </c>
      <c r="J145" s="3" t="inlineStr">
        <is>
          <t>SRC_GOOGLE_GEMINI_TOKENS; SRC_GOOGLE_IRONWOOD; SRC_GOOGLE_TPU_V6E; SRC_EPOCH_AI_DATA_CENTERS</t>
        </is>
      </c>
      <c r="K145" s="3" t="inlineStr">
        <is>
          <t>ASSUMP_TPU_EFFICIENCY; ASSUMP_POWER_RAMP; ASSUMP_NUMERIC_ACCELERATOR_MIX; ASSUMP_INFERENCE_SHARE_NOT_FACT_60; ASSUMP_WORKLOAD_CLASS_MIX; ASSUMP_AGENTIC_CONTEXT_PENALTY</t>
        </is>
      </c>
      <c r="L145" s="3" t="inlineStr">
        <is>
          <t>Model-owner AI workload allocation or cluster scheduling telemetry.</t>
        </is>
      </c>
    </row>
    <row r="146">
      <c r="A146" s="3" t="inlineStr">
        <is>
          <t>Google</t>
        </is>
      </c>
      <c r="B146" s="3" t="n">
        <v>2027</v>
      </c>
      <c r="C146" s="3" t="inlineStr">
        <is>
          <t>Bear</t>
        </is>
      </c>
      <c r="D146" s="3" t="inlineStr">
        <is>
          <t>ai_it_load_gw</t>
        </is>
      </c>
      <c r="E146" s="3" t="n">
        <v>2.199</v>
      </c>
      <c r="F146" s="3" t="inlineStr">
        <is>
          <t>GW</t>
        </is>
      </c>
      <c r="G146" s="3" t="inlineStr">
        <is>
          <t>Derived formula</t>
        </is>
      </c>
      <c r="H146" s="3" t="inlineStr">
        <is>
          <t>it_load_gw * ai_workload_share</t>
        </is>
      </c>
      <c r="I146" s="3" t="inlineStr">
        <is>
          <t>Only the AI-attributed portion of IT load enters training/inference allocation.</t>
        </is>
      </c>
      <c r="J146" s="3" t="inlineStr">
        <is>
          <t>SRC_GOOGLE_GEMINI_TOKENS; SRC_GOOGLE_IRONWOOD; SRC_GOOGLE_TPU_V6E; SRC_EPOCH_AI_DATA_CENTERS</t>
        </is>
      </c>
      <c r="K146" s="3" t="inlineStr">
        <is>
          <t>ASSUMP_TPU_EFFICIENCY; ASSUMP_POWER_RAMP; ASSUMP_NUMERIC_ACCELERATOR_MIX; ASSUMP_INFERENCE_SHARE_NOT_FACT_60; ASSUMP_WORKLOAD_CLASS_MIX; ASSUMP_AGENTIC_CONTEXT_PENALTY</t>
        </is>
      </c>
      <c r="L146" s="3" t="inlineStr">
        <is>
          <t>Recompute after ai_workload_share is replaced by telemetry.</t>
        </is>
      </c>
    </row>
    <row r="147">
      <c r="A147" s="3" t="inlineStr">
        <is>
          <t>Google</t>
        </is>
      </c>
      <c r="B147" s="3" t="n">
        <v>2027</v>
      </c>
      <c r="C147" s="3" t="inlineStr">
        <is>
          <t>Bear</t>
        </is>
      </c>
      <c r="D147" s="3" t="inlineStr">
        <is>
          <t>gpu_share</t>
        </is>
      </c>
      <c r="E147" s="3" t="n">
        <v>0.105947</v>
      </c>
      <c r="F147" s="3" t="inlineStr">
        <is>
          <t>share of inference-serving accelerator load</t>
        </is>
      </c>
      <c r="G147" s="3" t="inlineStr">
        <is>
          <t>Numeric scenario</t>
        </is>
      </c>
      <c r="H147" s="3" t="inlineStr">
        <is>
          <t>gpu_share interpolated from company 2026/2030 accelerator-mix endpoints</t>
        </is>
      </c>
      <c r="I147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47" s="3" t="inlineStr">
        <is>
          <t>SRC_GOOGLE_GEMINI_TOKENS; SRC_GOOGLE_IRONWOOD; SRC_GOOGLE_TPU_V6E; SRC_EPOCH_AI_DATA_CENTERS; ASSUMP_NUMERIC_ACCELERATOR_MIX</t>
        </is>
      </c>
      <c r="K147" s="3" t="inlineStr">
        <is>
          <t>ASSUMP_TPU_EFFICIENCY; ASSUMP_POWER_RAMP; ASSUMP_NUMERIC_ACCELERATOR_MIX; ASSUMP_INFERENCE_SHARE_NOT_FACT_60; ASSUMP_WORKLOAD_CLASS_MIX; ASSUMP_AGENTIC_CONTEXT_PENALTY</t>
        </is>
      </c>
      <c r="L147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48">
      <c r="A148" s="3" t="inlineStr">
        <is>
          <t>Google</t>
        </is>
      </c>
      <c r="B148" s="3" t="n">
        <v>2027</v>
      </c>
      <c r="C148" s="3" t="inlineStr">
        <is>
          <t>Bear</t>
        </is>
      </c>
      <c r="D148" s="3" t="inlineStr">
        <is>
          <t>h200_share</t>
        </is>
      </c>
      <c r="E148" s="3" t="n">
        <v>0.005625</v>
      </c>
      <c r="F148" s="3" t="inlineStr">
        <is>
          <t>share of inference-serving accelerator load</t>
        </is>
      </c>
      <c r="G148" s="3" t="inlineStr">
        <is>
          <t>Editable numeric scenario</t>
        </is>
      </c>
      <c r="H148" s="3" t="inlineStr">
        <is>
          <t>h200_share = gpu_share * default_gpu_generation_mix_h200</t>
        </is>
      </c>
      <c r="I148" s="3" t="inlineStr">
        <is>
          <t>Default GPU-generation migration assumption; executive workbook allows later manual replacement by company/year/scenario.</t>
        </is>
      </c>
      <c r="J148" s="3" t="inlineStr">
        <is>
          <t>SRC_SEMIANALYSIS_INFERENCEX; ASSUMP_NUMERIC_ACCELERATOR_MIX</t>
        </is>
      </c>
      <c r="K148" s="3" t="inlineStr">
        <is>
          <t>ASSUMP_TPU_EFFICIENCY; ASSUMP_POWER_RAMP; ASSUMP_NUMERIC_ACCELERATOR_MIX; ASSUMP_INFERENCE_SHARE_NOT_FACT_60; ASSUMP_WORKLOAD_CLASS_MIX; ASSUMP_AGENTIC_CONTEXT_PENALTY</t>
        </is>
      </c>
      <c r="L148" s="3" t="inlineStr">
        <is>
          <t>Company fleet inventory, accelerator-hours or procurement/deployment records by GPU generation.</t>
        </is>
      </c>
    </row>
    <row r="149">
      <c r="A149" s="3" t="inlineStr">
        <is>
          <t>Google</t>
        </is>
      </c>
      <c r="B149" s="3" t="n">
        <v>2027</v>
      </c>
      <c r="C149" s="3" t="inlineStr">
        <is>
          <t>Bear</t>
        </is>
      </c>
      <c r="D149" s="3" t="inlineStr">
        <is>
          <t>b200_share</t>
        </is>
      </c>
      <c r="E149" s="3" t="n">
        <v>0.098131</v>
      </c>
      <c r="F149" s="3" t="inlineStr">
        <is>
          <t>share of inference-serving accelerator load</t>
        </is>
      </c>
      <c r="G149" s="3" t="inlineStr">
        <is>
          <t>Editable numeric scenario</t>
        </is>
      </c>
      <c r="H149" s="3" t="inlineStr">
        <is>
          <t>b200_share = gpu_share * default_gpu_generation_mix_b200</t>
        </is>
      </c>
      <c r="I149" s="3" t="inlineStr">
        <is>
          <t>Default GPU-generation migration assumption; executive workbook allows later manual replacement by company/year/scenario.</t>
        </is>
      </c>
      <c r="J149" s="3" t="inlineStr">
        <is>
          <t>SRC_SEMIANALYSIS_INFERENCEX; ASSUMP_NUMERIC_ACCELERATOR_MIX</t>
        </is>
      </c>
      <c r="K149" s="3" t="inlineStr">
        <is>
          <t>ASSUMP_TPU_EFFICIENCY; ASSUMP_POWER_RAMP; ASSUMP_NUMERIC_ACCELERATOR_MIX; ASSUMP_INFERENCE_SHARE_NOT_FACT_60; ASSUMP_WORKLOAD_CLASS_MIX; ASSUMP_AGENTIC_CONTEXT_PENALTY</t>
        </is>
      </c>
      <c r="L149" s="3" t="inlineStr">
        <is>
          <t>Company fleet inventory, accelerator-hours or procurement/deployment records by GPU generation.</t>
        </is>
      </c>
    </row>
    <row r="150">
      <c r="A150" s="3" t="inlineStr">
        <is>
          <t>Google</t>
        </is>
      </c>
      <c r="B150" s="3" t="n">
        <v>2027</v>
      </c>
      <c r="C150" s="3" t="inlineStr">
        <is>
          <t>Bear</t>
        </is>
      </c>
      <c r="D150" s="3" t="inlineStr">
        <is>
          <t>gb200_share</t>
        </is>
      </c>
      <c r="E150" s="3" t="n">
        <v>0.002191</v>
      </c>
      <c r="F150" s="3" t="inlineStr">
        <is>
          <t>share of inference-serving accelerator load</t>
        </is>
      </c>
      <c r="G150" s="3" t="inlineStr">
        <is>
          <t>Editable numeric scenario</t>
        </is>
      </c>
      <c r="H150" s="3" t="inlineStr">
        <is>
          <t>gb200_share = gpu_share * default_gpu_generation_mix_gb200</t>
        </is>
      </c>
      <c r="I150" s="3" t="inlineStr">
        <is>
          <t>Default GPU-generation migration assumption; executive workbook allows later manual replacement by company/year/scenario.</t>
        </is>
      </c>
      <c r="J150" s="3" t="inlineStr">
        <is>
          <t>SRC_SEMIANALYSIS_INFERENCEX; ASSUMP_NUMERIC_ACCELERATOR_MIX</t>
        </is>
      </c>
      <c r="K150" s="3" t="inlineStr">
        <is>
          <t>ASSUMP_TPU_EFFICIENCY; ASSUMP_POWER_RAMP; ASSUMP_NUMERIC_ACCELERATOR_MIX; ASSUMP_INFERENCE_SHARE_NOT_FACT_60; ASSUMP_WORKLOAD_CLASS_MIX; ASSUMP_AGENTIC_CONTEXT_PENALTY</t>
        </is>
      </c>
      <c r="L150" s="3" t="inlineStr">
        <is>
          <t>Company fleet inventory, accelerator-hours or procurement/deployment records by GPU generation.</t>
        </is>
      </c>
    </row>
    <row r="151">
      <c r="A151" s="3" t="inlineStr">
        <is>
          <t>Google</t>
        </is>
      </c>
      <c r="B151" s="3" t="n">
        <v>2027</v>
      </c>
      <c r="C151" s="3" t="inlineStr">
        <is>
          <t>Bear</t>
        </is>
      </c>
      <c r="D151" s="3" t="inlineStr">
        <is>
          <t>purpose_built_accelerator_share</t>
        </is>
      </c>
      <c r="E151" s="3" t="n">
        <v>0.894053</v>
      </c>
      <c r="F151" s="3" t="inlineStr">
        <is>
          <t>share of inference-serving accelerator load</t>
        </is>
      </c>
      <c r="G151" s="3" t="inlineStr">
        <is>
          <t>Numeric scenario</t>
        </is>
      </c>
      <c r="H151" s="3" t="inlineStr">
        <is>
          <t>1 - gpu_share</t>
        </is>
      </c>
      <c r="I151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51" s="3" t="inlineStr">
        <is>
          <t>SRC_GOOGLE_GEMINI_TOKENS; SRC_GOOGLE_IRONWOOD; SRC_GOOGLE_TPU_V6E; SRC_EPOCH_AI_DATA_CENTERS; ASSUMP_NUMERIC_ACCELERATOR_MIX</t>
        </is>
      </c>
      <c r="K151" s="3" t="inlineStr">
        <is>
          <t>ASSUMP_TPU_EFFICIENCY; ASSUMP_POWER_RAMP; ASSUMP_NUMERIC_ACCELERATOR_MIX; ASSUMP_INFERENCE_SHARE_NOT_FACT_60; ASSUMP_WORKLOAD_CLASS_MIX; ASSUMP_AGENTIC_CONTEXT_PENALTY</t>
        </is>
      </c>
      <c r="L151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52">
      <c r="A152" s="3" t="inlineStr">
        <is>
          <t>Google</t>
        </is>
      </c>
      <c r="B152" s="3" t="n">
        <v>2027</v>
      </c>
      <c r="C152" s="3" t="inlineStr">
        <is>
          <t>Bear</t>
        </is>
      </c>
      <c r="D152" s="3" t="inlineStr">
        <is>
          <t>fleet_reference_tps_per_mw</t>
        </is>
      </c>
      <c r="E152" s="3" t="n">
        <v>173666</v>
      </c>
      <c r="F152" s="3" t="inlineStr">
        <is>
          <t>generated output tokens/sec/MW</t>
        </is>
      </c>
      <c r="G152" s="3" t="inlineStr">
        <is>
          <t>Fleet-weighted public benchmark reference</t>
        </is>
      </c>
      <c r="H152" s="3" t="inlineStr">
        <is>
          <t>h200_share*h200_workload_avg + b200_share*b200_workload_avg + gb200_share*gb200_workload_avg + purpose_built_share*purpose_workload_avg</t>
        </is>
      </c>
      <c r="I15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2" s="3" t="inlineStr">
        <is>
          <t>SRC_SEMIANALYSIS_INFERENCEX; ASSUMP_NUMERIC_ACCELERATOR_MIX; ASSUMP_WORKLOAD_CLASS_MIX; ASSUMP_AGENTIC_CONTEXT_PENALTY</t>
        </is>
      </c>
      <c r="K152" s="3" t="inlineStr">
        <is>
          <t>ASSUMP_TPU_EFFICIENCY; ASSUMP_POWER_RAMP; ASSUMP_NUMERIC_ACCELERATOR_MIX; ASSUMP_INFERENCE_SHARE_NOT_FACT_60; ASSUMP_WORKLOAD_CLASS_MIX; ASSUMP_AGENTIC_CONTEXT_PENALTY</t>
        </is>
      </c>
      <c r="L152" s="3" t="inlineStr">
        <is>
          <t>Comparable production output-token throughput or a more closely matched benchmark.</t>
        </is>
      </c>
    </row>
    <row r="153">
      <c r="A153" s="3" t="inlineStr">
        <is>
          <t>Google</t>
        </is>
      </c>
      <c r="B153" s="3" t="n">
        <v>2027</v>
      </c>
      <c r="C153" s="3" t="inlineStr">
        <is>
          <t>Bear</t>
        </is>
      </c>
      <c r="D153" s="3" t="inlineStr">
        <is>
          <t>commercial_workload_fit_factor</t>
        </is>
      </c>
      <c r="E153" s="3" t="n">
        <v>0.4</v>
      </c>
      <c r="F153" s="3" t="inlineStr">
        <is>
          <t>share of public reference throughput</t>
        </is>
      </c>
      <c r="G153" s="3" t="inlineStr">
        <is>
          <t>Scenario assumption</t>
        </is>
      </c>
      <c r="H153" s="3" t="inlineStr">
        <is>
          <t>reference_serving_tps_per_mw = fleet_reference_tps_per_mw * commercial_workload_fit_factor</t>
        </is>
      </c>
      <c r="I15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53" s="3" t="inlineStr">
        <is>
          <t>SRC_SEMIANALYSIS_INFERENCEX; ASSUMP_NUMERIC_ACCELERATOR_MIX; ASSUMP_WORKLOAD_CLASS_MIX; ASSUMP_AGENTIC_CONTEXT_PENALTY</t>
        </is>
      </c>
      <c r="K153" s="3" t="inlineStr">
        <is>
          <t>ASSUMP_TPU_EFFICIENCY; ASSUMP_POWER_RAMP; ASSUMP_NUMERIC_ACCELERATOR_MIX; ASSUMP_INFERENCE_SHARE_NOT_FACT_60; ASSUMP_WORKLOAD_CLASS_MIX; ASSUMP_AGENTIC_CONTEXT_PENALTY</t>
        </is>
      </c>
      <c r="L153" s="3" t="inlineStr">
        <is>
          <t>Matched commercial serving benchmark by product surface, context shape and latency SLO.</t>
        </is>
      </c>
    </row>
    <row r="154">
      <c r="A154" s="3" t="inlineStr">
        <is>
          <t>Google</t>
        </is>
      </c>
      <c r="B154" s="3" t="n">
        <v>2027</v>
      </c>
      <c r="C154" s="3" t="inlineStr">
        <is>
          <t>Bear</t>
        </is>
      </c>
      <c r="D154" s="3" t="inlineStr">
        <is>
          <t>reference_serving_tps_per_mw</t>
        </is>
      </c>
      <c r="E154" s="3" t="n">
        <v>69466</v>
      </c>
      <c r="F154" s="3" t="inlineStr">
        <is>
          <t>generated output tokens/sec/MW</t>
        </is>
      </c>
      <c r="G154" s="3" t="inlineStr">
        <is>
          <t>Workload-adjusted benchmark proxy</t>
        </is>
      </c>
      <c r="H154" s="3" t="inlineStr">
        <is>
          <t>fleet_reference_tps_per_mw * commercial_workload_fit_factor</t>
        </is>
      </c>
      <c r="I154" s="3" t="inlineStr">
        <is>
          <t>This is the coefficient used for headline token generation; each GPU's short chat, long chat and agentic TPS/MW are weighted before fleet mix and commercial fit are applied.</t>
        </is>
      </c>
      <c r="J154" s="3" t="inlineStr">
        <is>
          <t>SRC_SEMIANALYSIS_INFERENCEX; ASSUMP_NUMERIC_ACCELERATOR_MIX; ASSUMP_WORKLOAD_CLASS_MIX; ASSUMP_AGENTIC_CONTEXT_PENALTY</t>
        </is>
      </c>
      <c r="K154" s="3" t="inlineStr">
        <is>
          <t>ASSUMP_TPU_EFFICIENCY; ASSUMP_POWER_RAMP; ASSUMP_NUMERIC_ACCELERATOR_MIX; ASSUMP_INFERENCE_SHARE_NOT_FACT_60; ASSUMP_WORKLOAD_CLASS_MIX; ASSUMP_AGENTIC_CONTEXT_PENALTY</t>
        </is>
      </c>
      <c r="L154" s="3" t="inlineStr">
        <is>
          <t>Provider production output-token throughput with comparable workload/SLO.</t>
        </is>
      </c>
    </row>
    <row r="155">
      <c r="A155" s="3" t="inlineStr">
        <is>
          <t>Google</t>
        </is>
      </c>
      <c r="B155" s="3" t="n">
        <v>2027</v>
      </c>
      <c r="C155" s="3" t="inlineStr">
        <is>
          <t>Bear</t>
        </is>
      </c>
      <c r="D155" s="3" t="inlineStr">
        <is>
          <t>purpose_built_tps_per_mw</t>
        </is>
      </c>
      <c r="E155" s="3" t="n">
        <v>54122</v>
      </c>
      <c r="F155" s="3" t="inlineStr">
        <is>
          <t>generated output tokens/sec/MW</t>
        </is>
      </c>
      <c r="G155" s="3" t="inlineStr">
        <is>
          <t>Conservative no-uplift proxy</t>
        </is>
      </c>
      <c r="H155" s="3" t="inlineStr">
        <is>
          <t>purpose_built_tps_per_mw = purpose_built_reference_tps_per_mw * commercial_workload_fit_factor until comparable output-token benchmark is adopted</t>
        </is>
      </c>
      <c r="I155" s="3" t="inlineStr">
        <is>
          <t>No comparable public output-token/MW row adopted; B200 public reference placeholder is used and remains editable.</t>
        </is>
      </c>
      <c r="J155" s="3" t="inlineStr">
        <is>
          <t>SRC_GOOGLE_GEMINI_TOKENS; SRC_GOOGLE_IRONWOOD; SRC_GOOGLE_TPU_V6E; SRC_EPOCH_AI_DATA_CENTERS; ASSUMP_NUMERIC_ACCELERATOR_MIX</t>
        </is>
      </c>
      <c r="K155" s="3" t="inlineStr">
        <is>
          <t>ASSUMP_TPU_EFFICIENCY; ASSUMP_POWER_RAMP; ASSUMP_NUMERIC_ACCELERATOR_MIX; ASSUMP_INFERENCE_SHARE_NOT_FACT_60; ASSUMP_WORKLOAD_CLASS_MIX; ASSUMP_AGENTIC_CONTEXT_PENALTY</t>
        </is>
      </c>
      <c r="L155" s="3" t="inlineStr">
        <is>
          <t>Matched-workload generated-output benchmark for the provider purpose-built accelerator.</t>
        </is>
      </c>
    </row>
    <row r="156">
      <c r="A156" s="3" t="inlineStr">
        <is>
          <t>Google</t>
        </is>
      </c>
      <c r="B156" s="3" t="n">
        <v>2027</v>
      </c>
      <c r="C156" s="3" t="inlineStr">
        <is>
          <t>Bear</t>
        </is>
      </c>
      <c r="D156" s="3" t="inlineStr">
        <is>
          <t>inference_power_share</t>
        </is>
      </c>
      <c r="E156" s="3" t="n">
        <v>0.508</v>
      </c>
      <c r="F156" s="3" t="inlineStr">
        <is>
          <t>share of AI IT load</t>
        </is>
      </c>
      <c r="G156" s="3" t="inlineStr">
        <is>
          <t>Scenario allocation</t>
        </is>
      </c>
      <c r="H156" s="3" t="inlineStr">
        <is>
          <t>inference_gw = ai_it_load_gw * inference_power_share</t>
        </is>
      </c>
      <c r="I156" s="3" t="inlineStr">
        <is>
          <t>Ironwood is positioned for inference and Gemini is commercialized across products; inference share increases as a scenario.</t>
        </is>
      </c>
      <c r="J156" s="3" t="inlineStr">
        <is>
          <t>SRC_GOOGLE_GEMINI_TOKENS; SRC_GOOGLE_IRONWOOD; SRC_GOOGLE_TPU_V6E; SRC_EPOCH_AI_DATA_CENTERS; ASSUMP_INFERENCE_SHARE_NOT_FACT_60</t>
        </is>
      </c>
      <c r="K156" s="3" t="inlineStr">
        <is>
          <t>ASSUMP_TPU_EFFICIENCY; ASSUMP_POWER_RAMP; ASSUMP_NUMERIC_ACCELERATOR_MIX; ASSUMP_INFERENCE_SHARE_NOT_FACT_60; ASSUMP_WORKLOAD_CLASS_MIX; ASSUMP_AGENTIC_CONTEXT_PENALTY</t>
        </is>
      </c>
      <c r="L156" s="3" t="inlineStr">
        <is>
          <t>Provider-specific inference/training workload power telemetry.</t>
        </is>
      </c>
    </row>
    <row r="157">
      <c r="A157" s="3" t="inlineStr">
        <is>
          <t>Google</t>
        </is>
      </c>
      <c r="B157" s="3" t="n">
        <v>2027</v>
      </c>
      <c r="C157" s="3" t="inlineStr">
        <is>
          <t>Bear</t>
        </is>
      </c>
      <c r="D157" s="3" t="inlineStr">
        <is>
          <t>inference_gw</t>
        </is>
      </c>
      <c r="E157" s="3" t="n">
        <v>1.116</v>
      </c>
      <c r="F157" s="3" t="inlineStr">
        <is>
          <t>GW</t>
        </is>
      </c>
      <c r="G157" s="3" t="inlineStr">
        <is>
          <t>Derived formula</t>
        </is>
      </c>
      <c r="H157" s="3" t="inlineStr">
        <is>
          <t>ai_it_load_gw * inference_power_share</t>
        </is>
      </c>
      <c r="I157" s="3" t="inlineStr">
        <is>
          <t>This is the operational power eligible to become commercial generated output tokens through the selected TPS/MW proxy.</t>
        </is>
      </c>
      <c r="J157" s="3" t="inlineStr">
        <is>
          <t>SRC_GOOGLE_GEMINI_TOKENS; SRC_GOOGLE_IRONWOOD; SRC_GOOGLE_TPU_V6E; SRC_EPOCH_AI_DATA_CENTERS</t>
        </is>
      </c>
      <c r="K157" s="3" t="inlineStr">
        <is>
          <t>ASSUMP_TPU_EFFICIENCY; ASSUMP_POWER_RAMP; ASSUMP_NUMERIC_ACCELERATOR_MIX; ASSUMP_INFERENCE_SHARE_NOT_FACT_60; ASSUMP_WORKLOAD_CLASS_MIX; ASSUMP_AGENTIC_CONTEXT_PENALTY</t>
        </is>
      </c>
      <c r="L157" s="3" t="inlineStr">
        <is>
          <t>Recompute after AI allocation or inference-share evidence changes.</t>
        </is>
      </c>
    </row>
    <row r="158">
      <c r="A158" s="3" t="inlineStr">
        <is>
          <t>Google</t>
        </is>
      </c>
      <c r="B158" s="3" t="n">
        <v>2027</v>
      </c>
      <c r="C158" s="3" t="inlineStr">
        <is>
          <t>Bear</t>
        </is>
      </c>
      <c r="D158" s="3" t="inlineStr">
        <is>
          <t>training_power_share</t>
        </is>
      </c>
      <c r="E158" s="3" t="n">
        <v>0.492</v>
      </c>
      <c r="F158" s="3" t="inlineStr">
        <is>
          <t>share of AI IT load</t>
        </is>
      </c>
      <c r="G158" s="3" t="inlineStr">
        <is>
          <t>Derived allocation</t>
        </is>
      </c>
      <c r="H158" s="3" t="inlineStr">
        <is>
          <t>1 - inference_power_share</t>
        </is>
      </c>
      <c r="I158" s="3" t="inlineStr">
        <is>
          <t>Training receives the complementary modeled AI IT allocation; it is not a disclosed company workload split.</t>
        </is>
      </c>
      <c r="J158" s="3" t="inlineStr">
        <is>
          <t>SRC_GOOGLE_GEMINI_TOKENS; SRC_GOOGLE_IRONWOOD; SRC_GOOGLE_TPU_V6E; SRC_EPOCH_AI_DATA_CENTERS; ASSUMP_INFERENCE_SHARE_NOT_FACT_60</t>
        </is>
      </c>
      <c r="K158" s="3" t="inlineStr">
        <is>
          <t>ASSUMP_TPU_EFFICIENCY; ASSUMP_POWER_RAMP; ASSUMP_NUMERIC_ACCELERATOR_MIX; ASSUMP_INFERENCE_SHARE_NOT_FACT_60; ASSUMP_WORKLOAD_CLASS_MIX; ASSUMP_AGENTIC_CONTEXT_PENALTY</t>
        </is>
      </c>
      <c r="L158" s="3" t="inlineStr">
        <is>
          <t>Provider-specific inference/training workload power telemetry.</t>
        </is>
      </c>
    </row>
    <row r="159">
      <c r="A159" s="3" t="inlineStr">
        <is>
          <t>Google</t>
        </is>
      </c>
      <c r="B159" s="3" t="n">
        <v>2027</v>
      </c>
      <c r="C159" s="3" t="inlineStr">
        <is>
          <t>Bear</t>
        </is>
      </c>
      <c r="D159" s="3" t="inlineStr">
        <is>
          <t>training_gw</t>
        </is>
      </c>
      <c r="E159" s="3" t="n">
        <v>1.083</v>
      </c>
      <c r="F159" s="3" t="inlineStr">
        <is>
          <t>GW</t>
        </is>
      </c>
      <c r="G159" s="3" t="inlineStr">
        <is>
          <t>Derived formula</t>
        </is>
      </c>
      <c r="H159" s="3" t="inlineStr">
        <is>
          <t>ai_it_load_gw * training_power_share</t>
        </is>
      </c>
      <c r="I159" s="3" t="inlineStr">
        <is>
          <t>Training GW is shown separately so commercial inference token capacity is not overstated.</t>
        </is>
      </c>
      <c r="J159" s="3" t="inlineStr">
        <is>
          <t>SRC_GOOGLE_GEMINI_TOKENS; SRC_GOOGLE_IRONWOOD; SRC_GOOGLE_TPU_V6E; SRC_EPOCH_AI_DATA_CENTERS</t>
        </is>
      </c>
      <c r="K159" s="3" t="inlineStr">
        <is>
          <t>ASSUMP_TPU_EFFICIENCY; ASSUMP_POWER_RAMP; ASSUMP_NUMERIC_ACCELERATOR_MIX; ASSUMP_INFERENCE_SHARE_NOT_FACT_60; ASSUMP_WORKLOAD_CLASS_MIX; ASSUMP_AGENTIC_CONTEXT_PENALTY</t>
        </is>
      </c>
      <c r="L159" s="3" t="inlineStr">
        <is>
          <t>Recompute after AI allocation or workload-split evidence changes.</t>
        </is>
      </c>
    </row>
    <row r="160">
      <c r="A160" s="3" t="inlineStr">
        <is>
          <t>Google</t>
        </is>
      </c>
      <c r="B160" s="3" t="n">
        <v>2027</v>
      </c>
      <c r="C160" s="3" t="inlineStr">
        <is>
          <t>Bear</t>
        </is>
      </c>
      <c r="D160" s="3" t="inlineStr">
        <is>
          <t>tokens_per_second_per_mw</t>
        </is>
      </c>
      <c r="E160" s="3" t="n">
        <v>69466</v>
      </c>
      <c r="F160" s="3" t="inlineStr">
        <is>
          <t>generated output tokens/sec/MW</t>
        </is>
      </c>
      <c r="G160" s="3" t="inlineStr">
        <is>
          <t>Derived estimate + benchmark calibration</t>
        </is>
      </c>
      <c r="H160" s="3" t="inlineStr">
        <is>
          <t>fleet_reference_tps_per_mw * commercial_workload_fit_factor</t>
        </is>
      </c>
      <c r="I16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60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60" s="3" t="inlineStr">
        <is>
          <t>ASSUMP_TPU_EFFICIENCY; ASSUMP_POWER_RAMP; ASSUMP_NUMERIC_ACCELERATOR_MIX; ASSUMP_INFERENCE_SHARE_NOT_FACT_60; ASSUMP_WORKLOAD_CLASS_MIX; ASSUMP_AGENTIC_CONTEXT_PENALTY</t>
        </is>
      </c>
      <c r="L160" s="3" t="inlineStr">
        <is>
          <t>Comparable production output-token throughput with model, hardware, precision, ISL/OSL and SLO matched.</t>
        </is>
      </c>
    </row>
    <row r="161">
      <c r="A161" s="3" t="inlineStr">
        <is>
          <t>Google</t>
        </is>
      </c>
      <c r="B161" s="3" t="n">
        <v>2027</v>
      </c>
      <c r="C161" s="3" t="inlineStr">
        <is>
          <t>Bear</t>
        </is>
      </c>
      <c r="D161" s="3" t="inlineStr">
        <is>
          <t>inference_tokens_per_day</t>
        </is>
      </c>
      <c r="E161" s="3" t="n">
        <v>6698078438400</v>
      </c>
      <c r="F161" s="3" t="inlineStr">
        <is>
          <t>generated output tokens/day</t>
        </is>
      </c>
      <c r="G161" s="3" t="inlineStr">
        <is>
          <t>Derived headline metric</t>
        </is>
      </c>
      <c r="H161" s="3" t="inlineStr">
        <is>
          <t>inference_gw * 1000 * tokens_per_second_per_mw * 86,400</t>
        </is>
      </c>
      <c r="I161" s="3" t="inlineStr">
        <is>
          <t>Headline capacity uses no utilization, MoE, architecture or software-growth multiplier; it is not observed commercial output volume.</t>
        </is>
      </c>
      <c r="J161" s="3" t="inlineStr">
        <is>
          <t>SRC_GOOGLE_GEMINI_TOKENS; SRC_GOOGLE_IRONWOOD; SRC_GOOGLE_TPU_V6E; SRC_EPOCH_AI_DATA_CENTERS; SRC_SEMIANALYSIS_INFERENCEX</t>
        </is>
      </c>
      <c r="K161" s="3" t="inlineStr">
        <is>
          <t>ASSUMP_TPU_EFFICIENCY; ASSUMP_POWER_RAMP; ASSUMP_NUMERIC_ACCELERATOR_MIX; ASSUMP_INFERENCE_SHARE_NOT_FACT_60; ASSUMP_WORKLOAD_CLASS_MIX; ASSUMP_AGENTIC_CONTEXT_PENALTY</t>
        </is>
      </c>
      <c r="L161" s="3" t="inlineStr">
        <is>
          <t>Provider-disclosed generated output token volume or calibrated capacity telemetry.</t>
        </is>
      </c>
    </row>
    <row r="162">
      <c r="A162" s="3" t="inlineStr">
        <is>
          <t>Google</t>
        </is>
      </c>
      <c r="B162" s="3" t="n">
        <v>2027</v>
      </c>
      <c r="C162" s="3" t="inlineStr">
        <is>
          <t>Bear</t>
        </is>
      </c>
      <c r="D162" s="3" t="inlineStr">
        <is>
          <t>inference_tokens_per_year</t>
        </is>
      </c>
      <c r="E162" s="3" t="n">
        <v>2444798630016000</v>
      </c>
      <c r="F162" s="3" t="inlineStr">
        <is>
          <t>generated output tokens/year</t>
        </is>
      </c>
      <c r="G162" s="3" t="inlineStr">
        <is>
          <t>Derived headline metric</t>
        </is>
      </c>
      <c r="H162" s="3" t="inlineStr">
        <is>
          <t>inference_tokens_per_day * 365</t>
        </is>
      </c>
      <c r="I162" s="3" t="inlineStr">
        <is>
          <t>Annualized version of generated output token capacity; it is not observed annual demand or billable volume.</t>
        </is>
      </c>
      <c r="J162" s="3" t="inlineStr">
        <is>
          <t>SRC_GOOGLE_GEMINI_TOKENS; SRC_GOOGLE_IRONWOOD; SRC_GOOGLE_TPU_V6E; SRC_EPOCH_AI_DATA_CENTERS; SRC_SEMIANALYSIS_INFERENCEX</t>
        </is>
      </c>
      <c r="K162" s="3" t="inlineStr">
        <is>
          <t>ASSUMP_TPU_EFFICIENCY; ASSUMP_POWER_RAMP; ASSUMP_NUMERIC_ACCELERATOR_MIX; ASSUMP_INFERENCE_SHARE_NOT_FACT_60; ASSUMP_WORKLOAD_CLASS_MIX; ASSUMP_AGENTIC_CONTEXT_PENALTY</t>
        </is>
      </c>
      <c r="L162" s="3" t="inlineStr">
        <is>
          <t>Provider-disclosed annual generated-output volume or metered serving telemetry.</t>
        </is>
      </c>
    </row>
    <row r="163">
      <c r="A163" s="3" t="inlineStr">
        <is>
          <t>Google</t>
        </is>
      </c>
      <c r="B163" s="3" t="n">
        <v>2028</v>
      </c>
      <c r="C163" s="3" t="inlineStr">
        <is>
          <t>Bear</t>
        </is>
      </c>
      <c r="D163" s="3" t="inlineStr">
        <is>
          <t>contracted_power_gw</t>
        </is>
      </c>
      <c r="E163" s="3" t="n">
        <v>6.25</v>
      </c>
      <c r="F163" s="3" t="inlineStr">
        <is>
          <t>GW</t>
        </is>
      </c>
      <c r="G163" s="3" t="inlineStr">
        <is>
          <t>Scenario capacity envelope</t>
        </is>
      </c>
      <c r="H163" s="3" t="inlineStr">
        <is>
          <t>linear interpolation between 2026 and 2030 company capacity endpoints</t>
        </is>
      </c>
      <c r="I163" s="3" t="inlineStr">
        <is>
          <t>Scenario envelope for Gemini-serving capacity; official TPU hardware direction is disclosed, company-level contracted GW is not.</t>
        </is>
      </c>
      <c r="J163" s="3" t="inlineStr">
        <is>
          <t>ASSUMP_POWER_RAMP; SRC_GOOGLE_IRONWOOD; SRC_GOOGLE_TPU_V6E</t>
        </is>
      </c>
      <c r="K163" s="3" t="inlineStr">
        <is>
          <t>ASSUMP_TPU_EFFICIENCY; ASSUMP_POWER_RAMP; ASSUMP_NUMERIC_ACCELERATOR_MIX; ASSUMP_INFERENCE_SHARE_NOT_FACT_60; ASSUMP_WORKLOAD_CLASS_MIX; ASSUMP_AGENTIC_CONTEXT_PENALTY</t>
        </is>
      </c>
      <c r="L163" s="3" t="inlineStr">
        <is>
          <t>Company/site-level committed MW/GW, interconnect and contract disclosure.</t>
        </is>
      </c>
    </row>
    <row r="164">
      <c r="A164" s="3" t="inlineStr">
        <is>
          <t>Google</t>
        </is>
      </c>
      <c r="B164" s="3" t="n">
        <v>2028</v>
      </c>
      <c r="C164" s="3" t="inlineStr">
        <is>
          <t>Bear</t>
        </is>
      </c>
      <c r="D164" s="3" t="inlineStr">
        <is>
          <t>operational_deployment_share</t>
        </is>
      </c>
      <c r="E164" s="3" t="n">
        <v>0.6192</v>
      </c>
      <c r="F164" s="3" t="inlineStr">
        <is>
          <t>share</t>
        </is>
      </c>
      <c r="G164" s="3" t="inlineStr">
        <is>
          <t>Scenario conversion</t>
        </is>
      </c>
      <c r="H164" s="3" t="inlineStr">
        <is>
          <t>active_power_gw / contracted_power_gw</t>
        </is>
      </c>
      <c r="I164" s="3" t="inlineStr">
        <is>
          <t>This is the single explicit conversion from contracted/attributed capacity to operationally usable capacity.</t>
        </is>
      </c>
      <c r="J164" s="3" t="inlineStr">
        <is>
          <t>ASSUMP_POWER_RAMP; SRC_GOOGLE_IRONWOOD; SRC_GOOGLE_TPU_V6E</t>
        </is>
      </c>
      <c r="K164" s="3" t="inlineStr">
        <is>
          <t>ASSUMP_TPU_EFFICIENCY; ASSUMP_POWER_RAMP; ASSUMP_NUMERIC_ACCELERATOR_MIX; ASSUMP_INFERENCE_SHARE_NOT_FACT_60; ASSUMP_WORKLOAD_CLASS_MIX; ASSUMP_AGENTIC_CONTEXT_PENALTY</t>
        </is>
      </c>
      <c r="L164" s="3" t="inlineStr">
        <is>
          <t>Energized operational capacity divided by contracted/attributed capacity.</t>
        </is>
      </c>
    </row>
    <row r="165">
      <c r="A165" s="3" t="inlineStr">
        <is>
          <t>Google</t>
        </is>
      </c>
      <c r="B165" s="3" t="n">
        <v>2028</v>
      </c>
      <c r="C165" s="3" t="inlineStr">
        <is>
          <t>Bear</t>
        </is>
      </c>
      <c r="D165" s="3" t="inlineStr">
        <is>
          <t>active_power_gw</t>
        </is>
      </c>
      <c r="E165" s="3" t="n">
        <v>3.87</v>
      </c>
      <c r="F165" s="3" t="inlineStr">
        <is>
          <t>GW</t>
        </is>
      </c>
      <c r="G165" s="3" t="inlineStr">
        <is>
          <t>Derived scenario</t>
        </is>
      </c>
      <c r="H165" s="3" t="inlineStr">
        <is>
          <t>contracted_power_gw * operational_deployment_share</t>
        </is>
      </c>
      <c r="I165" s="3" t="inlineStr">
        <is>
          <t>TPU generation availability supports ramp direction, while active GW remains a staged deployment estimate.</t>
        </is>
      </c>
      <c r="J165" s="3" t="inlineStr">
        <is>
          <t>ASSUMP_POWER_RAMP; SRC_GOOGLE_IRONWOOD; SRC_GOOGLE_TPU_V6E</t>
        </is>
      </c>
      <c r="K165" s="3" t="inlineStr">
        <is>
          <t>ASSUMP_TPU_EFFICIENCY; ASSUMP_POWER_RAMP; ASSUMP_NUMERIC_ACCELERATOR_MIX; ASSUMP_INFERENCE_SHARE_NOT_FACT_60; ASSUMP_WORKLOAD_CLASS_MIX; ASSUMP_AGENTIC_CONTEXT_PENALTY</t>
        </is>
      </c>
      <c r="L165" s="3" t="inlineStr">
        <is>
          <t>Energization dates, accelerator deliveries and operational powered-rack telemetry.</t>
        </is>
      </c>
    </row>
    <row r="166">
      <c r="A166" s="3" t="inlineStr">
        <is>
          <t>Google</t>
        </is>
      </c>
      <c r="B166" s="3" t="n">
        <v>2028</v>
      </c>
      <c r="C166" s="3" t="inlineStr">
        <is>
          <t>Bear</t>
        </is>
      </c>
      <c r="D166" s="3" t="inlineStr">
        <is>
          <t>pue</t>
        </is>
      </c>
      <c r="E166" s="3" t="n">
        <v>1.18</v>
      </c>
      <c r="F166" s="3" t="inlineStr">
        <is>
          <t>ratio</t>
        </is>
      </c>
      <c r="G166" s="3" t="inlineStr">
        <is>
          <t>Scenario parameter</t>
        </is>
      </c>
      <c r="H166" s="3" t="inlineStr">
        <is>
          <t>it_load_gw = active_power_gw / pue</t>
        </is>
      </c>
      <c r="I166" s="3" t="inlineStr">
        <is>
          <t>No provider-wide site-level PUE is used as a disclosed fact; PUE represents facility-to-IT conversion within the scenario.</t>
        </is>
      </c>
      <c r="J166" s="3" t="inlineStr">
        <is>
          <t>ASSUMP_POWER_RAMP</t>
        </is>
      </c>
      <c r="K166" s="3" t="inlineStr">
        <is>
          <t>ASSUMP_TPU_EFFICIENCY; ASSUMP_POWER_RAMP; ASSUMP_NUMERIC_ACCELERATOR_MIX; ASSUMP_INFERENCE_SHARE_NOT_FACT_60; ASSUMP_WORKLOAD_CLASS_MIX; ASSUMP_AGENTIC_CONTEXT_PENALTY</t>
        </is>
      </c>
      <c r="L166" s="3" t="inlineStr">
        <is>
          <t>Site-level measured PUE matched to attributed AI capacity.</t>
        </is>
      </c>
    </row>
    <row r="167">
      <c r="A167" s="3" t="inlineStr">
        <is>
          <t>Google</t>
        </is>
      </c>
      <c r="B167" s="3" t="n">
        <v>2028</v>
      </c>
      <c r="C167" s="3" t="inlineStr">
        <is>
          <t>Bear</t>
        </is>
      </c>
      <c r="D167" s="3" t="inlineStr">
        <is>
          <t>it_load_gw</t>
        </is>
      </c>
      <c r="E167" s="3" t="n">
        <v>3.28</v>
      </c>
      <c r="F167" s="3" t="inlineStr">
        <is>
          <t>GW</t>
        </is>
      </c>
      <c r="G167" s="3" t="inlineStr">
        <is>
          <t>Derived formula</t>
        </is>
      </c>
      <c r="H167" s="3" t="inlineStr">
        <is>
          <t>active_power_gw / pue</t>
        </is>
      </c>
      <c r="I167" s="3" t="inlineStr">
        <is>
          <t>Facility power is converted to IT-deliverable power before attributing AI workloads.</t>
        </is>
      </c>
      <c r="J167" s="3" t="inlineStr">
        <is>
          <t>ASSUMP_POWER_RAMP; SRC_GOOGLE_IRONWOOD; SRC_GOOGLE_TPU_V6E</t>
        </is>
      </c>
      <c r="K167" s="3" t="inlineStr">
        <is>
          <t>ASSUMP_TPU_EFFICIENCY; ASSUMP_POWER_RAMP; ASSUMP_NUMERIC_ACCELERATOR_MIX; ASSUMP_INFERENCE_SHARE_NOT_FACT_60; ASSUMP_WORKLOAD_CLASS_MIX; ASSUMP_AGENTIC_CONTEXT_PENALTY</t>
        </is>
      </c>
      <c r="L167" s="3" t="inlineStr">
        <is>
          <t>Recompute once active power and PUE become site-observable.</t>
        </is>
      </c>
    </row>
    <row r="168">
      <c r="A168" s="3" t="inlineStr">
        <is>
          <t>Google</t>
        </is>
      </c>
      <c r="B168" s="3" t="n">
        <v>2028</v>
      </c>
      <c r="C168" s="3" t="inlineStr">
        <is>
          <t>Bear</t>
        </is>
      </c>
      <c r="D168" s="3" t="inlineStr">
        <is>
          <t>ai_workload_share</t>
        </is>
      </c>
      <c r="E168" s="3" t="n">
        <v>0.88</v>
      </c>
      <c r="F168" s="3" t="inlineStr">
        <is>
          <t>share</t>
        </is>
      </c>
      <c r="G168" s="3" t="inlineStr">
        <is>
          <t>Scenario allocation</t>
        </is>
      </c>
      <c r="H168" s="3" t="inlineStr">
        <is>
          <t>ai_it_load_gw = it_load_gw * ai_workload_share</t>
        </is>
      </c>
      <c r="I168" s="3" t="inlineStr">
        <is>
          <t>Gemini/Vertex TPU serving is AI-dedicated in the modeled capacity envelope; 88% excludes platform/reserve load.</t>
        </is>
      </c>
      <c r="J168" s="3" t="inlineStr">
        <is>
          <t>SRC_GOOGLE_GEMINI_TOKENS; SRC_GOOGLE_IRONWOOD; SRC_GOOGLE_TPU_V6E; SRC_EPOCH_AI_DATA_CENTERS</t>
        </is>
      </c>
      <c r="K168" s="3" t="inlineStr">
        <is>
          <t>ASSUMP_TPU_EFFICIENCY; ASSUMP_POWER_RAMP; ASSUMP_NUMERIC_ACCELERATOR_MIX; ASSUMP_INFERENCE_SHARE_NOT_FACT_60; ASSUMP_WORKLOAD_CLASS_MIX; ASSUMP_AGENTIC_CONTEXT_PENALTY</t>
        </is>
      </c>
      <c r="L168" s="3" t="inlineStr">
        <is>
          <t>Model-owner AI workload allocation or cluster scheduling telemetry.</t>
        </is>
      </c>
    </row>
    <row r="169">
      <c r="A169" s="3" t="inlineStr">
        <is>
          <t>Google</t>
        </is>
      </c>
      <c r="B169" s="3" t="n">
        <v>2028</v>
      </c>
      <c r="C169" s="3" t="inlineStr">
        <is>
          <t>Bear</t>
        </is>
      </c>
      <c r="D169" s="3" t="inlineStr">
        <is>
          <t>ai_it_load_gw</t>
        </is>
      </c>
      <c r="E169" s="3" t="n">
        <v>2.886</v>
      </c>
      <c r="F169" s="3" t="inlineStr">
        <is>
          <t>GW</t>
        </is>
      </c>
      <c r="G169" s="3" t="inlineStr">
        <is>
          <t>Derived formula</t>
        </is>
      </c>
      <c r="H169" s="3" t="inlineStr">
        <is>
          <t>it_load_gw * ai_workload_share</t>
        </is>
      </c>
      <c r="I169" s="3" t="inlineStr">
        <is>
          <t>Only the AI-attributed portion of IT load enters training/inference allocation.</t>
        </is>
      </c>
      <c r="J169" s="3" t="inlineStr">
        <is>
          <t>SRC_GOOGLE_GEMINI_TOKENS; SRC_GOOGLE_IRONWOOD; SRC_GOOGLE_TPU_V6E; SRC_EPOCH_AI_DATA_CENTERS</t>
        </is>
      </c>
      <c r="K169" s="3" t="inlineStr">
        <is>
          <t>ASSUMP_TPU_EFFICIENCY; ASSUMP_POWER_RAMP; ASSUMP_NUMERIC_ACCELERATOR_MIX; ASSUMP_INFERENCE_SHARE_NOT_FACT_60; ASSUMP_WORKLOAD_CLASS_MIX; ASSUMP_AGENTIC_CONTEXT_PENALTY</t>
        </is>
      </c>
      <c r="L169" s="3" t="inlineStr">
        <is>
          <t>Recompute after ai_workload_share is replaced by telemetry.</t>
        </is>
      </c>
    </row>
    <row r="170">
      <c r="A170" s="3" t="inlineStr">
        <is>
          <t>Google</t>
        </is>
      </c>
      <c r="B170" s="3" t="n">
        <v>2028</v>
      </c>
      <c r="C170" s="3" t="inlineStr">
        <is>
          <t>Bear</t>
        </is>
      </c>
      <c r="D170" s="3" t="inlineStr">
        <is>
          <t>gpu_share</t>
        </is>
      </c>
      <c r="E170" s="3" t="n">
        <v>0.109158</v>
      </c>
      <c r="F170" s="3" t="inlineStr">
        <is>
          <t>share of inference-serving accelerator load</t>
        </is>
      </c>
      <c r="G170" s="3" t="inlineStr">
        <is>
          <t>Numeric scenario</t>
        </is>
      </c>
      <c r="H170" s="3" t="inlineStr">
        <is>
          <t>gpu_share interpolated from company 2026/2030 accelerator-mix endpoints</t>
        </is>
      </c>
      <c r="I170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70" s="3" t="inlineStr">
        <is>
          <t>SRC_GOOGLE_GEMINI_TOKENS; SRC_GOOGLE_IRONWOOD; SRC_GOOGLE_TPU_V6E; SRC_EPOCH_AI_DATA_CENTERS; ASSUMP_NUMERIC_ACCELERATOR_MIX</t>
        </is>
      </c>
      <c r="K170" s="3" t="inlineStr">
        <is>
          <t>ASSUMP_TPU_EFFICIENCY; ASSUMP_POWER_RAMP; ASSUMP_NUMERIC_ACCELERATOR_MIX; ASSUMP_INFERENCE_SHARE_NOT_FACT_60; ASSUMP_WORKLOAD_CLASS_MIX; ASSUMP_AGENTIC_CONTEXT_PENALTY</t>
        </is>
      </c>
      <c r="L170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71">
      <c r="A171" s="3" t="inlineStr">
        <is>
          <t>Google</t>
        </is>
      </c>
      <c r="B171" s="3" t="n">
        <v>2028</v>
      </c>
      <c r="C171" s="3" t="inlineStr">
        <is>
          <t>Bear</t>
        </is>
      </c>
      <c r="D171" s="3" t="inlineStr">
        <is>
          <t>h200_share</t>
        </is>
      </c>
      <c r="E171" s="3" t="n">
        <v>0.011989</v>
      </c>
      <c r="F171" s="3" t="inlineStr">
        <is>
          <t>share of inference-serving accelerator load</t>
        </is>
      </c>
      <c r="G171" s="3" t="inlineStr">
        <is>
          <t>Editable numeric scenario</t>
        </is>
      </c>
      <c r="H171" s="3" t="inlineStr">
        <is>
          <t>h200_share = gpu_share * default_gpu_generation_mix_h200</t>
        </is>
      </c>
      <c r="I171" s="3" t="inlineStr">
        <is>
          <t>Default GPU-generation migration assumption; executive workbook allows later manual replacement by company/year/scenario.</t>
        </is>
      </c>
      <c r="J171" s="3" t="inlineStr">
        <is>
          <t>SRC_SEMIANALYSIS_INFERENCEX; ASSUMP_NUMERIC_ACCELERATOR_MIX</t>
        </is>
      </c>
      <c r="K171" s="3" t="inlineStr">
        <is>
          <t>ASSUMP_TPU_EFFICIENCY; ASSUMP_POWER_RAMP; ASSUMP_NUMERIC_ACCELERATOR_MIX; ASSUMP_INFERENCE_SHARE_NOT_FACT_60; ASSUMP_WORKLOAD_CLASS_MIX; ASSUMP_AGENTIC_CONTEXT_PENALTY</t>
        </is>
      </c>
      <c r="L171" s="3" t="inlineStr">
        <is>
          <t>Company fleet inventory, accelerator-hours or procurement/deployment records by GPU generation.</t>
        </is>
      </c>
    </row>
    <row r="172">
      <c r="A172" s="3" t="inlineStr">
        <is>
          <t>Google</t>
        </is>
      </c>
      <c r="B172" s="3" t="n">
        <v>2028</v>
      </c>
      <c r="C172" s="3" t="inlineStr">
        <is>
          <t>Bear</t>
        </is>
      </c>
      <c r="D172" s="3" t="inlineStr">
        <is>
          <t>b200_share</t>
        </is>
      </c>
      <c r="E172" s="3" t="n">
        <v>0.086159</v>
      </c>
      <c r="F172" s="3" t="inlineStr">
        <is>
          <t>share of inference-serving accelerator load</t>
        </is>
      </c>
      <c r="G172" s="3" t="inlineStr">
        <is>
          <t>Editable numeric scenario</t>
        </is>
      </c>
      <c r="H172" s="3" t="inlineStr">
        <is>
          <t>b200_share = gpu_share * default_gpu_generation_mix_b200</t>
        </is>
      </c>
      <c r="I172" s="3" t="inlineStr">
        <is>
          <t>Default GPU-generation migration assumption; executive workbook allows later manual replacement by company/year/scenario.</t>
        </is>
      </c>
      <c r="J172" s="3" t="inlineStr">
        <is>
          <t>SRC_SEMIANALYSIS_INFERENCEX; ASSUMP_NUMERIC_ACCELERATOR_MIX</t>
        </is>
      </c>
      <c r="K172" s="3" t="inlineStr">
        <is>
          <t>ASSUMP_TPU_EFFICIENCY; ASSUMP_POWER_RAMP; ASSUMP_NUMERIC_ACCELERATOR_MIX; ASSUMP_INFERENCE_SHARE_NOT_FACT_60; ASSUMP_WORKLOAD_CLASS_MIX; ASSUMP_AGENTIC_CONTEXT_PENALTY</t>
        </is>
      </c>
      <c r="L172" s="3" t="inlineStr">
        <is>
          <t>Company fleet inventory, accelerator-hours or procurement/deployment records by GPU generation.</t>
        </is>
      </c>
    </row>
    <row r="173">
      <c r="A173" s="3" t="inlineStr">
        <is>
          <t>Google</t>
        </is>
      </c>
      <c r="B173" s="3" t="n">
        <v>2028</v>
      </c>
      <c r="C173" s="3" t="inlineStr">
        <is>
          <t>Bear</t>
        </is>
      </c>
      <c r="D173" s="3" t="inlineStr">
        <is>
          <t>gb200_share</t>
        </is>
      </c>
      <c r="E173" s="3" t="n">
        <v>0.01101</v>
      </c>
      <c r="F173" s="3" t="inlineStr">
        <is>
          <t>share of inference-serving accelerator load</t>
        </is>
      </c>
      <c r="G173" s="3" t="inlineStr">
        <is>
          <t>Editable numeric scenario</t>
        </is>
      </c>
      <c r="H173" s="3" t="inlineStr">
        <is>
          <t>gb200_share = gpu_share * default_gpu_generation_mix_gb200</t>
        </is>
      </c>
      <c r="I173" s="3" t="inlineStr">
        <is>
          <t>Default GPU-generation migration assumption; executive workbook allows later manual replacement by company/year/scenario.</t>
        </is>
      </c>
      <c r="J173" s="3" t="inlineStr">
        <is>
          <t>SRC_SEMIANALYSIS_INFERENCEX; ASSUMP_NUMERIC_ACCELERATOR_MIX</t>
        </is>
      </c>
      <c r="K173" s="3" t="inlineStr">
        <is>
          <t>ASSUMP_TPU_EFFICIENCY; ASSUMP_POWER_RAMP; ASSUMP_NUMERIC_ACCELERATOR_MIX; ASSUMP_INFERENCE_SHARE_NOT_FACT_60; ASSUMP_WORKLOAD_CLASS_MIX; ASSUMP_AGENTIC_CONTEXT_PENALTY</t>
        </is>
      </c>
      <c r="L173" s="3" t="inlineStr">
        <is>
          <t>Company fleet inventory, accelerator-hours or procurement/deployment records by GPU generation.</t>
        </is>
      </c>
    </row>
    <row r="174">
      <c r="A174" s="3" t="inlineStr">
        <is>
          <t>Google</t>
        </is>
      </c>
      <c r="B174" s="3" t="n">
        <v>2028</v>
      </c>
      <c r="C174" s="3" t="inlineStr">
        <is>
          <t>Bear</t>
        </is>
      </c>
      <c r="D174" s="3" t="inlineStr">
        <is>
          <t>purpose_built_accelerator_share</t>
        </is>
      </c>
      <c r="E174" s="3" t="n">
        <v>0.890842</v>
      </c>
      <c r="F174" s="3" t="inlineStr">
        <is>
          <t>share of inference-serving accelerator load</t>
        </is>
      </c>
      <c r="G174" s="3" t="inlineStr">
        <is>
          <t>Numeric scenario</t>
        </is>
      </c>
      <c r="H174" s="3" t="inlineStr">
        <is>
          <t>1 - gpu_share</t>
        </is>
      </c>
      <c r="I174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74" s="3" t="inlineStr">
        <is>
          <t>SRC_GOOGLE_GEMINI_TOKENS; SRC_GOOGLE_IRONWOOD; SRC_GOOGLE_TPU_V6E; SRC_EPOCH_AI_DATA_CENTERS; ASSUMP_NUMERIC_ACCELERATOR_MIX</t>
        </is>
      </c>
      <c r="K174" s="3" t="inlineStr">
        <is>
          <t>ASSUMP_TPU_EFFICIENCY; ASSUMP_POWER_RAMP; ASSUMP_NUMERIC_ACCELERATOR_MIX; ASSUMP_INFERENCE_SHARE_NOT_FACT_60; ASSUMP_WORKLOAD_CLASS_MIX; ASSUMP_AGENTIC_CONTEXT_PENALTY</t>
        </is>
      </c>
      <c r="L174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75">
      <c r="A175" s="3" t="inlineStr">
        <is>
          <t>Google</t>
        </is>
      </c>
      <c r="B175" s="3" t="n">
        <v>2028</v>
      </c>
      <c r="C175" s="3" t="inlineStr">
        <is>
          <t>Bear</t>
        </is>
      </c>
      <c r="D175" s="3" t="inlineStr">
        <is>
          <t>fleet_reference_tps_per_mw</t>
        </is>
      </c>
      <c r="E175" s="3" t="n">
        <v>180670</v>
      </c>
      <c r="F175" s="3" t="inlineStr">
        <is>
          <t>generated output tokens/sec/MW</t>
        </is>
      </c>
      <c r="G175" s="3" t="inlineStr">
        <is>
          <t>Fleet-weighted public benchmark reference</t>
        </is>
      </c>
      <c r="H175" s="3" t="inlineStr">
        <is>
          <t>h200_share*h200_workload_avg + b200_share*b200_workload_avg + gb200_share*gb200_workload_avg + purpose_built_share*purpose_workload_avg</t>
        </is>
      </c>
      <c r="I17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5" s="3" t="inlineStr">
        <is>
          <t>SRC_SEMIANALYSIS_INFERENCEX; ASSUMP_NUMERIC_ACCELERATOR_MIX; ASSUMP_WORKLOAD_CLASS_MIX; ASSUMP_AGENTIC_CONTEXT_PENALTY</t>
        </is>
      </c>
      <c r="K175" s="3" t="inlineStr">
        <is>
          <t>ASSUMP_TPU_EFFICIENCY; ASSUMP_POWER_RAMP; ASSUMP_NUMERIC_ACCELERATOR_MIX; ASSUMP_INFERENCE_SHARE_NOT_FACT_60; ASSUMP_WORKLOAD_CLASS_MIX; ASSUMP_AGENTIC_CONTEXT_PENALTY</t>
        </is>
      </c>
      <c r="L175" s="3" t="inlineStr">
        <is>
          <t>Comparable production output-token throughput or a more closely matched benchmark.</t>
        </is>
      </c>
    </row>
    <row r="176">
      <c r="A176" s="3" t="inlineStr">
        <is>
          <t>Google</t>
        </is>
      </c>
      <c r="B176" s="3" t="n">
        <v>2028</v>
      </c>
      <c r="C176" s="3" t="inlineStr">
        <is>
          <t>Bear</t>
        </is>
      </c>
      <c r="D176" s="3" t="inlineStr">
        <is>
          <t>commercial_workload_fit_factor</t>
        </is>
      </c>
      <c r="E176" s="3" t="n">
        <v>0.4</v>
      </c>
      <c r="F176" s="3" t="inlineStr">
        <is>
          <t>share of public reference throughput</t>
        </is>
      </c>
      <c r="G176" s="3" t="inlineStr">
        <is>
          <t>Scenario assumption</t>
        </is>
      </c>
      <c r="H176" s="3" t="inlineStr">
        <is>
          <t>reference_serving_tps_per_mw = fleet_reference_tps_per_mw * commercial_workload_fit_factor</t>
        </is>
      </c>
      <c r="I17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76" s="3" t="inlineStr">
        <is>
          <t>SRC_SEMIANALYSIS_INFERENCEX; ASSUMP_NUMERIC_ACCELERATOR_MIX; ASSUMP_WORKLOAD_CLASS_MIX; ASSUMP_AGENTIC_CONTEXT_PENALTY</t>
        </is>
      </c>
      <c r="K176" s="3" t="inlineStr">
        <is>
          <t>ASSUMP_TPU_EFFICIENCY; ASSUMP_POWER_RAMP; ASSUMP_NUMERIC_ACCELERATOR_MIX; ASSUMP_INFERENCE_SHARE_NOT_FACT_60; ASSUMP_WORKLOAD_CLASS_MIX; ASSUMP_AGENTIC_CONTEXT_PENALTY</t>
        </is>
      </c>
      <c r="L176" s="3" t="inlineStr">
        <is>
          <t>Matched commercial serving benchmark by product surface, context shape and latency SLO.</t>
        </is>
      </c>
    </row>
    <row r="177">
      <c r="A177" s="3" t="inlineStr">
        <is>
          <t>Google</t>
        </is>
      </c>
      <c r="B177" s="3" t="n">
        <v>2028</v>
      </c>
      <c r="C177" s="3" t="inlineStr">
        <is>
          <t>Bear</t>
        </is>
      </c>
      <c r="D177" s="3" t="inlineStr">
        <is>
          <t>reference_serving_tps_per_mw</t>
        </is>
      </c>
      <c r="E177" s="3" t="n">
        <v>72268</v>
      </c>
      <c r="F177" s="3" t="inlineStr">
        <is>
          <t>generated output tokens/sec/MW</t>
        </is>
      </c>
      <c r="G177" s="3" t="inlineStr">
        <is>
          <t>Workload-adjusted benchmark proxy</t>
        </is>
      </c>
      <c r="H177" s="3" t="inlineStr">
        <is>
          <t>fleet_reference_tps_per_mw * commercial_workload_fit_factor</t>
        </is>
      </c>
      <c r="I177" s="3" t="inlineStr">
        <is>
          <t>This is the coefficient used for headline token generation; each GPU's short chat, long chat and agentic TPS/MW are weighted before fleet mix and commercial fit are applied.</t>
        </is>
      </c>
      <c r="J177" s="3" t="inlineStr">
        <is>
          <t>SRC_SEMIANALYSIS_INFERENCEX; ASSUMP_NUMERIC_ACCELERATOR_MIX; ASSUMP_WORKLOAD_CLASS_MIX; ASSUMP_AGENTIC_CONTEXT_PENALTY</t>
        </is>
      </c>
      <c r="K177" s="3" t="inlineStr">
        <is>
          <t>ASSUMP_TPU_EFFICIENCY; ASSUMP_POWER_RAMP; ASSUMP_NUMERIC_ACCELERATOR_MIX; ASSUMP_INFERENCE_SHARE_NOT_FACT_60; ASSUMP_WORKLOAD_CLASS_MIX; ASSUMP_AGENTIC_CONTEXT_PENALTY</t>
        </is>
      </c>
      <c r="L177" s="3" t="inlineStr">
        <is>
          <t>Provider production output-token throughput with comparable workload/SLO.</t>
        </is>
      </c>
    </row>
    <row r="178">
      <c r="A178" s="3" t="inlineStr">
        <is>
          <t>Google</t>
        </is>
      </c>
      <c r="B178" s="3" t="n">
        <v>2028</v>
      </c>
      <c r="C178" s="3" t="inlineStr">
        <is>
          <t>Bear</t>
        </is>
      </c>
      <c r="D178" s="3" t="inlineStr">
        <is>
          <t>purpose_built_tps_per_mw</t>
        </is>
      </c>
      <c r="E178" s="3" t="n">
        <v>54122</v>
      </c>
      <c r="F178" s="3" t="inlineStr">
        <is>
          <t>generated output tokens/sec/MW</t>
        </is>
      </c>
      <c r="G178" s="3" t="inlineStr">
        <is>
          <t>Conservative no-uplift proxy</t>
        </is>
      </c>
      <c r="H178" s="3" t="inlineStr">
        <is>
          <t>purpose_built_tps_per_mw = purpose_built_reference_tps_per_mw * commercial_workload_fit_factor until comparable output-token benchmark is adopted</t>
        </is>
      </c>
      <c r="I178" s="3" t="inlineStr">
        <is>
          <t>No comparable public output-token/MW row adopted; B200 public reference placeholder is used and remains editable.</t>
        </is>
      </c>
      <c r="J178" s="3" t="inlineStr">
        <is>
          <t>SRC_GOOGLE_GEMINI_TOKENS; SRC_GOOGLE_IRONWOOD; SRC_GOOGLE_TPU_V6E; SRC_EPOCH_AI_DATA_CENTERS; ASSUMP_NUMERIC_ACCELERATOR_MIX</t>
        </is>
      </c>
      <c r="K178" s="3" t="inlineStr">
        <is>
          <t>ASSUMP_TPU_EFFICIENCY; ASSUMP_POWER_RAMP; ASSUMP_NUMERIC_ACCELERATOR_MIX; ASSUMP_INFERENCE_SHARE_NOT_FACT_60; ASSUMP_WORKLOAD_CLASS_MIX; ASSUMP_AGENTIC_CONTEXT_PENALTY</t>
        </is>
      </c>
      <c r="L178" s="3" t="inlineStr">
        <is>
          <t>Matched-workload generated-output benchmark for the provider purpose-built accelerator.</t>
        </is>
      </c>
    </row>
    <row r="179">
      <c r="A179" s="3" t="inlineStr">
        <is>
          <t>Google</t>
        </is>
      </c>
      <c r="B179" s="3" t="n">
        <v>2028</v>
      </c>
      <c r="C179" s="3" t="inlineStr">
        <is>
          <t>Bear</t>
        </is>
      </c>
      <c r="D179" s="3" t="inlineStr">
        <is>
          <t>inference_power_share</t>
        </is>
      </c>
      <c r="E179" s="3" t="n">
        <v>0.545</v>
      </c>
      <c r="F179" s="3" t="inlineStr">
        <is>
          <t>share of AI IT load</t>
        </is>
      </c>
      <c r="G179" s="3" t="inlineStr">
        <is>
          <t>Scenario allocation</t>
        </is>
      </c>
      <c r="H179" s="3" t="inlineStr">
        <is>
          <t>inference_gw = ai_it_load_gw * inference_power_share</t>
        </is>
      </c>
      <c r="I179" s="3" t="inlineStr">
        <is>
          <t>Ironwood is positioned for inference and Gemini is commercialized across products; inference share increases as a scenario.</t>
        </is>
      </c>
      <c r="J179" s="3" t="inlineStr">
        <is>
          <t>SRC_GOOGLE_GEMINI_TOKENS; SRC_GOOGLE_IRONWOOD; SRC_GOOGLE_TPU_V6E; SRC_EPOCH_AI_DATA_CENTERS; ASSUMP_INFERENCE_SHARE_NOT_FACT_60</t>
        </is>
      </c>
      <c r="K179" s="3" t="inlineStr">
        <is>
          <t>ASSUMP_TPU_EFFICIENCY; ASSUMP_POWER_RAMP; ASSUMP_NUMERIC_ACCELERATOR_MIX; ASSUMP_INFERENCE_SHARE_NOT_FACT_60; ASSUMP_WORKLOAD_CLASS_MIX; ASSUMP_AGENTIC_CONTEXT_PENALTY</t>
        </is>
      </c>
      <c r="L179" s="3" t="inlineStr">
        <is>
          <t>Provider-specific inference/training workload power telemetry.</t>
        </is>
      </c>
    </row>
    <row r="180">
      <c r="A180" s="3" t="inlineStr">
        <is>
          <t>Google</t>
        </is>
      </c>
      <c r="B180" s="3" t="n">
        <v>2028</v>
      </c>
      <c r="C180" s="3" t="inlineStr">
        <is>
          <t>Bear</t>
        </is>
      </c>
      <c r="D180" s="3" t="inlineStr">
        <is>
          <t>inference_gw</t>
        </is>
      </c>
      <c r="E180" s="3" t="n">
        <v>1.573</v>
      </c>
      <c r="F180" s="3" t="inlineStr">
        <is>
          <t>GW</t>
        </is>
      </c>
      <c r="G180" s="3" t="inlineStr">
        <is>
          <t>Derived formula</t>
        </is>
      </c>
      <c r="H180" s="3" t="inlineStr">
        <is>
          <t>ai_it_load_gw * inference_power_share</t>
        </is>
      </c>
      <c r="I180" s="3" t="inlineStr">
        <is>
          <t>This is the operational power eligible to become commercial generated output tokens through the selected TPS/MW proxy.</t>
        </is>
      </c>
      <c r="J180" s="3" t="inlineStr">
        <is>
          <t>SRC_GOOGLE_GEMINI_TOKENS; SRC_GOOGLE_IRONWOOD; SRC_GOOGLE_TPU_V6E; SRC_EPOCH_AI_DATA_CENTERS</t>
        </is>
      </c>
      <c r="K180" s="3" t="inlineStr">
        <is>
          <t>ASSUMP_TPU_EFFICIENCY; ASSUMP_POWER_RAMP; ASSUMP_NUMERIC_ACCELERATOR_MIX; ASSUMP_INFERENCE_SHARE_NOT_FACT_60; ASSUMP_WORKLOAD_CLASS_MIX; ASSUMP_AGENTIC_CONTEXT_PENALTY</t>
        </is>
      </c>
      <c r="L180" s="3" t="inlineStr">
        <is>
          <t>Recompute after AI allocation or inference-share evidence changes.</t>
        </is>
      </c>
    </row>
    <row r="181">
      <c r="A181" s="3" t="inlineStr">
        <is>
          <t>Google</t>
        </is>
      </c>
      <c r="B181" s="3" t="n">
        <v>2028</v>
      </c>
      <c r="C181" s="3" t="inlineStr">
        <is>
          <t>Bear</t>
        </is>
      </c>
      <c r="D181" s="3" t="inlineStr">
        <is>
          <t>training_power_share</t>
        </is>
      </c>
      <c r="E181" s="3" t="n">
        <v>0.455</v>
      </c>
      <c r="F181" s="3" t="inlineStr">
        <is>
          <t>share of AI IT load</t>
        </is>
      </c>
      <c r="G181" s="3" t="inlineStr">
        <is>
          <t>Derived allocation</t>
        </is>
      </c>
      <c r="H181" s="3" t="inlineStr">
        <is>
          <t>1 - inference_power_share</t>
        </is>
      </c>
      <c r="I181" s="3" t="inlineStr">
        <is>
          <t>Training receives the complementary modeled AI IT allocation; it is not a disclosed company workload split.</t>
        </is>
      </c>
      <c r="J181" s="3" t="inlineStr">
        <is>
          <t>SRC_GOOGLE_GEMINI_TOKENS; SRC_GOOGLE_IRONWOOD; SRC_GOOGLE_TPU_V6E; SRC_EPOCH_AI_DATA_CENTERS; ASSUMP_INFERENCE_SHARE_NOT_FACT_60</t>
        </is>
      </c>
      <c r="K181" s="3" t="inlineStr">
        <is>
          <t>ASSUMP_TPU_EFFICIENCY; ASSUMP_POWER_RAMP; ASSUMP_NUMERIC_ACCELERATOR_MIX; ASSUMP_INFERENCE_SHARE_NOT_FACT_60; ASSUMP_WORKLOAD_CLASS_MIX; ASSUMP_AGENTIC_CONTEXT_PENALTY</t>
        </is>
      </c>
      <c r="L181" s="3" t="inlineStr">
        <is>
          <t>Provider-specific inference/training workload power telemetry.</t>
        </is>
      </c>
    </row>
    <row r="182">
      <c r="A182" s="3" t="inlineStr">
        <is>
          <t>Google</t>
        </is>
      </c>
      <c r="B182" s="3" t="n">
        <v>2028</v>
      </c>
      <c r="C182" s="3" t="inlineStr">
        <is>
          <t>Bear</t>
        </is>
      </c>
      <c r="D182" s="3" t="inlineStr">
        <is>
          <t>training_gw</t>
        </is>
      </c>
      <c r="E182" s="3" t="n">
        <v>1.313</v>
      </c>
      <c r="F182" s="3" t="inlineStr">
        <is>
          <t>GW</t>
        </is>
      </c>
      <c r="G182" s="3" t="inlineStr">
        <is>
          <t>Derived formula</t>
        </is>
      </c>
      <c r="H182" s="3" t="inlineStr">
        <is>
          <t>ai_it_load_gw * training_power_share</t>
        </is>
      </c>
      <c r="I182" s="3" t="inlineStr">
        <is>
          <t>Training GW is shown separately so commercial inference token capacity is not overstated.</t>
        </is>
      </c>
      <c r="J182" s="3" t="inlineStr">
        <is>
          <t>SRC_GOOGLE_GEMINI_TOKENS; SRC_GOOGLE_IRONWOOD; SRC_GOOGLE_TPU_V6E; SRC_EPOCH_AI_DATA_CENTERS</t>
        </is>
      </c>
      <c r="K182" s="3" t="inlineStr">
        <is>
          <t>ASSUMP_TPU_EFFICIENCY; ASSUMP_POWER_RAMP; ASSUMP_NUMERIC_ACCELERATOR_MIX; ASSUMP_INFERENCE_SHARE_NOT_FACT_60; ASSUMP_WORKLOAD_CLASS_MIX; ASSUMP_AGENTIC_CONTEXT_PENALTY</t>
        </is>
      </c>
      <c r="L182" s="3" t="inlineStr">
        <is>
          <t>Recompute after AI allocation or workload-split evidence changes.</t>
        </is>
      </c>
    </row>
    <row r="183">
      <c r="A183" s="3" t="inlineStr">
        <is>
          <t>Google</t>
        </is>
      </c>
      <c r="B183" s="3" t="n">
        <v>2028</v>
      </c>
      <c r="C183" s="3" t="inlineStr">
        <is>
          <t>Bear</t>
        </is>
      </c>
      <c r="D183" s="3" t="inlineStr">
        <is>
          <t>tokens_per_second_per_mw</t>
        </is>
      </c>
      <c r="E183" s="3" t="n">
        <v>72268</v>
      </c>
      <c r="F183" s="3" t="inlineStr">
        <is>
          <t>generated output tokens/sec/MW</t>
        </is>
      </c>
      <c r="G183" s="3" t="inlineStr">
        <is>
          <t>Derived estimate + benchmark calibration</t>
        </is>
      </c>
      <c r="H183" s="3" t="inlineStr">
        <is>
          <t>fleet_reference_tps_per_mw * commercial_workload_fit_factor</t>
        </is>
      </c>
      <c r="I18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83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83" s="3" t="inlineStr">
        <is>
          <t>ASSUMP_TPU_EFFICIENCY; ASSUMP_POWER_RAMP; ASSUMP_NUMERIC_ACCELERATOR_MIX; ASSUMP_INFERENCE_SHARE_NOT_FACT_60; ASSUMP_WORKLOAD_CLASS_MIX; ASSUMP_AGENTIC_CONTEXT_PENALTY</t>
        </is>
      </c>
      <c r="L183" s="3" t="inlineStr">
        <is>
          <t>Comparable production output-token throughput with model, hardware, precision, ISL/OSL and SLO matched.</t>
        </is>
      </c>
    </row>
    <row r="184">
      <c r="A184" s="3" t="inlineStr">
        <is>
          <t>Google</t>
        </is>
      </c>
      <c r="B184" s="3" t="n">
        <v>2028</v>
      </c>
      <c r="C184" s="3" t="inlineStr">
        <is>
          <t>Bear</t>
        </is>
      </c>
      <c r="D184" s="3" t="inlineStr">
        <is>
          <t>inference_tokens_per_day</t>
        </is>
      </c>
      <c r="E184" s="3" t="n">
        <v>9821741529600</v>
      </c>
      <c r="F184" s="3" t="inlineStr">
        <is>
          <t>generated output tokens/day</t>
        </is>
      </c>
      <c r="G184" s="3" t="inlineStr">
        <is>
          <t>Derived headline metric</t>
        </is>
      </c>
      <c r="H184" s="3" t="inlineStr">
        <is>
          <t>inference_gw * 1000 * tokens_per_second_per_mw * 86,400</t>
        </is>
      </c>
      <c r="I184" s="3" t="inlineStr">
        <is>
          <t>Headline capacity uses no utilization, MoE, architecture or software-growth multiplier; it is not observed commercial output volume.</t>
        </is>
      </c>
      <c r="J184" s="3" t="inlineStr">
        <is>
          <t>SRC_GOOGLE_GEMINI_TOKENS; SRC_GOOGLE_IRONWOOD; SRC_GOOGLE_TPU_V6E; SRC_EPOCH_AI_DATA_CENTERS; SRC_SEMIANALYSIS_INFERENCEX</t>
        </is>
      </c>
      <c r="K184" s="3" t="inlineStr">
        <is>
          <t>ASSUMP_TPU_EFFICIENCY; ASSUMP_POWER_RAMP; ASSUMP_NUMERIC_ACCELERATOR_MIX; ASSUMP_INFERENCE_SHARE_NOT_FACT_60; ASSUMP_WORKLOAD_CLASS_MIX; ASSUMP_AGENTIC_CONTEXT_PENALTY</t>
        </is>
      </c>
      <c r="L184" s="3" t="inlineStr">
        <is>
          <t>Provider-disclosed generated output token volume or calibrated capacity telemetry.</t>
        </is>
      </c>
    </row>
    <row r="185">
      <c r="A185" s="3" t="inlineStr">
        <is>
          <t>Google</t>
        </is>
      </c>
      <c r="B185" s="3" t="n">
        <v>2028</v>
      </c>
      <c r="C185" s="3" t="inlineStr">
        <is>
          <t>Bear</t>
        </is>
      </c>
      <c r="D185" s="3" t="inlineStr">
        <is>
          <t>inference_tokens_per_year</t>
        </is>
      </c>
      <c r="E185" s="3" t="n">
        <v>3584935658304000</v>
      </c>
      <c r="F185" s="3" t="inlineStr">
        <is>
          <t>generated output tokens/year</t>
        </is>
      </c>
      <c r="G185" s="3" t="inlineStr">
        <is>
          <t>Derived headline metric</t>
        </is>
      </c>
      <c r="H185" s="3" t="inlineStr">
        <is>
          <t>inference_tokens_per_day * 365</t>
        </is>
      </c>
      <c r="I185" s="3" t="inlineStr">
        <is>
          <t>Annualized version of generated output token capacity; it is not observed annual demand or billable volume.</t>
        </is>
      </c>
      <c r="J185" s="3" t="inlineStr">
        <is>
          <t>SRC_GOOGLE_GEMINI_TOKENS; SRC_GOOGLE_IRONWOOD; SRC_GOOGLE_TPU_V6E; SRC_EPOCH_AI_DATA_CENTERS; SRC_SEMIANALYSIS_INFERENCEX</t>
        </is>
      </c>
      <c r="K185" s="3" t="inlineStr">
        <is>
          <t>ASSUMP_TPU_EFFICIENCY; ASSUMP_POWER_RAMP; ASSUMP_NUMERIC_ACCELERATOR_MIX; ASSUMP_INFERENCE_SHARE_NOT_FACT_60; ASSUMP_WORKLOAD_CLASS_MIX; ASSUMP_AGENTIC_CONTEXT_PENALTY</t>
        </is>
      </c>
      <c r="L185" s="3" t="inlineStr">
        <is>
          <t>Provider-disclosed annual generated-output volume or metered serving telemetry.</t>
        </is>
      </c>
    </row>
    <row r="186">
      <c r="A186" s="3" t="inlineStr">
        <is>
          <t>Google</t>
        </is>
      </c>
      <c r="B186" s="3" t="n">
        <v>2029</v>
      </c>
      <c r="C186" s="3" t="inlineStr">
        <is>
          <t>Bear</t>
        </is>
      </c>
      <c r="D186" s="3" t="inlineStr">
        <is>
          <t>contracted_power_gw</t>
        </is>
      </c>
      <c r="E186" s="3" t="n">
        <v>7.125</v>
      </c>
      <c r="F186" s="3" t="inlineStr">
        <is>
          <t>GW</t>
        </is>
      </c>
      <c r="G186" s="3" t="inlineStr">
        <is>
          <t>Scenario capacity envelope</t>
        </is>
      </c>
      <c r="H186" s="3" t="inlineStr">
        <is>
          <t>linear interpolation between 2026 and 2030 company capacity endpoints</t>
        </is>
      </c>
      <c r="I186" s="3" t="inlineStr">
        <is>
          <t>Scenario envelope for Gemini-serving capacity; official TPU hardware direction is disclosed, company-level contracted GW is not.</t>
        </is>
      </c>
      <c r="J186" s="3" t="inlineStr">
        <is>
          <t>ASSUMP_POWER_RAMP; SRC_GOOGLE_IRONWOOD; SRC_GOOGLE_TPU_V6E</t>
        </is>
      </c>
      <c r="K186" s="3" t="inlineStr">
        <is>
          <t>ASSUMP_TPU_EFFICIENCY; ASSUMP_POWER_RAMP; ASSUMP_NUMERIC_ACCELERATOR_MIX; ASSUMP_INFERENCE_SHARE_NOT_FACT_60; ASSUMP_WORKLOAD_CLASS_MIX; ASSUMP_AGENTIC_CONTEXT_PENALTY</t>
        </is>
      </c>
      <c r="L186" s="3" t="inlineStr">
        <is>
          <t>Company/site-level committed MW/GW, interconnect and contract disclosure.</t>
        </is>
      </c>
    </row>
    <row r="187">
      <c r="A187" s="3" t="inlineStr">
        <is>
          <t>Google</t>
        </is>
      </c>
      <c r="B187" s="3" t="n">
        <v>2029</v>
      </c>
      <c r="C187" s="3" t="inlineStr">
        <is>
          <t>Bear</t>
        </is>
      </c>
      <c r="D187" s="3" t="inlineStr">
        <is>
          <t>operational_deployment_share</t>
        </is>
      </c>
      <c r="E187" s="3" t="n">
        <v>0.66610526</v>
      </c>
      <c r="F187" s="3" t="inlineStr">
        <is>
          <t>share</t>
        </is>
      </c>
      <c r="G187" s="3" t="inlineStr">
        <is>
          <t>Scenario conversion</t>
        </is>
      </c>
      <c r="H187" s="3" t="inlineStr">
        <is>
          <t>active_power_gw / contracted_power_gw</t>
        </is>
      </c>
      <c r="I187" s="3" t="inlineStr">
        <is>
          <t>This is the single explicit conversion from contracted/attributed capacity to operationally usable capacity.</t>
        </is>
      </c>
      <c r="J187" s="3" t="inlineStr">
        <is>
          <t>ASSUMP_POWER_RAMP; SRC_GOOGLE_IRONWOOD; SRC_GOOGLE_TPU_V6E</t>
        </is>
      </c>
      <c r="K187" s="3" t="inlineStr">
        <is>
          <t>ASSUMP_TPU_EFFICIENCY; ASSUMP_POWER_RAMP; ASSUMP_NUMERIC_ACCELERATOR_MIX; ASSUMP_INFERENCE_SHARE_NOT_FACT_60; ASSUMP_WORKLOAD_CLASS_MIX; ASSUMP_AGENTIC_CONTEXT_PENALTY</t>
        </is>
      </c>
      <c r="L187" s="3" t="inlineStr">
        <is>
          <t>Energized operational capacity divided by contracted/attributed capacity.</t>
        </is>
      </c>
    </row>
    <row r="188">
      <c r="A188" s="3" t="inlineStr">
        <is>
          <t>Google</t>
        </is>
      </c>
      <c r="B188" s="3" t="n">
        <v>2029</v>
      </c>
      <c r="C188" s="3" t="inlineStr">
        <is>
          <t>Bear</t>
        </is>
      </c>
      <c r="D188" s="3" t="inlineStr">
        <is>
          <t>active_power_gw</t>
        </is>
      </c>
      <c r="E188" s="3" t="n">
        <v>4.746</v>
      </c>
      <c r="F188" s="3" t="inlineStr">
        <is>
          <t>GW</t>
        </is>
      </c>
      <c r="G188" s="3" t="inlineStr">
        <is>
          <t>Derived scenario</t>
        </is>
      </c>
      <c r="H188" s="3" t="inlineStr">
        <is>
          <t>contracted_power_gw * operational_deployment_share</t>
        </is>
      </c>
      <c r="I188" s="3" t="inlineStr">
        <is>
          <t>TPU generation availability supports ramp direction, while active GW remains a staged deployment estimate.</t>
        </is>
      </c>
      <c r="J188" s="3" t="inlineStr">
        <is>
          <t>ASSUMP_POWER_RAMP; SRC_GOOGLE_IRONWOOD; SRC_GOOGLE_TPU_V6E</t>
        </is>
      </c>
      <c r="K188" s="3" t="inlineStr">
        <is>
          <t>ASSUMP_TPU_EFFICIENCY; ASSUMP_POWER_RAMP; ASSUMP_NUMERIC_ACCELERATOR_MIX; ASSUMP_INFERENCE_SHARE_NOT_FACT_60; ASSUMP_WORKLOAD_CLASS_MIX; ASSUMP_AGENTIC_CONTEXT_PENALTY</t>
        </is>
      </c>
      <c r="L188" s="3" t="inlineStr">
        <is>
          <t>Energization dates, accelerator deliveries and operational powered-rack telemetry.</t>
        </is>
      </c>
    </row>
    <row r="189">
      <c r="A189" s="3" t="inlineStr">
        <is>
          <t>Google</t>
        </is>
      </c>
      <c r="B189" s="3" t="n">
        <v>2029</v>
      </c>
      <c r="C189" s="3" t="inlineStr">
        <is>
          <t>Bear</t>
        </is>
      </c>
      <c r="D189" s="3" t="inlineStr">
        <is>
          <t>pue</t>
        </is>
      </c>
      <c r="E189" s="3" t="n">
        <v>1.18</v>
      </c>
      <c r="F189" s="3" t="inlineStr">
        <is>
          <t>ratio</t>
        </is>
      </c>
      <c r="G189" s="3" t="inlineStr">
        <is>
          <t>Scenario parameter</t>
        </is>
      </c>
      <c r="H189" s="3" t="inlineStr">
        <is>
          <t>it_load_gw = active_power_gw / pue</t>
        </is>
      </c>
      <c r="I189" s="3" t="inlineStr">
        <is>
          <t>No provider-wide site-level PUE is used as a disclosed fact; PUE represents facility-to-IT conversion within the scenario.</t>
        </is>
      </c>
      <c r="J189" s="3" t="inlineStr">
        <is>
          <t>ASSUMP_POWER_RAMP</t>
        </is>
      </c>
      <c r="K189" s="3" t="inlineStr">
        <is>
          <t>ASSUMP_TPU_EFFICIENCY; ASSUMP_POWER_RAMP; ASSUMP_NUMERIC_ACCELERATOR_MIX; ASSUMP_INFERENCE_SHARE_NOT_FACT_60; ASSUMP_WORKLOAD_CLASS_MIX; ASSUMP_AGENTIC_CONTEXT_PENALTY</t>
        </is>
      </c>
      <c r="L189" s="3" t="inlineStr">
        <is>
          <t>Site-level measured PUE matched to attributed AI capacity.</t>
        </is>
      </c>
    </row>
    <row r="190">
      <c r="A190" s="3" t="inlineStr">
        <is>
          <t>Google</t>
        </is>
      </c>
      <c r="B190" s="3" t="n">
        <v>2029</v>
      </c>
      <c r="C190" s="3" t="inlineStr">
        <is>
          <t>Bear</t>
        </is>
      </c>
      <c r="D190" s="3" t="inlineStr">
        <is>
          <t>it_load_gw</t>
        </is>
      </c>
      <c r="E190" s="3" t="n">
        <v>4.022</v>
      </c>
      <c r="F190" s="3" t="inlineStr">
        <is>
          <t>GW</t>
        </is>
      </c>
      <c r="G190" s="3" t="inlineStr">
        <is>
          <t>Derived formula</t>
        </is>
      </c>
      <c r="H190" s="3" t="inlineStr">
        <is>
          <t>active_power_gw / pue</t>
        </is>
      </c>
      <c r="I190" s="3" t="inlineStr">
        <is>
          <t>Facility power is converted to IT-deliverable power before attributing AI workloads.</t>
        </is>
      </c>
      <c r="J190" s="3" t="inlineStr">
        <is>
          <t>ASSUMP_POWER_RAMP; SRC_GOOGLE_IRONWOOD; SRC_GOOGLE_TPU_V6E</t>
        </is>
      </c>
      <c r="K190" s="3" t="inlineStr">
        <is>
          <t>ASSUMP_TPU_EFFICIENCY; ASSUMP_POWER_RAMP; ASSUMP_NUMERIC_ACCELERATOR_MIX; ASSUMP_INFERENCE_SHARE_NOT_FACT_60; ASSUMP_WORKLOAD_CLASS_MIX; ASSUMP_AGENTIC_CONTEXT_PENALTY</t>
        </is>
      </c>
      <c r="L190" s="3" t="inlineStr">
        <is>
          <t>Recompute once active power and PUE become site-observable.</t>
        </is>
      </c>
    </row>
    <row r="191">
      <c r="A191" s="3" t="inlineStr">
        <is>
          <t>Google</t>
        </is>
      </c>
      <c r="B191" s="3" t="n">
        <v>2029</v>
      </c>
      <c r="C191" s="3" t="inlineStr">
        <is>
          <t>Bear</t>
        </is>
      </c>
      <c r="D191" s="3" t="inlineStr">
        <is>
          <t>ai_workload_share</t>
        </is>
      </c>
      <c r="E191" s="3" t="n">
        <v>0.88</v>
      </c>
      <c r="F191" s="3" t="inlineStr">
        <is>
          <t>share</t>
        </is>
      </c>
      <c r="G191" s="3" t="inlineStr">
        <is>
          <t>Scenario allocation</t>
        </is>
      </c>
      <c r="H191" s="3" t="inlineStr">
        <is>
          <t>ai_it_load_gw = it_load_gw * ai_workload_share</t>
        </is>
      </c>
      <c r="I191" s="3" t="inlineStr">
        <is>
          <t>Gemini/Vertex TPU serving is AI-dedicated in the modeled capacity envelope; 88% excludes platform/reserve load.</t>
        </is>
      </c>
      <c r="J191" s="3" t="inlineStr">
        <is>
          <t>SRC_GOOGLE_GEMINI_TOKENS; SRC_GOOGLE_IRONWOOD; SRC_GOOGLE_TPU_V6E; SRC_EPOCH_AI_DATA_CENTERS</t>
        </is>
      </c>
      <c r="K191" s="3" t="inlineStr">
        <is>
          <t>ASSUMP_TPU_EFFICIENCY; ASSUMP_POWER_RAMP; ASSUMP_NUMERIC_ACCELERATOR_MIX; ASSUMP_INFERENCE_SHARE_NOT_FACT_60; ASSUMP_WORKLOAD_CLASS_MIX; ASSUMP_AGENTIC_CONTEXT_PENALTY</t>
        </is>
      </c>
      <c r="L191" s="3" t="inlineStr">
        <is>
          <t>Model-owner AI workload allocation or cluster scheduling telemetry.</t>
        </is>
      </c>
    </row>
    <row r="192">
      <c r="A192" s="3" t="inlineStr">
        <is>
          <t>Google</t>
        </is>
      </c>
      <c r="B192" s="3" t="n">
        <v>2029</v>
      </c>
      <c r="C192" s="3" t="inlineStr">
        <is>
          <t>Bear</t>
        </is>
      </c>
      <c r="D192" s="3" t="inlineStr">
        <is>
          <t>ai_it_load_gw</t>
        </is>
      </c>
      <c r="E192" s="3" t="n">
        <v>3.539</v>
      </c>
      <c r="F192" s="3" t="inlineStr">
        <is>
          <t>GW</t>
        </is>
      </c>
      <c r="G192" s="3" t="inlineStr">
        <is>
          <t>Derived formula</t>
        </is>
      </c>
      <c r="H192" s="3" t="inlineStr">
        <is>
          <t>it_load_gw * ai_workload_share</t>
        </is>
      </c>
      <c r="I192" s="3" t="inlineStr">
        <is>
          <t>Only the AI-attributed portion of IT load enters training/inference allocation.</t>
        </is>
      </c>
      <c r="J192" s="3" t="inlineStr">
        <is>
          <t>SRC_GOOGLE_GEMINI_TOKENS; SRC_GOOGLE_IRONWOOD; SRC_GOOGLE_TPU_V6E; SRC_EPOCH_AI_DATA_CENTERS</t>
        </is>
      </c>
      <c r="K192" s="3" t="inlineStr">
        <is>
          <t>ASSUMP_TPU_EFFICIENCY; ASSUMP_POWER_RAMP; ASSUMP_NUMERIC_ACCELERATOR_MIX; ASSUMP_INFERENCE_SHARE_NOT_FACT_60; ASSUMP_WORKLOAD_CLASS_MIX; ASSUMP_AGENTIC_CONTEXT_PENALTY</t>
        </is>
      </c>
      <c r="L192" s="3" t="inlineStr">
        <is>
          <t>Recompute after ai_workload_share is replaced by telemetry.</t>
        </is>
      </c>
    </row>
    <row r="193">
      <c r="A193" s="3" t="inlineStr">
        <is>
          <t>Google</t>
        </is>
      </c>
      <c r="B193" s="3" t="n">
        <v>2029</v>
      </c>
      <c r="C193" s="3" t="inlineStr">
        <is>
          <t>Bear</t>
        </is>
      </c>
      <c r="D193" s="3" t="inlineStr">
        <is>
          <t>gpu_share</t>
        </is>
      </c>
      <c r="E193" s="3" t="n">
        <v>0.103041</v>
      </c>
      <c r="F193" s="3" t="inlineStr">
        <is>
          <t>share of inference-serving accelerator load</t>
        </is>
      </c>
      <c r="G193" s="3" t="inlineStr">
        <is>
          <t>Numeric scenario</t>
        </is>
      </c>
      <c r="H193" s="3" t="inlineStr">
        <is>
          <t>gpu_share interpolated from company 2026/2030 accelerator-mix endpoints</t>
        </is>
      </c>
      <c r="I193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93" s="3" t="inlineStr">
        <is>
          <t>SRC_GOOGLE_GEMINI_TOKENS; SRC_GOOGLE_IRONWOOD; SRC_GOOGLE_TPU_V6E; SRC_EPOCH_AI_DATA_CENTERS; ASSUMP_NUMERIC_ACCELERATOR_MIX</t>
        </is>
      </c>
      <c r="K193" s="3" t="inlineStr">
        <is>
          <t>ASSUMP_TPU_EFFICIENCY; ASSUMP_POWER_RAMP; ASSUMP_NUMERIC_ACCELERATOR_MIX; ASSUMP_INFERENCE_SHARE_NOT_FACT_60; ASSUMP_WORKLOAD_CLASS_MIX; ASSUMP_AGENTIC_CONTEXT_PENALTY</t>
        </is>
      </c>
      <c r="L193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94">
      <c r="A194" s="3" t="inlineStr">
        <is>
          <t>Google</t>
        </is>
      </c>
      <c r="B194" s="3" t="n">
        <v>2029</v>
      </c>
      <c r="C194" s="3" t="inlineStr">
        <is>
          <t>Bear</t>
        </is>
      </c>
      <c r="D194" s="3" t="inlineStr">
        <is>
          <t>h200_share</t>
        </is>
      </c>
      <c r="E194" s="3" t="n">
        <v>0.006606</v>
      </c>
      <c r="F194" s="3" t="inlineStr">
        <is>
          <t>share of inference-serving accelerator load</t>
        </is>
      </c>
      <c r="G194" s="3" t="inlineStr">
        <is>
          <t>Editable numeric scenario</t>
        </is>
      </c>
      <c r="H194" s="3" t="inlineStr">
        <is>
          <t>h200_share = gpu_share * default_gpu_generation_mix_h200</t>
        </is>
      </c>
      <c r="I194" s="3" t="inlineStr">
        <is>
          <t>Default GPU-generation migration assumption; executive workbook allows later manual replacement by company/year/scenario.</t>
        </is>
      </c>
      <c r="J194" s="3" t="inlineStr">
        <is>
          <t>SRC_SEMIANALYSIS_INFERENCEX; ASSUMP_NUMERIC_ACCELERATOR_MIX</t>
        </is>
      </c>
      <c r="K194" s="3" t="inlineStr">
        <is>
          <t>ASSUMP_TPU_EFFICIENCY; ASSUMP_POWER_RAMP; ASSUMP_NUMERIC_ACCELERATOR_MIX; ASSUMP_INFERENCE_SHARE_NOT_FACT_60; ASSUMP_WORKLOAD_CLASS_MIX; ASSUMP_AGENTIC_CONTEXT_PENALTY</t>
        </is>
      </c>
      <c r="L194" s="3" t="inlineStr">
        <is>
          <t>Company fleet inventory, accelerator-hours or procurement/deployment records by GPU generation.</t>
        </is>
      </c>
    </row>
    <row r="195">
      <c r="A195" s="3" t="inlineStr">
        <is>
          <t>Google</t>
        </is>
      </c>
      <c r="B195" s="3" t="n">
        <v>2029</v>
      </c>
      <c r="C195" s="3" t="inlineStr">
        <is>
          <t>Bear</t>
        </is>
      </c>
      <c r="D195" s="3" t="inlineStr">
        <is>
          <t>b200_share</t>
        </is>
      </c>
      <c r="E195" s="3" t="n">
        <v>0.083468</v>
      </c>
      <c r="F195" s="3" t="inlineStr">
        <is>
          <t>share of inference-serving accelerator load</t>
        </is>
      </c>
      <c r="G195" s="3" t="inlineStr">
        <is>
          <t>Editable numeric scenario</t>
        </is>
      </c>
      <c r="H195" s="3" t="inlineStr">
        <is>
          <t>b200_share = gpu_share * default_gpu_generation_mix_b200</t>
        </is>
      </c>
      <c r="I195" s="3" t="inlineStr">
        <is>
          <t>Default GPU-generation migration assumption; executive workbook allows later manual replacement by company/year/scenario.</t>
        </is>
      </c>
      <c r="J195" s="3" t="inlineStr">
        <is>
          <t>SRC_SEMIANALYSIS_INFERENCEX; ASSUMP_NUMERIC_ACCELERATOR_MIX</t>
        </is>
      </c>
      <c r="K195" s="3" t="inlineStr">
        <is>
          <t>ASSUMP_TPU_EFFICIENCY; ASSUMP_POWER_RAMP; ASSUMP_NUMERIC_ACCELERATOR_MIX; ASSUMP_INFERENCE_SHARE_NOT_FACT_60; ASSUMP_WORKLOAD_CLASS_MIX; ASSUMP_AGENTIC_CONTEXT_PENALTY</t>
        </is>
      </c>
      <c r="L195" s="3" t="inlineStr">
        <is>
          <t>Company fleet inventory, accelerator-hours or procurement/deployment records by GPU generation.</t>
        </is>
      </c>
    </row>
    <row r="196">
      <c r="A196" s="3" t="inlineStr">
        <is>
          <t>Google</t>
        </is>
      </c>
      <c r="B196" s="3" t="n">
        <v>2029</v>
      </c>
      <c r="C196" s="3" t="inlineStr">
        <is>
          <t>Bear</t>
        </is>
      </c>
      <c r="D196" s="3" t="inlineStr">
        <is>
          <t>gb200_share</t>
        </is>
      </c>
      <c r="E196" s="3" t="n">
        <v>0.012967</v>
      </c>
      <c r="F196" s="3" t="inlineStr">
        <is>
          <t>share of inference-serving accelerator load</t>
        </is>
      </c>
      <c r="G196" s="3" t="inlineStr">
        <is>
          <t>Editable numeric scenario</t>
        </is>
      </c>
      <c r="H196" s="3" t="inlineStr">
        <is>
          <t>gb200_share = gpu_share * default_gpu_generation_mix_gb200</t>
        </is>
      </c>
      <c r="I196" s="3" t="inlineStr">
        <is>
          <t>Default GPU-generation migration assumption; executive workbook allows later manual replacement by company/year/scenario.</t>
        </is>
      </c>
      <c r="J196" s="3" t="inlineStr">
        <is>
          <t>SRC_SEMIANALYSIS_INFERENCEX; ASSUMP_NUMERIC_ACCELERATOR_MIX</t>
        </is>
      </c>
      <c r="K196" s="3" t="inlineStr">
        <is>
          <t>ASSUMP_TPU_EFFICIENCY; ASSUMP_POWER_RAMP; ASSUMP_NUMERIC_ACCELERATOR_MIX; ASSUMP_INFERENCE_SHARE_NOT_FACT_60; ASSUMP_WORKLOAD_CLASS_MIX; ASSUMP_AGENTIC_CONTEXT_PENALTY</t>
        </is>
      </c>
      <c r="L196" s="3" t="inlineStr">
        <is>
          <t>Company fleet inventory, accelerator-hours or procurement/deployment records by GPU generation.</t>
        </is>
      </c>
    </row>
    <row r="197">
      <c r="A197" s="3" t="inlineStr">
        <is>
          <t>Google</t>
        </is>
      </c>
      <c r="B197" s="3" t="n">
        <v>2029</v>
      </c>
      <c r="C197" s="3" t="inlineStr">
        <is>
          <t>Bear</t>
        </is>
      </c>
      <c r="D197" s="3" t="inlineStr">
        <is>
          <t>purpose_built_accelerator_share</t>
        </is>
      </c>
      <c r="E197" s="3" t="n">
        <v>0.896959</v>
      </c>
      <c r="F197" s="3" t="inlineStr">
        <is>
          <t>share of inference-serving accelerator load</t>
        </is>
      </c>
      <c r="G197" s="3" t="inlineStr">
        <is>
          <t>Numeric scenario</t>
        </is>
      </c>
      <c r="H197" s="3" t="inlineStr">
        <is>
          <t>1 - gpu_share</t>
        </is>
      </c>
      <c r="I197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97" s="3" t="inlineStr">
        <is>
          <t>SRC_GOOGLE_GEMINI_TOKENS; SRC_GOOGLE_IRONWOOD; SRC_GOOGLE_TPU_V6E; SRC_EPOCH_AI_DATA_CENTERS; ASSUMP_NUMERIC_ACCELERATOR_MIX</t>
        </is>
      </c>
      <c r="K197" s="3" t="inlineStr">
        <is>
          <t>ASSUMP_TPU_EFFICIENCY; ASSUMP_POWER_RAMP; ASSUMP_NUMERIC_ACCELERATOR_MIX; ASSUMP_INFERENCE_SHARE_NOT_FACT_60; ASSUMP_WORKLOAD_CLASS_MIX; ASSUMP_AGENTIC_CONTEXT_PENALTY</t>
        </is>
      </c>
      <c r="L197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98">
      <c r="A198" s="3" t="inlineStr">
        <is>
          <t>Google</t>
        </is>
      </c>
      <c r="B198" s="3" t="n">
        <v>2029</v>
      </c>
      <c r="C198" s="3" t="inlineStr">
        <is>
          <t>Bear</t>
        </is>
      </c>
      <c r="D198" s="3" t="inlineStr">
        <is>
          <t>fleet_reference_tps_per_mw</t>
        </is>
      </c>
      <c r="E198" s="3" t="n">
        <v>175238</v>
      </c>
      <c r="F198" s="3" t="inlineStr">
        <is>
          <t>generated output tokens/sec/MW</t>
        </is>
      </c>
      <c r="G198" s="3" t="inlineStr">
        <is>
          <t>Fleet-weighted public benchmark reference</t>
        </is>
      </c>
      <c r="H198" s="3" t="inlineStr">
        <is>
          <t>h200_share*h200_workload_avg + b200_share*b200_workload_avg + gb200_share*gb200_workload_avg + purpose_built_share*purpose_workload_avg</t>
        </is>
      </c>
      <c r="I19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98" s="3" t="inlineStr">
        <is>
          <t>SRC_SEMIANALYSIS_INFERENCEX; ASSUMP_NUMERIC_ACCELERATOR_MIX; ASSUMP_WORKLOAD_CLASS_MIX; ASSUMP_AGENTIC_CONTEXT_PENALTY</t>
        </is>
      </c>
      <c r="K198" s="3" t="inlineStr">
        <is>
          <t>ASSUMP_TPU_EFFICIENCY; ASSUMP_POWER_RAMP; ASSUMP_NUMERIC_ACCELERATOR_MIX; ASSUMP_INFERENCE_SHARE_NOT_FACT_60; ASSUMP_WORKLOAD_CLASS_MIX; ASSUMP_AGENTIC_CONTEXT_PENALTY</t>
        </is>
      </c>
      <c r="L198" s="3" t="inlineStr">
        <is>
          <t>Comparable production output-token throughput or a more closely matched benchmark.</t>
        </is>
      </c>
    </row>
    <row r="199">
      <c r="A199" s="3" t="inlineStr">
        <is>
          <t>Google</t>
        </is>
      </c>
      <c r="B199" s="3" t="n">
        <v>2029</v>
      </c>
      <c r="C199" s="3" t="inlineStr">
        <is>
          <t>Bear</t>
        </is>
      </c>
      <c r="D199" s="3" t="inlineStr">
        <is>
          <t>commercial_workload_fit_factor</t>
        </is>
      </c>
      <c r="E199" s="3" t="n">
        <v>0.4</v>
      </c>
      <c r="F199" s="3" t="inlineStr">
        <is>
          <t>share of public reference throughput</t>
        </is>
      </c>
      <c r="G199" s="3" t="inlineStr">
        <is>
          <t>Scenario assumption</t>
        </is>
      </c>
      <c r="H199" s="3" t="inlineStr">
        <is>
          <t>reference_serving_tps_per_mw = fleet_reference_tps_per_mw * commercial_workload_fit_factor</t>
        </is>
      </c>
      <c r="I19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99" s="3" t="inlineStr">
        <is>
          <t>SRC_SEMIANALYSIS_INFERENCEX; ASSUMP_NUMERIC_ACCELERATOR_MIX; ASSUMP_WORKLOAD_CLASS_MIX; ASSUMP_AGENTIC_CONTEXT_PENALTY</t>
        </is>
      </c>
      <c r="K199" s="3" t="inlineStr">
        <is>
          <t>ASSUMP_TPU_EFFICIENCY; ASSUMP_POWER_RAMP; ASSUMP_NUMERIC_ACCELERATOR_MIX; ASSUMP_INFERENCE_SHARE_NOT_FACT_60; ASSUMP_WORKLOAD_CLASS_MIX; ASSUMP_AGENTIC_CONTEXT_PENALTY</t>
        </is>
      </c>
      <c r="L199" s="3" t="inlineStr">
        <is>
          <t>Matched commercial serving benchmark by product surface, context shape and latency SLO.</t>
        </is>
      </c>
    </row>
    <row r="200">
      <c r="A200" s="3" t="inlineStr">
        <is>
          <t>Google</t>
        </is>
      </c>
      <c r="B200" s="3" t="n">
        <v>2029</v>
      </c>
      <c r="C200" s="3" t="inlineStr">
        <is>
          <t>Bear</t>
        </is>
      </c>
      <c r="D200" s="3" t="inlineStr">
        <is>
          <t>reference_serving_tps_per_mw</t>
        </is>
      </c>
      <c r="E200" s="3" t="n">
        <v>70095</v>
      </c>
      <c r="F200" s="3" t="inlineStr">
        <is>
          <t>generated output tokens/sec/MW</t>
        </is>
      </c>
      <c r="G200" s="3" t="inlineStr">
        <is>
          <t>Workload-adjusted benchmark proxy</t>
        </is>
      </c>
      <c r="H200" s="3" t="inlineStr">
        <is>
          <t>fleet_reference_tps_per_mw * commercial_workload_fit_factor</t>
        </is>
      </c>
      <c r="I200" s="3" t="inlineStr">
        <is>
          <t>This is the coefficient used for headline token generation; each GPU's short chat, long chat and agentic TPS/MW are weighted before fleet mix and commercial fit are applied.</t>
        </is>
      </c>
      <c r="J200" s="3" t="inlineStr">
        <is>
          <t>SRC_SEMIANALYSIS_INFERENCEX; ASSUMP_NUMERIC_ACCELERATOR_MIX; ASSUMP_WORKLOAD_CLASS_MIX; ASSUMP_AGENTIC_CONTEXT_PENALTY</t>
        </is>
      </c>
      <c r="K200" s="3" t="inlineStr">
        <is>
          <t>ASSUMP_TPU_EFFICIENCY; ASSUMP_POWER_RAMP; ASSUMP_NUMERIC_ACCELERATOR_MIX; ASSUMP_INFERENCE_SHARE_NOT_FACT_60; ASSUMP_WORKLOAD_CLASS_MIX; ASSUMP_AGENTIC_CONTEXT_PENALTY</t>
        </is>
      </c>
      <c r="L200" s="3" t="inlineStr">
        <is>
          <t>Provider production output-token throughput with comparable workload/SLO.</t>
        </is>
      </c>
    </row>
    <row r="201">
      <c r="A201" s="3" t="inlineStr">
        <is>
          <t>Google</t>
        </is>
      </c>
      <c r="B201" s="3" t="n">
        <v>2029</v>
      </c>
      <c r="C201" s="3" t="inlineStr">
        <is>
          <t>Bear</t>
        </is>
      </c>
      <c r="D201" s="3" t="inlineStr">
        <is>
          <t>purpose_built_tps_per_mw</t>
        </is>
      </c>
      <c r="E201" s="3" t="n">
        <v>54122</v>
      </c>
      <c r="F201" s="3" t="inlineStr">
        <is>
          <t>generated output tokens/sec/MW</t>
        </is>
      </c>
      <c r="G201" s="3" t="inlineStr">
        <is>
          <t>Conservative no-uplift proxy</t>
        </is>
      </c>
      <c r="H201" s="3" t="inlineStr">
        <is>
          <t>purpose_built_tps_per_mw = purpose_built_reference_tps_per_mw * commercial_workload_fit_factor until comparable output-token benchmark is adopted</t>
        </is>
      </c>
      <c r="I201" s="3" t="inlineStr">
        <is>
          <t>No comparable public output-token/MW row adopted; B200 public reference placeholder is used and remains editable.</t>
        </is>
      </c>
      <c r="J201" s="3" t="inlineStr">
        <is>
          <t>SRC_GOOGLE_GEMINI_TOKENS; SRC_GOOGLE_IRONWOOD; SRC_GOOGLE_TPU_V6E; SRC_EPOCH_AI_DATA_CENTERS; ASSUMP_NUMERIC_ACCELERATOR_MIX</t>
        </is>
      </c>
      <c r="K201" s="3" t="inlineStr">
        <is>
          <t>ASSUMP_TPU_EFFICIENCY; ASSUMP_POWER_RAMP; ASSUMP_NUMERIC_ACCELERATOR_MIX; ASSUMP_INFERENCE_SHARE_NOT_FACT_60; ASSUMP_WORKLOAD_CLASS_MIX; ASSUMP_AGENTIC_CONTEXT_PENALTY</t>
        </is>
      </c>
      <c r="L201" s="3" t="inlineStr">
        <is>
          <t>Matched-workload generated-output benchmark for the provider purpose-built accelerator.</t>
        </is>
      </c>
    </row>
    <row r="202">
      <c r="A202" s="3" t="inlineStr">
        <is>
          <t>Google</t>
        </is>
      </c>
      <c r="B202" s="3" t="n">
        <v>2029</v>
      </c>
      <c r="C202" s="3" t="inlineStr">
        <is>
          <t>Bear</t>
        </is>
      </c>
      <c r="D202" s="3" t="inlineStr">
        <is>
          <t>inference_power_share</t>
        </is>
      </c>
      <c r="E202" s="3" t="n">
        <v>0.583</v>
      </c>
      <c r="F202" s="3" t="inlineStr">
        <is>
          <t>share of AI IT load</t>
        </is>
      </c>
      <c r="G202" s="3" t="inlineStr">
        <is>
          <t>Scenario allocation</t>
        </is>
      </c>
      <c r="H202" s="3" t="inlineStr">
        <is>
          <t>inference_gw = ai_it_load_gw * inference_power_share</t>
        </is>
      </c>
      <c r="I202" s="3" t="inlineStr">
        <is>
          <t>Ironwood is positioned for inference and Gemini is commercialized across products; inference share increases as a scenario.</t>
        </is>
      </c>
      <c r="J202" s="3" t="inlineStr">
        <is>
          <t>SRC_GOOGLE_GEMINI_TOKENS; SRC_GOOGLE_IRONWOOD; SRC_GOOGLE_TPU_V6E; SRC_EPOCH_AI_DATA_CENTERS; ASSUMP_INFERENCE_SHARE_NOT_FACT_60</t>
        </is>
      </c>
      <c r="K202" s="3" t="inlineStr">
        <is>
          <t>ASSUMP_TPU_EFFICIENCY; ASSUMP_POWER_RAMP; ASSUMP_NUMERIC_ACCELERATOR_MIX; ASSUMP_INFERENCE_SHARE_NOT_FACT_60; ASSUMP_WORKLOAD_CLASS_MIX; ASSUMP_AGENTIC_CONTEXT_PENALTY</t>
        </is>
      </c>
      <c r="L202" s="3" t="inlineStr">
        <is>
          <t>Provider-specific inference/training workload power telemetry.</t>
        </is>
      </c>
    </row>
    <row r="203">
      <c r="A203" s="3" t="inlineStr">
        <is>
          <t>Google</t>
        </is>
      </c>
      <c r="B203" s="3" t="n">
        <v>2029</v>
      </c>
      <c r="C203" s="3" t="inlineStr">
        <is>
          <t>Bear</t>
        </is>
      </c>
      <c r="D203" s="3" t="inlineStr">
        <is>
          <t>inference_gw</t>
        </is>
      </c>
      <c r="E203" s="3" t="n">
        <v>2.062</v>
      </c>
      <c r="F203" s="3" t="inlineStr">
        <is>
          <t>GW</t>
        </is>
      </c>
      <c r="G203" s="3" t="inlineStr">
        <is>
          <t>Derived formula</t>
        </is>
      </c>
      <c r="H203" s="3" t="inlineStr">
        <is>
          <t>ai_it_load_gw * inference_power_share</t>
        </is>
      </c>
      <c r="I203" s="3" t="inlineStr">
        <is>
          <t>This is the operational power eligible to become commercial generated output tokens through the selected TPS/MW proxy.</t>
        </is>
      </c>
      <c r="J203" s="3" t="inlineStr">
        <is>
          <t>SRC_GOOGLE_GEMINI_TOKENS; SRC_GOOGLE_IRONWOOD; SRC_GOOGLE_TPU_V6E; SRC_EPOCH_AI_DATA_CENTERS</t>
        </is>
      </c>
      <c r="K203" s="3" t="inlineStr">
        <is>
          <t>ASSUMP_TPU_EFFICIENCY; ASSUMP_POWER_RAMP; ASSUMP_NUMERIC_ACCELERATOR_MIX; ASSUMP_INFERENCE_SHARE_NOT_FACT_60; ASSUMP_WORKLOAD_CLASS_MIX; ASSUMP_AGENTIC_CONTEXT_PENALTY</t>
        </is>
      </c>
      <c r="L203" s="3" t="inlineStr">
        <is>
          <t>Recompute after AI allocation or inference-share evidence changes.</t>
        </is>
      </c>
    </row>
    <row r="204">
      <c r="A204" s="3" t="inlineStr">
        <is>
          <t>Google</t>
        </is>
      </c>
      <c r="B204" s="3" t="n">
        <v>2029</v>
      </c>
      <c r="C204" s="3" t="inlineStr">
        <is>
          <t>Bear</t>
        </is>
      </c>
      <c r="D204" s="3" t="inlineStr">
        <is>
          <t>training_power_share</t>
        </is>
      </c>
      <c r="E204" s="3" t="n">
        <v>0.417</v>
      </c>
      <c r="F204" s="3" t="inlineStr">
        <is>
          <t>share of AI IT load</t>
        </is>
      </c>
      <c r="G204" s="3" t="inlineStr">
        <is>
          <t>Derived allocation</t>
        </is>
      </c>
      <c r="H204" s="3" t="inlineStr">
        <is>
          <t>1 - inference_power_share</t>
        </is>
      </c>
      <c r="I204" s="3" t="inlineStr">
        <is>
          <t>Training receives the complementary modeled AI IT allocation; it is not a disclosed company workload split.</t>
        </is>
      </c>
      <c r="J204" s="3" t="inlineStr">
        <is>
          <t>SRC_GOOGLE_GEMINI_TOKENS; SRC_GOOGLE_IRONWOOD; SRC_GOOGLE_TPU_V6E; SRC_EPOCH_AI_DATA_CENTERS; ASSUMP_INFERENCE_SHARE_NOT_FACT_60</t>
        </is>
      </c>
      <c r="K204" s="3" t="inlineStr">
        <is>
          <t>ASSUMP_TPU_EFFICIENCY; ASSUMP_POWER_RAMP; ASSUMP_NUMERIC_ACCELERATOR_MIX; ASSUMP_INFERENCE_SHARE_NOT_FACT_60; ASSUMP_WORKLOAD_CLASS_MIX; ASSUMP_AGENTIC_CONTEXT_PENALTY</t>
        </is>
      </c>
      <c r="L204" s="3" t="inlineStr">
        <is>
          <t>Provider-specific inference/training workload power telemetry.</t>
        </is>
      </c>
    </row>
    <row r="205">
      <c r="A205" s="3" t="inlineStr">
        <is>
          <t>Google</t>
        </is>
      </c>
      <c r="B205" s="3" t="n">
        <v>2029</v>
      </c>
      <c r="C205" s="3" t="inlineStr">
        <is>
          <t>Bear</t>
        </is>
      </c>
      <c r="D205" s="3" t="inlineStr">
        <is>
          <t>training_gw</t>
        </is>
      </c>
      <c r="E205" s="3" t="n">
        <v>1.478</v>
      </c>
      <c r="F205" s="3" t="inlineStr">
        <is>
          <t>GW</t>
        </is>
      </c>
      <c r="G205" s="3" t="inlineStr">
        <is>
          <t>Derived formula</t>
        </is>
      </c>
      <c r="H205" s="3" t="inlineStr">
        <is>
          <t>ai_it_load_gw * training_power_share</t>
        </is>
      </c>
      <c r="I205" s="3" t="inlineStr">
        <is>
          <t>Training GW is shown separately so commercial inference token capacity is not overstated.</t>
        </is>
      </c>
      <c r="J205" s="3" t="inlineStr">
        <is>
          <t>SRC_GOOGLE_GEMINI_TOKENS; SRC_GOOGLE_IRONWOOD; SRC_GOOGLE_TPU_V6E; SRC_EPOCH_AI_DATA_CENTERS</t>
        </is>
      </c>
      <c r="K205" s="3" t="inlineStr">
        <is>
          <t>ASSUMP_TPU_EFFICIENCY; ASSUMP_POWER_RAMP; ASSUMP_NUMERIC_ACCELERATOR_MIX; ASSUMP_INFERENCE_SHARE_NOT_FACT_60; ASSUMP_WORKLOAD_CLASS_MIX; ASSUMP_AGENTIC_CONTEXT_PENALTY</t>
        </is>
      </c>
      <c r="L205" s="3" t="inlineStr">
        <is>
          <t>Recompute after AI allocation or workload-split evidence changes.</t>
        </is>
      </c>
    </row>
    <row r="206">
      <c r="A206" s="3" t="inlineStr">
        <is>
          <t>Google</t>
        </is>
      </c>
      <c r="B206" s="3" t="n">
        <v>2029</v>
      </c>
      <c r="C206" s="3" t="inlineStr">
        <is>
          <t>Bear</t>
        </is>
      </c>
      <c r="D206" s="3" t="inlineStr">
        <is>
          <t>tokens_per_second_per_mw</t>
        </is>
      </c>
      <c r="E206" s="3" t="n">
        <v>70095</v>
      </c>
      <c r="F206" s="3" t="inlineStr">
        <is>
          <t>generated output tokens/sec/MW</t>
        </is>
      </c>
      <c r="G206" s="3" t="inlineStr">
        <is>
          <t>Derived estimate + benchmark calibration</t>
        </is>
      </c>
      <c r="H206" s="3" t="inlineStr">
        <is>
          <t>fleet_reference_tps_per_mw * commercial_workload_fit_factor</t>
        </is>
      </c>
      <c r="I20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06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06" s="3" t="inlineStr">
        <is>
          <t>ASSUMP_TPU_EFFICIENCY; ASSUMP_POWER_RAMP; ASSUMP_NUMERIC_ACCELERATOR_MIX; ASSUMP_INFERENCE_SHARE_NOT_FACT_60; ASSUMP_WORKLOAD_CLASS_MIX; ASSUMP_AGENTIC_CONTEXT_PENALTY</t>
        </is>
      </c>
      <c r="L206" s="3" t="inlineStr">
        <is>
          <t>Comparable production output-token throughput with model, hardware, precision, ISL/OSL and SLO matched.</t>
        </is>
      </c>
    </row>
    <row r="207">
      <c r="A207" s="3" t="inlineStr">
        <is>
          <t>Google</t>
        </is>
      </c>
      <c r="B207" s="3" t="n">
        <v>2029</v>
      </c>
      <c r="C207" s="3" t="inlineStr">
        <is>
          <t>Bear</t>
        </is>
      </c>
      <c r="D207" s="3" t="inlineStr">
        <is>
          <t>inference_tokens_per_day</t>
        </is>
      </c>
      <c r="E207" s="3" t="n">
        <v>12487900896000</v>
      </c>
      <c r="F207" s="3" t="inlineStr">
        <is>
          <t>generated output tokens/day</t>
        </is>
      </c>
      <c r="G207" s="3" t="inlineStr">
        <is>
          <t>Derived headline metric</t>
        </is>
      </c>
      <c r="H207" s="3" t="inlineStr">
        <is>
          <t>inference_gw * 1000 * tokens_per_second_per_mw * 86,400</t>
        </is>
      </c>
      <c r="I207" s="3" t="inlineStr">
        <is>
          <t>Headline capacity uses no utilization, MoE, architecture or software-growth multiplier; it is not observed commercial output volume.</t>
        </is>
      </c>
      <c r="J207" s="3" t="inlineStr">
        <is>
          <t>SRC_GOOGLE_GEMINI_TOKENS; SRC_GOOGLE_IRONWOOD; SRC_GOOGLE_TPU_V6E; SRC_EPOCH_AI_DATA_CENTERS; SRC_SEMIANALYSIS_INFERENCEX</t>
        </is>
      </c>
      <c r="K207" s="3" t="inlineStr">
        <is>
          <t>ASSUMP_TPU_EFFICIENCY; ASSUMP_POWER_RAMP; ASSUMP_NUMERIC_ACCELERATOR_MIX; ASSUMP_INFERENCE_SHARE_NOT_FACT_60; ASSUMP_WORKLOAD_CLASS_MIX; ASSUMP_AGENTIC_CONTEXT_PENALTY</t>
        </is>
      </c>
      <c r="L207" s="3" t="inlineStr">
        <is>
          <t>Provider-disclosed generated output token volume or calibrated capacity telemetry.</t>
        </is>
      </c>
    </row>
    <row r="208">
      <c r="A208" s="3" t="inlineStr">
        <is>
          <t>Google</t>
        </is>
      </c>
      <c r="B208" s="3" t="n">
        <v>2029</v>
      </c>
      <c r="C208" s="3" t="inlineStr">
        <is>
          <t>Bear</t>
        </is>
      </c>
      <c r="D208" s="3" t="inlineStr">
        <is>
          <t>inference_tokens_per_year</t>
        </is>
      </c>
      <c r="E208" s="3" t="n">
        <v>4558083827040000</v>
      </c>
      <c r="F208" s="3" t="inlineStr">
        <is>
          <t>generated output tokens/year</t>
        </is>
      </c>
      <c r="G208" s="3" t="inlineStr">
        <is>
          <t>Derived headline metric</t>
        </is>
      </c>
      <c r="H208" s="3" t="inlineStr">
        <is>
          <t>inference_tokens_per_day * 365</t>
        </is>
      </c>
      <c r="I208" s="3" t="inlineStr">
        <is>
          <t>Annualized version of generated output token capacity; it is not observed annual demand or billable volume.</t>
        </is>
      </c>
      <c r="J208" s="3" t="inlineStr">
        <is>
          <t>SRC_GOOGLE_GEMINI_TOKENS; SRC_GOOGLE_IRONWOOD; SRC_GOOGLE_TPU_V6E; SRC_EPOCH_AI_DATA_CENTERS; SRC_SEMIANALYSIS_INFERENCEX</t>
        </is>
      </c>
      <c r="K208" s="3" t="inlineStr">
        <is>
          <t>ASSUMP_TPU_EFFICIENCY; ASSUMP_POWER_RAMP; ASSUMP_NUMERIC_ACCELERATOR_MIX; ASSUMP_INFERENCE_SHARE_NOT_FACT_60; ASSUMP_WORKLOAD_CLASS_MIX; ASSUMP_AGENTIC_CONTEXT_PENALTY</t>
        </is>
      </c>
      <c r="L208" s="3" t="inlineStr">
        <is>
          <t>Provider-disclosed annual generated-output volume or metered serving telemetry.</t>
        </is>
      </c>
    </row>
    <row r="209">
      <c r="A209" s="3" t="inlineStr">
        <is>
          <t>Google</t>
        </is>
      </c>
      <c r="B209" s="3" t="n">
        <v>2030</v>
      </c>
      <c r="C209" s="3" t="inlineStr">
        <is>
          <t>Bear</t>
        </is>
      </c>
      <c r="D209" s="3" t="inlineStr">
        <is>
          <t>contracted_power_gw</t>
        </is>
      </c>
      <c r="E209" s="3" t="n">
        <v>8</v>
      </c>
      <c r="F209" s="3" t="inlineStr">
        <is>
          <t>GW</t>
        </is>
      </c>
      <c r="G209" s="3" t="inlineStr">
        <is>
          <t>Scenario capacity envelope</t>
        </is>
      </c>
      <c r="H209" s="3" t="inlineStr">
        <is>
          <t>linear interpolation between 2026 and 2030 company capacity endpoints</t>
        </is>
      </c>
      <c r="I209" s="3" t="inlineStr">
        <is>
          <t>Scenario envelope for Gemini-serving capacity; official TPU hardware direction is disclosed, company-level contracted GW is not.</t>
        </is>
      </c>
      <c r="J209" s="3" t="inlineStr">
        <is>
          <t>ASSUMP_POWER_RAMP; SRC_GOOGLE_IRONWOOD; SRC_GOOGLE_TPU_V6E</t>
        </is>
      </c>
      <c r="K209" s="3" t="inlineStr">
        <is>
          <t>ASSUMP_TPU_EFFICIENCY; ASSUMP_POWER_RAMP; ASSUMP_NUMERIC_ACCELERATOR_MIX; ASSUMP_INFERENCE_SHARE_NOT_FACT_60; ASSUMP_WORKLOAD_CLASS_MIX; ASSUMP_AGENTIC_CONTEXT_PENALTY</t>
        </is>
      </c>
      <c r="L209" s="3" t="inlineStr">
        <is>
          <t>Company/site-level committed MW/GW, interconnect and contract disclosure.</t>
        </is>
      </c>
    </row>
    <row r="210">
      <c r="A210" s="3" t="inlineStr">
        <is>
          <t>Google</t>
        </is>
      </c>
      <c r="B210" s="3" t="n">
        <v>2030</v>
      </c>
      <c r="C210" s="3" t="inlineStr">
        <is>
          <t>Bear</t>
        </is>
      </c>
      <c r="D210" s="3" t="inlineStr">
        <is>
          <t>operational_deployment_share</t>
        </is>
      </c>
      <c r="E210" s="3" t="n">
        <v>0.697</v>
      </c>
      <c r="F210" s="3" t="inlineStr">
        <is>
          <t>share</t>
        </is>
      </c>
      <c r="G210" s="3" t="inlineStr">
        <is>
          <t>Scenario conversion</t>
        </is>
      </c>
      <c r="H210" s="3" t="inlineStr">
        <is>
          <t>active_power_gw / contracted_power_gw</t>
        </is>
      </c>
      <c r="I210" s="3" t="inlineStr">
        <is>
          <t>This is the single explicit conversion from contracted/attributed capacity to operationally usable capacity.</t>
        </is>
      </c>
      <c r="J210" s="3" t="inlineStr">
        <is>
          <t>ASSUMP_POWER_RAMP; SRC_GOOGLE_IRONWOOD; SRC_GOOGLE_TPU_V6E</t>
        </is>
      </c>
      <c r="K210" s="3" t="inlineStr">
        <is>
          <t>ASSUMP_TPU_EFFICIENCY; ASSUMP_POWER_RAMP; ASSUMP_NUMERIC_ACCELERATOR_MIX; ASSUMP_INFERENCE_SHARE_NOT_FACT_60; ASSUMP_WORKLOAD_CLASS_MIX; ASSUMP_AGENTIC_CONTEXT_PENALTY</t>
        </is>
      </c>
      <c r="L210" s="3" t="inlineStr">
        <is>
          <t>Energized operational capacity divided by contracted/attributed capacity.</t>
        </is>
      </c>
    </row>
    <row r="211">
      <c r="A211" s="3" t="inlineStr">
        <is>
          <t>Google</t>
        </is>
      </c>
      <c r="B211" s="3" t="n">
        <v>2030</v>
      </c>
      <c r="C211" s="3" t="inlineStr">
        <is>
          <t>Bear</t>
        </is>
      </c>
      <c r="D211" s="3" t="inlineStr">
        <is>
          <t>active_power_gw</t>
        </is>
      </c>
      <c r="E211" s="3" t="n">
        <v>5.576</v>
      </c>
      <c r="F211" s="3" t="inlineStr">
        <is>
          <t>GW</t>
        </is>
      </c>
      <c r="G211" s="3" t="inlineStr">
        <is>
          <t>Derived scenario</t>
        </is>
      </c>
      <c r="H211" s="3" t="inlineStr">
        <is>
          <t>contracted_power_gw * operational_deployment_share</t>
        </is>
      </c>
      <c r="I211" s="3" t="inlineStr">
        <is>
          <t>TPU generation availability supports ramp direction, while active GW remains a staged deployment estimate.</t>
        </is>
      </c>
      <c r="J211" s="3" t="inlineStr">
        <is>
          <t>ASSUMP_POWER_RAMP; SRC_GOOGLE_IRONWOOD; SRC_GOOGLE_TPU_V6E</t>
        </is>
      </c>
      <c r="K211" s="3" t="inlineStr">
        <is>
          <t>ASSUMP_TPU_EFFICIENCY; ASSUMP_POWER_RAMP; ASSUMP_NUMERIC_ACCELERATOR_MIX; ASSUMP_INFERENCE_SHARE_NOT_FACT_60; ASSUMP_WORKLOAD_CLASS_MIX; ASSUMP_AGENTIC_CONTEXT_PENALTY</t>
        </is>
      </c>
      <c r="L211" s="3" t="inlineStr">
        <is>
          <t>Energization dates, accelerator deliveries and operational powered-rack telemetry.</t>
        </is>
      </c>
    </row>
    <row r="212">
      <c r="A212" s="3" t="inlineStr">
        <is>
          <t>Google</t>
        </is>
      </c>
      <c r="B212" s="3" t="n">
        <v>2030</v>
      </c>
      <c r="C212" s="3" t="inlineStr">
        <is>
          <t>Bear</t>
        </is>
      </c>
      <c r="D212" s="3" t="inlineStr">
        <is>
          <t>pue</t>
        </is>
      </c>
      <c r="E212" s="3" t="n">
        <v>1.18</v>
      </c>
      <c r="F212" s="3" t="inlineStr">
        <is>
          <t>ratio</t>
        </is>
      </c>
      <c r="G212" s="3" t="inlineStr">
        <is>
          <t>Scenario parameter</t>
        </is>
      </c>
      <c r="H212" s="3" t="inlineStr">
        <is>
          <t>it_load_gw = active_power_gw / pue</t>
        </is>
      </c>
      <c r="I212" s="3" t="inlineStr">
        <is>
          <t>No provider-wide site-level PUE is used as a disclosed fact; PUE represents facility-to-IT conversion within the scenario.</t>
        </is>
      </c>
      <c r="J212" s="3" t="inlineStr">
        <is>
          <t>ASSUMP_POWER_RAMP</t>
        </is>
      </c>
      <c r="K212" s="3" t="inlineStr">
        <is>
          <t>ASSUMP_TPU_EFFICIENCY; ASSUMP_POWER_RAMP; ASSUMP_NUMERIC_ACCELERATOR_MIX; ASSUMP_INFERENCE_SHARE_NOT_FACT_60; ASSUMP_WORKLOAD_CLASS_MIX; ASSUMP_AGENTIC_CONTEXT_PENALTY</t>
        </is>
      </c>
      <c r="L212" s="3" t="inlineStr">
        <is>
          <t>Site-level measured PUE matched to attributed AI capacity.</t>
        </is>
      </c>
    </row>
    <row r="213">
      <c r="A213" s="3" t="inlineStr">
        <is>
          <t>Google</t>
        </is>
      </c>
      <c r="B213" s="3" t="n">
        <v>2030</v>
      </c>
      <c r="C213" s="3" t="inlineStr">
        <is>
          <t>Bear</t>
        </is>
      </c>
      <c r="D213" s="3" t="inlineStr">
        <is>
          <t>it_load_gw</t>
        </is>
      </c>
      <c r="E213" s="3" t="n">
        <v>4.725</v>
      </c>
      <c r="F213" s="3" t="inlineStr">
        <is>
          <t>GW</t>
        </is>
      </c>
      <c r="G213" s="3" t="inlineStr">
        <is>
          <t>Derived formula</t>
        </is>
      </c>
      <c r="H213" s="3" t="inlineStr">
        <is>
          <t>active_power_gw / pue</t>
        </is>
      </c>
      <c r="I213" s="3" t="inlineStr">
        <is>
          <t>Facility power is converted to IT-deliverable power before attributing AI workloads.</t>
        </is>
      </c>
      <c r="J213" s="3" t="inlineStr">
        <is>
          <t>ASSUMP_POWER_RAMP; SRC_GOOGLE_IRONWOOD; SRC_GOOGLE_TPU_V6E</t>
        </is>
      </c>
      <c r="K213" s="3" t="inlineStr">
        <is>
          <t>ASSUMP_TPU_EFFICIENCY; ASSUMP_POWER_RAMP; ASSUMP_NUMERIC_ACCELERATOR_MIX; ASSUMP_INFERENCE_SHARE_NOT_FACT_60; ASSUMP_WORKLOAD_CLASS_MIX; ASSUMP_AGENTIC_CONTEXT_PENALTY</t>
        </is>
      </c>
      <c r="L213" s="3" t="inlineStr">
        <is>
          <t>Recompute once active power and PUE become site-observable.</t>
        </is>
      </c>
    </row>
    <row r="214">
      <c r="A214" s="3" t="inlineStr">
        <is>
          <t>Google</t>
        </is>
      </c>
      <c r="B214" s="3" t="n">
        <v>2030</v>
      </c>
      <c r="C214" s="3" t="inlineStr">
        <is>
          <t>Bear</t>
        </is>
      </c>
      <c r="D214" s="3" t="inlineStr">
        <is>
          <t>ai_workload_share</t>
        </is>
      </c>
      <c r="E214" s="3" t="n">
        <v>0.88</v>
      </c>
      <c r="F214" s="3" t="inlineStr">
        <is>
          <t>share</t>
        </is>
      </c>
      <c r="G214" s="3" t="inlineStr">
        <is>
          <t>Scenario allocation</t>
        </is>
      </c>
      <c r="H214" s="3" t="inlineStr">
        <is>
          <t>ai_it_load_gw = it_load_gw * ai_workload_share</t>
        </is>
      </c>
      <c r="I214" s="3" t="inlineStr">
        <is>
          <t>Gemini/Vertex TPU serving is AI-dedicated in the modeled capacity envelope; 88% excludes platform/reserve load.</t>
        </is>
      </c>
      <c r="J214" s="3" t="inlineStr">
        <is>
          <t>SRC_GOOGLE_GEMINI_TOKENS; SRC_GOOGLE_IRONWOOD; SRC_GOOGLE_TPU_V6E; SRC_EPOCH_AI_DATA_CENTERS</t>
        </is>
      </c>
      <c r="K214" s="3" t="inlineStr">
        <is>
          <t>ASSUMP_TPU_EFFICIENCY; ASSUMP_POWER_RAMP; ASSUMP_NUMERIC_ACCELERATOR_MIX; ASSUMP_INFERENCE_SHARE_NOT_FACT_60; ASSUMP_WORKLOAD_CLASS_MIX; ASSUMP_AGENTIC_CONTEXT_PENALTY</t>
        </is>
      </c>
      <c r="L214" s="3" t="inlineStr">
        <is>
          <t>Model-owner AI workload allocation or cluster scheduling telemetry.</t>
        </is>
      </c>
    </row>
    <row r="215">
      <c r="A215" s="3" t="inlineStr">
        <is>
          <t>Google</t>
        </is>
      </c>
      <c r="B215" s="3" t="n">
        <v>2030</v>
      </c>
      <c r="C215" s="3" t="inlineStr">
        <is>
          <t>Bear</t>
        </is>
      </c>
      <c r="D215" s="3" t="inlineStr">
        <is>
          <t>ai_it_load_gw</t>
        </is>
      </c>
      <c r="E215" s="3" t="n">
        <v>4.158</v>
      </c>
      <c r="F215" s="3" t="inlineStr">
        <is>
          <t>GW</t>
        </is>
      </c>
      <c r="G215" s="3" t="inlineStr">
        <is>
          <t>Derived formula</t>
        </is>
      </c>
      <c r="H215" s="3" t="inlineStr">
        <is>
          <t>it_load_gw * ai_workload_share</t>
        </is>
      </c>
      <c r="I215" s="3" t="inlineStr">
        <is>
          <t>Only the AI-attributed portion of IT load enters training/inference allocation.</t>
        </is>
      </c>
      <c r="J215" s="3" t="inlineStr">
        <is>
          <t>SRC_GOOGLE_GEMINI_TOKENS; SRC_GOOGLE_IRONWOOD; SRC_GOOGLE_TPU_V6E; SRC_EPOCH_AI_DATA_CENTERS</t>
        </is>
      </c>
      <c r="K215" s="3" t="inlineStr">
        <is>
          <t>ASSUMP_TPU_EFFICIENCY; ASSUMP_POWER_RAMP; ASSUMP_NUMERIC_ACCELERATOR_MIX; ASSUMP_INFERENCE_SHARE_NOT_FACT_60; ASSUMP_WORKLOAD_CLASS_MIX; ASSUMP_AGENTIC_CONTEXT_PENALTY</t>
        </is>
      </c>
      <c r="L215" s="3" t="inlineStr">
        <is>
          <t>Recompute after ai_workload_share is replaced by telemetry.</t>
        </is>
      </c>
    </row>
    <row r="216">
      <c r="A216" s="3" t="inlineStr">
        <is>
          <t>Google</t>
        </is>
      </c>
      <c r="B216" s="3" t="n">
        <v>2030</v>
      </c>
      <c r="C216" s="3" t="inlineStr">
        <is>
          <t>Bear</t>
        </is>
      </c>
      <c r="D216" s="3" t="inlineStr">
        <is>
          <t>gpu_share</t>
        </is>
      </c>
      <c r="E216" s="3" t="n">
        <v>0.096925</v>
      </c>
      <c r="F216" s="3" t="inlineStr">
        <is>
          <t>share of inference-serving accelerator load</t>
        </is>
      </c>
      <c r="G216" s="3" t="inlineStr">
        <is>
          <t>Numeric scenario</t>
        </is>
      </c>
      <c r="H216" s="3" t="inlineStr">
        <is>
          <t>gpu_share interpolated from company 2026/2030 accelerator-mix endpoints</t>
        </is>
      </c>
      <c r="I216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16" s="3" t="inlineStr">
        <is>
          <t>SRC_GOOGLE_GEMINI_TOKENS; SRC_GOOGLE_IRONWOOD; SRC_GOOGLE_TPU_V6E; SRC_EPOCH_AI_DATA_CENTERS; ASSUMP_NUMERIC_ACCELERATOR_MIX</t>
        </is>
      </c>
      <c r="K216" s="3" t="inlineStr">
        <is>
          <t>ASSUMP_TPU_EFFICIENCY; ASSUMP_POWER_RAMP; ASSUMP_NUMERIC_ACCELERATOR_MIX; ASSUMP_INFERENCE_SHARE_NOT_FACT_60; ASSUMP_WORKLOAD_CLASS_MIX; ASSUMP_AGENTIC_CONTEXT_PENALTY</t>
        </is>
      </c>
      <c r="L216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17">
      <c r="A217" s="3" t="inlineStr">
        <is>
          <t>Google</t>
        </is>
      </c>
      <c r="B217" s="3" t="n">
        <v>2030</v>
      </c>
      <c r="C217" s="3" t="inlineStr">
        <is>
          <t>Bear</t>
        </is>
      </c>
      <c r="D217" s="3" t="inlineStr">
        <is>
          <t>h200_share</t>
        </is>
      </c>
      <c r="E217" s="3" t="n">
        <v>0.002447</v>
      </c>
      <c r="F217" s="3" t="inlineStr">
        <is>
          <t>share of inference-serving accelerator load</t>
        </is>
      </c>
      <c r="G217" s="3" t="inlineStr">
        <is>
          <t>Editable numeric scenario</t>
        </is>
      </c>
      <c r="H217" s="3" t="inlineStr">
        <is>
          <t>h200_share = gpu_share * default_gpu_generation_mix_h200</t>
        </is>
      </c>
      <c r="I217" s="3" t="inlineStr">
        <is>
          <t>Default GPU-generation migration assumption; executive workbook allows later manual replacement by company/year/scenario.</t>
        </is>
      </c>
      <c r="J217" s="3" t="inlineStr">
        <is>
          <t>SRC_SEMIANALYSIS_INFERENCEX; ASSUMP_NUMERIC_ACCELERATOR_MIX</t>
        </is>
      </c>
      <c r="K217" s="3" t="inlineStr">
        <is>
          <t>ASSUMP_TPU_EFFICIENCY; ASSUMP_POWER_RAMP; ASSUMP_NUMERIC_ACCELERATOR_MIX; ASSUMP_INFERENCE_SHARE_NOT_FACT_60; ASSUMP_WORKLOAD_CLASS_MIX; ASSUMP_AGENTIC_CONTEXT_PENALTY</t>
        </is>
      </c>
      <c r="L217" s="3" t="inlineStr">
        <is>
          <t>Company fleet inventory, accelerator-hours or procurement/deployment records by GPU generation.</t>
        </is>
      </c>
    </row>
    <row r="218">
      <c r="A218" s="3" t="inlineStr">
        <is>
          <t>Google</t>
        </is>
      </c>
      <c r="B218" s="3" t="n">
        <v>2030</v>
      </c>
      <c r="C218" s="3" t="inlineStr">
        <is>
          <t>Bear</t>
        </is>
      </c>
      <c r="D218" s="3" t="inlineStr">
        <is>
          <t>b200_share</t>
        </is>
      </c>
      <c r="E218" s="3" t="n">
        <v>0.081021</v>
      </c>
      <c r="F218" s="3" t="inlineStr">
        <is>
          <t>share of inference-serving accelerator load</t>
        </is>
      </c>
      <c r="G218" s="3" t="inlineStr">
        <is>
          <t>Editable numeric scenario</t>
        </is>
      </c>
      <c r="H218" s="3" t="inlineStr">
        <is>
          <t>b200_share = gpu_share * default_gpu_generation_mix_b200</t>
        </is>
      </c>
      <c r="I218" s="3" t="inlineStr">
        <is>
          <t>Default GPU-generation migration assumption; executive workbook allows later manual replacement by company/year/scenario.</t>
        </is>
      </c>
      <c r="J218" s="3" t="inlineStr">
        <is>
          <t>SRC_SEMIANALYSIS_INFERENCEX; ASSUMP_NUMERIC_ACCELERATOR_MIX</t>
        </is>
      </c>
      <c r="K218" s="3" t="inlineStr">
        <is>
          <t>ASSUMP_TPU_EFFICIENCY; ASSUMP_POWER_RAMP; ASSUMP_NUMERIC_ACCELERATOR_MIX; ASSUMP_INFERENCE_SHARE_NOT_FACT_60; ASSUMP_WORKLOAD_CLASS_MIX; ASSUMP_AGENTIC_CONTEXT_PENALTY</t>
        </is>
      </c>
      <c r="L218" s="3" t="inlineStr">
        <is>
          <t>Company fleet inventory, accelerator-hours or procurement/deployment records by GPU generation.</t>
        </is>
      </c>
    </row>
    <row r="219">
      <c r="A219" s="3" t="inlineStr">
        <is>
          <t>Google</t>
        </is>
      </c>
      <c r="B219" s="3" t="n">
        <v>2030</v>
      </c>
      <c r="C219" s="3" t="inlineStr">
        <is>
          <t>Bear</t>
        </is>
      </c>
      <c r="D219" s="3" t="inlineStr">
        <is>
          <t>gb200_share</t>
        </is>
      </c>
      <c r="E219" s="3" t="n">
        <v>0.013457</v>
      </c>
      <c r="F219" s="3" t="inlineStr">
        <is>
          <t>share of inference-serving accelerator load</t>
        </is>
      </c>
      <c r="G219" s="3" t="inlineStr">
        <is>
          <t>Editable numeric scenario</t>
        </is>
      </c>
      <c r="H219" s="3" t="inlineStr">
        <is>
          <t>gb200_share = gpu_share * default_gpu_generation_mix_gb200</t>
        </is>
      </c>
      <c r="I219" s="3" t="inlineStr">
        <is>
          <t>Default GPU-generation migration assumption; executive workbook allows later manual replacement by company/year/scenario.</t>
        </is>
      </c>
      <c r="J219" s="3" t="inlineStr">
        <is>
          <t>SRC_SEMIANALYSIS_INFERENCEX; ASSUMP_NUMERIC_ACCELERATOR_MIX</t>
        </is>
      </c>
      <c r="K219" s="3" t="inlineStr">
        <is>
          <t>ASSUMP_TPU_EFFICIENCY; ASSUMP_POWER_RAMP; ASSUMP_NUMERIC_ACCELERATOR_MIX; ASSUMP_INFERENCE_SHARE_NOT_FACT_60; ASSUMP_WORKLOAD_CLASS_MIX; ASSUMP_AGENTIC_CONTEXT_PENALTY</t>
        </is>
      </c>
      <c r="L219" s="3" t="inlineStr">
        <is>
          <t>Company fleet inventory, accelerator-hours or procurement/deployment records by GPU generation.</t>
        </is>
      </c>
    </row>
    <row r="220">
      <c r="A220" s="3" t="inlineStr">
        <is>
          <t>Google</t>
        </is>
      </c>
      <c r="B220" s="3" t="n">
        <v>2030</v>
      </c>
      <c r="C220" s="3" t="inlineStr">
        <is>
          <t>Bear</t>
        </is>
      </c>
      <c r="D220" s="3" t="inlineStr">
        <is>
          <t>purpose_built_accelerator_share</t>
        </is>
      </c>
      <c r="E220" s="3" t="n">
        <v>0.903075</v>
      </c>
      <c r="F220" s="3" t="inlineStr">
        <is>
          <t>share of inference-serving accelerator load</t>
        </is>
      </c>
      <c r="G220" s="3" t="inlineStr">
        <is>
          <t>Numeric scenario</t>
        </is>
      </c>
      <c r="H220" s="3" t="inlineStr">
        <is>
          <t>1 - gpu_share</t>
        </is>
      </c>
      <c r="I220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0" s="3" t="inlineStr">
        <is>
          <t>SRC_GOOGLE_GEMINI_TOKENS; SRC_GOOGLE_IRONWOOD; SRC_GOOGLE_TPU_V6E; SRC_EPOCH_AI_DATA_CENTERS; ASSUMP_NUMERIC_ACCELERATOR_MIX</t>
        </is>
      </c>
      <c r="K220" s="3" t="inlineStr">
        <is>
          <t>ASSUMP_TPU_EFFICIENCY; ASSUMP_POWER_RAMP; ASSUMP_NUMERIC_ACCELERATOR_MIX; ASSUMP_INFERENCE_SHARE_NOT_FACT_60; ASSUMP_WORKLOAD_CLASS_MIX; ASSUMP_AGENTIC_CONTEXT_PENALTY</t>
        </is>
      </c>
      <c r="L220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1">
      <c r="A221" s="3" t="inlineStr">
        <is>
          <t>Google</t>
        </is>
      </c>
      <c r="B221" s="3" t="n">
        <v>2030</v>
      </c>
      <c r="C221" s="3" t="inlineStr">
        <is>
          <t>Bear</t>
        </is>
      </c>
      <c r="D221" s="3" t="inlineStr">
        <is>
          <t>fleet_reference_tps_per_mw</t>
        </is>
      </c>
      <c r="E221" s="3" t="n">
        <v>170988</v>
      </c>
      <c r="F221" s="3" t="inlineStr">
        <is>
          <t>generated output tokens/sec/MW</t>
        </is>
      </c>
      <c r="G221" s="3" t="inlineStr">
        <is>
          <t>Fleet-weighted public benchmark reference</t>
        </is>
      </c>
      <c r="H221" s="3" t="inlineStr">
        <is>
          <t>h200_share*h200_workload_avg + b200_share*b200_workload_avg + gb200_share*gb200_workload_avg + purpose_built_share*purpose_workload_avg</t>
        </is>
      </c>
      <c r="I22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1" s="3" t="inlineStr">
        <is>
          <t>SRC_SEMIANALYSIS_INFERENCEX; ASSUMP_NUMERIC_ACCELERATOR_MIX; ASSUMP_WORKLOAD_CLASS_MIX; ASSUMP_AGENTIC_CONTEXT_PENALTY</t>
        </is>
      </c>
      <c r="K221" s="3" t="inlineStr">
        <is>
          <t>ASSUMP_TPU_EFFICIENCY; ASSUMP_POWER_RAMP; ASSUMP_NUMERIC_ACCELERATOR_MIX; ASSUMP_INFERENCE_SHARE_NOT_FACT_60; ASSUMP_WORKLOAD_CLASS_MIX; ASSUMP_AGENTIC_CONTEXT_PENALTY</t>
        </is>
      </c>
      <c r="L221" s="3" t="inlineStr">
        <is>
          <t>Comparable production output-token throughput or a more closely matched benchmark.</t>
        </is>
      </c>
    </row>
    <row r="222">
      <c r="A222" s="3" t="inlineStr">
        <is>
          <t>Google</t>
        </is>
      </c>
      <c r="B222" s="3" t="n">
        <v>2030</v>
      </c>
      <c r="C222" s="3" t="inlineStr">
        <is>
          <t>Bear</t>
        </is>
      </c>
      <c r="D222" s="3" t="inlineStr">
        <is>
          <t>commercial_workload_fit_factor</t>
        </is>
      </c>
      <c r="E222" s="3" t="n">
        <v>0.4</v>
      </c>
      <c r="F222" s="3" t="inlineStr">
        <is>
          <t>share of public reference throughput</t>
        </is>
      </c>
      <c r="G222" s="3" t="inlineStr">
        <is>
          <t>Scenario assumption</t>
        </is>
      </c>
      <c r="H222" s="3" t="inlineStr">
        <is>
          <t>reference_serving_tps_per_mw = fleet_reference_tps_per_mw * commercial_workload_fit_factor</t>
        </is>
      </c>
      <c r="I22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" s="3" t="inlineStr">
        <is>
          <t>SRC_SEMIANALYSIS_INFERENCEX; ASSUMP_NUMERIC_ACCELERATOR_MIX; ASSUMP_WORKLOAD_CLASS_MIX; ASSUMP_AGENTIC_CONTEXT_PENALTY</t>
        </is>
      </c>
      <c r="K222" s="3" t="inlineStr">
        <is>
          <t>ASSUMP_TPU_EFFICIENCY; ASSUMP_POWER_RAMP; ASSUMP_NUMERIC_ACCELERATOR_MIX; ASSUMP_INFERENCE_SHARE_NOT_FACT_60; ASSUMP_WORKLOAD_CLASS_MIX; ASSUMP_AGENTIC_CONTEXT_PENALTY</t>
        </is>
      </c>
      <c r="L222" s="3" t="inlineStr">
        <is>
          <t>Matched commercial serving benchmark by product surface, context shape and latency SLO.</t>
        </is>
      </c>
    </row>
    <row r="223">
      <c r="A223" s="3" t="inlineStr">
        <is>
          <t>Google</t>
        </is>
      </c>
      <c r="B223" s="3" t="n">
        <v>2030</v>
      </c>
      <c r="C223" s="3" t="inlineStr">
        <is>
          <t>Bear</t>
        </is>
      </c>
      <c r="D223" s="3" t="inlineStr">
        <is>
          <t>reference_serving_tps_per_mw</t>
        </is>
      </c>
      <c r="E223" s="3" t="n">
        <v>68395</v>
      </c>
      <c r="F223" s="3" t="inlineStr">
        <is>
          <t>generated output tokens/sec/MW</t>
        </is>
      </c>
      <c r="G223" s="3" t="inlineStr">
        <is>
          <t>Workload-adjusted benchmark proxy</t>
        </is>
      </c>
      <c r="H223" s="3" t="inlineStr">
        <is>
          <t>fleet_reference_tps_per_mw * commercial_workload_fit_factor</t>
        </is>
      </c>
      <c r="I223" s="3" t="inlineStr">
        <is>
          <t>This is the coefficient used for headline token generation; each GPU's short chat, long chat and agentic TPS/MW are weighted before fleet mix and commercial fit are applied.</t>
        </is>
      </c>
      <c r="J223" s="3" t="inlineStr">
        <is>
          <t>SRC_SEMIANALYSIS_INFERENCEX; ASSUMP_NUMERIC_ACCELERATOR_MIX; ASSUMP_WORKLOAD_CLASS_MIX; ASSUMP_AGENTIC_CONTEXT_PENALTY</t>
        </is>
      </c>
      <c r="K223" s="3" t="inlineStr">
        <is>
          <t>ASSUMP_TPU_EFFICIENCY; ASSUMP_POWER_RAMP; ASSUMP_NUMERIC_ACCELERATOR_MIX; ASSUMP_INFERENCE_SHARE_NOT_FACT_60; ASSUMP_WORKLOAD_CLASS_MIX; ASSUMP_AGENTIC_CONTEXT_PENALTY</t>
        </is>
      </c>
      <c r="L223" s="3" t="inlineStr">
        <is>
          <t>Provider production output-token throughput with comparable workload/SLO.</t>
        </is>
      </c>
    </row>
    <row r="224">
      <c r="A224" s="3" t="inlineStr">
        <is>
          <t>Google</t>
        </is>
      </c>
      <c r="B224" s="3" t="n">
        <v>2030</v>
      </c>
      <c r="C224" s="3" t="inlineStr">
        <is>
          <t>Bear</t>
        </is>
      </c>
      <c r="D224" s="3" t="inlineStr">
        <is>
          <t>purpose_built_tps_per_mw</t>
        </is>
      </c>
      <c r="E224" s="3" t="n">
        <v>54122</v>
      </c>
      <c r="F224" s="3" t="inlineStr">
        <is>
          <t>generated output tokens/sec/MW</t>
        </is>
      </c>
      <c r="G224" s="3" t="inlineStr">
        <is>
          <t>Conservative no-uplift proxy</t>
        </is>
      </c>
      <c r="H224" s="3" t="inlineStr">
        <is>
          <t>purpose_built_tps_per_mw = purpose_built_reference_tps_per_mw * commercial_workload_fit_factor until comparable output-token benchmark is adopted</t>
        </is>
      </c>
      <c r="I224" s="3" t="inlineStr">
        <is>
          <t>No comparable public output-token/MW row adopted; B200 public reference placeholder is used and remains editable.</t>
        </is>
      </c>
      <c r="J224" s="3" t="inlineStr">
        <is>
          <t>SRC_GOOGLE_GEMINI_TOKENS; SRC_GOOGLE_IRONWOOD; SRC_GOOGLE_TPU_V6E; SRC_EPOCH_AI_DATA_CENTERS; ASSUMP_NUMERIC_ACCELERATOR_MIX</t>
        </is>
      </c>
      <c r="K224" s="3" t="inlineStr">
        <is>
          <t>ASSUMP_TPU_EFFICIENCY; ASSUMP_POWER_RAMP; ASSUMP_NUMERIC_ACCELERATOR_MIX; ASSUMP_INFERENCE_SHARE_NOT_FACT_60; ASSUMP_WORKLOAD_CLASS_MIX; ASSUMP_AGENTIC_CONTEXT_PENALTY</t>
        </is>
      </c>
      <c r="L224" s="3" t="inlineStr">
        <is>
          <t>Matched-workload generated-output benchmark for the provider purpose-built accelerator.</t>
        </is>
      </c>
    </row>
    <row r="225">
      <c r="A225" s="3" t="inlineStr">
        <is>
          <t>Google</t>
        </is>
      </c>
      <c r="B225" s="3" t="n">
        <v>2030</v>
      </c>
      <c r="C225" s="3" t="inlineStr">
        <is>
          <t>Bear</t>
        </is>
      </c>
      <c r="D225" s="3" t="inlineStr">
        <is>
          <t>inference_power_share</t>
        </is>
      </c>
      <c r="E225" s="3" t="n">
        <v>0.62</v>
      </c>
      <c r="F225" s="3" t="inlineStr">
        <is>
          <t>share of AI IT load</t>
        </is>
      </c>
      <c r="G225" s="3" t="inlineStr">
        <is>
          <t>Scenario allocation</t>
        </is>
      </c>
      <c r="H225" s="3" t="inlineStr">
        <is>
          <t>inference_gw = ai_it_load_gw * inference_power_share</t>
        </is>
      </c>
      <c r="I225" s="3" t="inlineStr">
        <is>
          <t>Ironwood is positioned for inference and Gemini is commercialized across products; inference share increases as a scenario.</t>
        </is>
      </c>
      <c r="J225" s="3" t="inlineStr">
        <is>
          <t>SRC_GOOGLE_GEMINI_TOKENS; SRC_GOOGLE_IRONWOOD; SRC_GOOGLE_TPU_V6E; SRC_EPOCH_AI_DATA_CENTERS; ASSUMP_INFERENCE_SHARE_NOT_FACT_60</t>
        </is>
      </c>
      <c r="K225" s="3" t="inlineStr">
        <is>
          <t>ASSUMP_TPU_EFFICIENCY; ASSUMP_POWER_RAMP; ASSUMP_NUMERIC_ACCELERATOR_MIX; ASSUMP_INFERENCE_SHARE_NOT_FACT_60; ASSUMP_WORKLOAD_CLASS_MIX; ASSUMP_AGENTIC_CONTEXT_PENALTY</t>
        </is>
      </c>
      <c r="L225" s="3" t="inlineStr">
        <is>
          <t>Provider-specific inference/training workload power telemetry.</t>
        </is>
      </c>
    </row>
    <row r="226">
      <c r="A226" s="3" t="inlineStr">
        <is>
          <t>Google</t>
        </is>
      </c>
      <c r="B226" s="3" t="n">
        <v>2030</v>
      </c>
      <c r="C226" s="3" t="inlineStr">
        <is>
          <t>Bear</t>
        </is>
      </c>
      <c r="D226" s="3" t="inlineStr">
        <is>
          <t>inference_gw</t>
        </is>
      </c>
      <c r="E226" s="3" t="n">
        <v>2.578</v>
      </c>
      <c r="F226" s="3" t="inlineStr">
        <is>
          <t>GW</t>
        </is>
      </c>
      <c r="G226" s="3" t="inlineStr">
        <is>
          <t>Derived formula</t>
        </is>
      </c>
      <c r="H226" s="3" t="inlineStr">
        <is>
          <t>ai_it_load_gw * inference_power_share</t>
        </is>
      </c>
      <c r="I226" s="3" t="inlineStr">
        <is>
          <t>This is the operational power eligible to become commercial generated output tokens through the selected TPS/MW proxy.</t>
        </is>
      </c>
      <c r="J226" s="3" t="inlineStr">
        <is>
          <t>SRC_GOOGLE_GEMINI_TOKENS; SRC_GOOGLE_IRONWOOD; SRC_GOOGLE_TPU_V6E; SRC_EPOCH_AI_DATA_CENTERS</t>
        </is>
      </c>
      <c r="K226" s="3" t="inlineStr">
        <is>
          <t>ASSUMP_TPU_EFFICIENCY; ASSUMP_POWER_RAMP; ASSUMP_NUMERIC_ACCELERATOR_MIX; ASSUMP_INFERENCE_SHARE_NOT_FACT_60; ASSUMP_WORKLOAD_CLASS_MIX; ASSUMP_AGENTIC_CONTEXT_PENALTY</t>
        </is>
      </c>
      <c r="L226" s="3" t="inlineStr">
        <is>
          <t>Recompute after AI allocation or inference-share evidence changes.</t>
        </is>
      </c>
    </row>
    <row r="227">
      <c r="A227" s="3" t="inlineStr">
        <is>
          <t>Google</t>
        </is>
      </c>
      <c r="B227" s="3" t="n">
        <v>2030</v>
      </c>
      <c r="C227" s="3" t="inlineStr">
        <is>
          <t>Bear</t>
        </is>
      </c>
      <c r="D227" s="3" t="inlineStr">
        <is>
          <t>training_power_share</t>
        </is>
      </c>
      <c r="E227" s="3" t="n">
        <v>0.38</v>
      </c>
      <c r="F227" s="3" t="inlineStr">
        <is>
          <t>share of AI IT load</t>
        </is>
      </c>
      <c r="G227" s="3" t="inlineStr">
        <is>
          <t>Derived allocation</t>
        </is>
      </c>
      <c r="H227" s="3" t="inlineStr">
        <is>
          <t>1 - inference_power_share</t>
        </is>
      </c>
      <c r="I227" s="3" t="inlineStr">
        <is>
          <t>Training receives the complementary modeled AI IT allocation; it is not a disclosed company workload split.</t>
        </is>
      </c>
      <c r="J227" s="3" t="inlineStr">
        <is>
          <t>SRC_GOOGLE_GEMINI_TOKENS; SRC_GOOGLE_IRONWOOD; SRC_GOOGLE_TPU_V6E; SRC_EPOCH_AI_DATA_CENTERS; ASSUMP_INFERENCE_SHARE_NOT_FACT_60</t>
        </is>
      </c>
      <c r="K227" s="3" t="inlineStr">
        <is>
          <t>ASSUMP_TPU_EFFICIENCY; ASSUMP_POWER_RAMP; ASSUMP_NUMERIC_ACCELERATOR_MIX; ASSUMP_INFERENCE_SHARE_NOT_FACT_60; ASSUMP_WORKLOAD_CLASS_MIX; ASSUMP_AGENTIC_CONTEXT_PENALTY</t>
        </is>
      </c>
      <c r="L227" s="3" t="inlineStr">
        <is>
          <t>Provider-specific inference/training workload power telemetry.</t>
        </is>
      </c>
    </row>
    <row r="228">
      <c r="A228" s="3" t="inlineStr">
        <is>
          <t>Google</t>
        </is>
      </c>
      <c r="B228" s="3" t="n">
        <v>2030</v>
      </c>
      <c r="C228" s="3" t="inlineStr">
        <is>
          <t>Bear</t>
        </is>
      </c>
      <c r="D228" s="3" t="inlineStr">
        <is>
          <t>training_gw</t>
        </is>
      </c>
      <c r="E228" s="3" t="n">
        <v>1.58</v>
      </c>
      <c r="F228" s="3" t="inlineStr">
        <is>
          <t>GW</t>
        </is>
      </c>
      <c r="G228" s="3" t="inlineStr">
        <is>
          <t>Derived formula</t>
        </is>
      </c>
      <c r="H228" s="3" t="inlineStr">
        <is>
          <t>ai_it_load_gw * training_power_share</t>
        </is>
      </c>
      <c r="I228" s="3" t="inlineStr">
        <is>
          <t>Training GW is shown separately so commercial inference token capacity is not overstated.</t>
        </is>
      </c>
      <c r="J228" s="3" t="inlineStr">
        <is>
          <t>SRC_GOOGLE_GEMINI_TOKENS; SRC_GOOGLE_IRONWOOD; SRC_GOOGLE_TPU_V6E; SRC_EPOCH_AI_DATA_CENTERS</t>
        </is>
      </c>
      <c r="K228" s="3" t="inlineStr">
        <is>
          <t>ASSUMP_TPU_EFFICIENCY; ASSUMP_POWER_RAMP; ASSUMP_NUMERIC_ACCELERATOR_MIX; ASSUMP_INFERENCE_SHARE_NOT_FACT_60; ASSUMP_WORKLOAD_CLASS_MIX; ASSUMP_AGENTIC_CONTEXT_PENALTY</t>
        </is>
      </c>
      <c r="L228" s="3" t="inlineStr">
        <is>
          <t>Recompute after AI allocation or workload-split evidence changes.</t>
        </is>
      </c>
    </row>
    <row r="229">
      <c r="A229" s="3" t="inlineStr">
        <is>
          <t>Google</t>
        </is>
      </c>
      <c r="B229" s="3" t="n">
        <v>2030</v>
      </c>
      <c r="C229" s="3" t="inlineStr">
        <is>
          <t>Bear</t>
        </is>
      </c>
      <c r="D229" s="3" t="inlineStr">
        <is>
          <t>tokens_per_second_per_mw</t>
        </is>
      </c>
      <c r="E229" s="3" t="n">
        <v>68395</v>
      </c>
      <c r="F229" s="3" t="inlineStr">
        <is>
          <t>generated output tokens/sec/MW</t>
        </is>
      </c>
      <c r="G229" s="3" t="inlineStr">
        <is>
          <t>Derived estimate + benchmark calibration</t>
        </is>
      </c>
      <c r="H229" s="3" t="inlineStr">
        <is>
          <t>fleet_reference_tps_per_mw * commercial_workload_fit_factor</t>
        </is>
      </c>
      <c r="I22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9" s="3" t="inlineStr">
        <is>
          <t>ASSUMP_TPU_EFFICIENCY; ASSUMP_POWER_RAMP; ASSUMP_NUMERIC_ACCELERATOR_MIX; ASSUMP_INFERENCE_SHARE_NOT_FACT_60; ASSUMP_WORKLOAD_CLASS_MIX; ASSUMP_AGENTIC_CONTEXT_PENALTY</t>
        </is>
      </c>
      <c r="L229" s="3" t="inlineStr">
        <is>
          <t>Comparable production output-token throughput with model, hardware, precision, ISL/OSL and SLO matched.</t>
        </is>
      </c>
    </row>
    <row r="230">
      <c r="A230" s="3" t="inlineStr">
        <is>
          <t>Google</t>
        </is>
      </c>
      <c r="B230" s="3" t="n">
        <v>2030</v>
      </c>
      <c r="C230" s="3" t="inlineStr">
        <is>
          <t>Bear</t>
        </is>
      </c>
      <c r="D230" s="3" t="inlineStr">
        <is>
          <t>inference_tokens_per_day</t>
        </is>
      </c>
      <c r="E230" s="3" t="n">
        <v>15234247584000</v>
      </c>
      <c r="F230" s="3" t="inlineStr">
        <is>
          <t>generated output tokens/day</t>
        </is>
      </c>
      <c r="G230" s="3" t="inlineStr">
        <is>
          <t>Derived headline metric</t>
        </is>
      </c>
      <c r="H230" s="3" t="inlineStr">
        <is>
          <t>inference_gw * 1000 * tokens_per_second_per_mw * 86,400</t>
        </is>
      </c>
      <c r="I230" s="3" t="inlineStr">
        <is>
          <t>Headline capacity uses no utilization, MoE, architecture or software-growth multiplier; it is not observed commercial output volume.</t>
        </is>
      </c>
      <c r="J230" s="3" t="inlineStr">
        <is>
          <t>SRC_GOOGLE_GEMINI_TOKENS; SRC_GOOGLE_IRONWOOD; SRC_GOOGLE_TPU_V6E; SRC_EPOCH_AI_DATA_CENTERS; SRC_SEMIANALYSIS_INFERENCEX</t>
        </is>
      </c>
      <c r="K230" s="3" t="inlineStr">
        <is>
          <t>ASSUMP_TPU_EFFICIENCY; ASSUMP_POWER_RAMP; ASSUMP_NUMERIC_ACCELERATOR_MIX; ASSUMP_INFERENCE_SHARE_NOT_FACT_60; ASSUMP_WORKLOAD_CLASS_MIX; ASSUMP_AGENTIC_CONTEXT_PENALTY</t>
        </is>
      </c>
      <c r="L230" s="3" t="inlineStr">
        <is>
          <t>Provider-disclosed generated output token volume or calibrated capacity telemetry.</t>
        </is>
      </c>
    </row>
    <row r="231">
      <c r="A231" s="3" t="inlineStr">
        <is>
          <t>Google</t>
        </is>
      </c>
      <c r="B231" s="3" t="n">
        <v>2030</v>
      </c>
      <c r="C231" s="3" t="inlineStr">
        <is>
          <t>Bear</t>
        </is>
      </c>
      <c r="D231" s="3" t="inlineStr">
        <is>
          <t>inference_tokens_per_year</t>
        </is>
      </c>
      <c r="E231" s="3" t="n">
        <v>5560500368160000</v>
      </c>
      <c r="F231" s="3" t="inlineStr">
        <is>
          <t>generated output tokens/year</t>
        </is>
      </c>
      <c r="G231" s="3" t="inlineStr">
        <is>
          <t>Derived headline metric</t>
        </is>
      </c>
      <c r="H231" s="3" t="inlineStr">
        <is>
          <t>inference_tokens_per_day * 365</t>
        </is>
      </c>
      <c r="I231" s="3" t="inlineStr">
        <is>
          <t>Annualized version of generated output token capacity; it is not observed annual demand or billable volume.</t>
        </is>
      </c>
      <c r="J231" s="3" t="inlineStr">
        <is>
          <t>SRC_GOOGLE_GEMINI_TOKENS; SRC_GOOGLE_IRONWOOD; SRC_GOOGLE_TPU_V6E; SRC_EPOCH_AI_DATA_CENTERS; SRC_SEMIANALYSIS_INFERENCEX</t>
        </is>
      </c>
      <c r="K231" s="3" t="inlineStr">
        <is>
          <t>ASSUMP_TPU_EFFICIENCY; ASSUMP_POWER_RAMP; ASSUMP_NUMERIC_ACCELERATOR_MIX; ASSUMP_INFERENCE_SHARE_NOT_FACT_60; ASSUMP_WORKLOAD_CLASS_MIX; ASSUMP_AGENTIC_CONTEXT_PENALTY</t>
        </is>
      </c>
      <c r="L231" s="3" t="inlineStr">
        <is>
          <t>Provider-disclosed annual generated-output volume or metered serving telemetry.</t>
        </is>
      </c>
    </row>
    <row r="232">
      <c r="A232" s="3" t="inlineStr">
        <is>
          <t>Meta</t>
        </is>
      </c>
      <c r="B232" s="3" t="n">
        <v>2026</v>
      </c>
      <c r="C232" s="3" t="inlineStr">
        <is>
          <t>Bear</t>
        </is>
      </c>
      <c r="D232" s="3" t="inlineStr">
        <is>
          <t>contracted_power_gw</t>
        </is>
      </c>
      <c r="E232" s="3" t="n">
        <v>3.5</v>
      </c>
      <c r="F232" s="3" t="inlineStr">
        <is>
          <t>GW</t>
        </is>
      </c>
      <c r="G232" s="3" t="inlineStr">
        <is>
          <t>Scenario capacity envelope</t>
        </is>
      </c>
      <c r="H232" s="3" t="inlineStr">
        <is>
          <t>linear interpolation between 2026 and 2030 company capacity endpoints</t>
        </is>
      </c>
      <c r="I232" s="3" t="inlineStr">
        <is>
          <t>Scenario envelope for Meta AI/Llama serving capacity; not an official contracted-GW figure.</t>
        </is>
      </c>
      <c r="J232" s="3" t="inlineStr">
        <is>
          <t>ASSUMP_POWER_RAMP; SRC_META_MTIA_GENAI_2026</t>
        </is>
      </c>
      <c r="K232" s="3" t="inlineStr">
        <is>
          <t>ASSUMP_CONSUMER_AI_UTILIZATION; ASSUMP_POWER_RAMP; ASSUMP_NUMERIC_ACCELERATOR_MIX; ASSUMP_INFERENCE_SHARE_NOT_FACT_60; ASSUMP_WORKLOAD_CLASS_MIX; ASSUMP_AGENTIC_CONTEXT_PENALTY</t>
        </is>
      </c>
      <c r="L232" s="3" t="inlineStr">
        <is>
          <t>Company/site-level committed MW/GW, interconnect and contract disclosure.</t>
        </is>
      </c>
    </row>
    <row r="233">
      <c r="A233" s="3" t="inlineStr">
        <is>
          <t>Meta</t>
        </is>
      </c>
      <c r="B233" s="3" t="n">
        <v>2026</v>
      </c>
      <c r="C233" s="3" t="inlineStr">
        <is>
          <t>Bear</t>
        </is>
      </c>
      <c r="D233" s="3" t="inlineStr">
        <is>
          <t>operational_deployment_share</t>
        </is>
      </c>
      <c r="E233" s="3" t="n">
        <v>0.41142857</v>
      </c>
      <c r="F233" s="3" t="inlineStr">
        <is>
          <t>share</t>
        </is>
      </c>
      <c r="G233" s="3" t="inlineStr">
        <is>
          <t>Scenario conversion</t>
        </is>
      </c>
      <c r="H233" s="3" t="inlineStr">
        <is>
          <t>active_power_gw / contracted_power_gw</t>
        </is>
      </c>
      <c r="I233" s="3" t="inlineStr">
        <is>
          <t>This is the single explicit conversion from contracted/attributed capacity to operationally usable capacity.</t>
        </is>
      </c>
      <c r="J233" s="3" t="inlineStr">
        <is>
          <t>ASSUMP_POWER_RAMP; SRC_META_MTIA_GENAI_2026</t>
        </is>
      </c>
      <c r="K233" s="3" t="inlineStr">
        <is>
          <t>ASSUMP_CONSUMER_AI_UTILIZATION; ASSUMP_POWER_RAMP; ASSUMP_NUMERIC_ACCELERATOR_MIX; ASSUMP_INFERENCE_SHARE_NOT_FACT_60; ASSUMP_WORKLOAD_CLASS_MIX; ASSUMP_AGENTIC_CONTEXT_PENALTY</t>
        </is>
      </c>
      <c r="L233" s="3" t="inlineStr">
        <is>
          <t>Energized operational capacity divided by contracted/attributed capacity.</t>
        </is>
      </c>
    </row>
    <row r="234">
      <c r="A234" s="3" t="inlineStr">
        <is>
          <t>Meta</t>
        </is>
      </c>
      <c r="B234" s="3" t="n">
        <v>2026</v>
      </c>
      <c r="C234" s="3" t="inlineStr">
        <is>
          <t>Bear</t>
        </is>
      </c>
      <c r="D234" s="3" t="inlineStr">
        <is>
          <t>active_power_gw</t>
        </is>
      </c>
      <c r="E234" s="3" t="n">
        <v>1.44</v>
      </c>
      <c r="F234" s="3" t="inlineStr">
        <is>
          <t>GW</t>
        </is>
      </c>
      <c r="G234" s="3" t="inlineStr">
        <is>
          <t>Derived scenario</t>
        </is>
      </c>
      <c r="H234" s="3" t="inlineStr">
        <is>
          <t>contracted_power_gw * operational_deployment_share</t>
        </is>
      </c>
      <c r="I234" s="3" t="inlineStr">
        <is>
          <t>MTIA deployment direction and consumer product distribution support active ramp, not exact powered GW.</t>
        </is>
      </c>
      <c r="J234" s="3" t="inlineStr">
        <is>
          <t>ASSUMP_POWER_RAMP; SRC_META_MTIA_GENAI_2026</t>
        </is>
      </c>
      <c r="K234" s="3" t="inlineStr">
        <is>
          <t>ASSUMP_CONSUMER_AI_UTILIZATION; ASSUMP_POWER_RAMP; ASSUMP_NUMERIC_ACCELERATOR_MIX; ASSUMP_INFERENCE_SHARE_NOT_FACT_60; ASSUMP_WORKLOAD_CLASS_MIX; ASSUMP_AGENTIC_CONTEXT_PENALTY</t>
        </is>
      </c>
      <c r="L234" s="3" t="inlineStr">
        <is>
          <t>Energization dates, accelerator deliveries and operational powered-rack telemetry.</t>
        </is>
      </c>
    </row>
    <row r="235">
      <c r="A235" s="3" t="inlineStr">
        <is>
          <t>Meta</t>
        </is>
      </c>
      <c r="B235" s="3" t="n">
        <v>2026</v>
      </c>
      <c r="C235" s="3" t="inlineStr">
        <is>
          <t>Bear</t>
        </is>
      </c>
      <c r="D235" s="3" t="inlineStr">
        <is>
          <t>pue</t>
        </is>
      </c>
      <c r="E235" s="3" t="n">
        <v>1.2</v>
      </c>
      <c r="F235" s="3" t="inlineStr">
        <is>
          <t>ratio</t>
        </is>
      </c>
      <c r="G235" s="3" t="inlineStr">
        <is>
          <t>Scenario parameter</t>
        </is>
      </c>
      <c r="H235" s="3" t="inlineStr">
        <is>
          <t>it_load_gw = active_power_gw / pue</t>
        </is>
      </c>
      <c r="I235" s="3" t="inlineStr">
        <is>
          <t>No provider-wide site-level PUE is used as a disclosed fact; PUE represents facility-to-IT conversion within the scenario.</t>
        </is>
      </c>
      <c r="J235" s="3" t="inlineStr">
        <is>
          <t>ASSUMP_POWER_RAMP</t>
        </is>
      </c>
      <c r="K235" s="3" t="inlineStr">
        <is>
          <t>ASSUMP_CONSUMER_AI_UTILIZATION; ASSUMP_POWER_RAMP; ASSUMP_NUMERIC_ACCELERATOR_MIX; ASSUMP_INFERENCE_SHARE_NOT_FACT_60; ASSUMP_WORKLOAD_CLASS_MIX; ASSUMP_AGENTIC_CONTEXT_PENALTY</t>
        </is>
      </c>
      <c r="L235" s="3" t="inlineStr">
        <is>
          <t>Site-level measured PUE matched to attributed AI capacity.</t>
        </is>
      </c>
    </row>
    <row r="236">
      <c r="A236" s="3" t="inlineStr">
        <is>
          <t>Meta</t>
        </is>
      </c>
      <c r="B236" s="3" t="n">
        <v>2026</v>
      </c>
      <c r="C236" s="3" t="inlineStr">
        <is>
          <t>Bear</t>
        </is>
      </c>
      <c r="D236" s="3" t="inlineStr">
        <is>
          <t>it_load_gw</t>
        </is>
      </c>
      <c r="E236" s="3" t="n">
        <v>1.2</v>
      </c>
      <c r="F236" s="3" t="inlineStr">
        <is>
          <t>GW</t>
        </is>
      </c>
      <c r="G236" s="3" t="inlineStr">
        <is>
          <t>Derived formula</t>
        </is>
      </c>
      <c r="H236" s="3" t="inlineStr">
        <is>
          <t>active_power_gw / pue</t>
        </is>
      </c>
      <c r="I236" s="3" t="inlineStr">
        <is>
          <t>Facility power is converted to IT-deliverable power before attributing AI workloads.</t>
        </is>
      </c>
      <c r="J236" s="3" t="inlineStr">
        <is>
          <t>ASSUMP_POWER_RAMP; SRC_META_MTIA_GENAI_2026</t>
        </is>
      </c>
      <c r="K236" s="3" t="inlineStr">
        <is>
          <t>ASSUMP_CONSUMER_AI_UTILIZATION; ASSUMP_POWER_RAMP; ASSUMP_NUMERIC_ACCELERATOR_MIX; ASSUMP_INFERENCE_SHARE_NOT_FACT_60; ASSUMP_WORKLOAD_CLASS_MIX; ASSUMP_AGENTIC_CONTEXT_PENALTY</t>
        </is>
      </c>
      <c r="L236" s="3" t="inlineStr">
        <is>
          <t>Recompute once active power and PUE become site-observable.</t>
        </is>
      </c>
    </row>
    <row r="237">
      <c r="A237" s="3" t="inlineStr">
        <is>
          <t>Meta</t>
        </is>
      </c>
      <c r="B237" s="3" t="n">
        <v>2026</v>
      </c>
      <c r="C237" s="3" t="inlineStr">
        <is>
          <t>Bear</t>
        </is>
      </c>
      <c r="D237" s="3" t="inlineStr">
        <is>
          <t>ai_workload_share</t>
        </is>
      </c>
      <c r="E237" s="3" t="n">
        <v>0.87</v>
      </c>
      <c r="F237" s="3" t="inlineStr">
        <is>
          <t>share</t>
        </is>
      </c>
      <c r="G237" s="3" t="inlineStr">
        <is>
          <t>Scenario allocation</t>
        </is>
      </c>
      <c r="H237" s="3" t="inlineStr">
        <is>
          <t>ai_it_load_gw = it_load_gw * ai_workload_share</t>
        </is>
      </c>
      <c r="I237" s="3" t="inlineStr">
        <is>
          <t>The modeled fleet is focused on AI workloads across Meta AI surfaces; non-LLM ranking/platform overhead is excluded through the 87% share.</t>
        </is>
      </c>
      <c r="J237" s="3" t="inlineStr">
        <is>
          <t>SRC_META_LLAMA; SRC_META_LLAMA4_NVIDIA; SRC_META_MTIA_GENAI_2026; SRC_EPOCH_AI_DATA_CENTERS</t>
        </is>
      </c>
      <c r="K237" s="3" t="inlineStr">
        <is>
          <t>ASSUMP_CONSUMER_AI_UTILIZATION; ASSUMP_POWER_RAMP; ASSUMP_NUMERIC_ACCELERATOR_MIX; ASSUMP_INFERENCE_SHARE_NOT_FACT_60; ASSUMP_WORKLOAD_CLASS_MIX; ASSUMP_AGENTIC_CONTEXT_PENALTY</t>
        </is>
      </c>
      <c r="L237" s="3" t="inlineStr">
        <is>
          <t>Model-owner AI workload allocation or cluster scheduling telemetry.</t>
        </is>
      </c>
    </row>
    <row r="238">
      <c r="A238" s="3" t="inlineStr">
        <is>
          <t>Meta</t>
        </is>
      </c>
      <c r="B238" s="3" t="n">
        <v>2026</v>
      </c>
      <c r="C238" s="3" t="inlineStr">
        <is>
          <t>Bear</t>
        </is>
      </c>
      <c r="D238" s="3" t="inlineStr">
        <is>
          <t>ai_it_load_gw</t>
        </is>
      </c>
      <c r="E238" s="3" t="n">
        <v>1.044</v>
      </c>
      <c r="F238" s="3" t="inlineStr">
        <is>
          <t>GW</t>
        </is>
      </c>
      <c r="G238" s="3" t="inlineStr">
        <is>
          <t>Derived formula</t>
        </is>
      </c>
      <c r="H238" s="3" t="inlineStr">
        <is>
          <t>it_load_gw * ai_workload_share</t>
        </is>
      </c>
      <c r="I238" s="3" t="inlineStr">
        <is>
          <t>Only the AI-attributed portion of IT load enters training/inference allocation.</t>
        </is>
      </c>
      <c r="J238" s="3" t="inlineStr">
        <is>
          <t>SRC_META_LLAMA; SRC_META_LLAMA4_NVIDIA; SRC_META_MTIA_GENAI_2026; SRC_EPOCH_AI_DATA_CENTERS</t>
        </is>
      </c>
      <c r="K238" s="3" t="inlineStr">
        <is>
          <t>ASSUMP_CONSUMER_AI_UTILIZATION; ASSUMP_POWER_RAMP; ASSUMP_NUMERIC_ACCELERATOR_MIX; ASSUMP_INFERENCE_SHARE_NOT_FACT_60; ASSUMP_WORKLOAD_CLASS_MIX; ASSUMP_AGENTIC_CONTEXT_PENALTY</t>
        </is>
      </c>
      <c r="L238" s="3" t="inlineStr">
        <is>
          <t>Recompute after ai_workload_share is replaced by telemetry.</t>
        </is>
      </c>
    </row>
    <row r="239">
      <c r="A239" s="3" t="inlineStr">
        <is>
          <t>Meta</t>
        </is>
      </c>
      <c r="B239" s="3" t="n">
        <v>2026</v>
      </c>
      <c r="C239" s="3" t="inlineStr">
        <is>
          <t>Bear</t>
        </is>
      </c>
      <c r="D239" s="3" t="inlineStr">
        <is>
          <t>gpu_share</t>
        </is>
      </c>
      <c r="E239" s="3" t="n">
        <v>1</v>
      </c>
      <c r="F239" s="3" t="inlineStr">
        <is>
          <t>share of inference-serving accelerator load</t>
        </is>
      </c>
      <c r="G239" s="3" t="inlineStr">
        <is>
          <t>Numeric scenario</t>
        </is>
      </c>
      <c r="H239" s="3" t="inlineStr">
        <is>
          <t>gpu_share interpolated from company 2026/2030 accelerator-mix endpoints</t>
        </is>
      </c>
      <c r="I239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9" s="3" t="inlineStr">
        <is>
          <t>SRC_META_LLAMA; SRC_META_LLAMA4_NVIDIA; SRC_META_MTIA_GENAI_2026; SRC_EPOCH_AI_DATA_CENTERS; ASSUMP_NUMERIC_ACCELERATOR_MIX</t>
        </is>
      </c>
      <c r="K239" s="3" t="inlineStr">
        <is>
          <t>ASSUMP_CONSUMER_AI_UTILIZATION; ASSUMP_POWER_RAMP; ASSUMP_NUMERIC_ACCELERATOR_MIX; ASSUMP_INFERENCE_SHARE_NOT_FACT_60; ASSUMP_WORKLOAD_CLASS_MIX; ASSUMP_AGENTIC_CONTEXT_PENALTY</t>
        </is>
      </c>
      <c r="L239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40">
      <c r="A240" s="3" t="inlineStr">
        <is>
          <t>Meta</t>
        </is>
      </c>
      <c r="B240" s="3" t="n">
        <v>2026</v>
      </c>
      <c r="C240" s="3" t="inlineStr">
        <is>
          <t>Bear</t>
        </is>
      </c>
      <c r="D240" s="3" t="inlineStr">
        <is>
          <t>h200_share</t>
        </is>
      </c>
      <c r="E240" s="3" t="n">
        <v>0</v>
      </c>
      <c r="F240" s="3" t="inlineStr">
        <is>
          <t>share of inference-serving accelerator load</t>
        </is>
      </c>
      <c r="G240" s="3" t="inlineStr">
        <is>
          <t>Editable numeric scenario</t>
        </is>
      </c>
      <c r="H240" s="3" t="inlineStr">
        <is>
          <t>h200_share = gpu_share * default_gpu_generation_mix_h200</t>
        </is>
      </c>
      <c r="I240" s="3" t="inlineStr">
        <is>
          <t>Default GPU-generation migration assumption; executive workbook allows later manual replacement by company/year/scenario.</t>
        </is>
      </c>
      <c r="J240" s="3" t="inlineStr">
        <is>
          <t>SRC_SEMIANALYSIS_INFERENCEX; ASSUMP_NUMERIC_ACCELERATOR_MIX</t>
        </is>
      </c>
      <c r="K240" s="3" t="inlineStr">
        <is>
          <t>ASSUMP_CONSUMER_AI_UTILIZATION; ASSUMP_POWER_RAMP; ASSUMP_NUMERIC_ACCELERATOR_MIX; ASSUMP_INFERENCE_SHARE_NOT_FACT_60; ASSUMP_WORKLOAD_CLASS_MIX; ASSUMP_AGENTIC_CONTEXT_PENALTY</t>
        </is>
      </c>
      <c r="L240" s="3" t="inlineStr">
        <is>
          <t>Company fleet inventory, accelerator-hours or procurement/deployment records by GPU generation.</t>
        </is>
      </c>
    </row>
    <row r="241">
      <c r="A241" s="3" t="inlineStr">
        <is>
          <t>Meta</t>
        </is>
      </c>
      <c r="B241" s="3" t="n">
        <v>2026</v>
      </c>
      <c r="C241" s="3" t="inlineStr">
        <is>
          <t>Bear</t>
        </is>
      </c>
      <c r="D241" s="3" t="inlineStr">
        <is>
          <t>b200_share</t>
        </is>
      </c>
      <c r="E241" s="3" t="n">
        <v>1</v>
      </c>
      <c r="F241" s="3" t="inlineStr">
        <is>
          <t>share of inference-serving accelerator load</t>
        </is>
      </c>
      <c r="G241" s="3" t="inlineStr">
        <is>
          <t>Editable numeric scenario</t>
        </is>
      </c>
      <c r="H241" s="3" t="inlineStr">
        <is>
          <t>b200_share = gpu_share * default_gpu_generation_mix_b200</t>
        </is>
      </c>
      <c r="I241" s="3" t="inlineStr">
        <is>
          <t>Default GPU-generation migration assumption; executive workbook allows later manual replacement by company/year/scenario.</t>
        </is>
      </c>
      <c r="J241" s="3" t="inlineStr">
        <is>
          <t>SRC_SEMIANALYSIS_INFERENCEX; ASSUMP_NUMERIC_ACCELERATOR_MIX</t>
        </is>
      </c>
      <c r="K241" s="3" t="inlineStr">
        <is>
          <t>ASSUMP_CONSUMER_AI_UTILIZATION; ASSUMP_POWER_RAMP; ASSUMP_NUMERIC_ACCELERATOR_MIX; ASSUMP_INFERENCE_SHARE_NOT_FACT_60; ASSUMP_WORKLOAD_CLASS_MIX; ASSUMP_AGENTIC_CONTEXT_PENALTY</t>
        </is>
      </c>
      <c r="L241" s="3" t="inlineStr">
        <is>
          <t>Company fleet inventory, accelerator-hours or procurement/deployment records by GPU generation.</t>
        </is>
      </c>
    </row>
    <row r="242">
      <c r="A242" s="3" t="inlineStr">
        <is>
          <t>Meta</t>
        </is>
      </c>
      <c r="B242" s="3" t="n">
        <v>2026</v>
      </c>
      <c r="C242" s="3" t="inlineStr">
        <is>
          <t>Bear</t>
        </is>
      </c>
      <c r="D242" s="3" t="inlineStr">
        <is>
          <t>gb200_share</t>
        </is>
      </c>
      <c r="E242" s="3" t="n">
        <v>0</v>
      </c>
      <c r="F242" s="3" t="inlineStr">
        <is>
          <t>share of inference-serving accelerator load</t>
        </is>
      </c>
      <c r="G242" s="3" t="inlineStr">
        <is>
          <t>Editable numeric scenario</t>
        </is>
      </c>
      <c r="H242" s="3" t="inlineStr">
        <is>
          <t>gb200_share = gpu_share * default_gpu_generation_mix_gb200</t>
        </is>
      </c>
      <c r="I242" s="3" t="inlineStr">
        <is>
          <t>Default GPU-generation migration assumption; executive workbook allows later manual replacement by company/year/scenario.</t>
        </is>
      </c>
      <c r="J242" s="3" t="inlineStr">
        <is>
          <t>SRC_SEMIANALYSIS_INFERENCEX; ASSUMP_NUMERIC_ACCELERATOR_MIX</t>
        </is>
      </c>
      <c r="K242" s="3" t="inlineStr">
        <is>
          <t>ASSUMP_CONSUMER_AI_UTILIZATION; ASSUMP_POWER_RAMP; ASSUMP_NUMERIC_ACCELERATOR_MIX; ASSUMP_INFERENCE_SHARE_NOT_FACT_60; ASSUMP_WORKLOAD_CLASS_MIX; ASSUMP_AGENTIC_CONTEXT_PENALTY</t>
        </is>
      </c>
      <c r="L242" s="3" t="inlineStr">
        <is>
          <t>Company fleet inventory, accelerator-hours or procurement/deployment records by GPU generation.</t>
        </is>
      </c>
    </row>
    <row r="243">
      <c r="A243" s="3" t="inlineStr">
        <is>
          <t>Meta</t>
        </is>
      </c>
      <c r="B243" s="3" t="n">
        <v>2026</v>
      </c>
      <c r="C243" s="3" t="inlineStr">
        <is>
          <t>Bear</t>
        </is>
      </c>
      <c r="D243" s="3" t="inlineStr">
        <is>
          <t>purpose_built_accelerator_share</t>
        </is>
      </c>
      <c r="E243" s="3" t="n">
        <v>0</v>
      </c>
      <c r="F243" s="3" t="inlineStr">
        <is>
          <t>share of inference-serving accelerator load</t>
        </is>
      </c>
      <c r="G243" s="3" t="inlineStr">
        <is>
          <t>Numeric scenario</t>
        </is>
      </c>
      <c r="H243" s="3" t="inlineStr">
        <is>
          <t>1 - gpu_share</t>
        </is>
      </c>
      <c r="I243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43" s="3" t="inlineStr">
        <is>
          <t>SRC_META_LLAMA; SRC_META_LLAMA4_NVIDIA; SRC_META_MTIA_GENAI_2026; SRC_EPOCH_AI_DATA_CENTERS; ASSUMP_NUMERIC_ACCELERATOR_MIX</t>
        </is>
      </c>
      <c r="K243" s="3" t="inlineStr">
        <is>
          <t>ASSUMP_CONSUMER_AI_UTILIZATION; ASSUMP_POWER_RAMP; ASSUMP_NUMERIC_ACCELERATOR_MIX; ASSUMP_INFERENCE_SHARE_NOT_FACT_60; ASSUMP_WORKLOAD_CLASS_MIX; ASSUMP_AGENTIC_CONTEXT_PENALTY</t>
        </is>
      </c>
      <c r="L243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44">
      <c r="A244" s="3" t="inlineStr">
        <is>
          <t>Meta</t>
        </is>
      </c>
      <c r="B244" s="3" t="n">
        <v>2026</v>
      </c>
      <c r="C244" s="3" t="inlineStr">
        <is>
          <t>Bear</t>
        </is>
      </c>
      <c r="D244" s="3" t="inlineStr">
        <is>
          <t>fleet_reference_tps_per_mw</t>
        </is>
      </c>
      <c r="E244" s="3" t="n">
        <v>941060</v>
      </c>
      <c r="F244" s="3" t="inlineStr">
        <is>
          <t>generated output tokens/sec/MW</t>
        </is>
      </c>
      <c r="G244" s="3" t="inlineStr">
        <is>
          <t>Fleet-weighted public benchmark reference</t>
        </is>
      </c>
      <c r="H244" s="3" t="inlineStr">
        <is>
          <t>h200_share*h200_workload_avg + b200_share*b200_workload_avg + gb200_share*gb200_workload_avg + purpose_built_share*purpose_workload_avg</t>
        </is>
      </c>
      <c r="I24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4" s="3" t="inlineStr">
        <is>
          <t>SRC_SEMIANALYSIS_INFERENCEX; ASSUMP_NUMERIC_ACCELERATOR_MIX; ASSUMP_WORKLOAD_CLASS_MIX; ASSUMP_AGENTIC_CONTEXT_PENALTY</t>
        </is>
      </c>
      <c r="K244" s="3" t="inlineStr">
        <is>
          <t>ASSUMP_CONSUMER_AI_UTILIZATION; ASSUMP_POWER_RAMP; ASSUMP_NUMERIC_ACCELERATOR_MIX; ASSUMP_INFERENCE_SHARE_NOT_FACT_60; ASSUMP_WORKLOAD_CLASS_MIX; ASSUMP_AGENTIC_CONTEXT_PENALTY</t>
        </is>
      </c>
      <c r="L244" s="3" t="inlineStr">
        <is>
          <t>Comparable production output-token throughput or a more closely matched benchmark.</t>
        </is>
      </c>
    </row>
    <row r="245">
      <c r="A245" s="3" t="inlineStr">
        <is>
          <t>Meta</t>
        </is>
      </c>
      <c r="B245" s="3" t="n">
        <v>2026</v>
      </c>
      <c r="C245" s="3" t="inlineStr">
        <is>
          <t>Bear</t>
        </is>
      </c>
      <c r="D245" s="3" t="inlineStr">
        <is>
          <t>commercial_workload_fit_factor</t>
        </is>
      </c>
      <c r="E245" s="3" t="n">
        <v>0.75</v>
      </c>
      <c r="F245" s="3" t="inlineStr">
        <is>
          <t>share of public reference throughput</t>
        </is>
      </c>
      <c r="G245" s="3" t="inlineStr">
        <is>
          <t>Scenario assumption</t>
        </is>
      </c>
      <c r="H245" s="3" t="inlineStr">
        <is>
          <t>reference_serving_tps_per_mw = fleet_reference_tps_per_mw * commercial_workload_fit_factor</t>
        </is>
      </c>
      <c r="I24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5" s="3" t="inlineStr">
        <is>
          <t>SRC_SEMIANALYSIS_INFERENCEX; ASSUMP_NUMERIC_ACCELERATOR_MIX; ASSUMP_WORKLOAD_CLASS_MIX; ASSUMP_AGENTIC_CONTEXT_PENALTY</t>
        </is>
      </c>
      <c r="K245" s="3" t="inlineStr">
        <is>
          <t>ASSUMP_CONSUMER_AI_UTILIZATION; ASSUMP_POWER_RAMP; ASSUMP_NUMERIC_ACCELERATOR_MIX; ASSUMP_INFERENCE_SHARE_NOT_FACT_60; ASSUMP_WORKLOAD_CLASS_MIX; ASSUMP_AGENTIC_CONTEXT_PENALTY</t>
        </is>
      </c>
      <c r="L245" s="3" t="inlineStr">
        <is>
          <t>Matched commercial serving benchmark by product surface, context shape and latency SLO.</t>
        </is>
      </c>
    </row>
    <row r="246">
      <c r="A246" s="3" t="inlineStr">
        <is>
          <t>Meta</t>
        </is>
      </c>
      <c r="B246" s="3" t="n">
        <v>2026</v>
      </c>
      <c r="C246" s="3" t="inlineStr">
        <is>
          <t>Bear</t>
        </is>
      </c>
      <c r="D246" s="3" t="inlineStr">
        <is>
          <t>reference_serving_tps_per_mw</t>
        </is>
      </c>
      <c r="E246" s="3" t="n">
        <v>705795</v>
      </c>
      <c r="F246" s="3" t="inlineStr">
        <is>
          <t>generated output tokens/sec/MW</t>
        </is>
      </c>
      <c r="G246" s="3" t="inlineStr">
        <is>
          <t>Workload-adjusted benchmark proxy</t>
        </is>
      </c>
      <c r="H246" s="3" t="inlineStr">
        <is>
          <t>fleet_reference_tps_per_mw * commercial_workload_fit_factor</t>
        </is>
      </c>
      <c r="I246" s="3" t="inlineStr">
        <is>
          <t>This is the coefficient used for headline token generation; each GPU's short chat, long chat and agentic TPS/MW are weighted before fleet mix and commercial fit are applied.</t>
        </is>
      </c>
      <c r="J246" s="3" t="inlineStr">
        <is>
          <t>SRC_SEMIANALYSIS_INFERENCEX; ASSUMP_NUMERIC_ACCELERATOR_MIX; ASSUMP_WORKLOAD_CLASS_MIX; ASSUMP_AGENTIC_CONTEXT_PENALTY</t>
        </is>
      </c>
      <c r="K246" s="3" t="inlineStr">
        <is>
          <t>ASSUMP_CONSUMER_AI_UTILIZATION; ASSUMP_POWER_RAMP; ASSUMP_NUMERIC_ACCELERATOR_MIX; ASSUMP_INFERENCE_SHARE_NOT_FACT_60; ASSUMP_WORKLOAD_CLASS_MIX; ASSUMP_AGENTIC_CONTEXT_PENALTY</t>
        </is>
      </c>
      <c r="L246" s="3" t="inlineStr">
        <is>
          <t>Provider production output-token throughput with comparable workload/SLO.</t>
        </is>
      </c>
    </row>
    <row r="247">
      <c r="A247" s="3" t="inlineStr">
        <is>
          <t>Meta</t>
        </is>
      </c>
      <c r="B247" s="3" t="n">
        <v>2026</v>
      </c>
      <c r="C247" s="3" t="inlineStr">
        <is>
          <t>Bear</t>
        </is>
      </c>
      <c r="D247" s="3" t="inlineStr">
        <is>
          <t>purpose_built_tps_per_mw</t>
        </is>
      </c>
      <c r="E247" s="3" t="n">
        <v>921386</v>
      </c>
      <c r="F247" s="3" t="inlineStr">
        <is>
          <t>generated output tokens/sec/MW</t>
        </is>
      </c>
      <c r="G247" s="3" t="inlineStr">
        <is>
          <t>Conservative no-uplift proxy</t>
        </is>
      </c>
      <c r="H247" s="3" t="inlineStr">
        <is>
          <t>purpose_built_tps_per_mw = purpose_built_reference_tps_per_mw * commercial_workload_fit_factor until comparable output-token benchmark is adopted</t>
        </is>
      </c>
      <c r="I247" s="3" t="inlineStr">
        <is>
          <t>No comparable public output-token/MW row adopted; B200 public reference placeholder is used and remains editable.</t>
        </is>
      </c>
      <c r="J247" s="3" t="inlineStr">
        <is>
          <t>SRC_META_LLAMA; SRC_META_LLAMA4_NVIDIA; SRC_META_MTIA_GENAI_2026; SRC_EPOCH_AI_DATA_CENTERS; ASSUMP_NUMERIC_ACCELERATOR_MIX</t>
        </is>
      </c>
      <c r="K247" s="3" t="inlineStr">
        <is>
          <t>ASSUMP_CONSUMER_AI_UTILIZATION; ASSUMP_POWER_RAMP; ASSUMP_NUMERIC_ACCELERATOR_MIX; ASSUMP_INFERENCE_SHARE_NOT_FACT_60; ASSUMP_WORKLOAD_CLASS_MIX; ASSUMP_AGENTIC_CONTEXT_PENALTY</t>
        </is>
      </c>
      <c r="L247" s="3" t="inlineStr">
        <is>
          <t>Matched-workload generated-output benchmark for the provider purpose-built accelerator.</t>
        </is>
      </c>
    </row>
    <row r="248">
      <c r="A248" s="3" t="inlineStr">
        <is>
          <t>Meta</t>
        </is>
      </c>
      <c r="B248" s="3" t="n">
        <v>2026</v>
      </c>
      <c r="C248" s="3" t="inlineStr">
        <is>
          <t>Bear</t>
        </is>
      </c>
      <c r="D248" s="3" t="inlineStr">
        <is>
          <t>inference_power_share</t>
        </is>
      </c>
      <c r="E248" s="3" t="n">
        <v>0.5</v>
      </c>
      <c r="F248" s="3" t="inlineStr">
        <is>
          <t>share of AI IT load</t>
        </is>
      </c>
      <c r="G248" s="3" t="inlineStr">
        <is>
          <t>Scenario allocation</t>
        </is>
      </c>
      <c r="H248" s="3" t="inlineStr">
        <is>
          <t>inference_gw = ai_it_load_gw * inference_power_share</t>
        </is>
      </c>
      <c r="I248" s="3" t="inlineStr">
        <is>
          <t>Large consumer AI distribution and inference-first MTIA roadmap support a higher inference share scenario.</t>
        </is>
      </c>
      <c r="J248" s="3" t="inlineStr">
        <is>
          <t>SRC_META_LLAMA; SRC_META_LLAMA4_NVIDIA; SRC_META_MTIA_GENAI_2026; SRC_EPOCH_AI_DATA_CENTERS; ASSUMP_INFERENCE_SHARE_NOT_FACT_60</t>
        </is>
      </c>
      <c r="K248" s="3" t="inlineStr">
        <is>
          <t>ASSUMP_CONSUMER_AI_UTILIZATION; ASSUMP_POWER_RAMP; ASSUMP_NUMERIC_ACCELERATOR_MIX; ASSUMP_INFERENCE_SHARE_NOT_FACT_60; ASSUMP_WORKLOAD_CLASS_MIX; ASSUMP_AGENTIC_CONTEXT_PENALTY</t>
        </is>
      </c>
      <c r="L248" s="3" t="inlineStr">
        <is>
          <t>Provider-specific inference/training workload power telemetry.</t>
        </is>
      </c>
    </row>
    <row r="249">
      <c r="A249" s="3" t="inlineStr">
        <is>
          <t>Meta</t>
        </is>
      </c>
      <c r="B249" s="3" t="n">
        <v>2026</v>
      </c>
      <c r="C249" s="3" t="inlineStr">
        <is>
          <t>Bear</t>
        </is>
      </c>
      <c r="D249" s="3" t="inlineStr">
        <is>
          <t>inference_gw</t>
        </is>
      </c>
      <c r="E249" s="3" t="n">
        <v>0.522</v>
      </c>
      <c r="F249" s="3" t="inlineStr">
        <is>
          <t>GW</t>
        </is>
      </c>
      <c r="G249" s="3" t="inlineStr">
        <is>
          <t>Derived formula</t>
        </is>
      </c>
      <c r="H249" s="3" t="inlineStr">
        <is>
          <t>ai_it_load_gw * inference_power_share</t>
        </is>
      </c>
      <c r="I249" s="3" t="inlineStr">
        <is>
          <t>This is the operational power eligible to become commercial generated output tokens through the selected TPS/MW proxy.</t>
        </is>
      </c>
      <c r="J249" s="3" t="inlineStr">
        <is>
          <t>SRC_META_LLAMA; SRC_META_LLAMA4_NVIDIA; SRC_META_MTIA_GENAI_2026; SRC_EPOCH_AI_DATA_CENTERS</t>
        </is>
      </c>
      <c r="K249" s="3" t="inlineStr">
        <is>
          <t>ASSUMP_CONSUMER_AI_UTILIZATION; ASSUMP_POWER_RAMP; ASSUMP_NUMERIC_ACCELERATOR_MIX; ASSUMP_INFERENCE_SHARE_NOT_FACT_60; ASSUMP_WORKLOAD_CLASS_MIX; ASSUMP_AGENTIC_CONTEXT_PENALTY</t>
        </is>
      </c>
      <c r="L249" s="3" t="inlineStr">
        <is>
          <t>Recompute after AI allocation or inference-share evidence changes.</t>
        </is>
      </c>
    </row>
    <row r="250">
      <c r="A250" s="3" t="inlineStr">
        <is>
          <t>Meta</t>
        </is>
      </c>
      <c r="B250" s="3" t="n">
        <v>2026</v>
      </c>
      <c r="C250" s="3" t="inlineStr">
        <is>
          <t>Bear</t>
        </is>
      </c>
      <c r="D250" s="3" t="inlineStr">
        <is>
          <t>training_power_share</t>
        </is>
      </c>
      <c r="E250" s="3" t="n">
        <v>0.5</v>
      </c>
      <c r="F250" s="3" t="inlineStr">
        <is>
          <t>share of AI IT load</t>
        </is>
      </c>
      <c r="G250" s="3" t="inlineStr">
        <is>
          <t>Derived allocation</t>
        </is>
      </c>
      <c r="H250" s="3" t="inlineStr">
        <is>
          <t>1 - inference_power_share</t>
        </is>
      </c>
      <c r="I250" s="3" t="inlineStr">
        <is>
          <t>Training receives the complementary modeled AI IT allocation; it is not a disclosed company workload split.</t>
        </is>
      </c>
      <c r="J250" s="3" t="inlineStr">
        <is>
          <t>SRC_META_LLAMA; SRC_META_LLAMA4_NVIDIA; SRC_META_MTIA_GENAI_2026; SRC_EPOCH_AI_DATA_CENTERS; ASSUMP_INFERENCE_SHARE_NOT_FACT_60</t>
        </is>
      </c>
      <c r="K250" s="3" t="inlineStr">
        <is>
          <t>ASSUMP_CONSUMER_AI_UTILIZATION; ASSUMP_POWER_RAMP; ASSUMP_NUMERIC_ACCELERATOR_MIX; ASSUMP_INFERENCE_SHARE_NOT_FACT_60; ASSUMP_WORKLOAD_CLASS_MIX; ASSUMP_AGENTIC_CONTEXT_PENALTY</t>
        </is>
      </c>
      <c r="L250" s="3" t="inlineStr">
        <is>
          <t>Provider-specific inference/training workload power telemetry.</t>
        </is>
      </c>
    </row>
    <row r="251">
      <c r="A251" s="3" t="inlineStr">
        <is>
          <t>Meta</t>
        </is>
      </c>
      <c r="B251" s="3" t="n">
        <v>2026</v>
      </c>
      <c r="C251" s="3" t="inlineStr">
        <is>
          <t>Bear</t>
        </is>
      </c>
      <c r="D251" s="3" t="inlineStr">
        <is>
          <t>training_gw</t>
        </is>
      </c>
      <c r="E251" s="3" t="n">
        <v>0.522</v>
      </c>
      <c r="F251" s="3" t="inlineStr">
        <is>
          <t>GW</t>
        </is>
      </c>
      <c r="G251" s="3" t="inlineStr">
        <is>
          <t>Derived formula</t>
        </is>
      </c>
      <c r="H251" s="3" t="inlineStr">
        <is>
          <t>ai_it_load_gw * training_power_share</t>
        </is>
      </c>
      <c r="I251" s="3" t="inlineStr">
        <is>
          <t>Training GW is shown separately so commercial inference token capacity is not overstated.</t>
        </is>
      </c>
      <c r="J251" s="3" t="inlineStr">
        <is>
          <t>SRC_META_LLAMA; SRC_META_LLAMA4_NVIDIA; SRC_META_MTIA_GENAI_2026; SRC_EPOCH_AI_DATA_CENTERS</t>
        </is>
      </c>
      <c r="K251" s="3" t="inlineStr">
        <is>
          <t>ASSUMP_CONSUMER_AI_UTILIZATION; ASSUMP_POWER_RAMP; ASSUMP_NUMERIC_ACCELERATOR_MIX; ASSUMP_INFERENCE_SHARE_NOT_FACT_60; ASSUMP_WORKLOAD_CLASS_MIX; ASSUMP_AGENTIC_CONTEXT_PENALTY</t>
        </is>
      </c>
      <c r="L251" s="3" t="inlineStr">
        <is>
          <t>Recompute after AI allocation or workload-split evidence changes.</t>
        </is>
      </c>
    </row>
    <row r="252">
      <c r="A252" s="3" t="inlineStr">
        <is>
          <t>Meta</t>
        </is>
      </c>
      <c r="B252" s="3" t="n">
        <v>2026</v>
      </c>
      <c r="C252" s="3" t="inlineStr">
        <is>
          <t>Bear</t>
        </is>
      </c>
      <c r="D252" s="3" t="inlineStr">
        <is>
          <t>tokens_per_second_per_mw</t>
        </is>
      </c>
      <c r="E252" s="3" t="n">
        <v>705795</v>
      </c>
      <c r="F252" s="3" t="inlineStr">
        <is>
          <t>generated output tokens/sec/MW</t>
        </is>
      </c>
      <c r="G252" s="3" t="inlineStr">
        <is>
          <t>Derived estimate + benchmark calibration</t>
        </is>
      </c>
      <c r="H252" s="3" t="inlineStr">
        <is>
          <t>fleet_reference_tps_per_mw * commercial_workload_fit_factor</t>
        </is>
      </c>
      <c r="I25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52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52" s="3" t="inlineStr">
        <is>
          <t>ASSUMP_CONSUMER_AI_UTILIZATION; ASSUMP_POWER_RAMP; ASSUMP_NUMERIC_ACCELERATOR_MIX; ASSUMP_INFERENCE_SHARE_NOT_FACT_60; ASSUMP_WORKLOAD_CLASS_MIX; ASSUMP_AGENTIC_CONTEXT_PENALTY</t>
        </is>
      </c>
      <c r="L252" s="3" t="inlineStr">
        <is>
          <t>Comparable production output-token throughput with model, hardware, precision, ISL/OSL and SLO matched.</t>
        </is>
      </c>
    </row>
    <row r="253">
      <c r="A253" s="3" t="inlineStr">
        <is>
          <t>Meta</t>
        </is>
      </c>
      <c r="B253" s="3" t="n">
        <v>2026</v>
      </c>
      <c r="C253" s="3" t="inlineStr">
        <is>
          <t>Bear</t>
        </is>
      </c>
      <c r="D253" s="3" t="inlineStr">
        <is>
          <t>inference_tokens_per_day</t>
        </is>
      </c>
      <c r="E253" s="3" t="n">
        <v>31831919136000</v>
      </c>
      <c r="F253" s="3" t="inlineStr">
        <is>
          <t>generated output tokens/day</t>
        </is>
      </c>
      <c r="G253" s="3" t="inlineStr">
        <is>
          <t>Derived headline metric</t>
        </is>
      </c>
      <c r="H253" s="3" t="inlineStr">
        <is>
          <t>inference_gw * 1000 * tokens_per_second_per_mw * 86,400</t>
        </is>
      </c>
      <c r="I253" s="3" t="inlineStr">
        <is>
          <t>Headline capacity uses no utilization, MoE, architecture or software-growth multiplier; it is not observed commercial output volume.</t>
        </is>
      </c>
      <c r="J253" s="3" t="inlineStr">
        <is>
          <t>SRC_META_LLAMA; SRC_META_LLAMA4_NVIDIA; SRC_META_MTIA_GENAI_2026; SRC_EPOCH_AI_DATA_CENTERS; SRC_SEMIANALYSIS_INFERENCEX</t>
        </is>
      </c>
      <c r="K253" s="3" t="inlineStr">
        <is>
          <t>ASSUMP_CONSUMER_AI_UTILIZATION; ASSUMP_POWER_RAMP; ASSUMP_NUMERIC_ACCELERATOR_MIX; ASSUMP_INFERENCE_SHARE_NOT_FACT_60; ASSUMP_WORKLOAD_CLASS_MIX; ASSUMP_AGENTIC_CONTEXT_PENALTY</t>
        </is>
      </c>
      <c r="L253" s="3" t="inlineStr">
        <is>
          <t>Provider-disclosed generated output token volume or calibrated capacity telemetry.</t>
        </is>
      </c>
    </row>
    <row r="254">
      <c r="A254" s="3" t="inlineStr">
        <is>
          <t>Meta</t>
        </is>
      </c>
      <c r="B254" s="3" t="n">
        <v>2026</v>
      </c>
      <c r="C254" s="3" t="inlineStr">
        <is>
          <t>Bear</t>
        </is>
      </c>
      <c r="D254" s="3" t="inlineStr">
        <is>
          <t>inference_tokens_per_year</t>
        </is>
      </c>
      <c r="E254" s="3" t="n">
        <v>1.161865048464e+16</v>
      </c>
      <c r="F254" s="3" t="inlineStr">
        <is>
          <t>generated output tokens/year</t>
        </is>
      </c>
      <c r="G254" s="3" t="inlineStr">
        <is>
          <t>Derived headline metric</t>
        </is>
      </c>
      <c r="H254" s="3" t="inlineStr">
        <is>
          <t>inference_tokens_per_day * 365</t>
        </is>
      </c>
      <c r="I254" s="3" t="inlineStr">
        <is>
          <t>Annualized version of generated output token capacity; it is not observed annual demand or billable volume.</t>
        </is>
      </c>
      <c r="J254" s="3" t="inlineStr">
        <is>
          <t>SRC_META_LLAMA; SRC_META_LLAMA4_NVIDIA; SRC_META_MTIA_GENAI_2026; SRC_EPOCH_AI_DATA_CENTERS; SRC_SEMIANALYSIS_INFERENCEX</t>
        </is>
      </c>
      <c r="K254" s="3" t="inlineStr">
        <is>
          <t>ASSUMP_CONSUMER_AI_UTILIZATION; ASSUMP_POWER_RAMP; ASSUMP_NUMERIC_ACCELERATOR_MIX; ASSUMP_INFERENCE_SHARE_NOT_FACT_60; ASSUMP_WORKLOAD_CLASS_MIX; ASSUMP_AGENTIC_CONTEXT_PENALTY</t>
        </is>
      </c>
      <c r="L254" s="3" t="inlineStr">
        <is>
          <t>Provider-disclosed annual generated-output volume or metered serving telemetry.</t>
        </is>
      </c>
    </row>
    <row r="255">
      <c r="A255" s="3" t="inlineStr">
        <is>
          <t>Meta</t>
        </is>
      </c>
      <c r="B255" s="3" t="n">
        <v>2027</v>
      </c>
      <c r="C255" s="3" t="inlineStr">
        <is>
          <t>Bear</t>
        </is>
      </c>
      <c r="D255" s="3" t="inlineStr">
        <is>
          <t>contracted_power_gw</t>
        </is>
      </c>
      <c r="E255" s="3" t="n">
        <v>4.375</v>
      </c>
      <c r="F255" s="3" t="inlineStr">
        <is>
          <t>GW</t>
        </is>
      </c>
      <c r="G255" s="3" t="inlineStr">
        <is>
          <t>Scenario capacity envelope</t>
        </is>
      </c>
      <c r="H255" s="3" t="inlineStr">
        <is>
          <t>linear interpolation between 2026 and 2030 company capacity endpoints</t>
        </is>
      </c>
      <c r="I255" s="3" t="inlineStr">
        <is>
          <t>Scenario envelope for Meta AI/Llama serving capacity; not an official contracted-GW figure.</t>
        </is>
      </c>
      <c r="J255" s="3" t="inlineStr">
        <is>
          <t>ASSUMP_POWER_RAMP; SRC_META_MTIA_GENAI_2026</t>
        </is>
      </c>
      <c r="K255" s="3" t="inlineStr">
        <is>
          <t>ASSUMP_CONSUMER_AI_UTILIZATION; ASSUMP_POWER_RAMP; ASSUMP_NUMERIC_ACCELERATOR_MIX; ASSUMP_INFERENCE_SHARE_NOT_FACT_60; ASSUMP_WORKLOAD_CLASS_MIX; ASSUMP_AGENTIC_CONTEXT_PENALTY</t>
        </is>
      </c>
      <c r="L255" s="3" t="inlineStr">
        <is>
          <t>Company/site-level committed MW/GW, interconnect and contract disclosure.</t>
        </is>
      </c>
    </row>
    <row r="256">
      <c r="A256" s="3" t="inlineStr">
        <is>
          <t>Meta</t>
        </is>
      </c>
      <c r="B256" s="3" t="n">
        <v>2027</v>
      </c>
      <c r="C256" s="3" t="inlineStr">
        <is>
          <t>Bear</t>
        </is>
      </c>
      <c r="D256" s="3" t="inlineStr">
        <is>
          <t>operational_deployment_share</t>
        </is>
      </c>
      <c r="E256" s="3" t="n">
        <v>0.53302857</v>
      </c>
      <c r="F256" s="3" t="inlineStr">
        <is>
          <t>share</t>
        </is>
      </c>
      <c r="G256" s="3" t="inlineStr">
        <is>
          <t>Scenario conversion</t>
        </is>
      </c>
      <c r="H256" s="3" t="inlineStr">
        <is>
          <t>active_power_gw / contracted_power_gw</t>
        </is>
      </c>
      <c r="I256" s="3" t="inlineStr">
        <is>
          <t>This is the single explicit conversion from contracted/attributed capacity to operationally usable capacity.</t>
        </is>
      </c>
      <c r="J256" s="3" t="inlineStr">
        <is>
          <t>ASSUMP_POWER_RAMP; SRC_META_MTIA_GENAI_2026</t>
        </is>
      </c>
      <c r="K256" s="3" t="inlineStr">
        <is>
          <t>ASSUMP_CONSUMER_AI_UTILIZATION; ASSUMP_POWER_RAMP; ASSUMP_NUMERIC_ACCELERATOR_MIX; ASSUMP_INFERENCE_SHARE_NOT_FACT_60; ASSUMP_WORKLOAD_CLASS_MIX; ASSUMP_AGENTIC_CONTEXT_PENALTY</t>
        </is>
      </c>
      <c r="L256" s="3" t="inlineStr">
        <is>
          <t>Energized operational capacity divided by contracted/attributed capacity.</t>
        </is>
      </c>
    </row>
    <row r="257">
      <c r="A257" s="3" t="inlineStr">
        <is>
          <t>Meta</t>
        </is>
      </c>
      <c r="B257" s="3" t="n">
        <v>2027</v>
      </c>
      <c r="C257" s="3" t="inlineStr">
        <is>
          <t>Bear</t>
        </is>
      </c>
      <c r="D257" s="3" t="inlineStr">
        <is>
          <t>active_power_gw</t>
        </is>
      </c>
      <c r="E257" s="3" t="n">
        <v>2.332</v>
      </c>
      <c r="F257" s="3" t="inlineStr">
        <is>
          <t>GW</t>
        </is>
      </c>
      <c r="G257" s="3" t="inlineStr">
        <is>
          <t>Derived scenario</t>
        </is>
      </c>
      <c r="H257" s="3" t="inlineStr">
        <is>
          <t>contracted_power_gw * operational_deployment_share</t>
        </is>
      </c>
      <c r="I257" s="3" t="inlineStr">
        <is>
          <t>MTIA deployment direction and consumer product distribution support active ramp, not exact powered GW.</t>
        </is>
      </c>
      <c r="J257" s="3" t="inlineStr">
        <is>
          <t>ASSUMP_POWER_RAMP; SRC_META_MTIA_GENAI_2026</t>
        </is>
      </c>
      <c r="K257" s="3" t="inlineStr">
        <is>
          <t>ASSUMP_CONSUMER_AI_UTILIZATION; ASSUMP_POWER_RAMP; ASSUMP_NUMERIC_ACCELERATOR_MIX; ASSUMP_INFERENCE_SHARE_NOT_FACT_60; ASSUMP_WORKLOAD_CLASS_MIX; ASSUMP_AGENTIC_CONTEXT_PENALTY</t>
        </is>
      </c>
      <c r="L257" s="3" t="inlineStr">
        <is>
          <t>Energization dates, accelerator deliveries and operational powered-rack telemetry.</t>
        </is>
      </c>
    </row>
    <row r="258">
      <c r="A258" s="3" t="inlineStr">
        <is>
          <t>Meta</t>
        </is>
      </c>
      <c r="B258" s="3" t="n">
        <v>2027</v>
      </c>
      <c r="C258" s="3" t="inlineStr">
        <is>
          <t>Bear</t>
        </is>
      </c>
      <c r="D258" s="3" t="inlineStr">
        <is>
          <t>pue</t>
        </is>
      </c>
      <c r="E258" s="3" t="n">
        <v>1.2</v>
      </c>
      <c r="F258" s="3" t="inlineStr">
        <is>
          <t>ratio</t>
        </is>
      </c>
      <c r="G258" s="3" t="inlineStr">
        <is>
          <t>Scenario parameter</t>
        </is>
      </c>
      <c r="H258" s="3" t="inlineStr">
        <is>
          <t>it_load_gw = active_power_gw / pue</t>
        </is>
      </c>
      <c r="I258" s="3" t="inlineStr">
        <is>
          <t>No provider-wide site-level PUE is used as a disclosed fact; PUE represents facility-to-IT conversion within the scenario.</t>
        </is>
      </c>
      <c r="J258" s="3" t="inlineStr">
        <is>
          <t>ASSUMP_POWER_RAMP</t>
        </is>
      </c>
      <c r="K258" s="3" t="inlineStr">
        <is>
          <t>ASSUMP_CONSUMER_AI_UTILIZATION; ASSUMP_POWER_RAMP; ASSUMP_NUMERIC_ACCELERATOR_MIX; ASSUMP_INFERENCE_SHARE_NOT_FACT_60; ASSUMP_WORKLOAD_CLASS_MIX; ASSUMP_AGENTIC_CONTEXT_PENALTY</t>
        </is>
      </c>
      <c r="L258" s="3" t="inlineStr">
        <is>
          <t>Site-level measured PUE matched to attributed AI capacity.</t>
        </is>
      </c>
    </row>
    <row r="259">
      <c r="A259" s="3" t="inlineStr">
        <is>
          <t>Meta</t>
        </is>
      </c>
      <c r="B259" s="3" t="n">
        <v>2027</v>
      </c>
      <c r="C259" s="3" t="inlineStr">
        <is>
          <t>Bear</t>
        </is>
      </c>
      <c r="D259" s="3" t="inlineStr">
        <is>
          <t>it_load_gw</t>
        </is>
      </c>
      <c r="E259" s="3" t="n">
        <v>1.943</v>
      </c>
      <c r="F259" s="3" t="inlineStr">
        <is>
          <t>GW</t>
        </is>
      </c>
      <c r="G259" s="3" t="inlineStr">
        <is>
          <t>Derived formula</t>
        </is>
      </c>
      <c r="H259" s="3" t="inlineStr">
        <is>
          <t>active_power_gw / pue</t>
        </is>
      </c>
      <c r="I259" s="3" t="inlineStr">
        <is>
          <t>Facility power is converted to IT-deliverable power before attributing AI workloads.</t>
        </is>
      </c>
      <c r="J259" s="3" t="inlineStr">
        <is>
          <t>ASSUMP_POWER_RAMP; SRC_META_MTIA_GENAI_2026</t>
        </is>
      </c>
      <c r="K259" s="3" t="inlineStr">
        <is>
          <t>ASSUMP_CONSUMER_AI_UTILIZATION; ASSUMP_POWER_RAMP; ASSUMP_NUMERIC_ACCELERATOR_MIX; ASSUMP_INFERENCE_SHARE_NOT_FACT_60; ASSUMP_WORKLOAD_CLASS_MIX; ASSUMP_AGENTIC_CONTEXT_PENALTY</t>
        </is>
      </c>
      <c r="L259" s="3" t="inlineStr">
        <is>
          <t>Recompute once active power and PUE become site-observable.</t>
        </is>
      </c>
    </row>
    <row r="260">
      <c r="A260" s="3" t="inlineStr">
        <is>
          <t>Meta</t>
        </is>
      </c>
      <c r="B260" s="3" t="n">
        <v>2027</v>
      </c>
      <c r="C260" s="3" t="inlineStr">
        <is>
          <t>Bear</t>
        </is>
      </c>
      <c r="D260" s="3" t="inlineStr">
        <is>
          <t>ai_workload_share</t>
        </is>
      </c>
      <c r="E260" s="3" t="n">
        <v>0.87</v>
      </c>
      <c r="F260" s="3" t="inlineStr">
        <is>
          <t>share</t>
        </is>
      </c>
      <c r="G260" s="3" t="inlineStr">
        <is>
          <t>Scenario allocation</t>
        </is>
      </c>
      <c r="H260" s="3" t="inlineStr">
        <is>
          <t>ai_it_load_gw = it_load_gw * ai_workload_share</t>
        </is>
      </c>
      <c r="I260" s="3" t="inlineStr">
        <is>
          <t>The modeled fleet is focused on AI workloads across Meta AI surfaces; non-LLM ranking/platform overhead is excluded through the 87% share.</t>
        </is>
      </c>
      <c r="J260" s="3" t="inlineStr">
        <is>
          <t>SRC_META_LLAMA; SRC_META_LLAMA4_NVIDIA; SRC_META_MTIA_GENAI_2026; SRC_EPOCH_AI_DATA_CENTERS</t>
        </is>
      </c>
      <c r="K260" s="3" t="inlineStr">
        <is>
          <t>ASSUMP_CONSUMER_AI_UTILIZATION; ASSUMP_POWER_RAMP; ASSUMP_NUMERIC_ACCELERATOR_MIX; ASSUMP_INFERENCE_SHARE_NOT_FACT_60; ASSUMP_WORKLOAD_CLASS_MIX; ASSUMP_AGENTIC_CONTEXT_PENALTY</t>
        </is>
      </c>
      <c r="L260" s="3" t="inlineStr">
        <is>
          <t>Model-owner AI workload allocation or cluster scheduling telemetry.</t>
        </is>
      </c>
    </row>
    <row r="261">
      <c r="A261" s="3" t="inlineStr">
        <is>
          <t>Meta</t>
        </is>
      </c>
      <c r="B261" s="3" t="n">
        <v>2027</v>
      </c>
      <c r="C261" s="3" t="inlineStr">
        <is>
          <t>Bear</t>
        </is>
      </c>
      <c r="D261" s="3" t="inlineStr">
        <is>
          <t>ai_it_load_gw</t>
        </is>
      </c>
      <c r="E261" s="3" t="n">
        <v>1.691</v>
      </c>
      <c r="F261" s="3" t="inlineStr">
        <is>
          <t>GW</t>
        </is>
      </c>
      <c r="G261" s="3" t="inlineStr">
        <is>
          <t>Derived formula</t>
        </is>
      </c>
      <c r="H261" s="3" t="inlineStr">
        <is>
          <t>it_load_gw * ai_workload_share</t>
        </is>
      </c>
      <c r="I261" s="3" t="inlineStr">
        <is>
          <t>Only the AI-attributed portion of IT load enters training/inference allocation.</t>
        </is>
      </c>
      <c r="J261" s="3" t="inlineStr">
        <is>
          <t>SRC_META_LLAMA; SRC_META_LLAMA4_NVIDIA; SRC_META_MTIA_GENAI_2026; SRC_EPOCH_AI_DATA_CENTERS</t>
        </is>
      </c>
      <c r="K261" s="3" t="inlineStr">
        <is>
          <t>ASSUMP_CONSUMER_AI_UTILIZATION; ASSUMP_POWER_RAMP; ASSUMP_NUMERIC_ACCELERATOR_MIX; ASSUMP_INFERENCE_SHARE_NOT_FACT_60; ASSUMP_WORKLOAD_CLASS_MIX; ASSUMP_AGENTIC_CONTEXT_PENALTY</t>
        </is>
      </c>
      <c r="L261" s="3" t="inlineStr">
        <is>
          <t>Recompute after ai_workload_share is replaced by telemetry.</t>
        </is>
      </c>
    </row>
    <row r="262">
      <c r="A262" s="3" t="inlineStr">
        <is>
          <t>Meta</t>
        </is>
      </c>
      <c r="B262" s="3" t="n">
        <v>2027</v>
      </c>
      <c r="C262" s="3" t="inlineStr">
        <is>
          <t>Bear</t>
        </is>
      </c>
      <c r="D262" s="3" t="inlineStr">
        <is>
          <t>gpu_share</t>
        </is>
      </c>
      <c r="E262" s="3" t="n">
        <v>1</v>
      </c>
      <c r="F262" s="3" t="inlineStr">
        <is>
          <t>share of inference-serving accelerator load</t>
        </is>
      </c>
      <c r="G262" s="3" t="inlineStr">
        <is>
          <t>Numeric scenario</t>
        </is>
      </c>
      <c r="H262" s="3" t="inlineStr">
        <is>
          <t>gpu_share interpolated from company 2026/2030 accelerator-mix endpoints</t>
        </is>
      </c>
      <c r="I262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62" s="3" t="inlineStr">
        <is>
          <t>SRC_META_LLAMA; SRC_META_LLAMA4_NVIDIA; SRC_META_MTIA_GENAI_2026; SRC_EPOCH_AI_DATA_CENTERS; ASSUMP_NUMERIC_ACCELERATOR_MIX</t>
        </is>
      </c>
      <c r="K262" s="3" t="inlineStr">
        <is>
          <t>ASSUMP_CONSUMER_AI_UTILIZATION; ASSUMP_POWER_RAMP; ASSUMP_NUMERIC_ACCELERATOR_MIX; ASSUMP_INFERENCE_SHARE_NOT_FACT_60; ASSUMP_WORKLOAD_CLASS_MIX; ASSUMP_AGENTIC_CONTEXT_PENALTY</t>
        </is>
      </c>
      <c r="L262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63">
      <c r="A263" s="3" t="inlineStr">
        <is>
          <t>Meta</t>
        </is>
      </c>
      <c r="B263" s="3" t="n">
        <v>2027</v>
      </c>
      <c r="C263" s="3" t="inlineStr">
        <is>
          <t>Bear</t>
        </is>
      </c>
      <c r="D263" s="3" t="inlineStr">
        <is>
          <t>h200_share</t>
        </is>
      </c>
      <c r="E263" s="3" t="n">
        <v>0</v>
      </c>
      <c r="F263" s="3" t="inlineStr">
        <is>
          <t>share of inference-serving accelerator load</t>
        </is>
      </c>
      <c r="G263" s="3" t="inlineStr">
        <is>
          <t>Editable numeric scenario</t>
        </is>
      </c>
      <c r="H263" s="3" t="inlineStr">
        <is>
          <t>h200_share = gpu_share * default_gpu_generation_mix_h200</t>
        </is>
      </c>
      <c r="I263" s="3" t="inlineStr">
        <is>
          <t>Default GPU-generation migration assumption; executive workbook allows later manual replacement by company/year/scenario.</t>
        </is>
      </c>
      <c r="J263" s="3" t="inlineStr">
        <is>
          <t>SRC_SEMIANALYSIS_INFERENCEX; ASSUMP_NUMERIC_ACCELERATOR_MIX</t>
        </is>
      </c>
      <c r="K263" s="3" t="inlineStr">
        <is>
          <t>ASSUMP_CONSUMER_AI_UTILIZATION; ASSUMP_POWER_RAMP; ASSUMP_NUMERIC_ACCELERATOR_MIX; ASSUMP_INFERENCE_SHARE_NOT_FACT_60; ASSUMP_WORKLOAD_CLASS_MIX; ASSUMP_AGENTIC_CONTEXT_PENALTY</t>
        </is>
      </c>
      <c r="L263" s="3" t="inlineStr">
        <is>
          <t>Company fleet inventory, accelerator-hours or procurement/deployment records by GPU generation.</t>
        </is>
      </c>
    </row>
    <row r="264">
      <c r="A264" s="3" t="inlineStr">
        <is>
          <t>Meta</t>
        </is>
      </c>
      <c r="B264" s="3" t="n">
        <v>2027</v>
      </c>
      <c r="C264" s="3" t="inlineStr">
        <is>
          <t>Bear</t>
        </is>
      </c>
      <c r="D264" s="3" t="inlineStr">
        <is>
          <t>b200_share</t>
        </is>
      </c>
      <c r="E264" s="3" t="n">
        <v>1</v>
      </c>
      <c r="F264" s="3" t="inlineStr">
        <is>
          <t>share of inference-serving accelerator load</t>
        </is>
      </c>
      <c r="G264" s="3" t="inlineStr">
        <is>
          <t>Editable numeric scenario</t>
        </is>
      </c>
      <c r="H264" s="3" t="inlineStr">
        <is>
          <t>b200_share = gpu_share * default_gpu_generation_mix_b200</t>
        </is>
      </c>
      <c r="I264" s="3" t="inlineStr">
        <is>
          <t>Default GPU-generation migration assumption; executive workbook allows later manual replacement by company/year/scenario.</t>
        </is>
      </c>
      <c r="J264" s="3" t="inlineStr">
        <is>
          <t>SRC_SEMIANALYSIS_INFERENCEX; ASSUMP_NUMERIC_ACCELERATOR_MIX</t>
        </is>
      </c>
      <c r="K264" s="3" t="inlineStr">
        <is>
          <t>ASSUMP_CONSUMER_AI_UTILIZATION; ASSUMP_POWER_RAMP; ASSUMP_NUMERIC_ACCELERATOR_MIX; ASSUMP_INFERENCE_SHARE_NOT_FACT_60; ASSUMP_WORKLOAD_CLASS_MIX; ASSUMP_AGENTIC_CONTEXT_PENALTY</t>
        </is>
      </c>
      <c r="L264" s="3" t="inlineStr">
        <is>
          <t>Company fleet inventory, accelerator-hours or procurement/deployment records by GPU generation.</t>
        </is>
      </c>
    </row>
    <row r="265">
      <c r="A265" s="3" t="inlineStr">
        <is>
          <t>Meta</t>
        </is>
      </c>
      <c r="B265" s="3" t="n">
        <v>2027</v>
      </c>
      <c r="C265" s="3" t="inlineStr">
        <is>
          <t>Bear</t>
        </is>
      </c>
      <c r="D265" s="3" t="inlineStr">
        <is>
          <t>gb200_share</t>
        </is>
      </c>
      <c r="E265" s="3" t="n">
        <v>0</v>
      </c>
      <c r="F265" s="3" t="inlineStr">
        <is>
          <t>share of inference-serving accelerator load</t>
        </is>
      </c>
      <c r="G265" s="3" t="inlineStr">
        <is>
          <t>Editable numeric scenario</t>
        </is>
      </c>
      <c r="H265" s="3" t="inlineStr">
        <is>
          <t>gb200_share = gpu_share * default_gpu_generation_mix_gb200</t>
        </is>
      </c>
      <c r="I265" s="3" t="inlineStr">
        <is>
          <t>Default GPU-generation migration assumption; executive workbook allows later manual replacement by company/year/scenario.</t>
        </is>
      </c>
      <c r="J265" s="3" t="inlineStr">
        <is>
          <t>SRC_SEMIANALYSIS_INFERENCEX; ASSUMP_NUMERIC_ACCELERATOR_MIX</t>
        </is>
      </c>
      <c r="K265" s="3" t="inlineStr">
        <is>
          <t>ASSUMP_CONSUMER_AI_UTILIZATION; ASSUMP_POWER_RAMP; ASSUMP_NUMERIC_ACCELERATOR_MIX; ASSUMP_INFERENCE_SHARE_NOT_FACT_60; ASSUMP_WORKLOAD_CLASS_MIX; ASSUMP_AGENTIC_CONTEXT_PENALTY</t>
        </is>
      </c>
      <c r="L265" s="3" t="inlineStr">
        <is>
          <t>Company fleet inventory, accelerator-hours or procurement/deployment records by GPU generation.</t>
        </is>
      </c>
    </row>
    <row r="266">
      <c r="A266" s="3" t="inlineStr">
        <is>
          <t>Meta</t>
        </is>
      </c>
      <c r="B266" s="3" t="n">
        <v>2027</v>
      </c>
      <c r="C266" s="3" t="inlineStr">
        <is>
          <t>Bear</t>
        </is>
      </c>
      <c r="D266" s="3" t="inlineStr">
        <is>
          <t>purpose_built_accelerator_share</t>
        </is>
      </c>
      <c r="E266" s="3" t="n">
        <v>0</v>
      </c>
      <c r="F266" s="3" t="inlineStr">
        <is>
          <t>share of inference-serving accelerator load</t>
        </is>
      </c>
      <c r="G266" s="3" t="inlineStr">
        <is>
          <t>Numeric scenario</t>
        </is>
      </c>
      <c r="H266" s="3" t="inlineStr">
        <is>
          <t>1 - gpu_share</t>
        </is>
      </c>
      <c r="I266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66" s="3" t="inlineStr">
        <is>
          <t>SRC_META_LLAMA; SRC_META_LLAMA4_NVIDIA; SRC_META_MTIA_GENAI_2026; SRC_EPOCH_AI_DATA_CENTERS; ASSUMP_NUMERIC_ACCELERATOR_MIX</t>
        </is>
      </c>
      <c r="K266" s="3" t="inlineStr">
        <is>
          <t>ASSUMP_CONSUMER_AI_UTILIZATION; ASSUMP_POWER_RAMP; ASSUMP_NUMERIC_ACCELERATOR_MIX; ASSUMP_INFERENCE_SHARE_NOT_FACT_60; ASSUMP_WORKLOAD_CLASS_MIX; ASSUMP_AGENTIC_CONTEXT_PENALTY</t>
        </is>
      </c>
      <c r="L266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67">
      <c r="A267" s="3" t="inlineStr">
        <is>
          <t>Meta</t>
        </is>
      </c>
      <c r="B267" s="3" t="n">
        <v>2027</v>
      </c>
      <c r="C267" s="3" t="inlineStr">
        <is>
          <t>Bear</t>
        </is>
      </c>
      <c r="D267" s="3" t="inlineStr">
        <is>
          <t>fleet_reference_tps_per_mw</t>
        </is>
      </c>
      <c r="E267" s="3" t="n">
        <v>941060</v>
      </c>
      <c r="F267" s="3" t="inlineStr">
        <is>
          <t>generated output tokens/sec/MW</t>
        </is>
      </c>
      <c r="G267" s="3" t="inlineStr">
        <is>
          <t>Fleet-weighted public benchmark reference</t>
        </is>
      </c>
      <c r="H267" s="3" t="inlineStr">
        <is>
          <t>h200_share*h200_workload_avg + b200_share*b200_workload_avg + gb200_share*gb200_workload_avg + purpose_built_share*purpose_workload_avg</t>
        </is>
      </c>
      <c r="I26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67" s="3" t="inlineStr">
        <is>
          <t>SRC_SEMIANALYSIS_INFERENCEX; ASSUMP_NUMERIC_ACCELERATOR_MIX; ASSUMP_WORKLOAD_CLASS_MIX; ASSUMP_AGENTIC_CONTEXT_PENALTY</t>
        </is>
      </c>
      <c r="K267" s="3" t="inlineStr">
        <is>
          <t>ASSUMP_CONSUMER_AI_UTILIZATION; ASSUMP_POWER_RAMP; ASSUMP_NUMERIC_ACCELERATOR_MIX; ASSUMP_INFERENCE_SHARE_NOT_FACT_60; ASSUMP_WORKLOAD_CLASS_MIX; ASSUMP_AGENTIC_CONTEXT_PENALTY</t>
        </is>
      </c>
      <c r="L267" s="3" t="inlineStr">
        <is>
          <t>Comparable production output-token throughput or a more closely matched benchmark.</t>
        </is>
      </c>
    </row>
    <row r="268">
      <c r="A268" s="3" t="inlineStr">
        <is>
          <t>Meta</t>
        </is>
      </c>
      <c r="B268" s="3" t="n">
        <v>2027</v>
      </c>
      <c r="C268" s="3" t="inlineStr">
        <is>
          <t>Bear</t>
        </is>
      </c>
      <c r="D268" s="3" t="inlineStr">
        <is>
          <t>commercial_workload_fit_factor</t>
        </is>
      </c>
      <c r="E268" s="3" t="n">
        <v>0.75</v>
      </c>
      <c r="F268" s="3" t="inlineStr">
        <is>
          <t>share of public reference throughput</t>
        </is>
      </c>
      <c r="G268" s="3" t="inlineStr">
        <is>
          <t>Scenario assumption</t>
        </is>
      </c>
      <c r="H268" s="3" t="inlineStr">
        <is>
          <t>reference_serving_tps_per_mw = fleet_reference_tps_per_mw * commercial_workload_fit_factor</t>
        </is>
      </c>
      <c r="I26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68" s="3" t="inlineStr">
        <is>
          <t>SRC_SEMIANALYSIS_INFERENCEX; ASSUMP_NUMERIC_ACCELERATOR_MIX; ASSUMP_WORKLOAD_CLASS_MIX; ASSUMP_AGENTIC_CONTEXT_PENALTY</t>
        </is>
      </c>
      <c r="K268" s="3" t="inlineStr">
        <is>
          <t>ASSUMP_CONSUMER_AI_UTILIZATION; ASSUMP_POWER_RAMP; ASSUMP_NUMERIC_ACCELERATOR_MIX; ASSUMP_INFERENCE_SHARE_NOT_FACT_60; ASSUMP_WORKLOAD_CLASS_MIX; ASSUMP_AGENTIC_CONTEXT_PENALTY</t>
        </is>
      </c>
      <c r="L268" s="3" t="inlineStr">
        <is>
          <t>Matched commercial serving benchmark by product surface, context shape and latency SLO.</t>
        </is>
      </c>
    </row>
    <row r="269">
      <c r="A269" s="3" t="inlineStr">
        <is>
          <t>Meta</t>
        </is>
      </c>
      <c r="B269" s="3" t="n">
        <v>2027</v>
      </c>
      <c r="C269" s="3" t="inlineStr">
        <is>
          <t>Bear</t>
        </is>
      </c>
      <c r="D269" s="3" t="inlineStr">
        <is>
          <t>reference_serving_tps_per_mw</t>
        </is>
      </c>
      <c r="E269" s="3" t="n">
        <v>705795</v>
      </c>
      <c r="F269" s="3" t="inlineStr">
        <is>
          <t>generated output tokens/sec/MW</t>
        </is>
      </c>
      <c r="G269" s="3" t="inlineStr">
        <is>
          <t>Workload-adjusted benchmark proxy</t>
        </is>
      </c>
      <c r="H269" s="3" t="inlineStr">
        <is>
          <t>fleet_reference_tps_per_mw * commercial_workload_fit_factor</t>
        </is>
      </c>
      <c r="I269" s="3" t="inlineStr">
        <is>
          <t>This is the coefficient used for headline token generation; each GPU's short chat, long chat and agentic TPS/MW are weighted before fleet mix and commercial fit are applied.</t>
        </is>
      </c>
      <c r="J269" s="3" t="inlineStr">
        <is>
          <t>SRC_SEMIANALYSIS_INFERENCEX; ASSUMP_NUMERIC_ACCELERATOR_MIX; ASSUMP_WORKLOAD_CLASS_MIX; ASSUMP_AGENTIC_CONTEXT_PENALTY</t>
        </is>
      </c>
      <c r="K269" s="3" t="inlineStr">
        <is>
          <t>ASSUMP_CONSUMER_AI_UTILIZATION; ASSUMP_POWER_RAMP; ASSUMP_NUMERIC_ACCELERATOR_MIX; ASSUMP_INFERENCE_SHARE_NOT_FACT_60; ASSUMP_WORKLOAD_CLASS_MIX; ASSUMP_AGENTIC_CONTEXT_PENALTY</t>
        </is>
      </c>
      <c r="L269" s="3" t="inlineStr">
        <is>
          <t>Provider production output-token throughput with comparable workload/SLO.</t>
        </is>
      </c>
    </row>
    <row r="270">
      <c r="A270" s="3" t="inlineStr">
        <is>
          <t>Meta</t>
        </is>
      </c>
      <c r="B270" s="3" t="n">
        <v>2027</v>
      </c>
      <c r="C270" s="3" t="inlineStr">
        <is>
          <t>Bear</t>
        </is>
      </c>
      <c r="D270" s="3" t="inlineStr">
        <is>
          <t>purpose_built_tps_per_mw</t>
        </is>
      </c>
      <c r="E270" s="3" t="n">
        <v>921386</v>
      </c>
      <c r="F270" s="3" t="inlineStr">
        <is>
          <t>generated output tokens/sec/MW</t>
        </is>
      </c>
      <c r="G270" s="3" t="inlineStr">
        <is>
          <t>Conservative no-uplift proxy</t>
        </is>
      </c>
      <c r="H270" s="3" t="inlineStr">
        <is>
          <t>purpose_built_tps_per_mw = purpose_built_reference_tps_per_mw * commercial_workload_fit_factor until comparable output-token benchmark is adopted</t>
        </is>
      </c>
      <c r="I270" s="3" t="inlineStr">
        <is>
          <t>No comparable public output-token/MW row adopted; B200 public reference placeholder is used and remains editable.</t>
        </is>
      </c>
      <c r="J270" s="3" t="inlineStr">
        <is>
          <t>SRC_META_LLAMA; SRC_META_LLAMA4_NVIDIA; SRC_META_MTIA_GENAI_2026; SRC_EPOCH_AI_DATA_CENTERS; ASSUMP_NUMERIC_ACCELERATOR_MIX</t>
        </is>
      </c>
      <c r="K270" s="3" t="inlineStr">
        <is>
          <t>ASSUMP_CONSUMER_AI_UTILIZATION; ASSUMP_POWER_RAMP; ASSUMP_NUMERIC_ACCELERATOR_MIX; ASSUMP_INFERENCE_SHARE_NOT_FACT_60; ASSUMP_WORKLOAD_CLASS_MIX; ASSUMP_AGENTIC_CONTEXT_PENALTY</t>
        </is>
      </c>
      <c r="L270" s="3" t="inlineStr">
        <is>
          <t>Matched-workload generated-output benchmark for the provider purpose-built accelerator.</t>
        </is>
      </c>
    </row>
    <row r="271">
      <c r="A271" s="3" t="inlineStr">
        <is>
          <t>Meta</t>
        </is>
      </c>
      <c r="B271" s="3" t="n">
        <v>2027</v>
      </c>
      <c r="C271" s="3" t="inlineStr">
        <is>
          <t>Bear</t>
        </is>
      </c>
      <c r="D271" s="3" t="inlineStr">
        <is>
          <t>inference_power_share</t>
        </is>
      </c>
      <c r="E271" s="3" t="n">
        <v>0.545</v>
      </c>
      <c r="F271" s="3" t="inlineStr">
        <is>
          <t>share of AI IT load</t>
        </is>
      </c>
      <c r="G271" s="3" t="inlineStr">
        <is>
          <t>Scenario allocation</t>
        </is>
      </c>
      <c r="H271" s="3" t="inlineStr">
        <is>
          <t>inference_gw = ai_it_load_gw * inference_power_share</t>
        </is>
      </c>
      <c r="I271" s="3" t="inlineStr">
        <is>
          <t>Large consumer AI distribution and inference-first MTIA roadmap support a higher inference share scenario.</t>
        </is>
      </c>
      <c r="J271" s="3" t="inlineStr">
        <is>
          <t>SRC_META_LLAMA; SRC_META_LLAMA4_NVIDIA; SRC_META_MTIA_GENAI_2026; SRC_EPOCH_AI_DATA_CENTERS; ASSUMP_INFERENCE_SHARE_NOT_FACT_60</t>
        </is>
      </c>
      <c r="K271" s="3" t="inlineStr">
        <is>
          <t>ASSUMP_CONSUMER_AI_UTILIZATION; ASSUMP_POWER_RAMP; ASSUMP_NUMERIC_ACCELERATOR_MIX; ASSUMP_INFERENCE_SHARE_NOT_FACT_60; ASSUMP_WORKLOAD_CLASS_MIX; ASSUMP_AGENTIC_CONTEXT_PENALTY</t>
        </is>
      </c>
      <c r="L271" s="3" t="inlineStr">
        <is>
          <t>Provider-specific inference/training workload power telemetry.</t>
        </is>
      </c>
    </row>
    <row r="272">
      <c r="A272" s="3" t="inlineStr">
        <is>
          <t>Meta</t>
        </is>
      </c>
      <c r="B272" s="3" t="n">
        <v>2027</v>
      </c>
      <c r="C272" s="3" t="inlineStr">
        <is>
          <t>Bear</t>
        </is>
      </c>
      <c r="D272" s="3" t="inlineStr">
        <is>
          <t>inference_gw</t>
        </is>
      </c>
      <c r="E272" s="3" t="n">
        <v>0.921</v>
      </c>
      <c r="F272" s="3" t="inlineStr">
        <is>
          <t>GW</t>
        </is>
      </c>
      <c r="G272" s="3" t="inlineStr">
        <is>
          <t>Derived formula</t>
        </is>
      </c>
      <c r="H272" s="3" t="inlineStr">
        <is>
          <t>ai_it_load_gw * inference_power_share</t>
        </is>
      </c>
      <c r="I272" s="3" t="inlineStr">
        <is>
          <t>This is the operational power eligible to become commercial generated output tokens through the selected TPS/MW proxy.</t>
        </is>
      </c>
      <c r="J272" s="3" t="inlineStr">
        <is>
          <t>SRC_META_LLAMA; SRC_META_LLAMA4_NVIDIA; SRC_META_MTIA_GENAI_2026; SRC_EPOCH_AI_DATA_CENTERS</t>
        </is>
      </c>
      <c r="K272" s="3" t="inlineStr">
        <is>
          <t>ASSUMP_CONSUMER_AI_UTILIZATION; ASSUMP_POWER_RAMP; ASSUMP_NUMERIC_ACCELERATOR_MIX; ASSUMP_INFERENCE_SHARE_NOT_FACT_60; ASSUMP_WORKLOAD_CLASS_MIX; ASSUMP_AGENTIC_CONTEXT_PENALTY</t>
        </is>
      </c>
      <c r="L272" s="3" t="inlineStr">
        <is>
          <t>Recompute after AI allocation or inference-share evidence changes.</t>
        </is>
      </c>
    </row>
    <row r="273">
      <c r="A273" s="3" t="inlineStr">
        <is>
          <t>Meta</t>
        </is>
      </c>
      <c r="B273" s="3" t="n">
        <v>2027</v>
      </c>
      <c r="C273" s="3" t="inlineStr">
        <is>
          <t>Bear</t>
        </is>
      </c>
      <c r="D273" s="3" t="inlineStr">
        <is>
          <t>training_power_share</t>
        </is>
      </c>
      <c r="E273" s="3" t="n">
        <v>0.455</v>
      </c>
      <c r="F273" s="3" t="inlineStr">
        <is>
          <t>share of AI IT load</t>
        </is>
      </c>
      <c r="G273" s="3" t="inlineStr">
        <is>
          <t>Derived allocation</t>
        </is>
      </c>
      <c r="H273" s="3" t="inlineStr">
        <is>
          <t>1 - inference_power_share</t>
        </is>
      </c>
      <c r="I273" s="3" t="inlineStr">
        <is>
          <t>Training receives the complementary modeled AI IT allocation; it is not a disclosed company workload split.</t>
        </is>
      </c>
      <c r="J273" s="3" t="inlineStr">
        <is>
          <t>SRC_META_LLAMA; SRC_META_LLAMA4_NVIDIA; SRC_META_MTIA_GENAI_2026; SRC_EPOCH_AI_DATA_CENTERS; ASSUMP_INFERENCE_SHARE_NOT_FACT_60</t>
        </is>
      </c>
      <c r="K273" s="3" t="inlineStr">
        <is>
          <t>ASSUMP_CONSUMER_AI_UTILIZATION; ASSUMP_POWER_RAMP; ASSUMP_NUMERIC_ACCELERATOR_MIX; ASSUMP_INFERENCE_SHARE_NOT_FACT_60; ASSUMP_WORKLOAD_CLASS_MIX; ASSUMP_AGENTIC_CONTEXT_PENALTY</t>
        </is>
      </c>
      <c r="L273" s="3" t="inlineStr">
        <is>
          <t>Provider-specific inference/training workload power telemetry.</t>
        </is>
      </c>
    </row>
    <row r="274">
      <c r="A274" s="3" t="inlineStr">
        <is>
          <t>Meta</t>
        </is>
      </c>
      <c r="B274" s="3" t="n">
        <v>2027</v>
      </c>
      <c r="C274" s="3" t="inlineStr">
        <is>
          <t>Bear</t>
        </is>
      </c>
      <c r="D274" s="3" t="inlineStr">
        <is>
          <t>training_gw</t>
        </is>
      </c>
      <c r="E274" s="3" t="n">
        <v>0.769</v>
      </c>
      <c r="F274" s="3" t="inlineStr">
        <is>
          <t>GW</t>
        </is>
      </c>
      <c r="G274" s="3" t="inlineStr">
        <is>
          <t>Derived formula</t>
        </is>
      </c>
      <c r="H274" s="3" t="inlineStr">
        <is>
          <t>ai_it_load_gw * training_power_share</t>
        </is>
      </c>
      <c r="I274" s="3" t="inlineStr">
        <is>
          <t>Training GW is shown separately so commercial inference token capacity is not overstated.</t>
        </is>
      </c>
      <c r="J274" s="3" t="inlineStr">
        <is>
          <t>SRC_META_LLAMA; SRC_META_LLAMA4_NVIDIA; SRC_META_MTIA_GENAI_2026; SRC_EPOCH_AI_DATA_CENTERS</t>
        </is>
      </c>
      <c r="K274" s="3" t="inlineStr">
        <is>
          <t>ASSUMP_CONSUMER_AI_UTILIZATION; ASSUMP_POWER_RAMP; ASSUMP_NUMERIC_ACCELERATOR_MIX; ASSUMP_INFERENCE_SHARE_NOT_FACT_60; ASSUMP_WORKLOAD_CLASS_MIX; ASSUMP_AGENTIC_CONTEXT_PENALTY</t>
        </is>
      </c>
      <c r="L274" s="3" t="inlineStr">
        <is>
          <t>Recompute after AI allocation or workload-split evidence changes.</t>
        </is>
      </c>
    </row>
    <row r="275">
      <c r="A275" s="3" t="inlineStr">
        <is>
          <t>Meta</t>
        </is>
      </c>
      <c r="B275" s="3" t="n">
        <v>2027</v>
      </c>
      <c r="C275" s="3" t="inlineStr">
        <is>
          <t>Bear</t>
        </is>
      </c>
      <c r="D275" s="3" t="inlineStr">
        <is>
          <t>tokens_per_second_per_mw</t>
        </is>
      </c>
      <c r="E275" s="3" t="n">
        <v>705795</v>
      </c>
      <c r="F275" s="3" t="inlineStr">
        <is>
          <t>generated output tokens/sec/MW</t>
        </is>
      </c>
      <c r="G275" s="3" t="inlineStr">
        <is>
          <t>Derived estimate + benchmark calibration</t>
        </is>
      </c>
      <c r="H275" s="3" t="inlineStr">
        <is>
          <t>fleet_reference_tps_per_mw * commercial_workload_fit_factor</t>
        </is>
      </c>
      <c r="I27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75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75" s="3" t="inlineStr">
        <is>
          <t>ASSUMP_CONSUMER_AI_UTILIZATION; ASSUMP_POWER_RAMP; ASSUMP_NUMERIC_ACCELERATOR_MIX; ASSUMP_INFERENCE_SHARE_NOT_FACT_60; ASSUMP_WORKLOAD_CLASS_MIX; ASSUMP_AGENTIC_CONTEXT_PENALTY</t>
        </is>
      </c>
      <c r="L275" s="3" t="inlineStr">
        <is>
          <t>Comparable production output-token throughput with model, hardware, precision, ISL/OSL and SLO matched.</t>
        </is>
      </c>
    </row>
    <row r="276">
      <c r="A276" s="3" t="inlineStr">
        <is>
          <t>Meta</t>
        </is>
      </c>
      <c r="B276" s="3" t="n">
        <v>2027</v>
      </c>
      <c r="C276" s="3" t="inlineStr">
        <is>
          <t>Bear</t>
        </is>
      </c>
      <c r="D276" s="3" t="inlineStr">
        <is>
          <t>inference_tokens_per_day</t>
        </is>
      </c>
      <c r="E276" s="3" t="n">
        <v>56163213648000</v>
      </c>
      <c r="F276" s="3" t="inlineStr">
        <is>
          <t>generated output tokens/day</t>
        </is>
      </c>
      <c r="G276" s="3" t="inlineStr">
        <is>
          <t>Derived headline metric</t>
        </is>
      </c>
      <c r="H276" s="3" t="inlineStr">
        <is>
          <t>inference_gw * 1000 * tokens_per_second_per_mw * 86,400</t>
        </is>
      </c>
      <c r="I276" s="3" t="inlineStr">
        <is>
          <t>Headline capacity uses no utilization, MoE, architecture or software-growth multiplier; it is not observed commercial output volume.</t>
        </is>
      </c>
      <c r="J276" s="3" t="inlineStr">
        <is>
          <t>SRC_META_LLAMA; SRC_META_LLAMA4_NVIDIA; SRC_META_MTIA_GENAI_2026; SRC_EPOCH_AI_DATA_CENTERS; SRC_SEMIANALYSIS_INFERENCEX</t>
        </is>
      </c>
      <c r="K276" s="3" t="inlineStr">
        <is>
          <t>ASSUMP_CONSUMER_AI_UTILIZATION; ASSUMP_POWER_RAMP; ASSUMP_NUMERIC_ACCELERATOR_MIX; ASSUMP_INFERENCE_SHARE_NOT_FACT_60; ASSUMP_WORKLOAD_CLASS_MIX; ASSUMP_AGENTIC_CONTEXT_PENALTY</t>
        </is>
      </c>
      <c r="L276" s="3" t="inlineStr">
        <is>
          <t>Provider-disclosed generated output token volume or calibrated capacity telemetry.</t>
        </is>
      </c>
    </row>
    <row r="277">
      <c r="A277" s="3" t="inlineStr">
        <is>
          <t>Meta</t>
        </is>
      </c>
      <c r="B277" s="3" t="n">
        <v>2027</v>
      </c>
      <c r="C277" s="3" t="inlineStr">
        <is>
          <t>Bear</t>
        </is>
      </c>
      <c r="D277" s="3" t="inlineStr">
        <is>
          <t>inference_tokens_per_year</t>
        </is>
      </c>
      <c r="E277" s="3" t="n">
        <v>2.049957298152e+16</v>
      </c>
      <c r="F277" s="3" t="inlineStr">
        <is>
          <t>generated output tokens/year</t>
        </is>
      </c>
      <c r="G277" s="3" t="inlineStr">
        <is>
          <t>Derived headline metric</t>
        </is>
      </c>
      <c r="H277" s="3" t="inlineStr">
        <is>
          <t>inference_tokens_per_day * 365</t>
        </is>
      </c>
      <c r="I277" s="3" t="inlineStr">
        <is>
          <t>Annualized version of generated output token capacity; it is not observed annual demand or billable volume.</t>
        </is>
      </c>
      <c r="J277" s="3" t="inlineStr">
        <is>
          <t>SRC_META_LLAMA; SRC_META_LLAMA4_NVIDIA; SRC_META_MTIA_GENAI_2026; SRC_EPOCH_AI_DATA_CENTERS; SRC_SEMIANALYSIS_INFERENCEX</t>
        </is>
      </c>
      <c r="K277" s="3" t="inlineStr">
        <is>
          <t>ASSUMP_CONSUMER_AI_UTILIZATION; ASSUMP_POWER_RAMP; ASSUMP_NUMERIC_ACCELERATOR_MIX; ASSUMP_INFERENCE_SHARE_NOT_FACT_60; ASSUMP_WORKLOAD_CLASS_MIX; ASSUMP_AGENTIC_CONTEXT_PENALTY</t>
        </is>
      </c>
      <c r="L277" s="3" t="inlineStr">
        <is>
          <t>Provider-disclosed annual generated-output volume or metered serving telemetry.</t>
        </is>
      </c>
    </row>
    <row r="278">
      <c r="A278" s="3" t="inlineStr">
        <is>
          <t>Meta</t>
        </is>
      </c>
      <c r="B278" s="3" t="n">
        <v>2028</v>
      </c>
      <c r="C278" s="3" t="inlineStr">
        <is>
          <t>Bear</t>
        </is>
      </c>
      <c r="D278" s="3" t="inlineStr">
        <is>
          <t>contracted_power_gw</t>
        </is>
      </c>
      <c r="E278" s="3" t="n">
        <v>5.25</v>
      </c>
      <c r="F278" s="3" t="inlineStr">
        <is>
          <t>GW</t>
        </is>
      </c>
      <c r="G278" s="3" t="inlineStr">
        <is>
          <t>Scenario capacity envelope</t>
        </is>
      </c>
      <c r="H278" s="3" t="inlineStr">
        <is>
          <t>linear interpolation between 2026 and 2030 company capacity endpoints</t>
        </is>
      </c>
      <c r="I278" s="3" t="inlineStr">
        <is>
          <t>Scenario envelope for Meta AI/Llama serving capacity; not an official contracted-GW figure.</t>
        </is>
      </c>
      <c r="J278" s="3" t="inlineStr">
        <is>
          <t>ASSUMP_POWER_RAMP; SRC_META_MTIA_GENAI_2026</t>
        </is>
      </c>
      <c r="K278" s="3" t="inlineStr">
        <is>
          <t>ASSUMP_CONSUMER_AI_UTILIZATION; ASSUMP_POWER_RAMP; ASSUMP_NUMERIC_ACCELERATOR_MIX; ASSUMP_INFERENCE_SHARE_NOT_FACT_60; ASSUMP_WORKLOAD_CLASS_MIX; ASSUMP_AGENTIC_CONTEXT_PENALTY</t>
        </is>
      </c>
      <c r="L278" s="3" t="inlineStr">
        <is>
          <t>Company/site-level committed MW/GW, interconnect and contract disclosure.</t>
        </is>
      </c>
    </row>
    <row r="279">
      <c r="A279" s="3" t="inlineStr">
        <is>
          <t>Meta</t>
        </is>
      </c>
      <c r="B279" s="3" t="n">
        <v>2028</v>
      </c>
      <c r="C279" s="3" t="inlineStr">
        <is>
          <t>Bear</t>
        </is>
      </c>
      <c r="D279" s="3" t="inlineStr">
        <is>
          <t>operational_deployment_share</t>
        </is>
      </c>
      <c r="E279" s="3" t="n">
        <v>0.60609524</v>
      </c>
      <c r="F279" s="3" t="inlineStr">
        <is>
          <t>share</t>
        </is>
      </c>
      <c r="G279" s="3" t="inlineStr">
        <is>
          <t>Scenario conversion</t>
        </is>
      </c>
      <c r="H279" s="3" t="inlineStr">
        <is>
          <t>active_power_gw / contracted_power_gw</t>
        </is>
      </c>
      <c r="I279" s="3" t="inlineStr">
        <is>
          <t>This is the single explicit conversion from contracted/attributed capacity to operationally usable capacity.</t>
        </is>
      </c>
      <c r="J279" s="3" t="inlineStr">
        <is>
          <t>ASSUMP_POWER_RAMP; SRC_META_MTIA_GENAI_2026</t>
        </is>
      </c>
      <c r="K279" s="3" t="inlineStr">
        <is>
          <t>ASSUMP_CONSUMER_AI_UTILIZATION; ASSUMP_POWER_RAMP; ASSUMP_NUMERIC_ACCELERATOR_MIX; ASSUMP_INFERENCE_SHARE_NOT_FACT_60; ASSUMP_WORKLOAD_CLASS_MIX; ASSUMP_AGENTIC_CONTEXT_PENALTY</t>
        </is>
      </c>
      <c r="L279" s="3" t="inlineStr">
        <is>
          <t>Energized operational capacity divided by contracted/attributed capacity.</t>
        </is>
      </c>
    </row>
    <row r="280">
      <c r="A280" s="3" t="inlineStr">
        <is>
          <t>Meta</t>
        </is>
      </c>
      <c r="B280" s="3" t="n">
        <v>2028</v>
      </c>
      <c r="C280" s="3" t="inlineStr">
        <is>
          <t>Bear</t>
        </is>
      </c>
      <c r="D280" s="3" t="inlineStr">
        <is>
          <t>active_power_gw</t>
        </is>
      </c>
      <c r="E280" s="3" t="n">
        <v>3.182</v>
      </c>
      <c r="F280" s="3" t="inlineStr">
        <is>
          <t>GW</t>
        </is>
      </c>
      <c r="G280" s="3" t="inlineStr">
        <is>
          <t>Derived scenario</t>
        </is>
      </c>
      <c r="H280" s="3" t="inlineStr">
        <is>
          <t>contracted_power_gw * operational_deployment_share</t>
        </is>
      </c>
      <c r="I280" s="3" t="inlineStr">
        <is>
          <t>MTIA deployment direction and consumer product distribution support active ramp, not exact powered GW.</t>
        </is>
      </c>
      <c r="J280" s="3" t="inlineStr">
        <is>
          <t>ASSUMP_POWER_RAMP; SRC_META_MTIA_GENAI_2026</t>
        </is>
      </c>
      <c r="K280" s="3" t="inlineStr">
        <is>
          <t>ASSUMP_CONSUMER_AI_UTILIZATION; ASSUMP_POWER_RAMP; ASSUMP_NUMERIC_ACCELERATOR_MIX; ASSUMP_INFERENCE_SHARE_NOT_FACT_60; ASSUMP_WORKLOAD_CLASS_MIX; ASSUMP_AGENTIC_CONTEXT_PENALTY</t>
        </is>
      </c>
      <c r="L280" s="3" t="inlineStr">
        <is>
          <t>Energization dates, accelerator deliveries and operational powered-rack telemetry.</t>
        </is>
      </c>
    </row>
    <row r="281">
      <c r="A281" s="3" t="inlineStr">
        <is>
          <t>Meta</t>
        </is>
      </c>
      <c r="B281" s="3" t="n">
        <v>2028</v>
      </c>
      <c r="C281" s="3" t="inlineStr">
        <is>
          <t>Bear</t>
        </is>
      </c>
      <c r="D281" s="3" t="inlineStr">
        <is>
          <t>pue</t>
        </is>
      </c>
      <c r="E281" s="3" t="n">
        <v>1.2</v>
      </c>
      <c r="F281" s="3" t="inlineStr">
        <is>
          <t>ratio</t>
        </is>
      </c>
      <c r="G281" s="3" t="inlineStr">
        <is>
          <t>Scenario parameter</t>
        </is>
      </c>
      <c r="H281" s="3" t="inlineStr">
        <is>
          <t>it_load_gw = active_power_gw / pue</t>
        </is>
      </c>
      <c r="I281" s="3" t="inlineStr">
        <is>
          <t>No provider-wide site-level PUE is used as a disclosed fact; PUE represents facility-to-IT conversion within the scenario.</t>
        </is>
      </c>
      <c r="J281" s="3" t="inlineStr">
        <is>
          <t>ASSUMP_POWER_RAMP</t>
        </is>
      </c>
      <c r="K281" s="3" t="inlineStr">
        <is>
          <t>ASSUMP_CONSUMER_AI_UTILIZATION; ASSUMP_POWER_RAMP; ASSUMP_NUMERIC_ACCELERATOR_MIX; ASSUMP_INFERENCE_SHARE_NOT_FACT_60; ASSUMP_WORKLOAD_CLASS_MIX; ASSUMP_AGENTIC_CONTEXT_PENALTY</t>
        </is>
      </c>
      <c r="L281" s="3" t="inlineStr">
        <is>
          <t>Site-level measured PUE matched to attributed AI capacity.</t>
        </is>
      </c>
    </row>
    <row r="282">
      <c r="A282" s="3" t="inlineStr">
        <is>
          <t>Meta</t>
        </is>
      </c>
      <c r="B282" s="3" t="n">
        <v>2028</v>
      </c>
      <c r="C282" s="3" t="inlineStr">
        <is>
          <t>Bear</t>
        </is>
      </c>
      <c r="D282" s="3" t="inlineStr">
        <is>
          <t>it_load_gw</t>
        </is>
      </c>
      <c r="E282" s="3" t="n">
        <v>2.652</v>
      </c>
      <c r="F282" s="3" t="inlineStr">
        <is>
          <t>GW</t>
        </is>
      </c>
      <c r="G282" s="3" t="inlineStr">
        <is>
          <t>Derived formula</t>
        </is>
      </c>
      <c r="H282" s="3" t="inlineStr">
        <is>
          <t>active_power_gw / pue</t>
        </is>
      </c>
      <c r="I282" s="3" t="inlineStr">
        <is>
          <t>Facility power is converted to IT-deliverable power before attributing AI workloads.</t>
        </is>
      </c>
      <c r="J282" s="3" t="inlineStr">
        <is>
          <t>ASSUMP_POWER_RAMP; SRC_META_MTIA_GENAI_2026</t>
        </is>
      </c>
      <c r="K282" s="3" t="inlineStr">
        <is>
          <t>ASSUMP_CONSUMER_AI_UTILIZATION; ASSUMP_POWER_RAMP; ASSUMP_NUMERIC_ACCELERATOR_MIX; ASSUMP_INFERENCE_SHARE_NOT_FACT_60; ASSUMP_WORKLOAD_CLASS_MIX; ASSUMP_AGENTIC_CONTEXT_PENALTY</t>
        </is>
      </c>
      <c r="L282" s="3" t="inlineStr">
        <is>
          <t>Recompute once active power and PUE become site-observable.</t>
        </is>
      </c>
    </row>
    <row r="283">
      <c r="A283" s="3" t="inlineStr">
        <is>
          <t>Meta</t>
        </is>
      </c>
      <c r="B283" s="3" t="n">
        <v>2028</v>
      </c>
      <c r="C283" s="3" t="inlineStr">
        <is>
          <t>Bear</t>
        </is>
      </c>
      <c r="D283" s="3" t="inlineStr">
        <is>
          <t>ai_workload_share</t>
        </is>
      </c>
      <c r="E283" s="3" t="n">
        <v>0.87</v>
      </c>
      <c r="F283" s="3" t="inlineStr">
        <is>
          <t>share</t>
        </is>
      </c>
      <c r="G283" s="3" t="inlineStr">
        <is>
          <t>Scenario allocation</t>
        </is>
      </c>
      <c r="H283" s="3" t="inlineStr">
        <is>
          <t>ai_it_load_gw = it_load_gw * ai_workload_share</t>
        </is>
      </c>
      <c r="I283" s="3" t="inlineStr">
        <is>
          <t>The modeled fleet is focused on AI workloads across Meta AI surfaces; non-LLM ranking/platform overhead is excluded through the 87% share.</t>
        </is>
      </c>
      <c r="J283" s="3" t="inlineStr">
        <is>
          <t>SRC_META_LLAMA; SRC_META_LLAMA4_NVIDIA; SRC_META_MTIA_GENAI_2026; SRC_EPOCH_AI_DATA_CENTERS</t>
        </is>
      </c>
      <c r="K283" s="3" t="inlineStr">
        <is>
          <t>ASSUMP_CONSUMER_AI_UTILIZATION; ASSUMP_POWER_RAMP; ASSUMP_NUMERIC_ACCELERATOR_MIX; ASSUMP_INFERENCE_SHARE_NOT_FACT_60; ASSUMP_WORKLOAD_CLASS_MIX; ASSUMP_AGENTIC_CONTEXT_PENALTY</t>
        </is>
      </c>
      <c r="L283" s="3" t="inlineStr">
        <is>
          <t>Model-owner AI workload allocation or cluster scheduling telemetry.</t>
        </is>
      </c>
    </row>
    <row r="284">
      <c r="A284" s="3" t="inlineStr">
        <is>
          <t>Meta</t>
        </is>
      </c>
      <c r="B284" s="3" t="n">
        <v>2028</v>
      </c>
      <c r="C284" s="3" t="inlineStr">
        <is>
          <t>Bear</t>
        </is>
      </c>
      <c r="D284" s="3" t="inlineStr">
        <is>
          <t>ai_it_load_gw</t>
        </is>
      </c>
      <c r="E284" s="3" t="n">
        <v>2.307</v>
      </c>
      <c r="F284" s="3" t="inlineStr">
        <is>
          <t>GW</t>
        </is>
      </c>
      <c r="G284" s="3" t="inlineStr">
        <is>
          <t>Derived formula</t>
        </is>
      </c>
      <c r="H284" s="3" t="inlineStr">
        <is>
          <t>it_load_gw * ai_workload_share</t>
        </is>
      </c>
      <c r="I284" s="3" t="inlineStr">
        <is>
          <t>Only the AI-attributed portion of IT load enters training/inference allocation.</t>
        </is>
      </c>
      <c r="J284" s="3" t="inlineStr">
        <is>
          <t>SRC_META_LLAMA; SRC_META_LLAMA4_NVIDIA; SRC_META_MTIA_GENAI_2026; SRC_EPOCH_AI_DATA_CENTERS</t>
        </is>
      </c>
      <c r="K284" s="3" t="inlineStr">
        <is>
          <t>ASSUMP_CONSUMER_AI_UTILIZATION; ASSUMP_POWER_RAMP; ASSUMP_NUMERIC_ACCELERATOR_MIX; ASSUMP_INFERENCE_SHARE_NOT_FACT_60; ASSUMP_WORKLOAD_CLASS_MIX; ASSUMP_AGENTIC_CONTEXT_PENALTY</t>
        </is>
      </c>
      <c r="L284" s="3" t="inlineStr">
        <is>
          <t>Recompute after ai_workload_share is replaced by telemetry.</t>
        </is>
      </c>
    </row>
    <row r="285">
      <c r="A285" s="3" t="inlineStr">
        <is>
          <t>Meta</t>
        </is>
      </c>
      <c r="B285" s="3" t="n">
        <v>2028</v>
      </c>
      <c r="C285" s="3" t="inlineStr">
        <is>
          <t>Bear</t>
        </is>
      </c>
      <c r="D285" s="3" t="inlineStr">
        <is>
          <t>gpu_share</t>
        </is>
      </c>
      <c r="E285" s="3" t="n">
        <v>0.612306</v>
      </c>
      <c r="F285" s="3" t="inlineStr">
        <is>
          <t>share of inference-serving accelerator load</t>
        </is>
      </c>
      <c r="G285" s="3" t="inlineStr">
        <is>
          <t>Numeric scenario</t>
        </is>
      </c>
      <c r="H285" s="3" t="inlineStr">
        <is>
          <t>gpu_share interpolated from company 2026/2030 accelerator-mix endpoints</t>
        </is>
      </c>
      <c r="I285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85" s="3" t="inlineStr">
        <is>
          <t>SRC_META_LLAMA; SRC_META_LLAMA4_NVIDIA; SRC_META_MTIA_GENAI_2026; SRC_EPOCH_AI_DATA_CENTERS; ASSUMP_NUMERIC_ACCELERATOR_MIX</t>
        </is>
      </c>
      <c r="K285" s="3" t="inlineStr">
        <is>
          <t>ASSUMP_CONSUMER_AI_UTILIZATION; ASSUMP_POWER_RAMP; ASSUMP_NUMERIC_ACCELERATOR_MIX; ASSUMP_INFERENCE_SHARE_NOT_FACT_60; ASSUMP_WORKLOAD_CLASS_MIX; ASSUMP_AGENTIC_CONTEXT_PENALTY</t>
        </is>
      </c>
      <c r="L285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86">
      <c r="A286" s="3" t="inlineStr">
        <is>
          <t>Meta</t>
        </is>
      </c>
      <c r="B286" s="3" t="n">
        <v>2028</v>
      </c>
      <c r="C286" s="3" t="inlineStr">
        <is>
          <t>Bear</t>
        </is>
      </c>
      <c r="D286" s="3" t="inlineStr">
        <is>
          <t>h200_share</t>
        </is>
      </c>
      <c r="E286" s="3" t="n">
        <v>0</v>
      </c>
      <c r="F286" s="3" t="inlineStr">
        <is>
          <t>share of inference-serving accelerator load</t>
        </is>
      </c>
      <c r="G286" s="3" t="inlineStr">
        <is>
          <t>Editable numeric scenario</t>
        </is>
      </c>
      <c r="H286" s="3" t="inlineStr">
        <is>
          <t>h200_share = gpu_share * default_gpu_generation_mix_h200</t>
        </is>
      </c>
      <c r="I286" s="3" t="inlineStr">
        <is>
          <t>Default GPU-generation migration assumption; executive workbook allows later manual replacement by company/year/scenario.</t>
        </is>
      </c>
      <c r="J286" s="3" t="inlineStr">
        <is>
          <t>SRC_SEMIANALYSIS_INFERENCEX; ASSUMP_NUMERIC_ACCELERATOR_MIX</t>
        </is>
      </c>
      <c r="K286" s="3" t="inlineStr">
        <is>
          <t>ASSUMP_CONSUMER_AI_UTILIZATION; ASSUMP_POWER_RAMP; ASSUMP_NUMERIC_ACCELERATOR_MIX; ASSUMP_INFERENCE_SHARE_NOT_FACT_60; ASSUMP_WORKLOAD_CLASS_MIX; ASSUMP_AGENTIC_CONTEXT_PENALTY</t>
        </is>
      </c>
      <c r="L286" s="3" t="inlineStr">
        <is>
          <t>Company fleet inventory, accelerator-hours or procurement/deployment records by GPU generation.</t>
        </is>
      </c>
    </row>
    <row r="287">
      <c r="A287" s="3" t="inlineStr">
        <is>
          <t>Meta</t>
        </is>
      </c>
      <c r="B287" s="3" t="n">
        <v>2028</v>
      </c>
      <c r="C287" s="3" t="inlineStr">
        <is>
          <t>Bear</t>
        </is>
      </c>
      <c r="D287" s="3" t="inlineStr">
        <is>
          <t>b200_share</t>
        </is>
      </c>
      <c r="E287" s="3" t="n">
        <v>0.612306</v>
      </c>
      <c r="F287" s="3" t="inlineStr">
        <is>
          <t>share of inference-serving accelerator load</t>
        </is>
      </c>
      <c r="G287" s="3" t="inlineStr">
        <is>
          <t>Editable numeric scenario</t>
        </is>
      </c>
      <c r="H287" s="3" t="inlineStr">
        <is>
          <t>b200_share = gpu_share * default_gpu_generation_mix_b200</t>
        </is>
      </c>
      <c r="I287" s="3" t="inlineStr">
        <is>
          <t>Default GPU-generation migration assumption; executive workbook allows later manual replacement by company/year/scenario.</t>
        </is>
      </c>
      <c r="J287" s="3" t="inlineStr">
        <is>
          <t>SRC_SEMIANALYSIS_INFERENCEX; ASSUMP_NUMERIC_ACCELERATOR_MIX</t>
        </is>
      </c>
      <c r="K287" s="3" t="inlineStr">
        <is>
          <t>ASSUMP_CONSUMER_AI_UTILIZATION; ASSUMP_POWER_RAMP; ASSUMP_NUMERIC_ACCELERATOR_MIX; ASSUMP_INFERENCE_SHARE_NOT_FACT_60; ASSUMP_WORKLOAD_CLASS_MIX; ASSUMP_AGENTIC_CONTEXT_PENALTY</t>
        </is>
      </c>
      <c r="L287" s="3" t="inlineStr">
        <is>
          <t>Company fleet inventory, accelerator-hours or procurement/deployment records by GPU generation.</t>
        </is>
      </c>
    </row>
    <row r="288">
      <c r="A288" s="3" t="inlineStr">
        <is>
          <t>Meta</t>
        </is>
      </c>
      <c r="B288" s="3" t="n">
        <v>2028</v>
      </c>
      <c r="C288" s="3" t="inlineStr">
        <is>
          <t>Bear</t>
        </is>
      </c>
      <c r="D288" s="3" t="inlineStr">
        <is>
          <t>gb200_share</t>
        </is>
      </c>
      <c r="E288" s="3" t="n">
        <v>0</v>
      </c>
      <c r="F288" s="3" t="inlineStr">
        <is>
          <t>share of inference-serving accelerator load</t>
        </is>
      </c>
      <c r="G288" s="3" t="inlineStr">
        <is>
          <t>Editable numeric scenario</t>
        </is>
      </c>
      <c r="H288" s="3" t="inlineStr">
        <is>
          <t>gb200_share = gpu_share * default_gpu_generation_mix_gb200</t>
        </is>
      </c>
      <c r="I288" s="3" t="inlineStr">
        <is>
          <t>Default GPU-generation migration assumption; executive workbook allows later manual replacement by company/year/scenario.</t>
        </is>
      </c>
      <c r="J288" s="3" t="inlineStr">
        <is>
          <t>SRC_SEMIANALYSIS_INFERENCEX; ASSUMP_NUMERIC_ACCELERATOR_MIX</t>
        </is>
      </c>
      <c r="K288" s="3" t="inlineStr">
        <is>
          <t>ASSUMP_CONSUMER_AI_UTILIZATION; ASSUMP_POWER_RAMP; ASSUMP_NUMERIC_ACCELERATOR_MIX; ASSUMP_INFERENCE_SHARE_NOT_FACT_60; ASSUMP_WORKLOAD_CLASS_MIX; ASSUMP_AGENTIC_CONTEXT_PENALTY</t>
        </is>
      </c>
      <c r="L288" s="3" t="inlineStr">
        <is>
          <t>Company fleet inventory, accelerator-hours or procurement/deployment records by GPU generation.</t>
        </is>
      </c>
    </row>
    <row r="289">
      <c r="A289" s="3" t="inlineStr">
        <is>
          <t>Meta</t>
        </is>
      </c>
      <c r="B289" s="3" t="n">
        <v>2028</v>
      </c>
      <c r="C289" s="3" t="inlineStr">
        <is>
          <t>Bear</t>
        </is>
      </c>
      <c r="D289" s="3" t="inlineStr">
        <is>
          <t>purpose_built_accelerator_share</t>
        </is>
      </c>
      <c r="E289" s="3" t="n">
        <v>0.387694</v>
      </c>
      <c r="F289" s="3" t="inlineStr">
        <is>
          <t>share of inference-serving accelerator load</t>
        </is>
      </c>
      <c r="G289" s="3" t="inlineStr">
        <is>
          <t>Numeric scenario</t>
        </is>
      </c>
      <c r="H289" s="3" t="inlineStr">
        <is>
          <t>1 - gpu_share</t>
        </is>
      </c>
      <c r="I289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89" s="3" t="inlineStr">
        <is>
          <t>SRC_META_LLAMA; SRC_META_LLAMA4_NVIDIA; SRC_META_MTIA_GENAI_2026; SRC_EPOCH_AI_DATA_CENTERS; ASSUMP_NUMERIC_ACCELERATOR_MIX</t>
        </is>
      </c>
      <c r="K289" s="3" t="inlineStr">
        <is>
          <t>ASSUMP_CONSUMER_AI_UTILIZATION; ASSUMP_POWER_RAMP; ASSUMP_NUMERIC_ACCELERATOR_MIX; ASSUMP_INFERENCE_SHARE_NOT_FACT_60; ASSUMP_WORKLOAD_CLASS_MIX; ASSUMP_AGENTIC_CONTEXT_PENALTY</t>
        </is>
      </c>
      <c r="L289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90">
      <c r="A290" s="3" t="inlineStr">
        <is>
          <t>Meta</t>
        </is>
      </c>
      <c r="B290" s="3" t="n">
        <v>2028</v>
      </c>
      <c r="C290" s="3" t="inlineStr">
        <is>
          <t>Bear</t>
        </is>
      </c>
      <c r="D290" s="3" t="inlineStr">
        <is>
          <t>fleet_reference_tps_per_mw</t>
        </is>
      </c>
      <c r="E290" s="3" t="n">
        <v>941060</v>
      </c>
      <c r="F290" s="3" t="inlineStr">
        <is>
          <t>generated output tokens/sec/MW</t>
        </is>
      </c>
      <c r="G290" s="3" t="inlineStr">
        <is>
          <t>Fleet-weighted public benchmark reference</t>
        </is>
      </c>
      <c r="H290" s="3" t="inlineStr">
        <is>
          <t>h200_share*h200_workload_avg + b200_share*b200_workload_avg + gb200_share*gb200_workload_avg + purpose_built_share*purpose_workload_avg</t>
        </is>
      </c>
      <c r="I29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90" s="3" t="inlineStr">
        <is>
          <t>SRC_SEMIANALYSIS_INFERENCEX; ASSUMP_NUMERIC_ACCELERATOR_MIX; ASSUMP_WORKLOAD_CLASS_MIX; ASSUMP_AGENTIC_CONTEXT_PENALTY</t>
        </is>
      </c>
      <c r="K290" s="3" t="inlineStr">
        <is>
          <t>ASSUMP_CONSUMER_AI_UTILIZATION; ASSUMP_POWER_RAMP; ASSUMP_NUMERIC_ACCELERATOR_MIX; ASSUMP_INFERENCE_SHARE_NOT_FACT_60; ASSUMP_WORKLOAD_CLASS_MIX; ASSUMP_AGENTIC_CONTEXT_PENALTY</t>
        </is>
      </c>
      <c r="L290" s="3" t="inlineStr">
        <is>
          <t>Comparable production output-token throughput or a more closely matched benchmark.</t>
        </is>
      </c>
    </row>
    <row r="291">
      <c r="A291" s="3" t="inlineStr">
        <is>
          <t>Meta</t>
        </is>
      </c>
      <c r="B291" s="3" t="n">
        <v>2028</v>
      </c>
      <c r="C291" s="3" t="inlineStr">
        <is>
          <t>Bear</t>
        </is>
      </c>
      <c r="D291" s="3" t="inlineStr">
        <is>
          <t>commercial_workload_fit_factor</t>
        </is>
      </c>
      <c r="E291" s="3" t="n">
        <v>0.75</v>
      </c>
      <c r="F291" s="3" t="inlineStr">
        <is>
          <t>share of public reference throughput</t>
        </is>
      </c>
      <c r="G291" s="3" t="inlineStr">
        <is>
          <t>Scenario assumption</t>
        </is>
      </c>
      <c r="H291" s="3" t="inlineStr">
        <is>
          <t>reference_serving_tps_per_mw = fleet_reference_tps_per_mw * commercial_workload_fit_factor</t>
        </is>
      </c>
      <c r="I29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91" s="3" t="inlineStr">
        <is>
          <t>SRC_SEMIANALYSIS_INFERENCEX; ASSUMP_NUMERIC_ACCELERATOR_MIX; ASSUMP_WORKLOAD_CLASS_MIX; ASSUMP_AGENTIC_CONTEXT_PENALTY</t>
        </is>
      </c>
      <c r="K291" s="3" t="inlineStr">
        <is>
          <t>ASSUMP_CONSUMER_AI_UTILIZATION; ASSUMP_POWER_RAMP; ASSUMP_NUMERIC_ACCELERATOR_MIX; ASSUMP_INFERENCE_SHARE_NOT_FACT_60; ASSUMP_WORKLOAD_CLASS_MIX; ASSUMP_AGENTIC_CONTEXT_PENALTY</t>
        </is>
      </c>
      <c r="L291" s="3" t="inlineStr">
        <is>
          <t>Matched commercial serving benchmark by product surface, context shape and latency SLO.</t>
        </is>
      </c>
    </row>
    <row r="292">
      <c r="A292" s="3" t="inlineStr">
        <is>
          <t>Meta</t>
        </is>
      </c>
      <c r="B292" s="3" t="n">
        <v>2028</v>
      </c>
      <c r="C292" s="3" t="inlineStr">
        <is>
          <t>Bear</t>
        </is>
      </c>
      <c r="D292" s="3" t="inlineStr">
        <is>
          <t>reference_serving_tps_per_mw</t>
        </is>
      </c>
      <c r="E292" s="3" t="n">
        <v>705795</v>
      </c>
      <c r="F292" s="3" t="inlineStr">
        <is>
          <t>generated output tokens/sec/MW</t>
        </is>
      </c>
      <c r="G292" s="3" t="inlineStr">
        <is>
          <t>Workload-adjusted benchmark proxy</t>
        </is>
      </c>
      <c r="H292" s="3" t="inlineStr">
        <is>
          <t>fleet_reference_tps_per_mw * commercial_workload_fit_factor</t>
        </is>
      </c>
      <c r="I292" s="3" t="inlineStr">
        <is>
          <t>This is the coefficient used for headline token generation; each GPU's short chat, long chat and agentic TPS/MW are weighted before fleet mix and commercial fit are applied.</t>
        </is>
      </c>
      <c r="J292" s="3" t="inlineStr">
        <is>
          <t>SRC_SEMIANALYSIS_INFERENCEX; ASSUMP_NUMERIC_ACCELERATOR_MIX; ASSUMP_WORKLOAD_CLASS_MIX; ASSUMP_AGENTIC_CONTEXT_PENALTY</t>
        </is>
      </c>
      <c r="K292" s="3" t="inlineStr">
        <is>
          <t>ASSUMP_CONSUMER_AI_UTILIZATION; ASSUMP_POWER_RAMP; ASSUMP_NUMERIC_ACCELERATOR_MIX; ASSUMP_INFERENCE_SHARE_NOT_FACT_60; ASSUMP_WORKLOAD_CLASS_MIX; ASSUMP_AGENTIC_CONTEXT_PENALTY</t>
        </is>
      </c>
      <c r="L292" s="3" t="inlineStr">
        <is>
          <t>Provider production output-token throughput with comparable workload/SLO.</t>
        </is>
      </c>
    </row>
    <row r="293">
      <c r="A293" s="3" t="inlineStr">
        <is>
          <t>Meta</t>
        </is>
      </c>
      <c r="B293" s="3" t="n">
        <v>2028</v>
      </c>
      <c r="C293" s="3" t="inlineStr">
        <is>
          <t>Bear</t>
        </is>
      </c>
      <c r="D293" s="3" t="inlineStr">
        <is>
          <t>purpose_built_tps_per_mw</t>
        </is>
      </c>
      <c r="E293" s="3" t="n">
        <v>921386</v>
      </c>
      <c r="F293" s="3" t="inlineStr">
        <is>
          <t>generated output tokens/sec/MW</t>
        </is>
      </c>
      <c r="G293" s="3" t="inlineStr">
        <is>
          <t>Conservative no-uplift proxy</t>
        </is>
      </c>
      <c r="H293" s="3" t="inlineStr">
        <is>
          <t>purpose_built_tps_per_mw = purpose_built_reference_tps_per_mw * commercial_workload_fit_factor until comparable output-token benchmark is adopted</t>
        </is>
      </c>
      <c r="I293" s="3" t="inlineStr">
        <is>
          <t>No comparable public output-token/MW row adopted; B200 public reference placeholder is used and remains editable.</t>
        </is>
      </c>
      <c r="J293" s="3" t="inlineStr">
        <is>
          <t>SRC_META_LLAMA; SRC_META_LLAMA4_NVIDIA; SRC_META_MTIA_GENAI_2026; SRC_EPOCH_AI_DATA_CENTERS; ASSUMP_NUMERIC_ACCELERATOR_MIX</t>
        </is>
      </c>
      <c r="K293" s="3" t="inlineStr">
        <is>
          <t>ASSUMP_CONSUMER_AI_UTILIZATION; ASSUMP_POWER_RAMP; ASSUMP_NUMERIC_ACCELERATOR_MIX; ASSUMP_INFERENCE_SHARE_NOT_FACT_60; ASSUMP_WORKLOAD_CLASS_MIX; ASSUMP_AGENTIC_CONTEXT_PENALTY</t>
        </is>
      </c>
      <c r="L293" s="3" t="inlineStr">
        <is>
          <t>Matched-workload generated-output benchmark for the provider purpose-built accelerator.</t>
        </is>
      </c>
    </row>
    <row r="294">
      <c r="A294" s="3" t="inlineStr">
        <is>
          <t>Meta</t>
        </is>
      </c>
      <c r="B294" s="3" t="n">
        <v>2028</v>
      </c>
      <c r="C294" s="3" t="inlineStr">
        <is>
          <t>Bear</t>
        </is>
      </c>
      <c r="D294" s="3" t="inlineStr">
        <is>
          <t>inference_power_share</t>
        </is>
      </c>
      <c r="E294" s="3" t="n">
        <v>0.59</v>
      </c>
      <c r="F294" s="3" t="inlineStr">
        <is>
          <t>share of AI IT load</t>
        </is>
      </c>
      <c r="G294" s="3" t="inlineStr">
        <is>
          <t>Scenario allocation</t>
        </is>
      </c>
      <c r="H294" s="3" t="inlineStr">
        <is>
          <t>inference_gw = ai_it_load_gw * inference_power_share</t>
        </is>
      </c>
      <c r="I294" s="3" t="inlineStr">
        <is>
          <t>Large consumer AI distribution and inference-first MTIA roadmap support a higher inference share scenario.</t>
        </is>
      </c>
      <c r="J294" s="3" t="inlineStr">
        <is>
          <t>SRC_META_LLAMA; SRC_META_LLAMA4_NVIDIA; SRC_META_MTIA_GENAI_2026; SRC_EPOCH_AI_DATA_CENTERS; ASSUMP_INFERENCE_SHARE_NOT_FACT_60</t>
        </is>
      </c>
      <c r="K294" s="3" t="inlineStr">
        <is>
          <t>ASSUMP_CONSUMER_AI_UTILIZATION; ASSUMP_POWER_RAMP; ASSUMP_NUMERIC_ACCELERATOR_MIX; ASSUMP_INFERENCE_SHARE_NOT_FACT_60; ASSUMP_WORKLOAD_CLASS_MIX; ASSUMP_AGENTIC_CONTEXT_PENALTY</t>
        </is>
      </c>
      <c r="L294" s="3" t="inlineStr">
        <is>
          <t>Provider-specific inference/training workload power telemetry.</t>
        </is>
      </c>
    </row>
    <row r="295">
      <c r="A295" s="3" t="inlineStr">
        <is>
          <t>Meta</t>
        </is>
      </c>
      <c r="B295" s="3" t="n">
        <v>2028</v>
      </c>
      <c r="C295" s="3" t="inlineStr">
        <is>
          <t>Bear</t>
        </is>
      </c>
      <c r="D295" s="3" t="inlineStr">
        <is>
          <t>inference_gw</t>
        </is>
      </c>
      <c r="E295" s="3" t="n">
        <v>1.361</v>
      </c>
      <c r="F295" s="3" t="inlineStr">
        <is>
          <t>GW</t>
        </is>
      </c>
      <c r="G295" s="3" t="inlineStr">
        <is>
          <t>Derived formula</t>
        </is>
      </c>
      <c r="H295" s="3" t="inlineStr">
        <is>
          <t>ai_it_load_gw * inference_power_share</t>
        </is>
      </c>
      <c r="I295" s="3" t="inlineStr">
        <is>
          <t>This is the operational power eligible to become commercial generated output tokens through the selected TPS/MW proxy.</t>
        </is>
      </c>
      <c r="J295" s="3" t="inlineStr">
        <is>
          <t>SRC_META_LLAMA; SRC_META_LLAMA4_NVIDIA; SRC_META_MTIA_GENAI_2026; SRC_EPOCH_AI_DATA_CENTERS</t>
        </is>
      </c>
      <c r="K295" s="3" t="inlineStr">
        <is>
          <t>ASSUMP_CONSUMER_AI_UTILIZATION; ASSUMP_POWER_RAMP; ASSUMP_NUMERIC_ACCELERATOR_MIX; ASSUMP_INFERENCE_SHARE_NOT_FACT_60; ASSUMP_WORKLOAD_CLASS_MIX; ASSUMP_AGENTIC_CONTEXT_PENALTY</t>
        </is>
      </c>
      <c r="L295" s="3" t="inlineStr">
        <is>
          <t>Recompute after AI allocation or inference-share evidence changes.</t>
        </is>
      </c>
    </row>
    <row r="296">
      <c r="A296" s="3" t="inlineStr">
        <is>
          <t>Meta</t>
        </is>
      </c>
      <c r="B296" s="3" t="n">
        <v>2028</v>
      </c>
      <c r="C296" s="3" t="inlineStr">
        <is>
          <t>Bear</t>
        </is>
      </c>
      <c r="D296" s="3" t="inlineStr">
        <is>
          <t>training_power_share</t>
        </is>
      </c>
      <c r="E296" s="3" t="n">
        <v>0.41</v>
      </c>
      <c r="F296" s="3" t="inlineStr">
        <is>
          <t>share of AI IT load</t>
        </is>
      </c>
      <c r="G296" s="3" t="inlineStr">
        <is>
          <t>Derived allocation</t>
        </is>
      </c>
      <c r="H296" s="3" t="inlineStr">
        <is>
          <t>1 - inference_power_share</t>
        </is>
      </c>
      <c r="I296" s="3" t="inlineStr">
        <is>
          <t>Training receives the complementary modeled AI IT allocation; it is not a disclosed company workload split.</t>
        </is>
      </c>
      <c r="J296" s="3" t="inlineStr">
        <is>
          <t>SRC_META_LLAMA; SRC_META_LLAMA4_NVIDIA; SRC_META_MTIA_GENAI_2026; SRC_EPOCH_AI_DATA_CENTERS; ASSUMP_INFERENCE_SHARE_NOT_FACT_60</t>
        </is>
      </c>
      <c r="K296" s="3" t="inlineStr">
        <is>
          <t>ASSUMP_CONSUMER_AI_UTILIZATION; ASSUMP_POWER_RAMP; ASSUMP_NUMERIC_ACCELERATOR_MIX; ASSUMP_INFERENCE_SHARE_NOT_FACT_60; ASSUMP_WORKLOAD_CLASS_MIX; ASSUMP_AGENTIC_CONTEXT_PENALTY</t>
        </is>
      </c>
      <c r="L296" s="3" t="inlineStr">
        <is>
          <t>Provider-specific inference/training workload power telemetry.</t>
        </is>
      </c>
    </row>
    <row r="297">
      <c r="A297" s="3" t="inlineStr">
        <is>
          <t>Meta</t>
        </is>
      </c>
      <c r="B297" s="3" t="n">
        <v>2028</v>
      </c>
      <c r="C297" s="3" t="inlineStr">
        <is>
          <t>Bear</t>
        </is>
      </c>
      <c r="D297" s="3" t="inlineStr">
        <is>
          <t>training_gw</t>
        </is>
      </c>
      <c r="E297" s="3" t="n">
        <v>0.946</v>
      </c>
      <c r="F297" s="3" t="inlineStr">
        <is>
          <t>GW</t>
        </is>
      </c>
      <c r="G297" s="3" t="inlineStr">
        <is>
          <t>Derived formula</t>
        </is>
      </c>
      <c r="H297" s="3" t="inlineStr">
        <is>
          <t>ai_it_load_gw * training_power_share</t>
        </is>
      </c>
      <c r="I297" s="3" t="inlineStr">
        <is>
          <t>Training GW is shown separately so commercial inference token capacity is not overstated.</t>
        </is>
      </c>
      <c r="J297" s="3" t="inlineStr">
        <is>
          <t>SRC_META_LLAMA; SRC_META_LLAMA4_NVIDIA; SRC_META_MTIA_GENAI_2026; SRC_EPOCH_AI_DATA_CENTERS</t>
        </is>
      </c>
      <c r="K297" s="3" t="inlineStr">
        <is>
          <t>ASSUMP_CONSUMER_AI_UTILIZATION; ASSUMP_POWER_RAMP; ASSUMP_NUMERIC_ACCELERATOR_MIX; ASSUMP_INFERENCE_SHARE_NOT_FACT_60; ASSUMP_WORKLOAD_CLASS_MIX; ASSUMP_AGENTIC_CONTEXT_PENALTY</t>
        </is>
      </c>
      <c r="L297" s="3" t="inlineStr">
        <is>
          <t>Recompute after AI allocation or workload-split evidence changes.</t>
        </is>
      </c>
    </row>
    <row r="298">
      <c r="A298" s="3" t="inlineStr">
        <is>
          <t>Meta</t>
        </is>
      </c>
      <c r="B298" s="3" t="n">
        <v>2028</v>
      </c>
      <c r="C298" s="3" t="inlineStr">
        <is>
          <t>Bear</t>
        </is>
      </c>
      <c r="D298" s="3" t="inlineStr">
        <is>
          <t>tokens_per_second_per_mw</t>
        </is>
      </c>
      <c r="E298" s="3" t="n">
        <v>705795</v>
      </c>
      <c r="F298" s="3" t="inlineStr">
        <is>
          <t>generated output tokens/sec/MW</t>
        </is>
      </c>
      <c r="G298" s="3" t="inlineStr">
        <is>
          <t>Derived estimate + benchmark calibration</t>
        </is>
      </c>
      <c r="H298" s="3" t="inlineStr">
        <is>
          <t>fleet_reference_tps_per_mw * commercial_workload_fit_factor</t>
        </is>
      </c>
      <c r="I29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98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98" s="3" t="inlineStr">
        <is>
          <t>ASSUMP_CONSUMER_AI_UTILIZATION; ASSUMP_POWER_RAMP; ASSUMP_NUMERIC_ACCELERATOR_MIX; ASSUMP_INFERENCE_SHARE_NOT_FACT_60; ASSUMP_WORKLOAD_CLASS_MIX; ASSUMP_AGENTIC_CONTEXT_PENALTY</t>
        </is>
      </c>
      <c r="L298" s="3" t="inlineStr">
        <is>
          <t>Comparable production output-token throughput with model, hardware, precision, ISL/OSL and SLO matched.</t>
        </is>
      </c>
    </row>
    <row r="299">
      <c r="A299" s="3" t="inlineStr">
        <is>
          <t>Meta</t>
        </is>
      </c>
      <c r="B299" s="3" t="n">
        <v>2028</v>
      </c>
      <c r="C299" s="3" t="inlineStr">
        <is>
          <t>Bear</t>
        </is>
      </c>
      <c r="D299" s="3" t="inlineStr">
        <is>
          <t>inference_tokens_per_day</t>
        </is>
      </c>
      <c r="E299" s="3" t="n">
        <v>82994716368000</v>
      </c>
      <c r="F299" s="3" t="inlineStr">
        <is>
          <t>generated output tokens/day</t>
        </is>
      </c>
      <c r="G299" s="3" t="inlineStr">
        <is>
          <t>Derived headline metric</t>
        </is>
      </c>
      <c r="H299" s="3" t="inlineStr">
        <is>
          <t>inference_gw * 1000 * tokens_per_second_per_mw * 86,400</t>
        </is>
      </c>
      <c r="I299" s="3" t="inlineStr">
        <is>
          <t>Headline capacity uses no utilization, MoE, architecture or software-growth multiplier; it is not observed commercial output volume.</t>
        </is>
      </c>
      <c r="J299" s="3" t="inlineStr">
        <is>
          <t>SRC_META_LLAMA; SRC_META_LLAMA4_NVIDIA; SRC_META_MTIA_GENAI_2026; SRC_EPOCH_AI_DATA_CENTERS; SRC_SEMIANALYSIS_INFERENCEX</t>
        </is>
      </c>
      <c r="K299" s="3" t="inlineStr">
        <is>
          <t>ASSUMP_CONSUMER_AI_UTILIZATION; ASSUMP_POWER_RAMP; ASSUMP_NUMERIC_ACCELERATOR_MIX; ASSUMP_INFERENCE_SHARE_NOT_FACT_60; ASSUMP_WORKLOAD_CLASS_MIX; ASSUMP_AGENTIC_CONTEXT_PENALTY</t>
        </is>
      </c>
      <c r="L299" s="3" t="inlineStr">
        <is>
          <t>Provider-disclosed generated output token volume or calibrated capacity telemetry.</t>
        </is>
      </c>
    </row>
    <row r="300">
      <c r="A300" s="3" t="inlineStr">
        <is>
          <t>Meta</t>
        </is>
      </c>
      <c r="B300" s="3" t="n">
        <v>2028</v>
      </c>
      <c r="C300" s="3" t="inlineStr">
        <is>
          <t>Bear</t>
        </is>
      </c>
      <c r="D300" s="3" t="inlineStr">
        <is>
          <t>inference_tokens_per_year</t>
        </is>
      </c>
      <c r="E300" s="3" t="n">
        <v>3.029307147432e+16</v>
      </c>
      <c r="F300" s="3" t="inlineStr">
        <is>
          <t>generated output tokens/year</t>
        </is>
      </c>
      <c r="G300" s="3" t="inlineStr">
        <is>
          <t>Derived headline metric</t>
        </is>
      </c>
      <c r="H300" s="3" t="inlineStr">
        <is>
          <t>inference_tokens_per_day * 365</t>
        </is>
      </c>
      <c r="I300" s="3" t="inlineStr">
        <is>
          <t>Annualized version of generated output token capacity; it is not observed annual demand or billable volume.</t>
        </is>
      </c>
      <c r="J300" s="3" t="inlineStr">
        <is>
          <t>SRC_META_LLAMA; SRC_META_LLAMA4_NVIDIA; SRC_META_MTIA_GENAI_2026; SRC_EPOCH_AI_DATA_CENTERS; SRC_SEMIANALYSIS_INFERENCEX</t>
        </is>
      </c>
      <c r="K300" s="3" t="inlineStr">
        <is>
          <t>ASSUMP_CONSUMER_AI_UTILIZATION; ASSUMP_POWER_RAMP; ASSUMP_NUMERIC_ACCELERATOR_MIX; ASSUMP_INFERENCE_SHARE_NOT_FACT_60; ASSUMP_WORKLOAD_CLASS_MIX; ASSUMP_AGENTIC_CONTEXT_PENALTY</t>
        </is>
      </c>
      <c r="L300" s="3" t="inlineStr">
        <is>
          <t>Provider-disclosed annual generated-output volume or metered serving telemetry.</t>
        </is>
      </c>
    </row>
    <row r="301">
      <c r="A301" s="3" t="inlineStr">
        <is>
          <t>Meta</t>
        </is>
      </c>
      <c r="B301" s="3" t="n">
        <v>2029</v>
      </c>
      <c r="C301" s="3" t="inlineStr">
        <is>
          <t>Bear</t>
        </is>
      </c>
      <c r="D301" s="3" t="inlineStr">
        <is>
          <t>contracted_power_gw</t>
        </is>
      </c>
      <c r="E301" s="3" t="n">
        <v>6.125</v>
      </c>
      <c r="F301" s="3" t="inlineStr">
        <is>
          <t>GW</t>
        </is>
      </c>
      <c r="G301" s="3" t="inlineStr">
        <is>
          <t>Scenario capacity envelope</t>
        </is>
      </c>
      <c r="H301" s="3" t="inlineStr">
        <is>
          <t>linear interpolation between 2026 and 2030 company capacity endpoints</t>
        </is>
      </c>
      <c r="I301" s="3" t="inlineStr">
        <is>
          <t>Scenario envelope for Meta AI/Llama serving capacity; not an official contracted-GW figure.</t>
        </is>
      </c>
      <c r="J301" s="3" t="inlineStr">
        <is>
          <t>ASSUMP_POWER_RAMP; SRC_META_MTIA_GENAI_2026</t>
        </is>
      </c>
      <c r="K301" s="3" t="inlineStr">
        <is>
          <t>ASSUMP_CONSUMER_AI_UTILIZATION; ASSUMP_POWER_RAMP; ASSUMP_NUMERIC_ACCELERATOR_MIX; ASSUMP_INFERENCE_SHARE_NOT_FACT_60; ASSUMP_WORKLOAD_CLASS_MIX; ASSUMP_AGENTIC_CONTEXT_PENALTY</t>
        </is>
      </c>
      <c r="L301" s="3" t="inlineStr">
        <is>
          <t>Company/site-level committed MW/GW, interconnect and contract disclosure.</t>
        </is>
      </c>
    </row>
    <row r="302">
      <c r="A302" s="3" t="inlineStr">
        <is>
          <t>Meta</t>
        </is>
      </c>
      <c r="B302" s="3" t="n">
        <v>2029</v>
      </c>
      <c r="C302" s="3" t="inlineStr">
        <is>
          <t>Bear</t>
        </is>
      </c>
      <c r="D302" s="3" t="inlineStr">
        <is>
          <t>operational_deployment_share</t>
        </is>
      </c>
      <c r="E302" s="3" t="n">
        <v>0.65142857</v>
      </c>
      <c r="F302" s="3" t="inlineStr">
        <is>
          <t>share</t>
        </is>
      </c>
      <c r="G302" s="3" t="inlineStr">
        <is>
          <t>Scenario conversion</t>
        </is>
      </c>
      <c r="H302" s="3" t="inlineStr">
        <is>
          <t>active_power_gw / contracted_power_gw</t>
        </is>
      </c>
      <c r="I302" s="3" t="inlineStr">
        <is>
          <t>This is the single explicit conversion from contracted/attributed capacity to operationally usable capacity.</t>
        </is>
      </c>
      <c r="J302" s="3" t="inlineStr">
        <is>
          <t>ASSUMP_POWER_RAMP; SRC_META_MTIA_GENAI_2026</t>
        </is>
      </c>
      <c r="K302" s="3" t="inlineStr">
        <is>
          <t>ASSUMP_CONSUMER_AI_UTILIZATION; ASSUMP_POWER_RAMP; ASSUMP_NUMERIC_ACCELERATOR_MIX; ASSUMP_INFERENCE_SHARE_NOT_FACT_60; ASSUMP_WORKLOAD_CLASS_MIX; ASSUMP_AGENTIC_CONTEXT_PENALTY</t>
        </is>
      </c>
      <c r="L302" s="3" t="inlineStr">
        <is>
          <t>Energized operational capacity divided by contracted/attributed capacity.</t>
        </is>
      </c>
    </row>
    <row r="303">
      <c r="A303" s="3" t="inlineStr">
        <is>
          <t>Meta</t>
        </is>
      </c>
      <c r="B303" s="3" t="n">
        <v>2029</v>
      </c>
      <c r="C303" s="3" t="inlineStr">
        <is>
          <t>Bear</t>
        </is>
      </c>
      <c r="D303" s="3" t="inlineStr">
        <is>
          <t>active_power_gw</t>
        </is>
      </c>
      <c r="E303" s="3" t="n">
        <v>3.99</v>
      </c>
      <c r="F303" s="3" t="inlineStr">
        <is>
          <t>GW</t>
        </is>
      </c>
      <c r="G303" s="3" t="inlineStr">
        <is>
          <t>Derived scenario</t>
        </is>
      </c>
      <c r="H303" s="3" t="inlineStr">
        <is>
          <t>contracted_power_gw * operational_deployment_share</t>
        </is>
      </c>
      <c r="I303" s="3" t="inlineStr">
        <is>
          <t>MTIA deployment direction and consumer product distribution support active ramp, not exact powered GW.</t>
        </is>
      </c>
      <c r="J303" s="3" t="inlineStr">
        <is>
          <t>ASSUMP_POWER_RAMP; SRC_META_MTIA_GENAI_2026</t>
        </is>
      </c>
      <c r="K303" s="3" t="inlineStr">
        <is>
          <t>ASSUMP_CONSUMER_AI_UTILIZATION; ASSUMP_POWER_RAMP; ASSUMP_NUMERIC_ACCELERATOR_MIX; ASSUMP_INFERENCE_SHARE_NOT_FACT_60; ASSUMP_WORKLOAD_CLASS_MIX; ASSUMP_AGENTIC_CONTEXT_PENALTY</t>
        </is>
      </c>
      <c r="L303" s="3" t="inlineStr">
        <is>
          <t>Energization dates, accelerator deliveries and operational powered-rack telemetry.</t>
        </is>
      </c>
    </row>
    <row r="304">
      <c r="A304" s="3" t="inlineStr">
        <is>
          <t>Meta</t>
        </is>
      </c>
      <c r="B304" s="3" t="n">
        <v>2029</v>
      </c>
      <c r="C304" s="3" t="inlineStr">
        <is>
          <t>Bear</t>
        </is>
      </c>
      <c r="D304" s="3" t="inlineStr">
        <is>
          <t>pue</t>
        </is>
      </c>
      <c r="E304" s="3" t="n">
        <v>1.2</v>
      </c>
      <c r="F304" s="3" t="inlineStr">
        <is>
          <t>ratio</t>
        </is>
      </c>
      <c r="G304" s="3" t="inlineStr">
        <is>
          <t>Scenario parameter</t>
        </is>
      </c>
      <c r="H304" s="3" t="inlineStr">
        <is>
          <t>it_load_gw = active_power_gw / pue</t>
        </is>
      </c>
      <c r="I304" s="3" t="inlineStr">
        <is>
          <t>No provider-wide site-level PUE is used as a disclosed fact; PUE represents facility-to-IT conversion within the scenario.</t>
        </is>
      </c>
      <c r="J304" s="3" t="inlineStr">
        <is>
          <t>ASSUMP_POWER_RAMP</t>
        </is>
      </c>
      <c r="K304" s="3" t="inlineStr">
        <is>
          <t>ASSUMP_CONSUMER_AI_UTILIZATION; ASSUMP_POWER_RAMP; ASSUMP_NUMERIC_ACCELERATOR_MIX; ASSUMP_INFERENCE_SHARE_NOT_FACT_60; ASSUMP_WORKLOAD_CLASS_MIX; ASSUMP_AGENTIC_CONTEXT_PENALTY</t>
        </is>
      </c>
      <c r="L304" s="3" t="inlineStr">
        <is>
          <t>Site-level measured PUE matched to attributed AI capacity.</t>
        </is>
      </c>
    </row>
    <row r="305">
      <c r="A305" s="3" t="inlineStr">
        <is>
          <t>Meta</t>
        </is>
      </c>
      <c r="B305" s="3" t="n">
        <v>2029</v>
      </c>
      <c r="C305" s="3" t="inlineStr">
        <is>
          <t>Bear</t>
        </is>
      </c>
      <c r="D305" s="3" t="inlineStr">
        <is>
          <t>it_load_gw</t>
        </is>
      </c>
      <c r="E305" s="3" t="n">
        <v>3.325</v>
      </c>
      <c r="F305" s="3" t="inlineStr">
        <is>
          <t>GW</t>
        </is>
      </c>
      <c r="G305" s="3" t="inlineStr">
        <is>
          <t>Derived formula</t>
        </is>
      </c>
      <c r="H305" s="3" t="inlineStr">
        <is>
          <t>active_power_gw / pue</t>
        </is>
      </c>
      <c r="I305" s="3" t="inlineStr">
        <is>
          <t>Facility power is converted to IT-deliverable power before attributing AI workloads.</t>
        </is>
      </c>
      <c r="J305" s="3" t="inlineStr">
        <is>
          <t>ASSUMP_POWER_RAMP; SRC_META_MTIA_GENAI_2026</t>
        </is>
      </c>
      <c r="K305" s="3" t="inlineStr">
        <is>
          <t>ASSUMP_CONSUMER_AI_UTILIZATION; ASSUMP_POWER_RAMP; ASSUMP_NUMERIC_ACCELERATOR_MIX; ASSUMP_INFERENCE_SHARE_NOT_FACT_60; ASSUMP_WORKLOAD_CLASS_MIX; ASSUMP_AGENTIC_CONTEXT_PENALTY</t>
        </is>
      </c>
      <c r="L305" s="3" t="inlineStr">
        <is>
          <t>Recompute once active power and PUE become site-observable.</t>
        </is>
      </c>
    </row>
    <row r="306">
      <c r="A306" s="3" t="inlineStr">
        <is>
          <t>Meta</t>
        </is>
      </c>
      <c r="B306" s="3" t="n">
        <v>2029</v>
      </c>
      <c r="C306" s="3" t="inlineStr">
        <is>
          <t>Bear</t>
        </is>
      </c>
      <c r="D306" s="3" t="inlineStr">
        <is>
          <t>ai_workload_share</t>
        </is>
      </c>
      <c r="E306" s="3" t="n">
        <v>0.87</v>
      </c>
      <c r="F306" s="3" t="inlineStr">
        <is>
          <t>share</t>
        </is>
      </c>
      <c r="G306" s="3" t="inlineStr">
        <is>
          <t>Scenario allocation</t>
        </is>
      </c>
      <c r="H306" s="3" t="inlineStr">
        <is>
          <t>ai_it_load_gw = it_load_gw * ai_workload_share</t>
        </is>
      </c>
      <c r="I306" s="3" t="inlineStr">
        <is>
          <t>The modeled fleet is focused on AI workloads across Meta AI surfaces; non-LLM ranking/platform overhead is excluded through the 87% share.</t>
        </is>
      </c>
      <c r="J306" s="3" t="inlineStr">
        <is>
          <t>SRC_META_LLAMA; SRC_META_LLAMA4_NVIDIA; SRC_META_MTIA_GENAI_2026; SRC_EPOCH_AI_DATA_CENTERS</t>
        </is>
      </c>
      <c r="K306" s="3" t="inlineStr">
        <is>
          <t>ASSUMP_CONSUMER_AI_UTILIZATION; ASSUMP_POWER_RAMP; ASSUMP_NUMERIC_ACCELERATOR_MIX; ASSUMP_INFERENCE_SHARE_NOT_FACT_60; ASSUMP_WORKLOAD_CLASS_MIX; ASSUMP_AGENTIC_CONTEXT_PENALTY</t>
        </is>
      </c>
      <c r="L306" s="3" t="inlineStr">
        <is>
          <t>Model-owner AI workload allocation or cluster scheduling telemetry.</t>
        </is>
      </c>
    </row>
    <row r="307">
      <c r="A307" s="3" t="inlineStr">
        <is>
          <t>Meta</t>
        </is>
      </c>
      <c r="B307" s="3" t="n">
        <v>2029</v>
      </c>
      <c r="C307" s="3" t="inlineStr">
        <is>
          <t>Bear</t>
        </is>
      </c>
      <c r="D307" s="3" t="inlineStr">
        <is>
          <t>ai_it_load_gw</t>
        </is>
      </c>
      <c r="E307" s="3" t="n">
        <v>2.893</v>
      </c>
      <c r="F307" s="3" t="inlineStr">
        <is>
          <t>GW</t>
        </is>
      </c>
      <c r="G307" s="3" t="inlineStr">
        <is>
          <t>Derived formula</t>
        </is>
      </c>
      <c r="H307" s="3" t="inlineStr">
        <is>
          <t>it_load_gw * ai_workload_share</t>
        </is>
      </c>
      <c r="I307" s="3" t="inlineStr">
        <is>
          <t>Only the AI-attributed portion of IT load enters training/inference allocation.</t>
        </is>
      </c>
      <c r="J307" s="3" t="inlineStr">
        <is>
          <t>SRC_META_LLAMA; SRC_META_LLAMA4_NVIDIA; SRC_META_MTIA_GENAI_2026; SRC_EPOCH_AI_DATA_CENTERS</t>
        </is>
      </c>
      <c r="K307" s="3" t="inlineStr">
        <is>
          <t>ASSUMP_CONSUMER_AI_UTILIZATION; ASSUMP_POWER_RAMP; ASSUMP_NUMERIC_ACCELERATOR_MIX; ASSUMP_INFERENCE_SHARE_NOT_FACT_60; ASSUMP_WORKLOAD_CLASS_MIX; ASSUMP_AGENTIC_CONTEXT_PENALTY</t>
        </is>
      </c>
      <c r="L307" s="3" t="inlineStr">
        <is>
          <t>Recompute after ai_workload_share is replaced by telemetry.</t>
        </is>
      </c>
    </row>
    <row r="308">
      <c r="A308" s="3" t="inlineStr">
        <is>
          <t>Meta</t>
        </is>
      </c>
      <c r="B308" s="3" t="n">
        <v>2029</v>
      </c>
      <c r="C308" s="3" t="inlineStr">
        <is>
          <t>Bear</t>
        </is>
      </c>
      <c r="D308" s="3" t="inlineStr">
        <is>
          <t>gpu_share</t>
        </is>
      </c>
      <c r="E308" s="3" t="n">
        <v>0.612306</v>
      </c>
      <c r="F308" s="3" t="inlineStr">
        <is>
          <t>share of inference-serving accelerator load</t>
        </is>
      </c>
      <c r="G308" s="3" t="inlineStr">
        <is>
          <t>Numeric scenario</t>
        </is>
      </c>
      <c r="H308" s="3" t="inlineStr">
        <is>
          <t>gpu_share interpolated from company 2026/2030 accelerator-mix endpoints</t>
        </is>
      </c>
      <c r="I308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08" s="3" t="inlineStr">
        <is>
          <t>SRC_META_LLAMA; SRC_META_LLAMA4_NVIDIA; SRC_META_MTIA_GENAI_2026; SRC_EPOCH_AI_DATA_CENTERS; ASSUMP_NUMERIC_ACCELERATOR_MIX</t>
        </is>
      </c>
      <c r="K308" s="3" t="inlineStr">
        <is>
          <t>ASSUMP_CONSUMER_AI_UTILIZATION; ASSUMP_POWER_RAMP; ASSUMP_NUMERIC_ACCELERATOR_MIX; ASSUMP_INFERENCE_SHARE_NOT_FACT_60; ASSUMP_WORKLOAD_CLASS_MIX; ASSUMP_AGENTIC_CONTEXT_PENALTY</t>
        </is>
      </c>
      <c r="L308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09">
      <c r="A309" s="3" t="inlineStr">
        <is>
          <t>Meta</t>
        </is>
      </c>
      <c r="B309" s="3" t="n">
        <v>2029</v>
      </c>
      <c r="C309" s="3" t="inlineStr">
        <is>
          <t>Bear</t>
        </is>
      </c>
      <c r="D309" s="3" t="inlineStr">
        <is>
          <t>h200_share</t>
        </is>
      </c>
      <c r="E309" s="3" t="n">
        <v>0</v>
      </c>
      <c r="F309" s="3" t="inlineStr">
        <is>
          <t>share of inference-serving accelerator load</t>
        </is>
      </c>
      <c r="G309" s="3" t="inlineStr">
        <is>
          <t>Editable numeric scenario</t>
        </is>
      </c>
      <c r="H309" s="3" t="inlineStr">
        <is>
          <t>h200_share = gpu_share * default_gpu_generation_mix_h200</t>
        </is>
      </c>
      <c r="I309" s="3" t="inlineStr">
        <is>
          <t>Default GPU-generation migration assumption; executive workbook allows later manual replacement by company/year/scenario.</t>
        </is>
      </c>
      <c r="J309" s="3" t="inlineStr">
        <is>
          <t>SRC_SEMIANALYSIS_INFERENCEX; ASSUMP_NUMERIC_ACCELERATOR_MIX</t>
        </is>
      </c>
      <c r="K309" s="3" t="inlineStr">
        <is>
          <t>ASSUMP_CONSUMER_AI_UTILIZATION; ASSUMP_POWER_RAMP; ASSUMP_NUMERIC_ACCELERATOR_MIX; ASSUMP_INFERENCE_SHARE_NOT_FACT_60; ASSUMP_WORKLOAD_CLASS_MIX; ASSUMP_AGENTIC_CONTEXT_PENALTY</t>
        </is>
      </c>
      <c r="L309" s="3" t="inlineStr">
        <is>
          <t>Company fleet inventory, accelerator-hours or procurement/deployment records by GPU generation.</t>
        </is>
      </c>
    </row>
    <row r="310">
      <c r="A310" s="3" t="inlineStr">
        <is>
          <t>Meta</t>
        </is>
      </c>
      <c r="B310" s="3" t="n">
        <v>2029</v>
      </c>
      <c r="C310" s="3" t="inlineStr">
        <is>
          <t>Bear</t>
        </is>
      </c>
      <c r="D310" s="3" t="inlineStr">
        <is>
          <t>b200_share</t>
        </is>
      </c>
      <c r="E310" s="3" t="n">
        <v>0.612306</v>
      </c>
      <c r="F310" s="3" t="inlineStr">
        <is>
          <t>share of inference-serving accelerator load</t>
        </is>
      </c>
      <c r="G310" s="3" t="inlineStr">
        <is>
          <t>Editable numeric scenario</t>
        </is>
      </c>
      <c r="H310" s="3" t="inlineStr">
        <is>
          <t>b200_share = gpu_share * default_gpu_generation_mix_b200</t>
        </is>
      </c>
      <c r="I310" s="3" t="inlineStr">
        <is>
          <t>Default GPU-generation migration assumption; executive workbook allows later manual replacement by company/year/scenario.</t>
        </is>
      </c>
      <c r="J310" s="3" t="inlineStr">
        <is>
          <t>SRC_SEMIANALYSIS_INFERENCEX; ASSUMP_NUMERIC_ACCELERATOR_MIX</t>
        </is>
      </c>
      <c r="K310" s="3" t="inlineStr">
        <is>
          <t>ASSUMP_CONSUMER_AI_UTILIZATION; ASSUMP_POWER_RAMP; ASSUMP_NUMERIC_ACCELERATOR_MIX; ASSUMP_INFERENCE_SHARE_NOT_FACT_60; ASSUMP_WORKLOAD_CLASS_MIX; ASSUMP_AGENTIC_CONTEXT_PENALTY</t>
        </is>
      </c>
      <c r="L310" s="3" t="inlineStr">
        <is>
          <t>Company fleet inventory, accelerator-hours or procurement/deployment records by GPU generation.</t>
        </is>
      </c>
    </row>
    <row r="311">
      <c r="A311" s="3" t="inlineStr">
        <is>
          <t>Meta</t>
        </is>
      </c>
      <c r="B311" s="3" t="n">
        <v>2029</v>
      </c>
      <c r="C311" s="3" t="inlineStr">
        <is>
          <t>Bear</t>
        </is>
      </c>
      <c r="D311" s="3" t="inlineStr">
        <is>
          <t>gb200_share</t>
        </is>
      </c>
      <c r="E311" s="3" t="n">
        <v>0</v>
      </c>
      <c r="F311" s="3" t="inlineStr">
        <is>
          <t>share of inference-serving accelerator load</t>
        </is>
      </c>
      <c r="G311" s="3" t="inlineStr">
        <is>
          <t>Editable numeric scenario</t>
        </is>
      </c>
      <c r="H311" s="3" t="inlineStr">
        <is>
          <t>gb200_share = gpu_share * default_gpu_generation_mix_gb200</t>
        </is>
      </c>
      <c r="I311" s="3" t="inlineStr">
        <is>
          <t>Default GPU-generation migration assumption; executive workbook allows later manual replacement by company/year/scenario.</t>
        </is>
      </c>
      <c r="J311" s="3" t="inlineStr">
        <is>
          <t>SRC_SEMIANALYSIS_INFERENCEX; ASSUMP_NUMERIC_ACCELERATOR_MIX</t>
        </is>
      </c>
      <c r="K311" s="3" t="inlineStr">
        <is>
          <t>ASSUMP_CONSUMER_AI_UTILIZATION; ASSUMP_POWER_RAMP; ASSUMP_NUMERIC_ACCELERATOR_MIX; ASSUMP_INFERENCE_SHARE_NOT_FACT_60; ASSUMP_WORKLOAD_CLASS_MIX; ASSUMP_AGENTIC_CONTEXT_PENALTY</t>
        </is>
      </c>
      <c r="L311" s="3" t="inlineStr">
        <is>
          <t>Company fleet inventory, accelerator-hours or procurement/deployment records by GPU generation.</t>
        </is>
      </c>
    </row>
    <row r="312">
      <c r="A312" s="3" t="inlineStr">
        <is>
          <t>Meta</t>
        </is>
      </c>
      <c r="B312" s="3" t="n">
        <v>2029</v>
      </c>
      <c r="C312" s="3" t="inlineStr">
        <is>
          <t>Bear</t>
        </is>
      </c>
      <c r="D312" s="3" t="inlineStr">
        <is>
          <t>purpose_built_accelerator_share</t>
        </is>
      </c>
      <c r="E312" s="3" t="n">
        <v>0.387694</v>
      </c>
      <c r="F312" s="3" t="inlineStr">
        <is>
          <t>share of inference-serving accelerator load</t>
        </is>
      </c>
      <c r="G312" s="3" t="inlineStr">
        <is>
          <t>Numeric scenario</t>
        </is>
      </c>
      <c r="H312" s="3" t="inlineStr">
        <is>
          <t>1 - gpu_share</t>
        </is>
      </c>
      <c r="I312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12" s="3" t="inlineStr">
        <is>
          <t>SRC_META_LLAMA; SRC_META_LLAMA4_NVIDIA; SRC_META_MTIA_GENAI_2026; SRC_EPOCH_AI_DATA_CENTERS; ASSUMP_NUMERIC_ACCELERATOR_MIX</t>
        </is>
      </c>
      <c r="K312" s="3" t="inlineStr">
        <is>
          <t>ASSUMP_CONSUMER_AI_UTILIZATION; ASSUMP_POWER_RAMP; ASSUMP_NUMERIC_ACCELERATOR_MIX; ASSUMP_INFERENCE_SHARE_NOT_FACT_60; ASSUMP_WORKLOAD_CLASS_MIX; ASSUMP_AGENTIC_CONTEXT_PENALTY</t>
        </is>
      </c>
      <c r="L312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13">
      <c r="A313" s="3" t="inlineStr">
        <is>
          <t>Meta</t>
        </is>
      </c>
      <c r="B313" s="3" t="n">
        <v>2029</v>
      </c>
      <c r="C313" s="3" t="inlineStr">
        <is>
          <t>Bear</t>
        </is>
      </c>
      <c r="D313" s="3" t="inlineStr">
        <is>
          <t>fleet_reference_tps_per_mw</t>
        </is>
      </c>
      <c r="E313" s="3" t="n">
        <v>941060</v>
      </c>
      <c r="F313" s="3" t="inlineStr">
        <is>
          <t>generated output tokens/sec/MW</t>
        </is>
      </c>
      <c r="G313" s="3" t="inlineStr">
        <is>
          <t>Fleet-weighted public benchmark reference</t>
        </is>
      </c>
      <c r="H313" s="3" t="inlineStr">
        <is>
          <t>h200_share*h200_workload_avg + b200_share*b200_workload_avg + gb200_share*gb200_workload_avg + purpose_built_share*purpose_workload_avg</t>
        </is>
      </c>
      <c r="I31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13" s="3" t="inlineStr">
        <is>
          <t>SRC_SEMIANALYSIS_INFERENCEX; ASSUMP_NUMERIC_ACCELERATOR_MIX; ASSUMP_WORKLOAD_CLASS_MIX; ASSUMP_AGENTIC_CONTEXT_PENALTY</t>
        </is>
      </c>
      <c r="K313" s="3" t="inlineStr">
        <is>
          <t>ASSUMP_CONSUMER_AI_UTILIZATION; ASSUMP_POWER_RAMP; ASSUMP_NUMERIC_ACCELERATOR_MIX; ASSUMP_INFERENCE_SHARE_NOT_FACT_60; ASSUMP_WORKLOAD_CLASS_MIX; ASSUMP_AGENTIC_CONTEXT_PENALTY</t>
        </is>
      </c>
      <c r="L313" s="3" t="inlineStr">
        <is>
          <t>Comparable production output-token throughput or a more closely matched benchmark.</t>
        </is>
      </c>
    </row>
    <row r="314">
      <c r="A314" s="3" t="inlineStr">
        <is>
          <t>Meta</t>
        </is>
      </c>
      <c r="B314" s="3" t="n">
        <v>2029</v>
      </c>
      <c r="C314" s="3" t="inlineStr">
        <is>
          <t>Bear</t>
        </is>
      </c>
      <c r="D314" s="3" t="inlineStr">
        <is>
          <t>commercial_workload_fit_factor</t>
        </is>
      </c>
      <c r="E314" s="3" t="n">
        <v>0.75</v>
      </c>
      <c r="F314" s="3" t="inlineStr">
        <is>
          <t>share of public reference throughput</t>
        </is>
      </c>
      <c r="G314" s="3" t="inlineStr">
        <is>
          <t>Scenario assumption</t>
        </is>
      </c>
      <c r="H314" s="3" t="inlineStr">
        <is>
          <t>reference_serving_tps_per_mw = fleet_reference_tps_per_mw * commercial_workload_fit_factor</t>
        </is>
      </c>
      <c r="I31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14" s="3" t="inlineStr">
        <is>
          <t>SRC_SEMIANALYSIS_INFERENCEX; ASSUMP_NUMERIC_ACCELERATOR_MIX; ASSUMP_WORKLOAD_CLASS_MIX; ASSUMP_AGENTIC_CONTEXT_PENALTY</t>
        </is>
      </c>
      <c r="K314" s="3" t="inlineStr">
        <is>
          <t>ASSUMP_CONSUMER_AI_UTILIZATION; ASSUMP_POWER_RAMP; ASSUMP_NUMERIC_ACCELERATOR_MIX; ASSUMP_INFERENCE_SHARE_NOT_FACT_60; ASSUMP_WORKLOAD_CLASS_MIX; ASSUMP_AGENTIC_CONTEXT_PENALTY</t>
        </is>
      </c>
      <c r="L314" s="3" t="inlineStr">
        <is>
          <t>Matched commercial serving benchmark by product surface, context shape and latency SLO.</t>
        </is>
      </c>
    </row>
    <row r="315">
      <c r="A315" s="3" t="inlineStr">
        <is>
          <t>Meta</t>
        </is>
      </c>
      <c r="B315" s="3" t="n">
        <v>2029</v>
      </c>
      <c r="C315" s="3" t="inlineStr">
        <is>
          <t>Bear</t>
        </is>
      </c>
      <c r="D315" s="3" t="inlineStr">
        <is>
          <t>reference_serving_tps_per_mw</t>
        </is>
      </c>
      <c r="E315" s="3" t="n">
        <v>705795</v>
      </c>
      <c r="F315" s="3" t="inlineStr">
        <is>
          <t>generated output tokens/sec/MW</t>
        </is>
      </c>
      <c r="G315" s="3" t="inlineStr">
        <is>
          <t>Workload-adjusted benchmark proxy</t>
        </is>
      </c>
      <c r="H315" s="3" t="inlineStr">
        <is>
          <t>fleet_reference_tps_per_mw * commercial_workload_fit_factor</t>
        </is>
      </c>
      <c r="I315" s="3" t="inlineStr">
        <is>
          <t>This is the coefficient used for headline token generation; each GPU's short chat, long chat and agentic TPS/MW are weighted before fleet mix and commercial fit are applied.</t>
        </is>
      </c>
      <c r="J315" s="3" t="inlineStr">
        <is>
          <t>SRC_SEMIANALYSIS_INFERENCEX; ASSUMP_NUMERIC_ACCELERATOR_MIX; ASSUMP_WORKLOAD_CLASS_MIX; ASSUMP_AGENTIC_CONTEXT_PENALTY</t>
        </is>
      </c>
      <c r="K315" s="3" t="inlineStr">
        <is>
          <t>ASSUMP_CONSUMER_AI_UTILIZATION; ASSUMP_POWER_RAMP; ASSUMP_NUMERIC_ACCELERATOR_MIX; ASSUMP_INFERENCE_SHARE_NOT_FACT_60; ASSUMP_WORKLOAD_CLASS_MIX; ASSUMP_AGENTIC_CONTEXT_PENALTY</t>
        </is>
      </c>
      <c r="L315" s="3" t="inlineStr">
        <is>
          <t>Provider production output-token throughput with comparable workload/SLO.</t>
        </is>
      </c>
    </row>
    <row r="316">
      <c r="A316" s="3" t="inlineStr">
        <is>
          <t>Meta</t>
        </is>
      </c>
      <c r="B316" s="3" t="n">
        <v>2029</v>
      </c>
      <c r="C316" s="3" t="inlineStr">
        <is>
          <t>Bear</t>
        </is>
      </c>
      <c r="D316" s="3" t="inlineStr">
        <is>
          <t>purpose_built_tps_per_mw</t>
        </is>
      </c>
      <c r="E316" s="3" t="n">
        <v>921386</v>
      </c>
      <c r="F316" s="3" t="inlineStr">
        <is>
          <t>generated output tokens/sec/MW</t>
        </is>
      </c>
      <c r="G316" s="3" t="inlineStr">
        <is>
          <t>Conservative no-uplift proxy</t>
        </is>
      </c>
      <c r="H316" s="3" t="inlineStr">
        <is>
          <t>purpose_built_tps_per_mw = purpose_built_reference_tps_per_mw * commercial_workload_fit_factor until comparable output-token benchmark is adopted</t>
        </is>
      </c>
      <c r="I316" s="3" t="inlineStr">
        <is>
          <t>No comparable public output-token/MW row adopted; B200 public reference placeholder is used and remains editable.</t>
        </is>
      </c>
      <c r="J316" s="3" t="inlineStr">
        <is>
          <t>SRC_META_LLAMA; SRC_META_LLAMA4_NVIDIA; SRC_META_MTIA_GENAI_2026; SRC_EPOCH_AI_DATA_CENTERS; ASSUMP_NUMERIC_ACCELERATOR_MIX</t>
        </is>
      </c>
      <c r="K316" s="3" t="inlineStr">
        <is>
          <t>ASSUMP_CONSUMER_AI_UTILIZATION; ASSUMP_POWER_RAMP; ASSUMP_NUMERIC_ACCELERATOR_MIX; ASSUMP_INFERENCE_SHARE_NOT_FACT_60; ASSUMP_WORKLOAD_CLASS_MIX; ASSUMP_AGENTIC_CONTEXT_PENALTY</t>
        </is>
      </c>
      <c r="L316" s="3" t="inlineStr">
        <is>
          <t>Matched-workload generated-output benchmark for the provider purpose-built accelerator.</t>
        </is>
      </c>
    </row>
    <row r="317">
      <c r="A317" s="3" t="inlineStr">
        <is>
          <t>Meta</t>
        </is>
      </c>
      <c r="B317" s="3" t="n">
        <v>2029</v>
      </c>
      <c r="C317" s="3" t="inlineStr">
        <is>
          <t>Bear</t>
        </is>
      </c>
      <c r="D317" s="3" t="inlineStr">
        <is>
          <t>inference_power_share</t>
        </is>
      </c>
      <c r="E317" s="3" t="n">
        <v>0.635</v>
      </c>
      <c r="F317" s="3" t="inlineStr">
        <is>
          <t>share of AI IT load</t>
        </is>
      </c>
      <c r="G317" s="3" t="inlineStr">
        <is>
          <t>Scenario allocation</t>
        </is>
      </c>
      <c r="H317" s="3" t="inlineStr">
        <is>
          <t>inference_gw = ai_it_load_gw * inference_power_share</t>
        </is>
      </c>
      <c r="I317" s="3" t="inlineStr">
        <is>
          <t>Large consumer AI distribution and inference-first MTIA roadmap support a higher inference share scenario.</t>
        </is>
      </c>
      <c r="J317" s="3" t="inlineStr">
        <is>
          <t>SRC_META_LLAMA; SRC_META_LLAMA4_NVIDIA; SRC_META_MTIA_GENAI_2026; SRC_EPOCH_AI_DATA_CENTERS; ASSUMP_INFERENCE_SHARE_NOT_FACT_60</t>
        </is>
      </c>
      <c r="K317" s="3" t="inlineStr">
        <is>
          <t>ASSUMP_CONSUMER_AI_UTILIZATION; ASSUMP_POWER_RAMP; ASSUMP_NUMERIC_ACCELERATOR_MIX; ASSUMP_INFERENCE_SHARE_NOT_FACT_60; ASSUMP_WORKLOAD_CLASS_MIX; ASSUMP_AGENTIC_CONTEXT_PENALTY</t>
        </is>
      </c>
      <c r="L317" s="3" t="inlineStr">
        <is>
          <t>Provider-specific inference/training workload power telemetry.</t>
        </is>
      </c>
    </row>
    <row r="318">
      <c r="A318" s="3" t="inlineStr">
        <is>
          <t>Meta</t>
        </is>
      </c>
      <c r="B318" s="3" t="n">
        <v>2029</v>
      </c>
      <c r="C318" s="3" t="inlineStr">
        <is>
          <t>Bear</t>
        </is>
      </c>
      <c r="D318" s="3" t="inlineStr">
        <is>
          <t>inference_gw</t>
        </is>
      </c>
      <c r="E318" s="3" t="n">
        <v>1.837</v>
      </c>
      <c r="F318" s="3" t="inlineStr">
        <is>
          <t>GW</t>
        </is>
      </c>
      <c r="G318" s="3" t="inlineStr">
        <is>
          <t>Derived formula</t>
        </is>
      </c>
      <c r="H318" s="3" t="inlineStr">
        <is>
          <t>ai_it_load_gw * inference_power_share</t>
        </is>
      </c>
      <c r="I318" s="3" t="inlineStr">
        <is>
          <t>This is the operational power eligible to become commercial generated output tokens through the selected TPS/MW proxy.</t>
        </is>
      </c>
      <c r="J318" s="3" t="inlineStr">
        <is>
          <t>SRC_META_LLAMA; SRC_META_LLAMA4_NVIDIA; SRC_META_MTIA_GENAI_2026; SRC_EPOCH_AI_DATA_CENTERS</t>
        </is>
      </c>
      <c r="K318" s="3" t="inlineStr">
        <is>
          <t>ASSUMP_CONSUMER_AI_UTILIZATION; ASSUMP_POWER_RAMP; ASSUMP_NUMERIC_ACCELERATOR_MIX; ASSUMP_INFERENCE_SHARE_NOT_FACT_60; ASSUMP_WORKLOAD_CLASS_MIX; ASSUMP_AGENTIC_CONTEXT_PENALTY</t>
        </is>
      </c>
      <c r="L318" s="3" t="inlineStr">
        <is>
          <t>Recompute after AI allocation or inference-share evidence changes.</t>
        </is>
      </c>
    </row>
    <row r="319">
      <c r="A319" s="3" t="inlineStr">
        <is>
          <t>Meta</t>
        </is>
      </c>
      <c r="B319" s="3" t="n">
        <v>2029</v>
      </c>
      <c r="C319" s="3" t="inlineStr">
        <is>
          <t>Bear</t>
        </is>
      </c>
      <c r="D319" s="3" t="inlineStr">
        <is>
          <t>training_power_share</t>
        </is>
      </c>
      <c r="E319" s="3" t="n">
        <v>0.365</v>
      </c>
      <c r="F319" s="3" t="inlineStr">
        <is>
          <t>share of AI IT load</t>
        </is>
      </c>
      <c r="G319" s="3" t="inlineStr">
        <is>
          <t>Derived allocation</t>
        </is>
      </c>
      <c r="H319" s="3" t="inlineStr">
        <is>
          <t>1 - inference_power_share</t>
        </is>
      </c>
      <c r="I319" s="3" t="inlineStr">
        <is>
          <t>Training receives the complementary modeled AI IT allocation; it is not a disclosed company workload split.</t>
        </is>
      </c>
      <c r="J319" s="3" t="inlineStr">
        <is>
          <t>SRC_META_LLAMA; SRC_META_LLAMA4_NVIDIA; SRC_META_MTIA_GENAI_2026; SRC_EPOCH_AI_DATA_CENTERS; ASSUMP_INFERENCE_SHARE_NOT_FACT_60</t>
        </is>
      </c>
      <c r="K319" s="3" t="inlineStr">
        <is>
          <t>ASSUMP_CONSUMER_AI_UTILIZATION; ASSUMP_POWER_RAMP; ASSUMP_NUMERIC_ACCELERATOR_MIX; ASSUMP_INFERENCE_SHARE_NOT_FACT_60; ASSUMP_WORKLOAD_CLASS_MIX; ASSUMP_AGENTIC_CONTEXT_PENALTY</t>
        </is>
      </c>
      <c r="L319" s="3" t="inlineStr">
        <is>
          <t>Provider-specific inference/training workload power telemetry.</t>
        </is>
      </c>
    </row>
    <row r="320">
      <c r="A320" s="3" t="inlineStr">
        <is>
          <t>Meta</t>
        </is>
      </c>
      <c r="B320" s="3" t="n">
        <v>2029</v>
      </c>
      <c r="C320" s="3" t="inlineStr">
        <is>
          <t>Bear</t>
        </is>
      </c>
      <c r="D320" s="3" t="inlineStr">
        <is>
          <t>training_gw</t>
        </is>
      </c>
      <c r="E320" s="3" t="n">
        <v>1.056</v>
      </c>
      <c r="F320" s="3" t="inlineStr">
        <is>
          <t>GW</t>
        </is>
      </c>
      <c r="G320" s="3" t="inlineStr">
        <is>
          <t>Derived formula</t>
        </is>
      </c>
      <c r="H320" s="3" t="inlineStr">
        <is>
          <t>ai_it_load_gw * training_power_share</t>
        </is>
      </c>
      <c r="I320" s="3" t="inlineStr">
        <is>
          <t>Training GW is shown separately so commercial inference token capacity is not overstated.</t>
        </is>
      </c>
      <c r="J320" s="3" t="inlineStr">
        <is>
          <t>SRC_META_LLAMA; SRC_META_LLAMA4_NVIDIA; SRC_META_MTIA_GENAI_2026; SRC_EPOCH_AI_DATA_CENTERS</t>
        </is>
      </c>
      <c r="K320" s="3" t="inlineStr">
        <is>
          <t>ASSUMP_CONSUMER_AI_UTILIZATION; ASSUMP_POWER_RAMP; ASSUMP_NUMERIC_ACCELERATOR_MIX; ASSUMP_INFERENCE_SHARE_NOT_FACT_60; ASSUMP_WORKLOAD_CLASS_MIX; ASSUMP_AGENTIC_CONTEXT_PENALTY</t>
        </is>
      </c>
      <c r="L320" s="3" t="inlineStr">
        <is>
          <t>Recompute after AI allocation or workload-split evidence changes.</t>
        </is>
      </c>
    </row>
    <row r="321">
      <c r="A321" s="3" t="inlineStr">
        <is>
          <t>Meta</t>
        </is>
      </c>
      <c r="B321" s="3" t="n">
        <v>2029</v>
      </c>
      <c r="C321" s="3" t="inlineStr">
        <is>
          <t>Bear</t>
        </is>
      </c>
      <c r="D321" s="3" t="inlineStr">
        <is>
          <t>tokens_per_second_per_mw</t>
        </is>
      </c>
      <c r="E321" s="3" t="n">
        <v>705795</v>
      </c>
      <c r="F321" s="3" t="inlineStr">
        <is>
          <t>generated output tokens/sec/MW</t>
        </is>
      </c>
      <c r="G321" s="3" t="inlineStr">
        <is>
          <t>Derived estimate + benchmark calibration</t>
        </is>
      </c>
      <c r="H321" s="3" t="inlineStr">
        <is>
          <t>fleet_reference_tps_per_mw * commercial_workload_fit_factor</t>
        </is>
      </c>
      <c r="I32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21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21" s="3" t="inlineStr">
        <is>
          <t>ASSUMP_CONSUMER_AI_UTILIZATION; ASSUMP_POWER_RAMP; ASSUMP_NUMERIC_ACCELERATOR_MIX; ASSUMP_INFERENCE_SHARE_NOT_FACT_60; ASSUMP_WORKLOAD_CLASS_MIX; ASSUMP_AGENTIC_CONTEXT_PENALTY</t>
        </is>
      </c>
      <c r="L321" s="3" t="inlineStr">
        <is>
          <t>Comparable production output-token throughput with model, hardware, precision, ISL/OSL and SLO matched.</t>
        </is>
      </c>
    </row>
    <row r="322">
      <c r="A322" s="3" t="inlineStr">
        <is>
          <t>Meta</t>
        </is>
      </c>
      <c r="B322" s="3" t="n">
        <v>2029</v>
      </c>
      <c r="C322" s="3" t="inlineStr">
        <is>
          <t>Bear</t>
        </is>
      </c>
      <c r="D322" s="3" t="inlineStr">
        <is>
          <t>inference_tokens_per_day</t>
        </is>
      </c>
      <c r="E322" s="3" t="n">
        <v>112021523856000</v>
      </c>
      <c r="F322" s="3" t="inlineStr">
        <is>
          <t>generated output tokens/day</t>
        </is>
      </c>
      <c r="G322" s="3" t="inlineStr">
        <is>
          <t>Derived headline metric</t>
        </is>
      </c>
      <c r="H322" s="3" t="inlineStr">
        <is>
          <t>inference_gw * 1000 * tokens_per_second_per_mw * 86,400</t>
        </is>
      </c>
      <c r="I322" s="3" t="inlineStr">
        <is>
          <t>Headline capacity uses no utilization, MoE, architecture or software-growth multiplier; it is not observed commercial output volume.</t>
        </is>
      </c>
      <c r="J322" s="3" t="inlineStr">
        <is>
          <t>SRC_META_LLAMA; SRC_META_LLAMA4_NVIDIA; SRC_META_MTIA_GENAI_2026; SRC_EPOCH_AI_DATA_CENTERS; SRC_SEMIANALYSIS_INFERENCEX</t>
        </is>
      </c>
      <c r="K322" s="3" t="inlineStr">
        <is>
          <t>ASSUMP_CONSUMER_AI_UTILIZATION; ASSUMP_POWER_RAMP; ASSUMP_NUMERIC_ACCELERATOR_MIX; ASSUMP_INFERENCE_SHARE_NOT_FACT_60; ASSUMP_WORKLOAD_CLASS_MIX; ASSUMP_AGENTIC_CONTEXT_PENALTY</t>
        </is>
      </c>
      <c r="L322" s="3" t="inlineStr">
        <is>
          <t>Provider-disclosed generated output token volume or calibrated capacity telemetry.</t>
        </is>
      </c>
    </row>
    <row r="323">
      <c r="A323" s="3" t="inlineStr">
        <is>
          <t>Meta</t>
        </is>
      </c>
      <c r="B323" s="3" t="n">
        <v>2029</v>
      </c>
      <c r="C323" s="3" t="inlineStr">
        <is>
          <t>Bear</t>
        </is>
      </c>
      <c r="D323" s="3" t="inlineStr">
        <is>
          <t>inference_tokens_per_year</t>
        </is>
      </c>
      <c r="E323" s="3" t="n">
        <v>4.088785620744e+16</v>
      </c>
      <c r="F323" s="3" t="inlineStr">
        <is>
          <t>generated output tokens/year</t>
        </is>
      </c>
      <c r="G323" s="3" t="inlineStr">
        <is>
          <t>Derived headline metric</t>
        </is>
      </c>
      <c r="H323" s="3" t="inlineStr">
        <is>
          <t>inference_tokens_per_day * 365</t>
        </is>
      </c>
      <c r="I323" s="3" t="inlineStr">
        <is>
          <t>Annualized version of generated output token capacity; it is not observed annual demand or billable volume.</t>
        </is>
      </c>
      <c r="J323" s="3" t="inlineStr">
        <is>
          <t>SRC_META_LLAMA; SRC_META_LLAMA4_NVIDIA; SRC_META_MTIA_GENAI_2026; SRC_EPOCH_AI_DATA_CENTERS; SRC_SEMIANALYSIS_INFERENCEX</t>
        </is>
      </c>
      <c r="K323" s="3" t="inlineStr">
        <is>
          <t>ASSUMP_CONSUMER_AI_UTILIZATION; ASSUMP_POWER_RAMP; ASSUMP_NUMERIC_ACCELERATOR_MIX; ASSUMP_INFERENCE_SHARE_NOT_FACT_60; ASSUMP_WORKLOAD_CLASS_MIX; ASSUMP_AGENTIC_CONTEXT_PENALTY</t>
        </is>
      </c>
      <c r="L323" s="3" t="inlineStr">
        <is>
          <t>Provider-disclosed annual generated-output volume or metered serving telemetry.</t>
        </is>
      </c>
    </row>
    <row r="324">
      <c r="A324" s="3" t="inlineStr">
        <is>
          <t>Meta</t>
        </is>
      </c>
      <c r="B324" s="3" t="n">
        <v>2030</v>
      </c>
      <c r="C324" s="3" t="inlineStr">
        <is>
          <t>Bear</t>
        </is>
      </c>
      <c r="D324" s="3" t="inlineStr">
        <is>
          <t>contracted_power_gw</t>
        </is>
      </c>
      <c r="E324" s="3" t="n">
        <v>7</v>
      </c>
      <c r="F324" s="3" t="inlineStr">
        <is>
          <t>GW</t>
        </is>
      </c>
      <c r="G324" s="3" t="inlineStr">
        <is>
          <t>Scenario capacity envelope</t>
        </is>
      </c>
      <c r="H324" s="3" t="inlineStr">
        <is>
          <t>linear interpolation between 2026 and 2030 company capacity endpoints</t>
        </is>
      </c>
      <c r="I324" s="3" t="inlineStr">
        <is>
          <t>Scenario envelope for Meta AI/Llama serving capacity; not an official contracted-GW figure.</t>
        </is>
      </c>
      <c r="J324" s="3" t="inlineStr">
        <is>
          <t>ASSUMP_POWER_RAMP; SRC_META_MTIA_GENAI_2026</t>
        </is>
      </c>
      <c r="K324" s="3" t="inlineStr">
        <is>
          <t>ASSUMP_CONSUMER_AI_UTILIZATION; ASSUMP_POWER_RAMP; ASSUMP_NUMERIC_ACCELERATOR_MIX; ASSUMP_INFERENCE_SHARE_NOT_FACT_60; ASSUMP_WORKLOAD_CLASS_MIX; ASSUMP_AGENTIC_CONTEXT_PENALTY</t>
        </is>
      </c>
      <c r="L324" s="3" t="inlineStr">
        <is>
          <t>Company/site-level committed MW/GW, interconnect and contract disclosure.</t>
        </is>
      </c>
    </row>
    <row r="325">
      <c r="A325" s="3" t="inlineStr">
        <is>
          <t>Meta</t>
        </is>
      </c>
      <c r="B325" s="3" t="n">
        <v>2030</v>
      </c>
      <c r="C325" s="3" t="inlineStr">
        <is>
          <t>Bear</t>
        </is>
      </c>
      <c r="D325" s="3" t="inlineStr">
        <is>
          <t>operational_deployment_share</t>
        </is>
      </c>
      <c r="E325" s="3" t="n">
        <v>0.67942857</v>
      </c>
      <c r="F325" s="3" t="inlineStr">
        <is>
          <t>share</t>
        </is>
      </c>
      <c r="G325" s="3" t="inlineStr">
        <is>
          <t>Scenario conversion</t>
        </is>
      </c>
      <c r="H325" s="3" t="inlineStr">
        <is>
          <t>active_power_gw / contracted_power_gw</t>
        </is>
      </c>
      <c r="I325" s="3" t="inlineStr">
        <is>
          <t>This is the single explicit conversion from contracted/attributed capacity to operationally usable capacity.</t>
        </is>
      </c>
      <c r="J325" s="3" t="inlineStr">
        <is>
          <t>ASSUMP_POWER_RAMP; SRC_META_MTIA_GENAI_2026</t>
        </is>
      </c>
      <c r="K325" s="3" t="inlineStr">
        <is>
          <t>ASSUMP_CONSUMER_AI_UTILIZATION; ASSUMP_POWER_RAMP; ASSUMP_NUMERIC_ACCELERATOR_MIX; ASSUMP_INFERENCE_SHARE_NOT_FACT_60; ASSUMP_WORKLOAD_CLASS_MIX; ASSUMP_AGENTIC_CONTEXT_PENALTY</t>
        </is>
      </c>
      <c r="L325" s="3" t="inlineStr">
        <is>
          <t>Energized operational capacity divided by contracted/attributed capacity.</t>
        </is>
      </c>
    </row>
    <row r="326">
      <c r="A326" s="3" t="inlineStr">
        <is>
          <t>Meta</t>
        </is>
      </c>
      <c r="B326" s="3" t="n">
        <v>2030</v>
      </c>
      <c r="C326" s="3" t="inlineStr">
        <is>
          <t>Bear</t>
        </is>
      </c>
      <c r="D326" s="3" t="inlineStr">
        <is>
          <t>active_power_gw</t>
        </is>
      </c>
      <c r="E326" s="3" t="n">
        <v>4.756</v>
      </c>
      <c r="F326" s="3" t="inlineStr">
        <is>
          <t>GW</t>
        </is>
      </c>
      <c r="G326" s="3" t="inlineStr">
        <is>
          <t>Derived scenario</t>
        </is>
      </c>
      <c r="H326" s="3" t="inlineStr">
        <is>
          <t>contracted_power_gw * operational_deployment_share</t>
        </is>
      </c>
      <c r="I326" s="3" t="inlineStr">
        <is>
          <t>MTIA deployment direction and consumer product distribution support active ramp, not exact powered GW.</t>
        </is>
      </c>
      <c r="J326" s="3" t="inlineStr">
        <is>
          <t>ASSUMP_POWER_RAMP; SRC_META_MTIA_GENAI_2026</t>
        </is>
      </c>
      <c r="K326" s="3" t="inlineStr">
        <is>
          <t>ASSUMP_CONSUMER_AI_UTILIZATION; ASSUMP_POWER_RAMP; ASSUMP_NUMERIC_ACCELERATOR_MIX; ASSUMP_INFERENCE_SHARE_NOT_FACT_60; ASSUMP_WORKLOAD_CLASS_MIX; ASSUMP_AGENTIC_CONTEXT_PENALTY</t>
        </is>
      </c>
      <c r="L326" s="3" t="inlineStr">
        <is>
          <t>Energization dates, accelerator deliveries and operational powered-rack telemetry.</t>
        </is>
      </c>
    </row>
    <row r="327">
      <c r="A327" s="3" t="inlineStr">
        <is>
          <t>Meta</t>
        </is>
      </c>
      <c r="B327" s="3" t="n">
        <v>2030</v>
      </c>
      <c r="C327" s="3" t="inlineStr">
        <is>
          <t>Bear</t>
        </is>
      </c>
      <c r="D327" s="3" t="inlineStr">
        <is>
          <t>pue</t>
        </is>
      </c>
      <c r="E327" s="3" t="n">
        <v>1.2</v>
      </c>
      <c r="F327" s="3" t="inlineStr">
        <is>
          <t>ratio</t>
        </is>
      </c>
      <c r="G327" s="3" t="inlineStr">
        <is>
          <t>Scenario parameter</t>
        </is>
      </c>
      <c r="H327" s="3" t="inlineStr">
        <is>
          <t>it_load_gw = active_power_gw / pue</t>
        </is>
      </c>
      <c r="I327" s="3" t="inlineStr">
        <is>
          <t>No provider-wide site-level PUE is used as a disclosed fact; PUE represents facility-to-IT conversion within the scenario.</t>
        </is>
      </c>
      <c r="J327" s="3" t="inlineStr">
        <is>
          <t>ASSUMP_POWER_RAMP</t>
        </is>
      </c>
      <c r="K327" s="3" t="inlineStr">
        <is>
          <t>ASSUMP_CONSUMER_AI_UTILIZATION; ASSUMP_POWER_RAMP; ASSUMP_NUMERIC_ACCELERATOR_MIX; ASSUMP_INFERENCE_SHARE_NOT_FACT_60; ASSUMP_WORKLOAD_CLASS_MIX; ASSUMP_AGENTIC_CONTEXT_PENALTY</t>
        </is>
      </c>
      <c r="L327" s="3" t="inlineStr">
        <is>
          <t>Site-level measured PUE matched to attributed AI capacity.</t>
        </is>
      </c>
    </row>
    <row r="328">
      <c r="A328" s="3" t="inlineStr">
        <is>
          <t>Meta</t>
        </is>
      </c>
      <c r="B328" s="3" t="n">
        <v>2030</v>
      </c>
      <c r="C328" s="3" t="inlineStr">
        <is>
          <t>Bear</t>
        </is>
      </c>
      <c r="D328" s="3" t="inlineStr">
        <is>
          <t>it_load_gw</t>
        </is>
      </c>
      <c r="E328" s="3" t="n">
        <v>3.963</v>
      </c>
      <c r="F328" s="3" t="inlineStr">
        <is>
          <t>GW</t>
        </is>
      </c>
      <c r="G328" s="3" t="inlineStr">
        <is>
          <t>Derived formula</t>
        </is>
      </c>
      <c r="H328" s="3" t="inlineStr">
        <is>
          <t>active_power_gw / pue</t>
        </is>
      </c>
      <c r="I328" s="3" t="inlineStr">
        <is>
          <t>Facility power is converted to IT-deliverable power before attributing AI workloads.</t>
        </is>
      </c>
      <c r="J328" s="3" t="inlineStr">
        <is>
          <t>ASSUMP_POWER_RAMP; SRC_META_MTIA_GENAI_2026</t>
        </is>
      </c>
      <c r="K328" s="3" t="inlineStr">
        <is>
          <t>ASSUMP_CONSUMER_AI_UTILIZATION; ASSUMP_POWER_RAMP; ASSUMP_NUMERIC_ACCELERATOR_MIX; ASSUMP_INFERENCE_SHARE_NOT_FACT_60; ASSUMP_WORKLOAD_CLASS_MIX; ASSUMP_AGENTIC_CONTEXT_PENALTY</t>
        </is>
      </c>
      <c r="L328" s="3" t="inlineStr">
        <is>
          <t>Recompute once active power and PUE become site-observable.</t>
        </is>
      </c>
    </row>
    <row r="329">
      <c r="A329" s="3" t="inlineStr">
        <is>
          <t>Meta</t>
        </is>
      </c>
      <c r="B329" s="3" t="n">
        <v>2030</v>
      </c>
      <c r="C329" s="3" t="inlineStr">
        <is>
          <t>Bear</t>
        </is>
      </c>
      <c r="D329" s="3" t="inlineStr">
        <is>
          <t>ai_workload_share</t>
        </is>
      </c>
      <c r="E329" s="3" t="n">
        <v>0.87</v>
      </c>
      <c r="F329" s="3" t="inlineStr">
        <is>
          <t>share</t>
        </is>
      </c>
      <c r="G329" s="3" t="inlineStr">
        <is>
          <t>Scenario allocation</t>
        </is>
      </c>
      <c r="H329" s="3" t="inlineStr">
        <is>
          <t>ai_it_load_gw = it_load_gw * ai_workload_share</t>
        </is>
      </c>
      <c r="I329" s="3" t="inlineStr">
        <is>
          <t>The modeled fleet is focused on AI workloads across Meta AI surfaces; non-LLM ranking/platform overhead is excluded through the 87% share.</t>
        </is>
      </c>
      <c r="J329" s="3" t="inlineStr">
        <is>
          <t>SRC_META_LLAMA; SRC_META_LLAMA4_NVIDIA; SRC_META_MTIA_GENAI_2026; SRC_EPOCH_AI_DATA_CENTERS</t>
        </is>
      </c>
      <c r="K329" s="3" t="inlineStr">
        <is>
          <t>ASSUMP_CONSUMER_AI_UTILIZATION; ASSUMP_POWER_RAMP; ASSUMP_NUMERIC_ACCELERATOR_MIX; ASSUMP_INFERENCE_SHARE_NOT_FACT_60; ASSUMP_WORKLOAD_CLASS_MIX; ASSUMP_AGENTIC_CONTEXT_PENALTY</t>
        </is>
      </c>
      <c r="L329" s="3" t="inlineStr">
        <is>
          <t>Model-owner AI workload allocation or cluster scheduling telemetry.</t>
        </is>
      </c>
    </row>
    <row r="330">
      <c r="A330" s="3" t="inlineStr">
        <is>
          <t>Meta</t>
        </is>
      </c>
      <c r="B330" s="3" t="n">
        <v>2030</v>
      </c>
      <c r="C330" s="3" t="inlineStr">
        <is>
          <t>Bear</t>
        </is>
      </c>
      <c r="D330" s="3" t="inlineStr">
        <is>
          <t>ai_it_load_gw</t>
        </is>
      </c>
      <c r="E330" s="3" t="n">
        <v>3.448</v>
      </c>
      <c r="F330" s="3" t="inlineStr">
        <is>
          <t>GW</t>
        </is>
      </c>
      <c r="G330" s="3" t="inlineStr">
        <is>
          <t>Derived formula</t>
        </is>
      </c>
      <c r="H330" s="3" t="inlineStr">
        <is>
          <t>it_load_gw * ai_workload_share</t>
        </is>
      </c>
      <c r="I330" s="3" t="inlineStr">
        <is>
          <t>Only the AI-attributed portion of IT load enters training/inference allocation.</t>
        </is>
      </c>
      <c r="J330" s="3" t="inlineStr">
        <is>
          <t>SRC_META_LLAMA; SRC_META_LLAMA4_NVIDIA; SRC_META_MTIA_GENAI_2026; SRC_EPOCH_AI_DATA_CENTERS</t>
        </is>
      </c>
      <c r="K330" s="3" t="inlineStr">
        <is>
          <t>ASSUMP_CONSUMER_AI_UTILIZATION; ASSUMP_POWER_RAMP; ASSUMP_NUMERIC_ACCELERATOR_MIX; ASSUMP_INFERENCE_SHARE_NOT_FACT_60; ASSUMP_WORKLOAD_CLASS_MIX; ASSUMP_AGENTIC_CONTEXT_PENALTY</t>
        </is>
      </c>
      <c r="L330" s="3" t="inlineStr">
        <is>
          <t>Recompute after ai_workload_share is replaced by telemetry.</t>
        </is>
      </c>
    </row>
    <row r="331">
      <c r="A331" s="3" t="inlineStr">
        <is>
          <t>Meta</t>
        </is>
      </c>
      <c r="B331" s="3" t="n">
        <v>2030</v>
      </c>
      <c r="C331" s="3" t="inlineStr">
        <is>
          <t>Bear</t>
        </is>
      </c>
      <c r="D331" s="3" t="inlineStr">
        <is>
          <t>gpu_share</t>
        </is>
      </c>
      <c r="E331" s="3" t="n">
        <v>0.612306</v>
      </c>
      <c r="F331" s="3" t="inlineStr">
        <is>
          <t>share of inference-serving accelerator load</t>
        </is>
      </c>
      <c r="G331" s="3" t="inlineStr">
        <is>
          <t>Numeric scenario</t>
        </is>
      </c>
      <c r="H331" s="3" t="inlineStr">
        <is>
          <t>gpu_share interpolated from company 2026/2030 accelerator-mix endpoints</t>
        </is>
      </c>
      <c r="I331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1" s="3" t="inlineStr">
        <is>
          <t>SRC_META_LLAMA; SRC_META_LLAMA4_NVIDIA; SRC_META_MTIA_GENAI_2026; SRC_EPOCH_AI_DATA_CENTERS; ASSUMP_NUMERIC_ACCELERATOR_MIX</t>
        </is>
      </c>
      <c r="K331" s="3" t="inlineStr">
        <is>
          <t>ASSUMP_CONSUMER_AI_UTILIZATION; ASSUMP_POWER_RAMP; ASSUMP_NUMERIC_ACCELERATOR_MIX; ASSUMP_INFERENCE_SHARE_NOT_FACT_60; ASSUMP_WORKLOAD_CLASS_MIX; ASSUMP_AGENTIC_CONTEXT_PENALTY</t>
        </is>
      </c>
      <c r="L331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2">
      <c r="A332" s="3" t="inlineStr">
        <is>
          <t>Meta</t>
        </is>
      </c>
      <c r="B332" s="3" t="n">
        <v>2030</v>
      </c>
      <c r="C332" s="3" t="inlineStr">
        <is>
          <t>Bear</t>
        </is>
      </c>
      <c r="D332" s="3" t="inlineStr">
        <is>
          <t>h200_share</t>
        </is>
      </c>
      <c r="E332" s="3" t="n">
        <v>0</v>
      </c>
      <c r="F332" s="3" t="inlineStr">
        <is>
          <t>share of inference-serving accelerator load</t>
        </is>
      </c>
      <c r="G332" s="3" t="inlineStr">
        <is>
          <t>Editable numeric scenario</t>
        </is>
      </c>
      <c r="H332" s="3" t="inlineStr">
        <is>
          <t>h200_share = gpu_share * default_gpu_generation_mix_h200</t>
        </is>
      </c>
      <c r="I332" s="3" t="inlineStr">
        <is>
          <t>Default GPU-generation migration assumption; executive workbook allows later manual replacement by company/year/scenario.</t>
        </is>
      </c>
      <c r="J332" s="3" t="inlineStr">
        <is>
          <t>SRC_SEMIANALYSIS_INFERENCEX; ASSUMP_NUMERIC_ACCELERATOR_MIX</t>
        </is>
      </c>
      <c r="K332" s="3" t="inlineStr">
        <is>
          <t>ASSUMP_CONSUMER_AI_UTILIZATION; ASSUMP_POWER_RAMP; ASSUMP_NUMERIC_ACCELERATOR_MIX; ASSUMP_INFERENCE_SHARE_NOT_FACT_60; ASSUMP_WORKLOAD_CLASS_MIX; ASSUMP_AGENTIC_CONTEXT_PENALTY</t>
        </is>
      </c>
      <c r="L332" s="3" t="inlineStr">
        <is>
          <t>Company fleet inventory, accelerator-hours or procurement/deployment records by GPU generation.</t>
        </is>
      </c>
    </row>
    <row r="333">
      <c r="A333" s="3" t="inlineStr">
        <is>
          <t>Meta</t>
        </is>
      </c>
      <c r="B333" s="3" t="n">
        <v>2030</v>
      </c>
      <c r="C333" s="3" t="inlineStr">
        <is>
          <t>Bear</t>
        </is>
      </c>
      <c r="D333" s="3" t="inlineStr">
        <is>
          <t>b200_share</t>
        </is>
      </c>
      <c r="E333" s="3" t="n">
        <v>0.612306</v>
      </c>
      <c r="F333" s="3" t="inlineStr">
        <is>
          <t>share of inference-serving accelerator load</t>
        </is>
      </c>
      <c r="G333" s="3" t="inlineStr">
        <is>
          <t>Editable numeric scenario</t>
        </is>
      </c>
      <c r="H333" s="3" t="inlineStr">
        <is>
          <t>b200_share = gpu_share * default_gpu_generation_mix_b200</t>
        </is>
      </c>
      <c r="I333" s="3" t="inlineStr">
        <is>
          <t>Default GPU-generation migration assumption; executive workbook allows later manual replacement by company/year/scenario.</t>
        </is>
      </c>
      <c r="J333" s="3" t="inlineStr">
        <is>
          <t>SRC_SEMIANALYSIS_INFERENCEX; ASSUMP_NUMERIC_ACCELERATOR_MIX</t>
        </is>
      </c>
      <c r="K333" s="3" t="inlineStr">
        <is>
          <t>ASSUMP_CONSUMER_AI_UTILIZATION; ASSUMP_POWER_RAMP; ASSUMP_NUMERIC_ACCELERATOR_MIX; ASSUMP_INFERENCE_SHARE_NOT_FACT_60; ASSUMP_WORKLOAD_CLASS_MIX; ASSUMP_AGENTIC_CONTEXT_PENALTY</t>
        </is>
      </c>
      <c r="L333" s="3" t="inlineStr">
        <is>
          <t>Company fleet inventory, accelerator-hours or procurement/deployment records by GPU generation.</t>
        </is>
      </c>
    </row>
    <row r="334">
      <c r="A334" s="3" t="inlineStr">
        <is>
          <t>Meta</t>
        </is>
      </c>
      <c r="B334" s="3" t="n">
        <v>2030</v>
      </c>
      <c r="C334" s="3" t="inlineStr">
        <is>
          <t>Bear</t>
        </is>
      </c>
      <c r="D334" s="3" t="inlineStr">
        <is>
          <t>gb200_share</t>
        </is>
      </c>
      <c r="E334" s="3" t="n">
        <v>0</v>
      </c>
      <c r="F334" s="3" t="inlineStr">
        <is>
          <t>share of inference-serving accelerator load</t>
        </is>
      </c>
      <c r="G334" s="3" t="inlineStr">
        <is>
          <t>Editable numeric scenario</t>
        </is>
      </c>
      <c r="H334" s="3" t="inlineStr">
        <is>
          <t>gb200_share = gpu_share * default_gpu_generation_mix_gb200</t>
        </is>
      </c>
      <c r="I334" s="3" t="inlineStr">
        <is>
          <t>Default GPU-generation migration assumption; executive workbook allows later manual replacement by company/year/scenario.</t>
        </is>
      </c>
      <c r="J334" s="3" t="inlineStr">
        <is>
          <t>SRC_SEMIANALYSIS_INFERENCEX; ASSUMP_NUMERIC_ACCELERATOR_MIX</t>
        </is>
      </c>
      <c r="K334" s="3" t="inlineStr">
        <is>
          <t>ASSUMP_CONSUMER_AI_UTILIZATION; ASSUMP_POWER_RAMP; ASSUMP_NUMERIC_ACCELERATOR_MIX; ASSUMP_INFERENCE_SHARE_NOT_FACT_60; ASSUMP_WORKLOAD_CLASS_MIX; ASSUMP_AGENTIC_CONTEXT_PENALTY</t>
        </is>
      </c>
      <c r="L334" s="3" t="inlineStr">
        <is>
          <t>Company fleet inventory, accelerator-hours or procurement/deployment records by GPU generation.</t>
        </is>
      </c>
    </row>
    <row r="335">
      <c r="A335" s="3" t="inlineStr">
        <is>
          <t>Meta</t>
        </is>
      </c>
      <c r="B335" s="3" t="n">
        <v>2030</v>
      </c>
      <c r="C335" s="3" t="inlineStr">
        <is>
          <t>Bear</t>
        </is>
      </c>
      <c r="D335" s="3" t="inlineStr">
        <is>
          <t>purpose_built_accelerator_share</t>
        </is>
      </c>
      <c r="E335" s="3" t="n">
        <v>0.387694</v>
      </c>
      <c r="F335" s="3" t="inlineStr">
        <is>
          <t>share of inference-serving accelerator load</t>
        </is>
      </c>
      <c r="G335" s="3" t="inlineStr">
        <is>
          <t>Numeric scenario</t>
        </is>
      </c>
      <c r="H335" s="3" t="inlineStr">
        <is>
          <t>1 - gpu_share</t>
        </is>
      </c>
      <c r="I335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5" s="3" t="inlineStr">
        <is>
          <t>SRC_META_LLAMA; SRC_META_LLAMA4_NVIDIA; SRC_META_MTIA_GENAI_2026; SRC_EPOCH_AI_DATA_CENTERS; ASSUMP_NUMERIC_ACCELERATOR_MIX</t>
        </is>
      </c>
      <c r="K335" s="3" t="inlineStr">
        <is>
          <t>ASSUMP_CONSUMER_AI_UTILIZATION; ASSUMP_POWER_RAMP; ASSUMP_NUMERIC_ACCELERATOR_MIX; ASSUMP_INFERENCE_SHARE_NOT_FACT_60; ASSUMP_WORKLOAD_CLASS_MIX; ASSUMP_AGENTIC_CONTEXT_PENALTY</t>
        </is>
      </c>
      <c r="L335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6">
      <c r="A336" s="3" t="inlineStr">
        <is>
          <t>Meta</t>
        </is>
      </c>
      <c r="B336" s="3" t="n">
        <v>2030</v>
      </c>
      <c r="C336" s="3" t="inlineStr">
        <is>
          <t>Bear</t>
        </is>
      </c>
      <c r="D336" s="3" t="inlineStr">
        <is>
          <t>fleet_reference_tps_per_mw</t>
        </is>
      </c>
      <c r="E336" s="3" t="n">
        <v>941060</v>
      </c>
      <c r="F336" s="3" t="inlineStr">
        <is>
          <t>generated output tokens/sec/MW</t>
        </is>
      </c>
      <c r="G336" s="3" t="inlineStr">
        <is>
          <t>Fleet-weighted public benchmark reference</t>
        </is>
      </c>
      <c r="H336" s="3" t="inlineStr">
        <is>
          <t>h200_share*h200_workload_avg + b200_share*b200_workload_avg + gb200_share*gb200_workload_avg + purpose_built_share*purpose_workload_avg</t>
        </is>
      </c>
      <c r="I33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6" s="3" t="inlineStr">
        <is>
          <t>SRC_SEMIANALYSIS_INFERENCEX; ASSUMP_NUMERIC_ACCELERATOR_MIX; ASSUMP_WORKLOAD_CLASS_MIX; ASSUMP_AGENTIC_CONTEXT_PENALTY</t>
        </is>
      </c>
      <c r="K336" s="3" t="inlineStr">
        <is>
          <t>ASSUMP_CONSUMER_AI_UTILIZATION; ASSUMP_POWER_RAMP; ASSUMP_NUMERIC_ACCELERATOR_MIX; ASSUMP_INFERENCE_SHARE_NOT_FACT_60; ASSUMP_WORKLOAD_CLASS_MIX; ASSUMP_AGENTIC_CONTEXT_PENALTY</t>
        </is>
      </c>
      <c r="L336" s="3" t="inlineStr">
        <is>
          <t>Comparable production output-token throughput or a more closely matched benchmark.</t>
        </is>
      </c>
    </row>
    <row r="337">
      <c r="A337" s="3" t="inlineStr">
        <is>
          <t>Meta</t>
        </is>
      </c>
      <c r="B337" s="3" t="n">
        <v>2030</v>
      </c>
      <c r="C337" s="3" t="inlineStr">
        <is>
          <t>Bear</t>
        </is>
      </c>
      <c r="D337" s="3" t="inlineStr">
        <is>
          <t>commercial_workload_fit_factor</t>
        </is>
      </c>
      <c r="E337" s="3" t="n">
        <v>0.75</v>
      </c>
      <c r="F337" s="3" t="inlineStr">
        <is>
          <t>share of public reference throughput</t>
        </is>
      </c>
      <c r="G337" s="3" t="inlineStr">
        <is>
          <t>Scenario assumption</t>
        </is>
      </c>
      <c r="H337" s="3" t="inlineStr">
        <is>
          <t>reference_serving_tps_per_mw = fleet_reference_tps_per_mw * commercial_workload_fit_factor</t>
        </is>
      </c>
      <c r="I33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" s="3" t="inlineStr">
        <is>
          <t>SRC_SEMIANALYSIS_INFERENCEX; ASSUMP_NUMERIC_ACCELERATOR_MIX; ASSUMP_WORKLOAD_CLASS_MIX; ASSUMP_AGENTIC_CONTEXT_PENALTY</t>
        </is>
      </c>
      <c r="K337" s="3" t="inlineStr">
        <is>
          <t>ASSUMP_CONSUMER_AI_UTILIZATION; ASSUMP_POWER_RAMP; ASSUMP_NUMERIC_ACCELERATOR_MIX; ASSUMP_INFERENCE_SHARE_NOT_FACT_60; ASSUMP_WORKLOAD_CLASS_MIX; ASSUMP_AGENTIC_CONTEXT_PENALTY</t>
        </is>
      </c>
      <c r="L337" s="3" t="inlineStr">
        <is>
          <t>Matched commercial serving benchmark by product surface, context shape and latency SLO.</t>
        </is>
      </c>
    </row>
    <row r="338">
      <c r="A338" s="3" t="inlineStr">
        <is>
          <t>Meta</t>
        </is>
      </c>
      <c r="B338" s="3" t="n">
        <v>2030</v>
      </c>
      <c r="C338" s="3" t="inlineStr">
        <is>
          <t>Bear</t>
        </is>
      </c>
      <c r="D338" s="3" t="inlineStr">
        <is>
          <t>reference_serving_tps_per_mw</t>
        </is>
      </c>
      <c r="E338" s="3" t="n">
        <v>705795</v>
      </c>
      <c r="F338" s="3" t="inlineStr">
        <is>
          <t>generated output tokens/sec/MW</t>
        </is>
      </c>
      <c r="G338" s="3" t="inlineStr">
        <is>
          <t>Workload-adjusted benchmark proxy</t>
        </is>
      </c>
      <c r="H338" s="3" t="inlineStr">
        <is>
          <t>fleet_reference_tps_per_mw * commercial_workload_fit_factor</t>
        </is>
      </c>
      <c r="I338" s="3" t="inlineStr">
        <is>
          <t>This is the coefficient used for headline token generation; each GPU's short chat, long chat and agentic TPS/MW are weighted before fleet mix and commercial fit are applied.</t>
        </is>
      </c>
      <c r="J338" s="3" t="inlineStr">
        <is>
          <t>SRC_SEMIANALYSIS_INFERENCEX; ASSUMP_NUMERIC_ACCELERATOR_MIX; ASSUMP_WORKLOAD_CLASS_MIX; ASSUMP_AGENTIC_CONTEXT_PENALTY</t>
        </is>
      </c>
      <c r="K338" s="3" t="inlineStr">
        <is>
          <t>ASSUMP_CONSUMER_AI_UTILIZATION; ASSUMP_POWER_RAMP; ASSUMP_NUMERIC_ACCELERATOR_MIX; ASSUMP_INFERENCE_SHARE_NOT_FACT_60; ASSUMP_WORKLOAD_CLASS_MIX; ASSUMP_AGENTIC_CONTEXT_PENALTY</t>
        </is>
      </c>
      <c r="L338" s="3" t="inlineStr">
        <is>
          <t>Provider production output-token throughput with comparable workload/SLO.</t>
        </is>
      </c>
    </row>
    <row r="339">
      <c r="A339" s="3" t="inlineStr">
        <is>
          <t>Meta</t>
        </is>
      </c>
      <c r="B339" s="3" t="n">
        <v>2030</v>
      </c>
      <c r="C339" s="3" t="inlineStr">
        <is>
          <t>Bear</t>
        </is>
      </c>
      <c r="D339" s="3" t="inlineStr">
        <is>
          <t>purpose_built_tps_per_mw</t>
        </is>
      </c>
      <c r="E339" s="3" t="n">
        <v>921386</v>
      </c>
      <c r="F339" s="3" t="inlineStr">
        <is>
          <t>generated output tokens/sec/MW</t>
        </is>
      </c>
      <c r="G339" s="3" t="inlineStr">
        <is>
          <t>Conservative no-uplift proxy</t>
        </is>
      </c>
      <c r="H339" s="3" t="inlineStr">
        <is>
          <t>purpose_built_tps_per_mw = purpose_built_reference_tps_per_mw * commercial_workload_fit_factor until comparable output-token benchmark is adopted</t>
        </is>
      </c>
      <c r="I339" s="3" t="inlineStr">
        <is>
          <t>No comparable public output-token/MW row adopted; B200 public reference placeholder is used and remains editable.</t>
        </is>
      </c>
      <c r="J339" s="3" t="inlineStr">
        <is>
          <t>SRC_META_LLAMA; SRC_META_LLAMA4_NVIDIA; SRC_META_MTIA_GENAI_2026; SRC_EPOCH_AI_DATA_CENTERS; ASSUMP_NUMERIC_ACCELERATOR_MIX</t>
        </is>
      </c>
      <c r="K339" s="3" t="inlineStr">
        <is>
          <t>ASSUMP_CONSUMER_AI_UTILIZATION; ASSUMP_POWER_RAMP; ASSUMP_NUMERIC_ACCELERATOR_MIX; ASSUMP_INFERENCE_SHARE_NOT_FACT_60; ASSUMP_WORKLOAD_CLASS_MIX; ASSUMP_AGENTIC_CONTEXT_PENALTY</t>
        </is>
      </c>
      <c r="L339" s="3" t="inlineStr">
        <is>
          <t>Matched-workload generated-output benchmark for the provider purpose-built accelerator.</t>
        </is>
      </c>
    </row>
    <row r="340">
      <c r="A340" s="3" t="inlineStr">
        <is>
          <t>Meta</t>
        </is>
      </c>
      <c r="B340" s="3" t="n">
        <v>2030</v>
      </c>
      <c r="C340" s="3" t="inlineStr">
        <is>
          <t>Bear</t>
        </is>
      </c>
      <c r="D340" s="3" t="inlineStr">
        <is>
          <t>inference_power_share</t>
        </is>
      </c>
      <c r="E340" s="3" t="n">
        <v>0.68</v>
      </c>
      <c r="F340" s="3" t="inlineStr">
        <is>
          <t>share of AI IT load</t>
        </is>
      </c>
      <c r="G340" s="3" t="inlineStr">
        <is>
          <t>Scenario allocation</t>
        </is>
      </c>
      <c r="H340" s="3" t="inlineStr">
        <is>
          <t>inference_gw = ai_it_load_gw * inference_power_share</t>
        </is>
      </c>
      <c r="I340" s="3" t="inlineStr">
        <is>
          <t>Large consumer AI distribution and inference-first MTIA roadmap support a higher inference share scenario.</t>
        </is>
      </c>
      <c r="J340" s="3" t="inlineStr">
        <is>
          <t>SRC_META_LLAMA; SRC_META_LLAMA4_NVIDIA; SRC_META_MTIA_GENAI_2026; SRC_EPOCH_AI_DATA_CENTERS; ASSUMP_INFERENCE_SHARE_NOT_FACT_60</t>
        </is>
      </c>
      <c r="K340" s="3" t="inlineStr">
        <is>
          <t>ASSUMP_CONSUMER_AI_UTILIZATION; ASSUMP_POWER_RAMP; ASSUMP_NUMERIC_ACCELERATOR_MIX; ASSUMP_INFERENCE_SHARE_NOT_FACT_60; ASSUMP_WORKLOAD_CLASS_MIX; ASSUMP_AGENTIC_CONTEXT_PENALTY</t>
        </is>
      </c>
      <c r="L340" s="3" t="inlineStr">
        <is>
          <t>Provider-specific inference/training workload power telemetry.</t>
        </is>
      </c>
    </row>
    <row r="341">
      <c r="A341" s="3" t="inlineStr">
        <is>
          <t>Meta</t>
        </is>
      </c>
      <c r="B341" s="3" t="n">
        <v>2030</v>
      </c>
      <c r="C341" s="3" t="inlineStr">
        <is>
          <t>Bear</t>
        </is>
      </c>
      <c r="D341" s="3" t="inlineStr">
        <is>
          <t>inference_gw</t>
        </is>
      </c>
      <c r="E341" s="3" t="n">
        <v>2.345</v>
      </c>
      <c r="F341" s="3" t="inlineStr">
        <is>
          <t>GW</t>
        </is>
      </c>
      <c r="G341" s="3" t="inlineStr">
        <is>
          <t>Derived formula</t>
        </is>
      </c>
      <c r="H341" s="3" t="inlineStr">
        <is>
          <t>ai_it_load_gw * inference_power_share</t>
        </is>
      </c>
      <c r="I341" s="3" t="inlineStr">
        <is>
          <t>This is the operational power eligible to become commercial generated output tokens through the selected TPS/MW proxy.</t>
        </is>
      </c>
      <c r="J341" s="3" t="inlineStr">
        <is>
          <t>SRC_META_LLAMA; SRC_META_LLAMA4_NVIDIA; SRC_META_MTIA_GENAI_2026; SRC_EPOCH_AI_DATA_CENTERS</t>
        </is>
      </c>
      <c r="K341" s="3" t="inlineStr">
        <is>
          <t>ASSUMP_CONSUMER_AI_UTILIZATION; ASSUMP_POWER_RAMP; ASSUMP_NUMERIC_ACCELERATOR_MIX; ASSUMP_INFERENCE_SHARE_NOT_FACT_60; ASSUMP_WORKLOAD_CLASS_MIX; ASSUMP_AGENTIC_CONTEXT_PENALTY</t>
        </is>
      </c>
      <c r="L341" s="3" t="inlineStr">
        <is>
          <t>Recompute after AI allocation or inference-share evidence changes.</t>
        </is>
      </c>
    </row>
    <row r="342">
      <c r="A342" s="3" t="inlineStr">
        <is>
          <t>Meta</t>
        </is>
      </c>
      <c r="B342" s="3" t="n">
        <v>2030</v>
      </c>
      <c r="C342" s="3" t="inlineStr">
        <is>
          <t>Bear</t>
        </is>
      </c>
      <c r="D342" s="3" t="inlineStr">
        <is>
          <t>training_power_share</t>
        </is>
      </c>
      <c r="E342" s="3" t="n">
        <v>0.32</v>
      </c>
      <c r="F342" s="3" t="inlineStr">
        <is>
          <t>share of AI IT load</t>
        </is>
      </c>
      <c r="G342" s="3" t="inlineStr">
        <is>
          <t>Derived allocation</t>
        </is>
      </c>
      <c r="H342" s="3" t="inlineStr">
        <is>
          <t>1 - inference_power_share</t>
        </is>
      </c>
      <c r="I342" s="3" t="inlineStr">
        <is>
          <t>Training receives the complementary modeled AI IT allocation; it is not a disclosed company workload split.</t>
        </is>
      </c>
      <c r="J342" s="3" t="inlineStr">
        <is>
          <t>SRC_META_LLAMA; SRC_META_LLAMA4_NVIDIA; SRC_META_MTIA_GENAI_2026; SRC_EPOCH_AI_DATA_CENTERS; ASSUMP_INFERENCE_SHARE_NOT_FACT_60</t>
        </is>
      </c>
      <c r="K342" s="3" t="inlineStr">
        <is>
          <t>ASSUMP_CONSUMER_AI_UTILIZATION; ASSUMP_POWER_RAMP; ASSUMP_NUMERIC_ACCELERATOR_MIX; ASSUMP_INFERENCE_SHARE_NOT_FACT_60; ASSUMP_WORKLOAD_CLASS_MIX; ASSUMP_AGENTIC_CONTEXT_PENALTY</t>
        </is>
      </c>
      <c r="L342" s="3" t="inlineStr">
        <is>
          <t>Provider-specific inference/training workload power telemetry.</t>
        </is>
      </c>
    </row>
    <row r="343">
      <c r="A343" s="3" t="inlineStr">
        <is>
          <t>Meta</t>
        </is>
      </c>
      <c r="B343" s="3" t="n">
        <v>2030</v>
      </c>
      <c r="C343" s="3" t="inlineStr">
        <is>
          <t>Bear</t>
        </is>
      </c>
      <c r="D343" s="3" t="inlineStr">
        <is>
          <t>training_gw</t>
        </is>
      </c>
      <c r="E343" s="3" t="n">
        <v>1.103</v>
      </c>
      <c r="F343" s="3" t="inlineStr">
        <is>
          <t>GW</t>
        </is>
      </c>
      <c r="G343" s="3" t="inlineStr">
        <is>
          <t>Derived formula</t>
        </is>
      </c>
      <c r="H343" s="3" t="inlineStr">
        <is>
          <t>ai_it_load_gw * training_power_share</t>
        </is>
      </c>
      <c r="I343" s="3" t="inlineStr">
        <is>
          <t>Training GW is shown separately so commercial inference token capacity is not overstated.</t>
        </is>
      </c>
      <c r="J343" s="3" t="inlineStr">
        <is>
          <t>SRC_META_LLAMA; SRC_META_LLAMA4_NVIDIA; SRC_META_MTIA_GENAI_2026; SRC_EPOCH_AI_DATA_CENTERS</t>
        </is>
      </c>
      <c r="K343" s="3" t="inlineStr">
        <is>
          <t>ASSUMP_CONSUMER_AI_UTILIZATION; ASSUMP_POWER_RAMP; ASSUMP_NUMERIC_ACCELERATOR_MIX; ASSUMP_INFERENCE_SHARE_NOT_FACT_60; ASSUMP_WORKLOAD_CLASS_MIX; ASSUMP_AGENTIC_CONTEXT_PENALTY</t>
        </is>
      </c>
      <c r="L343" s="3" t="inlineStr">
        <is>
          <t>Recompute after AI allocation or workload-split evidence changes.</t>
        </is>
      </c>
    </row>
    <row r="344">
      <c r="A344" s="3" t="inlineStr">
        <is>
          <t>Meta</t>
        </is>
      </c>
      <c r="B344" s="3" t="n">
        <v>2030</v>
      </c>
      <c r="C344" s="3" t="inlineStr">
        <is>
          <t>Bear</t>
        </is>
      </c>
      <c r="D344" s="3" t="inlineStr">
        <is>
          <t>tokens_per_second_per_mw</t>
        </is>
      </c>
      <c r="E344" s="3" t="n">
        <v>705795</v>
      </c>
      <c r="F344" s="3" t="inlineStr">
        <is>
          <t>generated output tokens/sec/MW</t>
        </is>
      </c>
      <c r="G344" s="3" t="inlineStr">
        <is>
          <t>Derived estimate + benchmark calibration</t>
        </is>
      </c>
      <c r="H344" s="3" t="inlineStr">
        <is>
          <t>fleet_reference_tps_per_mw * commercial_workload_fit_factor</t>
        </is>
      </c>
      <c r="I34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4" s="3" t="inlineStr">
        <is>
          <t>ASSUMP_CONSUMER_AI_UTILIZATION; ASSUMP_POWER_RAMP; ASSUMP_NUMERIC_ACCELERATOR_MIX; ASSUMP_INFERENCE_SHARE_NOT_FACT_60; ASSUMP_WORKLOAD_CLASS_MIX; ASSUMP_AGENTIC_CONTEXT_PENALTY</t>
        </is>
      </c>
      <c r="L344" s="3" t="inlineStr">
        <is>
          <t>Comparable production output-token throughput with model, hardware, precision, ISL/OSL and SLO matched.</t>
        </is>
      </c>
    </row>
    <row r="345">
      <c r="A345" s="3" t="inlineStr">
        <is>
          <t>Meta</t>
        </is>
      </c>
      <c r="B345" s="3" t="n">
        <v>2030</v>
      </c>
      <c r="C345" s="3" t="inlineStr">
        <is>
          <t>Bear</t>
        </is>
      </c>
      <c r="D345" s="3" t="inlineStr">
        <is>
          <t>inference_tokens_per_day</t>
        </is>
      </c>
      <c r="E345" s="3" t="n">
        <v>142999713360000</v>
      </c>
      <c r="F345" s="3" t="inlineStr">
        <is>
          <t>generated output tokens/day</t>
        </is>
      </c>
      <c r="G345" s="3" t="inlineStr">
        <is>
          <t>Derived headline metric</t>
        </is>
      </c>
      <c r="H345" s="3" t="inlineStr">
        <is>
          <t>inference_gw * 1000 * tokens_per_second_per_mw * 86,400</t>
        </is>
      </c>
      <c r="I345" s="3" t="inlineStr">
        <is>
          <t>Headline capacity uses no utilization, MoE, architecture or software-growth multiplier; it is not observed commercial output volume.</t>
        </is>
      </c>
      <c r="J345" s="3" t="inlineStr">
        <is>
          <t>SRC_META_LLAMA; SRC_META_LLAMA4_NVIDIA; SRC_META_MTIA_GENAI_2026; SRC_EPOCH_AI_DATA_CENTERS; SRC_SEMIANALYSIS_INFERENCEX</t>
        </is>
      </c>
      <c r="K345" s="3" t="inlineStr">
        <is>
          <t>ASSUMP_CONSUMER_AI_UTILIZATION; ASSUMP_POWER_RAMP; ASSUMP_NUMERIC_ACCELERATOR_MIX; ASSUMP_INFERENCE_SHARE_NOT_FACT_60; ASSUMP_WORKLOAD_CLASS_MIX; ASSUMP_AGENTIC_CONTEXT_PENALTY</t>
        </is>
      </c>
      <c r="L345" s="3" t="inlineStr">
        <is>
          <t>Provider-disclosed generated output token volume or calibrated capacity telemetry.</t>
        </is>
      </c>
    </row>
    <row r="346">
      <c r="A346" s="3" t="inlineStr">
        <is>
          <t>Meta</t>
        </is>
      </c>
      <c r="B346" s="3" t="n">
        <v>2030</v>
      </c>
      <c r="C346" s="3" t="inlineStr">
        <is>
          <t>Bear</t>
        </is>
      </c>
      <c r="D346" s="3" t="inlineStr">
        <is>
          <t>inference_tokens_per_year</t>
        </is>
      </c>
      <c r="E346" s="3" t="n">
        <v>5.21948953764e+16</v>
      </c>
      <c r="F346" s="3" t="inlineStr">
        <is>
          <t>generated output tokens/year</t>
        </is>
      </c>
      <c r="G346" s="3" t="inlineStr">
        <is>
          <t>Derived headline metric</t>
        </is>
      </c>
      <c r="H346" s="3" t="inlineStr">
        <is>
          <t>inference_tokens_per_day * 365</t>
        </is>
      </c>
      <c r="I346" s="3" t="inlineStr">
        <is>
          <t>Annualized version of generated output token capacity; it is not observed annual demand or billable volume.</t>
        </is>
      </c>
      <c r="J346" s="3" t="inlineStr">
        <is>
          <t>SRC_META_LLAMA; SRC_META_LLAMA4_NVIDIA; SRC_META_MTIA_GENAI_2026; SRC_EPOCH_AI_DATA_CENTERS; SRC_SEMIANALYSIS_INFERENCEX</t>
        </is>
      </c>
      <c r="K346" s="3" t="inlineStr">
        <is>
          <t>ASSUMP_CONSUMER_AI_UTILIZATION; ASSUMP_POWER_RAMP; ASSUMP_NUMERIC_ACCELERATOR_MIX; ASSUMP_INFERENCE_SHARE_NOT_FACT_60; ASSUMP_WORKLOAD_CLASS_MIX; ASSUMP_AGENTIC_CONTEXT_PENALTY</t>
        </is>
      </c>
      <c r="L346" s="3" t="inlineStr">
        <is>
          <t>Provider-disclosed annual generated-output volume or metered serving telemetry.</t>
        </is>
      </c>
    </row>
    <row r="347">
      <c r="A347" s="3" t="inlineStr">
        <is>
          <t>xAI</t>
        </is>
      </c>
      <c r="B347" s="3" t="n">
        <v>2026</v>
      </c>
      <c r="C347" s="3" t="inlineStr">
        <is>
          <t>Bear</t>
        </is>
      </c>
      <c r="D347" s="3" t="inlineStr">
        <is>
          <t>contracted_power_gw</t>
        </is>
      </c>
      <c r="E347" s="3" t="n">
        <v>1</v>
      </c>
      <c r="F347" s="3" t="inlineStr">
        <is>
          <t>GW</t>
        </is>
      </c>
      <c r="G347" s="3" t="inlineStr">
        <is>
          <t>Fact anchor + scenario ceiling</t>
        </is>
      </c>
      <c r="H347" s="3" t="inlineStr">
        <is>
          <t>linear interpolation between 2026 and 2030 company capacity endpoints</t>
        </is>
      </c>
      <c r="I347" s="3" t="inlineStr">
        <is>
          <t>Colossus GPU-count disclosure bounds capacity direction; contracted GW values are modeled power envelopes.</t>
        </is>
      </c>
      <c r="J347" s="3" t="inlineStr">
        <is>
          <t>SRC_XAI_NVIDIA_COLOSSUS; ASSUMP_CLUSTER_RAMP</t>
        </is>
      </c>
      <c r="K347" s="3" t="inlineStr">
        <is>
          <t>ASSUMP_CLUSTER_RAMP; ASSUMP_CLOSED_MODEL_BAND; ASSUMP_NUMERIC_ACCELERATOR_MIX; ASSUMP_INFERENCE_SHARE_NOT_FACT_60; ASSUMP_WORKLOAD_CLASS_MIX; ASSUMP_AGENTIC_CONTEXT_PENALTY</t>
        </is>
      </c>
      <c r="L347" s="3" t="inlineStr">
        <is>
          <t>Company/site-level committed MW/GW, interconnect and contract disclosure.</t>
        </is>
      </c>
    </row>
    <row r="348">
      <c r="A348" s="3" t="inlineStr">
        <is>
          <t>xAI</t>
        </is>
      </c>
      <c r="B348" s="3" t="n">
        <v>2026</v>
      </c>
      <c r="C348" s="3" t="inlineStr">
        <is>
          <t>Bear</t>
        </is>
      </c>
      <c r="D348" s="3" t="inlineStr">
        <is>
          <t>operational_deployment_share</t>
        </is>
      </c>
      <c r="E348" s="3" t="n">
        <v>0.315</v>
      </c>
      <c r="F348" s="3" t="inlineStr">
        <is>
          <t>share</t>
        </is>
      </c>
      <c r="G348" s="3" t="inlineStr">
        <is>
          <t>Scenario conversion</t>
        </is>
      </c>
      <c r="H348" s="3" t="inlineStr">
        <is>
          <t>active_power_gw / contracted_power_gw</t>
        </is>
      </c>
      <c r="I348" s="3" t="inlineStr">
        <is>
          <t>This is the single explicit conversion from contracted/attributed capacity to operationally usable capacity.</t>
        </is>
      </c>
      <c r="J348" s="3" t="inlineStr">
        <is>
          <t>SRC_XAI_NVIDIA_COLOSSUS; ASSUMP_CLUSTER_RAMP</t>
        </is>
      </c>
      <c r="K348" s="3" t="inlineStr">
        <is>
          <t>ASSUMP_CLUSTER_RAMP; ASSUMP_CLOSED_MODEL_BAND; ASSUMP_NUMERIC_ACCELERATOR_MIX; ASSUMP_INFERENCE_SHARE_NOT_FACT_60; ASSUMP_WORKLOAD_CLASS_MIX; ASSUMP_AGENTIC_CONTEXT_PENALTY</t>
        </is>
      </c>
      <c r="L348" s="3" t="inlineStr">
        <is>
          <t>Energized operational capacity divided by contracted/attributed capacity.</t>
        </is>
      </c>
    </row>
    <row r="349">
      <c r="A349" s="3" t="inlineStr">
        <is>
          <t>xAI</t>
        </is>
      </c>
      <c r="B349" s="3" t="n">
        <v>2026</v>
      </c>
      <c r="C349" s="3" t="inlineStr">
        <is>
          <t>Bear</t>
        </is>
      </c>
      <c r="D349" s="3" t="inlineStr">
        <is>
          <t>active_power_gw</t>
        </is>
      </c>
      <c r="E349" s="3" t="n">
        <v>0.315</v>
      </c>
      <c r="F349" s="3" t="inlineStr">
        <is>
          <t>GW</t>
        </is>
      </c>
      <c r="G349" s="3" t="inlineStr">
        <is>
          <t>Derived scenario</t>
        </is>
      </c>
      <c r="H349" s="3" t="inlineStr">
        <is>
          <t>contracted_power_gw * operational_deployment_share</t>
        </is>
      </c>
      <c r="I349" s="3" t="inlineStr">
        <is>
          <t>GPU cluster scale anchors operational possibility, while inference/training allocation and site power draw remain estimates.</t>
        </is>
      </c>
      <c r="J349" s="3" t="inlineStr">
        <is>
          <t>SRC_XAI_NVIDIA_COLOSSUS; ASSUMP_CLUSTER_RAMP</t>
        </is>
      </c>
      <c r="K349" s="3" t="inlineStr">
        <is>
          <t>ASSUMP_CLUSTER_RAMP; ASSUMP_CLOSED_MODEL_BAND; ASSUMP_NUMERIC_ACCELERATOR_MIX; ASSUMP_INFERENCE_SHARE_NOT_FACT_60; ASSUMP_WORKLOAD_CLASS_MIX; ASSUMP_AGENTIC_CONTEXT_PENALTY</t>
        </is>
      </c>
      <c r="L349" s="3" t="inlineStr">
        <is>
          <t>Energization dates, accelerator deliveries and operational powered-rack telemetry.</t>
        </is>
      </c>
    </row>
    <row r="350">
      <c r="A350" s="3" t="inlineStr">
        <is>
          <t>xAI</t>
        </is>
      </c>
      <c r="B350" s="3" t="n">
        <v>2026</v>
      </c>
      <c r="C350" s="3" t="inlineStr">
        <is>
          <t>Bear</t>
        </is>
      </c>
      <c r="D350" s="3" t="inlineStr">
        <is>
          <t>pue</t>
        </is>
      </c>
      <c r="E350" s="3" t="n">
        <v>1.22</v>
      </c>
      <c r="F350" s="3" t="inlineStr">
        <is>
          <t>ratio</t>
        </is>
      </c>
      <c r="G350" s="3" t="inlineStr">
        <is>
          <t>Scenario parameter</t>
        </is>
      </c>
      <c r="H350" s="3" t="inlineStr">
        <is>
          <t>it_load_gw = active_power_gw / pue</t>
        </is>
      </c>
      <c r="I350" s="3" t="inlineStr">
        <is>
          <t>No provider-wide site-level PUE is used as a disclosed fact; PUE represents facility-to-IT conversion within the scenario.</t>
        </is>
      </c>
      <c r="J350" s="3" t="inlineStr">
        <is>
          <t>ASSUMP_POWER_RAMP</t>
        </is>
      </c>
      <c r="K350" s="3" t="inlineStr">
        <is>
          <t>ASSUMP_CLUSTER_RAMP; ASSUMP_CLOSED_MODEL_BAND; ASSUMP_NUMERIC_ACCELERATOR_MIX; ASSUMP_INFERENCE_SHARE_NOT_FACT_60; ASSUMP_WORKLOAD_CLASS_MIX; ASSUMP_AGENTIC_CONTEXT_PENALTY</t>
        </is>
      </c>
      <c r="L350" s="3" t="inlineStr">
        <is>
          <t>Site-level measured PUE matched to attributed AI capacity.</t>
        </is>
      </c>
    </row>
    <row r="351">
      <c r="A351" s="3" t="inlineStr">
        <is>
          <t>xAI</t>
        </is>
      </c>
      <c r="B351" s="3" t="n">
        <v>2026</v>
      </c>
      <c r="C351" s="3" t="inlineStr">
        <is>
          <t>Bear</t>
        </is>
      </c>
      <c r="D351" s="3" t="inlineStr">
        <is>
          <t>it_load_gw</t>
        </is>
      </c>
      <c r="E351" s="3" t="n">
        <v>0.258</v>
      </c>
      <c r="F351" s="3" t="inlineStr">
        <is>
          <t>GW</t>
        </is>
      </c>
      <c r="G351" s="3" t="inlineStr">
        <is>
          <t>Derived formula</t>
        </is>
      </c>
      <c r="H351" s="3" t="inlineStr">
        <is>
          <t>active_power_gw / pue</t>
        </is>
      </c>
      <c r="I351" s="3" t="inlineStr">
        <is>
          <t>Facility power is converted to IT-deliverable power before attributing AI workloads.</t>
        </is>
      </c>
      <c r="J351" s="3" t="inlineStr">
        <is>
          <t>SRC_XAI_NVIDIA_COLOSSUS; ASSUMP_CLUSTER_RAMP</t>
        </is>
      </c>
      <c r="K351" s="3" t="inlineStr">
        <is>
          <t>ASSUMP_CLUSTER_RAMP; ASSUMP_CLOSED_MODEL_BAND; ASSUMP_NUMERIC_ACCELERATOR_MIX; ASSUMP_INFERENCE_SHARE_NOT_FACT_60; ASSUMP_WORKLOAD_CLASS_MIX; ASSUMP_AGENTIC_CONTEXT_PENALTY</t>
        </is>
      </c>
      <c r="L351" s="3" t="inlineStr">
        <is>
          <t>Recompute once active power and PUE become site-observable.</t>
        </is>
      </c>
    </row>
    <row r="352">
      <c r="A352" s="3" t="inlineStr">
        <is>
          <t>xAI</t>
        </is>
      </c>
      <c r="B352" s="3" t="n">
        <v>2026</v>
      </c>
      <c r="C352" s="3" t="inlineStr">
        <is>
          <t>Bear</t>
        </is>
      </c>
      <c r="D352" s="3" t="inlineStr">
        <is>
          <t>ai_workload_share</t>
        </is>
      </c>
      <c r="E352" s="3" t="n">
        <v>0.85</v>
      </c>
      <c r="F352" s="3" t="inlineStr">
        <is>
          <t>share</t>
        </is>
      </c>
      <c r="G352" s="3" t="inlineStr">
        <is>
          <t>Scenario allocation</t>
        </is>
      </c>
      <c r="H352" s="3" t="inlineStr">
        <is>
          <t>ai_it_load_gw = it_load_gw * ai_workload_share</t>
        </is>
      </c>
      <c r="I352" s="3" t="inlineStr">
        <is>
          <t>Colossus is AI-centric; 85% retains cooling/IT allocation boundary and non-serving AI work.</t>
        </is>
      </c>
      <c r="J352" s="3" t="inlineStr">
        <is>
          <t>SRC_XAI_MODELS; SRC_XAI_NVIDIA_COLOSSUS; SRC_EPOCH_AI_DATA_CENTERS</t>
        </is>
      </c>
      <c r="K352" s="3" t="inlineStr">
        <is>
          <t>ASSUMP_CLUSTER_RAMP; ASSUMP_CLOSED_MODEL_BAND; ASSUMP_NUMERIC_ACCELERATOR_MIX; ASSUMP_INFERENCE_SHARE_NOT_FACT_60; ASSUMP_WORKLOAD_CLASS_MIX; ASSUMP_AGENTIC_CONTEXT_PENALTY</t>
        </is>
      </c>
      <c r="L352" s="3" t="inlineStr">
        <is>
          <t>Model-owner AI workload allocation or cluster scheduling telemetry.</t>
        </is>
      </c>
    </row>
    <row r="353">
      <c r="A353" s="3" t="inlineStr">
        <is>
          <t>xAI</t>
        </is>
      </c>
      <c r="B353" s="3" t="n">
        <v>2026</v>
      </c>
      <c r="C353" s="3" t="inlineStr">
        <is>
          <t>Bear</t>
        </is>
      </c>
      <c r="D353" s="3" t="inlineStr">
        <is>
          <t>ai_it_load_gw</t>
        </is>
      </c>
      <c r="E353" s="3" t="n">
        <v>0.219</v>
      </c>
      <c r="F353" s="3" t="inlineStr">
        <is>
          <t>GW</t>
        </is>
      </c>
      <c r="G353" s="3" t="inlineStr">
        <is>
          <t>Derived formula</t>
        </is>
      </c>
      <c r="H353" s="3" t="inlineStr">
        <is>
          <t>it_load_gw * ai_workload_share</t>
        </is>
      </c>
      <c r="I353" s="3" t="inlineStr">
        <is>
          <t>Only the AI-attributed portion of IT load enters training/inference allocation.</t>
        </is>
      </c>
      <c r="J353" s="3" t="inlineStr">
        <is>
          <t>SRC_XAI_MODELS; SRC_XAI_NVIDIA_COLOSSUS; SRC_EPOCH_AI_DATA_CENTERS</t>
        </is>
      </c>
      <c r="K353" s="3" t="inlineStr">
        <is>
          <t>ASSUMP_CLUSTER_RAMP; ASSUMP_CLOSED_MODEL_BAND; ASSUMP_NUMERIC_ACCELERATOR_MIX; ASSUMP_INFERENCE_SHARE_NOT_FACT_60; ASSUMP_WORKLOAD_CLASS_MIX; ASSUMP_AGENTIC_CONTEXT_PENALTY</t>
        </is>
      </c>
      <c r="L353" s="3" t="inlineStr">
        <is>
          <t>Recompute after ai_workload_share is replaced by telemetry.</t>
        </is>
      </c>
    </row>
    <row r="354">
      <c r="A354" s="3" t="inlineStr">
        <is>
          <t>xAI</t>
        </is>
      </c>
      <c r="B354" s="3" t="n">
        <v>2026</v>
      </c>
      <c r="C354" s="3" t="inlineStr">
        <is>
          <t>Bear</t>
        </is>
      </c>
      <c r="D354" s="3" t="inlineStr">
        <is>
          <t>gpu_share</t>
        </is>
      </c>
      <c r="E354" s="3" t="n">
        <v>1</v>
      </c>
      <c r="F354" s="3" t="inlineStr">
        <is>
          <t>share of inference-serving accelerator load</t>
        </is>
      </c>
      <c r="G354" s="3" t="inlineStr">
        <is>
          <t>Numeric scenario</t>
        </is>
      </c>
      <c r="H354" s="3" t="inlineStr">
        <is>
          <t>gpu_share interpolated from company 2026/2030 accelerator-mix endpoints</t>
        </is>
      </c>
      <c r="I354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4" s="3" t="inlineStr">
        <is>
          <t>SRC_XAI_MODELS; SRC_XAI_NVIDIA_COLOSSUS; SRC_EPOCH_AI_DATA_CENTERS; ASSUMP_NUMERIC_ACCELERATOR_MIX</t>
        </is>
      </c>
      <c r="K354" s="3" t="inlineStr">
        <is>
          <t>ASSUMP_CLUSTER_RAMP; ASSUMP_CLOSED_MODEL_BAND; ASSUMP_NUMERIC_ACCELERATOR_MIX; ASSUMP_INFERENCE_SHARE_NOT_FACT_60; ASSUMP_WORKLOAD_CLASS_MIX; ASSUMP_AGENTIC_CONTEXT_PENALTY</t>
        </is>
      </c>
      <c r="L354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5">
      <c r="A355" s="3" t="inlineStr">
        <is>
          <t>xAI</t>
        </is>
      </c>
      <c r="B355" s="3" t="n">
        <v>2026</v>
      </c>
      <c r="C355" s="3" t="inlineStr">
        <is>
          <t>Bear</t>
        </is>
      </c>
      <c r="D355" s="3" t="inlineStr">
        <is>
          <t>h200_share</t>
        </is>
      </c>
      <c r="E355" s="3" t="n">
        <v>0</v>
      </c>
      <c r="F355" s="3" t="inlineStr">
        <is>
          <t>share of inference-serving accelerator load</t>
        </is>
      </c>
      <c r="G355" s="3" t="inlineStr">
        <is>
          <t>Editable numeric scenario</t>
        </is>
      </c>
      <c r="H355" s="3" t="inlineStr">
        <is>
          <t>h200_share = gpu_share * default_gpu_generation_mix_h200</t>
        </is>
      </c>
      <c r="I355" s="3" t="inlineStr">
        <is>
          <t>Default GPU-generation migration assumption; executive workbook allows later manual replacement by company/year/scenario.</t>
        </is>
      </c>
      <c r="J355" s="3" t="inlineStr">
        <is>
          <t>SRC_SEMIANALYSIS_INFERENCEX; ASSUMP_NUMERIC_ACCELERATOR_MIX</t>
        </is>
      </c>
      <c r="K355" s="3" t="inlineStr">
        <is>
          <t>ASSUMP_CLUSTER_RAMP; ASSUMP_CLOSED_MODEL_BAND; ASSUMP_NUMERIC_ACCELERATOR_MIX; ASSUMP_INFERENCE_SHARE_NOT_FACT_60; ASSUMP_WORKLOAD_CLASS_MIX; ASSUMP_AGENTIC_CONTEXT_PENALTY</t>
        </is>
      </c>
      <c r="L355" s="3" t="inlineStr">
        <is>
          <t>Company fleet inventory, accelerator-hours or procurement/deployment records by GPU generation.</t>
        </is>
      </c>
    </row>
    <row r="356">
      <c r="A356" s="3" t="inlineStr">
        <is>
          <t>xAI</t>
        </is>
      </c>
      <c r="B356" s="3" t="n">
        <v>2026</v>
      </c>
      <c r="C356" s="3" t="inlineStr">
        <is>
          <t>Bear</t>
        </is>
      </c>
      <c r="D356" s="3" t="inlineStr">
        <is>
          <t>b200_share</t>
        </is>
      </c>
      <c r="E356" s="3" t="n">
        <v>1</v>
      </c>
      <c r="F356" s="3" t="inlineStr">
        <is>
          <t>share of inference-serving accelerator load</t>
        </is>
      </c>
      <c r="G356" s="3" t="inlineStr">
        <is>
          <t>Editable numeric scenario</t>
        </is>
      </c>
      <c r="H356" s="3" t="inlineStr">
        <is>
          <t>b200_share = gpu_share * default_gpu_generation_mix_b200</t>
        </is>
      </c>
      <c r="I356" s="3" t="inlineStr">
        <is>
          <t>Default GPU-generation migration assumption; executive workbook allows later manual replacement by company/year/scenario.</t>
        </is>
      </c>
      <c r="J356" s="3" t="inlineStr">
        <is>
          <t>SRC_SEMIANALYSIS_INFERENCEX; ASSUMP_NUMERIC_ACCELERATOR_MIX</t>
        </is>
      </c>
      <c r="K356" s="3" t="inlineStr">
        <is>
          <t>ASSUMP_CLUSTER_RAMP; ASSUMP_CLOSED_MODEL_BAND; ASSUMP_NUMERIC_ACCELERATOR_MIX; ASSUMP_INFERENCE_SHARE_NOT_FACT_60; ASSUMP_WORKLOAD_CLASS_MIX; ASSUMP_AGENTIC_CONTEXT_PENALTY</t>
        </is>
      </c>
      <c r="L356" s="3" t="inlineStr">
        <is>
          <t>Company fleet inventory, accelerator-hours or procurement/deployment records by GPU generation.</t>
        </is>
      </c>
    </row>
    <row r="357">
      <c r="A357" s="3" t="inlineStr">
        <is>
          <t>xAI</t>
        </is>
      </c>
      <c r="B357" s="3" t="n">
        <v>2026</v>
      </c>
      <c r="C357" s="3" t="inlineStr">
        <is>
          <t>Bear</t>
        </is>
      </c>
      <c r="D357" s="3" t="inlineStr">
        <is>
          <t>gb200_share</t>
        </is>
      </c>
      <c r="E357" s="3" t="n">
        <v>0</v>
      </c>
      <c r="F357" s="3" t="inlineStr">
        <is>
          <t>share of inference-serving accelerator load</t>
        </is>
      </c>
      <c r="G357" s="3" t="inlineStr">
        <is>
          <t>Editable numeric scenario</t>
        </is>
      </c>
      <c r="H357" s="3" t="inlineStr">
        <is>
          <t>gb200_share = gpu_share * default_gpu_generation_mix_gb200</t>
        </is>
      </c>
      <c r="I357" s="3" t="inlineStr">
        <is>
          <t>Default GPU-generation migration assumption; executive workbook allows later manual replacement by company/year/scenario.</t>
        </is>
      </c>
      <c r="J357" s="3" t="inlineStr">
        <is>
          <t>SRC_SEMIANALYSIS_INFERENCEX; ASSUMP_NUMERIC_ACCELERATOR_MIX</t>
        </is>
      </c>
      <c r="K357" s="3" t="inlineStr">
        <is>
          <t>ASSUMP_CLUSTER_RAMP; ASSUMP_CLOSED_MODEL_BAND; ASSUMP_NUMERIC_ACCELERATOR_MIX; ASSUMP_INFERENCE_SHARE_NOT_FACT_60; ASSUMP_WORKLOAD_CLASS_MIX; ASSUMP_AGENTIC_CONTEXT_PENALTY</t>
        </is>
      </c>
      <c r="L357" s="3" t="inlineStr">
        <is>
          <t>Company fleet inventory, accelerator-hours or procurement/deployment records by GPU generation.</t>
        </is>
      </c>
    </row>
    <row r="358">
      <c r="A358" s="3" t="inlineStr">
        <is>
          <t>xAI</t>
        </is>
      </c>
      <c r="B358" s="3" t="n">
        <v>2026</v>
      </c>
      <c r="C358" s="3" t="inlineStr">
        <is>
          <t>Bear</t>
        </is>
      </c>
      <c r="D358" s="3" t="inlineStr">
        <is>
          <t>purpose_built_accelerator_share</t>
        </is>
      </c>
      <c r="E358" s="3" t="n">
        <v>0</v>
      </c>
      <c r="F358" s="3" t="inlineStr">
        <is>
          <t>share of inference-serving accelerator load</t>
        </is>
      </c>
      <c r="G358" s="3" t="inlineStr">
        <is>
          <t>Numeric scenario</t>
        </is>
      </c>
      <c r="H358" s="3" t="inlineStr">
        <is>
          <t>1 - gpu_share</t>
        </is>
      </c>
      <c r="I358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8" s="3" t="inlineStr">
        <is>
          <t>SRC_XAI_MODELS; SRC_XAI_NVIDIA_COLOSSUS; SRC_EPOCH_AI_DATA_CENTERS; ASSUMP_NUMERIC_ACCELERATOR_MIX</t>
        </is>
      </c>
      <c r="K358" s="3" t="inlineStr">
        <is>
          <t>ASSUMP_CLUSTER_RAMP; ASSUMP_CLOSED_MODEL_BAND; ASSUMP_NUMERIC_ACCELERATOR_MIX; ASSUMP_INFERENCE_SHARE_NOT_FACT_60; ASSUMP_WORKLOAD_CLASS_MIX; ASSUMP_AGENTIC_CONTEXT_PENALTY</t>
        </is>
      </c>
      <c r="L358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9">
      <c r="A359" s="3" t="inlineStr">
        <is>
          <t>xAI</t>
        </is>
      </c>
      <c r="B359" s="3" t="n">
        <v>2026</v>
      </c>
      <c r="C359" s="3" t="inlineStr">
        <is>
          <t>Bear</t>
        </is>
      </c>
      <c r="D359" s="3" t="inlineStr">
        <is>
          <t>fleet_reference_tps_per_mw</t>
        </is>
      </c>
      <c r="E359" s="3" t="n">
        <v>3010288</v>
      </c>
      <c r="F359" s="3" t="inlineStr">
        <is>
          <t>generated output tokens/sec/MW</t>
        </is>
      </c>
      <c r="G359" s="3" t="inlineStr">
        <is>
          <t>Fleet-weighted public benchmark reference</t>
        </is>
      </c>
      <c r="H359" s="3" t="inlineStr">
        <is>
          <t>h200_share*h200_workload_avg + b200_share*b200_workload_avg + gb200_share*gb200_workload_avg + purpose_built_share*purpose_workload_avg</t>
        </is>
      </c>
      <c r="I35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9" s="3" t="inlineStr">
        <is>
          <t>SRC_SEMIANALYSIS_INFERENCEX; ASSUMP_NUMERIC_ACCELERATOR_MIX; ASSUMP_WORKLOAD_CLASS_MIX; ASSUMP_AGENTIC_CONTEXT_PENALTY</t>
        </is>
      </c>
      <c r="K359" s="3" t="inlineStr">
        <is>
          <t>ASSUMP_CLUSTER_RAMP; ASSUMP_CLOSED_MODEL_BAND; ASSUMP_NUMERIC_ACCELERATOR_MIX; ASSUMP_INFERENCE_SHARE_NOT_FACT_60; ASSUMP_WORKLOAD_CLASS_MIX; ASSUMP_AGENTIC_CONTEXT_PENALTY</t>
        </is>
      </c>
      <c r="L359" s="3" t="inlineStr">
        <is>
          <t>Comparable production output-token throughput or a more closely matched benchmark.</t>
        </is>
      </c>
    </row>
    <row r="360">
      <c r="A360" s="3" t="inlineStr">
        <is>
          <t>xAI</t>
        </is>
      </c>
      <c r="B360" s="3" t="n">
        <v>2026</v>
      </c>
      <c r="C360" s="3" t="inlineStr">
        <is>
          <t>Bear</t>
        </is>
      </c>
      <c r="D360" s="3" t="inlineStr">
        <is>
          <t>commercial_workload_fit_factor</t>
        </is>
      </c>
      <c r="E360" s="3" t="n">
        <v>0.35</v>
      </c>
      <c r="F360" s="3" t="inlineStr">
        <is>
          <t>share of public reference throughput</t>
        </is>
      </c>
      <c r="G360" s="3" t="inlineStr">
        <is>
          <t>Scenario assumption</t>
        </is>
      </c>
      <c r="H360" s="3" t="inlineStr">
        <is>
          <t>reference_serving_tps_per_mw = fleet_reference_tps_per_mw * commercial_workload_fit_factor</t>
        </is>
      </c>
      <c r="I36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60" s="3" t="inlineStr">
        <is>
          <t>SRC_SEMIANALYSIS_INFERENCEX; ASSUMP_NUMERIC_ACCELERATOR_MIX; ASSUMP_WORKLOAD_CLASS_MIX; ASSUMP_AGENTIC_CONTEXT_PENALTY</t>
        </is>
      </c>
      <c r="K360" s="3" t="inlineStr">
        <is>
          <t>ASSUMP_CLUSTER_RAMP; ASSUMP_CLOSED_MODEL_BAND; ASSUMP_NUMERIC_ACCELERATOR_MIX; ASSUMP_INFERENCE_SHARE_NOT_FACT_60; ASSUMP_WORKLOAD_CLASS_MIX; ASSUMP_AGENTIC_CONTEXT_PENALTY</t>
        </is>
      </c>
      <c r="L360" s="3" t="inlineStr">
        <is>
          <t>Matched commercial serving benchmark by product surface, context shape and latency SLO.</t>
        </is>
      </c>
    </row>
    <row r="361">
      <c r="A361" s="3" t="inlineStr">
        <is>
          <t>xAI</t>
        </is>
      </c>
      <c r="B361" s="3" t="n">
        <v>2026</v>
      </c>
      <c r="C361" s="3" t="inlineStr">
        <is>
          <t>Bear</t>
        </is>
      </c>
      <c r="D361" s="3" t="inlineStr">
        <is>
          <t>reference_serving_tps_per_mw</t>
        </is>
      </c>
      <c r="E361" s="3" t="n">
        <v>1053601</v>
      </c>
      <c r="F361" s="3" t="inlineStr">
        <is>
          <t>generated output tokens/sec/MW</t>
        </is>
      </c>
      <c r="G361" s="3" t="inlineStr">
        <is>
          <t>Workload-adjusted benchmark proxy</t>
        </is>
      </c>
      <c r="H361" s="3" t="inlineStr">
        <is>
          <t>fleet_reference_tps_per_mw * commercial_workload_fit_factor</t>
        </is>
      </c>
      <c r="I361" s="3" t="inlineStr">
        <is>
          <t>This is the coefficient used for headline token generation; each GPU's short chat, long chat and agentic TPS/MW are weighted before fleet mix and commercial fit are applied.</t>
        </is>
      </c>
      <c r="J361" s="3" t="inlineStr">
        <is>
          <t>SRC_SEMIANALYSIS_INFERENCEX; ASSUMP_NUMERIC_ACCELERATOR_MIX; ASSUMP_WORKLOAD_CLASS_MIX; ASSUMP_AGENTIC_CONTEXT_PENALTY</t>
        </is>
      </c>
      <c r="K361" s="3" t="inlineStr">
        <is>
          <t>ASSUMP_CLUSTER_RAMP; ASSUMP_CLOSED_MODEL_BAND; ASSUMP_NUMERIC_ACCELERATOR_MIX; ASSUMP_INFERENCE_SHARE_NOT_FACT_60; ASSUMP_WORKLOAD_CLASS_MIX; ASSUMP_AGENTIC_CONTEXT_PENALTY</t>
        </is>
      </c>
      <c r="L361" s="3" t="inlineStr">
        <is>
          <t>Provider production output-token throughput with comparable workload/SLO.</t>
        </is>
      </c>
    </row>
    <row r="362">
      <c r="A362" s="3" t="inlineStr">
        <is>
          <t>xAI</t>
        </is>
      </c>
      <c r="B362" s="3" t="n">
        <v>2026</v>
      </c>
      <c r="C362" s="3" t="inlineStr">
        <is>
          <t>Bear</t>
        </is>
      </c>
      <c r="D362" s="3" t="inlineStr">
        <is>
          <t>purpose_built_tps_per_mw</t>
        </is>
      </c>
      <c r="E362" s="3" t="n">
        <v>1580938</v>
      </c>
      <c r="F362" s="3" t="inlineStr">
        <is>
          <t>generated output tokens/sec/MW</t>
        </is>
      </c>
      <c r="G362" s="3" t="inlineStr">
        <is>
          <t>Conservative no-uplift proxy</t>
        </is>
      </c>
      <c r="H362" s="3" t="inlineStr">
        <is>
          <t>purpose_built_tps_per_mw = purpose_built_reference_tps_per_mw * commercial_workload_fit_factor until comparable output-token benchmark is adopted</t>
        </is>
      </c>
      <c r="I362" s="3" t="inlineStr">
        <is>
          <t>No comparable public output-token/MW row adopted; B200 public reference placeholder is used and remains editable.</t>
        </is>
      </c>
      <c r="J362" s="3" t="inlineStr">
        <is>
          <t>SRC_XAI_MODELS; SRC_XAI_NVIDIA_COLOSSUS; SRC_EPOCH_AI_DATA_CENTERS; ASSUMP_NUMERIC_ACCELERATOR_MIX</t>
        </is>
      </c>
      <c r="K362" s="3" t="inlineStr">
        <is>
          <t>ASSUMP_CLUSTER_RAMP; ASSUMP_CLOSED_MODEL_BAND; ASSUMP_NUMERIC_ACCELERATOR_MIX; ASSUMP_INFERENCE_SHARE_NOT_FACT_60; ASSUMP_WORKLOAD_CLASS_MIX; ASSUMP_AGENTIC_CONTEXT_PENALTY</t>
        </is>
      </c>
      <c r="L362" s="3" t="inlineStr">
        <is>
          <t>Matched-workload generated-output benchmark for the provider purpose-built accelerator.</t>
        </is>
      </c>
    </row>
    <row r="363">
      <c r="A363" s="3" t="inlineStr">
        <is>
          <t>xAI</t>
        </is>
      </c>
      <c r="B363" s="3" t="n">
        <v>2026</v>
      </c>
      <c r="C363" s="3" t="inlineStr">
        <is>
          <t>Bear</t>
        </is>
      </c>
      <c r="D363" s="3" t="inlineStr">
        <is>
          <t>inference_power_share</t>
        </is>
      </c>
      <c r="E363" s="3" t="n">
        <v>0.37</v>
      </c>
      <c r="F363" s="3" t="inlineStr">
        <is>
          <t>share of AI IT load</t>
        </is>
      </c>
      <c r="G363" s="3" t="inlineStr">
        <is>
          <t>Scenario allocation</t>
        </is>
      </c>
      <c r="H363" s="3" t="inlineStr">
        <is>
          <t>inference_gw = ai_it_load_gw * inference_power_share</t>
        </is>
      </c>
      <c r="I363" s="3" t="inlineStr">
        <is>
          <t>Grok product expansion is modeled to shift capacity toward inference after initial training-heavy operation.</t>
        </is>
      </c>
      <c r="J363" s="3" t="inlineStr">
        <is>
          <t>SRC_XAI_MODELS; SRC_XAI_NVIDIA_COLOSSUS; SRC_EPOCH_AI_DATA_CENTERS; ASSUMP_INFERENCE_SHARE_NOT_FACT_60</t>
        </is>
      </c>
      <c r="K363" s="3" t="inlineStr">
        <is>
          <t>ASSUMP_CLUSTER_RAMP; ASSUMP_CLOSED_MODEL_BAND; ASSUMP_NUMERIC_ACCELERATOR_MIX; ASSUMP_INFERENCE_SHARE_NOT_FACT_60; ASSUMP_WORKLOAD_CLASS_MIX; ASSUMP_AGENTIC_CONTEXT_PENALTY</t>
        </is>
      </c>
      <c r="L363" s="3" t="inlineStr">
        <is>
          <t>Provider-specific inference/training workload power telemetry.</t>
        </is>
      </c>
    </row>
    <row r="364">
      <c r="A364" s="3" t="inlineStr">
        <is>
          <t>xAI</t>
        </is>
      </c>
      <c r="B364" s="3" t="n">
        <v>2026</v>
      </c>
      <c r="C364" s="3" t="inlineStr">
        <is>
          <t>Bear</t>
        </is>
      </c>
      <c r="D364" s="3" t="inlineStr">
        <is>
          <t>inference_gw</t>
        </is>
      </c>
      <c r="E364" s="3" t="n">
        <v>0.081</v>
      </c>
      <c r="F364" s="3" t="inlineStr">
        <is>
          <t>GW</t>
        </is>
      </c>
      <c r="G364" s="3" t="inlineStr">
        <is>
          <t>Derived formula</t>
        </is>
      </c>
      <c r="H364" s="3" t="inlineStr">
        <is>
          <t>ai_it_load_gw * inference_power_share</t>
        </is>
      </c>
      <c r="I364" s="3" t="inlineStr">
        <is>
          <t>This is the operational power eligible to become commercial generated output tokens through the selected TPS/MW proxy.</t>
        </is>
      </c>
      <c r="J364" s="3" t="inlineStr">
        <is>
          <t>SRC_XAI_MODELS; SRC_XAI_NVIDIA_COLOSSUS; SRC_EPOCH_AI_DATA_CENTERS</t>
        </is>
      </c>
      <c r="K364" s="3" t="inlineStr">
        <is>
          <t>ASSUMP_CLUSTER_RAMP; ASSUMP_CLOSED_MODEL_BAND; ASSUMP_NUMERIC_ACCELERATOR_MIX; ASSUMP_INFERENCE_SHARE_NOT_FACT_60; ASSUMP_WORKLOAD_CLASS_MIX; ASSUMP_AGENTIC_CONTEXT_PENALTY</t>
        </is>
      </c>
      <c r="L364" s="3" t="inlineStr">
        <is>
          <t>Recompute after AI allocation or inference-share evidence changes.</t>
        </is>
      </c>
    </row>
    <row r="365">
      <c r="A365" s="3" t="inlineStr">
        <is>
          <t>xAI</t>
        </is>
      </c>
      <c r="B365" s="3" t="n">
        <v>2026</v>
      </c>
      <c r="C365" s="3" t="inlineStr">
        <is>
          <t>Bear</t>
        </is>
      </c>
      <c r="D365" s="3" t="inlineStr">
        <is>
          <t>training_power_share</t>
        </is>
      </c>
      <c r="E365" s="3" t="n">
        <v>0.63</v>
      </c>
      <c r="F365" s="3" t="inlineStr">
        <is>
          <t>share of AI IT load</t>
        </is>
      </c>
      <c r="G365" s="3" t="inlineStr">
        <is>
          <t>Derived allocation</t>
        </is>
      </c>
      <c r="H365" s="3" t="inlineStr">
        <is>
          <t>1 - inference_power_share</t>
        </is>
      </c>
      <c r="I365" s="3" t="inlineStr">
        <is>
          <t>Training receives the complementary modeled AI IT allocation; it is not a disclosed company workload split.</t>
        </is>
      </c>
      <c r="J365" s="3" t="inlineStr">
        <is>
          <t>SRC_XAI_MODELS; SRC_XAI_NVIDIA_COLOSSUS; SRC_EPOCH_AI_DATA_CENTERS; ASSUMP_INFERENCE_SHARE_NOT_FACT_60</t>
        </is>
      </c>
      <c r="K365" s="3" t="inlineStr">
        <is>
          <t>ASSUMP_CLUSTER_RAMP; ASSUMP_CLOSED_MODEL_BAND; ASSUMP_NUMERIC_ACCELERATOR_MIX; ASSUMP_INFERENCE_SHARE_NOT_FACT_60; ASSUMP_WORKLOAD_CLASS_MIX; ASSUMP_AGENTIC_CONTEXT_PENALTY</t>
        </is>
      </c>
      <c r="L365" s="3" t="inlineStr">
        <is>
          <t>Provider-specific inference/training workload power telemetry.</t>
        </is>
      </c>
    </row>
    <row r="366">
      <c r="A366" s="3" t="inlineStr">
        <is>
          <t>xAI</t>
        </is>
      </c>
      <c r="B366" s="3" t="n">
        <v>2026</v>
      </c>
      <c r="C366" s="3" t="inlineStr">
        <is>
          <t>Bear</t>
        </is>
      </c>
      <c r="D366" s="3" t="inlineStr">
        <is>
          <t>training_gw</t>
        </is>
      </c>
      <c r="E366" s="3" t="n">
        <v>0.138</v>
      </c>
      <c r="F366" s="3" t="inlineStr">
        <is>
          <t>GW</t>
        </is>
      </c>
      <c r="G366" s="3" t="inlineStr">
        <is>
          <t>Derived formula</t>
        </is>
      </c>
      <c r="H366" s="3" t="inlineStr">
        <is>
          <t>ai_it_load_gw * training_power_share</t>
        </is>
      </c>
      <c r="I366" s="3" t="inlineStr">
        <is>
          <t>Training GW is shown separately so commercial inference token capacity is not overstated.</t>
        </is>
      </c>
      <c r="J366" s="3" t="inlineStr">
        <is>
          <t>SRC_XAI_MODELS; SRC_XAI_NVIDIA_COLOSSUS; SRC_EPOCH_AI_DATA_CENTERS</t>
        </is>
      </c>
      <c r="K366" s="3" t="inlineStr">
        <is>
          <t>ASSUMP_CLUSTER_RAMP; ASSUMP_CLOSED_MODEL_BAND; ASSUMP_NUMERIC_ACCELERATOR_MIX; ASSUMP_INFERENCE_SHARE_NOT_FACT_60; ASSUMP_WORKLOAD_CLASS_MIX; ASSUMP_AGENTIC_CONTEXT_PENALTY</t>
        </is>
      </c>
      <c r="L366" s="3" t="inlineStr">
        <is>
          <t>Recompute after AI allocation or workload-split evidence changes.</t>
        </is>
      </c>
    </row>
    <row r="367">
      <c r="A367" s="3" t="inlineStr">
        <is>
          <t>xAI</t>
        </is>
      </c>
      <c r="B367" s="3" t="n">
        <v>2026</v>
      </c>
      <c r="C367" s="3" t="inlineStr">
        <is>
          <t>Bear</t>
        </is>
      </c>
      <c r="D367" s="3" t="inlineStr">
        <is>
          <t>tokens_per_second_per_mw</t>
        </is>
      </c>
      <c r="E367" s="3" t="n">
        <v>1053601</v>
      </c>
      <c r="F367" s="3" t="inlineStr">
        <is>
          <t>generated output tokens/sec/MW</t>
        </is>
      </c>
      <c r="G367" s="3" t="inlineStr">
        <is>
          <t>Derived estimate + benchmark calibration</t>
        </is>
      </c>
      <c r="H367" s="3" t="inlineStr">
        <is>
          <t>fleet_reference_tps_per_mw * commercial_workload_fit_factor</t>
        </is>
      </c>
      <c r="I36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67" s="3" t="inlineStr">
        <is>
          <t>SRC_XAI_MODELS; SRC_XAI_NVIDIA_COLOSSUS; SRC_EPOCH_AI_DATA_CENTERS; SRC_SEMIANALYSIS_INFERENCEX; ASSUMP_NUMERIC_ACCELERATOR_MIX; ASSUMP_WORKLOAD_CLASS_MIX; ASSUMP_AGENTIC_CONTEXT_PENALTY</t>
        </is>
      </c>
      <c r="K367" s="3" t="inlineStr">
        <is>
          <t>ASSUMP_CLUSTER_RAMP; ASSUMP_CLOSED_MODEL_BAND; ASSUMP_NUMERIC_ACCELERATOR_MIX; ASSUMP_INFERENCE_SHARE_NOT_FACT_60; ASSUMP_WORKLOAD_CLASS_MIX; ASSUMP_AGENTIC_CONTEXT_PENALTY</t>
        </is>
      </c>
      <c r="L367" s="3" t="inlineStr">
        <is>
          <t>Comparable production output-token throughput with model, hardware, precision, ISL/OSL and SLO matched.</t>
        </is>
      </c>
    </row>
    <row r="368">
      <c r="A368" s="3" t="inlineStr">
        <is>
          <t>xAI</t>
        </is>
      </c>
      <c r="B368" s="3" t="n">
        <v>2026</v>
      </c>
      <c r="C368" s="3" t="inlineStr">
        <is>
          <t>Bear</t>
        </is>
      </c>
      <c r="D368" s="3" t="inlineStr">
        <is>
          <t>inference_tokens_per_day</t>
        </is>
      </c>
      <c r="E368" s="3" t="n">
        <v>7373521238400</v>
      </c>
      <c r="F368" s="3" t="inlineStr">
        <is>
          <t>generated output tokens/day</t>
        </is>
      </c>
      <c r="G368" s="3" t="inlineStr">
        <is>
          <t>Derived headline metric</t>
        </is>
      </c>
      <c r="H368" s="3" t="inlineStr">
        <is>
          <t>inference_gw * 1000 * tokens_per_second_per_mw * 86,400</t>
        </is>
      </c>
      <c r="I368" s="3" t="inlineStr">
        <is>
          <t>Headline capacity uses no utilization, MoE, architecture or software-growth multiplier; it is not observed commercial output volume.</t>
        </is>
      </c>
      <c r="J368" s="3" t="inlineStr">
        <is>
          <t>SRC_XAI_MODELS; SRC_XAI_NVIDIA_COLOSSUS; SRC_EPOCH_AI_DATA_CENTERS; SRC_SEMIANALYSIS_INFERENCEX</t>
        </is>
      </c>
      <c r="K368" s="3" t="inlineStr">
        <is>
          <t>ASSUMP_CLUSTER_RAMP; ASSUMP_CLOSED_MODEL_BAND; ASSUMP_NUMERIC_ACCELERATOR_MIX; ASSUMP_INFERENCE_SHARE_NOT_FACT_60; ASSUMP_WORKLOAD_CLASS_MIX; ASSUMP_AGENTIC_CONTEXT_PENALTY</t>
        </is>
      </c>
      <c r="L368" s="3" t="inlineStr">
        <is>
          <t>Provider-disclosed generated output token volume or calibrated capacity telemetry.</t>
        </is>
      </c>
    </row>
    <row r="369">
      <c r="A369" s="3" t="inlineStr">
        <is>
          <t>xAI</t>
        </is>
      </c>
      <c r="B369" s="3" t="n">
        <v>2026</v>
      </c>
      <c r="C369" s="3" t="inlineStr">
        <is>
          <t>Bear</t>
        </is>
      </c>
      <c r="D369" s="3" t="inlineStr">
        <is>
          <t>inference_tokens_per_year</t>
        </is>
      </c>
      <c r="E369" s="3" t="n">
        <v>2691335252016000</v>
      </c>
      <c r="F369" s="3" t="inlineStr">
        <is>
          <t>generated output tokens/year</t>
        </is>
      </c>
      <c r="G369" s="3" t="inlineStr">
        <is>
          <t>Derived headline metric</t>
        </is>
      </c>
      <c r="H369" s="3" t="inlineStr">
        <is>
          <t>inference_tokens_per_day * 365</t>
        </is>
      </c>
      <c r="I369" s="3" t="inlineStr">
        <is>
          <t>Annualized version of generated output token capacity; it is not observed annual demand or billable volume.</t>
        </is>
      </c>
      <c r="J369" s="3" t="inlineStr">
        <is>
          <t>SRC_XAI_MODELS; SRC_XAI_NVIDIA_COLOSSUS; SRC_EPOCH_AI_DATA_CENTERS; SRC_SEMIANALYSIS_INFERENCEX</t>
        </is>
      </c>
      <c r="K369" s="3" t="inlineStr">
        <is>
          <t>ASSUMP_CLUSTER_RAMP; ASSUMP_CLOSED_MODEL_BAND; ASSUMP_NUMERIC_ACCELERATOR_MIX; ASSUMP_INFERENCE_SHARE_NOT_FACT_60; ASSUMP_WORKLOAD_CLASS_MIX; ASSUMP_AGENTIC_CONTEXT_PENALTY</t>
        </is>
      </c>
      <c r="L369" s="3" t="inlineStr">
        <is>
          <t>Provider-disclosed annual generated-output volume or metered serving telemetry.</t>
        </is>
      </c>
    </row>
    <row r="370">
      <c r="A370" s="3" t="inlineStr">
        <is>
          <t>xAI</t>
        </is>
      </c>
      <c r="B370" s="3" t="n">
        <v>2027</v>
      </c>
      <c r="C370" s="3" t="inlineStr">
        <is>
          <t>Bear</t>
        </is>
      </c>
      <c r="D370" s="3" t="inlineStr">
        <is>
          <t>contracted_power_gw</t>
        </is>
      </c>
      <c r="E370" s="3" t="n">
        <v>1.5</v>
      </c>
      <c r="F370" s="3" t="inlineStr">
        <is>
          <t>GW</t>
        </is>
      </c>
      <c r="G370" s="3" t="inlineStr">
        <is>
          <t>Fact anchor + scenario ceiling</t>
        </is>
      </c>
      <c r="H370" s="3" t="inlineStr">
        <is>
          <t>linear interpolation between 2026 and 2030 company capacity endpoints</t>
        </is>
      </c>
      <c r="I370" s="3" t="inlineStr">
        <is>
          <t>Colossus GPU-count disclosure bounds capacity direction; contracted GW values are modeled power envelopes.</t>
        </is>
      </c>
      <c r="J370" s="3" t="inlineStr">
        <is>
          <t>SRC_XAI_NVIDIA_COLOSSUS; ASSUMP_CLUSTER_RAMP</t>
        </is>
      </c>
      <c r="K370" s="3" t="inlineStr">
        <is>
          <t>ASSUMP_CLUSTER_RAMP; ASSUMP_CLOSED_MODEL_BAND; ASSUMP_NUMERIC_ACCELERATOR_MIX; ASSUMP_INFERENCE_SHARE_NOT_FACT_60; ASSUMP_WORKLOAD_CLASS_MIX; ASSUMP_AGENTIC_CONTEXT_PENALTY</t>
        </is>
      </c>
      <c r="L370" s="3" t="inlineStr">
        <is>
          <t>Company/site-level committed MW/GW, interconnect and contract disclosure.</t>
        </is>
      </c>
    </row>
    <row r="371">
      <c r="A371" s="3" t="inlineStr">
        <is>
          <t>xAI</t>
        </is>
      </c>
      <c r="B371" s="3" t="n">
        <v>2027</v>
      </c>
      <c r="C371" s="3" t="inlineStr">
        <is>
          <t>Bear</t>
        </is>
      </c>
      <c r="D371" s="3" t="inlineStr">
        <is>
          <t>operational_deployment_share</t>
        </is>
      </c>
      <c r="E371" s="3" t="n">
        <v>0.52066667</v>
      </c>
      <c r="F371" s="3" t="inlineStr">
        <is>
          <t>share</t>
        </is>
      </c>
      <c r="G371" s="3" t="inlineStr">
        <is>
          <t>Scenario conversion</t>
        </is>
      </c>
      <c r="H371" s="3" t="inlineStr">
        <is>
          <t>active_power_gw / contracted_power_gw</t>
        </is>
      </c>
      <c r="I371" s="3" t="inlineStr">
        <is>
          <t>This is the single explicit conversion from contracted/attributed capacity to operationally usable capacity.</t>
        </is>
      </c>
      <c r="J371" s="3" t="inlineStr">
        <is>
          <t>SRC_XAI_NVIDIA_COLOSSUS; ASSUMP_CLUSTER_RAMP</t>
        </is>
      </c>
      <c r="K371" s="3" t="inlineStr">
        <is>
          <t>ASSUMP_CLUSTER_RAMP; ASSUMP_CLOSED_MODEL_BAND; ASSUMP_NUMERIC_ACCELERATOR_MIX; ASSUMP_INFERENCE_SHARE_NOT_FACT_60; ASSUMP_WORKLOAD_CLASS_MIX; ASSUMP_AGENTIC_CONTEXT_PENALTY</t>
        </is>
      </c>
      <c r="L371" s="3" t="inlineStr">
        <is>
          <t>Energized operational capacity divided by contracted/attributed capacity.</t>
        </is>
      </c>
    </row>
    <row r="372">
      <c r="A372" s="3" t="inlineStr">
        <is>
          <t>xAI</t>
        </is>
      </c>
      <c r="B372" s="3" t="n">
        <v>2027</v>
      </c>
      <c r="C372" s="3" t="inlineStr">
        <is>
          <t>Bear</t>
        </is>
      </c>
      <c r="D372" s="3" t="inlineStr">
        <is>
          <t>active_power_gw</t>
        </is>
      </c>
      <c r="E372" s="3" t="n">
        <v>0.781</v>
      </c>
      <c r="F372" s="3" t="inlineStr">
        <is>
          <t>GW</t>
        </is>
      </c>
      <c r="G372" s="3" t="inlineStr">
        <is>
          <t>Derived scenario</t>
        </is>
      </c>
      <c r="H372" s="3" t="inlineStr">
        <is>
          <t>contracted_power_gw * operational_deployment_share</t>
        </is>
      </c>
      <c r="I372" s="3" t="inlineStr">
        <is>
          <t>GPU cluster scale anchors operational possibility, while inference/training allocation and site power draw remain estimates.</t>
        </is>
      </c>
      <c r="J372" s="3" t="inlineStr">
        <is>
          <t>SRC_XAI_NVIDIA_COLOSSUS; ASSUMP_CLUSTER_RAMP</t>
        </is>
      </c>
      <c r="K372" s="3" t="inlineStr">
        <is>
          <t>ASSUMP_CLUSTER_RAMP; ASSUMP_CLOSED_MODEL_BAND; ASSUMP_NUMERIC_ACCELERATOR_MIX; ASSUMP_INFERENCE_SHARE_NOT_FACT_60; ASSUMP_WORKLOAD_CLASS_MIX; ASSUMP_AGENTIC_CONTEXT_PENALTY</t>
        </is>
      </c>
      <c r="L372" s="3" t="inlineStr">
        <is>
          <t>Energization dates, accelerator deliveries and operational powered-rack telemetry.</t>
        </is>
      </c>
    </row>
    <row r="373">
      <c r="A373" s="3" t="inlineStr">
        <is>
          <t>xAI</t>
        </is>
      </c>
      <c r="B373" s="3" t="n">
        <v>2027</v>
      </c>
      <c r="C373" s="3" t="inlineStr">
        <is>
          <t>Bear</t>
        </is>
      </c>
      <c r="D373" s="3" t="inlineStr">
        <is>
          <t>pue</t>
        </is>
      </c>
      <c r="E373" s="3" t="n">
        <v>1.22</v>
      </c>
      <c r="F373" s="3" t="inlineStr">
        <is>
          <t>ratio</t>
        </is>
      </c>
      <c r="G373" s="3" t="inlineStr">
        <is>
          <t>Scenario parameter</t>
        </is>
      </c>
      <c r="H373" s="3" t="inlineStr">
        <is>
          <t>it_load_gw = active_power_gw / pue</t>
        </is>
      </c>
      <c r="I373" s="3" t="inlineStr">
        <is>
          <t>No provider-wide site-level PUE is used as a disclosed fact; PUE represents facility-to-IT conversion within the scenario.</t>
        </is>
      </c>
      <c r="J373" s="3" t="inlineStr">
        <is>
          <t>ASSUMP_POWER_RAMP</t>
        </is>
      </c>
      <c r="K373" s="3" t="inlineStr">
        <is>
          <t>ASSUMP_CLUSTER_RAMP; ASSUMP_CLOSED_MODEL_BAND; ASSUMP_NUMERIC_ACCELERATOR_MIX; ASSUMP_INFERENCE_SHARE_NOT_FACT_60; ASSUMP_WORKLOAD_CLASS_MIX; ASSUMP_AGENTIC_CONTEXT_PENALTY</t>
        </is>
      </c>
      <c r="L373" s="3" t="inlineStr">
        <is>
          <t>Site-level measured PUE matched to attributed AI capacity.</t>
        </is>
      </c>
    </row>
    <row r="374">
      <c r="A374" s="3" t="inlineStr">
        <is>
          <t>xAI</t>
        </is>
      </c>
      <c r="B374" s="3" t="n">
        <v>2027</v>
      </c>
      <c r="C374" s="3" t="inlineStr">
        <is>
          <t>Bear</t>
        </is>
      </c>
      <c r="D374" s="3" t="inlineStr">
        <is>
          <t>it_load_gw</t>
        </is>
      </c>
      <c r="E374" s="3" t="n">
        <v>0.64</v>
      </c>
      <c r="F374" s="3" t="inlineStr">
        <is>
          <t>GW</t>
        </is>
      </c>
      <c r="G374" s="3" t="inlineStr">
        <is>
          <t>Derived formula</t>
        </is>
      </c>
      <c r="H374" s="3" t="inlineStr">
        <is>
          <t>active_power_gw / pue</t>
        </is>
      </c>
      <c r="I374" s="3" t="inlineStr">
        <is>
          <t>Facility power is converted to IT-deliverable power before attributing AI workloads.</t>
        </is>
      </c>
      <c r="J374" s="3" t="inlineStr">
        <is>
          <t>SRC_XAI_NVIDIA_COLOSSUS; ASSUMP_CLUSTER_RAMP</t>
        </is>
      </c>
      <c r="K374" s="3" t="inlineStr">
        <is>
          <t>ASSUMP_CLUSTER_RAMP; ASSUMP_CLOSED_MODEL_BAND; ASSUMP_NUMERIC_ACCELERATOR_MIX; ASSUMP_INFERENCE_SHARE_NOT_FACT_60; ASSUMP_WORKLOAD_CLASS_MIX; ASSUMP_AGENTIC_CONTEXT_PENALTY</t>
        </is>
      </c>
      <c r="L374" s="3" t="inlineStr">
        <is>
          <t>Recompute once active power and PUE become site-observable.</t>
        </is>
      </c>
    </row>
    <row r="375">
      <c r="A375" s="3" t="inlineStr">
        <is>
          <t>xAI</t>
        </is>
      </c>
      <c r="B375" s="3" t="n">
        <v>2027</v>
      </c>
      <c r="C375" s="3" t="inlineStr">
        <is>
          <t>Bear</t>
        </is>
      </c>
      <c r="D375" s="3" t="inlineStr">
        <is>
          <t>ai_workload_share</t>
        </is>
      </c>
      <c r="E375" s="3" t="n">
        <v>0.85</v>
      </c>
      <c r="F375" s="3" t="inlineStr">
        <is>
          <t>share</t>
        </is>
      </c>
      <c r="G375" s="3" t="inlineStr">
        <is>
          <t>Scenario allocation</t>
        </is>
      </c>
      <c r="H375" s="3" t="inlineStr">
        <is>
          <t>ai_it_load_gw = it_load_gw * ai_workload_share</t>
        </is>
      </c>
      <c r="I375" s="3" t="inlineStr">
        <is>
          <t>Colossus is AI-centric; 85% retains cooling/IT allocation boundary and non-serving AI work.</t>
        </is>
      </c>
      <c r="J375" s="3" t="inlineStr">
        <is>
          <t>SRC_XAI_MODELS; SRC_XAI_NVIDIA_COLOSSUS; SRC_EPOCH_AI_DATA_CENTERS</t>
        </is>
      </c>
      <c r="K375" s="3" t="inlineStr">
        <is>
          <t>ASSUMP_CLUSTER_RAMP; ASSUMP_CLOSED_MODEL_BAND; ASSUMP_NUMERIC_ACCELERATOR_MIX; ASSUMP_INFERENCE_SHARE_NOT_FACT_60; ASSUMP_WORKLOAD_CLASS_MIX; ASSUMP_AGENTIC_CONTEXT_PENALTY</t>
        </is>
      </c>
      <c r="L375" s="3" t="inlineStr">
        <is>
          <t>Model-owner AI workload allocation or cluster scheduling telemetry.</t>
        </is>
      </c>
    </row>
    <row r="376">
      <c r="A376" s="3" t="inlineStr">
        <is>
          <t>xAI</t>
        </is>
      </c>
      <c r="B376" s="3" t="n">
        <v>2027</v>
      </c>
      <c r="C376" s="3" t="inlineStr">
        <is>
          <t>Bear</t>
        </is>
      </c>
      <c r="D376" s="3" t="inlineStr">
        <is>
          <t>ai_it_load_gw</t>
        </is>
      </c>
      <c r="E376" s="3" t="n">
        <v>0.544</v>
      </c>
      <c r="F376" s="3" t="inlineStr">
        <is>
          <t>GW</t>
        </is>
      </c>
      <c r="G376" s="3" t="inlineStr">
        <is>
          <t>Derived formula</t>
        </is>
      </c>
      <c r="H376" s="3" t="inlineStr">
        <is>
          <t>it_load_gw * ai_workload_share</t>
        </is>
      </c>
      <c r="I376" s="3" t="inlineStr">
        <is>
          <t>Only the AI-attributed portion of IT load enters training/inference allocation.</t>
        </is>
      </c>
      <c r="J376" s="3" t="inlineStr">
        <is>
          <t>SRC_XAI_MODELS; SRC_XAI_NVIDIA_COLOSSUS; SRC_EPOCH_AI_DATA_CENTERS</t>
        </is>
      </c>
      <c r="K376" s="3" t="inlineStr">
        <is>
          <t>ASSUMP_CLUSTER_RAMP; ASSUMP_CLOSED_MODEL_BAND; ASSUMP_NUMERIC_ACCELERATOR_MIX; ASSUMP_INFERENCE_SHARE_NOT_FACT_60; ASSUMP_WORKLOAD_CLASS_MIX; ASSUMP_AGENTIC_CONTEXT_PENALTY</t>
        </is>
      </c>
      <c r="L376" s="3" t="inlineStr">
        <is>
          <t>Recompute after ai_workload_share is replaced by telemetry.</t>
        </is>
      </c>
    </row>
    <row r="377">
      <c r="A377" s="3" t="inlineStr">
        <is>
          <t>xAI</t>
        </is>
      </c>
      <c r="B377" s="3" t="n">
        <v>2027</v>
      </c>
      <c r="C377" s="3" t="inlineStr">
        <is>
          <t>Bear</t>
        </is>
      </c>
      <c r="D377" s="3" t="inlineStr">
        <is>
          <t>gpu_share</t>
        </is>
      </c>
      <c r="E377" s="3" t="n">
        <v>1</v>
      </c>
      <c r="F377" s="3" t="inlineStr">
        <is>
          <t>share of inference-serving accelerator load</t>
        </is>
      </c>
      <c r="G377" s="3" t="inlineStr">
        <is>
          <t>Numeric scenario</t>
        </is>
      </c>
      <c r="H377" s="3" t="inlineStr">
        <is>
          <t>gpu_share interpolated from company 2026/2030 accelerator-mix endpoints</t>
        </is>
      </c>
      <c r="I377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77" s="3" t="inlineStr">
        <is>
          <t>SRC_XAI_MODELS; SRC_XAI_NVIDIA_COLOSSUS; SRC_EPOCH_AI_DATA_CENTERS; ASSUMP_NUMERIC_ACCELERATOR_MIX</t>
        </is>
      </c>
      <c r="K377" s="3" t="inlineStr">
        <is>
          <t>ASSUMP_CLUSTER_RAMP; ASSUMP_CLOSED_MODEL_BAND; ASSUMP_NUMERIC_ACCELERATOR_MIX; ASSUMP_INFERENCE_SHARE_NOT_FACT_60; ASSUMP_WORKLOAD_CLASS_MIX; ASSUMP_AGENTIC_CONTEXT_PENALTY</t>
        </is>
      </c>
      <c r="L377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78">
      <c r="A378" s="3" t="inlineStr">
        <is>
          <t>xAI</t>
        </is>
      </c>
      <c r="B378" s="3" t="n">
        <v>2027</v>
      </c>
      <c r="C378" s="3" t="inlineStr">
        <is>
          <t>Bear</t>
        </is>
      </c>
      <c r="D378" s="3" t="inlineStr">
        <is>
          <t>h200_share</t>
        </is>
      </c>
      <c r="E378" s="3" t="n">
        <v>0</v>
      </c>
      <c r="F378" s="3" t="inlineStr">
        <is>
          <t>share of inference-serving accelerator load</t>
        </is>
      </c>
      <c r="G378" s="3" t="inlineStr">
        <is>
          <t>Editable numeric scenario</t>
        </is>
      </c>
      <c r="H378" s="3" t="inlineStr">
        <is>
          <t>h200_share = gpu_share * default_gpu_generation_mix_h200</t>
        </is>
      </c>
      <c r="I378" s="3" t="inlineStr">
        <is>
          <t>Default GPU-generation migration assumption; executive workbook allows later manual replacement by company/year/scenario.</t>
        </is>
      </c>
      <c r="J378" s="3" t="inlineStr">
        <is>
          <t>SRC_SEMIANALYSIS_INFERENCEX; ASSUMP_NUMERIC_ACCELERATOR_MIX</t>
        </is>
      </c>
      <c r="K378" s="3" t="inlineStr">
        <is>
          <t>ASSUMP_CLUSTER_RAMP; ASSUMP_CLOSED_MODEL_BAND; ASSUMP_NUMERIC_ACCELERATOR_MIX; ASSUMP_INFERENCE_SHARE_NOT_FACT_60; ASSUMP_WORKLOAD_CLASS_MIX; ASSUMP_AGENTIC_CONTEXT_PENALTY</t>
        </is>
      </c>
      <c r="L378" s="3" t="inlineStr">
        <is>
          <t>Company fleet inventory, accelerator-hours or procurement/deployment records by GPU generation.</t>
        </is>
      </c>
    </row>
    <row r="379">
      <c r="A379" s="3" t="inlineStr">
        <is>
          <t>xAI</t>
        </is>
      </c>
      <c r="B379" s="3" t="n">
        <v>2027</v>
      </c>
      <c r="C379" s="3" t="inlineStr">
        <is>
          <t>Bear</t>
        </is>
      </c>
      <c r="D379" s="3" t="inlineStr">
        <is>
          <t>b200_share</t>
        </is>
      </c>
      <c r="E379" s="3" t="n">
        <v>1</v>
      </c>
      <c r="F379" s="3" t="inlineStr">
        <is>
          <t>share of inference-serving accelerator load</t>
        </is>
      </c>
      <c r="G379" s="3" t="inlineStr">
        <is>
          <t>Editable numeric scenario</t>
        </is>
      </c>
      <c r="H379" s="3" t="inlineStr">
        <is>
          <t>b200_share = gpu_share * default_gpu_generation_mix_b200</t>
        </is>
      </c>
      <c r="I379" s="3" t="inlineStr">
        <is>
          <t>Default GPU-generation migration assumption; executive workbook allows later manual replacement by company/year/scenario.</t>
        </is>
      </c>
      <c r="J379" s="3" t="inlineStr">
        <is>
          <t>SRC_SEMIANALYSIS_INFERENCEX; ASSUMP_NUMERIC_ACCELERATOR_MIX</t>
        </is>
      </c>
      <c r="K379" s="3" t="inlineStr">
        <is>
          <t>ASSUMP_CLUSTER_RAMP; ASSUMP_CLOSED_MODEL_BAND; ASSUMP_NUMERIC_ACCELERATOR_MIX; ASSUMP_INFERENCE_SHARE_NOT_FACT_60; ASSUMP_WORKLOAD_CLASS_MIX; ASSUMP_AGENTIC_CONTEXT_PENALTY</t>
        </is>
      </c>
      <c r="L379" s="3" t="inlineStr">
        <is>
          <t>Company fleet inventory, accelerator-hours or procurement/deployment records by GPU generation.</t>
        </is>
      </c>
    </row>
    <row r="380">
      <c r="A380" s="3" t="inlineStr">
        <is>
          <t>xAI</t>
        </is>
      </c>
      <c r="B380" s="3" t="n">
        <v>2027</v>
      </c>
      <c r="C380" s="3" t="inlineStr">
        <is>
          <t>Bear</t>
        </is>
      </c>
      <c r="D380" s="3" t="inlineStr">
        <is>
          <t>gb200_share</t>
        </is>
      </c>
      <c r="E380" s="3" t="n">
        <v>0</v>
      </c>
      <c r="F380" s="3" t="inlineStr">
        <is>
          <t>share of inference-serving accelerator load</t>
        </is>
      </c>
      <c r="G380" s="3" t="inlineStr">
        <is>
          <t>Editable numeric scenario</t>
        </is>
      </c>
      <c r="H380" s="3" t="inlineStr">
        <is>
          <t>gb200_share = gpu_share * default_gpu_generation_mix_gb200</t>
        </is>
      </c>
      <c r="I380" s="3" t="inlineStr">
        <is>
          <t>Default GPU-generation migration assumption; executive workbook allows later manual replacement by company/year/scenario.</t>
        </is>
      </c>
      <c r="J380" s="3" t="inlineStr">
        <is>
          <t>SRC_SEMIANALYSIS_INFERENCEX; ASSUMP_NUMERIC_ACCELERATOR_MIX</t>
        </is>
      </c>
      <c r="K380" s="3" t="inlineStr">
        <is>
          <t>ASSUMP_CLUSTER_RAMP; ASSUMP_CLOSED_MODEL_BAND; ASSUMP_NUMERIC_ACCELERATOR_MIX; ASSUMP_INFERENCE_SHARE_NOT_FACT_60; ASSUMP_WORKLOAD_CLASS_MIX; ASSUMP_AGENTIC_CONTEXT_PENALTY</t>
        </is>
      </c>
      <c r="L380" s="3" t="inlineStr">
        <is>
          <t>Company fleet inventory, accelerator-hours or procurement/deployment records by GPU generation.</t>
        </is>
      </c>
    </row>
    <row r="381">
      <c r="A381" s="3" t="inlineStr">
        <is>
          <t>xAI</t>
        </is>
      </c>
      <c r="B381" s="3" t="n">
        <v>2027</v>
      </c>
      <c r="C381" s="3" t="inlineStr">
        <is>
          <t>Bear</t>
        </is>
      </c>
      <c r="D381" s="3" t="inlineStr">
        <is>
          <t>purpose_built_accelerator_share</t>
        </is>
      </c>
      <c r="E381" s="3" t="n">
        <v>0</v>
      </c>
      <c r="F381" s="3" t="inlineStr">
        <is>
          <t>share of inference-serving accelerator load</t>
        </is>
      </c>
      <c r="G381" s="3" t="inlineStr">
        <is>
          <t>Numeric scenario</t>
        </is>
      </c>
      <c r="H381" s="3" t="inlineStr">
        <is>
          <t>1 - gpu_share</t>
        </is>
      </c>
      <c r="I381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81" s="3" t="inlineStr">
        <is>
          <t>SRC_XAI_MODELS; SRC_XAI_NVIDIA_COLOSSUS; SRC_EPOCH_AI_DATA_CENTERS; ASSUMP_NUMERIC_ACCELERATOR_MIX</t>
        </is>
      </c>
      <c r="K381" s="3" t="inlineStr">
        <is>
          <t>ASSUMP_CLUSTER_RAMP; ASSUMP_CLOSED_MODEL_BAND; ASSUMP_NUMERIC_ACCELERATOR_MIX; ASSUMP_INFERENCE_SHARE_NOT_FACT_60; ASSUMP_WORKLOAD_CLASS_MIX; ASSUMP_AGENTIC_CONTEXT_PENALTY</t>
        </is>
      </c>
      <c r="L381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82">
      <c r="A382" s="3" t="inlineStr">
        <is>
          <t>xAI</t>
        </is>
      </c>
      <c r="B382" s="3" t="n">
        <v>2027</v>
      </c>
      <c r="C382" s="3" t="inlineStr">
        <is>
          <t>Bear</t>
        </is>
      </c>
      <c r="D382" s="3" t="inlineStr">
        <is>
          <t>fleet_reference_tps_per_mw</t>
        </is>
      </c>
      <c r="E382" s="3" t="n">
        <v>3010288</v>
      </c>
      <c r="F382" s="3" t="inlineStr">
        <is>
          <t>generated output tokens/sec/MW</t>
        </is>
      </c>
      <c r="G382" s="3" t="inlineStr">
        <is>
          <t>Fleet-weighted public benchmark reference</t>
        </is>
      </c>
      <c r="H382" s="3" t="inlineStr">
        <is>
          <t>h200_share*h200_workload_avg + b200_share*b200_workload_avg + gb200_share*gb200_workload_avg + purpose_built_share*purpose_workload_avg</t>
        </is>
      </c>
      <c r="I38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82" s="3" t="inlineStr">
        <is>
          <t>SRC_SEMIANALYSIS_INFERENCEX; ASSUMP_NUMERIC_ACCELERATOR_MIX; ASSUMP_WORKLOAD_CLASS_MIX; ASSUMP_AGENTIC_CONTEXT_PENALTY</t>
        </is>
      </c>
      <c r="K382" s="3" t="inlineStr">
        <is>
          <t>ASSUMP_CLUSTER_RAMP; ASSUMP_CLOSED_MODEL_BAND; ASSUMP_NUMERIC_ACCELERATOR_MIX; ASSUMP_INFERENCE_SHARE_NOT_FACT_60; ASSUMP_WORKLOAD_CLASS_MIX; ASSUMP_AGENTIC_CONTEXT_PENALTY</t>
        </is>
      </c>
      <c r="L382" s="3" t="inlineStr">
        <is>
          <t>Comparable production output-token throughput or a more closely matched benchmark.</t>
        </is>
      </c>
    </row>
    <row r="383">
      <c r="A383" s="3" t="inlineStr">
        <is>
          <t>xAI</t>
        </is>
      </c>
      <c r="B383" s="3" t="n">
        <v>2027</v>
      </c>
      <c r="C383" s="3" t="inlineStr">
        <is>
          <t>Bear</t>
        </is>
      </c>
      <c r="D383" s="3" t="inlineStr">
        <is>
          <t>commercial_workload_fit_factor</t>
        </is>
      </c>
      <c r="E383" s="3" t="n">
        <v>0.35</v>
      </c>
      <c r="F383" s="3" t="inlineStr">
        <is>
          <t>share of public reference throughput</t>
        </is>
      </c>
      <c r="G383" s="3" t="inlineStr">
        <is>
          <t>Scenario assumption</t>
        </is>
      </c>
      <c r="H383" s="3" t="inlineStr">
        <is>
          <t>reference_serving_tps_per_mw = fleet_reference_tps_per_mw * commercial_workload_fit_factor</t>
        </is>
      </c>
      <c r="I38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83" s="3" t="inlineStr">
        <is>
          <t>SRC_SEMIANALYSIS_INFERENCEX; ASSUMP_NUMERIC_ACCELERATOR_MIX; ASSUMP_WORKLOAD_CLASS_MIX; ASSUMP_AGENTIC_CONTEXT_PENALTY</t>
        </is>
      </c>
      <c r="K383" s="3" t="inlineStr">
        <is>
          <t>ASSUMP_CLUSTER_RAMP; ASSUMP_CLOSED_MODEL_BAND; ASSUMP_NUMERIC_ACCELERATOR_MIX; ASSUMP_INFERENCE_SHARE_NOT_FACT_60; ASSUMP_WORKLOAD_CLASS_MIX; ASSUMP_AGENTIC_CONTEXT_PENALTY</t>
        </is>
      </c>
      <c r="L383" s="3" t="inlineStr">
        <is>
          <t>Matched commercial serving benchmark by product surface, context shape and latency SLO.</t>
        </is>
      </c>
    </row>
    <row r="384">
      <c r="A384" s="3" t="inlineStr">
        <is>
          <t>xAI</t>
        </is>
      </c>
      <c r="B384" s="3" t="n">
        <v>2027</v>
      </c>
      <c r="C384" s="3" t="inlineStr">
        <is>
          <t>Bear</t>
        </is>
      </c>
      <c r="D384" s="3" t="inlineStr">
        <is>
          <t>reference_serving_tps_per_mw</t>
        </is>
      </c>
      <c r="E384" s="3" t="n">
        <v>1053601</v>
      </c>
      <c r="F384" s="3" t="inlineStr">
        <is>
          <t>generated output tokens/sec/MW</t>
        </is>
      </c>
      <c r="G384" s="3" t="inlineStr">
        <is>
          <t>Workload-adjusted benchmark proxy</t>
        </is>
      </c>
      <c r="H384" s="3" t="inlineStr">
        <is>
          <t>fleet_reference_tps_per_mw * commercial_workload_fit_factor</t>
        </is>
      </c>
      <c r="I384" s="3" t="inlineStr">
        <is>
          <t>This is the coefficient used for headline token generation; each GPU's short chat, long chat and agentic TPS/MW are weighted before fleet mix and commercial fit are applied.</t>
        </is>
      </c>
      <c r="J384" s="3" t="inlineStr">
        <is>
          <t>SRC_SEMIANALYSIS_INFERENCEX; ASSUMP_NUMERIC_ACCELERATOR_MIX; ASSUMP_WORKLOAD_CLASS_MIX; ASSUMP_AGENTIC_CONTEXT_PENALTY</t>
        </is>
      </c>
      <c r="K384" s="3" t="inlineStr">
        <is>
          <t>ASSUMP_CLUSTER_RAMP; ASSUMP_CLOSED_MODEL_BAND; ASSUMP_NUMERIC_ACCELERATOR_MIX; ASSUMP_INFERENCE_SHARE_NOT_FACT_60; ASSUMP_WORKLOAD_CLASS_MIX; ASSUMP_AGENTIC_CONTEXT_PENALTY</t>
        </is>
      </c>
      <c r="L384" s="3" t="inlineStr">
        <is>
          <t>Provider production output-token throughput with comparable workload/SLO.</t>
        </is>
      </c>
    </row>
    <row r="385">
      <c r="A385" s="3" t="inlineStr">
        <is>
          <t>xAI</t>
        </is>
      </c>
      <c r="B385" s="3" t="n">
        <v>2027</v>
      </c>
      <c r="C385" s="3" t="inlineStr">
        <is>
          <t>Bear</t>
        </is>
      </c>
      <c r="D385" s="3" t="inlineStr">
        <is>
          <t>purpose_built_tps_per_mw</t>
        </is>
      </c>
      <c r="E385" s="3" t="n">
        <v>1580938</v>
      </c>
      <c r="F385" s="3" t="inlineStr">
        <is>
          <t>generated output tokens/sec/MW</t>
        </is>
      </c>
      <c r="G385" s="3" t="inlineStr">
        <is>
          <t>Conservative no-uplift proxy</t>
        </is>
      </c>
      <c r="H385" s="3" t="inlineStr">
        <is>
          <t>purpose_built_tps_per_mw = purpose_built_reference_tps_per_mw * commercial_workload_fit_factor until comparable output-token benchmark is adopted</t>
        </is>
      </c>
      <c r="I385" s="3" t="inlineStr">
        <is>
          <t>No comparable public output-token/MW row adopted; B200 public reference placeholder is used and remains editable.</t>
        </is>
      </c>
      <c r="J385" s="3" t="inlineStr">
        <is>
          <t>SRC_XAI_MODELS; SRC_XAI_NVIDIA_COLOSSUS; SRC_EPOCH_AI_DATA_CENTERS; ASSUMP_NUMERIC_ACCELERATOR_MIX</t>
        </is>
      </c>
      <c r="K385" s="3" t="inlineStr">
        <is>
          <t>ASSUMP_CLUSTER_RAMP; ASSUMP_CLOSED_MODEL_BAND; ASSUMP_NUMERIC_ACCELERATOR_MIX; ASSUMP_INFERENCE_SHARE_NOT_FACT_60; ASSUMP_WORKLOAD_CLASS_MIX; ASSUMP_AGENTIC_CONTEXT_PENALTY</t>
        </is>
      </c>
      <c r="L385" s="3" t="inlineStr">
        <is>
          <t>Matched-workload generated-output benchmark for the provider purpose-built accelerator.</t>
        </is>
      </c>
    </row>
    <row r="386">
      <c r="A386" s="3" t="inlineStr">
        <is>
          <t>xAI</t>
        </is>
      </c>
      <c r="B386" s="3" t="n">
        <v>2027</v>
      </c>
      <c r="C386" s="3" t="inlineStr">
        <is>
          <t>Bear</t>
        </is>
      </c>
      <c r="D386" s="3" t="inlineStr">
        <is>
          <t>inference_power_share</t>
        </is>
      </c>
      <c r="E386" s="3" t="n">
        <v>0.427</v>
      </c>
      <c r="F386" s="3" t="inlineStr">
        <is>
          <t>share of AI IT load</t>
        </is>
      </c>
      <c r="G386" s="3" t="inlineStr">
        <is>
          <t>Scenario allocation</t>
        </is>
      </c>
      <c r="H386" s="3" t="inlineStr">
        <is>
          <t>inference_gw = ai_it_load_gw * inference_power_share</t>
        </is>
      </c>
      <c r="I386" s="3" t="inlineStr">
        <is>
          <t>Grok product expansion is modeled to shift capacity toward inference after initial training-heavy operation.</t>
        </is>
      </c>
      <c r="J386" s="3" t="inlineStr">
        <is>
          <t>SRC_XAI_MODELS; SRC_XAI_NVIDIA_COLOSSUS; SRC_EPOCH_AI_DATA_CENTERS; ASSUMP_INFERENCE_SHARE_NOT_FACT_60</t>
        </is>
      </c>
      <c r="K386" s="3" t="inlineStr">
        <is>
          <t>ASSUMP_CLUSTER_RAMP; ASSUMP_CLOSED_MODEL_BAND; ASSUMP_NUMERIC_ACCELERATOR_MIX; ASSUMP_INFERENCE_SHARE_NOT_FACT_60; ASSUMP_WORKLOAD_CLASS_MIX; ASSUMP_AGENTIC_CONTEXT_PENALTY</t>
        </is>
      </c>
      <c r="L386" s="3" t="inlineStr">
        <is>
          <t>Provider-specific inference/training workload power telemetry.</t>
        </is>
      </c>
    </row>
    <row r="387">
      <c r="A387" s="3" t="inlineStr">
        <is>
          <t>xAI</t>
        </is>
      </c>
      <c r="B387" s="3" t="n">
        <v>2027</v>
      </c>
      <c r="C387" s="3" t="inlineStr">
        <is>
          <t>Bear</t>
        </is>
      </c>
      <c r="D387" s="3" t="inlineStr">
        <is>
          <t>inference_gw</t>
        </is>
      </c>
      <c r="E387" s="3" t="n">
        <v>0.233</v>
      </c>
      <c r="F387" s="3" t="inlineStr">
        <is>
          <t>GW</t>
        </is>
      </c>
      <c r="G387" s="3" t="inlineStr">
        <is>
          <t>Derived formula</t>
        </is>
      </c>
      <c r="H387" s="3" t="inlineStr">
        <is>
          <t>ai_it_load_gw * inference_power_share</t>
        </is>
      </c>
      <c r="I387" s="3" t="inlineStr">
        <is>
          <t>This is the operational power eligible to become commercial generated output tokens through the selected TPS/MW proxy.</t>
        </is>
      </c>
      <c r="J387" s="3" t="inlineStr">
        <is>
          <t>SRC_XAI_MODELS; SRC_XAI_NVIDIA_COLOSSUS; SRC_EPOCH_AI_DATA_CENTERS</t>
        </is>
      </c>
      <c r="K387" s="3" t="inlineStr">
        <is>
          <t>ASSUMP_CLUSTER_RAMP; ASSUMP_CLOSED_MODEL_BAND; ASSUMP_NUMERIC_ACCELERATOR_MIX; ASSUMP_INFERENCE_SHARE_NOT_FACT_60; ASSUMP_WORKLOAD_CLASS_MIX; ASSUMP_AGENTIC_CONTEXT_PENALTY</t>
        </is>
      </c>
      <c r="L387" s="3" t="inlineStr">
        <is>
          <t>Recompute after AI allocation or inference-share evidence changes.</t>
        </is>
      </c>
    </row>
    <row r="388">
      <c r="A388" s="3" t="inlineStr">
        <is>
          <t>xAI</t>
        </is>
      </c>
      <c r="B388" s="3" t="n">
        <v>2027</v>
      </c>
      <c r="C388" s="3" t="inlineStr">
        <is>
          <t>Bear</t>
        </is>
      </c>
      <c r="D388" s="3" t="inlineStr">
        <is>
          <t>training_power_share</t>
        </is>
      </c>
      <c r="E388" s="3" t="n">
        <v>0.573</v>
      </c>
      <c r="F388" s="3" t="inlineStr">
        <is>
          <t>share of AI IT load</t>
        </is>
      </c>
      <c r="G388" s="3" t="inlineStr">
        <is>
          <t>Derived allocation</t>
        </is>
      </c>
      <c r="H388" s="3" t="inlineStr">
        <is>
          <t>1 - inference_power_share</t>
        </is>
      </c>
      <c r="I388" s="3" t="inlineStr">
        <is>
          <t>Training receives the complementary modeled AI IT allocation; it is not a disclosed company workload split.</t>
        </is>
      </c>
      <c r="J388" s="3" t="inlineStr">
        <is>
          <t>SRC_XAI_MODELS; SRC_XAI_NVIDIA_COLOSSUS; SRC_EPOCH_AI_DATA_CENTERS; ASSUMP_INFERENCE_SHARE_NOT_FACT_60</t>
        </is>
      </c>
      <c r="K388" s="3" t="inlineStr">
        <is>
          <t>ASSUMP_CLUSTER_RAMP; ASSUMP_CLOSED_MODEL_BAND; ASSUMP_NUMERIC_ACCELERATOR_MIX; ASSUMP_INFERENCE_SHARE_NOT_FACT_60; ASSUMP_WORKLOAD_CLASS_MIX; ASSUMP_AGENTIC_CONTEXT_PENALTY</t>
        </is>
      </c>
      <c r="L388" s="3" t="inlineStr">
        <is>
          <t>Provider-specific inference/training workload power telemetry.</t>
        </is>
      </c>
    </row>
    <row r="389">
      <c r="A389" s="3" t="inlineStr">
        <is>
          <t>xAI</t>
        </is>
      </c>
      <c r="B389" s="3" t="n">
        <v>2027</v>
      </c>
      <c r="C389" s="3" t="inlineStr">
        <is>
          <t>Bear</t>
        </is>
      </c>
      <c r="D389" s="3" t="inlineStr">
        <is>
          <t>training_gw</t>
        </is>
      </c>
      <c r="E389" s="3" t="n">
        <v>0.312</v>
      </c>
      <c r="F389" s="3" t="inlineStr">
        <is>
          <t>GW</t>
        </is>
      </c>
      <c r="G389" s="3" t="inlineStr">
        <is>
          <t>Derived formula</t>
        </is>
      </c>
      <c r="H389" s="3" t="inlineStr">
        <is>
          <t>ai_it_load_gw * training_power_share</t>
        </is>
      </c>
      <c r="I389" s="3" t="inlineStr">
        <is>
          <t>Training GW is shown separately so commercial inference token capacity is not overstated.</t>
        </is>
      </c>
      <c r="J389" s="3" t="inlineStr">
        <is>
          <t>SRC_XAI_MODELS; SRC_XAI_NVIDIA_COLOSSUS; SRC_EPOCH_AI_DATA_CENTERS</t>
        </is>
      </c>
      <c r="K389" s="3" t="inlineStr">
        <is>
          <t>ASSUMP_CLUSTER_RAMP; ASSUMP_CLOSED_MODEL_BAND; ASSUMP_NUMERIC_ACCELERATOR_MIX; ASSUMP_INFERENCE_SHARE_NOT_FACT_60; ASSUMP_WORKLOAD_CLASS_MIX; ASSUMP_AGENTIC_CONTEXT_PENALTY</t>
        </is>
      </c>
      <c r="L389" s="3" t="inlineStr">
        <is>
          <t>Recompute after AI allocation or workload-split evidence changes.</t>
        </is>
      </c>
    </row>
    <row r="390">
      <c r="A390" s="3" t="inlineStr">
        <is>
          <t>xAI</t>
        </is>
      </c>
      <c r="B390" s="3" t="n">
        <v>2027</v>
      </c>
      <c r="C390" s="3" t="inlineStr">
        <is>
          <t>Bear</t>
        </is>
      </c>
      <c r="D390" s="3" t="inlineStr">
        <is>
          <t>tokens_per_second_per_mw</t>
        </is>
      </c>
      <c r="E390" s="3" t="n">
        <v>1053601</v>
      </c>
      <c r="F390" s="3" t="inlineStr">
        <is>
          <t>generated output tokens/sec/MW</t>
        </is>
      </c>
      <c r="G390" s="3" t="inlineStr">
        <is>
          <t>Derived estimate + benchmark calibration</t>
        </is>
      </c>
      <c r="H390" s="3" t="inlineStr">
        <is>
          <t>fleet_reference_tps_per_mw * commercial_workload_fit_factor</t>
        </is>
      </c>
      <c r="I39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90" s="3" t="inlineStr">
        <is>
          <t>SRC_XAI_MODELS; SRC_XAI_NVIDIA_COLOSSUS; SRC_EPOCH_AI_DATA_CENTERS; SRC_SEMIANALYSIS_INFERENCEX; ASSUMP_NUMERIC_ACCELERATOR_MIX; ASSUMP_WORKLOAD_CLASS_MIX; ASSUMP_AGENTIC_CONTEXT_PENALTY</t>
        </is>
      </c>
      <c r="K390" s="3" t="inlineStr">
        <is>
          <t>ASSUMP_CLUSTER_RAMP; ASSUMP_CLOSED_MODEL_BAND; ASSUMP_NUMERIC_ACCELERATOR_MIX; ASSUMP_INFERENCE_SHARE_NOT_FACT_60; ASSUMP_WORKLOAD_CLASS_MIX; ASSUMP_AGENTIC_CONTEXT_PENALTY</t>
        </is>
      </c>
      <c r="L390" s="3" t="inlineStr">
        <is>
          <t>Comparable production output-token throughput with model, hardware, precision, ISL/OSL and SLO matched.</t>
        </is>
      </c>
    </row>
    <row r="391">
      <c r="A391" s="3" t="inlineStr">
        <is>
          <t>xAI</t>
        </is>
      </c>
      <c r="B391" s="3" t="n">
        <v>2027</v>
      </c>
      <c r="C391" s="3" t="inlineStr">
        <is>
          <t>Bear</t>
        </is>
      </c>
      <c r="D391" s="3" t="inlineStr">
        <is>
          <t>inference_tokens_per_day</t>
        </is>
      </c>
      <c r="E391" s="3" t="n">
        <v>21210252451200</v>
      </c>
      <c r="F391" s="3" t="inlineStr">
        <is>
          <t>generated output tokens/day</t>
        </is>
      </c>
      <c r="G391" s="3" t="inlineStr">
        <is>
          <t>Derived headline metric</t>
        </is>
      </c>
      <c r="H391" s="3" t="inlineStr">
        <is>
          <t>inference_gw * 1000 * tokens_per_second_per_mw * 86,400</t>
        </is>
      </c>
      <c r="I391" s="3" t="inlineStr">
        <is>
          <t>Headline capacity uses no utilization, MoE, architecture or software-growth multiplier; it is not observed commercial output volume.</t>
        </is>
      </c>
      <c r="J391" s="3" t="inlineStr">
        <is>
          <t>SRC_XAI_MODELS; SRC_XAI_NVIDIA_COLOSSUS; SRC_EPOCH_AI_DATA_CENTERS; SRC_SEMIANALYSIS_INFERENCEX</t>
        </is>
      </c>
      <c r="K391" s="3" t="inlineStr">
        <is>
          <t>ASSUMP_CLUSTER_RAMP; ASSUMP_CLOSED_MODEL_BAND; ASSUMP_NUMERIC_ACCELERATOR_MIX; ASSUMP_INFERENCE_SHARE_NOT_FACT_60; ASSUMP_WORKLOAD_CLASS_MIX; ASSUMP_AGENTIC_CONTEXT_PENALTY</t>
        </is>
      </c>
      <c r="L391" s="3" t="inlineStr">
        <is>
          <t>Provider-disclosed generated output token volume or calibrated capacity telemetry.</t>
        </is>
      </c>
    </row>
    <row r="392">
      <c r="A392" s="3" t="inlineStr">
        <is>
          <t>xAI</t>
        </is>
      </c>
      <c r="B392" s="3" t="n">
        <v>2027</v>
      </c>
      <c r="C392" s="3" t="inlineStr">
        <is>
          <t>Bear</t>
        </is>
      </c>
      <c r="D392" s="3" t="inlineStr">
        <is>
          <t>inference_tokens_per_year</t>
        </is>
      </c>
      <c r="E392" s="3" t="n">
        <v>7741742144688000</v>
      </c>
      <c r="F392" s="3" t="inlineStr">
        <is>
          <t>generated output tokens/year</t>
        </is>
      </c>
      <c r="G392" s="3" t="inlineStr">
        <is>
          <t>Derived headline metric</t>
        </is>
      </c>
      <c r="H392" s="3" t="inlineStr">
        <is>
          <t>inference_tokens_per_day * 365</t>
        </is>
      </c>
      <c r="I392" s="3" t="inlineStr">
        <is>
          <t>Annualized version of generated output token capacity; it is not observed annual demand or billable volume.</t>
        </is>
      </c>
      <c r="J392" s="3" t="inlineStr">
        <is>
          <t>SRC_XAI_MODELS; SRC_XAI_NVIDIA_COLOSSUS; SRC_EPOCH_AI_DATA_CENTERS; SRC_SEMIANALYSIS_INFERENCEX</t>
        </is>
      </c>
      <c r="K392" s="3" t="inlineStr">
        <is>
          <t>ASSUMP_CLUSTER_RAMP; ASSUMP_CLOSED_MODEL_BAND; ASSUMP_NUMERIC_ACCELERATOR_MIX; ASSUMP_INFERENCE_SHARE_NOT_FACT_60; ASSUMP_WORKLOAD_CLASS_MIX; ASSUMP_AGENTIC_CONTEXT_PENALTY</t>
        </is>
      </c>
      <c r="L392" s="3" t="inlineStr">
        <is>
          <t>Provider-disclosed annual generated-output volume or metered serving telemetry.</t>
        </is>
      </c>
    </row>
    <row r="393">
      <c r="A393" s="3" t="inlineStr">
        <is>
          <t>xAI</t>
        </is>
      </c>
      <c r="B393" s="3" t="n">
        <v>2028</v>
      </c>
      <c r="C393" s="3" t="inlineStr">
        <is>
          <t>Bear</t>
        </is>
      </c>
      <c r="D393" s="3" t="inlineStr">
        <is>
          <t>contracted_power_gw</t>
        </is>
      </c>
      <c r="E393" s="3" t="n">
        <v>2</v>
      </c>
      <c r="F393" s="3" t="inlineStr">
        <is>
          <t>GW</t>
        </is>
      </c>
      <c r="G393" s="3" t="inlineStr">
        <is>
          <t>Fact anchor + scenario ceiling</t>
        </is>
      </c>
      <c r="H393" s="3" t="inlineStr">
        <is>
          <t>linear interpolation between 2026 and 2030 company capacity endpoints</t>
        </is>
      </c>
      <c r="I393" s="3" t="inlineStr">
        <is>
          <t>Colossus GPU-count disclosure bounds capacity direction; contracted GW values are modeled power envelopes.</t>
        </is>
      </c>
      <c r="J393" s="3" t="inlineStr">
        <is>
          <t>SRC_XAI_NVIDIA_COLOSSUS; ASSUMP_CLUSTER_RAMP</t>
        </is>
      </c>
      <c r="K393" s="3" t="inlineStr">
        <is>
          <t>ASSUMP_CLUSTER_RAMP; ASSUMP_CLOSED_MODEL_BAND; ASSUMP_NUMERIC_ACCELERATOR_MIX; ASSUMP_INFERENCE_SHARE_NOT_FACT_60; ASSUMP_WORKLOAD_CLASS_MIX; ASSUMP_AGENTIC_CONTEXT_PENALTY</t>
        </is>
      </c>
      <c r="L393" s="3" t="inlineStr">
        <is>
          <t>Company/site-level committed MW/GW, interconnect and contract disclosure.</t>
        </is>
      </c>
    </row>
    <row r="394">
      <c r="A394" s="3" t="inlineStr">
        <is>
          <t>xAI</t>
        </is>
      </c>
      <c r="B394" s="3" t="n">
        <v>2028</v>
      </c>
      <c r="C394" s="3" t="inlineStr">
        <is>
          <t>Bear</t>
        </is>
      </c>
      <c r="D394" s="3" t="inlineStr">
        <is>
          <t>operational_deployment_share</t>
        </is>
      </c>
      <c r="E394" s="3" t="n">
        <v>0.6125</v>
      </c>
      <c r="F394" s="3" t="inlineStr">
        <is>
          <t>share</t>
        </is>
      </c>
      <c r="G394" s="3" t="inlineStr">
        <is>
          <t>Scenario conversion</t>
        </is>
      </c>
      <c r="H394" s="3" t="inlineStr">
        <is>
          <t>active_power_gw / contracted_power_gw</t>
        </is>
      </c>
      <c r="I394" s="3" t="inlineStr">
        <is>
          <t>This is the single explicit conversion from contracted/attributed capacity to operationally usable capacity.</t>
        </is>
      </c>
      <c r="J394" s="3" t="inlineStr">
        <is>
          <t>SRC_XAI_NVIDIA_COLOSSUS; ASSUMP_CLUSTER_RAMP</t>
        </is>
      </c>
      <c r="K394" s="3" t="inlineStr">
        <is>
          <t>ASSUMP_CLUSTER_RAMP; ASSUMP_CLOSED_MODEL_BAND; ASSUMP_NUMERIC_ACCELERATOR_MIX; ASSUMP_INFERENCE_SHARE_NOT_FACT_60; ASSUMP_WORKLOAD_CLASS_MIX; ASSUMP_AGENTIC_CONTEXT_PENALTY</t>
        </is>
      </c>
      <c r="L394" s="3" t="inlineStr">
        <is>
          <t>Energized operational capacity divided by contracted/attributed capacity.</t>
        </is>
      </c>
    </row>
    <row r="395">
      <c r="A395" s="3" t="inlineStr">
        <is>
          <t>xAI</t>
        </is>
      </c>
      <c r="B395" s="3" t="n">
        <v>2028</v>
      </c>
      <c r="C395" s="3" t="inlineStr">
        <is>
          <t>Bear</t>
        </is>
      </c>
      <c r="D395" s="3" t="inlineStr">
        <is>
          <t>active_power_gw</t>
        </is>
      </c>
      <c r="E395" s="3" t="n">
        <v>1.225</v>
      </c>
      <c r="F395" s="3" t="inlineStr">
        <is>
          <t>GW</t>
        </is>
      </c>
      <c r="G395" s="3" t="inlineStr">
        <is>
          <t>Derived scenario</t>
        </is>
      </c>
      <c r="H395" s="3" t="inlineStr">
        <is>
          <t>contracted_power_gw * operational_deployment_share</t>
        </is>
      </c>
      <c r="I395" s="3" t="inlineStr">
        <is>
          <t>GPU cluster scale anchors operational possibility, while inference/training allocation and site power draw remain estimates.</t>
        </is>
      </c>
      <c r="J395" s="3" t="inlineStr">
        <is>
          <t>SRC_XAI_NVIDIA_COLOSSUS; ASSUMP_CLUSTER_RAMP</t>
        </is>
      </c>
      <c r="K395" s="3" t="inlineStr">
        <is>
          <t>ASSUMP_CLUSTER_RAMP; ASSUMP_CLOSED_MODEL_BAND; ASSUMP_NUMERIC_ACCELERATOR_MIX; ASSUMP_INFERENCE_SHARE_NOT_FACT_60; ASSUMP_WORKLOAD_CLASS_MIX; ASSUMP_AGENTIC_CONTEXT_PENALTY</t>
        </is>
      </c>
      <c r="L395" s="3" t="inlineStr">
        <is>
          <t>Energization dates, accelerator deliveries and operational powered-rack telemetry.</t>
        </is>
      </c>
    </row>
    <row r="396">
      <c r="A396" s="3" t="inlineStr">
        <is>
          <t>xAI</t>
        </is>
      </c>
      <c r="B396" s="3" t="n">
        <v>2028</v>
      </c>
      <c r="C396" s="3" t="inlineStr">
        <is>
          <t>Bear</t>
        </is>
      </c>
      <c r="D396" s="3" t="inlineStr">
        <is>
          <t>pue</t>
        </is>
      </c>
      <c r="E396" s="3" t="n">
        <v>1.22</v>
      </c>
      <c r="F396" s="3" t="inlineStr">
        <is>
          <t>ratio</t>
        </is>
      </c>
      <c r="G396" s="3" t="inlineStr">
        <is>
          <t>Scenario parameter</t>
        </is>
      </c>
      <c r="H396" s="3" t="inlineStr">
        <is>
          <t>it_load_gw = active_power_gw / pue</t>
        </is>
      </c>
      <c r="I396" s="3" t="inlineStr">
        <is>
          <t>No provider-wide site-level PUE is used as a disclosed fact; PUE represents facility-to-IT conversion within the scenario.</t>
        </is>
      </c>
      <c r="J396" s="3" t="inlineStr">
        <is>
          <t>ASSUMP_POWER_RAMP</t>
        </is>
      </c>
      <c r="K396" s="3" t="inlineStr">
        <is>
          <t>ASSUMP_CLUSTER_RAMP; ASSUMP_CLOSED_MODEL_BAND; ASSUMP_NUMERIC_ACCELERATOR_MIX; ASSUMP_INFERENCE_SHARE_NOT_FACT_60; ASSUMP_WORKLOAD_CLASS_MIX; ASSUMP_AGENTIC_CONTEXT_PENALTY</t>
        </is>
      </c>
      <c r="L396" s="3" t="inlineStr">
        <is>
          <t>Site-level measured PUE matched to attributed AI capacity.</t>
        </is>
      </c>
    </row>
    <row r="397">
      <c r="A397" s="3" t="inlineStr">
        <is>
          <t>xAI</t>
        </is>
      </c>
      <c r="B397" s="3" t="n">
        <v>2028</v>
      </c>
      <c r="C397" s="3" t="inlineStr">
        <is>
          <t>Bear</t>
        </is>
      </c>
      <c r="D397" s="3" t="inlineStr">
        <is>
          <t>it_load_gw</t>
        </is>
      </c>
      <c r="E397" s="3" t="n">
        <v>1.005</v>
      </c>
      <c r="F397" s="3" t="inlineStr">
        <is>
          <t>GW</t>
        </is>
      </c>
      <c r="G397" s="3" t="inlineStr">
        <is>
          <t>Derived formula</t>
        </is>
      </c>
      <c r="H397" s="3" t="inlineStr">
        <is>
          <t>active_power_gw / pue</t>
        </is>
      </c>
      <c r="I397" s="3" t="inlineStr">
        <is>
          <t>Facility power is converted to IT-deliverable power before attributing AI workloads.</t>
        </is>
      </c>
      <c r="J397" s="3" t="inlineStr">
        <is>
          <t>SRC_XAI_NVIDIA_COLOSSUS; ASSUMP_CLUSTER_RAMP</t>
        </is>
      </c>
      <c r="K397" s="3" t="inlineStr">
        <is>
          <t>ASSUMP_CLUSTER_RAMP; ASSUMP_CLOSED_MODEL_BAND; ASSUMP_NUMERIC_ACCELERATOR_MIX; ASSUMP_INFERENCE_SHARE_NOT_FACT_60; ASSUMP_WORKLOAD_CLASS_MIX; ASSUMP_AGENTIC_CONTEXT_PENALTY</t>
        </is>
      </c>
      <c r="L397" s="3" t="inlineStr">
        <is>
          <t>Recompute once active power and PUE become site-observable.</t>
        </is>
      </c>
    </row>
    <row r="398">
      <c r="A398" s="3" t="inlineStr">
        <is>
          <t>xAI</t>
        </is>
      </c>
      <c r="B398" s="3" t="n">
        <v>2028</v>
      </c>
      <c r="C398" s="3" t="inlineStr">
        <is>
          <t>Bear</t>
        </is>
      </c>
      <c r="D398" s="3" t="inlineStr">
        <is>
          <t>ai_workload_share</t>
        </is>
      </c>
      <c r="E398" s="3" t="n">
        <v>0.85</v>
      </c>
      <c r="F398" s="3" t="inlineStr">
        <is>
          <t>share</t>
        </is>
      </c>
      <c r="G398" s="3" t="inlineStr">
        <is>
          <t>Scenario allocation</t>
        </is>
      </c>
      <c r="H398" s="3" t="inlineStr">
        <is>
          <t>ai_it_load_gw = it_load_gw * ai_workload_share</t>
        </is>
      </c>
      <c r="I398" s="3" t="inlineStr">
        <is>
          <t>Colossus is AI-centric; 85% retains cooling/IT allocation boundary and non-serving AI work.</t>
        </is>
      </c>
      <c r="J398" s="3" t="inlineStr">
        <is>
          <t>SRC_XAI_MODELS; SRC_XAI_NVIDIA_COLOSSUS; SRC_EPOCH_AI_DATA_CENTERS</t>
        </is>
      </c>
      <c r="K398" s="3" t="inlineStr">
        <is>
          <t>ASSUMP_CLUSTER_RAMP; ASSUMP_CLOSED_MODEL_BAND; ASSUMP_NUMERIC_ACCELERATOR_MIX; ASSUMP_INFERENCE_SHARE_NOT_FACT_60; ASSUMP_WORKLOAD_CLASS_MIX; ASSUMP_AGENTIC_CONTEXT_PENALTY</t>
        </is>
      </c>
      <c r="L398" s="3" t="inlineStr">
        <is>
          <t>Model-owner AI workload allocation or cluster scheduling telemetry.</t>
        </is>
      </c>
    </row>
    <row r="399">
      <c r="A399" s="3" t="inlineStr">
        <is>
          <t>xAI</t>
        </is>
      </c>
      <c r="B399" s="3" t="n">
        <v>2028</v>
      </c>
      <c r="C399" s="3" t="inlineStr">
        <is>
          <t>Bear</t>
        </is>
      </c>
      <c r="D399" s="3" t="inlineStr">
        <is>
          <t>ai_it_load_gw</t>
        </is>
      </c>
      <c r="E399" s="3" t="n">
        <v>0.854</v>
      </c>
      <c r="F399" s="3" t="inlineStr">
        <is>
          <t>GW</t>
        </is>
      </c>
      <c r="G399" s="3" t="inlineStr">
        <is>
          <t>Derived formula</t>
        </is>
      </c>
      <c r="H399" s="3" t="inlineStr">
        <is>
          <t>it_load_gw * ai_workload_share</t>
        </is>
      </c>
      <c r="I399" s="3" t="inlineStr">
        <is>
          <t>Only the AI-attributed portion of IT load enters training/inference allocation.</t>
        </is>
      </c>
      <c r="J399" s="3" t="inlineStr">
        <is>
          <t>SRC_XAI_MODELS; SRC_XAI_NVIDIA_COLOSSUS; SRC_EPOCH_AI_DATA_CENTERS</t>
        </is>
      </c>
      <c r="K399" s="3" t="inlineStr">
        <is>
          <t>ASSUMP_CLUSTER_RAMP; ASSUMP_CLOSED_MODEL_BAND; ASSUMP_NUMERIC_ACCELERATOR_MIX; ASSUMP_INFERENCE_SHARE_NOT_FACT_60; ASSUMP_WORKLOAD_CLASS_MIX; ASSUMP_AGENTIC_CONTEXT_PENALTY</t>
        </is>
      </c>
      <c r="L399" s="3" t="inlineStr">
        <is>
          <t>Recompute after ai_workload_share is replaced by telemetry.</t>
        </is>
      </c>
    </row>
    <row r="400">
      <c r="A400" s="3" t="inlineStr">
        <is>
          <t>xAI</t>
        </is>
      </c>
      <c r="B400" s="3" t="n">
        <v>2028</v>
      </c>
      <c r="C400" s="3" t="inlineStr">
        <is>
          <t>Bear</t>
        </is>
      </c>
      <c r="D400" s="3" t="inlineStr">
        <is>
          <t>gpu_share</t>
        </is>
      </c>
      <c r="E400" s="3" t="n">
        <v>1</v>
      </c>
      <c r="F400" s="3" t="inlineStr">
        <is>
          <t>share of inference-serving accelerator load</t>
        </is>
      </c>
      <c r="G400" s="3" t="inlineStr">
        <is>
          <t>Numeric scenario</t>
        </is>
      </c>
      <c r="H400" s="3" t="inlineStr">
        <is>
          <t>gpu_share interpolated from company 2026/2030 accelerator-mix endpoints</t>
        </is>
      </c>
      <c r="I400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400" s="3" t="inlineStr">
        <is>
          <t>SRC_XAI_MODELS; SRC_XAI_NVIDIA_COLOSSUS; SRC_EPOCH_AI_DATA_CENTERS; ASSUMP_NUMERIC_ACCELERATOR_MIX</t>
        </is>
      </c>
      <c r="K400" s="3" t="inlineStr">
        <is>
          <t>ASSUMP_CLUSTER_RAMP; ASSUMP_CLOSED_MODEL_BAND; ASSUMP_NUMERIC_ACCELERATOR_MIX; ASSUMP_INFERENCE_SHARE_NOT_FACT_60; ASSUMP_WORKLOAD_CLASS_MIX; ASSUMP_AGENTIC_CONTEXT_PENALTY</t>
        </is>
      </c>
      <c r="L400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401">
      <c r="A401" s="3" t="inlineStr">
        <is>
          <t>xAI</t>
        </is>
      </c>
      <c r="B401" s="3" t="n">
        <v>2028</v>
      </c>
      <c r="C401" s="3" t="inlineStr">
        <is>
          <t>Bear</t>
        </is>
      </c>
      <c r="D401" s="3" t="inlineStr">
        <is>
          <t>h200_share</t>
        </is>
      </c>
      <c r="E401" s="3" t="n">
        <v>0</v>
      </c>
      <c r="F401" s="3" t="inlineStr">
        <is>
          <t>share of inference-serving accelerator load</t>
        </is>
      </c>
      <c r="G401" s="3" t="inlineStr">
        <is>
          <t>Editable numeric scenario</t>
        </is>
      </c>
      <c r="H401" s="3" t="inlineStr">
        <is>
          <t>h200_share = gpu_share * default_gpu_generation_mix_h200</t>
        </is>
      </c>
      <c r="I401" s="3" t="inlineStr">
        <is>
          <t>Default GPU-generation migration assumption; executive workbook allows later manual replacement by company/year/scenario.</t>
        </is>
      </c>
      <c r="J401" s="3" t="inlineStr">
        <is>
          <t>SRC_SEMIANALYSIS_INFERENCEX; ASSUMP_NUMERIC_ACCELERATOR_MIX</t>
        </is>
      </c>
      <c r="K401" s="3" t="inlineStr">
        <is>
          <t>ASSUMP_CLUSTER_RAMP; ASSUMP_CLOSED_MODEL_BAND; ASSUMP_NUMERIC_ACCELERATOR_MIX; ASSUMP_INFERENCE_SHARE_NOT_FACT_60; ASSUMP_WORKLOAD_CLASS_MIX; ASSUMP_AGENTIC_CONTEXT_PENALTY</t>
        </is>
      </c>
      <c r="L401" s="3" t="inlineStr">
        <is>
          <t>Company fleet inventory, accelerator-hours or procurement/deployment records by GPU generation.</t>
        </is>
      </c>
    </row>
    <row r="402">
      <c r="A402" s="3" t="inlineStr">
        <is>
          <t>xAI</t>
        </is>
      </c>
      <c r="B402" s="3" t="n">
        <v>2028</v>
      </c>
      <c r="C402" s="3" t="inlineStr">
        <is>
          <t>Bear</t>
        </is>
      </c>
      <c r="D402" s="3" t="inlineStr">
        <is>
          <t>b200_share</t>
        </is>
      </c>
      <c r="E402" s="3" t="n">
        <v>1</v>
      </c>
      <c r="F402" s="3" t="inlineStr">
        <is>
          <t>share of inference-serving accelerator load</t>
        </is>
      </c>
      <c r="G402" s="3" t="inlineStr">
        <is>
          <t>Editable numeric scenario</t>
        </is>
      </c>
      <c r="H402" s="3" t="inlineStr">
        <is>
          <t>b200_share = gpu_share * default_gpu_generation_mix_b200</t>
        </is>
      </c>
      <c r="I402" s="3" t="inlineStr">
        <is>
          <t>Default GPU-generation migration assumption; executive workbook allows later manual replacement by company/year/scenario.</t>
        </is>
      </c>
      <c r="J402" s="3" t="inlineStr">
        <is>
          <t>SRC_SEMIANALYSIS_INFERENCEX; ASSUMP_NUMERIC_ACCELERATOR_MIX</t>
        </is>
      </c>
      <c r="K402" s="3" t="inlineStr">
        <is>
          <t>ASSUMP_CLUSTER_RAMP; ASSUMP_CLOSED_MODEL_BAND; ASSUMP_NUMERIC_ACCELERATOR_MIX; ASSUMP_INFERENCE_SHARE_NOT_FACT_60; ASSUMP_WORKLOAD_CLASS_MIX; ASSUMP_AGENTIC_CONTEXT_PENALTY</t>
        </is>
      </c>
      <c r="L402" s="3" t="inlineStr">
        <is>
          <t>Company fleet inventory, accelerator-hours or procurement/deployment records by GPU generation.</t>
        </is>
      </c>
    </row>
    <row r="403">
      <c r="A403" s="3" t="inlineStr">
        <is>
          <t>xAI</t>
        </is>
      </c>
      <c r="B403" s="3" t="n">
        <v>2028</v>
      </c>
      <c r="C403" s="3" t="inlineStr">
        <is>
          <t>Bear</t>
        </is>
      </c>
      <c r="D403" s="3" t="inlineStr">
        <is>
          <t>gb200_share</t>
        </is>
      </c>
      <c r="E403" s="3" t="n">
        <v>0</v>
      </c>
      <c r="F403" s="3" t="inlineStr">
        <is>
          <t>share of inference-serving accelerator load</t>
        </is>
      </c>
      <c r="G403" s="3" t="inlineStr">
        <is>
          <t>Editable numeric scenario</t>
        </is>
      </c>
      <c r="H403" s="3" t="inlineStr">
        <is>
          <t>gb200_share = gpu_share * default_gpu_generation_mix_gb200</t>
        </is>
      </c>
      <c r="I403" s="3" t="inlineStr">
        <is>
          <t>Default GPU-generation migration assumption; executive workbook allows later manual replacement by company/year/scenario.</t>
        </is>
      </c>
      <c r="J403" s="3" t="inlineStr">
        <is>
          <t>SRC_SEMIANALYSIS_INFERENCEX; ASSUMP_NUMERIC_ACCELERATOR_MIX</t>
        </is>
      </c>
      <c r="K403" s="3" t="inlineStr">
        <is>
          <t>ASSUMP_CLUSTER_RAMP; ASSUMP_CLOSED_MODEL_BAND; ASSUMP_NUMERIC_ACCELERATOR_MIX; ASSUMP_INFERENCE_SHARE_NOT_FACT_60; ASSUMP_WORKLOAD_CLASS_MIX; ASSUMP_AGENTIC_CONTEXT_PENALTY</t>
        </is>
      </c>
      <c r="L403" s="3" t="inlineStr">
        <is>
          <t>Company fleet inventory, accelerator-hours or procurement/deployment records by GPU generation.</t>
        </is>
      </c>
    </row>
    <row r="404">
      <c r="A404" s="3" t="inlineStr">
        <is>
          <t>xAI</t>
        </is>
      </c>
      <c r="B404" s="3" t="n">
        <v>2028</v>
      </c>
      <c r="C404" s="3" t="inlineStr">
        <is>
          <t>Bear</t>
        </is>
      </c>
      <c r="D404" s="3" t="inlineStr">
        <is>
          <t>purpose_built_accelerator_share</t>
        </is>
      </c>
      <c r="E404" s="3" t="n">
        <v>0</v>
      </c>
      <c r="F404" s="3" t="inlineStr">
        <is>
          <t>share of inference-serving accelerator load</t>
        </is>
      </c>
      <c r="G404" s="3" t="inlineStr">
        <is>
          <t>Numeric scenario</t>
        </is>
      </c>
      <c r="H404" s="3" t="inlineStr">
        <is>
          <t>1 - gpu_share</t>
        </is>
      </c>
      <c r="I404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404" s="3" t="inlineStr">
        <is>
          <t>SRC_XAI_MODELS; SRC_XAI_NVIDIA_COLOSSUS; SRC_EPOCH_AI_DATA_CENTERS; ASSUMP_NUMERIC_ACCELERATOR_MIX</t>
        </is>
      </c>
      <c r="K404" s="3" t="inlineStr">
        <is>
          <t>ASSUMP_CLUSTER_RAMP; ASSUMP_CLOSED_MODEL_BAND; ASSUMP_NUMERIC_ACCELERATOR_MIX; ASSUMP_INFERENCE_SHARE_NOT_FACT_60; ASSUMP_WORKLOAD_CLASS_MIX; ASSUMP_AGENTIC_CONTEXT_PENALTY</t>
        </is>
      </c>
      <c r="L404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405">
      <c r="A405" s="3" t="inlineStr">
        <is>
          <t>xAI</t>
        </is>
      </c>
      <c r="B405" s="3" t="n">
        <v>2028</v>
      </c>
      <c r="C405" s="3" t="inlineStr">
        <is>
          <t>Bear</t>
        </is>
      </c>
      <c r="D405" s="3" t="inlineStr">
        <is>
          <t>fleet_reference_tps_per_mw</t>
        </is>
      </c>
      <c r="E405" s="3" t="n">
        <v>3010288</v>
      </c>
      <c r="F405" s="3" t="inlineStr">
        <is>
          <t>generated output tokens/sec/MW</t>
        </is>
      </c>
      <c r="G405" s="3" t="inlineStr">
        <is>
          <t>Fleet-weighted public benchmark reference</t>
        </is>
      </c>
      <c r="H405" s="3" t="inlineStr">
        <is>
          <t>h200_share*h200_workload_avg + b200_share*b200_workload_avg + gb200_share*gb200_workload_avg + purpose_built_share*purpose_workload_avg</t>
        </is>
      </c>
      <c r="I40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5" s="3" t="inlineStr">
        <is>
          <t>SRC_SEMIANALYSIS_INFERENCEX; ASSUMP_NUMERIC_ACCELERATOR_MIX; ASSUMP_WORKLOAD_CLASS_MIX; ASSUMP_AGENTIC_CONTEXT_PENALTY</t>
        </is>
      </c>
      <c r="K405" s="3" t="inlineStr">
        <is>
          <t>ASSUMP_CLUSTER_RAMP; ASSUMP_CLOSED_MODEL_BAND; ASSUMP_NUMERIC_ACCELERATOR_MIX; ASSUMP_INFERENCE_SHARE_NOT_FACT_60; ASSUMP_WORKLOAD_CLASS_MIX; ASSUMP_AGENTIC_CONTEXT_PENALTY</t>
        </is>
      </c>
      <c r="L405" s="3" t="inlineStr">
        <is>
          <t>Comparable production output-token throughput or a more closely matched benchmark.</t>
        </is>
      </c>
    </row>
    <row r="406">
      <c r="A406" s="3" t="inlineStr">
        <is>
          <t>xAI</t>
        </is>
      </c>
      <c r="B406" s="3" t="n">
        <v>2028</v>
      </c>
      <c r="C406" s="3" t="inlineStr">
        <is>
          <t>Bear</t>
        </is>
      </c>
      <c r="D406" s="3" t="inlineStr">
        <is>
          <t>commercial_workload_fit_factor</t>
        </is>
      </c>
      <c r="E406" s="3" t="n">
        <v>0.35</v>
      </c>
      <c r="F406" s="3" t="inlineStr">
        <is>
          <t>share of public reference throughput</t>
        </is>
      </c>
      <c r="G406" s="3" t="inlineStr">
        <is>
          <t>Scenario assumption</t>
        </is>
      </c>
      <c r="H406" s="3" t="inlineStr">
        <is>
          <t>reference_serving_tps_per_mw = fleet_reference_tps_per_mw * commercial_workload_fit_factor</t>
        </is>
      </c>
      <c r="I40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06" s="3" t="inlineStr">
        <is>
          <t>SRC_SEMIANALYSIS_INFERENCEX; ASSUMP_NUMERIC_ACCELERATOR_MIX; ASSUMP_WORKLOAD_CLASS_MIX; ASSUMP_AGENTIC_CONTEXT_PENALTY</t>
        </is>
      </c>
      <c r="K406" s="3" t="inlineStr">
        <is>
          <t>ASSUMP_CLUSTER_RAMP; ASSUMP_CLOSED_MODEL_BAND; ASSUMP_NUMERIC_ACCELERATOR_MIX; ASSUMP_INFERENCE_SHARE_NOT_FACT_60; ASSUMP_WORKLOAD_CLASS_MIX; ASSUMP_AGENTIC_CONTEXT_PENALTY</t>
        </is>
      </c>
      <c r="L406" s="3" t="inlineStr">
        <is>
          <t>Matched commercial serving benchmark by product surface, context shape and latency SLO.</t>
        </is>
      </c>
    </row>
    <row r="407">
      <c r="A407" s="3" t="inlineStr">
        <is>
          <t>xAI</t>
        </is>
      </c>
      <c r="B407" s="3" t="n">
        <v>2028</v>
      </c>
      <c r="C407" s="3" t="inlineStr">
        <is>
          <t>Bear</t>
        </is>
      </c>
      <c r="D407" s="3" t="inlineStr">
        <is>
          <t>reference_serving_tps_per_mw</t>
        </is>
      </c>
      <c r="E407" s="3" t="n">
        <v>1053601</v>
      </c>
      <c r="F407" s="3" t="inlineStr">
        <is>
          <t>generated output tokens/sec/MW</t>
        </is>
      </c>
      <c r="G407" s="3" t="inlineStr">
        <is>
          <t>Workload-adjusted benchmark proxy</t>
        </is>
      </c>
      <c r="H407" s="3" t="inlineStr">
        <is>
          <t>fleet_reference_tps_per_mw * commercial_workload_fit_factor</t>
        </is>
      </c>
      <c r="I407" s="3" t="inlineStr">
        <is>
          <t>This is the coefficient used for headline token generation; each GPU's short chat, long chat and agentic TPS/MW are weighted before fleet mix and commercial fit are applied.</t>
        </is>
      </c>
      <c r="J407" s="3" t="inlineStr">
        <is>
          <t>SRC_SEMIANALYSIS_INFERENCEX; ASSUMP_NUMERIC_ACCELERATOR_MIX; ASSUMP_WORKLOAD_CLASS_MIX; ASSUMP_AGENTIC_CONTEXT_PENALTY</t>
        </is>
      </c>
      <c r="K407" s="3" t="inlineStr">
        <is>
          <t>ASSUMP_CLUSTER_RAMP; ASSUMP_CLOSED_MODEL_BAND; ASSUMP_NUMERIC_ACCELERATOR_MIX; ASSUMP_INFERENCE_SHARE_NOT_FACT_60; ASSUMP_WORKLOAD_CLASS_MIX; ASSUMP_AGENTIC_CONTEXT_PENALTY</t>
        </is>
      </c>
      <c r="L407" s="3" t="inlineStr">
        <is>
          <t>Provider production output-token throughput with comparable workload/SLO.</t>
        </is>
      </c>
    </row>
    <row r="408">
      <c r="A408" s="3" t="inlineStr">
        <is>
          <t>xAI</t>
        </is>
      </c>
      <c r="B408" s="3" t="n">
        <v>2028</v>
      </c>
      <c r="C408" s="3" t="inlineStr">
        <is>
          <t>Bear</t>
        </is>
      </c>
      <c r="D408" s="3" t="inlineStr">
        <is>
          <t>purpose_built_tps_per_mw</t>
        </is>
      </c>
      <c r="E408" s="3" t="n">
        <v>1580938</v>
      </c>
      <c r="F408" s="3" t="inlineStr">
        <is>
          <t>generated output tokens/sec/MW</t>
        </is>
      </c>
      <c r="G408" s="3" t="inlineStr">
        <is>
          <t>Conservative no-uplift proxy</t>
        </is>
      </c>
      <c r="H408" s="3" t="inlineStr">
        <is>
          <t>purpose_built_tps_per_mw = purpose_built_reference_tps_per_mw * commercial_workload_fit_factor until comparable output-token benchmark is adopted</t>
        </is>
      </c>
      <c r="I408" s="3" t="inlineStr">
        <is>
          <t>No comparable public output-token/MW row adopted; B200 public reference placeholder is used and remains editable.</t>
        </is>
      </c>
      <c r="J408" s="3" t="inlineStr">
        <is>
          <t>SRC_XAI_MODELS; SRC_XAI_NVIDIA_COLOSSUS; SRC_EPOCH_AI_DATA_CENTERS; ASSUMP_NUMERIC_ACCELERATOR_MIX</t>
        </is>
      </c>
      <c r="K408" s="3" t="inlineStr">
        <is>
          <t>ASSUMP_CLUSTER_RAMP; ASSUMP_CLOSED_MODEL_BAND; ASSUMP_NUMERIC_ACCELERATOR_MIX; ASSUMP_INFERENCE_SHARE_NOT_FACT_60; ASSUMP_WORKLOAD_CLASS_MIX; ASSUMP_AGENTIC_CONTEXT_PENALTY</t>
        </is>
      </c>
      <c r="L408" s="3" t="inlineStr">
        <is>
          <t>Matched-workload generated-output benchmark for the provider purpose-built accelerator.</t>
        </is>
      </c>
    </row>
    <row r="409">
      <c r="A409" s="3" t="inlineStr">
        <is>
          <t>xAI</t>
        </is>
      </c>
      <c r="B409" s="3" t="n">
        <v>2028</v>
      </c>
      <c r="C409" s="3" t="inlineStr">
        <is>
          <t>Bear</t>
        </is>
      </c>
      <c r="D409" s="3" t="inlineStr">
        <is>
          <t>inference_power_share</t>
        </is>
      </c>
      <c r="E409" s="3" t="n">
        <v>0.485</v>
      </c>
      <c r="F409" s="3" t="inlineStr">
        <is>
          <t>share of AI IT load</t>
        </is>
      </c>
      <c r="G409" s="3" t="inlineStr">
        <is>
          <t>Scenario allocation</t>
        </is>
      </c>
      <c r="H409" s="3" t="inlineStr">
        <is>
          <t>inference_gw = ai_it_load_gw * inference_power_share</t>
        </is>
      </c>
      <c r="I409" s="3" t="inlineStr">
        <is>
          <t>Grok product expansion is modeled to shift capacity toward inference after initial training-heavy operation.</t>
        </is>
      </c>
      <c r="J409" s="3" t="inlineStr">
        <is>
          <t>SRC_XAI_MODELS; SRC_XAI_NVIDIA_COLOSSUS; SRC_EPOCH_AI_DATA_CENTERS; ASSUMP_INFERENCE_SHARE_NOT_FACT_60</t>
        </is>
      </c>
      <c r="K409" s="3" t="inlineStr">
        <is>
          <t>ASSUMP_CLUSTER_RAMP; ASSUMP_CLOSED_MODEL_BAND; ASSUMP_NUMERIC_ACCELERATOR_MIX; ASSUMP_INFERENCE_SHARE_NOT_FACT_60; ASSUMP_WORKLOAD_CLASS_MIX; ASSUMP_AGENTIC_CONTEXT_PENALTY</t>
        </is>
      </c>
      <c r="L409" s="3" t="inlineStr">
        <is>
          <t>Provider-specific inference/training workload power telemetry.</t>
        </is>
      </c>
    </row>
    <row r="410">
      <c r="A410" s="3" t="inlineStr">
        <is>
          <t>xAI</t>
        </is>
      </c>
      <c r="B410" s="3" t="n">
        <v>2028</v>
      </c>
      <c r="C410" s="3" t="inlineStr">
        <is>
          <t>Bear</t>
        </is>
      </c>
      <c r="D410" s="3" t="inlineStr">
        <is>
          <t>inference_gw</t>
        </is>
      </c>
      <c r="E410" s="3" t="n">
        <v>0.414</v>
      </c>
      <c r="F410" s="3" t="inlineStr">
        <is>
          <t>GW</t>
        </is>
      </c>
      <c r="G410" s="3" t="inlineStr">
        <is>
          <t>Derived formula</t>
        </is>
      </c>
      <c r="H410" s="3" t="inlineStr">
        <is>
          <t>ai_it_load_gw * inference_power_share</t>
        </is>
      </c>
      <c r="I410" s="3" t="inlineStr">
        <is>
          <t>This is the operational power eligible to become commercial generated output tokens through the selected TPS/MW proxy.</t>
        </is>
      </c>
      <c r="J410" s="3" t="inlineStr">
        <is>
          <t>SRC_XAI_MODELS; SRC_XAI_NVIDIA_COLOSSUS; SRC_EPOCH_AI_DATA_CENTERS</t>
        </is>
      </c>
      <c r="K410" s="3" t="inlineStr">
        <is>
          <t>ASSUMP_CLUSTER_RAMP; ASSUMP_CLOSED_MODEL_BAND; ASSUMP_NUMERIC_ACCELERATOR_MIX; ASSUMP_INFERENCE_SHARE_NOT_FACT_60; ASSUMP_WORKLOAD_CLASS_MIX; ASSUMP_AGENTIC_CONTEXT_PENALTY</t>
        </is>
      </c>
      <c r="L410" s="3" t="inlineStr">
        <is>
          <t>Recompute after AI allocation or inference-share evidence changes.</t>
        </is>
      </c>
    </row>
    <row r="411">
      <c r="A411" s="3" t="inlineStr">
        <is>
          <t>xAI</t>
        </is>
      </c>
      <c r="B411" s="3" t="n">
        <v>2028</v>
      </c>
      <c r="C411" s="3" t="inlineStr">
        <is>
          <t>Bear</t>
        </is>
      </c>
      <c r="D411" s="3" t="inlineStr">
        <is>
          <t>training_power_share</t>
        </is>
      </c>
      <c r="E411" s="3" t="n">
        <v>0.515</v>
      </c>
      <c r="F411" s="3" t="inlineStr">
        <is>
          <t>share of AI IT load</t>
        </is>
      </c>
      <c r="G411" s="3" t="inlineStr">
        <is>
          <t>Derived allocation</t>
        </is>
      </c>
      <c r="H411" s="3" t="inlineStr">
        <is>
          <t>1 - inference_power_share</t>
        </is>
      </c>
      <c r="I411" s="3" t="inlineStr">
        <is>
          <t>Training receives the complementary modeled AI IT allocation; it is not a disclosed company workload split.</t>
        </is>
      </c>
      <c r="J411" s="3" t="inlineStr">
        <is>
          <t>SRC_XAI_MODELS; SRC_XAI_NVIDIA_COLOSSUS; SRC_EPOCH_AI_DATA_CENTERS; ASSUMP_INFERENCE_SHARE_NOT_FACT_60</t>
        </is>
      </c>
      <c r="K411" s="3" t="inlineStr">
        <is>
          <t>ASSUMP_CLUSTER_RAMP; ASSUMP_CLOSED_MODEL_BAND; ASSUMP_NUMERIC_ACCELERATOR_MIX; ASSUMP_INFERENCE_SHARE_NOT_FACT_60; ASSUMP_WORKLOAD_CLASS_MIX; ASSUMP_AGENTIC_CONTEXT_PENALTY</t>
        </is>
      </c>
      <c r="L411" s="3" t="inlineStr">
        <is>
          <t>Provider-specific inference/training workload power telemetry.</t>
        </is>
      </c>
    </row>
    <row r="412">
      <c r="A412" s="3" t="inlineStr">
        <is>
          <t>xAI</t>
        </is>
      </c>
      <c r="B412" s="3" t="n">
        <v>2028</v>
      </c>
      <c r="C412" s="3" t="inlineStr">
        <is>
          <t>Bear</t>
        </is>
      </c>
      <c r="D412" s="3" t="inlineStr">
        <is>
          <t>training_gw</t>
        </is>
      </c>
      <c r="E412" s="3" t="n">
        <v>0.44</v>
      </c>
      <c r="F412" s="3" t="inlineStr">
        <is>
          <t>GW</t>
        </is>
      </c>
      <c r="G412" s="3" t="inlineStr">
        <is>
          <t>Derived formula</t>
        </is>
      </c>
      <c r="H412" s="3" t="inlineStr">
        <is>
          <t>ai_it_load_gw * training_power_share</t>
        </is>
      </c>
      <c r="I412" s="3" t="inlineStr">
        <is>
          <t>Training GW is shown separately so commercial inference token capacity is not overstated.</t>
        </is>
      </c>
      <c r="J412" s="3" t="inlineStr">
        <is>
          <t>SRC_XAI_MODELS; SRC_XAI_NVIDIA_COLOSSUS; SRC_EPOCH_AI_DATA_CENTERS</t>
        </is>
      </c>
      <c r="K412" s="3" t="inlineStr">
        <is>
          <t>ASSUMP_CLUSTER_RAMP; ASSUMP_CLOSED_MODEL_BAND; ASSUMP_NUMERIC_ACCELERATOR_MIX; ASSUMP_INFERENCE_SHARE_NOT_FACT_60; ASSUMP_WORKLOAD_CLASS_MIX; ASSUMP_AGENTIC_CONTEXT_PENALTY</t>
        </is>
      </c>
      <c r="L412" s="3" t="inlineStr">
        <is>
          <t>Recompute after AI allocation or workload-split evidence changes.</t>
        </is>
      </c>
    </row>
    <row r="413">
      <c r="A413" s="3" t="inlineStr">
        <is>
          <t>xAI</t>
        </is>
      </c>
      <c r="B413" s="3" t="n">
        <v>2028</v>
      </c>
      <c r="C413" s="3" t="inlineStr">
        <is>
          <t>Bear</t>
        </is>
      </c>
      <c r="D413" s="3" t="inlineStr">
        <is>
          <t>tokens_per_second_per_mw</t>
        </is>
      </c>
      <c r="E413" s="3" t="n">
        <v>1053601</v>
      </c>
      <c r="F413" s="3" t="inlineStr">
        <is>
          <t>generated output tokens/sec/MW</t>
        </is>
      </c>
      <c r="G413" s="3" t="inlineStr">
        <is>
          <t>Derived estimate + benchmark calibration</t>
        </is>
      </c>
      <c r="H413" s="3" t="inlineStr">
        <is>
          <t>fleet_reference_tps_per_mw * commercial_workload_fit_factor</t>
        </is>
      </c>
      <c r="I41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13" s="3" t="inlineStr">
        <is>
          <t>SRC_XAI_MODELS; SRC_XAI_NVIDIA_COLOSSUS; SRC_EPOCH_AI_DATA_CENTERS; SRC_SEMIANALYSIS_INFERENCEX; ASSUMP_NUMERIC_ACCELERATOR_MIX; ASSUMP_WORKLOAD_CLASS_MIX; ASSUMP_AGENTIC_CONTEXT_PENALTY</t>
        </is>
      </c>
      <c r="K413" s="3" t="inlineStr">
        <is>
          <t>ASSUMP_CLUSTER_RAMP; ASSUMP_CLOSED_MODEL_BAND; ASSUMP_NUMERIC_ACCELERATOR_MIX; ASSUMP_INFERENCE_SHARE_NOT_FACT_60; ASSUMP_WORKLOAD_CLASS_MIX; ASSUMP_AGENTIC_CONTEXT_PENALTY</t>
        </is>
      </c>
      <c r="L413" s="3" t="inlineStr">
        <is>
          <t>Comparable production output-token throughput with model, hardware, precision, ISL/OSL and SLO matched.</t>
        </is>
      </c>
    </row>
    <row r="414">
      <c r="A414" s="3" t="inlineStr">
        <is>
          <t>xAI</t>
        </is>
      </c>
      <c r="B414" s="3" t="n">
        <v>2028</v>
      </c>
      <c r="C414" s="3" t="inlineStr">
        <is>
          <t>Bear</t>
        </is>
      </c>
      <c r="D414" s="3" t="inlineStr">
        <is>
          <t>inference_tokens_per_day</t>
        </is>
      </c>
      <c r="E414" s="3" t="n">
        <v>37686886329600</v>
      </c>
      <c r="F414" s="3" t="inlineStr">
        <is>
          <t>generated output tokens/day</t>
        </is>
      </c>
      <c r="G414" s="3" t="inlineStr">
        <is>
          <t>Derived headline metric</t>
        </is>
      </c>
      <c r="H414" s="3" t="inlineStr">
        <is>
          <t>inference_gw * 1000 * tokens_per_second_per_mw * 86,400</t>
        </is>
      </c>
      <c r="I414" s="3" t="inlineStr">
        <is>
          <t>Headline capacity uses no utilization, MoE, architecture or software-growth multiplier; it is not observed commercial output volume.</t>
        </is>
      </c>
      <c r="J414" s="3" t="inlineStr">
        <is>
          <t>SRC_XAI_MODELS; SRC_XAI_NVIDIA_COLOSSUS; SRC_EPOCH_AI_DATA_CENTERS; SRC_SEMIANALYSIS_INFERENCEX</t>
        </is>
      </c>
      <c r="K414" s="3" t="inlineStr">
        <is>
          <t>ASSUMP_CLUSTER_RAMP; ASSUMP_CLOSED_MODEL_BAND; ASSUMP_NUMERIC_ACCELERATOR_MIX; ASSUMP_INFERENCE_SHARE_NOT_FACT_60; ASSUMP_WORKLOAD_CLASS_MIX; ASSUMP_AGENTIC_CONTEXT_PENALTY</t>
        </is>
      </c>
      <c r="L414" s="3" t="inlineStr">
        <is>
          <t>Provider-disclosed generated output token volume or calibrated capacity telemetry.</t>
        </is>
      </c>
    </row>
    <row r="415">
      <c r="A415" s="3" t="inlineStr">
        <is>
          <t>xAI</t>
        </is>
      </c>
      <c r="B415" s="3" t="n">
        <v>2028</v>
      </c>
      <c r="C415" s="3" t="inlineStr">
        <is>
          <t>Bear</t>
        </is>
      </c>
      <c r="D415" s="3" t="inlineStr">
        <is>
          <t>inference_tokens_per_year</t>
        </is>
      </c>
      <c r="E415" s="3" t="n">
        <v>1.3755713510304e+16</v>
      </c>
      <c r="F415" s="3" t="inlineStr">
        <is>
          <t>generated output tokens/year</t>
        </is>
      </c>
      <c r="G415" s="3" t="inlineStr">
        <is>
          <t>Derived headline metric</t>
        </is>
      </c>
      <c r="H415" s="3" t="inlineStr">
        <is>
          <t>inference_tokens_per_day * 365</t>
        </is>
      </c>
      <c r="I415" s="3" t="inlineStr">
        <is>
          <t>Annualized version of generated output token capacity; it is not observed annual demand or billable volume.</t>
        </is>
      </c>
      <c r="J415" s="3" t="inlineStr">
        <is>
          <t>SRC_XAI_MODELS; SRC_XAI_NVIDIA_COLOSSUS; SRC_EPOCH_AI_DATA_CENTERS; SRC_SEMIANALYSIS_INFERENCEX</t>
        </is>
      </c>
      <c r="K415" s="3" t="inlineStr">
        <is>
          <t>ASSUMP_CLUSTER_RAMP; ASSUMP_CLOSED_MODEL_BAND; ASSUMP_NUMERIC_ACCELERATOR_MIX; ASSUMP_INFERENCE_SHARE_NOT_FACT_60; ASSUMP_WORKLOAD_CLASS_MIX; ASSUMP_AGENTIC_CONTEXT_PENALTY</t>
        </is>
      </c>
      <c r="L415" s="3" t="inlineStr">
        <is>
          <t>Provider-disclosed annual generated-output volume or metered serving telemetry.</t>
        </is>
      </c>
    </row>
    <row r="416">
      <c r="A416" s="3" t="inlineStr">
        <is>
          <t>xAI</t>
        </is>
      </c>
      <c r="B416" s="3" t="n">
        <v>2029</v>
      </c>
      <c r="C416" s="3" t="inlineStr">
        <is>
          <t>Bear</t>
        </is>
      </c>
      <c r="D416" s="3" t="inlineStr">
        <is>
          <t>contracted_power_gw</t>
        </is>
      </c>
      <c r="E416" s="3" t="n">
        <v>2.5</v>
      </c>
      <c r="F416" s="3" t="inlineStr">
        <is>
          <t>GW</t>
        </is>
      </c>
      <c r="G416" s="3" t="inlineStr">
        <is>
          <t>Fact anchor + scenario ceiling</t>
        </is>
      </c>
      <c r="H416" s="3" t="inlineStr">
        <is>
          <t>linear interpolation between 2026 and 2030 company capacity endpoints</t>
        </is>
      </c>
      <c r="I416" s="3" t="inlineStr">
        <is>
          <t>Colossus GPU-count disclosure bounds capacity direction; contracted GW values are modeled power envelopes.</t>
        </is>
      </c>
      <c r="J416" s="3" t="inlineStr">
        <is>
          <t>SRC_XAI_NVIDIA_COLOSSUS; ASSUMP_CLUSTER_RAMP</t>
        </is>
      </c>
      <c r="K416" s="3" t="inlineStr">
        <is>
          <t>ASSUMP_CLUSTER_RAMP; ASSUMP_CLOSED_MODEL_BAND; ASSUMP_NUMERIC_ACCELERATOR_MIX; ASSUMP_INFERENCE_SHARE_NOT_FACT_60; ASSUMP_WORKLOAD_CLASS_MIX; ASSUMP_AGENTIC_CONTEXT_PENALTY</t>
        </is>
      </c>
      <c r="L416" s="3" t="inlineStr">
        <is>
          <t>Company/site-level committed MW/GW, interconnect and contract disclosure.</t>
        </is>
      </c>
    </row>
    <row r="417">
      <c r="A417" s="3" t="inlineStr">
        <is>
          <t>xAI</t>
        </is>
      </c>
      <c r="B417" s="3" t="n">
        <v>2029</v>
      </c>
      <c r="C417" s="3" t="inlineStr">
        <is>
          <t>Bear</t>
        </is>
      </c>
      <c r="D417" s="3" t="inlineStr">
        <is>
          <t>operational_deployment_share</t>
        </is>
      </c>
      <c r="E417" s="3" t="n">
        <v>0.6592</v>
      </c>
      <c r="F417" s="3" t="inlineStr">
        <is>
          <t>share</t>
        </is>
      </c>
      <c r="G417" s="3" t="inlineStr">
        <is>
          <t>Scenario conversion</t>
        </is>
      </c>
      <c r="H417" s="3" t="inlineStr">
        <is>
          <t>active_power_gw / contracted_power_gw</t>
        </is>
      </c>
      <c r="I417" s="3" t="inlineStr">
        <is>
          <t>This is the single explicit conversion from contracted/attributed capacity to operationally usable capacity.</t>
        </is>
      </c>
      <c r="J417" s="3" t="inlineStr">
        <is>
          <t>SRC_XAI_NVIDIA_COLOSSUS; ASSUMP_CLUSTER_RAMP</t>
        </is>
      </c>
      <c r="K417" s="3" t="inlineStr">
        <is>
          <t>ASSUMP_CLUSTER_RAMP; ASSUMP_CLOSED_MODEL_BAND; ASSUMP_NUMERIC_ACCELERATOR_MIX; ASSUMP_INFERENCE_SHARE_NOT_FACT_60; ASSUMP_WORKLOAD_CLASS_MIX; ASSUMP_AGENTIC_CONTEXT_PENALTY</t>
        </is>
      </c>
      <c r="L417" s="3" t="inlineStr">
        <is>
          <t>Energized operational capacity divided by contracted/attributed capacity.</t>
        </is>
      </c>
    </row>
    <row r="418">
      <c r="A418" s="3" t="inlineStr">
        <is>
          <t>xAI</t>
        </is>
      </c>
      <c r="B418" s="3" t="n">
        <v>2029</v>
      </c>
      <c r="C418" s="3" t="inlineStr">
        <is>
          <t>Bear</t>
        </is>
      </c>
      <c r="D418" s="3" t="inlineStr">
        <is>
          <t>active_power_gw</t>
        </is>
      </c>
      <c r="E418" s="3" t="n">
        <v>1.648</v>
      </c>
      <c r="F418" s="3" t="inlineStr">
        <is>
          <t>GW</t>
        </is>
      </c>
      <c r="G418" s="3" t="inlineStr">
        <is>
          <t>Derived scenario</t>
        </is>
      </c>
      <c r="H418" s="3" t="inlineStr">
        <is>
          <t>contracted_power_gw * operational_deployment_share</t>
        </is>
      </c>
      <c r="I418" s="3" t="inlineStr">
        <is>
          <t>GPU cluster scale anchors operational possibility, while inference/training allocation and site power draw remain estimates.</t>
        </is>
      </c>
      <c r="J418" s="3" t="inlineStr">
        <is>
          <t>SRC_XAI_NVIDIA_COLOSSUS; ASSUMP_CLUSTER_RAMP</t>
        </is>
      </c>
      <c r="K418" s="3" t="inlineStr">
        <is>
          <t>ASSUMP_CLUSTER_RAMP; ASSUMP_CLOSED_MODEL_BAND; ASSUMP_NUMERIC_ACCELERATOR_MIX; ASSUMP_INFERENCE_SHARE_NOT_FACT_60; ASSUMP_WORKLOAD_CLASS_MIX; ASSUMP_AGENTIC_CONTEXT_PENALTY</t>
        </is>
      </c>
      <c r="L418" s="3" t="inlineStr">
        <is>
          <t>Energization dates, accelerator deliveries and operational powered-rack telemetry.</t>
        </is>
      </c>
    </row>
    <row r="419">
      <c r="A419" s="3" t="inlineStr">
        <is>
          <t>xAI</t>
        </is>
      </c>
      <c r="B419" s="3" t="n">
        <v>2029</v>
      </c>
      <c r="C419" s="3" t="inlineStr">
        <is>
          <t>Bear</t>
        </is>
      </c>
      <c r="D419" s="3" t="inlineStr">
        <is>
          <t>pue</t>
        </is>
      </c>
      <c r="E419" s="3" t="n">
        <v>1.22</v>
      </c>
      <c r="F419" s="3" t="inlineStr">
        <is>
          <t>ratio</t>
        </is>
      </c>
      <c r="G419" s="3" t="inlineStr">
        <is>
          <t>Scenario parameter</t>
        </is>
      </c>
      <c r="H419" s="3" t="inlineStr">
        <is>
          <t>it_load_gw = active_power_gw / pue</t>
        </is>
      </c>
      <c r="I419" s="3" t="inlineStr">
        <is>
          <t>No provider-wide site-level PUE is used as a disclosed fact; PUE represents facility-to-IT conversion within the scenario.</t>
        </is>
      </c>
      <c r="J419" s="3" t="inlineStr">
        <is>
          <t>ASSUMP_POWER_RAMP</t>
        </is>
      </c>
      <c r="K419" s="3" t="inlineStr">
        <is>
          <t>ASSUMP_CLUSTER_RAMP; ASSUMP_CLOSED_MODEL_BAND; ASSUMP_NUMERIC_ACCELERATOR_MIX; ASSUMP_INFERENCE_SHARE_NOT_FACT_60; ASSUMP_WORKLOAD_CLASS_MIX; ASSUMP_AGENTIC_CONTEXT_PENALTY</t>
        </is>
      </c>
      <c r="L419" s="3" t="inlineStr">
        <is>
          <t>Site-level measured PUE matched to attributed AI capacity.</t>
        </is>
      </c>
    </row>
    <row r="420">
      <c r="A420" s="3" t="inlineStr">
        <is>
          <t>xAI</t>
        </is>
      </c>
      <c r="B420" s="3" t="n">
        <v>2029</v>
      </c>
      <c r="C420" s="3" t="inlineStr">
        <is>
          <t>Bear</t>
        </is>
      </c>
      <c r="D420" s="3" t="inlineStr">
        <is>
          <t>it_load_gw</t>
        </is>
      </c>
      <c r="E420" s="3" t="n">
        <v>1.351</v>
      </c>
      <c r="F420" s="3" t="inlineStr">
        <is>
          <t>GW</t>
        </is>
      </c>
      <c r="G420" s="3" t="inlineStr">
        <is>
          <t>Derived formula</t>
        </is>
      </c>
      <c r="H420" s="3" t="inlineStr">
        <is>
          <t>active_power_gw / pue</t>
        </is>
      </c>
      <c r="I420" s="3" t="inlineStr">
        <is>
          <t>Facility power is converted to IT-deliverable power before attributing AI workloads.</t>
        </is>
      </c>
      <c r="J420" s="3" t="inlineStr">
        <is>
          <t>SRC_XAI_NVIDIA_COLOSSUS; ASSUMP_CLUSTER_RAMP</t>
        </is>
      </c>
      <c r="K420" s="3" t="inlineStr">
        <is>
          <t>ASSUMP_CLUSTER_RAMP; ASSUMP_CLOSED_MODEL_BAND; ASSUMP_NUMERIC_ACCELERATOR_MIX; ASSUMP_INFERENCE_SHARE_NOT_FACT_60; ASSUMP_WORKLOAD_CLASS_MIX; ASSUMP_AGENTIC_CONTEXT_PENALTY</t>
        </is>
      </c>
      <c r="L420" s="3" t="inlineStr">
        <is>
          <t>Recompute once active power and PUE become site-observable.</t>
        </is>
      </c>
    </row>
    <row r="421">
      <c r="A421" s="3" t="inlineStr">
        <is>
          <t>xAI</t>
        </is>
      </c>
      <c r="B421" s="3" t="n">
        <v>2029</v>
      </c>
      <c r="C421" s="3" t="inlineStr">
        <is>
          <t>Bear</t>
        </is>
      </c>
      <c r="D421" s="3" t="inlineStr">
        <is>
          <t>ai_workload_share</t>
        </is>
      </c>
      <c r="E421" s="3" t="n">
        <v>0.85</v>
      </c>
      <c r="F421" s="3" t="inlineStr">
        <is>
          <t>share</t>
        </is>
      </c>
      <c r="G421" s="3" t="inlineStr">
        <is>
          <t>Scenario allocation</t>
        </is>
      </c>
      <c r="H421" s="3" t="inlineStr">
        <is>
          <t>ai_it_load_gw = it_load_gw * ai_workload_share</t>
        </is>
      </c>
      <c r="I421" s="3" t="inlineStr">
        <is>
          <t>Colossus is AI-centric; 85% retains cooling/IT allocation boundary and non-serving AI work.</t>
        </is>
      </c>
      <c r="J421" s="3" t="inlineStr">
        <is>
          <t>SRC_XAI_MODELS; SRC_XAI_NVIDIA_COLOSSUS; SRC_EPOCH_AI_DATA_CENTERS</t>
        </is>
      </c>
      <c r="K421" s="3" t="inlineStr">
        <is>
          <t>ASSUMP_CLUSTER_RAMP; ASSUMP_CLOSED_MODEL_BAND; ASSUMP_NUMERIC_ACCELERATOR_MIX; ASSUMP_INFERENCE_SHARE_NOT_FACT_60; ASSUMP_WORKLOAD_CLASS_MIX; ASSUMP_AGENTIC_CONTEXT_PENALTY</t>
        </is>
      </c>
      <c r="L421" s="3" t="inlineStr">
        <is>
          <t>Model-owner AI workload allocation or cluster scheduling telemetry.</t>
        </is>
      </c>
    </row>
    <row r="422">
      <c r="A422" s="3" t="inlineStr">
        <is>
          <t>xAI</t>
        </is>
      </c>
      <c r="B422" s="3" t="n">
        <v>2029</v>
      </c>
      <c r="C422" s="3" t="inlineStr">
        <is>
          <t>Bear</t>
        </is>
      </c>
      <c r="D422" s="3" t="inlineStr">
        <is>
          <t>ai_it_load_gw</t>
        </is>
      </c>
      <c r="E422" s="3" t="n">
        <v>1.149</v>
      </c>
      <c r="F422" s="3" t="inlineStr">
        <is>
          <t>GW</t>
        </is>
      </c>
      <c r="G422" s="3" t="inlineStr">
        <is>
          <t>Derived formula</t>
        </is>
      </c>
      <c r="H422" s="3" t="inlineStr">
        <is>
          <t>it_load_gw * ai_workload_share</t>
        </is>
      </c>
      <c r="I422" s="3" t="inlineStr">
        <is>
          <t>Only the AI-attributed portion of IT load enters training/inference allocation.</t>
        </is>
      </c>
      <c r="J422" s="3" t="inlineStr">
        <is>
          <t>SRC_XAI_MODELS; SRC_XAI_NVIDIA_COLOSSUS; SRC_EPOCH_AI_DATA_CENTERS</t>
        </is>
      </c>
      <c r="K422" s="3" t="inlineStr">
        <is>
          <t>ASSUMP_CLUSTER_RAMP; ASSUMP_CLOSED_MODEL_BAND; ASSUMP_NUMERIC_ACCELERATOR_MIX; ASSUMP_INFERENCE_SHARE_NOT_FACT_60; ASSUMP_WORKLOAD_CLASS_MIX; ASSUMP_AGENTIC_CONTEXT_PENALTY</t>
        </is>
      </c>
      <c r="L422" s="3" t="inlineStr">
        <is>
          <t>Recompute after ai_workload_share is replaced by telemetry.</t>
        </is>
      </c>
    </row>
    <row r="423">
      <c r="A423" s="3" t="inlineStr">
        <is>
          <t>xAI</t>
        </is>
      </c>
      <c r="B423" s="3" t="n">
        <v>2029</v>
      </c>
      <c r="C423" s="3" t="inlineStr">
        <is>
          <t>Bear</t>
        </is>
      </c>
      <c r="D423" s="3" t="inlineStr">
        <is>
          <t>gpu_share</t>
        </is>
      </c>
      <c r="E423" s="3" t="n">
        <v>1</v>
      </c>
      <c r="F423" s="3" t="inlineStr">
        <is>
          <t>share of inference-serving accelerator load</t>
        </is>
      </c>
      <c r="G423" s="3" t="inlineStr">
        <is>
          <t>Numeric scenario</t>
        </is>
      </c>
      <c r="H423" s="3" t="inlineStr">
        <is>
          <t>gpu_share interpolated from company 2026/2030 accelerator-mix endpoints</t>
        </is>
      </c>
      <c r="I423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423" s="3" t="inlineStr">
        <is>
          <t>SRC_XAI_MODELS; SRC_XAI_NVIDIA_COLOSSUS; SRC_EPOCH_AI_DATA_CENTERS; ASSUMP_NUMERIC_ACCELERATOR_MIX</t>
        </is>
      </c>
      <c r="K423" s="3" t="inlineStr">
        <is>
          <t>ASSUMP_CLUSTER_RAMP; ASSUMP_CLOSED_MODEL_BAND; ASSUMP_NUMERIC_ACCELERATOR_MIX; ASSUMP_INFERENCE_SHARE_NOT_FACT_60; ASSUMP_WORKLOAD_CLASS_MIX; ASSUMP_AGENTIC_CONTEXT_PENALTY</t>
        </is>
      </c>
      <c r="L423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424">
      <c r="A424" s="3" t="inlineStr">
        <is>
          <t>xAI</t>
        </is>
      </c>
      <c r="B424" s="3" t="n">
        <v>2029</v>
      </c>
      <c r="C424" s="3" t="inlineStr">
        <is>
          <t>Bear</t>
        </is>
      </c>
      <c r="D424" s="3" t="inlineStr">
        <is>
          <t>h200_share</t>
        </is>
      </c>
      <c r="E424" s="3" t="n">
        <v>0</v>
      </c>
      <c r="F424" s="3" t="inlineStr">
        <is>
          <t>share of inference-serving accelerator load</t>
        </is>
      </c>
      <c r="G424" s="3" t="inlineStr">
        <is>
          <t>Editable numeric scenario</t>
        </is>
      </c>
      <c r="H424" s="3" t="inlineStr">
        <is>
          <t>h200_share = gpu_share * default_gpu_generation_mix_h200</t>
        </is>
      </c>
      <c r="I424" s="3" t="inlineStr">
        <is>
          <t>Default GPU-generation migration assumption; executive workbook allows later manual replacement by company/year/scenario.</t>
        </is>
      </c>
      <c r="J424" s="3" t="inlineStr">
        <is>
          <t>SRC_SEMIANALYSIS_INFERENCEX; ASSUMP_NUMERIC_ACCELERATOR_MIX</t>
        </is>
      </c>
      <c r="K424" s="3" t="inlineStr">
        <is>
          <t>ASSUMP_CLUSTER_RAMP; ASSUMP_CLOSED_MODEL_BAND; ASSUMP_NUMERIC_ACCELERATOR_MIX; ASSUMP_INFERENCE_SHARE_NOT_FACT_60; ASSUMP_WORKLOAD_CLASS_MIX; ASSUMP_AGENTIC_CONTEXT_PENALTY</t>
        </is>
      </c>
      <c r="L424" s="3" t="inlineStr">
        <is>
          <t>Company fleet inventory, accelerator-hours or procurement/deployment records by GPU generation.</t>
        </is>
      </c>
    </row>
    <row r="425">
      <c r="A425" s="3" t="inlineStr">
        <is>
          <t>xAI</t>
        </is>
      </c>
      <c r="B425" s="3" t="n">
        <v>2029</v>
      </c>
      <c r="C425" s="3" t="inlineStr">
        <is>
          <t>Bear</t>
        </is>
      </c>
      <c r="D425" s="3" t="inlineStr">
        <is>
          <t>b200_share</t>
        </is>
      </c>
      <c r="E425" s="3" t="n">
        <v>1</v>
      </c>
      <c r="F425" s="3" t="inlineStr">
        <is>
          <t>share of inference-serving accelerator load</t>
        </is>
      </c>
      <c r="G425" s="3" t="inlineStr">
        <is>
          <t>Editable numeric scenario</t>
        </is>
      </c>
      <c r="H425" s="3" t="inlineStr">
        <is>
          <t>b200_share = gpu_share * default_gpu_generation_mix_b200</t>
        </is>
      </c>
      <c r="I425" s="3" t="inlineStr">
        <is>
          <t>Default GPU-generation migration assumption; executive workbook allows later manual replacement by company/year/scenario.</t>
        </is>
      </c>
      <c r="J425" s="3" t="inlineStr">
        <is>
          <t>SRC_SEMIANALYSIS_INFERENCEX; ASSUMP_NUMERIC_ACCELERATOR_MIX</t>
        </is>
      </c>
      <c r="K425" s="3" t="inlineStr">
        <is>
          <t>ASSUMP_CLUSTER_RAMP; ASSUMP_CLOSED_MODEL_BAND; ASSUMP_NUMERIC_ACCELERATOR_MIX; ASSUMP_INFERENCE_SHARE_NOT_FACT_60; ASSUMP_WORKLOAD_CLASS_MIX; ASSUMP_AGENTIC_CONTEXT_PENALTY</t>
        </is>
      </c>
      <c r="L425" s="3" t="inlineStr">
        <is>
          <t>Company fleet inventory, accelerator-hours or procurement/deployment records by GPU generation.</t>
        </is>
      </c>
    </row>
    <row r="426">
      <c r="A426" s="3" t="inlineStr">
        <is>
          <t>xAI</t>
        </is>
      </c>
      <c r="B426" s="3" t="n">
        <v>2029</v>
      </c>
      <c r="C426" s="3" t="inlineStr">
        <is>
          <t>Bear</t>
        </is>
      </c>
      <c r="D426" s="3" t="inlineStr">
        <is>
          <t>gb200_share</t>
        </is>
      </c>
      <c r="E426" s="3" t="n">
        <v>0</v>
      </c>
      <c r="F426" s="3" t="inlineStr">
        <is>
          <t>share of inference-serving accelerator load</t>
        </is>
      </c>
      <c r="G426" s="3" t="inlineStr">
        <is>
          <t>Editable numeric scenario</t>
        </is>
      </c>
      <c r="H426" s="3" t="inlineStr">
        <is>
          <t>gb200_share = gpu_share * default_gpu_generation_mix_gb200</t>
        </is>
      </c>
      <c r="I426" s="3" t="inlineStr">
        <is>
          <t>Default GPU-generation migration assumption; executive workbook allows later manual replacement by company/year/scenario.</t>
        </is>
      </c>
      <c r="J426" s="3" t="inlineStr">
        <is>
          <t>SRC_SEMIANALYSIS_INFERENCEX; ASSUMP_NUMERIC_ACCELERATOR_MIX</t>
        </is>
      </c>
      <c r="K426" s="3" t="inlineStr">
        <is>
          <t>ASSUMP_CLUSTER_RAMP; ASSUMP_CLOSED_MODEL_BAND; ASSUMP_NUMERIC_ACCELERATOR_MIX; ASSUMP_INFERENCE_SHARE_NOT_FACT_60; ASSUMP_WORKLOAD_CLASS_MIX; ASSUMP_AGENTIC_CONTEXT_PENALTY</t>
        </is>
      </c>
      <c r="L426" s="3" t="inlineStr">
        <is>
          <t>Company fleet inventory, accelerator-hours or procurement/deployment records by GPU generation.</t>
        </is>
      </c>
    </row>
    <row r="427">
      <c r="A427" s="3" t="inlineStr">
        <is>
          <t>xAI</t>
        </is>
      </c>
      <c r="B427" s="3" t="n">
        <v>2029</v>
      </c>
      <c r="C427" s="3" t="inlineStr">
        <is>
          <t>Bear</t>
        </is>
      </c>
      <c r="D427" s="3" t="inlineStr">
        <is>
          <t>purpose_built_accelerator_share</t>
        </is>
      </c>
      <c r="E427" s="3" t="n">
        <v>0</v>
      </c>
      <c r="F427" s="3" t="inlineStr">
        <is>
          <t>share of inference-serving accelerator load</t>
        </is>
      </c>
      <c r="G427" s="3" t="inlineStr">
        <is>
          <t>Numeric scenario</t>
        </is>
      </c>
      <c r="H427" s="3" t="inlineStr">
        <is>
          <t>1 - gpu_share</t>
        </is>
      </c>
      <c r="I427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427" s="3" t="inlineStr">
        <is>
          <t>SRC_XAI_MODELS; SRC_XAI_NVIDIA_COLOSSUS; SRC_EPOCH_AI_DATA_CENTERS; ASSUMP_NUMERIC_ACCELERATOR_MIX</t>
        </is>
      </c>
      <c r="K427" s="3" t="inlineStr">
        <is>
          <t>ASSUMP_CLUSTER_RAMP; ASSUMP_CLOSED_MODEL_BAND; ASSUMP_NUMERIC_ACCELERATOR_MIX; ASSUMP_INFERENCE_SHARE_NOT_FACT_60; ASSUMP_WORKLOAD_CLASS_MIX; ASSUMP_AGENTIC_CONTEXT_PENALTY</t>
        </is>
      </c>
      <c r="L427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428">
      <c r="A428" s="3" t="inlineStr">
        <is>
          <t>xAI</t>
        </is>
      </c>
      <c r="B428" s="3" t="n">
        <v>2029</v>
      </c>
      <c r="C428" s="3" t="inlineStr">
        <is>
          <t>Bear</t>
        </is>
      </c>
      <c r="D428" s="3" t="inlineStr">
        <is>
          <t>fleet_reference_tps_per_mw</t>
        </is>
      </c>
      <c r="E428" s="3" t="n">
        <v>3010288</v>
      </c>
      <c r="F428" s="3" t="inlineStr">
        <is>
          <t>generated output tokens/sec/MW</t>
        </is>
      </c>
      <c r="G428" s="3" t="inlineStr">
        <is>
          <t>Fleet-weighted public benchmark reference</t>
        </is>
      </c>
      <c r="H428" s="3" t="inlineStr">
        <is>
          <t>h200_share*h200_workload_avg + b200_share*b200_workload_avg + gb200_share*gb200_workload_avg + purpose_built_share*purpose_workload_avg</t>
        </is>
      </c>
      <c r="I42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28" s="3" t="inlineStr">
        <is>
          <t>SRC_SEMIANALYSIS_INFERENCEX; ASSUMP_NUMERIC_ACCELERATOR_MIX; ASSUMP_WORKLOAD_CLASS_MIX; ASSUMP_AGENTIC_CONTEXT_PENALTY</t>
        </is>
      </c>
      <c r="K428" s="3" t="inlineStr">
        <is>
          <t>ASSUMP_CLUSTER_RAMP; ASSUMP_CLOSED_MODEL_BAND; ASSUMP_NUMERIC_ACCELERATOR_MIX; ASSUMP_INFERENCE_SHARE_NOT_FACT_60; ASSUMP_WORKLOAD_CLASS_MIX; ASSUMP_AGENTIC_CONTEXT_PENALTY</t>
        </is>
      </c>
      <c r="L428" s="3" t="inlineStr">
        <is>
          <t>Comparable production output-token throughput or a more closely matched benchmark.</t>
        </is>
      </c>
    </row>
    <row r="429">
      <c r="A429" s="3" t="inlineStr">
        <is>
          <t>xAI</t>
        </is>
      </c>
      <c r="B429" s="3" t="n">
        <v>2029</v>
      </c>
      <c r="C429" s="3" t="inlineStr">
        <is>
          <t>Bear</t>
        </is>
      </c>
      <c r="D429" s="3" t="inlineStr">
        <is>
          <t>commercial_workload_fit_factor</t>
        </is>
      </c>
      <c r="E429" s="3" t="n">
        <v>0.35</v>
      </c>
      <c r="F429" s="3" t="inlineStr">
        <is>
          <t>share of public reference throughput</t>
        </is>
      </c>
      <c r="G429" s="3" t="inlineStr">
        <is>
          <t>Scenario assumption</t>
        </is>
      </c>
      <c r="H429" s="3" t="inlineStr">
        <is>
          <t>reference_serving_tps_per_mw = fleet_reference_tps_per_mw * commercial_workload_fit_factor</t>
        </is>
      </c>
      <c r="I42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29" s="3" t="inlineStr">
        <is>
          <t>SRC_SEMIANALYSIS_INFERENCEX; ASSUMP_NUMERIC_ACCELERATOR_MIX; ASSUMP_WORKLOAD_CLASS_MIX; ASSUMP_AGENTIC_CONTEXT_PENALTY</t>
        </is>
      </c>
      <c r="K429" s="3" t="inlineStr">
        <is>
          <t>ASSUMP_CLUSTER_RAMP; ASSUMP_CLOSED_MODEL_BAND; ASSUMP_NUMERIC_ACCELERATOR_MIX; ASSUMP_INFERENCE_SHARE_NOT_FACT_60; ASSUMP_WORKLOAD_CLASS_MIX; ASSUMP_AGENTIC_CONTEXT_PENALTY</t>
        </is>
      </c>
      <c r="L429" s="3" t="inlineStr">
        <is>
          <t>Matched commercial serving benchmark by product surface, context shape and latency SLO.</t>
        </is>
      </c>
    </row>
    <row r="430">
      <c r="A430" s="3" t="inlineStr">
        <is>
          <t>xAI</t>
        </is>
      </c>
      <c r="B430" s="3" t="n">
        <v>2029</v>
      </c>
      <c r="C430" s="3" t="inlineStr">
        <is>
          <t>Bear</t>
        </is>
      </c>
      <c r="D430" s="3" t="inlineStr">
        <is>
          <t>reference_serving_tps_per_mw</t>
        </is>
      </c>
      <c r="E430" s="3" t="n">
        <v>1053601</v>
      </c>
      <c r="F430" s="3" t="inlineStr">
        <is>
          <t>generated output tokens/sec/MW</t>
        </is>
      </c>
      <c r="G430" s="3" t="inlineStr">
        <is>
          <t>Workload-adjusted benchmark proxy</t>
        </is>
      </c>
      <c r="H430" s="3" t="inlineStr">
        <is>
          <t>fleet_reference_tps_per_mw * commercial_workload_fit_factor</t>
        </is>
      </c>
      <c r="I430" s="3" t="inlineStr">
        <is>
          <t>This is the coefficient used for headline token generation; each GPU's short chat, long chat and agentic TPS/MW are weighted before fleet mix and commercial fit are applied.</t>
        </is>
      </c>
      <c r="J430" s="3" t="inlineStr">
        <is>
          <t>SRC_SEMIANALYSIS_INFERENCEX; ASSUMP_NUMERIC_ACCELERATOR_MIX; ASSUMP_WORKLOAD_CLASS_MIX; ASSUMP_AGENTIC_CONTEXT_PENALTY</t>
        </is>
      </c>
      <c r="K430" s="3" t="inlineStr">
        <is>
          <t>ASSUMP_CLUSTER_RAMP; ASSUMP_CLOSED_MODEL_BAND; ASSUMP_NUMERIC_ACCELERATOR_MIX; ASSUMP_INFERENCE_SHARE_NOT_FACT_60; ASSUMP_WORKLOAD_CLASS_MIX; ASSUMP_AGENTIC_CONTEXT_PENALTY</t>
        </is>
      </c>
      <c r="L430" s="3" t="inlineStr">
        <is>
          <t>Provider production output-token throughput with comparable workload/SLO.</t>
        </is>
      </c>
    </row>
    <row r="431">
      <c r="A431" s="3" t="inlineStr">
        <is>
          <t>xAI</t>
        </is>
      </c>
      <c r="B431" s="3" t="n">
        <v>2029</v>
      </c>
      <c r="C431" s="3" t="inlineStr">
        <is>
          <t>Bear</t>
        </is>
      </c>
      <c r="D431" s="3" t="inlineStr">
        <is>
          <t>purpose_built_tps_per_mw</t>
        </is>
      </c>
      <c r="E431" s="3" t="n">
        <v>1580938</v>
      </c>
      <c r="F431" s="3" t="inlineStr">
        <is>
          <t>generated output tokens/sec/MW</t>
        </is>
      </c>
      <c r="G431" s="3" t="inlineStr">
        <is>
          <t>Conservative no-uplift proxy</t>
        </is>
      </c>
      <c r="H431" s="3" t="inlineStr">
        <is>
          <t>purpose_built_tps_per_mw = purpose_built_reference_tps_per_mw * commercial_workload_fit_factor until comparable output-token benchmark is adopted</t>
        </is>
      </c>
      <c r="I431" s="3" t="inlineStr">
        <is>
          <t>No comparable public output-token/MW row adopted; B200 public reference placeholder is used and remains editable.</t>
        </is>
      </c>
      <c r="J431" s="3" t="inlineStr">
        <is>
          <t>SRC_XAI_MODELS; SRC_XAI_NVIDIA_COLOSSUS; SRC_EPOCH_AI_DATA_CENTERS; ASSUMP_NUMERIC_ACCELERATOR_MIX</t>
        </is>
      </c>
      <c r="K431" s="3" t="inlineStr">
        <is>
          <t>ASSUMP_CLUSTER_RAMP; ASSUMP_CLOSED_MODEL_BAND; ASSUMP_NUMERIC_ACCELERATOR_MIX; ASSUMP_INFERENCE_SHARE_NOT_FACT_60; ASSUMP_WORKLOAD_CLASS_MIX; ASSUMP_AGENTIC_CONTEXT_PENALTY</t>
        </is>
      </c>
      <c r="L431" s="3" t="inlineStr">
        <is>
          <t>Matched-workload generated-output benchmark for the provider purpose-built accelerator.</t>
        </is>
      </c>
    </row>
    <row r="432">
      <c r="A432" s="3" t="inlineStr">
        <is>
          <t>xAI</t>
        </is>
      </c>
      <c r="B432" s="3" t="n">
        <v>2029</v>
      </c>
      <c r="C432" s="3" t="inlineStr">
        <is>
          <t>Bear</t>
        </is>
      </c>
      <c r="D432" s="3" t="inlineStr">
        <is>
          <t>inference_power_share</t>
        </is>
      </c>
      <c r="E432" s="3" t="n">
        <v>0.542</v>
      </c>
      <c r="F432" s="3" t="inlineStr">
        <is>
          <t>share of AI IT load</t>
        </is>
      </c>
      <c r="G432" s="3" t="inlineStr">
        <is>
          <t>Scenario allocation</t>
        </is>
      </c>
      <c r="H432" s="3" t="inlineStr">
        <is>
          <t>inference_gw = ai_it_load_gw * inference_power_share</t>
        </is>
      </c>
      <c r="I432" s="3" t="inlineStr">
        <is>
          <t>Grok product expansion is modeled to shift capacity toward inference after initial training-heavy operation.</t>
        </is>
      </c>
      <c r="J432" s="3" t="inlineStr">
        <is>
          <t>SRC_XAI_MODELS; SRC_XAI_NVIDIA_COLOSSUS; SRC_EPOCH_AI_DATA_CENTERS; ASSUMP_INFERENCE_SHARE_NOT_FACT_60</t>
        </is>
      </c>
      <c r="K432" s="3" t="inlineStr">
        <is>
          <t>ASSUMP_CLUSTER_RAMP; ASSUMP_CLOSED_MODEL_BAND; ASSUMP_NUMERIC_ACCELERATOR_MIX; ASSUMP_INFERENCE_SHARE_NOT_FACT_60; ASSUMP_WORKLOAD_CLASS_MIX; ASSUMP_AGENTIC_CONTEXT_PENALTY</t>
        </is>
      </c>
      <c r="L432" s="3" t="inlineStr">
        <is>
          <t>Provider-specific inference/training workload power telemetry.</t>
        </is>
      </c>
    </row>
    <row r="433">
      <c r="A433" s="3" t="inlineStr">
        <is>
          <t>xAI</t>
        </is>
      </c>
      <c r="B433" s="3" t="n">
        <v>2029</v>
      </c>
      <c r="C433" s="3" t="inlineStr">
        <is>
          <t>Bear</t>
        </is>
      </c>
      <c r="D433" s="3" t="inlineStr">
        <is>
          <t>inference_gw</t>
        </is>
      </c>
      <c r="E433" s="3" t="n">
        <v>0.623</v>
      </c>
      <c r="F433" s="3" t="inlineStr">
        <is>
          <t>GW</t>
        </is>
      </c>
      <c r="G433" s="3" t="inlineStr">
        <is>
          <t>Derived formula</t>
        </is>
      </c>
      <c r="H433" s="3" t="inlineStr">
        <is>
          <t>ai_it_load_gw * inference_power_share</t>
        </is>
      </c>
      <c r="I433" s="3" t="inlineStr">
        <is>
          <t>This is the operational power eligible to become commercial generated output tokens through the selected TPS/MW proxy.</t>
        </is>
      </c>
      <c r="J433" s="3" t="inlineStr">
        <is>
          <t>SRC_XAI_MODELS; SRC_XAI_NVIDIA_COLOSSUS; SRC_EPOCH_AI_DATA_CENTERS</t>
        </is>
      </c>
      <c r="K433" s="3" t="inlineStr">
        <is>
          <t>ASSUMP_CLUSTER_RAMP; ASSUMP_CLOSED_MODEL_BAND; ASSUMP_NUMERIC_ACCELERATOR_MIX; ASSUMP_INFERENCE_SHARE_NOT_FACT_60; ASSUMP_WORKLOAD_CLASS_MIX; ASSUMP_AGENTIC_CONTEXT_PENALTY</t>
        </is>
      </c>
      <c r="L433" s="3" t="inlineStr">
        <is>
          <t>Recompute after AI allocation or inference-share evidence changes.</t>
        </is>
      </c>
    </row>
    <row r="434">
      <c r="A434" s="3" t="inlineStr">
        <is>
          <t>xAI</t>
        </is>
      </c>
      <c r="B434" s="3" t="n">
        <v>2029</v>
      </c>
      <c r="C434" s="3" t="inlineStr">
        <is>
          <t>Bear</t>
        </is>
      </c>
      <c r="D434" s="3" t="inlineStr">
        <is>
          <t>training_power_share</t>
        </is>
      </c>
      <c r="E434" s="3" t="n">
        <v>0.458</v>
      </c>
      <c r="F434" s="3" t="inlineStr">
        <is>
          <t>share of AI IT load</t>
        </is>
      </c>
      <c r="G434" s="3" t="inlineStr">
        <is>
          <t>Derived allocation</t>
        </is>
      </c>
      <c r="H434" s="3" t="inlineStr">
        <is>
          <t>1 - inference_power_share</t>
        </is>
      </c>
      <c r="I434" s="3" t="inlineStr">
        <is>
          <t>Training receives the complementary modeled AI IT allocation; it is not a disclosed company workload split.</t>
        </is>
      </c>
      <c r="J434" s="3" t="inlineStr">
        <is>
          <t>SRC_XAI_MODELS; SRC_XAI_NVIDIA_COLOSSUS; SRC_EPOCH_AI_DATA_CENTERS; ASSUMP_INFERENCE_SHARE_NOT_FACT_60</t>
        </is>
      </c>
      <c r="K434" s="3" t="inlineStr">
        <is>
          <t>ASSUMP_CLUSTER_RAMP; ASSUMP_CLOSED_MODEL_BAND; ASSUMP_NUMERIC_ACCELERATOR_MIX; ASSUMP_INFERENCE_SHARE_NOT_FACT_60; ASSUMP_WORKLOAD_CLASS_MIX; ASSUMP_AGENTIC_CONTEXT_PENALTY</t>
        </is>
      </c>
      <c r="L434" s="3" t="inlineStr">
        <is>
          <t>Provider-specific inference/training workload power telemetry.</t>
        </is>
      </c>
    </row>
    <row r="435">
      <c r="A435" s="3" t="inlineStr">
        <is>
          <t>xAI</t>
        </is>
      </c>
      <c r="B435" s="3" t="n">
        <v>2029</v>
      </c>
      <c r="C435" s="3" t="inlineStr">
        <is>
          <t>Bear</t>
        </is>
      </c>
      <c r="D435" s="3" t="inlineStr">
        <is>
          <t>training_gw</t>
        </is>
      </c>
      <c r="E435" s="3" t="n">
        <v>0.525</v>
      </c>
      <c r="F435" s="3" t="inlineStr">
        <is>
          <t>GW</t>
        </is>
      </c>
      <c r="G435" s="3" t="inlineStr">
        <is>
          <t>Derived formula</t>
        </is>
      </c>
      <c r="H435" s="3" t="inlineStr">
        <is>
          <t>ai_it_load_gw * training_power_share</t>
        </is>
      </c>
      <c r="I435" s="3" t="inlineStr">
        <is>
          <t>Training GW is shown separately so commercial inference token capacity is not overstated.</t>
        </is>
      </c>
      <c r="J435" s="3" t="inlineStr">
        <is>
          <t>SRC_XAI_MODELS; SRC_XAI_NVIDIA_COLOSSUS; SRC_EPOCH_AI_DATA_CENTERS</t>
        </is>
      </c>
      <c r="K435" s="3" t="inlineStr">
        <is>
          <t>ASSUMP_CLUSTER_RAMP; ASSUMP_CLOSED_MODEL_BAND; ASSUMP_NUMERIC_ACCELERATOR_MIX; ASSUMP_INFERENCE_SHARE_NOT_FACT_60; ASSUMP_WORKLOAD_CLASS_MIX; ASSUMP_AGENTIC_CONTEXT_PENALTY</t>
        </is>
      </c>
      <c r="L435" s="3" t="inlineStr">
        <is>
          <t>Recompute after AI allocation or workload-split evidence changes.</t>
        </is>
      </c>
    </row>
    <row r="436">
      <c r="A436" s="3" t="inlineStr">
        <is>
          <t>xAI</t>
        </is>
      </c>
      <c r="B436" s="3" t="n">
        <v>2029</v>
      </c>
      <c r="C436" s="3" t="inlineStr">
        <is>
          <t>Bear</t>
        </is>
      </c>
      <c r="D436" s="3" t="inlineStr">
        <is>
          <t>tokens_per_second_per_mw</t>
        </is>
      </c>
      <c r="E436" s="3" t="n">
        <v>1053601</v>
      </c>
      <c r="F436" s="3" t="inlineStr">
        <is>
          <t>generated output tokens/sec/MW</t>
        </is>
      </c>
      <c r="G436" s="3" t="inlineStr">
        <is>
          <t>Derived estimate + benchmark calibration</t>
        </is>
      </c>
      <c r="H436" s="3" t="inlineStr">
        <is>
          <t>fleet_reference_tps_per_mw * commercial_workload_fit_factor</t>
        </is>
      </c>
      <c r="I43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36" s="3" t="inlineStr">
        <is>
          <t>SRC_XAI_MODELS; SRC_XAI_NVIDIA_COLOSSUS; SRC_EPOCH_AI_DATA_CENTERS; SRC_SEMIANALYSIS_INFERENCEX; ASSUMP_NUMERIC_ACCELERATOR_MIX; ASSUMP_WORKLOAD_CLASS_MIX; ASSUMP_AGENTIC_CONTEXT_PENALTY</t>
        </is>
      </c>
      <c r="K436" s="3" t="inlineStr">
        <is>
          <t>ASSUMP_CLUSTER_RAMP; ASSUMP_CLOSED_MODEL_BAND; ASSUMP_NUMERIC_ACCELERATOR_MIX; ASSUMP_INFERENCE_SHARE_NOT_FACT_60; ASSUMP_WORKLOAD_CLASS_MIX; ASSUMP_AGENTIC_CONTEXT_PENALTY</t>
        </is>
      </c>
      <c r="L436" s="3" t="inlineStr">
        <is>
          <t>Comparable production output-token throughput with model, hardware, precision, ISL/OSL and SLO matched.</t>
        </is>
      </c>
    </row>
    <row r="437">
      <c r="A437" s="3" t="inlineStr">
        <is>
          <t>xAI</t>
        </is>
      </c>
      <c r="B437" s="3" t="n">
        <v>2029</v>
      </c>
      <c r="C437" s="3" t="inlineStr">
        <is>
          <t>Bear</t>
        </is>
      </c>
      <c r="D437" s="3" t="inlineStr">
        <is>
          <t>inference_tokens_per_day</t>
        </is>
      </c>
      <c r="E437" s="3" t="n">
        <v>56712391747200</v>
      </c>
      <c r="F437" s="3" t="inlineStr">
        <is>
          <t>generated output tokens/day</t>
        </is>
      </c>
      <c r="G437" s="3" t="inlineStr">
        <is>
          <t>Derived headline metric</t>
        </is>
      </c>
      <c r="H437" s="3" t="inlineStr">
        <is>
          <t>inference_gw * 1000 * tokens_per_second_per_mw * 86,400</t>
        </is>
      </c>
      <c r="I437" s="3" t="inlineStr">
        <is>
          <t>Headline capacity uses no utilization, MoE, architecture or software-growth multiplier; it is not observed commercial output volume.</t>
        </is>
      </c>
      <c r="J437" s="3" t="inlineStr">
        <is>
          <t>SRC_XAI_MODELS; SRC_XAI_NVIDIA_COLOSSUS; SRC_EPOCH_AI_DATA_CENTERS; SRC_SEMIANALYSIS_INFERENCEX</t>
        </is>
      </c>
      <c r="K437" s="3" t="inlineStr">
        <is>
          <t>ASSUMP_CLUSTER_RAMP; ASSUMP_CLOSED_MODEL_BAND; ASSUMP_NUMERIC_ACCELERATOR_MIX; ASSUMP_INFERENCE_SHARE_NOT_FACT_60; ASSUMP_WORKLOAD_CLASS_MIX; ASSUMP_AGENTIC_CONTEXT_PENALTY</t>
        </is>
      </c>
      <c r="L437" s="3" t="inlineStr">
        <is>
          <t>Provider-disclosed generated output token volume or calibrated capacity telemetry.</t>
        </is>
      </c>
    </row>
    <row r="438">
      <c r="A438" s="3" t="inlineStr">
        <is>
          <t>xAI</t>
        </is>
      </c>
      <c r="B438" s="3" t="n">
        <v>2029</v>
      </c>
      <c r="C438" s="3" t="inlineStr">
        <is>
          <t>Bear</t>
        </is>
      </c>
      <c r="D438" s="3" t="inlineStr">
        <is>
          <t>inference_tokens_per_year</t>
        </is>
      </c>
      <c r="E438" s="3" t="n">
        <v>2.0700022987728e+16</v>
      </c>
      <c r="F438" s="3" t="inlineStr">
        <is>
          <t>generated output tokens/year</t>
        </is>
      </c>
      <c r="G438" s="3" t="inlineStr">
        <is>
          <t>Derived headline metric</t>
        </is>
      </c>
      <c r="H438" s="3" t="inlineStr">
        <is>
          <t>inference_tokens_per_day * 365</t>
        </is>
      </c>
      <c r="I438" s="3" t="inlineStr">
        <is>
          <t>Annualized version of generated output token capacity; it is not observed annual demand or billable volume.</t>
        </is>
      </c>
      <c r="J438" s="3" t="inlineStr">
        <is>
          <t>SRC_XAI_MODELS; SRC_XAI_NVIDIA_COLOSSUS; SRC_EPOCH_AI_DATA_CENTERS; SRC_SEMIANALYSIS_INFERENCEX</t>
        </is>
      </c>
      <c r="K438" s="3" t="inlineStr">
        <is>
          <t>ASSUMP_CLUSTER_RAMP; ASSUMP_CLOSED_MODEL_BAND; ASSUMP_NUMERIC_ACCELERATOR_MIX; ASSUMP_INFERENCE_SHARE_NOT_FACT_60; ASSUMP_WORKLOAD_CLASS_MIX; ASSUMP_AGENTIC_CONTEXT_PENALTY</t>
        </is>
      </c>
      <c r="L438" s="3" t="inlineStr">
        <is>
          <t>Provider-disclosed annual generated-output volume or metered serving telemetry.</t>
        </is>
      </c>
    </row>
    <row r="439">
      <c r="A439" s="3" t="inlineStr">
        <is>
          <t>xAI</t>
        </is>
      </c>
      <c r="B439" s="3" t="n">
        <v>2030</v>
      </c>
      <c r="C439" s="3" t="inlineStr">
        <is>
          <t>Bear</t>
        </is>
      </c>
      <c r="D439" s="3" t="inlineStr">
        <is>
          <t>contracted_power_gw</t>
        </is>
      </c>
      <c r="E439" s="3" t="n">
        <v>3</v>
      </c>
      <c r="F439" s="3" t="inlineStr">
        <is>
          <t>GW</t>
        </is>
      </c>
      <c r="G439" s="3" t="inlineStr">
        <is>
          <t>Fact anchor + scenario ceiling</t>
        </is>
      </c>
      <c r="H439" s="3" t="inlineStr">
        <is>
          <t>linear interpolation between 2026 and 2030 company capacity endpoints</t>
        </is>
      </c>
      <c r="I439" s="3" t="inlineStr">
        <is>
          <t>Colossus GPU-count disclosure bounds capacity direction; contracted GW values are modeled power envelopes.</t>
        </is>
      </c>
      <c r="J439" s="3" t="inlineStr">
        <is>
          <t>SRC_XAI_NVIDIA_COLOSSUS; ASSUMP_CLUSTER_RAMP</t>
        </is>
      </c>
      <c r="K439" s="3" t="inlineStr">
        <is>
          <t>ASSUMP_CLUSTER_RAMP; ASSUMP_CLOSED_MODEL_BAND; ASSUMP_NUMERIC_ACCELERATOR_MIX; ASSUMP_INFERENCE_SHARE_NOT_FACT_60; ASSUMP_WORKLOAD_CLASS_MIX; ASSUMP_AGENTIC_CONTEXT_PENALTY</t>
        </is>
      </c>
      <c r="L439" s="3" t="inlineStr">
        <is>
          <t>Company/site-level committed MW/GW, interconnect and contract disclosure.</t>
        </is>
      </c>
    </row>
    <row r="440">
      <c r="A440" s="3" t="inlineStr">
        <is>
          <t>xAI</t>
        </is>
      </c>
      <c r="B440" s="3" t="n">
        <v>2030</v>
      </c>
      <c r="C440" s="3" t="inlineStr">
        <is>
          <t>Bear</t>
        </is>
      </c>
      <c r="D440" s="3" t="inlineStr">
        <is>
          <t>operational_deployment_share</t>
        </is>
      </c>
      <c r="E440" s="3" t="n">
        <v>0.68333333</v>
      </c>
      <c r="F440" s="3" t="inlineStr">
        <is>
          <t>share</t>
        </is>
      </c>
      <c r="G440" s="3" t="inlineStr">
        <is>
          <t>Scenario conversion</t>
        </is>
      </c>
      <c r="H440" s="3" t="inlineStr">
        <is>
          <t>active_power_gw / contracted_power_gw</t>
        </is>
      </c>
      <c r="I440" s="3" t="inlineStr">
        <is>
          <t>This is the single explicit conversion from contracted/attributed capacity to operationally usable capacity.</t>
        </is>
      </c>
      <c r="J440" s="3" t="inlineStr">
        <is>
          <t>SRC_XAI_NVIDIA_COLOSSUS; ASSUMP_CLUSTER_RAMP</t>
        </is>
      </c>
      <c r="K440" s="3" t="inlineStr">
        <is>
          <t>ASSUMP_CLUSTER_RAMP; ASSUMP_CLOSED_MODEL_BAND; ASSUMP_NUMERIC_ACCELERATOR_MIX; ASSUMP_INFERENCE_SHARE_NOT_FACT_60; ASSUMP_WORKLOAD_CLASS_MIX; ASSUMP_AGENTIC_CONTEXT_PENALTY</t>
        </is>
      </c>
      <c r="L440" s="3" t="inlineStr">
        <is>
          <t>Energized operational capacity divided by contracted/attributed capacity.</t>
        </is>
      </c>
    </row>
    <row r="441">
      <c r="A441" s="3" t="inlineStr">
        <is>
          <t>xAI</t>
        </is>
      </c>
      <c r="B441" s="3" t="n">
        <v>2030</v>
      </c>
      <c r="C441" s="3" t="inlineStr">
        <is>
          <t>Bear</t>
        </is>
      </c>
      <c r="D441" s="3" t="inlineStr">
        <is>
          <t>active_power_gw</t>
        </is>
      </c>
      <c r="E441" s="3" t="n">
        <v>2.05</v>
      </c>
      <c r="F441" s="3" t="inlineStr">
        <is>
          <t>GW</t>
        </is>
      </c>
      <c r="G441" s="3" t="inlineStr">
        <is>
          <t>Derived scenario</t>
        </is>
      </c>
      <c r="H441" s="3" t="inlineStr">
        <is>
          <t>contracted_power_gw * operational_deployment_share</t>
        </is>
      </c>
      <c r="I441" s="3" t="inlineStr">
        <is>
          <t>GPU cluster scale anchors operational possibility, while inference/training allocation and site power draw remain estimates.</t>
        </is>
      </c>
      <c r="J441" s="3" t="inlineStr">
        <is>
          <t>SRC_XAI_NVIDIA_COLOSSUS; ASSUMP_CLUSTER_RAMP</t>
        </is>
      </c>
      <c r="K441" s="3" t="inlineStr">
        <is>
          <t>ASSUMP_CLUSTER_RAMP; ASSUMP_CLOSED_MODEL_BAND; ASSUMP_NUMERIC_ACCELERATOR_MIX; ASSUMP_INFERENCE_SHARE_NOT_FACT_60; ASSUMP_WORKLOAD_CLASS_MIX; ASSUMP_AGENTIC_CONTEXT_PENALTY</t>
        </is>
      </c>
      <c r="L441" s="3" t="inlineStr">
        <is>
          <t>Energization dates, accelerator deliveries and operational powered-rack telemetry.</t>
        </is>
      </c>
    </row>
    <row r="442">
      <c r="A442" s="3" t="inlineStr">
        <is>
          <t>xAI</t>
        </is>
      </c>
      <c r="B442" s="3" t="n">
        <v>2030</v>
      </c>
      <c r="C442" s="3" t="inlineStr">
        <is>
          <t>Bear</t>
        </is>
      </c>
      <c r="D442" s="3" t="inlineStr">
        <is>
          <t>pue</t>
        </is>
      </c>
      <c r="E442" s="3" t="n">
        <v>1.22</v>
      </c>
      <c r="F442" s="3" t="inlineStr">
        <is>
          <t>ratio</t>
        </is>
      </c>
      <c r="G442" s="3" t="inlineStr">
        <is>
          <t>Scenario parameter</t>
        </is>
      </c>
      <c r="H442" s="3" t="inlineStr">
        <is>
          <t>it_load_gw = active_power_gw / pue</t>
        </is>
      </c>
      <c r="I442" s="3" t="inlineStr">
        <is>
          <t>No provider-wide site-level PUE is used as a disclosed fact; PUE represents facility-to-IT conversion within the scenario.</t>
        </is>
      </c>
      <c r="J442" s="3" t="inlineStr">
        <is>
          <t>ASSUMP_POWER_RAMP</t>
        </is>
      </c>
      <c r="K442" s="3" t="inlineStr">
        <is>
          <t>ASSUMP_CLUSTER_RAMP; ASSUMP_CLOSED_MODEL_BAND; ASSUMP_NUMERIC_ACCELERATOR_MIX; ASSUMP_INFERENCE_SHARE_NOT_FACT_60; ASSUMP_WORKLOAD_CLASS_MIX; ASSUMP_AGENTIC_CONTEXT_PENALTY</t>
        </is>
      </c>
      <c r="L442" s="3" t="inlineStr">
        <is>
          <t>Site-level measured PUE matched to attributed AI capacity.</t>
        </is>
      </c>
    </row>
    <row r="443">
      <c r="A443" s="3" t="inlineStr">
        <is>
          <t>xAI</t>
        </is>
      </c>
      <c r="B443" s="3" t="n">
        <v>2030</v>
      </c>
      <c r="C443" s="3" t="inlineStr">
        <is>
          <t>Bear</t>
        </is>
      </c>
      <c r="D443" s="3" t="inlineStr">
        <is>
          <t>it_load_gw</t>
        </is>
      </c>
      <c r="E443" s="3" t="n">
        <v>1.68</v>
      </c>
      <c r="F443" s="3" t="inlineStr">
        <is>
          <t>GW</t>
        </is>
      </c>
      <c r="G443" s="3" t="inlineStr">
        <is>
          <t>Derived formula</t>
        </is>
      </c>
      <c r="H443" s="3" t="inlineStr">
        <is>
          <t>active_power_gw / pue</t>
        </is>
      </c>
      <c r="I443" s="3" t="inlineStr">
        <is>
          <t>Facility power is converted to IT-deliverable power before attributing AI workloads.</t>
        </is>
      </c>
      <c r="J443" s="3" t="inlineStr">
        <is>
          <t>SRC_XAI_NVIDIA_COLOSSUS; ASSUMP_CLUSTER_RAMP</t>
        </is>
      </c>
      <c r="K443" s="3" t="inlineStr">
        <is>
          <t>ASSUMP_CLUSTER_RAMP; ASSUMP_CLOSED_MODEL_BAND; ASSUMP_NUMERIC_ACCELERATOR_MIX; ASSUMP_INFERENCE_SHARE_NOT_FACT_60; ASSUMP_WORKLOAD_CLASS_MIX; ASSUMP_AGENTIC_CONTEXT_PENALTY</t>
        </is>
      </c>
      <c r="L443" s="3" t="inlineStr">
        <is>
          <t>Recompute once active power and PUE become site-observable.</t>
        </is>
      </c>
    </row>
    <row r="444">
      <c r="A444" s="3" t="inlineStr">
        <is>
          <t>xAI</t>
        </is>
      </c>
      <c r="B444" s="3" t="n">
        <v>2030</v>
      </c>
      <c r="C444" s="3" t="inlineStr">
        <is>
          <t>Bear</t>
        </is>
      </c>
      <c r="D444" s="3" t="inlineStr">
        <is>
          <t>ai_workload_share</t>
        </is>
      </c>
      <c r="E444" s="3" t="n">
        <v>0.85</v>
      </c>
      <c r="F444" s="3" t="inlineStr">
        <is>
          <t>share</t>
        </is>
      </c>
      <c r="G444" s="3" t="inlineStr">
        <is>
          <t>Scenario allocation</t>
        </is>
      </c>
      <c r="H444" s="3" t="inlineStr">
        <is>
          <t>ai_it_load_gw = it_load_gw * ai_workload_share</t>
        </is>
      </c>
      <c r="I444" s="3" t="inlineStr">
        <is>
          <t>Colossus is AI-centric; 85% retains cooling/IT allocation boundary and non-serving AI work.</t>
        </is>
      </c>
      <c r="J444" s="3" t="inlineStr">
        <is>
          <t>SRC_XAI_MODELS; SRC_XAI_NVIDIA_COLOSSUS; SRC_EPOCH_AI_DATA_CENTERS</t>
        </is>
      </c>
      <c r="K444" s="3" t="inlineStr">
        <is>
          <t>ASSUMP_CLUSTER_RAMP; ASSUMP_CLOSED_MODEL_BAND; ASSUMP_NUMERIC_ACCELERATOR_MIX; ASSUMP_INFERENCE_SHARE_NOT_FACT_60; ASSUMP_WORKLOAD_CLASS_MIX; ASSUMP_AGENTIC_CONTEXT_PENALTY</t>
        </is>
      </c>
      <c r="L444" s="3" t="inlineStr">
        <is>
          <t>Model-owner AI workload allocation or cluster scheduling telemetry.</t>
        </is>
      </c>
    </row>
    <row r="445">
      <c r="A445" s="3" t="inlineStr">
        <is>
          <t>xAI</t>
        </is>
      </c>
      <c r="B445" s="3" t="n">
        <v>2030</v>
      </c>
      <c r="C445" s="3" t="inlineStr">
        <is>
          <t>Bear</t>
        </is>
      </c>
      <c r="D445" s="3" t="inlineStr">
        <is>
          <t>ai_it_load_gw</t>
        </is>
      </c>
      <c r="E445" s="3" t="n">
        <v>1.428</v>
      </c>
      <c r="F445" s="3" t="inlineStr">
        <is>
          <t>GW</t>
        </is>
      </c>
      <c r="G445" s="3" t="inlineStr">
        <is>
          <t>Derived formula</t>
        </is>
      </c>
      <c r="H445" s="3" t="inlineStr">
        <is>
          <t>it_load_gw * ai_workload_share</t>
        </is>
      </c>
      <c r="I445" s="3" t="inlineStr">
        <is>
          <t>Only the AI-attributed portion of IT load enters training/inference allocation.</t>
        </is>
      </c>
      <c r="J445" s="3" t="inlineStr">
        <is>
          <t>SRC_XAI_MODELS; SRC_XAI_NVIDIA_COLOSSUS; SRC_EPOCH_AI_DATA_CENTERS</t>
        </is>
      </c>
      <c r="K445" s="3" t="inlineStr">
        <is>
          <t>ASSUMP_CLUSTER_RAMP; ASSUMP_CLOSED_MODEL_BAND; ASSUMP_NUMERIC_ACCELERATOR_MIX; ASSUMP_INFERENCE_SHARE_NOT_FACT_60; ASSUMP_WORKLOAD_CLASS_MIX; ASSUMP_AGENTIC_CONTEXT_PENALTY</t>
        </is>
      </c>
      <c r="L445" s="3" t="inlineStr">
        <is>
          <t>Recompute after ai_workload_share is replaced by telemetry.</t>
        </is>
      </c>
    </row>
    <row r="446">
      <c r="A446" s="3" t="inlineStr">
        <is>
          <t>xAI</t>
        </is>
      </c>
      <c r="B446" s="3" t="n">
        <v>2030</v>
      </c>
      <c r="C446" s="3" t="inlineStr">
        <is>
          <t>Bear</t>
        </is>
      </c>
      <c r="D446" s="3" t="inlineStr">
        <is>
          <t>gpu_share</t>
        </is>
      </c>
      <c r="E446" s="3" t="n">
        <v>1</v>
      </c>
      <c r="F446" s="3" t="inlineStr">
        <is>
          <t>share of inference-serving accelerator load</t>
        </is>
      </c>
      <c r="G446" s="3" t="inlineStr">
        <is>
          <t>Numeric scenario</t>
        </is>
      </c>
      <c r="H446" s="3" t="inlineStr">
        <is>
          <t>gpu_share interpolated from company 2026/2030 accelerator-mix endpoints</t>
        </is>
      </c>
      <c r="I446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446" s="3" t="inlineStr">
        <is>
          <t>SRC_XAI_MODELS; SRC_XAI_NVIDIA_COLOSSUS; SRC_EPOCH_AI_DATA_CENTERS; ASSUMP_NUMERIC_ACCELERATOR_MIX</t>
        </is>
      </c>
      <c r="K446" s="3" t="inlineStr">
        <is>
          <t>ASSUMP_CLUSTER_RAMP; ASSUMP_CLOSED_MODEL_BAND; ASSUMP_NUMERIC_ACCELERATOR_MIX; ASSUMP_INFERENCE_SHARE_NOT_FACT_60; ASSUMP_WORKLOAD_CLASS_MIX; ASSUMP_AGENTIC_CONTEXT_PENALTY</t>
        </is>
      </c>
      <c r="L446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447">
      <c r="A447" s="3" t="inlineStr">
        <is>
          <t>xAI</t>
        </is>
      </c>
      <c r="B447" s="3" t="n">
        <v>2030</v>
      </c>
      <c r="C447" s="3" t="inlineStr">
        <is>
          <t>Bear</t>
        </is>
      </c>
      <c r="D447" s="3" t="inlineStr">
        <is>
          <t>h200_share</t>
        </is>
      </c>
      <c r="E447" s="3" t="n">
        <v>0</v>
      </c>
      <c r="F447" s="3" t="inlineStr">
        <is>
          <t>share of inference-serving accelerator load</t>
        </is>
      </c>
      <c r="G447" s="3" t="inlineStr">
        <is>
          <t>Editable numeric scenario</t>
        </is>
      </c>
      <c r="H447" s="3" t="inlineStr">
        <is>
          <t>h200_share = gpu_share * default_gpu_generation_mix_h200</t>
        </is>
      </c>
      <c r="I447" s="3" t="inlineStr">
        <is>
          <t>Default GPU-generation migration assumption; executive workbook allows later manual replacement by company/year/scenario.</t>
        </is>
      </c>
      <c r="J447" s="3" t="inlineStr">
        <is>
          <t>SRC_SEMIANALYSIS_INFERENCEX; ASSUMP_NUMERIC_ACCELERATOR_MIX</t>
        </is>
      </c>
      <c r="K447" s="3" t="inlineStr">
        <is>
          <t>ASSUMP_CLUSTER_RAMP; ASSUMP_CLOSED_MODEL_BAND; ASSUMP_NUMERIC_ACCELERATOR_MIX; ASSUMP_INFERENCE_SHARE_NOT_FACT_60; ASSUMP_WORKLOAD_CLASS_MIX; ASSUMP_AGENTIC_CONTEXT_PENALTY</t>
        </is>
      </c>
      <c r="L447" s="3" t="inlineStr">
        <is>
          <t>Company fleet inventory, accelerator-hours or procurement/deployment records by GPU generation.</t>
        </is>
      </c>
    </row>
    <row r="448">
      <c r="A448" s="3" t="inlineStr">
        <is>
          <t>xAI</t>
        </is>
      </c>
      <c r="B448" s="3" t="n">
        <v>2030</v>
      </c>
      <c r="C448" s="3" t="inlineStr">
        <is>
          <t>Bear</t>
        </is>
      </c>
      <c r="D448" s="3" t="inlineStr">
        <is>
          <t>b200_share</t>
        </is>
      </c>
      <c r="E448" s="3" t="n">
        <v>1</v>
      </c>
      <c r="F448" s="3" t="inlineStr">
        <is>
          <t>share of inference-serving accelerator load</t>
        </is>
      </c>
      <c r="G448" s="3" t="inlineStr">
        <is>
          <t>Editable numeric scenario</t>
        </is>
      </c>
      <c r="H448" s="3" t="inlineStr">
        <is>
          <t>b200_share = gpu_share * default_gpu_generation_mix_b200</t>
        </is>
      </c>
      <c r="I448" s="3" t="inlineStr">
        <is>
          <t>Default GPU-generation migration assumption; executive workbook allows later manual replacement by company/year/scenario.</t>
        </is>
      </c>
      <c r="J448" s="3" t="inlineStr">
        <is>
          <t>SRC_SEMIANALYSIS_INFERENCEX; ASSUMP_NUMERIC_ACCELERATOR_MIX</t>
        </is>
      </c>
      <c r="K448" s="3" t="inlineStr">
        <is>
          <t>ASSUMP_CLUSTER_RAMP; ASSUMP_CLOSED_MODEL_BAND; ASSUMP_NUMERIC_ACCELERATOR_MIX; ASSUMP_INFERENCE_SHARE_NOT_FACT_60; ASSUMP_WORKLOAD_CLASS_MIX; ASSUMP_AGENTIC_CONTEXT_PENALTY</t>
        </is>
      </c>
      <c r="L448" s="3" t="inlineStr">
        <is>
          <t>Company fleet inventory, accelerator-hours or procurement/deployment records by GPU generation.</t>
        </is>
      </c>
    </row>
    <row r="449">
      <c r="A449" s="3" t="inlineStr">
        <is>
          <t>xAI</t>
        </is>
      </c>
      <c r="B449" s="3" t="n">
        <v>2030</v>
      </c>
      <c r="C449" s="3" t="inlineStr">
        <is>
          <t>Bear</t>
        </is>
      </c>
      <c r="D449" s="3" t="inlineStr">
        <is>
          <t>gb200_share</t>
        </is>
      </c>
      <c r="E449" s="3" t="n">
        <v>0</v>
      </c>
      <c r="F449" s="3" t="inlineStr">
        <is>
          <t>share of inference-serving accelerator load</t>
        </is>
      </c>
      <c r="G449" s="3" t="inlineStr">
        <is>
          <t>Editable numeric scenario</t>
        </is>
      </c>
      <c r="H449" s="3" t="inlineStr">
        <is>
          <t>gb200_share = gpu_share * default_gpu_generation_mix_gb200</t>
        </is>
      </c>
      <c r="I449" s="3" t="inlineStr">
        <is>
          <t>Default GPU-generation migration assumption; executive workbook allows later manual replacement by company/year/scenario.</t>
        </is>
      </c>
      <c r="J449" s="3" t="inlineStr">
        <is>
          <t>SRC_SEMIANALYSIS_INFERENCEX; ASSUMP_NUMERIC_ACCELERATOR_MIX</t>
        </is>
      </c>
      <c r="K449" s="3" t="inlineStr">
        <is>
          <t>ASSUMP_CLUSTER_RAMP; ASSUMP_CLOSED_MODEL_BAND; ASSUMP_NUMERIC_ACCELERATOR_MIX; ASSUMP_INFERENCE_SHARE_NOT_FACT_60; ASSUMP_WORKLOAD_CLASS_MIX; ASSUMP_AGENTIC_CONTEXT_PENALTY</t>
        </is>
      </c>
      <c r="L449" s="3" t="inlineStr">
        <is>
          <t>Company fleet inventory, accelerator-hours or procurement/deployment records by GPU generation.</t>
        </is>
      </c>
    </row>
    <row r="450">
      <c r="A450" s="3" t="inlineStr">
        <is>
          <t>xAI</t>
        </is>
      </c>
      <c r="B450" s="3" t="n">
        <v>2030</v>
      </c>
      <c r="C450" s="3" t="inlineStr">
        <is>
          <t>Bear</t>
        </is>
      </c>
      <c r="D450" s="3" t="inlineStr">
        <is>
          <t>purpose_built_accelerator_share</t>
        </is>
      </c>
      <c r="E450" s="3" t="n">
        <v>0</v>
      </c>
      <c r="F450" s="3" t="inlineStr">
        <is>
          <t>share of inference-serving accelerator load</t>
        </is>
      </c>
      <c r="G450" s="3" t="inlineStr">
        <is>
          <t>Numeric scenario</t>
        </is>
      </c>
      <c r="H450" s="3" t="inlineStr">
        <is>
          <t>1 - gpu_share</t>
        </is>
      </c>
      <c r="I450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450" s="3" t="inlineStr">
        <is>
          <t>SRC_XAI_MODELS; SRC_XAI_NVIDIA_COLOSSUS; SRC_EPOCH_AI_DATA_CENTERS; ASSUMP_NUMERIC_ACCELERATOR_MIX</t>
        </is>
      </c>
      <c r="K450" s="3" t="inlineStr">
        <is>
          <t>ASSUMP_CLUSTER_RAMP; ASSUMP_CLOSED_MODEL_BAND; ASSUMP_NUMERIC_ACCELERATOR_MIX; ASSUMP_INFERENCE_SHARE_NOT_FACT_60; ASSUMP_WORKLOAD_CLASS_MIX; ASSUMP_AGENTIC_CONTEXT_PENALTY</t>
        </is>
      </c>
      <c r="L450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451">
      <c r="A451" s="3" t="inlineStr">
        <is>
          <t>xAI</t>
        </is>
      </c>
      <c r="B451" s="3" t="n">
        <v>2030</v>
      </c>
      <c r="C451" s="3" t="inlineStr">
        <is>
          <t>Bear</t>
        </is>
      </c>
      <c r="D451" s="3" t="inlineStr">
        <is>
          <t>fleet_reference_tps_per_mw</t>
        </is>
      </c>
      <c r="E451" s="3" t="n">
        <v>3010288</v>
      </c>
      <c r="F451" s="3" t="inlineStr">
        <is>
          <t>generated output tokens/sec/MW</t>
        </is>
      </c>
      <c r="G451" s="3" t="inlineStr">
        <is>
          <t>Fleet-weighted public benchmark reference</t>
        </is>
      </c>
      <c r="H451" s="3" t="inlineStr">
        <is>
          <t>h200_share*h200_workload_avg + b200_share*b200_workload_avg + gb200_share*gb200_workload_avg + purpose_built_share*purpose_workload_avg</t>
        </is>
      </c>
      <c r="I45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51" s="3" t="inlineStr">
        <is>
          <t>SRC_SEMIANALYSIS_INFERENCEX; ASSUMP_NUMERIC_ACCELERATOR_MIX; ASSUMP_WORKLOAD_CLASS_MIX; ASSUMP_AGENTIC_CONTEXT_PENALTY</t>
        </is>
      </c>
      <c r="K451" s="3" t="inlineStr">
        <is>
          <t>ASSUMP_CLUSTER_RAMP; ASSUMP_CLOSED_MODEL_BAND; ASSUMP_NUMERIC_ACCELERATOR_MIX; ASSUMP_INFERENCE_SHARE_NOT_FACT_60; ASSUMP_WORKLOAD_CLASS_MIX; ASSUMP_AGENTIC_CONTEXT_PENALTY</t>
        </is>
      </c>
      <c r="L451" s="3" t="inlineStr">
        <is>
          <t>Comparable production output-token throughput or a more closely matched benchmark.</t>
        </is>
      </c>
    </row>
    <row r="452">
      <c r="A452" s="3" t="inlineStr">
        <is>
          <t>xAI</t>
        </is>
      </c>
      <c r="B452" s="3" t="n">
        <v>2030</v>
      </c>
      <c r="C452" s="3" t="inlineStr">
        <is>
          <t>Bear</t>
        </is>
      </c>
      <c r="D452" s="3" t="inlineStr">
        <is>
          <t>commercial_workload_fit_factor</t>
        </is>
      </c>
      <c r="E452" s="3" t="n">
        <v>0.35</v>
      </c>
      <c r="F452" s="3" t="inlineStr">
        <is>
          <t>share of public reference throughput</t>
        </is>
      </c>
      <c r="G452" s="3" t="inlineStr">
        <is>
          <t>Scenario assumption</t>
        </is>
      </c>
      <c r="H452" s="3" t="inlineStr">
        <is>
          <t>reference_serving_tps_per_mw = fleet_reference_tps_per_mw * commercial_workload_fit_factor</t>
        </is>
      </c>
      <c r="I45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452" s="3" t="inlineStr">
        <is>
          <t>SRC_SEMIANALYSIS_INFERENCEX; ASSUMP_NUMERIC_ACCELERATOR_MIX; ASSUMP_WORKLOAD_CLASS_MIX; ASSUMP_AGENTIC_CONTEXT_PENALTY</t>
        </is>
      </c>
      <c r="K452" s="3" t="inlineStr">
        <is>
          <t>ASSUMP_CLUSTER_RAMP; ASSUMP_CLOSED_MODEL_BAND; ASSUMP_NUMERIC_ACCELERATOR_MIX; ASSUMP_INFERENCE_SHARE_NOT_FACT_60; ASSUMP_WORKLOAD_CLASS_MIX; ASSUMP_AGENTIC_CONTEXT_PENALTY</t>
        </is>
      </c>
      <c r="L452" s="3" t="inlineStr">
        <is>
          <t>Matched commercial serving benchmark by product surface, context shape and latency SLO.</t>
        </is>
      </c>
    </row>
    <row r="453">
      <c r="A453" s="3" t="inlineStr">
        <is>
          <t>xAI</t>
        </is>
      </c>
      <c r="B453" s="3" t="n">
        <v>2030</v>
      </c>
      <c r="C453" s="3" t="inlineStr">
        <is>
          <t>Bear</t>
        </is>
      </c>
      <c r="D453" s="3" t="inlineStr">
        <is>
          <t>reference_serving_tps_per_mw</t>
        </is>
      </c>
      <c r="E453" s="3" t="n">
        <v>1053601</v>
      </c>
      <c r="F453" s="3" t="inlineStr">
        <is>
          <t>generated output tokens/sec/MW</t>
        </is>
      </c>
      <c r="G453" s="3" t="inlineStr">
        <is>
          <t>Workload-adjusted benchmark proxy</t>
        </is>
      </c>
      <c r="H453" s="3" t="inlineStr">
        <is>
          <t>fleet_reference_tps_per_mw * commercial_workload_fit_factor</t>
        </is>
      </c>
      <c r="I453" s="3" t="inlineStr">
        <is>
          <t>This is the coefficient used for headline token generation; each GPU's short chat, long chat and agentic TPS/MW are weighted before fleet mix and commercial fit are applied.</t>
        </is>
      </c>
      <c r="J453" s="3" t="inlineStr">
        <is>
          <t>SRC_SEMIANALYSIS_INFERENCEX; ASSUMP_NUMERIC_ACCELERATOR_MIX; ASSUMP_WORKLOAD_CLASS_MIX; ASSUMP_AGENTIC_CONTEXT_PENALTY</t>
        </is>
      </c>
      <c r="K453" s="3" t="inlineStr">
        <is>
          <t>ASSUMP_CLUSTER_RAMP; ASSUMP_CLOSED_MODEL_BAND; ASSUMP_NUMERIC_ACCELERATOR_MIX; ASSUMP_INFERENCE_SHARE_NOT_FACT_60; ASSUMP_WORKLOAD_CLASS_MIX; ASSUMP_AGENTIC_CONTEXT_PENALTY</t>
        </is>
      </c>
      <c r="L453" s="3" t="inlineStr">
        <is>
          <t>Provider production output-token throughput with comparable workload/SLO.</t>
        </is>
      </c>
    </row>
    <row r="454">
      <c r="A454" s="3" t="inlineStr">
        <is>
          <t>xAI</t>
        </is>
      </c>
      <c r="B454" s="3" t="n">
        <v>2030</v>
      </c>
      <c r="C454" s="3" t="inlineStr">
        <is>
          <t>Bear</t>
        </is>
      </c>
      <c r="D454" s="3" t="inlineStr">
        <is>
          <t>purpose_built_tps_per_mw</t>
        </is>
      </c>
      <c r="E454" s="3" t="n">
        <v>1580938</v>
      </c>
      <c r="F454" s="3" t="inlineStr">
        <is>
          <t>generated output tokens/sec/MW</t>
        </is>
      </c>
      <c r="G454" s="3" t="inlineStr">
        <is>
          <t>Conservative no-uplift proxy</t>
        </is>
      </c>
      <c r="H454" s="3" t="inlineStr">
        <is>
          <t>purpose_built_tps_per_mw = purpose_built_reference_tps_per_mw * commercial_workload_fit_factor until comparable output-token benchmark is adopted</t>
        </is>
      </c>
      <c r="I454" s="3" t="inlineStr">
        <is>
          <t>No comparable public output-token/MW row adopted; B200 public reference placeholder is used and remains editable.</t>
        </is>
      </c>
      <c r="J454" s="3" t="inlineStr">
        <is>
          <t>SRC_XAI_MODELS; SRC_XAI_NVIDIA_COLOSSUS; SRC_EPOCH_AI_DATA_CENTERS; ASSUMP_NUMERIC_ACCELERATOR_MIX</t>
        </is>
      </c>
      <c r="K454" s="3" t="inlineStr">
        <is>
          <t>ASSUMP_CLUSTER_RAMP; ASSUMP_CLOSED_MODEL_BAND; ASSUMP_NUMERIC_ACCELERATOR_MIX; ASSUMP_INFERENCE_SHARE_NOT_FACT_60; ASSUMP_WORKLOAD_CLASS_MIX; ASSUMP_AGENTIC_CONTEXT_PENALTY</t>
        </is>
      </c>
      <c r="L454" s="3" t="inlineStr">
        <is>
          <t>Matched-workload generated-output benchmark for the provider purpose-built accelerator.</t>
        </is>
      </c>
    </row>
    <row r="455">
      <c r="A455" s="3" t="inlineStr">
        <is>
          <t>xAI</t>
        </is>
      </c>
      <c r="B455" s="3" t="n">
        <v>2030</v>
      </c>
      <c r="C455" s="3" t="inlineStr">
        <is>
          <t>Bear</t>
        </is>
      </c>
      <c r="D455" s="3" t="inlineStr">
        <is>
          <t>inference_power_share</t>
        </is>
      </c>
      <c r="E455" s="3" t="n">
        <v>0.6</v>
      </c>
      <c r="F455" s="3" t="inlineStr">
        <is>
          <t>share of AI IT load</t>
        </is>
      </c>
      <c r="G455" s="3" t="inlineStr">
        <is>
          <t>Scenario allocation</t>
        </is>
      </c>
      <c r="H455" s="3" t="inlineStr">
        <is>
          <t>inference_gw = ai_it_load_gw * inference_power_share</t>
        </is>
      </c>
      <c r="I455" s="3" t="inlineStr">
        <is>
          <t>Grok product expansion is modeled to shift capacity toward inference after initial training-heavy operation.</t>
        </is>
      </c>
      <c r="J455" s="3" t="inlineStr">
        <is>
          <t>SRC_XAI_MODELS; SRC_XAI_NVIDIA_COLOSSUS; SRC_EPOCH_AI_DATA_CENTERS; ASSUMP_INFERENCE_SHARE_NOT_FACT_60</t>
        </is>
      </c>
      <c r="K455" s="3" t="inlineStr">
        <is>
          <t>ASSUMP_CLUSTER_RAMP; ASSUMP_CLOSED_MODEL_BAND; ASSUMP_NUMERIC_ACCELERATOR_MIX; ASSUMP_INFERENCE_SHARE_NOT_FACT_60; ASSUMP_WORKLOAD_CLASS_MIX; ASSUMP_AGENTIC_CONTEXT_PENALTY</t>
        </is>
      </c>
      <c r="L455" s="3" t="inlineStr">
        <is>
          <t>Provider-specific inference/training workload power telemetry.</t>
        </is>
      </c>
    </row>
    <row r="456">
      <c r="A456" s="3" t="inlineStr">
        <is>
          <t>xAI</t>
        </is>
      </c>
      <c r="B456" s="3" t="n">
        <v>2030</v>
      </c>
      <c r="C456" s="3" t="inlineStr">
        <is>
          <t>Bear</t>
        </is>
      </c>
      <c r="D456" s="3" t="inlineStr">
        <is>
          <t>inference_gw</t>
        </is>
      </c>
      <c r="E456" s="3" t="n">
        <v>0.857</v>
      </c>
      <c r="F456" s="3" t="inlineStr">
        <is>
          <t>GW</t>
        </is>
      </c>
      <c r="G456" s="3" t="inlineStr">
        <is>
          <t>Derived formula</t>
        </is>
      </c>
      <c r="H456" s="3" t="inlineStr">
        <is>
          <t>ai_it_load_gw * inference_power_share</t>
        </is>
      </c>
      <c r="I456" s="3" t="inlineStr">
        <is>
          <t>This is the operational power eligible to become commercial generated output tokens through the selected TPS/MW proxy.</t>
        </is>
      </c>
      <c r="J456" s="3" t="inlineStr">
        <is>
          <t>SRC_XAI_MODELS; SRC_XAI_NVIDIA_COLOSSUS; SRC_EPOCH_AI_DATA_CENTERS</t>
        </is>
      </c>
      <c r="K456" s="3" t="inlineStr">
        <is>
          <t>ASSUMP_CLUSTER_RAMP; ASSUMP_CLOSED_MODEL_BAND; ASSUMP_NUMERIC_ACCELERATOR_MIX; ASSUMP_INFERENCE_SHARE_NOT_FACT_60; ASSUMP_WORKLOAD_CLASS_MIX; ASSUMP_AGENTIC_CONTEXT_PENALTY</t>
        </is>
      </c>
      <c r="L456" s="3" t="inlineStr">
        <is>
          <t>Recompute after AI allocation or inference-share evidence changes.</t>
        </is>
      </c>
    </row>
    <row r="457">
      <c r="A457" s="3" t="inlineStr">
        <is>
          <t>xAI</t>
        </is>
      </c>
      <c r="B457" s="3" t="n">
        <v>2030</v>
      </c>
      <c r="C457" s="3" t="inlineStr">
        <is>
          <t>Bear</t>
        </is>
      </c>
      <c r="D457" s="3" t="inlineStr">
        <is>
          <t>training_power_share</t>
        </is>
      </c>
      <c r="E457" s="3" t="n">
        <v>0.4</v>
      </c>
      <c r="F457" s="3" t="inlineStr">
        <is>
          <t>share of AI IT load</t>
        </is>
      </c>
      <c r="G457" s="3" t="inlineStr">
        <is>
          <t>Derived allocation</t>
        </is>
      </c>
      <c r="H457" s="3" t="inlineStr">
        <is>
          <t>1 - inference_power_share</t>
        </is>
      </c>
      <c r="I457" s="3" t="inlineStr">
        <is>
          <t>Training receives the complementary modeled AI IT allocation; it is not a disclosed company workload split.</t>
        </is>
      </c>
      <c r="J457" s="3" t="inlineStr">
        <is>
          <t>SRC_XAI_MODELS; SRC_XAI_NVIDIA_COLOSSUS; SRC_EPOCH_AI_DATA_CENTERS; ASSUMP_INFERENCE_SHARE_NOT_FACT_60</t>
        </is>
      </c>
      <c r="K457" s="3" t="inlineStr">
        <is>
          <t>ASSUMP_CLUSTER_RAMP; ASSUMP_CLOSED_MODEL_BAND; ASSUMP_NUMERIC_ACCELERATOR_MIX; ASSUMP_INFERENCE_SHARE_NOT_FACT_60; ASSUMP_WORKLOAD_CLASS_MIX; ASSUMP_AGENTIC_CONTEXT_PENALTY</t>
        </is>
      </c>
      <c r="L457" s="3" t="inlineStr">
        <is>
          <t>Provider-specific inference/training workload power telemetry.</t>
        </is>
      </c>
    </row>
    <row r="458">
      <c r="A458" s="3" t="inlineStr">
        <is>
          <t>xAI</t>
        </is>
      </c>
      <c r="B458" s="3" t="n">
        <v>2030</v>
      </c>
      <c r="C458" s="3" t="inlineStr">
        <is>
          <t>Bear</t>
        </is>
      </c>
      <c r="D458" s="3" t="inlineStr">
        <is>
          <t>training_gw</t>
        </is>
      </c>
      <c r="E458" s="3" t="n">
        <v>0.571</v>
      </c>
      <c r="F458" s="3" t="inlineStr">
        <is>
          <t>GW</t>
        </is>
      </c>
      <c r="G458" s="3" t="inlineStr">
        <is>
          <t>Derived formula</t>
        </is>
      </c>
      <c r="H458" s="3" t="inlineStr">
        <is>
          <t>ai_it_load_gw * training_power_share</t>
        </is>
      </c>
      <c r="I458" s="3" t="inlineStr">
        <is>
          <t>Training GW is shown separately so commercial inference token capacity is not overstated.</t>
        </is>
      </c>
      <c r="J458" s="3" t="inlineStr">
        <is>
          <t>SRC_XAI_MODELS; SRC_XAI_NVIDIA_COLOSSUS; SRC_EPOCH_AI_DATA_CENTERS</t>
        </is>
      </c>
      <c r="K458" s="3" t="inlineStr">
        <is>
          <t>ASSUMP_CLUSTER_RAMP; ASSUMP_CLOSED_MODEL_BAND; ASSUMP_NUMERIC_ACCELERATOR_MIX; ASSUMP_INFERENCE_SHARE_NOT_FACT_60; ASSUMP_WORKLOAD_CLASS_MIX; ASSUMP_AGENTIC_CONTEXT_PENALTY</t>
        </is>
      </c>
      <c r="L458" s="3" t="inlineStr">
        <is>
          <t>Recompute after AI allocation or workload-split evidence changes.</t>
        </is>
      </c>
    </row>
    <row r="459">
      <c r="A459" s="3" t="inlineStr">
        <is>
          <t>xAI</t>
        </is>
      </c>
      <c r="B459" s="3" t="n">
        <v>2030</v>
      </c>
      <c r="C459" s="3" t="inlineStr">
        <is>
          <t>Bear</t>
        </is>
      </c>
      <c r="D459" s="3" t="inlineStr">
        <is>
          <t>tokens_per_second_per_mw</t>
        </is>
      </c>
      <c r="E459" s="3" t="n">
        <v>1053601</v>
      </c>
      <c r="F459" s="3" t="inlineStr">
        <is>
          <t>generated output tokens/sec/MW</t>
        </is>
      </c>
      <c r="G459" s="3" t="inlineStr">
        <is>
          <t>Derived estimate + benchmark calibration</t>
        </is>
      </c>
      <c r="H459" s="3" t="inlineStr">
        <is>
          <t>fleet_reference_tps_per_mw * commercial_workload_fit_factor</t>
        </is>
      </c>
      <c r="I45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459" s="3" t="inlineStr">
        <is>
          <t>SRC_XAI_MODELS; SRC_XAI_NVIDIA_COLOSSUS; SRC_EPOCH_AI_DATA_CENTERS; SRC_SEMIANALYSIS_INFERENCEX; ASSUMP_NUMERIC_ACCELERATOR_MIX; ASSUMP_WORKLOAD_CLASS_MIX; ASSUMP_AGENTIC_CONTEXT_PENALTY</t>
        </is>
      </c>
      <c r="K459" s="3" t="inlineStr">
        <is>
          <t>ASSUMP_CLUSTER_RAMP; ASSUMP_CLOSED_MODEL_BAND; ASSUMP_NUMERIC_ACCELERATOR_MIX; ASSUMP_INFERENCE_SHARE_NOT_FACT_60; ASSUMP_WORKLOAD_CLASS_MIX; ASSUMP_AGENTIC_CONTEXT_PENALTY</t>
        </is>
      </c>
      <c r="L459" s="3" t="inlineStr">
        <is>
          <t>Comparable production output-token throughput with model, hardware, precision, ISL/OSL and SLO matched.</t>
        </is>
      </c>
    </row>
    <row r="460">
      <c r="A460" s="3" t="inlineStr">
        <is>
          <t>xAI</t>
        </is>
      </c>
      <c r="B460" s="3" t="n">
        <v>2030</v>
      </c>
      <c r="C460" s="3" t="inlineStr">
        <is>
          <t>Bear</t>
        </is>
      </c>
      <c r="D460" s="3" t="inlineStr">
        <is>
          <t>inference_tokens_per_day</t>
        </is>
      </c>
      <c r="E460" s="3" t="n">
        <v>78013675324800</v>
      </c>
      <c r="F460" s="3" t="inlineStr">
        <is>
          <t>generated output tokens/day</t>
        </is>
      </c>
      <c r="G460" s="3" t="inlineStr">
        <is>
          <t>Derived headline metric</t>
        </is>
      </c>
      <c r="H460" s="3" t="inlineStr">
        <is>
          <t>inference_gw * 1000 * tokens_per_second_per_mw * 86,400</t>
        </is>
      </c>
      <c r="I460" s="3" t="inlineStr">
        <is>
          <t>Headline capacity uses no utilization, MoE, architecture or software-growth multiplier; it is not observed commercial output volume.</t>
        </is>
      </c>
      <c r="J460" s="3" t="inlineStr">
        <is>
          <t>SRC_XAI_MODELS; SRC_XAI_NVIDIA_COLOSSUS; SRC_EPOCH_AI_DATA_CENTERS; SRC_SEMIANALYSIS_INFERENCEX</t>
        </is>
      </c>
      <c r="K460" s="3" t="inlineStr">
        <is>
          <t>ASSUMP_CLUSTER_RAMP; ASSUMP_CLOSED_MODEL_BAND; ASSUMP_NUMERIC_ACCELERATOR_MIX; ASSUMP_INFERENCE_SHARE_NOT_FACT_60; ASSUMP_WORKLOAD_CLASS_MIX; ASSUMP_AGENTIC_CONTEXT_PENALTY</t>
        </is>
      </c>
      <c r="L460" s="3" t="inlineStr">
        <is>
          <t>Provider-disclosed generated output token volume or calibrated capacity telemetry.</t>
        </is>
      </c>
    </row>
    <row r="461">
      <c r="A461" s="3" t="inlineStr">
        <is>
          <t>xAI</t>
        </is>
      </c>
      <c r="B461" s="3" t="n">
        <v>2030</v>
      </c>
      <c r="C461" s="3" t="inlineStr">
        <is>
          <t>Bear</t>
        </is>
      </c>
      <c r="D461" s="3" t="inlineStr">
        <is>
          <t>inference_tokens_per_year</t>
        </is>
      </c>
      <c r="E461" s="3" t="n">
        <v>2.8474991493552e+16</v>
      </c>
      <c r="F461" s="3" t="inlineStr">
        <is>
          <t>generated output tokens/year</t>
        </is>
      </c>
      <c r="G461" s="3" t="inlineStr">
        <is>
          <t>Derived headline metric</t>
        </is>
      </c>
      <c r="H461" s="3" t="inlineStr">
        <is>
          <t>inference_tokens_per_day * 365</t>
        </is>
      </c>
      <c r="I461" s="3" t="inlineStr">
        <is>
          <t>Annualized version of generated output token capacity; it is not observed annual demand or billable volume.</t>
        </is>
      </c>
      <c r="J461" s="3" t="inlineStr">
        <is>
          <t>SRC_XAI_MODELS; SRC_XAI_NVIDIA_COLOSSUS; SRC_EPOCH_AI_DATA_CENTERS; SRC_SEMIANALYSIS_INFERENCEX</t>
        </is>
      </c>
      <c r="K461" s="3" t="inlineStr">
        <is>
          <t>ASSUMP_CLUSTER_RAMP; ASSUMP_CLOSED_MODEL_BAND; ASSUMP_NUMERIC_ACCELERATOR_MIX; ASSUMP_INFERENCE_SHARE_NOT_FACT_60; ASSUMP_WORKLOAD_CLASS_MIX; ASSUMP_AGENTIC_CONTEXT_PENALTY</t>
        </is>
      </c>
      <c r="L461" s="3" t="inlineStr">
        <is>
          <t>Provider-disclosed annual generated-output volume or metered serving telemetry.</t>
        </is>
      </c>
    </row>
    <row r="462">
      <c r="A462" s="3" t="inlineStr">
        <is>
          <t>OpenAI</t>
        </is>
      </c>
      <c r="B462" s="3" t="n">
        <v>2026</v>
      </c>
      <c r="C462" s="3" t="inlineStr">
        <is>
          <t>Bear</t>
        </is>
      </c>
      <c r="D462" s="3" t="inlineStr">
        <is>
          <t>contracted_power_gw</t>
        </is>
      </c>
      <c r="E462" s="3" t="n">
        <v>5</v>
      </c>
      <c r="F462" s="3" t="inlineStr">
        <is>
          <t>GW</t>
        </is>
      </c>
      <c r="G462" s="3" t="inlineStr">
        <is>
          <t>Fact anchor + scenario ceiling</t>
        </is>
      </c>
      <c r="H462" s="3" t="inlineStr">
        <is>
          <t>linear interpolation between 2026 and 2030 company capacity endpoints</t>
        </is>
      </c>
      <c r="I462" s="3" t="inlineStr">
        <is>
          <t>2030 envelope is bounded by official Stargate planned/committed capacity; 2026 and timing remain staged scenario values.</t>
        </is>
      </c>
      <c r="J462" s="3" t="inlineStr">
        <is>
          <t>SRC_OPENAI_STARGATE_ORACLE; SRC_OPENAI_STARGATE_PROGRESS; ASSUMP_STARGATE_RAMP</t>
        </is>
      </c>
      <c r="K462" s="3" t="inlineStr">
        <is>
          <t>ASSUMP_STARGATE_RAMP; ASSUMP_MS_OPENAI_ATTRIBUTION; ASSUMP_NUMERIC_ACCELERATOR_MIX; ASSUMP_INFERENCE_SHARE_NOT_FACT_60; ASSUMP_WORKLOAD_CLASS_MIX; ASSUMP_AGENTIC_CONTEXT_PENALTY</t>
        </is>
      </c>
      <c r="L462" s="3" t="inlineStr">
        <is>
          <t>Company/site-level committed MW/GW, interconnect and contract disclosure.</t>
        </is>
      </c>
    </row>
    <row r="463">
      <c r="A463" s="3" t="inlineStr">
        <is>
          <t>OpenAI</t>
        </is>
      </c>
      <c r="B463" s="3" t="n">
        <v>2026</v>
      </c>
      <c r="C463" s="3" t="inlineStr">
        <is>
          <t>Bear</t>
        </is>
      </c>
      <c r="D463" s="3" t="inlineStr">
        <is>
          <t>operational_deployment_share</t>
        </is>
      </c>
      <c r="E463" s="3" t="n">
        <v>0.252</v>
      </c>
      <c r="F463" s="3" t="inlineStr">
        <is>
          <t>share</t>
        </is>
      </c>
      <c r="G463" s="3" t="inlineStr">
        <is>
          <t>Scenario conversion</t>
        </is>
      </c>
      <c r="H463" s="3" t="inlineStr">
        <is>
          <t>active_power_gw / contracted_power_gw</t>
        </is>
      </c>
      <c r="I463" s="3" t="inlineStr">
        <is>
          <t>This is the single explicit conversion from contracted/attributed capacity to operationally usable capacity.</t>
        </is>
      </c>
      <c r="J463" s="3" t="inlineStr">
        <is>
          <t>SRC_OPENAI_STARGATE_ORACLE; SRC_OPENAI_STARGATE_PROGRESS; ASSUMP_STARGATE_RAMP</t>
        </is>
      </c>
      <c r="K463" s="3" t="inlineStr">
        <is>
          <t>ASSUMP_STARGATE_RAMP; ASSUMP_MS_OPENAI_ATTRIBUTION; ASSUMP_NUMERIC_ACCELERATOR_MIX; ASSUMP_INFERENCE_SHARE_NOT_FACT_60; ASSUMP_WORKLOAD_CLASS_MIX; ASSUMP_AGENTIC_CONTEXT_PENALTY</t>
        </is>
      </c>
      <c r="L463" s="3" t="inlineStr">
        <is>
          <t>Energized operational capacity divided by contracted/attributed capacity.</t>
        </is>
      </c>
    </row>
    <row r="464">
      <c r="A464" s="3" t="inlineStr">
        <is>
          <t>OpenAI</t>
        </is>
      </c>
      <c r="B464" s="3" t="n">
        <v>2026</v>
      </c>
      <c r="C464" s="3" t="inlineStr">
        <is>
          <t>Bear</t>
        </is>
      </c>
      <c r="D464" s="3" t="inlineStr">
        <is>
          <t>active_power_gw</t>
        </is>
      </c>
      <c r="E464" s="3" t="n">
        <v>1.26</v>
      </c>
      <c r="F464" s="3" t="inlineStr">
        <is>
          <t>GW</t>
        </is>
      </c>
      <c r="G464" s="3" t="inlineStr">
        <is>
          <t>Derived scenario</t>
        </is>
      </c>
      <c r="H464" s="3" t="inlineStr">
        <is>
          <t>contracted_power_gw * operational_deployment_share</t>
        </is>
      </c>
      <c r="I464" s="3" t="inlineStr">
        <is>
          <t>Official capacity announcements are converted to active GW only through energization/GPU-deployment ramp assumptions.</t>
        </is>
      </c>
      <c r="J464" s="3" t="inlineStr">
        <is>
          <t>SRC_OPENAI_STARGATE_ORACLE; SRC_OPENAI_STARGATE_PROGRESS; ASSUMP_STARGATE_RAMP</t>
        </is>
      </c>
      <c r="K464" s="3" t="inlineStr">
        <is>
          <t>ASSUMP_STARGATE_RAMP; ASSUMP_MS_OPENAI_ATTRIBUTION; ASSUMP_NUMERIC_ACCELERATOR_MIX; ASSUMP_INFERENCE_SHARE_NOT_FACT_60; ASSUMP_WORKLOAD_CLASS_MIX; ASSUMP_AGENTIC_CONTEXT_PENALTY</t>
        </is>
      </c>
      <c r="L464" s="3" t="inlineStr">
        <is>
          <t>Energization dates, accelerator deliveries and operational powered-rack telemetry.</t>
        </is>
      </c>
    </row>
    <row r="465">
      <c r="A465" s="3" t="inlineStr">
        <is>
          <t>OpenAI</t>
        </is>
      </c>
      <c r="B465" s="3" t="n">
        <v>2026</v>
      </c>
      <c r="C465" s="3" t="inlineStr">
        <is>
          <t>Bear</t>
        </is>
      </c>
      <c r="D465" s="3" t="inlineStr">
        <is>
          <t>pue</t>
        </is>
      </c>
      <c r="E465" s="3" t="n">
        <v>1.2</v>
      </c>
      <c r="F465" s="3" t="inlineStr">
        <is>
          <t>ratio</t>
        </is>
      </c>
      <c r="G465" s="3" t="inlineStr">
        <is>
          <t>Scenario parameter</t>
        </is>
      </c>
      <c r="H465" s="3" t="inlineStr">
        <is>
          <t>it_load_gw = active_power_gw / pue</t>
        </is>
      </c>
      <c r="I465" s="3" t="inlineStr">
        <is>
          <t>No provider-wide site-level PUE is used as a disclosed fact; PUE represents facility-to-IT conversion within the scenario.</t>
        </is>
      </c>
      <c r="J465" s="3" t="inlineStr">
        <is>
          <t>ASSUMP_POWER_RAMP</t>
        </is>
      </c>
      <c r="K465" s="3" t="inlineStr">
        <is>
          <t>ASSUMP_STARGATE_RAMP; ASSUMP_MS_OPENAI_ATTRIBUTION; ASSUMP_NUMERIC_ACCELERATOR_MIX; ASSUMP_INFERENCE_SHARE_NOT_FACT_60; ASSUMP_WORKLOAD_CLASS_MIX; ASSUMP_AGENTIC_CONTEXT_PENALTY</t>
        </is>
      </c>
      <c r="L465" s="3" t="inlineStr">
        <is>
          <t>Site-level measured PUE matched to attributed AI capacity.</t>
        </is>
      </c>
    </row>
    <row r="466">
      <c r="A466" s="3" t="inlineStr">
        <is>
          <t>OpenAI</t>
        </is>
      </c>
      <c r="B466" s="3" t="n">
        <v>2026</v>
      </c>
      <c r="C466" s="3" t="inlineStr">
        <is>
          <t>Bear</t>
        </is>
      </c>
      <c r="D466" s="3" t="inlineStr">
        <is>
          <t>it_load_gw</t>
        </is>
      </c>
      <c r="E466" s="3" t="n">
        <v>1.05</v>
      </c>
      <c r="F466" s="3" t="inlineStr">
        <is>
          <t>GW</t>
        </is>
      </c>
      <c r="G466" s="3" t="inlineStr">
        <is>
          <t>Derived formula</t>
        </is>
      </c>
      <c r="H466" s="3" t="inlineStr">
        <is>
          <t>active_power_gw / pue</t>
        </is>
      </c>
      <c r="I466" s="3" t="inlineStr">
        <is>
          <t>Facility power is converted to IT-deliverable power before attributing AI workloads.</t>
        </is>
      </c>
      <c r="J466" s="3" t="inlineStr">
        <is>
          <t>SRC_OPENAI_STARGATE_ORACLE; SRC_OPENAI_STARGATE_PROGRESS; ASSUMP_STARGATE_RAMP</t>
        </is>
      </c>
      <c r="K466" s="3" t="inlineStr">
        <is>
          <t>ASSUMP_STARGATE_RAMP; ASSUMP_MS_OPENAI_ATTRIBUTION; ASSUMP_NUMERIC_ACCELERATOR_MIX; ASSUMP_INFERENCE_SHARE_NOT_FACT_60; ASSUMP_WORKLOAD_CLASS_MIX; ASSUMP_AGENTIC_CONTEXT_PENALTY</t>
        </is>
      </c>
      <c r="L466" s="3" t="inlineStr">
        <is>
          <t>Recompute once active power and PUE become site-observable.</t>
        </is>
      </c>
    </row>
    <row r="467">
      <c r="A467" s="3" t="inlineStr">
        <is>
          <t>OpenAI</t>
        </is>
      </c>
      <c r="B467" s="3" t="n">
        <v>2026</v>
      </c>
      <c r="C467" s="3" t="inlineStr">
        <is>
          <t>Bear</t>
        </is>
      </c>
      <c r="D467" s="3" t="inlineStr">
        <is>
          <t>ai_workload_share</t>
        </is>
      </c>
      <c r="E467" s="3" t="n">
        <v>0.88</v>
      </c>
      <c r="F467" s="3" t="inlineStr">
        <is>
          <t>share</t>
        </is>
      </c>
      <c r="G467" s="3" t="inlineStr">
        <is>
          <t>Scenario allocation</t>
        </is>
      </c>
      <c r="H467" s="3" t="inlineStr">
        <is>
          <t>ai_it_load_gw = it_load_gw * ai_workload_share</t>
        </is>
      </c>
      <c r="I467" s="3" t="inlineStr">
        <is>
          <t>Stargate capacity is AI-oriented but includes reserve, platform and non-token AI activity; 88% is a scenario.</t>
        </is>
      </c>
      <c r="J467" s="3" t="inlineStr">
        <is>
          <t>SRC_OPENAI_GPT41_DOCS; SRC_OPENAI_STARGATE_ORACLE; SRC_OPENAI_STARGATE_PROGRESS; SRC_EPOCH_AI_DATA_CENTERS</t>
        </is>
      </c>
      <c r="K467" s="3" t="inlineStr">
        <is>
          <t>ASSUMP_STARGATE_RAMP; ASSUMP_MS_OPENAI_ATTRIBUTION; ASSUMP_NUMERIC_ACCELERATOR_MIX; ASSUMP_INFERENCE_SHARE_NOT_FACT_60; ASSUMP_WORKLOAD_CLASS_MIX; ASSUMP_AGENTIC_CONTEXT_PENALTY</t>
        </is>
      </c>
      <c r="L467" s="3" t="inlineStr">
        <is>
          <t>Model-owner AI workload allocation or cluster scheduling telemetry.</t>
        </is>
      </c>
    </row>
    <row r="468">
      <c r="A468" s="3" t="inlineStr">
        <is>
          <t>OpenAI</t>
        </is>
      </c>
      <c r="B468" s="3" t="n">
        <v>2026</v>
      </c>
      <c r="C468" s="3" t="inlineStr">
        <is>
          <t>Bear</t>
        </is>
      </c>
      <c r="D468" s="3" t="inlineStr">
        <is>
          <t>ai_it_load_gw</t>
        </is>
      </c>
      <c r="E468" s="3" t="n">
        <v>0.924</v>
      </c>
      <c r="F468" s="3" t="inlineStr">
        <is>
          <t>GW</t>
        </is>
      </c>
      <c r="G468" s="3" t="inlineStr">
        <is>
          <t>Derived formula</t>
        </is>
      </c>
      <c r="H468" s="3" t="inlineStr">
        <is>
          <t>it_load_gw * ai_workload_share</t>
        </is>
      </c>
      <c r="I468" s="3" t="inlineStr">
        <is>
          <t>Only the AI-attributed portion of IT load enters training/inference allocation.</t>
        </is>
      </c>
      <c r="J468" s="3" t="inlineStr">
        <is>
          <t>SRC_OPENAI_GPT41_DOCS; SRC_OPENAI_STARGATE_ORACLE; SRC_OPENAI_STARGATE_PROGRESS; SRC_EPOCH_AI_DATA_CENTERS</t>
        </is>
      </c>
      <c r="K468" s="3" t="inlineStr">
        <is>
          <t>ASSUMP_STARGATE_RAMP; ASSUMP_MS_OPENAI_ATTRIBUTION; ASSUMP_NUMERIC_ACCELERATOR_MIX; ASSUMP_INFERENCE_SHARE_NOT_FACT_60; ASSUMP_WORKLOAD_CLASS_MIX; ASSUMP_AGENTIC_CONTEXT_PENALTY</t>
        </is>
      </c>
      <c r="L468" s="3" t="inlineStr">
        <is>
          <t>Recompute after ai_workload_share is replaced by telemetry.</t>
        </is>
      </c>
    </row>
    <row r="469">
      <c r="A469" s="3" t="inlineStr">
        <is>
          <t>OpenAI</t>
        </is>
      </c>
      <c r="B469" s="3" t="n">
        <v>2026</v>
      </c>
      <c r="C469" s="3" t="inlineStr">
        <is>
          <t>Bear</t>
        </is>
      </c>
      <c r="D469" s="3" t="inlineStr">
        <is>
          <t>gpu_share</t>
        </is>
      </c>
      <c r="E469" s="3" t="n">
        <v>1</v>
      </c>
      <c r="F469" s="3" t="inlineStr">
        <is>
          <t>share of inference-serving accelerator load</t>
        </is>
      </c>
      <c r="G469" s="3" t="inlineStr">
        <is>
          <t>Numeric scenario</t>
        </is>
      </c>
      <c r="H469" s="3" t="inlineStr">
        <is>
          <t>gpu_share interpolated from company 2026/2030 accelerator-mix endpoints</t>
        </is>
      </c>
      <c r="I469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469" s="3" t="inlineStr">
        <is>
          <t>SRC_OPENAI_GPT41_DOCS; SRC_OPENAI_STARGATE_ORACLE; SRC_OPENAI_STARGATE_PROGRESS; SRC_EPOCH_AI_DATA_CENTERS; ASSUMP_NUMERIC_ACCELERATOR_MIX</t>
        </is>
      </c>
      <c r="K469" s="3" t="inlineStr">
        <is>
          <t>ASSUMP_STARGATE_RAMP; ASSUMP_MS_OPENAI_ATTRIBUTION; ASSUMP_NUMERIC_ACCELERATOR_MIX; ASSUMP_INFERENCE_SHARE_NOT_FACT_60; ASSUMP_WORKLOAD_CLASS_MIX; ASSUMP_AGENTIC_CONTEXT_PENALTY</t>
        </is>
      </c>
      <c r="L469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470">
      <c r="A470" s="3" t="inlineStr">
        <is>
          <t>OpenAI</t>
        </is>
      </c>
      <c r="B470" s="3" t="n">
        <v>2026</v>
      </c>
      <c r="C470" s="3" t="inlineStr">
        <is>
          <t>Bear</t>
        </is>
      </c>
      <c r="D470" s="3" t="inlineStr">
        <is>
          <t>h200_share</t>
        </is>
      </c>
      <c r="E470" s="3" t="n">
        <v>0.08550199999999999</v>
      </c>
      <c r="F470" s="3" t="inlineStr">
        <is>
          <t>share of inference-serving accelerator load</t>
        </is>
      </c>
      <c r="G470" s="3" t="inlineStr">
        <is>
          <t>Editable numeric scenario</t>
        </is>
      </c>
      <c r="H470" s="3" t="inlineStr">
        <is>
          <t>h200_share = gpu_share * default_gpu_generation_mix_h200</t>
        </is>
      </c>
      <c r="I470" s="3" t="inlineStr">
        <is>
          <t>Default GPU-generation migration assumption; executive workbook allows later manual replacement by company/year/scenario.</t>
        </is>
      </c>
      <c r="J470" s="3" t="inlineStr">
        <is>
          <t>SRC_SEMIANALYSIS_INFERENCEX; ASSUMP_NUMERIC_ACCELERATOR_MIX</t>
        </is>
      </c>
      <c r="K470" s="3" t="inlineStr">
        <is>
          <t>ASSUMP_STARGATE_RAMP; ASSUMP_MS_OPENAI_ATTRIBUTION; ASSUMP_NUMERIC_ACCELERATOR_MIX; ASSUMP_INFERENCE_SHARE_NOT_FACT_60; ASSUMP_WORKLOAD_CLASS_MIX; ASSUMP_AGENTIC_CONTEXT_PENALTY</t>
        </is>
      </c>
      <c r="L470" s="3" t="inlineStr">
        <is>
          <t>Company fleet inventory, accelerator-hours or procurement/deployment records by GPU generation.</t>
        </is>
      </c>
    </row>
    <row r="471">
      <c r="A471" s="3" t="inlineStr">
        <is>
          <t>OpenAI</t>
        </is>
      </c>
      <c r="B471" s="3" t="n">
        <v>2026</v>
      </c>
      <c r="C471" s="3" t="inlineStr">
        <is>
          <t>Bear</t>
        </is>
      </c>
      <c r="D471" s="3" t="inlineStr">
        <is>
          <t>b200_share</t>
        </is>
      </c>
      <c r="E471" s="3" t="n">
        <v>0.914498</v>
      </c>
      <c r="F471" s="3" t="inlineStr">
        <is>
          <t>share of inference-serving accelerator load</t>
        </is>
      </c>
      <c r="G471" s="3" t="inlineStr">
        <is>
          <t>Editable numeric scenario</t>
        </is>
      </c>
      <c r="H471" s="3" t="inlineStr">
        <is>
          <t>b200_share = gpu_share * default_gpu_generation_mix_b200</t>
        </is>
      </c>
      <c r="I471" s="3" t="inlineStr">
        <is>
          <t>Default GPU-generation migration assumption; executive workbook allows later manual replacement by company/year/scenario.</t>
        </is>
      </c>
      <c r="J471" s="3" t="inlineStr">
        <is>
          <t>SRC_SEMIANALYSIS_INFERENCEX; ASSUMP_NUMERIC_ACCELERATOR_MIX</t>
        </is>
      </c>
      <c r="K471" s="3" t="inlineStr">
        <is>
          <t>ASSUMP_STARGATE_RAMP; ASSUMP_MS_OPENAI_ATTRIBUTION; ASSUMP_NUMERIC_ACCELERATOR_MIX; ASSUMP_INFERENCE_SHARE_NOT_FACT_60; ASSUMP_WORKLOAD_CLASS_MIX; ASSUMP_AGENTIC_CONTEXT_PENALTY</t>
        </is>
      </c>
      <c r="L471" s="3" t="inlineStr">
        <is>
          <t>Company fleet inventory, accelerator-hours or procurement/deployment records by GPU generation.</t>
        </is>
      </c>
    </row>
    <row r="472">
      <c r="A472" s="3" t="inlineStr">
        <is>
          <t>OpenAI</t>
        </is>
      </c>
      <c r="B472" s="3" t="n">
        <v>2026</v>
      </c>
      <c r="C472" s="3" t="inlineStr">
        <is>
          <t>Bear</t>
        </is>
      </c>
      <c r="D472" s="3" t="inlineStr">
        <is>
          <t>gb200_share</t>
        </is>
      </c>
      <c r="E472" s="3" t="n">
        <v>0</v>
      </c>
      <c r="F472" s="3" t="inlineStr">
        <is>
          <t>share of inference-serving accelerator load</t>
        </is>
      </c>
      <c r="G472" s="3" t="inlineStr">
        <is>
          <t>Editable numeric scenario</t>
        </is>
      </c>
      <c r="H472" s="3" t="inlineStr">
        <is>
          <t>gb200_share = gpu_share * default_gpu_generation_mix_gb200</t>
        </is>
      </c>
      <c r="I472" s="3" t="inlineStr">
        <is>
          <t>Default GPU-generation migration assumption; executive workbook allows later manual replacement by company/year/scenario.</t>
        </is>
      </c>
      <c r="J472" s="3" t="inlineStr">
        <is>
          <t>SRC_SEMIANALYSIS_INFERENCEX; ASSUMP_NUMERIC_ACCELERATOR_MIX</t>
        </is>
      </c>
      <c r="K472" s="3" t="inlineStr">
        <is>
          <t>ASSUMP_STARGATE_RAMP; ASSUMP_MS_OPENAI_ATTRIBUTION; ASSUMP_NUMERIC_ACCELERATOR_MIX; ASSUMP_INFERENCE_SHARE_NOT_FACT_60; ASSUMP_WORKLOAD_CLASS_MIX; ASSUMP_AGENTIC_CONTEXT_PENALTY</t>
        </is>
      </c>
      <c r="L472" s="3" t="inlineStr">
        <is>
          <t>Company fleet inventory, accelerator-hours or procurement/deployment records by GPU generation.</t>
        </is>
      </c>
    </row>
    <row r="473">
      <c r="A473" s="3" t="inlineStr">
        <is>
          <t>OpenAI</t>
        </is>
      </c>
      <c r="B473" s="3" t="n">
        <v>2026</v>
      </c>
      <c r="C473" s="3" t="inlineStr">
        <is>
          <t>Bear</t>
        </is>
      </c>
      <c r="D473" s="3" t="inlineStr">
        <is>
          <t>purpose_built_accelerator_share</t>
        </is>
      </c>
      <c r="E473" s="3" t="n">
        <v>0</v>
      </c>
      <c r="F473" s="3" t="inlineStr">
        <is>
          <t>share of inference-serving accelerator load</t>
        </is>
      </c>
      <c r="G473" s="3" t="inlineStr">
        <is>
          <t>Numeric scenario</t>
        </is>
      </c>
      <c r="H473" s="3" t="inlineStr">
        <is>
          <t>1 - gpu_share</t>
        </is>
      </c>
      <c r="I473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473" s="3" t="inlineStr">
        <is>
          <t>SRC_OPENAI_GPT41_DOCS; SRC_OPENAI_STARGATE_ORACLE; SRC_OPENAI_STARGATE_PROGRESS; SRC_EPOCH_AI_DATA_CENTERS; ASSUMP_NUMERIC_ACCELERATOR_MIX</t>
        </is>
      </c>
      <c r="K473" s="3" t="inlineStr">
        <is>
          <t>ASSUMP_STARGATE_RAMP; ASSUMP_MS_OPENAI_ATTRIBUTION; ASSUMP_NUMERIC_ACCELERATOR_MIX; ASSUMP_INFERENCE_SHARE_NOT_FACT_60; ASSUMP_WORKLOAD_CLASS_MIX; ASSUMP_AGENTIC_CONTEXT_PENALTY</t>
        </is>
      </c>
      <c r="L473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474">
      <c r="A474" s="3" t="inlineStr">
        <is>
          <t>OpenAI</t>
        </is>
      </c>
      <c r="B474" s="3" t="n">
        <v>2026</v>
      </c>
      <c r="C474" s="3" t="inlineStr">
        <is>
          <t>Bear</t>
        </is>
      </c>
      <c r="D474" s="3" t="inlineStr">
        <is>
          <t>fleet_reference_tps_per_mw</t>
        </is>
      </c>
      <c r="E474" s="3" t="n">
        <v>216550</v>
      </c>
      <c r="F474" s="3" t="inlineStr">
        <is>
          <t>generated output tokens/sec/MW</t>
        </is>
      </c>
      <c r="G474" s="3" t="inlineStr">
        <is>
          <t>Fleet-weighted public benchmark reference</t>
        </is>
      </c>
      <c r="H474" s="3" t="inlineStr">
        <is>
          <t>h200_share*h200_workload_avg + b200_share*b200_workload_avg + gb200_share*gb200_workload_avg + purpose_built_share*purpose_workload_avg</t>
        </is>
      </c>
      <c r="I47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74" s="3" t="inlineStr">
        <is>
          <t>SRC_SEMIANALYSIS_INFERENCEX; ASSUMP_NUMERIC_ACCELERATOR_MIX; ASSUMP_WORKLOAD_CLASS_MIX; ASSUMP_AGENTIC_CONTEXT_PENALTY</t>
        </is>
      </c>
      <c r="K474" s="3" t="inlineStr">
        <is>
          <t>ASSUMP_STARGATE_RAMP; ASSUMP_MS_OPENAI_ATTRIBUTION; ASSUMP_NUMERIC_ACCELERATOR_MIX; ASSUMP_INFERENCE_SHARE_NOT_FACT_60; ASSUMP_WORKLOAD_CLASS_MIX; ASSUMP_AGENTIC_CONTEXT_PENALTY</t>
        </is>
      </c>
      <c r="L474" s="3" t="inlineStr">
        <is>
          <t>Comparable production output-token throughput or a more closely matched benchmark.</t>
        </is>
      </c>
    </row>
    <row r="475">
      <c r="A475" s="3" t="inlineStr">
        <is>
          <t>OpenAI</t>
        </is>
      </c>
      <c r="B475" s="3" t="n">
        <v>2026</v>
      </c>
      <c r="C475" s="3" t="inlineStr">
        <is>
          <t>Bear</t>
        </is>
      </c>
      <c r="D475" s="3" t="inlineStr">
        <is>
          <t>commercial_workload_fit_factor</t>
        </is>
      </c>
      <c r="E475" s="3" t="n">
        <v>0.3</v>
      </c>
      <c r="F475" s="3" t="inlineStr">
        <is>
          <t>share of public reference throughput</t>
        </is>
      </c>
      <c r="G475" s="3" t="inlineStr">
        <is>
          <t>Scenario assumption</t>
        </is>
      </c>
      <c r="H475" s="3" t="inlineStr">
        <is>
          <t>reference_serving_tps_per_mw = fleet_reference_tps_per_mw * commercial_workload_fit_factor</t>
        </is>
      </c>
      <c r="I47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75" s="3" t="inlineStr">
        <is>
          <t>SRC_SEMIANALYSIS_INFERENCEX; ASSUMP_NUMERIC_ACCELERATOR_MIX; ASSUMP_WORKLOAD_CLASS_MIX; ASSUMP_AGENTIC_CONTEXT_PENALTY</t>
        </is>
      </c>
      <c r="K475" s="3" t="inlineStr">
        <is>
          <t>ASSUMP_STARGATE_RAMP; ASSUMP_MS_OPENAI_ATTRIBUTION; ASSUMP_NUMERIC_ACCELERATOR_MIX; ASSUMP_INFERENCE_SHARE_NOT_FACT_60; ASSUMP_WORKLOAD_CLASS_MIX; ASSUMP_AGENTIC_CONTEXT_PENALTY</t>
        </is>
      </c>
      <c r="L475" s="3" t="inlineStr">
        <is>
          <t>Matched commercial serving benchmark by product surface, context shape and latency SLO.</t>
        </is>
      </c>
    </row>
    <row r="476">
      <c r="A476" s="3" t="inlineStr">
        <is>
          <t>OpenAI</t>
        </is>
      </c>
      <c r="B476" s="3" t="n">
        <v>2026</v>
      </c>
      <c r="C476" s="3" t="inlineStr">
        <is>
          <t>Bear</t>
        </is>
      </c>
      <c r="D476" s="3" t="inlineStr">
        <is>
          <t>reference_serving_tps_per_mw</t>
        </is>
      </c>
      <c r="E476" s="3" t="n">
        <v>64965</v>
      </c>
      <c r="F476" s="3" t="inlineStr">
        <is>
          <t>generated output tokens/sec/MW</t>
        </is>
      </c>
      <c r="G476" s="3" t="inlineStr">
        <is>
          <t>Workload-adjusted benchmark proxy</t>
        </is>
      </c>
      <c r="H476" s="3" t="inlineStr">
        <is>
          <t>fleet_reference_tps_per_mw * commercial_workload_fit_factor</t>
        </is>
      </c>
      <c r="I476" s="3" t="inlineStr">
        <is>
          <t>This is the coefficient used for headline token generation; each GPU's short chat, long chat and agentic TPS/MW are weighted before fleet mix and commercial fit are applied.</t>
        </is>
      </c>
      <c r="J476" s="3" t="inlineStr">
        <is>
          <t>SRC_SEMIANALYSIS_INFERENCEX; ASSUMP_NUMERIC_ACCELERATOR_MIX; ASSUMP_WORKLOAD_CLASS_MIX; ASSUMP_AGENTIC_CONTEXT_PENALTY</t>
        </is>
      </c>
      <c r="K476" s="3" t="inlineStr">
        <is>
          <t>ASSUMP_STARGATE_RAMP; ASSUMP_MS_OPENAI_ATTRIBUTION; ASSUMP_NUMERIC_ACCELERATOR_MIX; ASSUMP_INFERENCE_SHARE_NOT_FACT_60; ASSUMP_WORKLOAD_CLASS_MIX; ASSUMP_AGENTIC_CONTEXT_PENALTY</t>
        </is>
      </c>
      <c r="L476" s="3" t="inlineStr">
        <is>
          <t>Provider production output-token throughput with comparable workload/SLO.</t>
        </is>
      </c>
    </row>
    <row r="477">
      <c r="A477" s="3" t="inlineStr">
        <is>
          <t>OpenAI</t>
        </is>
      </c>
      <c r="B477" s="3" t="n">
        <v>2026</v>
      </c>
      <c r="C477" s="3" t="inlineStr">
        <is>
          <t>Bear</t>
        </is>
      </c>
      <c r="D477" s="3" t="inlineStr">
        <is>
          <t>purpose_built_tps_per_mw</t>
        </is>
      </c>
      <c r="E477" s="3" t="n">
        <v>40592</v>
      </c>
      <c r="F477" s="3" t="inlineStr">
        <is>
          <t>generated output tokens/sec/MW</t>
        </is>
      </c>
      <c r="G477" s="3" t="inlineStr">
        <is>
          <t>Conservative no-uplift proxy</t>
        </is>
      </c>
      <c r="H477" s="3" t="inlineStr">
        <is>
          <t>purpose_built_tps_per_mw = purpose_built_reference_tps_per_mw * commercial_workload_fit_factor until comparable output-token benchmark is adopted</t>
        </is>
      </c>
      <c r="I477" s="3" t="inlineStr">
        <is>
          <t>No comparable public output-token/MW row adopted; B200 public reference placeholder is used and remains editable.</t>
        </is>
      </c>
      <c r="J477" s="3" t="inlineStr">
        <is>
          <t>SRC_OPENAI_GPT41_DOCS; SRC_OPENAI_STARGATE_ORACLE; SRC_OPENAI_STARGATE_PROGRESS; SRC_EPOCH_AI_DATA_CENTERS; ASSUMP_NUMERIC_ACCELERATOR_MIX</t>
        </is>
      </c>
      <c r="K477" s="3" t="inlineStr">
        <is>
          <t>ASSUMP_STARGATE_RAMP; ASSUMP_MS_OPENAI_ATTRIBUTION; ASSUMP_NUMERIC_ACCELERATOR_MIX; ASSUMP_INFERENCE_SHARE_NOT_FACT_60; ASSUMP_WORKLOAD_CLASS_MIX; ASSUMP_AGENTIC_CONTEXT_PENALTY</t>
        </is>
      </c>
      <c r="L477" s="3" t="inlineStr">
        <is>
          <t>Matched-workload generated-output benchmark for the provider purpose-built accelerator.</t>
        </is>
      </c>
    </row>
    <row r="478">
      <c r="A478" s="3" t="inlineStr">
        <is>
          <t>OpenAI</t>
        </is>
      </c>
      <c r="B478" s="3" t="n">
        <v>2026</v>
      </c>
      <c r="C478" s="3" t="inlineStr">
        <is>
          <t>Bear</t>
        </is>
      </c>
      <c r="D478" s="3" t="inlineStr">
        <is>
          <t>inference_power_share</t>
        </is>
      </c>
      <c r="E478" s="3" t="n">
        <v>0.5</v>
      </c>
      <c r="F478" s="3" t="inlineStr">
        <is>
          <t>share of AI IT load</t>
        </is>
      </c>
      <c r="G478" s="3" t="inlineStr">
        <is>
          <t>Scenario allocation</t>
        </is>
      </c>
      <c r="H478" s="3" t="inlineStr">
        <is>
          <t>inference_gw = ai_it_load_gw * inference_power_share</t>
        </is>
      </c>
      <c r="I478" s="3" t="inlineStr">
        <is>
          <t>ChatGPT/API/enterprise commercial surfaces support increasing inference allocation while training remains material.</t>
        </is>
      </c>
      <c r="J478" s="3" t="inlineStr">
        <is>
          <t>SRC_OPENAI_GPT41_DOCS; SRC_OPENAI_STARGATE_ORACLE; SRC_OPENAI_STARGATE_PROGRESS; SRC_EPOCH_AI_DATA_CENTERS; ASSUMP_INFERENCE_SHARE_NOT_FACT_60</t>
        </is>
      </c>
      <c r="K478" s="3" t="inlineStr">
        <is>
          <t>ASSUMP_STARGATE_RAMP; ASSUMP_MS_OPENAI_ATTRIBUTION; ASSUMP_NUMERIC_ACCELERATOR_MIX; ASSUMP_INFERENCE_SHARE_NOT_FACT_60; ASSUMP_WORKLOAD_CLASS_MIX; ASSUMP_AGENTIC_CONTEXT_PENALTY</t>
        </is>
      </c>
      <c r="L478" s="3" t="inlineStr">
        <is>
          <t>Provider-specific inference/training workload power telemetry.</t>
        </is>
      </c>
    </row>
    <row r="479">
      <c r="A479" s="3" t="inlineStr">
        <is>
          <t>OpenAI</t>
        </is>
      </c>
      <c r="B479" s="3" t="n">
        <v>2026</v>
      </c>
      <c r="C479" s="3" t="inlineStr">
        <is>
          <t>Bear</t>
        </is>
      </c>
      <c r="D479" s="3" t="inlineStr">
        <is>
          <t>inference_gw</t>
        </is>
      </c>
      <c r="E479" s="3" t="n">
        <v>0.462</v>
      </c>
      <c r="F479" s="3" t="inlineStr">
        <is>
          <t>GW</t>
        </is>
      </c>
      <c r="G479" s="3" t="inlineStr">
        <is>
          <t>Derived formula</t>
        </is>
      </c>
      <c r="H479" s="3" t="inlineStr">
        <is>
          <t>ai_it_load_gw * inference_power_share</t>
        </is>
      </c>
      <c r="I479" s="3" t="inlineStr">
        <is>
          <t>This is the operational power eligible to become commercial generated output tokens through the selected TPS/MW proxy.</t>
        </is>
      </c>
      <c r="J479" s="3" t="inlineStr">
        <is>
          <t>SRC_OPENAI_GPT41_DOCS; SRC_OPENAI_STARGATE_ORACLE; SRC_OPENAI_STARGATE_PROGRESS; SRC_EPOCH_AI_DATA_CENTERS</t>
        </is>
      </c>
      <c r="K479" s="3" t="inlineStr">
        <is>
          <t>ASSUMP_STARGATE_RAMP; ASSUMP_MS_OPENAI_ATTRIBUTION; ASSUMP_NUMERIC_ACCELERATOR_MIX; ASSUMP_INFERENCE_SHARE_NOT_FACT_60; ASSUMP_WORKLOAD_CLASS_MIX; ASSUMP_AGENTIC_CONTEXT_PENALTY</t>
        </is>
      </c>
      <c r="L479" s="3" t="inlineStr">
        <is>
          <t>Recompute after AI allocation or inference-share evidence changes.</t>
        </is>
      </c>
    </row>
    <row r="480">
      <c r="A480" s="3" t="inlineStr">
        <is>
          <t>OpenAI</t>
        </is>
      </c>
      <c r="B480" s="3" t="n">
        <v>2026</v>
      </c>
      <c r="C480" s="3" t="inlineStr">
        <is>
          <t>Bear</t>
        </is>
      </c>
      <c r="D480" s="3" t="inlineStr">
        <is>
          <t>training_power_share</t>
        </is>
      </c>
      <c r="E480" s="3" t="n">
        <v>0.5</v>
      </c>
      <c r="F480" s="3" t="inlineStr">
        <is>
          <t>share of AI IT load</t>
        </is>
      </c>
      <c r="G480" s="3" t="inlineStr">
        <is>
          <t>Derived allocation</t>
        </is>
      </c>
      <c r="H480" s="3" t="inlineStr">
        <is>
          <t>1 - inference_power_share</t>
        </is>
      </c>
      <c r="I480" s="3" t="inlineStr">
        <is>
          <t>Training receives the complementary modeled AI IT allocation; it is not a disclosed company workload split.</t>
        </is>
      </c>
      <c r="J480" s="3" t="inlineStr">
        <is>
          <t>SRC_OPENAI_GPT41_DOCS; SRC_OPENAI_STARGATE_ORACLE; SRC_OPENAI_STARGATE_PROGRESS; SRC_EPOCH_AI_DATA_CENTERS; ASSUMP_INFERENCE_SHARE_NOT_FACT_60</t>
        </is>
      </c>
      <c r="K480" s="3" t="inlineStr">
        <is>
          <t>ASSUMP_STARGATE_RAMP; ASSUMP_MS_OPENAI_ATTRIBUTION; ASSUMP_NUMERIC_ACCELERATOR_MIX; ASSUMP_INFERENCE_SHARE_NOT_FACT_60; ASSUMP_WORKLOAD_CLASS_MIX; ASSUMP_AGENTIC_CONTEXT_PENALTY</t>
        </is>
      </c>
      <c r="L480" s="3" t="inlineStr">
        <is>
          <t>Provider-specific inference/training workload power telemetry.</t>
        </is>
      </c>
    </row>
    <row r="481">
      <c r="A481" s="3" t="inlineStr">
        <is>
          <t>OpenAI</t>
        </is>
      </c>
      <c r="B481" s="3" t="n">
        <v>2026</v>
      </c>
      <c r="C481" s="3" t="inlineStr">
        <is>
          <t>Bear</t>
        </is>
      </c>
      <c r="D481" s="3" t="inlineStr">
        <is>
          <t>training_gw</t>
        </is>
      </c>
      <c r="E481" s="3" t="n">
        <v>0.462</v>
      </c>
      <c r="F481" s="3" t="inlineStr">
        <is>
          <t>GW</t>
        </is>
      </c>
      <c r="G481" s="3" t="inlineStr">
        <is>
          <t>Derived formula</t>
        </is>
      </c>
      <c r="H481" s="3" t="inlineStr">
        <is>
          <t>ai_it_load_gw * training_power_share</t>
        </is>
      </c>
      <c r="I481" s="3" t="inlineStr">
        <is>
          <t>Training GW is shown separately so commercial inference token capacity is not overstated.</t>
        </is>
      </c>
      <c r="J481" s="3" t="inlineStr">
        <is>
          <t>SRC_OPENAI_GPT41_DOCS; SRC_OPENAI_STARGATE_ORACLE; SRC_OPENAI_STARGATE_PROGRESS; SRC_EPOCH_AI_DATA_CENTERS</t>
        </is>
      </c>
      <c r="K481" s="3" t="inlineStr">
        <is>
          <t>ASSUMP_STARGATE_RAMP; ASSUMP_MS_OPENAI_ATTRIBUTION; ASSUMP_NUMERIC_ACCELERATOR_MIX; ASSUMP_INFERENCE_SHARE_NOT_FACT_60; ASSUMP_WORKLOAD_CLASS_MIX; ASSUMP_AGENTIC_CONTEXT_PENALTY</t>
        </is>
      </c>
      <c r="L481" s="3" t="inlineStr">
        <is>
          <t>Recompute after AI allocation or workload-split evidence changes.</t>
        </is>
      </c>
    </row>
    <row r="482">
      <c r="A482" s="3" t="inlineStr">
        <is>
          <t>OpenAI</t>
        </is>
      </c>
      <c r="B482" s="3" t="n">
        <v>2026</v>
      </c>
      <c r="C482" s="3" t="inlineStr">
        <is>
          <t>Bear</t>
        </is>
      </c>
      <c r="D482" s="3" t="inlineStr">
        <is>
          <t>tokens_per_second_per_mw</t>
        </is>
      </c>
      <c r="E482" s="3" t="n">
        <v>64965</v>
      </c>
      <c r="F482" s="3" t="inlineStr">
        <is>
          <t>generated output tokens/sec/MW</t>
        </is>
      </c>
      <c r="G482" s="3" t="inlineStr">
        <is>
          <t>Derived estimate + benchmark calibration</t>
        </is>
      </c>
      <c r="H482" s="3" t="inlineStr">
        <is>
          <t>fleet_reference_tps_per_mw * commercial_workload_fit_factor</t>
        </is>
      </c>
      <c r="I48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482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482" s="3" t="inlineStr">
        <is>
          <t>ASSUMP_STARGATE_RAMP; ASSUMP_MS_OPENAI_ATTRIBUTION; ASSUMP_NUMERIC_ACCELERATOR_MIX; ASSUMP_INFERENCE_SHARE_NOT_FACT_60; ASSUMP_WORKLOAD_CLASS_MIX; ASSUMP_AGENTIC_CONTEXT_PENALTY</t>
        </is>
      </c>
      <c r="L482" s="3" t="inlineStr">
        <is>
          <t>Comparable production output-token throughput with model, hardware, precision, ISL/OSL and SLO matched.</t>
        </is>
      </c>
    </row>
    <row r="483">
      <c r="A483" s="3" t="inlineStr">
        <is>
          <t>OpenAI</t>
        </is>
      </c>
      <c r="B483" s="3" t="n">
        <v>2026</v>
      </c>
      <c r="C483" s="3" t="inlineStr">
        <is>
          <t>Bear</t>
        </is>
      </c>
      <c r="D483" s="3" t="inlineStr">
        <is>
          <t>inference_tokens_per_day</t>
        </is>
      </c>
      <c r="E483" s="3" t="n">
        <v>2593194912000</v>
      </c>
      <c r="F483" s="3" t="inlineStr">
        <is>
          <t>generated output tokens/day</t>
        </is>
      </c>
      <c r="G483" s="3" t="inlineStr">
        <is>
          <t>Derived headline metric</t>
        </is>
      </c>
      <c r="H483" s="3" t="inlineStr">
        <is>
          <t>inference_gw * 1000 * tokens_per_second_per_mw * 86,400</t>
        </is>
      </c>
      <c r="I483" s="3" t="inlineStr">
        <is>
          <t>Headline capacity uses no utilization, MoE, architecture or software-growth multiplier; it is not observed commercial output volume.</t>
        </is>
      </c>
      <c r="J483" s="3" t="inlineStr">
        <is>
          <t>SRC_OPENAI_GPT41_DOCS; SRC_OPENAI_STARGATE_ORACLE; SRC_OPENAI_STARGATE_PROGRESS; SRC_EPOCH_AI_DATA_CENTERS; SRC_SEMIANALYSIS_INFERENCEX</t>
        </is>
      </c>
      <c r="K483" s="3" t="inlineStr">
        <is>
          <t>ASSUMP_STARGATE_RAMP; ASSUMP_MS_OPENAI_ATTRIBUTION; ASSUMP_NUMERIC_ACCELERATOR_MIX; ASSUMP_INFERENCE_SHARE_NOT_FACT_60; ASSUMP_WORKLOAD_CLASS_MIX; ASSUMP_AGENTIC_CONTEXT_PENALTY</t>
        </is>
      </c>
      <c r="L483" s="3" t="inlineStr">
        <is>
          <t>Provider-disclosed generated output token volume or calibrated capacity telemetry.</t>
        </is>
      </c>
    </row>
    <row r="484">
      <c r="A484" s="3" t="inlineStr">
        <is>
          <t>OpenAI</t>
        </is>
      </c>
      <c r="B484" s="3" t="n">
        <v>2026</v>
      </c>
      <c r="C484" s="3" t="inlineStr">
        <is>
          <t>Bear</t>
        </is>
      </c>
      <c r="D484" s="3" t="inlineStr">
        <is>
          <t>inference_tokens_per_year</t>
        </is>
      </c>
      <c r="E484" s="3" t="n">
        <v>946516142880000</v>
      </c>
      <c r="F484" s="3" t="inlineStr">
        <is>
          <t>generated output tokens/year</t>
        </is>
      </c>
      <c r="G484" s="3" t="inlineStr">
        <is>
          <t>Derived headline metric</t>
        </is>
      </c>
      <c r="H484" s="3" t="inlineStr">
        <is>
          <t>inference_tokens_per_day * 365</t>
        </is>
      </c>
      <c r="I484" s="3" t="inlineStr">
        <is>
          <t>Annualized version of generated output token capacity; it is not observed annual demand or billable volume.</t>
        </is>
      </c>
      <c r="J484" s="3" t="inlineStr">
        <is>
          <t>SRC_OPENAI_GPT41_DOCS; SRC_OPENAI_STARGATE_ORACLE; SRC_OPENAI_STARGATE_PROGRESS; SRC_EPOCH_AI_DATA_CENTERS; SRC_SEMIANALYSIS_INFERENCEX</t>
        </is>
      </c>
      <c r="K484" s="3" t="inlineStr">
        <is>
          <t>ASSUMP_STARGATE_RAMP; ASSUMP_MS_OPENAI_ATTRIBUTION; ASSUMP_NUMERIC_ACCELERATOR_MIX; ASSUMP_INFERENCE_SHARE_NOT_FACT_60; ASSUMP_WORKLOAD_CLASS_MIX; ASSUMP_AGENTIC_CONTEXT_PENALTY</t>
        </is>
      </c>
      <c r="L484" s="3" t="inlineStr">
        <is>
          <t>Provider-disclosed annual generated-output volume or metered serving telemetry.</t>
        </is>
      </c>
    </row>
    <row r="485">
      <c r="A485" s="3" t="inlineStr">
        <is>
          <t>OpenAI</t>
        </is>
      </c>
      <c r="B485" s="3" t="n">
        <v>2027</v>
      </c>
      <c r="C485" s="3" t="inlineStr">
        <is>
          <t>Bear</t>
        </is>
      </c>
      <c r="D485" s="3" t="inlineStr">
        <is>
          <t>contracted_power_gw</t>
        </is>
      </c>
      <c r="E485" s="3" t="n">
        <v>6.75</v>
      </c>
      <c r="F485" s="3" t="inlineStr">
        <is>
          <t>GW</t>
        </is>
      </c>
      <c r="G485" s="3" t="inlineStr">
        <is>
          <t>Fact anchor + scenario ceiling</t>
        </is>
      </c>
      <c r="H485" s="3" t="inlineStr">
        <is>
          <t>linear interpolation between 2026 and 2030 company capacity endpoints</t>
        </is>
      </c>
      <c r="I485" s="3" t="inlineStr">
        <is>
          <t>2030 envelope is bounded by official Stargate planned/committed capacity; 2026 and timing remain staged scenario values.</t>
        </is>
      </c>
      <c r="J485" s="3" t="inlineStr">
        <is>
          <t>SRC_OPENAI_STARGATE_ORACLE; SRC_OPENAI_STARGATE_PROGRESS; ASSUMP_STARGATE_RAMP</t>
        </is>
      </c>
      <c r="K485" s="3" t="inlineStr">
        <is>
          <t>ASSUMP_STARGATE_RAMP; ASSUMP_MS_OPENAI_ATTRIBUTION; ASSUMP_NUMERIC_ACCELERATOR_MIX; ASSUMP_INFERENCE_SHARE_NOT_FACT_60; ASSUMP_WORKLOAD_CLASS_MIX; ASSUMP_AGENTIC_CONTEXT_PENALTY</t>
        </is>
      </c>
      <c r="L485" s="3" t="inlineStr">
        <is>
          <t>Company/site-level committed MW/GW, interconnect and contract disclosure.</t>
        </is>
      </c>
    </row>
    <row r="486">
      <c r="A486" s="3" t="inlineStr">
        <is>
          <t>OpenAI</t>
        </is>
      </c>
      <c r="B486" s="3" t="n">
        <v>2027</v>
      </c>
      <c r="C486" s="3" t="inlineStr">
        <is>
          <t>Bear</t>
        </is>
      </c>
      <c r="D486" s="3" t="inlineStr">
        <is>
          <t>operational_deployment_share</t>
        </is>
      </c>
      <c r="E486" s="3" t="n">
        <v>0.41392593</v>
      </c>
      <c r="F486" s="3" t="inlineStr">
        <is>
          <t>share</t>
        </is>
      </c>
      <c r="G486" s="3" t="inlineStr">
        <is>
          <t>Scenario conversion</t>
        </is>
      </c>
      <c r="H486" s="3" t="inlineStr">
        <is>
          <t>active_power_gw / contracted_power_gw</t>
        </is>
      </c>
      <c r="I486" s="3" t="inlineStr">
        <is>
          <t>This is the single explicit conversion from contracted/attributed capacity to operationally usable capacity.</t>
        </is>
      </c>
      <c r="J486" s="3" t="inlineStr">
        <is>
          <t>SRC_OPENAI_STARGATE_ORACLE; SRC_OPENAI_STARGATE_PROGRESS; ASSUMP_STARGATE_RAMP</t>
        </is>
      </c>
      <c r="K486" s="3" t="inlineStr">
        <is>
          <t>ASSUMP_STARGATE_RAMP; ASSUMP_MS_OPENAI_ATTRIBUTION; ASSUMP_NUMERIC_ACCELERATOR_MIX; ASSUMP_INFERENCE_SHARE_NOT_FACT_60; ASSUMP_WORKLOAD_CLASS_MIX; ASSUMP_AGENTIC_CONTEXT_PENALTY</t>
        </is>
      </c>
      <c r="L486" s="3" t="inlineStr">
        <is>
          <t>Energized operational capacity divided by contracted/attributed capacity.</t>
        </is>
      </c>
    </row>
    <row r="487">
      <c r="A487" s="3" t="inlineStr">
        <is>
          <t>OpenAI</t>
        </is>
      </c>
      <c r="B487" s="3" t="n">
        <v>2027</v>
      </c>
      <c r="C487" s="3" t="inlineStr">
        <is>
          <t>Bear</t>
        </is>
      </c>
      <c r="D487" s="3" t="inlineStr">
        <is>
          <t>active_power_gw</t>
        </is>
      </c>
      <c r="E487" s="3" t="n">
        <v>2.794</v>
      </c>
      <c r="F487" s="3" t="inlineStr">
        <is>
          <t>GW</t>
        </is>
      </c>
      <c r="G487" s="3" t="inlineStr">
        <is>
          <t>Derived scenario</t>
        </is>
      </c>
      <c r="H487" s="3" t="inlineStr">
        <is>
          <t>contracted_power_gw * operational_deployment_share</t>
        </is>
      </c>
      <c r="I487" s="3" t="inlineStr">
        <is>
          <t>Official capacity announcements are converted to active GW only through energization/GPU-deployment ramp assumptions.</t>
        </is>
      </c>
      <c r="J487" s="3" t="inlineStr">
        <is>
          <t>SRC_OPENAI_STARGATE_ORACLE; SRC_OPENAI_STARGATE_PROGRESS; ASSUMP_STARGATE_RAMP</t>
        </is>
      </c>
      <c r="K487" s="3" t="inlineStr">
        <is>
          <t>ASSUMP_STARGATE_RAMP; ASSUMP_MS_OPENAI_ATTRIBUTION; ASSUMP_NUMERIC_ACCELERATOR_MIX; ASSUMP_INFERENCE_SHARE_NOT_FACT_60; ASSUMP_WORKLOAD_CLASS_MIX; ASSUMP_AGENTIC_CONTEXT_PENALTY</t>
        </is>
      </c>
      <c r="L487" s="3" t="inlineStr">
        <is>
          <t>Energization dates, accelerator deliveries and operational powered-rack telemetry.</t>
        </is>
      </c>
    </row>
    <row r="488">
      <c r="A488" s="3" t="inlineStr">
        <is>
          <t>OpenAI</t>
        </is>
      </c>
      <c r="B488" s="3" t="n">
        <v>2027</v>
      </c>
      <c r="C488" s="3" t="inlineStr">
        <is>
          <t>Bear</t>
        </is>
      </c>
      <c r="D488" s="3" t="inlineStr">
        <is>
          <t>pue</t>
        </is>
      </c>
      <c r="E488" s="3" t="n">
        <v>1.2</v>
      </c>
      <c r="F488" s="3" t="inlineStr">
        <is>
          <t>ratio</t>
        </is>
      </c>
      <c r="G488" s="3" t="inlineStr">
        <is>
          <t>Scenario parameter</t>
        </is>
      </c>
      <c r="H488" s="3" t="inlineStr">
        <is>
          <t>it_load_gw = active_power_gw / pue</t>
        </is>
      </c>
      <c r="I488" s="3" t="inlineStr">
        <is>
          <t>No provider-wide site-level PUE is used as a disclosed fact; PUE represents facility-to-IT conversion within the scenario.</t>
        </is>
      </c>
      <c r="J488" s="3" t="inlineStr">
        <is>
          <t>ASSUMP_POWER_RAMP</t>
        </is>
      </c>
      <c r="K488" s="3" t="inlineStr">
        <is>
          <t>ASSUMP_STARGATE_RAMP; ASSUMP_MS_OPENAI_ATTRIBUTION; ASSUMP_NUMERIC_ACCELERATOR_MIX; ASSUMP_INFERENCE_SHARE_NOT_FACT_60; ASSUMP_WORKLOAD_CLASS_MIX; ASSUMP_AGENTIC_CONTEXT_PENALTY</t>
        </is>
      </c>
      <c r="L488" s="3" t="inlineStr">
        <is>
          <t>Site-level measured PUE matched to attributed AI capacity.</t>
        </is>
      </c>
    </row>
    <row r="489">
      <c r="A489" s="3" t="inlineStr">
        <is>
          <t>OpenAI</t>
        </is>
      </c>
      <c r="B489" s="3" t="n">
        <v>2027</v>
      </c>
      <c r="C489" s="3" t="inlineStr">
        <is>
          <t>Bear</t>
        </is>
      </c>
      <c r="D489" s="3" t="inlineStr">
        <is>
          <t>it_load_gw</t>
        </is>
      </c>
      <c r="E489" s="3" t="n">
        <v>2.328</v>
      </c>
      <c r="F489" s="3" t="inlineStr">
        <is>
          <t>GW</t>
        </is>
      </c>
      <c r="G489" s="3" t="inlineStr">
        <is>
          <t>Derived formula</t>
        </is>
      </c>
      <c r="H489" s="3" t="inlineStr">
        <is>
          <t>active_power_gw / pue</t>
        </is>
      </c>
      <c r="I489" s="3" t="inlineStr">
        <is>
          <t>Facility power is converted to IT-deliverable power before attributing AI workloads.</t>
        </is>
      </c>
      <c r="J489" s="3" t="inlineStr">
        <is>
          <t>SRC_OPENAI_STARGATE_ORACLE; SRC_OPENAI_STARGATE_PROGRESS; ASSUMP_STARGATE_RAMP</t>
        </is>
      </c>
      <c r="K489" s="3" t="inlineStr">
        <is>
          <t>ASSUMP_STARGATE_RAMP; ASSUMP_MS_OPENAI_ATTRIBUTION; ASSUMP_NUMERIC_ACCELERATOR_MIX; ASSUMP_INFERENCE_SHARE_NOT_FACT_60; ASSUMP_WORKLOAD_CLASS_MIX; ASSUMP_AGENTIC_CONTEXT_PENALTY</t>
        </is>
      </c>
      <c r="L489" s="3" t="inlineStr">
        <is>
          <t>Recompute once active power and PUE become site-observable.</t>
        </is>
      </c>
    </row>
    <row r="490">
      <c r="A490" s="3" t="inlineStr">
        <is>
          <t>OpenAI</t>
        </is>
      </c>
      <c r="B490" s="3" t="n">
        <v>2027</v>
      </c>
      <c r="C490" s="3" t="inlineStr">
        <is>
          <t>Bear</t>
        </is>
      </c>
      <c r="D490" s="3" t="inlineStr">
        <is>
          <t>ai_workload_share</t>
        </is>
      </c>
      <c r="E490" s="3" t="n">
        <v>0.88</v>
      </c>
      <c r="F490" s="3" t="inlineStr">
        <is>
          <t>share</t>
        </is>
      </c>
      <c r="G490" s="3" t="inlineStr">
        <is>
          <t>Scenario allocation</t>
        </is>
      </c>
      <c r="H490" s="3" t="inlineStr">
        <is>
          <t>ai_it_load_gw = it_load_gw * ai_workload_share</t>
        </is>
      </c>
      <c r="I490" s="3" t="inlineStr">
        <is>
          <t>Stargate capacity is AI-oriented but includes reserve, platform and non-token AI activity; 88% is a scenario.</t>
        </is>
      </c>
      <c r="J490" s="3" t="inlineStr">
        <is>
          <t>SRC_OPENAI_GPT41_DOCS; SRC_OPENAI_STARGATE_ORACLE; SRC_OPENAI_STARGATE_PROGRESS; SRC_EPOCH_AI_DATA_CENTERS</t>
        </is>
      </c>
      <c r="K490" s="3" t="inlineStr">
        <is>
          <t>ASSUMP_STARGATE_RAMP; ASSUMP_MS_OPENAI_ATTRIBUTION; ASSUMP_NUMERIC_ACCELERATOR_MIX; ASSUMP_INFERENCE_SHARE_NOT_FACT_60; ASSUMP_WORKLOAD_CLASS_MIX; ASSUMP_AGENTIC_CONTEXT_PENALTY</t>
        </is>
      </c>
      <c r="L490" s="3" t="inlineStr">
        <is>
          <t>Model-owner AI workload allocation or cluster scheduling telemetry.</t>
        </is>
      </c>
    </row>
    <row r="491">
      <c r="A491" s="3" t="inlineStr">
        <is>
          <t>OpenAI</t>
        </is>
      </c>
      <c r="B491" s="3" t="n">
        <v>2027</v>
      </c>
      <c r="C491" s="3" t="inlineStr">
        <is>
          <t>Bear</t>
        </is>
      </c>
      <c r="D491" s="3" t="inlineStr">
        <is>
          <t>ai_it_load_gw</t>
        </is>
      </c>
      <c r="E491" s="3" t="n">
        <v>2.049</v>
      </c>
      <c r="F491" s="3" t="inlineStr">
        <is>
          <t>GW</t>
        </is>
      </c>
      <c r="G491" s="3" t="inlineStr">
        <is>
          <t>Derived formula</t>
        </is>
      </c>
      <c r="H491" s="3" t="inlineStr">
        <is>
          <t>it_load_gw * ai_workload_share</t>
        </is>
      </c>
      <c r="I491" s="3" t="inlineStr">
        <is>
          <t>Only the AI-attributed portion of IT load enters training/inference allocation.</t>
        </is>
      </c>
      <c r="J491" s="3" t="inlineStr">
        <is>
          <t>SRC_OPENAI_GPT41_DOCS; SRC_OPENAI_STARGATE_ORACLE; SRC_OPENAI_STARGATE_PROGRESS; SRC_EPOCH_AI_DATA_CENTERS</t>
        </is>
      </c>
      <c r="K491" s="3" t="inlineStr">
        <is>
          <t>ASSUMP_STARGATE_RAMP; ASSUMP_MS_OPENAI_ATTRIBUTION; ASSUMP_NUMERIC_ACCELERATOR_MIX; ASSUMP_INFERENCE_SHARE_NOT_FACT_60; ASSUMP_WORKLOAD_CLASS_MIX; ASSUMP_AGENTIC_CONTEXT_PENALTY</t>
        </is>
      </c>
      <c r="L491" s="3" t="inlineStr">
        <is>
          <t>Recompute after ai_workload_share is replaced by telemetry.</t>
        </is>
      </c>
    </row>
    <row r="492">
      <c r="A492" s="3" t="inlineStr">
        <is>
          <t>OpenAI</t>
        </is>
      </c>
      <c r="B492" s="3" t="n">
        <v>2027</v>
      </c>
      <c r="C492" s="3" t="inlineStr">
        <is>
          <t>Bear</t>
        </is>
      </c>
      <c r="D492" s="3" t="inlineStr">
        <is>
          <t>gpu_share</t>
        </is>
      </c>
      <c r="E492" s="3" t="n">
        <v>1</v>
      </c>
      <c r="F492" s="3" t="inlineStr">
        <is>
          <t>share of inference-serving accelerator load</t>
        </is>
      </c>
      <c r="G492" s="3" t="inlineStr">
        <is>
          <t>Numeric scenario</t>
        </is>
      </c>
      <c r="H492" s="3" t="inlineStr">
        <is>
          <t>gpu_share interpolated from company 2026/2030 accelerator-mix endpoints</t>
        </is>
      </c>
      <c r="I492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492" s="3" t="inlineStr">
        <is>
          <t>SRC_OPENAI_GPT41_DOCS; SRC_OPENAI_STARGATE_ORACLE; SRC_OPENAI_STARGATE_PROGRESS; SRC_EPOCH_AI_DATA_CENTERS; ASSUMP_NUMERIC_ACCELERATOR_MIX</t>
        </is>
      </c>
      <c r="K492" s="3" t="inlineStr">
        <is>
          <t>ASSUMP_STARGATE_RAMP; ASSUMP_MS_OPENAI_ATTRIBUTION; ASSUMP_NUMERIC_ACCELERATOR_MIX; ASSUMP_INFERENCE_SHARE_NOT_FACT_60; ASSUMP_WORKLOAD_CLASS_MIX; ASSUMP_AGENTIC_CONTEXT_PENALTY</t>
        </is>
      </c>
      <c r="L492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493">
      <c r="A493" s="3" t="inlineStr">
        <is>
          <t>OpenAI</t>
        </is>
      </c>
      <c r="B493" s="3" t="n">
        <v>2027</v>
      </c>
      <c r="C493" s="3" t="inlineStr">
        <is>
          <t>Bear</t>
        </is>
      </c>
      <c r="D493" s="3" t="inlineStr">
        <is>
          <t>h200_share</t>
        </is>
      </c>
      <c r="E493" s="3" t="n">
        <v>0.07041</v>
      </c>
      <c r="F493" s="3" t="inlineStr">
        <is>
          <t>share of inference-serving accelerator load</t>
        </is>
      </c>
      <c r="G493" s="3" t="inlineStr">
        <is>
          <t>Editable numeric scenario</t>
        </is>
      </c>
      <c r="H493" s="3" t="inlineStr">
        <is>
          <t>h200_share = gpu_share * default_gpu_generation_mix_h200</t>
        </is>
      </c>
      <c r="I493" s="3" t="inlineStr">
        <is>
          <t>Default GPU-generation migration assumption; executive workbook allows later manual replacement by company/year/scenario.</t>
        </is>
      </c>
      <c r="J493" s="3" t="inlineStr">
        <is>
          <t>SRC_SEMIANALYSIS_INFERENCEX; ASSUMP_NUMERIC_ACCELERATOR_MIX</t>
        </is>
      </c>
      <c r="K493" s="3" t="inlineStr">
        <is>
          <t>ASSUMP_STARGATE_RAMP; ASSUMP_MS_OPENAI_ATTRIBUTION; ASSUMP_NUMERIC_ACCELERATOR_MIX; ASSUMP_INFERENCE_SHARE_NOT_FACT_60; ASSUMP_WORKLOAD_CLASS_MIX; ASSUMP_AGENTIC_CONTEXT_PENALTY</t>
        </is>
      </c>
      <c r="L493" s="3" t="inlineStr">
        <is>
          <t>Company fleet inventory, accelerator-hours or procurement/deployment records by GPU generation.</t>
        </is>
      </c>
    </row>
    <row r="494">
      <c r="A494" s="3" t="inlineStr">
        <is>
          <t>OpenAI</t>
        </is>
      </c>
      <c r="B494" s="3" t="n">
        <v>2027</v>
      </c>
      <c r="C494" s="3" t="inlineStr">
        <is>
          <t>Bear</t>
        </is>
      </c>
      <c r="D494" s="3" t="inlineStr">
        <is>
          <t>b200_share</t>
        </is>
      </c>
      <c r="E494" s="3" t="n">
        <v>0.92959</v>
      </c>
      <c r="F494" s="3" t="inlineStr">
        <is>
          <t>share of inference-serving accelerator load</t>
        </is>
      </c>
      <c r="G494" s="3" t="inlineStr">
        <is>
          <t>Editable numeric scenario</t>
        </is>
      </c>
      <c r="H494" s="3" t="inlineStr">
        <is>
          <t>b200_share = gpu_share * default_gpu_generation_mix_b200</t>
        </is>
      </c>
      <c r="I494" s="3" t="inlineStr">
        <is>
          <t>Default GPU-generation migration assumption; executive workbook allows later manual replacement by company/year/scenario.</t>
        </is>
      </c>
      <c r="J494" s="3" t="inlineStr">
        <is>
          <t>SRC_SEMIANALYSIS_INFERENCEX; ASSUMP_NUMERIC_ACCELERATOR_MIX</t>
        </is>
      </c>
      <c r="K494" s="3" t="inlineStr">
        <is>
          <t>ASSUMP_STARGATE_RAMP; ASSUMP_MS_OPENAI_ATTRIBUTION; ASSUMP_NUMERIC_ACCELERATOR_MIX; ASSUMP_INFERENCE_SHARE_NOT_FACT_60; ASSUMP_WORKLOAD_CLASS_MIX; ASSUMP_AGENTIC_CONTEXT_PENALTY</t>
        </is>
      </c>
      <c r="L494" s="3" t="inlineStr">
        <is>
          <t>Company fleet inventory, accelerator-hours or procurement/deployment records by GPU generation.</t>
        </is>
      </c>
    </row>
    <row r="495">
      <c r="A495" s="3" t="inlineStr">
        <is>
          <t>OpenAI</t>
        </is>
      </c>
      <c r="B495" s="3" t="n">
        <v>2027</v>
      </c>
      <c r="C495" s="3" t="inlineStr">
        <is>
          <t>Bear</t>
        </is>
      </c>
      <c r="D495" s="3" t="inlineStr">
        <is>
          <t>gb200_share</t>
        </is>
      </c>
      <c r="E495" s="3" t="n">
        <v>0</v>
      </c>
      <c r="F495" s="3" t="inlineStr">
        <is>
          <t>share of inference-serving accelerator load</t>
        </is>
      </c>
      <c r="G495" s="3" t="inlineStr">
        <is>
          <t>Editable numeric scenario</t>
        </is>
      </c>
      <c r="H495" s="3" t="inlineStr">
        <is>
          <t>gb200_share = gpu_share * default_gpu_generation_mix_gb200</t>
        </is>
      </c>
      <c r="I495" s="3" t="inlineStr">
        <is>
          <t>Default GPU-generation migration assumption; executive workbook allows later manual replacement by company/year/scenario.</t>
        </is>
      </c>
      <c r="J495" s="3" t="inlineStr">
        <is>
          <t>SRC_SEMIANALYSIS_INFERENCEX; ASSUMP_NUMERIC_ACCELERATOR_MIX</t>
        </is>
      </c>
      <c r="K495" s="3" t="inlineStr">
        <is>
          <t>ASSUMP_STARGATE_RAMP; ASSUMP_MS_OPENAI_ATTRIBUTION; ASSUMP_NUMERIC_ACCELERATOR_MIX; ASSUMP_INFERENCE_SHARE_NOT_FACT_60; ASSUMP_WORKLOAD_CLASS_MIX; ASSUMP_AGENTIC_CONTEXT_PENALTY</t>
        </is>
      </c>
      <c r="L495" s="3" t="inlineStr">
        <is>
          <t>Company fleet inventory, accelerator-hours or procurement/deployment records by GPU generation.</t>
        </is>
      </c>
    </row>
    <row r="496">
      <c r="A496" s="3" t="inlineStr">
        <is>
          <t>OpenAI</t>
        </is>
      </c>
      <c r="B496" s="3" t="n">
        <v>2027</v>
      </c>
      <c r="C496" s="3" t="inlineStr">
        <is>
          <t>Bear</t>
        </is>
      </c>
      <c r="D496" s="3" t="inlineStr">
        <is>
          <t>purpose_built_accelerator_share</t>
        </is>
      </c>
      <c r="E496" s="3" t="n">
        <v>0</v>
      </c>
      <c r="F496" s="3" t="inlineStr">
        <is>
          <t>share of inference-serving accelerator load</t>
        </is>
      </c>
      <c r="G496" s="3" t="inlineStr">
        <is>
          <t>Numeric scenario</t>
        </is>
      </c>
      <c r="H496" s="3" t="inlineStr">
        <is>
          <t>1 - gpu_share</t>
        </is>
      </c>
      <c r="I496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496" s="3" t="inlineStr">
        <is>
          <t>SRC_OPENAI_GPT41_DOCS; SRC_OPENAI_STARGATE_ORACLE; SRC_OPENAI_STARGATE_PROGRESS; SRC_EPOCH_AI_DATA_CENTERS; ASSUMP_NUMERIC_ACCELERATOR_MIX</t>
        </is>
      </c>
      <c r="K496" s="3" t="inlineStr">
        <is>
          <t>ASSUMP_STARGATE_RAMP; ASSUMP_MS_OPENAI_ATTRIBUTION; ASSUMP_NUMERIC_ACCELERATOR_MIX; ASSUMP_INFERENCE_SHARE_NOT_FACT_60; ASSUMP_WORKLOAD_CLASS_MIX; ASSUMP_AGENTIC_CONTEXT_PENALTY</t>
        </is>
      </c>
      <c r="L496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497">
      <c r="A497" s="3" t="inlineStr">
        <is>
          <t>OpenAI</t>
        </is>
      </c>
      <c r="B497" s="3" t="n">
        <v>2027</v>
      </c>
      <c r="C497" s="3" t="inlineStr">
        <is>
          <t>Bear</t>
        </is>
      </c>
      <c r="D497" s="3" t="inlineStr">
        <is>
          <t>fleet_reference_tps_per_mw</t>
        </is>
      </c>
      <c r="E497" s="3" t="n">
        <v>202516</v>
      </c>
      <c r="F497" s="3" t="inlineStr">
        <is>
          <t>generated output tokens/sec/MW</t>
        </is>
      </c>
      <c r="G497" s="3" t="inlineStr">
        <is>
          <t>Fleet-weighted public benchmark reference</t>
        </is>
      </c>
      <c r="H497" s="3" t="inlineStr">
        <is>
          <t>h200_share*h200_workload_avg + b200_share*b200_workload_avg + gb200_share*gb200_workload_avg + purpose_built_share*purpose_workload_avg</t>
        </is>
      </c>
      <c r="I49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497" s="3" t="inlineStr">
        <is>
          <t>SRC_SEMIANALYSIS_INFERENCEX; ASSUMP_NUMERIC_ACCELERATOR_MIX; ASSUMP_WORKLOAD_CLASS_MIX; ASSUMP_AGENTIC_CONTEXT_PENALTY</t>
        </is>
      </c>
      <c r="K497" s="3" t="inlineStr">
        <is>
          <t>ASSUMP_STARGATE_RAMP; ASSUMP_MS_OPENAI_ATTRIBUTION; ASSUMP_NUMERIC_ACCELERATOR_MIX; ASSUMP_INFERENCE_SHARE_NOT_FACT_60; ASSUMP_WORKLOAD_CLASS_MIX; ASSUMP_AGENTIC_CONTEXT_PENALTY</t>
        </is>
      </c>
      <c r="L497" s="3" t="inlineStr">
        <is>
          <t>Comparable production output-token throughput or a more closely matched benchmark.</t>
        </is>
      </c>
    </row>
    <row r="498">
      <c r="A498" s="3" t="inlineStr">
        <is>
          <t>OpenAI</t>
        </is>
      </c>
      <c r="B498" s="3" t="n">
        <v>2027</v>
      </c>
      <c r="C498" s="3" t="inlineStr">
        <is>
          <t>Bear</t>
        </is>
      </c>
      <c r="D498" s="3" t="inlineStr">
        <is>
          <t>commercial_workload_fit_factor</t>
        </is>
      </c>
      <c r="E498" s="3" t="n">
        <v>0.3</v>
      </c>
      <c r="F498" s="3" t="inlineStr">
        <is>
          <t>share of public reference throughput</t>
        </is>
      </c>
      <c r="G498" s="3" t="inlineStr">
        <is>
          <t>Scenario assumption</t>
        </is>
      </c>
      <c r="H498" s="3" t="inlineStr">
        <is>
          <t>reference_serving_tps_per_mw = fleet_reference_tps_per_mw * commercial_workload_fit_factor</t>
        </is>
      </c>
      <c r="I49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498" s="3" t="inlineStr">
        <is>
          <t>SRC_SEMIANALYSIS_INFERENCEX; ASSUMP_NUMERIC_ACCELERATOR_MIX; ASSUMP_WORKLOAD_CLASS_MIX; ASSUMP_AGENTIC_CONTEXT_PENALTY</t>
        </is>
      </c>
      <c r="K498" s="3" t="inlineStr">
        <is>
          <t>ASSUMP_STARGATE_RAMP; ASSUMP_MS_OPENAI_ATTRIBUTION; ASSUMP_NUMERIC_ACCELERATOR_MIX; ASSUMP_INFERENCE_SHARE_NOT_FACT_60; ASSUMP_WORKLOAD_CLASS_MIX; ASSUMP_AGENTIC_CONTEXT_PENALTY</t>
        </is>
      </c>
      <c r="L498" s="3" t="inlineStr">
        <is>
          <t>Matched commercial serving benchmark by product surface, context shape and latency SLO.</t>
        </is>
      </c>
    </row>
    <row r="499">
      <c r="A499" s="3" t="inlineStr">
        <is>
          <t>OpenAI</t>
        </is>
      </c>
      <c r="B499" s="3" t="n">
        <v>2027</v>
      </c>
      <c r="C499" s="3" t="inlineStr">
        <is>
          <t>Bear</t>
        </is>
      </c>
      <c r="D499" s="3" t="inlineStr">
        <is>
          <t>reference_serving_tps_per_mw</t>
        </is>
      </c>
      <c r="E499" s="3" t="n">
        <v>60755</v>
      </c>
      <c r="F499" s="3" t="inlineStr">
        <is>
          <t>generated output tokens/sec/MW</t>
        </is>
      </c>
      <c r="G499" s="3" t="inlineStr">
        <is>
          <t>Workload-adjusted benchmark proxy</t>
        </is>
      </c>
      <c r="H499" s="3" t="inlineStr">
        <is>
          <t>fleet_reference_tps_per_mw * commercial_workload_fit_factor</t>
        </is>
      </c>
      <c r="I499" s="3" t="inlineStr">
        <is>
          <t>This is the coefficient used for headline token generation; each GPU's short chat, long chat and agentic TPS/MW are weighted before fleet mix and commercial fit are applied.</t>
        </is>
      </c>
      <c r="J499" s="3" t="inlineStr">
        <is>
          <t>SRC_SEMIANALYSIS_INFERENCEX; ASSUMP_NUMERIC_ACCELERATOR_MIX; ASSUMP_WORKLOAD_CLASS_MIX; ASSUMP_AGENTIC_CONTEXT_PENALTY</t>
        </is>
      </c>
      <c r="K499" s="3" t="inlineStr">
        <is>
          <t>ASSUMP_STARGATE_RAMP; ASSUMP_MS_OPENAI_ATTRIBUTION; ASSUMP_NUMERIC_ACCELERATOR_MIX; ASSUMP_INFERENCE_SHARE_NOT_FACT_60; ASSUMP_WORKLOAD_CLASS_MIX; ASSUMP_AGENTIC_CONTEXT_PENALTY</t>
        </is>
      </c>
      <c r="L499" s="3" t="inlineStr">
        <is>
          <t>Provider production output-token throughput with comparable workload/SLO.</t>
        </is>
      </c>
    </row>
    <row r="500">
      <c r="A500" s="3" t="inlineStr">
        <is>
          <t>OpenAI</t>
        </is>
      </c>
      <c r="B500" s="3" t="n">
        <v>2027</v>
      </c>
      <c r="C500" s="3" t="inlineStr">
        <is>
          <t>Bear</t>
        </is>
      </c>
      <c r="D500" s="3" t="inlineStr">
        <is>
          <t>purpose_built_tps_per_mw</t>
        </is>
      </c>
      <c r="E500" s="3" t="n">
        <v>40592</v>
      </c>
      <c r="F500" s="3" t="inlineStr">
        <is>
          <t>generated output tokens/sec/MW</t>
        </is>
      </c>
      <c r="G500" s="3" t="inlineStr">
        <is>
          <t>Conservative no-uplift proxy</t>
        </is>
      </c>
      <c r="H500" s="3" t="inlineStr">
        <is>
          <t>purpose_built_tps_per_mw = purpose_built_reference_tps_per_mw * commercial_workload_fit_factor until comparable output-token benchmark is adopted</t>
        </is>
      </c>
      <c r="I500" s="3" t="inlineStr">
        <is>
          <t>No comparable public output-token/MW row adopted; B200 public reference placeholder is used and remains editable.</t>
        </is>
      </c>
      <c r="J500" s="3" t="inlineStr">
        <is>
          <t>SRC_OPENAI_GPT41_DOCS; SRC_OPENAI_STARGATE_ORACLE; SRC_OPENAI_STARGATE_PROGRESS; SRC_EPOCH_AI_DATA_CENTERS; ASSUMP_NUMERIC_ACCELERATOR_MIX</t>
        </is>
      </c>
      <c r="K500" s="3" t="inlineStr">
        <is>
          <t>ASSUMP_STARGATE_RAMP; ASSUMP_MS_OPENAI_ATTRIBUTION; ASSUMP_NUMERIC_ACCELERATOR_MIX; ASSUMP_INFERENCE_SHARE_NOT_FACT_60; ASSUMP_WORKLOAD_CLASS_MIX; ASSUMP_AGENTIC_CONTEXT_PENALTY</t>
        </is>
      </c>
      <c r="L500" s="3" t="inlineStr">
        <is>
          <t>Matched-workload generated-output benchmark for the provider purpose-built accelerator.</t>
        </is>
      </c>
    </row>
    <row r="501">
      <c r="A501" s="3" t="inlineStr">
        <is>
          <t>OpenAI</t>
        </is>
      </c>
      <c r="B501" s="3" t="n">
        <v>2027</v>
      </c>
      <c r="C501" s="3" t="inlineStr">
        <is>
          <t>Bear</t>
        </is>
      </c>
      <c r="D501" s="3" t="inlineStr">
        <is>
          <t>inference_power_share</t>
        </is>
      </c>
      <c r="E501" s="3" t="n">
        <v>0.545</v>
      </c>
      <c r="F501" s="3" t="inlineStr">
        <is>
          <t>share of AI IT load</t>
        </is>
      </c>
      <c r="G501" s="3" t="inlineStr">
        <is>
          <t>Scenario allocation</t>
        </is>
      </c>
      <c r="H501" s="3" t="inlineStr">
        <is>
          <t>inference_gw = ai_it_load_gw * inference_power_share</t>
        </is>
      </c>
      <c r="I501" s="3" t="inlineStr">
        <is>
          <t>ChatGPT/API/enterprise commercial surfaces support increasing inference allocation while training remains material.</t>
        </is>
      </c>
      <c r="J501" s="3" t="inlineStr">
        <is>
          <t>SRC_OPENAI_GPT41_DOCS; SRC_OPENAI_STARGATE_ORACLE; SRC_OPENAI_STARGATE_PROGRESS; SRC_EPOCH_AI_DATA_CENTERS; ASSUMP_INFERENCE_SHARE_NOT_FACT_60</t>
        </is>
      </c>
      <c r="K501" s="3" t="inlineStr">
        <is>
          <t>ASSUMP_STARGATE_RAMP; ASSUMP_MS_OPENAI_ATTRIBUTION; ASSUMP_NUMERIC_ACCELERATOR_MIX; ASSUMP_INFERENCE_SHARE_NOT_FACT_60; ASSUMP_WORKLOAD_CLASS_MIX; ASSUMP_AGENTIC_CONTEXT_PENALTY</t>
        </is>
      </c>
      <c r="L501" s="3" t="inlineStr">
        <is>
          <t>Provider-specific inference/training workload power telemetry.</t>
        </is>
      </c>
    </row>
    <row r="502">
      <c r="A502" s="3" t="inlineStr">
        <is>
          <t>OpenAI</t>
        </is>
      </c>
      <c r="B502" s="3" t="n">
        <v>2027</v>
      </c>
      <c r="C502" s="3" t="inlineStr">
        <is>
          <t>Bear</t>
        </is>
      </c>
      <c r="D502" s="3" t="inlineStr">
        <is>
          <t>inference_gw</t>
        </is>
      </c>
      <c r="E502" s="3" t="n">
        <v>1.117</v>
      </c>
      <c r="F502" s="3" t="inlineStr">
        <is>
          <t>GW</t>
        </is>
      </c>
      <c r="G502" s="3" t="inlineStr">
        <is>
          <t>Derived formula</t>
        </is>
      </c>
      <c r="H502" s="3" t="inlineStr">
        <is>
          <t>ai_it_load_gw * inference_power_share</t>
        </is>
      </c>
      <c r="I502" s="3" t="inlineStr">
        <is>
          <t>This is the operational power eligible to become commercial generated output tokens through the selected TPS/MW proxy.</t>
        </is>
      </c>
      <c r="J502" s="3" t="inlineStr">
        <is>
          <t>SRC_OPENAI_GPT41_DOCS; SRC_OPENAI_STARGATE_ORACLE; SRC_OPENAI_STARGATE_PROGRESS; SRC_EPOCH_AI_DATA_CENTERS</t>
        </is>
      </c>
      <c r="K502" s="3" t="inlineStr">
        <is>
          <t>ASSUMP_STARGATE_RAMP; ASSUMP_MS_OPENAI_ATTRIBUTION; ASSUMP_NUMERIC_ACCELERATOR_MIX; ASSUMP_INFERENCE_SHARE_NOT_FACT_60; ASSUMP_WORKLOAD_CLASS_MIX; ASSUMP_AGENTIC_CONTEXT_PENALTY</t>
        </is>
      </c>
      <c r="L502" s="3" t="inlineStr">
        <is>
          <t>Recompute after AI allocation or inference-share evidence changes.</t>
        </is>
      </c>
    </row>
    <row r="503">
      <c r="A503" s="3" t="inlineStr">
        <is>
          <t>OpenAI</t>
        </is>
      </c>
      <c r="B503" s="3" t="n">
        <v>2027</v>
      </c>
      <c r="C503" s="3" t="inlineStr">
        <is>
          <t>Bear</t>
        </is>
      </c>
      <c r="D503" s="3" t="inlineStr">
        <is>
          <t>training_power_share</t>
        </is>
      </c>
      <c r="E503" s="3" t="n">
        <v>0.455</v>
      </c>
      <c r="F503" s="3" t="inlineStr">
        <is>
          <t>share of AI IT load</t>
        </is>
      </c>
      <c r="G503" s="3" t="inlineStr">
        <is>
          <t>Derived allocation</t>
        </is>
      </c>
      <c r="H503" s="3" t="inlineStr">
        <is>
          <t>1 - inference_power_share</t>
        </is>
      </c>
      <c r="I503" s="3" t="inlineStr">
        <is>
          <t>Training receives the complementary modeled AI IT allocation; it is not a disclosed company workload split.</t>
        </is>
      </c>
      <c r="J503" s="3" t="inlineStr">
        <is>
          <t>SRC_OPENAI_GPT41_DOCS; SRC_OPENAI_STARGATE_ORACLE; SRC_OPENAI_STARGATE_PROGRESS; SRC_EPOCH_AI_DATA_CENTERS; ASSUMP_INFERENCE_SHARE_NOT_FACT_60</t>
        </is>
      </c>
      <c r="K503" s="3" t="inlineStr">
        <is>
          <t>ASSUMP_STARGATE_RAMP; ASSUMP_MS_OPENAI_ATTRIBUTION; ASSUMP_NUMERIC_ACCELERATOR_MIX; ASSUMP_INFERENCE_SHARE_NOT_FACT_60; ASSUMP_WORKLOAD_CLASS_MIX; ASSUMP_AGENTIC_CONTEXT_PENALTY</t>
        </is>
      </c>
      <c r="L503" s="3" t="inlineStr">
        <is>
          <t>Provider-specific inference/training workload power telemetry.</t>
        </is>
      </c>
    </row>
    <row r="504">
      <c r="A504" s="3" t="inlineStr">
        <is>
          <t>OpenAI</t>
        </is>
      </c>
      <c r="B504" s="3" t="n">
        <v>2027</v>
      </c>
      <c r="C504" s="3" t="inlineStr">
        <is>
          <t>Bear</t>
        </is>
      </c>
      <c r="D504" s="3" t="inlineStr">
        <is>
          <t>training_gw</t>
        </is>
      </c>
      <c r="E504" s="3" t="n">
        <v>0.9320000000000001</v>
      </c>
      <c r="F504" s="3" t="inlineStr">
        <is>
          <t>GW</t>
        </is>
      </c>
      <c r="G504" s="3" t="inlineStr">
        <is>
          <t>Derived formula</t>
        </is>
      </c>
      <c r="H504" s="3" t="inlineStr">
        <is>
          <t>ai_it_load_gw * training_power_share</t>
        </is>
      </c>
      <c r="I504" s="3" t="inlineStr">
        <is>
          <t>Training GW is shown separately so commercial inference token capacity is not overstated.</t>
        </is>
      </c>
      <c r="J504" s="3" t="inlineStr">
        <is>
          <t>SRC_OPENAI_GPT41_DOCS; SRC_OPENAI_STARGATE_ORACLE; SRC_OPENAI_STARGATE_PROGRESS; SRC_EPOCH_AI_DATA_CENTERS</t>
        </is>
      </c>
      <c r="K504" s="3" t="inlineStr">
        <is>
          <t>ASSUMP_STARGATE_RAMP; ASSUMP_MS_OPENAI_ATTRIBUTION; ASSUMP_NUMERIC_ACCELERATOR_MIX; ASSUMP_INFERENCE_SHARE_NOT_FACT_60; ASSUMP_WORKLOAD_CLASS_MIX; ASSUMP_AGENTIC_CONTEXT_PENALTY</t>
        </is>
      </c>
      <c r="L504" s="3" t="inlineStr">
        <is>
          <t>Recompute after AI allocation or workload-split evidence changes.</t>
        </is>
      </c>
    </row>
    <row r="505">
      <c r="A505" s="3" t="inlineStr">
        <is>
          <t>OpenAI</t>
        </is>
      </c>
      <c r="B505" s="3" t="n">
        <v>2027</v>
      </c>
      <c r="C505" s="3" t="inlineStr">
        <is>
          <t>Bear</t>
        </is>
      </c>
      <c r="D505" s="3" t="inlineStr">
        <is>
          <t>tokens_per_second_per_mw</t>
        </is>
      </c>
      <c r="E505" s="3" t="n">
        <v>60755</v>
      </c>
      <c r="F505" s="3" t="inlineStr">
        <is>
          <t>generated output tokens/sec/MW</t>
        </is>
      </c>
      <c r="G505" s="3" t="inlineStr">
        <is>
          <t>Derived estimate + benchmark calibration</t>
        </is>
      </c>
      <c r="H505" s="3" t="inlineStr">
        <is>
          <t>fleet_reference_tps_per_mw * commercial_workload_fit_factor</t>
        </is>
      </c>
      <c r="I50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05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05" s="3" t="inlineStr">
        <is>
          <t>ASSUMP_STARGATE_RAMP; ASSUMP_MS_OPENAI_ATTRIBUTION; ASSUMP_NUMERIC_ACCELERATOR_MIX; ASSUMP_INFERENCE_SHARE_NOT_FACT_60; ASSUMP_WORKLOAD_CLASS_MIX; ASSUMP_AGENTIC_CONTEXT_PENALTY</t>
        </is>
      </c>
      <c r="L505" s="3" t="inlineStr">
        <is>
          <t>Comparable production output-token throughput with model, hardware, precision, ISL/OSL and SLO matched.</t>
        </is>
      </c>
    </row>
    <row r="506">
      <c r="A506" s="3" t="inlineStr">
        <is>
          <t>OpenAI</t>
        </is>
      </c>
      <c r="B506" s="3" t="n">
        <v>2027</v>
      </c>
      <c r="C506" s="3" t="inlineStr">
        <is>
          <t>Bear</t>
        </is>
      </c>
      <c r="D506" s="3" t="inlineStr">
        <is>
          <t>inference_tokens_per_day</t>
        </is>
      </c>
      <c r="E506" s="3" t="n">
        <v>5863392144000</v>
      </c>
      <c r="F506" s="3" t="inlineStr">
        <is>
          <t>generated output tokens/day</t>
        </is>
      </c>
      <c r="G506" s="3" t="inlineStr">
        <is>
          <t>Derived headline metric</t>
        </is>
      </c>
      <c r="H506" s="3" t="inlineStr">
        <is>
          <t>inference_gw * 1000 * tokens_per_second_per_mw * 86,400</t>
        </is>
      </c>
      <c r="I506" s="3" t="inlineStr">
        <is>
          <t>Headline capacity uses no utilization, MoE, architecture or software-growth multiplier; it is not observed commercial output volume.</t>
        </is>
      </c>
      <c r="J506" s="3" t="inlineStr">
        <is>
          <t>SRC_OPENAI_GPT41_DOCS; SRC_OPENAI_STARGATE_ORACLE; SRC_OPENAI_STARGATE_PROGRESS; SRC_EPOCH_AI_DATA_CENTERS; SRC_SEMIANALYSIS_INFERENCEX</t>
        </is>
      </c>
      <c r="K506" s="3" t="inlineStr">
        <is>
          <t>ASSUMP_STARGATE_RAMP; ASSUMP_MS_OPENAI_ATTRIBUTION; ASSUMP_NUMERIC_ACCELERATOR_MIX; ASSUMP_INFERENCE_SHARE_NOT_FACT_60; ASSUMP_WORKLOAD_CLASS_MIX; ASSUMP_AGENTIC_CONTEXT_PENALTY</t>
        </is>
      </c>
      <c r="L506" s="3" t="inlineStr">
        <is>
          <t>Provider-disclosed generated output token volume or calibrated capacity telemetry.</t>
        </is>
      </c>
    </row>
    <row r="507">
      <c r="A507" s="3" t="inlineStr">
        <is>
          <t>OpenAI</t>
        </is>
      </c>
      <c r="B507" s="3" t="n">
        <v>2027</v>
      </c>
      <c r="C507" s="3" t="inlineStr">
        <is>
          <t>Bear</t>
        </is>
      </c>
      <c r="D507" s="3" t="inlineStr">
        <is>
          <t>inference_tokens_per_year</t>
        </is>
      </c>
      <c r="E507" s="3" t="n">
        <v>2140138132560000</v>
      </c>
      <c r="F507" s="3" t="inlineStr">
        <is>
          <t>generated output tokens/year</t>
        </is>
      </c>
      <c r="G507" s="3" t="inlineStr">
        <is>
          <t>Derived headline metric</t>
        </is>
      </c>
      <c r="H507" s="3" t="inlineStr">
        <is>
          <t>inference_tokens_per_day * 365</t>
        </is>
      </c>
      <c r="I507" s="3" t="inlineStr">
        <is>
          <t>Annualized version of generated output token capacity; it is not observed annual demand or billable volume.</t>
        </is>
      </c>
      <c r="J507" s="3" t="inlineStr">
        <is>
          <t>SRC_OPENAI_GPT41_DOCS; SRC_OPENAI_STARGATE_ORACLE; SRC_OPENAI_STARGATE_PROGRESS; SRC_EPOCH_AI_DATA_CENTERS; SRC_SEMIANALYSIS_INFERENCEX</t>
        </is>
      </c>
      <c r="K507" s="3" t="inlineStr">
        <is>
          <t>ASSUMP_STARGATE_RAMP; ASSUMP_MS_OPENAI_ATTRIBUTION; ASSUMP_NUMERIC_ACCELERATOR_MIX; ASSUMP_INFERENCE_SHARE_NOT_FACT_60; ASSUMP_WORKLOAD_CLASS_MIX; ASSUMP_AGENTIC_CONTEXT_PENALTY</t>
        </is>
      </c>
      <c r="L507" s="3" t="inlineStr">
        <is>
          <t>Provider-disclosed annual generated-output volume or metered serving telemetry.</t>
        </is>
      </c>
    </row>
    <row r="508">
      <c r="A508" s="3" t="inlineStr">
        <is>
          <t>OpenAI</t>
        </is>
      </c>
      <c r="B508" s="3" t="n">
        <v>2028</v>
      </c>
      <c r="C508" s="3" t="inlineStr">
        <is>
          <t>Bear</t>
        </is>
      </c>
      <c r="D508" s="3" t="inlineStr">
        <is>
          <t>contracted_power_gw</t>
        </is>
      </c>
      <c r="E508" s="3" t="n">
        <v>8.5</v>
      </c>
      <c r="F508" s="3" t="inlineStr">
        <is>
          <t>GW</t>
        </is>
      </c>
      <c r="G508" s="3" t="inlineStr">
        <is>
          <t>Fact anchor + scenario ceiling</t>
        </is>
      </c>
      <c r="H508" s="3" t="inlineStr">
        <is>
          <t>linear interpolation between 2026 and 2030 company capacity endpoints</t>
        </is>
      </c>
      <c r="I508" s="3" t="inlineStr">
        <is>
          <t>2030 envelope is bounded by official Stargate planned/committed capacity; 2026 and timing remain staged scenario values.</t>
        </is>
      </c>
      <c r="J508" s="3" t="inlineStr">
        <is>
          <t>SRC_OPENAI_STARGATE_ORACLE; SRC_OPENAI_STARGATE_PROGRESS; ASSUMP_STARGATE_RAMP</t>
        </is>
      </c>
      <c r="K508" s="3" t="inlineStr">
        <is>
          <t>ASSUMP_STARGATE_RAMP; ASSUMP_MS_OPENAI_ATTRIBUTION; ASSUMP_NUMERIC_ACCELERATOR_MIX; ASSUMP_INFERENCE_SHARE_NOT_FACT_60; ASSUMP_WORKLOAD_CLASS_MIX; ASSUMP_AGENTIC_CONTEXT_PENALTY</t>
        </is>
      </c>
      <c r="L508" s="3" t="inlineStr">
        <is>
          <t>Company/site-level committed MW/GW, interconnect and contract disclosure.</t>
        </is>
      </c>
    </row>
    <row r="509">
      <c r="A509" s="3" t="inlineStr">
        <is>
          <t>OpenAI</t>
        </is>
      </c>
      <c r="B509" s="3" t="n">
        <v>2028</v>
      </c>
      <c r="C509" s="3" t="inlineStr">
        <is>
          <t>Bear</t>
        </is>
      </c>
      <c r="D509" s="3" t="inlineStr">
        <is>
          <t>operational_deployment_share</t>
        </is>
      </c>
      <c r="E509" s="3" t="n">
        <v>0.50082353</v>
      </c>
      <c r="F509" s="3" t="inlineStr">
        <is>
          <t>share</t>
        </is>
      </c>
      <c r="G509" s="3" t="inlineStr">
        <is>
          <t>Scenario conversion</t>
        </is>
      </c>
      <c r="H509" s="3" t="inlineStr">
        <is>
          <t>active_power_gw / contracted_power_gw</t>
        </is>
      </c>
      <c r="I509" s="3" t="inlineStr">
        <is>
          <t>This is the single explicit conversion from contracted/attributed capacity to operationally usable capacity.</t>
        </is>
      </c>
      <c r="J509" s="3" t="inlineStr">
        <is>
          <t>SRC_OPENAI_STARGATE_ORACLE; SRC_OPENAI_STARGATE_PROGRESS; ASSUMP_STARGATE_RAMP</t>
        </is>
      </c>
      <c r="K509" s="3" t="inlineStr">
        <is>
          <t>ASSUMP_STARGATE_RAMP; ASSUMP_MS_OPENAI_ATTRIBUTION; ASSUMP_NUMERIC_ACCELERATOR_MIX; ASSUMP_INFERENCE_SHARE_NOT_FACT_60; ASSUMP_WORKLOAD_CLASS_MIX; ASSUMP_AGENTIC_CONTEXT_PENALTY</t>
        </is>
      </c>
      <c r="L509" s="3" t="inlineStr">
        <is>
          <t>Energized operational capacity divided by contracted/attributed capacity.</t>
        </is>
      </c>
    </row>
    <row r="510">
      <c r="A510" s="3" t="inlineStr">
        <is>
          <t>OpenAI</t>
        </is>
      </c>
      <c r="B510" s="3" t="n">
        <v>2028</v>
      </c>
      <c r="C510" s="3" t="inlineStr">
        <is>
          <t>Bear</t>
        </is>
      </c>
      <c r="D510" s="3" t="inlineStr">
        <is>
          <t>active_power_gw</t>
        </is>
      </c>
      <c r="E510" s="3" t="n">
        <v>4.257</v>
      </c>
      <c r="F510" s="3" t="inlineStr">
        <is>
          <t>GW</t>
        </is>
      </c>
      <c r="G510" s="3" t="inlineStr">
        <is>
          <t>Derived scenario</t>
        </is>
      </c>
      <c r="H510" s="3" t="inlineStr">
        <is>
          <t>contracted_power_gw * operational_deployment_share</t>
        </is>
      </c>
      <c r="I510" s="3" t="inlineStr">
        <is>
          <t>Official capacity announcements are converted to active GW only through energization/GPU-deployment ramp assumptions.</t>
        </is>
      </c>
      <c r="J510" s="3" t="inlineStr">
        <is>
          <t>SRC_OPENAI_STARGATE_ORACLE; SRC_OPENAI_STARGATE_PROGRESS; ASSUMP_STARGATE_RAMP</t>
        </is>
      </c>
      <c r="K510" s="3" t="inlineStr">
        <is>
          <t>ASSUMP_STARGATE_RAMP; ASSUMP_MS_OPENAI_ATTRIBUTION; ASSUMP_NUMERIC_ACCELERATOR_MIX; ASSUMP_INFERENCE_SHARE_NOT_FACT_60; ASSUMP_WORKLOAD_CLASS_MIX; ASSUMP_AGENTIC_CONTEXT_PENALTY</t>
        </is>
      </c>
      <c r="L510" s="3" t="inlineStr">
        <is>
          <t>Energization dates, accelerator deliveries and operational powered-rack telemetry.</t>
        </is>
      </c>
    </row>
    <row r="511">
      <c r="A511" s="3" t="inlineStr">
        <is>
          <t>OpenAI</t>
        </is>
      </c>
      <c r="B511" s="3" t="n">
        <v>2028</v>
      </c>
      <c r="C511" s="3" t="inlineStr">
        <is>
          <t>Bear</t>
        </is>
      </c>
      <c r="D511" s="3" t="inlineStr">
        <is>
          <t>pue</t>
        </is>
      </c>
      <c r="E511" s="3" t="n">
        <v>1.2</v>
      </c>
      <c r="F511" s="3" t="inlineStr">
        <is>
          <t>ratio</t>
        </is>
      </c>
      <c r="G511" s="3" t="inlineStr">
        <is>
          <t>Scenario parameter</t>
        </is>
      </c>
      <c r="H511" s="3" t="inlineStr">
        <is>
          <t>it_load_gw = active_power_gw / pue</t>
        </is>
      </c>
      <c r="I511" s="3" t="inlineStr">
        <is>
          <t>No provider-wide site-level PUE is used as a disclosed fact; PUE represents facility-to-IT conversion within the scenario.</t>
        </is>
      </c>
      <c r="J511" s="3" t="inlineStr">
        <is>
          <t>ASSUMP_POWER_RAMP</t>
        </is>
      </c>
      <c r="K511" s="3" t="inlineStr">
        <is>
          <t>ASSUMP_STARGATE_RAMP; ASSUMP_MS_OPENAI_ATTRIBUTION; ASSUMP_NUMERIC_ACCELERATOR_MIX; ASSUMP_INFERENCE_SHARE_NOT_FACT_60; ASSUMP_WORKLOAD_CLASS_MIX; ASSUMP_AGENTIC_CONTEXT_PENALTY</t>
        </is>
      </c>
      <c r="L511" s="3" t="inlineStr">
        <is>
          <t>Site-level measured PUE matched to attributed AI capacity.</t>
        </is>
      </c>
    </row>
    <row r="512">
      <c r="A512" s="3" t="inlineStr">
        <is>
          <t>OpenAI</t>
        </is>
      </c>
      <c r="B512" s="3" t="n">
        <v>2028</v>
      </c>
      <c r="C512" s="3" t="inlineStr">
        <is>
          <t>Bear</t>
        </is>
      </c>
      <c r="D512" s="3" t="inlineStr">
        <is>
          <t>it_load_gw</t>
        </is>
      </c>
      <c r="E512" s="3" t="n">
        <v>3.547</v>
      </c>
      <c r="F512" s="3" t="inlineStr">
        <is>
          <t>GW</t>
        </is>
      </c>
      <c r="G512" s="3" t="inlineStr">
        <is>
          <t>Derived formula</t>
        </is>
      </c>
      <c r="H512" s="3" t="inlineStr">
        <is>
          <t>active_power_gw / pue</t>
        </is>
      </c>
      <c r="I512" s="3" t="inlineStr">
        <is>
          <t>Facility power is converted to IT-deliverable power before attributing AI workloads.</t>
        </is>
      </c>
      <c r="J512" s="3" t="inlineStr">
        <is>
          <t>SRC_OPENAI_STARGATE_ORACLE; SRC_OPENAI_STARGATE_PROGRESS; ASSUMP_STARGATE_RAMP</t>
        </is>
      </c>
      <c r="K512" s="3" t="inlineStr">
        <is>
          <t>ASSUMP_STARGATE_RAMP; ASSUMP_MS_OPENAI_ATTRIBUTION; ASSUMP_NUMERIC_ACCELERATOR_MIX; ASSUMP_INFERENCE_SHARE_NOT_FACT_60; ASSUMP_WORKLOAD_CLASS_MIX; ASSUMP_AGENTIC_CONTEXT_PENALTY</t>
        </is>
      </c>
      <c r="L512" s="3" t="inlineStr">
        <is>
          <t>Recompute once active power and PUE become site-observable.</t>
        </is>
      </c>
    </row>
    <row r="513">
      <c r="A513" s="3" t="inlineStr">
        <is>
          <t>OpenAI</t>
        </is>
      </c>
      <c r="B513" s="3" t="n">
        <v>2028</v>
      </c>
      <c r="C513" s="3" t="inlineStr">
        <is>
          <t>Bear</t>
        </is>
      </c>
      <c r="D513" s="3" t="inlineStr">
        <is>
          <t>ai_workload_share</t>
        </is>
      </c>
      <c r="E513" s="3" t="n">
        <v>0.88</v>
      </c>
      <c r="F513" s="3" t="inlineStr">
        <is>
          <t>share</t>
        </is>
      </c>
      <c r="G513" s="3" t="inlineStr">
        <is>
          <t>Scenario allocation</t>
        </is>
      </c>
      <c r="H513" s="3" t="inlineStr">
        <is>
          <t>ai_it_load_gw = it_load_gw * ai_workload_share</t>
        </is>
      </c>
      <c r="I513" s="3" t="inlineStr">
        <is>
          <t>Stargate capacity is AI-oriented but includes reserve, platform and non-token AI activity; 88% is a scenario.</t>
        </is>
      </c>
      <c r="J513" s="3" t="inlineStr">
        <is>
          <t>SRC_OPENAI_GPT41_DOCS; SRC_OPENAI_STARGATE_ORACLE; SRC_OPENAI_STARGATE_PROGRESS; SRC_EPOCH_AI_DATA_CENTERS</t>
        </is>
      </c>
      <c r="K513" s="3" t="inlineStr">
        <is>
          <t>ASSUMP_STARGATE_RAMP; ASSUMP_MS_OPENAI_ATTRIBUTION; ASSUMP_NUMERIC_ACCELERATOR_MIX; ASSUMP_INFERENCE_SHARE_NOT_FACT_60; ASSUMP_WORKLOAD_CLASS_MIX; ASSUMP_AGENTIC_CONTEXT_PENALTY</t>
        </is>
      </c>
      <c r="L513" s="3" t="inlineStr">
        <is>
          <t>Model-owner AI workload allocation or cluster scheduling telemetry.</t>
        </is>
      </c>
    </row>
    <row r="514">
      <c r="A514" s="3" t="inlineStr">
        <is>
          <t>OpenAI</t>
        </is>
      </c>
      <c r="B514" s="3" t="n">
        <v>2028</v>
      </c>
      <c r="C514" s="3" t="inlineStr">
        <is>
          <t>Bear</t>
        </is>
      </c>
      <c r="D514" s="3" t="inlineStr">
        <is>
          <t>ai_it_load_gw</t>
        </is>
      </c>
      <c r="E514" s="3" t="n">
        <v>3.122</v>
      </c>
      <c r="F514" s="3" t="inlineStr">
        <is>
          <t>GW</t>
        </is>
      </c>
      <c r="G514" s="3" t="inlineStr">
        <is>
          <t>Derived formula</t>
        </is>
      </c>
      <c r="H514" s="3" t="inlineStr">
        <is>
          <t>it_load_gw * ai_workload_share</t>
        </is>
      </c>
      <c r="I514" s="3" t="inlineStr">
        <is>
          <t>Only the AI-attributed portion of IT load enters training/inference allocation.</t>
        </is>
      </c>
      <c r="J514" s="3" t="inlineStr">
        <is>
          <t>SRC_OPENAI_GPT41_DOCS; SRC_OPENAI_STARGATE_ORACLE; SRC_OPENAI_STARGATE_PROGRESS; SRC_EPOCH_AI_DATA_CENTERS</t>
        </is>
      </c>
      <c r="K514" s="3" t="inlineStr">
        <is>
          <t>ASSUMP_STARGATE_RAMP; ASSUMP_MS_OPENAI_ATTRIBUTION; ASSUMP_NUMERIC_ACCELERATOR_MIX; ASSUMP_INFERENCE_SHARE_NOT_FACT_60; ASSUMP_WORKLOAD_CLASS_MIX; ASSUMP_AGENTIC_CONTEXT_PENALTY</t>
        </is>
      </c>
      <c r="L514" s="3" t="inlineStr">
        <is>
          <t>Recompute after ai_workload_share is replaced by telemetry.</t>
        </is>
      </c>
    </row>
    <row r="515">
      <c r="A515" s="3" t="inlineStr">
        <is>
          <t>OpenAI</t>
        </is>
      </c>
      <c r="B515" s="3" t="n">
        <v>2028</v>
      </c>
      <c r="C515" s="3" t="inlineStr">
        <is>
          <t>Bear</t>
        </is>
      </c>
      <c r="D515" s="3" t="inlineStr">
        <is>
          <t>gpu_share</t>
        </is>
      </c>
      <c r="E515" s="3" t="n">
        <v>0.794485</v>
      </c>
      <c r="F515" s="3" t="inlineStr">
        <is>
          <t>share of inference-serving accelerator load</t>
        </is>
      </c>
      <c r="G515" s="3" t="inlineStr">
        <is>
          <t>Numeric scenario</t>
        </is>
      </c>
      <c r="H515" s="3" t="inlineStr">
        <is>
          <t>gpu_share interpolated from company 2026/2030 accelerator-mix endpoints</t>
        </is>
      </c>
      <c r="I515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515" s="3" t="inlineStr">
        <is>
          <t>SRC_OPENAI_GPT41_DOCS; SRC_OPENAI_STARGATE_ORACLE; SRC_OPENAI_STARGATE_PROGRESS; SRC_EPOCH_AI_DATA_CENTERS; ASSUMP_NUMERIC_ACCELERATOR_MIX</t>
        </is>
      </c>
      <c r="K515" s="3" t="inlineStr">
        <is>
          <t>ASSUMP_STARGATE_RAMP; ASSUMP_MS_OPENAI_ATTRIBUTION; ASSUMP_NUMERIC_ACCELERATOR_MIX; ASSUMP_INFERENCE_SHARE_NOT_FACT_60; ASSUMP_WORKLOAD_CLASS_MIX; ASSUMP_AGENTIC_CONTEXT_PENALTY</t>
        </is>
      </c>
      <c r="L515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516">
      <c r="A516" s="3" t="inlineStr">
        <is>
          <t>OpenAI</t>
        </is>
      </c>
      <c r="B516" s="3" t="n">
        <v>2028</v>
      </c>
      <c r="C516" s="3" t="inlineStr">
        <is>
          <t>Bear</t>
        </is>
      </c>
      <c r="D516" s="3" t="inlineStr">
        <is>
          <t>h200_share</t>
        </is>
      </c>
      <c r="E516" s="3" t="n">
        <v>0.153136</v>
      </c>
      <c r="F516" s="3" t="inlineStr">
        <is>
          <t>share of inference-serving accelerator load</t>
        </is>
      </c>
      <c r="G516" s="3" t="inlineStr">
        <is>
          <t>Editable numeric scenario</t>
        </is>
      </c>
      <c r="H516" s="3" t="inlineStr">
        <is>
          <t>h200_share = gpu_share * default_gpu_generation_mix_h200</t>
        </is>
      </c>
      <c r="I516" s="3" t="inlineStr">
        <is>
          <t>Default GPU-generation migration assumption; executive workbook allows later manual replacement by company/year/scenario.</t>
        </is>
      </c>
      <c r="J516" s="3" t="inlineStr">
        <is>
          <t>SRC_SEMIANALYSIS_INFERENCEX; ASSUMP_NUMERIC_ACCELERATOR_MIX</t>
        </is>
      </c>
      <c r="K516" s="3" t="inlineStr">
        <is>
          <t>ASSUMP_STARGATE_RAMP; ASSUMP_MS_OPENAI_ATTRIBUTION; ASSUMP_NUMERIC_ACCELERATOR_MIX; ASSUMP_INFERENCE_SHARE_NOT_FACT_60; ASSUMP_WORKLOAD_CLASS_MIX; ASSUMP_AGENTIC_CONTEXT_PENALTY</t>
        </is>
      </c>
      <c r="L516" s="3" t="inlineStr">
        <is>
          <t>Company fleet inventory, accelerator-hours or procurement/deployment records by GPU generation.</t>
        </is>
      </c>
    </row>
    <row r="517">
      <c r="A517" s="3" t="inlineStr">
        <is>
          <t>OpenAI</t>
        </is>
      </c>
      <c r="B517" s="3" t="n">
        <v>2028</v>
      </c>
      <c r="C517" s="3" t="inlineStr">
        <is>
          <t>Bear</t>
        </is>
      </c>
      <c r="D517" s="3" t="inlineStr">
        <is>
          <t>b200_share</t>
        </is>
      </c>
      <c r="E517" s="3" t="n">
        <v>0.5173219999999999</v>
      </c>
      <c r="F517" s="3" t="inlineStr">
        <is>
          <t>share of inference-serving accelerator load</t>
        </is>
      </c>
      <c r="G517" s="3" t="inlineStr">
        <is>
          <t>Editable numeric scenario</t>
        </is>
      </c>
      <c r="H517" s="3" t="inlineStr">
        <is>
          <t>b200_share = gpu_share * default_gpu_generation_mix_b200</t>
        </is>
      </c>
      <c r="I517" s="3" t="inlineStr">
        <is>
          <t>Default GPU-generation migration assumption; executive workbook allows later manual replacement by company/year/scenario.</t>
        </is>
      </c>
      <c r="J517" s="3" t="inlineStr">
        <is>
          <t>SRC_SEMIANALYSIS_INFERENCEX; ASSUMP_NUMERIC_ACCELERATOR_MIX</t>
        </is>
      </c>
      <c r="K517" s="3" t="inlineStr">
        <is>
          <t>ASSUMP_STARGATE_RAMP; ASSUMP_MS_OPENAI_ATTRIBUTION; ASSUMP_NUMERIC_ACCELERATOR_MIX; ASSUMP_INFERENCE_SHARE_NOT_FACT_60; ASSUMP_WORKLOAD_CLASS_MIX; ASSUMP_AGENTIC_CONTEXT_PENALTY</t>
        </is>
      </c>
      <c r="L517" s="3" t="inlineStr">
        <is>
          <t>Company fleet inventory, accelerator-hours or procurement/deployment records by GPU generation.</t>
        </is>
      </c>
    </row>
    <row r="518">
      <c r="A518" s="3" t="inlineStr">
        <is>
          <t>OpenAI</t>
        </is>
      </c>
      <c r="B518" s="3" t="n">
        <v>2028</v>
      </c>
      <c r="C518" s="3" t="inlineStr">
        <is>
          <t>Bear</t>
        </is>
      </c>
      <c r="D518" s="3" t="inlineStr">
        <is>
          <t>gb200_share</t>
        </is>
      </c>
      <c r="E518" s="3" t="n">
        <v>0.124026</v>
      </c>
      <c r="F518" s="3" t="inlineStr">
        <is>
          <t>share of inference-serving accelerator load</t>
        </is>
      </c>
      <c r="G518" s="3" t="inlineStr">
        <is>
          <t>Editable numeric scenario</t>
        </is>
      </c>
      <c r="H518" s="3" t="inlineStr">
        <is>
          <t>gb200_share = gpu_share * default_gpu_generation_mix_gb200</t>
        </is>
      </c>
      <c r="I518" s="3" t="inlineStr">
        <is>
          <t>Default GPU-generation migration assumption; executive workbook allows later manual replacement by company/year/scenario.</t>
        </is>
      </c>
      <c r="J518" s="3" t="inlineStr">
        <is>
          <t>SRC_SEMIANALYSIS_INFERENCEX; ASSUMP_NUMERIC_ACCELERATOR_MIX</t>
        </is>
      </c>
      <c r="K518" s="3" t="inlineStr">
        <is>
          <t>ASSUMP_STARGATE_RAMP; ASSUMP_MS_OPENAI_ATTRIBUTION; ASSUMP_NUMERIC_ACCELERATOR_MIX; ASSUMP_INFERENCE_SHARE_NOT_FACT_60; ASSUMP_WORKLOAD_CLASS_MIX; ASSUMP_AGENTIC_CONTEXT_PENALTY</t>
        </is>
      </c>
      <c r="L518" s="3" t="inlineStr">
        <is>
          <t>Company fleet inventory, accelerator-hours or procurement/deployment records by GPU generation.</t>
        </is>
      </c>
    </row>
    <row r="519">
      <c r="A519" s="3" t="inlineStr">
        <is>
          <t>OpenAI</t>
        </is>
      </c>
      <c r="B519" s="3" t="n">
        <v>2028</v>
      </c>
      <c r="C519" s="3" t="inlineStr">
        <is>
          <t>Bear</t>
        </is>
      </c>
      <c r="D519" s="3" t="inlineStr">
        <is>
          <t>purpose_built_accelerator_share</t>
        </is>
      </c>
      <c r="E519" s="3" t="n">
        <v>0.205515</v>
      </c>
      <c r="F519" s="3" t="inlineStr">
        <is>
          <t>share of inference-serving accelerator load</t>
        </is>
      </c>
      <c r="G519" s="3" t="inlineStr">
        <is>
          <t>Numeric scenario</t>
        </is>
      </c>
      <c r="H519" s="3" t="inlineStr">
        <is>
          <t>1 - gpu_share</t>
        </is>
      </c>
      <c r="I519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519" s="3" t="inlineStr">
        <is>
          <t>SRC_OPENAI_GPT41_DOCS; SRC_OPENAI_STARGATE_ORACLE; SRC_OPENAI_STARGATE_PROGRESS; SRC_EPOCH_AI_DATA_CENTERS; ASSUMP_NUMERIC_ACCELERATOR_MIX</t>
        </is>
      </c>
      <c r="K519" s="3" t="inlineStr">
        <is>
          <t>ASSUMP_STARGATE_RAMP; ASSUMP_MS_OPENAI_ATTRIBUTION; ASSUMP_NUMERIC_ACCELERATOR_MIX; ASSUMP_INFERENCE_SHARE_NOT_FACT_60; ASSUMP_WORKLOAD_CLASS_MIX; ASSUMP_AGENTIC_CONTEXT_PENALTY</t>
        </is>
      </c>
      <c r="L519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520">
      <c r="A520" s="3" t="inlineStr">
        <is>
          <t>OpenAI</t>
        </is>
      </c>
      <c r="B520" s="3" t="n">
        <v>2028</v>
      </c>
      <c r="C520" s="3" t="inlineStr">
        <is>
          <t>Bear</t>
        </is>
      </c>
      <c r="D520" s="3" t="inlineStr">
        <is>
          <t>fleet_reference_tps_per_mw</t>
        </is>
      </c>
      <c r="E520" s="3" t="n">
        <v>283113</v>
      </c>
      <c r="F520" s="3" t="inlineStr">
        <is>
          <t>generated output tokens/sec/MW</t>
        </is>
      </c>
      <c r="G520" s="3" t="inlineStr">
        <is>
          <t>Fleet-weighted public benchmark reference</t>
        </is>
      </c>
      <c r="H520" s="3" t="inlineStr">
        <is>
          <t>h200_share*h200_workload_avg + b200_share*b200_workload_avg + gb200_share*gb200_workload_avg + purpose_built_share*purpose_workload_avg</t>
        </is>
      </c>
      <c r="I52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20" s="3" t="inlineStr">
        <is>
          <t>SRC_SEMIANALYSIS_INFERENCEX; ASSUMP_NUMERIC_ACCELERATOR_MIX; ASSUMP_WORKLOAD_CLASS_MIX; ASSUMP_AGENTIC_CONTEXT_PENALTY</t>
        </is>
      </c>
      <c r="K520" s="3" t="inlineStr">
        <is>
          <t>ASSUMP_STARGATE_RAMP; ASSUMP_MS_OPENAI_ATTRIBUTION; ASSUMP_NUMERIC_ACCELERATOR_MIX; ASSUMP_INFERENCE_SHARE_NOT_FACT_60; ASSUMP_WORKLOAD_CLASS_MIX; ASSUMP_AGENTIC_CONTEXT_PENALTY</t>
        </is>
      </c>
      <c r="L520" s="3" t="inlineStr">
        <is>
          <t>Comparable production output-token throughput or a more closely matched benchmark.</t>
        </is>
      </c>
    </row>
    <row r="521">
      <c r="A521" s="3" t="inlineStr">
        <is>
          <t>OpenAI</t>
        </is>
      </c>
      <c r="B521" s="3" t="n">
        <v>2028</v>
      </c>
      <c r="C521" s="3" t="inlineStr">
        <is>
          <t>Bear</t>
        </is>
      </c>
      <c r="D521" s="3" t="inlineStr">
        <is>
          <t>commercial_workload_fit_factor</t>
        </is>
      </c>
      <c r="E521" s="3" t="n">
        <v>0.3</v>
      </c>
      <c r="F521" s="3" t="inlineStr">
        <is>
          <t>share of public reference throughput</t>
        </is>
      </c>
      <c r="G521" s="3" t="inlineStr">
        <is>
          <t>Scenario assumption</t>
        </is>
      </c>
      <c r="H521" s="3" t="inlineStr">
        <is>
          <t>reference_serving_tps_per_mw = fleet_reference_tps_per_mw * commercial_workload_fit_factor</t>
        </is>
      </c>
      <c r="I52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21" s="3" t="inlineStr">
        <is>
          <t>SRC_SEMIANALYSIS_INFERENCEX; ASSUMP_NUMERIC_ACCELERATOR_MIX; ASSUMP_WORKLOAD_CLASS_MIX; ASSUMP_AGENTIC_CONTEXT_PENALTY</t>
        </is>
      </c>
      <c r="K521" s="3" t="inlineStr">
        <is>
          <t>ASSUMP_STARGATE_RAMP; ASSUMP_MS_OPENAI_ATTRIBUTION; ASSUMP_NUMERIC_ACCELERATOR_MIX; ASSUMP_INFERENCE_SHARE_NOT_FACT_60; ASSUMP_WORKLOAD_CLASS_MIX; ASSUMP_AGENTIC_CONTEXT_PENALTY</t>
        </is>
      </c>
      <c r="L521" s="3" t="inlineStr">
        <is>
          <t>Matched commercial serving benchmark by product surface, context shape and latency SLO.</t>
        </is>
      </c>
    </row>
    <row r="522">
      <c r="A522" s="3" t="inlineStr">
        <is>
          <t>OpenAI</t>
        </is>
      </c>
      <c r="B522" s="3" t="n">
        <v>2028</v>
      </c>
      <c r="C522" s="3" t="inlineStr">
        <is>
          <t>Bear</t>
        </is>
      </c>
      <c r="D522" s="3" t="inlineStr">
        <is>
          <t>reference_serving_tps_per_mw</t>
        </is>
      </c>
      <c r="E522" s="3" t="n">
        <v>84934</v>
      </c>
      <c r="F522" s="3" t="inlineStr">
        <is>
          <t>generated output tokens/sec/MW</t>
        </is>
      </c>
      <c r="G522" s="3" t="inlineStr">
        <is>
          <t>Workload-adjusted benchmark proxy</t>
        </is>
      </c>
      <c r="H522" s="3" t="inlineStr">
        <is>
          <t>fleet_reference_tps_per_mw * commercial_workload_fit_factor</t>
        </is>
      </c>
      <c r="I522" s="3" t="inlineStr">
        <is>
          <t>This is the coefficient used for headline token generation; each GPU's short chat, long chat and agentic TPS/MW are weighted before fleet mix and commercial fit are applied.</t>
        </is>
      </c>
      <c r="J522" s="3" t="inlineStr">
        <is>
          <t>SRC_SEMIANALYSIS_INFERENCEX; ASSUMP_NUMERIC_ACCELERATOR_MIX; ASSUMP_WORKLOAD_CLASS_MIX; ASSUMP_AGENTIC_CONTEXT_PENALTY</t>
        </is>
      </c>
      <c r="K522" s="3" t="inlineStr">
        <is>
          <t>ASSUMP_STARGATE_RAMP; ASSUMP_MS_OPENAI_ATTRIBUTION; ASSUMP_NUMERIC_ACCELERATOR_MIX; ASSUMP_INFERENCE_SHARE_NOT_FACT_60; ASSUMP_WORKLOAD_CLASS_MIX; ASSUMP_AGENTIC_CONTEXT_PENALTY</t>
        </is>
      </c>
      <c r="L522" s="3" t="inlineStr">
        <is>
          <t>Provider production output-token throughput with comparable workload/SLO.</t>
        </is>
      </c>
    </row>
    <row r="523">
      <c r="A523" s="3" t="inlineStr">
        <is>
          <t>OpenAI</t>
        </is>
      </c>
      <c r="B523" s="3" t="n">
        <v>2028</v>
      </c>
      <c r="C523" s="3" t="inlineStr">
        <is>
          <t>Bear</t>
        </is>
      </c>
      <c r="D523" s="3" t="inlineStr">
        <is>
          <t>purpose_built_tps_per_mw</t>
        </is>
      </c>
      <c r="E523" s="3" t="n">
        <v>40592</v>
      </c>
      <c r="F523" s="3" t="inlineStr">
        <is>
          <t>generated output tokens/sec/MW</t>
        </is>
      </c>
      <c r="G523" s="3" t="inlineStr">
        <is>
          <t>Conservative no-uplift proxy</t>
        </is>
      </c>
      <c r="H523" s="3" t="inlineStr">
        <is>
          <t>purpose_built_tps_per_mw = purpose_built_reference_tps_per_mw * commercial_workload_fit_factor until comparable output-token benchmark is adopted</t>
        </is>
      </c>
      <c r="I523" s="3" t="inlineStr">
        <is>
          <t>No comparable public output-token/MW row adopted; B200 public reference placeholder is used and remains editable.</t>
        </is>
      </c>
      <c r="J523" s="3" t="inlineStr">
        <is>
          <t>SRC_OPENAI_GPT41_DOCS; SRC_OPENAI_STARGATE_ORACLE; SRC_OPENAI_STARGATE_PROGRESS; SRC_EPOCH_AI_DATA_CENTERS; ASSUMP_NUMERIC_ACCELERATOR_MIX</t>
        </is>
      </c>
      <c r="K523" s="3" t="inlineStr">
        <is>
          <t>ASSUMP_STARGATE_RAMP; ASSUMP_MS_OPENAI_ATTRIBUTION; ASSUMP_NUMERIC_ACCELERATOR_MIX; ASSUMP_INFERENCE_SHARE_NOT_FACT_60; ASSUMP_WORKLOAD_CLASS_MIX; ASSUMP_AGENTIC_CONTEXT_PENALTY</t>
        </is>
      </c>
      <c r="L523" s="3" t="inlineStr">
        <is>
          <t>Matched-workload generated-output benchmark for the provider purpose-built accelerator.</t>
        </is>
      </c>
    </row>
    <row r="524">
      <c r="A524" s="3" t="inlineStr">
        <is>
          <t>OpenAI</t>
        </is>
      </c>
      <c r="B524" s="3" t="n">
        <v>2028</v>
      </c>
      <c r="C524" s="3" t="inlineStr">
        <is>
          <t>Bear</t>
        </is>
      </c>
      <c r="D524" s="3" t="inlineStr">
        <is>
          <t>inference_power_share</t>
        </is>
      </c>
      <c r="E524" s="3" t="n">
        <v>0.59</v>
      </c>
      <c r="F524" s="3" t="inlineStr">
        <is>
          <t>share of AI IT load</t>
        </is>
      </c>
      <c r="G524" s="3" t="inlineStr">
        <is>
          <t>Scenario allocation</t>
        </is>
      </c>
      <c r="H524" s="3" t="inlineStr">
        <is>
          <t>inference_gw = ai_it_load_gw * inference_power_share</t>
        </is>
      </c>
      <c r="I524" s="3" t="inlineStr">
        <is>
          <t>ChatGPT/API/enterprise commercial surfaces support increasing inference allocation while training remains material.</t>
        </is>
      </c>
      <c r="J524" s="3" t="inlineStr">
        <is>
          <t>SRC_OPENAI_GPT41_DOCS; SRC_OPENAI_STARGATE_ORACLE; SRC_OPENAI_STARGATE_PROGRESS; SRC_EPOCH_AI_DATA_CENTERS; ASSUMP_INFERENCE_SHARE_NOT_FACT_60</t>
        </is>
      </c>
      <c r="K524" s="3" t="inlineStr">
        <is>
          <t>ASSUMP_STARGATE_RAMP; ASSUMP_MS_OPENAI_ATTRIBUTION; ASSUMP_NUMERIC_ACCELERATOR_MIX; ASSUMP_INFERENCE_SHARE_NOT_FACT_60; ASSUMP_WORKLOAD_CLASS_MIX; ASSUMP_AGENTIC_CONTEXT_PENALTY</t>
        </is>
      </c>
      <c r="L524" s="3" t="inlineStr">
        <is>
          <t>Provider-specific inference/training workload power telemetry.</t>
        </is>
      </c>
    </row>
    <row r="525">
      <c r="A525" s="3" t="inlineStr">
        <is>
          <t>OpenAI</t>
        </is>
      </c>
      <c r="B525" s="3" t="n">
        <v>2028</v>
      </c>
      <c r="C525" s="3" t="inlineStr">
        <is>
          <t>Bear</t>
        </is>
      </c>
      <c r="D525" s="3" t="inlineStr">
        <is>
          <t>inference_gw</t>
        </is>
      </c>
      <c r="E525" s="3" t="n">
        <v>1.842</v>
      </c>
      <c r="F525" s="3" t="inlineStr">
        <is>
          <t>GW</t>
        </is>
      </c>
      <c r="G525" s="3" t="inlineStr">
        <is>
          <t>Derived formula</t>
        </is>
      </c>
      <c r="H525" s="3" t="inlineStr">
        <is>
          <t>ai_it_load_gw * inference_power_share</t>
        </is>
      </c>
      <c r="I525" s="3" t="inlineStr">
        <is>
          <t>This is the operational power eligible to become commercial generated output tokens through the selected TPS/MW proxy.</t>
        </is>
      </c>
      <c r="J525" s="3" t="inlineStr">
        <is>
          <t>SRC_OPENAI_GPT41_DOCS; SRC_OPENAI_STARGATE_ORACLE; SRC_OPENAI_STARGATE_PROGRESS; SRC_EPOCH_AI_DATA_CENTERS</t>
        </is>
      </c>
      <c r="K525" s="3" t="inlineStr">
        <is>
          <t>ASSUMP_STARGATE_RAMP; ASSUMP_MS_OPENAI_ATTRIBUTION; ASSUMP_NUMERIC_ACCELERATOR_MIX; ASSUMP_INFERENCE_SHARE_NOT_FACT_60; ASSUMP_WORKLOAD_CLASS_MIX; ASSUMP_AGENTIC_CONTEXT_PENALTY</t>
        </is>
      </c>
      <c r="L525" s="3" t="inlineStr">
        <is>
          <t>Recompute after AI allocation or inference-share evidence changes.</t>
        </is>
      </c>
    </row>
    <row r="526">
      <c r="A526" s="3" t="inlineStr">
        <is>
          <t>OpenAI</t>
        </is>
      </c>
      <c r="B526" s="3" t="n">
        <v>2028</v>
      </c>
      <c r="C526" s="3" t="inlineStr">
        <is>
          <t>Bear</t>
        </is>
      </c>
      <c r="D526" s="3" t="inlineStr">
        <is>
          <t>training_power_share</t>
        </is>
      </c>
      <c r="E526" s="3" t="n">
        <v>0.41</v>
      </c>
      <c r="F526" s="3" t="inlineStr">
        <is>
          <t>share of AI IT load</t>
        </is>
      </c>
      <c r="G526" s="3" t="inlineStr">
        <is>
          <t>Derived allocation</t>
        </is>
      </c>
      <c r="H526" s="3" t="inlineStr">
        <is>
          <t>1 - inference_power_share</t>
        </is>
      </c>
      <c r="I526" s="3" t="inlineStr">
        <is>
          <t>Training receives the complementary modeled AI IT allocation; it is not a disclosed company workload split.</t>
        </is>
      </c>
      <c r="J526" s="3" t="inlineStr">
        <is>
          <t>SRC_OPENAI_GPT41_DOCS; SRC_OPENAI_STARGATE_ORACLE; SRC_OPENAI_STARGATE_PROGRESS; SRC_EPOCH_AI_DATA_CENTERS; ASSUMP_INFERENCE_SHARE_NOT_FACT_60</t>
        </is>
      </c>
      <c r="K526" s="3" t="inlineStr">
        <is>
          <t>ASSUMP_STARGATE_RAMP; ASSUMP_MS_OPENAI_ATTRIBUTION; ASSUMP_NUMERIC_ACCELERATOR_MIX; ASSUMP_INFERENCE_SHARE_NOT_FACT_60; ASSUMP_WORKLOAD_CLASS_MIX; ASSUMP_AGENTIC_CONTEXT_PENALTY</t>
        </is>
      </c>
      <c r="L526" s="3" t="inlineStr">
        <is>
          <t>Provider-specific inference/training workload power telemetry.</t>
        </is>
      </c>
    </row>
    <row r="527">
      <c r="A527" s="3" t="inlineStr">
        <is>
          <t>OpenAI</t>
        </is>
      </c>
      <c r="B527" s="3" t="n">
        <v>2028</v>
      </c>
      <c r="C527" s="3" t="inlineStr">
        <is>
          <t>Bear</t>
        </is>
      </c>
      <c r="D527" s="3" t="inlineStr">
        <is>
          <t>training_gw</t>
        </is>
      </c>
      <c r="E527" s="3" t="n">
        <v>1.28</v>
      </c>
      <c r="F527" s="3" t="inlineStr">
        <is>
          <t>GW</t>
        </is>
      </c>
      <c r="G527" s="3" t="inlineStr">
        <is>
          <t>Derived formula</t>
        </is>
      </c>
      <c r="H527" s="3" t="inlineStr">
        <is>
          <t>ai_it_load_gw * training_power_share</t>
        </is>
      </c>
      <c r="I527" s="3" t="inlineStr">
        <is>
          <t>Training GW is shown separately so commercial inference token capacity is not overstated.</t>
        </is>
      </c>
      <c r="J527" s="3" t="inlineStr">
        <is>
          <t>SRC_OPENAI_GPT41_DOCS; SRC_OPENAI_STARGATE_ORACLE; SRC_OPENAI_STARGATE_PROGRESS; SRC_EPOCH_AI_DATA_CENTERS</t>
        </is>
      </c>
      <c r="K527" s="3" t="inlineStr">
        <is>
          <t>ASSUMP_STARGATE_RAMP; ASSUMP_MS_OPENAI_ATTRIBUTION; ASSUMP_NUMERIC_ACCELERATOR_MIX; ASSUMP_INFERENCE_SHARE_NOT_FACT_60; ASSUMP_WORKLOAD_CLASS_MIX; ASSUMP_AGENTIC_CONTEXT_PENALTY</t>
        </is>
      </c>
      <c r="L527" s="3" t="inlineStr">
        <is>
          <t>Recompute after AI allocation or workload-split evidence changes.</t>
        </is>
      </c>
    </row>
    <row r="528">
      <c r="A528" s="3" t="inlineStr">
        <is>
          <t>OpenAI</t>
        </is>
      </c>
      <c r="B528" s="3" t="n">
        <v>2028</v>
      </c>
      <c r="C528" s="3" t="inlineStr">
        <is>
          <t>Bear</t>
        </is>
      </c>
      <c r="D528" s="3" t="inlineStr">
        <is>
          <t>tokens_per_second_per_mw</t>
        </is>
      </c>
      <c r="E528" s="3" t="n">
        <v>84934</v>
      </c>
      <c r="F528" s="3" t="inlineStr">
        <is>
          <t>generated output tokens/sec/MW</t>
        </is>
      </c>
      <c r="G528" s="3" t="inlineStr">
        <is>
          <t>Derived estimate + benchmark calibration</t>
        </is>
      </c>
      <c r="H528" s="3" t="inlineStr">
        <is>
          <t>fleet_reference_tps_per_mw * commercial_workload_fit_factor</t>
        </is>
      </c>
      <c r="I52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28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28" s="3" t="inlineStr">
        <is>
          <t>ASSUMP_STARGATE_RAMP; ASSUMP_MS_OPENAI_ATTRIBUTION; ASSUMP_NUMERIC_ACCELERATOR_MIX; ASSUMP_INFERENCE_SHARE_NOT_FACT_60; ASSUMP_WORKLOAD_CLASS_MIX; ASSUMP_AGENTIC_CONTEXT_PENALTY</t>
        </is>
      </c>
      <c r="L528" s="3" t="inlineStr">
        <is>
          <t>Comparable production output-token throughput with model, hardware, precision, ISL/OSL and SLO matched.</t>
        </is>
      </c>
    </row>
    <row r="529">
      <c r="A529" s="3" t="inlineStr">
        <is>
          <t>OpenAI</t>
        </is>
      </c>
      <c r="B529" s="3" t="n">
        <v>2028</v>
      </c>
      <c r="C529" s="3" t="inlineStr">
        <is>
          <t>Bear</t>
        </is>
      </c>
      <c r="D529" s="3" t="inlineStr">
        <is>
          <t>inference_tokens_per_day</t>
        </is>
      </c>
      <c r="E529" s="3" t="n">
        <v>13517144179200</v>
      </c>
      <c r="F529" s="3" t="inlineStr">
        <is>
          <t>generated output tokens/day</t>
        </is>
      </c>
      <c r="G529" s="3" t="inlineStr">
        <is>
          <t>Derived headline metric</t>
        </is>
      </c>
      <c r="H529" s="3" t="inlineStr">
        <is>
          <t>inference_gw * 1000 * tokens_per_second_per_mw * 86,400</t>
        </is>
      </c>
      <c r="I529" s="3" t="inlineStr">
        <is>
          <t>Headline capacity uses no utilization, MoE, architecture or software-growth multiplier; it is not observed commercial output volume.</t>
        </is>
      </c>
      <c r="J529" s="3" t="inlineStr">
        <is>
          <t>SRC_OPENAI_GPT41_DOCS; SRC_OPENAI_STARGATE_ORACLE; SRC_OPENAI_STARGATE_PROGRESS; SRC_EPOCH_AI_DATA_CENTERS; SRC_SEMIANALYSIS_INFERENCEX</t>
        </is>
      </c>
      <c r="K529" s="3" t="inlineStr">
        <is>
          <t>ASSUMP_STARGATE_RAMP; ASSUMP_MS_OPENAI_ATTRIBUTION; ASSUMP_NUMERIC_ACCELERATOR_MIX; ASSUMP_INFERENCE_SHARE_NOT_FACT_60; ASSUMP_WORKLOAD_CLASS_MIX; ASSUMP_AGENTIC_CONTEXT_PENALTY</t>
        </is>
      </c>
      <c r="L529" s="3" t="inlineStr">
        <is>
          <t>Provider-disclosed generated output token volume or calibrated capacity telemetry.</t>
        </is>
      </c>
    </row>
    <row r="530">
      <c r="A530" s="3" t="inlineStr">
        <is>
          <t>OpenAI</t>
        </is>
      </c>
      <c r="B530" s="3" t="n">
        <v>2028</v>
      </c>
      <c r="C530" s="3" t="inlineStr">
        <is>
          <t>Bear</t>
        </is>
      </c>
      <c r="D530" s="3" t="inlineStr">
        <is>
          <t>inference_tokens_per_year</t>
        </is>
      </c>
      <c r="E530" s="3" t="n">
        <v>4933757625408000</v>
      </c>
      <c r="F530" s="3" t="inlineStr">
        <is>
          <t>generated output tokens/year</t>
        </is>
      </c>
      <c r="G530" s="3" t="inlineStr">
        <is>
          <t>Derived headline metric</t>
        </is>
      </c>
      <c r="H530" s="3" t="inlineStr">
        <is>
          <t>inference_tokens_per_day * 365</t>
        </is>
      </c>
      <c r="I530" s="3" t="inlineStr">
        <is>
          <t>Annualized version of generated output token capacity; it is not observed annual demand or billable volume.</t>
        </is>
      </c>
      <c r="J530" s="3" t="inlineStr">
        <is>
          <t>SRC_OPENAI_GPT41_DOCS; SRC_OPENAI_STARGATE_ORACLE; SRC_OPENAI_STARGATE_PROGRESS; SRC_EPOCH_AI_DATA_CENTERS; SRC_SEMIANALYSIS_INFERENCEX</t>
        </is>
      </c>
      <c r="K530" s="3" t="inlineStr">
        <is>
          <t>ASSUMP_STARGATE_RAMP; ASSUMP_MS_OPENAI_ATTRIBUTION; ASSUMP_NUMERIC_ACCELERATOR_MIX; ASSUMP_INFERENCE_SHARE_NOT_FACT_60; ASSUMP_WORKLOAD_CLASS_MIX; ASSUMP_AGENTIC_CONTEXT_PENALTY</t>
        </is>
      </c>
      <c r="L530" s="3" t="inlineStr">
        <is>
          <t>Provider-disclosed annual generated-output volume or metered serving telemetry.</t>
        </is>
      </c>
    </row>
    <row r="531">
      <c r="A531" s="3" t="inlineStr">
        <is>
          <t>OpenAI</t>
        </is>
      </c>
      <c r="B531" s="3" t="n">
        <v>2029</v>
      </c>
      <c r="C531" s="3" t="inlineStr">
        <is>
          <t>Bear</t>
        </is>
      </c>
      <c r="D531" s="3" t="inlineStr">
        <is>
          <t>contracted_power_gw</t>
        </is>
      </c>
      <c r="E531" s="3" t="n">
        <v>10.25</v>
      </c>
      <c r="F531" s="3" t="inlineStr">
        <is>
          <t>GW</t>
        </is>
      </c>
      <c r="G531" s="3" t="inlineStr">
        <is>
          <t>Fact anchor + scenario ceiling</t>
        </is>
      </c>
      <c r="H531" s="3" t="inlineStr">
        <is>
          <t>linear interpolation between 2026 and 2030 company capacity endpoints</t>
        </is>
      </c>
      <c r="I531" s="3" t="inlineStr">
        <is>
          <t>2030 envelope is bounded by official Stargate planned/committed capacity; 2026 and timing remain staged scenario values.</t>
        </is>
      </c>
      <c r="J531" s="3" t="inlineStr">
        <is>
          <t>SRC_OPENAI_STARGATE_ORACLE; SRC_OPENAI_STARGATE_PROGRESS; ASSUMP_STARGATE_RAMP</t>
        </is>
      </c>
      <c r="K531" s="3" t="inlineStr">
        <is>
          <t>ASSUMP_STARGATE_RAMP; ASSUMP_MS_OPENAI_ATTRIBUTION; ASSUMP_NUMERIC_ACCELERATOR_MIX; ASSUMP_INFERENCE_SHARE_NOT_FACT_60; ASSUMP_WORKLOAD_CLASS_MIX; ASSUMP_AGENTIC_CONTEXT_PENALTY</t>
        </is>
      </c>
      <c r="L531" s="3" t="inlineStr">
        <is>
          <t>Company/site-level committed MW/GW, interconnect and contract disclosure.</t>
        </is>
      </c>
    </row>
    <row r="532">
      <c r="A532" s="3" t="inlineStr">
        <is>
          <t>OpenAI</t>
        </is>
      </c>
      <c r="B532" s="3" t="n">
        <v>2029</v>
      </c>
      <c r="C532" s="3" t="inlineStr">
        <is>
          <t>Bear</t>
        </is>
      </c>
      <c r="D532" s="3" t="inlineStr">
        <is>
          <t>operational_deployment_share</t>
        </is>
      </c>
      <c r="E532" s="3" t="n">
        <v>0.55112195</v>
      </c>
      <c r="F532" s="3" t="inlineStr">
        <is>
          <t>share</t>
        </is>
      </c>
      <c r="G532" s="3" t="inlineStr">
        <is>
          <t>Scenario conversion</t>
        </is>
      </c>
      <c r="H532" s="3" t="inlineStr">
        <is>
          <t>active_power_gw / contracted_power_gw</t>
        </is>
      </c>
      <c r="I532" s="3" t="inlineStr">
        <is>
          <t>This is the single explicit conversion from contracted/attributed capacity to operationally usable capacity.</t>
        </is>
      </c>
      <c r="J532" s="3" t="inlineStr">
        <is>
          <t>SRC_OPENAI_STARGATE_ORACLE; SRC_OPENAI_STARGATE_PROGRESS; ASSUMP_STARGATE_RAMP</t>
        </is>
      </c>
      <c r="K532" s="3" t="inlineStr">
        <is>
          <t>ASSUMP_STARGATE_RAMP; ASSUMP_MS_OPENAI_ATTRIBUTION; ASSUMP_NUMERIC_ACCELERATOR_MIX; ASSUMP_INFERENCE_SHARE_NOT_FACT_60; ASSUMP_WORKLOAD_CLASS_MIX; ASSUMP_AGENTIC_CONTEXT_PENALTY</t>
        </is>
      </c>
      <c r="L532" s="3" t="inlineStr">
        <is>
          <t>Energized operational capacity divided by contracted/attributed capacity.</t>
        </is>
      </c>
    </row>
    <row r="533">
      <c r="A533" s="3" t="inlineStr">
        <is>
          <t>OpenAI</t>
        </is>
      </c>
      <c r="B533" s="3" t="n">
        <v>2029</v>
      </c>
      <c r="C533" s="3" t="inlineStr">
        <is>
          <t>Bear</t>
        </is>
      </c>
      <c r="D533" s="3" t="inlineStr">
        <is>
          <t>active_power_gw</t>
        </is>
      </c>
      <c r="E533" s="3" t="n">
        <v>5.649</v>
      </c>
      <c r="F533" s="3" t="inlineStr">
        <is>
          <t>GW</t>
        </is>
      </c>
      <c r="G533" s="3" t="inlineStr">
        <is>
          <t>Derived scenario</t>
        </is>
      </c>
      <c r="H533" s="3" t="inlineStr">
        <is>
          <t>contracted_power_gw * operational_deployment_share</t>
        </is>
      </c>
      <c r="I533" s="3" t="inlineStr">
        <is>
          <t>Official capacity announcements are converted to active GW only through energization/GPU-deployment ramp assumptions.</t>
        </is>
      </c>
      <c r="J533" s="3" t="inlineStr">
        <is>
          <t>SRC_OPENAI_STARGATE_ORACLE; SRC_OPENAI_STARGATE_PROGRESS; ASSUMP_STARGATE_RAMP</t>
        </is>
      </c>
      <c r="K533" s="3" t="inlineStr">
        <is>
          <t>ASSUMP_STARGATE_RAMP; ASSUMP_MS_OPENAI_ATTRIBUTION; ASSUMP_NUMERIC_ACCELERATOR_MIX; ASSUMP_INFERENCE_SHARE_NOT_FACT_60; ASSUMP_WORKLOAD_CLASS_MIX; ASSUMP_AGENTIC_CONTEXT_PENALTY</t>
        </is>
      </c>
      <c r="L533" s="3" t="inlineStr">
        <is>
          <t>Energization dates, accelerator deliveries and operational powered-rack telemetry.</t>
        </is>
      </c>
    </row>
    <row r="534">
      <c r="A534" s="3" t="inlineStr">
        <is>
          <t>OpenAI</t>
        </is>
      </c>
      <c r="B534" s="3" t="n">
        <v>2029</v>
      </c>
      <c r="C534" s="3" t="inlineStr">
        <is>
          <t>Bear</t>
        </is>
      </c>
      <c r="D534" s="3" t="inlineStr">
        <is>
          <t>pue</t>
        </is>
      </c>
      <c r="E534" s="3" t="n">
        <v>1.2</v>
      </c>
      <c r="F534" s="3" t="inlineStr">
        <is>
          <t>ratio</t>
        </is>
      </c>
      <c r="G534" s="3" t="inlineStr">
        <is>
          <t>Scenario parameter</t>
        </is>
      </c>
      <c r="H534" s="3" t="inlineStr">
        <is>
          <t>it_load_gw = active_power_gw / pue</t>
        </is>
      </c>
      <c r="I534" s="3" t="inlineStr">
        <is>
          <t>No provider-wide site-level PUE is used as a disclosed fact; PUE represents facility-to-IT conversion within the scenario.</t>
        </is>
      </c>
      <c r="J534" s="3" t="inlineStr">
        <is>
          <t>ASSUMP_POWER_RAMP</t>
        </is>
      </c>
      <c r="K534" s="3" t="inlineStr">
        <is>
          <t>ASSUMP_STARGATE_RAMP; ASSUMP_MS_OPENAI_ATTRIBUTION; ASSUMP_NUMERIC_ACCELERATOR_MIX; ASSUMP_INFERENCE_SHARE_NOT_FACT_60; ASSUMP_WORKLOAD_CLASS_MIX; ASSUMP_AGENTIC_CONTEXT_PENALTY</t>
        </is>
      </c>
      <c r="L534" s="3" t="inlineStr">
        <is>
          <t>Site-level measured PUE matched to attributed AI capacity.</t>
        </is>
      </c>
    </row>
    <row r="535">
      <c r="A535" s="3" t="inlineStr">
        <is>
          <t>OpenAI</t>
        </is>
      </c>
      <c r="B535" s="3" t="n">
        <v>2029</v>
      </c>
      <c r="C535" s="3" t="inlineStr">
        <is>
          <t>Bear</t>
        </is>
      </c>
      <c r="D535" s="3" t="inlineStr">
        <is>
          <t>it_load_gw</t>
        </is>
      </c>
      <c r="E535" s="3" t="n">
        <v>4.707</v>
      </c>
      <c r="F535" s="3" t="inlineStr">
        <is>
          <t>GW</t>
        </is>
      </c>
      <c r="G535" s="3" t="inlineStr">
        <is>
          <t>Derived formula</t>
        </is>
      </c>
      <c r="H535" s="3" t="inlineStr">
        <is>
          <t>active_power_gw / pue</t>
        </is>
      </c>
      <c r="I535" s="3" t="inlineStr">
        <is>
          <t>Facility power is converted to IT-deliverable power before attributing AI workloads.</t>
        </is>
      </c>
      <c r="J535" s="3" t="inlineStr">
        <is>
          <t>SRC_OPENAI_STARGATE_ORACLE; SRC_OPENAI_STARGATE_PROGRESS; ASSUMP_STARGATE_RAMP</t>
        </is>
      </c>
      <c r="K535" s="3" t="inlineStr">
        <is>
          <t>ASSUMP_STARGATE_RAMP; ASSUMP_MS_OPENAI_ATTRIBUTION; ASSUMP_NUMERIC_ACCELERATOR_MIX; ASSUMP_INFERENCE_SHARE_NOT_FACT_60; ASSUMP_WORKLOAD_CLASS_MIX; ASSUMP_AGENTIC_CONTEXT_PENALTY</t>
        </is>
      </c>
      <c r="L535" s="3" t="inlineStr">
        <is>
          <t>Recompute once active power and PUE become site-observable.</t>
        </is>
      </c>
    </row>
    <row r="536">
      <c r="A536" s="3" t="inlineStr">
        <is>
          <t>OpenAI</t>
        </is>
      </c>
      <c r="B536" s="3" t="n">
        <v>2029</v>
      </c>
      <c r="C536" s="3" t="inlineStr">
        <is>
          <t>Bear</t>
        </is>
      </c>
      <c r="D536" s="3" t="inlineStr">
        <is>
          <t>ai_workload_share</t>
        </is>
      </c>
      <c r="E536" s="3" t="n">
        <v>0.88</v>
      </c>
      <c r="F536" s="3" t="inlineStr">
        <is>
          <t>share</t>
        </is>
      </c>
      <c r="G536" s="3" t="inlineStr">
        <is>
          <t>Scenario allocation</t>
        </is>
      </c>
      <c r="H536" s="3" t="inlineStr">
        <is>
          <t>ai_it_load_gw = it_load_gw * ai_workload_share</t>
        </is>
      </c>
      <c r="I536" s="3" t="inlineStr">
        <is>
          <t>Stargate capacity is AI-oriented but includes reserve, platform and non-token AI activity; 88% is a scenario.</t>
        </is>
      </c>
      <c r="J536" s="3" t="inlineStr">
        <is>
          <t>SRC_OPENAI_GPT41_DOCS; SRC_OPENAI_STARGATE_ORACLE; SRC_OPENAI_STARGATE_PROGRESS; SRC_EPOCH_AI_DATA_CENTERS</t>
        </is>
      </c>
      <c r="K536" s="3" t="inlineStr">
        <is>
          <t>ASSUMP_STARGATE_RAMP; ASSUMP_MS_OPENAI_ATTRIBUTION; ASSUMP_NUMERIC_ACCELERATOR_MIX; ASSUMP_INFERENCE_SHARE_NOT_FACT_60; ASSUMP_WORKLOAD_CLASS_MIX; ASSUMP_AGENTIC_CONTEXT_PENALTY</t>
        </is>
      </c>
      <c r="L536" s="3" t="inlineStr">
        <is>
          <t>Model-owner AI workload allocation or cluster scheduling telemetry.</t>
        </is>
      </c>
    </row>
    <row r="537">
      <c r="A537" s="3" t="inlineStr">
        <is>
          <t>OpenAI</t>
        </is>
      </c>
      <c r="B537" s="3" t="n">
        <v>2029</v>
      </c>
      <c r="C537" s="3" t="inlineStr">
        <is>
          <t>Bear</t>
        </is>
      </c>
      <c r="D537" s="3" t="inlineStr">
        <is>
          <t>ai_it_load_gw</t>
        </is>
      </c>
      <c r="E537" s="3" t="n">
        <v>4.143</v>
      </c>
      <c r="F537" s="3" t="inlineStr">
        <is>
          <t>GW</t>
        </is>
      </c>
      <c r="G537" s="3" t="inlineStr">
        <is>
          <t>Derived formula</t>
        </is>
      </c>
      <c r="H537" s="3" t="inlineStr">
        <is>
          <t>it_load_gw * ai_workload_share</t>
        </is>
      </c>
      <c r="I537" s="3" t="inlineStr">
        <is>
          <t>Only the AI-attributed portion of IT load enters training/inference allocation.</t>
        </is>
      </c>
      <c r="J537" s="3" t="inlineStr">
        <is>
          <t>SRC_OPENAI_GPT41_DOCS; SRC_OPENAI_STARGATE_ORACLE; SRC_OPENAI_STARGATE_PROGRESS; SRC_EPOCH_AI_DATA_CENTERS</t>
        </is>
      </c>
      <c r="K537" s="3" t="inlineStr">
        <is>
          <t>ASSUMP_STARGATE_RAMP; ASSUMP_MS_OPENAI_ATTRIBUTION; ASSUMP_NUMERIC_ACCELERATOR_MIX; ASSUMP_INFERENCE_SHARE_NOT_FACT_60; ASSUMP_WORKLOAD_CLASS_MIX; ASSUMP_AGENTIC_CONTEXT_PENALTY</t>
        </is>
      </c>
      <c r="L537" s="3" t="inlineStr">
        <is>
          <t>Recompute after ai_workload_share is replaced by telemetry.</t>
        </is>
      </c>
    </row>
    <row r="538">
      <c r="A538" s="3" t="inlineStr">
        <is>
          <t>OpenAI</t>
        </is>
      </c>
      <c r="B538" s="3" t="n">
        <v>2029</v>
      </c>
      <c r="C538" s="3" t="inlineStr">
        <is>
          <t>Bear</t>
        </is>
      </c>
      <c r="D538" s="3" t="inlineStr">
        <is>
          <t>gpu_share</t>
        </is>
      </c>
      <c r="E538" s="3" t="n">
        <v>0.80198</v>
      </c>
      <c r="F538" s="3" t="inlineStr">
        <is>
          <t>share of inference-serving accelerator load</t>
        </is>
      </c>
      <c r="G538" s="3" t="inlineStr">
        <is>
          <t>Numeric scenario</t>
        </is>
      </c>
      <c r="H538" s="3" t="inlineStr">
        <is>
          <t>gpu_share interpolated from company 2026/2030 accelerator-mix endpoints</t>
        </is>
      </c>
      <c r="I538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538" s="3" t="inlineStr">
        <is>
          <t>SRC_OPENAI_GPT41_DOCS; SRC_OPENAI_STARGATE_ORACLE; SRC_OPENAI_STARGATE_PROGRESS; SRC_EPOCH_AI_DATA_CENTERS; ASSUMP_NUMERIC_ACCELERATOR_MIX</t>
        </is>
      </c>
      <c r="K538" s="3" t="inlineStr">
        <is>
          <t>ASSUMP_STARGATE_RAMP; ASSUMP_MS_OPENAI_ATTRIBUTION; ASSUMP_NUMERIC_ACCELERATOR_MIX; ASSUMP_INFERENCE_SHARE_NOT_FACT_60; ASSUMP_WORKLOAD_CLASS_MIX; ASSUMP_AGENTIC_CONTEXT_PENALTY</t>
        </is>
      </c>
      <c r="L538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539">
      <c r="A539" s="3" t="inlineStr">
        <is>
          <t>OpenAI</t>
        </is>
      </c>
      <c r="B539" s="3" t="n">
        <v>2029</v>
      </c>
      <c r="C539" s="3" t="inlineStr">
        <is>
          <t>Bear</t>
        </is>
      </c>
      <c r="D539" s="3" t="inlineStr">
        <is>
          <t>h200_share</t>
        </is>
      </c>
      <c r="E539" s="3" t="n">
        <v>0.102937</v>
      </c>
      <c r="F539" s="3" t="inlineStr">
        <is>
          <t>share of inference-serving accelerator load</t>
        </is>
      </c>
      <c r="G539" s="3" t="inlineStr">
        <is>
          <t>Editable numeric scenario</t>
        </is>
      </c>
      <c r="H539" s="3" t="inlineStr">
        <is>
          <t>h200_share = gpu_share * default_gpu_generation_mix_h200</t>
        </is>
      </c>
      <c r="I539" s="3" t="inlineStr">
        <is>
          <t>Default GPU-generation migration assumption; executive workbook allows later manual replacement by company/year/scenario.</t>
        </is>
      </c>
      <c r="J539" s="3" t="inlineStr">
        <is>
          <t>SRC_SEMIANALYSIS_INFERENCEX; ASSUMP_NUMERIC_ACCELERATOR_MIX</t>
        </is>
      </c>
      <c r="K539" s="3" t="inlineStr">
        <is>
          <t>ASSUMP_STARGATE_RAMP; ASSUMP_MS_OPENAI_ATTRIBUTION; ASSUMP_NUMERIC_ACCELERATOR_MIX; ASSUMP_INFERENCE_SHARE_NOT_FACT_60; ASSUMP_WORKLOAD_CLASS_MIX; ASSUMP_AGENTIC_CONTEXT_PENALTY</t>
        </is>
      </c>
      <c r="L539" s="3" t="inlineStr">
        <is>
          <t>Company fleet inventory, accelerator-hours or procurement/deployment records by GPU generation.</t>
        </is>
      </c>
    </row>
    <row r="540">
      <c r="A540" s="3" t="inlineStr">
        <is>
          <t>OpenAI</t>
        </is>
      </c>
      <c r="B540" s="3" t="n">
        <v>2029</v>
      </c>
      <c r="C540" s="3" t="inlineStr">
        <is>
          <t>Bear</t>
        </is>
      </c>
      <c r="D540" s="3" t="inlineStr">
        <is>
          <t>b200_share</t>
        </is>
      </c>
      <c r="E540" s="3" t="n">
        <v>0.529748</v>
      </c>
      <c r="F540" s="3" t="inlineStr">
        <is>
          <t>share of inference-serving accelerator load</t>
        </is>
      </c>
      <c r="G540" s="3" t="inlineStr">
        <is>
          <t>Editable numeric scenario</t>
        </is>
      </c>
      <c r="H540" s="3" t="inlineStr">
        <is>
          <t>b200_share = gpu_share * default_gpu_generation_mix_b200</t>
        </is>
      </c>
      <c r="I540" s="3" t="inlineStr">
        <is>
          <t>Default GPU-generation migration assumption; executive workbook allows later manual replacement by company/year/scenario.</t>
        </is>
      </c>
      <c r="J540" s="3" t="inlineStr">
        <is>
          <t>SRC_SEMIANALYSIS_INFERENCEX; ASSUMP_NUMERIC_ACCELERATOR_MIX</t>
        </is>
      </c>
      <c r="K540" s="3" t="inlineStr">
        <is>
          <t>ASSUMP_STARGATE_RAMP; ASSUMP_MS_OPENAI_ATTRIBUTION; ASSUMP_NUMERIC_ACCELERATOR_MIX; ASSUMP_INFERENCE_SHARE_NOT_FACT_60; ASSUMP_WORKLOAD_CLASS_MIX; ASSUMP_AGENTIC_CONTEXT_PENALTY</t>
        </is>
      </c>
      <c r="L540" s="3" t="inlineStr">
        <is>
          <t>Company fleet inventory, accelerator-hours or procurement/deployment records by GPU generation.</t>
        </is>
      </c>
    </row>
    <row r="541">
      <c r="A541" s="3" t="inlineStr">
        <is>
          <t>OpenAI</t>
        </is>
      </c>
      <c r="B541" s="3" t="n">
        <v>2029</v>
      </c>
      <c r="C541" s="3" t="inlineStr">
        <is>
          <t>Bear</t>
        </is>
      </c>
      <c r="D541" s="3" t="inlineStr">
        <is>
          <t>gb200_share</t>
        </is>
      </c>
      <c r="E541" s="3" t="n">
        <v>0.169295</v>
      </c>
      <c r="F541" s="3" t="inlineStr">
        <is>
          <t>share of inference-serving accelerator load</t>
        </is>
      </c>
      <c r="G541" s="3" t="inlineStr">
        <is>
          <t>Editable numeric scenario</t>
        </is>
      </c>
      <c r="H541" s="3" t="inlineStr">
        <is>
          <t>gb200_share = gpu_share * default_gpu_generation_mix_gb200</t>
        </is>
      </c>
      <c r="I541" s="3" t="inlineStr">
        <is>
          <t>Default GPU-generation migration assumption; executive workbook allows later manual replacement by company/year/scenario.</t>
        </is>
      </c>
      <c r="J541" s="3" t="inlineStr">
        <is>
          <t>SRC_SEMIANALYSIS_INFERENCEX; ASSUMP_NUMERIC_ACCELERATOR_MIX</t>
        </is>
      </c>
      <c r="K541" s="3" t="inlineStr">
        <is>
          <t>ASSUMP_STARGATE_RAMP; ASSUMP_MS_OPENAI_ATTRIBUTION; ASSUMP_NUMERIC_ACCELERATOR_MIX; ASSUMP_INFERENCE_SHARE_NOT_FACT_60; ASSUMP_WORKLOAD_CLASS_MIX; ASSUMP_AGENTIC_CONTEXT_PENALTY</t>
        </is>
      </c>
      <c r="L541" s="3" t="inlineStr">
        <is>
          <t>Company fleet inventory, accelerator-hours or procurement/deployment records by GPU generation.</t>
        </is>
      </c>
    </row>
    <row r="542">
      <c r="A542" s="3" t="inlineStr">
        <is>
          <t>OpenAI</t>
        </is>
      </c>
      <c r="B542" s="3" t="n">
        <v>2029</v>
      </c>
      <c r="C542" s="3" t="inlineStr">
        <is>
          <t>Bear</t>
        </is>
      </c>
      <c r="D542" s="3" t="inlineStr">
        <is>
          <t>purpose_built_accelerator_share</t>
        </is>
      </c>
      <c r="E542" s="3" t="n">
        <v>0.19802</v>
      </c>
      <c r="F542" s="3" t="inlineStr">
        <is>
          <t>share of inference-serving accelerator load</t>
        </is>
      </c>
      <c r="G542" s="3" t="inlineStr">
        <is>
          <t>Numeric scenario</t>
        </is>
      </c>
      <c r="H542" s="3" t="inlineStr">
        <is>
          <t>1 - gpu_share</t>
        </is>
      </c>
      <c r="I542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542" s="3" t="inlineStr">
        <is>
          <t>SRC_OPENAI_GPT41_DOCS; SRC_OPENAI_STARGATE_ORACLE; SRC_OPENAI_STARGATE_PROGRESS; SRC_EPOCH_AI_DATA_CENTERS; ASSUMP_NUMERIC_ACCELERATOR_MIX</t>
        </is>
      </c>
      <c r="K542" s="3" t="inlineStr">
        <is>
          <t>ASSUMP_STARGATE_RAMP; ASSUMP_MS_OPENAI_ATTRIBUTION; ASSUMP_NUMERIC_ACCELERATOR_MIX; ASSUMP_INFERENCE_SHARE_NOT_FACT_60; ASSUMP_WORKLOAD_CLASS_MIX; ASSUMP_AGENTIC_CONTEXT_PENALTY</t>
        </is>
      </c>
      <c r="L542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543">
      <c r="A543" s="3" t="inlineStr">
        <is>
          <t>OpenAI</t>
        </is>
      </c>
      <c r="B543" s="3" t="n">
        <v>2029</v>
      </c>
      <c r="C543" s="3" t="inlineStr">
        <is>
          <t>Bear</t>
        </is>
      </c>
      <c r="D543" s="3" t="inlineStr">
        <is>
          <t>fleet_reference_tps_per_mw</t>
        </is>
      </c>
      <c r="E543" s="3" t="n">
        <v>237773</v>
      </c>
      <c r="F543" s="3" t="inlineStr">
        <is>
          <t>generated output tokens/sec/MW</t>
        </is>
      </c>
      <c r="G543" s="3" t="inlineStr">
        <is>
          <t>Fleet-weighted public benchmark reference</t>
        </is>
      </c>
      <c r="H543" s="3" t="inlineStr">
        <is>
          <t>h200_share*h200_workload_avg + b200_share*b200_workload_avg + gb200_share*gb200_workload_avg + purpose_built_share*purpose_workload_avg</t>
        </is>
      </c>
      <c r="I54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43" s="3" t="inlineStr">
        <is>
          <t>SRC_SEMIANALYSIS_INFERENCEX; ASSUMP_NUMERIC_ACCELERATOR_MIX; ASSUMP_WORKLOAD_CLASS_MIX; ASSUMP_AGENTIC_CONTEXT_PENALTY</t>
        </is>
      </c>
      <c r="K543" s="3" t="inlineStr">
        <is>
          <t>ASSUMP_STARGATE_RAMP; ASSUMP_MS_OPENAI_ATTRIBUTION; ASSUMP_NUMERIC_ACCELERATOR_MIX; ASSUMP_INFERENCE_SHARE_NOT_FACT_60; ASSUMP_WORKLOAD_CLASS_MIX; ASSUMP_AGENTIC_CONTEXT_PENALTY</t>
        </is>
      </c>
      <c r="L543" s="3" t="inlineStr">
        <is>
          <t>Comparable production output-token throughput or a more closely matched benchmark.</t>
        </is>
      </c>
    </row>
    <row r="544">
      <c r="A544" s="3" t="inlineStr">
        <is>
          <t>OpenAI</t>
        </is>
      </c>
      <c r="B544" s="3" t="n">
        <v>2029</v>
      </c>
      <c r="C544" s="3" t="inlineStr">
        <is>
          <t>Bear</t>
        </is>
      </c>
      <c r="D544" s="3" t="inlineStr">
        <is>
          <t>commercial_workload_fit_factor</t>
        </is>
      </c>
      <c r="E544" s="3" t="n">
        <v>0.3</v>
      </c>
      <c r="F544" s="3" t="inlineStr">
        <is>
          <t>share of public reference throughput</t>
        </is>
      </c>
      <c r="G544" s="3" t="inlineStr">
        <is>
          <t>Scenario assumption</t>
        </is>
      </c>
      <c r="H544" s="3" t="inlineStr">
        <is>
          <t>reference_serving_tps_per_mw = fleet_reference_tps_per_mw * commercial_workload_fit_factor</t>
        </is>
      </c>
      <c r="I54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44" s="3" t="inlineStr">
        <is>
          <t>SRC_SEMIANALYSIS_INFERENCEX; ASSUMP_NUMERIC_ACCELERATOR_MIX; ASSUMP_WORKLOAD_CLASS_MIX; ASSUMP_AGENTIC_CONTEXT_PENALTY</t>
        </is>
      </c>
      <c r="K544" s="3" t="inlineStr">
        <is>
          <t>ASSUMP_STARGATE_RAMP; ASSUMP_MS_OPENAI_ATTRIBUTION; ASSUMP_NUMERIC_ACCELERATOR_MIX; ASSUMP_INFERENCE_SHARE_NOT_FACT_60; ASSUMP_WORKLOAD_CLASS_MIX; ASSUMP_AGENTIC_CONTEXT_PENALTY</t>
        </is>
      </c>
      <c r="L544" s="3" t="inlineStr">
        <is>
          <t>Matched commercial serving benchmark by product surface, context shape and latency SLO.</t>
        </is>
      </c>
    </row>
    <row r="545">
      <c r="A545" s="3" t="inlineStr">
        <is>
          <t>OpenAI</t>
        </is>
      </c>
      <c r="B545" s="3" t="n">
        <v>2029</v>
      </c>
      <c r="C545" s="3" t="inlineStr">
        <is>
          <t>Bear</t>
        </is>
      </c>
      <c r="D545" s="3" t="inlineStr">
        <is>
          <t>reference_serving_tps_per_mw</t>
        </is>
      </c>
      <c r="E545" s="3" t="n">
        <v>71332</v>
      </c>
      <c r="F545" s="3" t="inlineStr">
        <is>
          <t>generated output tokens/sec/MW</t>
        </is>
      </c>
      <c r="G545" s="3" t="inlineStr">
        <is>
          <t>Workload-adjusted benchmark proxy</t>
        </is>
      </c>
      <c r="H545" s="3" t="inlineStr">
        <is>
          <t>fleet_reference_tps_per_mw * commercial_workload_fit_factor</t>
        </is>
      </c>
      <c r="I545" s="3" t="inlineStr">
        <is>
          <t>This is the coefficient used for headline token generation; each GPU's short chat, long chat and agentic TPS/MW are weighted before fleet mix and commercial fit are applied.</t>
        </is>
      </c>
      <c r="J545" s="3" t="inlineStr">
        <is>
          <t>SRC_SEMIANALYSIS_INFERENCEX; ASSUMP_NUMERIC_ACCELERATOR_MIX; ASSUMP_WORKLOAD_CLASS_MIX; ASSUMP_AGENTIC_CONTEXT_PENALTY</t>
        </is>
      </c>
      <c r="K545" s="3" t="inlineStr">
        <is>
          <t>ASSUMP_STARGATE_RAMP; ASSUMP_MS_OPENAI_ATTRIBUTION; ASSUMP_NUMERIC_ACCELERATOR_MIX; ASSUMP_INFERENCE_SHARE_NOT_FACT_60; ASSUMP_WORKLOAD_CLASS_MIX; ASSUMP_AGENTIC_CONTEXT_PENALTY</t>
        </is>
      </c>
      <c r="L545" s="3" t="inlineStr">
        <is>
          <t>Provider production output-token throughput with comparable workload/SLO.</t>
        </is>
      </c>
    </row>
    <row r="546">
      <c r="A546" s="3" t="inlineStr">
        <is>
          <t>OpenAI</t>
        </is>
      </c>
      <c r="B546" s="3" t="n">
        <v>2029</v>
      </c>
      <c r="C546" s="3" t="inlineStr">
        <is>
          <t>Bear</t>
        </is>
      </c>
      <c r="D546" s="3" t="inlineStr">
        <is>
          <t>purpose_built_tps_per_mw</t>
        </is>
      </c>
      <c r="E546" s="3" t="n">
        <v>40592</v>
      </c>
      <c r="F546" s="3" t="inlineStr">
        <is>
          <t>generated output tokens/sec/MW</t>
        </is>
      </c>
      <c r="G546" s="3" t="inlineStr">
        <is>
          <t>Conservative no-uplift proxy</t>
        </is>
      </c>
      <c r="H546" s="3" t="inlineStr">
        <is>
          <t>purpose_built_tps_per_mw = purpose_built_reference_tps_per_mw * commercial_workload_fit_factor until comparable output-token benchmark is adopted</t>
        </is>
      </c>
      <c r="I546" s="3" t="inlineStr">
        <is>
          <t>No comparable public output-token/MW row adopted; B200 public reference placeholder is used and remains editable.</t>
        </is>
      </c>
      <c r="J546" s="3" t="inlineStr">
        <is>
          <t>SRC_OPENAI_GPT41_DOCS; SRC_OPENAI_STARGATE_ORACLE; SRC_OPENAI_STARGATE_PROGRESS; SRC_EPOCH_AI_DATA_CENTERS; ASSUMP_NUMERIC_ACCELERATOR_MIX</t>
        </is>
      </c>
      <c r="K546" s="3" t="inlineStr">
        <is>
          <t>ASSUMP_STARGATE_RAMP; ASSUMP_MS_OPENAI_ATTRIBUTION; ASSUMP_NUMERIC_ACCELERATOR_MIX; ASSUMP_INFERENCE_SHARE_NOT_FACT_60; ASSUMP_WORKLOAD_CLASS_MIX; ASSUMP_AGENTIC_CONTEXT_PENALTY</t>
        </is>
      </c>
      <c r="L546" s="3" t="inlineStr">
        <is>
          <t>Matched-workload generated-output benchmark for the provider purpose-built accelerator.</t>
        </is>
      </c>
    </row>
    <row r="547">
      <c r="A547" s="3" t="inlineStr">
        <is>
          <t>OpenAI</t>
        </is>
      </c>
      <c r="B547" s="3" t="n">
        <v>2029</v>
      </c>
      <c r="C547" s="3" t="inlineStr">
        <is>
          <t>Bear</t>
        </is>
      </c>
      <c r="D547" s="3" t="inlineStr">
        <is>
          <t>inference_power_share</t>
        </is>
      </c>
      <c r="E547" s="3" t="n">
        <v>0.635</v>
      </c>
      <c r="F547" s="3" t="inlineStr">
        <is>
          <t>share of AI IT load</t>
        </is>
      </c>
      <c r="G547" s="3" t="inlineStr">
        <is>
          <t>Scenario allocation</t>
        </is>
      </c>
      <c r="H547" s="3" t="inlineStr">
        <is>
          <t>inference_gw = ai_it_load_gw * inference_power_share</t>
        </is>
      </c>
      <c r="I547" s="3" t="inlineStr">
        <is>
          <t>ChatGPT/API/enterprise commercial surfaces support increasing inference allocation while training remains material.</t>
        </is>
      </c>
      <c r="J547" s="3" t="inlineStr">
        <is>
          <t>SRC_OPENAI_GPT41_DOCS; SRC_OPENAI_STARGATE_ORACLE; SRC_OPENAI_STARGATE_PROGRESS; SRC_EPOCH_AI_DATA_CENTERS; ASSUMP_INFERENCE_SHARE_NOT_FACT_60</t>
        </is>
      </c>
      <c r="K547" s="3" t="inlineStr">
        <is>
          <t>ASSUMP_STARGATE_RAMP; ASSUMP_MS_OPENAI_ATTRIBUTION; ASSUMP_NUMERIC_ACCELERATOR_MIX; ASSUMP_INFERENCE_SHARE_NOT_FACT_60; ASSUMP_WORKLOAD_CLASS_MIX; ASSUMP_AGENTIC_CONTEXT_PENALTY</t>
        </is>
      </c>
      <c r="L547" s="3" t="inlineStr">
        <is>
          <t>Provider-specific inference/training workload power telemetry.</t>
        </is>
      </c>
    </row>
    <row r="548">
      <c r="A548" s="3" t="inlineStr">
        <is>
          <t>OpenAI</t>
        </is>
      </c>
      <c r="B548" s="3" t="n">
        <v>2029</v>
      </c>
      <c r="C548" s="3" t="inlineStr">
        <is>
          <t>Bear</t>
        </is>
      </c>
      <c r="D548" s="3" t="inlineStr">
        <is>
          <t>inference_gw</t>
        </is>
      </c>
      <c r="E548" s="3" t="n">
        <v>2.631</v>
      </c>
      <c r="F548" s="3" t="inlineStr">
        <is>
          <t>GW</t>
        </is>
      </c>
      <c r="G548" s="3" t="inlineStr">
        <is>
          <t>Derived formula</t>
        </is>
      </c>
      <c r="H548" s="3" t="inlineStr">
        <is>
          <t>ai_it_load_gw * inference_power_share</t>
        </is>
      </c>
      <c r="I548" s="3" t="inlineStr">
        <is>
          <t>This is the operational power eligible to become commercial generated output tokens through the selected TPS/MW proxy.</t>
        </is>
      </c>
      <c r="J548" s="3" t="inlineStr">
        <is>
          <t>SRC_OPENAI_GPT41_DOCS; SRC_OPENAI_STARGATE_ORACLE; SRC_OPENAI_STARGATE_PROGRESS; SRC_EPOCH_AI_DATA_CENTERS</t>
        </is>
      </c>
      <c r="K548" s="3" t="inlineStr">
        <is>
          <t>ASSUMP_STARGATE_RAMP; ASSUMP_MS_OPENAI_ATTRIBUTION; ASSUMP_NUMERIC_ACCELERATOR_MIX; ASSUMP_INFERENCE_SHARE_NOT_FACT_60; ASSUMP_WORKLOAD_CLASS_MIX; ASSUMP_AGENTIC_CONTEXT_PENALTY</t>
        </is>
      </c>
      <c r="L548" s="3" t="inlineStr">
        <is>
          <t>Recompute after AI allocation or inference-share evidence changes.</t>
        </is>
      </c>
    </row>
    <row r="549">
      <c r="A549" s="3" t="inlineStr">
        <is>
          <t>OpenAI</t>
        </is>
      </c>
      <c r="B549" s="3" t="n">
        <v>2029</v>
      </c>
      <c r="C549" s="3" t="inlineStr">
        <is>
          <t>Bear</t>
        </is>
      </c>
      <c r="D549" s="3" t="inlineStr">
        <is>
          <t>training_power_share</t>
        </is>
      </c>
      <c r="E549" s="3" t="n">
        <v>0.365</v>
      </c>
      <c r="F549" s="3" t="inlineStr">
        <is>
          <t>share of AI IT load</t>
        </is>
      </c>
      <c r="G549" s="3" t="inlineStr">
        <is>
          <t>Derived allocation</t>
        </is>
      </c>
      <c r="H549" s="3" t="inlineStr">
        <is>
          <t>1 - inference_power_share</t>
        </is>
      </c>
      <c r="I549" s="3" t="inlineStr">
        <is>
          <t>Training receives the complementary modeled AI IT allocation; it is not a disclosed company workload split.</t>
        </is>
      </c>
      <c r="J549" s="3" t="inlineStr">
        <is>
          <t>SRC_OPENAI_GPT41_DOCS; SRC_OPENAI_STARGATE_ORACLE; SRC_OPENAI_STARGATE_PROGRESS; SRC_EPOCH_AI_DATA_CENTERS; ASSUMP_INFERENCE_SHARE_NOT_FACT_60</t>
        </is>
      </c>
      <c r="K549" s="3" t="inlineStr">
        <is>
          <t>ASSUMP_STARGATE_RAMP; ASSUMP_MS_OPENAI_ATTRIBUTION; ASSUMP_NUMERIC_ACCELERATOR_MIX; ASSUMP_INFERENCE_SHARE_NOT_FACT_60; ASSUMP_WORKLOAD_CLASS_MIX; ASSUMP_AGENTIC_CONTEXT_PENALTY</t>
        </is>
      </c>
      <c r="L549" s="3" t="inlineStr">
        <is>
          <t>Provider-specific inference/training workload power telemetry.</t>
        </is>
      </c>
    </row>
    <row r="550">
      <c r="A550" s="3" t="inlineStr">
        <is>
          <t>OpenAI</t>
        </is>
      </c>
      <c r="B550" s="3" t="n">
        <v>2029</v>
      </c>
      <c r="C550" s="3" t="inlineStr">
        <is>
          <t>Bear</t>
        </is>
      </c>
      <c r="D550" s="3" t="inlineStr">
        <is>
          <t>training_gw</t>
        </is>
      </c>
      <c r="E550" s="3" t="n">
        <v>1.512</v>
      </c>
      <c r="F550" s="3" t="inlineStr">
        <is>
          <t>GW</t>
        </is>
      </c>
      <c r="G550" s="3" t="inlineStr">
        <is>
          <t>Derived formula</t>
        </is>
      </c>
      <c r="H550" s="3" t="inlineStr">
        <is>
          <t>ai_it_load_gw * training_power_share</t>
        </is>
      </c>
      <c r="I550" s="3" t="inlineStr">
        <is>
          <t>Training GW is shown separately so commercial inference token capacity is not overstated.</t>
        </is>
      </c>
      <c r="J550" s="3" t="inlineStr">
        <is>
          <t>SRC_OPENAI_GPT41_DOCS; SRC_OPENAI_STARGATE_ORACLE; SRC_OPENAI_STARGATE_PROGRESS; SRC_EPOCH_AI_DATA_CENTERS</t>
        </is>
      </c>
      <c r="K550" s="3" t="inlineStr">
        <is>
          <t>ASSUMP_STARGATE_RAMP; ASSUMP_MS_OPENAI_ATTRIBUTION; ASSUMP_NUMERIC_ACCELERATOR_MIX; ASSUMP_INFERENCE_SHARE_NOT_FACT_60; ASSUMP_WORKLOAD_CLASS_MIX; ASSUMP_AGENTIC_CONTEXT_PENALTY</t>
        </is>
      </c>
      <c r="L550" s="3" t="inlineStr">
        <is>
          <t>Recompute after AI allocation or workload-split evidence changes.</t>
        </is>
      </c>
    </row>
    <row r="551">
      <c r="A551" s="3" t="inlineStr">
        <is>
          <t>OpenAI</t>
        </is>
      </c>
      <c r="B551" s="3" t="n">
        <v>2029</v>
      </c>
      <c r="C551" s="3" t="inlineStr">
        <is>
          <t>Bear</t>
        </is>
      </c>
      <c r="D551" s="3" t="inlineStr">
        <is>
          <t>tokens_per_second_per_mw</t>
        </is>
      </c>
      <c r="E551" s="3" t="n">
        <v>71332</v>
      </c>
      <c r="F551" s="3" t="inlineStr">
        <is>
          <t>generated output tokens/sec/MW</t>
        </is>
      </c>
      <c r="G551" s="3" t="inlineStr">
        <is>
          <t>Derived estimate + benchmark calibration</t>
        </is>
      </c>
      <c r="H551" s="3" t="inlineStr">
        <is>
          <t>fleet_reference_tps_per_mw * commercial_workload_fit_factor</t>
        </is>
      </c>
      <c r="I55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51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51" s="3" t="inlineStr">
        <is>
          <t>ASSUMP_STARGATE_RAMP; ASSUMP_MS_OPENAI_ATTRIBUTION; ASSUMP_NUMERIC_ACCELERATOR_MIX; ASSUMP_INFERENCE_SHARE_NOT_FACT_60; ASSUMP_WORKLOAD_CLASS_MIX; ASSUMP_AGENTIC_CONTEXT_PENALTY</t>
        </is>
      </c>
      <c r="L551" s="3" t="inlineStr">
        <is>
          <t>Comparable production output-token throughput with model, hardware, precision, ISL/OSL and SLO matched.</t>
        </is>
      </c>
    </row>
    <row r="552">
      <c r="A552" s="3" t="inlineStr">
        <is>
          <t>OpenAI</t>
        </is>
      </c>
      <c r="B552" s="3" t="n">
        <v>2029</v>
      </c>
      <c r="C552" s="3" t="inlineStr">
        <is>
          <t>Bear</t>
        </is>
      </c>
      <c r="D552" s="3" t="inlineStr">
        <is>
          <t>inference_tokens_per_day</t>
        </is>
      </c>
      <c r="E552" s="3" t="n">
        <v>16215076108800</v>
      </c>
      <c r="F552" s="3" t="inlineStr">
        <is>
          <t>generated output tokens/day</t>
        </is>
      </c>
      <c r="G552" s="3" t="inlineStr">
        <is>
          <t>Derived headline metric</t>
        </is>
      </c>
      <c r="H552" s="3" t="inlineStr">
        <is>
          <t>inference_gw * 1000 * tokens_per_second_per_mw * 86,400</t>
        </is>
      </c>
      <c r="I552" s="3" t="inlineStr">
        <is>
          <t>Headline capacity uses no utilization, MoE, architecture or software-growth multiplier; it is not observed commercial output volume.</t>
        </is>
      </c>
      <c r="J552" s="3" t="inlineStr">
        <is>
          <t>SRC_OPENAI_GPT41_DOCS; SRC_OPENAI_STARGATE_ORACLE; SRC_OPENAI_STARGATE_PROGRESS; SRC_EPOCH_AI_DATA_CENTERS; SRC_SEMIANALYSIS_INFERENCEX</t>
        </is>
      </c>
      <c r="K552" s="3" t="inlineStr">
        <is>
          <t>ASSUMP_STARGATE_RAMP; ASSUMP_MS_OPENAI_ATTRIBUTION; ASSUMP_NUMERIC_ACCELERATOR_MIX; ASSUMP_INFERENCE_SHARE_NOT_FACT_60; ASSUMP_WORKLOAD_CLASS_MIX; ASSUMP_AGENTIC_CONTEXT_PENALTY</t>
        </is>
      </c>
      <c r="L552" s="3" t="inlineStr">
        <is>
          <t>Provider-disclosed generated output token volume or calibrated capacity telemetry.</t>
        </is>
      </c>
    </row>
    <row r="553">
      <c r="A553" s="3" t="inlineStr">
        <is>
          <t>OpenAI</t>
        </is>
      </c>
      <c r="B553" s="3" t="n">
        <v>2029</v>
      </c>
      <c r="C553" s="3" t="inlineStr">
        <is>
          <t>Bear</t>
        </is>
      </c>
      <c r="D553" s="3" t="inlineStr">
        <is>
          <t>inference_tokens_per_year</t>
        </is>
      </c>
      <c r="E553" s="3" t="n">
        <v>5918502779712000</v>
      </c>
      <c r="F553" s="3" t="inlineStr">
        <is>
          <t>generated output tokens/year</t>
        </is>
      </c>
      <c r="G553" s="3" t="inlineStr">
        <is>
          <t>Derived headline metric</t>
        </is>
      </c>
      <c r="H553" s="3" t="inlineStr">
        <is>
          <t>inference_tokens_per_day * 365</t>
        </is>
      </c>
      <c r="I553" s="3" t="inlineStr">
        <is>
          <t>Annualized version of generated output token capacity; it is not observed annual demand or billable volume.</t>
        </is>
      </c>
      <c r="J553" s="3" t="inlineStr">
        <is>
          <t>SRC_OPENAI_GPT41_DOCS; SRC_OPENAI_STARGATE_ORACLE; SRC_OPENAI_STARGATE_PROGRESS; SRC_EPOCH_AI_DATA_CENTERS; SRC_SEMIANALYSIS_INFERENCEX</t>
        </is>
      </c>
      <c r="K553" s="3" t="inlineStr">
        <is>
          <t>ASSUMP_STARGATE_RAMP; ASSUMP_MS_OPENAI_ATTRIBUTION; ASSUMP_NUMERIC_ACCELERATOR_MIX; ASSUMP_INFERENCE_SHARE_NOT_FACT_60; ASSUMP_WORKLOAD_CLASS_MIX; ASSUMP_AGENTIC_CONTEXT_PENALTY</t>
        </is>
      </c>
      <c r="L553" s="3" t="inlineStr">
        <is>
          <t>Provider-disclosed annual generated-output volume or metered serving telemetry.</t>
        </is>
      </c>
    </row>
    <row r="554">
      <c r="A554" s="3" t="inlineStr">
        <is>
          <t>OpenAI</t>
        </is>
      </c>
      <c r="B554" s="3" t="n">
        <v>2030</v>
      </c>
      <c r="C554" s="3" t="inlineStr">
        <is>
          <t>Bear</t>
        </is>
      </c>
      <c r="D554" s="3" t="inlineStr">
        <is>
          <t>contracted_power_gw</t>
        </is>
      </c>
      <c r="E554" s="3" t="n">
        <v>12</v>
      </c>
      <c r="F554" s="3" t="inlineStr">
        <is>
          <t>GW</t>
        </is>
      </c>
      <c r="G554" s="3" t="inlineStr">
        <is>
          <t>Fact anchor + scenario ceiling</t>
        </is>
      </c>
      <c r="H554" s="3" t="inlineStr">
        <is>
          <t>linear interpolation between 2026 and 2030 company capacity endpoints</t>
        </is>
      </c>
      <c r="I554" s="3" t="inlineStr">
        <is>
          <t>2030 envelope is bounded by official Stargate planned/committed capacity; 2026 and timing remain staged scenario values.</t>
        </is>
      </c>
      <c r="J554" s="3" t="inlineStr">
        <is>
          <t>SRC_OPENAI_STARGATE_ORACLE; SRC_OPENAI_STARGATE_PROGRESS; ASSUMP_STARGATE_RAMP</t>
        </is>
      </c>
      <c r="K554" s="3" t="inlineStr">
        <is>
          <t>ASSUMP_STARGATE_RAMP; ASSUMP_MS_OPENAI_ATTRIBUTION; ASSUMP_NUMERIC_ACCELERATOR_MIX; ASSUMP_INFERENCE_SHARE_NOT_FACT_60; ASSUMP_WORKLOAD_CLASS_MIX; ASSUMP_AGENTIC_CONTEXT_PENALTY</t>
        </is>
      </c>
      <c r="L554" s="3" t="inlineStr">
        <is>
          <t>Company/site-level committed MW/GW, interconnect and contract disclosure.</t>
        </is>
      </c>
    </row>
    <row r="555">
      <c r="A555" s="3" t="inlineStr">
        <is>
          <t>OpenAI</t>
        </is>
      </c>
      <c r="B555" s="3" t="n">
        <v>2030</v>
      </c>
      <c r="C555" s="3" t="inlineStr">
        <is>
          <t>Bear</t>
        </is>
      </c>
      <c r="D555" s="3" t="inlineStr">
        <is>
          <t>operational_deployment_share</t>
        </is>
      </c>
      <c r="E555" s="3" t="n">
        <v>0.58083333</v>
      </c>
      <c r="F555" s="3" t="inlineStr">
        <is>
          <t>share</t>
        </is>
      </c>
      <c r="G555" s="3" t="inlineStr">
        <is>
          <t>Scenario conversion</t>
        </is>
      </c>
      <c r="H555" s="3" t="inlineStr">
        <is>
          <t>active_power_gw / contracted_power_gw</t>
        </is>
      </c>
      <c r="I555" s="3" t="inlineStr">
        <is>
          <t>This is the single explicit conversion from contracted/attributed capacity to operationally usable capacity.</t>
        </is>
      </c>
      <c r="J555" s="3" t="inlineStr">
        <is>
          <t>SRC_OPENAI_STARGATE_ORACLE; SRC_OPENAI_STARGATE_PROGRESS; ASSUMP_STARGATE_RAMP</t>
        </is>
      </c>
      <c r="K555" s="3" t="inlineStr">
        <is>
          <t>ASSUMP_STARGATE_RAMP; ASSUMP_MS_OPENAI_ATTRIBUTION; ASSUMP_NUMERIC_ACCELERATOR_MIX; ASSUMP_INFERENCE_SHARE_NOT_FACT_60; ASSUMP_WORKLOAD_CLASS_MIX; ASSUMP_AGENTIC_CONTEXT_PENALTY</t>
        </is>
      </c>
      <c r="L555" s="3" t="inlineStr">
        <is>
          <t>Energized operational capacity divided by contracted/attributed capacity.</t>
        </is>
      </c>
    </row>
    <row r="556">
      <c r="A556" s="3" t="inlineStr">
        <is>
          <t>OpenAI</t>
        </is>
      </c>
      <c r="B556" s="3" t="n">
        <v>2030</v>
      </c>
      <c r="C556" s="3" t="inlineStr">
        <is>
          <t>Bear</t>
        </is>
      </c>
      <c r="D556" s="3" t="inlineStr">
        <is>
          <t>active_power_gw</t>
        </is>
      </c>
      <c r="E556" s="3" t="n">
        <v>6.97</v>
      </c>
      <c r="F556" s="3" t="inlineStr">
        <is>
          <t>GW</t>
        </is>
      </c>
      <c r="G556" s="3" t="inlineStr">
        <is>
          <t>Derived scenario</t>
        </is>
      </c>
      <c r="H556" s="3" t="inlineStr">
        <is>
          <t>contracted_power_gw * operational_deployment_share</t>
        </is>
      </c>
      <c r="I556" s="3" t="inlineStr">
        <is>
          <t>Official capacity announcements are converted to active GW only through energization/GPU-deployment ramp assumptions.</t>
        </is>
      </c>
      <c r="J556" s="3" t="inlineStr">
        <is>
          <t>SRC_OPENAI_STARGATE_ORACLE; SRC_OPENAI_STARGATE_PROGRESS; ASSUMP_STARGATE_RAMP</t>
        </is>
      </c>
      <c r="K556" s="3" t="inlineStr">
        <is>
          <t>ASSUMP_STARGATE_RAMP; ASSUMP_MS_OPENAI_ATTRIBUTION; ASSUMP_NUMERIC_ACCELERATOR_MIX; ASSUMP_INFERENCE_SHARE_NOT_FACT_60; ASSUMP_WORKLOAD_CLASS_MIX; ASSUMP_AGENTIC_CONTEXT_PENALTY</t>
        </is>
      </c>
      <c r="L556" s="3" t="inlineStr">
        <is>
          <t>Energization dates, accelerator deliveries and operational powered-rack telemetry.</t>
        </is>
      </c>
    </row>
    <row r="557">
      <c r="A557" s="3" t="inlineStr">
        <is>
          <t>OpenAI</t>
        </is>
      </c>
      <c r="B557" s="3" t="n">
        <v>2030</v>
      </c>
      <c r="C557" s="3" t="inlineStr">
        <is>
          <t>Bear</t>
        </is>
      </c>
      <c r="D557" s="3" t="inlineStr">
        <is>
          <t>pue</t>
        </is>
      </c>
      <c r="E557" s="3" t="n">
        <v>1.2</v>
      </c>
      <c r="F557" s="3" t="inlineStr">
        <is>
          <t>ratio</t>
        </is>
      </c>
      <c r="G557" s="3" t="inlineStr">
        <is>
          <t>Scenario parameter</t>
        </is>
      </c>
      <c r="H557" s="3" t="inlineStr">
        <is>
          <t>it_load_gw = active_power_gw / pue</t>
        </is>
      </c>
      <c r="I557" s="3" t="inlineStr">
        <is>
          <t>No provider-wide site-level PUE is used as a disclosed fact; PUE represents facility-to-IT conversion within the scenario.</t>
        </is>
      </c>
      <c r="J557" s="3" t="inlineStr">
        <is>
          <t>ASSUMP_POWER_RAMP</t>
        </is>
      </c>
      <c r="K557" s="3" t="inlineStr">
        <is>
          <t>ASSUMP_STARGATE_RAMP; ASSUMP_MS_OPENAI_ATTRIBUTION; ASSUMP_NUMERIC_ACCELERATOR_MIX; ASSUMP_INFERENCE_SHARE_NOT_FACT_60; ASSUMP_WORKLOAD_CLASS_MIX; ASSUMP_AGENTIC_CONTEXT_PENALTY</t>
        </is>
      </c>
      <c r="L557" s="3" t="inlineStr">
        <is>
          <t>Site-level measured PUE matched to attributed AI capacity.</t>
        </is>
      </c>
    </row>
    <row r="558">
      <c r="A558" s="3" t="inlineStr">
        <is>
          <t>OpenAI</t>
        </is>
      </c>
      <c r="B558" s="3" t="n">
        <v>2030</v>
      </c>
      <c r="C558" s="3" t="inlineStr">
        <is>
          <t>Bear</t>
        </is>
      </c>
      <c r="D558" s="3" t="inlineStr">
        <is>
          <t>it_load_gw</t>
        </is>
      </c>
      <c r="E558" s="3" t="n">
        <v>5.808</v>
      </c>
      <c r="F558" s="3" t="inlineStr">
        <is>
          <t>GW</t>
        </is>
      </c>
      <c r="G558" s="3" t="inlineStr">
        <is>
          <t>Derived formula</t>
        </is>
      </c>
      <c r="H558" s="3" t="inlineStr">
        <is>
          <t>active_power_gw / pue</t>
        </is>
      </c>
      <c r="I558" s="3" t="inlineStr">
        <is>
          <t>Facility power is converted to IT-deliverable power before attributing AI workloads.</t>
        </is>
      </c>
      <c r="J558" s="3" t="inlineStr">
        <is>
          <t>SRC_OPENAI_STARGATE_ORACLE; SRC_OPENAI_STARGATE_PROGRESS; ASSUMP_STARGATE_RAMP</t>
        </is>
      </c>
      <c r="K558" s="3" t="inlineStr">
        <is>
          <t>ASSUMP_STARGATE_RAMP; ASSUMP_MS_OPENAI_ATTRIBUTION; ASSUMP_NUMERIC_ACCELERATOR_MIX; ASSUMP_INFERENCE_SHARE_NOT_FACT_60; ASSUMP_WORKLOAD_CLASS_MIX; ASSUMP_AGENTIC_CONTEXT_PENALTY</t>
        </is>
      </c>
      <c r="L558" s="3" t="inlineStr">
        <is>
          <t>Recompute once active power and PUE become site-observable.</t>
        </is>
      </c>
    </row>
    <row r="559">
      <c r="A559" s="3" t="inlineStr">
        <is>
          <t>OpenAI</t>
        </is>
      </c>
      <c r="B559" s="3" t="n">
        <v>2030</v>
      </c>
      <c r="C559" s="3" t="inlineStr">
        <is>
          <t>Bear</t>
        </is>
      </c>
      <c r="D559" s="3" t="inlineStr">
        <is>
          <t>ai_workload_share</t>
        </is>
      </c>
      <c r="E559" s="3" t="n">
        <v>0.88</v>
      </c>
      <c r="F559" s="3" t="inlineStr">
        <is>
          <t>share</t>
        </is>
      </c>
      <c r="G559" s="3" t="inlineStr">
        <is>
          <t>Scenario allocation</t>
        </is>
      </c>
      <c r="H559" s="3" t="inlineStr">
        <is>
          <t>ai_it_load_gw = it_load_gw * ai_workload_share</t>
        </is>
      </c>
      <c r="I559" s="3" t="inlineStr">
        <is>
          <t>Stargate capacity is AI-oriented but includes reserve, platform and non-token AI activity; 88% is a scenario.</t>
        </is>
      </c>
      <c r="J559" s="3" t="inlineStr">
        <is>
          <t>SRC_OPENAI_GPT41_DOCS; SRC_OPENAI_STARGATE_ORACLE; SRC_OPENAI_STARGATE_PROGRESS; SRC_EPOCH_AI_DATA_CENTERS</t>
        </is>
      </c>
      <c r="K559" s="3" t="inlineStr">
        <is>
          <t>ASSUMP_STARGATE_RAMP; ASSUMP_MS_OPENAI_ATTRIBUTION; ASSUMP_NUMERIC_ACCELERATOR_MIX; ASSUMP_INFERENCE_SHARE_NOT_FACT_60; ASSUMP_WORKLOAD_CLASS_MIX; ASSUMP_AGENTIC_CONTEXT_PENALTY</t>
        </is>
      </c>
      <c r="L559" s="3" t="inlineStr">
        <is>
          <t>Model-owner AI workload allocation or cluster scheduling telemetry.</t>
        </is>
      </c>
    </row>
    <row r="560">
      <c r="A560" s="3" t="inlineStr">
        <is>
          <t>OpenAI</t>
        </is>
      </c>
      <c r="B560" s="3" t="n">
        <v>2030</v>
      </c>
      <c r="C560" s="3" t="inlineStr">
        <is>
          <t>Bear</t>
        </is>
      </c>
      <c r="D560" s="3" t="inlineStr">
        <is>
          <t>ai_it_load_gw</t>
        </is>
      </c>
      <c r="E560" s="3" t="n">
        <v>5.111</v>
      </c>
      <c r="F560" s="3" t="inlineStr">
        <is>
          <t>GW</t>
        </is>
      </c>
      <c r="G560" s="3" t="inlineStr">
        <is>
          <t>Derived formula</t>
        </is>
      </c>
      <c r="H560" s="3" t="inlineStr">
        <is>
          <t>it_load_gw * ai_workload_share</t>
        </is>
      </c>
      <c r="I560" s="3" t="inlineStr">
        <is>
          <t>Only the AI-attributed portion of IT load enters training/inference allocation.</t>
        </is>
      </c>
      <c r="J560" s="3" t="inlineStr">
        <is>
          <t>SRC_OPENAI_GPT41_DOCS; SRC_OPENAI_STARGATE_ORACLE; SRC_OPENAI_STARGATE_PROGRESS; SRC_EPOCH_AI_DATA_CENTERS</t>
        </is>
      </c>
      <c r="K560" s="3" t="inlineStr">
        <is>
          <t>ASSUMP_STARGATE_RAMP; ASSUMP_MS_OPENAI_ATTRIBUTION; ASSUMP_NUMERIC_ACCELERATOR_MIX; ASSUMP_INFERENCE_SHARE_NOT_FACT_60; ASSUMP_WORKLOAD_CLASS_MIX; ASSUMP_AGENTIC_CONTEXT_PENALTY</t>
        </is>
      </c>
      <c r="L560" s="3" t="inlineStr">
        <is>
          <t>Recompute after ai_workload_share is replaced by telemetry.</t>
        </is>
      </c>
    </row>
    <row r="561">
      <c r="A561" s="3" t="inlineStr">
        <is>
          <t>OpenAI</t>
        </is>
      </c>
      <c r="B561" s="3" t="n">
        <v>2030</v>
      </c>
      <c r="C561" s="3" t="inlineStr">
        <is>
          <t>Bear</t>
        </is>
      </c>
      <c r="D561" s="3" t="inlineStr">
        <is>
          <t>gpu_share</t>
        </is>
      </c>
      <c r="E561" s="3" t="n">
        <v>0.80198</v>
      </c>
      <c r="F561" s="3" t="inlineStr">
        <is>
          <t>share of inference-serving accelerator load</t>
        </is>
      </c>
      <c r="G561" s="3" t="inlineStr">
        <is>
          <t>Numeric scenario</t>
        </is>
      </c>
      <c r="H561" s="3" t="inlineStr">
        <is>
          <t>gpu_share interpolated from company 2026/2030 accelerator-mix endpoints</t>
        </is>
      </c>
      <c r="I561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561" s="3" t="inlineStr">
        <is>
          <t>SRC_OPENAI_GPT41_DOCS; SRC_OPENAI_STARGATE_ORACLE; SRC_OPENAI_STARGATE_PROGRESS; SRC_EPOCH_AI_DATA_CENTERS; ASSUMP_NUMERIC_ACCELERATOR_MIX</t>
        </is>
      </c>
      <c r="K561" s="3" t="inlineStr">
        <is>
          <t>ASSUMP_STARGATE_RAMP; ASSUMP_MS_OPENAI_ATTRIBUTION; ASSUMP_NUMERIC_ACCELERATOR_MIX; ASSUMP_INFERENCE_SHARE_NOT_FACT_60; ASSUMP_WORKLOAD_CLASS_MIX; ASSUMP_AGENTIC_CONTEXT_PENALTY</t>
        </is>
      </c>
      <c r="L561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562">
      <c r="A562" s="3" t="inlineStr">
        <is>
          <t>OpenAI</t>
        </is>
      </c>
      <c r="B562" s="3" t="n">
        <v>2030</v>
      </c>
      <c r="C562" s="3" t="inlineStr">
        <is>
          <t>Bear</t>
        </is>
      </c>
      <c r="D562" s="3" t="inlineStr">
        <is>
          <t>h200_share</t>
        </is>
      </c>
      <c r="E562" s="3" t="n">
        <v>0.057924</v>
      </c>
      <c r="F562" s="3" t="inlineStr">
        <is>
          <t>share of inference-serving accelerator load</t>
        </is>
      </c>
      <c r="G562" s="3" t="inlineStr">
        <is>
          <t>Editable numeric scenario</t>
        </is>
      </c>
      <c r="H562" s="3" t="inlineStr">
        <is>
          <t>h200_share = gpu_share * default_gpu_generation_mix_h200</t>
        </is>
      </c>
      <c r="I562" s="3" t="inlineStr">
        <is>
          <t>Default GPU-generation migration assumption; executive workbook allows later manual replacement by company/year/scenario.</t>
        </is>
      </c>
      <c r="J562" s="3" t="inlineStr">
        <is>
          <t>SRC_SEMIANALYSIS_INFERENCEX; ASSUMP_NUMERIC_ACCELERATOR_MIX</t>
        </is>
      </c>
      <c r="K562" s="3" t="inlineStr">
        <is>
          <t>ASSUMP_STARGATE_RAMP; ASSUMP_MS_OPENAI_ATTRIBUTION; ASSUMP_NUMERIC_ACCELERATOR_MIX; ASSUMP_INFERENCE_SHARE_NOT_FACT_60; ASSUMP_WORKLOAD_CLASS_MIX; ASSUMP_AGENTIC_CONTEXT_PENALTY</t>
        </is>
      </c>
      <c r="L562" s="3" t="inlineStr">
        <is>
          <t>Company fleet inventory, accelerator-hours or procurement/deployment records by GPU generation.</t>
        </is>
      </c>
    </row>
    <row r="563">
      <c r="A563" s="3" t="inlineStr">
        <is>
          <t>OpenAI</t>
        </is>
      </c>
      <c r="B563" s="3" t="n">
        <v>2030</v>
      </c>
      <c r="C563" s="3" t="inlineStr">
        <is>
          <t>Bear</t>
        </is>
      </c>
      <c r="D563" s="3" t="inlineStr">
        <is>
          <t>b200_share</t>
        </is>
      </c>
      <c r="E563" s="3" t="n">
        <v>0.524968</v>
      </c>
      <c r="F563" s="3" t="inlineStr">
        <is>
          <t>share of inference-serving accelerator load</t>
        </is>
      </c>
      <c r="G563" s="3" t="inlineStr">
        <is>
          <t>Editable numeric scenario</t>
        </is>
      </c>
      <c r="H563" s="3" t="inlineStr">
        <is>
          <t>b200_share = gpu_share * default_gpu_generation_mix_b200</t>
        </is>
      </c>
      <c r="I563" s="3" t="inlineStr">
        <is>
          <t>Default GPU-generation migration assumption; executive workbook allows later manual replacement by company/year/scenario.</t>
        </is>
      </c>
      <c r="J563" s="3" t="inlineStr">
        <is>
          <t>SRC_SEMIANALYSIS_INFERENCEX; ASSUMP_NUMERIC_ACCELERATOR_MIX</t>
        </is>
      </c>
      <c r="K563" s="3" t="inlineStr">
        <is>
          <t>ASSUMP_STARGATE_RAMP; ASSUMP_MS_OPENAI_ATTRIBUTION; ASSUMP_NUMERIC_ACCELERATOR_MIX; ASSUMP_INFERENCE_SHARE_NOT_FACT_60; ASSUMP_WORKLOAD_CLASS_MIX; ASSUMP_AGENTIC_CONTEXT_PENALTY</t>
        </is>
      </c>
      <c r="L563" s="3" t="inlineStr">
        <is>
          <t>Company fleet inventory, accelerator-hours or procurement/deployment records by GPU generation.</t>
        </is>
      </c>
    </row>
    <row r="564">
      <c r="A564" s="3" t="inlineStr">
        <is>
          <t>OpenAI</t>
        </is>
      </c>
      <c r="B564" s="3" t="n">
        <v>2030</v>
      </c>
      <c r="C564" s="3" t="inlineStr">
        <is>
          <t>Bear</t>
        </is>
      </c>
      <c r="D564" s="3" t="inlineStr">
        <is>
          <t>gb200_share</t>
        </is>
      </c>
      <c r="E564" s="3" t="n">
        <v>0.219088</v>
      </c>
      <c r="F564" s="3" t="inlineStr">
        <is>
          <t>share of inference-serving accelerator load</t>
        </is>
      </c>
      <c r="G564" s="3" t="inlineStr">
        <is>
          <t>Editable numeric scenario</t>
        </is>
      </c>
      <c r="H564" s="3" t="inlineStr">
        <is>
          <t>gb200_share = gpu_share * default_gpu_generation_mix_gb200</t>
        </is>
      </c>
      <c r="I564" s="3" t="inlineStr">
        <is>
          <t>Default GPU-generation migration assumption; executive workbook allows later manual replacement by company/year/scenario.</t>
        </is>
      </c>
      <c r="J564" s="3" t="inlineStr">
        <is>
          <t>SRC_SEMIANALYSIS_INFERENCEX; ASSUMP_NUMERIC_ACCELERATOR_MIX</t>
        </is>
      </c>
      <c r="K564" s="3" t="inlineStr">
        <is>
          <t>ASSUMP_STARGATE_RAMP; ASSUMP_MS_OPENAI_ATTRIBUTION; ASSUMP_NUMERIC_ACCELERATOR_MIX; ASSUMP_INFERENCE_SHARE_NOT_FACT_60; ASSUMP_WORKLOAD_CLASS_MIX; ASSUMP_AGENTIC_CONTEXT_PENALTY</t>
        </is>
      </c>
      <c r="L564" s="3" t="inlineStr">
        <is>
          <t>Company fleet inventory, accelerator-hours or procurement/deployment records by GPU generation.</t>
        </is>
      </c>
    </row>
    <row r="565">
      <c r="A565" s="3" t="inlineStr">
        <is>
          <t>OpenAI</t>
        </is>
      </c>
      <c r="B565" s="3" t="n">
        <v>2030</v>
      </c>
      <c r="C565" s="3" t="inlineStr">
        <is>
          <t>Bear</t>
        </is>
      </c>
      <c r="D565" s="3" t="inlineStr">
        <is>
          <t>purpose_built_accelerator_share</t>
        </is>
      </c>
      <c r="E565" s="3" t="n">
        <v>0.19802</v>
      </c>
      <c r="F565" s="3" t="inlineStr">
        <is>
          <t>share of inference-serving accelerator load</t>
        </is>
      </c>
      <c r="G565" s="3" t="inlineStr">
        <is>
          <t>Numeric scenario</t>
        </is>
      </c>
      <c r="H565" s="3" t="inlineStr">
        <is>
          <t>1 - gpu_share</t>
        </is>
      </c>
      <c r="I565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565" s="3" t="inlineStr">
        <is>
          <t>SRC_OPENAI_GPT41_DOCS; SRC_OPENAI_STARGATE_ORACLE; SRC_OPENAI_STARGATE_PROGRESS; SRC_EPOCH_AI_DATA_CENTERS; ASSUMP_NUMERIC_ACCELERATOR_MIX</t>
        </is>
      </c>
      <c r="K565" s="3" t="inlineStr">
        <is>
          <t>ASSUMP_STARGATE_RAMP; ASSUMP_MS_OPENAI_ATTRIBUTION; ASSUMP_NUMERIC_ACCELERATOR_MIX; ASSUMP_INFERENCE_SHARE_NOT_FACT_60; ASSUMP_WORKLOAD_CLASS_MIX; ASSUMP_AGENTIC_CONTEXT_PENALTY</t>
        </is>
      </c>
      <c r="L565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566">
      <c r="A566" s="3" t="inlineStr">
        <is>
          <t>OpenAI</t>
        </is>
      </c>
      <c r="B566" s="3" t="n">
        <v>2030</v>
      </c>
      <c r="C566" s="3" t="inlineStr">
        <is>
          <t>Bear</t>
        </is>
      </c>
      <c r="D566" s="3" t="inlineStr">
        <is>
          <t>fleet_reference_tps_per_mw</t>
        </is>
      </c>
      <c r="E566" s="3" t="n">
        <v>197389</v>
      </c>
      <c r="F566" s="3" t="inlineStr">
        <is>
          <t>generated output tokens/sec/MW</t>
        </is>
      </c>
      <c r="G566" s="3" t="inlineStr">
        <is>
          <t>Fleet-weighted public benchmark reference</t>
        </is>
      </c>
      <c r="H566" s="3" t="inlineStr">
        <is>
          <t>h200_share*h200_workload_avg + b200_share*b200_workload_avg + gb200_share*gb200_workload_avg + purpose_built_share*purpose_workload_avg</t>
        </is>
      </c>
      <c r="I56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66" s="3" t="inlineStr">
        <is>
          <t>SRC_SEMIANALYSIS_INFERENCEX; ASSUMP_NUMERIC_ACCELERATOR_MIX; ASSUMP_WORKLOAD_CLASS_MIX; ASSUMP_AGENTIC_CONTEXT_PENALTY</t>
        </is>
      </c>
      <c r="K566" s="3" t="inlineStr">
        <is>
          <t>ASSUMP_STARGATE_RAMP; ASSUMP_MS_OPENAI_ATTRIBUTION; ASSUMP_NUMERIC_ACCELERATOR_MIX; ASSUMP_INFERENCE_SHARE_NOT_FACT_60; ASSUMP_WORKLOAD_CLASS_MIX; ASSUMP_AGENTIC_CONTEXT_PENALTY</t>
        </is>
      </c>
      <c r="L566" s="3" t="inlineStr">
        <is>
          <t>Comparable production output-token throughput or a more closely matched benchmark.</t>
        </is>
      </c>
    </row>
    <row r="567">
      <c r="A567" s="3" t="inlineStr">
        <is>
          <t>OpenAI</t>
        </is>
      </c>
      <c r="B567" s="3" t="n">
        <v>2030</v>
      </c>
      <c r="C567" s="3" t="inlineStr">
        <is>
          <t>Bear</t>
        </is>
      </c>
      <c r="D567" s="3" t="inlineStr">
        <is>
          <t>commercial_workload_fit_factor</t>
        </is>
      </c>
      <c r="E567" s="3" t="n">
        <v>0.3</v>
      </c>
      <c r="F567" s="3" t="inlineStr">
        <is>
          <t>share of public reference throughput</t>
        </is>
      </c>
      <c r="G567" s="3" t="inlineStr">
        <is>
          <t>Scenario assumption</t>
        </is>
      </c>
      <c r="H567" s="3" t="inlineStr">
        <is>
          <t>reference_serving_tps_per_mw = fleet_reference_tps_per_mw * commercial_workload_fit_factor</t>
        </is>
      </c>
      <c r="I56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567" s="3" t="inlineStr">
        <is>
          <t>SRC_SEMIANALYSIS_INFERENCEX; ASSUMP_NUMERIC_ACCELERATOR_MIX; ASSUMP_WORKLOAD_CLASS_MIX; ASSUMP_AGENTIC_CONTEXT_PENALTY</t>
        </is>
      </c>
      <c r="K567" s="3" t="inlineStr">
        <is>
          <t>ASSUMP_STARGATE_RAMP; ASSUMP_MS_OPENAI_ATTRIBUTION; ASSUMP_NUMERIC_ACCELERATOR_MIX; ASSUMP_INFERENCE_SHARE_NOT_FACT_60; ASSUMP_WORKLOAD_CLASS_MIX; ASSUMP_AGENTIC_CONTEXT_PENALTY</t>
        </is>
      </c>
      <c r="L567" s="3" t="inlineStr">
        <is>
          <t>Matched commercial serving benchmark by product surface, context shape and latency SLO.</t>
        </is>
      </c>
    </row>
    <row r="568">
      <c r="A568" s="3" t="inlineStr">
        <is>
          <t>OpenAI</t>
        </is>
      </c>
      <c r="B568" s="3" t="n">
        <v>2030</v>
      </c>
      <c r="C568" s="3" t="inlineStr">
        <is>
          <t>Bear</t>
        </is>
      </c>
      <c r="D568" s="3" t="inlineStr">
        <is>
          <t>reference_serving_tps_per_mw</t>
        </is>
      </c>
      <c r="E568" s="3" t="n">
        <v>59217</v>
      </c>
      <c r="F568" s="3" t="inlineStr">
        <is>
          <t>generated output tokens/sec/MW</t>
        </is>
      </c>
      <c r="G568" s="3" t="inlineStr">
        <is>
          <t>Workload-adjusted benchmark proxy</t>
        </is>
      </c>
      <c r="H568" s="3" t="inlineStr">
        <is>
          <t>fleet_reference_tps_per_mw * commercial_workload_fit_factor</t>
        </is>
      </c>
      <c r="I568" s="3" t="inlineStr">
        <is>
          <t>This is the coefficient used for headline token generation; each GPU's short chat, long chat and agentic TPS/MW are weighted before fleet mix and commercial fit are applied.</t>
        </is>
      </c>
      <c r="J568" s="3" t="inlineStr">
        <is>
          <t>SRC_SEMIANALYSIS_INFERENCEX; ASSUMP_NUMERIC_ACCELERATOR_MIX; ASSUMP_WORKLOAD_CLASS_MIX; ASSUMP_AGENTIC_CONTEXT_PENALTY</t>
        </is>
      </c>
      <c r="K568" s="3" t="inlineStr">
        <is>
          <t>ASSUMP_STARGATE_RAMP; ASSUMP_MS_OPENAI_ATTRIBUTION; ASSUMP_NUMERIC_ACCELERATOR_MIX; ASSUMP_INFERENCE_SHARE_NOT_FACT_60; ASSUMP_WORKLOAD_CLASS_MIX; ASSUMP_AGENTIC_CONTEXT_PENALTY</t>
        </is>
      </c>
      <c r="L568" s="3" t="inlineStr">
        <is>
          <t>Provider production output-token throughput with comparable workload/SLO.</t>
        </is>
      </c>
    </row>
    <row r="569">
      <c r="A569" s="3" t="inlineStr">
        <is>
          <t>OpenAI</t>
        </is>
      </c>
      <c r="B569" s="3" t="n">
        <v>2030</v>
      </c>
      <c r="C569" s="3" t="inlineStr">
        <is>
          <t>Bear</t>
        </is>
      </c>
      <c r="D569" s="3" t="inlineStr">
        <is>
          <t>purpose_built_tps_per_mw</t>
        </is>
      </c>
      <c r="E569" s="3" t="n">
        <v>40592</v>
      </c>
      <c r="F569" s="3" t="inlineStr">
        <is>
          <t>generated output tokens/sec/MW</t>
        </is>
      </c>
      <c r="G569" s="3" t="inlineStr">
        <is>
          <t>Conservative no-uplift proxy</t>
        </is>
      </c>
      <c r="H569" s="3" t="inlineStr">
        <is>
          <t>purpose_built_tps_per_mw = purpose_built_reference_tps_per_mw * commercial_workload_fit_factor until comparable output-token benchmark is adopted</t>
        </is>
      </c>
      <c r="I569" s="3" t="inlineStr">
        <is>
          <t>No comparable public output-token/MW row adopted; B200 public reference placeholder is used and remains editable.</t>
        </is>
      </c>
      <c r="J569" s="3" t="inlineStr">
        <is>
          <t>SRC_OPENAI_GPT41_DOCS; SRC_OPENAI_STARGATE_ORACLE; SRC_OPENAI_STARGATE_PROGRESS; SRC_EPOCH_AI_DATA_CENTERS; ASSUMP_NUMERIC_ACCELERATOR_MIX</t>
        </is>
      </c>
      <c r="K569" s="3" t="inlineStr">
        <is>
          <t>ASSUMP_STARGATE_RAMP; ASSUMP_MS_OPENAI_ATTRIBUTION; ASSUMP_NUMERIC_ACCELERATOR_MIX; ASSUMP_INFERENCE_SHARE_NOT_FACT_60; ASSUMP_WORKLOAD_CLASS_MIX; ASSUMP_AGENTIC_CONTEXT_PENALTY</t>
        </is>
      </c>
      <c r="L569" s="3" t="inlineStr">
        <is>
          <t>Matched-workload generated-output benchmark for the provider purpose-built accelerator.</t>
        </is>
      </c>
    </row>
    <row r="570">
      <c r="A570" s="3" t="inlineStr">
        <is>
          <t>OpenAI</t>
        </is>
      </c>
      <c r="B570" s="3" t="n">
        <v>2030</v>
      </c>
      <c r="C570" s="3" t="inlineStr">
        <is>
          <t>Bear</t>
        </is>
      </c>
      <c r="D570" s="3" t="inlineStr">
        <is>
          <t>inference_power_share</t>
        </is>
      </c>
      <c r="E570" s="3" t="n">
        <v>0.68</v>
      </c>
      <c r="F570" s="3" t="inlineStr">
        <is>
          <t>share of AI IT load</t>
        </is>
      </c>
      <c r="G570" s="3" t="inlineStr">
        <is>
          <t>Scenario allocation</t>
        </is>
      </c>
      <c r="H570" s="3" t="inlineStr">
        <is>
          <t>inference_gw = ai_it_load_gw * inference_power_share</t>
        </is>
      </c>
      <c r="I570" s="3" t="inlineStr">
        <is>
          <t>ChatGPT/API/enterprise commercial surfaces support increasing inference allocation while training remains material.</t>
        </is>
      </c>
      <c r="J570" s="3" t="inlineStr">
        <is>
          <t>SRC_OPENAI_GPT41_DOCS; SRC_OPENAI_STARGATE_ORACLE; SRC_OPENAI_STARGATE_PROGRESS; SRC_EPOCH_AI_DATA_CENTERS; ASSUMP_INFERENCE_SHARE_NOT_FACT_60</t>
        </is>
      </c>
      <c r="K570" s="3" t="inlineStr">
        <is>
          <t>ASSUMP_STARGATE_RAMP; ASSUMP_MS_OPENAI_ATTRIBUTION; ASSUMP_NUMERIC_ACCELERATOR_MIX; ASSUMP_INFERENCE_SHARE_NOT_FACT_60; ASSUMP_WORKLOAD_CLASS_MIX; ASSUMP_AGENTIC_CONTEXT_PENALTY</t>
        </is>
      </c>
      <c r="L570" s="3" t="inlineStr">
        <is>
          <t>Provider-specific inference/training workload power telemetry.</t>
        </is>
      </c>
    </row>
    <row r="571">
      <c r="A571" s="3" t="inlineStr">
        <is>
          <t>OpenAI</t>
        </is>
      </c>
      <c r="B571" s="3" t="n">
        <v>2030</v>
      </c>
      <c r="C571" s="3" t="inlineStr">
        <is>
          <t>Bear</t>
        </is>
      </c>
      <c r="D571" s="3" t="inlineStr">
        <is>
          <t>inference_gw</t>
        </is>
      </c>
      <c r="E571" s="3" t="n">
        <v>3.476</v>
      </c>
      <c r="F571" s="3" t="inlineStr">
        <is>
          <t>GW</t>
        </is>
      </c>
      <c r="G571" s="3" t="inlineStr">
        <is>
          <t>Derived formula</t>
        </is>
      </c>
      <c r="H571" s="3" t="inlineStr">
        <is>
          <t>ai_it_load_gw * inference_power_share</t>
        </is>
      </c>
      <c r="I571" s="3" t="inlineStr">
        <is>
          <t>This is the operational power eligible to become commercial generated output tokens through the selected TPS/MW proxy.</t>
        </is>
      </c>
      <c r="J571" s="3" t="inlineStr">
        <is>
          <t>SRC_OPENAI_GPT41_DOCS; SRC_OPENAI_STARGATE_ORACLE; SRC_OPENAI_STARGATE_PROGRESS; SRC_EPOCH_AI_DATA_CENTERS</t>
        </is>
      </c>
      <c r="K571" s="3" t="inlineStr">
        <is>
          <t>ASSUMP_STARGATE_RAMP; ASSUMP_MS_OPENAI_ATTRIBUTION; ASSUMP_NUMERIC_ACCELERATOR_MIX; ASSUMP_INFERENCE_SHARE_NOT_FACT_60; ASSUMP_WORKLOAD_CLASS_MIX; ASSUMP_AGENTIC_CONTEXT_PENALTY</t>
        </is>
      </c>
      <c r="L571" s="3" t="inlineStr">
        <is>
          <t>Recompute after AI allocation or inference-share evidence changes.</t>
        </is>
      </c>
    </row>
    <row r="572">
      <c r="A572" s="3" t="inlineStr">
        <is>
          <t>OpenAI</t>
        </is>
      </c>
      <c r="B572" s="3" t="n">
        <v>2030</v>
      </c>
      <c r="C572" s="3" t="inlineStr">
        <is>
          <t>Bear</t>
        </is>
      </c>
      <c r="D572" s="3" t="inlineStr">
        <is>
          <t>training_power_share</t>
        </is>
      </c>
      <c r="E572" s="3" t="n">
        <v>0.32</v>
      </c>
      <c r="F572" s="3" t="inlineStr">
        <is>
          <t>share of AI IT load</t>
        </is>
      </c>
      <c r="G572" s="3" t="inlineStr">
        <is>
          <t>Derived allocation</t>
        </is>
      </c>
      <c r="H572" s="3" t="inlineStr">
        <is>
          <t>1 - inference_power_share</t>
        </is>
      </c>
      <c r="I572" s="3" t="inlineStr">
        <is>
          <t>Training receives the complementary modeled AI IT allocation; it is not a disclosed company workload split.</t>
        </is>
      </c>
      <c r="J572" s="3" t="inlineStr">
        <is>
          <t>SRC_OPENAI_GPT41_DOCS; SRC_OPENAI_STARGATE_ORACLE; SRC_OPENAI_STARGATE_PROGRESS; SRC_EPOCH_AI_DATA_CENTERS; ASSUMP_INFERENCE_SHARE_NOT_FACT_60</t>
        </is>
      </c>
      <c r="K572" s="3" t="inlineStr">
        <is>
          <t>ASSUMP_STARGATE_RAMP; ASSUMP_MS_OPENAI_ATTRIBUTION; ASSUMP_NUMERIC_ACCELERATOR_MIX; ASSUMP_INFERENCE_SHARE_NOT_FACT_60; ASSUMP_WORKLOAD_CLASS_MIX; ASSUMP_AGENTIC_CONTEXT_PENALTY</t>
        </is>
      </c>
      <c r="L572" s="3" t="inlineStr">
        <is>
          <t>Provider-specific inference/training workload power telemetry.</t>
        </is>
      </c>
    </row>
    <row r="573">
      <c r="A573" s="3" t="inlineStr">
        <is>
          <t>OpenAI</t>
        </is>
      </c>
      <c r="B573" s="3" t="n">
        <v>2030</v>
      </c>
      <c r="C573" s="3" t="inlineStr">
        <is>
          <t>Bear</t>
        </is>
      </c>
      <c r="D573" s="3" t="inlineStr">
        <is>
          <t>training_gw</t>
        </is>
      </c>
      <c r="E573" s="3" t="n">
        <v>1.636</v>
      </c>
      <c r="F573" s="3" t="inlineStr">
        <is>
          <t>GW</t>
        </is>
      </c>
      <c r="G573" s="3" t="inlineStr">
        <is>
          <t>Derived formula</t>
        </is>
      </c>
      <c r="H573" s="3" t="inlineStr">
        <is>
          <t>ai_it_load_gw * training_power_share</t>
        </is>
      </c>
      <c r="I573" s="3" t="inlineStr">
        <is>
          <t>Training GW is shown separately so commercial inference token capacity is not overstated.</t>
        </is>
      </c>
      <c r="J573" s="3" t="inlineStr">
        <is>
          <t>SRC_OPENAI_GPT41_DOCS; SRC_OPENAI_STARGATE_ORACLE; SRC_OPENAI_STARGATE_PROGRESS; SRC_EPOCH_AI_DATA_CENTERS</t>
        </is>
      </c>
      <c r="K573" s="3" t="inlineStr">
        <is>
          <t>ASSUMP_STARGATE_RAMP; ASSUMP_MS_OPENAI_ATTRIBUTION; ASSUMP_NUMERIC_ACCELERATOR_MIX; ASSUMP_INFERENCE_SHARE_NOT_FACT_60; ASSUMP_WORKLOAD_CLASS_MIX; ASSUMP_AGENTIC_CONTEXT_PENALTY</t>
        </is>
      </c>
      <c r="L573" s="3" t="inlineStr">
        <is>
          <t>Recompute after AI allocation or workload-split evidence changes.</t>
        </is>
      </c>
    </row>
    <row r="574">
      <c r="A574" s="3" t="inlineStr">
        <is>
          <t>OpenAI</t>
        </is>
      </c>
      <c r="B574" s="3" t="n">
        <v>2030</v>
      </c>
      <c r="C574" s="3" t="inlineStr">
        <is>
          <t>Bear</t>
        </is>
      </c>
      <c r="D574" s="3" t="inlineStr">
        <is>
          <t>tokens_per_second_per_mw</t>
        </is>
      </c>
      <c r="E574" s="3" t="n">
        <v>59217</v>
      </c>
      <c r="F574" s="3" t="inlineStr">
        <is>
          <t>generated output tokens/sec/MW</t>
        </is>
      </c>
      <c r="G574" s="3" t="inlineStr">
        <is>
          <t>Derived estimate + benchmark calibration</t>
        </is>
      </c>
      <c r="H574" s="3" t="inlineStr">
        <is>
          <t>fleet_reference_tps_per_mw * commercial_workload_fit_factor</t>
        </is>
      </c>
      <c r="I57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574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574" s="3" t="inlineStr">
        <is>
          <t>ASSUMP_STARGATE_RAMP; ASSUMP_MS_OPENAI_ATTRIBUTION; ASSUMP_NUMERIC_ACCELERATOR_MIX; ASSUMP_INFERENCE_SHARE_NOT_FACT_60; ASSUMP_WORKLOAD_CLASS_MIX; ASSUMP_AGENTIC_CONTEXT_PENALTY</t>
        </is>
      </c>
      <c r="L574" s="3" t="inlineStr">
        <is>
          <t>Comparable production output-token throughput with model, hardware, precision, ISL/OSL and SLO matched.</t>
        </is>
      </c>
    </row>
    <row r="575">
      <c r="A575" s="3" t="inlineStr">
        <is>
          <t>OpenAI</t>
        </is>
      </c>
      <c r="B575" s="3" t="n">
        <v>2030</v>
      </c>
      <c r="C575" s="3" t="inlineStr">
        <is>
          <t>Bear</t>
        </is>
      </c>
      <c r="D575" s="3" t="inlineStr">
        <is>
          <t>inference_tokens_per_day</t>
        </is>
      </c>
      <c r="E575" s="3" t="n">
        <v>17784428428800</v>
      </c>
      <c r="F575" s="3" t="inlineStr">
        <is>
          <t>generated output tokens/day</t>
        </is>
      </c>
      <c r="G575" s="3" t="inlineStr">
        <is>
          <t>Derived headline metric</t>
        </is>
      </c>
      <c r="H575" s="3" t="inlineStr">
        <is>
          <t>inference_gw * 1000 * tokens_per_second_per_mw * 86,400</t>
        </is>
      </c>
      <c r="I575" s="3" t="inlineStr">
        <is>
          <t>Headline capacity uses no utilization, MoE, architecture or software-growth multiplier; it is not observed commercial output volume.</t>
        </is>
      </c>
      <c r="J575" s="3" t="inlineStr">
        <is>
          <t>SRC_OPENAI_GPT41_DOCS; SRC_OPENAI_STARGATE_ORACLE; SRC_OPENAI_STARGATE_PROGRESS; SRC_EPOCH_AI_DATA_CENTERS; SRC_SEMIANALYSIS_INFERENCEX</t>
        </is>
      </c>
      <c r="K575" s="3" t="inlineStr">
        <is>
          <t>ASSUMP_STARGATE_RAMP; ASSUMP_MS_OPENAI_ATTRIBUTION; ASSUMP_NUMERIC_ACCELERATOR_MIX; ASSUMP_INFERENCE_SHARE_NOT_FACT_60; ASSUMP_WORKLOAD_CLASS_MIX; ASSUMP_AGENTIC_CONTEXT_PENALTY</t>
        </is>
      </c>
      <c r="L575" s="3" t="inlineStr">
        <is>
          <t>Provider-disclosed generated output token volume or calibrated capacity telemetry.</t>
        </is>
      </c>
    </row>
    <row r="576">
      <c r="A576" s="3" t="inlineStr">
        <is>
          <t>OpenAI</t>
        </is>
      </c>
      <c r="B576" s="3" t="n">
        <v>2030</v>
      </c>
      <c r="C576" s="3" t="inlineStr">
        <is>
          <t>Bear</t>
        </is>
      </c>
      <c r="D576" s="3" t="inlineStr">
        <is>
          <t>inference_tokens_per_year</t>
        </is>
      </c>
      <c r="E576" s="3" t="n">
        <v>6491316376512000</v>
      </c>
      <c r="F576" s="3" t="inlineStr">
        <is>
          <t>generated output tokens/year</t>
        </is>
      </c>
      <c r="G576" s="3" t="inlineStr">
        <is>
          <t>Derived headline metric</t>
        </is>
      </c>
      <c r="H576" s="3" t="inlineStr">
        <is>
          <t>inference_tokens_per_day * 365</t>
        </is>
      </c>
      <c r="I576" s="3" t="inlineStr">
        <is>
          <t>Annualized version of generated output token capacity; it is not observed annual demand or billable volume.</t>
        </is>
      </c>
      <c r="J576" s="3" t="inlineStr">
        <is>
          <t>SRC_OPENAI_GPT41_DOCS; SRC_OPENAI_STARGATE_ORACLE; SRC_OPENAI_STARGATE_PROGRESS; SRC_EPOCH_AI_DATA_CENTERS; SRC_SEMIANALYSIS_INFERENCEX</t>
        </is>
      </c>
      <c r="K576" s="3" t="inlineStr">
        <is>
          <t>ASSUMP_STARGATE_RAMP; ASSUMP_MS_OPENAI_ATTRIBUTION; ASSUMP_NUMERIC_ACCELERATOR_MIX; ASSUMP_INFERENCE_SHARE_NOT_FACT_60; ASSUMP_WORKLOAD_CLASS_MIX; ASSUMP_AGENTIC_CONTEXT_PENALTY</t>
        </is>
      </c>
      <c r="L576" s="3" t="inlineStr">
        <is>
          <t>Provider-disclosed annual generated-output volume or metered serving telemetry.</t>
        </is>
      </c>
    </row>
    <row r="577">
      <c r="A577" s="3" t="inlineStr">
        <is>
          <t>Anthropic</t>
        </is>
      </c>
      <c r="B577" s="3" t="n">
        <v>2026</v>
      </c>
      <c r="C577" s="3" t="inlineStr">
        <is>
          <t>Bear</t>
        </is>
      </c>
      <c r="D577" s="3" t="inlineStr">
        <is>
          <t>contracted_power_gw</t>
        </is>
      </c>
      <c r="E577" s="3" t="n">
        <v>3.5</v>
      </c>
      <c r="F577" s="3" t="inlineStr">
        <is>
          <t>GW</t>
        </is>
      </c>
      <c r="G577" s="3" t="inlineStr">
        <is>
          <t>Fact anchor + scenario ceiling</t>
        </is>
      </c>
      <c r="H577" s="3" t="inlineStr">
        <is>
          <t>linear interpolation between 2026 and 2030 company capacity endpoints</t>
        </is>
      </c>
      <c r="I577" s="3" t="inlineStr">
        <is>
          <t>Hosted capacity envelope is anchored by Anthropic/AWS Project Rainier direction; it is attributed to Claude outputs, not AWS as a model owner.</t>
        </is>
      </c>
      <c r="J577" s="3" t="inlineStr">
        <is>
          <t>SRC_ANTHROPIC_AMAZON_COMPUTE; SRC_AWS_RAINIER_ACTIVE; ASSUMP_POWER_RAMP</t>
        </is>
      </c>
      <c r="K577" s="3" t="inlineStr">
        <is>
          <t>ASSUMP_POWER_RAMP; ASSUMP_CLOSED_MODEL_BAND; ASSUMP_NUMERIC_ACCELERATOR_MIX; ASSUMP_INFERENCE_SHARE_NOT_FACT_60; ASSUMP_WORKLOAD_CLASS_MIX; ASSUMP_AGENTIC_CONTEXT_PENALTY</t>
        </is>
      </c>
      <c r="L577" s="3" t="inlineStr">
        <is>
          <t>Company/site-level committed MW/GW, interconnect and contract disclosure.</t>
        </is>
      </c>
    </row>
    <row r="578">
      <c r="A578" s="3" t="inlineStr">
        <is>
          <t>Anthropic</t>
        </is>
      </c>
      <c r="B578" s="3" t="n">
        <v>2026</v>
      </c>
      <c r="C578" s="3" t="inlineStr">
        <is>
          <t>Bear</t>
        </is>
      </c>
      <c r="D578" s="3" t="inlineStr">
        <is>
          <t>operational_deployment_share</t>
        </is>
      </c>
      <c r="E578" s="3" t="n">
        <v>0.25714286</v>
      </c>
      <c r="F578" s="3" t="inlineStr">
        <is>
          <t>share</t>
        </is>
      </c>
      <c r="G578" s="3" t="inlineStr">
        <is>
          <t>Scenario conversion</t>
        </is>
      </c>
      <c r="H578" s="3" t="inlineStr">
        <is>
          <t>active_power_gw / contracted_power_gw</t>
        </is>
      </c>
      <c r="I578" s="3" t="inlineStr">
        <is>
          <t>This is the single explicit conversion from contracted/attributed capacity to operationally usable capacity.</t>
        </is>
      </c>
      <c r="J578" s="3" t="inlineStr">
        <is>
          <t>SRC_ANTHROPIC_AMAZON_COMPUTE; SRC_AWS_RAINIER_ACTIVE; ASSUMP_POWER_RAMP</t>
        </is>
      </c>
      <c r="K578" s="3" t="inlineStr">
        <is>
          <t>ASSUMP_POWER_RAMP; ASSUMP_CLOSED_MODEL_BAND; ASSUMP_NUMERIC_ACCELERATOR_MIX; ASSUMP_INFERENCE_SHARE_NOT_FACT_60; ASSUMP_WORKLOAD_CLASS_MIX; ASSUMP_AGENTIC_CONTEXT_PENALTY</t>
        </is>
      </c>
      <c r="L578" s="3" t="inlineStr">
        <is>
          <t>Energized operational capacity divided by contracted/attributed capacity.</t>
        </is>
      </c>
    </row>
    <row r="579">
      <c r="A579" s="3" t="inlineStr">
        <is>
          <t>Anthropic</t>
        </is>
      </c>
      <c r="B579" s="3" t="n">
        <v>2026</v>
      </c>
      <c r="C579" s="3" t="inlineStr">
        <is>
          <t>Bear</t>
        </is>
      </c>
      <c r="D579" s="3" t="inlineStr">
        <is>
          <t>active_power_gw</t>
        </is>
      </c>
      <c r="E579" s="3" t="n">
        <v>0.9</v>
      </c>
      <c r="F579" s="3" t="inlineStr">
        <is>
          <t>GW</t>
        </is>
      </c>
      <c r="G579" s="3" t="inlineStr">
        <is>
          <t>Derived scenario</t>
        </is>
      </c>
      <c r="H579" s="3" t="inlineStr">
        <is>
          <t>contracted_power_gw * operational_deployment_share</t>
        </is>
      </c>
      <c r="I579" s="3" t="inlineStr">
        <is>
          <t>Trainium cluster activation supports staged active ramp; Claude inference-versus-training use remains estimated.</t>
        </is>
      </c>
      <c r="J579" s="3" t="inlineStr">
        <is>
          <t>SRC_ANTHROPIC_AMAZON_COMPUTE; SRC_AWS_RAINIER_ACTIVE; ASSUMP_POWER_RAMP</t>
        </is>
      </c>
      <c r="K579" s="3" t="inlineStr">
        <is>
          <t>ASSUMP_POWER_RAMP; ASSUMP_CLOSED_MODEL_BAND; ASSUMP_NUMERIC_ACCELERATOR_MIX; ASSUMP_INFERENCE_SHARE_NOT_FACT_60; ASSUMP_WORKLOAD_CLASS_MIX; ASSUMP_AGENTIC_CONTEXT_PENALTY</t>
        </is>
      </c>
      <c r="L579" s="3" t="inlineStr">
        <is>
          <t>Energization dates, accelerator deliveries and operational powered-rack telemetry.</t>
        </is>
      </c>
    </row>
    <row r="580">
      <c r="A580" s="3" t="inlineStr">
        <is>
          <t>Anthropic</t>
        </is>
      </c>
      <c r="B580" s="3" t="n">
        <v>2026</v>
      </c>
      <c r="C580" s="3" t="inlineStr">
        <is>
          <t>Bear</t>
        </is>
      </c>
      <c r="D580" s="3" t="inlineStr">
        <is>
          <t>pue</t>
        </is>
      </c>
      <c r="E580" s="3" t="n">
        <v>1.18</v>
      </c>
      <c r="F580" s="3" t="inlineStr">
        <is>
          <t>ratio</t>
        </is>
      </c>
      <c r="G580" s="3" t="inlineStr">
        <is>
          <t>Scenario parameter</t>
        </is>
      </c>
      <c r="H580" s="3" t="inlineStr">
        <is>
          <t>it_load_gw = active_power_gw / pue</t>
        </is>
      </c>
      <c r="I580" s="3" t="inlineStr">
        <is>
          <t>No provider-wide site-level PUE is used as a disclosed fact; PUE represents facility-to-IT conversion within the scenario.</t>
        </is>
      </c>
      <c r="J580" s="3" t="inlineStr">
        <is>
          <t>ASSUMP_POWER_RAMP</t>
        </is>
      </c>
      <c r="K580" s="3" t="inlineStr">
        <is>
          <t>ASSUMP_POWER_RAMP; ASSUMP_CLOSED_MODEL_BAND; ASSUMP_NUMERIC_ACCELERATOR_MIX; ASSUMP_INFERENCE_SHARE_NOT_FACT_60; ASSUMP_WORKLOAD_CLASS_MIX; ASSUMP_AGENTIC_CONTEXT_PENALTY</t>
        </is>
      </c>
      <c r="L580" s="3" t="inlineStr">
        <is>
          <t>Site-level measured PUE matched to attributed AI capacity.</t>
        </is>
      </c>
    </row>
    <row r="581">
      <c r="A581" s="3" t="inlineStr">
        <is>
          <t>Anthropic</t>
        </is>
      </c>
      <c r="B581" s="3" t="n">
        <v>2026</v>
      </c>
      <c r="C581" s="3" t="inlineStr">
        <is>
          <t>Bear</t>
        </is>
      </c>
      <c r="D581" s="3" t="inlineStr">
        <is>
          <t>it_load_gw</t>
        </is>
      </c>
      <c r="E581" s="3" t="n">
        <v>0.763</v>
      </c>
      <c r="F581" s="3" t="inlineStr">
        <is>
          <t>GW</t>
        </is>
      </c>
      <c r="G581" s="3" t="inlineStr">
        <is>
          <t>Derived formula</t>
        </is>
      </c>
      <c r="H581" s="3" t="inlineStr">
        <is>
          <t>active_power_gw / pue</t>
        </is>
      </c>
      <c r="I581" s="3" t="inlineStr">
        <is>
          <t>Facility power is converted to IT-deliverable power before attributing AI workloads.</t>
        </is>
      </c>
      <c r="J581" s="3" t="inlineStr">
        <is>
          <t>SRC_ANTHROPIC_AMAZON_COMPUTE; SRC_AWS_RAINIER_ACTIVE; ASSUMP_POWER_RAMP</t>
        </is>
      </c>
      <c r="K581" s="3" t="inlineStr">
        <is>
          <t>ASSUMP_POWER_RAMP; ASSUMP_CLOSED_MODEL_BAND; ASSUMP_NUMERIC_ACCELERATOR_MIX; ASSUMP_INFERENCE_SHARE_NOT_FACT_60; ASSUMP_WORKLOAD_CLASS_MIX; ASSUMP_AGENTIC_CONTEXT_PENALTY</t>
        </is>
      </c>
      <c r="L581" s="3" t="inlineStr">
        <is>
          <t>Recompute once active power and PUE become site-observable.</t>
        </is>
      </c>
    </row>
    <row r="582">
      <c r="A582" s="3" t="inlineStr">
        <is>
          <t>Anthropic</t>
        </is>
      </c>
      <c r="B582" s="3" t="n">
        <v>2026</v>
      </c>
      <c r="C582" s="3" t="inlineStr">
        <is>
          <t>Bear</t>
        </is>
      </c>
      <c r="D582" s="3" t="inlineStr">
        <is>
          <t>ai_workload_share</t>
        </is>
      </c>
      <c r="E582" s="3" t="n">
        <v>0.86</v>
      </c>
      <c r="F582" s="3" t="inlineStr">
        <is>
          <t>share</t>
        </is>
      </c>
      <c r="G582" s="3" t="inlineStr">
        <is>
          <t>Scenario allocation</t>
        </is>
      </c>
      <c r="H582" s="3" t="inlineStr">
        <is>
          <t>ai_it_load_gw = it_load_gw * ai_workload_share</t>
        </is>
      </c>
      <c r="I582" s="3" t="inlineStr">
        <is>
          <t>Anthropic-directed hosted capacity is predominantly AI; 86% excludes platform, reserve and non-serving allocation.</t>
        </is>
      </c>
      <c r="J582" s="3" t="inlineStr">
        <is>
          <t>SRC_ANTHROPIC_CLAUDE_DOCS; SRC_ANTHROPIC_AMAZON_COMPUTE; SRC_AWS_RAINIER_ACTIVE; SRC_EPOCH_AI_DATA_CENTERS</t>
        </is>
      </c>
      <c r="K582" s="3" t="inlineStr">
        <is>
          <t>ASSUMP_POWER_RAMP; ASSUMP_CLOSED_MODEL_BAND; ASSUMP_NUMERIC_ACCELERATOR_MIX; ASSUMP_INFERENCE_SHARE_NOT_FACT_60; ASSUMP_WORKLOAD_CLASS_MIX; ASSUMP_AGENTIC_CONTEXT_PENALTY</t>
        </is>
      </c>
      <c r="L582" s="3" t="inlineStr">
        <is>
          <t>Model-owner AI workload allocation or cluster scheduling telemetry.</t>
        </is>
      </c>
    </row>
    <row r="583">
      <c r="A583" s="3" t="inlineStr">
        <is>
          <t>Anthropic</t>
        </is>
      </c>
      <c r="B583" s="3" t="n">
        <v>2026</v>
      </c>
      <c r="C583" s="3" t="inlineStr">
        <is>
          <t>Bear</t>
        </is>
      </c>
      <c r="D583" s="3" t="inlineStr">
        <is>
          <t>ai_it_load_gw</t>
        </is>
      </c>
      <c r="E583" s="3" t="n">
        <v>0.656</v>
      </c>
      <c r="F583" s="3" t="inlineStr">
        <is>
          <t>GW</t>
        </is>
      </c>
      <c r="G583" s="3" t="inlineStr">
        <is>
          <t>Derived formula</t>
        </is>
      </c>
      <c r="H583" s="3" t="inlineStr">
        <is>
          <t>it_load_gw * ai_workload_share</t>
        </is>
      </c>
      <c r="I583" s="3" t="inlineStr">
        <is>
          <t>Only the AI-attributed portion of IT load enters training/inference allocation.</t>
        </is>
      </c>
      <c r="J583" s="3" t="inlineStr">
        <is>
          <t>SRC_ANTHROPIC_CLAUDE_DOCS; SRC_ANTHROPIC_AMAZON_COMPUTE; SRC_AWS_RAINIER_ACTIVE; SRC_EPOCH_AI_DATA_CENTERS</t>
        </is>
      </c>
      <c r="K583" s="3" t="inlineStr">
        <is>
          <t>ASSUMP_POWER_RAMP; ASSUMP_CLOSED_MODEL_BAND; ASSUMP_NUMERIC_ACCELERATOR_MIX; ASSUMP_INFERENCE_SHARE_NOT_FACT_60; ASSUMP_WORKLOAD_CLASS_MIX; ASSUMP_AGENTIC_CONTEXT_PENALTY</t>
        </is>
      </c>
      <c r="L583" s="3" t="inlineStr">
        <is>
          <t>Recompute after ai_workload_share is replaced by telemetry.</t>
        </is>
      </c>
    </row>
    <row r="584">
      <c r="A584" s="3" t="inlineStr">
        <is>
          <t>Anthropic</t>
        </is>
      </c>
      <c r="B584" s="3" t="n">
        <v>2026</v>
      </c>
      <c r="C584" s="3" t="inlineStr">
        <is>
          <t>Bear</t>
        </is>
      </c>
      <c r="D584" s="3" t="inlineStr">
        <is>
          <t>gpu_share</t>
        </is>
      </c>
      <c r="E584" s="3" t="n">
        <v>0.320539</v>
      </c>
      <c r="F584" s="3" t="inlineStr">
        <is>
          <t>share of inference-serving accelerator load</t>
        </is>
      </c>
      <c r="G584" s="3" t="inlineStr">
        <is>
          <t>Numeric scenario</t>
        </is>
      </c>
      <c r="H584" s="3" t="inlineStr">
        <is>
          <t>gpu_share interpolated from company 2026/2030 accelerator-mix endpoints</t>
        </is>
      </c>
      <c r="I584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584" s="3" t="inlineStr">
        <is>
          <t>SRC_ANTHROPIC_CLAUDE_DOCS; SRC_ANTHROPIC_AMAZON_COMPUTE; SRC_AWS_RAINIER_ACTIVE; SRC_EPOCH_AI_DATA_CENTERS; ASSUMP_NUMERIC_ACCELERATOR_MIX</t>
        </is>
      </c>
      <c r="K584" s="3" t="inlineStr">
        <is>
          <t>ASSUMP_POWER_RAMP; ASSUMP_CLOSED_MODEL_BAND; ASSUMP_NUMERIC_ACCELERATOR_MIX; ASSUMP_INFERENCE_SHARE_NOT_FACT_60; ASSUMP_WORKLOAD_CLASS_MIX; ASSUMP_AGENTIC_CONTEXT_PENALTY</t>
        </is>
      </c>
      <c r="L584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585">
      <c r="A585" s="3" t="inlineStr">
        <is>
          <t>Anthropic</t>
        </is>
      </c>
      <c r="B585" s="3" t="n">
        <v>2026</v>
      </c>
      <c r="C585" s="3" t="inlineStr">
        <is>
          <t>Bear</t>
        </is>
      </c>
      <c r="D585" s="3" t="inlineStr">
        <is>
          <t>h200_share</t>
        </is>
      </c>
      <c r="E585" s="3" t="n">
        <v>0.138978</v>
      </c>
      <c r="F585" s="3" t="inlineStr">
        <is>
          <t>share of inference-serving accelerator load</t>
        </is>
      </c>
      <c r="G585" s="3" t="inlineStr">
        <is>
          <t>Editable numeric scenario</t>
        </is>
      </c>
      <c r="H585" s="3" t="inlineStr">
        <is>
          <t>h200_share = gpu_share * default_gpu_generation_mix_h200</t>
        </is>
      </c>
      <c r="I585" s="3" t="inlineStr">
        <is>
          <t>Default GPU-generation migration assumption; executive workbook allows later manual replacement by company/year/scenario.</t>
        </is>
      </c>
      <c r="J585" s="3" t="inlineStr">
        <is>
          <t>SRC_SEMIANALYSIS_INFERENCEX; ASSUMP_NUMERIC_ACCELERATOR_MIX</t>
        </is>
      </c>
      <c r="K585" s="3" t="inlineStr">
        <is>
          <t>ASSUMP_POWER_RAMP; ASSUMP_CLOSED_MODEL_BAND; ASSUMP_NUMERIC_ACCELERATOR_MIX; ASSUMP_INFERENCE_SHARE_NOT_FACT_60; ASSUMP_WORKLOAD_CLASS_MIX; ASSUMP_AGENTIC_CONTEXT_PENALTY</t>
        </is>
      </c>
      <c r="L585" s="3" t="inlineStr">
        <is>
          <t>Company fleet inventory, accelerator-hours or procurement/deployment records by GPU generation.</t>
        </is>
      </c>
    </row>
    <row r="586">
      <c r="A586" s="3" t="inlineStr">
        <is>
          <t>Anthropic</t>
        </is>
      </c>
      <c r="B586" s="3" t="n">
        <v>2026</v>
      </c>
      <c r="C586" s="3" t="inlineStr">
        <is>
          <t>Bear</t>
        </is>
      </c>
      <c r="D586" s="3" t="inlineStr">
        <is>
          <t>b200_share</t>
        </is>
      </c>
      <c r="E586" s="3" t="n">
        <v>0.181561</v>
      </c>
      <c r="F586" s="3" t="inlineStr">
        <is>
          <t>share of inference-serving accelerator load</t>
        </is>
      </c>
      <c r="G586" s="3" t="inlineStr">
        <is>
          <t>Editable numeric scenario</t>
        </is>
      </c>
      <c r="H586" s="3" t="inlineStr">
        <is>
          <t>b200_share = gpu_share * default_gpu_generation_mix_b200</t>
        </is>
      </c>
      <c r="I586" s="3" t="inlineStr">
        <is>
          <t>Default GPU-generation migration assumption; executive workbook allows later manual replacement by company/year/scenario.</t>
        </is>
      </c>
      <c r="J586" s="3" t="inlineStr">
        <is>
          <t>SRC_SEMIANALYSIS_INFERENCEX; ASSUMP_NUMERIC_ACCELERATOR_MIX</t>
        </is>
      </c>
      <c r="K586" s="3" t="inlineStr">
        <is>
          <t>ASSUMP_POWER_RAMP; ASSUMP_CLOSED_MODEL_BAND; ASSUMP_NUMERIC_ACCELERATOR_MIX; ASSUMP_INFERENCE_SHARE_NOT_FACT_60; ASSUMP_WORKLOAD_CLASS_MIX; ASSUMP_AGENTIC_CONTEXT_PENALTY</t>
        </is>
      </c>
      <c r="L586" s="3" t="inlineStr">
        <is>
          <t>Company fleet inventory, accelerator-hours or procurement/deployment records by GPU generation.</t>
        </is>
      </c>
    </row>
    <row r="587">
      <c r="A587" s="3" t="inlineStr">
        <is>
          <t>Anthropic</t>
        </is>
      </c>
      <c r="B587" s="3" t="n">
        <v>2026</v>
      </c>
      <c r="C587" s="3" t="inlineStr">
        <is>
          <t>Bear</t>
        </is>
      </c>
      <c r="D587" s="3" t="inlineStr">
        <is>
          <t>gb200_share</t>
        </is>
      </c>
      <c r="E587" s="3" t="n">
        <v>0</v>
      </c>
      <c r="F587" s="3" t="inlineStr">
        <is>
          <t>share of inference-serving accelerator load</t>
        </is>
      </c>
      <c r="G587" s="3" t="inlineStr">
        <is>
          <t>Editable numeric scenario</t>
        </is>
      </c>
      <c r="H587" s="3" t="inlineStr">
        <is>
          <t>gb200_share = gpu_share * default_gpu_generation_mix_gb200</t>
        </is>
      </c>
      <c r="I587" s="3" t="inlineStr">
        <is>
          <t>Default GPU-generation migration assumption; executive workbook allows later manual replacement by company/year/scenario.</t>
        </is>
      </c>
      <c r="J587" s="3" t="inlineStr">
        <is>
          <t>SRC_SEMIANALYSIS_INFERENCEX; ASSUMP_NUMERIC_ACCELERATOR_MIX</t>
        </is>
      </c>
      <c r="K587" s="3" t="inlineStr">
        <is>
          <t>ASSUMP_POWER_RAMP; ASSUMP_CLOSED_MODEL_BAND; ASSUMP_NUMERIC_ACCELERATOR_MIX; ASSUMP_INFERENCE_SHARE_NOT_FACT_60; ASSUMP_WORKLOAD_CLASS_MIX; ASSUMP_AGENTIC_CONTEXT_PENALTY</t>
        </is>
      </c>
      <c r="L587" s="3" t="inlineStr">
        <is>
          <t>Company fleet inventory, accelerator-hours or procurement/deployment records by GPU generation.</t>
        </is>
      </c>
    </row>
    <row r="588">
      <c r="A588" s="3" t="inlineStr">
        <is>
          <t>Anthropic</t>
        </is>
      </c>
      <c r="B588" s="3" t="n">
        <v>2026</v>
      </c>
      <c r="C588" s="3" t="inlineStr">
        <is>
          <t>Bear</t>
        </is>
      </c>
      <c r="D588" s="3" t="inlineStr">
        <is>
          <t>purpose_built_accelerator_share</t>
        </is>
      </c>
      <c r="E588" s="3" t="n">
        <v>0.679461</v>
      </c>
      <c r="F588" s="3" t="inlineStr">
        <is>
          <t>share of inference-serving accelerator load</t>
        </is>
      </c>
      <c r="G588" s="3" t="inlineStr">
        <is>
          <t>Numeric scenario</t>
        </is>
      </c>
      <c r="H588" s="3" t="inlineStr">
        <is>
          <t>1 - gpu_share</t>
        </is>
      </c>
      <c r="I588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588" s="3" t="inlineStr">
        <is>
          <t>SRC_ANTHROPIC_CLAUDE_DOCS; SRC_ANTHROPIC_AMAZON_COMPUTE; SRC_AWS_RAINIER_ACTIVE; SRC_EPOCH_AI_DATA_CENTERS; ASSUMP_NUMERIC_ACCELERATOR_MIX</t>
        </is>
      </c>
      <c r="K588" s="3" t="inlineStr">
        <is>
          <t>ASSUMP_POWER_RAMP; ASSUMP_CLOSED_MODEL_BAND; ASSUMP_NUMERIC_ACCELERATOR_MIX; ASSUMP_INFERENCE_SHARE_NOT_FACT_60; ASSUMP_WORKLOAD_CLASS_MIX; ASSUMP_AGENTIC_CONTEXT_PENALTY</t>
        </is>
      </c>
      <c r="L588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589">
      <c r="A589" s="3" t="inlineStr">
        <is>
          <t>Anthropic</t>
        </is>
      </c>
      <c r="B589" s="3" t="n">
        <v>2026</v>
      </c>
      <c r="C589" s="3" t="inlineStr">
        <is>
          <t>Bear</t>
        </is>
      </c>
      <c r="D589" s="3" t="inlineStr">
        <is>
          <t>fleet_reference_tps_per_mw</t>
        </is>
      </c>
      <c r="E589" s="3" t="n">
        <v>244773</v>
      </c>
      <c r="F589" s="3" t="inlineStr">
        <is>
          <t>generated output tokens/sec/MW</t>
        </is>
      </c>
      <c r="G589" s="3" t="inlineStr">
        <is>
          <t>Fleet-weighted public benchmark reference</t>
        </is>
      </c>
      <c r="H589" s="3" t="inlineStr">
        <is>
          <t>h200_share*h200_workload_avg + b200_share*b200_workload_avg + gb200_share*gb200_workload_avg + purpose_built_share*purpose_workload_avg</t>
        </is>
      </c>
      <c r="I58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589" s="3" t="inlineStr">
        <is>
          <t>SRC_SEMIANALYSIS_INFERENCEX; ASSUMP_NUMERIC_ACCELERATOR_MIX; ASSUMP_WORKLOAD_CLASS_MIX; ASSUMP_AGENTIC_CONTEXT_PENALTY</t>
        </is>
      </c>
      <c r="K589" s="3" t="inlineStr">
        <is>
          <t>ASSUMP_POWER_RAMP; ASSUMP_CLOSED_MODEL_BAND; ASSUMP_NUMERIC_ACCELERATOR_MIX; ASSUMP_INFERENCE_SHARE_NOT_FACT_60; ASSUMP_WORKLOAD_CLASS_MIX; ASSUMP_AGENTIC_CONTEXT_PENALTY</t>
        </is>
      </c>
      <c r="L589" s="3" t="inlineStr">
        <is>
          <t>Comparable production output-token throughput or a more closely matched benchmark.</t>
        </is>
      </c>
    </row>
    <row r="590">
      <c r="A590" s="3" t="inlineStr">
        <is>
          <t>Anthropic</t>
        </is>
      </c>
      <c r="B590" s="3" t="n">
        <v>2026</v>
      </c>
      <c r="C590" s="3" t="inlineStr">
        <is>
          <t>Bear</t>
        </is>
      </c>
      <c r="D590" s="3" t="inlineStr">
        <is>
          <t>commercial_workload_fit_factor</t>
        </is>
      </c>
      <c r="E590" s="3" t="n">
        <v>0.3</v>
      </c>
      <c r="F590" s="3" t="inlineStr">
        <is>
          <t>share of public reference throughput</t>
        </is>
      </c>
      <c r="G590" s="3" t="inlineStr">
        <is>
          <t>Scenario assumption</t>
        </is>
      </c>
      <c r="H590" s="3" t="inlineStr">
        <is>
          <t>reference_serving_tps_per_mw = fleet_reference_tps_per_mw * commercial_workload_fit_factor</t>
        </is>
      </c>
      <c r="I59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590" s="3" t="inlineStr">
        <is>
          <t>SRC_SEMIANALYSIS_INFERENCEX; ASSUMP_NUMERIC_ACCELERATOR_MIX; ASSUMP_WORKLOAD_CLASS_MIX; ASSUMP_AGENTIC_CONTEXT_PENALTY</t>
        </is>
      </c>
      <c r="K590" s="3" t="inlineStr">
        <is>
          <t>ASSUMP_POWER_RAMP; ASSUMP_CLOSED_MODEL_BAND; ASSUMP_NUMERIC_ACCELERATOR_MIX; ASSUMP_INFERENCE_SHARE_NOT_FACT_60; ASSUMP_WORKLOAD_CLASS_MIX; ASSUMP_AGENTIC_CONTEXT_PENALTY</t>
        </is>
      </c>
      <c r="L590" s="3" t="inlineStr">
        <is>
          <t>Matched commercial serving benchmark by product surface, context shape and latency SLO.</t>
        </is>
      </c>
    </row>
    <row r="591">
      <c r="A591" s="3" t="inlineStr">
        <is>
          <t>Anthropic</t>
        </is>
      </c>
      <c r="B591" s="3" t="n">
        <v>2026</v>
      </c>
      <c r="C591" s="3" t="inlineStr">
        <is>
          <t>Bear</t>
        </is>
      </c>
      <c r="D591" s="3" t="inlineStr">
        <is>
          <t>reference_serving_tps_per_mw</t>
        </is>
      </c>
      <c r="E591" s="3" t="n">
        <v>73432</v>
      </c>
      <c r="F591" s="3" t="inlineStr">
        <is>
          <t>generated output tokens/sec/MW</t>
        </is>
      </c>
      <c r="G591" s="3" t="inlineStr">
        <is>
          <t>Workload-adjusted benchmark proxy</t>
        </is>
      </c>
      <c r="H591" s="3" t="inlineStr">
        <is>
          <t>fleet_reference_tps_per_mw * commercial_workload_fit_factor</t>
        </is>
      </c>
      <c r="I591" s="3" t="inlineStr">
        <is>
          <t>This is the coefficient used for headline token generation; each GPU's short chat, long chat and agentic TPS/MW are weighted before fleet mix and commercial fit are applied.</t>
        </is>
      </c>
      <c r="J591" s="3" t="inlineStr">
        <is>
          <t>SRC_SEMIANALYSIS_INFERENCEX; ASSUMP_NUMERIC_ACCELERATOR_MIX; ASSUMP_WORKLOAD_CLASS_MIX; ASSUMP_AGENTIC_CONTEXT_PENALTY</t>
        </is>
      </c>
      <c r="K591" s="3" t="inlineStr">
        <is>
          <t>ASSUMP_POWER_RAMP; ASSUMP_CLOSED_MODEL_BAND; ASSUMP_NUMERIC_ACCELERATOR_MIX; ASSUMP_INFERENCE_SHARE_NOT_FACT_60; ASSUMP_WORKLOAD_CLASS_MIX; ASSUMP_AGENTIC_CONTEXT_PENALTY</t>
        </is>
      </c>
      <c r="L591" s="3" t="inlineStr">
        <is>
          <t>Provider production output-token throughput with comparable workload/SLO.</t>
        </is>
      </c>
    </row>
    <row r="592">
      <c r="A592" s="3" t="inlineStr">
        <is>
          <t>Anthropic</t>
        </is>
      </c>
      <c r="B592" s="3" t="n">
        <v>2026</v>
      </c>
      <c r="C592" s="3" t="inlineStr">
        <is>
          <t>Bear</t>
        </is>
      </c>
      <c r="D592" s="3" t="inlineStr">
        <is>
          <t>purpose_built_tps_per_mw</t>
        </is>
      </c>
      <c r="E592" s="3" t="n">
        <v>40592</v>
      </c>
      <c r="F592" s="3" t="inlineStr">
        <is>
          <t>generated output tokens/sec/MW</t>
        </is>
      </c>
      <c r="G592" s="3" t="inlineStr">
        <is>
          <t>Conservative no-uplift proxy</t>
        </is>
      </c>
      <c r="H592" s="3" t="inlineStr">
        <is>
          <t>purpose_built_tps_per_mw = purpose_built_reference_tps_per_mw * commercial_workload_fit_factor until comparable output-token benchmark is adopted</t>
        </is>
      </c>
      <c r="I592" s="3" t="inlineStr">
        <is>
          <t>No comparable public output-token/MW row adopted; B200 public reference placeholder is used and remains editable.</t>
        </is>
      </c>
      <c r="J592" s="3" t="inlineStr">
        <is>
          <t>SRC_ANTHROPIC_CLAUDE_DOCS; SRC_ANTHROPIC_AMAZON_COMPUTE; SRC_AWS_RAINIER_ACTIVE; SRC_EPOCH_AI_DATA_CENTERS; ASSUMP_NUMERIC_ACCELERATOR_MIX</t>
        </is>
      </c>
      <c r="K592" s="3" t="inlineStr">
        <is>
          <t>ASSUMP_POWER_RAMP; ASSUMP_CLOSED_MODEL_BAND; ASSUMP_NUMERIC_ACCELERATOR_MIX; ASSUMP_INFERENCE_SHARE_NOT_FACT_60; ASSUMP_WORKLOAD_CLASS_MIX; ASSUMP_AGENTIC_CONTEXT_PENALTY</t>
        </is>
      </c>
      <c r="L592" s="3" t="inlineStr">
        <is>
          <t>Matched-workload generated-output benchmark for the provider purpose-built accelerator.</t>
        </is>
      </c>
    </row>
    <row r="593">
      <c r="A593" s="3" t="inlineStr">
        <is>
          <t>Anthropic</t>
        </is>
      </c>
      <c r="B593" s="3" t="n">
        <v>2026</v>
      </c>
      <c r="C593" s="3" t="inlineStr">
        <is>
          <t>Bear</t>
        </is>
      </c>
      <c r="D593" s="3" t="inlineStr">
        <is>
          <t>inference_power_share</t>
        </is>
      </c>
      <c r="E593" s="3" t="n">
        <v>0.44</v>
      </c>
      <c r="F593" s="3" t="inlineStr">
        <is>
          <t>share of AI IT load</t>
        </is>
      </c>
      <c r="G593" s="3" t="inlineStr">
        <is>
          <t>Scenario allocation</t>
        </is>
      </c>
      <c r="H593" s="3" t="inlineStr">
        <is>
          <t>inference_gw = ai_it_load_gw * inference_power_share</t>
        </is>
      </c>
      <c r="I593" s="3" t="inlineStr">
        <is>
          <t>Claude API/product growth supports a rising inference share, while continued model training prevents full conversion.</t>
        </is>
      </c>
      <c r="J593" s="3" t="inlineStr">
        <is>
          <t>SRC_ANTHROPIC_CLAUDE_DOCS; SRC_ANTHROPIC_AMAZON_COMPUTE; SRC_AWS_RAINIER_ACTIVE; SRC_EPOCH_AI_DATA_CENTERS; ASSUMP_INFERENCE_SHARE_NOT_FACT_60</t>
        </is>
      </c>
      <c r="K593" s="3" t="inlineStr">
        <is>
          <t>ASSUMP_POWER_RAMP; ASSUMP_CLOSED_MODEL_BAND; ASSUMP_NUMERIC_ACCELERATOR_MIX; ASSUMP_INFERENCE_SHARE_NOT_FACT_60; ASSUMP_WORKLOAD_CLASS_MIX; ASSUMP_AGENTIC_CONTEXT_PENALTY</t>
        </is>
      </c>
      <c r="L593" s="3" t="inlineStr">
        <is>
          <t>Provider-specific inference/training workload power telemetry.</t>
        </is>
      </c>
    </row>
    <row r="594">
      <c r="A594" s="3" t="inlineStr">
        <is>
          <t>Anthropic</t>
        </is>
      </c>
      <c r="B594" s="3" t="n">
        <v>2026</v>
      </c>
      <c r="C594" s="3" t="inlineStr">
        <is>
          <t>Bear</t>
        </is>
      </c>
      <c r="D594" s="3" t="inlineStr">
        <is>
          <t>inference_gw</t>
        </is>
      </c>
      <c r="E594" s="3" t="n">
        <v>0.289</v>
      </c>
      <c r="F594" s="3" t="inlineStr">
        <is>
          <t>GW</t>
        </is>
      </c>
      <c r="G594" s="3" t="inlineStr">
        <is>
          <t>Derived formula</t>
        </is>
      </c>
      <c r="H594" s="3" t="inlineStr">
        <is>
          <t>ai_it_load_gw * inference_power_share</t>
        </is>
      </c>
      <c r="I594" s="3" t="inlineStr">
        <is>
          <t>This is the operational power eligible to become commercial generated output tokens through the selected TPS/MW proxy.</t>
        </is>
      </c>
      <c r="J594" s="3" t="inlineStr">
        <is>
          <t>SRC_ANTHROPIC_CLAUDE_DOCS; SRC_ANTHROPIC_AMAZON_COMPUTE; SRC_AWS_RAINIER_ACTIVE; SRC_EPOCH_AI_DATA_CENTERS</t>
        </is>
      </c>
      <c r="K594" s="3" t="inlineStr">
        <is>
          <t>ASSUMP_POWER_RAMP; ASSUMP_CLOSED_MODEL_BAND; ASSUMP_NUMERIC_ACCELERATOR_MIX; ASSUMP_INFERENCE_SHARE_NOT_FACT_60; ASSUMP_WORKLOAD_CLASS_MIX; ASSUMP_AGENTIC_CONTEXT_PENALTY</t>
        </is>
      </c>
      <c r="L594" s="3" t="inlineStr">
        <is>
          <t>Recompute after AI allocation or inference-share evidence changes.</t>
        </is>
      </c>
    </row>
    <row r="595">
      <c r="A595" s="3" t="inlineStr">
        <is>
          <t>Anthropic</t>
        </is>
      </c>
      <c r="B595" s="3" t="n">
        <v>2026</v>
      </c>
      <c r="C595" s="3" t="inlineStr">
        <is>
          <t>Bear</t>
        </is>
      </c>
      <c r="D595" s="3" t="inlineStr">
        <is>
          <t>training_power_share</t>
        </is>
      </c>
      <c r="E595" s="3" t="n">
        <v>0.5600000000000001</v>
      </c>
      <c r="F595" s="3" t="inlineStr">
        <is>
          <t>share of AI IT load</t>
        </is>
      </c>
      <c r="G595" s="3" t="inlineStr">
        <is>
          <t>Derived allocation</t>
        </is>
      </c>
      <c r="H595" s="3" t="inlineStr">
        <is>
          <t>1 - inference_power_share</t>
        </is>
      </c>
      <c r="I595" s="3" t="inlineStr">
        <is>
          <t>Training receives the complementary modeled AI IT allocation; it is not a disclosed company workload split.</t>
        </is>
      </c>
      <c r="J595" s="3" t="inlineStr">
        <is>
          <t>SRC_ANTHROPIC_CLAUDE_DOCS; SRC_ANTHROPIC_AMAZON_COMPUTE; SRC_AWS_RAINIER_ACTIVE; SRC_EPOCH_AI_DATA_CENTERS; ASSUMP_INFERENCE_SHARE_NOT_FACT_60</t>
        </is>
      </c>
      <c r="K595" s="3" t="inlineStr">
        <is>
          <t>ASSUMP_POWER_RAMP; ASSUMP_CLOSED_MODEL_BAND; ASSUMP_NUMERIC_ACCELERATOR_MIX; ASSUMP_INFERENCE_SHARE_NOT_FACT_60; ASSUMP_WORKLOAD_CLASS_MIX; ASSUMP_AGENTIC_CONTEXT_PENALTY</t>
        </is>
      </c>
      <c r="L595" s="3" t="inlineStr">
        <is>
          <t>Provider-specific inference/training workload power telemetry.</t>
        </is>
      </c>
    </row>
    <row r="596">
      <c r="A596" s="3" t="inlineStr">
        <is>
          <t>Anthropic</t>
        </is>
      </c>
      <c r="B596" s="3" t="n">
        <v>2026</v>
      </c>
      <c r="C596" s="3" t="inlineStr">
        <is>
          <t>Bear</t>
        </is>
      </c>
      <c r="D596" s="3" t="inlineStr">
        <is>
          <t>training_gw</t>
        </is>
      </c>
      <c r="E596" s="3" t="n">
        <v>0.367</v>
      </c>
      <c r="F596" s="3" t="inlineStr">
        <is>
          <t>GW</t>
        </is>
      </c>
      <c r="G596" s="3" t="inlineStr">
        <is>
          <t>Derived formula</t>
        </is>
      </c>
      <c r="H596" s="3" t="inlineStr">
        <is>
          <t>ai_it_load_gw * training_power_share</t>
        </is>
      </c>
      <c r="I596" s="3" t="inlineStr">
        <is>
          <t>Training GW is shown separately so commercial inference token capacity is not overstated.</t>
        </is>
      </c>
      <c r="J596" s="3" t="inlineStr">
        <is>
          <t>SRC_ANTHROPIC_CLAUDE_DOCS; SRC_ANTHROPIC_AMAZON_COMPUTE; SRC_AWS_RAINIER_ACTIVE; SRC_EPOCH_AI_DATA_CENTERS</t>
        </is>
      </c>
      <c r="K596" s="3" t="inlineStr">
        <is>
          <t>ASSUMP_POWER_RAMP; ASSUMP_CLOSED_MODEL_BAND; ASSUMP_NUMERIC_ACCELERATOR_MIX; ASSUMP_INFERENCE_SHARE_NOT_FACT_60; ASSUMP_WORKLOAD_CLASS_MIX; ASSUMP_AGENTIC_CONTEXT_PENALTY</t>
        </is>
      </c>
      <c r="L596" s="3" t="inlineStr">
        <is>
          <t>Recompute after AI allocation or workload-split evidence changes.</t>
        </is>
      </c>
    </row>
    <row r="597">
      <c r="A597" s="3" t="inlineStr">
        <is>
          <t>Anthropic</t>
        </is>
      </c>
      <c r="B597" s="3" t="n">
        <v>2026</v>
      </c>
      <c r="C597" s="3" t="inlineStr">
        <is>
          <t>Bear</t>
        </is>
      </c>
      <c r="D597" s="3" t="inlineStr">
        <is>
          <t>tokens_per_second_per_mw</t>
        </is>
      </c>
      <c r="E597" s="3" t="n">
        <v>73432</v>
      </c>
      <c r="F597" s="3" t="inlineStr">
        <is>
          <t>generated output tokens/sec/MW</t>
        </is>
      </c>
      <c r="G597" s="3" t="inlineStr">
        <is>
          <t>Derived estimate + benchmark calibration</t>
        </is>
      </c>
      <c r="H597" s="3" t="inlineStr">
        <is>
          <t>fleet_reference_tps_per_mw * commercial_workload_fit_factor</t>
        </is>
      </c>
      <c r="I59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597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597" s="3" t="inlineStr">
        <is>
          <t>ASSUMP_POWER_RAMP; ASSUMP_CLOSED_MODEL_BAND; ASSUMP_NUMERIC_ACCELERATOR_MIX; ASSUMP_INFERENCE_SHARE_NOT_FACT_60; ASSUMP_WORKLOAD_CLASS_MIX; ASSUMP_AGENTIC_CONTEXT_PENALTY</t>
        </is>
      </c>
      <c r="L597" s="3" t="inlineStr">
        <is>
          <t>Comparable production output-token throughput with model, hardware, precision, ISL/OSL and SLO matched.</t>
        </is>
      </c>
    </row>
    <row r="598">
      <c r="A598" s="3" t="inlineStr">
        <is>
          <t>Anthropic</t>
        </is>
      </c>
      <c r="B598" s="3" t="n">
        <v>2026</v>
      </c>
      <c r="C598" s="3" t="inlineStr">
        <is>
          <t>Bear</t>
        </is>
      </c>
      <c r="D598" s="3" t="inlineStr">
        <is>
          <t>inference_tokens_per_day</t>
        </is>
      </c>
      <c r="E598" s="3" t="n">
        <v>1833567667200</v>
      </c>
      <c r="F598" s="3" t="inlineStr">
        <is>
          <t>generated output tokens/day</t>
        </is>
      </c>
      <c r="G598" s="3" t="inlineStr">
        <is>
          <t>Derived headline metric</t>
        </is>
      </c>
      <c r="H598" s="3" t="inlineStr">
        <is>
          <t>inference_gw * 1000 * tokens_per_second_per_mw * 86,400</t>
        </is>
      </c>
      <c r="I598" s="3" t="inlineStr">
        <is>
          <t>Headline capacity uses no utilization, MoE, architecture or software-growth multiplier; it is not observed commercial output volume.</t>
        </is>
      </c>
      <c r="J598" s="3" t="inlineStr">
        <is>
          <t>SRC_ANTHROPIC_CLAUDE_DOCS; SRC_ANTHROPIC_AMAZON_COMPUTE; SRC_AWS_RAINIER_ACTIVE; SRC_EPOCH_AI_DATA_CENTERS; SRC_SEMIANALYSIS_INFERENCEX</t>
        </is>
      </c>
      <c r="K598" s="3" t="inlineStr">
        <is>
          <t>ASSUMP_POWER_RAMP; ASSUMP_CLOSED_MODEL_BAND; ASSUMP_NUMERIC_ACCELERATOR_MIX; ASSUMP_INFERENCE_SHARE_NOT_FACT_60; ASSUMP_WORKLOAD_CLASS_MIX; ASSUMP_AGENTIC_CONTEXT_PENALTY</t>
        </is>
      </c>
      <c r="L598" s="3" t="inlineStr">
        <is>
          <t>Provider-disclosed generated output token volume or calibrated capacity telemetry.</t>
        </is>
      </c>
    </row>
    <row r="599">
      <c r="A599" s="3" t="inlineStr">
        <is>
          <t>Anthropic</t>
        </is>
      </c>
      <c r="B599" s="3" t="n">
        <v>2026</v>
      </c>
      <c r="C599" s="3" t="inlineStr">
        <is>
          <t>Bear</t>
        </is>
      </c>
      <c r="D599" s="3" t="inlineStr">
        <is>
          <t>inference_tokens_per_year</t>
        </is>
      </c>
      <c r="E599" s="3" t="n">
        <v>669252198528000</v>
      </c>
      <c r="F599" s="3" t="inlineStr">
        <is>
          <t>generated output tokens/year</t>
        </is>
      </c>
      <c r="G599" s="3" t="inlineStr">
        <is>
          <t>Derived headline metric</t>
        </is>
      </c>
      <c r="H599" s="3" t="inlineStr">
        <is>
          <t>inference_tokens_per_day * 365</t>
        </is>
      </c>
      <c r="I599" s="3" t="inlineStr">
        <is>
          <t>Annualized version of generated output token capacity; it is not observed annual demand or billable volume.</t>
        </is>
      </c>
      <c r="J599" s="3" t="inlineStr">
        <is>
          <t>SRC_ANTHROPIC_CLAUDE_DOCS; SRC_ANTHROPIC_AMAZON_COMPUTE; SRC_AWS_RAINIER_ACTIVE; SRC_EPOCH_AI_DATA_CENTERS; SRC_SEMIANALYSIS_INFERENCEX</t>
        </is>
      </c>
      <c r="K599" s="3" t="inlineStr">
        <is>
          <t>ASSUMP_POWER_RAMP; ASSUMP_CLOSED_MODEL_BAND; ASSUMP_NUMERIC_ACCELERATOR_MIX; ASSUMP_INFERENCE_SHARE_NOT_FACT_60; ASSUMP_WORKLOAD_CLASS_MIX; ASSUMP_AGENTIC_CONTEXT_PENALTY</t>
        </is>
      </c>
      <c r="L599" s="3" t="inlineStr">
        <is>
          <t>Provider-disclosed annual generated-output volume or metered serving telemetry.</t>
        </is>
      </c>
    </row>
    <row r="600">
      <c r="A600" s="3" t="inlineStr">
        <is>
          <t>Anthropic</t>
        </is>
      </c>
      <c r="B600" s="3" t="n">
        <v>2027</v>
      </c>
      <c r="C600" s="3" t="inlineStr">
        <is>
          <t>Bear</t>
        </is>
      </c>
      <c r="D600" s="3" t="inlineStr">
        <is>
          <t>contracted_power_gw</t>
        </is>
      </c>
      <c r="E600" s="3" t="n">
        <v>4.375</v>
      </c>
      <c r="F600" s="3" t="inlineStr">
        <is>
          <t>GW</t>
        </is>
      </c>
      <c r="G600" s="3" t="inlineStr">
        <is>
          <t>Fact anchor + scenario ceiling</t>
        </is>
      </c>
      <c r="H600" s="3" t="inlineStr">
        <is>
          <t>linear interpolation between 2026 and 2030 company capacity endpoints</t>
        </is>
      </c>
      <c r="I600" s="3" t="inlineStr">
        <is>
          <t>Hosted capacity envelope is anchored by Anthropic/AWS Project Rainier direction; it is attributed to Claude outputs, not AWS as a model owner.</t>
        </is>
      </c>
      <c r="J600" s="3" t="inlineStr">
        <is>
          <t>SRC_ANTHROPIC_AMAZON_COMPUTE; SRC_AWS_RAINIER_ACTIVE; ASSUMP_POWER_RAMP</t>
        </is>
      </c>
      <c r="K600" s="3" t="inlineStr">
        <is>
          <t>ASSUMP_POWER_RAMP; ASSUMP_CLOSED_MODEL_BAND; ASSUMP_NUMERIC_ACCELERATOR_MIX; ASSUMP_INFERENCE_SHARE_NOT_FACT_60; ASSUMP_WORKLOAD_CLASS_MIX; ASSUMP_AGENTIC_CONTEXT_PENALTY</t>
        </is>
      </c>
      <c r="L600" s="3" t="inlineStr">
        <is>
          <t>Company/site-level committed MW/GW, interconnect and contract disclosure.</t>
        </is>
      </c>
    </row>
    <row r="601">
      <c r="A601" s="3" t="inlineStr">
        <is>
          <t>Anthropic</t>
        </is>
      </c>
      <c r="B601" s="3" t="n">
        <v>2027</v>
      </c>
      <c r="C601" s="3" t="inlineStr">
        <is>
          <t>Bear</t>
        </is>
      </c>
      <c r="D601" s="3" t="inlineStr">
        <is>
          <t>operational_deployment_share</t>
        </is>
      </c>
      <c r="E601" s="3" t="n">
        <v>0.42742857</v>
      </c>
      <c r="F601" s="3" t="inlineStr">
        <is>
          <t>share</t>
        </is>
      </c>
      <c r="G601" s="3" t="inlineStr">
        <is>
          <t>Scenario conversion</t>
        </is>
      </c>
      <c r="H601" s="3" t="inlineStr">
        <is>
          <t>active_power_gw / contracted_power_gw</t>
        </is>
      </c>
      <c r="I601" s="3" t="inlineStr">
        <is>
          <t>This is the single explicit conversion from contracted/attributed capacity to operationally usable capacity.</t>
        </is>
      </c>
      <c r="J601" s="3" t="inlineStr">
        <is>
          <t>SRC_ANTHROPIC_AMAZON_COMPUTE; SRC_AWS_RAINIER_ACTIVE; ASSUMP_POWER_RAMP</t>
        </is>
      </c>
      <c r="K601" s="3" t="inlineStr">
        <is>
          <t>ASSUMP_POWER_RAMP; ASSUMP_CLOSED_MODEL_BAND; ASSUMP_NUMERIC_ACCELERATOR_MIX; ASSUMP_INFERENCE_SHARE_NOT_FACT_60; ASSUMP_WORKLOAD_CLASS_MIX; ASSUMP_AGENTIC_CONTEXT_PENALTY</t>
        </is>
      </c>
      <c r="L601" s="3" t="inlineStr">
        <is>
          <t>Energized operational capacity divided by contracted/attributed capacity.</t>
        </is>
      </c>
    </row>
    <row r="602">
      <c r="A602" s="3" t="inlineStr">
        <is>
          <t>Anthropic</t>
        </is>
      </c>
      <c r="B602" s="3" t="n">
        <v>2027</v>
      </c>
      <c r="C602" s="3" t="inlineStr">
        <is>
          <t>Bear</t>
        </is>
      </c>
      <c r="D602" s="3" t="inlineStr">
        <is>
          <t>active_power_gw</t>
        </is>
      </c>
      <c r="E602" s="3" t="n">
        <v>1.87</v>
      </c>
      <c r="F602" s="3" t="inlineStr">
        <is>
          <t>GW</t>
        </is>
      </c>
      <c r="G602" s="3" t="inlineStr">
        <is>
          <t>Derived scenario</t>
        </is>
      </c>
      <c r="H602" s="3" t="inlineStr">
        <is>
          <t>contracted_power_gw * operational_deployment_share</t>
        </is>
      </c>
      <c r="I602" s="3" t="inlineStr">
        <is>
          <t>Trainium cluster activation supports staged active ramp; Claude inference-versus-training use remains estimated.</t>
        </is>
      </c>
      <c r="J602" s="3" t="inlineStr">
        <is>
          <t>SRC_ANTHROPIC_AMAZON_COMPUTE; SRC_AWS_RAINIER_ACTIVE; ASSUMP_POWER_RAMP</t>
        </is>
      </c>
      <c r="K602" s="3" t="inlineStr">
        <is>
          <t>ASSUMP_POWER_RAMP; ASSUMP_CLOSED_MODEL_BAND; ASSUMP_NUMERIC_ACCELERATOR_MIX; ASSUMP_INFERENCE_SHARE_NOT_FACT_60; ASSUMP_WORKLOAD_CLASS_MIX; ASSUMP_AGENTIC_CONTEXT_PENALTY</t>
        </is>
      </c>
      <c r="L602" s="3" t="inlineStr">
        <is>
          <t>Energization dates, accelerator deliveries and operational powered-rack telemetry.</t>
        </is>
      </c>
    </row>
    <row r="603">
      <c r="A603" s="3" t="inlineStr">
        <is>
          <t>Anthropic</t>
        </is>
      </c>
      <c r="B603" s="3" t="n">
        <v>2027</v>
      </c>
      <c r="C603" s="3" t="inlineStr">
        <is>
          <t>Bear</t>
        </is>
      </c>
      <c r="D603" s="3" t="inlineStr">
        <is>
          <t>pue</t>
        </is>
      </c>
      <c r="E603" s="3" t="n">
        <v>1.18</v>
      </c>
      <c r="F603" s="3" t="inlineStr">
        <is>
          <t>ratio</t>
        </is>
      </c>
      <c r="G603" s="3" t="inlineStr">
        <is>
          <t>Scenario parameter</t>
        </is>
      </c>
      <c r="H603" s="3" t="inlineStr">
        <is>
          <t>it_load_gw = active_power_gw / pue</t>
        </is>
      </c>
      <c r="I603" s="3" t="inlineStr">
        <is>
          <t>No provider-wide site-level PUE is used as a disclosed fact; PUE represents facility-to-IT conversion within the scenario.</t>
        </is>
      </c>
      <c r="J603" s="3" t="inlineStr">
        <is>
          <t>ASSUMP_POWER_RAMP</t>
        </is>
      </c>
      <c r="K603" s="3" t="inlineStr">
        <is>
          <t>ASSUMP_POWER_RAMP; ASSUMP_CLOSED_MODEL_BAND; ASSUMP_NUMERIC_ACCELERATOR_MIX; ASSUMP_INFERENCE_SHARE_NOT_FACT_60; ASSUMP_WORKLOAD_CLASS_MIX; ASSUMP_AGENTIC_CONTEXT_PENALTY</t>
        </is>
      </c>
      <c r="L603" s="3" t="inlineStr">
        <is>
          <t>Site-level measured PUE matched to attributed AI capacity.</t>
        </is>
      </c>
    </row>
    <row r="604">
      <c r="A604" s="3" t="inlineStr">
        <is>
          <t>Anthropic</t>
        </is>
      </c>
      <c r="B604" s="3" t="n">
        <v>2027</v>
      </c>
      <c r="C604" s="3" t="inlineStr">
        <is>
          <t>Bear</t>
        </is>
      </c>
      <c r="D604" s="3" t="inlineStr">
        <is>
          <t>it_load_gw</t>
        </is>
      </c>
      <c r="E604" s="3" t="n">
        <v>1.585</v>
      </c>
      <c r="F604" s="3" t="inlineStr">
        <is>
          <t>GW</t>
        </is>
      </c>
      <c r="G604" s="3" t="inlineStr">
        <is>
          <t>Derived formula</t>
        </is>
      </c>
      <c r="H604" s="3" t="inlineStr">
        <is>
          <t>active_power_gw / pue</t>
        </is>
      </c>
      <c r="I604" s="3" t="inlineStr">
        <is>
          <t>Facility power is converted to IT-deliverable power before attributing AI workloads.</t>
        </is>
      </c>
      <c r="J604" s="3" t="inlineStr">
        <is>
          <t>SRC_ANTHROPIC_AMAZON_COMPUTE; SRC_AWS_RAINIER_ACTIVE; ASSUMP_POWER_RAMP</t>
        </is>
      </c>
      <c r="K604" s="3" t="inlineStr">
        <is>
          <t>ASSUMP_POWER_RAMP; ASSUMP_CLOSED_MODEL_BAND; ASSUMP_NUMERIC_ACCELERATOR_MIX; ASSUMP_INFERENCE_SHARE_NOT_FACT_60; ASSUMP_WORKLOAD_CLASS_MIX; ASSUMP_AGENTIC_CONTEXT_PENALTY</t>
        </is>
      </c>
      <c r="L604" s="3" t="inlineStr">
        <is>
          <t>Recompute once active power and PUE become site-observable.</t>
        </is>
      </c>
    </row>
    <row r="605">
      <c r="A605" s="3" t="inlineStr">
        <is>
          <t>Anthropic</t>
        </is>
      </c>
      <c r="B605" s="3" t="n">
        <v>2027</v>
      </c>
      <c r="C605" s="3" t="inlineStr">
        <is>
          <t>Bear</t>
        </is>
      </c>
      <c r="D605" s="3" t="inlineStr">
        <is>
          <t>ai_workload_share</t>
        </is>
      </c>
      <c r="E605" s="3" t="n">
        <v>0.86</v>
      </c>
      <c r="F605" s="3" t="inlineStr">
        <is>
          <t>share</t>
        </is>
      </c>
      <c r="G605" s="3" t="inlineStr">
        <is>
          <t>Scenario allocation</t>
        </is>
      </c>
      <c r="H605" s="3" t="inlineStr">
        <is>
          <t>ai_it_load_gw = it_load_gw * ai_workload_share</t>
        </is>
      </c>
      <c r="I605" s="3" t="inlineStr">
        <is>
          <t>Anthropic-directed hosted capacity is predominantly AI; 86% excludes platform, reserve and non-serving allocation.</t>
        </is>
      </c>
      <c r="J605" s="3" t="inlineStr">
        <is>
          <t>SRC_ANTHROPIC_CLAUDE_DOCS; SRC_ANTHROPIC_AMAZON_COMPUTE; SRC_AWS_RAINIER_ACTIVE; SRC_EPOCH_AI_DATA_CENTERS</t>
        </is>
      </c>
      <c r="K605" s="3" t="inlineStr">
        <is>
          <t>ASSUMP_POWER_RAMP; ASSUMP_CLOSED_MODEL_BAND; ASSUMP_NUMERIC_ACCELERATOR_MIX; ASSUMP_INFERENCE_SHARE_NOT_FACT_60; ASSUMP_WORKLOAD_CLASS_MIX; ASSUMP_AGENTIC_CONTEXT_PENALTY</t>
        </is>
      </c>
      <c r="L605" s="3" t="inlineStr">
        <is>
          <t>Model-owner AI workload allocation or cluster scheduling telemetry.</t>
        </is>
      </c>
    </row>
    <row r="606">
      <c r="A606" s="3" t="inlineStr">
        <is>
          <t>Anthropic</t>
        </is>
      </c>
      <c r="B606" s="3" t="n">
        <v>2027</v>
      </c>
      <c r="C606" s="3" t="inlineStr">
        <is>
          <t>Bear</t>
        </is>
      </c>
      <c r="D606" s="3" t="inlineStr">
        <is>
          <t>ai_it_load_gw</t>
        </is>
      </c>
      <c r="E606" s="3" t="n">
        <v>1.363</v>
      </c>
      <c r="F606" s="3" t="inlineStr">
        <is>
          <t>GW</t>
        </is>
      </c>
      <c r="G606" s="3" t="inlineStr">
        <is>
          <t>Derived formula</t>
        </is>
      </c>
      <c r="H606" s="3" t="inlineStr">
        <is>
          <t>it_load_gw * ai_workload_share</t>
        </is>
      </c>
      <c r="I606" s="3" t="inlineStr">
        <is>
          <t>Only the AI-attributed portion of IT load enters training/inference allocation.</t>
        </is>
      </c>
      <c r="J606" s="3" t="inlineStr">
        <is>
          <t>SRC_ANTHROPIC_CLAUDE_DOCS; SRC_ANTHROPIC_AMAZON_COMPUTE; SRC_AWS_RAINIER_ACTIVE; SRC_EPOCH_AI_DATA_CENTERS</t>
        </is>
      </c>
      <c r="K606" s="3" t="inlineStr">
        <is>
          <t>ASSUMP_POWER_RAMP; ASSUMP_CLOSED_MODEL_BAND; ASSUMP_NUMERIC_ACCELERATOR_MIX; ASSUMP_INFERENCE_SHARE_NOT_FACT_60; ASSUMP_WORKLOAD_CLASS_MIX; ASSUMP_AGENTIC_CONTEXT_PENALTY</t>
        </is>
      </c>
      <c r="L606" s="3" t="inlineStr">
        <is>
          <t>Recompute after ai_workload_share is replaced by telemetry.</t>
        </is>
      </c>
    </row>
    <row r="607">
      <c r="A607" s="3" t="inlineStr">
        <is>
          <t>Anthropic</t>
        </is>
      </c>
      <c r="B607" s="3" t="n">
        <v>2027</v>
      </c>
      <c r="C607" s="3" t="inlineStr">
        <is>
          <t>Bear</t>
        </is>
      </c>
      <c r="D607" s="3" t="inlineStr">
        <is>
          <t>gpu_share</t>
        </is>
      </c>
      <c r="E607" s="3" t="n">
        <v>0.335957</v>
      </c>
      <c r="F607" s="3" t="inlineStr">
        <is>
          <t>share of inference-serving accelerator load</t>
        </is>
      </c>
      <c r="G607" s="3" t="inlineStr">
        <is>
          <t>Numeric scenario</t>
        </is>
      </c>
      <c r="H607" s="3" t="inlineStr">
        <is>
          <t>gpu_share interpolated from company 2026/2030 accelerator-mix endpoints</t>
        </is>
      </c>
      <c r="I607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07" s="3" t="inlineStr">
        <is>
          <t>SRC_ANTHROPIC_CLAUDE_DOCS; SRC_ANTHROPIC_AMAZON_COMPUTE; SRC_AWS_RAINIER_ACTIVE; SRC_EPOCH_AI_DATA_CENTERS; ASSUMP_NUMERIC_ACCELERATOR_MIX</t>
        </is>
      </c>
      <c r="K607" s="3" t="inlineStr">
        <is>
          <t>ASSUMP_POWER_RAMP; ASSUMP_CLOSED_MODEL_BAND; ASSUMP_NUMERIC_ACCELERATOR_MIX; ASSUMP_INFERENCE_SHARE_NOT_FACT_60; ASSUMP_WORKLOAD_CLASS_MIX; ASSUMP_AGENTIC_CONTEXT_PENALTY</t>
        </is>
      </c>
      <c r="L607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08">
      <c r="A608" s="3" t="inlineStr">
        <is>
          <t>Anthropic</t>
        </is>
      </c>
      <c r="B608" s="3" t="n">
        <v>2027</v>
      </c>
      <c r="C608" s="3" t="inlineStr">
        <is>
          <t>Bear</t>
        </is>
      </c>
      <c r="D608" s="3" t="inlineStr">
        <is>
          <t>h200_share</t>
        </is>
      </c>
      <c r="E608" s="3" t="n">
        <v>0.128806</v>
      </c>
      <c r="F608" s="3" t="inlineStr">
        <is>
          <t>share of inference-serving accelerator load</t>
        </is>
      </c>
      <c r="G608" s="3" t="inlineStr">
        <is>
          <t>Editable numeric scenario</t>
        </is>
      </c>
      <c r="H608" s="3" t="inlineStr">
        <is>
          <t>h200_share = gpu_share * default_gpu_generation_mix_h200</t>
        </is>
      </c>
      <c r="I608" s="3" t="inlineStr">
        <is>
          <t>Default GPU-generation migration assumption; executive workbook allows later manual replacement by company/year/scenario.</t>
        </is>
      </c>
      <c r="J608" s="3" t="inlineStr">
        <is>
          <t>SRC_SEMIANALYSIS_INFERENCEX; ASSUMP_NUMERIC_ACCELERATOR_MIX</t>
        </is>
      </c>
      <c r="K608" s="3" t="inlineStr">
        <is>
          <t>ASSUMP_POWER_RAMP; ASSUMP_CLOSED_MODEL_BAND; ASSUMP_NUMERIC_ACCELERATOR_MIX; ASSUMP_INFERENCE_SHARE_NOT_FACT_60; ASSUMP_WORKLOAD_CLASS_MIX; ASSUMP_AGENTIC_CONTEXT_PENALTY</t>
        </is>
      </c>
      <c r="L608" s="3" t="inlineStr">
        <is>
          <t>Company fleet inventory, accelerator-hours or procurement/deployment records by GPU generation.</t>
        </is>
      </c>
    </row>
    <row r="609">
      <c r="A609" s="3" t="inlineStr">
        <is>
          <t>Anthropic</t>
        </is>
      </c>
      <c r="B609" s="3" t="n">
        <v>2027</v>
      </c>
      <c r="C609" s="3" t="inlineStr">
        <is>
          <t>Bear</t>
        </is>
      </c>
      <c r="D609" s="3" t="inlineStr">
        <is>
          <t>b200_share</t>
        </is>
      </c>
      <c r="E609" s="3" t="n">
        <v>0.207151</v>
      </c>
      <c r="F609" s="3" t="inlineStr">
        <is>
          <t>share of inference-serving accelerator load</t>
        </is>
      </c>
      <c r="G609" s="3" t="inlineStr">
        <is>
          <t>Editable numeric scenario</t>
        </is>
      </c>
      <c r="H609" s="3" t="inlineStr">
        <is>
          <t>b200_share = gpu_share * default_gpu_generation_mix_b200</t>
        </is>
      </c>
      <c r="I609" s="3" t="inlineStr">
        <is>
          <t>Default GPU-generation migration assumption; executive workbook allows later manual replacement by company/year/scenario.</t>
        </is>
      </c>
      <c r="J609" s="3" t="inlineStr">
        <is>
          <t>SRC_SEMIANALYSIS_INFERENCEX; ASSUMP_NUMERIC_ACCELERATOR_MIX</t>
        </is>
      </c>
      <c r="K609" s="3" t="inlineStr">
        <is>
          <t>ASSUMP_POWER_RAMP; ASSUMP_CLOSED_MODEL_BAND; ASSUMP_NUMERIC_ACCELERATOR_MIX; ASSUMP_INFERENCE_SHARE_NOT_FACT_60; ASSUMP_WORKLOAD_CLASS_MIX; ASSUMP_AGENTIC_CONTEXT_PENALTY</t>
        </is>
      </c>
      <c r="L609" s="3" t="inlineStr">
        <is>
          <t>Company fleet inventory, accelerator-hours or procurement/deployment records by GPU generation.</t>
        </is>
      </c>
    </row>
    <row r="610">
      <c r="A610" s="3" t="inlineStr">
        <is>
          <t>Anthropic</t>
        </is>
      </c>
      <c r="B610" s="3" t="n">
        <v>2027</v>
      </c>
      <c r="C610" s="3" t="inlineStr">
        <is>
          <t>Bear</t>
        </is>
      </c>
      <c r="D610" s="3" t="inlineStr">
        <is>
          <t>gb200_share</t>
        </is>
      </c>
      <c r="E610" s="3" t="n">
        <v>0</v>
      </c>
      <c r="F610" s="3" t="inlineStr">
        <is>
          <t>share of inference-serving accelerator load</t>
        </is>
      </c>
      <c r="G610" s="3" t="inlineStr">
        <is>
          <t>Editable numeric scenario</t>
        </is>
      </c>
      <c r="H610" s="3" t="inlineStr">
        <is>
          <t>gb200_share = gpu_share * default_gpu_generation_mix_gb200</t>
        </is>
      </c>
      <c r="I610" s="3" t="inlineStr">
        <is>
          <t>Default GPU-generation migration assumption; executive workbook allows later manual replacement by company/year/scenario.</t>
        </is>
      </c>
      <c r="J610" s="3" t="inlineStr">
        <is>
          <t>SRC_SEMIANALYSIS_INFERENCEX; ASSUMP_NUMERIC_ACCELERATOR_MIX</t>
        </is>
      </c>
      <c r="K610" s="3" t="inlineStr">
        <is>
          <t>ASSUMP_POWER_RAMP; ASSUMP_CLOSED_MODEL_BAND; ASSUMP_NUMERIC_ACCELERATOR_MIX; ASSUMP_INFERENCE_SHARE_NOT_FACT_60; ASSUMP_WORKLOAD_CLASS_MIX; ASSUMP_AGENTIC_CONTEXT_PENALTY</t>
        </is>
      </c>
      <c r="L610" s="3" t="inlineStr">
        <is>
          <t>Company fleet inventory, accelerator-hours or procurement/deployment records by GPU generation.</t>
        </is>
      </c>
    </row>
    <row r="611">
      <c r="A611" s="3" t="inlineStr">
        <is>
          <t>Anthropic</t>
        </is>
      </c>
      <c r="B611" s="3" t="n">
        <v>2027</v>
      </c>
      <c r="C611" s="3" t="inlineStr">
        <is>
          <t>Bear</t>
        </is>
      </c>
      <c r="D611" s="3" t="inlineStr">
        <is>
          <t>purpose_built_accelerator_share</t>
        </is>
      </c>
      <c r="E611" s="3" t="n">
        <v>0.664043</v>
      </c>
      <c r="F611" s="3" t="inlineStr">
        <is>
          <t>share of inference-serving accelerator load</t>
        </is>
      </c>
      <c r="G611" s="3" t="inlineStr">
        <is>
          <t>Numeric scenario</t>
        </is>
      </c>
      <c r="H611" s="3" t="inlineStr">
        <is>
          <t>1 - gpu_share</t>
        </is>
      </c>
      <c r="I611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11" s="3" t="inlineStr">
        <is>
          <t>SRC_ANTHROPIC_CLAUDE_DOCS; SRC_ANTHROPIC_AMAZON_COMPUTE; SRC_AWS_RAINIER_ACTIVE; SRC_EPOCH_AI_DATA_CENTERS; ASSUMP_NUMERIC_ACCELERATOR_MIX</t>
        </is>
      </c>
      <c r="K611" s="3" t="inlineStr">
        <is>
          <t>ASSUMP_POWER_RAMP; ASSUMP_CLOSED_MODEL_BAND; ASSUMP_NUMERIC_ACCELERATOR_MIX; ASSUMP_INFERENCE_SHARE_NOT_FACT_60; ASSUMP_WORKLOAD_CLASS_MIX; ASSUMP_AGENTIC_CONTEXT_PENALTY</t>
        </is>
      </c>
      <c r="L611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12">
      <c r="A612" s="3" t="inlineStr">
        <is>
          <t>Anthropic</t>
        </is>
      </c>
      <c r="B612" s="3" t="n">
        <v>2027</v>
      </c>
      <c r="C612" s="3" t="inlineStr">
        <is>
          <t>Bear</t>
        </is>
      </c>
      <c r="D612" s="3" t="inlineStr">
        <is>
          <t>fleet_reference_tps_per_mw</t>
        </is>
      </c>
      <c r="E612" s="3" t="n">
        <v>236603</v>
      </c>
      <c r="F612" s="3" t="inlineStr">
        <is>
          <t>generated output tokens/sec/MW</t>
        </is>
      </c>
      <c r="G612" s="3" t="inlineStr">
        <is>
          <t>Fleet-weighted public benchmark reference</t>
        </is>
      </c>
      <c r="H612" s="3" t="inlineStr">
        <is>
          <t>h200_share*h200_workload_avg + b200_share*b200_workload_avg + gb200_share*gb200_workload_avg + purpose_built_share*purpose_workload_avg</t>
        </is>
      </c>
      <c r="I61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12" s="3" t="inlineStr">
        <is>
          <t>SRC_SEMIANALYSIS_INFERENCEX; ASSUMP_NUMERIC_ACCELERATOR_MIX; ASSUMP_WORKLOAD_CLASS_MIX; ASSUMP_AGENTIC_CONTEXT_PENALTY</t>
        </is>
      </c>
      <c r="K612" s="3" t="inlineStr">
        <is>
          <t>ASSUMP_POWER_RAMP; ASSUMP_CLOSED_MODEL_BAND; ASSUMP_NUMERIC_ACCELERATOR_MIX; ASSUMP_INFERENCE_SHARE_NOT_FACT_60; ASSUMP_WORKLOAD_CLASS_MIX; ASSUMP_AGENTIC_CONTEXT_PENALTY</t>
        </is>
      </c>
      <c r="L612" s="3" t="inlineStr">
        <is>
          <t>Comparable production output-token throughput or a more closely matched benchmark.</t>
        </is>
      </c>
    </row>
    <row r="613">
      <c r="A613" s="3" t="inlineStr">
        <is>
          <t>Anthropic</t>
        </is>
      </c>
      <c r="B613" s="3" t="n">
        <v>2027</v>
      </c>
      <c r="C613" s="3" t="inlineStr">
        <is>
          <t>Bear</t>
        </is>
      </c>
      <c r="D613" s="3" t="inlineStr">
        <is>
          <t>commercial_workload_fit_factor</t>
        </is>
      </c>
      <c r="E613" s="3" t="n">
        <v>0.3</v>
      </c>
      <c r="F613" s="3" t="inlineStr">
        <is>
          <t>share of public reference throughput</t>
        </is>
      </c>
      <c r="G613" s="3" t="inlineStr">
        <is>
          <t>Scenario assumption</t>
        </is>
      </c>
      <c r="H613" s="3" t="inlineStr">
        <is>
          <t>reference_serving_tps_per_mw = fleet_reference_tps_per_mw * commercial_workload_fit_factor</t>
        </is>
      </c>
      <c r="I61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13" s="3" t="inlineStr">
        <is>
          <t>SRC_SEMIANALYSIS_INFERENCEX; ASSUMP_NUMERIC_ACCELERATOR_MIX; ASSUMP_WORKLOAD_CLASS_MIX; ASSUMP_AGENTIC_CONTEXT_PENALTY</t>
        </is>
      </c>
      <c r="K613" s="3" t="inlineStr">
        <is>
          <t>ASSUMP_POWER_RAMP; ASSUMP_CLOSED_MODEL_BAND; ASSUMP_NUMERIC_ACCELERATOR_MIX; ASSUMP_INFERENCE_SHARE_NOT_FACT_60; ASSUMP_WORKLOAD_CLASS_MIX; ASSUMP_AGENTIC_CONTEXT_PENALTY</t>
        </is>
      </c>
      <c r="L613" s="3" t="inlineStr">
        <is>
          <t>Matched commercial serving benchmark by product surface, context shape and latency SLO.</t>
        </is>
      </c>
    </row>
    <row r="614">
      <c r="A614" s="3" t="inlineStr">
        <is>
          <t>Anthropic</t>
        </is>
      </c>
      <c r="B614" s="3" t="n">
        <v>2027</v>
      </c>
      <c r="C614" s="3" t="inlineStr">
        <is>
          <t>Bear</t>
        </is>
      </c>
      <c r="D614" s="3" t="inlineStr">
        <is>
          <t>reference_serving_tps_per_mw</t>
        </is>
      </c>
      <c r="E614" s="3" t="n">
        <v>70981</v>
      </c>
      <c r="F614" s="3" t="inlineStr">
        <is>
          <t>generated output tokens/sec/MW</t>
        </is>
      </c>
      <c r="G614" s="3" t="inlineStr">
        <is>
          <t>Workload-adjusted benchmark proxy</t>
        </is>
      </c>
      <c r="H614" s="3" t="inlineStr">
        <is>
          <t>fleet_reference_tps_per_mw * commercial_workload_fit_factor</t>
        </is>
      </c>
      <c r="I614" s="3" t="inlineStr">
        <is>
          <t>This is the coefficient used for headline token generation; each GPU's short chat, long chat and agentic TPS/MW are weighted before fleet mix and commercial fit are applied.</t>
        </is>
      </c>
      <c r="J614" s="3" t="inlineStr">
        <is>
          <t>SRC_SEMIANALYSIS_INFERENCEX; ASSUMP_NUMERIC_ACCELERATOR_MIX; ASSUMP_WORKLOAD_CLASS_MIX; ASSUMP_AGENTIC_CONTEXT_PENALTY</t>
        </is>
      </c>
      <c r="K614" s="3" t="inlineStr">
        <is>
          <t>ASSUMP_POWER_RAMP; ASSUMP_CLOSED_MODEL_BAND; ASSUMP_NUMERIC_ACCELERATOR_MIX; ASSUMP_INFERENCE_SHARE_NOT_FACT_60; ASSUMP_WORKLOAD_CLASS_MIX; ASSUMP_AGENTIC_CONTEXT_PENALTY</t>
        </is>
      </c>
      <c r="L614" s="3" t="inlineStr">
        <is>
          <t>Provider production output-token throughput with comparable workload/SLO.</t>
        </is>
      </c>
    </row>
    <row r="615">
      <c r="A615" s="3" t="inlineStr">
        <is>
          <t>Anthropic</t>
        </is>
      </c>
      <c r="B615" s="3" t="n">
        <v>2027</v>
      </c>
      <c r="C615" s="3" t="inlineStr">
        <is>
          <t>Bear</t>
        </is>
      </c>
      <c r="D615" s="3" t="inlineStr">
        <is>
          <t>purpose_built_tps_per_mw</t>
        </is>
      </c>
      <c r="E615" s="3" t="n">
        <v>40592</v>
      </c>
      <c r="F615" s="3" t="inlineStr">
        <is>
          <t>generated output tokens/sec/MW</t>
        </is>
      </c>
      <c r="G615" s="3" t="inlineStr">
        <is>
          <t>Conservative no-uplift proxy</t>
        </is>
      </c>
      <c r="H615" s="3" t="inlineStr">
        <is>
          <t>purpose_built_tps_per_mw = purpose_built_reference_tps_per_mw * commercial_workload_fit_factor until comparable output-token benchmark is adopted</t>
        </is>
      </c>
      <c r="I615" s="3" t="inlineStr">
        <is>
          <t>No comparable public output-token/MW row adopted; B200 public reference placeholder is used and remains editable.</t>
        </is>
      </c>
      <c r="J615" s="3" t="inlineStr">
        <is>
          <t>SRC_ANTHROPIC_CLAUDE_DOCS; SRC_ANTHROPIC_AMAZON_COMPUTE; SRC_AWS_RAINIER_ACTIVE; SRC_EPOCH_AI_DATA_CENTERS; ASSUMP_NUMERIC_ACCELERATOR_MIX</t>
        </is>
      </c>
      <c r="K615" s="3" t="inlineStr">
        <is>
          <t>ASSUMP_POWER_RAMP; ASSUMP_CLOSED_MODEL_BAND; ASSUMP_NUMERIC_ACCELERATOR_MIX; ASSUMP_INFERENCE_SHARE_NOT_FACT_60; ASSUMP_WORKLOAD_CLASS_MIX; ASSUMP_AGENTIC_CONTEXT_PENALTY</t>
        </is>
      </c>
      <c r="L615" s="3" t="inlineStr">
        <is>
          <t>Matched-workload generated-output benchmark for the provider purpose-built accelerator.</t>
        </is>
      </c>
    </row>
    <row r="616">
      <c r="A616" s="3" t="inlineStr">
        <is>
          <t>Anthropic</t>
        </is>
      </c>
      <c r="B616" s="3" t="n">
        <v>2027</v>
      </c>
      <c r="C616" s="3" t="inlineStr">
        <is>
          <t>Bear</t>
        </is>
      </c>
      <c r="D616" s="3" t="inlineStr">
        <is>
          <t>inference_power_share</t>
        </is>
      </c>
      <c r="E616" s="3" t="n">
        <v>0.49</v>
      </c>
      <c r="F616" s="3" t="inlineStr">
        <is>
          <t>share of AI IT load</t>
        </is>
      </c>
      <c r="G616" s="3" t="inlineStr">
        <is>
          <t>Scenario allocation</t>
        </is>
      </c>
      <c r="H616" s="3" t="inlineStr">
        <is>
          <t>inference_gw = ai_it_load_gw * inference_power_share</t>
        </is>
      </c>
      <c r="I616" s="3" t="inlineStr">
        <is>
          <t>Claude API/product growth supports a rising inference share, while continued model training prevents full conversion.</t>
        </is>
      </c>
      <c r="J616" s="3" t="inlineStr">
        <is>
          <t>SRC_ANTHROPIC_CLAUDE_DOCS; SRC_ANTHROPIC_AMAZON_COMPUTE; SRC_AWS_RAINIER_ACTIVE; SRC_EPOCH_AI_DATA_CENTERS; ASSUMP_INFERENCE_SHARE_NOT_FACT_60</t>
        </is>
      </c>
      <c r="K616" s="3" t="inlineStr">
        <is>
          <t>ASSUMP_POWER_RAMP; ASSUMP_CLOSED_MODEL_BAND; ASSUMP_NUMERIC_ACCELERATOR_MIX; ASSUMP_INFERENCE_SHARE_NOT_FACT_60; ASSUMP_WORKLOAD_CLASS_MIX; ASSUMP_AGENTIC_CONTEXT_PENALTY</t>
        </is>
      </c>
      <c r="L616" s="3" t="inlineStr">
        <is>
          <t>Provider-specific inference/training workload power telemetry.</t>
        </is>
      </c>
    </row>
    <row r="617">
      <c r="A617" s="3" t="inlineStr">
        <is>
          <t>Anthropic</t>
        </is>
      </c>
      <c r="B617" s="3" t="n">
        <v>2027</v>
      </c>
      <c r="C617" s="3" t="inlineStr">
        <is>
          <t>Bear</t>
        </is>
      </c>
      <c r="D617" s="3" t="inlineStr">
        <is>
          <t>inference_gw</t>
        </is>
      </c>
      <c r="E617" s="3" t="n">
        <v>0.668</v>
      </c>
      <c r="F617" s="3" t="inlineStr">
        <is>
          <t>GW</t>
        </is>
      </c>
      <c r="G617" s="3" t="inlineStr">
        <is>
          <t>Derived formula</t>
        </is>
      </c>
      <c r="H617" s="3" t="inlineStr">
        <is>
          <t>ai_it_load_gw * inference_power_share</t>
        </is>
      </c>
      <c r="I617" s="3" t="inlineStr">
        <is>
          <t>This is the operational power eligible to become commercial generated output tokens through the selected TPS/MW proxy.</t>
        </is>
      </c>
      <c r="J617" s="3" t="inlineStr">
        <is>
          <t>SRC_ANTHROPIC_CLAUDE_DOCS; SRC_ANTHROPIC_AMAZON_COMPUTE; SRC_AWS_RAINIER_ACTIVE; SRC_EPOCH_AI_DATA_CENTERS</t>
        </is>
      </c>
      <c r="K617" s="3" t="inlineStr">
        <is>
          <t>ASSUMP_POWER_RAMP; ASSUMP_CLOSED_MODEL_BAND; ASSUMP_NUMERIC_ACCELERATOR_MIX; ASSUMP_INFERENCE_SHARE_NOT_FACT_60; ASSUMP_WORKLOAD_CLASS_MIX; ASSUMP_AGENTIC_CONTEXT_PENALTY</t>
        </is>
      </c>
      <c r="L617" s="3" t="inlineStr">
        <is>
          <t>Recompute after AI allocation or inference-share evidence changes.</t>
        </is>
      </c>
    </row>
    <row r="618">
      <c r="A618" s="3" t="inlineStr">
        <is>
          <t>Anthropic</t>
        </is>
      </c>
      <c r="B618" s="3" t="n">
        <v>2027</v>
      </c>
      <c r="C618" s="3" t="inlineStr">
        <is>
          <t>Bear</t>
        </is>
      </c>
      <c r="D618" s="3" t="inlineStr">
        <is>
          <t>training_power_share</t>
        </is>
      </c>
      <c r="E618" s="3" t="n">
        <v>0.51</v>
      </c>
      <c r="F618" s="3" t="inlineStr">
        <is>
          <t>share of AI IT load</t>
        </is>
      </c>
      <c r="G618" s="3" t="inlineStr">
        <is>
          <t>Derived allocation</t>
        </is>
      </c>
      <c r="H618" s="3" t="inlineStr">
        <is>
          <t>1 - inference_power_share</t>
        </is>
      </c>
      <c r="I618" s="3" t="inlineStr">
        <is>
          <t>Training receives the complementary modeled AI IT allocation; it is not a disclosed company workload split.</t>
        </is>
      </c>
      <c r="J618" s="3" t="inlineStr">
        <is>
          <t>SRC_ANTHROPIC_CLAUDE_DOCS; SRC_ANTHROPIC_AMAZON_COMPUTE; SRC_AWS_RAINIER_ACTIVE; SRC_EPOCH_AI_DATA_CENTERS; ASSUMP_INFERENCE_SHARE_NOT_FACT_60</t>
        </is>
      </c>
      <c r="K618" s="3" t="inlineStr">
        <is>
          <t>ASSUMP_POWER_RAMP; ASSUMP_CLOSED_MODEL_BAND; ASSUMP_NUMERIC_ACCELERATOR_MIX; ASSUMP_INFERENCE_SHARE_NOT_FACT_60; ASSUMP_WORKLOAD_CLASS_MIX; ASSUMP_AGENTIC_CONTEXT_PENALTY</t>
        </is>
      </c>
      <c r="L618" s="3" t="inlineStr">
        <is>
          <t>Provider-specific inference/training workload power telemetry.</t>
        </is>
      </c>
    </row>
    <row r="619">
      <c r="A619" s="3" t="inlineStr">
        <is>
          <t>Anthropic</t>
        </is>
      </c>
      <c r="B619" s="3" t="n">
        <v>2027</v>
      </c>
      <c r="C619" s="3" t="inlineStr">
        <is>
          <t>Bear</t>
        </is>
      </c>
      <c r="D619" s="3" t="inlineStr">
        <is>
          <t>training_gw</t>
        </is>
      </c>
      <c r="E619" s="3" t="n">
        <v>0.695</v>
      </c>
      <c r="F619" s="3" t="inlineStr">
        <is>
          <t>GW</t>
        </is>
      </c>
      <c r="G619" s="3" t="inlineStr">
        <is>
          <t>Derived formula</t>
        </is>
      </c>
      <c r="H619" s="3" t="inlineStr">
        <is>
          <t>ai_it_load_gw * training_power_share</t>
        </is>
      </c>
      <c r="I619" s="3" t="inlineStr">
        <is>
          <t>Training GW is shown separately so commercial inference token capacity is not overstated.</t>
        </is>
      </c>
      <c r="J619" s="3" t="inlineStr">
        <is>
          <t>SRC_ANTHROPIC_CLAUDE_DOCS; SRC_ANTHROPIC_AMAZON_COMPUTE; SRC_AWS_RAINIER_ACTIVE; SRC_EPOCH_AI_DATA_CENTERS</t>
        </is>
      </c>
      <c r="K619" s="3" t="inlineStr">
        <is>
          <t>ASSUMP_POWER_RAMP; ASSUMP_CLOSED_MODEL_BAND; ASSUMP_NUMERIC_ACCELERATOR_MIX; ASSUMP_INFERENCE_SHARE_NOT_FACT_60; ASSUMP_WORKLOAD_CLASS_MIX; ASSUMP_AGENTIC_CONTEXT_PENALTY</t>
        </is>
      </c>
      <c r="L619" s="3" t="inlineStr">
        <is>
          <t>Recompute after AI allocation or workload-split evidence changes.</t>
        </is>
      </c>
    </row>
    <row r="620">
      <c r="A620" s="3" t="inlineStr">
        <is>
          <t>Anthropic</t>
        </is>
      </c>
      <c r="B620" s="3" t="n">
        <v>2027</v>
      </c>
      <c r="C620" s="3" t="inlineStr">
        <is>
          <t>Bear</t>
        </is>
      </c>
      <c r="D620" s="3" t="inlineStr">
        <is>
          <t>tokens_per_second_per_mw</t>
        </is>
      </c>
      <c r="E620" s="3" t="n">
        <v>70981</v>
      </c>
      <c r="F620" s="3" t="inlineStr">
        <is>
          <t>generated output tokens/sec/MW</t>
        </is>
      </c>
      <c r="G620" s="3" t="inlineStr">
        <is>
          <t>Derived estimate + benchmark calibration</t>
        </is>
      </c>
      <c r="H620" s="3" t="inlineStr">
        <is>
          <t>fleet_reference_tps_per_mw * commercial_workload_fit_factor</t>
        </is>
      </c>
      <c r="I62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20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20" s="3" t="inlineStr">
        <is>
          <t>ASSUMP_POWER_RAMP; ASSUMP_CLOSED_MODEL_BAND; ASSUMP_NUMERIC_ACCELERATOR_MIX; ASSUMP_INFERENCE_SHARE_NOT_FACT_60; ASSUMP_WORKLOAD_CLASS_MIX; ASSUMP_AGENTIC_CONTEXT_PENALTY</t>
        </is>
      </c>
      <c r="L620" s="3" t="inlineStr">
        <is>
          <t>Comparable production output-token throughput with model, hardware, precision, ISL/OSL and SLO matched.</t>
        </is>
      </c>
    </row>
    <row r="621">
      <c r="A621" s="3" t="inlineStr">
        <is>
          <t>Anthropic</t>
        </is>
      </c>
      <c r="B621" s="3" t="n">
        <v>2027</v>
      </c>
      <c r="C621" s="3" t="inlineStr">
        <is>
          <t>Bear</t>
        </is>
      </c>
      <c r="D621" s="3" t="inlineStr">
        <is>
          <t>inference_tokens_per_day</t>
        </is>
      </c>
      <c r="E621" s="3" t="n">
        <v>4096682611200</v>
      </c>
      <c r="F621" s="3" t="inlineStr">
        <is>
          <t>generated output tokens/day</t>
        </is>
      </c>
      <c r="G621" s="3" t="inlineStr">
        <is>
          <t>Derived headline metric</t>
        </is>
      </c>
      <c r="H621" s="3" t="inlineStr">
        <is>
          <t>inference_gw * 1000 * tokens_per_second_per_mw * 86,400</t>
        </is>
      </c>
      <c r="I621" s="3" t="inlineStr">
        <is>
          <t>Headline capacity uses no utilization, MoE, architecture or software-growth multiplier; it is not observed commercial output volume.</t>
        </is>
      </c>
      <c r="J621" s="3" t="inlineStr">
        <is>
          <t>SRC_ANTHROPIC_CLAUDE_DOCS; SRC_ANTHROPIC_AMAZON_COMPUTE; SRC_AWS_RAINIER_ACTIVE; SRC_EPOCH_AI_DATA_CENTERS; SRC_SEMIANALYSIS_INFERENCEX</t>
        </is>
      </c>
      <c r="K621" s="3" t="inlineStr">
        <is>
          <t>ASSUMP_POWER_RAMP; ASSUMP_CLOSED_MODEL_BAND; ASSUMP_NUMERIC_ACCELERATOR_MIX; ASSUMP_INFERENCE_SHARE_NOT_FACT_60; ASSUMP_WORKLOAD_CLASS_MIX; ASSUMP_AGENTIC_CONTEXT_PENALTY</t>
        </is>
      </c>
      <c r="L621" s="3" t="inlineStr">
        <is>
          <t>Provider-disclosed generated output token volume or calibrated capacity telemetry.</t>
        </is>
      </c>
    </row>
    <row r="622">
      <c r="A622" s="3" t="inlineStr">
        <is>
          <t>Anthropic</t>
        </is>
      </c>
      <c r="B622" s="3" t="n">
        <v>2027</v>
      </c>
      <c r="C622" s="3" t="inlineStr">
        <is>
          <t>Bear</t>
        </is>
      </c>
      <c r="D622" s="3" t="inlineStr">
        <is>
          <t>inference_tokens_per_year</t>
        </is>
      </c>
      <c r="E622" s="3" t="n">
        <v>1495289153088000</v>
      </c>
      <c r="F622" s="3" t="inlineStr">
        <is>
          <t>generated output tokens/year</t>
        </is>
      </c>
      <c r="G622" s="3" t="inlineStr">
        <is>
          <t>Derived headline metric</t>
        </is>
      </c>
      <c r="H622" s="3" t="inlineStr">
        <is>
          <t>inference_tokens_per_day * 365</t>
        </is>
      </c>
      <c r="I622" s="3" t="inlineStr">
        <is>
          <t>Annualized version of generated output token capacity; it is not observed annual demand or billable volume.</t>
        </is>
      </c>
      <c r="J622" s="3" t="inlineStr">
        <is>
          <t>SRC_ANTHROPIC_CLAUDE_DOCS; SRC_ANTHROPIC_AMAZON_COMPUTE; SRC_AWS_RAINIER_ACTIVE; SRC_EPOCH_AI_DATA_CENTERS; SRC_SEMIANALYSIS_INFERENCEX</t>
        </is>
      </c>
      <c r="K622" s="3" t="inlineStr">
        <is>
          <t>ASSUMP_POWER_RAMP; ASSUMP_CLOSED_MODEL_BAND; ASSUMP_NUMERIC_ACCELERATOR_MIX; ASSUMP_INFERENCE_SHARE_NOT_FACT_60; ASSUMP_WORKLOAD_CLASS_MIX; ASSUMP_AGENTIC_CONTEXT_PENALTY</t>
        </is>
      </c>
      <c r="L622" s="3" t="inlineStr">
        <is>
          <t>Provider-disclosed annual generated-output volume or metered serving telemetry.</t>
        </is>
      </c>
    </row>
    <row r="623">
      <c r="A623" s="3" t="inlineStr">
        <is>
          <t>Anthropic</t>
        </is>
      </c>
      <c r="B623" s="3" t="n">
        <v>2028</v>
      </c>
      <c r="C623" s="3" t="inlineStr">
        <is>
          <t>Bear</t>
        </is>
      </c>
      <c r="D623" s="3" t="inlineStr">
        <is>
          <t>contracted_power_gw</t>
        </is>
      </c>
      <c r="E623" s="3" t="n">
        <v>5.25</v>
      </c>
      <c r="F623" s="3" t="inlineStr">
        <is>
          <t>GW</t>
        </is>
      </c>
      <c r="G623" s="3" t="inlineStr">
        <is>
          <t>Fact anchor + scenario ceiling</t>
        </is>
      </c>
      <c r="H623" s="3" t="inlineStr">
        <is>
          <t>linear interpolation between 2026 and 2030 company capacity endpoints</t>
        </is>
      </c>
      <c r="I623" s="3" t="inlineStr">
        <is>
          <t>Hosted capacity envelope is anchored by Anthropic/AWS Project Rainier direction; it is attributed to Claude outputs, not AWS as a model owner.</t>
        </is>
      </c>
      <c r="J623" s="3" t="inlineStr">
        <is>
          <t>SRC_ANTHROPIC_AMAZON_COMPUTE; SRC_AWS_RAINIER_ACTIVE; ASSUMP_POWER_RAMP</t>
        </is>
      </c>
      <c r="K623" s="3" t="inlineStr">
        <is>
          <t>ASSUMP_POWER_RAMP; ASSUMP_CLOSED_MODEL_BAND; ASSUMP_NUMERIC_ACCELERATOR_MIX; ASSUMP_INFERENCE_SHARE_NOT_FACT_60; ASSUMP_WORKLOAD_CLASS_MIX; ASSUMP_AGENTIC_CONTEXT_PENALTY</t>
        </is>
      </c>
      <c r="L623" s="3" t="inlineStr">
        <is>
          <t>Company/site-level committed MW/GW, interconnect and contract disclosure.</t>
        </is>
      </c>
    </row>
    <row r="624">
      <c r="A624" s="3" t="inlineStr">
        <is>
          <t>Anthropic</t>
        </is>
      </c>
      <c r="B624" s="3" t="n">
        <v>2028</v>
      </c>
      <c r="C624" s="3" t="inlineStr">
        <is>
          <t>Bear</t>
        </is>
      </c>
      <c r="D624" s="3" t="inlineStr">
        <is>
          <t>operational_deployment_share</t>
        </is>
      </c>
      <c r="E624" s="3" t="n">
        <v>0.53238095</v>
      </c>
      <c r="F624" s="3" t="inlineStr">
        <is>
          <t>share</t>
        </is>
      </c>
      <c r="G624" s="3" t="inlineStr">
        <is>
          <t>Scenario conversion</t>
        </is>
      </c>
      <c r="H624" s="3" t="inlineStr">
        <is>
          <t>active_power_gw / contracted_power_gw</t>
        </is>
      </c>
      <c r="I624" s="3" t="inlineStr">
        <is>
          <t>This is the single explicit conversion from contracted/attributed capacity to operationally usable capacity.</t>
        </is>
      </c>
      <c r="J624" s="3" t="inlineStr">
        <is>
          <t>SRC_ANTHROPIC_AMAZON_COMPUTE; SRC_AWS_RAINIER_ACTIVE; ASSUMP_POWER_RAMP</t>
        </is>
      </c>
      <c r="K624" s="3" t="inlineStr">
        <is>
          <t>ASSUMP_POWER_RAMP; ASSUMP_CLOSED_MODEL_BAND; ASSUMP_NUMERIC_ACCELERATOR_MIX; ASSUMP_INFERENCE_SHARE_NOT_FACT_60; ASSUMP_WORKLOAD_CLASS_MIX; ASSUMP_AGENTIC_CONTEXT_PENALTY</t>
        </is>
      </c>
      <c r="L624" s="3" t="inlineStr">
        <is>
          <t>Energized operational capacity divided by contracted/attributed capacity.</t>
        </is>
      </c>
    </row>
    <row r="625">
      <c r="A625" s="3" t="inlineStr">
        <is>
          <t>Anthropic</t>
        </is>
      </c>
      <c r="B625" s="3" t="n">
        <v>2028</v>
      </c>
      <c r="C625" s="3" t="inlineStr">
        <is>
          <t>Bear</t>
        </is>
      </c>
      <c r="D625" s="3" t="inlineStr">
        <is>
          <t>active_power_gw</t>
        </is>
      </c>
      <c r="E625" s="3" t="n">
        <v>2.795</v>
      </c>
      <c r="F625" s="3" t="inlineStr">
        <is>
          <t>GW</t>
        </is>
      </c>
      <c r="G625" s="3" t="inlineStr">
        <is>
          <t>Derived scenario</t>
        </is>
      </c>
      <c r="H625" s="3" t="inlineStr">
        <is>
          <t>contracted_power_gw * operational_deployment_share</t>
        </is>
      </c>
      <c r="I625" s="3" t="inlineStr">
        <is>
          <t>Trainium cluster activation supports staged active ramp; Claude inference-versus-training use remains estimated.</t>
        </is>
      </c>
      <c r="J625" s="3" t="inlineStr">
        <is>
          <t>SRC_ANTHROPIC_AMAZON_COMPUTE; SRC_AWS_RAINIER_ACTIVE; ASSUMP_POWER_RAMP</t>
        </is>
      </c>
      <c r="K625" s="3" t="inlineStr">
        <is>
          <t>ASSUMP_POWER_RAMP; ASSUMP_CLOSED_MODEL_BAND; ASSUMP_NUMERIC_ACCELERATOR_MIX; ASSUMP_INFERENCE_SHARE_NOT_FACT_60; ASSUMP_WORKLOAD_CLASS_MIX; ASSUMP_AGENTIC_CONTEXT_PENALTY</t>
        </is>
      </c>
      <c r="L625" s="3" t="inlineStr">
        <is>
          <t>Energization dates, accelerator deliveries and operational powered-rack telemetry.</t>
        </is>
      </c>
    </row>
    <row r="626">
      <c r="A626" s="3" t="inlineStr">
        <is>
          <t>Anthropic</t>
        </is>
      </c>
      <c r="B626" s="3" t="n">
        <v>2028</v>
      </c>
      <c r="C626" s="3" t="inlineStr">
        <is>
          <t>Bear</t>
        </is>
      </c>
      <c r="D626" s="3" t="inlineStr">
        <is>
          <t>pue</t>
        </is>
      </c>
      <c r="E626" s="3" t="n">
        <v>1.18</v>
      </c>
      <c r="F626" s="3" t="inlineStr">
        <is>
          <t>ratio</t>
        </is>
      </c>
      <c r="G626" s="3" t="inlineStr">
        <is>
          <t>Scenario parameter</t>
        </is>
      </c>
      <c r="H626" s="3" t="inlineStr">
        <is>
          <t>it_load_gw = active_power_gw / pue</t>
        </is>
      </c>
      <c r="I626" s="3" t="inlineStr">
        <is>
          <t>No provider-wide site-level PUE is used as a disclosed fact; PUE represents facility-to-IT conversion within the scenario.</t>
        </is>
      </c>
      <c r="J626" s="3" t="inlineStr">
        <is>
          <t>ASSUMP_POWER_RAMP</t>
        </is>
      </c>
      <c r="K626" s="3" t="inlineStr">
        <is>
          <t>ASSUMP_POWER_RAMP; ASSUMP_CLOSED_MODEL_BAND; ASSUMP_NUMERIC_ACCELERATOR_MIX; ASSUMP_INFERENCE_SHARE_NOT_FACT_60; ASSUMP_WORKLOAD_CLASS_MIX; ASSUMP_AGENTIC_CONTEXT_PENALTY</t>
        </is>
      </c>
      <c r="L626" s="3" t="inlineStr">
        <is>
          <t>Site-level measured PUE matched to attributed AI capacity.</t>
        </is>
      </c>
    </row>
    <row r="627">
      <c r="A627" s="3" t="inlineStr">
        <is>
          <t>Anthropic</t>
        </is>
      </c>
      <c r="B627" s="3" t="n">
        <v>2028</v>
      </c>
      <c r="C627" s="3" t="inlineStr">
        <is>
          <t>Bear</t>
        </is>
      </c>
      <c r="D627" s="3" t="inlineStr">
        <is>
          <t>it_load_gw</t>
        </is>
      </c>
      <c r="E627" s="3" t="n">
        <v>2.369</v>
      </c>
      <c r="F627" s="3" t="inlineStr">
        <is>
          <t>GW</t>
        </is>
      </c>
      <c r="G627" s="3" t="inlineStr">
        <is>
          <t>Derived formula</t>
        </is>
      </c>
      <c r="H627" s="3" t="inlineStr">
        <is>
          <t>active_power_gw / pue</t>
        </is>
      </c>
      <c r="I627" s="3" t="inlineStr">
        <is>
          <t>Facility power is converted to IT-deliverable power before attributing AI workloads.</t>
        </is>
      </c>
      <c r="J627" s="3" t="inlineStr">
        <is>
          <t>SRC_ANTHROPIC_AMAZON_COMPUTE; SRC_AWS_RAINIER_ACTIVE; ASSUMP_POWER_RAMP</t>
        </is>
      </c>
      <c r="K627" s="3" t="inlineStr">
        <is>
          <t>ASSUMP_POWER_RAMP; ASSUMP_CLOSED_MODEL_BAND; ASSUMP_NUMERIC_ACCELERATOR_MIX; ASSUMP_INFERENCE_SHARE_NOT_FACT_60; ASSUMP_WORKLOAD_CLASS_MIX; ASSUMP_AGENTIC_CONTEXT_PENALTY</t>
        </is>
      </c>
      <c r="L627" s="3" t="inlineStr">
        <is>
          <t>Recompute once active power and PUE become site-observable.</t>
        </is>
      </c>
    </row>
    <row r="628">
      <c r="A628" s="3" t="inlineStr">
        <is>
          <t>Anthropic</t>
        </is>
      </c>
      <c r="B628" s="3" t="n">
        <v>2028</v>
      </c>
      <c r="C628" s="3" t="inlineStr">
        <is>
          <t>Bear</t>
        </is>
      </c>
      <c r="D628" s="3" t="inlineStr">
        <is>
          <t>ai_workload_share</t>
        </is>
      </c>
      <c r="E628" s="3" t="n">
        <v>0.86</v>
      </c>
      <c r="F628" s="3" t="inlineStr">
        <is>
          <t>share</t>
        </is>
      </c>
      <c r="G628" s="3" t="inlineStr">
        <is>
          <t>Scenario allocation</t>
        </is>
      </c>
      <c r="H628" s="3" t="inlineStr">
        <is>
          <t>ai_it_load_gw = it_load_gw * ai_workload_share</t>
        </is>
      </c>
      <c r="I628" s="3" t="inlineStr">
        <is>
          <t>Anthropic-directed hosted capacity is predominantly AI; 86% excludes platform, reserve and non-serving allocation.</t>
        </is>
      </c>
      <c r="J628" s="3" t="inlineStr">
        <is>
          <t>SRC_ANTHROPIC_CLAUDE_DOCS; SRC_ANTHROPIC_AMAZON_COMPUTE; SRC_AWS_RAINIER_ACTIVE; SRC_EPOCH_AI_DATA_CENTERS</t>
        </is>
      </c>
      <c r="K628" s="3" t="inlineStr">
        <is>
          <t>ASSUMP_POWER_RAMP; ASSUMP_CLOSED_MODEL_BAND; ASSUMP_NUMERIC_ACCELERATOR_MIX; ASSUMP_INFERENCE_SHARE_NOT_FACT_60; ASSUMP_WORKLOAD_CLASS_MIX; ASSUMP_AGENTIC_CONTEXT_PENALTY</t>
        </is>
      </c>
      <c r="L628" s="3" t="inlineStr">
        <is>
          <t>Model-owner AI workload allocation or cluster scheduling telemetry.</t>
        </is>
      </c>
    </row>
    <row r="629">
      <c r="A629" s="3" t="inlineStr">
        <is>
          <t>Anthropic</t>
        </is>
      </c>
      <c r="B629" s="3" t="n">
        <v>2028</v>
      </c>
      <c r="C629" s="3" t="inlineStr">
        <is>
          <t>Bear</t>
        </is>
      </c>
      <c r="D629" s="3" t="inlineStr">
        <is>
          <t>ai_it_load_gw</t>
        </is>
      </c>
      <c r="E629" s="3" t="n">
        <v>2.037</v>
      </c>
      <c r="F629" s="3" t="inlineStr">
        <is>
          <t>GW</t>
        </is>
      </c>
      <c r="G629" s="3" t="inlineStr">
        <is>
          <t>Derived formula</t>
        </is>
      </c>
      <c r="H629" s="3" t="inlineStr">
        <is>
          <t>it_load_gw * ai_workload_share</t>
        </is>
      </c>
      <c r="I629" s="3" t="inlineStr">
        <is>
          <t>Only the AI-attributed portion of IT load enters training/inference allocation.</t>
        </is>
      </c>
      <c r="J629" s="3" t="inlineStr">
        <is>
          <t>SRC_ANTHROPIC_CLAUDE_DOCS; SRC_ANTHROPIC_AMAZON_COMPUTE; SRC_AWS_RAINIER_ACTIVE; SRC_EPOCH_AI_DATA_CENTERS</t>
        </is>
      </c>
      <c r="K629" s="3" t="inlineStr">
        <is>
          <t>ASSUMP_POWER_RAMP; ASSUMP_CLOSED_MODEL_BAND; ASSUMP_NUMERIC_ACCELERATOR_MIX; ASSUMP_INFERENCE_SHARE_NOT_FACT_60; ASSUMP_WORKLOAD_CLASS_MIX; ASSUMP_AGENTIC_CONTEXT_PENALTY</t>
        </is>
      </c>
      <c r="L629" s="3" t="inlineStr">
        <is>
          <t>Recompute after ai_workload_share is replaced by telemetry.</t>
        </is>
      </c>
    </row>
    <row r="630">
      <c r="A630" s="3" t="inlineStr">
        <is>
          <t>Anthropic</t>
        </is>
      </c>
      <c r="B630" s="3" t="n">
        <v>2028</v>
      </c>
      <c r="C630" s="3" t="inlineStr">
        <is>
          <t>Bear</t>
        </is>
      </c>
      <c r="D630" s="3" t="inlineStr">
        <is>
          <t>gpu_share</t>
        </is>
      </c>
      <c r="E630" s="3" t="n">
        <v>0.178448</v>
      </c>
      <c r="F630" s="3" t="inlineStr">
        <is>
          <t>share of inference-serving accelerator load</t>
        </is>
      </c>
      <c r="G630" s="3" t="inlineStr">
        <is>
          <t>Numeric scenario</t>
        </is>
      </c>
      <c r="H630" s="3" t="inlineStr">
        <is>
          <t>gpu_share interpolated from company 2026/2030 accelerator-mix endpoints</t>
        </is>
      </c>
      <c r="I630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30" s="3" t="inlineStr">
        <is>
          <t>SRC_ANTHROPIC_CLAUDE_DOCS; SRC_ANTHROPIC_AMAZON_COMPUTE; SRC_AWS_RAINIER_ACTIVE; SRC_EPOCH_AI_DATA_CENTERS; ASSUMP_NUMERIC_ACCELERATOR_MIX</t>
        </is>
      </c>
      <c r="K630" s="3" t="inlineStr">
        <is>
          <t>ASSUMP_POWER_RAMP; ASSUMP_CLOSED_MODEL_BAND; ASSUMP_NUMERIC_ACCELERATOR_MIX; ASSUMP_INFERENCE_SHARE_NOT_FACT_60; ASSUMP_WORKLOAD_CLASS_MIX; ASSUMP_AGENTIC_CONTEXT_PENALTY</t>
        </is>
      </c>
      <c r="L630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31">
      <c r="A631" s="3" t="inlineStr">
        <is>
          <t>Anthropic</t>
        </is>
      </c>
      <c r="B631" s="3" t="n">
        <v>2028</v>
      </c>
      <c r="C631" s="3" t="inlineStr">
        <is>
          <t>Bear</t>
        </is>
      </c>
      <c r="D631" s="3" t="inlineStr">
        <is>
          <t>h200_share</t>
        </is>
      </c>
      <c r="E631" s="3" t="n">
        <v>0.06841700000000001</v>
      </c>
      <c r="F631" s="3" t="inlineStr">
        <is>
          <t>share of inference-serving accelerator load</t>
        </is>
      </c>
      <c r="G631" s="3" t="inlineStr">
        <is>
          <t>Editable numeric scenario</t>
        </is>
      </c>
      <c r="H631" s="3" t="inlineStr">
        <is>
          <t>h200_share = gpu_share * default_gpu_generation_mix_h200</t>
        </is>
      </c>
      <c r="I631" s="3" t="inlineStr">
        <is>
          <t>Default GPU-generation migration assumption; executive workbook allows later manual replacement by company/year/scenario.</t>
        </is>
      </c>
      <c r="J631" s="3" t="inlineStr">
        <is>
          <t>SRC_SEMIANALYSIS_INFERENCEX; ASSUMP_NUMERIC_ACCELERATOR_MIX</t>
        </is>
      </c>
      <c r="K631" s="3" t="inlineStr">
        <is>
          <t>ASSUMP_POWER_RAMP; ASSUMP_CLOSED_MODEL_BAND; ASSUMP_NUMERIC_ACCELERATOR_MIX; ASSUMP_INFERENCE_SHARE_NOT_FACT_60; ASSUMP_WORKLOAD_CLASS_MIX; ASSUMP_AGENTIC_CONTEXT_PENALTY</t>
        </is>
      </c>
      <c r="L631" s="3" t="inlineStr">
        <is>
          <t>Company fleet inventory, accelerator-hours or procurement/deployment records by GPU generation.</t>
        </is>
      </c>
    </row>
    <row r="632">
      <c r="A632" s="3" t="inlineStr">
        <is>
          <t>Anthropic</t>
        </is>
      </c>
      <c r="B632" s="3" t="n">
        <v>2028</v>
      </c>
      <c r="C632" s="3" t="inlineStr">
        <is>
          <t>Bear</t>
        </is>
      </c>
      <c r="D632" s="3" t="inlineStr">
        <is>
          <t>b200_share</t>
        </is>
      </c>
      <c r="E632" s="3" t="n">
        <v>0.110031</v>
      </c>
      <c r="F632" s="3" t="inlineStr">
        <is>
          <t>share of inference-serving accelerator load</t>
        </is>
      </c>
      <c r="G632" s="3" t="inlineStr">
        <is>
          <t>Editable numeric scenario</t>
        </is>
      </c>
      <c r="H632" s="3" t="inlineStr">
        <is>
          <t>b200_share = gpu_share * default_gpu_generation_mix_b200</t>
        </is>
      </c>
      <c r="I632" s="3" t="inlineStr">
        <is>
          <t>Default GPU-generation migration assumption; executive workbook allows later manual replacement by company/year/scenario.</t>
        </is>
      </c>
      <c r="J632" s="3" t="inlineStr">
        <is>
          <t>SRC_SEMIANALYSIS_INFERENCEX; ASSUMP_NUMERIC_ACCELERATOR_MIX</t>
        </is>
      </c>
      <c r="K632" s="3" t="inlineStr">
        <is>
          <t>ASSUMP_POWER_RAMP; ASSUMP_CLOSED_MODEL_BAND; ASSUMP_NUMERIC_ACCELERATOR_MIX; ASSUMP_INFERENCE_SHARE_NOT_FACT_60; ASSUMP_WORKLOAD_CLASS_MIX; ASSUMP_AGENTIC_CONTEXT_PENALTY</t>
        </is>
      </c>
      <c r="L632" s="3" t="inlineStr">
        <is>
          <t>Company fleet inventory, accelerator-hours or procurement/deployment records by GPU generation.</t>
        </is>
      </c>
    </row>
    <row r="633">
      <c r="A633" s="3" t="inlineStr">
        <is>
          <t>Anthropic</t>
        </is>
      </c>
      <c r="B633" s="3" t="n">
        <v>2028</v>
      </c>
      <c r="C633" s="3" t="inlineStr">
        <is>
          <t>Bear</t>
        </is>
      </c>
      <c r="D633" s="3" t="inlineStr">
        <is>
          <t>gb200_share</t>
        </is>
      </c>
      <c r="E633" s="3" t="n">
        <v>0</v>
      </c>
      <c r="F633" s="3" t="inlineStr">
        <is>
          <t>share of inference-serving accelerator load</t>
        </is>
      </c>
      <c r="G633" s="3" t="inlineStr">
        <is>
          <t>Editable numeric scenario</t>
        </is>
      </c>
      <c r="H633" s="3" t="inlineStr">
        <is>
          <t>gb200_share = gpu_share * default_gpu_generation_mix_gb200</t>
        </is>
      </c>
      <c r="I633" s="3" t="inlineStr">
        <is>
          <t>Default GPU-generation migration assumption; executive workbook allows later manual replacement by company/year/scenario.</t>
        </is>
      </c>
      <c r="J633" s="3" t="inlineStr">
        <is>
          <t>SRC_SEMIANALYSIS_INFERENCEX; ASSUMP_NUMERIC_ACCELERATOR_MIX</t>
        </is>
      </c>
      <c r="K633" s="3" t="inlineStr">
        <is>
          <t>ASSUMP_POWER_RAMP; ASSUMP_CLOSED_MODEL_BAND; ASSUMP_NUMERIC_ACCELERATOR_MIX; ASSUMP_INFERENCE_SHARE_NOT_FACT_60; ASSUMP_WORKLOAD_CLASS_MIX; ASSUMP_AGENTIC_CONTEXT_PENALTY</t>
        </is>
      </c>
      <c r="L633" s="3" t="inlineStr">
        <is>
          <t>Company fleet inventory, accelerator-hours or procurement/deployment records by GPU generation.</t>
        </is>
      </c>
    </row>
    <row r="634">
      <c r="A634" s="3" t="inlineStr">
        <is>
          <t>Anthropic</t>
        </is>
      </c>
      <c r="B634" s="3" t="n">
        <v>2028</v>
      </c>
      <c r="C634" s="3" t="inlineStr">
        <is>
          <t>Bear</t>
        </is>
      </c>
      <c r="D634" s="3" t="inlineStr">
        <is>
          <t>purpose_built_accelerator_share</t>
        </is>
      </c>
      <c r="E634" s="3" t="n">
        <v>0.8215519999999999</v>
      </c>
      <c r="F634" s="3" t="inlineStr">
        <is>
          <t>share of inference-serving accelerator load</t>
        </is>
      </c>
      <c r="G634" s="3" t="inlineStr">
        <is>
          <t>Numeric scenario</t>
        </is>
      </c>
      <c r="H634" s="3" t="inlineStr">
        <is>
          <t>1 - gpu_share</t>
        </is>
      </c>
      <c r="I634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34" s="3" t="inlineStr">
        <is>
          <t>SRC_ANTHROPIC_CLAUDE_DOCS; SRC_ANTHROPIC_AMAZON_COMPUTE; SRC_AWS_RAINIER_ACTIVE; SRC_EPOCH_AI_DATA_CENTERS; ASSUMP_NUMERIC_ACCELERATOR_MIX</t>
        </is>
      </c>
      <c r="K634" s="3" t="inlineStr">
        <is>
          <t>ASSUMP_POWER_RAMP; ASSUMP_CLOSED_MODEL_BAND; ASSUMP_NUMERIC_ACCELERATOR_MIX; ASSUMP_INFERENCE_SHARE_NOT_FACT_60; ASSUMP_WORKLOAD_CLASS_MIX; ASSUMP_AGENTIC_CONTEXT_PENALTY</t>
        </is>
      </c>
      <c r="L634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35">
      <c r="A635" s="3" t="inlineStr">
        <is>
          <t>Anthropic</t>
        </is>
      </c>
      <c r="B635" s="3" t="n">
        <v>2028</v>
      </c>
      <c r="C635" s="3" t="inlineStr">
        <is>
          <t>Bear</t>
        </is>
      </c>
      <c r="D635" s="3" t="inlineStr">
        <is>
          <t>fleet_reference_tps_per_mw</t>
        </is>
      </c>
      <c r="E635" s="3" t="n">
        <v>188100</v>
      </c>
      <c r="F635" s="3" t="inlineStr">
        <is>
          <t>generated output tokens/sec/MW</t>
        </is>
      </c>
      <c r="G635" s="3" t="inlineStr">
        <is>
          <t>Fleet-weighted public benchmark reference</t>
        </is>
      </c>
      <c r="H635" s="3" t="inlineStr">
        <is>
          <t>h200_share*h200_workload_avg + b200_share*b200_workload_avg + gb200_share*gb200_workload_avg + purpose_built_share*purpose_workload_avg</t>
        </is>
      </c>
      <c r="I63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35" s="3" t="inlineStr">
        <is>
          <t>SRC_SEMIANALYSIS_INFERENCEX; ASSUMP_NUMERIC_ACCELERATOR_MIX; ASSUMP_WORKLOAD_CLASS_MIX; ASSUMP_AGENTIC_CONTEXT_PENALTY</t>
        </is>
      </c>
      <c r="K635" s="3" t="inlineStr">
        <is>
          <t>ASSUMP_POWER_RAMP; ASSUMP_CLOSED_MODEL_BAND; ASSUMP_NUMERIC_ACCELERATOR_MIX; ASSUMP_INFERENCE_SHARE_NOT_FACT_60; ASSUMP_WORKLOAD_CLASS_MIX; ASSUMP_AGENTIC_CONTEXT_PENALTY</t>
        </is>
      </c>
      <c r="L635" s="3" t="inlineStr">
        <is>
          <t>Comparable production output-token throughput or a more closely matched benchmark.</t>
        </is>
      </c>
    </row>
    <row r="636">
      <c r="A636" s="3" t="inlineStr">
        <is>
          <t>Anthropic</t>
        </is>
      </c>
      <c r="B636" s="3" t="n">
        <v>2028</v>
      </c>
      <c r="C636" s="3" t="inlineStr">
        <is>
          <t>Bear</t>
        </is>
      </c>
      <c r="D636" s="3" t="inlineStr">
        <is>
          <t>commercial_workload_fit_factor</t>
        </is>
      </c>
      <c r="E636" s="3" t="n">
        <v>0.3</v>
      </c>
      <c r="F636" s="3" t="inlineStr">
        <is>
          <t>share of public reference throughput</t>
        </is>
      </c>
      <c r="G636" s="3" t="inlineStr">
        <is>
          <t>Scenario assumption</t>
        </is>
      </c>
      <c r="H636" s="3" t="inlineStr">
        <is>
          <t>reference_serving_tps_per_mw = fleet_reference_tps_per_mw * commercial_workload_fit_factor</t>
        </is>
      </c>
      <c r="I63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36" s="3" t="inlineStr">
        <is>
          <t>SRC_SEMIANALYSIS_INFERENCEX; ASSUMP_NUMERIC_ACCELERATOR_MIX; ASSUMP_WORKLOAD_CLASS_MIX; ASSUMP_AGENTIC_CONTEXT_PENALTY</t>
        </is>
      </c>
      <c r="K636" s="3" t="inlineStr">
        <is>
          <t>ASSUMP_POWER_RAMP; ASSUMP_CLOSED_MODEL_BAND; ASSUMP_NUMERIC_ACCELERATOR_MIX; ASSUMP_INFERENCE_SHARE_NOT_FACT_60; ASSUMP_WORKLOAD_CLASS_MIX; ASSUMP_AGENTIC_CONTEXT_PENALTY</t>
        </is>
      </c>
      <c r="L636" s="3" t="inlineStr">
        <is>
          <t>Matched commercial serving benchmark by product surface, context shape and latency SLO.</t>
        </is>
      </c>
    </row>
    <row r="637">
      <c r="A637" s="3" t="inlineStr">
        <is>
          <t>Anthropic</t>
        </is>
      </c>
      <c r="B637" s="3" t="n">
        <v>2028</v>
      </c>
      <c r="C637" s="3" t="inlineStr">
        <is>
          <t>Bear</t>
        </is>
      </c>
      <c r="D637" s="3" t="inlineStr">
        <is>
          <t>reference_serving_tps_per_mw</t>
        </is>
      </c>
      <c r="E637" s="3" t="n">
        <v>56430</v>
      </c>
      <c r="F637" s="3" t="inlineStr">
        <is>
          <t>generated output tokens/sec/MW</t>
        </is>
      </c>
      <c r="G637" s="3" t="inlineStr">
        <is>
          <t>Workload-adjusted benchmark proxy</t>
        </is>
      </c>
      <c r="H637" s="3" t="inlineStr">
        <is>
          <t>fleet_reference_tps_per_mw * commercial_workload_fit_factor</t>
        </is>
      </c>
      <c r="I637" s="3" t="inlineStr">
        <is>
          <t>This is the coefficient used for headline token generation; each GPU's short chat, long chat and agentic TPS/MW are weighted before fleet mix and commercial fit are applied.</t>
        </is>
      </c>
      <c r="J637" s="3" t="inlineStr">
        <is>
          <t>SRC_SEMIANALYSIS_INFERENCEX; ASSUMP_NUMERIC_ACCELERATOR_MIX; ASSUMP_WORKLOAD_CLASS_MIX; ASSUMP_AGENTIC_CONTEXT_PENALTY</t>
        </is>
      </c>
      <c r="K637" s="3" t="inlineStr">
        <is>
          <t>ASSUMP_POWER_RAMP; ASSUMP_CLOSED_MODEL_BAND; ASSUMP_NUMERIC_ACCELERATOR_MIX; ASSUMP_INFERENCE_SHARE_NOT_FACT_60; ASSUMP_WORKLOAD_CLASS_MIX; ASSUMP_AGENTIC_CONTEXT_PENALTY</t>
        </is>
      </c>
      <c r="L637" s="3" t="inlineStr">
        <is>
          <t>Provider production output-token throughput with comparable workload/SLO.</t>
        </is>
      </c>
    </row>
    <row r="638">
      <c r="A638" s="3" t="inlineStr">
        <is>
          <t>Anthropic</t>
        </is>
      </c>
      <c r="B638" s="3" t="n">
        <v>2028</v>
      </c>
      <c r="C638" s="3" t="inlineStr">
        <is>
          <t>Bear</t>
        </is>
      </c>
      <c r="D638" s="3" t="inlineStr">
        <is>
          <t>purpose_built_tps_per_mw</t>
        </is>
      </c>
      <c r="E638" s="3" t="n">
        <v>40592</v>
      </c>
      <c r="F638" s="3" t="inlineStr">
        <is>
          <t>generated output tokens/sec/MW</t>
        </is>
      </c>
      <c r="G638" s="3" t="inlineStr">
        <is>
          <t>Conservative no-uplift proxy</t>
        </is>
      </c>
      <c r="H638" s="3" t="inlineStr">
        <is>
          <t>purpose_built_tps_per_mw = purpose_built_reference_tps_per_mw * commercial_workload_fit_factor until comparable output-token benchmark is adopted</t>
        </is>
      </c>
      <c r="I638" s="3" t="inlineStr">
        <is>
          <t>No comparable public output-token/MW row adopted; B200 public reference placeholder is used and remains editable.</t>
        </is>
      </c>
      <c r="J638" s="3" t="inlineStr">
        <is>
          <t>SRC_ANTHROPIC_CLAUDE_DOCS; SRC_ANTHROPIC_AMAZON_COMPUTE; SRC_AWS_RAINIER_ACTIVE; SRC_EPOCH_AI_DATA_CENTERS; ASSUMP_NUMERIC_ACCELERATOR_MIX</t>
        </is>
      </c>
      <c r="K638" s="3" t="inlineStr">
        <is>
          <t>ASSUMP_POWER_RAMP; ASSUMP_CLOSED_MODEL_BAND; ASSUMP_NUMERIC_ACCELERATOR_MIX; ASSUMP_INFERENCE_SHARE_NOT_FACT_60; ASSUMP_WORKLOAD_CLASS_MIX; ASSUMP_AGENTIC_CONTEXT_PENALTY</t>
        </is>
      </c>
      <c r="L638" s="3" t="inlineStr">
        <is>
          <t>Matched-workload generated-output benchmark for the provider purpose-built accelerator.</t>
        </is>
      </c>
    </row>
    <row r="639">
      <c r="A639" s="3" t="inlineStr">
        <is>
          <t>Anthropic</t>
        </is>
      </c>
      <c r="B639" s="3" t="n">
        <v>2028</v>
      </c>
      <c r="C639" s="3" t="inlineStr">
        <is>
          <t>Bear</t>
        </is>
      </c>
      <c r="D639" s="3" t="inlineStr">
        <is>
          <t>inference_power_share</t>
        </is>
      </c>
      <c r="E639" s="3" t="n">
        <v>0.54</v>
      </c>
      <c r="F639" s="3" t="inlineStr">
        <is>
          <t>share of AI IT load</t>
        </is>
      </c>
      <c r="G639" s="3" t="inlineStr">
        <is>
          <t>Scenario allocation</t>
        </is>
      </c>
      <c r="H639" s="3" t="inlineStr">
        <is>
          <t>inference_gw = ai_it_load_gw * inference_power_share</t>
        </is>
      </c>
      <c r="I639" s="3" t="inlineStr">
        <is>
          <t>Claude API/product growth supports a rising inference share, while continued model training prevents full conversion.</t>
        </is>
      </c>
      <c r="J639" s="3" t="inlineStr">
        <is>
          <t>SRC_ANTHROPIC_CLAUDE_DOCS; SRC_ANTHROPIC_AMAZON_COMPUTE; SRC_AWS_RAINIER_ACTIVE; SRC_EPOCH_AI_DATA_CENTERS; ASSUMP_INFERENCE_SHARE_NOT_FACT_60</t>
        </is>
      </c>
      <c r="K639" s="3" t="inlineStr">
        <is>
          <t>ASSUMP_POWER_RAMP; ASSUMP_CLOSED_MODEL_BAND; ASSUMP_NUMERIC_ACCELERATOR_MIX; ASSUMP_INFERENCE_SHARE_NOT_FACT_60; ASSUMP_WORKLOAD_CLASS_MIX; ASSUMP_AGENTIC_CONTEXT_PENALTY</t>
        </is>
      </c>
      <c r="L639" s="3" t="inlineStr">
        <is>
          <t>Provider-specific inference/training workload power telemetry.</t>
        </is>
      </c>
    </row>
    <row r="640">
      <c r="A640" s="3" t="inlineStr">
        <is>
          <t>Anthropic</t>
        </is>
      </c>
      <c r="B640" s="3" t="n">
        <v>2028</v>
      </c>
      <c r="C640" s="3" t="inlineStr">
        <is>
          <t>Bear</t>
        </is>
      </c>
      <c r="D640" s="3" t="inlineStr">
        <is>
          <t>inference_gw</t>
        </is>
      </c>
      <c r="E640" s="3" t="n">
        <v>1.1</v>
      </c>
      <c r="F640" s="3" t="inlineStr">
        <is>
          <t>GW</t>
        </is>
      </c>
      <c r="G640" s="3" t="inlineStr">
        <is>
          <t>Derived formula</t>
        </is>
      </c>
      <c r="H640" s="3" t="inlineStr">
        <is>
          <t>ai_it_load_gw * inference_power_share</t>
        </is>
      </c>
      <c r="I640" s="3" t="inlineStr">
        <is>
          <t>This is the operational power eligible to become commercial generated output tokens through the selected TPS/MW proxy.</t>
        </is>
      </c>
      <c r="J640" s="3" t="inlineStr">
        <is>
          <t>SRC_ANTHROPIC_CLAUDE_DOCS; SRC_ANTHROPIC_AMAZON_COMPUTE; SRC_AWS_RAINIER_ACTIVE; SRC_EPOCH_AI_DATA_CENTERS</t>
        </is>
      </c>
      <c r="K640" s="3" t="inlineStr">
        <is>
          <t>ASSUMP_POWER_RAMP; ASSUMP_CLOSED_MODEL_BAND; ASSUMP_NUMERIC_ACCELERATOR_MIX; ASSUMP_INFERENCE_SHARE_NOT_FACT_60; ASSUMP_WORKLOAD_CLASS_MIX; ASSUMP_AGENTIC_CONTEXT_PENALTY</t>
        </is>
      </c>
      <c r="L640" s="3" t="inlineStr">
        <is>
          <t>Recompute after AI allocation or inference-share evidence changes.</t>
        </is>
      </c>
    </row>
    <row r="641">
      <c r="A641" s="3" t="inlineStr">
        <is>
          <t>Anthropic</t>
        </is>
      </c>
      <c r="B641" s="3" t="n">
        <v>2028</v>
      </c>
      <c r="C641" s="3" t="inlineStr">
        <is>
          <t>Bear</t>
        </is>
      </c>
      <c r="D641" s="3" t="inlineStr">
        <is>
          <t>training_power_share</t>
        </is>
      </c>
      <c r="E641" s="3" t="n">
        <v>0.46</v>
      </c>
      <c r="F641" s="3" t="inlineStr">
        <is>
          <t>share of AI IT load</t>
        </is>
      </c>
      <c r="G641" s="3" t="inlineStr">
        <is>
          <t>Derived allocation</t>
        </is>
      </c>
      <c r="H641" s="3" t="inlineStr">
        <is>
          <t>1 - inference_power_share</t>
        </is>
      </c>
      <c r="I641" s="3" t="inlineStr">
        <is>
          <t>Training receives the complementary modeled AI IT allocation; it is not a disclosed company workload split.</t>
        </is>
      </c>
      <c r="J641" s="3" t="inlineStr">
        <is>
          <t>SRC_ANTHROPIC_CLAUDE_DOCS; SRC_ANTHROPIC_AMAZON_COMPUTE; SRC_AWS_RAINIER_ACTIVE; SRC_EPOCH_AI_DATA_CENTERS; ASSUMP_INFERENCE_SHARE_NOT_FACT_60</t>
        </is>
      </c>
      <c r="K641" s="3" t="inlineStr">
        <is>
          <t>ASSUMP_POWER_RAMP; ASSUMP_CLOSED_MODEL_BAND; ASSUMP_NUMERIC_ACCELERATOR_MIX; ASSUMP_INFERENCE_SHARE_NOT_FACT_60; ASSUMP_WORKLOAD_CLASS_MIX; ASSUMP_AGENTIC_CONTEXT_PENALTY</t>
        </is>
      </c>
      <c r="L641" s="3" t="inlineStr">
        <is>
          <t>Provider-specific inference/training workload power telemetry.</t>
        </is>
      </c>
    </row>
    <row r="642">
      <c r="A642" s="3" t="inlineStr">
        <is>
          <t>Anthropic</t>
        </is>
      </c>
      <c r="B642" s="3" t="n">
        <v>2028</v>
      </c>
      <c r="C642" s="3" t="inlineStr">
        <is>
          <t>Bear</t>
        </is>
      </c>
      <c r="D642" s="3" t="inlineStr">
        <is>
          <t>training_gw</t>
        </is>
      </c>
      <c r="E642" s="3" t="n">
        <v>0.9370000000000001</v>
      </c>
      <c r="F642" s="3" t="inlineStr">
        <is>
          <t>GW</t>
        </is>
      </c>
      <c r="G642" s="3" t="inlineStr">
        <is>
          <t>Derived formula</t>
        </is>
      </c>
      <c r="H642" s="3" t="inlineStr">
        <is>
          <t>ai_it_load_gw * training_power_share</t>
        </is>
      </c>
      <c r="I642" s="3" t="inlineStr">
        <is>
          <t>Training GW is shown separately so commercial inference token capacity is not overstated.</t>
        </is>
      </c>
      <c r="J642" s="3" t="inlineStr">
        <is>
          <t>SRC_ANTHROPIC_CLAUDE_DOCS; SRC_ANTHROPIC_AMAZON_COMPUTE; SRC_AWS_RAINIER_ACTIVE; SRC_EPOCH_AI_DATA_CENTERS</t>
        </is>
      </c>
      <c r="K642" s="3" t="inlineStr">
        <is>
          <t>ASSUMP_POWER_RAMP; ASSUMP_CLOSED_MODEL_BAND; ASSUMP_NUMERIC_ACCELERATOR_MIX; ASSUMP_INFERENCE_SHARE_NOT_FACT_60; ASSUMP_WORKLOAD_CLASS_MIX; ASSUMP_AGENTIC_CONTEXT_PENALTY</t>
        </is>
      </c>
      <c r="L642" s="3" t="inlineStr">
        <is>
          <t>Recompute after AI allocation or workload-split evidence changes.</t>
        </is>
      </c>
    </row>
    <row r="643">
      <c r="A643" s="3" t="inlineStr">
        <is>
          <t>Anthropic</t>
        </is>
      </c>
      <c r="B643" s="3" t="n">
        <v>2028</v>
      </c>
      <c r="C643" s="3" t="inlineStr">
        <is>
          <t>Bear</t>
        </is>
      </c>
      <c r="D643" s="3" t="inlineStr">
        <is>
          <t>tokens_per_second_per_mw</t>
        </is>
      </c>
      <c r="E643" s="3" t="n">
        <v>56430</v>
      </c>
      <c r="F643" s="3" t="inlineStr">
        <is>
          <t>generated output tokens/sec/MW</t>
        </is>
      </c>
      <c r="G643" s="3" t="inlineStr">
        <is>
          <t>Derived estimate + benchmark calibration</t>
        </is>
      </c>
      <c r="H643" s="3" t="inlineStr">
        <is>
          <t>fleet_reference_tps_per_mw * commercial_workload_fit_factor</t>
        </is>
      </c>
      <c r="I64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43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43" s="3" t="inlineStr">
        <is>
          <t>ASSUMP_POWER_RAMP; ASSUMP_CLOSED_MODEL_BAND; ASSUMP_NUMERIC_ACCELERATOR_MIX; ASSUMP_INFERENCE_SHARE_NOT_FACT_60; ASSUMP_WORKLOAD_CLASS_MIX; ASSUMP_AGENTIC_CONTEXT_PENALTY</t>
        </is>
      </c>
      <c r="L643" s="3" t="inlineStr">
        <is>
          <t>Comparable production output-token throughput with model, hardware, precision, ISL/OSL and SLO matched.</t>
        </is>
      </c>
    </row>
    <row r="644">
      <c r="A644" s="3" t="inlineStr">
        <is>
          <t>Anthropic</t>
        </is>
      </c>
      <c r="B644" s="3" t="n">
        <v>2028</v>
      </c>
      <c r="C644" s="3" t="inlineStr">
        <is>
          <t>Bear</t>
        </is>
      </c>
      <c r="D644" s="3" t="inlineStr">
        <is>
          <t>inference_tokens_per_day</t>
        </is>
      </c>
      <c r="E644" s="3" t="n">
        <v>5363107200000</v>
      </c>
      <c r="F644" s="3" t="inlineStr">
        <is>
          <t>generated output tokens/day</t>
        </is>
      </c>
      <c r="G644" s="3" t="inlineStr">
        <is>
          <t>Derived headline metric</t>
        </is>
      </c>
      <c r="H644" s="3" t="inlineStr">
        <is>
          <t>inference_gw * 1000 * tokens_per_second_per_mw * 86,400</t>
        </is>
      </c>
      <c r="I644" s="3" t="inlineStr">
        <is>
          <t>Headline capacity uses no utilization, MoE, architecture or software-growth multiplier; it is not observed commercial output volume.</t>
        </is>
      </c>
      <c r="J644" s="3" t="inlineStr">
        <is>
          <t>SRC_ANTHROPIC_CLAUDE_DOCS; SRC_ANTHROPIC_AMAZON_COMPUTE; SRC_AWS_RAINIER_ACTIVE; SRC_EPOCH_AI_DATA_CENTERS; SRC_SEMIANALYSIS_INFERENCEX</t>
        </is>
      </c>
      <c r="K644" s="3" t="inlineStr">
        <is>
          <t>ASSUMP_POWER_RAMP; ASSUMP_CLOSED_MODEL_BAND; ASSUMP_NUMERIC_ACCELERATOR_MIX; ASSUMP_INFERENCE_SHARE_NOT_FACT_60; ASSUMP_WORKLOAD_CLASS_MIX; ASSUMP_AGENTIC_CONTEXT_PENALTY</t>
        </is>
      </c>
      <c r="L644" s="3" t="inlineStr">
        <is>
          <t>Provider-disclosed generated output token volume or calibrated capacity telemetry.</t>
        </is>
      </c>
    </row>
    <row r="645">
      <c r="A645" s="3" t="inlineStr">
        <is>
          <t>Anthropic</t>
        </is>
      </c>
      <c r="B645" s="3" t="n">
        <v>2028</v>
      </c>
      <c r="C645" s="3" t="inlineStr">
        <is>
          <t>Bear</t>
        </is>
      </c>
      <c r="D645" s="3" t="inlineStr">
        <is>
          <t>inference_tokens_per_year</t>
        </is>
      </c>
      <c r="E645" s="3" t="n">
        <v>1957534128000000</v>
      </c>
      <c r="F645" s="3" t="inlineStr">
        <is>
          <t>generated output tokens/year</t>
        </is>
      </c>
      <c r="G645" s="3" t="inlineStr">
        <is>
          <t>Derived headline metric</t>
        </is>
      </c>
      <c r="H645" s="3" t="inlineStr">
        <is>
          <t>inference_tokens_per_day * 365</t>
        </is>
      </c>
      <c r="I645" s="3" t="inlineStr">
        <is>
          <t>Annualized version of generated output token capacity; it is not observed annual demand or billable volume.</t>
        </is>
      </c>
      <c r="J645" s="3" t="inlineStr">
        <is>
          <t>SRC_ANTHROPIC_CLAUDE_DOCS; SRC_ANTHROPIC_AMAZON_COMPUTE; SRC_AWS_RAINIER_ACTIVE; SRC_EPOCH_AI_DATA_CENTERS; SRC_SEMIANALYSIS_INFERENCEX</t>
        </is>
      </c>
      <c r="K645" s="3" t="inlineStr">
        <is>
          <t>ASSUMP_POWER_RAMP; ASSUMP_CLOSED_MODEL_BAND; ASSUMP_NUMERIC_ACCELERATOR_MIX; ASSUMP_INFERENCE_SHARE_NOT_FACT_60; ASSUMP_WORKLOAD_CLASS_MIX; ASSUMP_AGENTIC_CONTEXT_PENALTY</t>
        </is>
      </c>
      <c r="L645" s="3" t="inlineStr">
        <is>
          <t>Provider-disclosed annual generated-output volume or metered serving telemetry.</t>
        </is>
      </c>
    </row>
    <row r="646">
      <c r="A646" s="3" t="inlineStr">
        <is>
          <t>Anthropic</t>
        </is>
      </c>
      <c r="B646" s="3" t="n">
        <v>2029</v>
      </c>
      <c r="C646" s="3" t="inlineStr">
        <is>
          <t>Bear</t>
        </is>
      </c>
      <c r="D646" s="3" t="inlineStr">
        <is>
          <t>contracted_power_gw</t>
        </is>
      </c>
      <c r="E646" s="3" t="n">
        <v>6.125</v>
      </c>
      <c r="F646" s="3" t="inlineStr">
        <is>
          <t>GW</t>
        </is>
      </c>
      <c r="G646" s="3" t="inlineStr">
        <is>
          <t>Fact anchor + scenario ceiling</t>
        </is>
      </c>
      <c r="H646" s="3" t="inlineStr">
        <is>
          <t>linear interpolation between 2026 and 2030 company capacity endpoints</t>
        </is>
      </c>
      <c r="I646" s="3" t="inlineStr">
        <is>
          <t>Hosted capacity envelope is anchored by Anthropic/AWS Project Rainier direction; it is attributed to Claude outputs, not AWS as a model owner.</t>
        </is>
      </c>
      <c r="J646" s="3" t="inlineStr">
        <is>
          <t>SRC_ANTHROPIC_AMAZON_COMPUTE; SRC_AWS_RAINIER_ACTIVE; ASSUMP_POWER_RAMP</t>
        </is>
      </c>
      <c r="K646" s="3" t="inlineStr">
        <is>
          <t>ASSUMP_POWER_RAMP; ASSUMP_CLOSED_MODEL_BAND; ASSUMP_NUMERIC_ACCELERATOR_MIX; ASSUMP_INFERENCE_SHARE_NOT_FACT_60; ASSUMP_WORKLOAD_CLASS_MIX; ASSUMP_AGENTIC_CONTEXT_PENALTY</t>
        </is>
      </c>
      <c r="L646" s="3" t="inlineStr">
        <is>
          <t>Company/site-level committed MW/GW, interconnect and contract disclosure.</t>
        </is>
      </c>
    </row>
    <row r="647">
      <c r="A647" s="3" t="inlineStr">
        <is>
          <t>Anthropic</t>
        </is>
      </c>
      <c r="B647" s="3" t="n">
        <v>2029</v>
      </c>
      <c r="C647" s="3" t="inlineStr">
        <is>
          <t>Bear</t>
        </is>
      </c>
      <c r="D647" s="3" t="inlineStr">
        <is>
          <t>operational_deployment_share</t>
        </is>
      </c>
      <c r="E647" s="3" t="n">
        <v>0.6</v>
      </c>
      <c r="F647" s="3" t="inlineStr">
        <is>
          <t>share</t>
        </is>
      </c>
      <c r="G647" s="3" t="inlineStr">
        <is>
          <t>Scenario conversion</t>
        </is>
      </c>
      <c r="H647" s="3" t="inlineStr">
        <is>
          <t>active_power_gw / contracted_power_gw</t>
        </is>
      </c>
      <c r="I647" s="3" t="inlineStr">
        <is>
          <t>This is the single explicit conversion from contracted/attributed capacity to operationally usable capacity.</t>
        </is>
      </c>
      <c r="J647" s="3" t="inlineStr">
        <is>
          <t>SRC_ANTHROPIC_AMAZON_COMPUTE; SRC_AWS_RAINIER_ACTIVE; ASSUMP_POWER_RAMP</t>
        </is>
      </c>
      <c r="K647" s="3" t="inlineStr">
        <is>
          <t>ASSUMP_POWER_RAMP; ASSUMP_CLOSED_MODEL_BAND; ASSUMP_NUMERIC_ACCELERATOR_MIX; ASSUMP_INFERENCE_SHARE_NOT_FACT_60; ASSUMP_WORKLOAD_CLASS_MIX; ASSUMP_AGENTIC_CONTEXT_PENALTY</t>
        </is>
      </c>
      <c r="L647" s="3" t="inlineStr">
        <is>
          <t>Energized operational capacity divided by contracted/attributed capacity.</t>
        </is>
      </c>
    </row>
    <row r="648">
      <c r="A648" s="3" t="inlineStr">
        <is>
          <t>Anthropic</t>
        </is>
      </c>
      <c r="B648" s="3" t="n">
        <v>2029</v>
      </c>
      <c r="C648" s="3" t="inlineStr">
        <is>
          <t>Bear</t>
        </is>
      </c>
      <c r="D648" s="3" t="inlineStr">
        <is>
          <t>active_power_gw</t>
        </is>
      </c>
      <c r="E648" s="3" t="n">
        <v>3.675</v>
      </c>
      <c r="F648" s="3" t="inlineStr">
        <is>
          <t>GW</t>
        </is>
      </c>
      <c r="G648" s="3" t="inlineStr">
        <is>
          <t>Derived scenario</t>
        </is>
      </c>
      <c r="H648" s="3" t="inlineStr">
        <is>
          <t>contracted_power_gw * operational_deployment_share</t>
        </is>
      </c>
      <c r="I648" s="3" t="inlineStr">
        <is>
          <t>Trainium cluster activation supports staged active ramp; Claude inference-versus-training use remains estimated.</t>
        </is>
      </c>
      <c r="J648" s="3" t="inlineStr">
        <is>
          <t>SRC_ANTHROPIC_AMAZON_COMPUTE; SRC_AWS_RAINIER_ACTIVE; ASSUMP_POWER_RAMP</t>
        </is>
      </c>
      <c r="K648" s="3" t="inlineStr">
        <is>
          <t>ASSUMP_POWER_RAMP; ASSUMP_CLOSED_MODEL_BAND; ASSUMP_NUMERIC_ACCELERATOR_MIX; ASSUMP_INFERENCE_SHARE_NOT_FACT_60; ASSUMP_WORKLOAD_CLASS_MIX; ASSUMP_AGENTIC_CONTEXT_PENALTY</t>
        </is>
      </c>
      <c r="L648" s="3" t="inlineStr">
        <is>
          <t>Energization dates, accelerator deliveries and operational powered-rack telemetry.</t>
        </is>
      </c>
    </row>
    <row r="649">
      <c r="A649" s="3" t="inlineStr">
        <is>
          <t>Anthropic</t>
        </is>
      </c>
      <c r="B649" s="3" t="n">
        <v>2029</v>
      </c>
      <c r="C649" s="3" t="inlineStr">
        <is>
          <t>Bear</t>
        </is>
      </c>
      <c r="D649" s="3" t="inlineStr">
        <is>
          <t>pue</t>
        </is>
      </c>
      <c r="E649" s="3" t="n">
        <v>1.18</v>
      </c>
      <c r="F649" s="3" t="inlineStr">
        <is>
          <t>ratio</t>
        </is>
      </c>
      <c r="G649" s="3" t="inlineStr">
        <is>
          <t>Scenario parameter</t>
        </is>
      </c>
      <c r="H649" s="3" t="inlineStr">
        <is>
          <t>it_load_gw = active_power_gw / pue</t>
        </is>
      </c>
      <c r="I649" s="3" t="inlineStr">
        <is>
          <t>No provider-wide site-level PUE is used as a disclosed fact; PUE represents facility-to-IT conversion within the scenario.</t>
        </is>
      </c>
      <c r="J649" s="3" t="inlineStr">
        <is>
          <t>ASSUMP_POWER_RAMP</t>
        </is>
      </c>
      <c r="K649" s="3" t="inlineStr">
        <is>
          <t>ASSUMP_POWER_RAMP; ASSUMP_CLOSED_MODEL_BAND; ASSUMP_NUMERIC_ACCELERATOR_MIX; ASSUMP_INFERENCE_SHARE_NOT_FACT_60; ASSUMP_WORKLOAD_CLASS_MIX; ASSUMP_AGENTIC_CONTEXT_PENALTY</t>
        </is>
      </c>
      <c r="L649" s="3" t="inlineStr">
        <is>
          <t>Site-level measured PUE matched to attributed AI capacity.</t>
        </is>
      </c>
    </row>
    <row r="650">
      <c r="A650" s="3" t="inlineStr">
        <is>
          <t>Anthropic</t>
        </is>
      </c>
      <c r="B650" s="3" t="n">
        <v>2029</v>
      </c>
      <c r="C650" s="3" t="inlineStr">
        <is>
          <t>Bear</t>
        </is>
      </c>
      <c r="D650" s="3" t="inlineStr">
        <is>
          <t>it_load_gw</t>
        </is>
      </c>
      <c r="E650" s="3" t="n">
        <v>3.114</v>
      </c>
      <c r="F650" s="3" t="inlineStr">
        <is>
          <t>GW</t>
        </is>
      </c>
      <c r="G650" s="3" t="inlineStr">
        <is>
          <t>Derived formula</t>
        </is>
      </c>
      <c r="H650" s="3" t="inlineStr">
        <is>
          <t>active_power_gw / pue</t>
        </is>
      </c>
      <c r="I650" s="3" t="inlineStr">
        <is>
          <t>Facility power is converted to IT-deliverable power before attributing AI workloads.</t>
        </is>
      </c>
      <c r="J650" s="3" t="inlineStr">
        <is>
          <t>SRC_ANTHROPIC_AMAZON_COMPUTE; SRC_AWS_RAINIER_ACTIVE; ASSUMP_POWER_RAMP</t>
        </is>
      </c>
      <c r="K650" s="3" t="inlineStr">
        <is>
          <t>ASSUMP_POWER_RAMP; ASSUMP_CLOSED_MODEL_BAND; ASSUMP_NUMERIC_ACCELERATOR_MIX; ASSUMP_INFERENCE_SHARE_NOT_FACT_60; ASSUMP_WORKLOAD_CLASS_MIX; ASSUMP_AGENTIC_CONTEXT_PENALTY</t>
        </is>
      </c>
      <c r="L650" s="3" t="inlineStr">
        <is>
          <t>Recompute once active power and PUE become site-observable.</t>
        </is>
      </c>
    </row>
    <row r="651">
      <c r="A651" s="3" t="inlineStr">
        <is>
          <t>Anthropic</t>
        </is>
      </c>
      <c r="B651" s="3" t="n">
        <v>2029</v>
      </c>
      <c r="C651" s="3" t="inlineStr">
        <is>
          <t>Bear</t>
        </is>
      </c>
      <c r="D651" s="3" t="inlineStr">
        <is>
          <t>ai_workload_share</t>
        </is>
      </c>
      <c r="E651" s="3" t="n">
        <v>0.86</v>
      </c>
      <c r="F651" s="3" t="inlineStr">
        <is>
          <t>share</t>
        </is>
      </c>
      <c r="G651" s="3" t="inlineStr">
        <is>
          <t>Scenario allocation</t>
        </is>
      </c>
      <c r="H651" s="3" t="inlineStr">
        <is>
          <t>ai_it_load_gw = it_load_gw * ai_workload_share</t>
        </is>
      </c>
      <c r="I651" s="3" t="inlineStr">
        <is>
          <t>Anthropic-directed hosted capacity is predominantly AI; 86% excludes platform, reserve and non-serving allocation.</t>
        </is>
      </c>
      <c r="J651" s="3" t="inlineStr">
        <is>
          <t>SRC_ANTHROPIC_CLAUDE_DOCS; SRC_ANTHROPIC_AMAZON_COMPUTE; SRC_AWS_RAINIER_ACTIVE; SRC_EPOCH_AI_DATA_CENTERS</t>
        </is>
      </c>
      <c r="K651" s="3" t="inlineStr">
        <is>
          <t>ASSUMP_POWER_RAMP; ASSUMP_CLOSED_MODEL_BAND; ASSUMP_NUMERIC_ACCELERATOR_MIX; ASSUMP_INFERENCE_SHARE_NOT_FACT_60; ASSUMP_WORKLOAD_CLASS_MIX; ASSUMP_AGENTIC_CONTEXT_PENALTY</t>
        </is>
      </c>
      <c r="L651" s="3" t="inlineStr">
        <is>
          <t>Model-owner AI workload allocation or cluster scheduling telemetry.</t>
        </is>
      </c>
    </row>
    <row r="652">
      <c r="A652" s="3" t="inlineStr">
        <is>
          <t>Anthropic</t>
        </is>
      </c>
      <c r="B652" s="3" t="n">
        <v>2029</v>
      </c>
      <c r="C652" s="3" t="inlineStr">
        <is>
          <t>Bear</t>
        </is>
      </c>
      <c r="D652" s="3" t="inlineStr">
        <is>
          <t>ai_it_load_gw</t>
        </is>
      </c>
      <c r="E652" s="3" t="n">
        <v>2.678</v>
      </c>
      <c r="F652" s="3" t="inlineStr">
        <is>
          <t>GW</t>
        </is>
      </c>
      <c r="G652" s="3" t="inlineStr">
        <is>
          <t>Derived formula</t>
        </is>
      </c>
      <c r="H652" s="3" t="inlineStr">
        <is>
          <t>it_load_gw * ai_workload_share</t>
        </is>
      </c>
      <c r="I652" s="3" t="inlineStr">
        <is>
          <t>Only the AI-attributed portion of IT load enters training/inference allocation.</t>
        </is>
      </c>
      <c r="J652" s="3" t="inlineStr">
        <is>
          <t>SRC_ANTHROPIC_CLAUDE_DOCS; SRC_ANTHROPIC_AMAZON_COMPUTE; SRC_AWS_RAINIER_ACTIVE; SRC_EPOCH_AI_DATA_CENTERS</t>
        </is>
      </c>
      <c r="K652" s="3" t="inlineStr">
        <is>
          <t>ASSUMP_POWER_RAMP; ASSUMP_CLOSED_MODEL_BAND; ASSUMP_NUMERIC_ACCELERATOR_MIX; ASSUMP_INFERENCE_SHARE_NOT_FACT_60; ASSUMP_WORKLOAD_CLASS_MIX; ASSUMP_AGENTIC_CONTEXT_PENALTY</t>
        </is>
      </c>
      <c r="L652" s="3" t="inlineStr">
        <is>
          <t>Recompute after ai_workload_share is replaced by telemetry.</t>
        </is>
      </c>
    </row>
    <row r="653">
      <c r="A653" s="3" t="inlineStr">
        <is>
          <t>Anthropic</t>
        </is>
      </c>
      <c r="B653" s="3" t="n">
        <v>2029</v>
      </c>
      <c r="C653" s="3" t="inlineStr">
        <is>
          <t>Bear</t>
        </is>
      </c>
      <c r="D653" s="3" t="inlineStr">
        <is>
          <t>gpu_share</t>
        </is>
      </c>
      <c r="E653" s="3" t="n">
        <v>0.178448</v>
      </c>
      <c r="F653" s="3" t="inlineStr">
        <is>
          <t>share of inference-serving accelerator load</t>
        </is>
      </c>
      <c r="G653" s="3" t="inlineStr">
        <is>
          <t>Numeric scenario</t>
        </is>
      </c>
      <c r="H653" s="3" t="inlineStr">
        <is>
          <t>gpu_share interpolated from company 2026/2030 accelerator-mix endpoints</t>
        </is>
      </c>
      <c r="I653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53" s="3" t="inlineStr">
        <is>
          <t>SRC_ANTHROPIC_CLAUDE_DOCS; SRC_ANTHROPIC_AMAZON_COMPUTE; SRC_AWS_RAINIER_ACTIVE; SRC_EPOCH_AI_DATA_CENTERS; ASSUMP_NUMERIC_ACCELERATOR_MIX</t>
        </is>
      </c>
      <c r="K653" s="3" t="inlineStr">
        <is>
          <t>ASSUMP_POWER_RAMP; ASSUMP_CLOSED_MODEL_BAND; ASSUMP_NUMERIC_ACCELERATOR_MIX; ASSUMP_INFERENCE_SHARE_NOT_FACT_60; ASSUMP_WORKLOAD_CLASS_MIX; ASSUMP_AGENTIC_CONTEXT_PENALTY</t>
        </is>
      </c>
      <c r="L653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54">
      <c r="A654" s="3" t="inlineStr">
        <is>
          <t>Anthropic</t>
        </is>
      </c>
      <c r="B654" s="3" t="n">
        <v>2029</v>
      </c>
      <c r="C654" s="3" t="inlineStr">
        <is>
          <t>Bear</t>
        </is>
      </c>
      <c r="D654" s="3" t="inlineStr">
        <is>
          <t>h200_share</t>
        </is>
      </c>
      <c r="E654" s="3" t="n">
        <v>0.06841700000000001</v>
      </c>
      <c r="F654" s="3" t="inlineStr">
        <is>
          <t>share of inference-serving accelerator load</t>
        </is>
      </c>
      <c r="G654" s="3" t="inlineStr">
        <is>
          <t>Editable numeric scenario</t>
        </is>
      </c>
      <c r="H654" s="3" t="inlineStr">
        <is>
          <t>h200_share = gpu_share * default_gpu_generation_mix_h200</t>
        </is>
      </c>
      <c r="I654" s="3" t="inlineStr">
        <is>
          <t>Default GPU-generation migration assumption; executive workbook allows later manual replacement by company/year/scenario.</t>
        </is>
      </c>
      <c r="J654" s="3" t="inlineStr">
        <is>
          <t>SRC_SEMIANALYSIS_INFERENCEX; ASSUMP_NUMERIC_ACCELERATOR_MIX</t>
        </is>
      </c>
      <c r="K654" s="3" t="inlineStr">
        <is>
          <t>ASSUMP_POWER_RAMP; ASSUMP_CLOSED_MODEL_BAND; ASSUMP_NUMERIC_ACCELERATOR_MIX; ASSUMP_INFERENCE_SHARE_NOT_FACT_60; ASSUMP_WORKLOAD_CLASS_MIX; ASSUMP_AGENTIC_CONTEXT_PENALTY</t>
        </is>
      </c>
      <c r="L654" s="3" t="inlineStr">
        <is>
          <t>Company fleet inventory, accelerator-hours or procurement/deployment records by GPU generation.</t>
        </is>
      </c>
    </row>
    <row r="655">
      <c r="A655" s="3" t="inlineStr">
        <is>
          <t>Anthropic</t>
        </is>
      </c>
      <c r="B655" s="3" t="n">
        <v>2029</v>
      </c>
      <c r="C655" s="3" t="inlineStr">
        <is>
          <t>Bear</t>
        </is>
      </c>
      <c r="D655" s="3" t="inlineStr">
        <is>
          <t>b200_share</t>
        </is>
      </c>
      <c r="E655" s="3" t="n">
        <v>0.110031</v>
      </c>
      <c r="F655" s="3" t="inlineStr">
        <is>
          <t>share of inference-serving accelerator load</t>
        </is>
      </c>
      <c r="G655" s="3" t="inlineStr">
        <is>
          <t>Editable numeric scenario</t>
        </is>
      </c>
      <c r="H655" s="3" t="inlineStr">
        <is>
          <t>b200_share = gpu_share * default_gpu_generation_mix_b200</t>
        </is>
      </c>
      <c r="I655" s="3" t="inlineStr">
        <is>
          <t>Default GPU-generation migration assumption; executive workbook allows later manual replacement by company/year/scenario.</t>
        </is>
      </c>
      <c r="J655" s="3" t="inlineStr">
        <is>
          <t>SRC_SEMIANALYSIS_INFERENCEX; ASSUMP_NUMERIC_ACCELERATOR_MIX</t>
        </is>
      </c>
      <c r="K655" s="3" t="inlineStr">
        <is>
          <t>ASSUMP_POWER_RAMP; ASSUMP_CLOSED_MODEL_BAND; ASSUMP_NUMERIC_ACCELERATOR_MIX; ASSUMP_INFERENCE_SHARE_NOT_FACT_60; ASSUMP_WORKLOAD_CLASS_MIX; ASSUMP_AGENTIC_CONTEXT_PENALTY</t>
        </is>
      </c>
      <c r="L655" s="3" t="inlineStr">
        <is>
          <t>Company fleet inventory, accelerator-hours or procurement/deployment records by GPU generation.</t>
        </is>
      </c>
    </row>
    <row r="656">
      <c r="A656" s="3" t="inlineStr">
        <is>
          <t>Anthropic</t>
        </is>
      </c>
      <c r="B656" s="3" t="n">
        <v>2029</v>
      </c>
      <c r="C656" s="3" t="inlineStr">
        <is>
          <t>Bear</t>
        </is>
      </c>
      <c r="D656" s="3" t="inlineStr">
        <is>
          <t>gb200_share</t>
        </is>
      </c>
      <c r="E656" s="3" t="n">
        <v>0</v>
      </c>
      <c r="F656" s="3" t="inlineStr">
        <is>
          <t>share of inference-serving accelerator load</t>
        </is>
      </c>
      <c r="G656" s="3" t="inlineStr">
        <is>
          <t>Editable numeric scenario</t>
        </is>
      </c>
      <c r="H656" s="3" t="inlineStr">
        <is>
          <t>gb200_share = gpu_share * default_gpu_generation_mix_gb200</t>
        </is>
      </c>
      <c r="I656" s="3" t="inlineStr">
        <is>
          <t>Default GPU-generation migration assumption; executive workbook allows later manual replacement by company/year/scenario.</t>
        </is>
      </c>
      <c r="J656" s="3" t="inlineStr">
        <is>
          <t>SRC_SEMIANALYSIS_INFERENCEX; ASSUMP_NUMERIC_ACCELERATOR_MIX</t>
        </is>
      </c>
      <c r="K656" s="3" t="inlineStr">
        <is>
          <t>ASSUMP_POWER_RAMP; ASSUMP_CLOSED_MODEL_BAND; ASSUMP_NUMERIC_ACCELERATOR_MIX; ASSUMP_INFERENCE_SHARE_NOT_FACT_60; ASSUMP_WORKLOAD_CLASS_MIX; ASSUMP_AGENTIC_CONTEXT_PENALTY</t>
        </is>
      </c>
      <c r="L656" s="3" t="inlineStr">
        <is>
          <t>Company fleet inventory, accelerator-hours or procurement/deployment records by GPU generation.</t>
        </is>
      </c>
    </row>
    <row r="657">
      <c r="A657" s="3" t="inlineStr">
        <is>
          <t>Anthropic</t>
        </is>
      </c>
      <c r="B657" s="3" t="n">
        <v>2029</v>
      </c>
      <c r="C657" s="3" t="inlineStr">
        <is>
          <t>Bear</t>
        </is>
      </c>
      <c r="D657" s="3" t="inlineStr">
        <is>
          <t>purpose_built_accelerator_share</t>
        </is>
      </c>
      <c r="E657" s="3" t="n">
        <v>0.8215519999999999</v>
      </c>
      <c r="F657" s="3" t="inlineStr">
        <is>
          <t>share of inference-serving accelerator load</t>
        </is>
      </c>
      <c r="G657" s="3" t="inlineStr">
        <is>
          <t>Numeric scenario</t>
        </is>
      </c>
      <c r="H657" s="3" t="inlineStr">
        <is>
          <t>1 - gpu_share</t>
        </is>
      </c>
      <c r="I657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57" s="3" t="inlineStr">
        <is>
          <t>SRC_ANTHROPIC_CLAUDE_DOCS; SRC_ANTHROPIC_AMAZON_COMPUTE; SRC_AWS_RAINIER_ACTIVE; SRC_EPOCH_AI_DATA_CENTERS; ASSUMP_NUMERIC_ACCELERATOR_MIX</t>
        </is>
      </c>
      <c r="K657" s="3" t="inlineStr">
        <is>
          <t>ASSUMP_POWER_RAMP; ASSUMP_CLOSED_MODEL_BAND; ASSUMP_NUMERIC_ACCELERATOR_MIX; ASSUMP_INFERENCE_SHARE_NOT_FACT_60; ASSUMP_WORKLOAD_CLASS_MIX; ASSUMP_AGENTIC_CONTEXT_PENALTY</t>
        </is>
      </c>
      <c r="L657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58">
      <c r="A658" s="3" t="inlineStr">
        <is>
          <t>Anthropic</t>
        </is>
      </c>
      <c r="B658" s="3" t="n">
        <v>2029</v>
      </c>
      <c r="C658" s="3" t="inlineStr">
        <is>
          <t>Bear</t>
        </is>
      </c>
      <c r="D658" s="3" t="inlineStr">
        <is>
          <t>fleet_reference_tps_per_mw</t>
        </is>
      </c>
      <c r="E658" s="3" t="n">
        <v>188100</v>
      </c>
      <c r="F658" s="3" t="inlineStr">
        <is>
          <t>generated output tokens/sec/MW</t>
        </is>
      </c>
      <c r="G658" s="3" t="inlineStr">
        <is>
          <t>Fleet-weighted public benchmark reference</t>
        </is>
      </c>
      <c r="H658" s="3" t="inlineStr">
        <is>
          <t>h200_share*h200_workload_avg + b200_share*b200_workload_avg + gb200_share*gb200_workload_avg + purpose_built_share*purpose_workload_avg</t>
        </is>
      </c>
      <c r="I65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58" s="3" t="inlineStr">
        <is>
          <t>SRC_SEMIANALYSIS_INFERENCEX; ASSUMP_NUMERIC_ACCELERATOR_MIX; ASSUMP_WORKLOAD_CLASS_MIX; ASSUMP_AGENTIC_CONTEXT_PENALTY</t>
        </is>
      </c>
      <c r="K658" s="3" t="inlineStr">
        <is>
          <t>ASSUMP_POWER_RAMP; ASSUMP_CLOSED_MODEL_BAND; ASSUMP_NUMERIC_ACCELERATOR_MIX; ASSUMP_INFERENCE_SHARE_NOT_FACT_60; ASSUMP_WORKLOAD_CLASS_MIX; ASSUMP_AGENTIC_CONTEXT_PENALTY</t>
        </is>
      </c>
      <c r="L658" s="3" t="inlineStr">
        <is>
          <t>Comparable production output-token throughput or a more closely matched benchmark.</t>
        </is>
      </c>
    </row>
    <row r="659">
      <c r="A659" s="3" t="inlineStr">
        <is>
          <t>Anthropic</t>
        </is>
      </c>
      <c r="B659" s="3" t="n">
        <v>2029</v>
      </c>
      <c r="C659" s="3" t="inlineStr">
        <is>
          <t>Bear</t>
        </is>
      </c>
      <c r="D659" s="3" t="inlineStr">
        <is>
          <t>commercial_workload_fit_factor</t>
        </is>
      </c>
      <c r="E659" s="3" t="n">
        <v>0.3</v>
      </c>
      <c r="F659" s="3" t="inlineStr">
        <is>
          <t>share of public reference throughput</t>
        </is>
      </c>
      <c r="G659" s="3" t="inlineStr">
        <is>
          <t>Scenario assumption</t>
        </is>
      </c>
      <c r="H659" s="3" t="inlineStr">
        <is>
          <t>reference_serving_tps_per_mw = fleet_reference_tps_per_mw * commercial_workload_fit_factor</t>
        </is>
      </c>
      <c r="I65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59" s="3" t="inlineStr">
        <is>
          <t>SRC_SEMIANALYSIS_INFERENCEX; ASSUMP_NUMERIC_ACCELERATOR_MIX; ASSUMP_WORKLOAD_CLASS_MIX; ASSUMP_AGENTIC_CONTEXT_PENALTY</t>
        </is>
      </c>
      <c r="K659" s="3" t="inlineStr">
        <is>
          <t>ASSUMP_POWER_RAMP; ASSUMP_CLOSED_MODEL_BAND; ASSUMP_NUMERIC_ACCELERATOR_MIX; ASSUMP_INFERENCE_SHARE_NOT_FACT_60; ASSUMP_WORKLOAD_CLASS_MIX; ASSUMP_AGENTIC_CONTEXT_PENALTY</t>
        </is>
      </c>
      <c r="L659" s="3" t="inlineStr">
        <is>
          <t>Matched commercial serving benchmark by product surface, context shape and latency SLO.</t>
        </is>
      </c>
    </row>
    <row r="660">
      <c r="A660" s="3" t="inlineStr">
        <is>
          <t>Anthropic</t>
        </is>
      </c>
      <c r="B660" s="3" t="n">
        <v>2029</v>
      </c>
      <c r="C660" s="3" t="inlineStr">
        <is>
          <t>Bear</t>
        </is>
      </c>
      <c r="D660" s="3" t="inlineStr">
        <is>
          <t>reference_serving_tps_per_mw</t>
        </is>
      </c>
      <c r="E660" s="3" t="n">
        <v>56430</v>
      </c>
      <c r="F660" s="3" t="inlineStr">
        <is>
          <t>generated output tokens/sec/MW</t>
        </is>
      </c>
      <c r="G660" s="3" t="inlineStr">
        <is>
          <t>Workload-adjusted benchmark proxy</t>
        </is>
      </c>
      <c r="H660" s="3" t="inlineStr">
        <is>
          <t>fleet_reference_tps_per_mw * commercial_workload_fit_factor</t>
        </is>
      </c>
      <c r="I660" s="3" t="inlineStr">
        <is>
          <t>This is the coefficient used for headline token generation; each GPU's short chat, long chat and agentic TPS/MW are weighted before fleet mix and commercial fit are applied.</t>
        </is>
      </c>
      <c r="J660" s="3" t="inlineStr">
        <is>
          <t>SRC_SEMIANALYSIS_INFERENCEX; ASSUMP_NUMERIC_ACCELERATOR_MIX; ASSUMP_WORKLOAD_CLASS_MIX; ASSUMP_AGENTIC_CONTEXT_PENALTY</t>
        </is>
      </c>
      <c r="K660" s="3" t="inlineStr">
        <is>
          <t>ASSUMP_POWER_RAMP; ASSUMP_CLOSED_MODEL_BAND; ASSUMP_NUMERIC_ACCELERATOR_MIX; ASSUMP_INFERENCE_SHARE_NOT_FACT_60; ASSUMP_WORKLOAD_CLASS_MIX; ASSUMP_AGENTIC_CONTEXT_PENALTY</t>
        </is>
      </c>
      <c r="L660" s="3" t="inlineStr">
        <is>
          <t>Provider production output-token throughput with comparable workload/SLO.</t>
        </is>
      </c>
    </row>
    <row r="661">
      <c r="A661" s="3" t="inlineStr">
        <is>
          <t>Anthropic</t>
        </is>
      </c>
      <c r="B661" s="3" t="n">
        <v>2029</v>
      </c>
      <c r="C661" s="3" t="inlineStr">
        <is>
          <t>Bear</t>
        </is>
      </c>
      <c r="D661" s="3" t="inlineStr">
        <is>
          <t>purpose_built_tps_per_mw</t>
        </is>
      </c>
      <c r="E661" s="3" t="n">
        <v>40592</v>
      </c>
      <c r="F661" s="3" t="inlineStr">
        <is>
          <t>generated output tokens/sec/MW</t>
        </is>
      </c>
      <c r="G661" s="3" t="inlineStr">
        <is>
          <t>Conservative no-uplift proxy</t>
        </is>
      </c>
      <c r="H661" s="3" t="inlineStr">
        <is>
          <t>purpose_built_tps_per_mw = purpose_built_reference_tps_per_mw * commercial_workload_fit_factor until comparable output-token benchmark is adopted</t>
        </is>
      </c>
      <c r="I661" s="3" t="inlineStr">
        <is>
          <t>No comparable public output-token/MW row adopted; B200 public reference placeholder is used and remains editable.</t>
        </is>
      </c>
      <c r="J661" s="3" t="inlineStr">
        <is>
          <t>SRC_ANTHROPIC_CLAUDE_DOCS; SRC_ANTHROPIC_AMAZON_COMPUTE; SRC_AWS_RAINIER_ACTIVE; SRC_EPOCH_AI_DATA_CENTERS; ASSUMP_NUMERIC_ACCELERATOR_MIX</t>
        </is>
      </c>
      <c r="K661" s="3" t="inlineStr">
        <is>
          <t>ASSUMP_POWER_RAMP; ASSUMP_CLOSED_MODEL_BAND; ASSUMP_NUMERIC_ACCELERATOR_MIX; ASSUMP_INFERENCE_SHARE_NOT_FACT_60; ASSUMP_WORKLOAD_CLASS_MIX; ASSUMP_AGENTIC_CONTEXT_PENALTY</t>
        </is>
      </c>
      <c r="L661" s="3" t="inlineStr">
        <is>
          <t>Matched-workload generated-output benchmark for the provider purpose-built accelerator.</t>
        </is>
      </c>
    </row>
    <row r="662">
      <c r="A662" s="3" t="inlineStr">
        <is>
          <t>Anthropic</t>
        </is>
      </c>
      <c r="B662" s="3" t="n">
        <v>2029</v>
      </c>
      <c r="C662" s="3" t="inlineStr">
        <is>
          <t>Bear</t>
        </is>
      </c>
      <c r="D662" s="3" t="inlineStr">
        <is>
          <t>inference_power_share</t>
        </is>
      </c>
      <c r="E662" s="3" t="n">
        <v>0.59</v>
      </c>
      <c r="F662" s="3" t="inlineStr">
        <is>
          <t>share of AI IT load</t>
        </is>
      </c>
      <c r="G662" s="3" t="inlineStr">
        <is>
          <t>Scenario allocation</t>
        </is>
      </c>
      <c r="H662" s="3" t="inlineStr">
        <is>
          <t>inference_gw = ai_it_load_gw * inference_power_share</t>
        </is>
      </c>
      <c r="I662" s="3" t="inlineStr">
        <is>
          <t>Claude API/product growth supports a rising inference share, while continued model training prevents full conversion.</t>
        </is>
      </c>
      <c r="J662" s="3" t="inlineStr">
        <is>
          <t>SRC_ANTHROPIC_CLAUDE_DOCS; SRC_ANTHROPIC_AMAZON_COMPUTE; SRC_AWS_RAINIER_ACTIVE; SRC_EPOCH_AI_DATA_CENTERS; ASSUMP_INFERENCE_SHARE_NOT_FACT_60</t>
        </is>
      </c>
      <c r="K662" s="3" t="inlineStr">
        <is>
          <t>ASSUMP_POWER_RAMP; ASSUMP_CLOSED_MODEL_BAND; ASSUMP_NUMERIC_ACCELERATOR_MIX; ASSUMP_INFERENCE_SHARE_NOT_FACT_60; ASSUMP_WORKLOAD_CLASS_MIX; ASSUMP_AGENTIC_CONTEXT_PENALTY</t>
        </is>
      </c>
      <c r="L662" s="3" t="inlineStr">
        <is>
          <t>Provider-specific inference/training workload power telemetry.</t>
        </is>
      </c>
    </row>
    <row r="663">
      <c r="A663" s="3" t="inlineStr">
        <is>
          <t>Anthropic</t>
        </is>
      </c>
      <c r="B663" s="3" t="n">
        <v>2029</v>
      </c>
      <c r="C663" s="3" t="inlineStr">
        <is>
          <t>Bear</t>
        </is>
      </c>
      <c r="D663" s="3" t="inlineStr">
        <is>
          <t>inference_gw</t>
        </is>
      </c>
      <c r="E663" s="3" t="n">
        <v>1.58</v>
      </c>
      <c r="F663" s="3" t="inlineStr">
        <is>
          <t>GW</t>
        </is>
      </c>
      <c r="G663" s="3" t="inlineStr">
        <is>
          <t>Derived formula</t>
        </is>
      </c>
      <c r="H663" s="3" t="inlineStr">
        <is>
          <t>ai_it_load_gw * inference_power_share</t>
        </is>
      </c>
      <c r="I663" s="3" t="inlineStr">
        <is>
          <t>This is the operational power eligible to become commercial generated output tokens through the selected TPS/MW proxy.</t>
        </is>
      </c>
      <c r="J663" s="3" t="inlineStr">
        <is>
          <t>SRC_ANTHROPIC_CLAUDE_DOCS; SRC_ANTHROPIC_AMAZON_COMPUTE; SRC_AWS_RAINIER_ACTIVE; SRC_EPOCH_AI_DATA_CENTERS</t>
        </is>
      </c>
      <c r="K663" s="3" t="inlineStr">
        <is>
          <t>ASSUMP_POWER_RAMP; ASSUMP_CLOSED_MODEL_BAND; ASSUMP_NUMERIC_ACCELERATOR_MIX; ASSUMP_INFERENCE_SHARE_NOT_FACT_60; ASSUMP_WORKLOAD_CLASS_MIX; ASSUMP_AGENTIC_CONTEXT_PENALTY</t>
        </is>
      </c>
      <c r="L663" s="3" t="inlineStr">
        <is>
          <t>Recompute after AI allocation or inference-share evidence changes.</t>
        </is>
      </c>
    </row>
    <row r="664">
      <c r="A664" s="3" t="inlineStr">
        <is>
          <t>Anthropic</t>
        </is>
      </c>
      <c r="B664" s="3" t="n">
        <v>2029</v>
      </c>
      <c r="C664" s="3" t="inlineStr">
        <is>
          <t>Bear</t>
        </is>
      </c>
      <c r="D664" s="3" t="inlineStr">
        <is>
          <t>training_power_share</t>
        </is>
      </c>
      <c r="E664" s="3" t="n">
        <v>0.41</v>
      </c>
      <c r="F664" s="3" t="inlineStr">
        <is>
          <t>share of AI IT load</t>
        </is>
      </c>
      <c r="G664" s="3" t="inlineStr">
        <is>
          <t>Derived allocation</t>
        </is>
      </c>
      <c r="H664" s="3" t="inlineStr">
        <is>
          <t>1 - inference_power_share</t>
        </is>
      </c>
      <c r="I664" s="3" t="inlineStr">
        <is>
          <t>Training receives the complementary modeled AI IT allocation; it is not a disclosed company workload split.</t>
        </is>
      </c>
      <c r="J664" s="3" t="inlineStr">
        <is>
          <t>SRC_ANTHROPIC_CLAUDE_DOCS; SRC_ANTHROPIC_AMAZON_COMPUTE; SRC_AWS_RAINIER_ACTIVE; SRC_EPOCH_AI_DATA_CENTERS; ASSUMP_INFERENCE_SHARE_NOT_FACT_60</t>
        </is>
      </c>
      <c r="K664" s="3" t="inlineStr">
        <is>
          <t>ASSUMP_POWER_RAMP; ASSUMP_CLOSED_MODEL_BAND; ASSUMP_NUMERIC_ACCELERATOR_MIX; ASSUMP_INFERENCE_SHARE_NOT_FACT_60; ASSUMP_WORKLOAD_CLASS_MIX; ASSUMP_AGENTIC_CONTEXT_PENALTY</t>
        </is>
      </c>
      <c r="L664" s="3" t="inlineStr">
        <is>
          <t>Provider-specific inference/training workload power telemetry.</t>
        </is>
      </c>
    </row>
    <row r="665">
      <c r="A665" s="3" t="inlineStr">
        <is>
          <t>Anthropic</t>
        </is>
      </c>
      <c r="B665" s="3" t="n">
        <v>2029</v>
      </c>
      <c r="C665" s="3" t="inlineStr">
        <is>
          <t>Bear</t>
        </is>
      </c>
      <c r="D665" s="3" t="inlineStr">
        <is>
          <t>training_gw</t>
        </is>
      </c>
      <c r="E665" s="3" t="n">
        <v>1.098</v>
      </c>
      <c r="F665" s="3" t="inlineStr">
        <is>
          <t>GW</t>
        </is>
      </c>
      <c r="G665" s="3" t="inlineStr">
        <is>
          <t>Derived formula</t>
        </is>
      </c>
      <c r="H665" s="3" t="inlineStr">
        <is>
          <t>ai_it_load_gw * training_power_share</t>
        </is>
      </c>
      <c r="I665" s="3" t="inlineStr">
        <is>
          <t>Training GW is shown separately so commercial inference token capacity is not overstated.</t>
        </is>
      </c>
      <c r="J665" s="3" t="inlineStr">
        <is>
          <t>SRC_ANTHROPIC_CLAUDE_DOCS; SRC_ANTHROPIC_AMAZON_COMPUTE; SRC_AWS_RAINIER_ACTIVE; SRC_EPOCH_AI_DATA_CENTERS</t>
        </is>
      </c>
      <c r="K665" s="3" t="inlineStr">
        <is>
          <t>ASSUMP_POWER_RAMP; ASSUMP_CLOSED_MODEL_BAND; ASSUMP_NUMERIC_ACCELERATOR_MIX; ASSUMP_INFERENCE_SHARE_NOT_FACT_60; ASSUMP_WORKLOAD_CLASS_MIX; ASSUMP_AGENTIC_CONTEXT_PENALTY</t>
        </is>
      </c>
      <c r="L665" s="3" t="inlineStr">
        <is>
          <t>Recompute after AI allocation or workload-split evidence changes.</t>
        </is>
      </c>
    </row>
    <row r="666">
      <c r="A666" s="3" t="inlineStr">
        <is>
          <t>Anthropic</t>
        </is>
      </c>
      <c r="B666" s="3" t="n">
        <v>2029</v>
      </c>
      <c r="C666" s="3" t="inlineStr">
        <is>
          <t>Bear</t>
        </is>
      </c>
      <c r="D666" s="3" t="inlineStr">
        <is>
          <t>tokens_per_second_per_mw</t>
        </is>
      </c>
      <c r="E666" s="3" t="n">
        <v>56430</v>
      </c>
      <c r="F666" s="3" t="inlineStr">
        <is>
          <t>generated output tokens/sec/MW</t>
        </is>
      </c>
      <c r="G666" s="3" t="inlineStr">
        <is>
          <t>Derived estimate + benchmark calibration</t>
        </is>
      </c>
      <c r="H666" s="3" t="inlineStr">
        <is>
          <t>fleet_reference_tps_per_mw * commercial_workload_fit_factor</t>
        </is>
      </c>
      <c r="I66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66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66" s="3" t="inlineStr">
        <is>
          <t>ASSUMP_POWER_RAMP; ASSUMP_CLOSED_MODEL_BAND; ASSUMP_NUMERIC_ACCELERATOR_MIX; ASSUMP_INFERENCE_SHARE_NOT_FACT_60; ASSUMP_WORKLOAD_CLASS_MIX; ASSUMP_AGENTIC_CONTEXT_PENALTY</t>
        </is>
      </c>
      <c r="L666" s="3" t="inlineStr">
        <is>
          <t>Comparable production output-token throughput with model, hardware, precision, ISL/OSL and SLO matched.</t>
        </is>
      </c>
    </row>
    <row r="667">
      <c r="A667" s="3" t="inlineStr">
        <is>
          <t>Anthropic</t>
        </is>
      </c>
      <c r="B667" s="3" t="n">
        <v>2029</v>
      </c>
      <c r="C667" s="3" t="inlineStr">
        <is>
          <t>Bear</t>
        </is>
      </c>
      <c r="D667" s="3" t="inlineStr">
        <is>
          <t>inference_tokens_per_day</t>
        </is>
      </c>
      <c r="E667" s="3" t="n">
        <v>7703372160000</v>
      </c>
      <c r="F667" s="3" t="inlineStr">
        <is>
          <t>generated output tokens/day</t>
        </is>
      </c>
      <c r="G667" s="3" t="inlineStr">
        <is>
          <t>Derived headline metric</t>
        </is>
      </c>
      <c r="H667" s="3" t="inlineStr">
        <is>
          <t>inference_gw * 1000 * tokens_per_second_per_mw * 86,400</t>
        </is>
      </c>
      <c r="I667" s="3" t="inlineStr">
        <is>
          <t>Headline capacity uses no utilization, MoE, architecture or software-growth multiplier; it is not observed commercial output volume.</t>
        </is>
      </c>
      <c r="J667" s="3" t="inlineStr">
        <is>
          <t>SRC_ANTHROPIC_CLAUDE_DOCS; SRC_ANTHROPIC_AMAZON_COMPUTE; SRC_AWS_RAINIER_ACTIVE; SRC_EPOCH_AI_DATA_CENTERS; SRC_SEMIANALYSIS_INFERENCEX</t>
        </is>
      </c>
      <c r="K667" s="3" t="inlineStr">
        <is>
          <t>ASSUMP_POWER_RAMP; ASSUMP_CLOSED_MODEL_BAND; ASSUMP_NUMERIC_ACCELERATOR_MIX; ASSUMP_INFERENCE_SHARE_NOT_FACT_60; ASSUMP_WORKLOAD_CLASS_MIX; ASSUMP_AGENTIC_CONTEXT_PENALTY</t>
        </is>
      </c>
      <c r="L667" s="3" t="inlineStr">
        <is>
          <t>Provider-disclosed generated output token volume or calibrated capacity telemetry.</t>
        </is>
      </c>
    </row>
    <row r="668">
      <c r="A668" s="3" t="inlineStr">
        <is>
          <t>Anthropic</t>
        </is>
      </c>
      <c r="B668" s="3" t="n">
        <v>2029</v>
      </c>
      <c r="C668" s="3" t="inlineStr">
        <is>
          <t>Bear</t>
        </is>
      </c>
      <c r="D668" s="3" t="inlineStr">
        <is>
          <t>inference_tokens_per_year</t>
        </is>
      </c>
      <c r="E668" s="3" t="n">
        <v>2811730838400000</v>
      </c>
      <c r="F668" s="3" t="inlineStr">
        <is>
          <t>generated output tokens/year</t>
        </is>
      </c>
      <c r="G668" s="3" t="inlineStr">
        <is>
          <t>Derived headline metric</t>
        </is>
      </c>
      <c r="H668" s="3" t="inlineStr">
        <is>
          <t>inference_tokens_per_day * 365</t>
        </is>
      </c>
      <c r="I668" s="3" t="inlineStr">
        <is>
          <t>Annualized version of generated output token capacity; it is not observed annual demand or billable volume.</t>
        </is>
      </c>
      <c r="J668" s="3" t="inlineStr">
        <is>
          <t>SRC_ANTHROPIC_CLAUDE_DOCS; SRC_ANTHROPIC_AMAZON_COMPUTE; SRC_AWS_RAINIER_ACTIVE; SRC_EPOCH_AI_DATA_CENTERS; SRC_SEMIANALYSIS_INFERENCEX</t>
        </is>
      </c>
      <c r="K668" s="3" t="inlineStr">
        <is>
          <t>ASSUMP_POWER_RAMP; ASSUMP_CLOSED_MODEL_BAND; ASSUMP_NUMERIC_ACCELERATOR_MIX; ASSUMP_INFERENCE_SHARE_NOT_FACT_60; ASSUMP_WORKLOAD_CLASS_MIX; ASSUMP_AGENTIC_CONTEXT_PENALTY</t>
        </is>
      </c>
      <c r="L668" s="3" t="inlineStr">
        <is>
          <t>Provider-disclosed annual generated-output volume or metered serving telemetry.</t>
        </is>
      </c>
    </row>
    <row r="669">
      <c r="A669" s="3" t="inlineStr">
        <is>
          <t>Anthropic</t>
        </is>
      </c>
      <c r="B669" s="3" t="n">
        <v>2030</v>
      </c>
      <c r="C669" s="3" t="inlineStr">
        <is>
          <t>Bear</t>
        </is>
      </c>
      <c r="D669" s="3" t="inlineStr">
        <is>
          <t>contracted_power_gw</t>
        </is>
      </c>
      <c r="E669" s="3" t="n">
        <v>7</v>
      </c>
      <c r="F669" s="3" t="inlineStr">
        <is>
          <t>GW</t>
        </is>
      </c>
      <c r="G669" s="3" t="inlineStr">
        <is>
          <t>Fact anchor + scenario ceiling</t>
        </is>
      </c>
      <c r="H669" s="3" t="inlineStr">
        <is>
          <t>linear interpolation between 2026 and 2030 company capacity endpoints</t>
        </is>
      </c>
      <c r="I669" s="3" t="inlineStr">
        <is>
          <t>Hosted capacity envelope is anchored by Anthropic/AWS Project Rainier direction; it is attributed to Claude outputs, not AWS as a model owner.</t>
        </is>
      </c>
      <c r="J669" s="3" t="inlineStr">
        <is>
          <t>SRC_ANTHROPIC_AMAZON_COMPUTE; SRC_AWS_RAINIER_ACTIVE; ASSUMP_POWER_RAMP</t>
        </is>
      </c>
      <c r="K669" s="3" t="inlineStr">
        <is>
          <t>ASSUMP_POWER_RAMP; ASSUMP_CLOSED_MODEL_BAND; ASSUMP_NUMERIC_ACCELERATOR_MIX; ASSUMP_INFERENCE_SHARE_NOT_FACT_60; ASSUMP_WORKLOAD_CLASS_MIX; ASSUMP_AGENTIC_CONTEXT_PENALTY</t>
        </is>
      </c>
      <c r="L669" s="3" t="inlineStr">
        <is>
          <t>Company/site-level committed MW/GW, interconnect and contract disclosure.</t>
        </is>
      </c>
    </row>
    <row r="670">
      <c r="A670" s="3" t="inlineStr">
        <is>
          <t>Anthropic</t>
        </is>
      </c>
      <c r="B670" s="3" t="n">
        <v>2030</v>
      </c>
      <c r="C670" s="3" t="inlineStr">
        <is>
          <t>Bear</t>
        </is>
      </c>
      <c r="D670" s="3" t="inlineStr">
        <is>
          <t>operational_deployment_share</t>
        </is>
      </c>
      <c r="E670" s="3" t="n">
        <v>0.64428571</v>
      </c>
      <c r="F670" s="3" t="inlineStr">
        <is>
          <t>share</t>
        </is>
      </c>
      <c r="G670" s="3" t="inlineStr">
        <is>
          <t>Scenario conversion</t>
        </is>
      </c>
      <c r="H670" s="3" t="inlineStr">
        <is>
          <t>active_power_gw / contracted_power_gw</t>
        </is>
      </c>
      <c r="I670" s="3" t="inlineStr">
        <is>
          <t>This is the single explicit conversion from contracted/attributed capacity to operationally usable capacity.</t>
        </is>
      </c>
      <c r="J670" s="3" t="inlineStr">
        <is>
          <t>SRC_ANTHROPIC_AMAZON_COMPUTE; SRC_AWS_RAINIER_ACTIVE; ASSUMP_POWER_RAMP</t>
        </is>
      </c>
      <c r="K670" s="3" t="inlineStr">
        <is>
          <t>ASSUMP_POWER_RAMP; ASSUMP_CLOSED_MODEL_BAND; ASSUMP_NUMERIC_ACCELERATOR_MIX; ASSUMP_INFERENCE_SHARE_NOT_FACT_60; ASSUMP_WORKLOAD_CLASS_MIX; ASSUMP_AGENTIC_CONTEXT_PENALTY</t>
        </is>
      </c>
      <c r="L670" s="3" t="inlineStr">
        <is>
          <t>Energized operational capacity divided by contracted/attributed capacity.</t>
        </is>
      </c>
    </row>
    <row r="671">
      <c r="A671" s="3" t="inlineStr">
        <is>
          <t>Anthropic</t>
        </is>
      </c>
      <c r="B671" s="3" t="n">
        <v>2030</v>
      </c>
      <c r="C671" s="3" t="inlineStr">
        <is>
          <t>Bear</t>
        </is>
      </c>
      <c r="D671" s="3" t="inlineStr">
        <is>
          <t>active_power_gw</t>
        </is>
      </c>
      <c r="E671" s="3" t="n">
        <v>4.51</v>
      </c>
      <c r="F671" s="3" t="inlineStr">
        <is>
          <t>GW</t>
        </is>
      </c>
      <c r="G671" s="3" t="inlineStr">
        <is>
          <t>Derived scenario</t>
        </is>
      </c>
      <c r="H671" s="3" t="inlineStr">
        <is>
          <t>contracted_power_gw * operational_deployment_share</t>
        </is>
      </c>
      <c r="I671" s="3" t="inlineStr">
        <is>
          <t>Trainium cluster activation supports staged active ramp; Claude inference-versus-training use remains estimated.</t>
        </is>
      </c>
      <c r="J671" s="3" t="inlineStr">
        <is>
          <t>SRC_ANTHROPIC_AMAZON_COMPUTE; SRC_AWS_RAINIER_ACTIVE; ASSUMP_POWER_RAMP</t>
        </is>
      </c>
      <c r="K671" s="3" t="inlineStr">
        <is>
          <t>ASSUMP_POWER_RAMP; ASSUMP_CLOSED_MODEL_BAND; ASSUMP_NUMERIC_ACCELERATOR_MIX; ASSUMP_INFERENCE_SHARE_NOT_FACT_60; ASSUMP_WORKLOAD_CLASS_MIX; ASSUMP_AGENTIC_CONTEXT_PENALTY</t>
        </is>
      </c>
      <c r="L671" s="3" t="inlineStr">
        <is>
          <t>Energization dates, accelerator deliveries and operational powered-rack telemetry.</t>
        </is>
      </c>
    </row>
    <row r="672">
      <c r="A672" s="3" t="inlineStr">
        <is>
          <t>Anthropic</t>
        </is>
      </c>
      <c r="B672" s="3" t="n">
        <v>2030</v>
      </c>
      <c r="C672" s="3" t="inlineStr">
        <is>
          <t>Bear</t>
        </is>
      </c>
      <c r="D672" s="3" t="inlineStr">
        <is>
          <t>pue</t>
        </is>
      </c>
      <c r="E672" s="3" t="n">
        <v>1.18</v>
      </c>
      <c r="F672" s="3" t="inlineStr">
        <is>
          <t>ratio</t>
        </is>
      </c>
      <c r="G672" s="3" t="inlineStr">
        <is>
          <t>Scenario parameter</t>
        </is>
      </c>
      <c r="H672" s="3" t="inlineStr">
        <is>
          <t>it_load_gw = active_power_gw / pue</t>
        </is>
      </c>
      <c r="I672" s="3" t="inlineStr">
        <is>
          <t>No provider-wide site-level PUE is used as a disclosed fact; PUE represents facility-to-IT conversion within the scenario.</t>
        </is>
      </c>
      <c r="J672" s="3" t="inlineStr">
        <is>
          <t>ASSUMP_POWER_RAMP</t>
        </is>
      </c>
      <c r="K672" s="3" t="inlineStr">
        <is>
          <t>ASSUMP_POWER_RAMP; ASSUMP_CLOSED_MODEL_BAND; ASSUMP_NUMERIC_ACCELERATOR_MIX; ASSUMP_INFERENCE_SHARE_NOT_FACT_60; ASSUMP_WORKLOAD_CLASS_MIX; ASSUMP_AGENTIC_CONTEXT_PENALTY</t>
        </is>
      </c>
      <c r="L672" s="3" t="inlineStr">
        <is>
          <t>Site-level measured PUE matched to attributed AI capacity.</t>
        </is>
      </c>
    </row>
    <row r="673">
      <c r="A673" s="3" t="inlineStr">
        <is>
          <t>Anthropic</t>
        </is>
      </c>
      <c r="B673" s="3" t="n">
        <v>2030</v>
      </c>
      <c r="C673" s="3" t="inlineStr">
        <is>
          <t>Bear</t>
        </is>
      </c>
      <c r="D673" s="3" t="inlineStr">
        <is>
          <t>it_load_gw</t>
        </is>
      </c>
      <c r="E673" s="3" t="n">
        <v>3.822</v>
      </c>
      <c r="F673" s="3" t="inlineStr">
        <is>
          <t>GW</t>
        </is>
      </c>
      <c r="G673" s="3" t="inlineStr">
        <is>
          <t>Derived formula</t>
        </is>
      </c>
      <c r="H673" s="3" t="inlineStr">
        <is>
          <t>active_power_gw / pue</t>
        </is>
      </c>
      <c r="I673" s="3" t="inlineStr">
        <is>
          <t>Facility power is converted to IT-deliverable power before attributing AI workloads.</t>
        </is>
      </c>
      <c r="J673" s="3" t="inlineStr">
        <is>
          <t>SRC_ANTHROPIC_AMAZON_COMPUTE; SRC_AWS_RAINIER_ACTIVE; ASSUMP_POWER_RAMP</t>
        </is>
      </c>
      <c r="K673" s="3" t="inlineStr">
        <is>
          <t>ASSUMP_POWER_RAMP; ASSUMP_CLOSED_MODEL_BAND; ASSUMP_NUMERIC_ACCELERATOR_MIX; ASSUMP_INFERENCE_SHARE_NOT_FACT_60; ASSUMP_WORKLOAD_CLASS_MIX; ASSUMP_AGENTIC_CONTEXT_PENALTY</t>
        </is>
      </c>
      <c r="L673" s="3" t="inlineStr">
        <is>
          <t>Recompute once active power and PUE become site-observable.</t>
        </is>
      </c>
    </row>
    <row r="674">
      <c r="A674" s="3" t="inlineStr">
        <is>
          <t>Anthropic</t>
        </is>
      </c>
      <c r="B674" s="3" t="n">
        <v>2030</v>
      </c>
      <c r="C674" s="3" t="inlineStr">
        <is>
          <t>Bear</t>
        </is>
      </c>
      <c r="D674" s="3" t="inlineStr">
        <is>
          <t>ai_workload_share</t>
        </is>
      </c>
      <c r="E674" s="3" t="n">
        <v>0.86</v>
      </c>
      <c r="F674" s="3" t="inlineStr">
        <is>
          <t>share</t>
        </is>
      </c>
      <c r="G674" s="3" t="inlineStr">
        <is>
          <t>Scenario allocation</t>
        </is>
      </c>
      <c r="H674" s="3" t="inlineStr">
        <is>
          <t>ai_it_load_gw = it_load_gw * ai_workload_share</t>
        </is>
      </c>
      <c r="I674" s="3" t="inlineStr">
        <is>
          <t>Anthropic-directed hosted capacity is predominantly AI; 86% excludes platform, reserve and non-serving allocation.</t>
        </is>
      </c>
      <c r="J674" s="3" t="inlineStr">
        <is>
          <t>SRC_ANTHROPIC_CLAUDE_DOCS; SRC_ANTHROPIC_AMAZON_COMPUTE; SRC_AWS_RAINIER_ACTIVE; SRC_EPOCH_AI_DATA_CENTERS</t>
        </is>
      </c>
      <c r="K674" s="3" t="inlineStr">
        <is>
          <t>ASSUMP_POWER_RAMP; ASSUMP_CLOSED_MODEL_BAND; ASSUMP_NUMERIC_ACCELERATOR_MIX; ASSUMP_INFERENCE_SHARE_NOT_FACT_60; ASSUMP_WORKLOAD_CLASS_MIX; ASSUMP_AGENTIC_CONTEXT_PENALTY</t>
        </is>
      </c>
      <c r="L674" s="3" t="inlineStr">
        <is>
          <t>Model-owner AI workload allocation or cluster scheduling telemetry.</t>
        </is>
      </c>
    </row>
    <row r="675">
      <c r="A675" s="3" t="inlineStr">
        <is>
          <t>Anthropic</t>
        </is>
      </c>
      <c r="B675" s="3" t="n">
        <v>2030</v>
      </c>
      <c r="C675" s="3" t="inlineStr">
        <is>
          <t>Bear</t>
        </is>
      </c>
      <c r="D675" s="3" t="inlineStr">
        <is>
          <t>ai_it_load_gw</t>
        </is>
      </c>
      <c r="E675" s="3" t="n">
        <v>3.287</v>
      </c>
      <c r="F675" s="3" t="inlineStr">
        <is>
          <t>GW</t>
        </is>
      </c>
      <c r="G675" s="3" t="inlineStr">
        <is>
          <t>Derived formula</t>
        </is>
      </c>
      <c r="H675" s="3" t="inlineStr">
        <is>
          <t>it_load_gw * ai_workload_share</t>
        </is>
      </c>
      <c r="I675" s="3" t="inlineStr">
        <is>
          <t>Only the AI-attributed portion of IT load enters training/inference allocation.</t>
        </is>
      </c>
      <c r="J675" s="3" t="inlineStr">
        <is>
          <t>SRC_ANTHROPIC_CLAUDE_DOCS; SRC_ANTHROPIC_AMAZON_COMPUTE; SRC_AWS_RAINIER_ACTIVE; SRC_EPOCH_AI_DATA_CENTERS</t>
        </is>
      </c>
      <c r="K675" s="3" t="inlineStr">
        <is>
          <t>ASSUMP_POWER_RAMP; ASSUMP_CLOSED_MODEL_BAND; ASSUMP_NUMERIC_ACCELERATOR_MIX; ASSUMP_INFERENCE_SHARE_NOT_FACT_60; ASSUMP_WORKLOAD_CLASS_MIX; ASSUMP_AGENTIC_CONTEXT_PENALTY</t>
        </is>
      </c>
      <c r="L675" s="3" t="inlineStr">
        <is>
          <t>Recompute after ai_workload_share is replaced by telemetry.</t>
        </is>
      </c>
    </row>
    <row r="676">
      <c r="A676" s="3" t="inlineStr">
        <is>
          <t>Anthropic</t>
        </is>
      </c>
      <c r="B676" s="3" t="n">
        <v>2030</v>
      </c>
      <c r="C676" s="3" t="inlineStr">
        <is>
          <t>Bear</t>
        </is>
      </c>
      <c r="D676" s="3" t="inlineStr">
        <is>
          <t>gpu_share</t>
        </is>
      </c>
      <c r="E676" s="3" t="n">
        <v>0.178448</v>
      </c>
      <c r="F676" s="3" t="inlineStr">
        <is>
          <t>share of inference-serving accelerator load</t>
        </is>
      </c>
      <c r="G676" s="3" t="inlineStr">
        <is>
          <t>Numeric scenario</t>
        </is>
      </c>
      <c r="H676" s="3" t="inlineStr">
        <is>
          <t>gpu_share interpolated from company 2026/2030 accelerator-mix endpoints</t>
        </is>
      </c>
      <c r="I676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76" s="3" t="inlineStr">
        <is>
          <t>SRC_ANTHROPIC_CLAUDE_DOCS; SRC_ANTHROPIC_AMAZON_COMPUTE; SRC_AWS_RAINIER_ACTIVE; SRC_EPOCH_AI_DATA_CENTERS; ASSUMP_NUMERIC_ACCELERATOR_MIX</t>
        </is>
      </c>
      <c r="K676" s="3" t="inlineStr">
        <is>
          <t>ASSUMP_POWER_RAMP; ASSUMP_CLOSED_MODEL_BAND; ASSUMP_NUMERIC_ACCELERATOR_MIX; ASSUMP_INFERENCE_SHARE_NOT_FACT_60; ASSUMP_WORKLOAD_CLASS_MIX; ASSUMP_AGENTIC_CONTEXT_PENALTY</t>
        </is>
      </c>
      <c r="L676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77">
      <c r="A677" s="3" t="inlineStr">
        <is>
          <t>Anthropic</t>
        </is>
      </c>
      <c r="B677" s="3" t="n">
        <v>2030</v>
      </c>
      <c r="C677" s="3" t="inlineStr">
        <is>
          <t>Bear</t>
        </is>
      </c>
      <c r="D677" s="3" t="inlineStr">
        <is>
          <t>h200_share</t>
        </is>
      </c>
      <c r="E677" s="3" t="n">
        <v>0.06841700000000001</v>
      </c>
      <c r="F677" s="3" t="inlineStr">
        <is>
          <t>share of inference-serving accelerator load</t>
        </is>
      </c>
      <c r="G677" s="3" t="inlineStr">
        <is>
          <t>Editable numeric scenario</t>
        </is>
      </c>
      <c r="H677" s="3" t="inlineStr">
        <is>
          <t>h200_share = gpu_share * default_gpu_generation_mix_h200</t>
        </is>
      </c>
      <c r="I677" s="3" t="inlineStr">
        <is>
          <t>Default GPU-generation migration assumption; executive workbook allows later manual replacement by company/year/scenario.</t>
        </is>
      </c>
      <c r="J677" s="3" t="inlineStr">
        <is>
          <t>SRC_SEMIANALYSIS_INFERENCEX; ASSUMP_NUMERIC_ACCELERATOR_MIX</t>
        </is>
      </c>
      <c r="K677" s="3" t="inlineStr">
        <is>
          <t>ASSUMP_POWER_RAMP; ASSUMP_CLOSED_MODEL_BAND; ASSUMP_NUMERIC_ACCELERATOR_MIX; ASSUMP_INFERENCE_SHARE_NOT_FACT_60; ASSUMP_WORKLOAD_CLASS_MIX; ASSUMP_AGENTIC_CONTEXT_PENALTY</t>
        </is>
      </c>
      <c r="L677" s="3" t="inlineStr">
        <is>
          <t>Company fleet inventory, accelerator-hours or procurement/deployment records by GPU generation.</t>
        </is>
      </c>
    </row>
    <row r="678">
      <c r="A678" s="3" t="inlineStr">
        <is>
          <t>Anthropic</t>
        </is>
      </c>
      <c r="B678" s="3" t="n">
        <v>2030</v>
      </c>
      <c r="C678" s="3" t="inlineStr">
        <is>
          <t>Bear</t>
        </is>
      </c>
      <c r="D678" s="3" t="inlineStr">
        <is>
          <t>b200_share</t>
        </is>
      </c>
      <c r="E678" s="3" t="n">
        <v>0.110031</v>
      </c>
      <c r="F678" s="3" t="inlineStr">
        <is>
          <t>share of inference-serving accelerator load</t>
        </is>
      </c>
      <c r="G678" s="3" t="inlineStr">
        <is>
          <t>Editable numeric scenario</t>
        </is>
      </c>
      <c r="H678" s="3" t="inlineStr">
        <is>
          <t>b200_share = gpu_share * default_gpu_generation_mix_b200</t>
        </is>
      </c>
      <c r="I678" s="3" t="inlineStr">
        <is>
          <t>Default GPU-generation migration assumption; executive workbook allows later manual replacement by company/year/scenario.</t>
        </is>
      </c>
      <c r="J678" s="3" t="inlineStr">
        <is>
          <t>SRC_SEMIANALYSIS_INFERENCEX; ASSUMP_NUMERIC_ACCELERATOR_MIX</t>
        </is>
      </c>
      <c r="K678" s="3" t="inlineStr">
        <is>
          <t>ASSUMP_POWER_RAMP; ASSUMP_CLOSED_MODEL_BAND; ASSUMP_NUMERIC_ACCELERATOR_MIX; ASSUMP_INFERENCE_SHARE_NOT_FACT_60; ASSUMP_WORKLOAD_CLASS_MIX; ASSUMP_AGENTIC_CONTEXT_PENALTY</t>
        </is>
      </c>
      <c r="L678" s="3" t="inlineStr">
        <is>
          <t>Company fleet inventory, accelerator-hours or procurement/deployment records by GPU generation.</t>
        </is>
      </c>
    </row>
    <row r="679">
      <c r="A679" s="3" t="inlineStr">
        <is>
          <t>Anthropic</t>
        </is>
      </c>
      <c r="B679" s="3" t="n">
        <v>2030</v>
      </c>
      <c r="C679" s="3" t="inlineStr">
        <is>
          <t>Bear</t>
        </is>
      </c>
      <c r="D679" s="3" t="inlineStr">
        <is>
          <t>gb200_share</t>
        </is>
      </c>
      <c r="E679" s="3" t="n">
        <v>0</v>
      </c>
      <c r="F679" s="3" t="inlineStr">
        <is>
          <t>share of inference-serving accelerator load</t>
        </is>
      </c>
      <c r="G679" s="3" t="inlineStr">
        <is>
          <t>Editable numeric scenario</t>
        </is>
      </c>
      <c r="H679" s="3" t="inlineStr">
        <is>
          <t>gb200_share = gpu_share * default_gpu_generation_mix_gb200</t>
        </is>
      </c>
      <c r="I679" s="3" t="inlineStr">
        <is>
          <t>Default GPU-generation migration assumption; executive workbook allows later manual replacement by company/year/scenario.</t>
        </is>
      </c>
      <c r="J679" s="3" t="inlineStr">
        <is>
          <t>SRC_SEMIANALYSIS_INFERENCEX; ASSUMP_NUMERIC_ACCELERATOR_MIX</t>
        </is>
      </c>
      <c r="K679" s="3" t="inlineStr">
        <is>
          <t>ASSUMP_POWER_RAMP; ASSUMP_CLOSED_MODEL_BAND; ASSUMP_NUMERIC_ACCELERATOR_MIX; ASSUMP_INFERENCE_SHARE_NOT_FACT_60; ASSUMP_WORKLOAD_CLASS_MIX; ASSUMP_AGENTIC_CONTEXT_PENALTY</t>
        </is>
      </c>
      <c r="L679" s="3" t="inlineStr">
        <is>
          <t>Company fleet inventory, accelerator-hours or procurement/deployment records by GPU generation.</t>
        </is>
      </c>
    </row>
    <row r="680">
      <c r="A680" s="3" t="inlineStr">
        <is>
          <t>Anthropic</t>
        </is>
      </c>
      <c r="B680" s="3" t="n">
        <v>2030</v>
      </c>
      <c r="C680" s="3" t="inlineStr">
        <is>
          <t>Bear</t>
        </is>
      </c>
      <c r="D680" s="3" t="inlineStr">
        <is>
          <t>purpose_built_accelerator_share</t>
        </is>
      </c>
      <c r="E680" s="3" t="n">
        <v>0.8215519999999999</v>
      </c>
      <c r="F680" s="3" t="inlineStr">
        <is>
          <t>share of inference-serving accelerator load</t>
        </is>
      </c>
      <c r="G680" s="3" t="inlineStr">
        <is>
          <t>Numeric scenario</t>
        </is>
      </c>
      <c r="H680" s="3" t="inlineStr">
        <is>
          <t>1 - gpu_share</t>
        </is>
      </c>
      <c r="I680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680" s="3" t="inlineStr">
        <is>
          <t>SRC_ANTHROPIC_CLAUDE_DOCS; SRC_ANTHROPIC_AMAZON_COMPUTE; SRC_AWS_RAINIER_ACTIVE; SRC_EPOCH_AI_DATA_CENTERS; ASSUMP_NUMERIC_ACCELERATOR_MIX</t>
        </is>
      </c>
      <c r="K680" s="3" t="inlineStr">
        <is>
          <t>ASSUMP_POWER_RAMP; ASSUMP_CLOSED_MODEL_BAND; ASSUMP_NUMERIC_ACCELERATOR_MIX; ASSUMP_INFERENCE_SHARE_NOT_FACT_60; ASSUMP_WORKLOAD_CLASS_MIX; ASSUMP_AGENTIC_CONTEXT_PENALTY</t>
        </is>
      </c>
      <c r="L680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681">
      <c r="A681" s="3" t="inlineStr">
        <is>
          <t>Anthropic</t>
        </is>
      </c>
      <c r="B681" s="3" t="n">
        <v>2030</v>
      </c>
      <c r="C681" s="3" t="inlineStr">
        <is>
          <t>Bear</t>
        </is>
      </c>
      <c r="D681" s="3" t="inlineStr">
        <is>
          <t>fleet_reference_tps_per_mw</t>
        </is>
      </c>
      <c r="E681" s="3" t="n">
        <v>188100</v>
      </c>
      <c r="F681" s="3" t="inlineStr">
        <is>
          <t>generated output tokens/sec/MW</t>
        </is>
      </c>
      <c r="G681" s="3" t="inlineStr">
        <is>
          <t>Fleet-weighted public benchmark reference</t>
        </is>
      </c>
      <c r="H681" s="3" t="inlineStr">
        <is>
          <t>h200_share*h200_workload_avg + b200_share*b200_workload_avg + gb200_share*gb200_workload_avg + purpose_built_share*purpose_workload_avg</t>
        </is>
      </c>
      <c r="I68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681" s="3" t="inlineStr">
        <is>
          <t>SRC_SEMIANALYSIS_INFERENCEX; ASSUMP_NUMERIC_ACCELERATOR_MIX; ASSUMP_WORKLOAD_CLASS_MIX; ASSUMP_AGENTIC_CONTEXT_PENALTY</t>
        </is>
      </c>
      <c r="K681" s="3" t="inlineStr">
        <is>
          <t>ASSUMP_POWER_RAMP; ASSUMP_CLOSED_MODEL_BAND; ASSUMP_NUMERIC_ACCELERATOR_MIX; ASSUMP_INFERENCE_SHARE_NOT_FACT_60; ASSUMP_WORKLOAD_CLASS_MIX; ASSUMP_AGENTIC_CONTEXT_PENALTY</t>
        </is>
      </c>
      <c r="L681" s="3" t="inlineStr">
        <is>
          <t>Comparable production output-token throughput or a more closely matched benchmark.</t>
        </is>
      </c>
    </row>
    <row r="682">
      <c r="A682" s="3" t="inlineStr">
        <is>
          <t>Anthropic</t>
        </is>
      </c>
      <c r="B682" s="3" t="n">
        <v>2030</v>
      </c>
      <c r="C682" s="3" t="inlineStr">
        <is>
          <t>Bear</t>
        </is>
      </c>
      <c r="D682" s="3" t="inlineStr">
        <is>
          <t>commercial_workload_fit_factor</t>
        </is>
      </c>
      <c r="E682" s="3" t="n">
        <v>0.3</v>
      </c>
      <c r="F682" s="3" t="inlineStr">
        <is>
          <t>share of public reference throughput</t>
        </is>
      </c>
      <c r="G682" s="3" t="inlineStr">
        <is>
          <t>Scenario assumption</t>
        </is>
      </c>
      <c r="H682" s="3" t="inlineStr">
        <is>
          <t>reference_serving_tps_per_mw = fleet_reference_tps_per_mw * commercial_workload_fit_factor</t>
        </is>
      </c>
      <c r="I68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682" s="3" t="inlineStr">
        <is>
          <t>SRC_SEMIANALYSIS_INFERENCEX; ASSUMP_NUMERIC_ACCELERATOR_MIX; ASSUMP_WORKLOAD_CLASS_MIX; ASSUMP_AGENTIC_CONTEXT_PENALTY</t>
        </is>
      </c>
      <c r="K682" s="3" t="inlineStr">
        <is>
          <t>ASSUMP_POWER_RAMP; ASSUMP_CLOSED_MODEL_BAND; ASSUMP_NUMERIC_ACCELERATOR_MIX; ASSUMP_INFERENCE_SHARE_NOT_FACT_60; ASSUMP_WORKLOAD_CLASS_MIX; ASSUMP_AGENTIC_CONTEXT_PENALTY</t>
        </is>
      </c>
      <c r="L682" s="3" t="inlineStr">
        <is>
          <t>Matched commercial serving benchmark by product surface, context shape and latency SLO.</t>
        </is>
      </c>
    </row>
    <row r="683">
      <c r="A683" s="3" t="inlineStr">
        <is>
          <t>Anthropic</t>
        </is>
      </c>
      <c r="B683" s="3" t="n">
        <v>2030</v>
      </c>
      <c r="C683" s="3" t="inlineStr">
        <is>
          <t>Bear</t>
        </is>
      </c>
      <c r="D683" s="3" t="inlineStr">
        <is>
          <t>reference_serving_tps_per_mw</t>
        </is>
      </c>
      <c r="E683" s="3" t="n">
        <v>56430</v>
      </c>
      <c r="F683" s="3" t="inlineStr">
        <is>
          <t>generated output tokens/sec/MW</t>
        </is>
      </c>
      <c r="G683" s="3" t="inlineStr">
        <is>
          <t>Workload-adjusted benchmark proxy</t>
        </is>
      </c>
      <c r="H683" s="3" t="inlineStr">
        <is>
          <t>fleet_reference_tps_per_mw * commercial_workload_fit_factor</t>
        </is>
      </c>
      <c r="I683" s="3" t="inlineStr">
        <is>
          <t>This is the coefficient used for headline token generation; each GPU's short chat, long chat and agentic TPS/MW are weighted before fleet mix and commercial fit are applied.</t>
        </is>
      </c>
      <c r="J683" s="3" t="inlineStr">
        <is>
          <t>SRC_SEMIANALYSIS_INFERENCEX; ASSUMP_NUMERIC_ACCELERATOR_MIX; ASSUMP_WORKLOAD_CLASS_MIX; ASSUMP_AGENTIC_CONTEXT_PENALTY</t>
        </is>
      </c>
      <c r="K683" s="3" t="inlineStr">
        <is>
          <t>ASSUMP_POWER_RAMP; ASSUMP_CLOSED_MODEL_BAND; ASSUMP_NUMERIC_ACCELERATOR_MIX; ASSUMP_INFERENCE_SHARE_NOT_FACT_60; ASSUMP_WORKLOAD_CLASS_MIX; ASSUMP_AGENTIC_CONTEXT_PENALTY</t>
        </is>
      </c>
      <c r="L683" s="3" t="inlineStr">
        <is>
          <t>Provider production output-token throughput with comparable workload/SLO.</t>
        </is>
      </c>
    </row>
    <row r="684">
      <c r="A684" s="3" t="inlineStr">
        <is>
          <t>Anthropic</t>
        </is>
      </c>
      <c r="B684" s="3" t="n">
        <v>2030</v>
      </c>
      <c r="C684" s="3" t="inlineStr">
        <is>
          <t>Bear</t>
        </is>
      </c>
      <c r="D684" s="3" t="inlineStr">
        <is>
          <t>purpose_built_tps_per_mw</t>
        </is>
      </c>
      <c r="E684" s="3" t="n">
        <v>40592</v>
      </c>
      <c r="F684" s="3" t="inlineStr">
        <is>
          <t>generated output tokens/sec/MW</t>
        </is>
      </c>
      <c r="G684" s="3" t="inlineStr">
        <is>
          <t>Conservative no-uplift proxy</t>
        </is>
      </c>
      <c r="H684" s="3" t="inlineStr">
        <is>
          <t>purpose_built_tps_per_mw = purpose_built_reference_tps_per_mw * commercial_workload_fit_factor until comparable output-token benchmark is adopted</t>
        </is>
      </c>
      <c r="I684" s="3" t="inlineStr">
        <is>
          <t>No comparable public output-token/MW row adopted; B200 public reference placeholder is used and remains editable.</t>
        </is>
      </c>
      <c r="J684" s="3" t="inlineStr">
        <is>
          <t>SRC_ANTHROPIC_CLAUDE_DOCS; SRC_ANTHROPIC_AMAZON_COMPUTE; SRC_AWS_RAINIER_ACTIVE; SRC_EPOCH_AI_DATA_CENTERS; ASSUMP_NUMERIC_ACCELERATOR_MIX</t>
        </is>
      </c>
      <c r="K684" s="3" t="inlineStr">
        <is>
          <t>ASSUMP_POWER_RAMP; ASSUMP_CLOSED_MODEL_BAND; ASSUMP_NUMERIC_ACCELERATOR_MIX; ASSUMP_INFERENCE_SHARE_NOT_FACT_60; ASSUMP_WORKLOAD_CLASS_MIX; ASSUMP_AGENTIC_CONTEXT_PENALTY</t>
        </is>
      </c>
      <c r="L684" s="3" t="inlineStr">
        <is>
          <t>Matched-workload generated-output benchmark for the provider purpose-built accelerator.</t>
        </is>
      </c>
    </row>
    <row r="685">
      <c r="A685" s="3" t="inlineStr">
        <is>
          <t>Anthropic</t>
        </is>
      </c>
      <c r="B685" s="3" t="n">
        <v>2030</v>
      </c>
      <c r="C685" s="3" t="inlineStr">
        <is>
          <t>Bear</t>
        </is>
      </c>
      <c r="D685" s="3" t="inlineStr">
        <is>
          <t>inference_power_share</t>
        </is>
      </c>
      <c r="E685" s="3" t="n">
        <v>0.64</v>
      </c>
      <c r="F685" s="3" t="inlineStr">
        <is>
          <t>share of AI IT load</t>
        </is>
      </c>
      <c r="G685" s="3" t="inlineStr">
        <is>
          <t>Scenario allocation</t>
        </is>
      </c>
      <c r="H685" s="3" t="inlineStr">
        <is>
          <t>inference_gw = ai_it_load_gw * inference_power_share</t>
        </is>
      </c>
      <c r="I685" s="3" t="inlineStr">
        <is>
          <t>Claude API/product growth supports a rising inference share, while continued model training prevents full conversion.</t>
        </is>
      </c>
      <c r="J685" s="3" t="inlineStr">
        <is>
          <t>SRC_ANTHROPIC_CLAUDE_DOCS; SRC_ANTHROPIC_AMAZON_COMPUTE; SRC_AWS_RAINIER_ACTIVE; SRC_EPOCH_AI_DATA_CENTERS; ASSUMP_INFERENCE_SHARE_NOT_FACT_60</t>
        </is>
      </c>
      <c r="K685" s="3" t="inlineStr">
        <is>
          <t>ASSUMP_POWER_RAMP; ASSUMP_CLOSED_MODEL_BAND; ASSUMP_NUMERIC_ACCELERATOR_MIX; ASSUMP_INFERENCE_SHARE_NOT_FACT_60; ASSUMP_WORKLOAD_CLASS_MIX; ASSUMP_AGENTIC_CONTEXT_PENALTY</t>
        </is>
      </c>
      <c r="L685" s="3" t="inlineStr">
        <is>
          <t>Provider-specific inference/training workload power telemetry.</t>
        </is>
      </c>
    </row>
    <row r="686">
      <c r="A686" s="3" t="inlineStr">
        <is>
          <t>Anthropic</t>
        </is>
      </c>
      <c r="B686" s="3" t="n">
        <v>2030</v>
      </c>
      <c r="C686" s="3" t="inlineStr">
        <is>
          <t>Bear</t>
        </is>
      </c>
      <c r="D686" s="3" t="inlineStr">
        <is>
          <t>inference_gw</t>
        </is>
      </c>
      <c r="E686" s="3" t="n">
        <v>2.104</v>
      </c>
      <c r="F686" s="3" t="inlineStr">
        <is>
          <t>GW</t>
        </is>
      </c>
      <c r="G686" s="3" t="inlineStr">
        <is>
          <t>Derived formula</t>
        </is>
      </c>
      <c r="H686" s="3" t="inlineStr">
        <is>
          <t>ai_it_load_gw * inference_power_share</t>
        </is>
      </c>
      <c r="I686" s="3" t="inlineStr">
        <is>
          <t>This is the operational power eligible to become commercial generated output tokens through the selected TPS/MW proxy.</t>
        </is>
      </c>
      <c r="J686" s="3" t="inlineStr">
        <is>
          <t>SRC_ANTHROPIC_CLAUDE_DOCS; SRC_ANTHROPIC_AMAZON_COMPUTE; SRC_AWS_RAINIER_ACTIVE; SRC_EPOCH_AI_DATA_CENTERS</t>
        </is>
      </c>
      <c r="K686" s="3" t="inlineStr">
        <is>
          <t>ASSUMP_POWER_RAMP; ASSUMP_CLOSED_MODEL_BAND; ASSUMP_NUMERIC_ACCELERATOR_MIX; ASSUMP_INFERENCE_SHARE_NOT_FACT_60; ASSUMP_WORKLOAD_CLASS_MIX; ASSUMP_AGENTIC_CONTEXT_PENALTY</t>
        </is>
      </c>
      <c r="L686" s="3" t="inlineStr">
        <is>
          <t>Recompute after AI allocation or inference-share evidence changes.</t>
        </is>
      </c>
    </row>
    <row r="687">
      <c r="A687" s="3" t="inlineStr">
        <is>
          <t>Anthropic</t>
        </is>
      </c>
      <c r="B687" s="3" t="n">
        <v>2030</v>
      </c>
      <c r="C687" s="3" t="inlineStr">
        <is>
          <t>Bear</t>
        </is>
      </c>
      <c r="D687" s="3" t="inlineStr">
        <is>
          <t>training_power_share</t>
        </is>
      </c>
      <c r="E687" s="3" t="n">
        <v>0.36</v>
      </c>
      <c r="F687" s="3" t="inlineStr">
        <is>
          <t>share of AI IT load</t>
        </is>
      </c>
      <c r="G687" s="3" t="inlineStr">
        <is>
          <t>Derived allocation</t>
        </is>
      </c>
      <c r="H687" s="3" t="inlineStr">
        <is>
          <t>1 - inference_power_share</t>
        </is>
      </c>
      <c r="I687" s="3" t="inlineStr">
        <is>
          <t>Training receives the complementary modeled AI IT allocation; it is not a disclosed company workload split.</t>
        </is>
      </c>
      <c r="J687" s="3" t="inlineStr">
        <is>
          <t>SRC_ANTHROPIC_CLAUDE_DOCS; SRC_ANTHROPIC_AMAZON_COMPUTE; SRC_AWS_RAINIER_ACTIVE; SRC_EPOCH_AI_DATA_CENTERS; ASSUMP_INFERENCE_SHARE_NOT_FACT_60</t>
        </is>
      </c>
      <c r="K687" s="3" t="inlineStr">
        <is>
          <t>ASSUMP_POWER_RAMP; ASSUMP_CLOSED_MODEL_BAND; ASSUMP_NUMERIC_ACCELERATOR_MIX; ASSUMP_INFERENCE_SHARE_NOT_FACT_60; ASSUMP_WORKLOAD_CLASS_MIX; ASSUMP_AGENTIC_CONTEXT_PENALTY</t>
        </is>
      </c>
      <c r="L687" s="3" t="inlineStr">
        <is>
          <t>Provider-specific inference/training workload power telemetry.</t>
        </is>
      </c>
    </row>
    <row r="688">
      <c r="A688" s="3" t="inlineStr">
        <is>
          <t>Anthropic</t>
        </is>
      </c>
      <c r="B688" s="3" t="n">
        <v>2030</v>
      </c>
      <c r="C688" s="3" t="inlineStr">
        <is>
          <t>Bear</t>
        </is>
      </c>
      <c r="D688" s="3" t="inlineStr">
        <is>
          <t>training_gw</t>
        </is>
      </c>
      <c r="E688" s="3" t="n">
        <v>1.183</v>
      </c>
      <c r="F688" s="3" t="inlineStr">
        <is>
          <t>GW</t>
        </is>
      </c>
      <c r="G688" s="3" t="inlineStr">
        <is>
          <t>Derived formula</t>
        </is>
      </c>
      <c r="H688" s="3" t="inlineStr">
        <is>
          <t>ai_it_load_gw * training_power_share</t>
        </is>
      </c>
      <c r="I688" s="3" t="inlineStr">
        <is>
          <t>Training GW is shown separately so commercial inference token capacity is not overstated.</t>
        </is>
      </c>
      <c r="J688" s="3" t="inlineStr">
        <is>
          <t>SRC_ANTHROPIC_CLAUDE_DOCS; SRC_ANTHROPIC_AMAZON_COMPUTE; SRC_AWS_RAINIER_ACTIVE; SRC_EPOCH_AI_DATA_CENTERS</t>
        </is>
      </c>
      <c r="K688" s="3" t="inlineStr">
        <is>
          <t>ASSUMP_POWER_RAMP; ASSUMP_CLOSED_MODEL_BAND; ASSUMP_NUMERIC_ACCELERATOR_MIX; ASSUMP_INFERENCE_SHARE_NOT_FACT_60; ASSUMP_WORKLOAD_CLASS_MIX; ASSUMP_AGENTIC_CONTEXT_PENALTY</t>
        </is>
      </c>
      <c r="L688" s="3" t="inlineStr">
        <is>
          <t>Recompute after AI allocation or workload-split evidence changes.</t>
        </is>
      </c>
    </row>
    <row r="689">
      <c r="A689" s="3" t="inlineStr">
        <is>
          <t>Anthropic</t>
        </is>
      </c>
      <c r="B689" s="3" t="n">
        <v>2030</v>
      </c>
      <c r="C689" s="3" t="inlineStr">
        <is>
          <t>Bear</t>
        </is>
      </c>
      <c r="D689" s="3" t="inlineStr">
        <is>
          <t>tokens_per_second_per_mw</t>
        </is>
      </c>
      <c r="E689" s="3" t="n">
        <v>56430</v>
      </c>
      <c r="F689" s="3" t="inlineStr">
        <is>
          <t>generated output tokens/sec/MW</t>
        </is>
      </c>
      <c r="G689" s="3" t="inlineStr">
        <is>
          <t>Derived estimate + benchmark calibration</t>
        </is>
      </c>
      <c r="H689" s="3" t="inlineStr">
        <is>
          <t>fleet_reference_tps_per_mw * commercial_workload_fit_factor</t>
        </is>
      </c>
      <c r="I68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689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689" s="3" t="inlineStr">
        <is>
          <t>ASSUMP_POWER_RAMP; ASSUMP_CLOSED_MODEL_BAND; ASSUMP_NUMERIC_ACCELERATOR_MIX; ASSUMP_INFERENCE_SHARE_NOT_FACT_60; ASSUMP_WORKLOAD_CLASS_MIX; ASSUMP_AGENTIC_CONTEXT_PENALTY</t>
        </is>
      </c>
      <c r="L689" s="3" t="inlineStr">
        <is>
          <t>Comparable production output-token throughput with model, hardware, precision, ISL/OSL and SLO matched.</t>
        </is>
      </c>
    </row>
    <row r="690">
      <c r="A690" s="3" t="inlineStr">
        <is>
          <t>Anthropic</t>
        </is>
      </c>
      <c r="B690" s="3" t="n">
        <v>2030</v>
      </c>
      <c r="C690" s="3" t="inlineStr">
        <is>
          <t>Bear</t>
        </is>
      </c>
      <c r="D690" s="3" t="inlineStr">
        <is>
          <t>inference_tokens_per_day</t>
        </is>
      </c>
      <c r="E690" s="3" t="n">
        <v>10258161408000</v>
      </c>
      <c r="F690" s="3" t="inlineStr">
        <is>
          <t>generated output tokens/day</t>
        </is>
      </c>
      <c r="G690" s="3" t="inlineStr">
        <is>
          <t>Derived headline metric</t>
        </is>
      </c>
      <c r="H690" s="3" t="inlineStr">
        <is>
          <t>inference_gw * 1000 * tokens_per_second_per_mw * 86,400</t>
        </is>
      </c>
      <c r="I690" s="3" t="inlineStr">
        <is>
          <t>Headline capacity uses no utilization, MoE, architecture or software-growth multiplier; it is not observed commercial output volume.</t>
        </is>
      </c>
      <c r="J690" s="3" t="inlineStr">
        <is>
          <t>SRC_ANTHROPIC_CLAUDE_DOCS; SRC_ANTHROPIC_AMAZON_COMPUTE; SRC_AWS_RAINIER_ACTIVE; SRC_EPOCH_AI_DATA_CENTERS; SRC_SEMIANALYSIS_INFERENCEX</t>
        </is>
      </c>
      <c r="K690" s="3" t="inlineStr">
        <is>
          <t>ASSUMP_POWER_RAMP; ASSUMP_CLOSED_MODEL_BAND; ASSUMP_NUMERIC_ACCELERATOR_MIX; ASSUMP_INFERENCE_SHARE_NOT_FACT_60; ASSUMP_WORKLOAD_CLASS_MIX; ASSUMP_AGENTIC_CONTEXT_PENALTY</t>
        </is>
      </c>
      <c r="L690" s="3" t="inlineStr">
        <is>
          <t>Provider-disclosed generated output token volume or calibrated capacity telemetry.</t>
        </is>
      </c>
    </row>
    <row r="691">
      <c r="A691" s="3" t="inlineStr">
        <is>
          <t>Anthropic</t>
        </is>
      </c>
      <c r="B691" s="3" t="n">
        <v>2030</v>
      </c>
      <c r="C691" s="3" t="inlineStr">
        <is>
          <t>Bear</t>
        </is>
      </c>
      <c r="D691" s="3" t="inlineStr">
        <is>
          <t>inference_tokens_per_year</t>
        </is>
      </c>
      <c r="E691" s="3" t="n">
        <v>3744228913920000</v>
      </c>
      <c r="F691" s="3" t="inlineStr">
        <is>
          <t>generated output tokens/year</t>
        </is>
      </c>
      <c r="G691" s="3" t="inlineStr">
        <is>
          <t>Derived headline metric</t>
        </is>
      </c>
      <c r="H691" s="3" t="inlineStr">
        <is>
          <t>inference_tokens_per_day * 365</t>
        </is>
      </c>
      <c r="I691" s="3" t="inlineStr">
        <is>
          <t>Annualized version of generated output token capacity; it is not observed annual demand or billable volume.</t>
        </is>
      </c>
      <c r="J691" s="3" t="inlineStr">
        <is>
          <t>SRC_ANTHROPIC_CLAUDE_DOCS; SRC_ANTHROPIC_AMAZON_COMPUTE; SRC_AWS_RAINIER_ACTIVE; SRC_EPOCH_AI_DATA_CENTERS; SRC_SEMIANALYSIS_INFERENCEX</t>
        </is>
      </c>
      <c r="K691" s="3" t="inlineStr">
        <is>
          <t>ASSUMP_POWER_RAMP; ASSUMP_CLOSED_MODEL_BAND; ASSUMP_NUMERIC_ACCELERATOR_MIX; ASSUMP_INFERENCE_SHARE_NOT_FACT_60; ASSUMP_WORKLOAD_CLASS_MIX; ASSUMP_AGENTIC_CONTEXT_PENALTY</t>
        </is>
      </c>
      <c r="L691" s="3" t="inlineStr">
        <is>
          <t>Provider-disclosed annual generated-output volume or metered serving telemetry.</t>
        </is>
      </c>
    </row>
    <row r="692">
      <c r="A692" s="3" t="inlineStr">
        <is>
          <t>DeepSeek</t>
        </is>
      </c>
      <c r="B692" s="3" t="n">
        <v>2026</v>
      </c>
      <c r="C692" s="3" t="inlineStr">
        <is>
          <t>Bear</t>
        </is>
      </c>
      <c r="D692" s="3" t="inlineStr">
        <is>
          <t>contracted_power_gw</t>
        </is>
      </c>
      <c r="E692" s="3" t="n">
        <v>0.5</v>
      </c>
      <c r="F692" s="3" t="inlineStr">
        <is>
          <t>GW</t>
        </is>
      </c>
      <c r="G692" s="3" t="inlineStr">
        <is>
          <t>Scenario capacity envelope</t>
        </is>
      </c>
      <c r="H692" s="3" t="inlineStr">
        <is>
          <t>linear interpolation between 2026 and 2030 company capacity endpoints</t>
        </is>
      </c>
      <c r="I692" s="3" t="inlineStr">
        <is>
          <t>Capacity is a low-transparency scenario; official infrastructure evidence supports H800 inference hardware, not company GW.</t>
        </is>
      </c>
      <c r="J692" s="3" t="inlineStr">
        <is>
          <t>SRC_DEEPSEEK_H800_INFERENCE; ASSUMP_CN_CAPACITY_TRANSPARENCY</t>
        </is>
      </c>
      <c r="K692" s="3" t="inlineStr">
        <is>
          <t>ASSUMP_MOE_EFFICIENCY; ASSUMP_CN_CAPACITY_TRANSPARENCY; ASSUMP_NUMERIC_ACCELERATOR_MIX; ASSUMP_INFERENCE_SHARE_NOT_FACT_60; ASSUMP_WORKLOAD_CLASS_MIX; ASSUMP_AGENTIC_CONTEXT_PENALTY</t>
        </is>
      </c>
      <c r="L692" s="3" t="inlineStr">
        <is>
          <t>Company/site-level committed MW/GW, interconnect and contract disclosure.</t>
        </is>
      </c>
    </row>
    <row r="693">
      <c r="A693" s="3" t="inlineStr">
        <is>
          <t>DeepSeek</t>
        </is>
      </c>
      <c r="B693" s="3" t="n">
        <v>2026</v>
      </c>
      <c r="C693" s="3" t="inlineStr">
        <is>
          <t>Bear</t>
        </is>
      </c>
      <c r="D693" s="3" t="inlineStr">
        <is>
          <t>operational_deployment_share</t>
        </is>
      </c>
      <c r="E693" s="3" t="n">
        <v>0.27</v>
      </c>
      <c r="F693" s="3" t="inlineStr">
        <is>
          <t>share</t>
        </is>
      </c>
      <c r="G693" s="3" t="inlineStr">
        <is>
          <t>Scenario conversion</t>
        </is>
      </c>
      <c r="H693" s="3" t="inlineStr">
        <is>
          <t>active_power_gw / contracted_power_gw</t>
        </is>
      </c>
      <c r="I693" s="3" t="inlineStr">
        <is>
          <t>This is the single explicit conversion from contracted/attributed capacity to operationally usable capacity.</t>
        </is>
      </c>
      <c r="J693" s="3" t="inlineStr">
        <is>
          <t>SRC_DEEPSEEK_H800_INFERENCE; ASSUMP_CN_CAPACITY_TRANSPARENCY</t>
        </is>
      </c>
      <c r="K693" s="3" t="inlineStr">
        <is>
          <t>ASSUMP_MOE_EFFICIENCY; ASSUMP_CN_CAPACITY_TRANSPARENCY; ASSUMP_NUMERIC_ACCELERATOR_MIX; ASSUMP_INFERENCE_SHARE_NOT_FACT_60; ASSUMP_WORKLOAD_CLASS_MIX; ASSUMP_AGENTIC_CONTEXT_PENALTY</t>
        </is>
      </c>
      <c r="L693" s="3" t="inlineStr">
        <is>
          <t>Energized operational capacity divided by contracted/attributed capacity.</t>
        </is>
      </c>
    </row>
    <row r="694">
      <c r="A694" s="3" t="inlineStr">
        <is>
          <t>DeepSeek</t>
        </is>
      </c>
      <c r="B694" s="3" t="n">
        <v>2026</v>
      </c>
      <c r="C694" s="3" t="inlineStr">
        <is>
          <t>Bear</t>
        </is>
      </c>
      <c r="D694" s="3" t="inlineStr">
        <is>
          <t>active_power_gw</t>
        </is>
      </c>
      <c r="E694" s="3" t="n">
        <v>0.135</v>
      </c>
      <c r="F694" s="3" t="inlineStr">
        <is>
          <t>GW</t>
        </is>
      </c>
      <c r="G694" s="3" t="inlineStr">
        <is>
          <t>Derived scenario</t>
        </is>
      </c>
      <c r="H694" s="3" t="inlineStr">
        <is>
          <t>contracted_power_gw * operational_deployment_share</t>
        </is>
      </c>
      <c r="I694" s="3" t="inlineStr">
        <is>
          <t>Active GW is conservative because operated cluster scale beyond disclosed infrastructure is not public.</t>
        </is>
      </c>
      <c r="J694" s="3" t="inlineStr">
        <is>
          <t>SRC_DEEPSEEK_H800_INFERENCE; ASSUMP_CN_CAPACITY_TRANSPARENCY</t>
        </is>
      </c>
      <c r="K694" s="3" t="inlineStr">
        <is>
          <t>ASSUMP_MOE_EFFICIENCY; ASSUMP_CN_CAPACITY_TRANSPARENCY; ASSUMP_NUMERIC_ACCELERATOR_MIX; ASSUMP_INFERENCE_SHARE_NOT_FACT_60; ASSUMP_WORKLOAD_CLASS_MIX; ASSUMP_AGENTIC_CONTEXT_PENALTY</t>
        </is>
      </c>
      <c r="L694" s="3" t="inlineStr">
        <is>
          <t>Energization dates, accelerator deliveries and operational powered-rack telemetry.</t>
        </is>
      </c>
    </row>
    <row r="695">
      <c r="A695" s="3" t="inlineStr">
        <is>
          <t>DeepSeek</t>
        </is>
      </c>
      <c r="B695" s="3" t="n">
        <v>2026</v>
      </c>
      <c r="C695" s="3" t="inlineStr">
        <is>
          <t>Bear</t>
        </is>
      </c>
      <c r="D695" s="3" t="inlineStr">
        <is>
          <t>pue</t>
        </is>
      </c>
      <c r="E695" s="3" t="n">
        <v>1.24</v>
      </c>
      <c r="F695" s="3" t="inlineStr">
        <is>
          <t>ratio</t>
        </is>
      </c>
      <c r="G695" s="3" t="inlineStr">
        <is>
          <t>Scenario parameter</t>
        </is>
      </c>
      <c r="H695" s="3" t="inlineStr">
        <is>
          <t>it_load_gw = active_power_gw / pue</t>
        </is>
      </c>
      <c r="I695" s="3" t="inlineStr">
        <is>
          <t>No provider-wide site-level PUE is used as a disclosed fact; PUE represents facility-to-IT conversion within the scenario.</t>
        </is>
      </c>
      <c r="J695" s="3" t="inlineStr">
        <is>
          <t>ASSUMP_POWER_RAMP</t>
        </is>
      </c>
      <c r="K695" s="3" t="inlineStr">
        <is>
          <t>ASSUMP_MOE_EFFICIENCY; ASSUMP_CN_CAPACITY_TRANSPARENCY; ASSUMP_NUMERIC_ACCELERATOR_MIX; ASSUMP_INFERENCE_SHARE_NOT_FACT_60; ASSUMP_WORKLOAD_CLASS_MIX; ASSUMP_AGENTIC_CONTEXT_PENALTY</t>
        </is>
      </c>
      <c r="L695" s="3" t="inlineStr">
        <is>
          <t>Site-level measured PUE matched to attributed AI capacity.</t>
        </is>
      </c>
    </row>
    <row r="696">
      <c r="A696" s="3" t="inlineStr">
        <is>
          <t>DeepSeek</t>
        </is>
      </c>
      <c r="B696" s="3" t="n">
        <v>2026</v>
      </c>
      <c r="C696" s="3" t="inlineStr">
        <is>
          <t>Bear</t>
        </is>
      </c>
      <c r="D696" s="3" t="inlineStr">
        <is>
          <t>it_load_gw</t>
        </is>
      </c>
      <c r="E696" s="3" t="n">
        <v>0.109</v>
      </c>
      <c r="F696" s="3" t="inlineStr">
        <is>
          <t>GW</t>
        </is>
      </c>
      <c r="G696" s="3" t="inlineStr">
        <is>
          <t>Derived formula</t>
        </is>
      </c>
      <c r="H696" s="3" t="inlineStr">
        <is>
          <t>active_power_gw / pue</t>
        </is>
      </c>
      <c r="I696" s="3" t="inlineStr">
        <is>
          <t>Facility power is converted to IT-deliverable power before attributing AI workloads.</t>
        </is>
      </c>
      <c r="J696" s="3" t="inlineStr">
        <is>
          <t>SRC_DEEPSEEK_H800_INFERENCE; ASSUMP_CN_CAPACITY_TRANSPARENCY</t>
        </is>
      </c>
      <c r="K696" s="3" t="inlineStr">
        <is>
          <t>ASSUMP_MOE_EFFICIENCY; ASSUMP_CN_CAPACITY_TRANSPARENCY; ASSUMP_NUMERIC_ACCELERATOR_MIX; ASSUMP_INFERENCE_SHARE_NOT_FACT_60; ASSUMP_WORKLOAD_CLASS_MIX; ASSUMP_AGENTIC_CONTEXT_PENALTY</t>
        </is>
      </c>
      <c r="L696" s="3" t="inlineStr">
        <is>
          <t>Recompute once active power and PUE become site-observable.</t>
        </is>
      </c>
    </row>
    <row r="697">
      <c r="A697" s="3" t="inlineStr">
        <is>
          <t>DeepSeek</t>
        </is>
      </c>
      <c r="B697" s="3" t="n">
        <v>2026</v>
      </c>
      <c r="C697" s="3" t="inlineStr">
        <is>
          <t>Bear</t>
        </is>
      </c>
      <c r="D697" s="3" t="inlineStr">
        <is>
          <t>ai_workload_share</t>
        </is>
      </c>
      <c r="E697" s="3" t="n">
        <v>0.82</v>
      </c>
      <c r="F697" s="3" t="inlineStr">
        <is>
          <t>share</t>
        </is>
      </c>
      <c r="G697" s="3" t="inlineStr">
        <is>
          <t>Scenario allocation</t>
        </is>
      </c>
      <c r="H697" s="3" t="inlineStr">
        <is>
          <t>ai_it_load_gw = it_load_gw * ai_workload_share</t>
        </is>
      </c>
      <c r="I697" s="3" t="inlineStr">
        <is>
          <t>DeepSeek-operated service capacity is modeled as AI-focused, reduced for reserve and ancillary processing.</t>
        </is>
      </c>
      <c r="J697" s="3" t="inlineStr">
        <is>
          <t>SRC_DEEPSEEK_V3; SRC_DEEPSEEK_R1; SRC_DEEPSEEK_H800_INFERENCE; SRC_EPOCH_AI_DATA_CENTERS</t>
        </is>
      </c>
      <c r="K697" s="3" t="inlineStr">
        <is>
          <t>ASSUMP_MOE_EFFICIENCY; ASSUMP_CN_CAPACITY_TRANSPARENCY; ASSUMP_NUMERIC_ACCELERATOR_MIX; ASSUMP_INFERENCE_SHARE_NOT_FACT_60; ASSUMP_WORKLOAD_CLASS_MIX; ASSUMP_AGENTIC_CONTEXT_PENALTY</t>
        </is>
      </c>
      <c r="L697" s="3" t="inlineStr">
        <is>
          <t>Model-owner AI workload allocation or cluster scheduling telemetry.</t>
        </is>
      </c>
    </row>
    <row r="698">
      <c r="A698" s="3" t="inlineStr">
        <is>
          <t>DeepSeek</t>
        </is>
      </c>
      <c r="B698" s="3" t="n">
        <v>2026</v>
      </c>
      <c r="C698" s="3" t="inlineStr">
        <is>
          <t>Bear</t>
        </is>
      </c>
      <c r="D698" s="3" t="inlineStr">
        <is>
          <t>ai_it_load_gw</t>
        </is>
      </c>
      <c r="E698" s="3" t="n">
        <v>0.089</v>
      </c>
      <c r="F698" s="3" t="inlineStr">
        <is>
          <t>GW</t>
        </is>
      </c>
      <c r="G698" s="3" t="inlineStr">
        <is>
          <t>Derived formula</t>
        </is>
      </c>
      <c r="H698" s="3" t="inlineStr">
        <is>
          <t>it_load_gw * ai_workload_share</t>
        </is>
      </c>
      <c r="I698" s="3" t="inlineStr">
        <is>
          <t>Only the AI-attributed portion of IT load enters training/inference allocation.</t>
        </is>
      </c>
      <c r="J698" s="3" t="inlineStr">
        <is>
          <t>SRC_DEEPSEEK_V3; SRC_DEEPSEEK_R1; SRC_DEEPSEEK_H800_INFERENCE; SRC_EPOCH_AI_DATA_CENTERS</t>
        </is>
      </c>
      <c r="K698" s="3" t="inlineStr">
        <is>
          <t>ASSUMP_MOE_EFFICIENCY; ASSUMP_CN_CAPACITY_TRANSPARENCY; ASSUMP_NUMERIC_ACCELERATOR_MIX; ASSUMP_INFERENCE_SHARE_NOT_FACT_60; ASSUMP_WORKLOAD_CLASS_MIX; ASSUMP_AGENTIC_CONTEXT_PENALTY</t>
        </is>
      </c>
      <c r="L698" s="3" t="inlineStr">
        <is>
          <t>Recompute after ai_workload_share is replaced by telemetry.</t>
        </is>
      </c>
    </row>
    <row r="699">
      <c r="A699" s="3" t="inlineStr">
        <is>
          <t>DeepSeek</t>
        </is>
      </c>
      <c r="B699" s="3" t="n">
        <v>2026</v>
      </c>
      <c r="C699" s="3" t="inlineStr">
        <is>
          <t>Bear</t>
        </is>
      </c>
      <c r="D699" s="3" t="inlineStr">
        <is>
          <t>gpu_share</t>
        </is>
      </c>
      <c r="E699" s="3" t="n">
        <v>1</v>
      </c>
      <c r="F699" s="3" t="inlineStr">
        <is>
          <t>share of inference-serving accelerator load</t>
        </is>
      </c>
      <c r="G699" s="3" t="inlineStr">
        <is>
          <t>Numeric scenario</t>
        </is>
      </c>
      <c r="H699" s="3" t="inlineStr">
        <is>
          <t>gpu_share interpolated from company 2026/2030 accelerator-mix endpoints</t>
        </is>
      </c>
      <c r="I699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699" s="3" t="inlineStr">
        <is>
          <t>SRC_DEEPSEEK_V3; SRC_DEEPSEEK_R1; SRC_DEEPSEEK_H800_INFERENCE; SRC_EPOCH_AI_DATA_CENTERS; ASSUMP_NUMERIC_ACCELERATOR_MIX</t>
        </is>
      </c>
      <c r="K699" s="3" t="inlineStr">
        <is>
          <t>ASSUMP_MOE_EFFICIENCY; ASSUMP_CN_CAPACITY_TRANSPARENCY; ASSUMP_NUMERIC_ACCELERATOR_MIX; ASSUMP_INFERENCE_SHARE_NOT_FACT_60; ASSUMP_WORKLOAD_CLASS_MIX; ASSUMP_AGENTIC_CONTEXT_PENALTY</t>
        </is>
      </c>
      <c r="L699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00">
      <c r="A700" s="3" t="inlineStr">
        <is>
          <t>DeepSeek</t>
        </is>
      </c>
      <c r="B700" s="3" t="n">
        <v>2026</v>
      </c>
      <c r="C700" s="3" t="inlineStr">
        <is>
          <t>Bear</t>
        </is>
      </c>
      <c r="D700" s="3" t="inlineStr">
        <is>
          <t>h200_share</t>
        </is>
      </c>
      <c r="E700" s="3" t="n">
        <v>0.55</v>
      </c>
      <c r="F700" s="3" t="inlineStr">
        <is>
          <t>share of inference-serving accelerator load</t>
        </is>
      </c>
      <c r="G700" s="3" t="inlineStr">
        <is>
          <t>Editable numeric scenario</t>
        </is>
      </c>
      <c r="H700" s="3" t="inlineStr">
        <is>
          <t>h200_share = gpu_share * default_gpu_generation_mix_h200</t>
        </is>
      </c>
      <c r="I700" s="3" t="inlineStr">
        <is>
          <t>Default GPU-generation migration assumption; executive workbook allows later manual replacement by company/year/scenario.</t>
        </is>
      </c>
      <c r="J700" s="3" t="inlineStr">
        <is>
          <t>SRC_SEMIANALYSIS_INFERENCEX; ASSUMP_NUMERIC_ACCELERATOR_MIX</t>
        </is>
      </c>
      <c r="K700" s="3" t="inlineStr">
        <is>
          <t>ASSUMP_MOE_EFFICIENCY; ASSUMP_CN_CAPACITY_TRANSPARENCY; ASSUMP_NUMERIC_ACCELERATOR_MIX; ASSUMP_INFERENCE_SHARE_NOT_FACT_60; ASSUMP_WORKLOAD_CLASS_MIX; ASSUMP_AGENTIC_CONTEXT_PENALTY</t>
        </is>
      </c>
      <c r="L700" s="3" t="inlineStr">
        <is>
          <t>Company fleet inventory, accelerator-hours or procurement/deployment records by GPU generation.</t>
        </is>
      </c>
    </row>
    <row r="701">
      <c r="A701" s="3" t="inlineStr">
        <is>
          <t>DeepSeek</t>
        </is>
      </c>
      <c r="B701" s="3" t="n">
        <v>2026</v>
      </c>
      <c r="C701" s="3" t="inlineStr">
        <is>
          <t>Bear</t>
        </is>
      </c>
      <c r="D701" s="3" t="inlineStr">
        <is>
          <t>b200_share</t>
        </is>
      </c>
      <c r="E701" s="3" t="n">
        <v>0.4</v>
      </c>
      <c r="F701" s="3" t="inlineStr">
        <is>
          <t>share of inference-serving accelerator load</t>
        </is>
      </c>
      <c r="G701" s="3" t="inlineStr">
        <is>
          <t>Editable numeric scenario</t>
        </is>
      </c>
      <c r="H701" s="3" t="inlineStr">
        <is>
          <t>b200_share = gpu_share * default_gpu_generation_mix_b200</t>
        </is>
      </c>
      <c r="I701" s="3" t="inlineStr">
        <is>
          <t>Default GPU-generation migration assumption; executive workbook allows later manual replacement by company/year/scenario.</t>
        </is>
      </c>
      <c r="J701" s="3" t="inlineStr">
        <is>
          <t>SRC_SEMIANALYSIS_INFERENCEX; ASSUMP_NUMERIC_ACCELERATOR_MIX</t>
        </is>
      </c>
      <c r="K701" s="3" t="inlineStr">
        <is>
          <t>ASSUMP_MOE_EFFICIENCY; ASSUMP_CN_CAPACITY_TRANSPARENCY; ASSUMP_NUMERIC_ACCELERATOR_MIX; ASSUMP_INFERENCE_SHARE_NOT_FACT_60; ASSUMP_WORKLOAD_CLASS_MIX; ASSUMP_AGENTIC_CONTEXT_PENALTY</t>
        </is>
      </c>
      <c r="L701" s="3" t="inlineStr">
        <is>
          <t>Company fleet inventory, accelerator-hours or procurement/deployment records by GPU generation.</t>
        </is>
      </c>
    </row>
    <row r="702">
      <c r="A702" s="3" t="inlineStr">
        <is>
          <t>DeepSeek</t>
        </is>
      </c>
      <c r="B702" s="3" t="n">
        <v>2026</v>
      </c>
      <c r="C702" s="3" t="inlineStr">
        <is>
          <t>Bear</t>
        </is>
      </c>
      <c r="D702" s="3" t="inlineStr">
        <is>
          <t>gb200_share</t>
        </is>
      </c>
      <c r="E702" s="3" t="n">
        <v>0.05</v>
      </c>
      <c r="F702" s="3" t="inlineStr">
        <is>
          <t>share of inference-serving accelerator load</t>
        </is>
      </c>
      <c r="G702" s="3" t="inlineStr">
        <is>
          <t>Editable numeric scenario</t>
        </is>
      </c>
      <c r="H702" s="3" t="inlineStr">
        <is>
          <t>gb200_share = gpu_share * default_gpu_generation_mix_gb200</t>
        </is>
      </c>
      <c r="I702" s="3" t="inlineStr">
        <is>
          <t>Default GPU-generation migration assumption; executive workbook allows later manual replacement by company/year/scenario.</t>
        </is>
      </c>
      <c r="J702" s="3" t="inlineStr">
        <is>
          <t>SRC_SEMIANALYSIS_INFERENCEX; ASSUMP_NUMERIC_ACCELERATOR_MIX</t>
        </is>
      </c>
      <c r="K702" s="3" t="inlineStr">
        <is>
          <t>ASSUMP_MOE_EFFICIENCY; ASSUMP_CN_CAPACITY_TRANSPARENCY; ASSUMP_NUMERIC_ACCELERATOR_MIX; ASSUMP_INFERENCE_SHARE_NOT_FACT_60; ASSUMP_WORKLOAD_CLASS_MIX; ASSUMP_AGENTIC_CONTEXT_PENALTY</t>
        </is>
      </c>
      <c r="L702" s="3" t="inlineStr">
        <is>
          <t>Company fleet inventory, accelerator-hours or procurement/deployment records by GPU generation.</t>
        </is>
      </c>
    </row>
    <row r="703">
      <c r="A703" s="3" t="inlineStr">
        <is>
          <t>DeepSeek</t>
        </is>
      </c>
      <c r="B703" s="3" t="n">
        <v>2026</v>
      </c>
      <c r="C703" s="3" t="inlineStr">
        <is>
          <t>Bear</t>
        </is>
      </c>
      <c r="D703" s="3" t="inlineStr">
        <is>
          <t>purpose_built_accelerator_share</t>
        </is>
      </c>
      <c r="E703" s="3" t="n">
        <v>0</v>
      </c>
      <c r="F703" s="3" t="inlineStr">
        <is>
          <t>share of inference-serving accelerator load</t>
        </is>
      </c>
      <c r="G703" s="3" t="inlineStr">
        <is>
          <t>Numeric scenario</t>
        </is>
      </c>
      <c r="H703" s="3" t="inlineStr">
        <is>
          <t>1 - gpu_share</t>
        </is>
      </c>
      <c r="I703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03" s="3" t="inlineStr">
        <is>
          <t>SRC_DEEPSEEK_V3; SRC_DEEPSEEK_R1; SRC_DEEPSEEK_H800_INFERENCE; SRC_EPOCH_AI_DATA_CENTERS; ASSUMP_NUMERIC_ACCELERATOR_MIX</t>
        </is>
      </c>
      <c r="K703" s="3" t="inlineStr">
        <is>
          <t>ASSUMP_MOE_EFFICIENCY; ASSUMP_CN_CAPACITY_TRANSPARENCY; ASSUMP_NUMERIC_ACCELERATOR_MIX; ASSUMP_INFERENCE_SHARE_NOT_FACT_60; ASSUMP_WORKLOAD_CLASS_MIX; ASSUMP_AGENTIC_CONTEXT_PENALTY</t>
        </is>
      </c>
      <c r="L703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04">
      <c r="A704" s="3" t="inlineStr">
        <is>
          <t>DeepSeek</t>
        </is>
      </c>
      <c r="B704" s="3" t="n">
        <v>2026</v>
      </c>
      <c r="C704" s="3" t="inlineStr">
        <is>
          <t>Bear</t>
        </is>
      </c>
      <c r="D704" s="3" t="inlineStr">
        <is>
          <t>fleet_reference_tps_per_mw</t>
        </is>
      </c>
      <c r="E704" s="3" t="n">
        <v>140577</v>
      </c>
      <c r="F704" s="3" t="inlineStr">
        <is>
          <t>generated output tokens/sec/MW</t>
        </is>
      </c>
      <c r="G704" s="3" t="inlineStr">
        <is>
          <t>Fleet-weighted public benchmark reference</t>
        </is>
      </c>
      <c r="H704" s="3" t="inlineStr">
        <is>
          <t>h200_share*h200_workload_avg + b200_share*b200_workload_avg + gb200_share*gb200_workload_avg + purpose_built_share*purpose_workload_avg</t>
        </is>
      </c>
      <c r="I70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04" s="3" t="inlineStr">
        <is>
          <t>SRC_SEMIANALYSIS_INFERENCEX; ASSUMP_NUMERIC_ACCELERATOR_MIX; ASSUMP_WORKLOAD_CLASS_MIX; ASSUMP_AGENTIC_CONTEXT_PENALTY</t>
        </is>
      </c>
      <c r="K704" s="3" t="inlineStr">
        <is>
          <t>ASSUMP_MOE_EFFICIENCY; ASSUMP_CN_CAPACITY_TRANSPARENCY; ASSUMP_NUMERIC_ACCELERATOR_MIX; ASSUMP_INFERENCE_SHARE_NOT_FACT_60; ASSUMP_WORKLOAD_CLASS_MIX; ASSUMP_AGENTIC_CONTEXT_PENALTY</t>
        </is>
      </c>
      <c r="L704" s="3" t="inlineStr">
        <is>
          <t>Comparable production output-token throughput or a more closely matched benchmark.</t>
        </is>
      </c>
    </row>
    <row r="705">
      <c r="A705" s="3" t="inlineStr">
        <is>
          <t>DeepSeek</t>
        </is>
      </c>
      <c r="B705" s="3" t="n">
        <v>2026</v>
      </c>
      <c r="C705" s="3" t="inlineStr">
        <is>
          <t>Bear</t>
        </is>
      </c>
      <c r="D705" s="3" t="inlineStr">
        <is>
          <t>commercial_workload_fit_factor</t>
        </is>
      </c>
      <c r="E705" s="3" t="n">
        <v>0.65</v>
      </c>
      <c r="F705" s="3" t="inlineStr">
        <is>
          <t>share of public reference throughput</t>
        </is>
      </c>
      <c r="G705" s="3" t="inlineStr">
        <is>
          <t>Scenario assumption</t>
        </is>
      </c>
      <c r="H705" s="3" t="inlineStr">
        <is>
          <t>reference_serving_tps_per_mw = fleet_reference_tps_per_mw * commercial_workload_fit_factor</t>
        </is>
      </c>
      <c r="I70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05" s="3" t="inlineStr">
        <is>
          <t>SRC_SEMIANALYSIS_INFERENCEX; ASSUMP_NUMERIC_ACCELERATOR_MIX; ASSUMP_WORKLOAD_CLASS_MIX; ASSUMP_AGENTIC_CONTEXT_PENALTY</t>
        </is>
      </c>
      <c r="K705" s="3" t="inlineStr">
        <is>
          <t>ASSUMP_MOE_EFFICIENCY; ASSUMP_CN_CAPACITY_TRANSPARENCY; ASSUMP_NUMERIC_ACCELERATOR_MIX; ASSUMP_INFERENCE_SHARE_NOT_FACT_60; ASSUMP_WORKLOAD_CLASS_MIX; ASSUMP_AGENTIC_CONTEXT_PENALTY</t>
        </is>
      </c>
      <c r="L705" s="3" t="inlineStr">
        <is>
          <t>Matched commercial serving benchmark by product surface, context shape and latency SLO.</t>
        </is>
      </c>
    </row>
    <row r="706">
      <c r="A706" s="3" t="inlineStr">
        <is>
          <t>DeepSeek</t>
        </is>
      </c>
      <c r="B706" s="3" t="n">
        <v>2026</v>
      </c>
      <c r="C706" s="3" t="inlineStr">
        <is>
          <t>Bear</t>
        </is>
      </c>
      <c r="D706" s="3" t="inlineStr">
        <is>
          <t>reference_serving_tps_per_mw</t>
        </is>
      </c>
      <c r="E706" s="3" t="n">
        <v>91375</v>
      </c>
      <c r="F706" s="3" t="inlineStr">
        <is>
          <t>generated output tokens/sec/MW</t>
        </is>
      </c>
      <c r="G706" s="3" t="inlineStr">
        <is>
          <t>Workload-adjusted benchmark proxy</t>
        </is>
      </c>
      <c r="H706" s="3" t="inlineStr">
        <is>
          <t>fleet_reference_tps_per_mw * commercial_workload_fit_factor</t>
        </is>
      </c>
      <c r="I706" s="3" t="inlineStr">
        <is>
          <t>This is the coefficient used for headline token generation; each GPU's short chat, long chat and agentic TPS/MW are weighted before fleet mix and commercial fit are applied.</t>
        </is>
      </c>
      <c r="J706" s="3" t="inlineStr">
        <is>
          <t>SRC_SEMIANALYSIS_INFERENCEX; ASSUMP_NUMERIC_ACCELERATOR_MIX; ASSUMP_WORKLOAD_CLASS_MIX; ASSUMP_AGENTIC_CONTEXT_PENALTY</t>
        </is>
      </c>
      <c r="K706" s="3" t="inlineStr">
        <is>
          <t>ASSUMP_MOE_EFFICIENCY; ASSUMP_CN_CAPACITY_TRANSPARENCY; ASSUMP_NUMERIC_ACCELERATOR_MIX; ASSUMP_INFERENCE_SHARE_NOT_FACT_60; ASSUMP_WORKLOAD_CLASS_MIX; ASSUMP_AGENTIC_CONTEXT_PENALTY</t>
        </is>
      </c>
      <c r="L706" s="3" t="inlineStr">
        <is>
          <t>Provider production output-token throughput with comparable workload/SLO.</t>
        </is>
      </c>
    </row>
    <row r="707">
      <c r="A707" s="3" t="inlineStr">
        <is>
          <t>DeepSeek</t>
        </is>
      </c>
      <c r="B707" s="3" t="n">
        <v>2026</v>
      </c>
      <c r="C707" s="3" t="inlineStr">
        <is>
          <t>Bear</t>
        </is>
      </c>
      <c r="D707" s="3" t="inlineStr">
        <is>
          <t>purpose_built_tps_per_mw</t>
        </is>
      </c>
      <c r="E707" s="3" t="n">
        <v>255822</v>
      </c>
      <c r="F707" s="3" t="inlineStr">
        <is>
          <t>generated output tokens/sec/MW</t>
        </is>
      </c>
      <c r="G707" s="3" t="inlineStr">
        <is>
          <t>Conservative no-uplift proxy</t>
        </is>
      </c>
      <c r="H707" s="3" t="inlineStr">
        <is>
          <t>purpose_built_tps_per_mw = purpose_built_reference_tps_per_mw * commercial_workload_fit_factor until comparable output-token benchmark is adopted</t>
        </is>
      </c>
      <c r="I707" s="3" t="inlineStr">
        <is>
          <t>No comparable public output-token/MW row adopted; B200 public reference placeholder is used and remains editable.</t>
        </is>
      </c>
      <c r="J707" s="3" t="inlineStr">
        <is>
          <t>SRC_DEEPSEEK_V3; SRC_DEEPSEEK_R1; SRC_DEEPSEEK_H800_INFERENCE; SRC_EPOCH_AI_DATA_CENTERS; ASSUMP_NUMERIC_ACCELERATOR_MIX</t>
        </is>
      </c>
      <c r="K707" s="3" t="inlineStr">
        <is>
          <t>ASSUMP_MOE_EFFICIENCY; ASSUMP_CN_CAPACITY_TRANSPARENCY; ASSUMP_NUMERIC_ACCELERATOR_MIX; ASSUMP_INFERENCE_SHARE_NOT_FACT_60; ASSUMP_WORKLOAD_CLASS_MIX; ASSUMP_AGENTIC_CONTEXT_PENALTY</t>
        </is>
      </c>
      <c r="L707" s="3" t="inlineStr">
        <is>
          <t>Matched-workload generated-output benchmark for the provider purpose-built accelerator.</t>
        </is>
      </c>
    </row>
    <row r="708">
      <c r="A708" s="3" t="inlineStr">
        <is>
          <t>DeepSeek</t>
        </is>
      </c>
      <c r="B708" s="3" t="n">
        <v>2026</v>
      </c>
      <c r="C708" s="3" t="inlineStr">
        <is>
          <t>Bear</t>
        </is>
      </c>
      <c r="D708" s="3" t="inlineStr">
        <is>
          <t>inference_power_share</t>
        </is>
      </c>
      <c r="E708" s="3" t="n">
        <v>0.54</v>
      </c>
      <c r="F708" s="3" t="inlineStr">
        <is>
          <t>share of AI IT load</t>
        </is>
      </c>
      <c r="G708" s="3" t="inlineStr">
        <is>
          <t>Scenario allocation</t>
        </is>
      </c>
      <c r="H708" s="3" t="inlineStr">
        <is>
          <t>inference_gw = ai_it_load_gw * inference_power_share</t>
        </is>
      </c>
      <c r="I708" s="3" t="inlineStr">
        <is>
          <t>API/app availability and inference-system disclosure support higher inference share; the value remains scenario.</t>
        </is>
      </c>
      <c r="J708" s="3" t="inlineStr">
        <is>
          <t>SRC_DEEPSEEK_V3; SRC_DEEPSEEK_R1; SRC_DEEPSEEK_H800_INFERENCE; SRC_EPOCH_AI_DATA_CENTERS; ASSUMP_INFERENCE_SHARE_NOT_FACT_60</t>
        </is>
      </c>
      <c r="K708" s="3" t="inlineStr">
        <is>
          <t>ASSUMP_MOE_EFFICIENCY; ASSUMP_CN_CAPACITY_TRANSPARENCY; ASSUMP_NUMERIC_ACCELERATOR_MIX; ASSUMP_INFERENCE_SHARE_NOT_FACT_60; ASSUMP_WORKLOAD_CLASS_MIX; ASSUMP_AGENTIC_CONTEXT_PENALTY</t>
        </is>
      </c>
      <c r="L708" s="3" t="inlineStr">
        <is>
          <t>Provider-specific inference/training workload power telemetry.</t>
        </is>
      </c>
    </row>
    <row r="709">
      <c r="A709" s="3" t="inlineStr">
        <is>
          <t>DeepSeek</t>
        </is>
      </c>
      <c r="B709" s="3" t="n">
        <v>2026</v>
      </c>
      <c r="C709" s="3" t="inlineStr">
        <is>
          <t>Bear</t>
        </is>
      </c>
      <c r="D709" s="3" t="inlineStr">
        <is>
          <t>inference_gw</t>
        </is>
      </c>
      <c r="E709" s="3" t="n">
        <v>0.048</v>
      </c>
      <c r="F709" s="3" t="inlineStr">
        <is>
          <t>GW</t>
        </is>
      </c>
      <c r="G709" s="3" t="inlineStr">
        <is>
          <t>Derived formula</t>
        </is>
      </c>
      <c r="H709" s="3" t="inlineStr">
        <is>
          <t>ai_it_load_gw * inference_power_share</t>
        </is>
      </c>
      <c r="I709" s="3" t="inlineStr">
        <is>
          <t>This is the operational power eligible to become commercial generated output tokens through the selected TPS/MW proxy.</t>
        </is>
      </c>
      <c r="J709" s="3" t="inlineStr">
        <is>
          <t>SRC_DEEPSEEK_V3; SRC_DEEPSEEK_R1; SRC_DEEPSEEK_H800_INFERENCE; SRC_EPOCH_AI_DATA_CENTERS</t>
        </is>
      </c>
      <c r="K709" s="3" t="inlineStr">
        <is>
          <t>ASSUMP_MOE_EFFICIENCY; ASSUMP_CN_CAPACITY_TRANSPARENCY; ASSUMP_NUMERIC_ACCELERATOR_MIX; ASSUMP_INFERENCE_SHARE_NOT_FACT_60; ASSUMP_WORKLOAD_CLASS_MIX; ASSUMP_AGENTIC_CONTEXT_PENALTY</t>
        </is>
      </c>
      <c r="L709" s="3" t="inlineStr">
        <is>
          <t>Recompute after AI allocation or inference-share evidence changes.</t>
        </is>
      </c>
    </row>
    <row r="710">
      <c r="A710" s="3" t="inlineStr">
        <is>
          <t>DeepSeek</t>
        </is>
      </c>
      <c r="B710" s="3" t="n">
        <v>2026</v>
      </c>
      <c r="C710" s="3" t="inlineStr">
        <is>
          <t>Bear</t>
        </is>
      </c>
      <c r="D710" s="3" t="inlineStr">
        <is>
          <t>training_power_share</t>
        </is>
      </c>
      <c r="E710" s="3" t="n">
        <v>0.46</v>
      </c>
      <c r="F710" s="3" t="inlineStr">
        <is>
          <t>share of AI IT load</t>
        </is>
      </c>
      <c r="G710" s="3" t="inlineStr">
        <is>
          <t>Derived allocation</t>
        </is>
      </c>
      <c r="H710" s="3" t="inlineStr">
        <is>
          <t>1 - inference_power_share</t>
        </is>
      </c>
      <c r="I710" s="3" t="inlineStr">
        <is>
          <t>Training receives the complementary modeled AI IT allocation; it is not a disclosed company workload split.</t>
        </is>
      </c>
      <c r="J710" s="3" t="inlineStr">
        <is>
          <t>SRC_DEEPSEEK_V3; SRC_DEEPSEEK_R1; SRC_DEEPSEEK_H800_INFERENCE; SRC_EPOCH_AI_DATA_CENTERS; ASSUMP_INFERENCE_SHARE_NOT_FACT_60</t>
        </is>
      </c>
      <c r="K710" s="3" t="inlineStr">
        <is>
          <t>ASSUMP_MOE_EFFICIENCY; ASSUMP_CN_CAPACITY_TRANSPARENCY; ASSUMP_NUMERIC_ACCELERATOR_MIX; ASSUMP_INFERENCE_SHARE_NOT_FACT_60; ASSUMP_WORKLOAD_CLASS_MIX; ASSUMP_AGENTIC_CONTEXT_PENALTY</t>
        </is>
      </c>
      <c r="L710" s="3" t="inlineStr">
        <is>
          <t>Provider-specific inference/training workload power telemetry.</t>
        </is>
      </c>
    </row>
    <row r="711">
      <c r="A711" s="3" t="inlineStr">
        <is>
          <t>DeepSeek</t>
        </is>
      </c>
      <c r="B711" s="3" t="n">
        <v>2026</v>
      </c>
      <c r="C711" s="3" t="inlineStr">
        <is>
          <t>Bear</t>
        </is>
      </c>
      <c r="D711" s="3" t="inlineStr">
        <is>
          <t>training_gw</t>
        </is>
      </c>
      <c r="E711" s="3" t="n">
        <v>0.041</v>
      </c>
      <c r="F711" s="3" t="inlineStr">
        <is>
          <t>GW</t>
        </is>
      </c>
      <c r="G711" s="3" t="inlineStr">
        <is>
          <t>Derived formula</t>
        </is>
      </c>
      <c r="H711" s="3" t="inlineStr">
        <is>
          <t>ai_it_load_gw * training_power_share</t>
        </is>
      </c>
      <c r="I711" s="3" t="inlineStr">
        <is>
          <t>Training GW is shown separately so commercial inference token capacity is not overstated.</t>
        </is>
      </c>
      <c r="J711" s="3" t="inlineStr">
        <is>
          <t>SRC_DEEPSEEK_V3; SRC_DEEPSEEK_R1; SRC_DEEPSEEK_H800_INFERENCE; SRC_EPOCH_AI_DATA_CENTERS</t>
        </is>
      </c>
      <c r="K711" s="3" t="inlineStr">
        <is>
          <t>ASSUMP_MOE_EFFICIENCY; ASSUMP_CN_CAPACITY_TRANSPARENCY; ASSUMP_NUMERIC_ACCELERATOR_MIX; ASSUMP_INFERENCE_SHARE_NOT_FACT_60; ASSUMP_WORKLOAD_CLASS_MIX; ASSUMP_AGENTIC_CONTEXT_PENALTY</t>
        </is>
      </c>
      <c r="L711" s="3" t="inlineStr">
        <is>
          <t>Recompute after AI allocation or workload-split evidence changes.</t>
        </is>
      </c>
    </row>
    <row r="712">
      <c r="A712" s="3" t="inlineStr">
        <is>
          <t>DeepSeek</t>
        </is>
      </c>
      <c r="B712" s="3" t="n">
        <v>2026</v>
      </c>
      <c r="C712" s="3" t="inlineStr">
        <is>
          <t>Bear</t>
        </is>
      </c>
      <c r="D712" s="3" t="inlineStr">
        <is>
          <t>tokens_per_second_per_mw</t>
        </is>
      </c>
      <c r="E712" s="3" t="n">
        <v>91375</v>
      </c>
      <c r="F712" s="3" t="inlineStr">
        <is>
          <t>generated output tokens/sec/MW</t>
        </is>
      </c>
      <c r="G712" s="3" t="inlineStr">
        <is>
          <t>Derived estimate + benchmark calibration</t>
        </is>
      </c>
      <c r="H712" s="3" t="inlineStr">
        <is>
          <t>fleet_reference_tps_per_mw * commercial_workload_fit_factor</t>
        </is>
      </c>
      <c r="I71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12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12" s="3" t="inlineStr">
        <is>
          <t>ASSUMP_MOE_EFFICIENCY; ASSUMP_CN_CAPACITY_TRANSPARENCY; ASSUMP_NUMERIC_ACCELERATOR_MIX; ASSUMP_INFERENCE_SHARE_NOT_FACT_60; ASSUMP_WORKLOAD_CLASS_MIX; ASSUMP_AGENTIC_CONTEXT_PENALTY</t>
        </is>
      </c>
      <c r="L712" s="3" t="inlineStr">
        <is>
          <t>Comparable production output-token throughput with model, hardware, precision, ISL/OSL and SLO matched.</t>
        </is>
      </c>
    </row>
    <row r="713">
      <c r="A713" s="3" t="inlineStr">
        <is>
          <t>DeepSeek</t>
        </is>
      </c>
      <c r="B713" s="3" t="n">
        <v>2026</v>
      </c>
      <c r="C713" s="3" t="inlineStr">
        <is>
          <t>Bear</t>
        </is>
      </c>
      <c r="D713" s="3" t="inlineStr">
        <is>
          <t>inference_tokens_per_day</t>
        </is>
      </c>
      <c r="E713" s="3" t="n">
        <v>378950400000</v>
      </c>
      <c r="F713" s="3" t="inlineStr">
        <is>
          <t>generated output tokens/day</t>
        </is>
      </c>
      <c r="G713" s="3" t="inlineStr">
        <is>
          <t>Derived headline metric</t>
        </is>
      </c>
      <c r="H713" s="3" t="inlineStr">
        <is>
          <t>inference_gw * 1000 * tokens_per_second_per_mw * 86,400</t>
        </is>
      </c>
      <c r="I713" s="3" t="inlineStr">
        <is>
          <t>Headline capacity uses no utilization, MoE, architecture or software-growth multiplier; it is not observed commercial output volume.</t>
        </is>
      </c>
      <c r="J713" s="3" t="inlineStr">
        <is>
          <t>SRC_DEEPSEEK_V3; SRC_DEEPSEEK_R1; SRC_DEEPSEEK_H800_INFERENCE; SRC_EPOCH_AI_DATA_CENTERS; SRC_SEMIANALYSIS_INFERENCEX</t>
        </is>
      </c>
      <c r="K713" s="3" t="inlineStr">
        <is>
          <t>ASSUMP_MOE_EFFICIENCY; ASSUMP_CN_CAPACITY_TRANSPARENCY; ASSUMP_NUMERIC_ACCELERATOR_MIX; ASSUMP_INFERENCE_SHARE_NOT_FACT_60; ASSUMP_WORKLOAD_CLASS_MIX; ASSUMP_AGENTIC_CONTEXT_PENALTY</t>
        </is>
      </c>
      <c r="L713" s="3" t="inlineStr">
        <is>
          <t>Provider-disclosed generated output token volume or calibrated capacity telemetry.</t>
        </is>
      </c>
    </row>
    <row r="714">
      <c r="A714" s="3" t="inlineStr">
        <is>
          <t>DeepSeek</t>
        </is>
      </c>
      <c r="B714" s="3" t="n">
        <v>2026</v>
      </c>
      <c r="C714" s="3" t="inlineStr">
        <is>
          <t>Bear</t>
        </is>
      </c>
      <c r="D714" s="3" t="inlineStr">
        <is>
          <t>inference_tokens_per_year</t>
        </is>
      </c>
      <c r="E714" s="3" t="n">
        <v>138316896000000</v>
      </c>
      <c r="F714" s="3" t="inlineStr">
        <is>
          <t>generated output tokens/year</t>
        </is>
      </c>
      <c r="G714" s="3" t="inlineStr">
        <is>
          <t>Derived headline metric</t>
        </is>
      </c>
      <c r="H714" s="3" t="inlineStr">
        <is>
          <t>inference_tokens_per_day * 365</t>
        </is>
      </c>
      <c r="I714" s="3" t="inlineStr">
        <is>
          <t>Annualized version of generated output token capacity; it is not observed annual demand or billable volume.</t>
        </is>
      </c>
      <c r="J714" s="3" t="inlineStr">
        <is>
          <t>SRC_DEEPSEEK_V3; SRC_DEEPSEEK_R1; SRC_DEEPSEEK_H800_INFERENCE; SRC_EPOCH_AI_DATA_CENTERS; SRC_SEMIANALYSIS_INFERENCEX</t>
        </is>
      </c>
      <c r="K714" s="3" t="inlineStr">
        <is>
          <t>ASSUMP_MOE_EFFICIENCY; ASSUMP_CN_CAPACITY_TRANSPARENCY; ASSUMP_NUMERIC_ACCELERATOR_MIX; ASSUMP_INFERENCE_SHARE_NOT_FACT_60; ASSUMP_WORKLOAD_CLASS_MIX; ASSUMP_AGENTIC_CONTEXT_PENALTY</t>
        </is>
      </c>
      <c r="L714" s="3" t="inlineStr">
        <is>
          <t>Provider-disclosed annual generated-output volume or metered serving telemetry.</t>
        </is>
      </c>
    </row>
    <row r="715">
      <c r="A715" s="3" t="inlineStr">
        <is>
          <t>DeepSeek</t>
        </is>
      </c>
      <c r="B715" s="3" t="n">
        <v>2027</v>
      </c>
      <c r="C715" s="3" t="inlineStr">
        <is>
          <t>Bear</t>
        </is>
      </c>
      <c r="D715" s="3" t="inlineStr">
        <is>
          <t>contracted_power_gw</t>
        </is>
      </c>
      <c r="E715" s="3" t="n">
        <v>0.825</v>
      </c>
      <c r="F715" s="3" t="inlineStr">
        <is>
          <t>GW</t>
        </is>
      </c>
      <c r="G715" s="3" t="inlineStr">
        <is>
          <t>Scenario capacity envelope</t>
        </is>
      </c>
      <c r="H715" s="3" t="inlineStr">
        <is>
          <t>linear interpolation between 2026 and 2030 company capacity endpoints</t>
        </is>
      </c>
      <c r="I715" s="3" t="inlineStr">
        <is>
          <t>Capacity is a low-transparency scenario; official infrastructure evidence supports H800 inference hardware, not company GW.</t>
        </is>
      </c>
      <c r="J715" s="3" t="inlineStr">
        <is>
          <t>SRC_DEEPSEEK_H800_INFERENCE; ASSUMP_CN_CAPACITY_TRANSPARENCY</t>
        </is>
      </c>
      <c r="K715" s="3" t="inlineStr">
        <is>
          <t>ASSUMP_MOE_EFFICIENCY; ASSUMP_CN_CAPACITY_TRANSPARENCY; ASSUMP_NUMERIC_ACCELERATOR_MIX; ASSUMP_INFERENCE_SHARE_NOT_FACT_60; ASSUMP_WORKLOAD_CLASS_MIX; ASSUMP_AGENTIC_CONTEXT_PENALTY</t>
        </is>
      </c>
      <c r="L715" s="3" t="inlineStr">
        <is>
          <t>Company/site-level committed MW/GW, interconnect and contract disclosure.</t>
        </is>
      </c>
    </row>
    <row r="716">
      <c r="A716" s="3" t="inlineStr">
        <is>
          <t>DeepSeek</t>
        </is>
      </c>
      <c r="B716" s="3" t="n">
        <v>2027</v>
      </c>
      <c r="C716" s="3" t="inlineStr">
        <is>
          <t>Bear</t>
        </is>
      </c>
      <c r="D716" s="3" t="inlineStr">
        <is>
          <t>operational_deployment_share</t>
        </is>
      </c>
      <c r="E716" s="3" t="n">
        <v>0.44</v>
      </c>
      <c r="F716" s="3" t="inlineStr">
        <is>
          <t>share</t>
        </is>
      </c>
      <c r="G716" s="3" t="inlineStr">
        <is>
          <t>Scenario conversion</t>
        </is>
      </c>
      <c r="H716" s="3" t="inlineStr">
        <is>
          <t>active_power_gw / contracted_power_gw</t>
        </is>
      </c>
      <c r="I716" s="3" t="inlineStr">
        <is>
          <t>This is the single explicit conversion from contracted/attributed capacity to operationally usable capacity.</t>
        </is>
      </c>
      <c r="J716" s="3" t="inlineStr">
        <is>
          <t>SRC_DEEPSEEK_H800_INFERENCE; ASSUMP_CN_CAPACITY_TRANSPARENCY</t>
        </is>
      </c>
      <c r="K716" s="3" t="inlineStr">
        <is>
          <t>ASSUMP_MOE_EFFICIENCY; ASSUMP_CN_CAPACITY_TRANSPARENCY; ASSUMP_NUMERIC_ACCELERATOR_MIX; ASSUMP_INFERENCE_SHARE_NOT_FACT_60; ASSUMP_WORKLOAD_CLASS_MIX; ASSUMP_AGENTIC_CONTEXT_PENALTY</t>
        </is>
      </c>
      <c r="L716" s="3" t="inlineStr">
        <is>
          <t>Energized operational capacity divided by contracted/attributed capacity.</t>
        </is>
      </c>
    </row>
    <row r="717">
      <c r="A717" s="3" t="inlineStr">
        <is>
          <t>DeepSeek</t>
        </is>
      </c>
      <c r="B717" s="3" t="n">
        <v>2027</v>
      </c>
      <c r="C717" s="3" t="inlineStr">
        <is>
          <t>Bear</t>
        </is>
      </c>
      <c r="D717" s="3" t="inlineStr">
        <is>
          <t>active_power_gw</t>
        </is>
      </c>
      <c r="E717" s="3" t="n">
        <v>0.363</v>
      </c>
      <c r="F717" s="3" t="inlineStr">
        <is>
          <t>GW</t>
        </is>
      </c>
      <c r="G717" s="3" t="inlineStr">
        <is>
          <t>Derived scenario</t>
        </is>
      </c>
      <c r="H717" s="3" t="inlineStr">
        <is>
          <t>contracted_power_gw * operational_deployment_share</t>
        </is>
      </c>
      <c r="I717" s="3" t="inlineStr">
        <is>
          <t>Active GW is conservative because operated cluster scale beyond disclosed infrastructure is not public.</t>
        </is>
      </c>
      <c r="J717" s="3" t="inlineStr">
        <is>
          <t>SRC_DEEPSEEK_H800_INFERENCE; ASSUMP_CN_CAPACITY_TRANSPARENCY</t>
        </is>
      </c>
      <c r="K717" s="3" t="inlineStr">
        <is>
          <t>ASSUMP_MOE_EFFICIENCY; ASSUMP_CN_CAPACITY_TRANSPARENCY; ASSUMP_NUMERIC_ACCELERATOR_MIX; ASSUMP_INFERENCE_SHARE_NOT_FACT_60; ASSUMP_WORKLOAD_CLASS_MIX; ASSUMP_AGENTIC_CONTEXT_PENALTY</t>
        </is>
      </c>
      <c r="L717" s="3" t="inlineStr">
        <is>
          <t>Energization dates, accelerator deliveries and operational powered-rack telemetry.</t>
        </is>
      </c>
    </row>
    <row r="718">
      <c r="A718" s="3" t="inlineStr">
        <is>
          <t>DeepSeek</t>
        </is>
      </c>
      <c r="B718" s="3" t="n">
        <v>2027</v>
      </c>
      <c r="C718" s="3" t="inlineStr">
        <is>
          <t>Bear</t>
        </is>
      </c>
      <c r="D718" s="3" t="inlineStr">
        <is>
          <t>pue</t>
        </is>
      </c>
      <c r="E718" s="3" t="n">
        <v>1.24</v>
      </c>
      <c r="F718" s="3" t="inlineStr">
        <is>
          <t>ratio</t>
        </is>
      </c>
      <c r="G718" s="3" t="inlineStr">
        <is>
          <t>Scenario parameter</t>
        </is>
      </c>
      <c r="H718" s="3" t="inlineStr">
        <is>
          <t>it_load_gw = active_power_gw / pue</t>
        </is>
      </c>
      <c r="I718" s="3" t="inlineStr">
        <is>
          <t>No provider-wide site-level PUE is used as a disclosed fact; PUE represents facility-to-IT conversion within the scenario.</t>
        </is>
      </c>
      <c r="J718" s="3" t="inlineStr">
        <is>
          <t>ASSUMP_POWER_RAMP</t>
        </is>
      </c>
      <c r="K718" s="3" t="inlineStr">
        <is>
          <t>ASSUMP_MOE_EFFICIENCY; ASSUMP_CN_CAPACITY_TRANSPARENCY; ASSUMP_NUMERIC_ACCELERATOR_MIX; ASSUMP_INFERENCE_SHARE_NOT_FACT_60; ASSUMP_WORKLOAD_CLASS_MIX; ASSUMP_AGENTIC_CONTEXT_PENALTY</t>
        </is>
      </c>
      <c r="L718" s="3" t="inlineStr">
        <is>
          <t>Site-level measured PUE matched to attributed AI capacity.</t>
        </is>
      </c>
    </row>
    <row r="719">
      <c r="A719" s="3" t="inlineStr">
        <is>
          <t>DeepSeek</t>
        </is>
      </c>
      <c r="B719" s="3" t="n">
        <v>2027</v>
      </c>
      <c r="C719" s="3" t="inlineStr">
        <is>
          <t>Bear</t>
        </is>
      </c>
      <c r="D719" s="3" t="inlineStr">
        <is>
          <t>it_load_gw</t>
        </is>
      </c>
      <c r="E719" s="3" t="n">
        <v>0.293</v>
      </c>
      <c r="F719" s="3" t="inlineStr">
        <is>
          <t>GW</t>
        </is>
      </c>
      <c r="G719" s="3" t="inlineStr">
        <is>
          <t>Derived formula</t>
        </is>
      </c>
      <c r="H719" s="3" t="inlineStr">
        <is>
          <t>active_power_gw / pue</t>
        </is>
      </c>
      <c r="I719" s="3" t="inlineStr">
        <is>
          <t>Facility power is converted to IT-deliverable power before attributing AI workloads.</t>
        </is>
      </c>
      <c r="J719" s="3" t="inlineStr">
        <is>
          <t>SRC_DEEPSEEK_H800_INFERENCE; ASSUMP_CN_CAPACITY_TRANSPARENCY</t>
        </is>
      </c>
      <c r="K719" s="3" t="inlineStr">
        <is>
          <t>ASSUMP_MOE_EFFICIENCY; ASSUMP_CN_CAPACITY_TRANSPARENCY; ASSUMP_NUMERIC_ACCELERATOR_MIX; ASSUMP_INFERENCE_SHARE_NOT_FACT_60; ASSUMP_WORKLOAD_CLASS_MIX; ASSUMP_AGENTIC_CONTEXT_PENALTY</t>
        </is>
      </c>
      <c r="L719" s="3" t="inlineStr">
        <is>
          <t>Recompute once active power and PUE become site-observable.</t>
        </is>
      </c>
    </row>
    <row r="720">
      <c r="A720" s="3" t="inlineStr">
        <is>
          <t>DeepSeek</t>
        </is>
      </c>
      <c r="B720" s="3" t="n">
        <v>2027</v>
      </c>
      <c r="C720" s="3" t="inlineStr">
        <is>
          <t>Bear</t>
        </is>
      </c>
      <c r="D720" s="3" t="inlineStr">
        <is>
          <t>ai_workload_share</t>
        </is>
      </c>
      <c r="E720" s="3" t="n">
        <v>0.82</v>
      </c>
      <c r="F720" s="3" t="inlineStr">
        <is>
          <t>share</t>
        </is>
      </c>
      <c r="G720" s="3" t="inlineStr">
        <is>
          <t>Scenario allocation</t>
        </is>
      </c>
      <c r="H720" s="3" t="inlineStr">
        <is>
          <t>ai_it_load_gw = it_load_gw * ai_workload_share</t>
        </is>
      </c>
      <c r="I720" s="3" t="inlineStr">
        <is>
          <t>DeepSeek-operated service capacity is modeled as AI-focused, reduced for reserve and ancillary processing.</t>
        </is>
      </c>
      <c r="J720" s="3" t="inlineStr">
        <is>
          <t>SRC_DEEPSEEK_V3; SRC_DEEPSEEK_R1; SRC_DEEPSEEK_H800_INFERENCE; SRC_EPOCH_AI_DATA_CENTERS</t>
        </is>
      </c>
      <c r="K720" s="3" t="inlineStr">
        <is>
          <t>ASSUMP_MOE_EFFICIENCY; ASSUMP_CN_CAPACITY_TRANSPARENCY; ASSUMP_NUMERIC_ACCELERATOR_MIX; ASSUMP_INFERENCE_SHARE_NOT_FACT_60; ASSUMP_WORKLOAD_CLASS_MIX; ASSUMP_AGENTIC_CONTEXT_PENALTY</t>
        </is>
      </c>
      <c r="L720" s="3" t="inlineStr">
        <is>
          <t>Model-owner AI workload allocation or cluster scheduling telemetry.</t>
        </is>
      </c>
    </row>
    <row r="721">
      <c r="A721" s="3" t="inlineStr">
        <is>
          <t>DeepSeek</t>
        </is>
      </c>
      <c r="B721" s="3" t="n">
        <v>2027</v>
      </c>
      <c r="C721" s="3" t="inlineStr">
        <is>
          <t>Bear</t>
        </is>
      </c>
      <c r="D721" s="3" t="inlineStr">
        <is>
          <t>ai_it_load_gw</t>
        </is>
      </c>
      <c r="E721" s="3" t="n">
        <v>0.24</v>
      </c>
      <c r="F721" s="3" t="inlineStr">
        <is>
          <t>GW</t>
        </is>
      </c>
      <c r="G721" s="3" t="inlineStr">
        <is>
          <t>Derived formula</t>
        </is>
      </c>
      <c r="H721" s="3" t="inlineStr">
        <is>
          <t>it_load_gw * ai_workload_share</t>
        </is>
      </c>
      <c r="I721" s="3" t="inlineStr">
        <is>
          <t>Only the AI-attributed portion of IT load enters training/inference allocation.</t>
        </is>
      </c>
      <c r="J721" s="3" t="inlineStr">
        <is>
          <t>SRC_DEEPSEEK_V3; SRC_DEEPSEEK_R1; SRC_DEEPSEEK_H800_INFERENCE; SRC_EPOCH_AI_DATA_CENTERS</t>
        </is>
      </c>
      <c r="K721" s="3" t="inlineStr">
        <is>
          <t>ASSUMP_MOE_EFFICIENCY; ASSUMP_CN_CAPACITY_TRANSPARENCY; ASSUMP_NUMERIC_ACCELERATOR_MIX; ASSUMP_INFERENCE_SHARE_NOT_FACT_60; ASSUMP_WORKLOAD_CLASS_MIX; ASSUMP_AGENTIC_CONTEXT_PENALTY</t>
        </is>
      </c>
      <c r="L721" s="3" t="inlineStr">
        <is>
          <t>Recompute after ai_workload_share is replaced by telemetry.</t>
        </is>
      </c>
    </row>
    <row r="722">
      <c r="A722" s="3" t="inlineStr">
        <is>
          <t>DeepSeek</t>
        </is>
      </c>
      <c r="B722" s="3" t="n">
        <v>2027</v>
      </c>
      <c r="C722" s="3" t="inlineStr">
        <is>
          <t>Bear</t>
        </is>
      </c>
      <c r="D722" s="3" t="inlineStr">
        <is>
          <t>gpu_share</t>
        </is>
      </c>
      <c r="E722" s="3" t="n">
        <v>1</v>
      </c>
      <c r="F722" s="3" t="inlineStr">
        <is>
          <t>share of inference-serving accelerator load</t>
        </is>
      </c>
      <c r="G722" s="3" t="inlineStr">
        <is>
          <t>Numeric scenario</t>
        </is>
      </c>
      <c r="H722" s="3" t="inlineStr">
        <is>
          <t>gpu_share interpolated from company 2026/2030 accelerator-mix endpoints</t>
        </is>
      </c>
      <c r="I722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22" s="3" t="inlineStr">
        <is>
          <t>SRC_DEEPSEEK_V3; SRC_DEEPSEEK_R1; SRC_DEEPSEEK_H800_INFERENCE; SRC_EPOCH_AI_DATA_CENTERS; ASSUMP_NUMERIC_ACCELERATOR_MIX</t>
        </is>
      </c>
      <c r="K722" s="3" t="inlineStr">
        <is>
          <t>ASSUMP_MOE_EFFICIENCY; ASSUMP_CN_CAPACITY_TRANSPARENCY; ASSUMP_NUMERIC_ACCELERATOR_MIX; ASSUMP_INFERENCE_SHARE_NOT_FACT_60; ASSUMP_WORKLOAD_CLASS_MIX; ASSUMP_AGENTIC_CONTEXT_PENALTY</t>
        </is>
      </c>
      <c r="L722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23">
      <c r="A723" s="3" t="inlineStr">
        <is>
          <t>DeepSeek</t>
        </is>
      </c>
      <c r="B723" s="3" t="n">
        <v>2027</v>
      </c>
      <c r="C723" s="3" t="inlineStr">
        <is>
          <t>Bear</t>
        </is>
      </c>
      <c r="D723" s="3" t="inlineStr">
        <is>
          <t>h200_share</t>
        </is>
      </c>
      <c r="E723" s="3" t="n">
        <v>0.438</v>
      </c>
      <c r="F723" s="3" t="inlineStr">
        <is>
          <t>share of inference-serving accelerator load</t>
        </is>
      </c>
      <c r="G723" s="3" t="inlineStr">
        <is>
          <t>Editable numeric scenario</t>
        </is>
      </c>
      <c r="H723" s="3" t="inlineStr">
        <is>
          <t>h200_share = gpu_share * default_gpu_generation_mix_h200</t>
        </is>
      </c>
      <c r="I723" s="3" t="inlineStr">
        <is>
          <t>Default GPU-generation migration assumption; executive workbook allows later manual replacement by company/year/scenario.</t>
        </is>
      </c>
      <c r="J723" s="3" t="inlineStr">
        <is>
          <t>SRC_SEMIANALYSIS_INFERENCEX; ASSUMP_NUMERIC_ACCELERATOR_MIX</t>
        </is>
      </c>
      <c r="K723" s="3" t="inlineStr">
        <is>
          <t>ASSUMP_MOE_EFFICIENCY; ASSUMP_CN_CAPACITY_TRANSPARENCY; ASSUMP_NUMERIC_ACCELERATOR_MIX; ASSUMP_INFERENCE_SHARE_NOT_FACT_60; ASSUMP_WORKLOAD_CLASS_MIX; ASSUMP_AGENTIC_CONTEXT_PENALTY</t>
        </is>
      </c>
      <c r="L723" s="3" t="inlineStr">
        <is>
          <t>Company fleet inventory, accelerator-hours or procurement/deployment records by GPU generation.</t>
        </is>
      </c>
    </row>
    <row r="724">
      <c r="A724" s="3" t="inlineStr">
        <is>
          <t>DeepSeek</t>
        </is>
      </c>
      <c r="B724" s="3" t="n">
        <v>2027</v>
      </c>
      <c r="C724" s="3" t="inlineStr">
        <is>
          <t>Bear</t>
        </is>
      </c>
      <c r="D724" s="3" t="inlineStr">
        <is>
          <t>b200_share</t>
        </is>
      </c>
      <c r="E724" s="3" t="n">
        <v>0.388</v>
      </c>
      <c r="F724" s="3" t="inlineStr">
        <is>
          <t>share of inference-serving accelerator load</t>
        </is>
      </c>
      <c r="G724" s="3" t="inlineStr">
        <is>
          <t>Editable numeric scenario</t>
        </is>
      </c>
      <c r="H724" s="3" t="inlineStr">
        <is>
          <t>b200_share = gpu_share * default_gpu_generation_mix_b200</t>
        </is>
      </c>
      <c r="I724" s="3" t="inlineStr">
        <is>
          <t>Default GPU-generation migration assumption; executive workbook allows later manual replacement by company/year/scenario.</t>
        </is>
      </c>
      <c r="J724" s="3" t="inlineStr">
        <is>
          <t>SRC_SEMIANALYSIS_INFERENCEX; ASSUMP_NUMERIC_ACCELERATOR_MIX</t>
        </is>
      </c>
      <c r="K724" s="3" t="inlineStr">
        <is>
          <t>ASSUMP_MOE_EFFICIENCY; ASSUMP_CN_CAPACITY_TRANSPARENCY; ASSUMP_NUMERIC_ACCELERATOR_MIX; ASSUMP_INFERENCE_SHARE_NOT_FACT_60; ASSUMP_WORKLOAD_CLASS_MIX; ASSUMP_AGENTIC_CONTEXT_PENALTY</t>
        </is>
      </c>
      <c r="L724" s="3" t="inlineStr">
        <is>
          <t>Company fleet inventory, accelerator-hours or procurement/deployment records by GPU generation.</t>
        </is>
      </c>
    </row>
    <row r="725">
      <c r="A725" s="3" t="inlineStr">
        <is>
          <t>DeepSeek</t>
        </is>
      </c>
      <c r="B725" s="3" t="n">
        <v>2027</v>
      </c>
      <c r="C725" s="3" t="inlineStr">
        <is>
          <t>Bear</t>
        </is>
      </c>
      <c r="D725" s="3" t="inlineStr">
        <is>
          <t>gb200_share</t>
        </is>
      </c>
      <c r="E725" s="3" t="n">
        <v>0.174</v>
      </c>
      <c r="F725" s="3" t="inlineStr">
        <is>
          <t>share of inference-serving accelerator load</t>
        </is>
      </c>
      <c r="G725" s="3" t="inlineStr">
        <is>
          <t>Editable numeric scenario</t>
        </is>
      </c>
      <c r="H725" s="3" t="inlineStr">
        <is>
          <t>gb200_share = gpu_share * default_gpu_generation_mix_gb200</t>
        </is>
      </c>
      <c r="I725" s="3" t="inlineStr">
        <is>
          <t>Default GPU-generation migration assumption; executive workbook allows later manual replacement by company/year/scenario.</t>
        </is>
      </c>
      <c r="J725" s="3" t="inlineStr">
        <is>
          <t>SRC_SEMIANALYSIS_INFERENCEX; ASSUMP_NUMERIC_ACCELERATOR_MIX</t>
        </is>
      </c>
      <c r="K725" s="3" t="inlineStr">
        <is>
          <t>ASSUMP_MOE_EFFICIENCY; ASSUMP_CN_CAPACITY_TRANSPARENCY; ASSUMP_NUMERIC_ACCELERATOR_MIX; ASSUMP_INFERENCE_SHARE_NOT_FACT_60; ASSUMP_WORKLOAD_CLASS_MIX; ASSUMP_AGENTIC_CONTEXT_PENALTY</t>
        </is>
      </c>
      <c r="L725" s="3" t="inlineStr">
        <is>
          <t>Company fleet inventory, accelerator-hours or procurement/deployment records by GPU generation.</t>
        </is>
      </c>
    </row>
    <row r="726">
      <c r="A726" s="3" t="inlineStr">
        <is>
          <t>DeepSeek</t>
        </is>
      </c>
      <c r="B726" s="3" t="n">
        <v>2027</v>
      </c>
      <c r="C726" s="3" t="inlineStr">
        <is>
          <t>Bear</t>
        </is>
      </c>
      <c r="D726" s="3" t="inlineStr">
        <is>
          <t>purpose_built_accelerator_share</t>
        </is>
      </c>
      <c r="E726" s="3" t="n">
        <v>0</v>
      </c>
      <c r="F726" s="3" t="inlineStr">
        <is>
          <t>share of inference-serving accelerator load</t>
        </is>
      </c>
      <c r="G726" s="3" t="inlineStr">
        <is>
          <t>Numeric scenario</t>
        </is>
      </c>
      <c r="H726" s="3" t="inlineStr">
        <is>
          <t>1 - gpu_share</t>
        </is>
      </c>
      <c r="I726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26" s="3" t="inlineStr">
        <is>
          <t>SRC_DEEPSEEK_V3; SRC_DEEPSEEK_R1; SRC_DEEPSEEK_H800_INFERENCE; SRC_EPOCH_AI_DATA_CENTERS; ASSUMP_NUMERIC_ACCELERATOR_MIX</t>
        </is>
      </c>
      <c r="K726" s="3" t="inlineStr">
        <is>
          <t>ASSUMP_MOE_EFFICIENCY; ASSUMP_CN_CAPACITY_TRANSPARENCY; ASSUMP_NUMERIC_ACCELERATOR_MIX; ASSUMP_INFERENCE_SHARE_NOT_FACT_60; ASSUMP_WORKLOAD_CLASS_MIX; ASSUMP_AGENTIC_CONTEXT_PENALTY</t>
        </is>
      </c>
      <c r="L726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27">
      <c r="A727" s="3" t="inlineStr">
        <is>
          <t>DeepSeek</t>
        </is>
      </c>
      <c r="B727" s="3" t="n">
        <v>2027</v>
      </c>
      <c r="C727" s="3" t="inlineStr">
        <is>
          <t>Bear</t>
        </is>
      </c>
      <c r="D727" s="3" t="inlineStr">
        <is>
          <t>fleet_reference_tps_per_mw</t>
        </is>
      </c>
      <c r="E727" s="3" t="n">
        <v>151424</v>
      </c>
      <c r="F727" s="3" t="inlineStr">
        <is>
          <t>generated output tokens/sec/MW</t>
        </is>
      </c>
      <c r="G727" s="3" t="inlineStr">
        <is>
          <t>Fleet-weighted public benchmark reference</t>
        </is>
      </c>
      <c r="H727" s="3" t="inlineStr">
        <is>
          <t>h200_share*h200_workload_avg + b200_share*b200_workload_avg + gb200_share*gb200_workload_avg + purpose_built_share*purpose_workload_avg</t>
        </is>
      </c>
      <c r="I72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27" s="3" t="inlineStr">
        <is>
          <t>SRC_SEMIANALYSIS_INFERENCEX; ASSUMP_NUMERIC_ACCELERATOR_MIX; ASSUMP_WORKLOAD_CLASS_MIX; ASSUMP_AGENTIC_CONTEXT_PENALTY</t>
        </is>
      </c>
      <c r="K727" s="3" t="inlineStr">
        <is>
          <t>ASSUMP_MOE_EFFICIENCY; ASSUMP_CN_CAPACITY_TRANSPARENCY; ASSUMP_NUMERIC_ACCELERATOR_MIX; ASSUMP_INFERENCE_SHARE_NOT_FACT_60; ASSUMP_WORKLOAD_CLASS_MIX; ASSUMP_AGENTIC_CONTEXT_PENALTY</t>
        </is>
      </c>
      <c r="L727" s="3" t="inlineStr">
        <is>
          <t>Comparable production output-token throughput or a more closely matched benchmark.</t>
        </is>
      </c>
    </row>
    <row r="728">
      <c r="A728" s="3" t="inlineStr">
        <is>
          <t>DeepSeek</t>
        </is>
      </c>
      <c r="B728" s="3" t="n">
        <v>2027</v>
      </c>
      <c r="C728" s="3" t="inlineStr">
        <is>
          <t>Bear</t>
        </is>
      </c>
      <c r="D728" s="3" t="inlineStr">
        <is>
          <t>commercial_workload_fit_factor</t>
        </is>
      </c>
      <c r="E728" s="3" t="n">
        <v>0.65</v>
      </c>
      <c r="F728" s="3" t="inlineStr">
        <is>
          <t>share of public reference throughput</t>
        </is>
      </c>
      <c r="G728" s="3" t="inlineStr">
        <is>
          <t>Scenario assumption</t>
        </is>
      </c>
      <c r="H728" s="3" t="inlineStr">
        <is>
          <t>reference_serving_tps_per_mw = fleet_reference_tps_per_mw * commercial_workload_fit_factor</t>
        </is>
      </c>
      <c r="I72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28" s="3" t="inlineStr">
        <is>
          <t>SRC_SEMIANALYSIS_INFERENCEX; ASSUMP_NUMERIC_ACCELERATOR_MIX; ASSUMP_WORKLOAD_CLASS_MIX; ASSUMP_AGENTIC_CONTEXT_PENALTY</t>
        </is>
      </c>
      <c r="K728" s="3" t="inlineStr">
        <is>
          <t>ASSUMP_MOE_EFFICIENCY; ASSUMP_CN_CAPACITY_TRANSPARENCY; ASSUMP_NUMERIC_ACCELERATOR_MIX; ASSUMP_INFERENCE_SHARE_NOT_FACT_60; ASSUMP_WORKLOAD_CLASS_MIX; ASSUMP_AGENTIC_CONTEXT_PENALTY</t>
        </is>
      </c>
      <c r="L728" s="3" t="inlineStr">
        <is>
          <t>Matched commercial serving benchmark by product surface, context shape and latency SLO.</t>
        </is>
      </c>
    </row>
    <row r="729">
      <c r="A729" s="3" t="inlineStr">
        <is>
          <t>DeepSeek</t>
        </is>
      </c>
      <c r="B729" s="3" t="n">
        <v>2027</v>
      </c>
      <c r="C729" s="3" t="inlineStr">
        <is>
          <t>Bear</t>
        </is>
      </c>
      <c r="D729" s="3" t="inlineStr">
        <is>
          <t>reference_serving_tps_per_mw</t>
        </is>
      </c>
      <c r="E729" s="3" t="n">
        <v>98426</v>
      </c>
      <c r="F729" s="3" t="inlineStr">
        <is>
          <t>generated output tokens/sec/MW</t>
        </is>
      </c>
      <c r="G729" s="3" t="inlineStr">
        <is>
          <t>Workload-adjusted benchmark proxy</t>
        </is>
      </c>
      <c r="H729" s="3" t="inlineStr">
        <is>
          <t>fleet_reference_tps_per_mw * commercial_workload_fit_factor</t>
        </is>
      </c>
      <c r="I729" s="3" t="inlineStr">
        <is>
          <t>This is the coefficient used for headline token generation; each GPU's short chat, long chat and agentic TPS/MW are weighted before fleet mix and commercial fit are applied.</t>
        </is>
      </c>
      <c r="J729" s="3" t="inlineStr">
        <is>
          <t>SRC_SEMIANALYSIS_INFERENCEX; ASSUMP_NUMERIC_ACCELERATOR_MIX; ASSUMP_WORKLOAD_CLASS_MIX; ASSUMP_AGENTIC_CONTEXT_PENALTY</t>
        </is>
      </c>
      <c r="K729" s="3" t="inlineStr">
        <is>
          <t>ASSUMP_MOE_EFFICIENCY; ASSUMP_CN_CAPACITY_TRANSPARENCY; ASSUMP_NUMERIC_ACCELERATOR_MIX; ASSUMP_INFERENCE_SHARE_NOT_FACT_60; ASSUMP_WORKLOAD_CLASS_MIX; ASSUMP_AGENTIC_CONTEXT_PENALTY</t>
        </is>
      </c>
      <c r="L729" s="3" t="inlineStr">
        <is>
          <t>Provider production output-token throughput with comparable workload/SLO.</t>
        </is>
      </c>
    </row>
    <row r="730">
      <c r="A730" s="3" t="inlineStr">
        <is>
          <t>DeepSeek</t>
        </is>
      </c>
      <c r="B730" s="3" t="n">
        <v>2027</v>
      </c>
      <c r="C730" s="3" t="inlineStr">
        <is>
          <t>Bear</t>
        </is>
      </c>
      <c r="D730" s="3" t="inlineStr">
        <is>
          <t>purpose_built_tps_per_mw</t>
        </is>
      </c>
      <c r="E730" s="3" t="n">
        <v>255822</v>
      </c>
      <c r="F730" s="3" t="inlineStr">
        <is>
          <t>generated output tokens/sec/MW</t>
        </is>
      </c>
      <c r="G730" s="3" t="inlineStr">
        <is>
          <t>Conservative no-uplift proxy</t>
        </is>
      </c>
      <c r="H730" s="3" t="inlineStr">
        <is>
          <t>purpose_built_tps_per_mw = purpose_built_reference_tps_per_mw * commercial_workload_fit_factor until comparable output-token benchmark is adopted</t>
        </is>
      </c>
      <c r="I730" s="3" t="inlineStr">
        <is>
          <t>No comparable public output-token/MW row adopted; B200 public reference placeholder is used and remains editable.</t>
        </is>
      </c>
      <c r="J730" s="3" t="inlineStr">
        <is>
          <t>SRC_DEEPSEEK_V3; SRC_DEEPSEEK_R1; SRC_DEEPSEEK_H800_INFERENCE; SRC_EPOCH_AI_DATA_CENTERS; ASSUMP_NUMERIC_ACCELERATOR_MIX</t>
        </is>
      </c>
      <c r="K730" s="3" t="inlineStr">
        <is>
          <t>ASSUMP_MOE_EFFICIENCY; ASSUMP_CN_CAPACITY_TRANSPARENCY; ASSUMP_NUMERIC_ACCELERATOR_MIX; ASSUMP_INFERENCE_SHARE_NOT_FACT_60; ASSUMP_WORKLOAD_CLASS_MIX; ASSUMP_AGENTIC_CONTEXT_PENALTY</t>
        </is>
      </c>
      <c r="L730" s="3" t="inlineStr">
        <is>
          <t>Matched-workload generated-output benchmark for the provider purpose-built accelerator.</t>
        </is>
      </c>
    </row>
    <row r="731">
      <c r="A731" s="3" t="inlineStr">
        <is>
          <t>DeepSeek</t>
        </is>
      </c>
      <c r="B731" s="3" t="n">
        <v>2027</v>
      </c>
      <c r="C731" s="3" t="inlineStr">
        <is>
          <t>Bear</t>
        </is>
      </c>
      <c r="D731" s="3" t="inlineStr">
        <is>
          <t>inference_power_share</t>
        </is>
      </c>
      <c r="E731" s="3" t="n">
        <v>0.585</v>
      </c>
      <c r="F731" s="3" t="inlineStr">
        <is>
          <t>share of AI IT load</t>
        </is>
      </c>
      <c r="G731" s="3" t="inlineStr">
        <is>
          <t>Scenario allocation</t>
        </is>
      </c>
      <c r="H731" s="3" t="inlineStr">
        <is>
          <t>inference_gw = ai_it_load_gw * inference_power_share</t>
        </is>
      </c>
      <c r="I731" s="3" t="inlineStr">
        <is>
          <t>API/app availability and inference-system disclosure support higher inference share; the value remains scenario.</t>
        </is>
      </c>
      <c r="J731" s="3" t="inlineStr">
        <is>
          <t>SRC_DEEPSEEK_V3; SRC_DEEPSEEK_R1; SRC_DEEPSEEK_H800_INFERENCE; SRC_EPOCH_AI_DATA_CENTERS; ASSUMP_INFERENCE_SHARE_NOT_FACT_60</t>
        </is>
      </c>
      <c r="K731" s="3" t="inlineStr">
        <is>
          <t>ASSUMP_MOE_EFFICIENCY; ASSUMP_CN_CAPACITY_TRANSPARENCY; ASSUMP_NUMERIC_ACCELERATOR_MIX; ASSUMP_INFERENCE_SHARE_NOT_FACT_60; ASSUMP_WORKLOAD_CLASS_MIX; ASSUMP_AGENTIC_CONTEXT_PENALTY</t>
        </is>
      </c>
      <c r="L731" s="3" t="inlineStr">
        <is>
          <t>Provider-specific inference/training workload power telemetry.</t>
        </is>
      </c>
    </row>
    <row r="732">
      <c r="A732" s="3" t="inlineStr">
        <is>
          <t>DeepSeek</t>
        </is>
      </c>
      <c r="B732" s="3" t="n">
        <v>2027</v>
      </c>
      <c r="C732" s="3" t="inlineStr">
        <is>
          <t>Bear</t>
        </is>
      </c>
      <c r="D732" s="3" t="inlineStr">
        <is>
          <t>inference_gw</t>
        </is>
      </c>
      <c r="E732" s="3" t="n">
        <v>0.14</v>
      </c>
      <c r="F732" s="3" t="inlineStr">
        <is>
          <t>GW</t>
        </is>
      </c>
      <c r="G732" s="3" t="inlineStr">
        <is>
          <t>Derived formula</t>
        </is>
      </c>
      <c r="H732" s="3" t="inlineStr">
        <is>
          <t>ai_it_load_gw * inference_power_share</t>
        </is>
      </c>
      <c r="I732" s="3" t="inlineStr">
        <is>
          <t>This is the operational power eligible to become commercial generated output tokens through the selected TPS/MW proxy.</t>
        </is>
      </c>
      <c r="J732" s="3" t="inlineStr">
        <is>
          <t>SRC_DEEPSEEK_V3; SRC_DEEPSEEK_R1; SRC_DEEPSEEK_H800_INFERENCE; SRC_EPOCH_AI_DATA_CENTERS</t>
        </is>
      </c>
      <c r="K732" s="3" t="inlineStr">
        <is>
          <t>ASSUMP_MOE_EFFICIENCY; ASSUMP_CN_CAPACITY_TRANSPARENCY; ASSUMP_NUMERIC_ACCELERATOR_MIX; ASSUMP_INFERENCE_SHARE_NOT_FACT_60; ASSUMP_WORKLOAD_CLASS_MIX; ASSUMP_AGENTIC_CONTEXT_PENALTY</t>
        </is>
      </c>
      <c r="L732" s="3" t="inlineStr">
        <is>
          <t>Recompute after AI allocation or inference-share evidence changes.</t>
        </is>
      </c>
    </row>
    <row r="733">
      <c r="A733" s="3" t="inlineStr">
        <is>
          <t>DeepSeek</t>
        </is>
      </c>
      <c r="B733" s="3" t="n">
        <v>2027</v>
      </c>
      <c r="C733" s="3" t="inlineStr">
        <is>
          <t>Bear</t>
        </is>
      </c>
      <c r="D733" s="3" t="inlineStr">
        <is>
          <t>training_power_share</t>
        </is>
      </c>
      <c r="E733" s="3" t="n">
        <v>0.415</v>
      </c>
      <c r="F733" s="3" t="inlineStr">
        <is>
          <t>share of AI IT load</t>
        </is>
      </c>
      <c r="G733" s="3" t="inlineStr">
        <is>
          <t>Derived allocation</t>
        </is>
      </c>
      <c r="H733" s="3" t="inlineStr">
        <is>
          <t>1 - inference_power_share</t>
        </is>
      </c>
      <c r="I733" s="3" t="inlineStr">
        <is>
          <t>Training receives the complementary modeled AI IT allocation; it is not a disclosed company workload split.</t>
        </is>
      </c>
      <c r="J733" s="3" t="inlineStr">
        <is>
          <t>SRC_DEEPSEEK_V3; SRC_DEEPSEEK_R1; SRC_DEEPSEEK_H800_INFERENCE; SRC_EPOCH_AI_DATA_CENTERS; ASSUMP_INFERENCE_SHARE_NOT_FACT_60</t>
        </is>
      </c>
      <c r="K733" s="3" t="inlineStr">
        <is>
          <t>ASSUMP_MOE_EFFICIENCY; ASSUMP_CN_CAPACITY_TRANSPARENCY; ASSUMP_NUMERIC_ACCELERATOR_MIX; ASSUMP_INFERENCE_SHARE_NOT_FACT_60; ASSUMP_WORKLOAD_CLASS_MIX; ASSUMP_AGENTIC_CONTEXT_PENALTY</t>
        </is>
      </c>
      <c r="L733" s="3" t="inlineStr">
        <is>
          <t>Provider-specific inference/training workload power telemetry.</t>
        </is>
      </c>
    </row>
    <row r="734">
      <c r="A734" s="3" t="inlineStr">
        <is>
          <t>DeepSeek</t>
        </is>
      </c>
      <c r="B734" s="3" t="n">
        <v>2027</v>
      </c>
      <c r="C734" s="3" t="inlineStr">
        <is>
          <t>Bear</t>
        </is>
      </c>
      <c r="D734" s="3" t="inlineStr">
        <is>
          <t>training_gw</t>
        </is>
      </c>
      <c r="E734" s="3" t="n">
        <v>0.1</v>
      </c>
      <c r="F734" s="3" t="inlineStr">
        <is>
          <t>GW</t>
        </is>
      </c>
      <c r="G734" s="3" t="inlineStr">
        <is>
          <t>Derived formula</t>
        </is>
      </c>
      <c r="H734" s="3" t="inlineStr">
        <is>
          <t>ai_it_load_gw * training_power_share</t>
        </is>
      </c>
      <c r="I734" s="3" t="inlineStr">
        <is>
          <t>Training GW is shown separately so commercial inference token capacity is not overstated.</t>
        </is>
      </c>
      <c r="J734" s="3" t="inlineStr">
        <is>
          <t>SRC_DEEPSEEK_V3; SRC_DEEPSEEK_R1; SRC_DEEPSEEK_H800_INFERENCE; SRC_EPOCH_AI_DATA_CENTERS</t>
        </is>
      </c>
      <c r="K734" s="3" t="inlineStr">
        <is>
          <t>ASSUMP_MOE_EFFICIENCY; ASSUMP_CN_CAPACITY_TRANSPARENCY; ASSUMP_NUMERIC_ACCELERATOR_MIX; ASSUMP_INFERENCE_SHARE_NOT_FACT_60; ASSUMP_WORKLOAD_CLASS_MIX; ASSUMP_AGENTIC_CONTEXT_PENALTY</t>
        </is>
      </c>
      <c r="L734" s="3" t="inlineStr">
        <is>
          <t>Recompute after AI allocation or workload-split evidence changes.</t>
        </is>
      </c>
    </row>
    <row r="735">
      <c r="A735" s="3" t="inlineStr">
        <is>
          <t>DeepSeek</t>
        </is>
      </c>
      <c r="B735" s="3" t="n">
        <v>2027</v>
      </c>
      <c r="C735" s="3" t="inlineStr">
        <is>
          <t>Bear</t>
        </is>
      </c>
      <c r="D735" s="3" t="inlineStr">
        <is>
          <t>tokens_per_second_per_mw</t>
        </is>
      </c>
      <c r="E735" s="3" t="n">
        <v>98426</v>
      </c>
      <c r="F735" s="3" t="inlineStr">
        <is>
          <t>generated output tokens/sec/MW</t>
        </is>
      </c>
      <c r="G735" s="3" t="inlineStr">
        <is>
          <t>Derived estimate + benchmark calibration</t>
        </is>
      </c>
      <c r="H735" s="3" t="inlineStr">
        <is>
          <t>fleet_reference_tps_per_mw * commercial_workload_fit_factor</t>
        </is>
      </c>
      <c r="I73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35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35" s="3" t="inlineStr">
        <is>
          <t>ASSUMP_MOE_EFFICIENCY; ASSUMP_CN_CAPACITY_TRANSPARENCY; ASSUMP_NUMERIC_ACCELERATOR_MIX; ASSUMP_INFERENCE_SHARE_NOT_FACT_60; ASSUMP_WORKLOAD_CLASS_MIX; ASSUMP_AGENTIC_CONTEXT_PENALTY</t>
        </is>
      </c>
      <c r="L735" s="3" t="inlineStr">
        <is>
          <t>Comparable production output-token throughput with model, hardware, precision, ISL/OSL and SLO matched.</t>
        </is>
      </c>
    </row>
    <row r="736">
      <c r="A736" s="3" t="inlineStr">
        <is>
          <t>DeepSeek</t>
        </is>
      </c>
      <c r="B736" s="3" t="n">
        <v>2027</v>
      </c>
      <c r="C736" s="3" t="inlineStr">
        <is>
          <t>Bear</t>
        </is>
      </c>
      <c r="D736" s="3" t="inlineStr">
        <is>
          <t>inference_tokens_per_day</t>
        </is>
      </c>
      <c r="E736" s="3" t="n">
        <v>1190560896000</v>
      </c>
      <c r="F736" s="3" t="inlineStr">
        <is>
          <t>generated output tokens/day</t>
        </is>
      </c>
      <c r="G736" s="3" t="inlineStr">
        <is>
          <t>Derived headline metric</t>
        </is>
      </c>
      <c r="H736" s="3" t="inlineStr">
        <is>
          <t>inference_gw * 1000 * tokens_per_second_per_mw * 86,400</t>
        </is>
      </c>
      <c r="I736" s="3" t="inlineStr">
        <is>
          <t>Headline capacity uses no utilization, MoE, architecture or software-growth multiplier; it is not observed commercial output volume.</t>
        </is>
      </c>
      <c r="J736" s="3" t="inlineStr">
        <is>
          <t>SRC_DEEPSEEK_V3; SRC_DEEPSEEK_R1; SRC_DEEPSEEK_H800_INFERENCE; SRC_EPOCH_AI_DATA_CENTERS; SRC_SEMIANALYSIS_INFERENCEX</t>
        </is>
      </c>
      <c r="K736" s="3" t="inlineStr">
        <is>
          <t>ASSUMP_MOE_EFFICIENCY; ASSUMP_CN_CAPACITY_TRANSPARENCY; ASSUMP_NUMERIC_ACCELERATOR_MIX; ASSUMP_INFERENCE_SHARE_NOT_FACT_60; ASSUMP_WORKLOAD_CLASS_MIX; ASSUMP_AGENTIC_CONTEXT_PENALTY</t>
        </is>
      </c>
      <c r="L736" s="3" t="inlineStr">
        <is>
          <t>Provider-disclosed generated output token volume or calibrated capacity telemetry.</t>
        </is>
      </c>
    </row>
    <row r="737">
      <c r="A737" s="3" t="inlineStr">
        <is>
          <t>DeepSeek</t>
        </is>
      </c>
      <c r="B737" s="3" t="n">
        <v>2027</v>
      </c>
      <c r="C737" s="3" t="inlineStr">
        <is>
          <t>Bear</t>
        </is>
      </c>
      <c r="D737" s="3" t="inlineStr">
        <is>
          <t>inference_tokens_per_year</t>
        </is>
      </c>
      <c r="E737" s="3" t="n">
        <v>434554727040000</v>
      </c>
      <c r="F737" s="3" t="inlineStr">
        <is>
          <t>generated output tokens/year</t>
        </is>
      </c>
      <c r="G737" s="3" t="inlineStr">
        <is>
          <t>Derived headline metric</t>
        </is>
      </c>
      <c r="H737" s="3" t="inlineStr">
        <is>
          <t>inference_tokens_per_day * 365</t>
        </is>
      </c>
      <c r="I737" s="3" t="inlineStr">
        <is>
          <t>Annualized version of generated output token capacity; it is not observed annual demand or billable volume.</t>
        </is>
      </c>
      <c r="J737" s="3" t="inlineStr">
        <is>
          <t>SRC_DEEPSEEK_V3; SRC_DEEPSEEK_R1; SRC_DEEPSEEK_H800_INFERENCE; SRC_EPOCH_AI_DATA_CENTERS; SRC_SEMIANALYSIS_INFERENCEX</t>
        </is>
      </c>
      <c r="K737" s="3" t="inlineStr">
        <is>
          <t>ASSUMP_MOE_EFFICIENCY; ASSUMP_CN_CAPACITY_TRANSPARENCY; ASSUMP_NUMERIC_ACCELERATOR_MIX; ASSUMP_INFERENCE_SHARE_NOT_FACT_60; ASSUMP_WORKLOAD_CLASS_MIX; ASSUMP_AGENTIC_CONTEXT_PENALTY</t>
        </is>
      </c>
      <c r="L737" s="3" t="inlineStr">
        <is>
          <t>Provider-disclosed annual generated-output volume or metered serving telemetry.</t>
        </is>
      </c>
    </row>
    <row r="738">
      <c r="A738" s="3" t="inlineStr">
        <is>
          <t>DeepSeek</t>
        </is>
      </c>
      <c r="B738" s="3" t="n">
        <v>2028</v>
      </c>
      <c r="C738" s="3" t="inlineStr">
        <is>
          <t>Bear</t>
        </is>
      </c>
      <c r="D738" s="3" t="inlineStr">
        <is>
          <t>contracted_power_gw</t>
        </is>
      </c>
      <c r="E738" s="3" t="n">
        <v>1.15</v>
      </c>
      <c r="F738" s="3" t="inlineStr">
        <is>
          <t>GW</t>
        </is>
      </c>
      <c r="G738" s="3" t="inlineStr">
        <is>
          <t>Scenario capacity envelope</t>
        </is>
      </c>
      <c r="H738" s="3" t="inlineStr">
        <is>
          <t>linear interpolation between 2026 and 2030 company capacity endpoints</t>
        </is>
      </c>
      <c r="I738" s="3" t="inlineStr">
        <is>
          <t>Capacity is a low-transparency scenario; official infrastructure evidence supports H800 inference hardware, not company GW.</t>
        </is>
      </c>
      <c r="J738" s="3" t="inlineStr">
        <is>
          <t>SRC_DEEPSEEK_H800_INFERENCE; ASSUMP_CN_CAPACITY_TRANSPARENCY</t>
        </is>
      </c>
      <c r="K738" s="3" t="inlineStr">
        <is>
          <t>ASSUMP_MOE_EFFICIENCY; ASSUMP_CN_CAPACITY_TRANSPARENCY; ASSUMP_NUMERIC_ACCELERATOR_MIX; ASSUMP_INFERENCE_SHARE_NOT_FACT_60; ASSUMP_WORKLOAD_CLASS_MIX; ASSUMP_AGENTIC_CONTEXT_PENALTY</t>
        </is>
      </c>
      <c r="L738" s="3" t="inlineStr">
        <is>
          <t>Company/site-level committed MW/GW, interconnect and contract disclosure.</t>
        </is>
      </c>
    </row>
    <row r="739">
      <c r="A739" s="3" t="inlineStr">
        <is>
          <t>DeepSeek</t>
        </is>
      </c>
      <c r="B739" s="3" t="n">
        <v>2028</v>
      </c>
      <c r="C739" s="3" t="inlineStr">
        <is>
          <t>Bear</t>
        </is>
      </c>
      <c r="D739" s="3" t="inlineStr">
        <is>
          <t>operational_deployment_share</t>
        </is>
      </c>
      <c r="E739" s="3" t="n">
        <v>0.50521739</v>
      </c>
      <c r="F739" s="3" t="inlineStr">
        <is>
          <t>share</t>
        </is>
      </c>
      <c r="G739" s="3" t="inlineStr">
        <is>
          <t>Scenario conversion</t>
        </is>
      </c>
      <c r="H739" s="3" t="inlineStr">
        <is>
          <t>active_power_gw / contracted_power_gw</t>
        </is>
      </c>
      <c r="I739" s="3" t="inlineStr">
        <is>
          <t>This is the single explicit conversion from contracted/attributed capacity to operationally usable capacity.</t>
        </is>
      </c>
      <c r="J739" s="3" t="inlineStr">
        <is>
          <t>SRC_DEEPSEEK_H800_INFERENCE; ASSUMP_CN_CAPACITY_TRANSPARENCY</t>
        </is>
      </c>
      <c r="K739" s="3" t="inlineStr">
        <is>
          <t>ASSUMP_MOE_EFFICIENCY; ASSUMP_CN_CAPACITY_TRANSPARENCY; ASSUMP_NUMERIC_ACCELERATOR_MIX; ASSUMP_INFERENCE_SHARE_NOT_FACT_60; ASSUMP_WORKLOAD_CLASS_MIX; ASSUMP_AGENTIC_CONTEXT_PENALTY</t>
        </is>
      </c>
      <c r="L739" s="3" t="inlineStr">
        <is>
          <t>Energized operational capacity divided by contracted/attributed capacity.</t>
        </is>
      </c>
    </row>
    <row r="740">
      <c r="A740" s="3" t="inlineStr">
        <is>
          <t>DeepSeek</t>
        </is>
      </c>
      <c r="B740" s="3" t="n">
        <v>2028</v>
      </c>
      <c r="C740" s="3" t="inlineStr">
        <is>
          <t>Bear</t>
        </is>
      </c>
      <c r="D740" s="3" t="inlineStr">
        <is>
          <t>active_power_gw</t>
        </is>
      </c>
      <c r="E740" s="3" t="n">
        <v>0.581</v>
      </c>
      <c r="F740" s="3" t="inlineStr">
        <is>
          <t>GW</t>
        </is>
      </c>
      <c r="G740" s="3" t="inlineStr">
        <is>
          <t>Derived scenario</t>
        </is>
      </c>
      <c r="H740" s="3" t="inlineStr">
        <is>
          <t>contracted_power_gw * operational_deployment_share</t>
        </is>
      </c>
      <c r="I740" s="3" t="inlineStr">
        <is>
          <t>Active GW is conservative because operated cluster scale beyond disclosed infrastructure is not public.</t>
        </is>
      </c>
      <c r="J740" s="3" t="inlineStr">
        <is>
          <t>SRC_DEEPSEEK_H800_INFERENCE; ASSUMP_CN_CAPACITY_TRANSPARENCY</t>
        </is>
      </c>
      <c r="K740" s="3" t="inlineStr">
        <is>
          <t>ASSUMP_MOE_EFFICIENCY; ASSUMP_CN_CAPACITY_TRANSPARENCY; ASSUMP_NUMERIC_ACCELERATOR_MIX; ASSUMP_INFERENCE_SHARE_NOT_FACT_60; ASSUMP_WORKLOAD_CLASS_MIX; ASSUMP_AGENTIC_CONTEXT_PENALTY</t>
        </is>
      </c>
      <c r="L740" s="3" t="inlineStr">
        <is>
          <t>Energization dates, accelerator deliveries and operational powered-rack telemetry.</t>
        </is>
      </c>
    </row>
    <row r="741">
      <c r="A741" s="3" t="inlineStr">
        <is>
          <t>DeepSeek</t>
        </is>
      </c>
      <c r="B741" s="3" t="n">
        <v>2028</v>
      </c>
      <c r="C741" s="3" t="inlineStr">
        <is>
          <t>Bear</t>
        </is>
      </c>
      <c r="D741" s="3" t="inlineStr">
        <is>
          <t>pue</t>
        </is>
      </c>
      <c r="E741" s="3" t="n">
        <v>1.24</v>
      </c>
      <c r="F741" s="3" t="inlineStr">
        <is>
          <t>ratio</t>
        </is>
      </c>
      <c r="G741" s="3" t="inlineStr">
        <is>
          <t>Scenario parameter</t>
        </is>
      </c>
      <c r="H741" s="3" t="inlineStr">
        <is>
          <t>it_load_gw = active_power_gw / pue</t>
        </is>
      </c>
      <c r="I741" s="3" t="inlineStr">
        <is>
          <t>No provider-wide site-level PUE is used as a disclosed fact; PUE represents facility-to-IT conversion within the scenario.</t>
        </is>
      </c>
      <c r="J741" s="3" t="inlineStr">
        <is>
          <t>ASSUMP_POWER_RAMP</t>
        </is>
      </c>
      <c r="K741" s="3" t="inlineStr">
        <is>
          <t>ASSUMP_MOE_EFFICIENCY; ASSUMP_CN_CAPACITY_TRANSPARENCY; ASSUMP_NUMERIC_ACCELERATOR_MIX; ASSUMP_INFERENCE_SHARE_NOT_FACT_60; ASSUMP_WORKLOAD_CLASS_MIX; ASSUMP_AGENTIC_CONTEXT_PENALTY</t>
        </is>
      </c>
      <c r="L741" s="3" t="inlineStr">
        <is>
          <t>Site-level measured PUE matched to attributed AI capacity.</t>
        </is>
      </c>
    </row>
    <row r="742">
      <c r="A742" s="3" t="inlineStr">
        <is>
          <t>DeepSeek</t>
        </is>
      </c>
      <c r="B742" s="3" t="n">
        <v>2028</v>
      </c>
      <c r="C742" s="3" t="inlineStr">
        <is>
          <t>Bear</t>
        </is>
      </c>
      <c r="D742" s="3" t="inlineStr">
        <is>
          <t>it_load_gw</t>
        </is>
      </c>
      <c r="E742" s="3" t="n">
        <v>0.468</v>
      </c>
      <c r="F742" s="3" t="inlineStr">
        <is>
          <t>GW</t>
        </is>
      </c>
      <c r="G742" s="3" t="inlineStr">
        <is>
          <t>Derived formula</t>
        </is>
      </c>
      <c r="H742" s="3" t="inlineStr">
        <is>
          <t>active_power_gw / pue</t>
        </is>
      </c>
      <c r="I742" s="3" t="inlineStr">
        <is>
          <t>Facility power is converted to IT-deliverable power before attributing AI workloads.</t>
        </is>
      </c>
      <c r="J742" s="3" t="inlineStr">
        <is>
          <t>SRC_DEEPSEEK_H800_INFERENCE; ASSUMP_CN_CAPACITY_TRANSPARENCY</t>
        </is>
      </c>
      <c r="K742" s="3" t="inlineStr">
        <is>
          <t>ASSUMP_MOE_EFFICIENCY; ASSUMP_CN_CAPACITY_TRANSPARENCY; ASSUMP_NUMERIC_ACCELERATOR_MIX; ASSUMP_INFERENCE_SHARE_NOT_FACT_60; ASSUMP_WORKLOAD_CLASS_MIX; ASSUMP_AGENTIC_CONTEXT_PENALTY</t>
        </is>
      </c>
      <c r="L742" s="3" t="inlineStr">
        <is>
          <t>Recompute once active power and PUE become site-observable.</t>
        </is>
      </c>
    </row>
    <row r="743">
      <c r="A743" s="3" t="inlineStr">
        <is>
          <t>DeepSeek</t>
        </is>
      </c>
      <c r="B743" s="3" t="n">
        <v>2028</v>
      </c>
      <c r="C743" s="3" t="inlineStr">
        <is>
          <t>Bear</t>
        </is>
      </c>
      <c r="D743" s="3" t="inlineStr">
        <is>
          <t>ai_workload_share</t>
        </is>
      </c>
      <c r="E743" s="3" t="n">
        <v>0.82</v>
      </c>
      <c r="F743" s="3" t="inlineStr">
        <is>
          <t>share</t>
        </is>
      </c>
      <c r="G743" s="3" t="inlineStr">
        <is>
          <t>Scenario allocation</t>
        </is>
      </c>
      <c r="H743" s="3" t="inlineStr">
        <is>
          <t>ai_it_load_gw = it_load_gw * ai_workload_share</t>
        </is>
      </c>
      <c r="I743" s="3" t="inlineStr">
        <is>
          <t>DeepSeek-operated service capacity is modeled as AI-focused, reduced for reserve and ancillary processing.</t>
        </is>
      </c>
      <c r="J743" s="3" t="inlineStr">
        <is>
          <t>SRC_DEEPSEEK_V3; SRC_DEEPSEEK_R1; SRC_DEEPSEEK_H800_INFERENCE; SRC_EPOCH_AI_DATA_CENTERS</t>
        </is>
      </c>
      <c r="K743" s="3" t="inlineStr">
        <is>
          <t>ASSUMP_MOE_EFFICIENCY; ASSUMP_CN_CAPACITY_TRANSPARENCY; ASSUMP_NUMERIC_ACCELERATOR_MIX; ASSUMP_INFERENCE_SHARE_NOT_FACT_60; ASSUMP_WORKLOAD_CLASS_MIX; ASSUMP_AGENTIC_CONTEXT_PENALTY</t>
        </is>
      </c>
      <c r="L743" s="3" t="inlineStr">
        <is>
          <t>Model-owner AI workload allocation or cluster scheduling telemetry.</t>
        </is>
      </c>
    </row>
    <row r="744">
      <c r="A744" s="3" t="inlineStr">
        <is>
          <t>DeepSeek</t>
        </is>
      </c>
      <c r="B744" s="3" t="n">
        <v>2028</v>
      </c>
      <c r="C744" s="3" t="inlineStr">
        <is>
          <t>Bear</t>
        </is>
      </c>
      <c r="D744" s="3" t="inlineStr">
        <is>
          <t>ai_it_load_gw</t>
        </is>
      </c>
      <c r="E744" s="3" t="n">
        <v>0.384</v>
      </c>
      <c r="F744" s="3" t="inlineStr">
        <is>
          <t>GW</t>
        </is>
      </c>
      <c r="G744" s="3" t="inlineStr">
        <is>
          <t>Derived formula</t>
        </is>
      </c>
      <c r="H744" s="3" t="inlineStr">
        <is>
          <t>it_load_gw * ai_workload_share</t>
        </is>
      </c>
      <c r="I744" s="3" t="inlineStr">
        <is>
          <t>Only the AI-attributed portion of IT load enters training/inference allocation.</t>
        </is>
      </c>
      <c r="J744" s="3" t="inlineStr">
        <is>
          <t>SRC_DEEPSEEK_V3; SRC_DEEPSEEK_R1; SRC_DEEPSEEK_H800_INFERENCE; SRC_EPOCH_AI_DATA_CENTERS</t>
        </is>
      </c>
      <c r="K744" s="3" t="inlineStr">
        <is>
          <t>ASSUMP_MOE_EFFICIENCY; ASSUMP_CN_CAPACITY_TRANSPARENCY; ASSUMP_NUMERIC_ACCELERATOR_MIX; ASSUMP_INFERENCE_SHARE_NOT_FACT_60; ASSUMP_WORKLOAD_CLASS_MIX; ASSUMP_AGENTIC_CONTEXT_PENALTY</t>
        </is>
      </c>
      <c r="L744" s="3" t="inlineStr">
        <is>
          <t>Recompute after ai_workload_share is replaced by telemetry.</t>
        </is>
      </c>
    </row>
    <row r="745">
      <c r="A745" s="3" t="inlineStr">
        <is>
          <t>DeepSeek</t>
        </is>
      </c>
      <c r="B745" s="3" t="n">
        <v>2028</v>
      </c>
      <c r="C745" s="3" t="inlineStr">
        <is>
          <t>Bear</t>
        </is>
      </c>
      <c r="D745" s="3" t="inlineStr">
        <is>
          <t>gpu_share</t>
        </is>
      </c>
      <c r="E745" s="3" t="n">
        <v>1</v>
      </c>
      <c r="F745" s="3" t="inlineStr">
        <is>
          <t>share of inference-serving accelerator load</t>
        </is>
      </c>
      <c r="G745" s="3" t="inlineStr">
        <is>
          <t>Numeric scenario</t>
        </is>
      </c>
      <c r="H745" s="3" t="inlineStr">
        <is>
          <t>gpu_share interpolated from company 2026/2030 accelerator-mix endpoints</t>
        </is>
      </c>
      <c r="I745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45" s="3" t="inlineStr">
        <is>
          <t>SRC_DEEPSEEK_V3; SRC_DEEPSEEK_R1; SRC_DEEPSEEK_H800_INFERENCE; SRC_EPOCH_AI_DATA_CENTERS; ASSUMP_NUMERIC_ACCELERATOR_MIX</t>
        </is>
      </c>
      <c r="K745" s="3" t="inlineStr">
        <is>
          <t>ASSUMP_MOE_EFFICIENCY; ASSUMP_CN_CAPACITY_TRANSPARENCY; ASSUMP_NUMERIC_ACCELERATOR_MIX; ASSUMP_INFERENCE_SHARE_NOT_FACT_60; ASSUMP_WORKLOAD_CLASS_MIX; ASSUMP_AGENTIC_CONTEXT_PENALTY</t>
        </is>
      </c>
      <c r="L745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46">
      <c r="A746" s="3" t="inlineStr">
        <is>
          <t>DeepSeek</t>
        </is>
      </c>
      <c r="B746" s="3" t="n">
        <v>2028</v>
      </c>
      <c r="C746" s="3" t="inlineStr">
        <is>
          <t>Bear</t>
        </is>
      </c>
      <c r="D746" s="3" t="inlineStr">
        <is>
          <t>h200_share</t>
        </is>
      </c>
      <c r="E746" s="3" t="n">
        <v>0.325</v>
      </c>
      <c r="F746" s="3" t="inlineStr">
        <is>
          <t>share of inference-serving accelerator load</t>
        </is>
      </c>
      <c r="G746" s="3" t="inlineStr">
        <is>
          <t>Editable numeric scenario</t>
        </is>
      </c>
      <c r="H746" s="3" t="inlineStr">
        <is>
          <t>h200_share = gpu_share * default_gpu_generation_mix_h200</t>
        </is>
      </c>
      <c r="I746" s="3" t="inlineStr">
        <is>
          <t>Default GPU-generation migration assumption; executive workbook allows later manual replacement by company/year/scenario.</t>
        </is>
      </c>
      <c r="J746" s="3" t="inlineStr">
        <is>
          <t>SRC_SEMIANALYSIS_INFERENCEX; ASSUMP_NUMERIC_ACCELERATOR_MIX</t>
        </is>
      </c>
      <c r="K746" s="3" t="inlineStr">
        <is>
          <t>ASSUMP_MOE_EFFICIENCY; ASSUMP_CN_CAPACITY_TRANSPARENCY; ASSUMP_NUMERIC_ACCELERATOR_MIX; ASSUMP_INFERENCE_SHARE_NOT_FACT_60; ASSUMP_WORKLOAD_CLASS_MIX; ASSUMP_AGENTIC_CONTEXT_PENALTY</t>
        </is>
      </c>
      <c r="L746" s="3" t="inlineStr">
        <is>
          <t>Company fleet inventory, accelerator-hours or procurement/deployment records by GPU generation.</t>
        </is>
      </c>
    </row>
    <row r="747">
      <c r="A747" s="3" t="inlineStr">
        <is>
          <t>DeepSeek</t>
        </is>
      </c>
      <c r="B747" s="3" t="n">
        <v>2028</v>
      </c>
      <c r="C747" s="3" t="inlineStr">
        <is>
          <t>Bear</t>
        </is>
      </c>
      <c r="D747" s="3" t="inlineStr">
        <is>
          <t>b200_share</t>
        </is>
      </c>
      <c r="E747" s="3" t="n">
        <v>0.375</v>
      </c>
      <c r="F747" s="3" t="inlineStr">
        <is>
          <t>share of inference-serving accelerator load</t>
        </is>
      </c>
      <c r="G747" s="3" t="inlineStr">
        <is>
          <t>Editable numeric scenario</t>
        </is>
      </c>
      <c r="H747" s="3" t="inlineStr">
        <is>
          <t>b200_share = gpu_share * default_gpu_generation_mix_b200</t>
        </is>
      </c>
      <c r="I747" s="3" t="inlineStr">
        <is>
          <t>Default GPU-generation migration assumption; executive workbook allows later manual replacement by company/year/scenario.</t>
        </is>
      </c>
      <c r="J747" s="3" t="inlineStr">
        <is>
          <t>SRC_SEMIANALYSIS_INFERENCEX; ASSUMP_NUMERIC_ACCELERATOR_MIX</t>
        </is>
      </c>
      <c r="K747" s="3" t="inlineStr">
        <is>
          <t>ASSUMP_MOE_EFFICIENCY; ASSUMP_CN_CAPACITY_TRANSPARENCY; ASSUMP_NUMERIC_ACCELERATOR_MIX; ASSUMP_INFERENCE_SHARE_NOT_FACT_60; ASSUMP_WORKLOAD_CLASS_MIX; ASSUMP_AGENTIC_CONTEXT_PENALTY</t>
        </is>
      </c>
      <c r="L747" s="3" t="inlineStr">
        <is>
          <t>Company fleet inventory, accelerator-hours or procurement/deployment records by GPU generation.</t>
        </is>
      </c>
    </row>
    <row r="748">
      <c r="A748" s="3" t="inlineStr">
        <is>
          <t>DeepSeek</t>
        </is>
      </c>
      <c r="B748" s="3" t="n">
        <v>2028</v>
      </c>
      <c r="C748" s="3" t="inlineStr">
        <is>
          <t>Bear</t>
        </is>
      </c>
      <c r="D748" s="3" t="inlineStr">
        <is>
          <t>gb200_share</t>
        </is>
      </c>
      <c r="E748" s="3" t="n">
        <v>0.3</v>
      </c>
      <c r="F748" s="3" t="inlineStr">
        <is>
          <t>share of inference-serving accelerator load</t>
        </is>
      </c>
      <c r="G748" s="3" t="inlineStr">
        <is>
          <t>Editable numeric scenario</t>
        </is>
      </c>
      <c r="H748" s="3" t="inlineStr">
        <is>
          <t>gb200_share = gpu_share * default_gpu_generation_mix_gb200</t>
        </is>
      </c>
      <c r="I748" s="3" t="inlineStr">
        <is>
          <t>Default GPU-generation migration assumption; executive workbook allows later manual replacement by company/year/scenario.</t>
        </is>
      </c>
      <c r="J748" s="3" t="inlineStr">
        <is>
          <t>SRC_SEMIANALYSIS_INFERENCEX; ASSUMP_NUMERIC_ACCELERATOR_MIX</t>
        </is>
      </c>
      <c r="K748" s="3" t="inlineStr">
        <is>
          <t>ASSUMP_MOE_EFFICIENCY; ASSUMP_CN_CAPACITY_TRANSPARENCY; ASSUMP_NUMERIC_ACCELERATOR_MIX; ASSUMP_INFERENCE_SHARE_NOT_FACT_60; ASSUMP_WORKLOAD_CLASS_MIX; ASSUMP_AGENTIC_CONTEXT_PENALTY</t>
        </is>
      </c>
      <c r="L748" s="3" t="inlineStr">
        <is>
          <t>Company fleet inventory, accelerator-hours or procurement/deployment records by GPU generation.</t>
        </is>
      </c>
    </row>
    <row r="749">
      <c r="A749" s="3" t="inlineStr">
        <is>
          <t>DeepSeek</t>
        </is>
      </c>
      <c r="B749" s="3" t="n">
        <v>2028</v>
      </c>
      <c r="C749" s="3" t="inlineStr">
        <is>
          <t>Bear</t>
        </is>
      </c>
      <c r="D749" s="3" t="inlineStr">
        <is>
          <t>purpose_built_accelerator_share</t>
        </is>
      </c>
      <c r="E749" s="3" t="n">
        <v>0</v>
      </c>
      <c r="F749" s="3" t="inlineStr">
        <is>
          <t>share of inference-serving accelerator load</t>
        </is>
      </c>
      <c r="G749" s="3" t="inlineStr">
        <is>
          <t>Numeric scenario</t>
        </is>
      </c>
      <c r="H749" s="3" t="inlineStr">
        <is>
          <t>1 - gpu_share</t>
        </is>
      </c>
      <c r="I749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49" s="3" t="inlineStr">
        <is>
          <t>SRC_DEEPSEEK_V3; SRC_DEEPSEEK_R1; SRC_DEEPSEEK_H800_INFERENCE; SRC_EPOCH_AI_DATA_CENTERS; ASSUMP_NUMERIC_ACCELERATOR_MIX</t>
        </is>
      </c>
      <c r="K749" s="3" t="inlineStr">
        <is>
          <t>ASSUMP_MOE_EFFICIENCY; ASSUMP_CN_CAPACITY_TRANSPARENCY; ASSUMP_NUMERIC_ACCELERATOR_MIX; ASSUMP_INFERENCE_SHARE_NOT_FACT_60; ASSUMP_WORKLOAD_CLASS_MIX; ASSUMP_AGENTIC_CONTEXT_PENALTY</t>
        </is>
      </c>
      <c r="L749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50">
      <c r="A750" s="3" t="inlineStr">
        <is>
          <t>DeepSeek</t>
        </is>
      </c>
      <c r="B750" s="3" t="n">
        <v>2028</v>
      </c>
      <c r="C750" s="3" t="inlineStr">
        <is>
          <t>Bear</t>
        </is>
      </c>
      <c r="D750" s="3" t="inlineStr">
        <is>
          <t>fleet_reference_tps_per_mw</t>
        </is>
      </c>
      <c r="E750" s="3" t="n">
        <v>162367</v>
      </c>
      <c r="F750" s="3" t="inlineStr">
        <is>
          <t>generated output tokens/sec/MW</t>
        </is>
      </c>
      <c r="G750" s="3" t="inlineStr">
        <is>
          <t>Fleet-weighted public benchmark reference</t>
        </is>
      </c>
      <c r="H750" s="3" t="inlineStr">
        <is>
          <t>h200_share*h200_workload_avg + b200_share*b200_workload_avg + gb200_share*gb200_workload_avg + purpose_built_share*purpose_workload_avg</t>
        </is>
      </c>
      <c r="I75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50" s="3" t="inlineStr">
        <is>
          <t>SRC_SEMIANALYSIS_INFERENCEX; ASSUMP_NUMERIC_ACCELERATOR_MIX; ASSUMP_WORKLOAD_CLASS_MIX; ASSUMP_AGENTIC_CONTEXT_PENALTY</t>
        </is>
      </c>
      <c r="K750" s="3" t="inlineStr">
        <is>
          <t>ASSUMP_MOE_EFFICIENCY; ASSUMP_CN_CAPACITY_TRANSPARENCY; ASSUMP_NUMERIC_ACCELERATOR_MIX; ASSUMP_INFERENCE_SHARE_NOT_FACT_60; ASSUMP_WORKLOAD_CLASS_MIX; ASSUMP_AGENTIC_CONTEXT_PENALTY</t>
        </is>
      </c>
      <c r="L750" s="3" t="inlineStr">
        <is>
          <t>Comparable production output-token throughput or a more closely matched benchmark.</t>
        </is>
      </c>
    </row>
    <row r="751">
      <c r="A751" s="3" t="inlineStr">
        <is>
          <t>DeepSeek</t>
        </is>
      </c>
      <c r="B751" s="3" t="n">
        <v>2028</v>
      </c>
      <c r="C751" s="3" t="inlineStr">
        <is>
          <t>Bear</t>
        </is>
      </c>
      <c r="D751" s="3" t="inlineStr">
        <is>
          <t>commercial_workload_fit_factor</t>
        </is>
      </c>
      <c r="E751" s="3" t="n">
        <v>0.65</v>
      </c>
      <c r="F751" s="3" t="inlineStr">
        <is>
          <t>share of public reference throughput</t>
        </is>
      </c>
      <c r="G751" s="3" t="inlineStr">
        <is>
          <t>Scenario assumption</t>
        </is>
      </c>
      <c r="H751" s="3" t="inlineStr">
        <is>
          <t>reference_serving_tps_per_mw = fleet_reference_tps_per_mw * commercial_workload_fit_factor</t>
        </is>
      </c>
      <c r="I75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51" s="3" t="inlineStr">
        <is>
          <t>SRC_SEMIANALYSIS_INFERENCEX; ASSUMP_NUMERIC_ACCELERATOR_MIX; ASSUMP_WORKLOAD_CLASS_MIX; ASSUMP_AGENTIC_CONTEXT_PENALTY</t>
        </is>
      </c>
      <c r="K751" s="3" t="inlineStr">
        <is>
          <t>ASSUMP_MOE_EFFICIENCY; ASSUMP_CN_CAPACITY_TRANSPARENCY; ASSUMP_NUMERIC_ACCELERATOR_MIX; ASSUMP_INFERENCE_SHARE_NOT_FACT_60; ASSUMP_WORKLOAD_CLASS_MIX; ASSUMP_AGENTIC_CONTEXT_PENALTY</t>
        </is>
      </c>
      <c r="L751" s="3" t="inlineStr">
        <is>
          <t>Matched commercial serving benchmark by product surface, context shape and latency SLO.</t>
        </is>
      </c>
    </row>
    <row r="752">
      <c r="A752" s="3" t="inlineStr">
        <is>
          <t>DeepSeek</t>
        </is>
      </c>
      <c r="B752" s="3" t="n">
        <v>2028</v>
      </c>
      <c r="C752" s="3" t="inlineStr">
        <is>
          <t>Bear</t>
        </is>
      </c>
      <c r="D752" s="3" t="inlineStr">
        <is>
          <t>reference_serving_tps_per_mw</t>
        </is>
      </c>
      <c r="E752" s="3" t="n">
        <v>105539</v>
      </c>
      <c r="F752" s="3" t="inlineStr">
        <is>
          <t>generated output tokens/sec/MW</t>
        </is>
      </c>
      <c r="G752" s="3" t="inlineStr">
        <is>
          <t>Workload-adjusted benchmark proxy</t>
        </is>
      </c>
      <c r="H752" s="3" t="inlineStr">
        <is>
          <t>fleet_reference_tps_per_mw * commercial_workload_fit_factor</t>
        </is>
      </c>
      <c r="I752" s="3" t="inlineStr">
        <is>
          <t>This is the coefficient used for headline token generation; each GPU's short chat, long chat and agentic TPS/MW are weighted before fleet mix and commercial fit are applied.</t>
        </is>
      </c>
      <c r="J752" s="3" t="inlineStr">
        <is>
          <t>SRC_SEMIANALYSIS_INFERENCEX; ASSUMP_NUMERIC_ACCELERATOR_MIX; ASSUMP_WORKLOAD_CLASS_MIX; ASSUMP_AGENTIC_CONTEXT_PENALTY</t>
        </is>
      </c>
      <c r="K752" s="3" t="inlineStr">
        <is>
          <t>ASSUMP_MOE_EFFICIENCY; ASSUMP_CN_CAPACITY_TRANSPARENCY; ASSUMP_NUMERIC_ACCELERATOR_MIX; ASSUMP_INFERENCE_SHARE_NOT_FACT_60; ASSUMP_WORKLOAD_CLASS_MIX; ASSUMP_AGENTIC_CONTEXT_PENALTY</t>
        </is>
      </c>
      <c r="L752" s="3" t="inlineStr">
        <is>
          <t>Provider production output-token throughput with comparable workload/SLO.</t>
        </is>
      </c>
    </row>
    <row r="753">
      <c r="A753" s="3" t="inlineStr">
        <is>
          <t>DeepSeek</t>
        </is>
      </c>
      <c r="B753" s="3" t="n">
        <v>2028</v>
      </c>
      <c r="C753" s="3" t="inlineStr">
        <is>
          <t>Bear</t>
        </is>
      </c>
      <c r="D753" s="3" t="inlineStr">
        <is>
          <t>purpose_built_tps_per_mw</t>
        </is>
      </c>
      <c r="E753" s="3" t="n">
        <v>255822</v>
      </c>
      <c r="F753" s="3" t="inlineStr">
        <is>
          <t>generated output tokens/sec/MW</t>
        </is>
      </c>
      <c r="G753" s="3" t="inlineStr">
        <is>
          <t>Conservative no-uplift proxy</t>
        </is>
      </c>
      <c r="H753" s="3" t="inlineStr">
        <is>
          <t>purpose_built_tps_per_mw = purpose_built_reference_tps_per_mw * commercial_workload_fit_factor until comparable output-token benchmark is adopted</t>
        </is>
      </c>
      <c r="I753" s="3" t="inlineStr">
        <is>
          <t>No comparable public output-token/MW row adopted; B200 public reference placeholder is used and remains editable.</t>
        </is>
      </c>
      <c r="J753" s="3" t="inlineStr">
        <is>
          <t>SRC_DEEPSEEK_V3; SRC_DEEPSEEK_R1; SRC_DEEPSEEK_H800_INFERENCE; SRC_EPOCH_AI_DATA_CENTERS; ASSUMP_NUMERIC_ACCELERATOR_MIX</t>
        </is>
      </c>
      <c r="K753" s="3" t="inlineStr">
        <is>
          <t>ASSUMP_MOE_EFFICIENCY; ASSUMP_CN_CAPACITY_TRANSPARENCY; ASSUMP_NUMERIC_ACCELERATOR_MIX; ASSUMP_INFERENCE_SHARE_NOT_FACT_60; ASSUMP_WORKLOAD_CLASS_MIX; ASSUMP_AGENTIC_CONTEXT_PENALTY</t>
        </is>
      </c>
      <c r="L753" s="3" t="inlineStr">
        <is>
          <t>Matched-workload generated-output benchmark for the provider purpose-built accelerator.</t>
        </is>
      </c>
    </row>
    <row r="754">
      <c r="A754" s="3" t="inlineStr">
        <is>
          <t>DeepSeek</t>
        </is>
      </c>
      <c r="B754" s="3" t="n">
        <v>2028</v>
      </c>
      <c r="C754" s="3" t="inlineStr">
        <is>
          <t>Bear</t>
        </is>
      </c>
      <c r="D754" s="3" t="inlineStr">
        <is>
          <t>inference_power_share</t>
        </is>
      </c>
      <c r="E754" s="3" t="n">
        <v>0.63</v>
      </c>
      <c r="F754" s="3" t="inlineStr">
        <is>
          <t>share of AI IT load</t>
        </is>
      </c>
      <c r="G754" s="3" t="inlineStr">
        <is>
          <t>Scenario allocation</t>
        </is>
      </c>
      <c r="H754" s="3" t="inlineStr">
        <is>
          <t>inference_gw = ai_it_load_gw * inference_power_share</t>
        </is>
      </c>
      <c r="I754" s="3" t="inlineStr">
        <is>
          <t>API/app availability and inference-system disclosure support higher inference share; the value remains scenario.</t>
        </is>
      </c>
      <c r="J754" s="3" t="inlineStr">
        <is>
          <t>SRC_DEEPSEEK_V3; SRC_DEEPSEEK_R1; SRC_DEEPSEEK_H800_INFERENCE; SRC_EPOCH_AI_DATA_CENTERS; ASSUMP_INFERENCE_SHARE_NOT_FACT_60</t>
        </is>
      </c>
      <c r="K754" s="3" t="inlineStr">
        <is>
          <t>ASSUMP_MOE_EFFICIENCY; ASSUMP_CN_CAPACITY_TRANSPARENCY; ASSUMP_NUMERIC_ACCELERATOR_MIX; ASSUMP_INFERENCE_SHARE_NOT_FACT_60; ASSUMP_WORKLOAD_CLASS_MIX; ASSUMP_AGENTIC_CONTEXT_PENALTY</t>
        </is>
      </c>
      <c r="L754" s="3" t="inlineStr">
        <is>
          <t>Provider-specific inference/training workload power telemetry.</t>
        </is>
      </c>
    </row>
    <row r="755">
      <c r="A755" s="3" t="inlineStr">
        <is>
          <t>DeepSeek</t>
        </is>
      </c>
      <c r="B755" s="3" t="n">
        <v>2028</v>
      </c>
      <c r="C755" s="3" t="inlineStr">
        <is>
          <t>Bear</t>
        </is>
      </c>
      <c r="D755" s="3" t="inlineStr">
        <is>
          <t>inference_gw</t>
        </is>
      </c>
      <c r="E755" s="3" t="n">
        <v>0.242</v>
      </c>
      <c r="F755" s="3" t="inlineStr">
        <is>
          <t>GW</t>
        </is>
      </c>
      <c r="G755" s="3" t="inlineStr">
        <is>
          <t>Derived formula</t>
        </is>
      </c>
      <c r="H755" s="3" t="inlineStr">
        <is>
          <t>ai_it_load_gw * inference_power_share</t>
        </is>
      </c>
      <c r="I755" s="3" t="inlineStr">
        <is>
          <t>This is the operational power eligible to become commercial generated output tokens through the selected TPS/MW proxy.</t>
        </is>
      </c>
      <c r="J755" s="3" t="inlineStr">
        <is>
          <t>SRC_DEEPSEEK_V3; SRC_DEEPSEEK_R1; SRC_DEEPSEEK_H800_INFERENCE; SRC_EPOCH_AI_DATA_CENTERS</t>
        </is>
      </c>
      <c r="K755" s="3" t="inlineStr">
        <is>
          <t>ASSUMP_MOE_EFFICIENCY; ASSUMP_CN_CAPACITY_TRANSPARENCY; ASSUMP_NUMERIC_ACCELERATOR_MIX; ASSUMP_INFERENCE_SHARE_NOT_FACT_60; ASSUMP_WORKLOAD_CLASS_MIX; ASSUMP_AGENTIC_CONTEXT_PENALTY</t>
        </is>
      </c>
      <c r="L755" s="3" t="inlineStr">
        <is>
          <t>Recompute after AI allocation or inference-share evidence changes.</t>
        </is>
      </c>
    </row>
    <row r="756">
      <c r="A756" s="3" t="inlineStr">
        <is>
          <t>DeepSeek</t>
        </is>
      </c>
      <c r="B756" s="3" t="n">
        <v>2028</v>
      </c>
      <c r="C756" s="3" t="inlineStr">
        <is>
          <t>Bear</t>
        </is>
      </c>
      <c r="D756" s="3" t="inlineStr">
        <is>
          <t>training_power_share</t>
        </is>
      </c>
      <c r="E756" s="3" t="n">
        <v>0.37</v>
      </c>
      <c r="F756" s="3" t="inlineStr">
        <is>
          <t>share of AI IT load</t>
        </is>
      </c>
      <c r="G756" s="3" t="inlineStr">
        <is>
          <t>Derived allocation</t>
        </is>
      </c>
      <c r="H756" s="3" t="inlineStr">
        <is>
          <t>1 - inference_power_share</t>
        </is>
      </c>
      <c r="I756" s="3" t="inlineStr">
        <is>
          <t>Training receives the complementary modeled AI IT allocation; it is not a disclosed company workload split.</t>
        </is>
      </c>
      <c r="J756" s="3" t="inlineStr">
        <is>
          <t>SRC_DEEPSEEK_V3; SRC_DEEPSEEK_R1; SRC_DEEPSEEK_H800_INFERENCE; SRC_EPOCH_AI_DATA_CENTERS; ASSUMP_INFERENCE_SHARE_NOT_FACT_60</t>
        </is>
      </c>
      <c r="K756" s="3" t="inlineStr">
        <is>
          <t>ASSUMP_MOE_EFFICIENCY; ASSUMP_CN_CAPACITY_TRANSPARENCY; ASSUMP_NUMERIC_ACCELERATOR_MIX; ASSUMP_INFERENCE_SHARE_NOT_FACT_60; ASSUMP_WORKLOAD_CLASS_MIX; ASSUMP_AGENTIC_CONTEXT_PENALTY</t>
        </is>
      </c>
      <c r="L756" s="3" t="inlineStr">
        <is>
          <t>Provider-specific inference/training workload power telemetry.</t>
        </is>
      </c>
    </row>
    <row r="757">
      <c r="A757" s="3" t="inlineStr">
        <is>
          <t>DeepSeek</t>
        </is>
      </c>
      <c r="B757" s="3" t="n">
        <v>2028</v>
      </c>
      <c r="C757" s="3" t="inlineStr">
        <is>
          <t>Bear</t>
        </is>
      </c>
      <c r="D757" s="3" t="inlineStr">
        <is>
          <t>training_gw</t>
        </is>
      </c>
      <c r="E757" s="3" t="n">
        <v>0.142</v>
      </c>
      <c r="F757" s="3" t="inlineStr">
        <is>
          <t>GW</t>
        </is>
      </c>
      <c r="G757" s="3" t="inlineStr">
        <is>
          <t>Derived formula</t>
        </is>
      </c>
      <c r="H757" s="3" t="inlineStr">
        <is>
          <t>ai_it_load_gw * training_power_share</t>
        </is>
      </c>
      <c r="I757" s="3" t="inlineStr">
        <is>
          <t>Training GW is shown separately so commercial inference token capacity is not overstated.</t>
        </is>
      </c>
      <c r="J757" s="3" t="inlineStr">
        <is>
          <t>SRC_DEEPSEEK_V3; SRC_DEEPSEEK_R1; SRC_DEEPSEEK_H800_INFERENCE; SRC_EPOCH_AI_DATA_CENTERS</t>
        </is>
      </c>
      <c r="K757" s="3" t="inlineStr">
        <is>
          <t>ASSUMP_MOE_EFFICIENCY; ASSUMP_CN_CAPACITY_TRANSPARENCY; ASSUMP_NUMERIC_ACCELERATOR_MIX; ASSUMP_INFERENCE_SHARE_NOT_FACT_60; ASSUMP_WORKLOAD_CLASS_MIX; ASSUMP_AGENTIC_CONTEXT_PENALTY</t>
        </is>
      </c>
      <c r="L757" s="3" t="inlineStr">
        <is>
          <t>Recompute after AI allocation or workload-split evidence changes.</t>
        </is>
      </c>
    </row>
    <row r="758">
      <c r="A758" s="3" t="inlineStr">
        <is>
          <t>DeepSeek</t>
        </is>
      </c>
      <c r="B758" s="3" t="n">
        <v>2028</v>
      </c>
      <c r="C758" s="3" t="inlineStr">
        <is>
          <t>Bear</t>
        </is>
      </c>
      <c r="D758" s="3" t="inlineStr">
        <is>
          <t>tokens_per_second_per_mw</t>
        </is>
      </c>
      <c r="E758" s="3" t="n">
        <v>105539</v>
      </c>
      <c r="F758" s="3" t="inlineStr">
        <is>
          <t>generated output tokens/sec/MW</t>
        </is>
      </c>
      <c r="G758" s="3" t="inlineStr">
        <is>
          <t>Derived estimate + benchmark calibration</t>
        </is>
      </c>
      <c r="H758" s="3" t="inlineStr">
        <is>
          <t>fleet_reference_tps_per_mw * commercial_workload_fit_factor</t>
        </is>
      </c>
      <c r="I75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58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58" s="3" t="inlineStr">
        <is>
          <t>ASSUMP_MOE_EFFICIENCY; ASSUMP_CN_CAPACITY_TRANSPARENCY; ASSUMP_NUMERIC_ACCELERATOR_MIX; ASSUMP_INFERENCE_SHARE_NOT_FACT_60; ASSUMP_WORKLOAD_CLASS_MIX; ASSUMP_AGENTIC_CONTEXT_PENALTY</t>
        </is>
      </c>
      <c r="L758" s="3" t="inlineStr">
        <is>
          <t>Comparable production output-token throughput with model, hardware, precision, ISL/OSL and SLO matched.</t>
        </is>
      </c>
    </row>
    <row r="759">
      <c r="A759" s="3" t="inlineStr">
        <is>
          <t>DeepSeek</t>
        </is>
      </c>
      <c r="B759" s="3" t="n">
        <v>2028</v>
      </c>
      <c r="C759" s="3" t="inlineStr">
        <is>
          <t>Bear</t>
        </is>
      </c>
      <c r="D759" s="3" t="inlineStr">
        <is>
          <t>inference_tokens_per_day</t>
        </is>
      </c>
      <c r="E759" s="3" t="n">
        <v>2206693843200</v>
      </c>
      <c r="F759" s="3" t="inlineStr">
        <is>
          <t>generated output tokens/day</t>
        </is>
      </c>
      <c r="G759" s="3" t="inlineStr">
        <is>
          <t>Derived headline metric</t>
        </is>
      </c>
      <c r="H759" s="3" t="inlineStr">
        <is>
          <t>inference_gw * 1000 * tokens_per_second_per_mw * 86,400</t>
        </is>
      </c>
      <c r="I759" s="3" t="inlineStr">
        <is>
          <t>Headline capacity uses no utilization, MoE, architecture or software-growth multiplier; it is not observed commercial output volume.</t>
        </is>
      </c>
      <c r="J759" s="3" t="inlineStr">
        <is>
          <t>SRC_DEEPSEEK_V3; SRC_DEEPSEEK_R1; SRC_DEEPSEEK_H800_INFERENCE; SRC_EPOCH_AI_DATA_CENTERS; SRC_SEMIANALYSIS_INFERENCEX</t>
        </is>
      </c>
      <c r="K759" s="3" t="inlineStr">
        <is>
          <t>ASSUMP_MOE_EFFICIENCY; ASSUMP_CN_CAPACITY_TRANSPARENCY; ASSUMP_NUMERIC_ACCELERATOR_MIX; ASSUMP_INFERENCE_SHARE_NOT_FACT_60; ASSUMP_WORKLOAD_CLASS_MIX; ASSUMP_AGENTIC_CONTEXT_PENALTY</t>
        </is>
      </c>
      <c r="L759" s="3" t="inlineStr">
        <is>
          <t>Provider-disclosed generated output token volume or calibrated capacity telemetry.</t>
        </is>
      </c>
    </row>
    <row r="760">
      <c r="A760" s="3" t="inlineStr">
        <is>
          <t>DeepSeek</t>
        </is>
      </c>
      <c r="B760" s="3" t="n">
        <v>2028</v>
      </c>
      <c r="C760" s="3" t="inlineStr">
        <is>
          <t>Bear</t>
        </is>
      </c>
      <c r="D760" s="3" t="inlineStr">
        <is>
          <t>inference_tokens_per_year</t>
        </is>
      </c>
      <c r="E760" s="3" t="n">
        <v>805443252768000</v>
      </c>
      <c r="F760" s="3" t="inlineStr">
        <is>
          <t>generated output tokens/year</t>
        </is>
      </c>
      <c r="G760" s="3" t="inlineStr">
        <is>
          <t>Derived headline metric</t>
        </is>
      </c>
      <c r="H760" s="3" t="inlineStr">
        <is>
          <t>inference_tokens_per_day * 365</t>
        </is>
      </c>
      <c r="I760" s="3" t="inlineStr">
        <is>
          <t>Annualized version of generated output token capacity; it is not observed annual demand or billable volume.</t>
        </is>
      </c>
      <c r="J760" s="3" t="inlineStr">
        <is>
          <t>SRC_DEEPSEEK_V3; SRC_DEEPSEEK_R1; SRC_DEEPSEEK_H800_INFERENCE; SRC_EPOCH_AI_DATA_CENTERS; SRC_SEMIANALYSIS_INFERENCEX</t>
        </is>
      </c>
      <c r="K760" s="3" t="inlineStr">
        <is>
          <t>ASSUMP_MOE_EFFICIENCY; ASSUMP_CN_CAPACITY_TRANSPARENCY; ASSUMP_NUMERIC_ACCELERATOR_MIX; ASSUMP_INFERENCE_SHARE_NOT_FACT_60; ASSUMP_WORKLOAD_CLASS_MIX; ASSUMP_AGENTIC_CONTEXT_PENALTY</t>
        </is>
      </c>
      <c r="L760" s="3" t="inlineStr">
        <is>
          <t>Provider-disclosed annual generated-output volume or metered serving telemetry.</t>
        </is>
      </c>
    </row>
    <row r="761">
      <c r="A761" s="3" t="inlineStr">
        <is>
          <t>DeepSeek</t>
        </is>
      </c>
      <c r="B761" s="3" t="n">
        <v>2029</v>
      </c>
      <c r="C761" s="3" t="inlineStr">
        <is>
          <t>Bear</t>
        </is>
      </c>
      <c r="D761" s="3" t="inlineStr">
        <is>
          <t>contracted_power_gw</t>
        </is>
      </c>
      <c r="E761" s="3" t="n">
        <v>1.475</v>
      </c>
      <c r="F761" s="3" t="inlineStr">
        <is>
          <t>GW</t>
        </is>
      </c>
      <c r="G761" s="3" t="inlineStr">
        <is>
          <t>Scenario capacity envelope</t>
        </is>
      </c>
      <c r="H761" s="3" t="inlineStr">
        <is>
          <t>linear interpolation between 2026 and 2030 company capacity endpoints</t>
        </is>
      </c>
      <c r="I761" s="3" t="inlineStr">
        <is>
          <t>Capacity is a low-transparency scenario; official infrastructure evidence supports H800 inference hardware, not company GW.</t>
        </is>
      </c>
      <c r="J761" s="3" t="inlineStr">
        <is>
          <t>SRC_DEEPSEEK_H800_INFERENCE; ASSUMP_CN_CAPACITY_TRANSPARENCY</t>
        </is>
      </c>
      <c r="K761" s="3" t="inlineStr">
        <is>
          <t>ASSUMP_MOE_EFFICIENCY; ASSUMP_CN_CAPACITY_TRANSPARENCY; ASSUMP_NUMERIC_ACCELERATOR_MIX; ASSUMP_INFERENCE_SHARE_NOT_FACT_60; ASSUMP_WORKLOAD_CLASS_MIX; ASSUMP_AGENTIC_CONTEXT_PENALTY</t>
        </is>
      </c>
      <c r="L761" s="3" t="inlineStr">
        <is>
          <t>Company/site-level committed MW/GW, interconnect and contract disclosure.</t>
        </is>
      </c>
    </row>
    <row r="762">
      <c r="A762" s="3" t="inlineStr">
        <is>
          <t>DeepSeek</t>
        </is>
      </c>
      <c r="B762" s="3" t="n">
        <v>2029</v>
      </c>
      <c r="C762" s="3" t="inlineStr">
        <is>
          <t>Bear</t>
        </is>
      </c>
      <c r="D762" s="3" t="inlineStr">
        <is>
          <t>operational_deployment_share</t>
        </is>
      </c>
      <c r="E762" s="3" t="n">
        <v>0.53423729</v>
      </c>
      <c r="F762" s="3" t="inlineStr">
        <is>
          <t>share</t>
        </is>
      </c>
      <c r="G762" s="3" t="inlineStr">
        <is>
          <t>Scenario conversion</t>
        </is>
      </c>
      <c r="H762" s="3" t="inlineStr">
        <is>
          <t>active_power_gw / contracted_power_gw</t>
        </is>
      </c>
      <c r="I762" s="3" t="inlineStr">
        <is>
          <t>This is the single explicit conversion from contracted/attributed capacity to operationally usable capacity.</t>
        </is>
      </c>
      <c r="J762" s="3" t="inlineStr">
        <is>
          <t>SRC_DEEPSEEK_H800_INFERENCE; ASSUMP_CN_CAPACITY_TRANSPARENCY</t>
        </is>
      </c>
      <c r="K762" s="3" t="inlineStr">
        <is>
          <t>ASSUMP_MOE_EFFICIENCY; ASSUMP_CN_CAPACITY_TRANSPARENCY; ASSUMP_NUMERIC_ACCELERATOR_MIX; ASSUMP_INFERENCE_SHARE_NOT_FACT_60; ASSUMP_WORKLOAD_CLASS_MIX; ASSUMP_AGENTIC_CONTEXT_PENALTY</t>
        </is>
      </c>
      <c r="L762" s="3" t="inlineStr">
        <is>
          <t>Energized operational capacity divided by contracted/attributed capacity.</t>
        </is>
      </c>
    </row>
    <row r="763">
      <c r="A763" s="3" t="inlineStr">
        <is>
          <t>DeepSeek</t>
        </is>
      </c>
      <c r="B763" s="3" t="n">
        <v>2029</v>
      </c>
      <c r="C763" s="3" t="inlineStr">
        <is>
          <t>Bear</t>
        </is>
      </c>
      <c r="D763" s="3" t="inlineStr">
        <is>
          <t>active_power_gw</t>
        </is>
      </c>
      <c r="E763" s="3" t="n">
        <v>0.788</v>
      </c>
      <c r="F763" s="3" t="inlineStr">
        <is>
          <t>GW</t>
        </is>
      </c>
      <c r="G763" s="3" t="inlineStr">
        <is>
          <t>Derived scenario</t>
        </is>
      </c>
      <c r="H763" s="3" t="inlineStr">
        <is>
          <t>contracted_power_gw * operational_deployment_share</t>
        </is>
      </c>
      <c r="I763" s="3" t="inlineStr">
        <is>
          <t>Active GW is conservative because operated cluster scale beyond disclosed infrastructure is not public.</t>
        </is>
      </c>
      <c r="J763" s="3" t="inlineStr">
        <is>
          <t>SRC_DEEPSEEK_H800_INFERENCE; ASSUMP_CN_CAPACITY_TRANSPARENCY</t>
        </is>
      </c>
      <c r="K763" s="3" t="inlineStr">
        <is>
          <t>ASSUMP_MOE_EFFICIENCY; ASSUMP_CN_CAPACITY_TRANSPARENCY; ASSUMP_NUMERIC_ACCELERATOR_MIX; ASSUMP_INFERENCE_SHARE_NOT_FACT_60; ASSUMP_WORKLOAD_CLASS_MIX; ASSUMP_AGENTIC_CONTEXT_PENALTY</t>
        </is>
      </c>
      <c r="L763" s="3" t="inlineStr">
        <is>
          <t>Energization dates, accelerator deliveries and operational powered-rack telemetry.</t>
        </is>
      </c>
    </row>
    <row r="764">
      <c r="A764" s="3" t="inlineStr">
        <is>
          <t>DeepSeek</t>
        </is>
      </c>
      <c r="B764" s="3" t="n">
        <v>2029</v>
      </c>
      <c r="C764" s="3" t="inlineStr">
        <is>
          <t>Bear</t>
        </is>
      </c>
      <c r="D764" s="3" t="inlineStr">
        <is>
          <t>pue</t>
        </is>
      </c>
      <c r="E764" s="3" t="n">
        <v>1.24</v>
      </c>
      <c r="F764" s="3" t="inlineStr">
        <is>
          <t>ratio</t>
        </is>
      </c>
      <c r="G764" s="3" t="inlineStr">
        <is>
          <t>Scenario parameter</t>
        </is>
      </c>
      <c r="H764" s="3" t="inlineStr">
        <is>
          <t>it_load_gw = active_power_gw / pue</t>
        </is>
      </c>
      <c r="I764" s="3" t="inlineStr">
        <is>
          <t>No provider-wide site-level PUE is used as a disclosed fact; PUE represents facility-to-IT conversion within the scenario.</t>
        </is>
      </c>
      <c r="J764" s="3" t="inlineStr">
        <is>
          <t>ASSUMP_POWER_RAMP</t>
        </is>
      </c>
      <c r="K764" s="3" t="inlineStr">
        <is>
          <t>ASSUMP_MOE_EFFICIENCY; ASSUMP_CN_CAPACITY_TRANSPARENCY; ASSUMP_NUMERIC_ACCELERATOR_MIX; ASSUMP_INFERENCE_SHARE_NOT_FACT_60; ASSUMP_WORKLOAD_CLASS_MIX; ASSUMP_AGENTIC_CONTEXT_PENALTY</t>
        </is>
      </c>
      <c r="L764" s="3" t="inlineStr">
        <is>
          <t>Site-level measured PUE matched to attributed AI capacity.</t>
        </is>
      </c>
    </row>
    <row r="765">
      <c r="A765" s="3" t="inlineStr">
        <is>
          <t>DeepSeek</t>
        </is>
      </c>
      <c r="B765" s="3" t="n">
        <v>2029</v>
      </c>
      <c r="C765" s="3" t="inlineStr">
        <is>
          <t>Bear</t>
        </is>
      </c>
      <c r="D765" s="3" t="inlineStr">
        <is>
          <t>it_load_gw</t>
        </is>
      </c>
      <c r="E765" s="3" t="n">
        <v>0.635</v>
      </c>
      <c r="F765" s="3" t="inlineStr">
        <is>
          <t>GW</t>
        </is>
      </c>
      <c r="G765" s="3" t="inlineStr">
        <is>
          <t>Derived formula</t>
        </is>
      </c>
      <c r="H765" s="3" t="inlineStr">
        <is>
          <t>active_power_gw / pue</t>
        </is>
      </c>
      <c r="I765" s="3" t="inlineStr">
        <is>
          <t>Facility power is converted to IT-deliverable power before attributing AI workloads.</t>
        </is>
      </c>
      <c r="J765" s="3" t="inlineStr">
        <is>
          <t>SRC_DEEPSEEK_H800_INFERENCE; ASSUMP_CN_CAPACITY_TRANSPARENCY</t>
        </is>
      </c>
      <c r="K765" s="3" t="inlineStr">
        <is>
          <t>ASSUMP_MOE_EFFICIENCY; ASSUMP_CN_CAPACITY_TRANSPARENCY; ASSUMP_NUMERIC_ACCELERATOR_MIX; ASSUMP_INFERENCE_SHARE_NOT_FACT_60; ASSUMP_WORKLOAD_CLASS_MIX; ASSUMP_AGENTIC_CONTEXT_PENALTY</t>
        </is>
      </c>
      <c r="L765" s="3" t="inlineStr">
        <is>
          <t>Recompute once active power and PUE become site-observable.</t>
        </is>
      </c>
    </row>
    <row r="766">
      <c r="A766" s="3" t="inlineStr">
        <is>
          <t>DeepSeek</t>
        </is>
      </c>
      <c r="B766" s="3" t="n">
        <v>2029</v>
      </c>
      <c r="C766" s="3" t="inlineStr">
        <is>
          <t>Bear</t>
        </is>
      </c>
      <c r="D766" s="3" t="inlineStr">
        <is>
          <t>ai_workload_share</t>
        </is>
      </c>
      <c r="E766" s="3" t="n">
        <v>0.82</v>
      </c>
      <c r="F766" s="3" t="inlineStr">
        <is>
          <t>share</t>
        </is>
      </c>
      <c r="G766" s="3" t="inlineStr">
        <is>
          <t>Scenario allocation</t>
        </is>
      </c>
      <c r="H766" s="3" t="inlineStr">
        <is>
          <t>ai_it_load_gw = it_load_gw * ai_workload_share</t>
        </is>
      </c>
      <c r="I766" s="3" t="inlineStr">
        <is>
          <t>DeepSeek-operated service capacity is modeled as AI-focused, reduced for reserve and ancillary processing.</t>
        </is>
      </c>
      <c r="J766" s="3" t="inlineStr">
        <is>
          <t>SRC_DEEPSEEK_V3; SRC_DEEPSEEK_R1; SRC_DEEPSEEK_H800_INFERENCE; SRC_EPOCH_AI_DATA_CENTERS</t>
        </is>
      </c>
      <c r="K766" s="3" t="inlineStr">
        <is>
          <t>ASSUMP_MOE_EFFICIENCY; ASSUMP_CN_CAPACITY_TRANSPARENCY; ASSUMP_NUMERIC_ACCELERATOR_MIX; ASSUMP_INFERENCE_SHARE_NOT_FACT_60; ASSUMP_WORKLOAD_CLASS_MIX; ASSUMP_AGENTIC_CONTEXT_PENALTY</t>
        </is>
      </c>
      <c r="L766" s="3" t="inlineStr">
        <is>
          <t>Model-owner AI workload allocation or cluster scheduling telemetry.</t>
        </is>
      </c>
    </row>
    <row r="767">
      <c r="A767" s="3" t="inlineStr">
        <is>
          <t>DeepSeek</t>
        </is>
      </c>
      <c r="B767" s="3" t="n">
        <v>2029</v>
      </c>
      <c r="C767" s="3" t="inlineStr">
        <is>
          <t>Bear</t>
        </is>
      </c>
      <c r="D767" s="3" t="inlineStr">
        <is>
          <t>ai_it_load_gw</t>
        </is>
      </c>
      <c r="E767" s="3" t="n">
        <v>0.521</v>
      </c>
      <c r="F767" s="3" t="inlineStr">
        <is>
          <t>GW</t>
        </is>
      </c>
      <c r="G767" s="3" t="inlineStr">
        <is>
          <t>Derived formula</t>
        </is>
      </c>
      <c r="H767" s="3" t="inlineStr">
        <is>
          <t>it_load_gw * ai_workload_share</t>
        </is>
      </c>
      <c r="I767" s="3" t="inlineStr">
        <is>
          <t>Only the AI-attributed portion of IT load enters training/inference allocation.</t>
        </is>
      </c>
      <c r="J767" s="3" t="inlineStr">
        <is>
          <t>SRC_DEEPSEEK_V3; SRC_DEEPSEEK_R1; SRC_DEEPSEEK_H800_INFERENCE; SRC_EPOCH_AI_DATA_CENTERS</t>
        </is>
      </c>
      <c r="K767" s="3" t="inlineStr">
        <is>
          <t>ASSUMP_MOE_EFFICIENCY; ASSUMP_CN_CAPACITY_TRANSPARENCY; ASSUMP_NUMERIC_ACCELERATOR_MIX; ASSUMP_INFERENCE_SHARE_NOT_FACT_60; ASSUMP_WORKLOAD_CLASS_MIX; ASSUMP_AGENTIC_CONTEXT_PENALTY</t>
        </is>
      </c>
      <c r="L767" s="3" t="inlineStr">
        <is>
          <t>Recompute after ai_workload_share is replaced by telemetry.</t>
        </is>
      </c>
    </row>
    <row r="768">
      <c r="A768" s="3" t="inlineStr">
        <is>
          <t>DeepSeek</t>
        </is>
      </c>
      <c r="B768" s="3" t="n">
        <v>2029</v>
      </c>
      <c r="C768" s="3" t="inlineStr">
        <is>
          <t>Bear</t>
        </is>
      </c>
      <c r="D768" s="3" t="inlineStr">
        <is>
          <t>gpu_share</t>
        </is>
      </c>
      <c r="E768" s="3" t="n">
        <v>1</v>
      </c>
      <c r="F768" s="3" t="inlineStr">
        <is>
          <t>share of inference-serving accelerator load</t>
        </is>
      </c>
      <c r="G768" s="3" t="inlineStr">
        <is>
          <t>Numeric scenario</t>
        </is>
      </c>
      <c r="H768" s="3" t="inlineStr">
        <is>
          <t>gpu_share interpolated from company 2026/2030 accelerator-mix endpoints</t>
        </is>
      </c>
      <c r="I768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68" s="3" t="inlineStr">
        <is>
          <t>SRC_DEEPSEEK_V3; SRC_DEEPSEEK_R1; SRC_DEEPSEEK_H800_INFERENCE; SRC_EPOCH_AI_DATA_CENTERS; ASSUMP_NUMERIC_ACCELERATOR_MIX</t>
        </is>
      </c>
      <c r="K768" s="3" t="inlineStr">
        <is>
          <t>ASSUMP_MOE_EFFICIENCY; ASSUMP_CN_CAPACITY_TRANSPARENCY; ASSUMP_NUMERIC_ACCELERATOR_MIX; ASSUMP_INFERENCE_SHARE_NOT_FACT_60; ASSUMP_WORKLOAD_CLASS_MIX; ASSUMP_AGENTIC_CONTEXT_PENALTY</t>
        </is>
      </c>
      <c r="L768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69">
      <c r="A769" s="3" t="inlineStr">
        <is>
          <t>DeepSeek</t>
        </is>
      </c>
      <c r="B769" s="3" t="n">
        <v>2029</v>
      </c>
      <c r="C769" s="3" t="inlineStr">
        <is>
          <t>Bear</t>
        </is>
      </c>
      <c r="D769" s="3" t="inlineStr">
        <is>
          <t>h200_share</t>
        </is>
      </c>
      <c r="E769" s="3" t="n">
        <v>0.213</v>
      </c>
      <c r="F769" s="3" t="inlineStr">
        <is>
          <t>share of inference-serving accelerator load</t>
        </is>
      </c>
      <c r="G769" s="3" t="inlineStr">
        <is>
          <t>Editable numeric scenario</t>
        </is>
      </c>
      <c r="H769" s="3" t="inlineStr">
        <is>
          <t>h200_share = gpu_share * default_gpu_generation_mix_h200</t>
        </is>
      </c>
      <c r="I769" s="3" t="inlineStr">
        <is>
          <t>Default GPU-generation migration assumption; executive workbook allows later manual replacement by company/year/scenario.</t>
        </is>
      </c>
      <c r="J769" s="3" t="inlineStr">
        <is>
          <t>SRC_SEMIANALYSIS_INFERENCEX; ASSUMP_NUMERIC_ACCELERATOR_MIX</t>
        </is>
      </c>
      <c r="K769" s="3" t="inlineStr">
        <is>
          <t>ASSUMP_MOE_EFFICIENCY; ASSUMP_CN_CAPACITY_TRANSPARENCY; ASSUMP_NUMERIC_ACCELERATOR_MIX; ASSUMP_INFERENCE_SHARE_NOT_FACT_60; ASSUMP_WORKLOAD_CLASS_MIX; ASSUMP_AGENTIC_CONTEXT_PENALTY</t>
        </is>
      </c>
      <c r="L769" s="3" t="inlineStr">
        <is>
          <t>Company fleet inventory, accelerator-hours or procurement/deployment records by GPU generation.</t>
        </is>
      </c>
    </row>
    <row r="770">
      <c r="A770" s="3" t="inlineStr">
        <is>
          <t>DeepSeek</t>
        </is>
      </c>
      <c r="B770" s="3" t="n">
        <v>2029</v>
      </c>
      <c r="C770" s="3" t="inlineStr">
        <is>
          <t>Bear</t>
        </is>
      </c>
      <c r="D770" s="3" t="inlineStr">
        <is>
          <t>b200_share</t>
        </is>
      </c>
      <c r="E770" s="3" t="n">
        <v>0.362</v>
      </c>
      <c r="F770" s="3" t="inlineStr">
        <is>
          <t>share of inference-serving accelerator load</t>
        </is>
      </c>
      <c r="G770" s="3" t="inlineStr">
        <is>
          <t>Editable numeric scenario</t>
        </is>
      </c>
      <c r="H770" s="3" t="inlineStr">
        <is>
          <t>b200_share = gpu_share * default_gpu_generation_mix_b200</t>
        </is>
      </c>
      <c r="I770" s="3" t="inlineStr">
        <is>
          <t>Default GPU-generation migration assumption; executive workbook allows later manual replacement by company/year/scenario.</t>
        </is>
      </c>
      <c r="J770" s="3" t="inlineStr">
        <is>
          <t>SRC_SEMIANALYSIS_INFERENCEX; ASSUMP_NUMERIC_ACCELERATOR_MIX</t>
        </is>
      </c>
      <c r="K770" s="3" t="inlineStr">
        <is>
          <t>ASSUMP_MOE_EFFICIENCY; ASSUMP_CN_CAPACITY_TRANSPARENCY; ASSUMP_NUMERIC_ACCELERATOR_MIX; ASSUMP_INFERENCE_SHARE_NOT_FACT_60; ASSUMP_WORKLOAD_CLASS_MIX; ASSUMP_AGENTIC_CONTEXT_PENALTY</t>
        </is>
      </c>
      <c r="L770" s="3" t="inlineStr">
        <is>
          <t>Company fleet inventory, accelerator-hours or procurement/deployment records by GPU generation.</t>
        </is>
      </c>
    </row>
    <row r="771">
      <c r="A771" s="3" t="inlineStr">
        <is>
          <t>DeepSeek</t>
        </is>
      </c>
      <c r="B771" s="3" t="n">
        <v>2029</v>
      </c>
      <c r="C771" s="3" t="inlineStr">
        <is>
          <t>Bear</t>
        </is>
      </c>
      <c r="D771" s="3" t="inlineStr">
        <is>
          <t>gb200_share</t>
        </is>
      </c>
      <c r="E771" s="3" t="n">
        <v>0.425</v>
      </c>
      <c r="F771" s="3" t="inlineStr">
        <is>
          <t>share of inference-serving accelerator load</t>
        </is>
      </c>
      <c r="G771" s="3" t="inlineStr">
        <is>
          <t>Editable numeric scenario</t>
        </is>
      </c>
      <c r="H771" s="3" t="inlineStr">
        <is>
          <t>gb200_share = gpu_share * default_gpu_generation_mix_gb200</t>
        </is>
      </c>
      <c r="I771" s="3" t="inlineStr">
        <is>
          <t>Default GPU-generation migration assumption; executive workbook allows later manual replacement by company/year/scenario.</t>
        </is>
      </c>
      <c r="J771" s="3" t="inlineStr">
        <is>
          <t>SRC_SEMIANALYSIS_INFERENCEX; ASSUMP_NUMERIC_ACCELERATOR_MIX</t>
        </is>
      </c>
      <c r="K771" s="3" t="inlineStr">
        <is>
          <t>ASSUMP_MOE_EFFICIENCY; ASSUMP_CN_CAPACITY_TRANSPARENCY; ASSUMP_NUMERIC_ACCELERATOR_MIX; ASSUMP_INFERENCE_SHARE_NOT_FACT_60; ASSUMP_WORKLOAD_CLASS_MIX; ASSUMP_AGENTIC_CONTEXT_PENALTY</t>
        </is>
      </c>
      <c r="L771" s="3" t="inlineStr">
        <is>
          <t>Company fleet inventory, accelerator-hours or procurement/deployment records by GPU generation.</t>
        </is>
      </c>
    </row>
    <row r="772">
      <c r="A772" s="3" t="inlineStr">
        <is>
          <t>DeepSeek</t>
        </is>
      </c>
      <c r="B772" s="3" t="n">
        <v>2029</v>
      </c>
      <c r="C772" s="3" t="inlineStr">
        <is>
          <t>Bear</t>
        </is>
      </c>
      <c r="D772" s="3" t="inlineStr">
        <is>
          <t>purpose_built_accelerator_share</t>
        </is>
      </c>
      <c r="E772" s="3" t="n">
        <v>0</v>
      </c>
      <c r="F772" s="3" t="inlineStr">
        <is>
          <t>share of inference-serving accelerator load</t>
        </is>
      </c>
      <c r="G772" s="3" t="inlineStr">
        <is>
          <t>Numeric scenario</t>
        </is>
      </c>
      <c r="H772" s="3" t="inlineStr">
        <is>
          <t>1 - gpu_share</t>
        </is>
      </c>
      <c r="I772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72" s="3" t="inlineStr">
        <is>
          <t>SRC_DEEPSEEK_V3; SRC_DEEPSEEK_R1; SRC_DEEPSEEK_H800_INFERENCE; SRC_EPOCH_AI_DATA_CENTERS; ASSUMP_NUMERIC_ACCELERATOR_MIX</t>
        </is>
      </c>
      <c r="K772" s="3" t="inlineStr">
        <is>
          <t>ASSUMP_MOE_EFFICIENCY; ASSUMP_CN_CAPACITY_TRANSPARENCY; ASSUMP_NUMERIC_ACCELERATOR_MIX; ASSUMP_INFERENCE_SHARE_NOT_FACT_60; ASSUMP_WORKLOAD_CLASS_MIX; ASSUMP_AGENTIC_CONTEXT_PENALTY</t>
        </is>
      </c>
      <c r="L772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73">
      <c r="A773" s="3" t="inlineStr">
        <is>
          <t>DeepSeek</t>
        </is>
      </c>
      <c r="B773" s="3" t="n">
        <v>2029</v>
      </c>
      <c r="C773" s="3" t="inlineStr">
        <is>
          <t>Bear</t>
        </is>
      </c>
      <c r="D773" s="3" t="inlineStr">
        <is>
          <t>fleet_reference_tps_per_mw</t>
        </is>
      </c>
      <c r="E773" s="3" t="n">
        <v>173214</v>
      </c>
      <c r="F773" s="3" t="inlineStr">
        <is>
          <t>generated output tokens/sec/MW</t>
        </is>
      </c>
      <c r="G773" s="3" t="inlineStr">
        <is>
          <t>Fleet-weighted public benchmark reference</t>
        </is>
      </c>
      <c r="H773" s="3" t="inlineStr">
        <is>
          <t>h200_share*h200_workload_avg + b200_share*b200_workload_avg + gb200_share*gb200_workload_avg + purpose_built_share*purpose_workload_avg</t>
        </is>
      </c>
      <c r="I77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73" s="3" t="inlineStr">
        <is>
          <t>SRC_SEMIANALYSIS_INFERENCEX; ASSUMP_NUMERIC_ACCELERATOR_MIX; ASSUMP_WORKLOAD_CLASS_MIX; ASSUMP_AGENTIC_CONTEXT_PENALTY</t>
        </is>
      </c>
      <c r="K773" s="3" t="inlineStr">
        <is>
          <t>ASSUMP_MOE_EFFICIENCY; ASSUMP_CN_CAPACITY_TRANSPARENCY; ASSUMP_NUMERIC_ACCELERATOR_MIX; ASSUMP_INFERENCE_SHARE_NOT_FACT_60; ASSUMP_WORKLOAD_CLASS_MIX; ASSUMP_AGENTIC_CONTEXT_PENALTY</t>
        </is>
      </c>
      <c r="L773" s="3" t="inlineStr">
        <is>
          <t>Comparable production output-token throughput or a more closely matched benchmark.</t>
        </is>
      </c>
    </row>
    <row r="774">
      <c r="A774" s="3" t="inlineStr">
        <is>
          <t>DeepSeek</t>
        </is>
      </c>
      <c r="B774" s="3" t="n">
        <v>2029</v>
      </c>
      <c r="C774" s="3" t="inlineStr">
        <is>
          <t>Bear</t>
        </is>
      </c>
      <c r="D774" s="3" t="inlineStr">
        <is>
          <t>commercial_workload_fit_factor</t>
        </is>
      </c>
      <c r="E774" s="3" t="n">
        <v>0.65</v>
      </c>
      <c r="F774" s="3" t="inlineStr">
        <is>
          <t>share of public reference throughput</t>
        </is>
      </c>
      <c r="G774" s="3" t="inlineStr">
        <is>
          <t>Scenario assumption</t>
        </is>
      </c>
      <c r="H774" s="3" t="inlineStr">
        <is>
          <t>reference_serving_tps_per_mw = fleet_reference_tps_per_mw * commercial_workload_fit_factor</t>
        </is>
      </c>
      <c r="I77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74" s="3" t="inlineStr">
        <is>
          <t>SRC_SEMIANALYSIS_INFERENCEX; ASSUMP_NUMERIC_ACCELERATOR_MIX; ASSUMP_WORKLOAD_CLASS_MIX; ASSUMP_AGENTIC_CONTEXT_PENALTY</t>
        </is>
      </c>
      <c r="K774" s="3" t="inlineStr">
        <is>
          <t>ASSUMP_MOE_EFFICIENCY; ASSUMP_CN_CAPACITY_TRANSPARENCY; ASSUMP_NUMERIC_ACCELERATOR_MIX; ASSUMP_INFERENCE_SHARE_NOT_FACT_60; ASSUMP_WORKLOAD_CLASS_MIX; ASSUMP_AGENTIC_CONTEXT_PENALTY</t>
        </is>
      </c>
      <c r="L774" s="3" t="inlineStr">
        <is>
          <t>Matched commercial serving benchmark by product surface, context shape and latency SLO.</t>
        </is>
      </c>
    </row>
    <row r="775">
      <c r="A775" s="3" t="inlineStr">
        <is>
          <t>DeepSeek</t>
        </is>
      </c>
      <c r="B775" s="3" t="n">
        <v>2029</v>
      </c>
      <c r="C775" s="3" t="inlineStr">
        <is>
          <t>Bear</t>
        </is>
      </c>
      <c r="D775" s="3" t="inlineStr">
        <is>
          <t>reference_serving_tps_per_mw</t>
        </is>
      </c>
      <c r="E775" s="3" t="n">
        <v>112589</v>
      </c>
      <c r="F775" s="3" t="inlineStr">
        <is>
          <t>generated output tokens/sec/MW</t>
        </is>
      </c>
      <c r="G775" s="3" t="inlineStr">
        <is>
          <t>Workload-adjusted benchmark proxy</t>
        </is>
      </c>
      <c r="H775" s="3" t="inlineStr">
        <is>
          <t>fleet_reference_tps_per_mw * commercial_workload_fit_factor</t>
        </is>
      </c>
      <c r="I775" s="3" t="inlineStr">
        <is>
          <t>This is the coefficient used for headline token generation; each GPU's short chat, long chat and agentic TPS/MW are weighted before fleet mix and commercial fit are applied.</t>
        </is>
      </c>
      <c r="J775" s="3" t="inlineStr">
        <is>
          <t>SRC_SEMIANALYSIS_INFERENCEX; ASSUMP_NUMERIC_ACCELERATOR_MIX; ASSUMP_WORKLOAD_CLASS_MIX; ASSUMP_AGENTIC_CONTEXT_PENALTY</t>
        </is>
      </c>
      <c r="K775" s="3" t="inlineStr">
        <is>
          <t>ASSUMP_MOE_EFFICIENCY; ASSUMP_CN_CAPACITY_TRANSPARENCY; ASSUMP_NUMERIC_ACCELERATOR_MIX; ASSUMP_INFERENCE_SHARE_NOT_FACT_60; ASSUMP_WORKLOAD_CLASS_MIX; ASSUMP_AGENTIC_CONTEXT_PENALTY</t>
        </is>
      </c>
      <c r="L775" s="3" t="inlineStr">
        <is>
          <t>Provider production output-token throughput with comparable workload/SLO.</t>
        </is>
      </c>
    </row>
    <row r="776">
      <c r="A776" s="3" t="inlineStr">
        <is>
          <t>DeepSeek</t>
        </is>
      </c>
      <c r="B776" s="3" t="n">
        <v>2029</v>
      </c>
      <c r="C776" s="3" t="inlineStr">
        <is>
          <t>Bear</t>
        </is>
      </c>
      <c r="D776" s="3" t="inlineStr">
        <is>
          <t>purpose_built_tps_per_mw</t>
        </is>
      </c>
      <c r="E776" s="3" t="n">
        <v>255822</v>
      </c>
      <c r="F776" s="3" t="inlineStr">
        <is>
          <t>generated output tokens/sec/MW</t>
        </is>
      </c>
      <c r="G776" s="3" t="inlineStr">
        <is>
          <t>Conservative no-uplift proxy</t>
        </is>
      </c>
      <c r="H776" s="3" t="inlineStr">
        <is>
          <t>purpose_built_tps_per_mw = purpose_built_reference_tps_per_mw * commercial_workload_fit_factor until comparable output-token benchmark is adopted</t>
        </is>
      </c>
      <c r="I776" s="3" t="inlineStr">
        <is>
          <t>No comparable public output-token/MW row adopted; B200 public reference placeholder is used and remains editable.</t>
        </is>
      </c>
      <c r="J776" s="3" t="inlineStr">
        <is>
          <t>SRC_DEEPSEEK_V3; SRC_DEEPSEEK_R1; SRC_DEEPSEEK_H800_INFERENCE; SRC_EPOCH_AI_DATA_CENTERS; ASSUMP_NUMERIC_ACCELERATOR_MIX</t>
        </is>
      </c>
      <c r="K776" s="3" t="inlineStr">
        <is>
          <t>ASSUMP_MOE_EFFICIENCY; ASSUMP_CN_CAPACITY_TRANSPARENCY; ASSUMP_NUMERIC_ACCELERATOR_MIX; ASSUMP_INFERENCE_SHARE_NOT_FACT_60; ASSUMP_WORKLOAD_CLASS_MIX; ASSUMP_AGENTIC_CONTEXT_PENALTY</t>
        </is>
      </c>
      <c r="L776" s="3" t="inlineStr">
        <is>
          <t>Matched-workload generated-output benchmark for the provider purpose-built accelerator.</t>
        </is>
      </c>
    </row>
    <row r="777">
      <c r="A777" s="3" t="inlineStr">
        <is>
          <t>DeepSeek</t>
        </is>
      </c>
      <c r="B777" s="3" t="n">
        <v>2029</v>
      </c>
      <c r="C777" s="3" t="inlineStr">
        <is>
          <t>Bear</t>
        </is>
      </c>
      <c r="D777" s="3" t="inlineStr">
        <is>
          <t>inference_power_share</t>
        </is>
      </c>
      <c r="E777" s="3" t="n">
        <v>0.675</v>
      </c>
      <c r="F777" s="3" t="inlineStr">
        <is>
          <t>share of AI IT load</t>
        </is>
      </c>
      <c r="G777" s="3" t="inlineStr">
        <is>
          <t>Scenario allocation</t>
        </is>
      </c>
      <c r="H777" s="3" t="inlineStr">
        <is>
          <t>inference_gw = ai_it_load_gw * inference_power_share</t>
        </is>
      </c>
      <c r="I777" s="3" t="inlineStr">
        <is>
          <t>API/app availability and inference-system disclosure support higher inference share; the value remains scenario.</t>
        </is>
      </c>
      <c r="J777" s="3" t="inlineStr">
        <is>
          <t>SRC_DEEPSEEK_V3; SRC_DEEPSEEK_R1; SRC_DEEPSEEK_H800_INFERENCE; SRC_EPOCH_AI_DATA_CENTERS; ASSUMP_INFERENCE_SHARE_NOT_FACT_60</t>
        </is>
      </c>
      <c r="K777" s="3" t="inlineStr">
        <is>
          <t>ASSUMP_MOE_EFFICIENCY; ASSUMP_CN_CAPACITY_TRANSPARENCY; ASSUMP_NUMERIC_ACCELERATOR_MIX; ASSUMP_INFERENCE_SHARE_NOT_FACT_60; ASSUMP_WORKLOAD_CLASS_MIX; ASSUMP_AGENTIC_CONTEXT_PENALTY</t>
        </is>
      </c>
      <c r="L777" s="3" t="inlineStr">
        <is>
          <t>Provider-specific inference/training workload power telemetry.</t>
        </is>
      </c>
    </row>
    <row r="778">
      <c r="A778" s="3" t="inlineStr">
        <is>
          <t>DeepSeek</t>
        </is>
      </c>
      <c r="B778" s="3" t="n">
        <v>2029</v>
      </c>
      <c r="C778" s="3" t="inlineStr">
        <is>
          <t>Bear</t>
        </is>
      </c>
      <c r="D778" s="3" t="inlineStr">
        <is>
          <t>inference_gw</t>
        </is>
      </c>
      <c r="E778" s="3" t="n">
        <v>0.352</v>
      </c>
      <c r="F778" s="3" t="inlineStr">
        <is>
          <t>GW</t>
        </is>
      </c>
      <c r="G778" s="3" t="inlineStr">
        <is>
          <t>Derived formula</t>
        </is>
      </c>
      <c r="H778" s="3" t="inlineStr">
        <is>
          <t>ai_it_load_gw * inference_power_share</t>
        </is>
      </c>
      <c r="I778" s="3" t="inlineStr">
        <is>
          <t>This is the operational power eligible to become commercial generated output tokens through the selected TPS/MW proxy.</t>
        </is>
      </c>
      <c r="J778" s="3" t="inlineStr">
        <is>
          <t>SRC_DEEPSEEK_V3; SRC_DEEPSEEK_R1; SRC_DEEPSEEK_H800_INFERENCE; SRC_EPOCH_AI_DATA_CENTERS</t>
        </is>
      </c>
      <c r="K778" s="3" t="inlineStr">
        <is>
          <t>ASSUMP_MOE_EFFICIENCY; ASSUMP_CN_CAPACITY_TRANSPARENCY; ASSUMP_NUMERIC_ACCELERATOR_MIX; ASSUMP_INFERENCE_SHARE_NOT_FACT_60; ASSUMP_WORKLOAD_CLASS_MIX; ASSUMP_AGENTIC_CONTEXT_PENALTY</t>
        </is>
      </c>
      <c r="L778" s="3" t="inlineStr">
        <is>
          <t>Recompute after AI allocation or inference-share evidence changes.</t>
        </is>
      </c>
    </row>
    <row r="779">
      <c r="A779" s="3" t="inlineStr">
        <is>
          <t>DeepSeek</t>
        </is>
      </c>
      <c r="B779" s="3" t="n">
        <v>2029</v>
      </c>
      <c r="C779" s="3" t="inlineStr">
        <is>
          <t>Bear</t>
        </is>
      </c>
      <c r="D779" s="3" t="inlineStr">
        <is>
          <t>training_power_share</t>
        </is>
      </c>
      <c r="E779" s="3" t="n">
        <v>0.325</v>
      </c>
      <c r="F779" s="3" t="inlineStr">
        <is>
          <t>share of AI IT load</t>
        </is>
      </c>
      <c r="G779" s="3" t="inlineStr">
        <is>
          <t>Derived allocation</t>
        </is>
      </c>
      <c r="H779" s="3" t="inlineStr">
        <is>
          <t>1 - inference_power_share</t>
        </is>
      </c>
      <c r="I779" s="3" t="inlineStr">
        <is>
          <t>Training receives the complementary modeled AI IT allocation; it is not a disclosed company workload split.</t>
        </is>
      </c>
      <c r="J779" s="3" t="inlineStr">
        <is>
          <t>SRC_DEEPSEEK_V3; SRC_DEEPSEEK_R1; SRC_DEEPSEEK_H800_INFERENCE; SRC_EPOCH_AI_DATA_CENTERS; ASSUMP_INFERENCE_SHARE_NOT_FACT_60</t>
        </is>
      </c>
      <c r="K779" s="3" t="inlineStr">
        <is>
          <t>ASSUMP_MOE_EFFICIENCY; ASSUMP_CN_CAPACITY_TRANSPARENCY; ASSUMP_NUMERIC_ACCELERATOR_MIX; ASSUMP_INFERENCE_SHARE_NOT_FACT_60; ASSUMP_WORKLOAD_CLASS_MIX; ASSUMP_AGENTIC_CONTEXT_PENALTY</t>
        </is>
      </c>
      <c r="L779" s="3" t="inlineStr">
        <is>
          <t>Provider-specific inference/training workload power telemetry.</t>
        </is>
      </c>
    </row>
    <row r="780">
      <c r="A780" s="3" t="inlineStr">
        <is>
          <t>DeepSeek</t>
        </is>
      </c>
      <c r="B780" s="3" t="n">
        <v>2029</v>
      </c>
      <c r="C780" s="3" t="inlineStr">
        <is>
          <t>Bear</t>
        </is>
      </c>
      <c r="D780" s="3" t="inlineStr">
        <is>
          <t>training_gw</t>
        </is>
      </c>
      <c r="E780" s="3" t="n">
        <v>0.169</v>
      </c>
      <c r="F780" s="3" t="inlineStr">
        <is>
          <t>GW</t>
        </is>
      </c>
      <c r="G780" s="3" t="inlineStr">
        <is>
          <t>Derived formula</t>
        </is>
      </c>
      <c r="H780" s="3" t="inlineStr">
        <is>
          <t>ai_it_load_gw * training_power_share</t>
        </is>
      </c>
      <c r="I780" s="3" t="inlineStr">
        <is>
          <t>Training GW is shown separately so commercial inference token capacity is not overstated.</t>
        </is>
      </c>
      <c r="J780" s="3" t="inlineStr">
        <is>
          <t>SRC_DEEPSEEK_V3; SRC_DEEPSEEK_R1; SRC_DEEPSEEK_H800_INFERENCE; SRC_EPOCH_AI_DATA_CENTERS</t>
        </is>
      </c>
      <c r="K780" s="3" t="inlineStr">
        <is>
          <t>ASSUMP_MOE_EFFICIENCY; ASSUMP_CN_CAPACITY_TRANSPARENCY; ASSUMP_NUMERIC_ACCELERATOR_MIX; ASSUMP_INFERENCE_SHARE_NOT_FACT_60; ASSUMP_WORKLOAD_CLASS_MIX; ASSUMP_AGENTIC_CONTEXT_PENALTY</t>
        </is>
      </c>
      <c r="L780" s="3" t="inlineStr">
        <is>
          <t>Recompute after AI allocation or workload-split evidence changes.</t>
        </is>
      </c>
    </row>
    <row r="781">
      <c r="A781" s="3" t="inlineStr">
        <is>
          <t>DeepSeek</t>
        </is>
      </c>
      <c r="B781" s="3" t="n">
        <v>2029</v>
      </c>
      <c r="C781" s="3" t="inlineStr">
        <is>
          <t>Bear</t>
        </is>
      </c>
      <c r="D781" s="3" t="inlineStr">
        <is>
          <t>tokens_per_second_per_mw</t>
        </is>
      </c>
      <c r="E781" s="3" t="n">
        <v>112589</v>
      </c>
      <c r="F781" s="3" t="inlineStr">
        <is>
          <t>generated output tokens/sec/MW</t>
        </is>
      </c>
      <c r="G781" s="3" t="inlineStr">
        <is>
          <t>Derived estimate + benchmark calibration</t>
        </is>
      </c>
      <c r="H781" s="3" t="inlineStr">
        <is>
          <t>fleet_reference_tps_per_mw * commercial_workload_fit_factor</t>
        </is>
      </c>
      <c r="I78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781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781" s="3" t="inlineStr">
        <is>
          <t>ASSUMP_MOE_EFFICIENCY; ASSUMP_CN_CAPACITY_TRANSPARENCY; ASSUMP_NUMERIC_ACCELERATOR_MIX; ASSUMP_INFERENCE_SHARE_NOT_FACT_60; ASSUMP_WORKLOAD_CLASS_MIX; ASSUMP_AGENTIC_CONTEXT_PENALTY</t>
        </is>
      </c>
      <c r="L781" s="3" t="inlineStr">
        <is>
          <t>Comparable production output-token throughput with model, hardware, precision, ISL/OSL and SLO matched.</t>
        </is>
      </c>
    </row>
    <row r="782">
      <c r="A782" s="3" t="inlineStr">
        <is>
          <t>DeepSeek</t>
        </is>
      </c>
      <c r="B782" s="3" t="n">
        <v>2029</v>
      </c>
      <c r="C782" s="3" t="inlineStr">
        <is>
          <t>Bear</t>
        </is>
      </c>
      <c r="D782" s="3" t="inlineStr">
        <is>
          <t>inference_tokens_per_day</t>
        </is>
      </c>
      <c r="E782" s="3" t="n">
        <v>3424146739200</v>
      </c>
      <c r="F782" s="3" t="inlineStr">
        <is>
          <t>generated output tokens/day</t>
        </is>
      </c>
      <c r="G782" s="3" t="inlineStr">
        <is>
          <t>Derived headline metric</t>
        </is>
      </c>
      <c r="H782" s="3" t="inlineStr">
        <is>
          <t>inference_gw * 1000 * tokens_per_second_per_mw * 86,400</t>
        </is>
      </c>
      <c r="I782" s="3" t="inlineStr">
        <is>
          <t>Headline capacity uses no utilization, MoE, architecture or software-growth multiplier; it is not observed commercial output volume.</t>
        </is>
      </c>
      <c r="J782" s="3" t="inlineStr">
        <is>
          <t>SRC_DEEPSEEK_V3; SRC_DEEPSEEK_R1; SRC_DEEPSEEK_H800_INFERENCE; SRC_EPOCH_AI_DATA_CENTERS; SRC_SEMIANALYSIS_INFERENCEX</t>
        </is>
      </c>
      <c r="K782" s="3" t="inlineStr">
        <is>
          <t>ASSUMP_MOE_EFFICIENCY; ASSUMP_CN_CAPACITY_TRANSPARENCY; ASSUMP_NUMERIC_ACCELERATOR_MIX; ASSUMP_INFERENCE_SHARE_NOT_FACT_60; ASSUMP_WORKLOAD_CLASS_MIX; ASSUMP_AGENTIC_CONTEXT_PENALTY</t>
        </is>
      </c>
      <c r="L782" s="3" t="inlineStr">
        <is>
          <t>Provider-disclosed generated output token volume or calibrated capacity telemetry.</t>
        </is>
      </c>
    </row>
    <row r="783">
      <c r="A783" s="3" t="inlineStr">
        <is>
          <t>DeepSeek</t>
        </is>
      </c>
      <c r="B783" s="3" t="n">
        <v>2029</v>
      </c>
      <c r="C783" s="3" t="inlineStr">
        <is>
          <t>Bear</t>
        </is>
      </c>
      <c r="D783" s="3" t="inlineStr">
        <is>
          <t>inference_tokens_per_year</t>
        </is>
      </c>
      <c r="E783" s="3" t="n">
        <v>1249813559808000</v>
      </c>
      <c r="F783" s="3" t="inlineStr">
        <is>
          <t>generated output tokens/year</t>
        </is>
      </c>
      <c r="G783" s="3" t="inlineStr">
        <is>
          <t>Derived headline metric</t>
        </is>
      </c>
      <c r="H783" s="3" t="inlineStr">
        <is>
          <t>inference_tokens_per_day * 365</t>
        </is>
      </c>
      <c r="I783" s="3" t="inlineStr">
        <is>
          <t>Annualized version of generated output token capacity; it is not observed annual demand or billable volume.</t>
        </is>
      </c>
      <c r="J783" s="3" t="inlineStr">
        <is>
          <t>SRC_DEEPSEEK_V3; SRC_DEEPSEEK_R1; SRC_DEEPSEEK_H800_INFERENCE; SRC_EPOCH_AI_DATA_CENTERS; SRC_SEMIANALYSIS_INFERENCEX</t>
        </is>
      </c>
      <c r="K783" s="3" t="inlineStr">
        <is>
          <t>ASSUMP_MOE_EFFICIENCY; ASSUMP_CN_CAPACITY_TRANSPARENCY; ASSUMP_NUMERIC_ACCELERATOR_MIX; ASSUMP_INFERENCE_SHARE_NOT_FACT_60; ASSUMP_WORKLOAD_CLASS_MIX; ASSUMP_AGENTIC_CONTEXT_PENALTY</t>
        </is>
      </c>
      <c r="L783" s="3" t="inlineStr">
        <is>
          <t>Provider-disclosed annual generated-output volume or metered serving telemetry.</t>
        </is>
      </c>
    </row>
    <row r="784">
      <c r="A784" s="3" t="inlineStr">
        <is>
          <t>DeepSeek</t>
        </is>
      </c>
      <c r="B784" s="3" t="n">
        <v>2030</v>
      </c>
      <c r="C784" s="3" t="inlineStr">
        <is>
          <t>Bear</t>
        </is>
      </c>
      <c r="D784" s="3" t="inlineStr">
        <is>
          <t>contracted_power_gw</t>
        </is>
      </c>
      <c r="E784" s="3" t="n">
        <v>1.8</v>
      </c>
      <c r="F784" s="3" t="inlineStr">
        <is>
          <t>GW</t>
        </is>
      </c>
      <c r="G784" s="3" t="inlineStr">
        <is>
          <t>Scenario capacity envelope</t>
        </is>
      </c>
      <c r="H784" s="3" t="inlineStr">
        <is>
          <t>linear interpolation between 2026 and 2030 company capacity endpoints</t>
        </is>
      </c>
      <c r="I784" s="3" t="inlineStr">
        <is>
          <t>Capacity is a low-transparency scenario; official infrastructure evidence supports H800 inference hardware, not company GW.</t>
        </is>
      </c>
      <c r="J784" s="3" t="inlineStr">
        <is>
          <t>SRC_DEEPSEEK_H800_INFERENCE; ASSUMP_CN_CAPACITY_TRANSPARENCY</t>
        </is>
      </c>
      <c r="K784" s="3" t="inlineStr">
        <is>
          <t>ASSUMP_MOE_EFFICIENCY; ASSUMP_CN_CAPACITY_TRANSPARENCY; ASSUMP_NUMERIC_ACCELERATOR_MIX; ASSUMP_INFERENCE_SHARE_NOT_FACT_60; ASSUMP_WORKLOAD_CLASS_MIX; ASSUMP_AGENTIC_CONTEXT_PENALTY</t>
        </is>
      </c>
      <c r="L784" s="3" t="inlineStr">
        <is>
          <t>Company/site-level committed MW/GW, interconnect and contract disclosure.</t>
        </is>
      </c>
    </row>
    <row r="785">
      <c r="A785" s="3" t="inlineStr">
        <is>
          <t>DeepSeek</t>
        </is>
      </c>
      <c r="B785" s="3" t="n">
        <v>2030</v>
      </c>
      <c r="C785" s="3" t="inlineStr">
        <is>
          <t>Bear</t>
        </is>
      </c>
      <c r="D785" s="3" t="inlineStr">
        <is>
          <t>operational_deployment_share</t>
        </is>
      </c>
      <c r="E785" s="3" t="n">
        <v>0.54666667</v>
      </c>
      <c r="F785" s="3" t="inlineStr">
        <is>
          <t>share</t>
        </is>
      </c>
      <c r="G785" s="3" t="inlineStr">
        <is>
          <t>Scenario conversion</t>
        </is>
      </c>
      <c r="H785" s="3" t="inlineStr">
        <is>
          <t>active_power_gw / contracted_power_gw</t>
        </is>
      </c>
      <c r="I785" s="3" t="inlineStr">
        <is>
          <t>This is the single explicit conversion from contracted/attributed capacity to operationally usable capacity.</t>
        </is>
      </c>
      <c r="J785" s="3" t="inlineStr">
        <is>
          <t>SRC_DEEPSEEK_H800_INFERENCE; ASSUMP_CN_CAPACITY_TRANSPARENCY</t>
        </is>
      </c>
      <c r="K785" s="3" t="inlineStr">
        <is>
          <t>ASSUMP_MOE_EFFICIENCY; ASSUMP_CN_CAPACITY_TRANSPARENCY; ASSUMP_NUMERIC_ACCELERATOR_MIX; ASSUMP_INFERENCE_SHARE_NOT_FACT_60; ASSUMP_WORKLOAD_CLASS_MIX; ASSUMP_AGENTIC_CONTEXT_PENALTY</t>
        </is>
      </c>
      <c r="L785" s="3" t="inlineStr">
        <is>
          <t>Energized operational capacity divided by contracted/attributed capacity.</t>
        </is>
      </c>
    </row>
    <row r="786">
      <c r="A786" s="3" t="inlineStr">
        <is>
          <t>DeepSeek</t>
        </is>
      </c>
      <c r="B786" s="3" t="n">
        <v>2030</v>
      </c>
      <c r="C786" s="3" t="inlineStr">
        <is>
          <t>Bear</t>
        </is>
      </c>
      <c r="D786" s="3" t="inlineStr">
        <is>
          <t>active_power_gw</t>
        </is>
      </c>
      <c r="E786" s="3" t="n">
        <v>0.984</v>
      </c>
      <c r="F786" s="3" t="inlineStr">
        <is>
          <t>GW</t>
        </is>
      </c>
      <c r="G786" s="3" t="inlineStr">
        <is>
          <t>Derived scenario</t>
        </is>
      </c>
      <c r="H786" s="3" t="inlineStr">
        <is>
          <t>contracted_power_gw * operational_deployment_share</t>
        </is>
      </c>
      <c r="I786" s="3" t="inlineStr">
        <is>
          <t>Active GW is conservative because operated cluster scale beyond disclosed infrastructure is not public.</t>
        </is>
      </c>
      <c r="J786" s="3" t="inlineStr">
        <is>
          <t>SRC_DEEPSEEK_H800_INFERENCE; ASSUMP_CN_CAPACITY_TRANSPARENCY</t>
        </is>
      </c>
      <c r="K786" s="3" t="inlineStr">
        <is>
          <t>ASSUMP_MOE_EFFICIENCY; ASSUMP_CN_CAPACITY_TRANSPARENCY; ASSUMP_NUMERIC_ACCELERATOR_MIX; ASSUMP_INFERENCE_SHARE_NOT_FACT_60; ASSUMP_WORKLOAD_CLASS_MIX; ASSUMP_AGENTIC_CONTEXT_PENALTY</t>
        </is>
      </c>
      <c r="L786" s="3" t="inlineStr">
        <is>
          <t>Energization dates, accelerator deliveries and operational powered-rack telemetry.</t>
        </is>
      </c>
    </row>
    <row r="787">
      <c r="A787" s="3" t="inlineStr">
        <is>
          <t>DeepSeek</t>
        </is>
      </c>
      <c r="B787" s="3" t="n">
        <v>2030</v>
      </c>
      <c r="C787" s="3" t="inlineStr">
        <is>
          <t>Bear</t>
        </is>
      </c>
      <c r="D787" s="3" t="inlineStr">
        <is>
          <t>pue</t>
        </is>
      </c>
      <c r="E787" s="3" t="n">
        <v>1.24</v>
      </c>
      <c r="F787" s="3" t="inlineStr">
        <is>
          <t>ratio</t>
        </is>
      </c>
      <c r="G787" s="3" t="inlineStr">
        <is>
          <t>Scenario parameter</t>
        </is>
      </c>
      <c r="H787" s="3" t="inlineStr">
        <is>
          <t>it_load_gw = active_power_gw / pue</t>
        </is>
      </c>
      <c r="I787" s="3" t="inlineStr">
        <is>
          <t>No provider-wide site-level PUE is used as a disclosed fact; PUE represents facility-to-IT conversion within the scenario.</t>
        </is>
      </c>
      <c r="J787" s="3" t="inlineStr">
        <is>
          <t>ASSUMP_POWER_RAMP</t>
        </is>
      </c>
      <c r="K787" s="3" t="inlineStr">
        <is>
          <t>ASSUMP_MOE_EFFICIENCY; ASSUMP_CN_CAPACITY_TRANSPARENCY; ASSUMP_NUMERIC_ACCELERATOR_MIX; ASSUMP_INFERENCE_SHARE_NOT_FACT_60; ASSUMP_WORKLOAD_CLASS_MIX; ASSUMP_AGENTIC_CONTEXT_PENALTY</t>
        </is>
      </c>
      <c r="L787" s="3" t="inlineStr">
        <is>
          <t>Site-level measured PUE matched to attributed AI capacity.</t>
        </is>
      </c>
    </row>
    <row r="788">
      <c r="A788" s="3" t="inlineStr">
        <is>
          <t>DeepSeek</t>
        </is>
      </c>
      <c r="B788" s="3" t="n">
        <v>2030</v>
      </c>
      <c r="C788" s="3" t="inlineStr">
        <is>
          <t>Bear</t>
        </is>
      </c>
      <c r="D788" s="3" t="inlineStr">
        <is>
          <t>it_load_gw</t>
        </is>
      </c>
      <c r="E788" s="3" t="n">
        <v>0.794</v>
      </c>
      <c r="F788" s="3" t="inlineStr">
        <is>
          <t>GW</t>
        </is>
      </c>
      <c r="G788" s="3" t="inlineStr">
        <is>
          <t>Derived formula</t>
        </is>
      </c>
      <c r="H788" s="3" t="inlineStr">
        <is>
          <t>active_power_gw / pue</t>
        </is>
      </c>
      <c r="I788" s="3" t="inlineStr">
        <is>
          <t>Facility power is converted to IT-deliverable power before attributing AI workloads.</t>
        </is>
      </c>
      <c r="J788" s="3" t="inlineStr">
        <is>
          <t>SRC_DEEPSEEK_H800_INFERENCE; ASSUMP_CN_CAPACITY_TRANSPARENCY</t>
        </is>
      </c>
      <c r="K788" s="3" t="inlineStr">
        <is>
          <t>ASSUMP_MOE_EFFICIENCY; ASSUMP_CN_CAPACITY_TRANSPARENCY; ASSUMP_NUMERIC_ACCELERATOR_MIX; ASSUMP_INFERENCE_SHARE_NOT_FACT_60; ASSUMP_WORKLOAD_CLASS_MIX; ASSUMP_AGENTIC_CONTEXT_PENALTY</t>
        </is>
      </c>
      <c r="L788" s="3" t="inlineStr">
        <is>
          <t>Recompute once active power and PUE become site-observable.</t>
        </is>
      </c>
    </row>
    <row r="789">
      <c r="A789" s="3" t="inlineStr">
        <is>
          <t>DeepSeek</t>
        </is>
      </c>
      <c r="B789" s="3" t="n">
        <v>2030</v>
      </c>
      <c r="C789" s="3" t="inlineStr">
        <is>
          <t>Bear</t>
        </is>
      </c>
      <c r="D789" s="3" t="inlineStr">
        <is>
          <t>ai_workload_share</t>
        </is>
      </c>
      <c r="E789" s="3" t="n">
        <v>0.82</v>
      </c>
      <c r="F789" s="3" t="inlineStr">
        <is>
          <t>share</t>
        </is>
      </c>
      <c r="G789" s="3" t="inlineStr">
        <is>
          <t>Scenario allocation</t>
        </is>
      </c>
      <c r="H789" s="3" t="inlineStr">
        <is>
          <t>ai_it_load_gw = it_load_gw * ai_workload_share</t>
        </is>
      </c>
      <c r="I789" s="3" t="inlineStr">
        <is>
          <t>DeepSeek-operated service capacity is modeled as AI-focused, reduced for reserve and ancillary processing.</t>
        </is>
      </c>
      <c r="J789" s="3" t="inlineStr">
        <is>
          <t>SRC_DEEPSEEK_V3; SRC_DEEPSEEK_R1; SRC_DEEPSEEK_H800_INFERENCE; SRC_EPOCH_AI_DATA_CENTERS</t>
        </is>
      </c>
      <c r="K789" s="3" t="inlineStr">
        <is>
          <t>ASSUMP_MOE_EFFICIENCY; ASSUMP_CN_CAPACITY_TRANSPARENCY; ASSUMP_NUMERIC_ACCELERATOR_MIX; ASSUMP_INFERENCE_SHARE_NOT_FACT_60; ASSUMP_WORKLOAD_CLASS_MIX; ASSUMP_AGENTIC_CONTEXT_PENALTY</t>
        </is>
      </c>
      <c r="L789" s="3" t="inlineStr">
        <is>
          <t>Model-owner AI workload allocation or cluster scheduling telemetry.</t>
        </is>
      </c>
    </row>
    <row r="790">
      <c r="A790" s="3" t="inlineStr">
        <is>
          <t>DeepSeek</t>
        </is>
      </c>
      <c r="B790" s="3" t="n">
        <v>2030</v>
      </c>
      <c r="C790" s="3" t="inlineStr">
        <is>
          <t>Bear</t>
        </is>
      </c>
      <c r="D790" s="3" t="inlineStr">
        <is>
          <t>ai_it_load_gw</t>
        </is>
      </c>
      <c r="E790" s="3" t="n">
        <v>0.651</v>
      </c>
      <c r="F790" s="3" t="inlineStr">
        <is>
          <t>GW</t>
        </is>
      </c>
      <c r="G790" s="3" t="inlineStr">
        <is>
          <t>Derived formula</t>
        </is>
      </c>
      <c r="H790" s="3" t="inlineStr">
        <is>
          <t>it_load_gw * ai_workload_share</t>
        </is>
      </c>
      <c r="I790" s="3" t="inlineStr">
        <is>
          <t>Only the AI-attributed portion of IT load enters training/inference allocation.</t>
        </is>
      </c>
      <c r="J790" s="3" t="inlineStr">
        <is>
          <t>SRC_DEEPSEEK_V3; SRC_DEEPSEEK_R1; SRC_DEEPSEEK_H800_INFERENCE; SRC_EPOCH_AI_DATA_CENTERS</t>
        </is>
      </c>
      <c r="K790" s="3" t="inlineStr">
        <is>
          <t>ASSUMP_MOE_EFFICIENCY; ASSUMP_CN_CAPACITY_TRANSPARENCY; ASSUMP_NUMERIC_ACCELERATOR_MIX; ASSUMP_INFERENCE_SHARE_NOT_FACT_60; ASSUMP_WORKLOAD_CLASS_MIX; ASSUMP_AGENTIC_CONTEXT_PENALTY</t>
        </is>
      </c>
      <c r="L790" s="3" t="inlineStr">
        <is>
          <t>Recompute after ai_workload_share is replaced by telemetry.</t>
        </is>
      </c>
    </row>
    <row r="791">
      <c r="A791" s="3" t="inlineStr">
        <is>
          <t>DeepSeek</t>
        </is>
      </c>
      <c r="B791" s="3" t="n">
        <v>2030</v>
      </c>
      <c r="C791" s="3" t="inlineStr">
        <is>
          <t>Bear</t>
        </is>
      </c>
      <c r="D791" s="3" t="inlineStr">
        <is>
          <t>gpu_share</t>
        </is>
      </c>
      <c r="E791" s="3" t="n">
        <v>1</v>
      </c>
      <c r="F791" s="3" t="inlineStr">
        <is>
          <t>share of inference-serving accelerator load</t>
        </is>
      </c>
      <c r="G791" s="3" t="inlineStr">
        <is>
          <t>Numeric scenario</t>
        </is>
      </c>
      <c r="H791" s="3" t="inlineStr">
        <is>
          <t>gpu_share interpolated from company 2026/2030 accelerator-mix endpoints</t>
        </is>
      </c>
      <c r="I791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91" s="3" t="inlineStr">
        <is>
          <t>SRC_DEEPSEEK_V3; SRC_DEEPSEEK_R1; SRC_DEEPSEEK_H800_INFERENCE; SRC_EPOCH_AI_DATA_CENTERS; ASSUMP_NUMERIC_ACCELERATOR_MIX</t>
        </is>
      </c>
      <c r="K791" s="3" t="inlineStr">
        <is>
          <t>ASSUMP_MOE_EFFICIENCY; ASSUMP_CN_CAPACITY_TRANSPARENCY; ASSUMP_NUMERIC_ACCELERATOR_MIX; ASSUMP_INFERENCE_SHARE_NOT_FACT_60; ASSUMP_WORKLOAD_CLASS_MIX; ASSUMP_AGENTIC_CONTEXT_PENALTY</t>
        </is>
      </c>
      <c r="L791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92">
      <c r="A792" s="3" t="inlineStr">
        <is>
          <t>DeepSeek</t>
        </is>
      </c>
      <c r="B792" s="3" t="n">
        <v>2030</v>
      </c>
      <c r="C792" s="3" t="inlineStr">
        <is>
          <t>Bear</t>
        </is>
      </c>
      <c r="D792" s="3" t="inlineStr">
        <is>
          <t>h200_share</t>
        </is>
      </c>
      <c r="E792" s="3" t="n">
        <v>0.1</v>
      </c>
      <c r="F792" s="3" t="inlineStr">
        <is>
          <t>share of inference-serving accelerator load</t>
        </is>
      </c>
      <c r="G792" s="3" t="inlineStr">
        <is>
          <t>Editable numeric scenario</t>
        </is>
      </c>
      <c r="H792" s="3" t="inlineStr">
        <is>
          <t>h200_share = gpu_share * default_gpu_generation_mix_h200</t>
        </is>
      </c>
      <c r="I792" s="3" t="inlineStr">
        <is>
          <t>Default GPU-generation migration assumption; executive workbook allows later manual replacement by company/year/scenario.</t>
        </is>
      </c>
      <c r="J792" s="3" t="inlineStr">
        <is>
          <t>SRC_SEMIANALYSIS_INFERENCEX; ASSUMP_NUMERIC_ACCELERATOR_MIX</t>
        </is>
      </c>
      <c r="K792" s="3" t="inlineStr">
        <is>
          <t>ASSUMP_MOE_EFFICIENCY; ASSUMP_CN_CAPACITY_TRANSPARENCY; ASSUMP_NUMERIC_ACCELERATOR_MIX; ASSUMP_INFERENCE_SHARE_NOT_FACT_60; ASSUMP_WORKLOAD_CLASS_MIX; ASSUMP_AGENTIC_CONTEXT_PENALTY</t>
        </is>
      </c>
      <c r="L792" s="3" t="inlineStr">
        <is>
          <t>Company fleet inventory, accelerator-hours or procurement/deployment records by GPU generation.</t>
        </is>
      </c>
    </row>
    <row r="793">
      <c r="A793" s="3" t="inlineStr">
        <is>
          <t>DeepSeek</t>
        </is>
      </c>
      <c r="B793" s="3" t="n">
        <v>2030</v>
      </c>
      <c r="C793" s="3" t="inlineStr">
        <is>
          <t>Bear</t>
        </is>
      </c>
      <c r="D793" s="3" t="inlineStr">
        <is>
          <t>b200_share</t>
        </is>
      </c>
      <c r="E793" s="3" t="n">
        <v>0.35</v>
      </c>
      <c r="F793" s="3" t="inlineStr">
        <is>
          <t>share of inference-serving accelerator load</t>
        </is>
      </c>
      <c r="G793" s="3" t="inlineStr">
        <is>
          <t>Editable numeric scenario</t>
        </is>
      </c>
      <c r="H793" s="3" t="inlineStr">
        <is>
          <t>b200_share = gpu_share * default_gpu_generation_mix_b200</t>
        </is>
      </c>
      <c r="I793" s="3" t="inlineStr">
        <is>
          <t>Default GPU-generation migration assumption; executive workbook allows later manual replacement by company/year/scenario.</t>
        </is>
      </c>
      <c r="J793" s="3" t="inlineStr">
        <is>
          <t>SRC_SEMIANALYSIS_INFERENCEX; ASSUMP_NUMERIC_ACCELERATOR_MIX</t>
        </is>
      </c>
      <c r="K793" s="3" t="inlineStr">
        <is>
          <t>ASSUMP_MOE_EFFICIENCY; ASSUMP_CN_CAPACITY_TRANSPARENCY; ASSUMP_NUMERIC_ACCELERATOR_MIX; ASSUMP_INFERENCE_SHARE_NOT_FACT_60; ASSUMP_WORKLOAD_CLASS_MIX; ASSUMP_AGENTIC_CONTEXT_PENALTY</t>
        </is>
      </c>
      <c r="L793" s="3" t="inlineStr">
        <is>
          <t>Company fleet inventory, accelerator-hours or procurement/deployment records by GPU generation.</t>
        </is>
      </c>
    </row>
    <row r="794">
      <c r="A794" s="3" t="inlineStr">
        <is>
          <t>DeepSeek</t>
        </is>
      </c>
      <c r="B794" s="3" t="n">
        <v>2030</v>
      </c>
      <c r="C794" s="3" t="inlineStr">
        <is>
          <t>Bear</t>
        </is>
      </c>
      <c r="D794" s="3" t="inlineStr">
        <is>
          <t>gb200_share</t>
        </is>
      </c>
      <c r="E794" s="3" t="n">
        <v>0.55</v>
      </c>
      <c r="F794" s="3" t="inlineStr">
        <is>
          <t>share of inference-serving accelerator load</t>
        </is>
      </c>
      <c r="G794" s="3" t="inlineStr">
        <is>
          <t>Editable numeric scenario</t>
        </is>
      </c>
      <c r="H794" s="3" t="inlineStr">
        <is>
          <t>gb200_share = gpu_share * default_gpu_generation_mix_gb200</t>
        </is>
      </c>
      <c r="I794" s="3" t="inlineStr">
        <is>
          <t>Default GPU-generation migration assumption; executive workbook allows later manual replacement by company/year/scenario.</t>
        </is>
      </c>
      <c r="J794" s="3" t="inlineStr">
        <is>
          <t>SRC_SEMIANALYSIS_INFERENCEX; ASSUMP_NUMERIC_ACCELERATOR_MIX</t>
        </is>
      </c>
      <c r="K794" s="3" t="inlineStr">
        <is>
          <t>ASSUMP_MOE_EFFICIENCY; ASSUMP_CN_CAPACITY_TRANSPARENCY; ASSUMP_NUMERIC_ACCELERATOR_MIX; ASSUMP_INFERENCE_SHARE_NOT_FACT_60; ASSUMP_WORKLOAD_CLASS_MIX; ASSUMP_AGENTIC_CONTEXT_PENALTY</t>
        </is>
      </c>
      <c r="L794" s="3" t="inlineStr">
        <is>
          <t>Company fleet inventory, accelerator-hours or procurement/deployment records by GPU generation.</t>
        </is>
      </c>
    </row>
    <row r="795">
      <c r="A795" s="3" t="inlineStr">
        <is>
          <t>DeepSeek</t>
        </is>
      </c>
      <c r="B795" s="3" t="n">
        <v>2030</v>
      </c>
      <c r="C795" s="3" t="inlineStr">
        <is>
          <t>Bear</t>
        </is>
      </c>
      <c r="D795" s="3" t="inlineStr">
        <is>
          <t>purpose_built_accelerator_share</t>
        </is>
      </c>
      <c r="E795" s="3" t="n">
        <v>0</v>
      </c>
      <c r="F795" s="3" t="inlineStr">
        <is>
          <t>share of inference-serving accelerator load</t>
        </is>
      </c>
      <c r="G795" s="3" t="inlineStr">
        <is>
          <t>Numeric scenario</t>
        </is>
      </c>
      <c r="H795" s="3" t="inlineStr">
        <is>
          <t>1 - gpu_share</t>
        </is>
      </c>
      <c r="I795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795" s="3" t="inlineStr">
        <is>
          <t>SRC_DEEPSEEK_V3; SRC_DEEPSEEK_R1; SRC_DEEPSEEK_H800_INFERENCE; SRC_EPOCH_AI_DATA_CENTERS; ASSUMP_NUMERIC_ACCELERATOR_MIX</t>
        </is>
      </c>
      <c r="K795" s="3" t="inlineStr">
        <is>
          <t>ASSUMP_MOE_EFFICIENCY; ASSUMP_CN_CAPACITY_TRANSPARENCY; ASSUMP_NUMERIC_ACCELERATOR_MIX; ASSUMP_INFERENCE_SHARE_NOT_FACT_60; ASSUMP_WORKLOAD_CLASS_MIX; ASSUMP_AGENTIC_CONTEXT_PENALTY</t>
        </is>
      </c>
      <c r="L795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796">
      <c r="A796" s="3" t="inlineStr">
        <is>
          <t>DeepSeek</t>
        </is>
      </c>
      <c r="B796" s="3" t="n">
        <v>2030</v>
      </c>
      <c r="C796" s="3" t="inlineStr">
        <is>
          <t>Bear</t>
        </is>
      </c>
      <c r="D796" s="3" t="inlineStr">
        <is>
          <t>fleet_reference_tps_per_mw</t>
        </is>
      </c>
      <c r="E796" s="3" t="n">
        <v>184158</v>
      </c>
      <c r="F796" s="3" t="inlineStr">
        <is>
          <t>generated output tokens/sec/MW</t>
        </is>
      </c>
      <c r="G796" s="3" t="inlineStr">
        <is>
          <t>Fleet-weighted public benchmark reference</t>
        </is>
      </c>
      <c r="H796" s="3" t="inlineStr">
        <is>
          <t>h200_share*h200_workload_avg + b200_share*b200_workload_avg + gb200_share*gb200_workload_avg + purpose_built_share*purpose_workload_avg</t>
        </is>
      </c>
      <c r="I79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796" s="3" t="inlineStr">
        <is>
          <t>SRC_SEMIANALYSIS_INFERENCEX; ASSUMP_NUMERIC_ACCELERATOR_MIX; ASSUMP_WORKLOAD_CLASS_MIX; ASSUMP_AGENTIC_CONTEXT_PENALTY</t>
        </is>
      </c>
      <c r="K796" s="3" t="inlineStr">
        <is>
          <t>ASSUMP_MOE_EFFICIENCY; ASSUMP_CN_CAPACITY_TRANSPARENCY; ASSUMP_NUMERIC_ACCELERATOR_MIX; ASSUMP_INFERENCE_SHARE_NOT_FACT_60; ASSUMP_WORKLOAD_CLASS_MIX; ASSUMP_AGENTIC_CONTEXT_PENALTY</t>
        </is>
      </c>
      <c r="L796" s="3" t="inlineStr">
        <is>
          <t>Comparable production output-token throughput or a more closely matched benchmark.</t>
        </is>
      </c>
    </row>
    <row r="797">
      <c r="A797" s="3" t="inlineStr">
        <is>
          <t>DeepSeek</t>
        </is>
      </c>
      <c r="B797" s="3" t="n">
        <v>2030</v>
      </c>
      <c r="C797" s="3" t="inlineStr">
        <is>
          <t>Bear</t>
        </is>
      </c>
      <c r="D797" s="3" t="inlineStr">
        <is>
          <t>commercial_workload_fit_factor</t>
        </is>
      </c>
      <c r="E797" s="3" t="n">
        <v>0.65</v>
      </c>
      <c r="F797" s="3" t="inlineStr">
        <is>
          <t>share of public reference throughput</t>
        </is>
      </c>
      <c r="G797" s="3" t="inlineStr">
        <is>
          <t>Scenario assumption</t>
        </is>
      </c>
      <c r="H797" s="3" t="inlineStr">
        <is>
          <t>reference_serving_tps_per_mw = fleet_reference_tps_per_mw * commercial_workload_fit_factor</t>
        </is>
      </c>
      <c r="I79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797" s="3" t="inlineStr">
        <is>
          <t>SRC_SEMIANALYSIS_INFERENCEX; ASSUMP_NUMERIC_ACCELERATOR_MIX; ASSUMP_WORKLOAD_CLASS_MIX; ASSUMP_AGENTIC_CONTEXT_PENALTY</t>
        </is>
      </c>
      <c r="K797" s="3" t="inlineStr">
        <is>
          <t>ASSUMP_MOE_EFFICIENCY; ASSUMP_CN_CAPACITY_TRANSPARENCY; ASSUMP_NUMERIC_ACCELERATOR_MIX; ASSUMP_INFERENCE_SHARE_NOT_FACT_60; ASSUMP_WORKLOAD_CLASS_MIX; ASSUMP_AGENTIC_CONTEXT_PENALTY</t>
        </is>
      </c>
      <c r="L797" s="3" t="inlineStr">
        <is>
          <t>Matched commercial serving benchmark by product surface, context shape and latency SLO.</t>
        </is>
      </c>
    </row>
    <row r="798">
      <c r="A798" s="3" t="inlineStr">
        <is>
          <t>DeepSeek</t>
        </is>
      </c>
      <c r="B798" s="3" t="n">
        <v>2030</v>
      </c>
      <c r="C798" s="3" t="inlineStr">
        <is>
          <t>Bear</t>
        </is>
      </c>
      <c r="D798" s="3" t="inlineStr">
        <is>
          <t>reference_serving_tps_per_mw</t>
        </is>
      </c>
      <c r="E798" s="3" t="n">
        <v>119703</v>
      </c>
      <c r="F798" s="3" t="inlineStr">
        <is>
          <t>generated output tokens/sec/MW</t>
        </is>
      </c>
      <c r="G798" s="3" t="inlineStr">
        <is>
          <t>Workload-adjusted benchmark proxy</t>
        </is>
      </c>
      <c r="H798" s="3" t="inlineStr">
        <is>
          <t>fleet_reference_tps_per_mw * commercial_workload_fit_factor</t>
        </is>
      </c>
      <c r="I798" s="3" t="inlineStr">
        <is>
          <t>This is the coefficient used for headline token generation; each GPU's short chat, long chat and agentic TPS/MW are weighted before fleet mix and commercial fit are applied.</t>
        </is>
      </c>
      <c r="J798" s="3" t="inlineStr">
        <is>
          <t>SRC_SEMIANALYSIS_INFERENCEX; ASSUMP_NUMERIC_ACCELERATOR_MIX; ASSUMP_WORKLOAD_CLASS_MIX; ASSUMP_AGENTIC_CONTEXT_PENALTY</t>
        </is>
      </c>
      <c r="K798" s="3" t="inlineStr">
        <is>
          <t>ASSUMP_MOE_EFFICIENCY; ASSUMP_CN_CAPACITY_TRANSPARENCY; ASSUMP_NUMERIC_ACCELERATOR_MIX; ASSUMP_INFERENCE_SHARE_NOT_FACT_60; ASSUMP_WORKLOAD_CLASS_MIX; ASSUMP_AGENTIC_CONTEXT_PENALTY</t>
        </is>
      </c>
      <c r="L798" s="3" t="inlineStr">
        <is>
          <t>Provider production output-token throughput with comparable workload/SLO.</t>
        </is>
      </c>
    </row>
    <row r="799">
      <c r="A799" s="3" t="inlineStr">
        <is>
          <t>DeepSeek</t>
        </is>
      </c>
      <c r="B799" s="3" t="n">
        <v>2030</v>
      </c>
      <c r="C799" s="3" t="inlineStr">
        <is>
          <t>Bear</t>
        </is>
      </c>
      <c r="D799" s="3" t="inlineStr">
        <is>
          <t>purpose_built_tps_per_mw</t>
        </is>
      </c>
      <c r="E799" s="3" t="n">
        <v>255822</v>
      </c>
      <c r="F799" s="3" t="inlineStr">
        <is>
          <t>generated output tokens/sec/MW</t>
        </is>
      </c>
      <c r="G799" s="3" t="inlineStr">
        <is>
          <t>Conservative no-uplift proxy</t>
        </is>
      </c>
      <c r="H799" s="3" t="inlineStr">
        <is>
          <t>purpose_built_tps_per_mw = purpose_built_reference_tps_per_mw * commercial_workload_fit_factor until comparable output-token benchmark is adopted</t>
        </is>
      </c>
      <c r="I799" s="3" t="inlineStr">
        <is>
          <t>No comparable public output-token/MW row adopted; B200 public reference placeholder is used and remains editable.</t>
        </is>
      </c>
      <c r="J799" s="3" t="inlineStr">
        <is>
          <t>SRC_DEEPSEEK_V3; SRC_DEEPSEEK_R1; SRC_DEEPSEEK_H800_INFERENCE; SRC_EPOCH_AI_DATA_CENTERS; ASSUMP_NUMERIC_ACCELERATOR_MIX</t>
        </is>
      </c>
      <c r="K799" s="3" t="inlineStr">
        <is>
          <t>ASSUMP_MOE_EFFICIENCY; ASSUMP_CN_CAPACITY_TRANSPARENCY; ASSUMP_NUMERIC_ACCELERATOR_MIX; ASSUMP_INFERENCE_SHARE_NOT_FACT_60; ASSUMP_WORKLOAD_CLASS_MIX; ASSUMP_AGENTIC_CONTEXT_PENALTY</t>
        </is>
      </c>
      <c r="L799" s="3" t="inlineStr">
        <is>
          <t>Matched-workload generated-output benchmark for the provider purpose-built accelerator.</t>
        </is>
      </c>
    </row>
    <row r="800">
      <c r="A800" s="3" t="inlineStr">
        <is>
          <t>DeepSeek</t>
        </is>
      </c>
      <c r="B800" s="3" t="n">
        <v>2030</v>
      </c>
      <c r="C800" s="3" t="inlineStr">
        <is>
          <t>Bear</t>
        </is>
      </c>
      <c r="D800" s="3" t="inlineStr">
        <is>
          <t>inference_power_share</t>
        </is>
      </c>
      <c r="E800" s="3" t="n">
        <v>0.72</v>
      </c>
      <c r="F800" s="3" t="inlineStr">
        <is>
          <t>share of AI IT load</t>
        </is>
      </c>
      <c r="G800" s="3" t="inlineStr">
        <is>
          <t>Scenario allocation</t>
        </is>
      </c>
      <c r="H800" s="3" t="inlineStr">
        <is>
          <t>inference_gw = ai_it_load_gw * inference_power_share</t>
        </is>
      </c>
      <c r="I800" s="3" t="inlineStr">
        <is>
          <t>API/app availability and inference-system disclosure support higher inference share; the value remains scenario.</t>
        </is>
      </c>
      <c r="J800" s="3" t="inlineStr">
        <is>
          <t>SRC_DEEPSEEK_V3; SRC_DEEPSEEK_R1; SRC_DEEPSEEK_H800_INFERENCE; SRC_EPOCH_AI_DATA_CENTERS; ASSUMP_INFERENCE_SHARE_NOT_FACT_60</t>
        </is>
      </c>
      <c r="K800" s="3" t="inlineStr">
        <is>
          <t>ASSUMP_MOE_EFFICIENCY; ASSUMP_CN_CAPACITY_TRANSPARENCY; ASSUMP_NUMERIC_ACCELERATOR_MIX; ASSUMP_INFERENCE_SHARE_NOT_FACT_60; ASSUMP_WORKLOAD_CLASS_MIX; ASSUMP_AGENTIC_CONTEXT_PENALTY</t>
        </is>
      </c>
      <c r="L800" s="3" t="inlineStr">
        <is>
          <t>Provider-specific inference/training workload power telemetry.</t>
        </is>
      </c>
    </row>
    <row r="801">
      <c r="A801" s="3" t="inlineStr">
        <is>
          <t>DeepSeek</t>
        </is>
      </c>
      <c r="B801" s="3" t="n">
        <v>2030</v>
      </c>
      <c r="C801" s="3" t="inlineStr">
        <is>
          <t>Bear</t>
        </is>
      </c>
      <c r="D801" s="3" t="inlineStr">
        <is>
          <t>inference_gw</t>
        </is>
      </c>
      <c r="E801" s="3" t="n">
        <v>0.469</v>
      </c>
      <c r="F801" s="3" t="inlineStr">
        <is>
          <t>GW</t>
        </is>
      </c>
      <c r="G801" s="3" t="inlineStr">
        <is>
          <t>Derived formula</t>
        </is>
      </c>
      <c r="H801" s="3" t="inlineStr">
        <is>
          <t>ai_it_load_gw * inference_power_share</t>
        </is>
      </c>
      <c r="I801" s="3" t="inlineStr">
        <is>
          <t>This is the operational power eligible to become commercial generated output tokens through the selected TPS/MW proxy.</t>
        </is>
      </c>
      <c r="J801" s="3" t="inlineStr">
        <is>
          <t>SRC_DEEPSEEK_V3; SRC_DEEPSEEK_R1; SRC_DEEPSEEK_H800_INFERENCE; SRC_EPOCH_AI_DATA_CENTERS</t>
        </is>
      </c>
      <c r="K801" s="3" t="inlineStr">
        <is>
          <t>ASSUMP_MOE_EFFICIENCY; ASSUMP_CN_CAPACITY_TRANSPARENCY; ASSUMP_NUMERIC_ACCELERATOR_MIX; ASSUMP_INFERENCE_SHARE_NOT_FACT_60; ASSUMP_WORKLOAD_CLASS_MIX; ASSUMP_AGENTIC_CONTEXT_PENALTY</t>
        </is>
      </c>
      <c r="L801" s="3" t="inlineStr">
        <is>
          <t>Recompute after AI allocation or inference-share evidence changes.</t>
        </is>
      </c>
    </row>
    <row r="802">
      <c r="A802" s="3" t="inlineStr">
        <is>
          <t>DeepSeek</t>
        </is>
      </c>
      <c r="B802" s="3" t="n">
        <v>2030</v>
      </c>
      <c r="C802" s="3" t="inlineStr">
        <is>
          <t>Bear</t>
        </is>
      </c>
      <c r="D802" s="3" t="inlineStr">
        <is>
          <t>training_power_share</t>
        </is>
      </c>
      <c r="E802" s="3" t="n">
        <v>0.28</v>
      </c>
      <c r="F802" s="3" t="inlineStr">
        <is>
          <t>share of AI IT load</t>
        </is>
      </c>
      <c r="G802" s="3" t="inlineStr">
        <is>
          <t>Derived allocation</t>
        </is>
      </c>
      <c r="H802" s="3" t="inlineStr">
        <is>
          <t>1 - inference_power_share</t>
        </is>
      </c>
      <c r="I802" s="3" t="inlineStr">
        <is>
          <t>Training receives the complementary modeled AI IT allocation; it is not a disclosed company workload split.</t>
        </is>
      </c>
      <c r="J802" s="3" t="inlineStr">
        <is>
          <t>SRC_DEEPSEEK_V3; SRC_DEEPSEEK_R1; SRC_DEEPSEEK_H800_INFERENCE; SRC_EPOCH_AI_DATA_CENTERS; ASSUMP_INFERENCE_SHARE_NOT_FACT_60</t>
        </is>
      </c>
      <c r="K802" s="3" t="inlineStr">
        <is>
          <t>ASSUMP_MOE_EFFICIENCY; ASSUMP_CN_CAPACITY_TRANSPARENCY; ASSUMP_NUMERIC_ACCELERATOR_MIX; ASSUMP_INFERENCE_SHARE_NOT_FACT_60; ASSUMP_WORKLOAD_CLASS_MIX; ASSUMP_AGENTIC_CONTEXT_PENALTY</t>
        </is>
      </c>
      <c r="L802" s="3" t="inlineStr">
        <is>
          <t>Provider-specific inference/training workload power telemetry.</t>
        </is>
      </c>
    </row>
    <row r="803">
      <c r="A803" s="3" t="inlineStr">
        <is>
          <t>DeepSeek</t>
        </is>
      </c>
      <c r="B803" s="3" t="n">
        <v>2030</v>
      </c>
      <c r="C803" s="3" t="inlineStr">
        <is>
          <t>Bear</t>
        </is>
      </c>
      <c r="D803" s="3" t="inlineStr">
        <is>
          <t>training_gw</t>
        </is>
      </c>
      <c r="E803" s="3" t="n">
        <v>0.182</v>
      </c>
      <c r="F803" s="3" t="inlineStr">
        <is>
          <t>GW</t>
        </is>
      </c>
      <c r="G803" s="3" t="inlineStr">
        <is>
          <t>Derived formula</t>
        </is>
      </c>
      <c r="H803" s="3" t="inlineStr">
        <is>
          <t>ai_it_load_gw * training_power_share</t>
        </is>
      </c>
      <c r="I803" s="3" t="inlineStr">
        <is>
          <t>Training GW is shown separately so commercial inference token capacity is not overstated.</t>
        </is>
      </c>
      <c r="J803" s="3" t="inlineStr">
        <is>
          <t>SRC_DEEPSEEK_V3; SRC_DEEPSEEK_R1; SRC_DEEPSEEK_H800_INFERENCE; SRC_EPOCH_AI_DATA_CENTERS</t>
        </is>
      </c>
      <c r="K803" s="3" t="inlineStr">
        <is>
          <t>ASSUMP_MOE_EFFICIENCY; ASSUMP_CN_CAPACITY_TRANSPARENCY; ASSUMP_NUMERIC_ACCELERATOR_MIX; ASSUMP_INFERENCE_SHARE_NOT_FACT_60; ASSUMP_WORKLOAD_CLASS_MIX; ASSUMP_AGENTIC_CONTEXT_PENALTY</t>
        </is>
      </c>
      <c r="L803" s="3" t="inlineStr">
        <is>
          <t>Recompute after AI allocation or workload-split evidence changes.</t>
        </is>
      </c>
    </row>
    <row r="804">
      <c r="A804" s="3" t="inlineStr">
        <is>
          <t>DeepSeek</t>
        </is>
      </c>
      <c r="B804" s="3" t="n">
        <v>2030</v>
      </c>
      <c r="C804" s="3" t="inlineStr">
        <is>
          <t>Bear</t>
        </is>
      </c>
      <c r="D804" s="3" t="inlineStr">
        <is>
          <t>tokens_per_second_per_mw</t>
        </is>
      </c>
      <c r="E804" s="3" t="n">
        <v>119703</v>
      </c>
      <c r="F804" s="3" t="inlineStr">
        <is>
          <t>generated output tokens/sec/MW</t>
        </is>
      </c>
      <c r="G804" s="3" t="inlineStr">
        <is>
          <t>Derived estimate + benchmark calibration</t>
        </is>
      </c>
      <c r="H804" s="3" t="inlineStr">
        <is>
          <t>fleet_reference_tps_per_mw * commercial_workload_fit_factor</t>
        </is>
      </c>
      <c r="I80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804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804" s="3" t="inlineStr">
        <is>
          <t>ASSUMP_MOE_EFFICIENCY; ASSUMP_CN_CAPACITY_TRANSPARENCY; ASSUMP_NUMERIC_ACCELERATOR_MIX; ASSUMP_INFERENCE_SHARE_NOT_FACT_60; ASSUMP_WORKLOAD_CLASS_MIX; ASSUMP_AGENTIC_CONTEXT_PENALTY</t>
        </is>
      </c>
      <c r="L804" s="3" t="inlineStr">
        <is>
          <t>Comparable production output-token throughput with model, hardware, precision, ISL/OSL and SLO matched.</t>
        </is>
      </c>
    </row>
    <row r="805">
      <c r="A805" s="3" t="inlineStr">
        <is>
          <t>DeepSeek</t>
        </is>
      </c>
      <c r="B805" s="3" t="n">
        <v>2030</v>
      </c>
      <c r="C805" s="3" t="inlineStr">
        <is>
          <t>Bear</t>
        </is>
      </c>
      <c r="D805" s="3" t="inlineStr">
        <is>
          <t>inference_tokens_per_day</t>
        </is>
      </c>
      <c r="E805" s="3" t="n">
        <v>4850557084800</v>
      </c>
      <c r="F805" s="3" t="inlineStr">
        <is>
          <t>generated output tokens/day</t>
        </is>
      </c>
      <c r="G805" s="3" t="inlineStr">
        <is>
          <t>Derived headline metric</t>
        </is>
      </c>
      <c r="H805" s="3" t="inlineStr">
        <is>
          <t>inference_gw * 1000 * tokens_per_second_per_mw * 86,400</t>
        </is>
      </c>
      <c r="I805" s="3" t="inlineStr">
        <is>
          <t>Headline capacity uses no utilization, MoE, architecture or software-growth multiplier; it is not observed commercial output volume.</t>
        </is>
      </c>
      <c r="J805" s="3" t="inlineStr">
        <is>
          <t>SRC_DEEPSEEK_V3; SRC_DEEPSEEK_R1; SRC_DEEPSEEK_H800_INFERENCE; SRC_EPOCH_AI_DATA_CENTERS; SRC_SEMIANALYSIS_INFERENCEX</t>
        </is>
      </c>
      <c r="K805" s="3" t="inlineStr">
        <is>
          <t>ASSUMP_MOE_EFFICIENCY; ASSUMP_CN_CAPACITY_TRANSPARENCY; ASSUMP_NUMERIC_ACCELERATOR_MIX; ASSUMP_INFERENCE_SHARE_NOT_FACT_60; ASSUMP_WORKLOAD_CLASS_MIX; ASSUMP_AGENTIC_CONTEXT_PENALTY</t>
        </is>
      </c>
      <c r="L805" s="3" t="inlineStr">
        <is>
          <t>Provider-disclosed generated output token volume or calibrated capacity telemetry.</t>
        </is>
      </c>
    </row>
    <row r="806">
      <c r="A806" s="3" t="inlineStr">
        <is>
          <t>DeepSeek</t>
        </is>
      </c>
      <c r="B806" s="3" t="n">
        <v>2030</v>
      </c>
      <c r="C806" s="3" t="inlineStr">
        <is>
          <t>Bear</t>
        </is>
      </c>
      <c r="D806" s="3" t="inlineStr">
        <is>
          <t>inference_tokens_per_year</t>
        </is>
      </c>
      <c r="E806" s="3" t="n">
        <v>1770453335952000</v>
      </c>
      <c r="F806" s="3" t="inlineStr">
        <is>
          <t>generated output tokens/year</t>
        </is>
      </c>
      <c r="G806" s="3" t="inlineStr">
        <is>
          <t>Derived headline metric</t>
        </is>
      </c>
      <c r="H806" s="3" t="inlineStr">
        <is>
          <t>inference_tokens_per_day * 365</t>
        </is>
      </c>
      <c r="I806" s="3" t="inlineStr">
        <is>
          <t>Annualized version of generated output token capacity; it is not observed annual demand or billable volume.</t>
        </is>
      </c>
      <c r="J806" s="3" t="inlineStr">
        <is>
          <t>SRC_DEEPSEEK_V3; SRC_DEEPSEEK_R1; SRC_DEEPSEEK_H800_INFERENCE; SRC_EPOCH_AI_DATA_CENTERS; SRC_SEMIANALYSIS_INFERENCEX</t>
        </is>
      </c>
      <c r="K806" s="3" t="inlineStr">
        <is>
          <t>ASSUMP_MOE_EFFICIENCY; ASSUMP_CN_CAPACITY_TRANSPARENCY; ASSUMP_NUMERIC_ACCELERATOR_MIX; ASSUMP_INFERENCE_SHARE_NOT_FACT_60; ASSUMP_WORKLOAD_CLASS_MIX; ASSUMP_AGENTIC_CONTEXT_PENALTY</t>
        </is>
      </c>
      <c r="L806" s="3" t="inlineStr">
        <is>
          <t>Provider-disclosed annual generated-output volume or metered serving telemetry.</t>
        </is>
      </c>
    </row>
    <row r="807">
      <c r="A807" s="3" t="inlineStr">
        <is>
          <t>Alibaba</t>
        </is>
      </c>
      <c r="B807" s="3" t="n">
        <v>2026</v>
      </c>
      <c r="C807" s="3" t="inlineStr">
        <is>
          <t>Bear</t>
        </is>
      </c>
      <c r="D807" s="3" t="inlineStr">
        <is>
          <t>contracted_power_gw</t>
        </is>
      </c>
      <c r="E807" s="3" t="n">
        <v>1.8</v>
      </c>
      <c r="F807" s="3" t="inlineStr">
        <is>
          <t>GW</t>
        </is>
      </c>
      <c r="G807" s="3" t="inlineStr">
        <is>
          <t>Scenario capacity envelope</t>
        </is>
      </c>
      <c r="H807" s="3" t="inlineStr">
        <is>
          <t>linear interpolation between 2026 and 2030 company capacity endpoints</t>
        </is>
      </c>
      <c r="I807" s="3" t="inlineStr">
        <is>
          <t>Alibaba Cloud/Qwen capacity is a scenario envelope; official model and deployment documentation does not state operated GW.</t>
        </is>
      </c>
      <c r="J807" s="3" t="inlineStr">
        <is>
          <t>SRC_ALIBABA_QWEN_GPU_DEPLOY; ASSUMP_CN_CAPACITY_TRANSPARENCY</t>
        </is>
      </c>
      <c r="K807" s="3" t="inlineStr">
        <is>
          <t>ASSUMP_MOE_EFFICIENCY; ASSUMP_CN_CAPACITY_TRANSPARENCY; ASSUMP_NUMERIC_ACCELERATOR_MIX; ASSUMP_INFERENCE_SHARE_NOT_FACT_60; ASSUMP_WORKLOAD_CLASS_MIX; ASSUMP_AGENTIC_CONTEXT_PENALTY</t>
        </is>
      </c>
      <c r="L807" s="3" t="inlineStr">
        <is>
          <t>Company/site-level committed MW/GW, interconnect and contract disclosure.</t>
        </is>
      </c>
    </row>
    <row r="808">
      <c r="A808" s="3" t="inlineStr">
        <is>
          <t>Alibaba</t>
        </is>
      </c>
      <c r="B808" s="3" t="n">
        <v>2026</v>
      </c>
      <c r="C808" s="3" t="inlineStr">
        <is>
          <t>Bear</t>
        </is>
      </c>
      <c r="D808" s="3" t="inlineStr">
        <is>
          <t>operational_deployment_share</t>
        </is>
      </c>
      <c r="E808" s="3" t="n">
        <v>0.325</v>
      </c>
      <c r="F808" s="3" t="inlineStr">
        <is>
          <t>share</t>
        </is>
      </c>
      <c r="G808" s="3" t="inlineStr">
        <is>
          <t>Scenario conversion</t>
        </is>
      </c>
      <c r="H808" s="3" t="inlineStr">
        <is>
          <t>active_power_gw / contracted_power_gw</t>
        </is>
      </c>
      <c r="I808" s="3" t="inlineStr">
        <is>
          <t>This is the single explicit conversion from contracted/attributed capacity to operationally usable capacity.</t>
        </is>
      </c>
      <c r="J808" s="3" t="inlineStr">
        <is>
          <t>SRC_ALIBABA_QWEN_GPU_DEPLOY; ASSUMP_CN_CAPACITY_TRANSPARENCY</t>
        </is>
      </c>
      <c r="K808" s="3" t="inlineStr">
        <is>
          <t>ASSUMP_MOE_EFFICIENCY; ASSUMP_CN_CAPACITY_TRANSPARENCY; ASSUMP_NUMERIC_ACCELERATOR_MIX; ASSUMP_INFERENCE_SHARE_NOT_FACT_60; ASSUMP_WORKLOAD_CLASS_MIX; ASSUMP_AGENTIC_CONTEXT_PENALTY</t>
        </is>
      </c>
      <c r="L808" s="3" t="inlineStr">
        <is>
          <t>Energized operational capacity divided by contracted/attributed capacity.</t>
        </is>
      </c>
    </row>
    <row r="809">
      <c r="A809" s="3" t="inlineStr">
        <is>
          <t>Alibaba</t>
        </is>
      </c>
      <c r="B809" s="3" t="n">
        <v>2026</v>
      </c>
      <c r="C809" s="3" t="inlineStr">
        <is>
          <t>Bear</t>
        </is>
      </c>
      <c r="D809" s="3" t="inlineStr">
        <is>
          <t>active_power_gw</t>
        </is>
      </c>
      <c r="E809" s="3" t="n">
        <v>0.585</v>
      </c>
      <c r="F809" s="3" t="inlineStr">
        <is>
          <t>GW</t>
        </is>
      </c>
      <c r="G809" s="3" t="inlineStr">
        <is>
          <t>Derived scenario</t>
        </is>
      </c>
      <c r="H809" s="3" t="inlineStr">
        <is>
          <t>contracted_power_gw * operational_deployment_share</t>
        </is>
      </c>
      <c r="I809" s="3" t="inlineStr">
        <is>
          <t>Active GW is staged below capacity due to undisclosed accelerator allocation and cloud multi-tenant use.</t>
        </is>
      </c>
      <c r="J809" s="3" t="inlineStr">
        <is>
          <t>SRC_ALIBABA_QWEN_GPU_DEPLOY; ASSUMP_CN_CAPACITY_TRANSPARENCY</t>
        </is>
      </c>
      <c r="K809" s="3" t="inlineStr">
        <is>
          <t>ASSUMP_MOE_EFFICIENCY; ASSUMP_CN_CAPACITY_TRANSPARENCY; ASSUMP_NUMERIC_ACCELERATOR_MIX; ASSUMP_INFERENCE_SHARE_NOT_FACT_60; ASSUMP_WORKLOAD_CLASS_MIX; ASSUMP_AGENTIC_CONTEXT_PENALTY</t>
        </is>
      </c>
      <c r="L809" s="3" t="inlineStr">
        <is>
          <t>Energization dates, accelerator deliveries and operational powered-rack telemetry.</t>
        </is>
      </c>
    </row>
    <row r="810">
      <c r="A810" s="3" t="inlineStr">
        <is>
          <t>Alibaba</t>
        </is>
      </c>
      <c r="B810" s="3" t="n">
        <v>2026</v>
      </c>
      <c r="C810" s="3" t="inlineStr">
        <is>
          <t>Bear</t>
        </is>
      </c>
      <c r="D810" s="3" t="inlineStr">
        <is>
          <t>pue</t>
        </is>
      </c>
      <c r="E810" s="3" t="n">
        <v>1.23</v>
      </c>
      <c r="F810" s="3" t="inlineStr">
        <is>
          <t>ratio</t>
        </is>
      </c>
      <c r="G810" s="3" t="inlineStr">
        <is>
          <t>Scenario parameter</t>
        </is>
      </c>
      <c r="H810" s="3" t="inlineStr">
        <is>
          <t>it_load_gw = active_power_gw / pue</t>
        </is>
      </c>
      <c r="I810" s="3" t="inlineStr">
        <is>
          <t>No provider-wide site-level PUE is used as a disclosed fact; PUE represents facility-to-IT conversion within the scenario.</t>
        </is>
      </c>
      <c r="J810" s="3" t="inlineStr">
        <is>
          <t>ASSUMP_POWER_RAMP</t>
        </is>
      </c>
      <c r="K810" s="3" t="inlineStr">
        <is>
          <t>ASSUMP_MOE_EFFICIENCY; ASSUMP_CN_CAPACITY_TRANSPARENCY; ASSUMP_NUMERIC_ACCELERATOR_MIX; ASSUMP_INFERENCE_SHARE_NOT_FACT_60; ASSUMP_WORKLOAD_CLASS_MIX; ASSUMP_AGENTIC_CONTEXT_PENALTY</t>
        </is>
      </c>
      <c r="L810" s="3" t="inlineStr">
        <is>
          <t>Site-level measured PUE matched to attributed AI capacity.</t>
        </is>
      </c>
    </row>
    <row r="811">
      <c r="A811" s="3" t="inlineStr">
        <is>
          <t>Alibaba</t>
        </is>
      </c>
      <c r="B811" s="3" t="n">
        <v>2026</v>
      </c>
      <c r="C811" s="3" t="inlineStr">
        <is>
          <t>Bear</t>
        </is>
      </c>
      <c r="D811" s="3" t="inlineStr">
        <is>
          <t>it_load_gw</t>
        </is>
      </c>
      <c r="E811" s="3" t="n">
        <v>0.476</v>
      </c>
      <c r="F811" s="3" t="inlineStr">
        <is>
          <t>GW</t>
        </is>
      </c>
      <c r="G811" s="3" t="inlineStr">
        <is>
          <t>Derived formula</t>
        </is>
      </c>
      <c r="H811" s="3" t="inlineStr">
        <is>
          <t>active_power_gw / pue</t>
        </is>
      </c>
      <c r="I811" s="3" t="inlineStr">
        <is>
          <t>Facility power is converted to IT-deliverable power before attributing AI workloads.</t>
        </is>
      </c>
      <c r="J811" s="3" t="inlineStr">
        <is>
          <t>SRC_ALIBABA_QWEN_GPU_DEPLOY; ASSUMP_CN_CAPACITY_TRANSPARENCY</t>
        </is>
      </c>
      <c r="K811" s="3" t="inlineStr">
        <is>
          <t>ASSUMP_MOE_EFFICIENCY; ASSUMP_CN_CAPACITY_TRANSPARENCY; ASSUMP_NUMERIC_ACCELERATOR_MIX; ASSUMP_INFERENCE_SHARE_NOT_FACT_60; ASSUMP_WORKLOAD_CLASS_MIX; ASSUMP_AGENTIC_CONTEXT_PENALTY</t>
        </is>
      </c>
      <c r="L811" s="3" t="inlineStr">
        <is>
          <t>Recompute once active power and PUE become site-observable.</t>
        </is>
      </c>
    </row>
    <row r="812">
      <c r="A812" s="3" t="inlineStr">
        <is>
          <t>Alibaba</t>
        </is>
      </c>
      <c r="B812" s="3" t="n">
        <v>2026</v>
      </c>
      <c r="C812" s="3" t="inlineStr">
        <is>
          <t>Bear</t>
        </is>
      </c>
      <c r="D812" s="3" t="inlineStr">
        <is>
          <t>ai_workload_share</t>
        </is>
      </c>
      <c r="E812" s="3" t="n">
        <v>0.84</v>
      </c>
      <c r="F812" s="3" t="inlineStr">
        <is>
          <t>share</t>
        </is>
      </c>
      <c r="G812" s="3" t="inlineStr">
        <is>
          <t>Scenario allocation</t>
        </is>
      </c>
      <c r="H812" s="3" t="inlineStr">
        <is>
          <t>ai_it_load_gw = it_load_gw * ai_workload_share</t>
        </is>
      </c>
      <c r="I812" s="3" t="inlineStr">
        <is>
          <t>Model Studio/Qwen-serving envelope is AI-focused, while cloud platform/reserve allocation is excluded through 84%.</t>
        </is>
      </c>
      <c r="J812" s="3" t="inlineStr">
        <is>
          <t>SRC_QWEN3_GITHUB; SRC_ALIBABA_QWEN_GPU_DEPLOY; SRC_EPOCH_AI_DATA_CENTERS</t>
        </is>
      </c>
      <c r="K812" s="3" t="inlineStr">
        <is>
          <t>ASSUMP_MOE_EFFICIENCY; ASSUMP_CN_CAPACITY_TRANSPARENCY; ASSUMP_NUMERIC_ACCELERATOR_MIX; ASSUMP_INFERENCE_SHARE_NOT_FACT_60; ASSUMP_WORKLOAD_CLASS_MIX; ASSUMP_AGENTIC_CONTEXT_PENALTY</t>
        </is>
      </c>
      <c r="L812" s="3" t="inlineStr">
        <is>
          <t>Model-owner AI workload allocation or cluster scheduling telemetry.</t>
        </is>
      </c>
    </row>
    <row r="813">
      <c r="A813" s="3" t="inlineStr">
        <is>
          <t>Alibaba</t>
        </is>
      </c>
      <c r="B813" s="3" t="n">
        <v>2026</v>
      </c>
      <c r="C813" s="3" t="inlineStr">
        <is>
          <t>Bear</t>
        </is>
      </c>
      <c r="D813" s="3" t="inlineStr">
        <is>
          <t>ai_it_load_gw</t>
        </is>
      </c>
      <c r="E813" s="3" t="n">
        <v>0.4</v>
      </c>
      <c r="F813" s="3" t="inlineStr">
        <is>
          <t>GW</t>
        </is>
      </c>
      <c r="G813" s="3" t="inlineStr">
        <is>
          <t>Derived formula</t>
        </is>
      </c>
      <c r="H813" s="3" t="inlineStr">
        <is>
          <t>it_load_gw * ai_workload_share</t>
        </is>
      </c>
      <c r="I813" s="3" t="inlineStr">
        <is>
          <t>Only the AI-attributed portion of IT load enters training/inference allocation.</t>
        </is>
      </c>
      <c r="J813" s="3" t="inlineStr">
        <is>
          <t>SRC_QWEN3_GITHUB; SRC_ALIBABA_QWEN_GPU_DEPLOY; SRC_EPOCH_AI_DATA_CENTERS</t>
        </is>
      </c>
      <c r="K813" s="3" t="inlineStr">
        <is>
          <t>ASSUMP_MOE_EFFICIENCY; ASSUMP_CN_CAPACITY_TRANSPARENCY; ASSUMP_NUMERIC_ACCELERATOR_MIX; ASSUMP_INFERENCE_SHARE_NOT_FACT_60; ASSUMP_WORKLOAD_CLASS_MIX; ASSUMP_AGENTIC_CONTEXT_PENALTY</t>
        </is>
      </c>
      <c r="L813" s="3" t="inlineStr">
        <is>
          <t>Recompute after ai_workload_share is replaced by telemetry.</t>
        </is>
      </c>
    </row>
    <row r="814">
      <c r="A814" s="3" t="inlineStr">
        <is>
          <t>Alibaba</t>
        </is>
      </c>
      <c r="B814" s="3" t="n">
        <v>2026</v>
      </c>
      <c r="C814" s="3" t="inlineStr">
        <is>
          <t>Bear</t>
        </is>
      </c>
      <c r="D814" s="3" t="inlineStr">
        <is>
          <t>gpu_share</t>
        </is>
      </c>
      <c r="E814" s="3" t="n">
        <v>1</v>
      </c>
      <c r="F814" s="3" t="inlineStr">
        <is>
          <t>share of inference-serving accelerator load</t>
        </is>
      </c>
      <c r="G814" s="3" t="inlineStr">
        <is>
          <t>Numeric scenario</t>
        </is>
      </c>
      <c r="H814" s="3" t="inlineStr">
        <is>
          <t>gpu_share interpolated from company 2026/2030 accelerator-mix endpoints</t>
        </is>
      </c>
      <c r="I814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14" s="3" t="inlineStr">
        <is>
          <t>SRC_QWEN3_GITHUB; SRC_ALIBABA_QWEN_GPU_DEPLOY; SRC_EPOCH_AI_DATA_CENTERS; ASSUMP_NUMERIC_ACCELERATOR_MIX</t>
        </is>
      </c>
      <c r="K814" s="3" t="inlineStr">
        <is>
          <t>ASSUMP_MOE_EFFICIENCY; ASSUMP_CN_CAPACITY_TRANSPARENCY; ASSUMP_NUMERIC_ACCELERATOR_MIX; ASSUMP_INFERENCE_SHARE_NOT_FACT_60; ASSUMP_WORKLOAD_CLASS_MIX; ASSUMP_AGENTIC_CONTEXT_PENALTY</t>
        </is>
      </c>
      <c r="L814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15">
      <c r="A815" s="3" t="inlineStr">
        <is>
          <t>Alibaba</t>
        </is>
      </c>
      <c r="B815" s="3" t="n">
        <v>2026</v>
      </c>
      <c r="C815" s="3" t="inlineStr">
        <is>
          <t>Bear</t>
        </is>
      </c>
      <c r="D815" s="3" t="inlineStr">
        <is>
          <t>h200_share</t>
        </is>
      </c>
      <c r="E815" s="3" t="n">
        <v>1</v>
      </c>
      <c r="F815" s="3" t="inlineStr">
        <is>
          <t>share of inference-serving accelerator load</t>
        </is>
      </c>
      <c r="G815" s="3" t="inlineStr">
        <is>
          <t>Editable numeric scenario</t>
        </is>
      </c>
      <c r="H815" s="3" t="inlineStr">
        <is>
          <t>h200_share = gpu_share * default_gpu_generation_mix_h200</t>
        </is>
      </c>
      <c r="I815" s="3" t="inlineStr">
        <is>
          <t>Default GPU-generation migration assumption; executive workbook allows later manual replacement by company/year/scenario.</t>
        </is>
      </c>
      <c r="J815" s="3" t="inlineStr">
        <is>
          <t>SRC_SEMIANALYSIS_INFERENCEX; ASSUMP_NUMERIC_ACCELERATOR_MIX</t>
        </is>
      </c>
      <c r="K815" s="3" t="inlineStr">
        <is>
          <t>ASSUMP_MOE_EFFICIENCY; ASSUMP_CN_CAPACITY_TRANSPARENCY; ASSUMP_NUMERIC_ACCELERATOR_MIX; ASSUMP_INFERENCE_SHARE_NOT_FACT_60; ASSUMP_WORKLOAD_CLASS_MIX; ASSUMP_AGENTIC_CONTEXT_PENALTY</t>
        </is>
      </c>
      <c r="L815" s="3" t="inlineStr">
        <is>
          <t>Company fleet inventory, accelerator-hours or procurement/deployment records by GPU generation.</t>
        </is>
      </c>
    </row>
    <row r="816">
      <c r="A816" s="3" t="inlineStr">
        <is>
          <t>Alibaba</t>
        </is>
      </c>
      <c r="B816" s="3" t="n">
        <v>2026</v>
      </c>
      <c r="C816" s="3" t="inlineStr">
        <is>
          <t>Bear</t>
        </is>
      </c>
      <c r="D816" s="3" t="inlineStr">
        <is>
          <t>b200_share</t>
        </is>
      </c>
      <c r="E816" s="3" t="n">
        <v>0</v>
      </c>
      <c r="F816" s="3" t="inlineStr">
        <is>
          <t>share of inference-serving accelerator load</t>
        </is>
      </c>
      <c r="G816" s="3" t="inlineStr">
        <is>
          <t>Editable numeric scenario</t>
        </is>
      </c>
      <c r="H816" s="3" t="inlineStr">
        <is>
          <t>b200_share = gpu_share * default_gpu_generation_mix_b200</t>
        </is>
      </c>
      <c r="I816" s="3" t="inlineStr">
        <is>
          <t>Default GPU-generation migration assumption; executive workbook allows later manual replacement by company/year/scenario.</t>
        </is>
      </c>
      <c r="J816" s="3" t="inlineStr">
        <is>
          <t>SRC_SEMIANALYSIS_INFERENCEX; ASSUMP_NUMERIC_ACCELERATOR_MIX</t>
        </is>
      </c>
      <c r="K816" s="3" t="inlineStr">
        <is>
          <t>ASSUMP_MOE_EFFICIENCY; ASSUMP_CN_CAPACITY_TRANSPARENCY; ASSUMP_NUMERIC_ACCELERATOR_MIX; ASSUMP_INFERENCE_SHARE_NOT_FACT_60; ASSUMP_WORKLOAD_CLASS_MIX; ASSUMP_AGENTIC_CONTEXT_PENALTY</t>
        </is>
      </c>
      <c r="L816" s="3" t="inlineStr">
        <is>
          <t>Company fleet inventory, accelerator-hours or procurement/deployment records by GPU generation.</t>
        </is>
      </c>
    </row>
    <row r="817">
      <c r="A817" s="3" t="inlineStr">
        <is>
          <t>Alibaba</t>
        </is>
      </c>
      <c r="B817" s="3" t="n">
        <v>2026</v>
      </c>
      <c r="C817" s="3" t="inlineStr">
        <is>
          <t>Bear</t>
        </is>
      </c>
      <c r="D817" s="3" t="inlineStr">
        <is>
          <t>gb200_share</t>
        </is>
      </c>
      <c r="E817" s="3" t="n">
        <v>0</v>
      </c>
      <c r="F817" s="3" t="inlineStr">
        <is>
          <t>share of inference-serving accelerator load</t>
        </is>
      </c>
      <c r="G817" s="3" t="inlineStr">
        <is>
          <t>Editable numeric scenario</t>
        </is>
      </c>
      <c r="H817" s="3" t="inlineStr">
        <is>
          <t>gb200_share = gpu_share * default_gpu_generation_mix_gb200</t>
        </is>
      </c>
      <c r="I817" s="3" t="inlineStr">
        <is>
          <t>Default GPU-generation migration assumption; executive workbook allows later manual replacement by company/year/scenario.</t>
        </is>
      </c>
      <c r="J817" s="3" t="inlineStr">
        <is>
          <t>SRC_SEMIANALYSIS_INFERENCEX; ASSUMP_NUMERIC_ACCELERATOR_MIX</t>
        </is>
      </c>
      <c r="K817" s="3" t="inlineStr">
        <is>
          <t>ASSUMP_MOE_EFFICIENCY; ASSUMP_CN_CAPACITY_TRANSPARENCY; ASSUMP_NUMERIC_ACCELERATOR_MIX; ASSUMP_INFERENCE_SHARE_NOT_FACT_60; ASSUMP_WORKLOAD_CLASS_MIX; ASSUMP_AGENTIC_CONTEXT_PENALTY</t>
        </is>
      </c>
      <c r="L817" s="3" t="inlineStr">
        <is>
          <t>Company fleet inventory, accelerator-hours or procurement/deployment records by GPU generation.</t>
        </is>
      </c>
    </row>
    <row r="818">
      <c r="A818" s="3" t="inlineStr">
        <is>
          <t>Alibaba</t>
        </is>
      </c>
      <c r="B818" s="3" t="n">
        <v>2026</v>
      </c>
      <c r="C818" s="3" t="inlineStr">
        <is>
          <t>Bear</t>
        </is>
      </c>
      <c r="D818" s="3" t="inlineStr">
        <is>
          <t>purpose_built_accelerator_share</t>
        </is>
      </c>
      <c r="E818" s="3" t="n">
        <v>0</v>
      </c>
      <c r="F818" s="3" t="inlineStr">
        <is>
          <t>share of inference-serving accelerator load</t>
        </is>
      </c>
      <c r="G818" s="3" t="inlineStr">
        <is>
          <t>Numeric scenario</t>
        </is>
      </c>
      <c r="H818" s="3" t="inlineStr">
        <is>
          <t>1 - gpu_share</t>
        </is>
      </c>
      <c r="I818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18" s="3" t="inlineStr">
        <is>
          <t>SRC_QWEN3_GITHUB; SRC_ALIBABA_QWEN_GPU_DEPLOY; SRC_EPOCH_AI_DATA_CENTERS; ASSUMP_NUMERIC_ACCELERATOR_MIX</t>
        </is>
      </c>
      <c r="K818" s="3" t="inlineStr">
        <is>
          <t>ASSUMP_MOE_EFFICIENCY; ASSUMP_CN_CAPACITY_TRANSPARENCY; ASSUMP_NUMERIC_ACCELERATOR_MIX; ASSUMP_INFERENCE_SHARE_NOT_FACT_60; ASSUMP_WORKLOAD_CLASS_MIX; ASSUMP_AGENTIC_CONTEXT_PENALTY</t>
        </is>
      </c>
      <c r="L818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19">
      <c r="A819" s="3" t="inlineStr">
        <is>
          <t>Alibaba</t>
        </is>
      </c>
      <c r="B819" s="3" t="n">
        <v>2026</v>
      </c>
      <c r="C819" s="3" t="inlineStr">
        <is>
          <t>Bear</t>
        </is>
      </c>
      <c r="D819" s="3" t="inlineStr">
        <is>
          <t>fleet_reference_tps_per_mw</t>
        </is>
      </c>
      <c r="E819" s="3" t="n">
        <v>166591</v>
      </c>
      <c r="F819" s="3" t="inlineStr">
        <is>
          <t>generated output tokens/sec/MW</t>
        </is>
      </c>
      <c r="G819" s="3" t="inlineStr">
        <is>
          <t>Fleet-weighted public benchmark reference</t>
        </is>
      </c>
      <c r="H819" s="3" t="inlineStr">
        <is>
          <t>h200_share*h200_workload_avg + b200_share*b200_workload_avg + gb200_share*gb200_workload_avg + purpose_built_share*purpose_workload_avg</t>
        </is>
      </c>
      <c r="I81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19" s="3" t="inlineStr">
        <is>
          <t>SRC_SEMIANALYSIS_INFERENCEX; ASSUMP_NUMERIC_ACCELERATOR_MIX; ASSUMP_WORKLOAD_CLASS_MIX; ASSUMP_AGENTIC_CONTEXT_PENALTY</t>
        </is>
      </c>
      <c r="K819" s="3" t="inlineStr">
        <is>
          <t>ASSUMP_MOE_EFFICIENCY; ASSUMP_CN_CAPACITY_TRANSPARENCY; ASSUMP_NUMERIC_ACCELERATOR_MIX; ASSUMP_INFERENCE_SHARE_NOT_FACT_60; ASSUMP_WORKLOAD_CLASS_MIX; ASSUMP_AGENTIC_CONTEXT_PENALTY</t>
        </is>
      </c>
      <c r="L819" s="3" t="inlineStr">
        <is>
          <t>Comparable production output-token throughput or a more closely matched benchmark.</t>
        </is>
      </c>
    </row>
    <row r="820">
      <c r="A820" s="3" t="inlineStr">
        <is>
          <t>Alibaba</t>
        </is>
      </c>
      <c r="B820" s="3" t="n">
        <v>2026</v>
      </c>
      <c r="C820" s="3" t="inlineStr">
        <is>
          <t>Bear</t>
        </is>
      </c>
      <c r="D820" s="3" t="inlineStr">
        <is>
          <t>commercial_workload_fit_factor</t>
        </is>
      </c>
      <c r="E820" s="3" t="n">
        <v>0.7</v>
      </c>
      <c r="F820" s="3" t="inlineStr">
        <is>
          <t>share of public reference throughput</t>
        </is>
      </c>
      <c r="G820" s="3" t="inlineStr">
        <is>
          <t>Scenario assumption</t>
        </is>
      </c>
      <c r="H820" s="3" t="inlineStr">
        <is>
          <t>reference_serving_tps_per_mw = fleet_reference_tps_per_mw * commercial_workload_fit_factor</t>
        </is>
      </c>
      <c r="I82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20" s="3" t="inlineStr">
        <is>
          <t>SRC_SEMIANALYSIS_INFERENCEX; ASSUMP_NUMERIC_ACCELERATOR_MIX; ASSUMP_WORKLOAD_CLASS_MIX; ASSUMP_AGENTIC_CONTEXT_PENALTY</t>
        </is>
      </c>
      <c r="K820" s="3" t="inlineStr">
        <is>
          <t>ASSUMP_MOE_EFFICIENCY; ASSUMP_CN_CAPACITY_TRANSPARENCY; ASSUMP_NUMERIC_ACCELERATOR_MIX; ASSUMP_INFERENCE_SHARE_NOT_FACT_60; ASSUMP_WORKLOAD_CLASS_MIX; ASSUMP_AGENTIC_CONTEXT_PENALTY</t>
        </is>
      </c>
      <c r="L820" s="3" t="inlineStr">
        <is>
          <t>Matched commercial serving benchmark by product surface, context shape and latency SLO.</t>
        </is>
      </c>
    </row>
    <row r="821">
      <c r="A821" s="3" t="inlineStr">
        <is>
          <t>Alibaba</t>
        </is>
      </c>
      <c r="B821" s="3" t="n">
        <v>2026</v>
      </c>
      <c r="C821" s="3" t="inlineStr">
        <is>
          <t>Bear</t>
        </is>
      </c>
      <c r="D821" s="3" t="inlineStr">
        <is>
          <t>reference_serving_tps_per_mw</t>
        </is>
      </c>
      <c r="E821" s="3" t="n">
        <v>116614</v>
      </c>
      <c r="F821" s="3" t="inlineStr">
        <is>
          <t>generated output tokens/sec/MW</t>
        </is>
      </c>
      <c r="G821" s="3" t="inlineStr">
        <is>
          <t>Workload-adjusted benchmark proxy</t>
        </is>
      </c>
      <c r="H821" s="3" t="inlineStr">
        <is>
          <t>fleet_reference_tps_per_mw * commercial_workload_fit_factor</t>
        </is>
      </c>
      <c r="I821" s="3" t="inlineStr">
        <is>
          <t>This is the coefficient used for headline token generation; each GPU's short chat, long chat and agentic TPS/MW are weighted before fleet mix and commercial fit are applied.</t>
        </is>
      </c>
      <c r="J821" s="3" t="inlineStr">
        <is>
          <t>SRC_SEMIANALYSIS_INFERENCEX; ASSUMP_NUMERIC_ACCELERATOR_MIX; ASSUMP_WORKLOAD_CLASS_MIX; ASSUMP_AGENTIC_CONTEXT_PENALTY</t>
        </is>
      </c>
      <c r="K821" s="3" t="inlineStr">
        <is>
          <t>ASSUMP_MOE_EFFICIENCY; ASSUMP_CN_CAPACITY_TRANSPARENCY; ASSUMP_NUMERIC_ACCELERATOR_MIX; ASSUMP_INFERENCE_SHARE_NOT_FACT_60; ASSUMP_WORKLOAD_CLASS_MIX; ASSUMP_AGENTIC_CONTEXT_PENALTY</t>
        </is>
      </c>
      <c r="L821" s="3" t="inlineStr">
        <is>
          <t>Provider production output-token throughput with comparable workload/SLO.</t>
        </is>
      </c>
    </row>
    <row r="822">
      <c r="A822" s="3" t="inlineStr">
        <is>
          <t>Alibaba</t>
        </is>
      </c>
      <c r="B822" s="3" t="n">
        <v>2026</v>
      </c>
      <c r="C822" s="3" t="inlineStr">
        <is>
          <t>Bear</t>
        </is>
      </c>
      <c r="D822" s="3" t="inlineStr">
        <is>
          <t>purpose_built_tps_per_mw</t>
        </is>
      </c>
      <c r="E822" s="3" t="n">
        <v>774713</v>
      </c>
      <c r="F822" s="3" t="inlineStr">
        <is>
          <t>generated output tokens/sec/MW</t>
        </is>
      </c>
      <c r="G822" s="3" t="inlineStr">
        <is>
          <t>Conservative no-uplift proxy</t>
        </is>
      </c>
      <c r="H822" s="3" t="inlineStr">
        <is>
          <t>purpose_built_tps_per_mw = purpose_built_reference_tps_per_mw * commercial_workload_fit_factor until comparable output-token benchmark is adopted</t>
        </is>
      </c>
      <c r="I822" s="3" t="inlineStr">
        <is>
          <t>No comparable public output-token/MW row adopted; B200 public reference placeholder is used and remains editable.</t>
        </is>
      </c>
      <c r="J822" s="3" t="inlineStr">
        <is>
          <t>SRC_QWEN3_GITHUB; SRC_ALIBABA_QWEN_GPU_DEPLOY; SRC_EPOCH_AI_DATA_CENTERS; ASSUMP_NUMERIC_ACCELERATOR_MIX</t>
        </is>
      </c>
      <c r="K822" s="3" t="inlineStr">
        <is>
          <t>ASSUMP_MOE_EFFICIENCY; ASSUMP_CN_CAPACITY_TRANSPARENCY; ASSUMP_NUMERIC_ACCELERATOR_MIX; ASSUMP_INFERENCE_SHARE_NOT_FACT_60; ASSUMP_WORKLOAD_CLASS_MIX; ASSUMP_AGENTIC_CONTEXT_PENALTY</t>
        </is>
      </c>
      <c r="L822" s="3" t="inlineStr">
        <is>
          <t>Matched-workload generated-output benchmark for the provider purpose-built accelerator.</t>
        </is>
      </c>
    </row>
    <row r="823">
      <c r="A823" s="3" t="inlineStr">
        <is>
          <t>Alibaba</t>
        </is>
      </c>
      <c r="B823" s="3" t="n">
        <v>2026</v>
      </c>
      <c r="C823" s="3" t="inlineStr">
        <is>
          <t>Bear</t>
        </is>
      </c>
      <c r="D823" s="3" t="inlineStr">
        <is>
          <t>inference_power_share</t>
        </is>
      </c>
      <c r="E823" s="3" t="n">
        <v>0.52</v>
      </c>
      <c r="F823" s="3" t="inlineStr">
        <is>
          <t>share of AI IT load</t>
        </is>
      </c>
      <c r="G823" s="3" t="inlineStr">
        <is>
          <t>Scenario allocation</t>
        </is>
      </c>
      <c r="H823" s="3" t="inlineStr">
        <is>
          <t>inference_gw = ai_it_load_gw * inference_power_share</t>
        </is>
      </c>
      <c r="I823" s="3" t="inlineStr">
        <is>
          <t>Qwen API/enterprise commercialization and MoE architecture support increasing inference allocation scenario.</t>
        </is>
      </c>
      <c r="J823" s="3" t="inlineStr">
        <is>
          <t>SRC_QWEN3_GITHUB; SRC_ALIBABA_QWEN_GPU_DEPLOY; SRC_EPOCH_AI_DATA_CENTERS; ASSUMP_INFERENCE_SHARE_NOT_FACT_60</t>
        </is>
      </c>
      <c r="K823" s="3" t="inlineStr">
        <is>
          <t>ASSUMP_MOE_EFFICIENCY; ASSUMP_CN_CAPACITY_TRANSPARENCY; ASSUMP_NUMERIC_ACCELERATOR_MIX; ASSUMP_INFERENCE_SHARE_NOT_FACT_60; ASSUMP_WORKLOAD_CLASS_MIX; ASSUMP_AGENTIC_CONTEXT_PENALTY</t>
        </is>
      </c>
      <c r="L823" s="3" t="inlineStr">
        <is>
          <t>Provider-specific inference/training workload power telemetry.</t>
        </is>
      </c>
    </row>
    <row r="824">
      <c r="A824" s="3" t="inlineStr">
        <is>
          <t>Alibaba</t>
        </is>
      </c>
      <c r="B824" s="3" t="n">
        <v>2026</v>
      </c>
      <c r="C824" s="3" t="inlineStr">
        <is>
          <t>Bear</t>
        </is>
      </c>
      <c r="D824" s="3" t="inlineStr">
        <is>
          <t>inference_gw</t>
        </is>
      </c>
      <c r="E824" s="3" t="n">
        <v>0.208</v>
      </c>
      <c r="F824" s="3" t="inlineStr">
        <is>
          <t>GW</t>
        </is>
      </c>
      <c r="G824" s="3" t="inlineStr">
        <is>
          <t>Derived formula</t>
        </is>
      </c>
      <c r="H824" s="3" t="inlineStr">
        <is>
          <t>ai_it_load_gw * inference_power_share</t>
        </is>
      </c>
      <c r="I824" s="3" t="inlineStr">
        <is>
          <t>This is the operational power eligible to become commercial generated output tokens through the selected TPS/MW proxy.</t>
        </is>
      </c>
      <c r="J824" s="3" t="inlineStr">
        <is>
          <t>SRC_QWEN3_GITHUB; SRC_ALIBABA_QWEN_GPU_DEPLOY; SRC_EPOCH_AI_DATA_CENTERS</t>
        </is>
      </c>
      <c r="K824" s="3" t="inlineStr">
        <is>
          <t>ASSUMP_MOE_EFFICIENCY; ASSUMP_CN_CAPACITY_TRANSPARENCY; ASSUMP_NUMERIC_ACCELERATOR_MIX; ASSUMP_INFERENCE_SHARE_NOT_FACT_60; ASSUMP_WORKLOAD_CLASS_MIX; ASSUMP_AGENTIC_CONTEXT_PENALTY</t>
        </is>
      </c>
      <c r="L824" s="3" t="inlineStr">
        <is>
          <t>Recompute after AI allocation or inference-share evidence changes.</t>
        </is>
      </c>
    </row>
    <row r="825">
      <c r="A825" s="3" t="inlineStr">
        <is>
          <t>Alibaba</t>
        </is>
      </c>
      <c r="B825" s="3" t="n">
        <v>2026</v>
      </c>
      <c r="C825" s="3" t="inlineStr">
        <is>
          <t>Bear</t>
        </is>
      </c>
      <c r="D825" s="3" t="inlineStr">
        <is>
          <t>training_power_share</t>
        </is>
      </c>
      <c r="E825" s="3" t="n">
        <v>0.48</v>
      </c>
      <c r="F825" s="3" t="inlineStr">
        <is>
          <t>share of AI IT load</t>
        </is>
      </c>
      <c r="G825" s="3" t="inlineStr">
        <is>
          <t>Derived allocation</t>
        </is>
      </c>
      <c r="H825" s="3" t="inlineStr">
        <is>
          <t>1 - inference_power_share</t>
        </is>
      </c>
      <c r="I825" s="3" t="inlineStr">
        <is>
          <t>Training receives the complementary modeled AI IT allocation; it is not a disclosed company workload split.</t>
        </is>
      </c>
      <c r="J825" s="3" t="inlineStr">
        <is>
          <t>SRC_QWEN3_GITHUB; SRC_ALIBABA_QWEN_GPU_DEPLOY; SRC_EPOCH_AI_DATA_CENTERS; ASSUMP_INFERENCE_SHARE_NOT_FACT_60</t>
        </is>
      </c>
      <c r="K825" s="3" t="inlineStr">
        <is>
          <t>ASSUMP_MOE_EFFICIENCY; ASSUMP_CN_CAPACITY_TRANSPARENCY; ASSUMP_NUMERIC_ACCELERATOR_MIX; ASSUMP_INFERENCE_SHARE_NOT_FACT_60; ASSUMP_WORKLOAD_CLASS_MIX; ASSUMP_AGENTIC_CONTEXT_PENALTY</t>
        </is>
      </c>
      <c r="L825" s="3" t="inlineStr">
        <is>
          <t>Provider-specific inference/training workload power telemetry.</t>
        </is>
      </c>
    </row>
    <row r="826">
      <c r="A826" s="3" t="inlineStr">
        <is>
          <t>Alibaba</t>
        </is>
      </c>
      <c r="B826" s="3" t="n">
        <v>2026</v>
      </c>
      <c r="C826" s="3" t="inlineStr">
        <is>
          <t>Bear</t>
        </is>
      </c>
      <c r="D826" s="3" t="inlineStr">
        <is>
          <t>training_gw</t>
        </is>
      </c>
      <c r="E826" s="3" t="n">
        <v>0.192</v>
      </c>
      <c r="F826" s="3" t="inlineStr">
        <is>
          <t>GW</t>
        </is>
      </c>
      <c r="G826" s="3" t="inlineStr">
        <is>
          <t>Derived formula</t>
        </is>
      </c>
      <c r="H826" s="3" t="inlineStr">
        <is>
          <t>ai_it_load_gw * training_power_share</t>
        </is>
      </c>
      <c r="I826" s="3" t="inlineStr">
        <is>
          <t>Training GW is shown separately so commercial inference token capacity is not overstated.</t>
        </is>
      </c>
      <c r="J826" s="3" t="inlineStr">
        <is>
          <t>SRC_QWEN3_GITHUB; SRC_ALIBABA_QWEN_GPU_DEPLOY; SRC_EPOCH_AI_DATA_CENTERS</t>
        </is>
      </c>
      <c r="K826" s="3" t="inlineStr">
        <is>
          <t>ASSUMP_MOE_EFFICIENCY; ASSUMP_CN_CAPACITY_TRANSPARENCY; ASSUMP_NUMERIC_ACCELERATOR_MIX; ASSUMP_INFERENCE_SHARE_NOT_FACT_60; ASSUMP_WORKLOAD_CLASS_MIX; ASSUMP_AGENTIC_CONTEXT_PENALTY</t>
        </is>
      </c>
      <c r="L826" s="3" t="inlineStr">
        <is>
          <t>Recompute after AI allocation or workload-split evidence changes.</t>
        </is>
      </c>
    </row>
    <row r="827">
      <c r="A827" s="3" t="inlineStr">
        <is>
          <t>Alibaba</t>
        </is>
      </c>
      <c r="B827" s="3" t="n">
        <v>2026</v>
      </c>
      <c r="C827" s="3" t="inlineStr">
        <is>
          <t>Bear</t>
        </is>
      </c>
      <c r="D827" s="3" t="inlineStr">
        <is>
          <t>tokens_per_second_per_mw</t>
        </is>
      </c>
      <c r="E827" s="3" t="n">
        <v>116614</v>
      </c>
      <c r="F827" s="3" t="inlineStr">
        <is>
          <t>generated output tokens/sec/MW</t>
        </is>
      </c>
      <c r="G827" s="3" t="inlineStr">
        <is>
          <t>Derived estimate + benchmark calibration</t>
        </is>
      </c>
      <c r="H827" s="3" t="inlineStr">
        <is>
          <t>fleet_reference_tps_per_mw * commercial_workload_fit_factor</t>
        </is>
      </c>
      <c r="I82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27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27" s="3" t="inlineStr">
        <is>
          <t>ASSUMP_MOE_EFFICIENCY; ASSUMP_CN_CAPACITY_TRANSPARENCY; ASSUMP_NUMERIC_ACCELERATOR_MIX; ASSUMP_INFERENCE_SHARE_NOT_FACT_60; ASSUMP_WORKLOAD_CLASS_MIX; ASSUMP_AGENTIC_CONTEXT_PENALTY</t>
        </is>
      </c>
      <c r="L827" s="3" t="inlineStr">
        <is>
          <t>Comparable production output-token throughput with model, hardware, precision, ISL/OSL and SLO matched.</t>
        </is>
      </c>
    </row>
    <row r="828">
      <c r="A828" s="3" t="inlineStr">
        <is>
          <t>Alibaba</t>
        </is>
      </c>
      <c r="B828" s="3" t="n">
        <v>2026</v>
      </c>
      <c r="C828" s="3" t="inlineStr">
        <is>
          <t>Bear</t>
        </is>
      </c>
      <c r="D828" s="3" t="inlineStr">
        <is>
          <t>inference_tokens_per_day</t>
        </is>
      </c>
      <c r="E828" s="3" t="n">
        <v>2095693516800</v>
      </c>
      <c r="F828" s="3" t="inlineStr">
        <is>
          <t>generated output tokens/day</t>
        </is>
      </c>
      <c r="G828" s="3" t="inlineStr">
        <is>
          <t>Derived headline metric</t>
        </is>
      </c>
      <c r="H828" s="3" t="inlineStr">
        <is>
          <t>inference_gw * 1000 * tokens_per_second_per_mw * 86,400</t>
        </is>
      </c>
      <c r="I828" s="3" t="inlineStr">
        <is>
          <t>Headline capacity uses no utilization, MoE, architecture or software-growth multiplier; it is not observed commercial output volume.</t>
        </is>
      </c>
      <c r="J828" s="3" t="inlineStr">
        <is>
          <t>SRC_QWEN3_GITHUB; SRC_ALIBABA_QWEN_GPU_DEPLOY; SRC_EPOCH_AI_DATA_CENTERS; SRC_SEMIANALYSIS_INFERENCEX</t>
        </is>
      </c>
      <c r="K828" s="3" t="inlineStr">
        <is>
          <t>ASSUMP_MOE_EFFICIENCY; ASSUMP_CN_CAPACITY_TRANSPARENCY; ASSUMP_NUMERIC_ACCELERATOR_MIX; ASSUMP_INFERENCE_SHARE_NOT_FACT_60; ASSUMP_WORKLOAD_CLASS_MIX; ASSUMP_AGENTIC_CONTEXT_PENALTY</t>
        </is>
      </c>
      <c r="L828" s="3" t="inlineStr">
        <is>
          <t>Provider-disclosed generated output token volume or calibrated capacity telemetry.</t>
        </is>
      </c>
    </row>
    <row r="829">
      <c r="A829" s="3" t="inlineStr">
        <is>
          <t>Alibaba</t>
        </is>
      </c>
      <c r="B829" s="3" t="n">
        <v>2026</v>
      </c>
      <c r="C829" s="3" t="inlineStr">
        <is>
          <t>Bear</t>
        </is>
      </c>
      <c r="D829" s="3" t="inlineStr">
        <is>
          <t>inference_tokens_per_year</t>
        </is>
      </c>
      <c r="E829" s="3" t="n">
        <v>764928133632000</v>
      </c>
      <c r="F829" s="3" t="inlineStr">
        <is>
          <t>generated output tokens/year</t>
        </is>
      </c>
      <c r="G829" s="3" t="inlineStr">
        <is>
          <t>Derived headline metric</t>
        </is>
      </c>
      <c r="H829" s="3" t="inlineStr">
        <is>
          <t>inference_tokens_per_day * 365</t>
        </is>
      </c>
      <c r="I829" s="3" t="inlineStr">
        <is>
          <t>Annualized version of generated output token capacity; it is not observed annual demand or billable volume.</t>
        </is>
      </c>
      <c r="J829" s="3" t="inlineStr">
        <is>
          <t>SRC_QWEN3_GITHUB; SRC_ALIBABA_QWEN_GPU_DEPLOY; SRC_EPOCH_AI_DATA_CENTERS; SRC_SEMIANALYSIS_INFERENCEX</t>
        </is>
      </c>
      <c r="K829" s="3" t="inlineStr">
        <is>
          <t>ASSUMP_MOE_EFFICIENCY; ASSUMP_CN_CAPACITY_TRANSPARENCY; ASSUMP_NUMERIC_ACCELERATOR_MIX; ASSUMP_INFERENCE_SHARE_NOT_FACT_60; ASSUMP_WORKLOAD_CLASS_MIX; ASSUMP_AGENTIC_CONTEXT_PENALTY</t>
        </is>
      </c>
      <c r="L829" s="3" t="inlineStr">
        <is>
          <t>Provider-disclosed annual generated-output volume or metered serving telemetry.</t>
        </is>
      </c>
    </row>
    <row r="830">
      <c r="A830" s="3" t="inlineStr">
        <is>
          <t>Alibaba</t>
        </is>
      </c>
      <c r="B830" s="3" t="n">
        <v>2027</v>
      </c>
      <c r="C830" s="3" t="inlineStr">
        <is>
          <t>Bear</t>
        </is>
      </c>
      <c r="D830" s="3" t="inlineStr">
        <is>
          <t>contracted_power_gw</t>
        </is>
      </c>
      <c r="E830" s="3" t="n">
        <v>2.35</v>
      </c>
      <c r="F830" s="3" t="inlineStr">
        <is>
          <t>GW</t>
        </is>
      </c>
      <c r="G830" s="3" t="inlineStr">
        <is>
          <t>Scenario capacity envelope</t>
        </is>
      </c>
      <c r="H830" s="3" t="inlineStr">
        <is>
          <t>linear interpolation between 2026 and 2030 company capacity endpoints</t>
        </is>
      </c>
      <c r="I830" s="3" t="inlineStr">
        <is>
          <t>Alibaba Cloud/Qwen capacity is a scenario envelope; official model and deployment documentation does not state operated GW.</t>
        </is>
      </c>
      <c r="J830" s="3" t="inlineStr">
        <is>
          <t>SRC_ALIBABA_QWEN_GPU_DEPLOY; ASSUMP_CN_CAPACITY_TRANSPARENCY</t>
        </is>
      </c>
      <c r="K830" s="3" t="inlineStr">
        <is>
          <t>ASSUMP_MOE_EFFICIENCY; ASSUMP_CN_CAPACITY_TRANSPARENCY; ASSUMP_NUMERIC_ACCELERATOR_MIX; ASSUMP_INFERENCE_SHARE_NOT_FACT_60; ASSUMP_WORKLOAD_CLASS_MIX; ASSUMP_AGENTIC_CONTEXT_PENALTY</t>
        </is>
      </c>
      <c r="L830" s="3" t="inlineStr">
        <is>
          <t>Company/site-level committed MW/GW, interconnect and contract disclosure.</t>
        </is>
      </c>
    </row>
    <row r="831">
      <c r="A831" s="3" t="inlineStr">
        <is>
          <t>Alibaba</t>
        </is>
      </c>
      <c r="B831" s="3" t="n">
        <v>2027</v>
      </c>
      <c r="C831" s="3" t="inlineStr">
        <is>
          <t>Bear</t>
        </is>
      </c>
      <c r="D831" s="3" t="inlineStr">
        <is>
          <t>operational_deployment_share</t>
        </is>
      </c>
      <c r="E831" s="3" t="n">
        <v>0.48212766</v>
      </c>
      <c r="F831" s="3" t="inlineStr">
        <is>
          <t>share</t>
        </is>
      </c>
      <c r="G831" s="3" t="inlineStr">
        <is>
          <t>Scenario conversion</t>
        </is>
      </c>
      <c r="H831" s="3" t="inlineStr">
        <is>
          <t>active_power_gw / contracted_power_gw</t>
        </is>
      </c>
      <c r="I831" s="3" t="inlineStr">
        <is>
          <t>This is the single explicit conversion from contracted/attributed capacity to operationally usable capacity.</t>
        </is>
      </c>
      <c r="J831" s="3" t="inlineStr">
        <is>
          <t>SRC_ALIBABA_QWEN_GPU_DEPLOY; ASSUMP_CN_CAPACITY_TRANSPARENCY</t>
        </is>
      </c>
      <c r="K831" s="3" t="inlineStr">
        <is>
          <t>ASSUMP_MOE_EFFICIENCY; ASSUMP_CN_CAPACITY_TRANSPARENCY; ASSUMP_NUMERIC_ACCELERATOR_MIX; ASSUMP_INFERENCE_SHARE_NOT_FACT_60; ASSUMP_WORKLOAD_CLASS_MIX; ASSUMP_AGENTIC_CONTEXT_PENALTY</t>
        </is>
      </c>
      <c r="L831" s="3" t="inlineStr">
        <is>
          <t>Energized operational capacity divided by contracted/attributed capacity.</t>
        </is>
      </c>
    </row>
    <row r="832">
      <c r="A832" s="3" t="inlineStr">
        <is>
          <t>Alibaba</t>
        </is>
      </c>
      <c r="B832" s="3" t="n">
        <v>2027</v>
      </c>
      <c r="C832" s="3" t="inlineStr">
        <is>
          <t>Bear</t>
        </is>
      </c>
      <c r="D832" s="3" t="inlineStr">
        <is>
          <t>active_power_gw</t>
        </is>
      </c>
      <c r="E832" s="3" t="n">
        <v>1.133</v>
      </c>
      <c r="F832" s="3" t="inlineStr">
        <is>
          <t>GW</t>
        </is>
      </c>
      <c r="G832" s="3" t="inlineStr">
        <is>
          <t>Derived scenario</t>
        </is>
      </c>
      <c r="H832" s="3" t="inlineStr">
        <is>
          <t>contracted_power_gw * operational_deployment_share</t>
        </is>
      </c>
      <c r="I832" s="3" t="inlineStr">
        <is>
          <t>Active GW is staged below capacity due to undisclosed accelerator allocation and cloud multi-tenant use.</t>
        </is>
      </c>
      <c r="J832" s="3" t="inlineStr">
        <is>
          <t>SRC_ALIBABA_QWEN_GPU_DEPLOY; ASSUMP_CN_CAPACITY_TRANSPARENCY</t>
        </is>
      </c>
      <c r="K832" s="3" t="inlineStr">
        <is>
          <t>ASSUMP_MOE_EFFICIENCY; ASSUMP_CN_CAPACITY_TRANSPARENCY; ASSUMP_NUMERIC_ACCELERATOR_MIX; ASSUMP_INFERENCE_SHARE_NOT_FACT_60; ASSUMP_WORKLOAD_CLASS_MIX; ASSUMP_AGENTIC_CONTEXT_PENALTY</t>
        </is>
      </c>
      <c r="L832" s="3" t="inlineStr">
        <is>
          <t>Energization dates, accelerator deliveries and operational powered-rack telemetry.</t>
        </is>
      </c>
    </row>
    <row r="833">
      <c r="A833" s="3" t="inlineStr">
        <is>
          <t>Alibaba</t>
        </is>
      </c>
      <c r="B833" s="3" t="n">
        <v>2027</v>
      </c>
      <c r="C833" s="3" t="inlineStr">
        <is>
          <t>Bear</t>
        </is>
      </c>
      <c r="D833" s="3" t="inlineStr">
        <is>
          <t>pue</t>
        </is>
      </c>
      <c r="E833" s="3" t="n">
        <v>1.23</v>
      </c>
      <c r="F833" s="3" t="inlineStr">
        <is>
          <t>ratio</t>
        </is>
      </c>
      <c r="G833" s="3" t="inlineStr">
        <is>
          <t>Scenario parameter</t>
        </is>
      </c>
      <c r="H833" s="3" t="inlineStr">
        <is>
          <t>it_load_gw = active_power_gw / pue</t>
        </is>
      </c>
      <c r="I833" s="3" t="inlineStr">
        <is>
          <t>No provider-wide site-level PUE is used as a disclosed fact; PUE represents facility-to-IT conversion within the scenario.</t>
        </is>
      </c>
      <c r="J833" s="3" t="inlineStr">
        <is>
          <t>ASSUMP_POWER_RAMP</t>
        </is>
      </c>
      <c r="K833" s="3" t="inlineStr">
        <is>
          <t>ASSUMP_MOE_EFFICIENCY; ASSUMP_CN_CAPACITY_TRANSPARENCY; ASSUMP_NUMERIC_ACCELERATOR_MIX; ASSUMP_INFERENCE_SHARE_NOT_FACT_60; ASSUMP_WORKLOAD_CLASS_MIX; ASSUMP_AGENTIC_CONTEXT_PENALTY</t>
        </is>
      </c>
      <c r="L833" s="3" t="inlineStr">
        <is>
          <t>Site-level measured PUE matched to attributed AI capacity.</t>
        </is>
      </c>
    </row>
    <row r="834">
      <c r="A834" s="3" t="inlineStr">
        <is>
          <t>Alibaba</t>
        </is>
      </c>
      <c r="B834" s="3" t="n">
        <v>2027</v>
      </c>
      <c r="C834" s="3" t="inlineStr">
        <is>
          <t>Bear</t>
        </is>
      </c>
      <c r="D834" s="3" t="inlineStr">
        <is>
          <t>it_load_gw</t>
        </is>
      </c>
      <c r="E834" s="3" t="n">
        <v>0.921</v>
      </c>
      <c r="F834" s="3" t="inlineStr">
        <is>
          <t>GW</t>
        </is>
      </c>
      <c r="G834" s="3" t="inlineStr">
        <is>
          <t>Derived formula</t>
        </is>
      </c>
      <c r="H834" s="3" t="inlineStr">
        <is>
          <t>active_power_gw / pue</t>
        </is>
      </c>
      <c r="I834" s="3" t="inlineStr">
        <is>
          <t>Facility power is converted to IT-deliverable power before attributing AI workloads.</t>
        </is>
      </c>
      <c r="J834" s="3" t="inlineStr">
        <is>
          <t>SRC_ALIBABA_QWEN_GPU_DEPLOY; ASSUMP_CN_CAPACITY_TRANSPARENCY</t>
        </is>
      </c>
      <c r="K834" s="3" t="inlineStr">
        <is>
          <t>ASSUMP_MOE_EFFICIENCY; ASSUMP_CN_CAPACITY_TRANSPARENCY; ASSUMP_NUMERIC_ACCELERATOR_MIX; ASSUMP_INFERENCE_SHARE_NOT_FACT_60; ASSUMP_WORKLOAD_CLASS_MIX; ASSUMP_AGENTIC_CONTEXT_PENALTY</t>
        </is>
      </c>
      <c r="L834" s="3" t="inlineStr">
        <is>
          <t>Recompute once active power and PUE become site-observable.</t>
        </is>
      </c>
    </row>
    <row r="835">
      <c r="A835" s="3" t="inlineStr">
        <is>
          <t>Alibaba</t>
        </is>
      </c>
      <c r="B835" s="3" t="n">
        <v>2027</v>
      </c>
      <c r="C835" s="3" t="inlineStr">
        <is>
          <t>Bear</t>
        </is>
      </c>
      <c r="D835" s="3" t="inlineStr">
        <is>
          <t>ai_workload_share</t>
        </is>
      </c>
      <c r="E835" s="3" t="n">
        <v>0.84</v>
      </c>
      <c r="F835" s="3" t="inlineStr">
        <is>
          <t>share</t>
        </is>
      </c>
      <c r="G835" s="3" t="inlineStr">
        <is>
          <t>Scenario allocation</t>
        </is>
      </c>
      <c r="H835" s="3" t="inlineStr">
        <is>
          <t>ai_it_load_gw = it_load_gw * ai_workload_share</t>
        </is>
      </c>
      <c r="I835" s="3" t="inlineStr">
        <is>
          <t>Model Studio/Qwen-serving envelope is AI-focused, while cloud platform/reserve allocation is excluded through 84%.</t>
        </is>
      </c>
      <c r="J835" s="3" t="inlineStr">
        <is>
          <t>SRC_QWEN3_GITHUB; SRC_ALIBABA_QWEN_GPU_DEPLOY; SRC_EPOCH_AI_DATA_CENTERS</t>
        </is>
      </c>
      <c r="K835" s="3" t="inlineStr">
        <is>
          <t>ASSUMP_MOE_EFFICIENCY; ASSUMP_CN_CAPACITY_TRANSPARENCY; ASSUMP_NUMERIC_ACCELERATOR_MIX; ASSUMP_INFERENCE_SHARE_NOT_FACT_60; ASSUMP_WORKLOAD_CLASS_MIX; ASSUMP_AGENTIC_CONTEXT_PENALTY</t>
        </is>
      </c>
      <c r="L835" s="3" t="inlineStr">
        <is>
          <t>Model-owner AI workload allocation or cluster scheduling telemetry.</t>
        </is>
      </c>
    </row>
    <row r="836">
      <c r="A836" s="3" t="inlineStr">
        <is>
          <t>Alibaba</t>
        </is>
      </c>
      <c r="B836" s="3" t="n">
        <v>2027</v>
      </c>
      <c r="C836" s="3" t="inlineStr">
        <is>
          <t>Bear</t>
        </is>
      </c>
      <c r="D836" s="3" t="inlineStr">
        <is>
          <t>ai_it_load_gw</t>
        </is>
      </c>
      <c r="E836" s="3" t="n">
        <v>0.774</v>
      </c>
      <c r="F836" s="3" t="inlineStr">
        <is>
          <t>GW</t>
        </is>
      </c>
      <c r="G836" s="3" t="inlineStr">
        <is>
          <t>Derived formula</t>
        </is>
      </c>
      <c r="H836" s="3" t="inlineStr">
        <is>
          <t>it_load_gw * ai_workload_share</t>
        </is>
      </c>
      <c r="I836" s="3" t="inlineStr">
        <is>
          <t>Only the AI-attributed portion of IT load enters training/inference allocation.</t>
        </is>
      </c>
      <c r="J836" s="3" t="inlineStr">
        <is>
          <t>SRC_QWEN3_GITHUB; SRC_ALIBABA_QWEN_GPU_DEPLOY; SRC_EPOCH_AI_DATA_CENTERS</t>
        </is>
      </c>
      <c r="K836" s="3" t="inlineStr">
        <is>
          <t>ASSUMP_MOE_EFFICIENCY; ASSUMP_CN_CAPACITY_TRANSPARENCY; ASSUMP_NUMERIC_ACCELERATOR_MIX; ASSUMP_INFERENCE_SHARE_NOT_FACT_60; ASSUMP_WORKLOAD_CLASS_MIX; ASSUMP_AGENTIC_CONTEXT_PENALTY</t>
        </is>
      </c>
      <c r="L836" s="3" t="inlineStr">
        <is>
          <t>Recompute after ai_workload_share is replaced by telemetry.</t>
        </is>
      </c>
    </row>
    <row r="837">
      <c r="A837" s="3" t="inlineStr">
        <is>
          <t>Alibaba</t>
        </is>
      </c>
      <c r="B837" s="3" t="n">
        <v>2027</v>
      </c>
      <c r="C837" s="3" t="inlineStr">
        <is>
          <t>Bear</t>
        </is>
      </c>
      <c r="D837" s="3" t="inlineStr">
        <is>
          <t>gpu_share</t>
        </is>
      </c>
      <c r="E837" s="3" t="n">
        <v>1</v>
      </c>
      <c r="F837" s="3" t="inlineStr">
        <is>
          <t>share of inference-serving accelerator load</t>
        </is>
      </c>
      <c r="G837" s="3" t="inlineStr">
        <is>
          <t>Numeric scenario</t>
        </is>
      </c>
      <c r="H837" s="3" t="inlineStr">
        <is>
          <t>gpu_share interpolated from company 2026/2030 accelerator-mix endpoints</t>
        </is>
      </c>
      <c r="I837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37" s="3" t="inlineStr">
        <is>
          <t>SRC_QWEN3_GITHUB; SRC_ALIBABA_QWEN_GPU_DEPLOY; SRC_EPOCH_AI_DATA_CENTERS; ASSUMP_NUMERIC_ACCELERATOR_MIX</t>
        </is>
      </c>
      <c r="K837" s="3" t="inlineStr">
        <is>
          <t>ASSUMP_MOE_EFFICIENCY; ASSUMP_CN_CAPACITY_TRANSPARENCY; ASSUMP_NUMERIC_ACCELERATOR_MIX; ASSUMP_INFERENCE_SHARE_NOT_FACT_60; ASSUMP_WORKLOAD_CLASS_MIX; ASSUMP_AGENTIC_CONTEXT_PENALTY</t>
        </is>
      </c>
      <c r="L837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38">
      <c r="A838" s="3" t="inlineStr">
        <is>
          <t>Alibaba</t>
        </is>
      </c>
      <c r="B838" s="3" t="n">
        <v>2027</v>
      </c>
      <c r="C838" s="3" t="inlineStr">
        <is>
          <t>Bear</t>
        </is>
      </c>
      <c r="D838" s="3" t="inlineStr">
        <is>
          <t>h200_share</t>
        </is>
      </c>
      <c r="E838" s="3" t="n">
        <v>1</v>
      </c>
      <c r="F838" s="3" t="inlineStr">
        <is>
          <t>share of inference-serving accelerator load</t>
        </is>
      </c>
      <c r="G838" s="3" t="inlineStr">
        <is>
          <t>Editable numeric scenario</t>
        </is>
      </c>
      <c r="H838" s="3" t="inlineStr">
        <is>
          <t>h200_share = gpu_share * default_gpu_generation_mix_h200</t>
        </is>
      </c>
      <c r="I838" s="3" t="inlineStr">
        <is>
          <t>Default GPU-generation migration assumption; executive workbook allows later manual replacement by company/year/scenario.</t>
        </is>
      </c>
      <c r="J838" s="3" t="inlineStr">
        <is>
          <t>SRC_SEMIANALYSIS_INFERENCEX; ASSUMP_NUMERIC_ACCELERATOR_MIX</t>
        </is>
      </c>
      <c r="K838" s="3" t="inlineStr">
        <is>
          <t>ASSUMP_MOE_EFFICIENCY; ASSUMP_CN_CAPACITY_TRANSPARENCY; ASSUMP_NUMERIC_ACCELERATOR_MIX; ASSUMP_INFERENCE_SHARE_NOT_FACT_60; ASSUMP_WORKLOAD_CLASS_MIX; ASSUMP_AGENTIC_CONTEXT_PENALTY</t>
        </is>
      </c>
      <c r="L838" s="3" t="inlineStr">
        <is>
          <t>Company fleet inventory, accelerator-hours or procurement/deployment records by GPU generation.</t>
        </is>
      </c>
    </row>
    <row r="839">
      <c r="A839" s="3" t="inlineStr">
        <is>
          <t>Alibaba</t>
        </is>
      </c>
      <c r="B839" s="3" t="n">
        <v>2027</v>
      </c>
      <c r="C839" s="3" t="inlineStr">
        <is>
          <t>Bear</t>
        </is>
      </c>
      <c r="D839" s="3" t="inlineStr">
        <is>
          <t>b200_share</t>
        </is>
      </c>
      <c r="E839" s="3" t="n">
        <v>0</v>
      </c>
      <c r="F839" s="3" t="inlineStr">
        <is>
          <t>share of inference-serving accelerator load</t>
        </is>
      </c>
      <c r="G839" s="3" t="inlineStr">
        <is>
          <t>Editable numeric scenario</t>
        </is>
      </c>
      <c r="H839" s="3" t="inlineStr">
        <is>
          <t>b200_share = gpu_share * default_gpu_generation_mix_b200</t>
        </is>
      </c>
      <c r="I839" s="3" t="inlineStr">
        <is>
          <t>Default GPU-generation migration assumption; executive workbook allows later manual replacement by company/year/scenario.</t>
        </is>
      </c>
      <c r="J839" s="3" t="inlineStr">
        <is>
          <t>SRC_SEMIANALYSIS_INFERENCEX; ASSUMP_NUMERIC_ACCELERATOR_MIX</t>
        </is>
      </c>
      <c r="K839" s="3" t="inlineStr">
        <is>
          <t>ASSUMP_MOE_EFFICIENCY; ASSUMP_CN_CAPACITY_TRANSPARENCY; ASSUMP_NUMERIC_ACCELERATOR_MIX; ASSUMP_INFERENCE_SHARE_NOT_FACT_60; ASSUMP_WORKLOAD_CLASS_MIX; ASSUMP_AGENTIC_CONTEXT_PENALTY</t>
        </is>
      </c>
      <c r="L839" s="3" t="inlineStr">
        <is>
          <t>Company fleet inventory, accelerator-hours or procurement/deployment records by GPU generation.</t>
        </is>
      </c>
    </row>
    <row r="840">
      <c r="A840" s="3" t="inlineStr">
        <is>
          <t>Alibaba</t>
        </is>
      </c>
      <c r="B840" s="3" t="n">
        <v>2027</v>
      </c>
      <c r="C840" s="3" t="inlineStr">
        <is>
          <t>Bear</t>
        </is>
      </c>
      <c r="D840" s="3" t="inlineStr">
        <is>
          <t>gb200_share</t>
        </is>
      </c>
      <c r="E840" s="3" t="n">
        <v>0</v>
      </c>
      <c r="F840" s="3" t="inlineStr">
        <is>
          <t>share of inference-serving accelerator load</t>
        </is>
      </c>
      <c r="G840" s="3" t="inlineStr">
        <is>
          <t>Editable numeric scenario</t>
        </is>
      </c>
      <c r="H840" s="3" t="inlineStr">
        <is>
          <t>gb200_share = gpu_share * default_gpu_generation_mix_gb200</t>
        </is>
      </c>
      <c r="I840" s="3" t="inlineStr">
        <is>
          <t>Default GPU-generation migration assumption; executive workbook allows later manual replacement by company/year/scenario.</t>
        </is>
      </c>
      <c r="J840" s="3" t="inlineStr">
        <is>
          <t>SRC_SEMIANALYSIS_INFERENCEX; ASSUMP_NUMERIC_ACCELERATOR_MIX</t>
        </is>
      </c>
      <c r="K840" s="3" t="inlineStr">
        <is>
          <t>ASSUMP_MOE_EFFICIENCY; ASSUMP_CN_CAPACITY_TRANSPARENCY; ASSUMP_NUMERIC_ACCELERATOR_MIX; ASSUMP_INFERENCE_SHARE_NOT_FACT_60; ASSUMP_WORKLOAD_CLASS_MIX; ASSUMP_AGENTIC_CONTEXT_PENALTY</t>
        </is>
      </c>
      <c r="L840" s="3" t="inlineStr">
        <is>
          <t>Company fleet inventory, accelerator-hours or procurement/deployment records by GPU generation.</t>
        </is>
      </c>
    </row>
    <row r="841">
      <c r="A841" s="3" t="inlineStr">
        <is>
          <t>Alibaba</t>
        </is>
      </c>
      <c r="B841" s="3" t="n">
        <v>2027</v>
      </c>
      <c r="C841" s="3" t="inlineStr">
        <is>
          <t>Bear</t>
        </is>
      </c>
      <c r="D841" s="3" t="inlineStr">
        <is>
          <t>purpose_built_accelerator_share</t>
        </is>
      </c>
      <c r="E841" s="3" t="n">
        <v>0</v>
      </c>
      <c r="F841" s="3" t="inlineStr">
        <is>
          <t>share of inference-serving accelerator load</t>
        </is>
      </c>
      <c r="G841" s="3" t="inlineStr">
        <is>
          <t>Numeric scenario</t>
        </is>
      </c>
      <c r="H841" s="3" t="inlineStr">
        <is>
          <t>1 - gpu_share</t>
        </is>
      </c>
      <c r="I841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41" s="3" t="inlineStr">
        <is>
          <t>SRC_QWEN3_GITHUB; SRC_ALIBABA_QWEN_GPU_DEPLOY; SRC_EPOCH_AI_DATA_CENTERS; ASSUMP_NUMERIC_ACCELERATOR_MIX</t>
        </is>
      </c>
      <c r="K841" s="3" t="inlineStr">
        <is>
          <t>ASSUMP_MOE_EFFICIENCY; ASSUMP_CN_CAPACITY_TRANSPARENCY; ASSUMP_NUMERIC_ACCELERATOR_MIX; ASSUMP_INFERENCE_SHARE_NOT_FACT_60; ASSUMP_WORKLOAD_CLASS_MIX; ASSUMP_AGENTIC_CONTEXT_PENALTY</t>
        </is>
      </c>
      <c r="L841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42">
      <c r="A842" s="3" t="inlineStr">
        <is>
          <t>Alibaba</t>
        </is>
      </c>
      <c r="B842" s="3" t="n">
        <v>2027</v>
      </c>
      <c r="C842" s="3" t="inlineStr">
        <is>
          <t>Bear</t>
        </is>
      </c>
      <c r="D842" s="3" t="inlineStr">
        <is>
          <t>fleet_reference_tps_per_mw</t>
        </is>
      </c>
      <c r="E842" s="3" t="n">
        <v>166591</v>
      </c>
      <c r="F842" s="3" t="inlineStr">
        <is>
          <t>generated output tokens/sec/MW</t>
        </is>
      </c>
      <c r="G842" s="3" t="inlineStr">
        <is>
          <t>Fleet-weighted public benchmark reference</t>
        </is>
      </c>
      <c r="H842" s="3" t="inlineStr">
        <is>
          <t>h200_share*h200_workload_avg + b200_share*b200_workload_avg + gb200_share*gb200_workload_avg + purpose_built_share*purpose_workload_avg</t>
        </is>
      </c>
      <c r="I84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42" s="3" t="inlineStr">
        <is>
          <t>SRC_SEMIANALYSIS_INFERENCEX; ASSUMP_NUMERIC_ACCELERATOR_MIX; ASSUMP_WORKLOAD_CLASS_MIX; ASSUMP_AGENTIC_CONTEXT_PENALTY</t>
        </is>
      </c>
      <c r="K842" s="3" t="inlineStr">
        <is>
          <t>ASSUMP_MOE_EFFICIENCY; ASSUMP_CN_CAPACITY_TRANSPARENCY; ASSUMP_NUMERIC_ACCELERATOR_MIX; ASSUMP_INFERENCE_SHARE_NOT_FACT_60; ASSUMP_WORKLOAD_CLASS_MIX; ASSUMP_AGENTIC_CONTEXT_PENALTY</t>
        </is>
      </c>
      <c r="L842" s="3" t="inlineStr">
        <is>
          <t>Comparable production output-token throughput or a more closely matched benchmark.</t>
        </is>
      </c>
    </row>
    <row r="843">
      <c r="A843" s="3" t="inlineStr">
        <is>
          <t>Alibaba</t>
        </is>
      </c>
      <c r="B843" s="3" t="n">
        <v>2027</v>
      </c>
      <c r="C843" s="3" t="inlineStr">
        <is>
          <t>Bear</t>
        </is>
      </c>
      <c r="D843" s="3" t="inlineStr">
        <is>
          <t>commercial_workload_fit_factor</t>
        </is>
      </c>
      <c r="E843" s="3" t="n">
        <v>0.7</v>
      </c>
      <c r="F843" s="3" t="inlineStr">
        <is>
          <t>share of public reference throughput</t>
        </is>
      </c>
      <c r="G843" s="3" t="inlineStr">
        <is>
          <t>Scenario assumption</t>
        </is>
      </c>
      <c r="H843" s="3" t="inlineStr">
        <is>
          <t>reference_serving_tps_per_mw = fleet_reference_tps_per_mw * commercial_workload_fit_factor</t>
        </is>
      </c>
      <c r="I84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43" s="3" t="inlineStr">
        <is>
          <t>SRC_SEMIANALYSIS_INFERENCEX; ASSUMP_NUMERIC_ACCELERATOR_MIX; ASSUMP_WORKLOAD_CLASS_MIX; ASSUMP_AGENTIC_CONTEXT_PENALTY</t>
        </is>
      </c>
      <c r="K843" s="3" t="inlineStr">
        <is>
          <t>ASSUMP_MOE_EFFICIENCY; ASSUMP_CN_CAPACITY_TRANSPARENCY; ASSUMP_NUMERIC_ACCELERATOR_MIX; ASSUMP_INFERENCE_SHARE_NOT_FACT_60; ASSUMP_WORKLOAD_CLASS_MIX; ASSUMP_AGENTIC_CONTEXT_PENALTY</t>
        </is>
      </c>
      <c r="L843" s="3" t="inlineStr">
        <is>
          <t>Matched commercial serving benchmark by product surface, context shape and latency SLO.</t>
        </is>
      </c>
    </row>
    <row r="844">
      <c r="A844" s="3" t="inlineStr">
        <is>
          <t>Alibaba</t>
        </is>
      </c>
      <c r="B844" s="3" t="n">
        <v>2027</v>
      </c>
      <c r="C844" s="3" t="inlineStr">
        <is>
          <t>Bear</t>
        </is>
      </c>
      <c r="D844" s="3" t="inlineStr">
        <is>
          <t>reference_serving_tps_per_mw</t>
        </is>
      </c>
      <c r="E844" s="3" t="n">
        <v>116614</v>
      </c>
      <c r="F844" s="3" t="inlineStr">
        <is>
          <t>generated output tokens/sec/MW</t>
        </is>
      </c>
      <c r="G844" s="3" t="inlineStr">
        <is>
          <t>Workload-adjusted benchmark proxy</t>
        </is>
      </c>
      <c r="H844" s="3" t="inlineStr">
        <is>
          <t>fleet_reference_tps_per_mw * commercial_workload_fit_factor</t>
        </is>
      </c>
      <c r="I844" s="3" t="inlineStr">
        <is>
          <t>This is the coefficient used for headline token generation; each GPU's short chat, long chat and agentic TPS/MW are weighted before fleet mix and commercial fit are applied.</t>
        </is>
      </c>
      <c r="J844" s="3" t="inlineStr">
        <is>
          <t>SRC_SEMIANALYSIS_INFERENCEX; ASSUMP_NUMERIC_ACCELERATOR_MIX; ASSUMP_WORKLOAD_CLASS_MIX; ASSUMP_AGENTIC_CONTEXT_PENALTY</t>
        </is>
      </c>
      <c r="K844" s="3" t="inlineStr">
        <is>
          <t>ASSUMP_MOE_EFFICIENCY; ASSUMP_CN_CAPACITY_TRANSPARENCY; ASSUMP_NUMERIC_ACCELERATOR_MIX; ASSUMP_INFERENCE_SHARE_NOT_FACT_60; ASSUMP_WORKLOAD_CLASS_MIX; ASSUMP_AGENTIC_CONTEXT_PENALTY</t>
        </is>
      </c>
      <c r="L844" s="3" t="inlineStr">
        <is>
          <t>Provider production output-token throughput with comparable workload/SLO.</t>
        </is>
      </c>
    </row>
    <row r="845">
      <c r="A845" s="3" t="inlineStr">
        <is>
          <t>Alibaba</t>
        </is>
      </c>
      <c r="B845" s="3" t="n">
        <v>2027</v>
      </c>
      <c r="C845" s="3" t="inlineStr">
        <is>
          <t>Bear</t>
        </is>
      </c>
      <c r="D845" s="3" t="inlineStr">
        <is>
          <t>purpose_built_tps_per_mw</t>
        </is>
      </c>
      <c r="E845" s="3" t="n">
        <v>774713</v>
      </c>
      <c r="F845" s="3" t="inlineStr">
        <is>
          <t>generated output tokens/sec/MW</t>
        </is>
      </c>
      <c r="G845" s="3" t="inlineStr">
        <is>
          <t>Conservative no-uplift proxy</t>
        </is>
      </c>
      <c r="H845" s="3" t="inlineStr">
        <is>
          <t>purpose_built_tps_per_mw = purpose_built_reference_tps_per_mw * commercial_workload_fit_factor until comparable output-token benchmark is adopted</t>
        </is>
      </c>
      <c r="I845" s="3" t="inlineStr">
        <is>
          <t>No comparable public output-token/MW row adopted; B200 public reference placeholder is used and remains editable.</t>
        </is>
      </c>
      <c r="J845" s="3" t="inlineStr">
        <is>
          <t>SRC_QWEN3_GITHUB; SRC_ALIBABA_QWEN_GPU_DEPLOY; SRC_EPOCH_AI_DATA_CENTERS; ASSUMP_NUMERIC_ACCELERATOR_MIX</t>
        </is>
      </c>
      <c r="K845" s="3" t="inlineStr">
        <is>
          <t>ASSUMP_MOE_EFFICIENCY; ASSUMP_CN_CAPACITY_TRANSPARENCY; ASSUMP_NUMERIC_ACCELERATOR_MIX; ASSUMP_INFERENCE_SHARE_NOT_FACT_60; ASSUMP_WORKLOAD_CLASS_MIX; ASSUMP_AGENTIC_CONTEXT_PENALTY</t>
        </is>
      </c>
      <c r="L845" s="3" t="inlineStr">
        <is>
          <t>Matched-workload generated-output benchmark for the provider purpose-built accelerator.</t>
        </is>
      </c>
    </row>
    <row r="846">
      <c r="A846" s="3" t="inlineStr">
        <is>
          <t>Alibaba</t>
        </is>
      </c>
      <c r="B846" s="3" t="n">
        <v>2027</v>
      </c>
      <c r="C846" s="3" t="inlineStr">
        <is>
          <t>Bear</t>
        </is>
      </c>
      <c r="D846" s="3" t="inlineStr">
        <is>
          <t>inference_power_share</t>
        </is>
      </c>
      <c r="E846" s="3" t="n">
        <v>0.5649999999999999</v>
      </c>
      <c r="F846" s="3" t="inlineStr">
        <is>
          <t>share of AI IT load</t>
        </is>
      </c>
      <c r="G846" s="3" t="inlineStr">
        <is>
          <t>Scenario allocation</t>
        </is>
      </c>
      <c r="H846" s="3" t="inlineStr">
        <is>
          <t>inference_gw = ai_it_load_gw * inference_power_share</t>
        </is>
      </c>
      <c r="I846" s="3" t="inlineStr">
        <is>
          <t>Qwen API/enterprise commercialization and MoE architecture support increasing inference allocation scenario.</t>
        </is>
      </c>
      <c r="J846" s="3" t="inlineStr">
        <is>
          <t>SRC_QWEN3_GITHUB; SRC_ALIBABA_QWEN_GPU_DEPLOY; SRC_EPOCH_AI_DATA_CENTERS; ASSUMP_INFERENCE_SHARE_NOT_FACT_60</t>
        </is>
      </c>
      <c r="K846" s="3" t="inlineStr">
        <is>
          <t>ASSUMP_MOE_EFFICIENCY; ASSUMP_CN_CAPACITY_TRANSPARENCY; ASSUMP_NUMERIC_ACCELERATOR_MIX; ASSUMP_INFERENCE_SHARE_NOT_FACT_60; ASSUMP_WORKLOAD_CLASS_MIX; ASSUMP_AGENTIC_CONTEXT_PENALTY</t>
        </is>
      </c>
      <c r="L846" s="3" t="inlineStr">
        <is>
          <t>Provider-specific inference/training workload power telemetry.</t>
        </is>
      </c>
    </row>
    <row r="847">
      <c r="A847" s="3" t="inlineStr">
        <is>
          <t>Alibaba</t>
        </is>
      </c>
      <c r="B847" s="3" t="n">
        <v>2027</v>
      </c>
      <c r="C847" s="3" t="inlineStr">
        <is>
          <t>Bear</t>
        </is>
      </c>
      <c r="D847" s="3" t="inlineStr">
        <is>
          <t>inference_gw</t>
        </is>
      </c>
      <c r="E847" s="3" t="n">
        <v>0.437</v>
      </c>
      <c r="F847" s="3" t="inlineStr">
        <is>
          <t>GW</t>
        </is>
      </c>
      <c r="G847" s="3" t="inlineStr">
        <is>
          <t>Derived formula</t>
        </is>
      </c>
      <c r="H847" s="3" t="inlineStr">
        <is>
          <t>ai_it_load_gw * inference_power_share</t>
        </is>
      </c>
      <c r="I847" s="3" t="inlineStr">
        <is>
          <t>This is the operational power eligible to become commercial generated output tokens through the selected TPS/MW proxy.</t>
        </is>
      </c>
      <c r="J847" s="3" t="inlineStr">
        <is>
          <t>SRC_QWEN3_GITHUB; SRC_ALIBABA_QWEN_GPU_DEPLOY; SRC_EPOCH_AI_DATA_CENTERS</t>
        </is>
      </c>
      <c r="K847" s="3" t="inlineStr">
        <is>
          <t>ASSUMP_MOE_EFFICIENCY; ASSUMP_CN_CAPACITY_TRANSPARENCY; ASSUMP_NUMERIC_ACCELERATOR_MIX; ASSUMP_INFERENCE_SHARE_NOT_FACT_60; ASSUMP_WORKLOAD_CLASS_MIX; ASSUMP_AGENTIC_CONTEXT_PENALTY</t>
        </is>
      </c>
      <c r="L847" s="3" t="inlineStr">
        <is>
          <t>Recompute after AI allocation or inference-share evidence changes.</t>
        </is>
      </c>
    </row>
    <row r="848">
      <c r="A848" s="3" t="inlineStr">
        <is>
          <t>Alibaba</t>
        </is>
      </c>
      <c r="B848" s="3" t="n">
        <v>2027</v>
      </c>
      <c r="C848" s="3" t="inlineStr">
        <is>
          <t>Bear</t>
        </is>
      </c>
      <c r="D848" s="3" t="inlineStr">
        <is>
          <t>training_power_share</t>
        </is>
      </c>
      <c r="E848" s="3" t="n">
        <v>0.435</v>
      </c>
      <c r="F848" s="3" t="inlineStr">
        <is>
          <t>share of AI IT load</t>
        </is>
      </c>
      <c r="G848" s="3" t="inlineStr">
        <is>
          <t>Derived allocation</t>
        </is>
      </c>
      <c r="H848" s="3" t="inlineStr">
        <is>
          <t>1 - inference_power_share</t>
        </is>
      </c>
      <c r="I848" s="3" t="inlineStr">
        <is>
          <t>Training receives the complementary modeled AI IT allocation; it is not a disclosed company workload split.</t>
        </is>
      </c>
      <c r="J848" s="3" t="inlineStr">
        <is>
          <t>SRC_QWEN3_GITHUB; SRC_ALIBABA_QWEN_GPU_DEPLOY; SRC_EPOCH_AI_DATA_CENTERS; ASSUMP_INFERENCE_SHARE_NOT_FACT_60</t>
        </is>
      </c>
      <c r="K848" s="3" t="inlineStr">
        <is>
          <t>ASSUMP_MOE_EFFICIENCY; ASSUMP_CN_CAPACITY_TRANSPARENCY; ASSUMP_NUMERIC_ACCELERATOR_MIX; ASSUMP_INFERENCE_SHARE_NOT_FACT_60; ASSUMP_WORKLOAD_CLASS_MIX; ASSUMP_AGENTIC_CONTEXT_PENALTY</t>
        </is>
      </c>
      <c r="L848" s="3" t="inlineStr">
        <is>
          <t>Provider-specific inference/training workload power telemetry.</t>
        </is>
      </c>
    </row>
    <row r="849">
      <c r="A849" s="3" t="inlineStr">
        <is>
          <t>Alibaba</t>
        </is>
      </c>
      <c r="B849" s="3" t="n">
        <v>2027</v>
      </c>
      <c r="C849" s="3" t="inlineStr">
        <is>
          <t>Bear</t>
        </is>
      </c>
      <c r="D849" s="3" t="inlineStr">
        <is>
          <t>training_gw</t>
        </is>
      </c>
      <c r="E849" s="3" t="n">
        <v>0.337</v>
      </c>
      <c r="F849" s="3" t="inlineStr">
        <is>
          <t>GW</t>
        </is>
      </c>
      <c r="G849" s="3" t="inlineStr">
        <is>
          <t>Derived formula</t>
        </is>
      </c>
      <c r="H849" s="3" t="inlineStr">
        <is>
          <t>ai_it_load_gw * training_power_share</t>
        </is>
      </c>
      <c r="I849" s="3" t="inlineStr">
        <is>
          <t>Training GW is shown separately so commercial inference token capacity is not overstated.</t>
        </is>
      </c>
      <c r="J849" s="3" t="inlineStr">
        <is>
          <t>SRC_QWEN3_GITHUB; SRC_ALIBABA_QWEN_GPU_DEPLOY; SRC_EPOCH_AI_DATA_CENTERS</t>
        </is>
      </c>
      <c r="K849" s="3" t="inlineStr">
        <is>
          <t>ASSUMP_MOE_EFFICIENCY; ASSUMP_CN_CAPACITY_TRANSPARENCY; ASSUMP_NUMERIC_ACCELERATOR_MIX; ASSUMP_INFERENCE_SHARE_NOT_FACT_60; ASSUMP_WORKLOAD_CLASS_MIX; ASSUMP_AGENTIC_CONTEXT_PENALTY</t>
        </is>
      </c>
      <c r="L849" s="3" t="inlineStr">
        <is>
          <t>Recompute after AI allocation or workload-split evidence changes.</t>
        </is>
      </c>
    </row>
    <row r="850">
      <c r="A850" s="3" t="inlineStr">
        <is>
          <t>Alibaba</t>
        </is>
      </c>
      <c r="B850" s="3" t="n">
        <v>2027</v>
      </c>
      <c r="C850" s="3" t="inlineStr">
        <is>
          <t>Bear</t>
        </is>
      </c>
      <c r="D850" s="3" t="inlineStr">
        <is>
          <t>tokens_per_second_per_mw</t>
        </is>
      </c>
      <c r="E850" s="3" t="n">
        <v>116614</v>
      </c>
      <c r="F850" s="3" t="inlineStr">
        <is>
          <t>generated output tokens/sec/MW</t>
        </is>
      </c>
      <c r="G850" s="3" t="inlineStr">
        <is>
          <t>Derived estimate + benchmark calibration</t>
        </is>
      </c>
      <c r="H850" s="3" t="inlineStr">
        <is>
          <t>fleet_reference_tps_per_mw * commercial_workload_fit_factor</t>
        </is>
      </c>
      <c r="I85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50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50" s="3" t="inlineStr">
        <is>
          <t>ASSUMP_MOE_EFFICIENCY; ASSUMP_CN_CAPACITY_TRANSPARENCY; ASSUMP_NUMERIC_ACCELERATOR_MIX; ASSUMP_INFERENCE_SHARE_NOT_FACT_60; ASSUMP_WORKLOAD_CLASS_MIX; ASSUMP_AGENTIC_CONTEXT_PENALTY</t>
        </is>
      </c>
      <c r="L850" s="3" t="inlineStr">
        <is>
          <t>Comparable production output-token throughput with model, hardware, precision, ISL/OSL and SLO matched.</t>
        </is>
      </c>
    </row>
    <row r="851">
      <c r="A851" s="3" t="inlineStr">
        <is>
          <t>Alibaba</t>
        </is>
      </c>
      <c r="B851" s="3" t="n">
        <v>2027</v>
      </c>
      <c r="C851" s="3" t="inlineStr">
        <is>
          <t>Bear</t>
        </is>
      </c>
      <c r="D851" s="3" t="inlineStr">
        <is>
          <t>inference_tokens_per_day</t>
        </is>
      </c>
      <c r="E851" s="3" t="n">
        <v>4402971475200</v>
      </c>
      <c r="F851" s="3" t="inlineStr">
        <is>
          <t>generated output tokens/day</t>
        </is>
      </c>
      <c r="G851" s="3" t="inlineStr">
        <is>
          <t>Derived headline metric</t>
        </is>
      </c>
      <c r="H851" s="3" t="inlineStr">
        <is>
          <t>inference_gw * 1000 * tokens_per_second_per_mw * 86,400</t>
        </is>
      </c>
      <c r="I851" s="3" t="inlineStr">
        <is>
          <t>Headline capacity uses no utilization, MoE, architecture or software-growth multiplier; it is not observed commercial output volume.</t>
        </is>
      </c>
      <c r="J851" s="3" t="inlineStr">
        <is>
          <t>SRC_QWEN3_GITHUB; SRC_ALIBABA_QWEN_GPU_DEPLOY; SRC_EPOCH_AI_DATA_CENTERS; SRC_SEMIANALYSIS_INFERENCEX</t>
        </is>
      </c>
      <c r="K851" s="3" t="inlineStr">
        <is>
          <t>ASSUMP_MOE_EFFICIENCY; ASSUMP_CN_CAPACITY_TRANSPARENCY; ASSUMP_NUMERIC_ACCELERATOR_MIX; ASSUMP_INFERENCE_SHARE_NOT_FACT_60; ASSUMP_WORKLOAD_CLASS_MIX; ASSUMP_AGENTIC_CONTEXT_PENALTY</t>
        </is>
      </c>
      <c r="L851" s="3" t="inlineStr">
        <is>
          <t>Provider-disclosed generated output token volume or calibrated capacity telemetry.</t>
        </is>
      </c>
    </row>
    <row r="852">
      <c r="A852" s="3" t="inlineStr">
        <is>
          <t>Alibaba</t>
        </is>
      </c>
      <c r="B852" s="3" t="n">
        <v>2027</v>
      </c>
      <c r="C852" s="3" t="inlineStr">
        <is>
          <t>Bear</t>
        </is>
      </c>
      <c r="D852" s="3" t="inlineStr">
        <is>
          <t>inference_tokens_per_year</t>
        </is>
      </c>
      <c r="E852" s="3" t="n">
        <v>1607084588448000</v>
      </c>
      <c r="F852" s="3" t="inlineStr">
        <is>
          <t>generated output tokens/year</t>
        </is>
      </c>
      <c r="G852" s="3" t="inlineStr">
        <is>
          <t>Derived headline metric</t>
        </is>
      </c>
      <c r="H852" s="3" t="inlineStr">
        <is>
          <t>inference_tokens_per_day * 365</t>
        </is>
      </c>
      <c r="I852" s="3" t="inlineStr">
        <is>
          <t>Annualized version of generated output token capacity; it is not observed annual demand or billable volume.</t>
        </is>
      </c>
      <c r="J852" s="3" t="inlineStr">
        <is>
          <t>SRC_QWEN3_GITHUB; SRC_ALIBABA_QWEN_GPU_DEPLOY; SRC_EPOCH_AI_DATA_CENTERS; SRC_SEMIANALYSIS_INFERENCEX</t>
        </is>
      </c>
      <c r="K852" s="3" t="inlineStr">
        <is>
          <t>ASSUMP_MOE_EFFICIENCY; ASSUMP_CN_CAPACITY_TRANSPARENCY; ASSUMP_NUMERIC_ACCELERATOR_MIX; ASSUMP_INFERENCE_SHARE_NOT_FACT_60; ASSUMP_WORKLOAD_CLASS_MIX; ASSUMP_AGENTIC_CONTEXT_PENALTY</t>
        </is>
      </c>
      <c r="L852" s="3" t="inlineStr">
        <is>
          <t>Provider-disclosed annual generated-output volume or metered serving telemetry.</t>
        </is>
      </c>
    </row>
    <row r="853">
      <c r="A853" s="3" t="inlineStr">
        <is>
          <t>Alibaba</t>
        </is>
      </c>
      <c r="B853" s="3" t="n">
        <v>2028</v>
      </c>
      <c r="C853" s="3" t="inlineStr">
        <is>
          <t>Bear</t>
        </is>
      </c>
      <c r="D853" s="3" t="inlineStr">
        <is>
          <t>contracted_power_gw</t>
        </is>
      </c>
      <c r="E853" s="3" t="n">
        <v>2.9</v>
      </c>
      <c r="F853" s="3" t="inlineStr">
        <is>
          <t>GW</t>
        </is>
      </c>
      <c r="G853" s="3" t="inlineStr">
        <is>
          <t>Scenario capacity envelope</t>
        </is>
      </c>
      <c r="H853" s="3" t="inlineStr">
        <is>
          <t>linear interpolation between 2026 and 2030 company capacity endpoints</t>
        </is>
      </c>
      <c r="I853" s="3" t="inlineStr">
        <is>
          <t>Alibaba Cloud/Qwen capacity is a scenario envelope; official model and deployment documentation does not state operated GW.</t>
        </is>
      </c>
      <c r="J853" s="3" t="inlineStr">
        <is>
          <t>SRC_ALIBABA_QWEN_GPU_DEPLOY; ASSUMP_CN_CAPACITY_TRANSPARENCY</t>
        </is>
      </c>
      <c r="K853" s="3" t="inlineStr">
        <is>
          <t>ASSUMP_MOE_EFFICIENCY; ASSUMP_CN_CAPACITY_TRANSPARENCY; ASSUMP_NUMERIC_ACCELERATOR_MIX; ASSUMP_INFERENCE_SHARE_NOT_FACT_60; ASSUMP_WORKLOAD_CLASS_MIX; ASSUMP_AGENTIC_CONTEXT_PENALTY</t>
        </is>
      </c>
      <c r="L853" s="3" t="inlineStr">
        <is>
          <t>Company/site-level committed MW/GW, interconnect and contract disclosure.</t>
        </is>
      </c>
    </row>
    <row r="854">
      <c r="A854" s="3" t="inlineStr">
        <is>
          <t>Alibaba</t>
        </is>
      </c>
      <c r="B854" s="3" t="n">
        <v>2028</v>
      </c>
      <c r="C854" s="3" t="inlineStr">
        <is>
          <t>Bear</t>
        </is>
      </c>
      <c r="D854" s="3" t="inlineStr">
        <is>
          <t>operational_deployment_share</t>
        </is>
      </c>
      <c r="E854" s="3" t="n">
        <v>0.57103448</v>
      </c>
      <c r="F854" s="3" t="inlineStr">
        <is>
          <t>share</t>
        </is>
      </c>
      <c r="G854" s="3" t="inlineStr">
        <is>
          <t>Scenario conversion</t>
        </is>
      </c>
      <c r="H854" s="3" t="inlineStr">
        <is>
          <t>active_power_gw / contracted_power_gw</t>
        </is>
      </c>
      <c r="I854" s="3" t="inlineStr">
        <is>
          <t>This is the single explicit conversion from contracted/attributed capacity to operationally usable capacity.</t>
        </is>
      </c>
      <c r="J854" s="3" t="inlineStr">
        <is>
          <t>SRC_ALIBABA_QWEN_GPU_DEPLOY; ASSUMP_CN_CAPACITY_TRANSPARENCY</t>
        </is>
      </c>
      <c r="K854" s="3" t="inlineStr">
        <is>
          <t>ASSUMP_MOE_EFFICIENCY; ASSUMP_CN_CAPACITY_TRANSPARENCY; ASSUMP_NUMERIC_ACCELERATOR_MIX; ASSUMP_INFERENCE_SHARE_NOT_FACT_60; ASSUMP_WORKLOAD_CLASS_MIX; ASSUMP_AGENTIC_CONTEXT_PENALTY</t>
        </is>
      </c>
      <c r="L854" s="3" t="inlineStr">
        <is>
          <t>Energized operational capacity divided by contracted/attributed capacity.</t>
        </is>
      </c>
    </row>
    <row r="855">
      <c r="A855" s="3" t="inlineStr">
        <is>
          <t>Alibaba</t>
        </is>
      </c>
      <c r="B855" s="3" t="n">
        <v>2028</v>
      </c>
      <c r="C855" s="3" t="inlineStr">
        <is>
          <t>Bear</t>
        </is>
      </c>
      <c r="D855" s="3" t="inlineStr">
        <is>
          <t>active_power_gw</t>
        </is>
      </c>
      <c r="E855" s="3" t="n">
        <v>1.656</v>
      </c>
      <c r="F855" s="3" t="inlineStr">
        <is>
          <t>GW</t>
        </is>
      </c>
      <c r="G855" s="3" t="inlineStr">
        <is>
          <t>Derived scenario</t>
        </is>
      </c>
      <c r="H855" s="3" t="inlineStr">
        <is>
          <t>contracted_power_gw * operational_deployment_share</t>
        </is>
      </c>
      <c r="I855" s="3" t="inlineStr">
        <is>
          <t>Active GW is staged below capacity due to undisclosed accelerator allocation and cloud multi-tenant use.</t>
        </is>
      </c>
      <c r="J855" s="3" t="inlineStr">
        <is>
          <t>SRC_ALIBABA_QWEN_GPU_DEPLOY; ASSUMP_CN_CAPACITY_TRANSPARENCY</t>
        </is>
      </c>
      <c r="K855" s="3" t="inlineStr">
        <is>
          <t>ASSUMP_MOE_EFFICIENCY; ASSUMP_CN_CAPACITY_TRANSPARENCY; ASSUMP_NUMERIC_ACCELERATOR_MIX; ASSUMP_INFERENCE_SHARE_NOT_FACT_60; ASSUMP_WORKLOAD_CLASS_MIX; ASSUMP_AGENTIC_CONTEXT_PENALTY</t>
        </is>
      </c>
      <c r="L855" s="3" t="inlineStr">
        <is>
          <t>Energization dates, accelerator deliveries and operational powered-rack telemetry.</t>
        </is>
      </c>
    </row>
    <row r="856">
      <c r="A856" s="3" t="inlineStr">
        <is>
          <t>Alibaba</t>
        </is>
      </c>
      <c r="B856" s="3" t="n">
        <v>2028</v>
      </c>
      <c r="C856" s="3" t="inlineStr">
        <is>
          <t>Bear</t>
        </is>
      </c>
      <c r="D856" s="3" t="inlineStr">
        <is>
          <t>pue</t>
        </is>
      </c>
      <c r="E856" s="3" t="n">
        <v>1.23</v>
      </c>
      <c r="F856" s="3" t="inlineStr">
        <is>
          <t>ratio</t>
        </is>
      </c>
      <c r="G856" s="3" t="inlineStr">
        <is>
          <t>Scenario parameter</t>
        </is>
      </c>
      <c r="H856" s="3" t="inlineStr">
        <is>
          <t>it_load_gw = active_power_gw / pue</t>
        </is>
      </c>
      <c r="I856" s="3" t="inlineStr">
        <is>
          <t>No provider-wide site-level PUE is used as a disclosed fact; PUE represents facility-to-IT conversion within the scenario.</t>
        </is>
      </c>
      <c r="J856" s="3" t="inlineStr">
        <is>
          <t>ASSUMP_POWER_RAMP</t>
        </is>
      </c>
      <c r="K856" s="3" t="inlineStr">
        <is>
          <t>ASSUMP_MOE_EFFICIENCY; ASSUMP_CN_CAPACITY_TRANSPARENCY; ASSUMP_NUMERIC_ACCELERATOR_MIX; ASSUMP_INFERENCE_SHARE_NOT_FACT_60; ASSUMP_WORKLOAD_CLASS_MIX; ASSUMP_AGENTIC_CONTEXT_PENALTY</t>
        </is>
      </c>
      <c r="L856" s="3" t="inlineStr">
        <is>
          <t>Site-level measured PUE matched to attributed AI capacity.</t>
        </is>
      </c>
    </row>
    <row r="857">
      <c r="A857" s="3" t="inlineStr">
        <is>
          <t>Alibaba</t>
        </is>
      </c>
      <c r="B857" s="3" t="n">
        <v>2028</v>
      </c>
      <c r="C857" s="3" t="inlineStr">
        <is>
          <t>Bear</t>
        </is>
      </c>
      <c r="D857" s="3" t="inlineStr">
        <is>
          <t>it_load_gw</t>
        </is>
      </c>
      <c r="E857" s="3" t="n">
        <v>1.346</v>
      </c>
      <c r="F857" s="3" t="inlineStr">
        <is>
          <t>GW</t>
        </is>
      </c>
      <c r="G857" s="3" t="inlineStr">
        <is>
          <t>Derived formula</t>
        </is>
      </c>
      <c r="H857" s="3" t="inlineStr">
        <is>
          <t>active_power_gw / pue</t>
        </is>
      </c>
      <c r="I857" s="3" t="inlineStr">
        <is>
          <t>Facility power is converted to IT-deliverable power before attributing AI workloads.</t>
        </is>
      </c>
      <c r="J857" s="3" t="inlineStr">
        <is>
          <t>SRC_ALIBABA_QWEN_GPU_DEPLOY; ASSUMP_CN_CAPACITY_TRANSPARENCY</t>
        </is>
      </c>
      <c r="K857" s="3" t="inlineStr">
        <is>
          <t>ASSUMP_MOE_EFFICIENCY; ASSUMP_CN_CAPACITY_TRANSPARENCY; ASSUMP_NUMERIC_ACCELERATOR_MIX; ASSUMP_INFERENCE_SHARE_NOT_FACT_60; ASSUMP_WORKLOAD_CLASS_MIX; ASSUMP_AGENTIC_CONTEXT_PENALTY</t>
        </is>
      </c>
      <c r="L857" s="3" t="inlineStr">
        <is>
          <t>Recompute once active power and PUE become site-observable.</t>
        </is>
      </c>
    </row>
    <row r="858">
      <c r="A858" s="3" t="inlineStr">
        <is>
          <t>Alibaba</t>
        </is>
      </c>
      <c r="B858" s="3" t="n">
        <v>2028</v>
      </c>
      <c r="C858" s="3" t="inlineStr">
        <is>
          <t>Bear</t>
        </is>
      </c>
      <c r="D858" s="3" t="inlineStr">
        <is>
          <t>ai_workload_share</t>
        </is>
      </c>
      <c r="E858" s="3" t="n">
        <v>0.84</v>
      </c>
      <c r="F858" s="3" t="inlineStr">
        <is>
          <t>share</t>
        </is>
      </c>
      <c r="G858" s="3" t="inlineStr">
        <is>
          <t>Scenario allocation</t>
        </is>
      </c>
      <c r="H858" s="3" t="inlineStr">
        <is>
          <t>ai_it_load_gw = it_load_gw * ai_workload_share</t>
        </is>
      </c>
      <c r="I858" s="3" t="inlineStr">
        <is>
          <t>Model Studio/Qwen-serving envelope is AI-focused, while cloud platform/reserve allocation is excluded through 84%.</t>
        </is>
      </c>
      <c r="J858" s="3" t="inlineStr">
        <is>
          <t>SRC_QWEN3_GITHUB; SRC_ALIBABA_QWEN_GPU_DEPLOY; SRC_EPOCH_AI_DATA_CENTERS</t>
        </is>
      </c>
      <c r="K858" s="3" t="inlineStr">
        <is>
          <t>ASSUMP_MOE_EFFICIENCY; ASSUMP_CN_CAPACITY_TRANSPARENCY; ASSUMP_NUMERIC_ACCELERATOR_MIX; ASSUMP_INFERENCE_SHARE_NOT_FACT_60; ASSUMP_WORKLOAD_CLASS_MIX; ASSUMP_AGENTIC_CONTEXT_PENALTY</t>
        </is>
      </c>
      <c r="L858" s="3" t="inlineStr">
        <is>
          <t>Model-owner AI workload allocation or cluster scheduling telemetry.</t>
        </is>
      </c>
    </row>
    <row r="859">
      <c r="A859" s="3" t="inlineStr">
        <is>
          <t>Alibaba</t>
        </is>
      </c>
      <c r="B859" s="3" t="n">
        <v>2028</v>
      </c>
      <c r="C859" s="3" t="inlineStr">
        <is>
          <t>Bear</t>
        </is>
      </c>
      <c r="D859" s="3" t="inlineStr">
        <is>
          <t>ai_it_load_gw</t>
        </is>
      </c>
      <c r="E859" s="3" t="n">
        <v>1.131</v>
      </c>
      <c r="F859" s="3" t="inlineStr">
        <is>
          <t>GW</t>
        </is>
      </c>
      <c r="G859" s="3" t="inlineStr">
        <is>
          <t>Derived formula</t>
        </is>
      </c>
      <c r="H859" s="3" t="inlineStr">
        <is>
          <t>it_load_gw * ai_workload_share</t>
        </is>
      </c>
      <c r="I859" s="3" t="inlineStr">
        <is>
          <t>Only the AI-attributed portion of IT load enters training/inference allocation.</t>
        </is>
      </c>
      <c r="J859" s="3" t="inlineStr">
        <is>
          <t>SRC_QWEN3_GITHUB; SRC_ALIBABA_QWEN_GPU_DEPLOY; SRC_EPOCH_AI_DATA_CENTERS</t>
        </is>
      </c>
      <c r="K859" s="3" t="inlineStr">
        <is>
          <t>ASSUMP_MOE_EFFICIENCY; ASSUMP_CN_CAPACITY_TRANSPARENCY; ASSUMP_NUMERIC_ACCELERATOR_MIX; ASSUMP_INFERENCE_SHARE_NOT_FACT_60; ASSUMP_WORKLOAD_CLASS_MIX; ASSUMP_AGENTIC_CONTEXT_PENALTY</t>
        </is>
      </c>
      <c r="L859" s="3" t="inlineStr">
        <is>
          <t>Recompute after ai_workload_share is replaced by telemetry.</t>
        </is>
      </c>
    </row>
    <row r="860">
      <c r="A860" s="3" t="inlineStr">
        <is>
          <t>Alibaba</t>
        </is>
      </c>
      <c r="B860" s="3" t="n">
        <v>2028</v>
      </c>
      <c r="C860" s="3" t="inlineStr">
        <is>
          <t>Bear</t>
        </is>
      </c>
      <c r="D860" s="3" t="inlineStr">
        <is>
          <t>gpu_share</t>
        </is>
      </c>
      <c r="E860" s="3" t="n">
        <v>1</v>
      </c>
      <c r="F860" s="3" t="inlineStr">
        <is>
          <t>share of inference-serving accelerator load</t>
        </is>
      </c>
      <c r="G860" s="3" t="inlineStr">
        <is>
          <t>Numeric scenario</t>
        </is>
      </c>
      <c r="H860" s="3" t="inlineStr">
        <is>
          <t>gpu_share interpolated from company 2026/2030 accelerator-mix endpoints</t>
        </is>
      </c>
      <c r="I860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60" s="3" t="inlineStr">
        <is>
          <t>SRC_QWEN3_GITHUB; SRC_ALIBABA_QWEN_GPU_DEPLOY; SRC_EPOCH_AI_DATA_CENTERS; ASSUMP_NUMERIC_ACCELERATOR_MIX</t>
        </is>
      </c>
      <c r="K860" s="3" t="inlineStr">
        <is>
          <t>ASSUMP_MOE_EFFICIENCY; ASSUMP_CN_CAPACITY_TRANSPARENCY; ASSUMP_NUMERIC_ACCELERATOR_MIX; ASSUMP_INFERENCE_SHARE_NOT_FACT_60; ASSUMP_WORKLOAD_CLASS_MIX; ASSUMP_AGENTIC_CONTEXT_PENALTY</t>
        </is>
      </c>
      <c r="L860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61">
      <c r="A861" s="3" t="inlineStr">
        <is>
          <t>Alibaba</t>
        </is>
      </c>
      <c r="B861" s="3" t="n">
        <v>2028</v>
      </c>
      <c r="C861" s="3" t="inlineStr">
        <is>
          <t>Bear</t>
        </is>
      </c>
      <c r="D861" s="3" t="inlineStr">
        <is>
          <t>h200_share</t>
        </is>
      </c>
      <c r="E861" s="3" t="n">
        <v>1</v>
      </c>
      <c r="F861" s="3" t="inlineStr">
        <is>
          <t>share of inference-serving accelerator load</t>
        </is>
      </c>
      <c r="G861" s="3" t="inlineStr">
        <is>
          <t>Editable numeric scenario</t>
        </is>
      </c>
      <c r="H861" s="3" t="inlineStr">
        <is>
          <t>h200_share = gpu_share * default_gpu_generation_mix_h200</t>
        </is>
      </c>
      <c r="I861" s="3" t="inlineStr">
        <is>
          <t>Default GPU-generation migration assumption; executive workbook allows later manual replacement by company/year/scenario.</t>
        </is>
      </c>
      <c r="J861" s="3" t="inlineStr">
        <is>
          <t>SRC_SEMIANALYSIS_INFERENCEX; ASSUMP_NUMERIC_ACCELERATOR_MIX</t>
        </is>
      </c>
      <c r="K861" s="3" t="inlineStr">
        <is>
          <t>ASSUMP_MOE_EFFICIENCY; ASSUMP_CN_CAPACITY_TRANSPARENCY; ASSUMP_NUMERIC_ACCELERATOR_MIX; ASSUMP_INFERENCE_SHARE_NOT_FACT_60; ASSUMP_WORKLOAD_CLASS_MIX; ASSUMP_AGENTIC_CONTEXT_PENALTY</t>
        </is>
      </c>
      <c r="L861" s="3" t="inlineStr">
        <is>
          <t>Company fleet inventory, accelerator-hours or procurement/deployment records by GPU generation.</t>
        </is>
      </c>
    </row>
    <row r="862">
      <c r="A862" s="3" t="inlineStr">
        <is>
          <t>Alibaba</t>
        </is>
      </c>
      <c r="B862" s="3" t="n">
        <v>2028</v>
      </c>
      <c r="C862" s="3" t="inlineStr">
        <is>
          <t>Bear</t>
        </is>
      </c>
      <c r="D862" s="3" t="inlineStr">
        <is>
          <t>b200_share</t>
        </is>
      </c>
      <c r="E862" s="3" t="n">
        <v>0</v>
      </c>
      <c r="F862" s="3" t="inlineStr">
        <is>
          <t>share of inference-serving accelerator load</t>
        </is>
      </c>
      <c r="G862" s="3" t="inlineStr">
        <is>
          <t>Editable numeric scenario</t>
        </is>
      </c>
      <c r="H862" s="3" t="inlineStr">
        <is>
          <t>b200_share = gpu_share * default_gpu_generation_mix_b200</t>
        </is>
      </c>
      <c r="I862" s="3" t="inlineStr">
        <is>
          <t>Default GPU-generation migration assumption; executive workbook allows later manual replacement by company/year/scenario.</t>
        </is>
      </c>
      <c r="J862" s="3" t="inlineStr">
        <is>
          <t>SRC_SEMIANALYSIS_INFERENCEX; ASSUMP_NUMERIC_ACCELERATOR_MIX</t>
        </is>
      </c>
      <c r="K862" s="3" t="inlineStr">
        <is>
          <t>ASSUMP_MOE_EFFICIENCY; ASSUMP_CN_CAPACITY_TRANSPARENCY; ASSUMP_NUMERIC_ACCELERATOR_MIX; ASSUMP_INFERENCE_SHARE_NOT_FACT_60; ASSUMP_WORKLOAD_CLASS_MIX; ASSUMP_AGENTIC_CONTEXT_PENALTY</t>
        </is>
      </c>
      <c r="L862" s="3" t="inlineStr">
        <is>
          <t>Company fleet inventory, accelerator-hours or procurement/deployment records by GPU generation.</t>
        </is>
      </c>
    </row>
    <row r="863">
      <c r="A863" s="3" t="inlineStr">
        <is>
          <t>Alibaba</t>
        </is>
      </c>
      <c r="B863" s="3" t="n">
        <v>2028</v>
      </c>
      <c r="C863" s="3" t="inlineStr">
        <is>
          <t>Bear</t>
        </is>
      </c>
      <c r="D863" s="3" t="inlineStr">
        <is>
          <t>gb200_share</t>
        </is>
      </c>
      <c r="E863" s="3" t="n">
        <v>0</v>
      </c>
      <c r="F863" s="3" t="inlineStr">
        <is>
          <t>share of inference-serving accelerator load</t>
        </is>
      </c>
      <c r="G863" s="3" t="inlineStr">
        <is>
          <t>Editable numeric scenario</t>
        </is>
      </c>
      <c r="H863" s="3" t="inlineStr">
        <is>
          <t>gb200_share = gpu_share * default_gpu_generation_mix_gb200</t>
        </is>
      </c>
      <c r="I863" s="3" t="inlineStr">
        <is>
          <t>Default GPU-generation migration assumption; executive workbook allows later manual replacement by company/year/scenario.</t>
        </is>
      </c>
      <c r="J863" s="3" t="inlineStr">
        <is>
          <t>SRC_SEMIANALYSIS_INFERENCEX; ASSUMP_NUMERIC_ACCELERATOR_MIX</t>
        </is>
      </c>
      <c r="K863" s="3" t="inlineStr">
        <is>
          <t>ASSUMP_MOE_EFFICIENCY; ASSUMP_CN_CAPACITY_TRANSPARENCY; ASSUMP_NUMERIC_ACCELERATOR_MIX; ASSUMP_INFERENCE_SHARE_NOT_FACT_60; ASSUMP_WORKLOAD_CLASS_MIX; ASSUMP_AGENTIC_CONTEXT_PENALTY</t>
        </is>
      </c>
      <c r="L863" s="3" t="inlineStr">
        <is>
          <t>Company fleet inventory, accelerator-hours or procurement/deployment records by GPU generation.</t>
        </is>
      </c>
    </row>
    <row r="864">
      <c r="A864" s="3" t="inlineStr">
        <is>
          <t>Alibaba</t>
        </is>
      </c>
      <c r="B864" s="3" t="n">
        <v>2028</v>
      </c>
      <c r="C864" s="3" t="inlineStr">
        <is>
          <t>Bear</t>
        </is>
      </c>
      <c r="D864" s="3" t="inlineStr">
        <is>
          <t>purpose_built_accelerator_share</t>
        </is>
      </c>
      <c r="E864" s="3" t="n">
        <v>0</v>
      </c>
      <c r="F864" s="3" t="inlineStr">
        <is>
          <t>share of inference-serving accelerator load</t>
        </is>
      </c>
      <c r="G864" s="3" t="inlineStr">
        <is>
          <t>Numeric scenario</t>
        </is>
      </c>
      <c r="H864" s="3" t="inlineStr">
        <is>
          <t>1 - gpu_share</t>
        </is>
      </c>
      <c r="I864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64" s="3" t="inlineStr">
        <is>
          <t>SRC_QWEN3_GITHUB; SRC_ALIBABA_QWEN_GPU_DEPLOY; SRC_EPOCH_AI_DATA_CENTERS; ASSUMP_NUMERIC_ACCELERATOR_MIX</t>
        </is>
      </c>
      <c r="K864" s="3" t="inlineStr">
        <is>
          <t>ASSUMP_MOE_EFFICIENCY; ASSUMP_CN_CAPACITY_TRANSPARENCY; ASSUMP_NUMERIC_ACCELERATOR_MIX; ASSUMP_INFERENCE_SHARE_NOT_FACT_60; ASSUMP_WORKLOAD_CLASS_MIX; ASSUMP_AGENTIC_CONTEXT_PENALTY</t>
        </is>
      </c>
      <c r="L864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65">
      <c r="A865" s="3" t="inlineStr">
        <is>
          <t>Alibaba</t>
        </is>
      </c>
      <c r="B865" s="3" t="n">
        <v>2028</v>
      </c>
      <c r="C865" s="3" t="inlineStr">
        <is>
          <t>Bear</t>
        </is>
      </c>
      <c r="D865" s="3" t="inlineStr">
        <is>
          <t>fleet_reference_tps_per_mw</t>
        </is>
      </c>
      <c r="E865" s="3" t="n">
        <v>166591</v>
      </c>
      <c r="F865" s="3" t="inlineStr">
        <is>
          <t>generated output tokens/sec/MW</t>
        </is>
      </c>
      <c r="G865" s="3" t="inlineStr">
        <is>
          <t>Fleet-weighted public benchmark reference</t>
        </is>
      </c>
      <c r="H865" s="3" t="inlineStr">
        <is>
          <t>h200_share*h200_workload_avg + b200_share*b200_workload_avg + gb200_share*gb200_workload_avg + purpose_built_share*purpose_workload_avg</t>
        </is>
      </c>
      <c r="I86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65" s="3" t="inlineStr">
        <is>
          <t>SRC_SEMIANALYSIS_INFERENCEX; ASSUMP_NUMERIC_ACCELERATOR_MIX; ASSUMP_WORKLOAD_CLASS_MIX; ASSUMP_AGENTIC_CONTEXT_PENALTY</t>
        </is>
      </c>
      <c r="K865" s="3" t="inlineStr">
        <is>
          <t>ASSUMP_MOE_EFFICIENCY; ASSUMP_CN_CAPACITY_TRANSPARENCY; ASSUMP_NUMERIC_ACCELERATOR_MIX; ASSUMP_INFERENCE_SHARE_NOT_FACT_60; ASSUMP_WORKLOAD_CLASS_MIX; ASSUMP_AGENTIC_CONTEXT_PENALTY</t>
        </is>
      </c>
      <c r="L865" s="3" t="inlineStr">
        <is>
          <t>Comparable production output-token throughput or a more closely matched benchmark.</t>
        </is>
      </c>
    </row>
    <row r="866">
      <c r="A866" s="3" t="inlineStr">
        <is>
          <t>Alibaba</t>
        </is>
      </c>
      <c r="B866" s="3" t="n">
        <v>2028</v>
      </c>
      <c r="C866" s="3" t="inlineStr">
        <is>
          <t>Bear</t>
        </is>
      </c>
      <c r="D866" s="3" t="inlineStr">
        <is>
          <t>commercial_workload_fit_factor</t>
        </is>
      </c>
      <c r="E866" s="3" t="n">
        <v>0.7</v>
      </c>
      <c r="F866" s="3" t="inlineStr">
        <is>
          <t>share of public reference throughput</t>
        </is>
      </c>
      <c r="G866" s="3" t="inlineStr">
        <is>
          <t>Scenario assumption</t>
        </is>
      </c>
      <c r="H866" s="3" t="inlineStr">
        <is>
          <t>reference_serving_tps_per_mw = fleet_reference_tps_per_mw * commercial_workload_fit_factor</t>
        </is>
      </c>
      <c r="I86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66" s="3" t="inlineStr">
        <is>
          <t>SRC_SEMIANALYSIS_INFERENCEX; ASSUMP_NUMERIC_ACCELERATOR_MIX; ASSUMP_WORKLOAD_CLASS_MIX; ASSUMP_AGENTIC_CONTEXT_PENALTY</t>
        </is>
      </c>
      <c r="K866" s="3" t="inlineStr">
        <is>
          <t>ASSUMP_MOE_EFFICIENCY; ASSUMP_CN_CAPACITY_TRANSPARENCY; ASSUMP_NUMERIC_ACCELERATOR_MIX; ASSUMP_INFERENCE_SHARE_NOT_FACT_60; ASSUMP_WORKLOAD_CLASS_MIX; ASSUMP_AGENTIC_CONTEXT_PENALTY</t>
        </is>
      </c>
      <c r="L866" s="3" t="inlineStr">
        <is>
          <t>Matched commercial serving benchmark by product surface, context shape and latency SLO.</t>
        </is>
      </c>
    </row>
    <row r="867">
      <c r="A867" s="3" t="inlineStr">
        <is>
          <t>Alibaba</t>
        </is>
      </c>
      <c r="B867" s="3" t="n">
        <v>2028</v>
      </c>
      <c r="C867" s="3" t="inlineStr">
        <is>
          <t>Bear</t>
        </is>
      </c>
      <c r="D867" s="3" t="inlineStr">
        <is>
          <t>reference_serving_tps_per_mw</t>
        </is>
      </c>
      <c r="E867" s="3" t="n">
        <v>116614</v>
      </c>
      <c r="F867" s="3" t="inlineStr">
        <is>
          <t>generated output tokens/sec/MW</t>
        </is>
      </c>
      <c r="G867" s="3" t="inlineStr">
        <is>
          <t>Workload-adjusted benchmark proxy</t>
        </is>
      </c>
      <c r="H867" s="3" t="inlineStr">
        <is>
          <t>fleet_reference_tps_per_mw * commercial_workload_fit_factor</t>
        </is>
      </c>
      <c r="I867" s="3" t="inlineStr">
        <is>
          <t>This is the coefficient used for headline token generation; each GPU's short chat, long chat and agentic TPS/MW are weighted before fleet mix and commercial fit are applied.</t>
        </is>
      </c>
      <c r="J867" s="3" t="inlineStr">
        <is>
          <t>SRC_SEMIANALYSIS_INFERENCEX; ASSUMP_NUMERIC_ACCELERATOR_MIX; ASSUMP_WORKLOAD_CLASS_MIX; ASSUMP_AGENTIC_CONTEXT_PENALTY</t>
        </is>
      </c>
      <c r="K867" s="3" t="inlineStr">
        <is>
          <t>ASSUMP_MOE_EFFICIENCY; ASSUMP_CN_CAPACITY_TRANSPARENCY; ASSUMP_NUMERIC_ACCELERATOR_MIX; ASSUMP_INFERENCE_SHARE_NOT_FACT_60; ASSUMP_WORKLOAD_CLASS_MIX; ASSUMP_AGENTIC_CONTEXT_PENALTY</t>
        </is>
      </c>
      <c r="L867" s="3" t="inlineStr">
        <is>
          <t>Provider production output-token throughput with comparable workload/SLO.</t>
        </is>
      </c>
    </row>
    <row r="868">
      <c r="A868" s="3" t="inlineStr">
        <is>
          <t>Alibaba</t>
        </is>
      </c>
      <c r="B868" s="3" t="n">
        <v>2028</v>
      </c>
      <c r="C868" s="3" t="inlineStr">
        <is>
          <t>Bear</t>
        </is>
      </c>
      <c r="D868" s="3" t="inlineStr">
        <is>
          <t>purpose_built_tps_per_mw</t>
        </is>
      </c>
      <c r="E868" s="3" t="n">
        <v>774713</v>
      </c>
      <c r="F868" s="3" t="inlineStr">
        <is>
          <t>generated output tokens/sec/MW</t>
        </is>
      </c>
      <c r="G868" s="3" t="inlineStr">
        <is>
          <t>Conservative no-uplift proxy</t>
        </is>
      </c>
      <c r="H868" s="3" t="inlineStr">
        <is>
          <t>purpose_built_tps_per_mw = purpose_built_reference_tps_per_mw * commercial_workload_fit_factor until comparable output-token benchmark is adopted</t>
        </is>
      </c>
      <c r="I868" s="3" t="inlineStr">
        <is>
          <t>No comparable public output-token/MW row adopted; B200 public reference placeholder is used and remains editable.</t>
        </is>
      </c>
      <c r="J868" s="3" t="inlineStr">
        <is>
          <t>SRC_QWEN3_GITHUB; SRC_ALIBABA_QWEN_GPU_DEPLOY; SRC_EPOCH_AI_DATA_CENTERS; ASSUMP_NUMERIC_ACCELERATOR_MIX</t>
        </is>
      </c>
      <c r="K868" s="3" t="inlineStr">
        <is>
          <t>ASSUMP_MOE_EFFICIENCY; ASSUMP_CN_CAPACITY_TRANSPARENCY; ASSUMP_NUMERIC_ACCELERATOR_MIX; ASSUMP_INFERENCE_SHARE_NOT_FACT_60; ASSUMP_WORKLOAD_CLASS_MIX; ASSUMP_AGENTIC_CONTEXT_PENALTY</t>
        </is>
      </c>
      <c r="L868" s="3" t="inlineStr">
        <is>
          <t>Matched-workload generated-output benchmark for the provider purpose-built accelerator.</t>
        </is>
      </c>
    </row>
    <row r="869">
      <c r="A869" s="3" t="inlineStr">
        <is>
          <t>Alibaba</t>
        </is>
      </c>
      <c r="B869" s="3" t="n">
        <v>2028</v>
      </c>
      <c r="C869" s="3" t="inlineStr">
        <is>
          <t>Bear</t>
        </is>
      </c>
      <c r="D869" s="3" t="inlineStr">
        <is>
          <t>inference_power_share</t>
        </is>
      </c>
      <c r="E869" s="3" t="n">
        <v>0.61</v>
      </c>
      <c r="F869" s="3" t="inlineStr">
        <is>
          <t>share of AI IT load</t>
        </is>
      </c>
      <c r="G869" s="3" t="inlineStr">
        <is>
          <t>Scenario allocation</t>
        </is>
      </c>
      <c r="H869" s="3" t="inlineStr">
        <is>
          <t>inference_gw = ai_it_load_gw * inference_power_share</t>
        </is>
      </c>
      <c r="I869" s="3" t="inlineStr">
        <is>
          <t>Qwen API/enterprise commercialization and MoE architecture support increasing inference allocation scenario.</t>
        </is>
      </c>
      <c r="J869" s="3" t="inlineStr">
        <is>
          <t>SRC_QWEN3_GITHUB; SRC_ALIBABA_QWEN_GPU_DEPLOY; SRC_EPOCH_AI_DATA_CENTERS; ASSUMP_INFERENCE_SHARE_NOT_FACT_60</t>
        </is>
      </c>
      <c r="K869" s="3" t="inlineStr">
        <is>
          <t>ASSUMP_MOE_EFFICIENCY; ASSUMP_CN_CAPACITY_TRANSPARENCY; ASSUMP_NUMERIC_ACCELERATOR_MIX; ASSUMP_INFERENCE_SHARE_NOT_FACT_60; ASSUMP_WORKLOAD_CLASS_MIX; ASSUMP_AGENTIC_CONTEXT_PENALTY</t>
        </is>
      </c>
      <c r="L869" s="3" t="inlineStr">
        <is>
          <t>Provider-specific inference/training workload power telemetry.</t>
        </is>
      </c>
    </row>
    <row r="870">
      <c r="A870" s="3" t="inlineStr">
        <is>
          <t>Alibaba</t>
        </is>
      </c>
      <c r="B870" s="3" t="n">
        <v>2028</v>
      </c>
      <c r="C870" s="3" t="inlineStr">
        <is>
          <t>Bear</t>
        </is>
      </c>
      <c r="D870" s="3" t="inlineStr">
        <is>
          <t>inference_gw</t>
        </is>
      </c>
      <c r="E870" s="3" t="n">
        <v>0.6899999999999999</v>
      </c>
      <c r="F870" s="3" t="inlineStr">
        <is>
          <t>GW</t>
        </is>
      </c>
      <c r="G870" s="3" t="inlineStr">
        <is>
          <t>Derived formula</t>
        </is>
      </c>
      <c r="H870" s="3" t="inlineStr">
        <is>
          <t>ai_it_load_gw * inference_power_share</t>
        </is>
      </c>
      <c r="I870" s="3" t="inlineStr">
        <is>
          <t>This is the operational power eligible to become commercial generated output tokens through the selected TPS/MW proxy.</t>
        </is>
      </c>
      <c r="J870" s="3" t="inlineStr">
        <is>
          <t>SRC_QWEN3_GITHUB; SRC_ALIBABA_QWEN_GPU_DEPLOY; SRC_EPOCH_AI_DATA_CENTERS</t>
        </is>
      </c>
      <c r="K870" s="3" t="inlineStr">
        <is>
          <t>ASSUMP_MOE_EFFICIENCY; ASSUMP_CN_CAPACITY_TRANSPARENCY; ASSUMP_NUMERIC_ACCELERATOR_MIX; ASSUMP_INFERENCE_SHARE_NOT_FACT_60; ASSUMP_WORKLOAD_CLASS_MIX; ASSUMP_AGENTIC_CONTEXT_PENALTY</t>
        </is>
      </c>
      <c r="L870" s="3" t="inlineStr">
        <is>
          <t>Recompute after AI allocation or inference-share evidence changes.</t>
        </is>
      </c>
    </row>
    <row r="871">
      <c r="A871" s="3" t="inlineStr">
        <is>
          <t>Alibaba</t>
        </is>
      </c>
      <c r="B871" s="3" t="n">
        <v>2028</v>
      </c>
      <c r="C871" s="3" t="inlineStr">
        <is>
          <t>Bear</t>
        </is>
      </c>
      <c r="D871" s="3" t="inlineStr">
        <is>
          <t>training_power_share</t>
        </is>
      </c>
      <c r="E871" s="3" t="n">
        <v>0.39</v>
      </c>
      <c r="F871" s="3" t="inlineStr">
        <is>
          <t>share of AI IT load</t>
        </is>
      </c>
      <c r="G871" s="3" t="inlineStr">
        <is>
          <t>Derived allocation</t>
        </is>
      </c>
      <c r="H871" s="3" t="inlineStr">
        <is>
          <t>1 - inference_power_share</t>
        </is>
      </c>
      <c r="I871" s="3" t="inlineStr">
        <is>
          <t>Training receives the complementary modeled AI IT allocation; it is not a disclosed company workload split.</t>
        </is>
      </c>
      <c r="J871" s="3" t="inlineStr">
        <is>
          <t>SRC_QWEN3_GITHUB; SRC_ALIBABA_QWEN_GPU_DEPLOY; SRC_EPOCH_AI_DATA_CENTERS; ASSUMP_INFERENCE_SHARE_NOT_FACT_60</t>
        </is>
      </c>
      <c r="K871" s="3" t="inlineStr">
        <is>
          <t>ASSUMP_MOE_EFFICIENCY; ASSUMP_CN_CAPACITY_TRANSPARENCY; ASSUMP_NUMERIC_ACCELERATOR_MIX; ASSUMP_INFERENCE_SHARE_NOT_FACT_60; ASSUMP_WORKLOAD_CLASS_MIX; ASSUMP_AGENTIC_CONTEXT_PENALTY</t>
        </is>
      </c>
      <c r="L871" s="3" t="inlineStr">
        <is>
          <t>Provider-specific inference/training workload power telemetry.</t>
        </is>
      </c>
    </row>
    <row r="872">
      <c r="A872" s="3" t="inlineStr">
        <is>
          <t>Alibaba</t>
        </is>
      </c>
      <c r="B872" s="3" t="n">
        <v>2028</v>
      </c>
      <c r="C872" s="3" t="inlineStr">
        <is>
          <t>Bear</t>
        </is>
      </c>
      <c r="D872" s="3" t="inlineStr">
        <is>
          <t>training_gw</t>
        </is>
      </c>
      <c r="E872" s="3" t="n">
        <v>0.441</v>
      </c>
      <c r="F872" s="3" t="inlineStr">
        <is>
          <t>GW</t>
        </is>
      </c>
      <c r="G872" s="3" t="inlineStr">
        <is>
          <t>Derived formula</t>
        </is>
      </c>
      <c r="H872" s="3" t="inlineStr">
        <is>
          <t>ai_it_load_gw * training_power_share</t>
        </is>
      </c>
      <c r="I872" s="3" t="inlineStr">
        <is>
          <t>Training GW is shown separately so commercial inference token capacity is not overstated.</t>
        </is>
      </c>
      <c r="J872" s="3" t="inlineStr">
        <is>
          <t>SRC_QWEN3_GITHUB; SRC_ALIBABA_QWEN_GPU_DEPLOY; SRC_EPOCH_AI_DATA_CENTERS</t>
        </is>
      </c>
      <c r="K872" s="3" t="inlineStr">
        <is>
          <t>ASSUMP_MOE_EFFICIENCY; ASSUMP_CN_CAPACITY_TRANSPARENCY; ASSUMP_NUMERIC_ACCELERATOR_MIX; ASSUMP_INFERENCE_SHARE_NOT_FACT_60; ASSUMP_WORKLOAD_CLASS_MIX; ASSUMP_AGENTIC_CONTEXT_PENALTY</t>
        </is>
      </c>
      <c r="L872" s="3" t="inlineStr">
        <is>
          <t>Recompute after AI allocation or workload-split evidence changes.</t>
        </is>
      </c>
    </row>
    <row r="873">
      <c r="A873" s="3" t="inlineStr">
        <is>
          <t>Alibaba</t>
        </is>
      </c>
      <c r="B873" s="3" t="n">
        <v>2028</v>
      </c>
      <c r="C873" s="3" t="inlineStr">
        <is>
          <t>Bear</t>
        </is>
      </c>
      <c r="D873" s="3" t="inlineStr">
        <is>
          <t>tokens_per_second_per_mw</t>
        </is>
      </c>
      <c r="E873" s="3" t="n">
        <v>116614</v>
      </c>
      <c r="F873" s="3" t="inlineStr">
        <is>
          <t>generated output tokens/sec/MW</t>
        </is>
      </c>
      <c r="G873" s="3" t="inlineStr">
        <is>
          <t>Derived estimate + benchmark calibration</t>
        </is>
      </c>
      <c r="H873" s="3" t="inlineStr">
        <is>
          <t>fleet_reference_tps_per_mw * commercial_workload_fit_factor</t>
        </is>
      </c>
      <c r="I87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73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73" s="3" t="inlineStr">
        <is>
          <t>ASSUMP_MOE_EFFICIENCY; ASSUMP_CN_CAPACITY_TRANSPARENCY; ASSUMP_NUMERIC_ACCELERATOR_MIX; ASSUMP_INFERENCE_SHARE_NOT_FACT_60; ASSUMP_WORKLOAD_CLASS_MIX; ASSUMP_AGENTIC_CONTEXT_PENALTY</t>
        </is>
      </c>
      <c r="L873" s="3" t="inlineStr">
        <is>
          <t>Comparable production output-token throughput with model, hardware, precision, ISL/OSL and SLO matched.</t>
        </is>
      </c>
    </row>
    <row r="874">
      <c r="A874" s="3" t="inlineStr">
        <is>
          <t>Alibaba</t>
        </is>
      </c>
      <c r="B874" s="3" t="n">
        <v>2028</v>
      </c>
      <c r="C874" s="3" t="inlineStr">
        <is>
          <t>Bear</t>
        </is>
      </c>
      <c r="D874" s="3" t="inlineStr">
        <is>
          <t>inference_tokens_per_day</t>
        </is>
      </c>
      <c r="E874" s="3" t="n">
        <v>6952060224000</v>
      </c>
      <c r="F874" s="3" t="inlineStr">
        <is>
          <t>generated output tokens/day</t>
        </is>
      </c>
      <c r="G874" s="3" t="inlineStr">
        <is>
          <t>Derived headline metric</t>
        </is>
      </c>
      <c r="H874" s="3" t="inlineStr">
        <is>
          <t>inference_gw * 1000 * tokens_per_second_per_mw * 86,400</t>
        </is>
      </c>
      <c r="I874" s="3" t="inlineStr">
        <is>
          <t>Headline capacity uses no utilization, MoE, architecture or software-growth multiplier; it is not observed commercial output volume.</t>
        </is>
      </c>
      <c r="J874" s="3" t="inlineStr">
        <is>
          <t>SRC_QWEN3_GITHUB; SRC_ALIBABA_QWEN_GPU_DEPLOY; SRC_EPOCH_AI_DATA_CENTERS; SRC_SEMIANALYSIS_INFERENCEX</t>
        </is>
      </c>
      <c r="K874" s="3" t="inlineStr">
        <is>
          <t>ASSUMP_MOE_EFFICIENCY; ASSUMP_CN_CAPACITY_TRANSPARENCY; ASSUMP_NUMERIC_ACCELERATOR_MIX; ASSUMP_INFERENCE_SHARE_NOT_FACT_60; ASSUMP_WORKLOAD_CLASS_MIX; ASSUMP_AGENTIC_CONTEXT_PENALTY</t>
        </is>
      </c>
      <c r="L874" s="3" t="inlineStr">
        <is>
          <t>Provider-disclosed generated output token volume or calibrated capacity telemetry.</t>
        </is>
      </c>
    </row>
    <row r="875">
      <c r="A875" s="3" t="inlineStr">
        <is>
          <t>Alibaba</t>
        </is>
      </c>
      <c r="B875" s="3" t="n">
        <v>2028</v>
      </c>
      <c r="C875" s="3" t="inlineStr">
        <is>
          <t>Bear</t>
        </is>
      </c>
      <c r="D875" s="3" t="inlineStr">
        <is>
          <t>inference_tokens_per_year</t>
        </is>
      </c>
      <c r="E875" s="3" t="n">
        <v>2537501981760000</v>
      </c>
      <c r="F875" s="3" t="inlineStr">
        <is>
          <t>generated output tokens/year</t>
        </is>
      </c>
      <c r="G875" s="3" t="inlineStr">
        <is>
          <t>Derived headline metric</t>
        </is>
      </c>
      <c r="H875" s="3" t="inlineStr">
        <is>
          <t>inference_tokens_per_day * 365</t>
        </is>
      </c>
      <c r="I875" s="3" t="inlineStr">
        <is>
          <t>Annualized version of generated output token capacity; it is not observed annual demand or billable volume.</t>
        </is>
      </c>
      <c r="J875" s="3" t="inlineStr">
        <is>
          <t>SRC_QWEN3_GITHUB; SRC_ALIBABA_QWEN_GPU_DEPLOY; SRC_EPOCH_AI_DATA_CENTERS; SRC_SEMIANALYSIS_INFERENCEX</t>
        </is>
      </c>
      <c r="K875" s="3" t="inlineStr">
        <is>
          <t>ASSUMP_MOE_EFFICIENCY; ASSUMP_CN_CAPACITY_TRANSPARENCY; ASSUMP_NUMERIC_ACCELERATOR_MIX; ASSUMP_INFERENCE_SHARE_NOT_FACT_60; ASSUMP_WORKLOAD_CLASS_MIX; ASSUMP_AGENTIC_CONTEXT_PENALTY</t>
        </is>
      </c>
      <c r="L875" s="3" t="inlineStr">
        <is>
          <t>Provider-disclosed annual generated-output volume or metered serving telemetry.</t>
        </is>
      </c>
    </row>
    <row r="876">
      <c r="A876" s="3" t="inlineStr">
        <is>
          <t>Alibaba</t>
        </is>
      </c>
      <c r="B876" s="3" t="n">
        <v>2029</v>
      </c>
      <c r="C876" s="3" t="inlineStr">
        <is>
          <t>Bear</t>
        </is>
      </c>
      <c r="D876" s="3" t="inlineStr">
        <is>
          <t>contracted_power_gw</t>
        </is>
      </c>
      <c r="E876" s="3" t="n">
        <v>3.45</v>
      </c>
      <c r="F876" s="3" t="inlineStr">
        <is>
          <t>GW</t>
        </is>
      </c>
      <c r="G876" s="3" t="inlineStr">
        <is>
          <t>Scenario capacity envelope</t>
        </is>
      </c>
      <c r="H876" s="3" t="inlineStr">
        <is>
          <t>linear interpolation between 2026 and 2030 company capacity endpoints</t>
        </is>
      </c>
      <c r="I876" s="3" t="inlineStr">
        <is>
          <t>Alibaba Cloud/Qwen capacity is a scenario envelope; official model and deployment documentation does not state operated GW.</t>
        </is>
      </c>
      <c r="J876" s="3" t="inlineStr">
        <is>
          <t>SRC_ALIBABA_QWEN_GPU_DEPLOY; ASSUMP_CN_CAPACITY_TRANSPARENCY</t>
        </is>
      </c>
      <c r="K876" s="3" t="inlineStr">
        <is>
          <t>ASSUMP_MOE_EFFICIENCY; ASSUMP_CN_CAPACITY_TRANSPARENCY; ASSUMP_NUMERIC_ACCELERATOR_MIX; ASSUMP_INFERENCE_SHARE_NOT_FACT_60; ASSUMP_WORKLOAD_CLASS_MIX; ASSUMP_AGENTIC_CONTEXT_PENALTY</t>
        </is>
      </c>
      <c r="L876" s="3" t="inlineStr">
        <is>
          <t>Company/site-level committed MW/GW, interconnect and contract disclosure.</t>
        </is>
      </c>
    </row>
    <row r="877">
      <c r="A877" s="3" t="inlineStr">
        <is>
          <t>Alibaba</t>
        </is>
      </c>
      <c r="B877" s="3" t="n">
        <v>2029</v>
      </c>
      <c r="C877" s="3" t="inlineStr">
        <is>
          <t>Bear</t>
        </is>
      </c>
      <c r="D877" s="3" t="inlineStr">
        <is>
          <t>operational_deployment_share</t>
        </is>
      </c>
      <c r="E877" s="3" t="n">
        <v>0.62376812</v>
      </c>
      <c r="F877" s="3" t="inlineStr">
        <is>
          <t>share</t>
        </is>
      </c>
      <c r="G877" s="3" t="inlineStr">
        <is>
          <t>Scenario conversion</t>
        </is>
      </c>
      <c r="H877" s="3" t="inlineStr">
        <is>
          <t>active_power_gw / contracted_power_gw</t>
        </is>
      </c>
      <c r="I877" s="3" t="inlineStr">
        <is>
          <t>This is the single explicit conversion from contracted/attributed capacity to operationally usable capacity.</t>
        </is>
      </c>
      <c r="J877" s="3" t="inlineStr">
        <is>
          <t>SRC_ALIBABA_QWEN_GPU_DEPLOY; ASSUMP_CN_CAPACITY_TRANSPARENCY</t>
        </is>
      </c>
      <c r="K877" s="3" t="inlineStr">
        <is>
          <t>ASSUMP_MOE_EFFICIENCY; ASSUMP_CN_CAPACITY_TRANSPARENCY; ASSUMP_NUMERIC_ACCELERATOR_MIX; ASSUMP_INFERENCE_SHARE_NOT_FACT_60; ASSUMP_WORKLOAD_CLASS_MIX; ASSUMP_AGENTIC_CONTEXT_PENALTY</t>
        </is>
      </c>
      <c r="L877" s="3" t="inlineStr">
        <is>
          <t>Energized operational capacity divided by contracted/attributed capacity.</t>
        </is>
      </c>
    </row>
    <row r="878">
      <c r="A878" s="3" t="inlineStr">
        <is>
          <t>Alibaba</t>
        </is>
      </c>
      <c r="B878" s="3" t="n">
        <v>2029</v>
      </c>
      <c r="C878" s="3" t="inlineStr">
        <is>
          <t>Bear</t>
        </is>
      </c>
      <c r="D878" s="3" t="inlineStr">
        <is>
          <t>active_power_gw</t>
        </is>
      </c>
      <c r="E878" s="3" t="n">
        <v>2.152</v>
      </c>
      <c r="F878" s="3" t="inlineStr">
        <is>
          <t>GW</t>
        </is>
      </c>
      <c r="G878" s="3" t="inlineStr">
        <is>
          <t>Derived scenario</t>
        </is>
      </c>
      <c r="H878" s="3" t="inlineStr">
        <is>
          <t>contracted_power_gw * operational_deployment_share</t>
        </is>
      </c>
      <c r="I878" s="3" t="inlineStr">
        <is>
          <t>Active GW is staged below capacity due to undisclosed accelerator allocation and cloud multi-tenant use.</t>
        </is>
      </c>
      <c r="J878" s="3" t="inlineStr">
        <is>
          <t>SRC_ALIBABA_QWEN_GPU_DEPLOY; ASSUMP_CN_CAPACITY_TRANSPARENCY</t>
        </is>
      </c>
      <c r="K878" s="3" t="inlineStr">
        <is>
          <t>ASSUMP_MOE_EFFICIENCY; ASSUMP_CN_CAPACITY_TRANSPARENCY; ASSUMP_NUMERIC_ACCELERATOR_MIX; ASSUMP_INFERENCE_SHARE_NOT_FACT_60; ASSUMP_WORKLOAD_CLASS_MIX; ASSUMP_AGENTIC_CONTEXT_PENALTY</t>
        </is>
      </c>
      <c r="L878" s="3" t="inlineStr">
        <is>
          <t>Energization dates, accelerator deliveries and operational powered-rack telemetry.</t>
        </is>
      </c>
    </row>
    <row r="879">
      <c r="A879" s="3" t="inlineStr">
        <is>
          <t>Alibaba</t>
        </is>
      </c>
      <c r="B879" s="3" t="n">
        <v>2029</v>
      </c>
      <c r="C879" s="3" t="inlineStr">
        <is>
          <t>Bear</t>
        </is>
      </c>
      <c r="D879" s="3" t="inlineStr">
        <is>
          <t>pue</t>
        </is>
      </c>
      <c r="E879" s="3" t="n">
        <v>1.23</v>
      </c>
      <c r="F879" s="3" t="inlineStr">
        <is>
          <t>ratio</t>
        </is>
      </c>
      <c r="G879" s="3" t="inlineStr">
        <is>
          <t>Scenario parameter</t>
        </is>
      </c>
      <c r="H879" s="3" t="inlineStr">
        <is>
          <t>it_load_gw = active_power_gw / pue</t>
        </is>
      </c>
      <c r="I879" s="3" t="inlineStr">
        <is>
          <t>No provider-wide site-level PUE is used as a disclosed fact; PUE represents facility-to-IT conversion within the scenario.</t>
        </is>
      </c>
      <c r="J879" s="3" t="inlineStr">
        <is>
          <t>ASSUMP_POWER_RAMP</t>
        </is>
      </c>
      <c r="K879" s="3" t="inlineStr">
        <is>
          <t>ASSUMP_MOE_EFFICIENCY; ASSUMP_CN_CAPACITY_TRANSPARENCY; ASSUMP_NUMERIC_ACCELERATOR_MIX; ASSUMP_INFERENCE_SHARE_NOT_FACT_60; ASSUMP_WORKLOAD_CLASS_MIX; ASSUMP_AGENTIC_CONTEXT_PENALTY</t>
        </is>
      </c>
      <c r="L879" s="3" t="inlineStr">
        <is>
          <t>Site-level measured PUE matched to attributed AI capacity.</t>
        </is>
      </c>
    </row>
    <row r="880">
      <c r="A880" s="3" t="inlineStr">
        <is>
          <t>Alibaba</t>
        </is>
      </c>
      <c r="B880" s="3" t="n">
        <v>2029</v>
      </c>
      <c r="C880" s="3" t="inlineStr">
        <is>
          <t>Bear</t>
        </is>
      </c>
      <c r="D880" s="3" t="inlineStr">
        <is>
          <t>it_load_gw</t>
        </is>
      </c>
      <c r="E880" s="3" t="n">
        <v>1.75</v>
      </c>
      <c r="F880" s="3" t="inlineStr">
        <is>
          <t>GW</t>
        </is>
      </c>
      <c r="G880" s="3" t="inlineStr">
        <is>
          <t>Derived formula</t>
        </is>
      </c>
      <c r="H880" s="3" t="inlineStr">
        <is>
          <t>active_power_gw / pue</t>
        </is>
      </c>
      <c r="I880" s="3" t="inlineStr">
        <is>
          <t>Facility power is converted to IT-deliverable power before attributing AI workloads.</t>
        </is>
      </c>
      <c r="J880" s="3" t="inlineStr">
        <is>
          <t>SRC_ALIBABA_QWEN_GPU_DEPLOY; ASSUMP_CN_CAPACITY_TRANSPARENCY</t>
        </is>
      </c>
      <c r="K880" s="3" t="inlineStr">
        <is>
          <t>ASSUMP_MOE_EFFICIENCY; ASSUMP_CN_CAPACITY_TRANSPARENCY; ASSUMP_NUMERIC_ACCELERATOR_MIX; ASSUMP_INFERENCE_SHARE_NOT_FACT_60; ASSUMP_WORKLOAD_CLASS_MIX; ASSUMP_AGENTIC_CONTEXT_PENALTY</t>
        </is>
      </c>
      <c r="L880" s="3" t="inlineStr">
        <is>
          <t>Recompute once active power and PUE become site-observable.</t>
        </is>
      </c>
    </row>
    <row r="881">
      <c r="A881" s="3" t="inlineStr">
        <is>
          <t>Alibaba</t>
        </is>
      </c>
      <c r="B881" s="3" t="n">
        <v>2029</v>
      </c>
      <c r="C881" s="3" t="inlineStr">
        <is>
          <t>Bear</t>
        </is>
      </c>
      <c r="D881" s="3" t="inlineStr">
        <is>
          <t>ai_workload_share</t>
        </is>
      </c>
      <c r="E881" s="3" t="n">
        <v>0.84</v>
      </c>
      <c r="F881" s="3" t="inlineStr">
        <is>
          <t>share</t>
        </is>
      </c>
      <c r="G881" s="3" t="inlineStr">
        <is>
          <t>Scenario allocation</t>
        </is>
      </c>
      <c r="H881" s="3" t="inlineStr">
        <is>
          <t>ai_it_load_gw = it_load_gw * ai_workload_share</t>
        </is>
      </c>
      <c r="I881" s="3" t="inlineStr">
        <is>
          <t>Model Studio/Qwen-serving envelope is AI-focused, while cloud platform/reserve allocation is excluded through 84%.</t>
        </is>
      </c>
      <c r="J881" s="3" t="inlineStr">
        <is>
          <t>SRC_QWEN3_GITHUB; SRC_ALIBABA_QWEN_GPU_DEPLOY; SRC_EPOCH_AI_DATA_CENTERS</t>
        </is>
      </c>
      <c r="K881" s="3" t="inlineStr">
        <is>
          <t>ASSUMP_MOE_EFFICIENCY; ASSUMP_CN_CAPACITY_TRANSPARENCY; ASSUMP_NUMERIC_ACCELERATOR_MIX; ASSUMP_INFERENCE_SHARE_NOT_FACT_60; ASSUMP_WORKLOAD_CLASS_MIX; ASSUMP_AGENTIC_CONTEXT_PENALTY</t>
        </is>
      </c>
      <c r="L881" s="3" t="inlineStr">
        <is>
          <t>Model-owner AI workload allocation or cluster scheduling telemetry.</t>
        </is>
      </c>
    </row>
    <row r="882">
      <c r="A882" s="3" t="inlineStr">
        <is>
          <t>Alibaba</t>
        </is>
      </c>
      <c r="B882" s="3" t="n">
        <v>2029</v>
      </c>
      <c r="C882" s="3" t="inlineStr">
        <is>
          <t>Bear</t>
        </is>
      </c>
      <c r="D882" s="3" t="inlineStr">
        <is>
          <t>ai_it_load_gw</t>
        </is>
      </c>
      <c r="E882" s="3" t="n">
        <v>1.47</v>
      </c>
      <c r="F882" s="3" t="inlineStr">
        <is>
          <t>GW</t>
        </is>
      </c>
      <c r="G882" s="3" t="inlineStr">
        <is>
          <t>Derived formula</t>
        </is>
      </c>
      <c r="H882" s="3" t="inlineStr">
        <is>
          <t>it_load_gw * ai_workload_share</t>
        </is>
      </c>
      <c r="I882" s="3" t="inlineStr">
        <is>
          <t>Only the AI-attributed portion of IT load enters training/inference allocation.</t>
        </is>
      </c>
      <c r="J882" s="3" t="inlineStr">
        <is>
          <t>SRC_QWEN3_GITHUB; SRC_ALIBABA_QWEN_GPU_DEPLOY; SRC_EPOCH_AI_DATA_CENTERS</t>
        </is>
      </c>
      <c r="K882" s="3" t="inlineStr">
        <is>
          <t>ASSUMP_MOE_EFFICIENCY; ASSUMP_CN_CAPACITY_TRANSPARENCY; ASSUMP_NUMERIC_ACCELERATOR_MIX; ASSUMP_INFERENCE_SHARE_NOT_FACT_60; ASSUMP_WORKLOAD_CLASS_MIX; ASSUMP_AGENTIC_CONTEXT_PENALTY</t>
        </is>
      </c>
      <c r="L882" s="3" t="inlineStr">
        <is>
          <t>Recompute after ai_workload_share is replaced by telemetry.</t>
        </is>
      </c>
    </row>
    <row r="883">
      <c r="A883" s="3" t="inlineStr">
        <is>
          <t>Alibaba</t>
        </is>
      </c>
      <c r="B883" s="3" t="n">
        <v>2029</v>
      </c>
      <c r="C883" s="3" t="inlineStr">
        <is>
          <t>Bear</t>
        </is>
      </c>
      <c r="D883" s="3" t="inlineStr">
        <is>
          <t>gpu_share</t>
        </is>
      </c>
      <c r="E883" s="3" t="n">
        <v>1</v>
      </c>
      <c r="F883" s="3" t="inlineStr">
        <is>
          <t>share of inference-serving accelerator load</t>
        </is>
      </c>
      <c r="G883" s="3" t="inlineStr">
        <is>
          <t>Numeric scenario</t>
        </is>
      </c>
      <c r="H883" s="3" t="inlineStr">
        <is>
          <t>gpu_share interpolated from company 2026/2030 accelerator-mix endpoints</t>
        </is>
      </c>
      <c r="I883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83" s="3" t="inlineStr">
        <is>
          <t>SRC_QWEN3_GITHUB; SRC_ALIBABA_QWEN_GPU_DEPLOY; SRC_EPOCH_AI_DATA_CENTERS; ASSUMP_NUMERIC_ACCELERATOR_MIX</t>
        </is>
      </c>
      <c r="K883" s="3" t="inlineStr">
        <is>
          <t>ASSUMP_MOE_EFFICIENCY; ASSUMP_CN_CAPACITY_TRANSPARENCY; ASSUMP_NUMERIC_ACCELERATOR_MIX; ASSUMP_INFERENCE_SHARE_NOT_FACT_60; ASSUMP_WORKLOAD_CLASS_MIX; ASSUMP_AGENTIC_CONTEXT_PENALTY</t>
        </is>
      </c>
      <c r="L883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84">
      <c r="A884" s="3" t="inlineStr">
        <is>
          <t>Alibaba</t>
        </is>
      </c>
      <c r="B884" s="3" t="n">
        <v>2029</v>
      </c>
      <c r="C884" s="3" t="inlineStr">
        <is>
          <t>Bear</t>
        </is>
      </c>
      <c r="D884" s="3" t="inlineStr">
        <is>
          <t>h200_share</t>
        </is>
      </c>
      <c r="E884" s="3" t="n">
        <v>1</v>
      </c>
      <c r="F884" s="3" t="inlineStr">
        <is>
          <t>share of inference-serving accelerator load</t>
        </is>
      </c>
      <c r="G884" s="3" t="inlineStr">
        <is>
          <t>Editable numeric scenario</t>
        </is>
      </c>
      <c r="H884" s="3" t="inlineStr">
        <is>
          <t>h200_share = gpu_share * default_gpu_generation_mix_h200</t>
        </is>
      </c>
      <c r="I884" s="3" t="inlineStr">
        <is>
          <t>Default GPU-generation migration assumption; executive workbook allows later manual replacement by company/year/scenario.</t>
        </is>
      </c>
      <c r="J884" s="3" t="inlineStr">
        <is>
          <t>SRC_SEMIANALYSIS_INFERENCEX; ASSUMP_NUMERIC_ACCELERATOR_MIX</t>
        </is>
      </c>
      <c r="K884" s="3" t="inlineStr">
        <is>
          <t>ASSUMP_MOE_EFFICIENCY; ASSUMP_CN_CAPACITY_TRANSPARENCY; ASSUMP_NUMERIC_ACCELERATOR_MIX; ASSUMP_INFERENCE_SHARE_NOT_FACT_60; ASSUMP_WORKLOAD_CLASS_MIX; ASSUMP_AGENTIC_CONTEXT_PENALTY</t>
        </is>
      </c>
      <c r="L884" s="3" t="inlineStr">
        <is>
          <t>Company fleet inventory, accelerator-hours or procurement/deployment records by GPU generation.</t>
        </is>
      </c>
    </row>
    <row r="885">
      <c r="A885" s="3" t="inlineStr">
        <is>
          <t>Alibaba</t>
        </is>
      </c>
      <c r="B885" s="3" t="n">
        <v>2029</v>
      </c>
      <c r="C885" s="3" t="inlineStr">
        <is>
          <t>Bear</t>
        </is>
      </c>
      <c r="D885" s="3" t="inlineStr">
        <is>
          <t>b200_share</t>
        </is>
      </c>
      <c r="E885" s="3" t="n">
        <v>0</v>
      </c>
      <c r="F885" s="3" t="inlineStr">
        <is>
          <t>share of inference-serving accelerator load</t>
        </is>
      </c>
      <c r="G885" s="3" t="inlineStr">
        <is>
          <t>Editable numeric scenario</t>
        </is>
      </c>
      <c r="H885" s="3" t="inlineStr">
        <is>
          <t>b200_share = gpu_share * default_gpu_generation_mix_b200</t>
        </is>
      </c>
      <c r="I885" s="3" t="inlineStr">
        <is>
          <t>Default GPU-generation migration assumption; executive workbook allows later manual replacement by company/year/scenario.</t>
        </is>
      </c>
      <c r="J885" s="3" t="inlineStr">
        <is>
          <t>SRC_SEMIANALYSIS_INFERENCEX; ASSUMP_NUMERIC_ACCELERATOR_MIX</t>
        </is>
      </c>
      <c r="K885" s="3" t="inlineStr">
        <is>
          <t>ASSUMP_MOE_EFFICIENCY; ASSUMP_CN_CAPACITY_TRANSPARENCY; ASSUMP_NUMERIC_ACCELERATOR_MIX; ASSUMP_INFERENCE_SHARE_NOT_FACT_60; ASSUMP_WORKLOAD_CLASS_MIX; ASSUMP_AGENTIC_CONTEXT_PENALTY</t>
        </is>
      </c>
      <c r="L885" s="3" t="inlineStr">
        <is>
          <t>Company fleet inventory, accelerator-hours or procurement/deployment records by GPU generation.</t>
        </is>
      </c>
    </row>
    <row r="886">
      <c r="A886" s="3" t="inlineStr">
        <is>
          <t>Alibaba</t>
        </is>
      </c>
      <c r="B886" s="3" t="n">
        <v>2029</v>
      </c>
      <c r="C886" s="3" t="inlineStr">
        <is>
          <t>Bear</t>
        </is>
      </c>
      <c r="D886" s="3" t="inlineStr">
        <is>
          <t>gb200_share</t>
        </is>
      </c>
      <c r="E886" s="3" t="n">
        <v>0</v>
      </c>
      <c r="F886" s="3" t="inlineStr">
        <is>
          <t>share of inference-serving accelerator load</t>
        </is>
      </c>
      <c r="G886" s="3" t="inlineStr">
        <is>
          <t>Editable numeric scenario</t>
        </is>
      </c>
      <c r="H886" s="3" t="inlineStr">
        <is>
          <t>gb200_share = gpu_share * default_gpu_generation_mix_gb200</t>
        </is>
      </c>
      <c r="I886" s="3" t="inlineStr">
        <is>
          <t>Default GPU-generation migration assumption; executive workbook allows later manual replacement by company/year/scenario.</t>
        </is>
      </c>
      <c r="J886" s="3" t="inlineStr">
        <is>
          <t>SRC_SEMIANALYSIS_INFERENCEX; ASSUMP_NUMERIC_ACCELERATOR_MIX</t>
        </is>
      </c>
      <c r="K886" s="3" t="inlineStr">
        <is>
          <t>ASSUMP_MOE_EFFICIENCY; ASSUMP_CN_CAPACITY_TRANSPARENCY; ASSUMP_NUMERIC_ACCELERATOR_MIX; ASSUMP_INFERENCE_SHARE_NOT_FACT_60; ASSUMP_WORKLOAD_CLASS_MIX; ASSUMP_AGENTIC_CONTEXT_PENALTY</t>
        </is>
      </c>
      <c r="L886" s="3" t="inlineStr">
        <is>
          <t>Company fleet inventory, accelerator-hours or procurement/deployment records by GPU generation.</t>
        </is>
      </c>
    </row>
    <row r="887">
      <c r="A887" s="3" t="inlineStr">
        <is>
          <t>Alibaba</t>
        </is>
      </c>
      <c r="B887" s="3" t="n">
        <v>2029</v>
      </c>
      <c r="C887" s="3" t="inlineStr">
        <is>
          <t>Bear</t>
        </is>
      </c>
      <c r="D887" s="3" t="inlineStr">
        <is>
          <t>purpose_built_accelerator_share</t>
        </is>
      </c>
      <c r="E887" s="3" t="n">
        <v>0</v>
      </c>
      <c r="F887" s="3" t="inlineStr">
        <is>
          <t>share of inference-serving accelerator load</t>
        </is>
      </c>
      <c r="G887" s="3" t="inlineStr">
        <is>
          <t>Numeric scenario</t>
        </is>
      </c>
      <c r="H887" s="3" t="inlineStr">
        <is>
          <t>1 - gpu_share</t>
        </is>
      </c>
      <c r="I887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887" s="3" t="inlineStr">
        <is>
          <t>SRC_QWEN3_GITHUB; SRC_ALIBABA_QWEN_GPU_DEPLOY; SRC_EPOCH_AI_DATA_CENTERS; ASSUMP_NUMERIC_ACCELERATOR_MIX</t>
        </is>
      </c>
      <c r="K887" s="3" t="inlineStr">
        <is>
          <t>ASSUMP_MOE_EFFICIENCY; ASSUMP_CN_CAPACITY_TRANSPARENCY; ASSUMP_NUMERIC_ACCELERATOR_MIX; ASSUMP_INFERENCE_SHARE_NOT_FACT_60; ASSUMP_WORKLOAD_CLASS_MIX; ASSUMP_AGENTIC_CONTEXT_PENALTY</t>
        </is>
      </c>
      <c r="L887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888">
      <c r="A888" s="3" t="inlineStr">
        <is>
          <t>Alibaba</t>
        </is>
      </c>
      <c r="B888" s="3" t="n">
        <v>2029</v>
      </c>
      <c r="C888" s="3" t="inlineStr">
        <is>
          <t>Bear</t>
        </is>
      </c>
      <c r="D888" s="3" t="inlineStr">
        <is>
          <t>fleet_reference_tps_per_mw</t>
        </is>
      </c>
      <c r="E888" s="3" t="n">
        <v>166591</v>
      </c>
      <c r="F888" s="3" t="inlineStr">
        <is>
          <t>generated output tokens/sec/MW</t>
        </is>
      </c>
      <c r="G888" s="3" t="inlineStr">
        <is>
          <t>Fleet-weighted public benchmark reference</t>
        </is>
      </c>
      <c r="H888" s="3" t="inlineStr">
        <is>
          <t>h200_share*h200_workload_avg + b200_share*b200_workload_avg + gb200_share*gb200_workload_avg + purpose_built_share*purpose_workload_avg</t>
        </is>
      </c>
      <c r="I88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888" s="3" t="inlineStr">
        <is>
          <t>SRC_SEMIANALYSIS_INFERENCEX; ASSUMP_NUMERIC_ACCELERATOR_MIX; ASSUMP_WORKLOAD_CLASS_MIX; ASSUMP_AGENTIC_CONTEXT_PENALTY</t>
        </is>
      </c>
      <c r="K888" s="3" t="inlineStr">
        <is>
          <t>ASSUMP_MOE_EFFICIENCY; ASSUMP_CN_CAPACITY_TRANSPARENCY; ASSUMP_NUMERIC_ACCELERATOR_MIX; ASSUMP_INFERENCE_SHARE_NOT_FACT_60; ASSUMP_WORKLOAD_CLASS_MIX; ASSUMP_AGENTIC_CONTEXT_PENALTY</t>
        </is>
      </c>
      <c r="L888" s="3" t="inlineStr">
        <is>
          <t>Comparable production output-token throughput or a more closely matched benchmark.</t>
        </is>
      </c>
    </row>
    <row r="889">
      <c r="A889" s="3" t="inlineStr">
        <is>
          <t>Alibaba</t>
        </is>
      </c>
      <c r="B889" s="3" t="n">
        <v>2029</v>
      </c>
      <c r="C889" s="3" t="inlineStr">
        <is>
          <t>Bear</t>
        </is>
      </c>
      <c r="D889" s="3" t="inlineStr">
        <is>
          <t>commercial_workload_fit_factor</t>
        </is>
      </c>
      <c r="E889" s="3" t="n">
        <v>0.7</v>
      </c>
      <c r="F889" s="3" t="inlineStr">
        <is>
          <t>share of public reference throughput</t>
        </is>
      </c>
      <c r="G889" s="3" t="inlineStr">
        <is>
          <t>Scenario assumption</t>
        </is>
      </c>
      <c r="H889" s="3" t="inlineStr">
        <is>
          <t>reference_serving_tps_per_mw = fleet_reference_tps_per_mw * commercial_workload_fit_factor</t>
        </is>
      </c>
      <c r="I88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889" s="3" t="inlineStr">
        <is>
          <t>SRC_SEMIANALYSIS_INFERENCEX; ASSUMP_NUMERIC_ACCELERATOR_MIX; ASSUMP_WORKLOAD_CLASS_MIX; ASSUMP_AGENTIC_CONTEXT_PENALTY</t>
        </is>
      </c>
      <c r="K889" s="3" t="inlineStr">
        <is>
          <t>ASSUMP_MOE_EFFICIENCY; ASSUMP_CN_CAPACITY_TRANSPARENCY; ASSUMP_NUMERIC_ACCELERATOR_MIX; ASSUMP_INFERENCE_SHARE_NOT_FACT_60; ASSUMP_WORKLOAD_CLASS_MIX; ASSUMP_AGENTIC_CONTEXT_PENALTY</t>
        </is>
      </c>
      <c r="L889" s="3" t="inlineStr">
        <is>
          <t>Matched commercial serving benchmark by product surface, context shape and latency SLO.</t>
        </is>
      </c>
    </row>
    <row r="890">
      <c r="A890" s="3" t="inlineStr">
        <is>
          <t>Alibaba</t>
        </is>
      </c>
      <c r="B890" s="3" t="n">
        <v>2029</v>
      </c>
      <c r="C890" s="3" t="inlineStr">
        <is>
          <t>Bear</t>
        </is>
      </c>
      <c r="D890" s="3" t="inlineStr">
        <is>
          <t>reference_serving_tps_per_mw</t>
        </is>
      </c>
      <c r="E890" s="3" t="n">
        <v>116614</v>
      </c>
      <c r="F890" s="3" t="inlineStr">
        <is>
          <t>generated output tokens/sec/MW</t>
        </is>
      </c>
      <c r="G890" s="3" t="inlineStr">
        <is>
          <t>Workload-adjusted benchmark proxy</t>
        </is>
      </c>
      <c r="H890" s="3" t="inlineStr">
        <is>
          <t>fleet_reference_tps_per_mw * commercial_workload_fit_factor</t>
        </is>
      </c>
      <c r="I890" s="3" t="inlineStr">
        <is>
          <t>This is the coefficient used for headline token generation; each GPU's short chat, long chat and agentic TPS/MW are weighted before fleet mix and commercial fit are applied.</t>
        </is>
      </c>
      <c r="J890" s="3" t="inlineStr">
        <is>
          <t>SRC_SEMIANALYSIS_INFERENCEX; ASSUMP_NUMERIC_ACCELERATOR_MIX; ASSUMP_WORKLOAD_CLASS_MIX; ASSUMP_AGENTIC_CONTEXT_PENALTY</t>
        </is>
      </c>
      <c r="K890" s="3" t="inlineStr">
        <is>
          <t>ASSUMP_MOE_EFFICIENCY; ASSUMP_CN_CAPACITY_TRANSPARENCY; ASSUMP_NUMERIC_ACCELERATOR_MIX; ASSUMP_INFERENCE_SHARE_NOT_FACT_60; ASSUMP_WORKLOAD_CLASS_MIX; ASSUMP_AGENTIC_CONTEXT_PENALTY</t>
        </is>
      </c>
      <c r="L890" s="3" t="inlineStr">
        <is>
          <t>Provider production output-token throughput with comparable workload/SLO.</t>
        </is>
      </c>
    </row>
    <row r="891">
      <c r="A891" s="3" t="inlineStr">
        <is>
          <t>Alibaba</t>
        </is>
      </c>
      <c r="B891" s="3" t="n">
        <v>2029</v>
      </c>
      <c r="C891" s="3" t="inlineStr">
        <is>
          <t>Bear</t>
        </is>
      </c>
      <c r="D891" s="3" t="inlineStr">
        <is>
          <t>purpose_built_tps_per_mw</t>
        </is>
      </c>
      <c r="E891" s="3" t="n">
        <v>774713</v>
      </c>
      <c r="F891" s="3" t="inlineStr">
        <is>
          <t>generated output tokens/sec/MW</t>
        </is>
      </c>
      <c r="G891" s="3" t="inlineStr">
        <is>
          <t>Conservative no-uplift proxy</t>
        </is>
      </c>
      <c r="H891" s="3" t="inlineStr">
        <is>
          <t>purpose_built_tps_per_mw = purpose_built_reference_tps_per_mw * commercial_workload_fit_factor until comparable output-token benchmark is adopted</t>
        </is>
      </c>
      <c r="I891" s="3" t="inlineStr">
        <is>
          <t>No comparable public output-token/MW row adopted; B200 public reference placeholder is used and remains editable.</t>
        </is>
      </c>
      <c r="J891" s="3" t="inlineStr">
        <is>
          <t>SRC_QWEN3_GITHUB; SRC_ALIBABA_QWEN_GPU_DEPLOY; SRC_EPOCH_AI_DATA_CENTERS; ASSUMP_NUMERIC_ACCELERATOR_MIX</t>
        </is>
      </c>
      <c r="K891" s="3" t="inlineStr">
        <is>
          <t>ASSUMP_MOE_EFFICIENCY; ASSUMP_CN_CAPACITY_TRANSPARENCY; ASSUMP_NUMERIC_ACCELERATOR_MIX; ASSUMP_INFERENCE_SHARE_NOT_FACT_60; ASSUMP_WORKLOAD_CLASS_MIX; ASSUMP_AGENTIC_CONTEXT_PENALTY</t>
        </is>
      </c>
      <c r="L891" s="3" t="inlineStr">
        <is>
          <t>Matched-workload generated-output benchmark for the provider purpose-built accelerator.</t>
        </is>
      </c>
    </row>
    <row r="892">
      <c r="A892" s="3" t="inlineStr">
        <is>
          <t>Alibaba</t>
        </is>
      </c>
      <c r="B892" s="3" t="n">
        <v>2029</v>
      </c>
      <c r="C892" s="3" t="inlineStr">
        <is>
          <t>Bear</t>
        </is>
      </c>
      <c r="D892" s="3" t="inlineStr">
        <is>
          <t>inference_power_share</t>
        </is>
      </c>
      <c r="E892" s="3" t="n">
        <v>0.655</v>
      </c>
      <c r="F892" s="3" t="inlineStr">
        <is>
          <t>share of AI IT load</t>
        </is>
      </c>
      <c r="G892" s="3" t="inlineStr">
        <is>
          <t>Scenario allocation</t>
        </is>
      </c>
      <c r="H892" s="3" t="inlineStr">
        <is>
          <t>inference_gw = ai_it_load_gw * inference_power_share</t>
        </is>
      </c>
      <c r="I892" s="3" t="inlineStr">
        <is>
          <t>Qwen API/enterprise commercialization and MoE architecture support increasing inference allocation scenario.</t>
        </is>
      </c>
      <c r="J892" s="3" t="inlineStr">
        <is>
          <t>SRC_QWEN3_GITHUB; SRC_ALIBABA_QWEN_GPU_DEPLOY; SRC_EPOCH_AI_DATA_CENTERS; ASSUMP_INFERENCE_SHARE_NOT_FACT_60</t>
        </is>
      </c>
      <c r="K892" s="3" t="inlineStr">
        <is>
          <t>ASSUMP_MOE_EFFICIENCY; ASSUMP_CN_CAPACITY_TRANSPARENCY; ASSUMP_NUMERIC_ACCELERATOR_MIX; ASSUMP_INFERENCE_SHARE_NOT_FACT_60; ASSUMP_WORKLOAD_CLASS_MIX; ASSUMP_AGENTIC_CONTEXT_PENALTY</t>
        </is>
      </c>
      <c r="L892" s="3" t="inlineStr">
        <is>
          <t>Provider-specific inference/training workload power telemetry.</t>
        </is>
      </c>
    </row>
    <row r="893">
      <c r="A893" s="3" t="inlineStr">
        <is>
          <t>Alibaba</t>
        </is>
      </c>
      <c r="B893" s="3" t="n">
        <v>2029</v>
      </c>
      <c r="C893" s="3" t="inlineStr">
        <is>
          <t>Bear</t>
        </is>
      </c>
      <c r="D893" s="3" t="inlineStr">
        <is>
          <t>inference_gw</t>
        </is>
      </c>
      <c r="E893" s="3" t="n">
        <v>0.963</v>
      </c>
      <c r="F893" s="3" t="inlineStr">
        <is>
          <t>GW</t>
        </is>
      </c>
      <c r="G893" s="3" t="inlineStr">
        <is>
          <t>Derived formula</t>
        </is>
      </c>
      <c r="H893" s="3" t="inlineStr">
        <is>
          <t>ai_it_load_gw * inference_power_share</t>
        </is>
      </c>
      <c r="I893" s="3" t="inlineStr">
        <is>
          <t>This is the operational power eligible to become commercial generated output tokens through the selected TPS/MW proxy.</t>
        </is>
      </c>
      <c r="J893" s="3" t="inlineStr">
        <is>
          <t>SRC_QWEN3_GITHUB; SRC_ALIBABA_QWEN_GPU_DEPLOY; SRC_EPOCH_AI_DATA_CENTERS</t>
        </is>
      </c>
      <c r="K893" s="3" t="inlineStr">
        <is>
          <t>ASSUMP_MOE_EFFICIENCY; ASSUMP_CN_CAPACITY_TRANSPARENCY; ASSUMP_NUMERIC_ACCELERATOR_MIX; ASSUMP_INFERENCE_SHARE_NOT_FACT_60; ASSUMP_WORKLOAD_CLASS_MIX; ASSUMP_AGENTIC_CONTEXT_PENALTY</t>
        </is>
      </c>
      <c r="L893" s="3" t="inlineStr">
        <is>
          <t>Recompute after AI allocation or inference-share evidence changes.</t>
        </is>
      </c>
    </row>
    <row r="894">
      <c r="A894" s="3" t="inlineStr">
        <is>
          <t>Alibaba</t>
        </is>
      </c>
      <c r="B894" s="3" t="n">
        <v>2029</v>
      </c>
      <c r="C894" s="3" t="inlineStr">
        <is>
          <t>Bear</t>
        </is>
      </c>
      <c r="D894" s="3" t="inlineStr">
        <is>
          <t>training_power_share</t>
        </is>
      </c>
      <c r="E894" s="3" t="n">
        <v>0.345</v>
      </c>
      <c r="F894" s="3" t="inlineStr">
        <is>
          <t>share of AI IT load</t>
        </is>
      </c>
      <c r="G894" s="3" t="inlineStr">
        <is>
          <t>Derived allocation</t>
        </is>
      </c>
      <c r="H894" s="3" t="inlineStr">
        <is>
          <t>1 - inference_power_share</t>
        </is>
      </c>
      <c r="I894" s="3" t="inlineStr">
        <is>
          <t>Training receives the complementary modeled AI IT allocation; it is not a disclosed company workload split.</t>
        </is>
      </c>
      <c r="J894" s="3" t="inlineStr">
        <is>
          <t>SRC_QWEN3_GITHUB; SRC_ALIBABA_QWEN_GPU_DEPLOY; SRC_EPOCH_AI_DATA_CENTERS; ASSUMP_INFERENCE_SHARE_NOT_FACT_60</t>
        </is>
      </c>
      <c r="K894" s="3" t="inlineStr">
        <is>
          <t>ASSUMP_MOE_EFFICIENCY; ASSUMP_CN_CAPACITY_TRANSPARENCY; ASSUMP_NUMERIC_ACCELERATOR_MIX; ASSUMP_INFERENCE_SHARE_NOT_FACT_60; ASSUMP_WORKLOAD_CLASS_MIX; ASSUMP_AGENTIC_CONTEXT_PENALTY</t>
        </is>
      </c>
      <c r="L894" s="3" t="inlineStr">
        <is>
          <t>Provider-specific inference/training workload power telemetry.</t>
        </is>
      </c>
    </row>
    <row r="895">
      <c r="A895" s="3" t="inlineStr">
        <is>
          <t>Alibaba</t>
        </is>
      </c>
      <c r="B895" s="3" t="n">
        <v>2029</v>
      </c>
      <c r="C895" s="3" t="inlineStr">
        <is>
          <t>Bear</t>
        </is>
      </c>
      <c r="D895" s="3" t="inlineStr">
        <is>
          <t>training_gw</t>
        </is>
      </c>
      <c r="E895" s="3" t="n">
        <v>0.507</v>
      </c>
      <c r="F895" s="3" t="inlineStr">
        <is>
          <t>GW</t>
        </is>
      </c>
      <c r="G895" s="3" t="inlineStr">
        <is>
          <t>Derived formula</t>
        </is>
      </c>
      <c r="H895" s="3" t="inlineStr">
        <is>
          <t>ai_it_load_gw * training_power_share</t>
        </is>
      </c>
      <c r="I895" s="3" t="inlineStr">
        <is>
          <t>Training GW is shown separately so commercial inference token capacity is not overstated.</t>
        </is>
      </c>
      <c r="J895" s="3" t="inlineStr">
        <is>
          <t>SRC_QWEN3_GITHUB; SRC_ALIBABA_QWEN_GPU_DEPLOY; SRC_EPOCH_AI_DATA_CENTERS</t>
        </is>
      </c>
      <c r="K895" s="3" t="inlineStr">
        <is>
          <t>ASSUMP_MOE_EFFICIENCY; ASSUMP_CN_CAPACITY_TRANSPARENCY; ASSUMP_NUMERIC_ACCELERATOR_MIX; ASSUMP_INFERENCE_SHARE_NOT_FACT_60; ASSUMP_WORKLOAD_CLASS_MIX; ASSUMP_AGENTIC_CONTEXT_PENALTY</t>
        </is>
      </c>
      <c r="L895" s="3" t="inlineStr">
        <is>
          <t>Recompute after AI allocation or workload-split evidence changes.</t>
        </is>
      </c>
    </row>
    <row r="896">
      <c r="A896" s="3" t="inlineStr">
        <is>
          <t>Alibaba</t>
        </is>
      </c>
      <c r="B896" s="3" t="n">
        <v>2029</v>
      </c>
      <c r="C896" s="3" t="inlineStr">
        <is>
          <t>Bear</t>
        </is>
      </c>
      <c r="D896" s="3" t="inlineStr">
        <is>
          <t>tokens_per_second_per_mw</t>
        </is>
      </c>
      <c r="E896" s="3" t="n">
        <v>116614</v>
      </c>
      <c r="F896" s="3" t="inlineStr">
        <is>
          <t>generated output tokens/sec/MW</t>
        </is>
      </c>
      <c r="G896" s="3" t="inlineStr">
        <is>
          <t>Derived estimate + benchmark calibration</t>
        </is>
      </c>
      <c r="H896" s="3" t="inlineStr">
        <is>
          <t>fleet_reference_tps_per_mw * commercial_workload_fit_factor</t>
        </is>
      </c>
      <c r="I89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896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896" s="3" t="inlineStr">
        <is>
          <t>ASSUMP_MOE_EFFICIENCY; ASSUMP_CN_CAPACITY_TRANSPARENCY; ASSUMP_NUMERIC_ACCELERATOR_MIX; ASSUMP_INFERENCE_SHARE_NOT_FACT_60; ASSUMP_WORKLOAD_CLASS_MIX; ASSUMP_AGENTIC_CONTEXT_PENALTY</t>
        </is>
      </c>
      <c r="L896" s="3" t="inlineStr">
        <is>
          <t>Comparable production output-token throughput with model, hardware, precision, ISL/OSL and SLO matched.</t>
        </is>
      </c>
    </row>
    <row r="897">
      <c r="A897" s="3" t="inlineStr">
        <is>
          <t>Alibaba</t>
        </is>
      </c>
      <c r="B897" s="3" t="n">
        <v>2029</v>
      </c>
      <c r="C897" s="3" t="inlineStr">
        <is>
          <t>Bear</t>
        </is>
      </c>
      <c r="D897" s="3" t="inlineStr">
        <is>
          <t>inference_tokens_per_day</t>
        </is>
      </c>
      <c r="E897" s="3" t="n">
        <v>9702657964800</v>
      </c>
      <c r="F897" s="3" t="inlineStr">
        <is>
          <t>generated output tokens/day</t>
        </is>
      </c>
      <c r="G897" s="3" t="inlineStr">
        <is>
          <t>Derived headline metric</t>
        </is>
      </c>
      <c r="H897" s="3" t="inlineStr">
        <is>
          <t>inference_gw * 1000 * tokens_per_second_per_mw * 86,400</t>
        </is>
      </c>
      <c r="I897" s="3" t="inlineStr">
        <is>
          <t>Headline capacity uses no utilization, MoE, architecture or software-growth multiplier; it is not observed commercial output volume.</t>
        </is>
      </c>
      <c r="J897" s="3" t="inlineStr">
        <is>
          <t>SRC_QWEN3_GITHUB; SRC_ALIBABA_QWEN_GPU_DEPLOY; SRC_EPOCH_AI_DATA_CENTERS; SRC_SEMIANALYSIS_INFERENCEX</t>
        </is>
      </c>
      <c r="K897" s="3" t="inlineStr">
        <is>
          <t>ASSUMP_MOE_EFFICIENCY; ASSUMP_CN_CAPACITY_TRANSPARENCY; ASSUMP_NUMERIC_ACCELERATOR_MIX; ASSUMP_INFERENCE_SHARE_NOT_FACT_60; ASSUMP_WORKLOAD_CLASS_MIX; ASSUMP_AGENTIC_CONTEXT_PENALTY</t>
        </is>
      </c>
      <c r="L897" s="3" t="inlineStr">
        <is>
          <t>Provider-disclosed generated output token volume or calibrated capacity telemetry.</t>
        </is>
      </c>
    </row>
    <row r="898">
      <c r="A898" s="3" t="inlineStr">
        <is>
          <t>Alibaba</t>
        </is>
      </c>
      <c r="B898" s="3" t="n">
        <v>2029</v>
      </c>
      <c r="C898" s="3" t="inlineStr">
        <is>
          <t>Bear</t>
        </is>
      </c>
      <c r="D898" s="3" t="inlineStr">
        <is>
          <t>inference_tokens_per_year</t>
        </is>
      </c>
      <c r="E898" s="3" t="n">
        <v>3541470157152000</v>
      </c>
      <c r="F898" s="3" t="inlineStr">
        <is>
          <t>generated output tokens/year</t>
        </is>
      </c>
      <c r="G898" s="3" t="inlineStr">
        <is>
          <t>Derived headline metric</t>
        </is>
      </c>
      <c r="H898" s="3" t="inlineStr">
        <is>
          <t>inference_tokens_per_day * 365</t>
        </is>
      </c>
      <c r="I898" s="3" t="inlineStr">
        <is>
          <t>Annualized version of generated output token capacity; it is not observed annual demand or billable volume.</t>
        </is>
      </c>
      <c r="J898" s="3" t="inlineStr">
        <is>
          <t>SRC_QWEN3_GITHUB; SRC_ALIBABA_QWEN_GPU_DEPLOY; SRC_EPOCH_AI_DATA_CENTERS; SRC_SEMIANALYSIS_INFERENCEX</t>
        </is>
      </c>
      <c r="K898" s="3" t="inlineStr">
        <is>
          <t>ASSUMP_MOE_EFFICIENCY; ASSUMP_CN_CAPACITY_TRANSPARENCY; ASSUMP_NUMERIC_ACCELERATOR_MIX; ASSUMP_INFERENCE_SHARE_NOT_FACT_60; ASSUMP_WORKLOAD_CLASS_MIX; ASSUMP_AGENTIC_CONTEXT_PENALTY</t>
        </is>
      </c>
      <c r="L898" s="3" t="inlineStr">
        <is>
          <t>Provider-disclosed annual generated-output volume or metered serving telemetry.</t>
        </is>
      </c>
    </row>
    <row r="899">
      <c r="A899" s="3" t="inlineStr">
        <is>
          <t>Alibaba</t>
        </is>
      </c>
      <c r="B899" s="3" t="n">
        <v>2030</v>
      </c>
      <c r="C899" s="3" t="inlineStr">
        <is>
          <t>Bear</t>
        </is>
      </c>
      <c r="D899" s="3" t="inlineStr">
        <is>
          <t>contracted_power_gw</t>
        </is>
      </c>
      <c r="E899" s="3" t="n">
        <v>4</v>
      </c>
      <c r="F899" s="3" t="inlineStr">
        <is>
          <t>GW</t>
        </is>
      </c>
      <c r="G899" s="3" t="inlineStr">
        <is>
          <t>Scenario capacity envelope</t>
        </is>
      </c>
      <c r="H899" s="3" t="inlineStr">
        <is>
          <t>linear interpolation between 2026 and 2030 company capacity endpoints</t>
        </is>
      </c>
      <c r="I899" s="3" t="inlineStr">
        <is>
          <t>Alibaba Cloud/Qwen capacity is a scenario envelope; official model and deployment documentation does not state operated GW.</t>
        </is>
      </c>
      <c r="J899" s="3" t="inlineStr">
        <is>
          <t>SRC_ALIBABA_QWEN_GPU_DEPLOY; ASSUMP_CN_CAPACITY_TRANSPARENCY</t>
        </is>
      </c>
      <c r="K899" s="3" t="inlineStr">
        <is>
          <t>ASSUMP_MOE_EFFICIENCY; ASSUMP_CN_CAPACITY_TRANSPARENCY; ASSUMP_NUMERIC_ACCELERATOR_MIX; ASSUMP_INFERENCE_SHARE_NOT_FACT_60; ASSUMP_WORKLOAD_CLASS_MIX; ASSUMP_AGENTIC_CONTEXT_PENALTY</t>
        </is>
      </c>
      <c r="L899" s="3" t="inlineStr">
        <is>
          <t>Company/site-level committed MW/GW, interconnect and contract disclosure.</t>
        </is>
      </c>
    </row>
    <row r="900">
      <c r="A900" s="3" t="inlineStr">
        <is>
          <t>Alibaba</t>
        </is>
      </c>
      <c r="B900" s="3" t="n">
        <v>2030</v>
      </c>
      <c r="C900" s="3" t="inlineStr">
        <is>
          <t>Bear</t>
        </is>
      </c>
      <c r="D900" s="3" t="inlineStr">
        <is>
          <t>operational_deployment_share</t>
        </is>
      </c>
      <c r="E900" s="3" t="n">
        <v>0.656</v>
      </c>
      <c r="F900" s="3" t="inlineStr">
        <is>
          <t>share</t>
        </is>
      </c>
      <c r="G900" s="3" t="inlineStr">
        <is>
          <t>Scenario conversion</t>
        </is>
      </c>
      <c r="H900" s="3" t="inlineStr">
        <is>
          <t>active_power_gw / contracted_power_gw</t>
        </is>
      </c>
      <c r="I900" s="3" t="inlineStr">
        <is>
          <t>This is the single explicit conversion from contracted/attributed capacity to operationally usable capacity.</t>
        </is>
      </c>
      <c r="J900" s="3" t="inlineStr">
        <is>
          <t>SRC_ALIBABA_QWEN_GPU_DEPLOY; ASSUMP_CN_CAPACITY_TRANSPARENCY</t>
        </is>
      </c>
      <c r="K900" s="3" t="inlineStr">
        <is>
          <t>ASSUMP_MOE_EFFICIENCY; ASSUMP_CN_CAPACITY_TRANSPARENCY; ASSUMP_NUMERIC_ACCELERATOR_MIX; ASSUMP_INFERENCE_SHARE_NOT_FACT_60; ASSUMP_WORKLOAD_CLASS_MIX; ASSUMP_AGENTIC_CONTEXT_PENALTY</t>
        </is>
      </c>
      <c r="L900" s="3" t="inlineStr">
        <is>
          <t>Energized operational capacity divided by contracted/attributed capacity.</t>
        </is>
      </c>
    </row>
    <row r="901">
      <c r="A901" s="3" t="inlineStr">
        <is>
          <t>Alibaba</t>
        </is>
      </c>
      <c r="B901" s="3" t="n">
        <v>2030</v>
      </c>
      <c r="C901" s="3" t="inlineStr">
        <is>
          <t>Bear</t>
        </is>
      </c>
      <c r="D901" s="3" t="inlineStr">
        <is>
          <t>active_power_gw</t>
        </is>
      </c>
      <c r="E901" s="3" t="n">
        <v>2.624</v>
      </c>
      <c r="F901" s="3" t="inlineStr">
        <is>
          <t>GW</t>
        </is>
      </c>
      <c r="G901" s="3" t="inlineStr">
        <is>
          <t>Derived scenario</t>
        </is>
      </c>
      <c r="H901" s="3" t="inlineStr">
        <is>
          <t>contracted_power_gw * operational_deployment_share</t>
        </is>
      </c>
      <c r="I901" s="3" t="inlineStr">
        <is>
          <t>Active GW is staged below capacity due to undisclosed accelerator allocation and cloud multi-tenant use.</t>
        </is>
      </c>
      <c r="J901" s="3" t="inlineStr">
        <is>
          <t>SRC_ALIBABA_QWEN_GPU_DEPLOY; ASSUMP_CN_CAPACITY_TRANSPARENCY</t>
        </is>
      </c>
      <c r="K901" s="3" t="inlineStr">
        <is>
          <t>ASSUMP_MOE_EFFICIENCY; ASSUMP_CN_CAPACITY_TRANSPARENCY; ASSUMP_NUMERIC_ACCELERATOR_MIX; ASSUMP_INFERENCE_SHARE_NOT_FACT_60; ASSUMP_WORKLOAD_CLASS_MIX; ASSUMP_AGENTIC_CONTEXT_PENALTY</t>
        </is>
      </c>
      <c r="L901" s="3" t="inlineStr">
        <is>
          <t>Energization dates, accelerator deliveries and operational powered-rack telemetry.</t>
        </is>
      </c>
    </row>
    <row r="902">
      <c r="A902" s="3" t="inlineStr">
        <is>
          <t>Alibaba</t>
        </is>
      </c>
      <c r="B902" s="3" t="n">
        <v>2030</v>
      </c>
      <c r="C902" s="3" t="inlineStr">
        <is>
          <t>Bear</t>
        </is>
      </c>
      <c r="D902" s="3" t="inlineStr">
        <is>
          <t>pue</t>
        </is>
      </c>
      <c r="E902" s="3" t="n">
        <v>1.23</v>
      </c>
      <c r="F902" s="3" t="inlineStr">
        <is>
          <t>ratio</t>
        </is>
      </c>
      <c r="G902" s="3" t="inlineStr">
        <is>
          <t>Scenario parameter</t>
        </is>
      </c>
      <c r="H902" s="3" t="inlineStr">
        <is>
          <t>it_load_gw = active_power_gw / pue</t>
        </is>
      </c>
      <c r="I902" s="3" t="inlineStr">
        <is>
          <t>No provider-wide site-level PUE is used as a disclosed fact; PUE represents facility-to-IT conversion within the scenario.</t>
        </is>
      </c>
      <c r="J902" s="3" t="inlineStr">
        <is>
          <t>ASSUMP_POWER_RAMP</t>
        </is>
      </c>
      <c r="K902" s="3" t="inlineStr">
        <is>
          <t>ASSUMP_MOE_EFFICIENCY; ASSUMP_CN_CAPACITY_TRANSPARENCY; ASSUMP_NUMERIC_ACCELERATOR_MIX; ASSUMP_INFERENCE_SHARE_NOT_FACT_60; ASSUMP_WORKLOAD_CLASS_MIX; ASSUMP_AGENTIC_CONTEXT_PENALTY</t>
        </is>
      </c>
      <c r="L902" s="3" t="inlineStr">
        <is>
          <t>Site-level measured PUE matched to attributed AI capacity.</t>
        </is>
      </c>
    </row>
    <row r="903">
      <c r="A903" s="3" t="inlineStr">
        <is>
          <t>Alibaba</t>
        </is>
      </c>
      <c r="B903" s="3" t="n">
        <v>2030</v>
      </c>
      <c r="C903" s="3" t="inlineStr">
        <is>
          <t>Bear</t>
        </is>
      </c>
      <c r="D903" s="3" t="inlineStr">
        <is>
          <t>it_load_gw</t>
        </is>
      </c>
      <c r="E903" s="3" t="n">
        <v>2.133</v>
      </c>
      <c r="F903" s="3" t="inlineStr">
        <is>
          <t>GW</t>
        </is>
      </c>
      <c r="G903" s="3" t="inlineStr">
        <is>
          <t>Derived formula</t>
        </is>
      </c>
      <c r="H903" s="3" t="inlineStr">
        <is>
          <t>active_power_gw / pue</t>
        </is>
      </c>
      <c r="I903" s="3" t="inlineStr">
        <is>
          <t>Facility power is converted to IT-deliverable power before attributing AI workloads.</t>
        </is>
      </c>
      <c r="J903" s="3" t="inlineStr">
        <is>
          <t>SRC_ALIBABA_QWEN_GPU_DEPLOY; ASSUMP_CN_CAPACITY_TRANSPARENCY</t>
        </is>
      </c>
      <c r="K903" s="3" t="inlineStr">
        <is>
          <t>ASSUMP_MOE_EFFICIENCY; ASSUMP_CN_CAPACITY_TRANSPARENCY; ASSUMP_NUMERIC_ACCELERATOR_MIX; ASSUMP_INFERENCE_SHARE_NOT_FACT_60; ASSUMP_WORKLOAD_CLASS_MIX; ASSUMP_AGENTIC_CONTEXT_PENALTY</t>
        </is>
      </c>
      <c r="L903" s="3" t="inlineStr">
        <is>
          <t>Recompute once active power and PUE become site-observable.</t>
        </is>
      </c>
    </row>
    <row r="904">
      <c r="A904" s="3" t="inlineStr">
        <is>
          <t>Alibaba</t>
        </is>
      </c>
      <c r="B904" s="3" t="n">
        <v>2030</v>
      </c>
      <c r="C904" s="3" t="inlineStr">
        <is>
          <t>Bear</t>
        </is>
      </c>
      <c r="D904" s="3" t="inlineStr">
        <is>
          <t>ai_workload_share</t>
        </is>
      </c>
      <c r="E904" s="3" t="n">
        <v>0.84</v>
      </c>
      <c r="F904" s="3" t="inlineStr">
        <is>
          <t>share</t>
        </is>
      </c>
      <c r="G904" s="3" t="inlineStr">
        <is>
          <t>Scenario allocation</t>
        </is>
      </c>
      <c r="H904" s="3" t="inlineStr">
        <is>
          <t>ai_it_load_gw = it_load_gw * ai_workload_share</t>
        </is>
      </c>
      <c r="I904" s="3" t="inlineStr">
        <is>
          <t>Model Studio/Qwen-serving envelope is AI-focused, while cloud platform/reserve allocation is excluded through 84%.</t>
        </is>
      </c>
      <c r="J904" s="3" t="inlineStr">
        <is>
          <t>SRC_QWEN3_GITHUB; SRC_ALIBABA_QWEN_GPU_DEPLOY; SRC_EPOCH_AI_DATA_CENTERS</t>
        </is>
      </c>
      <c r="K904" s="3" t="inlineStr">
        <is>
          <t>ASSUMP_MOE_EFFICIENCY; ASSUMP_CN_CAPACITY_TRANSPARENCY; ASSUMP_NUMERIC_ACCELERATOR_MIX; ASSUMP_INFERENCE_SHARE_NOT_FACT_60; ASSUMP_WORKLOAD_CLASS_MIX; ASSUMP_AGENTIC_CONTEXT_PENALTY</t>
        </is>
      </c>
      <c r="L904" s="3" t="inlineStr">
        <is>
          <t>Model-owner AI workload allocation or cluster scheduling telemetry.</t>
        </is>
      </c>
    </row>
    <row r="905">
      <c r="A905" s="3" t="inlineStr">
        <is>
          <t>Alibaba</t>
        </is>
      </c>
      <c r="B905" s="3" t="n">
        <v>2030</v>
      </c>
      <c r="C905" s="3" t="inlineStr">
        <is>
          <t>Bear</t>
        </is>
      </c>
      <c r="D905" s="3" t="inlineStr">
        <is>
          <t>ai_it_load_gw</t>
        </is>
      </c>
      <c r="E905" s="3" t="n">
        <v>1.792</v>
      </c>
      <c r="F905" s="3" t="inlineStr">
        <is>
          <t>GW</t>
        </is>
      </c>
      <c r="G905" s="3" t="inlineStr">
        <is>
          <t>Derived formula</t>
        </is>
      </c>
      <c r="H905" s="3" t="inlineStr">
        <is>
          <t>it_load_gw * ai_workload_share</t>
        </is>
      </c>
      <c r="I905" s="3" t="inlineStr">
        <is>
          <t>Only the AI-attributed portion of IT load enters training/inference allocation.</t>
        </is>
      </c>
      <c r="J905" s="3" t="inlineStr">
        <is>
          <t>SRC_QWEN3_GITHUB; SRC_ALIBABA_QWEN_GPU_DEPLOY; SRC_EPOCH_AI_DATA_CENTERS</t>
        </is>
      </c>
      <c r="K905" s="3" t="inlineStr">
        <is>
          <t>ASSUMP_MOE_EFFICIENCY; ASSUMP_CN_CAPACITY_TRANSPARENCY; ASSUMP_NUMERIC_ACCELERATOR_MIX; ASSUMP_INFERENCE_SHARE_NOT_FACT_60; ASSUMP_WORKLOAD_CLASS_MIX; ASSUMP_AGENTIC_CONTEXT_PENALTY</t>
        </is>
      </c>
      <c r="L905" s="3" t="inlineStr">
        <is>
          <t>Recompute after ai_workload_share is replaced by telemetry.</t>
        </is>
      </c>
    </row>
    <row r="906">
      <c r="A906" s="3" t="inlineStr">
        <is>
          <t>Alibaba</t>
        </is>
      </c>
      <c r="B906" s="3" t="n">
        <v>2030</v>
      </c>
      <c r="C906" s="3" t="inlineStr">
        <is>
          <t>Bear</t>
        </is>
      </c>
      <c r="D906" s="3" t="inlineStr">
        <is>
          <t>gpu_share</t>
        </is>
      </c>
      <c r="E906" s="3" t="n">
        <v>1</v>
      </c>
      <c r="F906" s="3" t="inlineStr">
        <is>
          <t>share of inference-serving accelerator load</t>
        </is>
      </c>
      <c r="G906" s="3" t="inlineStr">
        <is>
          <t>Numeric scenario</t>
        </is>
      </c>
      <c r="H906" s="3" t="inlineStr">
        <is>
          <t>gpu_share interpolated from company 2026/2030 accelerator-mix endpoints</t>
        </is>
      </c>
      <c r="I906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906" s="3" t="inlineStr">
        <is>
          <t>SRC_QWEN3_GITHUB; SRC_ALIBABA_QWEN_GPU_DEPLOY; SRC_EPOCH_AI_DATA_CENTERS; ASSUMP_NUMERIC_ACCELERATOR_MIX</t>
        </is>
      </c>
      <c r="K906" s="3" t="inlineStr">
        <is>
          <t>ASSUMP_MOE_EFFICIENCY; ASSUMP_CN_CAPACITY_TRANSPARENCY; ASSUMP_NUMERIC_ACCELERATOR_MIX; ASSUMP_INFERENCE_SHARE_NOT_FACT_60; ASSUMP_WORKLOAD_CLASS_MIX; ASSUMP_AGENTIC_CONTEXT_PENALTY</t>
        </is>
      </c>
      <c r="L906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907">
      <c r="A907" s="3" t="inlineStr">
        <is>
          <t>Alibaba</t>
        </is>
      </c>
      <c r="B907" s="3" t="n">
        <v>2030</v>
      </c>
      <c r="C907" s="3" t="inlineStr">
        <is>
          <t>Bear</t>
        </is>
      </c>
      <c r="D907" s="3" t="inlineStr">
        <is>
          <t>h200_share</t>
        </is>
      </c>
      <c r="E907" s="3" t="n">
        <v>1</v>
      </c>
      <c r="F907" s="3" t="inlineStr">
        <is>
          <t>share of inference-serving accelerator load</t>
        </is>
      </c>
      <c r="G907" s="3" t="inlineStr">
        <is>
          <t>Editable numeric scenario</t>
        </is>
      </c>
      <c r="H907" s="3" t="inlineStr">
        <is>
          <t>h200_share = gpu_share * default_gpu_generation_mix_h200</t>
        </is>
      </c>
      <c r="I907" s="3" t="inlineStr">
        <is>
          <t>Default GPU-generation migration assumption; executive workbook allows later manual replacement by company/year/scenario.</t>
        </is>
      </c>
      <c r="J907" s="3" t="inlineStr">
        <is>
          <t>SRC_SEMIANALYSIS_INFERENCEX; ASSUMP_NUMERIC_ACCELERATOR_MIX</t>
        </is>
      </c>
      <c r="K907" s="3" t="inlineStr">
        <is>
          <t>ASSUMP_MOE_EFFICIENCY; ASSUMP_CN_CAPACITY_TRANSPARENCY; ASSUMP_NUMERIC_ACCELERATOR_MIX; ASSUMP_INFERENCE_SHARE_NOT_FACT_60; ASSUMP_WORKLOAD_CLASS_MIX; ASSUMP_AGENTIC_CONTEXT_PENALTY</t>
        </is>
      </c>
      <c r="L907" s="3" t="inlineStr">
        <is>
          <t>Company fleet inventory, accelerator-hours or procurement/deployment records by GPU generation.</t>
        </is>
      </c>
    </row>
    <row r="908">
      <c r="A908" s="3" t="inlineStr">
        <is>
          <t>Alibaba</t>
        </is>
      </c>
      <c r="B908" s="3" t="n">
        <v>2030</v>
      </c>
      <c r="C908" s="3" t="inlineStr">
        <is>
          <t>Bear</t>
        </is>
      </c>
      <c r="D908" s="3" t="inlineStr">
        <is>
          <t>b200_share</t>
        </is>
      </c>
      <c r="E908" s="3" t="n">
        <v>0</v>
      </c>
      <c r="F908" s="3" t="inlineStr">
        <is>
          <t>share of inference-serving accelerator load</t>
        </is>
      </c>
      <c r="G908" s="3" t="inlineStr">
        <is>
          <t>Editable numeric scenario</t>
        </is>
      </c>
      <c r="H908" s="3" t="inlineStr">
        <is>
          <t>b200_share = gpu_share * default_gpu_generation_mix_b200</t>
        </is>
      </c>
      <c r="I908" s="3" t="inlineStr">
        <is>
          <t>Default GPU-generation migration assumption; executive workbook allows later manual replacement by company/year/scenario.</t>
        </is>
      </c>
      <c r="J908" s="3" t="inlineStr">
        <is>
          <t>SRC_SEMIANALYSIS_INFERENCEX; ASSUMP_NUMERIC_ACCELERATOR_MIX</t>
        </is>
      </c>
      <c r="K908" s="3" t="inlineStr">
        <is>
          <t>ASSUMP_MOE_EFFICIENCY; ASSUMP_CN_CAPACITY_TRANSPARENCY; ASSUMP_NUMERIC_ACCELERATOR_MIX; ASSUMP_INFERENCE_SHARE_NOT_FACT_60; ASSUMP_WORKLOAD_CLASS_MIX; ASSUMP_AGENTIC_CONTEXT_PENALTY</t>
        </is>
      </c>
      <c r="L908" s="3" t="inlineStr">
        <is>
          <t>Company fleet inventory, accelerator-hours or procurement/deployment records by GPU generation.</t>
        </is>
      </c>
    </row>
    <row r="909">
      <c r="A909" s="3" t="inlineStr">
        <is>
          <t>Alibaba</t>
        </is>
      </c>
      <c r="B909" s="3" t="n">
        <v>2030</v>
      </c>
      <c r="C909" s="3" t="inlineStr">
        <is>
          <t>Bear</t>
        </is>
      </c>
      <c r="D909" s="3" t="inlineStr">
        <is>
          <t>gb200_share</t>
        </is>
      </c>
      <c r="E909" s="3" t="n">
        <v>0</v>
      </c>
      <c r="F909" s="3" t="inlineStr">
        <is>
          <t>share of inference-serving accelerator load</t>
        </is>
      </c>
      <c r="G909" s="3" t="inlineStr">
        <is>
          <t>Editable numeric scenario</t>
        </is>
      </c>
      <c r="H909" s="3" t="inlineStr">
        <is>
          <t>gb200_share = gpu_share * default_gpu_generation_mix_gb200</t>
        </is>
      </c>
      <c r="I909" s="3" t="inlineStr">
        <is>
          <t>Default GPU-generation migration assumption; executive workbook allows later manual replacement by company/year/scenario.</t>
        </is>
      </c>
      <c r="J909" s="3" t="inlineStr">
        <is>
          <t>SRC_SEMIANALYSIS_INFERENCEX; ASSUMP_NUMERIC_ACCELERATOR_MIX</t>
        </is>
      </c>
      <c r="K909" s="3" t="inlineStr">
        <is>
          <t>ASSUMP_MOE_EFFICIENCY; ASSUMP_CN_CAPACITY_TRANSPARENCY; ASSUMP_NUMERIC_ACCELERATOR_MIX; ASSUMP_INFERENCE_SHARE_NOT_FACT_60; ASSUMP_WORKLOAD_CLASS_MIX; ASSUMP_AGENTIC_CONTEXT_PENALTY</t>
        </is>
      </c>
      <c r="L909" s="3" t="inlineStr">
        <is>
          <t>Company fleet inventory, accelerator-hours or procurement/deployment records by GPU generation.</t>
        </is>
      </c>
    </row>
    <row r="910">
      <c r="A910" s="3" t="inlineStr">
        <is>
          <t>Alibaba</t>
        </is>
      </c>
      <c r="B910" s="3" t="n">
        <v>2030</v>
      </c>
      <c r="C910" s="3" t="inlineStr">
        <is>
          <t>Bear</t>
        </is>
      </c>
      <c r="D910" s="3" t="inlineStr">
        <is>
          <t>purpose_built_accelerator_share</t>
        </is>
      </c>
      <c r="E910" s="3" t="n">
        <v>0</v>
      </c>
      <c r="F910" s="3" t="inlineStr">
        <is>
          <t>share of inference-serving accelerator load</t>
        </is>
      </c>
      <c r="G910" s="3" t="inlineStr">
        <is>
          <t>Numeric scenario</t>
        </is>
      </c>
      <c r="H910" s="3" t="inlineStr">
        <is>
          <t>1 - gpu_share</t>
        </is>
      </c>
      <c r="I910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910" s="3" t="inlineStr">
        <is>
          <t>SRC_QWEN3_GITHUB; SRC_ALIBABA_QWEN_GPU_DEPLOY; SRC_EPOCH_AI_DATA_CENTERS; ASSUMP_NUMERIC_ACCELERATOR_MIX</t>
        </is>
      </c>
      <c r="K910" s="3" t="inlineStr">
        <is>
          <t>ASSUMP_MOE_EFFICIENCY; ASSUMP_CN_CAPACITY_TRANSPARENCY; ASSUMP_NUMERIC_ACCELERATOR_MIX; ASSUMP_INFERENCE_SHARE_NOT_FACT_60; ASSUMP_WORKLOAD_CLASS_MIX; ASSUMP_AGENTIC_CONTEXT_PENALTY</t>
        </is>
      </c>
      <c r="L910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911">
      <c r="A911" s="3" t="inlineStr">
        <is>
          <t>Alibaba</t>
        </is>
      </c>
      <c r="B911" s="3" t="n">
        <v>2030</v>
      </c>
      <c r="C911" s="3" t="inlineStr">
        <is>
          <t>Bear</t>
        </is>
      </c>
      <c r="D911" s="3" t="inlineStr">
        <is>
          <t>fleet_reference_tps_per_mw</t>
        </is>
      </c>
      <c r="E911" s="3" t="n">
        <v>166591</v>
      </c>
      <c r="F911" s="3" t="inlineStr">
        <is>
          <t>generated output tokens/sec/MW</t>
        </is>
      </c>
      <c r="G911" s="3" t="inlineStr">
        <is>
          <t>Fleet-weighted public benchmark reference</t>
        </is>
      </c>
      <c r="H911" s="3" t="inlineStr">
        <is>
          <t>h200_share*h200_workload_avg + b200_share*b200_workload_avg + gb200_share*gb200_workload_avg + purpose_built_share*purpose_workload_avg</t>
        </is>
      </c>
      <c r="I91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911" s="3" t="inlineStr">
        <is>
          <t>SRC_SEMIANALYSIS_INFERENCEX; ASSUMP_NUMERIC_ACCELERATOR_MIX; ASSUMP_WORKLOAD_CLASS_MIX; ASSUMP_AGENTIC_CONTEXT_PENALTY</t>
        </is>
      </c>
      <c r="K911" s="3" t="inlineStr">
        <is>
          <t>ASSUMP_MOE_EFFICIENCY; ASSUMP_CN_CAPACITY_TRANSPARENCY; ASSUMP_NUMERIC_ACCELERATOR_MIX; ASSUMP_INFERENCE_SHARE_NOT_FACT_60; ASSUMP_WORKLOAD_CLASS_MIX; ASSUMP_AGENTIC_CONTEXT_PENALTY</t>
        </is>
      </c>
      <c r="L911" s="3" t="inlineStr">
        <is>
          <t>Comparable production output-token throughput or a more closely matched benchmark.</t>
        </is>
      </c>
    </row>
    <row r="912">
      <c r="A912" s="3" t="inlineStr">
        <is>
          <t>Alibaba</t>
        </is>
      </c>
      <c r="B912" s="3" t="n">
        <v>2030</v>
      </c>
      <c r="C912" s="3" t="inlineStr">
        <is>
          <t>Bear</t>
        </is>
      </c>
      <c r="D912" s="3" t="inlineStr">
        <is>
          <t>commercial_workload_fit_factor</t>
        </is>
      </c>
      <c r="E912" s="3" t="n">
        <v>0.7</v>
      </c>
      <c r="F912" s="3" t="inlineStr">
        <is>
          <t>share of public reference throughput</t>
        </is>
      </c>
      <c r="G912" s="3" t="inlineStr">
        <is>
          <t>Scenario assumption</t>
        </is>
      </c>
      <c r="H912" s="3" t="inlineStr">
        <is>
          <t>reference_serving_tps_per_mw = fleet_reference_tps_per_mw * commercial_workload_fit_factor</t>
        </is>
      </c>
      <c r="I91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912" s="3" t="inlineStr">
        <is>
          <t>SRC_SEMIANALYSIS_INFERENCEX; ASSUMP_NUMERIC_ACCELERATOR_MIX; ASSUMP_WORKLOAD_CLASS_MIX; ASSUMP_AGENTIC_CONTEXT_PENALTY</t>
        </is>
      </c>
      <c r="K912" s="3" t="inlineStr">
        <is>
          <t>ASSUMP_MOE_EFFICIENCY; ASSUMP_CN_CAPACITY_TRANSPARENCY; ASSUMP_NUMERIC_ACCELERATOR_MIX; ASSUMP_INFERENCE_SHARE_NOT_FACT_60; ASSUMP_WORKLOAD_CLASS_MIX; ASSUMP_AGENTIC_CONTEXT_PENALTY</t>
        </is>
      </c>
      <c r="L912" s="3" t="inlineStr">
        <is>
          <t>Matched commercial serving benchmark by product surface, context shape and latency SLO.</t>
        </is>
      </c>
    </row>
    <row r="913">
      <c r="A913" s="3" t="inlineStr">
        <is>
          <t>Alibaba</t>
        </is>
      </c>
      <c r="B913" s="3" t="n">
        <v>2030</v>
      </c>
      <c r="C913" s="3" t="inlineStr">
        <is>
          <t>Bear</t>
        </is>
      </c>
      <c r="D913" s="3" t="inlineStr">
        <is>
          <t>reference_serving_tps_per_mw</t>
        </is>
      </c>
      <c r="E913" s="3" t="n">
        <v>116614</v>
      </c>
      <c r="F913" s="3" t="inlineStr">
        <is>
          <t>generated output tokens/sec/MW</t>
        </is>
      </c>
      <c r="G913" s="3" t="inlineStr">
        <is>
          <t>Workload-adjusted benchmark proxy</t>
        </is>
      </c>
      <c r="H913" s="3" t="inlineStr">
        <is>
          <t>fleet_reference_tps_per_mw * commercial_workload_fit_factor</t>
        </is>
      </c>
      <c r="I913" s="3" t="inlineStr">
        <is>
          <t>This is the coefficient used for headline token generation; each GPU's short chat, long chat and agentic TPS/MW are weighted before fleet mix and commercial fit are applied.</t>
        </is>
      </c>
      <c r="J913" s="3" t="inlineStr">
        <is>
          <t>SRC_SEMIANALYSIS_INFERENCEX; ASSUMP_NUMERIC_ACCELERATOR_MIX; ASSUMP_WORKLOAD_CLASS_MIX; ASSUMP_AGENTIC_CONTEXT_PENALTY</t>
        </is>
      </c>
      <c r="K913" s="3" t="inlineStr">
        <is>
          <t>ASSUMP_MOE_EFFICIENCY; ASSUMP_CN_CAPACITY_TRANSPARENCY; ASSUMP_NUMERIC_ACCELERATOR_MIX; ASSUMP_INFERENCE_SHARE_NOT_FACT_60; ASSUMP_WORKLOAD_CLASS_MIX; ASSUMP_AGENTIC_CONTEXT_PENALTY</t>
        </is>
      </c>
      <c r="L913" s="3" t="inlineStr">
        <is>
          <t>Provider production output-token throughput with comparable workload/SLO.</t>
        </is>
      </c>
    </row>
    <row r="914">
      <c r="A914" s="3" t="inlineStr">
        <is>
          <t>Alibaba</t>
        </is>
      </c>
      <c r="B914" s="3" t="n">
        <v>2030</v>
      </c>
      <c r="C914" s="3" t="inlineStr">
        <is>
          <t>Bear</t>
        </is>
      </c>
      <c r="D914" s="3" t="inlineStr">
        <is>
          <t>purpose_built_tps_per_mw</t>
        </is>
      </c>
      <c r="E914" s="3" t="n">
        <v>774713</v>
      </c>
      <c r="F914" s="3" t="inlineStr">
        <is>
          <t>generated output tokens/sec/MW</t>
        </is>
      </c>
      <c r="G914" s="3" t="inlineStr">
        <is>
          <t>Conservative no-uplift proxy</t>
        </is>
      </c>
      <c r="H914" s="3" t="inlineStr">
        <is>
          <t>purpose_built_tps_per_mw = purpose_built_reference_tps_per_mw * commercial_workload_fit_factor until comparable output-token benchmark is adopted</t>
        </is>
      </c>
      <c r="I914" s="3" t="inlineStr">
        <is>
          <t>No comparable public output-token/MW row adopted; B200 public reference placeholder is used and remains editable.</t>
        </is>
      </c>
      <c r="J914" s="3" t="inlineStr">
        <is>
          <t>SRC_QWEN3_GITHUB; SRC_ALIBABA_QWEN_GPU_DEPLOY; SRC_EPOCH_AI_DATA_CENTERS; ASSUMP_NUMERIC_ACCELERATOR_MIX</t>
        </is>
      </c>
      <c r="K914" s="3" t="inlineStr">
        <is>
          <t>ASSUMP_MOE_EFFICIENCY; ASSUMP_CN_CAPACITY_TRANSPARENCY; ASSUMP_NUMERIC_ACCELERATOR_MIX; ASSUMP_INFERENCE_SHARE_NOT_FACT_60; ASSUMP_WORKLOAD_CLASS_MIX; ASSUMP_AGENTIC_CONTEXT_PENALTY</t>
        </is>
      </c>
      <c r="L914" s="3" t="inlineStr">
        <is>
          <t>Matched-workload generated-output benchmark for the provider purpose-built accelerator.</t>
        </is>
      </c>
    </row>
    <row r="915">
      <c r="A915" s="3" t="inlineStr">
        <is>
          <t>Alibaba</t>
        </is>
      </c>
      <c r="B915" s="3" t="n">
        <v>2030</v>
      </c>
      <c r="C915" s="3" t="inlineStr">
        <is>
          <t>Bear</t>
        </is>
      </c>
      <c r="D915" s="3" t="inlineStr">
        <is>
          <t>inference_power_share</t>
        </is>
      </c>
      <c r="E915" s="3" t="n">
        <v>0.7</v>
      </c>
      <c r="F915" s="3" t="inlineStr">
        <is>
          <t>share of AI IT load</t>
        </is>
      </c>
      <c r="G915" s="3" t="inlineStr">
        <is>
          <t>Scenario allocation</t>
        </is>
      </c>
      <c r="H915" s="3" t="inlineStr">
        <is>
          <t>inference_gw = ai_it_load_gw * inference_power_share</t>
        </is>
      </c>
      <c r="I915" s="3" t="inlineStr">
        <is>
          <t>Qwen API/enterprise commercialization and MoE architecture support increasing inference allocation scenario.</t>
        </is>
      </c>
      <c r="J915" s="3" t="inlineStr">
        <is>
          <t>SRC_QWEN3_GITHUB; SRC_ALIBABA_QWEN_GPU_DEPLOY; SRC_EPOCH_AI_DATA_CENTERS; ASSUMP_INFERENCE_SHARE_NOT_FACT_60</t>
        </is>
      </c>
      <c r="K915" s="3" t="inlineStr">
        <is>
          <t>ASSUMP_MOE_EFFICIENCY; ASSUMP_CN_CAPACITY_TRANSPARENCY; ASSUMP_NUMERIC_ACCELERATOR_MIX; ASSUMP_INFERENCE_SHARE_NOT_FACT_60; ASSUMP_WORKLOAD_CLASS_MIX; ASSUMP_AGENTIC_CONTEXT_PENALTY</t>
        </is>
      </c>
      <c r="L915" s="3" t="inlineStr">
        <is>
          <t>Provider-specific inference/training workload power telemetry.</t>
        </is>
      </c>
    </row>
    <row r="916">
      <c r="A916" s="3" t="inlineStr">
        <is>
          <t>Alibaba</t>
        </is>
      </c>
      <c r="B916" s="3" t="n">
        <v>2030</v>
      </c>
      <c r="C916" s="3" t="inlineStr">
        <is>
          <t>Bear</t>
        </is>
      </c>
      <c r="D916" s="3" t="inlineStr">
        <is>
          <t>inference_gw</t>
        </is>
      </c>
      <c r="E916" s="3" t="n">
        <v>1.254</v>
      </c>
      <c r="F916" s="3" t="inlineStr">
        <is>
          <t>GW</t>
        </is>
      </c>
      <c r="G916" s="3" t="inlineStr">
        <is>
          <t>Derived formula</t>
        </is>
      </c>
      <c r="H916" s="3" t="inlineStr">
        <is>
          <t>ai_it_load_gw * inference_power_share</t>
        </is>
      </c>
      <c r="I916" s="3" t="inlineStr">
        <is>
          <t>This is the operational power eligible to become commercial generated output tokens through the selected TPS/MW proxy.</t>
        </is>
      </c>
      <c r="J916" s="3" t="inlineStr">
        <is>
          <t>SRC_QWEN3_GITHUB; SRC_ALIBABA_QWEN_GPU_DEPLOY; SRC_EPOCH_AI_DATA_CENTERS</t>
        </is>
      </c>
      <c r="K916" s="3" t="inlineStr">
        <is>
          <t>ASSUMP_MOE_EFFICIENCY; ASSUMP_CN_CAPACITY_TRANSPARENCY; ASSUMP_NUMERIC_ACCELERATOR_MIX; ASSUMP_INFERENCE_SHARE_NOT_FACT_60; ASSUMP_WORKLOAD_CLASS_MIX; ASSUMP_AGENTIC_CONTEXT_PENALTY</t>
        </is>
      </c>
      <c r="L916" s="3" t="inlineStr">
        <is>
          <t>Recompute after AI allocation or inference-share evidence changes.</t>
        </is>
      </c>
    </row>
    <row r="917">
      <c r="A917" s="3" t="inlineStr">
        <is>
          <t>Alibaba</t>
        </is>
      </c>
      <c r="B917" s="3" t="n">
        <v>2030</v>
      </c>
      <c r="C917" s="3" t="inlineStr">
        <is>
          <t>Bear</t>
        </is>
      </c>
      <c r="D917" s="3" t="inlineStr">
        <is>
          <t>training_power_share</t>
        </is>
      </c>
      <c r="E917" s="3" t="n">
        <v>0.3</v>
      </c>
      <c r="F917" s="3" t="inlineStr">
        <is>
          <t>share of AI IT load</t>
        </is>
      </c>
      <c r="G917" s="3" t="inlineStr">
        <is>
          <t>Derived allocation</t>
        </is>
      </c>
      <c r="H917" s="3" t="inlineStr">
        <is>
          <t>1 - inference_power_share</t>
        </is>
      </c>
      <c r="I917" s="3" t="inlineStr">
        <is>
          <t>Training receives the complementary modeled AI IT allocation; it is not a disclosed company workload split.</t>
        </is>
      </c>
      <c r="J917" s="3" t="inlineStr">
        <is>
          <t>SRC_QWEN3_GITHUB; SRC_ALIBABA_QWEN_GPU_DEPLOY; SRC_EPOCH_AI_DATA_CENTERS; ASSUMP_INFERENCE_SHARE_NOT_FACT_60</t>
        </is>
      </c>
      <c r="K917" s="3" t="inlineStr">
        <is>
          <t>ASSUMP_MOE_EFFICIENCY; ASSUMP_CN_CAPACITY_TRANSPARENCY; ASSUMP_NUMERIC_ACCELERATOR_MIX; ASSUMP_INFERENCE_SHARE_NOT_FACT_60; ASSUMP_WORKLOAD_CLASS_MIX; ASSUMP_AGENTIC_CONTEXT_PENALTY</t>
        </is>
      </c>
      <c r="L917" s="3" t="inlineStr">
        <is>
          <t>Provider-specific inference/training workload power telemetry.</t>
        </is>
      </c>
    </row>
    <row r="918">
      <c r="A918" s="3" t="inlineStr">
        <is>
          <t>Alibaba</t>
        </is>
      </c>
      <c r="B918" s="3" t="n">
        <v>2030</v>
      </c>
      <c r="C918" s="3" t="inlineStr">
        <is>
          <t>Bear</t>
        </is>
      </c>
      <c r="D918" s="3" t="inlineStr">
        <is>
          <t>training_gw</t>
        </is>
      </c>
      <c r="E918" s="3" t="n">
        <v>0.538</v>
      </c>
      <c r="F918" s="3" t="inlineStr">
        <is>
          <t>GW</t>
        </is>
      </c>
      <c r="G918" s="3" t="inlineStr">
        <is>
          <t>Derived formula</t>
        </is>
      </c>
      <c r="H918" s="3" t="inlineStr">
        <is>
          <t>ai_it_load_gw * training_power_share</t>
        </is>
      </c>
      <c r="I918" s="3" t="inlineStr">
        <is>
          <t>Training GW is shown separately so commercial inference token capacity is not overstated.</t>
        </is>
      </c>
      <c r="J918" s="3" t="inlineStr">
        <is>
          <t>SRC_QWEN3_GITHUB; SRC_ALIBABA_QWEN_GPU_DEPLOY; SRC_EPOCH_AI_DATA_CENTERS</t>
        </is>
      </c>
      <c r="K918" s="3" t="inlineStr">
        <is>
          <t>ASSUMP_MOE_EFFICIENCY; ASSUMP_CN_CAPACITY_TRANSPARENCY; ASSUMP_NUMERIC_ACCELERATOR_MIX; ASSUMP_INFERENCE_SHARE_NOT_FACT_60; ASSUMP_WORKLOAD_CLASS_MIX; ASSUMP_AGENTIC_CONTEXT_PENALTY</t>
        </is>
      </c>
      <c r="L918" s="3" t="inlineStr">
        <is>
          <t>Recompute after AI allocation or workload-split evidence changes.</t>
        </is>
      </c>
    </row>
    <row r="919">
      <c r="A919" s="3" t="inlineStr">
        <is>
          <t>Alibaba</t>
        </is>
      </c>
      <c r="B919" s="3" t="n">
        <v>2030</v>
      </c>
      <c r="C919" s="3" t="inlineStr">
        <is>
          <t>Bear</t>
        </is>
      </c>
      <c r="D919" s="3" t="inlineStr">
        <is>
          <t>tokens_per_second_per_mw</t>
        </is>
      </c>
      <c r="E919" s="3" t="n">
        <v>116614</v>
      </c>
      <c r="F919" s="3" t="inlineStr">
        <is>
          <t>generated output tokens/sec/MW</t>
        </is>
      </c>
      <c r="G919" s="3" t="inlineStr">
        <is>
          <t>Derived estimate + benchmark calibration</t>
        </is>
      </c>
      <c r="H919" s="3" t="inlineStr">
        <is>
          <t>fleet_reference_tps_per_mw * commercial_workload_fit_factor</t>
        </is>
      </c>
      <c r="I91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919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919" s="3" t="inlineStr">
        <is>
          <t>ASSUMP_MOE_EFFICIENCY; ASSUMP_CN_CAPACITY_TRANSPARENCY; ASSUMP_NUMERIC_ACCELERATOR_MIX; ASSUMP_INFERENCE_SHARE_NOT_FACT_60; ASSUMP_WORKLOAD_CLASS_MIX; ASSUMP_AGENTIC_CONTEXT_PENALTY</t>
        </is>
      </c>
      <c r="L919" s="3" t="inlineStr">
        <is>
          <t>Comparable production output-token throughput with model, hardware, precision, ISL/OSL and SLO matched.</t>
        </is>
      </c>
    </row>
    <row r="920">
      <c r="A920" s="3" t="inlineStr">
        <is>
          <t>Alibaba</t>
        </is>
      </c>
      <c r="B920" s="3" t="n">
        <v>2030</v>
      </c>
      <c r="C920" s="3" t="inlineStr">
        <is>
          <t>Bear</t>
        </is>
      </c>
      <c r="D920" s="3" t="inlineStr">
        <is>
          <t>inference_tokens_per_day</t>
        </is>
      </c>
      <c r="E920" s="3" t="n">
        <v>12634613798400</v>
      </c>
      <c r="F920" s="3" t="inlineStr">
        <is>
          <t>generated output tokens/day</t>
        </is>
      </c>
      <c r="G920" s="3" t="inlineStr">
        <is>
          <t>Derived headline metric</t>
        </is>
      </c>
      <c r="H920" s="3" t="inlineStr">
        <is>
          <t>inference_gw * 1000 * tokens_per_second_per_mw * 86,400</t>
        </is>
      </c>
      <c r="I920" s="3" t="inlineStr">
        <is>
          <t>Headline capacity uses no utilization, MoE, architecture or software-growth multiplier; it is not observed commercial output volume.</t>
        </is>
      </c>
      <c r="J920" s="3" t="inlineStr">
        <is>
          <t>SRC_QWEN3_GITHUB; SRC_ALIBABA_QWEN_GPU_DEPLOY; SRC_EPOCH_AI_DATA_CENTERS; SRC_SEMIANALYSIS_INFERENCEX</t>
        </is>
      </c>
      <c r="K920" s="3" t="inlineStr">
        <is>
          <t>ASSUMP_MOE_EFFICIENCY; ASSUMP_CN_CAPACITY_TRANSPARENCY; ASSUMP_NUMERIC_ACCELERATOR_MIX; ASSUMP_INFERENCE_SHARE_NOT_FACT_60; ASSUMP_WORKLOAD_CLASS_MIX; ASSUMP_AGENTIC_CONTEXT_PENALTY</t>
        </is>
      </c>
      <c r="L920" s="3" t="inlineStr">
        <is>
          <t>Provider-disclosed generated output token volume or calibrated capacity telemetry.</t>
        </is>
      </c>
    </row>
    <row r="921">
      <c r="A921" s="3" t="inlineStr">
        <is>
          <t>Alibaba</t>
        </is>
      </c>
      <c r="B921" s="3" t="n">
        <v>2030</v>
      </c>
      <c r="C921" s="3" t="inlineStr">
        <is>
          <t>Bear</t>
        </is>
      </c>
      <c r="D921" s="3" t="inlineStr">
        <is>
          <t>inference_tokens_per_year</t>
        </is>
      </c>
      <c r="E921" s="3" t="n">
        <v>4611634036416000</v>
      </c>
      <c r="F921" s="3" t="inlineStr">
        <is>
          <t>generated output tokens/year</t>
        </is>
      </c>
      <c r="G921" s="3" t="inlineStr">
        <is>
          <t>Derived headline metric</t>
        </is>
      </c>
      <c r="H921" s="3" t="inlineStr">
        <is>
          <t>inference_tokens_per_day * 365</t>
        </is>
      </c>
      <c r="I921" s="3" t="inlineStr">
        <is>
          <t>Annualized version of generated output token capacity; it is not observed annual demand or billable volume.</t>
        </is>
      </c>
      <c r="J921" s="3" t="inlineStr">
        <is>
          <t>SRC_QWEN3_GITHUB; SRC_ALIBABA_QWEN_GPU_DEPLOY; SRC_EPOCH_AI_DATA_CENTERS; SRC_SEMIANALYSIS_INFERENCEX</t>
        </is>
      </c>
      <c r="K921" s="3" t="inlineStr">
        <is>
          <t>ASSUMP_MOE_EFFICIENCY; ASSUMP_CN_CAPACITY_TRANSPARENCY; ASSUMP_NUMERIC_ACCELERATOR_MIX; ASSUMP_INFERENCE_SHARE_NOT_FACT_60; ASSUMP_WORKLOAD_CLASS_MIX; ASSUMP_AGENTIC_CONTEXT_PENALTY</t>
        </is>
      </c>
      <c r="L921" s="3" t="inlineStr">
        <is>
          <t>Provider-disclosed annual generated-output volume or metered serving telemetry.</t>
        </is>
      </c>
    </row>
    <row r="922">
      <c r="A922" s="3" t="inlineStr">
        <is>
          <t>Tencent</t>
        </is>
      </c>
      <c r="B922" s="3" t="n">
        <v>2026</v>
      </c>
      <c r="C922" s="3" t="inlineStr">
        <is>
          <t>Bear</t>
        </is>
      </c>
      <c r="D922" s="3" t="inlineStr">
        <is>
          <t>contracted_power_gw</t>
        </is>
      </c>
      <c r="E922" s="3" t="n">
        <v>1.2</v>
      </c>
      <c r="F922" s="3" t="inlineStr">
        <is>
          <t>GW</t>
        </is>
      </c>
      <c r="G922" s="3" t="inlineStr">
        <is>
          <t>Scenario capacity envelope</t>
        </is>
      </c>
      <c r="H922" s="3" t="inlineStr">
        <is>
          <t>linear interpolation between 2026 and 2030 company capacity endpoints</t>
        </is>
      </c>
      <c r="I922" s="3" t="inlineStr">
        <is>
          <t>Tencent Cloud/Hunyuan capacity is a scenario envelope because operated model-serving GW is undisclosed.</t>
        </is>
      </c>
      <c r="J922" s="3" t="inlineStr">
        <is>
          <t>SRC_TENCENT_AI_INFRA_MOE; ASSUMP_CN_CAPACITY_TRANSPARENCY</t>
        </is>
      </c>
      <c r="K922" s="3" t="inlineStr">
        <is>
          <t>ASSUMP_CN_CAPACITY_TRANSPARENCY; ASSUMP_APP_EMBEDDING; ASSUMP_NUMERIC_ACCELERATOR_MIX; ASSUMP_INFERENCE_SHARE_NOT_FACT_60; ASSUMP_WORKLOAD_CLASS_MIX; ASSUMP_AGENTIC_CONTEXT_PENALTY</t>
        </is>
      </c>
      <c r="L922" s="3" t="inlineStr">
        <is>
          <t>Company/site-level committed MW/GW, interconnect and contract disclosure.</t>
        </is>
      </c>
    </row>
    <row r="923">
      <c r="A923" s="3" t="inlineStr">
        <is>
          <t>Tencent</t>
        </is>
      </c>
      <c r="B923" s="3" t="n">
        <v>2026</v>
      </c>
      <c r="C923" s="3" t="inlineStr">
        <is>
          <t>Bear</t>
        </is>
      </c>
      <c r="D923" s="3" t="inlineStr">
        <is>
          <t>operational_deployment_share</t>
        </is>
      </c>
      <c r="E923" s="3" t="n">
        <v>0.3375</v>
      </c>
      <c r="F923" s="3" t="inlineStr">
        <is>
          <t>share</t>
        </is>
      </c>
      <c r="G923" s="3" t="inlineStr">
        <is>
          <t>Scenario conversion</t>
        </is>
      </c>
      <c r="H923" s="3" t="inlineStr">
        <is>
          <t>active_power_gw / contracted_power_gw</t>
        </is>
      </c>
      <c r="I923" s="3" t="inlineStr">
        <is>
          <t>This is the single explicit conversion from contracted/attributed capacity to operationally usable capacity.</t>
        </is>
      </c>
      <c r="J923" s="3" t="inlineStr">
        <is>
          <t>SRC_TENCENT_AI_INFRA_MOE; ASSUMP_CN_CAPACITY_TRANSPARENCY</t>
        </is>
      </c>
      <c r="K923" s="3" t="inlineStr">
        <is>
          <t>ASSUMP_CN_CAPACITY_TRANSPARENCY; ASSUMP_APP_EMBEDDING; ASSUMP_NUMERIC_ACCELERATOR_MIX; ASSUMP_INFERENCE_SHARE_NOT_FACT_60; ASSUMP_WORKLOAD_CLASS_MIX; ASSUMP_AGENTIC_CONTEXT_PENALTY</t>
        </is>
      </c>
      <c r="L923" s="3" t="inlineStr">
        <is>
          <t>Energized operational capacity divided by contracted/attributed capacity.</t>
        </is>
      </c>
    </row>
    <row r="924">
      <c r="A924" s="3" t="inlineStr">
        <is>
          <t>Tencent</t>
        </is>
      </c>
      <c r="B924" s="3" t="n">
        <v>2026</v>
      </c>
      <c r="C924" s="3" t="inlineStr">
        <is>
          <t>Bear</t>
        </is>
      </c>
      <c r="D924" s="3" t="inlineStr">
        <is>
          <t>active_power_gw</t>
        </is>
      </c>
      <c r="E924" s="3" t="n">
        <v>0.405</v>
      </c>
      <c r="F924" s="3" t="inlineStr">
        <is>
          <t>GW</t>
        </is>
      </c>
      <c r="G924" s="3" t="inlineStr">
        <is>
          <t>Derived scenario</t>
        </is>
      </c>
      <c r="H924" s="3" t="inlineStr">
        <is>
          <t>contracted_power_gw * operational_deployment_share</t>
        </is>
      </c>
      <c r="I924" s="3" t="inlineStr">
        <is>
          <t>Active GW reflects staged Hunyuan/Yuanbao adoption rather than a reported powered fleet.</t>
        </is>
      </c>
      <c r="J924" s="3" t="inlineStr">
        <is>
          <t>SRC_TENCENT_AI_INFRA_MOE; ASSUMP_CN_CAPACITY_TRANSPARENCY</t>
        </is>
      </c>
      <c r="K924" s="3" t="inlineStr">
        <is>
          <t>ASSUMP_CN_CAPACITY_TRANSPARENCY; ASSUMP_APP_EMBEDDING; ASSUMP_NUMERIC_ACCELERATOR_MIX; ASSUMP_INFERENCE_SHARE_NOT_FACT_60; ASSUMP_WORKLOAD_CLASS_MIX; ASSUMP_AGENTIC_CONTEXT_PENALTY</t>
        </is>
      </c>
      <c r="L924" s="3" t="inlineStr">
        <is>
          <t>Energization dates, accelerator deliveries and operational powered-rack telemetry.</t>
        </is>
      </c>
    </row>
    <row r="925">
      <c r="A925" s="3" t="inlineStr">
        <is>
          <t>Tencent</t>
        </is>
      </c>
      <c r="B925" s="3" t="n">
        <v>2026</v>
      </c>
      <c r="C925" s="3" t="inlineStr">
        <is>
          <t>Bear</t>
        </is>
      </c>
      <c r="D925" s="3" t="inlineStr">
        <is>
          <t>pue</t>
        </is>
      </c>
      <c r="E925" s="3" t="n">
        <v>1.23</v>
      </c>
      <c r="F925" s="3" t="inlineStr">
        <is>
          <t>ratio</t>
        </is>
      </c>
      <c r="G925" s="3" t="inlineStr">
        <is>
          <t>Scenario parameter</t>
        </is>
      </c>
      <c r="H925" s="3" t="inlineStr">
        <is>
          <t>it_load_gw = active_power_gw / pue</t>
        </is>
      </c>
      <c r="I925" s="3" t="inlineStr">
        <is>
          <t>No provider-wide site-level PUE is used as a disclosed fact; PUE represents facility-to-IT conversion within the scenario.</t>
        </is>
      </c>
      <c r="J925" s="3" t="inlineStr">
        <is>
          <t>ASSUMP_POWER_RAMP</t>
        </is>
      </c>
      <c r="K925" s="3" t="inlineStr">
        <is>
          <t>ASSUMP_CN_CAPACITY_TRANSPARENCY; ASSUMP_APP_EMBEDDING; ASSUMP_NUMERIC_ACCELERATOR_MIX; ASSUMP_INFERENCE_SHARE_NOT_FACT_60; ASSUMP_WORKLOAD_CLASS_MIX; ASSUMP_AGENTIC_CONTEXT_PENALTY</t>
        </is>
      </c>
      <c r="L925" s="3" t="inlineStr">
        <is>
          <t>Site-level measured PUE matched to attributed AI capacity.</t>
        </is>
      </c>
    </row>
    <row r="926">
      <c r="A926" s="3" t="inlineStr">
        <is>
          <t>Tencent</t>
        </is>
      </c>
      <c r="B926" s="3" t="n">
        <v>2026</v>
      </c>
      <c r="C926" s="3" t="inlineStr">
        <is>
          <t>Bear</t>
        </is>
      </c>
      <c r="D926" s="3" t="inlineStr">
        <is>
          <t>it_load_gw</t>
        </is>
      </c>
      <c r="E926" s="3" t="n">
        <v>0.329</v>
      </c>
      <c r="F926" s="3" t="inlineStr">
        <is>
          <t>GW</t>
        </is>
      </c>
      <c r="G926" s="3" t="inlineStr">
        <is>
          <t>Derived formula</t>
        </is>
      </c>
      <c r="H926" s="3" t="inlineStr">
        <is>
          <t>active_power_gw / pue</t>
        </is>
      </c>
      <c r="I926" s="3" t="inlineStr">
        <is>
          <t>Facility power is converted to IT-deliverable power before attributing AI workloads.</t>
        </is>
      </c>
      <c r="J926" s="3" t="inlineStr">
        <is>
          <t>SRC_TENCENT_AI_INFRA_MOE; ASSUMP_CN_CAPACITY_TRANSPARENCY</t>
        </is>
      </c>
      <c r="K926" s="3" t="inlineStr">
        <is>
          <t>ASSUMP_CN_CAPACITY_TRANSPARENCY; ASSUMP_APP_EMBEDDING; ASSUMP_NUMERIC_ACCELERATOR_MIX; ASSUMP_INFERENCE_SHARE_NOT_FACT_60; ASSUMP_WORKLOAD_CLASS_MIX; ASSUMP_AGENTIC_CONTEXT_PENALTY</t>
        </is>
      </c>
      <c r="L926" s="3" t="inlineStr">
        <is>
          <t>Recompute once active power and PUE become site-observable.</t>
        </is>
      </c>
    </row>
    <row r="927">
      <c r="A927" s="3" t="inlineStr">
        <is>
          <t>Tencent</t>
        </is>
      </c>
      <c r="B927" s="3" t="n">
        <v>2026</v>
      </c>
      <c r="C927" s="3" t="inlineStr">
        <is>
          <t>Bear</t>
        </is>
      </c>
      <c r="D927" s="3" t="inlineStr">
        <is>
          <t>ai_workload_share</t>
        </is>
      </c>
      <c r="E927" s="3" t="n">
        <v>0.84</v>
      </c>
      <c r="F927" s="3" t="inlineStr">
        <is>
          <t>share</t>
        </is>
      </c>
      <c r="G927" s="3" t="inlineStr">
        <is>
          <t>Scenario allocation</t>
        </is>
      </c>
      <c r="H927" s="3" t="inlineStr">
        <is>
          <t>ai_it_load_gw = it_load_gw * ai_workload_share</t>
        </is>
      </c>
      <c r="I927" s="3" t="inlineStr">
        <is>
          <t>Modeled Hunyuan-serving capacity is AI-focused; 84% excludes cloud/platform and reserve overhead.</t>
        </is>
      </c>
      <c r="J927" s="3" t="inlineStr">
        <is>
          <t>SRC_TENCENT_HUNYUAN; SRC_TENCENT_HY3; SRC_TENCENT_AI_INFRA_MOE; SRC_EPOCH_AI_DATA_CENTERS</t>
        </is>
      </c>
      <c r="K927" s="3" t="inlineStr">
        <is>
          <t>ASSUMP_CN_CAPACITY_TRANSPARENCY; ASSUMP_APP_EMBEDDING; ASSUMP_NUMERIC_ACCELERATOR_MIX; ASSUMP_INFERENCE_SHARE_NOT_FACT_60; ASSUMP_WORKLOAD_CLASS_MIX; ASSUMP_AGENTIC_CONTEXT_PENALTY</t>
        </is>
      </c>
      <c r="L927" s="3" t="inlineStr">
        <is>
          <t>Model-owner AI workload allocation or cluster scheduling telemetry.</t>
        </is>
      </c>
    </row>
    <row r="928">
      <c r="A928" s="3" t="inlineStr">
        <is>
          <t>Tencent</t>
        </is>
      </c>
      <c r="B928" s="3" t="n">
        <v>2026</v>
      </c>
      <c r="C928" s="3" t="inlineStr">
        <is>
          <t>Bear</t>
        </is>
      </c>
      <c r="D928" s="3" t="inlineStr">
        <is>
          <t>ai_it_load_gw</t>
        </is>
      </c>
      <c r="E928" s="3" t="n">
        <v>0.277</v>
      </c>
      <c r="F928" s="3" t="inlineStr">
        <is>
          <t>GW</t>
        </is>
      </c>
      <c r="G928" s="3" t="inlineStr">
        <is>
          <t>Derived formula</t>
        </is>
      </c>
      <c r="H928" s="3" t="inlineStr">
        <is>
          <t>it_load_gw * ai_workload_share</t>
        </is>
      </c>
      <c r="I928" s="3" t="inlineStr">
        <is>
          <t>Only the AI-attributed portion of IT load enters training/inference allocation.</t>
        </is>
      </c>
      <c r="J928" s="3" t="inlineStr">
        <is>
          <t>SRC_TENCENT_HUNYUAN; SRC_TENCENT_HY3; SRC_TENCENT_AI_INFRA_MOE; SRC_EPOCH_AI_DATA_CENTERS</t>
        </is>
      </c>
      <c r="K928" s="3" t="inlineStr">
        <is>
          <t>ASSUMP_CN_CAPACITY_TRANSPARENCY; ASSUMP_APP_EMBEDDING; ASSUMP_NUMERIC_ACCELERATOR_MIX; ASSUMP_INFERENCE_SHARE_NOT_FACT_60; ASSUMP_WORKLOAD_CLASS_MIX; ASSUMP_AGENTIC_CONTEXT_PENALTY</t>
        </is>
      </c>
      <c r="L928" s="3" t="inlineStr">
        <is>
          <t>Recompute after ai_workload_share is replaced by telemetry.</t>
        </is>
      </c>
    </row>
    <row r="929">
      <c r="A929" s="3" t="inlineStr">
        <is>
          <t>Tencent</t>
        </is>
      </c>
      <c r="B929" s="3" t="n">
        <v>2026</v>
      </c>
      <c r="C929" s="3" t="inlineStr">
        <is>
          <t>Bear</t>
        </is>
      </c>
      <c r="D929" s="3" t="inlineStr">
        <is>
          <t>gpu_share</t>
        </is>
      </c>
      <c r="E929" s="3" t="n">
        <v>1</v>
      </c>
      <c r="F929" s="3" t="inlineStr">
        <is>
          <t>share of inference-serving accelerator load</t>
        </is>
      </c>
      <c r="G929" s="3" t="inlineStr">
        <is>
          <t>Numeric scenario</t>
        </is>
      </c>
      <c r="H929" s="3" t="inlineStr">
        <is>
          <t>gpu_share interpolated from company 2026/2030 accelerator-mix endpoints</t>
        </is>
      </c>
      <c r="I929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29" s="3" t="inlineStr">
        <is>
          <t>SRC_TENCENT_HUNYUAN; SRC_TENCENT_HY3; SRC_TENCENT_AI_INFRA_MOE; SRC_EPOCH_AI_DATA_CENTERS; ASSUMP_NUMERIC_ACCELERATOR_MIX</t>
        </is>
      </c>
      <c r="K929" s="3" t="inlineStr">
        <is>
          <t>ASSUMP_CN_CAPACITY_TRANSPARENCY; ASSUMP_APP_EMBEDDING; ASSUMP_NUMERIC_ACCELERATOR_MIX; ASSUMP_INFERENCE_SHARE_NOT_FACT_60; ASSUMP_WORKLOAD_CLASS_MIX; ASSUMP_AGENTIC_CONTEXT_PENALTY</t>
        </is>
      </c>
      <c r="L929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30">
      <c r="A930" s="3" t="inlineStr">
        <is>
          <t>Tencent</t>
        </is>
      </c>
      <c r="B930" s="3" t="n">
        <v>2026</v>
      </c>
      <c r="C930" s="3" t="inlineStr">
        <is>
          <t>Bear</t>
        </is>
      </c>
      <c r="D930" s="3" t="inlineStr">
        <is>
          <t>h200_share</t>
        </is>
      </c>
      <c r="E930" s="3" t="n">
        <v>0.55</v>
      </c>
      <c r="F930" s="3" t="inlineStr">
        <is>
          <t>share of inference-serving accelerator load</t>
        </is>
      </c>
      <c r="G930" s="3" t="inlineStr">
        <is>
          <t>Editable numeric scenario</t>
        </is>
      </c>
      <c r="H930" s="3" t="inlineStr">
        <is>
          <t>h200_share = gpu_share * default_gpu_generation_mix_h200</t>
        </is>
      </c>
      <c r="I930" s="3" t="inlineStr">
        <is>
          <t>Default GPU-generation migration assumption; executive workbook allows later manual replacement by company/year/scenario.</t>
        </is>
      </c>
      <c r="J930" s="3" t="inlineStr">
        <is>
          <t>SRC_SEMIANALYSIS_INFERENCEX; ASSUMP_NUMERIC_ACCELERATOR_MIX</t>
        </is>
      </c>
      <c r="K930" s="3" t="inlineStr">
        <is>
          <t>ASSUMP_CN_CAPACITY_TRANSPARENCY; ASSUMP_APP_EMBEDDING; ASSUMP_NUMERIC_ACCELERATOR_MIX; ASSUMP_INFERENCE_SHARE_NOT_FACT_60; ASSUMP_WORKLOAD_CLASS_MIX; ASSUMP_AGENTIC_CONTEXT_PENALTY</t>
        </is>
      </c>
      <c r="L930" s="3" t="inlineStr">
        <is>
          <t>Company fleet inventory, accelerator-hours or procurement/deployment records by GPU generation.</t>
        </is>
      </c>
    </row>
    <row r="931">
      <c r="A931" s="3" t="inlineStr">
        <is>
          <t>Tencent</t>
        </is>
      </c>
      <c r="B931" s="3" t="n">
        <v>2026</v>
      </c>
      <c r="C931" s="3" t="inlineStr">
        <is>
          <t>Bear</t>
        </is>
      </c>
      <c r="D931" s="3" t="inlineStr">
        <is>
          <t>b200_share</t>
        </is>
      </c>
      <c r="E931" s="3" t="n">
        <v>0.4</v>
      </c>
      <c r="F931" s="3" t="inlineStr">
        <is>
          <t>share of inference-serving accelerator load</t>
        </is>
      </c>
      <c r="G931" s="3" t="inlineStr">
        <is>
          <t>Editable numeric scenario</t>
        </is>
      </c>
      <c r="H931" s="3" t="inlineStr">
        <is>
          <t>b200_share = gpu_share * default_gpu_generation_mix_b200</t>
        </is>
      </c>
      <c r="I931" s="3" t="inlineStr">
        <is>
          <t>Default GPU-generation migration assumption; executive workbook allows later manual replacement by company/year/scenario.</t>
        </is>
      </c>
      <c r="J931" s="3" t="inlineStr">
        <is>
          <t>SRC_SEMIANALYSIS_INFERENCEX; ASSUMP_NUMERIC_ACCELERATOR_MIX</t>
        </is>
      </c>
      <c r="K931" s="3" t="inlineStr">
        <is>
          <t>ASSUMP_CN_CAPACITY_TRANSPARENCY; ASSUMP_APP_EMBEDDING; ASSUMP_NUMERIC_ACCELERATOR_MIX; ASSUMP_INFERENCE_SHARE_NOT_FACT_60; ASSUMP_WORKLOAD_CLASS_MIX; ASSUMP_AGENTIC_CONTEXT_PENALTY</t>
        </is>
      </c>
      <c r="L931" s="3" t="inlineStr">
        <is>
          <t>Company fleet inventory, accelerator-hours or procurement/deployment records by GPU generation.</t>
        </is>
      </c>
    </row>
    <row r="932">
      <c r="A932" s="3" t="inlineStr">
        <is>
          <t>Tencent</t>
        </is>
      </c>
      <c r="B932" s="3" t="n">
        <v>2026</v>
      </c>
      <c r="C932" s="3" t="inlineStr">
        <is>
          <t>Bear</t>
        </is>
      </c>
      <c r="D932" s="3" t="inlineStr">
        <is>
          <t>gb200_share</t>
        </is>
      </c>
      <c r="E932" s="3" t="n">
        <v>0.05</v>
      </c>
      <c r="F932" s="3" t="inlineStr">
        <is>
          <t>share of inference-serving accelerator load</t>
        </is>
      </c>
      <c r="G932" s="3" t="inlineStr">
        <is>
          <t>Editable numeric scenario</t>
        </is>
      </c>
      <c r="H932" s="3" t="inlineStr">
        <is>
          <t>gb200_share = gpu_share * default_gpu_generation_mix_gb200</t>
        </is>
      </c>
      <c r="I932" s="3" t="inlineStr">
        <is>
          <t>Default GPU-generation migration assumption; executive workbook allows later manual replacement by company/year/scenario.</t>
        </is>
      </c>
      <c r="J932" s="3" t="inlineStr">
        <is>
          <t>SRC_SEMIANALYSIS_INFERENCEX; ASSUMP_NUMERIC_ACCELERATOR_MIX</t>
        </is>
      </c>
      <c r="K932" s="3" t="inlineStr">
        <is>
          <t>ASSUMP_CN_CAPACITY_TRANSPARENCY; ASSUMP_APP_EMBEDDING; ASSUMP_NUMERIC_ACCELERATOR_MIX; ASSUMP_INFERENCE_SHARE_NOT_FACT_60; ASSUMP_WORKLOAD_CLASS_MIX; ASSUMP_AGENTIC_CONTEXT_PENALTY</t>
        </is>
      </c>
      <c r="L932" s="3" t="inlineStr">
        <is>
          <t>Company fleet inventory, accelerator-hours or procurement/deployment records by GPU generation.</t>
        </is>
      </c>
    </row>
    <row r="933">
      <c r="A933" s="3" t="inlineStr">
        <is>
          <t>Tencent</t>
        </is>
      </c>
      <c r="B933" s="3" t="n">
        <v>2026</v>
      </c>
      <c r="C933" s="3" t="inlineStr">
        <is>
          <t>Bear</t>
        </is>
      </c>
      <c r="D933" s="3" t="inlineStr">
        <is>
          <t>purpose_built_accelerator_share</t>
        </is>
      </c>
      <c r="E933" s="3" t="n">
        <v>0</v>
      </c>
      <c r="F933" s="3" t="inlineStr">
        <is>
          <t>share of inference-serving accelerator load</t>
        </is>
      </c>
      <c r="G933" s="3" t="inlineStr">
        <is>
          <t>Numeric scenario</t>
        </is>
      </c>
      <c r="H933" s="3" t="inlineStr">
        <is>
          <t>1 - gpu_share</t>
        </is>
      </c>
      <c r="I933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33" s="3" t="inlineStr">
        <is>
          <t>SRC_TENCENT_HUNYUAN; SRC_TENCENT_HY3; SRC_TENCENT_AI_INFRA_MOE; SRC_EPOCH_AI_DATA_CENTERS; ASSUMP_NUMERIC_ACCELERATOR_MIX</t>
        </is>
      </c>
      <c r="K933" s="3" t="inlineStr">
        <is>
          <t>ASSUMP_CN_CAPACITY_TRANSPARENCY; ASSUMP_APP_EMBEDDING; ASSUMP_NUMERIC_ACCELERATOR_MIX; ASSUMP_INFERENCE_SHARE_NOT_FACT_60; ASSUMP_WORKLOAD_CLASS_MIX; ASSUMP_AGENTIC_CONTEXT_PENALTY</t>
        </is>
      </c>
      <c r="L933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34">
      <c r="A934" s="3" t="inlineStr">
        <is>
          <t>Tencent</t>
        </is>
      </c>
      <c r="B934" s="3" t="n">
        <v>2026</v>
      </c>
      <c r="C934" s="3" t="inlineStr">
        <is>
          <t>Bear</t>
        </is>
      </c>
      <c r="D934" s="3" t="inlineStr">
        <is>
          <t>fleet_reference_tps_per_mw</t>
        </is>
      </c>
      <c r="E934" s="3" t="n">
        <v>2359967</v>
      </c>
      <c r="F934" s="3" t="inlineStr">
        <is>
          <t>generated output tokens/sec/MW</t>
        </is>
      </c>
      <c r="G934" s="3" t="inlineStr">
        <is>
          <t>Fleet-weighted public benchmark reference</t>
        </is>
      </c>
      <c r="H934" s="3" t="inlineStr">
        <is>
          <t>h200_share*h200_workload_avg + b200_share*b200_workload_avg + gb200_share*gb200_workload_avg + purpose_built_share*purpose_workload_avg</t>
        </is>
      </c>
      <c r="I93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34" s="3" t="inlineStr">
        <is>
          <t>SRC_SEMIANALYSIS_INFERENCEX; ASSUMP_NUMERIC_ACCELERATOR_MIX; ASSUMP_WORKLOAD_CLASS_MIX; ASSUMP_AGENTIC_CONTEXT_PENALTY</t>
        </is>
      </c>
      <c r="K934" s="3" t="inlineStr">
        <is>
          <t>ASSUMP_CN_CAPACITY_TRANSPARENCY; ASSUMP_APP_EMBEDDING; ASSUMP_NUMERIC_ACCELERATOR_MIX; ASSUMP_INFERENCE_SHARE_NOT_FACT_60; ASSUMP_WORKLOAD_CLASS_MIX; ASSUMP_AGENTIC_CONTEXT_PENALTY</t>
        </is>
      </c>
      <c r="L934" s="3" t="inlineStr">
        <is>
          <t>Comparable production output-token throughput or a more closely matched benchmark.</t>
        </is>
      </c>
    </row>
    <row r="935">
      <c r="A935" s="3" t="inlineStr">
        <is>
          <t>Tencent</t>
        </is>
      </c>
      <c r="B935" s="3" t="n">
        <v>2026</v>
      </c>
      <c r="C935" s="3" t="inlineStr">
        <is>
          <t>Bear</t>
        </is>
      </c>
      <c r="D935" s="3" t="inlineStr">
        <is>
          <t>commercial_workload_fit_factor</t>
        </is>
      </c>
      <c r="E935" s="3" t="n">
        <v>0.4</v>
      </c>
      <c r="F935" s="3" t="inlineStr">
        <is>
          <t>share of public reference throughput</t>
        </is>
      </c>
      <c r="G935" s="3" t="inlineStr">
        <is>
          <t>Scenario assumption</t>
        </is>
      </c>
      <c r="H935" s="3" t="inlineStr">
        <is>
          <t>reference_serving_tps_per_mw = fleet_reference_tps_per_mw * commercial_workload_fit_factor</t>
        </is>
      </c>
      <c r="I93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35" s="3" t="inlineStr">
        <is>
          <t>SRC_SEMIANALYSIS_INFERENCEX; ASSUMP_NUMERIC_ACCELERATOR_MIX; ASSUMP_WORKLOAD_CLASS_MIX; ASSUMP_AGENTIC_CONTEXT_PENALTY</t>
        </is>
      </c>
      <c r="K935" s="3" t="inlineStr">
        <is>
          <t>ASSUMP_CN_CAPACITY_TRANSPARENCY; ASSUMP_APP_EMBEDDING; ASSUMP_NUMERIC_ACCELERATOR_MIX; ASSUMP_INFERENCE_SHARE_NOT_FACT_60; ASSUMP_WORKLOAD_CLASS_MIX; ASSUMP_AGENTIC_CONTEXT_PENALTY</t>
        </is>
      </c>
      <c r="L935" s="3" t="inlineStr">
        <is>
          <t>Matched commercial serving benchmark by product surface, context shape and latency SLO.</t>
        </is>
      </c>
    </row>
    <row r="936">
      <c r="A936" s="3" t="inlineStr">
        <is>
          <t>Tencent</t>
        </is>
      </c>
      <c r="B936" s="3" t="n">
        <v>2026</v>
      </c>
      <c r="C936" s="3" t="inlineStr">
        <is>
          <t>Bear</t>
        </is>
      </c>
      <c r="D936" s="3" t="inlineStr">
        <is>
          <t>reference_serving_tps_per_mw</t>
        </is>
      </c>
      <c r="E936" s="3" t="n">
        <v>943987</v>
      </c>
      <c r="F936" s="3" t="inlineStr">
        <is>
          <t>generated output tokens/sec/MW</t>
        </is>
      </c>
      <c r="G936" s="3" t="inlineStr">
        <is>
          <t>Workload-adjusted benchmark proxy</t>
        </is>
      </c>
      <c r="H936" s="3" t="inlineStr">
        <is>
          <t>fleet_reference_tps_per_mw * commercial_workload_fit_factor</t>
        </is>
      </c>
      <c r="I936" s="3" t="inlineStr">
        <is>
          <t>This is the coefficient used for headline token generation; each GPU's short chat, long chat and agentic TPS/MW are weighted before fleet mix and commercial fit are applied.</t>
        </is>
      </c>
      <c r="J936" s="3" t="inlineStr">
        <is>
          <t>SRC_SEMIANALYSIS_INFERENCEX; ASSUMP_NUMERIC_ACCELERATOR_MIX; ASSUMP_WORKLOAD_CLASS_MIX; ASSUMP_AGENTIC_CONTEXT_PENALTY</t>
        </is>
      </c>
      <c r="K936" s="3" t="inlineStr">
        <is>
          <t>ASSUMP_CN_CAPACITY_TRANSPARENCY; ASSUMP_APP_EMBEDDING; ASSUMP_NUMERIC_ACCELERATOR_MIX; ASSUMP_INFERENCE_SHARE_NOT_FACT_60; ASSUMP_WORKLOAD_CLASS_MIX; ASSUMP_AGENTIC_CONTEXT_PENALTY</t>
        </is>
      </c>
      <c r="L936" s="3" t="inlineStr">
        <is>
          <t>Provider production output-token throughput with comparable workload/SLO.</t>
        </is>
      </c>
    </row>
    <row r="937">
      <c r="A937" s="3" t="inlineStr">
        <is>
          <t>Tencent</t>
        </is>
      </c>
      <c r="B937" s="3" t="n">
        <v>2026</v>
      </c>
      <c r="C937" s="3" t="inlineStr">
        <is>
          <t>Bear</t>
        </is>
      </c>
      <c r="D937" s="3" t="inlineStr">
        <is>
          <t>purpose_built_tps_per_mw</t>
        </is>
      </c>
      <c r="E937" s="3" t="n">
        <v>1806787</v>
      </c>
      <c r="F937" s="3" t="inlineStr">
        <is>
          <t>generated output tokens/sec/MW</t>
        </is>
      </c>
      <c r="G937" s="3" t="inlineStr">
        <is>
          <t>Conservative no-uplift proxy</t>
        </is>
      </c>
      <c r="H937" s="3" t="inlineStr">
        <is>
          <t>purpose_built_tps_per_mw = purpose_built_reference_tps_per_mw * commercial_workload_fit_factor until comparable output-token benchmark is adopted</t>
        </is>
      </c>
      <c r="I937" s="3" t="inlineStr">
        <is>
          <t>No comparable public output-token/MW row adopted; B200 public reference placeholder is used and remains editable.</t>
        </is>
      </c>
      <c r="J937" s="3" t="inlineStr">
        <is>
          <t>SRC_TENCENT_HUNYUAN; SRC_TENCENT_HY3; SRC_TENCENT_AI_INFRA_MOE; SRC_EPOCH_AI_DATA_CENTERS; ASSUMP_NUMERIC_ACCELERATOR_MIX</t>
        </is>
      </c>
      <c r="K937" s="3" t="inlineStr">
        <is>
          <t>ASSUMP_CN_CAPACITY_TRANSPARENCY; ASSUMP_APP_EMBEDDING; ASSUMP_NUMERIC_ACCELERATOR_MIX; ASSUMP_INFERENCE_SHARE_NOT_FACT_60; ASSUMP_WORKLOAD_CLASS_MIX; ASSUMP_AGENTIC_CONTEXT_PENALTY</t>
        </is>
      </c>
      <c r="L937" s="3" t="inlineStr">
        <is>
          <t>Matched-workload generated-output benchmark for the provider purpose-built accelerator.</t>
        </is>
      </c>
    </row>
    <row r="938">
      <c r="A938" s="3" t="inlineStr">
        <is>
          <t>Tencent</t>
        </is>
      </c>
      <c r="B938" s="3" t="n">
        <v>2026</v>
      </c>
      <c r="C938" s="3" t="inlineStr">
        <is>
          <t>Bear</t>
        </is>
      </c>
      <c r="D938" s="3" t="inlineStr">
        <is>
          <t>inference_power_share</t>
        </is>
      </c>
      <c r="E938" s="3" t="n">
        <v>0.52</v>
      </c>
      <c r="F938" s="3" t="inlineStr">
        <is>
          <t>share of AI IT load</t>
        </is>
      </c>
      <c r="G938" s="3" t="inlineStr">
        <is>
          <t>Scenario allocation</t>
        </is>
      </c>
      <c r="H938" s="3" t="inlineStr">
        <is>
          <t>inference_gw = ai_it_load_gw * inference_power_share</t>
        </is>
      </c>
      <c r="I938" s="3" t="inlineStr">
        <is>
          <t>Yuanbao and embedded product surfaces plus Hunyuan Turbo inference-cost direction support rising inference allocation.</t>
        </is>
      </c>
      <c r="J938" s="3" t="inlineStr">
        <is>
          <t>SRC_TENCENT_HUNYUAN; SRC_TENCENT_HY3; SRC_TENCENT_AI_INFRA_MOE; SRC_EPOCH_AI_DATA_CENTERS; ASSUMP_INFERENCE_SHARE_NOT_FACT_60</t>
        </is>
      </c>
      <c r="K938" s="3" t="inlineStr">
        <is>
          <t>ASSUMP_CN_CAPACITY_TRANSPARENCY; ASSUMP_APP_EMBEDDING; ASSUMP_NUMERIC_ACCELERATOR_MIX; ASSUMP_INFERENCE_SHARE_NOT_FACT_60; ASSUMP_WORKLOAD_CLASS_MIX; ASSUMP_AGENTIC_CONTEXT_PENALTY</t>
        </is>
      </c>
      <c r="L938" s="3" t="inlineStr">
        <is>
          <t>Provider-specific inference/training workload power telemetry.</t>
        </is>
      </c>
    </row>
    <row r="939">
      <c r="A939" s="3" t="inlineStr">
        <is>
          <t>Tencent</t>
        </is>
      </c>
      <c r="B939" s="3" t="n">
        <v>2026</v>
      </c>
      <c r="C939" s="3" t="inlineStr">
        <is>
          <t>Bear</t>
        </is>
      </c>
      <c r="D939" s="3" t="inlineStr">
        <is>
          <t>inference_gw</t>
        </is>
      </c>
      <c r="E939" s="3" t="n">
        <v>0.144</v>
      </c>
      <c r="F939" s="3" t="inlineStr">
        <is>
          <t>GW</t>
        </is>
      </c>
      <c r="G939" s="3" t="inlineStr">
        <is>
          <t>Derived formula</t>
        </is>
      </c>
      <c r="H939" s="3" t="inlineStr">
        <is>
          <t>ai_it_load_gw * inference_power_share</t>
        </is>
      </c>
      <c r="I939" s="3" t="inlineStr">
        <is>
          <t>This is the operational power eligible to become commercial generated output tokens through the selected TPS/MW proxy.</t>
        </is>
      </c>
      <c r="J939" s="3" t="inlineStr">
        <is>
          <t>SRC_TENCENT_HUNYUAN; SRC_TENCENT_HY3; SRC_TENCENT_AI_INFRA_MOE; SRC_EPOCH_AI_DATA_CENTERS</t>
        </is>
      </c>
      <c r="K939" s="3" t="inlineStr">
        <is>
          <t>ASSUMP_CN_CAPACITY_TRANSPARENCY; ASSUMP_APP_EMBEDDING; ASSUMP_NUMERIC_ACCELERATOR_MIX; ASSUMP_INFERENCE_SHARE_NOT_FACT_60; ASSUMP_WORKLOAD_CLASS_MIX; ASSUMP_AGENTIC_CONTEXT_PENALTY</t>
        </is>
      </c>
      <c r="L939" s="3" t="inlineStr">
        <is>
          <t>Recompute after AI allocation or inference-share evidence changes.</t>
        </is>
      </c>
    </row>
    <row r="940">
      <c r="A940" s="3" t="inlineStr">
        <is>
          <t>Tencent</t>
        </is>
      </c>
      <c r="B940" s="3" t="n">
        <v>2026</v>
      </c>
      <c r="C940" s="3" t="inlineStr">
        <is>
          <t>Bear</t>
        </is>
      </c>
      <c r="D940" s="3" t="inlineStr">
        <is>
          <t>training_power_share</t>
        </is>
      </c>
      <c r="E940" s="3" t="n">
        <v>0.48</v>
      </c>
      <c r="F940" s="3" t="inlineStr">
        <is>
          <t>share of AI IT load</t>
        </is>
      </c>
      <c r="G940" s="3" t="inlineStr">
        <is>
          <t>Derived allocation</t>
        </is>
      </c>
      <c r="H940" s="3" t="inlineStr">
        <is>
          <t>1 - inference_power_share</t>
        </is>
      </c>
      <c r="I940" s="3" t="inlineStr">
        <is>
          <t>Training receives the complementary modeled AI IT allocation; it is not a disclosed company workload split.</t>
        </is>
      </c>
      <c r="J940" s="3" t="inlineStr">
        <is>
          <t>SRC_TENCENT_HUNYUAN; SRC_TENCENT_HY3; SRC_TENCENT_AI_INFRA_MOE; SRC_EPOCH_AI_DATA_CENTERS; ASSUMP_INFERENCE_SHARE_NOT_FACT_60</t>
        </is>
      </c>
      <c r="K940" s="3" t="inlineStr">
        <is>
          <t>ASSUMP_CN_CAPACITY_TRANSPARENCY; ASSUMP_APP_EMBEDDING; ASSUMP_NUMERIC_ACCELERATOR_MIX; ASSUMP_INFERENCE_SHARE_NOT_FACT_60; ASSUMP_WORKLOAD_CLASS_MIX; ASSUMP_AGENTIC_CONTEXT_PENALTY</t>
        </is>
      </c>
      <c r="L940" s="3" t="inlineStr">
        <is>
          <t>Provider-specific inference/training workload power telemetry.</t>
        </is>
      </c>
    </row>
    <row r="941">
      <c r="A941" s="3" t="inlineStr">
        <is>
          <t>Tencent</t>
        </is>
      </c>
      <c r="B941" s="3" t="n">
        <v>2026</v>
      </c>
      <c r="C941" s="3" t="inlineStr">
        <is>
          <t>Bear</t>
        </is>
      </c>
      <c r="D941" s="3" t="inlineStr">
        <is>
          <t>training_gw</t>
        </is>
      </c>
      <c r="E941" s="3" t="n">
        <v>0.133</v>
      </c>
      <c r="F941" s="3" t="inlineStr">
        <is>
          <t>GW</t>
        </is>
      </c>
      <c r="G941" s="3" t="inlineStr">
        <is>
          <t>Derived formula</t>
        </is>
      </c>
      <c r="H941" s="3" t="inlineStr">
        <is>
          <t>ai_it_load_gw * training_power_share</t>
        </is>
      </c>
      <c r="I941" s="3" t="inlineStr">
        <is>
          <t>Training GW is shown separately so commercial inference token capacity is not overstated.</t>
        </is>
      </c>
      <c r="J941" s="3" t="inlineStr">
        <is>
          <t>SRC_TENCENT_HUNYUAN; SRC_TENCENT_HY3; SRC_TENCENT_AI_INFRA_MOE; SRC_EPOCH_AI_DATA_CENTERS</t>
        </is>
      </c>
      <c r="K941" s="3" t="inlineStr">
        <is>
          <t>ASSUMP_CN_CAPACITY_TRANSPARENCY; ASSUMP_APP_EMBEDDING; ASSUMP_NUMERIC_ACCELERATOR_MIX; ASSUMP_INFERENCE_SHARE_NOT_FACT_60; ASSUMP_WORKLOAD_CLASS_MIX; ASSUMP_AGENTIC_CONTEXT_PENALTY</t>
        </is>
      </c>
      <c r="L941" s="3" t="inlineStr">
        <is>
          <t>Recompute after AI allocation or workload-split evidence changes.</t>
        </is>
      </c>
    </row>
    <row r="942">
      <c r="A942" s="3" t="inlineStr">
        <is>
          <t>Tencent</t>
        </is>
      </c>
      <c r="B942" s="3" t="n">
        <v>2026</v>
      </c>
      <c r="C942" s="3" t="inlineStr">
        <is>
          <t>Bear</t>
        </is>
      </c>
      <c r="D942" s="3" t="inlineStr">
        <is>
          <t>tokens_per_second_per_mw</t>
        </is>
      </c>
      <c r="E942" s="3" t="n">
        <v>943987</v>
      </c>
      <c r="F942" s="3" t="inlineStr">
        <is>
          <t>generated output tokens/sec/MW</t>
        </is>
      </c>
      <c r="G942" s="3" t="inlineStr">
        <is>
          <t>Derived estimate + benchmark calibration</t>
        </is>
      </c>
      <c r="H942" s="3" t="inlineStr">
        <is>
          <t>fleet_reference_tps_per_mw * commercial_workload_fit_factor</t>
        </is>
      </c>
      <c r="I94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42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942" s="3" t="inlineStr">
        <is>
          <t>ASSUMP_CN_CAPACITY_TRANSPARENCY; ASSUMP_APP_EMBEDDING; ASSUMP_NUMERIC_ACCELERATOR_MIX; ASSUMP_INFERENCE_SHARE_NOT_FACT_60; ASSUMP_WORKLOAD_CLASS_MIX; ASSUMP_AGENTIC_CONTEXT_PENALTY</t>
        </is>
      </c>
      <c r="L942" s="3" t="inlineStr">
        <is>
          <t>Comparable production output-token throughput with model, hardware, precision, ISL/OSL and SLO matched.</t>
        </is>
      </c>
    </row>
    <row r="943">
      <c r="A943" s="3" t="inlineStr">
        <is>
          <t>Tencent</t>
        </is>
      </c>
      <c r="B943" s="3" t="n">
        <v>2026</v>
      </c>
      <c r="C943" s="3" t="inlineStr">
        <is>
          <t>Bear</t>
        </is>
      </c>
      <c r="D943" s="3" t="inlineStr">
        <is>
          <t>inference_tokens_per_day</t>
        </is>
      </c>
      <c r="E943" s="3" t="n">
        <v>11744708659200</v>
      </c>
      <c r="F943" s="3" t="inlineStr">
        <is>
          <t>generated output tokens/day</t>
        </is>
      </c>
      <c r="G943" s="3" t="inlineStr">
        <is>
          <t>Derived headline metric</t>
        </is>
      </c>
      <c r="H943" s="3" t="inlineStr">
        <is>
          <t>inference_gw * 1000 * tokens_per_second_per_mw * 86,400</t>
        </is>
      </c>
      <c r="I943" s="3" t="inlineStr">
        <is>
          <t>Headline capacity uses no utilization, MoE, architecture or software-growth multiplier; it is not observed commercial output volume.</t>
        </is>
      </c>
      <c r="J943" s="3" t="inlineStr">
        <is>
          <t>SRC_TENCENT_HUNYUAN; SRC_TENCENT_HY3; SRC_TENCENT_AI_INFRA_MOE; SRC_EPOCH_AI_DATA_CENTERS; SRC_SEMIANALYSIS_INFERENCEX</t>
        </is>
      </c>
      <c r="K943" s="3" t="inlineStr">
        <is>
          <t>ASSUMP_CN_CAPACITY_TRANSPARENCY; ASSUMP_APP_EMBEDDING; ASSUMP_NUMERIC_ACCELERATOR_MIX; ASSUMP_INFERENCE_SHARE_NOT_FACT_60; ASSUMP_WORKLOAD_CLASS_MIX; ASSUMP_AGENTIC_CONTEXT_PENALTY</t>
        </is>
      </c>
      <c r="L943" s="3" t="inlineStr">
        <is>
          <t>Provider-disclosed generated output token volume or calibrated capacity telemetry.</t>
        </is>
      </c>
    </row>
    <row r="944">
      <c r="A944" s="3" t="inlineStr">
        <is>
          <t>Tencent</t>
        </is>
      </c>
      <c r="B944" s="3" t="n">
        <v>2026</v>
      </c>
      <c r="C944" s="3" t="inlineStr">
        <is>
          <t>Bear</t>
        </is>
      </c>
      <c r="D944" s="3" t="inlineStr">
        <is>
          <t>inference_tokens_per_year</t>
        </is>
      </c>
      <c r="E944" s="3" t="n">
        <v>4286818660608000</v>
      </c>
      <c r="F944" s="3" t="inlineStr">
        <is>
          <t>generated output tokens/year</t>
        </is>
      </c>
      <c r="G944" s="3" t="inlineStr">
        <is>
          <t>Derived headline metric</t>
        </is>
      </c>
      <c r="H944" s="3" t="inlineStr">
        <is>
          <t>inference_tokens_per_day * 365</t>
        </is>
      </c>
      <c r="I944" s="3" t="inlineStr">
        <is>
          <t>Annualized version of generated output token capacity; it is not observed annual demand or billable volume.</t>
        </is>
      </c>
      <c r="J944" s="3" t="inlineStr">
        <is>
          <t>SRC_TENCENT_HUNYUAN; SRC_TENCENT_HY3; SRC_TENCENT_AI_INFRA_MOE; SRC_EPOCH_AI_DATA_CENTERS; SRC_SEMIANALYSIS_INFERENCEX</t>
        </is>
      </c>
      <c r="K944" s="3" t="inlineStr">
        <is>
          <t>ASSUMP_CN_CAPACITY_TRANSPARENCY; ASSUMP_APP_EMBEDDING; ASSUMP_NUMERIC_ACCELERATOR_MIX; ASSUMP_INFERENCE_SHARE_NOT_FACT_60; ASSUMP_WORKLOAD_CLASS_MIX; ASSUMP_AGENTIC_CONTEXT_PENALTY</t>
        </is>
      </c>
      <c r="L944" s="3" t="inlineStr">
        <is>
          <t>Provider-disclosed annual generated-output volume or metered serving telemetry.</t>
        </is>
      </c>
    </row>
    <row r="945">
      <c r="A945" s="3" t="inlineStr">
        <is>
          <t>Tencent</t>
        </is>
      </c>
      <c r="B945" s="3" t="n">
        <v>2027</v>
      </c>
      <c r="C945" s="3" t="inlineStr">
        <is>
          <t>Bear</t>
        </is>
      </c>
      <c r="D945" s="3" t="inlineStr">
        <is>
          <t>contracted_power_gw</t>
        </is>
      </c>
      <c r="E945" s="3" t="n">
        <v>1.65</v>
      </c>
      <c r="F945" s="3" t="inlineStr">
        <is>
          <t>GW</t>
        </is>
      </c>
      <c r="G945" s="3" t="inlineStr">
        <is>
          <t>Scenario capacity envelope</t>
        </is>
      </c>
      <c r="H945" s="3" t="inlineStr">
        <is>
          <t>linear interpolation between 2026 and 2030 company capacity endpoints</t>
        </is>
      </c>
      <c r="I945" s="3" t="inlineStr">
        <is>
          <t>Tencent Cloud/Hunyuan capacity is a scenario envelope because operated model-serving GW is undisclosed.</t>
        </is>
      </c>
      <c r="J945" s="3" t="inlineStr">
        <is>
          <t>SRC_TENCENT_AI_INFRA_MOE; ASSUMP_CN_CAPACITY_TRANSPARENCY</t>
        </is>
      </c>
      <c r="K945" s="3" t="inlineStr">
        <is>
          <t>ASSUMP_CN_CAPACITY_TRANSPARENCY; ASSUMP_APP_EMBEDDING; ASSUMP_NUMERIC_ACCELERATOR_MIX; ASSUMP_INFERENCE_SHARE_NOT_FACT_60; ASSUMP_WORKLOAD_CLASS_MIX; ASSUMP_AGENTIC_CONTEXT_PENALTY</t>
        </is>
      </c>
      <c r="L945" s="3" t="inlineStr">
        <is>
          <t>Company/site-level committed MW/GW, interconnect and contract disclosure.</t>
        </is>
      </c>
    </row>
    <row r="946">
      <c r="A946" s="3" t="inlineStr">
        <is>
          <t>Tencent</t>
        </is>
      </c>
      <c r="B946" s="3" t="n">
        <v>2027</v>
      </c>
      <c r="C946" s="3" t="inlineStr">
        <is>
          <t>Bear</t>
        </is>
      </c>
      <c r="D946" s="3" t="inlineStr">
        <is>
          <t>operational_deployment_share</t>
        </is>
      </c>
      <c r="E946" s="3" t="n">
        <v>0.5</v>
      </c>
      <c r="F946" s="3" t="inlineStr">
        <is>
          <t>share</t>
        </is>
      </c>
      <c r="G946" s="3" t="inlineStr">
        <is>
          <t>Scenario conversion</t>
        </is>
      </c>
      <c r="H946" s="3" t="inlineStr">
        <is>
          <t>active_power_gw / contracted_power_gw</t>
        </is>
      </c>
      <c r="I946" s="3" t="inlineStr">
        <is>
          <t>This is the single explicit conversion from contracted/attributed capacity to operationally usable capacity.</t>
        </is>
      </c>
      <c r="J946" s="3" t="inlineStr">
        <is>
          <t>SRC_TENCENT_AI_INFRA_MOE; ASSUMP_CN_CAPACITY_TRANSPARENCY</t>
        </is>
      </c>
      <c r="K946" s="3" t="inlineStr">
        <is>
          <t>ASSUMP_CN_CAPACITY_TRANSPARENCY; ASSUMP_APP_EMBEDDING; ASSUMP_NUMERIC_ACCELERATOR_MIX; ASSUMP_INFERENCE_SHARE_NOT_FACT_60; ASSUMP_WORKLOAD_CLASS_MIX; ASSUMP_AGENTIC_CONTEXT_PENALTY</t>
        </is>
      </c>
      <c r="L946" s="3" t="inlineStr">
        <is>
          <t>Energized operational capacity divided by contracted/attributed capacity.</t>
        </is>
      </c>
    </row>
    <row r="947">
      <c r="A947" s="3" t="inlineStr">
        <is>
          <t>Tencent</t>
        </is>
      </c>
      <c r="B947" s="3" t="n">
        <v>2027</v>
      </c>
      <c r="C947" s="3" t="inlineStr">
        <is>
          <t>Bear</t>
        </is>
      </c>
      <c r="D947" s="3" t="inlineStr">
        <is>
          <t>active_power_gw</t>
        </is>
      </c>
      <c r="E947" s="3" t="n">
        <v>0.825</v>
      </c>
      <c r="F947" s="3" t="inlineStr">
        <is>
          <t>GW</t>
        </is>
      </c>
      <c r="G947" s="3" t="inlineStr">
        <is>
          <t>Derived scenario</t>
        </is>
      </c>
      <c r="H947" s="3" t="inlineStr">
        <is>
          <t>contracted_power_gw * operational_deployment_share</t>
        </is>
      </c>
      <c r="I947" s="3" t="inlineStr">
        <is>
          <t>Active GW reflects staged Hunyuan/Yuanbao adoption rather than a reported powered fleet.</t>
        </is>
      </c>
      <c r="J947" s="3" t="inlineStr">
        <is>
          <t>SRC_TENCENT_AI_INFRA_MOE; ASSUMP_CN_CAPACITY_TRANSPARENCY</t>
        </is>
      </c>
      <c r="K947" s="3" t="inlineStr">
        <is>
          <t>ASSUMP_CN_CAPACITY_TRANSPARENCY; ASSUMP_APP_EMBEDDING; ASSUMP_NUMERIC_ACCELERATOR_MIX; ASSUMP_INFERENCE_SHARE_NOT_FACT_60; ASSUMP_WORKLOAD_CLASS_MIX; ASSUMP_AGENTIC_CONTEXT_PENALTY</t>
        </is>
      </c>
      <c r="L947" s="3" t="inlineStr">
        <is>
          <t>Energization dates, accelerator deliveries and operational powered-rack telemetry.</t>
        </is>
      </c>
    </row>
    <row r="948">
      <c r="A948" s="3" t="inlineStr">
        <is>
          <t>Tencent</t>
        </is>
      </c>
      <c r="B948" s="3" t="n">
        <v>2027</v>
      </c>
      <c r="C948" s="3" t="inlineStr">
        <is>
          <t>Bear</t>
        </is>
      </c>
      <c r="D948" s="3" t="inlineStr">
        <is>
          <t>pue</t>
        </is>
      </c>
      <c r="E948" s="3" t="n">
        <v>1.23</v>
      </c>
      <c r="F948" s="3" t="inlineStr">
        <is>
          <t>ratio</t>
        </is>
      </c>
      <c r="G948" s="3" t="inlineStr">
        <is>
          <t>Scenario parameter</t>
        </is>
      </c>
      <c r="H948" s="3" t="inlineStr">
        <is>
          <t>it_load_gw = active_power_gw / pue</t>
        </is>
      </c>
      <c r="I948" s="3" t="inlineStr">
        <is>
          <t>No provider-wide site-level PUE is used as a disclosed fact; PUE represents facility-to-IT conversion within the scenario.</t>
        </is>
      </c>
      <c r="J948" s="3" t="inlineStr">
        <is>
          <t>ASSUMP_POWER_RAMP</t>
        </is>
      </c>
      <c r="K948" s="3" t="inlineStr">
        <is>
          <t>ASSUMP_CN_CAPACITY_TRANSPARENCY; ASSUMP_APP_EMBEDDING; ASSUMP_NUMERIC_ACCELERATOR_MIX; ASSUMP_INFERENCE_SHARE_NOT_FACT_60; ASSUMP_WORKLOAD_CLASS_MIX; ASSUMP_AGENTIC_CONTEXT_PENALTY</t>
        </is>
      </c>
      <c r="L948" s="3" t="inlineStr">
        <is>
          <t>Site-level measured PUE matched to attributed AI capacity.</t>
        </is>
      </c>
    </row>
    <row r="949">
      <c r="A949" s="3" t="inlineStr">
        <is>
          <t>Tencent</t>
        </is>
      </c>
      <c r="B949" s="3" t="n">
        <v>2027</v>
      </c>
      <c r="C949" s="3" t="inlineStr">
        <is>
          <t>Bear</t>
        </is>
      </c>
      <c r="D949" s="3" t="inlineStr">
        <is>
          <t>it_load_gw</t>
        </is>
      </c>
      <c r="E949" s="3" t="n">
        <v>0.671</v>
      </c>
      <c r="F949" s="3" t="inlineStr">
        <is>
          <t>GW</t>
        </is>
      </c>
      <c r="G949" s="3" t="inlineStr">
        <is>
          <t>Derived formula</t>
        </is>
      </c>
      <c r="H949" s="3" t="inlineStr">
        <is>
          <t>active_power_gw / pue</t>
        </is>
      </c>
      <c r="I949" s="3" t="inlineStr">
        <is>
          <t>Facility power is converted to IT-deliverable power before attributing AI workloads.</t>
        </is>
      </c>
      <c r="J949" s="3" t="inlineStr">
        <is>
          <t>SRC_TENCENT_AI_INFRA_MOE; ASSUMP_CN_CAPACITY_TRANSPARENCY</t>
        </is>
      </c>
      <c r="K949" s="3" t="inlineStr">
        <is>
          <t>ASSUMP_CN_CAPACITY_TRANSPARENCY; ASSUMP_APP_EMBEDDING; ASSUMP_NUMERIC_ACCELERATOR_MIX; ASSUMP_INFERENCE_SHARE_NOT_FACT_60; ASSUMP_WORKLOAD_CLASS_MIX; ASSUMP_AGENTIC_CONTEXT_PENALTY</t>
        </is>
      </c>
      <c r="L949" s="3" t="inlineStr">
        <is>
          <t>Recompute once active power and PUE become site-observable.</t>
        </is>
      </c>
    </row>
    <row r="950">
      <c r="A950" s="3" t="inlineStr">
        <is>
          <t>Tencent</t>
        </is>
      </c>
      <c r="B950" s="3" t="n">
        <v>2027</v>
      </c>
      <c r="C950" s="3" t="inlineStr">
        <is>
          <t>Bear</t>
        </is>
      </c>
      <c r="D950" s="3" t="inlineStr">
        <is>
          <t>ai_workload_share</t>
        </is>
      </c>
      <c r="E950" s="3" t="n">
        <v>0.84</v>
      </c>
      <c r="F950" s="3" t="inlineStr">
        <is>
          <t>share</t>
        </is>
      </c>
      <c r="G950" s="3" t="inlineStr">
        <is>
          <t>Scenario allocation</t>
        </is>
      </c>
      <c r="H950" s="3" t="inlineStr">
        <is>
          <t>ai_it_load_gw = it_load_gw * ai_workload_share</t>
        </is>
      </c>
      <c r="I950" s="3" t="inlineStr">
        <is>
          <t>Modeled Hunyuan-serving capacity is AI-focused; 84% excludes cloud/platform and reserve overhead.</t>
        </is>
      </c>
      <c r="J950" s="3" t="inlineStr">
        <is>
          <t>SRC_TENCENT_HUNYUAN; SRC_TENCENT_HY3; SRC_TENCENT_AI_INFRA_MOE; SRC_EPOCH_AI_DATA_CENTERS</t>
        </is>
      </c>
      <c r="K950" s="3" t="inlineStr">
        <is>
          <t>ASSUMP_CN_CAPACITY_TRANSPARENCY; ASSUMP_APP_EMBEDDING; ASSUMP_NUMERIC_ACCELERATOR_MIX; ASSUMP_INFERENCE_SHARE_NOT_FACT_60; ASSUMP_WORKLOAD_CLASS_MIX; ASSUMP_AGENTIC_CONTEXT_PENALTY</t>
        </is>
      </c>
      <c r="L950" s="3" t="inlineStr">
        <is>
          <t>Model-owner AI workload allocation or cluster scheduling telemetry.</t>
        </is>
      </c>
    </row>
    <row r="951">
      <c r="A951" s="3" t="inlineStr">
        <is>
          <t>Tencent</t>
        </is>
      </c>
      <c r="B951" s="3" t="n">
        <v>2027</v>
      </c>
      <c r="C951" s="3" t="inlineStr">
        <is>
          <t>Bear</t>
        </is>
      </c>
      <c r="D951" s="3" t="inlineStr">
        <is>
          <t>ai_it_load_gw</t>
        </is>
      </c>
      <c r="E951" s="3" t="n">
        <v>0.5629999999999999</v>
      </c>
      <c r="F951" s="3" t="inlineStr">
        <is>
          <t>GW</t>
        </is>
      </c>
      <c r="G951" s="3" t="inlineStr">
        <is>
          <t>Derived formula</t>
        </is>
      </c>
      <c r="H951" s="3" t="inlineStr">
        <is>
          <t>it_load_gw * ai_workload_share</t>
        </is>
      </c>
      <c r="I951" s="3" t="inlineStr">
        <is>
          <t>Only the AI-attributed portion of IT load enters training/inference allocation.</t>
        </is>
      </c>
      <c r="J951" s="3" t="inlineStr">
        <is>
          <t>SRC_TENCENT_HUNYUAN; SRC_TENCENT_HY3; SRC_TENCENT_AI_INFRA_MOE; SRC_EPOCH_AI_DATA_CENTERS</t>
        </is>
      </c>
      <c r="K951" s="3" t="inlineStr">
        <is>
          <t>ASSUMP_CN_CAPACITY_TRANSPARENCY; ASSUMP_APP_EMBEDDING; ASSUMP_NUMERIC_ACCELERATOR_MIX; ASSUMP_INFERENCE_SHARE_NOT_FACT_60; ASSUMP_WORKLOAD_CLASS_MIX; ASSUMP_AGENTIC_CONTEXT_PENALTY</t>
        </is>
      </c>
      <c r="L951" s="3" t="inlineStr">
        <is>
          <t>Recompute after ai_workload_share is replaced by telemetry.</t>
        </is>
      </c>
    </row>
    <row r="952">
      <c r="A952" s="3" t="inlineStr">
        <is>
          <t>Tencent</t>
        </is>
      </c>
      <c r="B952" s="3" t="n">
        <v>2027</v>
      </c>
      <c r="C952" s="3" t="inlineStr">
        <is>
          <t>Bear</t>
        </is>
      </c>
      <c r="D952" s="3" t="inlineStr">
        <is>
          <t>gpu_share</t>
        </is>
      </c>
      <c r="E952" s="3" t="n">
        <v>1</v>
      </c>
      <c r="F952" s="3" t="inlineStr">
        <is>
          <t>share of inference-serving accelerator load</t>
        </is>
      </c>
      <c r="G952" s="3" t="inlineStr">
        <is>
          <t>Numeric scenario</t>
        </is>
      </c>
      <c r="H952" s="3" t="inlineStr">
        <is>
          <t>gpu_share interpolated from company 2026/2030 accelerator-mix endpoints</t>
        </is>
      </c>
      <c r="I952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52" s="3" t="inlineStr">
        <is>
          <t>SRC_TENCENT_HUNYUAN; SRC_TENCENT_HY3; SRC_TENCENT_AI_INFRA_MOE; SRC_EPOCH_AI_DATA_CENTERS; ASSUMP_NUMERIC_ACCELERATOR_MIX</t>
        </is>
      </c>
      <c r="K952" s="3" t="inlineStr">
        <is>
          <t>ASSUMP_CN_CAPACITY_TRANSPARENCY; ASSUMP_APP_EMBEDDING; ASSUMP_NUMERIC_ACCELERATOR_MIX; ASSUMP_INFERENCE_SHARE_NOT_FACT_60; ASSUMP_WORKLOAD_CLASS_MIX; ASSUMP_AGENTIC_CONTEXT_PENALTY</t>
        </is>
      </c>
      <c r="L952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53">
      <c r="A953" s="3" t="inlineStr">
        <is>
          <t>Tencent</t>
        </is>
      </c>
      <c r="B953" s="3" t="n">
        <v>2027</v>
      </c>
      <c r="C953" s="3" t="inlineStr">
        <is>
          <t>Bear</t>
        </is>
      </c>
      <c r="D953" s="3" t="inlineStr">
        <is>
          <t>h200_share</t>
        </is>
      </c>
      <c r="E953" s="3" t="n">
        <v>0.438</v>
      </c>
      <c r="F953" s="3" t="inlineStr">
        <is>
          <t>share of inference-serving accelerator load</t>
        </is>
      </c>
      <c r="G953" s="3" t="inlineStr">
        <is>
          <t>Editable numeric scenario</t>
        </is>
      </c>
      <c r="H953" s="3" t="inlineStr">
        <is>
          <t>h200_share = gpu_share * default_gpu_generation_mix_h200</t>
        </is>
      </c>
      <c r="I953" s="3" t="inlineStr">
        <is>
          <t>Default GPU-generation migration assumption; executive workbook allows later manual replacement by company/year/scenario.</t>
        </is>
      </c>
      <c r="J953" s="3" t="inlineStr">
        <is>
          <t>SRC_SEMIANALYSIS_INFERENCEX; ASSUMP_NUMERIC_ACCELERATOR_MIX</t>
        </is>
      </c>
      <c r="K953" s="3" t="inlineStr">
        <is>
          <t>ASSUMP_CN_CAPACITY_TRANSPARENCY; ASSUMP_APP_EMBEDDING; ASSUMP_NUMERIC_ACCELERATOR_MIX; ASSUMP_INFERENCE_SHARE_NOT_FACT_60; ASSUMP_WORKLOAD_CLASS_MIX; ASSUMP_AGENTIC_CONTEXT_PENALTY</t>
        </is>
      </c>
      <c r="L953" s="3" t="inlineStr">
        <is>
          <t>Company fleet inventory, accelerator-hours or procurement/deployment records by GPU generation.</t>
        </is>
      </c>
    </row>
    <row r="954">
      <c r="A954" s="3" t="inlineStr">
        <is>
          <t>Tencent</t>
        </is>
      </c>
      <c r="B954" s="3" t="n">
        <v>2027</v>
      </c>
      <c r="C954" s="3" t="inlineStr">
        <is>
          <t>Bear</t>
        </is>
      </c>
      <c r="D954" s="3" t="inlineStr">
        <is>
          <t>b200_share</t>
        </is>
      </c>
      <c r="E954" s="3" t="n">
        <v>0.388</v>
      </c>
      <c r="F954" s="3" t="inlineStr">
        <is>
          <t>share of inference-serving accelerator load</t>
        </is>
      </c>
      <c r="G954" s="3" t="inlineStr">
        <is>
          <t>Editable numeric scenario</t>
        </is>
      </c>
      <c r="H954" s="3" t="inlineStr">
        <is>
          <t>b200_share = gpu_share * default_gpu_generation_mix_b200</t>
        </is>
      </c>
      <c r="I954" s="3" t="inlineStr">
        <is>
          <t>Default GPU-generation migration assumption; executive workbook allows later manual replacement by company/year/scenario.</t>
        </is>
      </c>
      <c r="J954" s="3" t="inlineStr">
        <is>
          <t>SRC_SEMIANALYSIS_INFERENCEX; ASSUMP_NUMERIC_ACCELERATOR_MIX</t>
        </is>
      </c>
      <c r="K954" s="3" t="inlineStr">
        <is>
          <t>ASSUMP_CN_CAPACITY_TRANSPARENCY; ASSUMP_APP_EMBEDDING; ASSUMP_NUMERIC_ACCELERATOR_MIX; ASSUMP_INFERENCE_SHARE_NOT_FACT_60; ASSUMP_WORKLOAD_CLASS_MIX; ASSUMP_AGENTIC_CONTEXT_PENALTY</t>
        </is>
      </c>
      <c r="L954" s="3" t="inlineStr">
        <is>
          <t>Company fleet inventory, accelerator-hours or procurement/deployment records by GPU generation.</t>
        </is>
      </c>
    </row>
    <row r="955">
      <c r="A955" s="3" t="inlineStr">
        <is>
          <t>Tencent</t>
        </is>
      </c>
      <c r="B955" s="3" t="n">
        <v>2027</v>
      </c>
      <c r="C955" s="3" t="inlineStr">
        <is>
          <t>Bear</t>
        </is>
      </c>
      <c r="D955" s="3" t="inlineStr">
        <is>
          <t>gb200_share</t>
        </is>
      </c>
      <c r="E955" s="3" t="n">
        <v>0.174</v>
      </c>
      <c r="F955" s="3" t="inlineStr">
        <is>
          <t>share of inference-serving accelerator load</t>
        </is>
      </c>
      <c r="G955" s="3" t="inlineStr">
        <is>
          <t>Editable numeric scenario</t>
        </is>
      </c>
      <c r="H955" s="3" t="inlineStr">
        <is>
          <t>gb200_share = gpu_share * default_gpu_generation_mix_gb200</t>
        </is>
      </c>
      <c r="I955" s="3" t="inlineStr">
        <is>
          <t>Default GPU-generation migration assumption; executive workbook allows later manual replacement by company/year/scenario.</t>
        </is>
      </c>
      <c r="J955" s="3" t="inlineStr">
        <is>
          <t>SRC_SEMIANALYSIS_INFERENCEX; ASSUMP_NUMERIC_ACCELERATOR_MIX</t>
        </is>
      </c>
      <c r="K955" s="3" t="inlineStr">
        <is>
          <t>ASSUMP_CN_CAPACITY_TRANSPARENCY; ASSUMP_APP_EMBEDDING; ASSUMP_NUMERIC_ACCELERATOR_MIX; ASSUMP_INFERENCE_SHARE_NOT_FACT_60; ASSUMP_WORKLOAD_CLASS_MIX; ASSUMP_AGENTIC_CONTEXT_PENALTY</t>
        </is>
      </c>
      <c r="L955" s="3" t="inlineStr">
        <is>
          <t>Company fleet inventory, accelerator-hours or procurement/deployment records by GPU generation.</t>
        </is>
      </c>
    </row>
    <row r="956">
      <c r="A956" s="3" t="inlineStr">
        <is>
          <t>Tencent</t>
        </is>
      </c>
      <c r="B956" s="3" t="n">
        <v>2027</v>
      </c>
      <c r="C956" s="3" t="inlineStr">
        <is>
          <t>Bear</t>
        </is>
      </c>
      <c r="D956" s="3" t="inlineStr">
        <is>
          <t>purpose_built_accelerator_share</t>
        </is>
      </c>
      <c r="E956" s="3" t="n">
        <v>0</v>
      </c>
      <c r="F956" s="3" t="inlineStr">
        <is>
          <t>share of inference-serving accelerator load</t>
        </is>
      </c>
      <c r="G956" s="3" t="inlineStr">
        <is>
          <t>Numeric scenario</t>
        </is>
      </c>
      <c r="H956" s="3" t="inlineStr">
        <is>
          <t>1 - gpu_share</t>
        </is>
      </c>
      <c r="I956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56" s="3" t="inlineStr">
        <is>
          <t>SRC_TENCENT_HUNYUAN; SRC_TENCENT_HY3; SRC_TENCENT_AI_INFRA_MOE; SRC_EPOCH_AI_DATA_CENTERS; ASSUMP_NUMERIC_ACCELERATOR_MIX</t>
        </is>
      </c>
      <c r="K956" s="3" t="inlineStr">
        <is>
          <t>ASSUMP_CN_CAPACITY_TRANSPARENCY; ASSUMP_APP_EMBEDDING; ASSUMP_NUMERIC_ACCELERATOR_MIX; ASSUMP_INFERENCE_SHARE_NOT_FACT_60; ASSUMP_WORKLOAD_CLASS_MIX; ASSUMP_AGENTIC_CONTEXT_PENALTY</t>
        </is>
      </c>
      <c r="L956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57">
      <c r="A957" s="3" t="inlineStr">
        <is>
          <t>Tencent</t>
        </is>
      </c>
      <c r="B957" s="3" t="n">
        <v>2027</v>
      </c>
      <c r="C957" s="3" t="inlineStr">
        <is>
          <t>Bear</t>
        </is>
      </c>
      <c r="D957" s="3" t="inlineStr">
        <is>
          <t>fleet_reference_tps_per_mw</t>
        </is>
      </c>
      <c r="E957" s="3" t="n">
        <v>2616983</v>
      </c>
      <c r="F957" s="3" t="inlineStr">
        <is>
          <t>generated output tokens/sec/MW</t>
        </is>
      </c>
      <c r="G957" s="3" t="inlineStr">
        <is>
          <t>Fleet-weighted public benchmark reference</t>
        </is>
      </c>
      <c r="H957" s="3" t="inlineStr">
        <is>
          <t>h200_share*h200_workload_avg + b200_share*b200_workload_avg + gb200_share*gb200_workload_avg + purpose_built_share*purpose_workload_avg</t>
        </is>
      </c>
      <c r="I95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57" s="3" t="inlineStr">
        <is>
          <t>SRC_SEMIANALYSIS_INFERENCEX; ASSUMP_NUMERIC_ACCELERATOR_MIX; ASSUMP_WORKLOAD_CLASS_MIX; ASSUMP_AGENTIC_CONTEXT_PENALTY</t>
        </is>
      </c>
      <c r="K957" s="3" t="inlineStr">
        <is>
          <t>ASSUMP_CN_CAPACITY_TRANSPARENCY; ASSUMP_APP_EMBEDDING; ASSUMP_NUMERIC_ACCELERATOR_MIX; ASSUMP_INFERENCE_SHARE_NOT_FACT_60; ASSUMP_WORKLOAD_CLASS_MIX; ASSUMP_AGENTIC_CONTEXT_PENALTY</t>
        </is>
      </c>
      <c r="L957" s="3" t="inlineStr">
        <is>
          <t>Comparable production output-token throughput or a more closely matched benchmark.</t>
        </is>
      </c>
    </row>
    <row r="958">
      <c r="A958" s="3" t="inlineStr">
        <is>
          <t>Tencent</t>
        </is>
      </c>
      <c r="B958" s="3" t="n">
        <v>2027</v>
      </c>
      <c r="C958" s="3" t="inlineStr">
        <is>
          <t>Bear</t>
        </is>
      </c>
      <c r="D958" s="3" t="inlineStr">
        <is>
          <t>commercial_workload_fit_factor</t>
        </is>
      </c>
      <c r="E958" s="3" t="n">
        <v>0.4</v>
      </c>
      <c r="F958" s="3" t="inlineStr">
        <is>
          <t>share of public reference throughput</t>
        </is>
      </c>
      <c r="G958" s="3" t="inlineStr">
        <is>
          <t>Scenario assumption</t>
        </is>
      </c>
      <c r="H958" s="3" t="inlineStr">
        <is>
          <t>reference_serving_tps_per_mw = fleet_reference_tps_per_mw * commercial_workload_fit_factor</t>
        </is>
      </c>
      <c r="I95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58" s="3" t="inlineStr">
        <is>
          <t>SRC_SEMIANALYSIS_INFERENCEX; ASSUMP_NUMERIC_ACCELERATOR_MIX; ASSUMP_WORKLOAD_CLASS_MIX; ASSUMP_AGENTIC_CONTEXT_PENALTY</t>
        </is>
      </c>
      <c r="K958" s="3" t="inlineStr">
        <is>
          <t>ASSUMP_CN_CAPACITY_TRANSPARENCY; ASSUMP_APP_EMBEDDING; ASSUMP_NUMERIC_ACCELERATOR_MIX; ASSUMP_INFERENCE_SHARE_NOT_FACT_60; ASSUMP_WORKLOAD_CLASS_MIX; ASSUMP_AGENTIC_CONTEXT_PENALTY</t>
        </is>
      </c>
      <c r="L958" s="3" t="inlineStr">
        <is>
          <t>Matched commercial serving benchmark by product surface, context shape and latency SLO.</t>
        </is>
      </c>
    </row>
    <row r="959">
      <c r="A959" s="3" t="inlineStr">
        <is>
          <t>Tencent</t>
        </is>
      </c>
      <c r="B959" s="3" t="n">
        <v>2027</v>
      </c>
      <c r="C959" s="3" t="inlineStr">
        <is>
          <t>Bear</t>
        </is>
      </c>
      <c r="D959" s="3" t="inlineStr">
        <is>
          <t>reference_serving_tps_per_mw</t>
        </is>
      </c>
      <c r="E959" s="3" t="n">
        <v>1046793</v>
      </c>
      <c r="F959" s="3" t="inlineStr">
        <is>
          <t>generated output tokens/sec/MW</t>
        </is>
      </c>
      <c r="G959" s="3" t="inlineStr">
        <is>
          <t>Workload-adjusted benchmark proxy</t>
        </is>
      </c>
      <c r="H959" s="3" t="inlineStr">
        <is>
          <t>fleet_reference_tps_per_mw * commercial_workload_fit_factor</t>
        </is>
      </c>
      <c r="I959" s="3" t="inlineStr">
        <is>
          <t>This is the coefficient used for headline token generation; each GPU's short chat, long chat and agentic TPS/MW are weighted before fleet mix and commercial fit are applied.</t>
        </is>
      </c>
      <c r="J959" s="3" t="inlineStr">
        <is>
          <t>SRC_SEMIANALYSIS_INFERENCEX; ASSUMP_NUMERIC_ACCELERATOR_MIX; ASSUMP_WORKLOAD_CLASS_MIX; ASSUMP_AGENTIC_CONTEXT_PENALTY</t>
        </is>
      </c>
      <c r="K959" s="3" t="inlineStr">
        <is>
          <t>ASSUMP_CN_CAPACITY_TRANSPARENCY; ASSUMP_APP_EMBEDDING; ASSUMP_NUMERIC_ACCELERATOR_MIX; ASSUMP_INFERENCE_SHARE_NOT_FACT_60; ASSUMP_WORKLOAD_CLASS_MIX; ASSUMP_AGENTIC_CONTEXT_PENALTY</t>
        </is>
      </c>
      <c r="L959" s="3" t="inlineStr">
        <is>
          <t>Provider production output-token throughput with comparable workload/SLO.</t>
        </is>
      </c>
    </row>
    <row r="960">
      <c r="A960" s="3" t="inlineStr">
        <is>
          <t>Tencent</t>
        </is>
      </c>
      <c r="B960" s="3" t="n">
        <v>2027</v>
      </c>
      <c r="C960" s="3" t="inlineStr">
        <is>
          <t>Bear</t>
        </is>
      </c>
      <c r="D960" s="3" t="inlineStr">
        <is>
          <t>purpose_built_tps_per_mw</t>
        </is>
      </c>
      <c r="E960" s="3" t="n">
        <v>1806787</v>
      </c>
      <c r="F960" s="3" t="inlineStr">
        <is>
          <t>generated output tokens/sec/MW</t>
        </is>
      </c>
      <c r="G960" s="3" t="inlineStr">
        <is>
          <t>Conservative no-uplift proxy</t>
        </is>
      </c>
      <c r="H960" s="3" t="inlineStr">
        <is>
          <t>purpose_built_tps_per_mw = purpose_built_reference_tps_per_mw * commercial_workload_fit_factor until comparable output-token benchmark is adopted</t>
        </is>
      </c>
      <c r="I960" s="3" t="inlineStr">
        <is>
          <t>No comparable public output-token/MW row adopted; B200 public reference placeholder is used and remains editable.</t>
        </is>
      </c>
      <c r="J960" s="3" t="inlineStr">
        <is>
          <t>SRC_TENCENT_HUNYUAN; SRC_TENCENT_HY3; SRC_TENCENT_AI_INFRA_MOE; SRC_EPOCH_AI_DATA_CENTERS; ASSUMP_NUMERIC_ACCELERATOR_MIX</t>
        </is>
      </c>
      <c r="K960" s="3" t="inlineStr">
        <is>
          <t>ASSUMP_CN_CAPACITY_TRANSPARENCY; ASSUMP_APP_EMBEDDING; ASSUMP_NUMERIC_ACCELERATOR_MIX; ASSUMP_INFERENCE_SHARE_NOT_FACT_60; ASSUMP_WORKLOAD_CLASS_MIX; ASSUMP_AGENTIC_CONTEXT_PENALTY</t>
        </is>
      </c>
      <c r="L960" s="3" t="inlineStr">
        <is>
          <t>Matched-workload generated-output benchmark for the provider purpose-built accelerator.</t>
        </is>
      </c>
    </row>
    <row r="961">
      <c r="A961" s="3" t="inlineStr">
        <is>
          <t>Tencent</t>
        </is>
      </c>
      <c r="B961" s="3" t="n">
        <v>2027</v>
      </c>
      <c r="C961" s="3" t="inlineStr">
        <is>
          <t>Bear</t>
        </is>
      </c>
      <c r="D961" s="3" t="inlineStr">
        <is>
          <t>inference_power_share</t>
        </is>
      </c>
      <c r="E961" s="3" t="n">
        <v>0.5649999999999999</v>
      </c>
      <c r="F961" s="3" t="inlineStr">
        <is>
          <t>share of AI IT load</t>
        </is>
      </c>
      <c r="G961" s="3" t="inlineStr">
        <is>
          <t>Scenario allocation</t>
        </is>
      </c>
      <c r="H961" s="3" t="inlineStr">
        <is>
          <t>inference_gw = ai_it_load_gw * inference_power_share</t>
        </is>
      </c>
      <c r="I961" s="3" t="inlineStr">
        <is>
          <t>Yuanbao and embedded product surfaces plus Hunyuan Turbo inference-cost direction support rising inference allocation.</t>
        </is>
      </c>
      <c r="J961" s="3" t="inlineStr">
        <is>
          <t>SRC_TENCENT_HUNYUAN; SRC_TENCENT_HY3; SRC_TENCENT_AI_INFRA_MOE; SRC_EPOCH_AI_DATA_CENTERS; ASSUMP_INFERENCE_SHARE_NOT_FACT_60</t>
        </is>
      </c>
      <c r="K961" s="3" t="inlineStr">
        <is>
          <t>ASSUMP_CN_CAPACITY_TRANSPARENCY; ASSUMP_APP_EMBEDDING; ASSUMP_NUMERIC_ACCELERATOR_MIX; ASSUMP_INFERENCE_SHARE_NOT_FACT_60; ASSUMP_WORKLOAD_CLASS_MIX; ASSUMP_AGENTIC_CONTEXT_PENALTY</t>
        </is>
      </c>
      <c r="L961" s="3" t="inlineStr">
        <is>
          <t>Provider-specific inference/training workload power telemetry.</t>
        </is>
      </c>
    </row>
    <row r="962">
      <c r="A962" s="3" t="inlineStr">
        <is>
          <t>Tencent</t>
        </is>
      </c>
      <c r="B962" s="3" t="n">
        <v>2027</v>
      </c>
      <c r="C962" s="3" t="inlineStr">
        <is>
          <t>Bear</t>
        </is>
      </c>
      <c r="D962" s="3" t="inlineStr">
        <is>
          <t>inference_gw</t>
        </is>
      </c>
      <c r="E962" s="3" t="n">
        <v>0.318</v>
      </c>
      <c r="F962" s="3" t="inlineStr">
        <is>
          <t>GW</t>
        </is>
      </c>
      <c r="G962" s="3" t="inlineStr">
        <is>
          <t>Derived formula</t>
        </is>
      </c>
      <c r="H962" s="3" t="inlineStr">
        <is>
          <t>ai_it_load_gw * inference_power_share</t>
        </is>
      </c>
      <c r="I962" s="3" t="inlineStr">
        <is>
          <t>This is the operational power eligible to become commercial generated output tokens through the selected TPS/MW proxy.</t>
        </is>
      </c>
      <c r="J962" s="3" t="inlineStr">
        <is>
          <t>SRC_TENCENT_HUNYUAN; SRC_TENCENT_HY3; SRC_TENCENT_AI_INFRA_MOE; SRC_EPOCH_AI_DATA_CENTERS</t>
        </is>
      </c>
      <c r="K962" s="3" t="inlineStr">
        <is>
          <t>ASSUMP_CN_CAPACITY_TRANSPARENCY; ASSUMP_APP_EMBEDDING; ASSUMP_NUMERIC_ACCELERATOR_MIX; ASSUMP_INFERENCE_SHARE_NOT_FACT_60; ASSUMP_WORKLOAD_CLASS_MIX; ASSUMP_AGENTIC_CONTEXT_PENALTY</t>
        </is>
      </c>
      <c r="L962" s="3" t="inlineStr">
        <is>
          <t>Recompute after AI allocation or inference-share evidence changes.</t>
        </is>
      </c>
    </row>
    <row r="963">
      <c r="A963" s="3" t="inlineStr">
        <is>
          <t>Tencent</t>
        </is>
      </c>
      <c r="B963" s="3" t="n">
        <v>2027</v>
      </c>
      <c r="C963" s="3" t="inlineStr">
        <is>
          <t>Bear</t>
        </is>
      </c>
      <c r="D963" s="3" t="inlineStr">
        <is>
          <t>training_power_share</t>
        </is>
      </c>
      <c r="E963" s="3" t="n">
        <v>0.435</v>
      </c>
      <c r="F963" s="3" t="inlineStr">
        <is>
          <t>share of AI IT load</t>
        </is>
      </c>
      <c r="G963" s="3" t="inlineStr">
        <is>
          <t>Derived allocation</t>
        </is>
      </c>
      <c r="H963" s="3" t="inlineStr">
        <is>
          <t>1 - inference_power_share</t>
        </is>
      </c>
      <c r="I963" s="3" t="inlineStr">
        <is>
          <t>Training receives the complementary modeled AI IT allocation; it is not a disclosed company workload split.</t>
        </is>
      </c>
      <c r="J963" s="3" t="inlineStr">
        <is>
          <t>SRC_TENCENT_HUNYUAN; SRC_TENCENT_HY3; SRC_TENCENT_AI_INFRA_MOE; SRC_EPOCH_AI_DATA_CENTERS; ASSUMP_INFERENCE_SHARE_NOT_FACT_60</t>
        </is>
      </c>
      <c r="K963" s="3" t="inlineStr">
        <is>
          <t>ASSUMP_CN_CAPACITY_TRANSPARENCY; ASSUMP_APP_EMBEDDING; ASSUMP_NUMERIC_ACCELERATOR_MIX; ASSUMP_INFERENCE_SHARE_NOT_FACT_60; ASSUMP_WORKLOAD_CLASS_MIX; ASSUMP_AGENTIC_CONTEXT_PENALTY</t>
        </is>
      </c>
      <c r="L963" s="3" t="inlineStr">
        <is>
          <t>Provider-specific inference/training workload power telemetry.</t>
        </is>
      </c>
    </row>
    <row r="964">
      <c r="A964" s="3" t="inlineStr">
        <is>
          <t>Tencent</t>
        </is>
      </c>
      <c r="B964" s="3" t="n">
        <v>2027</v>
      </c>
      <c r="C964" s="3" t="inlineStr">
        <is>
          <t>Bear</t>
        </is>
      </c>
      <c r="D964" s="3" t="inlineStr">
        <is>
          <t>training_gw</t>
        </is>
      </c>
      <c r="E964" s="3" t="n">
        <v>0.245</v>
      </c>
      <c r="F964" s="3" t="inlineStr">
        <is>
          <t>GW</t>
        </is>
      </c>
      <c r="G964" s="3" t="inlineStr">
        <is>
          <t>Derived formula</t>
        </is>
      </c>
      <c r="H964" s="3" t="inlineStr">
        <is>
          <t>ai_it_load_gw * training_power_share</t>
        </is>
      </c>
      <c r="I964" s="3" t="inlineStr">
        <is>
          <t>Training GW is shown separately so commercial inference token capacity is not overstated.</t>
        </is>
      </c>
      <c r="J964" s="3" t="inlineStr">
        <is>
          <t>SRC_TENCENT_HUNYUAN; SRC_TENCENT_HY3; SRC_TENCENT_AI_INFRA_MOE; SRC_EPOCH_AI_DATA_CENTERS</t>
        </is>
      </c>
      <c r="K964" s="3" t="inlineStr">
        <is>
          <t>ASSUMP_CN_CAPACITY_TRANSPARENCY; ASSUMP_APP_EMBEDDING; ASSUMP_NUMERIC_ACCELERATOR_MIX; ASSUMP_INFERENCE_SHARE_NOT_FACT_60; ASSUMP_WORKLOAD_CLASS_MIX; ASSUMP_AGENTIC_CONTEXT_PENALTY</t>
        </is>
      </c>
      <c r="L964" s="3" t="inlineStr">
        <is>
          <t>Recompute after AI allocation or workload-split evidence changes.</t>
        </is>
      </c>
    </row>
    <row r="965">
      <c r="A965" s="3" t="inlineStr">
        <is>
          <t>Tencent</t>
        </is>
      </c>
      <c r="B965" s="3" t="n">
        <v>2027</v>
      </c>
      <c r="C965" s="3" t="inlineStr">
        <is>
          <t>Bear</t>
        </is>
      </c>
      <c r="D965" s="3" t="inlineStr">
        <is>
          <t>tokens_per_second_per_mw</t>
        </is>
      </c>
      <c r="E965" s="3" t="n">
        <v>1046793</v>
      </c>
      <c r="F965" s="3" t="inlineStr">
        <is>
          <t>generated output tokens/sec/MW</t>
        </is>
      </c>
      <c r="G965" s="3" t="inlineStr">
        <is>
          <t>Derived estimate + benchmark calibration</t>
        </is>
      </c>
      <c r="H965" s="3" t="inlineStr">
        <is>
          <t>fleet_reference_tps_per_mw * commercial_workload_fit_factor</t>
        </is>
      </c>
      <c r="I96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65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965" s="3" t="inlineStr">
        <is>
          <t>ASSUMP_CN_CAPACITY_TRANSPARENCY; ASSUMP_APP_EMBEDDING; ASSUMP_NUMERIC_ACCELERATOR_MIX; ASSUMP_INFERENCE_SHARE_NOT_FACT_60; ASSUMP_WORKLOAD_CLASS_MIX; ASSUMP_AGENTIC_CONTEXT_PENALTY</t>
        </is>
      </c>
      <c r="L965" s="3" t="inlineStr">
        <is>
          <t>Comparable production output-token throughput with model, hardware, precision, ISL/OSL and SLO matched.</t>
        </is>
      </c>
    </row>
    <row r="966">
      <c r="A966" s="3" t="inlineStr">
        <is>
          <t>Tencent</t>
        </is>
      </c>
      <c r="B966" s="3" t="n">
        <v>2027</v>
      </c>
      <c r="C966" s="3" t="inlineStr">
        <is>
          <t>Bear</t>
        </is>
      </c>
      <c r="D966" s="3" t="inlineStr">
        <is>
          <t>inference_tokens_per_day</t>
        </is>
      </c>
      <c r="E966" s="3" t="n">
        <v>28760847033600</v>
      </c>
      <c r="F966" s="3" t="inlineStr">
        <is>
          <t>generated output tokens/day</t>
        </is>
      </c>
      <c r="G966" s="3" t="inlineStr">
        <is>
          <t>Derived headline metric</t>
        </is>
      </c>
      <c r="H966" s="3" t="inlineStr">
        <is>
          <t>inference_gw * 1000 * tokens_per_second_per_mw * 86,400</t>
        </is>
      </c>
      <c r="I966" s="3" t="inlineStr">
        <is>
          <t>Headline capacity uses no utilization, MoE, architecture or software-growth multiplier; it is not observed commercial output volume.</t>
        </is>
      </c>
      <c r="J966" s="3" t="inlineStr">
        <is>
          <t>SRC_TENCENT_HUNYUAN; SRC_TENCENT_HY3; SRC_TENCENT_AI_INFRA_MOE; SRC_EPOCH_AI_DATA_CENTERS; SRC_SEMIANALYSIS_INFERENCEX</t>
        </is>
      </c>
      <c r="K966" s="3" t="inlineStr">
        <is>
          <t>ASSUMP_CN_CAPACITY_TRANSPARENCY; ASSUMP_APP_EMBEDDING; ASSUMP_NUMERIC_ACCELERATOR_MIX; ASSUMP_INFERENCE_SHARE_NOT_FACT_60; ASSUMP_WORKLOAD_CLASS_MIX; ASSUMP_AGENTIC_CONTEXT_PENALTY</t>
        </is>
      </c>
      <c r="L966" s="3" t="inlineStr">
        <is>
          <t>Provider-disclosed generated output token volume or calibrated capacity telemetry.</t>
        </is>
      </c>
    </row>
    <row r="967">
      <c r="A967" s="3" t="inlineStr">
        <is>
          <t>Tencent</t>
        </is>
      </c>
      <c r="B967" s="3" t="n">
        <v>2027</v>
      </c>
      <c r="C967" s="3" t="inlineStr">
        <is>
          <t>Bear</t>
        </is>
      </c>
      <c r="D967" s="3" t="inlineStr">
        <is>
          <t>inference_tokens_per_year</t>
        </is>
      </c>
      <c r="E967" s="3" t="n">
        <v>1.0497709167264e+16</v>
      </c>
      <c r="F967" s="3" t="inlineStr">
        <is>
          <t>generated output tokens/year</t>
        </is>
      </c>
      <c r="G967" s="3" t="inlineStr">
        <is>
          <t>Derived headline metric</t>
        </is>
      </c>
      <c r="H967" s="3" t="inlineStr">
        <is>
          <t>inference_tokens_per_day * 365</t>
        </is>
      </c>
      <c r="I967" s="3" t="inlineStr">
        <is>
          <t>Annualized version of generated output token capacity; it is not observed annual demand or billable volume.</t>
        </is>
      </c>
      <c r="J967" s="3" t="inlineStr">
        <is>
          <t>SRC_TENCENT_HUNYUAN; SRC_TENCENT_HY3; SRC_TENCENT_AI_INFRA_MOE; SRC_EPOCH_AI_DATA_CENTERS; SRC_SEMIANALYSIS_INFERENCEX</t>
        </is>
      </c>
      <c r="K967" s="3" t="inlineStr">
        <is>
          <t>ASSUMP_CN_CAPACITY_TRANSPARENCY; ASSUMP_APP_EMBEDDING; ASSUMP_NUMERIC_ACCELERATOR_MIX; ASSUMP_INFERENCE_SHARE_NOT_FACT_60; ASSUMP_WORKLOAD_CLASS_MIX; ASSUMP_AGENTIC_CONTEXT_PENALTY</t>
        </is>
      </c>
      <c r="L967" s="3" t="inlineStr">
        <is>
          <t>Provider-disclosed annual generated-output volume or metered serving telemetry.</t>
        </is>
      </c>
    </row>
    <row r="968">
      <c r="A968" s="3" t="inlineStr">
        <is>
          <t>Tencent</t>
        </is>
      </c>
      <c r="B968" s="3" t="n">
        <v>2028</v>
      </c>
      <c r="C968" s="3" t="inlineStr">
        <is>
          <t>Bear</t>
        </is>
      </c>
      <c r="D968" s="3" t="inlineStr">
        <is>
          <t>contracted_power_gw</t>
        </is>
      </c>
      <c r="E968" s="3" t="n">
        <v>2.1</v>
      </c>
      <c r="F968" s="3" t="inlineStr">
        <is>
          <t>GW</t>
        </is>
      </c>
      <c r="G968" s="3" t="inlineStr">
        <is>
          <t>Scenario capacity envelope</t>
        </is>
      </c>
      <c r="H968" s="3" t="inlineStr">
        <is>
          <t>linear interpolation between 2026 and 2030 company capacity endpoints</t>
        </is>
      </c>
      <c r="I968" s="3" t="inlineStr">
        <is>
          <t>Tencent Cloud/Hunyuan capacity is a scenario envelope because operated model-serving GW is undisclosed.</t>
        </is>
      </c>
      <c r="J968" s="3" t="inlineStr">
        <is>
          <t>SRC_TENCENT_AI_INFRA_MOE; ASSUMP_CN_CAPACITY_TRANSPARENCY</t>
        </is>
      </c>
      <c r="K968" s="3" t="inlineStr">
        <is>
          <t>ASSUMP_CN_CAPACITY_TRANSPARENCY; ASSUMP_APP_EMBEDDING; ASSUMP_NUMERIC_ACCELERATOR_MIX; ASSUMP_INFERENCE_SHARE_NOT_FACT_60; ASSUMP_WORKLOAD_CLASS_MIX; ASSUMP_AGENTIC_CONTEXT_PENALTY</t>
        </is>
      </c>
      <c r="L968" s="3" t="inlineStr">
        <is>
          <t>Company/site-level committed MW/GW, interconnect and contract disclosure.</t>
        </is>
      </c>
    </row>
    <row r="969">
      <c r="A969" s="3" t="inlineStr">
        <is>
          <t>Tencent</t>
        </is>
      </c>
      <c r="B969" s="3" t="n">
        <v>2028</v>
      </c>
      <c r="C969" s="3" t="inlineStr">
        <is>
          <t>Bear</t>
        </is>
      </c>
      <c r="D969" s="3" t="inlineStr">
        <is>
          <t>operational_deployment_share</t>
        </is>
      </c>
      <c r="E969" s="3" t="n">
        <v>0.58380952</v>
      </c>
      <c r="F969" s="3" t="inlineStr">
        <is>
          <t>share</t>
        </is>
      </c>
      <c r="G969" s="3" t="inlineStr">
        <is>
          <t>Scenario conversion</t>
        </is>
      </c>
      <c r="H969" s="3" t="inlineStr">
        <is>
          <t>active_power_gw / contracted_power_gw</t>
        </is>
      </c>
      <c r="I969" s="3" t="inlineStr">
        <is>
          <t>This is the single explicit conversion from contracted/attributed capacity to operationally usable capacity.</t>
        </is>
      </c>
      <c r="J969" s="3" t="inlineStr">
        <is>
          <t>SRC_TENCENT_AI_INFRA_MOE; ASSUMP_CN_CAPACITY_TRANSPARENCY</t>
        </is>
      </c>
      <c r="K969" s="3" t="inlineStr">
        <is>
          <t>ASSUMP_CN_CAPACITY_TRANSPARENCY; ASSUMP_APP_EMBEDDING; ASSUMP_NUMERIC_ACCELERATOR_MIX; ASSUMP_INFERENCE_SHARE_NOT_FACT_60; ASSUMP_WORKLOAD_CLASS_MIX; ASSUMP_AGENTIC_CONTEXT_PENALTY</t>
        </is>
      </c>
      <c r="L969" s="3" t="inlineStr">
        <is>
          <t>Energized operational capacity divided by contracted/attributed capacity.</t>
        </is>
      </c>
    </row>
    <row r="970">
      <c r="A970" s="3" t="inlineStr">
        <is>
          <t>Tencent</t>
        </is>
      </c>
      <c r="B970" s="3" t="n">
        <v>2028</v>
      </c>
      <c r="C970" s="3" t="inlineStr">
        <is>
          <t>Bear</t>
        </is>
      </c>
      <c r="D970" s="3" t="inlineStr">
        <is>
          <t>active_power_gw</t>
        </is>
      </c>
      <c r="E970" s="3" t="n">
        <v>1.226</v>
      </c>
      <c r="F970" s="3" t="inlineStr">
        <is>
          <t>GW</t>
        </is>
      </c>
      <c r="G970" s="3" t="inlineStr">
        <is>
          <t>Derived scenario</t>
        </is>
      </c>
      <c r="H970" s="3" t="inlineStr">
        <is>
          <t>contracted_power_gw * operational_deployment_share</t>
        </is>
      </c>
      <c r="I970" s="3" t="inlineStr">
        <is>
          <t>Active GW reflects staged Hunyuan/Yuanbao adoption rather than a reported powered fleet.</t>
        </is>
      </c>
      <c r="J970" s="3" t="inlineStr">
        <is>
          <t>SRC_TENCENT_AI_INFRA_MOE; ASSUMP_CN_CAPACITY_TRANSPARENCY</t>
        </is>
      </c>
      <c r="K970" s="3" t="inlineStr">
        <is>
          <t>ASSUMP_CN_CAPACITY_TRANSPARENCY; ASSUMP_APP_EMBEDDING; ASSUMP_NUMERIC_ACCELERATOR_MIX; ASSUMP_INFERENCE_SHARE_NOT_FACT_60; ASSUMP_WORKLOAD_CLASS_MIX; ASSUMP_AGENTIC_CONTEXT_PENALTY</t>
        </is>
      </c>
      <c r="L970" s="3" t="inlineStr">
        <is>
          <t>Energization dates, accelerator deliveries and operational powered-rack telemetry.</t>
        </is>
      </c>
    </row>
    <row r="971">
      <c r="A971" s="3" t="inlineStr">
        <is>
          <t>Tencent</t>
        </is>
      </c>
      <c r="B971" s="3" t="n">
        <v>2028</v>
      </c>
      <c r="C971" s="3" t="inlineStr">
        <is>
          <t>Bear</t>
        </is>
      </c>
      <c r="D971" s="3" t="inlineStr">
        <is>
          <t>pue</t>
        </is>
      </c>
      <c r="E971" s="3" t="n">
        <v>1.23</v>
      </c>
      <c r="F971" s="3" t="inlineStr">
        <is>
          <t>ratio</t>
        </is>
      </c>
      <c r="G971" s="3" t="inlineStr">
        <is>
          <t>Scenario parameter</t>
        </is>
      </c>
      <c r="H971" s="3" t="inlineStr">
        <is>
          <t>it_load_gw = active_power_gw / pue</t>
        </is>
      </c>
      <c r="I971" s="3" t="inlineStr">
        <is>
          <t>No provider-wide site-level PUE is used as a disclosed fact; PUE represents facility-to-IT conversion within the scenario.</t>
        </is>
      </c>
      <c r="J971" s="3" t="inlineStr">
        <is>
          <t>ASSUMP_POWER_RAMP</t>
        </is>
      </c>
      <c r="K971" s="3" t="inlineStr">
        <is>
          <t>ASSUMP_CN_CAPACITY_TRANSPARENCY; ASSUMP_APP_EMBEDDING; ASSUMP_NUMERIC_ACCELERATOR_MIX; ASSUMP_INFERENCE_SHARE_NOT_FACT_60; ASSUMP_WORKLOAD_CLASS_MIX; ASSUMP_AGENTIC_CONTEXT_PENALTY</t>
        </is>
      </c>
      <c r="L971" s="3" t="inlineStr">
        <is>
          <t>Site-level measured PUE matched to attributed AI capacity.</t>
        </is>
      </c>
    </row>
    <row r="972">
      <c r="A972" s="3" t="inlineStr">
        <is>
          <t>Tencent</t>
        </is>
      </c>
      <c r="B972" s="3" t="n">
        <v>2028</v>
      </c>
      <c r="C972" s="3" t="inlineStr">
        <is>
          <t>Bear</t>
        </is>
      </c>
      <c r="D972" s="3" t="inlineStr">
        <is>
          <t>it_load_gw</t>
        </is>
      </c>
      <c r="E972" s="3" t="n">
        <v>0.996</v>
      </c>
      <c r="F972" s="3" t="inlineStr">
        <is>
          <t>GW</t>
        </is>
      </c>
      <c r="G972" s="3" t="inlineStr">
        <is>
          <t>Derived formula</t>
        </is>
      </c>
      <c r="H972" s="3" t="inlineStr">
        <is>
          <t>active_power_gw / pue</t>
        </is>
      </c>
      <c r="I972" s="3" t="inlineStr">
        <is>
          <t>Facility power is converted to IT-deliverable power before attributing AI workloads.</t>
        </is>
      </c>
      <c r="J972" s="3" t="inlineStr">
        <is>
          <t>SRC_TENCENT_AI_INFRA_MOE; ASSUMP_CN_CAPACITY_TRANSPARENCY</t>
        </is>
      </c>
      <c r="K972" s="3" t="inlineStr">
        <is>
          <t>ASSUMP_CN_CAPACITY_TRANSPARENCY; ASSUMP_APP_EMBEDDING; ASSUMP_NUMERIC_ACCELERATOR_MIX; ASSUMP_INFERENCE_SHARE_NOT_FACT_60; ASSUMP_WORKLOAD_CLASS_MIX; ASSUMP_AGENTIC_CONTEXT_PENALTY</t>
        </is>
      </c>
      <c r="L972" s="3" t="inlineStr">
        <is>
          <t>Recompute once active power and PUE become site-observable.</t>
        </is>
      </c>
    </row>
    <row r="973">
      <c r="A973" s="3" t="inlineStr">
        <is>
          <t>Tencent</t>
        </is>
      </c>
      <c r="B973" s="3" t="n">
        <v>2028</v>
      </c>
      <c r="C973" s="3" t="inlineStr">
        <is>
          <t>Bear</t>
        </is>
      </c>
      <c r="D973" s="3" t="inlineStr">
        <is>
          <t>ai_workload_share</t>
        </is>
      </c>
      <c r="E973" s="3" t="n">
        <v>0.84</v>
      </c>
      <c r="F973" s="3" t="inlineStr">
        <is>
          <t>share</t>
        </is>
      </c>
      <c r="G973" s="3" t="inlineStr">
        <is>
          <t>Scenario allocation</t>
        </is>
      </c>
      <c r="H973" s="3" t="inlineStr">
        <is>
          <t>ai_it_load_gw = it_load_gw * ai_workload_share</t>
        </is>
      </c>
      <c r="I973" s="3" t="inlineStr">
        <is>
          <t>Modeled Hunyuan-serving capacity is AI-focused; 84% excludes cloud/platform and reserve overhead.</t>
        </is>
      </c>
      <c r="J973" s="3" t="inlineStr">
        <is>
          <t>SRC_TENCENT_HUNYUAN; SRC_TENCENT_HY3; SRC_TENCENT_AI_INFRA_MOE; SRC_EPOCH_AI_DATA_CENTERS</t>
        </is>
      </c>
      <c r="K973" s="3" t="inlineStr">
        <is>
          <t>ASSUMP_CN_CAPACITY_TRANSPARENCY; ASSUMP_APP_EMBEDDING; ASSUMP_NUMERIC_ACCELERATOR_MIX; ASSUMP_INFERENCE_SHARE_NOT_FACT_60; ASSUMP_WORKLOAD_CLASS_MIX; ASSUMP_AGENTIC_CONTEXT_PENALTY</t>
        </is>
      </c>
      <c r="L973" s="3" t="inlineStr">
        <is>
          <t>Model-owner AI workload allocation or cluster scheduling telemetry.</t>
        </is>
      </c>
    </row>
    <row r="974">
      <c r="A974" s="3" t="inlineStr">
        <is>
          <t>Tencent</t>
        </is>
      </c>
      <c r="B974" s="3" t="n">
        <v>2028</v>
      </c>
      <c r="C974" s="3" t="inlineStr">
        <is>
          <t>Bear</t>
        </is>
      </c>
      <c r="D974" s="3" t="inlineStr">
        <is>
          <t>ai_it_load_gw</t>
        </is>
      </c>
      <c r="E974" s="3" t="n">
        <v>0.837</v>
      </c>
      <c r="F974" s="3" t="inlineStr">
        <is>
          <t>GW</t>
        </is>
      </c>
      <c r="G974" s="3" t="inlineStr">
        <is>
          <t>Derived formula</t>
        </is>
      </c>
      <c r="H974" s="3" t="inlineStr">
        <is>
          <t>it_load_gw * ai_workload_share</t>
        </is>
      </c>
      <c r="I974" s="3" t="inlineStr">
        <is>
          <t>Only the AI-attributed portion of IT load enters training/inference allocation.</t>
        </is>
      </c>
      <c r="J974" s="3" t="inlineStr">
        <is>
          <t>SRC_TENCENT_HUNYUAN; SRC_TENCENT_HY3; SRC_TENCENT_AI_INFRA_MOE; SRC_EPOCH_AI_DATA_CENTERS</t>
        </is>
      </c>
      <c r="K974" s="3" t="inlineStr">
        <is>
          <t>ASSUMP_CN_CAPACITY_TRANSPARENCY; ASSUMP_APP_EMBEDDING; ASSUMP_NUMERIC_ACCELERATOR_MIX; ASSUMP_INFERENCE_SHARE_NOT_FACT_60; ASSUMP_WORKLOAD_CLASS_MIX; ASSUMP_AGENTIC_CONTEXT_PENALTY</t>
        </is>
      </c>
      <c r="L974" s="3" t="inlineStr">
        <is>
          <t>Recompute after ai_workload_share is replaced by telemetry.</t>
        </is>
      </c>
    </row>
    <row r="975">
      <c r="A975" s="3" t="inlineStr">
        <is>
          <t>Tencent</t>
        </is>
      </c>
      <c r="B975" s="3" t="n">
        <v>2028</v>
      </c>
      <c r="C975" s="3" t="inlineStr">
        <is>
          <t>Bear</t>
        </is>
      </c>
      <c r="D975" s="3" t="inlineStr">
        <is>
          <t>gpu_share</t>
        </is>
      </c>
      <c r="E975" s="3" t="n">
        <v>1</v>
      </c>
      <c r="F975" s="3" t="inlineStr">
        <is>
          <t>share of inference-serving accelerator load</t>
        </is>
      </c>
      <c r="G975" s="3" t="inlineStr">
        <is>
          <t>Numeric scenario</t>
        </is>
      </c>
      <c r="H975" s="3" t="inlineStr">
        <is>
          <t>gpu_share interpolated from company 2026/2030 accelerator-mix endpoints</t>
        </is>
      </c>
      <c r="I975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75" s="3" t="inlineStr">
        <is>
          <t>SRC_TENCENT_HUNYUAN; SRC_TENCENT_HY3; SRC_TENCENT_AI_INFRA_MOE; SRC_EPOCH_AI_DATA_CENTERS; ASSUMP_NUMERIC_ACCELERATOR_MIX</t>
        </is>
      </c>
      <c r="K975" s="3" t="inlineStr">
        <is>
          <t>ASSUMP_CN_CAPACITY_TRANSPARENCY; ASSUMP_APP_EMBEDDING; ASSUMP_NUMERIC_ACCELERATOR_MIX; ASSUMP_INFERENCE_SHARE_NOT_FACT_60; ASSUMP_WORKLOAD_CLASS_MIX; ASSUMP_AGENTIC_CONTEXT_PENALTY</t>
        </is>
      </c>
      <c r="L975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76">
      <c r="A976" s="3" t="inlineStr">
        <is>
          <t>Tencent</t>
        </is>
      </c>
      <c r="B976" s="3" t="n">
        <v>2028</v>
      </c>
      <c r="C976" s="3" t="inlineStr">
        <is>
          <t>Bear</t>
        </is>
      </c>
      <c r="D976" s="3" t="inlineStr">
        <is>
          <t>h200_share</t>
        </is>
      </c>
      <c r="E976" s="3" t="n">
        <v>0.325</v>
      </c>
      <c r="F976" s="3" t="inlineStr">
        <is>
          <t>share of inference-serving accelerator load</t>
        </is>
      </c>
      <c r="G976" s="3" t="inlineStr">
        <is>
          <t>Editable numeric scenario</t>
        </is>
      </c>
      <c r="H976" s="3" t="inlineStr">
        <is>
          <t>h200_share = gpu_share * default_gpu_generation_mix_h200</t>
        </is>
      </c>
      <c r="I976" s="3" t="inlineStr">
        <is>
          <t>Default GPU-generation migration assumption; executive workbook allows later manual replacement by company/year/scenario.</t>
        </is>
      </c>
      <c r="J976" s="3" t="inlineStr">
        <is>
          <t>SRC_SEMIANALYSIS_INFERENCEX; ASSUMP_NUMERIC_ACCELERATOR_MIX</t>
        </is>
      </c>
      <c r="K976" s="3" t="inlineStr">
        <is>
          <t>ASSUMP_CN_CAPACITY_TRANSPARENCY; ASSUMP_APP_EMBEDDING; ASSUMP_NUMERIC_ACCELERATOR_MIX; ASSUMP_INFERENCE_SHARE_NOT_FACT_60; ASSUMP_WORKLOAD_CLASS_MIX; ASSUMP_AGENTIC_CONTEXT_PENALTY</t>
        </is>
      </c>
      <c r="L976" s="3" t="inlineStr">
        <is>
          <t>Company fleet inventory, accelerator-hours or procurement/deployment records by GPU generation.</t>
        </is>
      </c>
    </row>
    <row r="977">
      <c r="A977" s="3" t="inlineStr">
        <is>
          <t>Tencent</t>
        </is>
      </c>
      <c r="B977" s="3" t="n">
        <v>2028</v>
      </c>
      <c r="C977" s="3" t="inlineStr">
        <is>
          <t>Bear</t>
        </is>
      </c>
      <c r="D977" s="3" t="inlineStr">
        <is>
          <t>b200_share</t>
        </is>
      </c>
      <c r="E977" s="3" t="n">
        <v>0.375</v>
      </c>
      <c r="F977" s="3" t="inlineStr">
        <is>
          <t>share of inference-serving accelerator load</t>
        </is>
      </c>
      <c r="G977" s="3" t="inlineStr">
        <is>
          <t>Editable numeric scenario</t>
        </is>
      </c>
      <c r="H977" s="3" t="inlineStr">
        <is>
          <t>b200_share = gpu_share * default_gpu_generation_mix_b200</t>
        </is>
      </c>
      <c r="I977" s="3" t="inlineStr">
        <is>
          <t>Default GPU-generation migration assumption; executive workbook allows later manual replacement by company/year/scenario.</t>
        </is>
      </c>
      <c r="J977" s="3" t="inlineStr">
        <is>
          <t>SRC_SEMIANALYSIS_INFERENCEX; ASSUMP_NUMERIC_ACCELERATOR_MIX</t>
        </is>
      </c>
      <c r="K977" s="3" t="inlineStr">
        <is>
          <t>ASSUMP_CN_CAPACITY_TRANSPARENCY; ASSUMP_APP_EMBEDDING; ASSUMP_NUMERIC_ACCELERATOR_MIX; ASSUMP_INFERENCE_SHARE_NOT_FACT_60; ASSUMP_WORKLOAD_CLASS_MIX; ASSUMP_AGENTIC_CONTEXT_PENALTY</t>
        </is>
      </c>
      <c r="L977" s="3" t="inlineStr">
        <is>
          <t>Company fleet inventory, accelerator-hours or procurement/deployment records by GPU generation.</t>
        </is>
      </c>
    </row>
    <row r="978">
      <c r="A978" s="3" t="inlineStr">
        <is>
          <t>Tencent</t>
        </is>
      </c>
      <c r="B978" s="3" t="n">
        <v>2028</v>
      </c>
      <c r="C978" s="3" t="inlineStr">
        <is>
          <t>Bear</t>
        </is>
      </c>
      <c r="D978" s="3" t="inlineStr">
        <is>
          <t>gb200_share</t>
        </is>
      </c>
      <c r="E978" s="3" t="n">
        <v>0.3</v>
      </c>
      <c r="F978" s="3" t="inlineStr">
        <is>
          <t>share of inference-serving accelerator load</t>
        </is>
      </c>
      <c r="G978" s="3" t="inlineStr">
        <is>
          <t>Editable numeric scenario</t>
        </is>
      </c>
      <c r="H978" s="3" t="inlineStr">
        <is>
          <t>gb200_share = gpu_share * default_gpu_generation_mix_gb200</t>
        </is>
      </c>
      <c r="I978" s="3" t="inlineStr">
        <is>
          <t>Default GPU-generation migration assumption; executive workbook allows later manual replacement by company/year/scenario.</t>
        </is>
      </c>
      <c r="J978" s="3" t="inlineStr">
        <is>
          <t>SRC_SEMIANALYSIS_INFERENCEX; ASSUMP_NUMERIC_ACCELERATOR_MIX</t>
        </is>
      </c>
      <c r="K978" s="3" t="inlineStr">
        <is>
          <t>ASSUMP_CN_CAPACITY_TRANSPARENCY; ASSUMP_APP_EMBEDDING; ASSUMP_NUMERIC_ACCELERATOR_MIX; ASSUMP_INFERENCE_SHARE_NOT_FACT_60; ASSUMP_WORKLOAD_CLASS_MIX; ASSUMP_AGENTIC_CONTEXT_PENALTY</t>
        </is>
      </c>
      <c r="L978" s="3" t="inlineStr">
        <is>
          <t>Company fleet inventory, accelerator-hours or procurement/deployment records by GPU generation.</t>
        </is>
      </c>
    </row>
    <row r="979">
      <c r="A979" s="3" t="inlineStr">
        <is>
          <t>Tencent</t>
        </is>
      </c>
      <c r="B979" s="3" t="n">
        <v>2028</v>
      </c>
      <c r="C979" s="3" t="inlineStr">
        <is>
          <t>Bear</t>
        </is>
      </c>
      <c r="D979" s="3" t="inlineStr">
        <is>
          <t>purpose_built_accelerator_share</t>
        </is>
      </c>
      <c r="E979" s="3" t="n">
        <v>0</v>
      </c>
      <c r="F979" s="3" t="inlineStr">
        <is>
          <t>share of inference-serving accelerator load</t>
        </is>
      </c>
      <c r="G979" s="3" t="inlineStr">
        <is>
          <t>Numeric scenario</t>
        </is>
      </c>
      <c r="H979" s="3" t="inlineStr">
        <is>
          <t>1 - gpu_share</t>
        </is>
      </c>
      <c r="I979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79" s="3" t="inlineStr">
        <is>
          <t>SRC_TENCENT_HUNYUAN; SRC_TENCENT_HY3; SRC_TENCENT_AI_INFRA_MOE; SRC_EPOCH_AI_DATA_CENTERS; ASSUMP_NUMERIC_ACCELERATOR_MIX</t>
        </is>
      </c>
      <c r="K979" s="3" t="inlineStr">
        <is>
          <t>ASSUMP_CN_CAPACITY_TRANSPARENCY; ASSUMP_APP_EMBEDDING; ASSUMP_NUMERIC_ACCELERATOR_MIX; ASSUMP_INFERENCE_SHARE_NOT_FACT_60; ASSUMP_WORKLOAD_CLASS_MIX; ASSUMP_AGENTIC_CONTEXT_PENALTY</t>
        </is>
      </c>
      <c r="L979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80">
      <c r="A980" s="3" t="inlineStr">
        <is>
          <t>Tencent</t>
        </is>
      </c>
      <c r="B980" s="3" t="n">
        <v>2028</v>
      </c>
      <c r="C980" s="3" t="inlineStr">
        <is>
          <t>Bear</t>
        </is>
      </c>
      <c r="D980" s="3" t="inlineStr">
        <is>
          <t>fleet_reference_tps_per_mw</t>
        </is>
      </c>
      <c r="E980" s="3" t="n">
        <v>2876295</v>
      </c>
      <c r="F980" s="3" t="inlineStr">
        <is>
          <t>generated output tokens/sec/MW</t>
        </is>
      </c>
      <c r="G980" s="3" t="inlineStr">
        <is>
          <t>Fleet-weighted public benchmark reference</t>
        </is>
      </c>
      <c r="H980" s="3" t="inlineStr">
        <is>
          <t>h200_share*h200_workload_avg + b200_share*b200_workload_avg + gb200_share*gb200_workload_avg + purpose_built_share*purpose_workload_avg</t>
        </is>
      </c>
      <c r="I98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980" s="3" t="inlineStr">
        <is>
          <t>SRC_SEMIANALYSIS_INFERENCEX; ASSUMP_NUMERIC_ACCELERATOR_MIX; ASSUMP_WORKLOAD_CLASS_MIX; ASSUMP_AGENTIC_CONTEXT_PENALTY</t>
        </is>
      </c>
      <c r="K980" s="3" t="inlineStr">
        <is>
          <t>ASSUMP_CN_CAPACITY_TRANSPARENCY; ASSUMP_APP_EMBEDDING; ASSUMP_NUMERIC_ACCELERATOR_MIX; ASSUMP_INFERENCE_SHARE_NOT_FACT_60; ASSUMP_WORKLOAD_CLASS_MIX; ASSUMP_AGENTIC_CONTEXT_PENALTY</t>
        </is>
      </c>
      <c r="L980" s="3" t="inlineStr">
        <is>
          <t>Comparable production output-token throughput or a more closely matched benchmark.</t>
        </is>
      </c>
    </row>
    <row r="981">
      <c r="A981" s="3" t="inlineStr">
        <is>
          <t>Tencent</t>
        </is>
      </c>
      <c r="B981" s="3" t="n">
        <v>2028</v>
      </c>
      <c r="C981" s="3" t="inlineStr">
        <is>
          <t>Bear</t>
        </is>
      </c>
      <c r="D981" s="3" t="inlineStr">
        <is>
          <t>commercial_workload_fit_factor</t>
        </is>
      </c>
      <c r="E981" s="3" t="n">
        <v>0.4</v>
      </c>
      <c r="F981" s="3" t="inlineStr">
        <is>
          <t>share of public reference throughput</t>
        </is>
      </c>
      <c r="G981" s="3" t="inlineStr">
        <is>
          <t>Scenario assumption</t>
        </is>
      </c>
      <c r="H981" s="3" t="inlineStr">
        <is>
          <t>reference_serving_tps_per_mw = fleet_reference_tps_per_mw * commercial_workload_fit_factor</t>
        </is>
      </c>
      <c r="I98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981" s="3" t="inlineStr">
        <is>
          <t>SRC_SEMIANALYSIS_INFERENCEX; ASSUMP_NUMERIC_ACCELERATOR_MIX; ASSUMP_WORKLOAD_CLASS_MIX; ASSUMP_AGENTIC_CONTEXT_PENALTY</t>
        </is>
      </c>
      <c r="K981" s="3" t="inlineStr">
        <is>
          <t>ASSUMP_CN_CAPACITY_TRANSPARENCY; ASSUMP_APP_EMBEDDING; ASSUMP_NUMERIC_ACCELERATOR_MIX; ASSUMP_INFERENCE_SHARE_NOT_FACT_60; ASSUMP_WORKLOAD_CLASS_MIX; ASSUMP_AGENTIC_CONTEXT_PENALTY</t>
        </is>
      </c>
      <c r="L981" s="3" t="inlineStr">
        <is>
          <t>Matched commercial serving benchmark by product surface, context shape and latency SLO.</t>
        </is>
      </c>
    </row>
    <row r="982">
      <c r="A982" s="3" t="inlineStr">
        <is>
          <t>Tencent</t>
        </is>
      </c>
      <c r="B982" s="3" t="n">
        <v>2028</v>
      </c>
      <c r="C982" s="3" t="inlineStr">
        <is>
          <t>Bear</t>
        </is>
      </c>
      <c r="D982" s="3" t="inlineStr">
        <is>
          <t>reference_serving_tps_per_mw</t>
        </is>
      </c>
      <c r="E982" s="3" t="n">
        <v>1150518</v>
      </c>
      <c r="F982" s="3" t="inlineStr">
        <is>
          <t>generated output tokens/sec/MW</t>
        </is>
      </c>
      <c r="G982" s="3" t="inlineStr">
        <is>
          <t>Workload-adjusted benchmark proxy</t>
        </is>
      </c>
      <c r="H982" s="3" t="inlineStr">
        <is>
          <t>fleet_reference_tps_per_mw * commercial_workload_fit_factor</t>
        </is>
      </c>
      <c r="I982" s="3" t="inlineStr">
        <is>
          <t>This is the coefficient used for headline token generation; each GPU's short chat, long chat and agentic TPS/MW are weighted before fleet mix and commercial fit are applied.</t>
        </is>
      </c>
      <c r="J982" s="3" t="inlineStr">
        <is>
          <t>SRC_SEMIANALYSIS_INFERENCEX; ASSUMP_NUMERIC_ACCELERATOR_MIX; ASSUMP_WORKLOAD_CLASS_MIX; ASSUMP_AGENTIC_CONTEXT_PENALTY</t>
        </is>
      </c>
      <c r="K982" s="3" t="inlineStr">
        <is>
          <t>ASSUMP_CN_CAPACITY_TRANSPARENCY; ASSUMP_APP_EMBEDDING; ASSUMP_NUMERIC_ACCELERATOR_MIX; ASSUMP_INFERENCE_SHARE_NOT_FACT_60; ASSUMP_WORKLOAD_CLASS_MIX; ASSUMP_AGENTIC_CONTEXT_PENALTY</t>
        </is>
      </c>
      <c r="L982" s="3" t="inlineStr">
        <is>
          <t>Provider production output-token throughput with comparable workload/SLO.</t>
        </is>
      </c>
    </row>
    <row r="983">
      <c r="A983" s="3" t="inlineStr">
        <is>
          <t>Tencent</t>
        </is>
      </c>
      <c r="B983" s="3" t="n">
        <v>2028</v>
      </c>
      <c r="C983" s="3" t="inlineStr">
        <is>
          <t>Bear</t>
        </is>
      </c>
      <c r="D983" s="3" t="inlineStr">
        <is>
          <t>purpose_built_tps_per_mw</t>
        </is>
      </c>
      <c r="E983" s="3" t="n">
        <v>1806787</v>
      </c>
      <c r="F983" s="3" t="inlineStr">
        <is>
          <t>generated output tokens/sec/MW</t>
        </is>
      </c>
      <c r="G983" s="3" t="inlineStr">
        <is>
          <t>Conservative no-uplift proxy</t>
        </is>
      </c>
      <c r="H983" s="3" t="inlineStr">
        <is>
          <t>purpose_built_tps_per_mw = purpose_built_reference_tps_per_mw * commercial_workload_fit_factor until comparable output-token benchmark is adopted</t>
        </is>
      </c>
      <c r="I983" s="3" t="inlineStr">
        <is>
          <t>No comparable public output-token/MW row adopted; B200 public reference placeholder is used and remains editable.</t>
        </is>
      </c>
      <c r="J983" s="3" t="inlineStr">
        <is>
          <t>SRC_TENCENT_HUNYUAN; SRC_TENCENT_HY3; SRC_TENCENT_AI_INFRA_MOE; SRC_EPOCH_AI_DATA_CENTERS; ASSUMP_NUMERIC_ACCELERATOR_MIX</t>
        </is>
      </c>
      <c r="K983" s="3" t="inlineStr">
        <is>
          <t>ASSUMP_CN_CAPACITY_TRANSPARENCY; ASSUMP_APP_EMBEDDING; ASSUMP_NUMERIC_ACCELERATOR_MIX; ASSUMP_INFERENCE_SHARE_NOT_FACT_60; ASSUMP_WORKLOAD_CLASS_MIX; ASSUMP_AGENTIC_CONTEXT_PENALTY</t>
        </is>
      </c>
      <c r="L983" s="3" t="inlineStr">
        <is>
          <t>Matched-workload generated-output benchmark for the provider purpose-built accelerator.</t>
        </is>
      </c>
    </row>
    <row r="984">
      <c r="A984" s="3" t="inlineStr">
        <is>
          <t>Tencent</t>
        </is>
      </c>
      <c r="B984" s="3" t="n">
        <v>2028</v>
      </c>
      <c r="C984" s="3" t="inlineStr">
        <is>
          <t>Bear</t>
        </is>
      </c>
      <c r="D984" s="3" t="inlineStr">
        <is>
          <t>inference_power_share</t>
        </is>
      </c>
      <c r="E984" s="3" t="n">
        <v>0.61</v>
      </c>
      <c r="F984" s="3" t="inlineStr">
        <is>
          <t>share of AI IT load</t>
        </is>
      </c>
      <c r="G984" s="3" t="inlineStr">
        <is>
          <t>Scenario allocation</t>
        </is>
      </c>
      <c r="H984" s="3" t="inlineStr">
        <is>
          <t>inference_gw = ai_it_load_gw * inference_power_share</t>
        </is>
      </c>
      <c r="I984" s="3" t="inlineStr">
        <is>
          <t>Yuanbao and embedded product surfaces plus Hunyuan Turbo inference-cost direction support rising inference allocation.</t>
        </is>
      </c>
      <c r="J984" s="3" t="inlineStr">
        <is>
          <t>SRC_TENCENT_HUNYUAN; SRC_TENCENT_HY3; SRC_TENCENT_AI_INFRA_MOE; SRC_EPOCH_AI_DATA_CENTERS; ASSUMP_INFERENCE_SHARE_NOT_FACT_60</t>
        </is>
      </c>
      <c r="K984" s="3" t="inlineStr">
        <is>
          <t>ASSUMP_CN_CAPACITY_TRANSPARENCY; ASSUMP_APP_EMBEDDING; ASSUMP_NUMERIC_ACCELERATOR_MIX; ASSUMP_INFERENCE_SHARE_NOT_FACT_60; ASSUMP_WORKLOAD_CLASS_MIX; ASSUMP_AGENTIC_CONTEXT_PENALTY</t>
        </is>
      </c>
      <c r="L984" s="3" t="inlineStr">
        <is>
          <t>Provider-specific inference/training workload power telemetry.</t>
        </is>
      </c>
    </row>
    <row r="985">
      <c r="A985" s="3" t="inlineStr">
        <is>
          <t>Tencent</t>
        </is>
      </c>
      <c r="B985" s="3" t="n">
        <v>2028</v>
      </c>
      <c r="C985" s="3" t="inlineStr">
        <is>
          <t>Bear</t>
        </is>
      </c>
      <c r="D985" s="3" t="inlineStr">
        <is>
          <t>inference_gw</t>
        </is>
      </c>
      <c r="E985" s="3" t="n">
        <v>0.511</v>
      </c>
      <c r="F985" s="3" t="inlineStr">
        <is>
          <t>GW</t>
        </is>
      </c>
      <c r="G985" s="3" t="inlineStr">
        <is>
          <t>Derived formula</t>
        </is>
      </c>
      <c r="H985" s="3" t="inlineStr">
        <is>
          <t>ai_it_load_gw * inference_power_share</t>
        </is>
      </c>
      <c r="I985" s="3" t="inlineStr">
        <is>
          <t>This is the operational power eligible to become commercial generated output tokens through the selected TPS/MW proxy.</t>
        </is>
      </c>
      <c r="J985" s="3" t="inlineStr">
        <is>
          <t>SRC_TENCENT_HUNYUAN; SRC_TENCENT_HY3; SRC_TENCENT_AI_INFRA_MOE; SRC_EPOCH_AI_DATA_CENTERS</t>
        </is>
      </c>
      <c r="K985" s="3" t="inlineStr">
        <is>
          <t>ASSUMP_CN_CAPACITY_TRANSPARENCY; ASSUMP_APP_EMBEDDING; ASSUMP_NUMERIC_ACCELERATOR_MIX; ASSUMP_INFERENCE_SHARE_NOT_FACT_60; ASSUMP_WORKLOAD_CLASS_MIX; ASSUMP_AGENTIC_CONTEXT_PENALTY</t>
        </is>
      </c>
      <c r="L985" s="3" t="inlineStr">
        <is>
          <t>Recompute after AI allocation or inference-share evidence changes.</t>
        </is>
      </c>
    </row>
    <row r="986">
      <c r="A986" s="3" t="inlineStr">
        <is>
          <t>Tencent</t>
        </is>
      </c>
      <c r="B986" s="3" t="n">
        <v>2028</v>
      </c>
      <c r="C986" s="3" t="inlineStr">
        <is>
          <t>Bear</t>
        </is>
      </c>
      <c r="D986" s="3" t="inlineStr">
        <is>
          <t>training_power_share</t>
        </is>
      </c>
      <c r="E986" s="3" t="n">
        <v>0.39</v>
      </c>
      <c r="F986" s="3" t="inlineStr">
        <is>
          <t>share of AI IT load</t>
        </is>
      </c>
      <c r="G986" s="3" t="inlineStr">
        <is>
          <t>Derived allocation</t>
        </is>
      </c>
      <c r="H986" s="3" t="inlineStr">
        <is>
          <t>1 - inference_power_share</t>
        </is>
      </c>
      <c r="I986" s="3" t="inlineStr">
        <is>
          <t>Training receives the complementary modeled AI IT allocation; it is not a disclosed company workload split.</t>
        </is>
      </c>
      <c r="J986" s="3" t="inlineStr">
        <is>
          <t>SRC_TENCENT_HUNYUAN; SRC_TENCENT_HY3; SRC_TENCENT_AI_INFRA_MOE; SRC_EPOCH_AI_DATA_CENTERS; ASSUMP_INFERENCE_SHARE_NOT_FACT_60</t>
        </is>
      </c>
      <c r="K986" s="3" t="inlineStr">
        <is>
          <t>ASSUMP_CN_CAPACITY_TRANSPARENCY; ASSUMP_APP_EMBEDDING; ASSUMP_NUMERIC_ACCELERATOR_MIX; ASSUMP_INFERENCE_SHARE_NOT_FACT_60; ASSUMP_WORKLOAD_CLASS_MIX; ASSUMP_AGENTIC_CONTEXT_PENALTY</t>
        </is>
      </c>
      <c r="L986" s="3" t="inlineStr">
        <is>
          <t>Provider-specific inference/training workload power telemetry.</t>
        </is>
      </c>
    </row>
    <row r="987">
      <c r="A987" s="3" t="inlineStr">
        <is>
          <t>Tencent</t>
        </is>
      </c>
      <c r="B987" s="3" t="n">
        <v>2028</v>
      </c>
      <c r="C987" s="3" t="inlineStr">
        <is>
          <t>Bear</t>
        </is>
      </c>
      <c r="D987" s="3" t="inlineStr">
        <is>
          <t>training_gw</t>
        </is>
      </c>
      <c r="E987" s="3" t="n">
        <v>0.326</v>
      </c>
      <c r="F987" s="3" t="inlineStr">
        <is>
          <t>GW</t>
        </is>
      </c>
      <c r="G987" s="3" t="inlineStr">
        <is>
          <t>Derived formula</t>
        </is>
      </c>
      <c r="H987" s="3" t="inlineStr">
        <is>
          <t>ai_it_load_gw * training_power_share</t>
        </is>
      </c>
      <c r="I987" s="3" t="inlineStr">
        <is>
          <t>Training GW is shown separately so commercial inference token capacity is not overstated.</t>
        </is>
      </c>
      <c r="J987" s="3" t="inlineStr">
        <is>
          <t>SRC_TENCENT_HUNYUAN; SRC_TENCENT_HY3; SRC_TENCENT_AI_INFRA_MOE; SRC_EPOCH_AI_DATA_CENTERS</t>
        </is>
      </c>
      <c r="K987" s="3" t="inlineStr">
        <is>
          <t>ASSUMP_CN_CAPACITY_TRANSPARENCY; ASSUMP_APP_EMBEDDING; ASSUMP_NUMERIC_ACCELERATOR_MIX; ASSUMP_INFERENCE_SHARE_NOT_FACT_60; ASSUMP_WORKLOAD_CLASS_MIX; ASSUMP_AGENTIC_CONTEXT_PENALTY</t>
        </is>
      </c>
      <c r="L987" s="3" t="inlineStr">
        <is>
          <t>Recompute after AI allocation or workload-split evidence changes.</t>
        </is>
      </c>
    </row>
    <row r="988">
      <c r="A988" s="3" t="inlineStr">
        <is>
          <t>Tencent</t>
        </is>
      </c>
      <c r="B988" s="3" t="n">
        <v>2028</v>
      </c>
      <c r="C988" s="3" t="inlineStr">
        <is>
          <t>Bear</t>
        </is>
      </c>
      <c r="D988" s="3" t="inlineStr">
        <is>
          <t>tokens_per_second_per_mw</t>
        </is>
      </c>
      <c r="E988" s="3" t="n">
        <v>1150518</v>
      </c>
      <c r="F988" s="3" t="inlineStr">
        <is>
          <t>generated output tokens/sec/MW</t>
        </is>
      </c>
      <c r="G988" s="3" t="inlineStr">
        <is>
          <t>Derived estimate + benchmark calibration</t>
        </is>
      </c>
      <c r="H988" s="3" t="inlineStr">
        <is>
          <t>fleet_reference_tps_per_mw * commercial_workload_fit_factor</t>
        </is>
      </c>
      <c r="I98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988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988" s="3" t="inlineStr">
        <is>
          <t>ASSUMP_CN_CAPACITY_TRANSPARENCY; ASSUMP_APP_EMBEDDING; ASSUMP_NUMERIC_ACCELERATOR_MIX; ASSUMP_INFERENCE_SHARE_NOT_FACT_60; ASSUMP_WORKLOAD_CLASS_MIX; ASSUMP_AGENTIC_CONTEXT_PENALTY</t>
        </is>
      </c>
      <c r="L988" s="3" t="inlineStr">
        <is>
          <t>Comparable production output-token throughput with model, hardware, precision, ISL/OSL and SLO matched.</t>
        </is>
      </c>
    </row>
    <row r="989">
      <c r="A989" s="3" t="inlineStr">
        <is>
          <t>Tencent</t>
        </is>
      </c>
      <c r="B989" s="3" t="n">
        <v>2028</v>
      </c>
      <c r="C989" s="3" t="inlineStr">
        <is>
          <t>Bear</t>
        </is>
      </c>
      <c r="D989" s="3" t="inlineStr">
        <is>
          <t>inference_tokens_per_day</t>
        </is>
      </c>
      <c r="E989" s="3" t="n">
        <v>50795829907200</v>
      </c>
      <c r="F989" s="3" t="inlineStr">
        <is>
          <t>generated output tokens/day</t>
        </is>
      </c>
      <c r="G989" s="3" t="inlineStr">
        <is>
          <t>Derived headline metric</t>
        </is>
      </c>
      <c r="H989" s="3" t="inlineStr">
        <is>
          <t>inference_gw * 1000 * tokens_per_second_per_mw * 86,400</t>
        </is>
      </c>
      <c r="I989" s="3" t="inlineStr">
        <is>
          <t>Headline capacity uses no utilization, MoE, architecture or software-growth multiplier; it is not observed commercial output volume.</t>
        </is>
      </c>
      <c r="J989" s="3" t="inlineStr">
        <is>
          <t>SRC_TENCENT_HUNYUAN; SRC_TENCENT_HY3; SRC_TENCENT_AI_INFRA_MOE; SRC_EPOCH_AI_DATA_CENTERS; SRC_SEMIANALYSIS_INFERENCEX</t>
        </is>
      </c>
      <c r="K989" s="3" t="inlineStr">
        <is>
          <t>ASSUMP_CN_CAPACITY_TRANSPARENCY; ASSUMP_APP_EMBEDDING; ASSUMP_NUMERIC_ACCELERATOR_MIX; ASSUMP_INFERENCE_SHARE_NOT_FACT_60; ASSUMP_WORKLOAD_CLASS_MIX; ASSUMP_AGENTIC_CONTEXT_PENALTY</t>
        </is>
      </c>
      <c r="L989" s="3" t="inlineStr">
        <is>
          <t>Provider-disclosed generated output token volume or calibrated capacity telemetry.</t>
        </is>
      </c>
    </row>
    <row r="990">
      <c r="A990" s="3" t="inlineStr">
        <is>
          <t>Tencent</t>
        </is>
      </c>
      <c r="B990" s="3" t="n">
        <v>2028</v>
      </c>
      <c r="C990" s="3" t="inlineStr">
        <is>
          <t>Bear</t>
        </is>
      </c>
      <c r="D990" s="3" t="inlineStr">
        <is>
          <t>inference_tokens_per_year</t>
        </is>
      </c>
      <c r="E990" s="3" t="n">
        <v>1.8540477916128e+16</v>
      </c>
      <c r="F990" s="3" t="inlineStr">
        <is>
          <t>generated output tokens/year</t>
        </is>
      </c>
      <c r="G990" s="3" t="inlineStr">
        <is>
          <t>Derived headline metric</t>
        </is>
      </c>
      <c r="H990" s="3" t="inlineStr">
        <is>
          <t>inference_tokens_per_day * 365</t>
        </is>
      </c>
      <c r="I990" s="3" t="inlineStr">
        <is>
          <t>Annualized version of generated output token capacity; it is not observed annual demand or billable volume.</t>
        </is>
      </c>
      <c r="J990" s="3" t="inlineStr">
        <is>
          <t>SRC_TENCENT_HUNYUAN; SRC_TENCENT_HY3; SRC_TENCENT_AI_INFRA_MOE; SRC_EPOCH_AI_DATA_CENTERS; SRC_SEMIANALYSIS_INFERENCEX</t>
        </is>
      </c>
      <c r="K990" s="3" t="inlineStr">
        <is>
          <t>ASSUMP_CN_CAPACITY_TRANSPARENCY; ASSUMP_APP_EMBEDDING; ASSUMP_NUMERIC_ACCELERATOR_MIX; ASSUMP_INFERENCE_SHARE_NOT_FACT_60; ASSUMP_WORKLOAD_CLASS_MIX; ASSUMP_AGENTIC_CONTEXT_PENALTY</t>
        </is>
      </c>
      <c r="L990" s="3" t="inlineStr">
        <is>
          <t>Provider-disclosed annual generated-output volume or metered serving telemetry.</t>
        </is>
      </c>
    </row>
    <row r="991">
      <c r="A991" s="3" t="inlineStr">
        <is>
          <t>Tencent</t>
        </is>
      </c>
      <c r="B991" s="3" t="n">
        <v>2029</v>
      </c>
      <c r="C991" s="3" t="inlineStr">
        <is>
          <t>Bear</t>
        </is>
      </c>
      <c r="D991" s="3" t="inlineStr">
        <is>
          <t>contracted_power_gw</t>
        </is>
      </c>
      <c r="E991" s="3" t="n">
        <v>2.55</v>
      </c>
      <c r="F991" s="3" t="inlineStr">
        <is>
          <t>GW</t>
        </is>
      </c>
      <c r="G991" s="3" t="inlineStr">
        <is>
          <t>Scenario capacity envelope</t>
        </is>
      </c>
      <c r="H991" s="3" t="inlineStr">
        <is>
          <t>linear interpolation between 2026 and 2030 company capacity endpoints</t>
        </is>
      </c>
      <c r="I991" s="3" t="inlineStr">
        <is>
          <t>Tencent Cloud/Hunyuan capacity is a scenario envelope because operated model-serving GW is undisclosed.</t>
        </is>
      </c>
      <c r="J991" s="3" t="inlineStr">
        <is>
          <t>SRC_TENCENT_AI_INFRA_MOE; ASSUMP_CN_CAPACITY_TRANSPARENCY</t>
        </is>
      </c>
      <c r="K991" s="3" t="inlineStr">
        <is>
          <t>ASSUMP_CN_CAPACITY_TRANSPARENCY; ASSUMP_APP_EMBEDDING; ASSUMP_NUMERIC_ACCELERATOR_MIX; ASSUMP_INFERENCE_SHARE_NOT_FACT_60; ASSUMP_WORKLOAD_CLASS_MIX; ASSUMP_AGENTIC_CONTEXT_PENALTY</t>
        </is>
      </c>
      <c r="L991" s="3" t="inlineStr">
        <is>
          <t>Company/site-level committed MW/GW, interconnect and contract disclosure.</t>
        </is>
      </c>
    </row>
    <row r="992">
      <c r="A992" s="3" t="inlineStr">
        <is>
          <t>Tencent</t>
        </is>
      </c>
      <c r="B992" s="3" t="n">
        <v>2029</v>
      </c>
      <c r="C992" s="3" t="inlineStr">
        <is>
          <t>Bear</t>
        </is>
      </c>
      <c r="D992" s="3" t="inlineStr">
        <is>
          <t>operational_deployment_share</t>
        </is>
      </c>
      <c r="E992" s="3" t="n">
        <v>0.62980392</v>
      </c>
      <c r="F992" s="3" t="inlineStr">
        <is>
          <t>share</t>
        </is>
      </c>
      <c r="G992" s="3" t="inlineStr">
        <is>
          <t>Scenario conversion</t>
        </is>
      </c>
      <c r="H992" s="3" t="inlineStr">
        <is>
          <t>active_power_gw / contracted_power_gw</t>
        </is>
      </c>
      <c r="I992" s="3" t="inlineStr">
        <is>
          <t>This is the single explicit conversion from contracted/attributed capacity to operationally usable capacity.</t>
        </is>
      </c>
      <c r="J992" s="3" t="inlineStr">
        <is>
          <t>SRC_TENCENT_AI_INFRA_MOE; ASSUMP_CN_CAPACITY_TRANSPARENCY</t>
        </is>
      </c>
      <c r="K992" s="3" t="inlineStr">
        <is>
          <t>ASSUMP_CN_CAPACITY_TRANSPARENCY; ASSUMP_APP_EMBEDDING; ASSUMP_NUMERIC_ACCELERATOR_MIX; ASSUMP_INFERENCE_SHARE_NOT_FACT_60; ASSUMP_WORKLOAD_CLASS_MIX; ASSUMP_AGENTIC_CONTEXT_PENALTY</t>
        </is>
      </c>
      <c r="L992" s="3" t="inlineStr">
        <is>
          <t>Energized operational capacity divided by contracted/attributed capacity.</t>
        </is>
      </c>
    </row>
    <row r="993">
      <c r="A993" s="3" t="inlineStr">
        <is>
          <t>Tencent</t>
        </is>
      </c>
      <c r="B993" s="3" t="n">
        <v>2029</v>
      </c>
      <c r="C993" s="3" t="inlineStr">
        <is>
          <t>Bear</t>
        </is>
      </c>
      <c r="D993" s="3" t="inlineStr">
        <is>
          <t>active_power_gw</t>
        </is>
      </c>
      <c r="E993" s="3" t="n">
        <v>1.606</v>
      </c>
      <c r="F993" s="3" t="inlineStr">
        <is>
          <t>GW</t>
        </is>
      </c>
      <c r="G993" s="3" t="inlineStr">
        <is>
          <t>Derived scenario</t>
        </is>
      </c>
      <c r="H993" s="3" t="inlineStr">
        <is>
          <t>contracted_power_gw * operational_deployment_share</t>
        </is>
      </c>
      <c r="I993" s="3" t="inlineStr">
        <is>
          <t>Active GW reflects staged Hunyuan/Yuanbao adoption rather than a reported powered fleet.</t>
        </is>
      </c>
      <c r="J993" s="3" t="inlineStr">
        <is>
          <t>SRC_TENCENT_AI_INFRA_MOE; ASSUMP_CN_CAPACITY_TRANSPARENCY</t>
        </is>
      </c>
      <c r="K993" s="3" t="inlineStr">
        <is>
          <t>ASSUMP_CN_CAPACITY_TRANSPARENCY; ASSUMP_APP_EMBEDDING; ASSUMP_NUMERIC_ACCELERATOR_MIX; ASSUMP_INFERENCE_SHARE_NOT_FACT_60; ASSUMP_WORKLOAD_CLASS_MIX; ASSUMP_AGENTIC_CONTEXT_PENALTY</t>
        </is>
      </c>
      <c r="L993" s="3" t="inlineStr">
        <is>
          <t>Energization dates, accelerator deliveries and operational powered-rack telemetry.</t>
        </is>
      </c>
    </row>
    <row r="994">
      <c r="A994" s="3" t="inlineStr">
        <is>
          <t>Tencent</t>
        </is>
      </c>
      <c r="B994" s="3" t="n">
        <v>2029</v>
      </c>
      <c r="C994" s="3" t="inlineStr">
        <is>
          <t>Bear</t>
        </is>
      </c>
      <c r="D994" s="3" t="inlineStr">
        <is>
          <t>pue</t>
        </is>
      </c>
      <c r="E994" s="3" t="n">
        <v>1.23</v>
      </c>
      <c r="F994" s="3" t="inlineStr">
        <is>
          <t>ratio</t>
        </is>
      </c>
      <c r="G994" s="3" t="inlineStr">
        <is>
          <t>Scenario parameter</t>
        </is>
      </c>
      <c r="H994" s="3" t="inlineStr">
        <is>
          <t>it_load_gw = active_power_gw / pue</t>
        </is>
      </c>
      <c r="I994" s="3" t="inlineStr">
        <is>
          <t>No provider-wide site-level PUE is used as a disclosed fact; PUE represents facility-to-IT conversion within the scenario.</t>
        </is>
      </c>
      <c r="J994" s="3" t="inlineStr">
        <is>
          <t>ASSUMP_POWER_RAMP</t>
        </is>
      </c>
      <c r="K994" s="3" t="inlineStr">
        <is>
          <t>ASSUMP_CN_CAPACITY_TRANSPARENCY; ASSUMP_APP_EMBEDDING; ASSUMP_NUMERIC_ACCELERATOR_MIX; ASSUMP_INFERENCE_SHARE_NOT_FACT_60; ASSUMP_WORKLOAD_CLASS_MIX; ASSUMP_AGENTIC_CONTEXT_PENALTY</t>
        </is>
      </c>
      <c r="L994" s="3" t="inlineStr">
        <is>
          <t>Site-level measured PUE matched to attributed AI capacity.</t>
        </is>
      </c>
    </row>
    <row r="995">
      <c r="A995" s="3" t="inlineStr">
        <is>
          <t>Tencent</t>
        </is>
      </c>
      <c r="B995" s="3" t="n">
        <v>2029</v>
      </c>
      <c r="C995" s="3" t="inlineStr">
        <is>
          <t>Bear</t>
        </is>
      </c>
      <c r="D995" s="3" t="inlineStr">
        <is>
          <t>it_load_gw</t>
        </is>
      </c>
      <c r="E995" s="3" t="n">
        <v>1.306</v>
      </c>
      <c r="F995" s="3" t="inlineStr">
        <is>
          <t>GW</t>
        </is>
      </c>
      <c r="G995" s="3" t="inlineStr">
        <is>
          <t>Derived formula</t>
        </is>
      </c>
      <c r="H995" s="3" t="inlineStr">
        <is>
          <t>active_power_gw / pue</t>
        </is>
      </c>
      <c r="I995" s="3" t="inlineStr">
        <is>
          <t>Facility power is converted to IT-deliverable power before attributing AI workloads.</t>
        </is>
      </c>
      <c r="J995" s="3" t="inlineStr">
        <is>
          <t>SRC_TENCENT_AI_INFRA_MOE; ASSUMP_CN_CAPACITY_TRANSPARENCY</t>
        </is>
      </c>
      <c r="K995" s="3" t="inlineStr">
        <is>
          <t>ASSUMP_CN_CAPACITY_TRANSPARENCY; ASSUMP_APP_EMBEDDING; ASSUMP_NUMERIC_ACCELERATOR_MIX; ASSUMP_INFERENCE_SHARE_NOT_FACT_60; ASSUMP_WORKLOAD_CLASS_MIX; ASSUMP_AGENTIC_CONTEXT_PENALTY</t>
        </is>
      </c>
      <c r="L995" s="3" t="inlineStr">
        <is>
          <t>Recompute once active power and PUE become site-observable.</t>
        </is>
      </c>
    </row>
    <row r="996">
      <c r="A996" s="3" t="inlineStr">
        <is>
          <t>Tencent</t>
        </is>
      </c>
      <c r="B996" s="3" t="n">
        <v>2029</v>
      </c>
      <c r="C996" s="3" t="inlineStr">
        <is>
          <t>Bear</t>
        </is>
      </c>
      <c r="D996" s="3" t="inlineStr">
        <is>
          <t>ai_workload_share</t>
        </is>
      </c>
      <c r="E996" s="3" t="n">
        <v>0.84</v>
      </c>
      <c r="F996" s="3" t="inlineStr">
        <is>
          <t>share</t>
        </is>
      </c>
      <c r="G996" s="3" t="inlineStr">
        <is>
          <t>Scenario allocation</t>
        </is>
      </c>
      <c r="H996" s="3" t="inlineStr">
        <is>
          <t>ai_it_load_gw = it_load_gw * ai_workload_share</t>
        </is>
      </c>
      <c r="I996" s="3" t="inlineStr">
        <is>
          <t>Modeled Hunyuan-serving capacity is AI-focused; 84% excludes cloud/platform and reserve overhead.</t>
        </is>
      </c>
      <c r="J996" s="3" t="inlineStr">
        <is>
          <t>SRC_TENCENT_HUNYUAN; SRC_TENCENT_HY3; SRC_TENCENT_AI_INFRA_MOE; SRC_EPOCH_AI_DATA_CENTERS</t>
        </is>
      </c>
      <c r="K996" s="3" t="inlineStr">
        <is>
          <t>ASSUMP_CN_CAPACITY_TRANSPARENCY; ASSUMP_APP_EMBEDDING; ASSUMP_NUMERIC_ACCELERATOR_MIX; ASSUMP_INFERENCE_SHARE_NOT_FACT_60; ASSUMP_WORKLOAD_CLASS_MIX; ASSUMP_AGENTIC_CONTEXT_PENALTY</t>
        </is>
      </c>
      <c r="L996" s="3" t="inlineStr">
        <is>
          <t>Model-owner AI workload allocation or cluster scheduling telemetry.</t>
        </is>
      </c>
    </row>
    <row r="997">
      <c r="A997" s="3" t="inlineStr">
        <is>
          <t>Tencent</t>
        </is>
      </c>
      <c r="B997" s="3" t="n">
        <v>2029</v>
      </c>
      <c r="C997" s="3" t="inlineStr">
        <is>
          <t>Bear</t>
        </is>
      </c>
      <c r="D997" s="3" t="inlineStr">
        <is>
          <t>ai_it_load_gw</t>
        </is>
      </c>
      <c r="E997" s="3" t="n">
        <v>1.097</v>
      </c>
      <c r="F997" s="3" t="inlineStr">
        <is>
          <t>GW</t>
        </is>
      </c>
      <c r="G997" s="3" t="inlineStr">
        <is>
          <t>Derived formula</t>
        </is>
      </c>
      <c r="H997" s="3" t="inlineStr">
        <is>
          <t>it_load_gw * ai_workload_share</t>
        </is>
      </c>
      <c r="I997" s="3" t="inlineStr">
        <is>
          <t>Only the AI-attributed portion of IT load enters training/inference allocation.</t>
        </is>
      </c>
      <c r="J997" s="3" t="inlineStr">
        <is>
          <t>SRC_TENCENT_HUNYUAN; SRC_TENCENT_HY3; SRC_TENCENT_AI_INFRA_MOE; SRC_EPOCH_AI_DATA_CENTERS</t>
        </is>
      </c>
      <c r="K997" s="3" t="inlineStr">
        <is>
          <t>ASSUMP_CN_CAPACITY_TRANSPARENCY; ASSUMP_APP_EMBEDDING; ASSUMP_NUMERIC_ACCELERATOR_MIX; ASSUMP_INFERENCE_SHARE_NOT_FACT_60; ASSUMP_WORKLOAD_CLASS_MIX; ASSUMP_AGENTIC_CONTEXT_PENALTY</t>
        </is>
      </c>
      <c r="L997" s="3" t="inlineStr">
        <is>
          <t>Recompute after ai_workload_share is replaced by telemetry.</t>
        </is>
      </c>
    </row>
    <row r="998">
      <c r="A998" s="3" t="inlineStr">
        <is>
          <t>Tencent</t>
        </is>
      </c>
      <c r="B998" s="3" t="n">
        <v>2029</v>
      </c>
      <c r="C998" s="3" t="inlineStr">
        <is>
          <t>Bear</t>
        </is>
      </c>
      <c r="D998" s="3" t="inlineStr">
        <is>
          <t>gpu_share</t>
        </is>
      </c>
      <c r="E998" s="3" t="n">
        <v>1</v>
      </c>
      <c r="F998" s="3" t="inlineStr">
        <is>
          <t>share of inference-serving accelerator load</t>
        </is>
      </c>
      <c r="G998" s="3" t="inlineStr">
        <is>
          <t>Numeric scenario</t>
        </is>
      </c>
      <c r="H998" s="3" t="inlineStr">
        <is>
          <t>gpu_share interpolated from company 2026/2030 accelerator-mix endpoints</t>
        </is>
      </c>
      <c r="I998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998" s="3" t="inlineStr">
        <is>
          <t>SRC_TENCENT_HUNYUAN; SRC_TENCENT_HY3; SRC_TENCENT_AI_INFRA_MOE; SRC_EPOCH_AI_DATA_CENTERS; ASSUMP_NUMERIC_ACCELERATOR_MIX</t>
        </is>
      </c>
      <c r="K998" s="3" t="inlineStr">
        <is>
          <t>ASSUMP_CN_CAPACITY_TRANSPARENCY; ASSUMP_APP_EMBEDDING; ASSUMP_NUMERIC_ACCELERATOR_MIX; ASSUMP_INFERENCE_SHARE_NOT_FACT_60; ASSUMP_WORKLOAD_CLASS_MIX; ASSUMP_AGENTIC_CONTEXT_PENALTY</t>
        </is>
      </c>
      <c r="L998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999">
      <c r="A999" s="3" t="inlineStr">
        <is>
          <t>Tencent</t>
        </is>
      </c>
      <c r="B999" s="3" t="n">
        <v>2029</v>
      </c>
      <c r="C999" s="3" t="inlineStr">
        <is>
          <t>Bear</t>
        </is>
      </c>
      <c r="D999" s="3" t="inlineStr">
        <is>
          <t>h200_share</t>
        </is>
      </c>
      <c r="E999" s="3" t="n">
        <v>0.213</v>
      </c>
      <c r="F999" s="3" t="inlineStr">
        <is>
          <t>share of inference-serving accelerator load</t>
        </is>
      </c>
      <c r="G999" s="3" t="inlineStr">
        <is>
          <t>Editable numeric scenario</t>
        </is>
      </c>
      <c r="H999" s="3" t="inlineStr">
        <is>
          <t>h200_share = gpu_share * default_gpu_generation_mix_h200</t>
        </is>
      </c>
      <c r="I999" s="3" t="inlineStr">
        <is>
          <t>Default GPU-generation migration assumption; executive workbook allows later manual replacement by company/year/scenario.</t>
        </is>
      </c>
      <c r="J999" s="3" t="inlineStr">
        <is>
          <t>SRC_SEMIANALYSIS_INFERENCEX; ASSUMP_NUMERIC_ACCELERATOR_MIX</t>
        </is>
      </c>
      <c r="K999" s="3" t="inlineStr">
        <is>
          <t>ASSUMP_CN_CAPACITY_TRANSPARENCY; ASSUMP_APP_EMBEDDING; ASSUMP_NUMERIC_ACCELERATOR_MIX; ASSUMP_INFERENCE_SHARE_NOT_FACT_60; ASSUMP_WORKLOAD_CLASS_MIX; ASSUMP_AGENTIC_CONTEXT_PENALTY</t>
        </is>
      </c>
      <c r="L999" s="3" t="inlineStr">
        <is>
          <t>Company fleet inventory, accelerator-hours or procurement/deployment records by GPU generation.</t>
        </is>
      </c>
    </row>
    <row r="1000">
      <c r="A1000" s="3" t="inlineStr">
        <is>
          <t>Tencent</t>
        </is>
      </c>
      <c r="B1000" s="3" t="n">
        <v>2029</v>
      </c>
      <c r="C1000" s="3" t="inlineStr">
        <is>
          <t>Bear</t>
        </is>
      </c>
      <c r="D1000" s="3" t="inlineStr">
        <is>
          <t>b200_share</t>
        </is>
      </c>
      <c r="E1000" s="3" t="n">
        <v>0.362</v>
      </c>
      <c r="F1000" s="3" t="inlineStr">
        <is>
          <t>share of inference-serving accelerator load</t>
        </is>
      </c>
      <c r="G1000" s="3" t="inlineStr">
        <is>
          <t>Editable numeric scenario</t>
        </is>
      </c>
      <c r="H1000" s="3" t="inlineStr">
        <is>
          <t>b200_share = gpu_share * default_gpu_generation_mix_b200</t>
        </is>
      </c>
      <c r="I1000" s="3" t="inlineStr">
        <is>
          <t>Default GPU-generation migration assumption; executive workbook allows later manual replacement by company/year/scenario.</t>
        </is>
      </c>
      <c r="J1000" s="3" t="inlineStr">
        <is>
          <t>SRC_SEMIANALYSIS_INFERENCEX; ASSUMP_NUMERIC_ACCELERATOR_MIX</t>
        </is>
      </c>
      <c r="K1000" s="3" t="inlineStr">
        <is>
          <t>ASSUMP_CN_CAPACITY_TRANSPARENCY; ASSUMP_APP_EMBEDDING; ASSUMP_NUMERIC_ACCELERATOR_MIX; ASSUMP_INFERENCE_SHARE_NOT_FACT_60; ASSUMP_WORKLOAD_CLASS_MIX; ASSUMP_AGENTIC_CONTEXT_PENALTY</t>
        </is>
      </c>
      <c r="L1000" s="3" t="inlineStr">
        <is>
          <t>Company fleet inventory, accelerator-hours or procurement/deployment records by GPU generation.</t>
        </is>
      </c>
    </row>
    <row r="1001">
      <c r="A1001" s="3" t="inlineStr">
        <is>
          <t>Tencent</t>
        </is>
      </c>
      <c r="B1001" s="3" t="n">
        <v>2029</v>
      </c>
      <c r="C1001" s="3" t="inlineStr">
        <is>
          <t>Bear</t>
        </is>
      </c>
      <c r="D1001" s="3" t="inlineStr">
        <is>
          <t>gb200_share</t>
        </is>
      </c>
      <c r="E1001" s="3" t="n">
        <v>0.425</v>
      </c>
      <c r="F1001" s="3" t="inlineStr">
        <is>
          <t>share of inference-serving accelerator load</t>
        </is>
      </c>
      <c r="G1001" s="3" t="inlineStr">
        <is>
          <t>Editable numeric scenario</t>
        </is>
      </c>
      <c r="H1001" s="3" t="inlineStr">
        <is>
          <t>gb200_share = gpu_share * default_gpu_generation_mix_gb200</t>
        </is>
      </c>
      <c r="I1001" s="3" t="inlineStr">
        <is>
          <t>Default GPU-generation migration assumption; executive workbook allows later manual replacement by company/year/scenario.</t>
        </is>
      </c>
      <c r="J1001" s="3" t="inlineStr">
        <is>
          <t>SRC_SEMIANALYSIS_INFERENCEX; ASSUMP_NUMERIC_ACCELERATOR_MIX</t>
        </is>
      </c>
      <c r="K1001" s="3" t="inlineStr">
        <is>
          <t>ASSUMP_CN_CAPACITY_TRANSPARENCY; ASSUMP_APP_EMBEDDING; ASSUMP_NUMERIC_ACCELERATOR_MIX; ASSUMP_INFERENCE_SHARE_NOT_FACT_60; ASSUMP_WORKLOAD_CLASS_MIX; ASSUMP_AGENTIC_CONTEXT_PENALTY</t>
        </is>
      </c>
      <c r="L1001" s="3" t="inlineStr">
        <is>
          <t>Company fleet inventory, accelerator-hours or procurement/deployment records by GPU generation.</t>
        </is>
      </c>
    </row>
    <row r="1002">
      <c r="A1002" s="3" t="inlineStr">
        <is>
          <t>Tencent</t>
        </is>
      </c>
      <c r="B1002" s="3" t="n">
        <v>2029</v>
      </c>
      <c r="C1002" s="3" t="inlineStr">
        <is>
          <t>Bear</t>
        </is>
      </c>
      <c r="D1002" s="3" t="inlineStr">
        <is>
          <t>purpose_built_accelerator_share</t>
        </is>
      </c>
      <c r="E1002" s="3" t="n">
        <v>0</v>
      </c>
      <c r="F1002" s="3" t="inlineStr">
        <is>
          <t>share of inference-serving accelerator load</t>
        </is>
      </c>
      <c r="G1002" s="3" t="inlineStr">
        <is>
          <t>Numeric scenario</t>
        </is>
      </c>
      <c r="H1002" s="3" t="inlineStr">
        <is>
          <t>1 - gpu_share</t>
        </is>
      </c>
      <c r="I1002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002" s="3" t="inlineStr">
        <is>
          <t>SRC_TENCENT_HUNYUAN; SRC_TENCENT_HY3; SRC_TENCENT_AI_INFRA_MOE; SRC_EPOCH_AI_DATA_CENTERS; ASSUMP_NUMERIC_ACCELERATOR_MIX</t>
        </is>
      </c>
      <c r="K1002" s="3" t="inlineStr">
        <is>
          <t>ASSUMP_CN_CAPACITY_TRANSPARENCY; ASSUMP_APP_EMBEDDING; ASSUMP_NUMERIC_ACCELERATOR_MIX; ASSUMP_INFERENCE_SHARE_NOT_FACT_60; ASSUMP_WORKLOAD_CLASS_MIX; ASSUMP_AGENTIC_CONTEXT_PENALTY</t>
        </is>
      </c>
      <c r="L1002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003">
      <c r="A1003" s="3" t="inlineStr">
        <is>
          <t>Tencent</t>
        </is>
      </c>
      <c r="B1003" s="3" t="n">
        <v>2029</v>
      </c>
      <c r="C1003" s="3" t="inlineStr">
        <is>
          <t>Bear</t>
        </is>
      </c>
      <c r="D1003" s="3" t="inlineStr">
        <is>
          <t>fleet_reference_tps_per_mw</t>
        </is>
      </c>
      <c r="E1003" s="3" t="n">
        <v>3133311</v>
      </c>
      <c r="F1003" s="3" t="inlineStr">
        <is>
          <t>generated output tokens/sec/MW</t>
        </is>
      </c>
      <c r="G1003" s="3" t="inlineStr">
        <is>
          <t>Fleet-weighted public benchmark reference</t>
        </is>
      </c>
      <c r="H1003" s="3" t="inlineStr">
        <is>
          <t>h200_share*h200_workload_avg + b200_share*b200_workload_avg + gb200_share*gb200_workload_avg + purpose_built_share*purpose_workload_avg</t>
        </is>
      </c>
      <c r="I100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03" s="3" t="inlineStr">
        <is>
          <t>SRC_SEMIANALYSIS_INFERENCEX; ASSUMP_NUMERIC_ACCELERATOR_MIX; ASSUMP_WORKLOAD_CLASS_MIX; ASSUMP_AGENTIC_CONTEXT_PENALTY</t>
        </is>
      </c>
      <c r="K1003" s="3" t="inlineStr">
        <is>
          <t>ASSUMP_CN_CAPACITY_TRANSPARENCY; ASSUMP_APP_EMBEDDING; ASSUMP_NUMERIC_ACCELERATOR_MIX; ASSUMP_INFERENCE_SHARE_NOT_FACT_60; ASSUMP_WORKLOAD_CLASS_MIX; ASSUMP_AGENTIC_CONTEXT_PENALTY</t>
        </is>
      </c>
      <c r="L1003" s="3" t="inlineStr">
        <is>
          <t>Comparable production output-token throughput or a more closely matched benchmark.</t>
        </is>
      </c>
    </row>
    <row r="1004">
      <c r="A1004" s="3" t="inlineStr">
        <is>
          <t>Tencent</t>
        </is>
      </c>
      <c r="B1004" s="3" t="n">
        <v>2029</v>
      </c>
      <c r="C1004" s="3" t="inlineStr">
        <is>
          <t>Bear</t>
        </is>
      </c>
      <c r="D1004" s="3" t="inlineStr">
        <is>
          <t>commercial_workload_fit_factor</t>
        </is>
      </c>
      <c r="E1004" s="3" t="n">
        <v>0.4</v>
      </c>
      <c r="F1004" s="3" t="inlineStr">
        <is>
          <t>share of public reference throughput</t>
        </is>
      </c>
      <c r="G1004" s="3" t="inlineStr">
        <is>
          <t>Scenario assumption</t>
        </is>
      </c>
      <c r="H1004" s="3" t="inlineStr">
        <is>
          <t>reference_serving_tps_per_mw = fleet_reference_tps_per_mw * commercial_workload_fit_factor</t>
        </is>
      </c>
      <c r="I100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04" s="3" t="inlineStr">
        <is>
          <t>SRC_SEMIANALYSIS_INFERENCEX; ASSUMP_NUMERIC_ACCELERATOR_MIX; ASSUMP_WORKLOAD_CLASS_MIX; ASSUMP_AGENTIC_CONTEXT_PENALTY</t>
        </is>
      </c>
      <c r="K1004" s="3" t="inlineStr">
        <is>
          <t>ASSUMP_CN_CAPACITY_TRANSPARENCY; ASSUMP_APP_EMBEDDING; ASSUMP_NUMERIC_ACCELERATOR_MIX; ASSUMP_INFERENCE_SHARE_NOT_FACT_60; ASSUMP_WORKLOAD_CLASS_MIX; ASSUMP_AGENTIC_CONTEXT_PENALTY</t>
        </is>
      </c>
      <c r="L1004" s="3" t="inlineStr">
        <is>
          <t>Matched commercial serving benchmark by product surface, context shape and latency SLO.</t>
        </is>
      </c>
    </row>
    <row r="1005">
      <c r="A1005" s="3" t="inlineStr">
        <is>
          <t>Tencent</t>
        </is>
      </c>
      <c r="B1005" s="3" t="n">
        <v>2029</v>
      </c>
      <c r="C1005" s="3" t="inlineStr">
        <is>
          <t>Bear</t>
        </is>
      </c>
      <c r="D1005" s="3" t="inlineStr">
        <is>
          <t>reference_serving_tps_per_mw</t>
        </is>
      </c>
      <c r="E1005" s="3" t="n">
        <v>1253324</v>
      </c>
      <c r="F1005" s="3" t="inlineStr">
        <is>
          <t>generated output tokens/sec/MW</t>
        </is>
      </c>
      <c r="G1005" s="3" t="inlineStr">
        <is>
          <t>Workload-adjusted benchmark proxy</t>
        </is>
      </c>
      <c r="H1005" s="3" t="inlineStr">
        <is>
          <t>fleet_reference_tps_per_mw * commercial_workload_fit_factor</t>
        </is>
      </c>
      <c r="I1005" s="3" t="inlineStr">
        <is>
          <t>This is the coefficient used for headline token generation; each GPU's short chat, long chat and agentic TPS/MW are weighted before fleet mix and commercial fit are applied.</t>
        </is>
      </c>
      <c r="J1005" s="3" t="inlineStr">
        <is>
          <t>SRC_SEMIANALYSIS_INFERENCEX; ASSUMP_NUMERIC_ACCELERATOR_MIX; ASSUMP_WORKLOAD_CLASS_MIX; ASSUMP_AGENTIC_CONTEXT_PENALTY</t>
        </is>
      </c>
      <c r="K1005" s="3" t="inlineStr">
        <is>
          <t>ASSUMP_CN_CAPACITY_TRANSPARENCY; ASSUMP_APP_EMBEDDING; ASSUMP_NUMERIC_ACCELERATOR_MIX; ASSUMP_INFERENCE_SHARE_NOT_FACT_60; ASSUMP_WORKLOAD_CLASS_MIX; ASSUMP_AGENTIC_CONTEXT_PENALTY</t>
        </is>
      </c>
      <c r="L1005" s="3" t="inlineStr">
        <is>
          <t>Provider production output-token throughput with comparable workload/SLO.</t>
        </is>
      </c>
    </row>
    <row r="1006">
      <c r="A1006" s="3" t="inlineStr">
        <is>
          <t>Tencent</t>
        </is>
      </c>
      <c r="B1006" s="3" t="n">
        <v>2029</v>
      </c>
      <c r="C1006" s="3" t="inlineStr">
        <is>
          <t>Bear</t>
        </is>
      </c>
      <c r="D1006" s="3" t="inlineStr">
        <is>
          <t>purpose_built_tps_per_mw</t>
        </is>
      </c>
      <c r="E1006" s="3" t="n">
        <v>1806787</v>
      </c>
      <c r="F1006" s="3" t="inlineStr">
        <is>
          <t>generated output tokens/sec/MW</t>
        </is>
      </c>
      <c r="G1006" s="3" t="inlineStr">
        <is>
          <t>Conservative no-uplift proxy</t>
        </is>
      </c>
      <c r="H1006" s="3" t="inlineStr">
        <is>
          <t>purpose_built_tps_per_mw = purpose_built_reference_tps_per_mw * commercial_workload_fit_factor until comparable output-token benchmark is adopted</t>
        </is>
      </c>
      <c r="I1006" s="3" t="inlineStr">
        <is>
          <t>No comparable public output-token/MW row adopted; B200 public reference placeholder is used and remains editable.</t>
        </is>
      </c>
      <c r="J1006" s="3" t="inlineStr">
        <is>
          <t>SRC_TENCENT_HUNYUAN; SRC_TENCENT_HY3; SRC_TENCENT_AI_INFRA_MOE; SRC_EPOCH_AI_DATA_CENTERS; ASSUMP_NUMERIC_ACCELERATOR_MIX</t>
        </is>
      </c>
      <c r="K1006" s="3" t="inlineStr">
        <is>
          <t>ASSUMP_CN_CAPACITY_TRANSPARENCY; ASSUMP_APP_EMBEDDING; ASSUMP_NUMERIC_ACCELERATOR_MIX; ASSUMP_INFERENCE_SHARE_NOT_FACT_60; ASSUMP_WORKLOAD_CLASS_MIX; ASSUMP_AGENTIC_CONTEXT_PENALTY</t>
        </is>
      </c>
      <c r="L1006" s="3" t="inlineStr">
        <is>
          <t>Matched-workload generated-output benchmark for the provider purpose-built accelerator.</t>
        </is>
      </c>
    </row>
    <row r="1007">
      <c r="A1007" s="3" t="inlineStr">
        <is>
          <t>Tencent</t>
        </is>
      </c>
      <c r="B1007" s="3" t="n">
        <v>2029</v>
      </c>
      <c r="C1007" s="3" t="inlineStr">
        <is>
          <t>Bear</t>
        </is>
      </c>
      <c r="D1007" s="3" t="inlineStr">
        <is>
          <t>inference_power_share</t>
        </is>
      </c>
      <c r="E1007" s="3" t="n">
        <v>0.655</v>
      </c>
      <c r="F1007" s="3" t="inlineStr">
        <is>
          <t>share of AI IT load</t>
        </is>
      </c>
      <c r="G1007" s="3" t="inlineStr">
        <is>
          <t>Scenario allocation</t>
        </is>
      </c>
      <c r="H1007" s="3" t="inlineStr">
        <is>
          <t>inference_gw = ai_it_load_gw * inference_power_share</t>
        </is>
      </c>
      <c r="I1007" s="3" t="inlineStr">
        <is>
          <t>Yuanbao and embedded product surfaces plus Hunyuan Turbo inference-cost direction support rising inference allocation.</t>
        </is>
      </c>
      <c r="J1007" s="3" t="inlineStr">
        <is>
          <t>SRC_TENCENT_HUNYUAN; SRC_TENCENT_HY3; SRC_TENCENT_AI_INFRA_MOE; SRC_EPOCH_AI_DATA_CENTERS; ASSUMP_INFERENCE_SHARE_NOT_FACT_60</t>
        </is>
      </c>
      <c r="K1007" s="3" t="inlineStr">
        <is>
          <t>ASSUMP_CN_CAPACITY_TRANSPARENCY; ASSUMP_APP_EMBEDDING; ASSUMP_NUMERIC_ACCELERATOR_MIX; ASSUMP_INFERENCE_SHARE_NOT_FACT_60; ASSUMP_WORKLOAD_CLASS_MIX; ASSUMP_AGENTIC_CONTEXT_PENALTY</t>
        </is>
      </c>
      <c r="L1007" s="3" t="inlineStr">
        <is>
          <t>Provider-specific inference/training workload power telemetry.</t>
        </is>
      </c>
    </row>
    <row r="1008">
      <c r="A1008" s="3" t="inlineStr">
        <is>
          <t>Tencent</t>
        </is>
      </c>
      <c r="B1008" s="3" t="n">
        <v>2029</v>
      </c>
      <c r="C1008" s="3" t="inlineStr">
        <is>
          <t>Bear</t>
        </is>
      </c>
      <c r="D1008" s="3" t="inlineStr">
        <is>
          <t>inference_gw</t>
        </is>
      </c>
      <c r="E1008" s="3" t="n">
        <v>0.719</v>
      </c>
      <c r="F1008" s="3" t="inlineStr">
        <is>
          <t>GW</t>
        </is>
      </c>
      <c r="G1008" s="3" t="inlineStr">
        <is>
          <t>Derived formula</t>
        </is>
      </c>
      <c r="H1008" s="3" t="inlineStr">
        <is>
          <t>ai_it_load_gw * inference_power_share</t>
        </is>
      </c>
      <c r="I1008" s="3" t="inlineStr">
        <is>
          <t>This is the operational power eligible to become commercial generated output tokens through the selected TPS/MW proxy.</t>
        </is>
      </c>
      <c r="J1008" s="3" t="inlineStr">
        <is>
          <t>SRC_TENCENT_HUNYUAN; SRC_TENCENT_HY3; SRC_TENCENT_AI_INFRA_MOE; SRC_EPOCH_AI_DATA_CENTERS</t>
        </is>
      </c>
      <c r="K1008" s="3" t="inlineStr">
        <is>
          <t>ASSUMP_CN_CAPACITY_TRANSPARENCY; ASSUMP_APP_EMBEDDING; ASSUMP_NUMERIC_ACCELERATOR_MIX; ASSUMP_INFERENCE_SHARE_NOT_FACT_60; ASSUMP_WORKLOAD_CLASS_MIX; ASSUMP_AGENTIC_CONTEXT_PENALTY</t>
        </is>
      </c>
      <c r="L1008" s="3" t="inlineStr">
        <is>
          <t>Recompute after AI allocation or inference-share evidence changes.</t>
        </is>
      </c>
    </row>
    <row r="1009">
      <c r="A1009" s="3" t="inlineStr">
        <is>
          <t>Tencent</t>
        </is>
      </c>
      <c r="B1009" s="3" t="n">
        <v>2029</v>
      </c>
      <c r="C1009" s="3" t="inlineStr">
        <is>
          <t>Bear</t>
        </is>
      </c>
      <c r="D1009" s="3" t="inlineStr">
        <is>
          <t>training_power_share</t>
        </is>
      </c>
      <c r="E1009" s="3" t="n">
        <v>0.345</v>
      </c>
      <c r="F1009" s="3" t="inlineStr">
        <is>
          <t>share of AI IT load</t>
        </is>
      </c>
      <c r="G1009" s="3" t="inlineStr">
        <is>
          <t>Derived allocation</t>
        </is>
      </c>
      <c r="H1009" s="3" t="inlineStr">
        <is>
          <t>1 - inference_power_share</t>
        </is>
      </c>
      <c r="I1009" s="3" t="inlineStr">
        <is>
          <t>Training receives the complementary modeled AI IT allocation; it is not a disclosed company workload split.</t>
        </is>
      </c>
      <c r="J1009" s="3" t="inlineStr">
        <is>
          <t>SRC_TENCENT_HUNYUAN; SRC_TENCENT_HY3; SRC_TENCENT_AI_INFRA_MOE; SRC_EPOCH_AI_DATA_CENTERS; ASSUMP_INFERENCE_SHARE_NOT_FACT_60</t>
        </is>
      </c>
      <c r="K1009" s="3" t="inlineStr">
        <is>
          <t>ASSUMP_CN_CAPACITY_TRANSPARENCY; ASSUMP_APP_EMBEDDING; ASSUMP_NUMERIC_ACCELERATOR_MIX; ASSUMP_INFERENCE_SHARE_NOT_FACT_60; ASSUMP_WORKLOAD_CLASS_MIX; ASSUMP_AGENTIC_CONTEXT_PENALTY</t>
        </is>
      </c>
      <c r="L1009" s="3" t="inlineStr">
        <is>
          <t>Provider-specific inference/training workload power telemetry.</t>
        </is>
      </c>
    </row>
    <row r="1010">
      <c r="A1010" s="3" t="inlineStr">
        <is>
          <t>Tencent</t>
        </is>
      </c>
      <c r="B1010" s="3" t="n">
        <v>2029</v>
      </c>
      <c r="C1010" s="3" t="inlineStr">
        <is>
          <t>Bear</t>
        </is>
      </c>
      <c r="D1010" s="3" t="inlineStr">
        <is>
          <t>training_gw</t>
        </is>
      </c>
      <c r="E1010" s="3" t="n">
        <v>0.379</v>
      </c>
      <c r="F1010" s="3" t="inlineStr">
        <is>
          <t>GW</t>
        </is>
      </c>
      <c r="G1010" s="3" t="inlineStr">
        <is>
          <t>Derived formula</t>
        </is>
      </c>
      <c r="H1010" s="3" t="inlineStr">
        <is>
          <t>ai_it_load_gw * training_power_share</t>
        </is>
      </c>
      <c r="I1010" s="3" t="inlineStr">
        <is>
          <t>Training GW is shown separately so commercial inference token capacity is not overstated.</t>
        </is>
      </c>
      <c r="J1010" s="3" t="inlineStr">
        <is>
          <t>SRC_TENCENT_HUNYUAN; SRC_TENCENT_HY3; SRC_TENCENT_AI_INFRA_MOE; SRC_EPOCH_AI_DATA_CENTERS</t>
        </is>
      </c>
      <c r="K1010" s="3" t="inlineStr">
        <is>
          <t>ASSUMP_CN_CAPACITY_TRANSPARENCY; ASSUMP_APP_EMBEDDING; ASSUMP_NUMERIC_ACCELERATOR_MIX; ASSUMP_INFERENCE_SHARE_NOT_FACT_60; ASSUMP_WORKLOAD_CLASS_MIX; ASSUMP_AGENTIC_CONTEXT_PENALTY</t>
        </is>
      </c>
      <c r="L1010" s="3" t="inlineStr">
        <is>
          <t>Recompute after AI allocation or workload-split evidence changes.</t>
        </is>
      </c>
    </row>
    <row r="1011">
      <c r="A1011" s="3" t="inlineStr">
        <is>
          <t>Tencent</t>
        </is>
      </c>
      <c r="B1011" s="3" t="n">
        <v>2029</v>
      </c>
      <c r="C1011" s="3" t="inlineStr">
        <is>
          <t>Bear</t>
        </is>
      </c>
      <c r="D1011" s="3" t="inlineStr">
        <is>
          <t>tokens_per_second_per_mw</t>
        </is>
      </c>
      <c r="E1011" s="3" t="n">
        <v>1253324</v>
      </c>
      <c r="F1011" s="3" t="inlineStr">
        <is>
          <t>generated output tokens/sec/MW</t>
        </is>
      </c>
      <c r="G1011" s="3" t="inlineStr">
        <is>
          <t>Derived estimate + benchmark calibration</t>
        </is>
      </c>
      <c r="H1011" s="3" t="inlineStr">
        <is>
          <t>fleet_reference_tps_per_mw * commercial_workload_fit_factor</t>
        </is>
      </c>
      <c r="I101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11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1011" s="3" t="inlineStr">
        <is>
          <t>ASSUMP_CN_CAPACITY_TRANSPARENCY; ASSUMP_APP_EMBEDDING; ASSUMP_NUMERIC_ACCELERATOR_MIX; ASSUMP_INFERENCE_SHARE_NOT_FACT_60; ASSUMP_WORKLOAD_CLASS_MIX; ASSUMP_AGENTIC_CONTEXT_PENALTY</t>
        </is>
      </c>
      <c r="L1011" s="3" t="inlineStr">
        <is>
          <t>Comparable production output-token throughput with model, hardware, precision, ISL/OSL and SLO matched.</t>
        </is>
      </c>
    </row>
    <row r="1012">
      <c r="A1012" s="3" t="inlineStr">
        <is>
          <t>Tencent</t>
        </is>
      </c>
      <c r="B1012" s="3" t="n">
        <v>2029</v>
      </c>
      <c r="C1012" s="3" t="inlineStr">
        <is>
          <t>Bear</t>
        </is>
      </c>
      <c r="D1012" s="3" t="inlineStr">
        <is>
          <t>inference_tokens_per_day</t>
        </is>
      </c>
      <c r="E1012" s="3" t="n">
        <v>77858492198400</v>
      </c>
      <c r="F1012" s="3" t="inlineStr">
        <is>
          <t>generated output tokens/day</t>
        </is>
      </c>
      <c r="G1012" s="3" t="inlineStr">
        <is>
          <t>Derived headline metric</t>
        </is>
      </c>
      <c r="H1012" s="3" t="inlineStr">
        <is>
          <t>inference_gw * 1000 * tokens_per_second_per_mw * 86,400</t>
        </is>
      </c>
      <c r="I1012" s="3" t="inlineStr">
        <is>
          <t>Headline capacity uses no utilization, MoE, architecture or software-growth multiplier; it is not observed commercial output volume.</t>
        </is>
      </c>
      <c r="J1012" s="3" t="inlineStr">
        <is>
          <t>SRC_TENCENT_HUNYUAN; SRC_TENCENT_HY3; SRC_TENCENT_AI_INFRA_MOE; SRC_EPOCH_AI_DATA_CENTERS; SRC_SEMIANALYSIS_INFERENCEX</t>
        </is>
      </c>
      <c r="K1012" s="3" t="inlineStr">
        <is>
          <t>ASSUMP_CN_CAPACITY_TRANSPARENCY; ASSUMP_APP_EMBEDDING; ASSUMP_NUMERIC_ACCELERATOR_MIX; ASSUMP_INFERENCE_SHARE_NOT_FACT_60; ASSUMP_WORKLOAD_CLASS_MIX; ASSUMP_AGENTIC_CONTEXT_PENALTY</t>
        </is>
      </c>
      <c r="L1012" s="3" t="inlineStr">
        <is>
          <t>Provider-disclosed generated output token volume or calibrated capacity telemetry.</t>
        </is>
      </c>
    </row>
    <row r="1013">
      <c r="A1013" s="3" t="inlineStr">
        <is>
          <t>Tencent</t>
        </is>
      </c>
      <c r="B1013" s="3" t="n">
        <v>2029</v>
      </c>
      <c r="C1013" s="3" t="inlineStr">
        <is>
          <t>Bear</t>
        </is>
      </c>
      <c r="D1013" s="3" t="inlineStr">
        <is>
          <t>inference_tokens_per_year</t>
        </is>
      </c>
      <c r="E1013" s="3" t="n">
        <v>2.8418349652416e+16</v>
      </c>
      <c r="F1013" s="3" t="inlineStr">
        <is>
          <t>generated output tokens/year</t>
        </is>
      </c>
      <c r="G1013" s="3" t="inlineStr">
        <is>
          <t>Derived headline metric</t>
        </is>
      </c>
      <c r="H1013" s="3" t="inlineStr">
        <is>
          <t>inference_tokens_per_day * 365</t>
        </is>
      </c>
      <c r="I1013" s="3" t="inlineStr">
        <is>
          <t>Annualized version of generated output token capacity; it is not observed annual demand or billable volume.</t>
        </is>
      </c>
      <c r="J1013" s="3" t="inlineStr">
        <is>
          <t>SRC_TENCENT_HUNYUAN; SRC_TENCENT_HY3; SRC_TENCENT_AI_INFRA_MOE; SRC_EPOCH_AI_DATA_CENTERS; SRC_SEMIANALYSIS_INFERENCEX</t>
        </is>
      </c>
      <c r="K1013" s="3" t="inlineStr">
        <is>
          <t>ASSUMP_CN_CAPACITY_TRANSPARENCY; ASSUMP_APP_EMBEDDING; ASSUMP_NUMERIC_ACCELERATOR_MIX; ASSUMP_INFERENCE_SHARE_NOT_FACT_60; ASSUMP_WORKLOAD_CLASS_MIX; ASSUMP_AGENTIC_CONTEXT_PENALTY</t>
        </is>
      </c>
      <c r="L1013" s="3" t="inlineStr">
        <is>
          <t>Provider-disclosed annual generated-output volume or metered serving telemetry.</t>
        </is>
      </c>
    </row>
    <row r="1014">
      <c r="A1014" s="3" t="inlineStr">
        <is>
          <t>Tencent</t>
        </is>
      </c>
      <c r="B1014" s="3" t="n">
        <v>2030</v>
      </c>
      <c r="C1014" s="3" t="inlineStr">
        <is>
          <t>Bear</t>
        </is>
      </c>
      <c r="D1014" s="3" t="inlineStr">
        <is>
          <t>contracted_power_gw</t>
        </is>
      </c>
      <c r="E1014" s="3" t="n">
        <v>3</v>
      </c>
      <c r="F1014" s="3" t="inlineStr">
        <is>
          <t>GW</t>
        </is>
      </c>
      <c r="G1014" s="3" t="inlineStr">
        <is>
          <t>Scenario capacity envelope</t>
        </is>
      </c>
      <c r="H1014" s="3" t="inlineStr">
        <is>
          <t>linear interpolation between 2026 and 2030 company capacity endpoints</t>
        </is>
      </c>
      <c r="I1014" s="3" t="inlineStr">
        <is>
          <t>Tencent Cloud/Hunyuan capacity is a scenario envelope because operated model-serving GW is undisclosed.</t>
        </is>
      </c>
      <c r="J1014" s="3" t="inlineStr">
        <is>
          <t>SRC_TENCENT_AI_INFRA_MOE; ASSUMP_CN_CAPACITY_TRANSPARENCY</t>
        </is>
      </c>
      <c r="K1014" s="3" t="inlineStr">
        <is>
          <t>ASSUMP_CN_CAPACITY_TRANSPARENCY; ASSUMP_APP_EMBEDDING; ASSUMP_NUMERIC_ACCELERATOR_MIX; ASSUMP_INFERENCE_SHARE_NOT_FACT_60; ASSUMP_WORKLOAD_CLASS_MIX; ASSUMP_AGENTIC_CONTEXT_PENALTY</t>
        </is>
      </c>
      <c r="L1014" s="3" t="inlineStr">
        <is>
          <t>Company/site-level committed MW/GW, interconnect and contract disclosure.</t>
        </is>
      </c>
    </row>
    <row r="1015">
      <c r="A1015" s="3" t="inlineStr">
        <is>
          <t>Tencent</t>
        </is>
      </c>
      <c r="B1015" s="3" t="n">
        <v>2030</v>
      </c>
      <c r="C1015" s="3" t="inlineStr">
        <is>
          <t>Bear</t>
        </is>
      </c>
      <c r="D1015" s="3" t="inlineStr">
        <is>
          <t>operational_deployment_share</t>
        </is>
      </c>
      <c r="E1015" s="3" t="n">
        <v>0.656</v>
      </c>
      <c r="F1015" s="3" t="inlineStr">
        <is>
          <t>share</t>
        </is>
      </c>
      <c r="G1015" s="3" t="inlineStr">
        <is>
          <t>Scenario conversion</t>
        </is>
      </c>
      <c r="H1015" s="3" t="inlineStr">
        <is>
          <t>active_power_gw / contracted_power_gw</t>
        </is>
      </c>
      <c r="I1015" s="3" t="inlineStr">
        <is>
          <t>This is the single explicit conversion from contracted/attributed capacity to operationally usable capacity.</t>
        </is>
      </c>
      <c r="J1015" s="3" t="inlineStr">
        <is>
          <t>SRC_TENCENT_AI_INFRA_MOE; ASSUMP_CN_CAPACITY_TRANSPARENCY</t>
        </is>
      </c>
      <c r="K1015" s="3" t="inlineStr">
        <is>
          <t>ASSUMP_CN_CAPACITY_TRANSPARENCY; ASSUMP_APP_EMBEDDING; ASSUMP_NUMERIC_ACCELERATOR_MIX; ASSUMP_INFERENCE_SHARE_NOT_FACT_60; ASSUMP_WORKLOAD_CLASS_MIX; ASSUMP_AGENTIC_CONTEXT_PENALTY</t>
        </is>
      </c>
      <c r="L1015" s="3" t="inlineStr">
        <is>
          <t>Energized operational capacity divided by contracted/attributed capacity.</t>
        </is>
      </c>
    </row>
    <row r="1016">
      <c r="A1016" s="3" t="inlineStr">
        <is>
          <t>Tencent</t>
        </is>
      </c>
      <c r="B1016" s="3" t="n">
        <v>2030</v>
      </c>
      <c r="C1016" s="3" t="inlineStr">
        <is>
          <t>Bear</t>
        </is>
      </c>
      <c r="D1016" s="3" t="inlineStr">
        <is>
          <t>active_power_gw</t>
        </is>
      </c>
      <c r="E1016" s="3" t="n">
        <v>1.968</v>
      </c>
      <c r="F1016" s="3" t="inlineStr">
        <is>
          <t>GW</t>
        </is>
      </c>
      <c r="G1016" s="3" t="inlineStr">
        <is>
          <t>Derived scenario</t>
        </is>
      </c>
      <c r="H1016" s="3" t="inlineStr">
        <is>
          <t>contracted_power_gw * operational_deployment_share</t>
        </is>
      </c>
      <c r="I1016" s="3" t="inlineStr">
        <is>
          <t>Active GW reflects staged Hunyuan/Yuanbao adoption rather than a reported powered fleet.</t>
        </is>
      </c>
      <c r="J1016" s="3" t="inlineStr">
        <is>
          <t>SRC_TENCENT_AI_INFRA_MOE; ASSUMP_CN_CAPACITY_TRANSPARENCY</t>
        </is>
      </c>
      <c r="K1016" s="3" t="inlineStr">
        <is>
          <t>ASSUMP_CN_CAPACITY_TRANSPARENCY; ASSUMP_APP_EMBEDDING; ASSUMP_NUMERIC_ACCELERATOR_MIX; ASSUMP_INFERENCE_SHARE_NOT_FACT_60; ASSUMP_WORKLOAD_CLASS_MIX; ASSUMP_AGENTIC_CONTEXT_PENALTY</t>
        </is>
      </c>
      <c r="L1016" s="3" t="inlineStr">
        <is>
          <t>Energization dates, accelerator deliveries and operational powered-rack telemetry.</t>
        </is>
      </c>
    </row>
    <row r="1017">
      <c r="A1017" s="3" t="inlineStr">
        <is>
          <t>Tencent</t>
        </is>
      </c>
      <c r="B1017" s="3" t="n">
        <v>2030</v>
      </c>
      <c r="C1017" s="3" t="inlineStr">
        <is>
          <t>Bear</t>
        </is>
      </c>
      <c r="D1017" s="3" t="inlineStr">
        <is>
          <t>pue</t>
        </is>
      </c>
      <c r="E1017" s="3" t="n">
        <v>1.23</v>
      </c>
      <c r="F1017" s="3" t="inlineStr">
        <is>
          <t>ratio</t>
        </is>
      </c>
      <c r="G1017" s="3" t="inlineStr">
        <is>
          <t>Scenario parameter</t>
        </is>
      </c>
      <c r="H1017" s="3" t="inlineStr">
        <is>
          <t>it_load_gw = active_power_gw / pue</t>
        </is>
      </c>
      <c r="I1017" s="3" t="inlineStr">
        <is>
          <t>No provider-wide site-level PUE is used as a disclosed fact; PUE represents facility-to-IT conversion within the scenario.</t>
        </is>
      </c>
      <c r="J1017" s="3" t="inlineStr">
        <is>
          <t>ASSUMP_POWER_RAMP</t>
        </is>
      </c>
      <c r="K1017" s="3" t="inlineStr">
        <is>
          <t>ASSUMP_CN_CAPACITY_TRANSPARENCY; ASSUMP_APP_EMBEDDING; ASSUMP_NUMERIC_ACCELERATOR_MIX; ASSUMP_INFERENCE_SHARE_NOT_FACT_60; ASSUMP_WORKLOAD_CLASS_MIX; ASSUMP_AGENTIC_CONTEXT_PENALTY</t>
        </is>
      </c>
      <c r="L1017" s="3" t="inlineStr">
        <is>
          <t>Site-level measured PUE matched to attributed AI capacity.</t>
        </is>
      </c>
    </row>
    <row r="1018">
      <c r="A1018" s="3" t="inlineStr">
        <is>
          <t>Tencent</t>
        </is>
      </c>
      <c r="B1018" s="3" t="n">
        <v>2030</v>
      </c>
      <c r="C1018" s="3" t="inlineStr">
        <is>
          <t>Bear</t>
        </is>
      </c>
      <c r="D1018" s="3" t="inlineStr">
        <is>
          <t>it_load_gw</t>
        </is>
      </c>
      <c r="E1018" s="3" t="n">
        <v>1.6</v>
      </c>
      <c r="F1018" s="3" t="inlineStr">
        <is>
          <t>GW</t>
        </is>
      </c>
      <c r="G1018" s="3" t="inlineStr">
        <is>
          <t>Derived formula</t>
        </is>
      </c>
      <c r="H1018" s="3" t="inlineStr">
        <is>
          <t>active_power_gw / pue</t>
        </is>
      </c>
      <c r="I1018" s="3" t="inlineStr">
        <is>
          <t>Facility power is converted to IT-deliverable power before attributing AI workloads.</t>
        </is>
      </c>
      <c r="J1018" s="3" t="inlineStr">
        <is>
          <t>SRC_TENCENT_AI_INFRA_MOE; ASSUMP_CN_CAPACITY_TRANSPARENCY</t>
        </is>
      </c>
      <c r="K1018" s="3" t="inlineStr">
        <is>
          <t>ASSUMP_CN_CAPACITY_TRANSPARENCY; ASSUMP_APP_EMBEDDING; ASSUMP_NUMERIC_ACCELERATOR_MIX; ASSUMP_INFERENCE_SHARE_NOT_FACT_60; ASSUMP_WORKLOAD_CLASS_MIX; ASSUMP_AGENTIC_CONTEXT_PENALTY</t>
        </is>
      </c>
      <c r="L1018" s="3" t="inlineStr">
        <is>
          <t>Recompute once active power and PUE become site-observable.</t>
        </is>
      </c>
    </row>
    <row r="1019">
      <c r="A1019" s="3" t="inlineStr">
        <is>
          <t>Tencent</t>
        </is>
      </c>
      <c r="B1019" s="3" t="n">
        <v>2030</v>
      </c>
      <c r="C1019" s="3" t="inlineStr">
        <is>
          <t>Bear</t>
        </is>
      </c>
      <c r="D1019" s="3" t="inlineStr">
        <is>
          <t>ai_workload_share</t>
        </is>
      </c>
      <c r="E1019" s="3" t="n">
        <v>0.84</v>
      </c>
      <c r="F1019" s="3" t="inlineStr">
        <is>
          <t>share</t>
        </is>
      </c>
      <c r="G1019" s="3" t="inlineStr">
        <is>
          <t>Scenario allocation</t>
        </is>
      </c>
      <c r="H1019" s="3" t="inlineStr">
        <is>
          <t>ai_it_load_gw = it_load_gw * ai_workload_share</t>
        </is>
      </c>
      <c r="I1019" s="3" t="inlineStr">
        <is>
          <t>Modeled Hunyuan-serving capacity is AI-focused; 84% excludes cloud/platform and reserve overhead.</t>
        </is>
      </c>
      <c r="J1019" s="3" t="inlineStr">
        <is>
          <t>SRC_TENCENT_HUNYUAN; SRC_TENCENT_HY3; SRC_TENCENT_AI_INFRA_MOE; SRC_EPOCH_AI_DATA_CENTERS</t>
        </is>
      </c>
      <c r="K1019" s="3" t="inlineStr">
        <is>
          <t>ASSUMP_CN_CAPACITY_TRANSPARENCY; ASSUMP_APP_EMBEDDING; ASSUMP_NUMERIC_ACCELERATOR_MIX; ASSUMP_INFERENCE_SHARE_NOT_FACT_60; ASSUMP_WORKLOAD_CLASS_MIX; ASSUMP_AGENTIC_CONTEXT_PENALTY</t>
        </is>
      </c>
      <c r="L1019" s="3" t="inlineStr">
        <is>
          <t>Model-owner AI workload allocation or cluster scheduling telemetry.</t>
        </is>
      </c>
    </row>
    <row r="1020">
      <c r="A1020" s="3" t="inlineStr">
        <is>
          <t>Tencent</t>
        </is>
      </c>
      <c r="B1020" s="3" t="n">
        <v>2030</v>
      </c>
      <c r="C1020" s="3" t="inlineStr">
        <is>
          <t>Bear</t>
        </is>
      </c>
      <c r="D1020" s="3" t="inlineStr">
        <is>
          <t>ai_it_load_gw</t>
        </is>
      </c>
      <c r="E1020" s="3" t="n">
        <v>1.344</v>
      </c>
      <c r="F1020" s="3" t="inlineStr">
        <is>
          <t>GW</t>
        </is>
      </c>
      <c r="G1020" s="3" t="inlineStr">
        <is>
          <t>Derived formula</t>
        </is>
      </c>
      <c r="H1020" s="3" t="inlineStr">
        <is>
          <t>it_load_gw * ai_workload_share</t>
        </is>
      </c>
      <c r="I1020" s="3" t="inlineStr">
        <is>
          <t>Only the AI-attributed portion of IT load enters training/inference allocation.</t>
        </is>
      </c>
      <c r="J1020" s="3" t="inlineStr">
        <is>
          <t>SRC_TENCENT_HUNYUAN; SRC_TENCENT_HY3; SRC_TENCENT_AI_INFRA_MOE; SRC_EPOCH_AI_DATA_CENTERS</t>
        </is>
      </c>
      <c r="K1020" s="3" t="inlineStr">
        <is>
          <t>ASSUMP_CN_CAPACITY_TRANSPARENCY; ASSUMP_APP_EMBEDDING; ASSUMP_NUMERIC_ACCELERATOR_MIX; ASSUMP_INFERENCE_SHARE_NOT_FACT_60; ASSUMP_WORKLOAD_CLASS_MIX; ASSUMP_AGENTIC_CONTEXT_PENALTY</t>
        </is>
      </c>
      <c r="L1020" s="3" t="inlineStr">
        <is>
          <t>Recompute after ai_workload_share is replaced by telemetry.</t>
        </is>
      </c>
    </row>
    <row r="1021">
      <c r="A1021" s="3" t="inlineStr">
        <is>
          <t>Tencent</t>
        </is>
      </c>
      <c r="B1021" s="3" t="n">
        <v>2030</v>
      </c>
      <c r="C1021" s="3" t="inlineStr">
        <is>
          <t>Bear</t>
        </is>
      </c>
      <c r="D1021" s="3" t="inlineStr">
        <is>
          <t>gpu_share</t>
        </is>
      </c>
      <c r="E1021" s="3" t="n">
        <v>1</v>
      </c>
      <c r="F1021" s="3" t="inlineStr">
        <is>
          <t>share of inference-serving accelerator load</t>
        </is>
      </c>
      <c r="G1021" s="3" t="inlineStr">
        <is>
          <t>Numeric scenario</t>
        </is>
      </c>
      <c r="H1021" s="3" t="inlineStr">
        <is>
          <t>gpu_share interpolated from company 2026/2030 accelerator-mix endpoints</t>
        </is>
      </c>
      <c r="I1021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021" s="3" t="inlineStr">
        <is>
          <t>SRC_TENCENT_HUNYUAN; SRC_TENCENT_HY3; SRC_TENCENT_AI_INFRA_MOE; SRC_EPOCH_AI_DATA_CENTERS; ASSUMP_NUMERIC_ACCELERATOR_MIX</t>
        </is>
      </c>
      <c r="K1021" s="3" t="inlineStr">
        <is>
          <t>ASSUMP_CN_CAPACITY_TRANSPARENCY; ASSUMP_APP_EMBEDDING; ASSUMP_NUMERIC_ACCELERATOR_MIX; ASSUMP_INFERENCE_SHARE_NOT_FACT_60; ASSUMP_WORKLOAD_CLASS_MIX; ASSUMP_AGENTIC_CONTEXT_PENALTY</t>
        </is>
      </c>
      <c r="L1021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022">
      <c r="A1022" s="3" t="inlineStr">
        <is>
          <t>Tencent</t>
        </is>
      </c>
      <c r="B1022" s="3" t="n">
        <v>2030</v>
      </c>
      <c r="C1022" s="3" t="inlineStr">
        <is>
          <t>Bear</t>
        </is>
      </c>
      <c r="D1022" s="3" t="inlineStr">
        <is>
          <t>h200_share</t>
        </is>
      </c>
      <c r="E1022" s="3" t="n">
        <v>0.1</v>
      </c>
      <c r="F1022" s="3" t="inlineStr">
        <is>
          <t>share of inference-serving accelerator load</t>
        </is>
      </c>
      <c r="G1022" s="3" t="inlineStr">
        <is>
          <t>Editable numeric scenario</t>
        </is>
      </c>
      <c r="H1022" s="3" t="inlineStr">
        <is>
          <t>h200_share = gpu_share * default_gpu_generation_mix_h200</t>
        </is>
      </c>
      <c r="I1022" s="3" t="inlineStr">
        <is>
          <t>Default GPU-generation migration assumption; executive workbook allows later manual replacement by company/year/scenario.</t>
        </is>
      </c>
      <c r="J1022" s="3" t="inlineStr">
        <is>
          <t>SRC_SEMIANALYSIS_INFERENCEX; ASSUMP_NUMERIC_ACCELERATOR_MIX</t>
        </is>
      </c>
      <c r="K1022" s="3" t="inlineStr">
        <is>
          <t>ASSUMP_CN_CAPACITY_TRANSPARENCY; ASSUMP_APP_EMBEDDING; ASSUMP_NUMERIC_ACCELERATOR_MIX; ASSUMP_INFERENCE_SHARE_NOT_FACT_60; ASSUMP_WORKLOAD_CLASS_MIX; ASSUMP_AGENTIC_CONTEXT_PENALTY</t>
        </is>
      </c>
      <c r="L1022" s="3" t="inlineStr">
        <is>
          <t>Company fleet inventory, accelerator-hours or procurement/deployment records by GPU generation.</t>
        </is>
      </c>
    </row>
    <row r="1023">
      <c r="A1023" s="3" t="inlineStr">
        <is>
          <t>Tencent</t>
        </is>
      </c>
      <c r="B1023" s="3" t="n">
        <v>2030</v>
      </c>
      <c r="C1023" s="3" t="inlineStr">
        <is>
          <t>Bear</t>
        </is>
      </c>
      <c r="D1023" s="3" t="inlineStr">
        <is>
          <t>b200_share</t>
        </is>
      </c>
      <c r="E1023" s="3" t="n">
        <v>0.35</v>
      </c>
      <c r="F1023" s="3" t="inlineStr">
        <is>
          <t>share of inference-serving accelerator load</t>
        </is>
      </c>
      <c r="G1023" s="3" t="inlineStr">
        <is>
          <t>Editable numeric scenario</t>
        </is>
      </c>
      <c r="H1023" s="3" t="inlineStr">
        <is>
          <t>b200_share = gpu_share * default_gpu_generation_mix_b200</t>
        </is>
      </c>
      <c r="I1023" s="3" t="inlineStr">
        <is>
          <t>Default GPU-generation migration assumption; executive workbook allows later manual replacement by company/year/scenario.</t>
        </is>
      </c>
      <c r="J1023" s="3" t="inlineStr">
        <is>
          <t>SRC_SEMIANALYSIS_INFERENCEX; ASSUMP_NUMERIC_ACCELERATOR_MIX</t>
        </is>
      </c>
      <c r="K1023" s="3" t="inlineStr">
        <is>
          <t>ASSUMP_CN_CAPACITY_TRANSPARENCY; ASSUMP_APP_EMBEDDING; ASSUMP_NUMERIC_ACCELERATOR_MIX; ASSUMP_INFERENCE_SHARE_NOT_FACT_60; ASSUMP_WORKLOAD_CLASS_MIX; ASSUMP_AGENTIC_CONTEXT_PENALTY</t>
        </is>
      </c>
      <c r="L1023" s="3" t="inlineStr">
        <is>
          <t>Company fleet inventory, accelerator-hours or procurement/deployment records by GPU generation.</t>
        </is>
      </c>
    </row>
    <row r="1024">
      <c r="A1024" s="3" t="inlineStr">
        <is>
          <t>Tencent</t>
        </is>
      </c>
      <c r="B1024" s="3" t="n">
        <v>2030</v>
      </c>
      <c r="C1024" s="3" t="inlineStr">
        <is>
          <t>Bear</t>
        </is>
      </c>
      <c r="D1024" s="3" t="inlineStr">
        <is>
          <t>gb200_share</t>
        </is>
      </c>
      <c r="E1024" s="3" t="n">
        <v>0.55</v>
      </c>
      <c r="F1024" s="3" t="inlineStr">
        <is>
          <t>share of inference-serving accelerator load</t>
        </is>
      </c>
      <c r="G1024" s="3" t="inlineStr">
        <is>
          <t>Editable numeric scenario</t>
        </is>
      </c>
      <c r="H1024" s="3" t="inlineStr">
        <is>
          <t>gb200_share = gpu_share * default_gpu_generation_mix_gb200</t>
        </is>
      </c>
      <c r="I1024" s="3" t="inlineStr">
        <is>
          <t>Default GPU-generation migration assumption; executive workbook allows later manual replacement by company/year/scenario.</t>
        </is>
      </c>
      <c r="J1024" s="3" t="inlineStr">
        <is>
          <t>SRC_SEMIANALYSIS_INFERENCEX; ASSUMP_NUMERIC_ACCELERATOR_MIX</t>
        </is>
      </c>
      <c r="K1024" s="3" t="inlineStr">
        <is>
          <t>ASSUMP_CN_CAPACITY_TRANSPARENCY; ASSUMP_APP_EMBEDDING; ASSUMP_NUMERIC_ACCELERATOR_MIX; ASSUMP_INFERENCE_SHARE_NOT_FACT_60; ASSUMP_WORKLOAD_CLASS_MIX; ASSUMP_AGENTIC_CONTEXT_PENALTY</t>
        </is>
      </c>
      <c r="L1024" s="3" t="inlineStr">
        <is>
          <t>Company fleet inventory, accelerator-hours or procurement/deployment records by GPU generation.</t>
        </is>
      </c>
    </row>
    <row r="1025">
      <c r="A1025" s="3" t="inlineStr">
        <is>
          <t>Tencent</t>
        </is>
      </c>
      <c r="B1025" s="3" t="n">
        <v>2030</v>
      </c>
      <c r="C1025" s="3" t="inlineStr">
        <is>
          <t>Bear</t>
        </is>
      </c>
      <c r="D1025" s="3" t="inlineStr">
        <is>
          <t>purpose_built_accelerator_share</t>
        </is>
      </c>
      <c r="E1025" s="3" t="n">
        <v>0</v>
      </c>
      <c r="F1025" s="3" t="inlineStr">
        <is>
          <t>share of inference-serving accelerator load</t>
        </is>
      </c>
      <c r="G1025" s="3" t="inlineStr">
        <is>
          <t>Numeric scenario</t>
        </is>
      </c>
      <c r="H1025" s="3" t="inlineStr">
        <is>
          <t>1 - gpu_share</t>
        </is>
      </c>
      <c r="I1025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025" s="3" t="inlineStr">
        <is>
          <t>SRC_TENCENT_HUNYUAN; SRC_TENCENT_HY3; SRC_TENCENT_AI_INFRA_MOE; SRC_EPOCH_AI_DATA_CENTERS; ASSUMP_NUMERIC_ACCELERATOR_MIX</t>
        </is>
      </c>
      <c r="K1025" s="3" t="inlineStr">
        <is>
          <t>ASSUMP_CN_CAPACITY_TRANSPARENCY; ASSUMP_APP_EMBEDDING; ASSUMP_NUMERIC_ACCELERATOR_MIX; ASSUMP_INFERENCE_SHARE_NOT_FACT_60; ASSUMP_WORKLOAD_CLASS_MIX; ASSUMP_AGENTIC_CONTEXT_PENALTY</t>
        </is>
      </c>
      <c r="L1025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026">
      <c r="A1026" s="3" t="inlineStr">
        <is>
          <t>Tencent</t>
        </is>
      </c>
      <c r="B1026" s="3" t="n">
        <v>2030</v>
      </c>
      <c r="C1026" s="3" t="inlineStr">
        <is>
          <t>Bear</t>
        </is>
      </c>
      <c r="D1026" s="3" t="inlineStr">
        <is>
          <t>fleet_reference_tps_per_mw</t>
        </is>
      </c>
      <c r="E1026" s="3" t="n">
        <v>3392622</v>
      </c>
      <c r="F1026" s="3" t="inlineStr">
        <is>
          <t>generated output tokens/sec/MW</t>
        </is>
      </c>
      <c r="G1026" s="3" t="inlineStr">
        <is>
          <t>Fleet-weighted public benchmark reference</t>
        </is>
      </c>
      <c r="H1026" s="3" t="inlineStr">
        <is>
          <t>h200_share*h200_workload_avg + b200_share*b200_workload_avg + gb200_share*gb200_workload_avg + purpose_built_share*purpose_workload_avg</t>
        </is>
      </c>
      <c r="I102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26" s="3" t="inlineStr">
        <is>
          <t>SRC_SEMIANALYSIS_INFERENCEX; ASSUMP_NUMERIC_ACCELERATOR_MIX; ASSUMP_WORKLOAD_CLASS_MIX; ASSUMP_AGENTIC_CONTEXT_PENALTY</t>
        </is>
      </c>
      <c r="K1026" s="3" t="inlineStr">
        <is>
          <t>ASSUMP_CN_CAPACITY_TRANSPARENCY; ASSUMP_APP_EMBEDDING; ASSUMP_NUMERIC_ACCELERATOR_MIX; ASSUMP_INFERENCE_SHARE_NOT_FACT_60; ASSUMP_WORKLOAD_CLASS_MIX; ASSUMP_AGENTIC_CONTEXT_PENALTY</t>
        </is>
      </c>
      <c r="L1026" s="3" t="inlineStr">
        <is>
          <t>Comparable production output-token throughput or a more closely matched benchmark.</t>
        </is>
      </c>
    </row>
    <row r="1027">
      <c r="A1027" s="3" t="inlineStr">
        <is>
          <t>Tencent</t>
        </is>
      </c>
      <c r="B1027" s="3" t="n">
        <v>2030</v>
      </c>
      <c r="C1027" s="3" t="inlineStr">
        <is>
          <t>Bear</t>
        </is>
      </c>
      <c r="D1027" s="3" t="inlineStr">
        <is>
          <t>commercial_workload_fit_factor</t>
        </is>
      </c>
      <c r="E1027" s="3" t="n">
        <v>0.4</v>
      </c>
      <c r="F1027" s="3" t="inlineStr">
        <is>
          <t>share of public reference throughput</t>
        </is>
      </c>
      <c r="G1027" s="3" t="inlineStr">
        <is>
          <t>Scenario assumption</t>
        </is>
      </c>
      <c r="H1027" s="3" t="inlineStr">
        <is>
          <t>reference_serving_tps_per_mw = fleet_reference_tps_per_mw * commercial_workload_fit_factor</t>
        </is>
      </c>
      <c r="I102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027" s="3" t="inlineStr">
        <is>
          <t>SRC_SEMIANALYSIS_INFERENCEX; ASSUMP_NUMERIC_ACCELERATOR_MIX; ASSUMP_WORKLOAD_CLASS_MIX; ASSUMP_AGENTIC_CONTEXT_PENALTY</t>
        </is>
      </c>
      <c r="K1027" s="3" t="inlineStr">
        <is>
          <t>ASSUMP_CN_CAPACITY_TRANSPARENCY; ASSUMP_APP_EMBEDDING; ASSUMP_NUMERIC_ACCELERATOR_MIX; ASSUMP_INFERENCE_SHARE_NOT_FACT_60; ASSUMP_WORKLOAD_CLASS_MIX; ASSUMP_AGENTIC_CONTEXT_PENALTY</t>
        </is>
      </c>
      <c r="L1027" s="3" t="inlineStr">
        <is>
          <t>Matched commercial serving benchmark by product surface, context shape and latency SLO.</t>
        </is>
      </c>
    </row>
    <row r="1028">
      <c r="A1028" s="3" t="inlineStr">
        <is>
          <t>Tencent</t>
        </is>
      </c>
      <c r="B1028" s="3" t="n">
        <v>2030</v>
      </c>
      <c r="C1028" s="3" t="inlineStr">
        <is>
          <t>Bear</t>
        </is>
      </c>
      <c r="D1028" s="3" t="inlineStr">
        <is>
          <t>reference_serving_tps_per_mw</t>
        </is>
      </c>
      <c r="E1028" s="3" t="n">
        <v>1357049</v>
      </c>
      <c r="F1028" s="3" t="inlineStr">
        <is>
          <t>generated output tokens/sec/MW</t>
        </is>
      </c>
      <c r="G1028" s="3" t="inlineStr">
        <is>
          <t>Workload-adjusted benchmark proxy</t>
        </is>
      </c>
      <c r="H1028" s="3" t="inlineStr">
        <is>
          <t>fleet_reference_tps_per_mw * commercial_workload_fit_factor</t>
        </is>
      </c>
      <c r="I1028" s="3" t="inlineStr">
        <is>
          <t>This is the coefficient used for headline token generation; each GPU's short chat, long chat and agentic TPS/MW are weighted before fleet mix and commercial fit are applied.</t>
        </is>
      </c>
      <c r="J1028" s="3" t="inlineStr">
        <is>
          <t>SRC_SEMIANALYSIS_INFERENCEX; ASSUMP_NUMERIC_ACCELERATOR_MIX; ASSUMP_WORKLOAD_CLASS_MIX; ASSUMP_AGENTIC_CONTEXT_PENALTY</t>
        </is>
      </c>
      <c r="K1028" s="3" t="inlineStr">
        <is>
          <t>ASSUMP_CN_CAPACITY_TRANSPARENCY; ASSUMP_APP_EMBEDDING; ASSUMP_NUMERIC_ACCELERATOR_MIX; ASSUMP_INFERENCE_SHARE_NOT_FACT_60; ASSUMP_WORKLOAD_CLASS_MIX; ASSUMP_AGENTIC_CONTEXT_PENALTY</t>
        </is>
      </c>
      <c r="L1028" s="3" t="inlineStr">
        <is>
          <t>Provider production output-token throughput with comparable workload/SLO.</t>
        </is>
      </c>
    </row>
    <row r="1029">
      <c r="A1029" s="3" t="inlineStr">
        <is>
          <t>Tencent</t>
        </is>
      </c>
      <c r="B1029" s="3" t="n">
        <v>2030</v>
      </c>
      <c r="C1029" s="3" t="inlineStr">
        <is>
          <t>Bear</t>
        </is>
      </c>
      <c r="D1029" s="3" t="inlineStr">
        <is>
          <t>purpose_built_tps_per_mw</t>
        </is>
      </c>
      <c r="E1029" s="3" t="n">
        <v>1806787</v>
      </c>
      <c r="F1029" s="3" t="inlineStr">
        <is>
          <t>generated output tokens/sec/MW</t>
        </is>
      </c>
      <c r="G1029" s="3" t="inlineStr">
        <is>
          <t>Conservative no-uplift proxy</t>
        </is>
      </c>
      <c r="H1029" s="3" t="inlineStr">
        <is>
          <t>purpose_built_tps_per_mw = purpose_built_reference_tps_per_mw * commercial_workload_fit_factor until comparable output-token benchmark is adopted</t>
        </is>
      </c>
      <c r="I1029" s="3" t="inlineStr">
        <is>
          <t>No comparable public output-token/MW row adopted; B200 public reference placeholder is used and remains editable.</t>
        </is>
      </c>
      <c r="J1029" s="3" t="inlineStr">
        <is>
          <t>SRC_TENCENT_HUNYUAN; SRC_TENCENT_HY3; SRC_TENCENT_AI_INFRA_MOE; SRC_EPOCH_AI_DATA_CENTERS; ASSUMP_NUMERIC_ACCELERATOR_MIX</t>
        </is>
      </c>
      <c r="K1029" s="3" t="inlineStr">
        <is>
          <t>ASSUMP_CN_CAPACITY_TRANSPARENCY; ASSUMP_APP_EMBEDDING; ASSUMP_NUMERIC_ACCELERATOR_MIX; ASSUMP_INFERENCE_SHARE_NOT_FACT_60; ASSUMP_WORKLOAD_CLASS_MIX; ASSUMP_AGENTIC_CONTEXT_PENALTY</t>
        </is>
      </c>
      <c r="L1029" s="3" t="inlineStr">
        <is>
          <t>Matched-workload generated-output benchmark for the provider purpose-built accelerator.</t>
        </is>
      </c>
    </row>
    <row r="1030">
      <c r="A1030" s="3" t="inlineStr">
        <is>
          <t>Tencent</t>
        </is>
      </c>
      <c r="B1030" s="3" t="n">
        <v>2030</v>
      </c>
      <c r="C1030" s="3" t="inlineStr">
        <is>
          <t>Bear</t>
        </is>
      </c>
      <c r="D1030" s="3" t="inlineStr">
        <is>
          <t>inference_power_share</t>
        </is>
      </c>
      <c r="E1030" s="3" t="n">
        <v>0.7</v>
      </c>
      <c r="F1030" s="3" t="inlineStr">
        <is>
          <t>share of AI IT load</t>
        </is>
      </c>
      <c r="G1030" s="3" t="inlineStr">
        <is>
          <t>Scenario allocation</t>
        </is>
      </c>
      <c r="H1030" s="3" t="inlineStr">
        <is>
          <t>inference_gw = ai_it_load_gw * inference_power_share</t>
        </is>
      </c>
      <c r="I1030" s="3" t="inlineStr">
        <is>
          <t>Yuanbao and embedded product surfaces plus Hunyuan Turbo inference-cost direction support rising inference allocation.</t>
        </is>
      </c>
      <c r="J1030" s="3" t="inlineStr">
        <is>
          <t>SRC_TENCENT_HUNYUAN; SRC_TENCENT_HY3; SRC_TENCENT_AI_INFRA_MOE; SRC_EPOCH_AI_DATA_CENTERS; ASSUMP_INFERENCE_SHARE_NOT_FACT_60</t>
        </is>
      </c>
      <c r="K1030" s="3" t="inlineStr">
        <is>
          <t>ASSUMP_CN_CAPACITY_TRANSPARENCY; ASSUMP_APP_EMBEDDING; ASSUMP_NUMERIC_ACCELERATOR_MIX; ASSUMP_INFERENCE_SHARE_NOT_FACT_60; ASSUMP_WORKLOAD_CLASS_MIX; ASSUMP_AGENTIC_CONTEXT_PENALTY</t>
        </is>
      </c>
      <c r="L1030" s="3" t="inlineStr">
        <is>
          <t>Provider-specific inference/training workload power telemetry.</t>
        </is>
      </c>
    </row>
    <row r="1031">
      <c r="A1031" s="3" t="inlineStr">
        <is>
          <t>Tencent</t>
        </is>
      </c>
      <c r="B1031" s="3" t="n">
        <v>2030</v>
      </c>
      <c r="C1031" s="3" t="inlineStr">
        <is>
          <t>Bear</t>
        </is>
      </c>
      <c r="D1031" s="3" t="inlineStr">
        <is>
          <t>inference_gw</t>
        </is>
      </c>
      <c r="E1031" s="3" t="n">
        <v>0.9409999999999999</v>
      </c>
      <c r="F1031" s="3" t="inlineStr">
        <is>
          <t>GW</t>
        </is>
      </c>
      <c r="G1031" s="3" t="inlineStr">
        <is>
          <t>Derived formula</t>
        </is>
      </c>
      <c r="H1031" s="3" t="inlineStr">
        <is>
          <t>ai_it_load_gw * inference_power_share</t>
        </is>
      </c>
      <c r="I1031" s="3" t="inlineStr">
        <is>
          <t>This is the operational power eligible to become commercial generated output tokens through the selected TPS/MW proxy.</t>
        </is>
      </c>
      <c r="J1031" s="3" t="inlineStr">
        <is>
          <t>SRC_TENCENT_HUNYUAN; SRC_TENCENT_HY3; SRC_TENCENT_AI_INFRA_MOE; SRC_EPOCH_AI_DATA_CENTERS</t>
        </is>
      </c>
      <c r="K1031" s="3" t="inlineStr">
        <is>
          <t>ASSUMP_CN_CAPACITY_TRANSPARENCY; ASSUMP_APP_EMBEDDING; ASSUMP_NUMERIC_ACCELERATOR_MIX; ASSUMP_INFERENCE_SHARE_NOT_FACT_60; ASSUMP_WORKLOAD_CLASS_MIX; ASSUMP_AGENTIC_CONTEXT_PENALTY</t>
        </is>
      </c>
      <c r="L1031" s="3" t="inlineStr">
        <is>
          <t>Recompute after AI allocation or inference-share evidence changes.</t>
        </is>
      </c>
    </row>
    <row r="1032">
      <c r="A1032" s="3" t="inlineStr">
        <is>
          <t>Tencent</t>
        </is>
      </c>
      <c r="B1032" s="3" t="n">
        <v>2030</v>
      </c>
      <c r="C1032" s="3" t="inlineStr">
        <is>
          <t>Bear</t>
        </is>
      </c>
      <c r="D1032" s="3" t="inlineStr">
        <is>
          <t>training_power_share</t>
        </is>
      </c>
      <c r="E1032" s="3" t="n">
        <v>0.3</v>
      </c>
      <c r="F1032" s="3" t="inlineStr">
        <is>
          <t>share of AI IT load</t>
        </is>
      </c>
      <c r="G1032" s="3" t="inlineStr">
        <is>
          <t>Derived allocation</t>
        </is>
      </c>
      <c r="H1032" s="3" t="inlineStr">
        <is>
          <t>1 - inference_power_share</t>
        </is>
      </c>
      <c r="I1032" s="3" t="inlineStr">
        <is>
          <t>Training receives the complementary modeled AI IT allocation; it is not a disclosed company workload split.</t>
        </is>
      </c>
      <c r="J1032" s="3" t="inlineStr">
        <is>
          <t>SRC_TENCENT_HUNYUAN; SRC_TENCENT_HY3; SRC_TENCENT_AI_INFRA_MOE; SRC_EPOCH_AI_DATA_CENTERS; ASSUMP_INFERENCE_SHARE_NOT_FACT_60</t>
        </is>
      </c>
      <c r="K1032" s="3" t="inlineStr">
        <is>
          <t>ASSUMP_CN_CAPACITY_TRANSPARENCY; ASSUMP_APP_EMBEDDING; ASSUMP_NUMERIC_ACCELERATOR_MIX; ASSUMP_INFERENCE_SHARE_NOT_FACT_60; ASSUMP_WORKLOAD_CLASS_MIX; ASSUMP_AGENTIC_CONTEXT_PENALTY</t>
        </is>
      </c>
      <c r="L1032" s="3" t="inlineStr">
        <is>
          <t>Provider-specific inference/training workload power telemetry.</t>
        </is>
      </c>
    </row>
    <row r="1033">
      <c r="A1033" s="3" t="inlineStr">
        <is>
          <t>Tencent</t>
        </is>
      </c>
      <c r="B1033" s="3" t="n">
        <v>2030</v>
      </c>
      <c r="C1033" s="3" t="inlineStr">
        <is>
          <t>Bear</t>
        </is>
      </c>
      <c r="D1033" s="3" t="inlineStr">
        <is>
          <t>training_gw</t>
        </is>
      </c>
      <c r="E1033" s="3" t="n">
        <v>0.403</v>
      </c>
      <c r="F1033" s="3" t="inlineStr">
        <is>
          <t>GW</t>
        </is>
      </c>
      <c r="G1033" s="3" t="inlineStr">
        <is>
          <t>Derived formula</t>
        </is>
      </c>
      <c r="H1033" s="3" t="inlineStr">
        <is>
          <t>ai_it_load_gw * training_power_share</t>
        </is>
      </c>
      <c r="I1033" s="3" t="inlineStr">
        <is>
          <t>Training GW is shown separately so commercial inference token capacity is not overstated.</t>
        </is>
      </c>
      <c r="J1033" s="3" t="inlineStr">
        <is>
          <t>SRC_TENCENT_HUNYUAN; SRC_TENCENT_HY3; SRC_TENCENT_AI_INFRA_MOE; SRC_EPOCH_AI_DATA_CENTERS</t>
        </is>
      </c>
      <c r="K1033" s="3" t="inlineStr">
        <is>
          <t>ASSUMP_CN_CAPACITY_TRANSPARENCY; ASSUMP_APP_EMBEDDING; ASSUMP_NUMERIC_ACCELERATOR_MIX; ASSUMP_INFERENCE_SHARE_NOT_FACT_60; ASSUMP_WORKLOAD_CLASS_MIX; ASSUMP_AGENTIC_CONTEXT_PENALTY</t>
        </is>
      </c>
      <c r="L1033" s="3" t="inlineStr">
        <is>
          <t>Recompute after AI allocation or workload-split evidence changes.</t>
        </is>
      </c>
    </row>
    <row r="1034">
      <c r="A1034" s="3" t="inlineStr">
        <is>
          <t>Tencent</t>
        </is>
      </c>
      <c r="B1034" s="3" t="n">
        <v>2030</v>
      </c>
      <c r="C1034" s="3" t="inlineStr">
        <is>
          <t>Bear</t>
        </is>
      </c>
      <c r="D1034" s="3" t="inlineStr">
        <is>
          <t>tokens_per_second_per_mw</t>
        </is>
      </c>
      <c r="E1034" s="3" t="n">
        <v>1357049</v>
      </c>
      <c r="F1034" s="3" t="inlineStr">
        <is>
          <t>generated output tokens/sec/MW</t>
        </is>
      </c>
      <c r="G1034" s="3" t="inlineStr">
        <is>
          <t>Derived estimate + benchmark calibration</t>
        </is>
      </c>
      <c r="H1034" s="3" t="inlineStr">
        <is>
          <t>fleet_reference_tps_per_mw * commercial_workload_fit_factor</t>
        </is>
      </c>
      <c r="I103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034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1034" s="3" t="inlineStr">
        <is>
          <t>ASSUMP_CN_CAPACITY_TRANSPARENCY; ASSUMP_APP_EMBEDDING; ASSUMP_NUMERIC_ACCELERATOR_MIX; ASSUMP_INFERENCE_SHARE_NOT_FACT_60; ASSUMP_WORKLOAD_CLASS_MIX; ASSUMP_AGENTIC_CONTEXT_PENALTY</t>
        </is>
      </c>
      <c r="L1034" s="3" t="inlineStr">
        <is>
          <t>Comparable production output-token throughput with model, hardware, precision, ISL/OSL and SLO matched.</t>
        </is>
      </c>
    </row>
    <row r="1035">
      <c r="A1035" s="3" t="inlineStr">
        <is>
          <t>Tencent</t>
        </is>
      </c>
      <c r="B1035" s="3" t="n">
        <v>2030</v>
      </c>
      <c r="C1035" s="3" t="inlineStr">
        <is>
          <t>Bear</t>
        </is>
      </c>
      <c r="D1035" s="3" t="inlineStr">
        <is>
          <t>inference_tokens_per_day</t>
        </is>
      </c>
      <c r="E1035" s="3" t="n">
        <v>110331340617600</v>
      </c>
      <c r="F1035" s="3" t="inlineStr">
        <is>
          <t>generated output tokens/day</t>
        </is>
      </c>
      <c r="G1035" s="3" t="inlineStr">
        <is>
          <t>Derived headline metric</t>
        </is>
      </c>
      <c r="H1035" s="3" t="inlineStr">
        <is>
          <t>inference_gw * 1000 * tokens_per_second_per_mw * 86,400</t>
        </is>
      </c>
      <c r="I1035" s="3" t="inlineStr">
        <is>
          <t>Headline capacity uses no utilization, MoE, architecture or software-growth multiplier; it is not observed commercial output volume.</t>
        </is>
      </c>
      <c r="J1035" s="3" t="inlineStr">
        <is>
          <t>SRC_TENCENT_HUNYUAN; SRC_TENCENT_HY3; SRC_TENCENT_AI_INFRA_MOE; SRC_EPOCH_AI_DATA_CENTERS; SRC_SEMIANALYSIS_INFERENCEX</t>
        </is>
      </c>
      <c r="K1035" s="3" t="inlineStr">
        <is>
          <t>ASSUMP_CN_CAPACITY_TRANSPARENCY; ASSUMP_APP_EMBEDDING; ASSUMP_NUMERIC_ACCELERATOR_MIX; ASSUMP_INFERENCE_SHARE_NOT_FACT_60; ASSUMP_WORKLOAD_CLASS_MIX; ASSUMP_AGENTIC_CONTEXT_PENALTY</t>
        </is>
      </c>
      <c r="L1035" s="3" t="inlineStr">
        <is>
          <t>Provider-disclosed generated output token volume or calibrated capacity telemetry.</t>
        </is>
      </c>
    </row>
    <row r="1036">
      <c r="A1036" s="3" t="inlineStr">
        <is>
          <t>Tencent</t>
        </is>
      </c>
      <c r="B1036" s="3" t="n">
        <v>2030</v>
      </c>
      <c r="C1036" s="3" t="inlineStr">
        <is>
          <t>Bear</t>
        </is>
      </c>
      <c r="D1036" s="3" t="inlineStr">
        <is>
          <t>inference_tokens_per_year</t>
        </is>
      </c>
      <c r="E1036" s="3" t="n">
        <v>4.0270939325424e+16</v>
      </c>
      <c r="F1036" s="3" t="inlineStr">
        <is>
          <t>generated output tokens/year</t>
        </is>
      </c>
      <c r="G1036" s="3" t="inlineStr">
        <is>
          <t>Derived headline metric</t>
        </is>
      </c>
      <c r="H1036" s="3" t="inlineStr">
        <is>
          <t>inference_tokens_per_day * 365</t>
        </is>
      </c>
      <c r="I1036" s="3" t="inlineStr">
        <is>
          <t>Annualized version of generated output token capacity; it is not observed annual demand or billable volume.</t>
        </is>
      </c>
      <c r="J1036" s="3" t="inlineStr">
        <is>
          <t>SRC_TENCENT_HUNYUAN; SRC_TENCENT_HY3; SRC_TENCENT_AI_INFRA_MOE; SRC_EPOCH_AI_DATA_CENTERS; SRC_SEMIANALYSIS_INFERENCEX</t>
        </is>
      </c>
      <c r="K1036" s="3" t="inlineStr">
        <is>
          <t>ASSUMP_CN_CAPACITY_TRANSPARENCY; ASSUMP_APP_EMBEDDING; ASSUMP_NUMERIC_ACCELERATOR_MIX; ASSUMP_INFERENCE_SHARE_NOT_FACT_60; ASSUMP_WORKLOAD_CLASS_MIX; ASSUMP_AGENTIC_CONTEXT_PENALTY</t>
        </is>
      </c>
      <c r="L1036" s="3" t="inlineStr">
        <is>
          <t>Provider-disclosed annual generated-output volume or metered serving telemetry.</t>
        </is>
      </c>
    </row>
    <row r="1037">
      <c r="A1037" s="3" t="inlineStr">
        <is>
          <t>Microsoft</t>
        </is>
      </c>
      <c r="B1037" s="3" t="n">
        <v>2026</v>
      </c>
      <c r="C1037" s="3" t="inlineStr">
        <is>
          <t>Base</t>
        </is>
      </c>
      <c r="D1037" s="3" t="inlineStr">
        <is>
          <t>contracted_power_gw</t>
        </is>
      </c>
      <c r="E1037" s="3" t="n">
        <v>4</v>
      </c>
      <c r="F1037" s="3" t="inlineStr">
        <is>
          <t>GW</t>
        </is>
      </c>
      <c r="G1037" s="3" t="inlineStr">
        <is>
          <t>Scenario capacity envelope</t>
        </is>
      </c>
      <c r="H1037" s="3" t="inlineStr">
        <is>
          <t>linear interpolation between 2026 and 2030 company capacity endpoints</t>
        </is>
      </c>
      <c r="I1037" s="3" t="inlineStr">
        <is>
          <t>Scenario envelope for Microsoft-controlled/Copilot serving burden; not an official contracted-GW disclosure.</t>
        </is>
      </c>
      <c r="J1037" s="3" t="inlineStr">
        <is>
          <t>ASSUMP_POWER_RAMP; SRC_MS_MAIA200</t>
        </is>
      </c>
      <c r="K1037" s="3" t="inlineStr">
        <is>
          <t>ASSUMP_POWER_RAMP; ASSUMP_MS_OPENAI_ATTRIBUTION; ASSUMP_NUMERIC_ACCELERATOR_MIX; ASSUMP_INFERENCE_SHARE_NOT_FACT_60; ASSUMP_WORKLOAD_CLASS_MIX; ASSUMP_AGENTIC_CONTEXT_PENALTY</t>
        </is>
      </c>
      <c r="L1037" s="3" t="inlineStr">
        <is>
          <t>Company/site-level committed MW/GW, interconnect and contract disclosure.</t>
        </is>
      </c>
    </row>
    <row r="1038">
      <c r="A1038" s="3" t="inlineStr">
        <is>
          <t>Microsoft</t>
        </is>
      </c>
      <c r="B1038" s="3" t="n">
        <v>2026</v>
      </c>
      <c r="C1038" s="3" t="inlineStr">
        <is>
          <t>Base</t>
        </is>
      </c>
      <c r="D1038" s="3" t="inlineStr">
        <is>
          <t>operational_deployment_share</t>
        </is>
      </c>
      <c r="E1038" s="3" t="n">
        <v>0.45</v>
      </c>
      <c r="F1038" s="3" t="inlineStr">
        <is>
          <t>share</t>
        </is>
      </c>
      <c r="G1038" s="3" t="inlineStr">
        <is>
          <t>Scenario conversion</t>
        </is>
      </c>
      <c r="H1038" s="3" t="inlineStr">
        <is>
          <t>active_power_gw / contracted_power_gw</t>
        </is>
      </c>
      <c r="I1038" s="3" t="inlineStr">
        <is>
          <t>This is the single explicit conversion from contracted/attributed capacity to operationally usable capacity.</t>
        </is>
      </c>
      <c r="J1038" s="3" t="inlineStr">
        <is>
          <t>ASSUMP_POWER_RAMP; SRC_MS_MAIA200</t>
        </is>
      </c>
      <c r="K1038" s="3" t="inlineStr">
        <is>
          <t>ASSUMP_POWER_RAMP; ASSUMP_MS_OPENAI_ATTRIBUTION; ASSUMP_NUMERIC_ACCELERATOR_MIX; ASSUMP_INFERENCE_SHARE_NOT_FACT_60; ASSUMP_WORKLOAD_CLASS_MIX; ASSUMP_AGENTIC_CONTEXT_PENALTY</t>
        </is>
      </c>
      <c r="L1038" s="3" t="inlineStr">
        <is>
          <t>Energized operational capacity divided by contracted/attributed capacity.</t>
        </is>
      </c>
    </row>
    <row r="1039">
      <c r="A1039" s="3" t="inlineStr">
        <is>
          <t>Microsoft</t>
        </is>
      </c>
      <c r="B1039" s="3" t="n">
        <v>2026</v>
      </c>
      <c r="C1039" s="3" t="inlineStr">
        <is>
          <t>Base</t>
        </is>
      </c>
      <c r="D1039" s="3" t="inlineStr">
        <is>
          <t>active_power_gw</t>
        </is>
      </c>
      <c r="E1039" s="3" t="n">
        <v>1.8</v>
      </c>
      <c r="F1039" s="3" t="inlineStr">
        <is>
          <t>GW</t>
        </is>
      </c>
      <c r="G1039" s="3" t="inlineStr">
        <is>
          <t>Derived scenario</t>
        </is>
      </c>
      <c r="H1039" s="3" t="inlineStr">
        <is>
          <t>contracted_power_gw * operational_deployment_share</t>
        </is>
      </c>
      <c r="I1039" s="3" t="inlineStr">
        <is>
          <t>Active GW is a staged operational deployment fraction of modeled capacity, reflecting site energization and accelerator availability.</t>
        </is>
      </c>
      <c r="J1039" s="3" t="inlineStr">
        <is>
          <t>ASSUMP_POWER_RAMP; SRC_MS_MAIA200</t>
        </is>
      </c>
      <c r="K1039" s="3" t="inlineStr">
        <is>
          <t>ASSUMP_POWER_RAMP; ASSUMP_MS_OPENAI_ATTRIBUTION; ASSUMP_NUMERIC_ACCELERATOR_MIX; ASSUMP_INFERENCE_SHARE_NOT_FACT_60; ASSUMP_WORKLOAD_CLASS_MIX; ASSUMP_AGENTIC_CONTEXT_PENALTY</t>
        </is>
      </c>
      <c r="L1039" s="3" t="inlineStr">
        <is>
          <t>Energization dates, accelerator deliveries and operational powered-rack telemetry.</t>
        </is>
      </c>
    </row>
    <row r="1040">
      <c r="A1040" s="3" t="inlineStr">
        <is>
          <t>Microsoft</t>
        </is>
      </c>
      <c r="B1040" s="3" t="n">
        <v>2026</v>
      </c>
      <c r="C1040" s="3" t="inlineStr">
        <is>
          <t>Base</t>
        </is>
      </c>
      <c r="D1040" s="3" t="inlineStr">
        <is>
          <t>pue</t>
        </is>
      </c>
      <c r="E1040" s="3" t="n">
        <v>1.2</v>
      </c>
      <c r="F1040" s="3" t="inlineStr">
        <is>
          <t>ratio</t>
        </is>
      </c>
      <c r="G1040" s="3" t="inlineStr">
        <is>
          <t>Scenario parameter</t>
        </is>
      </c>
      <c r="H1040" s="3" t="inlineStr">
        <is>
          <t>it_load_gw = active_power_gw / pue</t>
        </is>
      </c>
      <c r="I1040" s="3" t="inlineStr">
        <is>
          <t>No provider-wide site-level PUE is used as a disclosed fact; PUE represents facility-to-IT conversion within the scenario.</t>
        </is>
      </c>
      <c r="J1040" s="3" t="inlineStr">
        <is>
          <t>ASSUMP_POWER_RAMP</t>
        </is>
      </c>
      <c r="K1040" s="3" t="inlineStr">
        <is>
          <t>ASSUMP_POWER_RAMP; ASSUMP_MS_OPENAI_ATTRIBUTION; ASSUMP_NUMERIC_ACCELERATOR_MIX; ASSUMP_INFERENCE_SHARE_NOT_FACT_60; ASSUMP_WORKLOAD_CLASS_MIX; ASSUMP_AGENTIC_CONTEXT_PENALTY</t>
        </is>
      </c>
      <c r="L1040" s="3" t="inlineStr">
        <is>
          <t>Site-level measured PUE matched to attributed AI capacity.</t>
        </is>
      </c>
    </row>
    <row r="1041">
      <c r="A1041" s="3" t="inlineStr">
        <is>
          <t>Microsoft</t>
        </is>
      </c>
      <c r="B1041" s="3" t="n">
        <v>2026</v>
      </c>
      <c r="C1041" s="3" t="inlineStr">
        <is>
          <t>Base</t>
        </is>
      </c>
      <c r="D1041" s="3" t="inlineStr">
        <is>
          <t>it_load_gw</t>
        </is>
      </c>
      <c r="E1041" s="3" t="n">
        <v>1.5</v>
      </c>
      <c r="F1041" s="3" t="inlineStr">
        <is>
          <t>GW</t>
        </is>
      </c>
      <c r="G1041" s="3" t="inlineStr">
        <is>
          <t>Derived formula</t>
        </is>
      </c>
      <c r="H1041" s="3" t="inlineStr">
        <is>
          <t>active_power_gw / pue</t>
        </is>
      </c>
      <c r="I1041" s="3" t="inlineStr">
        <is>
          <t>Facility power is converted to IT-deliverable power before attributing AI workloads.</t>
        </is>
      </c>
      <c r="J1041" s="3" t="inlineStr">
        <is>
          <t>ASSUMP_POWER_RAMP; SRC_MS_MAIA200</t>
        </is>
      </c>
      <c r="K1041" s="3" t="inlineStr">
        <is>
          <t>ASSUMP_POWER_RAMP; ASSUMP_MS_OPENAI_ATTRIBUTION; ASSUMP_NUMERIC_ACCELERATOR_MIX; ASSUMP_INFERENCE_SHARE_NOT_FACT_60; ASSUMP_WORKLOAD_CLASS_MIX; ASSUMP_AGENTIC_CONTEXT_PENALTY</t>
        </is>
      </c>
      <c r="L1041" s="3" t="inlineStr">
        <is>
          <t>Recompute once active power and PUE become site-observable.</t>
        </is>
      </c>
    </row>
    <row r="1042">
      <c r="A1042" s="3" t="inlineStr">
        <is>
          <t>Microsoft</t>
        </is>
      </c>
      <c r="B1042" s="3" t="n">
        <v>2026</v>
      </c>
      <c r="C1042" s="3" t="inlineStr">
        <is>
          <t>Base</t>
        </is>
      </c>
      <c r="D1042" s="3" t="inlineStr">
        <is>
          <t>ai_workload_share</t>
        </is>
      </c>
      <c r="E1042" s="3" t="n">
        <v>0.86</v>
      </c>
      <c r="F1042" s="3" t="inlineStr">
        <is>
          <t>share</t>
        </is>
      </c>
      <c r="G1042" s="3" t="inlineStr">
        <is>
          <t>Scenario allocation</t>
        </is>
      </c>
      <c r="H1042" s="3" t="inlineStr">
        <is>
          <t>ai_it_load_gw = it_load_gw * ai_workload_share</t>
        </is>
      </c>
      <c r="I1042" s="3" t="inlineStr">
        <is>
          <t>Azure/Copilot serving burden is AI-oriented but shares infrastructure with platform and reserve overhead; 86% is a scenario allocation.</t>
        </is>
      </c>
      <c r="J1042" s="3" t="inlineStr">
        <is>
          <t>SRC_MS_PHI; SRC_OPENAI_GPT41_DOCS; SRC_MS_PHI4_TECHREPORT; SRC_MS_MAIA200; SRC_EPOCH_AI_DATA_CENTERS</t>
        </is>
      </c>
      <c r="K1042" s="3" t="inlineStr">
        <is>
          <t>ASSUMP_POWER_RAMP; ASSUMP_MS_OPENAI_ATTRIBUTION; ASSUMP_NUMERIC_ACCELERATOR_MIX; ASSUMP_INFERENCE_SHARE_NOT_FACT_60; ASSUMP_WORKLOAD_CLASS_MIX; ASSUMP_AGENTIC_CONTEXT_PENALTY</t>
        </is>
      </c>
      <c r="L1042" s="3" t="inlineStr">
        <is>
          <t>Model-owner AI workload allocation or cluster scheduling telemetry.</t>
        </is>
      </c>
    </row>
    <row r="1043">
      <c r="A1043" s="3" t="inlineStr">
        <is>
          <t>Microsoft</t>
        </is>
      </c>
      <c r="B1043" s="3" t="n">
        <v>2026</v>
      </c>
      <c r="C1043" s="3" t="inlineStr">
        <is>
          <t>Base</t>
        </is>
      </c>
      <c r="D1043" s="3" t="inlineStr">
        <is>
          <t>ai_it_load_gw</t>
        </is>
      </c>
      <c r="E1043" s="3" t="n">
        <v>1.29</v>
      </c>
      <c r="F1043" s="3" t="inlineStr">
        <is>
          <t>GW</t>
        </is>
      </c>
      <c r="G1043" s="3" t="inlineStr">
        <is>
          <t>Derived formula</t>
        </is>
      </c>
      <c r="H1043" s="3" t="inlineStr">
        <is>
          <t>it_load_gw * ai_workload_share</t>
        </is>
      </c>
      <c r="I1043" s="3" t="inlineStr">
        <is>
          <t>Only the AI-attributed portion of IT load enters training/inference allocation.</t>
        </is>
      </c>
      <c r="J1043" s="3" t="inlineStr">
        <is>
          <t>SRC_MS_PHI; SRC_OPENAI_GPT41_DOCS; SRC_MS_PHI4_TECHREPORT; SRC_MS_MAIA200; SRC_EPOCH_AI_DATA_CENTERS</t>
        </is>
      </c>
      <c r="K1043" s="3" t="inlineStr">
        <is>
          <t>ASSUMP_POWER_RAMP; ASSUMP_MS_OPENAI_ATTRIBUTION; ASSUMP_NUMERIC_ACCELERATOR_MIX; ASSUMP_INFERENCE_SHARE_NOT_FACT_60; ASSUMP_WORKLOAD_CLASS_MIX; ASSUMP_AGENTIC_CONTEXT_PENALTY</t>
        </is>
      </c>
      <c r="L1043" s="3" t="inlineStr">
        <is>
          <t>Recompute after ai_workload_share is replaced by telemetry.</t>
        </is>
      </c>
    </row>
    <row r="1044">
      <c r="A1044" s="3" t="inlineStr">
        <is>
          <t>Microsoft</t>
        </is>
      </c>
      <c r="B1044" s="3" t="n">
        <v>2026</v>
      </c>
      <c r="C1044" s="3" t="inlineStr">
        <is>
          <t>Base</t>
        </is>
      </c>
      <c r="D1044" s="3" t="inlineStr">
        <is>
          <t>gpu_share</t>
        </is>
      </c>
      <c r="E1044" s="3" t="n">
        <v>1</v>
      </c>
      <c r="F1044" s="3" t="inlineStr">
        <is>
          <t>share of inference-serving accelerator load</t>
        </is>
      </c>
      <c r="G1044" s="3" t="inlineStr">
        <is>
          <t>Numeric scenario</t>
        </is>
      </c>
      <c r="H1044" s="3" t="inlineStr">
        <is>
          <t>gpu_share interpolated from company 2026/2030 accelerator-mix endpoints</t>
        </is>
      </c>
      <c r="I1044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44" s="3" t="inlineStr">
        <is>
          <t>SRC_MS_PHI; SRC_OPENAI_GPT41_DOCS; SRC_MS_PHI4_TECHREPORT; SRC_MS_MAIA200; SRC_EPOCH_AI_DATA_CENTERS; ASSUMP_NUMERIC_ACCELERATOR_MIX</t>
        </is>
      </c>
      <c r="K1044" s="3" t="inlineStr">
        <is>
          <t>ASSUMP_POWER_RAMP; ASSUMP_MS_OPENAI_ATTRIBUTION; ASSUMP_NUMERIC_ACCELERATOR_MIX; ASSUMP_INFERENCE_SHARE_NOT_FACT_60; ASSUMP_WORKLOAD_CLASS_MIX; ASSUMP_AGENTIC_CONTEXT_PENALTY</t>
        </is>
      </c>
      <c r="L1044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45">
      <c r="A1045" s="3" t="inlineStr">
        <is>
          <t>Microsoft</t>
        </is>
      </c>
      <c r="B1045" s="3" t="n">
        <v>2026</v>
      </c>
      <c r="C1045" s="3" t="inlineStr">
        <is>
          <t>Base</t>
        </is>
      </c>
      <c r="D1045" s="3" t="inlineStr">
        <is>
          <t>h200_share</t>
        </is>
      </c>
      <c r="E1045" s="3" t="n">
        <v>0.07946300000000001</v>
      </c>
      <c r="F1045" s="3" t="inlineStr">
        <is>
          <t>share of inference-serving accelerator load</t>
        </is>
      </c>
      <c r="G1045" s="3" t="inlineStr">
        <is>
          <t>Editable numeric scenario</t>
        </is>
      </c>
      <c r="H1045" s="3" t="inlineStr">
        <is>
          <t>h200_share = gpu_share * default_gpu_generation_mix_h200</t>
        </is>
      </c>
      <c r="I1045" s="3" t="inlineStr">
        <is>
          <t>Default GPU-generation migration assumption; executive workbook allows later manual replacement by company/year/scenario.</t>
        </is>
      </c>
      <c r="J1045" s="3" t="inlineStr">
        <is>
          <t>SRC_SEMIANALYSIS_INFERENCEX; ASSUMP_NUMERIC_ACCELERATOR_MIX</t>
        </is>
      </c>
      <c r="K1045" s="3" t="inlineStr">
        <is>
          <t>ASSUMP_POWER_RAMP; ASSUMP_MS_OPENAI_ATTRIBUTION; ASSUMP_NUMERIC_ACCELERATOR_MIX; ASSUMP_INFERENCE_SHARE_NOT_FACT_60; ASSUMP_WORKLOAD_CLASS_MIX; ASSUMP_AGENTIC_CONTEXT_PENALTY</t>
        </is>
      </c>
      <c r="L1045" s="3" t="inlineStr">
        <is>
          <t>Company fleet inventory, accelerator-hours or procurement/deployment records by GPU generation.</t>
        </is>
      </c>
    </row>
    <row r="1046">
      <c r="A1046" s="3" t="inlineStr">
        <is>
          <t>Microsoft</t>
        </is>
      </c>
      <c r="B1046" s="3" t="n">
        <v>2026</v>
      </c>
      <c r="C1046" s="3" t="inlineStr">
        <is>
          <t>Base</t>
        </is>
      </c>
      <c r="D1046" s="3" t="inlineStr">
        <is>
          <t>b200_share</t>
        </is>
      </c>
      <c r="E1046" s="3" t="n">
        <v>0.920537</v>
      </c>
      <c r="F1046" s="3" t="inlineStr">
        <is>
          <t>share of inference-serving accelerator load</t>
        </is>
      </c>
      <c r="G1046" s="3" t="inlineStr">
        <is>
          <t>Editable numeric scenario</t>
        </is>
      </c>
      <c r="H1046" s="3" t="inlineStr">
        <is>
          <t>b200_share = gpu_share * default_gpu_generation_mix_b200</t>
        </is>
      </c>
      <c r="I1046" s="3" t="inlineStr">
        <is>
          <t>Default GPU-generation migration assumption; executive workbook allows later manual replacement by company/year/scenario.</t>
        </is>
      </c>
      <c r="J1046" s="3" t="inlineStr">
        <is>
          <t>SRC_SEMIANALYSIS_INFERENCEX; ASSUMP_NUMERIC_ACCELERATOR_MIX</t>
        </is>
      </c>
      <c r="K1046" s="3" t="inlineStr">
        <is>
          <t>ASSUMP_POWER_RAMP; ASSUMP_MS_OPENAI_ATTRIBUTION; ASSUMP_NUMERIC_ACCELERATOR_MIX; ASSUMP_INFERENCE_SHARE_NOT_FACT_60; ASSUMP_WORKLOAD_CLASS_MIX; ASSUMP_AGENTIC_CONTEXT_PENALTY</t>
        </is>
      </c>
      <c r="L1046" s="3" t="inlineStr">
        <is>
          <t>Company fleet inventory, accelerator-hours or procurement/deployment records by GPU generation.</t>
        </is>
      </c>
    </row>
    <row r="1047">
      <c r="A1047" s="3" t="inlineStr">
        <is>
          <t>Microsoft</t>
        </is>
      </c>
      <c r="B1047" s="3" t="n">
        <v>2026</v>
      </c>
      <c r="C1047" s="3" t="inlineStr">
        <is>
          <t>Base</t>
        </is>
      </c>
      <c r="D1047" s="3" t="inlineStr">
        <is>
          <t>gb200_share</t>
        </is>
      </c>
      <c r="E1047" s="3" t="n">
        <v>0</v>
      </c>
      <c r="F1047" s="3" t="inlineStr">
        <is>
          <t>share of inference-serving accelerator load</t>
        </is>
      </c>
      <c r="G1047" s="3" t="inlineStr">
        <is>
          <t>Editable numeric scenario</t>
        </is>
      </c>
      <c r="H1047" s="3" t="inlineStr">
        <is>
          <t>gb200_share = gpu_share * default_gpu_generation_mix_gb200</t>
        </is>
      </c>
      <c r="I1047" s="3" t="inlineStr">
        <is>
          <t>Default GPU-generation migration assumption; executive workbook allows later manual replacement by company/year/scenario.</t>
        </is>
      </c>
      <c r="J1047" s="3" t="inlineStr">
        <is>
          <t>SRC_SEMIANALYSIS_INFERENCEX; ASSUMP_NUMERIC_ACCELERATOR_MIX</t>
        </is>
      </c>
      <c r="K1047" s="3" t="inlineStr">
        <is>
          <t>ASSUMP_POWER_RAMP; ASSUMP_MS_OPENAI_ATTRIBUTION; ASSUMP_NUMERIC_ACCELERATOR_MIX; ASSUMP_INFERENCE_SHARE_NOT_FACT_60; ASSUMP_WORKLOAD_CLASS_MIX; ASSUMP_AGENTIC_CONTEXT_PENALTY</t>
        </is>
      </c>
      <c r="L1047" s="3" t="inlineStr">
        <is>
          <t>Company fleet inventory, accelerator-hours or procurement/deployment records by GPU generation.</t>
        </is>
      </c>
    </row>
    <row r="1048">
      <c r="A1048" s="3" t="inlineStr">
        <is>
          <t>Microsoft</t>
        </is>
      </c>
      <c r="B1048" s="3" t="n">
        <v>2026</v>
      </c>
      <c r="C1048" s="3" t="inlineStr">
        <is>
          <t>Base</t>
        </is>
      </c>
      <c r="D1048" s="3" t="inlineStr">
        <is>
          <t>purpose_built_accelerator_share</t>
        </is>
      </c>
      <c r="E1048" s="3" t="n">
        <v>0</v>
      </c>
      <c r="F1048" s="3" t="inlineStr">
        <is>
          <t>share of inference-serving accelerator load</t>
        </is>
      </c>
      <c r="G1048" s="3" t="inlineStr">
        <is>
          <t>Numeric scenario</t>
        </is>
      </c>
      <c r="H1048" s="3" t="inlineStr">
        <is>
          <t>1 - gpu_share</t>
        </is>
      </c>
      <c r="I1048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48" s="3" t="inlineStr">
        <is>
          <t>SRC_MS_PHI; SRC_OPENAI_GPT41_DOCS; SRC_MS_PHI4_TECHREPORT; SRC_MS_MAIA200; SRC_EPOCH_AI_DATA_CENTERS; ASSUMP_NUMERIC_ACCELERATOR_MIX</t>
        </is>
      </c>
      <c r="K1048" s="3" t="inlineStr">
        <is>
          <t>ASSUMP_POWER_RAMP; ASSUMP_MS_OPENAI_ATTRIBUTION; ASSUMP_NUMERIC_ACCELERATOR_MIX; ASSUMP_INFERENCE_SHARE_NOT_FACT_60; ASSUMP_WORKLOAD_CLASS_MIX; ASSUMP_AGENTIC_CONTEXT_PENALTY</t>
        </is>
      </c>
      <c r="L1048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49">
      <c r="A1049" s="3" t="inlineStr">
        <is>
          <t>Microsoft</t>
        </is>
      </c>
      <c r="B1049" s="3" t="n">
        <v>2026</v>
      </c>
      <c r="C1049" s="3" t="inlineStr">
        <is>
          <t>Base</t>
        </is>
      </c>
      <c r="D1049" s="3" t="inlineStr">
        <is>
          <t>fleet_reference_tps_per_mw</t>
        </is>
      </c>
      <c r="E1049" s="3" t="n">
        <v>2753112</v>
      </c>
      <c r="F1049" s="3" t="inlineStr">
        <is>
          <t>generated output tokens/sec/MW</t>
        </is>
      </c>
      <c r="G1049" s="3" t="inlineStr">
        <is>
          <t>Fleet-weighted public benchmark reference</t>
        </is>
      </c>
      <c r="H1049" s="3" t="inlineStr">
        <is>
          <t>h200_share*h200_workload_avg + b200_share*b200_workload_avg + gb200_share*gb200_workload_avg + purpose_built_share*purpose_workload_avg</t>
        </is>
      </c>
      <c r="I104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49" s="3" t="inlineStr">
        <is>
          <t>SRC_SEMIANALYSIS_INFERENCEX; ASSUMP_NUMERIC_ACCELERATOR_MIX; ASSUMP_WORKLOAD_CLASS_MIX; ASSUMP_AGENTIC_CONTEXT_PENALTY</t>
        </is>
      </c>
      <c r="K1049" s="3" t="inlineStr">
        <is>
          <t>ASSUMP_POWER_RAMP; ASSUMP_MS_OPENAI_ATTRIBUTION; ASSUMP_NUMERIC_ACCELERATOR_MIX; ASSUMP_INFERENCE_SHARE_NOT_FACT_60; ASSUMP_WORKLOAD_CLASS_MIX; ASSUMP_AGENTIC_CONTEXT_PENALTY</t>
        </is>
      </c>
      <c r="L1049" s="3" t="inlineStr">
        <is>
          <t>Comparable production output-token throughput or a more closely matched benchmark.</t>
        </is>
      </c>
    </row>
    <row r="1050">
      <c r="A1050" s="3" t="inlineStr">
        <is>
          <t>Microsoft</t>
        </is>
      </c>
      <c r="B1050" s="3" t="n">
        <v>2026</v>
      </c>
      <c r="C1050" s="3" t="inlineStr">
        <is>
          <t>Base</t>
        </is>
      </c>
      <c r="D1050" s="3" t="inlineStr">
        <is>
          <t>commercial_workload_fit_factor</t>
        </is>
      </c>
      <c r="E1050" s="3" t="n">
        <v>0.6</v>
      </c>
      <c r="F1050" s="3" t="inlineStr">
        <is>
          <t>share of public reference throughput</t>
        </is>
      </c>
      <c r="G1050" s="3" t="inlineStr">
        <is>
          <t>Scenario assumption</t>
        </is>
      </c>
      <c r="H1050" s="3" t="inlineStr">
        <is>
          <t>reference_serving_tps_per_mw = fleet_reference_tps_per_mw * commercial_workload_fit_factor</t>
        </is>
      </c>
      <c r="I105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50" s="3" t="inlineStr">
        <is>
          <t>SRC_SEMIANALYSIS_INFERENCEX; ASSUMP_NUMERIC_ACCELERATOR_MIX; ASSUMP_WORKLOAD_CLASS_MIX; ASSUMP_AGENTIC_CONTEXT_PENALTY</t>
        </is>
      </c>
      <c r="K1050" s="3" t="inlineStr">
        <is>
          <t>ASSUMP_POWER_RAMP; ASSUMP_MS_OPENAI_ATTRIBUTION; ASSUMP_NUMERIC_ACCELERATOR_MIX; ASSUMP_INFERENCE_SHARE_NOT_FACT_60; ASSUMP_WORKLOAD_CLASS_MIX; ASSUMP_AGENTIC_CONTEXT_PENALTY</t>
        </is>
      </c>
      <c r="L1050" s="3" t="inlineStr">
        <is>
          <t>Matched commercial serving benchmark by product surface, context shape and latency SLO.</t>
        </is>
      </c>
    </row>
    <row r="1051">
      <c r="A1051" s="3" t="inlineStr">
        <is>
          <t>Microsoft</t>
        </is>
      </c>
      <c r="B1051" s="3" t="n">
        <v>2026</v>
      </c>
      <c r="C1051" s="3" t="inlineStr">
        <is>
          <t>Base</t>
        </is>
      </c>
      <c r="D1051" s="3" t="inlineStr">
        <is>
          <t>reference_serving_tps_per_mw</t>
        </is>
      </c>
      <c r="E1051" s="3" t="n">
        <v>1651867</v>
      </c>
      <c r="F1051" s="3" t="inlineStr">
        <is>
          <t>generated output tokens/sec/MW</t>
        </is>
      </c>
      <c r="G1051" s="3" t="inlineStr">
        <is>
          <t>Workload-adjusted benchmark proxy</t>
        </is>
      </c>
      <c r="H1051" s="3" t="inlineStr">
        <is>
          <t>fleet_reference_tps_per_mw * commercial_workload_fit_factor</t>
        </is>
      </c>
      <c r="I1051" s="3" t="inlineStr">
        <is>
          <t>This is the coefficient used for headline token generation; each GPU's short chat, long chat and agentic TPS/MW are weighted before fleet mix and commercial fit are applied.</t>
        </is>
      </c>
      <c r="J1051" s="3" t="inlineStr">
        <is>
          <t>SRC_SEMIANALYSIS_INFERENCEX; ASSUMP_NUMERIC_ACCELERATOR_MIX; ASSUMP_WORKLOAD_CLASS_MIX; ASSUMP_AGENTIC_CONTEXT_PENALTY</t>
        </is>
      </c>
      <c r="K1051" s="3" t="inlineStr">
        <is>
          <t>ASSUMP_POWER_RAMP; ASSUMP_MS_OPENAI_ATTRIBUTION; ASSUMP_NUMERIC_ACCELERATOR_MIX; ASSUMP_INFERENCE_SHARE_NOT_FACT_60; ASSUMP_WORKLOAD_CLASS_MIX; ASSUMP_AGENTIC_CONTEXT_PENALTY</t>
        </is>
      </c>
      <c r="L1051" s="3" t="inlineStr">
        <is>
          <t>Provider production output-token throughput with comparable workload/SLO.</t>
        </is>
      </c>
    </row>
    <row r="1052">
      <c r="A1052" s="3" t="inlineStr">
        <is>
          <t>Microsoft</t>
        </is>
      </c>
      <c r="B1052" s="3" t="n">
        <v>2026</v>
      </c>
      <c r="C1052" s="3" t="inlineStr">
        <is>
          <t>Base</t>
        </is>
      </c>
      <c r="D1052" s="3" t="inlineStr">
        <is>
          <t>purpose_built_tps_per_mw</t>
        </is>
      </c>
      <c r="E1052" s="3" t="n">
        <v>2710180</v>
      </c>
      <c r="F1052" s="3" t="inlineStr">
        <is>
          <t>generated output tokens/sec/MW</t>
        </is>
      </c>
      <c r="G1052" s="3" t="inlineStr">
        <is>
          <t>Conservative no-uplift proxy</t>
        </is>
      </c>
      <c r="H1052" s="3" t="inlineStr">
        <is>
          <t>purpose_built_tps_per_mw = purpose_built_reference_tps_per_mw * commercial_workload_fit_factor until comparable output-token benchmark is adopted</t>
        </is>
      </c>
      <c r="I1052" s="3" t="inlineStr">
        <is>
          <t>No comparable public output-token/MW row adopted; B200 public reference placeholder is used and remains editable.</t>
        </is>
      </c>
      <c r="J1052" s="3" t="inlineStr">
        <is>
          <t>SRC_MS_PHI; SRC_OPENAI_GPT41_DOCS; SRC_MS_PHI4_TECHREPORT; SRC_MS_MAIA200; SRC_EPOCH_AI_DATA_CENTERS; ASSUMP_NUMERIC_ACCELERATOR_MIX</t>
        </is>
      </c>
      <c r="K1052" s="3" t="inlineStr">
        <is>
          <t>ASSUMP_POWER_RAMP; ASSUMP_MS_OPENAI_ATTRIBUTION; ASSUMP_NUMERIC_ACCELERATOR_MIX; ASSUMP_INFERENCE_SHARE_NOT_FACT_60; ASSUMP_WORKLOAD_CLASS_MIX; ASSUMP_AGENTIC_CONTEXT_PENALTY</t>
        </is>
      </c>
      <c r="L1052" s="3" t="inlineStr">
        <is>
          <t>Matched-workload generated-output benchmark for the provider purpose-built accelerator.</t>
        </is>
      </c>
    </row>
    <row r="1053">
      <c r="A1053" s="3" t="inlineStr">
        <is>
          <t>Microsoft</t>
        </is>
      </c>
      <c r="B1053" s="3" t="n">
        <v>2026</v>
      </c>
      <c r="C1053" s="3" t="inlineStr">
        <is>
          <t>Base</t>
        </is>
      </c>
      <c r="D1053" s="3" t="inlineStr">
        <is>
          <t>inference_power_share</t>
        </is>
      </c>
      <c r="E1053" s="3" t="n">
        <v>0.55</v>
      </c>
      <c r="F1053" s="3" t="inlineStr">
        <is>
          <t>share of AI IT load</t>
        </is>
      </c>
      <c r="G1053" s="3" t="inlineStr">
        <is>
          <t>Scenario allocation</t>
        </is>
      </c>
      <c r="H1053" s="3" t="inlineStr">
        <is>
          <t>inference_gw = ai_it_load_gw * inference_power_share</t>
        </is>
      </c>
      <c r="I1053" s="3" t="inlineStr">
        <is>
          <t>Copilot commercial serving growth supports rising inference allocation; OpenAI model-owner output must remain separately attributed.</t>
        </is>
      </c>
      <c r="J1053" s="3" t="inlineStr">
        <is>
          <t>SRC_MS_PHI; SRC_OPENAI_GPT41_DOCS; SRC_MS_PHI4_TECHREPORT; SRC_MS_MAIA200; SRC_EPOCH_AI_DATA_CENTERS; ASSUMP_INFERENCE_SHARE_NOT_FACT_60</t>
        </is>
      </c>
      <c r="K1053" s="3" t="inlineStr">
        <is>
          <t>ASSUMP_POWER_RAMP; ASSUMP_MS_OPENAI_ATTRIBUTION; ASSUMP_NUMERIC_ACCELERATOR_MIX; ASSUMP_INFERENCE_SHARE_NOT_FACT_60; ASSUMP_WORKLOAD_CLASS_MIX; ASSUMP_AGENTIC_CONTEXT_PENALTY</t>
        </is>
      </c>
      <c r="L1053" s="3" t="inlineStr">
        <is>
          <t>Provider-specific inference/training workload power telemetry.</t>
        </is>
      </c>
    </row>
    <row r="1054">
      <c r="A1054" s="3" t="inlineStr">
        <is>
          <t>Microsoft</t>
        </is>
      </c>
      <c r="B1054" s="3" t="n">
        <v>2026</v>
      </c>
      <c r="C1054" s="3" t="inlineStr">
        <is>
          <t>Base</t>
        </is>
      </c>
      <c r="D1054" s="3" t="inlineStr">
        <is>
          <t>inference_gw</t>
        </is>
      </c>
      <c r="E1054" s="3" t="n">
        <v>0.71</v>
      </c>
      <c r="F1054" s="3" t="inlineStr">
        <is>
          <t>GW</t>
        </is>
      </c>
      <c r="G1054" s="3" t="inlineStr">
        <is>
          <t>Derived formula</t>
        </is>
      </c>
      <c r="H1054" s="3" t="inlineStr">
        <is>
          <t>ai_it_load_gw * inference_power_share</t>
        </is>
      </c>
      <c r="I1054" s="3" t="inlineStr">
        <is>
          <t>This is the operational power eligible to become commercial generated output tokens through the selected TPS/MW proxy.</t>
        </is>
      </c>
      <c r="J1054" s="3" t="inlineStr">
        <is>
          <t>SRC_MS_PHI; SRC_OPENAI_GPT41_DOCS; SRC_MS_PHI4_TECHREPORT; SRC_MS_MAIA200; SRC_EPOCH_AI_DATA_CENTERS</t>
        </is>
      </c>
      <c r="K1054" s="3" t="inlineStr">
        <is>
          <t>ASSUMP_POWER_RAMP; ASSUMP_MS_OPENAI_ATTRIBUTION; ASSUMP_NUMERIC_ACCELERATOR_MIX; ASSUMP_INFERENCE_SHARE_NOT_FACT_60; ASSUMP_WORKLOAD_CLASS_MIX; ASSUMP_AGENTIC_CONTEXT_PENALTY</t>
        </is>
      </c>
      <c r="L1054" s="3" t="inlineStr">
        <is>
          <t>Recompute after AI allocation or inference-share evidence changes.</t>
        </is>
      </c>
    </row>
    <row r="1055">
      <c r="A1055" s="3" t="inlineStr">
        <is>
          <t>Microsoft</t>
        </is>
      </c>
      <c r="B1055" s="3" t="n">
        <v>2026</v>
      </c>
      <c r="C1055" s="3" t="inlineStr">
        <is>
          <t>Base</t>
        </is>
      </c>
      <c r="D1055" s="3" t="inlineStr">
        <is>
          <t>training_power_share</t>
        </is>
      </c>
      <c r="E1055" s="3" t="n">
        <v>0.45</v>
      </c>
      <c r="F1055" s="3" t="inlineStr">
        <is>
          <t>share of AI IT load</t>
        </is>
      </c>
      <c r="G1055" s="3" t="inlineStr">
        <is>
          <t>Derived allocation</t>
        </is>
      </c>
      <c r="H1055" s="3" t="inlineStr">
        <is>
          <t>1 - inference_power_share</t>
        </is>
      </c>
      <c r="I1055" s="3" t="inlineStr">
        <is>
          <t>Training receives the complementary modeled AI IT allocation; it is not a disclosed company workload split.</t>
        </is>
      </c>
      <c r="J1055" s="3" t="inlineStr">
        <is>
          <t>SRC_MS_PHI; SRC_OPENAI_GPT41_DOCS; SRC_MS_PHI4_TECHREPORT; SRC_MS_MAIA200; SRC_EPOCH_AI_DATA_CENTERS; ASSUMP_INFERENCE_SHARE_NOT_FACT_60</t>
        </is>
      </c>
      <c r="K1055" s="3" t="inlineStr">
        <is>
          <t>ASSUMP_POWER_RAMP; ASSUMP_MS_OPENAI_ATTRIBUTION; ASSUMP_NUMERIC_ACCELERATOR_MIX; ASSUMP_INFERENCE_SHARE_NOT_FACT_60; ASSUMP_WORKLOAD_CLASS_MIX; ASSUMP_AGENTIC_CONTEXT_PENALTY</t>
        </is>
      </c>
      <c r="L1055" s="3" t="inlineStr">
        <is>
          <t>Provider-specific inference/training workload power telemetry.</t>
        </is>
      </c>
    </row>
    <row r="1056">
      <c r="A1056" s="3" t="inlineStr">
        <is>
          <t>Microsoft</t>
        </is>
      </c>
      <c r="B1056" s="3" t="n">
        <v>2026</v>
      </c>
      <c r="C1056" s="3" t="inlineStr">
        <is>
          <t>Base</t>
        </is>
      </c>
      <c r="D1056" s="3" t="inlineStr">
        <is>
          <t>training_gw</t>
        </is>
      </c>
      <c r="E1056" s="3" t="n">
        <v>0.58</v>
      </c>
      <c r="F1056" s="3" t="inlineStr">
        <is>
          <t>GW</t>
        </is>
      </c>
      <c r="G1056" s="3" t="inlineStr">
        <is>
          <t>Derived formula</t>
        </is>
      </c>
      <c r="H1056" s="3" t="inlineStr">
        <is>
          <t>ai_it_load_gw * training_power_share</t>
        </is>
      </c>
      <c r="I1056" s="3" t="inlineStr">
        <is>
          <t>Training GW is shown separately so commercial inference token capacity is not overstated.</t>
        </is>
      </c>
      <c r="J1056" s="3" t="inlineStr">
        <is>
          <t>SRC_MS_PHI; SRC_OPENAI_GPT41_DOCS; SRC_MS_PHI4_TECHREPORT; SRC_MS_MAIA200; SRC_EPOCH_AI_DATA_CENTERS</t>
        </is>
      </c>
      <c r="K1056" s="3" t="inlineStr">
        <is>
          <t>ASSUMP_POWER_RAMP; ASSUMP_MS_OPENAI_ATTRIBUTION; ASSUMP_NUMERIC_ACCELERATOR_MIX; ASSUMP_INFERENCE_SHARE_NOT_FACT_60; ASSUMP_WORKLOAD_CLASS_MIX; ASSUMP_AGENTIC_CONTEXT_PENALTY</t>
        </is>
      </c>
      <c r="L1056" s="3" t="inlineStr">
        <is>
          <t>Recompute after AI allocation or workload-split evidence changes.</t>
        </is>
      </c>
    </row>
    <row r="1057">
      <c r="A1057" s="3" t="inlineStr">
        <is>
          <t>Microsoft</t>
        </is>
      </c>
      <c r="B1057" s="3" t="n">
        <v>2026</v>
      </c>
      <c r="C1057" s="3" t="inlineStr">
        <is>
          <t>Base</t>
        </is>
      </c>
      <c r="D1057" s="3" t="inlineStr">
        <is>
          <t>tokens_per_second_per_mw</t>
        </is>
      </c>
      <c r="E1057" s="3" t="n">
        <v>1651867</v>
      </c>
      <c r="F1057" s="3" t="inlineStr">
        <is>
          <t>generated output tokens/sec/MW</t>
        </is>
      </c>
      <c r="G1057" s="3" t="inlineStr">
        <is>
          <t>Derived estimate + benchmark calibration</t>
        </is>
      </c>
      <c r="H1057" s="3" t="inlineStr">
        <is>
          <t>fleet_reference_tps_per_mw * commercial_workload_fit_factor</t>
        </is>
      </c>
      <c r="I105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57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057" s="3" t="inlineStr">
        <is>
          <t>ASSUMP_POWER_RAMP; ASSUMP_MS_OPENAI_ATTRIBUTION; ASSUMP_NUMERIC_ACCELERATOR_MIX; ASSUMP_INFERENCE_SHARE_NOT_FACT_60; ASSUMP_WORKLOAD_CLASS_MIX; ASSUMP_AGENTIC_CONTEXT_PENALTY</t>
        </is>
      </c>
      <c r="L1057" s="3" t="inlineStr">
        <is>
          <t>Comparable production output-token throughput with model, hardware, precision, ISL/OSL and SLO matched.</t>
        </is>
      </c>
    </row>
    <row r="1058">
      <c r="A1058" s="3" t="inlineStr">
        <is>
          <t>Microsoft</t>
        </is>
      </c>
      <c r="B1058" s="3" t="n">
        <v>2026</v>
      </c>
      <c r="C1058" s="3" t="inlineStr">
        <is>
          <t>Base</t>
        </is>
      </c>
      <c r="D1058" s="3" t="inlineStr">
        <is>
          <t>inference_tokens_per_day</t>
        </is>
      </c>
      <c r="E1058" s="3" t="n">
        <v>101332129248000</v>
      </c>
      <c r="F1058" s="3" t="inlineStr">
        <is>
          <t>generated output tokens/day</t>
        </is>
      </c>
      <c r="G1058" s="3" t="inlineStr">
        <is>
          <t>Derived headline metric</t>
        </is>
      </c>
      <c r="H1058" s="3" t="inlineStr">
        <is>
          <t>inference_gw * 1000 * tokens_per_second_per_mw * 86,400</t>
        </is>
      </c>
      <c r="I1058" s="3" t="inlineStr">
        <is>
          <t>Headline capacity uses no utilization, MoE, architecture or software-growth multiplier; it is not observed commercial output volume.</t>
        </is>
      </c>
      <c r="J1058" s="3" t="inlineStr">
        <is>
          <t>SRC_MS_PHI; SRC_OPENAI_GPT41_DOCS; SRC_MS_PHI4_TECHREPORT; SRC_MS_MAIA200; SRC_EPOCH_AI_DATA_CENTERS; SRC_SEMIANALYSIS_INFERENCEX</t>
        </is>
      </c>
      <c r="K1058" s="3" t="inlineStr">
        <is>
          <t>ASSUMP_POWER_RAMP; ASSUMP_MS_OPENAI_ATTRIBUTION; ASSUMP_NUMERIC_ACCELERATOR_MIX; ASSUMP_INFERENCE_SHARE_NOT_FACT_60; ASSUMP_WORKLOAD_CLASS_MIX; ASSUMP_AGENTIC_CONTEXT_PENALTY</t>
        </is>
      </c>
      <c r="L1058" s="3" t="inlineStr">
        <is>
          <t>Provider-disclosed generated output token volume or calibrated capacity telemetry.</t>
        </is>
      </c>
    </row>
    <row r="1059">
      <c r="A1059" s="3" t="inlineStr">
        <is>
          <t>Microsoft</t>
        </is>
      </c>
      <c r="B1059" s="3" t="n">
        <v>2026</v>
      </c>
      <c r="C1059" s="3" t="inlineStr">
        <is>
          <t>Base</t>
        </is>
      </c>
      <c r="D1059" s="3" t="inlineStr">
        <is>
          <t>inference_tokens_per_year</t>
        </is>
      </c>
      <c r="E1059" s="3" t="n">
        <v>3.698622717552e+16</v>
      </c>
      <c r="F1059" s="3" t="inlineStr">
        <is>
          <t>generated output tokens/year</t>
        </is>
      </c>
      <c r="G1059" s="3" t="inlineStr">
        <is>
          <t>Derived headline metric</t>
        </is>
      </c>
      <c r="H1059" s="3" t="inlineStr">
        <is>
          <t>inference_tokens_per_day * 365</t>
        </is>
      </c>
      <c r="I1059" s="3" t="inlineStr">
        <is>
          <t>Annualized version of generated output token capacity; it is not observed annual demand or billable volume.</t>
        </is>
      </c>
      <c r="J1059" s="3" t="inlineStr">
        <is>
          <t>SRC_MS_PHI; SRC_OPENAI_GPT41_DOCS; SRC_MS_PHI4_TECHREPORT; SRC_MS_MAIA200; SRC_EPOCH_AI_DATA_CENTERS; SRC_SEMIANALYSIS_INFERENCEX</t>
        </is>
      </c>
      <c r="K1059" s="3" t="inlineStr">
        <is>
          <t>ASSUMP_POWER_RAMP; ASSUMP_MS_OPENAI_ATTRIBUTION; ASSUMP_NUMERIC_ACCELERATOR_MIX; ASSUMP_INFERENCE_SHARE_NOT_FACT_60; ASSUMP_WORKLOAD_CLASS_MIX; ASSUMP_AGENTIC_CONTEXT_PENALTY</t>
        </is>
      </c>
      <c r="L1059" s="3" t="inlineStr">
        <is>
          <t>Provider-disclosed annual generated-output volume or metered serving telemetry.</t>
        </is>
      </c>
    </row>
    <row r="1060">
      <c r="A1060" s="3" t="inlineStr">
        <is>
          <t>Microsoft</t>
        </is>
      </c>
      <c r="B1060" s="3" t="n">
        <v>2027</v>
      </c>
      <c r="C1060" s="3" t="inlineStr">
        <is>
          <t>Base</t>
        </is>
      </c>
      <c r="D1060" s="3" t="inlineStr">
        <is>
          <t>contracted_power_gw</t>
        </is>
      </c>
      <c r="E1060" s="3" t="n">
        <v>5.25</v>
      </c>
      <c r="F1060" s="3" t="inlineStr">
        <is>
          <t>GW</t>
        </is>
      </c>
      <c r="G1060" s="3" t="inlineStr">
        <is>
          <t>Scenario capacity envelope</t>
        </is>
      </c>
      <c r="H1060" s="3" t="inlineStr">
        <is>
          <t>linear interpolation between 2026 and 2030 company capacity endpoints</t>
        </is>
      </c>
      <c r="I1060" s="3" t="inlineStr">
        <is>
          <t>Scenario envelope for Microsoft-controlled/Copilot serving burden; not an official contracted-GW disclosure.</t>
        </is>
      </c>
      <c r="J1060" s="3" t="inlineStr">
        <is>
          <t>ASSUMP_POWER_RAMP; SRC_MS_MAIA200</t>
        </is>
      </c>
      <c r="K1060" s="3" t="inlineStr">
        <is>
          <t>ASSUMP_POWER_RAMP; ASSUMP_MS_OPENAI_ATTRIBUTION; ASSUMP_NUMERIC_ACCELERATOR_MIX; ASSUMP_INFERENCE_SHARE_NOT_FACT_60; ASSUMP_WORKLOAD_CLASS_MIX; ASSUMP_AGENTIC_CONTEXT_PENALTY</t>
        </is>
      </c>
      <c r="L1060" s="3" t="inlineStr">
        <is>
          <t>Company/site-level committed MW/GW, interconnect and contract disclosure.</t>
        </is>
      </c>
    </row>
    <row r="1061">
      <c r="A1061" s="3" t="inlineStr">
        <is>
          <t>Microsoft</t>
        </is>
      </c>
      <c r="B1061" s="3" t="n">
        <v>2027</v>
      </c>
      <c r="C1061" s="3" t="inlineStr">
        <is>
          <t>Base</t>
        </is>
      </c>
      <c r="D1061" s="3" t="inlineStr">
        <is>
          <t>operational_deployment_share</t>
        </is>
      </c>
      <c r="E1061" s="3" t="n">
        <v>0.55238095</v>
      </c>
      <c r="F1061" s="3" t="inlineStr">
        <is>
          <t>share</t>
        </is>
      </c>
      <c r="G1061" s="3" t="inlineStr">
        <is>
          <t>Scenario conversion</t>
        </is>
      </c>
      <c r="H1061" s="3" t="inlineStr">
        <is>
          <t>active_power_gw / contracted_power_gw</t>
        </is>
      </c>
      <c r="I1061" s="3" t="inlineStr">
        <is>
          <t>This is the single explicit conversion from contracted/attributed capacity to operationally usable capacity.</t>
        </is>
      </c>
      <c r="J1061" s="3" t="inlineStr">
        <is>
          <t>ASSUMP_POWER_RAMP; SRC_MS_MAIA200</t>
        </is>
      </c>
      <c r="K1061" s="3" t="inlineStr">
        <is>
          <t>ASSUMP_POWER_RAMP; ASSUMP_MS_OPENAI_ATTRIBUTION; ASSUMP_NUMERIC_ACCELERATOR_MIX; ASSUMP_INFERENCE_SHARE_NOT_FACT_60; ASSUMP_WORKLOAD_CLASS_MIX; ASSUMP_AGENTIC_CONTEXT_PENALTY</t>
        </is>
      </c>
      <c r="L1061" s="3" t="inlineStr">
        <is>
          <t>Energized operational capacity divided by contracted/attributed capacity.</t>
        </is>
      </c>
    </row>
    <row r="1062">
      <c r="A1062" s="3" t="inlineStr">
        <is>
          <t>Microsoft</t>
        </is>
      </c>
      <c r="B1062" s="3" t="n">
        <v>2027</v>
      </c>
      <c r="C1062" s="3" t="inlineStr">
        <is>
          <t>Base</t>
        </is>
      </c>
      <c r="D1062" s="3" t="inlineStr">
        <is>
          <t>active_power_gw</t>
        </is>
      </c>
      <c r="E1062" s="3" t="n">
        <v>2.9</v>
      </c>
      <c r="F1062" s="3" t="inlineStr">
        <is>
          <t>GW</t>
        </is>
      </c>
      <c r="G1062" s="3" t="inlineStr">
        <is>
          <t>Derived scenario</t>
        </is>
      </c>
      <c r="H1062" s="3" t="inlineStr">
        <is>
          <t>contracted_power_gw * operational_deployment_share</t>
        </is>
      </c>
      <c r="I1062" s="3" t="inlineStr">
        <is>
          <t>Active GW is a staged operational deployment fraction of modeled capacity, reflecting site energization and accelerator availability.</t>
        </is>
      </c>
      <c r="J1062" s="3" t="inlineStr">
        <is>
          <t>ASSUMP_POWER_RAMP; SRC_MS_MAIA200</t>
        </is>
      </c>
      <c r="K1062" s="3" t="inlineStr">
        <is>
          <t>ASSUMP_POWER_RAMP; ASSUMP_MS_OPENAI_ATTRIBUTION; ASSUMP_NUMERIC_ACCELERATOR_MIX; ASSUMP_INFERENCE_SHARE_NOT_FACT_60; ASSUMP_WORKLOAD_CLASS_MIX; ASSUMP_AGENTIC_CONTEXT_PENALTY</t>
        </is>
      </c>
      <c r="L1062" s="3" t="inlineStr">
        <is>
          <t>Energization dates, accelerator deliveries and operational powered-rack telemetry.</t>
        </is>
      </c>
    </row>
    <row r="1063">
      <c r="A1063" s="3" t="inlineStr">
        <is>
          <t>Microsoft</t>
        </is>
      </c>
      <c r="B1063" s="3" t="n">
        <v>2027</v>
      </c>
      <c r="C1063" s="3" t="inlineStr">
        <is>
          <t>Base</t>
        </is>
      </c>
      <c r="D1063" s="3" t="inlineStr">
        <is>
          <t>pue</t>
        </is>
      </c>
      <c r="E1063" s="3" t="n">
        <v>1.2</v>
      </c>
      <c r="F1063" s="3" t="inlineStr">
        <is>
          <t>ratio</t>
        </is>
      </c>
      <c r="G1063" s="3" t="inlineStr">
        <is>
          <t>Scenario parameter</t>
        </is>
      </c>
      <c r="H1063" s="3" t="inlineStr">
        <is>
          <t>it_load_gw = active_power_gw / pue</t>
        </is>
      </c>
      <c r="I1063" s="3" t="inlineStr">
        <is>
          <t>No provider-wide site-level PUE is used as a disclosed fact; PUE represents facility-to-IT conversion within the scenario.</t>
        </is>
      </c>
      <c r="J1063" s="3" t="inlineStr">
        <is>
          <t>ASSUMP_POWER_RAMP</t>
        </is>
      </c>
      <c r="K1063" s="3" t="inlineStr">
        <is>
          <t>ASSUMP_POWER_RAMP; ASSUMP_MS_OPENAI_ATTRIBUTION; ASSUMP_NUMERIC_ACCELERATOR_MIX; ASSUMP_INFERENCE_SHARE_NOT_FACT_60; ASSUMP_WORKLOAD_CLASS_MIX; ASSUMP_AGENTIC_CONTEXT_PENALTY</t>
        </is>
      </c>
      <c r="L1063" s="3" t="inlineStr">
        <is>
          <t>Site-level measured PUE matched to attributed AI capacity.</t>
        </is>
      </c>
    </row>
    <row r="1064">
      <c r="A1064" s="3" t="inlineStr">
        <is>
          <t>Microsoft</t>
        </is>
      </c>
      <c r="B1064" s="3" t="n">
        <v>2027</v>
      </c>
      <c r="C1064" s="3" t="inlineStr">
        <is>
          <t>Base</t>
        </is>
      </c>
      <c r="D1064" s="3" t="inlineStr">
        <is>
          <t>it_load_gw</t>
        </is>
      </c>
      <c r="E1064" s="3" t="n">
        <v>2.417</v>
      </c>
      <c r="F1064" s="3" t="inlineStr">
        <is>
          <t>GW</t>
        </is>
      </c>
      <c r="G1064" s="3" t="inlineStr">
        <is>
          <t>Derived formula</t>
        </is>
      </c>
      <c r="H1064" s="3" t="inlineStr">
        <is>
          <t>active_power_gw / pue</t>
        </is>
      </c>
      <c r="I1064" s="3" t="inlineStr">
        <is>
          <t>Facility power is converted to IT-deliverable power before attributing AI workloads.</t>
        </is>
      </c>
      <c r="J1064" s="3" t="inlineStr">
        <is>
          <t>ASSUMP_POWER_RAMP; SRC_MS_MAIA200</t>
        </is>
      </c>
      <c r="K1064" s="3" t="inlineStr">
        <is>
          <t>ASSUMP_POWER_RAMP; ASSUMP_MS_OPENAI_ATTRIBUTION; ASSUMP_NUMERIC_ACCELERATOR_MIX; ASSUMP_INFERENCE_SHARE_NOT_FACT_60; ASSUMP_WORKLOAD_CLASS_MIX; ASSUMP_AGENTIC_CONTEXT_PENALTY</t>
        </is>
      </c>
      <c r="L1064" s="3" t="inlineStr">
        <is>
          <t>Recompute once active power and PUE become site-observable.</t>
        </is>
      </c>
    </row>
    <row r="1065">
      <c r="A1065" s="3" t="inlineStr">
        <is>
          <t>Microsoft</t>
        </is>
      </c>
      <c r="B1065" s="3" t="n">
        <v>2027</v>
      </c>
      <c r="C1065" s="3" t="inlineStr">
        <is>
          <t>Base</t>
        </is>
      </c>
      <c r="D1065" s="3" t="inlineStr">
        <is>
          <t>ai_workload_share</t>
        </is>
      </c>
      <c r="E1065" s="3" t="n">
        <v>0.86</v>
      </c>
      <c r="F1065" s="3" t="inlineStr">
        <is>
          <t>share</t>
        </is>
      </c>
      <c r="G1065" s="3" t="inlineStr">
        <is>
          <t>Scenario allocation</t>
        </is>
      </c>
      <c r="H1065" s="3" t="inlineStr">
        <is>
          <t>ai_it_load_gw = it_load_gw * ai_workload_share</t>
        </is>
      </c>
      <c r="I1065" s="3" t="inlineStr">
        <is>
          <t>Azure/Copilot serving burden is AI-oriented but shares infrastructure with platform and reserve overhead; 86% is a scenario allocation.</t>
        </is>
      </c>
      <c r="J1065" s="3" t="inlineStr">
        <is>
          <t>SRC_MS_PHI; SRC_OPENAI_GPT41_DOCS; SRC_MS_PHI4_TECHREPORT; SRC_MS_MAIA200; SRC_EPOCH_AI_DATA_CENTERS</t>
        </is>
      </c>
      <c r="K1065" s="3" t="inlineStr">
        <is>
          <t>ASSUMP_POWER_RAMP; ASSUMP_MS_OPENAI_ATTRIBUTION; ASSUMP_NUMERIC_ACCELERATOR_MIX; ASSUMP_INFERENCE_SHARE_NOT_FACT_60; ASSUMP_WORKLOAD_CLASS_MIX; ASSUMP_AGENTIC_CONTEXT_PENALTY</t>
        </is>
      </c>
      <c r="L1065" s="3" t="inlineStr">
        <is>
          <t>Model-owner AI workload allocation or cluster scheduling telemetry.</t>
        </is>
      </c>
    </row>
    <row r="1066">
      <c r="A1066" s="3" t="inlineStr">
        <is>
          <t>Microsoft</t>
        </is>
      </c>
      <c r="B1066" s="3" t="n">
        <v>2027</v>
      </c>
      <c r="C1066" s="3" t="inlineStr">
        <is>
          <t>Base</t>
        </is>
      </c>
      <c r="D1066" s="3" t="inlineStr">
        <is>
          <t>ai_it_load_gw</t>
        </is>
      </c>
      <c r="E1066" s="3" t="n">
        <v>2.078</v>
      </c>
      <c r="F1066" s="3" t="inlineStr">
        <is>
          <t>GW</t>
        </is>
      </c>
      <c r="G1066" s="3" t="inlineStr">
        <is>
          <t>Derived formula</t>
        </is>
      </c>
      <c r="H1066" s="3" t="inlineStr">
        <is>
          <t>it_load_gw * ai_workload_share</t>
        </is>
      </c>
      <c r="I1066" s="3" t="inlineStr">
        <is>
          <t>Only the AI-attributed portion of IT load enters training/inference allocation.</t>
        </is>
      </c>
      <c r="J1066" s="3" t="inlineStr">
        <is>
          <t>SRC_MS_PHI; SRC_OPENAI_GPT41_DOCS; SRC_MS_PHI4_TECHREPORT; SRC_MS_MAIA200; SRC_EPOCH_AI_DATA_CENTERS</t>
        </is>
      </c>
      <c r="K1066" s="3" t="inlineStr">
        <is>
          <t>ASSUMP_POWER_RAMP; ASSUMP_MS_OPENAI_ATTRIBUTION; ASSUMP_NUMERIC_ACCELERATOR_MIX; ASSUMP_INFERENCE_SHARE_NOT_FACT_60; ASSUMP_WORKLOAD_CLASS_MIX; ASSUMP_AGENTIC_CONTEXT_PENALTY</t>
        </is>
      </c>
      <c r="L1066" s="3" t="inlineStr">
        <is>
          <t>Recompute after ai_workload_share is replaced by telemetry.</t>
        </is>
      </c>
    </row>
    <row r="1067">
      <c r="A1067" s="3" t="inlineStr">
        <is>
          <t>Microsoft</t>
        </is>
      </c>
      <c r="B1067" s="3" t="n">
        <v>2027</v>
      </c>
      <c r="C1067" s="3" t="inlineStr">
        <is>
          <t>Base</t>
        </is>
      </c>
      <c r="D1067" s="3" t="inlineStr">
        <is>
          <t>gpu_share</t>
        </is>
      </c>
      <c r="E1067" s="3" t="n">
        <v>0.554524</v>
      </c>
      <c r="F1067" s="3" t="inlineStr">
        <is>
          <t>share of inference-serving accelerator load</t>
        </is>
      </c>
      <c r="G1067" s="3" t="inlineStr">
        <is>
          <t>Numeric scenario</t>
        </is>
      </c>
      <c r="H1067" s="3" t="inlineStr">
        <is>
          <t>gpu_share interpolated from company 2026/2030 accelerator-mix endpoints</t>
        </is>
      </c>
      <c r="I1067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67" s="3" t="inlineStr">
        <is>
          <t>SRC_MS_PHI; SRC_OPENAI_GPT41_DOCS; SRC_MS_PHI4_TECHREPORT; SRC_MS_MAIA200; SRC_EPOCH_AI_DATA_CENTERS; ASSUMP_NUMERIC_ACCELERATOR_MIX</t>
        </is>
      </c>
      <c r="K1067" s="3" t="inlineStr">
        <is>
          <t>ASSUMP_POWER_RAMP; ASSUMP_MS_OPENAI_ATTRIBUTION; ASSUMP_NUMERIC_ACCELERATOR_MIX; ASSUMP_INFERENCE_SHARE_NOT_FACT_60; ASSUMP_WORKLOAD_CLASS_MIX; ASSUMP_AGENTIC_CONTEXT_PENALTY</t>
        </is>
      </c>
      <c r="L1067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68">
      <c r="A1068" s="3" t="inlineStr">
        <is>
          <t>Microsoft</t>
        </is>
      </c>
      <c r="B1068" s="3" t="n">
        <v>2027</v>
      </c>
      <c r="C1068" s="3" t="inlineStr">
        <is>
          <t>Base</t>
        </is>
      </c>
      <c r="D1068" s="3" t="inlineStr">
        <is>
          <t>h200_share</t>
        </is>
      </c>
      <c r="E1068" s="3" t="n">
        <v>0.033529</v>
      </c>
      <c r="F1068" s="3" t="inlineStr">
        <is>
          <t>share of inference-serving accelerator load</t>
        </is>
      </c>
      <c r="G1068" s="3" t="inlineStr">
        <is>
          <t>Editable numeric scenario</t>
        </is>
      </c>
      <c r="H1068" s="3" t="inlineStr">
        <is>
          <t>h200_share = gpu_share * default_gpu_generation_mix_h200</t>
        </is>
      </c>
      <c r="I1068" s="3" t="inlineStr">
        <is>
          <t>Default GPU-generation migration assumption; executive workbook allows later manual replacement by company/year/scenario.</t>
        </is>
      </c>
      <c r="J1068" s="3" t="inlineStr">
        <is>
          <t>SRC_SEMIANALYSIS_INFERENCEX; ASSUMP_NUMERIC_ACCELERATOR_MIX</t>
        </is>
      </c>
      <c r="K1068" s="3" t="inlineStr">
        <is>
          <t>ASSUMP_POWER_RAMP; ASSUMP_MS_OPENAI_ATTRIBUTION; ASSUMP_NUMERIC_ACCELERATOR_MIX; ASSUMP_INFERENCE_SHARE_NOT_FACT_60; ASSUMP_WORKLOAD_CLASS_MIX; ASSUMP_AGENTIC_CONTEXT_PENALTY</t>
        </is>
      </c>
      <c r="L1068" s="3" t="inlineStr">
        <is>
          <t>Company fleet inventory, accelerator-hours or procurement/deployment records by GPU generation.</t>
        </is>
      </c>
    </row>
    <row r="1069">
      <c r="A1069" s="3" t="inlineStr">
        <is>
          <t>Microsoft</t>
        </is>
      </c>
      <c r="B1069" s="3" t="n">
        <v>2027</v>
      </c>
      <c r="C1069" s="3" t="inlineStr">
        <is>
          <t>Base</t>
        </is>
      </c>
      <c r="D1069" s="3" t="inlineStr">
        <is>
          <t>b200_share</t>
        </is>
      </c>
      <c r="E1069" s="3" t="n">
        <v>0.520995</v>
      </c>
      <c r="F1069" s="3" t="inlineStr">
        <is>
          <t>share of inference-serving accelerator load</t>
        </is>
      </c>
      <c r="G1069" s="3" t="inlineStr">
        <is>
          <t>Editable numeric scenario</t>
        </is>
      </c>
      <c r="H1069" s="3" t="inlineStr">
        <is>
          <t>b200_share = gpu_share * default_gpu_generation_mix_b200</t>
        </is>
      </c>
      <c r="I1069" s="3" t="inlineStr">
        <is>
          <t>Default GPU-generation migration assumption; executive workbook allows later manual replacement by company/year/scenario.</t>
        </is>
      </c>
      <c r="J1069" s="3" t="inlineStr">
        <is>
          <t>SRC_SEMIANALYSIS_INFERENCEX; ASSUMP_NUMERIC_ACCELERATOR_MIX</t>
        </is>
      </c>
      <c r="K1069" s="3" t="inlineStr">
        <is>
          <t>ASSUMP_POWER_RAMP; ASSUMP_MS_OPENAI_ATTRIBUTION; ASSUMP_NUMERIC_ACCELERATOR_MIX; ASSUMP_INFERENCE_SHARE_NOT_FACT_60; ASSUMP_WORKLOAD_CLASS_MIX; ASSUMP_AGENTIC_CONTEXT_PENALTY</t>
        </is>
      </c>
      <c r="L1069" s="3" t="inlineStr">
        <is>
          <t>Company fleet inventory, accelerator-hours or procurement/deployment records by GPU generation.</t>
        </is>
      </c>
    </row>
    <row r="1070">
      <c r="A1070" s="3" t="inlineStr">
        <is>
          <t>Microsoft</t>
        </is>
      </c>
      <c r="B1070" s="3" t="n">
        <v>2027</v>
      </c>
      <c r="C1070" s="3" t="inlineStr">
        <is>
          <t>Base</t>
        </is>
      </c>
      <c r="D1070" s="3" t="inlineStr">
        <is>
          <t>gb200_share</t>
        </is>
      </c>
      <c r="E1070" s="3" t="n">
        <v>0</v>
      </c>
      <c r="F1070" s="3" t="inlineStr">
        <is>
          <t>share of inference-serving accelerator load</t>
        </is>
      </c>
      <c r="G1070" s="3" t="inlineStr">
        <is>
          <t>Editable numeric scenario</t>
        </is>
      </c>
      <c r="H1070" s="3" t="inlineStr">
        <is>
          <t>gb200_share = gpu_share * default_gpu_generation_mix_gb200</t>
        </is>
      </c>
      <c r="I1070" s="3" t="inlineStr">
        <is>
          <t>Default GPU-generation migration assumption; executive workbook allows later manual replacement by company/year/scenario.</t>
        </is>
      </c>
      <c r="J1070" s="3" t="inlineStr">
        <is>
          <t>SRC_SEMIANALYSIS_INFERENCEX; ASSUMP_NUMERIC_ACCELERATOR_MIX</t>
        </is>
      </c>
      <c r="K1070" s="3" t="inlineStr">
        <is>
          <t>ASSUMP_POWER_RAMP; ASSUMP_MS_OPENAI_ATTRIBUTION; ASSUMP_NUMERIC_ACCELERATOR_MIX; ASSUMP_INFERENCE_SHARE_NOT_FACT_60; ASSUMP_WORKLOAD_CLASS_MIX; ASSUMP_AGENTIC_CONTEXT_PENALTY</t>
        </is>
      </c>
      <c r="L1070" s="3" t="inlineStr">
        <is>
          <t>Company fleet inventory, accelerator-hours or procurement/deployment records by GPU generation.</t>
        </is>
      </c>
    </row>
    <row r="1071">
      <c r="A1071" s="3" t="inlineStr">
        <is>
          <t>Microsoft</t>
        </is>
      </c>
      <c r="B1071" s="3" t="n">
        <v>2027</v>
      </c>
      <c r="C1071" s="3" t="inlineStr">
        <is>
          <t>Base</t>
        </is>
      </c>
      <c r="D1071" s="3" t="inlineStr">
        <is>
          <t>purpose_built_accelerator_share</t>
        </is>
      </c>
      <c r="E1071" s="3" t="n">
        <v>0.445476</v>
      </c>
      <c r="F1071" s="3" t="inlineStr">
        <is>
          <t>share of inference-serving accelerator load</t>
        </is>
      </c>
      <c r="G1071" s="3" t="inlineStr">
        <is>
          <t>Numeric scenario</t>
        </is>
      </c>
      <c r="H1071" s="3" t="inlineStr">
        <is>
          <t>1 - gpu_share</t>
        </is>
      </c>
      <c r="I1071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71" s="3" t="inlineStr">
        <is>
          <t>SRC_MS_PHI; SRC_OPENAI_GPT41_DOCS; SRC_MS_PHI4_TECHREPORT; SRC_MS_MAIA200; SRC_EPOCH_AI_DATA_CENTERS; ASSUMP_NUMERIC_ACCELERATOR_MIX</t>
        </is>
      </c>
      <c r="K1071" s="3" t="inlineStr">
        <is>
          <t>ASSUMP_POWER_RAMP; ASSUMP_MS_OPENAI_ATTRIBUTION; ASSUMP_NUMERIC_ACCELERATOR_MIX; ASSUMP_INFERENCE_SHARE_NOT_FACT_60; ASSUMP_WORKLOAD_CLASS_MIX; ASSUMP_AGENTIC_CONTEXT_PENALTY</t>
        </is>
      </c>
      <c r="L1071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72">
      <c r="A1072" s="3" t="inlineStr">
        <is>
          <t>Microsoft</t>
        </is>
      </c>
      <c r="B1072" s="3" t="n">
        <v>2027</v>
      </c>
      <c r="C1072" s="3" t="inlineStr">
        <is>
          <t>Base</t>
        </is>
      </c>
      <c r="D1072" s="3" t="inlineStr">
        <is>
          <t>fleet_reference_tps_per_mw</t>
        </is>
      </c>
      <c r="E1072" s="3" t="n">
        <v>2834024</v>
      </c>
      <c r="F1072" s="3" t="inlineStr">
        <is>
          <t>generated output tokens/sec/MW</t>
        </is>
      </c>
      <c r="G1072" s="3" t="inlineStr">
        <is>
          <t>Fleet-weighted public benchmark reference</t>
        </is>
      </c>
      <c r="H1072" s="3" t="inlineStr">
        <is>
          <t>h200_share*h200_workload_avg + b200_share*b200_workload_avg + gb200_share*gb200_workload_avg + purpose_built_share*purpose_workload_avg</t>
        </is>
      </c>
      <c r="I107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72" s="3" t="inlineStr">
        <is>
          <t>SRC_SEMIANALYSIS_INFERENCEX; ASSUMP_NUMERIC_ACCELERATOR_MIX; ASSUMP_WORKLOAD_CLASS_MIX; ASSUMP_AGENTIC_CONTEXT_PENALTY</t>
        </is>
      </c>
      <c r="K1072" s="3" t="inlineStr">
        <is>
          <t>ASSUMP_POWER_RAMP; ASSUMP_MS_OPENAI_ATTRIBUTION; ASSUMP_NUMERIC_ACCELERATOR_MIX; ASSUMP_INFERENCE_SHARE_NOT_FACT_60; ASSUMP_WORKLOAD_CLASS_MIX; ASSUMP_AGENTIC_CONTEXT_PENALTY</t>
        </is>
      </c>
      <c r="L1072" s="3" t="inlineStr">
        <is>
          <t>Comparable production output-token throughput or a more closely matched benchmark.</t>
        </is>
      </c>
    </row>
    <row r="1073">
      <c r="A1073" s="3" t="inlineStr">
        <is>
          <t>Microsoft</t>
        </is>
      </c>
      <c r="B1073" s="3" t="n">
        <v>2027</v>
      </c>
      <c r="C1073" s="3" t="inlineStr">
        <is>
          <t>Base</t>
        </is>
      </c>
      <c r="D1073" s="3" t="inlineStr">
        <is>
          <t>commercial_workload_fit_factor</t>
        </is>
      </c>
      <c r="E1073" s="3" t="n">
        <v>0.6</v>
      </c>
      <c r="F1073" s="3" t="inlineStr">
        <is>
          <t>share of public reference throughput</t>
        </is>
      </c>
      <c r="G1073" s="3" t="inlineStr">
        <is>
          <t>Scenario assumption</t>
        </is>
      </c>
      <c r="H1073" s="3" t="inlineStr">
        <is>
          <t>reference_serving_tps_per_mw = fleet_reference_tps_per_mw * commercial_workload_fit_factor</t>
        </is>
      </c>
      <c r="I107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73" s="3" t="inlineStr">
        <is>
          <t>SRC_SEMIANALYSIS_INFERENCEX; ASSUMP_NUMERIC_ACCELERATOR_MIX; ASSUMP_WORKLOAD_CLASS_MIX; ASSUMP_AGENTIC_CONTEXT_PENALTY</t>
        </is>
      </c>
      <c r="K1073" s="3" t="inlineStr">
        <is>
          <t>ASSUMP_POWER_RAMP; ASSUMP_MS_OPENAI_ATTRIBUTION; ASSUMP_NUMERIC_ACCELERATOR_MIX; ASSUMP_INFERENCE_SHARE_NOT_FACT_60; ASSUMP_WORKLOAD_CLASS_MIX; ASSUMP_AGENTIC_CONTEXT_PENALTY</t>
        </is>
      </c>
      <c r="L1073" s="3" t="inlineStr">
        <is>
          <t>Matched commercial serving benchmark by product surface, context shape and latency SLO.</t>
        </is>
      </c>
    </row>
    <row r="1074">
      <c r="A1074" s="3" t="inlineStr">
        <is>
          <t>Microsoft</t>
        </is>
      </c>
      <c r="B1074" s="3" t="n">
        <v>2027</v>
      </c>
      <c r="C1074" s="3" t="inlineStr">
        <is>
          <t>Base</t>
        </is>
      </c>
      <c r="D1074" s="3" t="inlineStr">
        <is>
          <t>reference_serving_tps_per_mw</t>
        </is>
      </c>
      <c r="E1074" s="3" t="n">
        <v>1700414</v>
      </c>
      <c r="F1074" s="3" t="inlineStr">
        <is>
          <t>generated output tokens/sec/MW</t>
        </is>
      </c>
      <c r="G1074" s="3" t="inlineStr">
        <is>
          <t>Workload-adjusted benchmark proxy</t>
        </is>
      </c>
      <c r="H1074" s="3" t="inlineStr">
        <is>
          <t>fleet_reference_tps_per_mw * commercial_workload_fit_factor</t>
        </is>
      </c>
      <c r="I1074" s="3" t="inlineStr">
        <is>
          <t>This is the coefficient used for headline token generation; each GPU's short chat, long chat and agentic TPS/MW are weighted before fleet mix and commercial fit are applied.</t>
        </is>
      </c>
      <c r="J1074" s="3" t="inlineStr">
        <is>
          <t>SRC_SEMIANALYSIS_INFERENCEX; ASSUMP_NUMERIC_ACCELERATOR_MIX; ASSUMP_WORKLOAD_CLASS_MIX; ASSUMP_AGENTIC_CONTEXT_PENALTY</t>
        </is>
      </c>
      <c r="K1074" s="3" t="inlineStr">
        <is>
          <t>ASSUMP_POWER_RAMP; ASSUMP_MS_OPENAI_ATTRIBUTION; ASSUMP_NUMERIC_ACCELERATOR_MIX; ASSUMP_INFERENCE_SHARE_NOT_FACT_60; ASSUMP_WORKLOAD_CLASS_MIX; ASSUMP_AGENTIC_CONTEXT_PENALTY</t>
        </is>
      </c>
      <c r="L1074" s="3" t="inlineStr">
        <is>
          <t>Provider production output-token throughput with comparable workload/SLO.</t>
        </is>
      </c>
    </row>
    <row r="1075">
      <c r="A1075" s="3" t="inlineStr">
        <is>
          <t>Microsoft</t>
        </is>
      </c>
      <c r="B1075" s="3" t="n">
        <v>2027</v>
      </c>
      <c r="C1075" s="3" t="inlineStr">
        <is>
          <t>Base</t>
        </is>
      </c>
      <c r="D1075" s="3" t="inlineStr">
        <is>
          <t>purpose_built_tps_per_mw</t>
        </is>
      </c>
      <c r="E1075" s="3" t="n">
        <v>2710180</v>
      </c>
      <c r="F1075" s="3" t="inlineStr">
        <is>
          <t>generated output tokens/sec/MW</t>
        </is>
      </c>
      <c r="G1075" s="3" t="inlineStr">
        <is>
          <t>Conservative no-uplift proxy</t>
        </is>
      </c>
      <c r="H1075" s="3" t="inlineStr">
        <is>
          <t>purpose_built_tps_per_mw = purpose_built_reference_tps_per_mw * commercial_workload_fit_factor until comparable output-token benchmark is adopted</t>
        </is>
      </c>
      <c r="I1075" s="3" t="inlineStr">
        <is>
          <t>No comparable public output-token/MW row adopted; B200 public reference placeholder is used and remains editable.</t>
        </is>
      </c>
      <c r="J1075" s="3" t="inlineStr">
        <is>
          <t>SRC_MS_PHI; SRC_OPENAI_GPT41_DOCS; SRC_MS_PHI4_TECHREPORT; SRC_MS_MAIA200; SRC_EPOCH_AI_DATA_CENTERS; ASSUMP_NUMERIC_ACCELERATOR_MIX</t>
        </is>
      </c>
      <c r="K1075" s="3" t="inlineStr">
        <is>
          <t>ASSUMP_POWER_RAMP; ASSUMP_MS_OPENAI_ATTRIBUTION; ASSUMP_NUMERIC_ACCELERATOR_MIX; ASSUMP_INFERENCE_SHARE_NOT_FACT_60; ASSUMP_WORKLOAD_CLASS_MIX; ASSUMP_AGENTIC_CONTEXT_PENALTY</t>
        </is>
      </c>
      <c r="L1075" s="3" t="inlineStr">
        <is>
          <t>Matched-workload generated-output benchmark for the provider purpose-built accelerator.</t>
        </is>
      </c>
    </row>
    <row r="1076">
      <c r="A1076" s="3" t="inlineStr">
        <is>
          <t>Microsoft</t>
        </is>
      </c>
      <c r="B1076" s="3" t="n">
        <v>2027</v>
      </c>
      <c r="C1076" s="3" t="inlineStr">
        <is>
          <t>Base</t>
        </is>
      </c>
      <c r="D1076" s="3" t="inlineStr">
        <is>
          <t>inference_power_share</t>
        </is>
      </c>
      <c r="E1076" s="3" t="n">
        <v>0.6</v>
      </c>
      <c r="F1076" s="3" t="inlineStr">
        <is>
          <t>share of AI IT load</t>
        </is>
      </c>
      <c r="G1076" s="3" t="inlineStr">
        <is>
          <t>Scenario allocation</t>
        </is>
      </c>
      <c r="H1076" s="3" t="inlineStr">
        <is>
          <t>inference_gw = ai_it_load_gw * inference_power_share</t>
        </is>
      </c>
      <c r="I1076" s="3" t="inlineStr">
        <is>
          <t>Copilot commercial serving growth supports rising inference allocation; OpenAI model-owner output must remain separately attributed.</t>
        </is>
      </c>
      <c r="J1076" s="3" t="inlineStr">
        <is>
          <t>SRC_MS_PHI; SRC_OPENAI_GPT41_DOCS; SRC_MS_PHI4_TECHREPORT; SRC_MS_MAIA200; SRC_EPOCH_AI_DATA_CENTERS; ASSUMP_INFERENCE_SHARE_NOT_FACT_60</t>
        </is>
      </c>
      <c r="K1076" s="3" t="inlineStr">
        <is>
          <t>ASSUMP_POWER_RAMP; ASSUMP_MS_OPENAI_ATTRIBUTION; ASSUMP_NUMERIC_ACCELERATOR_MIX; ASSUMP_INFERENCE_SHARE_NOT_FACT_60; ASSUMP_WORKLOAD_CLASS_MIX; ASSUMP_AGENTIC_CONTEXT_PENALTY</t>
        </is>
      </c>
      <c r="L1076" s="3" t="inlineStr">
        <is>
          <t>Provider-specific inference/training workload power telemetry.</t>
        </is>
      </c>
    </row>
    <row r="1077">
      <c r="A1077" s="3" t="inlineStr">
        <is>
          <t>Microsoft</t>
        </is>
      </c>
      <c r="B1077" s="3" t="n">
        <v>2027</v>
      </c>
      <c r="C1077" s="3" t="inlineStr">
        <is>
          <t>Base</t>
        </is>
      </c>
      <c r="D1077" s="3" t="inlineStr">
        <is>
          <t>inference_gw</t>
        </is>
      </c>
      <c r="E1077" s="3" t="n">
        <v>1.247</v>
      </c>
      <c r="F1077" s="3" t="inlineStr">
        <is>
          <t>GW</t>
        </is>
      </c>
      <c r="G1077" s="3" t="inlineStr">
        <is>
          <t>Derived formula</t>
        </is>
      </c>
      <c r="H1077" s="3" t="inlineStr">
        <is>
          <t>ai_it_load_gw * inference_power_share</t>
        </is>
      </c>
      <c r="I1077" s="3" t="inlineStr">
        <is>
          <t>This is the operational power eligible to become commercial generated output tokens through the selected TPS/MW proxy.</t>
        </is>
      </c>
      <c r="J1077" s="3" t="inlineStr">
        <is>
          <t>SRC_MS_PHI; SRC_OPENAI_GPT41_DOCS; SRC_MS_PHI4_TECHREPORT; SRC_MS_MAIA200; SRC_EPOCH_AI_DATA_CENTERS</t>
        </is>
      </c>
      <c r="K1077" s="3" t="inlineStr">
        <is>
          <t>ASSUMP_POWER_RAMP; ASSUMP_MS_OPENAI_ATTRIBUTION; ASSUMP_NUMERIC_ACCELERATOR_MIX; ASSUMP_INFERENCE_SHARE_NOT_FACT_60; ASSUMP_WORKLOAD_CLASS_MIX; ASSUMP_AGENTIC_CONTEXT_PENALTY</t>
        </is>
      </c>
      <c r="L1077" s="3" t="inlineStr">
        <is>
          <t>Recompute after AI allocation or inference-share evidence changes.</t>
        </is>
      </c>
    </row>
    <row r="1078">
      <c r="A1078" s="3" t="inlineStr">
        <is>
          <t>Microsoft</t>
        </is>
      </c>
      <c r="B1078" s="3" t="n">
        <v>2027</v>
      </c>
      <c r="C1078" s="3" t="inlineStr">
        <is>
          <t>Base</t>
        </is>
      </c>
      <c r="D1078" s="3" t="inlineStr">
        <is>
          <t>training_power_share</t>
        </is>
      </c>
      <c r="E1078" s="3" t="n">
        <v>0.4</v>
      </c>
      <c r="F1078" s="3" t="inlineStr">
        <is>
          <t>share of AI IT load</t>
        </is>
      </c>
      <c r="G1078" s="3" t="inlineStr">
        <is>
          <t>Derived allocation</t>
        </is>
      </c>
      <c r="H1078" s="3" t="inlineStr">
        <is>
          <t>1 - inference_power_share</t>
        </is>
      </c>
      <c r="I1078" s="3" t="inlineStr">
        <is>
          <t>Training receives the complementary modeled AI IT allocation; it is not a disclosed company workload split.</t>
        </is>
      </c>
      <c r="J1078" s="3" t="inlineStr">
        <is>
          <t>SRC_MS_PHI; SRC_OPENAI_GPT41_DOCS; SRC_MS_PHI4_TECHREPORT; SRC_MS_MAIA200; SRC_EPOCH_AI_DATA_CENTERS; ASSUMP_INFERENCE_SHARE_NOT_FACT_60</t>
        </is>
      </c>
      <c r="K1078" s="3" t="inlineStr">
        <is>
          <t>ASSUMP_POWER_RAMP; ASSUMP_MS_OPENAI_ATTRIBUTION; ASSUMP_NUMERIC_ACCELERATOR_MIX; ASSUMP_INFERENCE_SHARE_NOT_FACT_60; ASSUMP_WORKLOAD_CLASS_MIX; ASSUMP_AGENTIC_CONTEXT_PENALTY</t>
        </is>
      </c>
      <c r="L1078" s="3" t="inlineStr">
        <is>
          <t>Provider-specific inference/training workload power telemetry.</t>
        </is>
      </c>
    </row>
    <row r="1079">
      <c r="A1079" s="3" t="inlineStr">
        <is>
          <t>Microsoft</t>
        </is>
      </c>
      <c r="B1079" s="3" t="n">
        <v>2027</v>
      </c>
      <c r="C1079" s="3" t="inlineStr">
        <is>
          <t>Base</t>
        </is>
      </c>
      <c r="D1079" s="3" t="inlineStr">
        <is>
          <t>training_gw</t>
        </is>
      </c>
      <c r="E1079" s="3" t="n">
        <v>0.831</v>
      </c>
      <c r="F1079" s="3" t="inlineStr">
        <is>
          <t>GW</t>
        </is>
      </c>
      <c r="G1079" s="3" t="inlineStr">
        <is>
          <t>Derived formula</t>
        </is>
      </c>
      <c r="H1079" s="3" t="inlineStr">
        <is>
          <t>ai_it_load_gw * training_power_share</t>
        </is>
      </c>
      <c r="I1079" s="3" t="inlineStr">
        <is>
          <t>Training GW is shown separately so commercial inference token capacity is not overstated.</t>
        </is>
      </c>
      <c r="J1079" s="3" t="inlineStr">
        <is>
          <t>SRC_MS_PHI; SRC_OPENAI_GPT41_DOCS; SRC_MS_PHI4_TECHREPORT; SRC_MS_MAIA200; SRC_EPOCH_AI_DATA_CENTERS</t>
        </is>
      </c>
      <c r="K1079" s="3" t="inlineStr">
        <is>
          <t>ASSUMP_POWER_RAMP; ASSUMP_MS_OPENAI_ATTRIBUTION; ASSUMP_NUMERIC_ACCELERATOR_MIX; ASSUMP_INFERENCE_SHARE_NOT_FACT_60; ASSUMP_WORKLOAD_CLASS_MIX; ASSUMP_AGENTIC_CONTEXT_PENALTY</t>
        </is>
      </c>
      <c r="L1079" s="3" t="inlineStr">
        <is>
          <t>Recompute after AI allocation or workload-split evidence changes.</t>
        </is>
      </c>
    </row>
    <row r="1080">
      <c r="A1080" s="3" t="inlineStr">
        <is>
          <t>Microsoft</t>
        </is>
      </c>
      <c r="B1080" s="3" t="n">
        <v>2027</v>
      </c>
      <c r="C1080" s="3" t="inlineStr">
        <is>
          <t>Base</t>
        </is>
      </c>
      <c r="D1080" s="3" t="inlineStr">
        <is>
          <t>tokens_per_second_per_mw</t>
        </is>
      </c>
      <c r="E1080" s="3" t="n">
        <v>1700414</v>
      </c>
      <c r="F1080" s="3" t="inlineStr">
        <is>
          <t>generated output tokens/sec/MW</t>
        </is>
      </c>
      <c r="G1080" s="3" t="inlineStr">
        <is>
          <t>Derived estimate + benchmark calibration</t>
        </is>
      </c>
      <c r="H1080" s="3" t="inlineStr">
        <is>
          <t>fleet_reference_tps_per_mw * commercial_workload_fit_factor</t>
        </is>
      </c>
      <c r="I108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080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080" s="3" t="inlineStr">
        <is>
          <t>ASSUMP_POWER_RAMP; ASSUMP_MS_OPENAI_ATTRIBUTION; ASSUMP_NUMERIC_ACCELERATOR_MIX; ASSUMP_INFERENCE_SHARE_NOT_FACT_60; ASSUMP_WORKLOAD_CLASS_MIX; ASSUMP_AGENTIC_CONTEXT_PENALTY</t>
        </is>
      </c>
      <c r="L1080" s="3" t="inlineStr">
        <is>
          <t>Comparable production output-token throughput with model, hardware, precision, ISL/OSL and SLO matched.</t>
        </is>
      </c>
    </row>
    <row r="1081">
      <c r="A1081" s="3" t="inlineStr">
        <is>
          <t>Microsoft</t>
        </is>
      </c>
      <c r="B1081" s="3" t="n">
        <v>2027</v>
      </c>
      <c r="C1081" s="3" t="inlineStr">
        <is>
          <t>Base</t>
        </is>
      </c>
      <c r="D1081" s="3" t="inlineStr">
        <is>
          <t>inference_tokens_per_day</t>
        </is>
      </c>
      <c r="E1081" s="3" t="n">
        <v>183203964691200</v>
      </c>
      <c r="F1081" s="3" t="inlineStr">
        <is>
          <t>generated output tokens/day</t>
        </is>
      </c>
      <c r="G1081" s="3" t="inlineStr">
        <is>
          <t>Derived headline metric</t>
        </is>
      </c>
      <c r="H1081" s="3" t="inlineStr">
        <is>
          <t>inference_gw * 1000 * tokens_per_second_per_mw * 86,400</t>
        </is>
      </c>
      <c r="I1081" s="3" t="inlineStr">
        <is>
          <t>Headline capacity uses no utilization, MoE, architecture or software-growth multiplier; it is not observed commercial output volume.</t>
        </is>
      </c>
      <c r="J1081" s="3" t="inlineStr">
        <is>
          <t>SRC_MS_PHI; SRC_OPENAI_GPT41_DOCS; SRC_MS_PHI4_TECHREPORT; SRC_MS_MAIA200; SRC_EPOCH_AI_DATA_CENTERS; SRC_SEMIANALYSIS_INFERENCEX</t>
        </is>
      </c>
      <c r="K1081" s="3" t="inlineStr">
        <is>
          <t>ASSUMP_POWER_RAMP; ASSUMP_MS_OPENAI_ATTRIBUTION; ASSUMP_NUMERIC_ACCELERATOR_MIX; ASSUMP_INFERENCE_SHARE_NOT_FACT_60; ASSUMP_WORKLOAD_CLASS_MIX; ASSUMP_AGENTIC_CONTEXT_PENALTY</t>
        </is>
      </c>
      <c r="L1081" s="3" t="inlineStr">
        <is>
          <t>Provider-disclosed generated output token volume or calibrated capacity telemetry.</t>
        </is>
      </c>
    </row>
    <row r="1082">
      <c r="A1082" s="3" t="inlineStr">
        <is>
          <t>Microsoft</t>
        </is>
      </c>
      <c r="B1082" s="3" t="n">
        <v>2027</v>
      </c>
      <c r="C1082" s="3" t="inlineStr">
        <is>
          <t>Base</t>
        </is>
      </c>
      <c r="D1082" s="3" t="inlineStr">
        <is>
          <t>inference_tokens_per_year</t>
        </is>
      </c>
      <c r="E1082" s="3" t="n">
        <v>6.6869447112288e+16</v>
      </c>
      <c r="F1082" s="3" t="inlineStr">
        <is>
          <t>generated output tokens/year</t>
        </is>
      </c>
      <c r="G1082" s="3" t="inlineStr">
        <is>
          <t>Derived headline metric</t>
        </is>
      </c>
      <c r="H1082" s="3" t="inlineStr">
        <is>
          <t>inference_tokens_per_day * 365</t>
        </is>
      </c>
      <c r="I1082" s="3" t="inlineStr">
        <is>
          <t>Annualized version of generated output token capacity; it is not observed annual demand or billable volume.</t>
        </is>
      </c>
      <c r="J1082" s="3" t="inlineStr">
        <is>
          <t>SRC_MS_PHI; SRC_OPENAI_GPT41_DOCS; SRC_MS_PHI4_TECHREPORT; SRC_MS_MAIA200; SRC_EPOCH_AI_DATA_CENTERS; SRC_SEMIANALYSIS_INFERENCEX</t>
        </is>
      </c>
      <c r="K1082" s="3" t="inlineStr">
        <is>
          <t>ASSUMP_POWER_RAMP; ASSUMP_MS_OPENAI_ATTRIBUTION; ASSUMP_NUMERIC_ACCELERATOR_MIX; ASSUMP_INFERENCE_SHARE_NOT_FACT_60; ASSUMP_WORKLOAD_CLASS_MIX; ASSUMP_AGENTIC_CONTEXT_PENALTY</t>
        </is>
      </c>
      <c r="L1082" s="3" t="inlineStr">
        <is>
          <t>Provider-disclosed annual generated-output volume or metered serving telemetry.</t>
        </is>
      </c>
    </row>
    <row r="1083">
      <c r="A1083" s="3" t="inlineStr">
        <is>
          <t>Microsoft</t>
        </is>
      </c>
      <c r="B1083" s="3" t="n">
        <v>2028</v>
      </c>
      <c r="C1083" s="3" t="inlineStr">
        <is>
          <t>Base</t>
        </is>
      </c>
      <c r="D1083" s="3" t="inlineStr">
        <is>
          <t>contracted_power_gw</t>
        </is>
      </c>
      <c r="E1083" s="3" t="n">
        <v>6.5</v>
      </c>
      <c r="F1083" s="3" t="inlineStr">
        <is>
          <t>GW</t>
        </is>
      </c>
      <c r="G1083" s="3" t="inlineStr">
        <is>
          <t>Scenario capacity envelope</t>
        </is>
      </c>
      <c r="H1083" s="3" t="inlineStr">
        <is>
          <t>linear interpolation between 2026 and 2030 company capacity endpoints</t>
        </is>
      </c>
      <c r="I1083" s="3" t="inlineStr">
        <is>
          <t>Scenario envelope for Microsoft-controlled/Copilot serving burden; not an official contracted-GW disclosure.</t>
        </is>
      </c>
      <c r="J1083" s="3" t="inlineStr">
        <is>
          <t>ASSUMP_POWER_RAMP; SRC_MS_MAIA200</t>
        </is>
      </c>
      <c r="K1083" s="3" t="inlineStr">
        <is>
          <t>ASSUMP_POWER_RAMP; ASSUMP_MS_OPENAI_ATTRIBUTION; ASSUMP_NUMERIC_ACCELERATOR_MIX; ASSUMP_INFERENCE_SHARE_NOT_FACT_60; ASSUMP_WORKLOAD_CLASS_MIX; ASSUMP_AGENTIC_CONTEXT_PENALTY</t>
        </is>
      </c>
      <c r="L1083" s="3" t="inlineStr">
        <is>
          <t>Company/site-level committed MW/GW, interconnect and contract disclosure.</t>
        </is>
      </c>
    </row>
    <row r="1084">
      <c r="A1084" s="3" t="inlineStr">
        <is>
          <t>Microsoft</t>
        </is>
      </c>
      <c r="B1084" s="3" t="n">
        <v>2028</v>
      </c>
      <c r="C1084" s="3" t="inlineStr">
        <is>
          <t>Base</t>
        </is>
      </c>
      <c r="D1084" s="3" t="inlineStr">
        <is>
          <t>operational_deployment_share</t>
        </is>
      </c>
      <c r="E1084" s="3" t="n">
        <v>0.61538462</v>
      </c>
      <c r="F1084" s="3" t="inlineStr">
        <is>
          <t>share</t>
        </is>
      </c>
      <c r="G1084" s="3" t="inlineStr">
        <is>
          <t>Scenario conversion</t>
        </is>
      </c>
      <c r="H1084" s="3" t="inlineStr">
        <is>
          <t>active_power_gw / contracted_power_gw</t>
        </is>
      </c>
      <c r="I1084" s="3" t="inlineStr">
        <is>
          <t>This is the single explicit conversion from contracted/attributed capacity to operationally usable capacity.</t>
        </is>
      </c>
      <c r="J1084" s="3" t="inlineStr">
        <is>
          <t>ASSUMP_POWER_RAMP; SRC_MS_MAIA200</t>
        </is>
      </c>
      <c r="K1084" s="3" t="inlineStr">
        <is>
          <t>ASSUMP_POWER_RAMP; ASSUMP_MS_OPENAI_ATTRIBUTION; ASSUMP_NUMERIC_ACCELERATOR_MIX; ASSUMP_INFERENCE_SHARE_NOT_FACT_60; ASSUMP_WORKLOAD_CLASS_MIX; ASSUMP_AGENTIC_CONTEXT_PENALTY</t>
        </is>
      </c>
      <c r="L1084" s="3" t="inlineStr">
        <is>
          <t>Energized operational capacity divided by contracted/attributed capacity.</t>
        </is>
      </c>
    </row>
    <row r="1085">
      <c r="A1085" s="3" t="inlineStr">
        <is>
          <t>Microsoft</t>
        </is>
      </c>
      <c r="B1085" s="3" t="n">
        <v>2028</v>
      </c>
      <c r="C1085" s="3" t="inlineStr">
        <is>
          <t>Base</t>
        </is>
      </c>
      <c r="D1085" s="3" t="inlineStr">
        <is>
          <t>active_power_gw</t>
        </is>
      </c>
      <c r="E1085" s="3" t="n">
        <v>4</v>
      </c>
      <c r="F1085" s="3" t="inlineStr">
        <is>
          <t>GW</t>
        </is>
      </c>
      <c r="G1085" s="3" t="inlineStr">
        <is>
          <t>Derived scenario</t>
        </is>
      </c>
      <c r="H1085" s="3" t="inlineStr">
        <is>
          <t>contracted_power_gw * operational_deployment_share</t>
        </is>
      </c>
      <c r="I1085" s="3" t="inlineStr">
        <is>
          <t>Active GW is a staged operational deployment fraction of modeled capacity, reflecting site energization and accelerator availability.</t>
        </is>
      </c>
      <c r="J1085" s="3" t="inlineStr">
        <is>
          <t>ASSUMP_POWER_RAMP; SRC_MS_MAIA200</t>
        </is>
      </c>
      <c r="K1085" s="3" t="inlineStr">
        <is>
          <t>ASSUMP_POWER_RAMP; ASSUMP_MS_OPENAI_ATTRIBUTION; ASSUMP_NUMERIC_ACCELERATOR_MIX; ASSUMP_INFERENCE_SHARE_NOT_FACT_60; ASSUMP_WORKLOAD_CLASS_MIX; ASSUMP_AGENTIC_CONTEXT_PENALTY</t>
        </is>
      </c>
      <c r="L1085" s="3" t="inlineStr">
        <is>
          <t>Energization dates, accelerator deliveries and operational powered-rack telemetry.</t>
        </is>
      </c>
    </row>
    <row r="1086">
      <c r="A1086" s="3" t="inlineStr">
        <is>
          <t>Microsoft</t>
        </is>
      </c>
      <c r="B1086" s="3" t="n">
        <v>2028</v>
      </c>
      <c r="C1086" s="3" t="inlineStr">
        <is>
          <t>Base</t>
        </is>
      </c>
      <c r="D1086" s="3" t="inlineStr">
        <is>
          <t>pue</t>
        </is>
      </c>
      <c r="E1086" s="3" t="n">
        <v>1.2</v>
      </c>
      <c r="F1086" s="3" t="inlineStr">
        <is>
          <t>ratio</t>
        </is>
      </c>
      <c r="G1086" s="3" t="inlineStr">
        <is>
          <t>Scenario parameter</t>
        </is>
      </c>
      <c r="H1086" s="3" t="inlineStr">
        <is>
          <t>it_load_gw = active_power_gw / pue</t>
        </is>
      </c>
      <c r="I1086" s="3" t="inlineStr">
        <is>
          <t>No provider-wide site-level PUE is used as a disclosed fact; PUE represents facility-to-IT conversion within the scenario.</t>
        </is>
      </c>
      <c r="J1086" s="3" t="inlineStr">
        <is>
          <t>ASSUMP_POWER_RAMP</t>
        </is>
      </c>
      <c r="K1086" s="3" t="inlineStr">
        <is>
          <t>ASSUMP_POWER_RAMP; ASSUMP_MS_OPENAI_ATTRIBUTION; ASSUMP_NUMERIC_ACCELERATOR_MIX; ASSUMP_INFERENCE_SHARE_NOT_FACT_60; ASSUMP_WORKLOAD_CLASS_MIX; ASSUMP_AGENTIC_CONTEXT_PENALTY</t>
        </is>
      </c>
      <c r="L1086" s="3" t="inlineStr">
        <is>
          <t>Site-level measured PUE matched to attributed AI capacity.</t>
        </is>
      </c>
    </row>
    <row r="1087">
      <c r="A1087" s="3" t="inlineStr">
        <is>
          <t>Microsoft</t>
        </is>
      </c>
      <c r="B1087" s="3" t="n">
        <v>2028</v>
      </c>
      <c r="C1087" s="3" t="inlineStr">
        <is>
          <t>Base</t>
        </is>
      </c>
      <c r="D1087" s="3" t="inlineStr">
        <is>
          <t>it_load_gw</t>
        </is>
      </c>
      <c r="E1087" s="3" t="n">
        <v>3.333</v>
      </c>
      <c r="F1087" s="3" t="inlineStr">
        <is>
          <t>GW</t>
        </is>
      </c>
      <c r="G1087" s="3" t="inlineStr">
        <is>
          <t>Derived formula</t>
        </is>
      </c>
      <c r="H1087" s="3" t="inlineStr">
        <is>
          <t>active_power_gw / pue</t>
        </is>
      </c>
      <c r="I1087" s="3" t="inlineStr">
        <is>
          <t>Facility power is converted to IT-deliverable power before attributing AI workloads.</t>
        </is>
      </c>
      <c r="J1087" s="3" t="inlineStr">
        <is>
          <t>ASSUMP_POWER_RAMP; SRC_MS_MAIA200</t>
        </is>
      </c>
      <c r="K1087" s="3" t="inlineStr">
        <is>
          <t>ASSUMP_POWER_RAMP; ASSUMP_MS_OPENAI_ATTRIBUTION; ASSUMP_NUMERIC_ACCELERATOR_MIX; ASSUMP_INFERENCE_SHARE_NOT_FACT_60; ASSUMP_WORKLOAD_CLASS_MIX; ASSUMP_AGENTIC_CONTEXT_PENALTY</t>
        </is>
      </c>
      <c r="L1087" s="3" t="inlineStr">
        <is>
          <t>Recompute once active power and PUE become site-observable.</t>
        </is>
      </c>
    </row>
    <row r="1088">
      <c r="A1088" s="3" t="inlineStr">
        <is>
          <t>Microsoft</t>
        </is>
      </c>
      <c r="B1088" s="3" t="n">
        <v>2028</v>
      </c>
      <c r="C1088" s="3" t="inlineStr">
        <is>
          <t>Base</t>
        </is>
      </c>
      <c r="D1088" s="3" t="inlineStr">
        <is>
          <t>ai_workload_share</t>
        </is>
      </c>
      <c r="E1088" s="3" t="n">
        <v>0.86</v>
      </c>
      <c r="F1088" s="3" t="inlineStr">
        <is>
          <t>share</t>
        </is>
      </c>
      <c r="G1088" s="3" t="inlineStr">
        <is>
          <t>Scenario allocation</t>
        </is>
      </c>
      <c r="H1088" s="3" t="inlineStr">
        <is>
          <t>ai_it_load_gw = it_load_gw * ai_workload_share</t>
        </is>
      </c>
      <c r="I1088" s="3" t="inlineStr">
        <is>
          <t>Azure/Copilot serving burden is AI-oriented but shares infrastructure with platform and reserve overhead; 86% is a scenario allocation.</t>
        </is>
      </c>
      <c r="J1088" s="3" t="inlineStr">
        <is>
          <t>SRC_MS_PHI; SRC_OPENAI_GPT41_DOCS; SRC_MS_PHI4_TECHREPORT; SRC_MS_MAIA200; SRC_EPOCH_AI_DATA_CENTERS</t>
        </is>
      </c>
      <c r="K1088" s="3" t="inlineStr">
        <is>
          <t>ASSUMP_POWER_RAMP; ASSUMP_MS_OPENAI_ATTRIBUTION; ASSUMP_NUMERIC_ACCELERATOR_MIX; ASSUMP_INFERENCE_SHARE_NOT_FACT_60; ASSUMP_WORKLOAD_CLASS_MIX; ASSUMP_AGENTIC_CONTEXT_PENALTY</t>
        </is>
      </c>
      <c r="L1088" s="3" t="inlineStr">
        <is>
          <t>Model-owner AI workload allocation or cluster scheduling telemetry.</t>
        </is>
      </c>
    </row>
    <row r="1089">
      <c r="A1089" s="3" t="inlineStr">
        <is>
          <t>Microsoft</t>
        </is>
      </c>
      <c r="B1089" s="3" t="n">
        <v>2028</v>
      </c>
      <c r="C1089" s="3" t="inlineStr">
        <is>
          <t>Base</t>
        </is>
      </c>
      <c r="D1089" s="3" t="inlineStr">
        <is>
          <t>ai_it_load_gw</t>
        </is>
      </c>
      <c r="E1089" s="3" t="n">
        <v>2.867</v>
      </c>
      <c r="F1089" s="3" t="inlineStr">
        <is>
          <t>GW</t>
        </is>
      </c>
      <c r="G1089" s="3" t="inlineStr">
        <is>
          <t>Derived formula</t>
        </is>
      </c>
      <c r="H1089" s="3" t="inlineStr">
        <is>
          <t>it_load_gw * ai_workload_share</t>
        </is>
      </c>
      <c r="I1089" s="3" t="inlineStr">
        <is>
          <t>Only the AI-attributed portion of IT load enters training/inference allocation.</t>
        </is>
      </c>
      <c r="J1089" s="3" t="inlineStr">
        <is>
          <t>SRC_MS_PHI; SRC_OPENAI_GPT41_DOCS; SRC_MS_PHI4_TECHREPORT; SRC_MS_MAIA200; SRC_EPOCH_AI_DATA_CENTERS</t>
        </is>
      </c>
      <c r="K1089" s="3" t="inlineStr">
        <is>
          <t>ASSUMP_POWER_RAMP; ASSUMP_MS_OPENAI_ATTRIBUTION; ASSUMP_NUMERIC_ACCELERATOR_MIX; ASSUMP_INFERENCE_SHARE_NOT_FACT_60; ASSUMP_WORKLOAD_CLASS_MIX; ASSUMP_AGENTIC_CONTEXT_PENALTY</t>
        </is>
      </c>
      <c r="L1089" s="3" t="inlineStr">
        <is>
          <t>Recompute after ai_workload_share is replaced by telemetry.</t>
        </is>
      </c>
    </row>
    <row r="1090">
      <c r="A1090" s="3" t="inlineStr">
        <is>
          <t>Microsoft</t>
        </is>
      </c>
      <c r="B1090" s="3" t="n">
        <v>2028</v>
      </c>
      <c r="C1090" s="3" t="inlineStr">
        <is>
          <t>Base</t>
        </is>
      </c>
      <c r="D1090" s="3" t="inlineStr">
        <is>
          <t>gpu_share</t>
        </is>
      </c>
      <c r="E1090" s="3" t="n">
        <v>0.726329</v>
      </c>
      <c r="F1090" s="3" t="inlineStr">
        <is>
          <t>share of inference-serving accelerator load</t>
        </is>
      </c>
      <c r="G1090" s="3" t="inlineStr">
        <is>
          <t>Numeric scenario</t>
        </is>
      </c>
      <c r="H1090" s="3" t="inlineStr">
        <is>
          <t>gpu_share interpolated from company 2026/2030 accelerator-mix endpoints</t>
        </is>
      </c>
      <c r="I1090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90" s="3" t="inlineStr">
        <is>
          <t>SRC_MS_PHI; SRC_OPENAI_GPT41_DOCS; SRC_MS_PHI4_TECHREPORT; SRC_MS_MAIA200; SRC_EPOCH_AI_DATA_CENTERS; ASSUMP_NUMERIC_ACCELERATOR_MIX</t>
        </is>
      </c>
      <c r="K1090" s="3" t="inlineStr">
        <is>
          <t>ASSUMP_POWER_RAMP; ASSUMP_MS_OPENAI_ATTRIBUTION; ASSUMP_NUMERIC_ACCELERATOR_MIX; ASSUMP_INFERENCE_SHARE_NOT_FACT_60; ASSUMP_WORKLOAD_CLASS_MIX; ASSUMP_AGENTIC_CONTEXT_PENALTY</t>
        </is>
      </c>
      <c r="L1090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91">
      <c r="A1091" s="3" t="inlineStr">
        <is>
          <t>Microsoft</t>
        </is>
      </c>
      <c r="B1091" s="3" t="n">
        <v>2028</v>
      </c>
      <c r="C1091" s="3" t="inlineStr">
        <is>
          <t>Base</t>
        </is>
      </c>
      <c r="D1091" s="3" t="inlineStr">
        <is>
          <t>h200_share</t>
        </is>
      </c>
      <c r="E1091" s="3" t="n">
        <v>0.020598</v>
      </c>
      <c r="F1091" s="3" t="inlineStr">
        <is>
          <t>share of inference-serving accelerator load</t>
        </is>
      </c>
      <c r="G1091" s="3" t="inlineStr">
        <is>
          <t>Editable numeric scenario</t>
        </is>
      </c>
      <c r="H1091" s="3" t="inlineStr">
        <is>
          <t>h200_share = gpu_share * default_gpu_generation_mix_h200</t>
        </is>
      </c>
      <c r="I1091" s="3" t="inlineStr">
        <is>
          <t>Default GPU-generation migration assumption; executive workbook allows later manual replacement by company/year/scenario.</t>
        </is>
      </c>
      <c r="J1091" s="3" t="inlineStr">
        <is>
          <t>SRC_SEMIANALYSIS_INFERENCEX; ASSUMP_NUMERIC_ACCELERATOR_MIX</t>
        </is>
      </c>
      <c r="K1091" s="3" t="inlineStr">
        <is>
          <t>ASSUMP_POWER_RAMP; ASSUMP_MS_OPENAI_ATTRIBUTION; ASSUMP_NUMERIC_ACCELERATOR_MIX; ASSUMP_INFERENCE_SHARE_NOT_FACT_60; ASSUMP_WORKLOAD_CLASS_MIX; ASSUMP_AGENTIC_CONTEXT_PENALTY</t>
        </is>
      </c>
      <c r="L1091" s="3" t="inlineStr">
        <is>
          <t>Company fleet inventory, accelerator-hours or procurement/deployment records by GPU generation.</t>
        </is>
      </c>
    </row>
    <row r="1092">
      <c r="A1092" s="3" t="inlineStr">
        <is>
          <t>Microsoft</t>
        </is>
      </c>
      <c r="B1092" s="3" t="n">
        <v>2028</v>
      </c>
      <c r="C1092" s="3" t="inlineStr">
        <is>
          <t>Base</t>
        </is>
      </c>
      <c r="D1092" s="3" t="inlineStr">
        <is>
          <t>b200_share</t>
        </is>
      </c>
      <c r="E1092" s="3" t="n">
        <v>0.705731</v>
      </c>
      <c r="F1092" s="3" t="inlineStr">
        <is>
          <t>share of inference-serving accelerator load</t>
        </is>
      </c>
      <c r="G1092" s="3" t="inlineStr">
        <is>
          <t>Editable numeric scenario</t>
        </is>
      </c>
      <c r="H1092" s="3" t="inlineStr">
        <is>
          <t>b200_share = gpu_share * default_gpu_generation_mix_b200</t>
        </is>
      </c>
      <c r="I1092" s="3" t="inlineStr">
        <is>
          <t>Default GPU-generation migration assumption; executive workbook allows later manual replacement by company/year/scenario.</t>
        </is>
      </c>
      <c r="J1092" s="3" t="inlineStr">
        <is>
          <t>SRC_SEMIANALYSIS_INFERENCEX; ASSUMP_NUMERIC_ACCELERATOR_MIX</t>
        </is>
      </c>
      <c r="K1092" s="3" t="inlineStr">
        <is>
          <t>ASSUMP_POWER_RAMP; ASSUMP_MS_OPENAI_ATTRIBUTION; ASSUMP_NUMERIC_ACCELERATOR_MIX; ASSUMP_INFERENCE_SHARE_NOT_FACT_60; ASSUMP_WORKLOAD_CLASS_MIX; ASSUMP_AGENTIC_CONTEXT_PENALTY</t>
        </is>
      </c>
      <c r="L1092" s="3" t="inlineStr">
        <is>
          <t>Company fleet inventory, accelerator-hours or procurement/deployment records by GPU generation.</t>
        </is>
      </c>
    </row>
    <row r="1093">
      <c r="A1093" s="3" t="inlineStr">
        <is>
          <t>Microsoft</t>
        </is>
      </c>
      <c r="B1093" s="3" t="n">
        <v>2028</v>
      </c>
      <c r="C1093" s="3" t="inlineStr">
        <is>
          <t>Base</t>
        </is>
      </c>
      <c r="D1093" s="3" t="inlineStr">
        <is>
          <t>gb200_share</t>
        </is>
      </c>
      <c r="E1093" s="3" t="n">
        <v>0</v>
      </c>
      <c r="F1093" s="3" t="inlineStr">
        <is>
          <t>share of inference-serving accelerator load</t>
        </is>
      </c>
      <c r="G1093" s="3" t="inlineStr">
        <is>
          <t>Editable numeric scenario</t>
        </is>
      </c>
      <c r="H1093" s="3" t="inlineStr">
        <is>
          <t>gb200_share = gpu_share * default_gpu_generation_mix_gb200</t>
        </is>
      </c>
      <c r="I1093" s="3" t="inlineStr">
        <is>
          <t>Default GPU-generation migration assumption; executive workbook allows later manual replacement by company/year/scenario.</t>
        </is>
      </c>
      <c r="J1093" s="3" t="inlineStr">
        <is>
          <t>SRC_SEMIANALYSIS_INFERENCEX; ASSUMP_NUMERIC_ACCELERATOR_MIX</t>
        </is>
      </c>
      <c r="K1093" s="3" t="inlineStr">
        <is>
          <t>ASSUMP_POWER_RAMP; ASSUMP_MS_OPENAI_ATTRIBUTION; ASSUMP_NUMERIC_ACCELERATOR_MIX; ASSUMP_INFERENCE_SHARE_NOT_FACT_60; ASSUMP_WORKLOAD_CLASS_MIX; ASSUMP_AGENTIC_CONTEXT_PENALTY</t>
        </is>
      </c>
      <c r="L1093" s="3" t="inlineStr">
        <is>
          <t>Company fleet inventory, accelerator-hours or procurement/deployment records by GPU generation.</t>
        </is>
      </c>
    </row>
    <row r="1094">
      <c r="A1094" s="3" t="inlineStr">
        <is>
          <t>Microsoft</t>
        </is>
      </c>
      <c r="B1094" s="3" t="n">
        <v>2028</v>
      </c>
      <c r="C1094" s="3" t="inlineStr">
        <is>
          <t>Base</t>
        </is>
      </c>
      <c r="D1094" s="3" t="inlineStr">
        <is>
          <t>purpose_built_accelerator_share</t>
        </is>
      </c>
      <c r="E1094" s="3" t="n">
        <v>0.273671</v>
      </c>
      <c r="F1094" s="3" t="inlineStr">
        <is>
          <t>share of inference-serving accelerator load</t>
        </is>
      </c>
      <c r="G1094" s="3" t="inlineStr">
        <is>
          <t>Numeric scenario</t>
        </is>
      </c>
      <c r="H1094" s="3" t="inlineStr">
        <is>
          <t>1 - gpu_share</t>
        </is>
      </c>
      <c r="I1094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094" s="3" t="inlineStr">
        <is>
          <t>SRC_MS_PHI; SRC_OPENAI_GPT41_DOCS; SRC_MS_PHI4_TECHREPORT; SRC_MS_MAIA200; SRC_EPOCH_AI_DATA_CENTERS; ASSUMP_NUMERIC_ACCELERATOR_MIX</t>
        </is>
      </c>
      <c r="K1094" s="3" t="inlineStr">
        <is>
          <t>ASSUMP_POWER_RAMP; ASSUMP_MS_OPENAI_ATTRIBUTION; ASSUMP_NUMERIC_ACCELERATOR_MIX; ASSUMP_INFERENCE_SHARE_NOT_FACT_60; ASSUMP_WORKLOAD_CLASS_MIX; ASSUMP_AGENTIC_CONTEXT_PENALTY</t>
        </is>
      </c>
      <c r="L1094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095">
      <c r="A1095" s="3" t="inlineStr">
        <is>
          <t>Microsoft</t>
        </is>
      </c>
      <c r="B1095" s="3" t="n">
        <v>2028</v>
      </c>
      <c r="C1095" s="3" t="inlineStr">
        <is>
          <t>Base</t>
        </is>
      </c>
      <c r="D1095" s="3" t="inlineStr">
        <is>
          <t>fleet_reference_tps_per_mw</t>
        </is>
      </c>
      <c r="E1095" s="3" t="n">
        <v>2856801</v>
      </c>
      <c r="F1095" s="3" t="inlineStr">
        <is>
          <t>generated output tokens/sec/MW</t>
        </is>
      </c>
      <c r="G1095" s="3" t="inlineStr">
        <is>
          <t>Fleet-weighted public benchmark reference</t>
        </is>
      </c>
      <c r="H1095" s="3" t="inlineStr">
        <is>
          <t>h200_share*h200_workload_avg + b200_share*b200_workload_avg + gb200_share*gb200_workload_avg + purpose_built_share*purpose_workload_avg</t>
        </is>
      </c>
      <c r="I109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095" s="3" t="inlineStr">
        <is>
          <t>SRC_SEMIANALYSIS_INFERENCEX; ASSUMP_NUMERIC_ACCELERATOR_MIX; ASSUMP_WORKLOAD_CLASS_MIX; ASSUMP_AGENTIC_CONTEXT_PENALTY</t>
        </is>
      </c>
      <c r="K1095" s="3" t="inlineStr">
        <is>
          <t>ASSUMP_POWER_RAMP; ASSUMP_MS_OPENAI_ATTRIBUTION; ASSUMP_NUMERIC_ACCELERATOR_MIX; ASSUMP_INFERENCE_SHARE_NOT_FACT_60; ASSUMP_WORKLOAD_CLASS_MIX; ASSUMP_AGENTIC_CONTEXT_PENALTY</t>
        </is>
      </c>
      <c r="L1095" s="3" t="inlineStr">
        <is>
          <t>Comparable production output-token throughput or a more closely matched benchmark.</t>
        </is>
      </c>
    </row>
    <row r="1096">
      <c r="A1096" s="3" t="inlineStr">
        <is>
          <t>Microsoft</t>
        </is>
      </c>
      <c r="B1096" s="3" t="n">
        <v>2028</v>
      </c>
      <c r="C1096" s="3" t="inlineStr">
        <is>
          <t>Base</t>
        </is>
      </c>
      <c r="D1096" s="3" t="inlineStr">
        <is>
          <t>commercial_workload_fit_factor</t>
        </is>
      </c>
      <c r="E1096" s="3" t="n">
        <v>0.6</v>
      </c>
      <c r="F1096" s="3" t="inlineStr">
        <is>
          <t>share of public reference throughput</t>
        </is>
      </c>
      <c r="G1096" s="3" t="inlineStr">
        <is>
          <t>Scenario assumption</t>
        </is>
      </c>
      <c r="H1096" s="3" t="inlineStr">
        <is>
          <t>reference_serving_tps_per_mw = fleet_reference_tps_per_mw * commercial_workload_fit_factor</t>
        </is>
      </c>
      <c r="I109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096" s="3" t="inlineStr">
        <is>
          <t>SRC_SEMIANALYSIS_INFERENCEX; ASSUMP_NUMERIC_ACCELERATOR_MIX; ASSUMP_WORKLOAD_CLASS_MIX; ASSUMP_AGENTIC_CONTEXT_PENALTY</t>
        </is>
      </c>
      <c r="K1096" s="3" t="inlineStr">
        <is>
          <t>ASSUMP_POWER_RAMP; ASSUMP_MS_OPENAI_ATTRIBUTION; ASSUMP_NUMERIC_ACCELERATOR_MIX; ASSUMP_INFERENCE_SHARE_NOT_FACT_60; ASSUMP_WORKLOAD_CLASS_MIX; ASSUMP_AGENTIC_CONTEXT_PENALTY</t>
        </is>
      </c>
      <c r="L1096" s="3" t="inlineStr">
        <is>
          <t>Matched commercial serving benchmark by product surface, context shape and latency SLO.</t>
        </is>
      </c>
    </row>
    <row r="1097">
      <c r="A1097" s="3" t="inlineStr">
        <is>
          <t>Microsoft</t>
        </is>
      </c>
      <c r="B1097" s="3" t="n">
        <v>2028</v>
      </c>
      <c r="C1097" s="3" t="inlineStr">
        <is>
          <t>Base</t>
        </is>
      </c>
      <c r="D1097" s="3" t="inlineStr">
        <is>
          <t>reference_serving_tps_per_mw</t>
        </is>
      </c>
      <c r="E1097" s="3" t="n">
        <v>1714081</v>
      </c>
      <c r="F1097" s="3" t="inlineStr">
        <is>
          <t>generated output tokens/sec/MW</t>
        </is>
      </c>
      <c r="G1097" s="3" t="inlineStr">
        <is>
          <t>Workload-adjusted benchmark proxy</t>
        </is>
      </c>
      <c r="H1097" s="3" t="inlineStr">
        <is>
          <t>fleet_reference_tps_per_mw * commercial_workload_fit_factor</t>
        </is>
      </c>
      <c r="I1097" s="3" t="inlineStr">
        <is>
          <t>This is the coefficient used for headline token generation; each GPU's short chat, long chat and agentic TPS/MW are weighted before fleet mix and commercial fit are applied.</t>
        </is>
      </c>
      <c r="J1097" s="3" t="inlineStr">
        <is>
          <t>SRC_SEMIANALYSIS_INFERENCEX; ASSUMP_NUMERIC_ACCELERATOR_MIX; ASSUMP_WORKLOAD_CLASS_MIX; ASSUMP_AGENTIC_CONTEXT_PENALTY</t>
        </is>
      </c>
      <c r="K1097" s="3" t="inlineStr">
        <is>
          <t>ASSUMP_POWER_RAMP; ASSUMP_MS_OPENAI_ATTRIBUTION; ASSUMP_NUMERIC_ACCELERATOR_MIX; ASSUMP_INFERENCE_SHARE_NOT_FACT_60; ASSUMP_WORKLOAD_CLASS_MIX; ASSUMP_AGENTIC_CONTEXT_PENALTY</t>
        </is>
      </c>
      <c r="L1097" s="3" t="inlineStr">
        <is>
          <t>Provider production output-token throughput with comparable workload/SLO.</t>
        </is>
      </c>
    </row>
    <row r="1098">
      <c r="A1098" s="3" t="inlineStr">
        <is>
          <t>Microsoft</t>
        </is>
      </c>
      <c r="B1098" s="3" t="n">
        <v>2028</v>
      </c>
      <c r="C1098" s="3" t="inlineStr">
        <is>
          <t>Base</t>
        </is>
      </c>
      <c r="D1098" s="3" t="inlineStr">
        <is>
          <t>purpose_built_tps_per_mw</t>
        </is>
      </c>
      <c r="E1098" s="3" t="n">
        <v>2710180</v>
      </c>
      <c r="F1098" s="3" t="inlineStr">
        <is>
          <t>generated output tokens/sec/MW</t>
        </is>
      </c>
      <c r="G1098" s="3" t="inlineStr">
        <is>
          <t>Conservative no-uplift proxy</t>
        </is>
      </c>
      <c r="H1098" s="3" t="inlineStr">
        <is>
          <t>purpose_built_tps_per_mw = purpose_built_reference_tps_per_mw * commercial_workload_fit_factor until comparable output-token benchmark is adopted</t>
        </is>
      </c>
      <c r="I1098" s="3" t="inlineStr">
        <is>
          <t>No comparable public output-token/MW row adopted; B200 public reference placeholder is used and remains editable.</t>
        </is>
      </c>
      <c r="J1098" s="3" t="inlineStr">
        <is>
          <t>SRC_MS_PHI; SRC_OPENAI_GPT41_DOCS; SRC_MS_PHI4_TECHREPORT; SRC_MS_MAIA200; SRC_EPOCH_AI_DATA_CENTERS; ASSUMP_NUMERIC_ACCELERATOR_MIX</t>
        </is>
      </c>
      <c r="K1098" s="3" t="inlineStr">
        <is>
          <t>ASSUMP_POWER_RAMP; ASSUMP_MS_OPENAI_ATTRIBUTION; ASSUMP_NUMERIC_ACCELERATOR_MIX; ASSUMP_INFERENCE_SHARE_NOT_FACT_60; ASSUMP_WORKLOAD_CLASS_MIX; ASSUMP_AGENTIC_CONTEXT_PENALTY</t>
        </is>
      </c>
      <c r="L1098" s="3" t="inlineStr">
        <is>
          <t>Matched-workload generated-output benchmark for the provider purpose-built accelerator.</t>
        </is>
      </c>
    </row>
    <row r="1099">
      <c r="A1099" s="3" t="inlineStr">
        <is>
          <t>Microsoft</t>
        </is>
      </c>
      <c r="B1099" s="3" t="n">
        <v>2028</v>
      </c>
      <c r="C1099" s="3" t="inlineStr">
        <is>
          <t>Base</t>
        </is>
      </c>
      <c r="D1099" s="3" t="inlineStr">
        <is>
          <t>inference_power_share</t>
        </is>
      </c>
      <c r="E1099" s="3" t="n">
        <v>0.65</v>
      </c>
      <c r="F1099" s="3" t="inlineStr">
        <is>
          <t>share of AI IT load</t>
        </is>
      </c>
      <c r="G1099" s="3" t="inlineStr">
        <is>
          <t>Scenario allocation</t>
        </is>
      </c>
      <c r="H1099" s="3" t="inlineStr">
        <is>
          <t>inference_gw = ai_it_load_gw * inference_power_share</t>
        </is>
      </c>
      <c r="I1099" s="3" t="inlineStr">
        <is>
          <t>Copilot commercial serving growth supports rising inference allocation; OpenAI model-owner output must remain separately attributed.</t>
        </is>
      </c>
      <c r="J1099" s="3" t="inlineStr">
        <is>
          <t>SRC_MS_PHI; SRC_OPENAI_GPT41_DOCS; SRC_MS_PHI4_TECHREPORT; SRC_MS_MAIA200; SRC_EPOCH_AI_DATA_CENTERS; ASSUMP_INFERENCE_SHARE_NOT_FACT_60</t>
        </is>
      </c>
      <c r="K1099" s="3" t="inlineStr">
        <is>
          <t>ASSUMP_POWER_RAMP; ASSUMP_MS_OPENAI_ATTRIBUTION; ASSUMP_NUMERIC_ACCELERATOR_MIX; ASSUMP_INFERENCE_SHARE_NOT_FACT_60; ASSUMP_WORKLOAD_CLASS_MIX; ASSUMP_AGENTIC_CONTEXT_PENALTY</t>
        </is>
      </c>
      <c r="L1099" s="3" t="inlineStr">
        <is>
          <t>Provider-specific inference/training workload power telemetry.</t>
        </is>
      </c>
    </row>
    <row r="1100">
      <c r="A1100" s="3" t="inlineStr">
        <is>
          <t>Microsoft</t>
        </is>
      </c>
      <c r="B1100" s="3" t="n">
        <v>2028</v>
      </c>
      <c r="C1100" s="3" t="inlineStr">
        <is>
          <t>Base</t>
        </is>
      </c>
      <c r="D1100" s="3" t="inlineStr">
        <is>
          <t>inference_gw</t>
        </is>
      </c>
      <c r="E1100" s="3" t="n">
        <v>1.863</v>
      </c>
      <c r="F1100" s="3" t="inlineStr">
        <is>
          <t>GW</t>
        </is>
      </c>
      <c r="G1100" s="3" t="inlineStr">
        <is>
          <t>Derived formula</t>
        </is>
      </c>
      <c r="H1100" s="3" t="inlineStr">
        <is>
          <t>ai_it_load_gw * inference_power_share</t>
        </is>
      </c>
      <c r="I1100" s="3" t="inlineStr">
        <is>
          <t>This is the operational power eligible to become commercial generated output tokens through the selected TPS/MW proxy.</t>
        </is>
      </c>
      <c r="J1100" s="3" t="inlineStr">
        <is>
          <t>SRC_MS_PHI; SRC_OPENAI_GPT41_DOCS; SRC_MS_PHI4_TECHREPORT; SRC_MS_MAIA200; SRC_EPOCH_AI_DATA_CENTERS</t>
        </is>
      </c>
      <c r="K1100" s="3" t="inlineStr">
        <is>
          <t>ASSUMP_POWER_RAMP; ASSUMP_MS_OPENAI_ATTRIBUTION; ASSUMP_NUMERIC_ACCELERATOR_MIX; ASSUMP_INFERENCE_SHARE_NOT_FACT_60; ASSUMP_WORKLOAD_CLASS_MIX; ASSUMP_AGENTIC_CONTEXT_PENALTY</t>
        </is>
      </c>
      <c r="L1100" s="3" t="inlineStr">
        <is>
          <t>Recompute after AI allocation or inference-share evidence changes.</t>
        </is>
      </c>
    </row>
    <row r="1101">
      <c r="A1101" s="3" t="inlineStr">
        <is>
          <t>Microsoft</t>
        </is>
      </c>
      <c r="B1101" s="3" t="n">
        <v>2028</v>
      </c>
      <c r="C1101" s="3" t="inlineStr">
        <is>
          <t>Base</t>
        </is>
      </c>
      <c r="D1101" s="3" t="inlineStr">
        <is>
          <t>training_power_share</t>
        </is>
      </c>
      <c r="E1101" s="3" t="n">
        <v>0.35</v>
      </c>
      <c r="F1101" s="3" t="inlineStr">
        <is>
          <t>share of AI IT load</t>
        </is>
      </c>
      <c r="G1101" s="3" t="inlineStr">
        <is>
          <t>Derived allocation</t>
        </is>
      </c>
      <c r="H1101" s="3" t="inlineStr">
        <is>
          <t>1 - inference_power_share</t>
        </is>
      </c>
      <c r="I1101" s="3" t="inlineStr">
        <is>
          <t>Training receives the complementary modeled AI IT allocation; it is not a disclosed company workload split.</t>
        </is>
      </c>
      <c r="J1101" s="3" t="inlineStr">
        <is>
          <t>SRC_MS_PHI; SRC_OPENAI_GPT41_DOCS; SRC_MS_PHI4_TECHREPORT; SRC_MS_MAIA200; SRC_EPOCH_AI_DATA_CENTERS; ASSUMP_INFERENCE_SHARE_NOT_FACT_60</t>
        </is>
      </c>
      <c r="K1101" s="3" t="inlineStr">
        <is>
          <t>ASSUMP_POWER_RAMP; ASSUMP_MS_OPENAI_ATTRIBUTION; ASSUMP_NUMERIC_ACCELERATOR_MIX; ASSUMP_INFERENCE_SHARE_NOT_FACT_60; ASSUMP_WORKLOAD_CLASS_MIX; ASSUMP_AGENTIC_CONTEXT_PENALTY</t>
        </is>
      </c>
      <c r="L1101" s="3" t="inlineStr">
        <is>
          <t>Provider-specific inference/training workload power telemetry.</t>
        </is>
      </c>
    </row>
    <row r="1102">
      <c r="A1102" s="3" t="inlineStr">
        <is>
          <t>Microsoft</t>
        </is>
      </c>
      <c r="B1102" s="3" t="n">
        <v>2028</v>
      </c>
      <c r="C1102" s="3" t="inlineStr">
        <is>
          <t>Base</t>
        </is>
      </c>
      <c r="D1102" s="3" t="inlineStr">
        <is>
          <t>training_gw</t>
        </is>
      </c>
      <c r="E1102" s="3" t="n">
        <v>1.003</v>
      </c>
      <c r="F1102" s="3" t="inlineStr">
        <is>
          <t>GW</t>
        </is>
      </c>
      <c r="G1102" s="3" t="inlineStr">
        <is>
          <t>Derived formula</t>
        </is>
      </c>
      <c r="H1102" s="3" t="inlineStr">
        <is>
          <t>ai_it_load_gw * training_power_share</t>
        </is>
      </c>
      <c r="I1102" s="3" t="inlineStr">
        <is>
          <t>Training GW is shown separately so commercial inference token capacity is not overstated.</t>
        </is>
      </c>
      <c r="J1102" s="3" t="inlineStr">
        <is>
          <t>SRC_MS_PHI; SRC_OPENAI_GPT41_DOCS; SRC_MS_PHI4_TECHREPORT; SRC_MS_MAIA200; SRC_EPOCH_AI_DATA_CENTERS</t>
        </is>
      </c>
      <c r="K1102" s="3" t="inlineStr">
        <is>
          <t>ASSUMP_POWER_RAMP; ASSUMP_MS_OPENAI_ATTRIBUTION; ASSUMP_NUMERIC_ACCELERATOR_MIX; ASSUMP_INFERENCE_SHARE_NOT_FACT_60; ASSUMP_WORKLOAD_CLASS_MIX; ASSUMP_AGENTIC_CONTEXT_PENALTY</t>
        </is>
      </c>
      <c r="L1102" s="3" t="inlineStr">
        <is>
          <t>Recompute after AI allocation or workload-split evidence changes.</t>
        </is>
      </c>
    </row>
    <row r="1103">
      <c r="A1103" s="3" t="inlineStr">
        <is>
          <t>Microsoft</t>
        </is>
      </c>
      <c r="B1103" s="3" t="n">
        <v>2028</v>
      </c>
      <c r="C1103" s="3" t="inlineStr">
        <is>
          <t>Base</t>
        </is>
      </c>
      <c r="D1103" s="3" t="inlineStr">
        <is>
          <t>tokens_per_second_per_mw</t>
        </is>
      </c>
      <c r="E1103" s="3" t="n">
        <v>1714081</v>
      </c>
      <c r="F1103" s="3" t="inlineStr">
        <is>
          <t>generated output tokens/sec/MW</t>
        </is>
      </c>
      <c r="G1103" s="3" t="inlineStr">
        <is>
          <t>Derived estimate + benchmark calibration</t>
        </is>
      </c>
      <c r="H1103" s="3" t="inlineStr">
        <is>
          <t>fleet_reference_tps_per_mw * commercial_workload_fit_factor</t>
        </is>
      </c>
      <c r="I110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03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03" s="3" t="inlineStr">
        <is>
          <t>ASSUMP_POWER_RAMP; ASSUMP_MS_OPENAI_ATTRIBUTION; ASSUMP_NUMERIC_ACCELERATOR_MIX; ASSUMP_INFERENCE_SHARE_NOT_FACT_60; ASSUMP_WORKLOAD_CLASS_MIX; ASSUMP_AGENTIC_CONTEXT_PENALTY</t>
        </is>
      </c>
      <c r="L1103" s="3" t="inlineStr">
        <is>
          <t>Comparable production output-token throughput with model, hardware, precision, ISL/OSL and SLO matched.</t>
        </is>
      </c>
    </row>
    <row r="1104">
      <c r="A1104" s="3" t="inlineStr">
        <is>
          <t>Microsoft</t>
        </is>
      </c>
      <c r="B1104" s="3" t="n">
        <v>2028</v>
      </c>
      <c r="C1104" s="3" t="inlineStr">
        <is>
          <t>Base</t>
        </is>
      </c>
      <c r="D1104" s="3" t="inlineStr">
        <is>
          <t>inference_tokens_per_day</t>
        </is>
      </c>
      <c r="E1104" s="3" t="n">
        <v>275903962819200</v>
      </c>
      <c r="F1104" s="3" t="inlineStr">
        <is>
          <t>generated output tokens/day</t>
        </is>
      </c>
      <c r="G1104" s="3" t="inlineStr">
        <is>
          <t>Derived headline metric</t>
        </is>
      </c>
      <c r="H1104" s="3" t="inlineStr">
        <is>
          <t>inference_gw * 1000 * tokens_per_second_per_mw * 86,400</t>
        </is>
      </c>
      <c r="I1104" s="3" t="inlineStr">
        <is>
          <t>Headline capacity uses no utilization, MoE, architecture or software-growth multiplier; it is not observed commercial output volume.</t>
        </is>
      </c>
      <c r="J1104" s="3" t="inlineStr">
        <is>
          <t>SRC_MS_PHI; SRC_OPENAI_GPT41_DOCS; SRC_MS_PHI4_TECHREPORT; SRC_MS_MAIA200; SRC_EPOCH_AI_DATA_CENTERS; SRC_SEMIANALYSIS_INFERENCEX</t>
        </is>
      </c>
      <c r="K1104" s="3" t="inlineStr">
        <is>
          <t>ASSUMP_POWER_RAMP; ASSUMP_MS_OPENAI_ATTRIBUTION; ASSUMP_NUMERIC_ACCELERATOR_MIX; ASSUMP_INFERENCE_SHARE_NOT_FACT_60; ASSUMP_WORKLOAD_CLASS_MIX; ASSUMP_AGENTIC_CONTEXT_PENALTY</t>
        </is>
      </c>
      <c r="L1104" s="3" t="inlineStr">
        <is>
          <t>Provider-disclosed generated output token volume or calibrated capacity telemetry.</t>
        </is>
      </c>
    </row>
    <row r="1105">
      <c r="A1105" s="3" t="inlineStr">
        <is>
          <t>Microsoft</t>
        </is>
      </c>
      <c r="B1105" s="3" t="n">
        <v>2028</v>
      </c>
      <c r="C1105" s="3" t="inlineStr">
        <is>
          <t>Base</t>
        </is>
      </c>
      <c r="D1105" s="3" t="inlineStr">
        <is>
          <t>inference_tokens_per_year</t>
        </is>
      </c>
      <c r="E1105" s="3" t="n">
        <v>1.00704946429008e+17</v>
      </c>
      <c r="F1105" s="3" t="inlineStr">
        <is>
          <t>generated output tokens/year</t>
        </is>
      </c>
      <c r="G1105" s="3" t="inlineStr">
        <is>
          <t>Derived headline metric</t>
        </is>
      </c>
      <c r="H1105" s="3" t="inlineStr">
        <is>
          <t>inference_tokens_per_day * 365</t>
        </is>
      </c>
      <c r="I1105" s="3" t="inlineStr">
        <is>
          <t>Annualized version of generated output token capacity; it is not observed annual demand or billable volume.</t>
        </is>
      </c>
      <c r="J1105" s="3" t="inlineStr">
        <is>
          <t>SRC_MS_PHI; SRC_OPENAI_GPT41_DOCS; SRC_MS_PHI4_TECHREPORT; SRC_MS_MAIA200; SRC_EPOCH_AI_DATA_CENTERS; SRC_SEMIANALYSIS_INFERENCEX</t>
        </is>
      </c>
      <c r="K1105" s="3" t="inlineStr">
        <is>
          <t>ASSUMP_POWER_RAMP; ASSUMP_MS_OPENAI_ATTRIBUTION; ASSUMP_NUMERIC_ACCELERATOR_MIX; ASSUMP_INFERENCE_SHARE_NOT_FACT_60; ASSUMP_WORKLOAD_CLASS_MIX; ASSUMP_AGENTIC_CONTEXT_PENALTY</t>
        </is>
      </c>
      <c r="L1105" s="3" t="inlineStr">
        <is>
          <t>Provider-disclosed annual generated-output volume or metered serving telemetry.</t>
        </is>
      </c>
    </row>
    <row r="1106">
      <c r="A1106" s="3" t="inlineStr">
        <is>
          <t>Microsoft</t>
        </is>
      </c>
      <c r="B1106" s="3" t="n">
        <v>2029</v>
      </c>
      <c r="C1106" s="3" t="inlineStr">
        <is>
          <t>Base</t>
        </is>
      </c>
      <c r="D1106" s="3" t="inlineStr">
        <is>
          <t>contracted_power_gw</t>
        </is>
      </c>
      <c r="E1106" s="3" t="n">
        <v>7.75</v>
      </c>
      <c r="F1106" s="3" t="inlineStr">
        <is>
          <t>GW</t>
        </is>
      </c>
      <c r="G1106" s="3" t="inlineStr">
        <is>
          <t>Scenario capacity envelope</t>
        </is>
      </c>
      <c r="H1106" s="3" t="inlineStr">
        <is>
          <t>linear interpolation between 2026 and 2030 company capacity endpoints</t>
        </is>
      </c>
      <c r="I1106" s="3" t="inlineStr">
        <is>
          <t>Scenario envelope for Microsoft-controlled/Copilot serving burden; not an official contracted-GW disclosure.</t>
        </is>
      </c>
      <c r="J1106" s="3" t="inlineStr">
        <is>
          <t>ASSUMP_POWER_RAMP; SRC_MS_MAIA200</t>
        </is>
      </c>
      <c r="K1106" s="3" t="inlineStr">
        <is>
          <t>ASSUMP_POWER_RAMP; ASSUMP_MS_OPENAI_ATTRIBUTION; ASSUMP_NUMERIC_ACCELERATOR_MIX; ASSUMP_INFERENCE_SHARE_NOT_FACT_60; ASSUMP_WORKLOAD_CLASS_MIX; ASSUMP_AGENTIC_CONTEXT_PENALTY</t>
        </is>
      </c>
      <c r="L1106" s="3" t="inlineStr">
        <is>
          <t>Company/site-level committed MW/GW, interconnect and contract disclosure.</t>
        </is>
      </c>
    </row>
    <row r="1107">
      <c r="A1107" s="3" t="inlineStr">
        <is>
          <t>Microsoft</t>
        </is>
      </c>
      <c r="B1107" s="3" t="n">
        <v>2029</v>
      </c>
      <c r="C1107" s="3" t="inlineStr">
        <is>
          <t>Base</t>
        </is>
      </c>
      <c r="D1107" s="3" t="inlineStr">
        <is>
          <t>operational_deployment_share</t>
        </is>
      </c>
      <c r="E1107" s="3" t="n">
        <v>0.65806452</v>
      </c>
      <c r="F1107" s="3" t="inlineStr">
        <is>
          <t>share</t>
        </is>
      </c>
      <c r="G1107" s="3" t="inlineStr">
        <is>
          <t>Scenario conversion</t>
        </is>
      </c>
      <c r="H1107" s="3" t="inlineStr">
        <is>
          <t>active_power_gw / contracted_power_gw</t>
        </is>
      </c>
      <c r="I1107" s="3" t="inlineStr">
        <is>
          <t>This is the single explicit conversion from contracted/attributed capacity to operationally usable capacity.</t>
        </is>
      </c>
      <c r="J1107" s="3" t="inlineStr">
        <is>
          <t>ASSUMP_POWER_RAMP; SRC_MS_MAIA200</t>
        </is>
      </c>
      <c r="K1107" s="3" t="inlineStr">
        <is>
          <t>ASSUMP_POWER_RAMP; ASSUMP_MS_OPENAI_ATTRIBUTION; ASSUMP_NUMERIC_ACCELERATOR_MIX; ASSUMP_INFERENCE_SHARE_NOT_FACT_60; ASSUMP_WORKLOAD_CLASS_MIX; ASSUMP_AGENTIC_CONTEXT_PENALTY</t>
        </is>
      </c>
      <c r="L1107" s="3" t="inlineStr">
        <is>
          <t>Energized operational capacity divided by contracted/attributed capacity.</t>
        </is>
      </c>
    </row>
    <row r="1108">
      <c r="A1108" s="3" t="inlineStr">
        <is>
          <t>Microsoft</t>
        </is>
      </c>
      <c r="B1108" s="3" t="n">
        <v>2029</v>
      </c>
      <c r="C1108" s="3" t="inlineStr">
        <is>
          <t>Base</t>
        </is>
      </c>
      <c r="D1108" s="3" t="inlineStr">
        <is>
          <t>active_power_gw</t>
        </is>
      </c>
      <c r="E1108" s="3" t="n">
        <v>5.1</v>
      </c>
      <c r="F1108" s="3" t="inlineStr">
        <is>
          <t>GW</t>
        </is>
      </c>
      <c r="G1108" s="3" t="inlineStr">
        <is>
          <t>Derived scenario</t>
        </is>
      </c>
      <c r="H1108" s="3" t="inlineStr">
        <is>
          <t>contracted_power_gw * operational_deployment_share</t>
        </is>
      </c>
      <c r="I1108" s="3" t="inlineStr">
        <is>
          <t>Active GW is a staged operational deployment fraction of modeled capacity, reflecting site energization and accelerator availability.</t>
        </is>
      </c>
      <c r="J1108" s="3" t="inlineStr">
        <is>
          <t>ASSUMP_POWER_RAMP; SRC_MS_MAIA200</t>
        </is>
      </c>
      <c r="K1108" s="3" t="inlineStr">
        <is>
          <t>ASSUMP_POWER_RAMP; ASSUMP_MS_OPENAI_ATTRIBUTION; ASSUMP_NUMERIC_ACCELERATOR_MIX; ASSUMP_INFERENCE_SHARE_NOT_FACT_60; ASSUMP_WORKLOAD_CLASS_MIX; ASSUMP_AGENTIC_CONTEXT_PENALTY</t>
        </is>
      </c>
      <c r="L1108" s="3" t="inlineStr">
        <is>
          <t>Energization dates, accelerator deliveries and operational powered-rack telemetry.</t>
        </is>
      </c>
    </row>
    <row r="1109">
      <c r="A1109" s="3" t="inlineStr">
        <is>
          <t>Microsoft</t>
        </is>
      </c>
      <c r="B1109" s="3" t="n">
        <v>2029</v>
      </c>
      <c r="C1109" s="3" t="inlineStr">
        <is>
          <t>Base</t>
        </is>
      </c>
      <c r="D1109" s="3" t="inlineStr">
        <is>
          <t>pue</t>
        </is>
      </c>
      <c r="E1109" s="3" t="n">
        <v>1.2</v>
      </c>
      <c r="F1109" s="3" t="inlineStr">
        <is>
          <t>ratio</t>
        </is>
      </c>
      <c r="G1109" s="3" t="inlineStr">
        <is>
          <t>Scenario parameter</t>
        </is>
      </c>
      <c r="H1109" s="3" t="inlineStr">
        <is>
          <t>it_load_gw = active_power_gw / pue</t>
        </is>
      </c>
      <c r="I1109" s="3" t="inlineStr">
        <is>
          <t>No provider-wide site-level PUE is used as a disclosed fact; PUE represents facility-to-IT conversion within the scenario.</t>
        </is>
      </c>
      <c r="J1109" s="3" t="inlineStr">
        <is>
          <t>ASSUMP_POWER_RAMP</t>
        </is>
      </c>
      <c r="K1109" s="3" t="inlineStr">
        <is>
          <t>ASSUMP_POWER_RAMP; ASSUMP_MS_OPENAI_ATTRIBUTION; ASSUMP_NUMERIC_ACCELERATOR_MIX; ASSUMP_INFERENCE_SHARE_NOT_FACT_60; ASSUMP_WORKLOAD_CLASS_MIX; ASSUMP_AGENTIC_CONTEXT_PENALTY</t>
        </is>
      </c>
      <c r="L1109" s="3" t="inlineStr">
        <is>
          <t>Site-level measured PUE matched to attributed AI capacity.</t>
        </is>
      </c>
    </row>
    <row r="1110">
      <c r="A1110" s="3" t="inlineStr">
        <is>
          <t>Microsoft</t>
        </is>
      </c>
      <c r="B1110" s="3" t="n">
        <v>2029</v>
      </c>
      <c r="C1110" s="3" t="inlineStr">
        <is>
          <t>Base</t>
        </is>
      </c>
      <c r="D1110" s="3" t="inlineStr">
        <is>
          <t>it_load_gw</t>
        </is>
      </c>
      <c r="E1110" s="3" t="n">
        <v>4.25</v>
      </c>
      <c r="F1110" s="3" t="inlineStr">
        <is>
          <t>GW</t>
        </is>
      </c>
      <c r="G1110" s="3" t="inlineStr">
        <is>
          <t>Derived formula</t>
        </is>
      </c>
      <c r="H1110" s="3" t="inlineStr">
        <is>
          <t>active_power_gw / pue</t>
        </is>
      </c>
      <c r="I1110" s="3" t="inlineStr">
        <is>
          <t>Facility power is converted to IT-deliverable power before attributing AI workloads.</t>
        </is>
      </c>
      <c r="J1110" s="3" t="inlineStr">
        <is>
          <t>ASSUMP_POWER_RAMP; SRC_MS_MAIA200</t>
        </is>
      </c>
      <c r="K1110" s="3" t="inlineStr">
        <is>
          <t>ASSUMP_POWER_RAMP; ASSUMP_MS_OPENAI_ATTRIBUTION; ASSUMP_NUMERIC_ACCELERATOR_MIX; ASSUMP_INFERENCE_SHARE_NOT_FACT_60; ASSUMP_WORKLOAD_CLASS_MIX; ASSUMP_AGENTIC_CONTEXT_PENALTY</t>
        </is>
      </c>
      <c r="L1110" s="3" t="inlineStr">
        <is>
          <t>Recompute once active power and PUE become site-observable.</t>
        </is>
      </c>
    </row>
    <row r="1111">
      <c r="A1111" s="3" t="inlineStr">
        <is>
          <t>Microsoft</t>
        </is>
      </c>
      <c r="B1111" s="3" t="n">
        <v>2029</v>
      </c>
      <c r="C1111" s="3" t="inlineStr">
        <is>
          <t>Base</t>
        </is>
      </c>
      <c r="D1111" s="3" t="inlineStr">
        <is>
          <t>ai_workload_share</t>
        </is>
      </c>
      <c r="E1111" s="3" t="n">
        <v>0.86</v>
      </c>
      <c r="F1111" s="3" t="inlineStr">
        <is>
          <t>share</t>
        </is>
      </c>
      <c r="G1111" s="3" t="inlineStr">
        <is>
          <t>Scenario allocation</t>
        </is>
      </c>
      <c r="H1111" s="3" t="inlineStr">
        <is>
          <t>ai_it_load_gw = it_load_gw * ai_workload_share</t>
        </is>
      </c>
      <c r="I1111" s="3" t="inlineStr">
        <is>
          <t>Azure/Copilot serving burden is AI-oriented but shares infrastructure with platform and reserve overhead; 86% is a scenario allocation.</t>
        </is>
      </c>
      <c r="J1111" s="3" t="inlineStr">
        <is>
          <t>SRC_MS_PHI; SRC_OPENAI_GPT41_DOCS; SRC_MS_PHI4_TECHREPORT; SRC_MS_MAIA200; SRC_EPOCH_AI_DATA_CENTERS</t>
        </is>
      </c>
      <c r="K1111" s="3" t="inlineStr">
        <is>
          <t>ASSUMP_POWER_RAMP; ASSUMP_MS_OPENAI_ATTRIBUTION; ASSUMP_NUMERIC_ACCELERATOR_MIX; ASSUMP_INFERENCE_SHARE_NOT_FACT_60; ASSUMP_WORKLOAD_CLASS_MIX; ASSUMP_AGENTIC_CONTEXT_PENALTY</t>
        </is>
      </c>
      <c r="L1111" s="3" t="inlineStr">
        <is>
          <t>Model-owner AI workload allocation or cluster scheduling telemetry.</t>
        </is>
      </c>
    </row>
    <row r="1112">
      <c r="A1112" s="3" t="inlineStr">
        <is>
          <t>Microsoft</t>
        </is>
      </c>
      <c r="B1112" s="3" t="n">
        <v>2029</v>
      </c>
      <c r="C1112" s="3" t="inlineStr">
        <is>
          <t>Base</t>
        </is>
      </c>
      <c r="D1112" s="3" t="inlineStr">
        <is>
          <t>ai_it_load_gw</t>
        </is>
      </c>
      <c r="E1112" s="3" t="n">
        <v>3.655</v>
      </c>
      <c r="F1112" s="3" t="inlineStr">
        <is>
          <t>GW</t>
        </is>
      </c>
      <c r="G1112" s="3" t="inlineStr">
        <is>
          <t>Derived formula</t>
        </is>
      </c>
      <c r="H1112" s="3" t="inlineStr">
        <is>
          <t>it_load_gw * ai_workload_share</t>
        </is>
      </c>
      <c r="I1112" s="3" t="inlineStr">
        <is>
          <t>Only the AI-attributed portion of IT load enters training/inference allocation.</t>
        </is>
      </c>
      <c r="J1112" s="3" t="inlineStr">
        <is>
          <t>SRC_MS_PHI; SRC_OPENAI_GPT41_DOCS; SRC_MS_PHI4_TECHREPORT; SRC_MS_MAIA200; SRC_EPOCH_AI_DATA_CENTERS</t>
        </is>
      </c>
      <c r="K1112" s="3" t="inlineStr">
        <is>
          <t>ASSUMP_POWER_RAMP; ASSUMP_MS_OPENAI_ATTRIBUTION; ASSUMP_NUMERIC_ACCELERATOR_MIX; ASSUMP_INFERENCE_SHARE_NOT_FACT_60; ASSUMP_WORKLOAD_CLASS_MIX; ASSUMP_AGENTIC_CONTEXT_PENALTY</t>
        </is>
      </c>
      <c r="L1112" s="3" t="inlineStr">
        <is>
          <t>Recompute after ai_workload_share is replaced by telemetry.</t>
        </is>
      </c>
    </row>
    <row r="1113">
      <c r="A1113" s="3" t="inlineStr">
        <is>
          <t>Microsoft</t>
        </is>
      </c>
      <c r="B1113" s="3" t="n">
        <v>2029</v>
      </c>
      <c r="C1113" s="3" t="inlineStr">
        <is>
          <t>Base</t>
        </is>
      </c>
      <c r="D1113" s="3" t="inlineStr">
        <is>
          <t>gpu_share</t>
        </is>
      </c>
      <c r="E1113" s="3" t="n">
        <v>0.726329</v>
      </c>
      <c r="F1113" s="3" t="inlineStr">
        <is>
          <t>share of inference-serving accelerator load</t>
        </is>
      </c>
      <c r="G1113" s="3" t="inlineStr">
        <is>
          <t>Numeric scenario</t>
        </is>
      </c>
      <c r="H1113" s="3" t="inlineStr">
        <is>
          <t>gpu_share interpolated from company 2026/2030 accelerator-mix endpoints</t>
        </is>
      </c>
      <c r="I1113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113" s="3" t="inlineStr">
        <is>
          <t>SRC_MS_PHI; SRC_OPENAI_GPT41_DOCS; SRC_MS_PHI4_TECHREPORT; SRC_MS_MAIA200; SRC_EPOCH_AI_DATA_CENTERS; ASSUMP_NUMERIC_ACCELERATOR_MIX</t>
        </is>
      </c>
      <c r="K1113" s="3" t="inlineStr">
        <is>
          <t>ASSUMP_POWER_RAMP; ASSUMP_MS_OPENAI_ATTRIBUTION; ASSUMP_NUMERIC_ACCELERATOR_MIX; ASSUMP_INFERENCE_SHARE_NOT_FACT_60; ASSUMP_WORKLOAD_CLASS_MIX; ASSUMP_AGENTIC_CONTEXT_PENALTY</t>
        </is>
      </c>
      <c r="L1113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114">
      <c r="A1114" s="3" t="inlineStr">
        <is>
          <t>Microsoft</t>
        </is>
      </c>
      <c r="B1114" s="3" t="n">
        <v>2029</v>
      </c>
      <c r="C1114" s="3" t="inlineStr">
        <is>
          <t>Base</t>
        </is>
      </c>
      <c r="D1114" s="3" t="inlineStr">
        <is>
          <t>h200_share</t>
        </is>
      </c>
      <c r="E1114" s="3" t="n">
        <v>0.020598</v>
      </c>
      <c r="F1114" s="3" t="inlineStr">
        <is>
          <t>share of inference-serving accelerator load</t>
        </is>
      </c>
      <c r="G1114" s="3" t="inlineStr">
        <is>
          <t>Editable numeric scenario</t>
        </is>
      </c>
      <c r="H1114" s="3" t="inlineStr">
        <is>
          <t>h200_share = gpu_share * default_gpu_generation_mix_h200</t>
        </is>
      </c>
      <c r="I1114" s="3" t="inlineStr">
        <is>
          <t>Default GPU-generation migration assumption; executive workbook allows later manual replacement by company/year/scenario.</t>
        </is>
      </c>
      <c r="J1114" s="3" t="inlineStr">
        <is>
          <t>SRC_SEMIANALYSIS_INFERENCEX; ASSUMP_NUMERIC_ACCELERATOR_MIX</t>
        </is>
      </c>
      <c r="K1114" s="3" t="inlineStr">
        <is>
          <t>ASSUMP_POWER_RAMP; ASSUMP_MS_OPENAI_ATTRIBUTION; ASSUMP_NUMERIC_ACCELERATOR_MIX; ASSUMP_INFERENCE_SHARE_NOT_FACT_60; ASSUMP_WORKLOAD_CLASS_MIX; ASSUMP_AGENTIC_CONTEXT_PENALTY</t>
        </is>
      </c>
      <c r="L1114" s="3" t="inlineStr">
        <is>
          <t>Company fleet inventory, accelerator-hours or procurement/deployment records by GPU generation.</t>
        </is>
      </c>
    </row>
    <row r="1115">
      <c r="A1115" s="3" t="inlineStr">
        <is>
          <t>Microsoft</t>
        </is>
      </c>
      <c r="B1115" s="3" t="n">
        <v>2029</v>
      </c>
      <c r="C1115" s="3" t="inlineStr">
        <is>
          <t>Base</t>
        </is>
      </c>
      <c r="D1115" s="3" t="inlineStr">
        <is>
          <t>b200_share</t>
        </is>
      </c>
      <c r="E1115" s="3" t="n">
        <v>0.705731</v>
      </c>
      <c r="F1115" s="3" t="inlineStr">
        <is>
          <t>share of inference-serving accelerator load</t>
        </is>
      </c>
      <c r="G1115" s="3" t="inlineStr">
        <is>
          <t>Editable numeric scenario</t>
        </is>
      </c>
      <c r="H1115" s="3" t="inlineStr">
        <is>
          <t>b200_share = gpu_share * default_gpu_generation_mix_b200</t>
        </is>
      </c>
      <c r="I1115" s="3" t="inlineStr">
        <is>
          <t>Default GPU-generation migration assumption; executive workbook allows later manual replacement by company/year/scenario.</t>
        </is>
      </c>
      <c r="J1115" s="3" t="inlineStr">
        <is>
          <t>SRC_SEMIANALYSIS_INFERENCEX; ASSUMP_NUMERIC_ACCELERATOR_MIX</t>
        </is>
      </c>
      <c r="K1115" s="3" t="inlineStr">
        <is>
          <t>ASSUMP_POWER_RAMP; ASSUMP_MS_OPENAI_ATTRIBUTION; ASSUMP_NUMERIC_ACCELERATOR_MIX; ASSUMP_INFERENCE_SHARE_NOT_FACT_60; ASSUMP_WORKLOAD_CLASS_MIX; ASSUMP_AGENTIC_CONTEXT_PENALTY</t>
        </is>
      </c>
      <c r="L1115" s="3" t="inlineStr">
        <is>
          <t>Company fleet inventory, accelerator-hours or procurement/deployment records by GPU generation.</t>
        </is>
      </c>
    </row>
    <row r="1116">
      <c r="A1116" s="3" t="inlineStr">
        <is>
          <t>Microsoft</t>
        </is>
      </c>
      <c r="B1116" s="3" t="n">
        <v>2029</v>
      </c>
      <c r="C1116" s="3" t="inlineStr">
        <is>
          <t>Base</t>
        </is>
      </c>
      <c r="D1116" s="3" t="inlineStr">
        <is>
          <t>gb200_share</t>
        </is>
      </c>
      <c r="E1116" s="3" t="n">
        <v>0</v>
      </c>
      <c r="F1116" s="3" t="inlineStr">
        <is>
          <t>share of inference-serving accelerator load</t>
        </is>
      </c>
      <c r="G1116" s="3" t="inlineStr">
        <is>
          <t>Editable numeric scenario</t>
        </is>
      </c>
      <c r="H1116" s="3" t="inlineStr">
        <is>
          <t>gb200_share = gpu_share * default_gpu_generation_mix_gb200</t>
        </is>
      </c>
      <c r="I1116" s="3" t="inlineStr">
        <is>
          <t>Default GPU-generation migration assumption; executive workbook allows later manual replacement by company/year/scenario.</t>
        </is>
      </c>
      <c r="J1116" s="3" t="inlineStr">
        <is>
          <t>SRC_SEMIANALYSIS_INFERENCEX; ASSUMP_NUMERIC_ACCELERATOR_MIX</t>
        </is>
      </c>
      <c r="K1116" s="3" t="inlineStr">
        <is>
          <t>ASSUMP_POWER_RAMP; ASSUMP_MS_OPENAI_ATTRIBUTION; ASSUMP_NUMERIC_ACCELERATOR_MIX; ASSUMP_INFERENCE_SHARE_NOT_FACT_60; ASSUMP_WORKLOAD_CLASS_MIX; ASSUMP_AGENTIC_CONTEXT_PENALTY</t>
        </is>
      </c>
      <c r="L1116" s="3" t="inlineStr">
        <is>
          <t>Company fleet inventory, accelerator-hours or procurement/deployment records by GPU generation.</t>
        </is>
      </c>
    </row>
    <row r="1117">
      <c r="A1117" s="3" t="inlineStr">
        <is>
          <t>Microsoft</t>
        </is>
      </c>
      <c r="B1117" s="3" t="n">
        <v>2029</v>
      </c>
      <c r="C1117" s="3" t="inlineStr">
        <is>
          <t>Base</t>
        </is>
      </c>
      <c r="D1117" s="3" t="inlineStr">
        <is>
          <t>purpose_built_accelerator_share</t>
        </is>
      </c>
      <c r="E1117" s="3" t="n">
        <v>0.273671</v>
      </c>
      <c r="F1117" s="3" t="inlineStr">
        <is>
          <t>share of inference-serving accelerator load</t>
        </is>
      </c>
      <c r="G1117" s="3" t="inlineStr">
        <is>
          <t>Numeric scenario</t>
        </is>
      </c>
      <c r="H1117" s="3" t="inlineStr">
        <is>
          <t>1 - gpu_share</t>
        </is>
      </c>
      <c r="I1117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117" s="3" t="inlineStr">
        <is>
          <t>SRC_MS_PHI; SRC_OPENAI_GPT41_DOCS; SRC_MS_PHI4_TECHREPORT; SRC_MS_MAIA200; SRC_EPOCH_AI_DATA_CENTERS; ASSUMP_NUMERIC_ACCELERATOR_MIX</t>
        </is>
      </c>
      <c r="K1117" s="3" t="inlineStr">
        <is>
          <t>ASSUMP_POWER_RAMP; ASSUMP_MS_OPENAI_ATTRIBUTION; ASSUMP_NUMERIC_ACCELERATOR_MIX; ASSUMP_INFERENCE_SHARE_NOT_FACT_60; ASSUMP_WORKLOAD_CLASS_MIX; ASSUMP_AGENTIC_CONTEXT_PENALTY</t>
        </is>
      </c>
      <c r="L1117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118">
      <c r="A1118" s="3" t="inlineStr">
        <is>
          <t>Microsoft</t>
        </is>
      </c>
      <c r="B1118" s="3" t="n">
        <v>2029</v>
      </c>
      <c r="C1118" s="3" t="inlineStr">
        <is>
          <t>Base</t>
        </is>
      </c>
      <c r="D1118" s="3" t="inlineStr">
        <is>
          <t>fleet_reference_tps_per_mw</t>
        </is>
      </c>
      <c r="E1118" s="3" t="n">
        <v>2856801</v>
      </c>
      <c r="F1118" s="3" t="inlineStr">
        <is>
          <t>generated output tokens/sec/MW</t>
        </is>
      </c>
      <c r="G1118" s="3" t="inlineStr">
        <is>
          <t>Fleet-weighted public benchmark reference</t>
        </is>
      </c>
      <c r="H1118" s="3" t="inlineStr">
        <is>
          <t>h200_share*h200_workload_avg + b200_share*b200_workload_avg + gb200_share*gb200_workload_avg + purpose_built_share*purpose_workload_avg</t>
        </is>
      </c>
      <c r="I111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18" s="3" t="inlineStr">
        <is>
          <t>SRC_SEMIANALYSIS_INFERENCEX; ASSUMP_NUMERIC_ACCELERATOR_MIX; ASSUMP_WORKLOAD_CLASS_MIX; ASSUMP_AGENTIC_CONTEXT_PENALTY</t>
        </is>
      </c>
      <c r="K1118" s="3" t="inlineStr">
        <is>
          <t>ASSUMP_POWER_RAMP; ASSUMP_MS_OPENAI_ATTRIBUTION; ASSUMP_NUMERIC_ACCELERATOR_MIX; ASSUMP_INFERENCE_SHARE_NOT_FACT_60; ASSUMP_WORKLOAD_CLASS_MIX; ASSUMP_AGENTIC_CONTEXT_PENALTY</t>
        </is>
      </c>
      <c r="L1118" s="3" t="inlineStr">
        <is>
          <t>Comparable production output-token throughput or a more closely matched benchmark.</t>
        </is>
      </c>
    </row>
    <row r="1119">
      <c r="A1119" s="3" t="inlineStr">
        <is>
          <t>Microsoft</t>
        </is>
      </c>
      <c r="B1119" s="3" t="n">
        <v>2029</v>
      </c>
      <c r="C1119" s="3" t="inlineStr">
        <is>
          <t>Base</t>
        </is>
      </c>
      <c r="D1119" s="3" t="inlineStr">
        <is>
          <t>commercial_workload_fit_factor</t>
        </is>
      </c>
      <c r="E1119" s="3" t="n">
        <v>0.6</v>
      </c>
      <c r="F1119" s="3" t="inlineStr">
        <is>
          <t>share of public reference throughput</t>
        </is>
      </c>
      <c r="G1119" s="3" t="inlineStr">
        <is>
          <t>Scenario assumption</t>
        </is>
      </c>
      <c r="H1119" s="3" t="inlineStr">
        <is>
          <t>reference_serving_tps_per_mw = fleet_reference_tps_per_mw * commercial_workload_fit_factor</t>
        </is>
      </c>
      <c r="I111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19" s="3" t="inlineStr">
        <is>
          <t>SRC_SEMIANALYSIS_INFERENCEX; ASSUMP_NUMERIC_ACCELERATOR_MIX; ASSUMP_WORKLOAD_CLASS_MIX; ASSUMP_AGENTIC_CONTEXT_PENALTY</t>
        </is>
      </c>
      <c r="K1119" s="3" t="inlineStr">
        <is>
          <t>ASSUMP_POWER_RAMP; ASSUMP_MS_OPENAI_ATTRIBUTION; ASSUMP_NUMERIC_ACCELERATOR_MIX; ASSUMP_INFERENCE_SHARE_NOT_FACT_60; ASSUMP_WORKLOAD_CLASS_MIX; ASSUMP_AGENTIC_CONTEXT_PENALTY</t>
        </is>
      </c>
      <c r="L1119" s="3" t="inlineStr">
        <is>
          <t>Matched commercial serving benchmark by product surface, context shape and latency SLO.</t>
        </is>
      </c>
    </row>
    <row r="1120">
      <c r="A1120" s="3" t="inlineStr">
        <is>
          <t>Microsoft</t>
        </is>
      </c>
      <c r="B1120" s="3" t="n">
        <v>2029</v>
      </c>
      <c r="C1120" s="3" t="inlineStr">
        <is>
          <t>Base</t>
        </is>
      </c>
      <c r="D1120" s="3" t="inlineStr">
        <is>
          <t>reference_serving_tps_per_mw</t>
        </is>
      </c>
      <c r="E1120" s="3" t="n">
        <v>1714081</v>
      </c>
      <c r="F1120" s="3" t="inlineStr">
        <is>
          <t>generated output tokens/sec/MW</t>
        </is>
      </c>
      <c r="G1120" s="3" t="inlineStr">
        <is>
          <t>Workload-adjusted benchmark proxy</t>
        </is>
      </c>
      <c r="H1120" s="3" t="inlineStr">
        <is>
          <t>fleet_reference_tps_per_mw * commercial_workload_fit_factor</t>
        </is>
      </c>
      <c r="I1120" s="3" t="inlineStr">
        <is>
          <t>This is the coefficient used for headline token generation; each GPU's short chat, long chat and agentic TPS/MW are weighted before fleet mix and commercial fit are applied.</t>
        </is>
      </c>
      <c r="J1120" s="3" t="inlineStr">
        <is>
          <t>SRC_SEMIANALYSIS_INFERENCEX; ASSUMP_NUMERIC_ACCELERATOR_MIX; ASSUMP_WORKLOAD_CLASS_MIX; ASSUMP_AGENTIC_CONTEXT_PENALTY</t>
        </is>
      </c>
      <c r="K1120" s="3" t="inlineStr">
        <is>
          <t>ASSUMP_POWER_RAMP; ASSUMP_MS_OPENAI_ATTRIBUTION; ASSUMP_NUMERIC_ACCELERATOR_MIX; ASSUMP_INFERENCE_SHARE_NOT_FACT_60; ASSUMP_WORKLOAD_CLASS_MIX; ASSUMP_AGENTIC_CONTEXT_PENALTY</t>
        </is>
      </c>
      <c r="L1120" s="3" t="inlineStr">
        <is>
          <t>Provider production output-token throughput with comparable workload/SLO.</t>
        </is>
      </c>
    </row>
    <row r="1121">
      <c r="A1121" s="3" t="inlineStr">
        <is>
          <t>Microsoft</t>
        </is>
      </c>
      <c r="B1121" s="3" t="n">
        <v>2029</v>
      </c>
      <c r="C1121" s="3" t="inlineStr">
        <is>
          <t>Base</t>
        </is>
      </c>
      <c r="D1121" s="3" t="inlineStr">
        <is>
          <t>purpose_built_tps_per_mw</t>
        </is>
      </c>
      <c r="E1121" s="3" t="n">
        <v>2710180</v>
      </c>
      <c r="F1121" s="3" t="inlineStr">
        <is>
          <t>generated output tokens/sec/MW</t>
        </is>
      </c>
      <c r="G1121" s="3" t="inlineStr">
        <is>
          <t>Conservative no-uplift proxy</t>
        </is>
      </c>
      <c r="H1121" s="3" t="inlineStr">
        <is>
          <t>purpose_built_tps_per_mw = purpose_built_reference_tps_per_mw * commercial_workload_fit_factor until comparable output-token benchmark is adopted</t>
        </is>
      </c>
      <c r="I1121" s="3" t="inlineStr">
        <is>
          <t>No comparable public output-token/MW row adopted; B200 public reference placeholder is used and remains editable.</t>
        </is>
      </c>
      <c r="J1121" s="3" t="inlineStr">
        <is>
          <t>SRC_MS_PHI; SRC_OPENAI_GPT41_DOCS; SRC_MS_PHI4_TECHREPORT; SRC_MS_MAIA200; SRC_EPOCH_AI_DATA_CENTERS; ASSUMP_NUMERIC_ACCELERATOR_MIX</t>
        </is>
      </c>
      <c r="K1121" s="3" t="inlineStr">
        <is>
          <t>ASSUMP_POWER_RAMP; ASSUMP_MS_OPENAI_ATTRIBUTION; ASSUMP_NUMERIC_ACCELERATOR_MIX; ASSUMP_INFERENCE_SHARE_NOT_FACT_60; ASSUMP_WORKLOAD_CLASS_MIX; ASSUMP_AGENTIC_CONTEXT_PENALTY</t>
        </is>
      </c>
      <c r="L1121" s="3" t="inlineStr">
        <is>
          <t>Matched-workload generated-output benchmark for the provider purpose-built accelerator.</t>
        </is>
      </c>
    </row>
    <row r="1122">
      <c r="A1122" s="3" t="inlineStr">
        <is>
          <t>Microsoft</t>
        </is>
      </c>
      <c r="B1122" s="3" t="n">
        <v>2029</v>
      </c>
      <c r="C1122" s="3" t="inlineStr">
        <is>
          <t>Base</t>
        </is>
      </c>
      <c r="D1122" s="3" t="inlineStr">
        <is>
          <t>inference_power_share</t>
        </is>
      </c>
      <c r="E1122" s="3" t="n">
        <v>0.7</v>
      </c>
      <c r="F1122" s="3" t="inlineStr">
        <is>
          <t>share of AI IT load</t>
        </is>
      </c>
      <c r="G1122" s="3" t="inlineStr">
        <is>
          <t>Scenario allocation</t>
        </is>
      </c>
      <c r="H1122" s="3" t="inlineStr">
        <is>
          <t>inference_gw = ai_it_load_gw * inference_power_share</t>
        </is>
      </c>
      <c r="I1122" s="3" t="inlineStr">
        <is>
          <t>Copilot commercial serving growth supports rising inference allocation; OpenAI model-owner output must remain separately attributed.</t>
        </is>
      </c>
      <c r="J1122" s="3" t="inlineStr">
        <is>
          <t>SRC_MS_PHI; SRC_OPENAI_GPT41_DOCS; SRC_MS_PHI4_TECHREPORT; SRC_MS_MAIA200; SRC_EPOCH_AI_DATA_CENTERS; ASSUMP_INFERENCE_SHARE_NOT_FACT_60</t>
        </is>
      </c>
      <c r="K1122" s="3" t="inlineStr">
        <is>
          <t>ASSUMP_POWER_RAMP; ASSUMP_MS_OPENAI_ATTRIBUTION; ASSUMP_NUMERIC_ACCELERATOR_MIX; ASSUMP_INFERENCE_SHARE_NOT_FACT_60; ASSUMP_WORKLOAD_CLASS_MIX; ASSUMP_AGENTIC_CONTEXT_PENALTY</t>
        </is>
      </c>
      <c r="L1122" s="3" t="inlineStr">
        <is>
          <t>Provider-specific inference/training workload power telemetry.</t>
        </is>
      </c>
    </row>
    <row r="1123">
      <c r="A1123" s="3" t="inlineStr">
        <is>
          <t>Microsoft</t>
        </is>
      </c>
      <c r="B1123" s="3" t="n">
        <v>2029</v>
      </c>
      <c r="C1123" s="3" t="inlineStr">
        <is>
          <t>Base</t>
        </is>
      </c>
      <c r="D1123" s="3" t="inlineStr">
        <is>
          <t>inference_gw</t>
        </is>
      </c>
      <c r="E1123" s="3" t="n">
        <v>2.559</v>
      </c>
      <c r="F1123" s="3" t="inlineStr">
        <is>
          <t>GW</t>
        </is>
      </c>
      <c r="G1123" s="3" t="inlineStr">
        <is>
          <t>Derived formula</t>
        </is>
      </c>
      <c r="H1123" s="3" t="inlineStr">
        <is>
          <t>ai_it_load_gw * inference_power_share</t>
        </is>
      </c>
      <c r="I1123" s="3" t="inlineStr">
        <is>
          <t>This is the operational power eligible to become commercial generated output tokens through the selected TPS/MW proxy.</t>
        </is>
      </c>
      <c r="J1123" s="3" t="inlineStr">
        <is>
          <t>SRC_MS_PHI; SRC_OPENAI_GPT41_DOCS; SRC_MS_PHI4_TECHREPORT; SRC_MS_MAIA200; SRC_EPOCH_AI_DATA_CENTERS</t>
        </is>
      </c>
      <c r="K1123" s="3" t="inlineStr">
        <is>
          <t>ASSUMP_POWER_RAMP; ASSUMP_MS_OPENAI_ATTRIBUTION; ASSUMP_NUMERIC_ACCELERATOR_MIX; ASSUMP_INFERENCE_SHARE_NOT_FACT_60; ASSUMP_WORKLOAD_CLASS_MIX; ASSUMP_AGENTIC_CONTEXT_PENALTY</t>
        </is>
      </c>
      <c r="L1123" s="3" t="inlineStr">
        <is>
          <t>Recompute after AI allocation or inference-share evidence changes.</t>
        </is>
      </c>
    </row>
    <row r="1124">
      <c r="A1124" s="3" t="inlineStr">
        <is>
          <t>Microsoft</t>
        </is>
      </c>
      <c r="B1124" s="3" t="n">
        <v>2029</v>
      </c>
      <c r="C1124" s="3" t="inlineStr">
        <is>
          <t>Base</t>
        </is>
      </c>
      <c r="D1124" s="3" t="inlineStr">
        <is>
          <t>training_power_share</t>
        </is>
      </c>
      <c r="E1124" s="3" t="n">
        <v>0.3</v>
      </c>
      <c r="F1124" s="3" t="inlineStr">
        <is>
          <t>share of AI IT load</t>
        </is>
      </c>
      <c r="G1124" s="3" t="inlineStr">
        <is>
          <t>Derived allocation</t>
        </is>
      </c>
      <c r="H1124" s="3" t="inlineStr">
        <is>
          <t>1 - inference_power_share</t>
        </is>
      </c>
      <c r="I1124" s="3" t="inlineStr">
        <is>
          <t>Training receives the complementary modeled AI IT allocation; it is not a disclosed company workload split.</t>
        </is>
      </c>
      <c r="J1124" s="3" t="inlineStr">
        <is>
          <t>SRC_MS_PHI; SRC_OPENAI_GPT41_DOCS; SRC_MS_PHI4_TECHREPORT; SRC_MS_MAIA200; SRC_EPOCH_AI_DATA_CENTERS; ASSUMP_INFERENCE_SHARE_NOT_FACT_60</t>
        </is>
      </c>
      <c r="K1124" s="3" t="inlineStr">
        <is>
          <t>ASSUMP_POWER_RAMP; ASSUMP_MS_OPENAI_ATTRIBUTION; ASSUMP_NUMERIC_ACCELERATOR_MIX; ASSUMP_INFERENCE_SHARE_NOT_FACT_60; ASSUMP_WORKLOAD_CLASS_MIX; ASSUMP_AGENTIC_CONTEXT_PENALTY</t>
        </is>
      </c>
      <c r="L1124" s="3" t="inlineStr">
        <is>
          <t>Provider-specific inference/training workload power telemetry.</t>
        </is>
      </c>
    </row>
    <row r="1125">
      <c r="A1125" s="3" t="inlineStr">
        <is>
          <t>Microsoft</t>
        </is>
      </c>
      <c r="B1125" s="3" t="n">
        <v>2029</v>
      </c>
      <c r="C1125" s="3" t="inlineStr">
        <is>
          <t>Base</t>
        </is>
      </c>
      <c r="D1125" s="3" t="inlineStr">
        <is>
          <t>training_gw</t>
        </is>
      </c>
      <c r="E1125" s="3" t="n">
        <v>1.097</v>
      </c>
      <c r="F1125" s="3" t="inlineStr">
        <is>
          <t>GW</t>
        </is>
      </c>
      <c r="G1125" s="3" t="inlineStr">
        <is>
          <t>Derived formula</t>
        </is>
      </c>
      <c r="H1125" s="3" t="inlineStr">
        <is>
          <t>ai_it_load_gw * training_power_share</t>
        </is>
      </c>
      <c r="I1125" s="3" t="inlineStr">
        <is>
          <t>Training GW is shown separately so commercial inference token capacity is not overstated.</t>
        </is>
      </c>
      <c r="J1125" s="3" t="inlineStr">
        <is>
          <t>SRC_MS_PHI; SRC_OPENAI_GPT41_DOCS; SRC_MS_PHI4_TECHREPORT; SRC_MS_MAIA200; SRC_EPOCH_AI_DATA_CENTERS</t>
        </is>
      </c>
      <c r="K1125" s="3" t="inlineStr">
        <is>
          <t>ASSUMP_POWER_RAMP; ASSUMP_MS_OPENAI_ATTRIBUTION; ASSUMP_NUMERIC_ACCELERATOR_MIX; ASSUMP_INFERENCE_SHARE_NOT_FACT_60; ASSUMP_WORKLOAD_CLASS_MIX; ASSUMP_AGENTIC_CONTEXT_PENALTY</t>
        </is>
      </c>
      <c r="L1125" s="3" t="inlineStr">
        <is>
          <t>Recompute after AI allocation or workload-split evidence changes.</t>
        </is>
      </c>
    </row>
    <row r="1126">
      <c r="A1126" s="3" t="inlineStr">
        <is>
          <t>Microsoft</t>
        </is>
      </c>
      <c r="B1126" s="3" t="n">
        <v>2029</v>
      </c>
      <c r="C1126" s="3" t="inlineStr">
        <is>
          <t>Base</t>
        </is>
      </c>
      <c r="D1126" s="3" t="inlineStr">
        <is>
          <t>tokens_per_second_per_mw</t>
        </is>
      </c>
      <c r="E1126" s="3" t="n">
        <v>1714081</v>
      </c>
      <c r="F1126" s="3" t="inlineStr">
        <is>
          <t>generated output tokens/sec/MW</t>
        </is>
      </c>
      <c r="G1126" s="3" t="inlineStr">
        <is>
          <t>Derived estimate + benchmark calibration</t>
        </is>
      </c>
      <c r="H1126" s="3" t="inlineStr">
        <is>
          <t>fleet_reference_tps_per_mw * commercial_workload_fit_factor</t>
        </is>
      </c>
      <c r="I112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26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26" s="3" t="inlineStr">
        <is>
          <t>ASSUMP_POWER_RAMP; ASSUMP_MS_OPENAI_ATTRIBUTION; ASSUMP_NUMERIC_ACCELERATOR_MIX; ASSUMP_INFERENCE_SHARE_NOT_FACT_60; ASSUMP_WORKLOAD_CLASS_MIX; ASSUMP_AGENTIC_CONTEXT_PENALTY</t>
        </is>
      </c>
      <c r="L1126" s="3" t="inlineStr">
        <is>
          <t>Comparable production output-token throughput with model, hardware, precision, ISL/OSL and SLO matched.</t>
        </is>
      </c>
    </row>
    <row r="1127">
      <c r="A1127" s="3" t="inlineStr">
        <is>
          <t>Microsoft</t>
        </is>
      </c>
      <c r="B1127" s="3" t="n">
        <v>2029</v>
      </c>
      <c r="C1127" s="3" t="inlineStr">
        <is>
          <t>Base</t>
        </is>
      </c>
      <c r="D1127" s="3" t="inlineStr">
        <is>
          <t>inference_tokens_per_day</t>
        </is>
      </c>
      <c r="E1127" s="3" t="n">
        <v>378979195305600</v>
      </c>
      <c r="F1127" s="3" t="inlineStr">
        <is>
          <t>generated output tokens/day</t>
        </is>
      </c>
      <c r="G1127" s="3" t="inlineStr">
        <is>
          <t>Derived headline metric</t>
        </is>
      </c>
      <c r="H1127" s="3" t="inlineStr">
        <is>
          <t>inference_gw * 1000 * tokens_per_second_per_mw * 86,400</t>
        </is>
      </c>
      <c r="I1127" s="3" t="inlineStr">
        <is>
          <t>Headline capacity uses no utilization, MoE, architecture or software-growth multiplier; it is not observed commercial output volume.</t>
        </is>
      </c>
      <c r="J1127" s="3" t="inlineStr">
        <is>
          <t>SRC_MS_PHI; SRC_OPENAI_GPT41_DOCS; SRC_MS_PHI4_TECHREPORT; SRC_MS_MAIA200; SRC_EPOCH_AI_DATA_CENTERS; SRC_SEMIANALYSIS_INFERENCEX</t>
        </is>
      </c>
      <c r="K1127" s="3" t="inlineStr">
        <is>
          <t>ASSUMP_POWER_RAMP; ASSUMP_MS_OPENAI_ATTRIBUTION; ASSUMP_NUMERIC_ACCELERATOR_MIX; ASSUMP_INFERENCE_SHARE_NOT_FACT_60; ASSUMP_WORKLOAD_CLASS_MIX; ASSUMP_AGENTIC_CONTEXT_PENALTY</t>
        </is>
      </c>
      <c r="L1127" s="3" t="inlineStr">
        <is>
          <t>Provider-disclosed generated output token volume or calibrated capacity telemetry.</t>
        </is>
      </c>
    </row>
    <row r="1128">
      <c r="A1128" s="3" t="inlineStr">
        <is>
          <t>Microsoft</t>
        </is>
      </c>
      <c r="B1128" s="3" t="n">
        <v>2029</v>
      </c>
      <c r="C1128" s="3" t="inlineStr">
        <is>
          <t>Base</t>
        </is>
      </c>
      <c r="D1128" s="3" t="inlineStr">
        <is>
          <t>inference_tokens_per_year</t>
        </is>
      </c>
      <c r="E1128" s="3" t="n">
        <v>1.38327406286544e+17</v>
      </c>
      <c r="F1128" s="3" t="inlineStr">
        <is>
          <t>generated output tokens/year</t>
        </is>
      </c>
      <c r="G1128" s="3" t="inlineStr">
        <is>
          <t>Derived headline metric</t>
        </is>
      </c>
      <c r="H1128" s="3" t="inlineStr">
        <is>
          <t>inference_tokens_per_day * 365</t>
        </is>
      </c>
      <c r="I1128" s="3" t="inlineStr">
        <is>
          <t>Annualized version of generated output token capacity; it is not observed annual demand or billable volume.</t>
        </is>
      </c>
      <c r="J1128" s="3" t="inlineStr">
        <is>
          <t>SRC_MS_PHI; SRC_OPENAI_GPT41_DOCS; SRC_MS_PHI4_TECHREPORT; SRC_MS_MAIA200; SRC_EPOCH_AI_DATA_CENTERS; SRC_SEMIANALYSIS_INFERENCEX</t>
        </is>
      </c>
      <c r="K1128" s="3" t="inlineStr">
        <is>
          <t>ASSUMP_POWER_RAMP; ASSUMP_MS_OPENAI_ATTRIBUTION; ASSUMP_NUMERIC_ACCELERATOR_MIX; ASSUMP_INFERENCE_SHARE_NOT_FACT_60; ASSUMP_WORKLOAD_CLASS_MIX; ASSUMP_AGENTIC_CONTEXT_PENALTY</t>
        </is>
      </c>
      <c r="L1128" s="3" t="inlineStr">
        <is>
          <t>Provider-disclosed annual generated-output volume or metered serving telemetry.</t>
        </is>
      </c>
    </row>
    <row r="1129">
      <c r="A1129" s="3" t="inlineStr">
        <is>
          <t>Microsoft</t>
        </is>
      </c>
      <c r="B1129" s="3" t="n">
        <v>2030</v>
      </c>
      <c r="C1129" s="3" t="inlineStr">
        <is>
          <t>Base</t>
        </is>
      </c>
      <c r="D1129" s="3" t="inlineStr">
        <is>
          <t>contracted_power_gw</t>
        </is>
      </c>
      <c r="E1129" s="3" t="n">
        <v>9</v>
      </c>
      <c r="F1129" s="3" t="inlineStr">
        <is>
          <t>GW</t>
        </is>
      </c>
      <c r="G1129" s="3" t="inlineStr">
        <is>
          <t>Scenario capacity envelope</t>
        </is>
      </c>
      <c r="H1129" s="3" t="inlineStr">
        <is>
          <t>linear interpolation between 2026 and 2030 company capacity endpoints</t>
        </is>
      </c>
      <c r="I1129" s="3" t="inlineStr">
        <is>
          <t>Scenario envelope for Microsoft-controlled/Copilot serving burden; not an official contracted-GW disclosure.</t>
        </is>
      </c>
      <c r="J1129" s="3" t="inlineStr">
        <is>
          <t>ASSUMP_POWER_RAMP; SRC_MS_MAIA200</t>
        </is>
      </c>
      <c r="K1129" s="3" t="inlineStr">
        <is>
          <t>ASSUMP_POWER_RAMP; ASSUMP_MS_OPENAI_ATTRIBUTION; ASSUMP_NUMERIC_ACCELERATOR_MIX; ASSUMP_INFERENCE_SHARE_NOT_FACT_60; ASSUMP_WORKLOAD_CLASS_MIX; ASSUMP_AGENTIC_CONTEXT_PENALTY</t>
        </is>
      </c>
      <c r="L1129" s="3" t="inlineStr">
        <is>
          <t>Company/site-level committed MW/GW, interconnect and contract disclosure.</t>
        </is>
      </c>
    </row>
    <row r="1130">
      <c r="A1130" s="3" t="inlineStr">
        <is>
          <t>Microsoft</t>
        </is>
      </c>
      <c r="B1130" s="3" t="n">
        <v>2030</v>
      </c>
      <c r="C1130" s="3" t="inlineStr">
        <is>
          <t>Base</t>
        </is>
      </c>
      <c r="D1130" s="3" t="inlineStr">
        <is>
          <t>operational_deployment_share</t>
        </is>
      </c>
      <c r="E1130" s="3" t="n">
        <v>0.68888889</v>
      </c>
      <c r="F1130" s="3" t="inlineStr">
        <is>
          <t>share</t>
        </is>
      </c>
      <c r="G1130" s="3" t="inlineStr">
        <is>
          <t>Scenario conversion</t>
        </is>
      </c>
      <c r="H1130" s="3" t="inlineStr">
        <is>
          <t>active_power_gw / contracted_power_gw</t>
        </is>
      </c>
      <c r="I1130" s="3" t="inlineStr">
        <is>
          <t>This is the single explicit conversion from contracted/attributed capacity to operationally usable capacity.</t>
        </is>
      </c>
      <c r="J1130" s="3" t="inlineStr">
        <is>
          <t>ASSUMP_POWER_RAMP; SRC_MS_MAIA200</t>
        </is>
      </c>
      <c r="K1130" s="3" t="inlineStr">
        <is>
          <t>ASSUMP_POWER_RAMP; ASSUMP_MS_OPENAI_ATTRIBUTION; ASSUMP_NUMERIC_ACCELERATOR_MIX; ASSUMP_INFERENCE_SHARE_NOT_FACT_60; ASSUMP_WORKLOAD_CLASS_MIX; ASSUMP_AGENTIC_CONTEXT_PENALTY</t>
        </is>
      </c>
      <c r="L1130" s="3" t="inlineStr">
        <is>
          <t>Energized operational capacity divided by contracted/attributed capacity.</t>
        </is>
      </c>
    </row>
    <row r="1131">
      <c r="A1131" s="3" t="inlineStr">
        <is>
          <t>Microsoft</t>
        </is>
      </c>
      <c r="B1131" s="3" t="n">
        <v>2030</v>
      </c>
      <c r="C1131" s="3" t="inlineStr">
        <is>
          <t>Base</t>
        </is>
      </c>
      <c r="D1131" s="3" t="inlineStr">
        <is>
          <t>active_power_gw</t>
        </is>
      </c>
      <c r="E1131" s="3" t="n">
        <v>6.2</v>
      </c>
      <c r="F1131" s="3" t="inlineStr">
        <is>
          <t>GW</t>
        </is>
      </c>
      <c r="G1131" s="3" t="inlineStr">
        <is>
          <t>Derived scenario</t>
        </is>
      </c>
      <c r="H1131" s="3" t="inlineStr">
        <is>
          <t>contracted_power_gw * operational_deployment_share</t>
        </is>
      </c>
      <c r="I1131" s="3" t="inlineStr">
        <is>
          <t>Active GW is a staged operational deployment fraction of modeled capacity, reflecting site energization and accelerator availability.</t>
        </is>
      </c>
      <c r="J1131" s="3" t="inlineStr">
        <is>
          <t>ASSUMP_POWER_RAMP; SRC_MS_MAIA200</t>
        </is>
      </c>
      <c r="K1131" s="3" t="inlineStr">
        <is>
          <t>ASSUMP_POWER_RAMP; ASSUMP_MS_OPENAI_ATTRIBUTION; ASSUMP_NUMERIC_ACCELERATOR_MIX; ASSUMP_INFERENCE_SHARE_NOT_FACT_60; ASSUMP_WORKLOAD_CLASS_MIX; ASSUMP_AGENTIC_CONTEXT_PENALTY</t>
        </is>
      </c>
      <c r="L1131" s="3" t="inlineStr">
        <is>
          <t>Energization dates, accelerator deliveries and operational powered-rack telemetry.</t>
        </is>
      </c>
    </row>
    <row r="1132">
      <c r="A1132" s="3" t="inlineStr">
        <is>
          <t>Microsoft</t>
        </is>
      </c>
      <c r="B1132" s="3" t="n">
        <v>2030</v>
      </c>
      <c r="C1132" s="3" t="inlineStr">
        <is>
          <t>Base</t>
        </is>
      </c>
      <c r="D1132" s="3" t="inlineStr">
        <is>
          <t>pue</t>
        </is>
      </c>
      <c r="E1132" s="3" t="n">
        <v>1.2</v>
      </c>
      <c r="F1132" s="3" t="inlineStr">
        <is>
          <t>ratio</t>
        </is>
      </c>
      <c r="G1132" s="3" t="inlineStr">
        <is>
          <t>Scenario parameter</t>
        </is>
      </c>
      <c r="H1132" s="3" t="inlineStr">
        <is>
          <t>it_load_gw = active_power_gw / pue</t>
        </is>
      </c>
      <c r="I1132" s="3" t="inlineStr">
        <is>
          <t>No provider-wide site-level PUE is used as a disclosed fact; PUE represents facility-to-IT conversion within the scenario.</t>
        </is>
      </c>
      <c r="J1132" s="3" t="inlineStr">
        <is>
          <t>ASSUMP_POWER_RAMP</t>
        </is>
      </c>
      <c r="K1132" s="3" t="inlineStr">
        <is>
          <t>ASSUMP_POWER_RAMP; ASSUMP_MS_OPENAI_ATTRIBUTION; ASSUMP_NUMERIC_ACCELERATOR_MIX; ASSUMP_INFERENCE_SHARE_NOT_FACT_60; ASSUMP_WORKLOAD_CLASS_MIX; ASSUMP_AGENTIC_CONTEXT_PENALTY</t>
        </is>
      </c>
      <c r="L1132" s="3" t="inlineStr">
        <is>
          <t>Site-level measured PUE matched to attributed AI capacity.</t>
        </is>
      </c>
    </row>
    <row r="1133">
      <c r="A1133" s="3" t="inlineStr">
        <is>
          <t>Microsoft</t>
        </is>
      </c>
      <c r="B1133" s="3" t="n">
        <v>2030</v>
      </c>
      <c r="C1133" s="3" t="inlineStr">
        <is>
          <t>Base</t>
        </is>
      </c>
      <c r="D1133" s="3" t="inlineStr">
        <is>
          <t>it_load_gw</t>
        </is>
      </c>
      <c r="E1133" s="3" t="n">
        <v>5.167</v>
      </c>
      <c r="F1133" s="3" t="inlineStr">
        <is>
          <t>GW</t>
        </is>
      </c>
      <c r="G1133" s="3" t="inlineStr">
        <is>
          <t>Derived formula</t>
        </is>
      </c>
      <c r="H1133" s="3" t="inlineStr">
        <is>
          <t>active_power_gw / pue</t>
        </is>
      </c>
      <c r="I1133" s="3" t="inlineStr">
        <is>
          <t>Facility power is converted to IT-deliverable power before attributing AI workloads.</t>
        </is>
      </c>
      <c r="J1133" s="3" t="inlineStr">
        <is>
          <t>ASSUMP_POWER_RAMP; SRC_MS_MAIA200</t>
        </is>
      </c>
      <c r="K1133" s="3" t="inlineStr">
        <is>
          <t>ASSUMP_POWER_RAMP; ASSUMP_MS_OPENAI_ATTRIBUTION; ASSUMP_NUMERIC_ACCELERATOR_MIX; ASSUMP_INFERENCE_SHARE_NOT_FACT_60; ASSUMP_WORKLOAD_CLASS_MIX; ASSUMP_AGENTIC_CONTEXT_PENALTY</t>
        </is>
      </c>
      <c r="L1133" s="3" t="inlineStr">
        <is>
          <t>Recompute once active power and PUE become site-observable.</t>
        </is>
      </c>
    </row>
    <row r="1134">
      <c r="A1134" s="3" t="inlineStr">
        <is>
          <t>Microsoft</t>
        </is>
      </c>
      <c r="B1134" s="3" t="n">
        <v>2030</v>
      </c>
      <c r="C1134" s="3" t="inlineStr">
        <is>
          <t>Base</t>
        </is>
      </c>
      <c r="D1134" s="3" t="inlineStr">
        <is>
          <t>ai_workload_share</t>
        </is>
      </c>
      <c r="E1134" s="3" t="n">
        <v>0.86</v>
      </c>
      <c r="F1134" s="3" t="inlineStr">
        <is>
          <t>share</t>
        </is>
      </c>
      <c r="G1134" s="3" t="inlineStr">
        <is>
          <t>Scenario allocation</t>
        </is>
      </c>
      <c r="H1134" s="3" t="inlineStr">
        <is>
          <t>ai_it_load_gw = it_load_gw * ai_workload_share</t>
        </is>
      </c>
      <c r="I1134" s="3" t="inlineStr">
        <is>
          <t>Azure/Copilot serving burden is AI-oriented but shares infrastructure with platform and reserve overhead; 86% is a scenario allocation.</t>
        </is>
      </c>
      <c r="J1134" s="3" t="inlineStr">
        <is>
          <t>SRC_MS_PHI; SRC_OPENAI_GPT41_DOCS; SRC_MS_PHI4_TECHREPORT; SRC_MS_MAIA200; SRC_EPOCH_AI_DATA_CENTERS</t>
        </is>
      </c>
      <c r="K1134" s="3" t="inlineStr">
        <is>
          <t>ASSUMP_POWER_RAMP; ASSUMP_MS_OPENAI_ATTRIBUTION; ASSUMP_NUMERIC_ACCELERATOR_MIX; ASSUMP_INFERENCE_SHARE_NOT_FACT_60; ASSUMP_WORKLOAD_CLASS_MIX; ASSUMP_AGENTIC_CONTEXT_PENALTY</t>
        </is>
      </c>
      <c r="L1134" s="3" t="inlineStr">
        <is>
          <t>Model-owner AI workload allocation or cluster scheduling telemetry.</t>
        </is>
      </c>
    </row>
    <row r="1135">
      <c r="A1135" s="3" t="inlineStr">
        <is>
          <t>Microsoft</t>
        </is>
      </c>
      <c r="B1135" s="3" t="n">
        <v>2030</v>
      </c>
      <c r="C1135" s="3" t="inlineStr">
        <is>
          <t>Base</t>
        </is>
      </c>
      <c r="D1135" s="3" t="inlineStr">
        <is>
          <t>ai_it_load_gw</t>
        </is>
      </c>
      <c r="E1135" s="3" t="n">
        <v>4.443</v>
      </c>
      <c r="F1135" s="3" t="inlineStr">
        <is>
          <t>GW</t>
        </is>
      </c>
      <c r="G1135" s="3" t="inlineStr">
        <is>
          <t>Derived formula</t>
        </is>
      </c>
      <c r="H1135" s="3" t="inlineStr">
        <is>
          <t>it_load_gw * ai_workload_share</t>
        </is>
      </c>
      <c r="I1135" s="3" t="inlineStr">
        <is>
          <t>Only the AI-attributed portion of IT load enters training/inference allocation.</t>
        </is>
      </c>
      <c r="J1135" s="3" t="inlineStr">
        <is>
          <t>SRC_MS_PHI; SRC_OPENAI_GPT41_DOCS; SRC_MS_PHI4_TECHREPORT; SRC_MS_MAIA200; SRC_EPOCH_AI_DATA_CENTERS</t>
        </is>
      </c>
      <c r="K1135" s="3" t="inlineStr">
        <is>
          <t>ASSUMP_POWER_RAMP; ASSUMP_MS_OPENAI_ATTRIBUTION; ASSUMP_NUMERIC_ACCELERATOR_MIX; ASSUMP_INFERENCE_SHARE_NOT_FACT_60; ASSUMP_WORKLOAD_CLASS_MIX; ASSUMP_AGENTIC_CONTEXT_PENALTY</t>
        </is>
      </c>
      <c r="L1135" s="3" t="inlineStr">
        <is>
          <t>Recompute after ai_workload_share is replaced by telemetry.</t>
        </is>
      </c>
    </row>
    <row r="1136">
      <c r="A1136" s="3" t="inlineStr">
        <is>
          <t>Microsoft</t>
        </is>
      </c>
      <c r="B1136" s="3" t="n">
        <v>2030</v>
      </c>
      <c r="C1136" s="3" t="inlineStr">
        <is>
          <t>Base</t>
        </is>
      </c>
      <c r="D1136" s="3" t="inlineStr">
        <is>
          <t>gpu_share</t>
        </is>
      </c>
      <c r="E1136" s="3" t="n">
        <v>0.726329</v>
      </c>
      <c r="F1136" s="3" t="inlineStr">
        <is>
          <t>share of inference-serving accelerator load</t>
        </is>
      </c>
      <c r="G1136" s="3" t="inlineStr">
        <is>
          <t>Numeric scenario</t>
        </is>
      </c>
      <c r="H1136" s="3" t="inlineStr">
        <is>
          <t>gpu_share interpolated from company 2026/2030 accelerator-mix endpoints</t>
        </is>
      </c>
      <c r="I1136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136" s="3" t="inlineStr">
        <is>
          <t>SRC_MS_PHI; SRC_OPENAI_GPT41_DOCS; SRC_MS_PHI4_TECHREPORT; SRC_MS_MAIA200; SRC_EPOCH_AI_DATA_CENTERS; ASSUMP_NUMERIC_ACCELERATOR_MIX</t>
        </is>
      </c>
      <c r="K1136" s="3" t="inlineStr">
        <is>
          <t>ASSUMP_POWER_RAMP; ASSUMP_MS_OPENAI_ATTRIBUTION; ASSUMP_NUMERIC_ACCELERATOR_MIX; ASSUMP_INFERENCE_SHARE_NOT_FACT_60; ASSUMP_WORKLOAD_CLASS_MIX; ASSUMP_AGENTIC_CONTEXT_PENALTY</t>
        </is>
      </c>
      <c r="L1136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137">
      <c r="A1137" s="3" t="inlineStr">
        <is>
          <t>Microsoft</t>
        </is>
      </c>
      <c r="B1137" s="3" t="n">
        <v>2030</v>
      </c>
      <c r="C1137" s="3" t="inlineStr">
        <is>
          <t>Base</t>
        </is>
      </c>
      <c r="D1137" s="3" t="inlineStr">
        <is>
          <t>h200_share</t>
        </is>
      </c>
      <c r="E1137" s="3" t="n">
        <v>0.020598</v>
      </c>
      <c r="F1137" s="3" t="inlineStr">
        <is>
          <t>share of inference-serving accelerator load</t>
        </is>
      </c>
      <c r="G1137" s="3" t="inlineStr">
        <is>
          <t>Editable numeric scenario</t>
        </is>
      </c>
      <c r="H1137" s="3" t="inlineStr">
        <is>
          <t>h200_share = gpu_share * default_gpu_generation_mix_h200</t>
        </is>
      </c>
      <c r="I1137" s="3" t="inlineStr">
        <is>
          <t>Default GPU-generation migration assumption; executive workbook allows later manual replacement by company/year/scenario.</t>
        </is>
      </c>
      <c r="J1137" s="3" t="inlineStr">
        <is>
          <t>SRC_SEMIANALYSIS_INFERENCEX; ASSUMP_NUMERIC_ACCELERATOR_MIX</t>
        </is>
      </c>
      <c r="K1137" s="3" t="inlineStr">
        <is>
          <t>ASSUMP_POWER_RAMP; ASSUMP_MS_OPENAI_ATTRIBUTION; ASSUMP_NUMERIC_ACCELERATOR_MIX; ASSUMP_INFERENCE_SHARE_NOT_FACT_60; ASSUMP_WORKLOAD_CLASS_MIX; ASSUMP_AGENTIC_CONTEXT_PENALTY</t>
        </is>
      </c>
      <c r="L1137" s="3" t="inlineStr">
        <is>
          <t>Company fleet inventory, accelerator-hours or procurement/deployment records by GPU generation.</t>
        </is>
      </c>
    </row>
    <row r="1138">
      <c r="A1138" s="3" t="inlineStr">
        <is>
          <t>Microsoft</t>
        </is>
      </c>
      <c r="B1138" s="3" t="n">
        <v>2030</v>
      </c>
      <c r="C1138" s="3" t="inlineStr">
        <is>
          <t>Base</t>
        </is>
      </c>
      <c r="D1138" s="3" t="inlineStr">
        <is>
          <t>b200_share</t>
        </is>
      </c>
      <c r="E1138" s="3" t="n">
        <v>0.705731</v>
      </c>
      <c r="F1138" s="3" t="inlineStr">
        <is>
          <t>share of inference-serving accelerator load</t>
        </is>
      </c>
      <c r="G1138" s="3" t="inlineStr">
        <is>
          <t>Editable numeric scenario</t>
        </is>
      </c>
      <c r="H1138" s="3" t="inlineStr">
        <is>
          <t>b200_share = gpu_share * default_gpu_generation_mix_b200</t>
        </is>
      </c>
      <c r="I1138" s="3" t="inlineStr">
        <is>
          <t>Default GPU-generation migration assumption; executive workbook allows later manual replacement by company/year/scenario.</t>
        </is>
      </c>
      <c r="J1138" s="3" t="inlineStr">
        <is>
          <t>SRC_SEMIANALYSIS_INFERENCEX; ASSUMP_NUMERIC_ACCELERATOR_MIX</t>
        </is>
      </c>
      <c r="K1138" s="3" t="inlineStr">
        <is>
          <t>ASSUMP_POWER_RAMP; ASSUMP_MS_OPENAI_ATTRIBUTION; ASSUMP_NUMERIC_ACCELERATOR_MIX; ASSUMP_INFERENCE_SHARE_NOT_FACT_60; ASSUMP_WORKLOAD_CLASS_MIX; ASSUMP_AGENTIC_CONTEXT_PENALTY</t>
        </is>
      </c>
      <c r="L1138" s="3" t="inlineStr">
        <is>
          <t>Company fleet inventory, accelerator-hours or procurement/deployment records by GPU generation.</t>
        </is>
      </c>
    </row>
    <row r="1139">
      <c r="A1139" s="3" t="inlineStr">
        <is>
          <t>Microsoft</t>
        </is>
      </c>
      <c r="B1139" s="3" t="n">
        <v>2030</v>
      </c>
      <c r="C1139" s="3" t="inlineStr">
        <is>
          <t>Base</t>
        </is>
      </c>
      <c r="D1139" s="3" t="inlineStr">
        <is>
          <t>gb200_share</t>
        </is>
      </c>
      <c r="E1139" s="3" t="n">
        <v>0</v>
      </c>
      <c r="F1139" s="3" t="inlineStr">
        <is>
          <t>share of inference-serving accelerator load</t>
        </is>
      </c>
      <c r="G1139" s="3" t="inlineStr">
        <is>
          <t>Editable numeric scenario</t>
        </is>
      </c>
      <c r="H1139" s="3" t="inlineStr">
        <is>
          <t>gb200_share = gpu_share * default_gpu_generation_mix_gb200</t>
        </is>
      </c>
      <c r="I1139" s="3" t="inlineStr">
        <is>
          <t>Default GPU-generation migration assumption; executive workbook allows later manual replacement by company/year/scenario.</t>
        </is>
      </c>
      <c r="J1139" s="3" t="inlineStr">
        <is>
          <t>SRC_SEMIANALYSIS_INFERENCEX; ASSUMP_NUMERIC_ACCELERATOR_MIX</t>
        </is>
      </c>
      <c r="K1139" s="3" t="inlineStr">
        <is>
          <t>ASSUMP_POWER_RAMP; ASSUMP_MS_OPENAI_ATTRIBUTION; ASSUMP_NUMERIC_ACCELERATOR_MIX; ASSUMP_INFERENCE_SHARE_NOT_FACT_60; ASSUMP_WORKLOAD_CLASS_MIX; ASSUMP_AGENTIC_CONTEXT_PENALTY</t>
        </is>
      </c>
      <c r="L1139" s="3" t="inlineStr">
        <is>
          <t>Company fleet inventory, accelerator-hours or procurement/deployment records by GPU generation.</t>
        </is>
      </c>
    </row>
    <row r="1140">
      <c r="A1140" s="3" t="inlineStr">
        <is>
          <t>Microsoft</t>
        </is>
      </c>
      <c r="B1140" s="3" t="n">
        <v>2030</v>
      </c>
      <c r="C1140" s="3" t="inlineStr">
        <is>
          <t>Base</t>
        </is>
      </c>
      <c r="D1140" s="3" t="inlineStr">
        <is>
          <t>purpose_built_accelerator_share</t>
        </is>
      </c>
      <c r="E1140" s="3" t="n">
        <v>0.273671</v>
      </c>
      <c r="F1140" s="3" t="inlineStr">
        <is>
          <t>share of inference-serving accelerator load</t>
        </is>
      </c>
      <c r="G1140" s="3" t="inlineStr">
        <is>
          <t>Numeric scenario</t>
        </is>
      </c>
      <c r="H1140" s="3" t="inlineStr">
        <is>
          <t>1 - gpu_share</t>
        </is>
      </c>
      <c r="I1140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1140" s="3" t="inlineStr">
        <is>
          <t>SRC_MS_PHI; SRC_OPENAI_GPT41_DOCS; SRC_MS_PHI4_TECHREPORT; SRC_MS_MAIA200; SRC_EPOCH_AI_DATA_CENTERS; ASSUMP_NUMERIC_ACCELERATOR_MIX</t>
        </is>
      </c>
      <c r="K1140" s="3" t="inlineStr">
        <is>
          <t>ASSUMP_POWER_RAMP; ASSUMP_MS_OPENAI_ATTRIBUTION; ASSUMP_NUMERIC_ACCELERATOR_MIX; ASSUMP_INFERENCE_SHARE_NOT_FACT_60; ASSUMP_WORKLOAD_CLASS_MIX; ASSUMP_AGENTIC_CONTEXT_PENALTY</t>
        </is>
      </c>
      <c r="L1140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1141">
      <c r="A1141" s="3" t="inlineStr">
        <is>
          <t>Microsoft</t>
        </is>
      </c>
      <c r="B1141" s="3" t="n">
        <v>2030</v>
      </c>
      <c r="C1141" s="3" t="inlineStr">
        <is>
          <t>Base</t>
        </is>
      </c>
      <c r="D1141" s="3" t="inlineStr">
        <is>
          <t>fleet_reference_tps_per_mw</t>
        </is>
      </c>
      <c r="E1141" s="3" t="n">
        <v>2856801</v>
      </c>
      <c r="F1141" s="3" t="inlineStr">
        <is>
          <t>generated output tokens/sec/MW</t>
        </is>
      </c>
      <c r="G1141" s="3" t="inlineStr">
        <is>
          <t>Fleet-weighted public benchmark reference</t>
        </is>
      </c>
      <c r="H1141" s="3" t="inlineStr">
        <is>
          <t>h200_share*h200_workload_avg + b200_share*b200_workload_avg + gb200_share*gb200_workload_avg + purpose_built_share*purpose_workload_avg</t>
        </is>
      </c>
      <c r="I114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141" s="3" t="inlineStr">
        <is>
          <t>SRC_SEMIANALYSIS_INFERENCEX; ASSUMP_NUMERIC_ACCELERATOR_MIX; ASSUMP_WORKLOAD_CLASS_MIX; ASSUMP_AGENTIC_CONTEXT_PENALTY</t>
        </is>
      </c>
      <c r="K1141" s="3" t="inlineStr">
        <is>
          <t>ASSUMP_POWER_RAMP; ASSUMP_MS_OPENAI_ATTRIBUTION; ASSUMP_NUMERIC_ACCELERATOR_MIX; ASSUMP_INFERENCE_SHARE_NOT_FACT_60; ASSUMP_WORKLOAD_CLASS_MIX; ASSUMP_AGENTIC_CONTEXT_PENALTY</t>
        </is>
      </c>
      <c r="L1141" s="3" t="inlineStr">
        <is>
          <t>Comparable production output-token throughput or a more closely matched benchmark.</t>
        </is>
      </c>
    </row>
    <row r="1142">
      <c r="A1142" s="3" t="inlineStr">
        <is>
          <t>Microsoft</t>
        </is>
      </c>
      <c r="B1142" s="3" t="n">
        <v>2030</v>
      </c>
      <c r="C1142" s="3" t="inlineStr">
        <is>
          <t>Base</t>
        </is>
      </c>
      <c r="D1142" s="3" t="inlineStr">
        <is>
          <t>commercial_workload_fit_factor</t>
        </is>
      </c>
      <c r="E1142" s="3" t="n">
        <v>0.6</v>
      </c>
      <c r="F1142" s="3" t="inlineStr">
        <is>
          <t>share of public reference throughput</t>
        </is>
      </c>
      <c r="G1142" s="3" t="inlineStr">
        <is>
          <t>Scenario assumption</t>
        </is>
      </c>
      <c r="H1142" s="3" t="inlineStr">
        <is>
          <t>reference_serving_tps_per_mw = fleet_reference_tps_per_mw * commercial_workload_fit_factor</t>
        </is>
      </c>
      <c r="I114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1142" s="3" t="inlineStr">
        <is>
          <t>SRC_SEMIANALYSIS_INFERENCEX; ASSUMP_NUMERIC_ACCELERATOR_MIX; ASSUMP_WORKLOAD_CLASS_MIX; ASSUMP_AGENTIC_CONTEXT_PENALTY</t>
        </is>
      </c>
      <c r="K1142" s="3" t="inlineStr">
        <is>
          <t>ASSUMP_POWER_RAMP; ASSUMP_MS_OPENAI_ATTRIBUTION; ASSUMP_NUMERIC_ACCELERATOR_MIX; ASSUMP_INFERENCE_SHARE_NOT_FACT_60; ASSUMP_WORKLOAD_CLASS_MIX; ASSUMP_AGENTIC_CONTEXT_PENALTY</t>
        </is>
      </c>
      <c r="L1142" s="3" t="inlineStr">
        <is>
          <t>Matched commercial serving benchmark by product surface, context shape and latency SLO.</t>
        </is>
      </c>
    </row>
    <row r="1143">
      <c r="A1143" s="3" t="inlineStr">
        <is>
          <t>Microsoft</t>
        </is>
      </c>
      <c r="B1143" s="3" t="n">
        <v>2030</v>
      </c>
      <c r="C1143" s="3" t="inlineStr">
        <is>
          <t>Base</t>
        </is>
      </c>
      <c r="D1143" s="3" t="inlineStr">
        <is>
          <t>reference_serving_tps_per_mw</t>
        </is>
      </c>
      <c r="E1143" s="3" t="n">
        <v>1714081</v>
      </c>
      <c r="F1143" s="3" t="inlineStr">
        <is>
          <t>generated output tokens/sec/MW</t>
        </is>
      </c>
      <c r="G1143" s="3" t="inlineStr">
        <is>
          <t>Workload-adjusted benchmark proxy</t>
        </is>
      </c>
      <c r="H1143" s="3" t="inlineStr">
        <is>
          <t>fleet_reference_tps_per_mw * commercial_workload_fit_factor</t>
        </is>
      </c>
      <c r="I1143" s="3" t="inlineStr">
        <is>
          <t>This is the coefficient used for headline token generation; each GPU's short chat, long chat and agentic TPS/MW are weighted before fleet mix and commercial fit are applied.</t>
        </is>
      </c>
      <c r="J1143" s="3" t="inlineStr">
        <is>
          <t>SRC_SEMIANALYSIS_INFERENCEX; ASSUMP_NUMERIC_ACCELERATOR_MIX; ASSUMP_WORKLOAD_CLASS_MIX; ASSUMP_AGENTIC_CONTEXT_PENALTY</t>
        </is>
      </c>
      <c r="K1143" s="3" t="inlineStr">
        <is>
          <t>ASSUMP_POWER_RAMP; ASSUMP_MS_OPENAI_ATTRIBUTION; ASSUMP_NUMERIC_ACCELERATOR_MIX; ASSUMP_INFERENCE_SHARE_NOT_FACT_60; ASSUMP_WORKLOAD_CLASS_MIX; ASSUMP_AGENTIC_CONTEXT_PENALTY</t>
        </is>
      </c>
      <c r="L1143" s="3" t="inlineStr">
        <is>
          <t>Provider production output-token throughput with comparable workload/SLO.</t>
        </is>
      </c>
    </row>
    <row r="1144">
      <c r="A1144" s="3" t="inlineStr">
        <is>
          <t>Microsoft</t>
        </is>
      </c>
      <c r="B1144" s="3" t="n">
        <v>2030</v>
      </c>
      <c r="C1144" s="3" t="inlineStr">
        <is>
          <t>Base</t>
        </is>
      </c>
      <c r="D1144" s="3" t="inlineStr">
        <is>
          <t>purpose_built_tps_per_mw</t>
        </is>
      </c>
      <c r="E1144" s="3" t="n">
        <v>2710180</v>
      </c>
      <c r="F1144" s="3" t="inlineStr">
        <is>
          <t>generated output tokens/sec/MW</t>
        </is>
      </c>
      <c r="G1144" s="3" t="inlineStr">
        <is>
          <t>Conservative no-uplift proxy</t>
        </is>
      </c>
      <c r="H1144" s="3" t="inlineStr">
        <is>
          <t>purpose_built_tps_per_mw = purpose_built_reference_tps_per_mw * commercial_workload_fit_factor until comparable output-token benchmark is adopted</t>
        </is>
      </c>
      <c r="I1144" s="3" t="inlineStr">
        <is>
          <t>No comparable public output-token/MW row adopted; B200 public reference placeholder is used and remains editable.</t>
        </is>
      </c>
      <c r="J1144" s="3" t="inlineStr">
        <is>
          <t>SRC_MS_PHI; SRC_OPENAI_GPT41_DOCS; SRC_MS_PHI4_TECHREPORT; SRC_MS_MAIA200; SRC_EPOCH_AI_DATA_CENTERS; ASSUMP_NUMERIC_ACCELERATOR_MIX</t>
        </is>
      </c>
      <c r="K1144" s="3" t="inlineStr">
        <is>
          <t>ASSUMP_POWER_RAMP; ASSUMP_MS_OPENAI_ATTRIBUTION; ASSUMP_NUMERIC_ACCELERATOR_MIX; ASSUMP_INFERENCE_SHARE_NOT_FACT_60; ASSUMP_WORKLOAD_CLASS_MIX; ASSUMP_AGENTIC_CONTEXT_PENALTY</t>
        </is>
      </c>
      <c r="L1144" s="3" t="inlineStr">
        <is>
          <t>Matched-workload generated-output benchmark for the provider purpose-built accelerator.</t>
        </is>
      </c>
    </row>
    <row r="1145">
      <c r="A1145" s="3" t="inlineStr">
        <is>
          <t>Microsoft</t>
        </is>
      </c>
      <c r="B1145" s="3" t="n">
        <v>2030</v>
      </c>
      <c r="C1145" s="3" t="inlineStr">
        <is>
          <t>Base</t>
        </is>
      </c>
      <c r="D1145" s="3" t="inlineStr">
        <is>
          <t>inference_power_share</t>
        </is>
      </c>
      <c r="E1145" s="3" t="n">
        <v>0.75</v>
      </c>
      <c r="F1145" s="3" t="inlineStr">
        <is>
          <t>share of AI IT load</t>
        </is>
      </c>
      <c r="G1145" s="3" t="inlineStr">
        <is>
          <t>Scenario allocation</t>
        </is>
      </c>
      <c r="H1145" s="3" t="inlineStr">
        <is>
          <t>inference_gw = ai_it_load_gw * inference_power_share</t>
        </is>
      </c>
      <c r="I1145" s="3" t="inlineStr">
        <is>
          <t>Copilot commercial serving growth supports rising inference allocation; OpenAI model-owner output must remain separately attributed.</t>
        </is>
      </c>
      <c r="J1145" s="3" t="inlineStr">
        <is>
          <t>SRC_MS_PHI; SRC_OPENAI_GPT41_DOCS; SRC_MS_PHI4_TECHREPORT; SRC_MS_MAIA200; SRC_EPOCH_AI_DATA_CENTERS; ASSUMP_INFERENCE_SHARE_NOT_FACT_60</t>
        </is>
      </c>
      <c r="K1145" s="3" t="inlineStr">
        <is>
          <t>ASSUMP_POWER_RAMP; ASSUMP_MS_OPENAI_ATTRIBUTION; ASSUMP_NUMERIC_ACCELERATOR_MIX; ASSUMP_INFERENCE_SHARE_NOT_FACT_60; ASSUMP_WORKLOAD_CLASS_MIX; ASSUMP_AGENTIC_CONTEXT_PENALTY</t>
        </is>
      </c>
      <c r="L1145" s="3" t="inlineStr">
        <is>
          <t>Provider-specific inference/training workload power telemetry.</t>
        </is>
      </c>
    </row>
    <row r="1146">
      <c r="A1146" s="3" t="inlineStr">
        <is>
          <t>Microsoft</t>
        </is>
      </c>
      <c r="B1146" s="3" t="n">
        <v>2030</v>
      </c>
      <c r="C1146" s="3" t="inlineStr">
        <is>
          <t>Base</t>
        </is>
      </c>
      <c r="D1146" s="3" t="inlineStr">
        <is>
          <t>inference_gw</t>
        </is>
      </c>
      <c r="E1146" s="3" t="n">
        <v>3.333</v>
      </c>
      <c r="F1146" s="3" t="inlineStr">
        <is>
          <t>GW</t>
        </is>
      </c>
      <c r="G1146" s="3" t="inlineStr">
        <is>
          <t>Derived formula</t>
        </is>
      </c>
      <c r="H1146" s="3" t="inlineStr">
        <is>
          <t>ai_it_load_gw * inference_power_share</t>
        </is>
      </c>
      <c r="I1146" s="3" t="inlineStr">
        <is>
          <t>This is the operational power eligible to become commercial generated output tokens through the selected TPS/MW proxy.</t>
        </is>
      </c>
      <c r="J1146" s="3" t="inlineStr">
        <is>
          <t>SRC_MS_PHI; SRC_OPENAI_GPT41_DOCS; SRC_MS_PHI4_TECHREPORT; SRC_MS_MAIA200; SRC_EPOCH_AI_DATA_CENTERS</t>
        </is>
      </c>
      <c r="K1146" s="3" t="inlineStr">
        <is>
          <t>ASSUMP_POWER_RAMP; ASSUMP_MS_OPENAI_ATTRIBUTION; ASSUMP_NUMERIC_ACCELERATOR_MIX; ASSUMP_INFERENCE_SHARE_NOT_FACT_60; ASSUMP_WORKLOAD_CLASS_MIX; ASSUMP_AGENTIC_CONTEXT_PENALTY</t>
        </is>
      </c>
      <c r="L1146" s="3" t="inlineStr">
        <is>
          <t>Recompute after AI allocation or inference-share evidence changes.</t>
        </is>
      </c>
    </row>
    <row r="1147">
      <c r="A1147" s="3" t="inlineStr">
        <is>
          <t>Microsoft</t>
        </is>
      </c>
      <c r="B1147" s="3" t="n">
        <v>2030</v>
      </c>
      <c r="C1147" s="3" t="inlineStr">
        <is>
          <t>Base</t>
        </is>
      </c>
      <c r="D1147" s="3" t="inlineStr">
        <is>
          <t>training_power_share</t>
        </is>
      </c>
      <c r="E1147" s="3" t="n">
        <v>0.25</v>
      </c>
      <c r="F1147" s="3" t="inlineStr">
        <is>
          <t>share of AI IT load</t>
        </is>
      </c>
      <c r="G1147" s="3" t="inlineStr">
        <is>
          <t>Derived allocation</t>
        </is>
      </c>
      <c r="H1147" s="3" t="inlineStr">
        <is>
          <t>1 - inference_power_share</t>
        </is>
      </c>
      <c r="I1147" s="3" t="inlineStr">
        <is>
          <t>Training receives the complementary modeled AI IT allocation; it is not a disclosed company workload split.</t>
        </is>
      </c>
      <c r="J1147" s="3" t="inlineStr">
        <is>
          <t>SRC_MS_PHI; SRC_OPENAI_GPT41_DOCS; SRC_MS_PHI4_TECHREPORT; SRC_MS_MAIA200; SRC_EPOCH_AI_DATA_CENTERS; ASSUMP_INFERENCE_SHARE_NOT_FACT_60</t>
        </is>
      </c>
      <c r="K1147" s="3" t="inlineStr">
        <is>
          <t>ASSUMP_POWER_RAMP; ASSUMP_MS_OPENAI_ATTRIBUTION; ASSUMP_NUMERIC_ACCELERATOR_MIX; ASSUMP_INFERENCE_SHARE_NOT_FACT_60; ASSUMP_WORKLOAD_CLASS_MIX; ASSUMP_AGENTIC_CONTEXT_PENALTY</t>
        </is>
      </c>
      <c r="L1147" s="3" t="inlineStr">
        <is>
          <t>Provider-specific inference/training workload power telemetry.</t>
        </is>
      </c>
    </row>
    <row r="1148">
      <c r="A1148" s="3" t="inlineStr">
        <is>
          <t>Microsoft</t>
        </is>
      </c>
      <c r="B1148" s="3" t="n">
        <v>2030</v>
      </c>
      <c r="C1148" s="3" t="inlineStr">
        <is>
          <t>Base</t>
        </is>
      </c>
      <c r="D1148" s="3" t="inlineStr">
        <is>
          <t>training_gw</t>
        </is>
      </c>
      <c r="E1148" s="3" t="n">
        <v>1.111</v>
      </c>
      <c r="F1148" s="3" t="inlineStr">
        <is>
          <t>GW</t>
        </is>
      </c>
      <c r="G1148" s="3" t="inlineStr">
        <is>
          <t>Derived formula</t>
        </is>
      </c>
      <c r="H1148" s="3" t="inlineStr">
        <is>
          <t>ai_it_load_gw * training_power_share</t>
        </is>
      </c>
      <c r="I1148" s="3" t="inlineStr">
        <is>
          <t>Training GW is shown separately so commercial inference token capacity is not overstated.</t>
        </is>
      </c>
      <c r="J1148" s="3" t="inlineStr">
        <is>
          <t>SRC_MS_PHI; SRC_OPENAI_GPT41_DOCS; SRC_MS_PHI4_TECHREPORT; SRC_MS_MAIA200; SRC_EPOCH_AI_DATA_CENTERS</t>
        </is>
      </c>
      <c r="K1148" s="3" t="inlineStr">
        <is>
          <t>ASSUMP_POWER_RAMP; ASSUMP_MS_OPENAI_ATTRIBUTION; ASSUMP_NUMERIC_ACCELERATOR_MIX; ASSUMP_INFERENCE_SHARE_NOT_FACT_60; ASSUMP_WORKLOAD_CLASS_MIX; ASSUMP_AGENTIC_CONTEXT_PENALTY</t>
        </is>
      </c>
      <c r="L1148" s="3" t="inlineStr">
        <is>
          <t>Recompute after AI allocation or workload-split evidence changes.</t>
        </is>
      </c>
    </row>
    <row r="1149">
      <c r="A1149" s="3" t="inlineStr">
        <is>
          <t>Microsoft</t>
        </is>
      </c>
      <c r="B1149" s="3" t="n">
        <v>2030</v>
      </c>
      <c r="C1149" s="3" t="inlineStr">
        <is>
          <t>Base</t>
        </is>
      </c>
      <c r="D1149" s="3" t="inlineStr">
        <is>
          <t>tokens_per_second_per_mw</t>
        </is>
      </c>
      <c r="E1149" s="3" t="n">
        <v>1714081</v>
      </c>
      <c r="F1149" s="3" t="inlineStr">
        <is>
          <t>generated output tokens/sec/MW</t>
        </is>
      </c>
      <c r="G1149" s="3" t="inlineStr">
        <is>
          <t>Derived estimate + benchmark calibration</t>
        </is>
      </c>
      <c r="H1149" s="3" t="inlineStr">
        <is>
          <t>fleet_reference_tps_per_mw * commercial_workload_fit_factor</t>
        </is>
      </c>
      <c r="I114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1149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1149" s="3" t="inlineStr">
        <is>
          <t>ASSUMP_POWER_RAMP; ASSUMP_MS_OPENAI_ATTRIBUTION; ASSUMP_NUMERIC_ACCELERATOR_MIX; ASSUMP_INFERENCE_SHARE_NOT_FACT_60; ASSUMP_WORKLOAD_CLASS_MIX; ASSUMP_AGENTIC_CONTEXT_PENALTY</t>
        </is>
      </c>
      <c r="L1149" s="3" t="inlineStr">
        <is>
          <t>Comparable production output-token throughput with model, hardware, precision, ISL/OSL and SLO matched.</t>
        </is>
      </c>
    </row>
    <row r="1150">
      <c r="A1150" s="3" t="inlineStr">
        <is>
          <t>Microsoft</t>
        </is>
      </c>
      <c r="B1150" s="3" t="n">
        <v>2030</v>
      </c>
      <c r="C1150" s="3" t="inlineStr">
        <is>
          <t>Base</t>
        </is>
      </c>
      <c r="D1150" s="3" t="inlineStr">
        <is>
          <t>inference_tokens_per_day</t>
        </is>
      </c>
      <c r="E1150" s="3" t="n">
        <v>493605962467200</v>
      </c>
      <c r="F1150" s="3" t="inlineStr">
        <is>
          <t>generated output tokens/day</t>
        </is>
      </c>
      <c r="G1150" s="3" t="inlineStr">
        <is>
          <t>Derived headline metric</t>
        </is>
      </c>
      <c r="H1150" s="3" t="inlineStr">
        <is>
          <t>inference_gw * 1000 * tokens_per_second_per_mw * 86,400</t>
        </is>
      </c>
      <c r="I1150" s="3" t="inlineStr">
        <is>
          <t>Headline capacity uses no utilization, MoE, architecture or software-growth multiplier; it is not observed commercial output volume.</t>
        </is>
      </c>
      <c r="J1150" s="3" t="inlineStr">
        <is>
          <t>SRC_MS_PHI; SRC_OPENAI_GPT41_DOCS; SRC_MS_PHI4_TECHREPORT; SRC_MS_MAIA200; SRC_EPOCH_AI_DATA_CENTERS; SRC_SEMIANALYSIS_INFERENCEX</t>
        </is>
      </c>
      <c r="K1150" s="3" t="inlineStr">
        <is>
          <t>ASSUMP_POWER_RAMP; ASSUMP_MS_OPENAI_ATTRIBUTION; ASSUMP_NUMERIC_ACCELERATOR_MIX; ASSUMP_INFERENCE_SHARE_NOT_FACT_60; ASSUMP_WORKLOAD_CLASS_MIX; ASSUMP_AGENTIC_CONTEXT_PENALTY</t>
        </is>
      </c>
      <c r="L1150" s="3" t="inlineStr">
        <is>
          <t>Provider-disclosed generated output token volume or calibrated capacity telemetry.</t>
        </is>
      </c>
    </row>
    <row r="1151">
      <c r="A1151" s="3" t="inlineStr">
        <is>
          <t>Microsoft</t>
        </is>
      </c>
      <c r="B1151" s="3" t="n">
        <v>2030</v>
      </c>
      <c r="C1151" s="3" t="inlineStr">
        <is>
          <t>Base</t>
        </is>
      </c>
      <c r="D1151" s="3" t="inlineStr">
        <is>
          <t>inference_tokens_per_year</t>
        </is>
      </c>
      <c r="E1151" s="3" t="n">
        <v>1.80166176300528e+17</v>
      </c>
      <c r="F1151" s="3" t="inlineStr">
        <is>
          <t>generated output tokens/year</t>
        </is>
      </c>
      <c r="G1151" s="3" t="inlineStr">
        <is>
          <t>Derived headline metric</t>
        </is>
      </c>
      <c r="H1151" s="3" t="inlineStr">
        <is>
          <t>inference_tokens_per_day * 365</t>
        </is>
      </c>
      <c r="I1151" s="3" t="inlineStr">
        <is>
          <t>Annualized version of generated output token capacity; it is not observed annual demand or billable volume.</t>
        </is>
      </c>
      <c r="J1151" s="3" t="inlineStr">
        <is>
          <t>SRC_MS_PHI; SRC_OPENAI_GPT41_DOCS; SRC_MS_PHI4_TECHREPORT; SRC_MS_MAIA200; SRC_EPOCH_AI_DATA_CENTERS; SRC_SEMIANALYSIS_INFERENCEX</t>
        </is>
      </c>
      <c r="K1151" s="3" t="inlineStr">
        <is>
          <t>ASSUMP_POWER_RAMP; ASSUMP_MS_OPENAI_ATTRIBUTION; ASSUMP_NUMERIC_ACCELERATOR_MIX; ASSUMP_INFERENCE_SHARE_NOT_FACT_60; ASSUMP_WORKLOAD_CLASS_MIX; ASSUMP_AGENTIC_CONTEXT_PENALTY</t>
        </is>
      </c>
      <c r="L1151" s="3" t="inlineStr">
        <is>
          <t>Provider-disclosed annual generated-output volume or metered serving telemetry.</t>
        </is>
      </c>
    </row>
    <row r="1152">
      <c r="A1152" s="3" t="inlineStr">
        <is>
          <t>Google</t>
        </is>
      </c>
      <c r="B1152" s="3" t="n">
        <v>2026</v>
      </c>
      <c r="C1152" s="3" t="inlineStr">
        <is>
          <t>Base</t>
        </is>
      </c>
      <c r="D1152" s="3" t="inlineStr">
        <is>
          <t>contracted_power_gw</t>
        </is>
      </c>
      <c r="E1152" s="3" t="n">
        <v>4.5</v>
      </c>
      <c r="F1152" s="3" t="inlineStr">
        <is>
          <t>GW</t>
        </is>
      </c>
      <c r="G1152" s="3" t="inlineStr">
        <is>
          <t>Scenario capacity envelope</t>
        </is>
      </c>
      <c r="H1152" s="3" t="inlineStr">
        <is>
          <t>linear interpolation between 2026 and 2030 company capacity endpoints</t>
        </is>
      </c>
      <c r="I1152" s="3" t="inlineStr">
        <is>
          <t>Scenario envelope for Gemini-serving capacity; official TPU hardware direction is disclosed, company-level contracted GW is not.</t>
        </is>
      </c>
      <c r="J1152" s="3" t="inlineStr">
        <is>
          <t>ASSUMP_POWER_RAMP; SRC_GOOGLE_IRONWOOD; SRC_GOOGLE_TPU_V6E</t>
        </is>
      </c>
      <c r="K1152" s="3" t="inlineStr">
        <is>
          <t>ASSUMP_TPU_EFFICIENCY; ASSUMP_POWER_RAMP; ASSUMP_NUMERIC_ACCELERATOR_MIX; ASSUMP_INFERENCE_SHARE_NOT_FACT_60; ASSUMP_WORKLOAD_CLASS_MIX; ASSUMP_AGENTIC_CONTEXT_PENALTY</t>
        </is>
      </c>
      <c r="L1152" s="3" t="inlineStr">
        <is>
          <t>Company/site-level committed MW/GW, interconnect and contract disclosure.</t>
        </is>
      </c>
    </row>
    <row r="1153">
      <c r="A1153" s="3" t="inlineStr">
        <is>
          <t>Google</t>
        </is>
      </c>
      <c r="B1153" s="3" t="n">
        <v>2026</v>
      </c>
      <c r="C1153" s="3" t="inlineStr">
        <is>
          <t>Base</t>
        </is>
      </c>
      <c r="D1153" s="3" t="inlineStr">
        <is>
          <t>operational_deployment_share</t>
        </is>
      </c>
      <c r="E1153" s="3" t="n">
        <v>0.48888889</v>
      </c>
      <c r="F1153" s="3" t="inlineStr">
        <is>
          <t>share</t>
        </is>
      </c>
      <c r="G1153" s="3" t="inlineStr">
        <is>
          <t>Scenario conversion</t>
        </is>
      </c>
      <c r="H1153" s="3" t="inlineStr">
        <is>
          <t>active_power_gw / contracted_power_gw</t>
        </is>
      </c>
      <c r="I1153" s="3" t="inlineStr">
        <is>
          <t>This is the single explicit conversion from contracted/attributed capacity to operationally usable capacity.</t>
        </is>
      </c>
      <c r="J1153" s="3" t="inlineStr">
        <is>
          <t>ASSUMP_POWER_RAMP; SRC_GOOGLE_IRONWOOD; SRC_GOOGLE_TPU_V6E</t>
        </is>
      </c>
      <c r="K1153" s="3" t="inlineStr">
        <is>
          <t>ASSUMP_TPU_EFFICIENCY; ASSUMP_POWER_RAMP; ASSUMP_NUMERIC_ACCELERATOR_MIX; ASSUMP_INFERENCE_SHARE_NOT_FACT_60; ASSUMP_WORKLOAD_CLASS_MIX; ASSUMP_AGENTIC_CONTEXT_PENALTY</t>
        </is>
      </c>
      <c r="L1153" s="3" t="inlineStr">
        <is>
          <t>Energized operational capacity divided by contracted/attributed capacity.</t>
        </is>
      </c>
    </row>
    <row r="1154">
      <c r="A1154" s="3" t="inlineStr">
        <is>
          <t>Google</t>
        </is>
      </c>
      <c r="B1154" s="3" t="n">
        <v>2026</v>
      </c>
      <c r="C1154" s="3" t="inlineStr">
        <is>
          <t>Base</t>
        </is>
      </c>
      <c r="D1154" s="3" t="inlineStr">
        <is>
          <t>active_power_gw</t>
        </is>
      </c>
      <c r="E1154" s="3" t="n">
        <v>2.2</v>
      </c>
      <c r="F1154" s="3" t="inlineStr">
        <is>
          <t>GW</t>
        </is>
      </c>
      <c r="G1154" s="3" t="inlineStr">
        <is>
          <t>Derived scenario</t>
        </is>
      </c>
      <c r="H1154" s="3" t="inlineStr">
        <is>
          <t>contracted_power_gw * operational_deployment_share</t>
        </is>
      </c>
      <c r="I1154" s="3" t="inlineStr">
        <is>
          <t>TPU generation availability supports ramp direction, while active GW remains a staged deployment estimate.</t>
        </is>
      </c>
      <c r="J1154" s="3" t="inlineStr">
        <is>
          <t>ASSUMP_POWER_RAMP; SRC_GOOGLE_IRONWOOD; SRC_GOOGLE_TPU_V6E</t>
        </is>
      </c>
      <c r="K1154" s="3" t="inlineStr">
        <is>
          <t>ASSUMP_TPU_EFFICIENCY; ASSUMP_POWER_RAMP; ASSUMP_NUMERIC_ACCELERATOR_MIX; ASSUMP_INFERENCE_SHARE_NOT_FACT_60; ASSUMP_WORKLOAD_CLASS_MIX; ASSUMP_AGENTIC_CONTEXT_PENALTY</t>
        </is>
      </c>
      <c r="L1154" s="3" t="inlineStr">
        <is>
          <t>Energization dates, accelerator deliveries and operational powered-rack telemetry.</t>
        </is>
      </c>
    </row>
    <row r="1155">
      <c r="A1155" s="3" t="inlineStr">
        <is>
          <t>Google</t>
        </is>
      </c>
      <c r="B1155" s="3" t="n">
        <v>2026</v>
      </c>
      <c r="C1155" s="3" t="inlineStr">
        <is>
          <t>Base</t>
        </is>
      </c>
      <c r="D1155" s="3" t="inlineStr">
        <is>
          <t>pue</t>
        </is>
      </c>
      <c r="E1155" s="3" t="n">
        <v>1.18</v>
      </c>
      <c r="F1155" s="3" t="inlineStr">
        <is>
          <t>ratio</t>
        </is>
      </c>
      <c r="G1155" s="3" t="inlineStr">
        <is>
          <t>Scenario parameter</t>
        </is>
      </c>
      <c r="H1155" s="3" t="inlineStr">
        <is>
          <t>it_load_gw = active_power_gw / pue</t>
        </is>
      </c>
      <c r="I1155" s="3" t="inlineStr">
        <is>
          <t>No provider-wide site-level PUE is used as a disclosed fact; PUE represents facility-to-IT conversion within the scenario.</t>
        </is>
      </c>
      <c r="J1155" s="3" t="inlineStr">
        <is>
          <t>ASSUMP_POWER_RAMP</t>
        </is>
      </c>
      <c r="K1155" s="3" t="inlineStr">
        <is>
          <t>ASSUMP_TPU_EFFICIENCY; ASSUMP_POWER_RAMP; ASSUMP_NUMERIC_ACCELERATOR_MIX; ASSUMP_INFERENCE_SHARE_NOT_FACT_60; ASSUMP_WORKLOAD_CLASS_MIX; ASSUMP_AGENTIC_CONTEXT_PENALTY</t>
        </is>
      </c>
      <c r="L1155" s="3" t="inlineStr">
        <is>
          <t>Site-level measured PUE matched to attributed AI capacity.</t>
        </is>
      </c>
    </row>
    <row r="1156">
      <c r="A1156" s="3" t="inlineStr">
        <is>
          <t>Google</t>
        </is>
      </c>
      <c r="B1156" s="3" t="n">
        <v>2026</v>
      </c>
      <c r="C1156" s="3" t="inlineStr">
        <is>
          <t>Base</t>
        </is>
      </c>
      <c r="D1156" s="3" t="inlineStr">
        <is>
          <t>it_load_gw</t>
        </is>
      </c>
      <c r="E1156" s="3" t="n">
        <v>1.864</v>
      </c>
      <c r="F1156" s="3" t="inlineStr">
        <is>
          <t>GW</t>
        </is>
      </c>
      <c r="G1156" s="3" t="inlineStr">
        <is>
          <t>Derived formula</t>
        </is>
      </c>
      <c r="H1156" s="3" t="inlineStr">
        <is>
          <t>active_power_gw / pue</t>
        </is>
      </c>
      <c r="I1156" s="3" t="inlineStr">
        <is>
          <t>Facility power is converted to IT-deliverable power before attributing AI workloads.</t>
        </is>
      </c>
      <c r="J1156" s="3" t="inlineStr">
        <is>
          <t>ASSUMP_POWER_RAMP; SRC_GOOGLE_IRONWOOD; SRC_GOOGLE_TPU_V6E</t>
        </is>
      </c>
      <c r="K1156" s="3" t="inlineStr">
        <is>
          <t>ASSUMP_TPU_EFFICIENCY; ASSUMP_POWER_RAMP; ASSUMP_NUMERIC_ACCELERATOR_MIX; ASSUMP_INFERENCE_SHARE_NOT_FACT_60; ASSUMP_WORKLOAD_CLASS_MIX; ASSUMP_AGENTIC_CONTEXT_PENALTY</t>
        </is>
      </c>
      <c r="L1156" s="3" t="inlineStr">
        <is>
          <t>Recompute once active power and PUE become site-observable.</t>
        </is>
      </c>
    </row>
    <row r="1157">
      <c r="A1157" s="3" t="inlineStr">
        <is>
          <t>Google</t>
        </is>
      </c>
      <c r="B1157" s="3" t="n">
        <v>2026</v>
      </c>
      <c r="C1157" s="3" t="inlineStr">
        <is>
          <t>Base</t>
        </is>
      </c>
      <c r="D1157" s="3" t="inlineStr">
        <is>
          <t>ai_workload_share</t>
        </is>
      </c>
      <c r="E1157" s="3" t="n">
        <v>0.88</v>
      </c>
      <c r="F1157" s="3" t="inlineStr">
        <is>
          <t>share</t>
        </is>
      </c>
      <c r="G1157" s="3" t="inlineStr">
        <is>
          <t>Scenario allocation</t>
        </is>
      </c>
      <c r="H1157" s="3" t="inlineStr">
        <is>
          <t>ai_it_load_gw = it_load_gw * ai_workload_share</t>
        </is>
      </c>
      <c r="I1157" s="3" t="inlineStr">
        <is>
          <t>Gemini/Vertex TPU serving is AI-dedicated in the modeled capacity envelope; 88% excludes platform/reserve load.</t>
        </is>
      </c>
      <c r="J1157" s="3" t="inlineStr">
        <is>
          <t>SRC_GOOGLE_GEMINI_TOKENS; SRC_GOOGLE_IRONWOOD; SRC_GOOGLE_TPU_V6E; SRC_EPOCH_AI_DATA_CENTERS</t>
        </is>
      </c>
      <c r="K1157" s="3" t="inlineStr">
        <is>
          <t>ASSUMP_TPU_EFFICIENCY; ASSUMP_POWER_RAMP; ASSUMP_NUMERIC_ACCELERATOR_MIX; ASSUMP_INFERENCE_SHARE_NOT_FACT_60; ASSUMP_WORKLOAD_CLASS_MIX; ASSUMP_AGENTIC_CONTEXT_PENALTY</t>
        </is>
      </c>
      <c r="L1157" s="3" t="inlineStr">
        <is>
          <t>Model-owner AI workload allocation or cluster scheduling telemetry.</t>
        </is>
      </c>
    </row>
    <row r="1158">
      <c r="A1158" s="3" t="inlineStr">
        <is>
          <t>Google</t>
        </is>
      </c>
      <c r="B1158" s="3" t="n">
        <v>2026</v>
      </c>
      <c r="C1158" s="3" t="inlineStr">
        <is>
          <t>Base</t>
        </is>
      </c>
      <c r="D1158" s="3" t="inlineStr">
        <is>
          <t>ai_it_load_gw</t>
        </is>
      </c>
      <c r="E1158" s="3" t="n">
        <v>1.641</v>
      </c>
      <c r="F1158" s="3" t="inlineStr">
        <is>
          <t>GW</t>
        </is>
      </c>
      <c r="G1158" s="3" t="inlineStr">
        <is>
          <t>Derived formula</t>
        </is>
      </c>
      <c r="H1158" s="3" t="inlineStr">
        <is>
          <t>it_load_gw * ai_workload_share</t>
        </is>
      </c>
      <c r="I1158" s="3" t="inlineStr">
        <is>
          <t>Only the AI-attributed portion of IT load enters training/inference allocation.</t>
        </is>
      </c>
      <c r="J1158" s="3" t="inlineStr">
        <is>
          <t>SRC_GOOGLE_GEMINI_TOKENS; SRC_GOOGLE_IRONWOOD; SRC_GOOGLE_TPU_V6E; SRC_EPOCH_AI_DATA_CENTERS</t>
        </is>
      </c>
      <c r="K1158" s="3" t="inlineStr">
        <is>
          <t>ASSUMP_TPU_EFFICIENCY; ASSUMP_POWER_RAMP; ASSUMP_NUMERIC_ACCELERATOR_MIX; ASSUMP_INFERENCE_SHARE_NOT_FACT_60; ASSUMP_WORKLOAD_CLASS_MIX; ASSUMP_AGENTIC_CONTEXT_PENALTY</t>
        </is>
      </c>
      <c r="L1158" s="3" t="inlineStr">
        <is>
          <t>Recompute after ai_workload_share is replaced by telemetry.</t>
        </is>
      </c>
    </row>
    <row r="1159">
      <c r="A1159" s="3" t="inlineStr">
        <is>
          <t>Google</t>
        </is>
      </c>
      <c r="B1159" s="3" t="n">
        <v>2026</v>
      </c>
      <c r="C1159" s="3" t="inlineStr">
        <is>
          <t>Base</t>
        </is>
      </c>
      <c r="D1159" s="3" t="inlineStr">
        <is>
          <t>gpu_share</t>
        </is>
      </c>
      <c r="E1159" s="3" t="n">
        <v>0</v>
      </c>
      <c r="F1159" s="3" t="inlineStr">
        <is>
          <t>share of inference-serving accelerator load</t>
        </is>
      </c>
      <c r="G1159" s="3" t="inlineStr">
        <is>
          <t>Numeric scenario</t>
        </is>
      </c>
      <c r="H1159" s="3" t="inlineStr">
        <is>
          <t>gpu_share interpolated from company 2026/2030 accelerator-mix endpoints</t>
        </is>
      </c>
      <c r="I1159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159" s="3" t="inlineStr">
        <is>
          <t>SRC_GOOGLE_GEMINI_TOKENS; SRC_GOOGLE_IRONWOOD; SRC_GOOGLE_TPU_V6E; SRC_EPOCH_AI_DATA_CENTERS; ASSUMP_NUMERIC_ACCELERATOR_MIX</t>
        </is>
      </c>
      <c r="K1159" s="3" t="inlineStr">
        <is>
          <t>ASSUMP_TPU_EFFICIENCY; ASSUMP_POWER_RAMP; ASSUMP_NUMERIC_ACCELERATOR_MIX; ASSUMP_INFERENCE_SHARE_NOT_FACT_60; ASSUMP_WORKLOAD_CLASS_MIX; ASSUMP_AGENTIC_CONTEXT_PENALTY</t>
        </is>
      </c>
      <c r="L1159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160">
      <c r="A1160" s="3" t="inlineStr">
        <is>
          <t>Google</t>
        </is>
      </c>
      <c r="B1160" s="3" t="n">
        <v>2026</v>
      </c>
      <c r="C1160" s="3" t="inlineStr">
        <is>
          <t>Base</t>
        </is>
      </c>
      <c r="D1160" s="3" t="inlineStr">
        <is>
          <t>h200_share</t>
        </is>
      </c>
      <c r="E1160" s="3" t="n">
        <v>0</v>
      </c>
      <c r="F1160" s="3" t="inlineStr">
        <is>
          <t>share of inference-serving accelerator load</t>
        </is>
      </c>
      <c r="G1160" s="3" t="inlineStr">
        <is>
          <t>Editable numeric scenario</t>
        </is>
      </c>
      <c r="H1160" s="3" t="inlineStr">
        <is>
          <t>h200_share = gpu_share * default_gpu_generation_mix_h200</t>
        </is>
      </c>
      <c r="I1160" s="3" t="inlineStr">
        <is>
          <t>Default GPU-generation migration assumption; executive workbook allows later manual replacement by company/year/scenario.</t>
        </is>
      </c>
      <c r="J1160" s="3" t="inlineStr">
        <is>
          <t>SRC_SEMIANALYSIS_INFERENCEX; ASSUMP_NUMERIC_ACCELERATOR_MIX</t>
        </is>
      </c>
      <c r="K1160" s="3" t="inlineStr">
        <is>
          <t>ASSUMP_TPU_EFFICIENCY; ASSUMP_POWER_RAMP; ASSUMP_NUMERIC_ACCELERATOR_MIX; ASSUMP_INFERENCE_SHARE_NOT_FACT_60; ASSUMP_WORKLOAD_CLASS_MIX; ASSUMP_AGENTIC_CONTEXT_PENALTY</t>
        </is>
      </c>
      <c r="L1160" s="3" t="inlineStr">
        <is>
          <t>Company fleet inventory, accelerator-hours or procurement/deployment records by GPU generation.</t>
        </is>
      </c>
    </row>
    <row r="1161">
      <c r="A1161" s="3" t="inlineStr">
        <is>
          <t>Google</t>
        </is>
      </c>
      <c r="B1161" s="3" t="n">
        <v>2026</v>
      </c>
      <c r="C1161" s="3" t="inlineStr">
        <is>
          <t>Base</t>
        </is>
      </c>
      <c r="D1161" s="3" t="inlineStr">
        <is>
          <t>b200_share</t>
        </is>
      </c>
      <c r="E1161" s="3" t="n">
        <v>0</v>
      </c>
      <c r="F1161" s="3" t="inlineStr">
        <is>
          <t>share of inference-serving accelerator load</t>
        </is>
      </c>
      <c r="G1161" s="3" t="inlineStr">
        <is>
          <t>Editable numeric scenario</t>
        </is>
      </c>
      <c r="H1161" s="3" t="inlineStr">
        <is>
          <t>b200_share = gpu_share * default_gpu_generation_mix_b200</t>
        </is>
      </c>
      <c r="I1161" s="3" t="inlineStr">
        <is>
          <t>Default GPU-generation migration assumption; executive workbook allows later manual replacement by company/year/scenario.</t>
        </is>
      </c>
      <c r="J1161" s="3" t="inlineStr">
        <is>
          <t>SRC_SEMIANALYSIS_INFERENCEX; ASSUMP_NUMERIC_ACCELERATOR_MIX</t>
        </is>
      </c>
      <c r="K1161" s="3" t="inlineStr">
        <is>
          <t>ASSUMP_TPU_EFFICIENCY; ASSUMP_POWER_RAMP; ASSUMP_NUMERIC_ACCELERATOR_MIX; ASSUMP_INFERENCE_SHARE_NOT_FACT_60; ASSUMP_WORKLOAD_CLASS_MIX; ASSUMP_AGENTIC_CONTEXT_PENALTY</t>
        </is>
      </c>
      <c r="L1161" s="3" t="inlineStr">
        <is>
          <t>Company fleet inventory, accelerator-hours or procurement/deployment records by GPU generation.</t>
        </is>
      </c>
    </row>
    <row r="1162">
      <c r="A1162" s="3" t="inlineStr">
        <is>
          <t>Google</t>
        </is>
      </c>
      <c r="B1162" s="3" t="n">
        <v>2026</v>
      </c>
      <c r="C1162" s="3" t="inlineStr">
        <is>
          <t>Base</t>
        </is>
      </c>
      <c r="D1162" s="3" t="inlineStr">
        <is>
          <t>gb200_share</t>
        </is>
      </c>
      <c r="E1162" s="3" t="n">
        <v>0</v>
      </c>
      <c r="F1162" s="3" t="inlineStr">
        <is>
          <t>share of inference-serving accelerator load</t>
        </is>
      </c>
      <c r="G1162" s="3" t="inlineStr">
        <is>
          <t>Editable numeric scenario</t>
        </is>
      </c>
      <c r="H1162" s="3" t="inlineStr">
        <is>
          <t>gb200_share = gpu_share * default_gpu_generation_mix_gb200</t>
        </is>
      </c>
      <c r="I1162" s="3" t="inlineStr">
        <is>
          <t>Default GPU-generation migration assumption; executive workbook allows later manual replacement by company/year/scenario.</t>
        </is>
      </c>
      <c r="J1162" s="3" t="inlineStr">
        <is>
          <t>SRC_SEMIANALYSIS_INFERENCEX; ASSUMP_NUMERIC_ACCELERATOR_MIX</t>
        </is>
      </c>
      <c r="K1162" s="3" t="inlineStr">
        <is>
          <t>ASSUMP_TPU_EFFICIENCY; ASSUMP_POWER_RAMP; ASSUMP_NUMERIC_ACCELERATOR_MIX; ASSUMP_INFERENCE_SHARE_NOT_FACT_60; ASSUMP_WORKLOAD_CLASS_MIX; ASSUMP_AGENTIC_CONTEXT_PENALTY</t>
        </is>
      </c>
      <c r="L1162" s="3" t="inlineStr">
        <is>
          <t>Company fleet inventory, accelerator-hours or procurement/deployment records by GPU generation.</t>
        </is>
      </c>
    </row>
    <row r="1163">
      <c r="A1163" s="3" t="inlineStr">
        <is>
          <t>Google</t>
        </is>
      </c>
      <c r="B1163" s="3" t="n">
        <v>2026</v>
      </c>
      <c r="C1163" s="3" t="inlineStr">
        <is>
          <t>Base</t>
        </is>
      </c>
      <c r="D1163" s="3" t="inlineStr">
        <is>
          <t>purpose_built_accelerator_share</t>
        </is>
      </c>
      <c r="E1163" s="3" t="n">
        <v>1</v>
      </c>
      <c r="F1163" s="3" t="inlineStr">
        <is>
          <t>share of inference-serving accelerator load</t>
        </is>
      </c>
      <c r="G1163" s="3" t="inlineStr">
        <is>
          <t>Numeric scenario</t>
        </is>
      </c>
      <c r="H1163" s="3" t="inlineStr">
        <is>
          <t>1 - gpu_share</t>
        </is>
      </c>
      <c r="I1163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163" s="3" t="inlineStr">
        <is>
          <t>SRC_GOOGLE_GEMINI_TOKENS; SRC_GOOGLE_IRONWOOD; SRC_GOOGLE_TPU_V6E; SRC_EPOCH_AI_DATA_CENTERS; ASSUMP_NUMERIC_ACCELERATOR_MIX</t>
        </is>
      </c>
      <c r="K1163" s="3" t="inlineStr">
        <is>
          <t>ASSUMP_TPU_EFFICIENCY; ASSUMP_POWER_RAMP; ASSUMP_NUMERIC_ACCELERATOR_MIX; ASSUMP_INFERENCE_SHARE_NOT_FACT_60; ASSUMP_WORKLOAD_CLASS_MIX; ASSUMP_AGENTIC_CONTEXT_PENALTY</t>
        </is>
      </c>
      <c r="L1163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164">
      <c r="A1164" s="3" t="inlineStr">
        <is>
          <t>Google</t>
        </is>
      </c>
      <c r="B1164" s="3" t="n">
        <v>2026</v>
      </c>
      <c r="C1164" s="3" t="inlineStr">
        <is>
          <t>Base</t>
        </is>
      </c>
      <c r="D1164" s="3" t="inlineStr">
        <is>
          <t>fleet_reference_tps_per_mw</t>
        </is>
      </c>
      <c r="E1164" s="3" t="n">
        <v>167768</v>
      </c>
      <c r="F1164" s="3" t="inlineStr">
        <is>
          <t>generated output tokens/sec/MW</t>
        </is>
      </c>
      <c r="G1164" s="3" t="inlineStr">
        <is>
          <t>Fleet-weighted public benchmark reference</t>
        </is>
      </c>
      <c r="H1164" s="3" t="inlineStr">
        <is>
          <t>h200_share*h200_workload_avg + b200_share*b200_workload_avg + gb200_share*gb200_workload_avg + purpose_built_share*purpose_workload_avg</t>
        </is>
      </c>
      <c r="I116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64" s="3" t="inlineStr">
        <is>
          <t>SRC_SEMIANALYSIS_INFERENCEX; ASSUMP_NUMERIC_ACCELERATOR_MIX; ASSUMP_WORKLOAD_CLASS_MIX; ASSUMP_AGENTIC_CONTEXT_PENALTY</t>
        </is>
      </c>
      <c r="K1164" s="3" t="inlineStr">
        <is>
          <t>ASSUMP_TPU_EFFICIENCY; ASSUMP_POWER_RAMP; ASSUMP_NUMERIC_ACCELERATOR_MIX; ASSUMP_INFERENCE_SHARE_NOT_FACT_60; ASSUMP_WORKLOAD_CLASS_MIX; ASSUMP_AGENTIC_CONTEXT_PENALTY</t>
        </is>
      </c>
      <c r="L1164" s="3" t="inlineStr">
        <is>
          <t>Comparable production output-token throughput or a more closely matched benchmark.</t>
        </is>
      </c>
    </row>
    <row r="1165">
      <c r="A1165" s="3" t="inlineStr">
        <is>
          <t>Google</t>
        </is>
      </c>
      <c r="B1165" s="3" t="n">
        <v>2026</v>
      </c>
      <c r="C1165" s="3" t="inlineStr">
        <is>
          <t>Base</t>
        </is>
      </c>
      <c r="D1165" s="3" t="inlineStr">
        <is>
          <t>commercial_workload_fit_factor</t>
        </is>
      </c>
      <c r="E1165" s="3" t="n">
        <v>0.6</v>
      </c>
      <c r="F1165" s="3" t="inlineStr">
        <is>
          <t>share of public reference throughput</t>
        </is>
      </c>
      <c r="G1165" s="3" t="inlineStr">
        <is>
          <t>Scenario assumption</t>
        </is>
      </c>
      <c r="H1165" s="3" t="inlineStr">
        <is>
          <t>reference_serving_tps_per_mw = fleet_reference_tps_per_mw * commercial_workload_fit_factor</t>
        </is>
      </c>
      <c r="I116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65" s="3" t="inlineStr">
        <is>
          <t>SRC_SEMIANALYSIS_INFERENCEX; ASSUMP_NUMERIC_ACCELERATOR_MIX; ASSUMP_WORKLOAD_CLASS_MIX; ASSUMP_AGENTIC_CONTEXT_PENALTY</t>
        </is>
      </c>
      <c r="K1165" s="3" t="inlineStr">
        <is>
          <t>ASSUMP_TPU_EFFICIENCY; ASSUMP_POWER_RAMP; ASSUMP_NUMERIC_ACCELERATOR_MIX; ASSUMP_INFERENCE_SHARE_NOT_FACT_60; ASSUMP_WORKLOAD_CLASS_MIX; ASSUMP_AGENTIC_CONTEXT_PENALTY</t>
        </is>
      </c>
      <c r="L1165" s="3" t="inlineStr">
        <is>
          <t>Matched commercial serving benchmark by product surface, context shape and latency SLO.</t>
        </is>
      </c>
    </row>
    <row r="1166">
      <c r="A1166" s="3" t="inlineStr">
        <is>
          <t>Google</t>
        </is>
      </c>
      <c r="B1166" s="3" t="n">
        <v>2026</v>
      </c>
      <c r="C1166" s="3" t="inlineStr">
        <is>
          <t>Base</t>
        </is>
      </c>
      <c r="D1166" s="3" t="inlineStr">
        <is>
          <t>reference_serving_tps_per_mw</t>
        </is>
      </c>
      <c r="E1166" s="3" t="n">
        <v>100661</v>
      </c>
      <c r="F1166" s="3" t="inlineStr">
        <is>
          <t>generated output tokens/sec/MW</t>
        </is>
      </c>
      <c r="G1166" s="3" t="inlineStr">
        <is>
          <t>Workload-adjusted benchmark proxy</t>
        </is>
      </c>
      <c r="H1166" s="3" t="inlineStr">
        <is>
          <t>fleet_reference_tps_per_mw * commercial_workload_fit_factor</t>
        </is>
      </c>
      <c r="I1166" s="3" t="inlineStr">
        <is>
          <t>This is the coefficient used for headline token generation; each GPU's short chat, long chat and agentic TPS/MW are weighted before fleet mix and commercial fit are applied.</t>
        </is>
      </c>
      <c r="J1166" s="3" t="inlineStr">
        <is>
          <t>SRC_SEMIANALYSIS_INFERENCEX; ASSUMP_NUMERIC_ACCELERATOR_MIX; ASSUMP_WORKLOAD_CLASS_MIX; ASSUMP_AGENTIC_CONTEXT_PENALTY</t>
        </is>
      </c>
      <c r="K1166" s="3" t="inlineStr">
        <is>
          <t>ASSUMP_TPU_EFFICIENCY; ASSUMP_POWER_RAMP; ASSUMP_NUMERIC_ACCELERATOR_MIX; ASSUMP_INFERENCE_SHARE_NOT_FACT_60; ASSUMP_WORKLOAD_CLASS_MIX; ASSUMP_AGENTIC_CONTEXT_PENALTY</t>
        </is>
      </c>
      <c r="L1166" s="3" t="inlineStr">
        <is>
          <t>Provider production output-token throughput with comparable workload/SLO.</t>
        </is>
      </c>
    </row>
    <row r="1167">
      <c r="A1167" s="3" t="inlineStr">
        <is>
          <t>Google</t>
        </is>
      </c>
      <c r="B1167" s="3" t="n">
        <v>2026</v>
      </c>
      <c r="C1167" s="3" t="inlineStr">
        <is>
          <t>Base</t>
        </is>
      </c>
      <c r="D1167" s="3" t="inlineStr">
        <is>
          <t>purpose_built_tps_per_mw</t>
        </is>
      </c>
      <c r="E1167" s="3" t="n">
        <v>81184</v>
      </c>
      <c r="F1167" s="3" t="inlineStr">
        <is>
          <t>generated output tokens/sec/MW</t>
        </is>
      </c>
      <c r="G1167" s="3" t="inlineStr">
        <is>
          <t>Conservative no-uplift proxy</t>
        </is>
      </c>
      <c r="H1167" s="3" t="inlineStr">
        <is>
          <t>purpose_built_tps_per_mw = purpose_built_reference_tps_per_mw * commercial_workload_fit_factor until comparable output-token benchmark is adopted</t>
        </is>
      </c>
      <c r="I1167" s="3" t="inlineStr">
        <is>
          <t>No comparable public output-token/MW row adopted; B200 public reference placeholder is used and remains editable.</t>
        </is>
      </c>
      <c r="J1167" s="3" t="inlineStr">
        <is>
          <t>SRC_GOOGLE_GEMINI_TOKENS; SRC_GOOGLE_IRONWOOD; SRC_GOOGLE_TPU_V6E; SRC_EPOCH_AI_DATA_CENTERS; ASSUMP_NUMERIC_ACCELERATOR_MIX</t>
        </is>
      </c>
      <c r="K1167" s="3" t="inlineStr">
        <is>
          <t>ASSUMP_TPU_EFFICIENCY; ASSUMP_POWER_RAMP; ASSUMP_NUMERIC_ACCELERATOR_MIX; ASSUMP_INFERENCE_SHARE_NOT_FACT_60; ASSUMP_WORKLOAD_CLASS_MIX; ASSUMP_AGENTIC_CONTEXT_PENALTY</t>
        </is>
      </c>
      <c r="L1167" s="3" t="inlineStr">
        <is>
          <t>Matched-workload generated-output benchmark for the provider purpose-built accelerator.</t>
        </is>
      </c>
    </row>
    <row r="1168">
      <c r="A1168" s="3" t="inlineStr">
        <is>
          <t>Google</t>
        </is>
      </c>
      <c r="B1168" s="3" t="n">
        <v>2026</v>
      </c>
      <c r="C1168" s="3" t="inlineStr">
        <is>
          <t>Base</t>
        </is>
      </c>
      <c r="D1168" s="3" t="inlineStr">
        <is>
          <t>inference_power_share</t>
        </is>
      </c>
      <c r="E1168" s="3" t="n">
        <v>0.55</v>
      </c>
      <c r="F1168" s="3" t="inlineStr">
        <is>
          <t>share of AI IT load</t>
        </is>
      </c>
      <c r="G1168" s="3" t="inlineStr">
        <is>
          <t>Scenario allocation</t>
        </is>
      </c>
      <c r="H1168" s="3" t="inlineStr">
        <is>
          <t>inference_gw = ai_it_load_gw * inference_power_share</t>
        </is>
      </c>
      <c r="I1168" s="3" t="inlineStr">
        <is>
          <t>Ironwood is positioned for inference and Gemini is commercialized across products; inference share increases as a scenario.</t>
        </is>
      </c>
      <c r="J1168" s="3" t="inlineStr">
        <is>
          <t>SRC_GOOGLE_GEMINI_TOKENS; SRC_GOOGLE_IRONWOOD; SRC_GOOGLE_TPU_V6E; SRC_EPOCH_AI_DATA_CENTERS; ASSUMP_INFERENCE_SHARE_NOT_FACT_60</t>
        </is>
      </c>
      <c r="K1168" s="3" t="inlineStr">
        <is>
          <t>ASSUMP_TPU_EFFICIENCY; ASSUMP_POWER_RAMP; ASSUMP_NUMERIC_ACCELERATOR_MIX; ASSUMP_INFERENCE_SHARE_NOT_FACT_60; ASSUMP_WORKLOAD_CLASS_MIX; ASSUMP_AGENTIC_CONTEXT_PENALTY</t>
        </is>
      </c>
      <c r="L1168" s="3" t="inlineStr">
        <is>
          <t>Provider-specific inference/training workload power telemetry.</t>
        </is>
      </c>
    </row>
    <row r="1169">
      <c r="A1169" s="3" t="inlineStr">
        <is>
          <t>Google</t>
        </is>
      </c>
      <c r="B1169" s="3" t="n">
        <v>2026</v>
      </c>
      <c r="C1169" s="3" t="inlineStr">
        <is>
          <t>Base</t>
        </is>
      </c>
      <c r="D1169" s="3" t="inlineStr">
        <is>
          <t>inference_gw</t>
        </is>
      </c>
      <c r="E1169" s="3" t="n">
        <v>0.902</v>
      </c>
      <c r="F1169" s="3" t="inlineStr">
        <is>
          <t>GW</t>
        </is>
      </c>
      <c r="G1169" s="3" t="inlineStr">
        <is>
          <t>Derived formula</t>
        </is>
      </c>
      <c r="H1169" s="3" t="inlineStr">
        <is>
          <t>ai_it_load_gw * inference_power_share</t>
        </is>
      </c>
      <c r="I1169" s="3" t="inlineStr">
        <is>
          <t>This is the operational power eligible to become commercial generated output tokens through the selected TPS/MW proxy.</t>
        </is>
      </c>
      <c r="J1169" s="3" t="inlineStr">
        <is>
          <t>SRC_GOOGLE_GEMINI_TOKENS; SRC_GOOGLE_IRONWOOD; SRC_GOOGLE_TPU_V6E; SRC_EPOCH_AI_DATA_CENTERS</t>
        </is>
      </c>
      <c r="K1169" s="3" t="inlineStr">
        <is>
          <t>ASSUMP_TPU_EFFICIENCY; ASSUMP_POWER_RAMP; ASSUMP_NUMERIC_ACCELERATOR_MIX; ASSUMP_INFERENCE_SHARE_NOT_FACT_60; ASSUMP_WORKLOAD_CLASS_MIX; ASSUMP_AGENTIC_CONTEXT_PENALTY</t>
        </is>
      </c>
      <c r="L1169" s="3" t="inlineStr">
        <is>
          <t>Recompute after AI allocation or inference-share evidence changes.</t>
        </is>
      </c>
    </row>
    <row r="1170">
      <c r="A1170" s="3" t="inlineStr">
        <is>
          <t>Google</t>
        </is>
      </c>
      <c r="B1170" s="3" t="n">
        <v>2026</v>
      </c>
      <c r="C1170" s="3" t="inlineStr">
        <is>
          <t>Base</t>
        </is>
      </c>
      <c r="D1170" s="3" t="inlineStr">
        <is>
          <t>training_power_share</t>
        </is>
      </c>
      <c r="E1170" s="3" t="n">
        <v>0.45</v>
      </c>
      <c r="F1170" s="3" t="inlineStr">
        <is>
          <t>share of AI IT load</t>
        </is>
      </c>
      <c r="G1170" s="3" t="inlineStr">
        <is>
          <t>Derived allocation</t>
        </is>
      </c>
      <c r="H1170" s="3" t="inlineStr">
        <is>
          <t>1 - inference_power_share</t>
        </is>
      </c>
      <c r="I1170" s="3" t="inlineStr">
        <is>
          <t>Training receives the complementary modeled AI IT allocation; it is not a disclosed company workload split.</t>
        </is>
      </c>
      <c r="J1170" s="3" t="inlineStr">
        <is>
          <t>SRC_GOOGLE_GEMINI_TOKENS; SRC_GOOGLE_IRONWOOD; SRC_GOOGLE_TPU_V6E; SRC_EPOCH_AI_DATA_CENTERS; ASSUMP_INFERENCE_SHARE_NOT_FACT_60</t>
        </is>
      </c>
      <c r="K1170" s="3" t="inlineStr">
        <is>
          <t>ASSUMP_TPU_EFFICIENCY; ASSUMP_POWER_RAMP; ASSUMP_NUMERIC_ACCELERATOR_MIX; ASSUMP_INFERENCE_SHARE_NOT_FACT_60; ASSUMP_WORKLOAD_CLASS_MIX; ASSUMP_AGENTIC_CONTEXT_PENALTY</t>
        </is>
      </c>
      <c r="L1170" s="3" t="inlineStr">
        <is>
          <t>Provider-specific inference/training workload power telemetry.</t>
        </is>
      </c>
    </row>
    <row r="1171">
      <c r="A1171" s="3" t="inlineStr">
        <is>
          <t>Google</t>
        </is>
      </c>
      <c r="B1171" s="3" t="n">
        <v>2026</v>
      </c>
      <c r="C1171" s="3" t="inlineStr">
        <is>
          <t>Base</t>
        </is>
      </c>
      <c r="D1171" s="3" t="inlineStr">
        <is>
          <t>training_gw</t>
        </is>
      </c>
      <c r="E1171" s="3" t="n">
        <v>0.738</v>
      </c>
      <c r="F1171" s="3" t="inlineStr">
        <is>
          <t>GW</t>
        </is>
      </c>
      <c r="G1171" s="3" t="inlineStr">
        <is>
          <t>Derived formula</t>
        </is>
      </c>
      <c r="H1171" s="3" t="inlineStr">
        <is>
          <t>ai_it_load_gw * training_power_share</t>
        </is>
      </c>
      <c r="I1171" s="3" t="inlineStr">
        <is>
          <t>Training GW is shown separately so commercial inference token capacity is not overstated.</t>
        </is>
      </c>
      <c r="J1171" s="3" t="inlineStr">
        <is>
          <t>SRC_GOOGLE_GEMINI_TOKENS; SRC_GOOGLE_IRONWOOD; SRC_GOOGLE_TPU_V6E; SRC_EPOCH_AI_DATA_CENTERS</t>
        </is>
      </c>
      <c r="K1171" s="3" t="inlineStr">
        <is>
          <t>ASSUMP_TPU_EFFICIENCY; ASSUMP_POWER_RAMP; ASSUMP_NUMERIC_ACCELERATOR_MIX; ASSUMP_INFERENCE_SHARE_NOT_FACT_60; ASSUMP_WORKLOAD_CLASS_MIX; ASSUMP_AGENTIC_CONTEXT_PENALTY</t>
        </is>
      </c>
      <c r="L1171" s="3" t="inlineStr">
        <is>
          <t>Recompute after AI allocation or workload-split evidence changes.</t>
        </is>
      </c>
    </row>
    <row r="1172">
      <c r="A1172" s="3" t="inlineStr">
        <is>
          <t>Google</t>
        </is>
      </c>
      <c r="B1172" s="3" t="n">
        <v>2026</v>
      </c>
      <c r="C1172" s="3" t="inlineStr">
        <is>
          <t>Base</t>
        </is>
      </c>
      <c r="D1172" s="3" t="inlineStr">
        <is>
          <t>tokens_per_second_per_mw</t>
        </is>
      </c>
      <c r="E1172" s="3" t="n">
        <v>100661</v>
      </c>
      <c r="F1172" s="3" t="inlineStr">
        <is>
          <t>generated output tokens/sec/MW</t>
        </is>
      </c>
      <c r="G1172" s="3" t="inlineStr">
        <is>
          <t>Derived estimate + benchmark calibration</t>
        </is>
      </c>
      <c r="H1172" s="3" t="inlineStr">
        <is>
          <t>fleet_reference_tps_per_mw * commercial_workload_fit_factor</t>
        </is>
      </c>
      <c r="I117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72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172" s="3" t="inlineStr">
        <is>
          <t>ASSUMP_TPU_EFFICIENCY; ASSUMP_POWER_RAMP; ASSUMP_NUMERIC_ACCELERATOR_MIX; ASSUMP_INFERENCE_SHARE_NOT_FACT_60; ASSUMP_WORKLOAD_CLASS_MIX; ASSUMP_AGENTIC_CONTEXT_PENALTY</t>
        </is>
      </c>
      <c r="L1172" s="3" t="inlineStr">
        <is>
          <t>Comparable production output-token throughput with model, hardware, precision, ISL/OSL and SLO matched.</t>
        </is>
      </c>
    </row>
    <row r="1173">
      <c r="A1173" s="3" t="inlineStr">
        <is>
          <t>Google</t>
        </is>
      </c>
      <c r="B1173" s="3" t="n">
        <v>2026</v>
      </c>
      <c r="C1173" s="3" t="inlineStr">
        <is>
          <t>Base</t>
        </is>
      </c>
      <c r="D1173" s="3" t="inlineStr">
        <is>
          <t>inference_tokens_per_day</t>
        </is>
      </c>
      <c r="E1173" s="3" t="n">
        <v>7844793580800</v>
      </c>
      <c r="F1173" s="3" t="inlineStr">
        <is>
          <t>generated output tokens/day</t>
        </is>
      </c>
      <c r="G1173" s="3" t="inlineStr">
        <is>
          <t>Derived headline metric</t>
        </is>
      </c>
      <c r="H1173" s="3" t="inlineStr">
        <is>
          <t>inference_gw * 1000 * tokens_per_second_per_mw * 86,400</t>
        </is>
      </c>
      <c r="I1173" s="3" t="inlineStr">
        <is>
          <t>Headline capacity uses no utilization, MoE, architecture or software-growth multiplier; it is not observed commercial output volume.</t>
        </is>
      </c>
      <c r="J1173" s="3" t="inlineStr">
        <is>
          <t>SRC_GOOGLE_GEMINI_TOKENS; SRC_GOOGLE_IRONWOOD; SRC_GOOGLE_TPU_V6E; SRC_EPOCH_AI_DATA_CENTERS; SRC_SEMIANALYSIS_INFERENCEX</t>
        </is>
      </c>
      <c r="K1173" s="3" t="inlineStr">
        <is>
          <t>ASSUMP_TPU_EFFICIENCY; ASSUMP_POWER_RAMP; ASSUMP_NUMERIC_ACCELERATOR_MIX; ASSUMP_INFERENCE_SHARE_NOT_FACT_60; ASSUMP_WORKLOAD_CLASS_MIX; ASSUMP_AGENTIC_CONTEXT_PENALTY</t>
        </is>
      </c>
      <c r="L1173" s="3" t="inlineStr">
        <is>
          <t>Provider-disclosed generated output token volume or calibrated capacity telemetry.</t>
        </is>
      </c>
    </row>
    <row r="1174">
      <c r="A1174" s="3" t="inlineStr">
        <is>
          <t>Google</t>
        </is>
      </c>
      <c r="B1174" s="3" t="n">
        <v>2026</v>
      </c>
      <c r="C1174" s="3" t="inlineStr">
        <is>
          <t>Base</t>
        </is>
      </c>
      <c r="D1174" s="3" t="inlineStr">
        <is>
          <t>inference_tokens_per_year</t>
        </is>
      </c>
      <c r="E1174" s="3" t="n">
        <v>2863349656992000</v>
      </c>
      <c r="F1174" s="3" t="inlineStr">
        <is>
          <t>generated output tokens/year</t>
        </is>
      </c>
      <c r="G1174" s="3" t="inlineStr">
        <is>
          <t>Derived headline metric</t>
        </is>
      </c>
      <c r="H1174" s="3" t="inlineStr">
        <is>
          <t>inference_tokens_per_day * 365</t>
        </is>
      </c>
      <c r="I1174" s="3" t="inlineStr">
        <is>
          <t>Annualized version of generated output token capacity; it is not observed annual demand or billable volume.</t>
        </is>
      </c>
      <c r="J1174" s="3" t="inlineStr">
        <is>
          <t>SRC_GOOGLE_GEMINI_TOKENS; SRC_GOOGLE_IRONWOOD; SRC_GOOGLE_TPU_V6E; SRC_EPOCH_AI_DATA_CENTERS; SRC_SEMIANALYSIS_INFERENCEX</t>
        </is>
      </c>
      <c r="K1174" s="3" t="inlineStr">
        <is>
          <t>ASSUMP_TPU_EFFICIENCY; ASSUMP_POWER_RAMP; ASSUMP_NUMERIC_ACCELERATOR_MIX; ASSUMP_INFERENCE_SHARE_NOT_FACT_60; ASSUMP_WORKLOAD_CLASS_MIX; ASSUMP_AGENTIC_CONTEXT_PENALTY</t>
        </is>
      </c>
      <c r="L1174" s="3" t="inlineStr">
        <is>
          <t>Provider-disclosed annual generated-output volume or metered serving telemetry.</t>
        </is>
      </c>
    </row>
    <row r="1175">
      <c r="A1175" s="3" t="inlineStr">
        <is>
          <t>Google</t>
        </is>
      </c>
      <c r="B1175" s="3" t="n">
        <v>2027</v>
      </c>
      <c r="C1175" s="3" t="inlineStr">
        <is>
          <t>Base</t>
        </is>
      </c>
      <c r="D1175" s="3" t="inlineStr">
        <is>
          <t>contracted_power_gw</t>
        </is>
      </c>
      <c r="E1175" s="3" t="n">
        <v>5.375</v>
      </c>
      <c r="F1175" s="3" t="inlineStr">
        <is>
          <t>GW</t>
        </is>
      </c>
      <c r="G1175" s="3" t="inlineStr">
        <is>
          <t>Scenario capacity envelope</t>
        </is>
      </c>
      <c r="H1175" s="3" t="inlineStr">
        <is>
          <t>linear interpolation between 2026 and 2030 company capacity endpoints</t>
        </is>
      </c>
      <c r="I1175" s="3" t="inlineStr">
        <is>
          <t>Scenario envelope for Gemini-serving capacity; official TPU hardware direction is disclosed, company-level contracted GW is not.</t>
        </is>
      </c>
      <c r="J1175" s="3" t="inlineStr">
        <is>
          <t>ASSUMP_POWER_RAMP; SRC_GOOGLE_IRONWOOD; SRC_GOOGLE_TPU_V6E</t>
        </is>
      </c>
      <c r="K1175" s="3" t="inlineStr">
        <is>
          <t>ASSUMP_TPU_EFFICIENCY; ASSUMP_POWER_RAMP; ASSUMP_NUMERIC_ACCELERATOR_MIX; ASSUMP_INFERENCE_SHARE_NOT_FACT_60; ASSUMP_WORKLOAD_CLASS_MIX; ASSUMP_AGENTIC_CONTEXT_PENALTY</t>
        </is>
      </c>
      <c r="L1175" s="3" t="inlineStr">
        <is>
          <t>Company/site-level committed MW/GW, interconnect and contract disclosure.</t>
        </is>
      </c>
    </row>
    <row r="1176">
      <c r="A1176" s="3" t="inlineStr">
        <is>
          <t>Google</t>
        </is>
      </c>
      <c r="B1176" s="3" t="n">
        <v>2027</v>
      </c>
      <c r="C1176" s="3" t="inlineStr">
        <is>
          <t>Base</t>
        </is>
      </c>
      <c r="D1176" s="3" t="inlineStr">
        <is>
          <t>operational_deployment_share</t>
        </is>
      </c>
      <c r="E1176" s="3" t="n">
        <v>0.62325581</v>
      </c>
      <c r="F1176" s="3" t="inlineStr">
        <is>
          <t>share</t>
        </is>
      </c>
      <c r="G1176" s="3" t="inlineStr">
        <is>
          <t>Scenario conversion</t>
        </is>
      </c>
      <c r="H1176" s="3" t="inlineStr">
        <is>
          <t>active_power_gw / contracted_power_gw</t>
        </is>
      </c>
      <c r="I1176" s="3" t="inlineStr">
        <is>
          <t>This is the single explicit conversion from contracted/attributed capacity to operationally usable capacity.</t>
        </is>
      </c>
      <c r="J1176" s="3" t="inlineStr">
        <is>
          <t>ASSUMP_POWER_RAMP; SRC_GOOGLE_IRONWOOD; SRC_GOOGLE_TPU_V6E</t>
        </is>
      </c>
      <c r="K1176" s="3" t="inlineStr">
        <is>
          <t>ASSUMP_TPU_EFFICIENCY; ASSUMP_POWER_RAMP; ASSUMP_NUMERIC_ACCELERATOR_MIX; ASSUMP_INFERENCE_SHARE_NOT_FACT_60; ASSUMP_WORKLOAD_CLASS_MIX; ASSUMP_AGENTIC_CONTEXT_PENALTY</t>
        </is>
      </c>
      <c r="L1176" s="3" t="inlineStr">
        <is>
          <t>Energized operational capacity divided by contracted/attributed capacity.</t>
        </is>
      </c>
    </row>
    <row r="1177">
      <c r="A1177" s="3" t="inlineStr">
        <is>
          <t>Google</t>
        </is>
      </c>
      <c r="B1177" s="3" t="n">
        <v>2027</v>
      </c>
      <c r="C1177" s="3" t="inlineStr">
        <is>
          <t>Base</t>
        </is>
      </c>
      <c r="D1177" s="3" t="inlineStr">
        <is>
          <t>active_power_gw</t>
        </is>
      </c>
      <c r="E1177" s="3" t="n">
        <v>3.35</v>
      </c>
      <c r="F1177" s="3" t="inlineStr">
        <is>
          <t>GW</t>
        </is>
      </c>
      <c r="G1177" s="3" t="inlineStr">
        <is>
          <t>Derived scenario</t>
        </is>
      </c>
      <c r="H1177" s="3" t="inlineStr">
        <is>
          <t>contracted_power_gw * operational_deployment_share</t>
        </is>
      </c>
      <c r="I1177" s="3" t="inlineStr">
        <is>
          <t>TPU generation availability supports ramp direction, while active GW remains a staged deployment estimate.</t>
        </is>
      </c>
      <c r="J1177" s="3" t="inlineStr">
        <is>
          <t>ASSUMP_POWER_RAMP; SRC_GOOGLE_IRONWOOD; SRC_GOOGLE_TPU_V6E</t>
        </is>
      </c>
      <c r="K1177" s="3" t="inlineStr">
        <is>
          <t>ASSUMP_TPU_EFFICIENCY; ASSUMP_POWER_RAMP; ASSUMP_NUMERIC_ACCELERATOR_MIX; ASSUMP_INFERENCE_SHARE_NOT_FACT_60; ASSUMP_WORKLOAD_CLASS_MIX; ASSUMP_AGENTIC_CONTEXT_PENALTY</t>
        </is>
      </c>
      <c r="L1177" s="3" t="inlineStr">
        <is>
          <t>Energization dates, accelerator deliveries and operational powered-rack telemetry.</t>
        </is>
      </c>
    </row>
    <row r="1178">
      <c r="A1178" s="3" t="inlineStr">
        <is>
          <t>Google</t>
        </is>
      </c>
      <c r="B1178" s="3" t="n">
        <v>2027</v>
      </c>
      <c r="C1178" s="3" t="inlineStr">
        <is>
          <t>Base</t>
        </is>
      </c>
      <c r="D1178" s="3" t="inlineStr">
        <is>
          <t>pue</t>
        </is>
      </c>
      <c r="E1178" s="3" t="n">
        <v>1.18</v>
      </c>
      <c r="F1178" s="3" t="inlineStr">
        <is>
          <t>ratio</t>
        </is>
      </c>
      <c r="G1178" s="3" t="inlineStr">
        <is>
          <t>Scenario parameter</t>
        </is>
      </c>
      <c r="H1178" s="3" t="inlineStr">
        <is>
          <t>it_load_gw = active_power_gw / pue</t>
        </is>
      </c>
      <c r="I1178" s="3" t="inlineStr">
        <is>
          <t>No provider-wide site-level PUE is used as a disclosed fact; PUE represents facility-to-IT conversion within the scenario.</t>
        </is>
      </c>
      <c r="J1178" s="3" t="inlineStr">
        <is>
          <t>ASSUMP_POWER_RAMP</t>
        </is>
      </c>
      <c r="K1178" s="3" t="inlineStr">
        <is>
          <t>ASSUMP_TPU_EFFICIENCY; ASSUMP_POWER_RAMP; ASSUMP_NUMERIC_ACCELERATOR_MIX; ASSUMP_INFERENCE_SHARE_NOT_FACT_60; ASSUMP_WORKLOAD_CLASS_MIX; ASSUMP_AGENTIC_CONTEXT_PENALTY</t>
        </is>
      </c>
      <c r="L1178" s="3" t="inlineStr">
        <is>
          <t>Site-level measured PUE matched to attributed AI capacity.</t>
        </is>
      </c>
    </row>
    <row r="1179">
      <c r="A1179" s="3" t="inlineStr">
        <is>
          <t>Google</t>
        </is>
      </c>
      <c r="B1179" s="3" t="n">
        <v>2027</v>
      </c>
      <c r="C1179" s="3" t="inlineStr">
        <is>
          <t>Base</t>
        </is>
      </c>
      <c r="D1179" s="3" t="inlineStr">
        <is>
          <t>it_load_gw</t>
        </is>
      </c>
      <c r="E1179" s="3" t="n">
        <v>2.839</v>
      </c>
      <c r="F1179" s="3" t="inlineStr">
        <is>
          <t>GW</t>
        </is>
      </c>
      <c r="G1179" s="3" t="inlineStr">
        <is>
          <t>Derived formula</t>
        </is>
      </c>
      <c r="H1179" s="3" t="inlineStr">
        <is>
          <t>active_power_gw / pue</t>
        </is>
      </c>
      <c r="I1179" s="3" t="inlineStr">
        <is>
          <t>Facility power is converted to IT-deliverable power before attributing AI workloads.</t>
        </is>
      </c>
      <c r="J1179" s="3" t="inlineStr">
        <is>
          <t>ASSUMP_POWER_RAMP; SRC_GOOGLE_IRONWOOD; SRC_GOOGLE_TPU_V6E</t>
        </is>
      </c>
      <c r="K1179" s="3" t="inlineStr">
        <is>
          <t>ASSUMP_TPU_EFFICIENCY; ASSUMP_POWER_RAMP; ASSUMP_NUMERIC_ACCELERATOR_MIX; ASSUMP_INFERENCE_SHARE_NOT_FACT_60; ASSUMP_WORKLOAD_CLASS_MIX; ASSUMP_AGENTIC_CONTEXT_PENALTY</t>
        </is>
      </c>
      <c r="L1179" s="3" t="inlineStr">
        <is>
          <t>Recompute once active power and PUE become site-observable.</t>
        </is>
      </c>
    </row>
    <row r="1180">
      <c r="A1180" s="3" t="inlineStr">
        <is>
          <t>Google</t>
        </is>
      </c>
      <c r="B1180" s="3" t="n">
        <v>2027</v>
      </c>
      <c r="C1180" s="3" t="inlineStr">
        <is>
          <t>Base</t>
        </is>
      </c>
      <c r="D1180" s="3" t="inlineStr">
        <is>
          <t>ai_workload_share</t>
        </is>
      </c>
      <c r="E1180" s="3" t="n">
        <v>0.88</v>
      </c>
      <c r="F1180" s="3" t="inlineStr">
        <is>
          <t>share</t>
        </is>
      </c>
      <c r="G1180" s="3" t="inlineStr">
        <is>
          <t>Scenario allocation</t>
        </is>
      </c>
      <c r="H1180" s="3" t="inlineStr">
        <is>
          <t>ai_it_load_gw = it_load_gw * ai_workload_share</t>
        </is>
      </c>
      <c r="I1180" s="3" t="inlineStr">
        <is>
          <t>Gemini/Vertex TPU serving is AI-dedicated in the modeled capacity envelope; 88% excludes platform/reserve load.</t>
        </is>
      </c>
      <c r="J1180" s="3" t="inlineStr">
        <is>
          <t>SRC_GOOGLE_GEMINI_TOKENS; SRC_GOOGLE_IRONWOOD; SRC_GOOGLE_TPU_V6E; SRC_EPOCH_AI_DATA_CENTERS</t>
        </is>
      </c>
      <c r="K1180" s="3" t="inlineStr">
        <is>
          <t>ASSUMP_TPU_EFFICIENCY; ASSUMP_POWER_RAMP; ASSUMP_NUMERIC_ACCELERATOR_MIX; ASSUMP_INFERENCE_SHARE_NOT_FACT_60; ASSUMP_WORKLOAD_CLASS_MIX; ASSUMP_AGENTIC_CONTEXT_PENALTY</t>
        </is>
      </c>
      <c r="L1180" s="3" t="inlineStr">
        <is>
          <t>Model-owner AI workload allocation or cluster scheduling telemetry.</t>
        </is>
      </c>
    </row>
    <row r="1181">
      <c r="A1181" s="3" t="inlineStr">
        <is>
          <t>Google</t>
        </is>
      </c>
      <c r="B1181" s="3" t="n">
        <v>2027</v>
      </c>
      <c r="C1181" s="3" t="inlineStr">
        <is>
          <t>Base</t>
        </is>
      </c>
      <c r="D1181" s="3" t="inlineStr">
        <is>
          <t>ai_it_load_gw</t>
        </is>
      </c>
      <c r="E1181" s="3" t="n">
        <v>2.498</v>
      </c>
      <c r="F1181" s="3" t="inlineStr">
        <is>
          <t>GW</t>
        </is>
      </c>
      <c r="G1181" s="3" t="inlineStr">
        <is>
          <t>Derived formula</t>
        </is>
      </c>
      <c r="H1181" s="3" t="inlineStr">
        <is>
          <t>it_load_gw * ai_workload_share</t>
        </is>
      </c>
      <c r="I1181" s="3" t="inlineStr">
        <is>
          <t>Only the AI-attributed portion of IT load enters training/inference allocation.</t>
        </is>
      </c>
      <c r="J1181" s="3" t="inlineStr">
        <is>
          <t>SRC_GOOGLE_GEMINI_TOKENS; SRC_GOOGLE_IRONWOOD; SRC_GOOGLE_TPU_V6E; SRC_EPOCH_AI_DATA_CENTERS</t>
        </is>
      </c>
      <c r="K1181" s="3" t="inlineStr">
        <is>
          <t>ASSUMP_TPU_EFFICIENCY; ASSUMP_POWER_RAMP; ASSUMP_NUMERIC_ACCELERATOR_MIX; ASSUMP_INFERENCE_SHARE_NOT_FACT_60; ASSUMP_WORKLOAD_CLASS_MIX; ASSUMP_AGENTIC_CONTEXT_PENALTY</t>
        </is>
      </c>
      <c r="L1181" s="3" t="inlineStr">
        <is>
          <t>Recompute after ai_workload_share is replaced by telemetry.</t>
        </is>
      </c>
    </row>
    <row r="1182">
      <c r="A1182" s="3" t="inlineStr">
        <is>
          <t>Google</t>
        </is>
      </c>
      <c r="B1182" s="3" t="n">
        <v>2027</v>
      </c>
      <c r="C1182" s="3" t="inlineStr">
        <is>
          <t>Base</t>
        </is>
      </c>
      <c r="D1182" s="3" t="inlineStr">
        <is>
          <t>gpu_share</t>
        </is>
      </c>
      <c r="E1182" s="3" t="n">
        <v>0.105947</v>
      </c>
      <c r="F1182" s="3" t="inlineStr">
        <is>
          <t>share of inference-serving accelerator load</t>
        </is>
      </c>
      <c r="G1182" s="3" t="inlineStr">
        <is>
          <t>Numeric scenario</t>
        </is>
      </c>
      <c r="H1182" s="3" t="inlineStr">
        <is>
          <t>gpu_share interpolated from company 2026/2030 accelerator-mix endpoints</t>
        </is>
      </c>
      <c r="I1182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182" s="3" t="inlineStr">
        <is>
          <t>SRC_GOOGLE_GEMINI_TOKENS; SRC_GOOGLE_IRONWOOD; SRC_GOOGLE_TPU_V6E; SRC_EPOCH_AI_DATA_CENTERS; ASSUMP_NUMERIC_ACCELERATOR_MIX</t>
        </is>
      </c>
      <c r="K1182" s="3" t="inlineStr">
        <is>
          <t>ASSUMP_TPU_EFFICIENCY; ASSUMP_POWER_RAMP; ASSUMP_NUMERIC_ACCELERATOR_MIX; ASSUMP_INFERENCE_SHARE_NOT_FACT_60; ASSUMP_WORKLOAD_CLASS_MIX; ASSUMP_AGENTIC_CONTEXT_PENALTY</t>
        </is>
      </c>
      <c r="L1182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183">
      <c r="A1183" s="3" t="inlineStr">
        <is>
          <t>Google</t>
        </is>
      </c>
      <c r="B1183" s="3" t="n">
        <v>2027</v>
      </c>
      <c r="C1183" s="3" t="inlineStr">
        <is>
          <t>Base</t>
        </is>
      </c>
      <c r="D1183" s="3" t="inlineStr">
        <is>
          <t>h200_share</t>
        </is>
      </c>
      <c r="E1183" s="3" t="n">
        <v>0.005625</v>
      </c>
      <c r="F1183" s="3" t="inlineStr">
        <is>
          <t>share of inference-serving accelerator load</t>
        </is>
      </c>
      <c r="G1183" s="3" t="inlineStr">
        <is>
          <t>Editable numeric scenario</t>
        </is>
      </c>
      <c r="H1183" s="3" t="inlineStr">
        <is>
          <t>h200_share = gpu_share * default_gpu_generation_mix_h200</t>
        </is>
      </c>
      <c r="I1183" s="3" t="inlineStr">
        <is>
          <t>Default GPU-generation migration assumption; executive workbook allows later manual replacement by company/year/scenario.</t>
        </is>
      </c>
      <c r="J1183" s="3" t="inlineStr">
        <is>
          <t>SRC_SEMIANALYSIS_INFERENCEX; ASSUMP_NUMERIC_ACCELERATOR_MIX</t>
        </is>
      </c>
      <c r="K1183" s="3" t="inlineStr">
        <is>
          <t>ASSUMP_TPU_EFFICIENCY; ASSUMP_POWER_RAMP; ASSUMP_NUMERIC_ACCELERATOR_MIX; ASSUMP_INFERENCE_SHARE_NOT_FACT_60; ASSUMP_WORKLOAD_CLASS_MIX; ASSUMP_AGENTIC_CONTEXT_PENALTY</t>
        </is>
      </c>
      <c r="L1183" s="3" t="inlineStr">
        <is>
          <t>Company fleet inventory, accelerator-hours or procurement/deployment records by GPU generation.</t>
        </is>
      </c>
    </row>
    <row r="1184">
      <c r="A1184" s="3" t="inlineStr">
        <is>
          <t>Google</t>
        </is>
      </c>
      <c r="B1184" s="3" t="n">
        <v>2027</v>
      </c>
      <c r="C1184" s="3" t="inlineStr">
        <is>
          <t>Base</t>
        </is>
      </c>
      <c r="D1184" s="3" t="inlineStr">
        <is>
          <t>b200_share</t>
        </is>
      </c>
      <c r="E1184" s="3" t="n">
        <v>0.098131</v>
      </c>
      <c r="F1184" s="3" t="inlineStr">
        <is>
          <t>share of inference-serving accelerator load</t>
        </is>
      </c>
      <c r="G1184" s="3" t="inlineStr">
        <is>
          <t>Editable numeric scenario</t>
        </is>
      </c>
      <c r="H1184" s="3" t="inlineStr">
        <is>
          <t>b200_share = gpu_share * default_gpu_generation_mix_b200</t>
        </is>
      </c>
      <c r="I1184" s="3" t="inlineStr">
        <is>
          <t>Default GPU-generation migration assumption; executive workbook allows later manual replacement by company/year/scenario.</t>
        </is>
      </c>
      <c r="J1184" s="3" t="inlineStr">
        <is>
          <t>SRC_SEMIANALYSIS_INFERENCEX; ASSUMP_NUMERIC_ACCELERATOR_MIX</t>
        </is>
      </c>
      <c r="K1184" s="3" t="inlineStr">
        <is>
          <t>ASSUMP_TPU_EFFICIENCY; ASSUMP_POWER_RAMP; ASSUMP_NUMERIC_ACCELERATOR_MIX; ASSUMP_INFERENCE_SHARE_NOT_FACT_60; ASSUMP_WORKLOAD_CLASS_MIX; ASSUMP_AGENTIC_CONTEXT_PENALTY</t>
        </is>
      </c>
      <c r="L1184" s="3" t="inlineStr">
        <is>
          <t>Company fleet inventory, accelerator-hours or procurement/deployment records by GPU generation.</t>
        </is>
      </c>
    </row>
    <row r="1185">
      <c r="A1185" s="3" t="inlineStr">
        <is>
          <t>Google</t>
        </is>
      </c>
      <c r="B1185" s="3" t="n">
        <v>2027</v>
      </c>
      <c r="C1185" s="3" t="inlineStr">
        <is>
          <t>Base</t>
        </is>
      </c>
      <c r="D1185" s="3" t="inlineStr">
        <is>
          <t>gb200_share</t>
        </is>
      </c>
      <c r="E1185" s="3" t="n">
        <v>0.002191</v>
      </c>
      <c r="F1185" s="3" t="inlineStr">
        <is>
          <t>share of inference-serving accelerator load</t>
        </is>
      </c>
      <c r="G1185" s="3" t="inlineStr">
        <is>
          <t>Editable numeric scenario</t>
        </is>
      </c>
      <c r="H1185" s="3" t="inlineStr">
        <is>
          <t>gb200_share = gpu_share * default_gpu_generation_mix_gb200</t>
        </is>
      </c>
      <c r="I1185" s="3" t="inlineStr">
        <is>
          <t>Default GPU-generation migration assumption; executive workbook allows later manual replacement by company/year/scenario.</t>
        </is>
      </c>
      <c r="J1185" s="3" t="inlineStr">
        <is>
          <t>SRC_SEMIANALYSIS_INFERENCEX; ASSUMP_NUMERIC_ACCELERATOR_MIX</t>
        </is>
      </c>
      <c r="K1185" s="3" t="inlineStr">
        <is>
          <t>ASSUMP_TPU_EFFICIENCY; ASSUMP_POWER_RAMP; ASSUMP_NUMERIC_ACCELERATOR_MIX; ASSUMP_INFERENCE_SHARE_NOT_FACT_60; ASSUMP_WORKLOAD_CLASS_MIX; ASSUMP_AGENTIC_CONTEXT_PENALTY</t>
        </is>
      </c>
      <c r="L1185" s="3" t="inlineStr">
        <is>
          <t>Company fleet inventory, accelerator-hours or procurement/deployment records by GPU generation.</t>
        </is>
      </c>
    </row>
    <row r="1186">
      <c r="A1186" s="3" t="inlineStr">
        <is>
          <t>Google</t>
        </is>
      </c>
      <c r="B1186" s="3" t="n">
        <v>2027</v>
      </c>
      <c r="C1186" s="3" t="inlineStr">
        <is>
          <t>Base</t>
        </is>
      </c>
      <c r="D1186" s="3" t="inlineStr">
        <is>
          <t>purpose_built_accelerator_share</t>
        </is>
      </c>
      <c r="E1186" s="3" t="n">
        <v>0.894053</v>
      </c>
      <c r="F1186" s="3" t="inlineStr">
        <is>
          <t>share of inference-serving accelerator load</t>
        </is>
      </c>
      <c r="G1186" s="3" t="inlineStr">
        <is>
          <t>Numeric scenario</t>
        </is>
      </c>
      <c r="H1186" s="3" t="inlineStr">
        <is>
          <t>1 - gpu_share</t>
        </is>
      </c>
      <c r="I1186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186" s="3" t="inlineStr">
        <is>
          <t>SRC_GOOGLE_GEMINI_TOKENS; SRC_GOOGLE_IRONWOOD; SRC_GOOGLE_TPU_V6E; SRC_EPOCH_AI_DATA_CENTERS; ASSUMP_NUMERIC_ACCELERATOR_MIX</t>
        </is>
      </c>
      <c r="K1186" s="3" t="inlineStr">
        <is>
          <t>ASSUMP_TPU_EFFICIENCY; ASSUMP_POWER_RAMP; ASSUMP_NUMERIC_ACCELERATOR_MIX; ASSUMP_INFERENCE_SHARE_NOT_FACT_60; ASSUMP_WORKLOAD_CLASS_MIX; ASSUMP_AGENTIC_CONTEXT_PENALTY</t>
        </is>
      </c>
      <c r="L1186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187">
      <c r="A1187" s="3" t="inlineStr">
        <is>
          <t>Google</t>
        </is>
      </c>
      <c r="B1187" s="3" t="n">
        <v>2027</v>
      </c>
      <c r="C1187" s="3" t="inlineStr">
        <is>
          <t>Base</t>
        </is>
      </c>
      <c r="D1187" s="3" t="inlineStr">
        <is>
          <t>fleet_reference_tps_per_mw</t>
        </is>
      </c>
      <c r="E1187" s="3" t="n">
        <v>173666</v>
      </c>
      <c r="F1187" s="3" t="inlineStr">
        <is>
          <t>generated output tokens/sec/MW</t>
        </is>
      </c>
      <c r="G1187" s="3" t="inlineStr">
        <is>
          <t>Fleet-weighted public benchmark reference</t>
        </is>
      </c>
      <c r="H1187" s="3" t="inlineStr">
        <is>
          <t>h200_share*h200_workload_avg + b200_share*b200_workload_avg + gb200_share*gb200_workload_avg + purpose_built_share*purpose_workload_avg</t>
        </is>
      </c>
      <c r="I118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187" s="3" t="inlineStr">
        <is>
          <t>SRC_SEMIANALYSIS_INFERENCEX; ASSUMP_NUMERIC_ACCELERATOR_MIX; ASSUMP_WORKLOAD_CLASS_MIX; ASSUMP_AGENTIC_CONTEXT_PENALTY</t>
        </is>
      </c>
      <c r="K1187" s="3" t="inlineStr">
        <is>
          <t>ASSUMP_TPU_EFFICIENCY; ASSUMP_POWER_RAMP; ASSUMP_NUMERIC_ACCELERATOR_MIX; ASSUMP_INFERENCE_SHARE_NOT_FACT_60; ASSUMP_WORKLOAD_CLASS_MIX; ASSUMP_AGENTIC_CONTEXT_PENALTY</t>
        </is>
      </c>
      <c r="L1187" s="3" t="inlineStr">
        <is>
          <t>Comparable production output-token throughput or a more closely matched benchmark.</t>
        </is>
      </c>
    </row>
    <row r="1188">
      <c r="A1188" s="3" t="inlineStr">
        <is>
          <t>Google</t>
        </is>
      </c>
      <c r="B1188" s="3" t="n">
        <v>2027</v>
      </c>
      <c r="C1188" s="3" t="inlineStr">
        <is>
          <t>Base</t>
        </is>
      </c>
      <c r="D1188" s="3" t="inlineStr">
        <is>
          <t>commercial_workload_fit_factor</t>
        </is>
      </c>
      <c r="E1188" s="3" t="n">
        <v>0.6</v>
      </c>
      <c r="F1188" s="3" t="inlineStr">
        <is>
          <t>share of public reference throughput</t>
        </is>
      </c>
      <c r="G1188" s="3" t="inlineStr">
        <is>
          <t>Scenario assumption</t>
        </is>
      </c>
      <c r="H1188" s="3" t="inlineStr">
        <is>
          <t>reference_serving_tps_per_mw = fleet_reference_tps_per_mw * commercial_workload_fit_factor</t>
        </is>
      </c>
      <c r="I118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188" s="3" t="inlineStr">
        <is>
          <t>SRC_SEMIANALYSIS_INFERENCEX; ASSUMP_NUMERIC_ACCELERATOR_MIX; ASSUMP_WORKLOAD_CLASS_MIX; ASSUMP_AGENTIC_CONTEXT_PENALTY</t>
        </is>
      </c>
      <c r="K1188" s="3" t="inlineStr">
        <is>
          <t>ASSUMP_TPU_EFFICIENCY; ASSUMP_POWER_RAMP; ASSUMP_NUMERIC_ACCELERATOR_MIX; ASSUMP_INFERENCE_SHARE_NOT_FACT_60; ASSUMP_WORKLOAD_CLASS_MIX; ASSUMP_AGENTIC_CONTEXT_PENALTY</t>
        </is>
      </c>
      <c r="L1188" s="3" t="inlineStr">
        <is>
          <t>Matched commercial serving benchmark by product surface, context shape and latency SLO.</t>
        </is>
      </c>
    </row>
    <row r="1189">
      <c r="A1189" s="3" t="inlineStr">
        <is>
          <t>Google</t>
        </is>
      </c>
      <c r="B1189" s="3" t="n">
        <v>2027</v>
      </c>
      <c r="C1189" s="3" t="inlineStr">
        <is>
          <t>Base</t>
        </is>
      </c>
      <c r="D1189" s="3" t="inlineStr">
        <is>
          <t>reference_serving_tps_per_mw</t>
        </is>
      </c>
      <c r="E1189" s="3" t="n">
        <v>104200</v>
      </c>
      <c r="F1189" s="3" t="inlineStr">
        <is>
          <t>generated output tokens/sec/MW</t>
        </is>
      </c>
      <c r="G1189" s="3" t="inlineStr">
        <is>
          <t>Workload-adjusted benchmark proxy</t>
        </is>
      </c>
      <c r="H1189" s="3" t="inlineStr">
        <is>
          <t>fleet_reference_tps_per_mw * commercial_workload_fit_factor</t>
        </is>
      </c>
      <c r="I1189" s="3" t="inlineStr">
        <is>
          <t>This is the coefficient used for headline token generation; each GPU's short chat, long chat and agentic TPS/MW are weighted before fleet mix and commercial fit are applied.</t>
        </is>
      </c>
      <c r="J1189" s="3" t="inlineStr">
        <is>
          <t>SRC_SEMIANALYSIS_INFERENCEX; ASSUMP_NUMERIC_ACCELERATOR_MIX; ASSUMP_WORKLOAD_CLASS_MIX; ASSUMP_AGENTIC_CONTEXT_PENALTY</t>
        </is>
      </c>
      <c r="K1189" s="3" t="inlineStr">
        <is>
          <t>ASSUMP_TPU_EFFICIENCY; ASSUMP_POWER_RAMP; ASSUMP_NUMERIC_ACCELERATOR_MIX; ASSUMP_INFERENCE_SHARE_NOT_FACT_60; ASSUMP_WORKLOAD_CLASS_MIX; ASSUMP_AGENTIC_CONTEXT_PENALTY</t>
        </is>
      </c>
      <c r="L1189" s="3" t="inlineStr">
        <is>
          <t>Provider production output-token throughput with comparable workload/SLO.</t>
        </is>
      </c>
    </row>
    <row r="1190">
      <c r="A1190" s="3" t="inlineStr">
        <is>
          <t>Google</t>
        </is>
      </c>
      <c r="B1190" s="3" t="n">
        <v>2027</v>
      </c>
      <c r="C1190" s="3" t="inlineStr">
        <is>
          <t>Base</t>
        </is>
      </c>
      <c r="D1190" s="3" t="inlineStr">
        <is>
          <t>purpose_built_tps_per_mw</t>
        </is>
      </c>
      <c r="E1190" s="3" t="n">
        <v>81184</v>
      </c>
      <c r="F1190" s="3" t="inlineStr">
        <is>
          <t>generated output tokens/sec/MW</t>
        </is>
      </c>
      <c r="G1190" s="3" t="inlineStr">
        <is>
          <t>Conservative no-uplift proxy</t>
        </is>
      </c>
      <c r="H1190" s="3" t="inlineStr">
        <is>
          <t>purpose_built_tps_per_mw = purpose_built_reference_tps_per_mw * commercial_workload_fit_factor until comparable output-token benchmark is adopted</t>
        </is>
      </c>
      <c r="I1190" s="3" t="inlineStr">
        <is>
          <t>No comparable public output-token/MW row adopted; B200 public reference placeholder is used and remains editable.</t>
        </is>
      </c>
      <c r="J1190" s="3" t="inlineStr">
        <is>
          <t>SRC_GOOGLE_GEMINI_TOKENS; SRC_GOOGLE_IRONWOOD; SRC_GOOGLE_TPU_V6E; SRC_EPOCH_AI_DATA_CENTERS; ASSUMP_NUMERIC_ACCELERATOR_MIX</t>
        </is>
      </c>
      <c r="K1190" s="3" t="inlineStr">
        <is>
          <t>ASSUMP_TPU_EFFICIENCY; ASSUMP_POWER_RAMP; ASSUMP_NUMERIC_ACCELERATOR_MIX; ASSUMP_INFERENCE_SHARE_NOT_FACT_60; ASSUMP_WORKLOAD_CLASS_MIX; ASSUMP_AGENTIC_CONTEXT_PENALTY</t>
        </is>
      </c>
      <c r="L1190" s="3" t="inlineStr">
        <is>
          <t>Matched-workload generated-output benchmark for the provider purpose-built accelerator.</t>
        </is>
      </c>
    </row>
    <row r="1191">
      <c r="A1191" s="3" t="inlineStr">
        <is>
          <t>Google</t>
        </is>
      </c>
      <c r="B1191" s="3" t="n">
        <v>2027</v>
      </c>
      <c r="C1191" s="3" t="inlineStr">
        <is>
          <t>Base</t>
        </is>
      </c>
      <c r="D1191" s="3" t="inlineStr">
        <is>
          <t>inference_power_share</t>
        </is>
      </c>
      <c r="E1191" s="3" t="n">
        <v>0.593</v>
      </c>
      <c r="F1191" s="3" t="inlineStr">
        <is>
          <t>share of AI IT load</t>
        </is>
      </c>
      <c r="G1191" s="3" t="inlineStr">
        <is>
          <t>Scenario allocation</t>
        </is>
      </c>
      <c r="H1191" s="3" t="inlineStr">
        <is>
          <t>inference_gw = ai_it_load_gw * inference_power_share</t>
        </is>
      </c>
      <c r="I1191" s="3" t="inlineStr">
        <is>
          <t>Ironwood is positioned for inference and Gemini is commercialized across products; inference share increases as a scenario.</t>
        </is>
      </c>
      <c r="J1191" s="3" t="inlineStr">
        <is>
          <t>SRC_GOOGLE_GEMINI_TOKENS; SRC_GOOGLE_IRONWOOD; SRC_GOOGLE_TPU_V6E; SRC_EPOCH_AI_DATA_CENTERS; ASSUMP_INFERENCE_SHARE_NOT_FACT_60</t>
        </is>
      </c>
      <c r="K1191" s="3" t="inlineStr">
        <is>
          <t>ASSUMP_TPU_EFFICIENCY; ASSUMP_POWER_RAMP; ASSUMP_NUMERIC_ACCELERATOR_MIX; ASSUMP_INFERENCE_SHARE_NOT_FACT_60; ASSUMP_WORKLOAD_CLASS_MIX; ASSUMP_AGENTIC_CONTEXT_PENALTY</t>
        </is>
      </c>
      <c r="L1191" s="3" t="inlineStr">
        <is>
          <t>Provider-specific inference/training workload power telemetry.</t>
        </is>
      </c>
    </row>
    <row r="1192">
      <c r="A1192" s="3" t="inlineStr">
        <is>
          <t>Google</t>
        </is>
      </c>
      <c r="B1192" s="3" t="n">
        <v>2027</v>
      </c>
      <c r="C1192" s="3" t="inlineStr">
        <is>
          <t>Base</t>
        </is>
      </c>
      <c r="D1192" s="3" t="inlineStr">
        <is>
          <t>inference_gw</t>
        </is>
      </c>
      <c r="E1192" s="3" t="n">
        <v>1.48</v>
      </c>
      <c r="F1192" s="3" t="inlineStr">
        <is>
          <t>GW</t>
        </is>
      </c>
      <c r="G1192" s="3" t="inlineStr">
        <is>
          <t>Derived formula</t>
        </is>
      </c>
      <c r="H1192" s="3" t="inlineStr">
        <is>
          <t>ai_it_load_gw * inference_power_share</t>
        </is>
      </c>
      <c r="I1192" s="3" t="inlineStr">
        <is>
          <t>This is the operational power eligible to become commercial generated output tokens through the selected TPS/MW proxy.</t>
        </is>
      </c>
      <c r="J1192" s="3" t="inlineStr">
        <is>
          <t>SRC_GOOGLE_GEMINI_TOKENS; SRC_GOOGLE_IRONWOOD; SRC_GOOGLE_TPU_V6E; SRC_EPOCH_AI_DATA_CENTERS</t>
        </is>
      </c>
      <c r="K1192" s="3" t="inlineStr">
        <is>
          <t>ASSUMP_TPU_EFFICIENCY; ASSUMP_POWER_RAMP; ASSUMP_NUMERIC_ACCELERATOR_MIX; ASSUMP_INFERENCE_SHARE_NOT_FACT_60; ASSUMP_WORKLOAD_CLASS_MIX; ASSUMP_AGENTIC_CONTEXT_PENALTY</t>
        </is>
      </c>
      <c r="L1192" s="3" t="inlineStr">
        <is>
          <t>Recompute after AI allocation or inference-share evidence changes.</t>
        </is>
      </c>
    </row>
    <row r="1193">
      <c r="A1193" s="3" t="inlineStr">
        <is>
          <t>Google</t>
        </is>
      </c>
      <c r="B1193" s="3" t="n">
        <v>2027</v>
      </c>
      <c r="C1193" s="3" t="inlineStr">
        <is>
          <t>Base</t>
        </is>
      </c>
      <c r="D1193" s="3" t="inlineStr">
        <is>
          <t>training_power_share</t>
        </is>
      </c>
      <c r="E1193" s="3" t="n">
        <v>0.407</v>
      </c>
      <c r="F1193" s="3" t="inlineStr">
        <is>
          <t>share of AI IT load</t>
        </is>
      </c>
      <c r="G1193" s="3" t="inlineStr">
        <is>
          <t>Derived allocation</t>
        </is>
      </c>
      <c r="H1193" s="3" t="inlineStr">
        <is>
          <t>1 - inference_power_share</t>
        </is>
      </c>
      <c r="I1193" s="3" t="inlineStr">
        <is>
          <t>Training receives the complementary modeled AI IT allocation; it is not a disclosed company workload split.</t>
        </is>
      </c>
      <c r="J1193" s="3" t="inlineStr">
        <is>
          <t>SRC_GOOGLE_GEMINI_TOKENS; SRC_GOOGLE_IRONWOOD; SRC_GOOGLE_TPU_V6E; SRC_EPOCH_AI_DATA_CENTERS; ASSUMP_INFERENCE_SHARE_NOT_FACT_60</t>
        </is>
      </c>
      <c r="K1193" s="3" t="inlineStr">
        <is>
          <t>ASSUMP_TPU_EFFICIENCY; ASSUMP_POWER_RAMP; ASSUMP_NUMERIC_ACCELERATOR_MIX; ASSUMP_INFERENCE_SHARE_NOT_FACT_60; ASSUMP_WORKLOAD_CLASS_MIX; ASSUMP_AGENTIC_CONTEXT_PENALTY</t>
        </is>
      </c>
      <c r="L1193" s="3" t="inlineStr">
        <is>
          <t>Provider-specific inference/training workload power telemetry.</t>
        </is>
      </c>
    </row>
    <row r="1194">
      <c r="A1194" s="3" t="inlineStr">
        <is>
          <t>Google</t>
        </is>
      </c>
      <c r="B1194" s="3" t="n">
        <v>2027</v>
      </c>
      <c r="C1194" s="3" t="inlineStr">
        <is>
          <t>Base</t>
        </is>
      </c>
      <c r="D1194" s="3" t="inlineStr">
        <is>
          <t>training_gw</t>
        </is>
      </c>
      <c r="E1194" s="3" t="n">
        <v>1.018</v>
      </c>
      <c r="F1194" s="3" t="inlineStr">
        <is>
          <t>GW</t>
        </is>
      </c>
      <c r="G1194" s="3" t="inlineStr">
        <is>
          <t>Derived formula</t>
        </is>
      </c>
      <c r="H1194" s="3" t="inlineStr">
        <is>
          <t>ai_it_load_gw * training_power_share</t>
        </is>
      </c>
      <c r="I1194" s="3" t="inlineStr">
        <is>
          <t>Training GW is shown separately so commercial inference token capacity is not overstated.</t>
        </is>
      </c>
      <c r="J1194" s="3" t="inlineStr">
        <is>
          <t>SRC_GOOGLE_GEMINI_TOKENS; SRC_GOOGLE_IRONWOOD; SRC_GOOGLE_TPU_V6E; SRC_EPOCH_AI_DATA_CENTERS</t>
        </is>
      </c>
      <c r="K1194" s="3" t="inlineStr">
        <is>
          <t>ASSUMP_TPU_EFFICIENCY; ASSUMP_POWER_RAMP; ASSUMP_NUMERIC_ACCELERATOR_MIX; ASSUMP_INFERENCE_SHARE_NOT_FACT_60; ASSUMP_WORKLOAD_CLASS_MIX; ASSUMP_AGENTIC_CONTEXT_PENALTY</t>
        </is>
      </c>
      <c r="L1194" s="3" t="inlineStr">
        <is>
          <t>Recompute after AI allocation or workload-split evidence changes.</t>
        </is>
      </c>
    </row>
    <row r="1195">
      <c r="A1195" s="3" t="inlineStr">
        <is>
          <t>Google</t>
        </is>
      </c>
      <c r="B1195" s="3" t="n">
        <v>2027</v>
      </c>
      <c r="C1195" s="3" t="inlineStr">
        <is>
          <t>Base</t>
        </is>
      </c>
      <c r="D1195" s="3" t="inlineStr">
        <is>
          <t>tokens_per_second_per_mw</t>
        </is>
      </c>
      <c r="E1195" s="3" t="n">
        <v>104200</v>
      </c>
      <c r="F1195" s="3" t="inlineStr">
        <is>
          <t>generated output tokens/sec/MW</t>
        </is>
      </c>
      <c r="G1195" s="3" t="inlineStr">
        <is>
          <t>Derived estimate + benchmark calibration</t>
        </is>
      </c>
      <c r="H1195" s="3" t="inlineStr">
        <is>
          <t>fleet_reference_tps_per_mw * commercial_workload_fit_factor</t>
        </is>
      </c>
      <c r="I119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195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195" s="3" t="inlineStr">
        <is>
          <t>ASSUMP_TPU_EFFICIENCY; ASSUMP_POWER_RAMP; ASSUMP_NUMERIC_ACCELERATOR_MIX; ASSUMP_INFERENCE_SHARE_NOT_FACT_60; ASSUMP_WORKLOAD_CLASS_MIX; ASSUMP_AGENTIC_CONTEXT_PENALTY</t>
        </is>
      </c>
      <c r="L1195" s="3" t="inlineStr">
        <is>
          <t>Comparable production output-token throughput with model, hardware, precision, ISL/OSL and SLO matched.</t>
        </is>
      </c>
    </row>
    <row r="1196">
      <c r="A1196" s="3" t="inlineStr">
        <is>
          <t>Google</t>
        </is>
      </c>
      <c r="B1196" s="3" t="n">
        <v>2027</v>
      </c>
      <c r="C1196" s="3" t="inlineStr">
        <is>
          <t>Base</t>
        </is>
      </c>
      <c r="D1196" s="3" t="inlineStr">
        <is>
          <t>inference_tokens_per_day</t>
        </is>
      </c>
      <c r="E1196" s="3" t="n">
        <v>13324262400000</v>
      </c>
      <c r="F1196" s="3" t="inlineStr">
        <is>
          <t>generated output tokens/day</t>
        </is>
      </c>
      <c r="G1196" s="3" t="inlineStr">
        <is>
          <t>Derived headline metric</t>
        </is>
      </c>
      <c r="H1196" s="3" t="inlineStr">
        <is>
          <t>inference_gw * 1000 * tokens_per_second_per_mw * 86,400</t>
        </is>
      </c>
      <c r="I1196" s="3" t="inlineStr">
        <is>
          <t>Headline capacity uses no utilization, MoE, architecture or software-growth multiplier; it is not observed commercial output volume.</t>
        </is>
      </c>
      <c r="J1196" s="3" t="inlineStr">
        <is>
          <t>SRC_GOOGLE_GEMINI_TOKENS; SRC_GOOGLE_IRONWOOD; SRC_GOOGLE_TPU_V6E; SRC_EPOCH_AI_DATA_CENTERS; SRC_SEMIANALYSIS_INFERENCEX</t>
        </is>
      </c>
      <c r="K1196" s="3" t="inlineStr">
        <is>
          <t>ASSUMP_TPU_EFFICIENCY; ASSUMP_POWER_RAMP; ASSUMP_NUMERIC_ACCELERATOR_MIX; ASSUMP_INFERENCE_SHARE_NOT_FACT_60; ASSUMP_WORKLOAD_CLASS_MIX; ASSUMP_AGENTIC_CONTEXT_PENALTY</t>
        </is>
      </c>
      <c r="L1196" s="3" t="inlineStr">
        <is>
          <t>Provider-disclosed generated output token volume or calibrated capacity telemetry.</t>
        </is>
      </c>
    </row>
    <row r="1197">
      <c r="A1197" s="3" t="inlineStr">
        <is>
          <t>Google</t>
        </is>
      </c>
      <c r="B1197" s="3" t="n">
        <v>2027</v>
      </c>
      <c r="C1197" s="3" t="inlineStr">
        <is>
          <t>Base</t>
        </is>
      </c>
      <c r="D1197" s="3" t="inlineStr">
        <is>
          <t>inference_tokens_per_year</t>
        </is>
      </c>
      <c r="E1197" s="3" t="n">
        <v>4863355776000000</v>
      </c>
      <c r="F1197" s="3" t="inlineStr">
        <is>
          <t>generated output tokens/year</t>
        </is>
      </c>
      <c r="G1197" s="3" t="inlineStr">
        <is>
          <t>Derived headline metric</t>
        </is>
      </c>
      <c r="H1197" s="3" t="inlineStr">
        <is>
          <t>inference_tokens_per_day * 365</t>
        </is>
      </c>
      <c r="I1197" s="3" t="inlineStr">
        <is>
          <t>Annualized version of generated output token capacity; it is not observed annual demand or billable volume.</t>
        </is>
      </c>
      <c r="J1197" s="3" t="inlineStr">
        <is>
          <t>SRC_GOOGLE_GEMINI_TOKENS; SRC_GOOGLE_IRONWOOD; SRC_GOOGLE_TPU_V6E; SRC_EPOCH_AI_DATA_CENTERS; SRC_SEMIANALYSIS_INFERENCEX</t>
        </is>
      </c>
      <c r="K1197" s="3" t="inlineStr">
        <is>
          <t>ASSUMP_TPU_EFFICIENCY; ASSUMP_POWER_RAMP; ASSUMP_NUMERIC_ACCELERATOR_MIX; ASSUMP_INFERENCE_SHARE_NOT_FACT_60; ASSUMP_WORKLOAD_CLASS_MIX; ASSUMP_AGENTIC_CONTEXT_PENALTY</t>
        </is>
      </c>
      <c r="L1197" s="3" t="inlineStr">
        <is>
          <t>Provider-disclosed annual generated-output volume or metered serving telemetry.</t>
        </is>
      </c>
    </row>
    <row r="1198">
      <c r="A1198" s="3" t="inlineStr">
        <is>
          <t>Google</t>
        </is>
      </c>
      <c r="B1198" s="3" t="n">
        <v>2028</v>
      </c>
      <c r="C1198" s="3" t="inlineStr">
        <is>
          <t>Base</t>
        </is>
      </c>
      <c r="D1198" s="3" t="inlineStr">
        <is>
          <t>contracted_power_gw</t>
        </is>
      </c>
      <c r="E1198" s="3" t="n">
        <v>6.25</v>
      </c>
      <c r="F1198" s="3" t="inlineStr">
        <is>
          <t>GW</t>
        </is>
      </c>
      <c r="G1198" s="3" t="inlineStr">
        <is>
          <t>Scenario capacity envelope</t>
        </is>
      </c>
      <c r="H1198" s="3" t="inlineStr">
        <is>
          <t>linear interpolation between 2026 and 2030 company capacity endpoints</t>
        </is>
      </c>
      <c r="I1198" s="3" t="inlineStr">
        <is>
          <t>Scenario envelope for Gemini-serving capacity; official TPU hardware direction is disclosed, company-level contracted GW is not.</t>
        </is>
      </c>
      <c r="J1198" s="3" t="inlineStr">
        <is>
          <t>ASSUMP_POWER_RAMP; SRC_GOOGLE_IRONWOOD; SRC_GOOGLE_TPU_V6E</t>
        </is>
      </c>
      <c r="K1198" s="3" t="inlineStr">
        <is>
          <t>ASSUMP_TPU_EFFICIENCY; ASSUMP_POWER_RAMP; ASSUMP_NUMERIC_ACCELERATOR_MIX; ASSUMP_INFERENCE_SHARE_NOT_FACT_60; ASSUMP_WORKLOAD_CLASS_MIX; ASSUMP_AGENTIC_CONTEXT_PENALTY</t>
        </is>
      </c>
      <c r="L1198" s="3" t="inlineStr">
        <is>
          <t>Company/site-level committed MW/GW, interconnect and contract disclosure.</t>
        </is>
      </c>
    </row>
    <row r="1199">
      <c r="A1199" s="3" t="inlineStr">
        <is>
          <t>Google</t>
        </is>
      </c>
      <c r="B1199" s="3" t="n">
        <v>2028</v>
      </c>
      <c r="C1199" s="3" t="inlineStr">
        <is>
          <t>Base</t>
        </is>
      </c>
      <c r="D1199" s="3" t="inlineStr">
        <is>
          <t>operational_deployment_share</t>
        </is>
      </c>
      <c r="E1199" s="3" t="n">
        <v>0.72</v>
      </c>
      <c r="F1199" s="3" t="inlineStr">
        <is>
          <t>share</t>
        </is>
      </c>
      <c r="G1199" s="3" t="inlineStr">
        <is>
          <t>Scenario conversion</t>
        </is>
      </c>
      <c r="H1199" s="3" t="inlineStr">
        <is>
          <t>active_power_gw / contracted_power_gw</t>
        </is>
      </c>
      <c r="I1199" s="3" t="inlineStr">
        <is>
          <t>This is the single explicit conversion from contracted/attributed capacity to operationally usable capacity.</t>
        </is>
      </c>
      <c r="J1199" s="3" t="inlineStr">
        <is>
          <t>ASSUMP_POWER_RAMP; SRC_GOOGLE_IRONWOOD; SRC_GOOGLE_TPU_V6E</t>
        </is>
      </c>
      <c r="K1199" s="3" t="inlineStr">
        <is>
          <t>ASSUMP_TPU_EFFICIENCY; ASSUMP_POWER_RAMP; ASSUMP_NUMERIC_ACCELERATOR_MIX; ASSUMP_INFERENCE_SHARE_NOT_FACT_60; ASSUMP_WORKLOAD_CLASS_MIX; ASSUMP_AGENTIC_CONTEXT_PENALTY</t>
        </is>
      </c>
      <c r="L1199" s="3" t="inlineStr">
        <is>
          <t>Energized operational capacity divided by contracted/attributed capacity.</t>
        </is>
      </c>
    </row>
    <row r="1200">
      <c r="A1200" s="3" t="inlineStr">
        <is>
          <t>Google</t>
        </is>
      </c>
      <c r="B1200" s="3" t="n">
        <v>2028</v>
      </c>
      <c r="C1200" s="3" t="inlineStr">
        <is>
          <t>Base</t>
        </is>
      </c>
      <c r="D1200" s="3" t="inlineStr">
        <is>
          <t>active_power_gw</t>
        </is>
      </c>
      <c r="E1200" s="3" t="n">
        <v>4.5</v>
      </c>
      <c r="F1200" s="3" t="inlineStr">
        <is>
          <t>GW</t>
        </is>
      </c>
      <c r="G1200" s="3" t="inlineStr">
        <is>
          <t>Derived scenario</t>
        </is>
      </c>
      <c r="H1200" s="3" t="inlineStr">
        <is>
          <t>contracted_power_gw * operational_deployment_share</t>
        </is>
      </c>
      <c r="I1200" s="3" t="inlineStr">
        <is>
          <t>TPU generation availability supports ramp direction, while active GW remains a staged deployment estimate.</t>
        </is>
      </c>
      <c r="J1200" s="3" t="inlineStr">
        <is>
          <t>ASSUMP_POWER_RAMP; SRC_GOOGLE_IRONWOOD; SRC_GOOGLE_TPU_V6E</t>
        </is>
      </c>
      <c r="K1200" s="3" t="inlineStr">
        <is>
          <t>ASSUMP_TPU_EFFICIENCY; ASSUMP_POWER_RAMP; ASSUMP_NUMERIC_ACCELERATOR_MIX; ASSUMP_INFERENCE_SHARE_NOT_FACT_60; ASSUMP_WORKLOAD_CLASS_MIX; ASSUMP_AGENTIC_CONTEXT_PENALTY</t>
        </is>
      </c>
      <c r="L1200" s="3" t="inlineStr">
        <is>
          <t>Energization dates, accelerator deliveries and operational powered-rack telemetry.</t>
        </is>
      </c>
    </row>
    <row r="1201">
      <c r="A1201" s="3" t="inlineStr">
        <is>
          <t>Google</t>
        </is>
      </c>
      <c r="B1201" s="3" t="n">
        <v>2028</v>
      </c>
      <c r="C1201" s="3" t="inlineStr">
        <is>
          <t>Base</t>
        </is>
      </c>
      <c r="D1201" s="3" t="inlineStr">
        <is>
          <t>pue</t>
        </is>
      </c>
      <c r="E1201" s="3" t="n">
        <v>1.18</v>
      </c>
      <c r="F1201" s="3" t="inlineStr">
        <is>
          <t>ratio</t>
        </is>
      </c>
      <c r="G1201" s="3" t="inlineStr">
        <is>
          <t>Scenario parameter</t>
        </is>
      </c>
      <c r="H1201" s="3" t="inlineStr">
        <is>
          <t>it_load_gw = active_power_gw / pue</t>
        </is>
      </c>
      <c r="I1201" s="3" t="inlineStr">
        <is>
          <t>No provider-wide site-level PUE is used as a disclosed fact; PUE represents facility-to-IT conversion within the scenario.</t>
        </is>
      </c>
      <c r="J1201" s="3" t="inlineStr">
        <is>
          <t>ASSUMP_POWER_RAMP</t>
        </is>
      </c>
      <c r="K1201" s="3" t="inlineStr">
        <is>
          <t>ASSUMP_TPU_EFFICIENCY; ASSUMP_POWER_RAMP; ASSUMP_NUMERIC_ACCELERATOR_MIX; ASSUMP_INFERENCE_SHARE_NOT_FACT_60; ASSUMP_WORKLOAD_CLASS_MIX; ASSUMP_AGENTIC_CONTEXT_PENALTY</t>
        </is>
      </c>
      <c r="L1201" s="3" t="inlineStr">
        <is>
          <t>Site-level measured PUE matched to attributed AI capacity.</t>
        </is>
      </c>
    </row>
    <row r="1202">
      <c r="A1202" s="3" t="inlineStr">
        <is>
          <t>Google</t>
        </is>
      </c>
      <c r="B1202" s="3" t="n">
        <v>2028</v>
      </c>
      <c r="C1202" s="3" t="inlineStr">
        <is>
          <t>Base</t>
        </is>
      </c>
      <c r="D1202" s="3" t="inlineStr">
        <is>
          <t>it_load_gw</t>
        </is>
      </c>
      <c r="E1202" s="3" t="n">
        <v>3.814</v>
      </c>
      <c r="F1202" s="3" t="inlineStr">
        <is>
          <t>GW</t>
        </is>
      </c>
      <c r="G1202" s="3" t="inlineStr">
        <is>
          <t>Derived formula</t>
        </is>
      </c>
      <c r="H1202" s="3" t="inlineStr">
        <is>
          <t>active_power_gw / pue</t>
        </is>
      </c>
      <c r="I1202" s="3" t="inlineStr">
        <is>
          <t>Facility power is converted to IT-deliverable power before attributing AI workloads.</t>
        </is>
      </c>
      <c r="J1202" s="3" t="inlineStr">
        <is>
          <t>ASSUMP_POWER_RAMP; SRC_GOOGLE_IRONWOOD; SRC_GOOGLE_TPU_V6E</t>
        </is>
      </c>
      <c r="K1202" s="3" t="inlineStr">
        <is>
          <t>ASSUMP_TPU_EFFICIENCY; ASSUMP_POWER_RAMP; ASSUMP_NUMERIC_ACCELERATOR_MIX; ASSUMP_INFERENCE_SHARE_NOT_FACT_60; ASSUMP_WORKLOAD_CLASS_MIX; ASSUMP_AGENTIC_CONTEXT_PENALTY</t>
        </is>
      </c>
      <c r="L1202" s="3" t="inlineStr">
        <is>
          <t>Recompute once active power and PUE become site-observable.</t>
        </is>
      </c>
    </row>
    <row r="1203">
      <c r="A1203" s="3" t="inlineStr">
        <is>
          <t>Google</t>
        </is>
      </c>
      <c r="B1203" s="3" t="n">
        <v>2028</v>
      </c>
      <c r="C1203" s="3" t="inlineStr">
        <is>
          <t>Base</t>
        </is>
      </c>
      <c r="D1203" s="3" t="inlineStr">
        <is>
          <t>ai_workload_share</t>
        </is>
      </c>
      <c r="E1203" s="3" t="n">
        <v>0.88</v>
      </c>
      <c r="F1203" s="3" t="inlineStr">
        <is>
          <t>share</t>
        </is>
      </c>
      <c r="G1203" s="3" t="inlineStr">
        <is>
          <t>Scenario allocation</t>
        </is>
      </c>
      <c r="H1203" s="3" t="inlineStr">
        <is>
          <t>ai_it_load_gw = it_load_gw * ai_workload_share</t>
        </is>
      </c>
      <c r="I1203" s="3" t="inlineStr">
        <is>
          <t>Gemini/Vertex TPU serving is AI-dedicated in the modeled capacity envelope; 88% excludes platform/reserve load.</t>
        </is>
      </c>
      <c r="J1203" s="3" t="inlineStr">
        <is>
          <t>SRC_GOOGLE_GEMINI_TOKENS; SRC_GOOGLE_IRONWOOD; SRC_GOOGLE_TPU_V6E; SRC_EPOCH_AI_DATA_CENTERS</t>
        </is>
      </c>
      <c r="K1203" s="3" t="inlineStr">
        <is>
          <t>ASSUMP_TPU_EFFICIENCY; ASSUMP_POWER_RAMP; ASSUMP_NUMERIC_ACCELERATOR_MIX; ASSUMP_INFERENCE_SHARE_NOT_FACT_60; ASSUMP_WORKLOAD_CLASS_MIX; ASSUMP_AGENTIC_CONTEXT_PENALTY</t>
        </is>
      </c>
      <c r="L1203" s="3" t="inlineStr">
        <is>
          <t>Model-owner AI workload allocation or cluster scheduling telemetry.</t>
        </is>
      </c>
    </row>
    <row r="1204">
      <c r="A1204" s="3" t="inlineStr">
        <is>
          <t>Google</t>
        </is>
      </c>
      <c r="B1204" s="3" t="n">
        <v>2028</v>
      </c>
      <c r="C1204" s="3" t="inlineStr">
        <is>
          <t>Base</t>
        </is>
      </c>
      <c r="D1204" s="3" t="inlineStr">
        <is>
          <t>ai_it_load_gw</t>
        </is>
      </c>
      <c r="E1204" s="3" t="n">
        <v>3.356</v>
      </c>
      <c r="F1204" s="3" t="inlineStr">
        <is>
          <t>GW</t>
        </is>
      </c>
      <c r="G1204" s="3" t="inlineStr">
        <is>
          <t>Derived formula</t>
        </is>
      </c>
      <c r="H1204" s="3" t="inlineStr">
        <is>
          <t>it_load_gw * ai_workload_share</t>
        </is>
      </c>
      <c r="I1204" s="3" t="inlineStr">
        <is>
          <t>Only the AI-attributed portion of IT load enters training/inference allocation.</t>
        </is>
      </c>
      <c r="J1204" s="3" t="inlineStr">
        <is>
          <t>SRC_GOOGLE_GEMINI_TOKENS; SRC_GOOGLE_IRONWOOD; SRC_GOOGLE_TPU_V6E; SRC_EPOCH_AI_DATA_CENTERS</t>
        </is>
      </c>
      <c r="K1204" s="3" t="inlineStr">
        <is>
          <t>ASSUMP_TPU_EFFICIENCY; ASSUMP_POWER_RAMP; ASSUMP_NUMERIC_ACCELERATOR_MIX; ASSUMP_INFERENCE_SHARE_NOT_FACT_60; ASSUMP_WORKLOAD_CLASS_MIX; ASSUMP_AGENTIC_CONTEXT_PENALTY</t>
        </is>
      </c>
      <c r="L1204" s="3" t="inlineStr">
        <is>
          <t>Recompute after ai_workload_share is replaced by telemetry.</t>
        </is>
      </c>
    </row>
    <row r="1205">
      <c r="A1205" s="3" t="inlineStr">
        <is>
          <t>Google</t>
        </is>
      </c>
      <c r="B1205" s="3" t="n">
        <v>2028</v>
      </c>
      <c r="C1205" s="3" t="inlineStr">
        <is>
          <t>Base</t>
        </is>
      </c>
      <c r="D1205" s="3" t="inlineStr">
        <is>
          <t>gpu_share</t>
        </is>
      </c>
      <c r="E1205" s="3" t="n">
        <v>0.109158</v>
      </c>
      <c r="F1205" s="3" t="inlineStr">
        <is>
          <t>share of inference-serving accelerator load</t>
        </is>
      </c>
      <c r="G1205" s="3" t="inlineStr">
        <is>
          <t>Numeric scenario</t>
        </is>
      </c>
      <c r="H1205" s="3" t="inlineStr">
        <is>
          <t>gpu_share interpolated from company 2026/2030 accelerator-mix endpoints</t>
        </is>
      </c>
      <c r="I1205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05" s="3" t="inlineStr">
        <is>
          <t>SRC_GOOGLE_GEMINI_TOKENS; SRC_GOOGLE_IRONWOOD; SRC_GOOGLE_TPU_V6E; SRC_EPOCH_AI_DATA_CENTERS; ASSUMP_NUMERIC_ACCELERATOR_MIX</t>
        </is>
      </c>
      <c r="K1205" s="3" t="inlineStr">
        <is>
          <t>ASSUMP_TPU_EFFICIENCY; ASSUMP_POWER_RAMP; ASSUMP_NUMERIC_ACCELERATOR_MIX; ASSUMP_INFERENCE_SHARE_NOT_FACT_60; ASSUMP_WORKLOAD_CLASS_MIX; ASSUMP_AGENTIC_CONTEXT_PENALTY</t>
        </is>
      </c>
      <c r="L1205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06">
      <c r="A1206" s="3" t="inlineStr">
        <is>
          <t>Google</t>
        </is>
      </c>
      <c r="B1206" s="3" t="n">
        <v>2028</v>
      </c>
      <c r="C1206" s="3" t="inlineStr">
        <is>
          <t>Base</t>
        </is>
      </c>
      <c r="D1206" s="3" t="inlineStr">
        <is>
          <t>h200_share</t>
        </is>
      </c>
      <c r="E1206" s="3" t="n">
        <v>0.011989</v>
      </c>
      <c r="F1206" s="3" t="inlineStr">
        <is>
          <t>share of inference-serving accelerator load</t>
        </is>
      </c>
      <c r="G1206" s="3" t="inlineStr">
        <is>
          <t>Editable numeric scenario</t>
        </is>
      </c>
      <c r="H1206" s="3" t="inlineStr">
        <is>
          <t>h200_share = gpu_share * default_gpu_generation_mix_h200</t>
        </is>
      </c>
      <c r="I1206" s="3" t="inlineStr">
        <is>
          <t>Default GPU-generation migration assumption; executive workbook allows later manual replacement by company/year/scenario.</t>
        </is>
      </c>
      <c r="J1206" s="3" t="inlineStr">
        <is>
          <t>SRC_SEMIANALYSIS_INFERENCEX; ASSUMP_NUMERIC_ACCELERATOR_MIX</t>
        </is>
      </c>
      <c r="K1206" s="3" t="inlineStr">
        <is>
          <t>ASSUMP_TPU_EFFICIENCY; ASSUMP_POWER_RAMP; ASSUMP_NUMERIC_ACCELERATOR_MIX; ASSUMP_INFERENCE_SHARE_NOT_FACT_60; ASSUMP_WORKLOAD_CLASS_MIX; ASSUMP_AGENTIC_CONTEXT_PENALTY</t>
        </is>
      </c>
      <c r="L1206" s="3" t="inlineStr">
        <is>
          <t>Company fleet inventory, accelerator-hours or procurement/deployment records by GPU generation.</t>
        </is>
      </c>
    </row>
    <row r="1207">
      <c r="A1207" s="3" t="inlineStr">
        <is>
          <t>Google</t>
        </is>
      </c>
      <c r="B1207" s="3" t="n">
        <v>2028</v>
      </c>
      <c r="C1207" s="3" t="inlineStr">
        <is>
          <t>Base</t>
        </is>
      </c>
      <c r="D1207" s="3" t="inlineStr">
        <is>
          <t>b200_share</t>
        </is>
      </c>
      <c r="E1207" s="3" t="n">
        <v>0.086159</v>
      </c>
      <c r="F1207" s="3" t="inlineStr">
        <is>
          <t>share of inference-serving accelerator load</t>
        </is>
      </c>
      <c r="G1207" s="3" t="inlineStr">
        <is>
          <t>Editable numeric scenario</t>
        </is>
      </c>
      <c r="H1207" s="3" t="inlineStr">
        <is>
          <t>b200_share = gpu_share * default_gpu_generation_mix_b200</t>
        </is>
      </c>
      <c r="I1207" s="3" t="inlineStr">
        <is>
          <t>Default GPU-generation migration assumption; executive workbook allows later manual replacement by company/year/scenario.</t>
        </is>
      </c>
      <c r="J1207" s="3" t="inlineStr">
        <is>
          <t>SRC_SEMIANALYSIS_INFERENCEX; ASSUMP_NUMERIC_ACCELERATOR_MIX</t>
        </is>
      </c>
      <c r="K1207" s="3" t="inlineStr">
        <is>
          <t>ASSUMP_TPU_EFFICIENCY; ASSUMP_POWER_RAMP; ASSUMP_NUMERIC_ACCELERATOR_MIX; ASSUMP_INFERENCE_SHARE_NOT_FACT_60; ASSUMP_WORKLOAD_CLASS_MIX; ASSUMP_AGENTIC_CONTEXT_PENALTY</t>
        </is>
      </c>
      <c r="L1207" s="3" t="inlineStr">
        <is>
          <t>Company fleet inventory, accelerator-hours or procurement/deployment records by GPU generation.</t>
        </is>
      </c>
    </row>
    <row r="1208">
      <c r="A1208" s="3" t="inlineStr">
        <is>
          <t>Google</t>
        </is>
      </c>
      <c r="B1208" s="3" t="n">
        <v>2028</v>
      </c>
      <c r="C1208" s="3" t="inlineStr">
        <is>
          <t>Base</t>
        </is>
      </c>
      <c r="D1208" s="3" t="inlineStr">
        <is>
          <t>gb200_share</t>
        </is>
      </c>
      <c r="E1208" s="3" t="n">
        <v>0.01101</v>
      </c>
      <c r="F1208" s="3" t="inlineStr">
        <is>
          <t>share of inference-serving accelerator load</t>
        </is>
      </c>
      <c r="G1208" s="3" t="inlineStr">
        <is>
          <t>Editable numeric scenario</t>
        </is>
      </c>
      <c r="H1208" s="3" t="inlineStr">
        <is>
          <t>gb200_share = gpu_share * default_gpu_generation_mix_gb200</t>
        </is>
      </c>
      <c r="I1208" s="3" t="inlineStr">
        <is>
          <t>Default GPU-generation migration assumption; executive workbook allows later manual replacement by company/year/scenario.</t>
        </is>
      </c>
      <c r="J1208" s="3" t="inlineStr">
        <is>
          <t>SRC_SEMIANALYSIS_INFERENCEX; ASSUMP_NUMERIC_ACCELERATOR_MIX</t>
        </is>
      </c>
      <c r="K1208" s="3" t="inlineStr">
        <is>
          <t>ASSUMP_TPU_EFFICIENCY; ASSUMP_POWER_RAMP; ASSUMP_NUMERIC_ACCELERATOR_MIX; ASSUMP_INFERENCE_SHARE_NOT_FACT_60; ASSUMP_WORKLOAD_CLASS_MIX; ASSUMP_AGENTIC_CONTEXT_PENALTY</t>
        </is>
      </c>
      <c r="L1208" s="3" t="inlineStr">
        <is>
          <t>Company fleet inventory, accelerator-hours or procurement/deployment records by GPU generation.</t>
        </is>
      </c>
    </row>
    <row r="1209">
      <c r="A1209" s="3" t="inlineStr">
        <is>
          <t>Google</t>
        </is>
      </c>
      <c r="B1209" s="3" t="n">
        <v>2028</v>
      </c>
      <c r="C1209" s="3" t="inlineStr">
        <is>
          <t>Base</t>
        </is>
      </c>
      <c r="D1209" s="3" t="inlineStr">
        <is>
          <t>purpose_built_accelerator_share</t>
        </is>
      </c>
      <c r="E1209" s="3" t="n">
        <v>0.890842</v>
      </c>
      <c r="F1209" s="3" t="inlineStr">
        <is>
          <t>share of inference-serving accelerator load</t>
        </is>
      </c>
      <c r="G1209" s="3" t="inlineStr">
        <is>
          <t>Numeric scenario</t>
        </is>
      </c>
      <c r="H1209" s="3" t="inlineStr">
        <is>
          <t>1 - gpu_share</t>
        </is>
      </c>
      <c r="I1209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09" s="3" t="inlineStr">
        <is>
          <t>SRC_GOOGLE_GEMINI_TOKENS; SRC_GOOGLE_IRONWOOD; SRC_GOOGLE_TPU_V6E; SRC_EPOCH_AI_DATA_CENTERS; ASSUMP_NUMERIC_ACCELERATOR_MIX</t>
        </is>
      </c>
      <c r="K1209" s="3" t="inlineStr">
        <is>
          <t>ASSUMP_TPU_EFFICIENCY; ASSUMP_POWER_RAMP; ASSUMP_NUMERIC_ACCELERATOR_MIX; ASSUMP_INFERENCE_SHARE_NOT_FACT_60; ASSUMP_WORKLOAD_CLASS_MIX; ASSUMP_AGENTIC_CONTEXT_PENALTY</t>
        </is>
      </c>
      <c r="L1209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10">
      <c r="A1210" s="3" t="inlineStr">
        <is>
          <t>Google</t>
        </is>
      </c>
      <c r="B1210" s="3" t="n">
        <v>2028</v>
      </c>
      <c r="C1210" s="3" t="inlineStr">
        <is>
          <t>Base</t>
        </is>
      </c>
      <c r="D1210" s="3" t="inlineStr">
        <is>
          <t>fleet_reference_tps_per_mw</t>
        </is>
      </c>
      <c r="E1210" s="3" t="n">
        <v>180670</v>
      </c>
      <c r="F1210" s="3" t="inlineStr">
        <is>
          <t>generated output tokens/sec/MW</t>
        </is>
      </c>
      <c r="G1210" s="3" t="inlineStr">
        <is>
          <t>Fleet-weighted public benchmark reference</t>
        </is>
      </c>
      <c r="H1210" s="3" t="inlineStr">
        <is>
          <t>h200_share*h200_workload_avg + b200_share*b200_workload_avg + gb200_share*gb200_workload_avg + purpose_built_share*purpose_workload_avg</t>
        </is>
      </c>
      <c r="I121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10" s="3" t="inlineStr">
        <is>
          <t>SRC_SEMIANALYSIS_INFERENCEX; ASSUMP_NUMERIC_ACCELERATOR_MIX; ASSUMP_WORKLOAD_CLASS_MIX; ASSUMP_AGENTIC_CONTEXT_PENALTY</t>
        </is>
      </c>
      <c r="K1210" s="3" t="inlineStr">
        <is>
          <t>ASSUMP_TPU_EFFICIENCY; ASSUMP_POWER_RAMP; ASSUMP_NUMERIC_ACCELERATOR_MIX; ASSUMP_INFERENCE_SHARE_NOT_FACT_60; ASSUMP_WORKLOAD_CLASS_MIX; ASSUMP_AGENTIC_CONTEXT_PENALTY</t>
        </is>
      </c>
      <c r="L1210" s="3" t="inlineStr">
        <is>
          <t>Comparable production output-token throughput or a more closely matched benchmark.</t>
        </is>
      </c>
    </row>
    <row r="1211">
      <c r="A1211" s="3" t="inlineStr">
        <is>
          <t>Google</t>
        </is>
      </c>
      <c r="B1211" s="3" t="n">
        <v>2028</v>
      </c>
      <c r="C1211" s="3" t="inlineStr">
        <is>
          <t>Base</t>
        </is>
      </c>
      <c r="D1211" s="3" t="inlineStr">
        <is>
          <t>commercial_workload_fit_factor</t>
        </is>
      </c>
      <c r="E1211" s="3" t="n">
        <v>0.6</v>
      </c>
      <c r="F1211" s="3" t="inlineStr">
        <is>
          <t>share of public reference throughput</t>
        </is>
      </c>
      <c r="G1211" s="3" t="inlineStr">
        <is>
          <t>Scenario assumption</t>
        </is>
      </c>
      <c r="H1211" s="3" t="inlineStr">
        <is>
          <t>reference_serving_tps_per_mw = fleet_reference_tps_per_mw * commercial_workload_fit_factor</t>
        </is>
      </c>
      <c r="I121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11" s="3" t="inlineStr">
        <is>
          <t>SRC_SEMIANALYSIS_INFERENCEX; ASSUMP_NUMERIC_ACCELERATOR_MIX; ASSUMP_WORKLOAD_CLASS_MIX; ASSUMP_AGENTIC_CONTEXT_PENALTY</t>
        </is>
      </c>
      <c r="K1211" s="3" t="inlineStr">
        <is>
          <t>ASSUMP_TPU_EFFICIENCY; ASSUMP_POWER_RAMP; ASSUMP_NUMERIC_ACCELERATOR_MIX; ASSUMP_INFERENCE_SHARE_NOT_FACT_60; ASSUMP_WORKLOAD_CLASS_MIX; ASSUMP_AGENTIC_CONTEXT_PENALTY</t>
        </is>
      </c>
      <c r="L1211" s="3" t="inlineStr">
        <is>
          <t>Matched commercial serving benchmark by product surface, context shape and latency SLO.</t>
        </is>
      </c>
    </row>
    <row r="1212">
      <c r="A1212" s="3" t="inlineStr">
        <is>
          <t>Google</t>
        </is>
      </c>
      <c r="B1212" s="3" t="n">
        <v>2028</v>
      </c>
      <c r="C1212" s="3" t="inlineStr">
        <is>
          <t>Base</t>
        </is>
      </c>
      <c r="D1212" s="3" t="inlineStr">
        <is>
          <t>reference_serving_tps_per_mw</t>
        </is>
      </c>
      <c r="E1212" s="3" t="n">
        <v>108402</v>
      </c>
      <c r="F1212" s="3" t="inlineStr">
        <is>
          <t>generated output tokens/sec/MW</t>
        </is>
      </c>
      <c r="G1212" s="3" t="inlineStr">
        <is>
          <t>Workload-adjusted benchmark proxy</t>
        </is>
      </c>
      <c r="H1212" s="3" t="inlineStr">
        <is>
          <t>fleet_reference_tps_per_mw * commercial_workload_fit_factor</t>
        </is>
      </c>
      <c r="I1212" s="3" t="inlineStr">
        <is>
          <t>This is the coefficient used for headline token generation; each GPU's short chat, long chat and agentic TPS/MW are weighted before fleet mix and commercial fit are applied.</t>
        </is>
      </c>
      <c r="J1212" s="3" t="inlineStr">
        <is>
          <t>SRC_SEMIANALYSIS_INFERENCEX; ASSUMP_NUMERIC_ACCELERATOR_MIX; ASSUMP_WORKLOAD_CLASS_MIX; ASSUMP_AGENTIC_CONTEXT_PENALTY</t>
        </is>
      </c>
      <c r="K1212" s="3" t="inlineStr">
        <is>
          <t>ASSUMP_TPU_EFFICIENCY; ASSUMP_POWER_RAMP; ASSUMP_NUMERIC_ACCELERATOR_MIX; ASSUMP_INFERENCE_SHARE_NOT_FACT_60; ASSUMP_WORKLOAD_CLASS_MIX; ASSUMP_AGENTIC_CONTEXT_PENALTY</t>
        </is>
      </c>
      <c r="L1212" s="3" t="inlineStr">
        <is>
          <t>Provider production output-token throughput with comparable workload/SLO.</t>
        </is>
      </c>
    </row>
    <row r="1213">
      <c r="A1213" s="3" t="inlineStr">
        <is>
          <t>Google</t>
        </is>
      </c>
      <c r="B1213" s="3" t="n">
        <v>2028</v>
      </c>
      <c r="C1213" s="3" t="inlineStr">
        <is>
          <t>Base</t>
        </is>
      </c>
      <c r="D1213" s="3" t="inlineStr">
        <is>
          <t>purpose_built_tps_per_mw</t>
        </is>
      </c>
      <c r="E1213" s="3" t="n">
        <v>81184</v>
      </c>
      <c r="F1213" s="3" t="inlineStr">
        <is>
          <t>generated output tokens/sec/MW</t>
        </is>
      </c>
      <c r="G1213" s="3" t="inlineStr">
        <is>
          <t>Conservative no-uplift proxy</t>
        </is>
      </c>
      <c r="H1213" s="3" t="inlineStr">
        <is>
          <t>purpose_built_tps_per_mw = purpose_built_reference_tps_per_mw * commercial_workload_fit_factor until comparable output-token benchmark is adopted</t>
        </is>
      </c>
      <c r="I1213" s="3" t="inlineStr">
        <is>
          <t>No comparable public output-token/MW row adopted; B200 public reference placeholder is used and remains editable.</t>
        </is>
      </c>
      <c r="J1213" s="3" t="inlineStr">
        <is>
          <t>SRC_GOOGLE_GEMINI_TOKENS; SRC_GOOGLE_IRONWOOD; SRC_GOOGLE_TPU_V6E; SRC_EPOCH_AI_DATA_CENTERS; ASSUMP_NUMERIC_ACCELERATOR_MIX</t>
        </is>
      </c>
      <c r="K1213" s="3" t="inlineStr">
        <is>
          <t>ASSUMP_TPU_EFFICIENCY; ASSUMP_POWER_RAMP; ASSUMP_NUMERIC_ACCELERATOR_MIX; ASSUMP_INFERENCE_SHARE_NOT_FACT_60; ASSUMP_WORKLOAD_CLASS_MIX; ASSUMP_AGENTIC_CONTEXT_PENALTY</t>
        </is>
      </c>
      <c r="L1213" s="3" t="inlineStr">
        <is>
          <t>Matched-workload generated-output benchmark for the provider purpose-built accelerator.</t>
        </is>
      </c>
    </row>
    <row r="1214">
      <c r="A1214" s="3" t="inlineStr">
        <is>
          <t>Google</t>
        </is>
      </c>
      <c r="B1214" s="3" t="n">
        <v>2028</v>
      </c>
      <c r="C1214" s="3" t="inlineStr">
        <is>
          <t>Base</t>
        </is>
      </c>
      <c r="D1214" s="3" t="inlineStr">
        <is>
          <t>inference_power_share</t>
        </is>
      </c>
      <c r="E1214" s="3" t="n">
        <v>0.635</v>
      </c>
      <c r="F1214" s="3" t="inlineStr">
        <is>
          <t>share of AI IT load</t>
        </is>
      </c>
      <c r="G1214" s="3" t="inlineStr">
        <is>
          <t>Scenario allocation</t>
        </is>
      </c>
      <c r="H1214" s="3" t="inlineStr">
        <is>
          <t>inference_gw = ai_it_load_gw * inference_power_share</t>
        </is>
      </c>
      <c r="I1214" s="3" t="inlineStr">
        <is>
          <t>Ironwood is positioned for inference and Gemini is commercialized across products; inference share increases as a scenario.</t>
        </is>
      </c>
      <c r="J1214" s="3" t="inlineStr">
        <is>
          <t>SRC_GOOGLE_GEMINI_TOKENS; SRC_GOOGLE_IRONWOOD; SRC_GOOGLE_TPU_V6E; SRC_EPOCH_AI_DATA_CENTERS; ASSUMP_INFERENCE_SHARE_NOT_FACT_60</t>
        </is>
      </c>
      <c r="K1214" s="3" t="inlineStr">
        <is>
          <t>ASSUMP_TPU_EFFICIENCY; ASSUMP_POWER_RAMP; ASSUMP_NUMERIC_ACCELERATOR_MIX; ASSUMP_INFERENCE_SHARE_NOT_FACT_60; ASSUMP_WORKLOAD_CLASS_MIX; ASSUMP_AGENTIC_CONTEXT_PENALTY</t>
        </is>
      </c>
      <c r="L1214" s="3" t="inlineStr">
        <is>
          <t>Provider-specific inference/training workload power telemetry.</t>
        </is>
      </c>
    </row>
    <row r="1215">
      <c r="A1215" s="3" t="inlineStr">
        <is>
          <t>Google</t>
        </is>
      </c>
      <c r="B1215" s="3" t="n">
        <v>2028</v>
      </c>
      <c r="C1215" s="3" t="inlineStr">
        <is>
          <t>Base</t>
        </is>
      </c>
      <c r="D1215" s="3" t="inlineStr">
        <is>
          <t>inference_gw</t>
        </is>
      </c>
      <c r="E1215" s="3" t="n">
        <v>2.131</v>
      </c>
      <c r="F1215" s="3" t="inlineStr">
        <is>
          <t>GW</t>
        </is>
      </c>
      <c r="G1215" s="3" t="inlineStr">
        <is>
          <t>Derived formula</t>
        </is>
      </c>
      <c r="H1215" s="3" t="inlineStr">
        <is>
          <t>ai_it_load_gw * inference_power_share</t>
        </is>
      </c>
      <c r="I1215" s="3" t="inlineStr">
        <is>
          <t>This is the operational power eligible to become commercial generated output tokens through the selected TPS/MW proxy.</t>
        </is>
      </c>
      <c r="J1215" s="3" t="inlineStr">
        <is>
          <t>SRC_GOOGLE_GEMINI_TOKENS; SRC_GOOGLE_IRONWOOD; SRC_GOOGLE_TPU_V6E; SRC_EPOCH_AI_DATA_CENTERS</t>
        </is>
      </c>
      <c r="K1215" s="3" t="inlineStr">
        <is>
          <t>ASSUMP_TPU_EFFICIENCY; ASSUMP_POWER_RAMP; ASSUMP_NUMERIC_ACCELERATOR_MIX; ASSUMP_INFERENCE_SHARE_NOT_FACT_60; ASSUMP_WORKLOAD_CLASS_MIX; ASSUMP_AGENTIC_CONTEXT_PENALTY</t>
        </is>
      </c>
      <c r="L1215" s="3" t="inlineStr">
        <is>
          <t>Recompute after AI allocation or inference-share evidence changes.</t>
        </is>
      </c>
    </row>
    <row r="1216">
      <c r="A1216" s="3" t="inlineStr">
        <is>
          <t>Google</t>
        </is>
      </c>
      <c r="B1216" s="3" t="n">
        <v>2028</v>
      </c>
      <c r="C1216" s="3" t="inlineStr">
        <is>
          <t>Base</t>
        </is>
      </c>
      <c r="D1216" s="3" t="inlineStr">
        <is>
          <t>training_power_share</t>
        </is>
      </c>
      <c r="E1216" s="3" t="n">
        <v>0.365</v>
      </c>
      <c r="F1216" s="3" t="inlineStr">
        <is>
          <t>share of AI IT load</t>
        </is>
      </c>
      <c r="G1216" s="3" t="inlineStr">
        <is>
          <t>Derived allocation</t>
        </is>
      </c>
      <c r="H1216" s="3" t="inlineStr">
        <is>
          <t>1 - inference_power_share</t>
        </is>
      </c>
      <c r="I1216" s="3" t="inlineStr">
        <is>
          <t>Training receives the complementary modeled AI IT allocation; it is not a disclosed company workload split.</t>
        </is>
      </c>
      <c r="J1216" s="3" t="inlineStr">
        <is>
          <t>SRC_GOOGLE_GEMINI_TOKENS; SRC_GOOGLE_IRONWOOD; SRC_GOOGLE_TPU_V6E; SRC_EPOCH_AI_DATA_CENTERS; ASSUMP_INFERENCE_SHARE_NOT_FACT_60</t>
        </is>
      </c>
      <c r="K1216" s="3" t="inlineStr">
        <is>
          <t>ASSUMP_TPU_EFFICIENCY; ASSUMP_POWER_RAMP; ASSUMP_NUMERIC_ACCELERATOR_MIX; ASSUMP_INFERENCE_SHARE_NOT_FACT_60; ASSUMP_WORKLOAD_CLASS_MIX; ASSUMP_AGENTIC_CONTEXT_PENALTY</t>
        </is>
      </c>
      <c r="L1216" s="3" t="inlineStr">
        <is>
          <t>Provider-specific inference/training workload power telemetry.</t>
        </is>
      </c>
    </row>
    <row r="1217">
      <c r="A1217" s="3" t="inlineStr">
        <is>
          <t>Google</t>
        </is>
      </c>
      <c r="B1217" s="3" t="n">
        <v>2028</v>
      </c>
      <c r="C1217" s="3" t="inlineStr">
        <is>
          <t>Base</t>
        </is>
      </c>
      <c r="D1217" s="3" t="inlineStr">
        <is>
          <t>training_gw</t>
        </is>
      </c>
      <c r="E1217" s="3" t="n">
        <v>1.225</v>
      </c>
      <c r="F1217" s="3" t="inlineStr">
        <is>
          <t>GW</t>
        </is>
      </c>
      <c r="G1217" s="3" t="inlineStr">
        <is>
          <t>Derived formula</t>
        </is>
      </c>
      <c r="H1217" s="3" t="inlineStr">
        <is>
          <t>ai_it_load_gw * training_power_share</t>
        </is>
      </c>
      <c r="I1217" s="3" t="inlineStr">
        <is>
          <t>Training GW is shown separately so commercial inference token capacity is not overstated.</t>
        </is>
      </c>
      <c r="J1217" s="3" t="inlineStr">
        <is>
          <t>SRC_GOOGLE_GEMINI_TOKENS; SRC_GOOGLE_IRONWOOD; SRC_GOOGLE_TPU_V6E; SRC_EPOCH_AI_DATA_CENTERS</t>
        </is>
      </c>
      <c r="K1217" s="3" t="inlineStr">
        <is>
          <t>ASSUMP_TPU_EFFICIENCY; ASSUMP_POWER_RAMP; ASSUMP_NUMERIC_ACCELERATOR_MIX; ASSUMP_INFERENCE_SHARE_NOT_FACT_60; ASSUMP_WORKLOAD_CLASS_MIX; ASSUMP_AGENTIC_CONTEXT_PENALTY</t>
        </is>
      </c>
      <c r="L1217" s="3" t="inlineStr">
        <is>
          <t>Recompute after AI allocation or workload-split evidence changes.</t>
        </is>
      </c>
    </row>
    <row r="1218">
      <c r="A1218" s="3" t="inlineStr">
        <is>
          <t>Google</t>
        </is>
      </c>
      <c r="B1218" s="3" t="n">
        <v>2028</v>
      </c>
      <c r="C1218" s="3" t="inlineStr">
        <is>
          <t>Base</t>
        </is>
      </c>
      <c r="D1218" s="3" t="inlineStr">
        <is>
          <t>tokens_per_second_per_mw</t>
        </is>
      </c>
      <c r="E1218" s="3" t="n">
        <v>108402</v>
      </c>
      <c r="F1218" s="3" t="inlineStr">
        <is>
          <t>generated output tokens/sec/MW</t>
        </is>
      </c>
      <c r="G1218" s="3" t="inlineStr">
        <is>
          <t>Derived estimate + benchmark calibration</t>
        </is>
      </c>
      <c r="H1218" s="3" t="inlineStr">
        <is>
          <t>fleet_reference_tps_per_mw * commercial_workload_fit_factor</t>
        </is>
      </c>
      <c r="I121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18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218" s="3" t="inlineStr">
        <is>
          <t>ASSUMP_TPU_EFFICIENCY; ASSUMP_POWER_RAMP; ASSUMP_NUMERIC_ACCELERATOR_MIX; ASSUMP_INFERENCE_SHARE_NOT_FACT_60; ASSUMP_WORKLOAD_CLASS_MIX; ASSUMP_AGENTIC_CONTEXT_PENALTY</t>
        </is>
      </c>
      <c r="L1218" s="3" t="inlineStr">
        <is>
          <t>Comparable production output-token throughput with model, hardware, precision, ISL/OSL and SLO matched.</t>
        </is>
      </c>
    </row>
    <row r="1219">
      <c r="A1219" s="3" t="inlineStr">
        <is>
          <t>Google</t>
        </is>
      </c>
      <c r="B1219" s="3" t="n">
        <v>2028</v>
      </c>
      <c r="C1219" s="3" t="inlineStr">
        <is>
          <t>Base</t>
        </is>
      </c>
      <c r="D1219" s="3" t="inlineStr">
        <is>
          <t>inference_tokens_per_day</t>
        </is>
      </c>
      <c r="E1219" s="3" t="n">
        <v>19958802796800</v>
      </c>
      <c r="F1219" s="3" t="inlineStr">
        <is>
          <t>generated output tokens/day</t>
        </is>
      </c>
      <c r="G1219" s="3" t="inlineStr">
        <is>
          <t>Derived headline metric</t>
        </is>
      </c>
      <c r="H1219" s="3" t="inlineStr">
        <is>
          <t>inference_gw * 1000 * tokens_per_second_per_mw * 86,400</t>
        </is>
      </c>
      <c r="I1219" s="3" t="inlineStr">
        <is>
          <t>Headline capacity uses no utilization, MoE, architecture or software-growth multiplier; it is not observed commercial output volume.</t>
        </is>
      </c>
      <c r="J1219" s="3" t="inlineStr">
        <is>
          <t>SRC_GOOGLE_GEMINI_TOKENS; SRC_GOOGLE_IRONWOOD; SRC_GOOGLE_TPU_V6E; SRC_EPOCH_AI_DATA_CENTERS; SRC_SEMIANALYSIS_INFERENCEX</t>
        </is>
      </c>
      <c r="K1219" s="3" t="inlineStr">
        <is>
          <t>ASSUMP_TPU_EFFICIENCY; ASSUMP_POWER_RAMP; ASSUMP_NUMERIC_ACCELERATOR_MIX; ASSUMP_INFERENCE_SHARE_NOT_FACT_60; ASSUMP_WORKLOAD_CLASS_MIX; ASSUMP_AGENTIC_CONTEXT_PENALTY</t>
        </is>
      </c>
      <c r="L1219" s="3" t="inlineStr">
        <is>
          <t>Provider-disclosed generated output token volume or calibrated capacity telemetry.</t>
        </is>
      </c>
    </row>
    <row r="1220">
      <c r="A1220" s="3" t="inlineStr">
        <is>
          <t>Google</t>
        </is>
      </c>
      <c r="B1220" s="3" t="n">
        <v>2028</v>
      </c>
      <c r="C1220" s="3" t="inlineStr">
        <is>
          <t>Base</t>
        </is>
      </c>
      <c r="D1220" s="3" t="inlineStr">
        <is>
          <t>inference_tokens_per_year</t>
        </is>
      </c>
      <c r="E1220" s="3" t="n">
        <v>7284963020832000</v>
      </c>
      <c r="F1220" s="3" t="inlineStr">
        <is>
          <t>generated output tokens/year</t>
        </is>
      </c>
      <c r="G1220" s="3" t="inlineStr">
        <is>
          <t>Derived headline metric</t>
        </is>
      </c>
      <c r="H1220" s="3" t="inlineStr">
        <is>
          <t>inference_tokens_per_day * 365</t>
        </is>
      </c>
      <c r="I1220" s="3" t="inlineStr">
        <is>
          <t>Annualized version of generated output token capacity; it is not observed annual demand or billable volume.</t>
        </is>
      </c>
      <c r="J1220" s="3" t="inlineStr">
        <is>
          <t>SRC_GOOGLE_GEMINI_TOKENS; SRC_GOOGLE_IRONWOOD; SRC_GOOGLE_TPU_V6E; SRC_EPOCH_AI_DATA_CENTERS; SRC_SEMIANALYSIS_INFERENCEX</t>
        </is>
      </c>
      <c r="K1220" s="3" t="inlineStr">
        <is>
          <t>ASSUMP_TPU_EFFICIENCY; ASSUMP_POWER_RAMP; ASSUMP_NUMERIC_ACCELERATOR_MIX; ASSUMP_INFERENCE_SHARE_NOT_FACT_60; ASSUMP_WORKLOAD_CLASS_MIX; ASSUMP_AGENTIC_CONTEXT_PENALTY</t>
        </is>
      </c>
      <c r="L1220" s="3" t="inlineStr">
        <is>
          <t>Provider-disclosed annual generated-output volume or metered serving telemetry.</t>
        </is>
      </c>
    </row>
    <row r="1221">
      <c r="A1221" s="3" t="inlineStr">
        <is>
          <t>Google</t>
        </is>
      </c>
      <c r="B1221" s="3" t="n">
        <v>2029</v>
      </c>
      <c r="C1221" s="3" t="inlineStr">
        <is>
          <t>Base</t>
        </is>
      </c>
      <c r="D1221" s="3" t="inlineStr">
        <is>
          <t>contracted_power_gw</t>
        </is>
      </c>
      <c r="E1221" s="3" t="n">
        <v>7.125</v>
      </c>
      <c r="F1221" s="3" t="inlineStr">
        <is>
          <t>GW</t>
        </is>
      </c>
      <c r="G1221" s="3" t="inlineStr">
        <is>
          <t>Scenario capacity envelope</t>
        </is>
      </c>
      <c r="H1221" s="3" t="inlineStr">
        <is>
          <t>linear interpolation between 2026 and 2030 company capacity endpoints</t>
        </is>
      </c>
      <c r="I1221" s="3" t="inlineStr">
        <is>
          <t>Scenario envelope for Gemini-serving capacity; official TPU hardware direction is disclosed, company-level contracted GW is not.</t>
        </is>
      </c>
      <c r="J1221" s="3" t="inlineStr">
        <is>
          <t>ASSUMP_POWER_RAMP; SRC_GOOGLE_IRONWOOD; SRC_GOOGLE_TPU_V6E</t>
        </is>
      </c>
      <c r="K1221" s="3" t="inlineStr">
        <is>
          <t>ASSUMP_TPU_EFFICIENCY; ASSUMP_POWER_RAMP; ASSUMP_NUMERIC_ACCELERATOR_MIX; ASSUMP_INFERENCE_SHARE_NOT_FACT_60; ASSUMP_WORKLOAD_CLASS_MIX; ASSUMP_AGENTIC_CONTEXT_PENALTY</t>
        </is>
      </c>
      <c r="L1221" s="3" t="inlineStr">
        <is>
          <t>Company/site-level committed MW/GW, interconnect and contract disclosure.</t>
        </is>
      </c>
    </row>
    <row r="1222">
      <c r="A1222" s="3" t="inlineStr">
        <is>
          <t>Google</t>
        </is>
      </c>
      <c r="B1222" s="3" t="n">
        <v>2029</v>
      </c>
      <c r="C1222" s="3" t="inlineStr">
        <is>
          <t>Base</t>
        </is>
      </c>
      <c r="D1222" s="3" t="inlineStr">
        <is>
          <t>operational_deployment_share</t>
        </is>
      </c>
      <c r="E1222" s="3" t="n">
        <v>0.7929824599999999</v>
      </c>
      <c r="F1222" s="3" t="inlineStr">
        <is>
          <t>share</t>
        </is>
      </c>
      <c r="G1222" s="3" t="inlineStr">
        <is>
          <t>Scenario conversion</t>
        </is>
      </c>
      <c r="H1222" s="3" t="inlineStr">
        <is>
          <t>active_power_gw / contracted_power_gw</t>
        </is>
      </c>
      <c r="I1222" s="3" t="inlineStr">
        <is>
          <t>This is the single explicit conversion from contracted/attributed capacity to operationally usable capacity.</t>
        </is>
      </c>
      <c r="J1222" s="3" t="inlineStr">
        <is>
          <t>ASSUMP_POWER_RAMP; SRC_GOOGLE_IRONWOOD; SRC_GOOGLE_TPU_V6E</t>
        </is>
      </c>
      <c r="K1222" s="3" t="inlineStr">
        <is>
          <t>ASSUMP_TPU_EFFICIENCY; ASSUMP_POWER_RAMP; ASSUMP_NUMERIC_ACCELERATOR_MIX; ASSUMP_INFERENCE_SHARE_NOT_FACT_60; ASSUMP_WORKLOAD_CLASS_MIX; ASSUMP_AGENTIC_CONTEXT_PENALTY</t>
        </is>
      </c>
      <c r="L1222" s="3" t="inlineStr">
        <is>
          <t>Energized operational capacity divided by contracted/attributed capacity.</t>
        </is>
      </c>
    </row>
    <row r="1223">
      <c r="A1223" s="3" t="inlineStr">
        <is>
          <t>Google</t>
        </is>
      </c>
      <c r="B1223" s="3" t="n">
        <v>2029</v>
      </c>
      <c r="C1223" s="3" t="inlineStr">
        <is>
          <t>Base</t>
        </is>
      </c>
      <c r="D1223" s="3" t="inlineStr">
        <is>
          <t>active_power_gw</t>
        </is>
      </c>
      <c r="E1223" s="3" t="n">
        <v>5.65</v>
      </c>
      <c r="F1223" s="3" t="inlineStr">
        <is>
          <t>GW</t>
        </is>
      </c>
      <c r="G1223" s="3" t="inlineStr">
        <is>
          <t>Derived scenario</t>
        </is>
      </c>
      <c r="H1223" s="3" t="inlineStr">
        <is>
          <t>contracted_power_gw * operational_deployment_share</t>
        </is>
      </c>
      <c r="I1223" s="3" t="inlineStr">
        <is>
          <t>TPU generation availability supports ramp direction, while active GW remains a staged deployment estimate.</t>
        </is>
      </c>
      <c r="J1223" s="3" t="inlineStr">
        <is>
          <t>ASSUMP_POWER_RAMP; SRC_GOOGLE_IRONWOOD; SRC_GOOGLE_TPU_V6E</t>
        </is>
      </c>
      <c r="K1223" s="3" t="inlineStr">
        <is>
          <t>ASSUMP_TPU_EFFICIENCY; ASSUMP_POWER_RAMP; ASSUMP_NUMERIC_ACCELERATOR_MIX; ASSUMP_INFERENCE_SHARE_NOT_FACT_60; ASSUMP_WORKLOAD_CLASS_MIX; ASSUMP_AGENTIC_CONTEXT_PENALTY</t>
        </is>
      </c>
      <c r="L1223" s="3" t="inlineStr">
        <is>
          <t>Energization dates, accelerator deliveries and operational powered-rack telemetry.</t>
        </is>
      </c>
    </row>
    <row r="1224">
      <c r="A1224" s="3" t="inlineStr">
        <is>
          <t>Google</t>
        </is>
      </c>
      <c r="B1224" s="3" t="n">
        <v>2029</v>
      </c>
      <c r="C1224" s="3" t="inlineStr">
        <is>
          <t>Base</t>
        </is>
      </c>
      <c r="D1224" s="3" t="inlineStr">
        <is>
          <t>pue</t>
        </is>
      </c>
      <c r="E1224" s="3" t="n">
        <v>1.18</v>
      </c>
      <c r="F1224" s="3" t="inlineStr">
        <is>
          <t>ratio</t>
        </is>
      </c>
      <c r="G1224" s="3" t="inlineStr">
        <is>
          <t>Scenario parameter</t>
        </is>
      </c>
      <c r="H1224" s="3" t="inlineStr">
        <is>
          <t>it_load_gw = active_power_gw / pue</t>
        </is>
      </c>
      <c r="I1224" s="3" t="inlineStr">
        <is>
          <t>No provider-wide site-level PUE is used as a disclosed fact; PUE represents facility-to-IT conversion within the scenario.</t>
        </is>
      </c>
      <c r="J1224" s="3" t="inlineStr">
        <is>
          <t>ASSUMP_POWER_RAMP</t>
        </is>
      </c>
      <c r="K1224" s="3" t="inlineStr">
        <is>
          <t>ASSUMP_TPU_EFFICIENCY; ASSUMP_POWER_RAMP; ASSUMP_NUMERIC_ACCELERATOR_MIX; ASSUMP_INFERENCE_SHARE_NOT_FACT_60; ASSUMP_WORKLOAD_CLASS_MIX; ASSUMP_AGENTIC_CONTEXT_PENALTY</t>
        </is>
      </c>
      <c r="L1224" s="3" t="inlineStr">
        <is>
          <t>Site-level measured PUE matched to attributed AI capacity.</t>
        </is>
      </c>
    </row>
    <row r="1225">
      <c r="A1225" s="3" t="inlineStr">
        <is>
          <t>Google</t>
        </is>
      </c>
      <c r="B1225" s="3" t="n">
        <v>2029</v>
      </c>
      <c r="C1225" s="3" t="inlineStr">
        <is>
          <t>Base</t>
        </is>
      </c>
      <c r="D1225" s="3" t="inlineStr">
        <is>
          <t>it_load_gw</t>
        </is>
      </c>
      <c r="E1225" s="3" t="n">
        <v>4.788</v>
      </c>
      <c r="F1225" s="3" t="inlineStr">
        <is>
          <t>GW</t>
        </is>
      </c>
      <c r="G1225" s="3" t="inlineStr">
        <is>
          <t>Derived formula</t>
        </is>
      </c>
      <c r="H1225" s="3" t="inlineStr">
        <is>
          <t>active_power_gw / pue</t>
        </is>
      </c>
      <c r="I1225" s="3" t="inlineStr">
        <is>
          <t>Facility power is converted to IT-deliverable power before attributing AI workloads.</t>
        </is>
      </c>
      <c r="J1225" s="3" t="inlineStr">
        <is>
          <t>ASSUMP_POWER_RAMP; SRC_GOOGLE_IRONWOOD; SRC_GOOGLE_TPU_V6E</t>
        </is>
      </c>
      <c r="K1225" s="3" t="inlineStr">
        <is>
          <t>ASSUMP_TPU_EFFICIENCY; ASSUMP_POWER_RAMP; ASSUMP_NUMERIC_ACCELERATOR_MIX; ASSUMP_INFERENCE_SHARE_NOT_FACT_60; ASSUMP_WORKLOAD_CLASS_MIX; ASSUMP_AGENTIC_CONTEXT_PENALTY</t>
        </is>
      </c>
      <c r="L1225" s="3" t="inlineStr">
        <is>
          <t>Recompute once active power and PUE become site-observable.</t>
        </is>
      </c>
    </row>
    <row r="1226">
      <c r="A1226" s="3" t="inlineStr">
        <is>
          <t>Google</t>
        </is>
      </c>
      <c r="B1226" s="3" t="n">
        <v>2029</v>
      </c>
      <c r="C1226" s="3" t="inlineStr">
        <is>
          <t>Base</t>
        </is>
      </c>
      <c r="D1226" s="3" t="inlineStr">
        <is>
          <t>ai_workload_share</t>
        </is>
      </c>
      <c r="E1226" s="3" t="n">
        <v>0.88</v>
      </c>
      <c r="F1226" s="3" t="inlineStr">
        <is>
          <t>share</t>
        </is>
      </c>
      <c r="G1226" s="3" t="inlineStr">
        <is>
          <t>Scenario allocation</t>
        </is>
      </c>
      <c r="H1226" s="3" t="inlineStr">
        <is>
          <t>ai_it_load_gw = it_load_gw * ai_workload_share</t>
        </is>
      </c>
      <c r="I1226" s="3" t="inlineStr">
        <is>
          <t>Gemini/Vertex TPU serving is AI-dedicated in the modeled capacity envelope; 88% excludes platform/reserve load.</t>
        </is>
      </c>
      <c r="J1226" s="3" t="inlineStr">
        <is>
          <t>SRC_GOOGLE_GEMINI_TOKENS; SRC_GOOGLE_IRONWOOD; SRC_GOOGLE_TPU_V6E; SRC_EPOCH_AI_DATA_CENTERS</t>
        </is>
      </c>
      <c r="K1226" s="3" t="inlineStr">
        <is>
          <t>ASSUMP_TPU_EFFICIENCY; ASSUMP_POWER_RAMP; ASSUMP_NUMERIC_ACCELERATOR_MIX; ASSUMP_INFERENCE_SHARE_NOT_FACT_60; ASSUMP_WORKLOAD_CLASS_MIX; ASSUMP_AGENTIC_CONTEXT_PENALTY</t>
        </is>
      </c>
      <c r="L1226" s="3" t="inlineStr">
        <is>
          <t>Model-owner AI workload allocation or cluster scheduling telemetry.</t>
        </is>
      </c>
    </row>
    <row r="1227">
      <c r="A1227" s="3" t="inlineStr">
        <is>
          <t>Google</t>
        </is>
      </c>
      <c r="B1227" s="3" t="n">
        <v>2029</v>
      </c>
      <c r="C1227" s="3" t="inlineStr">
        <is>
          <t>Base</t>
        </is>
      </c>
      <c r="D1227" s="3" t="inlineStr">
        <is>
          <t>ai_it_load_gw</t>
        </is>
      </c>
      <c r="E1227" s="3" t="n">
        <v>4.214</v>
      </c>
      <c r="F1227" s="3" t="inlineStr">
        <is>
          <t>GW</t>
        </is>
      </c>
      <c r="G1227" s="3" t="inlineStr">
        <is>
          <t>Derived formula</t>
        </is>
      </c>
      <c r="H1227" s="3" t="inlineStr">
        <is>
          <t>it_load_gw * ai_workload_share</t>
        </is>
      </c>
      <c r="I1227" s="3" t="inlineStr">
        <is>
          <t>Only the AI-attributed portion of IT load enters training/inference allocation.</t>
        </is>
      </c>
      <c r="J1227" s="3" t="inlineStr">
        <is>
          <t>SRC_GOOGLE_GEMINI_TOKENS; SRC_GOOGLE_IRONWOOD; SRC_GOOGLE_TPU_V6E; SRC_EPOCH_AI_DATA_CENTERS</t>
        </is>
      </c>
      <c r="K1227" s="3" t="inlineStr">
        <is>
          <t>ASSUMP_TPU_EFFICIENCY; ASSUMP_POWER_RAMP; ASSUMP_NUMERIC_ACCELERATOR_MIX; ASSUMP_INFERENCE_SHARE_NOT_FACT_60; ASSUMP_WORKLOAD_CLASS_MIX; ASSUMP_AGENTIC_CONTEXT_PENALTY</t>
        </is>
      </c>
      <c r="L1227" s="3" t="inlineStr">
        <is>
          <t>Recompute after ai_workload_share is replaced by telemetry.</t>
        </is>
      </c>
    </row>
    <row r="1228">
      <c r="A1228" s="3" t="inlineStr">
        <is>
          <t>Google</t>
        </is>
      </c>
      <c r="B1228" s="3" t="n">
        <v>2029</v>
      </c>
      <c r="C1228" s="3" t="inlineStr">
        <is>
          <t>Base</t>
        </is>
      </c>
      <c r="D1228" s="3" t="inlineStr">
        <is>
          <t>gpu_share</t>
        </is>
      </c>
      <c r="E1228" s="3" t="n">
        <v>0.103041</v>
      </c>
      <c r="F1228" s="3" t="inlineStr">
        <is>
          <t>share of inference-serving accelerator load</t>
        </is>
      </c>
      <c r="G1228" s="3" t="inlineStr">
        <is>
          <t>Numeric scenario</t>
        </is>
      </c>
      <c r="H1228" s="3" t="inlineStr">
        <is>
          <t>gpu_share interpolated from company 2026/2030 accelerator-mix endpoints</t>
        </is>
      </c>
      <c r="I1228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28" s="3" t="inlineStr">
        <is>
          <t>SRC_GOOGLE_GEMINI_TOKENS; SRC_GOOGLE_IRONWOOD; SRC_GOOGLE_TPU_V6E; SRC_EPOCH_AI_DATA_CENTERS; ASSUMP_NUMERIC_ACCELERATOR_MIX</t>
        </is>
      </c>
      <c r="K1228" s="3" t="inlineStr">
        <is>
          <t>ASSUMP_TPU_EFFICIENCY; ASSUMP_POWER_RAMP; ASSUMP_NUMERIC_ACCELERATOR_MIX; ASSUMP_INFERENCE_SHARE_NOT_FACT_60; ASSUMP_WORKLOAD_CLASS_MIX; ASSUMP_AGENTIC_CONTEXT_PENALTY</t>
        </is>
      </c>
      <c r="L1228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29">
      <c r="A1229" s="3" t="inlineStr">
        <is>
          <t>Google</t>
        </is>
      </c>
      <c r="B1229" s="3" t="n">
        <v>2029</v>
      </c>
      <c r="C1229" s="3" t="inlineStr">
        <is>
          <t>Base</t>
        </is>
      </c>
      <c r="D1229" s="3" t="inlineStr">
        <is>
          <t>h200_share</t>
        </is>
      </c>
      <c r="E1229" s="3" t="n">
        <v>0.006606</v>
      </c>
      <c r="F1229" s="3" t="inlineStr">
        <is>
          <t>share of inference-serving accelerator load</t>
        </is>
      </c>
      <c r="G1229" s="3" t="inlineStr">
        <is>
          <t>Editable numeric scenario</t>
        </is>
      </c>
      <c r="H1229" s="3" t="inlineStr">
        <is>
          <t>h200_share = gpu_share * default_gpu_generation_mix_h200</t>
        </is>
      </c>
      <c r="I1229" s="3" t="inlineStr">
        <is>
          <t>Default GPU-generation migration assumption; executive workbook allows later manual replacement by company/year/scenario.</t>
        </is>
      </c>
      <c r="J1229" s="3" t="inlineStr">
        <is>
          <t>SRC_SEMIANALYSIS_INFERENCEX; ASSUMP_NUMERIC_ACCELERATOR_MIX</t>
        </is>
      </c>
      <c r="K1229" s="3" t="inlineStr">
        <is>
          <t>ASSUMP_TPU_EFFICIENCY; ASSUMP_POWER_RAMP; ASSUMP_NUMERIC_ACCELERATOR_MIX; ASSUMP_INFERENCE_SHARE_NOT_FACT_60; ASSUMP_WORKLOAD_CLASS_MIX; ASSUMP_AGENTIC_CONTEXT_PENALTY</t>
        </is>
      </c>
      <c r="L1229" s="3" t="inlineStr">
        <is>
          <t>Company fleet inventory, accelerator-hours or procurement/deployment records by GPU generation.</t>
        </is>
      </c>
    </row>
    <row r="1230">
      <c r="A1230" s="3" t="inlineStr">
        <is>
          <t>Google</t>
        </is>
      </c>
      <c r="B1230" s="3" t="n">
        <v>2029</v>
      </c>
      <c r="C1230" s="3" t="inlineStr">
        <is>
          <t>Base</t>
        </is>
      </c>
      <c r="D1230" s="3" t="inlineStr">
        <is>
          <t>b200_share</t>
        </is>
      </c>
      <c r="E1230" s="3" t="n">
        <v>0.083468</v>
      </c>
      <c r="F1230" s="3" t="inlineStr">
        <is>
          <t>share of inference-serving accelerator load</t>
        </is>
      </c>
      <c r="G1230" s="3" t="inlineStr">
        <is>
          <t>Editable numeric scenario</t>
        </is>
      </c>
      <c r="H1230" s="3" t="inlineStr">
        <is>
          <t>b200_share = gpu_share * default_gpu_generation_mix_b200</t>
        </is>
      </c>
      <c r="I1230" s="3" t="inlineStr">
        <is>
          <t>Default GPU-generation migration assumption; executive workbook allows later manual replacement by company/year/scenario.</t>
        </is>
      </c>
      <c r="J1230" s="3" t="inlineStr">
        <is>
          <t>SRC_SEMIANALYSIS_INFERENCEX; ASSUMP_NUMERIC_ACCELERATOR_MIX</t>
        </is>
      </c>
      <c r="K1230" s="3" t="inlineStr">
        <is>
          <t>ASSUMP_TPU_EFFICIENCY; ASSUMP_POWER_RAMP; ASSUMP_NUMERIC_ACCELERATOR_MIX; ASSUMP_INFERENCE_SHARE_NOT_FACT_60; ASSUMP_WORKLOAD_CLASS_MIX; ASSUMP_AGENTIC_CONTEXT_PENALTY</t>
        </is>
      </c>
      <c r="L1230" s="3" t="inlineStr">
        <is>
          <t>Company fleet inventory, accelerator-hours or procurement/deployment records by GPU generation.</t>
        </is>
      </c>
    </row>
    <row r="1231">
      <c r="A1231" s="3" t="inlineStr">
        <is>
          <t>Google</t>
        </is>
      </c>
      <c r="B1231" s="3" t="n">
        <v>2029</v>
      </c>
      <c r="C1231" s="3" t="inlineStr">
        <is>
          <t>Base</t>
        </is>
      </c>
      <c r="D1231" s="3" t="inlineStr">
        <is>
          <t>gb200_share</t>
        </is>
      </c>
      <c r="E1231" s="3" t="n">
        <v>0.012967</v>
      </c>
      <c r="F1231" s="3" t="inlineStr">
        <is>
          <t>share of inference-serving accelerator load</t>
        </is>
      </c>
      <c r="G1231" s="3" t="inlineStr">
        <is>
          <t>Editable numeric scenario</t>
        </is>
      </c>
      <c r="H1231" s="3" t="inlineStr">
        <is>
          <t>gb200_share = gpu_share * default_gpu_generation_mix_gb200</t>
        </is>
      </c>
      <c r="I1231" s="3" t="inlineStr">
        <is>
          <t>Default GPU-generation migration assumption; executive workbook allows later manual replacement by company/year/scenario.</t>
        </is>
      </c>
      <c r="J1231" s="3" t="inlineStr">
        <is>
          <t>SRC_SEMIANALYSIS_INFERENCEX; ASSUMP_NUMERIC_ACCELERATOR_MIX</t>
        </is>
      </c>
      <c r="K1231" s="3" t="inlineStr">
        <is>
          <t>ASSUMP_TPU_EFFICIENCY; ASSUMP_POWER_RAMP; ASSUMP_NUMERIC_ACCELERATOR_MIX; ASSUMP_INFERENCE_SHARE_NOT_FACT_60; ASSUMP_WORKLOAD_CLASS_MIX; ASSUMP_AGENTIC_CONTEXT_PENALTY</t>
        </is>
      </c>
      <c r="L1231" s="3" t="inlineStr">
        <is>
          <t>Company fleet inventory, accelerator-hours or procurement/deployment records by GPU generation.</t>
        </is>
      </c>
    </row>
    <row r="1232">
      <c r="A1232" s="3" t="inlineStr">
        <is>
          <t>Google</t>
        </is>
      </c>
      <c r="B1232" s="3" t="n">
        <v>2029</v>
      </c>
      <c r="C1232" s="3" t="inlineStr">
        <is>
          <t>Base</t>
        </is>
      </c>
      <c r="D1232" s="3" t="inlineStr">
        <is>
          <t>purpose_built_accelerator_share</t>
        </is>
      </c>
      <c r="E1232" s="3" t="n">
        <v>0.896959</v>
      </c>
      <c r="F1232" s="3" t="inlineStr">
        <is>
          <t>share of inference-serving accelerator load</t>
        </is>
      </c>
      <c r="G1232" s="3" t="inlineStr">
        <is>
          <t>Numeric scenario</t>
        </is>
      </c>
      <c r="H1232" s="3" t="inlineStr">
        <is>
          <t>1 - gpu_share</t>
        </is>
      </c>
      <c r="I1232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32" s="3" t="inlineStr">
        <is>
          <t>SRC_GOOGLE_GEMINI_TOKENS; SRC_GOOGLE_IRONWOOD; SRC_GOOGLE_TPU_V6E; SRC_EPOCH_AI_DATA_CENTERS; ASSUMP_NUMERIC_ACCELERATOR_MIX</t>
        </is>
      </c>
      <c r="K1232" s="3" t="inlineStr">
        <is>
          <t>ASSUMP_TPU_EFFICIENCY; ASSUMP_POWER_RAMP; ASSUMP_NUMERIC_ACCELERATOR_MIX; ASSUMP_INFERENCE_SHARE_NOT_FACT_60; ASSUMP_WORKLOAD_CLASS_MIX; ASSUMP_AGENTIC_CONTEXT_PENALTY</t>
        </is>
      </c>
      <c r="L1232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33">
      <c r="A1233" s="3" t="inlineStr">
        <is>
          <t>Google</t>
        </is>
      </c>
      <c r="B1233" s="3" t="n">
        <v>2029</v>
      </c>
      <c r="C1233" s="3" t="inlineStr">
        <is>
          <t>Base</t>
        </is>
      </c>
      <c r="D1233" s="3" t="inlineStr">
        <is>
          <t>fleet_reference_tps_per_mw</t>
        </is>
      </c>
      <c r="E1233" s="3" t="n">
        <v>175238</v>
      </c>
      <c r="F1233" s="3" t="inlineStr">
        <is>
          <t>generated output tokens/sec/MW</t>
        </is>
      </c>
      <c r="G1233" s="3" t="inlineStr">
        <is>
          <t>Fleet-weighted public benchmark reference</t>
        </is>
      </c>
      <c r="H1233" s="3" t="inlineStr">
        <is>
          <t>h200_share*h200_workload_avg + b200_share*b200_workload_avg + gb200_share*gb200_workload_avg + purpose_built_share*purpose_workload_avg</t>
        </is>
      </c>
      <c r="I123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33" s="3" t="inlineStr">
        <is>
          <t>SRC_SEMIANALYSIS_INFERENCEX; ASSUMP_NUMERIC_ACCELERATOR_MIX; ASSUMP_WORKLOAD_CLASS_MIX; ASSUMP_AGENTIC_CONTEXT_PENALTY</t>
        </is>
      </c>
      <c r="K1233" s="3" t="inlineStr">
        <is>
          <t>ASSUMP_TPU_EFFICIENCY; ASSUMP_POWER_RAMP; ASSUMP_NUMERIC_ACCELERATOR_MIX; ASSUMP_INFERENCE_SHARE_NOT_FACT_60; ASSUMP_WORKLOAD_CLASS_MIX; ASSUMP_AGENTIC_CONTEXT_PENALTY</t>
        </is>
      </c>
      <c r="L1233" s="3" t="inlineStr">
        <is>
          <t>Comparable production output-token throughput or a more closely matched benchmark.</t>
        </is>
      </c>
    </row>
    <row r="1234">
      <c r="A1234" s="3" t="inlineStr">
        <is>
          <t>Google</t>
        </is>
      </c>
      <c r="B1234" s="3" t="n">
        <v>2029</v>
      </c>
      <c r="C1234" s="3" t="inlineStr">
        <is>
          <t>Base</t>
        </is>
      </c>
      <c r="D1234" s="3" t="inlineStr">
        <is>
          <t>commercial_workload_fit_factor</t>
        </is>
      </c>
      <c r="E1234" s="3" t="n">
        <v>0.6</v>
      </c>
      <c r="F1234" s="3" t="inlineStr">
        <is>
          <t>share of public reference throughput</t>
        </is>
      </c>
      <c r="G1234" s="3" t="inlineStr">
        <is>
          <t>Scenario assumption</t>
        </is>
      </c>
      <c r="H1234" s="3" t="inlineStr">
        <is>
          <t>reference_serving_tps_per_mw = fleet_reference_tps_per_mw * commercial_workload_fit_factor</t>
        </is>
      </c>
      <c r="I123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34" s="3" t="inlineStr">
        <is>
          <t>SRC_SEMIANALYSIS_INFERENCEX; ASSUMP_NUMERIC_ACCELERATOR_MIX; ASSUMP_WORKLOAD_CLASS_MIX; ASSUMP_AGENTIC_CONTEXT_PENALTY</t>
        </is>
      </c>
      <c r="K1234" s="3" t="inlineStr">
        <is>
          <t>ASSUMP_TPU_EFFICIENCY; ASSUMP_POWER_RAMP; ASSUMP_NUMERIC_ACCELERATOR_MIX; ASSUMP_INFERENCE_SHARE_NOT_FACT_60; ASSUMP_WORKLOAD_CLASS_MIX; ASSUMP_AGENTIC_CONTEXT_PENALTY</t>
        </is>
      </c>
      <c r="L1234" s="3" t="inlineStr">
        <is>
          <t>Matched commercial serving benchmark by product surface, context shape and latency SLO.</t>
        </is>
      </c>
    </row>
    <row r="1235">
      <c r="A1235" s="3" t="inlineStr">
        <is>
          <t>Google</t>
        </is>
      </c>
      <c r="B1235" s="3" t="n">
        <v>2029</v>
      </c>
      <c r="C1235" s="3" t="inlineStr">
        <is>
          <t>Base</t>
        </is>
      </c>
      <c r="D1235" s="3" t="inlineStr">
        <is>
          <t>reference_serving_tps_per_mw</t>
        </is>
      </c>
      <c r="E1235" s="3" t="n">
        <v>105143</v>
      </c>
      <c r="F1235" s="3" t="inlineStr">
        <is>
          <t>generated output tokens/sec/MW</t>
        </is>
      </c>
      <c r="G1235" s="3" t="inlineStr">
        <is>
          <t>Workload-adjusted benchmark proxy</t>
        </is>
      </c>
      <c r="H1235" s="3" t="inlineStr">
        <is>
          <t>fleet_reference_tps_per_mw * commercial_workload_fit_factor</t>
        </is>
      </c>
      <c r="I1235" s="3" t="inlineStr">
        <is>
          <t>This is the coefficient used for headline token generation; each GPU's short chat, long chat and agentic TPS/MW are weighted before fleet mix and commercial fit are applied.</t>
        </is>
      </c>
      <c r="J1235" s="3" t="inlineStr">
        <is>
          <t>SRC_SEMIANALYSIS_INFERENCEX; ASSUMP_NUMERIC_ACCELERATOR_MIX; ASSUMP_WORKLOAD_CLASS_MIX; ASSUMP_AGENTIC_CONTEXT_PENALTY</t>
        </is>
      </c>
      <c r="K1235" s="3" t="inlineStr">
        <is>
          <t>ASSUMP_TPU_EFFICIENCY; ASSUMP_POWER_RAMP; ASSUMP_NUMERIC_ACCELERATOR_MIX; ASSUMP_INFERENCE_SHARE_NOT_FACT_60; ASSUMP_WORKLOAD_CLASS_MIX; ASSUMP_AGENTIC_CONTEXT_PENALTY</t>
        </is>
      </c>
      <c r="L1235" s="3" t="inlineStr">
        <is>
          <t>Provider production output-token throughput with comparable workload/SLO.</t>
        </is>
      </c>
    </row>
    <row r="1236">
      <c r="A1236" s="3" t="inlineStr">
        <is>
          <t>Google</t>
        </is>
      </c>
      <c r="B1236" s="3" t="n">
        <v>2029</v>
      </c>
      <c r="C1236" s="3" t="inlineStr">
        <is>
          <t>Base</t>
        </is>
      </c>
      <c r="D1236" s="3" t="inlineStr">
        <is>
          <t>purpose_built_tps_per_mw</t>
        </is>
      </c>
      <c r="E1236" s="3" t="n">
        <v>81184</v>
      </c>
      <c r="F1236" s="3" t="inlineStr">
        <is>
          <t>generated output tokens/sec/MW</t>
        </is>
      </c>
      <c r="G1236" s="3" t="inlineStr">
        <is>
          <t>Conservative no-uplift proxy</t>
        </is>
      </c>
      <c r="H1236" s="3" t="inlineStr">
        <is>
          <t>purpose_built_tps_per_mw = purpose_built_reference_tps_per_mw * commercial_workload_fit_factor until comparable output-token benchmark is adopted</t>
        </is>
      </c>
      <c r="I1236" s="3" t="inlineStr">
        <is>
          <t>No comparable public output-token/MW row adopted; B200 public reference placeholder is used and remains editable.</t>
        </is>
      </c>
      <c r="J1236" s="3" t="inlineStr">
        <is>
          <t>SRC_GOOGLE_GEMINI_TOKENS; SRC_GOOGLE_IRONWOOD; SRC_GOOGLE_TPU_V6E; SRC_EPOCH_AI_DATA_CENTERS; ASSUMP_NUMERIC_ACCELERATOR_MIX</t>
        </is>
      </c>
      <c r="K1236" s="3" t="inlineStr">
        <is>
          <t>ASSUMP_TPU_EFFICIENCY; ASSUMP_POWER_RAMP; ASSUMP_NUMERIC_ACCELERATOR_MIX; ASSUMP_INFERENCE_SHARE_NOT_FACT_60; ASSUMP_WORKLOAD_CLASS_MIX; ASSUMP_AGENTIC_CONTEXT_PENALTY</t>
        </is>
      </c>
      <c r="L1236" s="3" t="inlineStr">
        <is>
          <t>Matched-workload generated-output benchmark for the provider purpose-built accelerator.</t>
        </is>
      </c>
    </row>
    <row r="1237">
      <c r="A1237" s="3" t="inlineStr">
        <is>
          <t>Google</t>
        </is>
      </c>
      <c r="B1237" s="3" t="n">
        <v>2029</v>
      </c>
      <c r="C1237" s="3" t="inlineStr">
        <is>
          <t>Base</t>
        </is>
      </c>
      <c r="D1237" s="3" t="inlineStr">
        <is>
          <t>inference_power_share</t>
        </is>
      </c>
      <c r="E1237" s="3" t="n">
        <v>0.677</v>
      </c>
      <c r="F1237" s="3" t="inlineStr">
        <is>
          <t>share of AI IT load</t>
        </is>
      </c>
      <c r="G1237" s="3" t="inlineStr">
        <is>
          <t>Scenario allocation</t>
        </is>
      </c>
      <c r="H1237" s="3" t="inlineStr">
        <is>
          <t>inference_gw = ai_it_load_gw * inference_power_share</t>
        </is>
      </c>
      <c r="I1237" s="3" t="inlineStr">
        <is>
          <t>Ironwood is positioned for inference and Gemini is commercialized across products; inference share increases as a scenario.</t>
        </is>
      </c>
      <c r="J1237" s="3" t="inlineStr">
        <is>
          <t>SRC_GOOGLE_GEMINI_TOKENS; SRC_GOOGLE_IRONWOOD; SRC_GOOGLE_TPU_V6E; SRC_EPOCH_AI_DATA_CENTERS; ASSUMP_INFERENCE_SHARE_NOT_FACT_60</t>
        </is>
      </c>
      <c r="K1237" s="3" t="inlineStr">
        <is>
          <t>ASSUMP_TPU_EFFICIENCY; ASSUMP_POWER_RAMP; ASSUMP_NUMERIC_ACCELERATOR_MIX; ASSUMP_INFERENCE_SHARE_NOT_FACT_60; ASSUMP_WORKLOAD_CLASS_MIX; ASSUMP_AGENTIC_CONTEXT_PENALTY</t>
        </is>
      </c>
      <c r="L1237" s="3" t="inlineStr">
        <is>
          <t>Provider-specific inference/training workload power telemetry.</t>
        </is>
      </c>
    </row>
    <row r="1238">
      <c r="A1238" s="3" t="inlineStr">
        <is>
          <t>Google</t>
        </is>
      </c>
      <c r="B1238" s="3" t="n">
        <v>2029</v>
      </c>
      <c r="C1238" s="3" t="inlineStr">
        <is>
          <t>Base</t>
        </is>
      </c>
      <c r="D1238" s="3" t="inlineStr">
        <is>
          <t>inference_gw</t>
        </is>
      </c>
      <c r="E1238" s="3" t="n">
        <v>2.855</v>
      </c>
      <c r="F1238" s="3" t="inlineStr">
        <is>
          <t>GW</t>
        </is>
      </c>
      <c r="G1238" s="3" t="inlineStr">
        <is>
          <t>Derived formula</t>
        </is>
      </c>
      <c r="H1238" s="3" t="inlineStr">
        <is>
          <t>ai_it_load_gw * inference_power_share</t>
        </is>
      </c>
      <c r="I1238" s="3" t="inlineStr">
        <is>
          <t>This is the operational power eligible to become commercial generated output tokens through the selected TPS/MW proxy.</t>
        </is>
      </c>
      <c r="J1238" s="3" t="inlineStr">
        <is>
          <t>SRC_GOOGLE_GEMINI_TOKENS; SRC_GOOGLE_IRONWOOD; SRC_GOOGLE_TPU_V6E; SRC_EPOCH_AI_DATA_CENTERS</t>
        </is>
      </c>
      <c r="K1238" s="3" t="inlineStr">
        <is>
          <t>ASSUMP_TPU_EFFICIENCY; ASSUMP_POWER_RAMP; ASSUMP_NUMERIC_ACCELERATOR_MIX; ASSUMP_INFERENCE_SHARE_NOT_FACT_60; ASSUMP_WORKLOAD_CLASS_MIX; ASSUMP_AGENTIC_CONTEXT_PENALTY</t>
        </is>
      </c>
      <c r="L1238" s="3" t="inlineStr">
        <is>
          <t>Recompute after AI allocation or inference-share evidence changes.</t>
        </is>
      </c>
    </row>
    <row r="1239">
      <c r="A1239" s="3" t="inlineStr">
        <is>
          <t>Google</t>
        </is>
      </c>
      <c r="B1239" s="3" t="n">
        <v>2029</v>
      </c>
      <c r="C1239" s="3" t="inlineStr">
        <is>
          <t>Base</t>
        </is>
      </c>
      <c r="D1239" s="3" t="inlineStr">
        <is>
          <t>training_power_share</t>
        </is>
      </c>
      <c r="E1239" s="3" t="n">
        <v>0.323</v>
      </c>
      <c r="F1239" s="3" t="inlineStr">
        <is>
          <t>share of AI IT load</t>
        </is>
      </c>
      <c r="G1239" s="3" t="inlineStr">
        <is>
          <t>Derived allocation</t>
        </is>
      </c>
      <c r="H1239" s="3" t="inlineStr">
        <is>
          <t>1 - inference_power_share</t>
        </is>
      </c>
      <c r="I1239" s="3" t="inlineStr">
        <is>
          <t>Training receives the complementary modeled AI IT allocation; it is not a disclosed company workload split.</t>
        </is>
      </c>
      <c r="J1239" s="3" t="inlineStr">
        <is>
          <t>SRC_GOOGLE_GEMINI_TOKENS; SRC_GOOGLE_IRONWOOD; SRC_GOOGLE_TPU_V6E; SRC_EPOCH_AI_DATA_CENTERS; ASSUMP_INFERENCE_SHARE_NOT_FACT_60</t>
        </is>
      </c>
      <c r="K1239" s="3" t="inlineStr">
        <is>
          <t>ASSUMP_TPU_EFFICIENCY; ASSUMP_POWER_RAMP; ASSUMP_NUMERIC_ACCELERATOR_MIX; ASSUMP_INFERENCE_SHARE_NOT_FACT_60; ASSUMP_WORKLOAD_CLASS_MIX; ASSUMP_AGENTIC_CONTEXT_PENALTY</t>
        </is>
      </c>
      <c r="L1239" s="3" t="inlineStr">
        <is>
          <t>Provider-specific inference/training workload power telemetry.</t>
        </is>
      </c>
    </row>
    <row r="1240">
      <c r="A1240" s="3" t="inlineStr">
        <is>
          <t>Google</t>
        </is>
      </c>
      <c r="B1240" s="3" t="n">
        <v>2029</v>
      </c>
      <c r="C1240" s="3" t="inlineStr">
        <is>
          <t>Base</t>
        </is>
      </c>
      <c r="D1240" s="3" t="inlineStr">
        <is>
          <t>training_gw</t>
        </is>
      </c>
      <c r="E1240" s="3" t="n">
        <v>1.359</v>
      </c>
      <c r="F1240" s="3" t="inlineStr">
        <is>
          <t>GW</t>
        </is>
      </c>
      <c r="G1240" s="3" t="inlineStr">
        <is>
          <t>Derived formula</t>
        </is>
      </c>
      <c r="H1240" s="3" t="inlineStr">
        <is>
          <t>ai_it_load_gw * training_power_share</t>
        </is>
      </c>
      <c r="I1240" s="3" t="inlineStr">
        <is>
          <t>Training GW is shown separately so commercial inference token capacity is not overstated.</t>
        </is>
      </c>
      <c r="J1240" s="3" t="inlineStr">
        <is>
          <t>SRC_GOOGLE_GEMINI_TOKENS; SRC_GOOGLE_IRONWOOD; SRC_GOOGLE_TPU_V6E; SRC_EPOCH_AI_DATA_CENTERS</t>
        </is>
      </c>
      <c r="K1240" s="3" t="inlineStr">
        <is>
          <t>ASSUMP_TPU_EFFICIENCY; ASSUMP_POWER_RAMP; ASSUMP_NUMERIC_ACCELERATOR_MIX; ASSUMP_INFERENCE_SHARE_NOT_FACT_60; ASSUMP_WORKLOAD_CLASS_MIX; ASSUMP_AGENTIC_CONTEXT_PENALTY</t>
        </is>
      </c>
      <c r="L1240" s="3" t="inlineStr">
        <is>
          <t>Recompute after AI allocation or workload-split evidence changes.</t>
        </is>
      </c>
    </row>
    <row r="1241">
      <c r="A1241" s="3" t="inlineStr">
        <is>
          <t>Google</t>
        </is>
      </c>
      <c r="B1241" s="3" t="n">
        <v>2029</v>
      </c>
      <c r="C1241" s="3" t="inlineStr">
        <is>
          <t>Base</t>
        </is>
      </c>
      <c r="D1241" s="3" t="inlineStr">
        <is>
          <t>tokens_per_second_per_mw</t>
        </is>
      </c>
      <c r="E1241" s="3" t="n">
        <v>105143</v>
      </c>
      <c r="F1241" s="3" t="inlineStr">
        <is>
          <t>generated output tokens/sec/MW</t>
        </is>
      </c>
      <c r="G1241" s="3" t="inlineStr">
        <is>
          <t>Derived estimate + benchmark calibration</t>
        </is>
      </c>
      <c r="H1241" s="3" t="inlineStr">
        <is>
          <t>fleet_reference_tps_per_mw * commercial_workload_fit_factor</t>
        </is>
      </c>
      <c r="I124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41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241" s="3" t="inlineStr">
        <is>
          <t>ASSUMP_TPU_EFFICIENCY; ASSUMP_POWER_RAMP; ASSUMP_NUMERIC_ACCELERATOR_MIX; ASSUMP_INFERENCE_SHARE_NOT_FACT_60; ASSUMP_WORKLOAD_CLASS_MIX; ASSUMP_AGENTIC_CONTEXT_PENALTY</t>
        </is>
      </c>
      <c r="L1241" s="3" t="inlineStr">
        <is>
          <t>Comparable production output-token throughput with model, hardware, precision, ISL/OSL and SLO matched.</t>
        </is>
      </c>
    </row>
    <row r="1242">
      <c r="A1242" s="3" t="inlineStr">
        <is>
          <t>Google</t>
        </is>
      </c>
      <c r="B1242" s="3" t="n">
        <v>2029</v>
      </c>
      <c r="C1242" s="3" t="inlineStr">
        <is>
          <t>Base</t>
        </is>
      </c>
      <c r="D1242" s="3" t="inlineStr">
        <is>
          <t>inference_tokens_per_day</t>
        </is>
      </c>
      <c r="E1242" s="3" t="n">
        <v>25935834096000</v>
      </c>
      <c r="F1242" s="3" t="inlineStr">
        <is>
          <t>generated output tokens/day</t>
        </is>
      </c>
      <c r="G1242" s="3" t="inlineStr">
        <is>
          <t>Derived headline metric</t>
        </is>
      </c>
      <c r="H1242" s="3" t="inlineStr">
        <is>
          <t>inference_gw * 1000 * tokens_per_second_per_mw * 86,400</t>
        </is>
      </c>
      <c r="I1242" s="3" t="inlineStr">
        <is>
          <t>Headline capacity uses no utilization, MoE, architecture or software-growth multiplier; it is not observed commercial output volume.</t>
        </is>
      </c>
      <c r="J1242" s="3" t="inlineStr">
        <is>
          <t>SRC_GOOGLE_GEMINI_TOKENS; SRC_GOOGLE_IRONWOOD; SRC_GOOGLE_TPU_V6E; SRC_EPOCH_AI_DATA_CENTERS; SRC_SEMIANALYSIS_INFERENCEX</t>
        </is>
      </c>
      <c r="K1242" s="3" t="inlineStr">
        <is>
          <t>ASSUMP_TPU_EFFICIENCY; ASSUMP_POWER_RAMP; ASSUMP_NUMERIC_ACCELERATOR_MIX; ASSUMP_INFERENCE_SHARE_NOT_FACT_60; ASSUMP_WORKLOAD_CLASS_MIX; ASSUMP_AGENTIC_CONTEXT_PENALTY</t>
        </is>
      </c>
      <c r="L1242" s="3" t="inlineStr">
        <is>
          <t>Provider-disclosed generated output token volume or calibrated capacity telemetry.</t>
        </is>
      </c>
    </row>
    <row r="1243">
      <c r="A1243" s="3" t="inlineStr">
        <is>
          <t>Google</t>
        </is>
      </c>
      <c r="B1243" s="3" t="n">
        <v>2029</v>
      </c>
      <c r="C1243" s="3" t="inlineStr">
        <is>
          <t>Base</t>
        </is>
      </c>
      <c r="D1243" s="3" t="inlineStr">
        <is>
          <t>inference_tokens_per_year</t>
        </is>
      </c>
      <c r="E1243" s="3" t="n">
        <v>9466579445040000</v>
      </c>
      <c r="F1243" s="3" t="inlineStr">
        <is>
          <t>generated output tokens/year</t>
        </is>
      </c>
      <c r="G1243" s="3" t="inlineStr">
        <is>
          <t>Derived headline metric</t>
        </is>
      </c>
      <c r="H1243" s="3" t="inlineStr">
        <is>
          <t>inference_tokens_per_day * 365</t>
        </is>
      </c>
      <c r="I1243" s="3" t="inlineStr">
        <is>
          <t>Annualized version of generated output token capacity; it is not observed annual demand or billable volume.</t>
        </is>
      </c>
      <c r="J1243" s="3" t="inlineStr">
        <is>
          <t>SRC_GOOGLE_GEMINI_TOKENS; SRC_GOOGLE_IRONWOOD; SRC_GOOGLE_TPU_V6E; SRC_EPOCH_AI_DATA_CENTERS; SRC_SEMIANALYSIS_INFERENCEX</t>
        </is>
      </c>
      <c r="K1243" s="3" t="inlineStr">
        <is>
          <t>ASSUMP_TPU_EFFICIENCY; ASSUMP_POWER_RAMP; ASSUMP_NUMERIC_ACCELERATOR_MIX; ASSUMP_INFERENCE_SHARE_NOT_FACT_60; ASSUMP_WORKLOAD_CLASS_MIX; ASSUMP_AGENTIC_CONTEXT_PENALTY</t>
        </is>
      </c>
      <c r="L1243" s="3" t="inlineStr">
        <is>
          <t>Provider-disclosed annual generated-output volume or metered serving telemetry.</t>
        </is>
      </c>
    </row>
    <row r="1244">
      <c r="A1244" s="3" t="inlineStr">
        <is>
          <t>Google</t>
        </is>
      </c>
      <c r="B1244" s="3" t="n">
        <v>2030</v>
      </c>
      <c r="C1244" s="3" t="inlineStr">
        <is>
          <t>Base</t>
        </is>
      </c>
      <c r="D1244" s="3" t="inlineStr">
        <is>
          <t>contracted_power_gw</t>
        </is>
      </c>
      <c r="E1244" s="3" t="n">
        <v>8</v>
      </c>
      <c r="F1244" s="3" t="inlineStr">
        <is>
          <t>GW</t>
        </is>
      </c>
      <c r="G1244" s="3" t="inlineStr">
        <is>
          <t>Scenario capacity envelope</t>
        </is>
      </c>
      <c r="H1244" s="3" t="inlineStr">
        <is>
          <t>linear interpolation between 2026 and 2030 company capacity endpoints</t>
        </is>
      </c>
      <c r="I1244" s="3" t="inlineStr">
        <is>
          <t>Scenario envelope for Gemini-serving capacity; official TPU hardware direction is disclosed, company-level contracted GW is not.</t>
        </is>
      </c>
      <c r="J1244" s="3" t="inlineStr">
        <is>
          <t>ASSUMP_POWER_RAMP; SRC_GOOGLE_IRONWOOD; SRC_GOOGLE_TPU_V6E</t>
        </is>
      </c>
      <c r="K1244" s="3" t="inlineStr">
        <is>
          <t>ASSUMP_TPU_EFFICIENCY; ASSUMP_POWER_RAMP; ASSUMP_NUMERIC_ACCELERATOR_MIX; ASSUMP_INFERENCE_SHARE_NOT_FACT_60; ASSUMP_WORKLOAD_CLASS_MIX; ASSUMP_AGENTIC_CONTEXT_PENALTY</t>
        </is>
      </c>
      <c r="L1244" s="3" t="inlineStr">
        <is>
          <t>Company/site-level committed MW/GW, interconnect and contract disclosure.</t>
        </is>
      </c>
    </row>
    <row r="1245">
      <c r="A1245" s="3" t="inlineStr">
        <is>
          <t>Google</t>
        </is>
      </c>
      <c r="B1245" s="3" t="n">
        <v>2030</v>
      </c>
      <c r="C1245" s="3" t="inlineStr">
        <is>
          <t>Base</t>
        </is>
      </c>
      <c r="D1245" s="3" t="inlineStr">
        <is>
          <t>operational_deployment_share</t>
        </is>
      </c>
      <c r="E1245" s="3" t="n">
        <v>0.85</v>
      </c>
      <c r="F1245" s="3" t="inlineStr">
        <is>
          <t>share</t>
        </is>
      </c>
      <c r="G1245" s="3" t="inlineStr">
        <is>
          <t>Scenario conversion</t>
        </is>
      </c>
      <c r="H1245" s="3" t="inlineStr">
        <is>
          <t>active_power_gw / contracted_power_gw</t>
        </is>
      </c>
      <c r="I1245" s="3" t="inlineStr">
        <is>
          <t>This is the single explicit conversion from contracted/attributed capacity to operationally usable capacity.</t>
        </is>
      </c>
      <c r="J1245" s="3" t="inlineStr">
        <is>
          <t>ASSUMP_POWER_RAMP; SRC_GOOGLE_IRONWOOD; SRC_GOOGLE_TPU_V6E</t>
        </is>
      </c>
      <c r="K1245" s="3" t="inlineStr">
        <is>
          <t>ASSUMP_TPU_EFFICIENCY; ASSUMP_POWER_RAMP; ASSUMP_NUMERIC_ACCELERATOR_MIX; ASSUMP_INFERENCE_SHARE_NOT_FACT_60; ASSUMP_WORKLOAD_CLASS_MIX; ASSUMP_AGENTIC_CONTEXT_PENALTY</t>
        </is>
      </c>
      <c r="L1245" s="3" t="inlineStr">
        <is>
          <t>Energized operational capacity divided by contracted/attributed capacity.</t>
        </is>
      </c>
    </row>
    <row r="1246">
      <c r="A1246" s="3" t="inlineStr">
        <is>
          <t>Google</t>
        </is>
      </c>
      <c r="B1246" s="3" t="n">
        <v>2030</v>
      </c>
      <c r="C1246" s="3" t="inlineStr">
        <is>
          <t>Base</t>
        </is>
      </c>
      <c r="D1246" s="3" t="inlineStr">
        <is>
          <t>active_power_gw</t>
        </is>
      </c>
      <c r="E1246" s="3" t="n">
        <v>6.8</v>
      </c>
      <c r="F1246" s="3" t="inlineStr">
        <is>
          <t>GW</t>
        </is>
      </c>
      <c r="G1246" s="3" t="inlineStr">
        <is>
          <t>Derived scenario</t>
        </is>
      </c>
      <c r="H1246" s="3" t="inlineStr">
        <is>
          <t>contracted_power_gw * operational_deployment_share</t>
        </is>
      </c>
      <c r="I1246" s="3" t="inlineStr">
        <is>
          <t>TPU generation availability supports ramp direction, while active GW remains a staged deployment estimate.</t>
        </is>
      </c>
      <c r="J1246" s="3" t="inlineStr">
        <is>
          <t>ASSUMP_POWER_RAMP; SRC_GOOGLE_IRONWOOD; SRC_GOOGLE_TPU_V6E</t>
        </is>
      </c>
      <c r="K1246" s="3" t="inlineStr">
        <is>
          <t>ASSUMP_TPU_EFFICIENCY; ASSUMP_POWER_RAMP; ASSUMP_NUMERIC_ACCELERATOR_MIX; ASSUMP_INFERENCE_SHARE_NOT_FACT_60; ASSUMP_WORKLOAD_CLASS_MIX; ASSUMP_AGENTIC_CONTEXT_PENALTY</t>
        </is>
      </c>
      <c r="L1246" s="3" t="inlineStr">
        <is>
          <t>Energization dates, accelerator deliveries and operational powered-rack telemetry.</t>
        </is>
      </c>
    </row>
    <row r="1247">
      <c r="A1247" s="3" t="inlineStr">
        <is>
          <t>Google</t>
        </is>
      </c>
      <c r="B1247" s="3" t="n">
        <v>2030</v>
      </c>
      <c r="C1247" s="3" t="inlineStr">
        <is>
          <t>Base</t>
        </is>
      </c>
      <c r="D1247" s="3" t="inlineStr">
        <is>
          <t>pue</t>
        </is>
      </c>
      <c r="E1247" s="3" t="n">
        <v>1.18</v>
      </c>
      <c r="F1247" s="3" t="inlineStr">
        <is>
          <t>ratio</t>
        </is>
      </c>
      <c r="G1247" s="3" t="inlineStr">
        <is>
          <t>Scenario parameter</t>
        </is>
      </c>
      <c r="H1247" s="3" t="inlineStr">
        <is>
          <t>it_load_gw = active_power_gw / pue</t>
        </is>
      </c>
      <c r="I1247" s="3" t="inlineStr">
        <is>
          <t>No provider-wide site-level PUE is used as a disclosed fact; PUE represents facility-to-IT conversion within the scenario.</t>
        </is>
      </c>
      <c r="J1247" s="3" t="inlineStr">
        <is>
          <t>ASSUMP_POWER_RAMP</t>
        </is>
      </c>
      <c r="K1247" s="3" t="inlineStr">
        <is>
          <t>ASSUMP_TPU_EFFICIENCY; ASSUMP_POWER_RAMP; ASSUMP_NUMERIC_ACCELERATOR_MIX; ASSUMP_INFERENCE_SHARE_NOT_FACT_60; ASSUMP_WORKLOAD_CLASS_MIX; ASSUMP_AGENTIC_CONTEXT_PENALTY</t>
        </is>
      </c>
      <c r="L1247" s="3" t="inlineStr">
        <is>
          <t>Site-level measured PUE matched to attributed AI capacity.</t>
        </is>
      </c>
    </row>
    <row r="1248">
      <c r="A1248" s="3" t="inlineStr">
        <is>
          <t>Google</t>
        </is>
      </c>
      <c r="B1248" s="3" t="n">
        <v>2030</v>
      </c>
      <c r="C1248" s="3" t="inlineStr">
        <is>
          <t>Base</t>
        </is>
      </c>
      <c r="D1248" s="3" t="inlineStr">
        <is>
          <t>it_load_gw</t>
        </is>
      </c>
      <c r="E1248" s="3" t="n">
        <v>5.763</v>
      </c>
      <c r="F1248" s="3" t="inlineStr">
        <is>
          <t>GW</t>
        </is>
      </c>
      <c r="G1248" s="3" t="inlineStr">
        <is>
          <t>Derived formula</t>
        </is>
      </c>
      <c r="H1248" s="3" t="inlineStr">
        <is>
          <t>active_power_gw / pue</t>
        </is>
      </c>
      <c r="I1248" s="3" t="inlineStr">
        <is>
          <t>Facility power is converted to IT-deliverable power before attributing AI workloads.</t>
        </is>
      </c>
      <c r="J1248" s="3" t="inlineStr">
        <is>
          <t>ASSUMP_POWER_RAMP; SRC_GOOGLE_IRONWOOD; SRC_GOOGLE_TPU_V6E</t>
        </is>
      </c>
      <c r="K1248" s="3" t="inlineStr">
        <is>
          <t>ASSUMP_TPU_EFFICIENCY; ASSUMP_POWER_RAMP; ASSUMP_NUMERIC_ACCELERATOR_MIX; ASSUMP_INFERENCE_SHARE_NOT_FACT_60; ASSUMP_WORKLOAD_CLASS_MIX; ASSUMP_AGENTIC_CONTEXT_PENALTY</t>
        </is>
      </c>
      <c r="L1248" s="3" t="inlineStr">
        <is>
          <t>Recompute once active power and PUE become site-observable.</t>
        </is>
      </c>
    </row>
    <row r="1249">
      <c r="A1249" s="3" t="inlineStr">
        <is>
          <t>Google</t>
        </is>
      </c>
      <c r="B1249" s="3" t="n">
        <v>2030</v>
      </c>
      <c r="C1249" s="3" t="inlineStr">
        <is>
          <t>Base</t>
        </is>
      </c>
      <c r="D1249" s="3" t="inlineStr">
        <is>
          <t>ai_workload_share</t>
        </is>
      </c>
      <c r="E1249" s="3" t="n">
        <v>0.88</v>
      </c>
      <c r="F1249" s="3" t="inlineStr">
        <is>
          <t>share</t>
        </is>
      </c>
      <c r="G1249" s="3" t="inlineStr">
        <is>
          <t>Scenario allocation</t>
        </is>
      </c>
      <c r="H1249" s="3" t="inlineStr">
        <is>
          <t>ai_it_load_gw = it_load_gw * ai_workload_share</t>
        </is>
      </c>
      <c r="I1249" s="3" t="inlineStr">
        <is>
          <t>Gemini/Vertex TPU serving is AI-dedicated in the modeled capacity envelope; 88% excludes platform/reserve load.</t>
        </is>
      </c>
      <c r="J1249" s="3" t="inlineStr">
        <is>
          <t>SRC_GOOGLE_GEMINI_TOKENS; SRC_GOOGLE_IRONWOOD; SRC_GOOGLE_TPU_V6E; SRC_EPOCH_AI_DATA_CENTERS</t>
        </is>
      </c>
      <c r="K1249" s="3" t="inlineStr">
        <is>
          <t>ASSUMP_TPU_EFFICIENCY; ASSUMP_POWER_RAMP; ASSUMP_NUMERIC_ACCELERATOR_MIX; ASSUMP_INFERENCE_SHARE_NOT_FACT_60; ASSUMP_WORKLOAD_CLASS_MIX; ASSUMP_AGENTIC_CONTEXT_PENALTY</t>
        </is>
      </c>
      <c r="L1249" s="3" t="inlineStr">
        <is>
          <t>Model-owner AI workload allocation or cluster scheduling telemetry.</t>
        </is>
      </c>
    </row>
    <row r="1250">
      <c r="A1250" s="3" t="inlineStr">
        <is>
          <t>Google</t>
        </is>
      </c>
      <c r="B1250" s="3" t="n">
        <v>2030</v>
      </c>
      <c r="C1250" s="3" t="inlineStr">
        <is>
          <t>Base</t>
        </is>
      </c>
      <c r="D1250" s="3" t="inlineStr">
        <is>
          <t>ai_it_load_gw</t>
        </is>
      </c>
      <c r="E1250" s="3" t="n">
        <v>5.071</v>
      </c>
      <c r="F1250" s="3" t="inlineStr">
        <is>
          <t>GW</t>
        </is>
      </c>
      <c r="G1250" s="3" t="inlineStr">
        <is>
          <t>Derived formula</t>
        </is>
      </c>
      <c r="H1250" s="3" t="inlineStr">
        <is>
          <t>it_load_gw * ai_workload_share</t>
        </is>
      </c>
      <c r="I1250" s="3" t="inlineStr">
        <is>
          <t>Only the AI-attributed portion of IT load enters training/inference allocation.</t>
        </is>
      </c>
      <c r="J1250" s="3" t="inlineStr">
        <is>
          <t>SRC_GOOGLE_GEMINI_TOKENS; SRC_GOOGLE_IRONWOOD; SRC_GOOGLE_TPU_V6E; SRC_EPOCH_AI_DATA_CENTERS</t>
        </is>
      </c>
      <c r="K1250" s="3" t="inlineStr">
        <is>
          <t>ASSUMP_TPU_EFFICIENCY; ASSUMP_POWER_RAMP; ASSUMP_NUMERIC_ACCELERATOR_MIX; ASSUMP_INFERENCE_SHARE_NOT_FACT_60; ASSUMP_WORKLOAD_CLASS_MIX; ASSUMP_AGENTIC_CONTEXT_PENALTY</t>
        </is>
      </c>
      <c r="L1250" s="3" t="inlineStr">
        <is>
          <t>Recompute after ai_workload_share is replaced by telemetry.</t>
        </is>
      </c>
    </row>
    <row r="1251">
      <c r="A1251" s="3" t="inlineStr">
        <is>
          <t>Google</t>
        </is>
      </c>
      <c r="B1251" s="3" t="n">
        <v>2030</v>
      </c>
      <c r="C1251" s="3" t="inlineStr">
        <is>
          <t>Base</t>
        </is>
      </c>
      <c r="D1251" s="3" t="inlineStr">
        <is>
          <t>gpu_share</t>
        </is>
      </c>
      <c r="E1251" s="3" t="n">
        <v>0.096925</v>
      </c>
      <c r="F1251" s="3" t="inlineStr">
        <is>
          <t>share of inference-serving accelerator load</t>
        </is>
      </c>
      <c r="G1251" s="3" t="inlineStr">
        <is>
          <t>Numeric scenario</t>
        </is>
      </c>
      <c r="H1251" s="3" t="inlineStr">
        <is>
          <t>gpu_share interpolated from company 2026/2030 accelerator-mix endpoints</t>
        </is>
      </c>
      <c r="I1251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51" s="3" t="inlineStr">
        <is>
          <t>SRC_GOOGLE_GEMINI_TOKENS; SRC_GOOGLE_IRONWOOD; SRC_GOOGLE_TPU_V6E; SRC_EPOCH_AI_DATA_CENTERS; ASSUMP_NUMERIC_ACCELERATOR_MIX</t>
        </is>
      </c>
      <c r="K1251" s="3" t="inlineStr">
        <is>
          <t>ASSUMP_TPU_EFFICIENCY; ASSUMP_POWER_RAMP; ASSUMP_NUMERIC_ACCELERATOR_MIX; ASSUMP_INFERENCE_SHARE_NOT_FACT_60; ASSUMP_WORKLOAD_CLASS_MIX; ASSUMP_AGENTIC_CONTEXT_PENALTY</t>
        </is>
      </c>
      <c r="L1251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52">
      <c r="A1252" s="3" t="inlineStr">
        <is>
          <t>Google</t>
        </is>
      </c>
      <c r="B1252" s="3" t="n">
        <v>2030</v>
      </c>
      <c r="C1252" s="3" t="inlineStr">
        <is>
          <t>Base</t>
        </is>
      </c>
      <c r="D1252" s="3" t="inlineStr">
        <is>
          <t>h200_share</t>
        </is>
      </c>
      <c r="E1252" s="3" t="n">
        <v>0.002447</v>
      </c>
      <c r="F1252" s="3" t="inlineStr">
        <is>
          <t>share of inference-serving accelerator load</t>
        </is>
      </c>
      <c r="G1252" s="3" t="inlineStr">
        <is>
          <t>Editable numeric scenario</t>
        </is>
      </c>
      <c r="H1252" s="3" t="inlineStr">
        <is>
          <t>h200_share = gpu_share * default_gpu_generation_mix_h200</t>
        </is>
      </c>
      <c r="I1252" s="3" t="inlineStr">
        <is>
          <t>Default GPU-generation migration assumption; executive workbook allows later manual replacement by company/year/scenario.</t>
        </is>
      </c>
      <c r="J1252" s="3" t="inlineStr">
        <is>
          <t>SRC_SEMIANALYSIS_INFERENCEX; ASSUMP_NUMERIC_ACCELERATOR_MIX</t>
        </is>
      </c>
      <c r="K1252" s="3" t="inlineStr">
        <is>
          <t>ASSUMP_TPU_EFFICIENCY; ASSUMP_POWER_RAMP; ASSUMP_NUMERIC_ACCELERATOR_MIX; ASSUMP_INFERENCE_SHARE_NOT_FACT_60; ASSUMP_WORKLOAD_CLASS_MIX; ASSUMP_AGENTIC_CONTEXT_PENALTY</t>
        </is>
      </c>
      <c r="L1252" s="3" t="inlineStr">
        <is>
          <t>Company fleet inventory, accelerator-hours or procurement/deployment records by GPU generation.</t>
        </is>
      </c>
    </row>
    <row r="1253">
      <c r="A1253" s="3" t="inlineStr">
        <is>
          <t>Google</t>
        </is>
      </c>
      <c r="B1253" s="3" t="n">
        <v>2030</v>
      </c>
      <c r="C1253" s="3" t="inlineStr">
        <is>
          <t>Base</t>
        </is>
      </c>
      <c r="D1253" s="3" t="inlineStr">
        <is>
          <t>b200_share</t>
        </is>
      </c>
      <c r="E1253" s="3" t="n">
        <v>0.081021</v>
      </c>
      <c r="F1253" s="3" t="inlineStr">
        <is>
          <t>share of inference-serving accelerator load</t>
        </is>
      </c>
      <c r="G1253" s="3" t="inlineStr">
        <is>
          <t>Editable numeric scenario</t>
        </is>
      </c>
      <c r="H1253" s="3" t="inlineStr">
        <is>
          <t>b200_share = gpu_share * default_gpu_generation_mix_b200</t>
        </is>
      </c>
      <c r="I1253" s="3" t="inlineStr">
        <is>
          <t>Default GPU-generation migration assumption; executive workbook allows later manual replacement by company/year/scenario.</t>
        </is>
      </c>
      <c r="J1253" s="3" t="inlineStr">
        <is>
          <t>SRC_SEMIANALYSIS_INFERENCEX; ASSUMP_NUMERIC_ACCELERATOR_MIX</t>
        </is>
      </c>
      <c r="K1253" s="3" t="inlineStr">
        <is>
          <t>ASSUMP_TPU_EFFICIENCY; ASSUMP_POWER_RAMP; ASSUMP_NUMERIC_ACCELERATOR_MIX; ASSUMP_INFERENCE_SHARE_NOT_FACT_60; ASSUMP_WORKLOAD_CLASS_MIX; ASSUMP_AGENTIC_CONTEXT_PENALTY</t>
        </is>
      </c>
      <c r="L1253" s="3" t="inlineStr">
        <is>
          <t>Company fleet inventory, accelerator-hours or procurement/deployment records by GPU generation.</t>
        </is>
      </c>
    </row>
    <row r="1254">
      <c r="A1254" s="3" t="inlineStr">
        <is>
          <t>Google</t>
        </is>
      </c>
      <c r="B1254" s="3" t="n">
        <v>2030</v>
      </c>
      <c r="C1254" s="3" t="inlineStr">
        <is>
          <t>Base</t>
        </is>
      </c>
      <c r="D1254" s="3" t="inlineStr">
        <is>
          <t>gb200_share</t>
        </is>
      </c>
      <c r="E1254" s="3" t="n">
        <v>0.013457</v>
      </c>
      <c r="F1254" s="3" t="inlineStr">
        <is>
          <t>share of inference-serving accelerator load</t>
        </is>
      </c>
      <c r="G1254" s="3" t="inlineStr">
        <is>
          <t>Editable numeric scenario</t>
        </is>
      </c>
      <c r="H1254" s="3" t="inlineStr">
        <is>
          <t>gb200_share = gpu_share * default_gpu_generation_mix_gb200</t>
        </is>
      </c>
      <c r="I1254" s="3" t="inlineStr">
        <is>
          <t>Default GPU-generation migration assumption; executive workbook allows later manual replacement by company/year/scenario.</t>
        </is>
      </c>
      <c r="J1254" s="3" t="inlineStr">
        <is>
          <t>SRC_SEMIANALYSIS_INFERENCEX; ASSUMP_NUMERIC_ACCELERATOR_MIX</t>
        </is>
      </c>
      <c r="K1254" s="3" t="inlineStr">
        <is>
          <t>ASSUMP_TPU_EFFICIENCY; ASSUMP_POWER_RAMP; ASSUMP_NUMERIC_ACCELERATOR_MIX; ASSUMP_INFERENCE_SHARE_NOT_FACT_60; ASSUMP_WORKLOAD_CLASS_MIX; ASSUMP_AGENTIC_CONTEXT_PENALTY</t>
        </is>
      </c>
      <c r="L1254" s="3" t="inlineStr">
        <is>
          <t>Company fleet inventory, accelerator-hours or procurement/deployment records by GPU generation.</t>
        </is>
      </c>
    </row>
    <row r="1255">
      <c r="A1255" s="3" t="inlineStr">
        <is>
          <t>Google</t>
        </is>
      </c>
      <c r="B1255" s="3" t="n">
        <v>2030</v>
      </c>
      <c r="C1255" s="3" t="inlineStr">
        <is>
          <t>Base</t>
        </is>
      </c>
      <c r="D1255" s="3" t="inlineStr">
        <is>
          <t>purpose_built_accelerator_share</t>
        </is>
      </c>
      <c r="E1255" s="3" t="n">
        <v>0.903075</v>
      </c>
      <c r="F1255" s="3" t="inlineStr">
        <is>
          <t>share of inference-serving accelerator load</t>
        </is>
      </c>
      <c r="G1255" s="3" t="inlineStr">
        <is>
          <t>Numeric scenario</t>
        </is>
      </c>
      <c r="H1255" s="3" t="inlineStr">
        <is>
          <t>1 - gpu_share</t>
        </is>
      </c>
      <c r="I1255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1255" s="3" t="inlineStr">
        <is>
          <t>SRC_GOOGLE_GEMINI_TOKENS; SRC_GOOGLE_IRONWOOD; SRC_GOOGLE_TPU_V6E; SRC_EPOCH_AI_DATA_CENTERS; ASSUMP_NUMERIC_ACCELERATOR_MIX</t>
        </is>
      </c>
      <c r="K1255" s="3" t="inlineStr">
        <is>
          <t>ASSUMP_TPU_EFFICIENCY; ASSUMP_POWER_RAMP; ASSUMP_NUMERIC_ACCELERATOR_MIX; ASSUMP_INFERENCE_SHARE_NOT_FACT_60; ASSUMP_WORKLOAD_CLASS_MIX; ASSUMP_AGENTIC_CONTEXT_PENALTY</t>
        </is>
      </c>
      <c r="L1255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1256">
      <c r="A1256" s="3" t="inlineStr">
        <is>
          <t>Google</t>
        </is>
      </c>
      <c r="B1256" s="3" t="n">
        <v>2030</v>
      </c>
      <c r="C1256" s="3" t="inlineStr">
        <is>
          <t>Base</t>
        </is>
      </c>
      <c r="D1256" s="3" t="inlineStr">
        <is>
          <t>fleet_reference_tps_per_mw</t>
        </is>
      </c>
      <c r="E1256" s="3" t="n">
        <v>170988</v>
      </c>
      <c r="F1256" s="3" t="inlineStr">
        <is>
          <t>generated output tokens/sec/MW</t>
        </is>
      </c>
      <c r="G1256" s="3" t="inlineStr">
        <is>
          <t>Fleet-weighted public benchmark reference</t>
        </is>
      </c>
      <c r="H1256" s="3" t="inlineStr">
        <is>
          <t>h200_share*h200_workload_avg + b200_share*b200_workload_avg + gb200_share*gb200_workload_avg + purpose_built_share*purpose_workload_avg</t>
        </is>
      </c>
      <c r="I125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256" s="3" t="inlineStr">
        <is>
          <t>SRC_SEMIANALYSIS_INFERENCEX; ASSUMP_NUMERIC_ACCELERATOR_MIX; ASSUMP_WORKLOAD_CLASS_MIX; ASSUMP_AGENTIC_CONTEXT_PENALTY</t>
        </is>
      </c>
      <c r="K1256" s="3" t="inlineStr">
        <is>
          <t>ASSUMP_TPU_EFFICIENCY; ASSUMP_POWER_RAMP; ASSUMP_NUMERIC_ACCELERATOR_MIX; ASSUMP_INFERENCE_SHARE_NOT_FACT_60; ASSUMP_WORKLOAD_CLASS_MIX; ASSUMP_AGENTIC_CONTEXT_PENALTY</t>
        </is>
      </c>
      <c r="L1256" s="3" t="inlineStr">
        <is>
          <t>Comparable production output-token throughput or a more closely matched benchmark.</t>
        </is>
      </c>
    </row>
    <row r="1257">
      <c r="A1257" s="3" t="inlineStr">
        <is>
          <t>Google</t>
        </is>
      </c>
      <c r="B1257" s="3" t="n">
        <v>2030</v>
      </c>
      <c r="C1257" s="3" t="inlineStr">
        <is>
          <t>Base</t>
        </is>
      </c>
      <c r="D1257" s="3" t="inlineStr">
        <is>
          <t>commercial_workload_fit_factor</t>
        </is>
      </c>
      <c r="E1257" s="3" t="n">
        <v>0.6</v>
      </c>
      <c r="F1257" s="3" t="inlineStr">
        <is>
          <t>share of public reference throughput</t>
        </is>
      </c>
      <c r="G1257" s="3" t="inlineStr">
        <is>
          <t>Scenario assumption</t>
        </is>
      </c>
      <c r="H1257" s="3" t="inlineStr">
        <is>
          <t>reference_serving_tps_per_mw = fleet_reference_tps_per_mw * commercial_workload_fit_factor</t>
        </is>
      </c>
      <c r="I125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1257" s="3" t="inlineStr">
        <is>
          <t>SRC_SEMIANALYSIS_INFERENCEX; ASSUMP_NUMERIC_ACCELERATOR_MIX; ASSUMP_WORKLOAD_CLASS_MIX; ASSUMP_AGENTIC_CONTEXT_PENALTY</t>
        </is>
      </c>
      <c r="K1257" s="3" t="inlineStr">
        <is>
          <t>ASSUMP_TPU_EFFICIENCY; ASSUMP_POWER_RAMP; ASSUMP_NUMERIC_ACCELERATOR_MIX; ASSUMP_INFERENCE_SHARE_NOT_FACT_60; ASSUMP_WORKLOAD_CLASS_MIX; ASSUMP_AGENTIC_CONTEXT_PENALTY</t>
        </is>
      </c>
      <c r="L1257" s="3" t="inlineStr">
        <is>
          <t>Matched commercial serving benchmark by product surface, context shape and latency SLO.</t>
        </is>
      </c>
    </row>
    <row r="1258">
      <c r="A1258" s="3" t="inlineStr">
        <is>
          <t>Google</t>
        </is>
      </c>
      <c r="B1258" s="3" t="n">
        <v>2030</v>
      </c>
      <c r="C1258" s="3" t="inlineStr">
        <is>
          <t>Base</t>
        </is>
      </c>
      <c r="D1258" s="3" t="inlineStr">
        <is>
          <t>reference_serving_tps_per_mw</t>
        </is>
      </c>
      <c r="E1258" s="3" t="n">
        <v>102593</v>
      </c>
      <c r="F1258" s="3" t="inlineStr">
        <is>
          <t>generated output tokens/sec/MW</t>
        </is>
      </c>
      <c r="G1258" s="3" t="inlineStr">
        <is>
          <t>Workload-adjusted benchmark proxy</t>
        </is>
      </c>
      <c r="H1258" s="3" t="inlineStr">
        <is>
          <t>fleet_reference_tps_per_mw * commercial_workload_fit_factor</t>
        </is>
      </c>
      <c r="I1258" s="3" t="inlineStr">
        <is>
          <t>This is the coefficient used for headline token generation; each GPU's short chat, long chat and agentic TPS/MW are weighted before fleet mix and commercial fit are applied.</t>
        </is>
      </c>
      <c r="J1258" s="3" t="inlineStr">
        <is>
          <t>SRC_SEMIANALYSIS_INFERENCEX; ASSUMP_NUMERIC_ACCELERATOR_MIX; ASSUMP_WORKLOAD_CLASS_MIX; ASSUMP_AGENTIC_CONTEXT_PENALTY</t>
        </is>
      </c>
      <c r="K1258" s="3" t="inlineStr">
        <is>
          <t>ASSUMP_TPU_EFFICIENCY; ASSUMP_POWER_RAMP; ASSUMP_NUMERIC_ACCELERATOR_MIX; ASSUMP_INFERENCE_SHARE_NOT_FACT_60; ASSUMP_WORKLOAD_CLASS_MIX; ASSUMP_AGENTIC_CONTEXT_PENALTY</t>
        </is>
      </c>
      <c r="L1258" s="3" t="inlineStr">
        <is>
          <t>Provider production output-token throughput with comparable workload/SLO.</t>
        </is>
      </c>
    </row>
    <row r="1259">
      <c r="A1259" s="3" t="inlineStr">
        <is>
          <t>Google</t>
        </is>
      </c>
      <c r="B1259" s="3" t="n">
        <v>2030</v>
      </c>
      <c r="C1259" s="3" t="inlineStr">
        <is>
          <t>Base</t>
        </is>
      </c>
      <c r="D1259" s="3" t="inlineStr">
        <is>
          <t>purpose_built_tps_per_mw</t>
        </is>
      </c>
      <c r="E1259" s="3" t="n">
        <v>81184</v>
      </c>
      <c r="F1259" s="3" t="inlineStr">
        <is>
          <t>generated output tokens/sec/MW</t>
        </is>
      </c>
      <c r="G1259" s="3" t="inlineStr">
        <is>
          <t>Conservative no-uplift proxy</t>
        </is>
      </c>
      <c r="H1259" s="3" t="inlineStr">
        <is>
          <t>purpose_built_tps_per_mw = purpose_built_reference_tps_per_mw * commercial_workload_fit_factor until comparable output-token benchmark is adopted</t>
        </is>
      </c>
      <c r="I1259" s="3" t="inlineStr">
        <is>
          <t>No comparable public output-token/MW row adopted; B200 public reference placeholder is used and remains editable.</t>
        </is>
      </c>
      <c r="J1259" s="3" t="inlineStr">
        <is>
          <t>SRC_GOOGLE_GEMINI_TOKENS; SRC_GOOGLE_IRONWOOD; SRC_GOOGLE_TPU_V6E; SRC_EPOCH_AI_DATA_CENTERS; ASSUMP_NUMERIC_ACCELERATOR_MIX</t>
        </is>
      </c>
      <c r="K1259" s="3" t="inlineStr">
        <is>
          <t>ASSUMP_TPU_EFFICIENCY; ASSUMP_POWER_RAMP; ASSUMP_NUMERIC_ACCELERATOR_MIX; ASSUMP_INFERENCE_SHARE_NOT_FACT_60; ASSUMP_WORKLOAD_CLASS_MIX; ASSUMP_AGENTIC_CONTEXT_PENALTY</t>
        </is>
      </c>
      <c r="L1259" s="3" t="inlineStr">
        <is>
          <t>Matched-workload generated-output benchmark for the provider purpose-built accelerator.</t>
        </is>
      </c>
    </row>
    <row r="1260">
      <c r="A1260" s="3" t="inlineStr">
        <is>
          <t>Google</t>
        </is>
      </c>
      <c r="B1260" s="3" t="n">
        <v>2030</v>
      </c>
      <c r="C1260" s="3" t="inlineStr">
        <is>
          <t>Base</t>
        </is>
      </c>
      <c r="D1260" s="3" t="inlineStr">
        <is>
          <t>inference_power_share</t>
        </is>
      </c>
      <c r="E1260" s="3" t="n">
        <v>0.72</v>
      </c>
      <c r="F1260" s="3" t="inlineStr">
        <is>
          <t>share of AI IT load</t>
        </is>
      </c>
      <c r="G1260" s="3" t="inlineStr">
        <is>
          <t>Scenario allocation</t>
        </is>
      </c>
      <c r="H1260" s="3" t="inlineStr">
        <is>
          <t>inference_gw = ai_it_load_gw * inference_power_share</t>
        </is>
      </c>
      <c r="I1260" s="3" t="inlineStr">
        <is>
          <t>Ironwood is positioned for inference and Gemini is commercialized across products; inference share increases as a scenario.</t>
        </is>
      </c>
      <c r="J1260" s="3" t="inlineStr">
        <is>
          <t>SRC_GOOGLE_GEMINI_TOKENS; SRC_GOOGLE_IRONWOOD; SRC_GOOGLE_TPU_V6E; SRC_EPOCH_AI_DATA_CENTERS; ASSUMP_INFERENCE_SHARE_NOT_FACT_60</t>
        </is>
      </c>
      <c r="K1260" s="3" t="inlineStr">
        <is>
          <t>ASSUMP_TPU_EFFICIENCY; ASSUMP_POWER_RAMP; ASSUMP_NUMERIC_ACCELERATOR_MIX; ASSUMP_INFERENCE_SHARE_NOT_FACT_60; ASSUMP_WORKLOAD_CLASS_MIX; ASSUMP_AGENTIC_CONTEXT_PENALTY</t>
        </is>
      </c>
      <c r="L1260" s="3" t="inlineStr">
        <is>
          <t>Provider-specific inference/training workload power telemetry.</t>
        </is>
      </c>
    </row>
    <row r="1261">
      <c r="A1261" s="3" t="inlineStr">
        <is>
          <t>Google</t>
        </is>
      </c>
      <c r="B1261" s="3" t="n">
        <v>2030</v>
      </c>
      <c r="C1261" s="3" t="inlineStr">
        <is>
          <t>Base</t>
        </is>
      </c>
      <c r="D1261" s="3" t="inlineStr">
        <is>
          <t>inference_gw</t>
        </is>
      </c>
      <c r="E1261" s="3" t="n">
        <v>3.651</v>
      </c>
      <c r="F1261" s="3" t="inlineStr">
        <is>
          <t>GW</t>
        </is>
      </c>
      <c r="G1261" s="3" t="inlineStr">
        <is>
          <t>Derived formula</t>
        </is>
      </c>
      <c r="H1261" s="3" t="inlineStr">
        <is>
          <t>ai_it_load_gw * inference_power_share</t>
        </is>
      </c>
      <c r="I1261" s="3" t="inlineStr">
        <is>
          <t>This is the operational power eligible to become commercial generated output tokens through the selected TPS/MW proxy.</t>
        </is>
      </c>
      <c r="J1261" s="3" t="inlineStr">
        <is>
          <t>SRC_GOOGLE_GEMINI_TOKENS; SRC_GOOGLE_IRONWOOD; SRC_GOOGLE_TPU_V6E; SRC_EPOCH_AI_DATA_CENTERS</t>
        </is>
      </c>
      <c r="K1261" s="3" t="inlineStr">
        <is>
          <t>ASSUMP_TPU_EFFICIENCY; ASSUMP_POWER_RAMP; ASSUMP_NUMERIC_ACCELERATOR_MIX; ASSUMP_INFERENCE_SHARE_NOT_FACT_60; ASSUMP_WORKLOAD_CLASS_MIX; ASSUMP_AGENTIC_CONTEXT_PENALTY</t>
        </is>
      </c>
      <c r="L1261" s="3" t="inlineStr">
        <is>
          <t>Recompute after AI allocation or inference-share evidence changes.</t>
        </is>
      </c>
    </row>
    <row r="1262">
      <c r="A1262" s="3" t="inlineStr">
        <is>
          <t>Google</t>
        </is>
      </c>
      <c r="B1262" s="3" t="n">
        <v>2030</v>
      </c>
      <c r="C1262" s="3" t="inlineStr">
        <is>
          <t>Base</t>
        </is>
      </c>
      <c r="D1262" s="3" t="inlineStr">
        <is>
          <t>training_power_share</t>
        </is>
      </c>
      <c r="E1262" s="3" t="n">
        <v>0.28</v>
      </c>
      <c r="F1262" s="3" t="inlineStr">
        <is>
          <t>share of AI IT load</t>
        </is>
      </c>
      <c r="G1262" s="3" t="inlineStr">
        <is>
          <t>Derived allocation</t>
        </is>
      </c>
      <c r="H1262" s="3" t="inlineStr">
        <is>
          <t>1 - inference_power_share</t>
        </is>
      </c>
      <c r="I1262" s="3" t="inlineStr">
        <is>
          <t>Training receives the complementary modeled AI IT allocation; it is not a disclosed company workload split.</t>
        </is>
      </c>
      <c r="J1262" s="3" t="inlineStr">
        <is>
          <t>SRC_GOOGLE_GEMINI_TOKENS; SRC_GOOGLE_IRONWOOD; SRC_GOOGLE_TPU_V6E; SRC_EPOCH_AI_DATA_CENTERS; ASSUMP_INFERENCE_SHARE_NOT_FACT_60</t>
        </is>
      </c>
      <c r="K1262" s="3" t="inlineStr">
        <is>
          <t>ASSUMP_TPU_EFFICIENCY; ASSUMP_POWER_RAMP; ASSUMP_NUMERIC_ACCELERATOR_MIX; ASSUMP_INFERENCE_SHARE_NOT_FACT_60; ASSUMP_WORKLOAD_CLASS_MIX; ASSUMP_AGENTIC_CONTEXT_PENALTY</t>
        </is>
      </c>
      <c r="L1262" s="3" t="inlineStr">
        <is>
          <t>Provider-specific inference/training workload power telemetry.</t>
        </is>
      </c>
    </row>
    <row r="1263">
      <c r="A1263" s="3" t="inlineStr">
        <is>
          <t>Google</t>
        </is>
      </c>
      <c r="B1263" s="3" t="n">
        <v>2030</v>
      </c>
      <c r="C1263" s="3" t="inlineStr">
        <is>
          <t>Base</t>
        </is>
      </c>
      <c r="D1263" s="3" t="inlineStr">
        <is>
          <t>training_gw</t>
        </is>
      </c>
      <c r="E1263" s="3" t="n">
        <v>1.42</v>
      </c>
      <c r="F1263" s="3" t="inlineStr">
        <is>
          <t>GW</t>
        </is>
      </c>
      <c r="G1263" s="3" t="inlineStr">
        <is>
          <t>Derived formula</t>
        </is>
      </c>
      <c r="H1263" s="3" t="inlineStr">
        <is>
          <t>ai_it_load_gw * training_power_share</t>
        </is>
      </c>
      <c r="I1263" s="3" t="inlineStr">
        <is>
          <t>Training GW is shown separately so commercial inference token capacity is not overstated.</t>
        </is>
      </c>
      <c r="J1263" s="3" t="inlineStr">
        <is>
          <t>SRC_GOOGLE_GEMINI_TOKENS; SRC_GOOGLE_IRONWOOD; SRC_GOOGLE_TPU_V6E; SRC_EPOCH_AI_DATA_CENTERS</t>
        </is>
      </c>
      <c r="K1263" s="3" t="inlineStr">
        <is>
          <t>ASSUMP_TPU_EFFICIENCY; ASSUMP_POWER_RAMP; ASSUMP_NUMERIC_ACCELERATOR_MIX; ASSUMP_INFERENCE_SHARE_NOT_FACT_60; ASSUMP_WORKLOAD_CLASS_MIX; ASSUMP_AGENTIC_CONTEXT_PENALTY</t>
        </is>
      </c>
      <c r="L1263" s="3" t="inlineStr">
        <is>
          <t>Recompute after AI allocation or workload-split evidence changes.</t>
        </is>
      </c>
    </row>
    <row r="1264">
      <c r="A1264" s="3" t="inlineStr">
        <is>
          <t>Google</t>
        </is>
      </c>
      <c r="B1264" s="3" t="n">
        <v>2030</v>
      </c>
      <c r="C1264" s="3" t="inlineStr">
        <is>
          <t>Base</t>
        </is>
      </c>
      <c r="D1264" s="3" t="inlineStr">
        <is>
          <t>tokens_per_second_per_mw</t>
        </is>
      </c>
      <c r="E1264" s="3" t="n">
        <v>102593</v>
      </c>
      <c r="F1264" s="3" t="inlineStr">
        <is>
          <t>generated output tokens/sec/MW</t>
        </is>
      </c>
      <c r="G1264" s="3" t="inlineStr">
        <is>
          <t>Derived estimate + benchmark calibration</t>
        </is>
      </c>
      <c r="H1264" s="3" t="inlineStr">
        <is>
          <t>fleet_reference_tps_per_mw * commercial_workload_fit_factor</t>
        </is>
      </c>
      <c r="I126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1264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1264" s="3" t="inlineStr">
        <is>
          <t>ASSUMP_TPU_EFFICIENCY; ASSUMP_POWER_RAMP; ASSUMP_NUMERIC_ACCELERATOR_MIX; ASSUMP_INFERENCE_SHARE_NOT_FACT_60; ASSUMP_WORKLOAD_CLASS_MIX; ASSUMP_AGENTIC_CONTEXT_PENALTY</t>
        </is>
      </c>
      <c r="L1264" s="3" t="inlineStr">
        <is>
          <t>Comparable production output-token throughput with model, hardware, precision, ISL/OSL and SLO matched.</t>
        </is>
      </c>
    </row>
    <row r="1265">
      <c r="A1265" s="3" t="inlineStr">
        <is>
          <t>Google</t>
        </is>
      </c>
      <c r="B1265" s="3" t="n">
        <v>2030</v>
      </c>
      <c r="C1265" s="3" t="inlineStr">
        <is>
          <t>Base</t>
        </is>
      </c>
      <c r="D1265" s="3" t="inlineStr">
        <is>
          <t>inference_tokens_per_day</t>
        </is>
      </c>
      <c r="E1265" s="3" t="n">
        <v>32362592515200</v>
      </c>
      <c r="F1265" s="3" t="inlineStr">
        <is>
          <t>generated output tokens/day</t>
        </is>
      </c>
      <c r="G1265" s="3" t="inlineStr">
        <is>
          <t>Derived headline metric</t>
        </is>
      </c>
      <c r="H1265" s="3" t="inlineStr">
        <is>
          <t>inference_gw * 1000 * tokens_per_second_per_mw * 86,400</t>
        </is>
      </c>
      <c r="I1265" s="3" t="inlineStr">
        <is>
          <t>Headline capacity uses no utilization, MoE, architecture or software-growth multiplier; it is not observed commercial output volume.</t>
        </is>
      </c>
      <c r="J1265" s="3" t="inlineStr">
        <is>
          <t>SRC_GOOGLE_GEMINI_TOKENS; SRC_GOOGLE_IRONWOOD; SRC_GOOGLE_TPU_V6E; SRC_EPOCH_AI_DATA_CENTERS; SRC_SEMIANALYSIS_INFERENCEX</t>
        </is>
      </c>
      <c r="K1265" s="3" t="inlineStr">
        <is>
          <t>ASSUMP_TPU_EFFICIENCY; ASSUMP_POWER_RAMP; ASSUMP_NUMERIC_ACCELERATOR_MIX; ASSUMP_INFERENCE_SHARE_NOT_FACT_60; ASSUMP_WORKLOAD_CLASS_MIX; ASSUMP_AGENTIC_CONTEXT_PENALTY</t>
        </is>
      </c>
      <c r="L1265" s="3" t="inlineStr">
        <is>
          <t>Provider-disclosed generated output token volume or calibrated capacity telemetry.</t>
        </is>
      </c>
    </row>
    <row r="1266">
      <c r="A1266" s="3" t="inlineStr">
        <is>
          <t>Google</t>
        </is>
      </c>
      <c r="B1266" s="3" t="n">
        <v>2030</v>
      </c>
      <c r="C1266" s="3" t="inlineStr">
        <is>
          <t>Base</t>
        </is>
      </c>
      <c r="D1266" s="3" t="inlineStr">
        <is>
          <t>inference_tokens_per_year</t>
        </is>
      </c>
      <c r="E1266" s="3" t="n">
        <v>1.1812346268048e+16</v>
      </c>
      <c r="F1266" s="3" t="inlineStr">
        <is>
          <t>generated output tokens/year</t>
        </is>
      </c>
      <c r="G1266" s="3" t="inlineStr">
        <is>
          <t>Derived headline metric</t>
        </is>
      </c>
      <c r="H1266" s="3" t="inlineStr">
        <is>
          <t>inference_tokens_per_day * 365</t>
        </is>
      </c>
      <c r="I1266" s="3" t="inlineStr">
        <is>
          <t>Annualized version of generated output token capacity; it is not observed annual demand or billable volume.</t>
        </is>
      </c>
      <c r="J1266" s="3" t="inlineStr">
        <is>
          <t>SRC_GOOGLE_GEMINI_TOKENS; SRC_GOOGLE_IRONWOOD; SRC_GOOGLE_TPU_V6E; SRC_EPOCH_AI_DATA_CENTERS; SRC_SEMIANALYSIS_INFERENCEX</t>
        </is>
      </c>
      <c r="K1266" s="3" t="inlineStr">
        <is>
          <t>ASSUMP_TPU_EFFICIENCY; ASSUMP_POWER_RAMP; ASSUMP_NUMERIC_ACCELERATOR_MIX; ASSUMP_INFERENCE_SHARE_NOT_FACT_60; ASSUMP_WORKLOAD_CLASS_MIX; ASSUMP_AGENTIC_CONTEXT_PENALTY</t>
        </is>
      </c>
      <c r="L1266" s="3" t="inlineStr">
        <is>
          <t>Provider-disclosed annual generated-output volume or metered serving telemetry.</t>
        </is>
      </c>
    </row>
    <row r="1267">
      <c r="A1267" s="3" t="inlineStr">
        <is>
          <t>Meta</t>
        </is>
      </c>
      <c r="B1267" s="3" t="n">
        <v>2026</v>
      </c>
      <c r="C1267" s="3" t="inlineStr">
        <is>
          <t>Base</t>
        </is>
      </c>
      <c r="D1267" s="3" t="inlineStr">
        <is>
          <t>contracted_power_gw</t>
        </is>
      </c>
      <c r="E1267" s="3" t="n">
        <v>3.5</v>
      </c>
      <c r="F1267" s="3" t="inlineStr">
        <is>
          <t>GW</t>
        </is>
      </c>
      <c r="G1267" s="3" t="inlineStr">
        <is>
          <t>Scenario capacity envelope</t>
        </is>
      </c>
      <c r="H1267" s="3" t="inlineStr">
        <is>
          <t>linear interpolation between 2026 and 2030 company capacity endpoints</t>
        </is>
      </c>
      <c r="I1267" s="3" t="inlineStr">
        <is>
          <t>Scenario envelope for Meta AI/Llama serving capacity; not an official contracted-GW figure.</t>
        </is>
      </c>
      <c r="J1267" s="3" t="inlineStr">
        <is>
          <t>ASSUMP_POWER_RAMP; SRC_META_MTIA_GENAI_2026</t>
        </is>
      </c>
      <c r="K1267" s="3" t="inlineStr">
        <is>
          <t>ASSUMP_CONSUMER_AI_UTILIZATION; ASSUMP_POWER_RAMP; ASSUMP_NUMERIC_ACCELERATOR_MIX; ASSUMP_INFERENCE_SHARE_NOT_FACT_60; ASSUMP_WORKLOAD_CLASS_MIX; ASSUMP_AGENTIC_CONTEXT_PENALTY</t>
        </is>
      </c>
      <c r="L1267" s="3" t="inlineStr">
        <is>
          <t>Company/site-level committed MW/GW, interconnect and contract disclosure.</t>
        </is>
      </c>
    </row>
    <row r="1268">
      <c r="A1268" s="3" t="inlineStr">
        <is>
          <t>Meta</t>
        </is>
      </c>
      <c r="B1268" s="3" t="n">
        <v>2026</v>
      </c>
      <c r="C1268" s="3" t="inlineStr">
        <is>
          <t>Base</t>
        </is>
      </c>
      <c r="D1268" s="3" t="inlineStr">
        <is>
          <t>operational_deployment_share</t>
        </is>
      </c>
      <c r="E1268" s="3" t="n">
        <v>0.45714286</v>
      </c>
      <c r="F1268" s="3" t="inlineStr">
        <is>
          <t>share</t>
        </is>
      </c>
      <c r="G1268" s="3" t="inlineStr">
        <is>
          <t>Scenario conversion</t>
        </is>
      </c>
      <c r="H1268" s="3" t="inlineStr">
        <is>
          <t>active_power_gw / contracted_power_gw</t>
        </is>
      </c>
      <c r="I1268" s="3" t="inlineStr">
        <is>
          <t>This is the single explicit conversion from contracted/attributed capacity to operationally usable capacity.</t>
        </is>
      </c>
      <c r="J1268" s="3" t="inlineStr">
        <is>
          <t>ASSUMP_POWER_RAMP; SRC_META_MTIA_GENAI_2026</t>
        </is>
      </c>
      <c r="K1268" s="3" t="inlineStr">
        <is>
          <t>ASSUMP_CONSUMER_AI_UTILIZATION; ASSUMP_POWER_RAMP; ASSUMP_NUMERIC_ACCELERATOR_MIX; ASSUMP_INFERENCE_SHARE_NOT_FACT_60; ASSUMP_WORKLOAD_CLASS_MIX; ASSUMP_AGENTIC_CONTEXT_PENALTY</t>
        </is>
      </c>
      <c r="L1268" s="3" t="inlineStr">
        <is>
          <t>Energized operational capacity divided by contracted/attributed capacity.</t>
        </is>
      </c>
    </row>
    <row r="1269">
      <c r="A1269" s="3" t="inlineStr">
        <is>
          <t>Meta</t>
        </is>
      </c>
      <c r="B1269" s="3" t="n">
        <v>2026</v>
      </c>
      <c r="C1269" s="3" t="inlineStr">
        <is>
          <t>Base</t>
        </is>
      </c>
      <c r="D1269" s="3" t="inlineStr">
        <is>
          <t>active_power_gw</t>
        </is>
      </c>
      <c r="E1269" s="3" t="n">
        <v>1.6</v>
      </c>
      <c r="F1269" s="3" t="inlineStr">
        <is>
          <t>GW</t>
        </is>
      </c>
      <c r="G1269" s="3" t="inlineStr">
        <is>
          <t>Derived scenario</t>
        </is>
      </c>
      <c r="H1269" s="3" t="inlineStr">
        <is>
          <t>contracted_power_gw * operational_deployment_share</t>
        </is>
      </c>
      <c r="I1269" s="3" t="inlineStr">
        <is>
          <t>MTIA deployment direction and consumer product distribution support active ramp, not exact powered GW.</t>
        </is>
      </c>
      <c r="J1269" s="3" t="inlineStr">
        <is>
          <t>ASSUMP_POWER_RAMP; SRC_META_MTIA_GENAI_2026</t>
        </is>
      </c>
      <c r="K1269" s="3" t="inlineStr">
        <is>
          <t>ASSUMP_CONSUMER_AI_UTILIZATION; ASSUMP_POWER_RAMP; ASSUMP_NUMERIC_ACCELERATOR_MIX; ASSUMP_INFERENCE_SHARE_NOT_FACT_60; ASSUMP_WORKLOAD_CLASS_MIX; ASSUMP_AGENTIC_CONTEXT_PENALTY</t>
        </is>
      </c>
      <c r="L1269" s="3" t="inlineStr">
        <is>
          <t>Energization dates, accelerator deliveries and operational powered-rack telemetry.</t>
        </is>
      </c>
    </row>
    <row r="1270">
      <c r="A1270" s="3" t="inlineStr">
        <is>
          <t>Meta</t>
        </is>
      </c>
      <c r="B1270" s="3" t="n">
        <v>2026</v>
      </c>
      <c r="C1270" s="3" t="inlineStr">
        <is>
          <t>Base</t>
        </is>
      </c>
      <c r="D1270" s="3" t="inlineStr">
        <is>
          <t>pue</t>
        </is>
      </c>
      <c r="E1270" s="3" t="n">
        <v>1.2</v>
      </c>
      <c r="F1270" s="3" t="inlineStr">
        <is>
          <t>ratio</t>
        </is>
      </c>
      <c r="G1270" s="3" t="inlineStr">
        <is>
          <t>Scenario parameter</t>
        </is>
      </c>
      <c r="H1270" s="3" t="inlineStr">
        <is>
          <t>it_load_gw = active_power_gw / pue</t>
        </is>
      </c>
      <c r="I1270" s="3" t="inlineStr">
        <is>
          <t>No provider-wide site-level PUE is used as a disclosed fact; PUE represents facility-to-IT conversion within the scenario.</t>
        </is>
      </c>
      <c r="J1270" s="3" t="inlineStr">
        <is>
          <t>ASSUMP_POWER_RAMP</t>
        </is>
      </c>
      <c r="K1270" s="3" t="inlineStr">
        <is>
          <t>ASSUMP_CONSUMER_AI_UTILIZATION; ASSUMP_POWER_RAMP; ASSUMP_NUMERIC_ACCELERATOR_MIX; ASSUMP_INFERENCE_SHARE_NOT_FACT_60; ASSUMP_WORKLOAD_CLASS_MIX; ASSUMP_AGENTIC_CONTEXT_PENALTY</t>
        </is>
      </c>
      <c r="L1270" s="3" t="inlineStr">
        <is>
          <t>Site-level measured PUE matched to attributed AI capacity.</t>
        </is>
      </c>
    </row>
    <row r="1271">
      <c r="A1271" s="3" t="inlineStr">
        <is>
          <t>Meta</t>
        </is>
      </c>
      <c r="B1271" s="3" t="n">
        <v>2026</v>
      </c>
      <c r="C1271" s="3" t="inlineStr">
        <is>
          <t>Base</t>
        </is>
      </c>
      <c r="D1271" s="3" t="inlineStr">
        <is>
          <t>it_load_gw</t>
        </is>
      </c>
      <c r="E1271" s="3" t="n">
        <v>1.333</v>
      </c>
      <c r="F1271" s="3" t="inlineStr">
        <is>
          <t>GW</t>
        </is>
      </c>
      <c r="G1271" s="3" t="inlineStr">
        <is>
          <t>Derived formula</t>
        </is>
      </c>
      <c r="H1271" s="3" t="inlineStr">
        <is>
          <t>active_power_gw / pue</t>
        </is>
      </c>
      <c r="I1271" s="3" t="inlineStr">
        <is>
          <t>Facility power is converted to IT-deliverable power before attributing AI workloads.</t>
        </is>
      </c>
      <c r="J1271" s="3" t="inlineStr">
        <is>
          <t>ASSUMP_POWER_RAMP; SRC_META_MTIA_GENAI_2026</t>
        </is>
      </c>
      <c r="K1271" s="3" t="inlineStr">
        <is>
          <t>ASSUMP_CONSUMER_AI_UTILIZATION; ASSUMP_POWER_RAMP; ASSUMP_NUMERIC_ACCELERATOR_MIX; ASSUMP_INFERENCE_SHARE_NOT_FACT_60; ASSUMP_WORKLOAD_CLASS_MIX; ASSUMP_AGENTIC_CONTEXT_PENALTY</t>
        </is>
      </c>
      <c r="L1271" s="3" t="inlineStr">
        <is>
          <t>Recompute once active power and PUE become site-observable.</t>
        </is>
      </c>
    </row>
    <row r="1272">
      <c r="A1272" s="3" t="inlineStr">
        <is>
          <t>Meta</t>
        </is>
      </c>
      <c r="B1272" s="3" t="n">
        <v>2026</v>
      </c>
      <c r="C1272" s="3" t="inlineStr">
        <is>
          <t>Base</t>
        </is>
      </c>
      <c r="D1272" s="3" t="inlineStr">
        <is>
          <t>ai_workload_share</t>
        </is>
      </c>
      <c r="E1272" s="3" t="n">
        <v>0.87</v>
      </c>
      <c r="F1272" s="3" t="inlineStr">
        <is>
          <t>share</t>
        </is>
      </c>
      <c r="G1272" s="3" t="inlineStr">
        <is>
          <t>Scenario allocation</t>
        </is>
      </c>
      <c r="H1272" s="3" t="inlineStr">
        <is>
          <t>ai_it_load_gw = it_load_gw * ai_workload_share</t>
        </is>
      </c>
      <c r="I1272" s="3" t="inlineStr">
        <is>
          <t>The modeled fleet is focused on AI workloads across Meta AI surfaces; non-LLM ranking/platform overhead is excluded through the 87% share.</t>
        </is>
      </c>
      <c r="J1272" s="3" t="inlineStr">
        <is>
          <t>SRC_META_LLAMA; SRC_META_LLAMA4_NVIDIA; SRC_META_MTIA_GENAI_2026; SRC_EPOCH_AI_DATA_CENTERS</t>
        </is>
      </c>
      <c r="K1272" s="3" t="inlineStr">
        <is>
          <t>ASSUMP_CONSUMER_AI_UTILIZATION; ASSUMP_POWER_RAMP; ASSUMP_NUMERIC_ACCELERATOR_MIX; ASSUMP_INFERENCE_SHARE_NOT_FACT_60; ASSUMP_WORKLOAD_CLASS_MIX; ASSUMP_AGENTIC_CONTEXT_PENALTY</t>
        </is>
      </c>
      <c r="L1272" s="3" t="inlineStr">
        <is>
          <t>Model-owner AI workload allocation or cluster scheduling telemetry.</t>
        </is>
      </c>
    </row>
    <row r="1273">
      <c r="A1273" s="3" t="inlineStr">
        <is>
          <t>Meta</t>
        </is>
      </c>
      <c r="B1273" s="3" t="n">
        <v>2026</v>
      </c>
      <c r="C1273" s="3" t="inlineStr">
        <is>
          <t>Base</t>
        </is>
      </c>
      <c r="D1273" s="3" t="inlineStr">
        <is>
          <t>ai_it_load_gw</t>
        </is>
      </c>
      <c r="E1273" s="3" t="n">
        <v>1.16</v>
      </c>
      <c r="F1273" s="3" t="inlineStr">
        <is>
          <t>GW</t>
        </is>
      </c>
      <c r="G1273" s="3" t="inlineStr">
        <is>
          <t>Derived formula</t>
        </is>
      </c>
      <c r="H1273" s="3" t="inlineStr">
        <is>
          <t>it_load_gw * ai_workload_share</t>
        </is>
      </c>
      <c r="I1273" s="3" t="inlineStr">
        <is>
          <t>Only the AI-attributed portion of IT load enters training/inference allocation.</t>
        </is>
      </c>
      <c r="J1273" s="3" t="inlineStr">
        <is>
          <t>SRC_META_LLAMA; SRC_META_LLAMA4_NVIDIA; SRC_META_MTIA_GENAI_2026; SRC_EPOCH_AI_DATA_CENTERS</t>
        </is>
      </c>
      <c r="K1273" s="3" t="inlineStr">
        <is>
          <t>ASSUMP_CONSUMER_AI_UTILIZATION; ASSUMP_POWER_RAMP; ASSUMP_NUMERIC_ACCELERATOR_MIX; ASSUMP_INFERENCE_SHARE_NOT_FACT_60; ASSUMP_WORKLOAD_CLASS_MIX; ASSUMP_AGENTIC_CONTEXT_PENALTY</t>
        </is>
      </c>
      <c r="L1273" s="3" t="inlineStr">
        <is>
          <t>Recompute after ai_workload_share is replaced by telemetry.</t>
        </is>
      </c>
    </row>
    <row r="1274">
      <c r="A1274" s="3" t="inlineStr">
        <is>
          <t>Meta</t>
        </is>
      </c>
      <c r="B1274" s="3" t="n">
        <v>2026</v>
      </c>
      <c r="C1274" s="3" t="inlineStr">
        <is>
          <t>Base</t>
        </is>
      </c>
      <c r="D1274" s="3" t="inlineStr">
        <is>
          <t>gpu_share</t>
        </is>
      </c>
      <c r="E1274" s="3" t="n">
        <v>1</v>
      </c>
      <c r="F1274" s="3" t="inlineStr">
        <is>
          <t>share of inference-serving accelerator load</t>
        </is>
      </c>
      <c r="G1274" s="3" t="inlineStr">
        <is>
          <t>Numeric scenario</t>
        </is>
      </c>
      <c r="H1274" s="3" t="inlineStr">
        <is>
          <t>gpu_share interpolated from company 2026/2030 accelerator-mix endpoints</t>
        </is>
      </c>
      <c r="I1274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274" s="3" t="inlineStr">
        <is>
          <t>SRC_META_LLAMA; SRC_META_LLAMA4_NVIDIA; SRC_META_MTIA_GENAI_2026; SRC_EPOCH_AI_DATA_CENTERS; ASSUMP_NUMERIC_ACCELERATOR_MIX</t>
        </is>
      </c>
      <c r="K1274" s="3" t="inlineStr">
        <is>
          <t>ASSUMP_CONSUMER_AI_UTILIZATION; ASSUMP_POWER_RAMP; ASSUMP_NUMERIC_ACCELERATOR_MIX; ASSUMP_INFERENCE_SHARE_NOT_FACT_60; ASSUMP_WORKLOAD_CLASS_MIX; ASSUMP_AGENTIC_CONTEXT_PENALTY</t>
        </is>
      </c>
      <c r="L1274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275">
      <c r="A1275" s="3" t="inlineStr">
        <is>
          <t>Meta</t>
        </is>
      </c>
      <c r="B1275" s="3" t="n">
        <v>2026</v>
      </c>
      <c r="C1275" s="3" t="inlineStr">
        <is>
          <t>Base</t>
        </is>
      </c>
      <c r="D1275" s="3" t="inlineStr">
        <is>
          <t>h200_share</t>
        </is>
      </c>
      <c r="E1275" s="3" t="n">
        <v>0</v>
      </c>
      <c r="F1275" s="3" t="inlineStr">
        <is>
          <t>share of inference-serving accelerator load</t>
        </is>
      </c>
      <c r="G1275" s="3" t="inlineStr">
        <is>
          <t>Editable numeric scenario</t>
        </is>
      </c>
      <c r="H1275" s="3" t="inlineStr">
        <is>
          <t>h200_share = gpu_share * default_gpu_generation_mix_h200</t>
        </is>
      </c>
      <c r="I1275" s="3" t="inlineStr">
        <is>
          <t>Default GPU-generation migration assumption; executive workbook allows later manual replacement by company/year/scenario.</t>
        </is>
      </c>
      <c r="J1275" s="3" t="inlineStr">
        <is>
          <t>SRC_SEMIANALYSIS_INFERENCEX; ASSUMP_NUMERIC_ACCELERATOR_MIX</t>
        </is>
      </c>
      <c r="K1275" s="3" t="inlineStr">
        <is>
          <t>ASSUMP_CONSUMER_AI_UTILIZATION; ASSUMP_POWER_RAMP; ASSUMP_NUMERIC_ACCELERATOR_MIX; ASSUMP_INFERENCE_SHARE_NOT_FACT_60; ASSUMP_WORKLOAD_CLASS_MIX; ASSUMP_AGENTIC_CONTEXT_PENALTY</t>
        </is>
      </c>
      <c r="L1275" s="3" t="inlineStr">
        <is>
          <t>Company fleet inventory, accelerator-hours or procurement/deployment records by GPU generation.</t>
        </is>
      </c>
    </row>
    <row r="1276">
      <c r="A1276" s="3" t="inlineStr">
        <is>
          <t>Meta</t>
        </is>
      </c>
      <c r="B1276" s="3" t="n">
        <v>2026</v>
      </c>
      <c r="C1276" s="3" t="inlineStr">
        <is>
          <t>Base</t>
        </is>
      </c>
      <c r="D1276" s="3" t="inlineStr">
        <is>
          <t>b200_share</t>
        </is>
      </c>
      <c r="E1276" s="3" t="n">
        <v>1</v>
      </c>
      <c r="F1276" s="3" t="inlineStr">
        <is>
          <t>share of inference-serving accelerator load</t>
        </is>
      </c>
      <c r="G1276" s="3" t="inlineStr">
        <is>
          <t>Editable numeric scenario</t>
        </is>
      </c>
      <c r="H1276" s="3" t="inlineStr">
        <is>
          <t>b200_share = gpu_share * default_gpu_generation_mix_b200</t>
        </is>
      </c>
      <c r="I1276" s="3" t="inlineStr">
        <is>
          <t>Default GPU-generation migration assumption; executive workbook allows later manual replacement by company/year/scenario.</t>
        </is>
      </c>
      <c r="J1276" s="3" t="inlineStr">
        <is>
          <t>SRC_SEMIANALYSIS_INFERENCEX; ASSUMP_NUMERIC_ACCELERATOR_MIX</t>
        </is>
      </c>
      <c r="K1276" s="3" t="inlineStr">
        <is>
          <t>ASSUMP_CONSUMER_AI_UTILIZATION; ASSUMP_POWER_RAMP; ASSUMP_NUMERIC_ACCELERATOR_MIX; ASSUMP_INFERENCE_SHARE_NOT_FACT_60; ASSUMP_WORKLOAD_CLASS_MIX; ASSUMP_AGENTIC_CONTEXT_PENALTY</t>
        </is>
      </c>
      <c r="L1276" s="3" t="inlineStr">
        <is>
          <t>Company fleet inventory, accelerator-hours or procurement/deployment records by GPU generation.</t>
        </is>
      </c>
    </row>
    <row r="1277">
      <c r="A1277" s="3" t="inlineStr">
        <is>
          <t>Meta</t>
        </is>
      </c>
      <c r="B1277" s="3" t="n">
        <v>2026</v>
      </c>
      <c r="C1277" s="3" t="inlineStr">
        <is>
          <t>Base</t>
        </is>
      </c>
      <c r="D1277" s="3" t="inlineStr">
        <is>
          <t>gb200_share</t>
        </is>
      </c>
      <c r="E1277" s="3" t="n">
        <v>0</v>
      </c>
      <c r="F1277" s="3" t="inlineStr">
        <is>
          <t>share of inference-serving accelerator load</t>
        </is>
      </c>
      <c r="G1277" s="3" t="inlineStr">
        <is>
          <t>Editable numeric scenario</t>
        </is>
      </c>
      <c r="H1277" s="3" t="inlineStr">
        <is>
          <t>gb200_share = gpu_share * default_gpu_generation_mix_gb200</t>
        </is>
      </c>
      <c r="I1277" s="3" t="inlineStr">
        <is>
          <t>Default GPU-generation migration assumption; executive workbook allows later manual replacement by company/year/scenario.</t>
        </is>
      </c>
      <c r="J1277" s="3" t="inlineStr">
        <is>
          <t>SRC_SEMIANALYSIS_INFERENCEX; ASSUMP_NUMERIC_ACCELERATOR_MIX</t>
        </is>
      </c>
      <c r="K1277" s="3" t="inlineStr">
        <is>
          <t>ASSUMP_CONSUMER_AI_UTILIZATION; ASSUMP_POWER_RAMP; ASSUMP_NUMERIC_ACCELERATOR_MIX; ASSUMP_INFERENCE_SHARE_NOT_FACT_60; ASSUMP_WORKLOAD_CLASS_MIX; ASSUMP_AGENTIC_CONTEXT_PENALTY</t>
        </is>
      </c>
      <c r="L1277" s="3" t="inlineStr">
        <is>
          <t>Company fleet inventory, accelerator-hours or procurement/deployment records by GPU generation.</t>
        </is>
      </c>
    </row>
    <row r="1278">
      <c r="A1278" s="3" t="inlineStr">
        <is>
          <t>Meta</t>
        </is>
      </c>
      <c r="B1278" s="3" t="n">
        <v>2026</v>
      </c>
      <c r="C1278" s="3" t="inlineStr">
        <is>
          <t>Base</t>
        </is>
      </c>
      <c r="D1278" s="3" t="inlineStr">
        <is>
          <t>purpose_built_accelerator_share</t>
        </is>
      </c>
      <c r="E1278" s="3" t="n">
        <v>0</v>
      </c>
      <c r="F1278" s="3" t="inlineStr">
        <is>
          <t>share of inference-serving accelerator load</t>
        </is>
      </c>
      <c r="G1278" s="3" t="inlineStr">
        <is>
          <t>Numeric scenario</t>
        </is>
      </c>
      <c r="H1278" s="3" t="inlineStr">
        <is>
          <t>1 - gpu_share</t>
        </is>
      </c>
      <c r="I1278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278" s="3" t="inlineStr">
        <is>
          <t>SRC_META_LLAMA; SRC_META_LLAMA4_NVIDIA; SRC_META_MTIA_GENAI_2026; SRC_EPOCH_AI_DATA_CENTERS; ASSUMP_NUMERIC_ACCELERATOR_MIX</t>
        </is>
      </c>
      <c r="K1278" s="3" t="inlineStr">
        <is>
          <t>ASSUMP_CONSUMER_AI_UTILIZATION; ASSUMP_POWER_RAMP; ASSUMP_NUMERIC_ACCELERATOR_MIX; ASSUMP_INFERENCE_SHARE_NOT_FACT_60; ASSUMP_WORKLOAD_CLASS_MIX; ASSUMP_AGENTIC_CONTEXT_PENALTY</t>
        </is>
      </c>
      <c r="L1278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279">
      <c r="A1279" s="3" t="inlineStr">
        <is>
          <t>Meta</t>
        </is>
      </c>
      <c r="B1279" s="3" t="n">
        <v>2026</v>
      </c>
      <c r="C1279" s="3" t="inlineStr">
        <is>
          <t>Base</t>
        </is>
      </c>
      <c r="D1279" s="3" t="inlineStr">
        <is>
          <t>fleet_reference_tps_per_mw</t>
        </is>
      </c>
      <c r="E1279" s="3" t="n">
        <v>941060</v>
      </c>
      <c r="F1279" s="3" t="inlineStr">
        <is>
          <t>generated output tokens/sec/MW</t>
        </is>
      </c>
      <c r="G1279" s="3" t="inlineStr">
        <is>
          <t>Fleet-weighted public benchmark reference</t>
        </is>
      </c>
      <c r="H1279" s="3" t="inlineStr">
        <is>
          <t>h200_share*h200_workload_avg + b200_share*b200_workload_avg + gb200_share*gb200_workload_avg + purpose_built_share*purpose_workload_avg</t>
        </is>
      </c>
      <c r="I127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279" s="3" t="inlineStr">
        <is>
          <t>SRC_SEMIANALYSIS_INFERENCEX; ASSUMP_NUMERIC_ACCELERATOR_MIX; ASSUMP_WORKLOAD_CLASS_MIX; ASSUMP_AGENTIC_CONTEXT_PENALTY</t>
        </is>
      </c>
      <c r="K1279" s="3" t="inlineStr">
        <is>
          <t>ASSUMP_CONSUMER_AI_UTILIZATION; ASSUMP_POWER_RAMP; ASSUMP_NUMERIC_ACCELERATOR_MIX; ASSUMP_INFERENCE_SHARE_NOT_FACT_60; ASSUMP_WORKLOAD_CLASS_MIX; ASSUMP_AGENTIC_CONTEXT_PENALTY</t>
        </is>
      </c>
      <c r="L1279" s="3" t="inlineStr">
        <is>
          <t>Comparable production output-token throughput or a more closely matched benchmark.</t>
        </is>
      </c>
    </row>
    <row r="1280">
      <c r="A1280" s="3" t="inlineStr">
        <is>
          <t>Meta</t>
        </is>
      </c>
      <c r="B1280" s="3" t="n">
        <v>2026</v>
      </c>
      <c r="C1280" s="3" t="inlineStr">
        <is>
          <t>Base</t>
        </is>
      </c>
      <c r="D1280" s="3" t="inlineStr">
        <is>
          <t>commercial_workload_fit_factor</t>
        </is>
      </c>
      <c r="E1280" s="3" t="n">
        <v>0.9</v>
      </c>
      <c r="F1280" s="3" t="inlineStr">
        <is>
          <t>share of public reference throughput</t>
        </is>
      </c>
      <c r="G1280" s="3" t="inlineStr">
        <is>
          <t>Scenario assumption</t>
        </is>
      </c>
      <c r="H1280" s="3" t="inlineStr">
        <is>
          <t>reference_serving_tps_per_mw = fleet_reference_tps_per_mw * commercial_workload_fit_factor</t>
        </is>
      </c>
      <c r="I128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280" s="3" t="inlineStr">
        <is>
          <t>SRC_SEMIANALYSIS_INFERENCEX; ASSUMP_NUMERIC_ACCELERATOR_MIX; ASSUMP_WORKLOAD_CLASS_MIX; ASSUMP_AGENTIC_CONTEXT_PENALTY</t>
        </is>
      </c>
      <c r="K1280" s="3" t="inlineStr">
        <is>
          <t>ASSUMP_CONSUMER_AI_UTILIZATION; ASSUMP_POWER_RAMP; ASSUMP_NUMERIC_ACCELERATOR_MIX; ASSUMP_INFERENCE_SHARE_NOT_FACT_60; ASSUMP_WORKLOAD_CLASS_MIX; ASSUMP_AGENTIC_CONTEXT_PENALTY</t>
        </is>
      </c>
      <c r="L1280" s="3" t="inlineStr">
        <is>
          <t>Matched commercial serving benchmark by product surface, context shape and latency SLO.</t>
        </is>
      </c>
    </row>
    <row r="1281">
      <c r="A1281" s="3" t="inlineStr">
        <is>
          <t>Meta</t>
        </is>
      </c>
      <c r="B1281" s="3" t="n">
        <v>2026</v>
      </c>
      <c r="C1281" s="3" t="inlineStr">
        <is>
          <t>Base</t>
        </is>
      </c>
      <c r="D1281" s="3" t="inlineStr">
        <is>
          <t>reference_serving_tps_per_mw</t>
        </is>
      </c>
      <c r="E1281" s="3" t="n">
        <v>846954</v>
      </c>
      <c r="F1281" s="3" t="inlineStr">
        <is>
          <t>generated output tokens/sec/MW</t>
        </is>
      </c>
      <c r="G1281" s="3" t="inlineStr">
        <is>
          <t>Workload-adjusted benchmark proxy</t>
        </is>
      </c>
      <c r="H1281" s="3" t="inlineStr">
        <is>
          <t>fleet_reference_tps_per_mw * commercial_workload_fit_factor</t>
        </is>
      </c>
      <c r="I1281" s="3" t="inlineStr">
        <is>
          <t>This is the coefficient used for headline token generation; each GPU's short chat, long chat and agentic TPS/MW are weighted before fleet mix and commercial fit are applied.</t>
        </is>
      </c>
      <c r="J1281" s="3" t="inlineStr">
        <is>
          <t>SRC_SEMIANALYSIS_INFERENCEX; ASSUMP_NUMERIC_ACCELERATOR_MIX; ASSUMP_WORKLOAD_CLASS_MIX; ASSUMP_AGENTIC_CONTEXT_PENALTY</t>
        </is>
      </c>
      <c r="K1281" s="3" t="inlineStr">
        <is>
          <t>ASSUMP_CONSUMER_AI_UTILIZATION; ASSUMP_POWER_RAMP; ASSUMP_NUMERIC_ACCELERATOR_MIX; ASSUMP_INFERENCE_SHARE_NOT_FACT_60; ASSUMP_WORKLOAD_CLASS_MIX; ASSUMP_AGENTIC_CONTEXT_PENALTY</t>
        </is>
      </c>
      <c r="L1281" s="3" t="inlineStr">
        <is>
          <t>Provider production output-token throughput with comparable workload/SLO.</t>
        </is>
      </c>
    </row>
    <row r="1282">
      <c r="A1282" s="3" t="inlineStr">
        <is>
          <t>Meta</t>
        </is>
      </c>
      <c r="B1282" s="3" t="n">
        <v>2026</v>
      </c>
      <c r="C1282" s="3" t="inlineStr">
        <is>
          <t>Base</t>
        </is>
      </c>
      <c r="D1282" s="3" t="inlineStr">
        <is>
          <t>purpose_built_tps_per_mw</t>
        </is>
      </c>
      <c r="E1282" s="3" t="n">
        <v>1105664</v>
      </c>
      <c r="F1282" s="3" t="inlineStr">
        <is>
          <t>generated output tokens/sec/MW</t>
        </is>
      </c>
      <c r="G1282" s="3" t="inlineStr">
        <is>
          <t>Conservative no-uplift proxy</t>
        </is>
      </c>
      <c r="H1282" s="3" t="inlineStr">
        <is>
          <t>purpose_built_tps_per_mw = purpose_built_reference_tps_per_mw * commercial_workload_fit_factor until comparable output-token benchmark is adopted</t>
        </is>
      </c>
      <c r="I1282" s="3" t="inlineStr">
        <is>
          <t>No comparable public output-token/MW row adopted; B200 public reference placeholder is used and remains editable.</t>
        </is>
      </c>
      <c r="J1282" s="3" t="inlineStr">
        <is>
          <t>SRC_META_LLAMA; SRC_META_LLAMA4_NVIDIA; SRC_META_MTIA_GENAI_2026; SRC_EPOCH_AI_DATA_CENTERS; ASSUMP_NUMERIC_ACCELERATOR_MIX</t>
        </is>
      </c>
      <c r="K1282" s="3" t="inlineStr">
        <is>
          <t>ASSUMP_CONSUMER_AI_UTILIZATION; ASSUMP_POWER_RAMP; ASSUMP_NUMERIC_ACCELERATOR_MIX; ASSUMP_INFERENCE_SHARE_NOT_FACT_60; ASSUMP_WORKLOAD_CLASS_MIX; ASSUMP_AGENTIC_CONTEXT_PENALTY</t>
        </is>
      </c>
      <c r="L1282" s="3" t="inlineStr">
        <is>
          <t>Matched-workload generated-output benchmark for the provider purpose-built accelerator.</t>
        </is>
      </c>
    </row>
    <row r="1283">
      <c r="A1283" s="3" t="inlineStr">
        <is>
          <t>Meta</t>
        </is>
      </c>
      <c r="B1283" s="3" t="n">
        <v>2026</v>
      </c>
      <c r="C1283" s="3" t="inlineStr">
        <is>
          <t>Base</t>
        </is>
      </c>
      <c r="D1283" s="3" t="inlineStr">
        <is>
          <t>inference_power_share</t>
        </is>
      </c>
      <c r="E1283" s="3" t="n">
        <v>0.58</v>
      </c>
      <c r="F1283" s="3" t="inlineStr">
        <is>
          <t>share of AI IT load</t>
        </is>
      </c>
      <c r="G1283" s="3" t="inlineStr">
        <is>
          <t>Scenario allocation</t>
        </is>
      </c>
      <c r="H1283" s="3" t="inlineStr">
        <is>
          <t>inference_gw = ai_it_load_gw * inference_power_share</t>
        </is>
      </c>
      <c r="I1283" s="3" t="inlineStr">
        <is>
          <t>Large consumer AI distribution and inference-first MTIA roadmap support a higher inference share scenario.</t>
        </is>
      </c>
      <c r="J1283" s="3" t="inlineStr">
        <is>
          <t>SRC_META_LLAMA; SRC_META_LLAMA4_NVIDIA; SRC_META_MTIA_GENAI_2026; SRC_EPOCH_AI_DATA_CENTERS; ASSUMP_INFERENCE_SHARE_NOT_FACT_60</t>
        </is>
      </c>
      <c r="K1283" s="3" t="inlineStr">
        <is>
          <t>ASSUMP_CONSUMER_AI_UTILIZATION; ASSUMP_POWER_RAMP; ASSUMP_NUMERIC_ACCELERATOR_MIX; ASSUMP_INFERENCE_SHARE_NOT_FACT_60; ASSUMP_WORKLOAD_CLASS_MIX; ASSUMP_AGENTIC_CONTEXT_PENALTY</t>
        </is>
      </c>
      <c r="L1283" s="3" t="inlineStr">
        <is>
          <t>Provider-specific inference/training workload power telemetry.</t>
        </is>
      </c>
    </row>
    <row r="1284">
      <c r="A1284" s="3" t="inlineStr">
        <is>
          <t>Meta</t>
        </is>
      </c>
      <c r="B1284" s="3" t="n">
        <v>2026</v>
      </c>
      <c r="C1284" s="3" t="inlineStr">
        <is>
          <t>Base</t>
        </is>
      </c>
      <c r="D1284" s="3" t="inlineStr">
        <is>
          <t>inference_gw</t>
        </is>
      </c>
      <c r="E1284" s="3" t="n">
        <v>0.673</v>
      </c>
      <c r="F1284" s="3" t="inlineStr">
        <is>
          <t>GW</t>
        </is>
      </c>
      <c r="G1284" s="3" t="inlineStr">
        <is>
          <t>Derived formula</t>
        </is>
      </c>
      <c r="H1284" s="3" t="inlineStr">
        <is>
          <t>ai_it_load_gw * inference_power_share</t>
        </is>
      </c>
      <c r="I1284" s="3" t="inlineStr">
        <is>
          <t>This is the operational power eligible to become commercial generated output tokens through the selected TPS/MW proxy.</t>
        </is>
      </c>
      <c r="J1284" s="3" t="inlineStr">
        <is>
          <t>SRC_META_LLAMA; SRC_META_LLAMA4_NVIDIA; SRC_META_MTIA_GENAI_2026; SRC_EPOCH_AI_DATA_CENTERS</t>
        </is>
      </c>
      <c r="K1284" s="3" t="inlineStr">
        <is>
          <t>ASSUMP_CONSUMER_AI_UTILIZATION; ASSUMP_POWER_RAMP; ASSUMP_NUMERIC_ACCELERATOR_MIX; ASSUMP_INFERENCE_SHARE_NOT_FACT_60; ASSUMP_WORKLOAD_CLASS_MIX; ASSUMP_AGENTIC_CONTEXT_PENALTY</t>
        </is>
      </c>
      <c r="L1284" s="3" t="inlineStr">
        <is>
          <t>Recompute after AI allocation or inference-share evidence changes.</t>
        </is>
      </c>
    </row>
    <row r="1285">
      <c r="A1285" s="3" t="inlineStr">
        <is>
          <t>Meta</t>
        </is>
      </c>
      <c r="B1285" s="3" t="n">
        <v>2026</v>
      </c>
      <c r="C1285" s="3" t="inlineStr">
        <is>
          <t>Base</t>
        </is>
      </c>
      <c r="D1285" s="3" t="inlineStr">
        <is>
          <t>training_power_share</t>
        </is>
      </c>
      <c r="E1285" s="3" t="n">
        <v>0.42</v>
      </c>
      <c r="F1285" s="3" t="inlineStr">
        <is>
          <t>share of AI IT load</t>
        </is>
      </c>
      <c r="G1285" s="3" t="inlineStr">
        <is>
          <t>Derived allocation</t>
        </is>
      </c>
      <c r="H1285" s="3" t="inlineStr">
        <is>
          <t>1 - inference_power_share</t>
        </is>
      </c>
      <c r="I1285" s="3" t="inlineStr">
        <is>
          <t>Training receives the complementary modeled AI IT allocation; it is not a disclosed company workload split.</t>
        </is>
      </c>
      <c r="J1285" s="3" t="inlineStr">
        <is>
          <t>SRC_META_LLAMA; SRC_META_LLAMA4_NVIDIA; SRC_META_MTIA_GENAI_2026; SRC_EPOCH_AI_DATA_CENTERS; ASSUMP_INFERENCE_SHARE_NOT_FACT_60</t>
        </is>
      </c>
      <c r="K1285" s="3" t="inlineStr">
        <is>
          <t>ASSUMP_CONSUMER_AI_UTILIZATION; ASSUMP_POWER_RAMP; ASSUMP_NUMERIC_ACCELERATOR_MIX; ASSUMP_INFERENCE_SHARE_NOT_FACT_60; ASSUMP_WORKLOAD_CLASS_MIX; ASSUMP_AGENTIC_CONTEXT_PENALTY</t>
        </is>
      </c>
      <c r="L1285" s="3" t="inlineStr">
        <is>
          <t>Provider-specific inference/training workload power telemetry.</t>
        </is>
      </c>
    </row>
    <row r="1286">
      <c r="A1286" s="3" t="inlineStr">
        <is>
          <t>Meta</t>
        </is>
      </c>
      <c r="B1286" s="3" t="n">
        <v>2026</v>
      </c>
      <c r="C1286" s="3" t="inlineStr">
        <is>
          <t>Base</t>
        </is>
      </c>
      <c r="D1286" s="3" t="inlineStr">
        <is>
          <t>training_gw</t>
        </is>
      </c>
      <c r="E1286" s="3" t="n">
        <v>0.487</v>
      </c>
      <c r="F1286" s="3" t="inlineStr">
        <is>
          <t>GW</t>
        </is>
      </c>
      <c r="G1286" s="3" t="inlineStr">
        <is>
          <t>Derived formula</t>
        </is>
      </c>
      <c r="H1286" s="3" t="inlineStr">
        <is>
          <t>ai_it_load_gw * training_power_share</t>
        </is>
      </c>
      <c r="I1286" s="3" t="inlineStr">
        <is>
          <t>Training GW is shown separately so commercial inference token capacity is not overstated.</t>
        </is>
      </c>
      <c r="J1286" s="3" t="inlineStr">
        <is>
          <t>SRC_META_LLAMA; SRC_META_LLAMA4_NVIDIA; SRC_META_MTIA_GENAI_2026; SRC_EPOCH_AI_DATA_CENTERS</t>
        </is>
      </c>
      <c r="K1286" s="3" t="inlineStr">
        <is>
          <t>ASSUMP_CONSUMER_AI_UTILIZATION; ASSUMP_POWER_RAMP; ASSUMP_NUMERIC_ACCELERATOR_MIX; ASSUMP_INFERENCE_SHARE_NOT_FACT_60; ASSUMP_WORKLOAD_CLASS_MIX; ASSUMP_AGENTIC_CONTEXT_PENALTY</t>
        </is>
      </c>
      <c r="L1286" s="3" t="inlineStr">
        <is>
          <t>Recompute after AI allocation or workload-split evidence changes.</t>
        </is>
      </c>
    </row>
    <row r="1287">
      <c r="A1287" s="3" t="inlineStr">
        <is>
          <t>Meta</t>
        </is>
      </c>
      <c r="B1287" s="3" t="n">
        <v>2026</v>
      </c>
      <c r="C1287" s="3" t="inlineStr">
        <is>
          <t>Base</t>
        </is>
      </c>
      <c r="D1287" s="3" t="inlineStr">
        <is>
          <t>tokens_per_second_per_mw</t>
        </is>
      </c>
      <c r="E1287" s="3" t="n">
        <v>846954</v>
      </c>
      <c r="F1287" s="3" t="inlineStr">
        <is>
          <t>generated output tokens/sec/MW</t>
        </is>
      </c>
      <c r="G1287" s="3" t="inlineStr">
        <is>
          <t>Derived estimate + benchmark calibration</t>
        </is>
      </c>
      <c r="H1287" s="3" t="inlineStr">
        <is>
          <t>fleet_reference_tps_per_mw * commercial_workload_fit_factor</t>
        </is>
      </c>
      <c r="I128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287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287" s="3" t="inlineStr">
        <is>
          <t>ASSUMP_CONSUMER_AI_UTILIZATION; ASSUMP_POWER_RAMP; ASSUMP_NUMERIC_ACCELERATOR_MIX; ASSUMP_INFERENCE_SHARE_NOT_FACT_60; ASSUMP_WORKLOAD_CLASS_MIX; ASSUMP_AGENTIC_CONTEXT_PENALTY</t>
        </is>
      </c>
      <c r="L1287" s="3" t="inlineStr">
        <is>
          <t>Comparable production output-token throughput with model, hardware, precision, ISL/OSL and SLO matched.</t>
        </is>
      </c>
    </row>
    <row r="1288">
      <c r="A1288" s="3" t="inlineStr">
        <is>
          <t>Meta</t>
        </is>
      </c>
      <c r="B1288" s="3" t="n">
        <v>2026</v>
      </c>
      <c r="C1288" s="3" t="inlineStr">
        <is>
          <t>Base</t>
        </is>
      </c>
      <c r="D1288" s="3" t="inlineStr">
        <is>
          <t>inference_tokens_per_day</t>
        </is>
      </c>
      <c r="E1288" s="3" t="n">
        <v>49248003628800</v>
      </c>
      <c r="F1288" s="3" t="inlineStr">
        <is>
          <t>generated output tokens/day</t>
        </is>
      </c>
      <c r="G1288" s="3" t="inlineStr">
        <is>
          <t>Derived headline metric</t>
        </is>
      </c>
      <c r="H1288" s="3" t="inlineStr">
        <is>
          <t>inference_gw * 1000 * tokens_per_second_per_mw * 86,400</t>
        </is>
      </c>
      <c r="I1288" s="3" t="inlineStr">
        <is>
          <t>Headline capacity uses no utilization, MoE, architecture or software-growth multiplier; it is not observed commercial output volume.</t>
        </is>
      </c>
      <c r="J1288" s="3" t="inlineStr">
        <is>
          <t>SRC_META_LLAMA; SRC_META_LLAMA4_NVIDIA; SRC_META_MTIA_GENAI_2026; SRC_EPOCH_AI_DATA_CENTERS; SRC_SEMIANALYSIS_INFERENCEX</t>
        </is>
      </c>
      <c r="K1288" s="3" t="inlineStr">
        <is>
          <t>ASSUMP_CONSUMER_AI_UTILIZATION; ASSUMP_POWER_RAMP; ASSUMP_NUMERIC_ACCELERATOR_MIX; ASSUMP_INFERENCE_SHARE_NOT_FACT_60; ASSUMP_WORKLOAD_CLASS_MIX; ASSUMP_AGENTIC_CONTEXT_PENALTY</t>
        </is>
      </c>
      <c r="L1288" s="3" t="inlineStr">
        <is>
          <t>Provider-disclosed generated output token volume or calibrated capacity telemetry.</t>
        </is>
      </c>
    </row>
    <row r="1289">
      <c r="A1289" s="3" t="inlineStr">
        <is>
          <t>Meta</t>
        </is>
      </c>
      <c r="B1289" s="3" t="n">
        <v>2026</v>
      </c>
      <c r="C1289" s="3" t="inlineStr">
        <is>
          <t>Base</t>
        </is>
      </c>
      <c r="D1289" s="3" t="inlineStr">
        <is>
          <t>inference_tokens_per_year</t>
        </is>
      </c>
      <c r="E1289" s="3" t="n">
        <v>1.7975521324512e+16</v>
      </c>
      <c r="F1289" s="3" t="inlineStr">
        <is>
          <t>generated output tokens/year</t>
        </is>
      </c>
      <c r="G1289" s="3" t="inlineStr">
        <is>
          <t>Derived headline metric</t>
        </is>
      </c>
      <c r="H1289" s="3" t="inlineStr">
        <is>
          <t>inference_tokens_per_day * 365</t>
        </is>
      </c>
      <c r="I1289" s="3" t="inlineStr">
        <is>
          <t>Annualized version of generated output token capacity; it is not observed annual demand or billable volume.</t>
        </is>
      </c>
      <c r="J1289" s="3" t="inlineStr">
        <is>
          <t>SRC_META_LLAMA; SRC_META_LLAMA4_NVIDIA; SRC_META_MTIA_GENAI_2026; SRC_EPOCH_AI_DATA_CENTERS; SRC_SEMIANALYSIS_INFERENCEX</t>
        </is>
      </c>
      <c r="K1289" s="3" t="inlineStr">
        <is>
          <t>ASSUMP_CONSUMER_AI_UTILIZATION; ASSUMP_POWER_RAMP; ASSUMP_NUMERIC_ACCELERATOR_MIX; ASSUMP_INFERENCE_SHARE_NOT_FACT_60; ASSUMP_WORKLOAD_CLASS_MIX; ASSUMP_AGENTIC_CONTEXT_PENALTY</t>
        </is>
      </c>
      <c r="L1289" s="3" t="inlineStr">
        <is>
          <t>Provider-disclosed annual generated-output volume or metered serving telemetry.</t>
        </is>
      </c>
    </row>
    <row r="1290">
      <c r="A1290" s="3" t="inlineStr">
        <is>
          <t>Meta</t>
        </is>
      </c>
      <c r="B1290" s="3" t="n">
        <v>2027</v>
      </c>
      <c r="C1290" s="3" t="inlineStr">
        <is>
          <t>Base</t>
        </is>
      </c>
      <c r="D1290" s="3" t="inlineStr">
        <is>
          <t>contracted_power_gw</t>
        </is>
      </c>
      <c r="E1290" s="3" t="n">
        <v>4.375</v>
      </c>
      <c r="F1290" s="3" t="inlineStr">
        <is>
          <t>GW</t>
        </is>
      </c>
      <c r="G1290" s="3" t="inlineStr">
        <is>
          <t>Scenario capacity envelope</t>
        </is>
      </c>
      <c r="H1290" s="3" t="inlineStr">
        <is>
          <t>linear interpolation between 2026 and 2030 company capacity endpoints</t>
        </is>
      </c>
      <c r="I1290" s="3" t="inlineStr">
        <is>
          <t>Scenario envelope for Meta AI/Llama serving capacity; not an official contracted-GW figure.</t>
        </is>
      </c>
      <c r="J1290" s="3" t="inlineStr">
        <is>
          <t>ASSUMP_POWER_RAMP; SRC_META_MTIA_GENAI_2026</t>
        </is>
      </c>
      <c r="K1290" s="3" t="inlineStr">
        <is>
          <t>ASSUMP_CONSUMER_AI_UTILIZATION; ASSUMP_POWER_RAMP; ASSUMP_NUMERIC_ACCELERATOR_MIX; ASSUMP_INFERENCE_SHARE_NOT_FACT_60; ASSUMP_WORKLOAD_CLASS_MIX; ASSUMP_AGENTIC_CONTEXT_PENALTY</t>
        </is>
      </c>
      <c r="L1290" s="3" t="inlineStr">
        <is>
          <t>Company/site-level committed MW/GW, interconnect and contract disclosure.</t>
        </is>
      </c>
    </row>
    <row r="1291">
      <c r="A1291" s="3" t="inlineStr">
        <is>
          <t>Meta</t>
        </is>
      </c>
      <c r="B1291" s="3" t="n">
        <v>2027</v>
      </c>
      <c r="C1291" s="3" t="inlineStr">
        <is>
          <t>Base</t>
        </is>
      </c>
      <c r="D1291" s="3" t="inlineStr">
        <is>
          <t>operational_deployment_share</t>
        </is>
      </c>
      <c r="E1291" s="3" t="n">
        <v>0.60571429</v>
      </c>
      <c r="F1291" s="3" t="inlineStr">
        <is>
          <t>share</t>
        </is>
      </c>
      <c r="G1291" s="3" t="inlineStr">
        <is>
          <t>Scenario conversion</t>
        </is>
      </c>
      <c r="H1291" s="3" t="inlineStr">
        <is>
          <t>active_power_gw / contracted_power_gw</t>
        </is>
      </c>
      <c r="I1291" s="3" t="inlineStr">
        <is>
          <t>This is the single explicit conversion from contracted/attributed capacity to operationally usable capacity.</t>
        </is>
      </c>
      <c r="J1291" s="3" t="inlineStr">
        <is>
          <t>ASSUMP_POWER_RAMP; SRC_META_MTIA_GENAI_2026</t>
        </is>
      </c>
      <c r="K1291" s="3" t="inlineStr">
        <is>
          <t>ASSUMP_CONSUMER_AI_UTILIZATION; ASSUMP_POWER_RAMP; ASSUMP_NUMERIC_ACCELERATOR_MIX; ASSUMP_INFERENCE_SHARE_NOT_FACT_60; ASSUMP_WORKLOAD_CLASS_MIX; ASSUMP_AGENTIC_CONTEXT_PENALTY</t>
        </is>
      </c>
      <c r="L1291" s="3" t="inlineStr">
        <is>
          <t>Energized operational capacity divided by contracted/attributed capacity.</t>
        </is>
      </c>
    </row>
    <row r="1292">
      <c r="A1292" s="3" t="inlineStr">
        <is>
          <t>Meta</t>
        </is>
      </c>
      <c r="B1292" s="3" t="n">
        <v>2027</v>
      </c>
      <c r="C1292" s="3" t="inlineStr">
        <is>
          <t>Base</t>
        </is>
      </c>
      <c r="D1292" s="3" t="inlineStr">
        <is>
          <t>active_power_gw</t>
        </is>
      </c>
      <c r="E1292" s="3" t="n">
        <v>2.65</v>
      </c>
      <c r="F1292" s="3" t="inlineStr">
        <is>
          <t>GW</t>
        </is>
      </c>
      <c r="G1292" s="3" t="inlineStr">
        <is>
          <t>Derived scenario</t>
        </is>
      </c>
      <c r="H1292" s="3" t="inlineStr">
        <is>
          <t>contracted_power_gw * operational_deployment_share</t>
        </is>
      </c>
      <c r="I1292" s="3" t="inlineStr">
        <is>
          <t>MTIA deployment direction and consumer product distribution support active ramp, not exact powered GW.</t>
        </is>
      </c>
      <c r="J1292" s="3" t="inlineStr">
        <is>
          <t>ASSUMP_POWER_RAMP; SRC_META_MTIA_GENAI_2026</t>
        </is>
      </c>
      <c r="K1292" s="3" t="inlineStr">
        <is>
          <t>ASSUMP_CONSUMER_AI_UTILIZATION; ASSUMP_POWER_RAMP; ASSUMP_NUMERIC_ACCELERATOR_MIX; ASSUMP_INFERENCE_SHARE_NOT_FACT_60; ASSUMP_WORKLOAD_CLASS_MIX; ASSUMP_AGENTIC_CONTEXT_PENALTY</t>
        </is>
      </c>
      <c r="L1292" s="3" t="inlineStr">
        <is>
          <t>Energization dates, accelerator deliveries and operational powered-rack telemetry.</t>
        </is>
      </c>
    </row>
    <row r="1293">
      <c r="A1293" s="3" t="inlineStr">
        <is>
          <t>Meta</t>
        </is>
      </c>
      <c r="B1293" s="3" t="n">
        <v>2027</v>
      </c>
      <c r="C1293" s="3" t="inlineStr">
        <is>
          <t>Base</t>
        </is>
      </c>
      <c r="D1293" s="3" t="inlineStr">
        <is>
          <t>pue</t>
        </is>
      </c>
      <c r="E1293" s="3" t="n">
        <v>1.2</v>
      </c>
      <c r="F1293" s="3" t="inlineStr">
        <is>
          <t>ratio</t>
        </is>
      </c>
      <c r="G1293" s="3" t="inlineStr">
        <is>
          <t>Scenario parameter</t>
        </is>
      </c>
      <c r="H1293" s="3" t="inlineStr">
        <is>
          <t>it_load_gw = active_power_gw / pue</t>
        </is>
      </c>
      <c r="I1293" s="3" t="inlineStr">
        <is>
          <t>No provider-wide site-level PUE is used as a disclosed fact; PUE represents facility-to-IT conversion within the scenario.</t>
        </is>
      </c>
      <c r="J1293" s="3" t="inlineStr">
        <is>
          <t>ASSUMP_POWER_RAMP</t>
        </is>
      </c>
      <c r="K1293" s="3" t="inlineStr">
        <is>
          <t>ASSUMP_CONSUMER_AI_UTILIZATION; ASSUMP_POWER_RAMP; ASSUMP_NUMERIC_ACCELERATOR_MIX; ASSUMP_INFERENCE_SHARE_NOT_FACT_60; ASSUMP_WORKLOAD_CLASS_MIX; ASSUMP_AGENTIC_CONTEXT_PENALTY</t>
        </is>
      </c>
      <c r="L1293" s="3" t="inlineStr">
        <is>
          <t>Site-level measured PUE matched to attributed AI capacity.</t>
        </is>
      </c>
    </row>
    <row r="1294">
      <c r="A1294" s="3" t="inlineStr">
        <is>
          <t>Meta</t>
        </is>
      </c>
      <c r="B1294" s="3" t="n">
        <v>2027</v>
      </c>
      <c r="C1294" s="3" t="inlineStr">
        <is>
          <t>Base</t>
        </is>
      </c>
      <c r="D1294" s="3" t="inlineStr">
        <is>
          <t>it_load_gw</t>
        </is>
      </c>
      <c r="E1294" s="3" t="n">
        <v>2.208</v>
      </c>
      <c r="F1294" s="3" t="inlineStr">
        <is>
          <t>GW</t>
        </is>
      </c>
      <c r="G1294" s="3" t="inlineStr">
        <is>
          <t>Derived formula</t>
        </is>
      </c>
      <c r="H1294" s="3" t="inlineStr">
        <is>
          <t>active_power_gw / pue</t>
        </is>
      </c>
      <c r="I1294" s="3" t="inlineStr">
        <is>
          <t>Facility power is converted to IT-deliverable power before attributing AI workloads.</t>
        </is>
      </c>
      <c r="J1294" s="3" t="inlineStr">
        <is>
          <t>ASSUMP_POWER_RAMP; SRC_META_MTIA_GENAI_2026</t>
        </is>
      </c>
      <c r="K1294" s="3" t="inlineStr">
        <is>
          <t>ASSUMP_CONSUMER_AI_UTILIZATION; ASSUMP_POWER_RAMP; ASSUMP_NUMERIC_ACCELERATOR_MIX; ASSUMP_INFERENCE_SHARE_NOT_FACT_60; ASSUMP_WORKLOAD_CLASS_MIX; ASSUMP_AGENTIC_CONTEXT_PENALTY</t>
        </is>
      </c>
      <c r="L1294" s="3" t="inlineStr">
        <is>
          <t>Recompute once active power and PUE become site-observable.</t>
        </is>
      </c>
    </row>
    <row r="1295">
      <c r="A1295" s="3" t="inlineStr">
        <is>
          <t>Meta</t>
        </is>
      </c>
      <c r="B1295" s="3" t="n">
        <v>2027</v>
      </c>
      <c r="C1295" s="3" t="inlineStr">
        <is>
          <t>Base</t>
        </is>
      </c>
      <c r="D1295" s="3" t="inlineStr">
        <is>
          <t>ai_workload_share</t>
        </is>
      </c>
      <c r="E1295" s="3" t="n">
        <v>0.87</v>
      </c>
      <c r="F1295" s="3" t="inlineStr">
        <is>
          <t>share</t>
        </is>
      </c>
      <c r="G1295" s="3" t="inlineStr">
        <is>
          <t>Scenario allocation</t>
        </is>
      </c>
      <c r="H1295" s="3" t="inlineStr">
        <is>
          <t>ai_it_load_gw = it_load_gw * ai_workload_share</t>
        </is>
      </c>
      <c r="I1295" s="3" t="inlineStr">
        <is>
          <t>The modeled fleet is focused on AI workloads across Meta AI surfaces; non-LLM ranking/platform overhead is excluded through the 87% share.</t>
        </is>
      </c>
      <c r="J1295" s="3" t="inlineStr">
        <is>
          <t>SRC_META_LLAMA; SRC_META_LLAMA4_NVIDIA; SRC_META_MTIA_GENAI_2026; SRC_EPOCH_AI_DATA_CENTERS</t>
        </is>
      </c>
      <c r="K1295" s="3" t="inlineStr">
        <is>
          <t>ASSUMP_CONSUMER_AI_UTILIZATION; ASSUMP_POWER_RAMP; ASSUMP_NUMERIC_ACCELERATOR_MIX; ASSUMP_INFERENCE_SHARE_NOT_FACT_60; ASSUMP_WORKLOAD_CLASS_MIX; ASSUMP_AGENTIC_CONTEXT_PENALTY</t>
        </is>
      </c>
      <c r="L1295" s="3" t="inlineStr">
        <is>
          <t>Model-owner AI workload allocation or cluster scheduling telemetry.</t>
        </is>
      </c>
    </row>
    <row r="1296">
      <c r="A1296" s="3" t="inlineStr">
        <is>
          <t>Meta</t>
        </is>
      </c>
      <c r="B1296" s="3" t="n">
        <v>2027</v>
      </c>
      <c r="C1296" s="3" t="inlineStr">
        <is>
          <t>Base</t>
        </is>
      </c>
      <c r="D1296" s="3" t="inlineStr">
        <is>
          <t>ai_it_load_gw</t>
        </is>
      </c>
      <c r="E1296" s="3" t="n">
        <v>1.921</v>
      </c>
      <c r="F1296" s="3" t="inlineStr">
        <is>
          <t>GW</t>
        </is>
      </c>
      <c r="G1296" s="3" t="inlineStr">
        <is>
          <t>Derived formula</t>
        </is>
      </c>
      <c r="H1296" s="3" t="inlineStr">
        <is>
          <t>it_load_gw * ai_workload_share</t>
        </is>
      </c>
      <c r="I1296" s="3" t="inlineStr">
        <is>
          <t>Only the AI-attributed portion of IT load enters training/inference allocation.</t>
        </is>
      </c>
      <c r="J1296" s="3" t="inlineStr">
        <is>
          <t>SRC_META_LLAMA; SRC_META_LLAMA4_NVIDIA; SRC_META_MTIA_GENAI_2026; SRC_EPOCH_AI_DATA_CENTERS</t>
        </is>
      </c>
      <c r="K1296" s="3" t="inlineStr">
        <is>
          <t>ASSUMP_CONSUMER_AI_UTILIZATION; ASSUMP_POWER_RAMP; ASSUMP_NUMERIC_ACCELERATOR_MIX; ASSUMP_INFERENCE_SHARE_NOT_FACT_60; ASSUMP_WORKLOAD_CLASS_MIX; ASSUMP_AGENTIC_CONTEXT_PENALTY</t>
        </is>
      </c>
      <c r="L1296" s="3" t="inlineStr">
        <is>
          <t>Recompute after ai_workload_share is replaced by telemetry.</t>
        </is>
      </c>
    </row>
    <row r="1297">
      <c r="A1297" s="3" t="inlineStr">
        <is>
          <t>Meta</t>
        </is>
      </c>
      <c r="B1297" s="3" t="n">
        <v>2027</v>
      </c>
      <c r="C1297" s="3" t="inlineStr">
        <is>
          <t>Base</t>
        </is>
      </c>
      <c r="D1297" s="3" t="inlineStr">
        <is>
          <t>gpu_share</t>
        </is>
      </c>
      <c r="E1297" s="3" t="n">
        <v>1</v>
      </c>
      <c r="F1297" s="3" t="inlineStr">
        <is>
          <t>share of inference-serving accelerator load</t>
        </is>
      </c>
      <c r="G1297" s="3" t="inlineStr">
        <is>
          <t>Numeric scenario</t>
        </is>
      </c>
      <c r="H1297" s="3" t="inlineStr">
        <is>
          <t>gpu_share interpolated from company 2026/2030 accelerator-mix endpoints</t>
        </is>
      </c>
      <c r="I1297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297" s="3" t="inlineStr">
        <is>
          <t>SRC_META_LLAMA; SRC_META_LLAMA4_NVIDIA; SRC_META_MTIA_GENAI_2026; SRC_EPOCH_AI_DATA_CENTERS; ASSUMP_NUMERIC_ACCELERATOR_MIX</t>
        </is>
      </c>
      <c r="K1297" s="3" t="inlineStr">
        <is>
          <t>ASSUMP_CONSUMER_AI_UTILIZATION; ASSUMP_POWER_RAMP; ASSUMP_NUMERIC_ACCELERATOR_MIX; ASSUMP_INFERENCE_SHARE_NOT_FACT_60; ASSUMP_WORKLOAD_CLASS_MIX; ASSUMP_AGENTIC_CONTEXT_PENALTY</t>
        </is>
      </c>
      <c r="L1297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298">
      <c r="A1298" s="3" t="inlineStr">
        <is>
          <t>Meta</t>
        </is>
      </c>
      <c r="B1298" s="3" t="n">
        <v>2027</v>
      </c>
      <c r="C1298" s="3" t="inlineStr">
        <is>
          <t>Base</t>
        </is>
      </c>
      <c r="D1298" s="3" t="inlineStr">
        <is>
          <t>h200_share</t>
        </is>
      </c>
      <c r="E1298" s="3" t="n">
        <v>0</v>
      </c>
      <c r="F1298" s="3" t="inlineStr">
        <is>
          <t>share of inference-serving accelerator load</t>
        </is>
      </c>
      <c r="G1298" s="3" t="inlineStr">
        <is>
          <t>Editable numeric scenario</t>
        </is>
      </c>
      <c r="H1298" s="3" t="inlineStr">
        <is>
          <t>h200_share = gpu_share * default_gpu_generation_mix_h200</t>
        </is>
      </c>
      <c r="I1298" s="3" t="inlineStr">
        <is>
          <t>Default GPU-generation migration assumption; executive workbook allows later manual replacement by company/year/scenario.</t>
        </is>
      </c>
      <c r="J1298" s="3" t="inlineStr">
        <is>
          <t>SRC_SEMIANALYSIS_INFERENCEX; ASSUMP_NUMERIC_ACCELERATOR_MIX</t>
        </is>
      </c>
      <c r="K1298" s="3" t="inlineStr">
        <is>
          <t>ASSUMP_CONSUMER_AI_UTILIZATION; ASSUMP_POWER_RAMP; ASSUMP_NUMERIC_ACCELERATOR_MIX; ASSUMP_INFERENCE_SHARE_NOT_FACT_60; ASSUMP_WORKLOAD_CLASS_MIX; ASSUMP_AGENTIC_CONTEXT_PENALTY</t>
        </is>
      </c>
      <c r="L1298" s="3" t="inlineStr">
        <is>
          <t>Company fleet inventory, accelerator-hours or procurement/deployment records by GPU generation.</t>
        </is>
      </c>
    </row>
    <row r="1299">
      <c r="A1299" s="3" t="inlineStr">
        <is>
          <t>Meta</t>
        </is>
      </c>
      <c r="B1299" s="3" t="n">
        <v>2027</v>
      </c>
      <c r="C1299" s="3" t="inlineStr">
        <is>
          <t>Base</t>
        </is>
      </c>
      <c r="D1299" s="3" t="inlineStr">
        <is>
          <t>b200_share</t>
        </is>
      </c>
      <c r="E1299" s="3" t="n">
        <v>1</v>
      </c>
      <c r="F1299" s="3" t="inlineStr">
        <is>
          <t>share of inference-serving accelerator load</t>
        </is>
      </c>
      <c r="G1299" s="3" t="inlineStr">
        <is>
          <t>Editable numeric scenario</t>
        </is>
      </c>
      <c r="H1299" s="3" t="inlineStr">
        <is>
          <t>b200_share = gpu_share * default_gpu_generation_mix_b200</t>
        </is>
      </c>
      <c r="I1299" s="3" t="inlineStr">
        <is>
          <t>Default GPU-generation migration assumption; executive workbook allows later manual replacement by company/year/scenario.</t>
        </is>
      </c>
      <c r="J1299" s="3" t="inlineStr">
        <is>
          <t>SRC_SEMIANALYSIS_INFERENCEX; ASSUMP_NUMERIC_ACCELERATOR_MIX</t>
        </is>
      </c>
      <c r="K1299" s="3" t="inlineStr">
        <is>
          <t>ASSUMP_CONSUMER_AI_UTILIZATION; ASSUMP_POWER_RAMP; ASSUMP_NUMERIC_ACCELERATOR_MIX; ASSUMP_INFERENCE_SHARE_NOT_FACT_60; ASSUMP_WORKLOAD_CLASS_MIX; ASSUMP_AGENTIC_CONTEXT_PENALTY</t>
        </is>
      </c>
      <c r="L1299" s="3" t="inlineStr">
        <is>
          <t>Company fleet inventory, accelerator-hours or procurement/deployment records by GPU generation.</t>
        </is>
      </c>
    </row>
    <row r="1300">
      <c r="A1300" s="3" t="inlineStr">
        <is>
          <t>Meta</t>
        </is>
      </c>
      <c r="B1300" s="3" t="n">
        <v>2027</v>
      </c>
      <c r="C1300" s="3" t="inlineStr">
        <is>
          <t>Base</t>
        </is>
      </c>
      <c r="D1300" s="3" t="inlineStr">
        <is>
          <t>gb200_share</t>
        </is>
      </c>
      <c r="E1300" s="3" t="n">
        <v>0</v>
      </c>
      <c r="F1300" s="3" t="inlineStr">
        <is>
          <t>share of inference-serving accelerator load</t>
        </is>
      </c>
      <c r="G1300" s="3" t="inlineStr">
        <is>
          <t>Editable numeric scenario</t>
        </is>
      </c>
      <c r="H1300" s="3" t="inlineStr">
        <is>
          <t>gb200_share = gpu_share * default_gpu_generation_mix_gb200</t>
        </is>
      </c>
      <c r="I1300" s="3" t="inlineStr">
        <is>
          <t>Default GPU-generation migration assumption; executive workbook allows later manual replacement by company/year/scenario.</t>
        </is>
      </c>
      <c r="J1300" s="3" t="inlineStr">
        <is>
          <t>SRC_SEMIANALYSIS_INFERENCEX; ASSUMP_NUMERIC_ACCELERATOR_MIX</t>
        </is>
      </c>
      <c r="K1300" s="3" t="inlineStr">
        <is>
          <t>ASSUMP_CONSUMER_AI_UTILIZATION; ASSUMP_POWER_RAMP; ASSUMP_NUMERIC_ACCELERATOR_MIX; ASSUMP_INFERENCE_SHARE_NOT_FACT_60; ASSUMP_WORKLOAD_CLASS_MIX; ASSUMP_AGENTIC_CONTEXT_PENALTY</t>
        </is>
      </c>
      <c r="L1300" s="3" t="inlineStr">
        <is>
          <t>Company fleet inventory, accelerator-hours or procurement/deployment records by GPU generation.</t>
        </is>
      </c>
    </row>
    <row r="1301">
      <c r="A1301" s="3" t="inlineStr">
        <is>
          <t>Meta</t>
        </is>
      </c>
      <c r="B1301" s="3" t="n">
        <v>2027</v>
      </c>
      <c r="C1301" s="3" t="inlineStr">
        <is>
          <t>Base</t>
        </is>
      </c>
      <c r="D1301" s="3" t="inlineStr">
        <is>
          <t>purpose_built_accelerator_share</t>
        </is>
      </c>
      <c r="E1301" s="3" t="n">
        <v>0</v>
      </c>
      <c r="F1301" s="3" t="inlineStr">
        <is>
          <t>share of inference-serving accelerator load</t>
        </is>
      </c>
      <c r="G1301" s="3" t="inlineStr">
        <is>
          <t>Numeric scenario</t>
        </is>
      </c>
      <c r="H1301" s="3" t="inlineStr">
        <is>
          <t>1 - gpu_share</t>
        </is>
      </c>
      <c r="I1301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01" s="3" t="inlineStr">
        <is>
          <t>SRC_META_LLAMA; SRC_META_LLAMA4_NVIDIA; SRC_META_MTIA_GENAI_2026; SRC_EPOCH_AI_DATA_CENTERS; ASSUMP_NUMERIC_ACCELERATOR_MIX</t>
        </is>
      </c>
      <c r="K1301" s="3" t="inlineStr">
        <is>
          <t>ASSUMP_CONSUMER_AI_UTILIZATION; ASSUMP_POWER_RAMP; ASSUMP_NUMERIC_ACCELERATOR_MIX; ASSUMP_INFERENCE_SHARE_NOT_FACT_60; ASSUMP_WORKLOAD_CLASS_MIX; ASSUMP_AGENTIC_CONTEXT_PENALTY</t>
        </is>
      </c>
      <c r="L1301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02">
      <c r="A1302" s="3" t="inlineStr">
        <is>
          <t>Meta</t>
        </is>
      </c>
      <c r="B1302" s="3" t="n">
        <v>2027</v>
      </c>
      <c r="C1302" s="3" t="inlineStr">
        <is>
          <t>Base</t>
        </is>
      </c>
      <c r="D1302" s="3" t="inlineStr">
        <is>
          <t>fleet_reference_tps_per_mw</t>
        </is>
      </c>
      <c r="E1302" s="3" t="n">
        <v>941060</v>
      </c>
      <c r="F1302" s="3" t="inlineStr">
        <is>
          <t>generated output tokens/sec/MW</t>
        </is>
      </c>
      <c r="G1302" s="3" t="inlineStr">
        <is>
          <t>Fleet-weighted public benchmark reference</t>
        </is>
      </c>
      <c r="H1302" s="3" t="inlineStr">
        <is>
          <t>h200_share*h200_workload_avg + b200_share*b200_workload_avg + gb200_share*gb200_workload_avg + purpose_built_share*purpose_workload_avg</t>
        </is>
      </c>
      <c r="I130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02" s="3" t="inlineStr">
        <is>
          <t>SRC_SEMIANALYSIS_INFERENCEX; ASSUMP_NUMERIC_ACCELERATOR_MIX; ASSUMP_WORKLOAD_CLASS_MIX; ASSUMP_AGENTIC_CONTEXT_PENALTY</t>
        </is>
      </c>
      <c r="K1302" s="3" t="inlineStr">
        <is>
          <t>ASSUMP_CONSUMER_AI_UTILIZATION; ASSUMP_POWER_RAMP; ASSUMP_NUMERIC_ACCELERATOR_MIX; ASSUMP_INFERENCE_SHARE_NOT_FACT_60; ASSUMP_WORKLOAD_CLASS_MIX; ASSUMP_AGENTIC_CONTEXT_PENALTY</t>
        </is>
      </c>
      <c r="L1302" s="3" t="inlineStr">
        <is>
          <t>Comparable production output-token throughput or a more closely matched benchmark.</t>
        </is>
      </c>
    </row>
    <row r="1303">
      <c r="A1303" s="3" t="inlineStr">
        <is>
          <t>Meta</t>
        </is>
      </c>
      <c r="B1303" s="3" t="n">
        <v>2027</v>
      </c>
      <c r="C1303" s="3" t="inlineStr">
        <is>
          <t>Base</t>
        </is>
      </c>
      <c r="D1303" s="3" t="inlineStr">
        <is>
          <t>commercial_workload_fit_factor</t>
        </is>
      </c>
      <c r="E1303" s="3" t="n">
        <v>0.9</v>
      </c>
      <c r="F1303" s="3" t="inlineStr">
        <is>
          <t>share of public reference throughput</t>
        </is>
      </c>
      <c r="G1303" s="3" t="inlineStr">
        <is>
          <t>Scenario assumption</t>
        </is>
      </c>
      <c r="H1303" s="3" t="inlineStr">
        <is>
          <t>reference_serving_tps_per_mw = fleet_reference_tps_per_mw * commercial_workload_fit_factor</t>
        </is>
      </c>
      <c r="I130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03" s="3" t="inlineStr">
        <is>
          <t>SRC_SEMIANALYSIS_INFERENCEX; ASSUMP_NUMERIC_ACCELERATOR_MIX; ASSUMP_WORKLOAD_CLASS_MIX; ASSUMP_AGENTIC_CONTEXT_PENALTY</t>
        </is>
      </c>
      <c r="K1303" s="3" t="inlineStr">
        <is>
          <t>ASSUMP_CONSUMER_AI_UTILIZATION; ASSUMP_POWER_RAMP; ASSUMP_NUMERIC_ACCELERATOR_MIX; ASSUMP_INFERENCE_SHARE_NOT_FACT_60; ASSUMP_WORKLOAD_CLASS_MIX; ASSUMP_AGENTIC_CONTEXT_PENALTY</t>
        </is>
      </c>
      <c r="L1303" s="3" t="inlineStr">
        <is>
          <t>Matched commercial serving benchmark by product surface, context shape and latency SLO.</t>
        </is>
      </c>
    </row>
    <row r="1304">
      <c r="A1304" s="3" t="inlineStr">
        <is>
          <t>Meta</t>
        </is>
      </c>
      <c r="B1304" s="3" t="n">
        <v>2027</v>
      </c>
      <c r="C1304" s="3" t="inlineStr">
        <is>
          <t>Base</t>
        </is>
      </c>
      <c r="D1304" s="3" t="inlineStr">
        <is>
          <t>reference_serving_tps_per_mw</t>
        </is>
      </c>
      <c r="E1304" s="3" t="n">
        <v>846954</v>
      </c>
      <c r="F1304" s="3" t="inlineStr">
        <is>
          <t>generated output tokens/sec/MW</t>
        </is>
      </c>
      <c r="G1304" s="3" t="inlineStr">
        <is>
          <t>Workload-adjusted benchmark proxy</t>
        </is>
      </c>
      <c r="H1304" s="3" t="inlineStr">
        <is>
          <t>fleet_reference_tps_per_mw * commercial_workload_fit_factor</t>
        </is>
      </c>
      <c r="I1304" s="3" t="inlineStr">
        <is>
          <t>This is the coefficient used for headline token generation; each GPU's short chat, long chat and agentic TPS/MW are weighted before fleet mix and commercial fit are applied.</t>
        </is>
      </c>
      <c r="J1304" s="3" t="inlineStr">
        <is>
          <t>SRC_SEMIANALYSIS_INFERENCEX; ASSUMP_NUMERIC_ACCELERATOR_MIX; ASSUMP_WORKLOAD_CLASS_MIX; ASSUMP_AGENTIC_CONTEXT_PENALTY</t>
        </is>
      </c>
      <c r="K1304" s="3" t="inlineStr">
        <is>
          <t>ASSUMP_CONSUMER_AI_UTILIZATION; ASSUMP_POWER_RAMP; ASSUMP_NUMERIC_ACCELERATOR_MIX; ASSUMP_INFERENCE_SHARE_NOT_FACT_60; ASSUMP_WORKLOAD_CLASS_MIX; ASSUMP_AGENTIC_CONTEXT_PENALTY</t>
        </is>
      </c>
      <c r="L1304" s="3" t="inlineStr">
        <is>
          <t>Provider production output-token throughput with comparable workload/SLO.</t>
        </is>
      </c>
    </row>
    <row r="1305">
      <c r="A1305" s="3" t="inlineStr">
        <is>
          <t>Meta</t>
        </is>
      </c>
      <c r="B1305" s="3" t="n">
        <v>2027</v>
      </c>
      <c r="C1305" s="3" t="inlineStr">
        <is>
          <t>Base</t>
        </is>
      </c>
      <c r="D1305" s="3" t="inlineStr">
        <is>
          <t>purpose_built_tps_per_mw</t>
        </is>
      </c>
      <c r="E1305" s="3" t="n">
        <v>1105664</v>
      </c>
      <c r="F1305" s="3" t="inlineStr">
        <is>
          <t>generated output tokens/sec/MW</t>
        </is>
      </c>
      <c r="G1305" s="3" t="inlineStr">
        <is>
          <t>Conservative no-uplift proxy</t>
        </is>
      </c>
      <c r="H1305" s="3" t="inlineStr">
        <is>
          <t>purpose_built_tps_per_mw = purpose_built_reference_tps_per_mw * commercial_workload_fit_factor until comparable output-token benchmark is adopted</t>
        </is>
      </c>
      <c r="I1305" s="3" t="inlineStr">
        <is>
          <t>No comparable public output-token/MW row adopted; B200 public reference placeholder is used and remains editable.</t>
        </is>
      </c>
      <c r="J1305" s="3" t="inlineStr">
        <is>
          <t>SRC_META_LLAMA; SRC_META_LLAMA4_NVIDIA; SRC_META_MTIA_GENAI_2026; SRC_EPOCH_AI_DATA_CENTERS; ASSUMP_NUMERIC_ACCELERATOR_MIX</t>
        </is>
      </c>
      <c r="K1305" s="3" t="inlineStr">
        <is>
          <t>ASSUMP_CONSUMER_AI_UTILIZATION; ASSUMP_POWER_RAMP; ASSUMP_NUMERIC_ACCELERATOR_MIX; ASSUMP_INFERENCE_SHARE_NOT_FACT_60; ASSUMP_WORKLOAD_CLASS_MIX; ASSUMP_AGENTIC_CONTEXT_PENALTY</t>
        </is>
      </c>
      <c r="L1305" s="3" t="inlineStr">
        <is>
          <t>Matched-workload generated-output benchmark for the provider purpose-built accelerator.</t>
        </is>
      </c>
    </row>
    <row r="1306">
      <c r="A1306" s="3" t="inlineStr">
        <is>
          <t>Meta</t>
        </is>
      </c>
      <c r="B1306" s="3" t="n">
        <v>2027</v>
      </c>
      <c r="C1306" s="3" t="inlineStr">
        <is>
          <t>Base</t>
        </is>
      </c>
      <c r="D1306" s="3" t="inlineStr">
        <is>
          <t>inference_power_share</t>
        </is>
      </c>
      <c r="E1306" s="3" t="n">
        <v>0.63</v>
      </c>
      <c r="F1306" s="3" t="inlineStr">
        <is>
          <t>share of AI IT load</t>
        </is>
      </c>
      <c r="G1306" s="3" t="inlineStr">
        <is>
          <t>Scenario allocation</t>
        </is>
      </c>
      <c r="H1306" s="3" t="inlineStr">
        <is>
          <t>inference_gw = ai_it_load_gw * inference_power_share</t>
        </is>
      </c>
      <c r="I1306" s="3" t="inlineStr">
        <is>
          <t>Large consumer AI distribution and inference-first MTIA roadmap support a higher inference share scenario.</t>
        </is>
      </c>
      <c r="J1306" s="3" t="inlineStr">
        <is>
          <t>SRC_META_LLAMA; SRC_META_LLAMA4_NVIDIA; SRC_META_MTIA_GENAI_2026; SRC_EPOCH_AI_DATA_CENTERS; ASSUMP_INFERENCE_SHARE_NOT_FACT_60</t>
        </is>
      </c>
      <c r="K1306" s="3" t="inlineStr">
        <is>
          <t>ASSUMP_CONSUMER_AI_UTILIZATION; ASSUMP_POWER_RAMP; ASSUMP_NUMERIC_ACCELERATOR_MIX; ASSUMP_INFERENCE_SHARE_NOT_FACT_60; ASSUMP_WORKLOAD_CLASS_MIX; ASSUMP_AGENTIC_CONTEXT_PENALTY</t>
        </is>
      </c>
      <c r="L1306" s="3" t="inlineStr">
        <is>
          <t>Provider-specific inference/training workload power telemetry.</t>
        </is>
      </c>
    </row>
    <row r="1307">
      <c r="A1307" s="3" t="inlineStr">
        <is>
          <t>Meta</t>
        </is>
      </c>
      <c r="B1307" s="3" t="n">
        <v>2027</v>
      </c>
      <c r="C1307" s="3" t="inlineStr">
        <is>
          <t>Base</t>
        </is>
      </c>
      <c r="D1307" s="3" t="inlineStr">
        <is>
          <t>inference_gw</t>
        </is>
      </c>
      <c r="E1307" s="3" t="n">
        <v>1.21</v>
      </c>
      <c r="F1307" s="3" t="inlineStr">
        <is>
          <t>GW</t>
        </is>
      </c>
      <c r="G1307" s="3" t="inlineStr">
        <is>
          <t>Derived formula</t>
        </is>
      </c>
      <c r="H1307" s="3" t="inlineStr">
        <is>
          <t>ai_it_load_gw * inference_power_share</t>
        </is>
      </c>
      <c r="I1307" s="3" t="inlineStr">
        <is>
          <t>This is the operational power eligible to become commercial generated output tokens through the selected TPS/MW proxy.</t>
        </is>
      </c>
      <c r="J1307" s="3" t="inlineStr">
        <is>
          <t>SRC_META_LLAMA; SRC_META_LLAMA4_NVIDIA; SRC_META_MTIA_GENAI_2026; SRC_EPOCH_AI_DATA_CENTERS</t>
        </is>
      </c>
      <c r="K1307" s="3" t="inlineStr">
        <is>
          <t>ASSUMP_CONSUMER_AI_UTILIZATION; ASSUMP_POWER_RAMP; ASSUMP_NUMERIC_ACCELERATOR_MIX; ASSUMP_INFERENCE_SHARE_NOT_FACT_60; ASSUMP_WORKLOAD_CLASS_MIX; ASSUMP_AGENTIC_CONTEXT_PENALTY</t>
        </is>
      </c>
      <c r="L1307" s="3" t="inlineStr">
        <is>
          <t>Recompute after AI allocation or inference-share evidence changes.</t>
        </is>
      </c>
    </row>
    <row r="1308">
      <c r="A1308" s="3" t="inlineStr">
        <is>
          <t>Meta</t>
        </is>
      </c>
      <c r="B1308" s="3" t="n">
        <v>2027</v>
      </c>
      <c r="C1308" s="3" t="inlineStr">
        <is>
          <t>Base</t>
        </is>
      </c>
      <c r="D1308" s="3" t="inlineStr">
        <is>
          <t>training_power_share</t>
        </is>
      </c>
      <c r="E1308" s="3" t="n">
        <v>0.37</v>
      </c>
      <c r="F1308" s="3" t="inlineStr">
        <is>
          <t>share of AI IT load</t>
        </is>
      </c>
      <c r="G1308" s="3" t="inlineStr">
        <is>
          <t>Derived allocation</t>
        </is>
      </c>
      <c r="H1308" s="3" t="inlineStr">
        <is>
          <t>1 - inference_power_share</t>
        </is>
      </c>
      <c r="I1308" s="3" t="inlineStr">
        <is>
          <t>Training receives the complementary modeled AI IT allocation; it is not a disclosed company workload split.</t>
        </is>
      </c>
      <c r="J1308" s="3" t="inlineStr">
        <is>
          <t>SRC_META_LLAMA; SRC_META_LLAMA4_NVIDIA; SRC_META_MTIA_GENAI_2026; SRC_EPOCH_AI_DATA_CENTERS; ASSUMP_INFERENCE_SHARE_NOT_FACT_60</t>
        </is>
      </c>
      <c r="K1308" s="3" t="inlineStr">
        <is>
          <t>ASSUMP_CONSUMER_AI_UTILIZATION; ASSUMP_POWER_RAMP; ASSUMP_NUMERIC_ACCELERATOR_MIX; ASSUMP_INFERENCE_SHARE_NOT_FACT_60; ASSUMP_WORKLOAD_CLASS_MIX; ASSUMP_AGENTIC_CONTEXT_PENALTY</t>
        </is>
      </c>
      <c r="L1308" s="3" t="inlineStr">
        <is>
          <t>Provider-specific inference/training workload power telemetry.</t>
        </is>
      </c>
    </row>
    <row r="1309">
      <c r="A1309" s="3" t="inlineStr">
        <is>
          <t>Meta</t>
        </is>
      </c>
      <c r="B1309" s="3" t="n">
        <v>2027</v>
      </c>
      <c r="C1309" s="3" t="inlineStr">
        <is>
          <t>Base</t>
        </is>
      </c>
      <c r="D1309" s="3" t="inlineStr">
        <is>
          <t>training_gw</t>
        </is>
      </c>
      <c r="E1309" s="3" t="n">
        <v>0.711</v>
      </c>
      <c r="F1309" s="3" t="inlineStr">
        <is>
          <t>GW</t>
        </is>
      </c>
      <c r="G1309" s="3" t="inlineStr">
        <is>
          <t>Derived formula</t>
        </is>
      </c>
      <c r="H1309" s="3" t="inlineStr">
        <is>
          <t>ai_it_load_gw * training_power_share</t>
        </is>
      </c>
      <c r="I1309" s="3" t="inlineStr">
        <is>
          <t>Training GW is shown separately so commercial inference token capacity is not overstated.</t>
        </is>
      </c>
      <c r="J1309" s="3" t="inlineStr">
        <is>
          <t>SRC_META_LLAMA; SRC_META_LLAMA4_NVIDIA; SRC_META_MTIA_GENAI_2026; SRC_EPOCH_AI_DATA_CENTERS</t>
        </is>
      </c>
      <c r="K1309" s="3" t="inlineStr">
        <is>
          <t>ASSUMP_CONSUMER_AI_UTILIZATION; ASSUMP_POWER_RAMP; ASSUMP_NUMERIC_ACCELERATOR_MIX; ASSUMP_INFERENCE_SHARE_NOT_FACT_60; ASSUMP_WORKLOAD_CLASS_MIX; ASSUMP_AGENTIC_CONTEXT_PENALTY</t>
        </is>
      </c>
      <c r="L1309" s="3" t="inlineStr">
        <is>
          <t>Recompute after AI allocation or workload-split evidence changes.</t>
        </is>
      </c>
    </row>
    <row r="1310">
      <c r="A1310" s="3" t="inlineStr">
        <is>
          <t>Meta</t>
        </is>
      </c>
      <c r="B1310" s="3" t="n">
        <v>2027</v>
      </c>
      <c r="C1310" s="3" t="inlineStr">
        <is>
          <t>Base</t>
        </is>
      </c>
      <c r="D1310" s="3" t="inlineStr">
        <is>
          <t>tokens_per_second_per_mw</t>
        </is>
      </c>
      <c r="E1310" s="3" t="n">
        <v>846954</v>
      </c>
      <c r="F1310" s="3" t="inlineStr">
        <is>
          <t>generated output tokens/sec/MW</t>
        </is>
      </c>
      <c r="G1310" s="3" t="inlineStr">
        <is>
          <t>Derived estimate + benchmark calibration</t>
        </is>
      </c>
      <c r="H1310" s="3" t="inlineStr">
        <is>
          <t>fleet_reference_tps_per_mw * commercial_workload_fit_factor</t>
        </is>
      </c>
      <c r="I131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10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10" s="3" t="inlineStr">
        <is>
          <t>ASSUMP_CONSUMER_AI_UTILIZATION; ASSUMP_POWER_RAMP; ASSUMP_NUMERIC_ACCELERATOR_MIX; ASSUMP_INFERENCE_SHARE_NOT_FACT_60; ASSUMP_WORKLOAD_CLASS_MIX; ASSUMP_AGENTIC_CONTEXT_PENALTY</t>
        </is>
      </c>
      <c r="L1310" s="3" t="inlineStr">
        <is>
          <t>Comparable production output-token throughput with model, hardware, precision, ISL/OSL and SLO matched.</t>
        </is>
      </c>
    </row>
    <row r="1311">
      <c r="A1311" s="3" t="inlineStr">
        <is>
          <t>Meta</t>
        </is>
      </c>
      <c r="B1311" s="3" t="n">
        <v>2027</v>
      </c>
      <c r="C1311" s="3" t="inlineStr">
        <is>
          <t>Base</t>
        </is>
      </c>
      <c r="D1311" s="3" t="inlineStr">
        <is>
          <t>inference_tokens_per_day</t>
        </is>
      </c>
      <c r="E1311" s="3" t="n">
        <v>88543958976000</v>
      </c>
      <c r="F1311" s="3" t="inlineStr">
        <is>
          <t>generated output tokens/day</t>
        </is>
      </c>
      <c r="G1311" s="3" t="inlineStr">
        <is>
          <t>Derived headline metric</t>
        </is>
      </c>
      <c r="H1311" s="3" t="inlineStr">
        <is>
          <t>inference_gw * 1000 * tokens_per_second_per_mw * 86,400</t>
        </is>
      </c>
      <c r="I1311" s="3" t="inlineStr">
        <is>
          <t>Headline capacity uses no utilization, MoE, architecture or software-growth multiplier; it is not observed commercial output volume.</t>
        </is>
      </c>
      <c r="J1311" s="3" t="inlineStr">
        <is>
          <t>SRC_META_LLAMA; SRC_META_LLAMA4_NVIDIA; SRC_META_MTIA_GENAI_2026; SRC_EPOCH_AI_DATA_CENTERS; SRC_SEMIANALYSIS_INFERENCEX</t>
        </is>
      </c>
      <c r="K1311" s="3" t="inlineStr">
        <is>
          <t>ASSUMP_CONSUMER_AI_UTILIZATION; ASSUMP_POWER_RAMP; ASSUMP_NUMERIC_ACCELERATOR_MIX; ASSUMP_INFERENCE_SHARE_NOT_FACT_60; ASSUMP_WORKLOAD_CLASS_MIX; ASSUMP_AGENTIC_CONTEXT_PENALTY</t>
        </is>
      </c>
      <c r="L1311" s="3" t="inlineStr">
        <is>
          <t>Provider-disclosed generated output token volume or calibrated capacity telemetry.</t>
        </is>
      </c>
    </row>
    <row r="1312">
      <c r="A1312" s="3" t="inlineStr">
        <is>
          <t>Meta</t>
        </is>
      </c>
      <c r="B1312" s="3" t="n">
        <v>2027</v>
      </c>
      <c r="C1312" s="3" t="inlineStr">
        <is>
          <t>Base</t>
        </is>
      </c>
      <c r="D1312" s="3" t="inlineStr">
        <is>
          <t>inference_tokens_per_year</t>
        </is>
      </c>
      <c r="E1312" s="3" t="n">
        <v>3.231854502624e+16</v>
      </c>
      <c r="F1312" s="3" t="inlineStr">
        <is>
          <t>generated output tokens/year</t>
        </is>
      </c>
      <c r="G1312" s="3" t="inlineStr">
        <is>
          <t>Derived headline metric</t>
        </is>
      </c>
      <c r="H1312" s="3" t="inlineStr">
        <is>
          <t>inference_tokens_per_day * 365</t>
        </is>
      </c>
      <c r="I1312" s="3" t="inlineStr">
        <is>
          <t>Annualized version of generated output token capacity; it is not observed annual demand or billable volume.</t>
        </is>
      </c>
      <c r="J1312" s="3" t="inlineStr">
        <is>
          <t>SRC_META_LLAMA; SRC_META_LLAMA4_NVIDIA; SRC_META_MTIA_GENAI_2026; SRC_EPOCH_AI_DATA_CENTERS; SRC_SEMIANALYSIS_INFERENCEX</t>
        </is>
      </c>
      <c r="K1312" s="3" t="inlineStr">
        <is>
          <t>ASSUMP_CONSUMER_AI_UTILIZATION; ASSUMP_POWER_RAMP; ASSUMP_NUMERIC_ACCELERATOR_MIX; ASSUMP_INFERENCE_SHARE_NOT_FACT_60; ASSUMP_WORKLOAD_CLASS_MIX; ASSUMP_AGENTIC_CONTEXT_PENALTY</t>
        </is>
      </c>
      <c r="L1312" s="3" t="inlineStr">
        <is>
          <t>Provider-disclosed annual generated-output volume or metered serving telemetry.</t>
        </is>
      </c>
    </row>
    <row r="1313">
      <c r="A1313" s="3" t="inlineStr">
        <is>
          <t>Meta</t>
        </is>
      </c>
      <c r="B1313" s="3" t="n">
        <v>2028</v>
      </c>
      <c r="C1313" s="3" t="inlineStr">
        <is>
          <t>Base</t>
        </is>
      </c>
      <c r="D1313" s="3" t="inlineStr">
        <is>
          <t>contracted_power_gw</t>
        </is>
      </c>
      <c r="E1313" s="3" t="n">
        <v>5.25</v>
      </c>
      <c r="F1313" s="3" t="inlineStr">
        <is>
          <t>GW</t>
        </is>
      </c>
      <c r="G1313" s="3" t="inlineStr">
        <is>
          <t>Scenario capacity envelope</t>
        </is>
      </c>
      <c r="H1313" s="3" t="inlineStr">
        <is>
          <t>linear interpolation between 2026 and 2030 company capacity endpoints</t>
        </is>
      </c>
      <c r="I1313" s="3" t="inlineStr">
        <is>
          <t>Scenario envelope for Meta AI/Llama serving capacity; not an official contracted-GW figure.</t>
        </is>
      </c>
      <c r="J1313" s="3" t="inlineStr">
        <is>
          <t>ASSUMP_POWER_RAMP; SRC_META_MTIA_GENAI_2026</t>
        </is>
      </c>
      <c r="K1313" s="3" t="inlineStr">
        <is>
          <t>ASSUMP_CONSUMER_AI_UTILIZATION; ASSUMP_POWER_RAMP; ASSUMP_NUMERIC_ACCELERATOR_MIX; ASSUMP_INFERENCE_SHARE_NOT_FACT_60; ASSUMP_WORKLOAD_CLASS_MIX; ASSUMP_AGENTIC_CONTEXT_PENALTY</t>
        </is>
      </c>
      <c r="L1313" s="3" t="inlineStr">
        <is>
          <t>Company/site-level committed MW/GW, interconnect and contract disclosure.</t>
        </is>
      </c>
    </row>
    <row r="1314">
      <c r="A1314" s="3" t="inlineStr">
        <is>
          <t>Meta</t>
        </is>
      </c>
      <c r="B1314" s="3" t="n">
        <v>2028</v>
      </c>
      <c r="C1314" s="3" t="inlineStr">
        <is>
          <t>Base</t>
        </is>
      </c>
      <c r="D1314" s="3" t="inlineStr">
        <is>
          <t>operational_deployment_share</t>
        </is>
      </c>
      <c r="E1314" s="3" t="n">
        <v>0.7047619000000001</v>
      </c>
      <c r="F1314" s="3" t="inlineStr">
        <is>
          <t>share</t>
        </is>
      </c>
      <c r="G1314" s="3" t="inlineStr">
        <is>
          <t>Scenario conversion</t>
        </is>
      </c>
      <c r="H1314" s="3" t="inlineStr">
        <is>
          <t>active_power_gw / contracted_power_gw</t>
        </is>
      </c>
      <c r="I1314" s="3" t="inlineStr">
        <is>
          <t>This is the single explicit conversion from contracted/attributed capacity to operationally usable capacity.</t>
        </is>
      </c>
      <c r="J1314" s="3" t="inlineStr">
        <is>
          <t>ASSUMP_POWER_RAMP; SRC_META_MTIA_GENAI_2026</t>
        </is>
      </c>
      <c r="K1314" s="3" t="inlineStr">
        <is>
          <t>ASSUMP_CONSUMER_AI_UTILIZATION; ASSUMP_POWER_RAMP; ASSUMP_NUMERIC_ACCELERATOR_MIX; ASSUMP_INFERENCE_SHARE_NOT_FACT_60; ASSUMP_WORKLOAD_CLASS_MIX; ASSUMP_AGENTIC_CONTEXT_PENALTY</t>
        </is>
      </c>
      <c r="L1314" s="3" t="inlineStr">
        <is>
          <t>Energized operational capacity divided by contracted/attributed capacity.</t>
        </is>
      </c>
    </row>
    <row r="1315">
      <c r="A1315" s="3" t="inlineStr">
        <is>
          <t>Meta</t>
        </is>
      </c>
      <c r="B1315" s="3" t="n">
        <v>2028</v>
      </c>
      <c r="C1315" s="3" t="inlineStr">
        <is>
          <t>Base</t>
        </is>
      </c>
      <c r="D1315" s="3" t="inlineStr">
        <is>
          <t>active_power_gw</t>
        </is>
      </c>
      <c r="E1315" s="3" t="n">
        <v>3.7</v>
      </c>
      <c r="F1315" s="3" t="inlineStr">
        <is>
          <t>GW</t>
        </is>
      </c>
      <c r="G1315" s="3" t="inlineStr">
        <is>
          <t>Derived scenario</t>
        </is>
      </c>
      <c r="H1315" s="3" t="inlineStr">
        <is>
          <t>contracted_power_gw * operational_deployment_share</t>
        </is>
      </c>
      <c r="I1315" s="3" t="inlineStr">
        <is>
          <t>MTIA deployment direction and consumer product distribution support active ramp, not exact powered GW.</t>
        </is>
      </c>
      <c r="J1315" s="3" t="inlineStr">
        <is>
          <t>ASSUMP_POWER_RAMP; SRC_META_MTIA_GENAI_2026</t>
        </is>
      </c>
      <c r="K1315" s="3" t="inlineStr">
        <is>
          <t>ASSUMP_CONSUMER_AI_UTILIZATION; ASSUMP_POWER_RAMP; ASSUMP_NUMERIC_ACCELERATOR_MIX; ASSUMP_INFERENCE_SHARE_NOT_FACT_60; ASSUMP_WORKLOAD_CLASS_MIX; ASSUMP_AGENTIC_CONTEXT_PENALTY</t>
        </is>
      </c>
      <c r="L1315" s="3" t="inlineStr">
        <is>
          <t>Energization dates, accelerator deliveries and operational powered-rack telemetry.</t>
        </is>
      </c>
    </row>
    <row r="1316">
      <c r="A1316" s="3" t="inlineStr">
        <is>
          <t>Meta</t>
        </is>
      </c>
      <c r="B1316" s="3" t="n">
        <v>2028</v>
      </c>
      <c r="C1316" s="3" t="inlineStr">
        <is>
          <t>Base</t>
        </is>
      </c>
      <c r="D1316" s="3" t="inlineStr">
        <is>
          <t>pue</t>
        </is>
      </c>
      <c r="E1316" s="3" t="n">
        <v>1.2</v>
      </c>
      <c r="F1316" s="3" t="inlineStr">
        <is>
          <t>ratio</t>
        </is>
      </c>
      <c r="G1316" s="3" t="inlineStr">
        <is>
          <t>Scenario parameter</t>
        </is>
      </c>
      <c r="H1316" s="3" t="inlineStr">
        <is>
          <t>it_load_gw = active_power_gw / pue</t>
        </is>
      </c>
      <c r="I1316" s="3" t="inlineStr">
        <is>
          <t>No provider-wide site-level PUE is used as a disclosed fact; PUE represents facility-to-IT conversion within the scenario.</t>
        </is>
      </c>
      <c r="J1316" s="3" t="inlineStr">
        <is>
          <t>ASSUMP_POWER_RAMP</t>
        </is>
      </c>
      <c r="K1316" s="3" t="inlineStr">
        <is>
          <t>ASSUMP_CONSUMER_AI_UTILIZATION; ASSUMP_POWER_RAMP; ASSUMP_NUMERIC_ACCELERATOR_MIX; ASSUMP_INFERENCE_SHARE_NOT_FACT_60; ASSUMP_WORKLOAD_CLASS_MIX; ASSUMP_AGENTIC_CONTEXT_PENALTY</t>
        </is>
      </c>
      <c r="L1316" s="3" t="inlineStr">
        <is>
          <t>Site-level measured PUE matched to attributed AI capacity.</t>
        </is>
      </c>
    </row>
    <row r="1317">
      <c r="A1317" s="3" t="inlineStr">
        <is>
          <t>Meta</t>
        </is>
      </c>
      <c r="B1317" s="3" t="n">
        <v>2028</v>
      </c>
      <c r="C1317" s="3" t="inlineStr">
        <is>
          <t>Base</t>
        </is>
      </c>
      <c r="D1317" s="3" t="inlineStr">
        <is>
          <t>it_load_gw</t>
        </is>
      </c>
      <c r="E1317" s="3" t="n">
        <v>3.083</v>
      </c>
      <c r="F1317" s="3" t="inlineStr">
        <is>
          <t>GW</t>
        </is>
      </c>
      <c r="G1317" s="3" t="inlineStr">
        <is>
          <t>Derived formula</t>
        </is>
      </c>
      <c r="H1317" s="3" t="inlineStr">
        <is>
          <t>active_power_gw / pue</t>
        </is>
      </c>
      <c r="I1317" s="3" t="inlineStr">
        <is>
          <t>Facility power is converted to IT-deliverable power before attributing AI workloads.</t>
        </is>
      </c>
      <c r="J1317" s="3" t="inlineStr">
        <is>
          <t>ASSUMP_POWER_RAMP; SRC_META_MTIA_GENAI_2026</t>
        </is>
      </c>
      <c r="K1317" s="3" t="inlineStr">
        <is>
          <t>ASSUMP_CONSUMER_AI_UTILIZATION; ASSUMP_POWER_RAMP; ASSUMP_NUMERIC_ACCELERATOR_MIX; ASSUMP_INFERENCE_SHARE_NOT_FACT_60; ASSUMP_WORKLOAD_CLASS_MIX; ASSUMP_AGENTIC_CONTEXT_PENALTY</t>
        </is>
      </c>
      <c r="L1317" s="3" t="inlineStr">
        <is>
          <t>Recompute once active power and PUE become site-observable.</t>
        </is>
      </c>
    </row>
    <row r="1318">
      <c r="A1318" s="3" t="inlineStr">
        <is>
          <t>Meta</t>
        </is>
      </c>
      <c r="B1318" s="3" t="n">
        <v>2028</v>
      </c>
      <c r="C1318" s="3" t="inlineStr">
        <is>
          <t>Base</t>
        </is>
      </c>
      <c r="D1318" s="3" t="inlineStr">
        <is>
          <t>ai_workload_share</t>
        </is>
      </c>
      <c r="E1318" s="3" t="n">
        <v>0.87</v>
      </c>
      <c r="F1318" s="3" t="inlineStr">
        <is>
          <t>share</t>
        </is>
      </c>
      <c r="G1318" s="3" t="inlineStr">
        <is>
          <t>Scenario allocation</t>
        </is>
      </c>
      <c r="H1318" s="3" t="inlineStr">
        <is>
          <t>ai_it_load_gw = it_load_gw * ai_workload_share</t>
        </is>
      </c>
      <c r="I1318" s="3" t="inlineStr">
        <is>
          <t>The modeled fleet is focused on AI workloads across Meta AI surfaces; non-LLM ranking/platform overhead is excluded through the 87% share.</t>
        </is>
      </c>
      <c r="J1318" s="3" t="inlineStr">
        <is>
          <t>SRC_META_LLAMA; SRC_META_LLAMA4_NVIDIA; SRC_META_MTIA_GENAI_2026; SRC_EPOCH_AI_DATA_CENTERS</t>
        </is>
      </c>
      <c r="K1318" s="3" t="inlineStr">
        <is>
          <t>ASSUMP_CONSUMER_AI_UTILIZATION; ASSUMP_POWER_RAMP; ASSUMP_NUMERIC_ACCELERATOR_MIX; ASSUMP_INFERENCE_SHARE_NOT_FACT_60; ASSUMP_WORKLOAD_CLASS_MIX; ASSUMP_AGENTIC_CONTEXT_PENALTY</t>
        </is>
      </c>
      <c r="L1318" s="3" t="inlineStr">
        <is>
          <t>Model-owner AI workload allocation or cluster scheduling telemetry.</t>
        </is>
      </c>
    </row>
    <row r="1319">
      <c r="A1319" s="3" t="inlineStr">
        <is>
          <t>Meta</t>
        </is>
      </c>
      <c r="B1319" s="3" t="n">
        <v>2028</v>
      </c>
      <c r="C1319" s="3" t="inlineStr">
        <is>
          <t>Base</t>
        </is>
      </c>
      <c r="D1319" s="3" t="inlineStr">
        <is>
          <t>ai_it_load_gw</t>
        </is>
      </c>
      <c r="E1319" s="3" t="n">
        <v>2.682</v>
      </c>
      <c r="F1319" s="3" t="inlineStr">
        <is>
          <t>GW</t>
        </is>
      </c>
      <c r="G1319" s="3" t="inlineStr">
        <is>
          <t>Derived formula</t>
        </is>
      </c>
      <c r="H1319" s="3" t="inlineStr">
        <is>
          <t>it_load_gw * ai_workload_share</t>
        </is>
      </c>
      <c r="I1319" s="3" t="inlineStr">
        <is>
          <t>Only the AI-attributed portion of IT load enters training/inference allocation.</t>
        </is>
      </c>
      <c r="J1319" s="3" t="inlineStr">
        <is>
          <t>SRC_META_LLAMA; SRC_META_LLAMA4_NVIDIA; SRC_META_MTIA_GENAI_2026; SRC_EPOCH_AI_DATA_CENTERS</t>
        </is>
      </c>
      <c r="K1319" s="3" t="inlineStr">
        <is>
          <t>ASSUMP_CONSUMER_AI_UTILIZATION; ASSUMP_POWER_RAMP; ASSUMP_NUMERIC_ACCELERATOR_MIX; ASSUMP_INFERENCE_SHARE_NOT_FACT_60; ASSUMP_WORKLOAD_CLASS_MIX; ASSUMP_AGENTIC_CONTEXT_PENALTY</t>
        </is>
      </c>
      <c r="L1319" s="3" t="inlineStr">
        <is>
          <t>Recompute after ai_workload_share is replaced by telemetry.</t>
        </is>
      </c>
    </row>
    <row r="1320">
      <c r="A1320" s="3" t="inlineStr">
        <is>
          <t>Meta</t>
        </is>
      </c>
      <c r="B1320" s="3" t="n">
        <v>2028</v>
      </c>
      <c r="C1320" s="3" t="inlineStr">
        <is>
          <t>Base</t>
        </is>
      </c>
      <c r="D1320" s="3" t="inlineStr">
        <is>
          <t>gpu_share</t>
        </is>
      </c>
      <c r="E1320" s="3" t="n">
        <v>0.612306</v>
      </c>
      <c r="F1320" s="3" t="inlineStr">
        <is>
          <t>share of inference-serving accelerator load</t>
        </is>
      </c>
      <c r="G1320" s="3" t="inlineStr">
        <is>
          <t>Numeric scenario</t>
        </is>
      </c>
      <c r="H1320" s="3" t="inlineStr">
        <is>
          <t>gpu_share interpolated from company 2026/2030 accelerator-mix endpoints</t>
        </is>
      </c>
      <c r="I1320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20" s="3" t="inlineStr">
        <is>
          <t>SRC_META_LLAMA; SRC_META_LLAMA4_NVIDIA; SRC_META_MTIA_GENAI_2026; SRC_EPOCH_AI_DATA_CENTERS; ASSUMP_NUMERIC_ACCELERATOR_MIX</t>
        </is>
      </c>
      <c r="K1320" s="3" t="inlineStr">
        <is>
          <t>ASSUMP_CONSUMER_AI_UTILIZATION; ASSUMP_POWER_RAMP; ASSUMP_NUMERIC_ACCELERATOR_MIX; ASSUMP_INFERENCE_SHARE_NOT_FACT_60; ASSUMP_WORKLOAD_CLASS_MIX; ASSUMP_AGENTIC_CONTEXT_PENALTY</t>
        </is>
      </c>
      <c r="L1320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21">
      <c r="A1321" s="3" t="inlineStr">
        <is>
          <t>Meta</t>
        </is>
      </c>
      <c r="B1321" s="3" t="n">
        <v>2028</v>
      </c>
      <c r="C1321" s="3" t="inlineStr">
        <is>
          <t>Base</t>
        </is>
      </c>
      <c r="D1321" s="3" t="inlineStr">
        <is>
          <t>h200_share</t>
        </is>
      </c>
      <c r="E1321" s="3" t="n">
        <v>0</v>
      </c>
      <c r="F1321" s="3" t="inlineStr">
        <is>
          <t>share of inference-serving accelerator load</t>
        </is>
      </c>
      <c r="G1321" s="3" t="inlineStr">
        <is>
          <t>Editable numeric scenario</t>
        </is>
      </c>
      <c r="H1321" s="3" t="inlineStr">
        <is>
          <t>h200_share = gpu_share * default_gpu_generation_mix_h200</t>
        </is>
      </c>
      <c r="I1321" s="3" t="inlineStr">
        <is>
          <t>Default GPU-generation migration assumption; executive workbook allows later manual replacement by company/year/scenario.</t>
        </is>
      </c>
      <c r="J1321" s="3" t="inlineStr">
        <is>
          <t>SRC_SEMIANALYSIS_INFERENCEX; ASSUMP_NUMERIC_ACCELERATOR_MIX</t>
        </is>
      </c>
      <c r="K1321" s="3" t="inlineStr">
        <is>
          <t>ASSUMP_CONSUMER_AI_UTILIZATION; ASSUMP_POWER_RAMP; ASSUMP_NUMERIC_ACCELERATOR_MIX; ASSUMP_INFERENCE_SHARE_NOT_FACT_60; ASSUMP_WORKLOAD_CLASS_MIX; ASSUMP_AGENTIC_CONTEXT_PENALTY</t>
        </is>
      </c>
      <c r="L1321" s="3" t="inlineStr">
        <is>
          <t>Company fleet inventory, accelerator-hours or procurement/deployment records by GPU generation.</t>
        </is>
      </c>
    </row>
    <row r="1322">
      <c r="A1322" s="3" t="inlineStr">
        <is>
          <t>Meta</t>
        </is>
      </c>
      <c r="B1322" s="3" t="n">
        <v>2028</v>
      </c>
      <c r="C1322" s="3" t="inlineStr">
        <is>
          <t>Base</t>
        </is>
      </c>
      <c r="D1322" s="3" t="inlineStr">
        <is>
          <t>b200_share</t>
        </is>
      </c>
      <c r="E1322" s="3" t="n">
        <v>0.612306</v>
      </c>
      <c r="F1322" s="3" t="inlineStr">
        <is>
          <t>share of inference-serving accelerator load</t>
        </is>
      </c>
      <c r="G1322" s="3" t="inlineStr">
        <is>
          <t>Editable numeric scenario</t>
        </is>
      </c>
      <c r="H1322" s="3" t="inlineStr">
        <is>
          <t>b200_share = gpu_share * default_gpu_generation_mix_b200</t>
        </is>
      </c>
      <c r="I1322" s="3" t="inlineStr">
        <is>
          <t>Default GPU-generation migration assumption; executive workbook allows later manual replacement by company/year/scenario.</t>
        </is>
      </c>
      <c r="J1322" s="3" t="inlineStr">
        <is>
          <t>SRC_SEMIANALYSIS_INFERENCEX; ASSUMP_NUMERIC_ACCELERATOR_MIX</t>
        </is>
      </c>
      <c r="K1322" s="3" t="inlineStr">
        <is>
          <t>ASSUMP_CONSUMER_AI_UTILIZATION; ASSUMP_POWER_RAMP; ASSUMP_NUMERIC_ACCELERATOR_MIX; ASSUMP_INFERENCE_SHARE_NOT_FACT_60; ASSUMP_WORKLOAD_CLASS_MIX; ASSUMP_AGENTIC_CONTEXT_PENALTY</t>
        </is>
      </c>
      <c r="L1322" s="3" t="inlineStr">
        <is>
          <t>Company fleet inventory, accelerator-hours or procurement/deployment records by GPU generation.</t>
        </is>
      </c>
    </row>
    <row r="1323">
      <c r="A1323" s="3" t="inlineStr">
        <is>
          <t>Meta</t>
        </is>
      </c>
      <c r="B1323" s="3" t="n">
        <v>2028</v>
      </c>
      <c r="C1323" s="3" t="inlineStr">
        <is>
          <t>Base</t>
        </is>
      </c>
      <c r="D1323" s="3" t="inlineStr">
        <is>
          <t>gb200_share</t>
        </is>
      </c>
      <c r="E1323" s="3" t="n">
        <v>0</v>
      </c>
      <c r="F1323" s="3" t="inlineStr">
        <is>
          <t>share of inference-serving accelerator load</t>
        </is>
      </c>
      <c r="G1323" s="3" t="inlineStr">
        <is>
          <t>Editable numeric scenario</t>
        </is>
      </c>
      <c r="H1323" s="3" t="inlineStr">
        <is>
          <t>gb200_share = gpu_share * default_gpu_generation_mix_gb200</t>
        </is>
      </c>
      <c r="I1323" s="3" t="inlineStr">
        <is>
          <t>Default GPU-generation migration assumption; executive workbook allows later manual replacement by company/year/scenario.</t>
        </is>
      </c>
      <c r="J1323" s="3" t="inlineStr">
        <is>
          <t>SRC_SEMIANALYSIS_INFERENCEX; ASSUMP_NUMERIC_ACCELERATOR_MIX</t>
        </is>
      </c>
      <c r="K1323" s="3" t="inlineStr">
        <is>
          <t>ASSUMP_CONSUMER_AI_UTILIZATION; ASSUMP_POWER_RAMP; ASSUMP_NUMERIC_ACCELERATOR_MIX; ASSUMP_INFERENCE_SHARE_NOT_FACT_60; ASSUMP_WORKLOAD_CLASS_MIX; ASSUMP_AGENTIC_CONTEXT_PENALTY</t>
        </is>
      </c>
      <c r="L1323" s="3" t="inlineStr">
        <is>
          <t>Company fleet inventory, accelerator-hours or procurement/deployment records by GPU generation.</t>
        </is>
      </c>
    </row>
    <row r="1324">
      <c r="A1324" s="3" t="inlineStr">
        <is>
          <t>Meta</t>
        </is>
      </c>
      <c r="B1324" s="3" t="n">
        <v>2028</v>
      </c>
      <c r="C1324" s="3" t="inlineStr">
        <is>
          <t>Base</t>
        </is>
      </c>
      <c r="D1324" s="3" t="inlineStr">
        <is>
          <t>purpose_built_accelerator_share</t>
        </is>
      </c>
      <c r="E1324" s="3" t="n">
        <v>0.387694</v>
      </c>
      <c r="F1324" s="3" t="inlineStr">
        <is>
          <t>share of inference-serving accelerator load</t>
        </is>
      </c>
      <c r="G1324" s="3" t="inlineStr">
        <is>
          <t>Numeric scenario</t>
        </is>
      </c>
      <c r="H1324" s="3" t="inlineStr">
        <is>
          <t>1 - gpu_share</t>
        </is>
      </c>
      <c r="I1324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24" s="3" t="inlineStr">
        <is>
          <t>SRC_META_LLAMA; SRC_META_LLAMA4_NVIDIA; SRC_META_MTIA_GENAI_2026; SRC_EPOCH_AI_DATA_CENTERS; ASSUMP_NUMERIC_ACCELERATOR_MIX</t>
        </is>
      </c>
      <c r="K1324" s="3" t="inlineStr">
        <is>
          <t>ASSUMP_CONSUMER_AI_UTILIZATION; ASSUMP_POWER_RAMP; ASSUMP_NUMERIC_ACCELERATOR_MIX; ASSUMP_INFERENCE_SHARE_NOT_FACT_60; ASSUMP_WORKLOAD_CLASS_MIX; ASSUMP_AGENTIC_CONTEXT_PENALTY</t>
        </is>
      </c>
      <c r="L1324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25">
      <c r="A1325" s="3" t="inlineStr">
        <is>
          <t>Meta</t>
        </is>
      </c>
      <c r="B1325" s="3" t="n">
        <v>2028</v>
      </c>
      <c r="C1325" s="3" t="inlineStr">
        <is>
          <t>Base</t>
        </is>
      </c>
      <c r="D1325" s="3" t="inlineStr">
        <is>
          <t>fleet_reference_tps_per_mw</t>
        </is>
      </c>
      <c r="E1325" s="3" t="n">
        <v>941060</v>
      </c>
      <c r="F1325" s="3" t="inlineStr">
        <is>
          <t>generated output tokens/sec/MW</t>
        </is>
      </c>
      <c r="G1325" s="3" t="inlineStr">
        <is>
          <t>Fleet-weighted public benchmark reference</t>
        </is>
      </c>
      <c r="H1325" s="3" t="inlineStr">
        <is>
          <t>h200_share*h200_workload_avg + b200_share*b200_workload_avg + gb200_share*gb200_workload_avg + purpose_built_share*purpose_workload_avg</t>
        </is>
      </c>
      <c r="I132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25" s="3" t="inlineStr">
        <is>
          <t>SRC_SEMIANALYSIS_INFERENCEX; ASSUMP_NUMERIC_ACCELERATOR_MIX; ASSUMP_WORKLOAD_CLASS_MIX; ASSUMP_AGENTIC_CONTEXT_PENALTY</t>
        </is>
      </c>
      <c r="K1325" s="3" t="inlineStr">
        <is>
          <t>ASSUMP_CONSUMER_AI_UTILIZATION; ASSUMP_POWER_RAMP; ASSUMP_NUMERIC_ACCELERATOR_MIX; ASSUMP_INFERENCE_SHARE_NOT_FACT_60; ASSUMP_WORKLOAD_CLASS_MIX; ASSUMP_AGENTIC_CONTEXT_PENALTY</t>
        </is>
      </c>
      <c r="L1325" s="3" t="inlineStr">
        <is>
          <t>Comparable production output-token throughput or a more closely matched benchmark.</t>
        </is>
      </c>
    </row>
    <row r="1326">
      <c r="A1326" s="3" t="inlineStr">
        <is>
          <t>Meta</t>
        </is>
      </c>
      <c r="B1326" s="3" t="n">
        <v>2028</v>
      </c>
      <c r="C1326" s="3" t="inlineStr">
        <is>
          <t>Base</t>
        </is>
      </c>
      <c r="D1326" s="3" t="inlineStr">
        <is>
          <t>commercial_workload_fit_factor</t>
        </is>
      </c>
      <c r="E1326" s="3" t="n">
        <v>0.9</v>
      </c>
      <c r="F1326" s="3" t="inlineStr">
        <is>
          <t>share of public reference throughput</t>
        </is>
      </c>
      <c r="G1326" s="3" t="inlineStr">
        <is>
          <t>Scenario assumption</t>
        </is>
      </c>
      <c r="H1326" s="3" t="inlineStr">
        <is>
          <t>reference_serving_tps_per_mw = fleet_reference_tps_per_mw * commercial_workload_fit_factor</t>
        </is>
      </c>
      <c r="I132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26" s="3" t="inlineStr">
        <is>
          <t>SRC_SEMIANALYSIS_INFERENCEX; ASSUMP_NUMERIC_ACCELERATOR_MIX; ASSUMP_WORKLOAD_CLASS_MIX; ASSUMP_AGENTIC_CONTEXT_PENALTY</t>
        </is>
      </c>
      <c r="K1326" s="3" t="inlineStr">
        <is>
          <t>ASSUMP_CONSUMER_AI_UTILIZATION; ASSUMP_POWER_RAMP; ASSUMP_NUMERIC_ACCELERATOR_MIX; ASSUMP_INFERENCE_SHARE_NOT_FACT_60; ASSUMP_WORKLOAD_CLASS_MIX; ASSUMP_AGENTIC_CONTEXT_PENALTY</t>
        </is>
      </c>
      <c r="L1326" s="3" t="inlineStr">
        <is>
          <t>Matched commercial serving benchmark by product surface, context shape and latency SLO.</t>
        </is>
      </c>
    </row>
    <row r="1327">
      <c r="A1327" s="3" t="inlineStr">
        <is>
          <t>Meta</t>
        </is>
      </c>
      <c r="B1327" s="3" t="n">
        <v>2028</v>
      </c>
      <c r="C1327" s="3" t="inlineStr">
        <is>
          <t>Base</t>
        </is>
      </c>
      <c r="D1327" s="3" t="inlineStr">
        <is>
          <t>reference_serving_tps_per_mw</t>
        </is>
      </c>
      <c r="E1327" s="3" t="n">
        <v>846954</v>
      </c>
      <c r="F1327" s="3" t="inlineStr">
        <is>
          <t>generated output tokens/sec/MW</t>
        </is>
      </c>
      <c r="G1327" s="3" t="inlineStr">
        <is>
          <t>Workload-adjusted benchmark proxy</t>
        </is>
      </c>
      <c r="H1327" s="3" t="inlineStr">
        <is>
          <t>fleet_reference_tps_per_mw * commercial_workload_fit_factor</t>
        </is>
      </c>
      <c r="I1327" s="3" t="inlineStr">
        <is>
          <t>This is the coefficient used for headline token generation; each GPU's short chat, long chat and agentic TPS/MW are weighted before fleet mix and commercial fit are applied.</t>
        </is>
      </c>
      <c r="J1327" s="3" t="inlineStr">
        <is>
          <t>SRC_SEMIANALYSIS_INFERENCEX; ASSUMP_NUMERIC_ACCELERATOR_MIX; ASSUMP_WORKLOAD_CLASS_MIX; ASSUMP_AGENTIC_CONTEXT_PENALTY</t>
        </is>
      </c>
      <c r="K1327" s="3" t="inlineStr">
        <is>
          <t>ASSUMP_CONSUMER_AI_UTILIZATION; ASSUMP_POWER_RAMP; ASSUMP_NUMERIC_ACCELERATOR_MIX; ASSUMP_INFERENCE_SHARE_NOT_FACT_60; ASSUMP_WORKLOAD_CLASS_MIX; ASSUMP_AGENTIC_CONTEXT_PENALTY</t>
        </is>
      </c>
      <c r="L1327" s="3" t="inlineStr">
        <is>
          <t>Provider production output-token throughput with comparable workload/SLO.</t>
        </is>
      </c>
    </row>
    <row r="1328">
      <c r="A1328" s="3" t="inlineStr">
        <is>
          <t>Meta</t>
        </is>
      </c>
      <c r="B1328" s="3" t="n">
        <v>2028</v>
      </c>
      <c r="C1328" s="3" t="inlineStr">
        <is>
          <t>Base</t>
        </is>
      </c>
      <c r="D1328" s="3" t="inlineStr">
        <is>
          <t>purpose_built_tps_per_mw</t>
        </is>
      </c>
      <c r="E1328" s="3" t="n">
        <v>1105664</v>
      </c>
      <c r="F1328" s="3" t="inlineStr">
        <is>
          <t>generated output tokens/sec/MW</t>
        </is>
      </c>
      <c r="G1328" s="3" t="inlineStr">
        <is>
          <t>Conservative no-uplift proxy</t>
        </is>
      </c>
      <c r="H1328" s="3" t="inlineStr">
        <is>
          <t>purpose_built_tps_per_mw = purpose_built_reference_tps_per_mw * commercial_workload_fit_factor until comparable output-token benchmark is adopted</t>
        </is>
      </c>
      <c r="I1328" s="3" t="inlineStr">
        <is>
          <t>No comparable public output-token/MW row adopted; B200 public reference placeholder is used and remains editable.</t>
        </is>
      </c>
      <c r="J1328" s="3" t="inlineStr">
        <is>
          <t>SRC_META_LLAMA; SRC_META_LLAMA4_NVIDIA; SRC_META_MTIA_GENAI_2026; SRC_EPOCH_AI_DATA_CENTERS; ASSUMP_NUMERIC_ACCELERATOR_MIX</t>
        </is>
      </c>
      <c r="K1328" s="3" t="inlineStr">
        <is>
          <t>ASSUMP_CONSUMER_AI_UTILIZATION; ASSUMP_POWER_RAMP; ASSUMP_NUMERIC_ACCELERATOR_MIX; ASSUMP_INFERENCE_SHARE_NOT_FACT_60; ASSUMP_WORKLOAD_CLASS_MIX; ASSUMP_AGENTIC_CONTEXT_PENALTY</t>
        </is>
      </c>
      <c r="L1328" s="3" t="inlineStr">
        <is>
          <t>Matched-workload generated-output benchmark for the provider purpose-built accelerator.</t>
        </is>
      </c>
    </row>
    <row r="1329">
      <c r="A1329" s="3" t="inlineStr">
        <is>
          <t>Meta</t>
        </is>
      </c>
      <c r="B1329" s="3" t="n">
        <v>2028</v>
      </c>
      <c r="C1329" s="3" t="inlineStr">
        <is>
          <t>Base</t>
        </is>
      </c>
      <c r="D1329" s="3" t="inlineStr">
        <is>
          <t>inference_power_share</t>
        </is>
      </c>
      <c r="E1329" s="3" t="n">
        <v>0.68</v>
      </c>
      <c r="F1329" s="3" t="inlineStr">
        <is>
          <t>share of AI IT load</t>
        </is>
      </c>
      <c r="G1329" s="3" t="inlineStr">
        <is>
          <t>Scenario allocation</t>
        </is>
      </c>
      <c r="H1329" s="3" t="inlineStr">
        <is>
          <t>inference_gw = ai_it_load_gw * inference_power_share</t>
        </is>
      </c>
      <c r="I1329" s="3" t="inlineStr">
        <is>
          <t>Large consumer AI distribution and inference-first MTIA roadmap support a higher inference share scenario.</t>
        </is>
      </c>
      <c r="J1329" s="3" t="inlineStr">
        <is>
          <t>SRC_META_LLAMA; SRC_META_LLAMA4_NVIDIA; SRC_META_MTIA_GENAI_2026; SRC_EPOCH_AI_DATA_CENTERS; ASSUMP_INFERENCE_SHARE_NOT_FACT_60</t>
        </is>
      </c>
      <c r="K1329" s="3" t="inlineStr">
        <is>
          <t>ASSUMP_CONSUMER_AI_UTILIZATION; ASSUMP_POWER_RAMP; ASSUMP_NUMERIC_ACCELERATOR_MIX; ASSUMP_INFERENCE_SHARE_NOT_FACT_60; ASSUMP_WORKLOAD_CLASS_MIX; ASSUMP_AGENTIC_CONTEXT_PENALTY</t>
        </is>
      </c>
      <c r="L1329" s="3" t="inlineStr">
        <is>
          <t>Provider-specific inference/training workload power telemetry.</t>
        </is>
      </c>
    </row>
    <row r="1330">
      <c r="A1330" s="3" t="inlineStr">
        <is>
          <t>Meta</t>
        </is>
      </c>
      <c r="B1330" s="3" t="n">
        <v>2028</v>
      </c>
      <c r="C1330" s="3" t="inlineStr">
        <is>
          <t>Base</t>
        </is>
      </c>
      <c r="D1330" s="3" t="inlineStr">
        <is>
          <t>inference_gw</t>
        </is>
      </c>
      <c r="E1330" s="3" t="n">
        <v>1.824</v>
      </c>
      <c r="F1330" s="3" t="inlineStr">
        <is>
          <t>GW</t>
        </is>
      </c>
      <c r="G1330" s="3" t="inlineStr">
        <is>
          <t>Derived formula</t>
        </is>
      </c>
      <c r="H1330" s="3" t="inlineStr">
        <is>
          <t>ai_it_load_gw * inference_power_share</t>
        </is>
      </c>
      <c r="I1330" s="3" t="inlineStr">
        <is>
          <t>This is the operational power eligible to become commercial generated output tokens through the selected TPS/MW proxy.</t>
        </is>
      </c>
      <c r="J1330" s="3" t="inlineStr">
        <is>
          <t>SRC_META_LLAMA; SRC_META_LLAMA4_NVIDIA; SRC_META_MTIA_GENAI_2026; SRC_EPOCH_AI_DATA_CENTERS</t>
        </is>
      </c>
      <c r="K1330" s="3" t="inlineStr">
        <is>
          <t>ASSUMP_CONSUMER_AI_UTILIZATION; ASSUMP_POWER_RAMP; ASSUMP_NUMERIC_ACCELERATOR_MIX; ASSUMP_INFERENCE_SHARE_NOT_FACT_60; ASSUMP_WORKLOAD_CLASS_MIX; ASSUMP_AGENTIC_CONTEXT_PENALTY</t>
        </is>
      </c>
      <c r="L1330" s="3" t="inlineStr">
        <is>
          <t>Recompute after AI allocation or inference-share evidence changes.</t>
        </is>
      </c>
    </row>
    <row r="1331">
      <c r="A1331" s="3" t="inlineStr">
        <is>
          <t>Meta</t>
        </is>
      </c>
      <c r="B1331" s="3" t="n">
        <v>2028</v>
      </c>
      <c r="C1331" s="3" t="inlineStr">
        <is>
          <t>Base</t>
        </is>
      </c>
      <c r="D1331" s="3" t="inlineStr">
        <is>
          <t>training_power_share</t>
        </is>
      </c>
      <c r="E1331" s="3" t="n">
        <v>0.32</v>
      </c>
      <c r="F1331" s="3" t="inlineStr">
        <is>
          <t>share of AI IT load</t>
        </is>
      </c>
      <c r="G1331" s="3" t="inlineStr">
        <is>
          <t>Derived allocation</t>
        </is>
      </c>
      <c r="H1331" s="3" t="inlineStr">
        <is>
          <t>1 - inference_power_share</t>
        </is>
      </c>
      <c r="I1331" s="3" t="inlineStr">
        <is>
          <t>Training receives the complementary modeled AI IT allocation; it is not a disclosed company workload split.</t>
        </is>
      </c>
      <c r="J1331" s="3" t="inlineStr">
        <is>
          <t>SRC_META_LLAMA; SRC_META_LLAMA4_NVIDIA; SRC_META_MTIA_GENAI_2026; SRC_EPOCH_AI_DATA_CENTERS; ASSUMP_INFERENCE_SHARE_NOT_FACT_60</t>
        </is>
      </c>
      <c r="K1331" s="3" t="inlineStr">
        <is>
          <t>ASSUMP_CONSUMER_AI_UTILIZATION; ASSUMP_POWER_RAMP; ASSUMP_NUMERIC_ACCELERATOR_MIX; ASSUMP_INFERENCE_SHARE_NOT_FACT_60; ASSUMP_WORKLOAD_CLASS_MIX; ASSUMP_AGENTIC_CONTEXT_PENALTY</t>
        </is>
      </c>
      <c r="L1331" s="3" t="inlineStr">
        <is>
          <t>Provider-specific inference/training workload power telemetry.</t>
        </is>
      </c>
    </row>
    <row r="1332">
      <c r="A1332" s="3" t="inlineStr">
        <is>
          <t>Meta</t>
        </is>
      </c>
      <c r="B1332" s="3" t="n">
        <v>2028</v>
      </c>
      <c r="C1332" s="3" t="inlineStr">
        <is>
          <t>Base</t>
        </is>
      </c>
      <c r="D1332" s="3" t="inlineStr">
        <is>
          <t>training_gw</t>
        </is>
      </c>
      <c r="E1332" s="3" t="n">
        <v>0.858</v>
      </c>
      <c r="F1332" s="3" t="inlineStr">
        <is>
          <t>GW</t>
        </is>
      </c>
      <c r="G1332" s="3" t="inlineStr">
        <is>
          <t>Derived formula</t>
        </is>
      </c>
      <c r="H1332" s="3" t="inlineStr">
        <is>
          <t>ai_it_load_gw * training_power_share</t>
        </is>
      </c>
      <c r="I1332" s="3" t="inlineStr">
        <is>
          <t>Training GW is shown separately so commercial inference token capacity is not overstated.</t>
        </is>
      </c>
      <c r="J1332" s="3" t="inlineStr">
        <is>
          <t>SRC_META_LLAMA; SRC_META_LLAMA4_NVIDIA; SRC_META_MTIA_GENAI_2026; SRC_EPOCH_AI_DATA_CENTERS</t>
        </is>
      </c>
      <c r="K1332" s="3" t="inlineStr">
        <is>
          <t>ASSUMP_CONSUMER_AI_UTILIZATION; ASSUMP_POWER_RAMP; ASSUMP_NUMERIC_ACCELERATOR_MIX; ASSUMP_INFERENCE_SHARE_NOT_FACT_60; ASSUMP_WORKLOAD_CLASS_MIX; ASSUMP_AGENTIC_CONTEXT_PENALTY</t>
        </is>
      </c>
      <c r="L1332" s="3" t="inlineStr">
        <is>
          <t>Recompute after AI allocation or workload-split evidence changes.</t>
        </is>
      </c>
    </row>
    <row r="1333">
      <c r="A1333" s="3" t="inlineStr">
        <is>
          <t>Meta</t>
        </is>
      </c>
      <c r="B1333" s="3" t="n">
        <v>2028</v>
      </c>
      <c r="C1333" s="3" t="inlineStr">
        <is>
          <t>Base</t>
        </is>
      </c>
      <c r="D1333" s="3" t="inlineStr">
        <is>
          <t>tokens_per_second_per_mw</t>
        </is>
      </c>
      <c r="E1333" s="3" t="n">
        <v>846954</v>
      </c>
      <c r="F1333" s="3" t="inlineStr">
        <is>
          <t>generated output tokens/sec/MW</t>
        </is>
      </c>
      <c r="G1333" s="3" t="inlineStr">
        <is>
          <t>Derived estimate + benchmark calibration</t>
        </is>
      </c>
      <c r="H1333" s="3" t="inlineStr">
        <is>
          <t>fleet_reference_tps_per_mw * commercial_workload_fit_factor</t>
        </is>
      </c>
      <c r="I133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33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33" s="3" t="inlineStr">
        <is>
          <t>ASSUMP_CONSUMER_AI_UTILIZATION; ASSUMP_POWER_RAMP; ASSUMP_NUMERIC_ACCELERATOR_MIX; ASSUMP_INFERENCE_SHARE_NOT_FACT_60; ASSUMP_WORKLOAD_CLASS_MIX; ASSUMP_AGENTIC_CONTEXT_PENALTY</t>
        </is>
      </c>
      <c r="L1333" s="3" t="inlineStr">
        <is>
          <t>Comparable production output-token throughput with model, hardware, precision, ISL/OSL and SLO matched.</t>
        </is>
      </c>
    </row>
    <row r="1334">
      <c r="A1334" s="3" t="inlineStr">
        <is>
          <t>Meta</t>
        </is>
      </c>
      <c r="B1334" s="3" t="n">
        <v>2028</v>
      </c>
      <c r="C1334" s="3" t="inlineStr">
        <is>
          <t>Base</t>
        </is>
      </c>
      <c r="D1334" s="3" t="inlineStr">
        <is>
          <t>inference_tokens_per_day</t>
        </is>
      </c>
      <c r="E1334" s="3" t="n">
        <v>133474529894400</v>
      </c>
      <c r="F1334" s="3" t="inlineStr">
        <is>
          <t>generated output tokens/day</t>
        </is>
      </c>
      <c r="G1334" s="3" t="inlineStr">
        <is>
          <t>Derived headline metric</t>
        </is>
      </c>
      <c r="H1334" s="3" t="inlineStr">
        <is>
          <t>inference_gw * 1000 * tokens_per_second_per_mw * 86,400</t>
        </is>
      </c>
      <c r="I1334" s="3" t="inlineStr">
        <is>
          <t>Headline capacity uses no utilization, MoE, architecture or software-growth multiplier; it is not observed commercial output volume.</t>
        </is>
      </c>
      <c r="J1334" s="3" t="inlineStr">
        <is>
          <t>SRC_META_LLAMA; SRC_META_LLAMA4_NVIDIA; SRC_META_MTIA_GENAI_2026; SRC_EPOCH_AI_DATA_CENTERS; SRC_SEMIANALYSIS_INFERENCEX</t>
        </is>
      </c>
      <c r="K1334" s="3" t="inlineStr">
        <is>
          <t>ASSUMP_CONSUMER_AI_UTILIZATION; ASSUMP_POWER_RAMP; ASSUMP_NUMERIC_ACCELERATOR_MIX; ASSUMP_INFERENCE_SHARE_NOT_FACT_60; ASSUMP_WORKLOAD_CLASS_MIX; ASSUMP_AGENTIC_CONTEXT_PENALTY</t>
        </is>
      </c>
      <c r="L1334" s="3" t="inlineStr">
        <is>
          <t>Provider-disclosed generated output token volume or calibrated capacity telemetry.</t>
        </is>
      </c>
    </row>
    <row r="1335">
      <c r="A1335" s="3" t="inlineStr">
        <is>
          <t>Meta</t>
        </is>
      </c>
      <c r="B1335" s="3" t="n">
        <v>2028</v>
      </c>
      <c r="C1335" s="3" t="inlineStr">
        <is>
          <t>Base</t>
        </is>
      </c>
      <c r="D1335" s="3" t="inlineStr">
        <is>
          <t>inference_tokens_per_year</t>
        </is>
      </c>
      <c r="E1335" s="3" t="n">
        <v>4.8718203411456e+16</v>
      </c>
      <c r="F1335" s="3" t="inlineStr">
        <is>
          <t>generated output tokens/year</t>
        </is>
      </c>
      <c r="G1335" s="3" t="inlineStr">
        <is>
          <t>Derived headline metric</t>
        </is>
      </c>
      <c r="H1335" s="3" t="inlineStr">
        <is>
          <t>inference_tokens_per_day * 365</t>
        </is>
      </c>
      <c r="I1335" s="3" t="inlineStr">
        <is>
          <t>Annualized version of generated output token capacity; it is not observed annual demand or billable volume.</t>
        </is>
      </c>
      <c r="J1335" s="3" t="inlineStr">
        <is>
          <t>SRC_META_LLAMA; SRC_META_LLAMA4_NVIDIA; SRC_META_MTIA_GENAI_2026; SRC_EPOCH_AI_DATA_CENTERS; SRC_SEMIANALYSIS_INFERENCEX</t>
        </is>
      </c>
      <c r="K1335" s="3" t="inlineStr">
        <is>
          <t>ASSUMP_CONSUMER_AI_UTILIZATION; ASSUMP_POWER_RAMP; ASSUMP_NUMERIC_ACCELERATOR_MIX; ASSUMP_INFERENCE_SHARE_NOT_FACT_60; ASSUMP_WORKLOAD_CLASS_MIX; ASSUMP_AGENTIC_CONTEXT_PENALTY</t>
        </is>
      </c>
      <c r="L1335" s="3" t="inlineStr">
        <is>
          <t>Provider-disclosed annual generated-output volume or metered serving telemetry.</t>
        </is>
      </c>
    </row>
    <row r="1336">
      <c r="A1336" s="3" t="inlineStr">
        <is>
          <t>Meta</t>
        </is>
      </c>
      <c r="B1336" s="3" t="n">
        <v>2029</v>
      </c>
      <c r="C1336" s="3" t="inlineStr">
        <is>
          <t>Base</t>
        </is>
      </c>
      <c r="D1336" s="3" t="inlineStr">
        <is>
          <t>contracted_power_gw</t>
        </is>
      </c>
      <c r="E1336" s="3" t="n">
        <v>6.125</v>
      </c>
      <c r="F1336" s="3" t="inlineStr">
        <is>
          <t>GW</t>
        </is>
      </c>
      <c r="G1336" s="3" t="inlineStr">
        <is>
          <t>Scenario capacity envelope</t>
        </is>
      </c>
      <c r="H1336" s="3" t="inlineStr">
        <is>
          <t>linear interpolation between 2026 and 2030 company capacity endpoints</t>
        </is>
      </c>
      <c r="I1336" s="3" t="inlineStr">
        <is>
          <t>Scenario envelope for Meta AI/Llama serving capacity; not an official contracted-GW figure.</t>
        </is>
      </c>
      <c r="J1336" s="3" t="inlineStr">
        <is>
          <t>ASSUMP_POWER_RAMP; SRC_META_MTIA_GENAI_2026</t>
        </is>
      </c>
      <c r="K1336" s="3" t="inlineStr">
        <is>
          <t>ASSUMP_CONSUMER_AI_UTILIZATION; ASSUMP_POWER_RAMP; ASSUMP_NUMERIC_ACCELERATOR_MIX; ASSUMP_INFERENCE_SHARE_NOT_FACT_60; ASSUMP_WORKLOAD_CLASS_MIX; ASSUMP_AGENTIC_CONTEXT_PENALTY</t>
        </is>
      </c>
      <c r="L1336" s="3" t="inlineStr">
        <is>
          <t>Company/site-level committed MW/GW, interconnect and contract disclosure.</t>
        </is>
      </c>
    </row>
    <row r="1337">
      <c r="A1337" s="3" t="inlineStr">
        <is>
          <t>Meta</t>
        </is>
      </c>
      <c r="B1337" s="3" t="n">
        <v>2029</v>
      </c>
      <c r="C1337" s="3" t="inlineStr">
        <is>
          <t>Base</t>
        </is>
      </c>
      <c r="D1337" s="3" t="inlineStr">
        <is>
          <t>operational_deployment_share</t>
        </is>
      </c>
      <c r="E1337" s="3" t="n">
        <v>0.7755102</v>
      </c>
      <c r="F1337" s="3" t="inlineStr">
        <is>
          <t>share</t>
        </is>
      </c>
      <c r="G1337" s="3" t="inlineStr">
        <is>
          <t>Scenario conversion</t>
        </is>
      </c>
      <c r="H1337" s="3" t="inlineStr">
        <is>
          <t>active_power_gw / contracted_power_gw</t>
        </is>
      </c>
      <c r="I1337" s="3" t="inlineStr">
        <is>
          <t>This is the single explicit conversion from contracted/attributed capacity to operationally usable capacity.</t>
        </is>
      </c>
      <c r="J1337" s="3" t="inlineStr">
        <is>
          <t>ASSUMP_POWER_RAMP; SRC_META_MTIA_GENAI_2026</t>
        </is>
      </c>
      <c r="K1337" s="3" t="inlineStr">
        <is>
          <t>ASSUMP_CONSUMER_AI_UTILIZATION; ASSUMP_POWER_RAMP; ASSUMP_NUMERIC_ACCELERATOR_MIX; ASSUMP_INFERENCE_SHARE_NOT_FACT_60; ASSUMP_WORKLOAD_CLASS_MIX; ASSUMP_AGENTIC_CONTEXT_PENALTY</t>
        </is>
      </c>
      <c r="L1337" s="3" t="inlineStr">
        <is>
          <t>Energized operational capacity divided by contracted/attributed capacity.</t>
        </is>
      </c>
    </row>
    <row r="1338">
      <c r="A1338" s="3" t="inlineStr">
        <is>
          <t>Meta</t>
        </is>
      </c>
      <c r="B1338" s="3" t="n">
        <v>2029</v>
      </c>
      <c r="C1338" s="3" t="inlineStr">
        <is>
          <t>Base</t>
        </is>
      </c>
      <c r="D1338" s="3" t="inlineStr">
        <is>
          <t>active_power_gw</t>
        </is>
      </c>
      <c r="E1338" s="3" t="n">
        <v>4.75</v>
      </c>
      <c r="F1338" s="3" t="inlineStr">
        <is>
          <t>GW</t>
        </is>
      </c>
      <c r="G1338" s="3" t="inlineStr">
        <is>
          <t>Derived scenario</t>
        </is>
      </c>
      <c r="H1338" s="3" t="inlineStr">
        <is>
          <t>contracted_power_gw * operational_deployment_share</t>
        </is>
      </c>
      <c r="I1338" s="3" t="inlineStr">
        <is>
          <t>MTIA deployment direction and consumer product distribution support active ramp, not exact powered GW.</t>
        </is>
      </c>
      <c r="J1338" s="3" t="inlineStr">
        <is>
          <t>ASSUMP_POWER_RAMP; SRC_META_MTIA_GENAI_2026</t>
        </is>
      </c>
      <c r="K1338" s="3" t="inlineStr">
        <is>
          <t>ASSUMP_CONSUMER_AI_UTILIZATION; ASSUMP_POWER_RAMP; ASSUMP_NUMERIC_ACCELERATOR_MIX; ASSUMP_INFERENCE_SHARE_NOT_FACT_60; ASSUMP_WORKLOAD_CLASS_MIX; ASSUMP_AGENTIC_CONTEXT_PENALTY</t>
        </is>
      </c>
      <c r="L1338" s="3" t="inlineStr">
        <is>
          <t>Energization dates, accelerator deliveries and operational powered-rack telemetry.</t>
        </is>
      </c>
    </row>
    <row r="1339">
      <c r="A1339" s="3" t="inlineStr">
        <is>
          <t>Meta</t>
        </is>
      </c>
      <c r="B1339" s="3" t="n">
        <v>2029</v>
      </c>
      <c r="C1339" s="3" t="inlineStr">
        <is>
          <t>Base</t>
        </is>
      </c>
      <c r="D1339" s="3" t="inlineStr">
        <is>
          <t>pue</t>
        </is>
      </c>
      <c r="E1339" s="3" t="n">
        <v>1.2</v>
      </c>
      <c r="F1339" s="3" t="inlineStr">
        <is>
          <t>ratio</t>
        </is>
      </c>
      <c r="G1339" s="3" t="inlineStr">
        <is>
          <t>Scenario parameter</t>
        </is>
      </c>
      <c r="H1339" s="3" t="inlineStr">
        <is>
          <t>it_load_gw = active_power_gw / pue</t>
        </is>
      </c>
      <c r="I1339" s="3" t="inlineStr">
        <is>
          <t>No provider-wide site-level PUE is used as a disclosed fact; PUE represents facility-to-IT conversion within the scenario.</t>
        </is>
      </c>
      <c r="J1339" s="3" t="inlineStr">
        <is>
          <t>ASSUMP_POWER_RAMP</t>
        </is>
      </c>
      <c r="K1339" s="3" t="inlineStr">
        <is>
          <t>ASSUMP_CONSUMER_AI_UTILIZATION; ASSUMP_POWER_RAMP; ASSUMP_NUMERIC_ACCELERATOR_MIX; ASSUMP_INFERENCE_SHARE_NOT_FACT_60; ASSUMP_WORKLOAD_CLASS_MIX; ASSUMP_AGENTIC_CONTEXT_PENALTY</t>
        </is>
      </c>
      <c r="L1339" s="3" t="inlineStr">
        <is>
          <t>Site-level measured PUE matched to attributed AI capacity.</t>
        </is>
      </c>
    </row>
    <row r="1340">
      <c r="A1340" s="3" t="inlineStr">
        <is>
          <t>Meta</t>
        </is>
      </c>
      <c r="B1340" s="3" t="n">
        <v>2029</v>
      </c>
      <c r="C1340" s="3" t="inlineStr">
        <is>
          <t>Base</t>
        </is>
      </c>
      <c r="D1340" s="3" t="inlineStr">
        <is>
          <t>it_load_gw</t>
        </is>
      </c>
      <c r="E1340" s="3" t="n">
        <v>3.958</v>
      </c>
      <c r="F1340" s="3" t="inlineStr">
        <is>
          <t>GW</t>
        </is>
      </c>
      <c r="G1340" s="3" t="inlineStr">
        <is>
          <t>Derived formula</t>
        </is>
      </c>
      <c r="H1340" s="3" t="inlineStr">
        <is>
          <t>active_power_gw / pue</t>
        </is>
      </c>
      <c r="I1340" s="3" t="inlineStr">
        <is>
          <t>Facility power is converted to IT-deliverable power before attributing AI workloads.</t>
        </is>
      </c>
      <c r="J1340" s="3" t="inlineStr">
        <is>
          <t>ASSUMP_POWER_RAMP; SRC_META_MTIA_GENAI_2026</t>
        </is>
      </c>
      <c r="K1340" s="3" t="inlineStr">
        <is>
          <t>ASSUMP_CONSUMER_AI_UTILIZATION; ASSUMP_POWER_RAMP; ASSUMP_NUMERIC_ACCELERATOR_MIX; ASSUMP_INFERENCE_SHARE_NOT_FACT_60; ASSUMP_WORKLOAD_CLASS_MIX; ASSUMP_AGENTIC_CONTEXT_PENALTY</t>
        </is>
      </c>
      <c r="L1340" s="3" t="inlineStr">
        <is>
          <t>Recompute once active power and PUE become site-observable.</t>
        </is>
      </c>
    </row>
    <row r="1341">
      <c r="A1341" s="3" t="inlineStr">
        <is>
          <t>Meta</t>
        </is>
      </c>
      <c r="B1341" s="3" t="n">
        <v>2029</v>
      </c>
      <c r="C1341" s="3" t="inlineStr">
        <is>
          <t>Base</t>
        </is>
      </c>
      <c r="D1341" s="3" t="inlineStr">
        <is>
          <t>ai_workload_share</t>
        </is>
      </c>
      <c r="E1341" s="3" t="n">
        <v>0.87</v>
      </c>
      <c r="F1341" s="3" t="inlineStr">
        <is>
          <t>share</t>
        </is>
      </c>
      <c r="G1341" s="3" t="inlineStr">
        <is>
          <t>Scenario allocation</t>
        </is>
      </c>
      <c r="H1341" s="3" t="inlineStr">
        <is>
          <t>ai_it_load_gw = it_load_gw * ai_workload_share</t>
        </is>
      </c>
      <c r="I1341" s="3" t="inlineStr">
        <is>
          <t>The modeled fleet is focused on AI workloads across Meta AI surfaces; non-LLM ranking/platform overhead is excluded through the 87% share.</t>
        </is>
      </c>
      <c r="J1341" s="3" t="inlineStr">
        <is>
          <t>SRC_META_LLAMA; SRC_META_LLAMA4_NVIDIA; SRC_META_MTIA_GENAI_2026; SRC_EPOCH_AI_DATA_CENTERS</t>
        </is>
      </c>
      <c r="K1341" s="3" t="inlineStr">
        <is>
          <t>ASSUMP_CONSUMER_AI_UTILIZATION; ASSUMP_POWER_RAMP; ASSUMP_NUMERIC_ACCELERATOR_MIX; ASSUMP_INFERENCE_SHARE_NOT_FACT_60; ASSUMP_WORKLOAD_CLASS_MIX; ASSUMP_AGENTIC_CONTEXT_PENALTY</t>
        </is>
      </c>
      <c r="L1341" s="3" t="inlineStr">
        <is>
          <t>Model-owner AI workload allocation or cluster scheduling telemetry.</t>
        </is>
      </c>
    </row>
    <row r="1342">
      <c r="A1342" s="3" t="inlineStr">
        <is>
          <t>Meta</t>
        </is>
      </c>
      <c r="B1342" s="3" t="n">
        <v>2029</v>
      </c>
      <c r="C1342" s="3" t="inlineStr">
        <is>
          <t>Base</t>
        </is>
      </c>
      <c r="D1342" s="3" t="inlineStr">
        <is>
          <t>ai_it_load_gw</t>
        </is>
      </c>
      <c r="E1342" s="3" t="n">
        <v>3.444</v>
      </c>
      <c r="F1342" s="3" t="inlineStr">
        <is>
          <t>GW</t>
        </is>
      </c>
      <c r="G1342" s="3" t="inlineStr">
        <is>
          <t>Derived formula</t>
        </is>
      </c>
      <c r="H1342" s="3" t="inlineStr">
        <is>
          <t>it_load_gw * ai_workload_share</t>
        </is>
      </c>
      <c r="I1342" s="3" t="inlineStr">
        <is>
          <t>Only the AI-attributed portion of IT load enters training/inference allocation.</t>
        </is>
      </c>
      <c r="J1342" s="3" t="inlineStr">
        <is>
          <t>SRC_META_LLAMA; SRC_META_LLAMA4_NVIDIA; SRC_META_MTIA_GENAI_2026; SRC_EPOCH_AI_DATA_CENTERS</t>
        </is>
      </c>
      <c r="K1342" s="3" t="inlineStr">
        <is>
          <t>ASSUMP_CONSUMER_AI_UTILIZATION; ASSUMP_POWER_RAMP; ASSUMP_NUMERIC_ACCELERATOR_MIX; ASSUMP_INFERENCE_SHARE_NOT_FACT_60; ASSUMP_WORKLOAD_CLASS_MIX; ASSUMP_AGENTIC_CONTEXT_PENALTY</t>
        </is>
      </c>
      <c r="L1342" s="3" t="inlineStr">
        <is>
          <t>Recompute after ai_workload_share is replaced by telemetry.</t>
        </is>
      </c>
    </row>
    <row r="1343">
      <c r="A1343" s="3" t="inlineStr">
        <is>
          <t>Meta</t>
        </is>
      </c>
      <c r="B1343" s="3" t="n">
        <v>2029</v>
      </c>
      <c r="C1343" s="3" t="inlineStr">
        <is>
          <t>Base</t>
        </is>
      </c>
      <c r="D1343" s="3" t="inlineStr">
        <is>
          <t>gpu_share</t>
        </is>
      </c>
      <c r="E1343" s="3" t="n">
        <v>0.612306</v>
      </c>
      <c r="F1343" s="3" t="inlineStr">
        <is>
          <t>share of inference-serving accelerator load</t>
        </is>
      </c>
      <c r="G1343" s="3" t="inlineStr">
        <is>
          <t>Numeric scenario</t>
        </is>
      </c>
      <c r="H1343" s="3" t="inlineStr">
        <is>
          <t>gpu_share interpolated from company 2026/2030 accelerator-mix endpoints</t>
        </is>
      </c>
      <c r="I1343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43" s="3" t="inlineStr">
        <is>
          <t>SRC_META_LLAMA; SRC_META_LLAMA4_NVIDIA; SRC_META_MTIA_GENAI_2026; SRC_EPOCH_AI_DATA_CENTERS; ASSUMP_NUMERIC_ACCELERATOR_MIX</t>
        </is>
      </c>
      <c r="K1343" s="3" t="inlineStr">
        <is>
          <t>ASSUMP_CONSUMER_AI_UTILIZATION; ASSUMP_POWER_RAMP; ASSUMP_NUMERIC_ACCELERATOR_MIX; ASSUMP_INFERENCE_SHARE_NOT_FACT_60; ASSUMP_WORKLOAD_CLASS_MIX; ASSUMP_AGENTIC_CONTEXT_PENALTY</t>
        </is>
      </c>
      <c r="L1343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44">
      <c r="A1344" s="3" t="inlineStr">
        <is>
          <t>Meta</t>
        </is>
      </c>
      <c r="B1344" s="3" t="n">
        <v>2029</v>
      </c>
      <c r="C1344" s="3" t="inlineStr">
        <is>
          <t>Base</t>
        </is>
      </c>
      <c r="D1344" s="3" t="inlineStr">
        <is>
          <t>h200_share</t>
        </is>
      </c>
      <c r="E1344" s="3" t="n">
        <v>0</v>
      </c>
      <c r="F1344" s="3" t="inlineStr">
        <is>
          <t>share of inference-serving accelerator load</t>
        </is>
      </c>
      <c r="G1344" s="3" t="inlineStr">
        <is>
          <t>Editable numeric scenario</t>
        </is>
      </c>
      <c r="H1344" s="3" t="inlineStr">
        <is>
          <t>h200_share = gpu_share * default_gpu_generation_mix_h200</t>
        </is>
      </c>
      <c r="I1344" s="3" t="inlineStr">
        <is>
          <t>Default GPU-generation migration assumption; executive workbook allows later manual replacement by company/year/scenario.</t>
        </is>
      </c>
      <c r="J1344" s="3" t="inlineStr">
        <is>
          <t>SRC_SEMIANALYSIS_INFERENCEX; ASSUMP_NUMERIC_ACCELERATOR_MIX</t>
        </is>
      </c>
      <c r="K1344" s="3" t="inlineStr">
        <is>
          <t>ASSUMP_CONSUMER_AI_UTILIZATION; ASSUMP_POWER_RAMP; ASSUMP_NUMERIC_ACCELERATOR_MIX; ASSUMP_INFERENCE_SHARE_NOT_FACT_60; ASSUMP_WORKLOAD_CLASS_MIX; ASSUMP_AGENTIC_CONTEXT_PENALTY</t>
        </is>
      </c>
      <c r="L1344" s="3" t="inlineStr">
        <is>
          <t>Company fleet inventory, accelerator-hours or procurement/deployment records by GPU generation.</t>
        </is>
      </c>
    </row>
    <row r="1345">
      <c r="A1345" s="3" t="inlineStr">
        <is>
          <t>Meta</t>
        </is>
      </c>
      <c r="B1345" s="3" t="n">
        <v>2029</v>
      </c>
      <c r="C1345" s="3" t="inlineStr">
        <is>
          <t>Base</t>
        </is>
      </c>
      <c r="D1345" s="3" t="inlineStr">
        <is>
          <t>b200_share</t>
        </is>
      </c>
      <c r="E1345" s="3" t="n">
        <v>0.612306</v>
      </c>
      <c r="F1345" s="3" t="inlineStr">
        <is>
          <t>share of inference-serving accelerator load</t>
        </is>
      </c>
      <c r="G1345" s="3" t="inlineStr">
        <is>
          <t>Editable numeric scenario</t>
        </is>
      </c>
      <c r="H1345" s="3" t="inlineStr">
        <is>
          <t>b200_share = gpu_share * default_gpu_generation_mix_b200</t>
        </is>
      </c>
      <c r="I1345" s="3" t="inlineStr">
        <is>
          <t>Default GPU-generation migration assumption; executive workbook allows later manual replacement by company/year/scenario.</t>
        </is>
      </c>
      <c r="J1345" s="3" t="inlineStr">
        <is>
          <t>SRC_SEMIANALYSIS_INFERENCEX; ASSUMP_NUMERIC_ACCELERATOR_MIX</t>
        </is>
      </c>
      <c r="K1345" s="3" t="inlineStr">
        <is>
          <t>ASSUMP_CONSUMER_AI_UTILIZATION; ASSUMP_POWER_RAMP; ASSUMP_NUMERIC_ACCELERATOR_MIX; ASSUMP_INFERENCE_SHARE_NOT_FACT_60; ASSUMP_WORKLOAD_CLASS_MIX; ASSUMP_AGENTIC_CONTEXT_PENALTY</t>
        </is>
      </c>
      <c r="L1345" s="3" t="inlineStr">
        <is>
          <t>Company fleet inventory, accelerator-hours or procurement/deployment records by GPU generation.</t>
        </is>
      </c>
    </row>
    <row r="1346">
      <c r="A1346" s="3" t="inlineStr">
        <is>
          <t>Meta</t>
        </is>
      </c>
      <c r="B1346" s="3" t="n">
        <v>2029</v>
      </c>
      <c r="C1346" s="3" t="inlineStr">
        <is>
          <t>Base</t>
        </is>
      </c>
      <c r="D1346" s="3" t="inlineStr">
        <is>
          <t>gb200_share</t>
        </is>
      </c>
      <c r="E1346" s="3" t="n">
        <v>0</v>
      </c>
      <c r="F1346" s="3" t="inlineStr">
        <is>
          <t>share of inference-serving accelerator load</t>
        </is>
      </c>
      <c r="G1346" s="3" t="inlineStr">
        <is>
          <t>Editable numeric scenario</t>
        </is>
      </c>
      <c r="H1346" s="3" t="inlineStr">
        <is>
          <t>gb200_share = gpu_share * default_gpu_generation_mix_gb200</t>
        </is>
      </c>
      <c r="I1346" s="3" t="inlineStr">
        <is>
          <t>Default GPU-generation migration assumption; executive workbook allows later manual replacement by company/year/scenario.</t>
        </is>
      </c>
      <c r="J1346" s="3" t="inlineStr">
        <is>
          <t>SRC_SEMIANALYSIS_INFERENCEX; ASSUMP_NUMERIC_ACCELERATOR_MIX</t>
        </is>
      </c>
      <c r="K1346" s="3" t="inlineStr">
        <is>
          <t>ASSUMP_CONSUMER_AI_UTILIZATION; ASSUMP_POWER_RAMP; ASSUMP_NUMERIC_ACCELERATOR_MIX; ASSUMP_INFERENCE_SHARE_NOT_FACT_60; ASSUMP_WORKLOAD_CLASS_MIX; ASSUMP_AGENTIC_CONTEXT_PENALTY</t>
        </is>
      </c>
      <c r="L1346" s="3" t="inlineStr">
        <is>
          <t>Company fleet inventory, accelerator-hours or procurement/deployment records by GPU generation.</t>
        </is>
      </c>
    </row>
    <row r="1347">
      <c r="A1347" s="3" t="inlineStr">
        <is>
          <t>Meta</t>
        </is>
      </c>
      <c r="B1347" s="3" t="n">
        <v>2029</v>
      </c>
      <c r="C1347" s="3" t="inlineStr">
        <is>
          <t>Base</t>
        </is>
      </c>
      <c r="D1347" s="3" t="inlineStr">
        <is>
          <t>purpose_built_accelerator_share</t>
        </is>
      </c>
      <c r="E1347" s="3" t="n">
        <v>0.387694</v>
      </c>
      <c r="F1347" s="3" t="inlineStr">
        <is>
          <t>share of inference-serving accelerator load</t>
        </is>
      </c>
      <c r="G1347" s="3" t="inlineStr">
        <is>
          <t>Numeric scenario</t>
        </is>
      </c>
      <c r="H1347" s="3" t="inlineStr">
        <is>
          <t>1 - gpu_share</t>
        </is>
      </c>
      <c r="I1347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47" s="3" t="inlineStr">
        <is>
          <t>SRC_META_LLAMA; SRC_META_LLAMA4_NVIDIA; SRC_META_MTIA_GENAI_2026; SRC_EPOCH_AI_DATA_CENTERS; ASSUMP_NUMERIC_ACCELERATOR_MIX</t>
        </is>
      </c>
      <c r="K1347" s="3" t="inlineStr">
        <is>
          <t>ASSUMP_CONSUMER_AI_UTILIZATION; ASSUMP_POWER_RAMP; ASSUMP_NUMERIC_ACCELERATOR_MIX; ASSUMP_INFERENCE_SHARE_NOT_FACT_60; ASSUMP_WORKLOAD_CLASS_MIX; ASSUMP_AGENTIC_CONTEXT_PENALTY</t>
        </is>
      </c>
      <c r="L1347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48">
      <c r="A1348" s="3" t="inlineStr">
        <is>
          <t>Meta</t>
        </is>
      </c>
      <c r="B1348" s="3" t="n">
        <v>2029</v>
      </c>
      <c r="C1348" s="3" t="inlineStr">
        <is>
          <t>Base</t>
        </is>
      </c>
      <c r="D1348" s="3" t="inlineStr">
        <is>
          <t>fleet_reference_tps_per_mw</t>
        </is>
      </c>
      <c r="E1348" s="3" t="n">
        <v>941060</v>
      </c>
      <c r="F1348" s="3" t="inlineStr">
        <is>
          <t>generated output tokens/sec/MW</t>
        </is>
      </c>
      <c r="G1348" s="3" t="inlineStr">
        <is>
          <t>Fleet-weighted public benchmark reference</t>
        </is>
      </c>
      <c r="H1348" s="3" t="inlineStr">
        <is>
          <t>h200_share*h200_workload_avg + b200_share*b200_workload_avg + gb200_share*gb200_workload_avg + purpose_built_share*purpose_workload_avg</t>
        </is>
      </c>
      <c r="I134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48" s="3" t="inlineStr">
        <is>
          <t>SRC_SEMIANALYSIS_INFERENCEX; ASSUMP_NUMERIC_ACCELERATOR_MIX; ASSUMP_WORKLOAD_CLASS_MIX; ASSUMP_AGENTIC_CONTEXT_PENALTY</t>
        </is>
      </c>
      <c r="K1348" s="3" t="inlineStr">
        <is>
          <t>ASSUMP_CONSUMER_AI_UTILIZATION; ASSUMP_POWER_RAMP; ASSUMP_NUMERIC_ACCELERATOR_MIX; ASSUMP_INFERENCE_SHARE_NOT_FACT_60; ASSUMP_WORKLOAD_CLASS_MIX; ASSUMP_AGENTIC_CONTEXT_PENALTY</t>
        </is>
      </c>
      <c r="L1348" s="3" t="inlineStr">
        <is>
          <t>Comparable production output-token throughput or a more closely matched benchmark.</t>
        </is>
      </c>
    </row>
    <row r="1349">
      <c r="A1349" s="3" t="inlineStr">
        <is>
          <t>Meta</t>
        </is>
      </c>
      <c r="B1349" s="3" t="n">
        <v>2029</v>
      </c>
      <c r="C1349" s="3" t="inlineStr">
        <is>
          <t>Base</t>
        </is>
      </c>
      <c r="D1349" s="3" t="inlineStr">
        <is>
          <t>commercial_workload_fit_factor</t>
        </is>
      </c>
      <c r="E1349" s="3" t="n">
        <v>0.9</v>
      </c>
      <c r="F1349" s="3" t="inlineStr">
        <is>
          <t>share of public reference throughput</t>
        </is>
      </c>
      <c r="G1349" s="3" t="inlineStr">
        <is>
          <t>Scenario assumption</t>
        </is>
      </c>
      <c r="H1349" s="3" t="inlineStr">
        <is>
          <t>reference_serving_tps_per_mw = fleet_reference_tps_per_mw * commercial_workload_fit_factor</t>
        </is>
      </c>
      <c r="I134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49" s="3" t="inlineStr">
        <is>
          <t>SRC_SEMIANALYSIS_INFERENCEX; ASSUMP_NUMERIC_ACCELERATOR_MIX; ASSUMP_WORKLOAD_CLASS_MIX; ASSUMP_AGENTIC_CONTEXT_PENALTY</t>
        </is>
      </c>
      <c r="K1349" s="3" t="inlineStr">
        <is>
          <t>ASSUMP_CONSUMER_AI_UTILIZATION; ASSUMP_POWER_RAMP; ASSUMP_NUMERIC_ACCELERATOR_MIX; ASSUMP_INFERENCE_SHARE_NOT_FACT_60; ASSUMP_WORKLOAD_CLASS_MIX; ASSUMP_AGENTIC_CONTEXT_PENALTY</t>
        </is>
      </c>
      <c r="L1349" s="3" t="inlineStr">
        <is>
          <t>Matched commercial serving benchmark by product surface, context shape and latency SLO.</t>
        </is>
      </c>
    </row>
    <row r="1350">
      <c r="A1350" s="3" t="inlineStr">
        <is>
          <t>Meta</t>
        </is>
      </c>
      <c r="B1350" s="3" t="n">
        <v>2029</v>
      </c>
      <c r="C1350" s="3" t="inlineStr">
        <is>
          <t>Base</t>
        </is>
      </c>
      <c r="D1350" s="3" t="inlineStr">
        <is>
          <t>reference_serving_tps_per_mw</t>
        </is>
      </c>
      <c r="E1350" s="3" t="n">
        <v>846954</v>
      </c>
      <c r="F1350" s="3" t="inlineStr">
        <is>
          <t>generated output tokens/sec/MW</t>
        </is>
      </c>
      <c r="G1350" s="3" t="inlineStr">
        <is>
          <t>Workload-adjusted benchmark proxy</t>
        </is>
      </c>
      <c r="H1350" s="3" t="inlineStr">
        <is>
          <t>fleet_reference_tps_per_mw * commercial_workload_fit_factor</t>
        </is>
      </c>
      <c r="I1350" s="3" t="inlineStr">
        <is>
          <t>This is the coefficient used for headline token generation; each GPU's short chat, long chat and agentic TPS/MW are weighted before fleet mix and commercial fit are applied.</t>
        </is>
      </c>
      <c r="J1350" s="3" t="inlineStr">
        <is>
          <t>SRC_SEMIANALYSIS_INFERENCEX; ASSUMP_NUMERIC_ACCELERATOR_MIX; ASSUMP_WORKLOAD_CLASS_MIX; ASSUMP_AGENTIC_CONTEXT_PENALTY</t>
        </is>
      </c>
      <c r="K1350" s="3" t="inlineStr">
        <is>
          <t>ASSUMP_CONSUMER_AI_UTILIZATION; ASSUMP_POWER_RAMP; ASSUMP_NUMERIC_ACCELERATOR_MIX; ASSUMP_INFERENCE_SHARE_NOT_FACT_60; ASSUMP_WORKLOAD_CLASS_MIX; ASSUMP_AGENTIC_CONTEXT_PENALTY</t>
        </is>
      </c>
      <c r="L1350" s="3" t="inlineStr">
        <is>
          <t>Provider production output-token throughput with comparable workload/SLO.</t>
        </is>
      </c>
    </row>
    <row r="1351">
      <c r="A1351" s="3" t="inlineStr">
        <is>
          <t>Meta</t>
        </is>
      </c>
      <c r="B1351" s="3" t="n">
        <v>2029</v>
      </c>
      <c r="C1351" s="3" t="inlineStr">
        <is>
          <t>Base</t>
        </is>
      </c>
      <c r="D1351" s="3" t="inlineStr">
        <is>
          <t>purpose_built_tps_per_mw</t>
        </is>
      </c>
      <c r="E1351" s="3" t="n">
        <v>1105664</v>
      </c>
      <c r="F1351" s="3" t="inlineStr">
        <is>
          <t>generated output tokens/sec/MW</t>
        </is>
      </c>
      <c r="G1351" s="3" t="inlineStr">
        <is>
          <t>Conservative no-uplift proxy</t>
        </is>
      </c>
      <c r="H1351" s="3" t="inlineStr">
        <is>
          <t>purpose_built_tps_per_mw = purpose_built_reference_tps_per_mw * commercial_workload_fit_factor until comparable output-token benchmark is adopted</t>
        </is>
      </c>
      <c r="I1351" s="3" t="inlineStr">
        <is>
          <t>No comparable public output-token/MW row adopted; B200 public reference placeholder is used and remains editable.</t>
        </is>
      </c>
      <c r="J1351" s="3" t="inlineStr">
        <is>
          <t>SRC_META_LLAMA; SRC_META_LLAMA4_NVIDIA; SRC_META_MTIA_GENAI_2026; SRC_EPOCH_AI_DATA_CENTERS; ASSUMP_NUMERIC_ACCELERATOR_MIX</t>
        </is>
      </c>
      <c r="K1351" s="3" t="inlineStr">
        <is>
          <t>ASSUMP_CONSUMER_AI_UTILIZATION; ASSUMP_POWER_RAMP; ASSUMP_NUMERIC_ACCELERATOR_MIX; ASSUMP_INFERENCE_SHARE_NOT_FACT_60; ASSUMP_WORKLOAD_CLASS_MIX; ASSUMP_AGENTIC_CONTEXT_PENALTY</t>
        </is>
      </c>
      <c r="L1351" s="3" t="inlineStr">
        <is>
          <t>Matched-workload generated-output benchmark for the provider purpose-built accelerator.</t>
        </is>
      </c>
    </row>
    <row r="1352">
      <c r="A1352" s="3" t="inlineStr">
        <is>
          <t>Meta</t>
        </is>
      </c>
      <c r="B1352" s="3" t="n">
        <v>2029</v>
      </c>
      <c r="C1352" s="3" t="inlineStr">
        <is>
          <t>Base</t>
        </is>
      </c>
      <c r="D1352" s="3" t="inlineStr">
        <is>
          <t>inference_power_share</t>
        </is>
      </c>
      <c r="E1352" s="3" t="n">
        <v>0.73</v>
      </c>
      <c r="F1352" s="3" t="inlineStr">
        <is>
          <t>share of AI IT load</t>
        </is>
      </c>
      <c r="G1352" s="3" t="inlineStr">
        <is>
          <t>Scenario allocation</t>
        </is>
      </c>
      <c r="H1352" s="3" t="inlineStr">
        <is>
          <t>inference_gw = ai_it_load_gw * inference_power_share</t>
        </is>
      </c>
      <c r="I1352" s="3" t="inlineStr">
        <is>
          <t>Large consumer AI distribution and inference-first MTIA roadmap support a higher inference share scenario.</t>
        </is>
      </c>
      <c r="J1352" s="3" t="inlineStr">
        <is>
          <t>SRC_META_LLAMA; SRC_META_LLAMA4_NVIDIA; SRC_META_MTIA_GENAI_2026; SRC_EPOCH_AI_DATA_CENTERS; ASSUMP_INFERENCE_SHARE_NOT_FACT_60</t>
        </is>
      </c>
      <c r="K1352" s="3" t="inlineStr">
        <is>
          <t>ASSUMP_CONSUMER_AI_UTILIZATION; ASSUMP_POWER_RAMP; ASSUMP_NUMERIC_ACCELERATOR_MIX; ASSUMP_INFERENCE_SHARE_NOT_FACT_60; ASSUMP_WORKLOAD_CLASS_MIX; ASSUMP_AGENTIC_CONTEXT_PENALTY</t>
        </is>
      </c>
      <c r="L1352" s="3" t="inlineStr">
        <is>
          <t>Provider-specific inference/training workload power telemetry.</t>
        </is>
      </c>
    </row>
    <row r="1353">
      <c r="A1353" s="3" t="inlineStr">
        <is>
          <t>Meta</t>
        </is>
      </c>
      <c r="B1353" s="3" t="n">
        <v>2029</v>
      </c>
      <c r="C1353" s="3" t="inlineStr">
        <is>
          <t>Base</t>
        </is>
      </c>
      <c r="D1353" s="3" t="inlineStr">
        <is>
          <t>inference_gw</t>
        </is>
      </c>
      <c r="E1353" s="3" t="n">
        <v>2.514</v>
      </c>
      <c r="F1353" s="3" t="inlineStr">
        <is>
          <t>GW</t>
        </is>
      </c>
      <c r="G1353" s="3" t="inlineStr">
        <is>
          <t>Derived formula</t>
        </is>
      </c>
      <c r="H1353" s="3" t="inlineStr">
        <is>
          <t>ai_it_load_gw * inference_power_share</t>
        </is>
      </c>
      <c r="I1353" s="3" t="inlineStr">
        <is>
          <t>This is the operational power eligible to become commercial generated output tokens through the selected TPS/MW proxy.</t>
        </is>
      </c>
      <c r="J1353" s="3" t="inlineStr">
        <is>
          <t>SRC_META_LLAMA; SRC_META_LLAMA4_NVIDIA; SRC_META_MTIA_GENAI_2026; SRC_EPOCH_AI_DATA_CENTERS</t>
        </is>
      </c>
      <c r="K1353" s="3" t="inlineStr">
        <is>
          <t>ASSUMP_CONSUMER_AI_UTILIZATION; ASSUMP_POWER_RAMP; ASSUMP_NUMERIC_ACCELERATOR_MIX; ASSUMP_INFERENCE_SHARE_NOT_FACT_60; ASSUMP_WORKLOAD_CLASS_MIX; ASSUMP_AGENTIC_CONTEXT_PENALTY</t>
        </is>
      </c>
      <c r="L1353" s="3" t="inlineStr">
        <is>
          <t>Recompute after AI allocation or inference-share evidence changes.</t>
        </is>
      </c>
    </row>
    <row r="1354">
      <c r="A1354" s="3" t="inlineStr">
        <is>
          <t>Meta</t>
        </is>
      </c>
      <c r="B1354" s="3" t="n">
        <v>2029</v>
      </c>
      <c r="C1354" s="3" t="inlineStr">
        <is>
          <t>Base</t>
        </is>
      </c>
      <c r="D1354" s="3" t="inlineStr">
        <is>
          <t>training_power_share</t>
        </is>
      </c>
      <c r="E1354" s="3" t="n">
        <v>0.27</v>
      </c>
      <c r="F1354" s="3" t="inlineStr">
        <is>
          <t>share of AI IT load</t>
        </is>
      </c>
      <c r="G1354" s="3" t="inlineStr">
        <is>
          <t>Derived allocation</t>
        </is>
      </c>
      <c r="H1354" s="3" t="inlineStr">
        <is>
          <t>1 - inference_power_share</t>
        </is>
      </c>
      <c r="I1354" s="3" t="inlineStr">
        <is>
          <t>Training receives the complementary modeled AI IT allocation; it is not a disclosed company workload split.</t>
        </is>
      </c>
      <c r="J1354" s="3" t="inlineStr">
        <is>
          <t>SRC_META_LLAMA; SRC_META_LLAMA4_NVIDIA; SRC_META_MTIA_GENAI_2026; SRC_EPOCH_AI_DATA_CENTERS; ASSUMP_INFERENCE_SHARE_NOT_FACT_60</t>
        </is>
      </c>
      <c r="K1354" s="3" t="inlineStr">
        <is>
          <t>ASSUMP_CONSUMER_AI_UTILIZATION; ASSUMP_POWER_RAMP; ASSUMP_NUMERIC_ACCELERATOR_MIX; ASSUMP_INFERENCE_SHARE_NOT_FACT_60; ASSUMP_WORKLOAD_CLASS_MIX; ASSUMP_AGENTIC_CONTEXT_PENALTY</t>
        </is>
      </c>
      <c r="L1354" s="3" t="inlineStr">
        <is>
          <t>Provider-specific inference/training workload power telemetry.</t>
        </is>
      </c>
    </row>
    <row r="1355">
      <c r="A1355" s="3" t="inlineStr">
        <is>
          <t>Meta</t>
        </is>
      </c>
      <c r="B1355" s="3" t="n">
        <v>2029</v>
      </c>
      <c r="C1355" s="3" t="inlineStr">
        <is>
          <t>Base</t>
        </is>
      </c>
      <c r="D1355" s="3" t="inlineStr">
        <is>
          <t>training_gw</t>
        </is>
      </c>
      <c r="E1355" s="3" t="n">
        <v>0.93</v>
      </c>
      <c r="F1355" s="3" t="inlineStr">
        <is>
          <t>GW</t>
        </is>
      </c>
      <c r="G1355" s="3" t="inlineStr">
        <is>
          <t>Derived formula</t>
        </is>
      </c>
      <c r="H1355" s="3" t="inlineStr">
        <is>
          <t>ai_it_load_gw * training_power_share</t>
        </is>
      </c>
      <c r="I1355" s="3" t="inlineStr">
        <is>
          <t>Training GW is shown separately so commercial inference token capacity is not overstated.</t>
        </is>
      </c>
      <c r="J1355" s="3" t="inlineStr">
        <is>
          <t>SRC_META_LLAMA; SRC_META_LLAMA4_NVIDIA; SRC_META_MTIA_GENAI_2026; SRC_EPOCH_AI_DATA_CENTERS</t>
        </is>
      </c>
      <c r="K1355" s="3" t="inlineStr">
        <is>
          <t>ASSUMP_CONSUMER_AI_UTILIZATION; ASSUMP_POWER_RAMP; ASSUMP_NUMERIC_ACCELERATOR_MIX; ASSUMP_INFERENCE_SHARE_NOT_FACT_60; ASSUMP_WORKLOAD_CLASS_MIX; ASSUMP_AGENTIC_CONTEXT_PENALTY</t>
        </is>
      </c>
      <c r="L1355" s="3" t="inlineStr">
        <is>
          <t>Recompute after AI allocation or workload-split evidence changes.</t>
        </is>
      </c>
    </row>
    <row r="1356">
      <c r="A1356" s="3" t="inlineStr">
        <is>
          <t>Meta</t>
        </is>
      </c>
      <c r="B1356" s="3" t="n">
        <v>2029</v>
      </c>
      <c r="C1356" s="3" t="inlineStr">
        <is>
          <t>Base</t>
        </is>
      </c>
      <c r="D1356" s="3" t="inlineStr">
        <is>
          <t>tokens_per_second_per_mw</t>
        </is>
      </c>
      <c r="E1356" s="3" t="n">
        <v>846954</v>
      </c>
      <c r="F1356" s="3" t="inlineStr">
        <is>
          <t>generated output tokens/sec/MW</t>
        </is>
      </c>
      <c r="G1356" s="3" t="inlineStr">
        <is>
          <t>Derived estimate + benchmark calibration</t>
        </is>
      </c>
      <c r="H1356" s="3" t="inlineStr">
        <is>
          <t>fleet_reference_tps_per_mw * commercial_workload_fit_factor</t>
        </is>
      </c>
      <c r="I135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56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56" s="3" t="inlineStr">
        <is>
          <t>ASSUMP_CONSUMER_AI_UTILIZATION; ASSUMP_POWER_RAMP; ASSUMP_NUMERIC_ACCELERATOR_MIX; ASSUMP_INFERENCE_SHARE_NOT_FACT_60; ASSUMP_WORKLOAD_CLASS_MIX; ASSUMP_AGENTIC_CONTEXT_PENALTY</t>
        </is>
      </c>
      <c r="L1356" s="3" t="inlineStr">
        <is>
          <t>Comparable production output-token throughput with model, hardware, precision, ISL/OSL and SLO matched.</t>
        </is>
      </c>
    </row>
    <row r="1357">
      <c r="A1357" s="3" t="inlineStr">
        <is>
          <t>Meta</t>
        </is>
      </c>
      <c r="B1357" s="3" t="n">
        <v>2029</v>
      </c>
      <c r="C1357" s="3" t="inlineStr">
        <is>
          <t>Base</t>
        </is>
      </c>
      <c r="D1357" s="3" t="inlineStr">
        <is>
          <t>inference_tokens_per_day</t>
        </is>
      </c>
      <c r="E1357" s="3" t="n">
        <v>183966539558400</v>
      </c>
      <c r="F1357" s="3" t="inlineStr">
        <is>
          <t>generated output tokens/day</t>
        </is>
      </c>
      <c r="G1357" s="3" t="inlineStr">
        <is>
          <t>Derived headline metric</t>
        </is>
      </c>
      <c r="H1357" s="3" t="inlineStr">
        <is>
          <t>inference_gw * 1000 * tokens_per_second_per_mw * 86,400</t>
        </is>
      </c>
      <c r="I1357" s="3" t="inlineStr">
        <is>
          <t>Headline capacity uses no utilization, MoE, architecture or software-growth multiplier; it is not observed commercial output volume.</t>
        </is>
      </c>
      <c r="J1357" s="3" t="inlineStr">
        <is>
          <t>SRC_META_LLAMA; SRC_META_LLAMA4_NVIDIA; SRC_META_MTIA_GENAI_2026; SRC_EPOCH_AI_DATA_CENTERS; SRC_SEMIANALYSIS_INFERENCEX</t>
        </is>
      </c>
      <c r="K1357" s="3" t="inlineStr">
        <is>
          <t>ASSUMP_CONSUMER_AI_UTILIZATION; ASSUMP_POWER_RAMP; ASSUMP_NUMERIC_ACCELERATOR_MIX; ASSUMP_INFERENCE_SHARE_NOT_FACT_60; ASSUMP_WORKLOAD_CLASS_MIX; ASSUMP_AGENTIC_CONTEXT_PENALTY</t>
        </is>
      </c>
      <c r="L1357" s="3" t="inlineStr">
        <is>
          <t>Provider-disclosed generated output token volume or calibrated capacity telemetry.</t>
        </is>
      </c>
    </row>
    <row r="1358">
      <c r="A1358" s="3" t="inlineStr">
        <is>
          <t>Meta</t>
        </is>
      </c>
      <c r="B1358" s="3" t="n">
        <v>2029</v>
      </c>
      <c r="C1358" s="3" t="inlineStr">
        <is>
          <t>Base</t>
        </is>
      </c>
      <c r="D1358" s="3" t="inlineStr">
        <is>
          <t>inference_tokens_per_year</t>
        </is>
      </c>
      <c r="E1358" s="3" t="n">
        <v>6.7147786938816e+16</v>
      </c>
      <c r="F1358" s="3" t="inlineStr">
        <is>
          <t>generated output tokens/year</t>
        </is>
      </c>
      <c r="G1358" s="3" t="inlineStr">
        <is>
          <t>Derived headline metric</t>
        </is>
      </c>
      <c r="H1358" s="3" t="inlineStr">
        <is>
          <t>inference_tokens_per_day * 365</t>
        </is>
      </c>
      <c r="I1358" s="3" t="inlineStr">
        <is>
          <t>Annualized version of generated output token capacity; it is not observed annual demand or billable volume.</t>
        </is>
      </c>
      <c r="J1358" s="3" t="inlineStr">
        <is>
          <t>SRC_META_LLAMA; SRC_META_LLAMA4_NVIDIA; SRC_META_MTIA_GENAI_2026; SRC_EPOCH_AI_DATA_CENTERS; SRC_SEMIANALYSIS_INFERENCEX</t>
        </is>
      </c>
      <c r="K1358" s="3" t="inlineStr">
        <is>
          <t>ASSUMP_CONSUMER_AI_UTILIZATION; ASSUMP_POWER_RAMP; ASSUMP_NUMERIC_ACCELERATOR_MIX; ASSUMP_INFERENCE_SHARE_NOT_FACT_60; ASSUMP_WORKLOAD_CLASS_MIX; ASSUMP_AGENTIC_CONTEXT_PENALTY</t>
        </is>
      </c>
      <c r="L1358" s="3" t="inlineStr">
        <is>
          <t>Provider-disclosed annual generated-output volume or metered serving telemetry.</t>
        </is>
      </c>
    </row>
    <row r="1359">
      <c r="A1359" s="3" t="inlineStr">
        <is>
          <t>Meta</t>
        </is>
      </c>
      <c r="B1359" s="3" t="n">
        <v>2030</v>
      </c>
      <c r="C1359" s="3" t="inlineStr">
        <is>
          <t>Base</t>
        </is>
      </c>
      <c r="D1359" s="3" t="inlineStr">
        <is>
          <t>contracted_power_gw</t>
        </is>
      </c>
      <c r="E1359" s="3" t="n">
        <v>7</v>
      </c>
      <c r="F1359" s="3" t="inlineStr">
        <is>
          <t>GW</t>
        </is>
      </c>
      <c r="G1359" s="3" t="inlineStr">
        <is>
          <t>Scenario capacity envelope</t>
        </is>
      </c>
      <c r="H1359" s="3" t="inlineStr">
        <is>
          <t>linear interpolation between 2026 and 2030 company capacity endpoints</t>
        </is>
      </c>
      <c r="I1359" s="3" t="inlineStr">
        <is>
          <t>Scenario envelope for Meta AI/Llama serving capacity; not an official contracted-GW figure.</t>
        </is>
      </c>
      <c r="J1359" s="3" t="inlineStr">
        <is>
          <t>ASSUMP_POWER_RAMP; SRC_META_MTIA_GENAI_2026</t>
        </is>
      </c>
      <c r="K1359" s="3" t="inlineStr">
        <is>
          <t>ASSUMP_CONSUMER_AI_UTILIZATION; ASSUMP_POWER_RAMP; ASSUMP_NUMERIC_ACCELERATOR_MIX; ASSUMP_INFERENCE_SHARE_NOT_FACT_60; ASSUMP_WORKLOAD_CLASS_MIX; ASSUMP_AGENTIC_CONTEXT_PENALTY</t>
        </is>
      </c>
      <c r="L1359" s="3" t="inlineStr">
        <is>
          <t>Company/site-level committed MW/GW, interconnect and contract disclosure.</t>
        </is>
      </c>
    </row>
    <row r="1360">
      <c r="A1360" s="3" t="inlineStr">
        <is>
          <t>Meta</t>
        </is>
      </c>
      <c r="B1360" s="3" t="n">
        <v>2030</v>
      </c>
      <c r="C1360" s="3" t="inlineStr">
        <is>
          <t>Base</t>
        </is>
      </c>
      <c r="D1360" s="3" t="inlineStr">
        <is>
          <t>operational_deployment_share</t>
        </is>
      </c>
      <c r="E1360" s="3" t="n">
        <v>0.82857143</v>
      </c>
      <c r="F1360" s="3" t="inlineStr">
        <is>
          <t>share</t>
        </is>
      </c>
      <c r="G1360" s="3" t="inlineStr">
        <is>
          <t>Scenario conversion</t>
        </is>
      </c>
      <c r="H1360" s="3" t="inlineStr">
        <is>
          <t>active_power_gw / contracted_power_gw</t>
        </is>
      </c>
      <c r="I1360" s="3" t="inlineStr">
        <is>
          <t>This is the single explicit conversion from contracted/attributed capacity to operationally usable capacity.</t>
        </is>
      </c>
      <c r="J1360" s="3" t="inlineStr">
        <is>
          <t>ASSUMP_POWER_RAMP; SRC_META_MTIA_GENAI_2026</t>
        </is>
      </c>
      <c r="K1360" s="3" t="inlineStr">
        <is>
          <t>ASSUMP_CONSUMER_AI_UTILIZATION; ASSUMP_POWER_RAMP; ASSUMP_NUMERIC_ACCELERATOR_MIX; ASSUMP_INFERENCE_SHARE_NOT_FACT_60; ASSUMP_WORKLOAD_CLASS_MIX; ASSUMP_AGENTIC_CONTEXT_PENALTY</t>
        </is>
      </c>
      <c r="L1360" s="3" t="inlineStr">
        <is>
          <t>Energized operational capacity divided by contracted/attributed capacity.</t>
        </is>
      </c>
    </row>
    <row r="1361">
      <c r="A1361" s="3" t="inlineStr">
        <is>
          <t>Meta</t>
        </is>
      </c>
      <c r="B1361" s="3" t="n">
        <v>2030</v>
      </c>
      <c r="C1361" s="3" t="inlineStr">
        <is>
          <t>Base</t>
        </is>
      </c>
      <c r="D1361" s="3" t="inlineStr">
        <is>
          <t>active_power_gw</t>
        </is>
      </c>
      <c r="E1361" s="3" t="n">
        <v>5.8</v>
      </c>
      <c r="F1361" s="3" t="inlineStr">
        <is>
          <t>GW</t>
        </is>
      </c>
      <c r="G1361" s="3" t="inlineStr">
        <is>
          <t>Derived scenario</t>
        </is>
      </c>
      <c r="H1361" s="3" t="inlineStr">
        <is>
          <t>contracted_power_gw * operational_deployment_share</t>
        </is>
      </c>
      <c r="I1361" s="3" t="inlineStr">
        <is>
          <t>MTIA deployment direction and consumer product distribution support active ramp, not exact powered GW.</t>
        </is>
      </c>
      <c r="J1361" s="3" t="inlineStr">
        <is>
          <t>ASSUMP_POWER_RAMP; SRC_META_MTIA_GENAI_2026</t>
        </is>
      </c>
      <c r="K1361" s="3" t="inlineStr">
        <is>
          <t>ASSUMP_CONSUMER_AI_UTILIZATION; ASSUMP_POWER_RAMP; ASSUMP_NUMERIC_ACCELERATOR_MIX; ASSUMP_INFERENCE_SHARE_NOT_FACT_60; ASSUMP_WORKLOAD_CLASS_MIX; ASSUMP_AGENTIC_CONTEXT_PENALTY</t>
        </is>
      </c>
      <c r="L1361" s="3" t="inlineStr">
        <is>
          <t>Energization dates, accelerator deliveries and operational powered-rack telemetry.</t>
        </is>
      </c>
    </row>
    <row r="1362">
      <c r="A1362" s="3" t="inlineStr">
        <is>
          <t>Meta</t>
        </is>
      </c>
      <c r="B1362" s="3" t="n">
        <v>2030</v>
      </c>
      <c r="C1362" s="3" t="inlineStr">
        <is>
          <t>Base</t>
        </is>
      </c>
      <c r="D1362" s="3" t="inlineStr">
        <is>
          <t>pue</t>
        </is>
      </c>
      <c r="E1362" s="3" t="n">
        <v>1.2</v>
      </c>
      <c r="F1362" s="3" t="inlineStr">
        <is>
          <t>ratio</t>
        </is>
      </c>
      <c r="G1362" s="3" t="inlineStr">
        <is>
          <t>Scenario parameter</t>
        </is>
      </c>
      <c r="H1362" s="3" t="inlineStr">
        <is>
          <t>it_load_gw = active_power_gw / pue</t>
        </is>
      </c>
      <c r="I1362" s="3" t="inlineStr">
        <is>
          <t>No provider-wide site-level PUE is used as a disclosed fact; PUE represents facility-to-IT conversion within the scenario.</t>
        </is>
      </c>
      <c r="J1362" s="3" t="inlineStr">
        <is>
          <t>ASSUMP_POWER_RAMP</t>
        </is>
      </c>
      <c r="K1362" s="3" t="inlineStr">
        <is>
          <t>ASSUMP_CONSUMER_AI_UTILIZATION; ASSUMP_POWER_RAMP; ASSUMP_NUMERIC_ACCELERATOR_MIX; ASSUMP_INFERENCE_SHARE_NOT_FACT_60; ASSUMP_WORKLOAD_CLASS_MIX; ASSUMP_AGENTIC_CONTEXT_PENALTY</t>
        </is>
      </c>
      <c r="L1362" s="3" t="inlineStr">
        <is>
          <t>Site-level measured PUE matched to attributed AI capacity.</t>
        </is>
      </c>
    </row>
    <row r="1363">
      <c r="A1363" s="3" t="inlineStr">
        <is>
          <t>Meta</t>
        </is>
      </c>
      <c r="B1363" s="3" t="n">
        <v>2030</v>
      </c>
      <c r="C1363" s="3" t="inlineStr">
        <is>
          <t>Base</t>
        </is>
      </c>
      <c r="D1363" s="3" t="inlineStr">
        <is>
          <t>it_load_gw</t>
        </is>
      </c>
      <c r="E1363" s="3" t="n">
        <v>4.833</v>
      </c>
      <c r="F1363" s="3" t="inlineStr">
        <is>
          <t>GW</t>
        </is>
      </c>
      <c r="G1363" s="3" t="inlineStr">
        <is>
          <t>Derived formula</t>
        </is>
      </c>
      <c r="H1363" s="3" t="inlineStr">
        <is>
          <t>active_power_gw / pue</t>
        </is>
      </c>
      <c r="I1363" s="3" t="inlineStr">
        <is>
          <t>Facility power is converted to IT-deliverable power before attributing AI workloads.</t>
        </is>
      </c>
      <c r="J1363" s="3" t="inlineStr">
        <is>
          <t>ASSUMP_POWER_RAMP; SRC_META_MTIA_GENAI_2026</t>
        </is>
      </c>
      <c r="K1363" s="3" t="inlineStr">
        <is>
          <t>ASSUMP_CONSUMER_AI_UTILIZATION; ASSUMP_POWER_RAMP; ASSUMP_NUMERIC_ACCELERATOR_MIX; ASSUMP_INFERENCE_SHARE_NOT_FACT_60; ASSUMP_WORKLOAD_CLASS_MIX; ASSUMP_AGENTIC_CONTEXT_PENALTY</t>
        </is>
      </c>
      <c r="L1363" s="3" t="inlineStr">
        <is>
          <t>Recompute once active power and PUE become site-observable.</t>
        </is>
      </c>
    </row>
    <row r="1364">
      <c r="A1364" s="3" t="inlineStr">
        <is>
          <t>Meta</t>
        </is>
      </c>
      <c r="B1364" s="3" t="n">
        <v>2030</v>
      </c>
      <c r="C1364" s="3" t="inlineStr">
        <is>
          <t>Base</t>
        </is>
      </c>
      <c r="D1364" s="3" t="inlineStr">
        <is>
          <t>ai_workload_share</t>
        </is>
      </c>
      <c r="E1364" s="3" t="n">
        <v>0.87</v>
      </c>
      <c r="F1364" s="3" t="inlineStr">
        <is>
          <t>share</t>
        </is>
      </c>
      <c r="G1364" s="3" t="inlineStr">
        <is>
          <t>Scenario allocation</t>
        </is>
      </c>
      <c r="H1364" s="3" t="inlineStr">
        <is>
          <t>ai_it_load_gw = it_load_gw * ai_workload_share</t>
        </is>
      </c>
      <c r="I1364" s="3" t="inlineStr">
        <is>
          <t>The modeled fleet is focused on AI workloads across Meta AI surfaces; non-LLM ranking/platform overhead is excluded through the 87% share.</t>
        </is>
      </c>
      <c r="J1364" s="3" t="inlineStr">
        <is>
          <t>SRC_META_LLAMA; SRC_META_LLAMA4_NVIDIA; SRC_META_MTIA_GENAI_2026; SRC_EPOCH_AI_DATA_CENTERS</t>
        </is>
      </c>
      <c r="K1364" s="3" t="inlineStr">
        <is>
          <t>ASSUMP_CONSUMER_AI_UTILIZATION; ASSUMP_POWER_RAMP; ASSUMP_NUMERIC_ACCELERATOR_MIX; ASSUMP_INFERENCE_SHARE_NOT_FACT_60; ASSUMP_WORKLOAD_CLASS_MIX; ASSUMP_AGENTIC_CONTEXT_PENALTY</t>
        </is>
      </c>
      <c r="L1364" s="3" t="inlineStr">
        <is>
          <t>Model-owner AI workload allocation or cluster scheduling telemetry.</t>
        </is>
      </c>
    </row>
    <row r="1365">
      <c r="A1365" s="3" t="inlineStr">
        <is>
          <t>Meta</t>
        </is>
      </c>
      <c r="B1365" s="3" t="n">
        <v>2030</v>
      </c>
      <c r="C1365" s="3" t="inlineStr">
        <is>
          <t>Base</t>
        </is>
      </c>
      <c r="D1365" s="3" t="inlineStr">
        <is>
          <t>ai_it_load_gw</t>
        </is>
      </c>
      <c r="E1365" s="3" t="n">
        <v>4.205</v>
      </c>
      <c r="F1365" s="3" t="inlineStr">
        <is>
          <t>GW</t>
        </is>
      </c>
      <c r="G1365" s="3" t="inlineStr">
        <is>
          <t>Derived formula</t>
        </is>
      </c>
      <c r="H1365" s="3" t="inlineStr">
        <is>
          <t>it_load_gw * ai_workload_share</t>
        </is>
      </c>
      <c r="I1365" s="3" t="inlineStr">
        <is>
          <t>Only the AI-attributed portion of IT load enters training/inference allocation.</t>
        </is>
      </c>
      <c r="J1365" s="3" t="inlineStr">
        <is>
          <t>SRC_META_LLAMA; SRC_META_LLAMA4_NVIDIA; SRC_META_MTIA_GENAI_2026; SRC_EPOCH_AI_DATA_CENTERS</t>
        </is>
      </c>
      <c r="K1365" s="3" t="inlineStr">
        <is>
          <t>ASSUMP_CONSUMER_AI_UTILIZATION; ASSUMP_POWER_RAMP; ASSUMP_NUMERIC_ACCELERATOR_MIX; ASSUMP_INFERENCE_SHARE_NOT_FACT_60; ASSUMP_WORKLOAD_CLASS_MIX; ASSUMP_AGENTIC_CONTEXT_PENALTY</t>
        </is>
      </c>
      <c r="L1365" s="3" t="inlineStr">
        <is>
          <t>Recompute after ai_workload_share is replaced by telemetry.</t>
        </is>
      </c>
    </row>
    <row r="1366">
      <c r="A1366" s="3" t="inlineStr">
        <is>
          <t>Meta</t>
        </is>
      </c>
      <c r="B1366" s="3" t="n">
        <v>2030</v>
      </c>
      <c r="C1366" s="3" t="inlineStr">
        <is>
          <t>Base</t>
        </is>
      </c>
      <c r="D1366" s="3" t="inlineStr">
        <is>
          <t>gpu_share</t>
        </is>
      </c>
      <c r="E1366" s="3" t="n">
        <v>0.612306</v>
      </c>
      <c r="F1366" s="3" t="inlineStr">
        <is>
          <t>share of inference-serving accelerator load</t>
        </is>
      </c>
      <c r="G1366" s="3" t="inlineStr">
        <is>
          <t>Numeric scenario</t>
        </is>
      </c>
      <c r="H1366" s="3" t="inlineStr">
        <is>
          <t>gpu_share interpolated from company 2026/2030 accelerator-mix endpoints</t>
        </is>
      </c>
      <c r="I1366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66" s="3" t="inlineStr">
        <is>
          <t>SRC_META_LLAMA; SRC_META_LLAMA4_NVIDIA; SRC_META_MTIA_GENAI_2026; SRC_EPOCH_AI_DATA_CENTERS; ASSUMP_NUMERIC_ACCELERATOR_MIX</t>
        </is>
      </c>
      <c r="K1366" s="3" t="inlineStr">
        <is>
          <t>ASSUMP_CONSUMER_AI_UTILIZATION; ASSUMP_POWER_RAMP; ASSUMP_NUMERIC_ACCELERATOR_MIX; ASSUMP_INFERENCE_SHARE_NOT_FACT_60; ASSUMP_WORKLOAD_CLASS_MIX; ASSUMP_AGENTIC_CONTEXT_PENALTY</t>
        </is>
      </c>
      <c r="L1366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67">
      <c r="A1367" s="3" t="inlineStr">
        <is>
          <t>Meta</t>
        </is>
      </c>
      <c r="B1367" s="3" t="n">
        <v>2030</v>
      </c>
      <c r="C1367" s="3" t="inlineStr">
        <is>
          <t>Base</t>
        </is>
      </c>
      <c r="D1367" s="3" t="inlineStr">
        <is>
          <t>h200_share</t>
        </is>
      </c>
      <c r="E1367" s="3" t="n">
        <v>0</v>
      </c>
      <c r="F1367" s="3" t="inlineStr">
        <is>
          <t>share of inference-serving accelerator load</t>
        </is>
      </c>
      <c r="G1367" s="3" t="inlineStr">
        <is>
          <t>Editable numeric scenario</t>
        </is>
      </c>
      <c r="H1367" s="3" t="inlineStr">
        <is>
          <t>h200_share = gpu_share * default_gpu_generation_mix_h200</t>
        </is>
      </c>
      <c r="I1367" s="3" t="inlineStr">
        <is>
          <t>Default GPU-generation migration assumption; executive workbook allows later manual replacement by company/year/scenario.</t>
        </is>
      </c>
      <c r="J1367" s="3" t="inlineStr">
        <is>
          <t>SRC_SEMIANALYSIS_INFERENCEX; ASSUMP_NUMERIC_ACCELERATOR_MIX</t>
        </is>
      </c>
      <c r="K1367" s="3" t="inlineStr">
        <is>
          <t>ASSUMP_CONSUMER_AI_UTILIZATION; ASSUMP_POWER_RAMP; ASSUMP_NUMERIC_ACCELERATOR_MIX; ASSUMP_INFERENCE_SHARE_NOT_FACT_60; ASSUMP_WORKLOAD_CLASS_MIX; ASSUMP_AGENTIC_CONTEXT_PENALTY</t>
        </is>
      </c>
      <c r="L1367" s="3" t="inlineStr">
        <is>
          <t>Company fleet inventory, accelerator-hours or procurement/deployment records by GPU generation.</t>
        </is>
      </c>
    </row>
    <row r="1368">
      <c r="A1368" s="3" t="inlineStr">
        <is>
          <t>Meta</t>
        </is>
      </c>
      <c r="B1368" s="3" t="n">
        <v>2030</v>
      </c>
      <c r="C1368" s="3" t="inlineStr">
        <is>
          <t>Base</t>
        </is>
      </c>
      <c r="D1368" s="3" t="inlineStr">
        <is>
          <t>b200_share</t>
        </is>
      </c>
      <c r="E1368" s="3" t="n">
        <v>0.612306</v>
      </c>
      <c r="F1368" s="3" t="inlineStr">
        <is>
          <t>share of inference-serving accelerator load</t>
        </is>
      </c>
      <c r="G1368" s="3" t="inlineStr">
        <is>
          <t>Editable numeric scenario</t>
        </is>
      </c>
      <c r="H1368" s="3" t="inlineStr">
        <is>
          <t>b200_share = gpu_share * default_gpu_generation_mix_b200</t>
        </is>
      </c>
      <c r="I1368" s="3" t="inlineStr">
        <is>
          <t>Default GPU-generation migration assumption; executive workbook allows later manual replacement by company/year/scenario.</t>
        </is>
      </c>
      <c r="J1368" s="3" t="inlineStr">
        <is>
          <t>SRC_SEMIANALYSIS_INFERENCEX; ASSUMP_NUMERIC_ACCELERATOR_MIX</t>
        </is>
      </c>
      <c r="K1368" s="3" t="inlineStr">
        <is>
          <t>ASSUMP_CONSUMER_AI_UTILIZATION; ASSUMP_POWER_RAMP; ASSUMP_NUMERIC_ACCELERATOR_MIX; ASSUMP_INFERENCE_SHARE_NOT_FACT_60; ASSUMP_WORKLOAD_CLASS_MIX; ASSUMP_AGENTIC_CONTEXT_PENALTY</t>
        </is>
      </c>
      <c r="L1368" s="3" t="inlineStr">
        <is>
          <t>Company fleet inventory, accelerator-hours or procurement/deployment records by GPU generation.</t>
        </is>
      </c>
    </row>
    <row r="1369">
      <c r="A1369" s="3" t="inlineStr">
        <is>
          <t>Meta</t>
        </is>
      </c>
      <c r="B1369" s="3" t="n">
        <v>2030</v>
      </c>
      <c r="C1369" s="3" t="inlineStr">
        <is>
          <t>Base</t>
        </is>
      </c>
      <c r="D1369" s="3" t="inlineStr">
        <is>
          <t>gb200_share</t>
        </is>
      </c>
      <c r="E1369" s="3" t="n">
        <v>0</v>
      </c>
      <c r="F1369" s="3" t="inlineStr">
        <is>
          <t>share of inference-serving accelerator load</t>
        </is>
      </c>
      <c r="G1369" s="3" t="inlineStr">
        <is>
          <t>Editable numeric scenario</t>
        </is>
      </c>
      <c r="H1369" s="3" t="inlineStr">
        <is>
          <t>gb200_share = gpu_share * default_gpu_generation_mix_gb200</t>
        </is>
      </c>
      <c r="I1369" s="3" t="inlineStr">
        <is>
          <t>Default GPU-generation migration assumption; executive workbook allows later manual replacement by company/year/scenario.</t>
        </is>
      </c>
      <c r="J1369" s="3" t="inlineStr">
        <is>
          <t>SRC_SEMIANALYSIS_INFERENCEX; ASSUMP_NUMERIC_ACCELERATOR_MIX</t>
        </is>
      </c>
      <c r="K1369" s="3" t="inlineStr">
        <is>
          <t>ASSUMP_CONSUMER_AI_UTILIZATION; ASSUMP_POWER_RAMP; ASSUMP_NUMERIC_ACCELERATOR_MIX; ASSUMP_INFERENCE_SHARE_NOT_FACT_60; ASSUMP_WORKLOAD_CLASS_MIX; ASSUMP_AGENTIC_CONTEXT_PENALTY</t>
        </is>
      </c>
      <c r="L1369" s="3" t="inlineStr">
        <is>
          <t>Company fleet inventory, accelerator-hours or procurement/deployment records by GPU generation.</t>
        </is>
      </c>
    </row>
    <row r="1370">
      <c r="A1370" s="3" t="inlineStr">
        <is>
          <t>Meta</t>
        </is>
      </c>
      <c r="B1370" s="3" t="n">
        <v>2030</v>
      </c>
      <c r="C1370" s="3" t="inlineStr">
        <is>
          <t>Base</t>
        </is>
      </c>
      <c r="D1370" s="3" t="inlineStr">
        <is>
          <t>purpose_built_accelerator_share</t>
        </is>
      </c>
      <c r="E1370" s="3" t="n">
        <v>0.387694</v>
      </c>
      <c r="F1370" s="3" t="inlineStr">
        <is>
          <t>share of inference-serving accelerator load</t>
        </is>
      </c>
      <c r="G1370" s="3" t="inlineStr">
        <is>
          <t>Numeric scenario</t>
        </is>
      </c>
      <c r="H1370" s="3" t="inlineStr">
        <is>
          <t>1 - gpu_share</t>
        </is>
      </c>
      <c r="I1370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1370" s="3" t="inlineStr">
        <is>
          <t>SRC_META_LLAMA; SRC_META_LLAMA4_NVIDIA; SRC_META_MTIA_GENAI_2026; SRC_EPOCH_AI_DATA_CENTERS; ASSUMP_NUMERIC_ACCELERATOR_MIX</t>
        </is>
      </c>
      <c r="K1370" s="3" t="inlineStr">
        <is>
          <t>ASSUMP_CONSUMER_AI_UTILIZATION; ASSUMP_POWER_RAMP; ASSUMP_NUMERIC_ACCELERATOR_MIX; ASSUMP_INFERENCE_SHARE_NOT_FACT_60; ASSUMP_WORKLOAD_CLASS_MIX; ASSUMP_AGENTIC_CONTEXT_PENALTY</t>
        </is>
      </c>
      <c r="L1370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1371">
      <c r="A1371" s="3" t="inlineStr">
        <is>
          <t>Meta</t>
        </is>
      </c>
      <c r="B1371" s="3" t="n">
        <v>2030</v>
      </c>
      <c r="C1371" s="3" t="inlineStr">
        <is>
          <t>Base</t>
        </is>
      </c>
      <c r="D1371" s="3" t="inlineStr">
        <is>
          <t>fleet_reference_tps_per_mw</t>
        </is>
      </c>
      <c r="E1371" s="3" t="n">
        <v>941060</v>
      </c>
      <c r="F1371" s="3" t="inlineStr">
        <is>
          <t>generated output tokens/sec/MW</t>
        </is>
      </c>
      <c r="G1371" s="3" t="inlineStr">
        <is>
          <t>Fleet-weighted public benchmark reference</t>
        </is>
      </c>
      <c r="H1371" s="3" t="inlineStr">
        <is>
          <t>h200_share*h200_workload_avg + b200_share*b200_workload_avg + gb200_share*gb200_workload_avg + purpose_built_share*purpose_workload_avg</t>
        </is>
      </c>
      <c r="I137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1371" s="3" t="inlineStr">
        <is>
          <t>SRC_SEMIANALYSIS_INFERENCEX; ASSUMP_NUMERIC_ACCELERATOR_MIX; ASSUMP_WORKLOAD_CLASS_MIX; ASSUMP_AGENTIC_CONTEXT_PENALTY</t>
        </is>
      </c>
      <c r="K1371" s="3" t="inlineStr">
        <is>
          <t>ASSUMP_CONSUMER_AI_UTILIZATION; ASSUMP_POWER_RAMP; ASSUMP_NUMERIC_ACCELERATOR_MIX; ASSUMP_INFERENCE_SHARE_NOT_FACT_60; ASSUMP_WORKLOAD_CLASS_MIX; ASSUMP_AGENTIC_CONTEXT_PENALTY</t>
        </is>
      </c>
      <c r="L1371" s="3" t="inlineStr">
        <is>
          <t>Comparable production output-token throughput or a more closely matched benchmark.</t>
        </is>
      </c>
    </row>
    <row r="1372">
      <c r="A1372" s="3" t="inlineStr">
        <is>
          <t>Meta</t>
        </is>
      </c>
      <c r="B1372" s="3" t="n">
        <v>2030</v>
      </c>
      <c r="C1372" s="3" t="inlineStr">
        <is>
          <t>Base</t>
        </is>
      </c>
      <c r="D1372" s="3" t="inlineStr">
        <is>
          <t>commercial_workload_fit_factor</t>
        </is>
      </c>
      <c r="E1372" s="3" t="n">
        <v>0.9</v>
      </c>
      <c r="F1372" s="3" t="inlineStr">
        <is>
          <t>share of public reference throughput</t>
        </is>
      </c>
      <c r="G1372" s="3" t="inlineStr">
        <is>
          <t>Scenario assumption</t>
        </is>
      </c>
      <c r="H1372" s="3" t="inlineStr">
        <is>
          <t>reference_serving_tps_per_mw = fleet_reference_tps_per_mw * commercial_workload_fit_factor</t>
        </is>
      </c>
      <c r="I137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1372" s="3" t="inlineStr">
        <is>
          <t>SRC_SEMIANALYSIS_INFERENCEX; ASSUMP_NUMERIC_ACCELERATOR_MIX; ASSUMP_WORKLOAD_CLASS_MIX; ASSUMP_AGENTIC_CONTEXT_PENALTY</t>
        </is>
      </c>
      <c r="K1372" s="3" t="inlineStr">
        <is>
          <t>ASSUMP_CONSUMER_AI_UTILIZATION; ASSUMP_POWER_RAMP; ASSUMP_NUMERIC_ACCELERATOR_MIX; ASSUMP_INFERENCE_SHARE_NOT_FACT_60; ASSUMP_WORKLOAD_CLASS_MIX; ASSUMP_AGENTIC_CONTEXT_PENALTY</t>
        </is>
      </c>
      <c r="L1372" s="3" t="inlineStr">
        <is>
          <t>Matched commercial serving benchmark by product surface, context shape and latency SLO.</t>
        </is>
      </c>
    </row>
    <row r="1373">
      <c r="A1373" s="3" t="inlineStr">
        <is>
          <t>Meta</t>
        </is>
      </c>
      <c r="B1373" s="3" t="n">
        <v>2030</v>
      </c>
      <c r="C1373" s="3" t="inlineStr">
        <is>
          <t>Base</t>
        </is>
      </c>
      <c r="D1373" s="3" t="inlineStr">
        <is>
          <t>reference_serving_tps_per_mw</t>
        </is>
      </c>
      <c r="E1373" s="3" t="n">
        <v>846954</v>
      </c>
      <c r="F1373" s="3" t="inlineStr">
        <is>
          <t>generated output tokens/sec/MW</t>
        </is>
      </c>
      <c r="G1373" s="3" t="inlineStr">
        <is>
          <t>Workload-adjusted benchmark proxy</t>
        </is>
      </c>
      <c r="H1373" s="3" t="inlineStr">
        <is>
          <t>fleet_reference_tps_per_mw * commercial_workload_fit_factor</t>
        </is>
      </c>
      <c r="I1373" s="3" t="inlineStr">
        <is>
          <t>This is the coefficient used for headline token generation; each GPU's short chat, long chat and agentic TPS/MW are weighted before fleet mix and commercial fit are applied.</t>
        </is>
      </c>
      <c r="J1373" s="3" t="inlineStr">
        <is>
          <t>SRC_SEMIANALYSIS_INFERENCEX; ASSUMP_NUMERIC_ACCELERATOR_MIX; ASSUMP_WORKLOAD_CLASS_MIX; ASSUMP_AGENTIC_CONTEXT_PENALTY</t>
        </is>
      </c>
      <c r="K1373" s="3" t="inlineStr">
        <is>
          <t>ASSUMP_CONSUMER_AI_UTILIZATION; ASSUMP_POWER_RAMP; ASSUMP_NUMERIC_ACCELERATOR_MIX; ASSUMP_INFERENCE_SHARE_NOT_FACT_60; ASSUMP_WORKLOAD_CLASS_MIX; ASSUMP_AGENTIC_CONTEXT_PENALTY</t>
        </is>
      </c>
      <c r="L1373" s="3" t="inlineStr">
        <is>
          <t>Provider production output-token throughput with comparable workload/SLO.</t>
        </is>
      </c>
    </row>
    <row r="1374">
      <c r="A1374" s="3" t="inlineStr">
        <is>
          <t>Meta</t>
        </is>
      </c>
      <c r="B1374" s="3" t="n">
        <v>2030</v>
      </c>
      <c r="C1374" s="3" t="inlineStr">
        <is>
          <t>Base</t>
        </is>
      </c>
      <c r="D1374" s="3" t="inlineStr">
        <is>
          <t>purpose_built_tps_per_mw</t>
        </is>
      </c>
      <c r="E1374" s="3" t="n">
        <v>1105664</v>
      </c>
      <c r="F1374" s="3" t="inlineStr">
        <is>
          <t>generated output tokens/sec/MW</t>
        </is>
      </c>
      <c r="G1374" s="3" t="inlineStr">
        <is>
          <t>Conservative no-uplift proxy</t>
        </is>
      </c>
      <c r="H1374" s="3" t="inlineStr">
        <is>
          <t>purpose_built_tps_per_mw = purpose_built_reference_tps_per_mw * commercial_workload_fit_factor until comparable output-token benchmark is adopted</t>
        </is>
      </c>
      <c r="I1374" s="3" t="inlineStr">
        <is>
          <t>No comparable public output-token/MW row adopted; B200 public reference placeholder is used and remains editable.</t>
        </is>
      </c>
      <c r="J1374" s="3" t="inlineStr">
        <is>
          <t>SRC_META_LLAMA; SRC_META_LLAMA4_NVIDIA; SRC_META_MTIA_GENAI_2026; SRC_EPOCH_AI_DATA_CENTERS; ASSUMP_NUMERIC_ACCELERATOR_MIX</t>
        </is>
      </c>
      <c r="K1374" s="3" t="inlineStr">
        <is>
          <t>ASSUMP_CONSUMER_AI_UTILIZATION; ASSUMP_POWER_RAMP; ASSUMP_NUMERIC_ACCELERATOR_MIX; ASSUMP_INFERENCE_SHARE_NOT_FACT_60; ASSUMP_WORKLOAD_CLASS_MIX; ASSUMP_AGENTIC_CONTEXT_PENALTY</t>
        </is>
      </c>
      <c r="L1374" s="3" t="inlineStr">
        <is>
          <t>Matched-workload generated-output benchmark for the provider purpose-built accelerator.</t>
        </is>
      </c>
    </row>
    <row r="1375">
      <c r="A1375" s="3" t="inlineStr">
        <is>
          <t>Meta</t>
        </is>
      </c>
      <c r="B1375" s="3" t="n">
        <v>2030</v>
      </c>
      <c r="C1375" s="3" t="inlineStr">
        <is>
          <t>Base</t>
        </is>
      </c>
      <c r="D1375" s="3" t="inlineStr">
        <is>
          <t>inference_power_share</t>
        </is>
      </c>
      <c r="E1375" s="3" t="n">
        <v>0.78</v>
      </c>
      <c r="F1375" s="3" t="inlineStr">
        <is>
          <t>share of AI IT load</t>
        </is>
      </c>
      <c r="G1375" s="3" t="inlineStr">
        <is>
          <t>Scenario allocation</t>
        </is>
      </c>
      <c r="H1375" s="3" t="inlineStr">
        <is>
          <t>inference_gw = ai_it_load_gw * inference_power_share</t>
        </is>
      </c>
      <c r="I1375" s="3" t="inlineStr">
        <is>
          <t>Large consumer AI distribution and inference-first MTIA roadmap support a higher inference share scenario.</t>
        </is>
      </c>
      <c r="J1375" s="3" t="inlineStr">
        <is>
          <t>SRC_META_LLAMA; SRC_META_LLAMA4_NVIDIA; SRC_META_MTIA_GENAI_2026; SRC_EPOCH_AI_DATA_CENTERS; ASSUMP_INFERENCE_SHARE_NOT_FACT_60</t>
        </is>
      </c>
      <c r="K1375" s="3" t="inlineStr">
        <is>
          <t>ASSUMP_CONSUMER_AI_UTILIZATION; ASSUMP_POWER_RAMP; ASSUMP_NUMERIC_ACCELERATOR_MIX; ASSUMP_INFERENCE_SHARE_NOT_FACT_60; ASSUMP_WORKLOAD_CLASS_MIX; ASSUMP_AGENTIC_CONTEXT_PENALTY</t>
        </is>
      </c>
      <c r="L1375" s="3" t="inlineStr">
        <is>
          <t>Provider-specific inference/training workload power telemetry.</t>
        </is>
      </c>
    </row>
    <row r="1376">
      <c r="A1376" s="3" t="inlineStr">
        <is>
          <t>Meta</t>
        </is>
      </c>
      <c r="B1376" s="3" t="n">
        <v>2030</v>
      </c>
      <c r="C1376" s="3" t="inlineStr">
        <is>
          <t>Base</t>
        </is>
      </c>
      <c r="D1376" s="3" t="inlineStr">
        <is>
          <t>inference_gw</t>
        </is>
      </c>
      <c r="E1376" s="3" t="n">
        <v>3.28</v>
      </c>
      <c r="F1376" s="3" t="inlineStr">
        <is>
          <t>GW</t>
        </is>
      </c>
      <c r="G1376" s="3" t="inlineStr">
        <is>
          <t>Derived formula</t>
        </is>
      </c>
      <c r="H1376" s="3" t="inlineStr">
        <is>
          <t>ai_it_load_gw * inference_power_share</t>
        </is>
      </c>
      <c r="I1376" s="3" t="inlineStr">
        <is>
          <t>This is the operational power eligible to become commercial generated output tokens through the selected TPS/MW proxy.</t>
        </is>
      </c>
      <c r="J1376" s="3" t="inlineStr">
        <is>
          <t>SRC_META_LLAMA; SRC_META_LLAMA4_NVIDIA; SRC_META_MTIA_GENAI_2026; SRC_EPOCH_AI_DATA_CENTERS</t>
        </is>
      </c>
      <c r="K1376" s="3" t="inlineStr">
        <is>
          <t>ASSUMP_CONSUMER_AI_UTILIZATION; ASSUMP_POWER_RAMP; ASSUMP_NUMERIC_ACCELERATOR_MIX; ASSUMP_INFERENCE_SHARE_NOT_FACT_60; ASSUMP_WORKLOAD_CLASS_MIX; ASSUMP_AGENTIC_CONTEXT_PENALTY</t>
        </is>
      </c>
      <c r="L1376" s="3" t="inlineStr">
        <is>
          <t>Recompute after AI allocation or inference-share evidence changes.</t>
        </is>
      </c>
    </row>
    <row r="1377">
      <c r="A1377" s="3" t="inlineStr">
        <is>
          <t>Meta</t>
        </is>
      </c>
      <c r="B1377" s="3" t="n">
        <v>2030</v>
      </c>
      <c r="C1377" s="3" t="inlineStr">
        <is>
          <t>Base</t>
        </is>
      </c>
      <c r="D1377" s="3" t="inlineStr">
        <is>
          <t>training_power_share</t>
        </is>
      </c>
      <c r="E1377" s="3" t="n">
        <v>0.22</v>
      </c>
      <c r="F1377" s="3" t="inlineStr">
        <is>
          <t>share of AI IT load</t>
        </is>
      </c>
      <c r="G1377" s="3" t="inlineStr">
        <is>
          <t>Derived allocation</t>
        </is>
      </c>
      <c r="H1377" s="3" t="inlineStr">
        <is>
          <t>1 - inference_power_share</t>
        </is>
      </c>
      <c r="I1377" s="3" t="inlineStr">
        <is>
          <t>Training receives the complementary modeled AI IT allocation; it is not a disclosed company workload split.</t>
        </is>
      </c>
      <c r="J1377" s="3" t="inlineStr">
        <is>
          <t>SRC_META_LLAMA; SRC_META_LLAMA4_NVIDIA; SRC_META_MTIA_GENAI_2026; SRC_EPOCH_AI_DATA_CENTERS; ASSUMP_INFERENCE_SHARE_NOT_FACT_60</t>
        </is>
      </c>
      <c r="K1377" s="3" t="inlineStr">
        <is>
          <t>ASSUMP_CONSUMER_AI_UTILIZATION; ASSUMP_POWER_RAMP; ASSUMP_NUMERIC_ACCELERATOR_MIX; ASSUMP_INFERENCE_SHARE_NOT_FACT_60; ASSUMP_WORKLOAD_CLASS_MIX; ASSUMP_AGENTIC_CONTEXT_PENALTY</t>
        </is>
      </c>
      <c r="L1377" s="3" t="inlineStr">
        <is>
          <t>Provider-specific inference/training workload power telemetry.</t>
        </is>
      </c>
    </row>
    <row r="1378">
      <c r="A1378" s="3" t="inlineStr">
        <is>
          <t>Meta</t>
        </is>
      </c>
      <c r="B1378" s="3" t="n">
        <v>2030</v>
      </c>
      <c r="C1378" s="3" t="inlineStr">
        <is>
          <t>Base</t>
        </is>
      </c>
      <c r="D1378" s="3" t="inlineStr">
        <is>
          <t>training_gw</t>
        </is>
      </c>
      <c r="E1378" s="3" t="n">
        <v>0.925</v>
      </c>
      <c r="F1378" s="3" t="inlineStr">
        <is>
          <t>GW</t>
        </is>
      </c>
      <c r="G1378" s="3" t="inlineStr">
        <is>
          <t>Derived formula</t>
        </is>
      </c>
      <c r="H1378" s="3" t="inlineStr">
        <is>
          <t>ai_it_load_gw * training_power_share</t>
        </is>
      </c>
      <c r="I1378" s="3" t="inlineStr">
        <is>
          <t>Training GW is shown separately so commercial inference token capacity is not overstated.</t>
        </is>
      </c>
      <c r="J1378" s="3" t="inlineStr">
        <is>
          <t>SRC_META_LLAMA; SRC_META_LLAMA4_NVIDIA; SRC_META_MTIA_GENAI_2026; SRC_EPOCH_AI_DATA_CENTERS</t>
        </is>
      </c>
      <c r="K1378" s="3" t="inlineStr">
        <is>
          <t>ASSUMP_CONSUMER_AI_UTILIZATION; ASSUMP_POWER_RAMP; ASSUMP_NUMERIC_ACCELERATOR_MIX; ASSUMP_INFERENCE_SHARE_NOT_FACT_60; ASSUMP_WORKLOAD_CLASS_MIX; ASSUMP_AGENTIC_CONTEXT_PENALTY</t>
        </is>
      </c>
      <c r="L1378" s="3" t="inlineStr">
        <is>
          <t>Recompute after AI allocation or workload-split evidence changes.</t>
        </is>
      </c>
    </row>
    <row r="1379">
      <c r="A1379" s="3" t="inlineStr">
        <is>
          <t>Meta</t>
        </is>
      </c>
      <c r="B1379" s="3" t="n">
        <v>2030</v>
      </c>
      <c r="C1379" s="3" t="inlineStr">
        <is>
          <t>Base</t>
        </is>
      </c>
      <c r="D1379" s="3" t="inlineStr">
        <is>
          <t>tokens_per_second_per_mw</t>
        </is>
      </c>
      <c r="E1379" s="3" t="n">
        <v>846954</v>
      </c>
      <c r="F1379" s="3" t="inlineStr">
        <is>
          <t>generated output tokens/sec/MW</t>
        </is>
      </c>
      <c r="G1379" s="3" t="inlineStr">
        <is>
          <t>Derived estimate + benchmark calibration</t>
        </is>
      </c>
      <c r="H1379" s="3" t="inlineStr">
        <is>
          <t>fleet_reference_tps_per_mw * commercial_workload_fit_factor</t>
        </is>
      </c>
      <c r="I137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1379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1379" s="3" t="inlineStr">
        <is>
          <t>ASSUMP_CONSUMER_AI_UTILIZATION; ASSUMP_POWER_RAMP; ASSUMP_NUMERIC_ACCELERATOR_MIX; ASSUMP_INFERENCE_SHARE_NOT_FACT_60; ASSUMP_WORKLOAD_CLASS_MIX; ASSUMP_AGENTIC_CONTEXT_PENALTY</t>
        </is>
      </c>
      <c r="L1379" s="3" t="inlineStr">
        <is>
          <t>Comparable production output-token throughput with model, hardware, precision, ISL/OSL and SLO matched.</t>
        </is>
      </c>
    </row>
    <row r="1380">
      <c r="A1380" s="3" t="inlineStr">
        <is>
          <t>Meta</t>
        </is>
      </c>
      <c r="B1380" s="3" t="n">
        <v>2030</v>
      </c>
      <c r="C1380" s="3" t="inlineStr">
        <is>
          <t>Base</t>
        </is>
      </c>
      <c r="D1380" s="3" t="inlineStr">
        <is>
          <t>inference_tokens_per_day</t>
        </is>
      </c>
      <c r="E1380" s="3" t="n">
        <v>240019987968000</v>
      </c>
      <c r="F1380" s="3" t="inlineStr">
        <is>
          <t>generated output tokens/day</t>
        </is>
      </c>
      <c r="G1380" s="3" t="inlineStr">
        <is>
          <t>Derived headline metric</t>
        </is>
      </c>
      <c r="H1380" s="3" t="inlineStr">
        <is>
          <t>inference_gw * 1000 * tokens_per_second_per_mw * 86,400</t>
        </is>
      </c>
      <c r="I1380" s="3" t="inlineStr">
        <is>
          <t>Headline capacity uses no utilization, MoE, architecture or software-growth multiplier; it is not observed commercial output volume.</t>
        </is>
      </c>
      <c r="J1380" s="3" t="inlineStr">
        <is>
          <t>SRC_META_LLAMA; SRC_META_LLAMA4_NVIDIA; SRC_META_MTIA_GENAI_2026; SRC_EPOCH_AI_DATA_CENTERS; SRC_SEMIANALYSIS_INFERENCEX</t>
        </is>
      </c>
      <c r="K1380" s="3" t="inlineStr">
        <is>
          <t>ASSUMP_CONSUMER_AI_UTILIZATION; ASSUMP_POWER_RAMP; ASSUMP_NUMERIC_ACCELERATOR_MIX; ASSUMP_INFERENCE_SHARE_NOT_FACT_60; ASSUMP_WORKLOAD_CLASS_MIX; ASSUMP_AGENTIC_CONTEXT_PENALTY</t>
        </is>
      </c>
      <c r="L1380" s="3" t="inlineStr">
        <is>
          <t>Provider-disclosed generated output token volume or calibrated capacity telemetry.</t>
        </is>
      </c>
    </row>
    <row r="1381">
      <c r="A1381" s="3" t="inlineStr">
        <is>
          <t>Meta</t>
        </is>
      </c>
      <c r="B1381" s="3" t="n">
        <v>2030</v>
      </c>
      <c r="C1381" s="3" t="inlineStr">
        <is>
          <t>Base</t>
        </is>
      </c>
      <c r="D1381" s="3" t="inlineStr">
        <is>
          <t>inference_tokens_per_year</t>
        </is>
      </c>
      <c r="E1381" s="3" t="n">
        <v>8.760729560832e+16</v>
      </c>
      <c r="F1381" s="3" t="inlineStr">
        <is>
          <t>generated output tokens/year</t>
        </is>
      </c>
      <c r="G1381" s="3" t="inlineStr">
        <is>
          <t>Derived headline metric</t>
        </is>
      </c>
      <c r="H1381" s="3" t="inlineStr">
        <is>
          <t>inference_tokens_per_day * 365</t>
        </is>
      </c>
      <c r="I1381" s="3" t="inlineStr">
        <is>
          <t>Annualized version of generated output token capacity; it is not observed annual demand or billable volume.</t>
        </is>
      </c>
      <c r="J1381" s="3" t="inlineStr">
        <is>
          <t>SRC_META_LLAMA; SRC_META_LLAMA4_NVIDIA; SRC_META_MTIA_GENAI_2026; SRC_EPOCH_AI_DATA_CENTERS; SRC_SEMIANALYSIS_INFERENCEX</t>
        </is>
      </c>
      <c r="K1381" s="3" t="inlineStr">
        <is>
          <t>ASSUMP_CONSUMER_AI_UTILIZATION; ASSUMP_POWER_RAMP; ASSUMP_NUMERIC_ACCELERATOR_MIX; ASSUMP_INFERENCE_SHARE_NOT_FACT_60; ASSUMP_WORKLOAD_CLASS_MIX; ASSUMP_AGENTIC_CONTEXT_PENALTY</t>
        </is>
      </c>
      <c r="L1381" s="3" t="inlineStr">
        <is>
          <t>Provider-disclosed annual generated-output volume or metered serving telemetry.</t>
        </is>
      </c>
    </row>
    <row r="1382">
      <c r="A1382" s="3" t="inlineStr">
        <is>
          <t>xAI</t>
        </is>
      </c>
      <c r="B1382" s="3" t="n">
        <v>2026</v>
      </c>
      <c r="C1382" s="3" t="inlineStr">
        <is>
          <t>Base</t>
        </is>
      </c>
      <c r="D1382" s="3" t="inlineStr">
        <is>
          <t>contracted_power_gw</t>
        </is>
      </c>
      <c r="E1382" s="3" t="n">
        <v>1</v>
      </c>
      <c r="F1382" s="3" t="inlineStr">
        <is>
          <t>GW</t>
        </is>
      </c>
      <c r="G1382" s="3" t="inlineStr">
        <is>
          <t>Fact anchor + scenario ceiling</t>
        </is>
      </c>
      <c r="H1382" s="3" t="inlineStr">
        <is>
          <t>linear interpolation between 2026 and 2030 company capacity endpoints</t>
        </is>
      </c>
      <c r="I1382" s="3" t="inlineStr">
        <is>
          <t>Colossus GPU-count disclosure bounds capacity direction; contracted GW values are modeled power envelopes.</t>
        </is>
      </c>
      <c r="J1382" s="3" t="inlineStr">
        <is>
          <t>SRC_XAI_NVIDIA_COLOSSUS; ASSUMP_CLUSTER_RAMP</t>
        </is>
      </c>
      <c r="K1382" s="3" t="inlineStr">
        <is>
          <t>ASSUMP_CLUSTER_RAMP; ASSUMP_CLOSED_MODEL_BAND; ASSUMP_NUMERIC_ACCELERATOR_MIX; ASSUMP_INFERENCE_SHARE_NOT_FACT_60; ASSUMP_WORKLOAD_CLASS_MIX; ASSUMP_AGENTIC_CONTEXT_PENALTY</t>
        </is>
      </c>
      <c r="L1382" s="3" t="inlineStr">
        <is>
          <t>Company/site-level committed MW/GW, interconnect and contract disclosure.</t>
        </is>
      </c>
    </row>
    <row r="1383">
      <c r="A1383" s="3" t="inlineStr">
        <is>
          <t>xAI</t>
        </is>
      </c>
      <c r="B1383" s="3" t="n">
        <v>2026</v>
      </c>
      <c r="C1383" s="3" t="inlineStr">
        <is>
          <t>Base</t>
        </is>
      </c>
      <c r="D1383" s="3" t="inlineStr">
        <is>
          <t>operational_deployment_share</t>
        </is>
      </c>
      <c r="E1383" s="3" t="n">
        <v>0.35</v>
      </c>
      <c r="F1383" s="3" t="inlineStr">
        <is>
          <t>share</t>
        </is>
      </c>
      <c r="G1383" s="3" t="inlineStr">
        <is>
          <t>Scenario conversion</t>
        </is>
      </c>
      <c r="H1383" s="3" t="inlineStr">
        <is>
          <t>active_power_gw / contracted_power_gw</t>
        </is>
      </c>
      <c r="I1383" s="3" t="inlineStr">
        <is>
          <t>This is the single explicit conversion from contracted/attributed capacity to operationally usable capacity.</t>
        </is>
      </c>
      <c r="J1383" s="3" t="inlineStr">
        <is>
          <t>SRC_XAI_NVIDIA_COLOSSUS; ASSUMP_CLUSTER_RAMP</t>
        </is>
      </c>
      <c r="K1383" s="3" t="inlineStr">
        <is>
          <t>ASSUMP_CLUSTER_RAMP; ASSUMP_CLOSED_MODEL_BAND; ASSUMP_NUMERIC_ACCELERATOR_MIX; ASSUMP_INFERENCE_SHARE_NOT_FACT_60; ASSUMP_WORKLOAD_CLASS_MIX; ASSUMP_AGENTIC_CONTEXT_PENALTY</t>
        </is>
      </c>
      <c r="L1383" s="3" t="inlineStr">
        <is>
          <t>Energized operational capacity divided by contracted/attributed capacity.</t>
        </is>
      </c>
    </row>
    <row r="1384">
      <c r="A1384" s="3" t="inlineStr">
        <is>
          <t>xAI</t>
        </is>
      </c>
      <c r="B1384" s="3" t="n">
        <v>2026</v>
      </c>
      <c r="C1384" s="3" t="inlineStr">
        <is>
          <t>Base</t>
        </is>
      </c>
      <c r="D1384" s="3" t="inlineStr">
        <is>
          <t>active_power_gw</t>
        </is>
      </c>
      <c r="E1384" s="3" t="n">
        <v>0.35</v>
      </c>
      <c r="F1384" s="3" t="inlineStr">
        <is>
          <t>GW</t>
        </is>
      </c>
      <c r="G1384" s="3" t="inlineStr">
        <is>
          <t>Derived scenario</t>
        </is>
      </c>
      <c r="H1384" s="3" t="inlineStr">
        <is>
          <t>contracted_power_gw * operational_deployment_share</t>
        </is>
      </c>
      <c r="I1384" s="3" t="inlineStr">
        <is>
          <t>GPU cluster scale anchors operational possibility, while inference/training allocation and site power draw remain estimates.</t>
        </is>
      </c>
      <c r="J1384" s="3" t="inlineStr">
        <is>
          <t>SRC_XAI_NVIDIA_COLOSSUS; ASSUMP_CLUSTER_RAMP</t>
        </is>
      </c>
      <c r="K1384" s="3" t="inlineStr">
        <is>
          <t>ASSUMP_CLUSTER_RAMP; ASSUMP_CLOSED_MODEL_BAND; ASSUMP_NUMERIC_ACCELERATOR_MIX; ASSUMP_INFERENCE_SHARE_NOT_FACT_60; ASSUMP_WORKLOAD_CLASS_MIX; ASSUMP_AGENTIC_CONTEXT_PENALTY</t>
        </is>
      </c>
      <c r="L1384" s="3" t="inlineStr">
        <is>
          <t>Energization dates, accelerator deliveries and operational powered-rack telemetry.</t>
        </is>
      </c>
    </row>
    <row r="1385">
      <c r="A1385" s="3" t="inlineStr">
        <is>
          <t>xAI</t>
        </is>
      </c>
      <c r="B1385" s="3" t="n">
        <v>2026</v>
      </c>
      <c r="C1385" s="3" t="inlineStr">
        <is>
          <t>Base</t>
        </is>
      </c>
      <c r="D1385" s="3" t="inlineStr">
        <is>
          <t>pue</t>
        </is>
      </c>
      <c r="E1385" s="3" t="n">
        <v>1.22</v>
      </c>
      <c r="F1385" s="3" t="inlineStr">
        <is>
          <t>ratio</t>
        </is>
      </c>
      <c r="G1385" s="3" t="inlineStr">
        <is>
          <t>Scenario parameter</t>
        </is>
      </c>
      <c r="H1385" s="3" t="inlineStr">
        <is>
          <t>it_load_gw = active_power_gw / pue</t>
        </is>
      </c>
      <c r="I1385" s="3" t="inlineStr">
        <is>
          <t>No provider-wide site-level PUE is used as a disclosed fact; PUE represents facility-to-IT conversion within the scenario.</t>
        </is>
      </c>
      <c r="J1385" s="3" t="inlineStr">
        <is>
          <t>ASSUMP_POWER_RAMP</t>
        </is>
      </c>
      <c r="K1385" s="3" t="inlineStr">
        <is>
          <t>ASSUMP_CLUSTER_RAMP; ASSUMP_CLOSED_MODEL_BAND; ASSUMP_NUMERIC_ACCELERATOR_MIX; ASSUMP_INFERENCE_SHARE_NOT_FACT_60; ASSUMP_WORKLOAD_CLASS_MIX; ASSUMP_AGENTIC_CONTEXT_PENALTY</t>
        </is>
      </c>
      <c r="L1385" s="3" t="inlineStr">
        <is>
          <t>Site-level measured PUE matched to attributed AI capacity.</t>
        </is>
      </c>
    </row>
    <row r="1386">
      <c r="A1386" s="3" t="inlineStr">
        <is>
          <t>xAI</t>
        </is>
      </c>
      <c r="B1386" s="3" t="n">
        <v>2026</v>
      </c>
      <c r="C1386" s="3" t="inlineStr">
        <is>
          <t>Base</t>
        </is>
      </c>
      <c r="D1386" s="3" t="inlineStr">
        <is>
          <t>it_load_gw</t>
        </is>
      </c>
      <c r="E1386" s="3" t="n">
        <v>0.287</v>
      </c>
      <c r="F1386" s="3" t="inlineStr">
        <is>
          <t>GW</t>
        </is>
      </c>
      <c r="G1386" s="3" t="inlineStr">
        <is>
          <t>Derived formula</t>
        </is>
      </c>
      <c r="H1386" s="3" t="inlineStr">
        <is>
          <t>active_power_gw / pue</t>
        </is>
      </c>
      <c r="I1386" s="3" t="inlineStr">
        <is>
          <t>Facility power is converted to IT-deliverable power before attributing AI workloads.</t>
        </is>
      </c>
      <c r="J1386" s="3" t="inlineStr">
        <is>
          <t>SRC_XAI_NVIDIA_COLOSSUS; ASSUMP_CLUSTER_RAMP</t>
        </is>
      </c>
      <c r="K1386" s="3" t="inlineStr">
        <is>
          <t>ASSUMP_CLUSTER_RAMP; ASSUMP_CLOSED_MODEL_BAND; ASSUMP_NUMERIC_ACCELERATOR_MIX; ASSUMP_INFERENCE_SHARE_NOT_FACT_60; ASSUMP_WORKLOAD_CLASS_MIX; ASSUMP_AGENTIC_CONTEXT_PENALTY</t>
        </is>
      </c>
      <c r="L1386" s="3" t="inlineStr">
        <is>
          <t>Recompute once active power and PUE become site-observable.</t>
        </is>
      </c>
    </row>
    <row r="1387">
      <c r="A1387" s="3" t="inlineStr">
        <is>
          <t>xAI</t>
        </is>
      </c>
      <c r="B1387" s="3" t="n">
        <v>2026</v>
      </c>
      <c r="C1387" s="3" t="inlineStr">
        <is>
          <t>Base</t>
        </is>
      </c>
      <c r="D1387" s="3" t="inlineStr">
        <is>
          <t>ai_workload_share</t>
        </is>
      </c>
      <c r="E1387" s="3" t="n">
        <v>0.85</v>
      </c>
      <c r="F1387" s="3" t="inlineStr">
        <is>
          <t>share</t>
        </is>
      </c>
      <c r="G1387" s="3" t="inlineStr">
        <is>
          <t>Scenario allocation</t>
        </is>
      </c>
      <c r="H1387" s="3" t="inlineStr">
        <is>
          <t>ai_it_load_gw = it_load_gw * ai_workload_share</t>
        </is>
      </c>
      <c r="I1387" s="3" t="inlineStr">
        <is>
          <t>Colossus is AI-centric; 85% retains cooling/IT allocation boundary and non-serving AI work.</t>
        </is>
      </c>
      <c r="J1387" s="3" t="inlineStr">
        <is>
          <t>SRC_XAI_MODELS; SRC_XAI_NVIDIA_COLOSSUS; SRC_EPOCH_AI_DATA_CENTERS</t>
        </is>
      </c>
      <c r="K1387" s="3" t="inlineStr">
        <is>
          <t>ASSUMP_CLUSTER_RAMP; ASSUMP_CLOSED_MODEL_BAND; ASSUMP_NUMERIC_ACCELERATOR_MIX; ASSUMP_INFERENCE_SHARE_NOT_FACT_60; ASSUMP_WORKLOAD_CLASS_MIX; ASSUMP_AGENTIC_CONTEXT_PENALTY</t>
        </is>
      </c>
      <c r="L1387" s="3" t="inlineStr">
        <is>
          <t>Model-owner AI workload allocation or cluster scheduling telemetry.</t>
        </is>
      </c>
    </row>
    <row r="1388">
      <c r="A1388" s="3" t="inlineStr">
        <is>
          <t>xAI</t>
        </is>
      </c>
      <c r="B1388" s="3" t="n">
        <v>2026</v>
      </c>
      <c r="C1388" s="3" t="inlineStr">
        <is>
          <t>Base</t>
        </is>
      </c>
      <c r="D1388" s="3" t="inlineStr">
        <is>
          <t>ai_it_load_gw</t>
        </is>
      </c>
      <c r="E1388" s="3" t="n">
        <v>0.244</v>
      </c>
      <c r="F1388" s="3" t="inlineStr">
        <is>
          <t>GW</t>
        </is>
      </c>
      <c r="G1388" s="3" t="inlineStr">
        <is>
          <t>Derived formula</t>
        </is>
      </c>
      <c r="H1388" s="3" t="inlineStr">
        <is>
          <t>it_load_gw * ai_workload_share</t>
        </is>
      </c>
      <c r="I1388" s="3" t="inlineStr">
        <is>
          <t>Only the AI-attributed portion of IT load enters training/inference allocation.</t>
        </is>
      </c>
      <c r="J1388" s="3" t="inlineStr">
        <is>
          <t>SRC_XAI_MODELS; SRC_XAI_NVIDIA_COLOSSUS; SRC_EPOCH_AI_DATA_CENTERS</t>
        </is>
      </c>
      <c r="K1388" s="3" t="inlineStr">
        <is>
          <t>ASSUMP_CLUSTER_RAMP; ASSUMP_CLOSED_MODEL_BAND; ASSUMP_NUMERIC_ACCELERATOR_MIX; ASSUMP_INFERENCE_SHARE_NOT_FACT_60; ASSUMP_WORKLOAD_CLASS_MIX; ASSUMP_AGENTIC_CONTEXT_PENALTY</t>
        </is>
      </c>
      <c r="L1388" s="3" t="inlineStr">
        <is>
          <t>Recompute after ai_workload_share is replaced by telemetry.</t>
        </is>
      </c>
    </row>
    <row r="1389">
      <c r="A1389" s="3" t="inlineStr">
        <is>
          <t>xAI</t>
        </is>
      </c>
      <c r="B1389" s="3" t="n">
        <v>2026</v>
      </c>
      <c r="C1389" s="3" t="inlineStr">
        <is>
          <t>Base</t>
        </is>
      </c>
      <c r="D1389" s="3" t="inlineStr">
        <is>
          <t>gpu_share</t>
        </is>
      </c>
      <c r="E1389" s="3" t="n">
        <v>1</v>
      </c>
      <c r="F1389" s="3" t="inlineStr">
        <is>
          <t>share of inference-serving accelerator load</t>
        </is>
      </c>
      <c r="G1389" s="3" t="inlineStr">
        <is>
          <t>Numeric scenario</t>
        </is>
      </c>
      <c r="H1389" s="3" t="inlineStr">
        <is>
          <t>gpu_share interpolated from company 2026/2030 accelerator-mix endpoints</t>
        </is>
      </c>
      <c r="I1389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389" s="3" t="inlineStr">
        <is>
          <t>SRC_XAI_MODELS; SRC_XAI_NVIDIA_COLOSSUS; SRC_EPOCH_AI_DATA_CENTERS; ASSUMP_NUMERIC_ACCELERATOR_MIX</t>
        </is>
      </c>
      <c r="K1389" s="3" t="inlineStr">
        <is>
          <t>ASSUMP_CLUSTER_RAMP; ASSUMP_CLOSED_MODEL_BAND; ASSUMP_NUMERIC_ACCELERATOR_MIX; ASSUMP_INFERENCE_SHARE_NOT_FACT_60; ASSUMP_WORKLOAD_CLASS_MIX; ASSUMP_AGENTIC_CONTEXT_PENALTY</t>
        </is>
      </c>
      <c r="L1389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390">
      <c r="A1390" s="3" t="inlineStr">
        <is>
          <t>xAI</t>
        </is>
      </c>
      <c r="B1390" s="3" t="n">
        <v>2026</v>
      </c>
      <c r="C1390" s="3" t="inlineStr">
        <is>
          <t>Base</t>
        </is>
      </c>
      <c r="D1390" s="3" t="inlineStr">
        <is>
          <t>h200_share</t>
        </is>
      </c>
      <c r="E1390" s="3" t="n">
        <v>0</v>
      </c>
      <c r="F1390" s="3" t="inlineStr">
        <is>
          <t>share of inference-serving accelerator load</t>
        </is>
      </c>
      <c r="G1390" s="3" t="inlineStr">
        <is>
          <t>Editable numeric scenario</t>
        </is>
      </c>
      <c r="H1390" s="3" t="inlineStr">
        <is>
          <t>h200_share = gpu_share * default_gpu_generation_mix_h200</t>
        </is>
      </c>
      <c r="I1390" s="3" t="inlineStr">
        <is>
          <t>Default GPU-generation migration assumption; executive workbook allows later manual replacement by company/year/scenario.</t>
        </is>
      </c>
      <c r="J1390" s="3" t="inlineStr">
        <is>
          <t>SRC_SEMIANALYSIS_INFERENCEX; ASSUMP_NUMERIC_ACCELERATOR_MIX</t>
        </is>
      </c>
      <c r="K1390" s="3" t="inlineStr">
        <is>
          <t>ASSUMP_CLUSTER_RAMP; ASSUMP_CLOSED_MODEL_BAND; ASSUMP_NUMERIC_ACCELERATOR_MIX; ASSUMP_INFERENCE_SHARE_NOT_FACT_60; ASSUMP_WORKLOAD_CLASS_MIX; ASSUMP_AGENTIC_CONTEXT_PENALTY</t>
        </is>
      </c>
      <c r="L1390" s="3" t="inlineStr">
        <is>
          <t>Company fleet inventory, accelerator-hours or procurement/deployment records by GPU generation.</t>
        </is>
      </c>
    </row>
    <row r="1391">
      <c r="A1391" s="3" t="inlineStr">
        <is>
          <t>xAI</t>
        </is>
      </c>
      <c r="B1391" s="3" t="n">
        <v>2026</v>
      </c>
      <c r="C1391" s="3" t="inlineStr">
        <is>
          <t>Base</t>
        </is>
      </c>
      <c r="D1391" s="3" t="inlineStr">
        <is>
          <t>b200_share</t>
        </is>
      </c>
      <c r="E1391" s="3" t="n">
        <v>1</v>
      </c>
      <c r="F1391" s="3" t="inlineStr">
        <is>
          <t>share of inference-serving accelerator load</t>
        </is>
      </c>
      <c r="G1391" s="3" t="inlineStr">
        <is>
          <t>Editable numeric scenario</t>
        </is>
      </c>
      <c r="H1391" s="3" t="inlineStr">
        <is>
          <t>b200_share = gpu_share * default_gpu_generation_mix_b200</t>
        </is>
      </c>
      <c r="I1391" s="3" t="inlineStr">
        <is>
          <t>Default GPU-generation migration assumption; executive workbook allows later manual replacement by company/year/scenario.</t>
        </is>
      </c>
      <c r="J1391" s="3" t="inlineStr">
        <is>
          <t>SRC_SEMIANALYSIS_INFERENCEX; ASSUMP_NUMERIC_ACCELERATOR_MIX</t>
        </is>
      </c>
      <c r="K1391" s="3" t="inlineStr">
        <is>
          <t>ASSUMP_CLUSTER_RAMP; ASSUMP_CLOSED_MODEL_BAND; ASSUMP_NUMERIC_ACCELERATOR_MIX; ASSUMP_INFERENCE_SHARE_NOT_FACT_60; ASSUMP_WORKLOAD_CLASS_MIX; ASSUMP_AGENTIC_CONTEXT_PENALTY</t>
        </is>
      </c>
      <c r="L1391" s="3" t="inlineStr">
        <is>
          <t>Company fleet inventory, accelerator-hours or procurement/deployment records by GPU generation.</t>
        </is>
      </c>
    </row>
    <row r="1392">
      <c r="A1392" s="3" t="inlineStr">
        <is>
          <t>xAI</t>
        </is>
      </c>
      <c r="B1392" s="3" t="n">
        <v>2026</v>
      </c>
      <c r="C1392" s="3" t="inlineStr">
        <is>
          <t>Base</t>
        </is>
      </c>
      <c r="D1392" s="3" t="inlineStr">
        <is>
          <t>gb200_share</t>
        </is>
      </c>
      <c r="E1392" s="3" t="n">
        <v>0</v>
      </c>
      <c r="F1392" s="3" t="inlineStr">
        <is>
          <t>share of inference-serving accelerator load</t>
        </is>
      </c>
      <c r="G1392" s="3" t="inlineStr">
        <is>
          <t>Editable numeric scenario</t>
        </is>
      </c>
      <c r="H1392" s="3" t="inlineStr">
        <is>
          <t>gb200_share = gpu_share * default_gpu_generation_mix_gb200</t>
        </is>
      </c>
      <c r="I1392" s="3" t="inlineStr">
        <is>
          <t>Default GPU-generation migration assumption; executive workbook allows later manual replacement by company/year/scenario.</t>
        </is>
      </c>
      <c r="J1392" s="3" t="inlineStr">
        <is>
          <t>SRC_SEMIANALYSIS_INFERENCEX; ASSUMP_NUMERIC_ACCELERATOR_MIX</t>
        </is>
      </c>
      <c r="K1392" s="3" t="inlineStr">
        <is>
          <t>ASSUMP_CLUSTER_RAMP; ASSUMP_CLOSED_MODEL_BAND; ASSUMP_NUMERIC_ACCELERATOR_MIX; ASSUMP_INFERENCE_SHARE_NOT_FACT_60; ASSUMP_WORKLOAD_CLASS_MIX; ASSUMP_AGENTIC_CONTEXT_PENALTY</t>
        </is>
      </c>
      <c r="L1392" s="3" t="inlineStr">
        <is>
          <t>Company fleet inventory, accelerator-hours or procurement/deployment records by GPU generation.</t>
        </is>
      </c>
    </row>
    <row r="1393">
      <c r="A1393" s="3" t="inlineStr">
        <is>
          <t>xAI</t>
        </is>
      </c>
      <c r="B1393" s="3" t="n">
        <v>2026</v>
      </c>
      <c r="C1393" s="3" t="inlineStr">
        <is>
          <t>Base</t>
        </is>
      </c>
      <c r="D1393" s="3" t="inlineStr">
        <is>
          <t>purpose_built_accelerator_share</t>
        </is>
      </c>
      <c r="E1393" s="3" t="n">
        <v>0</v>
      </c>
      <c r="F1393" s="3" t="inlineStr">
        <is>
          <t>share of inference-serving accelerator load</t>
        </is>
      </c>
      <c r="G1393" s="3" t="inlineStr">
        <is>
          <t>Numeric scenario</t>
        </is>
      </c>
      <c r="H1393" s="3" t="inlineStr">
        <is>
          <t>1 - gpu_share</t>
        </is>
      </c>
      <c r="I1393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393" s="3" t="inlineStr">
        <is>
          <t>SRC_XAI_MODELS; SRC_XAI_NVIDIA_COLOSSUS; SRC_EPOCH_AI_DATA_CENTERS; ASSUMP_NUMERIC_ACCELERATOR_MIX</t>
        </is>
      </c>
      <c r="K1393" s="3" t="inlineStr">
        <is>
          <t>ASSUMP_CLUSTER_RAMP; ASSUMP_CLOSED_MODEL_BAND; ASSUMP_NUMERIC_ACCELERATOR_MIX; ASSUMP_INFERENCE_SHARE_NOT_FACT_60; ASSUMP_WORKLOAD_CLASS_MIX; ASSUMP_AGENTIC_CONTEXT_PENALTY</t>
        </is>
      </c>
      <c r="L1393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394">
      <c r="A1394" s="3" t="inlineStr">
        <is>
          <t>xAI</t>
        </is>
      </c>
      <c r="B1394" s="3" t="n">
        <v>2026</v>
      </c>
      <c r="C1394" s="3" t="inlineStr">
        <is>
          <t>Base</t>
        </is>
      </c>
      <c r="D1394" s="3" t="inlineStr">
        <is>
          <t>fleet_reference_tps_per_mw</t>
        </is>
      </c>
      <c r="E1394" s="3" t="n">
        <v>3010288</v>
      </c>
      <c r="F1394" s="3" t="inlineStr">
        <is>
          <t>generated output tokens/sec/MW</t>
        </is>
      </c>
      <c r="G1394" s="3" t="inlineStr">
        <is>
          <t>Fleet-weighted public benchmark reference</t>
        </is>
      </c>
      <c r="H1394" s="3" t="inlineStr">
        <is>
          <t>h200_share*h200_workload_avg + b200_share*b200_workload_avg + gb200_share*gb200_workload_avg + purpose_built_share*purpose_workload_avg</t>
        </is>
      </c>
      <c r="I139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394" s="3" t="inlineStr">
        <is>
          <t>SRC_SEMIANALYSIS_INFERENCEX; ASSUMP_NUMERIC_ACCELERATOR_MIX; ASSUMP_WORKLOAD_CLASS_MIX; ASSUMP_AGENTIC_CONTEXT_PENALTY</t>
        </is>
      </c>
      <c r="K1394" s="3" t="inlineStr">
        <is>
          <t>ASSUMP_CLUSTER_RAMP; ASSUMP_CLOSED_MODEL_BAND; ASSUMP_NUMERIC_ACCELERATOR_MIX; ASSUMP_INFERENCE_SHARE_NOT_FACT_60; ASSUMP_WORKLOAD_CLASS_MIX; ASSUMP_AGENTIC_CONTEXT_PENALTY</t>
        </is>
      </c>
      <c r="L1394" s="3" t="inlineStr">
        <is>
          <t>Comparable production output-token throughput or a more closely matched benchmark.</t>
        </is>
      </c>
    </row>
    <row r="1395">
      <c r="A1395" s="3" t="inlineStr">
        <is>
          <t>xAI</t>
        </is>
      </c>
      <c r="B1395" s="3" t="n">
        <v>2026</v>
      </c>
      <c r="C1395" s="3" t="inlineStr">
        <is>
          <t>Base</t>
        </is>
      </c>
      <c r="D1395" s="3" t="inlineStr">
        <is>
          <t>commercial_workload_fit_factor</t>
        </is>
      </c>
      <c r="E1395" s="3" t="n">
        <v>0.55</v>
      </c>
      <c r="F1395" s="3" t="inlineStr">
        <is>
          <t>share of public reference throughput</t>
        </is>
      </c>
      <c r="G1395" s="3" t="inlineStr">
        <is>
          <t>Scenario assumption</t>
        </is>
      </c>
      <c r="H1395" s="3" t="inlineStr">
        <is>
          <t>reference_serving_tps_per_mw = fleet_reference_tps_per_mw * commercial_workload_fit_factor</t>
        </is>
      </c>
      <c r="I139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395" s="3" t="inlineStr">
        <is>
          <t>SRC_SEMIANALYSIS_INFERENCEX; ASSUMP_NUMERIC_ACCELERATOR_MIX; ASSUMP_WORKLOAD_CLASS_MIX; ASSUMP_AGENTIC_CONTEXT_PENALTY</t>
        </is>
      </c>
      <c r="K1395" s="3" t="inlineStr">
        <is>
          <t>ASSUMP_CLUSTER_RAMP; ASSUMP_CLOSED_MODEL_BAND; ASSUMP_NUMERIC_ACCELERATOR_MIX; ASSUMP_INFERENCE_SHARE_NOT_FACT_60; ASSUMP_WORKLOAD_CLASS_MIX; ASSUMP_AGENTIC_CONTEXT_PENALTY</t>
        </is>
      </c>
      <c r="L1395" s="3" t="inlineStr">
        <is>
          <t>Matched commercial serving benchmark by product surface, context shape and latency SLO.</t>
        </is>
      </c>
    </row>
    <row r="1396">
      <c r="A1396" s="3" t="inlineStr">
        <is>
          <t>xAI</t>
        </is>
      </c>
      <c r="B1396" s="3" t="n">
        <v>2026</v>
      </c>
      <c r="C1396" s="3" t="inlineStr">
        <is>
          <t>Base</t>
        </is>
      </c>
      <c r="D1396" s="3" t="inlineStr">
        <is>
          <t>reference_serving_tps_per_mw</t>
        </is>
      </c>
      <c r="E1396" s="3" t="n">
        <v>1655658</v>
      </c>
      <c r="F1396" s="3" t="inlineStr">
        <is>
          <t>generated output tokens/sec/MW</t>
        </is>
      </c>
      <c r="G1396" s="3" t="inlineStr">
        <is>
          <t>Workload-adjusted benchmark proxy</t>
        </is>
      </c>
      <c r="H1396" s="3" t="inlineStr">
        <is>
          <t>fleet_reference_tps_per_mw * commercial_workload_fit_factor</t>
        </is>
      </c>
      <c r="I1396" s="3" t="inlineStr">
        <is>
          <t>This is the coefficient used for headline token generation; each GPU's short chat, long chat and agentic TPS/MW are weighted before fleet mix and commercial fit are applied.</t>
        </is>
      </c>
      <c r="J1396" s="3" t="inlineStr">
        <is>
          <t>SRC_SEMIANALYSIS_INFERENCEX; ASSUMP_NUMERIC_ACCELERATOR_MIX; ASSUMP_WORKLOAD_CLASS_MIX; ASSUMP_AGENTIC_CONTEXT_PENALTY</t>
        </is>
      </c>
      <c r="K1396" s="3" t="inlineStr">
        <is>
          <t>ASSUMP_CLUSTER_RAMP; ASSUMP_CLOSED_MODEL_BAND; ASSUMP_NUMERIC_ACCELERATOR_MIX; ASSUMP_INFERENCE_SHARE_NOT_FACT_60; ASSUMP_WORKLOAD_CLASS_MIX; ASSUMP_AGENTIC_CONTEXT_PENALTY</t>
        </is>
      </c>
      <c r="L1396" s="3" t="inlineStr">
        <is>
          <t>Provider production output-token throughput with comparable workload/SLO.</t>
        </is>
      </c>
    </row>
    <row r="1397">
      <c r="A1397" s="3" t="inlineStr">
        <is>
          <t>xAI</t>
        </is>
      </c>
      <c r="B1397" s="3" t="n">
        <v>2026</v>
      </c>
      <c r="C1397" s="3" t="inlineStr">
        <is>
          <t>Base</t>
        </is>
      </c>
      <c r="D1397" s="3" t="inlineStr">
        <is>
          <t>purpose_built_tps_per_mw</t>
        </is>
      </c>
      <c r="E1397" s="3" t="n">
        <v>2484332</v>
      </c>
      <c r="F1397" s="3" t="inlineStr">
        <is>
          <t>generated output tokens/sec/MW</t>
        </is>
      </c>
      <c r="G1397" s="3" t="inlineStr">
        <is>
          <t>Conservative no-uplift proxy</t>
        </is>
      </c>
      <c r="H1397" s="3" t="inlineStr">
        <is>
          <t>purpose_built_tps_per_mw = purpose_built_reference_tps_per_mw * commercial_workload_fit_factor until comparable output-token benchmark is adopted</t>
        </is>
      </c>
      <c r="I1397" s="3" t="inlineStr">
        <is>
          <t>No comparable public output-token/MW row adopted; B200 public reference placeholder is used and remains editable.</t>
        </is>
      </c>
      <c r="J1397" s="3" t="inlineStr">
        <is>
          <t>SRC_XAI_MODELS; SRC_XAI_NVIDIA_COLOSSUS; SRC_EPOCH_AI_DATA_CENTERS; ASSUMP_NUMERIC_ACCELERATOR_MIX</t>
        </is>
      </c>
      <c r="K1397" s="3" t="inlineStr">
        <is>
          <t>ASSUMP_CLUSTER_RAMP; ASSUMP_CLOSED_MODEL_BAND; ASSUMP_NUMERIC_ACCELERATOR_MIX; ASSUMP_INFERENCE_SHARE_NOT_FACT_60; ASSUMP_WORKLOAD_CLASS_MIX; ASSUMP_AGENTIC_CONTEXT_PENALTY</t>
        </is>
      </c>
      <c r="L1397" s="3" t="inlineStr">
        <is>
          <t>Matched-workload generated-output benchmark for the provider purpose-built accelerator.</t>
        </is>
      </c>
    </row>
    <row r="1398">
      <c r="A1398" s="3" t="inlineStr">
        <is>
          <t>xAI</t>
        </is>
      </c>
      <c r="B1398" s="3" t="n">
        <v>2026</v>
      </c>
      <c r="C1398" s="3" t="inlineStr">
        <is>
          <t>Base</t>
        </is>
      </c>
      <c r="D1398" s="3" t="inlineStr">
        <is>
          <t>inference_power_share</t>
        </is>
      </c>
      <c r="E1398" s="3" t="n">
        <v>0.45</v>
      </c>
      <c r="F1398" s="3" t="inlineStr">
        <is>
          <t>share of AI IT load</t>
        </is>
      </c>
      <c r="G1398" s="3" t="inlineStr">
        <is>
          <t>Scenario allocation</t>
        </is>
      </c>
      <c r="H1398" s="3" t="inlineStr">
        <is>
          <t>inference_gw = ai_it_load_gw * inference_power_share</t>
        </is>
      </c>
      <c r="I1398" s="3" t="inlineStr">
        <is>
          <t>Grok product expansion is modeled to shift capacity toward inference after initial training-heavy operation.</t>
        </is>
      </c>
      <c r="J1398" s="3" t="inlineStr">
        <is>
          <t>SRC_XAI_MODELS; SRC_XAI_NVIDIA_COLOSSUS; SRC_EPOCH_AI_DATA_CENTERS; ASSUMP_INFERENCE_SHARE_NOT_FACT_60</t>
        </is>
      </c>
      <c r="K1398" s="3" t="inlineStr">
        <is>
          <t>ASSUMP_CLUSTER_RAMP; ASSUMP_CLOSED_MODEL_BAND; ASSUMP_NUMERIC_ACCELERATOR_MIX; ASSUMP_INFERENCE_SHARE_NOT_FACT_60; ASSUMP_WORKLOAD_CLASS_MIX; ASSUMP_AGENTIC_CONTEXT_PENALTY</t>
        </is>
      </c>
      <c r="L1398" s="3" t="inlineStr">
        <is>
          <t>Provider-specific inference/training workload power telemetry.</t>
        </is>
      </c>
    </row>
    <row r="1399">
      <c r="A1399" s="3" t="inlineStr">
        <is>
          <t>xAI</t>
        </is>
      </c>
      <c r="B1399" s="3" t="n">
        <v>2026</v>
      </c>
      <c r="C1399" s="3" t="inlineStr">
        <is>
          <t>Base</t>
        </is>
      </c>
      <c r="D1399" s="3" t="inlineStr">
        <is>
          <t>inference_gw</t>
        </is>
      </c>
      <c r="E1399" s="3" t="n">
        <v>0.11</v>
      </c>
      <c r="F1399" s="3" t="inlineStr">
        <is>
          <t>GW</t>
        </is>
      </c>
      <c r="G1399" s="3" t="inlineStr">
        <is>
          <t>Derived formula</t>
        </is>
      </c>
      <c r="H1399" s="3" t="inlineStr">
        <is>
          <t>ai_it_load_gw * inference_power_share</t>
        </is>
      </c>
      <c r="I1399" s="3" t="inlineStr">
        <is>
          <t>This is the operational power eligible to become commercial generated output tokens through the selected TPS/MW proxy.</t>
        </is>
      </c>
      <c r="J1399" s="3" t="inlineStr">
        <is>
          <t>SRC_XAI_MODELS; SRC_XAI_NVIDIA_COLOSSUS; SRC_EPOCH_AI_DATA_CENTERS</t>
        </is>
      </c>
      <c r="K1399" s="3" t="inlineStr">
        <is>
          <t>ASSUMP_CLUSTER_RAMP; ASSUMP_CLOSED_MODEL_BAND; ASSUMP_NUMERIC_ACCELERATOR_MIX; ASSUMP_INFERENCE_SHARE_NOT_FACT_60; ASSUMP_WORKLOAD_CLASS_MIX; ASSUMP_AGENTIC_CONTEXT_PENALTY</t>
        </is>
      </c>
      <c r="L1399" s="3" t="inlineStr">
        <is>
          <t>Recompute after AI allocation or inference-share evidence changes.</t>
        </is>
      </c>
    </row>
    <row r="1400">
      <c r="A1400" s="3" t="inlineStr">
        <is>
          <t>xAI</t>
        </is>
      </c>
      <c r="B1400" s="3" t="n">
        <v>2026</v>
      </c>
      <c r="C1400" s="3" t="inlineStr">
        <is>
          <t>Base</t>
        </is>
      </c>
      <c r="D1400" s="3" t="inlineStr">
        <is>
          <t>training_power_share</t>
        </is>
      </c>
      <c r="E1400" s="3" t="n">
        <v>0.55</v>
      </c>
      <c r="F1400" s="3" t="inlineStr">
        <is>
          <t>share of AI IT load</t>
        </is>
      </c>
      <c r="G1400" s="3" t="inlineStr">
        <is>
          <t>Derived allocation</t>
        </is>
      </c>
      <c r="H1400" s="3" t="inlineStr">
        <is>
          <t>1 - inference_power_share</t>
        </is>
      </c>
      <c r="I1400" s="3" t="inlineStr">
        <is>
          <t>Training receives the complementary modeled AI IT allocation; it is not a disclosed company workload split.</t>
        </is>
      </c>
      <c r="J1400" s="3" t="inlineStr">
        <is>
          <t>SRC_XAI_MODELS; SRC_XAI_NVIDIA_COLOSSUS; SRC_EPOCH_AI_DATA_CENTERS; ASSUMP_INFERENCE_SHARE_NOT_FACT_60</t>
        </is>
      </c>
      <c r="K1400" s="3" t="inlineStr">
        <is>
          <t>ASSUMP_CLUSTER_RAMP; ASSUMP_CLOSED_MODEL_BAND; ASSUMP_NUMERIC_ACCELERATOR_MIX; ASSUMP_INFERENCE_SHARE_NOT_FACT_60; ASSUMP_WORKLOAD_CLASS_MIX; ASSUMP_AGENTIC_CONTEXT_PENALTY</t>
        </is>
      </c>
      <c r="L1400" s="3" t="inlineStr">
        <is>
          <t>Provider-specific inference/training workload power telemetry.</t>
        </is>
      </c>
    </row>
    <row r="1401">
      <c r="A1401" s="3" t="inlineStr">
        <is>
          <t>xAI</t>
        </is>
      </c>
      <c r="B1401" s="3" t="n">
        <v>2026</v>
      </c>
      <c r="C1401" s="3" t="inlineStr">
        <is>
          <t>Base</t>
        </is>
      </c>
      <c r="D1401" s="3" t="inlineStr">
        <is>
          <t>training_gw</t>
        </is>
      </c>
      <c r="E1401" s="3" t="n">
        <v>0.134</v>
      </c>
      <c r="F1401" s="3" t="inlineStr">
        <is>
          <t>GW</t>
        </is>
      </c>
      <c r="G1401" s="3" t="inlineStr">
        <is>
          <t>Derived formula</t>
        </is>
      </c>
      <c r="H1401" s="3" t="inlineStr">
        <is>
          <t>ai_it_load_gw * training_power_share</t>
        </is>
      </c>
      <c r="I1401" s="3" t="inlineStr">
        <is>
          <t>Training GW is shown separately so commercial inference token capacity is not overstated.</t>
        </is>
      </c>
      <c r="J1401" s="3" t="inlineStr">
        <is>
          <t>SRC_XAI_MODELS; SRC_XAI_NVIDIA_COLOSSUS; SRC_EPOCH_AI_DATA_CENTERS</t>
        </is>
      </c>
      <c r="K1401" s="3" t="inlineStr">
        <is>
          <t>ASSUMP_CLUSTER_RAMP; ASSUMP_CLOSED_MODEL_BAND; ASSUMP_NUMERIC_ACCELERATOR_MIX; ASSUMP_INFERENCE_SHARE_NOT_FACT_60; ASSUMP_WORKLOAD_CLASS_MIX; ASSUMP_AGENTIC_CONTEXT_PENALTY</t>
        </is>
      </c>
      <c r="L1401" s="3" t="inlineStr">
        <is>
          <t>Recompute after AI allocation or workload-split evidence changes.</t>
        </is>
      </c>
    </row>
    <row r="1402">
      <c r="A1402" s="3" t="inlineStr">
        <is>
          <t>xAI</t>
        </is>
      </c>
      <c r="B1402" s="3" t="n">
        <v>2026</v>
      </c>
      <c r="C1402" s="3" t="inlineStr">
        <is>
          <t>Base</t>
        </is>
      </c>
      <c r="D1402" s="3" t="inlineStr">
        <is>
          <t>tokens_per_second_per_mw</t>
        </is>
      </c>
      <c r="E1402" s="3" t="n">
        <v>1655658</v>
      </c>
      <c r="F1402" s="3" t="inlineStr">
        <is>
          <t>generated output tokens/sec/MW</t>
        </is>
      </c>
      <c r="G1402" s="3" t="inlineStr">
        <is>
          <t>Derived estimate + benchmark calibration</t>
        </is>
      </c>
      <c r="H1402" s="3" t="inlineStr">
        <is>
          <t>fleet_reference_tps_per_mw * commercial_workload_fit_factor</t>
        </is>
      </c>
      <c r="I140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02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02" s="3" t="inlineStr">
        <is>
          <t>ASSUMP_CLUSTER_RAMP; ASSUMP_CLOSED_MODEL_BAND; ASSUMP_NUMERIC_ACCELERATOR_MIX; ASSUMP_INFERENCE_SHARE_NOT_FACT_60; ASSUMP_WORKLOAD_CLASS_MIX; ASSUMP_AGENTIC_CONTEXT_PENALTY</t>
        </is>
      </c>
      <c r="L1402" s="3" t="inlineStr">
        <is>
          <t>Comparable production output-token throughput with model, hardware, precision, ISL/OSL and SLO matched.</t>
        </is>
      </c>
    </row>
    <row r="1403">
      <c r="A1403" s="3" t="inlineStr">
        <is>
          <t>xAI</t>
        </is>
      </c>
      <c r="B1403" s="3" t="n">
        <v>2026</v>
      </c>
      <c r="C1403" s="3" t="inlineStr">
        <is>
          <t>Base</t>
        </is>
      </c>
      <c r="D1403" s="3" t="inlineStr">
        <is>
          <t>inference_tokens_per_day</t>
        </is>
      </c>
      <c r="E1403" s="3" t="n">
        <v>15735373632000</v>
      </c>
      <c r="F1403" s="3" t="inlineStr">
        <is>
          <t>generated output tokens/day</t>
        </is>
      </c>
      <c r="G1403" s="3" t="inlineStr">
        <is>
          <t>Derived headline metric</t>
        </is>
      </c>
      <c r="H1403" s="3" t="inlineStr">
        <is>
          <t>inference_gw * 1000 * tokens_per_second_per_mw * 86,400</t>
        </is>
      </c>
      <c r="I1403" s="3" t="inlineStr">
        <is>
          <t>Headline capacity uses no utilization, MoE, architecture or software-growth multiplier; it is not observed commercial output volume.</t>
        </is>
      </c>
      <c r="J1403" s="3" t="inlineStr">
        <is>
          <t>SRC_XAI_MODELS; SRC_XAI_NVIDIA_COLOSSUS; SRC_EPOCH_AI_DATA_CENTERS; SRC_SEMIANALYSIS_INFERENCEX</t>
        </is>
      </c>
      <c r="K1403" s="3" t="inlineStr">
        <is>
          <t>ASSUMP_CLUSTER_RAMP; ASSUMP_CLOSED_MODEL_BAND; ASSUMP_NUMERIC_ACCELERATOR_MIX; ASSUMP_INFERENCE_SHARE_NOT_FACT_60; ASSUMP_WORKLOAD_CLASS_MIX; ASSUMP_AGENTIC_CONTEXT_PENALTY</t>
        </is>
      </c>
      <c r="L1403" s="3" t="inlineStr">
        <is>
          <t>Provider-disclosed generated output token volume or calibrated capacity telemetry.</t>
        </is>
      </c>
    </row>
    <row r="1404">
      <c r="A1404" s="3" t="inlineStr">
        <is>
          <t>xAI</t>
        </is>
      </c>
      <c r="B1404" s="3" t="n">
        <v>2026</v>
      </c>
      <c r="C1404" s="3" t="inlineStr">
        <is>
          <t>Base</t>
        </is>
      </c>
      <c r="D1404" s="3" t="inlineStr">
        <is>
          <t>inference_tokens_per_year</t>
        </is>
      </c>
      <c r="E1404" s="3" t="n">
        <v>5743411375680000</v>
      </c>
      <c r="F1404" s="3" t="inlineStr">
        <is>
          <t>generated output tokens/year</t>
        </is>
      </c>
      <c r="G1404" s="3" t="inlineStr">
        <is>
          <t>Derived headline metric</t>
        </is>
      </c>
      <c r="H1404" s="3" t="inlineStr">
        <is>
          <t>inference_tokens_per_day * 365</t>
        </is>
      </c>
      <c r="I1404" s="3" t="inlineStr">
        <is>
          <t>Annualized version of generated output token capacity; it is not observed annual demand or billable volume.</t>
        </is>
      </c>
      <c r="J1404" s="3" t="inlineStr">
        <is>
          <t>SRC_XAI_MODELS; SRC_XAI_NVIDIA_COLOSSUS; SRC_EPOCH_AI_DATA_CENTERS; SRC_SEMIANALYSIS_INFERENCEX</t>
        </is>
      </c>
      <c r="K1404" s="3" t="inlineStr">
        <is>
          <t>ASSUMP_CLUSTER_RAMP; ASSUMP_CLOSED_MODEL_BAND; ASSUMP_NUMERIC_ACCELERATOR_MIX; ASSUMP_INFERENCE_SHARE_NOT_FACT_60; ASSUMP_WORKLOAD_CLASS_MIX; ASSUMP_AGENTIC_CONTEXT_PENALTY</t>
        </is>
      </c>
      <c r="L1404" s="3" t="inlineStr">
        <is>
          <t>Provider-disclosed annual generated-output volume or metered serving telemetry.</t>
        </is>
      </c>
    </row>
    <row r="1405">
      <c r="A1405" s="3" t="inlineStr">
        <is>
          <t>xAI</t>
        </is>
      </c>
      <c r="B1405" s="3" t="n">
        <v>2027</v>
      </c>
      <c r="C1405" s="3" t="inlineStr">
        <is>
          <t>Base</t>
        </is>
      </c>
      <c r="D1405" s="3" t="inlineStr">
        <is>
          <t>contracted_power_gw</t>
        </is>
      </c>
      <c r="E1405" s="3" t="n">
        <v>1.5</v>
      </c>
      <c r="F1405" s="3" t="inlineStr">
        <is>
          <t>GW</t>
        </is>
      </c>
      <c r="G1405" s="3" t="inlineStr">
        <is>
          <t>Fact anchor + scenario ceiling</t>
        </is>
      </c>
      <c r="H1405" s="3" t="inlineStr">
        <is>
          <t>linear interpolation between 2026 and 2030 company capacity endpoints</t>
        </is>
      </c>
      <c r="I1405" s="3" t="inlineStr">
        <is>
          <t>Colossus GPU-count disclosure bounds capacity direction; contracted GW values are modeled power envelopes.</t>
        </is>
      </c>
      <c r="J1405" s="3" t="inlineStr">
        <is>
          <t>SRC_XAI_NVIDIA_COLOSSUS; ASSUMP_CLUSTER_RAMP</t>
        </is>
      </c>
      <c r="K1405" s="3" t="inlineStr">
        <is>
          <t>ASSUMP_CLUSTER_RAMP; ASSUMP_CLOSED_MODEL_BAND; ASSUMP_NUMERIC_ACCELERATOR_MIX; ASSUMP_INFERENCE_SHARE_NOT_FACT_60; ASSUMP_WORKLOAD_CLASS_MIX; ASSUMP_AGENTIC_CONTEXT_PENALTY</t>
        </is>
      </c>
      <c r="L1405" s="3" t="inlineStr">
        <is>
          <t>Company/site-level committed MW/GW, interconnect and contract disclosure.</t>
        </is>
      </c>
    </row>
    <row r="1406">
      <c r="A1406" s="3" t="inlineStr">
        <is>
          <t>xAI</t>
        </is>
      </c>
      <c r="B1406" s="3" t="n">
        <v>2027</v>
      </c>
      <c r="C1406" s="3" t="inlineStr">
        <is>
          <t>Base</t>
        </is>
      </c>
      <c r="D1406" s="3" t="inlineStr">
        <is>
          <t>operational_deployment_share</t>
        </is>
      </c>
      <c r="E1406" s="3" t="n">
        <v>0.59133333</v>
      </c>
      <c r="F1406" s="3" t="inlineStr">
        <is>
          <t>share</t>
        </is>
      </c>
      <c r="G1406" s="3" t="inlineStr">
        <is>
          <t>Scenario conversion</t>
        </is>
      </c>
      <c r="H1406" s="3" t="inlineStr">
        <is>
          <t>active_power_gw / contracted_power_gw</t>
        </is>
      </c>
      <c r="I1406" s="3" t="inlineStr">
        <is>
          <t>This is the single explicit conversion from contracted/attributed capacity to operationally usable capacity.</t>
        </is>
      </c>
      <c r="J1406" s="3" t="inlineStr">
        <is>
          <t>SRC_XAI_NVIDIA_COLOSSUS; ASSUMP_CLUSTER_RAMP</t>
        </is>
      </c>
      <c r="K1406" s="3" t="inlineStr">
        <is>
          <t>ASSUMP_CLUSTER_RAMP; ASSUMP_CLOSED_MODEL_BAND; ASSUMP_NUMERIC_ACCELERATOR_MIX; ASSUMP_INFERENCE_SHARE_NOT_FACT_60; ASSUMP_WORKLOAD_CLASS_MIX; ASSUMP_AGENTIC_CONTEXT_PENALTY</t>
        </is>
      </c>
      <c r="L1406" s="3" t="inlineStr">
        <is>
          <t>Energized operational capacity divided by contracted/attributed capacity.</t>
        </is>
      </c>
    </row>
    <row r="1407">
      <c r="A1407" s="3" t="inlineStr">
        <is>
          <t>xAI</t>
        </is>
      </c>
      <c r="B1407" s="3" t="n">
        <v>2027</v>
      </c>
      <c r="C1407" s="3" t="inlineStr">
        <is>
          <t>Base</t>
        </is>
      </c>
      <c r="D1407" s="3" t="inlineStr">
        <is>
          <t>active_power_gw</t>
        </is>
      </c>
      <c r="E1407" s="3" t="n">
        <v>0.887</v>
      </c>
      <c r="F1407" s="3" t="inlineStr">
        <is>
          <t>GW</t>
        </is>
      </c>
      <c r="G1407" s="3" t="inlineStr">
        <is>
          <t>Derived scenario</t>
        </is>
      </c>
      <c r="H1407" s="3" t="inlineStr">
        <is>
          <t>contracted_power_gw * operational_deployment_share</t>
        </is>
      </c>
      <c r="I1407" s="3" t="inlineStr">
        <is>
          <t>GPU cluster scale anchors operational possibility, while inference/training allocation and site power draw remain estimates.</t>
        </is>
      </c>
      <c r="J1407" s="3" t="inlineStr">
        <is>
          <t>SRC_XAI_NVIDIA_COLOSSUS; ASSUMP_CLUSTER_RAMP</t>
        </is>
      </c>
      <c r="K1407" s="3" t="inlineStr">
        <is>
          <t>ASSUMP_CLUSTER_RAMP; ASSUMP_CLOSED_MODEL_BAND; ASSUMP_NUMERIC_ACCELERATOR_MIX; ASSUMP_INFERENCE_SHARE_NOT_FACT_60; ASSUMP_WORKLOAD_CLASS_MIX; ASSUMP_AGENTIC_CONTEXT_PENALTY</t>
        </is>
      </c>
      <c r="L1407" s="3" t="inlineStr">
        <is>
          <t>Energization dates, accelerator deliveries and operational powered-rack telemetry.</t>
        </is>
      </c>
    </row>
    <row r="1408">
      <c r="A1408" s="3" t="inlineStr">
        <is>
          <t>xAI</t>
        </is>
      </c>
      <c r="B1408" s="3" t="n">
        <v>2027</v>
      </c>
      <c r="C1408" s="3" t="inlineStr">
        <is>
          <t>Base</t>
        </is>
      </c>
      <c r="D1408" s="3" t="inlineStr">
        <is>
          <t>pue</t>
        </is>
      </c>
      <c r="E1408" s="3" t="n">
        <v>1.22</v>
      </c>
      <c r="F1408" s="3" t="inlineStr">
        <is>
          <t>ratio</t>
        </is>
      </c>
      <c r="G1408" s="3" t="inlineStr">
        <is>
          <t>Scenario parameter</t>
        </is>
      </c>
      <c r="H1408" s="3" t="inlineStr">
        <is>
          <t>it_load_gw = active_power_gw / pue</t>
        </is>
      </c>
      <c r="I1408" s="3" t="inlineStr">
        <is>
          <t>No provider-wide site-level PUE is used as a disclosed fact; PUE represents facility-to-IT conversion within the scenario.</t>
        </is>
      </c>
      <c r="J1408" s="3" t="inlineStr">
        <is>
          <t>ASSUMP_POWER_RAMP</t>
        </is>
      </c>
      <c r="K1408" s="3" t="inlineStr">
        <is>
          <t>ASSUMP_CLUSTER_RAMP; ASSUMP_CLOSED_MODEL_BAND; ASSUMP_NUMERIC_ACCELERATOR_MIX; ASSUMP_INFERENCE_SHARE_NOT_FACT_60; ASSUMP_WORKLOAD_CLASS_MIX; ASSUMP_AGENTIC_CONTEXT_PENALTY</t>
        </is>
      </c>
      <c r="L1408" s="3" t="inlineStr">
        <is>
          <t>Site-level measured PUE matched to attributed AI capacity.</t>
        </is>
      </c>
    </row>
    <row r="1409">
      <c r="A1409" s="3" t="inlineStr">
        <is>
          <t>xAI</t>
        </is>
      </c>
      <c r="B1409" s="3" t="n">
        <v>2027</v>
      </c>
      <c r="C1409" s="3" t="inlineStr">
        <is>
          <t>Base</t>
        </is>
      </c>
      <c r="D1409" s="3" t="inlineStr">
        <is>
          <t>it_load_gw</t>
        </is>
      </c>
      <c r="E1409" s="3" t="n">
        <v>0.727</v>
      </c>
      <c r="F1409" s="3" t="inlineStr">
        <is>
          <t>GW</t>
        </is>
      </c>
      <c r="G1409" s="3" t="inlineStr">
        <is>
          <t>Derived formula</t>
        </is>
      </c>
      <c r="H1409" s="3" t="inlineStr">
        <is>
          <t>active_power_gw / pue</t>
        </is>
      </c>
      <c r="I1409" s="3" t="inlineStr">
        <is>
          <t>Facility power is converted to IT-deliverable power before attributing AI workloads.</t>
        </is>
      </c>
      <c r="J1409" s="3" t="inlineStr">
        <is>
          <t>SRC_XAI_NVIDIA_COLOSSUS; ASSUMP_CLUSTER_RAMP</t>
        </is>
      </c>
      <c r="K1409" s="3" t="inlineStr">
        <is>
          <t>ASSUMP_CLUSTER_RAMP; ASSUMP_CLOSED_MODEL_BAND; ASSUMP_NUMERIC_ACCELERATOR_MIX; ASSUMP_INFERENCE_SHARE_NOT_FACT_60; ASSUMP_WORKLOAD_CLASS_MIX; ASSUMP_AGENTIC_CONTEXT_PENALTY</t>
        </is>
      </c>
      <c r="L1409" s="3" t="inlineStr">
        <is>
          <t>Recompute once active power and PUE become site-observable.</t>
        </is>
      </c>
    </row>
    <row r="1410">
      <c r="A1410" s="3" t="inlineStr">
        <is>
          <t>xAI</t>
        </is>
      </c>
      <c r="B1410" s="3" t="n">
        <v>2027</v>
      </c>
      <c r="C1410" s="3" t="inlineStr">
        <is>
          <t>Base</t>
        </is>
      </c>
      <c r="D1410" s="3" t="inlineStr">
        <is>
          <t>ai_workload_share</t>
        </is>
      </c>
      <c r="E1410" s="3" t="n">
        <v>0.85</v>
      </c>
      <c r="F1410" s="3" t="inlineStr">
        <is>
          <t>share</t>
        </is>
      </c>
      <c r="G1410" s="3" t="inlineStr">
        <is>
          <t>Scenario allocation</t>
        </is>
      </c>
      <c r="H1410" s="3" t="inlineStr">
        <is>
          <t>ai_it_load_gw = it_load_gw * ai_workload_share</t>
        </is>
      </c>
      <c r="I1410" s="3" t="inlineStr">
        <is>
          <t>Colossus is AI-centric; 85% retains cooling/IT allocation boundary and non-serving AI work.</t>
        </is>
      </c>
      <c r="J1410" s="3" t="inlineStr">
        <is>
          <t>SRC_XAI_MODELS; SRC_XAI_NVIDIA_COLOSSUS; SRC_EPOCH_AI_DATA_CENTERS</t>
        </is>
      </c>
      <c r="K1410" s="3" t="inlineStr">
        <is>
          <t>ASSUMP_CLUSTER_RAMP; ASSUMP_CLOSED_MODEL_BAND; ASSUMP_NUMERIC_ACCELERATOR_MIX; ASSUMP_INFERENCE_SHARE_NOT_FACT_60; ASSUMP_WORKLOAD_CLASS_MIX; ASSUMP_AGENTIC_CONTEXT_PENALTY</t>
        </is>
      </c>
      <c r="L1410" s="3" t="inlineStr">
        <is>
          <t>Model-owner AI workload allocation or cluster scheduling telemetry.</t>
        </is>
      </c>
    </row>
    <row r="1411">
      <c r="A1411" s="3" t="inlineStr">
        <is>
          <t>xAI</t>
        </is>
      </c>
      <c r="B1411" s="3" t="n">
        <v>2027</v>
      </c>
      <c r="C1411" s="3" t="inlineStr">
        <is>
          <t>Base</t>
        </is>
      </c>
      <c r="D1411" s="3" t="inlineStr">
        <is>
          <t>ai_it_load_gw</t>
        </is>
      </c>
      <c r="E1411" s="3" t="n">
        <v>0.618</v>
      </c>
      <c r="F1411" s="3" t="inlineStr">
        <is>
          <t>GW</t>
        </is>
      </c>
      <c r="G1411" s="3" t="inlineStr">
        <is>
          <t>Derived formula</t>
        </is>
      </c>
      <c r="H1411" s="3" t="inlineStr">
        <is>
          <t>it_load_gw * ai_workload_share</t>
        </is>
      </c>
      <c r="I1411" s="3" t="inlineStr">
        <is>
          <t>Only the AI-attributed portion of IT load enters training/inference allocation.</t>
        </is>
      </c>
      <c r="J1411" s="3" t="inlineStr">
        <is>
          <t>SRC_XAI_MODELS; SRC_XAI_NVIDIA_COLOSSUS; SRC_EPOCH_AI_DATA_CENTERS</t>
        </is>
      </c>
      <c r="K1411" s="3" t="inlineStr">
        <is>
          <t>ASSUMP_CLUSTER_RAMP; ASSUMP_CLOSED_MODEL_BAND; ASSUMP_NUMERIC_ACCELERATOR_MIX; ASSUMP_INFERENCE_SHARE_NOT_FACT_60; ASSUMP_WORKLOAD_CLASS_MIX; ASSUMP_AGENTIC_CONTEXT_PENALTY</t>
        </is>
      </c>
      <c r="L1411" s="3" t="inlineStr">
        <is>
          <t>Recompute after ai_workload_share is replaced by telemetry.</t>
        </is>
      </c>
    </row>
    <row r="1412">
      <c r="A1412" s="3" t="inlineStr">
        <is>
          <t>xAI</t>
        </is>
      </c>
      <c r="B1412" s="3" t="n">
        <v>2027</v>
      </c>
      <c r="C1412" s="3" t="inlineStr">
        <is>
          <t>Base</t>
        </is>
      </c>
      <c r="D1412" s="3" t="inlineStr">
        <is>
          <t>gpu_share</t>
        </is>
      </c>
      <c r="E1412" s="3" t="n">
        <v>1</v>
      </c>
      <c r="F1412" s="3" t="inlineStr">
        <is>
          <t>share of inference-serving accelerator load</t>
        </is>
      </c>
      <c r="G1412" s="3" t="inlineStr">
        <is>
          <t>Numeric scenario</t>
        </is>
      </c>
      <c r="H1412" s="3" t="inlineStr">
        <is>
          <t>gpu_share interpolated from company 2026/2030 accelerator-mix endpoints</t>
        </is>
      </c>
      <c r="I1412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12" s="3" t="inlineStr">
        <is>
          <t>SRC_XAI_MODELS; SRC_XAI_NVIDIA_COLOSSUS; SRC_EPOCH_AI_DATA_CENTERS; ASSUMP_NUMERIC_ACCELERATOR_MIX</t>
        </is>
      </c>
      <c r="K1412" s="3" t="inlineStr">
        <is>
          <t>ASSUMP_CLUSTER_RAMP; ASSUMP_CLOSED_MODEL_BAND; ASSUMP_NUMERIC_ACCELERATOR_MIX; ASSUMP_INFERENCE_SHARE_NOT_FACT_60; ASSUMP_WORKLOAD_CLASS_MIX; ASSUMP_AGENTIC_CONTEXT_PENALTY</t>
        </is>
      </c>
      <c r="L1412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13">
      <c r="A1413" s="3" t="inlineStr">
        <is>
          <t>xAI</t>
        </is>
      </c>
      <c r="B1413" s="3" t="n">
        <v>2027</v>
      </c>
      <c r="C1413" s="3" t="inlineStr">
        <is>
          <t>Base</t>
        </is>
      </c>
      <c r="D1413" s="3" t="inlineStr">
        <is>
          <t>h200_share</t>
        </is>
      </c>
      <c r="E1413" s="3" t="n">
        <v>0</v>
      </c>
      <c r="F1413" s="3" t="inlineStr">
        <is>
          <t>share of inference-serving accelerator load</t>
        </is>
      </c>
      <c r="G1413" s="3" t="inlineStr">
        <is>
          <t>Editable numeric scenario</t>
        </is>
      </c>
      <c r="H1413" s="3" t="inlineStr">
        <is>
          <t>h200_share = gpu_share * default_gpu_generation_mix_h200</t>
        </is>
      </c>
      <c r="I1413" s="3" t="inlineStr">
        <is>
          <t>Default GPU-generation migration assumption; executive workbook allows later manual replacement by company/year/scenario.</t>
        </is>
      </c>
      <c r="J1413" s="3" t="inlineStr">
        <is>
          <t>SRC_SEMIANALYSIS_INFERENCEX; ASSUMP_NUMERIC_ACCELERATOR_MIX</t>
        </is>
      </c>
      <c r="K1413" s="3" t="inlineStr">
        <is>
          <t>ASSUMP_CLUSTER_RAMP; ASSUMP_CLOSED_MODEL_BAND; ASSUMP_NUMERIC_ACCELERATOR_MIX; ASSUMP_INFERENCE_SHARE_NOT_FACT_60; ASSUMP_WORKLOAD_CLASS_MIX; ASSUMP_AGENTIC_CONTEXT_PENALTY</t>
        </is>
      </c>
      <c r="L1413" s="3" t="inlineStr">
        <is>
          <t>Company fleet inventory, accelerator-hours or procurement/deployment records by GPU generation.</t>
        </is>
      </c>
    </row>
    <row r="1414">
      <c r="A1414" s="3" t="inlineStr">
        <is>
          <t>xAI</t>
        </is>
      </c>
      <c r="B1414" s="3" t="n">
        <v>2027</v>
      </c>
      <c r="C1414" s="3" t="inlineStr">
        <is>
          <t>Base</t>
        </is>
      </c>
      <c r="D1414" s="3" t="inlineStr">
        <is>
          <t>b200_share</t>
        </is>
      </c>
      <c r="E1414" s="3" t="n">
        <v>1</v>
      </c>
      <c r="F1414" s="3" t="inlineStr">
        <is>
          <t>share of inference-serving accelerator load</t>
        </is>
      </c>
      <c r="G1414" s="3" t="inlineStr">
        <is>
          <t>Editable numeric scenario</t>
        </is>
      </c>
      <c r="H1414" s="3" t="inlineStr">
        <is>
          <t>b200_share = gpu_share * default_gpu_generation_mix_b200</t>
        </is>
      </c>
      <c r="I1414" s="3" t="inlineStr">
        <is>
          <t>Default GPU-generation migration assumption; executive workbook allows later manual replacement by company/year/scenario.</t>
        </is>
      </c>
      <c r="J1414" s="3" t="inlineStr">
        <is>
          <t>SRC_SEMIANALYSIS_INFERENCEX; ASSUMP_NUMERIC_ACCELERATOR_MIX</t>
        </is>
      </c>
      <c r="K1414" s="3" t="inlineStr">
        <is>
          <t>ASSUMP_CLUSTER_RAMP; ASSUMP_CLOSED_MODEL_BAND; ASSUMP_NUMERIC_ACCELERATOR_MIX; ASSUMP_INFERENCE_SHARE_NOT_FACT_60; ASSUMP_WORKLOAD_CLASS_MIX; ASSUMP_AGENTIC_CONTEXT_PENALTY</t>
        </is>
      </c>
      <c r="L1414" s="3" t="inlineStr">
        <is>
          <t>Company fleet inventory, accelerator-hours or procurement/deployment records by GPU generation.</t>
        </is>
      </c>
    </row>
    <row r="1415">
      <c r="A1415" s="3" t="inlineStr">
        <is>
          <t>xAI</t>
        </is>
      </c>
      <c r="B1415" s="3" t="n">
        <v>2027</v>
      </c>
      <c r="C1415" s="3" t="inlineStr">
        <is>
          <t>Base</t>
        </is>
      </c>
      <c r="D1415" s="3" t="inlineStr">
        <is>
          <t>gb200_share</t>
        </is>
      </c>
      <c r="E1415" s="3" t="n">
        <v>0</v>
      </c>
      <c r="F1415" s="3" t="inlineStr">
        <is>
          <t>share of inference-serving accelerator load</t>
        </is>
      </c>
      <c r="G1415" s="3" t="inlineStr">
        <is>
          <t>Editable numeric scenario</t>
        </is>
      </c>
      <c r="H1415" s="3" t="inlineStr">
        <is>
          <t>gb200_share = gpu_share * default_gpu_generation_mix_gb200</t>
        </is>
      </c>
      <c r="I1415" s="3" t="inlineStr">
        <is>
          <t>Default GPU-generation migration assumption; executive workbook allows later manual replacement by company/year/scenario.</t>
        </is>
      </c>
      <c r="J1415" s="3" t="inlineStr">
        <is>
          <t>SRC_SEMIANALYSIS_INFERENCEX; ASSUMP_NUMERIC_ACCELERATOR_MIX</t>
        </is>
      </c>
      <c r="K1415" s="3" t="inlineStr">
        <is>
          <t>ASSUMP_CLUSTER_RAMP; ASSUMP_CLOSED_MODEL_BAND; ASSUMP_NUMERIC_ACCELERATOR_MIX; ASSUMP_INFERENCE_SHARE_NOT_FACT_60; ASSUMP_WORKLOAD_CLASS_MIX; ASSUMP_AGENTIC_CONTEXT_PENALTY</t>
        </is>
      </c>
      <c r="L1415" s="3" t="inlineStr">
        <is>
          <t>Company fleet inventory, accelerator-hours or procurement/deployment records by GPU generation.</t>
        </is>
      </c>
    </row>
    <row r="1416">
      <c r="A1416" s="3" t="inlineStr">
        <is>
          <t>xAI</t>
        </is>
      </c>
      <c r="B1416" s="3" t="n">
        <v>2027</v>
      </c>
      <c r="C1416" s="3" t="inlineStr">
        <is>
          <t>Base</t>
        </is>
      </c>
      <c r="D1416" s="3" t="inlineStr">
        <is>
          <t>purpose_built_accelerator_share</t>
        </is>
      </c>
      <c r="E1416" s="3" t="n">
        <v>0</v>
      </c>
      <c r="F1416" s="3" t="inlineStr">
        <is>
          <t>share of inference-serving accelerator load</t>
        </is>
      </c>
      <c r="G1416" s="3" t="inlineStr">
        <is>
          <t>Numeric scenario</t>
        </is>
      </c>
      <c r="H1416" s="3" t="inlineStr">
        <is>
          <t>1 - gpu_share</t>
        </is>
      </c>
      <c r="I1416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16" s="3" t="inlineStr">
        <is>
          <t>SRC_XAI_MODELS; SRC_XAI_NVIDIA_COLOSSUS; SRC_EPOCH_AI_DATA_CENTERS; ASSUMP_NUMERIC_ACCELERATOR_MIX</t>
        </is>
      </c>
      <c r="K1416" s="3" t="inlineStr">
        <is>
          <t>ASSUMP_CLUSTER_RAMP; ASSUMP_CLOSED_MODEL_BAND; ASSUMP_NUMERIC_ACCELERATOR_MIX; ASSUMP_INFERENCE_SHARE_NOT_FACT_60; ASSUMP_WORKLOAD_CLASS_MIX; ASSUMP_AGENTIC_CONTEXT_PENALTY</t>
        </is>
      </c>
      <c r="L1416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17">
      <c r="A1417" s="3" t="inlineStr">
        <is>
          <t>xAI</t>
        </is>
      </c>
      <c r="B1417" s="3" t="n">
        <v>2027</v>
      </c>
      <c r="C1417" s="3" t="inlineStr">
        <is>
          <t>Base</t>
        </is>
      </c>
      <c r="D1417" s="3" t="inlineStr">
        <is>
          <t>fleet_reference_tps_per_mw</t>
        </is>
      </c>
      <c r="E1417" s="3" t="n">
        <v>3010288</v>
      </c>
      <c r="F1417" s="3" t="inlineStr">
        <is>
          <t>generated output tokens/sec/MW</t>
        </is>
      </c>
      <c r="G1417" s="3" t="inlineStr">
        <is>
          <t>Fleet-weighted public benchmark reference</t>
        </is>
      </c>
      <c r="H1417" s="3" t="inlineStr">
        <is>
          <t>h200_share*h200_workload_avg + b200_share*b200_workload_avg + gb200_share*gb200_workload_avg + purpose_built_share*purpose_workload_avg</t>
        </is>
      </c>
      <c r="I141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17" s="3" t="inlineStr">
        <is>
          <t>SRC_SEMIANALYSIS_INFERENCEX; ASSUMP_NUMERIC_ACCELERATOR_MIX; ASSUMP_WORKLOAD_CLASS_MIX; ASSUMP_AGENTIC_CONTEXT_PENALTY</t>
        </is>
      </c>
      <c r="K1417" s="3" t="inlineStr">
        <is>
          <t>ASSUMP_CLUSTER_RAMP; ASSUMP_CLOSED_MODEL_BAND; ASSUMP_NUMERIC_ACCELERATOR_MIX; ASSUMP_INFERENCE_SHARE_NOT_FACT_60; ASSUMP_WORKLOAD_CLASS_MIX; ASSUMP_AGENTIC_CONTEXT_PENALTY</t>
        </is>
      </c>
      <c r="L1417" s="3" t="inlineStr">
        <is>
          <t>Comparable production output-token throughput or a more closely matched benchmark.</t>
        </is>
      </c>
    </row>
    <row r="1418">
      <c r="A1418" s="3" t="inlineStr">
        <is>
          <t>xAI</t>
        </is>
      </c>
      <c r="B1418" s="3" t="n">
        <v>2027</v>
      </c>
      <c r="C1418" s="3" t="inlineStr">
        <is>
          <t>Base</t>
        </is>
      </c>
      <c r="D1418" s="3" t="inlineStr">
        <is>
          <t>commercial_workload_fit_factor</t>
        </is>
      </c>
      <c r="E1418" s="3" t="n">
        <v>0.55</v>
      </c>
      <c r="F1418" s="3" t="inlineStr">
        <is>
          <t>share of public reference throughput</t>
        </is>
      </c>
      <c r="G1418" s="3" t="inlineStr">
        <is>
          <t>Scenario assumption</t>
        </is>
      </c>
      <c r="H1418" s="3" t="inlineStr">
        <is>
          <t>reference_serving_tps_per_mw = fleet_reference_tps_per_mw * commercial_workload_fit_factor</t>
        </is>
      </c>
      <c r="I141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18" s="3" t="inlineStr">
        <is>
          <t>SRC_SEMIANALYSIS_INFERENCEX; ASSUMP_NUMERIC_ACCELERATOR_MIX; ASSUMP_WORKLOAD_CLASS_MIX; ASSUMP_AGENTIC_CONTEXT_PENALTY</t>
        </is>
      </c>
      <c r="K1418" s="3" t="inlineStr">
        <is>
          <t>ASSUMP_CLUSTER_RAMP; ASSUMP_CLOSED_MODEL_BAND; ASSUMP_NUMERIC_ACCELERATOR_MIX; ASSUMP_INFERENCE_SHARE_NOT_FACT_60; ASSUMP_WORKLOAD_CLASS_MIX; ASSUMP_AGENTIC_CONTEXT_PENALTY</t>
        </is>
      </c>
      <c r="L1418" s="3" t="inlineStr">
        <is>
          <t>Matched commercial serving benchmark by product surface, context shape and latency SLO.</t>
        </is>
      </c>
    </row>
    <row r="1419">
      <c r="A1419" s="3" t="inlineStr">
        <is>
          <t>xAI</t>
        </is>
      </c>
      <c r="B1419" s="3" t="n">
        <v>2027</v>
      </c>
      <c r="C1419" s="3" t="inlineStr">
        <is>
          <t>Base</t>
        </is>
      </c>
      <c r="D1419" s="3" t="inlineStr">
        <is>
          <t>reference_serving_tps_per_mw</t>
        </is>
      </c>
      <c r="E1419" s="3" t="n">
        <v>1655658</v>
      </c>
      <c r="F1419" s="3" t="inlineStr">
        <is>
          <t>generated output tokens/sec/MW</t>
        </is>
      </c>
      <c r="G1419" s="3" t="inlineStr">
        <is>
          <t>Workload-adjusted benchmark proxy</t>
        </is>
      </c>
      <c r="H1419" s="3" t="inlineStr">
        <is>
          <t>fleet_reference_tps_per_mw * commercial_workload_fit_factor</t>
        </is>
      </c>
      <c r="I1419" s="3" t="inlineStr">
        <is>
          <t>This is the coefficient used for headline token generation; each GPU's short chat, long chat and agentic TPS/MW are weighted before fleet mix and commercial fit are applied.</t>
        </is>
      </c>
      <c r="J1419" s="3" t="inlineStr">
        <is>
          <t>SRC_SEMIANALYSIS_INFERENCEX; ASSUMP_NUMERIC_ACCELERATOR_MIX; ASSUMP_WORKLOAD_CLASS_MIX; ASSUMP_AGENTIC_CONTEXT_PENALTY</t>
        </is>
      </c>
      <c r="K1419" s="3" t="inlineStr">
        <is>
          <t>ASSUMP_CLUSTER_RAMP; ASSUMP_CLOSED_MODEL_BAND; ASSUMP_NUMERIC_ACCELERATOR_MIX; ASSUMP_INFERENCE_SHARE_NOT_FACT_60; ASSUMP_WORKLOAD_CLASS_MIX; ASSUMP_AGENTIC_CONTEXT_PENALTY</t>
        </is>
      </c>
      <c r="L1419" s="3" t="inlineStr">
        <is>
          <t>Provider production output-token throughput with comparable workload/SLO.</t>
        </is>
      </c>
    </row>
    <row r="1420">
      <c r="A1420" s="3" t="inlineStr">
        <is>
          <t>xAI</t>
        </is>
      </c>
      <c r="B1420" s="3" t="n">
        <v>2027</v>
      </c>
      <c r="C1420" s="3" t="inlineStr">
        <is>
          <t>Base</t>
        </is>
      </c>
      <c r="D1420" s="3" t="inlineStr">
        <is>
          <t>purpose_built_tps_per_mw</t>
        </is>
      </c>
      <c r="E1420" s="3" t="n">
        <v>2484332</v>
      </c>
      <c r="F1420" s="3" t="inlineStr">
        <is>
          <t>generated output tokens/sec/MW</t>
        </is>
      </c>
      <c r="G1420" s="3" t="inlineStr">
        <is>
          <t>Conservative no-uplift proxy</t>
        </is>
      </c>
      <c r="H1420" s="3" t="inlineStr">
        <is>
          <t>purpose_built_tps_per_mw = purpose_built_reference_tps_per_mw * commercial_workload_fit_factor until comparable output-token benchmark is adopted</t>
        </is>
      </c>
      <c r="I1420" s="3" t="inlineStr">
        <is>
          <t>No comparable public output-token/MW row adopted; B200 public reference placeholder is used and remains editable.</t>
        </is>
      </c>
      <c r="J1420" s="3" t="inlineStr">
        <is>
          <t>SRC_XAI_MODELS; SRC_XAI_NVIDIA_COLOSSUS; SRC_EPOCH_AI_DATA_CENTERS; ASSUMP_NUMERIC_ACCELERATOR_MIX</t>
        </is>
      </c>
      <c r="K1420" s="3" t="inlineStr">
        <is>
          <t>ASSUMP_CLUSTER_RAMP; ASSUMP_CLOSED_MODEL_BAND; ASSUMP_NUMERIC_ACCELERATOR_MIX; ASSUMP_INFERENCE_SHARE_NOT_FACT_60; ASSUMP_WORKLOAD_CLASS_MIX; ASSUMP_AGENTIC_CONTEXT_PENALTY</t>
        </is>
      </c>
      <c r="L1420" s="3" t="inlineStr">
        <is>
          <t>Matched-workload generated-output benchmark for the provider purpose-built accelerator.</t>
        </is>
      </c>
    </row>
    <row r="1421">
      <c r="A1421" s="3" t="inlineStr">
        <is>
          <t>xAI</t>
        </is>
      </c>
      <c r="B1421" s="3" t="n">
        <v>2027</v>
      </c>
      <c r="C1421" s="3" t="inlineStr">
        <is>
          <t>Base</t>
        </is>
      </c>
      <c r="D1421" s="3" t="inlineStr">
        <is>
          <t>inference_power_share</t>
        </is>
      </c>
      <c r="E1421" s="3" t="n">
        <v>0.512</v>
      </c>
      <c r="F1421" s="3" t="inlineStr">
        <is>
          <t>share of AI IT load</t>
        </is>
      </c>
      <c r="G1421" s="3" t="inlineStr">
        <is>
          <t>Scenario allocation</t>
        </is>
      </c>
      <c r="H1421" s="3" t="inlineStr">
        <is>
          <t>inference_gw = ai_it_load_gw * inference_power_share</t>
        </is>
      </c>
      <c r="I1421" s="3" t="inlineStr">
        <is>
          <t>Grok product expansion is modeled to shift capacity toward inference after initial training-heavy operation.</t>
        </is>
      </c>
      <c r="J1421" s="3" t="inlineStr">
        <is>
          <t>SRC_XAI_MODELS; SRC_XAI_NVIDIA_COLOSSUS; SRC_EPOCH_AI_DATA_CENTERS; ASSUMP_INFERENCE_SHARE_NOT_FACT_60</t>
        </is>
      </c>
      <c r="K1421" s="3" t="inlineStr">
        <is>
          <t>ASSUMP_CLUSTER_RAMP; ASSUMP_CLOSED_MODEL_BAND; ASSUMP_NUMERIC_ACCELERATOR_MIX; ASSUMP_INFERENCE_SHARE_NOT_FACT_60; ASSUMP_WORKLOAD_CLASS_MIX; ASSUMP_AGENTIC_CONTEXT_PENALTY</t>
        </is>
      </c>
      <c r="L1421" s="3" t="inlineStr">
        <is>
          <t>Provider-specific inference/training workload power telemetry.</t>
        </is>
      </c>
    </row>
    <row r="1422">
      <c r="A1422" s="3" t="inlineStr">
        <is>
          <t>xAI</t>
        </is>
      </c>
      <c r="B1422" s="3" t="n">
        <v>2027</v>
      </c>
      <c r="C1422" s="3" t="inlineStr">
        <is>
          <t>Base</t>
        </is>
      </c>
      <c r="D1422" s="3" t="inlineStr">
        <is>
          <t>inference_gw</t>
        </is>
      </c>
      <c r="E1422" s="3" t="n">
        <v>0.317</v>
      </c>
      <c r="F1422" s="3" t="inlineStr">
        <is>
          <t>GW</t>
        </is>
      </c>
      <c r="G1422" s="3" t="inlineStr">
        <is>
          <t>Derived formula</t>
        </is>
      </c>
      <c r="H1422" s="3" t="inlineStr">
        <is>
          <t>ai_it_load_gw * inference_power_share</t>
        </is>
      </c>
      <c r="I1422" s="3" t="inlineStr">
        <is>
          <t>This is the operational power eligible to become commercial generated output tokens through the selected TPS/MW proxy.</t>
        </is>
      </c>
      <c r="J1422" s="3" t="inlineStr">
        <is>
          <t>SRC_XAI_MODELS; SRC_XAI_NVIDIA_COLOSSUS; SRC_EPOCH_AI_DATA_CENTERS</t>
        </is>
      </c>
      <c r="K1422" s="3" t="inlineStr">
        <is>
          <t>ASSUMP_CLUSTER_RAMP; ASSUMP_CLOSED_MODEL_BAND; ASSUMP_NUMERIC_ACCELERATOR_MIX; ASSUMP_INFERENCE_SHARE_NOT_FACT_60; ASSUMP_WORKLOAD_CLASS_MIX; ASSUMP_AGENTIC_CONTEXT_PENALTY</t>
        </is>
      </c>
      <c r="L1422" s="3" t="inlineStr">
        <is>
          <t>Recompute after AI allocation or inference-share evidence changes.</t>
        </is>
      </c>
    </row>
    <row r="1423">
      <c r="A1423" s="3" t="inlineStr">
        <is>
          <t>xAI</t>
        </is>
      </c>
      <c r="B1423" s="3" t="n">
        <v>2027</v>
      </c>
      <c r="C1423" s="3" t="inlineStr">
        <is>
          <t>Base</t>
        </is>
      </c>
      <c r="D1423" s="3" t="inlineStr">
        <is>
          <t>training_power_share</t>
        </is>
      </c>
      <c r="E1423" s="3" t="n">
        <v>0.488</v>
      </c>
      <c r="F1423" s="3" t="inlineStr">
        <is>
          <t>share of AI IT load</t>
        </is>
      </c>
      <c r="G1423" s="3" t="inlineStr">
        <is>
          <t>Derived allocation</t>
        </is>
      </c>
      <c r="H1423" s="3" t="inlineStr">
        <is>
          <t>1 - inference_power_share</t>
        </is>
      </c>
      <c r="I1423" s="3" t="inlineStr">
        <is>
          <t>Training receives the complementary modeled AI IT allocation; it is not a disclosed company workload split.</t>
        </is>
      </c>
      <c r="J1423" s="3" t="inlineStr">
        <is>
          <t>SRC_XAI_MODELS; SRC_XAI_NVIDIA_COLOSSUS; SRC_EPOCH_AI_DATA_CENTERS; ASSUMP_INFERENCE_SHARE_NOT_FACT_60</t>
        </is>
      </c>
      <c r="K1423" s="3" t="inlineStr">
        <is>
          <t>ASSUMP_CLUSTER_RAMP; ASSUMP_CLOSED_MODEL_BAND; ASSUMP_NUMERIC_ACCELERATOR_MIX; ASSUMP_INFERENCE_SHARE_NOT_FACT_60; ASSUMP_WORKLOAD_CLASS_MIX; ASSUMP_AGENTIC_CONTEXT_PENALTY</t>
        </is>
      </c>
      <c r="L1423" s="3" t="inlineStr">
        <is>
          <t>Provider-specific inference/training workload power telemetry.</t>
        </is>
      </c>
    </row>
    <row r="1424">
      <c r="A1424" s="3" t="inlineStr">
        <is>
          <t>xAI</t>
        </is>
      </c>
      <c r="B1424" s="3" t="n">
        <v>2027</v>
      </c>
      <c r="C1424" s="3" t="inlineStr">
        <is>
          <t>Base</t>
        </is>
      </c>
      <c r="D1424" s="3" t="inlineStr">
        <is>
          <t>training_gw</t>
        </is>
      </c>
      <c r="E1424" s="3" t="n">
        <v>0.301</v>
      </c>
      <c r="F1424" s="3" t="inlineStr">
        <is>
          <t>GW</t>
        </is>
      </c>
      <c r="G1424" s="3" t="inlineStr">
        <is>
          <t>Derived formula</t>
        </is>
      </c>
      <c r="H1424" s="3" t="inlineStr">
        <is>
          <t>ai_it_load_gw * training_power_share</t>
        </is>
      </c>
      <c r="I1424" s="3" t="inlineStr">
        <is>
          <t>Training GW is shown separately so commercial inference token capacity is not overstated.</t>
        </is>
      </c>
      <c r="J1424" s="3" t="inlineStr">
        <is>
          <t>SRC_XAI_MODELS; SRC_XAI_NVIDIA_COLOSSUS; SRC_EPOCH_AI_DATA_CENTERS</t>
        </is>
      </c>
      <c r="K1424" s="3" t="inlineStr">
        <is>
          <t>ASSUMP_CLUSTER_RAMP; ASSUMP_CLOSED_MODEL_BAND; ASSUMP_NUMERIC_ACCELERATOR_MIX; ASSUMP_INFERENCE_SHARE_NOT_FACT_60; ASSUMP_WORKLOAD_CLASS_MIX; ASSUMP_AGENTIC_CONTEXT_PENALTY</t>
        </is>
      </c>
      <c r="L1424" s="3" t="inlineStr">
        <is>
          <t>Recompute after AI allocation or workload-split evidence changes.</t>
        </is>
      </c>
    </row>
    <row r="1425">
      <c r="A1425" s="3" t="inlineStr">
        <is>
          <t>xAI</t>
        </is>
      </c>
      <c r="B1425" s="3" t="n">
        <v>2027</v>
      </c>
      <c r="C1425" s="3" t="inlineStr">
        <is>
          <t>Base</t>
        </is>
      </c>
      <c r="D1425" s="3" t="inlineStr">
        <is>
          <t>tokens_per_second_per_mw</t>
        </is>
      </c>
      <c r="E1425" s="3" t="n">
        <v>1655658</v>
      </c>
      <c r="F1425" s="3" t="inlineStr">
        <is>
          <t>generated output tokens/sec/MW</t>
        </is>
      </c>
      <c r="G1425" s="3" t="inlineStr">
        <is>
          <t>Derived estimate + benchmark calibration</t>
        </is>
      </c>
      <c r="H1425" s="3" t="inlineStr">
        <is>
          <t>fleet_reference_tps_per_mw * commercial_workload_fit_factor</t>
        </is>
      </c>
      <c r="I142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25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25" s="3" t="inlineStr">
        <is>
          <t>ASSUMP_CLUSTER_RAMP; ASSUMP_CLOSED_MODEL_BAND; ASSUMP_NUMERIC_ACCELERATOR_MIX; ASSUMP_INFERENCE_SHARE_NOT_FACT_60; ASSUMP_WORKLOAD_CLASS_MIX; ASSUMP_AGENTIC_CONTEXT_PENALTY</t>
        </is>
      </c>
      <c r="L1425" s="3" t="inlineStr">
        <is>
          <t>Comparable production output-token throughput with model, hardware, precision, ISL/OSL and SLO matched.</t>
        </is>
      </c>
    </row>
    <row r="1426">
      <c r="A1426" s="3" t="inlineStr">
        <is>
          <t>xAI</t>
        </is>
      </c>
      <c r="B1426" s="3" t="n">
        <v>2027</v>
      </c>
      <c r="C1426" s="3" t="inlineStr">
        <is>
          <t>Base</t>
        </is>
      </c>
      <c r="D1426" s="3" t="inlineStr">
        <is>
          <t>inference_tokens_per_day</t>
        </is>
      </c>
      <c r="E1426" s="3" t="n">
        <v>45346485830400</v>
      </c>
      <c r="F1426" s="3" t="inlineStr">
        <is>
          <t>generated output tokens/day</t>
        </is>
      </c>
      <c r="G1426" s="3" t="inlineStr">
        <is>
          <t>Derived headline metric</t>
        </is>
      </c>
      <c r="H1426" s="3" t="inlineStr">
        <is>
          <t>inference_gw * 1000 * tokens_per_second_per_mw * 86,400</t>
        </is>
      </c>
      <c r="I1426" s="3" t="inlineStr">
        <is>
          <t>Headline capacity uses no utilization, MoE, architecture or software-growth multiplier; it is not observed commercial output volume.</t>
        </is>
      </c>
      <c r="J1426" s="3" t="inlineStr">
        <is>
          <t>SRC_XAI_MODELS; SRC_XAI_NVIDIA_COLOSSUS; SRC_EPOCH_AI_DATA_CENTERS; SRC_SEMIANALYSIS_INFERENCEX</t>
        </is>
      </c>
      <c r="K1426" s="3" t="inlineStr">
        <is>
          <t>ASSUMP_CLUSTER_RAMP; ASSUMP_CLOSED_MODEL_BAND; ASSUMP_NUMERIC_ACCELERATOR_MIX; ASSUMP_INFERENCE_SHARE_NOT_FACT_60; ASSUMP_WORKLOAD_CLASS_MIX; ASSUMP_AGENTIC_CONTEXT_PENALTY</t>
        </is>
      </c>
      <c r="L1426" s="3" t="inlineStr">
        <is>
          <t>Provider-disclosed generated output token volume or calibrated capacity telemetry.</t>
        </is>
      </c>
    </row>
    <row r="1427">
      <c r="A1427" s="3" t="inlineStr">
        <is>
          <t>xAI</t>
        </is>
      </c>
      <c r="B1427" s="3" t="n">
        <v>2027</v>
      </c>
      <c r="C1427" s="3" t="inlineStr">
        <is>
          <t>Base</t>
        </is>
      </c>
      <c r="D1427" s="3" t="inlineStr">
        <is>
          <t>inference_tokens_per_year</t>
        </is>
      </c>
      <c r="E1427" s="3" t="n">
        <v>1.6551467328096e+16</v>
      </c>
      <c r="F1427" s="3" t="inlineStr">
        <is>
          <t>generated output tokens/year</t>
        </is>
      </c>
      <c r="G1427" s="3" t="inlineStr">
        <is>
          <t>Derived headline metric</t>
        </is>
      </c>
      <c r="H1427" s="3" t="inlineStr">
        <is>
          <t>inference_tokens_per_day * 365</t>
        </is>
      </c>
      <c r="I1427" s="3" t="inlineStr">
        <is>
          <t>Annualized version of generated output token capacity; it is not observed annual demand or billable volume.</t>
        </is>
      </c>
      <c r="J1427" s="3" t="inlineStr">
        <is>
          <t>SRC_XAI_MODELS; SRC_XAI_NVIDIA_COLOSSUS; SRC_EPOCH_AI_DATA_CENTERS; SRC_SEMIANALYSIS_INFERENCEX</t>
        </is>
      </c>
      <c r="K1427" s="3" t="inlineStr">
        <is>
          <t>ASSUMP_CLUSTER_RAMP; ASSUMP_CLOSED_MODEL_BAND; ASSUMP_NUMERIC_ACCELERATOR_MIX; ASSUMP_INFERENCE_SHARE_NOT_FACT_60; ASSUMP_WORKLOAD_CLASS_MIX; ASSUMP_AGENTIC_CONTEXT_PENALTY</t>
        </is>
      </c>
      <c r="L1427" s="3" t="inlineStr">
        <is>
          <t>Provider-disclosed annual generated-output volume or metered serving telemetry.</t>
        </is>
      </c>
    </row>
    <row r="1428">
      <c r="A1428" s="3" t="inlineStr">
        <is>
          <t>xAI</t>
        </is>
      </c>
      <c r="B1428" s="3" t="n">
        <v>2028</v>
      </c>
      <c r="C1428" s="3" t="inlineStr">
        <is>
          <t>Base</t>
        </is>
      </c>
      <c r="D1428" s="3" t="inlineStr">
        <is>
          <t>contracted_power_gw</t>
        </is>
      </c>
      <c r="E1428" s="3" t="n">
        <v>2</v>
      </c>
      <c r="F1428" s="3" t="inlineStr">
        <is>
          <t>GW</t>
        </is>
      </c>
      <c r="G1428" s="3" t="inlineStr">
        <is>
          <t>Fact anchor + scenario ceiling</t>
        </is>
      </c>
      <c r="H1428" s="3" t="inlineStr">
        <is>
          <t>linear interpolation between 2026 and 2030 company capacity endpoints</t>
        </is>
      </c>
      <c r="I1428" s="3" t="inlineStr">
        <is>
          <t>Colossus GPU-count disclosure bounds capacity direction; contracted GW values are modeled power envelopes.</t>
        </is>
      </c>
      <c r="J1428" s="3" t="inlineStr">
        <is>
          <t>SRC_XAI_NVIDIA_COLOSSUS; ASSUMP_CLUSTER_RAMP</t>
        </is>
      </c>
      <c r="K1428" s="3" t="inlineStr">
        <is>
          <t>ASSUMP_CLUSTER_RAMP; ASSUMP_CLOSED_MODEL_BAND; ASSUMP_NUMERIC_ACCELERATOR_MIX; ASSUMP_INFERENCE_SHARE_NOT_FACT_60; ASSUMP_WORKLOAD_CLASS_MIX; ASSUMP_AGENTIC_CONTEXT_PENALTY</t>
        </is>
      </c>
      <c r="L1428" s="3" t="inlineStr">
        <is>
          <t>Company/site-level committed MW/GW, interconnect and contract disclosure.</t>
        </is>
      </c>
    </row>
    <row r="1429">
      <c r="A1429" s="3" t="inlineStr">
        <is>
          <t>xAI</t>
        </is>
      </c>
      <c r="B1429" s="3" t="n">
        <v>2028</v>
      </c>
      <c r="C1429" s="3" t="inlineStr">
        <is>
          <t>Base</t>
        </is>
      </c>
      <c r="D1429" s="3" t="inlineStr">
        <is>
          <t>operational_deployment_share</t>
        </is>
      </c>
      <c r="E1429" s="3" t="n">
        <v>0.7125</v>
      </c>
      <c r="F1429" s="3" t="inlineStr">
        <is>
          <t>share</t>
        </is>
      </c>
      <c r="G1429" s="3" t="inlineStr">
        <is>
          <t>Scenario conversion</t>
        </is>
      </c>
      <c r="H1429" s="3" t="inlineStr">
        <is>
          <t>active_power_gw / contracted_power_gw</t>
        </is>
      </c>
      <c r="I1429" s="3" t="inlineStr">
        <is>
          <t>This is the single explicit conversion from contracted/attributed capacity to operationally usable capacity.</t>
        </is>
      </c>
      <c r="J1429" s="3" t="inlineStr">
        <is>
          <t>SRC_XAI_NVIDIA_COLOSSUS; ASSUMP_CLUSTER_RAMP</t>
        </is>
      </c>
      <c r="K1429" s="3" t="inlineStr">
        <is>
          <t>ASSUMP_CLUSTER_RAMP; ASSUMP_CLOSED_MODEL_BAND; ASSUMP_NUMERIC_ACCELERATOR_MIX; ASSUMP_INFERENCE_SHARE_NOT_FACT_60; ASSUMP_WORKLOAD_CLASS_MIX; ASSUMP_AGENTIC_CONTEXT_PENALTY</t>
        </is>
      </c>
      <c r="L1429" s="3" t="inlineStr">
        <is>
          <t>Energized operational capacity divided by contracted/attributed capacity.</t>
        </is>
      </c>
    </row>
    <row r="1430">
      <c r="A1430" s="3" t="inlineStr">
        <is>
          <t>xAI</t>
        </is>
      </c>
      <c r="B1430" s="3" t="n">
        <v>2028</v>
      </c>
      <c r="C1430" s="3" t="inlineStr">
        <is>
          <t>Base</t>
        </is>
      </c>
      <c r="D1430" s="3" t="inlineStr">
        <is>
          <t>active_power_gw</t>
        </is>
      </c>
      <c r="E1430" s="3" t="n">
        <v>1.425</v>
      </c>
      <c r="F1430" s="3" t="inlineStr">
        <is>
          <t>GW</t>
        </is>
      </c>
      <c r="G1430" s="3" t="inlineStr">
        <is>
          <t>Derived scenario</t>
        </is>
      </c>
      <c r="H1430" s="3" t="inlineStr">
        <is>
          <t>contracted_power_gw * operational_deployment_share</t>
        </is>
      </c>
      <c r="I1430" s="3" t="inlineStr">
        <is>
          <t>GPU cluster scale anchors operational possibility, while inference/training allocation and site power draw remain estimates.</t>
        </is>
      </c>
      <c r="J1430" s="3" t="inlineStr">
        <is>
          <t>SRC_XAI_NVIDIA_COLOSSUS; ASSUMP_CLUSTER_RAMP</t>
        </is>
      </c>
      <c r="K1430" s="3" t="inlineStr">
        <is>
          <t>ASSUMP_CLUSTER_RAMP; ASSUMP_CLOSED_MODEL_BAND; ASSUMP_NUMERIC_ACCELERATOR_MIX; ASSUMP_INFERENCE_SHARE_NOT_FACT_60; ASSUMP_WORKLOAD_CLASS_MIX; ASSUMP_AGENTIC_CONTEXT_PENALTY</t>
        </is>
      </c>
      <c r="L1430" s="3" t="inlineStr">
        <is>
          <t>Energization dates, accelerator deliveries and operational powered-rack telemetry.</t>
        </is>
      </c>
    </row>
    <row r="1431">
      <c r="A1431" s="3" t="inlineStr">
        <is>
          <t>xAI</t>
        </is>
      </c>
      <c r="B1431" s="3" t="n">
        <v>2028</v>
      </c>
      <c r="C1431" s="3" t="inlineStr">
        <is>
          <t>Base</t>
        </is>
      </c>
      <c r="D1431" s="3" t="inlineStr">
        <is>
          <t>pue</t>
        </is>
      </c>
      <c r="E1431" s="3" t="n">
        <v>1.22</v>
      </c>
      <c r="F1431" s="3" t="inlineStr">
        <is>
          <t>ratio</t>
        </is>
      </c>
      <c r="G1431" s="3" t="inlineStr">
        <is>
          <t>Scenario parameter</t>
        </is>
      </c>
      <c r="H1431" s="3" t="inlineStr">
        <is>
          <t>it_load_gw = active_power_gw / pue</t>
        </is>
      </c>
      <c r="I1431" s="3" t="inlineStr">
        <is>
          <t>No provider-wide site-level PUE is used as a disclosed fact; PUE represents facility-to-IT conversion within the scenario.</t>
        </is>
      </c>
      <c r="J1431" s="3" t="inlineStr">
        <is>
          <t>ASSUMP_POWER_RAMP</t>
        </is>
      </c>
      <c r="K1431" s="3" t="inlineStr">
        <is>
          <t>ASSUMP_CLUSTER_RAMP; ASSUMP_CLOSED_MODEL_BAND; ASSUMP_NUMERIC_ACCELERATOR_MIX; ASSUMP_INFERENCE_SHARE_NOT_FACT_60; ASSUMP_WORKLOAD_CLASS_MIX; ASSUMP_AGENTIC_CONTEXT_PENALTY</t>
        </is>
      </c>
      <c r="L1431" s="3" t="inlineStr">
        <is>
          <t>Site-level measured PUE matched to attributed AI capacity.</t>
        </is>
      </c>
    </row>
    <row r="1432">
      <c r="A1432" s="3" t="inlineStr">
        <is>
          <t>xAI</t>
        </is>
      </c>
      <c r="B1432" s="3" t="n">
        <v>2028</v>
      </c>
      <c r="C1432" s="3" t="inlineStr">
        <is>
          <t>Base</t>
        </is>
      </c>
      <c r="D1432" s="3" t="inlineStr">
        <is>
          <t>it_load_gw</t>
        </is>
      </c>
      <c r="E1432" s="3" t="n">
        <v>1.168</v>
      </c>
      <c r="F1432" s="3" t="inlineStr">
        <is>
          <t>GW</t>
        </is>
      </c>
      <c r="G1432" s="3" t="inlineStr">
        <is>
          <t>Derived formula</t>
        </is>
      </c>
      <c r="H1432" s="3" t="inlineStr">
        <is>
          <t>active_power_gw / pue</t>
        </is>
      </c>
      <c r="I1432" s="3" t="inlineStr">
        <is>
          <t>Facility power is converted to IT-deliverable power before attributing AI workloads.</t>
        </is>
      </c>
      <c r="J1432" s="3" t="inlineStr">
        <is>
          <t>SRC_XAI_NVIDIA_COLOSSUS; ASSUMP_CLUSTER_RAMP</t>
        </is>
      </c>
      <c r="K1432" s="3" t="inlineStr">
        <is>
          <t>ASSUMP_CLUSTER_RAMP; ASSUMP_CLOSED_MODEL_BAND; ASSUMP_NUMERIC_ACCELERATOR_MIX; ASSUMP_INFERENCE_SHARE_NOT_FACT_60; ASSUMP_WORKLOAD_CLASS_MIX; ASSUMP_AGENTIC_CONTEXT_PENALTY</t>
        </is>
      </c>
      <c r="L1432" s="3" t="inlineStr">
        <is>
          <t>Recompute once active power and PUE become site-observable.</t>
        </is>
      </c>
    </row>
    <row r="1433">
      <c r="A1433" s="3" t="inlineStr">
        <is>
          <t>xAI</t>
        </is>
      </c>
      <c r="B1433" s="3" t="n">
        <v>2028</v>
      </c>
      <c r="C1433" s="3" t="inlineStr">
        <is>
          <t>Base</t>
        </is>
      </c>
      <c r="D1433" s="3" t="inlineStr">
        <is>
          <t>ai_workload_share</t>
        </is>
      </c>
      <c r="E1433" s="3" t="n">
        <v>0.85</v>
      </c>
      <c r="F1433" s="3" t="inlineStr">
        <is>
          <t>share</t>
        </is>
      </c>
      <c r="G1433" s="3" t="inlineStr">
        <is>
          <t>Scenario allocation</t>
        </is>
      </c>
      <c r="H1433" s="3" t="inlineStr">
        <is>
          <t>ai_it_load_gw = it_load_gw * ai_workload_share</t>
        </is>
      </c>
      <c r="I1433" s="3" t="inlineStr">
        <is>
          <t>Colossus is AI-centric; 85% retains cooling/IT allocation boundary and non-serving AI work.</t>
        </is>
      </c>
      <c r="J1433" s="3" t="inlineStr">
        <is>
          <t>SRC_XAI_MODELS; SRC_XAI_NVIDIA_COLOSSUS; SRC_EPOCH_AI_DATA_CENTERS</t>
        </is>
      </c>
      <c r="K1433" s="3" t="inlineStr">
        <is>
          <t>ASSUMP_CLUSTER_RAMP; ASSUMP_CLOSED_MODEL_BAND; ASSUMP_NUMERIC_ACCELERATOR_MIX; ASSUMP_INFERENCE_SHARE_NOT_FACT_60; ASSUMP_WORKLOAD_CLASS_MIX; ASSUMP_AGENTIC_CONTEXT_PENALTY</t>
        </is>
      </c>
      <c r="L1433" s="3" t="inlineStr">
        <is>
          <t>Model-owner AI workload allocation or cluster scheduling telemetry.</t>
        </is>
      </c>
    </row>
    <row r="1434">
      <c r="A1434" s="3" t="inlineStr">
        <is>
          <t>xAI</t>
        </is>
      </c>
      <c r="B1434" s="3" t="n">
        <v>2028</v>
      </c>
      <c r="C1434" s="3" t="inlineStr">
        <is>
          <t>Base</t>
        </is>
      </c>
      <c r="D1434" s="3" t="inlineStr">
        <is>
          <t>ai_it_load_gw</t>
        </is>
      </c>
      <c r="E1434" s="3" t="n">
        <v>0.993</v>
      </c>
      <c r="F1434" s="3" t="inlineStr">
        <is>
          <t>GW</t>
        </is>
      </c>
      <c r="G1434" s="3" t="inlineStr">
        <is>
          <t>Derived formula</t>
        </is>
      </c>
      <c r="H1434" s="3" t="inlineStr">
        <is>
          <t>it_load_gw * ai_workload_share</t>
        </is>
      </c>
      <c r="I1434" s="3" t="inlineStr">
        <is>
          <t>Only the AI-attributed portion of IT load enters training/inference allocation.</t>
        </is>
      </c>
      <c r="J1434" s="3" t="inlineStr">
        <is>
          <t>SRC_XAI_MODELS; SRC_XAI_NVIDIA_COLOSSUS; SRC_EPOCH_AI_DATA_CENTERS</t>
        </is>
      </c>
      <c r="K1434" s="3" t="inlineStr">
        <is>
          <t>ASSUMP_CLUSTER_RAMP; ASSUMP_CLOSED_MODEL_BAND; ASSUMP_NUMERIC_ACCELERATOR_MIX; ASSUMP_INFERENCE_SHARE_NOT_FACT_60; ASSUMP_WORKLOAD_CLASS_MIX; ASSUMP_AGENTIC_CONTEXT_PENALTY</t>
        </is>
      </c>
      <c r="L1434" s="3" t="inlineStr">
        <is>
          <t>Recompute after ai_workload_share is replaced by telemetry.</t>
        </is>
      </c>
    </row>
    <row r="1435">
      <c r="A1435" s="3" t="inlineStr">
        <is>
          <t>xAI</t>
        </is>
      </c>
      <c r="B1435" s="3" t="n">
        <v>2028</v>
      </c>
      <c r="C1435" s="3" t="inlineStr">
        <is>
          <t>Base</t>
        </is>
      </c>
      <c r="D1435" s="3" t="inlineStr">
        <is>
          <t>gpu_share</t>
        </is>
      </c>
      <c r="E1435" s="3" t="n">
        <v>1</v>
      </c>
      <c r="F1435" s="3" t="inlineStr">
        <is>
          <t>share of inference-serving accelerator load</t>
        </is>
      </c>
      <c r="G1435" s="3" t="inlineStr">
        <is>
          <t>Numeric scenario</t>
        </is>
      </c>
      <c r="H1435" s="3" t="inlineStr">
        <is>
          <t>gpu_share interpolated from company 2026/2030 accelerator-mix endpoints</t>
        </is>
      </c>
      <c r="I1435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35" s="3" t="inlineStr">
        <is>
          <t>SRC_XAI_MODELS; SRC_XAI_NVIDIA_COLOSSUS; SRC_EPOCH_AI_DATA_CENTERS; ASSUMP_NUMERIC_ACCELERATOR_MIX</t>
        </is>
      </c>
      <c r="K1435" s="3" t="inlineStr">
        <is>
          <t>ASSUMP_CLUSTER_RAMP; ASSUMP_CLOSED_MODEL_BAND; ASSUMP_NUMERIC_ACCELERATOR_MIX; ASSUMP_INFERENCE_SHARE_NOT_FACT_60; ASSUMP_WORKLOAD_CLASS_MIX; ASSUMP_AGENTIC_CONTEXT_PENALTY</t>
        </is>
      </c>
      <c r="L1435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36">
      <c r="A1436" s="3" t="inlineStr">
        <is>
          <t>xAI</t>
        </is>
      </c>
      <c r="B1436" s="3" t="n">
        <v>2028</v>
      </c>
      <c r="C1436" s="3" t="inlineStr">
        <is>
          <t>Base</t>
        </is>
      </c>
      <c r="D1436" s="3" t="inlineStr">
        <is>
          <t>h200_share</t>
        </is>
      </c>
      <c r="E1436" s="3" t="n">
        <v>0</v>
      </c>
      <c r="F1436" s="3" t="inlineStr">
        <is>
          <t>share of inference-serving accelerator load</t>
        </is>
      </c>
      <c r="G1436" s="3" t="inlineStr">
        <is>
          <t>Editable numeric scenario</t>
        </is>
      </c>
      <c r="H1436" s="3" t="inlineStr">
        <is>
          <t>h200_share = gpu_share * default_gpu_generation_mix_h200</t>
        </is>
      </c>
      <c r="I1436" s="3" t="inlineStr">
        <is>
          <t>Default GPU-generation migration assumption; executive workbook allows later manual replacement by company/year/scenario.</t>
        </is>
      </c>
      <c r="J1436" s="3" t="inlineStr">
        <is>
          <t>SRC_SEMIANALYSIS_INFERENCEX; ASSUMP_NUMERIC_ACCELERATOR_MIX</t>
        </is>
      </c>
      <c r="K1436" s="3" t="inlineStr">
        <is>
          <t>ASSUMP_CLUSTER_RAMP; ASSUMP_CLOSED_MODEL_BAND; ASSUMP_NUMERIC_ACCELERATOR_MIX; ASSUMP_INFERENCE_SHARE_NOT_FACT_60; ASSUMP_WORKLOAD_CLASS_MIX; ASSUMP_AGENTIC_CONTEXT_PENALTY</t>
        </is>
      </c>
      <c r="L1436" s="3" t="inlineStr">
        <is>
          <t>Company fleet inventory, accelerator-hours or procurement/deployment records by GPU generation.</t>
        </is>
      </c>
    </row>
    <row r="1437">
      <c r="A1437" s="3" t="inlineStr">
        <is>
          <t>xAI</t>
        </is>
      </c>
      <c r="B1437" s="3" t="n">
        <v>2028</v>
      </c>
      <c r="C1437" s="3" t="inlineStr">
        <is>
          <t>Base</t>
        </is>
      </c>
      <c r="D1437" s="3" t="inlineStr">
        <is>
          <t>b200_share</t>
        </is>
      </c>
      <c r="E1437" s="3" t="n">
        <v>1</v>
      </c>
      <c r="F1437" s="3" t="inlineStr">
        <is>
          <t>share of inference-serving accelerator load</t>
        </is>
      </c>
      <c r="G1437" s="3" t="inlineStr">
        <is>
          <t>Editable numeric scenario</t>
        </is>
      </c>
      <c r="H1437" s="3" t="inlineStr">
        <is>
          <t>b200_share = gpu_share * default_gpu_generation_mix_b200</t>
        </is>
      </c>
      <c r="I1437" s="3" t="inlineStr">
        <is>
          <t>Default GPU-generation migration assumption; executive workbook allows later manual replacement by company/year/scenario.</t>
        </is>
      </c>
      <c r="J1437" s="3" t="inlineStr">
        <is>
          <t>SRC_SEMIANALYSIS_INFERENCEX; ASSUMP_NUMERIC_ACCELERATOR_MIX</t>
        </is>
      </c>
      <c r="K1437" s="3" t="inlineStr">
        <is>
          <t>ASSUMP_CLUSTER_RAMP; ASSUMP_CLOSED_MODEL_BAND; ASSUMP_NUMERIC_ACCELERATOR_MIX; ASSUMP_INFERENCE_SHARE_NOT_FACT_60; ASSUMP_WORKLOAD_CLASS_MIX; ASSUMP_AGENTIC_CONTEXT_PENALTY</t>
        </is>
      </c>
      <c r="L1437" s="3" t="inlineStr">
        <is>
          <t>Company fleet inventory, accelerator-hours or procurement/deployment records by GPU generation.</t>
        </is>
      </c>
    </row>
    <row r="1438">
      <c r="A1438" s="3" t="inlineStr">
        <is>
          <t>xAI</t>
        </is>
      </c>
      <c r="B1438" s="3" t="n">
        <v>2028</v>
      </c>
      <c r="C1438" s="3" t="inlineStr">
        <is>
          <t>Base</t>
        </is>
      </c>
      <c r="D1438" s="3" t="inlineStr">
        <is>
          <t>gb200_share</t>
        </is>
      </c>
      <c r="E1438" s="3" t="n">
        <v>0</v>
      </c>
      <c r="F1438" s="3" t="inlineStr">
        <is>
          <t>share of inference-serving accelerator load</t>
        </is>
      </c>
      <c r="G1438" s="3" t="inlineStr">
        <is>
          <t>Editable numeric scenario</t>
        </is>
      </c>
      <c r="H1438" s="3" t="inlineStr">
        <is>
          <t>gb200_share = gpu_share * default_gpu_generation_mix_gb200</t>
        </is>
      </c>
      <c r="I1438" s="3" t="inlineStr">
        <is>
          <t>Default GPU-generation migration assumption; executive workbook allows later manual replacement by company/year/scenario.</t>
        </is>
      </c>
      <c r="J1438" s="3" t="inlineStr">
        <is>
          <t>SRC_SEMIANALYSIS_INFERENCEX; ASSUMP_NUMERIC_ACCELERATOR_MIX</t>
        </is>
      </c>
      <c r="K1438" s="3" t="inlineStr">
        <is>
          <t>ASSUMP_CLUSTER_RAMP; ASSUMP_CLOSED_MODEL_BAND; ASSUMP_NUMERIC_ACCELERATOR_MIX; ASSUMP_INFERENCE_SHARE_NOT_FACT_60; ASSUMP_WORKLOAD_CLASS_MIX; ASSUMP_AGENTIC_CONTEXT_PENALTY</t>
        </is>
      </c>
      <c r="L1438" s="3" t="inlineStr">
        <is>
          <t>Company fleet inventory, accelerator-hours or procurement/deployment records by GPU generation.</t>
        </is>
      </c>
    </row>
    <row r="1439">
      <c r="A1439" s="3" t="inlineStr">
        <is>
          <t>xAI</t>
        </is>
      </c>
      <c r="B1439" s="3" t="n">
        <v>2028</v>
      </c>
      <c r="C1439" s="3" t="inlineStr">
        <is>
          <t>Base</t>
        </is>
      </c>
      <c r="D1439" s="3" t="inlineStr">
        <is>
          <t>purpose_built_accelerator_share</t>
        </is>
      </c>
      <c r="E1439" s="3" t="n">
        <v>0</v>
      </c>
      <c r="F1439" s="3" t="inlineStr">
        <is>
          <t>share of inference-serving accelerator load</t>
        </is>
      </c>
      <c r="G1439" s="3" t="inlineStr">
        <is>
          <t>Numeric scenario</t>
        </is>
      </c>
      <c r="H1439" s="3" t="inlineStr">
        <is>
          <t>1 - gpu_share</t>
        </is>
      </c>
      <c r="I1439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39" s="3" t="inlineStr">
        <is>
          <t>SRC_XAI_MODELS; SRC_XAI_NVIDIA_COLOSSUS; SRC_EPOCH_AI_DATA_CENTERS; ASSUMP_NUMERIC_ACCELERATOR_MIX</t>
        </is>
      </c>
      <c r="K1439" s="3" t="inlineStr">
        <is>
          <t>ASSUMP_CLUSTER_RAMP; ASSUMP_CLOSED_MODEL_BAND; ASSUMP_NUMERIC_ACCELERATOR_MIX; ASSUMP_INFERENCE_SHARE_NOT_FACT_60; ASSUMP_WORKLOAD_CLASS_MIX; ASSUMP_AGENTIC_CONTEXT_PENALTY</t>
        </is>
      </c>
      <c r="L1439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40">
      <c r="A1440" s="3" t="inlineStr">
        <is>
          <t>xAI</t>
        </is>
      </c>
      <c r="B1440" s="3" t="n">
        <v>2028</v>
      </c>
      <c r="C1440" s="3" t="inlineStr">
        <is>
          <t>Base</t>
        </is>
      </c>
      <c r="D1440" s="3" t="inlineStr">
        <is>
          <t>fleet_reference_tps_per_mw</t>
        </is>
      </c>
      <c r="E1440" s="3" t="n">
        <v>3010288</v>
      </c>
      <c r="F1440" s="3" t="inlineStr">
        <is>
          <t>generated output tokens/sec/MW</t>
        </is>
      </c>
      <c r="G1440" s="3" t="inlineStr">
        <is>
          <t>Fleet-weighted public benchmark reference</t>
        </is>
      </c>
      <c r="H1440" s="3" t="inlineStr">
        <is>
          <t>h200_share*h200_workload_avg + b200_share*b200_workload_avg + gb200_share*gb200_workload_avg + purpose_built_share*purpose_workload_avg</t>
        </is>
      </c>
      <c r="I144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40" s="3" t="inlineStr">
        <is>
          <t>SRC_SEMIANALYSIS_INFERENCEX; ASSUMP_NUMERIC_ACCELERATOR_MIX; ASSUMP_WORKLOAD_CLASS_MIX; ASSUMP_AGENTIC_CONTEXT_PENALTY</t>
        </is>
      </c>
      <c r="K1440" s="3" t="inlineStr">
        <is>
          <t>ASSUMP_CLUSTER_RAMP; ASSUMP_CLOSED_MODEL_BAND; ASSUMP_NUMERIC_ACCELERATOR_MIX; ASSUMP_INFERENCE_SHARE_NOT_FACT_60; ASSUMP_WORKLOAD_CLASS_MIX; ASSUMP_AGENTIC_CONTEXT_PENALTY</t>
        </is>
      </c>
      <c r="L1440" s="3" t="inlineStr">
        <is>
          <t>Comparable production output-token throughput or a more closely matched benchmark.</t>
        </is>
      </c>
    </row>
    <row r="1441">
      <c r="A1441" s="3" t="inlineStr">
        <is>
          <t>xAI</t>
        </is>
      </c>
      <c r="B1441" s="3" t="n">
        <v>2028</v>
      </c>
      <c r="C1441" s="3" t="inlineStr">
        <is>
          <t>Base</t>
        </is>
      </c>
      <c r="D1441" s="3" t="inlineStr">
        <is>
          <t>commercial_workload_fit_factor</t>
        </is>
      </c>
      <c r="E1441" s="3" t="n">
        <v>0.55</v>
      </c>
      <c r="F1441" s="3" t="inlineStr">
        <is>
          <t>share of public reference throughput</t>
        </is>
      </c>
      <c r="G1441" s="3" t="inlineStr">
        <is>
          <t>Scenario assumption</t>
        </is>
      </c>
      <c r="H1441" s="3" t="inlineStr">
        <is>
          <t>reference_serving_tps_per_mw = fleet_reference_tps_per_mw * commercial_workload_fit_factor</t>
        </is>
      </c>
      <c r="I144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41" s="3" t="inlineStr">
        <is>
          <t>SRC_SEMIANALYSIS_INFERENCEX; ASSUMP_NUMERIC_ACCELERATOR_MIX; ASSUMP_WORKLOAD_CLASS_MIX; ASSUMP_AGENTIC_CONTEXT_PENALTY</t>
        </is>
      </c>
      <c r="K1441" s="3" t="inlineStr">
        <is>
          <t>ASSUMP_CLUSTER_RAMP; ASSUMP_CLOSED_MODEL_BAND; ASSUMP_NUMERIC_ACCELERATOR_MIX; ASSUMP_INFERENCE_SHARE_NOT_FACT_60; ASSUMP_WORKLOAD_CLASS_MIX; ASSUMP_AGENTIC_CONTEXT_PENALTY</t>
        </is>
      </c>
      <c r="L1441" s="3" t="inlineStr">
        <is>
          <t>Matched commercial serving benchmark by product surface, context shape and latency SLO.</t>
        </is>
      </c>
    </row>
    <row r="1442">
      <c r="A1442" s="3" t="inlineStr">
        <is>
          <t>xAI</t>
        </is>
      </c>
      <c r="B1442" s="3" t="n">
        <v>2028</v>
      </c>
      <c r="C1442" s="3" t="inlineStr">
        <is>
          <t>Base</t>
        </is>
      </c>
      <c r="D1442" s="3" t="inlineStr">
        <is>
          <t>reference_serving_tps_per_mw</t>
        </is>
      </c>
      <c r="E1442" s="3" t="n">
        <v>1655658</v>
      </c>
      <c r="F1442" s="3" t="inlineStr">
        <is>
          <t>generated output tokens/sec/MW</t>
        </is>
      </c>
      <c r="G1442" s="3" t="inlineStr">
        <is>
          <t>Workload-adjusted benchmark proxy</t>
        </is>
      </c>
      <c r="H1442" s="3" t="inlineStr">
        <is>
          <t>fleet_reference_tps_per_mw * commercial_workload_fit_factor</t>
        </is>
      </c>
      <c r="I1442" s="3" t="inlineStr">
        <is>
          <t>This is the coefficient used for headline token generation; each GPU's short chat, long chat and agentic TPS/MW are weighted before fleet mix and commercial fit are applied.</t>
        </is>
      </c>
      <c r="J1442" s="3" t="inlineStr">
        <is>
          <t>SRC_SEMIANALYSIS_INFERENCEX; ASSUMP_NUMERIC_ACCELERATOR_MIX; ASSUMP_WORKLOAD_CLASS_MIX; ASSUMP_AGENTIC_CONTEXT_PENALTY</t>
        </is>
      </c>
      <c r="K1442" s="3" t="inlineStr">
        <is>
          <t>ASSUMP_CLUSTER_RAMP; ASSUMP_CLOSED_MODEL_BAND; ASSUMP_NUMERIC_ACCELERATOR_MIX; ASSUMP_INFERENCE_SHARE_NOT_FACT_60; ASSUMP_WORKLOAD_CLASS_MIX; ASSUMP_AGENTIC_CONTEXT_PENALTY</t>
        </is>
      </c>
      <c r="L1442" s="3" t="inlineStr">
        <is>
          <t>Provider production output-token throughput with comparable workload/SLO.</t>
        </is>
      </c>
    </row>
    <row r="1443">
      <c r="A1443" s="3" t="inlineStr">
        <is>
          <t>xAI</t>
        </is>
      </c>
      <c r="B1443" s="3" t="n">
        <v>2028</v>
      </c>
      <c r="C1443" s="3" t="inlineStr">
        <is>
          <t>Base</t>
        </is>
      </c>
      <c r="D1443" s="3" t="inlineStr">
        <is>
          <t>purpose_built_tps_per_mw</t>
        </is>
      </c>
      <c r="E1443" s="3" t="n">
        <v>2484332</v>
      </c>
      <c r="F1443" s="3" t="inlineStr">
        <is>
          <t>generated output tokens/sec/MW</t>
        </is>
      </c>
      <c r="G1443" s="3" t="inlineStr">
        <is>
          <t>Conservative no-uplift proxy</t>
        </is>
      </c>
      <c r="H1443" s="3" t="inlineStr">
        <is>
          <t>purpose_built_tps_per_mw = purpose_built_reference_tps_per_mw * commercial_workload_fit_factor until comparable output-token benchmark is adopted</t>
        </is>
      </c>
      <c r="I1443" s="3" t="inlineStr">
        <is>
          <t>No comparable public output-token/MW row adopted; B200 public reference placeholder is used and remains editable.</t>
        </is>
      </c>
      <c r="J1443" s="3" t="inlineStr">
        <is>
          <t>SRC_XAI_MODELS; SRC_XAI_NVIDIA_COLOSSUS; SRC_EPOCH_AI_DATA_CENTERS; ASSUMP_NUMERIC_ACCELERATOR_MIX</t>
        </is>
      </c>
      <c r="K1443" s="3" t="inlineStr">
        <is>
          <t>ASSUMP_CLUSTER_RAMP; ASSUMP_CLOSED_MODEL_BAND; ASSUMP_NUMERIC_ACCELERATOR_MIX; ASSUMP_INFERENCE_SHARE_NOT_FACT_60; ASSUMP_WORKLOAD_CLASS_MIX; ASSUMP_AGENTIC_CONTEXT_PENALTY</t>
        </is>
      </c>
      <c r="L1443" s="3" t="inlineStr">
        <is>
          <t>Matched-workload generated-output benchmark for the provider purpose-built accelerator.</t>
        </is>
      </c>
    </row>
    <row r="1444">
      <c r="A1444" s="3" t="inlineStr">
        <is>
          <t>xAI</t>
        </is>
      </c>
      <c r="B1444" s="3" t="n">
        <v>2028</v>
      </c>
      <c r="C1444" s="3" t="inlineStr">
        <is>
          <t>Base</t>
        </is>
      </c>
      <c r="D1444" s="3" t="inlineStr">
        <is>
          <t>inference_power_share</t>
        </is>
      </c>
      <c r="E1444" s="3" t="n">
        <v>0.575</v>
      </c>
      <c r="F1444" s="3" t="inlineStr">
        <is>
          <t>share of AI IT load</t>
        </is>
      </c>
      <c r="G1444" s="3" t="inlineStr">
        <is>
          <t>Scenario allocation</t>
        </is>
      </c>
      <c r="H1444" s="3" t="inlineStr">
        <is>
          <t>inference_gw = ai_it_load_gw * inference_power_share</t>
        </is>
      </c>
      <c r="I1444" s="3" t="inlineStr">
        <is>
          <t>Grok product expansion is modeled to shift capacity toward inference after initial training-heavy operation.</t>
        </is>
      </c>
      <c r="J1444" s="3" t="inlineStr">
        <is>
          <t>SRC_XAI_MODELS; SRC_XAI_NVIDIA_COLOSSUS; SRC_EPOCH_AI_DATA_CENTERS; ASSUMP_INFERENCE_SHARE_NOT_FACT_60</t>
        </is>
      </c>
      <c r="K1444" s="3" t="inlineStr">
        <is>
          <t>ASSUMP_CLUSTER_RAMP; ASSUMP_CLOSED_MODEL_BAND; ASSUMP_NUMERIC_ACCELERATOR_MIX; ASSUMP_INFERENCE_SHARE_NOT_FACT_60; ASSUMP_WORKLOAD_CLASS_MIX; ASSUMP_AGENTIC_CONTEXT_PENALTY</t>
        </is>
      </c>
      <c r="L1444" s="3" t="inlineStr">
        <is>
          <t>Provider-specific inference/training workload power telemetry.</t>
        </is>
      </c>
    </row>
    <row r="1445">
      <c r="A1445" s="3" t="inlineStr">
        <is>
          <t>xAI</t>
        </is>
      </c>
      <c r="B1445" s="3" t="n">
        <v>2028</v>
      </c>
      <c r="C1445" s="3" t="inlineStr">
        <is>
          <t>Base</t>
        </is>
      </c>
      <c r="D1445" s="3" t="inlineStr">
        <is>
          <t>inference_gw</t>
        </is>
      </c>
      <c r="E1445" s="3" t="n">
        <v>0.571</v>
      </c>
      <c r="F1445" s="3" t="inlineStr">
        <is>
          <t>GW</t>
        </is>
      </c>
      <c r="G1445" s="3" t="inlineStr">
        <is>
          <t>Derived formula</t>
        </is>
      </c>
      <c r="H1445" s="3" t="inlineStr">
        <is>
          <t>ai_it_load_gw * inference_power_share</t>
        </is>
      </c>
      <c r="I1445" s="3" t="inlineStr">
        <is>
          <t>This is the operational power eligible to become commercial generated output tokens through the selected TPS/MW proxy.</t>
        </is>
      </c>
      <c r="J1445" s="3" t="inlineStr">
        <is>
          <t>SRC_XAI_MODELS; SRC_XAI_NVIDIA_COLOSSUS; SRC_EPOCH_AI_DATA_CENTERS</t>
        </is>
      </c>
      <c r="K1445" s="3" t="inlineStr">
        <is>
          <t>ASSUMP_CLUSTER_RAMP; ASSUMP_CLOSED_MODEL_BAND; ASSUMP_NUMERIC_ACCELERATOR_MIX; ASSUMP_INFERENCE_SHARE_NOT_FACT_60; ASSUMP_WORKLOAD_CLASS_MIX; ASSUMP_AGENTIC_CONTEXT_PENALTY</t>
        </is>
      </c>
      <c r="L1445" s="3" t="inlineStr">
        <is>
          <t>Recompute after AI allocation or inference-share evidence changes.</t>
        </is>
      </c>
    </row>
    <row r="1446">
      <c r="A1446" s="3" t="inlineStr">
        <is>
          <t>xAI</t>
        </is>
      </c>
      <c r="B1446" s="3" t="n">
        <v>2028</v>
      </c>
      <c r="C1446" s="3" t="inlineStr">
        <is>
          <t>Base</t>
        </is>
      </c>
      <c r="D1446" s="3" t="inlineStr">
        <is>
          <t>training_power_share</t>
        </is>
      </c>
      <c r="E1446" s="3" t="n">
        <v>0.425</v>
      </c>
      <c r="F1446" s="3" t="inlineStr">
        <is>
          <t>share of AI IT load</t>
        </is>
      </c>
      <c r="G1446" s="3" t="inlineStr">
        <is>
          <t>Derived allocation</t>
        </is>
      </c>
      <c r="H1446" s="3" t="inlineStr">
        <is>
          <t>1 - inference_power_share</t>
        </is>
      </c>
      <c r="I1446" s="3" t="inlineStr">
        <is>
          <t>Training receives the complementary modeled AI IT allocation; it is not a disclosed company workload split.</t>
        </is>
      </c>
      <c r="J1446" s="3" t="inlineStr">
        <is>
          <t>SRC_XAI_MODELS; SRC_XAI_NVIDIA_COLOSSUS; SRC_EPOCH_AI_DATA_CENTERS; ASSUMP_INFERENCE_SHARE_NOT_FACT_60</t>
        </is>
      </c>
      <c r="K1446" s="3" t="inlineStr">
        <is>
          <t>ASSUMP_CLUSTER_RAMP; ASSUMP_CLOSED_MODEL_BAND; ASSUMP_NUMERIC_ACCELERATOR_MIX; ASSUMP_INFERENCE_SHARE_NOT_FACT_60; ASSUMP_WORKLOAD_CLASS_MIX; ASSUMP_AGENTIC_CONTEXT_PENALTY</t>
        </is>
      </c>
      <c r="L1446" s="3" t="inlineStr">
        <is>
          <t>Provider-specific inference/training workload power telemetry.</t>
        </is>
      </c>
    </row>
    <row r="1447">
      <c r="A1447" s="3" t="inlineStr">
        <is>
          <t>xAI</t>
        </is>
      </c>
      <c r="B1447" s="3" t="n">
        <v>2028</v>
      </c>
      <c r="C1447" s="3" t="inlineStr">
        <is>
          <t>Base</t>
        </is>
      </c>
      <c r="D1447" s="3" t="inlineStr">
        <is>
          <t>training_gw</t>
        </is>
      </c>
      <c r="E1447" s="3" t="n">
        <v>0.422</v>
      </c>
      <c r="F1447" s="3" t="inlineStr">
        <is>
          <t>GW</t>
        </is>
      </c>
      <c r="G1447" s="3" t="inlineStr">
        <is>
          <t>Derived formula</t>
        </is>
      </c>
      <c r="H1447" s="3" t="inlineStr">
        <is>
          <t>ai_it_load_gw * training_power_share</t>
        </is>
      </c>
      <c r="I1447" s="3" t="inlineStr">
        <is>
          <t>Training GW is shown separately so commercial inference token capacity is not overstated.</t>
        </is>
      </c>
      <c r="J1447" s="3" t="inlineStr">
        <is>
          <t>SRC_XAI_MODELS; SRC_XAI_NVIDIA_COLOSSUS; SRC_EPOCH_AI_DATA_CENTERS</t>
        </is>
      </c>
      <c r="K1447" s="3" t="inlineStr">
        <is>
          <t>ASSUMP_CLUSTER_RAMP; ASSUMP_CLOSED_MODEL_BAND; ASSUMP_NUMERIC_ACCELERATOR_MIX; ASSUMP_INFERENCE_SHARE_NOT_FACT_60; ASSUMP_WORKLOAD_CLASS_MIX; ASSUMP_AGENTIC_CONTEXT_PENALTY</t>
        </is>
      </c>
      <c r="L1447" s="3" t="inlineStr">
        <is>
          <t>Recompute after AI allocation or workload-split evidence changes.</t>
        </is>
      </c>
    </row>
    <row r="1448">
      <c r="A1448" s="3" t="inlineStr">
        <is>
          <t>xAI</t>
        </is>
      </c>
      <c r="B1448" s="3" t="n">
        <v>2028</v>
      </c>
      <c r="C1448" s="3" t="inlineStr">
        <is>
          <t>Base</t>
        </is>
      </c>
      <c r="D1448" s="3" t="inlineStr">
        <is>
          <t>tokens_per_second_per_mw</t>
        </is>
      </c>
      <c r="E1448" s="3" t="n">
        <v>1655658</v>
      </c>
      <c r="F1448" s="3" t="inlineStr">
        <is>
          <t>generated output tokens/sec/MW</t>
        </is>
      </c>
      <c r="G1448" s="3" t="inlineStr">
        <is>
          <t>Derived estimate + benchmark calibration</t>
        </is>
      </c>
      <c r="H1448" s="3" t="inlineStr">
        <is>
          <t>fleet_reference_tps_per_mw * commercial_workload_fit_factor</t>
        </is>
      </c>
      <c r="I144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48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48" s="3" t="inlineStr">
        <is>
          <t>ASSUMP_CLUSTER_RAMP; ASSUMP_CLOSED_MODEL_BAND; ASSUMP_NUMERIC_ACCELERATOR_MIX; ASSUMP_INFERENCE_SHARE_NOT_FACT_60; ASSUMP_WORKLOAD_CLASS_MIX; ASSUMP_AGENTIC_CONTEXT_PENALTY</t>
        </is>
      </c>
      <c r="L1448" s="3" t="inlineStr">
        <is>
          <t>Comparable production output-token throughput with model, hardware, precision, ISL/OSL and SLO matched.</t>
        </is>
      </c>
    </row>
    <row r="1449">
      <c r="A1449" s="3" t="inlineStr">
        <is>
          <t>xAI</t>
        </is>
      </c>
      <c r="B1449" s="3" t="n">
        <v>2028</v>
      </c>
      <c r="C1449" s="3" t="inlineStr">
        <is>
          <t>Base</t>
        </is>
      </c>
      <c r="D1449" s="3" t="inlineStr">
        <is>
          <t>inference_tokens_per_day</t>
        </is>
      </c>
      <c r="E1449" s="3" t="n">
        <v>81680894035200</v>
      </c>
      <c r="F1449" s="3" t="inlineStr">
        <is>
          <t>generated output tokens/day</t>
        </is>
      </c>
      <c r="G1449" s="3" t="inlineStr">
        <is>
          <t>Derived headline metric</t>
        </is>
      </c>
      <c r="H1449" s="3" t="inlineStr">
        <is>
          <t>inference_gw * 1000 * tokens_per_second_per_mw * 86,400</t>
        </is>
      </c>
      <c r="I1449" s="3" t="inlineStr">
        <is>
          <t>Headline capacity uses no utilization, MoE, architecture or software-growth multiplier; it is not observed commercial output volume.</t>
        </is>
      </c>
      <c r="J1449" s="3" t="inlineStr">
        <is>
          <t>SRC_XAI_MODELS; SRC_XAI_NVIDIA_COLOSSUS; SRC_EPOCH_AI_DATA_CENTERS; SRC_SEMIANALYSIS_INFERENCEX</t>
        </is>
      </c>
      <c r="K1449" s="3" t="inlineStr">
        <is>
          <t>ASSUMP_CLUSTER_RAMP; ASSUMP_CLOSED_MODEL_BAND; ASSUMP_NUMERIC_ACCELERATOR_MIX; ASSUMP_INFERENCE_SHARE_NOT_FACT_60; ASSUMP_WORKLOAD_CLASS_MIX; ASSUMP_AGENTIC_CONTEXT_PENALTY</t>
        </is>
      </c>
      <c r="L1449" s="3" t="inlineStr">
        <is>
          <t>Provider-disclosed generated output token volume or calibrated capacity telemetry.</t>
        </is>
      </c>
    </row>
    <row r="1450">
      <c r="A1450" s="3" t="inlineStr">
        <is>
          <t>xAI</t>
        </is>
      </c>
      <c r="B1450" s="3" t="n">
        <v>2028</v>
      </c>
      <c r="C1450" s="3" t="inlineStr">
        <is>
          <t>Base</t>
        </is>
      </c>
      <c r="D1450" s="3" t="inlineStr">
        <is>
          <t>inference_tokens_per_year</t>
        </is>
      </c>
      <c r="E1450" s="3" t="n">
        <v>2.9813526322848e+16</v>
      </c>
      <c r="F1450" s="3" t="inlineStr">
        <is>
          <t>generated output tokens/year</t>
        </is>
      </c>
      <c r="G1450" s="3" t="inlineStr">
        <is>
          <t>Derived headline metric</t>
        </is>
      </c>
      <c r="H1450" s="3" t="inlineStr">
        <is>
          <t>inference_tokens_per_day * 365</t>
        </is>
      </c>
      <c r="I1450" s="3" t="inlineStr">
        <is>
          <t>Annualized version of generated output token capacity; it is not observed annual demand or billable volume.</t>
        </is>
      </c>
      <c r="J1450" s="3" t="inlineStr">
        <is>
          <t>SRC_XAI_MODELS; SRC_XAI_NVIDIA_COLOSSUS; SRC_EPOCH_AI_DATA_CENTERS; SRC_SEMIANALYSIS_INFERENCEX</t>
        </is>
      </c>
      <c r="K1450" s="3" t="inlineStr">
        <is>
          <t>ASSUMP_CLUSTER_RAMP; ASSUMP_CLOSED_MODEL_BAND; ASSUMP_NUMERIC_ACCELERATOR_MIX; ASSUMP_INFERENCE_SHARE_NOT_FACT_60; ASSUMP_WORKLOAD_CLASS_MIX; ASSUMP_AGENTIC_CONTEXT_PENALTY</t>
        </is>
      </c>
      <c r="L1450" s="3" t="inlineStr">
        <is>
          <t>Provider-disclosed annual generated-output volume or metered serving telemetry.</t>
        </is>
      </c>
    </row>
    <row r="1451">
      <c r="A1451" s="3" t="inlineStr">
        <is>
          <t>xAI</t>
        </is>
      </c>
      <c r="B1451" s="3" t="n">
        <v>2029</v>
      </c>
      <c r="C1451" s="3" t="inlineStr">
        <is>
          <t>Base</t>
        </is>
      </c>
      <c r="D1451" s="3" t="inlineStr">
        <is>
          <t>contracted_power_gw</t>
        </is>
      </c>
      <c r="E1451" s="3" t="n">
        <v>2.5</v>
      </c>
      <c r="F1451" s="3" t="inlineStr">
        <is>
          <t>GW</t>
        </is>
      </c>
      <c r="G1451" s="3" t="inlineStr">
        <is>
          <t>Fact anchor + scenario ceiling</t>
        </is>
      </c>
      <c r="H1451" s="3" t="inlineStr">
        <is>
          <t>linear interpolation between 2026 and 2030 company capacity endpoints</t>
        </is>
      </c>
      <c r="I1451" s="3" t="inlineStr">
        <is>
          <t>Colossus GPU-count disclosure bounds capacity direction; contracted GW values are modeled power envelopes.</t>
        </is>
      </c>
      <c r="J1451" s="3" t="inlineStr">
        <is>
          <t>SRC_XAI_NVIDIA_COLOSSUS; ASSUMP_CLUSTER_RAMP</t>
        </is>
      </c>
      <c r="K1451" s="3" t="inlineStr">
        <is>
          <t>ASSUMP_CLUSTER_RAMP; ASSUMP_CLOSED_MODEL_BAND; ASSUMP_NUMERIC_ACCELERATOR_MIX; ASSUMP_INFERENCE_SHARE_NOT_FACT_60; ASSUMP_WORKLOAD_CLASS_MIX; ASSUMP_AGENTIC_CONTEXT_PENALTY</t>
        </is>
      </c>
      <c r="L1451" s="3" t="inlineStr">
        <is>
          <t>Company/site-level committed MW/GW, interconnect and contract disclosure.</t>
        </is>
      </c>
    </row>
    <row r="1452">
      <c r="A1452" s="3" t="inlineStr">
        <is>
          <t>xAI</t>
        </is>
      </c>
      <c r="B1452" s="3" t="n">
        <v>2029</v>
      </c>
      <c r="C1452" s="3" t="inlineStr">
        <is>
          <t>Base</t>
        </is>
      </c>
      <c r="D1452" s="3" t="inlineStr">
        <is>
          <t>operational_deployment_share</t>
        </is>
      </c>
      <c r="E1452" s="3" t="n">
        <v>0.7848000000000001</v>
      </c>
      <c r="F1452" s="3" t="inlineStr">
        <is>
          <t>share</t>
        </is>
      </c>
      <c r="G1452" s="3" t="inlineStr">
        <is>
          <t>Scenario conversion</t>
        </is>
      </c>
      <c r="H1452" s="3" t="inlineStr">
        <is>
          <t>active_power_gw / contracted_power_gw</t>
        </is>
      </c>
      <c r="I1452" s="3" t="inlineStr">
        <is>
          <t>This is the single explicit conversion from contracted/attributed capacity to operationally usable capacity.</t>
        </is>
      </c>
      <c r="J1452" s="3" t="inlineStr">
        <is>
          <t>SRC_XAI_NVIDIA_COLOSSUS; ASSUMP_CLUSTER_RAMP</t>
        </is>
      </c>
      <c r="K1452" s="3" t="inlineStr">
        <is>
          <t>ASSUMP_CLUSTER_RAMP; ASSUMP_CLOSED_MODEL_BAND; ASSUMP_NUMERIC_ACCELERATOR_MIX; ASSUMP_INFERENCE_SHARE_NOT_FACT_60; ASSUMP_WORKLOAD_CLASS_MIX; ASSUMP_AGENTIC_CONTEXT_PENALTY</t>
        </is>
      </c>
      <c r="L1452" s="3" t="inlineStr">
        <is>
          <t>Energized operational capacity divided by contracted/attributed capacity.</t>
        </is>
      </c>
    </row>
    <row r="1453">
      <c r="A1453" s="3" t="inlineStr">
        <is>
          <t>xAI</t>
        </is>
      </c>
      <c r="B1453" s="3" t="n">
        <v>2029</v>
      </c>
      <c r="C1453" s="3" t="inlineStr">
        <is>
          <t>Base</t>
        </is>
      </c>
      <c r="D1453" s="3" t="inlineStr">
        <is>
          <t>active_power_gw</t>
        </is>
      </c>
      <c r="E1453" s="3" t="n">
        <v>1.962</v>
      </c>
      <c r="F1453" s="3" t="inlineStr">
        <is>
          <t>GW</t>
        </is>
      </c>
      <c r="G1453" s="3" t="inlineStr">
        <is>
          <t>Derived scenario</t>
        </is>
      </c>
      <c r="H1453" s="3" t="inlineStr">
        <is>
          <t>contracted_power_gw * operational_deployment_share</t>
        </is>
      </c>
      <c r="I1453" s="3" t="inlineStr">
        <is>
          <t>GPU cluster scale anchors operational possibility, while inference/training allocation and site power draw remain estimates.</t>
        </is>
      </c>
      <c r="J1453" s="3" t="inlineStr">
        <is>
          <t>SRC_XAI_NVIDIA_COLOSSUS; ASSUMP_CLUSTER_RAMP</t>
        </is>
      </c>
      <c r="K1453" s="3" t="inlineStr">
        <is>
          <t>ASSUMP_CLUSTER_RAMP; ASSUMP_CLOSED_MODEL_BAND; ASSUMP_NUMERIC_ACCELERATOR_MIX; ASSUMP_INFERENCE_SHARE_NOT_FACT_60; ASSUMP_WORKLOAD_CLASS_MIX; ASSUMP_AGENTIC_CONTEXT_PENALTY</t>
        </is>
      </c>
      <c r="L1453" s="3" t="inlineStr">
        <is>
          <t>Energization dates, accelerator deliveries and operational powered-rack telemetry.</t>
        </is>
      </c>
    </row>
    <row r="1454">
      <c r="A1454" s="3" t="inlineStr">
        <is>
          <t>xAI</t>
        </is>
      </c>
      <c r="B1454" s="3" t="n">
        <v>2029</v>
      </c>
      <c r="C1454" s="3" t="inlineStr">
        <is>
          <t>Base</t>
        </is>
      </c>
      <c r="D1454" s="3" t="inlineStr">
        <is>
          <t>pue</t>
        </is>
      </c>
      <c r="E1454" s="3" t="n">
        <v>1.22</v>
      </c>
      <c r="F1454" s="3" t="inlineStr">
        <is>
          <t>ratio</t>
        </is>
      </c>
      <c r="G1454" s="3" t="inlineStr">
        <is>
          <t>Scenario parameter</t>
        </is>
      </c>
      <c r="H1454" s="3" t="inlineStr">
        <is>
          <t>it_load_gw = active_power_gw / pue</t>
        </is>
      </c>
      <c r="I1454" s="3" t="inlineStr">
        <is>
          <t>No provider-wide site-level PUE is used as a disclosed fact; PUE represents facility-to-IT conversion within the scenario.</t>
        </is>
      </c>
      <c r="J1454" s="3" t="inlineStr">
        <is>
          <t>ASSUMP_POWER_RAMP</t>
        </is>
      </c>
      <c r="K1454" s="3" t="inlineStr">
        <is>
          <t>ASSUMP_CLUSTER_RAMP; ASSUMP_CLOSED_MODEL_BAND; ASSUMP_NUMERIC_ACCELERATOR_MIX; ASSUMP_INFERENCE_SHARE_NOT_FACT_60; ASSUMP_WORKLOAD_CLASS_MIX; ASSUMP_AGENTIC_CONTEXT_PENALTY</t>
        </is>
      </c>
      <c r="L1454" s="3" t="inlineStr">
        <is>
          <t>Site-level measured PUE matched to attributed AI capacity.</t>
        </is>
      </c>
    </row>
    <row r="1455">
      <c r="A1455" s="3" t="inlineStr">
        <is>
          <t>xAI</t>
        </is>
      </c>
      <c r="B1455" s="3" t="n">
        <v>2029</v>
      </c>
      <c r="C1455" s="3" t="inlineStr">
        <is>
          <t>Base</t>
        </is>
      </c>
      <c r="D1455" s="3" t="inlineStr">
        <is>
          <t>it_load_gw</t>
        </is>
      </c>
      <c r="E1455" s="3" t="n">
        <v>1.609</v>
      </c>
      <c r="F1455" s="3" t="inlineStr">
        <is>
          <t>GW</t>
        </is>
      </c>
      <c r="G1455" s="3" t="inlineStr">
        <is>
          <t>Derived formula</t>
        </is>
      </c>
      <c r="H1455" s="3" t="inlineStr">
        <is>
          <t>active_power_gw / pue</t>
        </is>
      </c>
      <c r="I1455" s="3" t="inlineStr">
        <is>
          <t>Facility power is converted to IT-deliverable power before attributing AI workloads.</t>
        </is>
      </c>
      <c r="J1455" s="3" t="inlineStr">
        <is>
          <t>SRC_XAI_NVIDIA_COLOSSUS; ASSUMP_CLUSTER_RAMP</t>
        </is>
      </c>
      <c r="K1455" s="3" t="inlineStr">
        <is>
          <t>ASSUMP_CLUSTER_RAMP; ASSUMP_CLOSED_MODEL_BAND; ASSUMP_NUMERIC_ACCELERATOR_MIX; ASSUMP_INFERENCE_SHARE_NOT_FACT_60; ASSUMP_WORKLOAD_CLASS_MIX; ASSUMP_AGENTIC_CONTEXT_PENALTY</t>
        </is>
      </c>
      <c r="L1455" s="3" t="inlineStr">
        <is>
          <t>Recompute once active power and PUE become site-observable.</t>
        </is>
      </c>
    </row>
    <row r="1456">
      <c r="A1456" s="3" t="inlineStr">
        <is>
          <t>xAI</t>
        </is>
      </c>
      <c r="B1456" s="3" t="n">
        <v>2029</v>
      </c>
      <c r="C1456" s="3" t="inlineStr">
        <is>
          <t>Base</t>
        </is>
      </c>
      <c r="D1456" s="3" t="inlineStr">
        <is>
          <t>ai_workload_share</t>
        </is>
      </c>
      <c r="E1456" s="3" t="n">
        <v>0.85</v>
      </c>
      <c r="F1456" s="3" t="inlineStr">
        <is>
          <t>share</t>
        </is>
      </c>
      <c r="G1456" s="3" t="inlineStr">
        <is>
          <t>Scenario allocation</t>
        </is>
      </c>
      <c r="H1456" s="3" t="inlineStr">
        <is>
          <t>ai_it_load_gw = it_load_gw * ai_workload_share</t>
        </is>
      </c>
      <c r="I1456" s="3" t="inlineStr">
        <is>
          <t>Colossus is AI-centric; 85% retains cooling/IT allocation boundary and non-serving AI work.</t>
        </is>
      </c>
      <c r="J1456" s="3" t="inlineStr">
        <is>
          <t>SRC_XAI_MODELS; SRC_XAI_NVIDIA_COLOSSUS; SRC_EPOCH_AI_DATA_CENTERS</t>
        </is>
      </c>
      <c r="K1456" s="3" t="inlineStr">
        <is>
          <t>ASSUMP_CLUSTER_RAMP; ASSUMP_CLOSED_MODEL_BAND; ASSUMP_NUMERIC_ACCELERATOR_MIX; ASSUMP_INFERENCE_SHARE_NOT_FACT_60; ASSUMP_WORKLOAD_CLASS_MIX; ASSUMP_AGENTIC_CONTEXT_PENALTY</t>
        </is>
      </c>
      <c r="L1456" s="3" t="inlineStr">
        <is>
          <t>Model-owner AI workload allocation or cluster scheduling telemetry.</t>
        </is>
      </c>
    </row>
    <row r="1457">
      <c r="A1457" s="3" t="inlineStr">
        <is>
          <t>xAI</t>
        </is>
      </c>
      <c r="B1457" s="3" t="n">
        <v>2029</v>
      </c>
      <c r="C1457" s="3" t="inlineStr">
        <is>
          <t>Base</t>
        </is>
      </c>
      <c r="D1457" s="3" t="inlineStr">
        <is>
          <t>ai_it_load_gw</t>
        </is>
      </c>
      <c r="E1457" s="3" t="n">
        <v>1.367</v>
      </c>
      <c r="F1457" s="3" t="inlineStr">
        <is>
          <t>GW</t>
        </is>
      </c>
      <c r="G1457" s="3" t="inlineStr">
        <is>
          <t>Derived formula</t>
        </is>
      </c>
      <c r="H1457" s="3" t="inlineStr">
        <is>
          <t>it_load_gw * ai_workload_share</t>
        </is>
      </c>
      <c r="I1457" s="3" t="inlineStr">
        <is>
          <t>Only the AI-attributed portion of IT load enters training/inference allocation.</t>
        </is>
      </c>
      <c r="J1457" s="3" t="inlineStr">
        <is>
          <t>SRC_XAI_MODELS; SRC_XAI_NVIDIA_COLOSSUS; SRC_EPOCH_AI_DATA_CENTERS</t>
        </is>
      </c>
      <c r="K1457" s="3" t="inlineStr">
        <is>
          <t>ASSUMP_CLUSTER_RAMP; ASSUMP_CLOSED_MODEL_BAND; ASSUMP_NUMERIC_ACCELERATOR_MIX; ASSUMP_INFERENCE_SHARE_NOT_FACT_60; ASSUMP_WORKLOAD_CLASS_MIX; ASSUMP_AGENTIC_CONTEXT_PENALTY</t>
        </is>
      </c>
      <c r="L1457" s="3" t="inlineStr">
        <is>
          <t>Recompute after ai_workload_share is replaced by telemetry.</t>
        </is>
      </c>
    </row>
    <row r="1458">
      <c r="A1458" s="3" t="inlineStr">
        <is>
          <t>xAI</t>
        </is>
      </c>
      <c r="B1458" s="3" t="n">
        <v>2029</v>
      </c>
      <c r="C1458" s="3" t="inlineStr">
        <is>
          <t>Base</t>
        </is>
      </c>
      <c r="D1458" s="3" t="inlineStr">
        <is>
          <t>gpu_share</t>
        </is>
      </c>
      <c r="E1458" s="3" t="n">
        <v>1</v>
      </c>
      <c r="F1458" s="3" t="inlineStr">
        <is>
          <t>share of inference-serving accelerator load</t>
        </is>
      </c>
      <c r="G1458" s="3" t="inlineStr">
        <is>
          <t>Numeric scenario</t>
        </is>
      </c>
      <c r="H1458" s="3" t="inlineStr">
        <is>
          <t>gpu_share interpolated from company 2026/2030 accelerator-mix endpoints</t>
        </is>
      </c>
      <c r="I1458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58" s="3" t="inlineStr">
        <is>
          <t>SRC_XAI_MODELS; SRC_XAI_NVIDIA_COLOSSUS; SRC_EPOCH_AI_DATA_CENTERS; ASSUMP_NUMERIC_ACCELERATOR_MIX</t>
        </is>
      </c>
      <c r="K1458" s="3" t="inlineStr">
        <is>
          <t>ASSUMP_CLUSTER_RAMP; ASSUMP_CLOSED_MODEL_BAND; ASSUMP_NUMERIC_ACCELERATOR_MIX; ASSUMP_INFERENCE_SHARE_NOT_FACT_60; ASSUMP_WORKLOAD_CLASS_MIX; ASSUMP_AGENTIC_CONTEXT_PENALTY</t>
        </is>
      </c>
      <c r="L1458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59">
      <c r="A1459" s="3" t="inlineStr">
        <is>
          <t>xAI</t>
        </is>
      </c>
      <c r="B1459" s="3" t="n">
        <v>2029</v>
      </c>
      <c r="C1459" s="3" t="inlineStr">
        <is>
          <t>Base</t>
        </is>
      </c>
      <c r="D1459" s="3" t="inlineStr">
        <is>
          <t>h200_share</t>
        </is>
      </c>
      <c r="E1459" s="3" t="n">
        <v>0</v>
      </c>
      <c r="F1459" s="3" t="inlineStr">
        <is>
          <t>share of inference-serving accelerator load</t>
        </is>
      </c>
      <c r="G1459" s="3" t="inlineStr">
        <is>
          <t>Editable numeric scenario</t>
        </is>
      </c>
      <c r="H1459" s="3" t="inlineStr">
        <is>
          <t>h200_share = gpu_share * default_gpu_generation_mix_h200</t>
        </is>
      </c>
      <c r="I1459" s="3" t="inlineStr">
        <is>
          <t>Default GPU-generation migration assumption; executive workbook allows later manual replacement by company/year/scenario.</t>
        </is>
      </c>
      <c r="J1459" s="3" t="inlineStr">
        <is>
          <t>SRC_SEMIANALYSIS_INFERENCEX; ASSUMP_NUMERIC_ACCELERATOR_MIX</t>
        </is>
      </c>
      <c r="K1459" s="3" t="inlineStr">
        <is>
          <t>ASSUMP_CLUSTER_RAMP; ASSUMP_CLOSED_MODEL_BAND; ASSUMP_NUMERIC_ACCELERATOR_MIX; ASSUMP_INFERENCE_SHARE_NOT_FACT_60; ASSUMP_WORKLOAD_CLASS_MIX; ASSUMP_AGENTIC_CONTEXT_PENALTY</t>
        </is>
      </c>
      <c r="L1459" s="3" t="inlineStr">
        <is>
          <t>Company fleet inventory, accelerator-hours or procurement/deployment records by GPU generation.</t>
        </is>
      </c>
    </row>
    <row r="1460">
      <c r="A1460" s="3" t="inlineStr">
        <is>
          <t>xAI</t>
        </is>
      </c>
      <c r="B1460" s="3" t="n">
        <v>2029</v>
      </c>
      <c r="C1460" s="3" t="inlineStr">
        <is>
          <t>Base</t>
        </is>
      </c>
      <c r="D1460" s="3" t="inlineStr">
        <is>
          <t>b200_share</t>
        </is>
      </c>
      <c r="E1460" s="3" t="n">
        <v>1</v>
      </c>
      <c r="F1460" s="3" t="inlineStr">
        <is>
          <t>share of inference-serving accelerator load</t>
        </is>
      </c>
      <c r="G1460" s="3" t="inlineStr">
        <is>
          <t>Editable numeric scenario</t>
        </is>
      </c>
      <c r="H1460" s="3" t="inlineStr">
        <is>
          <t>b200_share = gpu_share * default_gpu_generation_mix_b200</t>
        </is>
      </c>
      <c r="I1460" s="3" t="inlineStr">
        <is>
          <t>Default GPU-generation migration assumption; executive workbook allows later manual replacement by company/year/scenario.</t>
        </is>
      </c>
      <c r="J1460" s="3" t="inlineStr">
        <is>
          <t>SRC_SEMIANALYSIS_INFERENCEX; ASSUMP_NUMERIC_ACCELERATOR_MIX</t>
        </is>
      </c>
      <c r="K1460" s="3" t="inlineStr">
        <is>
          <t>ASSUMP_CLUSTER_RAMP; ASSUMP_CLOSED_MODEL_BAND; ASSUMP_NUMERIC_ACCELERATOR_MIX; ASSUMP_INFERENCE_SHARE_NOT_FACT_60; ASSUMP_WORKLOAD_CLASS_MIX; ASSUMP_AGENTIC_CONTEXT_PENALTY</t>
        </is>
      </c>
      <c r="L1460" s="3" t="inlineStr">
        <is>
          <t>Company fleet inventory, accelerator-hours or procurement/deployment records by GPU generation.</t>
        </is>
      </c>
    </row>
    <row r="1461">
      <c r="A1461" s="3" t="inlineStr">
        <is>
          <t>xAI</t>
        </is>
      </c>
      <c r="B1461" s="3" t="n">
        <v>2029</v>
      </c>
      <c r="C1461" s="3" t="inlineStr">
        <is>
          <t>Base</t>
        </is>
      </c>
      <c r="D1461" s="3" t="inlineStr">
        <is>
          <t>gb200_share</t>
        </is>
      </c>
      <c r="E1461" s="3" t="n">
        <v>0</v>
      </c>
      <c r="F1461" s="3" t="inlineStr">
        <is>
          <t>share of inference-serving accelerator load</t>
        </is>
      </c>
      <c r="G1461" s="3" t="inlineStr">
        <is>
          <t>Editable numeric scenario</t>
        </is>
      </c>
      <c r="H1461" s="3" t="inlineStr">
        <is>
          <t>gb200_share = gpu_share * default_gpu_generation_mix_gb200</t>
        </is>
      </c>
      <c r="I1461" s="3" t="inlineStr">
        <is>
          <t>Default GPU-generation migration assumption; executive workbook allows later manual replacement by company/year/scenario.</t>
        </is>
      </c>
      <c r="J1461" s="3" t="inlineStr">
        <is>
          <t>SRC_SEMIANALYSIS_INFERENCEX; ASSUMP_NUMERIC_ACCELERATOR_MIX</t>
        </is>
      </c>
      <c r="K1461" s="3" t="inlineStr">
        <is>
          <t>ASSUMP_CLUSTER_RAMP; ASSUMP_CLOSED_MODEL_BAND; ASSUMP_NUMERIC_ACCELERATOR_MIX; ASSUMP_INFERENCE_SHARE_NOT_FACT_60; ASSUMP_WORKLOAD_CLASS_MIX; ASSUMP_AGENTIC_CONTEXT_PENALTY</t>
        </is>
      </c>
      <c r="L1461" s="3" t="inlineStr">
        <is>
          <t>Company fleet inventory, accelerator-hours or procurement/deployment records by GPU generation.</t>
        </is>
      </c>
    </row>
    <row r="1462">
      <c r="A1462" s="3" t="inlineStr">
        <is>
          <t>xAI</t>
        </is>
      </c>
      <c r="B1462" s="3" t="n">
        <v>2029</v>
      </c>
      <c r="C1462" s="3" t="inlineStr">
        <is>
          <t>Base</t>
        </is>
      </c>
      <c r="D1462" s="3" t="inlineStr">
        <is>
          <t>purpose_built_accelerator_share</t>
        </is>
      </c>
      <c r="E1462" s="3" t="n">
        <v>0</v>
      </c>
      <c r="F1462" s="3" t="inlineStr">
        <is>
          <t>share of inference-serving accelerator load</t>
        </is>
      </c>
      <c r="G1462" s="3" t="inlineStr">
        <is>
          <t>Numeric scenario</t>
        </is>
      </c>
      <c r="H1462" s="3" t="inlineStr">
        <is>
          <t>1 - gpu_share</t>
        </is>
      </c>
      <c r="I1462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62" s="3" t="inlineStr">
        <is>
          <t>SRC_XAI_MODELS; SRC_XAI_NVIDIA_COLOSSUS; SRC_EPOCH_AI_DATA_CENTERS; ASSUMP_NUMERIC_ACCELERATOR_MIX</t>
        </is>
      </c>
      <c r="K1462" s="3" t="inlineStr">
        <is>
          <t>ASSUMP_CLUSTER_RAMP; ASSUMP_CLOSED_MODEL_BAND; ASSUMP_NUMERIC_ACCELERATOR_MIX; ASSUMP_INFERENCE_SHARE_NOT_FACT_60; ASSUMP_WORKLOAD_CLASS_MIX; ASSUMP_AGENTIC_CONTEXT_PENALTY</t>
        </is>
      </c>
      <c r="L1462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63">
      <c r="A1463" s="3" t="inlineStr">
        <is>
          <t>xAI</t>
        </is>
      </c>
      <c r="B1463" s="3" t="n">
        <v>2029</v>
      </c>
      <c r="C1463" s="3" t="inlineStr">
        <is>
          <t>Base</t>
        </is>
      </c>
      <c r="D1463" s="3" t="inlineStr">
        <is>
          <t>fleet_reference_tps_per_mw</t>
        </is>
      </c>
      <c r="E1463" s="3" t="n">
        <v>3010288</v>
      </c>
      <c r="F1463" s="3" t="inlineStr">
        <is>
          <t>generated output tokens/sec/MW</t>
        </is>
      </c>
      <c r="G1463" s="3" t="inlineStr">
        <is>
          <t>Fleet-weighted public benchmark reference</t>
        </is>
      </c>
      <c r="H1463" s="3" t="inlineStr">
        <is>
          <t>h200_share*h200_workload_avg + b200_share*b200_workload_avg + gb200_share*gb200_workload_avg + purpose_built_share*purpose_workload_avg</t>
        </is>
      </c>
      <c r="I146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63" s="3" t="inlineStr">
        <is>
          <t>SRC_SEMIANALYSIS_INFERENCEX; ASSUMP_NUMERIC_ACCELERATOR_MIX; ASSUMP_WORKLOAD_CLASS_MIX; ASSUMP_AGENTIC_CONTEXT_PENALTY</t>
        </is>
      </c>
      <c r="K1463" s="3" t="inlineStr">
        <is>
          <t>ASSUMP_CLUSTER_RAMP; ASSUMP_CLOSED_MODEL_BAND; ASSUMP_NUMERIC_ACCELERATOR_MIX; ASSUMP_INFERENCE_SHARE_NOT_FACT_60; ASSUMP_WORKLOAD_CLASS_MIX; ASSUMP_AGENTIC_CONTEXT_PENALTY</t>
        </is>
      </c>
      <c r="L1463" s="3" t="inlineStr">
        <is>
          <t>Comparable production output-token throughput or a more closely matched benchmark.</t>
        </is>
      </c>
    </row>
    <row r="1464">
      <c r="A1464" s="3" t="inlineStr">
        <is>
          <t>xAI</t>
        </is>
      </c>
      <c r="B1464" s="3" t="n">
        <v>2029</v>
      </c>
      <c r="C1464" s="3" t="inlineStr">
        <is>
          <t>Base</t>
        </is>
      </c>
      <c r="D1464" s="3" t="inlineStr">
        <is>
          <t>commercial_workload_fit_factor</t>
        </is>
      </c>
      <c r="E1464" s="3" t="n">
        <v>0.55</v>
      </c>
      <c r="F1464" s="3" t="inlineStr">
        <is>
          <t>share of public reference throughput</t>
        </is>
      </c>
      <c r="G1464" s="3" t="inlineStr">
        <is>
          <t>Scenario assumption</t>
        </is>
      </c>
      <c r="H1464" s="3" t="inlineStr">
        <is>
          <t>reference_serving_tps_per_mw = fleet_reference_tps_per_mw * commercial_workload_fit_factor</t>
        </is>
      </c>
      <c r="I146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64" s="3" t="inlineStr">
        <is>
          <t>SRC_SEMIANALYSIS_INFERENCEX; ASSUMP_NUMERIC_ACCELERATOR_MIX; ASSUMP_WORKLOAD_CLASS_MIX; ASSUMP_AGENTIC_CONTEXT_PENALTY</t>
        </is>
      </c>
      <c r="K1464" s="3" t="inlineStr">
        <is>
          <t>ASSUMP_CLUSTER_RAMP; ASSUMP_CLOSED_MODEL_BAND; ASSUMP_NUMERIC_ACCELERATOR_MIX; ASSUMP_INFERENCE_SHARE_NOT_FACT_60; ASSUMP_WORKLOAD_CLASS_MIX; ASSUMP_AGENTIC_CONTEXT_PENALTY</t>
        </is>
      </c>
      <c r="L1464" s="3" t="inlineStr">
        <is>
          <t>Matched commercial serving benchmark by product surface, context shape and latency SLO.</t>
        </is>
      </c>
    </row>
    <row r="1465">
      <c r="A1465" s="3" t="inlineStr">
        <is>
          <t>xAI</t>
        </is>
      </c>
      <c r="B1465" s="3" t="n">
        <v>2029</v>
      </c>
      <c r="C1465" s="3" t="inlineStr">
        <is>
          <t>Base</t>
        </is>
      </c>
      <c r="D1465" s="3" t="inlineStr">
        <is>
          <t>reference_serving_tps_per_mw</t>
        </is>
      </c>
      <c r="E1465" s="3" t="n">
        <v>1655658</v>
      </c>
      <c r="F1465" s="3" t="inlineStr">
        <is>
          <t>generated output tokens/sec/MW</t>
        </is>
      </c>
      <c r="G1465" s="3" t="inlineStr">
        <is>
          <t>Workload-adjusted benchmark proxy</t>
        </is>
      </c>
      <c r="H1465" s="3" t="inlineStr">
        <is>
          <t>fleet_reference_tps_per_mw * commercial_workload_fit_factor</t>
        </is>
      </c>
      <c r="I1465" s="3" t="inlineStr">
        <is>
          <t>This is the coefficient used for headline token generation; each GPU's short chat, long chat and agentic TPS/MW are weighted before fleet mix and commercial fit are applied.</t>
        </is>
      </c>
      <c r="J1465" s="3" t="inlineStr">
        <is>
          <t>SRC_SEMIANALYSIS_INFERENCEX; ASSUMP_NUMERIC_ACCELERATOR_MIX; ASSUMP_WORKLOAD_CLASS_MIX; ASSUMP_AGENTIC_CONTEXT_PENALTY</t>
        </is>
      </c>
      <c r="K1465" s="3" t="inlineStr">
        <is>
          <t>ASSUMP_CLUSTER_RAMP; ASSUMP_CLOSED_MODEL_BAND; ASSUMP_NUMERIC_ACCELERATOR_MIX; ASSUMP_INFERENCE_SHARE_NOT_FACT_60; ASSUMP_WORKLOAD_CLASS_MIX; ASSUMP_AGENTIC_CONTEXT_PENALTY</t>
        </is>
      </c>
      <c r="L1465" s="3" t="inlineStr">
        <is>
          <t>Provider production output-token throughput with comparable workload/SLO.</t>
        </is>
      </c>
    </row>
    <row r="1466">
      <c r="A1466" s="3" t="inlineStr">
        <is>
          <t>xAI</t>
        </is>
      </c>
      <c r="B1466" s="3" t="n">
        <v>2029</v>
      </c>
      <c r="C1466" s="3" t="inlineStr">
        <is>
          <t>Base</t>
        </is>
      </c>
      <c r="D1466" s="3" t="inlineStr">
        <is>
          <t>purpose_built_tps_per_mw</t>
        </is>
      </c>
      <c r="E1466" s="3" t="n">
        <v>2484332</v>
      </c>
      <c r="F1466" s="3" t="inlineStr">
        <is>
          <t>generated output tokens/sec/MW</t>
        </is>
      </c>
      <c r="G1466" s="3" t="inlineStr">
        <is>
          <t>Conservative no-uplift proxy</t>
        </is>
      </c>
      <c r="H1466" s="3" t="inlineStr">
        <is>
          <t>purpose_built_tps_per_mw = purpose_built_reference_tps_per_mw * commercial_workload_fit_factor until comparable output-token benchmark is adopted</t>
        </is>
      </c>
      <c r="I1466" s="3" t="inlineStr">
        <is>
          <t>No comparable public output-token/MW row adopted; B200 public reference placeholder is used and remains editable.</t>
        </is>
      </c>
      <c r="J1466" s="3" t="inlineStr">
        <is>
          <t>SRC_XAI_MODELS; SRC_XAI_NVIDIA_COLOSSUS; SRC_EPOCH_AI_DATA_CENTERS; ASSUMP_NUMERIC_ACCELERATOR_MIX</t>
        </is>
      </c>
      <c r="K1466" s="3" t="inlineStr">
        <is>
          <t>ASSUMP_CLUSTER_RAMP; ASSUMP_CLOSED_MODEL_BAND; ASSUMP_NUMERIC_ACCELERATOR_MIX; ASSUMP_INFERENCE_SHARE_NOT_FACT_60; ASSUMP_WORKLOAD_CLASS_MIX; ASSUMP_AGENTIC_CONTEXT_PENALTY</t>
        </is>
      </c>
      <c r="L1466" s="3" t="inlineStr">
        <is>
          <t>Matched-workload generated-output benchmark for the provider purpose-built accelerator.</t>
        </is>
      </c>
    </row>
    <row r="1467">
      <c r="A1467" s="3" t="inlineStr">
        <is>
          <t>xAI</t>
        </is>
      </c>
      <c r="B1467" s="3" t="n">
        <v>2029</v>
      </c>
      <c r="C1467" s="3" t="inlineStr">
        <is>
          <t>Base</t>
        </is>
      </c>
      <c r="D1467" s="3" t="inlineStr">
        <is>
          <t>inference_power_share</t>
        </is>
      </c>
      <c r="E1467" s="3" t="n">
        <v>0.637</v>
      </c>
      <c r="F1467" s="3" t="inlineStr">
        <is>
          <t>share of AI IT load</t>
        </is>
      </c>
      <c r="G1467" s="3" t="inlineStr">
        <is>
          <t>Scenario allocation</t>
        </is>
      </c>
      <c r="H1467" s="3" t="inlineStr">
        <is>
          <t>inference_gw = ai_it_load_gw * inference_power_share</t>
        </is>
      </c>
      <c r="I1467" s="3" t="inlineStr">
        <is>
          <t>Grok product expansion is modeled to shift capacity toward inference after initial training-heavy operation.</t>
        </is>
      </c>
      <c r="J1467" s="3" t="inlineStr">
        <is>
          <t>SRC_XAI_MODELS; SRC_XAI_NVIDIA_COLOSSUS; SRC_EPOCH_AI_DATA_CENTERS; ASSUMP_INFERENCE_SHARE_NOT_FACT_60</t>
        </is>
      </c>
      <c r="K1467" s="3" t="inlineStr">
        <is>
          <t>ASSUMP_CLUSTER_RAMP; ASSUMP_CLOSED_MODEL_BAND; ASSUMP_NUMERIC_ACCELERATOR_MIX; ASSUMP_INFERENCE_SHARE_NOT_FACT_60; ASSUMP_WORKLOAD_CLASS_MIX; ASSUMP_AGENTIC_CONTEXT_PENALTY</t>
        </is>
      </c>
      <c r="L1467" s="3" t="inlineStr">
        <is>
          <t>Provider-specific inference/training workload power telemetry.</t>
        </is>
      </c>
    </row>
    <row r="1468">
      <c r="A1468" s="3" t="inlineStr">
        <is>
          <t>xAI</t>
        </is>
      </c>
      <c r="B1468" s="3" t="n">
        <v>2029</v>
      </c>
      <c r="C1468" s="3" t="inlineStr">
        <is>
          <t>Base</t>
        </is>
      </c>
      <c r="D1468" s="3" t="inlineStr">
        <is>
          <t>inference_gw</t>
        </is>
      </c>
      <c r="E1468" s="3" t="n">
        <v>0.872</v>
      </c>
      <c r="F1468" s="3" t="inlineStr">
        <is>
          <t>GW</t>
        </is>
      </c>
      <c r="G1468" s="3" t="inlineStr">
        <is>
          <t>Derived formula</t>
        </is>
      </c>
      <c r="H1468" s="3" t="inlineStr">
        <is>
          <t>ai_it_load_gw * inference_power_share</t>
        </is>
      </c>
      <c r="I1468" s="3" t="inlineStr">
        <is>
          <t>This is the operational power eligible to become commercial generated output tokens through the selected TPS/MW proxy.</t>
        </is>
      </c>
      <c r="J1468" s="3" t="inlineStr">
        <is>
          <t>SRC_XAI_MODELS; SRC_XAI_NVIDIA_COLOSSUS; SRC_EPOCH_AI_DATA_CENTERS</t>
        </is>
      </c>
      <c r="K1468" s="3" t="inlineStr">
        <is>
          <t>ASSUMP_CLUSTER_RAMP; ASSUMP_CLOSED_MODEL_BAND; ASSUMP_NUMERIC_ACCELERATOR_MIX; ASSUMP_INFERENCE_SHARE_NOT_FACT_60; ASSUMP_WORKLOAD_CLASS_MIX; ASSUMP_AGENTIC_CONTEXT_PENALTY</t>
        </is>
      </c>
      <c r="L1468" s="3" t="inlineStr">
        <is>
          <t>Recompute after AI allocation or inference-share evidence changes.</t>
        </is>
      </c>
    </row>
    <row r="1469">
      <c r="A1469" s="3" t="inlineStr">
        <is>
          <t>xAI</t>
        </is>
      </c>
      <c r="B1469" s="3" t="n">
        <v>2029</v>
      </c>
      <c r="C1469" s="3" t="inlineStr">
        <is>
          <t>Base</t>
        </is>
      </c>
      <c r="D1469" s="3" t="inlineStr">
        <is>
          <t>training_power_share</t>
        </is>
      </c>
      <c r="E1469" s="3" t="n">
        <v>0.363</v>
      </c>
      <c r="F1469" s="3" t="inlineStr">
        <is>
          <t>share of AI IT load</t>
        </is>
      </c>
      <c r="G1469" s="3" t="inlineStr">
        <is>
          <t>Derived allocation</t>
        </is>
      </c>
      <c r="H1469" s="3" t="inlineStr">
        <is>
          <t>1 - inference_power_share</t>
        </is>
      </c>
      <c r="I1469" s="3" t="inlineStr">
        <is>
          <t>Training receives the complementary modeled AI IT allocation; it is not a disclosed company workload split.</t>
        </is>
      </c>
      <c r="J1469" s="3" t="inlineStr">
        <is>
          <t>SRC_XAI_MODELS; SRC_XAI_NVIDIA_COLOSSUS; SRC_EPOCH_AI_DATA_CENTERS; ASSUMP_INFERENCE_SHARE_NOT_FACT_60</t>
        </is>
      </c>
      <c r="K1469" s="3" t="inlineStr">
        <is>
          <t>ASSUMP_CLUSTER_RAMP; ASSUMP_CLOSED_MODEL_BAND; ASSUMP_NUMERIC_ACCELERATOR_MIX; ASSUMP_INFERENCE_SHARE_NOT_FACT_60; ASSUMP_WORKLOAD_CLASS_MIX; ASSUMP_AGENTIC_CONTEXT_PENALTY</t>
        </is>
      </c>
      <c r="L1469" s="3" t="inlineStr">
        <is>
          <t>Provider-specific inference/training workload power telemetry.</t>
        </is>
      </c>
    </row>
    <row r="1470">
      <c r="A1470" s="3" t="inlineStr">
        <is>
          <t>xAI</t>
        </is>
      </c>
      <c r="B1470" s="3" t="n">
        <v>2029</v>
      </c>
      <c r="C1470" s="3" t="inlineStr">
        <is>
          <t>Base</t>
        </is>
      </c>
      <c r="D1470" s="3" t="inlineStr">
        <is>
          <t>training_gw</t>
        </is>
      </c>
      <c r="E1470" s="3" t="n">
        <v>0.496</v>
      </c>
      <c r="F1470" s="3" t="inlineStr">
        <is>
          <t>GW</t>
        </is>
      </c>
      <c r="G1470" s="3" t="inlineStr">
        <is>
          <t>Derived formula</t>
        </is>
      </c>
      <c r="H1470" s="3" t="inlineStr">
        <is>
          <t>ai_it_load_gw * training_power_share</t>
        </is>
      </c>
      <c r="I1470" s="3" t="inlineStr">
        <is>
          <t>Training GW is shown separately so commercial inference token capacity is not overstated.</t>
        </is>
      </c>
      <c r="J1470" s="3" t="inlineStr">
        <is>
          <t>SRC_XAI_MODELS; SRC_XAI_NVIDIA_COLOSSUS; SRC_EPOCH_AI_DATA_CENTERS</t>
        </is>
      </c>
      <c r="K1470" s="3" t="inlineStr">
        <is>
          <t>ASSUMP_CLUSTER_RAMP; ASSUMP_CLOSED_MODEL_BAND; ASSUMP_NUMERIC_ACCELERATOR_MIX; ASSUMP_INFERENCE_SHARE_NOT_FACT_60; ASSUMP_WORKLOAD_CLASS_MIX; ASSUMP_AGENTIC_CONTEXT_PENALTY</t>
        </is>
      </c>
      <c r="L1470" s="3" t="inlineStr">
        <is>
          <t>Recompute after AI allocation or workload-split evidence changes.</t>
        </is>
      </c>
    </row>
    <row r="1471">
      <c r="A1471" s="3" t="inlineStr">
        <is>
          <t>xAI</t>
        </is>
      </c>
      <c r="B1471" s="3" t="n">
        <v>2029</v>
      </c>
      <c r="C1471" s="3" t="inlineStr">
        <is>
          <t>Base</t>
        </is>
      </c>
      <c r="D1471" s="3" t="inlineStr">
        <is>
          <t>tokens_per_second_per_mw</t>
        </is>
      </c>
      <c r="E1471" s="3" t="n">
        <v>1655658</v>
      </c>
      <c r="F1471" s="3" t="inlineStr">
        <is>
          <t>generated output tokens/sec/MW</t>
        </is>
      </c>
      <c r="G1471" s="3" t="inlineStr">
        <is>
          <t>Derived estimate + benchmark calibration</t>
        </is>
      </c>
      <c r="H1471" s="3" t="inlineStr">
        <is>
          <t>fleet_reference_tps_per_mw * commercial_workload_fit_factor</t>
        </is>
      </c>
      <c r="I147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71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71" s="3" t="inlineStr">
        <is>
          <t>ASSUMP_CLUSTER_RAMP; ASSUMP_CLOSED_MODEL_BAND; ASSUMP_NUMERIC_ACCELERATOR_MIX; ASSUMP_INFERENCE_SHARE_NOT_FACT_60; ASSUMP_WORKLOAD_CLASS_MIX; ASSUMP_AGENTIC_CONTEXT_PENALTY</t>
        </is>
      </c>
      <c r="L1471" s="3" t="inlineStr">
        <is>
          <t>Comparable production output-token throughput with model, hardware, precision, ISL/OSL and SLO matched.</t>
        </is>
      </c>
    </row>
    <row r="1472">
      <c r="A1472" s="3" t="inlineStr">
        <is>
          <t>xAI</t>
        </is>
      </c>
      <c r="B1472" s="3" t="n">
        <v>2029</v>
      </c>
      <c r="C1472" s="3" t="inlineStr">
        <is>
          <t>Base</t>
        </is>
      </c>
      <c r="D1472" s="3" t="inlineStr">
        <is>
          <t>inference_tokens_per_day</t>
        </is>
      </c>
      <c r="E1472" s="3" t="n">
        <v>124738598246400</v>
      </c>
      <c r="F1472" s="3" t="inlineStr">
        <is>
          <t>generated output tokens/day</t>
        </is>
      </c>
      <c r="G1472" s="3" t="inlineStr">
        <is>
          <t>Derived headline metric</t>
        </is>
      </c>
      <c r="H1472" s="3" t="inlineStr">
        <is>
          <t>inference_gw * 1000 * tokens_per_second_per_mw * 86,400</t>
        </is>
      </c>
      <c r="I1472" s="3" t="inlineStr">
        <is>
          <t>Headline capacity uses no utilization, MoE, architecture or software-growth multiplier; it is not observed commercial output volume.</t>
        </is>
      </c>
      <c r="J1472" s="3" t="inlineStr">
        <is>
          <t>SRC_XAI_MODELS; SRC_XAI_NVIDIA_COLOSSUS; SRC_EPOCH_AI_DATA_CENTERS; SRC_SEMIANALYSIS_INFERENCEX</t>
        </is>
      </c>
      <c r="K1472" s="3" t="inlineStr">
        <is>
          <t>ASSUMP_CLUSTER_RAMP; ASSUMP_CLOSED_MODEL_BAND; ASSUMP_NUMERIC_ACCELERATOR_MIX; ASSUMP_INFERENCE_SHARE_NOT_FACT_60; ASSUMP_WORKLOAD_CLASS_MIX; ASSUMP_AGENTIC_CONTEXT_PENALTY</t>
        </is>
      </c>
      <c r="L1472" s="3" t="inlineStr">
        <is>
          <t>Provider-disclosed generated output token volume or calibrated capacity telemetry.</t>
        </is>
      </c>
    </row>
    <row r="1473">
      <c r="A1473" s="3" t="inlineStr">
        <is>
          <t>xAI</t>
        </is>
      </c>
      <c r="B1473" s="3" t="n">
        <v>2029</v>
      </c>
      <c r="C1473" s="3" t="inlineStr">
        <is>
          <t>Base</t>
        </is>
      </c>
      <c r="D1473" s="3" t="inlineStr">
        <is>
          <t>inference_tokens_per_year</t>
        </is>
      </c>
      <c r="E1473" s="3" t="n">
        <v>4.5529588359936e+16</v>
      </c>
      <c r="F1473" s="3" t="inlineStr">
        <is>
          <t>generated output tokens/year</t>
        </is>
      </c>
      <c r="G1473" s="3" t="inlineStr">
        <is>
          <t>Derived headline metric</t>
        </is>
      </c>
      <c r="H1473" s="3" t="inlineStr">
        <is>
          <t>inference_tokens_per_day * 365</t>
        </is>
      </c>
      <c r="I1473" s="3" t="inlineStr">
        <is>
          <t>Annualized version of generated output token capacity; it is not observed annual demand or billable volume.</t>
        </is>
      </c>
      <c r="J1473" s="3" t="inlineStr">
        <is>
          <t>SRC_XAI_MODELS; SRC_XAI_NVIDIA_COLOSSUS; SRC_EPOCH_AI_DATA_CENTERS; SRC_SEMIANALYSIS_INFERENCEX</t>
        </is>
      </c>
      <c r="K1473" s="3" t="inlineStr">
        <is>
          <t>ASSUMP_CLUSTER_RAMP; ASSUMP_CLOSED_MODEL_BAND; ASSUMP_NUMERIC_ACCELERATOR_MIX; ASSUMP_INFERENCE_SHARE_NOT_FACT_60; ASSUMP_WORKLOAD_CLASS_MIX; ASSUMP_AGENTIC_CONTEXT_PENALTY</t>
        </is>
      </c>
      <c r="L1473" s="3" t="inlineStr">
        <is>
          <t>Provider-disclosed annual generated-output volume or metered serving telemetry.</t>
        </is>
      </c>
    </row>
    <row r="1474">
      <c r="A1474" s="3" t="inlineStr">
        <is>
          <t>xAI</t>
        </is>
      </c>
      <c r="B1474" s="3" t="n">
        <v>2030</v>
      </c>
      <c r="C1474" s="3" t="inlineStr">
        <is>
          <t>Base</t>
        </is>
      </c>
      <c r="D1474" s="3" t="inlineStr">
        <is>
          <t>contracted_power_gw</t>
        </is>
      </c>
      <c r="E1474" s="3" t="n">
        <v>3</v>
      </c>
      <c r="F1474" s="3" t="inlineStr">
        <is>
          <t>GW</t>
        </is>
      </c>
      <c r="G1474" s="3" t="inlineStr">
        <is>
          <t>Fact anchor + scenario ceiling</t>
        </is>
      </c>
      <c r="H1474" s="3" t="inlineStr">
        <is>
          <t>linear interpolation between 2026 and 2030 company capacity endpoints</t>
        </is>
      </c>
      <c r="I1474" s="3" t="inlineStr">
        <is>
          <t>Colossus GPU-count disclosure bounds capacity direction; contracted GW values are modeled power envelopes.</t>
        </is>
      </c>
      <c r="J1474" s="3" t="inlineStr">
        <is>
          <t>SRC_XAI_NVIDIA_COLOSSUS; ASSUMP_CLUSTER_RAMP</t>
        </is>
      </c>
      <c r="K1474" s="3" t="inlineStr">
        <is>
          <t>ASSUMP_CLUSTER_RAMP; ASSUMP_CLOSED_MODEL_BAND; ASSUMP_NUMERIC_ACCELERATOR_MIX; ASSUMP_INFERENCE_SHARE_NOT_FACT_60; ASSUMP_WORKLOAD_CLASS_MIX; ASSUMP_AGENTIC_CONTEXT_PENALTY</t>
        </is>
      </c>
      <c r="L1474" s="3" t="inlineStr">
        <is>
          <t>Company/site-level committed MW/GW, interconnect and contract disclosure.</t>
        </is>
      </c>
    </row>
    <row r="1475">
      <c r="A1475" s="3" t="inlineStr">
        <is>
          <t>xAI</t>
        </is>
      </c>
      <c r="B1475" s="3" t="n">
        <v>2030</v>
      </c>
      <c r="C1475" s="3" t="inlineStr">
        <is>
          <t>Base</t>
        </is>
      </c>
      <c r="D1475" s="3" t="inlineStr">
        <is>
          <t>operational_deployment_share</t>
        </is>
      </c>
      <c r="E1475" s="3" t="n">
        <v>0.83333333</v>
      </c>
      <c r="F1475" s="3" t="inlineStr">
        <is>
          <t>share</t>
        </is>
      </c>
      <c r="G1475" s="3" t="inlineStr">
        <is>
          <t>Scenario conversion</t>
        </is>
      </c>
      <c r="H1475" s="3" t="inlineStr">
        <is>
          <t>active_power_gw / contracted_power_gw</t>
        </is>
      </c>
      <c r="I1475" s="3" t="inlineStr">
        <is>
          <t>This is the single explicit conversion from contracted/attributed capacity to operationally usable capacity.</t>
        </is>
      </c>
      <c r="J1475" s="3" t="inlineStr">
        <is>
          <t>SRC_XAI_NVIDIA_COLOSSUS; ASSUMP_CLUSTER_RAMP</t>
        </is>
      </c>
      <c r="K1475" s="3" t="inlineStr">
        <is>
          <t>ASSUMP_CLUSTER_RAMP; ASSUMP_CLOSED_MODEL_BAND; ASSUMP_NUMERIC_ACCELERATOR_MIX; ASSUMP_INFERENCE_SHARE_NOT_FACT_60; ASSUMP_WORKLOAD_CLASS_MIX; ASSUMP_AGENTIC_CONTEXT_PENALTY</t>
        </is>
      </c>
      <c r="L1475" s="3" t="inlineStr">
        <is>
          <t>Energized operational capacity divided by contracted/attributed capacity.</t>
        </is>
      </c>
    </row>
    <row r="1476">
      <c r="A1476" s="3" t="inlineStr">
        <is>
          <t>xAI</t>
        </is>
      </c>
      <c r="B1476" s="3" t="n">
        <v>2030</v>
      </c>
      <c r="C1476" s="3" t="inlineStr">
        <is>
          <t>Base</t>
        </is>
      </c>
      <c r="D1476" s="3" t="inlineStr">
        <is>
          <t>active_power_gw</t>
        </is>
      </c>
      <c r="E1476" s="3" t="n">
        <v>2.5</v>
      </c>
      <c r="F1476" s="3" t="inlineStr">
        <is>
          <t>GW</t>
        </is>
      </c>
      <c r="G1476" s="3" t="inlineStr">
        <is>
          <t>Derived scenario</t>
        </is>
      </c>
      <c r="H1476" s="3" t="inlineStr">
        <is>
          <t>contracted_power_gw * operational_deployment_share</t>
        </is>
      </c>
      <c r="I1476" s="3" t="inlineStr">
        <is>
          <t>GPU cluster scale anchors operational possibility, while inference/training allocation and site power draw remain estimates.</t>
        </is>
      </c>
      <c r="J1476" s="3" t="inlineStr">
        <is>
          <t>SRC_XAI_NVIDIA_COLOSSUS; ASSUMP_CLUSTER_RAMP</t>
        </is>
      </c>
      <c r="K1476" s="3" t="inlineStr">
        <is>
          <t>ASSUMP_CLUSTER_RAMP; ASSUMP_CLOSED_MODEL_BAND; ASSUMP_NUMERIC_ACCELERATOR_MIX; ASSUMP_INFERENCE_SHARE_NOT_FACT_60; ASSUMP_WORKLOAD_CLASS_MIX; ASSUMP_AGENTIC_CONTEXT_PENALTY</t>
        </is>
      </c>
      <c r="L1476" s="3" t="inlineStr">
        <is>
          <t>Energization dates, accelerator deliveries and operational powered-rack telemetry.</t>
        </is>
      </c>
    </row>
    <row r="1477">
      <c r="A1477" s="3" t="inlineStr">
        <is>
          <t>xAI</t>
        </is>
      </c>
      <c r="B1477" s="3" t="n">
        <v>2030</v>
      </c>
      <c r="C1477" s="3" t="inlineStr">
        <is>
          <t>Base</t>
        </is>
      </c>
      <c r="D1477" s="3" t="inlineStr">
        <is>
          <t>pue</t>
        </is>
      </c>
      <c r="E1477" s="3" t="n">
        <v>1.22</v>
      </c>
      <c r="F1477" s="3" t="inlineStr">
        <is>
          <t>ratio</t>
        </is>
      </c>
      <c r="G1477" s="3" t="inlineStr">
        <is>
          <t>Scenario parameter</t>
        </is>
      </c>
      <c r="H1477" s="3" t="inlineStr">
        <is>
          <t>it_load_gw = active_power_gw / pue</t>
        </is>
      </c>
      <c r="I1477" s="3" t="inlineStr">
        <is>
          <t>No provider-wide site-level PUE is used as a disclosed fact; PUE represents facility-to-IT conversion within the scenario.</t>
        </is>
      </c>
      <c r="J1477" s="3" t="inlineStr">
        <is>
          <t>ASSUMP_POWER_RAMP</t>
        </is>
      </c>
      <c r="K1477" s="3" t="inlineStr">
        <is>
          <t>ASSUMP_CLUSTER_RAMP; ASSUMP_CLOSED_MODEL_BAND; ASSUMP_NUMERIC_ACCELERATOR_MIX; ASSUMP_INFERENCE_SHARE_NOT_FACT_60; ASSUMP_WORKLOAD_CLASS_MIX; ASSUMP_AGENTIC_CONTEXT_PENALTY</t>
        </is>
      </c>
      <c r="L1477" s="3" t="inlineStr">
        <is>
          <t>Site-level measured PUE matched to attributed AI capacity.</t>
        </is>
      </c>
    </row>
    <row r="1478">
      <c r="A1478" s="3" t="inlineStr">
        <is>
          <t>xAI</t>
        </is>
      </c>
      <c r="B1478" s="3" t="n">
        <v>2030</v>
      </c>
      <c r="C1478" s="3" t="inlineStr">
        <is>
          <t>Base</t>
        </is>
      </c>
      <c r="D1478" s="3" t="inlineStr">
        <is>
          <t>it_load_gw</t>
        </is>
      </c>
      <c r="E1478" s="3" t="n">
        <v>2.049</v>
      </c>
      <c r="F1478" s="3" t="inlineStr">
        <is>
          <t>GW</t>
        </is>
      </c>
      <c r="G1478" s="3" t="inlineStr">
        <is>
          <t>Derived formula</t>
        </is>
      </c>
      <c r="H1478" s="3" t="inlineStr">
        <is>
          <t>active_power_gw / pue</t>
        </is>
      </c>
      <c r="I1478" s="3" t="inlineStr">
        <is>
          <t>Facility power is converted to IT-deliverable power before attributing AI workloads.</t>
        </is>
      </c>
      <c r="J1478" s="3" t="inlineStr">
        <is>
          <t>SRC_XAI_NVIDIA_COLOSSUS; ASSUMP_CLUSTER_RAMP</t>
        </is>
      </c>
      <c r="K1478" s="3" t="inlineStr">
        <is>
          <t>ASSUMP_CLUSTER_RAMP; ASSUMP_CLOSED_MODEL_BAND; ASSUMP_NUMERIC_ACCELERATOR_MIX; ASSUMP_INFERENCE_SHARE_NOT_FACT_60; ASSUMP_WORKLOAD_CLASS_MIX; ASSUMP_AGENTIC_CONTEXT_PENALTY</t>
        </is>
      </c>
      <c r="L1478" s="3" t="inlineStr">
        <is>
          <t>Recompute once active power and PUE become site-observable.</t>
        </is>
      </c>
    </row>
    <row r="1479">
      <c r="A1479" s="3" t="inlineStr">
        <is>
          <t>xAI</t>
        </is>
      </c>
      <c r="B1479" s="3" t="n">
        <v>2030</v>
      </c>
      <c r="C1479" s="3" t="inlineStr">
        <is>
          <t>Base</t>
        </is>
      </c>
      <c r="D1479" s="3" t="inlineStr">
        <is>
          <t>ai_workload_share</t>
        </is>
      </c>
      <c r="E1479" s="3" t="n">
        <v>0.85</v>
      </c>
      <c r="F1479" s="3" t="inlineStr">
        <is>
          <t>share</t>
        </is>
      </c>
      <c r="G1479" s="3" t="inlineStr">
        <is>
          <t>Scenario allocation</t>
        </is>
      </c>
      <c r="H1479" s="3" t="inlineStr">
        <is>
          <t>ai_it_load_gw = it_load_gw * ai_workload_share</t>
        </is>
      </c>
      <c r="I1479" s="3" t="inlineStr">
        <is>
          <t>Colossus is AI-centric; 85% retains cooling/IT allocation boundary and non-serving AI work.</t>
        </is>
      </c>
      <c r="J1479" s="3" t="inlineStr">
        <is>
          <t>SRC_XAI_MODELS; SRC_XAI_NVIDIA_COLOSSUS; SRC_EPOCH_AI_DATA_CENTERS</t>
        </is>
      </c>
      <c r="K1479" s="3" t="inlineStr">
        <is>
          <t>ASSUMP_CLUSTER_RAMP; ASSUMP_CLOSED_MODEL_BAND; ASSUMP_NUMERIC_ACCELERATOR_MIX; ASSUMP_INFERENCE_SHARE_NOT_FACT_60; ASSUMP_WORKLOAD_CLASS_MIX; ASSUMP_AGENTIC_CONTEXT_PENALTY</t>
        </is>
      </c>
      <c r="L1479" s="3" t="inlineStr">
        <is>
          <t>Model-owner AI workload allocation or cluster scheduling telemetry.</t>
        </is>
      </c>
    </row>
    <row r="1480">
      <c r="A1480" s="3" t="inlineStr">
        <is>
          <t>xAI</t>
        </is>
      </c>
      <c r="B1480" s="3" t="n">
        <v>2030</v>
      </c>
      <c r="C1480" s="3" t="inlineStr">
        <is>
          <t>Base</t>
        </is>
      </c>
      <c r="D1480" s="3" t="inlineStr">
        <is>
          <t>ai_it_load_gw</t>
        </is>
      </c>
      <c r="E1480" s="3" t="n">
        <v>1.742</v>
      </c>
      <c r="F1480" s="3" t="inlineStr">
        <is>
          <t>GW</t>
        </is>
      </c>
      <c r="G1480" s="3" t="inlineStr">
        <is>
          <t>Derived formula</t>
        </is>
      </c>
      <c r="H1480" s="3" t="inlineStr">
        <is>
          <t>it_load_gw * ai_workload_share</t>
        </is>
      </c>
      <c r="I1480" s="3" t="inlineStr">
        <is>
          <t>Only the AI-attributed portion of IT load enters training/inference allocation.</t>
        </is>
      </c>
      <c r="J1480" s="3" t="inlineStr">
        <is>
          <t>SRC_XAI_MODELS; SRC_XAI_NVIDIA_COLOSSUS; SRC_EPOCH_AI_DATA_CENTERS</t>
        </is>
      </c>
      <c r="K1480" s="3" t="inlineStr">
        <is>
          <t>ASSUMP_CLUSTER_RAMP; ASSUMP_CLOSED_MODEL_BAND; ASSUMP_NUMERIC_ACCELERATOR_MIX; ASSUMP_INFERENCE_SHARE_NOT_FACT_60; ASSUMP_WORKLOAD_CLASS_MIX; ASSUMP_AGENTIC_CONTEXT_PENALTY</t>
        </is>
      </c>
      <c r="L1480" s="3" t="inlineStr">
        <is>
          <t>Recompute after ai_workload_share is replaced by telemetry.</t>
        </is>
      </c>
    </row>
    <row r="1481">
      <c r="A1481" s="3" t="inlineStr">
        <is>
          <t>xAI</t>
        </is>
      </c>
      <c r="B1481" s="3" t="n">
        <v>2030</v>
      </c>
      <c r="C1481" s="3" t="inlineStr">
        <is>
          <t>Base</t>
        </is>
      </c>
      <c r="D1481" s="3" t="inlineStr">
        <is>
          <t>gpu_share</t>
        </is>
      </c>
      <c r="E1481" s="3" t="n">
        <v>1</v>
      </c>
      <c r="F1481" s="3" t="inlineStr">
        <is>
          <t>share of inference-serving accelerator load</t>
        </is>
      </c>
      <c r="G1481" s="3" t="inlineStr">
        <is>
          <t>Numeric scenario</t>
        </is>
      </c>
      <c r="H1481" s="3" t="inlineStr">
        <is>
          <t>gpu_share interpolated from company 2026/2030 accelerator-mix endpoints</t>
        </is>
      </c>
      <c r="I1481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81" s="3" t="inlineStr">
        <is>
          <t>SRC_XAI_MODELS; SRC_XAI_NVIDIA_COLOSSUS; SRC_EPOCH_AI_DATA_CENTERS; ASSUMP_NUMERIC_ACCELERATOR_MIX</t>
        </is>
      </c>
      <c r="K1481" s="3" t="inlineStr">
        <is>
          <t>ASSUMP_CLUSTER_RAMP; ASSUMP_CLOSED_MODEL_BAND; ASSUMP_NUMERIC_ACCELERATOR_MIX; ASSUMP_INFERENCE_SHARE_NOT_FACT_60; ASSUMP_WORKLOAD_CLASS_MIX; ASSUMP_AGENTIC_CONTEXT_PENALTY</t>
        </is>
      </c>
      <c r="L1481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82">
      <c r="A1482" s="3" t="inlineStr">
        <is>
          <t>xAI</t>
        </is>
      </c>
      <c r="B1482" s="3" t="n">
        <v>2030</v>
      </c>
      <c r="C1482" s="3" t="inlineStr">
        <is>
          <t>Base</t>
        </is>
      </c>
      <c r="D1482" s="3" t="inlineStr">
        <is>
          <t>h200_share</t>
        </is>
      </c>
      <c r="E1482" s="3" t="n">
        <v>0</v>
      </c>
      <c r="F1482" s="3" t="inlineStr">
        <is>
          <t>share of inference-serving accelerator load</t>
        </is>
      </c>
      <c r="G1482" s="3" t="inlineStr">
        <is>
          <t>Editable numeric scenario</t>
        </is>
      </c>
      <c r="H1482" s="3" t="inlineStr">
        <is>
          <t>h200_share = gpu_share * default_gpu_generation_mix_h200</t>
        </is>
      </c>
      <c r="I1482" s="3" t="inlineStr">
        <is>
          <t>Default GPU-generation migration assumption; executive workbook allows later manual replacement by company/year/scenario.</t>
        </is>
      </c>
      <c r="J1482" s="3" t="inlineStr">
        <is>
          <t>SRC_SEMIANALYSIS_INFERENCEX; ASSUMP_NUMERIC_ACCELERATOR_MIX</t>
        </is>
      </c>
      <c r="K1482" s="3" t="inlineStr">
        <is>
          <t>ASSUMP_CLUSTER_RAMP; ASSUMP_CLOSED_MODEL_BAND; ASSUMP_NUMERIC_ACCELERATOR_MIX; ASSUMP_INFERENCE_SHARE_NOT_FACT_60; ASSUMP_WORKLOAD_CLASS_MIX; ASSUMP_AGENTIC_CONTEXT_PENALTY</t>
        </is>
      </c>
      <c r="L1482" s="3" t="inlineStr">
        <is>
          <t>Company fleet inventory, accelerator-hours or procurement/deployment records by GPU generation.</t>
        </is>
      </c>
    </row>
    <row r="1483">
      <c r="A1483" s="3" t="inlineStr">
        <is>
          <t>xAI</t>
        </is>
      </c>
      <c r="B1483" s="3" t="n">
        <v>2030</v>
      </c>
      <c r="C1483" s="3" t="inlineStr">
        <is>
          <t>Base</t>
        </is>
      </c>
      <c r="D1483" s="3" t="inlineStr">
        <is>
          <t>b200_share</t>
        </is>
      </c>
      <c r="E1483" s="3" t="n">
        <v>1</v>
      </c>
      <c r="F1483" s="3" t="inlineStr">
        <is>
          <t>share of inference-serving accelerator load</t>
        </is>
      </c>
      <c r="G1483" s="3" t="inlineStr">
        <is>
          <t>Editable numeric scenario</t>
        </is>
      </c>
      <c r="H1483" s="3" t="inlineStr">
        <is>
          <t>b200_share = gpu_share * default_gpu_generation_mix_b200</t>
        </is>
      </c>
      <c r="I1483" s="3" t="inlineStr">
        <is>
          <t>Default GPU-generation migration assumption; executive workbook allows later manual replacement by company/year/scenario.</t>
        </is>
      </c>
      <c r="J1483" s="3" t="inlineStr">
        <is>
          <t>SRC_SEMIANALYSIS_INFERENCEX; ASSUMP_NUMERIC_ACCELERATOR_MIX</t>
        </is>
      </c>
      <c r="K1483" s="3" t="inlineStr">
        <is>
          <t>ASSUMP_CLUSTER_RAMP; ASSUMP_CLOSED_MODEL_BAND; ASSUMP_NUMERIC_ACCELERATOR_MIX; ASSUMP_INFERENCE_SHARE_NOT_FACT_60; ASSUMP_WORKLOAD_CLASS_MIX; ASSUMP_AGENTIC_CONTEXT_PENALTY</t>
        </is>
      </c>
      <c r="L1483" s="3" t="inlineStr">
        <is>
          <t>Company fleet inventory, accelerator-hours or procurement/deployment records by GPU generation.</t>
        </is>
      </c>
    </row>
    <row r="1484">
      <c r="A1484" s="3" t="inlineStr">
        <is>
          <t>xAI</t>
        </is>
      </c>
      <c r="B1484" s="3" t="n">
        <v>2030</v>
      </c>
      <c r="C1484" s="3" t="inlineStr">
        <is>
          <t>Base</t>
        </is>
      </c>
      <c r="D1484" s="3" t="inlineStr">
        <is>
          <t>gb200_share</t>
        </is>
      </c>
      <c r="E1484" s="3" t="n">
        <v>0</v>
      </c>
      <c r="F1484" s="3" t="inlineStr">
        <is>
          <t>share of inference-serving accelerator load</t>
        </is>
      </c>
      <c r="G1484" s="3" t="inlineStr">
        <is>
          <t>Editable numeric scenario</t>
        </is>
      </c>
      <c r="H1484" s="3" t="inlineStr">
        <is>
          <t>gb200_share = gpu_share * default_gpu_generation_mix_gb200</t>
        </is>
      </c>
      <c r="I1484" s="3" t="inlineStr">
        <is>
          <t>Default GPU-generation migration assumption; executive workbook allows later manual replacement by company/year/scenario.</t>
        </is>
      </c>
      <c r="J1484" s="3" t="inlineStr">
        <is>
          <t>SRC_SEMIANALYSIS_INFERENCEX; ASSUMP_NUMERIC_ACCELERATOR_MIX</t>
        </is>
      </c>
      <c r="K1484" s="3" t="inlineStr">
        <is>
          <t>ASSUMP_CLUSTER_RAMP; ASSUMP_CLOSED_MODEL_BAND; ASSUMP_NUMERIC_ACCELERATOR_MIX; ASSUMP_INFERENCE_SHARE_NOT_FACT_60; ASSUMP_WORKLOAD_CLASS_MIX; ASSUMP_AGENTIC_CONTEXT_PENALTY</t>
        </is>
      </c>
      <c r="L1484" s="3" t="inlineStr">
        <is>
          <t>Company fleet inventory, accelerator-hours or procurement/deployment records by GPU generation.</t>
        </is>
      </c>
    </row>
    <row r="1485">
      <c r="A1485" s="3" t="inlineStr">
        <is>
          <t>xAI</t>
        </is>
      </c>
      <c r="B1485" s="3" t="n">
        <v>2030</v>
      </c>
      <c r="C1485" s="3" t="inlineStr">
        <is>
          <t>Base</t>
        </is>
      </c>
      <c r="D1485" s="3" t="inlineStr">
        <is>
          <t>purpose_built_accelerator_share</t>
        </is>
      </c>
      <c r="E1485" s="3" t="n">
        <v>0</v>
      </c>
      <c r="F1485" s="3" t="inlineStr">
        <is>
          <t>share of inference-serving accelerator load</t>
        </is>
      </c>
      <c r="G1485" s="3" t="inlineStr">
        <is>
          <t>Numeric scenario</t>
        </is>
      </c>
      <c r="H1485" s="3" t="inlineStr">
        <is>
          <t>1 - gpu_share</t>
        </is>
      </c>
      <c r="I1485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1485" s="3" t="inlineStr">
        <is>
          <t>SRC_XAI_MODELS; SRC_XAI_NVIDIA_COLOSSUS; SRC_EPOCH_AI_DATA_CENTERS; ASSUMP_NUMERIC_ACCELERATOR_MIX</t>
        </is>
      </c>
      <c r="K1485" s="3" t="inlineStr">
        <is>
          <t>ASSUMP_CLUSTER_RAMP; ASSUMP_CLOSED_MODEL_BAND; ASSUMP_NUMERIC_ACCELERATOR_MIX; ASSUMP_INFERENCE_SHARE_NOT_FACT_60; ASSUMP_WORKLOAD_CLASS_MIX; ASSUMP_AGENTIC_CONTEXT_PENALTY</t>
        </is>
      </c>
      <c r="L1485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1486">
      <c r="A1486" s="3" t="inlineStr">
        <is>
          <t>xAI</t>
        </is>
      </c>
      <c r="B1486" s="3" t="n">
        <v>2030</v>
      </c>
      <c r="C1486" s="3" t="inlineStr">
        <is>
          <t>Base</t>
        </is>
      </c>
      <c r="D1486" s="3" t="inlineStr">
        <is>
          <t>fleet_reference_tps_per_mw</t>
        </is>
      </c>
      <c r="E1486" s="3" t="n">
        <v>3010288</v>
      </c>
      <c r="F1486" s="3" t="inlineStr">
        <is>
          <t>generated output tokens/sec/MW</t>
        </is>
      </c>
      <c r="G1486" s="3" t="inlineStr">
        <is>
          <t>Fleet-weighted public benchmark reference</t>
        </is>
      </c>
      <c r="H1486" s="3" t="inlineStr">
        <is>
          <t>h200_share*h200_workload_avg + b200_share*b200_workload_avg + gb200_share*gb200_workload_avg + purpose_built_share*purpose_workload_avg</t>
        </is>
      </c>
      <c r="I148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486" s="3" t="inlineStr">
        <is>
          <t>SRC_SEMIANALYSIS_INFERENCEX; ASSUMP_NUMERIC_ACCELERATOR_MIX; ASSUMP_WORKLOAD_CLASS_MIX; ASSUMP_AGENTIC_CONTEXT_PENALTY</t>
        </is>
      </c>
      <c r="K1486" s="3" t="inlineStr">
        <is>
          <t>ASSUMP_CLUSTER_RAMP; ASSUMP_CLOSED_MODEL_BAND; ASSUMP_NUMERIC_ACCELERATOR_MIX; ASSUMP_INFERENCE_SHARE_NOT_FACT_60; ASSUMP_WORKLOAD_CLASS_MIX; ASSUMP_AGENTIC_CONTEXT_PENALTY</t>
        </is>
      </c>
      <c r="L1486" s="3" t="inlineStr">
        <is>
          <t>Comparable production output-token throughput or a more closely matched benchmark.</t>
        </is>
      </c>
    </row>
    <row r="1487">
      <c r="A1487" s="3" t="inlineStr">
        <is>
          <t>xAI</t>
        </is>
      </c>
      <c r="B1487" s="3" t="n">
        <v>2030</v>
      </c>
      <c r="C1487" s="3" t="inlineStr">
        <is>
          <t>Base</t>
        </is>
      </c>
      <c r="D1487" s="3" t="inlineStr">
        <is>
          <t>commercial_workload_fit_factor</t>
        </is>
      </c>
      <c r="E1487" s="3" t="n">
        <v>0.55</v>
      </c>
      <c r="F1487" s="3" t="inlineStr">
        <is>
          <t>share of public reference throughput</t>
        </is>
      </c>
      <c r="G1487" s="3" t="inlineStr">
        <is>
          <t>Scenario assumption</t>
        </is>
      </c>
      <c r="H1487" s="3" t="inlineStr">
        <is>
          <t>reference_serving_tps_per_mw = fleet_reference_tps_per_mw * commercial_workload_fit_factor</t>
        </is>
      </c>
      <c r="I148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1487" s="3" t="inlineStr">
        <is>
          <t>SRC_SEMIANALYSIS_INFERENCEX; ASSUMP_NUMERIC_ACCELERATOR_MIX; ASSUMP_WORKLOAD_CLASS_MIX; ASSUMP_AGENTIC_CONTEXT_PENALTY</t>
        </is>
      </c>
      <c r="K1487" s="3" t="inlineStr">
        <is>
          <t>ASSUMP_CLUSTER_RAMP; ASSUMP_CLOSED_MODEL_BAND; ASSUMP_NUMERIC_ACCELERATOR_MIX; ASSUMP_INFERENCE_SHARE_NOT_FACT_60; ASSUMP_WORKLOAD_CLASS_MIX; ASSUMP_AGENTIC_CONTEXT_PENALTY</t>
        </is>
      </c>
      <c r="L1487" s="3" t="inlineStr">
        <is>
          <t>Matched commercial serving benchmark by product surface, context shape and latency SLO.</t>
        </is>
      </c>
    </row>
    <row r="1488">
      <c r="A1488" s="3" t="inlineStr">
        <is>
          <t>xAI</t>
        </is>
      </c>
      <c r="B1488" s="3" t="n">
        <v>2030</v>
      </c>
      <c r="C1488" s="3" t="inlineStr">
        <is>
          <t>Base</t>
        </is>
      </c>
      <c r="D1488" s="3" t="inlineStr">
        <is>
          <t>reference_serving_tps_per_mw</t>
        </is>
      </c>
      <c r="E1488" s="3" t="n">
        <v>1655658</v>
      </c>
      <c r="F1488" s="3" t="inlineStr">
        <is>
          <t>generated output tokens/sec/MW</t>
        </is>
      </c>
      <c r="G1488" s="3" t="inlineStr">
        <is>
          <t>Workload-adjusted benchmark proxy</t>
        </is>
      </c>
      <c r="H1488" s="3" t="inlineStr">
        <is>
          <t>fleet_reference_tps_per_mw * commercial_workload_fit_factor</t>
        </is>
      </c>
      <c r="I1488" s="3" t="inlineStr">
        <is>
          <t>This is the coefficient used for headline token generation; each GPU's short chat, long chat and agentic TPS/MW are weighted before fleet mix and commercial fit are applied.</t>
        </is>
      </c>
      <c r="J1488" s="3" t="inlineStr">
        <is>
          <t>SRC_SEMIANALYSIS_INFERENCEX; ASSUMP_NUMERIC_ACCELERATOR_MIX; ASSUMP_WORKLOAD_CLASS_MIX; ASSUMP_AGENTIC_CONTEXT_PENALTY</t>
        </is>
      </c>
      <c r="K1488" s="3" t="inlineStr">
        <is>
          <t>ASSUMP_CLUSTER_RAMP; ASSUMP_CLOSED_MODEL_BAND; ASSUMP_NUMERIC_ACCELERATOR_MIX; ASSUMP_INFERENCE_SHARE_NOT_FACT_60; ASSUMP_WORKLOAD_CLASS_MIX; ASSUMP_AGENTIC_CONTEXT_PENALTY</t>
        </is>
      </c>
      <c r="L1488" s="3" t="inlineStr">
        <is>
          <t>Provider production output-token throughput with comparable workload/SLO.</t>
        </is>
      </c>
    </row>
    <row r="1489">
      <c r="A1489" s="3" t="inlineStr">
        <is>
          <t>xAI</t>
        </is>
      </c>
      <c r="B1489" s="3" t="n">
        <v>2030</v>
      </c>
      <c r="C1489" s="3" t="inlineStr">
        <is>
          <t>Base</t>
        </is>
      </c>
      <c r="D1489" s="3" t="inlineStr">
        <is>
          <t>purpose_built_tps_per_mw</t>
        </is>
      </c>
      <c r="E1489" s="3" t="n">
        <v>2484332</v>
      </c>
      <c r="F1489" s="3" t="inlineStr">
        <is>
          <t>generated output tokens/sec/MW</t>
        </is>
      </c>
      <c r="G1489" s="3" t="inlineStr">
        <is>
          <t>Conservative no-uplift proxy</t>
        </is>
      </c>
      <c r="H1489" s="3" t="inlineStr">
        <is>
          <t>purpose_built_tps_per_mw = purpose_built_reference_tps_per_mw * commercial_workload_fit_factor until comparable output-token benchmark is adopted</t>
        </is>
      </c>
      <c r="I1489" s="3" t="inlineStr">
        <is>
          <t>No comparable public output-token/MW row adopted; B200 public reference placeholder is used and remains editable.</t>
        </is>
      </c>
      <c r="J1489" s="3" t="inlineStr">
        <is>
          <t>SRC_XAI_MODELS; SRC_XAI_NVIDIA_COLOSSUS; SRC_EPOCH_AI_DATA_CENTERS; ASSUMP_NUMERIC_ACCELERATOR_MIX</t>
        </is>
      </c>
      <c r="K1489" s="3" t="inlineStr">
        <is>
          <t>ASSUMP_CLUSTER_RAMP; ASSUMP_CLOSED_MODEL_BAND; ASSUMP_NUMERIC_ACCELERATOR_MIX; ASSUMP_INFERENCE_SHARE_NOT_FACT_60; ASSUMP_WORKLOAD_CLASS_MIX; ASSUMP_AGENTIC_CONTEXT_PENALTY</t>
        </is>
      </c>
      <c r="L1489" s="3" t="inlineStr">
        <is>
          <t>Matched-workload generated-output benchmark for the provider purpose-built accelerator.</t>
        </is>
      </c>
    </row>
    <row r="1490">
      <c r="A1490" s="3" t="inlineStr">
        <is>
          <t>xAI</t>
        </is>
      </c>
      <c r="B1490" s="3" t="n">
        <v>2030</v>
      </c>
      <c r="C1490" s="3" t="inlineStr">
        <is>
          <t>Base</t>
        </is>
      </c>
      <c r="D1490" s="3" t="inlineStr">
        <is>
          <t>inference_power_share</t>
        </is>
      </c>
      <c r="E1490" s="3" t="n">
        <v>0.7</v>
      </c>
      <c r="F1490" s="3" t="inlineStr">
        <is>
          <t>share of AI IT load</t>
        </is>
      </c>
      <c r="G1490" s="3" t="inlineStr">
        <is>
          <t>Scenario allocation</t>
        </is>
      </c>
      <c r="H1490" s="3" t="inlineStr">
        <is>
          <t>inference_gw = ai_it_load_gw * inference_power_share</t>
        </is>
      </c>
      <c r="I1490" s="3" t="inlineStr">
        <is>
          <t>Grok product expansion is modeled to shift capacity toward inference after initial training-heavy operation.</t>
        </is>
      </c>
      <c r="J1490" s="3" t="inlineStr">
        <is>
          <t>SRC_XAI_MODELS; SRC_XAI_NVIDIA_COLOSSUS; SRC_EPOCH_AI_DATA_CENTERS; ASSUMP_INFERENCE_SHARE_NOT_FACT_60</t>
        </is>
      </c>
      <c r="K1490" s="3" t="inlineStr">
        <is>
          <t>ASSUMP_CLUSTER_RAMP; ASSUMP_CLOSED_MODEL_BAND; ASSUMP_NUMERIC_ACCELERATOR_MIX; ASSUMP_INFERENCE_SHARE_NOT_FACT_60; ASSUMP_WORKLOAD_CLASS_MIX; ASSUMP_AGENTIC_CONTEXT_PENALTY</t>
        </is>
      </c>
      <c r="L1490" s="3" t="inlineStr">
        <is>
          <t>Provider-specific inference/training workload power telemetry.</t>
        </is>
      </c>
    </row>
    <row r="1491">
      <c r="A1491" s="3" t="inlineStr">
        <is>
          <t>xAI</t>
        </is>
      </c>
      <c r="B1491" s="3" t="n">
        <v>2030</v>
      </c>
      <c r="C1491" s="3" t="inlineStr">
        <is>
          <t>Base</t>
        </is>
      </c>
      <c r="D1491" s="3" t="inlineStr">
        <is>
          <t>inference_gw</t>
        </is>
      </c>
      <c r="E1491" s="3" t="n">
        <v>1.219</v>
      </c>
      <c r="F1491" s="3" t="inlineStr">
        <is>
          <t>GW</t>
        </is>
      </c>
      <c r="G1491" s="3" t="inlineStr">
        <is>
          <t>Derived formula</t>
        </is>
      </c>
      <c r="H1491" s="3" t="inlineStr">
        <is>
          <t>ai_it_load_gw * inference_power_share</t>
        </is>
      </c>
      <c r="I1491" s="3" t="inlineStr">
        <is>
          <t>This is the operational power eligible to become commercial generated output tokens through the selected TPS/MW proxy.</t>
        </is>
      </c>
      <c r="J1491" s="3" t="inlineStr">
        <is>
          <t>SRC_XAI_MODELS; SRC_XAI_NVIDIA_COLOSSUS; SRC_EPOCH_AI_DATA_CENTERS</t>
        </is>
      </c>
      <c r="K1491" s="3" t="inlineStr">
        <is>
          <t>ASSUMP_CLUSTER_RAMP; ASSUMP_CLOSED_MODEL_BAND; ASSUMP_NUMERIC_ACCELERATOR_MIX; ASSUMP_INFERENCE_SHARE_NOT_FACT_60; ASSUMP_WORKLOAD_CLASS_MIX; ASSUMP_AGENTIC_CONTEXT_PENALTY</t>
        </is>
      </c>
      <c r="L1491" s="3" t="inlineStr">
        <is>
          <t>Recompute after AI allocation or inference-share evidence changes.</t>
        </is>
      </c>
    </row>
    <row r="1492">
      <c r="A1492" s="3" t="inlineStr">
        <is>
          <t>xAI</t>
        </is>
      </c>
      <c r="B1492" s="3" t="n">
        <v>2030</v>
      </c>
      <c r="C1492" s="3" t="inlineStr">
        <is>
          <t>Base</t>
        </is>
      </c>
      <c r="D1492" s="3" t="inlineStr">
        <is>
          <t>training_power_share</t>
        </is>
      </c>
      <c r="E1492" s="3" t="n">
        <v>0.3</v>
      </c>
      <c r="F1492" s="3" t="inlineStr">
        <is>
          <t>share of AI IT load</t>
        </is>
      </c>
      <c r="G1492" s="3" t="inlineStr">
        <is>
          <t>Derived allocation</t>
        </is>
      </c>
      <c r="H1492" s="3" t="inlineStr">
        <is>
          <t>1 - inference_power_share</t>
        </is>
      </c>
      <c r="I1492" s="3" t="inlineStr">
        <is>
          <t>Training receives the complementary modeled AI IT allocation; it is not a disclosed company workload split.</t>
        </is>
      </c>
      <c r="J1492" s="3" t="inlineStr">
        <is>
          <t>SRC_XAI_MODELS; SRC_XAI_NVIDIA_COLOSSUS; SRC_EPOCH_AI_DATA_CENTERS; ASSUMP_INFERENCE_SHARE_NOT_FACT_60</t>
        </is>
      </c>
      <c r="K1492" s="3" t="inlineStr">
        <is>
          <t>ASSUMP_CLUSTER_RAMP; ASSUMP_CLOSED_MODEL_BAND; ASSUMP_NUMERIC_ACCELERATOR_MIX; ASSUMP_INFERENCE_SHARE_NOT_FACT_60; ASSUMP_WORKLOAD_CLASS_MIX; ASSUMP_AGENTIC_CONTEXT_PENALTY</t>
        </is>
      </c>
      <c r="L1492" s="3" t="inlineStr">
        <is>
          <t>Provider-specific inference/training workload power telemetry.</t>
        </is>
      </c>
    </row>
    <row r="1493">
      <c r="A1493" s="3" t="inlineStr">
        <is>
          <t>xAI</t>
        </is>
      </c>
      <c r="B1493" s="3" t="n">
        <v>2030</v>
      </c>
      <c r="C1493" s="3" t="inlineStr">
        <is>
          <t>Base</t>
        </is>
      </c>
      <c r="D1493" s="3" t="inlineStr">
        <is>
          <t>training_gw</t>
        </is>
      </c>
      <c r="E1493" s="3" t="n">
        <v>0.523</v>
      </c>
      <c r="F1493" s="3" t="inlineStr">
        <is>
          <t>GW</t>
        </is>
      </c>
      <c r="G1493" s="3" t="inlineStr">
        <is>
          <t>Derived formula</t>
        </is>
      </c>
      <c r="H1493" s="3" t="inlineStr">
        <is>
          <t>ai_it_load_gw * training_power_share</t>
        </is>
      </c>
      <c r="I1493" s="3" t="inlineStr">
        <is>
          <t>Training GW is shown separately so commercial inference token capacity is not overstated.</t>
        </is>
      </c>
      <c r="J1493" s="3" t="inlineStr">
        <is>
          <t>SRC_XAI_MODELS; SRC_XAI_NVIDIA_COLOSSUS; SRC_EPOCH_AI_DATA_CENTERS</t>
        </is>
      </c>
      <c r="K1493" s="3" t="inlineStr">
        <is>
          <t>ASSUMP_CLUSTER_RAMP; ASSUMP_CLOSED_MODEL_BAND; ASSUMP_NUMERIC_ACCELERATOR_MIX; ASSUMP_INFERENCE_SHARE_NOT_FACT_60; ASSUMP_WORKLOAD_CLASS_MIX; ASSUMP_AGENTIC_CONTEXT_PENALTY</t>
        </is>
      </c>
      <c r="L1493" s="3" t="inlineStr">
        <is>
          <t>Recompute after AI allocation or workload-split evidence changes.</t>
        </is>
      </c>
    </row>
    <row r="1494">
      <c r="A1494" s="3" t="inlineStr">
        <is>
          <t>xAI</t>
        </is>
      </c>
      <c r="B1494" s="3" t="n">
        <v>2030</v>
      </c>
      <c r="C1494" s="3" t="inlineStr">
        <is>
          <t>Base</t>
        </is>
      </c>
      <c r="D1494" s="3" t="inlineStr">
        <is>
          <t>tokens_per_second_per_mw</t>
        </is>
      </c>
      <c r="E1494" s="3" t="n">
        <v>1655658</v>
      </c>
      <c r="F1494" s="3" t="inlineStr">
        <is>
          <t>generated output tokens/sec/MW</t>
        </is>
      </c>
      <c r="G1494" s="3" t="inlineStr">
        <is>
          <t>Derived estimate + benchmark calibration</t>
        </is>
      </c>
      <c r="H1494" s="3" t="inlineStr">
        <is>
          <t>fleet_reference_tps_per_mw * commercial_workload_fit_factor</t>
        </is>
      </c>
      <c r="I149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1494" s="3" t="inlineStr">
        <is>
          <t>SRC_XAI_MODELS; SRC_XAI_NVIDIA_COLOSSUS; SRC_EPOCH_AI_DATA_CENTERS; SRC_SEMIANALYSIS_INFERENCEX; ASSUMP_NUMERIC_ACCELERATOR_MIX; ASSUMP_WORKLOAD_CLASS_MIX; ASSUMP_AGENTIC_CONTEXT_PENALTY</t>
        </is>
      </c>
      <c r="K1494" s="3" t="inlineStr">
        <is>
          <t>ASSUMP_CLUSTER_RAMP; ASSUMP_CLOSED_MODEL_BAND; ASSUMP_NUMERIC_ACCELERATOR_MIX; ASSUMP_INFERENCE_SHARE_NOT_FACT_60; ASSUMP_WORKLOAD_CLASS_MIX; ASSUMP_AGENTIC_CONTEXT_PENALTY</t>
        </is>
      </c>
      <c r="L1494" s="3" t="inlineStr">
        <is>
          <t>Comparable production output-token throughput with model, hardware, precision, ISL/OSL and SLO matched.</t>
        </is>
      </c>
    </row>
    <row r="1495">
      <c r="A1495" s="3" t="inlineStr">
        <is>
          <t>xAI</t>
        </is>
      </c>
      <c r="B1495" s="3" t="n">
        <v>2030</v>
      </c>
      <c r="C1495" s="3" t="inlineStr">
        <is>
          <t>Base</t>
        </is>
      </c>
      <c r="D1495" s="3" t="inlineStr">
        <is>
          <t>inference_tokens_per_day</t>
        </is>
      </c>
      <c r="E1495" s="3" t="n">
        <v>174376549612800</v>
      </c>
      <c r="F1495" s="3" t="inlineStr">
        <is>
          <t>generated output tokens/day</t>
        </is>
      </c>
      <c r="G1495" s="3" t="inlineStr">
        <is>
          <t>Derived headline metric</t>
        </is>
      </c>
      <c r="H1495" s="3" t="inlineStr">
        <is>
          <t>inference_gw * 1000 * tokens_per_second_per_mw * 86,400</t>
        </is>
      </c>
      <c r="I1495" s="3" t="inlineStr">
        <is>
          <t>Headline capacity uses no utilization, MoE, architecture or software-growth multiplier; it is not observed commercial output volume.</t>
        </is>
      </c>
      <c r="J1495" s="3" t="inlineStr">
        <is>
          <t>SRC_XAI_MODELS; SRC_XAI_NVIDIA_COLOSSUS; SRC_EPOCH_AI_DATA_CENTERS; SRC_SEMIANALYSIS_INFERENCEX</t>
        </is>
      </c>
      <c r="K1495" s="3" t="inlineStr">
        <is>
          <t>ASSUMP_CLUSTER_RAMP; ASSUMP_CLOSED_MODEL_BAND; ASSUMP_NUMERIC_ACCELERATOR_MIX; ASSUMP_INFERENCE_SHARE_NOT_FACT_60; ASSUMP_WORKLOAD_CLASS_MIX; ASSUMP_AGENTIC_CONTEXT_PENALTY</t>
        </is>
      </c>
      <c r="L1495" s="3" t="inlineStr">
        <is>
          <t>Provider-disclosed generated output token volume or calibrated capacity telemetry.</t>
        </is>
      </c>
    </row>
    <row r="1496">
      <c r="A1496" s="3" t="inlineStr">
        <is>
          <t>xAI</t>
        </is>
      </c>
      <c r="B1496" s="3" t="n">
        <v>2030</v>
      </c>
      <c r="C1496" s="3" t="inlineStr">
        <is>
          <t>Base</t>
        </is>
      </c>
      <c r="D1496" s="3" t="inlineStr">
        <is>
          <t>inference_tokens_per_year</t>
        </is>
      </c>
      <c r="E1496" s="3" t="n">
        <v>6.3647440608672e+16</v>
      </c>
      <c r="F1496" s="3" t="inlineStr">
        <is>
          <t>generated output tokens/year</t>
        </is>
      </c>
      <c r="G1496" s="3" t="inlineStr">
        <is>
          <t>Derived headline metric</t>
        </is>
      </c>
      <c r="H1496" s="3" t="inlineStr">
        <is>
          <t>inference_tokens_per_day * 365</t>
        </is>
      </c>
      <c r="I1496" s="3" t="inlineStr">
        <is>
          <t>Annualized version of generated output token capacity; it is not observed annual demand or billable volume.</t>
        </is>
      </c>
      <c r="J1496" s="3" t="inlineStr">
        <is>
          <t>SRC_XAI_MODELS; SRC_XAI_NVIDIA_COLOSSUS; SRC_EPOCH_AI_DATA_CENTERS; SRC_SEMIANALYSIS_INFERENCEX</t>
        </is>
      </c>
      <c r="K1496" s="3" t="inlineStr">
        <is>
          <t>ASSUMP_CLUSTER_RAMP; ASSUMP_CLOSED_MODEL_BAND; ASSUMP_NUMERIC_ACCELERATOR_MIX; ASSUMP_INFERENCE_SHARE_NOT_FACT_60; ASSUMP_WORKLOAD_CLASS_MIX; ASSUMP_AGENTIC_CONTEXT_PENALTY</t>
        </is>
      </c>
      <c r="L1496" s="3" t="inlineStr">
        <is>
          <t>Provider-disclosed annual generated-output volume or metered serving telemetry.</t>
        </is>
      </c>
    </row>
    <row r="1497">
      <c r="A1497" s="3" t="inlineStr">
        <is>
          <t>OpenAI</t>
        </is>
      </c>
      <c r="B1497" s="3" t="n">
        <v>2026</v>
      </c>
      <c r="C1497" s="3" t="inlineStr">
        <is>
          <t>Base</t>
        </is>
      </c>
      <c r="D1497" s="3" t="inlineStr">
        <is>
          <t>contracted_power_gw</t>
        </is>
      </c>
      <c r="E1497" s="3" t="n">
        <v>5</v>
      </c>
      <c r="F1497" s="3" t="inlineStr">
        <is>
          <t>GW</t>
        </is>
      </c>
      <c r="G1497" s="3" t="inlineStr">
        <is>
          <t>Fact anchor + scenario ceiling</t>
        </is>
      </c>
      <c r="H1497" s="3" t="inlineStr">
        <is>
          <t>linear interpolation between 2026 and 2030 company capacity endpoints</t>
        </is>
      </c>
      <c r="I1497" s="3" t="inlineStr">
        <is>
          <t>2030 envelope is bounded by official Stargate planned/committed capacity; 2026 and timing remain staged scenario values.</t>
        </is>
      </c>
      <c r="J1497" s="3" t="inlineStr">
        <is>
          <t>SRC_OPENAI_STARGATE_ORACLE; SRC_OPENAI_STARGATE_PROGRESS; ASSUMP_STARGATE_RAMP</t>
        </is>
      </c>
      <c r="K1497" s="3" t="inlineStr">
        <is>
          <t>ASSUMP_STARGATE_RAMP; ASSUMP_MS_OPENAI_ATTRIBUTION; ASSUMP_NUMERIC_ACCELERATOR_MIX; ASSUMP_INFERENCE_SHARE_NOT_FACT_60; ASSUMP_WORKLOAD_CLASS_MIX; ASSUMP_AGENTIC_CONTEXT_PENALTY</t>
        </is>
      </c>
      <c r="L1497" s="3" t="inlineStr">
        <is>
          <t>Company/site-level committed MW/GW, interconnect and contract disclosure.</t>
        </is>
      </c>
    </row>
    <row r="1498">
      <c r="A1498" s="3" t="inlineStr">
        <is>
          <t>OpenAI</t>
        </is>
      </c>
      <c r="B1498" s="3" t="n">
        <v>2026</v>
      </c>
      <c r="C1498" s="3" t="inlineStr">
        <is>
          <t>Base</t>
        </is>
      </c>
      <c r="D1498" s="3" t="inlineStr">
        <is>
          <t>operational_deployment_share</t>
        </is>
      </c>
      <c r="E1498" s="3" t="n">
        <v>0.28</v>
      </c>
      <c r="F1498" s="3" t="inlineStr">
        <is>
          <t>share</t>
        </is>
      </c>
      <c r="G1498" s="3" t="inlineStr">
        <is>
          <t>Scenario conversion</t>
        </is>
      </c>
      <c r="H1498" s="3" t="inlineStr">
        <is>
          <t>active_power_gw / contracted_power_gw</t>
        </is>
      </c>
      <c r="I1498" s="3" t="inlineStr">
        <is>
          <t>This is the single explicit conversion from contracted/attributed capacity to operationally usable capacity.</t>
        </is>
      </c>
      <c r="J1498" s="3" t="inlineStr">
        <is>
          <t>SRC_OPENAI_STARGATE_ORACLE; SRC_OPENAI_STARGATE_PROGRESS; ASSUMP_STARGATE_RAMP</t>
        </is>
      </c>
      <c r="K1498" s="3" t="inlineStr">
        <is>
          <t>ASSUMP_STARGATE_RAMP; ASSUMP_MS_OPENAI_ATTRIBUTION; ASSUMP_NUMERIC_ACCELERATOR_MIX; ASSUMP_INFERENCE_SHARE_NOT_FACT_60; ASSUMP_WORKLOAD_CLASS_MIX; ASSUMP_AGENTIC_CONTEXT_PENALTY</t>
        </is>
      </c>
      <c r="L1498" s="3" t="inlineStr">
        <is>
          <t>Energized operational capacity divided by contracted/attributed capacity.</t>
        </is>
      </c>
    </row>
    <row r="1499">
      <c r="A1499" s="3" t="inlineStr">
        <is>
          <t>OpenAI</t>
        </is>
      </c>
      <c r="B1499" s="3" t="n">
        <v>2026</v>
      </c>
      <c r="C1499" s="3" t="inlineStr">
        <is>
          <t>Base</t>
        </is>
      </c>
      <c r="D1499" s="3" t="inlineStr">
        <is>
          <t>active_power_gw</t>
        </is>
      </c>
      <c r="E1499" s="3" t="n">
        <v>1.4</v>
      </c>
      <c r="F1499" s="3" t="inlineStr">
        <is>
          <t>GW</t>
        </is>
      </c>
      <c r="G1499" s="3" t="inlineStr">
        <is>
          <t>Derived scenario</t>
        </is>
      </c>
      <c r="H1499" s="3" t="inlineStr">
        <is>
          <t>contracted_power_gw * operational_deployment_share</t>
        </is>
      </c>
      <c r="I1499" s="3" t="inlineStr">
        <is>
          <t>Official capacity announcements are converted to active GW only through energization/GPU-deployment ramp assumptions.</t>
        </is>
      </c>
      <c r="J1499" s="3" t="inlineStr">
        <is>
          <t>SRC_OPENAI_STARGATE_ORACLE; SRC_OPENAI_STARGATE_PROGRESS; ASSUMP_STARGATE_RAMP</t>
        </is>
      </c>
      <c r="K1499" s="3" t="inlineStr">
        <is>
          <t>ASSUMP_STARGATE_RAMP; ASSUMP_MS_OPENAI_ATTRIBUTION; ASSUMP_NUMERIC_ACCELERATOR_MIX; ASSUMP_INFERENCE_SHARE_NOT_FACT_60; ASSUMP_WORKLOAD_CLASS_MIX; ASSUMP_AGENTIC_CONTEXT_PENALTY</t>
        </is>
      </c>
      <c r="L1499" s="3" t="inlineStr">
        <is>
          <t>Energization dates, accelerator deliveries and operational powered-rack telemetry.</t>
        </is>
      </c>
    </row>
    <row r="1500">
      <c r="A1500" s="3" t="inlineStr">
        <is>
          <t>OpenAI</t>
        </is>
      </c>
      <c r="B1500" s="3" t="n">
        <v>2026</v>
      </c>
      <c r="C1500" s="3" t="inlineStr">
        <is>
          <t>Base</t>
        </is>
      </c>
      <c r="D1500" s="3" t="inlineStr">
        <is>
          <t>pue</t>
        </is>
      </c>
      <c r="E1500" s="3" t="n">
        <v>1.2</v>
      </c>
      <c r="F1500" s="3" t="inlineStr">
        <is>
          <t>ratio</t>
        </is>
      </c>
      <c r="G1500" s="3" t="inlineStr">
        <is>
          <t>Scenario parameter</t>
        </is>
      </c>
      <c r="H1500" s="3" t="inlineStr">
        <is>
          <t>it_load_gw = active_power_gw / pue</t>
        </is>
      </c>
      <c r="I1500" s="3" t="inlineStr">
        <is>
          <t>No provider-wide site-level PUE is used as a disclosed fact; PUE represents facility-to-IT conversion within the scenario.</t>
        </is>
      </c>
      <c r="J1500" s="3" t="inlineStr">
        <is>
          <t>ASSUMP_POWER_RAMP</t>
        </is>
      </c>
      <c r="K1500" s="3" t="inlineStr">
        <is>
          <t>ASSUMP_STARGATE_RAMP; ASSUMP_MS_OPENAI_ATTRIBUTION; ASSUMP_NUMERIC_ACCELERATOR_MIX; ASSUMP_INFERENCE_SHARE_NOT_FACT_60; ASSUMP_WORKLOAD_CLASS_MIX; ASSUMP_AGENTIC_CONTEXT_PENALTY</t>
        </is>
      </c>
      <c r="L1500" s="3" t="inlineStr">
        <is>
          <t>Site-level measured PUE matched to attributed AI capacity.</t>
        </is>
      </c>
    </row>
    <row r="1501">
      <c r="A1501" s="3" t="inlineStr">
        <is>
          <t>OpenAI</t>
        </is>
      </c>
      <c r="B1501" s="3" t="n">
        <v>2026</v>
      </c>
      <c r="C1501" s="3" t="inlineStr">
        <is>
          <t>Base</t>
        </is>
      </c>
      <c r="D1501" s="3" t="inlineStr">
        <is>
          <t>it_load_gw</t>
        </is>
      </c>
      <c r="E1501" s="3" t="n">
        <v>1.167</v>
      </c>
      <c r="F1501" s="3" t="inlineStr">
        <is>
          <t>GW</t>
        </is>
      </c>
      <c r="G1501" s="3" t="inlineStr">
        <is>
          <t>Derived formula</t>
        </is>
      </c>
      <c r="H1501" s="3" t="inlineStr">
        <is>
          <t>active_power_gw / pue</t>
        </is>
      </c>
      <c r="I1501" s="3" t="inlineStr">
        <is>
          <t>Facility power is converted to IT-deliverable power before attributing AI workloads.</t>
        </is>
      </c>
      <c r="J1501" s="3" t="inlineStr">
        <is>
          <t>SRC_OPENAI_STARGATE_ORACLE; SRC_OPENAI_STARGATE_PROGRESS; ASSUMP_STARGATE_RAMP</t>
        </is>
      </c>
      <c r="K1501" s="3" t="inlineStr">
        <is>
          <t>ASSUMP_STARGATE_RAMP; ASSUMP_MS_OPENAI_ATTRIBUTION; ASSUMP_NUMERIC_ACCELERATOR_MIX; ASSUMP_INFERENCE_SHARE_NOT_FACT_60; ASSUMP_WORKLOAD_CLASS_MIX; ASSUMP_AGENTIC_CONTEXT_PENALTY</t>
        </is>
      </c>
      <c r="L1501" s="3" t="inlineStr">
        <is>
          <t>Recompute once active power and PUE become site-observable.</t>
        </is>
      </c>
    </row>
    <row r="1502">
      <c r="A1502" s="3" t="inlineStr">
        <is>
          <t>OpenAI</t>
        </is>
      </c>
      <c r="B1502" s="3" t="n">
        <v>2026</v>
      </c>
      <c r="C1502" s="3" t="inlineStr">
        <is>
          <t>Base</t>
        </is>
      </c>
      <c r="D1502" s="3" t="inlineStr">
        <is>
          <t>ai_workload_share</t>
        </is>
      </c>
      <c r="E1502" s="3" t="n">
        <v>0.88</v>
      </c>
      <c r="F1502" s="3" t="inlineStr">
        <is>
          <t>share</t>
        </is>
      </c>
      <c r="G1502" s="3" t="inlineStr">
        <is>
          <t>Scenario allocation</t>
        </is>
      </c>
      <c r="H1502" s="3" t="inlineStr">
        <is>
          <t>ai_it_load_gw = it_load_gw * ai_workload_share</t>
        </is>
      </c>
      <c r="I1502" s="3" t="inlineStr">
        <is>
          <t>Stargate capacity is AI-oriented but includes reserve, platform and non-token AI activity; 88% is a scenario.</t>
        </is>
      </c>
      <c r="J1502" s="3" t="inlineStr">
        <is>
          <t>SRC_OPENAI_GPT41_DOCS; SRC_OPENAI_STARGATE_ORACLE; SRC_OPENAI_STARGATE_PROGRESS; SRC_EPOCH_AI_DATA_CENTERS</t>
        </is>
      </c>
      <c r="K1502" s="3" t="inlineStr">
        <is>
          <t>ASSUMP_STARGATE_RAMP; ASSUMP_MS_OPENAI_ATTRIBUTION; ASSUMP_NUMERIC_ACCELERATOR_MIX; ASSUMP_INFERENCE_SHARE_NOT_FACT_60; ASSUMP_WORKLOAD_CLASS_MIX; ASSUMP_AGENTIC_CONTEXT_PENALTY</t>
        </is>
      </c>
      <c r="L1502" s="3" t="inlineStr">
        <is>
          <t>Model-owner AI workload allocation or cluster scheduling telemetry.</t>
        </is>
      </c>
    </row>
    <row r="1503">
      <c r="A1503" s="3" t="inlineStr">
        <is>
          <t>OpenAI</t>
        </is>
      </c>
      <c r="B1503" s="3" t="n">
        <v>2026</v>
      </c>
      <c r="C1503" s="3" t="inlineStr">
        <is>
          <t>Base</t>
        </is>
      </c>
      <c r="D1503" s="3" t="inlineStr">
        <is>
          <t>ai_it_load_gw</t>
        </is>
      </c>
      <c r="E1503" s="3" t="n">
        <v>1.027</v>
      </c>
      <c r="F1503" s="3" t="inlineStr">
        <is>
          <t>GW</t>
        </is>
      </c>
      <c r="G1503" s="3" t="inlineStr">
        <is>
          <t>Derived formula</t>
        </is>
      </c>
      <c r="H1503" s="3" t="inlineStr">
        <is>
          <t>it_load_gw * ai_workload_share</t>
        </is>
      </c>
      <c r="I1503" s="3" t="inlineStr">
        <is>
          <t>Only the AI-attributed portion of IT load enters training/inference allocation.</t>
        </is>
      </c>
      <c r="J1503" s="3" t="inlineStr">
        <is>
          <t>SRC_OPENAI_GPT41_DOCS; SRC_OPENAI_STARGATE_ORACLE; SRC_OPENAI_STARGATE_PROGRESS; SRC_EPOCH_AI_DATA_CENTERS</t>
        </is>
      </c>
      <c r="K1503" s="3" t="inlineStr">
        <is>
          <t>ASSUMP_STARGATE_RAMP; ASSUMP_MS_OPENAI_ATTRIBUTION; ASSUMP_NUMERIC_ACCELERATOR_MIX; ASSUMP_INFERENCE_SHARE_NOT_FACT_60; ASSUMP_WORKLOAD_CLASS_MIX; ASSUMP_AGENTIC_CONTEXT_PENALTY</t>
        </is>
      </c>
      <c r="L1503" s="3" t="inlineStr">
        <is>
          <t>Recompute after ai_workload_share is replaced by telemetry.</t>
        </is>
      </c>
    </row>
    <row r="1504">
      <c r="A1504" s="3" t="inlineStr">
        <is>
          <t>OpenAI</t>
        </is>
      </c>
      <c r="B1504" s="3" t="n">
        <v>2026</v>
      </c>
      <c r="C1504" s="3" t="inlineStr">
        <is>
          <t>Base</t>
        </is>
      </c>
      <c r="D1504" s="3" t="inlineStr">
        <is>
          <t>gpu_share</t>
        </is>
      </c>
      <c r="E1504" s="3" t="n">
        <v>1</v>
      </c>
      <c r="F1504" s="3" t="inlineStr">
        <is>
          <t>share of inference-serving accelerator load</t>
        </is>
      </c>
      <c r="G1504" s="3" t="inlineStr">
        <is>
          <t>Numeric scenario</t>
        </is>
      </c>
      <c r="H1504" s="3" t="inlineStr">
        <is>
          <t>gpu_share interpolated from company 2026/2030 accelerator-mix endpoints</t>
        </is>
      </c>
      <c r="I1504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04" s="3" t="inlineStr">
        <is>
          <t>SRC_OPENAI_GPT41_DOCS; SRC_OPENAI_STARGATE_ORACLE; SRC_OPENAI_STARGATE_PROGRESS; SRC_EPOCH_AI_DATA_CENTERS; ASSUMP_NUMERIC_ACCELERATOR_MIX</t>
        </is>
      </c>
      <c r="K1504" s="3" t="inlineStr">
        <is>
          <t>ASSUMP_STARGATE_RAMP; ASSUMP_MS_OPENAI_ATTRIBUTION; ASSUMP_NUMERIC_ACCELERATOR_MIX; ASSUMP_INFERENCE_SHARE_NOT_FACT_60; ASSUMP_WORKLOAD_CLASS_MIX; ASSUMP_AGENTIC_CONTEXT_PENALTY</t>
        </is>
      </c>
      <c r="L1504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05">
      <c r="A1505" s="3" t="inlineStr">
        <is>
          <t>OpenAI</t>
        </is>
      </c>
      <c r="B1505" s="3" t="n">
        <v>2026</v>
      </c>
      <c r="C1505" s="3" t="inlineStr">
        <is>
          <t>Base</t>
        </is>
      </c>
      <c r="D1505" s="3" t="inlineStr">
        <is>
          <t>h200_share</t>
        </is>
      </c>
      <c r="E1505" s="3" t="n">
        <v>0.08550199999999999</v>
      </c>
      <c r="F1505" s="3" t="inlineStr">
        <is>
          <t>share of inference-serving accelerator load</t>
        </is>
      </c>
      <c r="G1505" s="3" t="inlineStr">
        <is>
          <t>Editable numeric scenario</t>
        </is>
      </c>
      <c r="H1505" s="3" t="inlineStr">
        <is>
          <t>h200_share = gpu_share * default_gpu_generation_mix_h200</t>
        </is>
      </c>
      <c r="I1505" s="3" t="inlineStr">
        <is>
          <t>Default GPU-generation migration assumption; executive workbook allows later manual replacement by company/year/scenario.</t>
        </is>
      </c>
      <c r="J1505" s="3" t="inlineStr">
        <is>
          <t>SRC_SEMIANALYSIS_INFERENCEX; ASSUMP_NUMERIC_ACCELERATOR_MIX</t>
        </is>
      </c>
      <c r="K1505" s="3" t="inlineStr">
        <is>
          <t>ASSUMP_STARGATE_RAMP; ASSUMP_MS_OPENAI_ATTRIBUTION; ASSUMP_NUMERIC_ACCELERATOR_MIX; ASSUMP_INFERENCE_SHARE_NOT_FACT_60; ASSUMP_WORKLOAD_CLASS_MIX; ASSUMP_AGENTIC_CONTEXT_PENALTY</t>
        </is>
      </c>
      <c r="L1505" s="3" t="inlineStr">
        <is>
          <t>Company fleet inventory, accelerator-hours or procurement/deployment records by GPU generation.</t>
        </is>
      </c>
    </row>
    <row r="1506">
      <c r="A1506" s="3" t="inlineStr">
        <is>
          <t>OpenAI</t>
        </is>
      </c>
      <c r="B1506" s="3" t="n">
        <v>2026</v>
      </c>
      <c r="C1506" s="3" t="inlineStr">
        <is>
          <t>Base</t>
        </is>
      </c>
      <c r="D1506" s="3" t="inlineStr">
        <is>
          <t>b200_share</t>
        </is>
      </c>
      <c r="E1506" s="3" t="n">
        <v>0.914498</v>
      </c>
      <c r="F1506" s="3" t="inlineStr">
        <is>
          <t>share of inference-serving accelerator load</t>
        </is>
      </c>
      <c r="G1506" s="3" t="inlineStr">
        <is>
          <t>Editable numeric scenario</t>
        </is>
      </c>
      <c r="H1506" s="3" t="inlineStr">
        <is>
          <t>b200_share = gpu_share * default_gpu_generation_mix_b200</t>
        </is>
      </c>
      <c r="I1506" s="3" t="inlineStr">
        <is>
          <t>Default GPU-generation migration assumption; executive workbook allows later manual replacement by company/year/scenario.</t>
        </is>
      </c>
      <c r="J1506" s="3" t="inlineStr">
        <is>
          <t>SRC_SEMIANALYSIS_INFERENCEX; ASSUMP_NUMERIC_ACCELERATOR_MIX</t>
        </is>
      </c>
      <c r="K1506" s="3" t="inlineStr">
        <is>
          <t>ASSUMP_STARGATE_RAMP; ASSUMP_MS_OPENAI_ATTRIBUTION; ASSUMP_NUMERIC_ACCELERATOR_MIX; ASSUMP_INFERENCE_SHARE_NOT_FACT_60; ASSUMP_WORKLOAD_CLASS_MIX; ASSUMP_AGENTIC_CONTEXT_PENALTY</t>
        </is>
      </c>
      <c r="L1506" s="3" t="inlineStr">
        <is>
          <t>Company fleet inventory, accelerator-hours or procurement/deployment records by GPU generation.</t>
        </is>
      </c>
    </row>
    <row r="1507">
      <c r="A1507" s="3" t="inlineStr">
        <is>
          <t>OpenAI</t>
        </is>
      </c>
      <c r="B1507" s="3" t="n">
        <v>2026</v>
      </c>
      <c r="C1507" s="3" t="inlineStr">
        <is>
          <t>Base</t>
        </is>
      </c>
      <c r="D1507" s="3" t="inlineStr">
        <is>
          <t>gb200_share</t>
        </is>
      </c>
      <c r="E1507" s="3" t="n">
        <v>0</v>
      </c>
      <c r="F1507" s="3" t="inlineStr">
        <is>
          <t>share of inference-serving accelerator load</t>
        </is>
      </c>
      <c r="G1507" s="3" t="inlineStr">
        <is>
          <t>Editable numeric scenario</t>
        </is>
      </c>
      <c r="H1507" s="3" t="inlineStr">
        <is>
          <t>gb200_share = gpu_share * default_gpu_generation_mix_gb200</t>
        </is>
      </c>
      <c r="I1507" s="3" t="inlineStr">
        <is>
          <t>Default GPU-generation migration assumption; executive workbook allows later manual replacement by company/year/scenario.</t>
        </is>
      </c>
      <c r="J1507" s="3" t="inlineStr">
        <is>
          <t>SRC_SEMIANALYSIS_INFERENCEX; ASSUMP_NUMERIC_ACCELERATOR_MIX</t>
        </is>
      </c>
      <c r="K1507" s="3" t="inlineStr">
        <is>
          <t>ASSUMP_STARGATE_RAMP; ASSUMP_MS_OPENAI_ATTRIBUTION; ASSUMP_NUMERIC_ACCELERATOR_MIX; ASSUMP_INFERENCE_SHARE_NOT_FACT_60; ASSUMP_WORKLOAD_CLASS_MIX; ASSUMP_AGENTIC_CONTEXT_PENALTY</t>
        </is>
      </c>
      <c r="L1507" s="3" t="inlineStr">
        <is>
          <t>Company fleet inventory, accelerator-hours or procurement/deployment records by GPU generation.</t>
        </is>
      </c>
    </row>
    <row r="1508">
      <c r="A1508" s="3" t="inlineStr">
        <is>
          <t>OpenAI</t>
        </is>
      </c>
      <c r="B1508" s="3" t="n">
        <v>2026</v>
      </c>
      <c r="C1508" s="3" t="inlineStr">
        <is>
          <t>Base</t>
        </is>
      </c>
      <c r="D1508" s="3" t="inlineStr">
        <is>
          <t>purpose_built_accelerator_share</t>
        </is>
      </c>
      <c r="E1508" s="3" t="n">
        <v>0</v>
      </c>
      <c r="F1508" s="3" t="inlineStr">
        <is>
          <t>share of inference-serving accelerator load</t>
        </is>
      </c>
      <c r="G1508" s="3" t="inlineStr">
        <is>
          <t>Numeric scenario</t>
        </is>
      </c>
      <c r="H1508" s="3" t="inlineStr">
        <is>
          <t>1 - gpu_share</t>
        </is>
      </c>
      <c r="I1508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08" s="3" t="inlineStr">
        <is>
          <t>SRC_OPENAI_GPT41_DOCS; SRC_OPENAI_STARGATE_ORACLE; SRC_OPENAI_STARGATE_PROGRESS; SRC_EPOCH_AI_DATA_CENTERS; ASSUMP_NUMERIC_ACCELERATOR_MIX</t>
        </is>
      </c>
      <c r="K1508" s="3" t="inlineStr">
        <is>
          <t>ASSUMP_STARGATE_RAMP; ASSUMP_MS_OPENAI_ATTRIBUTION; ASSUMP_NUMERIC_ACCELERATOR_MIX; ASSUMP_INFERENCE_SHARE_NOT_FACT_60; ASSUMP_WORKLOAD_CLASS_MIX; ASSUMP_AGENTIC_CONTEXT_PENALTY</t>
        </is>
      </c>
      <c r="L1508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09">
      <c r="A1509" s="3" t="inlineStr">
        <is>
          <t>OpenAI</t>
        </is>
      </c>
      <c r="B1509" s="3" t="n">
        <v>2026</v>
      </c>
      <c r="C1509" s="3" t="inlineStr">
        <is>
          <t>Base</t>
        </is>
      </c>
      <c r="D1509" s="3" t="inlineStr">
        <is>
          <t>fleet_reference_tps_per_mw</t>
        </is>
      </c>
      <c r="E1509" s="3" t="n">
        <v>216550</v>
      </c>
      <c r="F1509" s="3" t="inlineStr">
        <is>
          <t>generated output tokens/sec/MW</t>
        </is>
      </c>
      <c r="G1509" s="3" t="inlineStr">
        <is>
          <t>Fleet-weighted public benchmark reference</t>
        </is>
      </c>
      <c r="H1509" s="3" t="inlineStr">
        <is>
          <t>h200_share*h200_workload_avg + b200_share*b200_workload_avg + gb200_share*gb200_workload_avg + purpose_built_share*purpose_workload_avg</t>
        </is>
      </c>
      <c r="I150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09" s="3" t="inlineStr">
        <is>
          <t>SRC_SEMIANALYSIS_INFERENCEX; ASSUMP_NUMERIC_ACCELERATOR_MIX; ASSUMP_WORKLOAD_CLASS_MIX; ASSUMP_AGENTIC_CONTEXT_PENALTY</t>
        </is>
      </c>
      <c r="K1509" s="3" t="inlineStr">
        <is>
          <t>ASSUMP_STARGATE_RAMP; ASSUMP_MS_OPENAI_ATTRIBUTION; ASSUMP_NUMERIC_ACCELERATOR_MIX; ASSUMP_INFERENCE_SHARE_NOT_FACT_60; ASSUMP_WORKLOAD_CLASS_MIX; ASSUMP_AGENTIC_CONTEXT_PENALTY</t>
        </is>
      </c>
      <c r="L1509" s="3" t="inlineStr">
        <is>
          <t>Comparable production output-token throughput or a more closely matched benchmark.</t>
        </is>
      </c>
    </row>
    <row r="1510">
      <c r="A1510" s="3" t="inlineStr">
        <is>
          <t>OpenAI</t>
        </is>
      </c>
      <c r="B1510" s="3" t="n">
        <v>2026</v>
      </c>
      <c r="C1510" s="3" t="inlineStr">
        <is>
          <t>Base</t>
        </is>
      </c>
      <c r="D1510" s="3" t="inlineStr">
        <is>
          <t>commercial_workload_fit_factor</t>
        </is>
      </c>
      <c r="E1510" s="3" t="n">
        <v>0.5</v>
      </c>
      <c r="F1510" s="3" t="inlineStr">
        <is>
          <t>share of public reference throughput</t>
        </is>
      </c>
      <c r="G1510" s="3" t="inlineStr">
        <is>
          <t>Scenario assumption</t>
        </is>
      </c>
      <c r="H1510" s="3" t="inlineStr">
        <is>
          <t>reference_serving_tps_per_mw = fleet_reference_tps_per_mw * commercial_workload_fit_factor</t>
        </is>
      </c>
      <c r="I151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10" s="3" t="inlineStr">
        <is>
          <t>SRC_SEMIANALYSIS_INFERENCEX; ASSUMP_NUMERIC_ACCELERATOR_MIX; ASSUMP_WORKLOAD_CLASS_MIX; ASSUMP_AGENTIC_CONTEXT_PENALTY</t>
        </is>
      </c>
      <c r="K1510" s="3" t="inlineStr">
        <is>
          <t>ASSUMP_STARGATE_RAMP; ASSUMP_MS_OPENAI_ATTRIBUTION; ASSUMP_NUMERIC_ACCELERATOR_MIX; ASSUMP_INFERENCE_SHARE_NOT_FACT_60; ASSUMP_WORKLOAD_CLASS_MIX; ASSUMP_AGENTIC_CONTEXT_PENALTY</t>
        </is>
      </c>
      <c r="L1510" s="3" t="inlineStr">
        <is>
          <t>Matched commercial serving benchmark by product surface, context shape and latency SLO.</t>
        </is>
      </c>
    </row>
    <row r="1511">
      <c r="A1511" s="3" t="inlineStr">
        <is>
          <t>OpenAI</t>
        </is>
      </c>
      <c r="B1511" s="3" t="n">
        <v>2026</v>
      </c>
      <c r="C1511" s="3" t="inlineStr">
        <is>
          <t>Base</t>
        </is>
      </c>
      <c r="D1511" s="3" t="inlineStr">
        <is>
          <t>reference_serving_tps_per_mw</t>
        </is>
      </c>
      <c r="E1511" s="3" t="n">
        <v>108275</v>
      </c>
      <c r="F1511" s="3" t="inlineStr">
        <is>
          <t>generated output tokens/sec/MW</t>
        </is>
      </c>
      <c r="G1511" s="3" t="inlineStr">
        <is>
          <t>Workload-adjusted benchmark proxy</t>
        </is>
      </c>
      <c r="H1511" s="3" t="inlineStr">
        <is>
          <t>fleet_reference_tps_per_mw * commercial_workload_fit_factor</t>
        </is>
      </c>
      <c r="I1511" s="3" t="inlineStr">
        <is>
          <t>This is the coefficient used for headline token generation; each GPU's short chat, long chat and agentic TPS/MW are weighted before fleet mix and commercial fit are applied.</t>
        </is>
      </c>
      <c r="J1511" s="3" t="inlineStr">
        <is>
          <t>SRC_SEMIANALYSIS_INFERENCEX; ASSUMP_NUMERIC_ACCELERATOR_MIX; ASSUMP_WORKLOAD_CLASS_MIX; ASSUMP_AGENTIC_CONTEXT_PENALTY</t>
        </is>
      </c>
      <c r="K1511" s="3" t="inlineStr">
        <is>
          <t>ASSUMP_STARGATE_RAMP; ASSUMP_MS_OPENAI_ATTRIBUTION; ASSUMP_NUMERIC_ACCELERATOR_MIX; ASSUMP_INFERENCE_SHARE_NOT_FACT_60; ASSUMP_WORKLOAD_CLASS_MIX; ASSUMP_AGENTIC_CONTEXT_PENALTY</t>
        </is>
      </c>
      <c r="L1511" s="3" t="inlineStr">
        <is>
          <t>Provider production output-token throughput with comparable workload/SLO.</t>
        </is>
      </c>
    </row>
    <row r="1512">
      <c r="A1512" s="3" t="inlineStr">
        <is>
          <t>OpenAI</t>
        </is>
      </c>
      <c r="B1512" s="3" t="n">
        <v>2026</v>
      </c>
      <c r="C1512" s="3" t="inlineStr">
        <is>
          <t>Base</t>
        </is>
      </c>
      <c r="D1512" s="3" t="inlineStr">
        <is>
          <t>purpose_built_tps_per_mw</t>
        </is>
      </c>
      <c r="E1512" s="3" t="n">
        <v>67653</v>
      </c>
      <c r="F1512" s="3" t="inlineStr">
        <is>
          <t>generated output tokens/sec/MW</t>
        </is>
      </c>
      <c r="G1512" s="3" t="inlineStr">
        <is>
          <t>Conservative no-uplift proxy</t>
        </is>
      </c>
      <c r="H1512" s="3" t="inlineStr">
        <is>
          <t>purpose_built_tps_per_mw = purpose_built_reference_tps_per_mw * commercial_workload_fit_factor until comparable output-token benchmark is adopted</t>
        </is>
      </c>
      <c r="I1512" s="3" t="inlineStr">
        <is>
          <t>No comparable public output-token/MW row adopted; B200 public reference placeholder is used and remains editable.</t>
        </is>
      </c>
      <c r="J1512" s="3" t="inlineStr">
        <is>
          <t>SRC_OPENAI_GPT41_DOCS; SRC_OPENAI_STARGATE_ORACLE; SRC_OPENAI_STARGATE_PROGRESS; SRC_EPOCH_AI_DATA_CENTERS; ASSUMP_NUMERIC_ACCELERATOR_MIX</t>
        </is>
      </c>
      <c r="K1512" s="3" t="inlineStr">
        <is>
          <t>ASSUMP_STARGATE_RAMP; ASSUMP_MS_OPENAI_ATTRIBUTION; ASSUMP_NUMERIC_ACCELERATOR_MIX; ASSUMP_INFERENCE_SHARE_NOT_FACT_60; ASSUMP_WORKLOAD_CLASS_MIX; ASSUMP_AGENTIC_CONTEXT_PENALTY</t>
        </is>
      </c>
      <c r="L1512" s="3" t="inlineStr">
        <is>
          <t>Matched-workload generated-output benchmark for the provider purpose-built accelerator.</t>
        </is>
      </c>
    </row>
    <row r="1513">
      <c r="A1513" s="3" t="inlineStr">
        <is>
          <t>OpenAI</t>
        </is>
      </c>
      <c r="B1513" s="3" t="n">
        <v>2026</v>
      </c>
      <c r="C1513" s="3" t="inlineStr">
        <is>
          <t>Base</t>
        </is>
      </c>
      <c r="D1513" s="3" t="inlineStr">
        <is>
          <t>inference_power_share</t>
        </is>
      </c>
      <c r="E1513" s="3" t="n">
        <v>0.58</v>
      </c>
      <c r="F1513" s="3" t="inlineStr">
        <is>
          <t>share of AI IT load</t>
        </is>
      </c>
      <c r="G1513" s="3" t="inlineStr">
        <is>
          <t>Scenario allocation</t>
        </is>
      </c>
      <c r="H1513" s="3" t="inlineStr">
        <is>
          <t>inference_gw = ai_it_load_gw * inference_power_share</t>
        </is>
      </c>
      <c r="I1513" s="3" t="inlineStr">
        <is>
          <t>ChatGPT/API/enterprise commercial surfaces support increasing inference allocation while training remains material.</t>
        </is>
      </c>
      <c r="J1513" s="3" t="inlineStr">
        <is>
          <t>SRC_OPENAI_GPT41_DOCS; SRC_OPENAI_STARGATE_ORACLE; SRC_OPENAI_STARGATE_PROGRESS; SRC_EPOCH_AI_DATA_CENTERS; ASSUMP_INFERENCE_SHARE_NOT_FACT_60</t>
        </is>
      </c>
      <c r="K1513" s="3" t="inlineStr">
        <is>
          <t>ASSUMP_STARGATE_RAMP; ASSUMP_MS_OPENAI_ATTRIBUTION; ASSUMP_NUMERIC_ACCELERATOR_MIX; ASSUMP_INFERENCE_SHARE_NOT_FACT_60; ASSUMP_WORKLOAD_CLASS_MIX; ASSUMP_AGENTIC_CONTEXT_PENALTY</t>
        </is>
      </c>
      <c r="L1513" s="3" t="inlineStr">
        <is>
          <t>Provider-specific inference/training workload power telemetry.</t>
        </is>
      </c>
    </row>
    <row r="1514">
      <c r="A1514" s="3" t="inlineStr">
        <is>
          <t>OpenAI</t>
        </is>
      </c>
      <c r="B1514" s="3" t="n">
        <v>2026</v>
      </c>
      <c r="C1514" s="3" t="inlineStr">
        <is>
          <t>Base</t>
        </is>
      </c>
      <c r="D1514" s="3" t="inlineStr">
        <is>
          <t>inference_gw</t>
        </is>
      </c>
      <c r="E1514" s="3" t="n">
        <v>0.595</v>
      </c>
      <c r="F1514" s="3" t="inlineStr">
        <is>
          <t>GW</t>
        </is>
      </c>
      <c r="G1514" s="3" t="inlineStr">
        <is>
          <t>Derived formula</t>
        </is>
      </c>
      <c r="H1514" s="3" t="inlineStr">
        <is>
          <t>ai_it_load_gw * inference_power_share</t>
        </is>
      </c>
      <c r="I1514" s="3" t="inlineStr">
        <is>
          <t>This is the operational power eligible to become commercial generated output tokens through the selected TPS/MW proxy.</t>
        </is>
      </c>
      <c r="J1514" s="3" t="inlineStr">
        <is>
          <t>SRC_OPENAI_GPT41_DOCS; SRC_OPENAI_STARGATE_ORACLE; SRC_OPENAI_STARGATE_PROGRESS; SRC_EPOCH_AI_DATA_CENTERS</t>
        </is>
      </c>
      <c r="K1514" s="3" t="inlineStr">
        <is>
          <t>ASSUMP_STARGATE_RAMP; ASSUMP_MS_OPENAI_ATTRIBUTION; ASSUMP_NUMERIC_ACCELERATOR_MIX; ASSUMP_INFERENCE_SHARE_NOT_FACT_60; ASSUMP_WORKLOAD_CLASS_MIX; ASSUMP_AGENTIC_CONTEXT_PENALTY</t>
        </is>
      </c>
      <c r="L1514" s="3" t="inlineStr">
        <is>
          <t>Recompute after AI allocation or inference-share evidence changes.</t>
        </is>
      </c>
    </row>
    <row r="1515">
      <c r="A1515" s="3" t="inlineStr">
        <is>
          <t>OpenAI</t>
        </is>
      </c>
      <c r="B1515" s="3" t="n">
        <v>2026</v>
      </c>
      <c r="C1515" s="3" t="inlineStr">
        <is>
          <t>Base</t>
        </is>
      </c>
      <c r="D1515" s="3" t="inlineStr">
        <is>
          <t>training_power_share</t>
        </is>
      </c>
      <c r="E1515" s="3" t="n">
        <v>0.42</v>
      </c>
      <c r="F1515" s="3" t="inlineStr">
        <is>
          <t>share of AI IT load</t>
        </is>
      </c>
      <c r="G1515" s="3" t="inlineStr">
        <is>
          <t>Derived allocation</t>
        </is>
      </c>
      <c r="H1515" s="3" t="inlineStr">
        <is>
          <t>1 - inference_power_share</t>
        </is>
      </c>
      <c r="I1515" s="3" t="inlineStr">
        <is>
          <t>Training receives the complementary modeled AI IT allocation; it is not a disclosed company workload split.</t>
        </is>
      </c>
      <c r="J1515" s="3" t="inlineStr">
        <is>
          <t>SRC_OPENAI_GPT41_DOCS; SRC_OPENAI_STARGATE_ORACLE; SRC_OPENAI_STARGATE_PROGRESS; SRC_EPOCH_AI_DATA_CENTERS; ASSUMP_INFERENCE_SHARE_NOT_FACT_60</t>
        </is>
      </c>
      <c r="K1515" s="3" t="inlineStr">
        <is>
          <t>ASSUMP_STARGATE_RAMP; ASSUMP_MS_OPENAI_ATTRIBUTION; ASSUMP_NUMERIC_ACCELERATOR_MIX; ASSUMP_INFERENCE_SHARE_NOT_FACT_60; ASSUMP_WORKLOAD_CLASS_MIX; ASSUMP_AGENTIC_CONTEXT_PENALTY</t>
        </is>
      </c>
      <c r="L1515" s="3" t="inlineStr">
        <is>
          <t>Provider-specific inference/training workload power telemetry.</t>
        </is>
      </c>
    </row>
    <row r="1516">
      <c r="A1516" s="3" t="inlineStr">
        <is>
          <t>OpenAI</t>
        </is>
      </c>
      <c r="B1516" s="3" t="n">
        <v>2026</v>
      </c>
      <c r="C1516" s="3" t="inlineStr">
        <is>
          <t>Base</t>
        </is>
      </c>
      <c r="D1516" s="3" t="inlineStr">
        <is>
          <t>training_gw</t>
        </is>
      </c>
      <c r="E1516" s="3" t="n">
        <v>0.431</v>
      </c>
      <c r="F1516" s="3" t="inlineStr">
        <is>
          <t>GW</t>
        </is>
      </c>
      <c r="G1516" s="3" t="inlineStr">
        <is>
          <t>Derived formula</t>
        </is>
      </c>
      <c r="H1516" s="3" t="inlineStr">
        <is>
          <t>ai_it_load_gw * training_power_share</t>
        </is>
      </c>
      <c r="I1516" s="3" t="inlineStr">
        <is>
          <t>Training GW is shown separately so commercial inference token capacity is not overstated.</t>
        </is>
      </c>
      <c r="J1516" s="3" t="inlineStr">
        <is>
          <t>SRC_OPENAI_GPT41_DOCS; SRC_OPENAI_STARGATE_ORACLE; SRC_OPENAI_STARGATE_PROGRESS; SRC_EPOCH_AI_DATA_CENTERS</t>
        </is>
      </c>
      <c r="K1516" s="3" t="inlineStr">
        <is>
          <t>ASSUMP_STARGATE_RAMP; ASSUMP_MS_OPENAI_ATTRIBUTION; ASSUMP_NUMERIC_ACCELERATOR_MIX; ASSUMP_INFERENCE_SHARE_NOT_FACT_60; ASSUMP_WORKLOAD_CLASS_MIX; ASSUMP_AGENTIC_CONTEXT_PENALTY</t>
        </is>
      </c>
      <c r="L1516" s="3" t="inlineStr">
        <is>
          <t>Recompute after AI allocation or workload-split evidence changes.</t>
        </is>
      </c>
    </row>
    <row r="1517">
      <c r="A1517" s="3" t="inlineStr">
        <is>
          <t>OpenAI</t>
        </is>
      </c>
      <c r="B1517" s="3" t="n">
        <v>2026</v>
      </c>
      <c r="C1517" s="3" t="inlineStr">
        <is>
          <t>Base</t>
        </is>
      </c>
      <c r="D1517" s="3" t="inlineStr">
        <is>
          <t>tokens_per_second_per_mw</t>
        </is>
      </c>
      <c r="E1517" s="3" t="n">
        <v>108275</v>
      </c>
      <c r="F1517" s="3" t="inlineStr">
        <is>
          <t>generated output tokens/sec/MW</t>
        </is>
      </c>
      <c r="G1517" s="3" t="inlineStr">
        <is>
          <t>Derived estimate + benchmark calibration</t>
        </is>
      </c>
      <c r="H1517" s="3" t="inlineStr">
        <is>
          <t>fleet_reference_tps_per_mw * commercial_workload_fit_factor</t>
        </is>
      </c>
      <c r="I151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17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17" s="3" t="inlineStr">
        <is>
          <t>ASSUMP_STARGATE_RAMP; ASSUMP_MS_OPENAI_ATTRIBUTION; ASSUMP_NUMERIC_ACCELERATOR_MIX; ASSUMP_INFERENCE_SHARE_NOT_FACT_60; ASSUMP_WORKLOAD_CLASS_MIX; ASSUMP_AGENTIC_CONTEXT_PENALTY</t>
        </is>
      </c>
      <c r="L1517" s="3" t="inlineStr">
        <is>
          <t>Comparable production output-token throughput with model, hardware, precision, ISL/OSL and SLO matched.</t>
        </is>
      </c>
    </row>
    <row r="1518">
      <c r="A1518" s="3" t="inlineStr">
        <is>
          <t>OpenAI</t>
        </is>
      </c>
      <c r="B1518" s="3" t="n">
        <v>2026</v>
      </c>
      <c r="C1518" s="3" t="inlineStr">
        <is>
          <t>Base</t>
        </is>
      </c>
      <c r="D1518" s="3" t="inlineStr">
        <is>
          <t>inference_tokens_per_day</t>
        </is>
      </c>
      <c r="E1518" s="3" t="n">
        <v>5566201200000</v>
      </c>
      <c r="F1518" s="3" t="inlineStr">
        <is>
          <t>generated output tokens/day</t>
        </is>
      </c>
      <c r="G1518" s="3" t="inlineStr">
        <is>
          <t>Derived headline metric</t>
        </is>
      </c>
      <c r="H1518" s="3" t="inlineStr">
        <is>
          <t>inference_gw * 1000 * tokens_per_second_per_mw * 86,400</t>
        </is>
      </c>
      <c r="I1518" s="3" t="inlineStr">
        <is>
          <t>Headline capacity uses no utilization, MoE, architecture or software-growth multiplier; it is not observed commercial output volume.</t>
        </is>
      </c>
      <c r="J1518" s="3" t="inlineStr">
        <is>
          <t>SRC_OPENAI_GPT41_DOCS; SRC_OPENAI_STARGATE_ORACLE; SRC_OPENAI_STARGATE_PROGRESS; SRC_EPOCH_AI_DATA_CENTERS; SRC_SEMIANALYSIS_INFERENCEX</t>
        </is>
      </c>
      <c r="K1518" s="3" t="inlineStr">
        <is>
          <t>ASSUMP_STARGATE_RAMP; ASSUMP_MS_OPENAI_ATTRIBUTION; ASSUMP_NUMERIC_ACCELERATOR_MIX; ASSUMP_INFERENCE_SHARE_NOT_FACT_60; ASSUMP_WORKLOAD_CLASS_MIX; ASSUMP_AGENTIC_CONTEXT_PENALTY</t>
        </is>
      </c>
      <c r="L1518" s="3" t="inlineStr">
        <is>
          <t>Provider-disclosed generated output token volume or calibrated capacity telemetry.</t>
        </is>
      </c>
    </row>
    <row r="1519">
      <c r="A1519" s="3" t="inlineStr">
        <is>
          <t>OpenAI</t>
        </is>
      </c>
      <c r="B1519" s="3" t="n">
        <v>2026</v>
      </c>
      <c r="C1519" s="3" t="inlineStr">
        <is>
          <t>Base</t>
        </is>
      </c>
      <c r="D1519" s="3" t="inlineStr">
        <is>
          <t>inference_tokens_per_year</t>
        </is>
      </c>
      <c r="E1519" s="3" t="n">
        <v>2031663438000000</v>
      </c>
      <c r="F1519" s="3" t="inlineStr">
        <is>
          <t>generated output tokens/year</t>
        </is>
      </c>
      <c r="G1519" s="3" t="inlineStr">
        <is>
          <t>Derived headline metric</t>
        </is>
      </c>
      <c r="H1519" s="3" t="inlineStr">
        <is>
          <t>inference_tokens_per_day * 365</t>
        </is>
      </c>
      <c r="I1519" s="3" t="inlineStr">
        <is>
          <t>Annualized version of generated output token capacity; it is not observed annual demand or billable volume.</t>
        </is>
      </c>
      <c r="J1519" s="3" t="inlineStr">
        <is>
          <t>SRC_OPENAI_GPT41_DOCS; SRC_OPENAI_STARGATE_ORACLE; SRC_OPENAI_STARGATE_PROGRESS; SRC_EPOCH_AI_DATA_CENTERS; SRC_SEMIANALYSIS_INFERENCEX</t>
        </is>
      </c>
      <c r="K1519" s="3" t="inlineStr">
        <is>
          <t>ASSUMP_STARGATE_RAMP; ASSUMP_MS_OPENAI_ATTRIBUTION; ASSUMP_NUMERIC_ACCELERATOR_MIX; ASSUMP_INFERENCE_SHARE_NOT_FACT_60; ASSUMP_WORKLOAD_CLASS_MIX; ASSUMP_AGENTIC_CONTEXT_PENALTY</t>
        </is>
      </c>
      <c r="L1519" s="3" t="inlineStr">
        <is>
          <t>Provider-disclosed annual generated-output volume or metered serving telemetry.</t>
        </is>
      </c>
    </row>
    <row r="1520">
      <c r="A1520" s="3" t="inlineStr">
        <is>
          <t>OpenAI</t>
        </is>
      </c>
      <c r="B1520" s="3" t="n">
        <v>2027</v>
      </c>
      <c r="C1520" s="3" t="inlineStr">
        <is>
          <t>Base</t>
        </is>
      </c>
      <c r="D1520" s="3" t="inlineStr">
        <is>
          <t>contracted_power_gw</t>
        </is>
      </c>
      <c r="E1520" s="3" t="n">
        <v>6.75</v>
      </c>
      <c r="F1520" s="3" t="inlineStr">
        <is>
          <t>GW</t>
        </is>
      </c>
      <c r="G1520" s="3" t="inlineStr">
        <is>
          <t>Fact anchor + scenario ceiling</t>
        </is>
      </c>
      <c r="H1520" s="3" t="inlineStr">
        <is>
          <t>linear interpolation between 2026 and 2030 company capacity endpoints</t>
        </is>
      </c>
      <c r="I1520" s="3" t="inlineStr">
        <is>
          <t>2030 envelope is bounded by official Stargate planned/committed capacity; 2026 and timing remain staged scenario values.</t>
        </is>
      </c>
      <c r="J1520" s="3" t="inlineStr">
        <is>
          <t>SRC_OPENAI_STARGATE_ORACLE; SRC_OPENAI_STARGATE_PROGRESS; ASSUMP_STARGATE_RAMP</t>
        </is>
      </c>
      <c r="K1520" s="3" t="inlineStr">
        <is>
          <t>ASSUMP_STARGATE_RAMP; ASSUMP_MS_OPENAI_ATTRIBUTION; ASSUMP_NUMERIC_ACCELERATOR_MIX; ASSUMP_INFERENCE_SHARE_NOT_FACT_60; ASSUMP_WORKLOAD_CLASS_MIX; ASSUMP_AGENTIC_CONTEXT_PENALTY</t>
        </is>
      </c>
      <c r="L1520" s="3" t="inlineStr">
        <is>
          <t>Company/site-level committed MW/GW, interconnect and contract disclosure.</t>
        </is>
      </c>
    </row>
    <row r="1521">
      <c r="A1521" s="3" t="inlineStr">
        <is>
          <t>OpenAI</t>
        </is>
      </c>
      <c r="B1521" s="3" t="n">
        <v>2027</v>
      </c>
      <c r="C1521" s="3" t="inlineStr">
        <is>
          <t>Base</t>
        </is>
      </c>
      <c r="D1521" s="3" t="inlineStr">
        <is>
          <t>operational_deployment_share</t>
        </is>
      </c>
      <c r="E1521" s="3" t="n">
        <v>0.47037037</v>
      </c>
      <c r="F1521" s="3" t="inlineStr">
        <is>
          <t>share</t>
        </is>
      </c>
      <c r="G1521" s="3" t="inlineStr">
        <is>
          <t>Scenario conversion</t>
        </is>
      </c>
      <c r="H1521" s="3" t="inlineStr">
        <is>
          <t>active_power_gw / contracted_power_gw</t>
        </is>
      </c>
      <c r="I1521" s="3" t="inlineStr">
        <is>
          <t>This is the single explicit conversion from contracted/attributed capacity to operationally usable capacity.</t>
        </is>
      </c>
      <c r="J1521" s="3" t="inlineStr">
        <is>
          <t>SRC_OPENAI_STARGATE_ORACLE; SRC_OPENAI_STARGATE_PROGRESS; ASSUMP_STARGATE_RAMP</t>
        </is>
      </c>
      <c r="K1521" s="3" t="inlineStr">
        <is>
          <t>ASSUMP_STARGATE_RAMP; ASSUMP_MS_OPENAI_ATTRIBUTION; ASSUMP_NUMERIC_ACCELERATOR_MIX; ASSUMP_INFERENCE_SHARE_NOT_FACT_60; ASSUMP_WORKLOAD_CLASS_MIX; ASSUMP_AGENTIC_CONTEXT_PENALTY</t>
        </is>
      </c>
      <c r="L1521" s="3" t="inlineStr">
        <is>
          <t>Energized operational capacity divided by contracted/attributed capacity.</t>
        </is>
      </c>
    </row>
    <row r="1522">
      <c r="A1522" s="3" t="inlineStr">
        <is>
          <t>OpenAI</t>
        </is>
      </c>
      <c r="B1522" s="3" t="n">
        <v>2027</v>
      </c>
      <c r="C1522" s="3" t="inlineStr">
        <is>
          <t>Base</t>
        </is>
      </c>
      <c r="D1522" s="3" t="inlineStr">
        <is>
          <t>active_power_gw</t>
        </is>
      </c>
      <c r="E1522" s="3" t="n">
        <v>3.175</v>
      </c>
      <c r="F1522" s="3" t="inlineStr">
        <is>
          <t>GW</t>
        </is>
      </c>
      <c r="G1522" s="3" t="inlineStr">
        <is>
          <t>Derived scenario</t>
        </is>
      </c>
      <c r="H1522" s="3" t="inlineStr">
        <is>
          <t>contracted_power_gw * operational_deployment_share</t>
        </is>
      </c>
      <c r="I1522" s="3" t="inlineStr">
        <is>
          <t>Official capacity announcements are converted to active GW only through energization/GPU-deployment ramp assumptions.</t>
        </is>
      </c>
      <c r="J1522" s="3" t="inlineStr">
        <is>
          <t>SRC_OPENAI_STARGATE_ORACLE; SRC_OPENAI_STARGATE_PROGRESS; ASSUMP_STARGATE_RAMP</t>
        </is>
      </c>
      <c r="K1522" s="3" t="inlineStr">
        <is>
          <t>ASSUMP_STARGATE_RAMP; ASSUMP_MS_OPENAI_ATTRIBUTION; ASSUMP_NUMERIC_ACCELERATOR_MIX; ASSUMP_INFERENCE_SHARE_NOT_FACT_60; ASSUMP_WORKLOAD_CLASS_MIX; ASSUMP_AGENTIC_CONTEXT_PENALTY</t>
        </is>
      </c>
      <c r="L1522" s="3" t="inlineStr">
        <is>
          <t>Energization dates, accelerator deliveries and operational powered-rack telemetry.</t>
        </is>
      </c>
    </row>
    <row r="1523">
      <c r="A1523" s="3" t="inlineStr">
        <is>
          <t>OpenAI</t>
        </is>
      </c>
      <c r="B1523" s="3" t="n">
        <v>2027</v>
      </c>
      <c r="C1523" s="3" t="inlineStr">
        <is>
          <t>Base</t>
        </is>
      </c>
      <c r="D1523" s="3" t="inlineStr">
        <is>
          <t>pue</t>
        </is>
      </c>
      <c r="E1523" s="3" t="n">
        <v>1.2</v>
      </c>
      <c r="F1523" s="3" t="inlineStr">
        <is>
          <t>ratio</t>
        </is>
      </c>
      <c r="G1523" s="3" t="inlineStr">
        <is>
          <t>Scenario parameter</t>
        </is>
      </c>
      <c r="H1523" s="3" t="inlineStr">
        <is>
          <t>it_load_gw = active_power_gw / pue</t>
        </is>
      </c>
      <c r="I1523" s="3" t="inlineStr">
        <is>
          <t>No provider-wide site-level PUE is used as a disclosed fact; PUE represents facility-to-IT conversion within the scenario.</t>
        </is>
      </c>
      <c r="J1523" s="3" t="inlineStr">
        <is>
          <t>ASSUMP_POWER_RAMP</t>
        </is>
      </c>
      <c r="K1523" s="3" t="inlineStr">
        <is>
          <t>ASSUMP_STARGATE_RAMP; ASSUMP_MS_OPENAI_ATTRIBUTION; ASSUMP_NUMERIC_ACCELERATOR_MIX; ASSUMP_INFERENCE_SHARE_NOT_FACT_60; ASSUMP_WORKLOAD_CLASS_MIX; ASSUMP_AGENTIC_CONTEXT_PENALTY</t>
        </is>
      </c>
      <c r="L1523" s="3" t="inlineStr">
        <is>
          <t>Site-level measured PUE matched to attributed AI capacity.</t>
        </is>
      </c>
    </row>
    <row r="1524">
      <c r="A1524" s="3" t="inlineStr">
        <is>
          <t>OpenAI</t>
        </is>
      </c>
      <c r="B1524" s="3" t="n">
        <v>2027</v>
      </c>
      <c r="C1524" s="3" t="inlineStr">
        <is>
          <t>Base</t>
        </is>
      </c>
      <c r="D1524" s="3" t="inlineStr">
        <is>
          <t>it_load_gw</t>
        </is>
      </c>
      <c r="E1524" s="3" t="n">
        <v>2.646</v>
      </c>
      <c r="F1524" s="3" t="inlineStr">
        <is>
          <t>GW</t>
        </is>
      </c>
      <c r="G1524" s="3" t="inlineStr">
        <is>
          <t>Derived formula</t>
        </is>
      </c>
      <c r="H1524" s="3" t="inlineStr">
        <is>
          <t>active_power_gw / pue</t>
        </is>
      </c>
      <c r="I1524" s="3" t="inlineStr">
        <is>
          <t>Facility power is converted to IT-deliverable power before attributing AI workloads.</t>
        </is>
      </c>
      <c r="J1524" s="3" t="inlineStr">
        <is>
          <t>SRC_OPENAI_STARGATE_ORACLE; SRC_OPENAI_STARGATE_PROGRESS; ASSUMP_STARGATE_RAMP</t>
        </is>
      </c>
      <c r="K1524" s="3" t="inlineStr">
        <is>
          <t>ASSUMP_STARGATE_RAMP; ASSUMP_MS_OPENAI_ATTRIBUTION; ASSUMP_NUMERIC_ACCELERATOR_MIX; ASSUMP_INFERENCE_SHARE_NOT_FACT_60; ASSUMP_WORKLOAD_CLASS_MIX; ASSUMP_AGENTIC_CONTEXT_PENALTY</t>
        </is>
      </c>
      <c r="L1524" s="3" t="inlineStr">
        <is>
          <t>Recompute once active power and PUE become site-observable.</t>
        </is>
      </c>
    </row>
    <row r="1525">
      <c r="A1525" s="3" t="inlineStr">
        <is>
          <t>OpenAI</t>
        </is>
      </c>
      <c r="B1525" s="3" t="n">
        <v>2027</v>
      </c>
      <c r="C1525" s="3" t="inlineStr">
        <is>
          <t>Base</t>
        </is>
      </c>
      <c r="D1525" s="3" t="inlineStr">
        <is>
          <t>ai_workload_share</t>
        </is>
      </c>
      <c r="E1525" s="3" t="n">
        <v>0.88</v>
      </c>
      <c r="F1525" s="3" t="inlineStr">
        <is>
          <t>share</t>
        </is>
      </c>
      <c r="G1525" s="3" t="inlineStr">
        <is>
          <t>Scenario allocation</t>
        </is>
      </c>
      <c r="H1525" s="3" t="inlineStr">
        <is>
          <t>ai_it_load_gw = it_load_gw * ai_workload_share</t>
        </is>
      </c>
      <c r="I1525" s="3" t="inlineStr">
        <is>
          <t>Stargate capacity is AI-oriented but includes reserve, platform and non-token AI activity; 88% is a scenario.</t>
        </is>
      </c>
      <c r="J1525" s="3" t="inlineStr">
        <is>
          <t>SRC_OPENAI_GPT41_DOCS; SRC_OPENAI_STARGATE_ORACLE; SRC_OPENAI_STARGATE_PROGRESS; SRC_EPOCH_AI_DATA_CENTERS</t>
        </is>
      </c>
      <c r="K1525" s="3" t="inlineStr">
        <is>
          <t>ASSUMP_STARGATE_RAMP; ASSUMP_MS_OPENAI_ATTRIBUTION; ASSUMP_NUMERIC_ACCELERATOR_MIX; ASSUMP_INFERENCE_SHARE_NOT_FACT_60; ASSUMP_WORKLOAD_CLASS_MIX; ASSUMP_AGENTIC_CONTEXT_PENALTY</t>
        </is>
      </c>
      <c r="L1525" s="3" t="inlineStr">
        <is>
          <t>Model-owner AI workload allocation or cluster scheduling telemetry.</t>
        </is>
      </c>
    </row>
    <row r="1526">
      <c r="A1526" s="3" t="inlineStr">
        <is>
          <t>OpenAI</t>
        </is>
      </c>
      <c r="B1526" s="3" t="n">
        <v>2027</v>
      </c>
      <c r="C1526" s="3" t="inlineStr">
        <is>
          <t>Base</t>
        </is>
      </c>
      <c r="D1526" s="3" t="inlineStr">
        <is>
          <t>ai_it_load_gw</t>
        </is>
      </c>
      <c r="E1526" s="3" t="n">
        <v>2.328</v>
      </c>
      <c r="F1526" s="3" t="inlineStr">
        <is>
          <t>GW</t>
        </is>
      </c>
      <c r="G1526" s="3" t="inlineStr">
        <is>
          <t>Derived formula</t>
        </is>
      </c>
      <c r="H1526" s="3" t="inlineStr">
        <is>
          <t>it_load_gw * ai_workload_share</t>
        </is>
      </c>
      <c r="I1526" s="3" t="inlineStr">
        <is>
          <t>Only the AI-attributed portion of IT load enters training/inference allocation.</t>
        </is>
      </c>
      <c r="J1526" s="3" t="inlineStr">
        <is>
          <t>SRC_OPENAI_GPT41_DOCS; SRC_OPENAI_STARGATE_ORACLE; SRC_OPENAI_STARGATE_PROGRESS; SRC_EPOCH_AI_DATA_CENTERS</t>
        </is>
      </c>
      <c r="K1526" s="3" t="inlineStr">
        <is>
          <t>ASSUMP_STARGATE_RAMP; ASSUMP_MS_OPENAI_ATTRIBUTION; ASSUMP_NUMERIC_ACCELERATOR_MIX; ASSUMP_INFERENCE_SHARE_NOT_FACT_60; ASSUMP_WORKLOAD_CLASS_MIX; ASSUMP_AGENTIC_CONTEXT_PENALTY</t>
        </is>
      </c>
      <c r="L1526" s="3" t="inlineStr">
        <is>
          <t>Recompute after ai_workload_share is replaced by telemetry.</t>
        </is>
      </c>
    </row>
    <row r="1527">
      <c r="A1527" s="3" t="inlineStr">
        <is>
          <t>OpenAI</t>
        </is>
      </c>
      <c r="B1527" s="3" t="n">
        <v>2027</v>
      </c>
      <c r="C1527" s="3" t="inlineStr">
        <is>
          <t>Base</t>
        </is>
      </c>
      <c r="D1527" s="3" t="inlineStr">
        <is>
          <t>gpu_share</t>
        </is>
      </c>
      <c r="E1527" s="3" t="n">
        <v>1</v>
      </c>
      <c r="F1527" s="3" t="inlineStr">
        <is>
          <t>share of inference-serving accelerator load</t>
        </is>
      </c>
      <c r="G1527" s="3" t="inlineStr">
        <is>
          <t>Numeric scenario</t>
        </is>
      </c>
      <c r="H1527" s="3" t="inlineStr">
        <is>
          <t>gpu_share interpolated from company 2026/2030 accelerator-mix endpoints</t>
        </is>
      </c>
      <c r="I1527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27" s="3" t="inlineStr">
        <is>
          <t>SRC_OPENAI_GPT41_DOCS; SRC_OPENAI_STARGATE_ORACLE; SRC_OPENAI_STARGATE_PROGRESS; SRC_EPOCH_AI_DATA_CENTERS; ASSUMP_NUMERIC_ACCELERATOR_MIX</t>
        </is>
      </c>
      <c r="K1527" s="3" t="inlineStr">
        <is>
          <t>ASSUMP_STARGATE_RAMP; ASSUMP_MS_OPENAI_ATTRIBUTION; ASSUMP_NUMERIC_ACCELERATOR_MIX; ASSUMP_INFERENCE_SHARE_NOT_FACT_60; ASSUMP_WORKLOAD_CLASS_MIX; ASSUMP_AGENTIC_CONTEXT_PENALTY</t>
        </is>
      </c>
      <c r="L1527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28">
      <c r="A1528" s="3" t="inlineStr">
        <is>
          <t>OpenAI</t>
        </is>
      </c>
      <c r="B1528" s="3" t="n">
        <v>2027</v>
      </c>
      <c r="C1528" s="3" t="inlineStr">
        <is>
          <t>Base</t>
        </is>
      </c>
      <c r="D1528" s="3" t="inlineStr">
        <is>
          <t>h200_share</t>
        </is>
      </c>
      <c r="E1528" s="3" t="n">
        <v>0.07041</v>
      </c>
      <c r="F1528" s="3" t="inlineStr">
        <is>
          <t>share of inference-serving accelerator load</t>
        </is>
      </c>
      <c r="G1528" s="3" t="inlineStr">
        <is>
          <t>Editable numeric scenario</t>
        </is>
      </c>
      <c r="H1528" s="3" t="inlineStr">
        <is>
          <t>h200_share = gpu_share * default_gpu_generation_mix_h200</t>
        </is>
      </c>
      <c r="I1528" s="3" t="inlineStr">
        <is>
          <t>Default GPU-generation migration assumption; executive workbook allows later manual replacement by company/year/scenario.</t>
        </is>
      </c>
      <c r="J1528" s="3" t="inlineStr">
        <is>
          <t>SRC_SEMIANALYSIS_INFERENCEX; ASSUMP_NUMERIC_ACCELERATOR_MIX</t>
        </is>
      </c>
      <c r="K1528" s="3" t="inlineStr">
        <is>
          <t>ASSUMP_STARGATE_RAMP; ASSUMP_MS_OPENAI_ATTRIBUTION; ASSUMP_NUMERIC_ACCELERATOR_MIX; ASSUMP_INFERENCE_SHARE_NOT_FACT_60; ASSUMP_WORKLOAD_CLASS_MIX; ASSUMP_AGENTIC_CONTEXT_PENALTY</t>
        </is>
      </c>
      <c r="L1528" s="3" t="inlineStr">
        <is>
          <t>Company fleet inventory, accelerator-hours or procurement/deployment records by GPU generation.</t>
        </is>
      </c>
    </row>
    <row r="1529">
      <c r="A1529" s="3" t="inlineStr">
        <is>
          <t>OpenAI</t>
        </is>
      </c>
      <c r="B1529" s="3" t="n">
        <v>2027</v>
      </c>
      <c r="C1529" s="3" t="inlineStr">
        <is>
          <t>Base</t>
        </is>
      </c>
      <c r="D1529" s="3" t="inlineStr">
        <is>
          <t>b200_share</t>
        </is>
      </c>
      <c r="E1529" s="3" t="n">
        <v>0.92959</v>
      </c>
      <c r="F1529" s="3" t="inlineStr">
        <is>
          <t>share of inference-serving accelerator load</t>
        </is>
      </c>
      <c r="G1529" s="3" t="inlineStr">
        <is>
          <t>Editable numeric scenario</t>
        </is>
      </c>
      <c r="H1529" s="3" t="inlineStr">
        <is>
          <t>b200_share = gpu_share * default_gpu_generation_mix_b200</t>
        </is>
      </c>
      <c r="I1529" s="3" t="inlineStr">
        <is>
          <t>Default GPU-generation migration assumption; executive workbook allows later manual replacement by company/year/scenario.</t>
        </is>
      </c>
      <c r="J1529" s="3" t="inlineStr">
        <is>
          <t>SRC_SEMIANALYSIS_INFERENCEX; ASSUMP_NUMERIC_ACCELERATOR_MIX</t>
        </is>
      </c>
      <c r="K1529" s="3" t="inlineStr">
        <is>
          <t>ASSUMP_STARGATE_RAMP; ASSUMP_MS_OPENAI_ATTRIBUTION; ASSUMP_NUMERIC_ACCELERATOR_MIX; ASSUMP_INFERENCE_SHARE_NOT_FACT_60; ASSUMP_WORKLOAD_CLASS_MIX; ASSUMP_AGENTIC_CONTEXT_PENALTY</t>
        </is>
      </c>
      <c r="L1529" s="3" t="inlineStr">
        <is>
          <t>Company fleet inventory, accelerator-hours or procurement/deployment records by GPU generation.</t>
        </is>
      </c>
    </row>
    <row r="1530">
      <c r="A1530" s="3" t="inlineStr">
        <is>
          <t>OpenAI</t>
        </is>
      </c>
      <c r="B1530" s="3" t="n">
        <v>2027</v>
      </c>
      <c r="C1530" s="3" t="inlineStr">
        <is>
          <t>Base</t>
        </is>
      </c>
      <c r="D1530" s="3" t="inlineStr">
        <is>
          <t>gb200_share</t>
        </is>
      </c>
      <c r="E1530" s="3" t="n">
        <v>0</v>
      </c>
      <c r="F1530" s="3" t="inlineStr">
        <is>
          <t>share of inference-serving accelerator load</t>
        </is>
      </c>
      <c r="G1530" s="3" t="inlineStr">
        <is>
          <t>Editable numeric scenario</t>
        </is>
      </c>
      <c r="H1530" s="3" t="inlineStr">
        <is>
          <t>gb200_share = gpu_share * default_gpu_generation_mix_gb200</t>
        </is>
      </c>
      <c r="I1530" s="3" t="inlineStr">
        <is>
          <t>Default GPU-generation migration assumption; executive workbook allows later manual replacement by company/year/scenario.</t>
        </is>
      </c>
      <c r="J1530" s="3" t="inlineStr">
        <is>
          <t>SRC_SEMIANALYSIS_INFERENCEX; ASSUMP_NUMERIC_ACCELERATOR_MIX</t>
        </is>
      </c>
      <c r="K1530" s="3" t="inlineStr">
        <is>
          <t>ASSUMP_STARGATE_RAMP; ASSUMP_MS_OPENAI_ATTRIBUTION; ASSUMP_NUMERIC_ACCELERATOR_MIX; ASSUMP_INFERENCE_SHARE_NOT_FACT_60; ASSUMP_WORKLOAD_CLASS_MIX; ASSUMP_AGENTIC_CONTEXT_PENALTY</t>
        </is>
      </c>
      <c r="L1530" s="3" t="inlineStr">
        <is>
          <t>Company fleet inventory, accelerator-hours or procurement/deployment records by GPU generation.</t>
        </is>
      </c>
    </row>
    <row r="1531">
      <c r="A1531" s="3" t="inlineStr">
        <is>
          <t>OpenAI</t>
        </is>
      </c>
      <c r="B1531" s="3" t="n">
        <v>2027</v>
      </c>
      <c r="C1531" s="3" t="inlineStr">
        <is>
          <t>Base</t>
        </is>
      </c>
      <c r="D1531" s="3" t="inlineStr">
        <is>
          <t>purpose_built_accelerator_share</t>
        </is>
      </c>
      <c r="E1531" s="3" t="n">
        <v>0</v>
      </c>
      <c r="F1531" s="3" t="inlineStr">
        <is>
          <t>share of inference-serving accelerator load</t>
        </is>
      </c>
      <c r="G1531" s="3" t="inlineStr">
        <is>
          <t>Numeric scenario</t>
        </is>
      </c>
      <c r="H1531" s="3" t="inlineStr">
        <is>
          <t>1 - gpu_share</t>
        </is>
      </c>
      <c r="I1531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31" s="3" t="inlineStr">
        <is>
          <t>SRC_OPENAI_GPT41_DOCS; SRC_OPENAI_STARGATE_ORACLE; SRC_OPENAI_STARGATE_PROGRESS; SRC_EPOCH_AI_DATA_CENTERS; ASSUMP_NUMERIC_ACCELERATOR_MIX</t>
        </is>
      </c>
      <c r="K1531" s="3" t="inlineStr">
        <is>
          <t>ASSUMP_STARGATE_RAMP; ASSUMP_MS_OPENAI_ATTRIBUTION; ASSUMP_NUMERIC_ACCELERATOR_MIX; ASSUMP_INFERENCE_SHARE_NOT_FACT_60; ASSUMP_WORKLOAD_CLASS_MIX; ASSUMP_AGENTIC_CONTEXT_PENALTY</t>
        </is>
      </c>
      <c r="L1531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32">
      <c r="A1532" s="3" t="inlineStr">
        <is>
          <t>OpenAI</t>
        </is>
      </c>
      <c r="B1532" s="3" t="n">
        <v>2027</v>
      </c>
      <c r="C1532" s="3" t="inlineStr">
        <is>
          <t>Base</t>
        </is>
      </c>
      <c r="D1532" s="3" t="inlineStr">
        <is>
          <t>fleet_reference_tps_per_mw</t>
        </is>
      </c>
      <c r="E1532" s="3" t="n">
        <v>202516</v>
      </c>
      <c r="F1532" s="3" t="inlineStr">
        <is>
          <t>generated output tokens/sec/MW</t>
        </is>
      </c>
      <c r="G1532" s="3" t="inlineStr">
        <is>
          <t>Fleet-weighted public benchmark reference</t>
        </is>
      </c>
      <c r="H1532" s="3" t="inlineStr">
        <is>
          <t>h200_share*h200_workload_avg + b200_share*b200_workload_avg + gb200_share*gb200_workload_avg + purpose_built_share*purpose_workload_avg</t>
        </is>
      </c>
      <c r="I153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32" s="3" t="inlineStr">
        <is>
          <t>SRC_SEMIANALYSIS_INFERENCEX; ASSUMP_NUMERIC_ACCELERATOR_MIX; ASSUMP_WORKLOAD_CLASS_MIX; ASSUMP_AGENTIC_CONTEXT_PENALTY</t>
        </is>
      </c>
      <c r="K1532" s="3" t="inlineStr">
        <is>
          <t>ASSUMP_STARGATE_RAMP; ASSUMP_MS_OPENAI_ATTRIBUTION; ASSUMP_NUMERIC_ACCELERATOR_MIX; ASSUMP_INFERENCE_SHARE_NOT_FACT_60; ASSUMP_WORKLOAD_CLASS_MIX; ASSUMP_AGENTIC_CONTEXT_PENALTY</t>
        </is>
      </c>
      <c r="L1532" s="3" t="inlineStr">
        <is>
          <t>Comparable production output-token throughput or a more closely matched benchmark.</t>
        </is>
      </c>
    </row>
    <row r="1533">
      <c r="A1533" s="3" t="inlineStr">
        <is>
          <t>OpenAI</t>
        </is>
      </c>
      <c r="B1533" s="3" t="n">
        <v>2027</v>
      </c>
      <c r="C1533" s="3" t="inlineStr">
        <is>
          <t>Base</t>
        </is>
      </c>
      <c r="D1533" s="3" t="inlineStr">
        <is>
          <t>commercial_workload_fit_factor</t>
        </is>
      </c>
      <c r="E1533" s="3" t="n">
        <v>0.5</v>
      </c>
      <c r="F1533" s="3" t="inlineStr">
        <is>
          <t>share of public reference throughput</t>
        </is>
      </c>
      <c r="G1533" s="3" t="inlineStr">
        <is>
          <t>Scenario assumption</t>
        </is>
      </c>
      <c r="H1533" s="3" t="inlineStr">
        <is>
          <t>reference_serving_tps_per_mw = fleet_reference_tps_per_mw * commercial_workload_fit_factor</t>
        </is>
      </c>
      <c r="I153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33" s="3" t="inlineStr">
        <is>
          <t>SRC_SEMIANALYSIS_INFERENCEX; ASSUMP_NUMERIC_ACCELERATOR_MIX; ASSUMP_WORKLOAD_CLASS_MIX; ASSUMP_AGENTIC_CONTEXT_PENALTY</t>
        </is>
      </c>
      <c r="K1533" s="3" t="inlineStr">
        <is>
          <t>ASSUMP_STARGATE_RAMP; ASSUMP_MS_OPENAI_ATTRIBUTION; ASSUMP_NUMERIC_ACCELERATOR_MIX; ASSUMP_INFERENCE_SHARE_NOT_FACT_60; ASSUMP_WORKLOAD_CLASS_MIX; ASSUMP_AGENTIC_CONTEXT_PENALTY</t>
        </is>
      </c>
      <c r="L1533" s="3" t="inlineStr">
        <is>
          <t>Matched commercial serving benchmark by product surface, context shape and latency SLO.</t>
        </is>
      </c>
    </row>
    <row r="1534">
      <c r="A1534" s="3" t="inlineStr">
        <is>
          <t>OpenAI</t>
        </is>
      </c>
      <c r="B1534" s="3" t="n">
        <v>2027</v>
      </c>
      <c r="C1534" s="3" t="inlineStr">
        <is>
          <t>Base</t>
        </is>
      </c>
      <c r="D1534" s="3" t="inlineStr">
        <is>
          <t>reference_serving_tps_per_mw</t>
        </is>
      </c>
      <c r="E1534" s="3" t="n">
        <v>101258</v>
      </c>
      <c r="F1534" s="3" t="inlineStr">
        <is>
          <t>generated output tokens/sec/MW</t>
        </is>
      </c>
      <c r="G1534" s="3" t="inlineStr">
        <is>
          <t>Workload-adjusted benchmark proxy</t>
        </is>
      </c>
      <c r="H1534" s="3" t="inlineStr">
        <is>
          <t>fleet_reference_tps_per_mw * commercial_workload_fit_factor</t>
        </is>
      </c>
      <c r="I1534" s="3" t="inlineStr">
        <is>
          <t>This is the coefficient used for headline token generation; each GPU's short chat, long chat and agentic TPS/MW are weighted before fleet mix and commercial fit are applied.</t>
        </is>
      </c>
      <c r="J1534" s="3" t="inlineStr">
        <is>
          <t>SRC_SEMIANALYSIS_INFERENCEX; ASSUMP_NUMERIC_ACCELERATOR_MIX; ASSUMP_WORKLOAD_CLASS_MIX; ASSUMP_AGENTIC_CONTEXT_PENALTY</t>
        </is>
      </c>
      <c r="K1534" s="3" t="inlineStr">
        <is>
          <t>ASSUMP_STARGATE_RAMP; ASSUMP_MS_OPENAI_ATTRIBUTION; ASSUMP_NUMERIC_ACCELERATOR_MIX; ASSUMP_INFERENCE_SHARE_NOT_FACT_60; ASSUMP_WORKLOAD_CLASS_MIX; ASSUMP_AGENTIC_CONTEXT_PENALTY</t>
        </is>
      </c>
      <c r="L1534" s="3" t="inlineStr">
        <is>
          <t>Provider production output-token throughput with comparable workload/SLO.</t>
        </is>
      </c>
    </row>
    <row r="1535">
      <c r="A1535" s="3" t="inlineStr">
        <is>
          <t>OpenAI</t>
        </is>
      </c>
      <c r="B1535" s="3" t="n">
        <v>2027</v>
      </c>
      <c r="C1535" s="3" t="inlineStr">
        <is>
          <t>Base</t>
        </is>
      </c>
      <c r="D1535" s="3" t="inlineStr">
        <is>
          <t>purpose_built_tps_per_mw</t>
        </is>
      </c>
      <c r="E1535" s="3" t="n">
        <v>67653</v>
      </c>
      <c r="F1535" s="3" t="inlineStr">
        <is>
          <t>generated output tokens/sec/MW</t>
        </is>
      </c>
      <c r="G1535" s="3" t="inlineStr">
        <is>
          <t>Conservative no-uplift proxy</t>
        </is>
      </c>
      <c r="H1535" s="3" t="inlineStr">
        <is>
          <t>purpose_built_tps_per_mw = purpose_built_reference_tps_per_mw * commercial_workload_fit_factor until comparable output-token benchmark is adopted</t>
        </is>
      </c>
      <c r="I1535" s="3" t="inlineStr">
        <is>
          <t>No comparable public output-token/MW row adopted; B200 public reference placeholder is used and remains editable.</t>
        </is>
      </c>
      <c r="J1535" s="3" t="inlineStr">
        <is>
          <t>SRC_OPENAI_GPT41_DOCS; SRC_OPENAI_STARGATE_ORACLE; SRC_OPENAI_STARGATE_PROGRESS; SRC_EPOCH_AI_DATA_CENTERS; ASSUMP_NUMERIC_ACCELERATOR_MIX</t>
        </is>
      </c>
      <c r="K1535" s="3" t="inlineStr">
        <is>
          <t>ASSUMP_STARGATE_RAMP; ASSUMP_MS_OPENAI_ATTRIBUTION; ASSUMP_NUMERIC_ACCELERATOR_MIX; ASSUMP_INFERENCE_SHARE_NOT_FACT_60; ASSUMP_WORKLOAD_CLASS_MIX; ASSUMP_AGENTIC_CONTEXT_PENALTY</t>
        </is>
      </c>
      <c r="L1535" s="3" t="inlineStr">
        <is>
          <t>Matched-workload generated-output benchmark for the provider purpose-built accelerator.</t>
        </is>
      </c>
    </row>
    <row r="1536">
      <c r="A1536" s="3" t="inlineStr">
        <is>
          <t>OpenAI</t>
        </is>
      </c>
      <c r="B1536" s="3" t="n">
        <v>2027</v>
      </c>
      <c r="C1536" s="3" t="inlineStr">
        <is>
          <t>Base</t>
        </is>
      </c>
      <c r="D1536" s="3" t="inlineStr">
        <is>
          <t>inference_power_share</t>
        </is>
      </c>
      <c r="E1536" s="3" t="n">
        <v>0.63</v>
      </c>
      <c r="F1536" s="3" t="inlineStr">
        <is>
          <t>share of AI IT load</t>
        </is>
      </c>
      <c r="G1536" s="3" t="inlineStr">
        <is>
          <t>Scenario allocation</t>
        </is>
      </c>
      <c r="H1536" s="3" t="inlineStr">
        <is>
          <t>inference_gw = ai_it_load_gw * inference_power_share</t>
        </is>
      </c>
      <c r="I1536" s="3" t="inlineStr">
        <is>
          <t>ChatGPT/API/enterprise commercial surfaces support increasing inference allocation while training remains material.</t>
        </is>
      </c>
      <c r="J1536" s="3" t="inlineStr">
        <is>
          <t>SRC_OPENAI_GPT41_DOCS; SRC_OPENAI_STARGATE_ORACLE; SRC_OPENAI_STARGATE_PROGRESS; SRC_EPOCH_AI_DATA_CENTERS; ASSUMP_INFERENCE_SHARE_NOT_FACT_60</t>
        </is>
      </c>
      <c r="K1536" s="3" t="inlineStr">
        <is>
          <t>ASSUMP_STARGATE_RAMP; ASSUMP_MS_OPENAI_ATTRIBUTION; ASSUMP_NUMERIC_ACCELERATOR_MIX; ASSUMP_INFERENCE_SHARE_NOT_FACT_60; ASSUMP_WORKLOAD_CLASS_MIX; ASSUMP_AGENTIC_CONTEXT_PENALTY</t>
        </is>
      </c>
      <c r="L1536" s="3" t="inlineStr">
        <is>
          <t>Provider-specific inference/training workload power telemetry.</t>
        </is>
      </c>
    </row>
    <row r="1537">
      <c r="A1537" s="3" t="inlineStr">
        <is>
          <t>OpenAI</t>
        </is>
      </c>
      <c r="B1537" s="3" t="n">
        <v>2027</v>
      </c>
      <c r="C1537" s="3" t="inlineStr">
        <is>
          <t>Base</t>
        </is>
      </c>
      <c r="D1537" s="3" t="inlineStr">
        <is>
          <t>inference_gw</t>
        </is>
      </c>
      <c r="E1537" s="3" t="n">
        <v>1.467</v>
      </c>
      <c r="F1537" s="3" t="inlineStr">
        <is>
          <t>GW</t>
        </is>
      </c>
      <c r="G1537" s="3" t="inlineStr">
        <is>
          <t>Derived formula</t>
        </is>
      </c>
      <c r="H1537" s="3" t="inlineStr">
        <is>
          <t>ai_it_load_gw * inference_power_share</t>
        </is>
      </c>
      <c r="I1537" s="3" t="inlineStr">
        <is>
          <t>This is the operational power eligible to become commercial generated output tokens through the selected TPS/MW proxy.</t>
        </is>
      </c>
      <c r="J1537" s="3" t="inlineStr">
        <is>
          <t>SRC_OPENAI_GPT41_DOCS; SRC_OPENAI_STARGATE_ORACLE; SRC_OPENAI_STARGATE_PROGRESS; SRC_EPOCH_AI_DATA_CENTERS</t>
        </is>
      </c>
      <c r="K1537" s="3" t="inlineStr">
        <is>
          <t>ASSUMP_STARGATE_RAMP; ASSUMP_MS_OPENAI_ATTRIBUTION; ASSUMP_NUMERIC_ACCELERATOR_MIX; ASSUMP_INFERENCE_SHARE_NOT_FACT_60; ASSUMP_WORKLOAD_CLASS_MIX; ASSUMP_AGENTIC_CONTEXT_PENALTY</t>
        </is>
      </c>
      <c r="L1537" s="3" t="inlineStr">
        <is>
          <t>Recompute after AI allocation or inference-share evidence changes.</t>
        </is>
      </c>
    </row>
    <row r="1538">
      <c r="A1538" s="3" t="inlineStr">
        <is>
          <t>OpenAI</t>
        </is>
      </c>
      <c r="B1538" s="3" t="n">
        <v>2027</v>
      </c>
      <c r="C1538" s="3" t="inlineStr">
        <is>
          <t>Base</t>
        </is>
      </c>
      <c r="D1538" s="3" t="inlineStr">
        <is>
          <t>training_power_share</t>
        </is>
      </c>
      <c r="E1538" s="3" t="n">
        <v>0.37</v>
      </c>
      <c r="F1538" s="3" t="inlineStr">
        <is>
          <t>share of AI IT load</t>
        </is>
      </c>
      <c r="G1538" s="3" t="inlineStr">
        <is>
          <t>Derived allocation</t>
        </is>
      </c>
      <c r="H1538" s="3" t="inlineStr">
        <is>
          <t>1 - inference_power_share</t>
        </is>
      </c>
      <c r="I1538" s="3" t="inlineStr">
        <is>
          <t>Training receives the complementary modeled AI IT allocation; it is not a disclosed company workload split.</t>
        </is>
      </c>
      <c r="J1538" s="3" t="inlineStr">
        <is>
          <t>SRC_OPENAI_GPT41_DOCS; SRC_OPENAI_STARGATE_ORACLE; SRC_OPENAI_STARGATE_PROGRESS; SRC_EPOCH_AI_DATA_CENTERS; ASSUMP_INFERENCE_SHARE_NOT_FACT_60</t>
        </is>
      </c>
      <c r="K1538" s="3" t="inlineStr">
        <is>
          <t>ASSUMP_STARGATE_RAMP; ASSUMP_MS_OPENAI_ATTRIBUTION; ASSUMP_NUMERIC_ACCELERATOR_MIX; ASSUMP_INFERENCE_SHARE_NOT_FACT_60; ASSUMP_WORKLOAD_CLASS_MIX; ASSUMP_AGENTIC_CONTEXT_PENALTY</t>
        </is>
      </c>
      <c r="L1538" s="3" t="inlineStr">
        <is>
          <t>Provider-specific inference/training workload power telemetry.</t>
        </is>
      </c>
    </row>
    <row r="1539">
      <c r="A1539" s="3" t="inlineStr">
        <is>
          <t>OpenAI</t>
        </is>
      </c>
      <c r="B1539" s="3" t="n">
        <v>2027</v>
      </c>
      <c r="C1539" s="3" t="inlineStr">
        <is>
          <t>Base</t>
        </is>
      </c>
      <c r="D1539" s="3" t="inlineStr">
        <is>
          <t>training_gw</t>
        </is>
      </c>
      <c r="E1539" s="3" t="n">
        <v>0.861</v>
      </c>
      <c r="F1539" s="3" t="inlineStr">
        <is>
          <t>GW</t>
        </is>
      </c>
      <c r="G1539" s="3" t="inlineStr">
        <is>
          <t>Derived formula</t>
        </is>
      </c>
      <c r="H1539" s="3" t="inlineStr">
        <is>
          <t>ai_it_load_gw * training_power_share</t>
        </is>
      </c>
      <c r="I1539" s="3" t="inlineStr">
        <is>
          <t>Training GW is shown separately so commercial inference token capacity is not overstated.</t>
        </is>
      </c>
      <c r="J1539" s="3" t="inlineStr">
        <is>
          <t>SRC_OPENAI_GPT41_DOCS; SRC_OPENAI_STARGATE_ORACLE; SRC_OPENAI_STARGATE_PROGRESS; SRC_EPOCH_AI_DATA_CENTERS</t>
        </is>
      </c>
      <c r="K1539" s="3" t="inlineStr">
        <is>
          <t>ASSUMP_STARGATE_RAMP; ASSUMP_MS_OPENAI_ATTRIBUTION; ASSUMP_NUMERIC_ACCELERATOR_MIX; ASSUMP_INFERENCE_SHARE_NOT_FACT_60; ASSUMP_WORKLOAD_CLASS_MIX; ASSUMP_AGENTIC_CONTEXT_PENALTY</t>
        </is>
      </c>
      <c r="L1539" s="3" t="inlineStr">
        <is>
          <t>Recompute after AI allocation or workload-split evidence changes.</t>
        </is>
      </c>
    </row>
    <row r="1540">
      <c r="A1540" s="3" t="inlineStr">
        <is>
          <t>OpenAI</t>
        </is>
      </c>
      <c r="B1540" s="3" t="n">
        <v>2027</v>
      </c>
      <c r="C1540" s="3" t="inlineStr">
        <is>
          <t>Base</t>
        </is>
      </c>
      <c r="D1540" s="3" t="inlineStr">
        <is>
          <t>tokens_per_second_per_mw</t>
        </is>
      </c>
      <c r="E1540" s="3" t="n">
        <v>101258</v>
      </c>
      <c r="F1540" s="3" t="inlineStr">
        <is>
          <t>generated output tokens/sec/MW</t>
        </is>
      </c>
      <c r="G1540" s="3" t="inlineStr">
        <is>
          <t>Derived estimate + benchmark calibration</t>
        </is>
      </c>
      <c r="H1540" s="3" t="inlineStr">
        <is>
          <t>fleet_reference_tps_per_mw * commercial_workload_fit_factor</t>
        </is>
      </c>
      <c r="I154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40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40" s="3" t="inlineStr">
        <is>
          <t>ASSUMP_STARGATE_RAMP; ASSUMP_MS_OPENAI_ATTRIBUTION; ASSUMP_NUMERIC_ACCELERATOR_MIX; ASSUMP_INFERENCE_SHARE_NOT_FACT_60; ASSUMP_WORKLOAD_CLASS_MIX; ASSUMP_AGENTIC_CONTEXT_PENALTY</t>
        </is>
      </c>
      <c r="L1540" s="3" t="inlineStr">
        <is>
          <t>Comparable production output-token throughput with model, hardware, precision, ISL/OSL and SLO matched.</t>
        </is>
      </c>
    </row>
    <row r="1541">
      <c r="A1541" s="3" t="inlineStr">
        <is>
          <t>OpenAI</t>
        </is>
      </c>
      <c r="B1541" s="3" t="n">
        <v>2027</v>
      </c>
      <c r="C1541" s="3" t="inlineStr">
        <is>
          <t>Base</t>
        </is>
      </c>
      <c r="D1541" s="3" t="inlineStr">
        <is>
          <t>inference_tokens_per_day</t>
        </is>
      </c>
      <c r="E1541" s="3" t="n">
        <v>12834329990400</v>
      </c>
      <c r="F1541" s="3" t="inlineStr">
        <is>
          <t>generated output tokens/day</t>
        </is>
      </c>
      <c r="G1541" s="3" t="inlineStr">
        <is>
          <t>Derived headline metric</t>
        </is>
      </c>
      <c r="H1541" s="3" t="inlineStr">
        <is>
          <t>inference_gw * 1000 * tokens_per_second_per_mw * 86,400</t>
        </is>
      </c>
      <c r="I1541" s="3" t="inlineStr">
        <is>
          <t>Headline capacity uses no utilization, MoE, architecture or software-growth multiplier; it is not observed commercial output volume.</t>
        </is>
      </c>
      <c r="J1541" s="3" t="inlineStr">
        <is>
          <t>SRC_OPENAI_GPT41_DOCS; SRC_OPENAI_STARGATE_ORACLE; SRC_OPENAI_STARGATE_PROGRESS; SRC_EPOCH_AI_DATA_CENTERS; SRC_SEMIANALYSIS_INFERENCEX</t>
        </is>
      </c>
      <c r="K1541" s="3" t="inlineStr">
        <is>
          <t>ASSUMP_STARGATE_RAMP; ASSUMP_MS_OPENAI_ATTRIBUTION; ASSUMP_NUMERIC_ACCELERATOR_MIX; ASSUMP_INFERENCE_SHARE_NOT_FACT_60; ASSUMP_WORKLOAD_CLASS_MIX; ASSUMP_AGENTIC_CONTEXT_PENALTY</t>
        </is>
      </c>
      <c r="L1541" s="3" t="inlineStr">
        <is>
          <t>Provider-disclosed generated output token volume or calibrated capacity telemetry.</t>
        </is>
      </c>
    </row>
    <row r="1542">
      <c r="A1542" s="3" t="inlineStr">
        <is>
          <t>OpenAI</t>
        </is>
      </c>
      <c r="B1542" s="3" t="n">
        <v>2027</v>
      </c>
      <c r="C1542" s="3" t="inlineStr">
        <is>
          <t>Base</t>
        </is>
      </c>
      <c r="D1542" s="3" t="inlineStr">
        <is>
          <t>inference_tokens_per_year</t>
        </is>
      </c>
      <c r="E1542" s="3" t="n">
        <v>4684530446496000</v>
      </c>
      <c r="F1542" s="3" t="inlineStr">
        <is>
          <t>generated output tokens/year</t>
        </is>
      </c>
      <c r="G1542" s="3" t="inlineStr">
        <is>
          <t>Derived headline metric</t>
        </is>
      </c>
      <c r="H1542" s="3" t="inlineStr">
        <is>
          <t>inference_tokens_per_day * 365</t>
        </is>
      </c>
      <c r="I1542" s="3" t="inlineStr">
        <is>
          <t>Annualized version of generated output token capacity; it is not observed annual demand or billable volume.</t>
        </is>
      </c>
      <c r="J1542" s="3" t="inlineStr">
        <is>
          <t>SRC_OPENAI_GPT41_DOCS; SRC_OPENAI_STARGATE_ORACLE; SRC_OPENAI_STARGATE_PROGRESS; SRC_EPOCH_AI_DATA_CENTERS; SRC_SEMIANALYSIS_INFERENCEX</t>
        </is>
      </c>
      <c r="K1542" s="3" t="inlineStr">
        <is>
          <t>ASSUMP_STARGATE_RAMP; ASSUMP_MS_OPENAI_ATTRIBUTION; ASSUMP_NUMERIC_ACCELERATOR_MIX; ASSUMP_INFERENCE_SHARE_NOT_FACT_60; ASSUMP_WORKLOAD_CLASS_MIX; ASSUMP_AGENTIC_CONTEXT_PENALTY</t>
        </is>
      </c>
      <c r="L1542" s="3" t="inlineStr">
        <is>
          <t>Provider-disclosed annual generated-output volume or metered serving telemetry.</t>
        </is>
      </c>
    </row>
    <row r="1543">
      <c r="A1543" s="3" t="inlineStr">
        <is>
          <t>OpenAI</t>
        </is>
      </c>
      <c r="B1543" s="3" t="n">
        <v>2028</v>
      </c>
      <c r="C1543" s="3" t="inlineStr">
        <is>
          <t>Base</t>
        </is>
      </c>
      <c r="D1543" s="3" t="inlineStr">
        <is>
          <t>contracted_power_gw</t>
        </is>
      </c>
      <c r="E1543" s="3" t="n">
        <v>8.5</v>
      </c>
      <c r="F1543" s="3" t="inlineStr">
        <is>
          <t>GW</t>
        </is>
      </c>
      <c r="G1543" s="3" t="inlineStr">
        <is>
          <t>Fact anchor + scenario ceiling</t>
        </is>
      </c>
      <c r="H1543" s="3" t="inlineStr">
        <is>
          <t>linear interpolation between 2026 and 2030 company capacity endpoints</t>
        </is>
      </c>
      <c r="I1543" s="3" t="inlineStr">
        <is>
          <t>2030 envelope is bounded by official Stargate planned/committed capacity; 2026 and timing remain staged scenario values.</t>
        </is>
      </c>
      <c r="J1543" s="3" t="inlineStr">
        <is>
          <t>SRC_OPENAI_STARGATE_ORACLE; SRC_OPENAI_STARGATE_PROGRESS; ASSUMP_STARGATE_RAMP</t>
        </is>
      </c>
      <c r="K1543" s="3" t="inlineStr">
        <is>
          <t>ASSUMP_STARGATE_RAMP; ASSUMP_MS_OPENAI_ATTRIBUTION; ASSUMP_NUMERIC_ACCELERATOR_MIX; ASSUMP_INFERENCE_SHARE_NOT_FACT_60; ASSUMP_WORKLOAD_CLASS_MIX; ASSUMP_AGENTIC_CONTEXT_PENALTY</t>
        </is>
      </c>
      <c r="L1543" s="3" t="inlineStr">
        <is>
          <t>Company/site-level committed MW/GW, interconnect and contract disclosure.</t>
        </is>
      </c>
    </row>
    <row r="1544">
      <c r="A1544" s="3" t="inlineStr">
        <is>
          <t>OpenAI</t>
        </is>
      </c>
      <c r="B1544" s="3" t="n">
        <v>2028</v>
      </c>
      <c r="C1544" s="3" t="inlineStr">
        <is>
          <t>Base</t>
        </is>
      </c>
      <c r="D1544" s="3" t="inlineStr">
        <is>
          <t>operational_deployment_share</t>
        </is>
      </c>
      <c r="E1544" s="3" t="n">
        <v>0.58235294</v>
      </c>
      <c r="F1544" s="3" t="inlineStr">
        <is>
          <t>share</t>
        </is>
      </c>
      <c r="G1544" s="3" t="inlineStr">
        <is>
          <t>Scenario conversion</t>
        </is>
      </c>
      <c r="H1544" s="3" t="inlineStr">
        <is>
          <t>active_power_gw / contracted_power_gw</t>
        </is>
      </c>
      <c r="I1544" s="3" t="inlineStr">
        <is>
          <t>This is the single explicit conversion from contracted/attributed capacity to operationally usable capacity.</t>
        </is>
      </c>
      <c r="J1544" s="3" t="inlineStr">
        <is>
          <t>SRC_OPENAI_STARGATE_ORACLE; SRC_OPENAI_STARGATE_PROGRESS; ASSUMP_STARGATE_RAMP</t>
        </is>
      </c>
      <c r="K1544" s="3" t="inlineStr">
        <is>
          <t>ASSUMP_STARGATE_RAMP; ASSUMP_MS_OPENAI_ATTRIBUTION; ASSUMP_NUMERIC_ACCELERATOR_MIX; ASSUMP_INFERENCE_SHARE_NOT_FACT_60; ASSUMP_WORKLOAD_CLASS_MIX; ASSUMP_AGENTIC_CONTEXT_PENALTY</t>
        </is>
      </c>
      <c r="L1544" s="3" t="inlineStr">
        <is>
          <t>Energized operational capacity divided by contracted/attributed capacity.</t>
        </is>
      </c>
    </row>
    <row r="1545">
      <c r="A1545" s="3" t="inlineStr">
        <is>
          <t>OpenAI</t>
        </is>
      </c>
      <c r="B1545" s="3" t="n">
        <v>2028</v>
      </c>
      <c r="C1545" s="3" t="inlineStr">
        <is>
          <t>Base</t>
        </is>
      </c>
      <c r="D1545" s="3" t="inlineStr">
        <is>
          <t>active_power_gw</t>
        </is>
      </c>
      <c r="E1545" s="3" t="n">
        <v>4.95</v>
      </c>
      <c r="F1545" s="3" t="inlineStr">
        <is>
          <t>GW</t>
        </is>
      </c>
      <c r="G1545" s="3" t="inlineStr">
        <is>
          <t>Derived scenario</t>
        </is>
      </c>
      <c r="H1545" s="3" t="inlineStr">
        <is>
          <t>contracted_power_gw * operational_deployment_share</t>
        </is>
      </c>
      <c r="I1545" s="3" t="inlineStr">
        <is>
          <t>Official capacity announcements are converted to active GW only through energization/GPU-deployment ramp assumptions.</t>
        </is>
      </c>
      <c r="J1545" s="3" t="inlineStr">
        <is>
          <t>SRC_OPENAI_STARGATE_ORACLE; SRC_OPENAI_STARGATE_PROGRESS; ASSUMP_STARGATE_RAMP</t>
        </is>
      </c>
      <c r="K1545" s="3" t="inlineStr">
        <is>
          <t>ASSUMP_STARGATE_RAMP; ASSUMP_MS_OPENAI_ATTRIBUTION; ASSUMP_NUMERIC_ACCELERATOR_MIX; ASSUMP_INFERENCE_SHARE_NOT_FACT_60; ASSUMP_WORKLOAD_CLASS_MIX; ASSUMP_AGENTIC_CONTEXT_PENALTY</t>
        </is>
      </c>
      <c r="L1545" s="3" t="inlineStr">
        <is>
          <t>Energization dates, accelerator deliveries and operational powered-rack telemetry.</t>
        </is>
      </c>
    </row>
    <row r="1546">
      <c r="A1546" s="3" t="inlineStr">
        <is>
          <t>OpenAI</t>
        </is>
      </c>
      <c r="B1546" s="3" t="n">
        <v>2028</v>
      </c>
      <c r="C1546" s="3" t="inlineStr">
        <is>
          <t>Base</t>
        </is>
      </c>
      <c r="D1546" s="3" t="inlineStr">
        <is>
          <t>pue</t>
        </is>
      </c>
      <c r="E1546" s="3" t="n">
        <v>1.2</v>
      </c>
      <c r="F1546" s="3" t="inlineStr">
        <is>
          <t>ratio</t>
        </is>
      </c>
      <c r="G1546" s="3" t="inlineStr">
        <is>
          <t>Scenario parameter</t>
        </is>
      </c>
      <c r="H1546" s="3" t="inlineStr">
        <is>
          <t>it_load_gw = active_power_gw / pue</t>
        </is>
      </c>
      <c r="I1546" s="3" t="inlineStr">
        <is>
          <t>No provider-wide site-level PUE is used as a disclosed fact; PUE represents facility-to-IT conversion within the scenario.</t>
        </is>
      </c>
      <c r="J1546" s="3" t="inlineStr">
        <is>
          <t>ASSUMP_POWER_RAMP</t>
        </is>
      </c>
      <c r="K1546" s="3" t="inlineStr">
        <is>
          <t>ASSUMP_STARGATE_RAMP; ASSUMP_MS_OPENAI_ATTRIBUTION; ASSUMP_NUMERIC_ACCELERATOR_MIX; ASSUMP_INFERENCE_SHARE_NOT_FACT_60; ASSUMP_WORKLOAD_CLASS_MIX; ASSUMP_AGENTIC_CONTEXT_PENALTY</t>
        </is>
      </c>
      <c r="L1546" s="3" t="inlineStr">
        <is>
          <t>Site-level measured PUE matched to attributed AI capacity.</t>
        </is>
      </c>
    </row>
    <row r="1547">
      <c r="A1547" s="3" t="inlineStr">
        <is>
          <t>OpenAI</t>
        </is>
      </c>
      <c r="B1547" s="3" t="n">
        <v>2028</v>
      </c>
      <c r="C1547" s="3" t="inlineStr">
        <is>
          <t>Base</t>
        </is>
      </c>
      <c r="D1547" s="3" t="inlineStr">
        <is>
          <t>it_load_gw</t>
        </is>
      </c>
      <c r="E1547" s="3" t="n">
        <v>4.125</v>
      </c>
      <c r="F1547" s="3" t="inlineStr">
        <is>
          <t>GW</t>
        </is>
      </c>
      <c r="G1547" s="3" t="inlineStr">
        <is>
          <t>Derived formula</t>
        </is>
      </c>
      <c r="H1547" s="3" t="inlineStr">
        <is>
          <t>active_power_gw / pue</t>
        </is>
      </c>
      <c r="I1547" s="3" t="inlineStr">
        <is>
          <t>Facility power is converted to IT-deliverable power before attributing AI workloads.</t>
        </is>
      </c>
      <c r="J1547" s="3" t="inlineStr">
        <is>
          <t>SRC_OPENAI_STARGATE_ORACLE; SRC_OPENAI_STARGATE_PROGRESS; ASSUMP_STARGATE_RAMP</t>
        </is>
      </c>
      <c r="K1547" s="3" t="inlineStr">
        <is>
          <t>ASSUMP_STARGATE_RAMP; ASSUMP_MS_OPENAI_ATTRIBUTION; ASSUMP_NUMERIC_ACCELERATOR_MIX; ASSUMP_INFERENCE_SHARE_NOT_FACT_60; ASSUMP_WORKLOAD_CLASS_MIX; ASSUMP_AGENTIC_CONTEXT_PENALTY</t>
        </is>
      </c>
      <c r="L1547" s="3" t="inlineStr">
        <is>
          <t>Recompute once active power and PUE become site-observable.</t>
        </is>
      </c>
    </row>
    <row r="1548">
      <c r="A1548" s="3" t="inlineStr">
        <is>
          <t>OpenAI</t>
        </is>
      </c>
      <c r="B1548" s="3" t="n">
        <v>2028</v>
      </c>
      <c r="C1548" s="3" t="inlineStr">
        <is>
          <t>Base</t>
        </is>
      </c>
      <c r="D1548" s="3" t="inlineStr">
        <is>
          <t>ai_workload_share</t>
        </is>
      </c>
      <c r="E1548" s="3" t="n">
        <v>0.88</v>
      </c>
      <c r="F1548" s="3" t="inlineStr">
        <is>
          <t>share</t>
        </is>
      </c>
      <c r="G1548" s="3" t="inlineStr">
        <is>
          <t>Scenario allocation</t>
        </is>
      </c>
      <c r="H1548" s="3" t="inlineStr">
        <is>
          <t>ai_it_load_gw = it_load_gw * ai_workload_share</t>
        </is>
      </c>
      <c r="I1548" s="3" t="inlineStr">
        <is>
          <t>Stargate capacity is AI-oriented but includes reserve, platform and non-token AI activity; 88% is a scenario.</t>
        </is>
      </c>
      <c r="J1548" s="3" t="inlineStr">
        <is>
          <t>SRC_OPENAI_GPT41_DOCS; SRC_OPENAI_STARGATE_ORACLE; SRC_OPENAI_STARGATE_PROGRESS; SRC_EPOCH_AI_DATA_CENTERS</t>
        </is>
      </c>
      <c r="K1548" s="3" t="inlineStr">
        <is>
          <t>ASSUMP_STARGATE_RAMP; ASSUMP_MS_OPENAI_ATTRIBUTION; ASSUMP_NUMERIC_ACCELERATOR_MIX; ASSUMP_INFERENCE_SHARE_NOT_FACT_60; ASSUMP_WORKLOAD_CLASS_MIX; ASSUMP_AGENTIC_CONTEXT_PENALTY</t>
        </is>
      </c>
      <c r="L1548" s="3" t="inlineStr">
        <is>
          <t>Model-owner AI workload allocation or cluster scheduling telemetry.</t>
        </is>
      </c>
    </row>
    <row r="1549">
      <c r="A1549" s="3" t="inlineStr">
        <is>
          <t>OpenAI</t>
        </is>
      </c>
      <c r="B1549" s="3" t="n">
        <v>2028</v>
      </c>
      <c r="C1549" s="3" t="inlineStr">
        <is>
          <t>Base</t>
        </is>
      </c>
      <c r="D1549" s="3" t="inlineStr">
        <is>
          <t>ai_it_load_gw</t>
        </is>
      </c>
      <c r="E1549" s="3" t="n">
        <v>3.63</v>
      </c>
      <c r="F1549" s="3" t="inlineStr">
        <is>
          <t>GW</t>
        </is>
      </c>
      <c r="G1549" s="3" t="inlineStr">
        <is>
          <t>Derived formula</t>
        </is>
      </c>
      <c r="H1549" s="3" t="inlineStr">
        <is>
          <t>it_load_gw * ai_workload_share</t>
        </is>
      </c>
      <c r="I1549" s="3" t="inlineStr">
        <is>
          <t>Only the AI-attributed portion of IT load enters training/inference allocation.</t>
        </is>
      </c>
      <c r="J1549" s="3" t="inlineStr">
        <is>
          <t>SRC_OPENAI_GPT41_DOCS; SRC_OPENAI_STARGATE_ORACLE; SRC_OPENAI_STARGATE_PROGRESS; SRC_EPOCH_AI_DATA_CENTERS</t>
        </is>
      </c>
      <c r="K1549" s="3" t="inlineStr">
        <is>
          <t>ASSUMP_STARGATE_RAMP; ASSUMP_MS_OPENAI_ATTRIBUTION; ASSUMP_NUMERIC_ACCELERATOR_MIX; ASSUMP_INFERENCE_SHARE_NOT_FACT_60; ASSUMP_WORKLOAD_CLASS_MIX; ASSUMP_AGENTIC_CONTEXT_PENALTY</t>
        </is>
      </c>
      <c r="L1549" s="3" t="inlineStr">
        <is>
          <t>Recompute after ai_workload_share is replaced by telemetry.</t>
        </is>
      </c>
    </row>
    <row r="1550">
      <c r="A1550" s="3" t="inlineStr">
        <is>
          <t>OpenAI</t>
        </is>
      </c>
      <c r="B1550" s="3" t="n">
        <v>2028</v>
      </c>
      <c r="C1550" s="3" t="inlineStr">
        <is>
          <t>Base</t>
        </is>
      </c>
      <c r="D1550" s="3" t="inlineStr">
        <is>
          <t>gpu_share</t>
        </is>
      </c>
      <c r="E1550" s="3" t="n">
        <v>0.794485</v>
      </c>
      <c r="F1550" s="3" t="inlineStr">
        <is>
          <t>share of inference-serving accelerator load</t>
        </is>
      </c>
      <c r="G1550" s="3" t="inlineStr">
        <is>
          <t>Numeric scenario</t>
        </is>
      </c>
      <c r="H1550" s="3" t="inlineStr">
        <is>
          <t>gpu_share interpolated from company 2026/2030 accelerator-mix endpoints</t>
        </is>
      </c>
      <c r="I1550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50" s="3" t="inlineStr">
        <is>
          <t>SRC_OPENAI_GPT41_DOCS; SRC_OPENAI_STARGATE_ORACLE; SRC_OPENAI_STARGATE_PROGRESS; SRC_EPOCH_AI_DATA_CENTERS; ASSUMP_NUMERIC_ACCELERATOR_MIX</t>
        </is>
      </c>
      <c r="K1550" s="3" t="inlineStr">
        <is>
          <t>ASSUMP_STARGATE_RAMP; ASSUMP_MS_OPENAI_ATTRIBUTION; ASSUMP_NUMERIC_ACCELERATOR_MIX; ASSUMP_INFERENCE_SHARE_NOT_FACT_60; ASSUMP_WORKLOAD_CLASS_MIX; ASSUMP_AGENTIC_CONTEXT_PENALTY</t>
        </is>
      </c>
      <c r="L1550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51">
      <c r="A1551" s="3" t="inlineStr">
        <is>
          <t>OpenAI</t>
        </is>
      </c>
      <c r="B1551" s="3" t="n">
        <v>2028</v>
      </c>
      <c r="C1551" s="3" t="inlineStr">
        <is>
          <t>Base</t>
        </is>
      </c>
      <c r="D1551" s="3" t="inlineStr">
        <is>
          <t>h200_share</t>
        </is>
      </c>
      <c r="E1551" s="3" t="n">
        <v>0.153136</v>
      </c>
      <c r="F1551" s="3" t="inlineStr">
        <is>
          <t>share of inference-serving accelerator load</t>
        </is>
      </c>
      <c r="G1551" s="3" t="inlineStr">
        <is>
          <t>Editable numeric scenario</t>
        </is>
      </c>
      <c r="H1551" s="3" t="inlineStr">
        <is>
          <t>h200_share = gpu_share * default_gpu_generation_mix_h200</t>
        </is>
      </c>
      <c r="I1551" s="3" t="inlineStr">
        <is>
          <t>Default GPU-generation migration assumption; executive workbook allows later manual replacement by company/year/scenario.</t>
        </is>
      </c>
      <c r="J1551" s="3" t="inlineStr">
        <is>
          <t>SRC_SEMIANALYSIS_INFERENCEX; ASSUMP_NUMERIC_ACCELERATOR_MIX</t>
        </is>
      </c>
      <c r="K1551" s="3" t="inlineStr">
        <is>
          <t>ASSUMP_STARGATE_RAMP; ASSUMP_MS_OPENAI_ATTRIBUTION; ASSUMP_NUMERIC_ACCELERATOR_MIX; ASSUMP_INFERENCE_SHARE_NOT_FACT_60; ASSUMP_WORKLOAD_CLASS_MIX; ASSUMP_AGENTIC_CONTEXT_PENALTY</t>
        </is>
      </c>
      <c r="L1551" s="3" t="inlineStr">
        <is>
          <t>Company fleet inventory, accelerator-hours or procurement/deployment records by GPU generation.</t>
        </is>
      </c>
    </row>
    <row r="1552">
      <c r="A1552" s="3" t="inlineStr">
        <is>
          <t>OpenAI</t>
        </is>
      </c>
      <c r="B1552" s="3" t="n">
        <v>2028</v>
      </c>
      <c r="C1552" s="3" t="inlineStr">
        <is>
          <t>Base</t>
        </is>
      </c>
      <c r="D1552" s="3" t="inlineStr">
        <is>
          <t>b200_share</t>
        </is>
      </c>
      <c r="E1552" s="3" t="n">
        <v>0.5173219999999999</v>
      </c>
      <c r="F1552" s="3" t="inlineStr">
        <is>
          <t>share of inference-serving accelerator load</t>
        </is>
      </c>
      <c r="G1552" s="3" t="inlineStr">
        <is>
          <t>Editable numeric scenario</t>
        </is>
      </c>
      <c r="H1552" s="3" t="inlineStr">
        <is>
          <t>b200_share = gpu_share * default_gpu_generation_mix_b200</t>
        </is>
      </c>
      <c r="I1552" s="3" t="inlineStr">
        <is>
          <t>Default GPU-generation migration assumption; executive workbook allows later manual replacement by company/year/scenario.</t>
        </is>
      </c>
      <c r="J1552" s="3" t="inlineStr">
        <is>
          <t>SRC_SEMIANALYSIS_INFERENCEX; ASSUMP_NUMERIC_ACCELERATOR_MIX</t>
        </is>
      </c>
      <c r="K1552" s="3" t="inlineStr">
        <is>
          <t>ASSUMP_STARGATE_RAMP; ASSUMP_MS_OPENAI_ATTRIBUTION; ASSUMP_NUMERIC_ACCELERATOR_MIX; ASSUMP_INFERENCE_SHARE_NOT_FACT_60; ASSUMP_WORKLOAD_CLASS_MIX; ASSUMP_AGENTIC_CONTEXT_PENALTY</t>
        </is>
      </c>
      <c r="L1552" s="3" t="inlineStr">
        <is>
          <t>Company fleet inventory, accelerator-hours or procurement/deployment records by GPU generation.</t>
        </is>
      </c>
    </row>
    <row r="1553">
      <c r="A1553" s="3" t="inlineStr">
        <is>
          <t>OpenAI</t>
        </is>
      </c>
      <c r="B1553" s="3" t="n">
        <v>2028</v>
      </c>
      <c r="C1553" s="3" t="inlineStr">
        <is>
          <t>Base</t>
        </is>
      </c>
      <c r="D1553" s="3" t="inlineStr">
        <is>
          <t>gb200_share</t>
        </is>
      </c>
      <c r="E1553" s="3" t="n">
        <v>0.124026</v>
      </c>
      <c r="F1553" s="3" t="inlineStr">
        <is>
          <t>share of inference-serving accelerator load</t>
        </is>
      </c>
      <c r="G1553" s="3" t="inlineStr">
        <is>
          <t>Editable numeric scenario</t>
        </is>
      </c>
      <c r="H1553" s="3" t="inlineStr">
        <is>
          <t>gb200_share = gpu_share * default_gpu_generation_mix_gb200</t>
        </is>
      </c>
      <c r="I1553" s="3" t="inlineStr">
        <is>
          <t>Default GPU-generation migration assumption; executive workbook allows later manual replacement by company/year/scenario.</t>
        </is>
      </c>
      <c r="J1553" s="3" t="inlineStr">
        <is>
          <t>SRC_SEMIANALYSIS_INFERENCEX; ASSUMP_NUMERIC_ACCELERATOR_MIX</t>
        </is>
      </c>
      <c r="K1553" s="3" t="inlineStr">
        <is>
          <t>ASSUMP_STARGATE_RAMP; ASSUMP_MS_OPENAI_ATTRIBUTION; ASSUMP_NUMERIC_ACCELERATOR_MIX; ASSUMP_INFERENCE_SHARE_NOT_FACT_60; ASSUMP_WORKLOAD_CLASS_MIX; ASSUMP_AGENTIC_CONTEXT_PENALTY</t>
        </is>
      </c>
      <c r="L1553" s="3" t="inlineStr">
        <is>
          <t>Company fleet inventory, accelerator-hours or procurement/deployment records by GPU generation.</t>
        </is>
      </c>
    </row>
    <row r="1554">
      <c r="A1554" s="3" t="inlineStr">
        <is>
          <t>OpenAI</t>
        </is>
      </c>
      <c r="B1554" s="3" t="n">
        <v>2028</v>
      </c>
      <c r="C1554" s="3" t="inlineStr">
        <is>
          <t>Base</t>
        </is>
      </c>
      <c r="D1554" s="3" t="inlineStr">
        <is>
          <t>purpose_built_accelerator_share</t>
        </is>
      </c>
      <c r="E1554" s="3" t="n">
        <v>0.205515</v>
      </c>
      <c r="F1554" s="3" t="inlineStr">
        <is>
          <t>share of inference-serving accelerator load</t>
        </is>
      </c>
      <c r="G1554" s="3" t="inlineStr">
        <is>
          <t>Numeric scenario</t>
        </is>
      </c>
      <c r="H1554" s="3" t="inlineStr">
        <is>
          <t>1 - gpu_share</t>
        </is>
      </c>
      <c r="I1554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54" s="3" t="inlineStr">
        <is>
          <t>SRC_OPENAI_GPT41_DOCS; SRC_OPENAI_STARGATE_ORACLE; SRC_OPENAI_STARGATE_PROGRESS; SRC_EPOCH_AI_DATA_CENTERS; ASSUMP_NUMERIC_ACCELERATOR_MIX</t>
        </is>
      </c>
      <c r="K1554" s="3" t="inlineStr">
        <is>
          <t>ASSUMP_STARGATE_RAMP; ASSUMP_MS_OPENAI_ATTRIBUTION; ASSUMP_NUMERIC_ACCELERATOR_MIX; ASSUMP_INFERENCE_SHARE_NOT_FACT_60; ASSUMP_WORKLOAD_CLASS_MIX; ASSUMP_AGENTIC_CONTEXT_PENALTY</t>
        </is>
      </c>
      <c r="L1554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55">
      <c r="A1555" s="3" t="inlineStr">
        <is>
          <t>OpenAI</t>
        </is>
      </c>
      <c r="B1555" s="3" t="n">
        <v>2028</v>
      </c>
      <c r="C1555" s="3" t="inlineStr">
        <is>
          <t>Base</t>
        </is>
      </c>
      <c r="D1555" s="3" t="inlineStr">
        <is>
          <t>fleet_reference_tps_per_mw</t>
        </is>
      </c>
      <c r="E1555" s="3" t="n">
        <v>283113</v>
      </c>
      <c r="F1555" s="3" t="inlineStr">
        <is>
          <t>generated output tokens/sec/MW</t>
        </is>
      </c>
      <c r="G1555" s="3" t="inlineStr">
        <is>
          <t>Fleet-weighted public benchmark reference</t>
        </is>
      </c>
      <c r="H1555" s="3" t="inlineStr">
        <is>
          <t>h200_share*h200_workload_avg + b200_share*b200_workload_avg + gb200_share*gb200_workload_avg + purpose_built_share*purpose_workload_avg</t>
        </is>
      </c>
      <c r="I155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55" s="3" t="inlineStr">
        <is>
          <t>SRC_SEMIANALYSIS_INFERENCEX; ASSUMP_NUMERIC_ACCELERATOR_MIX; ASSUMP_WORKLOAD_CLASS_MIX; ASSUMP_AGENTIC_CONTEXT_PENALTY</t>
        </is>
      </c>
      <c r="K1555" s="3" t="inlineStr">
        <is>
          <t>ASSUMP_STARGATE_RAMP; ASSUMP_MS_OPENAI_ATTRIBUTION; ASSUMP_NUMERIC_ACCELERATOR_MIX; ASSUMP_INFERENCE_SHARE_NOT_FACT_60; ASSUMP_WORKLOAD_CLASS_MIX; ASSUMP_AGENTIC_CONTEXT_PENALTY</t>
        </is>
      </c>
      <c r="L1555" s="3" t="inlineStr">
        <is>
          <t>Comparable production output-token throughput or a more closely matched benchmark.</t>
        </is>
      </c>
    </row>
    <row r="1556">
      <c r="A1556" s="3" t="inlineStr">
        <is>
          <t>OpenAI</t>
        </is>
      </c>
      <c r="B1556" s="3" t="n">
        <v>2028</v>
      </c>
      <c r="C1556" s="3" t="inlineStr">
        <is>
          <t>Base</t>
        </is>
      </c>
      <c r="D1556" s="3" t="inlineStr">
        <is>
          <t>commercial_workload_fit_factor</t>
        </is>
      </c>
      <c r="E1556" s="3" t="n">
        <v>0.5</v>
      </c>
      <c r="F1556" s="3" t="inlineStr">
        <is>
          <t>share of public reference throughput</t>
        </is>
      </c>
      <c r="G1556" s="3" t="inlineStr">
        <is>
          <t>Scenario assumption</t>
        </is>
      </c>
      <c r="H1556" s="3" t="inlineStr">
        <is>
          <t>reference_serving_tps_per_mw = fleet_reference_tps_per_mw * commercial_workload_fit_factor</t>
        </is>
      </c>
      <c r="I155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56" s="3" t="inlineStr">
        <is>
          <t>SRC_SEMIANALYSIS_INFERENCEX; ASSUMP_NUMERIC_ACCELERATOR_MIX; ASSUMP_WORKLOAD_CLASS_MIX; ASSUMP_AGENTIC_CONTEXT_PENALTY</t>
        </is>
      </c>
      <c r="K1556" s="3" t="inlineStr">
        <is>
          <t>ASSUMP_STARGATE_RAMP; ASSUMP_MS_OPENAI_ATTRIBUTION; ASSUMP_NUMERIC_ACCELERATOR_MIX; ASSUMP_INFERENCE_SHARE_NOT_FACT_60; ASSUMP_WORKLOAD_CLASS_MIX; ASSUMP_AGENTIC_CONTEXT_PENALTY</t>
        </is>
      </c>
      <c r="L1556" s="3" t="inlineStr">
        <is>
          <t>Matched commercial serving benchmark by product surface, context shape and latency SLO.</t>
        </is>
      </c>
    </row>
    <row r="1557">
      <c r="A1557" s="3" t="inlineStr">
        <is>
          <t>OpenAI</t>
        </is>
      </c>
      <c r="B1557" s="3" t="n">
        <v>2028</v>
      </c>
      <c r="C1557" s="3" t="inlineStr">
        <is>
          <t>Base</t>
        </is>
      </c>
      <c r="D1557" s="3" t="inlineStr">
        <is>
          <t>reference_serving_tps_per_mw</t>
        </is>
      </c>
      <c r="E1557" s="3" t="n">
        <v>141556</v>
      </c>
      <c r="F1557" s="3" t="inlineStr">
        <is>
          <t>generated output tokens/sec/MW</t>
        </is>
      </c>
      <c r="G1557" s="3" t="inlineStr">
        <is>
          <t>Workload-adjusted benchmark proxy</t>
        </is>
      </c>
      <c r="H1557" s="3" t="inlineStr">
        <is>
          <t>fleet_reference_tps_per_mw * commercial_workload_fit_factor</t>
        </is>
      </c>
      <c r="I1557" s="3" t="inlineStr">
        <is>
          <t>This is the coefficient used for headline token generation; each GPU's short chat, long chat and agentic TPS/MW are weighted before fleet mix and commercial fit are applied.</t>
        </is>
      </c>
      <c r="J1557" s="3" t="inlineStr">
        <is>
          <t>SRC_SEMIANALYSIS_INFERENCEX; ASSUMP_NUMERIC_ACCELERATOR_MIX; ASSUMP_WORKLOAD_CLASS_MIX; ASSUMP_AGENTIC_CONTEXT_PENALTY</t>
        </is>
      </c>
      <c r="K1557" s="3" t="inlineStr">
        <is>
          <t>ASSUMP_STARGATE_RAMP; ASSUMP_MS_OPENAI_ATTRIBUTION; ASSUMP_NUMERIC_ACCELERATOR_MIX; ASSUMP_INFERENCE_SHARE_NOT_FACT_60; ASSUMP_WORKLOAD_CLASS_MIX; ASSUMP_AGENTIC_CONTEXT_PENALTY</t>
        </is>
      </c>
      <c r="L1557" s="3" t="inlineStr">
        <is>
          <t>Provider production output-token throughput with comparable workload/SLO.</t>
        </is>
      </c>
    </row>
    <row r="1558">
      <c r="A1558" s="3" t="inlineStr">
        <is>
          <t>OpenAI</t>
        </is>
      </c>
      <c r="B1558" s="3" t="n">
        <v>2028</v>
      </c>
      <c r="C1558" s="3" t="inlineStr">
        <is>
          <t>Base</t>
        </is>
      </c>
      <c r="D1558" s="3" t="inlineStr">
        <is>
          <t>purpose_built_tps_per_mw</t>
        </is>
      </c>
      <c r="E1558" s="3" t="n">
        <v>67653</v>
      </c>
      <c r="F1558" s="3" t="inlineStr">
        <is>
          <t>generated output tokens/sec/MW</t>
        </is>
      </c>
      <c r="G1558" s="3" t="inlineStr">
        <is>
          <t>Conservative no-uplift proxy</t>
        </is>
      </c>
      <c r="H1558" s="3" t="inlineStr">
        <is>
          <t>purpose_built_tps_per_mw = purpose_built_reference_tps_per_mw * commercial_workload_fit_factor until comparable output-token benchmark is adopted</t>
        </is>
      </c>
      <c r="I1558" s="3" t="inlineStr">
        <is>
          <t>No comparable public output-token/MW row adopted; B200 public reference placeholder is used and remains editable.</t>
        </is>
      </c>
      <c r="J1558" s="3" t="inlineStr">
        <is>
          <t>SRC_OPENAI_GPT41_DOCS; SRC_OPENAI_STARGATE_ORACLE; SRC_OPENAI_STARGATE_PROGRESS; SRC_EPOCH_AI_DATA_CENTERS; ASSUMP_NUMERIC_ACCELERATOR_MIX</t>
        </is>
      </c>
      <c r="K1558" s="3" t="inlineStr">
        <is>
          <t>ASSUMP_STARGATE_RAMP; ASSUMP_MS_OPENAI_ATTRIBUTION; ASSUMP_NUMERIC_ACCELERATOR_MIX; ASSUMP_INFERENCE_SHARE_NOT_FACT_60; ASSUMP_WORKLOAD_CLASS_MIX; ASSUMP_AGENTIC_CONTEXT_PENALTY</t>
        </is>
      </c>
      <c r="L1558" s="3" t="inlineStr">
        <is>
          <t>Matched-workload generated-output benchmark for the provider purpose-built accelerator.</t>
        </is>
      </c>
    </row>
    <row r="1559">
      <c r="A1559" s="3" t="inlineStr">
        <is>
          <t>OpenAI</t>
        </is>
      </c>
      <c r="B1559" s="3" t="n">
        <v>2028</v>
      </c>
      <c r="C1559" s="3" t="inlineStr">
        <is>
          <t>Base</t>
        </is>
      </c>
      <c r="D1559" s="3" t="inlineStr">
        <is>
          <t>inference_power_share</t>
        </is>
      </c>
      <c r="E1559" s="3" t="n">
        <v>0.68</v>
      </c>
      <c r="F1559" s="3" t="inlineStr">
        <is>
          <t>share of AI IT load</t>
        </is>
      </c>
      <c r="G1559" s="3" t="inlineStr">
        <is>
          <t>Scenario allocation</t>
        </is>
      </c>
      <c r="H1559" s="3" t="inlineStr">
        <is>
          <t>inference_gw = ai_it_load_gw * inference_power_share</t>
        </is>
      </c>
      <c r="I1559" s="3" t="inlineStr">
        <is>
          <t>ChatGPT/API/enterprise commercial surfaces support increasing inference allocation while training remains material.</t>
        </is>
      </c>
      <c r="J1559" s="3" t="inlineStr">
        <is>
          <t>SRC_OPENAI_GPT41_DOCS; SRC_OPENAI_STARGATE_ORACLE; SRC_OPENAI_STARGATE_PROGRESS; SRC_EPOCH_AI_DATA_CENTERS; ASSUMP_INFERENCE_SHARE_NOT_FACT_60</t>
        </is>
      </c>
      <c r="K1559" s="3" t="inlineStr">
        <is>
          <t>ASSUMP_STARGATE_RAMP; ASSUMP_MS_OPENAI_ATTRIBUTION; ASSUMP_NUMERIC_ACCELERATOR_MIX; ASSUMP_INFERENCE_SHARE_NOT_FACT_60; ASSUMP_WORKLOAD_CLASS_MIX; ASSUMP_AGENTIC_CONTEXT_PENALTY</t>
        </is>
      </c>
      <c r="L1559" s="3" t="inlineStr">
        <is>
          <t>Provider-specific inference/training workload power telemetry.</t>
        </is>
      </c>
    </row>
    <row r="1560">
      <c r="A1560" s="3" t="inlineStr">
        <is>
          <t>OpenAI</t>
        </is>
      </c>
      <c r="B1560" s="3" t="n">
        <v>2028</v>
      </c>
      <c r="C1560" s="3" t="inlineStr">
        <is>
          <t>Base</t>
        </is>
      </c>
      <c r="D1560" s="3" t="inlineStr">
        <is>
          <t>inference_gw</t>
        </is>
      </c>
      <c r="E1560" s="3" t="n">
        <v>2.468</v>
      </c>
      <c r="F1560" s="3" t="inlineStr">
        <is>
          <t>GW</t>
        </is>
      </c>
      <c r="G1560" s="3" t="inlineStr">
        <is>
          <t>Derived formula</t>
        </is>
      </c>
      <c r="H1560" s="3" t="inlineStr">
        <is>
          <t>ai_it_load_gw * inference_power_share</t>
        </is>
      </c>
      <c r="I1560" s="3" t="inlineStr">
        <is>
          <t>This is the operational power eligible to become commercial generated output tokens through the selected TPS/MW proxy.</t>
        </is>
      </c>
      <c r="J1560" s="3" t="inlineStr">
        <is>
          <t>SRC_OPENAI_GPT41_DOCS; SRC_OPENAI_STARGATE_ORACLE; SRC_OPENAI_STARGATE_PROGRESS; SRC_EPOCH_AI_DATA_CENTERS</t>
        </is>
      </c>
      <c r="K1560" s="3" t="inlineStr">
        <is>
          <t>ASSUMP_STARGATE_RAMP; ASSUMP_MS_OPENAI_ATTRIBUTION; ASSUMP_NUMERIC_ACCELERATOR_MIX; ASSUMP_INFERENCE_SHARE_NOT_FACT_60; ASSUMP_WORKLOAD_CLASS_MIX; ASSUMP_AGENTIC_CONTEXT_PENALTY</t>
        </is>
      </c>
      <c r="L1560" s="3" t="inlineStr">
        <is>
          <t>Recompute after AI allocation or inference-share evidence changes.</t>
        </is>
      </c>
    </row>
    <row r="1561">
      <c r="A1561" s="3" t="inlineStr">
        <is>
          <t>OpenAI</t>
        </is>
      </c>
      <c r="B1561" s="3" t="n">
        <v>2028</v>
      </c>
      <c r="C1561" s="3" t="inlineStr">
        <is>
          <t>Base</t>
        </is>
      </c>
      <c r="D1561" s="3" t="inlineStr">
        <is>
          <t>training_power_share</t>
        </is>
      </c>
      <c r="E1561" s="3" t="n">
        <v>0.32</v>
      </c>
      <c r="F1561" s="3" t="inlineStr">
        <is>
          <t>share of AI IT load</t>
        </is>
      </c>
      <c r="G1561" s="3" t="inlineStr">
        <is>
          <t>Derived allocation</t>
        </is>
      </c>
      <c r="H1561" s="3" t="inlineStr">
        <is>
          <t>1 - inference_power_share</t>
        </is>
      </c>
      <c r="I1561" s="3" t="inlineStr">
        <is>
          <t>Training receives the complementary modeled AI IT allocation; it is not a disclosed company workload split.</t>
        </is>
      </c>
      <c r="J1561" s="3" t="inlineStr">
        <is>
          <t>SRC_OPENAI_GPT41_DOCS; SRC_OPENAI_STARGATE_ORACLE; SRC_OPENAI_STARGATE_PROGRESS; SRC_EPOCH_AI_DATA_CENTERS; ASSUMP_INFERENCE_SHARE_NOT_FACT_60</t>
        </is>
      </c>
      <c r="K1561" s="3" t="inlineStr">
        <is>
          <t>ASSUMP_STARGATE_RAMP; ASSUMP_MS_OPENAI_ATTRIBUTION; ASSUMP_NUMERIC_ACCELERATOR_MIX; ASSUMP_INFERENCE_SHARE_NOT_FACT_60; ASSUMP_WORKLOAD_CLASS_MIX; ASSUMP_AGENTIC_CONTEXT_PENALTY</t>
        </is>
      </c>
      <c r="L1561" s="3" t="inlineStr">
        <is>
          <t>Provider-specific inference/training workload power telemetry.</t>
        </is>
      </c>
    </row>
    <row r="1562">
      <c r="A1562" s="3" t="inlineStr">
        <is>
          <t>OpenAI</t>
        </is>
      </c>
      <c r="B1562" s="3" t="n">
        <v>2028</v>
      </c>
      <c r="C1562" s="3" t="inlineStr">
        <is>
          <t>Base</t>
        </is>
      </c>
      <c r="D1562" s="3" t="inlineStr">
        <is>
          <t>training_gw</t>
        </is>
      </c>
      <c r="E1562" s="3" t="n">
        <v>1.162</v>
      </c>
      <c r="F1562" s="3" t="inlineStr">
        <is>
          <t>GW</t>
        </is>
      </c>
      <c r="G1562" s="3" t="inlineStr">
        <is>
          <t>Derived formula</t>
        </is>
      </c>
      <c r="H1562" s="3" t="inlineStr">
        <is>
          <t>ai_it_load_gw * training_power_share</t>
        </is>
      </c>
      <c r="I1562" s="3" t="inlineStr">
        <is>
          <t>Training GW is shown separately so commercial inference token capacity is not overstated.</t>
        </is>
      </c>
      <c r="J1562" s="3" t="inlineStr">
        <is>
          <t>SRC_OPENAI_GPT41_DOCS; SRC_OPENAI_STARGATE_ORACLE; SRC_OPENAI_STARGATE_PROGRESS; SRC_EPOCH_AI_DATA_CENTERS</t>
        </is>
      </c>
      <c r="K1562" s="3" t="inlineStr">
        <is>
          <t>ASSUMP_STARGATE_RAMP; ASSUMP_MS_OPENAI_ATTRIBUTION; ASSUMP_NUMERIC_ACCELERATOR_MIX; ASSUMP_INFERENCE_SHARE_NOT_FACT_60; ASSUMP_WORKLOAD_CLASS_MIX; ASSUMP_AGENTIC_CONTEXT_PENALTY</t>
        </is>
      </c>
      <c r="L1562" s="3" t="inlineStr">
        <is>
          <t>Recompute after AI allocation or workload-split evidence changes.</t>
        </is>
      </c>
    </row>
    <row r="1563">
      <c r="A1563" s="3" t="inlineStr">
        <is>
          <t>OpenAI</t>
        </is>
      </c>
      <c r="B1563" s="3" t="n">
        <v>2028</v>
      </c>
      <c r="C1563" s="3" t="inlineStr">
        <is>
          <t>Base</t>
        </is>
      </c>
      <c r="D1563" s="3" t="inlineStr">
        <is>
          <t>tokens_per_second_per_mw</t>
        </is>
      </c>
      <c r="E1563" s="3" t="n">
        <v>141556</v>
      </c>
      <c r="F1563" s="3" t="inlineStr">
        <is>
          <t>generated output tokens/sec/MW</t>
        </is>
      </c>
      <c r="G1563" s="3" t="inlineStr">
        <is>
          <t>Derived estimate + benchmark calibration</t>
        </is>
      </c>
      <c r="H1563" s="3" t="inlineStr">
        <is>
          <t>fleet_reference_tps_per_mw * commercial_workload_fit_factor</t>
        </is>
      </c>
      <c r="I156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63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63" s="3" t="inlineStr">
        <is>
          <t>ASSUMP_STARGATE_RAMP; ASSUMP_MS_OPENAI_ATTRIBUTION; ASSUMP_NUMERIC_ACCELERATOR_MIX; ASSUMP_INFERENCE_SHARE_NOT_FACT_60; ASSUMP_WORKLOAD_CLASS_MIX; ASSUMP_AGENTIC_CONTEXT_PENALTY</t>
        </is>
      </c>
      <c r="L1563" s="3" t="inlineStr">
        <is>
          <t>Comparable production output-token throughput with model, hardware, precision, ISL/OSL and SLO matched.</t>
        </is>
      </c>
    </row>
    <row r="1564">
      <c r="A1564" s="3" t="inlineStr">
        <is>
          <t>OpenAI</t>
        </is>
      </c>
      <c r="B1564" s="3" t="n">
        <v>2028</v>
      </c>
      <c r="C1564" s="3" t="inlineStr">
        <is>
          <t>Base</t>
        </is>
      </c>
      <c r="D1564" s="3" t="inlineStr">
        <is>
          <t>inference_tokens_per_day</t>
        </is>
      </c>
      <c r="E1564" s="3" t="n">
        <v>30184721971200</v>
      </c>
      <c r="F1564" s="3" t="inlineStr">
        <is>
          <t>generated output tokens/day</t>
        </is>
      </c>
      <c r="G1564" s="3" t="inlineStr">
        <is>
          <t>Derived headline metric</t>
        </is>
      </c>
      <c r="H1564" s="3" t="inlineStr">
        <is>
          <t>inference_gw * 1000 * tokens_per_second_per_mw * 86,400</t>
        </is>
      </c>
      <c r="I1564" s="3" t="inlineStr">
        <is>
          <t>Headline capacity uses no utilization, MoE, architecture or software-growth multiplier; it is not observed commercial output volume.</t>
        </is>
      </c>
      <c r="J1564" s="3" t="inlineStr">
        <is>
          <t>SRC_OPENAI_GPT41_DOCS; SRC_OPENAI_STARGATE_ORACLE; SRC_OPENAI_STARGATE_PROGRESS; SRC_EPOCH_AI_DATA_CENTERS; SRC_SEMIANALYSIS_INFERENCEX</t>
        </is>
      </c>
      <c r="K1564" s="3" t="inlineStr">
        <is>
          <t>ASSUMP_STARGATE_RAMP; ASSUMP_MS_OPENAI_ATTRIBUTION; ASSUMP_NUMERIC_ACCELERATOR_MIX; ASSUMP_INFERENCE_SHARE_NOT_FACT_60; ASSUMP_WORKLOAD_CLASS_MIX; ASSUMP_AGENTIC_CONTEXT_PENALTY</t>
        </is>
      </c>
      <c r="L1564" s="3" t="inlineStr">
        <is>
          <t>Provider-disclosed generated output token volume or calibrated capacity telemetry.</t>
        </is>
      </c>
    </row>
    <row r="1565">
      <c r="A1565" s="3" t="inlineStr">
        <is>
          <t>OpenAI</t>
        </is>
      </c>
      <c r="B1565" s="3" t="n">
        <v>2028</v>
      </c>
      <c r="C1565" s="3" t="inlineStr">
        <is>
          <t>Base</t>
        </is>
      </c>
      <c r="D1565" s="3" t="inlineStr">
        <is>
          <t>inference_tokens_per_year</t>
        </is>
      </c>
      <c r="E1565" s="3" t="n">
        <v>1.1017423519488e+16</v>
      </c>
      <c r="F1565" s="3" t="inlineStr">
        <is>
          <t>generated output tokens/year</t>
        </is>
      </c>
      <c r="G1565" s="3" t="inlineStr">
        <is>
          <t>Derived headline metric</t>
        </is>
      </c>
      <c r="H1565" s="3" t="inlineStr">
        <is>
          <t>inference_tokens_per_day * 365</t>
        </is>
      </c>
      <c r="I1565" s="3" t="inlineStr">
        <is>
          <t>Annualized version of generated output token capacity; it is not observed annual demand or billable volume.</t>
        </is>
      </c>
      <c r="J1565" s="3" t="inlineStr">
        <is>
          <t>SRC_OPENAI_GPT41_DOCS; SRC_OPENAI_STARGATE_ORACLE; SRC_OPENAI_STARGATE_PROGRESS; SRC_EPOCH_AI_DATA_CENTERS; SRC_SEMIANALYSIS_INFERENCEX</t>
        </is>
      </c>
      <c r="K1565" s="3" t="inlineStr">
        <is>
          <t>ASSUMP_STARGATE_RAMP; ASSUMP_MS_OPENAI_ATTRIBUTION; ASSUMP_NUMERIC_ACCELERATOR_MIX; ASSUMP_INFERENCE_SHARE_NOT_FACT_60; ASSUMP_WORKLOAD_CLASS_MIX; ASSUMP_AGENTIC_CONTEXT_PENALTY</t>
        </is>
      </c>
      <c r="L1565" s="3" t="inlineStr">
        <is>
          <t>Provider-disclosed annual generated-output volume or metered serving telemetry.</t>
        </is>
      </c>
    </row>
    <row r="1566">
      <c r="A1566" s="3" t="inlineStr">
        <is>
          <t>OpenAI</t>
        </is>
      </c>
      <c r="B1566" s="3" t="n">
        <v>2029</v>
      </c>
      <c r="C1566" s="3" t="inlineStr">
        <is>
          <t>Base</t>
        </is>
      </c>
      <c r="D1566" s="3" t="inlineStr">
        <is>
          <t>contracted_power_gw</t>
        </is>
      </c>
      <c r="E1566" s="3" t="n">
        <v>10.25</v>
      </c>
      <c r="F1566" s="3" t="inlineStr">
        <is>
          <t>GW</t>
        </is>
      </c>
      <c r="G1566" s="3" t="inlineStr">
        <is>
          <t>Fact anchor + scenario ceiling</t>
        </is>
      </c>
      <c r="H1566" s="3" t="inlineStr">
        <is>
          <t>linear interpolation between 2026 and 2030 company capacity endpoints</t>
        </is>
      </c>
      <c r="I1566" s="3" t="inlineStr">
        <is>
          <t>2030 envelope is bounded by official Stargate planned/committed capacity; 2026 and timing remain staged scenario values.</t>
        </is>
      </c>
      <c r="J1566" s="3" t="inlineStr">
        <is>
          <t>SRC_OPENAI_STARGATE_ORACLE; SRC_OPENAI_STARGATE_PROGRESS; ASSUMP_STARGATE_RAMP</t>
        </is>
      </c>
      <c r="K1566" s="3" t="inlineStr">
        <is>
          <t>ASSUMP_STARGATE_RAMP; ASSUMP_MS_OPENAI_ATTRIBUTION; ASSUMP_NUMERIC_ACCELERATOR_MIX; ASSUMP_INFERENCE_SHARE_NOT_FACT_60; ASSUMP_WORKLOAD_CLASS_MIX; ASSUMP_AGENTIC_CONTEXT_PENALTY</t>
        </is>
      </c>
      <c r="L1566" s="3" t="inlineStr">
        <is>
          <t>Company/site-level committed MW/GW, interconnect and contract disclosure.</t>
        </is>
      </c>
    </row>
    <row r="1567">
      <c r="A1567" s="3" t="inlineStr">
        <is>
          <t>OpenAI</t>
        </is>
      </c>
      <c r="B1567" s="3" t="n">
        <v>2029</v>
      </c>
      <c r="C1567" s="3" t="inlineStr">
        <is>
          <t>Base</t>
        </is>
      </c>
      <c r="D1567" s="3" t="inlineStr">
        <is>
          <t>operational_deployment_share</t>
        </is>
      </c>
      <c r="E1567" s="3" t="n">
        <v>0.65609756</v>
      </c>
      <c r="F1567" s="3" t="inlineStr">
        <is>
          <t>share</t>
        </is>
      </c>
      <c r="G1567" s="3" t="inlineStr">
        <is>
          <t>Scenario conversion</t>
        </is>
      </c>
      <c r="H1567" s="3" t="inlineStr">
        <is>
          <t>active_power_gw / contracted_power_gw</t>
        </is>
      </c>
      <c r="I1567" s="3" t="inlineStr">
        <is>
          <t>This is the single explicit conversion from contracted/attributed capacity to operationally usable capacity.</t>
        </is>
      </c>
      <c r="J1567" s="3" t="inlineStr">
        <is>
          <t>SRC_OPENAI_STARGATE_ORACLE; SRC_OPENAI_STARGATE_PROGRESS; ASSUMP_STARGATE_RAMP</t>
        </is>
      </c>
      <c r="K1567" s="3" t="inlineStr">
        <is>
          <t>ASSUMP_STARGATE_RAMP; ASSUMP_MS_OPENAI_ATTRIBUTION; ASSUMP_NUMERIC_ACCELERATOR_MIX; ASSUMP_INFERENCE_SHARE_NOT_FACT_60; ASSUMP_WORKLOAD_CLASS_MIX; ASSUMP_AGENTIC_CONTEXT_PENALTY</t>
        </is>
      </c>
      <c r="L1567" s="3" t="inlineStr">
        <is>
          <t>Energized operational capacity divided by contracted/attributed capacity.</t>
        </is>
      </c>
    </row>
    <row r="1568">
      <c r="A1568" s="3" t="inlineStr">
        <is>
          <t>OpenAI</t>
        </is>
      </c>
      <c r="B1568" s="3" t="n">
        <v>2029</v>
      </c>
      <c r="C1568" s="3" t="inlineStr">
        <is>
          <t>Base</t>
        </is>
      </c>
      <c r="D1568" s="3" t="inlineStr">
        <is>
          <t>active_power_gw</t>
        </is>
      </c>
      <c r="E1568" s="3" t="n">
        <v>6.725</v>
      </c>
      <c r="F1568" s="3" t="inlineStr">
        <is>
          <t>GW</t>
        </is>
      </c>
      <c r="G1568" s="3" t="inlineStr">
        <is>
          <t>Derived scenario</t>
        </is>
      </c>
      <c r="H1568" s="3" t="inlineStr">
        <is>
          <t>contracted_power_gw * operational_deployment_share</t>
        </is>
      </c>
      <c r="I1568" s="3" t="inlineStr">
        <is>
          <t>Official capacity announcements are converted to active GW only through energization/GPU-deployment ramp assumptions.</t>
        </is>
      </c>
      <c r="J1568" s="3" t="inlineStr">
        <is>
          <t>SRC_OPENAI_STARGATE_ORACLE; SRC_OPENAI_STARGATE_PROGRESS; ASSUMP_STARGATE_RAMP</t>
        </is>
      </c>
      <c r="K1568" s="3" t="inlineStr">
        <is>
          <t>ASSUMP_STARGATE_RAMP; ASSUMP_MS_OPENAI_ATTRIBUTION; ASSUMP_NUMERIC_ACCELERATOR_MIX; ASSUMP_INFERENCE_SHARE_NOT_FACT_60; ASSUMP_WORKLOAD_CLASS_MIX; ASSUMP_AGENTIC_CONTEXT_PENALTY</t>
        </is>
      </c>
      <c r="L1568" s="3" t="inlineStr">
        <is>
          <t>Energization dates, accelerator deliveries and operational powered-rack telemetry.</t>
        </is>
      </c>
    </row>
    <row r="1569">
      <c r="A1569" s="3" t="inlineStr">
        <is>
          <t>OpenAI</t>
        </is>
      </c>
      <c r="B1569" s="3" t="n">
        <v>2029</v>
      </c>
      <c r="C1569" s="3" t="inlineStr">
        <is>
          <t>Base</t>
        </is>
      </c>
      <c r="D1569" s="3" t="inlineStr">
        <is>
          <t>pue</t>
        </is>
      </c>
      <c r="E1569" s="3" t="n">
        <v>1.2</v>
      </c>
      <c r="F1569" s="3" t="inlineStr">
        <is>
          <t>ratio</t>
        </is>
      </c>
      <c r="G1569" s="3" t="inlineStr">
        <is>
          <t>Scenario parameter</t>
        </is>
      </c>
      <c r="H1569" s="3" t="inlineStr">
        <is>
          <t>it_load_gw = active_power_gw / pue</t>
        </is>
      </c>
      <c r="I1569" s="3" t="inlineStr">
        <is>
          <t>No provider-wide site-level PUE is used as a disclosed fact; PUE represents facility-to-IT conversion within the scenario.</t>
        </is>
      </c>
      <c r="J1569" s="3" t="inlineStr">
        <is>
          <t>ASSUMP_POWER_RAMP</t>
        </is>
      </c>
      <c r="K1569" s="3" t="inlineStr">
        <is>
          <t>ASSUMP_STARGATE_RAMP; ASSUMP_MS_OPENAI_ATTRIBUTION; ASSUMP_NUMERIC_ACCELERATOR_MIX; ASSUMP_INFERENCE_SHARE_NOT_FACT_60; ASSUMP_WORKLOAD_CLASS_MIX; ASSUMP_AGENTIC_CONTEXT_PENALTY</t>
        </is>
      </c>
      <c r="L1569" s="3" t="inlineStr">
        <is>
          <t>Site-level measured PUE matched to attributed AI capacity.</t>
        </is>
      </c>
    </row>
    <row r="1570">
      <c r="A1570" s="3" t="inlineStr">
        <is>
          <t>OpenAI</t>
        </is>
      </c>
      <c r="B1570" s="3" t="n">
        <v>2029</v>
      </c>
      <c r="C1570" s="3" t="inlineStr">
        <is>
          <t>Base</t>
        </is>
      </c>
      <c r="D1570" s="3" t="inlineStr">
        <is>
          <t>it_load_gw</t>
        </is>
      </c>
      <c r="E1570" s="3" t="n">
        <v>5.604</v>
      </c>
      <c r="F1570" s="3" t="inlineStr">
        <is>
          <t>GW</t>
        </is>
      </c>
      <c r="G1570" s="3" t="inlineStr">
        <is>
          <t>Derived formula</t>
        </is>
      </c>
      <c r="H1570" s="3" t="inlineStr">
        <is>
          <t>active_power_gw / pue</t>
        </is>
      </c>
      <c r="I1570" s="3" t="inlineStr">
        <is>
          <t>Facility power is converted to IT-deliverable power before attributing AI workloads.</t>
        </is>
      </c>
      <c r="J1570" s="3" t="inlineStr">
        <is>
          <t>SRC_OPENAI_STARGATE_ORACLE; SRC_OPENAI_STARGATE_PROGRESS; ASSUMP_STARGATE_RAMP</t>
        </is>
      </c>
      <c r="K1570" s="3" t="inlineStr">
        <is>
          <t>ASSUMP_STARGATE_RAMP; ASSUMP_MS_OPENAI_ATTRIBUTION; ASSUMP_NUMERIC_ACCELERATOR_MIX; ASSUMP_INFERENCE_SHARE_NOT_FACT_60; ASSUMP_WORKLOAD_CLASS_MIX; ASSUMP_AGENTIC_CONTEXT_PENALTY</t>
        </is>
      </c>
      <c r="L1570" s="3" t="inlineStr">
        <is>
          <t>Recompute once active power and PUE become site-observable.</t>
        </is>
      </c>
    </row>
    <row r="1571">
      <c r="A1571" s="3" t="inlineStr">
        <is>
          <t>OpenAI</t>
        </is>
      </c>
      <c r="B1571" s="3" t="n">
        <v>2029</v>
      </c>
      <c r="C1571" s="3" t="inlineStr">
        <is>
          <t>Base</t>
        </is>
      </c>
      <c r="D1571" s="3" t="inlineStr">
        <is>
          <t>ai_workload_share</t>
        </is>
      </c>
      <c r="E1571" s="3" t="n">
        <v>0.88</v>
      </c>
      <c r="F1571" s="3" t="inlineStr">
        <is>
          <t>share</t>
        </is>
      </c>
      <c r="G1571" s="3" t="inlineStr">
        <is>
          <t>Scenario allocation</t>
        </is>
      </c>
      <c r="H1571" s="3" t="inlineStr">
        <is>
          <t>ai_it_load_gw = it_load_gw * ai_workload_share</t>
        </is>
      </c>
      <c r="I1571" s="3" t="inlineStr">
        <is>
          <t>Stargate capacity is AI-oriented but includes reserve, platform and non-token AI activity; 88% is a scenario.</t>
        </is>
      </c>
      <c r="J1571" s="3" t="inlineStr">
        <is>
          <t>SRC_OPENAI_GPT41_DOCS; SRC_OPENAI_STARGATE_ORACLE; SRC_OPENAI_STARGATE_PROGRESS; SRC_EPOCH_AI_DATA_CENTERS</t>
        </is>
      </c>
      <c r="K1571" s="3" t="inlineStr">
        <is>
          <t>ASSUMP_STARGATE_RAMP; ASSUMP_MS_OPENAI_ATTRIBUTION; ASSUMP_NUMERIC_ACCELERATOR_MIX; ASSUMP_INFERENCE_SHARE_NOT_FACT_60; ASSUMP_WORKLOAD_CLASS_MIX; ASSUMP_AGENTIC_CONTEXT_PENALTY</t>
        </is>
      </c>
      <c r="L1571" s="3" t="inlineStr">
        <is>
          <t>Model-owner AI workload allocation or cluster scheduling telemetry.</t>
        </is>
      </c>
    </row>
    <row r="1572">
      <c r="A1572" s="3" t="inlineStr">
        <is>
          <t>OpenAI</t>
        </is>
      </c>
      <c r="B1572" s="3" t="n">
        <v>2029</v>
      </c>
      <c r="C1572" s="3" t="inlineStr">
        <is>
          <t>Base</t>
        </is>
      </c>
      <c r="D1572" s="3" t="inlineStr">
        <is>
          <t>ai_it_load_gw</t>
        </is>
      </c>
      <c r="E1572" s="3" t="n">
        <v>4.932</v>
      </c>
      <c r="F1572" s="3" t="inlineStr">
        <is>
          <t>GW</t>
        </is>
      </c>
      <c r="G1572" s="3" t="inlineStr">
        <is>
          <t>Derived formula</t>
        </is>
      </c>
      <c r="H1572" s="3" t="inlineStr">
        <is>
          <t>it_load_gw * ai_workload_share</t>
        </is>
      </c>
      <c r="I1572" s="3" t="inlineStr">
        <is>
          <t>Only the AI-attributed portion of IT load enters training/inference allocation.</t>
        </is>
      </c>
      <c r="J1572" s="3" t="inlineStr">
        <is>
          <t>SRC_OPENAI_GPT41_DOCS; SRC_OPENAI_STARGATE_ORACLE; SRC_OPENAI_STARGATE_PROGRESS; SRC_EPOCH_AI_DATA_CENTERS</t>
        </is>
      </c>
      <c r="K1572" s="3" t="inlineStr">
        <is>
          <t>ASSUMP_STARGATE_RAMP; ASSUMP_MS_OPENAI_ATTRIBUTION; ASSUMP_NUMERIC_ACCELERATOR_MIX; ASSUMP_INFERENCE_SHARE_NOT_FACT_60; ASSUMP_WORKLOAD_CLASS_MIX; ASSUMP_AGENTIC_CONTEXT_PENALTY</t>
        </is>
      </c>
      <c r="L1572" s="3" t="inlineStr">
        <is>
          <t>Recompute after ai_workload_share is replaced by telemetry.</t>
        </is>
      </c>
    </row>
    <row r="1573">
      <c r="A1573" s="3" t="inlineStr">
        <is>
          <t>OpenAI</t>
        </is>
      </c>
      <c r="B1573" s="3" t="n">
        <v>2029</v>
      </c>
      <c r="C1573" s="3" t="inlineStr">
        <is>
          <t>Base</t>
        </is>
      </c>
      <c r="D1573" s="3" t="inlineStr">
        <is>
          <t>gpu_share</t>
        </is>
      </c>
      <c r="E1573" s="3" t="n">
        <v>0.80198</v>
      </c>
      <c r="F1573" s="3" t="inlineStr">
        <is>
          <t>share of inference-serving accelerator load</t>
        </is>
      </c>
      <c r="G1573" s="3" t="inlineStr">
        <is>
          <t>Numeric scenario</t>
        </is>
      </c>
      <c r="H1573" s="3" t="inlineStr">
        <is>
          <t>gpu_share interpolated from company 2026/2030 accelerator-mix endpoints</t>
        </is>
      </c>
      <c r="I1573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73" s="3" t="inlineStr">
        <is>
          <t>SRC_OPENAI_GPT41_DOCS; SRC_OPENAI_STARGATE_ORACLE; SRC_OPENAI_STARGATE_PROGRESS; SRC_EPOCH_AI_DATA_CENTERS; ASSUMP_NUMERIC_ACCELERATOR_MIX</t>
        </is>
      </c>
      <c r="K1573" s="3" t="inlineStr">
        <is>
          <t>ASSUMP_STARGATE_RAMP; ASSUMP_MS_OPENAI_ATTRIBUTION; ASSUMP_NUMERIC_ACCELERATOR_MIX; ASSUMP_INFERENCE_SHARE_NOT_FACT_60; ASSUMP_WORKLOAD_CLASS_MIX; ASSUMP_AGENTIC_CONTEXT_PENALTY</t>
        </is>
      </c>
      <c r="L1573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74">
      <c r="A1574" s="3" t="inlineStr">
        <is>
          <t>OpenAI</t>
        </is>
      </c>
      <c r="B1574" s="3" t="n">
        <v>2029</v>
      </c>
      <c r="C1574" s="3" t="inlineStr">
        <is>
          <t>Base</t>
        </is>
      </c>
      <c r="D1574" s="3" t="inlineStr">
        <is>
          <t>h200_share</t>
        </is>
      </c>
      <c r="E1574" s="3" t="n">
        <v>0.102937</v>
      </c>
      <c r="F1574" s="3" t="inlineStr">
        <is>
          <t>share of inference-serving accelerator load</t>
        </is>
      </c>
      <c r="G1574" s="3" t="inlineStr">
        <is>
          <t>Editable numeric scenario</t>
        </is>
      </c>
      <c r="H1574" s="3" t="inlineStr">
        <is>
          <t>h200_share = gpu_share * default_gpu_generation_mix_h200</t>
        </is>
      </c>
      <c r="I1574" s="3" t="inlineStr">
        <is>
          <t>Default GPU-generation migration assumption; executive workbook allows later manual replacement by company/year/scenario.</t>
        </is>
      </c>
      <c r="J1574" s="3" t="inlineStr">
        <is>
          <t>SRC_SEMIANALYSIS_INFERENCEX; ASSUMP_NUMERIC_ACCELERATOR_MIX</t>
        </is>
      </c>
      <c r="K1574" s="3" t="inlineStr">
        <is>
          <t>ASSUMP_STARGATE_RAMP; ASSUMP_MS_OPENAI_ATTRIBUTION; ASSUMP_NUMERIC_ACCELERATOR_MIX; ASSUMP_INFERENCE_SHARE_NOT_FACT_60; ASSUMP_WORKLOAD_CLASS_MIX; ASSUMP_AGENTIC_CONTEXT_PENALTY</t>
        </is>
      </c>
      <c r="L1574" s="3" t="inlineStr">
        <is>
          <t>Company fleet inventory, accelerator-hours or procurement/deployment records by GPU generation.</t>
        </is>
      </c>
    </row>
    <row r="1575">
      <c r="A1575" s="3" t="inlineStr">
        <is>
          <t>OpenAI</t>
        </is>
      </c>
      <c r="B1575" s="3" t="n">
        <v>2029</v>
      </c>
      <c r="C1575" s="3" t="inlineStr">
        <is>
          <t>Base</t>
        </is>
      </c>
      <c r="D1575" s="3" t="inlineStr">
        <is>
          <t>b200_share</t>
        </is>
      </c>
      <c r="E1575" s="3" t="n">
        <v>0.529748</v>
      </c>
      <c r="F1575" s="3" t="inlineStr">
        <is>
          <t>share of inference-serving accelerator load</t>
        </is>
      </c>
      <c r="G1575" s="3" t="inlineStr">
        <is>
          <t>Editable numeric scenario</t>
        </is>
      </c>
      <c r="H1575" s="3" t="inlineStr">
        <is>
          <t>b200_share = gpu_share * default_gpu_generation_mix_b200</t>
        </is>
      </c>
      <c r="I1575" s="3" t="inlineStr">
        <is>
          <t>Default GPU-generation migration assumption; executive workbook allows later manual replacement by company/year/scenario.</t>
        </is>
      </c>
      <c r="J1575" s="3" t="inlineStr">
        <is>
          <t>SRC_SEMIANALYSIS_INFERENCEX; ASSUMP_NUMERIC_ACCELERATOR_MIX</t>
        </is>
      </c>
      <c r="K1575" s="3" t="inlineStr">
        <is>
          <t>ASSUMP_STARGATE_RAMP; ASSUMP_MS_OPENAI_ATTRIBUTION; ASSUMP_NUMERIC_ACCELERATOR_MIX; ASSUMP_INFERENCE_SHARE_NOT_FACT_60; ASSUMP_WORKLOAD_CLASS_MIX; ASSUMP_AGENTIC_CONTEXT_PENALTY</t>
        </is>
      </c>
      <c r="L1575" s="3" t="inlineStr">
        <is>
          <t>Company fleet inventory, accelerator-hours or procurement/deployment records by GPU generation.</t>
        </is>
      </c>
    </row>
    <row r="1576">
      <c r="A1576" s="3" t="inlineStr">
        <is>
          <t>OpenAI</t>
        </is>
      </c>
      <c r="B1576" s="3" t="n">
        <v>2029</v>
      </c>
      <c r="C1576" s="3" t="inlineStr">
        <is>
          <t>Base</t>
        </is>
      </c>
      <c r="D1576" s="3" t="inlineStr">
        <is>
          <t>gb200_share</t>
        </is>
      </c>
      <c r="E1576" s="3" t="n">
        <v>0.169295</v>
      </c>
      <c r="F1576" s="3" t="inlineStr">
        <is>
          <t>share of inference-serving accelerator load</t>
        </is>
      </c>
      <c r="G1576" s="3" t="inlineStr">
        <is>
          <t>Editable numeric scenario</t>
        </is>
      </c>
      <c r="H1576" s="3" t="inlineStr">
        <is>
          <t>gb200_share = gpu_share * default_gpu_generation_mix_gb200</t>
        </is>
      </c>
      <c r="I1576" s="3" t="inlineStr">
        <is>
          <t>Default GPU-generation migration assumption; executive workbook allows later manual replacement by company/year/scenario.</t>
        </is>
      </c>
      <c r="J1576" s="3" t="inlineStr">
        <is>
          <t>SRC_SEMIANALYSIS_INFERENCEX; ASSUMP_NUMERIC_ACCELERATOR_MIX</t>
        </is>
      </c>
      <c r="K1576" s="3" t="inlineStr">
        <is>
          <t>ASSUMP_STARGATE_RAMP; ASSUMP_MS_OPENAI_ATTRIBUTION; ASSUMP_NUMERIC_ACCELERATOR_MIX; ASSUMP_INFERENCE_SHARE_NOT_FACT_60; ASSUMP_WORKLOAD_CLASS_MIX; ASSUMP_AGENTIC_CONTEXT_PENALTY</t>
        </is>
      </c>
      <c r="L1576" s="3" t="inlineStr">
        <is>
          <t>Company fleet inventory, accelerator-hours or procurement/deployment records by GPU generation.</t>
        </is>
      </c>
    </row>
    <row r="1577">
      <c r="A1577" s="3" t="inlineStr">
        <is>
          <t>OpenAI</t>
        </is>
      </c>
      <c r="B1577" s="3" t="n">
        <v>2029</v>
      </c>
      <c r="C1577" s="3" t="inlineStr">
        <is>
          <t>Base</t>
        </is>
      </c>
      <c r="D1577" s="3" t="inlineStr">
        <is>
          <t>purpose_built_accelerator_share</t>
        </is>
      </c>
      <c r="E1577" s="3" t="n">
        <v>0.19802</v>
      </c>
      <c r="F1577" s="3" t="inlineStr">
        <is>
          <t>share of inference-serving accelerator load</t>
        </is>
      </c>
      <c r="G1577" s="3" t="inlineStr">
        <is>
          <t>Numeric scenario</t>
        </is>
      </c>
      <c r="H1577" s="3" t="inlineStr">
        <is>
          <t>1 - gpu_share</t>
        </is>
      </c>
      <c r="I1577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77" s="3" t="inlineStr">
        <is>
          <t>SRC_OPENAI_GPT41_DOCS; SRC_OPENAI_STARGATE_ORACLE; SRC_OPENAI_STARGATE_PROGRESS; SRC_EPOCH_AI_DATA_CENTERS; ASSUMP_NUMERIC_ACCELERATOR_MIX</t>
        </is>
      </c>
      <c r="K1577" s="3" t="inlineStr">
        <is>
          <t>ASSUMP_STARGATE_RAMP; ASSUMP_MS_OPENAI_ATTRIBUTION; ASSUMP_NUMERIC_ACCELERATOR_MIX; ASSUMP_INFERENCE_SHARE_NOT_FACT_60; ASSUMP_WORKLOAD_CLASS_MIX; ASSUMP_AGENTIC_CONTEXT_PENALTY</t>
        </is>
      </c>
      <c r="L1577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78">
      <c r="A1578" s="3" t="inlineStr">
        <is>
          <t>OpenAI</t>
        </is>
      </c>
      <c r="B1578" s="3" t="n">
        <v>2029</v>
      </c>
      <c r="C1578" s="3" t="inlineStr">
        <is>
          <t>Base</t>
        </is>
      </c>
      <c r="D1578" s="3" t="inlineStr">
        <is>
          <t>fleet_reference_tps_per_mw</t>
        </is>
      </c>
      <c r="E1578" s="3" t="n">
        <v>237773</v>
      </c>
      <c r="F1578" s="3" t="inlineStr">
        <is>
          <t>generated output tokens/sec/MW</t>
        </is>
      </c>
      <c r="G1578" s="3" t="inlineStr">
        <is>
          <t>Fleet-weighted public benchmark reference</t>
        </is>
      </c>
      <c r="H1578" s="3" t="inlineStr">
        <is>
          <t>h200_share*h200_workload_avg + b200_share*b200_workload_avg + gb200_share*gb200_workload_avg + purpose_built_share*purpose_workload_avg</t>
        </is>
      </c>
      <c r="I157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578" s="3" t="inlineStr">
        <is>
          <t>SRC_SEMIANALYSIS_INFERENCEX; ASSUMP_NUMERIC_ACCELERATOR_MIX; ASSUMP_WORKLOAD_CLASS_MIX; ASSUMP_AGENTIC_CONTEXT_PENALTY</t>
        </is>
      </c>
      <c r="K1578" s="3" t="inlineStr">
        <is>
          <t>ASSUMP_STARGATE_RAMP; ASSUMP_MS_OPENAI_ATTRIBUTION; ASSUMP_NUMERIC_ACCELERATOR_MIX; ASSUMP_INFERENCE_SHARE_NOT_FACT_60; ASSUMP_WORKLOAD_CLASS_MIX; ASSUMP_AGENTIC_CONTEXT_PENALTY</t>
        </is>
      </c>
      <c r="L1578" s="3" t="inlineStr">
        <is>
          <t>Comparable production output-token throughput or a more closely matched benchmark.</t>
        </is>
      </c>
    </row>
    <row r="1579">
      <c r="A1579" s="3" t="inlineStr">
        <is>
          <t>OpenAI</t>
        </is>
      </c>
      <c r="B1579" s="3" t="n">
        <v>2029</v>
      </c>
      <c r="C1579" s="3" t="inlineStr">
        <is>
          <t>Base</t>
        </is>
      </c>
      <c r="D1579" s="3" t="inlineStr">
        <is>
          <t>commercial_workload_fit_factor</t>
        </is>
      </c>
      <c r="E1579" s="3" t="n">
        <v>0.5</v>
      </c>
      <c r="F1579" s="3" t="inlineStr">
        <is>
          <t>share of public reference throughput</t>
        </is>
      </c>
      <c r="G1579" s="3" t="inlineStr">
        <is>
          <t>Scenario assumption</t>
        </is>
      </c>
      <c r="H1579" s="3" t="inlineStr">
        <is>
          <t>reference_serving_tps_per_mw = fleet_reference_tps_per_mw * commercial_workload_fit_factor</t>
        </is>
      </c>
      <c r="I157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579" s="3" t="inlineStr">
        <is>
          <t>SRC_SEMIANALYSIS_INFERENCEX; ASSUMP_NUMERIC_ACCELERATOR_MIX; ASSUMP_WORKLOAD_CLASS_MIX; ASSUMP_AGENTIC_CONTEXT_PENALTY</t>
        </is>
      </c>
      <c r="K1579" s="3" t="inlineStr">
        <is>
          <t>ASSUMP_STARGATE_RAMP; ASSUMP_MS_OPENAI_ATTRIBUTION; ASSUMP_NUMERIC_ACCELERATOR_MIX; ASSUMP_INFERENCE_SHARE_NOT_FACT_60; ASSUMP_WORKLOAD_CLASS_MIX; ASSUMP_AGENTIC_CONTEXT_PENALTY</t>
        </is>
      </c>
      <c r="L1579" s="3" t="inlineStr">
        <is>
          <t>Matched commercial serving benchmark by product surface, context shape and latency SLO.</t>
        </is>
      </c>
    </row>
    <row r="1580">
      <c r="A1580" s="3" t="inlineStr">
        <is>
          <t>OpenAI</t>
        </is>
      </c>
      <c r="B1580" s="3" t="n">
        <v>2029</v>
      </c>
      <c r="C1580" s="3" t="inlineStr">
        <is>
          <t>Base</t>
        </is>
      </c>
      <c r="D1580" s="3" t="inlineStr">
        <is>
          <t>reference_serving_tps_per_mw</t>
        </is>
      </c>
      <c r="E1580" s="3" t="n">
        <v>118886</v>
      </c>
      <c r="F1580" s="3" t="inlineStr">
        <is>
          <t>generated output tokens/sec/MW</t>
        </is>
      </c>
      <c r="G1580" s="3" t="inlineStr">
        <is>
          <t>Workload-adjusted benchmark proxy</t>
        </is>
      </c>
      <c r="H1580" s="3" t="inlineStr">
        <is>
          <t>fleet_reference_tps_per_mw * commercial_workload_fit_factor</t>
        </is>
      </c>
      <c r="I1580" s="3" t="inlineStr">
        <is>
          <t>This is the coefficient used for headline token generation; each GPU's short chat, long chat and agentic TPS/MW are weighted before fleet mix and commercial fit are applied.</t>
        </is>
      </c>
      <c r="J1580" s="3" t="inlineStr">
        <is>
          <t>SRC_SEMIANALYSIS_INFERENCEX; ASSUMP_NUMERIC_ACCELERATOR_MIX; ASSUMP_WORKLOAD_CLASS_MIX; ASSUMP_AGENTIC_CONTEXT_PENALTY</t>
        </is>
      </c>
      <c r="K1580" s="3" t="inlineStr">
        <is>
          <t>ASSUMP_STARGATE_RAMP; ASSUMP_MS_OPENAI_ATTRIBUTION; ASSUMP_NUMERIC_ACCELERATOR_MIX; ASSUMP_INFERENCE_SHARE_NOT_FACT_60; ASSUMP_WORKLOAD_CLASS_MIX; ASSUMP_AGENTIC_CONTEXT_PENALTY</t>
        </is>
      </c>
      <c r="L1580" s="3" t="inlineStr">
        <is>
          <t>Provider production output-token throughput with comparable workload/SLO.</t>
        </is>
      </c>
    </row>
    <row r="1581">
      <c r="A1581" s="3" t="inlineStr">
        <is>
          <t>OpenAI</t>
        </is>
      </c>
      <c r="B1581" s="3" t="n">
        <v>2029</v>
      </c>
      <c r="C1581" s="3" t="inlineStr">
        <is>
          <t>Base</t>
        </is>
      </c>
      <c r="D1581" s="3" t="inlineStr">
        <is>
          <t>purpose_built_tps_per_mw</t>
        </is>
      </c>
      <c r="E1581" s="3" t="n">
        <v>67653</v>
      </c>
      <c r="F1581" s="3" t="inlineStr">
        <is>
          <t>generated output tokens/sec/MW</t>
        </is>
      </c>
      <c r="G1581" s="3" t="inlineStr">
        <is>
          <t>Conservative no-uplift proxy</t>
        </is>
      </c>
      <c r="H1581" s="3" t="inlineStr">
        <is>
          <t>purpose_built_tps_per_mw = purpose_built_reference_tps_per_mw * commercial_workload_fit_factor until comparable output-token benchmark is adopted</t>
        </is>
      </c>
      <c r="I1581" s="3" t="inlineStr">
        <is>
          <t>No comparable public output-token/MW row adopted; B200 public reference placeholder is used and remains editable.</t>
        </is>
      </c>
      <c r="J1581" s="3" t="inlineStr">
        <is>
          <t>SRC_OPENAI_GPT41_DOCS; SRC_OPENAI_STARGATE_ORACLE; SRC_OPENAI_STARGATE_PROGRESS; SRC_EPOCH_AI_DATA_CENTERS; ASSUMP_NUMERIC_ACCELERATOR_MIX</t>
        </is>
      </c>
      <c r="K1581" s="3" t="inlineStr">
        <is>
          <t>ASSUMP_STARGATE_RAMP; ASSUMP_MS_OPENAI_ATTRIBUTION; ASSUMP_NUMERIC_ACCELERATOR_MIX; ASSUMP_INFERENCE_SHARE_NOT_FACT_60; ASSUMP_WORKLOAD_CLASS_MIX; ASSUMP_AGENTIC_CONTEXT_PENALTY</t>
        </is>
      </c>
      <c r="L1581" s="3" t="inlineStr">
        <is>
          <t>Matched-workload generated-output benchmark for the provider purpose-built accelerator.</t>
        </is>
      </c>
    </row>
    <row r="1582">
      <c r="A1582" s="3" t="inlineStr">
        <is>
          <t>OpenAI</t>
        </is>
      </c>
      <c r="B1582" s="3" t="n">
        <v>2029</v>
      </c>
      <c r="C1582" s="3" t="inlineStr">
        <is>
          <t>Base</t>
        </is>
      </c>
      <c r="D1582" s="3" t="inlineStr">
        <is>
          <t>inference_power_share</t>
        </is>
      </c>
      <c r="E1582" s="3" t="n">
        <v>0.73</v>
      </c>
      <c r="F1582" s="3" t="inlineStr">
        <is>
          <t>share of AI IT load</t>
        </is>
      </c>
      <c r="G1582" s="3" t="inlineStr">
        <is>
          <t>Scenario allocation</t>
        </is>
      </c>
      <c r="H1582" s="3" t="inlineStr">
        <is>
          <t>inference_gw = ai_it_load_gw * inference_power_share</t>
        </is>
      </c>
      <c r="I1582" s="3" t="inlineStr">
        <is>
          <t>ChatGPT/API/enterprise commercial surfaces support increasing inference allocation while training remains material.</t>
        </is>
      </c>
      <c r="J1582" s="3" t="inlineStr">
        <is>
          <t>SRC_OPENAI_GPT41_DOCS; SRC_OPENAI_STARGATE_ORACLE; SRC_OPENAI_STARGATE_PROGRESS; SRC_EPOCH_AI_DATA_CENTERS; ASSUMP_INFERENCE_SHARE_NOT_FACT_60</t>
        </is>
      </c>
      <c r="K1582" s="3" t="inlineStr">
        <is>
          <t>ASSUMP_STARGATE_RAMP; ASSUMP_MS_OPENAI_ATTRIBUTION; ASSUMP_NUMERIC_ACCELERATOR_MIX; ASSUMP_INFERENCE_SHARE_NOT_FACT_60; ASSUMP_WORKLOAD_CLASS_MIX; ASSUMP_AGENTIC_CONTEXT_PENALTY</t>
        </is>
      </c>
      <c r="L1582" s="3" t="inlineStr">
        <is>
          <t>Provider-specific inference/training workload power telemetry.</t>
        </is>
      </c>
    </row>
    <row r="1583">
      <c r="A1583" s="3" t="inlineStr">
        <is>
          <t>OpenAI</t>
        </is>
      </c>
      <c r="B1583" s="3" t="n">
        <v>2029</v>
      </c>
      <c r="C1583" s="3" t="inlineStr">
        <is>
          <t>Base</t>
        </is>
      </c>
      <c r="D1583" s="3" t="inlineStr">
        <is>
          <t>inference_gw</t>
        </is>
      </c>
      <c r="E1583" s="3" t="n">
        <v>3.6</v>
      </c>
      <c r="F1583" s="3" t="inlineStr">
        <is>
          <t>GW</t>
        </is>
      </c>
      <c r="G1583" s="3" t="inlineStr">
        <is>
          <t>Derived formula</t>
        </is>
      </c>
      <c r="H1583" s="3" t="inlineStr">
        <is>
          <t>ai_it_load_gw * inference_power_share</t>
        </is>
      </c>
      <c r="I1583" s="3" t="inlineStr">
        <is>
          <t>This is the operational power eligible to become commercial generated output tokens through the selected TPS/MW proxy.</t>
        </is>
      </c>
      <c r="J1583" s="3" t="inlineStr">
        <is>
          <t>SRC_OPENAI_GPT41_DOCS; SRC_OPENAI_STARGATE_ORACLE; SRC_OPENAI_STARGATE_PROGRESS; SRC_EPOCH_AI_DATA_CENTERS</t>
        </is>
      </c>
      <c r="K1583" s="3" t="inlineStr">
        <is>
          <t>ASSUMP_STARGATE_RAMP; ASSUMP_MS_OPENAI_ATTRIBUTION; ASSUMP_NUMERIC_ACCELERATOR_MIX; ASSUMP_INFERENCE_SHARE_NOT_FACT_60; ASSUMP_WORKLOAD_CLASS_MIX; ASSUMP_AGENTIC_CONTEXT_PENALTY</t>
        </is>
      </c>
      <c r="L1583" s="3" t="inlineStr">
        <is>
          <t>Recompute after AI allocation or inference-share evidence changes.</t>
        </is>
      </c>
    </row>
    <row r="1584">
      <c r="A1584" s="3" t="inlineStr">
        <is>
          <t>OpenAI</t>
        </is>
      </c>
      <c r="B1584" s="3" t="n">
        <v>2029</v>
      </c>
      <c r="C1584" s="3" t="inlineStr">
        <is>
          <t>Base</t>
        </is>
      </c>
      <c r="D1584" s="3" t="inlineStr">
        <is>
          <t>training_power_share</t>
        </is>
      </c>
      <c r="E1584" s="3" t="n">
        <v>0.27</v>
      </c>
      <c r="F1584" s="3" t="inlineStr">
        <is>
          <t>share of AI IT load</t>
        </is>
      </c>
      <c r="G1584" s="3" t="inlineStr">
        <is>
          <t>Derived allocation</t>
        </is>
      </c>
      <c r="H1584" s="3" t="inlineStr">
        <is>
          <t>1 - inference_power_share</t>
        </is>
      </c>
      <c r="I1584" s="3" t="inlineStr">
        <is>
          <t>Training receives the complementary modeled AI IT allocation; it is not a disclosed company workload split.</t>
        </is>
      </c>
      <c r="J1584" s="3" t="inlineStr">
        <is>
          <t>SRC_OPENAI_GPT41_DOCS; SRC_OPENAI_STARGATE_ORACLE; SRC_OPENAI_STARGATE_PROGRESS; SRC_EPOCH_AI_DATA_CENTERS; ASSUMP_INFERENCE_SHARE_NOT_FACT_60</t>
        </is>
      </c>
      <c r="K1584" s="3" t="inlineStr">
        <is>
          <t>ASSUMP_STARGATE_RAMP; ASSUMP_MS_OPENAI_ATTRIBUTION; ASSUMP_NUMERIC_ACCELERATOR_MIX; ASSUMP_INFERENCE_SHARE_NOT_FACT_60; ASSUMP_WORKLOAD_CLASS_MIX; ASSUMP_AGENTIC_CONTEXT_PENALTY</t>
        </is>
      </c>
      <c r="L1584" s="3" t="inlineStr">
        <is>
          <t>Provider-specific inference/training workload power telemetry.</t>
        </is>
      </c>
    </row>
    <row r="1585">
      <c r="A1585" s="3" t="inlineStr">
        <is>
          <t>OpenAI</t>
        </is>
      </c>
      <c r="B1585" s="3" t="n">
        <v>2029</v>
      </c>
      <c r="C1585" s="3" t="inlineStr">
        <is>
          <t>Base</t>
        </is>
      </c>
      <c r="D1585" s="3" t="inlineStr">
        <is>
          <t>training_gw</t>
        </is>
      </c>
      <c r="E1585" s="3" t="n">
        <v>1.332</v>
      </c>
      <c r="F1585" s="3" t="inlineStr">
        <is>
          <t>GW</t>
        </is>
      </c>
      <c r="G1585" s="3" t="inlineStr">
        <is>
          <t>Derived formula</t>
        </is>
      </c>
      <c r="H1585" s="3" t="inlineStr">
        <is>
          <t>ai_it_load_gw * training_power_share</t>
        </is>
      </c>
      <c r="I1585" s="3" t="inlineStr">
        <is>
          <t>Training GW is shown separately so commercial inference token capacity is not overstated.</t>
        </is>
      </c>
      <c r="J1585" s="3" t="inlineStr">
        <is>
          <t>SRC_OPENAI_GPT41_DOCS; SRC_OPENAI_STARGATE_ORACLE; SRC_OPENAI_STARGATE_PROGRESS; SRC_EPOCH_AI_DATA_CENTERS</t>
        </is>
      </c>
      <c r="K1585" s="3" t="inlineStr">
        <is>
          <t>ASSUMP_STARGATE_RAMP; ASSUMP_MS_OPENAI_ATTRIBUTION; ASSUMP_NUMERIC_ACCELERATOR_MIX; ASSUMP_INFERENCE_SHARE_NOT_FACT_60; ASSUMP_WORKLOAD_CLASS_MIX; ASSUMP_AGENTIC_CONTEXT_PENALTY</t>
        </is>
      </c>
      <c r="L1585" s="3" t="inlineStr">
        <is>
          <t>Recompute after AI allocation or workload-split evidence changes.</t>
        </is>
      </c>
    </row>
    <row r="1586">
      <c r="A1586" s="3" t="inlineStr">
        <is>
          <t>OpenAI</t>
        </is>
      </c>
      <c r="B1586" s="3" t="n">
        <v>2029</v>
      </c>
      <c r="C1586" s="3" t="inlineStr">
        <is>
          <t>Base</t>
        </is>
      </c>
      <c r="D1586" s="3" t="inlineStr">
        <is>
          <t>tokens_per_second_per_mw</t>
        </is>
      </c>
      <c r="E1586" s="3" t="n">
        <v>118886</v>
      </c>
      <c r="F1586" s="3" t="inlineStr">
        <is>
          <t>generated output tokens/sec/MW</t>
        </is>
      </c>
      <c r="G1586" s="3" t="inlineStr">
        <is>
          <t>Derived estimate + benchmark calibration</t>
        </is>
      </c>
      <c r="H1586" s="3" t="inlineStr">
        <is>
          <t>fleet_reference_tps_per_mw * commercial_workload_fit_factor</t>
        </is>
      </c>
      <c r="I158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586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586" s="3" t="inlineStr">
        <is>
          <t>ASSUMP_STARGATE_RAMP; ASSUMP_MS_OPENAI_ATTRIBUTION; ASSUMP_NUMERIC_ACCELERATOR_MIX; ASSUMP_INFERENCE_SHARE_NOT_FACT_60; ASSUMP_WORKLOAD_CLASS_MIX; ASSUMP_AGENTIC_CONTEXT_PENALTY</t>
        </is>
      </c>
      <c r="L1586" s="3" t="inlineStr">
        <is>
          <t>Comparable production output-token throughput with model, hardware, precision, ISL/OSL and SLO matched.</t>
        </is>
      </c>
    </row>
    <row r="1587">
      <c r="A1587" s="3" t="inlineStr">
        <is>
          <t>OpenAI</t>
        </is>
      </c>
      <c r="B1587" s="3" t="n">
        <v>2029</v>
      </c>
      <c r="C1587" s="3" t="inlineStr">
        <is>
          <t>Base</t>
        </is>
      </c>
      <c r="D1587" s="3" t="inlineStr">
        <is>
          <t>inference_tokens_per_day</t>
        </is>
      </c>
      <c r="E1587" s="3" t="n">
        <v>36978301440000</v>
      </c>
      <c r="F1587" s="3" t="inlineStr">
        <is>
          <t>generated output tokens/day</t>
        </is>
      </c>
      <c r="G1587" s="3" t="inlineStr">
        <is>
          <t>Derived headline metric</t>
        </is>
      </c>
      <c r="H1587" s="3" t="inlineStr">
        <is>
          <t>inference_gw * 1000 * tokens_per_second_per_mw * 86,400</t>
        </is>
      </c>
      <c r="I1587" s="3" t="inlineStr">
        <is>
          <t>Headline capacity uses no utilization, MoE, architecture or software-growth multiplier; it is not observed commercial output volume.</t>
        </is>
      </c>
      <c r="J1587" s="3" t="inlineStr">
        <is>
          <t>SRC_OPENAI_GPT41_DOCS; SRC_OPENAI_STARGATE_ORACLE; SRC_OPENAI_STARGATE_PROGRESS; SRC_EPOCH_AI_DATA_CENTERS; SRC_SEMIANALYSIS_INFERENCEX</t>
        </is>
      </c>
      <c r="K1587" s="3" t="inlineStr">
        <is>
          <t>ASSUMP_STARGATE_RAMP; ASSUMP_MS_OPENAI_ATTRIBUTION; ASSUMP_NUMERIC_ACCELERATOR_MIX; ASSUMP_INFERENCE_SHARE_NOT_FACT_60; ASSUMP_WORKLOAD_CLASS_MIX; ASSUMP_AGENTIC_CONTEXT_PENALTY</t>
        </is>
      </c>
      <c r="L1587" s="3" t="inlineStr">
        <is>
          <t>Provider-disclosed generated output token volume or calibrated capacity telemetry.</t>
        </is>
      </c>
    </row>
    <row r="1588">
      <c r="A1588" s="3" t="inlineStr">
        <is>
          <t>OpenAI</t>
        </is>
      </c>
      <c r="B1588" s="3" t="n">
        <v>2029</v>
      </c>
      <c r="C1588" s="3" t="inlineStr">
        <is>
          <t>Base</t>
        </is>
      </c>
      <c r="D1588" s="3" t="inlineStr">
        <is>
          <t>inference_tokens_per_year</t>
        </is>
      </c>
      <c r="E1588" s="3" t="n">
        <v>1.34970800256e+16</v>
      </c>
      <c r="F1588" s="3" t="inlineStr">
        <is>
          <t>generated output tokens/year</t>
        </is>
      </c>
      <c r="G1588" s="3" t="inlineStr">
        <is>
          <t>Derived headline metric</t>
        </is>
      </c>
      <c r="H1588" s="3" t="inlineStr">
        <is>
          <t>inference_tokens_per_day * 365</t>
        </is>
      </c>
      <c r="I1588" s="3" t="inlineStr">
        <is>
          <t>Annualized version of generated output token capacity; it is not observed annual demand or billable volume.</t>
        </is>
      </c>
      <c r="J1588" s="3" t="inlineStr">
        <is>
          <t>SRC_OPENAI_GPT41_DOCS; SRC_OPENAI_STARGATE_ORACLE; SRC_OPENAI_STARGATE_PROGRESS; SRC_EPOCH_AI_DATA_CENTERS; SRC_SEMIANALYSIS_INFERENCEX</t>
        </is>
      </c>
      <c r="K1588" s="3" t="inlineStr">
        <is>
          <t>ASSUMP_STARGATE_RAMP; ASSUMP_MS_OPENAI_ATTRIBUTION; ASSUMP_NUMERIC_ACCELERATOR_MIX; ASSUMP_INFERENCE_SHARE_NOT_FACT_60; ASSUMP_WORKLOAD_CLASS_MIX; ASSUMP_AGENTIC_CONTEXT_PENALTY</t>
        </is>
      </c>
      <c r="L1588" s="3" t="inlineStr">
        <is>
          <t>Provider-disclosed annual generated-output volume or metered serving telemetry.</t>
        </is>
      </c>
    </row>
    <row r="1589">
      <c r="A1589" s="3" t="inlineStr">
        <is>
          <t>OpenAI</t>
        </is>
      </c>
      <c r="B1589" s="3" t="n">
        <v>2030</v>
      </c>
      <c r="C1589" s="3" t="inlineStr">
        <is>
          <t>Base</t>
        </is>
      </c>
      <c r="D1589" s="3" t="inlineStr">
        <is>
          <t>contracted_power_gw</t>
        </is>
      </c>
      <c r="E1589" s="3" t="n">
        <v>12</v>
      </c>
      <c r="F1589" s="3" t="inlineStr">
        <is>
          <t>GW</t>
        </is>
      </c>
      <c r="G1589" s="3" t="inlineStr">
        <is>
          <t>Fact anchor + scenario ceiling</t>
        </is>
      </c>
      <c r="H1589" s="3" t="inlineStr">
        <is>
          <t>linear interpolation between 2026 and 2030 company capacity endpoints</t>
        </is>
      </c>
      <c r="I1589" s="3" t="inlineStr">
        <is>
          <t>2030 envelope is bounded by official Stargate planned/committed capacity; 2026 and timing remain staged scenario values.</t>
        </is>
      </c>
      <c r="J1589" s="3" t="inlineStr">
        <is>
          <t>SRC_OPENAI_STARGATE_ORACLE; SRC_OPENAI_STARGATE_PROGRESS; ASSUMP_STARGATE_RAMP</t>
        </is>
      </c>
      <c r="K1589" s="3" t="inlineStr">
        <is>
          <t>ASSUMP_STARGATE_RAMP; ASSUMP_MS_OPENAI_ATTRIBUTION; ASSUMP_NUMERIC_ACCELERATOR_MIX; ASSUMP_INFERENCE_SHARE_NOT_FACT_60; ASSUMP_WORKLOAD_CLASS_MIX; ASSUMP_AGENTIC_CONTEXT_PENALTY</t>
        </is>
      </c>
      <c r="L1589" s="3" t="inlineStr">
        <is>
          <t>Company/site-level committed MW/GW, interconnect and contract disclosure.</t>
        </is>
      </c>
    </row>
    <row r="1590">
      <c r="A1590" s="3" t="inlineStr">
        <is>
          <t>OpenAI</t>
        </is>
      </c>
      <c r="B1590" s="3" t="n">
        <v>2030</v>
      </c>
      <c r="C1590" s="3" t="inlineStr">
        <is>
          <t>Base</t>
        </is>
      </c>
      <c r="D1590" s="3" t="inlineStr">
        <is>
          <t>operational_deployment_share</t>
        </is>
      </c>
      <c r="E1590" s="3" t="n">
        <v>0.70833333</v>
      </c>
      <c r="F1590" s="3" t="inlineStr">
        <is>
          <t>share</t>
        </is>
      </c>
      <c r="G1590" s="3" t="inlineStr">
        <is>
          <t>Scenario conversion</t>
        </is>
      </c>
      <c r="H1590" s="3" t="inlineStr">
        <is>
          <t>active_power_gw / contracted_power_gw</t>
        </is>
      </c>
      <c r="I1590" s="3" t="inlineStr">
        <is>
          <t>This is the single explicit conversion from contracted/attributed capacity to operationally usable capacity.</t>
        </is>
      </c>
      <c r="J1590" s="3" t="inlineStr">
        <is>
          <t>SRC_OPENAI_STARGATE_ORACLE; SRC_OPENAI_STARGATE_PROGRESS; ASSUMP_STARGATE_RAMP</t>
        </is>
      </c>
      <c r="K1590" s="3" t="inlineStr">
        <is>
          <t>ASSUMP_STARGATE_RAMP; ASSUMP_MS_OPENAI_ATTRIBUTION; ASSUMP_NUMERIC_ACCELERATOR_MIX; ASSUMP_INFERENCE_SHARE_NOT_FACT_60; ASSUMP_WORKLOAD_CLASS_MIX; ASSUMP_AGENTIC_CONTEXT_PENALTY</t>
        </is>
      </c>
      <c r="L1590" s="3" t="inlineStr">
        <is>
          <t>Energized operational capacity divided by contracted/attributed capacity.</t>
        </is>
      </c>
    </row>
    <row r="1591">
      <c r="A1591" s="3" t="inlineStr">
        <is>
          <t>OpenAI</t>
        </is>
      </c>
      <c r="B1591" s="3" t="n">
        <v>2030</v>
      </c>
      <c r="C1591" s="3" t="inlineStr">
        <is>
          <t>Base</t>
        </is>
      </c>
      <c r="D1591" s="3" t="inlineStr">
        <is>
          <t>active_power_gw</t>
        </is>
      </c>
      <c r="E1591" s="3" t="n">
        <v>8.5</v>
      </c>
      <c r="F1591" s="3" t="inlineStr">
        <is>
          <t>GW</t>
        </is>
      </c>
      <c r="G1591" s="3" t="inlineStr">
        <is>
          <t>Derived scenario</t>
        </is>
      </c>
      <c r="H1591" s="3" t="inlineStr">
        <is>
          <t>contracted_power_gw * operational_deployment_share</t>
        </is>
      </c>
      <c r="I1591" s="3" t="inlineStr">
        <is>
          <t>Official capacity announcements are converted to active GW only through energization/GPU-deployment ramp assumptions.</t>
        </is>
      </c>
      <c r="J1591" s="3" t="inlineStr">
        <is>
          <t>SRC_OPENAI_STARGATE_ORACLE; SRC_OPENAI_STARGATE_PROGRESS; ASSUMP_STARGATE_RAMP</t>
        </is>
      </c>
      <c r="K1591" s="3" t="inlineStr">
        <is>
          <t>ASSUMP_STARGATE_RAMP; ASSUMP_MS_OPENAI_ATTRIBUTION; ASSUMP_NUMERIC_ACCELERATOR_MIX; ASSUMP_INFERENCE_SHARE_NOT_FACT_60; ASSUMP_WORKLOAD_CLASS_MIX; ASSUMP_AGENTIC_CONTEXT_PENALTY</t>
        </is>
      </c>
      <c r="L1591" s="3" t="inlineStr">
        <is>
          <t>Energization dates, accelerator deliveries and operational powered-rack telemetry.</t>
        </is>
      </c>
    </row>
    <row r="1592">
      <c r="A1592" s="3" t="inlineStr">
        <is>
          <t>OpenAI</t>
        </is>
      </c>
      <c r="B1592" s="3" t="n">
        <v>2030</v>
      </c>
      <c r="C1592" s="3" t="inlineStr">
        <is>
          <t>Base</t>
        </is>
      </c>
      <c r="D1592" s="3" t="inlineStr">
        <is>
          <t>pue</t>
        </is>
      </c>
      <c r="E1592" s="3" t="n">
        <v>1.2</v>
      </c>
      <c r="F1592" s="3" t="inlineStr">
        <is>
          <t>ratio</t>
        </is>
      </c>
      <c r="G1592" s="3" t="inlineStr">
        <is>
          <t>Scenario parameter</t>
        </is>
      </c>
      <c r="H1592" s="3" t="inlineStr">
        <is>
          <t>it_load_gw = active_power_gw / pue</t>
        </is>
      </c>
      <c r="I1592" s="3" t="inlineStr">
        <is>
          <t>No provider-wide site-level PUE is used as a disclosed fact; PUE represents facility-to-IT conversion within the scenario.</t>
        </is>
      </c>
      <c r="J1592" s="3" t="inlineStr">
        <is>
          <t>ASSUMP_POWER_RAMP</t>
        </is>
      </c>
      <c r="K1592" s="3" t="inlineStr">
        <is>
          <t>ASSUMP_STARGATE_RAMP; ASSUMP_MS_OPENAI_ATTRIBUTION; ASSUMP_NUMERIC_ACCELERATOR_MIX; ASSUMP_INFERENCE_SHARE_NOT_FACT_60; ASSUMP_WORKLOAD_CLASS_MIX; ASSUMP_AGENTIC_CONTEXT_PENALTY</t>
        </is>
      </c>
      <c r="L1592" s="3" t="inlineStr">
        <is>
          <t>Site-level measured PUE matched to attributed AI capacity.</t>
        </is>
      </c>
    </row>
    <row r="1593">
      <c r="A1593" s="3" t="inlineStr">
        <is>
          <t>OpenAI</t>
        </is>
      </c>
      <c r="B1593" s="3" t="n">
        <v>2030</v>
      </c>
      <c r="C1593" s="3" t="inlineStr">
        <is>
          <t>Base</t>
        </is>
      </c>
      <c r="D1593" s="3" t="inlineStr">
        <is>
          <t>it_load_gw</t>
        </is>
      </c>
      <c r="E1593" s="3" t="n">
        <v>7.083</v>
      </c>
      <c r="F1593" s="3" t="inlineStr">
        <is>
          <t>GW</t>
        </is>
      </c>
      <c r="G1593" s="3" t="inlineStr">
        <is>
          <t>Derived formula</t>
        </is>
      </c>
      <c r="H1593" s="3" t="inlineStr">
        <is>
          <t>active_power_gw / pue</t>
        </is>
      </c>
      <c r="I1593" s="3" t="inlineStr">
        <is>
          <t>Facility power is converted to IT-deliverable power before attributing AI workloads.</t>
        </is>
      </c>
      <c r="J1593" s="3" t="inlineStr">
        <is>
          <t>SRC_OPENAI_STARGATE_ORACLE; SRC_OPENAI_STARGATE_PROGRESS; ASSUMP_STARGATE_RAMP</t>
        </is>
      </c>
      <c r="K1593" s="3" t="inlineStr">
        <is>
          <t>ASSUMP_STARGATE_RAMP; ASSUMP_MS_OPENAI_ATTRIBUTION; ASSUMP_NUMERIC_ACCELERATOR_MIX; ASSUMP_INFERENCE_SHARE_NOT_FACT_60; ASSUMP_WORKLOAD_CLASS_MIX; ASSUMP_AGENTIC_CONTEXT_PENALTY</t>
        </is>
      </c>
      <c r="L1593" s="3" t="inlineStr">
        <is>
          <t>Recompute once active power and PUE become site-observable.</t>
        </is>
      </c>
    </row>
    <row r="1594">
      <c r="A1594" s="3" t="inlineStr">
        <is>
          <t>OpenAI</t>
        </is>
      </c>
      <c r="B1594" s="3" t="n">
        <v>2030</v>
      </c>
      <c r="C1594" s="3" t="inlineStr">
        <is>
          <t>Base</t>
        </is>
      </c>
      <c r="D1594" s="3" t="inlineStr">
        <is>
          <t>ai_workload_share</t>
        </is>
      </c>
      <c r="E1594" s="3" t="n">
        <v>0.88</v>
      </c>
      <c r="F1594" s="3" t="inlineStr">
        <is>
          <t>share</t>
        </is>
      </c>
      <c r="G1594" s="3" t="inlineStr">
        <is>
          <t>Scenario allocation</t>
        </is>
      </c>
      <c r="H1594" s="3" t="inlineStr">
        <is>
          <t>ai_it_load_gw = it_load_gw * ai_workload_share</t>
        </is>
      </c>
      <c r="I1594" s="3" t="inlineStr">
        <is>
          <t>Stargate capacity is AI-oriented but includes reserve, platform and non-token AI activity; 88% is a scenario.</t>
        </is>
      </c>
      <c r="J1594" s="3" t="inlineStr">
        <is>
          <t>SRC_OPENAI_GPT41_DOCS; SRC_OPENAI_STARGATE_ORACLE; SRC_OPENAI_STARGATE_PROGRESS; SRC_EPOCH_AI_DATA_CENTERS</t>
        </is>
      </c>
      <c r="K1594" s="3" t="inlineStr">
        <is>
          <t>ASSUMP_STARGATE_RAMP; ASSUMP_MS_OPENAI_ATTRIBUTION; ASSUMP_NUMERIC_ACCELERATOR_MIX; ASSUMP_INFERENCE_SHARE_NOT_FACT_60; ASSUMP_WORKLOAD_CLASS_MIX; ASSUMP_AGENTIC_CONTEXT_PENALTY</t>
        </is>
      </c>
      <c r="L1594" s="3" t="inlineStr">
        <is>
          <t>Model-owner AI workload allocation or cluster scheduling telemetry.</t>
        </is>
      </c>
    </row>
    <row r="1595">
      <c r="A1595" s="3" t="inlineStr">
        <is>
          <t>OpenAI</t>
        </is>
      </c>
      <c r="B1595" s="3" t="n">
        <v>2030</v>
      </c>
      <c r="C1595" s="3" t="inlineStr">
        <is>
          <t>Base</t>
        </is>
      </c>
      <c r="D1595" s="3" t="inlineStr">
        <is>
          <t>ai_it_load_gw</t>
        </is>
      </c>
      <c r="E1595" s="3" t="n">
        <v>6.233</v>
      </c>
      <c r="F1595" s="3" t="inlineStr">
        <is>
          <t>GW</t>
        </is>
      </c>
      <c r="G1595" s="3" t="inlineStr">
        <is>
          <t>Derived formula</t>
        </is>
      </c>
      <c r="H1595" s="3" t="inlineStr">
        <is>
          <t>it_load_gw * ai_workload_share</t>
        </is>
      </c>
      <c r="I1595" s="3" t="inlineStr">
        <is>
          <t>Only the AI-attributed portion of IT load enters training/inference allocation.</t>
        </is>
      </c>
      <c r="J1595" s="3" t="inlineStr">
        <is>
          <t>SRC_OPENAI_GPT41_DOCS; SRC_OPENAI_STARGATE_ORACLE; SRC_OPENAI_STARGATE_PROGRESS; SRC_EPOCH_AI_DATA_CENTERS</t>
        </is>
      </c>
      <c r="K1595" s="3" t="inlineStr">
        <is>
          <t>ASSUMP_STARGATE_RAMP; ASSUMP_MS_OPENAI_ATTRIBUTION; ASSUMP_NUMERIC_ACCELERATOR_MIX; ASSUMP_INFERENCE_SHARE_NOT_FACT_60; ASSUMP_WORKLOAD_CLASS_MIX; ASSUMP_AGENTIC_CONTEXT_PENALTY</t>
        </is>
      </c>
      <c r="L1595" s="3" t="inlineStr">
        <is>
          <t>Recompute after ai_workload_share is replaced by telemetry.</t>
        </is>
      </c>
    </row>
    <row r="1596">
      <c r="A1596" s="3" t="inlineStr">
        <is>
          <t>OpenAI</t>
        </is>
      </c>
      <c r="B1596" s="3" t="n">
        <v>2030</v>
      </c>
      <c r="C1596" s="3" t="inlineStr">
        <is>
          <t>Base</t>
        </is>
      </c>
      <c r="D1596" s="3" t="inlineStr">
        <is>
          <t>gpu_share</t>
        </is>
      </c>
      <c r="E1596" s="3" t="n">
        <v>0.80198</v>
      </c>
      <c r="F1596" s="3" t="inlineStr">
        <is>
          <t>share of inference-serving accelerator load</t>
        </is>
      </c>
      <c r="G1596" s="3" t="inlineStr">
        <is>
          <t>Numeric scenario</t>
        </is>
      </c>
      <c r="H1596" s="3" t="inlineStr">
        <is>
          <t>gpu_share interpolated from company 2026/2030 accelerator-mix endpoints</t>
        </is>
      </c>
      <c r="I1596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596" s="3" t="inlineStr">
        <is>
          <t>SRC_OPENAI_GPT41_DOCS; SRC_OPENAI_STARGATE_ORACLE; SRC_OPENAI_STARGATE_PROGRESS; SRC_EPOCH_AI_DATA_CENTERS; ASSUMP_NUMERIC_ACCELERATOR_MIX</t>
        </is>
      </c>
      <c r="K1596" s="3" t="inlineStr">
        <is>
          <t>ASSUMP_STARGATE_RAMP; ASSUMP_MS_OPENAI_ATTRIBUTION; ASSUMP_NUMERIC_ACCELERATOR_MIX; ASSUMP_INFERENCE_SHARE_NOT_FACT_60; ASSUMP_WORKLOAD_CLASS_MIX; ASSUMP_AGENTIC_CONTEXT_PENALTY</t>
        </is>
      </c>
      <c r="L1596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597">
      <c r="A1597" s="3" t="inlineStr">
        <is>
          <t>OpenAI</t>
        </is>
      </c>
      <c r="B1597" s="3" t="n">
        <v>2030</v>
      </c>
      <c r="C1597" s="3" t="inlineStr">
        <is>
          <t>Base</t>
        </is>
      </c>
      <c r="D1597" s="3" t="inlineStr">
        <is>
          <t>h200_share</t>
        </is>
      </c>
      <c r="E1597" s="3" t="n">
        <v>0.057924</v>
      </c>
      <c r="F1597" s="3" t="inlineStr">
        <is>
          <t>share of inference-serving accelerator load</t>
        </is>
      </c>
      <c r="G1597" s="3" t="inlineStr">
        <is>
          <t>Editable numeric scenario</t>
        </is>
      </c>
      <c r="H1597" s="3" t="inlineStr">
        <is>
          <t>h200_share = gpu_share * default_gpu_generation_mix_h200</t>
        </is>
      </c>
      <c r="I1597" s="3" t="inlineStr">
        <is>
          <t>Default GPU-generation migration assumption; executive workbook allows later manual replacement by company/year/scenario.</t>
        </is>
      </c>
      <c r="J1597" s="3" t="inlineStr">
        <is>
          <t>SRC_SEMIANALYSIS_INFERENCEX; ASSUMP_NUMERIC_ACCELERATOR_MIX</t>
        </is>
      </c>
      <c r="K1597" s="3" t="inlineStr">
        <is>
          <t>ASSUMP_STARGATE_RAMP; ASSUMP_MS_OPENAI_ATTRIBUTION; ASSUMP_NUMERIC_ACCELERATOR_MIX; ASSUMP_INFERENCE_SHARE_NOT_FACT_60; ASSUMP_WORKLOAD_CLASS_MIX; ASSUMP_AGENTIC_CONTEXT_PENALTY</t>
        </is>
      </c>
      <c r="L1597" s="3" t="inlineStr">
        <is>
          <t>Company fleet inventory, accelerator-hours or procurement/deployment records by GPU generation.</t>
        </is>
      </c>
    </row>
    <row r="1598">
      <c r="A1598" s="3" t="inlineStr">
        <is>
          <t>OpenAI</t>
        </is>
      </c>
      <c r="B1598" s="3" t="n">
        <v>2030</v>
      </c>
      <c r="C1598" s="3" t="inlineStr">
        <is>
          <t>Base</t>
        </is>
      </c>
      <c r="D1598" s="3" t="inlineStr">
        <is>
          <t>b200_share</t>
        </is>
      </c>
      <c r="E1598" s="3" t="n">
        <v>0.524968</v>
      </c>
      <c r="F1598" s="3" t="inlineStr">
        <is>
          <t>share of inference-serving accelerator load</t>
        </is>
      </c>
      <c r="G1598" s="3" t="inlineStr">
        <is>
          <t>Editable numeric scenario</t>
        </is>
      </c>
      <c r="H1598" s="3" t="inlineStr">
        <is>
          <t>b200_share = gpu_share * default_gpu_generation_mix_b200</t>
        </is>
      </c>
      <c r="I1598" s="3" t="inlineStr">
        <is>
          <t>Default GPU-generation migration assumption; executive workbook allows later manual replacement by company/year/scenario.</t>
        </is>
      </c>
      <c r="J1598" s="3" t="inlineStr">
        <is>
          <t>SRC_SEMIANALYSIS_INFERENCEX; ASSUMP_NUMERIC_ACCELERATOR_MIX</t>
        </is>
      </c>
      <c r="K1598" s="3" t="inlineStr">
        <is>
          <t>ASSUMP_STARGATE_RAMP; ASSUMP_MS_OPENAI_ATTRIBUTION; ASSUMP_NUMERIC_ACCELERATOR_MIX; ASSUMP_INFERENCE_SHARE_NOT_FACT_60; ASSUMP_WORKLOAD_CLASS_MIX; ASSUMP_AGENTIC_CONTEXT_PENALTY</t>
        </is>
      </c>
      <c r="L1598" s="3" t="inlineStr">
        <is>
          <t>Company fleet inventory, accelerator-hours or procurement/deployment records by GPU generation.</t>
        </is>
      </c>
    </row>
    <row r="1599">
      <c r="A1599" s="3" t="inlineStr">
        <is>
          <t>OpenAI</t>
        </is>
      </c>
      <c r="B1599" s="3" t="n">
        <v>2030</v>
      </c>
      <c r="C1599" s="3" t="inlineStr">
        <is>
          <t>Base</t>
        </is>
      </c>
      <c r="D1599" s="3" t="inlineStr">
        <is>
          <t>gb200_share</t>
        </is>
      </c>
      <c r="E1599" s="3" t="n">
        <v>0.219088</v>
      </c>
      <c r="F1599" s="3" t="inlineStr">
        <is>
          <t>share of inference-serving accelerator load</t>
        </is>
      </c>
      <c r="G1599" s="3" t="inlineStr">
        <is>
          <t>Editable numeric scenario</t>
        </is>
      </c>
      <c r="H1599" s="3" t="inlineStr">
        <is>
          <t>gb200_share = gpu_share * default_gpu_generation_mix_gb200</t>
        </is>
      </c>
      <c r="I1599" s="3" t="inlineStr">
        <is>
          <t>Default GPU-generation migration assumption; executive workbook allows later manual replacement by company/year/scenario.</t>
        </is>
      </c>
      <c r="J1599" s="3" t="inlineStr">
        <is>
          <t>SRC_SEMIANALYSIS_INFERENCEX; ASSUMP_NUMERIC_ACCELERATOR_MIX</t>
        </is>
      </c>
      <c r="K1599" s="3" t="inlineStr">
        <is>
          <t>ASSUMP_STARGATE_RAMP; ASSUMP_MS_OPENAI_ATTRIBUTION; ASSUMP_NUMERIC_ACCELERATOR_MIX; ASSUMP_INFERENCE_SHARE_NOT_FACT_60; ASSUMP_WORKLOAD_CLASS_MIX; ASSUMP_AGENTIC_CONTEXT_PENALTY</t>
        </is>
      </c>
      <c r="L1599" s="3" t="inlineStr">
        <is>
          <t>Company fleet inventory, accelerator-hours or procurement/deployment records by GPU generation.</t>
        </is>
      </c>
    </row>
    <row r="1600">
      <c r="A1600" s="3" t="inlineStr">
        <is>
          <t>OpenAI</t>
        </is>
      </c>
      <c r="B1600" s="3" t="n">
        <v>2030</v>
      </c>
      <c r="C1600" s="3" t="inlineStr">
        <is>
          <t>Base</t>
        </is>
      </c>
      <c r="D1600" s="3" t="inlineStr">
        <is>
          <t>purpose_built_accelerator_share</t>
        </is>
      </c>
      <c r="E1600" s="3" t="n">
        <v>0.19802</v>
      </c>
      <c r="F1600" s="3" t="inlineStr">
        <is>
          <t>share of inference-serving accelerator load</t>
        </is>
      </c>
      <c r="G1600" s="3" t="inlineStr">
        <is>
          <t>Numeric scenario</t>
        </is>
      </c>
      <c r="H1600" s="3" t="inlineStr">
        <is>
          <t>1 - gpu_share</t>
        </is>
      </c>
      <c r="I1600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1600" s="3" t="inlineStr">
        <is>
          <t>SRC_OPENAI_GPT41_DOCS; SRC_OPENAI_STARGATE_ORACLE; SRC_OPENAI_STARGATE_PROGRESS; SRC_EPOCH_AI_DATA_CENTERS; ASSUMP_NUMERIC_ACCELERATOR_MIX</t>
        </is>
      </c>
      <c r="K1600" s="3" t="inlineStr">
        <is>
          <t>ASSUMP_STARGATE_RAMP; ASSUMP_MS_OPENAI_ATTRIBUTION; ASSUMP_NUMERIC_ACCELERATOR_MIX; ASSUMP_INFERENCE_SHARE_NOT_FACT_60; ASSUMP_WORKLOAD_CLASS_MIX; ASSUMP_AGENTIC_CONTEXT_PENALTY</t>
        </is>
      </c>
      <c r="L1600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1601">
      <c r="A1601" s="3" t="inlineStr">
        <is>
          <t>OpenAI</t>
        </is>
      </c>
      <c r="B1601" s="3" t="n">
        <v>2030</v>
      </c>
      <c r="C1601" s="3" t="inlineStr">
        <is>
          <t>Base</t>
        </is>
      </c>
      <c r="D1601" s="3" t="inlineStr">
        <is>
          <t>fleet_reference_tps_per_mw</t>
        </is>
      </c>
      <c r="E1601" s="3" t="n">
        <v>197389</v>
      </c>
      <c r="F1601" s="3" t="inlineStr">
        <is>
          <t>generated output tokens/sec/MW</t>
        </is>
      </c>
      <c r="G1601" s="3" t="inlineStr">
        <is>
          <t>Fleet-weighted public benchmark reference</t>
        </is>
      </c>
      <c r="H1601" s="3" t="inlineStr">
        <is>
          <t>h200_share*h200_workload_avg + b200_share*b200_workload_avg + gb200_share*gb200_workload_avg + purpose_built_share*purpose_workload_avg</t>
        </is>
      </c>
      <c r="I160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01" s="3" t="inlineStr">
        <is>
          <t>SRC_SEMIANALYSIS_INFERENCEX; ASSUMP_NUMERIC_ACCELERATOR_MIX; ASSUMP_WORKLOAD_CLASS_MIX; ASSUMP_AGENTIC_CONTEXT_PENALTY</t>
        </is>
      </c>
      <c r="K1601" s="3" t="inlineStr">
        <is>
          <t>ASSUMP_STARGATE_RAMP; ASSUMP_MS_OPENAI_ATTRIBUTION; ASSUMP_NUMERIC_ACCELERATOR_MIX; ASSUMP_INFERENCE_SHARE_NOT_FACT_60; ASSUMP_WORKLOAD_CLASS_MIX; ASSUMP_AGENTIC_CONTEXT_PENALTY</t>
        </is>
      </c>
      <c r="L1601" s="3" t="inlineStr">
        <is>
          <t>Comparable production output-token throughput or a more closely matched benchmark.</t>
        </is>
      </c>
    </row>
    <row r="1602">
      <c r="A1602" s="3" t="inlineStr">
        <is>
          <t>OpenAI</t>
        </is>
      </c>
      <c r="B1602" s="3" t="n">
        <v>2030</v>
      </c>
      <c r="C1602" s="3" t="inlineStr">
        <is>
          <t>Base</t>
        </is>
      </c>
      <c r="D1602" s="3" t="inlineStr">
        <is>
          <t>commercial_workload_fit_factor</t>
        </is>
      </c>
      <c r="E1602" s="3" t="n">
        <v>0.5</v>
      </c>
      <c r="F1602" s="3" t="inlineStr">
        <is>
          <t>share of public reference throughput</t>
        </is>
      </c>
      <c r="G1602" s="3" t="inlineStr">
        <is>
          <t>Scenario assumption</t>
        </is>
      </c>
      <c r="H1602" s="3" t="inlineStr">
        <is>
          <t>reference_serving_tps_per_mw = fleet_reference_tps_per_mw * commercial_workload_fit_factor</t>
        </is>
      </c>
      <c r="I160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1602" s="3" t="inlineStr">
        <is>
          <t>SRC_SEMIANALYSIS_INFERENCEX; ASSUMP_NUMERIC_ACCELERATOR_MIX; ASSUMP_WORKLOAD_CLASS_MIX; ASSUMP_AGENTIC_CONTEXT_PENALTY</t>
        </is>
      </c>
      <c r="K1602" s="3" t="inlineStr">
        <is>
          <t>ASSUMP_STARGATE_RAMP; ASSUMP_MS_OPENAI_ATTRIBUTION; ASSUMP_NUMERIC_ACCELERATOR_MIX; ASSUMP_INFERENCE_SHARE_NOT_FACT_60; ASSUMP_WORKLOAD_CLASS_MIX; ASSUMP_AGENTIC_CONTEXT_PENALTY</t>
        </is>
      </c>
      <c r="L1602" s="3" t="inlineStr">
        <is>
          <t>Matched commercial serving benchmark by product surface, context shape and latency SLO.</t>
        </is>
      </c>
    </row>
    <row r="1603">
      <c r="A1603" s="3" t="inlineStr">
        <is>
          <t>OpenAI</t>
        </is>
      </c>
      <c r="B1603" s="3" t="n">
        <v>2030</v>
      </c>
      <c r="C1603" s="3" t="inlineStr">
        <is>
          <t>Base</t>
        </is>
      </c>
      <c r="D1603" s="3" t="inlineStr">
        <is>
          <t>reference_serving_tps_per_mw</t>
        </is>
      </c>
      <c r="E1603" s="3" t="n">
        <v>98694</v>
      </c>
      <c r="F1603" s="3" t="inlineStr">
        <is>
          <t>generated output tokens/sec/MW</t>
        </is>
      </c>
      <c r="G1603" s="3" t="inlineStr">
        <is>
          <t>Workload-adjusted benchmark proxy</t>
        </is>
      </c>
      <c r="H1603" s="3" t="inlineStr">
        <is>
          <t>fleet_reference_tps_per_mw * commercial_workload_fit_factor</t>
        </is>
      </c>
      <c r="I1603" s="3" t="inlineStr">
        <is>
          <t>This is the coefficient used for headline token generation; each GPU's short chat, long chat and agentic TPS/MW are weighted before fleet mix and commercial fit are applied.</t>
        </is>
      </c>
      <c r="J1603" s="3" t="inlineStr">
        <is>
          <t>SRC_SEMIANALYSIS_INFERENCEX; ASSUMP_NUMERIC_ACCELERATOR_MIX; ASSUMP_WORKLOAD_CLASS_MIX; ASSUMP_AGENTIC_CONTEXT_PENALTY</t>
        </is>
      </c>
      <c r="K1603" s="3" t="inlineStr">
        <is>
          <t>ASSUMP_STARGATE_RAMP; ASSUMP_MS_OPENAI_ATTRIBUTION; ASSUMP_NUMERIC_ACCELERATOR_MIX; ASSUMP_INFERENCE_SHARE_NOT_FACT_60; ASSUMP_WORKLOAD_CLASS_MIX; ASSUMP_AGENTIC_CONTEXT_PENALTY</t>
        </is>
      </c>
      <c r="L1603" s="3" t="inlineStr">
        <is>
          <t>Provider production output-token throughput with comparable workload/SLO.</t>
        </is>
      </c>
    </row>
    <row r="1604">
      <c r="A1604" s="3" t="inlineStr">
        <is>
          <t>OpenAI</t>
        </is>
      </c>
      <c r="B1604" s="3" t="n">
        <v>2030</v>
      </c>
      <c r="C1604" s="3" t="inlineStr">
        <is>
          <t>Base</t>
        </is>
      </c>
      <c r="D1604" s="3" t="inlineStr">
        <is>
          <t>purpose_built_tps_per_mw</t>
        </is>
      </c>
      <c r="E1604" s="3" t="n">
        <v>67653</v>
      </c>
      <c r="F1604" s="3" t="inlineStr">
        <is>
          <t>generated output tokens/sec/MW</t>
        </is>
      </c>
      <c r="G1604" s="3" t="inlineStr">
        <is>
          <t>Conservative no-uplift proxy</t>
        </is>
      </c>
      <c r="H1604" s="3" t="inlineStr">
        <is>
          <t>purpose_built_tps_per_mw = purpose_built_reference_tps_per_mw * commercial_workload_fit_factor until comparable output-token benchmark is adopted</t>
        </is>
      </c>
      <c r="I1604" s="3" t="inlineStr">
        <is>
          <t>No comparable public output-token/MW row adopted; B200 public reference placeholder is used and remains editable.</t>
        </is>
      </c>
      <c r="J1604" s="3" t="inlineStr">
        <is>
          <t>SRC_OPENAI_GPT41_DOCS; SRC_OPENAI_STARGATE_ORACLE; SRC_OPENAI_STARGATE_PROGRESS; SRC_EPOCH_AI_DATA_CENTERS; ASSUMP_NUMERIC_ACCELERATOR_MIX</t>
        </is>
      </c>
      <c r="K1604" s="3" t="inlineStr">
        <is>
          <t>ASSUMP_STARGATE_RAMP; ASSUMP_MS_OPENAI_ATTRIBUTION; ASSUMP_NUMERIC_ACCELERATOR_MIX; ASSUMP_INFERENCE_SHARE_NOT_FACT_60; ASSUMP_WORKLOAD_CLASS_MIX; ASSUMP_AGENTIC_CONTEXT_PENALTY</t>
        </is>
      </c>
      <c r="L1604" s="3" t="inlineStr">
        <is>
          <t>Matched-workload generated-output benchmark for the provider purpose-built accelerator.</t>
        </is>
      </c>
    </row>
    <row r="1605">
      <c r="A1605" s="3" t="inlineStr">
        <is>
          <t>OpenAI</t>
        </is>
      </c>
      <c r="B1605" s="3" t="n">
        <v>2030</v>
      </c>
      <c r="C1605" s="3" t="inlineStr">
        <is>
          <t>Base</t>
        </is>
      </c>
      <c r="D1605" s="3" t="inlineStr">
        <is>
          <t>inference_power_share</t>
        </is>
      </c>
      <c r="E1605" s="3" t="n">
        <v>0.78</v>
      </c>
      <c r="F1605" s="3" t="inlineStr">
        <is>
          <t>share of AI IT load</t>
        </is>
      </c>
      <c r="G1605" s="3" t="inlineStr">
        <is>
          <t>Scenario allocation</t>
        </is>
      </c>
      <c r="H1605" s="3" t="inlineStr">
        <is>
          <t>inference_gw = ai_it_load_gw * inference_power_share</t>
        </is>
      </c>
      <c r="I1605" s="3" t="inlineStr">
        <is>
          <t>ChatGPT/API/enterprise commercial surfaces support increasing inference allocation while training remains material.</t>
        </is>
      </c>
      <c r="J1605" s="3" t="inlineStr">
        <is>
          <t>SRC_OPENAI_GPT41_DOCS; SRC_OPENAI_STARGATE_ORACLE; SRC_OPENAI_STARGATE_PROGRESS; SRC_EPOCH_AI_DATA_CENTERS; ASSUMP_INFERENCE_SHARE_NOT_FACT_60</t>
        </is>
      </c>
      <c r="K1605" s="3" t="inlineStr">
        <is>
          <t>ASSUMP_STARGATE_RAMP; ASSUMP_MS_OPENAI_ATTRIBUTION; ASSUMP_NUMERIC_ACCELERATOR_MIX; ASSUMP_INFERENCE_SHARE_NOT_FACT_60; ASSUMP_WORKLOAD_CLASS_MIX; ASSUMP_AGENTIC_CONTEXT_PENALTY</t>
        </is>
      </c>
      <c r="L1605" s="3" t="inlineStr">
        <is>
          <t>Provider-specific inference/training workload power telemetry.</t>
        </is>
      </c>
    </row>
    <row r="1606">
      <c r="A1606" s="3" t="inlineStr">
        <is>
          <t>OpenAI</t>
        </is>
      </c>
      <c r="B1606" s="3" t="n">
        <v>2030</v>
      </c>
      <c r="C1606" s="3" t="inlineStr">
        <is>
          <t>Base</t>
        </is>
      </c>
      <c r="D1606" s="3" t="inlineStr">
        <is>
          <t>inference_gw</t>
        </is>
      </c>
      <c r="E1606" s="3" t="n">
        <v>4.862</v>
      </c>
      <c r="F1606" s="3" t="inlineStr">
        <is>
          <t>GW</t>
        </is>
      </c>
      <c r="G1606" s="3" t="inlineStr">
        <is>
          <t>Derived formula</t>
        </is>
      </c>
      <c r="H1606" s="3" t="inlineStr">
        <is>
          <t>ai_it_load_gw * inference_power_share</t>
        </is>
      </c>
      <c r="I1606" s="3" t="inlineStr">
        <is>
          <t>This is the operational power eligible to become commercial generated output tokens through the selected TPS/MW proxy.</t>
        </is>
      </c>
      <c r="J1606" s="3" t="inlineStr">
        <is>
          <t>SRC_OPENAI_GPT41_DOCS; SRC_OPENAI_STARGATE_ORACLE; SRC_OPENAI_STARGATE_PROGRESS; SRC_EPOCH_AI_DATA_CENTERS</t>
        </is>
      </c>
      <c r="K1606" s="3" t="inlineStr">
        <is>
          <t>ASSUMP_STARGATE_RAMP; ASSUMP_MS_OPENAI_ATTRIBUTION; ASSUMP_NUMERIC_ACCELERATOR_MIX; ASSUMP_INFERENCE_SHARE_NOT_FACT_60; ASSUMP_WORKLOAD_CLASS_MIX; ASSUMP_AGENTIC_CONTEXT_PENALTY</t>
        </is>
      </c>
      <c r="L1606" s="3" t="inlineStr">
        <is>
          <t>Recompute after AI allocation or inference-share evidence changes.</t>
        </is>
      </c>
    </row>
    <row r="1607">
      <c r="A1607" s="3" t="inlineStr">
        <is>
          <t>OpenAI</t>
        </is>
      </c>
      <c r="B1607" s="3" t="n">
        <v>2030</v>
      </c>
      <c r="C1607" s="3" t="inlineStr">
        <is>
          <t>Base</t>
        </is>
      </c>
      <c r="D1607" s="3" t="inlineStr">
        <is>
          <t>training_power_share</t>
        </is>
      </c>
      <c r="E1607" s="3" t="n">
        <v>0.22</v>
      </c>
      <c r="F1607" s="3" t="inlineStr">
        <is>
          <t>share of AI IT load</t>
        </is>
      </c>
      <c r="G1607" s="3" t="inlineStr">
        <is>
          <t>Derived allocation</t>
        </is>
      </c>
      <c r="H1607" s="3" t="inlineStr">
        <is>
          <t>1 - inference_power_share</t>
        </is>
      </c>
      <c r="I1607" s="3" t="inlineStr">
        <is>
          <t>Training receives the complementary modeled AI IT allocation; it is not a disclosed company workload split.</t>
        </is>
      </c>
      <c r="J1607" s="3" t="inlineStr">
        <is>
          <t>SRC_OPENAI_GPT41_DOCS; SRC_OPENAI_STARGATE_ORACLE; SRC_OPENAI_STARGATE_PROGRESS; SRC_EPOCH_AI_DATA_CENTERS; ASSUMP_INFERENCE_SHARE_NOT_FACT_60</t>
        </is>
      </c>
      <c r="K1607" s="3" t="inlineStr">
        <is>
          <t>ASSUMP_STARGATE_RAMP; ASSUMP_MS_OPENAI_ATTRIBUTION; ASSUMP_NUMERIC_ACCELERATOR_MIX; ASSUMP_INFERENCE_SHARE_NOT_FACT_60; ASSUMP_WORKLOAD_CLASS_MIX; ASSUMP_AGENTIC_CONTEXT_PENALTY</t>
        </is>
      </c>
      <c r="L1607" s="3" t="inlineStr">
        <is>
          <t>Provider-specific inference/training workload power telemetry.</t>
        </is>
      </c>
    </row>
    <row r="1608">
      <c r="A1608" s="3" t="inlineStr">
        <is>
          <t>OpenAI</t>
        </is>
      </c>
      <c r="B1608" s="3" t="n">
        <v>2030</v>
      </c>
      <c r="C1608" s="3" t="inlineStr">
        <is>
          <t>Base</t>
        </is>
      </c>
      <c r="D1608" s="3" t="inlineStr">
        <is>
          <t>training_gw</t>
        </is>
      </c>
      <c r="E1608" s="3" t="n">
        <v>1.371</v>
      </c>
      <c r="F1608" s="3" t="inlineStr">
        <is>
          <t>GW</t>
        </is>
      </c>
      <c r="G1608" s="3" t="inlineStr">
        <is>
          <t>Derived formula</t>
        </is>
      </c>
      <c r="H1608" s="3" t="inlineStr">
        <is>
          <t>ai_it_load_gw * training_power_share</t>
        </is>
      </c>
      <c r="I1608" s="3" t="inlineStr">
        <is>
          <t>Training GW is shown separately so commercial inference token capacity is not overstated.</t>
        </is>
      </c>
      <c r="J1608" s="3" t="inlineStr">
        <is>
          <t>SRC_OPENAI_GPT41_DOCS; SRC_OPENAI_STARGATE_ORACLE; SRC_OPENAI_STARGATE_PROGRESS; SRC_EPOCH_AI_DATA_CENTERS</t>
        </is>
      </c>
      <c r="K1608" s="3" t="inlineStr">
        <is>
          <t>ASSUMP_STARGATE_RAMP; ASSUMP_MS_OPENAI_ATTRIBUTION; ASSUMP_NUMERIC_ACCELERATOR_MIX; ASSUMP_INFERENCE_SHARE_NOT_FACT_60; ASSUMP_WORKLOAD_CLASS_MIX; ASSUMP_AGENTIC_CONTEXT_PENALTY</t>
        </is>
      </c>
      <c r="L1608" s="3" t="inlineStr">
        <is>
          <t>Recompute after AI allocation or workload-split evidence changes.</t>
        </is>
      </c>
    </row>
    <row r="1609">
      <c r="A1609" s="3" t="inlineStr">
        <is>
          <t>OpenAI</t>
        </is>
      </c>
      <c r="B1609" s="3" t="n">
        <v>2030</v>
      </c>
      <c r="C1609" s="3" t="inlineStr">
        <is>
          <t>Base</t>
        </is>
      </c>
      <c r="D1609" s="3" t="inlineStr">
        <is>
          <t>tokens_per_second_per_mw</t>
        </is>
      </c>
      <c r="E1609" s="3" t="n">
        <v>98694</v>
      </c>
      <c r="F1609" s="3" t="inlineStr">
        <is>
          <t>generated output tokens/sec/MW</t>
        </is>
      </c>
      <c r="G1609" s="3" t="inlineStr">
        <is>
          <t>Derived estimate + benchmark calibration</t>
        </is>
      </c>
      <c r="H1609" s="3" t="inlineStr">
        <is>
          <t>fleet_reference_tps_per_mw * commercial_workload_fit_factor</t>
        </is>
      </c>
      <c r="I160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1609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1609" s="3" t="inlineStr">
        <is>
          <t>ASSUMP_STARGATE_RAMP; ASSUMP_MS_OPENAI_ATTRIBUTION; ASSUMP_NUMERIC_ACCELERATOR_MIX; ASSUMP_INFERENCE_SHARE_NOT_FACT_60; ASSUMP_WORKLOAD_CLASS_MIX; ASSUMP_AGENTIC_CONTEXT_PENALTY</t>
        </is>
      </c>
      <c r="L1609" s="3" t="inlineStr">
        <is>
          <t>Comparable production output-token throughput with model, hardware, precision, ISL/OSL and SLO matched.</t>
        </is>
      </c>
    </row>
    <row r="1610">
      <c r="A1610" s="3" t="inlineStr">
        <is>
          <t>OpenAI</t>
        </is>
      </c>
      <c r="B1610" s="3" t="n">
        <v>2030</v>
      </c>
      <c r="C1610" s="3" t="inlineStr">
        <is>
          <t>Base</t>
        </is>
      </c>
      <c r="D1610" s="3" t="inlineStr">
        <is>
          <t>inference_tokens_per_day</t>
        </is>
      </c>
      <c r="E1610" s="3" t="n">
        <v>41459059699200</v>
      </c>
      <c r="F1610" s="3" t="inlineStr">
        <is>
          <t>generated output tokens/day</t>
        </is>
      </c>
      <c r="G1610" s="3" t="inlineStr">
        <is>
          <t>Derived headline metric</t>
        </is>
      </c>
      <c r="H1610" s="3" t="inlineStr">
        <is>
          <t>inference_gw * 1000 * tokens_per_second_per_mw * 86,400</t>
        </is>
      </c>
      <c r="I1610" s="3" t="inlineStr">
        <is>
          <t>Headline capacity uses no utilization, MoE, architecture or software-growth multiplier; it is not observed commercial output volume.</t>
        </is>
      </c>
      <c r="J1610" s="3" t="inlineStr">
        <is>
          <t>SRC_OPENAI_GPT41_DOCS; SRC_OPENAI_STARGATE_ORACLE; SRC_OPENAI_STARGATE_PROGRESS; SRC_EPOCH_AI_DATA_CENTERS; SRC_SEMIANALYSIS_INFERENCEX</t>
        </is>
      </c>
      <c r="K1610" s="3" t="inlineStr">
        <is>
          <t>ASSUMP_STARGATE_RAMP; ASSUMP_MS_OPENAI_ATTRIBUTION; ASSUMP_NUMERIC_ACCELERATOR_MIX; ASSUMP_INFERENCE_SHARE_NOT_FACT_60; ASSUMP_WORKLOAD_CLASS_MIX; ASSUMP_AGENTIC_CONTEXT_PENALTY</t>
        </is>
      </c>
      <c r="L1610" s="3" t="inlineStr">
        <is>
          <t>Provider-disclosed generated output token volume or calibrated capacity telemetry.</t>
        </is>
      </c>
    </row>
    <row r="1611">
      <c r="A1611" s="3" t="inlineStr">
        <is>
          <t>OpenAI</t>
        </is>
      </c>
      <c r="B1611" s="3" t="n">
        <v>2030</v>
      </c>
      <c r="C1611" s="3" t="inlineStr">
        <is>
          <t>Base</t>
        </is>
      </c>
      <c r="D1611" s="3" t="inlineStr">
        <is>
          <t>inference_tokens_per_year</t>
        </is>
      </c>
      <c r="E1611" s="3" t="n">
        <v>1.5132556790208e+16</v>
      </c>
      <c r="F1611" s="3" t="inlineStr">
        <is>
          <t>generated output tokens/year</t>
        </is>
      </c>
      <c r="G1611" s="3" t="inlineStr">
        <is>
          <t>Derived headline metric</t>
        </is>
      </c>
      <c r="H1611" s="3" t="inlineStr">
        <is>
          <t>inference_tokens_per_day * 365</t>
        </is>
      </c>
      <c r="I1611" s="3" t="inlineStr">
        <is>
          <t>Annualized version of generated output token capacity; it is not observed annual demand or billable volume.</t>
        </is>
      </c>
      <c r="J1611" s="3" t="inlineStr">
        <is>
          <t>SRC_OPENAI_GPT41_DOCS; SRC_OPENAI_STARGATE_ORACLE; SRC_OPENAI_STARGATE_PROGRESS; SRC_EPOCH_AI_DATA_CENTERS; SRC_SEMIANALYSIS_INFERENCEX</t>
        </is>
      </c>
      <c r="K1611" s="3" t="inlineStr">
        <is>
          <t>ASSUMP_STARGATE_RAMP; ASSUMP_MS_OPENAI_ATTRIBUTION; ASSUMP_NUMERIC_ACCELERATOR_MIX; ASSUMP_INFERENCE_SHARE_NOT_FACT_60; ASSUMP_WORKLOAD_CLASS_MIX; ASSUMP_AGENTIC_CONTEXT_PENALTY</t>
        </is>
      </c>
      <c r="L1611" s="3" t="inlineStr">
        <is>
          <t>Provider-disclosed annual generated-output volume or metered serving telemetry.</t>
        </is>
      </c>
    </row>
    <row r="1612">
      <c r="A1612" s="3" t="inlineStr">
        <is>
          <t>Anthropic</t>
        </is>
      </c>
      <c r="B1612" s="3" t="n">
        <v>2026</v>
      </c>
      <c r="C1612" s="3" t="inlineStr">
        <is>
          <t>Base</t>
        </is>
      </c>
      <c r="D1612" s="3" t="inlineStr">
        <is>
          <t>contracted_power_gw</t>
        </is>
      </c>
      <c r="E1612" s="3" t="n">
        <v>3.5</v>
      </c>
      <c r="F1612" s="3" t="inlineStr">
        <is>
          <t>GW</t>
        </is>
      </c>
      <c r="G1612" s="3" t="inlineStr">
        <is>
          <t>Fact anchor + scenario ceiling</t>
        </is>
      </c>
      <c r="H1612" s="3" t="inlineStr">
        <is>
          <t>linear interpolation between 2026 and 2030 company capacity endpoints</t>
        </is>
      </c>
      <c r="I1612" s="3" t="inlineStr">
        <is>
          <t>Hosted capacity envelope is anchored by Anthropic/AWS Project Rainier direction; it is attributed to Claude outputs, not AWS as a model owner.</t>
        </is>
      </c>
      <c r="J1612" s="3" t="inlineStr">
        <is>
          <t>SRC_ANTHROPIC_AMAZON_COMPUTE; SRC_AWS_RAINIER_ACTIVE; ASSUMP_POWER_RAMP</t>
        </is>
      </c>
      <c r="K1612" s="3" t="inlineStr">
        <is>
          <t>ASSUMP_POWER_RAMP; ASSUMP_CLOSED_MODEL_BAND; ASSUMP_NUMERIC_ACCELERATOR_MIX; ASSUMP_INFERENCE_SHARE_NOT_FACT_60; ASSUMP_WORKLOAD_CLASS_MIX; ASSUMP_AGENTIC_CONTEXT_PENALTY</t>
        </is>
      </c>
      <c r="L1612" s="3" t="inlineStr">
        <is>
          <t>Company/site-level committed MW/GW, interconnect and contract disclosure.</t>
        </is>
      </c>
    </row>
    <row r="1613">
      <c r="A1613" s="3" t="inlineStr">
        <is>
          <t>Anthropic</t>
        </is>
      </c>
      <c r="B1613" s="3" t="n">
        <v>2026</v>
      </c>
      <c r="C1613" s="3" t="inlineStr">
        <is>
          <t>Base</t>
        </is>
      </c>
      <c r="D1613" s="3" t="inlineStr">
        <is>
          <t>operational_deployment_share</t>
        </is>
      </c>
      <c r="E1613" s="3" t="n">
        <v>0.28571429</v>
      </c>
      <c r="F1613" s="3" t="inlineStr">
        <is>
          <t>share</t>
        </is>
      </c>
      <c r="G1613" s="3" t="inlineStr">
        <is>
          <t>Scenario conversion</t>
        </is>
      </c>
      <c r="H1613" s="3" t="inlineStr">
        <is>
          <t>active_power_gw / contracted_power_gw</t>
        </is>
      </c>
      <c r="I1613" s="3" t="inlineStr">
        <is>
          <t>This is the single explicit conversion from contracted/attributed capacity to operationally usable capacity.</t>
        </is>
      </c>
      <c r="J1613" s="3" t="inlineStr">
        <is>
          <t>SRC_ANTHROPIC_AMAZON_COMPUTE; SRC_AWS_RAINIER_ACTIVE; ASSUMP_POWER_RAMP</t>
        </is>
      </c>
      <c r="K1613" s="3" t="inlineStr">
        <is>
          <t>ASSUMP_POWER_RAMP; ASSUMP_CLOSED_MODEL_BAND; ASSUMP_NUMERIC_ACCELERATOR_MIX; ASSUMP_INFERENCE_SHARE_NOT_FACT_60; ASSUMP_WORKLOAD_CLASS_MIX; ASSUMP_AGENTIC_CONTEXT_PENALTY</t>
        </is>
      </c>
      <c r="L1613" s="3" t="inlineStr">
        <is>
          <t>Energized operational capacity divided by contracted/attributed capacity.</t>
        </is>
      </c>
    </row>
    <row r="1614">
      <c r="A1614" s="3" t="inlineStr">
        <is>
          <t>Anthropic</t>
        </is>
      </c>
      <c r="B1614" s="3" t="n">
        <v>2026</v>
      </c>
      <c r="C1614" s="3" t="inlineStr">
        <is>
          <t>Base</t>
        </is>
      </c>
      <c r="D1614" s="3" t="inlineStr">
        <is>
          <t>active_power_gw</t>
        </is>
      </c>
      <c r="E1614" s="3" t="n">
        <v>1</v>
      </c>
      <c r="F1614" s="3" t="inlineStr">
        <is>
          <t>GW</t>
        </is>
      </c>
      <c r="G1614" s="3" t="inlineStr">
        <is>
          <t>Derived scenario</t>
        </is>
      </c>
      <c r="H1614" s="3" t="inlineStr">
        <is>
          <t>contracted_power_gw * operational_deployment_share</t>
        </is>
      </c>
      <c r="I1614" s="3" t="inlineStr">
        <is>
          <t>Trainium cluster activation supports staged active ramp; Claude inference-versus-training use remains estimated.</t>
        </is>
      </c>
      <c r="J1614" s="3" t="inlineStr">
        <is>
          <t>SRC_ANTHROPIC_AMAZON_COMPUTE; SRC_AWS_RAINIER_ACTIVE; ASSUMP_POWER_RAMP</t>
        </is>
      </c>
      <c r="K1614" s="3" t="inlineStr">
        <is>
          <t>ASSUMP_POWER_RAMP; ASSUMP_CLOSED_MODEL_BAND; ASSUMP_NUMERIC_ACCELERATOR_MIX; ASSUMP_INFERENCE_SHARE_NOT_FACT_60; ASSUMP_WORKLOAD_CLASS_MIX; ASSUMP_AGENTIC_CONTEXT_PENALTY</t>
        </is>
      </c>
      <c r="L1614" s="3" t="inlineStr">
        <is>
          <t>Energization dates, accelerator deliveries and operational powered-rack telemetry.</t>
        </is>
      </c>
    </row>
    <row r="1615">
      <c r="A1615" s="3" t="inlineStr">
        <is>
          <t>Anthropic</t>
        </is>
      </c>
      <c r="B1615" s="3" t="n">
        <v>2026</v>
      </c>
      <c r="C1615" s="3" t="inlineStr">
        <is>
          <t>Base</t>
        </is>
      </c>
      <c r="D1615" s="3" t="inlineStr">
        <is>
          <t>pue</t>
        </is>
      </c>
      <c r="E1615" s="3" t="n">
        <v>1.18</v>
      </c>
      <c r="F1615" s="3" t="inlineStr">
        <is>
          <t>ratio</t>
        </is>
      </c>
      <c r="G1615" s="3" t="inlineStr">
        <is>
          <t>Scenario parameter</t>
        </is>
      </c>
      <c r="H1615" s="3" t="inlineStr">
        <is>
          <t>it_load_gw = active_power_gw / pue</t>
        </is>
      </c>
      <c r="I1615" s="3" t="inlineStr">
        <is>
          <t>No provider-wide site-level PUE is used as a disclosed fact; PUE represents facility-to-IT conversion within the scenario.</t>
        </is>
      </c>
      <c r="J1615" s="3" t="inlineStr">
        <is>
          <t>ASSUMP_POWER_RAMP</t>
        </is>
      </c>
      <c r="K1615" s="3" t="inlineStr">
        <is>
          <t>ASSUMP_POWER_RAMP; ASSUMP_CLOSED_MODEL_BAND; ASSUMP_NUMERIC_ACCELERATOR_MIX; ASSUMP_INFERENCE_SHARE_NOT_FACT_60; ASSUMP_WORKLOAD_CLASS_MIX; ASSUMP_AGENTIC_CONTEXT_PENALTY</t>
        </is>
      </c>
      <c r="L1615" s="3" t="inlineStr">
        <is>
          <t>Site-level measured PUE matched to attributed AI capacity.</t>
        </is>
      </c>
    </row>
    <row r="1616">
      <c r="A1616" s="3" t="inlineStr">
        <is>
          <t>Anthropic</t>
        </is>
      </c>
      <c r="B1616" s="3" t="n">
        <v>2026</v>
      </c>
      <c r="C1616" s="3" t="inlineStr">
        <is>
          <t>Base</t>
        </is>
      </c>
      <c r="D1616" s="3" t="inlineStr">
        <is>
          <t>it_load_gw</t>
        </is>
      </c>
      <c r="E1616" s="3" t="n">
        <v>0.847</v>
      </c>
      <c r="F1616" s="3" t="inlineStr">
        <is>
          <t>GW</t>
        </is>
      </c>
      <c r="G1616" s="3" t="inlineStr">
        <is>
          <t>Derived formula</t>
        </is>
      </c>
      <c r="H1616" s="3" t="inlineStr">
        <is>
          <t>active_power_gw / pue</t>
        </is>
      </c>
      <c r="I1616" s="3" t="inlineStr">
        <is>
          <t>Facility power is converted to IT-deliverable power before attributing AI workloads.</t>
        </is>
      </c>
      <c r="J1616" s="3" t="inlineStr">
        <is>
          <t>SRC_ANTHROPIC_AMAZON_COMPUTE; SRC_AWS_RAINIER_ACTIVE; ASSUMP_POWER_RAMP</t>
        </is>
      </c>
      <c r="K1616" s="3" t="inlineStr">
        <is>
          <t>ASSUMP_POWER_RAMP; ASSUMP_CLOSED_MODEL_BAND; ASSUMP_NUMERIC_ACCELERATOR_MIX; ASSUMP_INFERENCE_SHARE_NOT_FACT_60; ASSUMP_WORKLOAD_CLASS_MIX; ASSUMP_AGENTIC_CONTEXT_PENALTY</t>
        </is>
      </c>
      <c r="L1616" s="3" t="inlineStr">
        <is>
          <t>Recompute once active power and PUE become site-observable.</t>
        </is>
      </c>
    </row>
    <row r="1617">
      <c r="A1617" s="3" t="inlineStr">
        <is>
          <t>Anthropic</t>
        </is>
      </c>
      <c r="B1617" s="3" t="n">
        <v>2026</v>
      </c>
      <c r="C1617" s="3" t="inlineStr">
        <is>
          <t>Base</t>
        </is>
      </c>
      <c r="D1617" s="3" t="inlineStr">
        <is>
          <t>ai_workload_share</t>
        </is>
      </c>
      <c r="E1617" s="3" t="n">
        <v>0.86</v>
      </c>
      <c r="F1617" s="3" t="inlineStr">
        <is>
          <t>share</t>
        </is>
      </c>
      <c r="G1617" s="3" t="inlineStr">
        <is>
          <t>Scenario allocation</t>
        </is>
      </c>
      <c r="H1617" s="3" t="inlineStr">
        <is>
          <t>ai_it_load_gw = it_load_gw * ai_workload_share</t>
        </is>
      </c>
      <c r="I1617" s="3" t="inlineStr">
        <is>
          <t>Anthropic-directed hosted capacity is predominantly AI; 86% excludes platform, reserve and non-serving allocation.</t>
        </is>
      </c>
      <c r="J1617" s="3" t="inlineStr">
        <is>
          <t>SRC_ANTHROPIC_CLAUDE_DOCS; SRC_ANTHROPIC_AMAZON_COMPUTE; SRC_AWS_RAINIER_ACTIVE; SRC_EPOCH_AI_DATA_CENTERS</t>
        </is>
      </c>
      <c r="K1617" s="3" t="inlineStr">
        <is>
          <t>ASSUMP_POWER_RAMP; ASSUMP_CLOSED_MODEL_BAND; ASSUMP_NUMERIC_ACCELERATOR_MIX; ASSUMP_INFERENCE_SHARE_NOT_FACT_60; ASSUMP_WORKLOAD_CLASS_MIX; ASSUMP_AGENTIC_CONTEXT_PENALTY</t>
        </is>
      </c>
      <c r="L1617" s="3" t="inlineStr">
        <is>
          <t>Model-owner AI workload allocation or cluster scheduling telemetry.</t>
        </is>
      </c>
    </row>
    <row r="1618">
      <c r="A1618" s="3" t="inlineStr">
        <is>
          <t>Anthropic</t>
        </is>
      </c>
      <c r="B1618" s="3" t="n">
        <v>2026</v>
      </c>
      <c r="C1618" s="3" t="inlineStr">
        <is>
          <t>Base</t>
        </is>
      </c>
      <c r="D1618" s="3" t="inlineStr">
        <is>
          <t>ai_it_load_gw</t>
        </is>
      </c>
      <c r="E1618" s="3" t="n">
        <v>0.729</v>
      </c>
      <c r="F1618" s="3" t="inlineStr">
        <is>
          <t>GW</t>
        </is>
      </c>
      <c r="G1618" s="3" t="inlineStr">
        <is>
          <t>Derived formula</t>
        </is>
      </c>
      <c r="H1618" s="3" t="inlineStr">
        <is>
          <t>it_load_gw * ai_workload_share</t>
        </is>
      </c>
      <c r="I1618" s="3" t="inlineStr">
        <is>
          <t>Only the AI-attributed portion of IT load enters training/inference allocation.</t>
        </is>
      </c>
      <c r="J1618" s="3" t="inlineStr">
        <is>
          <t>SRC_ANTHROPIC_CLAUDE_DOCS; SRC_ANTHROPIC_AMAZON_COMPUTE; SRC_AWS_RAINIER_ACTIVE; SRC_EPOCH_AI_DATA_CENTERS</t>
        </is>
      </c>
      <c r="K1618" s="3" t="inlineStr">
        <is>
          <t>ASSUMP_POWER_RAMP; ASSUMP_CLOSED_MODEL_BAND; ASSUMP_NUMERIC_ACCELERATOR_MIX; ASSUMP_INFERENCE_SHARE_NOT_FACT_60; ASSUMP_WORKLOAD_CLASS_MIX; ASSUMP_AGENTIC_CONTEXT_PENALTY</t>
        </is>
      </c>
      <c r="L1618" s="3" t="inlineStr">
        <is>
          <t>Recompute after ai_workload_share is replaced by telemetry.</t>
        </is>
      </c>
    </row>
    <row r="1619">
      <c r="A1619" s="3" t="inlineStr">
        <is>
          <t>Anthropic</t>
        </is>
      </c>
      <c r="B1619" s="3" t="n">
        <v>2026</v>
      </c>
      <c r="C1619" s="3" t="inlineStr">
        <is>
          <t>Base</t>
        </is>
      </c>
      <c r="D1619" s="3" t="inlineStr">
        <is>
          <t>gpu_share</t>
        </is>
      </c>
      <c r="E1619" s="3" t="n">
        <v>0.320539</v>
      </c>
      <c r="F1619" s="3" t="inlineStr">
        <is>
          <t>share of inference-serving accelerator load</t>
        </is>
      </c>
      <c r="G1619" s="3" t="inlineStr">
        <is>
          <t>Numeric scenario</t>
        </is>
      </c>
      <c r="H1619" s="3" t="inlineStr">
        <is>
          <t>gpu_share interpolated from company 2026/2030 accelerator-mix endpoints</t>
        </is>
      </c>
      <c r="I1619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19" s="3" t="inlineStr">
        <is>
          <t>SRC_ANTHROPIC_CLAUDE_DOCS; SRC_ANTHROPIC_AMAZON_COMPUTE; SRC_AWS_RAINIER_ACTIVE; SRC_EPOCH_AI_DATA_CENTERS; ASSUMP_NUMERIC_ACCELERATOR_MIX</t>
        </is>
      </c>
      <c r="K1619" s="3" t="inlineStr">
        <is>
          <t>ASSUMP_POWER_RAMP; ASSUMP_CLOSED_MODEL_BAND; ASSUMP_NUMERIC_ACCELERATOR_MIX; ASSUMP_INFERENCE_SHARE_NOT_FACT_60; ASSUMP_WORKLOAD_CLASS_MIX; ASSUMP_AGENTIC_CONTEXT_PENALTY</t>
        </is>
      </c>
      <c r="L1619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20">
      <c r="A1620" s="3" t="inlineStr">
        <is>
          <t>Anthropic</t>
        </is>
      </c>
      <c r="B1620" s="3" t="n">
        <v>2026</v>
      </c>
      <c r="C1620" s="3" t="inlineStr">
        <is>
          <t>Base</t>
        </is>
      </c>
      <c r="D1620" s="3" t="inlineStr">
        <is>
          <t>h200_share</t>
        </is>
      </c>
      <c r="E1620" s="3" t="n">
        <v>0.138978</v>
      </c>
      <c r="F1620" s="3" t="inlineStr">
        <is>
          <t>share of inference-serving accelerator load</t>
        </is>
      </c>
      <c r="G1620" s="3" t="inlineStr">
        <is>
          <t>Editable numeric scenario</t>
        </is>
      </c>
      <c r="H1620" s="3" t="inlineStr">
        <is>
          <t>h200_share = gpu_share * default_gpu_generation_mix_h200</t>
        </is>
      </c>
      <c r="I1620" s="3" t="inlineStr">
        <is>
          <t>Default GPU-generation migration assumption; executive workbook allows later manual replacement by company/year/scenario.</t>
        </is>
      </c>
      <c r="J1620" s="3" t="inlineStr">
        <is>
          <t>SRC_SEMIANALYSIS_INFERENCEX; ASSUMP_NUMERIC_ACCELERATOR_MIX</t>
        </is>
      </c>
      <c r="K1620" s="3" t="inlineStr">
        <is>
          <t>ASSUMP_POWER_RAMP; ASSUMP_CLOSED_MODEL_BAND; ASSUMP_NUMERIC_ACCELERATOR_MIX; ASSUMP_INFERENCE_SHARE_NOT_FACT_60; ASSUMP_WORKLOAD_CLASS_MIX; ASSUMP_AGENTIC_CONTEXT_PENALTY</t>
        </is>
      </c>
      <c r="L1620" s="3" t="inlineStr">
        <is>
          <t>Company fleet inventory, accelerator-hours or procurement/deployment records by GPU generation.</t>
        </is>
      </c>
    </row>
    <row r="1621">
      <c r="A1621" s="3" t="inlineStr">
        <is>
          <t>Anthropic</t>
        </is>
      </c>
      <c r="B1621" s="3" t="n">
        <v>2026</v>
      </c>
      <c r="C1621" s="3" t="inlineStr">
        <is>
          <t>Base</t>
        </is>
      </c>
      <c r="D1621" s="3" t="inlineStr">
        <is>
          <t>b200_share</t>
        </is>
      </c>
      <c r="E1621" s="3" t="n">
        <v>0.181561</v>
      </c>
      <c r="F1621" s="3" t="inlineStr">
        <is>
          <t>share of inference-serving accelerator load</t>
        </is>
      </c>
      <c r="G1621" s="3" t="inlineStr">
        <is>
          <t>Editable numeric scenario</t>
        </is>
      </c>
      <c r="H1621" s="3" t="inlineStr">
        <is>
          <t>b200_share = gpu_share * default_gpu_generation_mix_b200</t>
        </is>
      </c>
      <c r="I1621" s="3" t="inlineStr">
        <is>
          <t>Default GPU-generation migration assumption; executive workbook allows later manual replacement by company/year/scenario.</t>
        </is>
      </c>
      <c r="J1621" s="3" t="inlineStr">
        <is>
          <t>SRC_SEMIANALYSIS_INFERENCEX; ASSUMP_NUMERIC_ACCELERATOR_MIX</t>
        </is>
      </c>
      <c r="K1621" s="3" t="inlineStr">
        <is>
          <t>ASSUMP_POWER_RAMP; ASSUMP_CLOSED_MODEL_BAND; ASSUMP_NUMERIC_ACCELERATOR_MIX; ASSUMP_INFERENCE_SHARE_NOT_FACT_60; ASSUMP_WORKLOAD_CLASS_MIX; ASSUMP_AGENTIC_CONTEXT_PENALTY</t>
        </is>
      </c>
      <c r="L1621" s="3" t="inlineStr">
        <is>
          <t>Company fleet inventory, accelerator-hours or procurement/deployment records by GPU generation.</t>
        </is>
      </c>
    </row>
    <row r="1622">
      <c r="A1622" s="3" t="inlineStr">
        <is>
          <t>Anthropic</t>
        </is>
      </c>
      <c r="B1622" s="3" t="n">
        <v>2026</v>
      </c>
      <c r="C1622" s="3" t="inlineStr">
        <is>
          <t>Base</t>
        </is>
      </c>
      <c r="D1622" s="3" t="inlineStr">
        <is>
          <t>gb200_share</t>
        </is>
      </c>
      <c r="E1622" s="3" t="n">
        <v>0</v>
      </c>
      <c r="F1622" s="3" t="inlineStr">
        <is>
          <t>share of inference-serving accelerator load</t>
        </is>
      </c>
      <c r="G1622" s="3" t="inlineStr">
        <is>
          <t>Editable numeric scenario</t>
        </is>
      </c>
      <c r="H1622" s="3" t="inlineStr">
        <is>
          <t>gb200_share = gpu_share * default_gpu_generation_mix_gb200</t>
        </is>
      </c>
      <c r="I1622" s="3" t="inlineStr">
        <is>
          <t>Default GPU-generation migration assumption; executive workbook allows later manual replacement by company/year/scenario.</t>
        </is>
      </c>
      <c r="J1622" s="3" t="inlineStr">
        <is>
          <t>SRC_SEMIANALYSIS_INFERENCEX; ASSUMP_NUMERIC_ACCELERATOR_MIX</t>
        </is>
      </c>
      <c r="K1622" s="3" t="inlineStr">
        <is>
          <t>ASSUMP_POWER_RAMP; ASSUMP_CLOSED_MODEL_BAND; ASSUMP_NUMERIC_ACCELERATOR_MIX; ASSUMP_INFERENCE_SHARE_NOT_FACT_60; ASSUMP_WORKLOAD_CLASS_MIX; ASSUMP_AGENTIC_CONTEXT_PENALTY</t>
        </is>
      </c>
      <c r="L1622" s="3" t="inlineStr">
        <is>
          <t>Company fleet inventory, accelerator-hours or procurement/deployment records by GPU generation.</t>
        </is>
      </c>
    </row>
    <row r="1623">
      <c r="A1623" s="3" t="inlineStr">
        <is>
          <t>Anthropic</t>
        </is>
      </c>
      <c r="B1623" s="3" t="n">
        <v>2026</v>
      </c>
      <c r="C1623" s="3" t="inlineStr">
        <is>
          <t>Base</t>
        </is>
      </c>
      <c r="D1623" s="3" t="inlineStr">
        <is>
          <t>purpose_built_accelerator_share</t>
        </is>
      </c>
      <c r="E1623" s="3" t="n">
        <v>0.679461</v>
      </c>
      <c r="F1623" s="3" t="inlineStr">
        <is>
          <t>share of inference-serving accelerator load</t>
        </is>
      </c>
      <c r="G1623" s="3" t="inlineStr">
        <is>
          <t>Numeric scenario</t>
        </is>
      </c>
      <c r="H1623" s="3" t="inlineStr">
        <is>
          <t>1 - gpu_share</t>
        </is>
      </c>
      <c r="I1623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23" s="3" t="inlineStr">
        <is>
          <t>SRC_ANTHROPIC_CLAUDE_DOCS; SRC_ANTHROPIC_AMAZON_COMPUTE; SRC_AWS_RAINIER_ACTIVE; SRC_EPOCH_AI_DATA_CENTERS; ASSUMP_NUMERIC_ACCELERATOR_MIX</t>
        </is>
      </c>
      <c r="K1623" s="3" t="inlineStr">
        <is>
          <t>ASSUMP_POWER_RAMP; ASSUMP_CLOSED_MODEL_BAND; ASSUMP_NUMERIC_ACCELERATOR_MIX; ASSUMP_INFERENCE_SHARE_NOT_FACT_60; ASSUMP_WORKLOAD_CLASS_MIX; ASSUMP_AGENTIC_CONTEXT_PENALTY</t>
        </is>
      </c>
      <c r="L1623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24">
      <c r="A1624" s="3" t="inlineStr">
        <is>
          <t>Anthropic</t>
        </is>
      </c>
      <c r="B1624" s="3" t="n">
        <v>2026</v>
      </c>
      <c r="C1624" s="3" t="inlineStr">
        <is>
          <t>Base</t>
        </is>
      </c>
      <c r="D1624" s="3" t="inlineStr">
        <is>
          <t>fleet_reference_tps_per_mw</t>
        </is>
      </c>
      <c r="E1624" s="3" t="n">
        <v>244773</v>
      </c>
      <c r="F1624" s="3" t="inlineStr">
        <is>
          <t>generated output tokens/sec/MW</t>
        </is>
      </c>
      <c r="G1624" s="3" t="inlineStr">
        <is>
          <t>Fleet-weighted public benchmark reference</t>
        </is>
      </c>
      <c r="H1624" s="3" t="inlineStr">
        <is>
          <t>h200_share*h200_workload_avg + b200_share*b200_workload_avg + gb200_share*gb200_workload_avg + purpose_built_share*purpose_workload_avg</t>
        </is>
      </c>
      <c r="I162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24" s="3" t="inlineStr">
        <is>
          <t>SRC_SEMIANALYSIS_INFERENCEX; ASSUMP_NUMERIC_ACCELERATOR_MIX; ASSUMP_WORKLOAD_CLASS_MIX; ASSUMP_AGENTIC_CONTEXT_PENALTY</t>
        </is>
      </c>
      <c r="K1624" s="3" t="inlineStr">
        <is>
          <t>ASSUMP_POWER_RAMP; ASSUMP_CLOSED_MODEL_BAND; ASSUMP_NUMERIC_ACCELERATOR_MIX; ASSUMP_INFERENCE_SHARE_NOT_FACT_60; ASSUMP_WORKLOAD_CLASS_MIX; ASSUMP_AGENTIC_CONTEXT_PENALTY</t>
        </is>
      </c>
      <c r="L1624" s="3" t="inlineStr">
        <is>
          <t>Comparable production output-token throughput or a more closely matched benchmark.</t>
        </is>
      </c>
    </row>
    <row r="1625">
      <c r="A1625" s="3" t="inlineStr">
        <is>
          <t>Anthropic</t>
        </is>
      </c>
      <c r="B1625" s="3" t="n">
        <v>2026</v>
      </c>
      <c r="C1625" s="3" t="inlineStr">
        <is>
          <t>Base</t>
        </is>
      </c>
      <c r="D1625" s="3" t="inlineStr">
        <is>
          <t>commercial_workload_fit_factor</t>
        </is>
      </c>
      <c r="E1625" s="3" t="n">
        <v>0.5</v>
      </c>
      <c r="F1625" s="3" t="inlineStr">
        <is>
          <t>share of public reference throughput</t>
        </is>
      </c>
      <c r="G1625" s="3" t="inlineStr">
        <is>
          <t>Scenario assumption</t>
        </is>
      </c>
      <c r="H1625" s="3" t="inlineStr">
        <is>
          <t>reference_serving_tps_per_mw = fleet_reference_tps_per_mw * commercial_workload_fit_factor</t>
        </is>
      </c>
      <c r="I162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25" s="3" t="inlineStr">
        <is>
          <t>SRC_SEMIANALYSIS_INFERENCEX; ASSUMP_NUMERIC_ACCELERATOR_MIX; ASSUMP_WORKLOAD_CLASS_MIX; ASSUMP_AGENTIC_CONTEXT_PENALTY</t>
        </is>
      </c>
      <c r="K1625" s="3" t="inlineStr">
        <is>
          <t>ASSUMP_POWER_RAMP; ASSUMP_CLOSED_MODEL_BAND; ASSUMP_NUMERIC_ACCELERATOR_MIX; ASSUMP_INFERENCE_SHARE_NOT_FACT_60; ASSUMP_WORKLOAD_CLASS_MIX; ASSUMP_AGENTIC_CONTEXT_PENALTY</t>
        </is>
      </c>
      <c r="L1625" s="3" t="inlineStr">
        <is>
          <t>Matched commercial serving benchmark by product surface, context shape and latency SLO.</t>
        </is>
      </c>
    </row>
    <row r="1626">
      <c r="A1626" s="3" t="inlineStr">
        <is>
          <t>Anthropic</t>
        </is>
      </c>
      <c r="B1626" s="3" t="n">
        <v>2026</v>
      </c>
      <c r="C1626" s="3" t="inlineStr">
        <is>
          <t>Base</t>
        </is>
      </c>
      <c r="D1626" s="3" t="inlineStr">
        <is>
          <t>reference_serving_tps_per_mw</t>
        </is>
      </c>
      <c r="E1626" s="3" t="n">
        <v>122386</v>
      </c>
      <c r="F1626" s="3" t="inlineStr">
        <is>
          <t>generated output tokens/sec/MW</t>
        </is>
      </c>
      <c r="G1626" s="3" t="inlineStr">
        <is>
          <t>Workload-adjusted benchmark proxy</t>
        </is>
      </c>
      <c r="H1626" s="3" t="inlineStr">
        <is>
          <t>fleet_reference_tps_per_mw * commercial_workload_fit_factor</t>
        </is>
      </c>
      <c r="I1626" s="3" t="inlineStr">
        <is>
          <t>This is the coefficient used for headline token generation; each GPU's short chat, long chat and agentic TPS/MW are weighted before fleet mix and commercial fit are applied.</t>
        </is>
      </c>
      <c r="J1626" s="3" t="inlineStr">
        <is>
          <t>SRC_SEMIANALYSIS_INFERENCEX; ASSUMP_NUMERIC_ACCELERATOR_MIX; ASSUMP_WORKLOAD_CLASS_MIX; ASSUMP_AGENTIC_CONTEXT_PENALTY</t>
        </is>
      </c>
      <c r="K1626" s="3" t="inlineStr">
        <is>
          <t>ASSUMP_POWER_RAMP; ASSUMP_CLOSED_MODEL_BAND; ASSUMP_NUMERIC_ACCELERATOR_MIX; ASSUMP_INFERENCE_SHARE_NOT_FACT_60; ASSUMP_WORKLOAD_CLASS_MIX; ASSUMP_AGENTIC_CONTEXT_PENALTY</t>
        </is>
      </c>
      <c r="L1626" s="3" t="inlineStr">
        <is>
          <t>Provider production output-token throughput with comparable workload/SLO.</t>
        </is>
      </c>
    </row>
    <row r="1627">
      <c r="A1627" s="3" t="inlineStr">
        <is>
          <t>Anthropic</t>
        </is>
      </c>
      <c r="B1627" s="3" t="n">
        <v>2026</v>
      </c>
      <c r="C1627" s="3" t="inlineStr">
        <is>
          <t>Base</t>
        </is>
      </c>
      <c r="D1627" s="3" t="inlineStr">
        <is>
          <t>purpose_built_tps_per_mw</t>
        </is>
      </c>
      <c r="E1627" s="3" t="n">
        <v>67653</v>
      </c>
      <c r="F1627" s="3" t="inlineStr">
        <is>
          <t>generated output tokens/sec/MW</t>
        </is>
      </c>
      <c r="G1627" s="3" t="inlineStr">
        <is>
          <t>Conservative no-uplift proxy</t>
        </is>
      </c>
      <c r="H1627" s="3" t="inlineStr">
        <is>
          <t>purpose_built_tps_per_mw = purpose_built_reference_tps_per_mw * commercial_workload_fit_factor until comparable output-token benchmark is adopted</t>
        </is>
      </c>
      <c r="I1627" s="3" t="inlineStr">
        <is>
          <t>No comparable public output-token/MW row adopted; B200 public reference placeholder is used and remains editable.</t>
        </is>
      </c>
      <c r="J1627" s="3" t="inlineStr">
        <is>
          <t>SRC_ANTHROPIC_CLAUDE_DOCS; SRC_ANTHROPIC_AMAZON_COMPUTE; SRC_AWS_RAINIER_ACTIVE; SRC_EPOCH_AI_DATA_CENTERS; ASSUMP_NUMERIC_ACCELERATOR_MIX</t>
        </is>
      </c>
      <c r="K1627" s="3" t="inlineStr">
        <is>
          <t>ASSUMP_POWER_RAMP; ASSUMP_CLOSED_MODEL_BAND; ASSUMP_NUMERIC_ACCELERATOR_MIX; ASSUMP_INFERENCE_SHARE_NOT_FACT_60; ASSUMP_WORKLOAD_CLASS_MIX; ASSUMP_AGENTIC_CONTEXT_PENALTY</t>
        </is>
      </c>
      <c r="L1627" s="3" t="inlineStr">
        <is>
          <t>Matched-workload generated-output benchmark for the provider purpose-built accelerator.</t>
        </is>
      </c>
    </row>
    <row r="1628">
      <c r="A1628" s="3" t="inlineStr">
        <is>
          <t>Anthropic</t>
        </is>
      </c>
      <c r="B1628" s="3" t="n">
        <v>2026</v>
      </c>
      <c r="C1628" s="3" t="inlineStr">
        <is>
          <t>Base</t>
        </is>
      </c>
      <c r="D1628" s="3" t="inlineStr">
        <is>
          <t>inference_power_share</t>
        </is>
      </c>
      <c r="E1628" s="3" t="n">
        <v>0.52</v>
      </c>
      <c r="F1628" s="3" t="inlineStr">
        <is>
          <t>share of AI IT load</t>
        </is>
      </c>
      <c r="G1628" s="3" t="inlineStr">
        <is>
          <t>Scenario allocation</t>
        </is>
      </c>
      <c r="H1628" s="3" t="inlineStr">
        <is>
          <t>inference_gw = ai_it_load_gw * inference_power_share</t>
        </is>
      </c>
      <c r="I1628" s="3" t="inlineStr">
        <is>
          <t>Claude API/product growth supports a rising inference share, while continued model training prevents full conversion.</t>
        </is>
      </c>
      <c r="J1628" s="3" t="inlineStr">
        <is>
          <t>SRC_ANTHROPIC_CLAUDE_DOCS; SRC_ANTHROPIC_AMAZON_COMPUTE; SRC_AWS_RAINIER_ACTIVE; SRC_EPOCH_AI_DATA_CENTERS; ASSUMP_INFERENCE_SHARE_NOT_FACT_60</t>
        </is>
      </c>
      <c r="K1628" s="3" t="inlineStr">
        <is>
          <t>ASSUMP_POWER_RAMP; ASSUMP_CLOSED_MODEL_BAND; ASSUMP_NUMERIC_ACCELERATOR_MIX; ASSUMP_INFERENCE_SHARE_NOT_FACT_60; ASSUMP_WORKLOAD_CLASS_MIX; ASSUMP_AGENTIC_CONTEXT_PENALTY</t>
        </is>
      </c>
      <c r="L1628" s="3" t="inlineStr">
        <is>
          <t>Provider-specific inference/training workload power telemetry.</t>
        </is>
      </c>
    </row>
    <row r="1629">
      <c r="A1629" s="3" t="inlineStr">
        <is>
          <t>Anthropic</t>
        </is>
      </c>
      <c r="B1629" s="3" t="n">
        <v>2026</v>
      </c>
      <c r="C1629" s="3" t="inlineStr">
        <is>
          <t>Base</t>
        </is>
      </c>
      <c r="D1629" s="3" t="inlineStr">
        <is>
          <t>inference_gw</t>
        </is>
      </c>
      <c r="E1629" s="3" t="n">
        <v>0.379</v>
      </c>
      <c r="F1629" s="3" t="inlineStr">
        <is>
          <t>GW</t>
        </is>
      </c>
      <c r="G1629" s="3" t="inlineStr">
        <is>
          <t>Derived formula</t>
        </is>
      </c>
      <c r="H1629" s="3" t="inlineStr">
        <is>
          <t>ai_it_load_gw * inference_power_share</t>
        </is>
      </c>
      <c r="I1629" s="3" t="inlineStr">
        <is>
          <t>This is the operational power eligible to become commercial generated output tokens through the selected TPS/MW proxy.</t>
        </is>
      </c>
      <c r="J1629" s="3" t="inlineStr">
        <is>
          <t>SRC_ANTHROPIC_CLAUDE_DOCS; SRC_ANTHROPIC_AMAZON_COMPUTE; SRC_AWS_RAINIER_ACTIVE; SRC_EPOCH_AI_DATA_CENTERS</t>
        </is>
      </c>
      <c r="K1629" s="3" t="inlineStr">
        <is>
          <t>ASSUMP_POWER_RAMP; ASSUMP_CLOSED_MODEL_BAND; ASSUMP_NUMERIC_ACCELERATOR_MIX; ASSUMP_INFERENCE_SHARE_NOT_FACT_60; ASSUMP_WORKLOAD_CLASS_MIX; ASSUMP_AGENTIC_CONTEXT_PENALTY</t>
        </is>
      </c>
      <c r="L1629" s="3" t="inlineStr">
        <is>
          <t>Recompute after AI allocation or inference-share evidence changes.</t>
        </is>
      </c>
    </row>
    <row r="1630">
      <c r="A1630" s="3" t="inlineStr">
        <is>
          <t>Anthropic</t>
        </is>
      </c>
      <c r="B1630" s="3" t="n">
        <v>2026</v>
      </c>
      <c r="C1630" s="3" t="inlineStr">
        <is>
          <t>Base</t>
        </is>
      </c>
      <c r="D1630" s="3" t="inlineStr">
        <is>
          <t>training_power_share</t>
        </is>
      </c>
      <c r="E1630" s="3" t="n">
        <v>0.48</v>
      </c>
      <c r="F1630" s="3" t="inlineStr">
        <is>
          <t>share of AI IT load</t>
        </is>
      </c>
      <c r="G1630" s="3" t="inlineStr">
        <is>
          <t>Derived allocation</t>
        </is>
      </c>
      <c r="H1630" s="3" t="inlineStr">
        <is>
          <t>1 - inference_power_share</t>
        </is>
      </c>
      <c r="I1630" s="3" t="inlineStr">
        <is>
          <t>Training receives the complementary modeled AI IT allocation; it is not a disclosed company workload split.</t>
        </is>
      </c>
      <c r="J1630" s="3" t="inlineStr">
        <is>
          <t>SRC_ANTHROPIC_CLAUDE_DOCS; SRC_ANTHROPIC_AMAZON_COMPUTE; SRC_AWS_RAINIER_ACTIVE; SRC_EPOCH_AI_DATA_CENTERS; ASSUMP_INFERENCE_SHARE_NOT_FACT_60</t>
        </is>
      </c>
      <c r="K1630" s="3" t="inlineStr">
        <is>
          <t>ASSUMP_POWER_RAMP; ASSUMP_CLOSED_MODEL_BAND; ASSUMP_NUMERIC_ACCELERATOR_MIX; ASSUMP_INFERENCE_SHARE_NOT_FACT_60; ASSUMP_WORKLOAD_CLASS_MIX; ASSUMP_AGENTIC_CONTEXT_PENALTY</t>
        </is>
      </c>
      <c r="L1630" s="3" t="inlineStr">
        <is>
          <t>Provider-specific inference/training workload power telemetry.</t>
        </is>
      </c>
    </row>
    <row r="1631">
      <c r="A1631" s="3" t="inlineStr">
        <is>
          <t>Anthropic</t>
        </is>
      </c>
      <c r="B1631" s="3" t="n">
        <v>2026</v>
      </c>
      <c r="C1631" s="3" t="inlineStr">
        <is>
          <t>Base</t>
        </is>
      </c>
      <c r="D1631" s="3" t="inlineStr">
        <is>
          <t>training_gw</t>
        </is>
      </c>
      <c r="E1631" s="3" t="n">
        <v>0.35</v>
      </c>
      <c r="F1631" s="3" t="inlineStr">
        <is>
          <t>GW</t>
        </is>
      </c>
      <c r="G1631" s="3" t="inlineStr">
        <is>
          <t>Derived formula</t>
        </is>
      </c>
      <c r="H1631" s="3" t="inlineStr">
        <is>
          <t>ai_it_load_gw * training_power_share</t>
        </is>
      </c>
      <c r="I1631" s="3" t="inlineStr">
        <is>
          <t>Training GW is shown separately so commercial inference token capacity is not overstated.</t>
        </is>
      </c>
      <c r="J1631" s="3" t="inlineStr">
        <is>
          <t>SRC_ANTHROPIC_CLAUDE_DOCS; SRC_ANTHROPIC_AMAZON_COMPUTE; SRC_AWS_RAINIER_ACTIVE; SRC_EPOCH_AI_DATA_CENTERS</t>
        </is>
      </c>
      <c r="K1631" s="3" t="inlineStr">
        <is>
          <t>ASSUMP_POWER_RAMP; ASSUMP_CLOSED_MODEL_BAND; ASSUMP_NUMERIC_ACCELERATOR_MIX; ASSUMP_INFERENCE_SHARE_NOT_FACT_60; ASSUMP_WORKLOAD_CLASS_MIX; ASSUMP_AGENTIC_CONTEXT_PENALTY</t>
        </is>
      </c>
      <c r="L1631" s="3" t="inlineStr">
        <is>
          <t>Recompute after AI allocation or workload-split evidence changes.</t>
        </is>
      </c>
    </row>
    <row r="1632">
      <c r="A1632" s="3" t="inlineStr">
        <is>
          <t>Anthropic</t>
        </is>
      </c>
      <c r="B1632" s="3" t="n">
        <v>2026</v>
      </c>
      <c r="C1632" s="3" t="inlineStr">
        <is>
          <t>Base</t>
        </is>
      </c>
      <c r="D1632" s="3" t="inlineStr">
        <is>
          <t>tokens_per_second_per_mw</t>
        </is>
      </c>
      <c r="E1632" s="3" t="n">
        <v>122386</v>
      </c>
      <c r="F1632" s="3" t="inlineStr">
        <is>
          <t>generated output tokens/sec/MW</t>
        </is>
      </c>
      <c r="G1632" s="3" t="inlineStr">
        <is>
          <t>Derived estimate + benchmark calibration</t>
        </is>
      </c>
      <c r="H1632" s="3" t="inlineStr">
        <is>
          <t>fleet_reference_tps_per_mw * commercial_workload_fit_factor</t>
        </is>
      </c>
      <c r="I163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32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632" s="3" t="inlineStr">
        <is>
          <t>ASSUMP_POWER_RAMP; ASSUMP_CLOSED_MODEL_BAND; ASSUMP_NUMERIC_ACCELERATOR_MIX; ASSUMP_INFERENCE_SHARE_NOT_FACT_60; ASSUMP_WORKLOAD_CLASS_MIX; ASSUMP_AGENTIC_CONTEXT_PENALTY</t>
        </is>
      </c>
      <c r="L1632" s="3" t="inlineStr">
        <is>
          <t>Comparable production output-token throughput with model, hardware, precision, ISL/OSL and SLO matched.</t>
        </is>
      </c>
    </row>
    <row r="1633">
      <c r="A1633" s="3" t="inlineStr">
        <is>
          <t>Anthropic</t>
        </is>
      </c>
      <c r="B1633" s="3" t="n">
        <v>2026</v>
      </c>
      <c r="C1633" s="3" t="inlineStr">
        <is>
          <t>Base</t>
        </is>
      </c>
      <c r="D1633" s="3" t="inlineStr">
        <is>
          <t>inference_tokens_per_day</t>
        </is>
      </c>
      <c r="E1633" s="3" t="n">
        <v>4007603001600</v>
      </c>
      <c r="F1633" s="3" t="inlineStr">
        <is>
          <t>generated output tokens/day</t>
        </is>
      </c>
      <c r="G1633" s="3" t="inlineStr">
        <is>
          <t>Derived headline metric</t>
        </is>
      </c>
      <c r="H1633" s="3" t="inlineStr">
        <is>
          <t>inference_gw * 1000 * tokens_per_second_per_mw * 86,400</t>
        </is>
      </c>
      <c r="I1633" s="3" t="inlineStr">
        <is>
          <t>Headline capacity uses no utilization, MoE, architecture or software-growth multiplier; it is not observed commercial output volume.</t>
        </is>
      </c>
      <c r="J1633" s="3" t="inlineStr">
        <is>
          <t>SRC_ANTHROPIC_CLAUDE_DOCS; SRC_ANTHROPIC_AMAZON_COMPUTE; SRC_AWS_RAINIER_ACTIVE; SRC_EPOCH_AI_DATA_CENTERS; SRC_SEMIANALYSIS_INFERENCEX</t>
        </is>
      </c>
      <c r="K1633" s="3" t="inlineStr">
        <is>
          <t>ASSUMP_POWER_RAMP; ASSUMP_CLOSED_MODEL_BAND; ASSUMP_NUMERIC_ACCELERATOR_MIX; ASSUMP_INFERENCE_SHARE_NOT_FACT_60; ASSUMP_WORKLOAD_CLASS_MIX; ASSUMP_AGENTIC_CONTEXT_PENALTY</t>
        </is>
      </c>
      <c r="L1633" s="3" t="inlineStr">
        <is>
          <t>Provider-disclosed generated output token volume or calibrated capacity telemetry.</t>
        </is>
      </c>
    </row>
    <row r="1634">
      <c r="A1634" s="3" t="inlineStr">
        <is>
          <t>Anthropic</t>
        </is>
      </c>
      <c r="B1634" s="3" t="n">
        <v>2026</v>
      </c>
      <c r="C1634" s="3" t="inlineStr">
        <is>
          <t>Base</t>
        </is>
      </c>
      <c r="D1634" s="3" t="inlineStr">
        <is>
          <t>inference_tokens_per_year</t>
        </is>
      </c>
      <c r="E1634" s="3" t="n">
        <v>1462775095584000</v>
      </c>
      <c r="F1634" s="3" t="inlineStr">
        <is>
          <t>generated output tokens/year</t>
        </is>
      </c>
      <c r="G1634" s="3" t="inlineStr">
        <is>
          <t>Derived headline metric</t>
        </is>
      </c>
      <c r="H1634" s="3" t="inlineStr">
        <is>
          <t>inference_tokens_per_day * 365</t>
        </is>
      </c>
      <c r="I1634" s="3" t="inlineStr">
        <is>
          <t>Annualized version of generated output token capacity; it is not observed annual demand or billable volume.</t>
        </is>
      </c>
      <c r="J1634" s="3" t="inlineStr">
        <is>
          <t>SRC_ANTHROPIC_CLAUDE_DOCS; SRC_ANTHROPIC_AMAZON_COMPUTE; SRC_AWS_RAINIER_ACTIVE; SRC_EPOCH_AI_DATA_CENTERS; SRC_SEMIANALYSIS_INFERENCEX</t>
        </is>
      </c>
      <c r="K1634" s="3" t="inlineStr">
        <is>
          <t>ASSUMP_POWER_RAMP; ASSUMP_CLOSED_MODEL_BAND; ASSUMP_NUMERIC_ACCELERATOR_MIX; ASSUMP_INFERENCE_SHARE_NOT_FACT_60; ASSUMP_WORKLOAD_CLASS_MIX; ASSUMP_AGENTIC_CONTEXT_PENALTY</t>
        </is>
      </c>
      <c r="L1634" s="3" t="inlineStr">
        <is>
          <t>Provider-disclosed annual generated-output volume or metered serving telemetry.</t>
        </is>
      </c>
    </row>
    <row r="1635">
      <c r="A1635" s="3" t="inlineStr">
        <is>
          <t>Anthropic</t>
        </is>
      </c>
      <c r="B1635" s="3" t="n">
        <v>2027</v>
      </c>
      <c r="C1635" s="3" t="inlineStr">
        <is>
          <t>Base</t>
        </is>
      </c>
      <c r="D1635" s="3" t="inlineStr">
        <is>
          <t>contracted_power_gw</t>
        </is>
      </c>
      <c r="E1635" s="3" t="n">
        <v>4.375</v>
      </c>
      <c r="F1635" s="3" t="inlineStr">
        <is>
          <t>GW</t>
        </is>
      </c>
      <c r="G1635" s="3" t="inlineStr">
        <is>
          <t>Fact anchor + scenario ceiling</t>
        </is>
      </c>
      <c r="H1635" s="3" t="inlineStr">
        <is>
          <t>linear interpolation between 2026 and 2030 company capacity endpoints</t>
        </is>
      </c>
      <c r="I1635" s="3" t="inlineStr">
        <is>
          <t>Hosted capacity envelope is anchored by Anthropic/AWS Project Rainier direction; it is attributed to Claude outputs, not AWS as a model owner.</t>
        </is>
      </c>
      <c r="J1635" s="3" t="inlineStr">
        <is>
          <t>SRC_ANTHROPIC_AMAZON_COMPUTE; SRC_AWS_RAINIER_ACTIVE; ASSUMP_POWER_RAMP</t>
        </is>
      </c>
      <c r="K1635" s="3" t="inlineStr">
        <is>
          <t>ASSUMP_POWER_RAMP; ASSUMP_CLOSED_MODEL_BAND; ASSUMP_NUMERIC_ACCELERATOR_MIX; ASSUMP_INFERENCE_SHARE_NOT_FACT_60; ASSUMP_WORKLOAD_CLASS_MIX; ASSUMP_AGENTIC_CONTEXT_PENALTY</t>
        </is>
      </c>
      <c r="L1635" s="3" t="inlineStr">
        <is>
          <t>Company/site-level committed MW/GW, interconnect and contract disclosure.</t>
        </is>
      </c>
    </row>
    <row r="1636">
      <c r="A1636" s="3" t="inlineStr">
        <is>
          <t>Anthropic</t>
        </is>
      </c>
      <c r="B1636" s="3" t="n">
        <v>2027</v>
      </c>
      <c r="C1636" s="3" t="inlineStr">
        <is>
          <t>Base</t>
        </is>
      </c>
      <c r="D1636" s="3" t="inlineStr">
        <is>
          <t>operational_deployment_share</t>
        </is>
      </c>
      <c r="E1636" s="3" t="n">
        <v>0.48571429</v>
      </c>
      <c r="F1636" s="3" t="inlineStr">
        <is>
          <t>share</t>
        </is>
      </c>
      <c r="G1636" s="3" t="inlineStr">
        <is>
          <t>Scenario conversion</t>
        </is>
      </c>
      <c r="H1636" s="3" t="inlineStr">
        <is>
          <t>active_power_gw / contracted_power_gw</t>
        </is>
      </c>
      <c r="I1636" s="3" t="inlineStr">
        <is>
          <t>This is the single explicit conversion from contracted/attributed capacity to operationally usable capacity.</t>
        </is>
      </c>
      <c r="J1636" s="3" t="inlineStr">
        <is>
          <t>SRC_ANTHROPIC_AMAZON_COMPUTE; SRC_AWS_RAINIER_ACTIVE; ASSUMP_POWER_RAMP</t>
        </is>
      </c>
      <c r="K1636" s="3" t="inlineStr">
        <is>
          <t>ASSUMP_POWER_RAMP; ASSUMP_CLOSED_MODEL_BAND; ASSUMP_NUMERIC_ACCELERATOR_MIX; ASSUMP_INFERENCE_SHARE_NOT_FACT_60; ASSUMP_WORKLOAD_CLASS_MIX; ASSUMP_AGENTIC_CONTEXT_PENALTY</t>
        </is>
      </c>
      <c r="L1636" s="3" t="inlineStr">
        <is>
          <t>Energized operational capacity divided by contracted/attributed capacity.</t>
        </is>
      </c>
    </row>
    <row r="1637">
      <c r="A1637" s="3" t="inlineStr">
        <is>
          <t>Anthropic</t>
        </is>
      </c>
      <c r="B1637" s="3" t="n">
        <v>2027</v>
      </c>
      <c r="C1637" s="3" t="inlineStr">
        <is>
          <t>Base</t>
        </is>
      </c>
      <c r="D1637" s="3" t="inlineStr">
        <is>
          <t>active_power_gw</t>
        </is>
      </c>
      <c r="E1637" s="3" t="n">
        <v>2.125</v>
      </c>
      <c r="F1637" s="3" t="inlineStr">
        <is>
          <t>GW</t>
        </is>
      </c>
      <c r="G1637" s="3" t="inlineStr">
        <is>
          <t>Derived scenario</t>
        </is>
      </c>
      <c r="H1637" s="3" t="inlineStr">
        <is>
          <t>contracted_power_gw * operational_deployment_share</t>
        </is>
      </c>
      <c r="I1637" s="3" t="inlineStr">
        <is>
          <t>Trainium cluster activation supports staged active ramp; Claude inference-versus-training use remains estimated.</t>
        </is>
      </c>
      <c r="J1637" s="3" t="inlineStr">
        <is>
          <t>SRC_ANTHROPIC_AMAZON_COMPUTE; SRC_AWS_RAINIER_ACTIVE; ASSUMP_POWER_RAMP</t>
        </is>
      </c>
      <c r="K1637" s="3" t="inlineStr">
        <is>
          <t>ASSUMP_POWER_RAMP; ASSUMP_CLOSED_MODEL_BAND; ASSUMP_NUMERIC_ACCELERATOR_MIX; ASSUMP_INFERENCE_SHARE_NOT_FACT_60; ASSUMP_WORKLOAD_CLASS_MIX; ASSUMP_AGENTIC_CONTEXT_PENALTY</t>
        </is>
      </c>
      <c r="L1637" s="3" t="inlineStr">
        <is>
          <t>Energization dates, accelerator deliveries and operational powered-rack telemetry.</t>
        </is>
      </c>
    </row>
    <row r="1638">
      <c r="A1638" s="3" t="inlineStr">
        <is>
          <t>Anthropic</t>
        </is>
      </c>
      <c r="B1638" s="3" t="n">
        <v>2027</v>
      </c>
      <c r="C1638" s="3" t="inlineStr">
        <is>
          <t>Base</t>
        </is>
      </c>
      <c r="D1638" s="3" t="inlineStr">
        <is>
          <t>pue</t>
        </is>
      </c>
      <c r="E1638" s="3" t="n">
        <v>1.18</v>
      </c>
      <c r="F1638" s="3" t="inlineStr">
        <is>
          <t>ratio</t>
        </is>
      </c>
      <c r="G1638" s="3" t="inlineStr">
        <is>
          <t>Scenario parameter</t>
        </is>
      </c>
      <c r="H1638" s="3" t="inlineStr">
        <is>
          <t>it_load_gw = active_power_gw / pue</t>
        </is>
      </c>
      <c r="I1638" s="3" t="inlineStr">
        <is>
          <t>No provider-wide site-level PUE is used as a disclosed fact; PUE represents facility-to-IT conversion within the scenario.</t>
        </is>
      </c>
      <c r="J1638" s="3" t="inlineStr">
        <is>
          <t>ASSUMP_POWER_RAMP</t>
        </is>
      </c>
      <c r="K1638" s="3" t="inlineStr">
        <is>
          <t>ASSUMP_POWER_RAMP; ASSUMP_CLOSED_MODEL_BAND; ASSUMP_NUMERIC_ACCELERATOR_MIX; ASSUMP_INFERENCE_SHARE_NOT_FACT_60; ASSUMP_WORKLOAD_CLASS_MIX; ASSUMP_AGENTIC_CONTEXT_PENALTY</t>
        </is>
      </c>
      <c r="L1638" s="3" t="inlineStr">
        <is>
          <t>Site-level measured PUE matched to attributed AI capacity.</t>
        </is>
      </c>
    </row>
    <row r="1639">
      <c r="A1639" s="3" t="inlineStr">
        <is>
          <t>Anthropic</t>
        </is>
      </c>
      <c r="B1639" s="3" t="n">
        <v>2027</v>
      </c>
      <c r="C1639" s="3" t="inlineStr">
        <is>
          <t>Base</t>
        </is>
      </c>
      <c r="D1639" s="3" t="inlineStr">
        <is>
          <t>it_load_gw</t>
        </is>
      </c>
      <c r="E1639" s="3" t="n">
        <v>1.801</v>
      </c>
      <c r="F1639" s="3" t="inlineStr">
        <is>
          <t>GW</t>
        </is>
      </c>
      <c r="G1639" s="3" t="inlineStr">
        <is>
          <t>Derived formula</t>
        </is>
      </c>
      <c r="H1639" s="3" t="inlineStr">
        <is>
          <t>active_power_gw / pue</t>
        </is>
      </c>
      <c r="I1639" s="3" t="inlineStr">
        <is>
          <t>Facility power is converted to IT-deliverable power before attributing AI workloads.</t>
        </is>
      </c>
      <c r="J1639" s="3" t="inlineStr">
        <is>
          <t>SRC_ANTHROPIC_AMAZON_COMPUTE; SRC_AWS_RAINIER_ACTIVE; ASSUMP_POWER_RAMP</t>
        </is>
      </c>
      <c r="K1639" s="3" t="inlineStr">
        <is>
          <t>ASSUMP_POWER_RAMP; ASSUMP_CLOSED_MODEL_BAND; ASSUMP_NUMERIC_ACCELERATOR_MIX; ASSUMP_INFERENCE_SHARE_NOT_FACT_60; ASSUMP_WORKLOAD_CLASS_MIX; ASSUMP_AGENTIC_CONTEXT_PENALTY</t>
        </is>
      </c>
      <c r="L1639" s="3" t="inlineStr">
        <is>
          <t>Recompute once active power and PUE become site-observable.</t>
        </is>
      </c>
    </row>
    <row r="1640">
      <c r="A1640" s="3" t="inlineStr">
        <is>
          <t>Anthropic</t>
        </is>
      </c>
      <c r="B1640" s="3" t="n">
        <v>2027</v>
      </c>
      <c r="C1640" s="3" t="inlineStr">
        <is>
          <t>Base</t>
        </is>
      </c>
      <c r="D1640" s="3" t="inlineStr">
        <is>
          <t>ai_workload_share</t>
        </is>
      </c>
      <c r="E1640" s="3" t="n">
        <v>0.86</v>
      </c>
      <c r="F1640" s="3" t="inlineStr">
        <is>
          <t>share</t>
        </is>
      </c>
      <c r="G1640" s="3" t="inlineStr">
        <is>
          <t>Scenario allocation</t>
        </is>
      </c>
      <c r="H1640" s="3" t="inlineStr">
        <is>
          <t>ai_it_load_gw = it_load_gw * ai_workload_share</t>
        </is>
      </c>
      <c r="I1640" s="3" t="inlineStr">
        <is>
          <t>Anthropic-directed hosted capacity is predominantly AI; 86% excludes platform, reserve and non-serving allocation.</t>
        </is>
      </c>
      <c r="J1640" s="3" t="inlineStr">
        <is>
          <t>SRC_ANTHROPIC_CLAUDE_DOCS; SRC_ANTHROPIC_AMAZON_COMPUTE; SRC_AWS_RAINIER_ACTIVE; SRC_EPOCH_AI_DATA_CENTERS</t>
        </is>
      </c>
      <c r="K1640" s="3" t="inlineStr">
        <is>
          <t>ASSUMP_POWER_RAMP; ASSUMP_CLOSED_MODEL_BAND; ASSUMP_NUMERIC_ACCELERATOR_MIX; ASSUMP_INFERENCE_SHARE_NOT_FACT_60; ASSUMP_WORKLOAD_CLASS_MIX; ASSUMP_AGENTIC_CONTEXT_PENALTY</t>
        </is>
      </c>
      <c r="L1640" s="3" t="inlineStr">
        <is>
          <t>Model-owner AI workload allocation or cluster scheduling telemetry.</t>
        </is>
      </c>
    </row>
    <row r="1641">
      <c r="A1641" s="3" t="inlineStr">
        <is>
          <t>Anthropic</t>
        </is>
      </c>
      <c r="B1641" s="3" t="n">
        <v>2027</v>
      </c>
      <c r="C1641" s="3" t="inlineStr">
        <is>
          <t>Base</t>
        </is>
      </c>
      <c r="D1641" s="3" t="inlineStr">
        <is>
          <t>ai_it_load_gw</t>
        </is>
      </c>
      <c r="E1641" s="3" t="n">
        <v>1.549</v>
      </c>
      <c r="F1641" s="3" t="inlineStr">
        <is>
          <t>GW</t>
        </is>
      </c>
      <c r="G1641" s="3" t="inlineStr">
        <is>
          <t>Derived formula</t>
        </is>
      </c>
      <c r="H1641" s="3" t="inlineStr">
        <is>
          <t>it_load_gw * ai_workload_share</t>
        </is>
      </c>
      <c r="I1641" s="3" t="inlineStr">
        <is>
          <t>Only the AI-attributed portion of IT load enters training/inference allocation.</t>
        </is>
      </c>
      <c r="J1641" s="3" t="inlineStr">
        <is>
          <t>SRC_ANTHROPIC_CLAUDE_DOCS; SRC_ANTHROPIC_AMAZON_COMPUTE; SRC_AWS_RAINIER_ACTIVE; SRC_EPOCH_AI_DATA_CENTERS</t>
        </is>
      </c>
      <c r="K1641" s="3" t="inlineStr">
        <is>
          <t>ASSUMP_POWER_RAMP; ASSUMP_CLOSED_MODEL_BAND; ASSUMP_NUMERIC_ACCELERATOR_MIX; ASSUMP_INFERENCE_SHARE_NOT_FACT_60; ASSUMP_WORKLOAD_CLASS_MIX; ASSUMP_AGENTIC_CONTEXT_PENALTY</t>
        </is>
      </c>
      <c r="L1641" s="3" t="inlineStr">
        <is>
          <t>Recompute after ai_workload_share is replaced by telemetry.</t>
        </is>
      </c>
    </row>
    <row r="1642">
      <c r="A1642" s="3" t="inlineStr">
        <is>
          <t>Anthropic</t>
        </is>
      </c>
      <c r="B1642" s="3" t="n">
        <v>2027</v>
      </c>
      <c r="C1642" s="3" t="inlineStr">
        <is>
          <t>Base</t>
        </is>
      </c>
      <c r="D1642" s="3" t="inlineStr">
        <is>
          <t>gpu_share</t>
        </is>
      </c>
      <c r="E1642" s="3" t="n">
        <v>0.335957</v>
      </c>
      <c r="F1642" s="3" t="inlineStr">
        <is>
          <t>share of inference-serving accelerator load</t>
        </is>
      </c>
      <c r="G1642" s="3" t="inlineStr">
        <is>
          <t>Numeric scenario</t>
        </is>
      </c>
      <c r="H1642" s="3" t="inlineStr">
        <is>
          <t>gpu_share interpolated from company 2026/2030 accelerator-mix endpoints</t>
        </is>
      </c>
      <c r="I1642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42" s="3" t="inlineStr">
        <is>
          <t>SRC_ANTHROPIC_CLAUDE_DOCS; SRC_ANTHROPIC_AMAZON_COMPUTE; SRC_AWS_RAINIER_ACTIVE; SRC_EPOCH_AI_DATA_CENTERS; ASSUMP_NUMERIC_ACCELERATOR_MIX</t>
        </is>
      </c>
      <c r="K1642" s="3" t="inlineStr">
        <is>
          <t>ASSUMP_POWER_RAMP; ASSUMP_CLOSED_MODEL_BAND; ASSUMP_NUMERIC_ACCELERATOR_MIX; ASSUMP_INFERENCE_SHARE_NOT_FACT_60; ASSUMP_WORKLOAD_CLASS_MIX; ASSUMP_AGENTIC_CONTEXT_PENALTY</t>
        </is>
      </c>
      <c r="L1642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43">
      <c r="A1643" s="3" t="inlineStr">
        <is>
          <t>Anthropic</t>
        </is>
      </c>
      <c r="B1643" s="3" t="n">
        <v>2027</v>
      </c>
      <c r="C1643" s="3" t="inlineStr">
        <is>
          <t>Base</t>
        </is>
      </c>
      <c r="D1643" s="3" t="inlineStr">
        <is>
          <t>h200_share</t>
        </is>
      </c>
      <c r="E1643" s="3" t="n">
        <v>0.128806</v>
      </c>
      <c r="F1643" s="3" t="inlineStr">
        <is>
          <t>share of inference-serving accelerator load</t>
        </is>
      </c>
      <c r="G1643" s="3" t="inlineStr">
        <is>
          <t>Editable numeric scenario</t>
        </is>
      </c>
      <c r="H1643" s="3" t="inlineStr">
        <is>
          <t>h200_share = gpu_share * default_gpu_generation_mix_h200</t>
        </is>
      </c>
      <c r="I1643" s="3" t="inlineStr">
        <is>
          <t>Default GPU-generation migration assumption; executive workbook allows later manual replacement by company/year/scenario.</t>
        </is>
      </c>
      <c r="J1643" s="3" t="inlineStr">
        <is>
          <t>SRC_SEMIANALYSIS_INFERENCEX; ASSUMP_NUMERIC_ACCELERATOR_MIX</t>
        </is>
      </c>
      <c r="K1643" s="3" t="inlineStr">
        <is>
          <t>ASSUMP_POWER_RAMP; ASSUMP_CLOSED_MODEL_BAND; ASSUMP_NUMERIC_ACCELERATOR_MIX; ASSUMP_INFERENCE_SHARE_NOT_FACT_60; ASSUMP_WORKLOAD_CLASS_MIX; ASSUMP_AGENTIC_CONTEXT_PENALTY</t>
        </is>
      </c>
      <c r="L1643" s="3" t="inlineStr">
        <is>
          <t>Company fleet inventory, accelerator-hours or procurement/deployment records by GPU generation.</t>
        </is>
      </c>
    </row>
    <row r="1644">
      <c r="A1644" s="3" t="inlineStr">
        <is>
          <t>Anthropic</t>
        </is>
      </c>
      <c r="B1644" s="3" t="n">
        <v>2027</v>
      </c>
      <c r="C1644" s="3" t="inlineStr">
        <is>
          <t>Base</t>
        </is>
      </c>
      <c r="D1644" s="3" t="inlineStr">
        <is>
          <t>b200_share</t>
        </is>
      </c>
      <c r="E1644" s="3" t="n">
        <v>0.207151</v>
      </c>
      <c r="F1644" s="3" t="inlineStr">
        <is>
          <t>share of inference-serving accelerator load</t>
        </is>
      </c>
      <c r="G1644" s="3" t="inlineStr">
        <is>
          <t>Editable numeric scenario</t>
        </is>
      </c>
      <c r="H1644" s="3" t="inlineStr">
        <is>
          <t>b200_share = gpu_share * default_gpu_generation_mix_b200</t>
        </is>
      </c>
      <c r="I1644" s="3" t="inlineStr">
        <is>
          <t>Default GPU-generation migration assumption; executive workbook allows later manual replacement by company/year/scenario.</t>
        </is>
      </c>
      <c r="J1644" s="3" t="inlineStr">
        <is>
          <t>SRC_SEMIANALYSIS_INFERENCEX; ASSUMP_NUMERIC_ACCELERATOR_MIX</t>
        </is>
      </c>
      <c r="K1644" s="3" t="inlineStr">
        <is>
          <t>ASSUMP_POWER_RAMP; ASSUMP_CLOSED_MODEL_BAND; ASSUMP_NUMERIC_ACCELERATOR_MIX; ASSUMP_INFERENCE_SHARE_NOT_FACT_60; ASSUMP_WORKLOAD_CLASS_MIX; ASSUMP_AGENTIC_CONTEXT_PENALTY</t>
        </is>
      </c>
      <c r="L1644" s="3" t="inlineStr">
        <is>
          <t>Company fleet inventory, accelerator-hours or procurement/deployment records by GPU generation.</t>
        </is>
      </c>
    </row>
    <row r="1645">
      <c r="A1645" s="3" t="inlineStr">
        <is>
          <t>Anthropic</t>
        </is>
      </c>
      <c r="B1645" s="3" t="n">
        <v>2027</v>
      </c>
      <c r="C1645" s="3" t="inlineStr">
        <is>
          <t>Base</t>
        </is>
      </c>
      <c r="D1645" s="3" t="inlineStr">
        <is>
          <t>gb200_share</t>
        </is>
      </c>
      <c r="E1645" s="3" t="n">
        <v>0</v>
      </c>
      <c r="F1645" s="3" t="inlineStr">
        <is>
          <t>share of inference-serving accelerator load</t>
        </is>
      </c>
      <c r="G1645" s="3" t="inlineStr">
        <is>
          <t>Editable numeric scenario</t>
        </is>
      </c>
      <c r="H1645" s="3" t="inlineStr">
        <is>
          <t>gb200_share = gpu_share * default_gpu_generation_mix_gb200</t>
        </is>
      </c>
      <c r="I1645" s="3" t="inlineStr">
        <is>
          <t>Default GPU-generation migration assumption; executive workbook allows later manual replacement by company/year/scenario.</t>
        </is>
      </c>
      <c r="J1645" s="3" t="inlineStr">
        <is>
          <t>SRC_SEMIANALYSIS_INFERENCEX; ASSUMP_NUMERIC_ACCELERATOR_MIX</t>
        </is>
      </c>
      <c r="K1645" s="3" t="inlineStr">
        <is>
          <t>ASSUMP_POWER_RAMP; ASSUMP_CLOSED_MODEL_BAND; ASSUMP_NUMERIC_ACCELERATOR_MIX; ASSUMP_INFERENCE_SHARE_NOT_FACT_60; ASSUMP_WORKLOAD_CLASS_MIX; ASSUMP_AGENTIC_CONTEXT_PENALTY</t>
        </is>
      </c>
      <c r="L1645" s="3" t="inlineStr">
        <is>
          <t>Company fleet inventory, accelerator-hours or procurement/deployment records by GPU generation.</t>
        </is>
      </c>
    </row>
    <row r="1646">
      <c r="A1646" s="3" t="inlineStr">
        <is>
          <t>Anthropic</t>
        </is>
      </c>
      <c r="B1646" s="3" t="n">
        <v>2027</v>
      </c>
      <c r="C1646" s="3" t="inlineStr">
        <is>
          <t>Base</t>
        </is>
      </c>
      <c r="D1646" s="3" t="inlineStr">
        <is>
          <t>purpose_built_accelerator_share</t>
        </is>
      </c>
      <c r="E1646" s="3" t="n">
        <v>0.664043</v>
      </c>
      <c r="F1646" s="3" t="inlineStr">
        <is>
          <t>share of inference-serving accelerator load</t>
        </is>
      </c>
      <c r="G1646" s="3" t="inlineStr">
        <is>
          <t>Numeric scenario</t>
        </is>
      </c>
      <c r="H1646" s="3" t="inlineStr">
        <is>
          <t>1 - gpu_share</t>
        </is>
      </c>
      <c r="I1646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46" s="3" t="inlineStr">
        <is>
          <t>SRC_ANTHROPIC_CLAUDE_DOCS; SRC_ANTHROPIC_AMAZON_COMPUTE; SRC_AWS_RAINIER_ACTIVE; SRC_EPOCH_AI_DATA_CENTERS; ASSUMP_NUMERIC_ACCELERATOR_MIX</t>
        </is>
      </c>
      <c r="K1646" s="3" t="inlineStr">
        <is>
          <t>ASSUMP_POWER_RAMP; ASSUMP_CLOSED_MODEL_BAND; ASSUMP_NUMERIC_ACCELERATOR_MIX; ASSUMP_INFERENCE_SHARE_NOT_FACT_60; ASSUMP_WORKLOAD_CLASS_MIX; ASSUMP_AGENTIC_CONTEXT_PENALTY</t>
        </is>
      </c>
      <c r="L1646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47">
      <c r="A1647" s="3" t="inlineStr">
        <is>
          <t>Anthropic</t>
        </is>
      </c>
      <c r="B1647" s="3" t="n">
        <v>2027</v>
      </c>
      <c r="C1647" s="3" t="inlineStr">
        <is>
          <t>Base</t>
        </is>
      </c>
      <c r="D1647" s="3" t="inlineStr">
        <is>
          <t>fleet_reference_tps_per_mw</t>
        </is>
      </c>
      <c r="E1647" s="3" t="n">
        <v>236603</v>
      </c>
      <c r="F1647" s="3" t="inlineStr">
        <is>
          <t>generated output tokens/sec/MW</t>
        </is>
      </c>
      <c r="G1647" s="3" t="inlineStr">
        <is>
          <t>Fleet-weighted public benchmark reference</t>
        </is>
      </c>
      <c r="H1647" s="3" t="inlineStr">
        <is>
          <t>h200_share*h200_workload_avg + b200_share*b200_workload_avg + gb200_share*gb200_workload_avg + purpose_built_share*purpose_workload_avg</t>
        </is>
      </c>
      <c r="I164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47" s="3" t="inlineStr">
        <is>
          <t>SRC_SEMIANALYSIS_INFERENCEX; ASSUMP_NUMERIC_ACCELERATOR_MIX; ASSUMP_WORKLOAD_CLASS_MIX; ASSUMP_AGENTIC_CONTEXT_PENALTY</t>
        </is>
      </c>
      <c r="K1647" s="3" t="inlineStr">
        <is>
          <t>ASSUMP_POWER_RAMP; ASSUMP_CLOSED_MODEL_BAND; ASSUMP_NUMERIC_ACCELERATOR_MIX; ASSUMP_INFERENCE_SHARE_NOT_FACT_60; ASSUMP_WORKLOAD_CLASS_MIX; ASSUMP_AGENTIC_CONTEXT_PENALTY</t>
        </is>
      </c>
      <c r="L1647" s="3" t="inlineStr">
        <is>
          <t>Comparable production output-token throughput or a more closely matched benchmark.</t>
        </is>
      </c>
    </row>
    <row r="1648">
      <c r="A1648" s="3" t="inlineStr">
        <is>
          <t>Anthropic</t>
        </is>
      </c>
      <c r="B1648" s="3" t="n">
        <v>2027</v>
      </c>
      <c r="C1648" s="3" t="inlineStr">
        <is>
          <t>Base</t>
        </is>
      </c>
      <c r="D1648" s="3" t="inlineStr">
        <is>
          <t>commercial_workload_fit_factor</t>
        </is>
      </c>
      <c r="E1648" s="3" t="n">
        <v>0.5</v>
      </c>
      <c r="F1648" s="3" t="inlineStr">
        <is>
          <t>share of public reference throughput</t>
        </is>
      </c>
      <c r="G1648" s="3" t="inlineStr">
        <is>
          <t>Scenario assumption</t>
        </is>
      </c>
      <c r="H1648" s="3" t="inlineStr">
        <is>
          <t>reference_serving_tps_per_mw = fleet_reference_tps_per_mw * commercial_workload_fit_factor</t>
        </is>
      </c>
      <c r="I164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48" s="3" t="inlineStr">
        <is>
          <t>SRC_SEMIANALYSIS_INFERENCEX; ASSUMP_NUMERIC_ACCELERATOR_MIX; ASSUMP_WORKLOAD_CLASS_MIX; ASSUMP_AGENTIC_CONTEXT_PENALTY</t>
        </is>
      </c>
      <c r="K1648" s="3" t="inlineStr">
        <is>
          <t>ASSUMP_POWER_RAMP; ASSUMP_CLOSED_MODEL_BAND; ASSUMP_NUMERIC_ACCELERATOR_MIX; ASSUMP_INFERENCE_SHARE_NOT_FACT_60; ASSUMP_WORKLOAD_CLASS_MIX; ASSUMP_AGENTIC_CONTEXT_PENALTY</t>
        </is>
      </c>
      <c r="L1648" s="3" t="inlineStr">
        <is>
          <t>Matched commercial serving benchmark by product surface, context shape and latency SLO.</t>
        </is>
      </c>
    </row>
    <row r="1649">
      <c r="A1649" s="3" t="inlineStr">
        <is>
          <t>Anthropic</t>
        </is>
      </c>
      <c r="B1649" s="3" t="n">
        <v>2027</v>
      </c>
      <c r="C1649" s="3" t="inlineStr">
        <is>
          <t>Base</t>
        </is>
      </c>
      <c r="D1649" s="3" t="inlineStr">
        <is>
          <t>reference_serving_tps_per_mw</t>
        </is>
      </c>
      <c r="E1649" s="3" t="n">
        <v>118302</v>
      </c>
      <c r="F1649" s="3" t="inlineStr">
        <is>
          <t>generated output tokens/sec/MW</t>
        </is>
      </c>
      <c r="G1649" s="3" t="inlineStr">
        <is>
          <t>Workload-adjusted benchmark proxy</t>
        </is>
      </c>
      <c r="H1649" s="3" t="inlineStr">
        <is>
          <t>fleet_reference_tps_per_mw * commercial_workload_fit_factor</t>
        </is>
      </c>
      <c r="I1649" s="3" t="inlineStr">
        <is>
          <t>This is the coefficient used for headline token generation; each GPU's short chat, long chat and agentic TPS/MW are weighted before fleet mix and commercial fit are applied.</t>
        </is>
      </c>
      <c r="J1649" s="3" t="inlineStr">
        <is>
          <t>SRC_SEMIANALYSIS_INFERENCEX; ASSUMP_NUMERIC_ACCELERATOR_MIX; ASSUMP_WORKLOAD_CLASS_MIX; ASSUMP_AGENTIC_CONTEXT_PENALTY</t>
        </is>
      </c>
      <c r="K1649" s="3" t="inlineStr">
        <is>
          <t>ASSUMP_POWER_RAMP; ASSUMP_CLOSED_MODEL_BAND; ASSUMP_NUMERIC_ACCELERATOR_MIX; ASSUMP_INFERENCE_SHARE_NOT_FACT_60; ASSUMP_WORKLOAD_CLASS_MIX; ASSUMP_AGENTIC_CONTEXT_PENALTY</t>
        </is>
      </c>
      <c r="L1649" s="3" t="inlineStr">
        <is>
          <t>Provider production output-token throughput with comparable workload/SLO.</t>
        </is>
      </c>
    </row>
    <row r="1650">
      <c r="A1650" s="3" t="inlineStr">
        <is>
          <t>Anthropic</t>
        </is>
      </c>
      <c r="B1650" s="3" t="n">
        <v>2027</v>
      </c>
      <c r="C1650" s="3" t="inlineStr">
        <is>
          <t>Base</t>
        </is>
      </c>
      <c r="D1650" s="3" t="inlineStr">
        <is>
          <t>purpose_built_tps_per_mw</t>
        </is>
      </c>
      <c r="E1650" s="3" t="n">
        <v>67653</v>
      </c>
      <c r="F1650" s="3" t="inlineStr">
        <is>
          <t>generated output tokens/sec/MW</t>
        </is>
      </c>
      <c r="G1650" s="3" t="inlineStr">
        <is>
          <t>Conservative no-uplift proxy</t>
        </is>
      </c>
      <c r="H1650" s="3" t="inlineStr">
        <is>
          <t>purpose_built_tps_per_mw = purpose_built_reference_tps_per_mw * commercial_workload_fit_factor until comparable output-token benchmark is adopted</t>
        </is>
      </c>
      <c r="I1650" s="3" t="inlineStr">
        <is>
          <t>No comparable public output-token/MW row adopted; B200 public reference placeholder is used and remains editable.</t>
        </is>
      </c>
      <c r="J1650" s="3" t="inlineStr">
        <is>
          <t>SRC_ANTHROPIC_CLAUDE_DOCS; SRC_ANTHROPIC_AMAZON_COMPUTE; SRC_AWS_RAINIER_ACTIVE; SRC_EPOCH_AI_DATA_CENTERS; ASSUMP_NUMERIC_ACCELERATOR_MIX</t>
        </is>
      </c>
      <c r="K1650" s="3" t="inlineStr">
        <is>
          <t>ASSUMP_POWER_RAMP; ASSUMP_CLOSED_MODEL_BAND; ASSUMP_NUMERIC_ACCELERATOR_MIX; ASSUMP_INFERENCE_SHARE_NOT_FACT_60; ASSUMP_WORKLOAD_CLASS_MIX; ASSUMP_AGENTIC_CONTEXT_PENALTY</t>
        </is>
      </c>
      <c r="L1650" s="3" t="inlineStr">
        <is>
          <t>Matched-workload generated-output benchmark for the provider purpose-built accelerator.</t>
        </is>
      </c>
    </row>
    <row r="1651">
      <c r="A1651" s="3" t="inlineStr">
        <is>
          <t>Anthropic</t>
        </is>
      </c>
      <c r="B1651" s="3" t="n">
        <v>2027</v>
      </c>
      <c r="C1651" s="3" t="inlineStr">
        <is>
          <t>Base</t>
        </is>
      </c>
      <c r="D1651" s="3" t="inlineStr">
        <is>
          <t>inference_power_share</t>
        </is>
      </c>
      <c r="E1651" s="3" t="n">
        <v>0.575</v>
      </c>
      <c r="F1651" s="3" t="inlineStr">
        <is>
          <t>share of AI IT load</t>
        </is>
      </c>
      <c r="G1651" s="3" t="inlineStr">
        <is>
          <t>Scenario allocation</t>
        </is>
      </c>
      <c r="H1651" s="3" t="inlineStr">
        <is>
          <t>inference_gw = ai_it_load_gw * inference_power_share</t>
        </is>
      </c>
      <c r="I1651" s="3" t="inlineStr">
        <is>
          <t>Claude API/product growth supports a rising inference share, while continued model training prevents full conversion.</t>
        </is>
      </c>
      <c r="J1651" s="3" t="inlineStr">
        <is>
          <t>SRC_ANTHROPIC_CLAUDE_DOCS; SRC_ANTHROPIC_AMAZON_COMPUTE; SRC_AWS_RAINIER_ACTIVE; SRC_EPOCH_AI_DATA_CENTERS; ASSUMP_INFERENCE_SHARE_NOT_FACT_60</t>
        </is>
      </c>
      <c r="K1651" s="3" t="inlineStr">
        <is>
          <t>ASSUMP_POWER_RAMP; ASSUMP_CLOSED_MODEL_BAND; ASSUMP_NUMERIC_ACCELERATOR_MIX; ASSUMP_INFERENCE_SHARE_NOT_FACT_60; ASSUMP_WORKLOAD_CLASS_MIX; ASSUMP_AGENTIC_CONTEXT_PENALTY</t>
        </is>
      </c>
      <c r="L1651" s="3" t="inlineStr">
        <is>
          <t>Provider-specific inference/training workload power telemetry.</t>
        </is>
      </c>
    </row>
    <row r="1652">
      <c r="A1652" s="3" t="inlineStr">
        <is>
          <t>Anthropic</t>
        </is>
      </c>
      <c r="B1652" s="3" t="n">
        <v>2027</v>
      </c>
      <c r="C1652" s="3" t="inlineStr">
        <is>
          <t>Base</t>
        </is>
      </c>
      <c r="D1652" s="3" t="inlineStr">
        <is>
          <t>inference_gw</t>
        </is>
      </c>
      <c r="E1652" s="3" t="n">
        <v>0.891</v>
      </c>
      <c r="F1652" s="3" t="inlineStr">
        <is>
          <t>GW</t>
        </is>
      </c>
      <c r="G1652" s="3" t="inlineStr">
        <is>
          <t>Derived formula</t>
        </is>
      </c>
      <c r="H1652" s="3" t="inlineStr">
        <is>
          <t>ai_it_load_gw * inference_power_share</t>
        </is>
      </c>
      <c r="I1652" s="3" t="inlineStr">
        <is>
          <t>This is the operational power eligible to become commercial generated output tokens through the selected TPS/MW proxy.</t>
        </is>
      </c>
      <c r="J1652" s="3" t="inlineStr">
        <is>
          <t>SRC_ANTHROPIC_CLAUDE_DOCS; SRC_ANTHROPIC_AMAZON_COMPUTE; SRC_AWS_RAINIER_ACTIVE; SRC_EPOCH_AI_DATA_CENTERS</t>
        </is>
      </c>
      <c r="K1652" s="3" t="inlineStr">
        <is>
          <t>ASSUMP_POWER_RAMP; ASSUMP_CLOSED_MODEL_BAND; ASSUMP_NUMERIC_ACCELERATOR_MIX; ASSUMP_INFERENCE_SHARE_NOT_FACT_60; ASSUMP_WORKLOAD_CLASS_MIX; ASSUMP_AGENTIC_CONTEXT_PENALTY</t>
        </is>
      </c>
      <c r="L1652" s="3" t="inlineStr">
        <is>
          <t>Recompute after AI allocation or inference-share evidence changes.</t>
        </is>
      </c>
    </row>
    <row r="1653">
      <c r="A1653" s="3" t="inlineStr">
        <is>
          <t>Anthropic</t>
        </is>
      </c>
      <c r="B1653" s="3" t="n">
        <v>2027</v>
      </c>
      <c r="C1653" s="3" t="inlineStr">
        <is>
          <t>Base</t>
        </is>
      </c>
      <c r="D1653" s="3" t="inlineStr">
        <is>
          <t>training_power_share</t>
        </is>
      </c>
      <c r="E1653" s="3" t="n">
        <v>0.425</v>
      </c>
      <c r="F1653" s="3" t="inlineStr">
        <is>
          <t>share of AI IT load</t>
        </is>
      </c>
      <c r="G1653" s="3" t="inlineStr">
        <is>
          <t>Derived allocation</t>
        </is>
      </c>
      <c r="H1653" s="3" t="inlineStr">
        <is>
          <t>1 - inference_power_share</t>
        </is>
      </c>
      <c r="I1653" s="3" t="inlineStr">
        <is>
          <t>Training receives the complementary modeled AI IT allocation; it is not a disclosed company workload split.</t>
        </is>
      </c>
      <c r="J1653" s="3" t="inlineStr">
        <is>
          <t>SRC_ANTHROPIC_CLAUDE_DOCS; SRC_ANTHROPIC_AMAZON_COMPUTE; SRC_AWS_RAINIER_ACTIVE; SRC_EPOCH_AI_DATA_CENTERS; ASSUMP_INFERENCE_SHARE_NOT_FACT_60</t>
        </is>
      </c>
      <c r="K1653" s="3" t="inlineStr">
        <is>
          <t>ASSUMP_POWER_RAMP; ASSUMP_CLOSED_MODEL_BAND; ASSUMP_NUMERIC_ACCELERATOR_MIX; ASSUMP_INFERENCE_SHARE_NOT_FACT_60; ASSUMP_WORKLOAD_CLASS_MIX; ASSUMP_AGENTIC_CONTEXT_PENALTY</t>
        </is>
      </c>
      <c r="L1653" s="3" t="inlineStr">
        <is>
          <t>Provider-specific inference/training workload power telemetry.</t>
        </is>
      </c>
    </row>
    <row r="1654">
      <c r="A1654" s="3" t="inlineStr">
        <is>
          <t>Anthropic</t>
        </is>
      </c>
      <c r="B1654" s="3" t="n">
        <v>2027</v>
      </c>
      <c r="C1654" s="3" t="inlineStr">
        <is>
          <t>Base</t>
        </is>
      </c>
      <c r="D1654" s="3" t="inlineStr">
        <is>
          <t>training_gw</t>
        </is>
      </c>
      <c r="E1654" s="3" t="n">
        <v>0.658</v>
      </c>
      <c r="F1654" s="3" t="inlineStr">
        <is>
          <t>GW</t>
        </is>
      </c>
      <c r="G1654" s="3" t="inlineStr">
        <is>
          <t>Derived formula</t>
        </is>
      </c>
      <c r="H1654" s="3" t="inlineStr">
        <is>
          <t>ai_it_load_gw * training_power_share</t>
        </is>
      </c>
      <c r="I1654" s="3" t="inlineStr">
        <is>
          <t>Training GW is shown separately so commercial inference token capacity is not overstated.</t>
        </is>
      </c>
      <c r="J1654" s="3" t="inlineStr">
        <is>
          <t>SRC_ANTHROPIC_CLAUDE_DOCS; SRC_ANTHROPIC_AMAZON_COMPUTE; SRC_AWS_RAINIER_ACTIVE; SRC_EPOCH_AI_DATA_CENTERS</t>
        </is>
      </c>
      <c r="K1654" s="3" t="inlineStr">
        <is>
          <t>ASSUMP_POWER_RAMP; ASSUMP_CLOSED_MODEL_BAND; ASSUMP_NUMERIC_ACCELERATOR_MIX; ASSUMP_INFERENCE_SHARE_NOT_FACT_60; ASSUMP_WORKLOAD_CLASS_MIX; ASSUMP_AGENTIC_CONTEXT_PENALTY</t>
        </is>
      </c>
      <c r="L1654" s="3" t="inlineStr">
        <is>
          <t>Recompute after AI allocation or workload-split evidence changes.</t>
        </is>
      </c>
    </row>
    <row r="1655">
      <c r="A1655" s="3" t="inlineStr">
        <is>
          <t>Anthropic</t>
        </is>
      </c>
      <c r="B1655" s="3" t="n">
        <v>2027</v>
      </c>
      <c r="C1655" s="3" t="inlineStr">
        <is>
          <t>Base</t>
        </is>
      </c>
      <c r="D1655" s="3" t="inlineStr">
        <is>
          <t>tokens_per_second_per_mw</t>
        </is>
      </c>
      <c r="E1655" s="3" t="n">
        <v>118302</v>
      </c>
      <c r="F1655" s="3" t="inlineStr">
        <is>
          <t>generated output tokens/sec/MW</t>
        </is>
      </c>
      <c r="G1655" s="3" t="inlineStr">
        <is>
          <t>Derived estimate + benchmark calibration</t>
        </is>
      </c>
      <c r="H1655" s="3" t="inlineStr">
        <is>
          <t>fleet_reference_tps_per_mw * commercial_workload_fit_factor</t>
        </is>
      </c>
      <c r="I165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55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655" s="3" t="inlineStr">
        <is>
          <t>ASSUMP_POWER_RAMP; ASSUMP_CLOSED_MODEL_BAND; ASSUMP_NUMERIC_ACCELERATOR_MIX; ASSUMP_INFERENCE_SHARE_NOT_FACT_60; ASSUMP_WORKLOAD_CLASS_MIX; ASSUMP_AGENTIC_CONTEXT_PENALTY</t>
        </is>
      </c>
      <c r="L1655" s="3" t="inlineStr">
        <is>
          <t>Comparable production output-token throughput with model, hardware, precision, ISL/OSL and SLO matched.</t>
        </is>
      </c>
    </row>
    <row r="1656">
      <c r="A1656" s="3" t="inlineStr">
        <is>
          <t>Anthropic</t>
        </is>
      </c>
      <c r="B1656" s="3" t="n">
        <v>2027</v>
      </c>
      <c r="C1656" s="3" t="inlineStr">
        <is>
          <t>Base</t>
        </is>
      </c>
      <c r="D1656" s="3" t="inlineStr">
        <is>
          <t>inference_tokens_per_day</t>
        </is>
      </c>
      <c r="E1656" s="3" t="n">
        <v>9107171884800</v>
      </c>
      <c r="F1656" s="3" t="inlineStr">
        <is>
          <t>generated output tokens/day</t>
        </is>
      </c>
      <c r="G1656" s="3" t="inlineStr">
        <is>
          <t>Derived headline metric</t>
        </is>
      </c>
      <c r="H1656" s="3" t="inlineStr">
        <is>
          <t>inference_gw * 1000 * tokens_per_second_per_mw * 86,400</t>
        </is>
      </c>
      <c r="I1656" s="3" t="inlineStr">
        <is>
          <t>Headline capacity uses no utilization, MoE, architecture or software-growth multiplier; it is not observed commercial output volume.</t>
        </is>
      </c>
      <c r="J1656" s="3" t="inlineStr">
        <is>
          <t>SRC_ANTHROPIC_CLAUDE_DOCS; SRC_ANTHROPIC_AMAZON_COMPUTE; SRC_AWS_RAINIER_ACTIVE; SRC_EPOCH_AI_DATA_CENTERS; SRC_SEMIANALYSIS_INFERENCEX</t>
        </is>
      </c>
      <c r="K1656" s="3" t="inlineStr">
        <is>
          <t>ASSUMP_POWER_RAMP; ASSUMP_CLOSED_MODEL_BAND; ASSUMP_NUMERIC_ACCELERATOR_MIX; ASSUMP_INFERENCE_SHARE_NOT_FACT_60; ASSUMP_WORKLOAD_CLASS_MIX; ASSUMP_AGENTIC_CONTEXT_PENALTY</t>
        </is>
      </c>
      <c r="L1656" s="3" t="inlineStr">
        <is>
          <t>Provider-disclosed generated output token volume or calibrated capacity telemetry.</t>
        </is>
      </c>
    </row>
    <row r="1657">
      <c r="A1657" s="3" t="inlineStr">
        <is>
          <t>Anthropic</t>
        </is>
      </c>
      <c r="B1657" s="3" t="n">
        <v>2027</v>
      </c>
      <c r="C1657" s="3" t="inlineStr">
        <is>
          <t>Base</t>
        </is>
      </c>
      <c r="D1657" s="3" t="inlineStr">
        <is>
          <t>inference_tokens_per_year</t>
        </is>
      </c>
      <c r="E1657" s="3" t="n">
        <v>3324117737952000</v>
      </c>
      <c r="F1657" s="3" t="inlineStr">
        <is>
          <t>generated output tokens/year</t>
        </is>
      </c>
      <c r="G1657" s="3" t="inlineStr">
        <is>
          <t>Derived headline metric</t>
        </is>
      </c>
      <c r="H1657" s="3" t="inlineStr">
        <is>
          <t>inference_tokens_per_day * 365</t>
        </is>
      </c>
      <c r="I1657" s="3" t="inlineStr">
        <is>
          <t>Annualized version of generated output token capacity; it is not observed annual demand or billable volume.</t>
        </is>
      </c>
      <c r="J1657" s="3" t="inlineStr">
        <is>
          <t>SRC_ANTHROPIC_CLAUDE_DOCS; SRC_ANTHROPIC_AMAZON_COMPUTE; SRC_AWS_RAINIER_ACTIVE; SRC_EPOCH_AI_DATA_CENTERS; SRC_SEMIANALYSIS_INFERENCEX</t>
        </is>
      </c>
      <c r="K1657" s="3" t="inlineStr">
        <is>
          <t>ASSUMP_POWER_RAMP; ASSUMP_CLOSED_MODEL_BAND; ASSUMP_NUMERIC_ACCELERATOR_MIX; ASSUMP_INFERENCE_SHARE_NOT_FACT_60; ASSUMP_WORKLOAD_CLASS_MIX; ASSUMP_AGENTIC_CONTEXT_PENALTY</t>
        </is>
      </c>
      <c r="L1657" s="3" t="inlineStr">
        <is>
          <t>Provider-disclosed annual generated-output volume or metered serving telemetry.</t>
        </is>
      </c>
    </row>
    <row r="1658">
      <c r="A1658" s="3" t="inlineStr">
        <is>
          <t>Anthropic</t>
        </is>
      </c>
      <c r="B1658" s="3" t="n">
        <v>2028</v>
      </c>
      <c r="C1658" s="3" t="inlineStr">
        <is>
          <t>Base</t>
        </is>
      </c>
      <c r="D1658" s="3" t="inlineStr">
        <is>
          <t>contracted_power_gw</t>
        </is>
      </c>
      <c r="E1658" s="3" t="n">
        <v>5.25</v>
      </c>
      <c r="F1658" s="3" t="inlineStr">
        <is>
          <t>GW</t>
        </is>
      </c>
      <c r="G1658" s="3" t="inlineStr">
        <is>
          <t>Fact anchor + scenario ceiling</t>
        </is>
      </c>
      <c r="H1658" s="3" t="inlineStr">
        <is>
          <t>linear interpolation between 2026 and 2030 company capacity endpoints</t>
        </is>
      </c>
      <c r="I1658" s="3" t="inlineStr">
        <is>
          <t>Hosted capacity envelope is anchored by Anthropic/AWS Project Rainier direction; it is attributed to Claude outputs, not AWS as a model owner.</t>
        </is>
      </c>
      <c r="J1658" s="3" t="inlineStr">
        <is>
          <t>SRC_ANTHROPIC_AMAZON_COMPUTE; SRC_AWS_RAINIER_ACTIVE; ASSUMP_POWER_RAMP</t>
        </is>
      </c>
      <c r="K1658" s="3" t="inlineStr">
        <is>
          <t>ASSUMP_POWER_RAMP; ASSUMP_CLOSED_MODEL_BAND; ASSUMP_NUMERIC_ACCELERATOR_MIX; ASSUMP_INFERENCE_SHARE_NOT_FACT_60; ASSUMP_WORKLOAD_CLASS_MIX; ASSUMP_AGENTIC_CONTEXT_PENALTY</t>
        </is>
      </c>
      <c r="L1658" s="3" t="inlineStr">
        <is>
          <t>Company/site-level committed MW/GW, interconnect and contract disclosure.</t>
        </is>
      </c>
    </row>
    <row r="1659">
      <c r="A1659" s="3" t="inlineStr">
        <is>
          <t>Anthropic</t>
        </is>
      </c>
      <c r="B1659" s="3" t="n">
        <v>2028</v>
      </c>
      <c r="C1659" s="3" t="inlineStr">
        <is>
          <t>Base</t>
        </is>
      </c>
      <c r="D1659" s="3" t="inlineStr">
        <is>
          <t>operational_deployment_share</t>
        </is>
      </c>
      <c r="E1659" s="3" t="n">
        <v>0.61904762</v>
      </c>
      <c r="F1659" s="3" t="inlineStr">
        <is>
          <t>share</t>
        </is>
      </c>
      <c r="G1659" s="3" t="inlineStr">
        <is>
          <t>Scenario conversion</t>
        </is>
      </c>
      <c r="H1659" s="3" t="inlineStr">
        <is>
          <t>active_power_gw / contracted_power_gw</t>
        </is>
      </c>
      <c r="I1659" s="3" t="inlineStr">
        <is>
          <t>This is the single explicit conversion from contracted/attributed capacity to operationally usable capacity.</t>
        </is>
      </c>
      <c r="J1659" s="3" t="inlineStr">
        <is>
          <t>SRC_ANTHROPIC_AMAZON_COMPUTE; SRC_AWS_RAINIER_ACTIVE; ASSUMP_POWER_RAMP</t>
        </is>
      </c>
      <c r="K1659" s="3" t="inlineStr">
        <is>
          <t>ASSUMP_POWER_RAMP; ASSUMP_CLOSED_MODEL_BAND; ASSUMP_NUMERIC_ACCELERATOR_MIX; ASSUMP_INFERENCE_SHARE_NOT_FACT_60; ASSUMP_WORKLOAD_CLASS_MIX; ASSUMP_AGENTIC_CONTEXT_PENALTY</t>
        </is>
      </c>
      <c r="L1659" s="3" t="inlineStr">
        <is>
          <t>Energized operational capacity divided by contracted/attributed capacity.</t>
        </is>
      </c>
    </row>
    <row r="1660">
      <c r="A1660" s="3" t="inlineStr">
        <is>
          <t>Anthropic</t>
        </is>
      </c>
      <c r="B1660" s="3" t="n">
        <v>2028</v>
      </c>
      <c r="C1660" s="3" t="inlineStr">
        <is>
          <t>Base</t>
        </is>
      </c>
      <c r="D1660" s="3" t="inlineStr">
        <is>
          <t>active_power_gw</t>
        </is>
      </c>
      <c r="E1660" s="3" t="n">
        <v>3.25</v>
      </c>
      <c r="F1660" s="3" t="inlineStr">
        <is>
          <t>GW</t>
        </is>
      </c>
      <c r="G1660" s="3" t="inlineStr">
        <is>
          <t>Derived scenario</t>
        </is>
      </c>
      <c r="H1660" s="3" t="inlineStr">
        <is>
          <t>contracted_power_gw * operational_deployment_share</t>
        </is>
      </c>
      <c r="I1660" s="3" t="inlineStr">
        <is>
          <t>Trainium cluster activation supports staged active ramp; Claude inference-versus-training use remains estimated.</t>
        </is>
      </c>
      <c r="J1660" s="3" t="inlineStr">
        <is>
          <t>SRC_ANTHROPIC_AMAZON_COMPUTE; SRC_AWS_RAINIER_ACTIVE; ASSUMP_POWER_RAMP</t>
        </is>
      </c>
      <c r="K1660" s="3" t="inlineStr">
        <is>
          <t>ASSUMP_POWER_RAMP; ASSUMP_CLOSED_MODEL_BAND; ASSUMP_NUMERIC_ACCELERATOR_MIX; ASSUMP_INFERENCE_SHARE_NOT_FACT_60; ASSUMP_WORKLOAD_CLASS_MIX; ASSUMP_AGENTIC_CONTEXT_PENALTY</t>
        </is>
      </c>
      <c r="L1660" s="3" t="inlineStr">
        <is>
          <t>Energization dates, accelerator deliveries and operational powered-rack telemetry.</t>
        </is>
      </c>
    </row>
    <row r="1661">
      <c r="A1661" s="3" t="inlineStr">
        <is>
          <t>Anthropic</t>
        </is>
      </c>
      <c r="B1661" s="3" t="n">
        <v>2028</v>
      </c>
      <c r="C1661" s="3" t="inlineStr">
        <is>
          <t>Base</t>
        </is>
      </c>
      <c r="D1661" s="3" t="inlineStr">
        <is>
          <t>pue</t>
        </is>
      </c>
      <c r="E1661" s="3" t="n">
        <v>1.18</v>
      </c>
      <c r="F1661" s="3" t="inlineStr">
        <is>
          <t>ratio</t>
        </is>
      </c>
      <c r="G1661" s="3" t="inlineStr">
        <is>
          <t>Scenario parameter</t>
        </is>
      </c>
      <c r="H1661" s="3" t="inlineStr">
        <is>
          <t>it_load_gw = active_power_gw / pue</t>
        </is>
      </c>
      <c r="I1661" s="3" t="inlineStr">
        <is>
          <t>No provider-wide site-level PUE is used as a disclosed fact; PUE represents facility-to-IT conversion within the scenario.</t>
        </is>
      </c>
      <c r="J1661" s="3" t="inlineStr">
        <is>
          <t>ASSUMP_POWER_RAMP</t>
        </is>
      </c>
      <c r="K1661" s="3" t="inlineStr">
        <is>
          <t>ASSUMP_POWER_RAMP; ASSUMP_CLOSED_MODEL_BAND; ASSUMP_NUMERIC_ACCELERATOR_MIX; ASSUMP_INFERENCE_SHARE_NOT_FACT_60; ASSUMP_WORKLOAD_CLASS_MIX; ASSUMP_AGENTIC_CONTEXT_PENALTY</t>
        </is>
      </c>
      <c r="L1661" s="3" t="inlineStr">
        <is>
          <t>Site-level measured PUE matched to attributed AI capacity.</t>
        </is>
      </c>
    </row>
    <row r="1662">
      <c r="A1662" s="3" t="inlineStr">
        <is>
          <t>Anthropic</t>
        </is>
      </c>
      <c r="B1662" s="3" t="n">
        <v>2028</v>
      </c>
      <c r="C1662" s="3" t="inlineStr">
        <is>
          <t>Base</t>
        </is>
      </c>
      <c r="D1662" s="3" t="inlineStr">
        <is>
          <t>it_load_gw</t>
        </is>
      </c>
      <c r="E1662" s="3" t="n">
        <v>2.754</v>
      </c>
      <c r="F1662" s="3" t="inlineStr">
        <is>
          <t>GW</t>
        </is>
      </c>
      <c r="G1662" s="3" t="inlineStr">
        <is>
          <t>Derived formula</t>
        </is>
      </c>
      <c r="H1662" s="3" t="inlineStr">
        <is>
          <t>active_power_gw / pue</t>
        </is>
      </c>
      <c r="I1662" s="3" t="inlineStr">
        <is>
          <t>Facility power is converted to IT-deliverable power before attributing AI workloads.</t>
        </is>
      </c>
      <c r="J1662" s="3" t="inlineStr">
        <is>
          <t>SRC_ANTHROPIC_AMAZON_COMPUTE; SRC_AWS_RAINIER_ACTIVE; ASSUMP_POWER_RAMP</t>
        </is>
      </c>
      <c r="K1662" s="3" t="inlineStr">
        <is>
          <t>ASSUMP_POWER_RAMP; ASSUMP_CLOSED_MODEL_BAND; ASSUMP_NUMERIC_ACCELERATOR_MIX; ASSUMP_INFERENCE_SHARE_NOT_FACT_60; ASSUMP_WORKLOAD_CLASS_MIX; ASSUMP_AGENTIC_CONTEXT_PENALTY</t>
        </is>
      </c>
      <c r="L1662" s="3" t="inlineStr">
        <is>
          <t>Recompute once active power and PUE become site-observable.</t>
        </is>
      </c>
    </row>
    <row r="1663">
      <c r="A1663" s="3" t="inlineStr">
        <is>
          <t>Anthropic</t>
        </is>
      </c>
      <c r="B1663" s="3" t="n">
        <v>2028</v>
      </c>
      <c r="C1663" s="3" t="inlineStr">
        <is>
          <t>Base</t>
        </is>
      </c>
      <c r="D1663" s="3" t="inlineStr">
        <is>
          <t>ai_workload_share</t>
        </is>
      </c>
      <c r="E1663" s="3" t="n">
        <v>0.86</v>
      </c>
      <c r="F1663" s="3" t="inlineStr">
        <is>
          <t>share</t>
        </is>
      </c>
      <c r="G1663" s="3" t="inlineStr">
        <is>
          <t>Scenario allocation</t>
        </is>
      </c>
      <c r="H1663" s="3" t="inlineStr">
        <is>
          <t>ai_it_load_gw = it_load_gw * ai_workload_share</t>
        </is>
      </c>
      <c r="I1663" s="3" t="inlineStr">
        <is>
          <t>Anthropic-directed hosted capacity is predominantly AI; 86% excludes platform, reserve and non-serving allocation.</t>
        </is>
      </c>
      <c r="J1663" s="3" t="inlineStr">
        <is>
          <t>SRC_ANTHROPIC_CLAUDE_DOCS; SRC_ANTHROPIC_AMAZON_COMPUTE; SRC_AWS_RAINIER_ACTIVE; SRC_EPOCH_AI_DATA_CENTERS</t>
        </is>
      </c>
      <c r="K1663" s="3" t="inlineStr">
        <is>
          <t>ASSUMP_POWER_RAMP; ASSUMP_CLOSED_MODEL_BAND; ASSUMP_NUMERIC_ACCELERATOR_MIX; ASSUMP_INFERENCE_SHARE_NOT_FACT_60; ASSUMP_WORKLOAD_CLASS_MIX; ASSUMP_AGENTIC_CONTEXT_PENALTY</t>
        </is>
      </c>
      <c r="L1663" s="3" t="inlineStr">
        <is>
          <t>Model-owner AI workload allocation or cluster scheduling telemetry.</t>
        </is>
      </c>
    </row>
    <row r="1664">
      <c r="A1664" s="3" t="inlineStr">
        <is>
          <t>Anthropic</t>
        </is>
      </c>
      <c r="B1664" s="3" t="n">
        <v>2028</v>
      </c>
      <c r="C1664" s="3" t="inlineStr">
        <is>
          <t>Base</t>
        </is>
      </c>
      <c r="D1664" s="3" t="inlineStr">
        <is>
          <t>ai_it_load_gw</t>
        </is>
      </c>
      <c r="E1664" s="3" t="n">
        <v>2.369</v>
      </c>
      <c r="F1664" s="3" t="inlineStr">
        <is>
          <t>GW</t>
        </is>
      </c>
      <c r="G1664" s="3" t="inlineStr">
        <is>
          <t>Derived formula</t>
        </is>
      </c>
      <c r="H1664" s="3" t="inlineStr">
        <is>
          <t>it_load_gw * ai_workload_share</t>
        </is>
      </c>
      <c r="I1664" s="3" t="inlineStr">
        <is>
          <t>Only the AI-attributed portion of IT load enters training/inference allocation.</t>
        </is>
      </c>
      <c r="J1664" s="3" t="inlineStr">
        <is>
          <t>SRC_ANTHROPIC_CLAUDE_DOCS; SRC_ANTHROPIC_AMAZON_COMPUTE; SRC_AWS_RAINIER_ACTIVE; SRC_EPOCH_AI_DATA_CENTERS</t>
        </is>
      </c>
      <c r="K1664" s="3" t="inlineStr">
        <is>
          <t>ASSUMP_POWER_RAMP; ASSUMP_CLOSED_MODEL_BAND; ASSUMP_NUMERIC_ACCELERATOR_MIX; ASSUMP_INFERENCE_SHARE_NOT_FACT_60; ASSUMP_WORKLOAD_CLASS_MIX; ASSUMP_AGENTIC_CONTEXT_PENALTY</t>
        </is>
      </c>
      <c r="L1664" s="3" t="inlineStr">
        <is>
          <t>Recompute after ai_workload_share is replaced by telemetry.</t>
        </is>
      </c>
    </row>
    <row r="1665">
      <c r="A1665" s="3" t="inlineStr">
        <is>
          <t>Anthropic</t>
        </is>
      </c>
      <c r="B1665" s="3" t="n">
        <v>2028</v>
      </c>
      <c r="C1665" s="3" t="inlineStr">
        <is>
          <t>Base</t>
        </is>
      </c>
      <c r="D1665" s="3" t="inlineStr">
        <is>
          <t>gpu_share</t>
        </is>
      </c>
      <c r="E1665" s="3" t="n">
        <v>0.178448</v>
      </c>
      <c r="F1665" s="3" t="inlineStr">
        <is>
          <t>share of inference-serving accelerator load</t>
        </is>
      </c>
      <c r="G1665" s="3" t="inlineStr">
        <is>
          <t>Numeric scenario</t>
        </is>
      </c>
      <c r="H1665" s="3" t="inlineStr">
        <is>
          <t>gpu_share interpolated from company 2026/2030 accelerator-mix endpoints</t>
        </is>
      </c>
      <c r="I1665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65" s="3" t="inlineStr">
        <is>
          <t>SRC_ANTHROPIC_CLAUDE_DOCS; SRC_ANTHROPIC_AMAZON_COMPUTE; SRC_AWS_RAINIER_ACTIVE; SRC_EPOCH_AI_DATA_CENTERS; ASSUMP_NUMERIC_ACCELERATOR_MIX</t>
        </is>
      </c>
      <c r="K1665" s="3" t="inlineStr">
        <is>
          <t>ASSUMP_POWER_RAMP; ASSUMP_CLOSED_MODEL_BAND; ASSUMP_NUMERIC_ACCELERATOR_MIX; ASSUMP_INFERENCE_SHARE_NOT_FACT_60; ASSUMP_WORKLOAD_CLASS_MIX; ASSUMP_AGENTIC_CONTEXT_PENALTY</t>
        </is>
      </c>
      <c r="L1665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66">
      <c r="A1666" s="3" t="inlineStr">
        <is>
          <t>Anthropic</t>
        </is>
      </c>
      <c r="B1666" s="3" t="n">
        <v>2028</v>
      </c>
      <c r="C1666" s="3" t="inlineStr">
        <is>
          <t>Base</t>
        </is>
      </c>
      <c r="D1666" s="3" t="inlineStr">
        <is>
          <t>h200_share</t>
        </is>
      </c>
      <c r="E1666" s="3" t="n">
        <v>0.06841700000000001</v>
      </c>
      <c r="F1666" s="3" t="inlineStr">
        <is>
          <t>share of inference-serving accelerator load</t>
        </is>
      </c>
      <c r="G1666" s="3" t="inlineStr">
        <is>
          <t>Editable numeric scenario</t>
        </is>
      </c>
      <c r="H1666" s="3" t="inlineStr">
        <is>
          <t>h200_share = gpu_share * default_gpu_generation_mix_h200</t>
        </is>
      </c>
      <c r="I1666" s="3" t="inlineStr">
        <is>
          <t>Default GPU-generation migration assumption; executive workbook allows later manual replacement by company/year/scenario.</t>
        </is>
      </c>
      <c r="J1666" s="3" t="inlineStr">
        <is>
          <t>SRC_SEMIANALYSIS_INFERENCEX; ASSUMP_NUMERIC_ACCELERATOR_MIX</t>
        </is>
      </c>
      <c r="K1666" s="3" t="inlineStr">
        <is>
          <t>ASSUMP_POWER_RAMP; ASSUMP_CLOSED_MODEL_BAND; ASSUMP_NUMERIC_ACCELERATOR_MIX; ASSUMP_INFERENCE_SHARE_NOT_FACT_60; ASSUMP_WORKLOAD_CLASS_MIX; ASSUMP_AGENTIC_CONTEXT_PENALTY</t>
        </is>
      </c>
      <c r="L1666" s="3" t="inlineStr">
        <is>
          <t>Company fleet inventory, accelerator-hours or procurement/deployment records by GPU generation.</t>
        </is>
      </c>
    </row>
    <row r="1667">
      <c r="A1667" s="3" t="inlineStr">
        <is>
          <t>Anthropic</t>
        </is>
      </c>
      <c r="B1667" s="3" t="n">
        <v>2028</v>
      </c>
      <c r="C1667" s="3" t="inlineStr">
        <is>
          <t>Base</t>
        </is>
      </c>
      <c r="D1667" s="3" t="inlineStr">
        <is>
          <t>b200_share</t>
        </is>
      </c>
      <c r="E1667" s="3" t="n">
        <v>0.110031</v>
      </c>
      <c r="F1667" s="3" t="inlineStr">
        <is>
          <t>share of inference-serving accelerator load</t>
        </is>
      </c>
      <c r="G1667" s="3" t="inlineStr">
        <is>
          <t>Editable numeric scenario</t>
        </is>
      </c>
      <c r="H1667" s="3" t="inlineStr">
        <is>
          <t>b200_share = gpu_share * default_gpu_generation_mix_b200</t>
        </is>
      </c>
      <c r="I1667" s="3" t="inlineStr">
        <is>
          <t>Default GPU-generation migration assumption; executive workbook allows later manual replacement by company/year/scenario.</t>
        </is>
      </c>
      <c r="J1667" s="3" t="inlineStr">
        <is>
          <t>SRC_SEMIANALYSIS_INFERENCEX; ASSUMP_NUMERIC_ACCELERATOR_MIX</t>
        </is>
      </c>
      <c r="K1667" s="3" t="inlineStr">
        <is>
          <t>ASSUMP_POWER_RAMP; ASSUMP_CLOSED_MODEL_BAND; ASSUMP_NUMERIC_ACCELERATOR_MIX; ASSUMP_INFERENCE_SHARE_NOT_FACT_60; ASSUMP_WORKLOAD_CLASS_MIX; ASSUMP_AGENTIC_CONTEXT_PENALTY</t>
        </is>
      </c>
      <c r="L1667" s="3" t="inlineStr">
        <is>
          <t>Company fleet inventory, accelerator-hours or procurement/deployment records by GPU generation.</t>
        </is>
      </c>
    </row>
    <row r="1668">
      <c r="A1668" s="3" t="inlineStr">
        <is>
          <t>Anthropic</t>
        </is>
      </c>
      <c r="B1668" s="3" t="n">
        <v>2028</v>
      </c>
      <c r="C1668" s="3" t="inlineStr">
        <is>
          <t>Base</t>
        </is>
      </c>
      <c r="D1668" s="3" t="inlineStr">
        <is>
          <t>gb200_share</t>
        </is>
      </c>
      <c r="E1668" s="3" t="n">
        <v>0</v>
      </c>
      <c r="F1668" s="3" t="inlineStr">
        <is>
          <t>share of inference-serving accelerator load</t>
        </is>
      </c>
      <c r="G1668" s="3" t="inlineStr">
        <is>
          <t>Editable numeric scenario</t>
        </is>
      </c>
      <c r="H1668" s="3" t="inlineStr">
        <is>
          <t>gb200_share = gpu_share * default_gpu_generation_mix_gb200</t>
        </is>
      </c>
      <c r="I1668" s="3" t="inlineStr">
        <is>
          <t>Default GPU-generation migration assumption; executive workbook allows later manual replacement by company/year/scenario.</t>
        </is>
      </c>
      <c r="J1668" s="3" t="inlineStr">
        <is>
          <t>SRC_SEMIANALYSIS_INFERENCEX; ASSUMP_NUMERIC_ACCELERATOR_MIX</t>
        </is>
      </c>
      <c r="K1668" s="3" t="inlineStr">
        <is>
          <t>ASSUMP_POWER_RAMP; ASSUMP_CLOSED_MODEL_BAND; ASSUMP_NUMERIC_ACCELERATOR_MIX; ASSUMP_INFERENCE_SHARE_NOT_FACT_60; ASSUMP_WORKLOAD_CLASS_MIX; ASSUMP_AGENTIC_CONTEXT_PENALTY</t>
        </is>
      </c>
      <c r="L1668" s="3" t="inlineStr">
        <is>
          <t>Company fleet inventory, accelerator-hours or procurement/deployment records by GPU generation.</t>
        </is>
      </c>
    </row>
    <row r="1669">
      <c r="A1669" s="3" t="inlineStr">
        <is>
          <t>Anthropic</t>
        </is>
      </c>
      <c r="B1669" s="3" t="n">
        <v>2028</v>
      </c>
      <c r="C1669" s="3" t="inlineStr">
        <is>
          <t>Base</t>
        </is>
      </c>
      <c r="D1669" s="3" t="inlineStr">
        <is>
          <t>purpose_built_accelerator_share</t>
        </is>
      </c>
      <c r="E1669" s="3" t="n">
        <v>0.8215519999999999</v>
      </c>
      <c r="F1669" s="3" t="inlineStr">
        <is>
          <t>share of inference-serving accelerator load</t>
        </is>
      </c>
      <c r="G1669" s="3" t="inlineStr">
        <is>
          <t>Numeric scenario</t>
        </is>
      </c>
      <c r="H1669" s="3" t="inlineStr">
        <is>
          <t>1 - gpu_share</t>
        </is>
      </c>
      <c r="I1669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69" s="3" t="inlineStr">
        <is>
          <t>SRC_ANTHROPIC_CLAUDE_DOCS; SRC_ANTHROPIC_AMAZON_COMPUTE; SRC_AWS_RAINIER_ACTIVE; SRC_EPOCH_AI_DATA_CENTERS; ASSUMP_NUMERIC_ACCELERATOR_MIX</t>
        </is>
      </c>
      <c r="K1669" s="3" t="inlineStr">
        <is>
          <t>ASSUMP_POWER_RAMP; ASSUMP_CLOSED_MODEL_BAND; ASSUMP_NUMERIC_ACCELERATOR_MIX; ASSUMP_INFERENCE_SHARE_NOT_FACT_60; ASSUMP_WORKLOAD_CLASS_MIX; ASSUMP_AGENTIC_CONTEXT_PENALTY</t>
        </is>
      </c>
      <c r="L1669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70">
      <c r="A1670" s="3" t="inlineStr">
        <is>
          <t>Anthropic</t>
        </is>
      </c>
      <c r="B1670" s="3" t="n">
        <v>2028</v>
      </c>
      <c r="C1670" s="3" t="inlineStr">
        <is>
          <t>Base</t>
        </is>
      </c>
      <c r="D1670" s="3" t="inlineStr">
        <is>
          <t>fleet_reference_tps_per_mw</t>
        </is>
      </c>
      <c r="E1670" s="3" t="n">
        <v>188100</v>
      </c>
      <c r="F1670" s="3" t="inlineStr">
        <is>
          <t>generated output tokens/sec/MW</t>
        </is>
      </c>
      <c r="G1670" s="3" t="inlineStr">
        <is>
          <t>Fleet-weighted public benchmark reference</t>
        </is>
      </c>
      <c r="H1670" s="3" t="inlineStr">
        <is>
          <t>h200_share*h200_workload_avg + b200_share*b200_workload_avg + gb200_share*gb200_workload_avg + purpose_built_share*purpose_workload_avg</t>
        </is>
      </c>
      <c r="I167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70" s="3" t="inlineStr">
        <is>
          <t>SRC_SEMIANALYSIS_INFERENCEX; ASSUMP_NUMERIC_ACCELERATOR_MIX; ASSUMP_WORKLOAD_CLASS_MIX; ASSUMP_AGENTIC_CONTEXT_PENALTY</t>
        </is>
      </c>
      <c r="K1670" s="3" t="inlineStr">
        <is>
          <t>ASSUMP_POWER_RAMP; ASSUMP_CLOSED_MODEL_BAND; ASSUMP_NUMERIC_ACCELERATOR_MIX; ASSUMP_INFERENCE_SHARE_NOT_FACT_60; ASSUMP_WORKLOAD_CLASS_MIX; ASSUMP_AGENTIC_CONTEXT_PENALTY</t>
        </is>
      </c>
      <c r="L1670" s="3" t="inlineStr">
        <is>
          <t>Comparable production output-token throughput or a more closely matched benchmark.</t>
        </is>
      </c>
    </row>
    <row r="1671">
      <c r="A1671" s="3" t="inlineStr">
        <is>
          <t>Anthropic</t>
        </is>
      </c>
      <c r="B1671" s="3" t="n">
        <v>2028</v>
      </c>
      <c r="C1671" s="3" t="inlineStr">
        <is>
          <t>Base</t>
        </is>
      </c>
      <c r="D1671" s="3" t="inlineStr">
        <is>
          <t>commercial_workload_fit_factor</t>
        </is>
      </c>
      <c r="E1671" s="3" t="n">
        <v>0.5</v>
      </c>
      <c r="F1671" s="3" t="inlineStr">
        <is>
          <t>share of public reference throughput</t>
        </is>
      </c>
      <c r="G1671" s="3" t="inlineStr">
        <is>
          <t>Scenario assumption</t>
        </is>
      </c>
      <c r="H1671" s="3" t="inlineStr">
        <is>
          <t>reference_serving_tps_per_mw = fleet_reference_tps_per_mw * commercial_workload_fit_factor</t>
        </is>
      </c>
      <c r="I167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71" s="3" t="inlineStr">
        <is>
          <t>SRC_SEMIANALYSIS_INFERENCEX; ASSUMP_NUMERIC_ACCELERATOR_MIX; ASSUMP_WORKLOAD_CLASS_MIX; ASSUMP_AGENTIC_CONTEXT_PENALTY</t>
        </is>
      </c>
      <c r="K1671" s="3" t="inlineStr">
        <is>
          <t>ASSUMP_POWER_RAMP; ASSUMP_CLOSED_MODEL_BAND; ASSUMP_NUMERIC_ACCELERATOR_MIX; ASSUMP_INFERENCE_SHARE_NOT_FACT_60; ASSUMP_WORKLOAD_CLASS_MIX; ASSUMP_AGENTIC_CONTEXT_PENALTY</t>
        </is>
      </c>
      <c r="L1671" s="3" t="inlineStr">
        <is>
          <t>Matched commercial serving benchmark by product surface, context shape and latency SLO.</t>
        </is>
      </c>
    </row>
    <row r="1672">
      <c r="A1672" s="3" t="inlineStr">
        <is>
          <t>Anthropic</t>
        </is>
      </c>
      <c r="B1672" s="3" t="n">
        <v>2028</v>
      </c>
      <c r="C1672" s="3" t="inlineStr">
        <is>
          <t>Base</t>
        </is>
      </c>
      <c r="D1672" s="3" t="inlineStr">
        <is>
          <t>reference_serving_tps_per_mw</t>
        </is>
      </c>
      <c r="E1672" s="3" t="n">
        <v>94050</v>
      </c>
      <c r="F1672" s="3" t="inlineStr">
        <is>
          <t>generated output tokens/sec/MW</t>
        </is>
      </c>
      <c r="G1672" s="3" t="inlineStr">
        <is>
          <t>Workload-adjusted benchmark proxy</t>
        </is>
      </c>
      <c r="H1672" s="3" t="inlineStr">
        <is>
          <t>fleet_reference_tps_per_mw * commercial_workload_fit_factor</t>
        </is>
      </c>
      <c r="I1672" s="3" t="inlineStr">
        <is>
          <t>This is the coefficient used for headline token generation; each GPU's short chat, long chat and agentic TPS/MW are weighted before fleet mix and commercial fit are applied.</t>
        </is>
      </c>
      <c r="J1672" s="3" t="inlineStr">
        <is>
          <t>SRC_SEMIANALYSIS_INFERENCEX; ASSUMP_NUMERIC_ACCELERATOR_MIX; ASSUMP_WORKLOAD_CLASS_MIX; ASSUMP_AGENTIC_CONTEXT_PENALTY</t>
        </is>
      </c>
      <c r="K1672" s="3" t="inlineStr">
        <is>
          <t>ASSUMP_POWER_RAMP; ASSUMP_CLOSED_MODEL_BAND; ASSUMP_NUMERIC_ACCELERATOR_MIX; ASSUMP_INFERENCE_SHARE_NOT_FACT_60; ASSUMP_WORKLOAD_CLASS_MIX; ASSUMP_AGENTIC_CONTEXT_PENALTY</t>
        </is>
      </c>
      <c r="L1672" s="3" t="inlineStr">
        <is>
          <t>Provider production output-token throughput with comparable workload/SLO.</t>
        </is>
      </c>
    </row>
    <row r="1673">
      <c r="A1673" s="3" t="inlineStr">
        <is>
          <t>Anthropic</t>
        </is>
      </c>
      <c r="B1673" s="3" t="n">
        <v>2028</v>
      </c>
      <c r="C1673" s="3" t="inlineStr">
        <is>
          <t>Base</t>
        </is>
      </c>
      <c r="D1673" s="3" t="inlineStr">
        <is>
          <t>purpose_built_tps_per_mw</t>
        </is>
      </c>
      <c r="E1673" s="3" t="n">
        <v>67653</v>
      </c>
      <c r="F1673" s="3" t="inlineStr">
        <is>
          <t>generated output tokens/sec/MW</t>
        </is>
      </c>
      <c r="G1673" s="3" t="inlineStr">
        <is>
          <t>Conservative no-uplift proxy</t>
        </is>
      </c>
      <c r="H1673" s="3" t="inlineStr">
        <is>
          <t>purpose_built_tps_per_mw = purpose_built_reference_tps_per_mw * commercial_workload_fit_factor until comparable output-token benchmark is adopted</t>
        </is>
      </c>
      <c r="I1673" s="3" t="inlineStr">
        <is>
          <t>No comparable public output-token/MW row adopted; B200 public reference placeholder is used and remains editable.</t>
        </is>
      </c>
      <c r="J1673" s="3" t="inlineStr">
        <is>
          <t>SRC_ANTHROPIC_CLAUDE_DOCS; SRC_ANTHROPIC_AMAZON_COMPUTE; SRC_AWS_RAINIER_ACTIVE; SRC_EPOCH_AI_DATA_CENTERS; ASSUMP_NUMERIC_ACCELERATOR_MIX</t>
        </is>
      </c>
      <c r="K1673" s="3" t="inlineStr">
        <is>
          <t>ASSUMP_POWER_RAMP; ASSUMP_CLOSED_MODEL_BAND; ASSUMP_NUMERIC_ACCELERATOR_MIX; ASSUMP_INFERENCE_SHARE_NOT_FACT_60; ASSUMP_WORKLOAD_CLASS_MIX; ASSUMP_AGENTIC_CONTEXT_PENALTY</t>
        </is>
      </c>
      <c r="L1673" s="3" t="inlineStr">
        <is>
          <t>Matched-workload generated-output benchmark for the provider purpose-built accelerator.</t>
        </is>
      </c>
    </row>
    <row r="1674">
      <c r="A1674" s="3" t="inlineStr">
        <is>
          <t>Anthropic</t>
        </is>
      </c>
      <c r="B1674" s="3" t="n">
        <v>2028</v>
      </c>
      <c r="C1674" s="3" t="inlineStr">
        <is>
          <t>Base</t>
        </is>
      </c>
      <c r="D1674" s="3" t="inlineStr">
        <is>
          <t>inference_power_share</t>
        </is>
      </c>
      <c r="E1674" s="3" t="n">
        <v>0.63</v>
      </c>
      <c r="F1674" s="3" t="inlineStr">
        <is>
          <t>share of AI IT load</t>
        </is>
      </c>
      <c r="G1674" s="3" t="inlineStr">
        <is>
          <t>Scenario allocation</t>
        </is>
      </c>
      <c r="H1674" s="3" t="inlineStr">
        <is>
          <t>inference_gw = ai_it_load_gw * inference_power_share</t>
        </is>
      </c>
      <c r="I1674" s="3" t="inlineStr">
        <is>
          <t>Claude API/product growth supports a rising inference share, while continued model training prevents full conversion.</t>
        </is>
      </c>
      <c r="J1674" s="3" t="inlineStr">
        <is>
          <t>SRC_ANTHROPIC_CLAUDE_DOCS; SRC_ANTHROPIC_AMAZON_COMPUTE; SRC_AWS_RAINIER_ACTIVE; SRC_EPOCH_AI_DATA_CENTERS; ASSUMP_INFERENCE_SHARE_NOT_FACT_60</t>
        </is>
      </c>
      <c r="K1674" s="3" t="inlineStr">
        <is>
          <t>ASSUMP_POWER_RAMP; ASSUMP_CLOSED_MODEL_BAND; ASSUMP_NUMERIC_ACCELERATOR_MIX; ASSUMP_INFERENCE_SHARE_NOT_FACT_60; ASSUMP_WORKLOAD_CLASS_MIX; ASSUMP_AGENTIC_CONTEXT_PENALTY</t>
        </is>
      </c>
      <c r="L1674" s="3" t="inlineStr">
        <is>
          <t>Provider-specific inference/training workload power telemetry.</t>
        </is>
      </c>
    </row>
    <row r="1675">
      <c r="A1675" s="3" t="inlineStr">
        <is>
          <t>Anthropic</t>
        </is>
      </c>
      <c r="B1675" s="3" t="n">
        <v>2028</v>
      </c>
      <c r="C1675" s="3" t="inlineStr">
        <is>
          <t>Base</t>
        </is>
      </c>
      <c r="D1675" s="3" t="inlineStr">
        <is>
          <t>inference_gw</t>
        </is>
      </c>
      <c r="E1675" s="3" t="n">
        <v>1.492</v>
      </c>
      <c r="F1675" s="3" t="inlineStr">
        <is>
          <t>GW</t>
        </is>
      </c>
      <c r="G1675" s="3" t="inlineStr">
        <is>
          <t>Derived formula</t>
        </is>
      </c>
      <c r="H1675" s="3" t="inlineStr">
        <is>
          <t>ai_it_load_gw * inference_power_share</t>
        </is>
      </c>
      <c r="I1675" s="3" t="inlineStr">
        <is>
          <t>This is the operational power eligible to become commercial generated output tokens through the selected TPS/MW proxy.</t>
        </is>
      </c>
      <c r="J1675" s="3" t="inlineStr">
        <is>
          <t>SRC_ANTHROPIC_CLAUDE_DOCS; SRC_ANTHROPIC_AMAZON_COMPUTE; SRC_AWS_RAINIER_ACTIVE; SRC_EPOCH_AI_DATA_CENTERS</t>
        </is>
      </c>
      <c r="K1675" s="3" t="inlineStr">
        <is>
          <t>ASSUMP_POWER_RAMP; ASSUMP_CLOSED_MODEL_BAND; ASSUMP_NUMERIC_ACCELERATOR_MIX; ASSUMP_INFERENCE_SHARE_NOT_FACT_60; ASSUMP_WORKLOAD_CLASS_MIX; ASSUMP_AGENTIC_CONTEXT_PENALTY</t>
        </is>
      </c>
      <c r="L1675" s="3" t="inlineStr">
        <is>
          <t>Recompute after AI allocation or inference-share evidence changes.</t>
        </is>
      </c>
    </row>
    <row r="1676">
      <c r="A1676" s="3" t="inlineStr">
        <is>
          <t>Anthropic</t>
        </is>
      </c>
      <c r="B1676" s="3" t="n">
        <v>2028</v>
      </c>
      <c r="C1676" s="3" t="inlineStr">
        <is>
          <t>Base</t>
        </is>
      </c>
      <c r="D1676" s="3" t="inlineStr">
        <is>
          <t>training_power_share</t>
        </is>
      </c>
      <c r="E1676" s="3" t="n">
        <v>0.37</v>
      </c>
      <c r="F1676" s="3" t="inlineStr">
        <is>
          <t>share of AI IT load</t>
        </is>
      </c>
      <c r="G1676" s="3" t="inlineStr">
        <is>
          <t>Derived allocation</t>
        </is>
      </c>
      <c r="H1676" s="3" t="inlineStr">
        <is>
          <t>1 - inference_power_share</t>
        </is>
      </c>
      <c r="I1676" s="3" t="inlineStr">
        <is>
          <t>Training receives the complementary modeled AI IT allocation; it is not a disclosed company workload split.</t>
        </is>
      </c>
      <c r="J1676" s="3" t="inlineStr">
        <is>
          <t>SRC_ANTHROPIC_CLAUDE_DOCS; SRC_ANTHROPIC_AMAZON_COMPUTE; SRC_AWS_RAINIER_ACTIVE; SRC_EPOCH_AI_DATA_CENTERS; ASSUMP_INFERENCE_SHARE_NOT_FACT_60</t>
        </is>
      </c>
      <c r="K1676" s="3" t="inlineStr">
        <is>
          <t>ASSUMP_POWER_RAMP; ASSUMP_CLOSED_MODEL_BAND; ASSUMP_NUMERIC_ACCELERATOR_MIX; ASSUMP_INFERENCE_SHARE_NOT_FACT_60; ASSUMP_WORKLOAD_CLASS_MIX; ASSUMP_AGENTIC_CONTEXT_PENALTY</t>
        </is>
      </c>
      <c r="L1676" s="3" t="inlineStr">
        <is>
          <t>Provider-specific inference/training workload power telemetry.</t>
        </is>
      </c>
    </row>
    <row r="1677">
      <c r="A1677" s="3" t="inlineStr">
        <is>
          <t>Anthropic</t>
        </is>
      </c>
      <c r="B1677" s="3" t="n">
        <v>2028</v>
      </c>
      <c r="C1677" s="3" t="inlineStr">
        <is>
          <t>Base</t>
        </is>
      </c>
      <c r="D1677" s="3" t="inlineStr">
        <is>
          <t>training_gw</t>
        </is>
      </c>
      <c r="E1677" s="3" t="n">
        <v>0.876</v>
      </c>
      <c r="F1677" s="3" t="inlineStr">
        <is>
          <t>GW</t>
        </is>
      </c>
      <c r="G1677" s="3" t="inlineStr">
        <is>
          <t>Derived formula</t>
        </is>
      </c>
      <c r="H1677" s="3" t="inlineStr">
        <is>
          <t>ai_it_load_gw * training_power_share</t>
        </is>
      </c>
      <c r="I1677" s="3" t="inlineStr">
        <is>
          <t>Training GW is shown separately so commercial inference token capacity is not overstated.</t>
        </is>
      </c>
      <c r="J1677" s="3" t="inlineStr">
        <is>
          <t>SRC_ANTHROPIC_CLAUDE_DOCS; SRC_ANTHROPIC_AMAZON_COMPUTE; SRC_AWS_RAINIER_ACTIVE; SRC_EPOCH_AI_DATA_CENTERS</t>
        </is>
      </c>
      <c r="K1677" s="3" t="inlineStr">
        <is>
          <t>ASSUMP_POWER_RAMP; ASSUMP_CLOSED_MODEL_BAND; ASSUMP_NUMERIC_ACCELERATOR_MIX; ASSUMP_INFERENCE_SHARE_NOT_FACT_60; ASSUMP_WORKLOAD_CLASS_MIX; ASSUMP_AGENTIC_CONTEXT_PENALTY</t>
        </is>
      </c>
      <c r="L1677" s="3" t="inlineStr">
        <is>
          <t>Recompute after AI allocation or workload-split evidence changes.</t>
        </is>
      </c>
    </row>
    <row r="1678">
      <c r="A1678" s="3" t="inlineStr">
        <is>
          <t>Anthropic</t>
        </is>
      </c>
      <c r="B1678" s="3" t="n">
        <v>2028</v>
      </c>
      <c r="C1678" s="3" t="inlineStr">
        <is>
          <t>Base</t>
        </is>
      </c>
      <c r="D1678" s="3" t="inlineStr">
        <is>
          <t>tokens_per_second_per_mw</t>
        </is>
      </c>
      <c r="E1678" s="3" t="n">
        <v>94050</v>
      </c>
      <c r="F1678" s="3" t="inlineStr">
        <is>
          <t>generated output tokens/sec/MW</t>
        </is>
      </c>
      <c r="G1678" s="3" t="inlineStr">
        <is>
          <t>Derived estimate + benchmark calibration</t>
        </is>
      </c>
      <c r="H1678" s="3" t="inlineStr">
        <is>
          <t>fleet_reference_tps_per_mw * commercial_workload_fit_factor</t>
        </is>
      </c>
      <c r="I167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678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678" s="3" t="inlineStr">
        <is>
          <t>ASSUMP_POWER_RAMP; ASSUMP_CLOSED_MODEL_BAND; ASSUMP_NUMERIC_ACCELERATOR_MIX; ASSUMP_INFERENCE_SHARE_NOT_FACT_60; ASSUMP_WORKLOAD_CLASS_MIX; ASSUMP_AGENTIC_CONTEXT_PENALTY</t>
        </is>
      </c>
      <c r="L1678" s="3" t="inlineStr">
        <is>
          <t>Comparable production output-token throughput with model, hardware, precision, ISL/OSL and SLO matched.</t>
        </is>
      </c>
    </row>
    <row r="1679">
      <c r="A1679" s="3" t="inlineStr">
        <is>
          <t>Anthropic</t>
        </is>
      </c>
      <c r="B1679" s="3" t="n">
        <v>2028</v>
      </c>
      <c r="C1679" s="3" t="inlineStr">
        <is>
          <t>Base</t>
        </is>
      </c>
      <c r="D1679" s="3" t="inlineStr">
        <is>
          <t>inference_tokens_per_day</t>
        </is>
      </c>
      <c r="E1679" s="3" t="n">
        <v>12123872640000</v>
      </c>
      <c r="F1679" s="3" t="inlineStr">
        <is>
          <t>generated output tokens/day</t>
        </is>
      </c>
      <c r="G1679" s="3" t="inlineStr">
        <is>
          <t>Derived headline metric</t>
        </is>
      </c>
      <c r="H1679" s="3" t="inlineStr">
        <is>
          <t>inference_gw * 1000 * tokens_per_second_per_mw * 86,400</t>
        </is>
      </c>
      <c r="I1679" s="3" t="inlineStr">
        <is>
          <t>Headline capacity uses no utilization, MoE, architecture or software-growth multiplier; it is not observed commercial output volume.</t>
        </is>
      </c>
      <c r="J1679" s="3" t="inlineStr">
        <is>
          <t>SRC_ANTHROPIC_CLAUDE_DOCS; SRC_ANTHROPIC_AMAZON_COMPUTE; SRC_AWS_RAINIER_ACTIVE; SRC_EPOCH_AI_DATA_CENTERS; SRC_SEMIANALYSIS_INFERENCEX</t>
        </is>
      </c>
      <c r="K1679" s="3" t="inlineStr">
        <is>
          <t>ASSUMP_POWER_RAMP; ASSUMP_CLOSED_MODEL_BAND; ASSUMP_NUMERIC_ACCELERATOR_MIX; ASSUMP_INFERENCE_SHARE_NOT_FACT_60; ASSUMP_WORKLOAD_CLASS_MIX; ASSUMP_AGENTIC_CONTEXT_PENALTY</t>
        </is>
      </c>
      <c r="L1679" s="3" t="inlineStr">
        <is>
          <t>Provider-disclosed generated output token volume or calibrated capacity telemetry.</t>
        </is>
      </c>
    </row>
    <row r="1680">
      <c r="A1680" s="3" t="inlineStr">
        <is>
          <t>Anthropic</t>
        </is>
      </c>
      <c r="B1680" s="3" t="n">
        <v>2028</v>
      </c>
      <c r="C1680" s="3" t="inlineStr">
        <is>
          <t>Base</t>
        </is>
      </c>
      <c r="D1680" s="3" t="inlineStr">
        <is>
          <t>inference_tokens_per_year</t>
        </is>
      </c>
      <c r="E1680" s="3" t="n">
        <v>4425213513600000</v>
      </c>
      <c r="F1680" s="3" t="inlineStr">
        <is>
          <t>generated output tokens/year</t>
        </is>
      </c>
      <c r="G1680" s="3" t="inlineStr">
        <is>
          <t>Derived headline metric</t>
        </is>
      </c>
      <c r="H1680" s="3" t="inlineStr">
        <is>
          <t>inference_tokens_per_day * 365</t>
        </is>
      </c>
      <c r="I1680" s="3" t="inlineStr">
        <is>
          <t>Annualized version of generated output token capacity; it is not observed annual demand or billable volume.</t>
        </is>
      </c>
      <c r="J1680" s="3" t="inlineStr">
        <is>
          <t>SRC_ANTHROPIC_CLAUDE_DOCS; SRC_ANTHROPIC_AMAZON_COMPUTE; SRC_AWS_RAINIER_ACTIVE; SRC_EPOCH_AI_DATA_CENTERS; SRC_SEMIANALYSIS_INFERENCEX</t>
        </is>
      </c>
      <c r="K1680" s="3" t="inlineStr">
        <is>
          <t>ASSUMP_POWER_RAMP; ASSUMP_CLOSED_MODEL_BAND; ASSUMP_NUMERIC_ACCELERATOR_MIX; ASSUMP_INFERENCE_SHARE_NOT_FACT_60; ASSUMP_WORKLOAD_CLASS_MIX; ASSUMP_AGENTIC_CONTEXT_PENALTY</t>
        </is>
      </c>
      <c r="L1680" s="3" t="inlineStr">
        <is>
          <t>Provider-disclosed annual generated-output volume or metered serving telemetry.</t>
        </is>
      </c>
    </row>
    <row r="1681">
      <c r="A1681" s="3" t="inlineStr">
        <is>
          <t>Anthropic</t>
        </is>
      </c>
      <c r="B1681" s="3" t="n">
        <v>2029</v>
      </c>
      <c r="C1681" s="3" t="inlineStr">
        <is>
          <t>Base</t>
        </is>
      </c>
      <c r="D1681" s="3" t="inlineStr">
        <is>
          <t>contracted_power_gw</t>
        </is>
      </c>
      <c r="E1681" s="3" t="n">
        <v>6.125</v>
      </c>
      <c r="F1681" s="3" t="inlineStr">
        <is>
          <t>GW</t>
        </is>
      </c>
      <c r="G1681" s="3" t="inlineStr">
        <is>
          <t>Fact anchor + scenario ceiling</t>
        </is>
      </c>
      <c r="H1681" s="3" t="inlineStr">
        <is>
          <t>linear interpolation between 2026 and 2030 company capacity endpoints</t>
        </is>
      </c>
      <c r="I1681" s="3" t="inlineStr">
        <is>
          <t>Hosted capacity envelope is anchored by Anthropic/AWS Project Rainier direction; it is attributed to Claude outputs, not AWS as a model owner.</t>
        </is>
      </c>
      <c r="J1681" s="3" t="inlineStr">
        <is>
          <t>SRC_ANTHROPIC_AMAZON_COMPUTE; SRC_AWS_RAINIER_ACTIVE; ASSUMP_POWER_RAMP</t>
        </is>
      </c>
      <c r="K1681" s="3" t="inlineStr">
        <is>
          <t>ASSUMP_POWER_RAMP; ASSUMP_CLOSED_MODEL_BAND; ASSUMP_NUMERIC_ACCELERATOR_MIX; ASSUMP_INFERENCE_SHARE_NOT_FACT_60; ASSUMP_WORKLOAD_CLASS_MIX; ASSUMP_AGENTIC_CONTEXT_PENALTY</t>
        </is>
      </c>
      <c r="L1681" s="3" t="inlineStr">
        <is>
          <t>Company/site-level committed MW/GW, interconnect and contract disclosure.</t>
        </is>
      </c>
    </row>
    <row r="1682">
      <c r="A1682" s="3" t="inlineStr">
        <is>
          <t>Anthropic</t>
        </is>
      </c>
      <c r="B1682" s="3" t="n">
        <v>2029</v>
      </c>
      <c r="C1682" s="3" t="inlineStr">
        <is>
          <t>Base</t>
        </is>
      </c>
      <c r="D1682" s="3" t="inlineStr">
        <is>
          <t>operational_deployment_share</t>
        </is>
      </c>
      <c r="E1682" s="3" t="n">
        <v>0.71428571</v>
      </c>
      <c r="F1682" s="3" t="inlineStr">
        <is>
          <t>share</t>
        </is>
      </c>
      <c r="G1682" s="3" t="inlineStr">
        <is>
          <t>Scenario conversion</t>
        </is>
      </c>
      <c r="H1682" s="3" t="inlineStr">
        <is>
          <t>active_power_gw / contracted_power_gw</t>
        </is>
      </c>
      <c r="I1682" s="3" t="inlineStr">
        <is>
          <t>This is the single explicit conversion from contracted/attributed capacity to operationally usable capacity.</t>
        </is>
      </c>
      <c r="J1682" s="3" t="inlineStr">
        <is>
          <t>SRC_ANTHROPIC_AMAZON_COMPUTE; SRC_AWS_RAINIER_ACTIVE; ASSUMP_POWER_RAMP</t>
        </is>
      </c>
      <c r="K1682" s="3" t="inlineStr">
        <is>
          <t>ASSUMP_POWER_RAMP; ASSUMP_CLOSED_MODEL_BAND; ASSUMP_NUMERIC_ACCELERATOR_MIX; ASSUMP_INFERENCE_SHARE_NOT_FACT_60; ASSUMP_WORKLOAD_CLASS_MIX; ASSUMP_AGENTIC_CONTEXT_PENALTY</t>
        </is>
      </c>
      <c r="L1682" s="3" t="inlineStr">
        <is>
          <t>Energized operational capacity divided by contracted/attributed capacity.</t>
        </is>
      </c>
    </row>
    <row r="1683">
      <c r="A1683" s="3" t="inlineStr">
        <is>
          <t>Anthropic</t>
        </is>
      </c>
      <c r="B1683" s="3" t="n">
        <v>2029</v>
      </c>
      <c r="C1683" s="3" t="inlineStr">
        <is>
          <t>Base</t>
        </is>
      </c>
      <c r="D1683" s="3" t="inlineStr">
        <is>
          <t>active_power_gw</t>
        </is>
      </c>
      <c r="E1683" s="3" t="n">
        <v>4.375</v>
      </c>
      <c r="F1683" s="3" t="inlineStr">
        <is>
          <t>GW</t>
        </is>
      </c>
      <c r="G1683" s="3" t="inlineStr">
        <is>
          <t>Derived scenario</t>
        </is>
      </c>
      <c r="H1683" s="3" t="inlineStr">
        <is>
          <t>contracted_power_gw * operational_deployment_share</t>
        </is>
      </c>
      <c r="I1683" s="3" t="inlineStr">
        <is>
          <t>Trainium cluster activation supports staged active ramp; Claude inference-versus-training use remains estimated.</t>
        </is>
      </c>
      <c r="J1683" s="3" t="inlineStr">
        <is>
          <t>SRC_ANTHROPIC_AMAZON_COMPUTE; SRC_AWS_RAINIER_ACTIVE; ASSUMP_POWER_RAMP</t>
        </is>
      </c>
      <c r="K1683" s="3" t="inlineStr">
        <is>
          <t>ASSUMP_POWER_RAMP; ASSUMP_CLOSED_MODEL_BAND; ASSUMP_NUMERIC_ACCELERATOR_MIX; ASSUMP_INFERENCE_SHARE_NOT_FACT_60; ASSUMP_WORKLOAD_CLASS_MIX; ASSUMP_AGENTIC_CONTEXT_PENALTY</t>
        </is>
      </c>
      <c r="L1683" s="3" t="inlineStr">
        <is>
          <t>Energization dates, accelerator deliveries and operational powered-rack telemetry.</t>
        </is>
      </c>
    </row>
    <row r="1684">
      <c r="A1684" s="3" t="inlineStr">
        <is>
          <t>Anthropic</t>
        </is>
      </c>
      <c r="B1684" s="3" t="n">
        <v>2029</v>
      </c>
      <c r="C1684" s="3" t="inlineStr">
        <is>
          <t>Base</t>
        </is>
      </c>
      <c r="D1684" s="3" t="inlineStr">
        <is>
          <t>pue</t>
        </is>
      </c>
      <c r="E1684" s="3" t="n">
        <v>1.18</v>
      </c>
      <c r="F1684" s="3" t="inlineStr">
        <is>
          <t>ratio</t>
        </is>
      </c>
      <c r="G1684" s="3" t="inlineStr">
        <is>
          <t>Scenario parameter</t>
        </is>
      </c>
      <c r="H1684" s="3" t="inlineStr">
        <is>
          <t>it_load_gw = active_power_gw / pue</t>
        </is>
      </c>
      <c r="I1684" s="3" t="inlineStr">
        <is>
          <t>No provider-wide site-level PUE is used as a disclosed fact; PUE represents facility-to-IT conversion within the scenario.</t>
        </is>
      </c>
      <c r="J1684" s="3" t="inlineStr">
        <is>
          <t>ASSUMP_POWER_RAMP</t>
        </is>
      </c>
      <c r="K1684" s="3" t="inlineStr">
        <is>
          <t>ASSUMP_POWER_RAMP; ASSUMP_CLOSED_MODEL_BAND; ASSUMP_NUMERIC_ACCELERATOR_MIX; ASSUMP_INFERENCE_SHARE_NOT_FACT_60; ASSUMP_WORKLOAD_CLASS_MIX; ASSUMP_AGENTIC_CONTEXT_PENALTY</t>
        </is>
      </c>
      <c r="L1684" s="3" t="inlineStr">
        <is>
          <t>Site-level measured PUE matched to attributed AI capacity.</t>
        </is>
      </c>
    </row>
    <row r="1685">
      <c r="A1685" s="3" t="inlineStr">
        <is>
          <t>Anthropic</t>
        </is>
      </c>
      <c r="B1685" s="3" t="n">
        <v>2029</v>
      </c>
      <c r="C1685" s="3" t="inlineStr">
        <is>
          <t>Base</t>
        </is>
      </c>
      <c r="D1685" s="3" t="inlineStr">
        <is>
          <t>it_load_gw</t>
        </is>
      </c>
      <c r="E1685" s="3" t="n">
        <v>3.708</v>
      </c>
      <c r="F1685" s="3" t="inlineStr">
        <is>
          <t>GW</t>
        </is>
      </c>
      <c r="G1685" s="3" t="inlineStr">
        <is>
          <t>Derived formula</t>
        </is>
      </c>
      <c r="H1685" s="3" t="inlineStr">
        <is>
          <t>active_power_gw / pue</t>
        </is>
      </c>
      <c r="I1685" s="3" t="inlineStr">
        <is>
          <t>Facility power is converted to IT-deliverable power before attributing AI workloads.</t>
        </is>
      </c>
      <c r="J1685" s="3" t="inlineStr">
        <is>
          <t>SRC_ANTHROPIC_AMAZON_COMPUTE; SRC_AWS_RAINIER_ACTIVE; ASSUMP_POWER_RAMP</t>
        </is>
      </c>
      <c r="K1685" s="3" t="inlineStr">
        <is>
          <t>ASSUMP_POWER_RAMP; ASSUMP_CLOSED_MODEL_BAND; ASSUMP_NUMERIC_ACCELERATOR_MIX; ASSUMP_INFERENCE_SHARE_NOT_FACT_60; ASSUMP_WORKLOAD_CLASS_MIX; ASSUMP_AGENTIC_CONTEXT_PENALTY</t>
        </is>
      </c>
      <c r="L1685" s="3" t="inlineStr">
        <is>
          <t>Recompute once active power and PUE become site-observable.</t>
        </is>
      </c>
    </row>
    <row r="1686">
      <c r="A1686" s="3" t="inlineStr">
        <is>
          <t>Anthropic</t>
        </is>
      </c>
      <c r="B1686" s="3" t="n">
        <v>2029</v>
      </c>
      <c r="C1686" s="3" t="inlineStr">
        <is>
          <t>Base</t>
        </is>
      </c>
      <c r="D1686" s="3" t="inlineStr">
        <is>
          <t>ai_workload_share</t>
        </is>
      </c>
      <c r="E1686" s="3" t="n">
        <v>0.86</v>
      </c>
      <c r="F1686" s="3" t="inlineStr">
        <is>
          <t>share</t>
        </is>
      </c>
      <c r="G1686" s="3" t="inlineStr">
        <is>
          <t>Scenario allocation</t>
        </is>
      </c>
      <c r="H1686" s="3" t="inlineStr">
        <is>
          <t>ai_it_load_gw = it_load_gw * ai_workload_share</t>
        </is>
      </c>
      <c r="I1686" s="3" t="inlineStr">
        <is>
          <t>Anthropic-directed hosted capacity is predominantly AI; 86% excludes platform, reserve and non-serving allocation.</t>
        </is>
      </c>
      <c r="J1686" s="3" t="inlineStr">
        <is>
          <t>SRC_ANTHROPIC_CLAUDE_DOCS; SRC_ANTHROPIC_AMAZON_COMPUTE; SRC_AWS_RAINIER_ACTIVE; SRC_EPOCH_AI_DATA_CENTERS</t>
        </is>
      </c>
      <c r="K1686" s="3" t="inlineStr">
        <is>
          <t>ASSUMP_POWER_RAMP; ASSUMP_CLOSED_MODEL_BAND; ASSUMP_NUMERIC_ACCELERATOR_MIX; ASSUMP_INFERENCE_SHARE_NOT_FACT_60; ASSUMP_WORKLOAD_CLASS_MIX; ASSUMP_AGENTIC_CONTEXT_PENALTY</t>
        </is>
      </c>
      <c r="L1686" s="3" t="inlineStr">
        <is>
          <t>Model-owner AI workload allocation or cluster scheduling telemetry.</t>
        </is>
      </c>
    </row>
    <row r="1687">
      <c r="A1687" s="3" t="inlineStr">
        <is>
          <t>Anthropic</t>
        </is>
      </c>
      <c r="B1687" s="3" t="n">
        <v>2029</v>
      </c>
      <c r="C1687" s="3" t="inlineStr">
        <is>
          <t>Base</t>
        </is>
      </c>
      <c r="D1687" s="3" t="inlineStr">
        <is>
          <t>ai_it_load_gw</t>
        </is>
      </c>
      <c r="E1687" s="3" t="n">
        <v>3.189</v>
      </c>
      <c r="F1687" s="3" t="inlineStr">
        <is>
          <t>GW</t>
        </is>
      </c>
      <c r="G1687" s="3" t="inlineStr">
        <is>
          <t>Derived formula</t>
        </is>
      </c>
      <c r="H1687" s="3" t="inlineStr">
        <is>
          <t>it_load_gw * ai_workload_share</t>
        </is>
      </c>
      <c r="I1687" s="3" t="inlineStr">
        <is>
          <t>Only the AI-attributed portion of IT load enters training/inference allocation.</t>
        </is>
      </c>
      <c r="J1687" s="3" t="inlineStr">
        <is>
          <t>SRC_ANTHROPIC_CLAUDE_DOCS; SRC_ANTHROPIC_AMAZON_COMPUTE; SRC_AWS_RAINIER_ACTIVE; SRC_EPOCH_AI_DATA_CENTERS</t>
        </is>
      </c>
      <c r="K1687" s="3" t="inlineStr">
        <is>
          <t>ASSUMP_POWER_RAMP; ASSUMP_CLOSED_MODEL_BAND; ASSUMP_NUMERIC_ACCELERATOR_MIX; ASSUMP_INFERENCE_SHARE_NOT_FACT_60; ASSUMP_WORKLOAD_CLASS_MIX; ASSUMP_AGENTIC_CONTEXT_PENALTY</t>
        </is>
      </c>
      <c r="L1687" s="3" t="inlineStr">
        <is>
          <t>Recompute after ai_workload_share is replaced by telemetry.</t>
        </is>
      </c>
    </row>
    <row r="1688">
      <c r="A1688" s="3" t="inlineStr">
        <is>
          <t>Anthropic</t>
        </is>
      </c>
      <c r="B1688" s="3" t="n">
        <v>2029</v>
      </c>
      <c r="C1688" s="3" t="inlineStr">
        <is>
          <t>Base</t>
        </is>
      </c>
      <c r="D1688" s="3" t="inlineStr">
        <is>
          <t>gpu_share</t>
        </is>
      </c>
      <c r="E1688" s="3" t="n">
        <v>0.178448</v>
      </c>
      <c r="F1688" s="3" t="inlineStr">
        <is>
          <t>share of inference-serving accelerator load</t>
        </is>
      </c>
      <c r="G1688" s="3" t="inlineStr">
        <is>
          <t>Numeric scenario</t>
        </is>
      </c>
      <c r="H1688" s="3" t="inlineStr">
        <is>
          <t>gpu_share interpolated from company 2026/2030 accelerator-mix endpoints</t>
        </is>
      </c>
      <c r="I1688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88" s="3" t="inlineStr">
        <is>
          <t>SRC_ANTHROPIC_CLAUDE_DOCS; SRC_ANTHROPIC_AMAZON_COMPUTE; SRC_AWS_RAINIER_ACTIVE; SRC_EPOCH_AI_DATA_CENTERS; ASSUMP_NUMERIC_ACCELERATOR_MIX</t>
        </is>
      </c>
      <c r="K1688" s="3" t="inlineStr">
        <is>
          <t>ASSUMP_POWER_RAMP; ASSUMP_CLOSED_MODEL_BAND; ASSUMP_NUMERIC_ACCELERATOR_MIX; ASSUMP_INFERENCE_SHARE_NOT_FACT_60; ASSUMP_WORKLOAD_CLASS_MIX; ASSUMP_AGENTIC_CONTEXT_PENALTY</t>
        </is>
      </c>
      <c r="L1688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89">
      <c r="A1689" s="3" t="inlineStr">
        <is>
          <t>Anthropic</t>
        </is>
      </c>
      <c r="B1689" s="3" t="n">
        <v>2029</v>
      </c>
      <c r="C1689" s="3" t="inlineStr">
        <is>
          <t>Base</t>
        </is>
      </c>
      <c r="D1689" s="3" t="inlineStr">
        <is>
          <t>h200_share</t>
        </is>
      </c>
      <c r="E1689" s="3" t="n">
        <v>0.06841700000000001</v>
      </c>
      <c r="F1689" s="3" t="inlineStr">
        <is>
          <t>share of inference-serving accelerator load</t>
        </is>
      </c>
      <c r="G1689" s="3" t="inlineStr">
        <is>
          <t>Editable numeric scenario</t>
        </is>
      </c>
      <c r="H1689" s="3" t="inlineStr">
        <is>
          <t>h200_share = gpu_share * default_gpu_generation_mix_h200</t>
        </is>
      </c>
      <c r="I1689" s="3" t="inlineStr">
        <is>
          <t>Default GPU-generation migration assumption; executive workbook allows later manual replacement by company/year/scenario.</t>
        </is>
      </c>
      <c r="J1689" s="3" t="inlineStr">
        <is>
          <t>SRC_SEMIANALYSIS_INFERENCEX; ASSUMP_NUMERIC_ACCELERATOR_MIX</t>
        </is>
      </c>
      <c r="K1689" s="3" t="inlineStr">
        <is>
          <t>ASSUMP_POWER_RAMP; ASSUMP_CLOSED_MODEL_BAND; ASSUMP_NUMERIC_ACCELERATOR_MIX; ASSUMP_INFERENCE_SHARE_NOT_FACT_60; ASSUMP_WORKLOAD_CLASS_MIX; ASSUMP_AGENTIC_CONTEXT_PENALTY</t>
        </is>
      </c>
      <c r="L1689" s="3" t="inlineStr">
        <is>
          <t>Company fleet inventory, accelerator-hours or procurement/deployment records by GPU generation.</t>
        </is>
      </c>
    </row>
    <row r="1690">
      <c r="A1690" s="3" t="inlineStr">
        <is>
          <t>Anthropic</t>
        </is>
      </c>
      <c r="B1690" s="3" t="n">
        <v>2029</v>
      </c>
      <c r="C1690" s="3" t="inlineStr">
        <is>
          <t>Base</t>
        </is>
      </c>
      <c r="D1690" s="3" t="inlineStr">
        <is>
          <t>b200_share</t>
        </is>
      </c>
      <c r="E1690" s="3" t="n">
        <v>0.110031</v>
      </c>
      <c r="F1690" s="3" t="inlineStr">
        <is>
          <t>share of inference-serving accelerator load</t>
        </is>
      </c>
      <c r="G1690" s="3" t="inlineStr">
        <is>
          <t>Editable numeric scenario</t>
        </is>
      </c>
      <c r="H1690" s="3" t="inlineStr">
        <is>
          <t>b200_share = gpu_share * default_gpu_generation_mix_b200</t>
        </is>
      </c>
      <c r="I1690" s="3" t="inlineStr">
        <is>
          <t>Default GPU-generation migration assumption; executive workbook allows later manual replacement by company/year/scenario.</t>
        </is>
      </c>
      <c r="J1690" s="3" t="inlineStr">
        <is>
          <t>SRC_SEMIANALYSIS_INFERENCEX; ASSUMP_NUMERIC_ACCELERATOR_MIX</t>
        </is>
      </c>
      <c r="K1690" s="3" t="inlineStr">
        <is>
          <t>ASSUMP_POWER_RAMP; ASSUMP_CLOSED_MODEL_BAND; ASSUMP_NUMERIC_ACCELERATOR_MIX; ASSUMP_INFERENCE_SHARE_NOT_FACT_60; ASSUMP_WORKLOAD_CLASS_MIX; ASSUMP_AGENTIC_CONTEXT_PENALTY</t>
        </is>
      </c>
      <c r="L1690" s="3" t="inlineStr">
        <is>
          <t>Company fleet inventory, accelerator-hours or procurement/deployment records by GPU generation.</t>
        </is>
      </c>
    </row>
    <row r="1691">
      <c r="A1691" s="3" t="inlineStr">
        <is>
          <t>Anthropic</t>
        </is>
      </c>
      <c r="B1691" s="3" t="n">
        <v>2029</v>
      </c>
      <c r="C1691" s="3" t="inlineStr">
        <is>
          <t>Base</t>
        </is>
      </c>
      <c r="D1691" s="3" t="inlineStr">
        <is>
          <t>gb200_share</t>
        </is>
      </c>
      <c r="E1691" s="3" t="n">
        <v>0</v>
      </c>
      <c r="F1691" s="3" t="inlineStr">
        <is>
          <t>share of inference-serving accelerator load</t>
        </is>
      </c>
      <c r="G1691" s="3" t="inlineStr">
        <is>
          <t>Editable numeric scenario</t>
        </is>
      </c>
      <c r="H1691" s="3" t="inlineStr">
        <is>
          <t>gb200_share = gpu_share * default_gpu_generation_mix_gb200</t>
        </is>
      </c>
      <c r="I1691" s="3" t="inlineStr">
        <is>
          <t>Default GPU-generation migration assumption; executive workbook allows later manual replacement by company/year/scenario.</t>
        </is>
      </c>
      <c r="J1691" s="3" t="inlineStr">
        <is>
          <t>SRC_SEMIANALYSIS_INFERENCEX; ASSUMP_NUMERIC_ACCELERATOR_MIX</t>
        </is>
      </c>
      <c r="K1691" s="3" t="inlineStr">
        <is>
          <t>ASSUMP_POWER_RAMP; ASSUMP_CLOSED_MODEL_BAND; ASSUMP_NUMERIC_ACCELERATOR_MIX; ASSUMP_INFERENCE_SHARE_NOT_FACT_60; ASSUMP_WORKLOAD_CLASS_MIX; ASSUMP_AGENTIC_CONTEXT_PENALTY</t>
        </is>
      </c>
      <c r="L1691" s="3" t="inlineStr">
        <is>
          <t>Company fleet inventory, accelerator-hours or procurement/deployment records by GPU generation.</t>
        </is>
      </c>
    </row>
    <row r="1692">
      <c r="A1692" s="3" t="inlineStr">
        <is>
          <t>Anthropic</t>
        </is>
      </c>
      <c r="B1692" s="3" t="n">
        <v>2029</v>
      </c>
      <c r="C1692" s="3" t="inlineStr">
        <is>
          <t>Base</t>
        </is>
      </c>
      <c r="D1692" s="3" t="inlineStr">
        <is>
          <t>purpose_built_accelerator_share</t>
        </is>
      </c>
      <c r="E1692" s="3" t="n">
        <v>0.8215519999999999</v>
      </c>
      <c r="F1692" s="3" t="inlineStr">
        <is>
          <t>share of inference-serving accelerator load</t>
        </is>
      </c>
      <c r="G1692" s="3" t="inlineStr">
        <is>
          <t>Numeric scenario</t>
        </is>
      </c>
      <c r="H1692" s="3" t="inlineStr">
        <is>
          <t>1 - gpu_share</t>
        </is>
      </c>
      <c r="I1692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692" s="3" t="inlineStr">
        <is>
          <t>SRC_ANTHROPIC_CLAUDE_DOCS; SRC_ANTHROPIC_AMAZON_COMPUTE; SRC_AWS_RAINIER_ACTIVE; SRC_EPOCH_AI_DATA_CENTERS; ASSUMP_NUMERIC_ACCELERATOR_MIX</t>
        </is>
      </c>
      <c r="K1692" s="3" t="inlineStr">
        <is>
          <t>ASSUMP_POWER_RAMP; ASSUMP_CLOSED_MODEL_BAND; ASSUMP_NUMERIC_ACCELERATOR_MIX; ASSUMP_INFERENCE_SHARE_NOT_FACT_60; ASSUMP_WORKLOAD_CLASS_MIX; ASSUMP_AGENTIC_CONTEXT_PENALTY</t>
        </is>
      </c>
      <c r="L1692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693">
      <c r="A1693" s="3" t="inlineStr">
        <is>
          <t>Anthropic</t>
        </is>
      </c>
      <c r="B1693" s="3" t="n">
        <v>2029</v>
      </c>
      <c r="C1693" s="3" t="inlineStr">
        <is>
          <t>Base</t>
        </is>
      </c>
      <c r="D1693" s="3" t="inlineStr">
        <is>
          <t>fleet_reference_tps_per_mw</t>
        </is>
      </c>
      <c r="E1693" s="3" t="n">
        <v>188100</v>
      </c>
      <c r="F1693" s="3" t="inlineStr">
        <is>
          <t>generated output tokens/sec/MW</t>
        </is>
      </c>
      <c r="G1693" s="3" t="inlineStr">
        <is>
          <t>Fleet-weighted public benchmark reference</t>
        </is>
      </c>
      <c r="H1693" s="3" t="inlineStr">
        <is>
          <t>h200_share*h200_workload_avg + b200_share*b200_workload_avg + gb200_share*gb200_workload_avg + purpose_built_share*purpose_workload_avg</t>
        </is>
      </c>
      <c r="I169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693" s="3" t="inlineStr">
        <is>
          <t>SRC_SEMIANALYSIS_INFERENCEX; ASSUMP_NUMERIC_ACCELERATOR_MIX; ASSUMP_WORKLOAD_CLASS_MIX; ASSUMP_AGENTIC_CONTEXT_PENALTY</t>
        </is>
      </c>
      <c r="K1693" s="3" t="inlineStr">
        <is>
          <t>ASSUMP_POWER_RAMP; ASSUMP_CLOSED_MODEL_BAND; ASSUMP_NUMERIC_ACCELERATOR_MIX; ASSUMP_INFERENCE_SHARE_NOT_FACT_60; ASSUMP_WORKLOAD_CLASS_MIX; ASSUMP_AGENTIC_CONTEXT_PENALTY</t>
        </is>
      </c>
      <c r="L1693" s="3" t="inlineStr">
        <is>
          <t>Comparable production output-token throughput or a more closely matched benchmark.</t>
        </is>
      </c>
    </row>
    <row r="1694">
      <c r="A1694" s="3" t="inlineStr">
        <is>
          <t>Anthropic</t>
        </is>
      </c>
      <c r="B1694" s="3" t="n">
        <v>2029</v>
      </c>
      <c r="C1694" s="3" t="inlineStr">
        <is>
          <t>Base</t>
        </is>
      </c>
      <c r="D1694" s="3" t="inlineStr">
        <is>
          <t>commercial_workload_fit_factor</t>
        </is>
      </c>
      <c r="E1694" s="3" t="n">
        <v>0.5</v>
      </c>
      <c r="F1694" s="3" t="inlineStr">
        <is>
          <t>share of public reference throughput</t>
        </is>
      </c>
      <c r="G1694" s="3" t="inlineStr">
        <is>
          <t>Scenario assumption</t>
        </is>
      </c>
      <c r="H1694" s="3" t="inlineStr">
        <is>
          <t>reference_serving_tps_per_mw = fleet_reference_tps_per_mw * commercial_workload_fit_factor</t>
        </is>
      </c>
      <c r="I169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694" s="3" t="inlineStr">
        <is>
          <t>SRC_SEMIANALYSIS_INFERENCEX; ASSUMP_NUMERIC_ACCELERATOR_MIX; ASSUMP_WORKLOAD_CLASS_MIX; ASSUMP_AGENTIC_CONTEXT_PENALTY</t>
        </is>
      </c>
      <c r="K1694" s="3" t="inlineStr">
        <is>
          <t>ASSUMP_POWER_RAMP; ASSUMP_CLOSED_MODEL_BAND; ASSUMP_NUMERIC_ACCELERATOR_MIX; ASSUMP_INFERENCE_SHARE_NOT_FACT_60; ASSUMP_WORKLOAD_CLASS_MIX; ASSUMP_AGENTIC_CONTEXT_PENALTY</t>
        </is>
      </c>
      <c r="L1694" s="3" t="inlineStr">
        <is>
          <t>Matched commercial serving benchmark by product surface, context shape and latency SLO.</t>
        </is>
      </c>
    </row>
    <row r="1695">
      <c r="A1695" s="3" t="inlineStr">
        <is>
          <t>Anthropic</t>
        </is>
      </c>
      <c r="B1695" s="3" t="n">
        <v>2029</v>
      </c>
      <c r="C1695" s="3" t="inlineStr">
        <is>
          <t>Base</t>
        </is>
      </c>
      <c r="D1695" s="3" t="inlineStr">
        <is>
          <t>reference_serving_tps_per_mw</t>
        </is>
      </c>
      <c r="E1695" s="3" t="n">
        <v>94050</v>
      </c>
      <c r="F1695" s="3" t="inlineStr">
        <is>
          <t>generated output tokens/sec/MW</t>
        </is>
      </c>
      <c r="G1695" s="3" t="inlineStr">
        <is>
          <t>Workload-adjusted benchmark proxy</t>
        </is>
      </c>
      <c r="H1695" s="3" t="inlineStr">
        <is>
          <t>fleet_reference_tps_per_mw * commercial_workload_fit_factor</t>
        </is>
      </c>
      <c r="I1695" s="3" t="inlineStr">
        <is>
          <t>This is the coefficient used for headline token generation; each GPU's short chat, long chat and agentic TPS/MW are weighted before fleet mix and commercial fit are applied.</t>
        </is>
      </c>
      <c r="J1695" s="3" t="inlineStr">
        <is>
          <t>SRC_SEMIANALYSIS_INFERENCEX; ASSUMP_NUMERIC_ACCELERATOR_MIX; ASSUMP_WORKLOAD_CLASS_MIX; ASSUMP_AGENTIC_CONTEXT_PENALTY</t>
        </is>
      </c>
      <c r="K1695" s="3" t="inlineStr">
        <is>
          <t>ASSUMP_POWER_RAMP; ASSUMP_CLOSED_MODEL_BAND; ASSUMP_NUMERIC_ACCELERATOR_MIX; ASSUMP_INFERENCE_SHARE_NOT_FACT_60; ASSUMP_WORKLOAD_CLASS_MIX; ASSUMP_AGENTIC_CONTEXT_PENALTY</t>
        </is>
      </c>
      <c r="L1695" s="3" t="inlineStr">
        <is>
          <t>Provider production output-token throughput with comparable workload/SLO.</t>
        </is>
      </c>
    </row>
    <row r="1696">
      <c r="A1696" s="3" t="inlineStr">
        <is>
          <t>Anthropic</t>
        </is>
      </c>
      <c r="B1696" s="3" t="n">
        <v>2029</v>
      </c>
      <c r="C1696" s="3" t="inlineStr">
        <is>
          <t>Base</t>
        </is>
      </c>
      <c r="D1696" s="3" t="inlineStr">
        <is>
          <t>purpose_built_tps_per_mw</t>
        </is>
      </c>
      <c r="E1696" s="3" t="n">
        <v>67653</v>
      </c>
      <c r="F1696" s="3" t="inlineStr">
        <is>
          <t>generated output tokens/sec/MW</t>
        </is>
      </c>
      <c r="G1696" s="3" t="inlineStr">
        <is>
          <t>Conservative no-uplift proxy</t>
        </is>
      </c>
      <c r="H1696" s="3" t="inlineStr">
        <is>
          <t>purpose_built_tps_per_mw = purpose_built_reference_tps_per_mw * commercial_workload_fit_factor until comparable output-token benchmark is adopted</t>
        </is>
      </c>
      <c r="I1696" s="3" t="inlineStr">
        <is>
          <t>No comparable public output-token/MW row adopted; B200 public reference placeholder is used and remains editable.</t>
        </is>
      </c>
      <c r="J1696" s="3" t="inlineStr">
        <is>
          <t>SRC_ANTHROPIC_CLAUDE_DOCS; SRC_ANTHROPIC_AMAZON_COMPUTE; SRC_AWS_RAINIER_ACTIVE; SRC_EPOCH_AI_DATA_CENTERS; ASSUMP_NUMERIC_ACCELERATOR_MIX</t>
        </is>
      </c>
      <c r="K1696" s="3" t="inlineStr">
        <is>
          <t>ASSUMP_POWER_RAMP; ASSUMP_CLOSED_MODEL_BAND; ASSUMP_NUMERIC_ACCELERATOR_MIX; ASSUMP_INFERENCE_SHARE_NOT_FACT_60; ASSUMP_WORKLOAD_CLASS_MIX; ASSUMP_AGENTIC_CONTEXT_PENALTY</t>
        </is>
      </c>
      <c r="L1696" s="3" t="inlineStr">
        <is>
          <t>Matched-workload generated-output benchmark for the provider purpose-built accelerator.</t>
        </is>
      </c>
    </row>
    <row r="1697">
      <c r="A1697" s="3" t="inlineStr">
        <is>
          <t>Anthropic</t>
        </is>
      </c>
      <c r="B1697" s="3" t="n">
        <v>2029</v>
      </c>
      <c r="C1697" s="3" t="inlineStr">
        <is>
          <t>Base</t>
        </is>
      </c>
      <c r="D1697" s="3" t="inlineStr">
        <is>
          <t>inference_power_share</t>
        </is>
      </c>
      <c r="E1697" s="3" t="n">
        <v>0.6850000000000001</v>
      </c>
      <c r="F1697" s="3" t="inlineStr">
        <is>
          <t>share of AI IT load</t>
        </is>
      </c>
      <c r="G1697" s="3" t="inlineStr">
        <is>
          <t>Scenario allocation</t>
        </is>
      </c>
      <c r="H1697" s="3" t="inlineStr">
        <is>
          <t>inference_gw = ai_it_load_gw * inference_power_share</t>
        </is>
      </c>
      <c r="I1697" s="3" t="inlineStr">
        <is>
          <t>Claude API/product growth supports a rising inference share, while continued model training prevents full conversion.</t>
        </is>
      </c>
      <c r="J1697" s="3" t="inlineStr">
        <is>
          <t>SRC_ANTHROPIC_CLAUDE_DOCS; SRC_ANTHROPIC_AMAZON_COMPUTE; SRC_AWS_RAINIER_ACTIVE; SRC_EPOCH_AI_DATA_CENTERS; ASSUMP_INFERENCE_SHARE_NOT_FACT_60</t>
        </is>
      </c>
      <c r="K1697" s="3" t="inlineStr">
        <is>
          <t>ASSUMP_POWER_RAMP; ASSUMP_CLOSED_MODEL_BAND; ASSUMP_NUMERIC_ACCELERATOR_MIX; ASSUMP_INFERENCE_SHARE_NOT_FACT_60; ASSUMP_WORKLOAD_CLASS_MIX; ASSUMP_AGENTIC_CONTEXT_PENALTY</t>
        </is>
      </c>
      <c r="L1697" s="3" t="inlineStr">
        <is>
          <t>Provider-specific inference/training workload power telemetry.</t>
        </is>
      </c>
    </row>
    <row r="1698">
      <c r="A1698" s="3" t="inlineStr">
        <is>
          <t>Anthropic</t>
        </is>
      </c>
      <c r="B1698" s="3" t="n">
        <v>2029</v>
      </c>
      <c r="C1698" s="3" t="inlineStr">
        <is>
          <t>Base</t>
        </is>
      </c>
      <c r="D1698" s="3" t="inlineStr">
        <is>
          <t>inference_gw</t>
        </is>
      </c>
      <c r="E1698" s="3" t="n">
        <v>2.184</v>
      </c>
      <c r="F1698" s="3" t="inlineStr">
        <is>
          <t>GW</t>
        </is>
      </c>
      <c r="G1698" s="3" t="inlineStr">
        <is>
          <t>Derived formula</t>
        </is>
      </c>
      <c r="H1698" s="3" t="inlineStr">
        <is>
          <t>ai_it_load_gw * inference_power_share</t>
        </is>
      </c>
      <c r="I1698" s="3" t="inlineStr">
        <is>
          <t>This is the operational power eligible to become commercial generated output tokens through the selected TPS/MW proxy.</t>
        </is>
      </c>
      <c r="J1698" s="3" t="inlineStr">
        <is>
          <t>SRC_ANTHROPIC_CLAUDE_DOCS; SRC_ANTHROPIC_AMAZON_COMPUTE; SRC_AWS_RAINIER_ACTIVE; SRC_EPOCH_AI_DATA_CENTERS</t>
        </is>
      </c>
      <c r="K1698" s="3" t="inlineStr">
        <is>
          <t>ASSUMP_POWER_RAMP; ASSUMP_CLOSED_MODEL_BAND; ASSUMP_NUMERIC_ACCELERATOR_MIX; ASSUMP_INFERENCE_SHARE_NOT_FACT_60; ASSUMP_WORKLOAD_CLASS_MIX; ASSUMP_AGENTIC_CONTEXT_PENALTY</t>
        </is>
      </c>
      <c r="L1698" s="3" t="inlineStr">
        <is>
          <t>Recompute after AI allocation or inference-share evidence changes.</t>
        </is>
      </c>
    </row>
    <row r="1699">
      <c r="A1699" s="3" t="inlineStr">
        <is>
          <t>Anthropic</t>
        </is>
      </c>
      <c r="B1699" s="3" t="n">
        <v>2029</v>
      </c>
      <c r="C1699" s="3" t="inlineStr">
        <is>
          <t>Base</t>
        </is>
      </c>
      <c r="D1699" s="3" t="inlineStr">
        <is>
          <t>training_power_share</t>
        </is>
      </c>
      <c r="E1699" s="3" t="n">
        <v>0.315</v>
      </c>
      <c r="F1699" s="3" t="inlineStr">
        <is>
          <t>share of AI IT load</t>
        </is>
      </c>
      <c r="G1699" s="3" t="inlineStr">
        <is>
          <t>Derived allocation</t>
        </is>
      </c>
      <c r="H1699" s="3" t="inlineStr">
        <is>
          <t>1 - inference_power_share</t>
        </is>
      </c>
      <c r="I1699" s="3" t="inlineStr">
        <is>
          <t>Training receives the complementary modeled AI IT allocation; it is not a disclosed company workload split.</t>
        </is>
      </c>
      <c r="J1699" s="3" t="inlineStr">
        <is>
          <t>SRC_ANTHROPIC_CLAUDE_DOCS; SRC_ANTHROPIC_AMAZON_COMPUTE; SRC_AWS_RAINIER_ACTIVE; SRC_EPOCH_AI_DATA_CENTERS; ASSUMP_INFERENCE_SHARE_NOT_FACT_60</t>
        </is>
      </c>
      <c r="K1699" s="3" t="inlineStr">
        <is>
          <t>ASSUMP_POWER_RAMP; ASSUMP_CLOSED_MODEL_BAND; ASSUMP_NUMERIC_ACCELERATOR_MIX; ASSUMP_INFERENCE_SHARE_NOT_FACT_60; ASSUMP_WORKLOAD_CLASS_MIX; ASSUMP_AGENTIC_CONTEXT_PENALTY</t>
        </is>
      </c>
      <c r="L1699" s="3" t="inlineStr">
        <is>
          <t>Provider-specific inference/training workload power telemetry.</t>
        </is>
      </c>
    </row>
    <row r="1700">
      <c r="A1700" s="3" t="inlineStr">
        <is>
          <t>Anthropic</t>
        </is>
      </c>
      <c r="B1700" s="3" t="n">
        <v>2029</v>
      </c>
      <c r="C1700" s="3" t="inlineStr">
        <is>
          <t>Base</t>
        </is>
      </c>
      <c r="D1700" s="3" t="inlineStr">
        <is>
          <t>training_gw</t>
        </is>
      </c>
      <c r="E1700" s="3" t="n">
        <v>1.004</v>
      </c>
      <c r="F1700" s="3" t="inlineStr">
        <is>
          <t>GW</t>
        </is>
      </c>
      <c r="G1700" s="3" t="inlineStr">
        <is>
          <t>Derived formula</t>
        </is>
      </c>
      <c r="H1700" s="3" t="inlineStr">
        <is>
          <t>ai_it_load_gw * training_power_share</t>
        </is>
      </c>
      <c r="I1700" s="3" t="inlineStr">
        <is>
          <t>Training GW is shown separately so commercial inference token capacity is not overstated.</t>
        </is>
      </c>
      <c r="J1700" s="3" t="inlineStr">
        <is>
          <t>SRC_ANTHROPIC_CLAUDE_DOCS; SRC_ANTHROPIC_AMAZON_COMPUTE; SRC_AWS_RAINIER_ACTIVE; SRC_EPOCH_AI_DATA_CENTERS</t>
        </is>
      </c>
      <c r="K1700" s="3" t="inlineStr">
        <is>
          <t>ASSUMP_POWER_RAMP; ASSUMP_CLOSED_MODEL_BAND; ASSUMP_NUMERIC_ACCELERATOR_MIX; ASSUMP_INFERENCE_SHARE_NOT_FACT_60; ASSUMP_WORKLOAD_CLASS_MIX; ASSUMP_AGENTIC_CONTEXT_PENALTY</t>
        </is>
      </c>
      <c r="L1700" s="3" t="inlineStr">
        <is>
          <t>Recompute after AI allocation or workload-split evidence changes.</t>
        </is>
      </c>
    </row>
    <row r="1701">
      <c r="A1701" s="3" t="inlineStr">
        <is>
          <t>Anthropic</t>
        </is>
      </c>
      <c r="B1701" s="3" t="n">
        <v>2029</v>
      </c>
      <c r="C1701" s="3" t="inlineStr">
        <is>
          <t>Base</t>
        </is>
      </c>
      <c r="D1701" s="3" t="inlineStr">
        <is>
          <t>tokens_per_second_per_mw</t>
        </is>
      </c>
      <c r="E1701" s="3" t="n">
        <v>94050</v>
      </c>
      <c r="F1701" s="3" t="inlineStr">
        <is>
          <t>generated output tokens/sec/MW</t>
        </is>
      </c>
      <c r="G1701" s="3" t="inlineStr">
        <is>
          <t>Derived estimate + benchmark calibration</t>
        </is>
      </c>
      <c r="H1701" s="3" t="inlineStr">
        <is>
          <t>fleet_reference_tps_per_mw * commercial_workload_fit_factor</t>
        </is>
      </c>
      <c r="I170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01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701" s="3" t="inlineStr">
        <is>
          <t>ASSUMP_POWER_RAMP; ASSUMP_CLOSED_MODEL_BAND; ASSUMP_NUMERIC_ACCELERATOR_MIX; ASSUMP_INFERENCE_SHARE_NOT_FACT_60; ASSUMP_WORKLOAD_CLASS_MIX; ASSUMP_AGENTIC_CONTEXT_PENALTY</t>
        </is>
      </c>
      <c r="L1701" s="3" t="inlineStr">
        <is>
          <t>Comparable production output-token throughput with model, hardware, precision, ISL/OSL and SLO matched.</t>
        </is>
      </c>
    </row>
    <row r="1702">
      <c r="A1702" s="3" t="inlineStr">
        <is>
          <t>Anthropic</t>
        </is>
      </c>
      <c r="B1702" s="3" t="n">
        <v>2029</v>
      </c>
      <c r="C1702" s="3" t="inlineStr">
        <is>
          <t>Base</t>
        </is>
      </c>
      <c r="D1702" s="3" t="inlineStr">
        <is>
          <t>inference_tokens_per_day</t>
        </is>
      </c>
      <c r="E1702" s="3" t="n">
        <v>17747009280000</v>
      </c>
      <c r="F1702" s="3" t="inlineStr">
        <is>
          <t>generated output tokens/day</t>
        </is>
      </c>
      <c r="G1702" s="3" t="inlineStr">
        <is>
          <t>Derived headline metric</t>
        </is>
      </c>
      <c r="H1702" s="3" t="inlineStr">
        <is>
          <t>inference_gw * 1000 * tokens_per_second_per_mw * 86,400</t>
        </is>
      </c>
      <c r="I1702" s="3" t="inlineStr">
        <is>
          <t>Headline capacity uses no utilization, MoE, architecture or software-growth multiplier; it is not observed commercial output volume.</t>
        </is>
      </c>
      <c r="J1702" s="3" t="inlineStr">
        <is>
          <t>SRC_ANTHROPIC_CLAUDE_DOCS; SRC_ANTHROPIC_AMAZON_COMPUTE; SRC_AWS_RAINIER_ACTIVE; SRC_EPOCH_AI_DATA_CENTERS; SRC_SEMIANALYSIS_INFERENCEX</t>
        </is>
      </c>
      <c r="K1702" s="3" t="inlineStr">
        <is>
          <t>ASSUMP_POWER_RAMP; ASSUMP_CLOSED_MODEL_BAND; ASSUMP_NUMERIC_ACCELERATOR_MIX; ASSUMP_INFERENCE_SHARE_NOT_FACT_60; ASSUMP_WORKLOAD_CLASS_MIX; ASSUMP_AGENTIC_CONTEXT_PENALTY</t>
        </is>
      </c>
      <c r="L1702" s="3" t="inlineStr">
        <is>
          <t>Provider-disclosed generated output token volume or calibrated capacity telemetry.</t>
        </is>
      </c>
    </row>
    <row r="1703">
      <c r="A1703" s="3" t="inlineStr">
        <is>
          <t>Anthropic</t>
        </is>
      </c>
      <c r="B1703" s="3" t="n">
        <v>2029</v>
      </c>
      <c r="C1703" s="3" t="inlineStr">
        <is>
          <t>Base</t>
        </is>
      </c>
      <c r="D1703" s="3" t="inlineStr">
        <is>
          <t>inference_tokens_per_year</t>
        </is>
      </c>
      <c r="E1703" s="3" t="n">
        <v>6477658387200000</v>
      </c>
      <c r="F1703" s="3" t="inlineStr">
        <is>
          <t>generated output tokens/year</t>
        </is>
      </c>
      <c r="G1703" s="3" t="inlineStr">
        <is>
          <t>Derived headline metric</t>
        </is>
      </c>
      <c r="H1703" s="3" t="inlineStr">
        <is>
          <t>inference_tokens_per_day * 365</t>
        </is>
      </c>
      <c r="I1703" s="3" t="inlineStr">
        <is>
          <t>Annualized version of generated output token capacity; it is not observed annual demand or billable volume.</t>
        </is>
      </c>
      <c r="J1703" s="3" t="inlineStr">
        <is>
          <t>SRC_ANTHROPIC_CLAUDE_DOCS; SRC_ANTHROPIC_AMAZON_COMPUTE; SRC_AWS_RAINIER_ACTIVE; SRC_EPOCH_AI_DATA_CENTERS; SRC_SEMIANALYSIS_INFERENCEX</t>
        </is>
      </c>
      <c r="K1703" s="3" t="inlineStr">
        <is>
          <t>ASSUMP_POWER_RAMP; ASSUMP_CLOSED_MODEL_BAND; ASSUMP_NUMERIC_ACCELERATOR_MIX; ASSUMP_INFERENCE_SHARE_NOT_FACT_60; ASSUMP_WORKLOAD_CLASS_MIX; ASSUMP_AGENTIC_CONTEXT_PENALTY</t>
        </is>
      </c>
      <c r="L1703" s="3" t="inlineStr">
        <is>
          <t>Provider-disclosed annual generated-output volume or metered serving telemetry.</t>
        </is>
      </c>
    </row>
    <row r="1704">
      <c r="A1704" s="3" t="inlineStr">
        <is>
          <t>Anthropic</t>
        </is>
      </c>
      <c r="B1704" s="3" t="n">
        <v>2030</v>
      </c>
      <c r="C1704" s="3" t="inlineStr">
        <is>
          <t>Base</t>
        </is>
      </c>
      <c r="D1704" s="3" t="inlineStr">
        <is>
          <t>contracted_power_gw</t>
        </is>
      </c>
      <c r="E1704" s="3" t="n">
        <v>7</v>
      </c>
      <c r="F1704" s="3" t="inlineStr">
        <is>
          <t>GW</t>
        </is>
      </c>
      <c r="G1704" s="3" t="inlineStr">
        <is>
          <t>Fact anchor + scenario ceiling</t>
        </is>
      </c>
      <c r="H1704" s="3" t="inlineStr">
        <is>
          <t>linear interpolation between 2026 and 2030 company capacity endpoints</t>
        </is>
      </c>
      <c r="I1704" s="3" t="inlineStr">
        <is>
          <t>Hosted capacity envelope is anchored by Anthropic/AWS Project Rainier direction; it is attributed to Claude outputs, not AWS as a model owner.</t>
        </is>
      </c>
      <c r="J1704" s="3" t="inlineStr">
        <is>
          <t>SRC_ANTHROPIC_AMAZON_COMPUTE; SRC_AWS_RAINIER_ACTIVE; ASSUMP_POWER_RAMP</t>
        </is>
      </c>
      <c r="K1704" s="3" t="inlineStr">
        <is>
          <t>ASSUMP_POWER_RAMP; ASSUMP_CLOSED_MODEL_BAND; ASSUMP_NUMERIC_ACCELERATOR_MIX; ASSUMP_INFERENCE_SHARE_NOT_FACT_60; ASSUMP_WORKLOAD_CLASS_MIX; ASSUMP_AGENTIC_CONTEXT_PENALTY</t>
        </is>
      </c>
      <c r="L1704" s="3" t="inlineStr">
        <is>
          <t>Company/site-level committed MW/GW, interconnect and contract disclosure.</t>
        </is>
      </c>
    </row>
    <row r="1705">
      <c r="A1705" s="3" t="inlineStr">
        <is>
          <t>Anthropic</t>
        </is>
      </c>
      <c r="B1705" s="3" t="n">
        <v>2030</v>
      </c>
      <c r="C1705" s="3" t="inlineStr">
        <is>
          <t>Base</t>
        </is>
      </c>
      <c r="D1705" s="3" t="inlineStr">
        <is>
          <t>operational_deployment_share</t>
        </is>
      </c>
      <c r="E1705" s="3" t="n">
        <v>0.78571429</v>
      </c>
      <c r="F1705" s="3" t="inlineStr">
        <is>
          <t>share</t>
        </is>
      </c>
      <c r="G1705" s="3" t="inlineStr">
        <is>
          <t>Scenario conversion</t>
        </is>
      </c>
      <c r="H1705" s="3" t="inlineStr">
        <is>
          <t>active_power_gw / contracted_power_gw</t>
        </is>
      </c>
      <c r="I1705" s="3" t="inlineStr">
        <is>
          <t>This is the single explicit conversion from contracted/attributed capacity to operationally usable capacity.</t>
        </is>
      </c>
      <c r="J1705" s="3" t="inlineStr">
        <is>
          <t>SRC_ANTHROPIC_AMAZON_COMPUTE; SRC_AWS_RAINIER_ACTIVE; ASSUMP_POWER_RAMP</t>
        </is>
      </c>
      <c r="K1705" s="3" t="inlineStr">
        <is>
          <t>ASSUMP_POWER_RAMP; ASSUMP_CLOSED_MODEL_BAND; ASSUMP_NUMERIC_ACCELERATOR_MIX; ASSUMP_INFERENCE_SHARE_NOT_FACT_60; ASSUMP_WORKLOAD_CLASS_MIX; ASSUMP_AGENTIC_CONTEXT_PENALTY</t>
        </is>
      </c>
      <c r="L1705" s="3" t="inlineStr">
        <is>
          <t>Energized operational capacity divided by contracted/attributed capacity.</t>
        </is>
      </c>
    </row>
    <row r="1706">
      <c r="A1706" s="3" t="inlineStr">
        <is>
          <t>Anthropic</t>
        </is>
      </c>
      <c r="B1706" s="3" t="n">
        <v>2030</v>
      </c>
      <c r="C1706" s="3" t="inlineStr">
        <is>
          <t>Base</t>
        </is>
      </c>
      <c r="D1706" s="3" t="inlineStr">
        <is>
          <t>active_power_gw</t>
        </is>
      </c>
      <c r="E1706" s="3" t="n">
        <v>5.5</v>
      </c>
      <c r="F1706" s="3" t="inlineStr">
        <is>
          <t>GW</t>
        </is>
      </c>
      <c r="G1706" s="3" t="inlineStr">
        <is>
          <t>Derived scenario</t>
        </is>
      </c>
      <c r="H1706" s="3" t="inlineStr">
        <is>
          <t>contracted_power_gw * operational_deployment_share</t>
        </is>
      </c>
      <c r="I1706" s="3" t="inlineStr">
        <is>
          <t>Trainium cluster activation supports staged active ramp; Claude inference-versus-training use remains estimated.</t>
        </is>
      </c>
      <c r="J1706" s="3" t="inlineStr">
        <is>
          <t>SRC_ANTHROPIC_AMAZON_COMPUTE; SRC_AWS_RAINIER_ACTIVE; ASSUMP_POWER_RAMP</t>
        </is>
      </c>
      <c r="K1706" s="3" t="inlineStr">
        <is>
          <t>ASSUMP_POWER_RAMP; ASSUMP_CLOSED_MODEL_BAND; ASSUMP_NUMERIC_ACCELERATOR_MIX; ASSUMP_INFERENCE_SHARE_NOT_FACT_60; ASSUMP_WORKLOAD_CLASS_MIX; ASSUMP_AGENTIC_CONTEXT_PENALTY</t>
        </is>
      </c>
      <c r="L1706" s="3" t="inlineStr">
        <is>
          <t>Energization dates, accelerator deliveries and operational powered-rack telemetry.</t>
        </is>
      </c>
    </row>
    <row r="1707">
      <c r="A1707" s="3" t="inlineStr">
        <is>
          <t>Anthropic</t>
        </is>
      </c>
      <c r="B1707" s="3" t="n">
        <v>2030</v>
      </c>
      <c r="C1707" s="3" t="inlineStr">
        <is>
          <t>Base</t>
        </is>
      </c>
      <c r="D1707" s="3" t="inlineStr">
        <is>
          <t>pue</t>
        </is>
      </c>
      <c r="E1707" s="3" t="n">
        <v>1.18</v>
      </c>
      <c r="F1707" s="3" t="inlineStr">
        <is>
          <t>ratio</t>
        </is>
      </c>
      <c r="G1707" s="3" t="inlineStr">
        <is>
          <t>Scenario parameter</t>
        </is>
      </c>
      <c r="H1707" s="3" t="inlineStr">
        <is>
          <t>it_load_gw = active_power_gw / pue</t>
        </is>
      </c>
      <c r="I1707" s="3" t="inlineStr">
        <is>
          <t>No provider-wide site-level PUE is used as a disclosed fact; PUE represents facility-to-IT conversion within the scenario.</t>
        </is>
      </c>
      <c r="J1707" s="3" t="inlineStr">
        <is>
          <t>ASSUMP_POWER_RAMP</t>
        </is>
      </c>
      <c r="K1707" s="3" t="inlineStr">
        <is>
          <t>ASSUMP_POWER_RAMP; ASSUMP_CLOSED_MODEL_BAND; ASSUMP_NUMERIC_ACCELERATOR_MIX; ASSUMP_INFERENCE_SHARE_NOT_FACT_60; ASSUMP_WORKLOAD_CLASS_MIX; ASSUMP_AGENTIC_CONTEXT_PENALTY</t>
        </is>
      </c>
      <c r="L1707" s="3" t="inlineStr">
        <is>
          <t>Site-level measured PUE matched to attributed AI capacity.</t>
        </is>
      </c>
    </row>
    <row r="1708">
      <c r="A1708" s="3" t="inlineStr">
        <is>
          <t>Anthropic</t>
        </is>
      </c>
      <c r="B1708" s="3" t="n">
        <v>2030</v>
      </c>
      <c r="C1708" s="3" t="inlineStr">
        <is>
          <t>Base</t>
        </is>
      </c>
      <c r="D1708" s="3" t="inlineStr">
        <is>
          <t>it_load_gw</t>
        </is>
      </c>
      <c r="E1708" s="3" t="n">
        <v>4.661</v>
      </c>
      <c r="F1708" s="3" t="inlineStr">
        <is>
          <t>GW</t>
        </is>
      </c>
      <c r="G1708" s="3" t="inlineStr">
        <is>
          <t>Derived formula</t>
        </is>
      </c>
      <c r="H1708" s="3" t="inlineStr">
        <is>
          <t>active_power_gw / pue</t>
        </is>
      </c>
      <c r="I1708" s="3" t="inlineStr">
        <is>
          <t>Facility power is converted to IT-deliverable power before attributing AI workloads.</t>
        </is>
      </c>
      <c r="J1708" s="3" t="inlineStr">
        <is>
          <t>SRC_ANTHROPIC_AMAZON_COMPUTE; SRC_AWS_RAINIER_ACTIVE; ASSUMP_POWER_RAMP</t>
        </is>
      </c>
      <c r="K1708" s="3" t="inlineStr">
        <is>
          <t>ASSUMP_POWER_RAMP; ASSUMP_CLOSED_MODEL_BAND; ASSUMP_NUMERIC_ACCELERATOR_MIX; ASSUMP_INFERENCE_SHARE_NOT_FACT_60; ASSUMP_WORKLOAD_CLASS_MIX; ASSUMP_AGENTIC_CONTEXT_PENALTY</t>
        </is>
      </c>
      <c r="L1708" s="3" t="inlineStr">
        <is>
          <t>Recompute once active power and PUE become site-observable.</t>
        </is>
      </c>
    </row>
    <row r="1709">
      <c r="A1709" s="3" t="inlineStr">
        <is>
          <t>Anthropic</t>
        </is>
      </c>
      <c r="B1709" s="3" t="n">
        <v>2030</v>
      </c>
      <c r="C1709" s="3" t="inlineStr">
        <is>
          <t>Base</t>
        </is>
      </c>
      <c r="D1709" s="3" t="inlineStr">
        <is>
          <t>ai_workload_share</t>
        </is>
      </c>
      <c r="E1709" s="3" t="n">
        <v>0.86</v>
      </c>
      <c r="F1709" s="3" t="inlineStr">
        <is>
          <t>share</t>
        </is>
      </c>
      <c r="G1709" s="3" t="inlineStr">
        <is>
          <t>Scenario allocation</t>
        </is>
      </c>
      <c r="H1709" s="3" t="inlineStr">
        <is>
          <t>ai_it_load_gw = it_load_gw * ai_workload_share</t>
        </is>
      </c>
      <c r="I1709" s="3" t="inlineStr">
        <is>
          <t>Anthropic-directed hosted capacity is predominantly AI; 86% excludes platform, reserve and non-serving allocation.</t>
        </is>
      </c>
      <c r="J1709" s="3" t="inlineStr">
        <is>
          <t>SRC_ANTHROPIC_CLAUDE_DOCS; SRC_ANTHROPIC_AMAZON_COMPUTE; SRC_AWS_RAINIER_ACTIVE; SRC_EPOCH_AI_DATA_CENTERS</t>
        </is>
      </c>
      <c r="K1709" s="3" t="inlineStr">
        <is>
          <t>ASSUMP_POWER_RAMP; ASSUMP_CLOSED_MODEL_BAND; ASSUMP_NUMERIC_ACCELERATOR_MIX; ASSUMP_INFERENCE_SHARE_NOT_FACT_60; ASSUMP_WORKLOAD_CLASS_MIX; ASSUMP_AGENTIC_CONTEXT_PENALTY</t>
        </is>
      </c>
      <c r="L1709" s="3" t="inlineStr">
        <is>
          <t>Model-owner AI workload allocation or cluster scheduling telemetry.</t>
        </is>
      </c>
    </row>
    <row r="1710">
      <c r="A1710" s="3" t="inlineStr">
        <is>
          <t>Anthropic</t>
        </is>
      </c>
      <c r="B1710" s="3" t="n">
        <v>2030</v>
      </c>
      <c r="C1710" s="3" t="inlineStr">
        <is>
          <t>Base</t>
        </is>
      </c>
      <c r="D1710" s="3" t="inlineStr">
        <is>
          <t>ai_it_load_gw</t>
        </is>
      </c>
      <c r="E1710" s="3" t="n">
        <v>4.008</v>
      </c>
      <c r="F1710" s="3" t="inlineStr">
        <is>
          <t>GW</t>
        </is>
      </c>
      <c r="G1710" s="3" t="inlineStr">
        <is>
          <t>Derived formula</t>
        </is>
      </c>
      <c r="H1710" s="3" t="inlineStr">
        <is>
          <t>it_load_gw * ai_workload_share</t>
        </is>
      </c>
      <c r="I1710" s="3" t="inlineStr">
        <is>
          <t>Only the AI-attributed portion of IT load enters training/inference allocation.</t>
        </is>
      </c>
      <c r="J1710" s="3" t="inlineStr">
        <is>
          <t>SRC_ANTHROPIC_CLAUDE_DOCS; SRC_ANTHROPIC_AMAZON_COMPUTE; SRC_AWS_RAINIER_ACTIVE; SRC_EPOCH_AI_DATA_CENTERS</t>
        </is>
      </c>
      <c r="K1710" s="3" t="inlineStr">
        <is>
          <t>ASSUMP_POWER_RAMP; ASSUMP_CLOSED_MODEL_BAND; ASSUMP_NUMERIC_ACCELERATOR_MIX; ASSUMP_INFERENCE_SHARE_NOT_FACT_60; ASSUMP_WORKLOAD_CLASS_MIX; ASSUMP_AGENTIC_CONTEXT_PENALTY</t>
        </is>
      </c>
      <c r="L1710" s="3" t="inlineStr">
        <is>
          <t>Recompute after ai_workload_share is replaced by telemetry.</t>
        </is>
      </c>
    </row>
    <row r="1711">
      <c r="A1711" s="3" t="inlineStr">
        <is>
          <t>Anthropic</t>
        </is>
      </c>
      <c r="B1711" s="3" t="n">
        <v>2030</v>
      </c>
      <c r="C1711" s="3" t="inlineStr">
        <is>
          <t>Base</t>
        </is>
      </c>
      <c r="D1711" s="3" t="inlineStr">
        <is>
          <t>gpu_share</t>
        </is>
      </c>
      <c r="E1711" s="3" t="n">
        <v>0.178448</v>
      </c>
      <c r="F1711" s="3" t="inlineStr">
        <is>
          <t>share of inference-serving accelerator load</t>
        </is>
      </c>
      <c r="G1711" s="3" t="inlineStr">
        <is>
          <t>Numeric scenario</t>
        </is>
      </c>
      <c r="H1711" s="3" t="inlineStr">
        <is>
          <t>gpu_share interpolated from company 2026/2030 accelerator-mix endpoints</t>
        </is>
      </c>
      <c r="I1711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711" s="3" t="inlineStr">
        <is>
          <t>SRC_ANTHROPIC_CLAUDE_DOCS; SRC_ANTHROPIC_AMAZON_COMPUTE; SRC_AWS_RAINIER_ACTIVE; SRC_EPOCH_AI_DATA_CENTERS; ASSUMP_NUMERIC_ACCELERATOR_MIX</t>
        </is>
      </c>
      <c r="K1711" s="3" t="inlineStr">
        <is>
          <t>ASSUMP_POWER_RAMP; ASSUMP_CLOSED_MODEL_BAND; ASSUMP_NUMERIC_ACCELERATOR_MIX; ASSUMP_INFERENCE_SHARE_NOT_FACT_60; ASSUMP_WORKLOAD_CLASS_MIX; ASSUMP_AGENTIC_CONTEXT_PENALTY</t>
        </is>
      </c>
      <c r="L1711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712">
      <c r="A1712" s="3" t="inlineStr">
        <is>
          <t>Anthropic</t>
        </is>
      </c>
      <c r="B1712" s="3" t="n">
        <v>2030</v>
      </c>
      <c r="C1712" s="3" t="inlineStr">
        <is>
          <t>Base</t>
        </is>
      </c>
      <c r="D1712" s="3" t="inlineStr">
        <is>
          <t>h200_share</t>
        </is>
      </c>
      <c r="E1712" s="3" t="n">
        <v>0.06841700000000001</v>
      </c>
      <c r="F1712" s="3" t="inlineStr">
        <is>
          <t>share of inference-serving accelerator load</t>
        </is>
      </c>
      <c r="G1712" s="3" t="inlineStr">
        <is>
          <t>Editable numeric scenario</t>
        </is>
      </c>
      <c r="H1712" s="3" t="inlineStr">
        <is>
          <t>h200_share = gpu_share * default_gpu_generation_mix_h200</t>
        </is>
      </c>
      <c r="I1712" s="3" t="inlineStr">
        <is>
          <t>Default GPU-generation migration assumption; executive workbook allows later manual replacement by company/year/scenario.</t>
        </is>
      </c>
      <c r="J1712" s="3" t="inlineStr">
        <is>
          <t>SRC_SEMIANALYSIS_INFERENCEX; ASSUMP_NUMERIC_ACCELERATOR_MIX</t>
        </is>
      </c>
      <c r="K1712" s="3" t="inlineStr">
        <is>
          <t>ASSUMP_POWER_RAMP; ASSUMP_CLOSED_MODEL_BAND; ASSUMP_NUMERIC_ACCELERATOR_MIX; ASSUMP_INFERENCE_SHARE_NOT_FACT_60; ASSUMP_WORKLOAD_CLASS_MIX; ASSUMP_AGENTIC_CONTEXT_PENALTY</t>
        </is>
      </c>
      <c r="L1712" s="3" t="inlineStr">
        <is>
          <t>Company fleet inventory, accelerator-hours or procurement/deployment records by GPU generation.</t>
        </is>
      </c>
    </row>
    <row r="1713">
      <c r="A1713" s="3" t="inlineStr">
        <is>
          <t>Anthropic</t>
        </is>
      </c>
      <c r="B1713" s="3" t="n">
        <v>2030</v>
      </c>
      <c r="C1713" s="3" t="inlineStr">
        <is>
          <t>Base</t>
        </is>
      </c>
      <c r="D1713" s="3" t="inlineStr">
        <is>
          <t>b200_share</t>
        </is>
      </c>
      <c r="E1713" s="3" t="n">
        <v>0.110031</v>
      </c>
      <c r="F1713" s="3" t="inlineStr">
        <is>
          <t>share of inference-serving accelerator load</t>
        </is>
      </c>
      <c r="G1713" s="3" t="inlineStr">
        <is>
          <t>Editable numeric scenario</t>
        </is>
      </c>
      <c r="H1713" s="3" t="inlineStr">
        <is>
          <t>b200_share = gpu_share * default_gpu_generation_mix_b200</t>
        </is>
      </c>
      <c r="I1713" s="3" t="inlineStr">
        <is>
          <t>Default GPU-generation migration assumption; executive workbook allows later manual replacement by company/year/scenario.</t>
        </is>
      </c>
      <c r="J1713" s="3" t="inlineStr">
        <is>
          <t>SRC_SEMIANALYSIS_INFERENCEX; ASSUMP_NUMERIC_ACCELERATOR_MIX</t>
        </is>
      </c>
      <c r="K1713" s="3" t="inlineStr">
        <is>
          <t>ASSUMP_POWER_RAMP; ASSUMP_CLOSED_MODEL_BAND; ASSUMP_NUMERIC_ACCELERATOR_MIX; ASSUMP_INFERENCE_SHARE_NOT_FACT_60; ASSUMP_WORKLOAD_CLASS_MIX; ASSUMP_AGENTIC_CONTEXT_PENALTY</t>
        </is>
      </c>
      <c r="L1713" s="3" t="inlineStr">
        <is>
          <t>Company fleet inventory, accelerator-hours or procurement/deployment records by GPU generation.</t>
        </is>
      </c>
    </row>
    <row r="1714">
      <c r="A1714" s="3" t="inlineStr">
        <is>
          <t>Anthropic</t>
        </is>
      </c>
      <c r="B1714" s="3" t="n">
        <v>2030</v>
      </c>
      <c r="C1714" s="3" t="inlineStr">
        <is>
          <t>Base</t>
        </is>
      </c>
      <c r="D1714" s="3" t="inlineStr">
        <is>
          <t>gb200_share</t>
        </is>
      </c>
      <c r="E1714" s="3" t="n">
        <v>0</v>
      </c>
      <c r="F1714" s="3" t="inlineStr">
        <is>
          <t>share of inference-serving accelerator load</t>
        </is>
      </c>
      <c r="G1714" s="3" t="inlineStr">
        <is>
          <t>Editable numeric scenario</t>
        </is>
      </c>
      <c r="H1714" s="3" t="inlineStr">
        <is>
          <t>gb200_share = gpu_share * default_gpu_generation_mix_gb200</t>
        </is>
      </c>
      <c r="I1714" s="3" t="inlineStr">
        <is>
          <t>Default GPU-generation migration assumption; executive workbook allows later manual replacement by company/year/scenario.</t>
        </is>
      </c>
      <c r="J1714" s="3" t="inlineStr">
        <is>
          <t>SRC_SEMIANALYSIS_INFERENCEX; ASSUMP_NUMERIC_ACCELERATOR_MIX</t>
        </is>
      </c>
      <c r="K1714" s="3" t="inlineStr">
        <is>
          <t>ASSUMP_POWER_RAMP; ASSUMP_CLOSED_MODEL_BAND; ASSUMP_NUMERIC_ACCELERATOR_MIX; ASSUMP_INFERENCE_SHARE_NOT_FACT_60; ASSUMP_WORKLOAD_CLASS_MIX; ASSUMP_AGENTIC_CONTEXT_PENALTY</t>
        </is>
      </c>
      <c r="L1714" s="3" t="inlineStr">
        <is>
          <t>Company fleet inventory, accelerator-hours or procurement/deployment records by GPU generation.</t>
        </is>
      </c>
    </row>
    <row r="1715">
      <c r="A1715" s="3" t="inlineStr">
        <is>
          <t>Anthropic</t>
        </is>
      </c>
      <c r="B1715" s="3" t="n">
        <v>2030</v>
      </c>
      <c r="C1715" s="3" t="inlineStr">
        <is>
          <t>Base</t>
        </is>
      </c>
      <c r="D1715" s="3" t="inlineStr">
        <is>
          <t>purpose_built_accelerator_share</t>
        </is>
      </c>
      <c r="E1715" s="3" t="n">
        <v>0.8215519999999999</v>
      </c>
      <c r="F1715" s="3" t="inlineStr">
        <is>
          <t>share of inference-serving accelerator load</t>
        </is>
      </c>
      <c r="G1715" s="3" t="inlineStr">
        <is>
          <t>Numeric scenario</t>
        </is>
      </c>
      <c r="H1715" s="3" t="inlineStr">
        <is>
          <t>1 - gpu_share</t>
        </is>
      </c>
      <c r="I1715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1715" s="3" t="inlineStr">
        <is>
          <t>SRC_ANTHROPIC_CLAUDE_DOCS; SRC_ANTHROPIC_AMAZON_COMPUTE; SRC_AWS_RAINIER_ACTIVE; SRC_EPOCH_AI_DATA_CENTERS; ASSUMP_NUMERIC_ACCELERATOR_MIX</t>
        </is>
      </c>
      <c r="K1715" s="3" t="inlineStr">
        <is>
          <t>ASSUMP_POWER_RAMP; ASSUMP_CLOSED_MODEL_BAND; ASSUMP_NUMERIC_ACCELERATOR_MIX; ASSUMP_INFERENCE_SHARE_NOT_FACT_60; ASSUMP_WORKLOAD_CLASS_MIX; ASSUMP_AGENTIC_CONTEXT_PENALTY</t>
        </is>
      </c>
      <c r="L1715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1716">
      <c r="A1716" s="3" t="inlineStr">
        <is>
          <t>Anthropic</t>
        </is>
      </c>
      <c r="B1716" s="3" t="n">
        <v>2030</v>
      </c>
      <c r="C1716" s="3" t="inlineStr">
        <is>
          <t>Base</t>
        </is>
      </c>
      <c r="D1716" s="3" t="inlineStr">
        <is>
          <t>fleet_reference_tps_per_mw</t>
        </is>
      </c>
      <c r="E1716" s="3" t="n">
        <v>188100</v>
      </c>
      <c r="F1716" s="3" t="inlineStr">
        <is>
          <t>generated output tokens/sec/MW</t>
        </is>
      </c>
      <c r="G1716" s="3" t="inlineStr">
        <is>
          <t>Fleet-weighted public benchmark reference</t>
        </is>
      </c>
      <c r="H1716" s="3" t="inlineStr">
        <is>
          <t>h200_share*h200_workload_avg + b200_share*b200_workload_avg + gb200_share*gb200_workload_avg + purpose_built_share*purpose_workload_avg</t>
        </is>
      </c>
      <c r="I171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1716" s="3" t="inlineStr">
        <is>
          <t>SRC_SEMIANALYSIS_INFERENCEX; ASSUMP_NUMERIC_ACCELERATOR_MIX; ASSUMP_WORKLOAD_CLASS_MIX; ASSUMP_AGENTIC_CONTEXT_PENALTY</t>
        </is>
      </c>
      <c r="K1716" s="3" t="inlineStr">
        <is>
          <t>ASSUMP_POWER_RAMP; ASSUMP_CLOSED_MODEL_BAND; ASSUMP_NUMERIC_ACCELERATOR_MIX; ASSUMP_INFERENCE_SHARE_NOT_FACT_60; ASSUMP_WORKLOAD_CLASS_MIX; ASSUMP_AGENTIC_CONTEXT_PENALTY</t>
        </is>
      </c>
      <c r="L1716" s="3" t="inlineStr">
        <is>
          <t>Comparable production output-token throughput or a more closely matched benchmark.</t>
        </is>
      </c>
    </row>
    <row r="1717">
      <c r="A1717" s="3" t="inlineStr">
        <is>
          <t>Anthropic</t>
        </is>
      </c>
      <c r="B1717" s="3" t="n">
        <v>2030</v>
      </c>
      <c r="C1717" s="3" t="inlineStr">
        <is>
          <t>Base</t>
        </is>
      </c>
      <c r="D1717" s="3" t="inlineStr">
        <is>
          <t>commercial_workload_fit_factor</t>
        </is>
      </c>
      <c r="E1717" s="3" t="n">
        <v>0.5</v>
      </c>
      <c r="F1717" s="3" t="inlineStr">
        <is>
          <t>share of public reference throughput</t>
        </is>
      </c>
      <c r="G1717" s="3" t="inlineStr">
        <is>
          <t>Scenario assumption</t>
        </is>
      </c>
      <c r="H1717" s="3" t="inlineStr">
        <is>
          <t>reference_serving_tps_per_mw = fleet_reference_tps_per_mw * commercial_workload_fit_factor</t>
        </is>
      </c>
      <c r="I171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1717" s="3" t="inlineStr">
        <is>
          <t>SRC_SEMIANALYSIS_INFERENCEX; ASSUMP_NUMERIC_ACCELERATOR_MIX; ASSUMP_WORKLOAD_CLASS_MIX; ASSUMP_AGENTIC_CONTEXT_PENALTY</t>
        </is>
      </c>
      <c r="K1717" s="3" t="inlineStr">
        <is>
          <t>ASSUMP_POWER_RAMP; ASSUMP_CLOSED_MODEL_BAND; ASSUMP_NUMERIC_ACCELERATOR_MIX; ASSUMP_INFERENCE_SHARE_NOT_FACT_60; ASSUMP_WORKLOAD_CLASS_MIX; ASSUMP_AGENTIC_CONTEXT_PENALTY</t>
        </is>
      </c>
      <c r="L1717" s="3" t="inlineStr">
        <is>
          <t>Matched commercial serving benchmark by product surface, context shape and latency SLO.</t>
        </is>
      </c>
    </row>
    <row r="1718">
      <c r="A1718" s="3" t="inlineStr">
        <is>
          <t>Anthropic</t>
        </is>
      </c>
      <c r="B1718" s="3" t="n">
        <v>2030</v>
      </c>
      <c r="C1718" s="3" t="inlineStr">
        <is>
          <t>Base</t>
        </is>
      </c>
      <c r="D1718" s="3" t="inlineStr">
        <is>
          <t>reference_serving_tps_per_mw</t>
        </is>
      </c>
      <c r="E1718" s="3" t="n">
        <v>94050</v>
      </c>
      <c r="F1718" s="3" t="inlineStr">
        <is>
          <t>generated output tokens/sec/MW</t>
        </is>
      </c>
      <c r="G1718" s="3" t="inlineStr">
        <is>
          <t>Workload-adjusted benchmark proxy</t>
        </is>
      </c>
      <c r="H1718" s="3" t="inlineStr">
        <is>
          <t>fleet_reference_tps_per_mw * commercial_workload_fit_factor</t>
        </is>
      </c>
      <c r="I1718" s="3" t="inlineStr">
        <is>
          <t>This is the coefficient used for headline token generation; each GPU's short chat, long chat and agentic TPS/MW are weighted before fleet mix and commercial fit are applied.</t>
        </is>
      </c>
      <c r="J1718" s="3" t="inlineStr">
        <is>
          <t>SRC_SEMIANALYSIS_INFERENCEX; ASSUMP_NUMERIC_ACCELERATOR_MIX; ASSUMP_WORKLOAD_CLASS_MIX; ASSUMP_AGENTIC_CONTEXT_PENALTY</t>
        </is>
      </c>
      <c r="K1718" s="3" t="inlineStr">
        <is>
          <t>ASSUMP_POWER_RAMP; ASSUMP_CLOSED_MODEL_BAND; ASSUMP_NUMERIC_ACCELERATOR_MIX; ASSUMP_INFERENCE_SHARE_NOT_FACT_60; ASSUMP_WORKLOAD_CLASS_MIX; ASSUMP_AGENTIC_CONTEXT_PENALTY</t>
        </is>
      </c>
      <c r="L1718" s="3" t="inlineStr">
        <is>
          <t>Provider production output-token throughput with comparable workload/SLO.</t>
        </is>
      </c>
    </row>
    <row r="1719">
      <c r="A1719" s="3" t="inlineStr">
        <is>
          <t>Anthropic</t>
        </is>
      </c>
      <c r="B1719" s="3" t="n">
        <v>2030</v>
      </c>
      <c r="C1719" s="3" t="inlineStr">
        <is>
          <t>Base</t>
        </is>
      </c>
      <c r="D1719" s="3" t="inlineStr">
        <is>
          <t>purpose_built_tps_per_mw</t>
        </is>
      </c>
      <c r="E1719" s="3" t="n">
        <v>67653</v>
      </c>
      <c r="F1719" s="3" t="inlineStr">
        <is>
          <t>generated output tokens/sec/MW</t>
        </is>
      </c>
      <c r="G1719" s="3" t="inlineStr">
        <is>
          <t>Conservative no-uplift proxy</t>
        </is>
      </c>
      <c r="H1719" s="3" t="inlineStr">
        <is>
          <t>purpose_built_tps_per_mw = purpose_built_reference_tps_per_mw * commercial_workload_fit_factor until comparable output-token benchmark is adopted</t>
        </is>
      </c>
      <c r="I1719" s="3" t="inlineStr">
        <is>
          <t>No comparable public output-token/MW row adopted; B200 public reference placeholder is used and remains editable.</t>
        </is>
      </c>
      <c r="J1719" s="3" t="inlineStr">
        <is>
          <t>SRC_ANTHROPIC_CLAUDE_DOCS; SRC_ANTHROPIC_AMAZON_COMPUTE; SRC_AWS_RAINIER_ACTIVE; SRC_EPOCH_AI_DATA_CENTERS; ASSUMP_NUMERIC_ACCELERATOR_MIX</t>
        </is>
      </c>
      <c r="K1719" s="3" t="inlineStr">
        <is>
          <t>ASSUMP_POWER_RAMP; ASSUMP_CLOSED_MODEL_BAND; ASSUMP_NUMERIC_ACCELERATOR_MIX; ASSUMP_INFERENCE_SHARE_NOT_FACT_60; ASSUMP_WORKLOAD_CLASS_MIX; ASSUMP_AGENTIC_CONTEXT_PENALTY</t>
        </is>
      </c>
      <c r="L1719" s="3" t="inlineStr">
        <is>
          <t>Matched-workload generated-output benchmark for the provider purpose-built accelerator.</t>
        </is>
      </c>
    </row>
    <row r="1720">
      <c r="A1720" s="3" t="inlineStr">
        <is>
          <t>Anthropic</t>
        </is>
      </c>
      <c r="B1720" s="3" t="n">
        <v>2030</v>
      </c>
      <c r="C1720" s="3" t="inlineStr">
        <is>
          <t>Base</t>
        </is>
      </c>
      <c r="D1720" s="3" t="inlineStr">
        <is>
          <t>inference_power_share</t>
        </is>
      </c>
      <c r="E1720" s="3" t="n">
        <v>0.74</v>
      </c>
      <c r="F1720" s="3" t="inlineStr">
        <is>
          <t>share of AI IT load</t>
        </is>
      </c>
      <c r="G1720" s="3" t="inlineStr">
        <is>
          <t>Scenario allocation</t>
        </is>
      </c>
      <c r="H1720" s="3" t="inlineStr">
        <is>
          <t>inference_gw = ai_it_load_gw * inference_power_share</t>
        </is>
      </c>
      <c r="I1720" s="3" t="inlineStr">
        <is>
          <t>Claude API/product growth supports a rising inference share, while continued model training prevents full conversion.</t>
        </is>
      </c>
      <c r="J1720" s="3" t="inlineStr">
        <is>
          <t>SRC_ANTHROPIC_CLAUDE_DOCS; SRC_ANTHROPIC_AMAZON_COMPUTE; SRC_AWS_RAINIER_ACTIVE; SRC_EPOCH_AI_DATA_CENTERS; ASSUMP_INFERENCE_SHARE_NOT_FACT_60</t>
        </is>
      </c>
      <c r="K1720" s="3" t="inlineStr">
        <is>
          <t>ASSUMP_POWER_RAMP; ASSUMP_CLOSED_MODEL_BAND; ASSUMP_NUMERIC_ACCELERATOR_MIX; ASSUMP_INFERENCE_SHARE_NOT_FACT_60; ASSUMP_WORKLOAD_CLASS_MIX; ASSUMP_AGENTIC_CONTEXT_PENALTY</t>
        </is>
      </c>
      <c r="L1720" s="3" t="inlineStr">
        <is>
          <t>Provider-specific inference/training workload power telemetry.</t>
        </is>
      </c>
    </row>
    <row r="1721">
      <c r="A1721" s="3" t="inlineStr">
        <is>
          <t>Anthropic</t>
        </is>
      </c>
      <c r="B1721" s="3" t="n">
        <v>2030</v>
      </c>
      <c r="C1721" s="3" t="inlineStr">
        <is>
          <t>Base</t>
        </is>
      </c>
      <c r="D1721" s="3" t="inlineStr">
        <is>
          <t>inference_gw</t>
        </is>
      </c>
      <c r="E1721" s="3" t="n">
        <v>2.966</v>
      </c>
      <c r="F1721" s="3" t="inlineStr">
        <is>
          <t>GW</t>
        </is>
      </c>
      <c r="G1721" s="3" t="inlineStr">
        <is>
          <t>Derived formula</t>
        </is>
      </c>
      <c r="H1721" s="3" t="inlineStr">
        <is>
          <t>ai_it_load_gw * inference_power_share</t>
        </is>
      </c>
      <c r="I1721" s="3" t="inlineStr">
        <is>
          <t>This is the operational power eligible to become commercial generated output tokens through the selected TPS/MW proxy.</t>
        </is>
      </c>
      <c r="J1721" s="3" t="inlineStr">
        <is>
          <t>SRC_ANTHROPIC_CLAUDE_DOCS; SRC_ANTHROPIC_AMAZON_COMPUTE; SRC_AWS_RAINIER_ACTIVE; SRC_EPOCH_AI_DATA_CENTERS</t>
        </is>
      </c>
      <c r="K1721" s="3" t="inlineStr">
        <is>
          <t>ASSUMP_POWER_RAMP; ASSUMP_CLOSED_MODEL_BAND; ASSUMP_NUMERIC_ACCELERATOR_MIX; ASSUMP_INFERENCE_SHARE_NOT_FACT_60; ASSUMP_WORKLOAD_CLASS_MIX; ASSUMP_AGENTIC_CONTEXT_PENALTY</t>
        </is>
      </c>
      <c r="L1721" s="3" t="inlineStr">
        <is>
          <t>Recompute after AI allocation or inference-share evidence changes.</t>
        </is>
      </c>
    </row>
    <row r="1722">
      <c r="A1722" s="3" t="inlineStr">
        <is>
          <t>Anthropic</t>
        </is>
      </c>
      <c r="B1722" s="3" t="n">
        <v>2030</v>
      </c>
      <c r="C1722" s="3" t="inlineStr">
        <is>
          <t>Base</t>
        </is>
      </c>
      <c r="D1722" s="3" t="inlineStr">
        <is>
          <t>training_power_share</t>
        </is>
      </c>
      <c r="E1722" s="3" t="n">
        <v>0.26</v>
      </c>
      <c r="F1722" s="3" t="inlineStr">
        <is>
          <t>share of AI IT load</t>
        </is>
      </c>
      <c r="G1722" s="3" t="inlineStr">
        <is>
          <t>Derived allocation</t>
        </is>
      </c>
      <c r="H1722" s="3" t="inlineStr">
        <is>
          <t>1 - inference_power_share</t>
        </is>
      </c>
      <c r="I1722" s="3" t="inlineStr">
        <is>
          <t>Training receives the complementary modeled AI IT allocation; it is not a disclosed company workload split.</t>
        </is>
      </c>
      <c r="J1722" s="3" t="inlineStr">
        <is>
          <t>SRC_ANTHROPIC_CLAUDE_DOCS; SRC_ANTHROPIC_AMAZON_COMPUTE; SRC_AWS_RAINIER_ACTIVE; SRC_EPOCH_AI_DATA_CENTERS; ASSUMP_INFERENCE_SHARE_NOT_FACT_60</t>
        </is>
      </c>
      <c r="K1722" s="3" t="inlineStr">
        <is>
          <t>ASSUMP_POWER_RAMP; ASSUMP_CLOSED_MODEL_BAND; ASSUMP_NUMERIC_ACCELERATOR_MIX; ASSUMP_INFERENCE_SHARE_NOT_FACT_60; ASSUMP_WORKLOAD_CLASS_MIX; ASSUMP_AGENTIC_CONTEXT_PENALTY</t>
        </is>
      </c>
      <c r="L1722" s="3" t="inlineStr">
        <is>
          <t>Provider-specific inference/training workload power telemetry.</t>
        </is>
      </c>
    </row>
    <row r="1723">
      <c r="A1723" s="3" t="inlineStr">
        <is>
          <t>Anthropic</t>
        </is>
      </c>
      <c r="B1723" s="3" t="n">
        <v>2030</v>
      </c>
      <c r="C1723" s="3" t="inlineStr">
        <is>
          <t>Base</t>
        </is>
      </c>
      <c r="D1723" s="3" t="inlineStr">
        <is>
          <t>training_gw</t>
        </is>
      </c>
      <c r="E1723" s="3" t="n">
        <v>1.042</v>
      </c>
      <c r="F1723" s="3" t="inlineStr">
        <is>
          <t>GW</t>
        </is>
      </c>
      <c r="G1723" s="3" t="inlineStr">
        <is>
          <t>Derived formula</t>
        </is>
      </c>
      <c r="H1723" s="3" t="inlineStr">
        <is>
          <t>ai_it_load_gw * training_power_share</t>
        </is>
      </c>
      <c r="I1723" s="3" t="inlineStr">
        <is>
          <t>Training GW is shown separately so commercial inference token capacity is not overstated.</t>
        </is>
      </c>
      <c r="J1723" s="3" t="inlineStr">
        <is>
          <t>SRC_ANTHROPIC_CLAUDE_DOCS; SRC_ANTHROPIC_AMAZON_COMPUTE; SRC_AWS_RAINIER_ACTIVE; SRC_EPOCH_AI_DATA_CENTERS</t>
        </is>
      </c>
      <c r="K1723" s="3" t="inlineStr">
        <is>
          <t>ASSUMP_POWER_RAMP; ASSUMP_CLOSED_MODEL_BAND; ASSUMP_NUMERIC_ACCELERATOR_MIX; ASSUMP_INFERENCE_SHARE_NOT_FACT_60; ASSUMP_WORKLOAD_CLASS_MIX; ASSUMP_AGENTIC_CONTEXT_PENALTY</t>
        </is>
      </c>
      <c r="L1723" s="3" t="inlineStr">
        <is>
          <t>Recompute after AI allocation or workload-split evidence changes.</t>
        </is>
      </c>
    </row>
    <row r="1724">
      <c r="A1724" s="3" t="inlineStr">
        <is>
          <t>Anthropic</t>
        </is>
      </c>
      <c r="B1724" s="3" t="n">
        <v>2030</v>
      </c>
      <c r="C1724" s="3" t="inlineStr">
        <is>
          <t>Base</t>
        </is>
      </c>
      <c r="D1724" s="3" t="inlineStr">
        <is>
          <t>tokens_per_second_per_mw</t>
        </is>
      </c>
      <c r="E1724" s="3" t="n">
        <v>94050</v>
      </c>
      <c r="F1724" s="3" t="inlineStr">
        <is>
          <t>generated output tokens/sec/MW</t>
        </is>
      </c>
      <c r="G1724" s="3" t="inlineStr">
        <is>
          <t>Derived estimate + benchmark calibration</t>
        </is>
      </c>
      <c r="H1724" s="3" t="inlineStr">
        <is>
          <t>fleet_reference_tps_per_mw * commercial_workload_fit_factor</t>
        </is>
      </c>
      <c r="I172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1724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1724" s="3" t="inlineStr">
        <is>
          <t>ASSUMP_POWER_RAMP; ASSUMP_CLOSED_MODEL_BAND; ASSUMP_NUMERIC_ACCELERATOR_MIX; ASSUMP_INFERENCE_SHARE_NOT_FACT_60; ASSUMP_WORKLOAD_CLASS_MIX; ASSUMP_AGENTIC_CONTEXT_PENALTY</t>
        </is>
      </c>
      <c r="L1724" s="3" t="inlineStr">
        <is>
          <t>Comparable production output-token throughput with model, hardware, precision, ISL/OSL and SLO matched.</t>
        </is>
      </c>
    </row>
    <row r="1725">
      <c r="A1725" s="3" t="inlineStr">
        <is>
          <t>Anthropic</t>
        </is>
      </c>
      <c r="B1725" s="3" t="n">
        <v>2030</v>
      </c>
      <c r="C1725" s="3" t="inlineStr">
        <is>
          <t>Base</t>
        </is>
      </c>
      <c r="D1725" s="3" t="inlineStr">
        <is>
          <t>inference_tokens_per_day</t>
        </is>
      </c>
      <c r="E1725" s="3" t="n">
        <v>24101478720000</v>
      </c>
      <c r="F1725" s="3" t="inlineStr">
        <is>
          <t>generated output tokens/day</t>
        </is>
      </c>
      <c r="G1725" s="3" t="inlineStr">
        <is>
          <t>Derived headline metric</t>
        </is>
      </c>
      <c r="H1725" s="3" t="inlineStr">
        <is>
          <t>inference_gw * 1000 * tokens_per_second_per_mw * 86,400</t>
        </is>
      </c>
      <c r="I1725" s="3" t="inlineStr">
        <is>
          <t>Headline capacity uses no utilization, MoE, architecture or software-growth multiplier; it is not observed commercial output volume.</t>
        </is>
      </c>
      <c r="J1725" s="3" t="inlineStr">
        <is>
          <t>SRC_ANTHROPIC_CLAUDE_DOCS; SRC_ANTHROPIC_AMAZON_COMPUTE; SRC_AWS_RAINIER_ACTIVE; SRC_EPOCH_AI_DATA_CENTERS; SRC_SEMIANALYSIS_INFERENCEX</t>
        </is>
      </c>
      <c r="K1725" s="3" t="inlineStr">
        <is>
          <t>ASSUMP_POWER_RAMP; ASSUMP_CLOSED_MODEL_BAND; ASSUMP_NUMERIC_ACCELERATOR_MIX; ASSUMP_INFERENCE_SHARE_NOT_FACT_60; ASSUMP_WORKLOAD_CLASS_MIX; ASSUMP_AGENTIC_CONTEXT_PENALTY</t>
        </is>
      </c>
      <c r="L1725" s="3" t="inlineStr">
        <is>
          <t>Provider-disclosed generated output token volume or calibrated capacity telemetry.</t>
        </is>
      </c>
    </row>
    <row r="1726">
      <c r="A1726" s="3" t="inlineStr">
        <is>
          <t>Anthropic</t>
        </is>
      </c>
      <c r="B1726" s="3" t="n">
        <v>2030</v>
      </c>
      <c r="C1726" s="3" t="inlineStr">
        <is>
          <t>Base</t>
        </is>
      </c>
      <c r="D1726" s="3" t="inlineStr">
        <is>
          <t>inference_tokens_per_year</t>
        </is>
      </c>
      <c r="E1726" s="3" t="n">
        <v>8797039732800000</v>
      </c>
      <c r="F1726" s="3" t="inlineStr">
        <is>
          <t>generated output tokens/year</t>
        </is>
      </c>
      <c r="G1726" s="3" t="inlineStr">
        <is>
          <t>Derived headline metric</t>
        </is>
      </c>
      <c r="H1726" s="3" t="inlineStr">
        <is>
          <t>inference_tokens_per_day * 365</t>
        </is>
      </c>
      <c r="I1726" s="3" t="inlineStr">
        <is>
          <t>Annualized version of generated output token capacity; it is not observed annual demand or billable volume.</t>
        </is>
      </c>
      <c r="J1726" s="3" t="inlineStr">
        <is>
          <t>SRC_ANTHROPIC_CLAUDE_DOCS; SRC_ANTHROPIC_AMAZON_COMPUTE; SRC_AWS_RAINIER_ACTIVE; SRC_EPOCH_AI_DATA_CENTERS; SRC_SEMIANALYSIS_INFERENCEX</t>
        </is>
      </c>
      <c r="K1726" s="3" t="inlineStr">
        <is>
          <t>ASSUMP_POWER_RAMP; ASSUMP_CLOSED_MODEL_BAND; ASSUMP_NUMERIC_ACCELERATOR_MIX; ASSUMP_INFERENCE_SHARE_NOT_FACT_60; ASSUMP_WORKLOAD_CLASS_MIX; ASSUMP_AGENTIC_CONTEXT_PENALTY</t>
        </is>
      </c>
      <c r="L1726" s="3" t="inlineStr">
        <is>
          <t>Provider-disclosed annual generated-output volume or metered serving telemetry.</t>
        </is>
      </c>
    </row>
    <row r="1727">
      <c r="A1727" s="3" t="inlineStr">
        <is>
          <t>DeepSeek</t>
        </is>
      </c>
      <c r="B1727" s="3" t="n">
        <v>2026</v>
      </c>
      <c r="C1727" s="3" t="inlineStr">
        <is>
          <t>Base</t>
        </is>
      </c>
      <c r="D1727" s="3" t="inlineStr">
        <is>
          <t>contracted_power_gw</t>
        </is>
      </c>
      <c r="E1727" s="3" t="n">
        <v>0.5</v>
      </c>
      <c r="F1727" s="3" t="inlineStr">
        <is>
          <t>GW</t>
        </is>
      </c>
      <c r="G1727" s="3" t="inlineStr">
        <is>
          <t>Scenario capacity envelope</t>
        </is>
      </c>
      <c r="H1727" s="3" t="inlineStr">
        <is>
          <t>linear interpolation between 2026 and 2030 company capacity endpoints</t>
        </is>
      </c>
      <c r="I1727" s="3" t="inlineStr">
        <is>
          <t>Capacity is a low-transparency scenario; official infrastructure evidence supports H800 inference hardware, not company GW.</t>
        </is>
      </c>
      <c r="J1727" s="3" t="inlineStr">
        <is>
          <t>SRC_DEEPSEEK_H800_INFERENCE; ASSUMP_CN_CAPACITY_TRANSPARENCY</t>
        </is>
      </c>
      <c r="K1727" s="3" t="inlineStr">
        <is>
          <t>ASSUMP_MOE_EFFICIENCY; ASSUMP_CN_CAPACITY_TRANSPARENCY; ASSUMP_NUMERIC_ACCELERATOR_MIX; ASSUMP_INFERENCE_SHARE_NOT_FACT_60; ASSUMP_WORKLOAD_CLASS_MIX; ASSUMP_AGENTIC_CONTEXT_PENALTY</t>
        </is>
      </c>
      <c r="L1727" s="3" t="inlineStr">
        <is>
          <t>Company/site-level committed MW/GW, interconnect and contract disclosure.</t>
        </is>
      </c>
    </row>
    <row r="1728">
      <c r="A1728" s="3" t="inlineStr">
        <is>
          <t>DeepSeek</t>
        </is>
      </c>
      <c r="B1728" s="3" t="n">
        <v>2026</v>
      </c>
      <c r="C1728" s="3" t="inlineStr">
        <is>
          <t>Base</t>
        </is>
      </c>
      <c r="D1728" s="3" t="inlineStr">
        <is>
          <t>operational_deployment_share</t>
        </is>
      </c>
      <c r="E1728" s="3" t="n">
        <v>0.3</v>
      </c>
      <c r="F1728" s="3" t="inlineStr">
        <is>
          <t>share</t>
        </is>
      </c>
      <c r="G1728" s="3" t="inlineStr">
        <is>
          <t>Scenario conversion</t>
        </is>
      </c>
      <c r="H1728" s="3" t="inlineStr">
        <is>
          <t>active_power_gw / contracted_power_gw</t>
        </is>
      </c>
      <c r="I1728" s="3" t="inlineStr">
        <is>
          <t>This is the single explicit conversion from contracted/attributed capacity to operationally usable capacity.</t>
        </is>
      </c>
      <c r="J1728" s="3" t="inlineStr">
        <is>
          <t>SRC_DEEPSEEK_H800_INFERENCE; ASSUMP_CN_CAPACITY_TRANSPARENCY</t>
        </is>
      </c>
      <c r="K1728" s="3" t="inlineStr">
        <is>
          <t>ASSUMP_MOE_EFFICIENCY; ASSUMP_CN_CAPACITY_TRANSPARENCY; ASSUMP_NUMERIC_ACCELERATOR_MIX; ASSUMP_INFERENCE_SHARE_NOT_FACT_60; ASSUMP_WORKLOAD_CLASS_MIX; ASSUMP_AGENTIC_CONTEXT_PENALTY</t>
        </is>
      </c>
      <c r="L1728" s="3" t="inlineStr">
        <is>
          <t>Energized operational capacity divided by contracted/attributed capacity.</t>
        </is>
      </c>
    </row>
    <row r="1729">
      <c r="A1729" s="3" t="inlineStr">
        <is>
          <t>DeepSeek</t>
        </is>
      </c>
      <c r="B1729" s="3" t="n">
        <v>2026</v>
      </c>
      <c r="C1729" s="3" t="inlineStr">
        <is>
          <t>Base</t>
        </is>
      </c>
      <c r="D1729" s="3" t="inlineStr">
        <is>
          <t>active_power_gw</t>
        </is>
      </c>
      <c r="E1729" s="3" t="n">
        <v>0.15</v>
      </c>
      <c r="F1729" s="3" t="inlineStr">
        <is>
          <t>GW</t>
        </is>
      </c>
      <c r="G1729" s="3" t="inlineStr">
        <is>
          <t>Derived scenario</t>
        </is>
      </c>
      <c r="H1729" s="3" t="inlineStr">
        <is>
          <t>contracted_power_gw * operational_deployment_share</t>
        </is>
      </c>
      <c r="I1729" s="3" t="inlineStr">
        <is>
          <t>Active GW is conservative because operated cluster scale beyond disclosed infrastructure is not public.</t>
        </is>
      </c>
      <c r="J1729" s="3" t="inlineStr">
        <is>
          <t>SRC_DEEPSEEK_H800_INFERENCE; ASSUMP_CN_CAPACITY_TRANSPARENCY</t>
        </is>
      </c>
      <c r="K1729" s="3" t="inlineStr">
        <is>
          <t>ASSUMP_MOE_EFFICIENCY; ASSUMP_CN_CAPACITY_TRANSPARENCY; ASSUMP_NUMERIC_ACCELERATOR_MIX; ASSUMP_INFERENCE_SHARE_NOT_FACT_60; ASSUMP_WORKLOAD_CLASS_MIX; ASSUMP_AGENTIC_CONTEXT_PENALTY</t>
        </is>
      </c>
      <c r="L1729" s="3" t="inlineStr">
        <is>
          <t>Energization dates, accelerator deliveries and operational powered-rack telemetry.</t>
        </is>
      </c>
    </row>
    <row r="1730">
      <c r="A1730" s="3" t="inlineStr">
        <is>
          <t>DeepSeek</t>
        </is>
      </c>
      <c r="B1730" s="3" t="n">
        <v>2026</v>
      </c>
      <c r="C1730" s="3" t="inlineStr">
        <is>
          <t>Base</t>
        </is>
      </c>
      <c r="D1730" s="3" t="inlineStr">
        <is>
          <t>pue</t>
        </is>
      </c>
      <c r="E1730" s="3" t="n">
        <v>1.24</v>
      </c>
      <c r="F1730" s="3" t="inlineStr">
        <is>
          <t>ratio</t>
        </is>
      </c>
      <c r="G1730" s="3" t="inlineStr">
        <is>
          <t>Scenario parameter</t>
        </is>
      </c>
      <c r="H1730" s="3" t="inlineStr">
        <is>
          <t>it_load_gw = active_power_gw / pue</t>
        </is>
      </c>
      <c r="I1730" s="3" t="inlineStr">
        <is>
          <t>No provider-wide site-level PUE is used as a disclosed fact; PUE represents facility-to-IT conversion within the scenario.</t>
        </is>
      </c>
      <c r="J1730" s="3" t="inlineStr">
        <is>
          <t>ASSUMP_POWER_RAMP</t>
        </is>
      </c>
      <c r="K1730" s="3" t="inlineStr">
        <is>
          <t>ASSUMP_MOE_EFFICIENCY; ASSUMP_CN_CAPACITY_TRANSPARENCY; ASSUMP_NUMERIC_ACCELERATOR_MIX; ASSUMP_INFERENCE_SHARE_NOT_FACT_60; ASSUMP_WORKLOAD_CLASS_MIX; ASSUMP_AGENTIC_CONTEXT_PENALTY</t>
        </is>
      </c>
      <c r="L1730" s="3" t="inlineStr">
        <is>
          <t>Site-level measured PUE matched to attributed AI capacity.</t>
        </is>
      </c>
    </row>
    <row r="1731">
      <c r="A1731" s="3" t="inlineStr">
        <is>
          <t>DeepSeek</t>
        </is>
      </c>
      <c r="B1731" s="3" t="n">
        <v>2026</v>
      </c>
      <c r="C1731" s="3" t="inlineStr">
        <is>
          <t>Base</t>
        </is>
      </c>
      <c r="D1731" s="3" t="inlineStr">
        <is>
          <t>it_load_gw</t>
        </is>
      </c>
      <c r="E1731" s="3" t="n">
        <v>0.121</v>
      </c>
      <c r="F1731" s="3" t="inlineStr">
        <is>
          <t>GW</t>
        </is>
      </c>
      <c r="G1731" s="3" t="inlineStr">
        <is>
          <t>Derived formula</t>
        </is>
      </c>
      <c r="H1731" s="3" t="inlineStr">
        <is>
          <t>active_power_gw / pue</t>
        </is>
      </c>
      <c r="I1731" s="3" t="inlineStr">
        <is>
          <t>Facility power is converted to IT-deliverable power before attributing AI workloads.</t>
        </is>
      </c>
      <c r="J1731" s="3" t="inlineStr">
        <is>
          <t>SRC_DEEPSEEK_H800_INFERENCE; ASSUMP_CN_CAPACITY_TRANSPARENCY</t>
        </is>
      </c>
      <c r="K1731" s="3" t="inlineStr">
        <is>
          <t>ASSUMP_MOE_EFFICIENCY; ASSUMP_CN_CAPACITY_TRANSPARENCY; ASSUMP_NUMERIC_ACCELERATOR_MIX; ASSUMP_INFERENCE_SHARE_NOT_FACT_60; ASSUMP_WORKLOAD_CLASS_MIX; ASSUMP_AGENTIC_CONTEXT_PENALTY</t>
        </is>
      </c>
      <c r="L1731" s="3" t="inlineStr">
        <is>
          <t>Recompute once active power and PUE become site-observable.</t>
        </is>
      </c>
    </row>
    <row r="1732">
      <c r="A1732" s="3" t="inlineStr">
        <is>
          <t>DeepSeek</t>
        </is>
      </c>
      <c r="B1732" s="3" t="n">
        <v>2026</v>
      </c>
      <c r="C1732" s="3" t="inlineStr">
        <is>
          <t>Base</t>
        </is>
      </c>
      <c r="D1732" s="3" t="inlineStr">
        <is>
          <t>ai_workload_share</t>
        </is>
      </c>
      <c r="E1732" s="3" t="n">
        <v>0.82</v>
      </c>
      <c r="F1732" s="3" t="inlineStr">
        <is>
          <t>share</t>
        </is>
      </c>
      <c r="G1732" s="3" t="inlineStr">
        <is>
          <t>Scenario allocation</t>
        </is>
      </c>
      <c r="H1732" s="3" t="inlineStr">
        <is>
          <t>ai_it_load_gw = it_load_gw * ai_workload_share</t>
        </is>
      </c>
      <c r="I1732" s="3" t="inlineStr">
        <is>
          <t>DeepSeek-operated service capacity is modeled as AI-focused, reduced for reserve and ancillary processing.</t>
        </is>
      </c>
      <c r="J1732" s="3" t="inlineStr">
        <is>
          <t>SRC_DEEPSEEK_V3; SRC_DEEPSEEK_R1; SRC_DEEPSEEK_H800_INFERENCE; SRC_EPOCH_AI_DATA_CENTERS</t>
        </is>
      </c>
      <c r="K1732" s="3" t="inlineStr">
        <is>
          <t>ASSUMP_MOE_EFFICIENCY; ASSUMP_CN_CAPACITY_TRANSPARENCY; ASSUMP_NUMERIC_ACCELERATOR_MIX; ASSUMP_INFERENCE_SHARE_NOT_FACT_60; ASSUMP_WORKLOAD_CLASS_MIX; ASSUMP_AGENTIC_CONTEXT_PENALTY</t>
        </is>
      </c>
      <c r="L1732" s="3" t="inlineStr">
        <is>
          <t>Model-owner AI workload allocation or cluster scheduling telemetry.</t>
        </is>
      </c>
    </row>
    <row r="1733">
      <c r="A1733" s="3" t="inlineStr">
        <is>
          <t>DeepSeek</t>
        </is>
      </c>
      <c r="B1733" s="3" t="n">
        <v>2026</v>
      </c>
      <c r="C1733" s="3" t="inlineStr">
        <is>
          <t>Base</t>
        </is>
      </c>
      <c r="D1733" s="3" t="inlineStr">
        <is>
          <t>ai_it_load_gw</t>
        </is>
      </c>
      <c r="E1733" s="3" t="n">
        <v>0.099</v>
      </c>
      <c r="F1733" s="3" t="inlineStr">
        <is>
          <t>GW</t>
        </is>
      </c>
      <c r="G1733" s="3" t="inlineStr">
        <is>
          <t>Derived formula</t>
        </is>
      </c>
      <c r="H1733" s="3" t="inlineStr">
        <is>
          <t>it_load_gw * ai_workload_share</t>
        </is>
      </c>
      <c r="I1733" s="3" t="inlineStr">
        <is>
          <t>Only the AI-attributed portion of IT load enters training/inference allocation.</t>
        </is>
      </c>
      <c r="J1733" s="3" t="inlineStr">
        <is>
          <t>SRC_DEEPSEEK_V3; SRC_DEEPSEEK_R1; SRC_DEEPSEEK_H800_INFERENCE; SRC_EPOCH_AI_DATA_CENTERS</t>
        </is>
      </c>
      <c r="K1733" s="3" t="inlineStr">
        <is>
          <t>ASSUMP_MOE_EFFICIENCY; ASSUMP_CN_CAPACITY_TRANSPARENCY; ASSUMP_NUMERIC_ACCELERATOR_MIX; ASSUMP_INFERENCE_SHARE_NOT_FACT_60; ASSUMP_WORKLOAD_CLASS_MIX; ASSUMP_AGENTIC_CONTEXT_PENALTY</t>
        </is>
      </c>
      <c r="L1733" s="3" t="inlineStr">
        <is>
          <t>Recompute after ai_workload_share is replaced by telemetry.</t>
        </is>
      </c>
    </row>
    <row r="1734">
      <c r="A1734" s="3" t="inlineStr">
        <is>
          <t>DeepSeek</t>
        </is>
      </c>
      <c r="B1734" s="3" t="n">
        <v>2026</v>
      </c>
      <c r="C1734" s="3" t="inlineStr">
        <is>
          <t>Base</t>
        </is>
      </c>
      <c r="D1734" s="3" t="inlineStr">
        <is>
          <t>gpu_share</t>
        </is>
      </c>
      <c r="E1734" s="3" t="n">
        <v>1</v>
      </c>
      <c r="F1734" s="3" t="inlineStr">
        <is>
          <t>share of inference-serving accelerator load</t>
        </is>
      </c>
      <c r="G1734" s="3" t="inlineStr">
        <is>
          <t>Numeric scenario</t>
        </is>
      </c>
      <c r="H1734" s="3" t="inlineStr">
        <is>
          <t>gpu_share interpolated from company 2026/2030 accelerator-mix endpoints</t>
        </is>
      </c>
      <c r="I1734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734" s="3" t="inlineStr">
        <is>
          <t>SRC_DEEPSEEK_V3; SRC_DEEPSEEK_R1; SRC_DEEPSEEK_H800_INFERENCE; SRC_EPOCH_AI_DATA_CENTERS; ASSUMP_NUMERIC_ACCELERATOR_MIX</t>
        </is>
      </c>
      <c r="K1734" s="3" t="inlineStr">
        <is>
          <t>ASSUMP_MOE_EFFICIENCY; ASSUMP_CN_CAPACITY_TRANSPARENCY; ASSUMP_NUMERIC_ACCELERATOR_MIX; ASSUMP_INFERENCE_SHARE_NOT_FACT_60; ASSUMP_WORKLOAD_CLASS_MIX; ASSUMP_AGENTIC_CONTEXT_PENALTY</t>
        </is>
      </c>
      <c r="L1734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735">
      <c r="A1735" s="3" t="inlineStr">
        <is>
          <t>DeepSeek</t>
        </is>
      </c>
      <c r="B1735" s="3" t="n">
        <v>2026</v>
      </c>
      <c r="C1735" s="3" t="inlineStr">
        <is>
          <t>Base</t>
        </is>
      </c>
      <c r="D1735" s="3" t="inlineStr">
        <is>
          <t>h200_share</t>
        </is>
      </c>
      <c r="E1735" s="3" t="n">
        <v>0.55</v>
      </c>
      <c r="F1735" s="3" t="inlineStr">
        <is>
          <t>share of inference-serving accelerator load</t>
        </is>
      </c>
      <c r="G1735" s="3" t="inlineStr">
        <is>
          <t>Editable numeric scenario</t>
        </is>
      </c>
      <c r="H1735" s="3" t="inlineStr">
        <is>
          <t>h200_share = gpu_share * default_gpu_generation_mix_h200</t>
        </is>
      </c>
      <c r="I1735" s="3" t="inlineStr">
        <is>
          <t>Default GPU-generation migration assumption; executive workbook allows later manual replacement by company/year/scenario.</t>
        </is>
      </c>
      <c r="J1735" s="3" t="inlineStr">
        <is>
          <t>SRC_SEMIANALYSIS_INFERENCEX; ASSUMP_NUMERIC_ACCELERATOR_MIX</t>
        </is>
      </c>
      <c r="K1735" s="3" t="inlineStr">
        <is>
          <t>ASSUMP_MOE_EFFICIENCY; ASSUMP_CN_CAPACITY_TRANSPARENCY; ASSUMP_NUMERIC_ACCELERATOR_MIX; ASSUMP_INFERENCE_SHARE_NOT_FACT_60; ASSUMP_WORKLOAD_CLASS_MIX; ASSUMP_AGENTIC_CONTEXT_PENALTY</t>
        </is>
      </c>
      <c r="L1735" s="3" t="inlineStr">
        <is>
          <t>Company fleet inventory, accelerator-hours or procurement/deployment records by GPU generation.</t>
        </is>
      </c>
    </row>
    <row r="1736">
      <c r="A1736" s="3" t="inlineStr">
        <is>
          <t>DeepSeek</t>
        </is>
      </c>
      <c r="B1736" s="3" t="n">
        <v>2026</v>
      </c>
      <c r="C1736" s="3" t="inlineStr">
        <is>
          <t>Base</t>
        </is>
      </c>
      <c r="D1736" s="3" t="inlineStr">
        <is>
          <t>b200_share</t>
        </is>
      </c>
      <c r="E1736" s="3" t="n">
        <v>0.4</v>
      </c>
      <c r="F1736" s="3" t="inlineStr">
        <is>
          <t>share of inference-serving accelerator load</t>
        </is>
      </c>
      <c r="G1736" s="3" t="inlineStr">
        <is>
          <t>Editable numeric scenario</t>
        </is>
      </c>
      <c r="H1736" s="3" t="inlineStr">
        <is>
          <t>b200_share = gpu_share * default_gpu_generation_mix_b200</t>
        </is>
      </c>
      <c r="I1736" s="3" t="inlineStr">
        <is>
          <t>Default GPU-generation migration assumption; executive workbook allows later manual replacement by company/year/scenario.</t>
        </is>
      </c>
      <c r="J1736" s="3" t="inlineStr">
        <is>
          <t>SRC_SEMIANALYSIS_INFERENCEX; ASSUMP_NUMERIC_ACCELERATOR_MIX</t>
        </is>
      </c>
      <c r="K1736" s="3" t="inlineStr">
        <is>
          <t>ASSUMP_MOE_EFFICIENCY; ASSUMP_CN_CAPACITY_TRANSPARENCY; ASSUMP_NUMERIC_ACCELERATOR_MIX; ASSUMP_INFERENCE_SHARE_NOT_FACT_60; ASSUMP_WORKLOAD_CLASS_MIX; ASSUMP_AGENTIC_CONTEXT_PENALTY</t>
        </is>
      </c>
      <c r="L1736" s="3" t="inlineStr">
        <is>
          <t>Company fleet inventory, accelerator-hours or procurement/deployment records by GPU generation.</t>
        </is>
      </c>
    </row>
    <row r="1737">
      <c r="A1737" s="3" t="inlineStr">
        <is>
          <t>DeepSeek</t>
        </is>
      </c>
      <c r="B1737" s="3" t="n">
        <v>2026</v>
      </c>
      <c r="C1737" s="3" t="inlineStr">
        <is>
          <t>Base</t>
        </is>
      </c>
      <c r="D1737" s="3" t="inlineStr">
        <is>
          <t>gb200_share</t>
        </is>
      </c>
      <c r="E1737" s="3" t="n">
        <v>0.05</v>
      </c>
      <c r="F1737" s="3" t="inlineStr">
        <is>
          <t>share of inference-serving accelerator load</t>
        </is>
      </c>
      <c r="G1737" s="3" t="inlineStr">
        <is>
          <t>Editable numeric scenario</t>
        </is>
      </c>
      <c r="H1737" s="3" t="inlineStr">
        <is>
          <t>gb200_share = gpu_share * default_gpu_generation_mix_gb200</t>
        </is>
      </c>
      <c r="I1737" s="3" t="inlineStr">
        <is>
          <t>Default GPU-generation migration assumption; executive workbook allows later manual replacement by company/year/scenario.</t>
        </is>
      </c>
      <c r="J1737" s="3" t="inlineStr">
        <is>
          <t>SRC_SEMIANALYSIS_INFERENCEX; ASSUMP_NUMERIC_ACCELERATOR_MIX</t>
        </is>
      </c>
      <c r="K1737" s="3" t="inlineStr">
        <is>
          <t>ASSUMP_MOE_EFFICIENCY; ASSUMP_CN_CAPACITY_TRANSPARENCY; ASSUMP_NUMERIC_ACCELERATOR_MIX; ASSUMP_INFERENCE_SHARE_NOT_FACT_60; ASSUMP_WORKLOAD_CLASS_MIX; ASSUMP_AGENTIC_CONTEXT_PENALTY</t>
        </is>
      </c>
      <c r="L1737" s="3" t="inlineStr">
        <is>
          <t>Company fleet inventory, accelerator-hours or procurement/deployment records by GPU generation.</t>
        </is>
      </c>
    </row>
    <row r="1738">
      <c r="A1738" s="3" t="inlineStr">
        <is>
          <t>DeepSeek</t>
        </is>
      </c>
      <c r="B1738" s="3" t="n">
        <v>2026</v>
      </c>
      <c r="C1738" s="3" t="inlineStr">
        <is>
          <t>Base</t>
        </is>
      </c>
      <c r="D1738" s="3" t="inlineStr">
        <is>
          <t>purpose_built_accelerator_share</t>
        </is>
      </c>
      <c r="E1738" s="3" t="n">
        <v>0</v>
      </c>
      <c r="F1738" s="3" t="inlineStr">
        <is>
          <t>share of inference-serving accelerator load</t>
        </is>
      </c>
      <c r="G1738" s="3" t="inlineStr">
        <is>
          <t>Numeric scenario</t>
        </is>
      </c>
      <c r="H1738" s="3" t="inlineStr">
        <is>
          <t>1 - gpu_share</t>
        </is>
      </c>
      <c r="I1738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738" s="3" t="inlineStr">
        <is>
          <t>SRC_DEEPSEEK_V3; SRC_DEEPSEEK_R1; SRC_DEEPSEEK_H800_INFERENCE; SRC_EPOCH_AI_DATA_CENTERS; ASSUMP_NUMERIC_ACCELERATOR_MIX</t>
        </is>
      </c>
      <c r="K1738" s="3" t="inlineStr">
        <is>
          <t>ASSUMP_MOE_EFFICIENCY; ASSUMP_CN_CAPACITY_TRANSPARENCY; ASSUMP_NUMERIC_ACCELERATOR_MIX; ASSUMP_INFERENCE_SHARE_NOT_FACT_60; ASSUMP_WORKLOAD_CLASS_MIX; ASSUMP_AGENTIC_CONTEXT_PENALTY</t>
        </is>
      </c>
      <c r="L1738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739">
      <c r="A1739" s="3" t="inlineStr">
        <is>
          <t>DeepSeek</t>
        </is>
      </c>
      <c r="B1739" s="3" t="n">
        <v>2026</v>
      </c>
      <c r="C1739" s="3" t="inlineStr">
        <is>
          <t>Base</t>
        </is>
      </c>
      <c r="D1739" s="3" t="inlineStr">
        <is>
          <t>fleet_reference_tps_per_mw</t>
        </is>
      </c>
      <c r="E1739" s="3" t="n">
        <v>140577</v>
      </c>
      <c r="F1739" s="3" t="inlineStr">
        <is>
          <t>generated output tokens/sec/MW</t>
        </is>
      </c>
      <c r="G1739" s="3" t="inlineStr">
        <is>
          <t>Fleet-weighted public benchmark reference</t>
        </is>
      </c>
      <c r="H1739" s="3" t="inlineStr">
        <is>
          <t>h200_share*h200_workload_avg + b200_share*b200_workload_avg + gb200_share*gb200_workload_avg + purpose_built_share*purpose_workload_avg</t>
        </is>
      </c>
      <c r="I173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39" s="3" t="inlineStr">
        <is>
          <t>SRC_SEMIANALYSIS_INFERENCEX; ASSUMP_NUMERIC_ACCELERATOR_MIX; ASSUMP_WORKLOAD_CLASS_MIX; ASSUMP_AGENTIC_CONTEXT_PENALTY</t>
        </is>
      </c>
      <c r="K1739" s="3" t="inlineStr">
        <is>
          <t>ASSUMP_MOE_EFFICIENCY; ASSUMP_CN_CAPACITY_TRANSPARENCY; ASSUMP_NUMERIC_ACCELERATOR_MIX; ASSUMP_INFERENCE_SHARE_NOT_FACT_60; ASSUMP_WORKLOAD_CLASS_MIX; ASSUMP_AGENTIC_CONTEXT_PENALTY</t>
        </is>
      </c>
      <c r="L1739" s="3" t="inlineStr">
        <is>
          <t>Comparable production output-token throughput or a more closely matched benchmark.</t>
        </is>
      </c>
    </row>
    <row r="1740">
      <c r="A1740" s="3" t="inlineStr">
        <is>
          <t>DeepSeek</t>
        </is>
      </c>
      <c r="B1740" s="3" t="n">
        <v>2026</v>
      </c>
      <c r="C1740" s="3" t="inlineStr">
        <is>
          <t>Base</t>
        </is>
      </c>
      <c r="D1740" s="3" t="inlineStr">
        <is>
          <t>commercial_workload_fit_factor</t>
        </is>
      </c>
      <c r="E1740" s="3" t="n">
        <v>0.85</v>
      </c>
      <c r="F1740" s="3" t="inlineStr">
        <is>
          <t>share of public reference throughput</t>
        </is>
      </c>
      <c r="G1740" s="3" t="inlineStr">
        <is>
          <t>Scenario assumption</t>
        </is>
      </c>
      <c r="H1740" s="3" t="inlineStr">
        <is>
          <t>reference_serving_tps_per_mw = fleet_reference_tps_per_mw * commercial_workload_fit_factor</t>
        </is>
      </c>
      <c r="I174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40" s="3" t="inlineStr">
        <is>
          <t>SRC_SEMIANALYSIS_INFERENCEX; ASSUMP_NUMERIC_ACCELERATOR_MIX; ASSUMP_WORKLOAD_CLASS_MIX; ASSUMP_AGENTIC_CONTEXT_PENALTY</t>
        </is>
      </c>
      <c r="K1740" s="3" t="inlineStr">
        <is>
          <t>ASSUMP_MOE_EFFICIENCY; ASSUMP_CN_CAPACITY_TRANSPARENCY; ASSUMP_NUMERIC_ACCELERATOR_MIX; ASSUMP_INFERENCE_SHARE_NOT_FACT_60; ASSUMP_WORKLOAD_CLASS_MIX; ASSUMP_AGENTIC_CONTEXT_PENALTY</t>
        </is>
      </c>
      <c r="L1740" s="3" t="inlineStr">
        <is>
          <t>Matched commercial serving benchmark by product surface, context shape and latency SLO.</t>
        </is>
      </c>
    </row>
    <row r="1741">
      <c r="A1741" s="3" t="inlineStr">
        <is>
          <t>DeepSeek</t>
        </is>
      </c>
      <c r="B1741" s="3" t="n">
        <v>2026</v>
      </c>
      <c r="C1741" s="3" t="inlineStr">
        <is>
          <t>Base</t>
        </is>
      </c>
      <c r="D1741" s="3" t="inlineStr">
        <is>
          <t>reference_serving_tps_per_mw</t>
        </is>
      </c>
      <c r="E1741" s="3" t="n">
        <v>119490</v>
      </c>
      <c r="F1741" s="3" t="inlineStr">
        <is>
          <t>generated output tokens/sec/MW</t>
        </is>
      </c>
      <c r="G1741" s="3" t="inlineStr">
        <is>
          <t>Workload-adjusted benchmark proxy</t>
        </is>
      </c>
      <c r="H1741" s="3" t="inlineStr">
        <is>
          <t>fleet_reference_tps_per_mw * commercial_workload_fit_factor</t>
        </is>
      </c>
      <c r="I1741" s="3" t="inlineStr">
        <is>
          <t>This is the coefficient used for headline token generation; each GPU's short chat, long chat and agentic TPS/MW are weighted before fleet mix and commercial fit are applied.</t>
        </is>
      </c>
      <c r="J1741" s="3" t="inlineStr">
        <is>
          <t>SRC_SEMIANALYSIS_INFERENCEX; ASSUMP_NUMERIC_ACCELERATOR_MIX; ASSUMP_WORKLOAD_CLASS_MIX; ASSUMP_AGENTIC_CONTEXT_PENALTY</t>
        </is>
      </c>
      <c r="K1741" s="3" t="inlineStr">
        <is>
          <t>ASSUMP_MOE_EFFICIENCY; ASSUMP_CN_CAPACITY_TRANSPARENCY; ASSUMP_NUMERIC_ACCELERATOR_MIX; ASSUMP_INFERENCE_SHARE_NOT_FACT_60; ASSUMP_WORKLOAD_CLASS_MIX; ASSUMP_AGENTIC_CONTEXT_PENALTY</t>
        </is>
      </c>
      <c r="L1741" s="3" t="inlineStr">
        <is>
          <t>Provider production output-token throughput with comparable workload/SLO.</t>
        </is>
      </c>
    </row>
    <row r="1742">
      <c r="A1742" s="3" t="inlineStr">
        <is>
          <t>DeepSeek</t>
        </is>
      </c>
      <c r="B1742" s="3" t="n">
        <v>2026</v>
      </c>
      <c r="C1742" s="3" t="inlineStr">
        <is>
          <t>Base</t>
        </is>
      </c>
      <c r="D1742" s="3" t="inlineStr">
        <is>
          <t>purpose_built_tps_per_mw</t>
        </is>
      </c>
      <c r="E1742" s="3" t="n">
        <v>334536</v>
      </c>
      <c r="F1742" s="3" t="inlineStr">
        <is>
          <t>generated output tokens/sec/MW</t>
        </is>
      </c>
      <c r="G1742" s="3" t="inlineStr">
        <is>
          <t>Conservative no-uplift proxy</t>
        </is>
      </c>
      <c r="H1742" s="3" t="inlineStr">
        <is>
          <t>purpose_built_tps_per_mw = purpose_built_reference_tps_per_mw * commercial_workload_fit_factor until comparable output-token benchmark is adopted</t>
        </is>
      </c>
      <c r="I1742" s="3" t="inlineStr">
        <is>
          <t>No comparable public output-token/MW row adopted; B200 public reference placeholder is used and remains editable.</t>
        </is>
      </c>
      <c r="J1742" s="3" t="inlineStr">
        <is>
          <t>SRC_DEEPSEEK_V3; SRC_DEEPSEEK_R1; SRC_DEEPSEEK_H800_INFERENCE; SRC_EPOCH_AI_DATA_CENTERS; ASSUMP_NUMERIC_ACCELERATOR_MIX</t>
        </is>
      </c>
      <c r="K1742" s="3" t="inlineStr">
        <is>
          <t>ASSUMP_MOE_EFFICIENCY; ASSUMP_CN_CAPACITY_TRANSPARENCY; ASSUMP_NUMERIC_ACCELERATOR_MIX; ASSUMP_INFERENCE_SHARE_NOT_FACT_60; ASSUMP_WORKLOAD_CLASS_MIX; ASSUMP_AGENTIC_CONTEXT_PENALTY</t>
        </is>
      </c>
      <c r="L1742" s="3" t="inlineStr">
        <is>
          <t>Matched-workload generated-output benchmark for the provider purpose-built accelerator.</t>
        </is>
      </c>
    </row>
    <row r="1743">
      <c r="A1743" s="3" t="inlineStr">
        <is>
          <t>DeepSeek</t>
        </is>
      </c>
      <c r="B1743" s="3" t="n">
        <v>2026</v>
      </c>
      <c r="C1743" s="3" t="inlineStr">
        <is>
          <t>Base</t>
        </is>
      </c>
      <c r="D1743" s="3" t="inlineStr">
        <is>
          <t>inference_power_share</t>
        </is>
      </c>
      <c r="E1743" s="3" t="n">
        <v>0.62</v>
      </c>
      <c r="F1743" s="3" t="inlineStr">
        <is>
          <t>share of AI IT load</t>
        </is>
      </c>
      <c r="G1743" s="3" t="inlineStr">
        <is>
          <t>Scenario allocation</t>
        </is>
      </c>
      <c r="H1743" s="3" t="inlineStr">
        <is>
          <t>inference_gw = ai_it_load_gw * inference_power_share</t>
        </is>
      </c>
      <c r="I1743" s="3" t="inlineStr">
        <is>
          <t>API/app availability and inference-system disclosure support higher inference share; the value remains scenario.</t>
        </is>
      </c>
      <c r="J1743" s="3" t="inlineStr">
        <is>
          <t>SRC_DEEPSEEK_V3; SRC_DEEPSEEK_R1; SRC_DEEPSEEK_H800_INFERENCE; SRC_EPOCH_AI_DATA_CENTERS; ASSUMP_INFERENCE_SHARE_NOT_FACT_60</t>
        </is>
      </c>
      <c r="K1743" s="3" t="inlineStr">
        <is>
          <t>ASSUMP_MOE_EFFICIENCY; ASSUMP_CN_CAPACITY_TRANSPARENCY; ASSUMP_NUMERIC_ACCELERATOR_MIX; ASSUMP_INFERENCE_SHARE_NOT_FACT_60; ASSUMP_WORKLOAD_CLASS_MIX; ASSUMP_AGENTIC_CONTEXT_PENALTY</t>
        </is>
      </c>
      <c r="L1743" s="3" t="inlineStr">
        <is>
          <t>Provider-specific inference/training workload power telemetry.</t>
        </is>
      </c>
    </row>
    <row r="1744">
      <c r="A1744" s="3" t="inlineStr">
        <is>
          <t>DeepSeek</t>
        </is>
      </c>
      <c r="B1744" s="3" t="n">
        <v>2026</v>
      </c>
      <c r="C1744" s="3" t="inlineStr">
        <is>
          <t>Base</t>
        </is>
      </c>
      <c r="D1744" s="3" t="inlineStr">
        <is>
          <t>inference_gw</t>
        </is>
      </c>
      <c r="E1744" s="3" t="n">
        <v>0.061</v>
      </c>
      <c r="F1744" s="3" t="inlineStr">
        <is>
          <t>GW</t>
        </is>
      </c>
      <c r="G1744" s="3" t="inlineStr">
        <is>
          <t>Derived formula</t>
        </is>
      </c>
      <c r="H1744" s="3" t="inlineStr">
        <is>
          <t>ai_it_load_gw * inference_power_share</t>
        </is>
      </c>
      <c r="I1744" s="3" t="inlineStr">
        <is>
          <t>This is the operational power eligible to become commercial generated output tokens through the selected TPS/MW proxy.</t>
        </is>
      </c>
      <c r="J1744" s="3" t="inlineStr">
        <is>
          <t>SRC_DEEPSEEK_V3; SRC_DEEPSEEK_R1; SRC_DEEPSEEK_H800_INFERENCE; SRC_EPOCH_AI_DATA_CENTERS</t>
        </is>
      </c>
      <c r="K1744" s="3" t="inlineStr">
        <is>
          <t>ASSUMP_MOE_EFFICIENCY; ASSUMP_CN_CAPACITY_TRANSPARENCY; ASSUMP_NUMERIC_ACCELERATOR_MIX; ASSUMP_INFERENCE_SHARE_NOT_FACT_60; ASSUMP_WORKLOAD_CLASS_MIX; ASSUMP_AGENTIC_CONTEXT_PENALTY</t>
        </is>
      </c>
      <c r="L1744" s="3" t="inlineStr">
        <is>
          <t>Recompute after AI allocation or inference-share evidence changes.</t>
        </is>
      </c>
    </row>
    <row r="1745">
      <c r="A1745" s="3" t="inlineStr">
        <is>
          <t>DeepSeek</t>
        </is>
      </c>
      <c r="B1745" s="3" t="n">
        <v>2026</v>
      </c>
      <c r="C1745" s="3" t="inlineStr">
        <is>
          <t>Base</t>
        </is>
      </c>
      <c r="D1745" s="3" t="inlineStr">
        <is>
          <t>training_power_share</t>
        </is>
      </c>
      <c r="E1745" s="3" t="n">
        <v>0.38</v>
      </c>
      <c r="F1745" s="3" t="inlineStr">
        <is>
          <t>share of AI IT load</t>
        </is>
      </c>
      <c r="G1745" s="3" t="inlineStr">
        <is>
          <t>Derived allocation</t>
        </is>
      </c>
      <c r="H1745" s="3" t="inlineStr">
        <is>
          <t>1 - inference_power_share</t>
        </is>
      </c>
      <c r="I1745" s="3" t="inlineStr">
        <is>
          <t>Training receives the complementary modeled AI IT allocation; it is not a disclosed company workload split.</t>
        </is>
      </c>
      <c r="J1745" s="3" t="inlineStr">
        <is>
          <t>SRC_DEEPSEEK_V3; SRC_DEEPSEEK_R1; SRC_DEEPSEEK_H800_INFERENCE; SRC_EPOCH_AI_DATA_CENTERS; ASSUMP_INFERENCE_SHARE_NOT_FACT_60</t>
        </is>
      </c>
      <c r="K1745" s="3" t="inlineStr">
        <is>
          <t>ASSUMP_MOE_EFFICIENCY; ASSUMP_CN_CAPACITY_TRANSPARENCY; ASSUMP_NUMERIC_ACCELERATOR_MIX; ASSUMP_INFERENCE_SHARE_NOT_FACT_60; ASSUMP_WORKLOAD_CLASS_MIX; ASSUMP_AGENTIC_CONTEXT_PENALTY</t>
        </is>
      </c>
      <c r="L1745" s="3" t="inlineStr">
        <is>
          <t>Provider-specific inference/training workload power telemetry.</t>
        </is>
      </c>
    </row>
    <row r="1746">
      <c r="A1746" s="3" t="inlineStr">
        <is>
          <t>DeepSeek</t>
        </is>
      </c>
      <c r="B1746" s="3" t="n">
        <v>2026</v>
      </c>
      <c r="C1746" s="3" t="inlineStr">
        <is>
          <t>Base</t>
        </is>
      </c>
      <c r="D1746" s="3" t="inlineStr">
        <is>
          <t>training_gw</t>
        </is>
      </c>
      <c r="E1746" s="3" t="n">
        <v>0.038</v>
      </c>
      <c r="F1746" s="3" t="inlineStr">
        <is>
          <t>GW</t>
        </is>
      </c>
      <c r="G1746" s="3" t="inlineStr">
        <is>
          <t>Derived formula</t>
        </is>
      </c>
      <c r="H1746" s="3" t="inlineStr">
        <is>
          <t>ai_it_load_gw * training_power_share</t>
        </is>
      </c>
      <c r="I1746" s="3" t="inlineStr">
        <is>
          <t>Training GW is shown separately so commercial inference token capacity is not overstated.</t>
        </is>
      </c>
      <c r="J1746" s="3" t="inlineStr">
        <is>
          <t>SRC_DEEPSEEK_V3; SRC_DEEPSEEK_R1; SRC_DEEPSEEK_H800_INFERENCE; SRC_EPOCH_AI_DATA_CENTERS</t>
        </is>
      </c>
      <c r="K1746" s="3" t="inlineStr">
        <is>
          <t>ASSUMP_MOE_EFFICIENCY; ASSUMP_CN_CAPACITY_TRANSPARENCY; ASSUMP_NUMERIC_ACCELERATOR_MIX; ASSUMP_INFERENCE_SHARE_NOT_FACT_60; ASSUMP_WORKLOAD_CLASS_MIX; ASSUMP_AGENTIC_CONTEXT_PENALTY</t>
        </is>
      </c>
      <c r="L1746" s="3" t="inlineStr">
        <is>
          <t>Recompute after AI allocation or workload-split evidence changes.</t>
        </is>
      </c>
    </row>
    <row r="1747">
      <c r="A1747" s="3" t="inlineStr">
        <is>
          <t>DeepSeek</t>
        </is>
      </c>
      <c r="B1747" s="3" t="n">
        <v>2026</v>
      </c>
      <c r="C1747" s="3" t="inlineStr">
        <is>
          <t>Base</t>
        </is>
      </c>
      <c r="D1747" s="3" t="inlineStr">
        <is>
          <t>tokens_per_second_per_mw</t>
        </is>
      </c>
      <c r="E1747" s="3" t="n">
        <v>119490</v>
      </c>
      <c r="F1747" s="3" t="inlineStr">
        <is>
          <t>generated output tokens/sec/MW</t>
        </is>
      </c>
      <c r="G1747" s="3" t="inlineStr">
        <is>
          <t>Derived estimate + benchmark calibration</t>
        </is>
      </c>
      <c r="H1747" s="3" t="inlineStr">
        <is>
          <t>fleet_reference_tps_per_mw * commercial_workload_fit_factor</t>
        </is>
      </c>
      <c r="I174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47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747" s="3" t="inlineStr">
        <is>
          <t>ASSUMP_MOE_EFFICIENCY; ASSUMP_CN_CAPACITY_TRANSPARENCY; ASSUMP_NUMERIC_ACCELERATOR_MIX; ASSUMP_INFERENCE_SHARE_NOT_FACT_60; ASSUMP_WORKLOAD_CLASS_MIX; ASSUMP_AGENTIC_CONTEXT_PENALTY</t>
        </is>
      </c>
      <c r="L1747" s="3" t="inlineStr">
        <is>
          <t>Comparable production output-token throughput with model, hardware, precision, ISL/OSL and SLO matched.</t>
        </is>
      </c>
    </row>
    <row r="1748">
      <c r="A1748" s="3" t="inlineStr">
        <is>
          <t>DeepSeek</t>
        </is>
      </c>
      <c r="B1748" s="3" t="n">
        <v>2026</v>
      </c>
      <c r="C1748" s="3" t="inlineStr">
        <is>
          <t>Base</t>
        </is>
      </c>
      <c r="D1748" s="3" t="inlineStr">
        <is>
          <t>inference_tokens_per_day</t>
        </is>
      </c>
      <c r="E1748" s="3" t="n">
        <v>629760096000</v>
      </c>
      <c r="F1748" s="3" t="inlineStr">
        <is>
          <t>generated output tokens/day</t>
        </is>
      </c>
      <c r="G1748" s="3" t="inlineStr">
        <is>
          <t>Derived headline metric</t>
        </is>
      </c>
      <c r="H1748" s="3" t="inlineStr">
        <is>
          <t>inference_gw * 1000 * tokens_per_second_per_mw * 86,400</t>
        </is>
      </c>
      <c r="I1748" s="3" t="inlineStr">
        <is>
          <t>Headline capacity uses no utilization, MoE, architecture or software-growth multiplier; it is not observed commercial output volume.</t>
        </is>
      </c>
      <c r="J1748" s="3" t="inlineStr">
        <is>
          <t>SRC_DEEPSEEK_V3; SRC_DEEPSEEK_R1; SRC_DEEPSEEK_H800_INFERENCE; SRC_EPOCH_AI_DATA_CENTERS; SRC_SEMIANALYSIS_INFERENCEX</t>
        </is>
      </c>
      <c r="K1748" s="3" t="inlineStr">
        <is>
          <t>ASSUMP_MOE_EFFICIENCY; ASSUMP_CN_CAPACITY_TRANSPARENCY; ASSUMP_NUMERIC_ACCELERATOR_MIX; ASSUMP_INFERENCE_SHARE_NOT_FACT_60; ASSUMP_WORKLOAD_CLASS_MIX; ASSUMP_AGENTIC_CONTEXT_PENALTY</t>
        </is>
      </c>
      <c r="L1748" s="3" t="inlineStr">
        <is>
          <t>Provider-disclosed generated output token volume or calibrated capacity telemetry.</t>
        </is>
      </c>
    </row>
    <row r="1749">
      <c r="A1749" s="3" t="inlineStr">
        <is>
          <t>DeepSeek</t>
        </is>
      </c>
      <c r="B1749" s="3" t="n">
        <v>2026</v>
      </c>
      <c r="C1749" s="3" t="inlineStr">
        <is>
          <t>Base</t>
        </is>
      </c>
      <c r="D1749" s="3" t="inlineStr">
        <is>
          <t>inference_tokens_per_year</t>
        </is>
      </c>
      <c r="E1749" s="3" t="n">
        <v>229862435040000</v>
      </c>
      <c r="F1749" s="3" t="inlineStr">
        <is>
          <t>generated output tokens/year</t>
        </is>
      </c>
      <c r="G1749" s="3" t="inlineStr">
        <is>
          <t>Derived headline metric</t>
        </is>
      </c>
      <c r="H1749" s="3" t="inlineStr">
        <is>
          <t>inference_tokens_per_day * 365</t>
        </is>
      </c>
      <c r="I1749" s="3" t="inlineStr">
        <is>
          <t>Annualized version of generated output token capacity; it is not observed annual demand or billable volume.</t>
        </is>
      </c>
      <c r="J1749" s="3" t="inlineStr">
        <is>
          <t>SRC_DEEPSEEK_V3; SRC_DEEPSEEK_R1; SRC_DEEPSEEK_H800_INFERENCE; SRC_EPOCH_AI_DATA_CENTERS; SRC_SEMIANALYSIS_INFERENCEX</t>
        </is>
      </c>
      <c r="K1749" s="3" t="inlineStr">
        <is>
          <t>ASSUMP_MOE_EFFICIENCY; ASSUMP_CN_CAPACITY_TRANSPARENCY; ASSUMP_NUMERIC_ACCELERATOR_MIX; ASSUMP_INFERENCE_SHARE_NOT_FACT_60; ASSUMP_WORKLOAD_CLASS_MIX; ASSUMP_AGENTIC_CONTEXT_PENALTY</t>
        </is>
      </c>
      <c r="L1749" s="3" t="inlineStr">
        <is>
          <t>Provider-disclosed annual generated-output volume or metered serving telemetry.</t>
        </is>
      </c>
    </row>
    <row r="1750">
      <c r="A1750" s="3" t="inlineStr">
        <is>
          <t>DeepSeek</t>
        </is>
      </c>
      <c r="B1750" s="3" t="n">
        <v>2027</v>
      </c>
      <c r="C1750" s="3" t="inlineStr">
        <is>
          <t>Base</t>
        </is>
      </c>
      <c r="D1750" s="3" t="inlineStr">
        <is>
          <t>contracted_power_gw</t>
        </is>
      </c>
      <c r="E1750" s="3" t="n">
        <v>0.825</v>
      </c>
      <c r="F1750" s="3" t="inlineStr">
        <is>
          <t>GW</t>
        </is>
      </c>
      <c r="G1750" s="3" t="inlineStr">
        <is>
          <t>Scenario capacity envelope</t>
        </is>
      </c>
      <c r="H1750" s="3" t="inlineStr">
        <is>
          <t>linear interpolation between 2026 and 2030 company capacity endpoints</t>
        </is>
      </c>
      <c r="I1750" s="3" t="inlineStr">
        <is>
          <t>Capacity is a low-transparency scenario; official infrastructure evidence supports H800 inference hardware, not company GW.</t>
        </is>
      </c>
      <c r="J1750" s="3" t="inlineStr">
        <is>
          <t>SRC_DEEPSEEK_H800_INFERENCE; ASSUMP_CN_CAPACITY_TRANSPARENCY</t>
        </is>
      </c>
      <c r="K1750" s="3" t="inlineStr">
        <is>
          <t>ASSUMP_MOE_EFFICIENCY; ASSUMP_CN_CAPACITY_TRANSPARENCY; ASSUMP_NUMERIC_ACCELERATOR_MIX; ASSUMP_INFERENCE_SHARE_NOT_FACT_60; ASSUMP_WORKLOAD_CLASS_MIX; ASSUMP_AGENTIC_CONTEXT_PENALTY</t>
        </is>
      </c>
      <c r="L1750" s="3" t="inlineStr">
        <is>
          <t>Company/site-level committed MW/GW, interconnect and contract disclosure.</t>
        </is>
      </c>
    </row>
    <row r="1751">
      <c r="A1751" s="3" t="inlineStr">
        <is>
          <t>DeepSeek</t>
        </is>
      </c>
      <c r="B1751" s="3" t="n">
        <v>2027</v>
      </c>
      <c r="C1751" s="3" t="inlineStr">
        <is>
          <t>Base</t>
        </is>
      </c>
      <c r="D1751" s="3" t="inlineStr">
        <is>
          <t>operational_deployment_share</t>
        </is>
      </c>
      <c r="E1751" s="3" t="n">
        <v>0.49939394</v>
      </c>
      <c r="F1751" s="3" t="inlineStr">
        <is>
          <t>share</t>
        </is>
      </c>
      <c r="G1751" s="3" t="inlineStr">
        <is>
          <t>Scenario conversion</t>
        </is>
      </c>
      <c r="H1751" s="3" t="inlineStr">
        <is>
          <t>active_power_gw / contracted_power_gw</t>
        </is>
      </c>
      <c r="I1751" s="3" t="inlineStr">
        <is>
          <t>This is the single explicit conversion from contracted/attributed capacity to operationally usable capacity.</t>
        </is>
      </c>
      <c r="J1751" s="3" t="inlineStr">
        <is>
          <t>SRC_DEEPSEEK_H800_INFERENCE; ASSUMP_CN_CAPACITY_TRANSPARENCY</t>
        </is>
      </c>
      <c r="K1751" s="3" t="inlineStr">
        <is>
          <t>ASSUMP_MOE_EFFICIENCY; ASSUMP_CN_CAPACITY_TRANSPARENCY; ASSUMP_NUMERIC_ACCELERATOR_MIX; ASSUMP_INFERENCE_SHARE_NOT_FACT_60; ASSUMP_WORKLOAD_CLASS_MIX; ASSUMP_AGENTIC_CONTEXT_PENALTY</t>
        </is>
      </c>
      <c r="L1751" s="3" t="inlineStr">
        <is>
          <t>Energized operational capacity divided by contracted/attributed capacity.</t>
        </is>
      </c>
    </row>
    <row r="1752">
      <c r="A1752" s="3" t="inlineStr">
        <is>
          <t>DeepSeek</t>
        </is>
      </c>
      <c r="B1752" s="3" t="n">
        <v>2027</v>
      </c>
      <c r="C1752" s="3" t="inlineStr">
        <is>
          <t>Base</t>
        </is>
      </c>
      <c r="D1752" s="3" t="inlineStr">
        <is>
          <t>active_power_gw</t>
        </is>
      </c>
      <c r="E1752" s="3" t="n">
        <v>0.412</v>
      </c>
      <c r="F1752" s="3" t="inlineStr">
        <is>
          <t>GW</t>
        </is>
      </c>
      <c r="G1752" s="3" t="inlineStr">
        <is>
          <t>Derived scenario</t>
        </is>
      </c>
      <c r="H1752" s="3" t="inlineStr">
        <is>
          <t>contracted_power_gw * operational_deployment_share</t>
        </is>
      </c>
      <c r="I1752" s="3" t="inlineStr">
        <is>
          <t>Active GW is conservative because operated cluster scale beyond disclosed infrastructure is not public.</t>
        </is>
      </c>
      <c r="J1752" s="3" t="inlineStr">
        <is>
          <t>SRC_DEEPSEEK_H800_INFERENCE; ASSUMP_CN_CAPACITY_TRANSPARENCY</t>
        </is>
      </c>
      <c r="K1752" s="3" t="inlineStr">
        <is>
          <t>ASSUMP_MOE_EFFICIENCY; ASSUMP_CN_CAPACITY_TRANSPARENCY; ASSUMP_NUMERIC_ACCELERATOR_MIX; ASSUMP_INFERENCE_SHARE_NOT_FACT_60; ASSUMP_WORKLOAD_CLASS_MIX; ASSUMP_AGENTIC_CONTEXT_PENALTY</t>
        </is>
      </c>
      <c r="L1752" s="3" t="inlineStr">
        <is>
          <t>Energization dates, accelerator deliveries and operational powered-rack telemetry.</t>
        </is>
      </c>
    </row>
    <row r="1753">
      <c r="A1753" s="3" t="inlineStr">
        <is>
          <t>DeepSeek</t>
        </is>
      </c>
      <c r="B1753" s="3" t="n">
        <v>2027</v>
      </c>
      <c r="C1753" s="3" t="inlineStr">
        <is>
          <t>Base</t>
        </is>
      </c>
      <c r="D1753" s="3" t="inlineStr">
        <is>
          <t>pue</t>
        </is>
      </c>
      <c r="E1753" s="3" t="n">
        <v>1.24</v>
      </c>
      <c r="F1753" s="3" t="inlineStr">
        <is>
          <t>ratio</t>
        </is>
      </c>
      <c r="G1753" s="3" t="inlineStr">
        <is>
          <t>Scenario parameter</t>
        </is>
      </c>
      <c r="H1753" s="3" t="inlineStr">
        <is>
          <t>it_load_gw = active_power_gw / pue</t>
        </is>
      </c>
      <c r="I1753" s="3" t="inlineStr">
        <is>
          <t>No provider-wide site-level PUE is used as a disclosed fact; PUE represents facility-to-IT conversion within the scenario.</t>
        </is>
      </c>
      <c r="J1753" s="3" t="inlineStr">
        <is>
          <t>ASSUMP_POWER_RAMP</t>
        </is>
      </c>
      <c r="K1753" s="3" t="inlineStr">
        <is>
          <t>ASSUMP_MOE_EFFICIENCY; ASSUMP_CN_CAPACITY_TRANSPARENCY; ASSUMP_NUMERIC_ACCELERATOR_MIX; ASSUMP_INFERENCE_SHARE_NOT_FACT_60; ASSUMP_WORKLOAD_CLASS_MIX; ASSUMP_AGENTIC_CONTEXT_PENALTY</t>
        </is>
      </c>
      <c r="L1753" s="3" t="inlineStr">
        <is>
          <t>Site-level measured PUE matched to attributed AI capacity.</t>
        </is>
      </c>
    </row>
    <row r="1754">
      <c r="A1754" s="3" t="inlineStr">
        <is>
          <t>DeepSeek</t>
        </is>
      </c>
      <c r="B1754" s="3" t="n">
        <v>2027</v>
      </c>
      <c r="C1754" s="3" t="inlineStr">
        <is>
          <t>Base</t>
        </is>
      </c>
      <c r="D1754" s="3" t="inlineStr">
        <is>
          <t>it_load_gw</t>
        </is>
      </c>
      <c r="E1754" s="3" t="n">
        <v>0.333</v>
      </c>
      <c r="F1754" s="3" t="inlineStr">
        <is>
          <t>GW</t>
        </is>
      </c>
      <c r="G1754" s="3" t="inlineStr">
        <is>
          <t>Derived formula</t>
        </is>
      </c>
      <c r="H1754" s="3" t="inlineStr">
        <is>
          <t>active_power_gw / pue</t>
        </is>
      </c>
      <c r="I1754" s="3" t="inlineStr">
        <is>
          <t>Facility power is converted to IT-deliverable power before attributing AI workloads.</t>
        </is>
      </c>
      <c r="J1754" s="3" t="inlineStr">
        <is>
          <t>SRC_DEEPSEEK_H800_INFERENCE; ASSUMP_CN_CAPACITY_TRANSPARENCY</t>
        </is>
      </c>
      <c r="K1754" s="3" t="inlineStr">
        <is>
          <t>ASSUMP_MOE_EFFICIENCY; ASSUMP_CN_CAPACITY_TRANSPARENCY; ASSUMP_NUMERIC_ACCELERATOR_MIX; ASSUMP_INFERENCE_SHARE_NOT_FACT_60; ASSUMP_WORKLOAD_CLASS_MIX; ASSUMP_AGENTIC_CONTEXT_PENALTY</t>
        </is>
      </c>
      <c r="L1754" s="3" t="inlineStr">
        <is>
          <t>Recompute once active power and PUE become site-observable.</t>
        </is>
      </c>
    </row>
    <row r="1755">
      <c r="A1755" s="3" t="inlineStr">
        <is>
          <t>DeepSeek</t>
        </is>
      </c>
      <c r="B1755" s="3" t="n">
        <v>2027</v>
      </c>
      <c r="C1755" s="3" t="inlineStr">
        <is>
          <t>Base</t>
        </is>
      </c>
      <c r="D1755" s="3" t="inlineStr">
        <is>
          <t>ai_workload_share</t>
        </is>
      </c>
      <c r="E1755" s="3" t="n">
        <v>0.82</v>
      </c>
      <c r="F1755" s="3" t="inlineStr">
        <is>
          <t>share</t>
        </is>
      </c>
      <c r="G1755" s="3" t="inlineStr">
        <is>
          <t>Scenario allocation</t>
        </is>
      </c>
      <c r="H1755" s="3" t="inlineStr">
        <is>
          <t>ai_it_load_gw = it_load_gw * ai_workload_share</t>
        </is>
      </c>
      <c r="I1755" s="3" t="inlineStr">
        <is>
          <t>DeepSeek-operated service capacity is modeled as AI-focused, reduced for reserve and ancillary processing.</t>
        </is>
      </c>
      <c r="J1755" s="3" t="inlineStr">
        <is>
          <t>SRC_DEEPSEEK_V3; SRC_DEEPSEEK_R1; SRC_DEEPSEEK_H800_INFERENCE; SRC_EPOCH_AI_DATA_CENTERS</t>
        </is>
      </c>
      <c r="K1755" s="3" t="inlineStr">
        <is>
          <t>ASSUMP_MOE_EFFICIENCY; ASSUMP_CN_CAPACITY_TRANSPARENCY; ASSUMP_NUMERIC_ACCELERATOR_MIX; ASSUMP_INFERENCE_SHARE_NOT_FACT_60; ASSUMP_WORKLOAD_CLASS_MIX; ASSUMP_AGENTIC_CONTEXT_PENALTY</t>
        </is>
      </c>
      <c r="L1755" s="3" t="inlineStr">
        <is>
          <t>Model-owner AI workload allocation or cluster scheduling telemetry.</t>
        </is>
      </c>
    </row>
    <row r="1756">
      <c r="A1756" s="3" t="inlineStr">
        <is>
          <t>DeepSeek</t>
        </is>
      </c>
      <c r="B1756" s="3" t="n">
        <v>2027</v>
      </c>
      <c r="C1756" s="3" t="inlineStr">
        <is>
          <t>Base</t>
        </is>
      </c>
      <c r="D1756" s="3" t="inlineStr">
        <is>
          <t>ai_it_load_gw</t>
        </is>
      </c>
      <c r="E1756" s="3" t="n">
        <v>0.273</v>
      </c>
      <c r="F1756" s="3" t="inlineStr">
        <is>
          <t>GW</t>
        </is>
      </c>
      <c r="G1756" s="3" t="inlineStr">
        <is>
          <t>Derived formula</t>
        </is>
      </c>
      <c r="H1756" s="3" t="inlineStr">
        <is>
          <t>it_load_gw * ai_workload_share</t>
        </is>
      </c>
      <c r="I1756" s="3" t="inlineStr">
        <is>
          <t>Only the AI-attributed portion of IT load enters training/inference allocation.</t>
        </is>
      </c>
      <c r="J1756" s="3" t="inlineStr">
        <is>
          <t>SRC_DEEPSEEK_V3; SRC_DEEPSEEK_R1; SRC_DEEPSEEK_H800_INFERENCE; SRC_EPOCH_AI_DATA_CENTERS</t>
        </is>
      </c>
      <c r="K1756" s="3" t="inlineStr">
        <is>
          <t>ASSUMP_MOE_EFFICIENCY; ASSUMP_CN_CAPACITY_TRANSPARENCY; ASSUMP_NUMERIC_ACCELERATOR_MIX; ASSUMP_INFERENCE_SHARE_NOT_FACT_60; ASSUMP_WORKLOAD_CLASS_MIX; ASSUMP_AGENTIC_CONTEXT_PENALTY</t>
        </is>
      </c>
      <c r="L1756" s="3" t="inlineStr">
        <is>
          <t>Recompute after ai_workload_share is replaced by telemetry.</t>
        </is>
      </c>
    </row>
    <row r="1757">
      <c r="A1757" s="3" t="inlineStr">
        <is>
          <t>DeepSeek</t>
        </is>
      </c>
      <c r="B1757" s="3" t="n">
        <v>2027</v>
      </c>
      <c r="C1757" s="3" t="inlineStr">
        <is>
          <t>Base</t>
        </is>
      </c>
      <c r="D1757" s="3" t="inlineStr">
        <is>
          <t>gpu_share</t>
        </is>
      </c>
      <c r="E1757" s="3" t="n">
        <v>1</v>
      </c>
      <c r="F1757" s="3" t="inlineStr">
        <is>
          <t>share of inference-serving accelerator load</t>
        </is>
      </c>
      <c r="G1757" s="3" t="inlineStr">
        <is>
          <t>Numeric scenario</t>
        </is>
      </c>
      <c r="H1757" s="3" t="inlineStr">
        <is>
          <t>gpu_share interpolated from company 2026/2030 accelerator-mix endpoints</t>
        </is>
      </c>
      <c r="I1757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757" s="3" t="inlineStr">
        <is>
          <t>SRC_DEEPSEEK_V3; SRC_DEEPSEEK_R1; SRC_DEEPSEEK_H800_INFERENCE; SRC_EPOCH_AI_DATA_CENTERS; ASSUMP_NUMERIC_ACCELERATOR_MIX</t>
        </is>
      </c>
      <c r="K1757" s="3" t="inlineStr">
        <is>
          <t>ASSUMP_MOE_EFFICIENCY; ASSUMP_CN_CAPACITY_TRANSPARENCY; ASSUMP_NUMERIC_ACCELERATOR_MIX; ASSUMP_INFERENCE_SHARE_NOT_FACT_60; ASSUMP_WORKLOAD_CLASS_MIX; ASSUMP_AGENTIC_CONTEXT_PENALTY</t>
        </is>
      </c>
      <c r="L1757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758">
      <c r="A1758" s="3" t="inlineStr">
        <is>
          <t>DeepSeek</t>
        </is>
      </c>
      <c r="B1758" s="3" t="n">
        <v>2027</v>
      </c>
      <c r="C1758" s="3" t="inlineStr">
        <is>
          <t>Base</t>
        </is>
      </c>
      <c r="D1758" s="3" t="inlineStr">
        <is>
          <t>h200_share</t>
        </is>
      </c>
      <c r="E1758" s="3" t="n">
        <v>0.438</v>
      </c>
      <c r="F1758" s="3" t="inlineStr">
        <is>
          <t>share of inference-serving accelerator load</t>
        </is>
      </c>
      <c r="G1758" s="3" t="inlineStr">
        <is>
          <t>Editable numeric scenario</t>
        </is>
      </c>
      <c r="H1758" s="3" t="inlineStr">
        <is>
          <t>h200_share = gpu_share * default_gpu_generation_mix_h200</t>
        </is>
      </c>
      <c r="I1758" s="3" t="inlineStr">
        <is>
          <t>Default GPU-generation migration assumption; executive workbook allows later manual replacement by company/year/scenario.</t>
        </is>
      </c>
      <c r="J1758" s="3" t="inlineStr">
        <is>
          <t>SRC_SEMIANALYSIS_INFERENCEX; ASSUMP_NUMERIC_ACCELERATOR_MIX</t>
        </is>
      </c>
      <c r="K1758" s="3" t="inlineStr">
        <is>
          <t>ASSUMP_MOE_EFFICIENCY; ASSUMP_CN_CAPACITY_TRANSPARENCY; ASSUMP_NUMERIC_ACCELERATOR_MIX; ASSUMP_INFERENCE_SHARE_NOT_FACT_60; ASSUMP_WORKLOAD_CLASS_MIX; ASSUMP_AGENTIC_CONTEXT_PENALTY</t>
        </is>
      </c>
      <c r="L1758" s="3" t="inlineStr">
        <is>
          <t>Company fleet inventory, accelerator-hours or procurement/deployment records by GPU generation.</t>
        </is>
      </c>
    </row>
    <row r="1759">
      <c r="A1759" s="3" t="inlineStr">
        <is>
          <t>DeepSeek</t>
        </is>
      </c>
      <c r="B1759" s="3" t="n">
        <v>2027</v>
      </c>
      <c r="C1759" s="3" t="inlineStr">
        <is>
          <t>Base</t>
        </is>
      </c>
      <c r="D1759" s="3" t="inlineStr">
        <is>
          <t>b200_share</t>
        </is>
      </c>
      <c r="E1759" s="3" t="n">
        <v>0.388</v>
      </c>
      <c r="F1759" s="3" t="inlineStr">
        <is>
          <t>share of inference-serving accelerator load</t>
        </is>
      </c>
      <c r="G1759" s="3" t="inlineStr">
        <is>
          <t>Editable numeric scenario</t>
        </is>
      </c>
      <c r="H1759" s="3" t="inlineStr">
        <is>
          <t>b200_share = gpu_share * default_gpu_generation_mix_b200</t>
        </is>
      </c>
      <c r="I1759" s="3" t="inlineStr">
        <is>
          <t>Default GPU-generation migration assumption; executive workbook allows later manual replacement by company/year/scenario.</t>
        </is>
      </c>
      <c r="J1759" s="3" t="inlineStr">
        <is>
          <t>SRC_SEMIANALYSIS_INFERENCEX; ASSUMP_NUMERIC_ACCELERATOR_MIX</t>
        </is>
      </c>
      <c r="K1759" s="3" t="inlineStr">
        <is>
          <t>ASSUMP_MOE_EFFICIENCY; ASSUMP_CN_CAPACITY_TRANSPARENCY; ASSUMP_NUMERIC_ACCELERATOR_MIX; ASSUMP_INFERENCE_SHARE_NOT_FACT_60; ASSUMP_WORKLOAD_CLASS_MIX; ASSUMP_AGENTIC_CONTEXT_PENALTY</t>
        </is>
      </c>
      <c r="L1759" s="3" t="inlineStr">
        <is>
          <t>Company fleet inventory, accelerator-hours or procurement/deployment records by GPU generation.</t>
        </is>
      </c>
    </row>
    <row r="1760">
      <c r="A1760" s="3" t="inlineStr">
        <is>
          <t>DeepSeek</t>
        </is>
      </c>
      <c r="B1760" s="3" t="n">
        <v>2027</v>
      </c>
      <c r="C1760" s="3" t="inlineStr">
        <is>
          <t>Base</t>
        </is>
      </c>
      <c r="D1760" s="3" t="inlineStr">
        <is>
          <t>gb200_share</t>
        </is>
      </c>
      <c r="E1760" s="3" t="n">
        <v>0.174</v>
      </c>
      <c r="F1760" s="3" t="inlineStr">
        <is>
          <t>share of inference-serving accelerator load</t>
        </is>
      </c>
      <c r="G1760" s="3" t="inlineStr">
        <is>
          <t>Editable numeric scenario</t>
        </is>
      </c>
      <c r="H1760" s="3" t="inlineStr">
        <is>
          <t>gb200_share = gpu_share * default_gpu_generation_mix_gb200</t>
        </is>
      </c>
      <c r="I1760" s="3" t="inlineStr">
        <is>
          <t>Default GPU-generation migration assumption; executive workbook allows later manual replacement by company/year/scenario.</t>
        </is>
      </c>
      <c r="J1760" s="3" t="inlineStr">
        <is>
          <t>SRC_SEMIANALYSIS_INFERENCEX; ASSUMP_NUMERIC_ACCELERATOR_MIX</t>
        </is>
      </c>
      <c r="K1760" s="3" t="inlineStr">
        <is>
          <t>ASSUMP_MOE_EFFICIENCY; ASSUMP_CN_CAPACITY_TRANSPARENCY; ASSUMP_NUMERIC_ACCELERATOR_MIX; ASSUMP_INFERENCE_SHARE_NOT_FACT_60; ASSUMP_WORKLOAD_CLASS_MIX; ASSUMP_AGENTIC_CONTEXT_PENALTY</t>
        </is>
      </c>
      <c r="L1760" s="3" t="inlineStr">
        <is>
          <t>Company fleet inventory, accelerator-hours or procurement/deployment records by GPU generation.</t>
        </is>
      </c>
    </row>
    <row r="1761">
      <c r="A1761" s="3" t="inlineStr">
        <is>
          <t>DeepSeek</t>
        </is>
      </c>
      <c r="B1761" s="3" t="n">
        <v>2027</v>
      </c>
      <c r="C1761" s="3" t="inlineStr">
        <is>
          <t>Base</t>
        </is>
      </c>
      <c r="D1761" s="3" t="inlineStr">
        <is>
          <t>purpose_built_accelerator_share</t>
        </is>
      </c>
      <c r="E1761" s="3" t="n">
        <v>0</v>
      </c>
      <c r="F1761" s="3" t="inlineStr">
        <is>
          <t>share of inference-serving accelerator load</t>
        </is>
      </c>
      <c r="G1761" s="3" t="inlineStr">
        <is>
          <t>Numeric scenario</t>
        </is>
      </c>
      <c r="H1761" s="3" t="inlineStr">
        <is>
          <t>1 - gpu_share</t>
        </is>
      </c>
      <c r="I1761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761" s="3" t="inlineStr">
        <is>
          <t>SRC_DEEPSEEK_V3; SRC_DEEPSEEK_R1; SRC_DEEPSEEK_H800_INFERENCE; SRC_EPOCH_AI_DATA_CENTERS; ASSUMP_NUMERIC_ACCELERATOR_MIX</t>
        </is>
      </c>
      <c r="K1761" s="3" t="inlineStr">
        <is>
          <t>ASSUMP_MOE_EFFICIENCY; ASSUMP_CN_CAPACITY_TRANSPARENCY; ASSUMP_NUMERIC_ACCELERATOR_MIX; ASSUMP_INFERENCE_SHARE_NOT_FACT_60; ASSUMP_WORKLOAD_CLASS_MIX; ASSUMP_AGENTIC_CONTEXT_PENALTY</t>
        </is>
      </c>
      <c r="L1761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762">
      <c r="A1762" s="3" t="inlineStr">
        <is>
          <t>DeepSeek</t>
        </is>
      </c>
      <c r="B1762" s="3" t="n">
        <v>2027</v>
      </c>
      <c r="C1762" s="3" t="inlineStr">
        <is>
          <t>Base</t>
        </is>
      </c>
      <c r="D1762" s="3" t="inlineStr">
        <is>
          <t>fleet_reference_tps_per_mw</t>
        </is>
      </c>
      <c r="E1762" s="3" t="n">
        <v>151424</v>
      </c>
      <c r="F1762" s="3" t="inlineStr">
        <is>
          <t>generated output tokens/sec/MW</t>
        </is>
      </c>
      <c r="G1762" s="3" t="inlineStr">
        <is>
          <t>Fleet-weighted public benchmark reference</t>
        </is>
      </c>
      <c r="H1762" s="3" t="inlineStr">
        <is>
          <t>h200_share*h200_workload_avg + b200_share*b200_workload_avg + gb200_share*gb200_workload_avg + purpose_built_share*purpose_workload_avg</t>
        </is>
      </c>
      <c r="I176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62" s="3" t="inlineStr">
        <is>
          <t>SRC_SEMIANALYSIS_INFERENCEX; ASSUMP_NUMERIC_ACCELERATOR_MIX; ASSUMP_WORKLOAD_CLASS_MIX; ASSUMP_AGENTIC_CONTEXT_PENALTY</t>
        </is>
      </c>
      <c r="K1762" s="3" t="inlineStr">
        <is>
          <t>ASSUMP_MOE_EFFICIENCY; ASSUMP_CN_CAPACITY_TRANSPARENCY; ASSUMP_NUMERIC_ACCELERATOR_MIX; ASSUMP_INFERENCE_SHARE_NOT_FACT_60; ASSUMP_WORKLOAD_CLASS_MIX; ASSUMP_AGENTIC_CONTEXT_PENALTY</t>
        </is>
      </c>
      <c r="L1762" s="3" t="inlineStr">
        <is>
          <t>Comparable production output-token throughput or a more closely matched benchmark.</t>
        </is>
      </c>
    </row>
    <row r="1763">
      <c r="A1763" s="3" t="inlineStr">
        <is>
          <t>DeepSeek</t>
        </is>
      </c>
      <c r="B1763" s="3" t="n">
        <v>2027</v>
      </c>
      <c r="C1763" s="3" t="inlineStr">
        <is>
          <t>Base</t>
        </is>
      </c>
      <c r="D1763" s="3" t="inlineStr">
        <is>
          <t>commercial_workload_fit_factor</t>
        </is>
      </c>
      <c r="E1763" s="3" t="n">
        <v>0.85</v>
      </c>
      <c r="F1763" s="3" t="inlineStr">
        <is>
          <t>share of public reference throughput</t>
        </is>
      </c>
      <c r="G1763" s="3" t="inlineStr">
        <is>
          <t>Scenario assumption</t>
        </is>
      </c>
      <c r="H1763" s="3" t="inlineStr">
        <is>
          <t>reference_serving_tps_per_mw = fleet_reference_tps_per_mw * commercial_workload_fit_factor</t>
        </is>
      </c>
      <c r="I176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63" s="3" t="inlineStr">
        <is>
          <t>SRC_SEMIANALYSIS_INFERENCEX; ASSUMP_NUMERIC_ACCELERATOR_MIX; ASSUMP_WORKLOAD_CLASS_MIX; ASSUMP_AGENTIC_CONTEXT_PENALTY</t>
        </is>
      </c>
      <c r="K1763" s="3" t="inlineStr">
        <is>
          <t>ASSUMP_MOE_EFFICIENCY; ASSUMP_CN_CAPACITY_TRANSPARENCY; ASSUMP_NUMERIC_ACCELERATOR_MIX; ASSUMP_INFERENCE_SHARE_NOT_FACT_60; ASSUMP_WORKLOAD_CLASS_MIX; ASSUMP_AGENTIC_CONTEXT_PENALTY</t>
        </is>
      </c>
      <c r="L1763" s="3" t="inlineStr">
        <is>
          <t>Matched commercial serving benchmark by product surface, context shape and latency SLO.</t>
        </is>
      </c>
    </row>
    <row r="1764">
      <c r="A1764" s="3" t="inlineStr">
        <is>
          <t>DeepSeek</t>
        </is>
      </c>
      <c r="B1764" s="3" t="n">
        <v>2027</v>
      </c>
      <c r="C1764" s="3" t="inlineStr">
        <is>
          <t>Base</t>
        </is>
      </c>
      <c r="D1764" s="3" t="inlineStr">
        <is>
          <t>reference_serving_tps_per_mw</t>
        </is>
      </c>
      <c r="E1764" s="3" t="n">
        <v>128710</v>
      </c>
      <c r="F1764" s="3" t="inlineStr">
        <is>
          <t>generated output tokens/sec/MW</t>
        </is>
      </c>
      <c r="G1764" s="3" t="inlineStr">
        <is>
          <t>Workload-adjusted benchmark proxy</t>
        </is>
      </c>
      <c r="H1764" s="3" t="inlineStr">
        <is>
          <t>fleet_reference_tps_per_mw * commercial_workload_fit_factor</t>
        </is>
      </c>
      <c r="I1764" s="3" t="inlineStr">
        <is>
          <t>This is the coefficient used for headline token generation; each GPU's short chat, long chat and agentic TPS/MW are weighted before fleet mix and commercial fit are applied.</t>
        </is>
      </c>
      <c r="J1764" s="3" t="inlineStr">
        <is>
          <t>SRC_SEMIANALYSIS_INFERENCEX; ASSUMP_NUMERIC_ACCELERATOR_MIX; ASSUMP_WORKLOAD_CLASS_MIX; ASSUMP_AGENTIC_CONTEXT_PENALTY</t>
        </is>
      </c>
      <c r="K1764" s="3" t="inlineStr">
        <is>
          <t>ASSUMP_MOE_EFFICIENCY; ASSUMP_CN_CAPACITY_TRANSPARENCY; ASSUMP_NUMERIC_ACCELERATOR_MIX; ASSUMP_INFERENCE_SHARE_NOT_FACT_60; ASSUMP_WORKLOAD_CLASS_MIX; ASSUMP_AGENTIC_CONTEXT_PENALTY</t>
        </is>
      </c>
      <c r="L1764" s="3" t="inlineStr">
        <is>
          <t>Provider production output-token throughput with comparable workload/SLO.</t>
        </is>
      </c>
    </row>
    <row r="1765">
      <c r="A1765" s="3" t="inlineStr">
        <is>
          <t>DeepSeek</t>
        </is>
      </c>
      <c r="B1765" s="3" t="n">
        <v>2027</v>
      </c>
      <c r="C1765" s="3" t="inlineStr">
        <is>
          <t>Base</t>
        </is>
      </c>
      <c r="D1765" s="3" t="inlineStr">
        <is>
          <t>purpose_built_tps_per_mw</t>
        </is>
      </c>
      <c r="E1765" s="3" t="n">
        <v>334536</v>
      </c>
      <c r="F1765" s="3" t="inlineStr">
        <is>
          <t>generated output tokens/sec/MW</t>
        </is>
      </c>
      <c r="G1765" s="3" t="inlineStr">
        <is>
          <t>Conservative no-uplift proxy</t>
        </is>
      </c>
      <c r="H1765" s="3" t="inlineStr">
        <is>
          <t>purpose_built_tps_per_mw = purpose_built_reference_tps_per_mw * commercial_workload_fit_factor until comparable output-token benchmark is adopted</t>
        </is>
      </c>
      <c r="I1765" s="3" t="inlineStr">
        <is>
          <t>No comparable public output-token/MW row adopted; B200 public reference placeholder is used and remains editable.</t>
        </is>
      </c>
      <c r="J1765" s="3" t="inlineStr">
        <is>
          <t>SRC_DEEPSEEK_V3; SRC_DEEPSEEK_R1; SRC_DEEPSEEK_H800_INFERENCE; SRC_EPOCH_AI_DATA_CENTERS; ASSUMP_NUMERIC_ACCELERATOR_MIX</t>
        </is>
      </c>
      <c r="K1765" s="3" t="inlineStr">
        <is>
          <t>ASSUMP_MOE_EFFICIENCY; ASSUMP_CN_CAPACITY_TRANSPARENCY; ASSUMP_NUMERIC_ACCELERATOR_MIX; ASSUMP_INFERENCE_SHARE_NOT_FACT_60; ASSUMP_WORKLOAD_CLASS_MIX; ASSUMP_AGENTIC_CONTEXT_PENALTY</t>
        </is>
      </c>
      <c r="L1765" s="3" t="inlineStr">
        <is>
          <t>Matched-workload generated-output benchmark for the provider purpose-built accelerator.</t>
        </is>
      </c>
    </row>
    <row r="1766">
      <c r="A1766" s="3" t="inlineStr">
        <is>
          <t>DeepSeek</t>
        </is>
      </c>
      <c r="B1766" s="3" t="n">
        <v>2027</v>
      </c>
      <c r="C1766" s="3" t="inlineStr">
        <is>
          <t>Base</t>
        </is>
      </c>
      <c r="D1766" s="3" t="inlineStr">
        <is>
          <t>inference_power_share</t>
        </is>
      </c>
      <c r="E1766" s="3" t="n">
        <v>0.67</v>
      </c>
      <c r="F1766" s="3" t="inlineStr">
        <is>
          <t>share of AI IT load</t>
        </is>
      </c>
      <c r="G1766" s="3" t="inlineStr">
        <is>
          <t>Scenario allocation</t>
        </is>
      </c>
      <c r="H1766" s="3" t="inlineStr">
        <is>
          <t>inference_gw = ai_it_load_gw * inference_power_share</t>
        </is>
      </c>
      <c r="I1766" s="3" t="inlineStr">
        <is>
          <t>API/app availability and inference-system disclosure support higher inference share; the value remains scenario.</t>
        </is>
      </c>
      <c r="J1766" s="3" t="inlineStr">
        <is>
          <t>SRC_DEEPSEEK_V3; SRC_DEEPSEEK_R1; SRC_DEEPSEEK_H800_INFERENCE; SRC_EPOCH_AI_DATA_CENTERS; ASSUMP_INFERENCE_SHARE_NOT_FACT_60</t>
        </is>
      </c>
      <c r="K1766" s="3" t="inlineStr">
        <is>
          <t>ASSUMP_MOE_EFFICIENCY; ASSUMP_CN_CAPACITY_TRANSPARENCY; ASSUMP_NUMERIC_ACCELERATOR_MIX; ASSUMP_INFERENCE_SHARE_NOT_FACT_60; ASSUMP_WORKLOAD_CLASS_MIX; ASSUMP_AGENTIC_CONTEXT_PENALTY</t>
        </is>
      </c>
      <c r="L1766" s="3" t="inlineStr">
        <is>
          <t>Provider-specific inference/training workload power telemetry.</t>
        </is>
      </c>
    </row>
    <row r="1767">
      <c r="A1767" s="3" t="inlineStr">
        <is>
          <t>DeepSeek</t>
        </is>
      </c>
      <c r="B1767" s="3" t="n">
        <v>2027</v>
      </c>
      <c r="C1767" s="3" t="inlineStr">
        <is>
          <t>Base</t>
        </is>
      </c>
      <c r="D1767" s="3" t="inlineStr">
        <is>
          <t>inference_gw</t>
        </is>
      </c>
      <c r="E1767" s="3" t="n">
        <v>0.183</v>
      </c>
      <c r="F1767" s="3" t="inlineStr">
        <is>
          <t>GW</t>
        </is>
      </c>
      <c r="G1767" s="3" t="inlineStr">
        <is>
          <t>Derived formula</t>
        </is>
      </c>
      <c r="H1767" s="3" t="inlineStr">
        <is>
          <t>ai_it_load_gw * inference_power_share</t>
        </is>
      </c>
      <c r="I1767" s="3" t="inlineStr">
        <is>
          <t>This is the operational power eligible to become commercial generated output tokens through the selected TPS/MW proxy.</t>
        </is>
      </c>
      <c r="J1767" s="3" t="inlineStr">
        <is>
          <t>SRC_DEEPSEEK_V3; SRC_DEEPSEEK_R1; SRC_DEEPSEEK_H800_INFERENCE; SRC_EPOCH_AI_DATA_CENTERS</t>
        </is>
      </c>
      <c r="K1767" s="3" t="inlineStr">
        <is>
          <t>ASSUMP_MOE_EFFICIENCY; ASSUMP_CN_CAPACITY_TRANSPARENCY; ASSUMP_NUMERIC_ACCELERATOR_MIX; ASSUMP_INFERENCE_SHARE_NOT_FACT_60; ASSUMP_WORKLOAD_CLASS_MIX; ASSUMP_AGENTIC_CONTEXT_PENALTY</t>
        </is>
      </c>
      <c r="L1767" s="3" t="inlineStr">
        <is>
          <t>Recompute after AI allocation or inference-share evidence changes.</t>
        </is>
      </c>
    </row>
    <row r="1768">
      <c r="A1768" s="3" t="inlineStr">
        <is>
          <t>DeepSeek</t>
        </is>
      </c>
      <c r="B1768" s="3" t="n">
        <v>2027</v>
      </c>
      <c r="C1768" s="3" t="inlineStr">
        <is>
          <t>Base</t>
        </is>
      </c>
      <c r="D1768" s="3" t="inlineStr">
        <is>
          <t>training_power_share</t>
        </is>
      </c>
      <c r="E1768" s="3" t="n">
        <v>0.33</v>
      </c>
      <c r="F1768" s="3" t="inlineStr">
        <is>
          <t>share of AI IT load</t>
        </is>
      </c>
      <c r="G1768" s="3" t="inlineStr">
        <is>
          <t>Derived allocation</t>
        </is>
      </c>
      <c r="H1768" s="3" t="inlineStr">
        <is>
          <t>1 - inference_power_share</t>
        </is>
      </c>
      <c r="I1768" s="3" t="inlineStr">
        <is>
          <t>Training receives the complementary modeled AI IT allocation; it is not a disclosed company workload split.</t>
        </is>
      </c>
      <c r="J1768" s="3" t="inlineStr">
        <is>
          <t>SRC_DEEPSEEK_V3; SRC_DEEPSEEK_R1; SRC_DEEPSEEK_H800_INFERENCE; SRC_EPOCH_AI_DATA_CENTERS; ASSUMP_INFERENCE_SHARE_NOT_FACT_60</t>
        </is>
      </c>
      <c r="K1768" s="3" t="inlineStr">
        <is>
          <t>ASSUMP_MOE_EFFICIENCY; ASSUMP_CN_CAPACITY_TRANSPARENCY; ASSUMP_NUMERIC_ACCELERATOR_MIX; ASSUMP_INFERENCE_SHARE_NOT_FACT_60; ASSUMP_WORKLOAD_CLASS_MIX; ASSUMP_AGENTIC_CONTEXT_PENALTY</t>
        </is>
      </c>
      <c r="L1768" s="3" t="inlineStr">
        <is>
          <t>Provider-specific inference/training workload power telemetry.</t>
        </is>
      </c>
    </row>
    <row r="1769">
      <c r="A1769" s="3" t="inlineStr">
        <is>
          <t>DeepSeek</t>
        </is>
      </c>
      <c r="B1769" s="3" t="n">
        <v>2027</v>
      </c>
      <c r="C1769" s="3" t="inlineStr">
        <is>
          <t>Base</t>
        </is>
      </c>
      <c r="D1769" s="3" t="inlineStr">
        <is>
          <t>training_gw</t>
        </is>
      </c>
      <c r="E1769" s="3" t="n">
        <v>0.09</v>
      </c>
      <c r="F1769" s="3" t="inlineStr">
        <is>
          <t>GW</t>
        </is>
      </c>
      <c r="G1769" s="3" t="inlineStr">
        <is>
          <t>Derived formula</t>
        </is>
      </c>
      <c r="H1769" s="3" t="inlineStr">
        <is>
          <t>ai_it_load_gw * training_power_share</t>
        </is>
      </c>
      <c r="I1769" s="3" t="inlineStr">
        <is>
          <t>Training GW is shown separately so commercial inference token capacity is not overstated.</t>
        </is>
      </c>
      <c r="J1769" s="3" t="inlineStr">
        <is>
          <t>SRC_DEEPSEEK_V3; SRC_DEEPSEEK_R1; SRC_DEEPSEEK_H800_INFERENCE; SRC_EPOCH_AI_DATA_CENTERS</t>
        </is>
      </c>
      <c r="K1769" s="3" t="inlineStr">
        <is>
          <t>ASSUMP_MOE_EFFICIENCY; ASSUMP_CN_CAPACITY_TRANSPARENCY; ASSUMP_NUMERIC_ACCELERATOR_MIX; ASSUMP_INFERENCE_SHARE_NOT_FACT_60; ASSUMP_WORKLOAD_CLASS_MIX; ASSUMP_AGENTIC_CONTEXT_PENALTY</t>
        </is>
      </c>
      <c r="L1769" s="3" t="inlineStr">
        <is>
          <t>Recompute after AI allocation or workload-split evidence changes.</t>
        </is>
      </c>
    </row>
    <row r="1770">
      <c r="A1770" s="3" t="inlineStr">
        <is>
          <t>DeepSeek</t>
        </is>
      </c>
      <c r="B1770" s="3" t="n">
        <v>2027</v>
      </c>
      <c r="C1770" s="3" t="inlineStr">
        <is>
          <t>Base</t>
        </is>
      </c>
      <c r="D1770" s="3" t="inlineStr">
        <is>
          <t>tokens_per_second_per_mw</t>
        </is>
      </c>
      <c r="E1770" s="3" t="n">
        <v>128710</v>
      </c>
      <c r="F1770" s="3" t="inlineStr">
        <is>
          <t>generated output tokens/sec/MW</t>
        </is>
      </c>
      <c r="G1770" s="3" t="inlineStr">
        <is>
          <t>Derived estimate + benchmark calibration</t>
        </is>
      </c>
      <c r="H1770" s="3" t="inlineStr">
        <is>
          <t>fleet_reference_tps_per_mw * commercial_workload_fit_factor</t>
        </is>
      </c>
      <c r="I177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70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770" s="3" t="inlineStr">
        <is>
          <t>ASSUMP_MOE_EFFICIENCY; ASSUMP_CN_CAPACITY_TRANSPARENCY; ASSUMP_NUMERIC_ACCELERATOR_MIX; ASSUMP_INFERENCE_SHARE_NOT_FACT_60; ASSUMP_WORKLOAD_CLASS_MIX; ASSUMP_AGENTIC_CONTEXT_PENALTY</t>
        </is>
      </c>
      <c r="L1770" s="3" t="inlineStr">
        <is>
          <t>Comparable production output-token throughput with model, hardware, precision, ISL/OSL and SLO matched.</t>
        </is>
      </c>
    </row>
    <row r="1771">
      <c r="A1771" s="3" t="inlineStr">
        <is>
          <t>DeepSeek</t>
        </is>
      </c>
      <c r="B1771" s="3" t="n">
        <v>2027</v>
      </c>
      <c r="C1771" s="3" t="inlineStr">
        <is>
          <t>Base</t>
        </is>
      </c>
      <c r="D1771" s="3" t="inlineStr">
        <is>
          <t>inference_tokens_per_day</t>
        </is>
      </c>
      <c r="E1771" s="3" t="n">
        <v>2035059552000</v>
      </c>
      <c r="F1771" s="3" t="inlineStr">
        <is>
          <t>generated output tokens/day</t>
        </is>
      </c>
      <c r="G1771" s="3" t="inlineStr">
        <is>
          <t>Derived headline metric</t>
        </is>
      </c>
      <c r="H1771" s="3" t="inlineStr">
        <is>
          <t>inference_gw * 1000 * tokens_per_second_per_mw * 86,400</t>
        </is>
      </c>
      <c r="I1771" s="3" t="inlineStr">
        <is>
          <t>Headline capacity uses no utilization, MoE, architecture or software-growth multiplier; it is not observed commercial output volume.</t>
        </is>
      </c>
      <c r="J1771" s="3" t="inlineStr">
        <is>
          <t>SRC_DEEPSEEK_V3; SRC_DEEPSEEK_R1; SRC_DEEPSEEK_H800_INFERENCE; SRC_EPOCH_AI_DATA_CENTERS; SRC_SEMIANALYSIS_INFERENCEX</t>
        </is>
      </c>
      <c r="K1771" s="3" t="inlineStr">
        <is>
          <t>ASSUMP_MOE_EFFICIENCY; ASSUMP_CN_CAPACITY_TRANSPARENCY; ASSUMP_NUMERIC_ACCELERATOR_MIX; ASSUMP_INFERENCE_SHARE_NOT_FACT_60; ASSUMP_WORKLOAD_CLASS_MIX; ASSUMP_AGENTIC_CONTEXT_PENALTY</t>
        </is>
      </c>
      <c r="L1771" s="3" t="inlineStr">
        <is>
          <t>Provider-disclosed generated output token volume or calibrated capacity telemetry.</t>
        </is>
      </c>
    </row>
    <row r="1772">
      <c r="A1772" s="3" t="inlineStr">
        <is>
          <t>DeepSeek</t>
        </is>
      </c>
      <c r="B1772" s="3" t="n">
        <v>2027</v>
      </c>
      <c r="C1772" s="3" t="inlineStr">
        <is>
          <t>Base</t>
        </is>
      </c>
      <c r="D1772" s="3" t="inlineStr">
        <is>
          <t>inference_tokens_per_year</t>
        </is>
      </c>
      <c r="E1772" s="3" t="n">
        <v>742796736480000</v>
      </c>
      <c r="F1772" s="3" t="inlineStr">
        <is>
          <t>generated output tokens/year</t>
        </is>
      </c>
      <c r="G1772" s="3" t="inlineStr">
        <is>
          <t>Derived headline metric</t>
        </is>
      </c>
      <c r="H1772" s="3" t="inlineStr">
        <is>
          <t>inference_tokens_per_day * 365</t>
        </is>
      </c>
      <c r="I1772" s="3" t="inlineStr">
        <is>
          <t>Annualized version of generated output token capacity; it is not observed annual demand or billable volume.</t>
        </is>
      </c>
      <c r="J1772" s="3" t="inlineStr">
        <is>
          <t>SRC_DEEPSEEK_V3; SRC_DEEPSEEK_R1; SRC_DEEPSEEK_H800_INFERENCE; SRC_EPOCH_AI_DATA_CENTERS; SRC_SEMIANALYSIS_INFERENCEX</t>
        </is>
      </c>
      <c r="K1772" s="3" t="inlineStr">
        <is>
          <t>ASSUMP_MOE_EFFICIENCY; ASSUMP_CN_CAPACITY_TRANSPARENCY; ASSUMP_NUMERIC_ACCELERATOR_MIX; ASSUMP_INFERENCE_SHARE_NOT_FACT_60; ASSUMP_WORKLOAD_CLASS_MIX; ASSUMP_AGENTIC_CONTEXT_PENALTY</t>
        </is>
      </c>
      <c r="L1772" s="3" t="inlineStr">
        <is>
          <t>Provider-disclosed annual generated-output volume or metered serving telemetry.</t>
        </is>
      </c>
    </row>
    <row r="1773">
      <c r="A1773" s="3" t="inlineStr">
        <is>
          <t>DeepSeek</t>
        </is>
      </c>
      <c r="B1773" s="3" t="n">
        <v>2028</v>
      </c>
      <c r="C1773" s="3" t="inlineStr">
        <is>
          <t>Base</t>
        </is>
      </c>
      <c r="D1773" s="3" t="inlineStr">
        <is>
          <t>contracted_power_gw</t>
        </is>
      </c>
      <c r="E1773" s="3" t="n">
        <v>1.15</v>
      </c>
      <c r="F1773" s="3" t="inlineStr">
        <is>
          <t>GW</t>
        </is>
      </c>
      <c r="G1773" s="3" t="inlineStr">
        <is>
          <t>Scenario capacity envelope</t>
        </is>
      </c>
      <c r="H1773" s="3" t="inlineStr">
        <is>
          <t>linear interpolation between 2026 and 2030 company capacity endpoints</t>
        </is>
      </c>
      <c r="I1773" s="3" t="inlineStr">
        <is>
          <t>Capacity is a low-transparency scenario; official infrastructure evidence supports H800 inference hardware, not company GW.</t>
        </is>
      </c>
      <c r="J1773" s="3" t="inlineStr">
        <is>
          <t>SRC_DEEPSEEK_H800_INFERENCE; ASSUMP_CN_CAPACITY_TRANSPARENCY</t>
        </is>
      </c>
      <c r="K1773" s="3" t="inlineStr">
        <is>
          <t>ASSUMP_MOE_EFFICIENCY; ASSUMP_CN_CAPACITY_TRANSPARENCY; ASSUMP_NUMERIC_ACCELERATOR_MIX; ASSUMP_INFERENCE_SHARE_NOT_FACT_60; ASSUMP_WORKLOAD_CLASS_MIX; ASSUMP_AGENTIC_CONTEXT_PENALTY</t>
        </is>
      </c>
      <c r="L1773" s="3" t="inlineStr">
        <is>
          <t>Company/site-level committed MW/GW, interconnect and contract disclosure.</t>
        </is>
      </c>
    </row>
    <row r="1774">
      <c r="A1774" s="3" t="inlineStr">
        <is>
          <t>DeepSeek</t>
        </is>
      </c>
      <c r="B1774" s="3" t="n">
        <v>2028</v>
      </c>
      <c r="C1774" s="3" t="inlineStr">
        <is>
          <t>Base</t>
        </is>
      </c>
      <c r="D1774" s="3" t="inlineStr">
        <is>
          <t>operational_deployment_share</t>
        </is>
      </c>
      <c r="E1774" s="3" t="n">
        <v>0.58695652</v>
      </c>
      <c r="F1774" s="3" t="inlineStr">
        <is>
          <t>share</t>
        </is>
      </c>
      <c r="G1774" s="3" t="inlineStr">
        <is>
          <t>Scenario conversion</t>
        </is>
      </c>
      <c r="H1774" s="3" t="inlineStr">
        <is>
          <t>active_power_gw / contracted_power_gw</t>
        </is>
      </c>
      <c r="I1774" s="3" t="inlineStr">
        <is>
          <t>This is the single explicit conversion from contracted/attributed capacity to operationally usable capacity.</t>
        </is>
      </c>
      <c r="J1774" s="3" t="inlineStr">
        <is>
          <t>SRC_DEEPSEEK_H800_INFERENCE; ASSUMP_CN_CAPACITY_TRANSPARENCY</t>
        </is>
      </c>
      <c r="K1774" s="3" t="inlineStr">
        <is>
          <t>ASSUMP_MOE_EFFICIENCY; ASSUMP_CN_CAPACITY_TRANSPARENCY; ASSUMP_NUMERIC_ACCELERATOR_MIX; ASSUMP_INFERENCE_SHARE_NOT_FACT_60; ASSUMP_WORKLOAD_CLASS_MIX; ASSUMP_AGENTIC_CONTEXT_PENALTY</t>
        </is>
      </c>
      <c r="L1774" s="3" t="inlineStr">
        <is>
          <t>Energized operational capacity divided by contracted/attributed capacity.</t>
        </is>
      </c>
    </row>
    <row r="1775">
      <c r="A1775" s="3" t="inlineStr">
        <is>
          <t>DeepSeek</t>
        </is>
      </c>
      <c r="B1775" s="3" t="n">
        <v>2028</v>
      </c>
      <c r="C1775" s="3" t="inlineStr">
        <is>
          <t>Base</t>
        </is>
      </c>
      <c r="D1775" s="3" t="inlineStr">
        <is>
          <t>active_power_gw</t>
        </is>
      </c>
      <c r="E1775" s="3" t="n">
        <v>0.675</v>
      </c>
      <c r="F1775" s="3" t="inlineStr">
        <is>
          <t>GW</t>
        </is>
      </c>
      <c r="G1775" s="3" t="inlineStr">
        <is>
          <t>Derived scenario</t>
        </is>
      </c>
      <c r="H1775" s="3" t="inlineStr">
        <is>
          <t>contracted_power_gw * operational_deployment_share</t>
        </is>
      </c>
      <c r="I1775" s="3" t="inlineStr">
        <is>
          <t>Active GW is conservative because operated cluster scale beyond disclosed infrastructure is not public.</t>
        </is>
      </c>
      <c r="J1775" s="3" t="inlineStr">
        <is>
          <t>SRC_DEEPSEEK_H800_INFERENCE; ASSUMP_CN_CAPACITY_TRANSPARENCY</t>
        </is>
      </c>
      <c r="K1775" s="3" t="inlineStr">
        <is>
          <t>ASSUMP_MOE_EFFICIENCY; ASSUMP_CN_CAPACITY_TRANSPARENCY; ASSUMP_NUMERIC_ACCELERATOR_MIX; ASSUMP_INFERENCE_SHARE_NOT_FACT_60; ASSUMP_WORKLOAD_CLASS_MIX; ASSUMP_AGENTIC_CONTEXT_PENALTY</t>
        </is>
      </c>
      <c r="L1775" s="3" t="inlineStr">
        <is>
          <t>Energization dates, accelerator deliveries and operational powered-rack telemetry.</t>
        </is>
      </c>
    </row>
    <row r="1776">
      <c r="A1776" s="3" t="inlineStr">
        <is>
          <t>DeepSeek</t>
        </is>
      </c>
      <c r="B1776" s="3" t="n">
        <v>2028</v>
      </c>
      <c r="C1776" s="3" t="inlineStr">
        <is>
          <t>Base</t>
        </is>
      </c>
      <c r="D1776" s="3" t="inlineStr">
        <is>
          <t>pue</t>
        </is>
      </c>
      <c r="E1776" s="3" t="n">
        <v>1.24</v>
      </c>
      <c r="F1776" s="3" t="inlineStr">
        <is>
          <t>ratio</t>
        </is>
      </c>
      <c r="G1776" s="3" t="inlineStr">
        <is>
          <t>Scenario parameter</t>
        </is>
      </c>
      <c r="H1776" s="3" t="inlineStr">
        <is>
          <t>it_load_gw = active_power_gw / pue</t>
        </is>
      </c>
      <c r="I1776" s="3" t="inlineStr">
        <is>
          <t>No provider-wide site-level PUE is used as a disclosed fact; PUE represents facility-to-IT conversion within the scenario.</t>
        </is>
      </c>
      <c r="J1776" s="3" t="inlineStr">
        <is>
          <t>ASSUMP_POWER_RAMP</t>
        </is>
      </c>
      <c r="K1776" s="3" t="inlineStr">
        <is>
          <t>ASSUMP_MOE_EFFICIENCY; ASSUMP_CN_CAPACITY_TRANSPARENCY; ASSUMP_NUMERIC_ACCELERATOR_MIX; ASSUMP_INFERENCE_SHARE_NOT_FACT_60; ASSUMP_WORKLOAD_CLASS_MIX; ASSUMP_AGENTIC_CONTEXT_PENALTY</t>
        </is>
      </c>
      <c r="L1776" s="3" t="inlineStr">
        <is>
          <t>Site-level measured PUE matched to attributed AI capacity.</t>
        </is>
      </c>
    </row>
    <row r="1777">
      <c r="A1777" s="3" t="inlineStr">
        <is>
          <t>DeepSeek</t>
        </is>
      </c>
      <c r="B1777" s="3" t="n">
        <v>2028</v>
      </c>
      <c r="C1777" s="3" t="inlineStr">
        <is>
          <t>Base</t>
        </is>
      </c>
      <c r="D1777" s="3" t="inlineStr">
        <is>
          <t>it_load_gw</t>
        </is>
      </c>
      <c r="E1777" s="3" t="n">
        <v>0.544</v>
      </c>
      <c r="F1777" s="3" t="inlineStr">
        <is>
          <t>GW</t>
        </is>
      </c>
      <c r="G1777" s="3" t="inlineStr">
        <is>
          <t>Derived formula</t>
        </is>
      </c>
      <c r="H1777" s="3" t="inlineStr">
        <is>
          <t>active_power_gw / pue</t>
        </is>
      </c>
      <c r="I1777" s="3" t="inlineStr">
        <is>
          <t>Facility power is converted to IT-deliverable power before attributing AI workloads.</t>
        </is>
      </c>
      <c r="J1777" s="3" t="inlineStr">
        <is>
          <t>SRC_DEEPSEEK_H800_INFERENCE; ASSUMP_CN_CAPACITY_TRANSPARENCY</t>
        </is>
      </c>
      <c r="K1777" s="3" t="inlineStr">
        <is>
          <t>ASSUMP_MOE_EFFICIENCY; ASSUMP_CN_CAPACITY_TRANSPARENCY; ASSUMP_NUMERIC_ACCELERATOR_MIX; ASSUMP_INFERENCE_SHARE_NOT_FACT_60; ASSUMP_WORKLOAD_CLASS_MIX; ASSUMP_AGENTIC_CONTEXT_PENALTY</t>
        </is>
      </c>
      <c r="L1777" s="3" t="inlineStr">
        <is>
          <t>Recompute once active power and PUE become site-observable.</t>
        </is>
      </c>
    </row>
    <row r="1778">
      <c r="A1778" s="3" t="inlineStr">
        <is>
          <t>DeepSeek</t>
        </is>
      </c>
      <c r="B1778" s="3" t="n">
        <v>2028</v>
      </c>
      <c r="C1778" s="3" t="inlineStr">
        <is>
          <t>Base</t>
        </is>
      </c>
      <c r="D1778" s="3" t="inlineStr">
        <is>
          <t>ai_workload_share</t>
        </is>
      </c>
      <c r="E1778" s="3" t="n">
        <v>0.82</v>
      </c>
      <c r="F1778" s="3" t="inlineStr">
        <is>
          <t>share</t>
        </is>
      </c>
      <c r="G1778" s="3" t="inlineStr">
        <is>
          <t>Scenario allocation</t>
        </is>
      </c>
      <c r="H1778" s="3" t="inlineStr">
        <is>
          <t>ai_it_load_gw = it_load_gw * ai_workload_share</t>
        </is>
      </c>
      <c r="I1778" s="3" t="inlineStr">
        <is>
          <t>DeepSeek-operated service capacity is modeled as AI-focused, reduced for reserve and ancillary processing.</t>
        </is>
      </c>
      <c r="J1778" s="3" t="inlineStr">
        <is>
          <t>SRC_DEEPSEEK_V3; SRC_DEEPSEEK_R1; SRC_DEEPSEEK_H800_INFERENCE; SRC_EPOCH_AI_DATA_CENTERS</t>
        </is>
      </c>
      <c r="K1778" s="3" t="inlineStr">
        <is>
          <t>ASSUMP_MOE_EFFICIENCY; ASSUMP_CN_CAPACITY_TRANSPARENCY; ASSUMP_NUMERIC_ACCELERATOR_MIX; ASSUMP_INFERENCE_SHARE_NOT_FACT_60; ASSUMP_WORKLOAD_CLASS_MIX; ASSUMP_AGENTIC_CONTEXT_PENALTY</t>
        </is>
      </c>
      <c r="L1778" s="3" t="inlineStr">
        <is>
          <t>Model-owner AI workload allocation or cluster scheduling telemetry.</t>
        </is>
      </c>
    </row>
    <row r="1779">
      <c r="A1779" s="3" t="inlineStr">
        <is>
          <t>DeepSeek</t>
        </is>
      </c>
      <c r="B1779" s="3" t="n">
        <v>2028</v>
      </c>
      <c r="C1779" s="3" t="inlineStr">
        <is>
          <t>Base</t>
        </is>
      </c>
      <c r="D1779" s="3" t="inlineStr">
        <is>
          <t>ai_it_load_gw</t>
        </is>
      </c>
      <c r="E1779" s="3" t="n">
        <v>0.446</v>
      </c>
      <c r="F1779" s="3" t="inlineStr">
        <is>
          <t>GW</t>
        </is>
      </c>
      <c r="G1779" s="3" t="inlineStr">
        <is>
          <t>Derived formula</t>
        </is>
      </c>
      <c r="H1779" s="3" t="inlineStr">
        <is>
          <t>it_load_gw * ai_workload_share</t>
        </is>
      </c>
      <c r="I1779" s="3" t="inlineStr">
        <is>
          <t>Only the AI-attributed portion of IT load enters training/inference allocation.</t>
        </is>
      </c>
      <c r="J1779" s="3" t="inlineStr">
        <is>
          <t>SRC_DEEPSEEK_V3; SRC_DEEPSEEK_R1; SRC_DEEPSEEK_H800_INFERENCE; SRC_EPOCH_AI_DATA_CENTERS</t>
        </is>
      </c>
      <c r="K1779" s="3" t="inlineStr">
        <is>
          <t>ASSUMP_MOE_EFFICIENCY; ASSUMP_CN_CAPACITY_TRANSPARENCY; ASSUMP_NUMERIC_ACCELERATOR_MIX; ASSUMP_INFERENCE_SHARE_NOT_FACT_60; ASSUMP_WORKLOAD_CLASS_MIX; ASSUMP_AGENTIC_CONTEXT_PENALTY</t>
        </is>
      </c>
      <c r="L1779" s="3" t="inlineStr">
        <is>
          <t>Recompute after ai_workload_share is replaced by telemetry.</t>
        </is>
      </c>
    </row>
    <row r="1780">
      <c r="A1780" s="3" t="inlineStr">
        <is>
          <t>DeepSeek</t>
        </is>
      </c>
      <c r="B1780" s="3" t="n">
        <v>2028</v>
      </c>
      <c r="C1780" s="3" t="inlineStr">
        <is>
          <t>Base</t>
        </is>
      </c>
      <c r="D1780" s="3" t="inlineStr">
        <is>
          <t>gpu_share</t>
        </is>
      </c>
      <c r="E1780" s="3" t="n">
        <v>1</v>
      </c>
      <c r="F1780" s="3" t="inlineStr">
        <is>
          <t>share of inference-serving accelerator load</t>
        </is>
      </c>
      <c r="G1780" s="3" t="inlineStr">
        <is>
          <t>Numeric scenario</t>
        </is>
      </c>
      <c r="H1780" s="3" t="inlineStr">
        <is>
          <t>gpu_share interpolated from company 2026/2030 accelerator-mix endpoints</t>
        </is>
      </c>
      <c r="I1780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780" s="3" t="inlineStr">
        <is>
          <t>SRC_DEEPSEEK_V3; SRC_DEEPSEEK_R1; SRC_DEEPSEEK_H800_INFERENCE; SRC_EPOCH_AI_DATA_CENTERS; ASSUMP_NUMERIC_ACCELERATOR_MIX</t>
        </is>
      </c>
      <c r="K1780" s="3" t="inlineStr">
        <is>
          <t>ASSUMP_MOE_EFFICIENCY; ASSUMP_CN_CAPACITY_TRANSPARENCY; ASSUMP_NUMERIC_ACCELERATOR_MIX; ASSUMP_INFERENCE_SHARE_NOT_FACT_60; ASSUMP_WORKLOAD_CLASS_MIX; ASSUMP_AGENTIC_CONTEXT_PENALTY</t>
        </is>
      </c>
      <c r="L1780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781">
      <c r="A1781" s="3" t="inlineStr">
        <is>
          <t>DeepSeek</t>
        </is>
      </c>
      <c r="B1781" s="3" t="n">
        <v>2028</v>
      </c>
      <c r="C1781" s="3" t="inlineStr">
        <is>
          <t>Base</t>
        </is>
      </c>
      <c r="D1781" s="3" t="inlineStr">
        <is>
          <t>h200_share</t>
        </is>
      </c>
      <c r="E1781" s="3" t="n">
        <v>0.325</v>
      </c>
      <c r="F1781" s="3" t="inlineStr">
        <is>
          <t>share of inference-serving accelerator load</t>
        </is>
      </c>
      <c r="G1781" s="3" t="inlineStr">
        <is>
          <t>Editable numeric scenario</t>
        </is>
      </c>
      <c r="H1781" s="3" t="inlineStr">
        <is>
          <t>h200_share = gpu_share * default_gpu_generation_mix_h200</t>
        </is>
      </c>
      <c r="I1781" s="3" t="inlineStr">
        <is>
          <t>Default GPU-generation migration assumption; executive workbook allows later manual replacement by company/year/scenario.</t>
        </is>
      </c>
      <c r="J1781" s="3" t="inlineStr">
        <is>
          <t>SRC_SEMIANALYSIS_INFERENCEX; ASSUMP_NUMERIC_ACCELERATOR_MIX</t>
        </is>
      </c>
      <c r="K1781" s="3" t="inlineStr">
        <is>
          <t>ASSUMP_MOE_EFFICIENCY; ASSUMP_CN_CAPACITY_TRANSPARENCY; ASSUMP_NUMERIC_ACCELERATOR_MIX; ASSUMP_INFERENCE_SHARE_NOT_FACT_60; ASSUMP_WORKLOAD_CLASS_MIX; ASSUMP_AGENTIC_CONTEXT_PENALTY</t>
        </is>
      </c>
      <c r="L1781" s="3" t="inlineStr">
        <is>
          <t>Company fleet inventory, accelerator-hours or procurement/deployment records by GPU generation.</t>
        </is>
      </c>
    </row>
    <row r="1782">
      <c r="A1782" s="3" t="inlineStr">
        <is>
          <t>DeepSeek</t>
        </is>
      </c>
      <c r="B1782" s="3" t="n">
        <v>2028</v>
      </c>
      <c r="C1782" s="3" t="inlineStr">
        <is>
          <t>Base</t>
        </is>
      </c>
      <c r="D1782" s="3" t="inlineStr">
        <is>
          <t>b200_share</t>
        </is>
      </c>
      <c r="E1782" s="3" t="n">
        <v>0.375</v>
      </c>
      <c r="F1782" s="3" t="inlineStr">
        <is>
          <t>share of inference-serving accelerator load</t>
        </is>
      </c>
      <c r="G1782" s="3" t="inlineStr">
        <is>
          <t>Editable numeric scenario</t>
        </is>
      </c>
      <c r="H1782" s="3" t="inlineStr">
        <is>
          <t>b200_share = gpu_share * default_gpu_generation_mix_b200</t>
        </is>
      </c>
      <c r="I1782" s="3" t="inlineStr">
        <is>
          <t>Default GPU-generation migration assumption; executive workbook allows later manual replacement by company/year/scenario.</t>
        </is>
      </c>
      <c r="J1782" s="3" t="inlineStr">
        <is>
          <t>SRC_SEMIANALYSIS_INFERENCEX; ASSUMP_NUMERIC_ACCELERATOR_MIX</t>
        </is>
      </c>
      <c r="K1782" s="3" t="inlineStr">
        <is>
          <t>ASSUMP_MOE_EFFICIENCY; ASSUMP_CN_CAPACITY_TRANSPARENCY; ASSUMP_NUMERIC_ACCELERATOR_MIX; ASSUMP_INFERENCE_SHARE_NOT_FACT_60; ASSUMP_WORKLOAD_CLASS_MIX; ASSUMP_AGENTIC_CONTEXT_PENALTY</t>
        </is>
      </c>
      <c r="L1782" s="3" t="inlineStr">
        <is>
          <t>Company fleet inventory, accelerator-hours or procurement/deployment records by GPU generation.</t>
        </is>
      </c>
    </row>
    <row r="1783">
      <c r="A1783" s="3" t="inlineStr">
        <is>
          <t>DeepSeek</t>
        </is>
      </c>
      <c r="B1783" s="3" t="n">
        <v>2028</v>
      </c>
      <c r="C1783" s="3" t="inlineStr">
        <is>
          <t>Base</t>
        </is>
      </c>
      <c r="D1783" s="3" t="inlineStr">
        <is>
          <t>gb200_share</t>
        </is>
      </c>
      <c r="E1783" s="3" t="n">
        <v>0.3</v>
      </c>
      <c r="F1783" s="3" t="inlineStr">
        <is>
          <t>share of inference-serving accelerator load</t>
        </is>
      </c>
      <c r="G1783" s="3" t="inlineStr">
        <is>
          <t>Editable numeric scenario</t>
        </is>
      </c>
      <c r="H1783" s="3" t="inlineStr">
        <is>
          <t>gb200_share = gpu_share * default_gpu_generation_mix_gb200</t>
        </is>
      </c>
      <c r="I1783" s="3" t="inlineStr">
        <is>
          <t>Default GPU-generation migration assumption; executive workbook allows later manual replacement by company/year/scenario.</t>
        </is>
      </c>
      <c r="J1783" s="3" t="inlineStr">
        <is>
          <t>SRC_SEMIANALYSIS_INFERENCEX; ASSUMP_NUMERIC_ACCELERATOR_MIX</t>
        </is>
      </c>
      <c r="K1783" s="3" t="inlineStr">
        <is>
          <t>ASSUMP_MOE_EFFICIENCY; ASSUMP_CN_CAPACITY_TRANSPARENCY; ASSUMP_NUMERIC_ACCELERATOR_MIX; ASSUMP_INFERENCE_SHARE_NOT_FACT_60; ASSUMP_WORKLOAD_CLASS_MIX; ASSUMP_AGENTIC_CONTEXT_PENALTY</t>
        </is>
      </c>
      <c r="L1783" s="3" t="inlineStr">
        <is>
          <t>Company fleet inventory, accelerator-hours or procurement/deployment records by GPU generation.</t>
        </is>
      </c>
    </row>
    <row r="1784">
      <c r="A1784" s="3" t="inlineStr">
        <is>
          <t>DeepSeek</t>
        </is>
      </c>
      <c r="B1784" s="3" t="n">
        <v>2028</v>
      </c>
      <c r="C1784" s="3" t="inlineStr">
        <is>
          <t>Base</t>
        </is>
      </c>
      <c r="D1784" s="3" t="inlineStr">
        <is>
          <t>purpose_built_accelerator_share</t>
        </is>
      </c>
      <c r="E1784" s="3" t="n">
        <v>0</v>
      </c>
      <c r="F1784" s="3" t="inlineStr">
        <is>
          <t>share of inference-serving accelerator load</t>
        </is>
      </c>
      <c r="G1784" s="3" t="inlineStr">
        <is>
          <t>Numeric scenario</t>
        </is>
      </c>
      <c r="H1784" s="3" t="inlineStr">
        <is>
          <t>1 - gpu_share</t>
        </is>
      </c>
      <c r="I1784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784" s="3" t="inlineStr">
        <is>
          <t>SRC_DEEPSEEK_V3; SRC_DEEPSEEK_R1; SRC_DEEPSEEK_H800_INFERENCE; SRC_EPOCH_AI_DATA_CENTERS; ASSUMP_NUMERIC_ACCELERATOR_MIX</t>
        </is>
      </c>
      <c r="K1784" s="3" t="inlineStr">
        <is>
          <t>ASSUMP_MOE_EFFICIENCY; ASSUMP_CN_CAPACITY_TRANSPARENCY; ASSUMP_NUMERIC_ACCELERATOR_MIX; ASSUMP_INFERENCE_SHARE_NOT_FACT_60; ASSUMP_WORKLOAD_CLASS_MIX; ASSUMP_AGENTIC_CONTEXT_PENALTY</t>
        </is>
      </c>
      <c r="L1784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785">
      <c r="A1785" s="3" t="inlineStr">
        <is>
          <t>DeepSeek</t>
        </is>
      </c>
      <c r="B1785" s="3" t="n">
        <v>2028</v>
      </c>
      <c r="C1785" s="3" t="inlineStr">
        <is>
          <t>Base</t>
        </is>
      </c>
      <c r="D1785" s="3" t="inlineStr">
        <is>
          <t>fleet_reference_tps_per_mw</t>
        </is>
      </c>
      <c r="E1785" s="3" t="n">
        <v>162367</v>
      </c>
      <c r="F1785" s="3" t="inlineStr">
        <is>
          <t>generated output tokens/sec/MW</t>
        </is>
      </c>
      <c r="G1785" s="3" t="inlineStr">
        <is>
          <t>Fleet-weighted public benchmark reference</t>
        </is>
      </c>
      <c r="H1785" s="3" t="inlineStr">
        <is>
          <t>h200_share*h200_workload_avg + b200_share*b200_workload_avg + gb200_share*gb200_workload_avg + purpose_built_share*purpose_workload_avg</t>
        </is>
      </c>
      <c r="I178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785" s="3" t="inlineStr">
        <is>
          <t>SRC_SEMIANALYSIS_INFERENCEX; ASSUMP_NUMERIC_ACCELERATOR_MIX; ASSUMP_WORKLOAD_CLASS_MIX; ASSUMP_AGENTIC_CONTEXT_PENALTY</t>
        </is>
      </c>
      <c r="K1785" s="3" t="inlineStr">
        <is>
          <t>ASSUMP_MOE_EFFICIENCY; ASSUMP_CN_CAPACITY_TRANSPARENCY; ASSUMP_NUMERIC_ACCELERATOR_MIX; ASSUMP_INFERENCE_SHARE_NOT_FACT_60; ASSUMP_WORKLOAD_CLASS_MIX; ASSUMP_AGENTIC_CONTEXT_PENALTY</t>
        </is>
      </c>
      <c r="L1785" s="3" t="inlineStr">
        <is>
          <t>Comparable production output-token throughput or a more closely matched benchmark.</t>
        </is>
      </c>
    </row>
    <row r="1786">
      <c r="A1786" s="3" t="inlineStr">
        <is>
          <t>DeepSeek</t>
        </is>
      </c>
      <c r="B1786" s="3" t="n">
        <v>2028</v>
      </c>
      <c r="C1786" s="3" t="inlineStr">
        <is>
          <t>Base</t>
        </is>
      </c>
      <c r="D1786" s="3" t="inlineStr">
        <is>
          <t>commercial_workload_fit_factor</t>
        </is>
      </c>
      <c r="E1786" s="3" t="n">
        <v>0.85</v>
      </c>
      <c r="F1786" s="3" t="inlineStr">
        <is>
          <t>share of public reference throughput</t>
        </is>
      </c>
      <c r="G1786" s="3" t="inlineStr">
        <is>
          <t>Scenario assumption</t>
        </is>
      </c>
      <c r="H1786" s="3" t="inlineStr">
        <is>
          <t>reference_serving_tps_per_mw = fleet_reference_tps_per_mw * commercial_workload_fit_factor</t>
        </is>
      </c>
      <c r="I178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786" s="3" t="inlineStr">
        <is>
          <t>SRC_SEMIANALYSIS_INFERENCEX; ASSUMP_NUMERIC_ACCELERATOR_MIX; ASSUMP_WORKLOAD_CLASS_MIX; ASSUMP_AGENTIC_CONTEXT_PENALTY</t>
        </is>
      </c>
      <c r="K1786" s="3" t="inlineStr">
        <is>
          <t>ASSUMP_MOE_EFFICIENCY; ASSUMP_CN_CAPACITY_TRANSPARENCY; ASSUMP_NUMERIC_ACCELERATOR_MIX; ASSUMP_INFERENCE_SHARE_NOT_FACT_60; ASSUMP_WORKLOAD_CLASS_MIX; ASSUMP_AGENTIC_CONTEXT_PENALTY</t>
        </is>
      </c>
      <c r="L1786" s="3" t="inlineStr">
        <is>
          <t>Matched commercial serving benchmark by product surface, context shape and latency SLO.</t>
        </is>
      </c>
    </row>
    <row r="1787">
      <c r="A1787" s="3" t="inlineStr">
        <is>
          <t>DeepSeek</t>
        </is>
      </c>
      <c r="B1787" s="3" t="n">
        <v>2028</v>
      </c>
      <c r="C1787" s="3" t="inlineStr">
        <is>
          <t>Base</t>
        </is>
      </c>
      <c r="D1787" s="3" t="inlineStr">
        <is>
          <t>reference_serving_tps_per_mw</t>
        </is>
      </c>
      <c r="E1787" s="3" t="n">
        <v>138012</v>
      </c>
      <c r="F1787" s="3" t="inlineStr">
        <is>
          <t>generated output tokens/sec/MW</t>
        </is>
      </c>
      <c r="G1787" s="3" t="inlineStr">
        <is>
          <t>Workload-adjusted benchmark proxy</t>
        </is>
      </c>
      <c r="H1787" s="3" t="inlineStr">
        <is>
          <t>fleet_reference_tps_per_mw * commercial_workload_fit_factor</t>
        </is>
      </c>
      <c r="I1787" s="3" t="inlineStr">
        <is>
          <t>This is the coefficient used for headline token generation; each GPU's short chat, long chat and agentic TPS/MW are weighted before fleet mix and commercial fit are applied.</t>
        </is>
      </c>
      <c r="J1787" s="3" t="inlineStr">
        <is>
          <t>SRC_SEMIANALYSIS_INFERENCEX; ASSUMP_NUMERIC_ACCELERATOR_MIX; ASSUMP_WORKLOAD_CLASS_MIX; ASSUMP_AGENTIC_CONTEXT_PENALTY</t>
        </is>
      </c>
      <c r="K1787" s="3" t="inlineStr">
        <is>
          <t>ASSUMP_MOE_EFFICIENCY; ASSUMP_CN_CAPACITY_TRANSPARENCY; ASSUMP_NUMERIC_ACCELERATOR_MIX; ASSUMP_INFERENCE_SHARE_NOT_FACT_60; ASSUMP_WORKLOAD_CLASS_MIX; ASSUMP_AGENTIC_CONTEXT_PENALTY</t>
        </is>
      </c>
      <c r="L1787" s="3" t="inlineStr">
        <is>
          <t>Provider production output-token throughput with comparable workload/SLO.</t>
        </is>
      </c>
    </row>
    <row r="1788">
      <c r="A1788" s="3" t="inlineStr">
        <is>
          <t>DeepSeek</t>
        </is>
      </c>
      <c r="B1788" s="3" t="n">
        <v>2028</v>
      </c>
      <c r="C1788" s="3" t="inlineStr">
        <is>
          <t>Base</t>
        </is>
      </c>
      <c r="D1788" s="3" t="inlineStr">
        <is>
          <t>purpose_built_tps_per_mw</t>
        </is>
      </c>
      <c r="E1788" s="3" t="n">
        <v>334536</v>
      </c>
      <c r="F1788" s="3" t="inlineStr">
        <is>
          <t>generated output tokens/sec/MW</t>
        </is>
      </c>
      <c r="G1788" s="3" t="inlineStr">
        <is>
          <t>Conservative no-uplift proxy</t>
        </is>
      </c>
      <c r="H1788" s="3" t="inlineStr">
        <is>
          <t>purpose_built_tps_per_mw = purpose_built_reference_tps_per_mw * commercial_workload_fit_factor until comparable output-token benchmark is adopted</t>
        </is>
      </c>
      <c r="I1788" s="3" t="inlineStr">
        <is>
          <t>No comparable public output-token/MW row adopted; B200 public reference placeholder is used and remains editable.</t>
        </is>
      </c>
      <c r="J1788" s="3" t="inlineStr">
        <is>
          <t>SRC_DEEPSEEK_V3; SRC_DEEPSEEK_R1; SRC_DEEPSEEK_H800_INFERENCE; SRC_EPOCH_AI_DATA_CENTERS; ASSUMP_NUMERIC_ACCELERATOR_MIX</t>
        </is>
      </c>
      <c r="K1788" s="3" t="inlineStr">
        <is>
          <t>ASSUMP_MOE_EFFICIENCY; ASSUMP_CN_CAPACITY_TRANSPARENCY; ASSUMP_NUMERIC_ACCELERATOR_MIX; ASSUMP_INFERENCE_SHARE_NOT_FACT_60; ASSUMP_WORKLOAD_CLASS_MIX; ASSUMP_AGENTIC_CONTEXT_PENALTY</t>
        </is>
      </c>
      <c r="L1788" s="3" t="inlineStr">
        <is>
          <t>Matched-workload generated-output benchmark for the provider purpose-built accelerator.</t>
        </is>
      </c>
    </row>
    <row r="1789">
      <c r="A1789" s="3" t="inlineStr">
        <is>
          <t>DeepSeek</t>
        </is>
      </c>
      <c r="B1789" s="3" t="n">
        <v>2028</v>
      </c>
      <c r="C1789" s="3" t="inlineStr">
        <is>
          <t>Base</t>
        </is>
      </c>
      <c r="D1789" s="3" t="inlineStr">
        <is>
          <t>inference_power_share</t>
        </is>
      </c>
      <c r="E1789" s="3" t="n">
        <v>0.72</v>
      </c>
      <c r="F1789" s="3" t="inlineStr">
        <is>
          <t>share of AI IT load</t>
        </is>
      </c>
      <c r="G1789" s="3" t="inlineStr">
        <is>
          <t>Scenario allocation</t>
        </is>
      </c>
      <c r="H1789" s="3" t="inlineStr">
        <is>
          <t>inference_gw = ai_it_load_gw * inference_power_share</t>
        </is>
      </c>
      <c r="I1789" s="3" t="inlineStr">
        <is>
          <t>API/app availability and inference-system disclosure support higher inference share; the value remains scenario.</t>
        </is>
      </c>
      <c r="J1789" s="3" t="inlineStr">
        <is>
          <t>SRC_DEEPSEEK_V3; SRC_DEEPSEEK_R1; SRC_DEEPSEEK_H800_INFERENCE; SRC_EPOCH_AI_DATA_CENTERS; ASSUMP_INFERENCE_SHARE_NOT_FACT_60</t>
        </is>
      </c>
      <c r="K1789" s="3" t="inlineStr">
        <is>
          <t>ASSUMP_MOE_EFFICIENCY; ASSUMP_CN_CAPACITY_TRANSPARENCY; ASSUMP_NUMERIC_ACCELERATOR_MIX; ASSUMP_INFERENCE_SHARE_NOT_FACT_60; ASSUMP_WORKLOAD_CLASS_MIX; ASSUMP_AGENTIC_CONTEXT_PENALTY</t>
        </is>
      </c>
      <c r="L1789" s="3" t="inlineStr">
        <is>
          <t>Provider-specific inference/training workload power telemetry.</t>
        </is>
      </c>
    </row>
    <row r="1790">
      <c r="A1790" s="3" t="inlineStr">
        <is>
          <t>DeepSeek</t>
        </is>
      </c>
      <c r="B1790" s="3" t="n">
        <v>2028</v>
      </c>
      <c r="C1790" s="3" t="inlineStr">
        <is>
          <t>Base</t>
        </is>
      </c>
      <c r="D1790" s="3" t="inlineStr">
        <is>
          <t>inference_gw</t>
        </is>
      </c>
      <c r="E1790" s="3" t="n">
        <v>0.321</v>
      </c>
      <c r="F1790" s="3" t="inlineStr">
        <is>
          <t>GW</t>
        </is>
      </c>
      <c r="G1790" s="3" t="inlineStr">
        <is>
          <t>Derived formula</t>
        </is>
      </c>
      <c r="H1790" s="3" t="inlineStr">
        <is>
          <t>ai_it_load_gw * inference_power_share</t>
        </is>
      </c>
      <c r="I1790" s="3" t="inlineStr">
        <is>
          <t>This is the operational power eligible to become commercial generated output tokens through the selected TPS/MW proxy.</t>
        </is>
      </c>
      <c r="J1790" s="3" t="inlineStr">
        <is>
          <t>SRC_DEEPSEEK_V3; SRC_DEEPSEEK_R1; SRC_DEEPSEEK_H800_INFERENCE; SRC_EPOCH_AI_DATA_CENTERS</t>
        </is>
      </c>
      <c r="K1790" s="3" t="inlineStr">
        <is>
          <t>ASSUMP_MOE_EFFICIENCY; ASSUMP_CN_CAPACITY_TRANSPARENCY; ASSUMP_NUMERIC_ACCELERATOR_MIX; ASSUMP_INFERENCE_SHARE_NOT_FACT_60; ASSUMP_WORKLOAD_CLASS_MIX; ASSUMP_AGENTIC_CONTEXT_PENALTY</t>
        </is>
      </c>
      <c r="L1790" s="3" t="inlineStr">
        <is>
          <t>Recompute after AI allocation or inference-share evidence changes.</t>
        </is>
      </c>
    </row>
    <row r="1791">
      <c r="A1791" s="3" t="inlineStr">
        <is>
          <t>DeepSeek</t>
        </is>
      </c>
      <c r="B1791" s="3" t="n">
        <v>2028</v>
      </c>
      <c r="C1791" s="3" t="inlineStr">
        <is>
          <t>Base</t>
        </is>
      </c>
      <c r="D1791" s="3" t="inlineStr">
        <is>
          <t>training_power_share</t>
        </is>
      </c>
      <c r="E1791" s="3" t="n">
        <v>0.28</v>
      </c>
      <c r="F1791" s="3" t="inlineStr">
        <is>
          <t>share of AI IT load</t>
        </is>
      </c>
      <c r="G1791" s="3" t="inlineStr">
        <is>
          <t>Derived allocation</t>
        </is>
      </c>
      <c r="H1791" s="3" t="inlineStr">
        <is>
          <t>1 - inference_power_share</t>
        </is>
      </c>
      <c r="I1791" s="3" t="inlineStr">
        <is>
          <t>Training receives the complementary modeled AI IT allocation; it is not a disclosed company workload split.</t>
        </is>
      </c>
      <c r="J1791" s="3" t="inlineStr">
        <is>
          <t>SRC_DEEPSEEK_V3; SRC_DEEPSEEK_R1; SRC_DEEPSEEK_H800_INFERENCE; SRC_EPOCH_AI_DATA_CENTERS; ASSUMP_INFERENCE_SHARE_NOT_FACT_60</t>
        </is>
      </c>
      <c r="K1791" s="3" t="inlineStr">
        <is>
          <t>ASSUMP_MOE_EFFICIENCY; ASSUMP_CN_CAPACITY_TRANSPARENCY; ASSUMP_NUMERIC_ACCELERATOR_MIX; ASSUMP_INFERENCE_SHARE_NOT_FACT_60; ASSUMP_WORKLOAD_CLASS_MIX; ASSUMP_AGENTIC_CONTEXT_PENALTY</t>
        </is>
      </c>
      <c r="L1791" s="3" t="inlineStr">
        <is>
          <t>Provider-specific inference/training workload power telemetry.</t>
        </is>
      </c>
    </row>
    <row r="1792">
      <c r="A1792" s="3" t="inlineStr">
        <is>
          <t>DeepSeek</t>
        </is>
      </c>
      <c r="B1792" s="3" t="n">
        <v>2028</v>
      </c>
      <c r="C1792" s="3" t="inlineStr">
        <is>
          <t>Base</t>
        </is>
      </c>
      <c r="D1792" s="3" t="inlineStr">
        <is>
          <t>training_gw</t>
        </is>
      </c>
      <c r="E1792" s="3" t="n">
        <v>0.125</v>
      </c>
      <c r="F1792" s="3" t="inlineStr">
        <is>
          <t>GW</t>
        </is>
      </c>
      <c r="G1792" s="3" t="inlineStr">
        <is>
          <t>Derived formula</t>
        </is>
      </c>
      <c r="H1792" s="3" t="inlineStr">
        <is>
          <t>ai_it_load_gw * training_power_share</t>
        </is>
      </c>
      <c r="I1792" s="3" t="inlineStr">
        <is>
          <t>Training GW is shown separately so commercial inference token capacity is not overstated.</t>
        </is>
      </c>
      <c r="J1792" s="3" t="inlineStr">
        <is>
          <t>SRC_DEEPSEEK_V3; SRC_DEEPSEEK_R1; SRC_DEEPSEEK_H800_INFERENCE; SRC_EPOCH_AI_DATA_CENTERS</t>
        </is>
      </c>
      <c r="K1792" s="3" t="inlineStr">
        <is>
          <t>ASSUMP_MOE_EFFICIENCY; ASSUMP_CN_CAPACITY_TRANSPARENCY; ASSUMP_NUMERIC_ACCELERATOR_MIX; ASSUMP_INFERENCE_SHARE_NOT_FACT_60; ASSUMP_WORKLOAD_CLASS_MIX; ASSUMP_AGENTIC_CONTEXT_PENALTY</t>
        </is>
      </c>
      <c r="L1792" s="3" t="inlineStr">
        <is>
          <t>Recompute after AI allocation or workload-split evidence changes.</t>
        </is>
      </c>
    </row>
    <row r="1793">
      <c r="A1793" s="3" t="inlineStr">
        <is>
          <t>DeepSeek</t>
        </is>
      </c>
      <c r="B1793" s="3" t="n">
        <v>2028</v>
      </c>
      <c r="C1793" s="3" t="inlineStr">
        <is>
          <t>Base</t>
        </is>
      </c>
      <c r="D1793" s="3" t="inlineStr">
        <is>
          <t>tokens_per_second_per_mw</t>
        </is>
      </c>
      <c r="E1793" s="3" t="n">
        <v>138012</v>
      </c>
      <c r="F1793" s="3" t="inlineStr">
        <is>
          <t>generated output tokens/sec/MW</t>
        </is>
      </c>
      <c r="G1793" s="3" t="inlineStr">
        <is>
          <t>Derived estimate + benchmark calibration</t>
        </is>
      </c>
      <c r="H1793" s="3" t="inlineStr">
        <is>
          <t>fleet_reference_tps_per_mw * commercial_workload_fit_factor</t>
        </is>
      </c>
      <c r="I179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793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793" s="3" t="inlineStr">
        <is>
          <t>ASSUMP_MOE_EFFICIENCY; ASSUMP_CN_CAPACITY_TRANSPARENCY; ASSUMP_NUMERIC_ACCELERATOR_MIX; ASSUMP_INFERENCE_SHARE_NOT_FACT_60; ASSUMP_WORKLOAD_CLASS_MIX; ASSUMP_AGENTIC_CONTEXT_PENALTY</t>
        </is>
      </c>
      <c r="L1793" s="3" t="inlineStr">
        <is>
          <t>Comparable production output-token throughput with model, hardware, precision, ISL/OSL and SLO matched.</t>
        </is>
      </c>
    </row>
    <row r="1794">
      <c r="A1794" s="3" t="inlineStr">
        <is>
          <t>DeepSeek</t>
        </is>
      </c>
      <c r="B1794" s="3" t="n">
        <v>2028</v>
      </c>
      <c r="C1794" s="3" t="inlineStr">
        <is>
          <t>Base</t>
        </is>
      </c>
      <c r="D1794" s="3" t="inlineStr">
        <is>
          <t>inference_tokens_per_day</t>
        </is>
      </c>
      <c r="E1794" s="3" t="n">
        <v>3827680012800</v>
      </c>
      <c r="F1794" s="3" t="inlineStr">
        <is>
          <t>generated output tokens/day</t>
        </is>
      </c>
      <c r="G1794" s="3" t="inlineStr">
        <is>
          <t>Derived headline metric</t>
        </is>
      </c>
      <c r="H1794" s="3" t="inlineStr">
        <is>
          <t>inference_gw * 1000 * tokens_per_second_per_mw * 86,400</t>
        </is>
      </c>
      <c r="I1794" s="3" t="inlineStr">
        <is>
          <t>Headline capacity uses no utilization, MoE, architecture or software-growth multiplier; it is not observed commercial output volume.</t>
        </is>
      </c>
      <c r="J1794" s="3" t="inlineStr">
        <is>
          <t>SRC_DEEPSEEK_V3; SRC_DEEPSEEK_R1; SRC_DEEPSEEK_H800_INFERENCE; SRC_EPOCH_AI_DATA_CENTERS; SRC_SEMIANALYSIS_INFERENCEX</t>
        </is>
      </c>
      <c r="K1794" s="3" t="inlineStr">
        <is>
          <t>ASSUMP_MOE_EFFICIENCY; ASSUMP_CN_CAPACITY_TRANSPARENCY; ASSUMP_NUMERIC_ACCELERATOR_MIX; ASSUMP_INFERENCE_SHARE_NOT_FACT_60; ASSUMP_WORKLOAD_CLASS_MIX; ASSUMP_AGENTIC_CONTEXT_PENALTY</t>
        </is>
      </c>
      <c r="L1794" s="3" t="inlineStr">
        <is>
          <t>Provider-disclosed generated output token volume or calibrated capacity telemetry.</t>
        </is>
      </c>
    </row>
    <row r="1795">
      <c r="A1795" s="3" t="inlineStr">
        <is>
          <t>DeepSeek</t>
        </is>
      </c>
      <c r="B1795" s="3" t="n">
        <v>2028</v>
      </c>
      <c r="C1795" s="3" t="inlineStr">
        <is>
          <t>Base</t>
        </is>
      </c>
      <c r="D1795" s="3" t="inlineStr">
        <is>
          <t>inference_tokens_per_year</t>
        </is>
      </c>
      <c r="E1795" s="3" t="n">
        <v>1397103204672000</v>
      </c>
      <c r="F1795" s="3" t="inlineStr">
        <is>
          <t>generated output tokens/year</t>
        </is>
      </c>
      <c r="G1795" s="3" t="inlineStr">
        <is>
          <t>Derived headline metric</t>
        </is>
      </c>
      <c r="H1795" s="3" t="inlineStr">
        <is>
          <t>inference_tokens_per_day * 365</t>
        </is>
      </c>
      <c r="I1795" s="3" t="inlineStr">
        <is>
          <t>Annualized version of generated output token capacity; it is not observed annual demand or billable volume.</t>
        </is>
      </c>
      <c r="J1795" s="3" t="inlineStr">
        <is>
          <t>SRC_DEEPSEEK_V3; SRC_DEEPSEEK_R1; SRC_DEEPSEEK_H800_INFERENCE; SRC_EPOCH_AI_DATA_CENTERS; SRC_SEMIANALYSIS_INFERENCEX</t>
        </is>
      </c>
      <c r="K1795" s="3" t="inlineStr">
        <is>
          <t>ASSUMP_MOE_EFFICIENCY; ASSUMP_CN_CAPACITY_TRANSPARENCY; ASSUMP_NUMERIC_ACCELERATOR_MIX; ASSUMP_INFERENCE_SHARE_NOT_FACT_60; ASSUMP_WORKLOAD_CLASS_MIX; ASSUMP_AGENTIC_CONTEXT_PENALTY</t>
        </is>
      </c>
      <c r="L1795" s="3" t="inlineStr">
        <is>
          <t>Provider-disclosed annual generated-output volume or metered serving telemetry.</t>
        </is>
      </c>
    </row>
    <row r="1796">
      <c r="A1796" s="3" t="inlineStr">
        <is>
          <t>DeepSeek</t>
        </is>
      </c>
      <c r="B1796" s="3" t="n">
        <v>2029</v>
      </c>
      <c r="C1796" s="3" t="inlineStr">
        <is>
          <t>Base</t>
        </is>
      </c>
      <c r="D1796" s="3" t="inlineStr">
        <is>
          <t>contracted_power_gw</t>
        </is>
      </c>
      <c r="E1796" s="3" t="n">
        <v>1.475</v>
      </c>
      <c r="F1796" s="3" t="inlineStr">
        <is>
          <t>GW</t>
        </is>
      </c>
      <c r="G1796" s="3" t="inlineStr">
        <is>
          <t>Scenario capacity envelope</t>
        </is>
      </c>
      <c r="H1796" s="3" t="inlineStr">
        <is>
          <t>linear interpolation between 2026 and 2030 company capacity endpoints</t>
        </is>
      </c>
      <c r="I1796" s="3" t="inlineStr">
        <is>
          <t>Capacity is a low-transparency scenario; official infrastructure evidence supports H800 inference hardware, not company GW.</t>
        </is>
      </c>
      <c r="J1796" s="3" t="inlineStr">
        <is>
          <t>SRC_DEEPSEEK_H800_INFERENCE; ASSUMP_CN_CAPACITY_TRANSPARENCY</t>
        </is>
      </c>
      <c r="K1796" s="3" t="inlineStr">
        <is>
          <t>ASSUMP_MOE_EFFICIENCY; ASSUMP_CN_CAPACITY_TRANSPARENCY; ASSUMP_NUMERIC_ACCELERATOR_MIX; ASSUMP_INFERENCE_SHARE_NOT_FACT_60; ASSUMP_WORKLOAD_CLASS_MIX; ASSUMP_AGENTIC_CONTEXT_PENALTY</t>
        </is>
      </c>
      <c r="L1796" s="3" t="inlineStr">
        <is>
          <t>Company/site-level committed MW/GW, interconnect and contract disclosure.</t>
        </is>
      </c>
    </row>
    <row r="1797">
      <c r="A1797" s="3" t="inlineStr">
        <is>
          <t>DeepSeek</t>
        </is>
      </c>
      <c r="B1797" s="3" t="n">
        <v>2029</v>
      </c>
      <c r="C1797" s="3" t="inlineStr">
        <is>
          <t>Base</t>
        </is>
      </c>
      <c r="D1797" s="3" t="inlineStr">
        <is>
          <t>operational_deployment_share</t>
        </is>
      </c>
      <c r="E1797" s="3" t="n">
        <v>0.6359321999999999</v>
      </c>
      <c r="F1797" s="3" t="inlineStr">
        <is>
          <t>share</t>
        </is>
      </c>
      <c r="G1797" s="3" t="inlineStr">
        <is>
          <t>Scenario conversion</t>
        </is>
      </c>
      <c r="H1797" s="3" t="inlineStr">
        <is>
          <t>active_power_gw / contracted_power_gw</t>
        </is>
      </c>
      <c r="I1797" s="3" t="inlineStr">
        <is>
          <t>This is the single explicit conversion from contracted/attributed capacity to operationally usable capacity.</t>
        </is>
      </c>
      <c r="J1797" s="3" t="inlineStr">
        <is>
          <t>SRC_DEEPSEEK_H800_INFERENCE; ASSUMP_CN_CAPACITY_TRANSPARENCY</t>
        </is>
      </c>
      <c r="K1797" s="3" t="inlineStr">
        <is>
          <t>ASSUMP_MOE_EFFICIENCY; ASSUMP_CN_CAPACITY_TRANSPARENCY; ASSUMP_NUMERIC_ACCELERATOR_MIX; ASSUMP_INFERENCE_SHARE_NOT_FACT_60; ASSUMP_WORKLOAD_CLASS_MIX; ASSUMP_AGENTIC_CONTEXT_PENALTY</t>
        </is>
      </c>
      <c r="L1797" s="3" t="inlineStr">
        <is>
          <t>Energized operational capacity divided by contracted/attributed capacity.</t>
        </is>
      </c>
    </row>
    <row r="1798">
      <c r="A1798" s="3" t="inlineStr">
        <is>
          <t>DeepSeek</t>
        </is>
      </c>
      <c r="B1798" s="3" t="n">
        <v>2029</v>
      </c>
      <c r="C1798" s="3" t="inlineStr">
        <is>
          <t>Base</t>
        </is>
      </c>
      <c r="D1798" s="3" t="inlineStr">
        <is>
          <t>active_power_gw</t>
        </is>
      </c>
      <c r="E1798" s="3" t="n">
        <v>0.9379999999999999</v>
      </c>
      <c r="F1798" s="3" t="inlineStr">
        <is>
          <t>GW</t>
        </is>
      </c>
      <c r="G1798" s="3" t="inlineStr">
        <is>
          <t>Derived scenario</t>
        </is>
      </c>
      <c r="H1798" s="3" t="inlineStr">
        <is>
          <t>contracted_power_gw * operational_deployment_share</t>
        </is>
      </c>
      <c r="I1798" s="3" t="inlineStr">
        <is>
          <t>Active GW is conservative because operated cluster scale beyond disclosed infrastructure is not public.</t>
        </is>
      </c>
      <c r="J1798" s="3" t="inlineStr">
        <is>
          <t>SRC_DEEPSEEK_H800_INFERENCE; ASSUMP_CN_CAPACITY_TRANSPARENCY</t>
        </is>
      </c>
      <c r="K1798" s="3" t="inlineStr">
        <is>
          <t>ASSUMP_MOE_EFFICIENCY; ASSUMP_CN_CAPACITY_TRANSPARENCY; ASSUMP_NUMERIC_ACCELERATOR_MIX; ASSUMP_INFERENCE_SHARE_NOT_FACT_60; ASSUMP_WORKLOAD_CLASS_MIX; ASSUMP_AGENTIC_CONTEXT_PENALTY</t>
        </is>
      </c>
      <c r="L1798" s="3" t="inlineStr">
        <is>
          <t>Energization dates, accelerator deliveries and operational powered-rack telemetry.</t>
        </is>
      </c>
    </row>
    <row r="1799">
      <c r="A1799" s="3" t="inlineStr">
        <is>
          <t>DeepSeek</t>
        </is>
      </c>
      <c r="B1799" s="3" t="n">
        <v>2029</v>
      </c>
      <c r="C1799" s="3" t="inlineStr">
        <is>
          <t>Base</t>
        </is>
      </c>
      <c r="D1799" s="3" t="inlineStr">
        <is>
          <t>pue</t>
        </is>
      </c>
      <c r="E1799" s="3" t="n">
        <v>1.24</v>
      </c>
      <c r="F1799" s="3" t="inlineStr">
        <is>
          <t>ratio</t>
        </is>
      </c>
      <c r="G1799" s="3" t="inlineStr">
        <is>
          <t>Scenario parameter</t>
        </is>
      </c>
      <c r="H1799" s="3" t="inlineStr">
        <is>
          <t>it_load_gw = active_power_gw / pue</t>
        </is>
      </c>
      <c r="I1799" s="3" t="inlineStr">
        <is>
          <t>No provider-wide site-level PUE is used as a disclosed fact; PUE represents facility-to-IT conversion within the scenario.</t>
        </is>
      </c>
      <c r="J1799" s="3" t="inlineStr">
        <is>
          <t>ASSUMP_POWER_RAMP</t>
        </is>
      </c>
      <c r="K1799" s="3" t="inlineStr">
        <is>
          <t>ASSUMP_MOE_EFFICIENCY; ASSUMP_CN_CAPACITY_TRANSPARENCY; ASSUMP_NUMERIC_ACCELERATOR_MIX; ASSUMP_INFERENCE_SHARE_NOT_FACT_60; ASSUMP_WORKLOAD_CLASS_MIX; ASSUMP_AGENTIC_CONTEXT_PENALTY</t>
        </is>
      </c>
      <c r="L1799" s="3" t="inlineStr">
        <is>
          <t>Site-level measured PUE matched to attributed AI capacity.</t>
        </is>
      </c>
    </row>
    <row r="1800">
      <c r="A1800" s="3" t="inlineStr">
        <is>
          <t>DeepSeek</t>
        </is>
      </c>
      <c r="B1800" s="3" t="n">
        <v>2029</v>
      </c>
      <c r="C1800" s="3" t="inlineStr">
        <is>
          <t>Base</t>
        </is>
      </c>
      <c r="D1800" s="3" t="inlineStr">
        <is>
          <t>it_load_gw</t>
        </is>
      </c>
      <c r="E1800" s="3" t="n">
        <v>0.756</v>
      </c>
      <c r="F1800" s="3" t="inlineStr">
        <is>
          <t>GW</t>
        </is>
      </c>
      <c r="G1800" s="3" t="inlineStr">
        <is>
          <t>Derived formula</t>
        </is>
      </c>
      <c r="H1800" s="3" t="inlineStr">
        <is>
          <t>active_power_gw / pue</t>
        </is>
      </c>
      <c r="I1800" s="3" t="inlineStr">
        <is>
          <t>Facility power is converted to IT-deliverable power before attributing AI workloads.</t>
        </is>
      </c>
      <c r="J1800" s="3" t="inlineStr">
        <is>
          <t>SRC_DEEPSEEK_H800_INFERENCE; ASSUMP_CN_CAPACITY_TRANSPARENCY</t>
        </is>
      </c>
      <c r="K1800" s="3" t="inlineStr">
        <is>
          <t>ASSUMP_MOE_EFFICIENCY; ASSUMP_CN_CAPACITY_TRANSPARENCY; ASSUMP_NUMERIC_ACCELERATOR_MIX; ASSUMP_INFERENCE_SHARE_NOT_FACT_60; ASSUMP_WORKLOAD_CLASS_MIX; ASSUMP_AGENTIC_CONTEXT_PENALTY</t>
        </is>
      </c>
      <c r="L1800" s="3" t="inlineStr">
        <is>
          <t>Recompute once active power and PUE become site-observable.</t>
        </is>
      </c>
    </row>
    <row r="1801">
      <c r="A1801" s="3" t="inlineStr">
        <is>
          <t>DeepSeek</t>
        </is>
      </c>
      <c r="B1801" s="3" t="n">
        <v>2029</v>
      </c>
      <c r="C1801" s="3" t="inlineStr">
        <is>
          <t>Base</t>
        </is>
      </c>
      <c r="D1801" s="3" t="inlineStr">
        <is>
          <t>ai_workload_share</t>
        </is>
      </c>
      <c r="E1801" s="3" t="n">
        <v>0.82</v>
      </c>
      <c r="F1801" s="3" t="inlineStr">
        <is>
          <t>share</t>
        </is>
      </c>
      <c r="G1801" s="3" t="inlineStr">
        <is>
          <t>Scenario allocation</t>
        </is>
      </c>
      <c r="H1801" s="3" t="inlineStr">
        <is>
          <t>ai_it_load_gw = it_load_gw * ai_workload_share</t>
        </is>
      </c>
      <c r="I1801" s="3" t="inlineStr">
        <is>
          <t>DeepSeek-operated service capacity is modeled as AI-focused, reduced for reserve and ancillary processing.</t>
        </is>
      </c>
      <c r="J1801" s="3" t="inlineStr">
        <is>
          <t>SRC_DEEPSEEK_V3; SRC_DEEPSEEK_R1; SRC_DEEPSEEK_H800_INFERENCE; SRC_EPOCH_AI_DATA_CENTERS</t>
        </is>
      </c>
      <c r="K1801" s="3" t="inlineStr">
        <is>
          <t>ASSUMP_MOE_EFFICIENCY; ASSUMP_CN_CAPACITY_TRANSPARENCY; ASSUMP_NUMERIC_ACCELERATOR_MIX; ASSUMP_INFERENCE_SHARE_NOT_FACT_60; ASSUMP_WORKLOAD_CLASS_MIX; ASSUMP_AGENTIC_CONTEXT_PENALTY</t>
        </is>
      </c>
      <c r="L1801" s="3" t="inlineStr">
        <is>
          <t>Model-owner AI workload allocation or cluster scheduling telemetry.</t>
        </is>
      </c>
    </row>
    <row r="1802">
      <c r="A1802" s="3" t="inlineStr">
        <is>
          <t>DeepSeek</t>
        </is>
      </c>
      <c r="B1802" s="3" t="n">
        <v>2029</v>
      </c>
      <c r="C1802" s="3" t="inlineStr">
        <is>
          <t>Base</t>
        </is>
      </c>
      <c r="D1802" s="3" t="inlineStr">
        <is>
          <t>ai_it_load_gw</t>
        </is>
      </c>
      <c r="E1802" s="3" t="n">
        <v>0.62</v>
      </c>
      <c r="F1802" s="3" t="inlineStr">
        <is>
          <t>GW</t>
        </is>
      </c>
      <c r="G1802" s="3" t="inlineStr">
        <is>
          <t>Derived formula</t>
        </is>
      </c>
      <c r="H1802" s="3" t="inlineStr">
        <is>
          <t>it_load_gw * ai_workload_share</t>
        </is>
      </c>
      <c r="I1802" s="3" t="inlineStr">
        <is>
          <t>Only the AI-attributed portion of IT load enters training/inference allocation.</t>
        </is>
      </c>
      <c r="J1802" s="3" t="inlineStr">
        <is>
          <t>SRC_DEEPSEEK_V3; SRC_DEEPSEEK_R1; SRC_DEEPSEEK_H800_INFERENCE; SRC_EPOCH_AI_DATA_CENTERS</t>
        </is>
      </c>
      <c r="K1802" s="3" t="inlineStr">
        <is>
          <t>ASSUMP_MOE_EFFICIENCY; ASSUMP_CN_CAPACITY_TRANSPARENCY; ASSUMP_NUMERIC_ACCELERATOR_MIX; ASSUMP_INFERENCE_SHARE_NOT_FACT_60; ASSUMP_WORKLOAD_CLASS_MIX; ASSUMP_AGENTIC_CONTEXT_PENALTY</t>
        </is>
      </c>
      <c r="L1802" s="3" t="inlineStr">
        <is>
          <t>Recompute after ai_workload_share is replaced by telemetry.</t>
        </is>
      </c>
    </row>
    <row r="1803">
      <c r="A1803" s="3" t="inlineStr">
        <is>
          <t>DeepSeek</t>
        </is>
      </c>
      <c r="B1803" s="3" t="n">
        <v>2029</v>
      </c>
      <c r="C1803" s="3" t="inlineStr">
        <is>
          <t>Base</t>
        </is>
      </c>
      <c r="D1803" s="3" t="inlineStr">
        <is>
          <t>gpu_share</t>
        </is>
      </c>
      <c r="E1803" s="3" t="n">
        <v>1</v>
      </c>
      <c r="F1803" s="3" t="inlineStr">
        <is>
          <t>share of inference-serving accelerator load</t>
        </is>
      </c>
      <c r="G1803" s="3" t="inlineStr">
        <is>
          <t>Numeric scenario</t>
        </is>
      </c>
      <c r="H1803" s="3" t="inlineStr">
        <is>
          <t>gpu_share interpolated from company 2026/2030 accelerator-mix endpoints</t>
        </is>
      </c>
      <c r="I1803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803" s="3" t="inlineStr">
        <is>
          <t>SRC_DEEPSEEK_V3; SRC_DEEPSEEK_R1; SRC_DEEPSEEK_H800_INFERENCE; SRC_EPOCH_AI_DATA_CENTERS; ASSUMP_NUMERIC_ACCELERATOR_MIX</t>
        </is>
      </c>
      <c r="K1803" s="3" t="inlineStr">
        <is>
          <t>ASSUMP_MOE_EFFICIENCY; ASSUMP_CN_CAPACITY_TRANSPARENCY; ASSUMP_NUMERIC_ACCELERATOR_MIX; ASSUMP_INFERENCE_SHARE_NOT_FACT_60; ASSUMP_WORKLOAD_CLASS_MIX; ASSUMP_AGENTIC_CONTEXT_PENALTY</t>
        </is>
      </c>
      <c r="L1803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804">
      <c r="A1804" s="3" t="inlineStr">
        <is>
          <t>DeepSeek</t>
        </is>
      </c>
      <c r="B1804" s="3" t="n">
        <v>2029</v>
      </c>
      <c r="C1804" s="3" t="inlineStr">
        <is>
          <t>Base</t>
        </is>
      </c>
      <c r="D1804" s="3" t="inlineStr">
        <is>
          <t>h200_share</t>
        </is>
      </c>
      <c r="E1804" s="3" t="n">
        <v>0.213</v>
      </c>
      <c r="F1804" s="3" t="inlineStr">
        <is>
          <t>share of inference-serving accelerator load</t>
        </is>
      </c>
      <c r="G1804" s="3" t="inlineStr">
        <is>
          <t>Editable numeric scenario</t>
        </is>
      </c>
      <c r="H1804" s="3" t="inlineStr">
        <is>
          <t>h200_share = gpu_share * default_gpu_generation_mix_h200</t>
        </is>
      </c>
      <c r="I1804" s="3" t="inlineStr">
        <is>
          <t>Default GPU-generation migration assumption; executive workbook allows later manual replacement by company/year/scenario.</t>
        </is>
      </c>
      <c r="J1804" s="3" t="inlineStr">
        <is>
          <t>SRC_SEMIANALYSIS_INFERENCEX; ASSUMP_NUMERIC_ACCELERATOR_MIX</t>
        </is>
      </c>
      <c r="K1804" s="3" t="inlineStr">
        <is>
          <t>ASSUMP_MOE_EFFICIENCY; ASSUMP_CN_CAPACITY_TRANSPARENCY; ASSUMP_NUMERIC_ACCELERATOR_MIX; ASSUMP_INFERENCE_SHARE_NOT_FACT_60; ASSUMP_WORKLOAD_CLASS_MIX; ASSUMP_AGENTIC_CONTEXT_PENALTY</t>
        </is>
      </c>
      <c r="L1804" s="3" t="inlineStr">
        <is>
          <t>Company fleet inventory, accelerator-hours or procurement/deployment records by GPU generation.</t>
        </is>
      </c>
    </row>
    <row r="1805">
      <c r="A1805" s="3" t="inlineStr">
        <is>
          <t>DeepSeek</t>
        </is>
      </c>
      <c r="B1805" s="3" t="n">
        <v>2029</v>
      </c>
      <c r="C1805" s="3" t="inlineStr">
        <is>
          <t>Base</t>
        </is>
      </c>
      <c r="D1805" s="3" t="inlineStr">
        <is>
          <t>b200_share</t>
        </is>
      </c>
      <c r="E1805" s="3" t="n">
        <v>0.362</v>
      </c>
      <c r="F1805" s="3" t="inlineStr">
        <is>
          <t>share of inference-serving accelerator load</t>
        </is>
      </c>
      <c r="G1805" s="3" t="inlineStr">
        <is>
          <t>Editable numeric scenario</t>
        </is>
      </c>
      <c r="H1805" s="3" t="inlineStr">
        <is>
          <t>b200_share = gpu_share * default_gpu_generation_mix_b200</t>
        </is>
      </c>
      <c r="I1805" s="3" t="inlineStr">
        <is>
          <t>Default GPU-generation migration assumption; executive workbook allows later manual replacement by company/year/scenario.</t>
        </is>
      </c>
      <c r="J1805" s="3" t="inlineStr">
        <is>
          <t>SRC_SEMIANALYSIS_INFERENCEX; ASSUMP_NUMERIC_ACCELERATOR_MIX</t>
        </is>
      </c>
      <c r="K1805" s="3" t="inlineStr">
        <is>
          <t>ASSUMP_MOE_EFFICIENCY; ASSUMP_CN_CAPACITY_TRANSPARENCY; ASSUMP_NUMERIC_ACCELERATOR_MIX; ASSUMP_INFERENCE_SHARE_NOT_FACT_60; ASSUMP_WORKLOAD_CLASS_MIX; ASSUMP_AGENTIC_CONTEXT_PENALTY</t>
        </is>
      </c>
      <c r="L1805" s="3" t="inlineStr">
        <is>
          <t>Company fleet inventory, accelerator-hours or procurement/deployment records by GPU generation.</t>
        </is>
      </c>
    </row>
    <row r="1806">
      <c r="A1806" s="3" t="inlineStr">
        <is>
          <t>DeepSeek</t>
        </is>
      </c>
      <c r="B1806" s="3" t="n">
        <v>2029</v>
      </c>
      <c r="C1806" s="3" t="inlineStr">
        <is>
          <t>Base</t>
        </is>
      </c>
      <c r="D1806" s="3" t="inlineStr">
        <is>
          <t>gb200_share</t>
        </is>
      </c>
      <c r="E1806" s="3" t="n">
        <v>0.425</v>
      </c>
      <c r="F1806" s="3" t="inlineStr">
        <is>
          <t>share of inference-serving accelerator load</t>
        </is>
      </c>
      <c r="G1806" s="3" t="inlineStr">
        <is>
          <t>Editable numeric scenario</t>
        </is>
      </c>
      <c r="H1806" s="3" t="inlineStr">
        <is>
          <t>gb200_share = gpu_share * default_gpu_generation_mix_gb200</t>
        </is>
      </c>
      <c r="I1806" s="3" t="inlineStr">
        <is>
          <t>Default GPU-generation migration assumption; executive workbook allows later manual replacement by company/year/scenario.</t>
        </is>
      </c>
      <c r="J1806" s="3" t="inlineStr">
        <is>
          <t>SRC_SEMIANALYSIS_INFERENCEX; ASSUMP_NUMERIC_ACCELERATOR_MIX</t>
        </is>
      </c>
      <c r="K1806" s="3" t="inlineStr">
        <is>
          <t>ASSUMP_MOE_EFFICIENCY; ASSUMP_CN_CAPACITY_TRANSPARENCY; ASSUMP_NUMERIC_ACCELERATOR_MIX; ASSUMP_INFERENCE_SHARE_NOT_FACT_60; ASSUMP_WORKLOAD_CLASS_MIX; ASSUMP_AGENTIC_CONTEXT_PENALTY</t>
        </is>
      </c>
      <c r="L1806" s="3" t="inlineStr">
        <is>
          <t>Company fleet inventory, accelerator-hours or procurement/deployment records by GPU generation.</t>
        </is>
      </c>
    </row>
    <row r="1807">
      <c r="A1807" s="3" t="inlineStr">
        <is>
          <t>DeepSeek</t>
        </is>
      </c>
      <c r="B1807" s="3" t="n">
        <v>2029</v>
      </c>
      <c r="C1807" s="3" t="inlineStr">
        <is>
          <t>Base</t>
        </is>
      </c>
      <c r="D1807" s="3" t="inlineStr">
        <is>
          <t>purpose_built_accelerator_share</t>
        </is>
      </c>
      <c r="E1807" s="3" t="n">
        <v>0</v>
      </c>
      <c r="F1807" s="3" t="inlineStr">
        <is>
          <t>share of inference-serving accelerator load</t>
        </is>
      </c>
      <c r="G1807" s="3" t="inlineStr">
        <is>
          <t>Numeric scenario</t>
        </is>
      </c>
      <c r="H1807" s="3" t="inlineStr">
        <is>
          <t>1 - gpu_share</t>
        </is>
      </c>
      <c r="I1807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807" s="3" t="inlineStr">
        <is>
          <t>SRC_DEEPSEEK_V3; SRC_DEEPSEEK_R1; SRC_DEEPSEEK_H800_INFERENCE; SRC_EPOCH_AI_DATA_CENTERS; ASSUMP_NUMERIC_ACCELERATOR_MIX</t>
        </is>
      </c>
      <c r="K1807" s="3" t="inlineStr">
        <is>
          <t>ASSUMP_MOE_EFFICIENCY; ASSUMP_CN_CAPACITY_TRANSPARENCY; ASSUMP_NUMERIC_ACCELERATOR_MIX; ASSUMP_INFERENCE_SHARE_NOT_FACT_60; ASSUMP_WORKLOAD_CLASS_MIX; ASSUMP_AGENTIC_CONTEXT_PENALTY</t>
        </is>
      </c>
      <c r="L1807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808">
      <c r="A1808" s="3" t="inlineStr">
        <is>
          <t>DeepSeek</t>
        </is>
      </c>
      <c r="B1808" s="3" t="n">
        <v>2029</v>
      </c>
      <c r="C1808" s="3" t="inlineStr">
        <is>
          <t>Base</t>
        </is>
      </c>
      <c r="D1808" s="3" t="inlineStr">
        <is>
          <t>fleet_reference_tps_per_mw</t>
        </is>
      </c>
      <c r="E1808" s="3" t="n">
        <v>173214</v>
      </c>
      <c r="F1808" s="3" t="inlineStr">
        <is>
          <t>generated output tokens/sec/MW</t>
        </is>
      </c>
      <c r="G1808" s="3" t="inlineStr">
        <is>
          <t>Fleet-weighted public benchmark reference</t>
        </is>
      </c>
      <c r="H1808" s="3" t="inlineStr">
        <is>
          <t>h200_share*h200_workload_avg + b200_share*b200_workload_avg + gb200_share*gb200_workload_avg + purpose_built_share*purpose_workload_avg</t>
        </is>
      </c>
      <c r="I180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08" s="3" t="inlineStr">
        <is>
          <t>SRC_SEMIANALYSIS_INFERENCEX; ASSUMP_NUMERIC_ACCELERATOR_MIX; ASSUMP_WORKLOAD_CLASS_MIX; ASSUMP_AGENTIC_CONTEXT_PENALTY</t>
        </is>
      </c>
      <c r="K1808" s="3" t="inlineStr">
        <is>
          <t>ASSUMP_MOE_EFFICIENCY; ASSUMP_CN_CAPACITY_TRANSPARENCY; ASSUMP_NUMERIC_ACCELERATOR_MIX; ASSUMP_INFERENCE_SHARE_NOT_FACT_60; ASSUMP_WORKLOAD_CLASS_MIX; ASSUMP_AGENTIC_CONTEXT_PENALTY</t>
        </is>
      </c>
      <c r="L1808" s="3" t="inlineStr">
        <is>
          <t>Comparable production output-token throughput or a more closely matched benchmark.</t>
        </is>
      </c>
    </row>
    <row r="1809">
      <c r="A1809" s="3" t="inlineStr">
        <is>
          <t>DeepSeek</t>
        </is>
      </c>
      <c r="B1809" s="3" t="n">
        <v>2029</v>
      </c>
      <c r="C1809" s="3" t="inlineStr">
        <is>
          <t>Base</t>
        </is>
      </c>
      <c r="D1809" s="3" t="inlineStr">
        <is>
          <t>commercial_workload_fit_factor</t>
        </is>
      </c>
      <c r="E1809" s="3" t="n">
        <v>0.85</v>
      </c>
      <c r="F1809" s="3" t="inlineStr">
        <is>
          <t>share of public reference throughput</t>
        </is>
      </c>
      <c r="G1809" s="3" t="inlineStr">
        <is>
          <t>Scenario assumption</t>
        </is>
      </c>
      <c r="H1809" s="3" t="inlineStr">
        <is>
          <t>reference_serving_tps_per_mw = fleet_reference_tps_per_mw * commercial_workload_fit_factor</t>
        </is>
      </c>
      <c r="I180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09" s="3" t="inlineStr">
        <is>
          <t>SRC_SEMIANALYSIS_INFERENCEX; ASSUMP_NUMERIC_ACCELERATOR_MIX; ASSUMP_WORKLOAD_CLASS_MIX; ASSUMP_AGENTIC_CONTEXT_PENALTY</t>
        </is>
      </c>
      <c r="K1809" s="3" t="inlineStr">
        <is>
          <t>ASSUMP_MOE_EFFICIENCY; ASSUMP_CN_CAPACITY_TRANSPARENCY; ASSUMP_NUMERIC_ACCELERATOR_MIX; ASSUMP_INFERENCE_SHARE_NOT_FACT_60; ASSUMP_WORKLOAD_CLASS_MIX; ASSUMP_AGENTIC_CONTEXT_PENALTY</t>
        </is>
      </c>
      <c r="L1809" s="3" t="inlineStr">
        <is>
          <t>Matched commercial serving benchmark by product surface, context shape and latency SLO.</t>
        </is>
      </c>
    </row>
    <row r="1810">
      <c r="A1810" s="3" t="inlineStr">
        <is>
          <t>DeepSeek</t>
        </is>
      </c>
      <c r="B1810" s="3" t="n">
        <v>2029</v>
      </c>
      <c r="C1810" s="3" t="inlineStr">
        <is>
          <t>Base</t>
        </is>
      </c>
      <c r="D1810" s="3" t="inlineStr">
        <is>
          <t>reference_serving_tps_per_mw</t>
        </is>
      </c>
      <c r="E1810" s="3" t="n">
        <v>147232</v>
      </c>
      <c r="F1810" s="3" t="inlineStr">
        <is>
          <t>generated output tokens/sec/MW</t>
        </is>
      </c>
      <c r="G1810" s="3" t="inlineStr">
        <is>
          <t>Workload-adjusted benchmark proxy</t>
        </is>
      </c>
      <c r="H1810" s="3" t="inlineStr">
        <is>
          <t>fleet_reference_tps_per_mw * commercial_workload_fit_factor</t>
        </is>
      </c>
      <c r="I1810" s="3" t="inlineStr">
        <is>
          <t>This is the coefficient used for headline token generation; each GPU's short chat, long chat and agentic TPS/MW are weighted before fleet mix and commercial fit are applied.</t>
        </is>
      </c>
      <c r="J1810" s="3" t="inlineStr">
        <is>
          <t>SRC_SEMIANALYSIS_INFERENCEX; ASSUMP_NUMERIC_ACCELERATOR_MIX; ASSUMP_WORKLOAD_CLASS_MIX; ASSUMP_AGENTIC_CONTEXT_PENALTY</t>
        </is>
      </c>
      <c r="K1810" s="3" t="inlineStr">
        <is>
          <t>ASSUMP_MOE_EFFICIENCY; ASSUMP_CN_CAPACITY_TRANSPARENCY; ASSUMP_NUMERIC_ACCELERATOR_MIX; ASSUMP_INFERENCE_SHARE_NOT_FACT_60; ASSUMP_WORKLOAD_CLASS_MIX; ASSUMP_AGENTIC_CONTEXT_PENALTY</t>
        </is>
      </c>
      <c r="L1810" s="3" t="inlineStr">
        <is>
          <t>Provider production output-token throughput with comparable workload/SLO.</t>
        </is>
      </c>
    </row>
    <row r="1811">
      <c r="A1811" s="3" t="inlineStr">
        <is>
          <t>DeepSeek</t>
        </is>
      </c>
      <c r="B1811" s="3" t="n">
        <v>2029</v>
      </c>
      <c r="C1811" s="3" t="inlineStr">
        <is>
          <t>Base</t>
        </is>
      </c>
      <c r="D1811" s="3" t="inlineStr">
        <is>
          <t>purpose_built_tps_per_mw</t>
        </is>
      </c>
      <c r="E1811" s="3" t="n">
        <v>334536</v>
      </c>
      <c r="F1811" s="3" t="inlineStr">
        <is>
          <t>generated output tokens/sec/MW</t>
        </is>
      </c>
      <c r="G1811" s="3" t="inlineStr">
        <is>
          <t>Conservative no-uplift proxy</t>
        </is>
      </c>
      <c r="H1811" s="3" t="inlineStr">
        <is>
          <t>purpose_built_tps_per_mw = purpose_built_reference_tps_per_mw * commercial_workload_fit_factor until comparable output-token benchmark is adopted</t>
        </is>
      </c>
      <c r="I1811" s="3" t="inlineStr">
        <is>
          <t>No comparable public output-token/MW row adopted; B200 public reference placeholder is used and remains editable.</t>
        </is>
      </c>
      <c r="J1811" s="3" t="inlineStr">
        <is>
          <t>SRC_DEEPSEEK_V3; SRC_DEEPSEEK_R1; SRC_DEEPSEEK_H800_INFERENCE; SRC_EPOCH_AI_DATA_CENTERS; ASSUMP_NUMERIC_ACCELERATOR_MIX</t>
        </is>
      </c>
      <c r="K1811" s="3" t="inlineStr">
        <is>
          <t>ASSUMP_MOE_EFFICIENCY; ASSUMP_CN_CAPACITY_TRANSPARENCY; ASSUMP_NUMERIC_ACCELERATOR_MIX; ASSUMP_INFERENCE_SHARE_NOT_FACT_60; ASSUMP_WORKLOAD_CLASS_MIX; ASSUMP_AGENTIC_CONTEXT_PENALTY</t>
        </is>
      </c>
      <c r="L1811" s="3" t="inlineStr">
        <is>
          <t>Matched-workload generated-output benchmark for the provider purpose-built accelerator.</t>
        </is>
      </c>
    </row>
    <row r="1812">
      <c r="A1812" s="3" t="inlineStr">
        <is>
          <t>DeepSeek</t>
        </is>
      </c>
      <c r="B1812" s="3" t="n">
        <v>2029</v>
      </c>
      <c r="C1812" s="3" t="inlineStr">
        <is>
          <t>Base</t>
        </is>
      </c>
      <c r="D1812" s="3" t="inlineStr">
        <is>
          <t>inference_power_share</t>
        </is>
      </c>
      <c r="E1812" s="3" t="n">
        <v>0.77</v>
      </c>
      <c r="F1812" s="3" t="inlineStr">
        <is>
          <t>share of AI IT load</t>
        </is>
      </c>
      <c r="G1812" s="3" t="inlineStr">
        <is>
          <t>Scenario allocation</t>
        </is>
      </c>
      <c r="H1812" s="3" t="inlineStr">
        <is>
          <t>inference_gw = ai_it_load_gw * inference_power_share</t>
        </is>
      </c>
      <c r="I1812" s="3" t="inlineStr">
        <is>
          <t>API/app availability and inference-system disclosure support higher inference share; the value remains scenario.</t>
        </is>
      </c>
      <c r="J1812" s="3" t="inlineStr">
        <is>
          <t>SRC_DEEPSEEK_V3; SRC_DEEPSEEK_R1; SRC_DEEPSEEK_H800_INFERENCE; SRC_EPOCH_AI_DATA_CENTERS; ASSUMP_INFERENCE_SHARE_NOT_FACT_60</t>
        </is>
      </c>
      <c r="K1812" s="3" t="inlineStr">
        <is>
          <t>ASSUMP_MOE_EFFICIENCY; ASSUMP_CN_CAPACITY_TRANSPARENCY; ASSUMP_NUMERIC_ACCELERATOR_MIX; ASSUMP_INFERENCE_SHARE_NOT_FACT_60; ASSUMP_WORKLOAD_CLASS_MIX; ASSUMP_AGENTIC_CONTEXT_PENALTY</t>
        </is>
      </c>
      <c r="L1812" s="3" t="inlineStr">
        <is>
          <t>Provider-specific inference/training workload power telemetry.</t>
        </is>
      </c>
    </row>
    <row r="1813">
      <c r="A1813" s="3" t="inlineStr">
        <is>
          <t>DeepSeek</t>
        </is>
      </c>
      <c r="B1813" s="3" t="n">
        <v>2029</v>
      </c>
      <c r="C1813" s="3" t="inlineStr">
        <is>
          <t>Base</t>
        </is>
      </c>
      <c r="D1813" s="3" t="inlineStr">
        <is>
          <t>inference_gw</t>
        </is>
      </c>
      <c r="E1813" s="3" t="n">
        <v>0.477</v>
      </c>
      <c r="F1813" s="3" t="inlineStr">
        <is>
          <t>GW</t>
        </is>
      </c>
      <c r="G1813" s="3" t="inlineStr">
        <is>
          <t>Derived formula</t>
        </is>
      </c>
      <c r="H1813" s="3" t="inlineStr">
        <is>
          <t>ai_it_load_gw * inference_power_share</t>
        </is>
      </c>
      <c r="I1813" s="3" t="inlineStr">
        <is>
          <t>This is the operational power eligible to become commercial generated output tokens through the selected TPS/MW proxy.</t>
        </is>
      </c>
      <c r="J1813" s="3" t="inlineStr">
        <is>
          <t>SRC_DEEPSEEK_V3; SRC_DEEPSEEK_R1; SRC_DEEPSEEK_H800_INFERENCE; SRC_EPOCH_AI_DATA_CENTERS</t>
        </is>
      </c>
      <c r="K1813" s="3" t="inlineStr">
        <is>
          <t>ASSUMP_MOE_EFFICIENCY; ASSUMP_CN_CAPACITY_TRANSPARENCY; ASSUMP_NUMERIC_ACCELERATOR_MIX; ASSUMP_INFERENCE_SHARE_NOT_FACT_60; ASSUMP_WORKLOAD_CLASS_MIX; ASSUMP_AGENTIC_CONTEXT_PENALTY</t>
        </is>
      </c>
      <c r="L1813" s="3" t="inlineStr">
        <is>
          <t>Recompute after AI allocation or inference-share evidence changes.</t>
        </is>
      </c>
    </row>
    <row r="1814">
      <c r="A1814" s="3" t="inlineStr">
        <is>
          <t>DeepSeek</t>
        </is>
      </c>
      <c r="B1814" s="3" t="n">
        <v>2029</v>
      </c>
      <c r="C1814" s="3" t="inlineStr">
        <is>
          <t>Base</t>
        </is>
      </c>
      <c r="D1814" s="3" t="inlineStr">
        <is>
          <t>training_power_share</t>
        </is>
      </c>
      <c r="E1814" s="3" t="n">
        <v>0.23</v>
      </c>
      <c r="F1814" s="3" t="inlineStr">
        <is>
          <t>share of AI IT load</t>
        </is>
      </c>
      <c r="G1814" s="3" t="inlineStr">
        <is>
          <t>Derived allocation</t>
        </is>
      </c>
      <c r="H1814" s="3" t="inlineStr">
        <is>
          <t>1 - inference_power_share</t>
        </is>
      </c>
      <c r="I1814" s="3" t="inlineStr">
        <is>
          <t>Training receives the complementary modeled AI IT allocation; it is not a disclosed company workload split.</t>
        </is>
      </c>
      <c r="J1814" s="3" t="inlineStr">
        <is>
          <t>SRC_DEEPSEEK_V3; SRC_DEEPSEEK_R1; SRC_DEEPSEEK_H800_INFERENCE; SRC_EPOCH_AI_DATA_CENTERS; ASSUMP_INFERENCE_SHARE_NOT_FACT_60</t>
        </is>
      </c>
      <c r="K1814" s="3" t="inlineStr">
        <is>
          <t>ASSUMP_MOE_EFFICIENCY; ASSUMP_CN_CAPACITY_TRANSPARENCY; ASSUMP_NUMERIC_ACCELERATOR_MIX; ASSUMP_INFERENCE_SHARE_NOT_FACT_60; ASSUMP_WORKLOAD_CLASS_MIX; ASSUMP_AGENTIC_CONTEXT_PENALTY</t>
        </is>
      </c>
      <c r="L1814" s="3" t="inlineStr">
        <is>
          <t>Provider-specific inference/training workload power telemetry.</t>
        </is>
      </c>
    </row>
    <row r="1815">
      <c r="A1815" s="3" t="inlineStr">
        <is>
          <t>DeepSeek</t>
        </is>
      </c>
      <c r="B1815" s="3" t="n">
        <v>2029</v>
      </c>
      <c r="C1815" s="3" t="inlineStr">
        <is>
          <t>Base</t>
        </is>
      </c>
      <c r="D1815" s="3" t="inlineStr">
        <is>
          <t>training_gw</t>
        </is>
      </c>
      <c r="E1815" s="3" t="n">
        <v>0.143</v>
      </c>
      <c r="F1815" s="3" t="inlineStr">
        <is>
          <t>GW</t>
        </is>
      </c>
      <c r="G1815" s="3" t="inlineStr">
        <is>
          <t>Derived formula</t>
        </is>
      </c>
      <c r="H1815" s="3" t="inlineStr">
        <is>
          <t>ai_it_load_gw * training_power_share</t>
        </is>
      </c>
      <c r="I1815" s="3" t="inlineStr">
        <is>
          <t>Training GW is shown separately so commercial inference token capacity is not overstated.</t>
        </is>
      </c>
      <c r="J1815" s="3" t="inlineStr">
        <is>
          <t>SRC_DEEPSEEK_V3; SRC_DEEPSEEK_R1; SRC_DEEPSEEK_H800_INFERENCE; SRC_EPOCH_AI_DATA_CENTERS</t>
        </is>
      </c>
      <c r="K1815" s="3" t="inlineStr">
        <is>
          <t>ASSUMP_MOE_EFFICIENCY; ASSUMP_CN_CAPACITY_TRANSPARENCY; ASSUMP_NUMERIC_ACCELERATOR_MIX; ASSUMP_INFERENCE_SHARE_NOT_FACT_60; ASSUMP_WORKLOAD_CLASS_MIX; ASSUMP_AGENTIC_CONTEXT_PENALTY</t>
        </is>
      </c>
      <c r="L1815" s="3" t="inlineStr">
        <is>
          <t>Recompute after AI allocation or workload-split evidence changes.</t>
        </is>
      </c>
    </row>
    <row r="1816">
      <c r="A1816" s="3" t="inlineStr">
        <is>
          <t>DeepSeek</t>
        </is>
      </c>
      <c r="B1816" s="3" t="n">
        <v>2029</v>
      </c>
      <c r="C1816" s="3" t="inlineStr">
        <is>
          <t>Base</t>
        </is>
      </c>
      <c r="D1816" s="3" t="inlineStr">
        <is>
          <t>tokens_per_second_per_mw</t>
        </is>
      </c>
      <c r="E1816" s="3" t="n">
        <v>147232</v>
      </c>
      <c r="F1816" s="3" t="inlineStr">
        <is>
          <t>generated output tokens/sec/MW</t>
        </is>
      </c>
      <c r="G1816" s="3" t="inlineStr">
        <is>
          <t>Derived estimate + benchmark calibration</t>
        </is>
      </c>
      <c r="H1816" s="3" t="inlineStr">
        <is>
          <t>fleet_reference_tps_per_mw * commercial_workload_fit_factor</t>
        </is>
      </c>
      <c r="I181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16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816" s="3" t="inlineStr">
        <is>
          <t>ASSUMP_MOE_EFFICIENCY; ASSUMP_CN_CAPACITY_TRANSPARENCY; ASSUMP_NUMERIC_ACCELERATOR_MIX; ASSUMP_INFERENCE_SHARE_NOT_FACT_60; ASSUMP_WORKLOAD_CLASS_MIX; ASSUMP_AGENTIC_CONTEXT_PENALTY</t>
        </is>
      </c>
      <c r="L1816" s="3" t="inlineStr">
        <is>
          <t>Comparable production output-token throughput with model, hardware, precision, ISL/OSL and SLO matched.</t>
        </is>
      </c>
    </row>
    <row r="1817">
      <c r="A1817" s="3" t="inlineStr">
        <is>
          <t>DeepSeek</t>
        </is>
      </c>
      <c r="B1817" s="3" t="n">
        <v>2029</v>
      </c>
      <c r="C1817" s="3" t="inlineStr">
        <is>
          <t>Base</t>
        </is>
      </c>
      <c r="D1817" s="3" t="inlineStr">
        <is>
          <t>inference_tokens_per_day</t>
        </is>
      </c>
      <c r="E1817" s="3" t="n">
        <v>6067842969600</v>
      </c>
      <c r="F1817" s="3" t="inlineStr">
        <is>
          <t>generated output tokens/day</t>
        </is>
      </c>
      <c r="G1817" s="3" t="inlineStr">
        <is>
          <t>Derived headline metric</t>
        </is>
      </c>
      <c r="H1817" s="3" t="inlineStr">
        <is>
          <t>inference_gw * 1000 * tokens_per_second_per_mw * 86,400</t>
        </is>
      </c>
      <c r="I1817" s="3" t="inlineStr">
        <is>
          <t>Headline capacity uses no utilization, MoE, architecture or software-growth multiplier; it is not observed commercial output volume.</t>
        </is>
      </c>
      <c r="J1817" s="3" t="inlineStr">
        <is>
          <t>SRC_DEEPSEEK_V3; SRC_DEEPSEEK_R1; SRC_DEEPSEEK_H800_INFERENCE; SRC_EPOCH_AI_DATA_CENTERS; SRC_SEMIANALYSIS_INFERENCEX</t>
        </is>
      </c>
      <c r="K1817" s="3" t="inlineStr">
        <is>
          <t>ASSUMP_MOE_EFFICIENCY; ASSUMP_CN_CAPACITY_TRANSPARENCY; ASSUMP_NUMERIC_ACCELERATOR_MIX; ASSUMP_INFERENCE_SHARE_NOT_FACT_60; ASSUMP_WORKLOAD_CLASS_MIX; ASSUMP_AGENTIC_CONTEXT_PENALTY</t>
        </is>
      </c>
      <c r="L1817" s="3" t="inlineStr">
        <is>
          <t>Provider-disclosed generated output token volume or calibrated capacity telemetry.</t>
        </is>
      </c>
    </row>
    <row r="1818">
      <c r="A1818" s="3" t="inlineStr">
        <is>
          <t>DeepSeek</t>
        </is>
      </c>
      <c r="B1818" s="3" t="n">
        <v>2029</v>
      </c>
      <c r="C1818" s="3" t="inlineStr">
        <is>
          <t>Base</t>
        </is>
      </c>
      <c r="D1818" s="3" t="inlineStr">
        <is>
          <t>inference_tokens_per_year</t>
        </is>
      </c>
      <c r="E1818" s="3" t="n">
        <v>2214762683904000</v>
      </c>
      <c r="F1818" s="3" t="inlineStr">
        <is>
          <t>generated output tokens/year</t>
        </is>
      </c>
      <c r="G1818" s="3" t="inlineStr">
        <is>
          <t>Derived headline metric</t>
        </is>
      </c>
      <c r="H1818" s="3" t="inlineStr">
        <is>
          <t>inference_tokens_per_day * 365</t>
        </is>
      </c>
      <c r="I1818" s="3" t="inlineStr">
        <is>
          <t>Annualized version of generated output token capacity; it is not observed annual demand or billable volume.</t>
        </is>
      </c>
      <c r="J1818" s="3" t="inlineStr">
        <is>
          <t>SRC_DEEPSEEK_V3; SRC_DEEPSEEK_R1; SRC_DEEPSEEK_H800_INFERENCE; SRC_EPOCH_AI_DATA_CENTERS; SRC_SEMIANALYSIS_INFERENCEX</t>
        </is>
      </c>
      <c r="K1818" s="3" t="inlineStr">
        <is>
          <t>ASSUMP_MOE_EFFICIENCY; ASSUMP_CN_CAPACITY_TRANSPARENCY; ASSUMP_NUMERIC_ACCELERATOR_MIX; ASSUMP_INFERENCE_SHARE_NOT_FACT_60; ASSUMP_WORKLOAD_CLASS_MIX; ASSUMP_AGENTIC_CONTEXT_PENALTY</t>
        </is>
      </c>
      <c r="L1818" s="3" t="inlineStr">
        <is>
          <t>Provider-disclosed annual generated-output volume or metered serving telemetry.</t>
        </is>
      </c>
    </row>
    <row r="1819">
      <c r="A1819" s="3" t="inlineStr">
        <is>
          <t>DeepSeek</t>
        </is>
      </c>
      <c r="B1819" s="3" t="n">
        <v>2030</v>
      </c>
      <c r="C1819" s="3" t="inlineStr">
        <is>
          <t>Base</t>
        </is>
      </c>
      <c r="D1819" s="3" t="inlineStr">
        <is>
          <t>contracted_power_gw</t>
        </is>
      </c>
      <c r="E1819" s="3" t="n">
        <v>1.8</v>
      </c>
      <c r="F1819" s="3" t="inlineStr">
        <is>
          <t>GW</t>
        </is>
      </c>
      <c r="G1819" s="3" t="inlineStr">
        <is>
          <t>Scenario capacity envelope</t>
        </is>
      </c>
      <c r="H1819" s="3" t="inlineStr">
        <is>
          <t>linear interpolation between 2026 and 2030 company capacity endpoints</t>
        </is>
      </c>
      <c r="I1819" s="3" t="inlineStr">
        <is>
          <t>Capacity is a low-transparency scenario; official infrastructure evidence supports H800 inference hardware, not company GW.</t>
        </is>
      </c>
      <c r="J1819" s="3" t="inlineStr">
        <is>
          <t>SRC_DEEPSEEK_H800_INFERENCE; ASSUMP_CN_CAPACITY_TRANSPARENCY</t>
        </is>
      </c>
      <c r="K1819" s="3" t="inlineStr">
        <is>
          <t>ASSUMP_MOE_EFFICIENCY; ASSUMP_CN_CAPACITY_TRANSPARENCY; ASSUMP_NUMERIC_ACCELERATOR_MIX; ASSUMP_INFERENCE_SHARE_NOT_FACT_60; ASSUMP_WORKLOAD_CLASS_MIX; ASSUMP_AGENTIC_CONTEXT_PENALTY</t>
        </is>
      </c>
      <c r="L1819" s="3" t="inlineStr">
        <is>
          <t>Company/site-level committed MW/GW, interconnect and contract disclosure.</t>
        </is>
      </c>
    </row>
    <row r="1820">
      <c r="A1820" s="3" t="inlineStr">
        <is>
          <t>DeepSeek</t>
        </is>
      </c>
      <c r="B1820" s="3" t="n">
        <v>2030</v>
      </c>
      <c r="C1820" s="3" t="inlineStr">
        <is>
          <t>Base</t>
        </is>
      </c>
      <c r="D1820" s="3" t="inlineStr">
        <is>
          <t>operational_deployment_share</t>
        </is>
      </c>
      <c r="E1820" s="3" t="n">
        <v>0.66666667</v>
      </c>
      <c r="F1820" s="3" t="inlineStr">
        <is>
          <t>share</t>
        </is>
      </c>
      <c r="G1820" s="3" t="inlineStr">
        <is>
          <t>Scenario conversion</t>
        </is>
      </c>
      <c r="H1820" s="3" t="inlineStr">
        <is>
          <t>active_power_gw / contracted_power_gw</t>
        </is>
      </c>
      <c r="I1820" s="3" t="inlineStr">
        <is>
          <t>This is the single explicit conversion from contracted/attributed capacity to operationally usable capacity.</t>
        </is>
      </c>
      <c r="J1820" s="3" t="inlineStr">
        <is>
          <t>SRC_DEEPSEEK_H800_INFERENCE; ASSUMP_CN_CAPACITY_TRANSPARENCY</t>
        </is>
      </c>
      <c r="K1820" s="3" t="inlineStr">
        <is>
          <t>ASSUMP_MOE_EFFICIENCY; ASSUMP_CN_CAPACITY_TRANSPARENCY; ASSUMP_NUMERIC_ACCELERATOR_MIX; ASSUMP_INFERENCE_SHARE_NOT_FACT_60; ASSUMP_WORKLOAD_CLASS_MIX; ASSUMP_AGENTIC_CONTEXT_PENALTY</t>
        </is>
      </c>
      <c r="L1820" s="3" t="inlineStr">
        <is>
          <t>Energized operational capacity divided by contracted/attributed capacity.</t>
        </is>
      </c>
    </row>
    <row r="1821">
      <c r="A1821" s="3" t="inlineStr">
        <is>
          <t>DeepSeek</t>
        </is>
      </c>
      <c r="B1821" s="3" t="n">
        <v>2030</v>
      </c>
      <c r="C1821" s="3" t="inlineStr">
        <is>
          <t>Base</t>
        </is>
      </c>
      <c r="D1821" s="3" t="inlineStr">
        <is>
          <t>active_power_gw</t>
        </is>
      </c>
      <c r="E1821" s="3" t="n">
        <v>1.2</v>
      </c>
      <c r="F1821" s="3" t="inlineStr">
        <is>
          <t>GW</t>
        </is>
      </c>
      <c r="G1821" s="3" t="inlineStr">
        <is>
          <t>Derived scenario</t>
        </is>
      </c>
      <c r="H1821" s="3" t="inlineStr">
        <is>
          <t>contracted_power_gw * operational_deployment_share</t>
        </is>
      </c>
      <c r="I1821" s="3" t="inlineStr">
        <is>
          <t>Active GW is conservative because operated cluster scale beyond disclosed infrastructure is not public.</t>
        </is>
      </c>
      <c r="J1821" s="3" t="inlineStr">
        <is>
          <t>SRC_DEEPSEEK_H800_INFERENCE; ASSUMP_CN_CAPACITY_TRANSPARENCY</t>
        </is>
      </c>
      <c r="K1821" s="3" t="inlineStr">
        <is>
          <t>ASSUMP_MOE_EFFICIENCY; ASSUMP_CN_CAPACITY_TRANSPARENCY; ASSUMP_NUMERIC_ACCELERATOR_MIX; ASSUMP_INFERENCE_SHARE_NOT_FACT_60; ASSUMP_WORKLOAD_CLASS_MIX; ASSUMP_AGENTIC_CONTEXT_PENALTY</t>
        </is>
      </c>
      <c r="L1821" s="3" t="inlineStr">
        <is>
          <t>Energization dates, accelerator deliveries and operational powered-rack telemetry.</t>
        </is>
      </c>
    </row>
    <row r="1822">
      <c r="A1822" s="3" t="inlineStr">
        <is>
          <t>DeepSeek</t>
        </is>
      </c>
      <c r="B1822" s="3" t="n">
        <v>2030</v>
      </c>
      <c r="C1822" s="3" t="inlineStr">
        <is>
          <t>Base</t>
        </is>
      </c>
      <c r="D1822" s="3" t="inlineStr">
        <is>
          <t>pue</t>
        </is>
      </c>
      <c r="E1822" s="3" t="n">
        <v>1.24</v>
      </c>
      <c r="F1822" s="3" t="inlineStr">
        <is>
          <t>ratio</t>
        </is>
      </c>
      <c r="G1822" s="3" t="inlineStr">
        <is>
          <t>Scenario parameter</t>
        </is>
      </c>
      <c r="H1822" s="3" t="inlineStr">
        <is>
          <t>it_load_gw = active_power_gw / pue</t>
        </is>
      </c>
      <c r="I1822" s="3" t="inlineStr">
        <is>
          <t>No provider-wide site-level PUE is used as a disclosed fact; PUE represents facility-to-IT conversion within the scenario.</t>
        </is>
      </c>
      <c r="J1822" s="3" t="inlineStr">
        <is>
          <t>ASSUMP_POWER_RAMP</t>
        </is>
      </c>
      <c r="K1822" s="3" t="inlineStr">
        <is>
          <t>ASSUMP_MOE_EFFICIENCY; ASSUMP_CN_CAPACITY_TRANSPARENCY; ASSUMP_NUMERIC_ACCELERATOR_MIX; ASSUMP_INFERENCE_SHARE_NOT_FACT_60; ASSUMP_WORKLOAD_CLASS_MIX; ASSUMP_AGENTIC_CONTEXT_PENALTY</t>
        </is>
      </c>
      <c r="L1822" s="3" t="inlineStr">
        <is>
          <t>Site-level measured PUE matched to attributed AI capacity.</t>
        </is>
      </c>
    </row>
    <row r="1823">
      <c r="A1823" s="3" t="inlineStr">
        <is>
          <t>DeepSeek</t>
        </is>
      </c>
      <c r="B1823" s="3" t="n">
        <v>2030</v>
      </c>
      <c r="C1823" s="3" t="inlineStr">
        <is>
          <t>Base</t>
        </is>
      </c>
      <c r="D1823" s="3" t="inlineStr">
        <is>
          <t>it_load_gw</t>
        </is>
      </c>
      <c r="E1823" s="3" t="n">
        <v>0.968</v>
      </c>
      <c r="F1823" s="3" t="inlineStr">
        <is>
          <t>GW</t>
        </is>
      </c>
      <c r="G1823" s="3" t="inlineStr">
        <is>
          <t>Derived formula</t>
        </is>
      </c>
      <c r="H1823" s="3" t="inlineStr">
        <is>
          <t>active_power_gw / pue</t>
        </is>
      </c>
      <c r="I1823" s="3" t="inlineStr">
        <is>
          <t>Facility power is converted to IT-deliverable power before attributing AI workloads.</t>
        </is>
      </c>
      <c r="J1823" s="3" t="inlineStr">
        <is>
          <t>SRC_DEEPSEEK_H800_INFERENCE; ASSUMP_CN_CAPACITY_TRANSPARENCY</t>
        </is>
      </c>
      <c r="K1823" s="3" t="inlineStr">
        <is>
          <t>ASSUMP_MOE_EFFICIENCY; ASSUMP_CN_CAPACITY_TRANSPARENCY; ASSUMP_NUMERIC_ACCELERATOR_MIX; ASSUMP_INFERENCE_SHARE_NOT_FACT_60; ASSUMP_WORKLOAD_CLASS_MIX; ASSUMP_AGENTIC_CONTEXT_PENALTY</t>
        </is>
      </c>
      <c r="L1823" s="3" t="inlineStr">
        <is>
          <t>Recompute once active power and PUE become site-observable.</t>
        </is>
      </c>
    </row>
    <row r="1824">
      <c r="A1824" s="3" t="inlineStr">
        <is>
          <t>DeepSeek</t>
        </is>
      </c>
      <c r="B1824" s="3" t="n">
        <v>2030</v>
      </c>
      <c r="C1824" s="3" t="inlineStr">
        <is>
          <t>Base</t>
        </is>
      </c>
      <c r="D1824" s="3" t="inlineStr">
        <is>
          <t>ai_workload_share</t>
        </is>
      </c>
      <c r="E1824" s="3" t="n">
        <v>0.82</v>
      </c>
      <c r="F1824" s="3" t="inlineStr">
        <is>
          <t>share</t>
        </is>
      </c>
      <c r="G1824" s="3" t="inlineStr">
        <is>
          <t>Scenario allocation</t>
        </is>
      </c>
      <c r="H1824" s="3" t="inlineStr">
        <is>
          <t>ai_it_load_gw = it_load_gw * ai_workload_share</t>
        </is>
      </c>
      <c r="I1824" s="3" t="inlineStr">
        <is>
          <t>DeepSeek-operated service capacity is modeled as AI-focused, reduced for reserve and ancillary processing.</t>
        </is>
      </c>
      <c r="J1824" s="3" t="inlineStr">
        <is>
          <t>SRC_DEEPSEEK_V3; SRC_DEEPSEEK_R1; SRC_DEEPSEEK_H800_INFERENCE; SRC_EPOCH_AI_DATA_CENTERS</t>
        </is>
      </c>
      <c r="K1824" s="3" t="inlineStr">
        <is>
          <t>ASSUMP_MOE_EFFICIENCY; ASSUMP_CN_CAPACITY_TRANSPARENCY; ASSUMP_NUMERIC_ACCELERATOR_MIX; ASSUMP_INFERENCE_SHARE_NOT_FACT_60; ASSUMP_WORKLOAD_CLASS_MIX; ASSUMP_AGENTIC_CONTEXT_PENALTY</t>
        </is>
      </c>
      <c r="L1824" s="3" t="inlineStr">
        <is>
          <t>Model-owner AI workload allocation or cluster scheduling telemetry.</t>
        </is>
      </c>
    </row>
    <row r="1825">
      <c r="A1825" s="3" t="inlineStr">
        <is>
          <t>DeepSeek</t>
        </is>
      </c>
      <c r="B1825" s="3" t="n">
        <v>2030</v>
      </c>
      <c r="C1825" s="3" t="inlineStr">
        <is>
          <t>Base</t>
        </is>
      </c>
      <c r="D1825" s="3" t="inlineStr">
        <is>
          <t>ai_it_load_gw</t>
        </is>
      </c>
      <c r="E1825" s="3" t="n">
        <v>0.794</v>
      </c>
      <c r="F1825" s="3" t="inlineStr">
        <is>
          <t>GW</t>
        </is>
      </c>
      <c r="G1825" s="3" t="inlineStr">
        <is>
          <t>Derived formula</t>
        </is>
      </c>
      <c r="H1825" s="3" t="inlineStr">
        <is>
          <t>it_load_gw * ai_workload_share</t>
        </is>
      </c>
      <c r="I1825" s="3" t="inlineStr">
        <is>
          <t>Only the AI-attributed portion of IT load enters training/inference allocation.</t>
        </is>
      </c>
      <c r="J1825" s="3" t="inlineStr">
        <is>
          <t>SRC_DEEPSEEK_V3; SRC_DEEPSEEK_R1; SRC_DEEPSEEK_H800_INFERENCE; SRC_EPOCH_AI_DATA_CENTERS</t>
        </is>
      </c>
      <c r="K1825" s="3" t="inlineStr">
        <is>
          <t>ASSUMP_MOE_EFFICIENCY; ASSUMP_CN_CAPACITY_TRANSPARENCY; ASSUMP_NUMERIC_ACCELERATOR_MIX; ASSUMP_INFERENCE_SHARE_NOT_FACT_60; ASSUMP_WORKLOAD_CLASS_MIX; ASSUMP_AGENTIC_CONTEXT_PENALTY</t>
        </is>
      </c>
      <c r="L1825" s="3" t="inlineStr">
        <is>
          <t>Recompute after ai_workload_share is replaced by telemetry.</t>
        </is>
      </c>
    </row>
    <row r="1826">
      <c r="A1826" s="3" t="inlineStr">
        <is>
          <t>DeepSeek</t>
        </is>
      </c>
      <c r="B1826" s="3" t="n">
        <v>2030</v>
      </c>
      <c r="C1826" s="3" t="inlineStr">
        <is>
          <t>Base</t>
        </is>
      </c>
      <c r="D1826" s="3" t="inlineStr">
        <is>
          <t>gpu_share</t>
        </is>
      </c>
      <c r="E1826" s="3" t="n">
        <v>1</v>
      </c>
      <c r="F1826" s="3" t="inlineStr">
        <is>
          <t>share of inference-serving accelerator load</t>
        </is>
      </c>
      <c r="G1826" s="3" t="inlineStr">
        <is>
          <t>Numeric scenario</t>
        </is>
      </c>
      <c r="H1826" s="3" t="inlineStr">
        <is>
          <t>gpu_share interpolated from company 2026/2030 accelerator-mix endpoints</t>
        </is>
      </c>
      <c r="I1826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826" s="3" t="inlineStr">
        <is>
          <t>SRC_DEEPSEEK_V3; SRC_DEEPSEEK_R1; SRC_DEEPSEEK_H800_INFERENCE; SRC_EPOCH_AI_DATA_CENTERS; ASSUMP_NUMERIC_ACCELERATOR_MIX</t>
        </is>
      </c>
      <c r="K1826" s="3" t="inlineStr">
        <is>
          <t>ASSUMP_MOE_EFFICIENCY; ASSUMP_CN_CAPACITY_TRANSPARENCY; ASSUMP_NUMERIC_ACCELERATOR_MIX; ASSUMP_INFERENCE_SHARE_NOT_FACT_60; ASSUMP_WORKLOAD_CLASS_MIX; ASSUMP_AGENTIC_CONTEXT_PENALTY</t>
        </is>
      </c>
      <c r="L1826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827">
      <c r="A1827" s="3" t="inlineStr">
        <is>
          <t>DeepSeek</t>
        </is>
      </c>
      <c r="B1827" s="3" t="n">
        <v>2030</v>
      </c>
      <c r="C1827" s="3" t="inlineStr">
        <is>
          <t>Base</t>
        </is>
      </c>
      <c r="D1827" s="3" t="inlineStr">
        <is>
          <t>h200_share</t>
        </is>
      </c>
      <c r="E1827" s="3" t="n">
        <v>0.1</v>
      </c>
      <c r="F1827" s="3" t="inlineStr">
        <is>
          <t>share of inference-serving accelerator load</t>
        </is>
      </c>
      <c r="G1827" s="3" t="inlineStr">
        <is>
          <t>Editable numeric scenario</t>
        </is>
      </c>
      <c r="H1827" s="3" t="inlineStr">
        <is>
          <t>h200_share = gpu_share * default_gpu_generation_mix_h200</t>
        </is>
      </c>
      <c r="I1827" s="3" t="inlineStr">
        <is>
          <t>Default GPU-generation migration assumption; executive workbook allows later manual replacement by company/year/scenario.</t>
        </is>
      </c>
      <c r="J1827" s="3" t="inlineStr">
        <is>
          <t>SRC_SEMIANALYSIS_INFERENCEX; ASSUMP_NUMERIC_ACCELERATOR_MIX</t>
        </is>
      </c>
      <c r="K1827" s="3" t="inlineStr">
        <is>
          <t>ASSUMP_MOE_EFFICIENCY; ASSUMP_CN_CAPACITY_TRANSPARENCY; ASSUMP_NUMERIC_ACCELERATOR_MIX; ASSUMP_INFERENCE_SHARE_NOT_FACT_60; ASSUMP_WORKLOAD_CLASS_MIX; ASSUMP_AGENTIC_CONTEXT_PENALTY</t>
        </is>
      </c>
      <c r="L1827" s="3" t="inlineStr">
        <is>
          <t>Company fleet inventory, accelerator-hours or procurement/deployment records by GPU generation.</t>
        </is>
      </c>
    </row>
    <row r="1828">
      <c r="A1828" s="3" t="inlineStr">
        <is>
          <t>DeepSeek</t>
        </is>
      </c>
      <c r="B1828" s="3" t="n">
        <v>2030</v>
      </c>
      <c r="C1828" s="3" t="inlineStr">
        <is>
          <t>Base</t>
        </is>
      </c>
      <c r="D1828" s="3" t="inlineStr">
        <is>
          <t>b200_share</t>
        </is>
      </c>
      <c r="E1828" s="3" t="n">
        <v>0.35</v>
      </c>
      <c r="F1828" s="3" t="inlineStr">
        <is>
          <t>share of inference-serving accelerator load</t>
        </is>
      </c>
      <c r="G1828" s="3" t="inlineStr">
        <is>
          <t>Editable numeric scenario</t>
        </is>
      </c>
      <c r="H1828" s="3" t="inlineStr">
        <is>
          <t>b200_share = gpu_share * default_gpu_generation_mix_b200</t>
        </is>
      </c>
      <c r="I1828" s="3" t="inlineStr">
        <is>
          <t>Default GPU-generation migration assumption; executive workbook allows later manual replacement by company/year/scenario.</t>
        </is>
      </c>
      <c r="J1828" s="3" t="inlineStr">
        <is>
          <t>SRC_SEMIANALYSIS_INFERENCEX; ASSUMP_NUMERIC_ACCELERATOR_MIX</t>
        </is>
      </c>
      <c r="K1828" s="3" t="inlineStr">
        <is>
          <t>ASSUMP_MOE_EFFICIENCY; ASSUMP_CN_CAPACITY_TRANSPARENCY; ASSUMP_NUMERIC_ACCELERATOR_MIX; ASSUMP_INFERENCE_SHARE_NOT_FACT_60; ASSUMP_WORKLOAD_CLASS_MIX; ASSUMP_AGENTIC_CONTEXT_PENALTY</t>
        </is>
      </c>
      <c r="L1828" s="3" t="inlineStr">
        <is>
          <t>Company fleet inventory, accelerator-hours or procurement/deployment records by GPU generation.</t>
        </is>
      </c>
    </row>
    <row r="1829">
      <c r="A1829" s="3" t="inlineStr">
        <is>
          <t>DeepSeek</t>
        </is>
      </c>
      <c r="B1829" s="3" t="n">
        <v>2030</v>
      </c>
      <c r="C1829" s="3" t="inlineStr">
        <is>
          <t>Base</t>
        </is>
      </c>
      <c r="D1829" s="3" t="inlineStr">
        <is>
          <t>gb200_share</t>
        </is>
      </c>
      <c r="E1829" s="3" t="n">
        <v>0.55</v>
      </c>
      <c r="F1829" s="3" t="inlineStr">
        <is>
          <t>share of inference-serving accelerator load</t>
        </is>
      </c>
      <c r="G1829" s="3" t="inlineStr">
        <is>
          <t>Editable numeric scenario</t>
        </is>
      </c>
      <c r="H1829" s="3" t="inlineStr">
        <is>
          <t>gb200_share = gpu_share * default_gpu_generation_mix_gb200</t>
        </is>
      </c>
      <c r="I1829" s="3" t="inlineStr">
        <is>
          <t>Default GPU-generation migration assumption; executive workbook allows later manual replacement by company/year/scenario.</t>
        </is>
      </c>
      <c r="J1829" s="3" t="inlineStr">
        <is>
          <t>SRC_SEMIANALYSIS_INFERENCEX; ASSUMP_NUMERIC_ACCELERATOR_MIX</t>
        </is>
      </c>
      <c r="K1829" s="3" t="inlineStr">
        <is>
          <t>ASSUMP_MOE_EFFICIENCY; ASSUMP_CN_CAPACITY_TRANSPARENCY; ASSUMP_NUMERIC_ACCELERATOR_MIX; ASSUMP_INFERENCE_SHARE_NOT_FACT_60; ASSUMP_WORKLOAD_CLASS_MIX; ASSUMP_AGENTIC_CONTEXT_PENALTY</t>
        </is>
      </c>
      <c r="L1829" s="3" t="inlineStr">
        <is>
          <t>Company fleet inventory, accelerator-hours or procurement/deployment records by GPU generation.</t>
        </is>
      </c>
    </row>
    <row r="1830">
      <c r="A1830" s="3" t="inlineStr">
        <is>
          <t>DeepSeek</t>
        </is>
      </c>
      <c r="B1830" s="3" t="n">
        <v>2030</v>
      </c>
      <c r="C1830" s="3" t="inlineStr">
        <is>
          <t>Base</t>
        </is>
      </c>
      <c r="D1830" s="3" t="inlineStr">
        <is>
          <t>purpose_built_accelerator_share</t>
        </is>
      </c>
      <c r="E1830" s="3" t="n">
        <v>0</v>
      </c>
      <c r="F1830" s="3" t="inlineStr">
        <is>
          <t>share of inference-serving accelerator load</t>
        </is>
      </c>
      <c r="G1830" s="3" t="inlineStr">
        <is>
          <t>Numeric scenario</t>
        </is>
      </c>
      <c r="H1830" s="3" t="inlineStr">
        <is>
          <t>1 - gpu_share</t>
        </is>
      </c>
      <c r="I1830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1830" s="3" t="inlineStr">
        <is>
          <t>SRC_DEEPSEEK_V3; SRC_DEEPSEEK_R1; SRC_DEEPSEEK_H800_INFERENCE; SRC_EPOCH_AI_DATA_CENTERS; ASSUMP_NUMERIC_ACCELERATOR_MIX</t>
        </is>
      </c>
      <c r="K1830" s="3" t="inlineStr">
        <is>
          <t>ASSUMP_MOE_EFFICIENCY; ASSUMP_CN_CAPACITY_TRANSPARENCY; ASSUMP_NUMERIC_ACCELERATOR_MIX; ASSUMP_INFERENCE_SHARE_NOT_FACT_60; ASSUMP_WORKLOAD_CLASS_MIX; ASSUMP_AGENTIC_CONTEXT_PENALTY</t>
        </is>
      </c>
      <c r="L1830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1831">
      <c r="A1831" s="3" t="inlineStr">
        <is>
          <t>DeepSeek</t>
        </is>
      </c>
      <c r="B1831" s="3" t="n">
        <v>2030</v>
      </c>
      <c r="C1831" s="3" t="inlineStr">
        <is>
          <t>Base</t>
        </is>
      </c>
      <c r="D1831" s="3" t="inlineStr">
        <is>
          <t>fleet_reference_tps_per_mw</t>
        </is>
      </c>
      <c r="E1831" s="3" t="n">
        <v>184158</v>
      </c>
      <c r="F1831" s="3" t="inlineStr">
        <is>
          <t>generated output tokens/sec/MW</t>
        </is>
      </c>
      <c r="G1831" s="3" t="inlineStr">
        <is>
          <t>Fleet-weighted public benchmark reference</t>
        </is>
      </c>
      <c r="H1831" s="3" t="inlineStr">
        <is>
          <t>h200_share*h200_workload_avg + b200_share*b200_workload_avg + gb200_share*gb200_workload_avg + purpose_built_share*purpose_workload_avg</t>
        </is>
      </c>
      <c r="I183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1831" s="3" t="inlineStr">
        <is>
          <t>SRC_SEMIANALYSIS_INFERENCEX; ASSUMP_NUMERIC_ACCELERATOR_MIX; ASSUMP_WORKLOAD_CLASS_MIX; ASSUMP_AGENTIC_CONTEXT_PENALTY</t>
        </is>
      </c>
      <c r="K1831" s="3" t="inlineStr">
        <is>
          <t>ASSUMP_MOE_EFFICIENCY; ASSUMP_CN_CAPACITY_TRANSPARENCY; ASSUMP_NUMERIC_ACCELERATOR_MIX; ASSUMP_INFERENCE_SHARE_NOT_FACT_60; ASSUMP_WORKLOAD_CLASS_MIX; ASSUMP_AGENTIC_CONTEXT_PENALTY</t>
        </is>
      </c>
      <c r="L1831" s="3" t="inlineStr">
        <is>
          <t>Comparable production output-token throughput or a more closely matched benchmark.</t>
        </is>
      </c>
    </row>
    <row r="1832">
      <c r="A1832" s="3" t="inlineStr">
        <is>
          <t>DeepSeek</t>
        </is>
      </c>
      <c r="B1832" s="3" t="n">
        <v>2030</v>
      </c>
      <c r="C1832" s="3" t="inlineStr">
        <is>
          <t>Base</t>
        </is>
      </c>
      <c r="D1832" s="3" t="inlineStr">
        <is>
          <t>commercial_workload_fit_factor</t>
        </is>
      </c>
      <c r="E1832" s="3" t="n">
        <v>0.85</v>
      </c>
      <c r="F1832" s="3" t="inlineStr">
        <is>
          <t>share of public reference throughput</t>
        </is>
      </c>
      <c r="G1832" s="3" t="inlineStr">
        <is>
          <t>Scenario assumption</t>
        </is>
      </c>
      <c r="H1832" s="3" t="inlineStr">
        <is>
          <t>reference_serving_tps_per_mw = fleet_reference_tps_per_mw * commercial_workload_fit_factor</t>
        </is>
      </c>
      <c r="I183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1832" s="3" t="inlineStr">
        <is>
          <t>SRC_SEMIANALYSIS_INFERENCEX; ASSUMP_NUMERIC_ACCELERATOR_MIX; ASSUMP_WORKLOAD_CLASS_MIX; ASSUMP_AGENTIC_CONTEXT_PENALTY</t>
        </is>
      </c>
      <c r="K1832" s="3" t="inlineStr">
        <is>
          <t>ASSUMP_MOE_EFFICIENCY; ASSUMP_CN_CAPACITY_TRANSPARENCY; ASSUMP_NUMERIC_ACCELERATOR_MIX; ASSUMP_INFERENCE_SHARE_NOT_FACT_60; ASSUMP_WORKLOAD_CLASS_MIX; ASSUMP_AGENTIC_CONTEXT_PENALTY</t>
        </is>
      </c>
      <c r="L1832" s="3" t="inlineStr">
        <is>
          <t>Matched commercial serving benchmark by product surface, context shape and latency SLO.</t>
        </is>
      </c>
    </row>
    <row r="1833">
      <c r="A1833" s="3" t="inlineStr">
        <is>
          <t>DeepSeek</t>
        </is>
      </c>
      <c r="B1833" s="3" t="n">
        <v>2030</v>
      </c>
      <c r="C1833" s="3" t="inlineStr">
        <is>
          <t>Base</t>
        </is>
      </c>
      <c r="D1833" s="3" t="inlineStr">
        <is>
          <t>reference_serving_tps_per_mw</t>
        </is>
      </c>
      <c r="E1833" s="3" t="n">
        <v>156534</v>
      </c>
      <c r="F1833" s="3" t="inlineStr">
        <is>
          <t>generated output tokens/sec/MW</t>
        </is>
      </c>
      <c r="G1833" s="3" t="inlineStr">
        <is>
          <t>Workload-adjusted benchmark proxy</t>
        </is>
      </c>
      <c r="H1833" s="3" t="inlineStr">
        <is>
          <t>fleet_reference_tps_per_mw * commercial_workload_fit_factor</t>
        </is>
      </c>
      <c r="I1833" s="3" t="inlineStr">
        <is>
          <t>This is the coefficient used for headline token generation; each GPU's short chat, long chat and agentic TPS/MW are weighted before fleet mix and commercial fit are applied.</t>
        </is>
      </c>
      <c r="J1833" s="3" t="inlineStr">
        <is>
          <t>SRC_SEMIANALYSIS_INFERENCEX; ASSUMP_NUMERIC_ACCELERATOR_MIX; ASSUMP_WORKLOAD_CLASS_MIX; ASSUMP_AGENTIC_CONTEXT_PENALTY</t>
        </is>
      </c>
      <c r="K1833" s="3" t="inlineStr">
        <is>
          <t>ASSUMP_MOE_EFFICIENCY; ASSUMP_CN_CAPACITY_TRANSPARENCY; ASSUMP_NUMERIC_ACCELERATOR_MIX; ASSUMP_INFERENCE_SHARE_NOT_FACT_60; ASSUMP_WORKLOAD_CLASS_MIX; ASSUMP_AGENTIC_CONTEXT_PENALTY</t>
        </is>
      </c>
      <c r="L1833" s="3" t="inlineStr">
        <is>
          <t>Provider production output-token throughput with comparable workload/SLO.</t>
        </is>
      </c>
    </row>
    <row r="1834">
      <c r="A1834" s="3" t="inlineStr">
        <is>
          <t>DeepSeek</t>
        </is>
      </c>
      <c r="B1834" s="3" t="n">
        <v>2030</v>
      </c>
      <c r="C1834" s="3" t="inlineStr">
        <is>
          <t>Base</t>
        </is>
      </c>
      <c r="D1834" s="3" t="inlineStr">
        <is>
          <t>purpose_built_tps_per_mw</t>
        </is>
      </c>
      <c r="E1834" s="3" t="n">
        <v>334536</v>
      </c>
      <c r="F1834" s="3" t="inlineStr">
        <is>
          <t>generated output tokens/sec/MW</t>
        </is>
      </c>
      <c r="G1834" s="3" t="inlineStr">
        <is>
          <t>Conservative no-uplift proxy</t>
        </is>
      </c>
      <c r="H1834" s="3" t="inlineStr">
        <is>
          <t>purpose_built_tps_per_mw = purpose_built_reference_tps_per_mw * commercial_workload_fit_factor until comparable output-token benchmark is adopted</t>
        </is>
      </c>
      <c r="I1834" s="3" t="inlineStr">
        <is>
          <t>No comparable public output-token/MW row adopted; B200 public reference placeholder is used and remains editable.</t>
        </is>
      </c>
      <c r="J1834" s="3" t="inlineStr">
        <is>
          <t>SRC_DEEPSEEK_V3; SRC_DEEPSEEK_R1; SRC_DEEPSEEK_H800_INFERENCE; SRC_EPOCH_AI_DATA_CENTERS; ASSUMP_NUMERIC_ACCELERATOR_MIX</t>
        </is>
      </c>
      <c r="K1834" s="3" t="inlineStr">
        <is>
          <t>ASSUMP_MOE_EFFICIENCY; ASSUMP_CN_CAPACITY_TRANSPARENCY; ASSUMP_NUMERIC_ACCELERATOR_MIX; ASSUMP_INFERENCE_SHARE_NOT_FACT_60; ASSUMP_WORKLOAD_CLASS_MIX; ASSUMP_AGENTIC_CONTEXT_PENALTY</t>
        </is>
      </c>
      <c r="L1834" s="3" t="inlineStr">
        <is>
          <t>Matched-workload generated-output benchmark for the provider purpose-built accelerator.</t>
        </is>
      </c>
    </row>
    <row r="1835">
      <c r="A1835" s="3" t="inlineStr">
        <is>
          <t>DeepSeek</t>
        </is>
      </c>
      <c r="B1835" s="3" t="n">
        <v>2030</v>
      </c>
      <c r="C1835" s="3" t="inlineStr">
        <is>
          <t>Base</t>
        </is>
      </c>
      <c r="D1835" s="3" t="inlineStr">
        <is>
          <t>inference_power_share</t>
        </is>
      </c>
      <c r="E1835" s="3" t="n">
        <v>0.82</v>
      </c>
      <c r="F1835" s="3" t="inlineStr">
        <is>
          <t>share of AI IT load</t>
        </is>
      </c>
      <c r="G1835" s="3" t="inlineStr">
        <is>
          <t>Scenario allocation</t>
        </is>
      </c>
      <c r="H1835" s="3" t="inlineStr">
        <is>
          <t>inference_gw = ai_it_load_gw * inference_power_share</t>
        </is>
      </c>
      <c r="I1835" s="3" t="inlineStr">
        <is>
          <t>API/app availability and inference-system disclosure support higher inference share; the value remains scenario.</t>
        </is>
      </c>
      <c r="J1835" s="3" t="inlineStr">
        <is>
          <t>SRC_DEEPSEEK_V3; SRC_DEEPSEEK_R1; SRC_DEEPSEEK_H800_INFERENCE; SRC_EPOCH_AI_DATA_CENTERS; ASSUMP_INFERENCE_SHARE_NOT_FACT_60</t>
        </is>
      </c>
      <c r="K1835" s="3" t="inlineStr">
        <is>
          <t>ASSUMP_MOE_EFFICIENCY; ASSUMP_CN_CAPACITY_TRANSPARENCY; ASSUMP_NUMERIC_ACCELERATOR_MIX; ASSUMP_INFERENCE_SHARE_NOT_FACT_60; ASSUMP_WORKLOAD_CLASS_MIX; ASSUMP_AGENTIC_CONTEXT_PENALTY</t>
        </is>
      </c>
      <c r="L1835" s="3" t="inlineStr">
        <is>
          <t>Provider-specific inference/training workload power telemetry.</t>
        </is>
      </c>
    </row>
    <row r="1836">
      <c r="A1836" s="3" t="inlineStr">
        <is>
          <t>DeepSeek</t>
        </is>
      </c>
      <c r="B1836" s="3" t="n">
        <v>2030</v>
      </c>
      <c r="C1836" s="3" t="inlineStr">
        <is>
          <t>Base</t>
        </is>
      </c>
      <c r="D1836" s="3" t="inlineStr">
        <is>
          <t>inference_gw</t>
        </is>
      </c>
      <c r="E1836" s="3" t="n">
        <v>0.651</v>
      </c>
      <c r="F1836" s="3" t="inlineStr">
        <is>
          <t>GW</t>
        </is>
      </c>
      <c r="G1836" s="3" t="inlineStr">
        <is>
          <t>Derived formula</t>
        </is>
      </c>
      <c r="H1836" s="3" t="inlineStr">
        <is>
          <t>ai_it_load_gw * inference_power_share</t>
        </is>
      </c>
      <c r="I1836" s="3" t="inlineStr">
        <is>
          <t>This is the operational power eligible to become commercial generated output tokens through the selected TPS/MW proxy.</t>
        </is>
      </c>
      <c r="J1836" s="3" t="inlineStr">
        <is>
          <t>SRC_DEEPSEEK_V3; SRC_DEEPSEEK_R1; SRC_DEEPSEEK_H800_INFERENCE; SRC_EPOCH_AI_DATA_CENTERS</t>
        </is>
      </c>
      <c r="K1836" s="3" t="inlineStr">
        <is>
          <t>ASSUMP_MOE_EFFICIENCY; ASSUMP_CN_CAPACITY_TRANSPARENCY; ASSUMP_NUMERIC_ACCELERATOR_MIX; ASSUMP_INFERENCE_SHARE_NOT_FACT_60; ASSUMP_WORKLOAD_CLASS_MIX; ASSUMP_AGENTIC_CONTEXT_PENALTY</t>
        </is>
      </c>
      <c r="L1836" s="3" t="inlineStr">
        <is>
          <t>Recompute after AI allocation or inference-share evidence changes.</t>
        </is>
      </c>
    </row>
    <row r="1837">
      <c r="A1837" s="3" t="inlineStr">
        <is>
          <t>DeepSeek</t>
        </is>
      </c>
      <c r="B1837" s="3" t="n">
        <v>2030</v>
      </c>
      <c r="C1837" s="3" t="inlineStr">
        <is>
          <t>Base</t>
        </is>
      </c>
      <c r="D1837" s="3" t="inlineStr">
        <is>
          <t>training_power_share</t>
        </is>
      </c>
      <c r="E1837" s="3" t="n">
        <v>0.18</v>
      </c>
      <c r="F1837" s="3" t="inlineStr">
        <is>
          <t>share of AI IT load</t>
        </is>
      </c>
      <c r="G1837" s="3" t="inlineStr">
        <is>
          <t>Derived allocation</t>
        </is>
      </c>
      <c r="H1837" s="3" t="inlineStr">
        <is>
          <t>1 - inference_power_share</t>
        </is>
      </c>
      <c r="I1837" s="3" t="inlineStr">
        <is>
          <t>Training receives the complementary modeled AI IT allocation; it is not a disclosed company workload split.</t>
        </is>
      </c>
      <c r="J1837" s="3" t="inlineStr">
        <is>
          <t>SRC_DEEPSEEK_V3; SRC_DEEPSEEK_R1; SRC_DEEPSEEK_H800_INFERENCE; SRC_EPOCH_AI_DATA_CENTERS; ASSUMP_INFERENCE_SHARE_NOT_FACT_60</t>
        </is>
      </c>
      <c r="K1837" s="3" t="inlineStr">
        <is>
          <t>ASSUMP_MOE_EFFICIENCY; ASSUMP_CN_CAPACITY_TRANSPARENCY; ASSUMP_NUMERIC_ACCELERATOR_MIX; ASSUMP_INFERENCE_SHARE_NOT_FACT_60; ASSUMP_WORKLOAD_CLASS_MIX; ASSUMP_AGENTIC_CONTEXT_PENALTY</t>
        </is>
      </c>
      <c r="L1837" s="3" t="inlineStr">
        <is>
          <t>Provider-specific inference/training workload power telemetry.</t>
        </is>
      </c>
    </row>
    <row r="1838">
      <c r="A1838" s="3" t="inlineStr">
        <is>
          <t>DeepSeek</t>
        </is>
      </c>
      <c r="B1838" s="3" t="n">
        <v>2030</v>
      </c>
      <c r="C1838" s="3" t="inlineStr">
        <is>
          <t>Base</t>
        </is>
      </c>
      <c r="D1838" s="3" t="inlineStr">
        <is>
          <t>training_gw</t>
        </is>
      </c>
      <c r="E1838" s="3" t="n">
        <v>0.143</v>
      </c>
      <c r="F1838" s="3" t="inlineStr">
        <is>
          <t>GW</t>
        </is>
      </c>
      <c r="G1838" s="3" t="inlineStr">
        <is>
          <t>Derived formula</t>
        </is>
      </c>
      <c r="H1838" s="3" t="inlineStr">
        <is>
          <t>ai_it_load_gw * training_power_share</t>
        </is>
      </c>
      <c r="I1838" s="3" t="inlineStr">
        <is>
          <t>Training GW is shown separately so commercial inference token capacity is not overstated.</t>
        </is>
      </c>
      <c r="J1838" s="3" t="inlineStr">
        <is>
          <t>SRC_DEEPSEEK_V3; SRC_DEEPSEEK_R1; SRC_DEEPSEEK_H800_INFERENCE; SRC_EPOCH_AI_DATA_CENTERS</t>
        </is>
      </c>
      <c r="K1838" s="3" t="inlineStr">
        <is>
          <t>ASSUMP_MOE_EFFICIENCY; ASSUMP_CN_CAPACITY_TRANSPARENCY; ASSUMP_NUMERIC_ACCELERATOR_MIX; ASSUMP_INFERENCE_SHARE_NOT_FACT_60; ASSUMP_WORKLOAD_CLASS_MIX; ASSUMP_AGENTIC_CONTEXT_PENALTY</t>
        </is>
      </c>
      <c r="L1838" s="3" t="inlineStr">
        <is>
          <t>Recompute after AI allocation or workload-split evidence changes.</t>
        </is>
      </c>
    </row>
    <row r="1839">
      <c r="A1839" s="3" t="inlineStr">
        <is>
          <t>DeepSeek</t>
        </is>
      </c>
      <c r="B1839" s="3" t="n">
        <v>2030</v>
      </c>
      <c r="C1839" s="3" t="inlineStr">
        <is>
          <t>Base</t>
        </is>
      </c>
      <c r="D1839" s="3" t="inlineStr">
        <is>
          <t>tokens_per_second_per_mw</t>
        </is>
      </c>
      <c r="E1839" s="3" t="n">
        <v>156534</v>
      </c>
      <c r="F1839" s="3" t="inlineStr">
        <is>
          <t>generated output tokens/sec/MW</t>
        </is>
      </c>
      <c r="G1839" s="3" t="inlineStr">
        <is>
          <t>Derived estimate + benchmark calibration</t>
        </is>
      </c>
      <c r="H1839" s="3" t="inlineStr">
        <is>
          <t>fleet_reference_tps_per_mw * commercial_workload_fit_factor</t>
        </is>
      </c>
      <c r="I183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1839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1839" s="3" t="inlineStr">
        <is>
          <t>ASSUMP_MOE_EFFICIENCY; ASSUMP_CN_CAPACITY_TRANSPARENCY; ASSUMP_NUMERIC_ACCELERATOR_MIX; ASSUMP_INFERENCE_SHARE_NOT_FACT_60; ASSUMP_WORKLOAD_CLASS_MIX; ASSUMP_AGENTIC_CONTEXT_PENALTY</t>
        </is>
      </c>
      <c r="L1839" s="3" t="inlineStr">
        <is>
          <t>Comparable production output-token throughput with model, hardware, precision, ISL/OSL and SLO matched.</t>
        </is>
      </c>
    </row>
    <row r="1840">
      <c r="A1840" s="3" t="inlineStr">
        <is>
          <t>DeepSeek</t>
        </is>
      </c>
      <c r="B1840" s="3" t="n">
        <v>2030</v>
      </c>
      <c r="C1840" s="3" t="inlineStr">
        <is>
          <t>Base</t>
        </is>
      </c>
      <c r="D1840" s="3" t="inlineStr">
        <is>
          <t>inference_tokens_per_day</t>
        </is>
      </c>
      <c r="E1840" s="3" t="n">
        <v>8804473977600</v>
      </c>
      <c r="F1840" s="3" t="inlineStr">
        <is>
          <t>generated output tokens/day</t>
        </is>
      </c>
      <c r="G1840" s="3" t="inlineStr">
        <is>
          <t>Derived headline metric</t>
        </is>
      </c>
      <c r="H1840" s="3" t="inlineStr">
        <is>
          <t>inference_gw * 1000 * tokens_per_second_per_mw * 86,400</t>
        </is>
      </c>
      <c r="I1840" s="3" t="inlineStr">
        <is>
          <t>Headline capacity uses no utilization, MoE, architecture or software-growth multiplier; it is not observed commercial output volume.</t>
        </is>
      </c>
      <c r="J1840" s="3" t="inlineStr">
        <is>
          <t>SRC_DEEPSEEK_V3; SRC_DEEPSEEK_R1; SRC_DEEPSEEK_H800_INFERENCE; SRC_EPOCH_AI_DATA_CENTERS; SRC_SEMIANALYSIS_INFERENCEX</t>
        </is>
      </c>
      <c r="K1840" s="3" t="inlineStr">
        <is>
          <t>ASSUMP_MOE_EFFICIENCY; ASSUMP_CN_CAPACITY_TRANSPARENCY; ASSUMP_NUMERIC_ACCELERATOR_MIX; ASSUMP_INFERENCE_SHARE_NOT_FACT_60; ASSUMP_WORKLOAD_CLASS_MIX; ASSUMP_AGENTIC_CONTEXT_PENALTY</t>
        </is>
      </c>
      <c r="L1840" s="3" t="inlineStr">
        <is>
          <t>Provider-disclosed generated output token volume or calibrated capacity telemetry.</t>
        </is>
      </c>
    </row>
    <row r="1841">
      <c r="A1841" s="3" t="inlineStr">
        <is>
          <t>DeepSeek</t>
        </is>
      </c>
      <c r="B1841" s="3" t="n">
        <v>2030</v>
      </c>
      <c r="C1841" s="3" t="inlineStr">
        <is>
          <t>Base</t>
        </is>
      </c>
      <c r="D1841" s="3" t="inlineStr">
        <is>
          <t>inference_tokens_per_year</t>
        </is>
      </c>
      <c r="E1841" s="3" t="n">
        <v>3213633001824000</v>
      </c>
      <c r="F1841" s="3" t="inlineStr">
        <is>
          <t>generated output tokens/year</t>
        </is>
      </c>
      <c r="G1841" s="3" t="inlineStr">
        <is>
          <t>Derived headline metric</t>
        </is>
      </c>
      <c r="H1841" s="3" t="inlineStr">
        <is>
          <t>inference_tokens_per_day * 365</t>
        </is>
      </c>
      <c r="I1841" s="3" t="inlineStr">
        <is>
          <t>Annualized version of generated output token capacity; it is not observed annual demand or billable volume.</t>
        </is>
      </c>
      <c r="J1841" s="3" t="inlineStr">
        <is>
          <t>SRC_DEEPSEEK_V3; SRC_DEEPSEEK_R1; SRC_DEEPSEEK_H800_INFERENCE; SRC_EPOCH_AI_DATA_CENTERS; SRC_SEMIANALYSIS_INFERENCEX</t>
        </is>
      </c>
      <c r="K1841" s="3" t="inlineStr">
        <is>
          <t>ASSUMP_MOE_EFFICIENCY; ASSUMP_CN_CAPACITY_TRANSPARENCY; ASSUMP_NUMERIC_ACCELERATOR_MIX; ASSUMP_INFERENCE_SHARE_NOT_FACT_60; ASSUMP_WORKLOAD_CLASS_MIX; ASSUMP_AGENTIC_CONTEXT_PENALTY</t>
        </is>
      </c>
      <c r="L1841" s="3" t="inlineStr">
        <is>
          <t>Provider-disclosed annual generated-output volume or metered serving telemetry.</t>
        </is>
      </c>
    </row>
    <row r="1842">
      <c r="A1842" s="3" t="inlineStr">
        <is>
          <t>Alibaba</t>
        </is>
      </c>
      <c r="B1842" s="3" t="n">
        <v>2026</v>
      </c>
      <c r="C1842" s="3" t="inlineStr">
        <is>
          <t>Base</t>
        </is>
      </c>
      <c r="D1842" s="3" t="inlineStr">
        <is>
          <t>contracted_power_gw</t>
        </is>
      </c>
      <c r="E1842" s="3" t="n">
        <v>1.8</v>
      </c>
      <c r="F1842" s="3" t="inlineStr">
        <is>
          <t>GW</t>
        </is>
      </c>
      <c r="G1842" s="3" t="inlineStr">
        <is>
          <t>Scenario capacity envelope</t>
        </is>
      </c>
      <c r="H1842" s="3" t="inlineStr">
        <is>
          <t>linear interpolation between 2026 and 2030 company capacity endpoints</t>
        </is>
      </c>
      <c r="I1842" s="3" t="inlineStr">
        <is>
          <t>Alibaba Cloud/Qwen capacity is a scenario envelope; official model and deployment documentation does not state operated GW.</t>
        </is>
      </c>
      <c r="J1842" s="3" t="inlineStr">
        <is>
          <t>SRC_ALIBABA_QWEN_GPU_DEPLOY; ASSUMP_CN_CAPACITY_TRANSPARENCY</t>
        </is>
      </c>
      <c r="K1842" s="3" t="inlineStr">
        <is>
          <t>ASSUMP_MOE_EFFICIENCY; ASSUMP_CN_CAPACITY_TRANSPARENCY; ASSUMP_NUMERIC_ACCELERATOR_MIX; ASSUMP_INFERENCE_SHARE_NOT_FACT_60; ASSUMP_WORKLOAD_CLASS_MIX; ASSUMP_AGENTIC_CONTEXT_PENALTY</t>
        </is>
      </c>
      <c r="L1842" s="3" t="inlineStr">
        <is>
          <t>Company/site-level committed MW/GW, interconnect and contract disclosure.</t>
        </is>
      </c>
    </row>
    <row r="1843">
      <c r="A1843" s="3" t="inlineStr">
        <is>
          <t>Alibaba</t>
        </is>
      </c>
      <c r="B1843" s="3" t="n">
        <v>2026</v>
      </c>
      <c r="C1843" s="3" t="inlineStr">
        <is>
          <t>Base</t>
        </is>
      </c>
      <c r="D1843" s="3" t="inlineStr">
        <is>
          <t>operational_deployment_share</t>
        </is>
      </c>
      <c r="E1843" s="3" t="n">
        <v>0.36111111</v>
      </c>
      <c r="F1843" s="3" t="inlineStr">
        <is>
          <t>share</t>
        </is>
      </c>
      <c r="G1843" s="3" t="inlineStr">
        <is>
          <t>Scenario conversion</t>
        </is>
      </c>
      <c r="H1843" s="3" t="inlineStr">
        <is>
          <t>active_power_gw / contracted_power_gw</t>
        </is>
      </c>
      <c r="I1843" s="3" t="inlineStr">
        <is>
          <t>This is the single explicit conversion from contracted/attributed capacity to operationally usable capacity.</t>
        </is>
      </c>
      <c r="J1843" s="3" t="inlineStr">
        <is>
          <t>SRC_ALIBABA_QWEN_GPU_DEPLOY; ASSUMP_CN_CAPACITY_TRANSPARENCY</t>
        </is>
      </c>
      <c r="K1843" s="3" t="inlineStr">
        <is>
          <t>ASSUMP_MOE_EFFICIENCY; ASSUMP_CN_CAPACITY_TRANSPARENCY; ASSUMP_NUMERIC_ACCELERATOR_MIX; ASSUMP_INFERENCE_SHARE_NOT_FACT_60; ASSUMP_WORKLOAD_CLASS_MIX; ASSUMP_AGENTIC_CONTEXT_PENALTY</t>
        </is>
      </c>
      <c r="L1843" s="3" t="inlineStr">
        <is>
          <t>Energized operational capacity divided by contracted/attributed capacity.</t>
        </is>
      </c>
    </row>
    <row r="1844">
      <c r="A1844" s="3" t="inlineStr">
        <is>
          <t>Alibaba</t>
        </is>
      </c>
      <c r="B1844" s="3" t="n">
        <v>2026</v>
      </c>
      <c r="C1844" s="3" t="inlineStr">
        <is>
          <t>Base</t>
        </is>
      </c>
      <c r="D1844" s="3" t="inlineStr">
        <is>
          <t>active_power_gw</t>
        </is>
      </c>
      <c r="E1844" s="3" t="n">
        <v>0.65</v>
      </c>
      <c r="F1844" s="3" t="inlineStr">
        <is>
          <t>GW</t>
        </is>
      </c>
      <c r="G1844" s="3" t="inlineStr">
        <is>
          <t>Derived scenario</t>
        </is>
      </c>
      <c r="H1844" s="3" t="inlineStr">
        <is>
          <t>contracted_power_gw * operational_deployment_share</t>
        </is>
      </c>
      <c r="I1844" s="3" t="inlineStr">
        <is>
          <t>Active GW is staged below capacity due to undisclosed accelerator allocation and cloud multi-tenant use.</t>
        </is>
      </c>
      <c r="J1844" s="3" t="inlineStr">
        <is>
          <t>SRC_ALIBABA_QWEN_GPU_DEPLOY; ASSUMP_CN_CAPACITY_TRANSPARENCY</t>
        </is>
      </c>
      <c r="K1844" s="3" t="inlineStr">
        <is>
          <t>ASSUMP_MOE_EFFICIENCY; ASSUMP_CN_CAPACITY_TRANSPARENCY; ASSUMP_NUMERIC_ACCELERATOR_MIX; ASSUMP_INFERENCE_SHARE_NOT_FACT_60; ASSUMP_WORKLOAD_CLASS_MIX; ASSUMP_AGENTIC_CONTEXT_PENALTY</t>
        </is>
      </c>
      <c r="L1844" s="3" t="inlineStr">
        <is>
          <t>Energization dates, accelerator deliveries and operational powered-rack telemetry.</t>
        </is>
      </c>
    </row>
    <row r="1845">
      <c r="A1845" s="3" t="inlineStr">
        <is>
          <t>Alibaba</t>
        </is>
      </c>
      <c r="B1845" s="3" t="n">
        <v>2026</v>
      </c>
      <c r="C1845" s="3" t="inlineStr">
        <is>
          <t>Base</t>
        </is>
      </c>
      <c r="D1845" s="3" t="inlineStr">
        <is>
          <t>pue</t>
        </is>
      </c>
      <c r="E1845" s="3" t="n">
        <v>1.23</v>
      </c>
      <c r="F1845" s="3" t="inlineStr">
        <is>
          <t>ratio</t>
        </is>
      </c>
      <c r="G1845" s="3" t="inlineStr">
        <is>
          <t>Scenario parameter</t>
        </is>
      </c>
      <c r="H1845" s="3" t="inlineStr">
        <is>
          <t>it_load_gw = active_power_gw / pue</t>
        </is>
      </c>
      <c r="I1845" s="3" t="inlineStr">
        <is>
          <t>No provider-wide site-level PUE is used as a disclosed fact; PUE represents facility-to-IT conversion within the scenario.</t>
        </is>
      </c>
      <c r="J1845" s="3" t="inlineStr">
        <is>
          <t>ASSUMP_POWER_RAMP</t>
        </is>
      </c>
      <c r="K1845" s="3" t="inlineStr">
        <is>
          <t>ASSUMP_MOE_EFFICIENCY; ASSUMP_CN_CAPACITY_TRANSPARENCY; ASSUMP_NUMERIC_ACCELERATOR_MIX; ASSUMP_INFERENCE_SHARE_NOT_FACT_60; ASSUMP_WORKLOAD_CLASS_MIX; ASSUMP_AGENTIC_CONTEXT_PENALTY</t>
        </is>
      </c>
      <c r="L1845" s="3" t="inlineStr">
        <is>
          <t>Site-level measured PUE matched to attributed AI capacity.</t>
        </is>
      </c>
    </row>
    <row r="1846">
      <c r="A1846" s="3" t="inlineStr">
        <is>
          <t>Alibaba</t>
        </is>
      </c>
      <c r="B1846" s="3" t="n">
        <v>2026</v>
      </c>
      <c r="C1846" s="3" t="inlineStr">
        <is>
          <t>Base</t>
        </is>
      </c>
      <c r="D1846" s="3" t="inlineStr">
        <is>
          <t>it_load_gw</t>
        </is>
      </c>
      <c r="E1846" s="3" t="n">
        <v>0.528</v>
      </c>
      <c r="F1846" s="3" t="inlineStr">
        <is>
          <t>GW</t>
        </is>
      </c>
      <c r="G1846" s="3" t="inlineStr">
        <is>
          <t>Derived formula</t>
        </is>
      </c>
      <c r="H1846" s="3" t="inlineStr">
        <is>
          <t>active_power_gw / pue</t>
        </is>
      </c>
      <c r="I1846" s="3" t="inlineStr">
        <is>
          <t>Facility power is converted to IT-deliverable power before attributing AI workloads.</t>
        </is>
      </c>
      <c r="J1846" s="3" t="inlineStr">
        <is>
          <t>SRC_ALIBABA_QWEN_GPU_DEPLOY; ASSUMP_CN_CAPACITY_TRANSPARENCY</t>
        </is>
      </c>
      <c r="K1846" s="3" t="inlineStr">
        <is>
          <t>ASSUMP_MOE_EFFICIENCY; ASSUMP_CN_CAPACITY_TRANSPARENCY; ASSUMP_NUMERIC_ACCELERATOR_MIX; ASSUMP_INFERENCE_SHARE_NOT_FACT_60; ASSUMP_WORKLOAD_CLASS_MIX; ASSUMP_AGENTIC_CONTEXT_PENALTY</t>
        </is>
      </c>
      <c r="L1846" s="3" t="inlineStr">
        <is>
          <t>Recompute once active power and PUE become site-observable.</t>
        </is>
      </c>
    </row>
    <row r="1847">
      <c r="A1847" s="3" t="inlineStr">
        <is>
          <t>Alibaba</t>
        </is>
      </c>
      <c r="B1847" s="3" t="n">
        <v>2026</v>
      </c>
      <c r="C1847" s="3" t="inlineStr">
        <is>
          <t>Base</t>
        </is>
      </c>
      <c r="D1847" s="3" t="inlineStr">
        <is>
          <t>ai_workload_share</t>
        </is>
      </c>
      <c r="E1847" s="3" t="n">
        <v>0.84</v>
      </c>
      <c r="F1847" s="3" t="inlineStr">
        <is>
          <t>share</t>
        </is>
      </c>
      <c r="G1847" s="3" t="inlineStr">
        <is>
          <t>Scenario allocation</t>
        </is>
      </c>
      <c r="H1847" s="3" t="inlineStr">
        <is>
          <t>ai_it_load_gw = it_load_gw * ai_workload_share</t>
        </is>
      </c>
      <c r="I1847" s="3" t="inlineStr">
        <is>
          <t>Model Studio/Qwen-serving envelope is AI-focused, while cloud platform/reserve allocation is excluded through 84%.</t>
        </is>
      </c>
      <c r="J1847" s="3" t="inlineStr">
        <is>
          <t>SRC_QWEN3_GITHUB; SRC_ALIBABA_QWEN_GPU_DEPLOY; SRC_EPOCH_AI_DATA_CENTERS</t>
        </is>
      </c>
      <c r="K1847" s="3" t="inlineStr">
        <is>
          <t>ASSUMP_MOE_EFFICIENCY; ASSUMP_CN_CAPACITY_TRANSPARENCY; ASSUMP_NUMERIC_ACCELERATOR_MIX; ASSUMP_INFERENCE_SHARE_NOT_FACT_60; ASSUMP_WORKLOAD_CLASS_MIX; ASSUMP_AGENTIC_CONTEXT_PENALTY</t>
        </is>
      </c>
      <c r="L1847" s="3" t="inlineStr">
        <is>
          <t>Model-owner AI workload allocation or cluster scheduling telemetry.</t>
        </is>
      </c>
    </row>
    <row r="1848">
      <c r="A1848" s="3" t="inlineStr">
        <is>
          <t>Alibaba</t>
        </is>
      </c>
      <c r="B1848" s="3" t="n">
        <v>2026</v>
      </c>
      <c r="C1848" s="3" t="inlineStr">
        <is>
          <t>Base</t>
        </is>
      </c>
      <c r="D1848" s="3" t="inlineStr">
        <is>
          <t>ai_it_load_gw</t>
        </is>
      </c>
      <c r="E1848" s="3" t="n">
        <v>0.444</v>
      </c>
      <c r="F1848" s="3" t="inlineStr">
        <is>
          <t>GW</t>
        </is>
      </c>
      <c r="G1848" s="3" t="inlineStr">
        <is>
          <t>Derived formula</t>
        </is>
      </c>
      <c r="H1848" s="3" t="inlineStr">
        <is>
          <t>it_load_gw * ai_workload_share</t>
        </is>
      </c>
      <c r="I1848" s="3" t="inlineStr">
        <is>
          <t>Only the AI-attributed portion of IT load enters training/inference allocation.</t>
        </is>
      </c>
      <c r="J1848" s="3" t="inlineStr">
        <is>
          <t>SRC_QWEN3_GITHUB; SRC_ALIBABA_QWEN_GPU_DEPLOY; SRC_EPOCH_AI_DATA_CENTERS</t>
        </is>
      </c>
      <c r="K1848" s="3" t="inlineStr">
        <is>
          <t>ASSUMP_MOE_EFFICIENCY; ASSUMP_CN_CAPACITY_TRANSPARENCY; ASSUMP_NUMERIC_ACCELERATOR_MIX; ASSUMP_INFERENCE_SHARE_NOT_FACT_60; ASSUMP_WORKLOAD_CLASS_MIX; ASSUMP_AGENTIC_CONTEXT_PENALTY</t>
        </is>
      </c>
      <c r="L1848" s="3" t="inlineStr">
        <is>
          <t>Recompute after ai_workload_share is replaced by telemetry.</t>
        </is>
      </c>
    </row>
    <row r="1849">
      <c r="A1849" s="3" t="inlineStr">
        <is>
          <t>Alibaba</t>
        </is>
      </c>
      <c r="B1849" s="3" t="n">
        <v>2026</v>
      </c>
      <c r="C1849" s="3" t="inlineStr">
        <is>
          <t>Base</t>
        </is>
      </c>
      <c r="D1849" s="3" t="inlineStr">
        <is>
          <t>gpu_share</t>
        </is>
      </c>
      <c r="E1849" s="3" t="n">
        <v>1</v>
      </c>
      <c r="F1849" s="3" t="inlineStr">
        <is>
          <t>share of inference-serving accelerator load</t>
        </is>
      </c>
      <c r="G1849" s="3" t="inlineStr">
        <is>
          <t>Numeric scenario</t>
        </is>
      </c>
      <c r="H1849" s="3" t="inlineStr">
        <is>
          <t>gpu_share interpolated from company 2026/2030 accelerator-mix endpoints</t>
        </is>
      </c>
      <c r="I1849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849" s="3" t="inlineStr">
        <is>
          <t>SRC_QWEN3_GITHUB; SRC_ALIBABA_QWEN_GPU_DEPLOY; SRC_EPOCH_AI_DATA_CENTERS; ASSUMP_NUMERIC_ACCELERATOR_MIX</t>
        </is>
      </c>
      <c r="K1849" s="3" t="inlineStr">
        <is>
          <t>ASSUMP_MOE_EFFICIENCY; ASSUMP_CN_CAPACITY_TRANSPARENCY; ASSUMP_NUMERIC_ACCELERATOR_MIX; ASSUMP_INFERENCE_SHARE_NOT_FACT_60; ASSUMP_WORKLOAD_CLASS_MIX; ASSUMP_AGENTIC_CONTEXT_PENALTY</t>
        </is>
      </c>
      <c r="L1849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850">
      <c r="A1850" s="3" t="inlineStr">
        <is>
          <t>Alibaba</t>
        </is>
      </c>
      <c r="B1850" s="3" t="n">
        <v>2026</v>
      </c>
      <c r="C1850" s="3" t="inlineStr">
        <is>
          <t>Base</t>
        </is>
      </c>
      <c r="D1850" s="3" t="inlineStr">
        <is>
          <t>h200_share</t>
        </is>
      </c>
      <c r="E1850" s="3" t="n">
        <v>1</v>
      </c>
      <c r="F1850" s="3" t="inlineStr">
        <is>
          <t>share of inference-serving accelerator load</t>
        </is>
      </c>
      <c r="G1850" s="3" t="inlineStr">
        <is>
          <t>Editable numeric scenario</t>
        </is>
      </c>
      <c r="H1850" s="3" t="inlineStr">
        <is>
          <t>h200_share = gpu_share * default_gpu_generation_mix_h200</t>
        </is>
      </c>
      <c r="I1850" s="3" t="inlineStr">
        <is>
          <t>Default GPU-generation migration assumption; executive workbook allows later manual replacement by company/year/scenario.</t>
        </is>
      </c>
      <c r="J1850" s="3" t="inlineStr">
        <is>
          <t>SRC_SEMIANALYSIS_INFERENCEX; ASSUMP_NUMERIC_ACCELERATOR_MIX</t>
        </is>
      </c>
      <c r="K1850" s="3" t="inlineStr">
        <is>
          <t>ASSUMP_MOE_EFFICIENCY; ASSUMP_CN_CAPACITY_TRANSPARENCY; ASSUMP_NUMERIC_ACCELERATOR_MIX; ASSUMP_INFERENCE_SHARE_NOT_FACT_60; ASSUMP_WORKLOAD_CLASS_MIX; ASSUMP_AGENTIC_CONTEXT_PENALTY</t>
        </is>
      </c>
      <c r="L1850" s="3" t="inlineStr">
        <is>
          <t>Company fleet inventory, accelerator-hours or procurement/deployment records by GPU generation.</t>
        </is>
      </c>
    </row>
    <row r="1851">
      <c r="A1851" s="3" t="inlineStr">
        <is>
          <t>Alibaba</t>
        </is>
      </c>
      <c r="B1851" s="3" t="n">
        <v>2026</v>
      </c>
      <c r="C1851" s="3" t="inlineStr">
        <is>
          <t>Base</t>
        </is>
      </c>
      <c r="D1851" s="3" t="inlineStr">
        <is>
          <t>b200_share</t>
        </is>
      </c>
      <c r="E1851" s="3" t="n">
        <v>0</v>
      </c>
      <c r="F1851" s="3" t="inlineStr">
        <is>
          <t>share of inference-serving accelerator load</t>
        </is>
      </c>
      <c r="G1851" s="3" t="inlineStr">
        <is>
          <t>Editable numeric scenario</t>
        </is>
      </c>
      <c r="H1851" s="3" t="inlineStr">
        <is>
          <t>b200_share = gpu_share * default_gpu_generation_mix_b200</t>
        </is>
      </c>
      <c r="I1851" s="3" t="inlineStr">
        <is>
          <t>Default GPU-generation migration assumption; executive workbook allows later manual replacement by company/year/scenario.</t>
        </is>
      </c>
      <c r="J1851" s="3" t="inlineStr">
        <is>
          <t>SRC_SEMIANALYSIS_INFERENCEX; ASSUMP_NUMERIC_ACCELERATOR_MIX</t>
        </is>
      </c>
      <c r="K1851" s="3" t="inlineStr">
        <is>
          <t>ASSUMP_MOE_EFFICIENCY; ASSUMP_CN_CAPACITY_TRANSPARENCY; ASSUMP_NUMERIC_ACCELERATOR_MIX; ASSUMP_INFERENCE_SHARE_NOT_FACT_60; ASSUMP_WORKLOAD_CLASS_MIX; ASSUMP_AGENTIC_CONTEXT_PENALTY</t>
        </is>
      </c>
      <c r="L1851" s="3" t="inlineStr">
        <is>
          <t>Company fleet inventory, accelerator-hours or procurement/deployment records by GPU generation.</t>
        </is>
      </c>
    </row>
    <row r="1852">
      <c r="A1852" s="3" t="inlineStr">
        <is>
          <t>Alibaba</t>
        </is>
      </c>
      <c r="B1852" s="3" t="n">
        <v>2026</v>
      </c>
      <c r="C1852" s="3" t="inlineStr">
        <is>
          <t>Base</t>
        </is>
      </c>
      <c r="D1852" s="3" t="inlineStr">
        <is>
          <t>gb200_share</t>
        </is>
      </c>
      <c r="E1852" s="3" t="n">
        <v>0</v>
      </c>
      <c r="F1852" s="3" t="inlineStr">
        <is>
          <t>share of inference-serving accelerator load</t>
        </is>
      </c>
      <c r="G1852" s="3" t="inlineStr">
        <is>
          <t>Editable numeric scenario</t>
        </is>
      </c>
      <c r="H1852" s="3" t="inlineStr">
        <is>
          <t>gb200_share = gpu_share * default_gpu_generation_mix_gb200</t>
        </is>
      </c>
      <c r="I1852" s="3" t="inlineStr">
        <is>
          <t>Default GPU-generation migration assumption; executive workbook allows later manual replacement by company/year/scenario.</t>
        </is>
      </c>
      <c r="J1852" s="3" t="inlineStr">
        <is>
          <t>SRC_SEMIANALYSIS_INFERENCEX; ASSUMP_NUMERIC_ACCELERATOR_MIX</t>
        </is>
      </c>
      <c r="K1852" s="3" t="inlineStr">
        <is>
          <t>ASSUMP_MOE_EFFICIENCY; ASSUMP_CN_CAPACITY_TRANSPARENCY; ASSUMP_NUMERIC_ACCELERATOR_MIX; ASSUMP_INFERENCE_SHARE_NOT_FACT_60; ASSUMP_WORKLOAD_CLASS_MIX; ASSUMP_AGENTIC_CONTEXT_PENALTY</t>
        </is>
      </c>
      <c r="L1852" s="3" t="inlineStr">
        <is>
          <t>Company fleet inventory, accelerator-hours or procurement/deployment records by GPU generation.</t>
        </is>
      </c>
    </row>
    <row r="1853">
      <c r="A1853" s="3" t="inlineStr">
        <is>
          <t>Alibaba</t>
        </is>
      </c>
      <c r="B1853" s="3" t="n">
        <v>2026</v>
      </c>
      <c r="C1853" s="3" t="inlineStr">
        <is>
          <t>Base</t>
        </is>
      </c>
      <c r="D1853" s="3" t="inlineStr">
        <is>
          <t>purpose_built_accelerator_share</t>
        </is>
      </c>
      <c r="E1853" s="3" t="n">
        <v>0</v>
      </c>
      <c r="F1853" s="3" t="inlineStr">
        <is>
          <t>share of inference-serving accelerator load</t>
        </is>
      </c>
      <c r="G1853" s="3" t="inlineStr">
        <is>
          <t>Numeric scenario</t>
        </is>
      </c>
      <c r="H1853" s="3" t="inlineStr">
        <is>
          <t>1 - gpu_share</t>
        </is>
      </c>
      <c r="I1853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853" s="3" t="inlineStr">
        <is>
          <t>SRC_QWEN3_GITHUB; SRC_ALIBABA_QWEN_GPU_DEPLOY; SRC_EPOCH_AI_DATA_CENTERS; ASSUMP_NUMERIC_ACCELERATOR_MIX</t>
        </is>
      </c>
      <c r="K1853" s="3" t="inlineStr">
        <is>
          <t>ASSUMP_MOE_EFFICIENCY; ASSUMP_CN_CAPACITY_TRANSPARENCY; ASSUMP_NUMERIC_ACCELERATOR_MIX; ASSUMP_INFERENCE_SHARE_NOT_FACT_60; ASSUMP_WORKLOAD_CLASS_MIX; ASSUMP_AGENTIC_CONTEXT_PENALTY</t>
        </is>
      </c>
      <c r="L1853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854">
      <c r="A1854" s="3" t="inlineStr">
        <is>
          <t>Alibaba</t>
        </is>
      </c>
      <c r="B1854" s="3" t="n">
        <v>2026</v>
      </c>
      <c r="C1854" s="3" t="inlineStr">
        <is>
          <t>Base</t>
        </is>
      </c>
      <c r="D1854" s="3" t="inlineStr">
        <is>
          <t>fleet_reference_tps_per_mw</t>
        </is>
      </c>
      <c r="E1854" s="3" t="n">
        <v>166591</v>
      </c>
      <c r="F1854" s="3" t="inlineStr">
        <is>
          <t>generated output tokens/sec/MW</t>
        </is>
      </c>
      <c r="G1854" s="3" t="inlineStr">
        <is>
          <t>Fleet-weighted public benchmark reference</t>
        </is>
      </c>
      <c r="H1854" s="3" t="inlineStr">
        <is>
          <t>h200_share*h200_workload_avg + b200_share*b200_workload_avg + gb200_share*gb200_workload_avg + purpose_built_share*purpose_workload_avg</t>
        </is>
      </c>
      <c r="I185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54" s="3" t="inlineStr">
        <is>
          <t>SRC_SEMIANALYSIS_INFERENCEX; ASSUMP_NUMERIC_ACCELERATOR_MIX; ASSUMP_WORKLOAD_CLASS_MIX; ASSUMP_AGENTIC_CONTEXT_PENALTY</t>
        </is>
      </c>
      <c r="K1854" s="3" t="inlineStr">
        <is>
          <t>ASSUMP_MOE_EFFICIENCY; ASSUMP_CN_CAPACITY_TRANSPARENCY; ASSUMP_NUMERIC_ACCELERATOR_MIX; ASSUMP_INFERENCE_SHARE_NOT_FACT_60; ASSUMP_WORKLOAD_CLASS_MIX; ASSUMP_AGENTIC_CONTEXT_PENALTY</t>
        </is>
      </c>
      <c r="L1854" s="3" t="inlineStr">
        <is>
          <t>Comparable production output-token throughput or a more closely matched benchmark.</t>
        </is>
      </c>
    </row>
    <row r="1855">
      <c r="A1855" s="3" t="inlineStr">
        <is>
          <t>Alibaba</t>
        </is>
      </c>
      <c r="B1855" s="3" t="n">
        <v>2026</v>
      </c>
      <c r="C1855" s="3" t="inlineStr">
        <is>
          <t>Base</t>
        </is>
      </c>
      <c r="D1855" s="3" t="inlineStr">
        <is>
          <t>commercial_workload_fit_factor</t>
        </is>
      </c>
      <c r="E1855" s="3" t="n">
        <v>0.9</v>
      </c>
      <c r="F1855" s="3" t="inlineStr">
        <is>
          <t>share of public reference throughput</t>
        </is>
      </c>
      <c r="G1855" s="3" t="inlineStr">
        <is>
          <t>Scenario assumption</t>
        </is>
      </c>
      <c r="H1855" s="3" t="inlineStr">
        <is>
          <t>reference_serving_tps_per_mw = fleet_reference_tps_per_mw * commercial_workload_fit_factor</t>
        </is>
      </c>
      <c r="I185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55" s="3" t="inlineStr">
        <is>
          <t>SRC_SEMIANALYSIS_INFERENCEX; ASSUMP_NUMERIC_ACCELERATOR_MIX; ASSUMP_WORKLOAD_CLASS_MIX; ASSUMP_AGENTIC_CONTEXT_PENALTY</t>
        </is>
      </c>
      <c r="K1855" s="3" t="inlineStr">
        <is>
          <t>ASSUMP_MOE_EFFICIENCY; ASSUMP_CN_CAPACITY_TRANSPARENCY; ASSUMP_NUMERIC_ACCELERATOR_MIX; ASSUMP_INFERENCE_SHARE_NOT_FACT_60; ASSUMP_WORKLOAD_CLASS_MIX; ASSUMP_AGENTIC_CONTEXT_PENALTY</t>
        </is>
      </c>
      <c r="L1855" s="3" t="inlineStr">
        <is>
          <t>Matched commercial serving benchmark by product surface, context shape and latency SLO.</t>
        </is>
      </c>
    </row>
    <row r="1856">
      <c r="A1856" s="3" t="inlineStr">
        <is>
          <t>Alibaba</t>
        </is>
      </c>
      <c r="B1856" s="3" t="n">
        <v>2026</v>
      </c>
      <c r="C1856" s="3" t="inlineStr">
        <is>
          <t>Base</t>
        </is>
      </c>
      <c r="D1856" s="3" t="inlineStr">
        <is>
          <t>reference_serving_tps_per_mw</t>
        </is>
      </c>
      <c r="E1856" s="3" t="n">
        <v>149932</v>
      </c>
      <c r="F1856" s="3" t="inlineStr">
        <is>
          <t>generated output tokens/sec/MW</t>
        </is>
      </c>
      <c r="G1856" s="3" t="inlineStr">
        <is>
          <t>Workload-adjusted benchmark proxy</t>
        </is>
      </c>
      <c r="H1856" s="3" t="inlineStr">
        <is>
          <t>fleet_reference_tps_per_mw * commercial_workload_fit_factor</t>
        </is>
      </c>
      <c r="I1856" s="3" t="inlineStr">
        <is>
          <t>This is the coefficient used for headline token generation; each GPU's short chat, long chat and agentic TPS/MW are weighted before fleet mix and commercial fit are applied.</t>
        </is>
      </c>
      <c r="J1856" s="3" t="inlineStr">
        <is>
          <t>SRC_SEMIANALYSIS_INFERENCEX; ASSUMP_NUMERIC_ACCELERATOR_MIX; ASSUMP_WORKLOAD_CLASS_MIX; ASSUMP_AGENTIC_CONTEXT_PENALTY</t>
        </is>
      </c>
      <c r="K1856" s="3" t="inlineStr">
        <is>
          <t>ASSUMP_MOE_EFFICIENCY; ASSUMP_CN_CAPACITY_TRANSPARENCY; ASSUMP_NUMERIC_ACCELERATOR_MIX; ASSUMP_INFERENCE_SHARE_NOT_FACT_60; ASSUMP_WORKLOAD_CLASS_MIX; ASSUMP_AGENTIC_CONTEXT_PENALTY</t>
        </is>
      </c>
      <c r="L1856" s="3" t="inlineStr">
        <is>
          <t>Provider production output-token throughput with comparable workload/SLO.</t>
        </is>
      </c>
    </row>
    <row r="1857">
      <c r="A1857" s="3" t="inlineStr">
        <is>
          <t>Alibaba</t>
        </is>
      </c>
      <c r="B1857" s="3" t="n">
        <v>2026</v>
      </c>
      <c r="C1857" s="3" t="inlineStr">
        <is>
          <t>Base</t>
        </is>
      </c>
      <c r="D1857" s="3" t="inlineStr">
        <is>
          <t>purpose_built_tps_per_mw</t>
        </is>
      </c>
      <c r="E1857" s="3" t="n">
        <v>996060</v>
      </c>
      <c r="F1857" s="3" t="inlineStr">
        <is>
          <t>generated output tokens/sec/MW</t>
        </is>
      </c>
      <c r="G1857" s="3" t="inlineStr">
        <is>
          <t>Conservative no-uplift proxy</t>
        </is>
      </c>
      <c r="H1857" s="3" t="inlineStr">
        <is>
          <t>purpose_built_tps_per_mw = purpose_built_reference_tps_per_mw * commercial_workload_fit_factor until comparable output-token benchmark is adopted</t>
        </is>
      </c>
      <c r="I1857" s="3" t="inlineStr">
        <is>
          <t>No comparable public output-token/MW row adopted; B200 public reference placeholder is used and remains editable.</t>
        </is>
      </c>
      <c r="J1857" s="3" t="inlineStr">
        <is>
          <t>SRC_QWEN3_GITHUB; SRC_ALIBABA_QWEN_GPU_DEPLOY; SRC_EPOCH_AI_DATA_CENTERS; ASSUMP_NUMERIC_ACCELERATOR_MIX</t>
        </is>
      </c>
      <c r="K1857" s="3" t="inlineStr">
        <is>
          <t>ASSUMP_MOE_EFFICIENCY; ASSUMP_CN_CAPACITY_TRANSPARENCY; ASSUMP_NUMERIC_ACCELERATOR_MIX; ASSUMP_INFERENCE_SHARE_NOT_FACT_60; ASSUMP_WORKLOAD_CLASS_MIX; ASSUMP_AGENTIC_CONTEXT_PENALTY</t>
        </is>
      </c>
      <c r="L1857" s="3" t="inlineStr">
        <is>
          <t>Matched-workload generated-output benchmark for the provider purpose-built accelerator.</t>
        </is>
      </c>
    </row>
    <row r="1858">
      <c r="A1858" s="3" t="inlineStr">
        <is>
          <t>Alibaba</t>
        </is>
      </c>
      <c r="B1858" s="3" t="n">
        <v>2026</v>
      </c>
      <c r="C1858" s="3" t="inlineStr">
        <is>
          <t>Base</t>
        </is>
      </c>
      <c r="D1858" s="3" t="inlineStr">
        <is>
          <t>inference_power_share</t>
        </is>
      </c>
      <c r="E1858" s="3" t="n">
        <v>0.6</v>
      </c>
      <c r="F1858" s="3" t="inlineStr">
        <is>
          <t>share of AI IT load</t>
        </is>
      </c>
      <c r="G1858" s="3" t="inlineStr">
        <is>
          <t>Scenario allocation</t>
        </is>
      </c>
      <c r="H1858" s="3" t="inlineStr">
        <is>
          <t>inference_gw = ai_it_load_gw * inference_power_share</t>
        </is>
      </c>
      <c r="I1858" s="3" t="inlineStr">
        <is>
          <t>Qwen API/enterprise commercialization and MoE architecture support increasing inference allocation scenario.</t>
        </is>
      </c>
      <c r="J1858" s="3" t="inlineStr">
        <is>
          <t>SRC_QWEN3_GITHUB; SRC_ALIBABA_QWEN_GPU_DEPLOY; SRC_EPOCH_AI_DATA_CENTERS; ASSUMP_INFERENCE_SHARE_NOT_FACT_60</t>
        </is>
      </c>
      <c r="K1858" s="3" t="inlineStr">
        <is>
          <t>ASSUMP_MOE_EFFICIENCY; ASSUMP_CN_CAPACITY_TRANSPARENCY; ASSUMP_NUMERIC_ACCELERATOR_MIX; ASSUMP_INFERENCE_SHARE_NOT_FACT_60; ASSUMP_WORKLOAD_CLASS_MIX; ASSUMP_AGENTIC_CONTEXT_PENALTY</t>
        </is>
      </c>
      <c r="L1858" s="3" t="inlineStr">
        <is>
          <t>Provider-specific inference/training workload power telemetry.</t>
        </is>
      </c>
    </row>
    <row r="1859">
      <c r="A1859" s="3" t="inlineStr">
        <is>
          <t>Alibaba</t>
        </is>
      </c>
      <c r="B1859" s="3" t="n">
        <v>2026</v>
      </c>
      <c r="C1859" s="3" t="inlineStr">
        <is>
          <t>Base</t>
        </is>
      </c>
      <c r="D1859" s="3" t="inlineStr">
        <is>
          <t>inference_gw</t>
        </is>
      </c>
      <c r="E1859" s="3" t="n">
        <v>0.266</v>
      </c>
      <c r="F1859" s="3" t="inlineStr">
        <is>
          <t>GW</t>
        </is>
      </c>
      <c r="G1859" s="3" t="inlineStr">
        <is>
          <t>Derived formula</t>
        </is>
      </c>
      <c r="H1859" s="3" t="inlineStr">
        <is>
          <t>ai_it_load_gw * inference_power_share</t>
        </is>
      </c>
      <c r="I1859" s="3" t="inlineStr">
        <is>
          <t>This is the operational power eligible to become commercial generated output tokens through the selected TPS/MW proxy.</t>
        </is>
      </c>
      <c r="J1859" s="3" t="inlineStr">
        <is>
          <t>SRC_QWEN3_GITHUB; SRC_ALIBABA_QWEN_GPU_DEPLOY; SRC_EPOCH_AI_DATA_CENTERS</t>
        </is>
      </c>
      <c r="K1859" s="3" t="inlineStr">
        <is>
          <t>ASSUMP_MOE_EFFICIENCY; ASSUMP_CN_CAPACITY_TRANSPARENCY; ASSUMP_NUMERIC_ACCELERATOR_MIX; ASSUMP_INFERENCE_SHARE_NOT_FACT_60; ASSUMP_WORKLOAD_CLASS_MIX; ASSUMP_AGENTIC_CONTEXT_PENALTY</t>
        </is>
      </c>
      <c r="L1859" s="3" t="inlineStr">
        <is>
          <t>Recompute after AI allocation or inference-share evidence changes.</t>
        </is>
      </c>
    </row>
    <row r="1860">
      <c r="A1860" s="3" t="inlineStr">
        <is>
          <t>Alibaba</t>
        </is>
      </c>
      <c r="B1860" s="3" t="n">
        <v>2026</v>
      </c>
      <c r="C1860" s="3" t="inlineStr">
        <is>
          <t>Base</t>
        </is>
      </c>
      <c r="D1860" s="3" t="inlineStr">
        <is>
          <t>training_power_share</t>
        </is>
      </c>
      <c r="E1860" s="3" t="n">
        <v>0.4</v>
      </c>
      <c r="F1860" s="3" t="inlineStr">
        <is>
          <t>share of AI IT load</t>
        </is>
      </c>
      <c r="G1860" s="3" t="inlineStr">
        <is>
          <t>Derived allocation</t>
        </is>
      </c>
      <c r="H1860" s="3" t="inlineStr">
        <is>
          <t>1 - inference_power_share</t>
        </is>
      </c>
      <c r="I1860" s="3" t="inlineStr">
        <is>
          <t>Training receives the complementary modeled AI IT allocation; it is not a disclosed company workload split.</t>
        </is>
      </c>
      <c r="J1860" s="3" t="inlineStr">
        <is>
          <t>SRC_QWEN3_GITHUB; SRC_ALIBABA_QWEN_GPU_DEPLOY; SRC_EPOCH_AI_DATA_CENTERS; ASSUMP_INFERENCE_SHARE_NOT_FACT_60</t>
        </is>
      </c>
      <c r="K1860" s="3" t="inlineStr">
        <is>
          <t>ASSUMP_MOE_EFFICIENCY; ASSUMP_CN_CAPACITY_TRANSPARENCY; ASSUMP_NUMERIC_ACCELERATOR_MIX; ASSUMP_INFERENCE_SHARE_NOT_FACT_60; ASSUMP_WORKLOAD_CLASS_MIX; ASSUMP_AGENTIC_CONTEXT_PENALTY</t>
        </is>
      </c>
      <c r="L1860" s="3" t="inlineStr">
        <is>
          <t>Provider-specific inference/training workload power telemetry.</t>
        </is>
      </c>
    </row>
    <row r="1861">
      <c r="A1861" s="3" t="inlineStr">
        <is>
          <t>Alibaba</t>
        </is>
      </c>
      <c r="B1861" s="3" t="n">
        <v>2026</v>
      </c>
      <c r="C1861" s="3" t="inlineStr">
        <is>
          <t>Base</t>
        </is>
      </c>
      <c r="D1861" s="3" t="inlineStr">
        <is>
          <t>training_gw</t>
        </is>
      </c>
      <c r="E1861" s="3" t="n">
        <v>0.178</v>
      </c>
      <c r="F1861" s="3" t="inlineStr">
        <is>
          <t>GW</t>
        </is>
      </c>
      <c r="G1861" s="3" t="inlineStr">
        <is>
          <t>Derived formula</t>
        </is>
      </c>
      <c r="H1861" s="3" t="inlineStr">
        <is>
          <t>ai_it_load_gw * training_power_share</t>
        </is>
      </c>
      <c r="I1861" s="3" t="inlineStr">
        <is>
          <t>Training GW is shown separately so commercial inference token capacity is not overstated.</t>
        </is>
      </c>
      <c r="J1861" s="3" t="inlineStr">
        <is>
          <t>SRC_QWEN3_GITHUB; SRC_ALIBABA_QWEN_GPU_DEPLOY; SRC_EPOCH_AI_DATA_CENTERS</t>
        </is>
      </c>
      <c r="K1861" s="3" t="inlineStr">
        <is>
          <t>ASSUMP_MOE_EFFICIENCY; ASSUMP_CN_CAPACITY_TRANSPARENCY; ASSUMP_NUMERIC_ACCELERATOR_MIX; ASSUMP_INFERENCE_SHARE_NOT_FACT_60; ASSUMP_WORKLOAD_CLASS_MIX; ASSUMP_AGENTIC_CONTEXT_PENALTY</t>
        </is>
      </c>
      <c r="L1861" s="3" t="inlineStr">
        <is>
          <t>Recompute after AI allocation or workload-split evidence changes.</t>
        </is>
      </c>
    </row>
    <row r="1862">
      <c r="A1862" s="3" t="inlineStr">
        <is>
          <t>Alibaba</t>
        </is>
      </c>
      <c r="B1862" s="3" t="n">
        <v>2026</v>
      </c>
      <c r="C1862" s="3" t="inlineStr">
        <is>
          <t>Base</t>
        </is>
      </c>
      <c r="D1862" s="3" t="inlineStr">
        <is>
          <t>tokens_per_second_per_mw</t>
        </is>
      </c>
      <c r="E1862" s="3" t="n">
        <v>149932</v>
      </c>
      <c r="F1862" s="3" t="inlineStr">
        <is>
          <t>generated output tokens/sec/MW</t>
        </is>
      </c>
      <c r="G1862" s="3" t="inlineStr">
        <is>
          <t>Derived estimate + benchmark calibration</t>
        </is>
      </c>
      <c r="H1862" s="3" t="inlineStr">
        <is>
          <t>fleet_reference_tps_per_mw * commercial_workload_fit_factor</t>
        </is>
      </c>
      <c r="I186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62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862" s="3" t="inlineStr">
        <is>
          <t>ASSUMP_MOE_EFFICIENCY; ASSUMP_CN_CAPACITY_TRANSPARENCY; ASSUMP_NUMERIC_ACCELERATOR_MIX; ASSUMP_INFERENCE_SHARE_NOT_FACT_60; ASSUMP_WORKLOAD_CLASS_MIX; ASSUMP_AGENTIC_CONTEXT_PENALTY</t>
        </is>
      </c>
      <c r="L1862" s="3" t="inlineStr">
        <is>
          <t>Comparable production output-token throughput with model, hardware, precision, ISL/OSL and SLO matched.</t>
        </is>
      </c>
    </row>
    <row r="1863">
      <c r="A1863" s="3" t="inlineStr">
        <is>
          <t>Alibaba</t>
        </is>
      </c>
      <c r="B1863" s="3" t="n">
        <v>2026</v>
      </c>
      <c r="C1863" s="3" t="inlineStr">
        <is>
          <t>Base</t>
        </is>
      </c>
      <c r="D1863" s="3" t="inlineStr">
        <is>
          <t>inference_tokens_per_day</t>
        </is>
      </c>
      <c r="E1863" s="3" t="n">
        <v>3445797196800</v>
      </c>
      <c r="F1863" s="3" t="inlineStr">
        <is>
          <t>generated output tokens/day</t>
        </is>
      </c>
      <c r="G1863" s="3" t="inlineStr">
        <is>
          <t>Derived headline metric</t>
        </is>
      </c>
      <c r="H1863" s="3" t="inlineStr">
        <is>
          <t>inference_gw * 1000 * tokens_per_second_per_mw * 86,400</t>
        </is>
      </c>
      <c r="I1863" s="3" t="inlineStr">
        <is>
          <t>Headline capacity uses no utilization, MoE, architecture or software-growth multiplier; it is not observed commercial output volume.</t>
        </is>
      </c>
      <c r="J1863" s="3" t="inlineStr">
        <is>
          <t>SRC_QWEN3_GITHUB; SRC_ALIBABA_QWEN_GPU_DEPLOY; SRC_EPOCH_AI_DATA_CENTERS; SRC_SEMIANALYSIS_INFERENCEX</t>
        </is>
      </c>
      <c r="K1863" s="3" t="inlineStr">
        <is>
          <t>ASSUMP_MOE_EFFICIENCY; ASSUMP_CN_CAPACITY_TRANSPARENCY; ASSUMP_NUMERIC_ACCELERATOR_MIX; ASSUMP_INFERENCE_SHARE_NOT_FACT_60; ASSUMP_WORKLOAD_CLASS_MIX; ASSUMP_AGENTIC_CONTEXT_PENALTY</t>
        </is>
      </c>
      <c r="L1863" s="3" t="inlineStr">
        <is>
          <t>Provider-disclosed generated output token volume or calibrated capacity telemetry.</t>
        </is>
      </c>
    </row>
    <row r="1864">
      <c r="A1864" s="3" t="inlineStr">
        <is>
          <t>Alibaba</t>
        </is>
      </c>
      <c r="B1864" s="3" t="n">
        <v>2026</v>
      </c>
      <c r="C1864" s="3" t="inlineStr">
        <is>
          <t>Base</t>
        </is>
      </c>
      <c r="D1864" s="3" t="inlineStr">
        <is>
          <t>inference_tokens_per_year</t>
        </is>
      </c>
      <c r="E1864" s="3" t="n">
        <v>1257715976832000</v>
      </c>
      <c r="F1864" s="3" t="inlineStr">
        <is>
          <t>generated output tokens/year</t>
        </is>
      </c>
      <c r="G1864" s="3" t="inlineStr">
        <is>
          <t>Derived headline metric</t>
        </is>
      </c>
      <c r="H1864" s="3" t="inlineStr">
        <is>
          <t>inference_tokens_per_day * 365</t>
        </is>
      </c>
      <c r="I1864" s="3" t="inlineStr">
        <is>
          <t>Annualized version of generated output token capacity; it is not observed annual demand or billable volume.</t>
        </is>
      </c>
      <c r="J1864" s="3" t="inlineStr">
        <is>
          <t>SRC_QWEN3_GITHUB; SRC_ALIBABA_QWEN_GPU_DEPLOY; SRC_EPOCH_AI_DATA_CENTERS; SRC_SEMIANALYSIS_INFERENCEX</t>
        </is>
      </c>
      <c r="K1864" s="3" t="inlineStr">
        <is>
          <t>ASSUMP_MOE_EFFICIENCY; ASSUMP_CN_CAPACITY_TRANSPARENCY; ASSUMP_NUMERIC_ACCELERATOR_MIX; ASSUMP_INFERENCE_SHARE_NOT_FACT_60; ASSUMP_WORKLOAD_CLASS_MIX; ASSUMP_AGENTIC_CONTEXT_PENALTY</t>
        </is>
      </c>
      <c r="L1864" s="3" t="inlineStr">
        <is>
          <t>Provider-disclosed annual generated-output volume or metered serving telemetry.</t>
        </is>
      </c>
    </row>
    <row r="1865">
      <c r="A1865" s="3" t="inlineStr">
        <is>
          <t>Alibaba</t>
        </is>
      </c>
      <c r="B1865" s="3" t="n">
        <v>2027</v>
      </c>
      <c r="C1865" s="3" t="inlineStr">
        <is>
          <t>Base</t>
        </is>
      </c>
      <c r="D1865" s="3" t="inlineStr">
        <is>
          <t>contracted_power_gw</t>
        </is>
      </c>
      <c r="E1865" s="3" t="n">
        <v>2.35</v>
      </c>
      <c r="F1865" s="3" t="inlineStr">
        <is>
          <t>GW</t>
        </is>
      </c>
      <c r="G1865" s="3" t="inlineStr">
        <is>
          <t>Scenario capacity envelope</t>
        </is>
      </c>
      <c r="H1865" s="3" t="inlineStr">
        <is>
          <t>linear interpolation between 2026 and 2030 company capacity endpoints</t>
        </is>
      </c>
      <c r="I1865" s="3" t="inlineStr">
        <is>
          <t>Alibaba Cloud/Qwen capacity is a scenario envelope; official model and deployment documentation does not state operated GW.</t>
        </is>
      </c>
      <c r="J1865" s="3" t="inlineStr">
        <is>
          <t>SRC_ALIBABA_QWEN_GPU_DEPLOY; ASSUMP_CN_CAPACITY_TRANSPARENCY</t>
        </is>
      </c>
      <c r="K1865" s="3" t="inlineStr">
        <is>
          <t>ASSUMP_MOE_EFFICIENCY; ASSUMP_CN_CAPACITY_TRANSPARENCY; ASSUMP_NUMERIC_ACCELERATOR_MIX; ASSUMP_INFERENCE_SHARE_NOT_FACT_60; ASSUMP_WORKLOAD_CLASS_MIX; ASSUMP_AGENTIC_CONTEXT_PENALTY</t>
        </is>
      </c>
      <c r="L1865" s="3" t="inlineStr">
        <is>
          <t>Company/site-level committed MW/GW, interconnect and contract disclosure.</t>
        </is>
      </c>
    </row>
    <row r="1866">
      <c r="A1866" s="3" t="inlineStr">
        <is>
          <t>Alibaba</t>
        </is>
      </c>
      <c r="B1866" s="3" t="n">
        <v>2027</v>
      </c>
      <c r="C1866" s="3" t="inlineStr">
        <is>
          <t>Base</t>
        </is>
      </c>
      <c r="D1866" s="3" t="inlineStr">
        <is>
          <t>operational_deployment_share</t>
        </is>
      </c>
      <c r="E1866" s="3" t="n">
        <v>0.54808511</v>
      </c>
      <c r="F1866" s="3" t="inlineStr">
        <is>
          <t>share</t>
        </is>
      </c>
      <c r="G1866" s="3" t="inlineStr">
        <is>
          <t>Scenario conversion</t>
        </is>
      </c>
      <c r="H1866" s="3" t="inlineStr">
        <is>
          <t>active_power_gw / contracted_power_gw</t>
        </is>
      </c>
      <c r="I1866" s="3" t="inlineStr">
        <is>
          <t>This is the single explicit conversion from contracted/attributed capacity to operationally usable capacity.</t>
        </is>
      </c>
      <c r="J1866" s="3" t="inlineStr">
        <is>
          <t>SRC_ALIBABA_QWEN_GPU_DEPLOY; ASSUMP_CN_CAPACITY_TRANSPARENCY</t>
        </is>
      </c>
      <c r="K1866" s="3" t="inlineStr">
        <is>
          <t>ASSUMP_MOE_EFFICIENCY; ASSUMP_CN_CAPACITY_TRANSPARENCY; ASSUMP_NUMERIC_ACCELERATOR_MIX; ASSUMP_INFERENCE_SHARE_NOT_FACT_60; ASSUMP_WORKLOAD_CLASS_MIX; ASSUMP_AGENTIC_CONTEXT_PENALTY</t>
        </is>
      </c>
      <c r="L1866" s="3" t="inlineStr">
        <is>
          <t>Energized operational capacity divided by contracted/attributed capacity.</t>
        </is>
      </c>
    </row>
    <row r="1867">
      <c r="A1867" s="3" t="inlineStr">
        <is>
          <t>Alibaba</t>
        </is>
      </c>
      <c r="B1867" s="3" t="n">
        <v>2027</v>
      </c>
      <c r="C1867" s="3" t="inlineStr">
        <is>
          <t>Base</t>
        </is>
      </c>
      <c r="D1867" s="3" t="inlineStr">
        <is>
          <t>active_power_gw</t>
        </is>
      </c>
      <c r="E1867" s="3" t="n">
        <v>1.288</v>
      </c>
      <c r="F1867" s="3" t="inlineStr">
        <is>
          <t>GW</t>
        </is>
      </c>
      <c r="G1867" s="3" t="inlineStr">
        <is>
          <t>Derived scenario</t>
        </is>
      </c>
      <c r="H1867" s="3" t="inlineStr">
        <is>
          <t>contracted_power_gw * operational_deployment_share</t>
        </is>
      </c>
      <c r="I1867" s="3" t="inlineStr">
        <is>
          <t>Active GW is staged below capacity due to undisclosed accelerator allocation and cloud multi-tenant use.</t>
        </is>
      </c>
      <c r="J1867" s="3" t="inlineStr">
        <is>
          <t>SRC_ALIBABA_QWEN_GPU_DEPLOY; ASSUMP_CN_CAPACITY_TRANSPARENCY</t>
        </is>
      </c>
      <c r="K1867" s="3" t="inlineStr">
        <is>
          <t>ASSUMP_MOE_EFFICIENCY; ASSUMP_CN_CAPACITY_TRANSPARENCY; ASSUMP_NUMERIC_ACCELERATOR_MIX; ASSUMP_INFERENCE_SHARE_NOT_FACT_60; ASSUMP_WORKLOAD_CLASS_MIX; ASSUMP_AGENTIC_CONTEXT_PENALTY</t>
        </is>
      </c>
      <c r="L1867" s="3" t="inlineStr">
        <is>
          <t>Energization dates, accelerator deliveries and operational powered-rack telemetry.</t>
        </is>
      </c>
    </row>
    <row r="1868">
      <c r="A1868" s="3" t="inlineStr">
        <is>
          <t>Alibaba</t>
        </is>
      </c>
      <c r="B1868" s="3" t="n">
        <v>2027</v>
      </c>
      <c r="C1868" s="3" t="inlineStr">
        <is>
          <t>Base</t>
        </is>
      </c>
      <c r="D1868" s="3" t="inlineStr">
        <is>
          <t>pue</t>
        </is>
      </c>
      <c r="E1868" s="3" t="n">
        <v>1.23</v>
      </c>
      <c r="F1868" s="3" t="inlineStr">
        <is>
          <t>ratio</t>
        </is>
      </c>
      <c r="G1868" s="3" t="inlineStr">
        <is>
          <t>Scenario parameter</t>
        </is>
      </c>
      <c r="H1868" s="3" t="inlineStr">
        <is>
          <t>it_load_gw = active_power_gw / pue</t>
        </is>
      </c>
      <c r="I1868" s="3" t="inlineStr">
        <is>
          <t>No provider-wide site-level PUE is used as a disclosed fact; PUE represents facility-to-IT conversion within the scenario.</t>
        </is>
      </c>
      <c r="J1868" s="3" t="inlineStr">
        <is>
          <t>ASSUMP_POWER_RAMP</t>
        </is>
      </c>
      <c r="K1868" s="3" t="inlineStr">
        <is>
          <t>ASSUMP_MOE_EFFICIENCY; ASSUMP_CN_CAPACITY_TRANSPARENCY; ASSUMP_NUMERIC_ACCELERATOR_MIX; ASSUMP_INFERENCE_SHARE_NOT_FACT_60; ASSUMP_WORKLOAD_CLASS_MIX; ASSUMP_AGENTIC_CONTEXT_PENALTY</t>
        </is>
      </c>
      <c r="L1868" s="3" t="inlineStr">
        <is>
          <t>Site-level measured PUE matched to attributed AI capacity.</t>
        </is>
      </c>
    </row>
    <row r="1869">
      <c r="A1869" s="3" t="inlineStr">
        <is>
          <t>Alibaba</t>
        </is>
      </c>
      <c r="B1869" s="3" t="n">
        <v>2027</v>
      </c>
      <c r="C1869" s="3" t="inlineStr">
        <is>
          <t>Base</t>
        </is>
      </c>
      <c r="D1869" s="3" t="inlineStr">
        <is>
          <t>it_load_gw</t>
        </is>
      </c>
      <c r="E1869" s="3" t="n">
        <v>1.047</v>
      </c>
      <c r="F1869" s="3" t="inlineStr">
        <is>
          <t>GW</t>
        </is>
      </c>
      <c r="G1869" s="3" t="inlineStr">
        <is>
          <t>Derived formula</t>
        </is>
      </c>
      <c r="H1869" s="3" t="inlineStr">
        <is>
          <t>active_power_gw / pue</t>
        </is>
      </c>
      <c r="I1869" s="3" t="inlineStr">
        <is>
          <t>Facility power is converted to IT-deliverable power before attributing AI workloads.</t>
        </is>
      </c>
      <c r="J1869" s="3" t="inlineStr">
        <is>
          <t>SRC_ALIBABA_QWEN_GPU_DEPLOY; ASSUMP_CN_CAPACITY_TRANSPARENCY</t>
        </is>
      </c>
      <c r="K1869" s="3" t="inlineStr">
        <is>
          <t>ASSUMP_MOE_EFFICIENCY; ASSUMP_CN_CAPACITY_TRANSPARENCY; ASSUMP_NUMERIC_ACCELERATOR_MIX; ASSUMP_INFERENCE_SHARE_NOT_FACT_60; ASSUMP_WORKLOAD_CLASS_MIX; ASSUMP_AGENTIC_CONTEXT_PENALTY</t>
        </is>
      </c>
      <c r="L1869" s="3" t="inlineStr">
        <is>
          <t>Recompute once active power and PUE become site-observable.</t>
        </is>
      </c>
    </row>
    <row r="1870">
      <c r="A1870" s="3" t="inlineStr">
        <is>
          <t>Alibaba</t>
        </is>
      </c>
      <c r="B1870" s="3" t="n">
        <v>2027</v>
      </c>
      <c r="C1870" s="3" t="inlineStr">
        <is>
          <t>Base</t>
        </is>
      </c>
      <c r="D1870" s="3" t="inlineStr">
        <is>
          <t>ai_workload_share</t>
        </is>
      </c>
      <c r="E1870" s="3" t="n">
        <v>0.84</v>
      </c>
      <c r="F1870" s="3" t="inlineStr">
        <is>
          <t>share</t>
        </is>
      </c>
      <c r="G1870" s="3" t="inlineStr">
        <is>
          <t>Scenario allocation</t>
        </is>
      </c>
      <c r="H1870" s="3" t="inlineStr">
        <is>
          <t>ai_it_load_gw = it_load_gw * ai_workload_share</t>
        </is>
      </c>
      <c r="I1870" s="3" t="inlineStr">
        <is>
          <t>Model Studio/Qwen-serving envelope is AI-focused, while cloud platform/reserve allocation is excluded through 84%.</t>
        </is>
      </c>
      <c r="J1870" s="3" t="inlineStr">
        <is>
          <t>SRC_QWEN3_GITHUB; SRC_ALIBABA_QWEN_GPU_DEPLOY; SRC_EPOCH_AI_DATA_CENTERS</t>
        </is>
      </c>
      <c r="K1870" s="3" t="inlineStr">
        <is>
          <t>ASSUMP_MOE_EFFICIENCY; ASSUMP_CN_CAPACITY_TRANSPARENCY; ASSUMP_NUMERIC_ACCELERATOR_MIX; ASSUMP_INFERENCE_SHARE_NOT_FACT_60; ASSUMP_WORKLOAD_CLASS_MIX; ASSUMP_AGENTIC_CONTEXT_PENALTY</t>
        </is>
      </c>
      <c r="L1870" s="3" t="inlineStr">
        <is>
          <t>Model-owner AI workload allocation or cluster scheduling telemetry.</t>
        </is>
      </c>
    </row>
    <row r="1871">
      <c r="A1871" s="3" t="inlineStr">
        <is>
          <t>Alibaba</t>
        </is>
      </c>
      <c r="B1871" s="3" t="n">
        <v>2027</v>
      </c>
      <c r="C1871" s="3" t="inlineStr">
        <is>
          <t>Base</t>
        </is>
      </c>
      <c r="D1871" s="3" t="inlineStr">
        <is>
          <t>ai_it_load_gw</t>
        </is>
      </c>
      <c r="E1871" s="3" t="n">
        <v>0.879</v>
      </c>
      <c r="F1871" s="3" t="inlineStr">
        <is>
          <t>GW</t>
        </is>
      </c>
      <c r="G1871" s="3" t="inlineStr">
        <is>
          <t>Derived formula</t>
        </is>
      </c>
      <c r="H1871" s="3" t="inlineStr">
        <is>
          <t>it_load_gw * ai_workload_share</t>
        </is>
      </c>
      <c r="I1871" s="3" t="inlineStr">
        <is>
          <t>Only the AI-attributed portion of IT load enters training/inference allocation.</t>
        </is>
      </c>
      <c r="J1871" s="3" t="inlineStr">
        <is>
          <t>SRC_QWEN3_GITHUB; SRC_ALIBABA_QWEN_GPU_DEPLOY; SRC_EPOCH_AI_DATA_CENTERS</t>
        </is>
      </c>
      <c r="K1871" s="3" t="inlineStr">
        <is>
          <t>ASSUMP_MOE_EFFICIENCY; ASSUMP_CN_CAPACITY_TRANSPARENCY; ASSUMP_NUMERIC_ACCELERATOR_MIX; ASSUMP_INFERENCE_SHARE_NOT_FACT_60; ASSUMP_WORKLOAD_CLASS_MIX; ASSUMP_AGENTIC_CONTEXT_PENALTY</t>
        </is>
      </c>
      <c r="L1871" s="3" t="inlineStr">
        <is>
          <t>Recompute after ai_workload_share is replaced by telemetry.</t>
        </is>
      </c>
    </row>
    <row r="1872">
      <c r="A1872" s="3" t="inlineStr">
        <is>
          <t>Alibaba</t>
        </is>
      </c>
      <c r="B1872" s="3" t="n">
        <v>2027</v>
      </c>
      <c r="C1872" s="3" t="inlineStr">
        <is>
          <t>Base</t>
        </is>
      </c>
      <c r="D1872" s="3" t="inlineStr">
        <is>
          <t>gpu_share</t>
        </is>
      </c>
      <c r="E1872" s="3" t="n">
        <v>1</v>
      </c>
      <c r="F1872" s="3" t="inlineStr">
        <is>
          <t>share of inference-serving accelerator load</t>
        </is>
      </c>
      <c r="G1872" s="3" t="inlineStr">
        <is>
          <t>Numeric scenario</t>
        </is>
      </c>
      <c r="H1872" s="3" t="inlineStr">
        <is>
          <t>gpu_share interpolated from company 2026/2030 accelerator-mix endpoints</t>
        </is>
      </c>
      <c r="I1872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872" s="3" t="inlineStr">
        <is>
          <t>SRC_QWEN3_GITHUB; SRC_ALIBABA_QWEN_GPU_DEPLOY; SRC_EPOCH_AI_DATA_CENTERS; ASSUMP_NUMERIC_ACCELERATOR_MIX</t>
        </is>
      </c>
      <c r="K1872" s="3" t="inlineStr">
        <is>
          <t>ASSUMP_MOE_EFFICIENCY; ASSUMP_CN_CAPACITY_TRANSPARENCY; ASSUMP_NUMERIC_ACCELERATOR_MIX; ASSUMP_INFERENCE_SHARE_NOT_FACT_60; ASSUMP_WORKLOAD_CLASS_MIX; ASSUMP_AGENTIC_CONTEXT_PENALTY</t>
        </is>
      </c>
      <c r="L1872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873">
      <c r="A1873" s="3" t="inlineStr">
        <is>
          <t>Alibaba</t>
        </is>
      </c>
      <c r="B1873" s="3" t="n">
        <v>2027</v>
      </c>
      <c r="C1873" s="3" t="inlineStr">
        <is>
          <t>Base</t>
        </is>
      </c>
      <c r="D1873" s="3" t="inlineStr">
        <is>
          <t>h200_share</t>
        </is>
      </c>
      <c r="E1873" s="3" t="n">
        <v>1</v>
      </c>
      <c r="F1873" s="3" t="inlineStr">
        <is>
          <t>share of inference-serving accelerator load</t>
        </is>
      </c>
      <c r="G1873" s="3" t="inlineStr">
        <is>
          <t>Editable numeric scenario</t>
        </is>
      </c>
      <c r="H1873" s="3" t="inlineStr">
        <is>
          <t>h200_share = gpu_share * default_gpu_generation_mix_h200</t>
        </is>
      </c>
      <c r="I1873" s="3" t="inlineStr">
        <is>
          <t>Default GPU-generation migration assumption; executive workbook allows later manual replacement by company/year/scenario.</t>
        </is>
      </c>
      <c r="J1873" s="3" t="inlineStr">
        <is>
          <t>SRC_SEMIANALYSIS_INFERENCEX; ASSUMP_NUMERIC_ACCELERATOR_MIX</t>
        </is>
      </c>
      <c r="K1873" s="3" t="inlineStr">
        <is>
          <t>ASSUMP_MOE_EFFICIENCY; ASSUMP_CN_CAPACITY_TRANSPARENCY; ASSUMP_NUMERIC_ACCELERATOR_MIX; ASSUMP_INFERENCE_SHARE_NOT_FACT_60; ASSUMP_WORKLOAD_CLASS_MIX; ASSUMP_AGENTIC_CONTEXT_PENALTY</t>
        </is>
      </c>
      <c r="L1873" s="3" t="inlineStr">
        <is>
          <t>Company fleet inventory, accelerator-hours or procurement/deployment records by GPU generation.</t>
        </is>
      </c>
    </row>
    <row r="1874">
      <c r="A1874" s="3" t="inlineStr">
        <is>
          <t>Alibaba</t>
        </is>
      </c>
      <c r="B1874" s="3" t="n">
        <v>2027</v>
      </c>
      <c r="C1874" s="3" t="inlineStr">
        <is>
          <t>Base</t>
        </is>
      </c>
      <c r="D1874" s="3" t="inlineStr">
        <is>
          <t>b200_share</t>
        </is>
      </c>
      <c r="E1874" s="3" t="n">
        <v>0</v>
      </c>
      <c r="F1874" s="3" t="inlineStr">
        <is>
          <t>share of inference-serving accelerator load</t>
        </is>
      </c>
      <c r="G1874" s="3" t="inlineStr">
        <is>
          <t>Editable numeric scenario</t>
        </is>
      </c>
      <c r="H1874" s="3" t="inlineStr">
        <is>
          <t>b200_share = gpu_share * default_gpu_generation_mix_b200</t>
        </is>
      </c>
      <c r="I1874" s="3" t="inlineStr">
        <is>
          <t>Default GPU-generation migration assumption; executive workbook allows later manual replacement by company/year/scenario.</t>
        </is>
      </c>
      <c r="J1874" s="3" t="inlineStr">
        <is>
          <t>SRC_SEMIANALYSIS_INFERENCEX; ASSUMP_NUMERIC_ACCELERATOR_MIX</t>
        </is>
      </c>
      <c r="K1874" s="3" t="inlineStr">
        <is>
          <t>ASSUMP_MOE_EFFICIENCY; ASSUMP_CN_CAPACITY_TRANSPARENCY; ASSUMP_NUMERIC_ACCELERATOR_MIX; ASSUMP_INFERENCE_SHARE_NOT_FACT_60; ASSUMP_WORKLOAD_CLASS_MIX; ASSUMP_AGENTIC_CONTEXT_PENALTY</t>
        </is>
      </c>
      <c r="L1874" s="3" t="inlineStr">
        <is>
          <t>Company fleet inventory, accelerator-hours or procurement/deployment records by GPU generation.</t>
        </is>
      </c>
    </row>
    <row r="1875">
      <c r="A1875" s="3" t="inlineStr">
        <is>
          <t>Alibaba</t>
        </is>
      </c>
      <c r="B1875" s="3" t="n">
        <v>2027</v>
      </c>
      <c r="C1875" s="3" t="inlineStr">
        <is>
          <t>Base</t>
        </is>
      </c>
      <c r="D1875" s="3" t="inlineStr">
        <is>
          <t>gb200_share</t>
        </is>
      </c>
      <c r="E1875" s="3" t="n">
        <v>0</v>
      </c>
      <c r="F1875" s="3" t="inlineStr">
        <is>
          <t>share of inference-serving accelerator load</t>
        </is>
      </c>
      <c r="G1875" s="3" t="inlineStr">
        <is>
          <t>Editable numeric scenario</t>
        </is>
      </c>
      <c r="H1875" s="3" t="inlineStr">
        <is>
          <t>gb200_share = gpu_share * default_gpu_generation_mix_gb200</t>
        </is>
      </c>
      <c r="I1875" s="3" t="inlineStr">
        <is>
          <t>Default GPU-generation migration assumption; executive workbook allows later manual replacement by company/year/scenario.</t>
        </is>
      </c>
      <c r="J1875" s="3" t="inlineStr">
        <is>
          <t>SRC_SEMIANALYSIS_INFERENCEX; ASSUMP_NUMERIC_ACCELERATOR_MIX</t>
        </is>
      </c>
      <c r="K1875" s="3" t="inlineStr">
        <is>
          <t>ASSUMP_MOE_EFFICIENCY; ASSUMP_CN_CAPACITY_TRANSPARENCY; ASSUMP_NUMERIC_ACCELERATOR_MIX; ASSUMP_INFERENCE_SHARE_NOT_FACT_60; ASSUMP_WORKLOAD_CLASS_MIX; ASSUMP_AGENTIC_CONTEXT_PENALTY</t>
        </is>
      </c>
      <c r="L1875" s="3" t="inlineStr">
        <is>
          <t>Company fleet inventory, accelerator-hours or procurement/deployment records by GPU generation.</t>
        </is>
      </c>
    </row>
    <row r="1876">
      <c r="A1876" s="3" t="inlineStr">
        <is>
          <t>Alibaba</t>
        </is>
      </c>
      <c r="B1876" s="3" t="n">
        <v>2027</v>
      </c>
      <c r="C1876" s="3" t="inlineStr">
        <is>
          <t>Base</t>
        </is>
      </c>
      <c r="D1876" s="3" t="inlineStr">
        <is>
          <t>purpose_built_accelerator_share</t>
        </is>
      </c>
      <c r="E1876" s="3" t="n">
        <v>0</v>
      </c>
      <c r="F1876" s="3" t="inlineStr">
        <is>
          <t>share of inference-serving accelerator load</t>
        </is>
      </c>
      <c r="G1876" s="3" t="inlineStr">
        <is>
          <t>Numeric scenario</t>
        </is>
      </c>
      <c r="H1876" s="3" t="inlineStr">
        <is>
          <t>1 - gpu_share</t>
        </is>
      </c>
      <c r="I1876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876" s="3" t="inlineStr">
        <is>
          <t>SRC_QWEN3_GITHUB; SRC_ALIBABA_QWEN_GPU_DEPLOY; SRC_EPOCH_AI_DATA_CENTERS; ASSUMP_NUMERIC_ACCELERATOR_MIX</t>
        </is>
      </c>
      <c r="K1876" s="3" t="inlineStr">
        <is>
          <t>ASSUMP_MOE_EFFICIENCY; ASSUMP_CN_CAPACITY_TRANSPARENCY; ASSUMP_NUMERIC_ACCELERATOR_MIX; ASSUMP_INFERENCE_SHARE_NOT_FACT_60; ASSUMP_WORKLOAD_CLASS_MIX; ASSUMP_AGENTIC_CONTEXT_PENALTY</t>
        </is>
      </c>
      <c r="L1876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877">
      <c r="A1877" s="3" t="inlineStr">
        <is>
          <t>Alibaba</t>
        </is>
      </c>
      <c r="B1877" s="3" t="n">
        <v>2027</v>
      </c>
      <c r="C1877" s="3" t="inlineStr">
        <is>
          <t>Base</t>
        </is>
      </c>
      <c r="D1877" s="3" t="inlineStr">
        <is>
          <t>fleet_reference_tps_per_mw</t>
        </is>
      </c>
      <c r="E1877" s="3" t="n">
        <v>166591</v>
      </c>
      <c r="F1877" s="3" t="inlineStr">
        <is>
          <t>generated output tokens/sec/MW</t>
        </is>
      </c>
      <c r="G1877" s="3" t="inlineStr">
        <is>
          <t>Fleet-weighted public benchmark reference</t>
        </is>
      </c>
      <c r="H1877" s="3" t="inlineStr">
        <is>
          <t>h200_share*h200_workload_avg + b200_share*b200_workload_avg + gb200_share*gb200_workload_avg + purpose_built_share*purpose_workload_avg</t>
        </is>
      </c>
      <c r="I187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877" s="3" t="inlineStr">
        <is>
          <t>SRC_SEMIANALYSIS_INFERENCEX; ASSUMP_NUMERIC_ACCELERATOR_MIX; ASSUMP_WORKLOAD_CLASS_MIX; ASSUMP_AGENTIC_CONTEXT_PENALTY</t>
        </is>
      </c>
      <c r="K1877" s="3" t="inlineStr">
        <is>
          <t>ASSUMP_MOE_EFFICIENCY; ASSUMP_CN_CAPACITY_TRANSPARENCY; ASSUMP_NUMERIC_ACCELERATOR_MIX; ASSUMP_INFERENCE_SHARE_NOT_FACT_60; ASSUMP_WORKLOAD_CLASS_MIX; ASSUMP_AGENTIC_CONTEXT_PENALTY</t>
        </is>
      </c>
      <c r="L1877" s="3" t="inlineStr">
        <is>
          <t>Comparable production output-token throughput or a more closely matched benchmark.</t>
        </is>
      </c>
    </row>
    <row r="1878">
      <c r="A1878" s="3" t="inlineStr">
        <is>
          <t>Alibaba</t>
        </is>
      </c>
      <c r="B1878" s="3" t="n">
        <v>2027</v>
      </c>
      <c r="C1878" s="3" t="inlineStr">
        <is>
          <t>Base</t>
        </is>
      </c>
      <c r="D1878" s="3" t="inlineStr">
        <is>
          <t>commercial_workload_fit_factor</t>
        </is>
      </c>
      <c r="E1878" s="3" t="n">
        <v>0.9</v>
      </c>
      <c r="F1878" s="3" t="inlineStr">
        <is>
          <t>share of public reference throughput</t>
        </is>
      </c>
      <c r="G1878" s="3" t="inlineStr">
        <is>
          <t>Scenario assumption</t>
        </is>
      </c>
      <c r="H1878" s="3" t="inlineStr">
        <is>
          <t>reference_serving_tps_per_mw = fleet_reference_tps_per_mw * commercial_workload_fit_factor</t>
        </is>
      </c>
      <c r="I187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878" s="3" t="inlineStr">
        <is>
          <t>SRC_SEMIANALYSIS_INFERENCEX; ASSUMP_NUMERIC_ACCELERATOR_MIX; ASSUMP_WORKLOAD_CLASS_MIX; ASSUMP_AGENTIC_CONTEXT_PENALTY</t>
        </is>
      </c>
      <c r="K1878" s="3" t="inlineStr">
        <is>
          <t>ASSUMP_MOE_EFFICIENCY; ASSUMP_CN_CAPACITY_TRANSPARENCY; ASSUMP_NUMERIC_ACCELERATOR_MIX; ASSUMP_INFERENCE_SHARE_NOT_FACT_60; ASSUMP_WORKLOAD_CLASS_MIX; ASSUMP_AGENTIC_CONTEXT_PENALTY</t>
        </is>
      </c>
      <c r="L1878" s="3" t="inlineStr">
        <is>
          <t>Matched commercial serving benchmark by product surface, context shape and latency SLO.</t>
        </is>
      </c>
    </row>
    <row r="1879">
      <c r="A1879" s="3" t="inlineStr">
        <is>
          <t>Alibaba</t>
        </is>
      </c>
      <c r="B1879" s="3" t="n">
        <v>2027</v>
      </c>
      <c r="C1879" s="3" t="inlineStr">
        <is>
          <t>Base</t>
        </is>
      </c>
      <c r="D1879" s="3" t="inlineStr">
        <is>
          <t>reference_serving_tps_per_mw</t>
        </is>
      </c>
      <c r="E1879" s="3" t="n">
        <v>149932</v>
      </c>
      <c r="F1879" s="3" t="inlineStr">
        <is>
          <t>generated output tokens/sec/MW</t>
        </is>
      </c>
      <c r="G1879" s="3" t="inlineStr">
        <is>
          <t>Workload-adjusted benchmark proxy</t>
        </is>
      </c>
      <c r="H1879" s="3" t="inlineStr">
        <is>
          <t>fleet_reference_tps_per_mw * commercial_workload_fit_factor</t>
        </is>
      </c>
      <c r="I1879" s="3" t="inlineStr">
        <is>
          <t>This is the coefficient used for headline token generation; each GPU's short chat, long chat and agentic TPS/MW are weighted before fleet mix and commercial fit are applied.</t>
        </is>
      </c>
      <c r="J1879" s="3" t="inlineStr">
        <is>
          <t>SRC_SEMIANALYSIS_INFERENCEX; ASSUMP_NUMERIC_ACCELERATOR_MIX; ASSUMP_WORKLOAD_CLASS_MIX; ASSUMP_AGENTIC_CONTEXT_PENALTY</t>
        </is>
      </c>
      <c r="K1879" s="3" t="inlineStr">
        <is>
          <t>ASSUMP_MOE_EFFICIENCY; ASSUMP_CN_CAPACITY_TRANSPARENCY; ASSUMP_NUMERIC_ACCELERATOR_MIX; ASSUMP_INFERENCE_SHARE_NOT_FACT_60; ASSUMP_WORKLOAD_CLASS_MIX; ASSUMP_AGENTIC_CONTEXT_PENALTY</t>
        </is>
      </c>
      <c r="L1879" s="3" t="inlineStr">
        <is>
          <t>Provider production output-token throughput with comparable workload/SLO.</t>
        </is>
      </c>
    </row>
    <row r="1880">
      <c r="A1880" s="3" t="inlineStr">
        <is>
          <t>Alibaba</t>
        </is>
      </c>
      <c r="B1880" s="3" t="n">
        <v>2027</v>
      </c>
      <c r="C1880" s="3" t="inlineStr">
        <is>
          <t>Base</t>
        </is>
      </c>
      <c r="D1880" s="3" t="inlineStr">
        <is>
          <t>purpose_built_tps_per_mw</t>
        </is>
      </c>
      <c r="E1880" s="3" t="n">
        <v>996060</v>
      </c>
      <c r="F1880" s="3" t="inlineStr">
        <is>
          <t>generated output tokens/sec/MW</t>
        </is>
      </c>
      <c r="G1880" s="3" t="inlineStr">
        <is>
          <t>Conservative no-uplift proxy</t>
        </is>
      </c>
      <c r="H1880" s="3" t="inlineStr">
        <is>
          <t>purpose_built_tps_per_mw = purpose_built_reference_tps_per_mw * commercial_workload_fit_factor until comparable output-token benchmark is adopted</t>
        </is>
      </c>
      <c r="I1880" s="3" t="inlineStr">
        <is>
          <t>No comparable public output-token/MW row adopted; B200 public reference placeholder is used and remains editable.</t>
        </is>
      </c>
      <c r="J1880" s="3" t="inlineStr">
        <is>
          <t>SRC_QWEN3_GITHUB; SRC_ALIBABA_QWEN_GPU_DEPLOY; SRC_EPOCH_AI_DATA_CENTERS; ASSUMP_NUMERIC_ACCELERATOR_MIX</t>
        </is>
      </c>
      <c r="K1880" s="3" t="inlineStr">
        <is>
          <t>ASSUMP_MOE_EFFICIENCY; ASSUMP_CN_CAPACITY_TRANSPARENCY; ASSUMP_NUMERIC_ACCELERATOR_MIX; ASSUMP_INFERENCE_SHARE_NOT_FACT_60; ASSUMP_WORKLOAD_CLASS_MIX; ASSUMP_AGENTIC_CONTEXT_PENALTY</t>
        </is>
      </c>
      <c r="L1880" s="3" t="inlineStr">
        <is>
          <t>Matched-workload generated-output benchmark for the provider purpose-built accelerator.</t>
        </is>
      </c>
    </row>
    <row r="1881">
      <c r="A1881" s="3" t="inlineStr">
        <is>
          <t>Alibaba</t>
        </is>
      </c>
      <c r="B1881" s="3" t="n">
        <v>2027</v>
      </c>
      <c r="C1881" s="3" t="inlineStr">
        <is>
          <t>Base</t>
        </is>
      </c>
      <c r="D1881" s="3" t="inlineStr">
        <is>
          <t>inference_power_share</t>
        </is>
      </c>
      <c r="E1881" s="3" t="n">
        <v>0.65</v>
      </c>
      <c r="F1881" s="3" t="inlineStr">
        <is>
          <t>share of AI IT load</t>
        </is>
      </c>
      <c r="G1881" s="3" t="inlineStr">
        <is>
          <t>Scenario allocation</t>
        </is>
      </c>
      <c r="H1881" s="3" t="inlineStr">
        <is>
          <t>inference_gw = ai_it_load_gw * inference_power_share</t>
        </is>
      </c>
      <c r="I1881" s="3" t="inlineStr">
        <is>
          <t>Qwen API/enterprise commercialization and MoE architecture support increasing inference allocation scenario.</t>
        </is>
      </c>
      <c r="J1881" s="3" t="inlineStr">
        <is>
          <t>SRC_QWEN3_GITHUB; SRC_ALIBABA_QWEN_GPU_DEPLOY; SRC_EPOCH_AI_DATA_CENTERS; ASSUMP_INFERENCE_SHARE_NOT_FACT_60</t>
        </is>
      </c>
      <c r="K1881" s="3" t="inlineStr">
        <is>
          <t>ASSUMP_MOE_EFFICIENCY; ASSUMP_CN_CAPACITY_TRANSPARENCY; ASSUMP_NUMERIC_ACCELERATOR_MIX; ASSUMP_INFERENCE_SHARE_NOT_FACT_60; ASSUMP_WORKLOAD_CLASS_MIX; ASSUMP_AGENTIC_CONTEXT_PENALTY</t>
        </is>
      </c>
      <c r="L1881" s="3" t="inlineStr">
        <is>
          <t>Provider-specific inference/training workload power telemetry.</t>
        </is>
      </c>
    </row>
    <row r="1882">
      <c r="A1882" s="3" t="inlineStr">
        <is>
          <t>Alibaba</t>
        </is>
      </c>
      <c r="B1882" s="3" t="n">
        <v>2027</v>
      </c>
      <c r="C1882" s="3" t="inlineStr">
        <is>
          <t>Base</t>
        </is>
      </c>
      <c r="D1882" s="3" t="inlineStr">
        <is>
          <t>inference_gw</t>
        </is>
      </c>
      <c r="E1882" s="3" t="n">
        <v>0.572</v>
      </c>
      <c r="F1882" s="3" t="inlineStr">
        <is>
          <t>GW</t>
        </is>
      </c>
      <c r="G1882" s="3" t="inlineStr">
        <is>
          <t>Derived formula</t>
        </is>
      </c>
      <c r="H1882" s="3" t="inlineStr">
        <is>
          <t>ai_it_load_gw * inference_power_share</t>
        </is>
      </c>
      <c r="I1882" s="3" t="inlineStr">
        <is>
          <t>This is the operational power eligible to become commercial generated output tokens through the selected TPS/MW proxy.</t>
        </is>
      </c>
      <c r="J1882" s="3" t="inlineStr">
        <is>
          <t>SRC_QWEN3_GITHUB; SRC_ALIBABA_QWEN_GPU_DEPLOY; SRC_EPOCH_AI_DATA_CENTERS</t>
        </is>
      </c>
      <c r="K1882" s="3" t="inlineStr">
        <is>
          <t>ASSUMP_MOE_EFFICIENCY; ASSUMP_CN_CAPACITY_TRANSPARENCY; ASSUMP_NUMERIC_ACCELERATOR_MIX; ASSUMP_INFERENCE_SHARE_NOT_FACT_60; ASSUMP_WORKLOAD_CLASS_MIX; ASSUMP_AGENTIC_CONTEXT_PENALTY</t>
        </is>
      </c>
      <c r="L1882" s="3" t="inlineStr">
        <is>
          <t>Recompute after AI allocation or inference-share evidence changes.</t>
        </is>
      </c>
    </row>
    <row r="1883">
      <c r="A1883" s="3" t="inlineStr">
        <is>
          <t>Alibaba</t>
        </is>
      </c>
      <c r="B1883" s="3" t="n">
        <v>2027</v>
      </c>
      <c r="C1883" s="3" t="inlineStr">
        <is>
          <t>Base</t>
        </is>
      </c>
      <c r="D1883" s="3" t="inlineStr">
        <is>
          <t>training_power_share</t>
        </is>
      </c>
      <c r="E1883" s="3" t="n">
        <v>0.35</v>
      </c>
      <c r="F1883" s="3" t="inlineStr">
        <is>
          <t>share of AI IT load</t>
        </is>
      </c>
      <c r="G1883" s="3" t="inlineStr">
        <is>
          <t>Derived allocation</t>
        </is>
      </c>
      <c r="H1883" s="3" t="inlineStr">
        <is>
          <t>1 - inference_power_share</t>
        </is>
      </c>
      <c r="I1883" s="3" t="inlineStr">
        <is>
          <t>Training receives the complementary modeled AI IT allocation; it is not a disclosed company workload split.</t>
        </is>
      </c>
      <c r="J1883" s="3" t="inlineStr">
        <is>
          <t>SRC_QWEN3_GITHUB; SRC_ALIBABA_QWEN_GPU_DEPLOY; SRC_EPOCH_AI_DATA_CENTERS; ASSUMP_INFERENCE_SHARE_NOT_FACT_60</t>
        </is>
      </c>
      <c r="K1883" s="3" t="inlineStr">
        <is>
          <t>ASSUMP_MOE_EFFICIENCY; ASSUMP_CN_CAPACITY_TRANSPARENCY; ASSUMP_NUMERIC_ACCELERATOR_MIX; ASSUMP_INFERENCE_SHARE_NOT_FACT_60; ASSUMP_WORKLOAD_CLASS_MIX; ASSUMP_AGENTIC_CONTEXT_PENALTY</t>
        </is>
      </c>
      <c r="L1883" s="3" t="inlineStr">
        <is>
          <t>Provider-specific inference/training workload power telemetry.</t>
        </is>
      </c>
    </row>
    <row r="1884">
      <c r="A1884" s="3" t="inlineStr">
        <is>
          <t>Alibaba</t>
        </is>
      </c>
      <c r="B1884" s="3" t="n">
        <v>2027</v>
      </c>
      <c r="C1884" s="3" t="inlineStr">
        <is>
          <t>Base</t>
        </is>
      </c>
      <c r="D1884" s="3" t="inlineStr">
        <is>
          <t>training_gw</t>
        </is>
      </c>
      <c r="E1884" s="3" t="n">
        <v>0.308</v>
      </c>
      <c r="F1884" s="3" t="inlineStr">
        <is>
          <t>GW</t>
        </is>
      </c>
      <c r="G1884" s="3" t="inlineStr">
        <is>
          <t>Derived formula</t>
        </is>
      </c>
      <c r="H1884" s="3" t="inlineStr">
        <is>
          <t>ai_it_load_gw * training_power_share</t>
        </is>
      </c>
      <c r="I1884" s="3" t="inlineStr">
        <is>
          <t>Training GW is shown separately so commercial inference token capacity is not overstated.</t>
        </is>
      </c>
      <c r="J1884" s="3" t="inlineStr">
        <is>
          <t>SRC_QWEN3_GITHUB; SRC_ALIBABA_QWEN_GPU_DEPLOY; SRC_EPOCH_AI_DATA_CENTERS</t>
        </is>
      </c>
      <c r="K1884" s="3" t="inlineStr">
        <is>
          <t>ASSUMP_MOE_EFFICIENCY; ASSUMP_CN_CAPACITY_TRANSPARENCY; ASSUMP_NUMERIC_ACCELERATOR_MIX; ASSUMP_INFERENCE_SHARE_NOT_FACT_60; ASSUMP_WORKLOAD_CLASS_MIX; ASSUMP_AGENTIC_CONTEXT_PENALTY</t>
        </is>
      </c>
      <c r="L1884" s="3" t="inlineStr">
        <is>
          <t>Recompute after AI allocation or workload-split evidence changes.</t>
        </is>
      </c>
    </row>
    <row r="1885">
      <c r="A1885" s="3" t="inlineStr">
        <is>
          <t>Alibaba</t>
        </is>
      </c>
      <c r="B1885" s="3" t="n">
        <v>2027</v>
      </c>
      <c r="C1885" s="3" t="inlineStr">
        <is>
          <t>Base</t>
        </is>
      </c>
      <c r="D1885" s="3" t="inlineStr">
        <is>
          <t>tokens_per_second_per_mw</t>
        </is>
      </c>
      <c r="E1885" s="3" t="n">
        <v>149932</v>
      </c>
      <c r="F1885" s="3" t="inlineStr">
        <is>
          <t>generated output tokens/sec/MW</t>
        </is>
      </c>
      <c r="G1885" s="3" t="inlineStr">
        <is>
          <t>Derived estimate + benchmark calibration</t>
        </is>
      </c>
      <c r="H1885" s="3" t="inlineStr">
        <is>
          <t>fleet_reference_tps_per_mw * commercial_workload_fit_factor</t>
        </is>
      </c>
      <c r="I188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885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885" s="3" t="inlineStr">
        <is>
          <t>ASSUMP_MOE_EFFICIENCY; ASSUMP_CN_CAPACITY_TRANSPARENCY; ASSUMP_NUMERIC_ACCELERATOR_MIX; ASSUMP_INFERENCE_SHARE_NOT_FACT_60; ASSUMP_WORKLOAD_CLASS_MIX; ASSUMP_AGENTIC_CONTEXT_PENALTY</t>
        </is>
      </c>
      <c r="L1885" s="3" t="inlineStr">
        <is>
          <t>Comparable production output-token throughput with model, hardware, precision, ISL/OSL and SLO matched.</t>
        </is>
      </c>
    </row>
    <row r="1886">
      <c r="A1886" s="3" t="inlineStr">
        <is>
          <t>Alibaba</t>
        </is>
      </c>
      <c r="B1886" s="3" t="n">
        <v>2027</v>
      </c>
      <c r="C1886" s="3" t="inlineStr">
        <is>
          <t>Base</t>
        </is>
      </c>
      <c r="D1886" s="3" t="inlineStr">
        <is>
          <t>inference_tokens_per_day</t>
        </is>
      </c>
      <c r="E1886" s="3" t="n">
        <v>7409759385600</v>
      </c>
      <c r="F1886" s="3" t="inlineStr">
        <is>
          <t>generated output tokens/day</t>
        </is>
      </c>
      <c r="G1886" s="3" t="inlineStr">
        <is>
          <t>Derived headline metric</t>
        </is>
      </c>
      <c r="H1886" s="3" t="inlineStr">
        <is>
          <t>inference_gw * 1000 * tokens_per_second_per_mw * 86,400</t>
        </is>
      </c>
      <c r="I1886" s="3" t="inlineStr">
        <is>
          <t>Headline capacity uses no utilization, MoE, architecture or software-growth multiplier; it is not observed commercial output volume.</t>
        </is>
      </c>
      <c r="J1886" s="3" t="inlineStr">
        <is>
          <t>SRC_QWEN3_GITHUB; SRC_ALIBABA_QWEN_GPU_DEPLOY; SRC_EPOCH_AI_DATA_CENTERS; SRC_SEMIANALYSIS_INFERENCEX</t>
        </is>
      </c>
      <c r="K1886" s="3" t="inlineStr">
        <is>
          <t>ASSUMP_MOE_EFFICIENCY; ASSUMP_CN_CAPACITY_TRANSPARENCY; ASSUMP_NUMERIC_ACCELERATOR_MIX; ASSUMP_INFERENCE_SHARE_NOT_FACT_60; ASSUMP_WORKLOAD_CLASS_MIX; ASSUMP_AGENTIC_CONTEXT_PENALTY</t>
        </is>
      </c>
      <c r="L1886" s="3" t="inlineStr">
        <is>
          <t>Provider-disclosed generated output token volume or calibrated capacity telemetry.</t>
        </is>
      </c>
    </row>
    <row r="1887">
      <c r="A1887" s="3" t="inlineStr">
        <is>
          <t>Alibaba</t>
        </is>
      </c>
      <c r="B1887" s="3" t="n">
        <v>2027</v>
      </c>
      <c r="C1887" s="3" t="inlineStr">
        <is>
          <t>Base</t>
        </is>
      </c>
      <c r="D1887" s="3" t="inlineStr">
        <is>
          <t>inference_tokens_per_year</t>
        </is>
      </c>
      <c r="E1887" s="3" t="n">
        <v>2704562175744000</v>
      </c>
      <c r="F1887" s="3" t="inlineStr">
        <is>
          <t>generated output tokens/year</t>
        </is>
      </c>
      <c r="G1887" s="3" t="inlineStr">
        <is>
          <t>Derived headline metric</t>
        </is>
      </c>
      <c r="H1887" s="3" t="inlineStr">
        <is>
          <t>inference_tokens_per_day * 365</t>
        </is>
      </c>
      <c r="I1887" s="3" t="inlineStr">
        <is>
          <t>Annualized version of generated output token capacity; it is not observed annual demand or billable volume.</t>
        </is>
      </c>
      <c r="J1887" s="3" t="inlineStr">
        <is>
          <t>SRC_QWEN3_GITHUB; SRC_ALIBABA_QWEN_GPU_DEPLOY; SRC_EPOCH_AI_DATA_CENTERS; SRC_SEMIANALYSIS_INFERENCEX</t>
        </is>
      </c>
      <c r="K1887" s="3" t="inlineStr">
        <is>
          <t>ASSUMP_MOE_EFFICIENCY; ASSUMP_CN_CAPACITY_TRANSPARENCY; ASSUMP_NUMERIC_ACCELERATOR_MIX; ASSUMP_INFERENCE_SHARE_NOT_FACT_60; ASSUMP_WORKLOAD_CLASS_MIX; ASSUMP_AGENTIC_CONTEXT_PENALTY</t>
        </is>
      </c>
      <c r="L1887" s="3" t="inlineStr">
        <is>
          <t>Provider-disclosed annual generated-output volume or metered serving telemetry.</t>
        </is>
      </c>
    </row>
    <row r="1888">
      <c r="A1888" s="3" t="inlineStr">
        <is>
          <t>Alibaba</t>
        </is>
      </c>
      <c r="B1888" s="3" t="n">
        <v>2028</v>
      </c>
      <c r="C1888" s="3" t="inlineStr">
        <is>
          <t>Base</t>
        </is>
      </c>
      <c r="D1888" s="3" t="inlineStr">
        <is>
          <t>contracted_power_gw</t>
        </is>
      </c>
      <c r="E1888" s="3" t="n">
        <v>2.9</v>
      </c>
      <c r="F1888" s="3" t="inlineStr">
        <is>
          <t>GW</t>
        </is>
      </c>
      <c r="G1888" s="3" t="inlineStr">
        <is>
          <t>Scenario capacity envelope</t>
        </is>
      </c>
      <c r="H1888" s="3" t="inlineStr">
        <is>
          <t>linear interpolation between 2026 and 2030 company capacity endpoints</t>
        </is>
      </c>
      <c r="I1888" s="3" t="inlineStr">
        <is>
          <t>Alibaba Cloud/Qwen capacity is a scenario envelope; official model and deployment documentation does not state operated GW.</t>
        </is>
      </c>
      <c r="J1888" s="3" t="inlineStr">
        <is>
          <t>SRC_ALIBABA_QWEN_GPU_DEPLOY; ASSUMP_CN_CAPACITY_TRANSPARENCY</t>
        </is>
      </c>
      <c r="K1888" s="3" t="inlineStr">
        <is>
          <t>ASSUMP_MOE_EFFICIENCY; ASSUMP_CN_CAPACITY_TRANSPARENCY; ASSUMP_NUMERIC_ACCELERATOR_MIX; ASSUMP_INFERENCE_SHARE_NOT_FACT_60; ASSUMP_WORKLOAD_CLASS_MIX; ASSUMP_AGENTIC_CONTEXT_PENALTY</t>
        </is>
      </c>
      <c r="L1888" s="3" t="inlineStr">
        <is>
          <t>Company/site-level committed MW/GW, interconnect and contract disclosure.</t>
        </is>
      </c>
    </row>
    <row r="1889">
      <c r="A1889" s="3" t="inlineStr">
        <is>
          <t>Alibaba</t>
        </is>
      </c>
      <c r="B1889" s="3" t="n">
        <v>2028</v>
      </c>
      <c r="C1889" s="3" t="inlineStr">
        <is>
          <t>Base</t>
        </is>
      </c>
      <c r="D1889" s="3" t="inlineStr">
        <is>
          <t>operational_deployment_share</t>
        </is>
      </c>
      <c r="E1889" s="3" t="n">
        <v>0.6637931</v>
      </c>
      <c r="F1889" s="3" t="inlineStr">
        <is>
          <t>share</t>
        </is>
      </c>
      <c r="G1889" s="3" t="inlineStr">
        <is>
          <t>Scenario conversion</t>
        </is>
      </c>
      <c r="H1889" s="3" t="inlineStr">
        <is>
          <t>active_power_gw / contracted_power_gw</t>
        </is>
      </c>
      <c r="I1889" s="3" t="inlineStr">
        <is>
          <t>This is the single explicit conversion from contracted/attributed capacity to operationally usable capacity.</t>
        </is>
      </c>
      <c r="J1889" s="3" t="inlineStr">
        <is>
          <t>SRC_ALIBABA_QWEN_GPU_DEPLOY; ASSUMP_CN_CAPACITY_TRANSPARENCY</t>
        </is>
      </c>
      <c r="K1889" s="3" t="inlineStr">
        <is>
          <t>ASSUMP_MOE_EFFICIENCY; ASSUMP_CN_CAPACITY_TRANSPARENCY; ASSUMP_NUMERIC_ACCELERATOR_MIX; ASSUMP_INFERENCE_SHARE_NOT_FACT_60; ASSUMP_WORKLOAD_CLASS_MIX; ASSUMP_AGENTIC_CONTEXT_PENALTY</t>
        </is>
      </c>
      <c r="L1889" s="3" t="inlineStr">
        <is>
          <t>Energized operational capacity divided by contracted/attributed capacity.</t>
        </is>
      </c>
    </row>
    <row r="1890">
      <c r="A1890" s="3" t="inlineStr">
        <is>
          <t>Alibaba</t>
        </is>
      </c>
      <c r="B1890" s="3" t="n">
        <v>2028</v>
      </c>
      <c r="C1890" s="3" t="inlineStr">
        <is>
          <t>Base</t>
        </is>
      </c>
      <c r="D1890" s="3" t="inlineStr">
        <is>
          <t>active_power_gw</t>
        </is>
      </c>
      <c r="E1890" s="3" t="n">
        <v>1.925</v>
      </c>
      <c r="F1890" s="3" t="inlineStr">
        <is>
          <t>GW</t>
        </is>
      </c>
      <c r="G1890" s="3" t="inlineStr">
        <is>
          <t>Derived scenario</t>
        </is>
      </c>
      <c r="H1890" s="3" t="inlineStr">
        <is>
          <t>contracted_power_gw * operational_deployment_share</t>
        </is>
      </c>
      <c r="I1890" s="3" t="inlineStr">
        <is>
          <t>Active GW is staged below capacity due to undisclosed accelerator allocation and cloud multi-tenant use.</t>
        </is>
      </c>
      <c r="J1890" s="3" t="inlineStr">
        <is>
          <t>SRC_ALIBABA_QWEN_GPU_DEPLOY; ASSUMP_CN_CAPACITY_TRANSPARENCY</t>
        </is>
      </c>
      <c r="K1890" s="3" t="inlineStr">
        <is>
          <t>ASSUMP_MOE_EFFICIENCY; ASSUMP_CN_CAPACITY_TRANSPARENCY; ASSUMP_NUMERIC_ACCELERATOR_MIX; ASSUMP_INFERENCE_SHARE_NOT_FACT_60; ASSUMP_WORKLOAD_CLASS_MIX; ASSUMP_AGENTIC_CONTEXT_PENALTY</t>
        </is>
      </c>
      <c r="L1890" s="3" t="inlineStr">
        <is>
          <t>Energization dates, accelerator deliveries and operational powered-rack telemetry.</t>
        </is>
      </c>
    </row>
    <row r="1891">
      <c r="A1891" s="3" t="inlineStr">
        <is>
          <t>Alibaba</t>
        </is>
      </c>
      <c r="B1891" s="3" t="n">
        <v>2028</v>
      </c>
      <c r="C1891" s="3" t="inlineStr">
        <is>
          <t>Base</t>
        </is>
      </c>
      <c r="D1891" s="3" t="inlineStr">
        <is>
          <t>pue</t>
        </is>
      </c>
      <c r="E1891" s="3" t="n">
        <v>1.23</v>
      </c>
      <c r="F1891" s="3" t="inlineStr">
        <is>
          <t>ratio</t>
        </is>
      </c>
      <c r="G1891" s="3" t="inlineStr">
        <is>
          <t>Scenario parameter</t>
        </is>
      </c>
      <c r="H1891" s="3" t="inlineStr">
        <is>
          <t>it_load_gw = active_power_gw / pue</t>
        </is>
      </c>
      <c r="I1891" s="3" t="inlineStr">
        <is>
          <t>No provider-wide site-level PUE is used as a disclosed fact; PUE represents facility-to-IT conversion within the scenario.</t>
        </is>
      </c>
      <c r="J1891" s="3" t="inlineStr">
        <is>
          <t>ASSUMP_POWER_RAMP</t>
        </is>
      </c>
      <c r="K1891" s="3" t="inlineStr">
        <is>
          <t>ASSUMP_MOE_EFFICIENCY; ASSUMP_CN_CAPACITY_TRANSPARENCY; ASSUMP_NUMERIC_ACCELERATOR_MIX; ASSUMP_INFERENCE_SHARE_NOT_FACT_60; ASSUMP_WORKLOAD_CLASS_MIX; ASSUMP_AGENTIC_CONTEXT_PENALTY</t>
        </is>
      </c>
      <c r="L1891" s="3" t="inlineStr">
        <is>
          <t>Site-level measured PUE matched to attributed AI capacity.</t>
        </is>
      </c>
    </row>
    <row r="1892">
      <c r="A1892" s="3" t="inlineStr">
        <is>
          <t>Alibaba</t>
        </is>
      </c>
      <c r="B1892" s="3" t="n">
        <v>2028</v>
      </c>
      <c r="C1892" s="3" t="inlineStr">
        <is>
          <t>Base</t>
        </is>
      </c>
      <c r="D1892" s="3" t="inlineStr">
        <is>
          <t>it_load_gw</t>
        </is>
      </c>
      <c r="E1892" s="3" t="n">
        <v>1.565</v>
      </c>
      <c r="F1892" s="3" t="inlineStr">
        <is>
          <t>GW</t>
        </is>
      </c>
      <c r="G1892" s="3" t="inlineStr">
        <is>
          <t>Derived formula</t>
        </is>
      </c>
      <c r="H1892" s="3" t="inlineStr">
        <is>
          <t>active_power_gw / pue</t>
        </is>
      </c>
      <c r="I1892" s="3" t="inlineStr">
        <is>
          <t>Facility power is converted to IT-deliverable power before attributing AI workloads.</t>
        </is>
      </c>
      <c r="J1892" s="3" t="inlineStr">
        <is>
          <t>SRC_ALIBABA_QWEN_GPU_DEPLOY; ASSUMP_CN_CAPACITY_TRANSPARENCY</t>
        </is>
      </c>
      <c r="K1892" s="3" t="inlineStr">
        <is>
          <t>ASSUMP_MOE_EFFICIENCY; ASSUMP_CN_CAPACITY_TRANSPARENCY; ASSUMP_NUMERIC_ACCELERATOR_MIX; ASSUMP_INFERENCE_SHARE_NOT_FACT_60; ASSUMP_WORKLOAD_CLASS_MIX; ASSUMP_AGENTIC_CONTEXT_PENALTY</t>
        </is>
      </c>
      <c r="L1892" s="3" t="inlineStr">
        <is>
          <t>Recompute once active power and PUE become site-observable.</t>
        </is>
      </c>
    </row>
    <row r="1893">
      <c r="A1893" s="3" t="inlineStr">
        <is>
          <t>Alibaba</t>
        </is>
      </c>
      <c r="B1893" s="3" t="n">
        <v>2028</v>
      </c>
      <c r="C1893" s="3" t="inlineStr">
        <is>
          <t>Base</t>
        </is>
      </c>
      <c r="D1893" s="3" t="inlineStr">
        <is>
          <t>ai_workload_share</t>
        </is>
      </c>
      <c r="E1893" s="3" t="n">
        <v>0.84</v>
      </c>
      <c r="F1893" s="3" t="inlineStr">
        <is>
          <t>share</t>
        </is>
      </c>
      <c r="G1893" s="3" t="inlineStr">
        <is>
          <t>Scenario allocation</t>
        </is>
      </c>
      <c r="H1893" s="3" t="inlineStr">
        <is>
          <t>ai_it_load_gw = it_load_gw * ai_workload_share</t>
        </is>
      </c>
      <c r="I1893" s="3" t="inlineStr">
        <is>
          <t>Model Studio/Qwen-serving envelope is AI-focused, while cloud platform/reserve allocation is excluded through 84%.</t>
        </is>
      </c>
      <c r="J1893" s="3" t="inlineStr">
        <is>
          <t>SRC_QWEN3_GITHUB; SRC_ALIBABA_QWEN_GPU_DEPLOY; SRC_EPOCH_AI_DATA_CENTERS</t>
        </is>
      </c>
      <c r="K1893" s="3" t="inlineStr">
        <is>
          <t>ASSUMP_MOE_EFFICIENCY; ASSUMP_CN_CAPACITY_TRANSPARENCY; ASSUMP_NUMERIC_ACCELERATOR_MIX; ASSUMP_INFERENCE_SHARE_NOT_FACT_60; ASSUMP_WORKLOAD_CLASS_MIX; ASSUMP_AGENTIC_CONTEXT_PENALTY</t>
        </is>
      </c>
      <c r="L1893" s="3" t="inlineStr">
        <is>
          <t>Model-owner AI workload allocation or cluster scheduling telemetry.</t>
        </is>
      </c>
    </row>
    <row r="1894">
      <c r="A1894" s="3" t="inlineStr">
        <is>
          <t>Alibaba</t>
        </is>
      </c>
      <c r="B1894" s="3" t="n">
        <v>2028</v>
      </c>
      <c r="C1894" s="3" t="inlineStr">
        <is>
          <t>Base</t>
        </is>
      </c>
      <c r="D1894" s="3" t="inlineStr">
        <is>
          <t>ai_it_load_gw</t>
        </is>
      </c>
      <c r="E1894" s="3" t="n">
        <v>1.315</v>
      </c>
      <c r="F1894" s="3" t="inlineStr">
        <is>
          <t>GW</t>
        </is>
      </c>
      <c r="G1894" s="3" t="inlineStr">
        <is>
          <t>Derived formula</t>
        </is>
      </c>
      <c r="H1894" s="3" t="inlineStr">
        <is>
          <t>it_load_gw * ai_workload_share</t>
        </is>
      </c>
      <c r="I1894" s="3" t="inlineStr">
        <is>
          <t>Only the AI-attributed portion of IT load enters training/inference allocation.</t>
        </is>
      </c>
      <c r="J1894" s="3" t="inlineStr">
        <is>
          <t>SRC_QWEN3_GITHUB; SRC_ALIBABA_QWEN_GPU_DEPLOY; SRC_EPOCH_AI_DATA_CENTERS</t>
        </is>
      </c>
      <c r="K1894" s="3" t="inlineStr">
        <is>
          <t>ASSUMP_MOE_EFFICIENCY; ASSUMP_CN_CAPACITY_TRANSPARENCY; ASSUMP_NUMERIC_ACCELERATOR_MIX; ASSUMP_INFERENCE_SHARE_NOT_FACT_60; ASSUMP_WORKLOAD_CLASS_MIX; ASSUMP_AGENTIC_CONTEXT_PENALTY</t>
        </is>
      </c>
      <c r="L1894" s="3" t="inlineStr">
        <is>
          <t>Recompute after ai_workload_share is replaced by telemetry.</t>
        </is>
      </c>
    </row>
    <row r="1895">
      <c r="A1895" s="3" t="inlineStr">
        <is>
          <t>Alibaba</t>
        </is>
      </c>
      <c r="B1895" s="3" t="n">
        <v>2028</v>
      </c>
      <c r="C1895" s="3" t="inlineStr">
        <is>
          <t>Base</t>
        </is>
      </c>
      <c r="D1895" s="3" t="inlineStr">
        <is>
          <t>gpu_share</t>
        </is>
      </c>
      <c r="E1895" s="3" t="n">
        <v>1</v>
      </c>
      <c r="F1895" s="3" t="inlineStr">
        <is>
          <t>share of inference-serving accelerator load</t>
        </is>
      </c>
      <c r="G1895" s="3" t="inlineStr">
        <is>
          <t>Numeric scenario</t>
        </is>
      </c>
      <c r="H1895" s="3" t="inlineStr">
        <is>
          <t>gpu_share interpolated from company 2026/2030 accelerator-mix endpoints</t>
        </is>
      </c>
      <c r="I1895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895" s="3" t="inlineStr">
        <is>
          <t>SRC_QWEN3_GITHUB; SRC_ALIBABA_QWEN_GPU_DEPLOY; SRC_EPOCH_AI_DATA_CENTERS; ASSUMP_NUMERIC_ACCELERATOR_MIX</t>
        </is>
      </c>
      <c r="K1895" s="3" t="inlineStr">
        <is>
          <t>ASSUMP_MOE_EFFICIENCY; ASSUMP_CN_CAPACITY_TRANSPARENCY; ASSUMP_NUMERIC_ACCELERATOR_MIX; ASSUMP_INFERENCE_SHARE_NOT_FACT_60; ASSUMP_WORKLOAD_CLASS_MIX; ASSUMP_AGENTIC_CONTEXT_PENALTY</t>
        </is>
      </c>
      <c r="L1895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896">
      <c r="A1896" s="3" t="inlineStr">
        <is>
          <t>Alibaba</t>
        </is>
      </c>
      <c r="B1896" s="3" t="n">
        <v>2028</v>
      </c>
      <c r="C1896" s="3" t="inlineStr">
        <is>
          <t>Base</t>
        </is>
      </c>
      <c r="D1896" s="3" t="inlineStr">
        <is>
          <t>h200_share</t>
        </is>
      </c>
      <c r="E1896" s="3" t="n">
        <v>1</v>
      </c>
      <c r="F1896" s="3" t="inlineStr">
        <is>
          <t>share of inference-serving accelerator load</t>
        </is>
      </c>
      <c r="G1896" s="3" t="inlineStr">
        <is>
          <t>Editable numeric scenario</t>
        </is>
      </c>
      <c r="H1896" s="3" t="inlineStr">
        <is>
          <t>h200_share = gpu_share * default_gpu_generation_mix_h200</t>
        </is>
      </c>
      <c r="I1896" s="3" t="inlineStr">
        <is>
          <t>Default GPU-generation migration assumption; executive workbook allows later manual replacement by company/year/scenario.</t>
        </is>
      </c>
      <c r="J1896" s="3" t="inlineStr">
        <is>
          <t>SRC_SEMIANALYSIS_INFERENCEX; ASSUMP_NUMERIC_ACCELERATOR_MIX</t>
        </is>
      </c>
      <c r="K1896" s="3" t="inlineStr">
        <is>
          <t>ASSUMP_MOE_EFFICIENCY; ASSUMP_CN_CAPACITY_TRANSPARENCY; ASSUMP_NUMERIC_ACCELERATOR_MIX; ASSUMP_INFERENCE_SHARE_NOT_FACT_60; ASSUMP_WORKLOAD_CLASS_MIX; ASSUMP_AGENTIC_CONTEXT_PENALTY</t>
        </is>
      </c>
      <c r="L1896" s="3" t="inlineStr">
        <is>
          <t>Company fleet inventory, accelerator-hours or procurement/deployment records by GPU generation.</t>
        </is>
      </c>
    </row>
    <row r="1897">
      <c r="A1897" s="3" t="inlineStr">
        <is>
          <t>Alibaba</t>
        </is>
      </c>
      <c r="B1897" s="3" t="n">
        <v>2028</v>
      </c>
      <c r="C1897" s="3" t="inlineStr">
        <is>
          <t>Base</t>
        </is>
      </c>
      <c r="D1897" s="3" t="inlineStr">
        <is>
          <t>b200_share</t>
        </is>
      </c>
      <c r="E1897" s="3" t="n">
        <v>0</v>
      </c>
      <c r="F1897" s="3" t="inlineStr">
        <is>
          <t>share of inference-serving accelerator load</t>
        </is>
      </c>
      <c r="G1897" s="3" t="inlineStr">
        <is>
          <t>Editable numeric scenario</t>
        </is>
      </c>
      <c r="H1897" s="3" t="inlineStr">
        <is>
          <t>b200_share = gpu_share * default_gpu_generation_mix_b200</t>
        </is>
      </c>
      <c r="I1897" s="3" t="inlineStr">
        <is>
          <t>Default GPU-generation migration assumption; executive workbook allows later manual replacement by company/year/scenario.</t>
        </is>
      </c>
      <c r="J1897" s="3" t="inlineStr">
        <is>
          <t>SRC_SEMIANALYSIS_INFERENCEX; ASSUMP_NUMERIC_ACCELERATOR_MIX</t>
        </is>
      </c>
      <c r="K1897" s="3" t="inlineStr">
        <is>
          <t>ASSUMP_MOE_EFFICIENCY; ASSUMP_CN_CAPACITY_TRANSPARENCY; ASSUMP_NUMERIC_ACCELERATOR_MIX; ASSUMP_INFERENCE_SHARE_NOT_FACT_60; ASSUMP_WORKLOAD_CLASS_MIX; ASSUMP_AGENTIC_CONTEXT_PENALTY</t>
        </is>
      </c>
      <c r="L1897" s="3" t="inlineStr">
        <is>
          <t>Company fleet inventory, accelerator-hours or procurement/deployment records by GPU generation.</t>
        </is>
      </c>
    </row>
    <row r="1898">
      <c r="A1898" s="3" t="inlineStr">
        <is>
          <t>Alibaba</t>
        </is>
      </c>
      <c r="B1898" s="3" t="n">
        <v>2028</v>
      </c>
      <c r="C1898" s="3" t="inlineStr">
        <is>
          <t>Base</t>
        </is>
      </c>
      <c r="D1898" s="3" t="inlineStr">
        <is>
          <t>gb200_share</t>
        </is>
      </c>
      <c r="E1898" s="3" t="n">
        <v>0</v>
      </c>
      <c r="F1898" s="3" t="inlineStr">
        <is>
          <t>share of inference-serving accelerator load</t>
        </is>
      </c>
      <c r="G1898" s="3" t="inlineStr">
        <is>
          <t>Editable numeric scenario</t>
        </is>
      </c>
      <c r="H1898" s="3" t="inlineStr">
        <is>
          <t>gb200_share = gpu_share * default_gpu_generation_mix_gb200</t>
        </is>
      </c>
      <c r="I1898" s="3" t="inlineStr">
        <is>
          <t>Default GPU-generation migration assumption; executive workbook allows later manual replacement by company/year/scenario.</t>
        </is>
      </c>
      <c r="J1898" s="3" t="inlineStr">
        <is>
          <t>SRC_SEMIANALYSIS_INFERENCEX; ASSUMP_NUMERIC_ACCELERATOR_MIX</t>
        </is>
      </c>
      <c r="K1898" s="3" t="inlineStr">
        <is>
          <t>ASSUMP_MOE_EFFICIENCY; ASSUMP_CN_CAPACITY_TRANSPARENCY; ASSUMP_NUMERIC_ACCELERATOR_MIX; ASSUMP_INFERENCE_SHARE_NOT_FACT_60; ASSUMP_WORKLOAD_CLASS_MIX; ASSUMP_AGENTIC_CONTEXT_PENALTY</t>
        </is>
      </c>
      <c r="L1898" s="3" t="inlineStr">
        <is>
          <t>Company fleet inventory, accelerator-hours or procurement/deployment records by GPU generation.</t>
        </is>
      </c>
    </row>
    <row r="1899">
      <c r="A1899" s="3" t="inlineStr">
        <is>
          <t>Alibaba</t>
        </is>
      </c>
      <c r="B1899" s="3" t="n">
        <v>2028</v>
      </c>
      <c r="C1899" s="3" t="inlineStr">
        <is>
          <t>Base</t>
        </is>
      </c>
      <c r="D1899" s="3" t="inlineStr">
        <is>
          <t>purpose_built_accelerator_share</t>
        </is>
      </c>
      <c r="E1899" s="3" t="n">
        <v>0</v>
      </c>
      <c r="F1899" s="3" t="inlineStr">
        <is>
          <t>share of inference-serving accelerator load</t>
        </is>
      </c>
      <c r="G1899" s="3" t="inlineStr">
        <is>
          <t>Numeric scenario</t>
        </is>
      </c>
      <c r="H1899" s="3" t="inlineStr">
        <is>
          <t>1 - gpu_share</t>
        </is>
      </c>
      <c r="I1899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899" s="3" t="inlineStr">
        <is>
          <t>SRC_QWEN3_GITHUB; SRC_ALIBABA_QWEN_GPU_DEPLOY; SRC_EPOCH_AI_DATA_CENTERS; ASSUMP_NUMERIC_ACCELERATOR_MIX</t>
        </is>
      </c>
      <c r="K1899" s="3" t="inlineStr">
        <is>
          <t>ASSUMP_MOE_EFFICIENCY; ASSUMP_CN_CAPACITY_TRANSPARENCY; ASSUMP_NUMERIC_ACCELERATOR_MIX; ASSUMP_INFERENCE_SHARE_NOT_FACT_60; ASSUMP_WORKLOAD_CLASS_MIX; ASSUMP_AGENTIC_CONTEXT_PENALTY</t>
        </is>
      </c>
      <c r="L1899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900">
      <c r="A1900" s="3" t="inlineStr">
        <is>
          <t>Alibaba</t>
        </is>
      </c>
      <c r="B1900" s="3" t="n">
        <v>2028</v>
      </c>
      <c r="C1900" s="3" t="inlineStr">
        <is>
          <t>Base</t>
        </is>
      </c>
      <c r="D1900" s="3" t="inlineStr">
        <is>
          <t>fleet_reference_tps_per_mw</t>
        </is>
      </c>
      <c r="E1900" s="3" t="n">
        <v>166591</v>
      </c>
      <c r="F1900" s="3" t="inlineStr">
        <is>
          <t>generated output tokens/sec/MW</t>
        </is>
      </c>
      <c r="G1900" s="3" t="inlineStr">
        <is>
          <t>Fleet-weighted public benchmark reference</t>
        </is>
      </c>
      <c r="H1900" s="3" t="inlineStr">
        <is>
          <t>h200_share*h200_workload_avg + b200_share*b200_workload_avg + gb200_share*gb200_workload_avg + purpose_built_share*purpose_workload_avg</t>
        </is>
      </c>
      <c r="I190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00" s="3" t="inlineStr">
        <is>
          <t>SRC_SEMIANALYSIS_INFERENCEX; ASSUMP_NUMERIC_ACCELERATOR_MIX; ASSUMP_WORKLOAD_CLASS_MIX; ASSUMP_AGENTIC_CONTEXT_PENALTY</t>
        </is>
      </c>
      <c r="K1900" s="3" t="inlineStr">
        <is>
          <t>ASSUMP_MOE_EFFICIENCY; ASSUMP_CN_CAPACITY_TRANSPARENCY; ASSUMP_NUMERIC_ACCELERATOR_MIX; ASSUMP_INFERENCE_SHARE_NOT_FACT_60; ASSUMP_WORKLOAD_CLASS_MIX; ASSUMP_AGENTIC_CONTEXT_PENALTY</t>
        </is>
      </c>
      <c r="L1900" s="3" t="inlineStr">
        <is>
          <t>Comparable production output-token throughput or a more closely matched benchmark.</t>
        </is>
      </c>
    </row>
    <row r="1901">
      <c r="A1901" s="3" t="inlineStr">
        <is>
          <t>Alibaba</t>
        </is>
      </c>
      <c r="B1901" s="3" t="n">
        <v>2028</v>
      </c>
      <c r="C1901" s="3" t="inlineStr">
        <is>
          <t>Base</t>
        </is>
      </c>
      <c r="D1901" s="3" t="inlineStr">
        <is>
          <t>commercial_workload_fit_factor</t>
        </is>
      </c>
      <c r="E1901" s="3" t="n">
        <v>0.9</v>
      </c>
      <c r="F1901" s="3" t="inlineStr">
        <is>
          <t>share of public reference throughput</t>
        </is>
      </c>
      <c r="G1901" s="3" t="inlineStr">
        <is>
          <t>Scenario assumption</t>
        </is>
      </c>
      <c r="H1901" s="3" t="inlineStr">
        <is>
          <t>reference_serving_tps_per_mw = fleet_reference_tps_per_mw * commercial_workload_fit_factor</t>
        </is>
      </c>
      <c r="I190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01" s="3" t="inlineStr">
        <is>
          <t>SRC_SEMIANALYSIS_INFERENCEX; ASSUMP_NUMERIC_ACCELERATOR_MIX; ASSUMP_WORKLOAD_CLASS_MIX; ASSUMP_AGENTIC_CONTEXT_PENALTY</t>
        </is>
      </c>
      <c r="K1901" s="3" t="inlineStr">
        <is>
          <t>ASSUMP_MOE_EFFICIENCY; ASSUMP_CN_CAPACITY_TRANSPARENCY; ASSUMP_NUMERIC_ACCELERATOR_MIX; ASSUMP_INFERENCE_SHARE_NOT_FACT_60; ASSUMP_WORKLOAD_CLASS_MIX; ASSUMP_AGENTIC_CONTEXT_PENALTY</t>
        </is>
      </c>
      <c r="L1901" s="3" t="inlineStr">
        <is>
          <t>Matched commercial serving benchmark by product surface, context shape and latency SLO.</t>
        </is>
      </c>
    </row>
    <row r="1902">
      <c r="A1902" s="3" t="inlineStr">
        <is>
          <t>Alibaba</t>
        </is>
      </c>
      <c r="B1902" s="3" t="n">
        <v>2028</v>
      </c>
      <c r="C1902" s="3" t="inlineStr">
        <is>
          <t>Base</t>
        </is>
      </c>
      <c r="D1902" s="3" t="inlineStr">
        <is>
          <t>reference_serving_tps_per_mw</t>
        </is>
      </c>
      <c r="E1902" s="3" t="n">
        <v>149932</v>
      </c>
      <c r="F1902" s="3" t="inlineStr">
        <is>
          <t>generated output tokens/sec/MW</t>
        </is>
      </c>
      <c r="G1902" s="3" t="inlineStr">
        <is>
          <t>Workload-adjusted benchmark proxy</t>
        </is>
      </c>
      <c r="H1902" s="3" t="inlineStr">
        <is>
          <t>fleet_reference_tps_per_mw * commercial_workload_fit_factor</t>
        </is>
      </c>
      <c r="I1902" s="3" t="inlineStr">
        <is>
          <t>This is the coefficient used for headline token generation; each GPU's short chat, long chat and agentic TPS/MW are weighted before fleet mix and commercial fit are applied.</t>
        </is>
      </c>
      <c r="J1902" s="3" t="inlineStr">
        <is>
          <t>SRC_SEMIANALYSIS_INFERENCEX; ASSUMP_NUMERIC_ACCELERATOR_MIX; ASSUMP_WORKLOAD_CLASS_MIX; ASSUMP_AGENTIC_CONTEXT_PENALTY</t>
        </is>
      </c>
      <c r="K1902" s="3" t="inlineStr">
        <is>
          <t>ASSUMP_MOE_EFFICIENCY; ASSUMP_CN_CAPACITY_TRANSPARENCY; ASSUMP_NUMERIC_ACCELERATOR_MIX; ASSUMP_INFERENCE_SHARE_NOT_FACT_60; ASSUMP_WORKLOAD_CLASS_MIX; ASSUMP_AGENTIC_CONTEXT_PENALTY</t>
        </is>
      </c>
      <c r="L1902" s="3" t="inlineStr">
        <is>
          <t>Provider production output-token throughput with comparable workload/SLO.</t>
        </is>
      </c>
    </row>
    <row r="1903">
      <c r="A1903" s="3" t="inlineStr">
        <is>
          <t>Alibaba</t>
        </is>
      </c>
      <c r="B1903" s="3" t="n">
        <v>2028</v>
      </c>
      <c r="C1903" s="3" t="inlineStr">
        <is>
          <t>Base</t>
        </is>
      </c>
      <c r="D1903" s="3" t="inlineStr">
        <is>
          <t>purpose_built_tps_per_mw</t>
        </is>
      </c>
      <c r="E1903" s="3" t="n">
        <v>996060</v>
      </c>
      <c r="F1903" s="3" t="inlineStr">
        <is>
          <t>generated output tokens/sec/MW</t>
        </is>
      </c>
      <c r="G1903" s="3" t="inlineStr">
        <is>
          <t>Conservative no-uplift proxy</t>
        </is>
      </c>
      <c r="H1903" s="3" t="inlineStr">
        <is>
          <t>purpose_built_tps_per_mw = purpose_built_reference_tps_per_mw * commercial_workload_fit_factor until comparable output-token benchmark is adopted</t>
        </is>
      </c>
      <c r="I1903" s="3" t="inlineStr">
        <is>
          <t>No comparable public output-token/MW row adopted; B200 public reference placeholder is used and remains editable.</t>
        </is>
      </c>
      <c r="J1903" s="3" t="inlineStr">
        <is>
          <t>SRC_QWEN3_GITHUB; SRC_ALIBABA_QWEN_GPU_DEPLOY; SRC_EPOCH_AI_DATA_CENTERS; ASSUMP_NUMERIC_ACCELERATOR_MIX</t>
        </is>
      </c>
      <c r="K1903" s="3" t="inlineStr">
        <is>
          <t>ASSUMP_MOE_EFFICIENCY; ASSUMP_CN_CAPACITY_TRANSPARENCY; ASSUMP_NUMERIC_ACCELERATOR_MIX; ASSUMP_INFERENCE_SHARE_NOT_FACT_60; ASSUMP_WORKLOAD_CLASS_MIX; ASSUMP_AGENTIC_CONTEXT_PENALTY</t>
        </is>
      </c>
      <c r="L1903" s="3" t="inlineStr">
        <is>
          <t>Matched-workload generated-output benchmark for the provider purpose-built accelerator.</t>
        </is>
      </c>
    </row>
    <row r="1904">
      <c r="A1904" s="3" t="inlineStr">
        <is>
          <t>Alibaba</t>
        </is>
      </c>
      <c r="B1904" s="3" t="n">
        <v>2028</v>
      </c>
      <c r="C1904" s="3" t="inlineStr">
        <is>
          <t>Base</t>
        </is>
      </c>
      <c r="D1904" s="3" t="inlineStr">
        <is>
          <t>inference_power_share</t>
        </is>
      </c>
      <c r="E1904" s="3" t="n">
        <v>0.7</v>
      </c>
      <c r="F1904" s="3" t="inlineStr">
        <is>
          <t>share of AI IT load</t>
        </is>
      </c>
      <c r="G1904" s="3" t="inlineStr">
        <is>
          <t>Scenario allocation</t>
        </is>
      </c>
      <c r="H1904" s="3" t="inlineStr">
        <is>
          <t>inference_gw = ai_it_load_gw * inference_power_share</t>
        </is>
      </c>
      <c r="I1904" s="3" t="inlineStr">
        <is>
          <t>Qwen API/enterprise commercialization and MoE architecture support increasing inference allocation scenario.</t>
        </is>
      </c>
      <c r="J1904" s="3" t="inlineStr">
        <is>
          <t>SRC_QWEN3_GITHUB; SRC_ALIBABA_QWEN_GPU_DEPLOY; SRC_EPOCH_AI_DATA_CENTERS; ASSUMP_INFERENCE_SHARE_NOT_FACT_60</t>
        </is>
      </c>
      <c r="K1904" s="3" t="inlineStr">
        <is>
          <t>ASSUMP_MOE_EFFICIENCY; ASSUMP_CN_CAPACITY_TRANSPARENCY; ASSUMP_NUMERIC_ACCELERATOR_MIX; ASSUMP_INFERENCE_SHARE_NOT_FACT_60; ASSUMP_WORKLOAD_CLASS_MIX; ASSUMP_AGENTIC_CONTEXT_PENALTY</t>
        </is>
      </c>
      <c r="L1904" s="3" t="inlineStr">
        <is>
          <t>Provider-specific inference/training workload power telemetry.</t>
        </is>
      </c>
    </row>
    <row r="1905">
      <c r="A1905" s="3" t="inlineStr">
        <is>
          <t>Alibaba</t>
        </is>
      </c>
      <c r="B1905" s="3" t="n">
        <v>2028</v>
      </c>
      <c r="C1905" s="3" t="inlineStr">
        <is>
          <t>Base</t>
        </is>
      </c>
      <c r="D1905" s="3" t="inlineStr">
        <is>
          <t>inference_gw</t>
        </is>
      </c>
      <c r="E1905" s="3" t="n">
        <v>0.92</v>
      </c>
      <c r="F1905" s="3" t="inlineStr">
        <is>
          <t>GW</t>
        </is>
      </c>
      <c r="G1905" s="3" t="inlineStr">
        <is>
          <t>Derived formula</t>
        </is>
      </c>
      <c r="H1905" s="3" t="inlineStr">
        <is>
          <t>ai_it_load_gw * inference_power_share</t>
        </is>
      </c>
      <c r="I1905" s="3" t="inlineStr">
        <is>
          <t>This is the operational power eligible to become commercial generated output tokens through the selected TPS/MW proxy.</t>
        </is>
      </c>
      <c r="J1905" s="3" t="inlineStr">
        <is>
          <t>SRC_QWEN3_GITHUB; SRC_ALIBABA_QWEN_GPU_DEPLOY; SRC_EPOCH_AI_DATA_CENTERS</t>
        </is>
      </c>
      <c r="K1905" s="3" t="inlineStr">
        <is>
          <t>ASSUMP_MOE_EFFICIENCY; ASSUMP_CN_CAPACITY_TRANSPARENCY; ASSUMP_NUMERIC_ACCELERATOR_MIX; ASSUMP_INFERENCE_SHARE_NOT_FACT_60; ASSUMP_WORKLOAD_CLASS_MIX; ASSUMP_AGENTIC_CONTEXT_PENALTY</t>
        </is>
      </c>
      <c r="L1905" s="3" t="inlineStr">
        <is>
          <t>Recompute after AI allocation or inference-share evidence changes.</t>
        </is>
      </c>
    </row>
    <row r="1906">
      <c r="A1906" s="3" t="inlineStr">
        <is>
          <t>Alibaba</t>
        </is>
      </c>
      <c r="B1906" s="3" t="n">
        <v>2028</v>
      </c>
      <c r="C1906" s="3" t="inlineStr">
        <is>
          <t>Base</t>
        </is>
      </c>
      <c r="D1906" s="3" t="inlineStr">
        <is>
          <t>training_power_share</t>
        </is>
      </c>
      <c r="E1906" s="3" t="n">
        <v>0.3</v>
      </c>
      <c r="F1906" s="3" t="inlineStr">
        <is>
          <t>share of AI IT load</t>
        </is>
      </c>
      <c r="G1906" s="3" t="inlineStr">
        <is>
          <t>Derived allocation</t>
        </is>
      </c>
      <c r="H1906" s="3" t="inlineStr">
        <is>
          <t>1 - inference_power_share</t>
        </is>
      </c>
      <c r="I1906" s="3" t="inlineStr">
        <is>
          <t>Training receives the complementary modeled AI IT allocation; it is not a disclosed company workload split.</t>
        </is>
      </c>
      <c r="J1906" s="3" t="inlineStr">
        <is>
          <t>SRC_QWEN3_GITHUB; SRC_ALIBABA_QWEN_GPU_DEPLOY; SRC_EPOCH_AI_DATA_CENTERS; ASSUMP_INFERENCE_SHARE_NOT_FACT_60</t>
        </is>
      </c>
      <c r="K1906" s="3" t="inlineStr">
        <is>
          <t>ASSUMP_MOE_EFFICIENCY; ASSUMP_CN_CAPACITY_TRANSPARENCY; ASSUMP_NUMERIC_ACCELERATOR_MIX; ASSUMP_INFERENCE_SHARE_NOT_FACT_60; ASSUMP_WORKLOAD_CLASS_MIX; ASSUMP_AGENTIC_CONTEXT_PENALTY</t>
        </is>
      </c>
      <c r="L1906" s="3" t="inlineStr">
        <is>
          <t>Provider-specific inference/training workload power telemetry.</t>
        </is>
      </c>
    </row>
    <row r="1907">
      <c r="A1907" s="3" t="inlineStr">
        <is>
          <t>Alibaba</t>
        </is>
      </c>
      <c r="B1907" s="3" t="n">
        <v>2028</v>
      </c>
      <c r="C1907" s="3" t="inlineStr">
        <is>
          <t>Base</t>
        </is>
      </c>
      <c r="D1907" s="3" t="inlineStr">
        <is>
          <t>training_gw</t>
        </is>
      </c>
      <c r="E1907" s="3" t="n">
        <v>0.394</v>
      </c>
      <c r="F1907" s="3" t="inlineStr">
        <is>
          <t>GW</t>
        </is>
      </c>
      <c r="G1907" s="3" t="inlineStr">
        <is>
          <t>Derived formula</t>
        </is>
      </c>
      <c r="H1907" s="3" t="inlineStr">
        <is>
          <t>ai_it_load_gw * training_power_share</t>
        </is>
      </c>
      <c r="I1907" s="3" t="inlineStr">
        <is>
          <t>Training GW is shown separately so commercial inference token capacity is not overstated.</t>
        </is>
      </c>
      <c r="J1907" s="3" t="inlineStr">
        <is>
          <t>SRC_QWEN3_GITHUB; SRC_ALIBABA_QWEN_GPU_DEPLOY; SRC_EPOCH_AI_DATA_CENTERS</t>
        </is>
      </c>
      <c r="K1907" s="3" t="inlineStr">
        <is>
          <t>ASSUMP_MOE_EFFICIENCY; ASSUMP_CN_CAPACITY_TRANSPARENCY; ASSUMP_NUMERIC_ACCELERATOR_MIX; ASSUMP_INFERENCE_SHARE_NOT_FACT_60; ASSUMP_WORKLOAD_CLASS_MIX; ASSUMP_AGENTIC_CONTEXT_PENALTY</t>
        </is>
      </c>
      <c r="L1907" s="3" t="inlineStr">
        <is>
          <t>Recompute after AI allocation or workload-split evidence changes.</t>
        </is>
      </c>
    </row>
    <row r="1908">
      <c r="A1908" s="3" t="inlineStr">
        <is>
          <t>Alibaba</t>
        </is>
      </c>
      <c r="B1908" s="3" t="n">
        <v>2028</v>
      </c>
      <c r="C1908" s="3" t="inlineStr">
        <is>
          <t>Base</t>
        </is>
      </c>
      <c r="D1908" s="3" t="inlineStr">
        <is>
          <t>tokens_per_second_per_mw</t>
        </is>
      </c>
      <c r="E1908" s="3" t="n">
        <v>149932</v>
      </c>
      <c r="F1908" s="3" t="inlineStr">
        <is>
          <t>generated output tokens/sec/MW</t>
        </is>
      </c>
      <c r="G1908" s="3" t="inlineStr">
        <is>
          <t>Derived estimate + benchmark calibration</t>
        </is>
      </c>
      <c r="H1908" s="3" t="inlineStr">
        <is>
          <t>fleet_reference_tps_per_mw * commercial_workload_fit_factor</t>
        </is>
      </c>
      <c r="I190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08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908" s="3" t="inlineStr">
        <is>
          <t>ASSUMP_MOE_EFFICIENCY; ASSUMP_CN_CAPACITY_TRANSPARENCY; ASSUMP_NUMERIC_ACCELERATOR_MIX; ASSUMP_INFERENCE_SHARE_NOT_FACT_60; ASSUMP_WORKLOAD_CLASS_MIX; ASSUMP_AGENTIC_CONTEXT_PENALTY</t>
        </is>
      </c>
      <c r="L1908" s="3" t="inlineStr">
        <is>
          <t>Comparable production output-token throughput with model, hardware, precision, ISL/OSL and SLO matched.</t>
        </is>
      </c>
    </row>
    <row r="1909">
      <c r="A1909" s="3" t="inlineStr">
        <is>
          <t>Alibaba</t>
        </is>
      </c>
      <c r="B1909" s="3" t="n">
        <v>2028</v>
      </c>
      <c r="C1909" s="3" t="inlineStr">
        <is>
          <t>Base</t>
        </is>
      </c>
      <c r="D1909" s="3" t="inlineStr">
        <is>
          <t>inference_tokens_per_day</t>
        </is>
      </c>
      <c r="E1909" s="3" t="n">
        <v>11917794816000</v>
      </c>
      <c r="F1909" s="3" t="inlineStr">
        <is>
          <t>generated output tokens/day</t>
        </is>
      </c>
      <c r="G1909" s="3" t="inlineStr">
        <is>
          <t>Derived headline metric</t>
        </is>
      </c>
      <c r="H1909" s="3" t="inlineStr">
        <is>
          <t>inference_gw * 1000 * tokens_per_second_per_mw * 86,400</t>
        </is>
      </c>
      <c r="I1909" s="3" t="inlineStr">
        <is>
          <t>Headline capacity uses no utilization, MoE, architecture or software-growth multiplier; it is not observed commercial output volume.</t>
        </is>
      </c>
      <c r="J1909" s="3" t="inlineStr">
        <is>
          <t>SRC_QWEN3_GITHUB; SRC_ALIBABA_QWEN_GPU_DEPLOY; SRC_EPOCH_AI_DATA_CENTERS; SRC_SEMIANALYSIS_INFERENCEX</t>
        </is>
      </c>
      <c r="K1909" s="3" t="inlineStr">
        <is>
          <t>ASSUMP_MOE_EFFICIENCY; ASSUMP_CN_CAPACITY_TRANSPARENCY; ASSUMP_NUMERIC_ACCELERATOR_MIX; ASSUMP_INFERENCE_SHARE_NOT_FACT_60; ASSUMP_WORKLOAD_CLASS_MIX; ASSUMP_AGENTIC_CONTEXT_PENALTY</t>
        </is>
      </c>
      <c r="L1909" s="3" t="inlineStr">
        <is>
          <t>Provider-disclosed generated output token volume or calibrated capacity telemetry.</t>
        </is>
      </c>
    </row>
    <row r="1910">
      <c r="A1910" s="3" t="inlineStr">
        <is>
          <t>Alibaba</t>
        </is>
      </c>
      <c r="B1910" s="3" t="n">
        <v>2028</v>
      </c>
      <c r="C1910" s="3" t="inlineStr">
        <is>
          <t>Base</t>
        </is>
      </c>
      <c r="D1910" s="3" t="inlineStr">
        <is>
          <t>inference_tokens_per_year</t>
        </is>
      </c>
      <c r="E1910" s="3" t="n">
        <v>4349995107840000</v>
      </c>
      <c r="F1910" s="3" t="inlineStr">
        <is>
          <t>generated output tokens/year</t>
        </is>
      </c>
      <c r="G1910" s="3" t="inlineStr">
        <is>
          <t>Derived headline metric</t>
        </is>
      </c>
      <c r="H1910" s="3" t="inlineStr">
        <is>
          <t>inference_tokens_per_day * 365</t>
        </is>
      </c>
      <c r="I1910" s="3" t="inlineStr">
        <is>
          <t>Annualized version of generated output token capacity; it is not observed annual demand or billable volume.</t>
        </is>
      </c>
      <c r="J1910" s="3" t="inlineStr">
        <is>
          <t>SRC_QWEN3_GITHUB; SRC_ALIBABA_QWEN_GPU_DEPLOY; SRC_EPOCH_AI_DATA_CENTERS; SRC_SEMIANALYSIS_INFERENCEX</t>
        </is>
      </c>
      <c r="K1910" s="3" t="inlineStr">
        <is>
          <t>ASSUMP_MOE_EFFICIENCY; ASSUMP_CN_CAPACITY_TRANSPARENCY; ASSUMP_NUMERIC_ACCELERATOR_MIX; ASSUMP_INFERENCE_SHARE_NOT_FACT_60; ASSUMP_WORKLOAD_CLASS_MIX; ASSUMP_AGENTIC_CONTEXT_PENALTY</t>
        </is>
      </c>
      <c r="L1910" s="3" t="inlineStr">
        <is>
          <t>Provider-disclosed annual generated-output volume or metered serving telemetry.</t>
        </is>
      </c>
    </row>
    <row r="1911">
      <c r="A1911" s="3" t="inlineStr">
        <is>
          <t>Alibaba</t>
        </is>
      </c>
      <c r="B1911" s="3" t="n">
        <v>2029</v>
      </c>
      <c r="C1911" s="3" t="inlineStr">
        <is>
          <t>Base</t>
        </is>
      </c>
      <c r="D1911" s="3" t="inlineStr">
        <is>
          <t>contracted_power_gw</t>
        </is>
      </c>
      <c r="E1911" s="3" t="n">
        <v>3.45</v>
      </c>
      <c r="F1911" s="3" t="inlineStr">
        <is>
          <t>GW</t>
        </is>
      </c>
      <c r="G1911" s="3" t="inlineStr">
        <is>
          <t>Scenario capacity envelope</t>
        </is>
      </c>
      <c r="H1911" s="3" t="inlineStr">
        <is>
          <t>linear interpolation between 2026 and 2030 company capacity endpoints</t>
        </is>
      </c>
      <c r="I1911" s="3" t="inlineStr">
        <is>
          <t>Alibaba Cloud/Qwen capacity is a scenario envelope; official model and deployment documentation does not state operated GW.</t>
        </is>
      </c>
      <c r="J1911" s="3" t="inlineStr">
        <is>
          <t>SRC_ALIBABA_QWEN_GPU_DEPLOY; ASSUMP_CN_CAPACITY_TRANSPARENCY</t>
        </is>
      </c>
      <c r="K1911" s="3" t="inlineStr">
        <is>
          <t>ASSUMP_MOE_EFFICIENCY; ASSUMP_CN_CAPACITY_TRANSPARENCY; ASSUMP_NUMERIC_ACCELERATOR_MIX; ASSUMP_INFERENCE_SHARE_NOT_FACT_60; ASSUMP_WORKLOAD_CLASS_MIX; ASSUMP_AGENTIC_CONTEXT_PENALTY</t>
        </is>
      </c>
      <c r="L1911" s="3" t="inlineStr">
        <is>
          <t>Company/site-level committed MW/GW, interconnect and contract disclosure.</t>
        </is>
      </c>
    </row>
    <row r="1912">
      <c r="A1912" s="3" t="inlineStr">
        <is>
          <t>Alibaba</t>
        </is>
      </c>
      <c r="B1912" s="3" t="n">
        <v>2029</v>
      </c>
      <c r="C1912" s="3" t="inlineStr">
        <is>
          <t>Base</t>
        </is>
      </c>
      <c r="D1912" s="3" t="inlineStr">
        <is>
          <t>operational_deployment_share</t>
        </is>
      </c>
      <c r="E1912" s="3" t="n">
        <v>0.7426087</v>
      </c>
      <c r="F1912" s="3" t="inlineStr">
        <is>
          <t>share</t>
        </is>
      </c>
      <c r="G1912" s="3" t="inlineStr">
        <is>
          <t>Scenario conversion</t>
        </is>
      </c>
      <c r="H1912" s="3" t="inlineStr">
        <is>
          <t>active_power_gw / contracted_power_gw</t>
        </is>
      </c>
      <c r="I1912" s="3" t="inlineStr">
        <is>
          <t>This is the single explicit conversion from contracted/attributed capacity to operationally usable capacity.</t>
        </is>
      </c>
      <c r="J1912" s="3" t="inlineStr">
        <is>
          <t>SRC_ALIBABA_QWEN_GPU_DEPLOY; ASSUMP_CN_CAPACITY_TRANSPARENCY</t>
        </is>
      </c>
      <c r="K1912" s="3" t="inlineStr">
        <is>
          <t>ASSUMP_MOE_EFFICIENCY; ASSUMP_CN_CAPACITY_TRANSPARENCY; ASSUMP_NUMERIC_ACCELERATOR_MIX; ASSUMP_INFERENCE_SHARE_NOT_FACT_60; ASSUMP_WORKLOAD_CLASS_MIX; ASSUMP_AGENTIC_CONTEXT_PENALTY</t>
        </is>
      </c>
      <c r="L1912" s="3" t="inlineStr">
        <is>
          <t>Energized operational capacity divided by contracted/attributed capacity.</t>
        </is>
      </c>
    </row>
    <row r="1913">
      <c r="A1913" s="3" t="inlineStr">
        <is>
          <t>Alibaba</t>
        </is>
      </c>
      <c r="B1913" s="3" t="n">
        <v>2029</v>
      </c>
      <c r="C1913" s="3" t="inlineStr">
        <is>
          <t>Base</t>
        </is>
      </c>
      <c r="D1913" s="3" t="inlineStr">
        <is>
          <t>active_power_gw</t>
        </is>
      </c>
      <c r="E1913" s="3" t="n">
        <v>2.562</v>
      </c>
      <c r="F1913" s="3" t="inlineStr">
        <is>
          <t>GW</t>
        </is>
      </c>
      <c r="G1913" s="3" t="inlineStr">
        <is>
          <t>Derived scenario</t>
        </is>
      </c>
      <c r="H1913" s="3" t="inlineStr">
        <is>
          <t>contracted_power_gw * operational_deployment_share</t>
        </is>
      </c>
      <c r="I1913" s="3" t="inlineStr">
        <is>
          <t>Active GW is staged below capacity due to undisclosed accelerator allocation and cloud multi-tenant use.</t>
        </is>
      </c>
      <c r="J1913" s="3" t="inlineStr">
        <is>
          <t>SRC_ALIBABA_QWEN_GPU_DEPLOY; ASSUMP_CN_CAPACITY_TRANSPARENCY</t>
        </is>
      </c>
      <c r="K1913" s="3" t="inlineStr">
        <is>
          <t>ASSUMP_MOE_EFFICIENCY; ASSUMP_CN_CAPACITY_TRANSPARENCY; ASSUMP_NUMERIC_ACCELERATOR_MIX; ASSUMP_INFERENCE_SHARE_NOT_FACT_60; ASSUMP_WORKLOAD_CLASS_MIX; ASSUMP_AGENTIC_CONTEXT_PENALTY</t>
        </is>
      </c>
      <c r="L1913" s="3" t="inlineStr">
        <is>
          <t>Energization dates, accelerator deliveries and operational powered-rack telemetry.</t>
        </is>
      </c>
    </row>
    <row r="1914">
      <c r="A1914" s="3" t="inlineStr">
        <is>
          <t>Alibaba</t>
        </is>
      </c>
      <c r="B1914" s="3" t="n">
        <v>2029</v>
      </c>
      <c r="C1914" s="3" t="inlineStr">
        <is>
          <t>Base</t>
        </is>
      </c>
      <c r="D1914" s="3" t="inlineStr">
        <is>
          <t>pue</t>
        </is>
      </c>
      <c r="E1914" s="3" t="n">
        <v>1.23</v>
      </c>
      <c r="F1914" s="3" t="inlineStr">
        <is>
          <t>ratio</t>
        </is>
      </c>
      <c r="G1914" s="3" t="inlineStr">
        <is>
          <t>Scenario parameter</t>
        </is>
      </c>
      <c r="H1914" s="3" t="inlineStr">
        <is>
          <t>it_load_gw = active_power_gw / pue</t>
        </is>
      </c>
      <c r="I1914" s="3" t="inlineStr">
        <is>
          <t>No provider-wide site-level PUE is used as a disclosed fact; PUE represents facility-to-IT conversion within the scenario.</t>
        </is>
      </c>
      <c r="J1914" s="3" t="inlineStr">
        <is>
          <t>ASSUMP_POWER_RAMP</t>
        </is>
      </c>
      <c r="K1914" s="3" t="inlineStr">
        <is>
          <t>ASSUMP_MOE_EFFICIENCY; ASSUMP_CN_CAPACITY_TRANSPARENCY; ASSUMP_NUMERIC_ACCELERATOR_MIX; ASSUMP_INFERENCE_SHARE_NOT_FACT_60; ASSUMP_WORKLOAD_CLASS_MIX; ASSUMP_AGENTIC_CONTEXT_PENALTY</t>
        </is>
      </c>
      <c r="L1914" s="3" t="inlineStr">
        <is>
          <t>Site-level measured PUE matched to attributed AI capacity.</t>
        </is>
      </c>
    </row>
    <row r="1915">
      <c r="A1915" s="3" t="inlineStr">
        <is>
          <t>Alibaba</t>
        </is>
      </c>
      <c r="B1915" s="3" t="n">
        <v>2029</v>
      </c>
      <c r="C1915" s="3" t="inlineStr">
        <is>
          <t>Base</t>
        </is>
      </c>
      <c r="D1915" s="3" t="inlineStr">
        <is>
          <t>it_load_gw</t>
        </is>
      </c>
      <c r="E1915" s="3" t="n">
        <v>2.083</v>
      </c>
      <c r="F1915" s="3" t="inlineStr">
        <is>
          <t>GW</t>
        </is>
      </c>
      <c r="G1915" s="3" t="inlineStr">
        <is>
          <t>Derived formula</t>
        </is>
      </c>
      <c r="H1915" s="3" t="inlineStr">
        <is>
          <t>active_power_gw / pue</t>
        </is>
      </c>
      <c r="I1915" s="3" t="inlineStr">
        <is>
          <t>Facility power is converted to IT-deliverable power before attributing AI workloads.</t>
        </is>
      </c>
      <c r="J1915" s="3" t="inlineStr">
        <is>
          <t>SRC_ALIBABA_QWEN_GPU_DEPLOY; ASSUMP_CN_CAPACITY_TRANSPARENCY</t>
        </is>
      </c>
      <c r="K1915" s="3" t="inlineStr">
        <is>
          <t>ASSUMP_MOE_EFFICIENCY; ASSUMP_CN_CAPACITY_TRANSPARENCY; ASSUMP_NUMERIC_ACCELERATOR_MIX; ASSUMP_INFERENCE_SHARE_NOT_FACT_60; ASSUMP_WORKLOAD_CLASS_MIX; ASSUMP_AGENTIC_CONTEXT_PENALTY</t>
        </is>
      </c>
      <c r="L1915" s="3" t="inlineStr">
        <is>
          <t>Recompute once active power and PUE become site-observable.</t>
        </is>
      </c>
    </row>
    <row r="1916">
      <c r="A1916" s="3" t="inlineStr">
        <is>
          <t>Alibaba</t>
        </is>
      </c>
      <c r="B1916" s="3" t="n">
        <v>2029</v>
      </c>
      <c r="C1916" s="3" t="inlineStr">
        <is>
          <t>Base</t>
        </is>
      </c>
      <c r="D1916" s="3" t="inlineStr">
        <is>
          <t>ai_workload_share</t>
        </is>
      </c>
      <c r="E1916" s="3" t="n">
        <v>0.84</v>
      </c>
      <c r="F1916" s="3" t="inlineStr">
        <is>
          <t>share</t>
        </is>
      </c>
      <c r="G1916" s="3" t="inlineStr">
        <is>
          <t>Scenario allocation</t>
        </is>
      </c>
      <c r="H1916" s="3" t="inlineStr">
        <is>
          <t>ai_it_load_gw = it_load_gw * ai_workload_share</t>
        </is>
      </c>
      <c r="I1916" s="3" t="inlineStr">
        <is>
          <t>Model Studio/Qwen-serving envelope is AI-focused, while cloud platform/reserve allocation is excluded through 84%.</t>
        </is>
      </c>
      <c r="J1916" s="3" t="inlineStr">
        <is>
          <t>SRC_QWEN3_GITHUB; SRC_ALIBABA_QWEN_GPU_DEPLOY; SRC_EPOCH_AI_DATA_CENTERS</t>
        </is>
      </c>
      <c r="K1916" s="3" t="inlineStr">
        <is>
          <t>ASSUMP_MOE_EFFICIENCY; ASSUMP_CN_CAPACITY_TRANSPARENCY; ASSUMP_NUMERIC_ACCELERATOR_MIX; ASSUMP_INFERENCE_SHARE_NOT_FACT_60; ASSUMP_WORKLOAD_CLASS_MIX; ASSUMP_AGENTIC_CONTEXT_PENALTY</t>
        </is>
      </c>
      <c r="L1916" s="3" t="inlineStr">
        <is>
          <t>Model-owner AI workload allocation or cluster scheduling telemetry.</t>
        </is>
      </c>
    </row>
    <row r="1917">
      <c r="A1917" s="3" t="inlineStr">
        <is>
          <t>Alibaba</t>
        </is>
      </c>
      <c r="B1917" s="3" t="n">
        <v>2029</v>
      </c>
      <c r="C1917" s="3" t="inlineStr">
        <is>
          <t>Base</t>
        </is>
      </c>
      <c r="D1917" s="3" t="inlineStr">
        <is>
          <t>ai_it_load_gw</t>
        </is>
      </c>
      <c r="E1917" s="3" t="n">
        <v>1.75</v>
      </c>
      <c r="F1917" s="3" t="inlineStr">
        <is>
          <t>GW</t>
        </is>
      </c>
      <c r="G1917" s="3" t="inlineStr">
        <is>
          <t>Derived formula</t>
        </is>
      </c>
      <c r="H1917" s="3" t="inlineStr">
        <is>
          <t>it_load_gw * ai_workload_share</t>
        </is>
      </c>
      <c r="I1917" s="3" t="inlineStr">
        <is>
          <t>Only the AI-attributed portion of IT load enters training/inference allocation.</t>
        </is>
      </c>
      <c r="J1917" s="3" t="inlineStr">
        <is>
          <t>SRC_QWEN3_GITHUB; SRC_ALIBABA_QWEN_GPU_DEPLOY; SRC_EPOCH_AI_DATA_CENTERS</t>
        </is>
      </c>
      <c r="K1917" s="3" t="inlineStr">
        <is>
          <t>ASSUMP_MOE_EFFICIENCY; ASSUMP_CN_CAPACITY_TRANSPARENCY; ASSUMP_NUMERIC_ACCELERATOR_MIX; ASSUMP_INFERENCE_SHARE_NOT_FACT_60; ASSUMP_WORKLOAD_CLASS_MIX; ASSUMP_AGENTIC_CONTEXT_PENALTY</t>
        </is>
      </c>
      <c r="L1917" s="3" t="inlineStr">
        <is>
          <t>Recompute after ai_workload_share is replaced by telemetry.</t>
        </is>
      </c>
    </row>
    <row r="1918">
      <c r="A1918" s="3" t="inlineStr">
        <is>
          <t>Alibaba</t>
        </is>
      </c>
      <c r="B1918" s="3" t="n">
        <v>2029</v>
      </c>
      <c r="C1918" s="3" t="inlineStr">
        <is>
          <t>Base</t>
        </is>
      </c>
      <c r="D1918" s="3" t="inlineStr">
        <is>
          <t>gpu_share</t>
        </is>
      </c>
      <c r="E1918" s="3" t="n">
        <v>1</v>
      </c>
      <c r="F1918" s="3" t="inlineStr">
        <is>
          <t>share of inference-serving accelerator load</t>
        </is>
      </c>
      <c r="G1918" s="3" t="inlineStr">
        <is>
          <t>Numeric scenario</t>
        </is>
      </c>
      <c r="H1918" s="3" t="inlineStr">
        <is>
          <t>gpu_share interpolated from company 2026/2030 accelerator-mix endpoints</t>
        </is>
      </c>
      <c r="I1918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918" s="3" t="inlineStr">
        <is>
          <t>SRC_QWEN3_GITHUB; SRC_ALIBABA_QWEN_GPU_DEPLOY; SRC_EPOCH_AI_DATA_CENTERS; ASSUMP_NUMERIC_ACCELERATOR_MIX</t>
        </is>
      </c>
      <c r="K1918" s="3" t="inlineStr">
        <is>
          <t>ASSUMP_MOE_EFFICIENCY; ASSUMP_CN_CAPACITY_TRANSPARENCY; ASSUMP_NUMERIC_ACCELERATOR_MIX; ASSUMP_INFERENCE_SHARE_NOT_FACT_60; ASSUMP_WORKLOAD_CLASS_MIX; ASSUMP_AGENTIC_CONTEXT_PENALTY</t>
        </is>
      </c>
      <c r="L1918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919">
      <c r="A1919" s="3" t="inlineStr">
        <is>
          <t>Alibaba</t>
        </is>
      </c>
      <c r="B1919" s="3" t="n">
        <v>2029</v>
      </c>
      <c r="C1919" s="3" t="inlineStr">
        <is>
          <t>Base</t>
        </is>
      </c>
      <c r="D1919" s="3" t="inlineStr">
        <is>
          <t>h200_share</t>
        </is>
      </c>
      <c r="E1919" s="3" t="n">
        <v>1</v>
      </c>
      <c r="F1919" s="3" t="inlineStr">
        <is>
          <t>share of inference-serving accelerator load</t>
        </is>
      </c>
      <c r="G1919" s="3" t="inlineStr">
        <is>
          <t>Editable numeric scenario</t>
        </is>
      </c>
      <c r="H1919" s="3" t="inlineStr">
        <is>
          <t>h200_share = gpu_share * default_gpu_generation_mix_h200</t>
        </is>
      </c>
      <c r="I1919" s="3" t="inlineStr">
        <is>
          <t>Default GPU-generation migration assumption; executive workbook allows later manual replacement by company/year/scenario.</t>
        </is>
      </c>
      <c r="J1919" s="3" t="inlineStr">
        <is>
          <t>SRC_SEMIANALYSIS_INFERENCEX; ASSUMP_NUMERIC_ACCELERATOR_MIX</t>
        </is>
      </c>
      <c r="K1919" s="3" t="inlineStr">
        <is>
          <t>ASSUMP_MOE_EFFICIENCY; ASSUMP_CN_CAPACITY_TRANSPARENCY; ASSUMP_NUMERIC_ACCELERATOR_MIX; ASSUMP_INFERENCE_SHARE_NOT_FACT_60; ASSUMP_WORKLOAD_CLASS_MIX; ASSUMP_AGENTIC_CONTEXT_PENALTY</t>
        </is>
      </c>
      <c r="L1919" s="3" t="inlineStr">
        <is>
          <t>Company fleet inventory, accelerator-hours or procurement/deployment records by GPU generation.</t>
        </is>
      </c>
    </row>
    <row r="1920">
      <c r="A1920" s="3" t="inlineStr">
        <is>
          <t>Alibaba</t>
        </is>
      </c>
      <c r="B1920" s="3" t="n">
        <v>2029</v>
      </c>
      <c r="C1920" s="3" t="inlineStr">
        <is>
          <t>Base</t>
        </is>
      </c>
      <c r="D1920" s="3" t="inlineStr">
        <is>
          <t>b200_share</t>
        </is>
      </c>
      <c r="E1920" s="3" t="n">
        <v>0</v>
      </c>
      <c r="F1920" s="3" t="inlineStr">
        <is>
          <t>share of inference-serving accelerator load</t>
        </is>
      </c>
      <c r="G1920" s="3" t="inlineStr">
        <is>
          <t>Editable numeric scenario</t>
        </is>
      </c>
      <c r="H1920" s="3" t="inlineStr">
        <is>
          <t>b200_share = gpu_share * default_gpu_generation_mix_b200</t>
        </is>
      </c>
      <c r="I1920" s="3" t="inlineStr">
        <is>
          <t>Default GPU-generation migration assumption; executive workbook allows later manual replacement by company/year/scenario.</t>
        </is>
      </c>
      <c r="J1920" s="3" t="inlineStr">
        <is>
          <t>SRC_SEMIANALYSIS_INFERENCEX; ASSUMP_NUMERIC_ACCELERATOR_MIX</t>
        </is>
      </c>
      <c r="K1920" s="3" t="inlineStr">
        <is>
          <t>ASSUMP_MOE_EFFICIENCY; ASSUMP_CN_CAPACITY_TRANSPARENCY; ASSUMP_NUMERIC_ACCELERATOR_MIX; ASSUMP_INFERENCE_SHARE_NOT_FACT_60; ASSUMP_WORKLOAD_CLASS_MIX; ASSUMP_AGENTIC_CONTEXT_PENALTY</t>
        </is>
      </c>
      <c r="L1920" s="3" t="inlineStr">
        <is>
          <t>Company fleet inventory, accelerator-hours or procurement/deployment records by GPU generation.</t>
        </is>
      </c>
    </row>
    <row r="1921">
      <c r="A1921" s="3" t="inlineStr">
        <is>
          <t>Alibaba</t>
        </is>
      </c>
      <c r="B1921" s="3" t="n">
        <v>2029</v>
      </c>
      <c r="C1921" s="3" t="inlineStr">
        <is>
          <t>Base</t>
        </is>
      </c>
      <c r="D1921" s="3" t="inlineStr">
        <is>
          <t>gb200_share</t>
        </is>
      </c>
      <c r="E1921" s="3" t="n">
        <v>0</v>
      </c>
      <c r="F1921" s="3" t="inlineStr">
        <is>
          <t>share of inference-serving accelerator load</t>
        </is>
      </c>
      <c r="G1921" s="3" t="inlineStr">
        <is>
          <t>Editable numeric scenario</t>
        </is>
      </c>
      <c r="H1921" s="3" t="inlineStr">
        <is>
          <t>gb200_share = gpu_share * default_gpu_generation_mix_gb200</t>
        </is>
      </c>
      <c r="I1921" s="3" t="inlineStr">
        <is>
          <t>Default GPU-generation migration assumption; executive workbook allows later manual replacement by company/year/scenario.</t>
        </is>
      </c>
      <c r="J1921" s="3" t="inlineStr">
        <is>
          <t>SRC_SEMIANALYSIS_INFERENCEX; ASSUMP_NUMERIC_ACCELERATOR_MIX</t>
        </is>
      </c>
      <c r="K1921" s="3" t="inlineStr">
        <is>
          <t>ASSUMP_MOE_EFFICIENCY; ASSUMP_CN_CAPACITY_TRANSPARENCY; ASSUMP_NUMERIC_ACCELERATOR_MIX; ASSUMP_INFERENCE_SHARE_NOT_FACT_60; ASSUMP_WORKLOAD_CLASS_MIX; ASSUMP_AGENTIC_CONTEXT_PENALTY</t>
        </is>
      </c>
      <c r="L1921" s="3" t="inlineStr">
        <is>
          <t>Company fleet inventory, accelerator-hours or procurement/deployment records by GPU generation.</t>
        </is>
      </c>
    </row>
    <row r="1922">
      <c r="A1922" s="3" t="inlineStr">
        <is>
          <t>Alibaba</t>
        </is>
      </c>
      <c r="B1922" s="3" t="n">
        <v>2029</v>
      </c>
      <c r="C1922" s="3" t="inlineStr">
        <is>
          <t>Base</t>
        </is>
      </c>
      <c r="D1922" s="3" t="inlineStr">
        <is>
          <t>purpose_built_accelerator_share</t>
        </is>
      </c>
      <c r="E1922" s="3" t="n">
        <v>0</v>
      </c>
      <c r="F1922" s="3" t="inlineStr">
        <is>
          <t>share of inference-serving accelerator load</t>
        </is>
      </c>
      <c r="G1922" s="3" t="inlineStr">
        <is>
          <t>Numeric scenario</t>
        </is>
      </c>
      <c r="H1922" s="3" t="inlineStr">
        <is>
          <t>1 - gpu_share</t>
        </is>
      </c>
      <c r="I1922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922" s="3" t="inlineStr">
        <is>
          <t>SRC_QWEN3_GITHUB; SRC_ALIBABA_QWEN_GPU_DEPLOY; SRC_EPOCH_AI_DATA_CENTERS; ASSUMP_NUMERIC_ACCELERATOR_MIX</t>
        </is>
      </c>
      <c r="K1922" s="3" t="inlineStr">
        <is>
          <t>ASSUMP_MOE_EFFICIENCY; ASSUMP_CN_CAPACITY_TRANSPARENCY; ASSUMP_NUMERIC_ACCELERATOR_MIX; ASSUMP_INFERENCE_SHARE_NOT_FACT_60; ASSUMP_WORKLOAD_CLASS_MIX; ASSUMP_AGENTIC_CONTEXT_PENALTY</t>
        </is>
      </c>
      <c r="L1922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923">
      <c r="A1923" s="3" t="inlineStr">
        <is>
          <t>Alibaba</t>
        </is>
      </c>
      <c r="B1923" s="3" t="n">
        <v>2029</v>
      </c>
      <c r="C1923" s="3" t="inlineStr">
        <is>
          <t>Base</t>
        </is>
      </c>
      <c r="D1923" s="3" t="inlineStr">
        <is>
          <t>fleet_reference_tps_per_mw</t>
        </is>
      </c>
      <c r="E1923" s="3" t="n">
        <v>166591</v>
      </c>
      <c r="F1923" s="3" t="inlineStr">
        <is>
          <t>generated output tokens/sec/MW</t>
        </is>
      </c>
      <c r="G1923" s="3" t="inlineStr">
        <is>
          <t>Fleet-weighted public benchmark reference</t>
        </is>
      </c>
      <c r="H1923" s="3" t="inlineStr">
        <is>
          <t>h200_share*h200_workload_avg + b200_share*b200_workload_avg + gb200_share*gb200_workload_avg + purpose_built_share*purpose_workload_avg</t>
        </is>
      </c>
      <c r="I192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23" s="3" t="inlineStr">
        <is>
          <t>SRC_SEMIANALYSIS_INFERENCEX; ASSUMP_NUMERIC_ACCELERATOR_MIX; ASSUMP_WORKLOAD_CLASS_MIX; ASSUMP_AGENTIC_CONTEXT_PENALTY</t>
        </is>
      </c>
      <c r="K1923" s="3" t="inlineStr">
        <is>
          <t>ASSUMP_MOE_EFFICIENCY; ASSUMP_CN_CAPACITY_TRANSPARENCY; ASSUMP_NUMERIC_ACCELERATOR_MIX; ASSUMP_INFERENCE_SHARE_NOT_FACT_60; ASSUMP_WORKLOAD_CLASS_MIX; ASSUMP_AGENTIC_CONTEXT_PENALTY</t>
        </is>
      </c>
      <c r="L1923" s="3" t="inlineStr">
        <is>
          <t>Comparable production output-token throughput or a more closely matched benchmark.</t>
        </is>
      </c>
    </row>
    <row r="1924">
      <c r="A1924" s="3" t="inlineStr">
        <is>
          <t>Alibaba</t>
        </is>
      </c>
      <c r="B1924" s="3" t="n">
        <v>2029</v>
      </c>
      <c r="C1924" s="3" t="inlineStr">
        <is>
          <t>Base</t>
        </is>
      </c>
      <c r="D1924" s="3" t="inlineStr">
        <is>
          <t>commercial_workload_fit_factor</t>
        </is>
      </c>
      <c r="E1924" s="3" t="n">
        <v>0.9</v>
      </c>
      <c r="F1924" s="3" t="inlineStr">
        <is>
          <t>share of public reference throughput</t>
        </is>
      </c>
      <c r="G1924" s="3" t="inlineStr">
        <is>
          <t>Scenario assumption</t>
        </is>
      </c>
      <c r="H1924" s="3" t="inlineStr">
        <is>
          <t>reference_serving_tps_per_mw = fleet_reference_tps_per_mw * commercial_workload_fit_factor</t>
        </is>
      </c>
      <c r="I192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24" s="3" t="inlineStr">
        <is>
          <t>SRC_SEMIANALYSIS_INFERENCEX; ASSUMP_NUMERIC_ACCELERATOR_MIX; ASSUMP_WORKLOAD_CLASS_MIX; ASSUMP_AGENTIC_CONTEXT_PENALTY</t>
        </is>
      </c>
      <c r="K1924" s="3" t="inlineStr">
        <is>
          <t>ASSUMP_MOE_EFFICIENCY; ASSUMP_CN_CAPACITY_TRANSPARENCY; ASSUMP_NUMERIC_ACCELERATOR_MIX; ASSUMP_INFERENCE_SHARE_NOT_FACT_60; ASSUMP_WORKLOAD_CLASS_MIX; ASSUMP_AGENTIC_CONTEXT_PENALTY</t>
        </is>
      </c>
      <c r="L1924" s="3" t="inlineStr">
        <is>
          <t>Matched commercial serving benchmark by product surface, context shape and latency SLO.</t>
        </is>
      </c>
    </row>
    <row r="1925">
      <c r="A1925" s="3" t="inlineStr">
        <is>
          <t>Alibaba</t>
        </is>
      </c>
      <c r="B1925" s="3" t="n">
        <v>2029</v>
      </c>
      <c r="C1925" s="3" t="inlineStr">
        <is>
          <t>Base</t>
        </is>
      </c>
      <c r="D1925" s="3" t="inlineStr">
        <is>
          <t>reference_serving_tps_per_mw</t>
        </is>
      </c>
      <c r="E1925" s="3" t="n">
        <v>149932</v>
      </c>
      <c r="F1925" s="3" t="inlineStr">
        <is>
          <t>generated output tokens/sec/MW</t>
        </is>
      </c>
      <c r="G1925" s="3" t="inlineStr">
        <is>
          <t>Workload-adjusted benchmark proxy</t>
        </is>
      </c>
      <c r="H1925" s="3" t="inlineStr">
        <is>
          <t>fleet_reference_tps_per_mw * commercial_workload_fit_factor</t>
        </is>
      </c>
      <c r="I1925" s="3" t="inlineStr">
        <is>
          <t>This is the coefficient used for headline token generation; each GPU's short chat, long chat and agentic TPS/MW are weighted before fleet mix and commercial fit are applied.</t>
        </is>
      </c>
      <c r="J1925" s="3" t="inlineStr">
        <is>
          <t>SRC_SEMIANALYSIS_INFERENCEX; ASSUMP_NUMERIC_ACCELERATOR_MIX; ASSUMP_WORKLOAD_CLASS_MIX; ASSUMP_AGENTIC_CONTEXT_PENALTY</t>
        </is>
      </c>
      <c r="K1925" s="3" t="inlineStr">
        <is>
          <t>ASSUMP_MOE_EFFICIENCY; ASSUMP_CN_CAPACITY_TRANSPARENCY; ASSUMP_NUMERIC_ACCELERATOR_MIX; ASSUMP_INFERENCE_SHARE_NOT_FACT_60; ASSUMP_WORKLOAD_CLASS_MIX; ASSUMP_AGENTIC_CONTEXT_PENALTY</t>
        </is>
      </c>
      <c r="L1925" s="3" t="inlineStr">
        <is>
          <t>Provider production output-token throughput with comparable workload/SLO.</t>
        </is>
      </c>
    </row>
    <row r="1926">
      <c r="A1926" s="3" t="inlineStr">
        <is>
          <t>Alibaba</t>
        </is>
      </c>
      <c r="B1926" s="3" t="n">
        <v>2029</v>
      </c>
      <c r="C1926" s="3" t="inlineStr">
        <is>
          <t>Base</t>
        </is>
      </c>
      <c r="D1926" s="3" t="inlineStr">
        <is>
          <t>purpose_built_tps_per_mw</t>
        </is>
      </c>
      <c r="E1926" s="3" t="n">
        <v>996060</v>
      </c>
      <c r="F1926" s="3" t="inlineStr">
        <is>
          <t>generated output tokens/sec/MW</t>
        </is>
      </c>
      <c r="G1926" s="3" t="inlineStr">
        <is>
          <t>Conservative no-uplift proxy</t>
        </is>
      </c>
      <c r="H1926" s="3" t="inlineStr">
        <is>
          <t>purpose_built_tps_per_mw = purpose_built_reference_tps_per_mw * commercial_workload_fit_factor until comparable output-token benchmark is adopted</t>
        </is>
      </c>
      <c r="I1926" s="3" t="inlineStr">
        <is>
          <t>No comparable public output-token/MW row adopted; B200 public reference placeholder is used and remains editable.</t>
        </is>
      </c>
      <c r="J1926" s="3" t="inlineStr">
        <is>
          <t>SRC_QWEN3_GITHUB; SRC_ALIBABA_QWEN_GPU_DEPLOY; SRC_EPOCH_AI_DATA_CENTERS; ASSUMP_NUMERIC_ACCELERATOR_MIX</t>
        </is>
      </c>
      <c r="K1926" s="3" t="inlineStr">
        <is>
          <t>ASSUMP_MOE_EFFICIENCY; ASSUMP_CN_CAPACITY_TRANSPARENCY; ASSUMP_NUMERIC_ACCELERATOR_MIX; ASSUMP_INFERENCE_SHARE_NOT_FACT_60; ASSUMP_WORKLOAD_CLASS_MIX; ASSUMP_AGENTIC_CONTEXT_PENALTY</t>
        </is>
      </c>
      <c r="L1926" s="3" t="inlineStr">
        <is>
          <t>Matched-workload generated-output benchmark for the provider purpose-built accelerator.</t>
        </is>
      </c>
    </row>
    <row r="1927">
      <c r="A1927" s="3" t="inlineStr">
        <is>
          <t>Alibaba</t>
        </is>
      </c>
      <c r="B1927" s="3" t="n">
        <v>2029</v>
      </c>
      <c r="C1927" s="3" t="inlineStr">
        <is>
          <t>Base</t>
        </is>
      </c>
      <c r="D1927" s="3" t="inlineStr">
        <is>
          <t>inference_power_share</t>
        </is>
      </c>
      <c r="E1927" s="3" t="n">
        <v>0.75</v>
      </c>
      <c r="F1927" s="3" t="inlineStr">
        <is>
          <t>share of AI IT load</t>
        </is>
      </c>
      <c r="G1927" s="3" t="inlineStr">
        <is>
          <t>Scenario allocation</t>
        </is>
      </c>
      <c r="H1927" s="3" t="inlineStr">
        <is>
          <t>inference_gw = ai_it_load_gw * inference_power_share</t>
        </is>
      </c>
      <c r="I1927" s="3" t="inlineStr">
        <is>
          <t>Qwen API/enterprise commercialization and MoE architecture support increasing inference allocation scenario.</t>
        </is>
      </c>
      <c r="J1927" s="3" t="inlineStr">
        <is>
          <t>SRC_QWEN3_GITHUB; SRC_ALIBABA_QWEN_GPU_DEPLOY; SRC_EPOCH_AI_DATA_CENTERS; ASSUMP_INFERENCE_SHARE_NOT_FACT_60</t>
        </is>
      </c>
      <c r="K1927" s="3" t="inlineStr">
        <is>
          <t>ASSUMP_MOE_EFFICIENCY; ASSUMP_CN_CAPACITY_TRANSPARENCY; ASSUMP_NUMERIC_ACCELERATOR_MIX; ASSUMP_INFERENCE_SHARE_NOT_FACT_60; ASSUMP_WORKLOAD_CLASS_MIX; ASSUMP_AGENTIC_CONTEXT_PENALTY</t>
        </is>
      </c>
      <c r="L1927" s="3" t="inlineStr">
        <is>
          <t>Provider-specific inference/training workload power telemetry.</t>
        </is>
      </c>
    </row>
    <row r="1928">
      <c r="A1928" s="3" t="inlineStr">
        <is>
          <t>Alibaba</t>
        </is>
      </c>
      <c r="B1928" s="3" t="n">
        <v>2029</v>
      </c>
      <c r="C1928" s="3" t="inlineStr">
        <is>
          <t>Base</t>
        </is>
      </c>
      <c r="D1928" s="3" t="inlineStr">
        <is>
          <t>inference_gw</t>
        </is>
      </c>
      <c r="E1928" s="3" t="n">
        <v>1.312</v>
      </c>
      <c r="F1928" s="3" t="inlineStr">
        <is>
          <t>GW</t>
        </is>
      </c>
      <c r="G1928" s="3" t="inlineStr">
        <is>
          <t>Derived formula</t>
        </is>
      </c>
      <c r="H1928" s="3" t="inlineStr">
        <is>
          <t>ai_it_load_gw * inference_power_share</t>
        </is>
      </c>
      <c r="I1928" s="3" t="inlineStr">
        <is>
          <t>This is the operational power eligible to become commercial generated output tokens through the selected TPS/MW proxy.</t>
        </is>
      </c>
      <c r="J1928" s="3" t="inlineStr">
        <is>
          <t>SRC_QWEN3_GITHUB; SRC_ALIBABA_QWEN_GPU_DEPLOY; SRC_EPOCH_AI_DATA_CENTERS</t>
        </is>
      </c>
      <c r="K1928" s="3" t="inlineStr">
        <is>
          <t>ASSUMP_MOE_EFFICIENCY; ASSUMP_CN_CAPACITY_TRANSPARENCY; ASSUMP_NUMERIC_ACCELERATOR_MIX; ASSUMP_INFERENCE_SHARE_NOT_FACT_60; ASSUMP_WORKLOAD_CLASS_MIX; ASSUMP_AGENTIC_CONTEXT_PENALTY</t>
        </is>
      </c>
      <c r="L1928" s="3" t="inlineStr">
        <is>
          <t>Recompute after AI allocation or inference-share evidence changes.</t>
        </is>
      </c>
    </row>
    <row r="1929">
      <c r="A1929" s="3" t="inlineStr">
        <is>
          <t>Alibaba</t>
        </is>
      </c>
      <c r="B1929" s="3" t="n">
        <v>2029</v>
      </c>
      <c r="C1929" s="3" t="inlineStr">
        <is>
          <t>Base</t>
        </is>
      </c>
      <c r="D1929" s="3" t="inlineStr">
        <is>
          <t>training_power_share</t>
        </is>
      </c>
      <c r="E1929" s="3" t="n">
        <v>0.25</v>
      </c>
      <c r="F1929" s="3" t="inlineStr">
        <is>
          <t>share of AI IT load</t>
        </is>
      </c>
      <c r="G1929" s="3" t="inlineStr">
        <is>
          <t>Derived allocation</t>
        </is>
      </c>
      <c r="H1929" s="3" t="inlineStr">
        <is>
          <t>1 - inference_power_share</t>
        </is>
      </c>
      <c r="I1929" s="3" t="inlineStr">
        <is>
          <t>Training receives the complementary modeled AI IT allocation; it is not a disclosed company workload split.</t>
        </is>
      </c>
      <c r="J1929" s="3" t="inlineStr">
        <is>
          <t>SRC_QWEN3_GITHUB; SRC_ALIBABA_QWEN_GPU_DEPLOY; SRC_EPOCH_AI_DATA_CENTERS; ASSUMP_INFERENCE_SHARE_NOT_FACT_60</t>
        </is>
      </c>
      <c r="K1929" s="3" t="inlineStr">
        <is>
          <t>ASSUMP_MOE_EFFICIENCY; ASSUMP_CN_CAPACITY_TRANSPARENCY; ASSUMP_NUMERIC_ACCELERATOR_MIX; ASSUMP_INFERENCE_SHARE_NOT_FACT_60; ASSUMP_WORKLOAD_CLASS_MIX; ASSUMP_AGENTIC_CONTEXT_PENALTY</t>
        </is>
      </c>
      <c r="L1929" s="3" t="inlineStr">
        <is>
          <t>Provider-specific inference/training workload power telemetry.</t>
        </is>
      </c>
    </row>
    <row r="1930">
      <c r="A1930" s="3" t="inlineStr">
        <is>
          <t>Alibaba</t>
        </is>
      </c>
      <c r="B1930" s="3" t="n">
        <v>2029</v>
      </c>
      <c r="C1930" s="3" t="inlineStr">
        <is>
          <t>Base</t>
        </is>
      </c>
      <c r="D1930" s="3" t="inlineStr">
        <is>
          <t>training_gw</t>
        </is>
      </c>
      <c r="E1930" s="3" t="n">
        <v>0.438</v>
      </c>
      <c r="F1930" s="3" t="inlineStr">
        <is>
          <t>GW</t>
        </is>
      </c>
      <c r="G1930" s="3" t="inlineStr">
        <is>
          <t>Derived formula</t>
        </is>
      </c>
      <c r="H1930" s="3" t="inlineStr">
        <is>
          <t>ai_it_load_gw * training_power_share</t>
        </is>
      </c>
      <c r="I1930" s="3" t="inlineStr">
        <is>
          <t>Training GW is shown separately so commercial inference token capacity is not overstated.</t>
        </is>
      </c>
      <c r="J1930" s="3" t="inlineStr">
        <is>
          <t>SRC_QWEN3_GITHUB; SRC_ALIBABA_QWEN_GPU_DEPLOY; SRC_EPOCH_AI_DATA_CENTERS</t>
        </is>
      </c>
      <c r="K1930" s="3" t="inlineStr">
        <is>
          <t>ASSUMP_MOE_EFFICIENCY; ASSUMP_CN_CAPACITY_TRANSPARENCY; ASSUMP_NUMERIC_ACCELERATOR_MIX; ASSUMP_INFERENCE_SHARE_NOT_FACT_60; ASSUMP_WORKLOAD_CLASS_MIX; ASSUMP_AGENTIC_CONTEXT_PENALTY</t>
        </is>
      </c>
      <c r="L1930" s="3" t="inlineStr">
        <is>
          <t>Recompute after AI allocation or workload-split evidence changes.</t>
        </is>
      </c>
    </row>
    <row r="1931">
      <c r="A1931" s="3" t="inlineStr">
        <is>
          <t>Alibaba</t>
        </is>
      </c>
      <c r="B1931" s="3" t="n">
        <v>2029</v>
      </c>
      <c r="C1931" s="3" t="inlineStr">
        <is>
          <t>Base</t>
        </is>
      </c>
      <c r="D1931" s="3" t="inlineStr">
        <is>
          <t>tokens_per_second_per_mw</t>
        </is>
      </c>
      <c r="E1931" s="3" t="n">
        <v>149932</v>
      </c>
      <c r="F1931" s="3" t="inlineStr">
        <is>
          <t>generated output tokens/sec/MW</t>
        </is>
      </c>
      <c r="G1931" s="3" t="inlineStr">
        <is>
          <t>Derived estimate + benchmark calibration</t>
        </is>
      </c>
      <c r="H1931" s="3" t="inlineStr">
        <is>
          <t>fleet_reference_tps_per_mw * commercial_workload_fit_factor</t>
        </is>
      </c>
      <c r="I193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31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931" s="3" t="inlineStr">
        <is>
          <t>ASSUMP_MOE_EFFICIENCY; ASSUMP_CN_CAPACITY_TRANSPARENCY; ASSUMP_NUMERIC_ACCELERATOR_MIX; ASSUMP_INFERENCE_SHARE_NOT_FACT_60; ASSUMP_WORKLOAD_CLASS_MIX; ASSUMP_AGENTIC_CONTEXT_PENALTY</t>
        </is>
      </c>
      <c r="L1931" s="3" t="inlineStr">
        <is>
          <t>Comparable production output-token throughput with model, hardware, precision, ISL/OSL and SLO matched.</t>
        </is>
      </c>
    </row>
    <row r="1932">
      <c r="A1932" s="3" t="inlineStr">
        <is>
          <t>Alibaba</t>
        </is>
      </c>
      <c r="B1932" s="3" t="n">
        <v>2029</v>
      </c>
      <c r="C1932" s="3" t="inlineStr">
        <is>
          <t>Base</t>
        </is>
      </c>
      <c r="D1932" s="3" t="inlineStr">
        <is>
          <t>inference_tokens_per_day</t>
        </is>
      </c>
      <c r="E1932" s="3" t="n">
        <v>16995811737600</v>
      </c>
      <c r="F1932" s="3" t="inlineStr">
        <is>
          <t>generated output tokens/day</t>
        </is>
      </c>
      <c r="G1932" s="3" t="inlineStr">
        <is>
          <t>Derived headline metric</t>
        </is>
      </c>
      <c r="H1932" s="3" t="inlineStr">
        <is>
          <t>inference_gw * 1000 * tokens_per_second_per_mw * 86,400</t>
        </is>
      </c>
      <c r="I1932" s="3" t="inlineStr">
        <is>
          <t>Headline capacity uses no utilization, MoE, architecture or software-growth multiplier; it is not observed commercial output volume.</t>
        </is>
      </c>
      <c r="J1932" s="3" t="inlineStr">
        <is>
          <t>SRC_QWEN3_GITHUB; SRC_ALIBABA_QWEN_GPU_DEPLOY; SRC_EPOCH_AI_DATA_CENTERS; SRC_SEMIANALYSIS_INFERENCEX</t>
        </is>
      </c>
      <c r="K1932" s="3" t="inlineStr">
        <is>
          <t>ASSUMP_MOE_EFFICIENCY; ASSUMP_CN_CAPACITY_TRANSPARENCY; ASSUMP_NUMERIC_ACCELERATOR_MIX; ASSUMP_INFERENCE_SHARE_NOT_FACT_60; ASSUMP_WORKLOAD_CLASS_MIX; ASSUMP_AGENTIC_CONTEXT_PENALTY</t>
        </is>
      </c>
      <c r="L1932" s="3" t="inlineStr">
        <is>
          <t>Provider-disclosed generated output token volume or calibrated capacity telemetry.</t>
        </is>
      </c>
    </row>
    <row r="1933">
      <c r="A1933" s="3" t="inlineStr">
        <is>
          <t>Alibaba</t>
        </is>
      </c>
      <c r="B1933" s="3" t="n">
        <v>2029</v>
      </c>
      <c r="C1933" s="3" t="inlineStr">
        <is>
          <t>Base</t>
        </is>
      </c>
      <c r="D1933" s="3" t="inlineStr">
        <is>
          <t>inference_tokens_per_year</t>
        </is>
      </c>
      <c r="E1933" s="3" t="n">
        <v>6203471284224000</v>
      </c>
      <c r="F1933" s="3" t="inlineStr">
        <is>
          <t>generated output tokens/year</t>
        </is>
      </c>
      <c r="G1933" s="3" t="inlineStr">
        <is>
          <t>Derived headline metric</t>
        </is>
      </c>
      <c r="H1933" s="3" t="inlineStr">
        <is>
          <t>inference_tokens_per_day * 365</t>
        </is>
      </c>
      <c r="I1933" s="3" t="inlineStr">
        <is>
          <t>Annualized version of generated output token capacity; it is not observed annual demand or billable volume.</t>
        </is>
      </c>
      <c r="J1933" s="3" t="inlineStr">
        <is>
          <t>SRC_QWEN3_GITHUB; SRC_ALIBABA_QWEN_GPU_DEPLOY; SRC_EPOCH_AI_DATA_CENTERS; SRC_SEMIANALYSIS_INFERENCEX</t>
        </is>
      </c>
      <c r="K1933" s="3" t="inlineStr">
        <is>
          <t>ASSUMP_MOE_EFFICIENCY; ASSUMP_CN_CAPACITY_TRANSPARENCY; ASSUMP_NUMERIC_ACCELERATOR_MIX; ASSUMP_INFERENCE_SHARE_NOT_FACT_60; ASSUMP_WORKLOAD_CLASS_MIX; ASSUMP_AGENTIC_CONTEXT_PENALTY</t>
        </is>
      </c>
      <c r="L1933" s="3" t="inlineStr">
        <is>
          <t>Provider-disclosed annual generated-output volume or metered serving telemetry.</t>
        </is>
      </c>
    </row>
    <row r="1934">
      <c r="A1934" s="3" t="inlineStr">
        <is>
          <t>Alibaba</t>
        </is>
      </c>
      <c r="B1934" s="3" t="n">
        <v>2030</v>
      </c>
      <c r="C1934" s="3" t="inlineStr">
        <is>
          <t>Base</t>
        </is>
      </c>
      <c r="D1934" s="3" t="inlineStr">
        <is>
          <t>contracted_power_gw</t>
        </is>
      </c>
      <c r="E1934" s="3" t="n">
        <v>4</v>
      </c>
      <c r="F1934" s="3" t="inlineStr">
        <is>
          <t>GW</t>
        </is>
      </c>
      <c r="G1934" s="3" t="inlineStr">
        <is>
          <t>Scenario capacity envelope</t>
        </is>
      </c>
      <c r="H1934" s="3" t="inlineStr">
        <is>
          <t>linear interpolation between 2026 and 2030 company capacity endpoints</t>
        </is>
      </c>
      <c r="I1934" s="3" t="inlineStr">
        <is>
          <t>Alibaba Cloud/Qwen capacity is a scenario envelope; official model and deployment documentation does not state operated GW.</t>
        </is>
      </c>
      <c r="J1934" s="3" t="inlineStr">
        <is>
          <t>SRC_ALIBABA_QWEN_GPU_DEPLOY; ASSUMP_CN_CAPACITY_TRANSPARENCY</t>
        </is>
      </c>
      <c r="K1934" s="3" t="inlineStr">
        <is>
          <t>ASSUMP_MOE_EFFICIENCY; ASSUMP_CN_CAPACITY_TRANSPARENCY; ASSUMP_NUMERIC_ACCELERATOR_MIX; ASSUMP_INFERENCE_SHARE_NOT_FACT_60; ASSUMP_WORKLOAD_CLASS_MIX; ASSUMP_AGENTIC_CONTEXT_PENALTY</t>
        </is>
      </c>
      <c r="L1934" s="3" t="inlineStr">
        <is>
          <t>Company/site-level committed MW/GW, interconnect and contract disclosure.</t>
        </is>
      </c>
    </row>
    <row r="1935">
      <c r="A1935" s="3" t="inlineStr">
        <is>
          <t>Alibaba</t>
        </is>
      </c>
      <c r="B1935" s="3" t="n">
        <v>2030</v>
      </c>
      <c r="C1935" s="3" t="inlineStr">
        <is>
          <t>Base</t>
        </is>
      </c>
      <c r="D1935" s="3" t="inlineStr">
        <is>
          <t>operational_deployment_share</t>
        </is>
      </c>
      <c r="E1935" s="3" t="n">
        <v>0.8</v>
      </c>
      <c r="F1935" s="3" t="inlineStr">
        <is>
          <t>share</t>
        </is>
      </c>
      <c r="G1935" s="3" t="inlineStr">
        <is>
          <t>Scenario conversion</t>
        </is>
      </c>
      <c r="H1935" s="3" t="inlineStr">
        <is>
          <t>active_power_gw / contracted_power_gw</t>
        </is>
      </c>
      <c r="I1935" s="3" t="inlineStr">
        <is>
          <t>This is the single explicit conversion from contracted/attributed capacity to operationally usable capacity.</t>
        </is>
      </c>
      <c r="J1935" s="3" t="inlineStr">
        <is>
          <t>SRC_ALIBABA_QWEN_GPU_DEPLOY; ASSUMP_CN_CAPACITY_TRANSPARENCY</t>
        </is>
      </c>
      <c r="K1935" s="3" t="inlineStr">
        <is>
          <t>ASSUMP_MOE_EFFICIENCY; ASSUMP_CN_CAPACITY_TRANSPARENCY; ASSUMP_NUMERIC_ACCELERATOR_MIX; ASSUMP_INFERENCE_SHARE_NOT_FACT_60; ASSUMP_WORKLOAD_CLASS_MIX; ASSUMP_AGENTIC_CONTEXT_PENALTY</t>
        </is>
      </c>
      <c r="L1935" s="3" t="inlineStr">
        <is>
          <t>Energized operational capacity divided by contracted/attributed capacity.</t>
        </is>
      </c>
    </row>
    <row r="1936">
      <c r="A1936" s="3" t="inlineStr">
        <is>
          <t>Alibaba</t>
        </is>
      </c>
      <c r="B1936" s="3" t="n">
        <v>2030</v>
      </c>
      <c r="C1936" s="3" t="inlineStr">
        <is>
          <t>Base</t>
        </is>
      </c>
      <c r="D1936" s="3" t="inlineStr">
        <is>
          <t>active_power_gw</t>
        </is>
      </c>
      <c r="E1936" s="3" t="n">
        <v>3.2</v>
      </c>
      <c r="F1936" s="3" t="inlineStr">
        <is>
          <t>GW</t>
        </is>
      </c>
      <c r="G1936" s="3" t="inlineStr">
        <is>
          <t>Derived scenario</t>
        </is>
      </c>
      <c r="H1936" s="3" t="inlineStr">
        <is>
          <t>contracted_power_gw * operational_deployment_share</t>
        </is>
      </c>
      <c r="I1936" s="3" t="inlineStr">
        <is>
          <t>Active GW is staged below capacity due to undisclosed accelerator allocation and cloud multi-tenant use.</t>
        </is>
      </c>
      <c r="J1936" s="3" t="inlineStr">
        <is>
          <t>SRC_ALIBABA_QWEN_GPU_DEPLOY; ASSUMP_CN_CAPACITY_TRANSPARENCY</t>
        </is>
      </c>
      <c r="K1936" s="3" t="inlineStr">
        <is>
          <t>ASSUMP_MOE_EFFICIENCY; ASSUMP_CN_CAPACITY_TRANSPARENCY; ASSUMP_NUMERIC_ACCELERATOR_MIX; ASSUMP_INFERENCE_SHARE_NOT_FACT_60; ASSUMP_WORKLOAD_CLASS_MIX; ASSUMP_AGENTIC_CONTEXT_PENALTY</t>
        </is>
      </c>
      <c r="L1936" s="3" t="inlineStr">
        <is>
          <t>Energization dates, accelerator deliveries and operational powered-rack telemetry.</t>
        </is>
      </c>
    </row>
    <row r="1937">
      <c r="A1937" s="3" t="inlineStr">
        <is>
          <t>Alibaba</t>
        </is>
      </c>
      <c r="B1937" s="3" t="n">
        <v>2030</v>
      </c>
      <c r="C1937" s="3" t="inlineStr">
        <is>
          <t>Base</t>
        </is>
      </c>
      <c r="D1937" s="3" t="inlineStr">
        <is>
          <t>pue</t>
        </is>
      </c>
      <c r="E1937" s="3" t="n">
        <v>1.23</v>
      </c>
      <c r="F1937" s="3" t="inlineStr">
        <is>
          <t>ratio</t>
        </is>
      </c>
      <c r="G1937" s="3" t="inlineStr">
        <is>
          <t>Scenario parameter</t>
        </is>
      </c>
      <c r="H1937" s="3" t="inlineStr">
        <is>
          <t>it_load_gw = active_power_gw / pue</t>
        </is>
      </c>
      <c r="I1937" s="3" t="inlineStr">
        <is>
          <t>No provider-wide site-level PUE is used as a disclosed fact; PUE represents facility-to-IT conversion within the scenario.</t>
        </is>
      </c>
      <c r="J1937" s="3" t="inlineStr">
        <is>
          <t>ASSUMP_POWER_RAMP</t>
        </is>
      </c>
      <c r="K1937" s="3" t="inlineStr">
        <is>
          <t>ASSUMP_MOE_EFFICIENCY; ASSUMP_CN_CAPACITY_TRANSPARENCY; ASSUMP_NUMERIC_ACCELERATOR_MIX; ASSUMP_INFERENCE_SHARE_NOT_FACT_60; ASSUMP_WORKLOAD_CLASS_MIX; ASSUMP_AGENTIC_CONTEXT_PENALTY</t>
        </is>
      </c>
      <c r="L1937" s="3" t="inlineStr">
        <is>
          <t>Site-level measured PUE matched to attributed AI capacity.</t>
        </is>
      </c>
    </row>
    <row r="1938">
      <c r="A1938" s="3" t="inlineStr">
        <is>
          <t>Alibaba</t>
        </is>
      </c>
      <c r="B1938" s="3" t="n">
        <v>2030</v>
      </c>
      <c r="C1938" s="3" t="inlineStr">
        <is>
          <t>Base</t>
        </is>
      </c>
      <c r="D1938" s="3" t="inlineStr">
        <is>
          <t>it_load_gw</t>
        </is>
      </c>
      <c r="E1938" s="3" t="n">
        <v>2.602</v>
      </c>
      <c r="F1938" s="3" t="inlineStr">
        <is>
          <t>GW</t>
        </is>
      </c>
      <c r="G1938" s="3" t="inlineStr">
        <is>
          <t>Derived formula</t>
        </is>
      </c>
      <c r="H1938" s="3" t="inlineStr">
        <is>
          <t>active_power_gw / pue</t>
        </is>
      </c>
      <c r="I1938" s="3" t="inlineStr">
        <is>
          <t>Facility power is converted to IT-deliverable power before attributing AI workloads.</t>
        </is>
      </c>
      <c r="J1938" s="3" t="inlineStr">
        <is>
          <t>SRC_ALIBABA_QWEN_GPU_DEPLOY; ASSUMP_CN_CAPACITY_TRANSPARENCY</t>
        </is>
      </c>
      <c r="K1938" s="3" t="inlineStr">
        <is>
          <t>ASSUMP_MOE_EFFICIENCY; ASSUMP_CN_CAPACITY_TRANSPARENCY; ASSUMP_NUMERIC_ACCELERATOR_MIX; ASSUMP_INFERENCE_SHARE_NOT_FACT_60; ASSUMP_WORKLOAD_CLASS_MIX; ASSUMP_AGENTIC_CONTEXT_PENALTY</t>
        </is>
      </c>
      <c r="L1938" s="3" t="inlineStr">
        <is>
          <t>Recompute once active power and PUE become site-observable.</t>
        </is>
      </c>
    </row>
    <row r="1939">
      <c r="A1939" s="3" t="inlineStr">
        <is>
          <t>Alibaba</t>
        </is>
      </c>
      <c r="B1939" s="3" t="n">
        <v>2030</v>
      </c>
      <c r="C1939" s="3" t="inlineStr">
        <is>
          <t>Base</t>
        </is>
      </c>
      <c r="D1939" s="3" t="inlineStr">
        <is>
          <t>ai_workload_share</t>
        </is>
      </c>
      <c r="E1939" s="3" t="n">
        <v>0.84</v>
      </c>
      <c r="F1939" s="3" t="inlineStr">
        <is>
          <t>share</t>
        </is>
      </c>
      <c r="G1939" s="3" t="inlineStr">
        <is>
          <t>Scenario allocation</t>
        </is>
      </c>
      <c r="H1939" s="3" t="inlineStr">
        <is>
          <t>ai_it_load_gw = it_load_gw * ai_workload_share</t>
        </is>
      </c>
      <c r="I1939" s="3" t="inlineStr">
        <is>
          <t>Model Studio/Qwen-serving envelope is AI-focused, while cloud platform/reserve allocation is excluded through 84%.</t>
        </is>
      </c>
      <c r="J1939" s="3" t="inlineStr">
        <is>
          <t>SRC_QWEN3_GITHUB; SRC_ALIBABA_QWEN_GPU_DEPLOY; SRC_EPOCH_AI_DATA_CENTERS</t>
        </is>
      </c>
      <c r="K1939" s="3" t="inlineStr">
        <is>
          <t>ASSUMP_MOE_EFFICIENCY; ASSUMP_CN_CAPACITY_TRANSPARENCY; ASSUMP_NUMERIC_ACCELERATOR_MIX; ASSUMP_INFERENCE_SHARE_NOT_FACT_60; ASSUMP_WORKLOAD_CLASS_MIX; ASSUMP_AGENTIC_CONTEXT_PENALTY</t>
        </is>
      </c>
      <c r="L1939" s="3" t="inlineStr">
        <is>
          <t>Model-owner AI workload allocation or cluster scheduling telemetry.</t>
        </is>
      </c>
    </row>
    <row r="1940">
      <c r="A1940" s="3" t="inlineStr">
        <is>
          <t>Alibaba</t>
        </is>
      </c>
      <c r="B1940" s="3" t="n">
        <v>2030</v>
      </c>
      <c r="C1940" s="3" t="inlineStr">
        <is>
          <t>Base</t>
        </is>
      </c>
      <c r="D1940" s="3" t="inlineStr">
        <is>
          <t>ai_it_load_gw</t>
        </is>
      </c>
      <c r="E1940" s="3" t="n">
        <v>2.185</v>
      </c>
      <c r="F1940" s="3" t="inlineStr">
        <is>
          <t>GW</t>
        </is>
      </c>
      <c r="G1940" s="3" t="inlineStr">
        <is>
          <t>Derived formula</t>
        </is>
      </c>
      <c r="H1940" s="3" t="inlineStr">
        <is>
          <t>it_load_gw * ai_workload_share</t>
        </is>
      </c>
      <c r="I1940" s="3" t="inlineStr">
        <is>
          <t>Only the AI-attributed portion of IT load enters training/inference allocation.</t>
        </is>
      </c>
      <c r="J1940" s="3" t="inlineStr">
        <is>
          <t>SRC_QWEN3_GITHUB; SRC_ALIBABA_QWEN_GPU_DEPLOY; SRC_EPOCH_AI_DATA_CENTERS</t>
        </is>
      </c>
      <c r="K1940" s="3" t="inlineStr">
        <is>
          <t>ASSUMP_MOE_EFFICIENCY; ASSUMP_CN_CAPACITY_TRANSPARENCY; ASSUMP_NUMERIC_ACCELERATOR_MIX; ASSUMP_INFERENCE_SHARE_NOT_FACT_60; ASSUMP_WORKLOAD_CLASS_MIX; ASSUMP_AGENTIC_CONTEXT_PENALTY</t>
        </is>
      </c>
      <c r="L1940" s="3" t="inlineStr">
        <is>
          <t>Recompute after ai_workload_share is replaced by telemetry.</t>
        </is>
      </c>
    </row>
    <row r="1941">
      <c r="A1941" s="3" t="inlineStr">
        <is>
          <t>Alibaba</t>
        </is>
      </c>
      <c r="B1941" s="3" t="n">
        <v>2030</v>
      </c>
      <c r="C1941" s="3" t="inlineStr">
        <is>
          <t>Base</t>
        </is>
      </c>
      <c r="D1941" s="3" t="inlineStr">
        <is>
          <t>gpu_share</t>
        </is>
      </c>
      <c r="E1941" s="3" t="n">
        <v>1</v>
      </c>
      <c r="F1941" s="3" t="inlineStr">
        <is>
          <t>share of inference-serving accelerator load</t>
        </is>
      </c>
      <c r="G1941" s="3" t="inlineStr">
        <is>
          <t>Numeric scenario</t>
        </is>
      </c>
      <c r="H1941" s="3" t="inlineStr">
        <is>
          <t>gpu_share interpolated from company 2026/2030 accelerator-mix endpoints</t>
        </is>
      </c>
      <c r="I1941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941" s="3" t="inlineStr">
        <is>
          <t>SRC_QWEN3_GITHUB; SRC_ALIBABA_QWEN_GPU_DEPLOY; SRC_EPOCH_AI_DATA_CENTERS; ASSUMP_NUMERIC_ACCELERATOR_MIX</t>
        </is>
      </c>
      <c r="K1941" s="3" t="inlineStr">
        <is>
          <t>ASSUMP_MOE_EFFICIENCY; ASSUMP_CN_CAPACITY_TRANSPARENCY; ASSUMP_NUMERIC_ACCELERATOR_MIX; ASSUMP_INFERENCE_SHARE_NOT_FACT_60; ASSUMP_WORKLOAD_CLASS_MIX; ASSUMP_AGENTIC_CONTEXT_PENALTY</t>
        </is>
      </c>
      <c r="L1941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942">
      <c r="A1942" s="3" t="inlineStr">
        <is>
          <t>Alibaba</t>
        </is>
      </c>
      <c r="B1942" s="3" t="n">
        <v>2030</v>
      </c>
      <c r="C1942" s="3" t="inlineStr">
        <is>
          <t>Base</t>
        </is>
      </c>
      <c r="D1942" s="3" t="inlineStr">
        <is>
          <t>h200_share</t>
        </is>
      </c>
      <c r="E1942" s="3" t="n">
        <v>1</v>
      </c>
      <c r="F1942" s="3" t="inlineStr">
        <is>
          <t>share of inference-serving accelerator load</t>
        </is>
      </c>
      <c r="G1942" s="3" t="inlineStr">
        <is>
          <t>Editable numeric scenario</t>
        </is>
      </c>
      <c r="H1942" s="3" t="inlineStr">
        <is>
          <t>h200_share = gpu_share * default_gpu_generation_mix_h200</t>
        </is>
      </c>
      <c r="I1942" s="3" t="inlineStr">
        <is>
          <t>Default GPU-generation migration assumption; executive workbook allows later manual replacement by company/year/scenario.</t>
        </is>
      </c>
      <c r="J1942" s="3" t="inlineStr">
        <is>
          <t>SRC_SEMIANALYSIS_INFERENCEX; ASSUMP_NUMERIC_ACCELERATOR_MIX</t>
        </is>
      </c>
      <c r="K1942" s="3" t="inlineStr">
        <is>
          <t>ASSUMP_MOE_EFFICIENCY; ASSUMP_CN_CAPACITY_TRANSPARENCY; ASSUMP_NUMERIC_ACCELERATOR_MIX; ASSUMP_INFERENCE_SHARE_NOT_FACT_60; ASSUMP_WORKLOAD_CLASS_MIX; ASSUMP_AGENTIC_CONTEXT_PENALTY</t>
        </is>
      </c>
      <c r="L1942" s="3" t="inlineStr">
        <is>
          <t>Company fleet inventory, accelerator-hours or procurement/deployment records by GPU generation.</t>
        </is>
      </c>
    </row>
    <row r="1943">
      <c r="A1943" s="3" t="inlineStr">
        <is>
          <t>Alibaba</t>
        </is>
      </c>
      <c r="B1943" s="3" t="n">
        <v>2030</v>
      </c>
      <c r="C1943" s="3" t="inlineStr">
        <is>
          <t>Base</t>
        </is>
      </c>
      <c r="D1943" s="3" t="inlineStr">
        <is>
          <t>b200_share</t>
        </is>
      </c>
      <c r="E1943" s="3" t="n">
        <v>0</v>
      </c>
      <c r="F1943" s="3" t="inlineStr">
        <is>
          <t>share of inference-serving accelerator load</t>
        </is>
      </c>
      <c r="G1943" s="3" t="inlineStr">
        <is>
          <t>Editable numeric scenario</t>
        </is>
      </c>
      <c r="H1943" s="3" t="inlineStr">
        <is>
          <t>b200_share = gpu_share * default_gpu_generation_mix_b200</t>
        </is>
      </c>
      <c r="I1943" s="3" t="inlineStr">
        <is>
          <t>Default GPU-generation migration assumption; executive workbook allows later manual replacement by company/year/scenario.</t>
        </is>
      </c>
      <c r="J1943" s="3" t="inlineStr">
        <is>
          <t>SRC_SEMIANALYSIS_INFERENCEX; ASSUMP_NUMERIC_ACCELERATOR_MIX</t>
        </is>
      </c>
      <c r="K1943" s="3" t="inlineStr">
        <is>
          <t>ASSUMP_MOE_EFFICIENCY; ASSUMP_CN_CAPACITY_TRANSPARENCY; ASSUMP_NUMERIC_ACCELERATOR_MIX; ASSUMP_INFERENCE_SHARE_NOT_FACT_60; ASSUMP_WORKLOAD_CLASS_MIX; ASSUMP_AGENTIC_CONTEXT_PENALTY</t>
        </is>
      </c>
      <c r="L1943" s="3" t="inlineStr">
        <is>
          <t>Company fleet inventory, accelerator-hours or procurement/deployment records by GPU generation.</t>
        </is>
      </c>
    </row>
    <row r="1944">
      <c r="A1944" s="3" t="inlineStr">
        <is>
          <t>Alibaba</t>
        </is>
      </c>
      <c r="B1944" s="3" t="n">
        <v>2030</v>
      </c>
      <c r="C1944" s="3" t="inlineStr">
        <is>
          <t>Base</t>
        </is>
      </c>
      <c r="D1944" s="3" t="inlineStr">
        <is>
          <t>gb200_share</t>
        </is>
      </c>
      <c r="E1944" s="3" t="n">
        <v>0</v>
      </c>
      <c r="F1944" s="3" t="inlineStr">
        <is>
          <t>share of inference-serving accelerator load</t>
        </is>
      </c>
      <c r="G1944" s="3" t="inlineStr">
        <is>
          <t>Editable numeric scenario</t>
        </is>
      </c>
      <c r="H1944" s="3" t="inlineStr">
        <is>
          <t>gb200_share = gpu_share * default_gpu_generation_mix_gb200</t>
        </is>
      </c>
      <c r="I1944" s="3" t="inlineStr">
        <is>
          <t>Default GPU-generation migration assumption; executive workbook allows later manual replacement by company/year/scenario.</t>
        </is>
      </c>
      <c r="J1944" s="3" t="inlineStr">
        <is>
          <t>SRC_SEMIANALYSIS_INFERENCEX; ASSUMP_NUMERIC_ACCELERATOR_MIX</t>
        </is>
      </c>
      <c r="K1944" s="3" t="inlineStr">
        <is>
          <t>ASSUMP_MOE_EFFICIENCY; ASSUMP_CN_CAPACITY_TRANSPARENCY; ASSUMP_NUMERIC_ACCELERATOR_MIX; ASSUMP_INFERENCE_SHARE_NOT_FACT_60; ASSUMP_WORKLOAD_CLASS_MIX; ASSUMP_AGENTIC_CONTEXT_PENALTY</t>
        </is>
      </c>
      <c r="L1944" s="3" t="inlineStr">
        <is>
          <t>Company fleet inventory, accelerator-hours or procurement/deployment records by GPU generation.</t>
        </is>
      </c>
    </row>
    <row r="1945">
      <c r="A1945" s="3" t="inlineStr">
        <is>
          <t>Alibaba</t>
        </is>
      </c>
      <c r="B1945" s="3" t="n">
        <v>2030</v>
      </c>
      <c r="C1945" s="3" t="inlineStr">
        <is>
          <t>Base</t>
        </is>
      </c>
      <c r="D1945" s="3" t="inlineStr">
        <is>
          <t>purpose_built_accelerator_share</t>
        </is>
      </c>
      <c r="E1945" s="3" t="n">
        <v>0</v>
      </c>
      <c r="F1945" s="3" t="inlineStr">
        <is>
          <t>share of inference-serving accelerator load</t>
        </is>
      </c>
      <c r="G1945" s="3" t="inlineStr">
        <is>
          <t>Numeric scenario</t>
        </is>
      </c>
      <c r="H1945" s="3" t="inlineStr">
        <is>
          <t>1 - gpu_share</t>
        </is>
      </c>
      <c r="I1945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1945" s="3" t="inlineStr">
        <is>
          <t>SRC_QWEN3_GITHUB; SRC_ALIBABA_QWEN_GPU_DEPLOY; SRC_EPOCH_AI_DATA_CENTERS; ASSUMP_NUMERIC_ACCELERATOR_MIX</t>
        </is>
      </c>
      <c r="K1945" s="3" t="inlineStr">
        <is>
          <t>ASSUMP_MOE_EFFICIENCY; ASSUMP_CN_CAPACITY_TRANSPARENCY; ASSUMP_NUMERIC_ACCELERATOR_MIX; ASSUMP_INFERENCE_SHARE_NOT_FACT_60; ASSUMP_WORKLOAD_CLASS_MIX; ASSUMP_AGENTIC_CONTEXT_PENALTY</t>
        </is>
      </c>
      <c r="L1945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1946">
      <c r="A1946" s="3" t="inlineStr">
        <is>
          <t>Alibaba</t>
        </is>
      </c>
      <c r="B1946" s="3" t="n">
        <v>2030</v>
      </c>
      <c r="C1946" s="3" t="inlineStr">
        <is>
          <t>Base</t>
        </is>
      </c>
      <c r="D1946" s="3" t="inlineStr">
        <is>
          <t>fleet_reference_tps_per_mw</t>
        </is>
      </c>
      <c r="E1946" s="3" t="n">
        <v>166591</v>
      </c>
      <c r="F1946" s="3" t="inlineStr">
        <is>
          <t>generated output tokens/sec/MW</t>
        </is>
      </c>
      <c r="G1946" s="3" t="inlineStr">
        <is>
          <t>Fleet-weighted public benchmark reference</t>
        </is>
      </c>
      <c r="H1946" s="3" t="inlineStr">
        <is>
          <t>h200_share*h200_workload_avg + b200_share*b200_workload_avg + gb200_share*gb200_workload_avg + purpose_built_share*purpose_workload_avg</t>
        </is>
      </c>
      <c r="I194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1946" s="3" t="inlineStr">
        <is>
          <t>SRC_SEMIANALYSIS_INFERENCEX; ASSUMP_NUMERIC_ACCELERATOR_MIX; ASSUMP_WORKLOAD_CLASS_MIX; ASSUMP_AGENTIC_CONTEXT_PENALTY</t>
        </is>
      </c>
      <c r="K1946" s="3" t="inlineStr">
        <is>
          <t>ASSUMP_MOE_EFFICIENCY; ASSUMP_CN_CAPACITY_TRANSPARENCY; ASSUMP_NUMERIC_ACCELERATOR_MIX; ASSUMP_INFERENCE_SHARE_NOT_FACT_60; ASSUMP_WORKLOAD_CLASS_MIX; ASSUMP_AGENTIC_CONTEXT_PENALTY</t>
        </is>
      </c>
      <c r="L1946" s="3" t="inlineStr">
        <is>
          <t>Comparable production output-token throughput or a more closely matched benchmark.</t>
        </is>
      </c>
    </row>
    <row r="1947">
      <c r="A1947" s="3" t="inlineStr">
        <is>
          <t>Alibaba</t>
        </is>
      </c>
      <c r="B1947" s="3" t="n">
        <v>2030</v>
      </c>
      <c r="C1947" s="3" t="inlineStr">
        <is>
          <t>Base</t>
        </is>
      </c>
      <c r="D1947" s="3" t="inlineStr">
        <is>
          <t>commercial_workload_fit_factor</t>
        </is>
      </c>
      <c r="E1947" s="3" t="n">
        <v>0.9</v>
      </c>
      <c r="F1947" s="3" t="inlineStr">
        <is>
          <t>share of public reference throughput</t>
        </is>
      </c>
      <c r="G1947" s="3" t="inlineStr">
        <is>
          <t>Scenario assumption</t>
        </is>
      </c>
      <c r="H1947" s="3" t="inlineStr">
        <is>
          <t>reference_serving_tps_per_mw = fleet_reference_tps_per_mw * commercial_workload_fit_factor</t>
        </is>
      </c>
      <c r="I194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1947" s="3" t="inlineStr">
        <is>
          <t>SRC_SEMIANALYSIS_INFERENCEX; ASSUMP_NUMERIC_ACCELERATOR_MIX; ASSUMP_WORKLOAD_CLASS_MIX; ASSUMP_AGENTIC_CONTEXT_PENALTY</t>
        </is>
      </c>
      <c r="K1947" s="3" t="inlineStr">
        <is>
          <t>ASSUMP_MOE_EFFICIENCY; ASSUMP_CN_CAPACITY_TRANSPARENCY; ASSUMP_NUMERIC_ACCELERATOR_MIX; ASSUMP_INFERENCE_SHARE_NOT_FACT_60; ASSUMP_WORKLOAD_CLASS_MIX; ASSUMP_AGENTIC_CONTEXT_PENALTY</t>
        </is>
      </c>
      <c r="L1947" s="3" t="inlineStr">
        <is>
          <t>Matched commercial serving benchmark by product surface, context shape and latency SLO.</t>
        </is>
      </c>
    </row>
    <row r="1948">
      <c r="A1948" s="3" t="inlineStr">
        <is>
          <t>Alibaba</t>
        </is>
      </c>
      <c r="B1948" s="3" t="n">
        <v>2030</v>
      </c>
      <c r="C1948" s="3" t="inlineStr">
        <is>
          <t>Base</t>
        </is>
      </c>
      <c r="D1948" s="3" t="inlineStr">
        <is>
          <t>reference_serving_tps_per_mw</t>
        </is>
      </c>
      <c r="E1948" s="3" t="n">
        <v>149932</v>
      </c>
      <c r="F1948" s="3" t="inlineStr">
        <is>
          <t>generated output tokens/sec/MW</t>
        </is>
      </c>
      <c r="G1948" s="3" t="inlineStr">
        <is>
          <t>Workload-adjusted benchmark proxy</t>
        </is>
      </c>
      <c r="H1948" s="3" t="inlineStr">
        <is>
          <t>fleet_reference_tps_per_mw * commercial_workload_fit_factor</t>
        </is>
      </c>
      <c r="I1948" s="3" t="inlineStr">
        <is>
          <t>This is the coefficient used for headline token generation; each GPU's short chat, long chat and agentic TPS/MW are weighted before fleet mix and commercial fit are applied.</t>
        </is>
      </c>
      <c r="J1948" s="3" t="inlineStr">
        <is>
          <t>SRC_SEMIANALYSIS_INFERENCEX; ASSUMP_NUMERIC_ACCELERATOR_MIX; ASSUMP_WORKLOAD_CLASS_MIX; ASSUMP_AGENTIC_CONTEXT_PENALTY</t>
        </is>
      </c>
      <c r="K1948" s="3" t="inlineStr">
        <is>
          <t>ASSUMP_MOE_EFFICIENCY; ASSUMP_CN_CAPACITY_TRANSPARENCY; ASSUMP_NUMERIC_ACCELERATOR_MIX; ASSUMP_INFERENCE_SHARE_NOT_FACT_60; ASSUMP_WORKLOAD_CLASS_MIX; ASSUMP_AGENTIC_CONTEXT_PENALTY</t>
        </is>
      </c>
      <c r="L1948" s="3" t="inlineStr">
        <is>
          <t>Provider production output-token throughput with comparable workload/SLO.</t>
        </is>
      </c>
    </row>
    <row r="1949">
      <c r="A1949" s="3" t="inlineStr">
        <is>
          <t>Alibaba</t>
        </is>
      </c>
      <c r="B1949" s="3" t="n">
        <v>2030</v>
      </c>
      <c r="C1949" s="3" t="inlineStr">
        <is>
          <t>Base</t>
        </is>
      </c>
      <c r="D1949" s="3" t="inlineStr">
        <is>
          <t>purpose_built_tps_per_mw</t>
        </is>
      </c>
      <c r="E1949" s="3" t="n">
        <v>996060</v>
      </c>
      <c r="F1949" s="3" t="inlineStr">
        <is>
          <t>generated output tokens/sec/MW</t>
        </is>
      </c>
      <c r="G1949" s="3" t="inlineStr">
        <is>
          <t>Conservative no-uplift proxy</t>
        </is>
      </c>
      <c r="H1949" s="3" t="inlineStr">
        <is>
          <t>purpose_built_tps_per_mw = purpose_built_reference_tps_per_mw * commercial_workload_fit_factor until comparable output-token benchmark is adopted</t>
        </is>
      </c>
      <c r="I1949" s="3" t="inlineStr">
        <is>
          <t>No comparable public output-token/MW row adopted; B200 public reference placeholder is used and remains editable.</t>
        </is>
      </c>
      <c r="J1949" s="3" t="inlineStr">
        <is>
          <t>SRC_QWEN3_GITHUB; SRC_ALIBABA_QWEN_GPU_DEPLOY; SRC_EPOCH_AI_DATA_CENTERS; ASSUMP_NUMERIC_ACCELERATOR_MIX</t>
        </is>
      </c>
      <c r="K1949" s="3" t="inlineStr">
        <is>
          <t>ASSUMP_MOE_EFFICIENCY; ASSUMP_CN_CAPACITY_TRANSPARENCY; ASSUMP_NUMERIC_ACCELERATOR_MIX; ASSUMP_INFERENCE_SHARE_NOT_FACT_60; ASSUMP_WORKLOAD_CLASS_MIX; ASSUMP_AGENTIC_CONTEXT_PENALTY</t>
        </is>
      </c>
      <c r="L1949" s="3" t="inlineStr">
        <is>
          <t>Matched-workload generated-output benchmark for the provider purpose-built accelerator.</t>
        </is>
      </c>
    </row>
    <row r="1950">
      <c r="A1950" s="3" t="inlineStr">
        <is>
          <t>Alibaba</t>
        </is>
      </c>
      <c r="B1950" s="3" t="n">
        <v>2030</v>
      </c>
      <c r="C1950" s="3" t="inlineStr">
        <is>
          <t>Base</t>
        </is>
      </c>
      <c r="D1950" s="3" t="inlineStr">
        <is>
          <t>inference_power_share</t>
        </is>
      </c>
      <c r="E1950" s="3" t="n">
        <v>0.8</v>
      </c>
      <c r="F1950" s="3" t="inlineStr">
        <is>
          <t>share of AI IT load</t>
        </is>
      </c>
      <c r="G1950" s="3" t="inlineStr">
        <is>
          <t>Scenario allocation</t>
        </is>
      </c>
      <c r="H1950" s="3" t="inlineStr">
        <is>
          <t>inference_gw = ai_it_load_gw * inference_power_share</t>
        </is>
      </c>
      <c r="I1950" s="3" t="inlineStr">
        <is>
          <t>Qwen API/enterprise commercialization and MoE architecture support increasing inference allocation scenario.</t>
        </is>
      </c>
      <c r="J1950" s="3" t="inlineStr">
        <is>
          <t>SRC_QWEN3_GITHUB; SRC_ALIBABA_QWEN_GPU_DEPLOY; SRC_EPOCH_AI_DATA_CENTERS; ASSUMP_INFERENCE_SHARE_NOT_FACT_60</t>
        </is>
      </c>
      <c r="K1950" s="3" t="inlineStr">
        <is>
          <t>ASSUMP_MOE_EFFICIENCY; ASSUMP_CN_CAPACITY_TRANSPARENCY; ASSUMP_NUMERIC_ACCELERATOR_MIX; ASSUMP_INFERENCE_SHARE_NOT_FACT_60; ASSUMP_WORKLOAD_CLASS_MIX; ASSUMP_AGENTIC_CONTEXT_PENALTY</t>
        </is>
      </c>
      <c r="L1950" s="3" t="inlineStr">
        <is>
          <t>Provider-specific inference/training workload power telemetry.</t>
        </is>
      </c>
    </row>
    <row r="1951">
      <c r="A1951" s="3" t="inlineStr">
        <is>
          <t>Alibaba</t>
        </is>
      </c>
      <c r="B1951" s="3" t="n">
        <v>2030</v>
      </c>
      <c r="C1951" s="3" t="inlineStr">
        <is>
          <t>Base</t>
        </is>
      </c>
      <c r="D1951" s="3" t="inlineStr">
        <is>
          <t>inference_gw</t>
        </is>
      </c>
      <c r="E1951" s="3" t="n">
        <v>1.748</v>
      </c>
      <c r="F1951" s="3" t="inlineStr">
        <is>
          <t>GW</t>
        </is>
      </c>
      <c r="G1951" s="3" t="inlineStr">
        <is>
          <t>Derived formula</t>
        </is>
      </c>
      <c r="H1951" s="3" t="inlineStr">
        <is>
          <t>ai_it_load_gw * inference_power_share</t>
        </is>
      </c>
      <c r="I1951" s="3" t="inlineStr">
        <is>
          <t>This is the operational power eligible to become commercial generated output tokens through the selected TPS/MW proxy.</t>
        </is>
      </c>
      <c r="J1951" s="3" t="inlineStr">
        <is>
          <t>SRC_QWEN3_GITHUB; SRC_ALIBABA_QWEN_GPU_DEPLOY; SRC_EPOCH_AI_DATA_CENTERS</t>
        </is>
      </c>
      <c r="K1951" s="3" t="inlineStr">
        <is>
          <t>ASSUMP_MOE_EFFICIENCY; ASSUMP_CN_CAPACITY_TRANSPARENCY; ASSUMP_NUMERIC_ACCELERATOR_MIX; ASSUMP_INFERENCE_SHARE_NOT_FACT_60; ASSUMP_WORKLOAD_CLASS_MIX; ASSUMP_AGENTIC_CONTEXT_PENALTY</t>
        </is>
      </c>
      <c r="L1951" s="3" t="inlineStr">
        <is>
          <t>Recompute after AI allocation or inference-share evidence changes.</t>
        </is>
      </c>
    </row>
    <row r="1952">
      <c r="A1952" s="3" t="inlineStr">
        <is>
          <t>Alibaba</t>
        </is>
      </c>
      <c r="B1952" s="3" t="n">
        <v>2030</v>
      </c>
      <c r="C1952" s="3" t="inlineStr">
        <is>
          <t>Base</t>
        </is>
      </c>
      <c r="D1952" s="3" t="inlineStr">
        <is>
          <t>training_power_share</t>
        </is>
      </c>
      <c r="E1952" s="3" t="n">
        <v>0.2</v>
      </c>
      <c r="F1952" s="3" t="inlineStr">
        <is>
          <t>share of AI IT load</t>
        </is>
      </c>
      <c r="G1952" s="3" t="inlineStr">
        <is>
          <t>Derived allocation</t>
        </is>
      </c>
      <c r="H1952" s="3" t="inlineStr">
        <is>
          <t>1 - inference_power_share</t>
        </is>
      </c>
      <c r="I1952" s="3" t="inlineStr">
        <is>
          <t>Training receives the complementary modeled AI IT allocation; it is not a disclosed company workload split.</t>
        </is>
      </c>
      <c r="J1952" s="3" t="inlineStr">
        <is>
          <t>SRC_QWEN3_GITHUB; SRC_ALIBABA_QWEN_GPU_DEPLOY; SRC_EPOCH_AI_DATA_CENTERS; ASSUMP_INFERENCE_SHARE_NOT_FACT_60</t>
        </is>
      </c>
      <c r="K1952" s="3" t="inlineStr">
        <is>
          <t>ASSUMP_MOE_EFFICIENCY; ASSUMP_CN_CAPACITY_TRANSPARENCY; ASSUMP_NUMERIC_ACCELERATOR_MIX; ASSUMP_INFERENCE_SHARE_NOT_FACT_60; ASSUMP_WORKLOAD_CLASS_MIX; ASSUMP_AGENTIC_CONTEXT_PENALTY</t>
        </is>
      </c>
      <c r="L1952" s="3" t="inlineStr">
        <is>
          <t>Provider-specific inference/training workload power telemetry.</t>
        </is>
      </c>
    </row>
    <row r="1953">
      <c r="A1953" s="3" t="inlineStr">
        <is>
          <t>Alibaba</t>
        </is>
      </c>
      <c r="B1953" s="3" t="n">
        <v>2030</v>
      </c>
      <c r="C1953" s="3" t="inlineStr">
        <is>
          <t>Base</t>
        </is>
      </c>
      <c r="D1953" s="3" t="inlineStr">
        <is>
          <t>training_gw</t>
        </is>
      </c>
      <c r="E1953" s="3" t="n">
        <v>0.437</v>
      </c>
      <c r="F1953" s="3" t="inlineStr">
        <is>
          <t>GW</t>
        </is>
      </c>
      <c r="G1953" s="3" t="inlineStr">
        <is>
          <t>Derived formula</t>
        </is>
      </c>
      <c r="H1953" s="3" t="inlineStr">
        <is>
          <t>ai_it_load_gw * training_power_share</t>
        </is>
      </c>
      <c r="I1953" s="3" t="inlineStr">
        <is>
          <t>Training GW is shown separately so commercial inference token capacity is not overstated.</t>
        </is>
      </c>
      <c r="J1953" s="3" t="inlineStr">
        <is>
          <t>SRC_QWEN3_GITHUB; SRC_ALIBABA_QWEN_GPU_DEPLOY; SRC_EPOCH_AI_DATA_CENTERS</t>
        </is>
      </c>
      <c r="K1953" s="3" t="inlineStr">
        <is>
          <t>ASSUMP_MOE_EFFICIENCY; ASSUMP_CN_CAPACITY_TRANSPARENCY; ASSUMP_NUMERIC_ACCELERATOR_MIX; ASSUMP_INFERENCE_SHARE_NOT_FACT_60; ASSUMP_WORKLOAD_CLASS_MIX; ASSUMP_AGENTIC_CONTEXT_PENALTY</t>
        </is>
      </c>
      <c r="L1953" s="3" t="inlineStr">
        <is>
          <t>Recompute after AI allocation or workload-split evidence changes.</t>
        </is>
      </c>
    </row>
    <row r="1954">
      <c r="A1954" s="3" t="inlineStr">
        <is>
          <t>Alibaba</t>
        </is>
      </c>
      <c r="B1954" s="3" t="n">
        <v>2030</v>
      </c>
      <c r="C1954" s="3" t="inlineStr">
        <is>
          <t>Base</t>
        </is>
      </c>
      <c r="D1954" s="3" t="inlineStr">
        <is>
          <t>tokens_per_second_per_mw</t>
        </is>
      </c>
      <c r="E1954" s="3" t="n">
        <v>149932</v>
      </c>
      <c r="F1954" s="3" t="inlineStr">
        <is>
          <t>generated output tokens/sec/MW</t>
        </is>
      </c>
      <c r="G1954" s="3" t="inlineStr">
        <is>
          <t>Derived estimate + benchmark calibration</t>
        </is>
      </c>
      <c r="H1954" s="3" t="inlineStr">
        <is>
          <t>fleet_reference_tps_per_mw * commercial_workload_fit_factor</t>
        </is>
      </c>
      <c r="I195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1954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1954" s="3" t="inlineStr">
        <is>
          <t>ASSUMP_MOE_EFFICIENCY; ASSUMP_CN_CAPACITY_TRANSPARENCY; ASSUMP_NUMERIC_ACCELERATOR_MIX; ASSUMP_INFERENCE_SHARE_NOT_FACT_60; ASSUMP_WORKLOAD_CLASS_MIX; ASSUMP_AGENTIC_CONTEXT_PENALTY</t>
        </is>
      </c>
      <c r="L1954" s="3" t="inlineStr">
        <is>
          <t>Comparable production output-token throughput with model, hardware, precision, ISL/OSL and SLO matched.</t>
        </is>
      </c>
    </row>
    <row r="1955">
      <c r="A1955" s="3" t="inlineStr">
        <is>
          <t>Alibaba</t>
        </is>
      </c>
      <c r="B1955" s="3" t="n">
        <v>2030</v>
      </c>
      <c r="C1955" s="3" t="inlineStr">
        <is>
          <t>Base</t>
        </is>
      </c>
      <c r="D1955" s="3" t="inlineStr">
        <is>
          <t>inference_tokens_per_day</t>
        </is>
      </c>
      <c r="E1955" s="3" t="n">
        <v>22643810150400</v>
      </c>
      <c r="F1955" s="3" t="inlineStr">
        <is>
          <t>generated output tokens/day</t>
        </is>
      </c>
      <c r="G1955" s="3" t="inlineStr">
        <is>
          <t>Derived headline metric</t>
        </is>
      </c>
      <c r="H1955" s="3" t="inlineStr">
        <is>
          <t>inference_gw * 1000 * tokens_per_second_per_mw * 86,400</t>
        </is>
      </c>
      <c r="I1955" s="3" t="inlineStr">
        <is>
          <t>Headline capacity uses no utilization, MoE, architecture or software-growth multiplier; it is not observed commercial output volume.</t>
        </is>
      </c>
      <c r="J1955" s="3" t="inlineStr">
        <is>
          <t>SRC_QWEN3_GITHUB; SRC_ALIBABA_QWEN_GPU_DEPLOY; SRC_EPOCH_AI_DATA_CENTERS; SRC_SEMIANALYSIS_INFERENCEX</t>
        </is>
      </c>
      <c r="K1955" s="3" t="inlineStr">
        <is>
          <t>ASSUMP_MOE_EFFICIENCY; ASSUMP_CN_CAPACITY_TRANSPARENCY; ASSUMP_NUMERIC_ACCELERATOR_MIX; ASSUMP_INFERENCE_SHARE_NOT_FACT_60; ASSUMP_WORKLOAD_CLASS_MIX; ASSUMP_AGENTIC_CONTEXT_PENALTY</t>
        </is>
      </c>
      <c r="L1955" s="3" t="inlineStr">
        <is>
          <t>Provider-disclosed generated output token volume or calibrated capacity telemetry.</t>
        </is>
      </c>
    </row>
    <row r="1956">
      <c r="A1956" s="3" t="inlineStr">
        <is>
          <t>Alibaba</t>
        </is>
      </c>
      <c r="B1956" s="3" t="n">
        <v>2030</v>
      </c>
      <c r="C1956" s="3" t="inlineStr">
        <is>
          <t>Base</t>
        </is>
      </c>
      <c r="D1956" s="3" t="inlineStr">
        <is>
          <t>inference_tokens_per_year</t>
        </is>
      </c>
      <c r="E1956" s="3" t="n">
        <v>8264990704896000</v>
      </c>
      <c r="F1956" s="3" t="inlineStr">
        <is>
          <t>generated output tokens/year</t>
        </is>
      </c>
      <c r="G1956" s="3" t="inlineStr">
        <is>
          <t>Derived headline metric</t>
        </is>
      </c>
      <c r="H1956" s="3" t="inlineStr">
        <is>
          <t>inference_tokens_per_day * 365</t>
        </is>
      </c>
      <c r="I1956" s="3" t="inlineStr">
        <is>
          <t>Annualized version of generated output token capacity; it is not observed annual demand or billable volume.</t>
        </is>
      </c>
      <c r="J1956" s="3" t="inlineStr">
        <is>
          <t>SRC_QWEN3_GITHUB; SRC_ALIBABA_QWEN_GPU_DEPLOY; SRC_EPOCH_AI_DATA_CENTERS; SRC_SEMIANALYSIS_INFERENCEX</t>
        </is>
      </c>
      <c r="K1956" s="3" t="inlineStr">
        <is>
          <t>ASSUMP_MOE_EFFICIENCY; ASSUMP_CN_CAPACITY_TRANSPARENCY; ASSUMP_NUMERIC_ACCELERATOR_MIX; ASSUMP_INFERENCE_SHARE_NOT_FACT_60; ASSUMP_WORKLOAD_CLASS_MIX; ASSUMP_AGENTIC_CONTEXT_PENALTY</t>
        </is>
      </c>
      <c r="L1956" s="3" t="inlineStr">
        <is>
          <t>Provider-disclosed annual generated-output volume or metered serving telemetry.</t>
        </is>
      </c>
    </row>
    <row r="1957">
      <c r="A1957" s="3" t="inlineStr">
        <is>
          <t>Tencent</t>
        </is>
      </c>
      <c r="B1957" s="3" t="n">
        <v>2026</v>
      </c>
      <c r="C1957" s="3" t="inlineStr">
        <is>
          <t>Base</t>
        </is>
      </c>
      <c r="D1957" s="3" t="inlineStr">
        <is>
          <t>contracted_power_gw</t>
        </is>
      </c>
      <c r="E1957" s="3" t="n">
        <v>1.2</v>
      </c>
      <c r="F1957" s="3" t="inlineStr">
        <is>
          <t>GW</t>
        </is>
      </c>
      <c r="G1957" s="3" t="inlineStr">
        <is>
          <t>Scenario capacity envelope</t>
        </is>
      </c>
      <c r="H1957" s="3" t="inlineStr">
        <is>
          <t>linear interpolation between 2026 and 2030 company capacity endpoints</t>
        </is>
      </c>
      <c r="I1957" s="3" t="inlineStr">
        <is>
          <t>Tencent Cloud/Hunyuan capacity is a scenario envelope because operated model-serving GW is undisclosed.</t>
        </is>
      </c>
      <c r="J1957" s="3" t="inlineStr">
        <is>
          <t>SRC_TENCENT_AI_INFRA_MOE; ASSUMP_CN_CAPACITY_TRANSPARENCY</t>
        </is>
      </c>
      <c r="K1957" s="3" t="inlineStr">
        <is>
          <t>ASSUMP_CN_CAPACITY_TRANSPARENCY; ASSUMP_APP_EMBEDDING; ASSUMP_NUMERIC_ACCELERATOR_MIX; ASSUMP_INFERENCE_SHARE_NOT_FACT_60; ASSUMP_WORKLOAD_CLASS_MIX; ASSUMP_AGENTIC_CONTEXT_PENALTY</t>
        </is>
      </c>
      <c r="L1957" s="3" t="inlineStr">
        <is>
          <t>Company/site-level committed MW/GW, interconnect and contract disclosure.</t>
        </is>
      </c>
    </row>
    <row r="1958">
      <c r="A1958" s="3" t="inlineStr">
        <is>
          <t>Tencent</t>
        </is>
      </c>
      <c r="B1958" s="3" t="n">
        <v>2026</v>
      </c>
      <c r="C1958" s="3" t="inlineStr">
        <is>
          <t>Base</t>
        </is>
      </c>
      <c r="D1958" s="3" t="inlineStr">
        <is>
          <t>operational_deployment_share</t>
        </is>
      </c>
      <c r="E1958" s="3" t="n">
        <v>0.375</v>
      </c>
      <c r="F1958" s="3" t="inlineStr">
        <is>
          <t>share</t>
        </is>
      </c>
      <c r="G1958" s="3" t="inlineStr">
        <is>
          <t>Scenario conversion</t>
        </is>
      </c>
      <c r="H1958" s="3" t="inlineStr">
        <is>
          <t>active_power_gw / contracted_power_gw</t>
        </is>
      </c>
      <c r="I1958" s="3" t="inlineStr">
        <is>
          <t>This is the single explicit conversion from contracted/attributed capacity to operationally usable capacity.</t>
        </is>
      </c>
      <c r="J1958" s="3" t="inlineStr">
        <is>
          <t>SRC_TENCENT_AI_INFRA_MOE; ASSUMP_CN_CAPACITY_TRANSPARENCY</t>
        </is>
      </c>
      <c r="K1958" s="3" t="inlineStr">
        <is>
          <t>ASSUMP_CN_CAPACITY_TRANSPARENCY; ASSUMP_APP_EMBEDDING; ASSUMP_NUMERIC_ACCELERATOR_MIX; ASSUMP_INFERENCE_SHARE_NOT_FACT_60; ASSUMP_WORKLOAD_CLASS_MIX; ASSUMP_AGENTIC_CONTEXT_PENALTY</t>
        </is>
      </c>
      <c r="L1958" s="3" t="inlineStr">
        <is>
          <t>Energized operational capacity divided by contracted/attributed capacity.</t>
        </is>
      </c>
    </row>
    <row r="1959">
      <c r="A1959" s="3" t="inlineStr">
        <is>
          <t>Tencent</t>
        </is>
      </c>
      <c r="B1959" s="3" t="n">
        <v>2026</v>
      </c>
      <c r="C1959" s="3" t="inlineStr">
        <is>
          <t>Base</t>
        </is>
      </c>
      <c r="D1959" s="3" t="inlineStr">
        <is>
          <t>active_power_gw</t>
        </is>
      </c>
      <c r="E1959" s="3" t="n">
        <v>0.45</v>
      </c>
      <c r="F1959" s="3" t="inlineStr">
        <is>
          <t>GW</t>
        </is>
      </c>
      <c r="G1959" s="3" t="inlineStr">
        <is>
          <t>Derived scenario</t>
        </is>
      </c>
      <c r="H1959" s="3" t="inlineStr">
        <is>
          <t>contracted_power_gw * operational_deployment_share</t>
        </is>
      </c>
      <c r="I1959" s="3" t="inlineStr">
        <is>
          <t>Active GW reflects staged Hunyuan/Yuanbao adoption rather than a reported powered fleet.</t>
        </is>
      </c>
      <c r="J1959" s="3" t="inlineStr">
        <is>
          <t>SRC_TENCENT_AI_INFRA_MOE; ASSUMP_CN_CAPACITY_TRANSPARENCY</t>
        </is>
      </c>
      <c r="K1959" s="3" t="inlineStr">
        <is>
          <t>ASSUMP_CN_CAPACITY_TRANSPARENCY; ASSUMP_APP_EMBEDDING; ASSUMP_NUMERIC_ACCELERATOR_MIX; ASSUMP_INFERENCE_SHARE_NOT_FACT_60; ASSUMP_WORKLOAD_CLASS_MIX; ASSUMP_AGENTIC_CONTEXT_PENALTY</t>
        </is>
      </c>
      <c r="L1959" s="3" t="inlineStr">
        <is>
          <t>Energization dates, accelerator deliveries and operational powered-rack telemetry.</t>
        </is>
      </c>
    </row>
    <row r="1960">
      <c r="A1960" s="3" t="inlineStr">
        <is>
          <t>Tencent</t>
        </is>
      </c>
      <c r="B1960" s="3" t="n">
        <v>2026</v>
      </c>
      <c r="C1960" s="3" t="inlineStr">
        <is>
          <t>Base</t>
        </is>
      </c>
      <c r="D1960" s="3" t="inlineStr">
        <is>
          <t>pue</t>
        </is>
      </c>
      <c r="E1960" s="3" t="n">
        <v>1.23</v>
      </c>
      <c r="F1960" s="3" t="inlineStr">
        <is>
          <t>ratio</t>
        </is>
      </c>
      <c r="G1960" s="3" t="inlineStr">
        <is>
          <t>Scenario parameter</t>
        </is>
      </c>
      <c r="H1960" s="3" t="inlineStr">
        <is>
          <t>it_load_gw = active_power_gw / pue</t>
        </is>
      </c>
      <c r="I1960" s="3" t="inlineStr">
        <is>
          <t>No provider-wide site-level PUE is used as a disclosed fact; PUE represents facility-to-IT conversion within the scenario.</t>
        </is>
      </c>
      <c r="J1960" s="3" t="inlineStr">
        <is>
          <t>ASSUMP_POWER_RAMP</t>
        </is>
      </c>
      <c r="K1960" s="3" t="inlineStr">
        <is>
          <t>ASSUMP_CN_CAPACITY_TRANSPARENCY; ASSUMP_APP_EMBEDDING; ASSUMP_NUMERIC_ACCELERATOR_MIX; ASSUMP_INFERENCE_SHARE_NOT_FACT_60; ASSUMP_WORKLOAD_CLASS_MIX; ASSUMP_AGENTIC_CONTEXT_PENALTY</t>
        </is>
      </c>
      <c r="L1960" s="3" t="inlineStr">
        <is>
          <t>Site-level measured PUE matched to attributed AI capacity.</t>
        </is>
      </c>
    </row>
    <row r="1961">
      <c r="A1961" s="3" t="inlineStr">
        <is>
          <t>Tencent</t>
        </is>
      </c>
      <c r="B1961" s="3" t="n">
        <v>2026</v>
      </c>
      <c r="C1961" s="3" t="inlineStr">
        <is>
          <t>Base</t>
        </is>
      </c>
      <c r="D1961" s="3" t="inlineStr">
        <is>
          <t>it_load_gw</t>
        </is>
      </c>
      <c r="E1961" s="3" t="n">
        <v>0.366</v>
      </c>
      <c r="F1961" s="3" t="inlineStr">
        <is>
          <t>GW</t>
        </is>
      </c>
      <c r="G1961" s="3" t="inlineStr">
        <is>
          <t>Derived formula</t>
        </is>
      </c>
      <c r="H1961" s="3" t="inlineStr">
        <is>
          <t>active_power_gw / pue</t>
        </is>
      </c>
      <c r="I1961" s="3" t="inlineStr">
        <is>
          <t>Facility power is converted to IT-deliverable power before attributing AI workloads.</t>
        </is>
      </c>
      <c r="J1961" s="3" t="inlineStr">
        <is>
          <t>SRC_TENCENT_AI_INFRA_MOE; ASSUMP_CN_CAPACITY_TRANSPARENCY</t>
        </is>
      </c>
      <c r="K1961" s="3" t="inlineStr">
        <is>
          <t>ASSUMP_CN_CAPACITY_TRANSPARENCY; ASSUMP_APP_EMBEDDING; ASSUMP_NUMERIC_ACCELERATOR_MIX; ASSUMP_INFERENCE_SHARE_NOT_FACT_60; ASSUMP_WORKLOAD_CLASS_MIX; ASSUMP_AGENTIC_CONTEXT_PENALTY</t>
        </is>
      </c>
      <c r="L1961" s="3" t="inlineStr">
        <is>
          <t>Recompute once active power and PUE become site-observable.</t>
        </is>
      </c>
    </row>
    <row r="1962">
      <c r="A1962" s="3" t="inlineStr">
        <is>
          <t>Tencent</t>
        </is>
      </c>
      <c r="B1962" s="3" t="n">
        <v>2026</v>
      </c>
      <c r="C1962" s="3" t="inlineStr">
        <is>
          <t>Base</t>
        </is>
      </c>
      <c r="D1962" s="3" t="inlineStr">
        <is>
          <t>ai_workload_share</t>
        </is>
      </c>
      <c r="E1962" s="3" t="n">
        <v>0.84</v>
      </c>
      <c r="F1962" s="3" t="inlineStr">
        <is>
          <t>share</t>
        </is>
      </c>
      <c r="G1962" s="3" t="inlineStr">
        <is>
          <t>Scenario allocation</t>
        </is>
      </c>
      <c r="H1962" s="3" t="inlineStr">
        <is>
          <t>ai_it_load_gw = it_load_gw * ai_workload_share</t>
        </is>
      </c>
      <c r="I1962" s="3" t="inlineStr">
        <is>
          <t>Modeled Hunyuan-serving capacity is AI-focused; 84% excludes cloud/platform and reserve overhead.</t>
        </is>
      </c>
      <c r="J1962" s="3" t="inlineStr">
        <is>
          <t>SRC_TENCENT_HUNYUAN; SRC_TENCENT_HY3; SRC_TENCENT_AI_INFRA_MOE; SRC_EPOCH_AI_DATA_CENTERS</t>
        </is>
      </c>
      <c r="K1962" s="3" t="inlineStr">
        <is>
          <t>ASSUMP_CN_CAPACITY_TRANSPARENCY; ASSUMP_APP_EMBEDDING; ASSUMP_NUMERIC_ACCELERATOR_MIX; ASSUMP_INFERENCE_SHARE_NOT_FACT_60; ASSUMP_WORKLOAD_CLASS_MIX; ASSUMP_AGENTIC_CONTEXT_PENALTY</t>
        </is>
      </c>
      <c r="L1962" s="3" t="inlineStr">
        <is>
          <t>Model-owner AI workload allocation or cluster scheduling telemetry.</t>
        </is>
      </c>
    </row>
    <row r="1963">
      <c r="A1963" s="3" t="inlineStr">
        <is>
          <t>Tencent</t>
        </is>
      </c>
      <c r="B1963" s="3" t="n">
        <v>2026</v>
      </c>
      <c r="C1963" s="3" t="inlineStr">
        <is>
          <t>Base</t>
        </is>
      </c>
      <c r="D1963" s="3" t="inlineStr">
        <is>
          <t>ai_it_load_gw</t>
        </is>
      </c>
      <c r="E1963" s="3" t="n">
        <v>0.307</v>
      </c>
      <c r="F1963" s="3" t="inlineStr">
        <is>
          <t>GW</t>
        </is>
      </c>
      <c r="G1963" s="3" t="inlineStr">
        <is>
          <t>Derived formula</t>
        </is>
      </c>
      <c r="H1963" s="3" t="inlineStr">
        <is>
          <t>it_load_gw * ai_workload_share</t>
        </is>
      </c>
      <c r="I1963" s="3" t="inlineStr">
        <is>
          <t>Only the AI-attributed portion of IT load enters training/inference allocation.</t>
        </is>
      </c>
      <c r="J1963" s="3" t="inlineStr">
        <is>
          <t>SRC_TENCENT_HUNYUAN; SRC_TENCENT_HY3; SRC_TENCENT_AI_INFRA_MOE; SRC_EPOCH_AI_DATA_CENTERS</t>
        </is>
      </c>
      <c r="K1963" s="3" t="inlineStr">
        <is>
          <t>ASSUMP_CN_CAPACITY_TRANSPARENCY; ASSUMP_APP_EMBEDDING; ASSUMP_NUMERIC_ACCELERATOR_MIX; ASSUMP_INFERENCE_SHARE_NOT_FACT_60; ASSUMP_WORKLOAD_CLASS_MIX; ASSUMP_AGENTIC_CONTEXT_PENALTY</t>
        </is>
      </c>
      <c r="L1963" s="3" t="inlineStr">
        <is>
          <t>Recompute after ai_workload_share is replaced by telemetry.</t>
        </is>
      </c>
    </row>
    <row r="1964">
      <c r="A1964" s="3" t="inlineStr">
        <is>
          <t>Tencent</t>
        </is>
      </c>
      <c r="B1964" s="3" t="n">
        <v>2026</v>
      </c>
      <c r="C1964" s="3" t="inlineStr">
        <is>
          <t>Base</t>
        </is>
      </c>
      <c r="D1964" s="3" t="inlineStr">
        <is>
          <t>gpu_share</t>
        </is>
      </c>
      <c r="E1964" s="3" t="n">
        <v>1</v>
      </c>
      <c r="F1964" s="3" t="inlineStr">
        <is>
          <t>share of inference-serving accelerator load</t>
        </is>
      </c>
      <c r="G1964" s="3" t="inlineStr">
        <is>
          <t>Numeric scenario</t>
        </is>
      </c>
      <c r="H1964" s="3" t="inlineStr">
        <is>
          <t>gpu_share interpolated from company 2026/2030 accelerator-mix endpoints</t>
        </is>
      </c>
      <c r="I1964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964" s="3" t="inlineStr">
        <is>
          <t>SRC_TENCENT_HUNYUAN; SRC_TENCENT_HY3; SRC_TENCENT_AI_INFRA_MOE; SRC_EPOCH_AI_DATA_CENTERS; ASSUMP_NUMERIC_ACCELERATOR_MIX</t>
        </is>
      </c>
      <c r="K1964" s="3" t="inlineStr">
        <is>
          <t>ASSUMP_CN_CAPACITY_TRANSPARENCY; ASSUMP_APP_EMBEDDING; ASSUMP_NUMERIC_ACCELERATOR_MIX; ASSUMP_INFERENCE_SHARE_NOT_FACT_60; ASSUMP_WORKLOAD_CLASS_MIX; ASSUMP_AGENTIC_CONTEXT_PENALTY</t>
        </is>
      </c>
      <c r="L1964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965">
      <c r="A1965" s="3" t="inlineStr">
        <is>
          <t>Tencent</t>
        </is>
      </c>
      <c r="B1965" s="3" t="n">
        <v>2026</v>
      </c>
      <c r="C1965" s="3" t="inlineStr">
        <is>
          <t>Base</t>
        </is>
      </c>
      <c r="D1965" s="3" t="inlineStr">
        <is>
          <t>h200_share</t>
        </is>
      </c>
      <c r="E1965" s="3" t="n">
        <v>0.55</v>
      </c>
      <c r="F1965" s="3" t="inlineStr">
        <is>
          <t>share of inference-serving accelerator load</t>
        </is>
      </c>
      <c r="G1965" s="3" t="inlineStr">
        <is>
          <t>Editable numeric scenario</t>
        </is>
      </c>
      <c r="H1965" s="3" t="inlineStr">
        <is>
          <t>h200_share = gpu_share * default_gpu_generation_mix_h200</t>
        </is>
      </c>
      <c r="I1965" s="3" t="inlineStr">
        <is>
          <t>Default GPU-generation migration assumption; executive workbook allows later manual replacement by company/year/scenario.</t>
        </is>
      </c>
      <c r="J1965" s="3" t="inlineStr">
        <is>
          <t>SRC_SEMIANALYSIS_INFERENCEX; ASSUMP_NUMERIC_ACCELERATOR_MIX</t>
        </is>
      </c>
      <c r="K1965" s="3" t="inlineStr">
        <is>
          <t>ASSUMP_CN_CAPACITY_TRANSPARENCY; ASSUMP_APP_EMBEDDING; ASSUMP_NUMERIC_ACCELERATOR_MIX; ASSUMP_INFERENCE_SHARE_NOT_FACT_60; ASSUMP_WORKLOAD_CLASS_MIX; ASSUMP_AGENTIC_CONTEXT_PENALTY</t>
        </is>
      </c>
      <c r="L1965" s="3" t="inlineStr">
        <is>
          <t>Company fleet inventory, accelerator-hours or procurement/deployment records by GPU generation.</t>
        </is>
      </c>
    </row>
    <row r="1966">
      <c r="A1966" s="3" t="inlineStr">
        <is>
          <t>Tencent</t>
        </is>
      </c>
      <c r="B1966" s="3" t="n">
        <v>2026</v>
      </c>
      <c r="C1966" s="3" t="inlineStr">
        <is>
          <t>Base</t>
        </is>
      </c>
      <c r="D1966" s="3" t="inlineStr">
        <is>
          <t>b200_share</t>
        </is>
      </c>
      <c r="E1966" s="3" t="n">
        <v>0.4</v>
      </c>
      <c r="F1966" s="3" t="inlineStr">
        <is>
          <t>share of inference-serving accelerator load</t>
        </is>
      </c>
      <c r="G1966" s="3" t="inlineStr">
        <is>
          <t>Editable numeric scenario</t>
        </is>
      </c>
      <c r="H1966" s="3" t="inlineStr">
        <is>
          <t>b200_share = gpu_share * default_gpu_generation_mix_b200</t>
        </is>
      </c>
      <c r="I1966" s="3" t="inlineStr">
        <is>
          <t>Default GPU-generation migration assumption; executive workbook allows later manual replacement by company/year/scenario.</t>
        </is>
      </c>
      <c r="J1966" s="3" t="inlineStr">
        <is>
          <t>SRC_SEMIANALYSIS_INFERENCEX; ASSUMP_NUMERIC_ACCELERATOR_MIX</t>
        </is>
      </c>
      <c r="K1966" s="3" t="inlineStr">
        <is>
          <t>ASSUMP_CN_CAPACITY_TRANSPARENCY; ASSUMP_APP_EMBEDDING; ASSUMP_NUMERIC_ACCELERATOR_MIX; ASSUMP_INFERENCE_SHARE_NOT_FACT_60; ASSUMP_WORKLOAD_CLASS_MIX; ASSUMP_AGENTIC_CONTEXT_PENALTY</t>
        </is>
      </c>
      <c r="L1966" s="3" t="inlineStr">
        <is>
          <t>Company fleet inventory, accelerator-hours or procurement/deployment records by GPU generation.</t>
        </is>
      </c>
    </row>
    <row r="1967">
      <c r="A1967" s="3" t="inlineStr">
        <is>
          <t>Tencent</t>
        </is>
      </c>
      <c r="B1967" s="3" t="n">
        <v>2026</v>
      </c>
      <c r="C1967" s="3" t="inlineStr">
        <is>
          <t>Base</t>
        </is>
      </c>
      <c r="D1967" s="3" t="inlineStr">
        <is>
          <t>gb200_share</t>
        </is>
      </c>
      <c r="E1967" s="3" t="n">
        <v>0.05</v>
      </c>
      <c r="F1967" s="3" t="inlineStr">
        <is>
          <t>share of inference-serving accelerator load</t>
        </is>
      </c>
      <c r="G1967" s="3" t="inlineStr">
        <is>
          <t>Editable numeric scenario</t>
        </is>
      </c>
      <c r="H1967" s="3" t="inlineStr">
        <is>
          <t>gb200_share = gpu_share * default_gpu_generation_mix_gb200</t>
        </is>
      </c>
      <c r="I1967" s="3" t="inlineStr">
        <is>
          <t>Default GPU-generation migration assumption; executive workbook allows later manual replacement by company/year/scenario.</t>
        </is>
      </c>
      <c r="J1967" s="3" t="inlineStr">
        <is>
          <t>SRC_SEMIANALYSIS_INFERENCEX; ASSUMP_NUMERIC_ACCELERATOR_MIX</t>
        </is>
      </c>
      <c r="K1967" s="3" t="inlineStr">
        <is>
          <t>ASSUMP_CN_CAPACITY_TRANSPARENCY; ASSUMP_APP_EMBEDDING; ASSUMP_NUMERIC_ACCELERATOR_MIX; ASSUMP_INFERENCE_SHARE_NOT_FACT_60; ASSUMP_WORKLOAD_CLASS_MIX; ASSUMP_AGENTIC_CONTEXT_PENALTY</t>
        </is>
      </c>
      <c r="L1967" s="3" t="inlineStr">
        <is>
          <t>Company fleet inventory, accelerator-hours or procurement/deployment records by GPU generation.</t>
        </is>
      </c>
    </row>
    <row r="1968">
      <c r="A1968" s="3" t="inlineStr">
        <is>
          <t>Tencent</t>
        </is>
      </c>
      <c r="B1968" s="3" t="n">
        <v>2026</v>
      </c>
      <c r="C1968" s="3" t="inlineStr">
        <is>
          <t>Base</t>
        </is>
      </c>
      <c r="D1968" s="3" t="inlineStr">
        <is>
          <t>purpose_built_accelerator_share</t>
        </is>
      </c>
      <c r="E1968" s="3" t="n">
        <v>0</v>
      </c>
      <c r="F1968" s="3" t="inlineStr">
        <is>
          <t>share of inference-serving accelerator load</t>
        </is>
      </c>
      <c r="G1968" s="3" t="inlineStr">
        <is>
          <t>Numeric scenario</t>
        </is>
      </c>
      <c r="H1968" s="3" t="inlineStr">
        <is>
          <t>1 - gpu_share</t>
        </is>
      </c>
      <c r="I1968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968" s="3" t="inlineStr">
        <is>
          <t>SRC_TENCENT_HUNYUAN; SRC_TENCENT_HY3; SRC_TENCENT_AI_INFRA_MOE; SRC_EPOCH_AI_DATA_CENTERS; ASSUMP_NUMERIC_ACCELERATOR_MIX</t>
        </is>
      </c>
      <c r="K1968" s="3" t="inlineStr">
        <is>
          <t>ASSUMP_CN_CAPACITY_TRANSPARENCY; ASSUMP_APP_EMBEDDING; ASSUMP_NUMERIC_ACCELERATOR_MIX; ASSUMP_INFERENCE_SHARE_NOT_FACT_60; ASSUMP_WORKLOAD_CLASS_MIX; ASSUMP_AGENTIC_CONTEXT_PENALTY</t>
        </is>
      </c>
      <c r="L1968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969">
      <c r="A1969" s="3" t="inlineStr">
        <is>
          <t>Tencent</t>
        </is>
      </c>
      <c r="B1969" s="3" t="n">
        <v>2026</v>
      </c>
      <c r="C1969" s="3" t="inlineStr">
        <is>
          <t>Base</t>
        </is>
      </c>
      <c r="D1969" s="3" t="inlineStr">
        <is>
          <t>fleet_reference_tps_per_mw</t>
        </is>
      </c>
      <c r="E1969" s="3" t="n">
        <v>2359967</v>
      </c>
      <c r="F1969" s="3" t="inlineStr">
        <is>
          <t>generated output tokens/sec/MW</t>
        </is>
      </c>
      <c r="G1969" s="3" t="inlineStr">
        <is>
          <t>Fleet-weighted public benchmark reference</t>
        </is>
      </c>
      <c r="H1969" s="3" t="inlineStr">
        <is>
          <t>h200_share*h200_workload_avg + b200_share*b200_workload_avg + gb200_share*gb200_workload_avg + purpose_built_share*purpose_workload_avg</t>
        </is>
      </c>
      <c r="I196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69" s="3" t="inlineStr">
        <is>
          <t>SRC_SEMIANALYSIS_INFERENCEX; ASSUMP_NUMERIC_ACCELERATOR_MIX; ASSUMP_WORKLOAD_CLASS_MIX; ASSUMP_AGENTIC_CONTEXT_PENALTY</t>
        </is>
      </c>
      <c r="K1969" s="3" t="inlineStr">
        <is>
          <t>ASSUMP_CN_CAPACITY_TRANSPARENCY; ASSUMP_APP_EMBEDDING; ASSUMP_NUMERIC_ACCELERATOR_MIX; ASSUMP_INFERENCE_SHARE_NOT_FACT_60; ASSUMP_WORKLOAD_CLASS_MIX; ASSUMP_AGENTIC_CONTEXT_PENALTY</t>
        </is>
      </c>
      <c r="L1969" s="3" t="inlineStr">
        <is>
          <t>Comparable production output-token throughput or a more closely matched benchmark.</t>
        </is>
      </c>
    </row>
    <row r="1970">
      <c r="A1970" s="3" t="inlineStr">
        <is>
          <t>Tencent</t>
        </is>
      </c>
      <c r="B1970" s="3" t="n">
        <v>2026</v>
      </c>
      <c r="C1970" s="3" t="inlineStr">
        <is>
          <t>Base</t>
        </is>
      </c>
      <c r="D1970" s="3" t="inlineStr">
        <is>
          <t>commercial_workload_fit_factor</t>
        </is>
      </c>
      <c r="E1970" s="3" t="n">
        <v>0.6</v>
      </c>
      <c r="F1970" s="3" t="inlineStr">
        <is>
          <t>share of public reference throughput</t>
        </is>
      </c>
      <c r="G1970" s="3" t="inlineStr">
        <is>
          <t>Scenario assumption</t>
        </is>
      </c>
      <c r="H1970" s="3" t="inlineStr">
        <is>
          <t>reference_serving_tps_per_mw = fleet_reference_tps_per_mw * commercial_workload_fit_factor</t>
        </is>
      </c>
      <c r="I197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70" s="3" t="inlineStr">
        <is>
          <t>SRC_SEMIANALYSIS_INFERENCEX; ASSUMP_NUMERIC_ACCELERATOR_MIX; ASSUMP_WORKLOAD_CLASS_MIX; ASSUMP_AGENTIC_CONTEXT_PENALTY</t>
        </is>
      </c>
      <c r="K1970" s="3" t="inlineStr">
        <is>
          <t>ASSUMP_CN_CAPACITY_TRANSPARENCY; ASSUMP_APP_EMBEDDING; ASSUMP_NUMERIC_ACCELERATOR_MIX; ASSUMP_INFERENCE_SHARE_NOT_FACT_60; ASSUMP_WORKLOAD_CLASS_MIX; ASSUMP_AGENTIC_CONTEXT_PENALTY</t>
        </is>
      </c>
      <c r="L1970" s="3" t="inlineStr">
        <is>
          <t>Matched commercial serving benchmark by product surface, context shape and latency SLO.</t>
        </is>
      </c>
    </row>
    <row r="1971">
      <c r="A1971" s="3" t="inlineStr">
        <is>
          <t>Tencent</t>
        </is>
      </c>
      <c r="B1971" s="3" t="n">
        <v>2026</v>
      </c>
      <c r="C1971" s="3" t="inlineStr">
        <is>
          <t>Base</t>
        </is>
      </c>
      <c r="D1971" s="3" t="inlineStr">
        <is>
          <t>reference_serving_tps_per_mw</t>
        </is>
      </c>
      <c r="E1971" s="3" t="n">
        <v>1415980</v>
      </c>
      <c r="F1971" s="3" t="inlineStr">
        <is>
          <t>generated output tokens/sec/MW</t>
        </is>
      </c>
      <c r="G1971" s="3" t="inlineStr">
        <is>
          <t>Workload-adjusted benchmark proxy</t>
        </is>
      </c>
      <c r="H1971" s="3" t="inlineStr">
        <is>
          <t>fleet_reference_tps_per_mw * commercial_workload_fit_factor</t>
        </is>
      </c>
      <c r="I1971" s="3" t="inlineStr">
        <is>
          <t>This is the coefficient used for headline token generation; each GPU's short chat, long chat and agentic TPS/MW are weighted before fleet mix and commercial fit are applied.</t>
        </is>
      </c>
      <c r="J1971" s="3" t="inlineStr">
        <is>
          <t>SRC_SEMIANALYSIS_INFERENCEX; ASSUMP_NUMERIC_ACCELERATOR_MIX; ASSUMP_WORKLOAD_CLASS_MIX; ASSUMP_AGENTIC_CONTEXT_PENALTY</t>
        </is>
      </c>
      <c r="K1971" s="3" t="inlineStr">
        <is>
          <t>ASSUMP_CN_CAPACITY_TRANSPARENCY; ASSUMP_APP_EMBEDDING; ASSUMP_NUMERIC_ACCELERATOR_MIX; ASSUMP_INFERENCE_SHARE_NOT_FACT_60; ASSUMP_WORKLOAD_CLASS_MIX; ASSUMP_AGENTIC_CONTEXT_PENALTY</t>
        </is>
      </c>
      <c r="L1971" s="3" t="inlineStr">
        <is>
          <t>Provider production output-token throughput with comparable workload/SLO.</t>
        </is>
      </c>
    </row>
    <row r="1972">
      <c r="A1972" s="3" t="inlineStr">
        <is>
          <t>Tencent</t>
        </is>
      </c>
      <c r="B1972" s="3" t="n">
        <v>2026</v>
      </c>
      <c r="C1972" s="3" t="inlineStr">
        <is>
          <t>Base</t>
        </is>
      </c>
      <c r="D1972" s="3" t="inlineStr">
        <is>
          <t>purpose_built_tps_per_mw</t>
        </is>
      </c>
      <c r="E1972" s="3" t="n">
        <v>2710180</v>
      </c>
      <c r="F1972" s="3" t="inlineStr">
        <is>
          <t>generated output tokens/sec/MW</t>
        </is>
      </c>
      <c r="G1972" s="3" t="inlineStr">
        <is>
          <t>Conservative no-uplift proxy</t>
        </is>
      </c>
      <c r="H1972" s="3" t="inlineStr">
        <is>
          <t>purpose_built_tps_per_mw = purpose_built_reference_tps_per_mw * commercial_workload_fit_factor until comparable output-token benchmark is adopted</t>
        </is>
      </c>
      <c r="I1972" s="3" t="inlineStr">
        <is>
          <t>No comparable public output-token/MW row adopted; B200 public reference placeholder is used and remains editable.</t>
        </is>
      </c>
      <c r="J1972" s="3" t="inlineStr">
        <is>
          <t>SRC_TENCENT_HUNYUAN; SRC_TENCENT_HY3; SRC_TENCENT_AI_INFRA_MOE; SRC_EPOCH_AI_DATA_CENTERS; ASSUMP_NUMERIC_ACCELERATOR_MIX</t>
        </is>
      </c>
      <c r="K1972" s="3" t="inlineStr">
        <is>
          <t>ASSUMP_CN_CAPACITY_TRANSPARENCY; ASSUMP_APP_EMBEDDING; ASSUMP_NUMERIC_ACCELERATOR_MIX; ASSUMP_INFERENCE_SHARE_NOT_FACT_60; ASSUMP_WORKLOAD_CLASS_MIX; ASSUMP_AGENTIC_CONTEXT_PENALTY</t>
        </is>
      </c>
      <c r="L1972" s="3" t="inlineStr">
        <is>
          <t>Matched-workload generated-output benchmark for the provider purpose-built accelerator.</t>
        </is>
      </c>
    </row>
    <row r="1973">
      <c r="A1973" s="3" t="inlineStr">
        <is>
          <t>Tencent</t>
        </is>
      </c>
      <c r="B1973" s="3" t="n">
        <v>2026</v>
      </c>
      <c r="C1973" s="3" t="inlineStr">
        <is>
          <t>Base</t>
        </is>
      </c>
      <c r="D1973" s="3" t="inlineStr">
        <is>
          <t>inference_power_share</t>
        </is>
      </c>
      <c r="E1973" s="3" t="n">
        <v>0.6</v>
      </c>
      <c r="F1973" s="3" t="inlineStr">
        <is>
          <t>share of AI IT load</t>
        </is>
      </c>
      <c r="G1973" s="3" t="inlineStr">
        <is>
          <t>Scenario allocation</t>
        </is>
      </c>
      <c r="H1973" s="3" t="inlineStr">
        <is>
          <t>inference_gw = ai_it_load_gw * inference_power_share</t>
        </is>
      </c>
      <c r="I1973" s="3" t="inlineStr">
        <is>
          <t>Yuanbao and embedded product surfaces plus Hunyuan Turbo inference-cost direction support rising inference allocation.</t>
        </is>
      </c>
      <c r="J1973" s="3" t="inlineStr">
        <is>
          <t>SRC_TENCENT_HUNYUAN; SRC_TENCENT_HY3; SRC_TENCENT_AI_INFRA_MOE; SRC_EPOCH_AI_DATA_CENTERS; ASSUMP_INFERENCE_SHARE_NOT_FACT_60</t>
        </is>
      </c>
      <c r="K1973" s="3" t="inlineStr">
        <is>
          <t>ASSUMP_CN_CAPACITY_TRANSPARENCY; ASSUMP_APP_EMBEDDING; ASSUMP_NUMERIC_ACCELERATOR_MIX; ASSUMP_INFERENCE_SHARE_NOT_FACT_60; ASSUMP_WORKLOAD_CLASS_MIX; ASSUMP_AGENTIC_CONTEXT_PENALTY</t>
        </is>
      </c>
      <c r="L1973" s="3" t="inlineStr">
        <is>
          <t>Provider-specific inference/training workload power telemetry.</t>
        </is>
      </c>
    </row>
    <row r="1974">
      <c r="A1974" s="3" t="inlineStr">
        <is>
          <t>Tencent</t>
        </is>
      </c>
      <c r="B1974" s="3" t="n">
        <v>2026</v>
      </c>
      <c r="C1974" s="3" t="inlineStr">
        <is>
          <t>Base</t>
        </is>
      </c>
      <c r="D1974" s="3" t="inlineStr">
        <is>
          <t>inference_gw</t>
        </is>
      </c>
      <c r="E1974" s="3" t="n">
        <v>0.184</v>
      </c>
      <c r="F1974" s="3" t="inlineStr">
        <is>
          <t>GW</t>
        </is>
      </c>
      <c r="G1974" s="3" t="inlineStr">
        <is>
          <t>Derived formula</t>
        </is>
      </c>
      <c r="H1974" s="3" t="inlineStr">
        <is>
          <t>ai_it_load_gw * inference_power_share</t>
        </is>
      </c>
      <c r="I1974" s="3" t="inlineStr">
        <is>
          <t>This is the operational power eligible to become commercial generated output tokens through the selected TPS/MW proxy.</t>
        </is>
      </c>
      <c r="J1974" s="3" t="inlineStr">
        <is>
          <t>SRC_TENCENT_HUNYUAN; SRC_TENCENT_HY3; SRC_TENCENT_AI_INFRA_MOE; SRC_EPOCH_AI_DATA_CENTERS</t>
        </is>
      </c>
      <c r="K1974" s="3" t="inlineStr">
        <is>
          <t>ASSUMP_CN_CAPACITY_TRANSPARENCY; ASSUMP_APP_EMBEDDING; ASSUMP_NUMERIC_ACCELERATOR_MIX; ASSUMP_INFERENCE_SHARE_NOT_FACT_60; ASSUMP_WORKLOAD_CLASS_MIX; ASSUMP_AGENTIC_CONTEXT_PENALTY</t>
        </is>
      </c>
      <c r="L1974" s="3" t="inlineStr">
        <is>
          <t>Recompute after AI allocation or inference-share evidence changes.</t>
        </is>
      </c>
    </row>
    <row r="1975">
      <c r="A1975" s="3" t="inlineStr">
        <is>
          <t>Tencent</t>
        </is>
      </c>
      <c r="B1975" s="3" t="n">
        <v>2026</v>
      </c>
      <c r="C1975" s="3" t="inlineStr">
        <is>
          <t>Base</t>
        </is>
      </c>
      <c r="D1975" s="3" t="inlineStr">
        <is>
          <t>training_power_share</t>
        </is>
      </c>
      <c r="E1975" s="3" t="n">
        <v>0.4</v>
      </c>
      <c r="F1975" s="3" t="inlineStr">
        <is>
          <t>share of AI IT load</t>
        </is>
      </c>
      <c r="G1975" s="3" t="inlineStr">
        <is>
          <t>Derived allocation</t>
        </is>
      </c>
      <c r="H1975" s="3" t="inlineStr">
        <is>
          <t>1 - inference_power_share</t>
        </is>
      </c>
      <c r="I1975" s="3" t="inlineStr">
        <is>
          <t>Training receives the complementary modeled AI IT allocation; it is not a disclosed company workload split.</t>
        </is>
      </c>
      <c r="J1975" s="3" t="inlineStr">
        <is>
          <t>SRC_TENCENT_HUNYUAN; SRC_TENCENT_HY3; SRC_TENCENT_AI_INFRA_MOE; SRC_EPOCH_AI_DATA_CENTERS; ASSUMP_INFERENCE_SHARE_NOT_FACT_60</t>
        </is>
      </c>
      <c r="K1975" s="3" t="inlineStr">
        <is>
          <t>ASSUMP_CN_CAPACITY_TRANSPARENCY; ASSUMP_APP_EMBEDDING; ASSUMP_NUMERIC_ACCELERATOR_MIX; ASSUMP_INFERENCE_SHARE_NOT_FACT_60; ASSUMP_WORKLOAD_CLASS_MIX; ASSUMP_AGENTIC_CONTEXT_PENALTY</t>
        </is>
      </c>
      <c r="L1975" s="3" t="inlineStr">
        <is>
          <t>Provider-specific inference/training workload power telemetry.</t>
        </is>
      </c>
    </row>
    <row r="1976">
      <c r="A1976" s="3" t="inlineStr">
        <is>
          <t>Tencent</t>
        </is>
      </c>
      <c r="B1976" s="3" t="n">
        <v>2026</v>
      </c>
      <c r="C1976" s="3" t="inlineStr">
        <is>
          <t>Base</t>
        </is>
      </c>
      <c r="D1976" s="3" t="inlineStr">
        <is>
          <t>training_gw</t>
        </is>
      </c>
      <c r="E1976" s="3" t="n">
        <v>0.123</v>
      </c>
      <c r="F1976" s="3" t="inlineStr">
        <is>
          <t>GW</t>
        </is>
      </c>
      <c r="G1976" s="3" t="inlineStr">
        <is>
          <t>Derived formula</t>
        </is>
      </c>
      <c r="H1976" s="3" t="inlineStr">
        <is>
          <t>ai_it_load_gw * training_power_share</t>
        </is>
      </c>
      <c r="I1976" s="3" t="inlineStr">
        <is>
          <t>Training GW is shown separately so commercial inference token capacity is not overstated.</t>
        </is>
      </c>
      <c r="J1976" s="3" t="inlineStr">
        <is>
          <t>SRC_TENCENT_HUNYUAN; SRC_TENCENT_HY3; SRC_TENCENT_AI_INFRA_MOE; SRC_EPOCH_AI_DATA_CENTERS</t>
        </is>
      </c>
      <c r="K1976" s="3" t="inlineStr">
        <is>
          <t>ASSUMP_CN_CAPACITY_TRANSPARENCY; ASSUMP_APP_EMBEDDING; ASSUMP_NUMERIC_ACCELERATOR_MIX; ASSUMP_INFERENCE_SHARE_NOT_FACT_60; ASSUMP_WORKLOAD_CLASS_MIX; ASSUMP_AGENTIC_CONTEXT_PENALTY</t>
        </is>
      </c>
      <c r="L1976" s="3" t="inlineStr">
        <is>
          <t>Recompute after AI allocation or workload-split evidence changes.</t>
        </is>
      </c>
    </row>
    <row r="1977">
      <c r="A1977" s="3" t="inlineStr">
        <is>
          <t>Tencent</t>
        </is>
      </c>
      <c r="B1977" s="3" t="n">
        <v>2026</v>
      </c>
      <c r="C1977" s="3" t="inlineStr">
        <is>
          <t>Base</t>
        </is>
      </c>
      <c r="D1977" s="3" t="inlineStr">
        <is>
          <t>tokens_per_second_per_mw</t>
        </is>
      </c>
      <c r="E1977" s="3" t="n">
        <v>1415980</v>
      </c>
      <c r="F1977" s="3" t="inlineStr">
        <is>
          <t>generated output tokens/sec/MW</t>
        </is>
      </c>
      <c r="G1977" s="3" t="inlineStr">
        <is>
          <t>Derived estimate + benchmark calibration</t>
        </is>
      </c>
      <c r="H1977" s="3" t="inlineStr">
        <is>
          <t>fleet_reference_tps_per_mw * commercial_workload_fit_factor</t>
        </is>
      </c>
      <c r="I197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1977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1977" s="3" t="inlineStr">
        <is>
          <t>ASSUMP_CN_CAPACITY_TRANSPARENCY; ASSUMP_APP_EMBEDDING; ASSUMP_NUMERIC_ACCELERATOR_MIX; ASSUMP_INFERENCE_SHARE_NOT_FACT_60; ASSUMP_WORKLOAD_CLASS_MIX; ASSUMP_AGENTIC_CONTEXT_PENALTY</t>
        </is>
      </c>
      <c r="L1977" s="3" t="inlineStr">
        <is>
          <t>Comparable production output-token throughput with model, hardware, precision, ISL/OSL and SLO matched.</t>
        </is>
      </c>
    </row>
    <row r="1978">
      <c r="A1978" s="3" t="inlineStr">
        <is>
          <t>Tencent</t>
        </is>
      </c>
      <c r="B1978" s="3" t="n">
        <v>2026</v>
      </c>
      <c r="C1978" s="3" t="inlineStr">
        <is>
          <t>Base</t>
        </is>
      </c>
      <c r="D1978" s="3" t="inlineStr">
        <is>
          <t>inference_tokens_per_day</t>
        </is>
      </c>
      <c r="E1978" s="3" t="n">
        <v>22510683648000</v>
      </c>
      <c r="F1978" s="3" t="inlineStr">
        <is>
          <t>generated output tokens/day</t>
        </is>
      </c>
      <c r="G1978" s="3" t="inlineStr">
        <is>
          <t>Derived headline metric</t>
        </is>
      </c>
      <c r="H1978" s="3" t="inlineStr">
        <is>
          <t>inference_gw * 1000 * tokens_per_second_per_mw * 86,400</t>
        </is>
      </c>
      <c r="I1978" s="3" t="inlineStr">
        <is>
          <t>Headline capacity uses no utilization, MoE, architecture or software-growth multiplier; it is not observed commercial output volume.</t>
        </is>
      </c>
      <c r="J1978" s="3" t="inlineStr">
        <is>
          <t>SRC_TENCENT_HUNYUAN; SRC_TENCENT_HY3; SRC_TENCENT_AI_INFRA_MOE; SRC_EPOCH_AI_DATA_CENTERS; SRC_SEMIANALYSIS_INFERENCEX</t>
        </is>
      </c>
      <c r="K1978" s="3" t="inlineStr">
        <is>
          <t>ASSUMP_CN_CAPACITY_TRANSPARENCY; ASSUMP_APP_EMBEDDING; ASSUMP_NUMERIC_ACCELERATOR_MIX; ASSUMP_INFERENCE_SHARE_NOT_FACT_60; ASSUMP_WORKLOAD_CLASS_MIX; ASSUMP_AGENTIC_CONTEXT_PENALTY</t>
        </is>
      </c>
      <c r="L1978" s="3" t="inlineStr">
        <is>
          <t>Provider-disclosed generated output token volume or calibrated capacity telemetry.</t>
        </is>
      </c>
    </row>
    <row r="1979">
      <c r="A1979" s="3" t="inlineStr">
        <is>
          <t>Tencent</t>
        </is>
      </c>
      <c r="B1979" s="3" t="n">
        <v>2026</v>
      </c>
      <c r="C1979" s="3" t="inlineStr">
        <is>
          <t>Base</t>
        </is>
      </c>
      <c r="D1979" s="3" t="inlineStr">
        <is>
          <t>inference_tokens_per_year</t>
        </is>
      </c>
      <c r="E1979" s="3" t="n">
        <v>8216399531520000</v>
      </c>
      <c r="F1979" s="3" t="inlineStr">
        <is>
          <t>generated output tokens/year</t>
        </is>
      </c>
      <c r="G1979" s="3" t="inlineStr">
        <is>
          <t>Derived headline metric</t>
        </is>
      </c>
      <c r="H1979" s="3" t="inlineStr">
        <is>
          <t>inference_tokens_per_day * 365</t>
        </is>
      </c>
      <c r="I1979" s="3" t="inlineStr">
        <is>
          <t>Annualized version of generated output token capacity; it is not observed annual demand or billable volume.</t>
        </is>
      </c>
      <c r="J1979" s="3" t="inlineStr">
        <is>
          <t>SRC_TENCENT_HUNYUAN; SRC_TENCENT_HY3; SRC_TENCENT_AI_INFRA_MOE; SRC_EPOCH_AI_DATA_CENTERS; SRC_SEMIANALYSIS_INFERENCEX</t>
        </is>
      </c>
      <c r="K1979" s="3" t="inlineStr">
        <is>
          <t>ASSUMP_CN_CAPACITY_TRANSPARENCY; ASSUMP_APP_EMBEDDING; ASSUMP_NUMERIC_ACCELERATOR_MIX; ASSUMP_INFERENCE_SHARE_NOT_FACT_60; ASSUMP_WORKLOAD_CLASS_MIX; ASSUMP_AGENTIC_CONTEXT_PENALTY</t>
        </is>
      </c>
      <c r="L1979" s="3" t="inlineStr">
        <is>
          <t>Provider-disclosed annual generated-output volume or metered serving telemetry.</t>
        </is>
      </c>
    </row>
    <row r="1980">
      <c r="A1980" s="3" t="inlineStr">
        <is>
          <t>Tencent</t>
        </is>
      </c>
      <c r="B1980" s="3" t="n">
        <v>2027</v>
      </c>
      <c r="C1980" s="3" t="inlineStr">
        <is>
          <t>Base</t>
        </is>
      </c>
      <c r="D1980" s="3" t="inlineStr">
        <is>
          <t>contracted_power_gw</t>
        </is>
      </c>
      <c r="E1980" s="3" t="n">
        <v>1.65</v>
      </c>
      <c r="F1980" s="3" t="inlineStr">
        <is>
          <t>GW</t>
        </is>
      </c>
      <c r="G1980" s="3" t="inlineStr">
        <is>
          <t>Scenario capacity envelope</t>
        </is>
      </c>
      <c r="H1980" s="3" t="inlineStr">
        <is>
          <t>linear interpolation between 2026 and 2030 company capacity endpoints</t>
        </is>
      </c>
      <c r="I1980" s="3" t="inlineStr">
        <is>
          <t>Tencent Cloud/Hunyuan capacity is a scenario envelope because operated model-serving GW is undisclosed.</t>
        </is>
      </c>
      <c r="J1980" s="3" t="inlineStr">
        <is>
          <t>SRC_TENCENT_AI_INFRA_MOE; ASSUMP_CN_CAPACITY_TRANSPARENCY</t>
        </is>
      </c>
      <c r="K1980" s="3" t="inlineStr">
        <is>
          <t>ASSUMP_CN_CAPACITY_TRANSPARENCY; ASSUMP_APP_EMBEDDING; ASSUMP_NUMERIC_ACCELERATOR_MIX; ASSUMP_INFERENCE_SHARE_NOT_FACT_60; ASSUMP_WORKLOAD_CLASS_MIX; ASSUMP_AGENTIC_CONTEXT_PENALTY</t>
        </is>
      </c>
      <c r="L1980" s="3" t="inlineStr">
        <is>
          <t>Company/site-level committed MW/GW, interconnect and contract disclosure.</t>
        </is>
      </c>
    </row>
    <row r="1981">
      <c r="A1981" s="3" t="inlineStr">
        <is>
          <t>Tencent</t>
        </is>
      </c>
      <c r="B1981" s="3" t="n">
        <v>2027</v>
      </c>
      <c r="C1981" s="3" t="inlineStr">
        <is>
          <t>Base</t>
        </is>
      </c>
      <c r="D1981" s="3" t="inlineStr">
        <is>
          <t>operational_deployment_share</t>
        </is>
      </c>
      <c r="E1981" s="3" t="n">
        <v>0.56848485</v>
      </c>
      <c r="F1981" s="3" t="inlineStr">
        <is>
          <t>share</t>
        </is>
      </c>
      <c r="G1981" s="3" t="inlineStr">
        <is>
          <t>Scenario conversion</t>
        </is>
      </c>
      <c r="H1981" s="3" t="inlineStr">
        <is>
          <t>active_power_gw / contracted_power_gw</t>
        </is>
      </c>
      <c r="I1981" s="3" t="inlineStr">
        <is>
          <t>This is the single explicit conversion from contracted/attributed capacity to operationally usable capacity.</t>
        </is>
      </c>
      <c r="J1981" s="3" t="inlineStr">
        <is>
          <t>SRC_TENCENT_AI_INFRA_MOE; ASSUMP_CN_CAPACITY_TRANSPARENCY</t>
        </is>
      </c>
      <c r="K1981" s="3" t="inlineStr">
        <is>
          <t>ASSUMP_CN_CAPACITY_TRANSPARENCY; ASSUMP_APP_EMBEDDING; ASSUMP_NUMERIC_ACCELERATOR_MIX; ASSUMP_INFERENCE_SHARE_NOT_FACT_60; ASSUMP_WORKLOAD_CLASS_MIX; ASSUMP_AGENTIC_CONTEXT_PENALTY</t>
        </is>
      </c>
      <c r="L1981" s="3" t="inlineStr">
        <is>
          <t>Energized operational capacity divided by contracted/attributed capacity.</t>
        </is>
      </c>
    </row>
    <row r="1982">
      <c r="A1982" s="3" t="inlineStr">
        <is>
          <t>Tencent</t>
        </is>
      </c>
      <c r="B1982" s="3" t="n">
        <v>2027</v>
      </c>
      <c r="C1982" s="3" t="inlineStr">
        <is>
          <t>Base</t>
        </is>
      </c>
      <c r="D1982" s="3" t="inlineStr">
        <is>
          <t>active_power_gw</t>
        </is>
      </c>
      <c r="E1982" s="3" t="n">
        <v>0.9379999999999999</v>
      </c>
      <c r="F1982" s="3" t="inlineStr">
        <is>
          <t>GW</t>
        </is>
      </c>
      <c r="G1982" s="3" t="inlineStr">
        <is>
          <t>Derived scenario</t>
        </is>
      </c>
      <c r="H1982" s="3" t="inlineStr">
        <is>
          <t>contracted_power_gw * operational_deployment_share</t>
        </is>
      </c>
      <c r="I1982" s="3" t="inlineStr">
        <is>
          <t>Active GW reflects staged Hunyuan/Yuanbao adoption rather than a reported powered fleet.</t>
        </is>
      </c>
      <c r="J1982" s="3" t="inlineStr">
        <is>
          <t>SRC_TENCENT_AI_INFRA_MOE; ASSUMP_CN_CAPACITY_TRANSPARENCY</t>
        </is>
      </c>
      <c r="K1982" s="3" t="inlineStr">
        <is>
          <t>ASSUMP_CN_CAPACITY_TRANSPARENCY; ASSUMP_APP_EMBEDDING; ASSUMP_NUMERIC_ACCELERATOR_MIX; ASSUMP_INFERENCE_SHARE_NOT_FACT_60; ASSUMP_WORKLOAD_CLASS_MIX; ASSUMP_AGENTIC_CONTEXT_PENALTY</t>
        </is>
      </c>
      <c r="L1982" s="3" t="inlineStr">
        <is>
          <t>Energization dates, accelerator deliveries and operational powered-rack telemetry.</t>
        </is>
      </c>
    </row>
    <row r="1983">
      <c r="A1983" s="3" t="inlineStr">
        <is>
          <t>Tencent</t>
        </is>
      </c>
      <c r="B1983" s="3" t="n">
        <v>2027</v>
      </c>
      <c r="C1983" s="3" t="inlineStr">
        <is>
          <t>Base</t>
        </is>
      </c>
      <c r="D1983" s="3" t="inlineStr">
        <is>
          <t>pue</t>
        </is>
      </c>
      <c r="E1983" s="3" t="n">
        <v>1.23</v>
      </c>
      <c r="F1983" s="3" t="inlineStr">
        <is>
          <t>ratio</t>
        </is>
      </c>
      <c r="G1983" s="3" t="inlineStr">
        <is>
          <t>Scenario parameter</t>
        </is>
      </c>
      <c r="H1983" s="3" t="inlineStr">
        <is>
          <t>it_load_gw = active_power_gw / pue</t>
        </is>
      </c>
      <c r="I1983" s="3" t="inlineStr">
        <is>
          <t>No provider-wide site-level PUE is used as a disclosed fact; PUE represents facility-to-IT conversion within the scenario.</t>
        </is>
      </c>
      <c r="J1983" s="3" t="inlineStr">
        <is>
          <t>ASSUMP_POWER_RAMP</t>
        </is>
      </c>
      <c r="K1983" s="3" t="inlineStr">
        <is>
          <t>ASSUMP_CN_CAPACITY_TRANSPARENCY; ASSUMP_APP_EMBEDDING; ASSUMP_NUMERIC_ACCELERATOR_MIX; ASSUMP_INFERENCE_SHARE_NOT_FACT_60; ASSUMP_WORKLOAD_CLASS_MIX; ASSUMP_AGENTIC_CONTEXT_PENALTY</t>
        </is>
      </c>
      <c r="L1983" s="3" t="inlineStr">
        <is>
          <t>Site-level measured PUE matched to attributed AI capacity.</t>
        </is>
      </c>
    </row>
    <row r="1984">
      <c r="A1984" s="3" t="inlineStr">
        <is>
          <t>Tencent</t>
        </is>
      </c>
      <c r="B1984" s="3" t="n">
        <v>2027</v>
      </c>
      <c r="C1984" s="3" t="inlineStr">
        <is>
          <t>Base</t>
        </is>
      </c>
      <c r="D1984" s="3" t="inlineStr">
        <is>
          <t>it_load_gw</t>
        </is>
      </c>
      <c r="E1984" s="3" t="n">
        <v>0.762</v>
      </c>
      <c r="F1984" s="3" t="inlineStr">
        <is>
          <t>GW</t>
        </is>
      </c>
      <c r="G1984" s="3" t="inlineStr">
        <is>
          <t>Derived formula</t>
        </is>
      </c>
      <c r="H1984" s="3" t="inlineStr">
        <is>
          <t>active_power_gw / pue</t>
        </is>
      </c>
      <c r="I1984" s="3" t="inlineStr">
        <is>
          <t>Facility power is converted to IT-deliverable power before attributing AI workloads.</t>
        </is>
      </c>
      <c r="J1984" s="3" t="inlineStr">
        <is>
          <t>SRC_TENCENT_AI_INFRA_MOE; ASSUMP_CN_CAPACITY_TRANSPARENCY</t>
        </is>
      </c>
      <c r="K1984" s="3" t="inlineStr">
        <is>
          <t>ASSUMP_CN_CAPACITY_TRANSPARENCY; ASSUMP_APP_EMBEDDING; ASSUMP_NUMERIC_ACCELERATOR_MIX; ASSUMP_INFERENCE_SHARE_NOT_FACT_60; ASSUMP_WORKLOAD_CLASS_MIX; ASSUMP_AGENTIC_CONTEXT_PENALTY</t>
        </is>
      </c>
      <c r="L1984" s="3" t="inlineStr">
        <is>
          <t>Recompute once active power and PUE become site-observable.</t>
        </is>
      </c>
    </row>
    <row r="1985">
      <c r="A1985" s="3" t="inlineStr">
        <is>
          <t>Tencent</t>
        </is>
      </c>
      <c r="B1985" s="3" t="n">
        <v>2027</v>
      </c>
      <c r="C1985" s="3" t="inlineStr">
        <is>
          <t>Base</t>
        </is>
      </c>
      <c r="D1985" s="3" t="inlineStr">
        <is>
          <t>ai_workload_share</t>
        </is>
      </c>
      <c r="E1985" s="3" t="n">
        <v>0.84</v>
      </c>
      <c r="F1985" s="3" t="inlineStr">
        <is>
          <t>share</t>
        </is>
      </c>
      <c r="G1985" s="3" t="inlineStr">
        <is>
          <t>Scenario allocation</t>
        </is>
      </c>
      <c r="H1985" s="3" t="inlineStr">
        <is>
          <t>ai_it_load_gw = it_load_gw * ai_workload_share</t>
        </is>
      </c>
      <c r="I1985" s="3" t="inlineStr">
        <is>
          <t>Modeled Hunyuan-serving capacity is AI-focused; 84% excludes cloud/platform and reserve overhead.</t>
        </is>
      </c>
      <c r="J1985" s="3" t="inlineStr">
        <is>
          <t>SRC_TENCENT_HUNYUAN; SRC_TENCENT_HY3; SRC_TENCENT_AI_INFRA_MOE; SRC_EPOCH_AI_DATA_CENTERS</t>
        </is>
      </c>
      <c r="K1985" s="3" t="inlineStr">
        <is>
          <t>ASSUMP_CN_CAPACITY_TRANSPARENCY; ASSUMP_APP_EMBEDDING; ASSUMP_NUMERIC_ACCELERATOR_MIX; ASSUMP_INFERENCE_SHARE_NOT_FACT_60; ASSUMP_WORKLOAD_CLASS_MIX; ASSUMP_AGENTIC_CONTEXT_PENALTY</t>
        </is>
      </c>
      <c r="L1985" s="3" t="inlineStr">
        <is>
          <t>Model-owner AI workload allocation or cluster scheduling telemetry.</t>
        </is>
      </c>
    </row>
    <row r="1986">
      <c r="A1986" s="3" t="inlineStr">
        <is>
          <t>Tencent</t>
        </is>
      </c>
      <c r="B1986" s="3" t="n">
        <v>2027</v>
      </c>
      <c r="C1986" s="3" t="inlineStr">
        <is>
          <t>Base</t>
        </is>
      </c>
      <c r="D1986" s="3" t="inlineStr">
        <is>
          <t>ai_it_load_gw</t>
        </is>
      </c>
      <c r="E1986" s="3" t="n">
        <v>0.64</v>
      </c>
      <c r="F1986" s="3" t="inlineStr">
        <is>
          <t>GW</t>
        </is>
      </c>
      <c r="G1986" s="3" t="inlineStr">
        <is>
          <t>Derived formula</t>
        </is>
      </c>
      <c r="H1986" s="3" t="inlineStr">
        <is>
          <t>it_load_gw * ai_workload_share</t>
        </is>
      </c>
      <c r="I1986" s="3" t="inlineStr">
        <is>
          <t>Only the AI-attributed portion of IT load enters training/inference allocation.</t>
        </is>
      </c>
      <c r="J1986" s="3" t="inlineStr">
        <is>
          <t>SRC_TENCENT_HUNYUAN; SRC_TENCENT_HY3; SRC_TENCENT_AI_INFRA_MOE; SRC_EPOCH_AI_DATA_CENTERS</t>
        </is>
      </c>
      <c r="K1986" s="3" t="inlineStr">
        <is>
          <t>ASSUMP_CN_CAPACITY_TRANSPARENCY; ASSUMP_APP_EMBEDDING; ASSUMP_NUMERIC_ACCELERATOR_MIX; ASSUMP_INFERENCE_SHARE_NOT_FACT_60; ASSUMP_WORKLOAD_CLASS_MIX; ASSUMP_AGENTIC_CONTEXT_PENALTY</t>
        </is>
      </c>
      <c r="L1986" s="3" t="inlineStr">
        <is>
          <t>Recompute after ai_workload_share is replaced by telemetry.</t>
        </is>
      </c>
    </row>
    <row r="1987">
      <c r="A1987" s="3" t="inlineStr">
        <is>
          <t>Tencent</t>
        </is>
      </c>
      <c r="B1987" s="3" t="n">
        <v>2027</v>
      </c>
      <c r="C1987" s="3" t="inlineStr">
        <is>
          <t>Base</t>
        </is>
      </c>
      <c r="D1987" s="3" t="inlineStr">
        <is>
          <t>gpu_share</t>
        </is>
      </c>
      <c r="E1987" s="3" t="n">
        <v>1</v>
      </c>
      <c r="F1987" s="3" t="inlineStr">
        <is>
          <t>share of inference-serving accelerator load</t>
        </is>
      </c>
      <c r="G1987" s="3" t="inlineStr">
        <is>
          <t>Numeric scenario</t>
        </is>
      </c>
      <c r="H1987" s="3" t="inlineStr">
        <is>
          <t>gpu_share interpolated from company 2026/2030 accelerator-mix endpoints</t>
        </is>
      </c>
      <c r="I1987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987" s="3" t="inlineStr">
        <is>
          <t>SRC_TENCENT_HUNYUAN; SRC_TENCENT_HY3; SRC_TENCENT_AI_INFRA_MOE; SRC_EPOCH_AI_DATA_CENTERS; ASSUMP_NUMERIC_ACCELERATOR_MIX</t>
        </is>
      </c>
      <c r="K1987" s="3" t="inlineStr">
        <is>
          <t>ASSUMP_CN_CAPACITY_TRANSPARENCY; ASSUMP_APP_EMBEDDING; ASSUMP_NUMERIC_ACCELERATOR_MIX; ASSUMP_INFERENCE_SHARE_NOT_FACT_60; ASSUMP_WORKLOAD_CLASS_MIX; ASSUMP_AGENTIC_CONTEXT_PENALTY</t>
        </is>
      </c>
      <c r="L1987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988">
      <c r="A1988" s="3" t="inlineStr">
        <is>
          <t>Tencent</t>
        </is>
      </c>
      <c r="B1988" s="3" t="n">
        <v>2027</v>
      </c>
      <c r="C1988" s="3" t="inlineStr">
        <is>
          <t>Base</t>
        </is>
      </c>
      <c r="D1988" s="3" t="inlineStr">
        <is>
          <t>h200_share</t>
        </is>
      </c>
      <c r="E1988" s="3" t="n">
        <v>0.438</v>
      </c>
      <c r="F1988" s="3" t="inlineStr">
        <is>
          <t>share of inference-serving accelerator load</t>
        </is>
      </c>
      <c r="G1988" s="3" t="inlineStr">
        <is>
          <t>Editable numeric scenario</t>
        </is>
      </c>
      <c r="H1988" s="3" t="inlineStr">
        <is>
          <t>h200_share = gpu_share * default_gpu_generation_mix_h200</t>
        </is>
      </c>
      <c r="I1988" s="3" t="inlineStr">
        <is>
          <t>Default GPU-generation migration assumption; executive workbook allows later manual replacement by company/year/scenario.</t>
        </is>
      </c>
      <c r="J1988" s="3" t="inlineStr">
        <is>
          <t>SRC_SEMIANALYSIS_INFERENCEX; ASSUMP_NUMERIC_ACCELERATOR_MIX</t>
        </is>
      </c>
      <c r="K1988" s="3" t="inlineStr">
        <is>
          <t>ASSUMP_CN_CAPACITY_TRANSPARENCY; ASSUMP_APP_EMBEDDING; ASSUMP_NUMERIC_ACCELERATOR_MIX; ASSUMP_INFERENCE_SHARE_NOT_FACT_60; ASSUMP_WORKLOAD_CLASS_MIX; ASSUMP_AGENTIC_CONTEXT_PENALTY</t>
        </is>
      </c>
      <c r="L1988" s="3" t="inlineStr">
        <is>
          <t>Company fleet inventory, accelerator-hours or procurement/deployment records by GPU generation.</t>
        </is>
      </c>
    </row>
    <row r="1989">
      <c r="A1989" s="3" t="inlineStr">
        <is>
          <t>Tencent</t>
        </is>
      </c>
      <c r="B1989" s="3" t="n">
        <v>2027</v>
      </c>
      <c r="C1989" s="3" t="inlineStr">
        <is>
          <t>Base</t>
        </is>
      </c>
      <c r="D1989" s="3" t="inlineStr">
        <is>
          <t>b200_share</t>
        </is>
      </c>
      <c r="E1989" s="3" t="n">
        <v>0.388</v>
      </c>
      <c r="F1989" s="3" t="inlineStr">
        <is>
          <t>share of inference-serving accelerator load</t>
        </is>
      </c>
      <c r="G1989" s="3" t="inlineStr">
        <is>
          <t>Editable numeric scenario</t>
        </is>
      </c>
      <c r="H1989" s="3" t="inlineStr">
        <is>
          <t>b200_share = gpu_share * default_gpu_generation_mix_b200</t>
        </is>
      </c>
      <c r="I1989" s="3" t="inlineStr">
        <is>
          <t>Default GPU-generation migration assumption; executive workbook allows later manual replacement by company/year/scenario.</t>
        </is>
      </c>
      <c r="J1989" s="3" t="inlineStr">
        <is>
          <t>SRC_SEMIANALYSIS_INFERENCEX; ASSUMP_NUMERIC_ACCELERATOR_MIX</t>
        </is>
      </c>
      <c r="K1989" s="3" t="inlineStr">
        <is>
          <t>ASSUMP_CN_CAPACITY_TRANSPARENCY; ASSUMP_APP_EMBEDDING; ASSUMP_NUMERIC_ACCELERATOR_MIX; ASSUMP_INFERENCE_SHARE_NOT_FACT_60; ASSUMP_WORKLOAD_CLASS_MIX; ASSUMP_AGENTIC_CONTEXT_PENALTY</t>
        </is>
      </c>
      <c r="L1989" s="3" t="inlineStr">
        <is>
          <t>Company fleet inventory, accelerator-hours or procurement/deployment records by GPU generation.</t>
        </is>
      </c>
    </row>
    <row r="1990">
      <c r="A1990" s="3" t="inlineStr">
        <is>
          <t>Tencent</t>
        </is>
      </c>
      <c r="B1990" s="3" t="n">
        <v>2027</v>
      </c>
      <c r="C1990" s="3" t="inlineStr">
        <is>
          <t>Base</t>
        </is>
      </c>
      <c r="D1990" s="3" t="inlineStr">
        <is>
          <t>gb200_share</t>
        </is>
      </c>
      <c r="E1990" s="3" t="n">
        <v>0.174</v>
      </c>
      <c r="F1990" s="3" t="inlineStr">
        <is>
          <t>share of inference-serving accelerator load</t>
        </is>
      </c>
      <c r="G1990" s="3" t="inlineStr">
        <is>
          <t>Editable numeric scenario</t>
        </is>
      </c>
      <c r="H1990" s="3" t="inlineStr">
        <is>
          <t>gb200_share = gpu_share * default_gpu_generation_mix_gb200</t>
        </is>
      </c>
      <c r="I1990" s="3" t="inlineStr">
        <is>
          <t>Default GPU-generation migration assumption; executive workbook allows later manual replacement by company/year/scenario.</t>
        </is>
      </c>
      <c r="J1990" s="3" t="inlineStr">
        <is>
          <t>SRC_SEMIANALYSIS_INFERENCEX; ASSUMP_NUMERIC_ACCELERATOR_MIX</t>
        </is>
      </c>
      <c r="K1990" s="3" t="inlineStr">
        <is>
          <t>ASSUMP_CN_CAPACITY_TRANSPARENCY; ASSUMP_APP_EMBEDDING; ASSUMP_NUMERIC_ACCELERATOR_MIX; ASSUMP_INFERENCE_SHARE_NOT_FACT_60; ASSUMP_WORKLOAD_CLASS_MIX; ASSUMP_AGENTIC_CONTEXT_PENALTY</t>
        </is>
      </c>
      <c r="L1990" s="3" t="inlineStr">
        <is>
          <t>Company fleet inventory, accelerator-hours or procurement/deployment records by GPU generation.</t>
        </is>
      </c>
    </row>
    <row r="1991">
      <c r="A1991" s="3" t="inlineStr">
        <is>
          <t>Tencent</t>
        </is>
      </c>
      <c r="B1991" s="3" t="n">
        <v>2027</v>
      </c>
      <c r="C1991" s="3" t="inlineStr">
        <is>
          <t>Base</t>
        </is>
      </c>
      <c r="D1991" s="3" t="inlineStr">
        <is>
          <t>purpose_built_accelerator_share</t>
        </is>
      </c>
      <c r="E1991" s="3" t="n">
        <v>0</v>
      </c>
      <c r="F1991" s="3" t="inlineStr">
        <is>
          <t>share of inference-serving accelerator load</t>
        </is>
      </c>
      <c r="G1991" s="3" t="inlineStr">
        <is>
          <t>Numeric scenario</t>
        </is>
      </c>
      <c r="H1991" s="3" t="inlineStr">
        <is>
          <t>1 - gpu_share</t>
        </is>
      </c>
      <c r="I1991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1991" s="3" t="inlineStr">
        <is>
          <t>SRC_TENCENT_HUNYUAN; SRC_TENCENT_HY3; SRC_TENCENT_AI_INFRA_MOE; SRC_EPOCH_AI_DATA_CENTERS; ASSUMP_NUMERIC_ACCELERATOR_MIX</t>
        </is>
      </c>
      <c r="K1991" s="3" t="inlineStr">
        <is>
          <t>ASSUMP_CN_CAPACITY_TRANSPARENCY; ASSUMP_APP_EMBEDDING; ASSUMP_NUMERIC_ACCELERATOR_MIX; ASSUMP_INFERENCE_SHARE_NOT_FACT_60; ASSUMP_WORKLOAD_CLASS_MIX; ASSUMP_AGENTIC_CONTEXT_PENALTY</t>
        </is>
      </c>
      <c r="L1991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1992">
      <c r="A1992" s="3" t="inlineStr">
        <is>
          <t>Tencent</t>
        </is>
      </c>
      <c r="B1992" s="3" t="n">
        <v>2027</v>
      </c>
      <c r="C1992" s="3" t="inlineStr">
        <is>
          <t>Base</t>
        </is>
      </c>
      <c r="D1992" s="3" t="inlineStr">
        <is>
          <t>fleet_reference_tps_per_mw</t>
        </is>
      </c>
      <c r="E1992" s="3" t="n">
        <v>2616983</v>
      </c>
      <c r="F1992" s="3" t="inlineStr">
        <is>
          <t>generated output tokens/sec/MW</t>
        </is>
      </c>
      <c r="G1992" s="3" t="inlineStr">
        <is>
          <t>Fleet-weighted public benchmark reference</t>
        </is>
      </c>
      <c r="H1992" s="3" t="inlineStr">
        <is>
          <t>h200_share*h200_workload_avg + b200_share*b200_workload_avg + gb200_share*gb200_workload_avg + purpose_built_share*purpose_workload_avg</t>
        </is>
      </c>
      <c r="I199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1992" s="3" t="inlineStr">
        <is>
          <t>SRC_SEMIANALYSIS_INFERENCEX; ASSUMP_NUMERIC_ACCELERATOR_MIX; ASSUMP_WORKLOAD_CLASS_MIX; ASSUMP_AGENTIC_CONTEXT_PENALTY</t>
        </is>
      </c>
      <c r="K1992" s="3" t="inlineStr">
        <is>
          <t>ASSUMP_CN_CAPACITY_TRANSPARENCY; ASSUMP_APP_EMBEDDING; ASSUMP_NUMERIC_ACCELERATOR_MIX; ASSUMP_INFERENCE_SHARE_NOT_FACT_60; ASSUMP_WORKLOAD_CLASS_MIX; ASSUMP_AGENTIC_CONTEXT_PENALTY</t>
        </is>
      </c>
      <c r="L1992" s="3" t="inlineStr">
        <is>
          <t>Comparable production output-token throughput or a more closely matched benchmark.</t>
        </is>
      </c>
    </row>
    <row r="1993">
      <c r="A1993" s="3" t="inlineStr">
        <is>
          <t>Tencent</t>
        </is>
      </c>
      <c r="B1993" s="3" t="n">
        <v>2027</v>
      </c>
      <c r="C1993" s="3" t="inlineStr">
        <is>
          <t>Base</t>
        </is>
      </c>
      <c r="D1993" s="3" t="inlineStr">
        <is>
          <t>commercial_workload_fit_factor</t>
        </is>
      </c>
      <c r="E1993" s="3" t="n">
        <v>0.6</v>
      </c>
      <c r="F1993" s="3" t="inlineStr">
        <is>
          <t>share of public reference throughput</t>
        </is>
      </c>
      <c r="G1993" s="3" t="inlineStr">
        <is>
          <t>Scenario assumption</t>
        </is>
      </c>
      <c r="H1993" s="3" t="inlineStr">
        <is>
          <t>reference_serving_tps_per_mw = fleet_reference_tps_per_mw * commercial_workload_fit_factor</t>
        </is>
      </c>
      <c r="I199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1993" s="3" t="inlineStr">
        <is>
          <t>SRC_SEMIANALYSIS_INFERENCEX; ASSUMP_NUMERIC_ACCELERATOR_MIX; ASSUMP_WORKLOAD_CLASS_MIX; ASSUMP_AGENTIC_CONTEXT_PENALTY</t>
        </is>
      </c>
      <c r="K1993" s="3" t="inlineStr">
        <is>
          <t>ASSUMP_CN_CAPACITY_TRANSPARENCY; ASSUMP_APP_EMBEDDING; ASSUMP_NUMERIC_ACCELERATOR_MIX; ASSUMP_INFERENCE_SHARE_NOT_FACT_60; ASSUMP_WORKLOAD_CLASS_MIX; ASSUMP_AGENTIC_CONTEXT_PENALTY</t>
        </is>
      </c>
      <c r="L1993" s="3" t="inlineStr">
        <is>
          <t>Matched commercial serving benchmark by product surface, context shape and latency SLO.</t>
        </is>
      </c>
    </row>
    <row r="1994">
      <c r="A1994" s="3" t="inlineStr">
        <is>
          <t>Tencent</t>
        </is>
      </c>
      <c r="B1994" s="3" t="n">
        <v>2027</v>
      </c>
      <c r="C1994" s="3" t="inlineStr">
        <is>
          <t>Base</t>
        </is>
      </c>
      <c r="D1994" s="3" t="inlineStr">
        <is>
          <t>reference_serving_tps_per_mw</t>
        </is>
      </c>
      <c r="E1994" s="3" t="n">
        <v>1570190</v>
      </c>
      <c r="F1994" s="3" t="inlineStr">
        <is>
          <t>generated output tokens/sec/MW</t>
        </is>
      </c>
      <c r="G1994" s="3" t="inlineStr">
        <is>
          <t>Workload-adjusted benchmark proxy</t>
        </is>
      </c>
      <c r="H1994" s="3" t="inlineStr">
        <is>
          <t>fleet_reference_tps_per_mw * commercial_workload_fit_factor</t>
        </is>
      </c>
      <c r="I1994" s="3" t="inlineStr">
        <is>
          <t>This is the coefficient used for headline token generation; each GPU's short chat, long chat and agentic TPS/MW are weighted before fleet mix and commercial fit are applied.</t>
        </is>
      </c>
      <c r="J1994" s="3" t="inlineStr">
        <is>
          <t>SRC_SEMIANALYSIS_INFERENCEX; ASSUMP_NUMERIC_ACCELERATOR_MIX; ASSUMP_WORKLOAD_CLASS_MIX; ASSUMP_AGENTIC_CONTEXT_PENALTY</t>
        </is>
      </c>
      <c r="K1994" s="3" t="inlineStr">
        <is>
          <t>ASSUMP_CN_CAPACITY_TRANSPARENCY; ASSUMP_APP_EMBEDDING; ASSUMP_NUMERIC_ACCELERATOR_MIX; ASSUMP_INFERENCE_SHARE_NOT_FACT_60; ASSUMP_WORKLOAD_CLASS_MIX; ASSUMP_AGENTIC_CONTEXT_PENALTY</t>
        </is>
      </c>
      <c r="L1994" s="3" t="inlineStr">
        <is>
          <t>Provider production output-token throughput with comparable workload/SLO.</t>
        </is>
      </c>
    </row>
    <row r="1995">
      <c r="A1995" s="3" t="inlineStr">
        <is>
          <t>Tencent</t>
        </is>
      </c>
      <c r="B1995" s="3" t="n">
        <v>2027</v>
      </c>
      <c r="C1995" s="3" t="inlineStr">
        <is>
          <t>Base</t>
        </is>
      </c>
      <c r="D1995" s="3" t="inlineStr">
        <is>
          <t>purpose_built_tps_per_mw</t>
        </is>
      </c>
      <c r="E1995" s="3" t="n">
        <v>2710180</v>
      </c>
      <c r="F1995" s="3" t="inlineStr">
        <is>
          <t>generated output tokens/sec/MW</t>
        </is>
      </c>
      <c r="G1995" s="3" t="inlineStr">
        <is>
          <t>Conservative no-uplift proxy</t>
        </is>
      </c>
      <c r="H1995" s="3" t="inlineStr">
        <is>
          <t>purpose_built_tps_per_mw = purpose_built_reference_tps_per_mw * commercial_workload_fit_factor until comparable output-token benchmark is adopted</t>
        </is>
      </c>
      <c r="I1995" s="3" t="inlineStr">
        <is>
          <t>No comparable public output-token/MW row adopted; B200 public reference placeholder is used and remains editable.</t>
        </is>
      </c>
      <c r="J1995" s="3" t="inlineStr">
        <is>
          <t>SRC_TENCENT_HUNYUAN; SRC_TENCENT_HY3; SRC_TENCENT_AI_INFRA_MOE; SRC_EPOCH_AI_DATA_CENTERS; ASSUMP_NUMERIC_ACCELERATOR_MIX</t>
        </is>
      </c>
      <c r="K1995" s="3" t="inlineStr">
        <is>
          <t>ASSUMP_CN_CAPACITY_TRANSPARENCY; ASSUMP_APP_EMBEDDING; ASSUMP_NUMERIC_ACCELERATOR_MIX; ASSUMP_INFERENCE_SHARE_NOT_FACT_60; ASSUMP_WORKLOAD_CLASS_MIX; ASSUMP_AGENTIC_CONTEXT_PENALTY</t>
        </is>
      </c>
      <c r="L1995" s="3" t="inlineStr">
        <is>
          <t>Matched-workload generated-output benchmark for the provider purpose-built accelerator.</t>
        </is>
      </c>
    </row>
    <row r="1996">
      <c r="A1996" s="3" t="inlineStr">
        <is>
          <t>Tencent</t>
        </is>
      </c>
      <c r="B1996" s="3" t="n">
        <v>2027</v>
      </c>
      <c r="C1996" s="3" t="inlineStr">
        <is>
          <t>Base</t>
        </is>
      </c>
      <c r="D1996" s="3" t="inlineStr">
        <is>
          <t>inference_power_share</t>
        </is>
      </c>
      <c r="E1996" s="3" t="n">
        <v>0.65</v>
      </c>
      <c r="F1996" s="3" t="inlineStr">
        <is>
          <t>share of AI IT load</t>
        </is>
      </c>
      <c r="G1996" s="3" t="inlineStr">
        <is>
          <t>Scenario allocation</t>
        </is>
      </c>
      <c r="H1996" s="3" t="inlineStr">
        <is>
          <t>inference_gw = ai_it_load_gw * inference_power_share</t>
        </is>
      </c>
      <c r="I1996" s="3" t="inlineStr">
        <is>
          <t>Yuanbao and embedded product surfaces plus Hunyuan Turbo inference-cost direction support rising inference allocation.</t>
        </is>
      </c>
      <c r="J1996" s="3" t="inlineStr">
        <is>
          <t>SRC_TENCENT_HUNYUAN; SRC_TENCENT_HY3; SRC_TENCENT_AI_INFRA_MOE; SRC_EPOCH_AI_DATA_CENTERS; ASSUMP_INFERENCE_SHARE_NOT_FACT_60</t>
        </is>
      </c>
      <c r="K1996" s="3" t="inlineStr">
        <is>
          <t>ASSUMP_CN_CAPACITY_TRANSPARENCY; ASSUMP_APP_EMBEDDING; ASSUMP_NUMERIC_ACCELERATOR_MIX; ASSUMP_INFERENCE_SHARE_NOT_FACT_60; ASSUMP_WORKLOAD_CLASS_MIX; ASSUMP_AGENTIC_CONTEXT_PENALTY</t>
        </is>
      </c>
      <c r="L1996" s="3" t="inlineStr">
        <is>
          <t>Provider-specific inference/training workload power telemetry.</t>
        </is>
      </c>
    </row>
    <row r="1997">
      <c r="A1997" s="3" t="inlineStr">
        <is>
          <t>Tencent</t>
        </is>
      </c>
      <c r="B1997" s="3" t="n">
        <v>2027</v>
      </c>
      <c r="C1997" s="3" t="inlineStr">
        <is>
          <t>Base</t>
        </is>
      </c>
      <c r="D1997" s="3" t="inlineStr">
        <is>
          <t>inference_gw</t>
        </is>
      </c>
      <c r="E1997" s="3" t="n">
        <v>0.416</v>
      </c>
      <c r="F1997" s="3" t="inlineStr">
        <is>
          <t>GW</t>
        </is>
      </c>
      <c r="G1997" s="3" t="inlineStr">
        <is>
          <t>Derived formula</t>
        </is>
      </c>
      <c r="H1997" s="3" t="inlineStr">
        <is>
          <t>ai_it_load_gw * inference_power_share</t>
        </is>
      </c>
      <c r="I1997" s="3" t="inlineStr">
        <is>
          <t>This is the operational power eligible to become commercial generated output tokens through the selected TPS/MW proxy.</t>
        </is>
      </c>
      <c r="J1997" s="3" t="inlineStr">
        <is>
          <t>SRC_TENCENT_HUNYUAN; SRC_TENCENT_HY3; SRC_TENCENT_AI_INFRA_MOE; SRC_EPOCH_AI_DATA_CENTERS</t>
        </is>
      </c>
      <c r="K1997" s="3" t="inlineStr">
        <is>
          <t>ASSUMP_CN_CAPACITY_TRANSPARENCY; ASSUMP_APP_EMBEDDING; ASSUMP_NUMERIC_ACCELERATOR_MIX; ASSUMP_INFERENCE_SHARE_NOT_FACT_60; ASSUMP_WORKLOAD_CLASS_MIX; ASSUMP_AGENTIC_CONTEXT_PENALTY</t>
        </is>
      </c>
      <c r="L1997" s="3" t="inlineStr">
        <is>
          <t>Recompute after AI allocation or inference-share evidence changes.</t>
        </is>
      </c>
    </row>
    <row r="1998">
      <c r="A1998" s="3" t="inlineStr">
        <is>
          <t>Tencent</t>
        </is>
      </c>
      <c r="B1998" s="3" t="n">
        <v>2027</v>
      </c>
      <c r="C1998" s="3" t="inlineStr">
        <is>
          <t>Base</t>
        </is>
      </c>
      <c r="D1998" s="3" t="inlineStr">
        <is>
          <t>training_power_share</t>
        </is>
      </c>
      <c r="E1998" s="3" t="n">
        <v>0.35</v>
      </c>
      <c r="F1998" s="3" t="inlineStr">
        <is>
          <t>share of AI IT load</t>
        </is>
      </c>
      <c r="G1998" s="3" t="inlineStr">
        <is>
          <t>Derived allocation</t>
        </is>
      </c>
      <c r="H1998" s="3" t="inlineStr">
        <is>
          <t>1 - inference_power_share</t>
        </is>
      </c>
      <c r="I1998" s="3" t="inlineStr">
        <is>
          <t>Training receives the complementary modeled AI IT allocation; it is not a disclosed company workload split.</t>
        </is>
      </c>
      <c r="J1998" s="3" t="inlineStr">
        <is>
          <t>SRC_TENCENT_HUNYUAN; SRC_TENCENT_HY3; SRC_TENCENT_AI_INFRA_MOE; SRC_EPOCH_AI_DATA_CENTERS; ASSUMP_INFERENCE_SHARE_NOT_FACT_60</t>
        </is>
      </c>
      <c r="K1998" s="3" t="inlineStr">
        <is>
          <t>ASSUMP_CN_CAPACITY_TRANSPARENCY; ASSUMP_APP_EMBEDDING; ASSUMP_NUMERIC_ACCELERATOR_MIX; ASSUMP_INFERENCE_SHARE_NOT_FACT_60; ASSUMP_WORKLOAD_CLASS_MIX; ASSUMP_AGENTIC_CONTEXT_PENALTY</t>
        </is>
      </c>
      <c r="L1998" s="3" t="inlineStr">
        <is>
          <t>Provider-specific inference/training workload power telemetry.</t>
        </is>
      </c>
    </row>
    <row r="1999">
      <c r="A1999" s="3" t="inlineStr">
        <is>
          <t>Tencent</t>
        </is>
      </c>
      <c r="B1999" s="3" t="n">
        <v>2027</v>
      </c>
      <c r="C1999" s="3" t="inlineStr">
        <is>
          <t>Base</t>
        </is>
      </c>
      <c r="D1999" s="3" t="inlineStr">
        <is>
          <t>training_gw</t>
        </is>
      </c>
      <c r="E1999" s="3" t="n">
        <v>0.224</v>
      </c>
      <c r="F1999" s="3" t="inlineStr">
        <is>
          <t>GW</t>
        </is>
      </c>
      <c r="G1999" s="3" t="inlineStr">
        <is>
          <t>Derived formula</t>
        </is>
      </c>
      <c r="H1999" s="3" t="inlineStr">
        <is>
          <t>ai_it_load_gw * training_power_share</t>
        </is>
      </c>
      <c r="I1999" s="3" t="inlineStr">
        <is>
          <t>Training GW is shown separately so commercial inference token capacity is not overstated.</t>
        </is>
      </c>
      <c r="J1999" s="3" t="inlineStr">
        <is>
          <t>SRC_TENCENT_HUNYUAN; SRC_TENCENT_HY3; SRC_TENCENT_AI_INFRA_MOE; SRC_EPOCH_AI_DATA_CENTERS</t>
        </is>
      </c>
      <c r="K1999" s="3" t="inlineStr">
        <is>
          <t>ASSUMP_CN_CAPACITY_TRANSPARENCY; ASSUMP_APP_EMBEDDING; ASSUMP_NUMERIC_ACCELERATOR_MIX; ASSUMP_INFERENCE_SHARE_NOT_FACT_60; ASSUMP_WORKLOAD_CLASS_MIX; ASSUMP_AGENTIC_CONTEXT_PENALTY</t>
        </is>
      </c>
      <c r="L1999" s="3" t="inlineStr">
        <is>
          <t>Recompute after AI allocation or workload-split evidence changes.</t>
        </is>
      </c>
    </row>
    <row r="2000">
      <c r="A2000" s="3" t="inlineStr">
        <is>
          <t>Tencent</t>
        </is>
      </c>
      <c r="B2000" s="3" t="n">
        <v>2027</v>
      </c>
      <c r="C2000" s="3" t="inlineStr">
        <is>
          <t>Base</t>
        </is>
      </c>
      <c r="D2000" s="3" t="inlineStr">
        <is>
          <t>tokens_per_second_per_mw</t>
        </is>
      </c>
      <c r="E2000" s="3" t="n">
        <v>1570190</v>
      </c>
      <c r="F2000" s="3" t="inlineStr">
        <is>
          <t>generated output tokens/sec/MW</t>
        </is>
      </c>
      <c r="G2000" s="3" t="inlineStr">
        <is>
          <t>Derived estimate + benchmark calibration</t>
        </is>
      </c>
      <c r="H2000" s="3" t="inlineStr">
        <is>
          <t>fleet_reference_tps_per_mw * commercial_workload_fit_factor</t>
        </is>
      </c>
      <c r="I200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00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00" s="3" t="inlineStr">
        <is>
          <t>ASSUMP_CN_CAPACITY_TRANSPARENCY; ASSUMP_APP_EMBEDDING; ASSUMP_NUMERIC_ACCELERATOR_MIX; ASSUMP_INFERENCE_SHARE_NOT_FACT_60; ASSUMP_WORKLOAD_CLASS_MIX; ASSUMP_AGENTIC_CONTEXT_PENALTY</t>
        </is>
      </c>
      <c r="L2000" s="3" t="inlineStr">
        <is>
          <t>Comparable production output-token throughput with model, hardware, precision, ISL/OSL and SLO matched.</t>
        </is>
      </c>
    </row>
    <row r="2001">
      <c r="A2001" s="3" t="inlineStr">
        <is>
          <t>Tencent</t>
        </is>
      </c>
      <c r="B2001" s="3" t="n">
        <v>2027</v>
      </c>
      <c r="C2001" s="3" t="inlineStr">
        <is>
          <t>Base</t>
        </is>
      </c>
      <c r="D2001" s="3" t="inlineStr">
        <is>
          <t>inference_tokens_per_day</t>
        </is>
      </c>
      <c r="E2001" s="3" t="n">
        <v>56436397056000</v>
      </c>
      <c r="F2001" s="3" t="inlineStr">
        <is>
          <t>generated output tokens/day</t>
        </is>
      </c>
      <c r="G2001" s="3" t="inlineStr">
        <is>
          <t>Derived headline metric</t>
        </is>
      </c>
      <c r="H2001" s="3" t="inlineStr">
        <is>
          <t>inference_gw * 1000 * tokens_per_second_per_mw * 86,400</t>
        </is>
      </c>
      <c r="I2001" s="3" t="inlineStr">
        <is>
          <t>Headline capacity uses no utilization, MoE, architecture or software-growth multiplier; it is not observed commercial output volume.</t>
        </is>
      </c>
      <c r="J2001" s="3" t="inlineStr">
        <is>
          <t>SRC_TENCENT_HUNYUAN; SRC_TENCENT_HY3; SRC_TENCENT_AI_INFRA_MOE; SRC_EPOCH_AI_DATA_CENTERS; SRC_SEMIANALYSIS_INFERENCEX</t>
        </is>
      </c>
      <c r="K2001" s="3" t="inlineStr">
        <is>
          <t>ASSUMP_CN_CAPACITY_TRANSPARENCY; ASSUMP_APP_EMBEDDING; ASSUMP_NUMERIC_ACCELERATOR_MIX; ASSUMP_INFERENCE_SHARE_NOT_FACT_60; ASSUMP_WORKLOAD_CLASS_MIX; ASSUMP_AGENTIC_CONTEXT_PENALTY</t>
        </is>
      </c>
      <c r="L2001" s="3" t="inlineStr">
        <is>
          <t>Provider-disclosed generated output token volume or calibrated capacity telemetry.</t>
        </is>
      </c>
    </row>
    <row r="2002">
      <c r="A2002" s="3" t="inlineStr">
        <is>
          <t>Tencent</t>
        </is>
      </c>
      <c r="B2002" s="3" t="n">
        <v>2027</v>
      </c>
      <c r="C2002" s="3" t="inlineStr">
        <is>
          <t>Base</t>
        </is>
      </c>
      <c r="D2002" s="3" t="inlineStr">
        <is>
          <t>inference_tokens_per_year</t>
        </is>
      </c>
      <c r="E2002" s="3" t="n">
        <v>2.059928492544e+16</v>
      </c>
      <c r="F2002" s="3" t="inlineStr">
        <is>
          <t>generated output tokens/year</t>
        </is>
      </c>
      <c r="G2002" s="3" t="inlineStr">
        <is>
          <t>Derived headline metric</t>
        </is>
      </c>
      <c r="H2002" s="3" t="inlineStr">
        <is>
          <t>inference_tokens_per_day * 365</t>
        </is>
      </c>
      <c r="I2002" s="3" t="inlineStr">
        <is>
          <t>Annualized version of generated output token capacity; it is not observed annual demand or billable volume.</t>
        </is>
      </c>
      <c r="J2002" s="3" t="inlineStr">
        <is>
          <t>SRC_TENCENT_HUNYUAN; SRC_TENCENT_HY3; SRC_TENCENT_AI_INFRA_MOE; SRC_EPOCH_AI_DATA_CENTERS; SRC_SEMIANALYSIS_INFERENCEX</t>
        </is>
      </c>
      <c r="K2002" s="3" t="inlineStr">
        <is>
          <t>ASSUMP_CN_CAPACITY_TRANSPARENCY; ASSUMP_APP_EMBEDDING; ASSUMP_NUMERIC_ACCELERATOR_MIX; ASSUMP_INFERENCE_SHARE_NOT_FACT_60; ASSUMP_WORKLOAD_CLASS_MIX; ASSUMP_AGENTIC_CONTEXT_PENALTY</t>
        </is>
      </c>
      <c r="L2002" s="3" t="inlineStr">
        <is>
          <t>Provider-disclosed annual generated-output volume or metered serving telemetry.</t>
        </is>
      </c>
    </row>
    <row r="2003">
      <c r="A2003" s="3" t="inlineStr">
        <is>
          <t>Tencent</t>
        </is>
      </c>
      <c r="B2003" s="3" t="n">
        <v>2028</v>
      </c>
      <c r="C2003" s="3" t="inlineStr">
        <is>
          <t>Base</t>
        </is>
      </c>
      <c r="D2003" s="3" t="inlineStr">
        <is>
          <t>contracted_power_gw</t>
        </is>
      </c>
      <c r="E2003" s="3" t="n">
        <v>2.1</v>
      </c>
      <c r="F2003" s="3" t="inlineStr">
        <is>
          <t>GW</t>
        </is>
      </c>
      <c r="G2003" s="3" t="inlineStr">
        <is>
          <t>Scenario capacity envelope</t>
        </is>
      </c>
      <c r="H2003" s="3" t="inlineStr">
        <is>
          <t>linear interpolation between 2026 and 2030 company capacity endpoints</t>
        </is>
      </c>
      <c r="I2003" s="3" t="inlineStr">
        <is>
          <t>Tencent Cloud/Hunyuan capacity is a scenario envelope because operated model-serving GW is undisclosed.</t>
        </is>
      </c>
      <c r="J2003" s="3" t="inlineStr">
        <is>
          <t>SRC_TENCENT_AI_INFRA_MOE; ASSUMP_CN_CAPACITY_TRANSPARENCY</t>
        </is>
      </c>
      <c r="K2003" s="3" t="inlineStr">
        <is>
          <t>ASSUMP_CN_CAPACITY_TRANSPARENCY; ASSUMP_APP_EMBEDDING; ASSUMP_NUMERIC_ACCELERATOR_MIX; ASSUMP_INFERENCE_SHARE_NOT_FACT_60; ASSUMP_WORKLOAD_CLASS_MIX; ASSUMP_AGENTIC_CONTEXT_PENALTY</t>
        </is>
      </c>
      <c r="L2003" s="3" t="inlineStr">
        <is>
          <t>Company/site-level committed MW/GW, interconnect and contract disclosure.</t>
        </is>
      </c>
    </row>
    <row r="2004">
      <c r="A2004" s="3" t="inlineStr">
        <is>
          <t>Tencent</t>
        </is>
      </c>
      <c r="B2004" s="3" t="n">
        <v>2028</v>
      </c>
      <c r="C2004" s="3" t="inlineStr">
        <is>
          <t>Base</t>
        </is>
      </c>
      <c r="D2004" s="3" t="inlineStr">
        <is>
          <t>operational_deployment_share</t>
        </is>
      </c>
      <c r="E2004" s="3" t="n">
        <v>0.67857143</v>
      </c>
      <c r="F2004" s="3" t="inlineStr">
        <is>
          <t>share</t>
        </is>
      </c>
      <c r="G2004" s="3" t="inlineStr">
        <is>
          <t>Scenario conversion</t>
        </is>
      </c>
      <c r="H2004" s="3" t="inlineStr">
        <is>
          <t>active_power_gw / contracted_power_gw</t>
        </is>
      </c>
      <c r="I2004" s="3" t="inlineStr">
        <is>
          <t>This is the single explicit conversion from contracted/attributed capacity to operationally usable capacity.</t>
        </is>
      </c>
      <c r="J2004" s="3" t="inlineStr">
        <is>
          <t>SRC_TENCENT_AI_INFRA_MOE; ASSUMP_CN_CAPACITY_TRANSPARENCY</t>
        </is>
      </c>
      <c r="K2004" s="3" t="inlineStr">
        <is>
          <t>ASSUMP_CN_CAPACITY_TRANSPARENCY; ASSUMP_APP_EMBEDDING; ASSUMP_NUMERIC_ACCELERATOR_MIX; ASSUMP_INFERENCE_SHARE_NOT_FACT_60; ASSUMP_WORKLOAD_CLASS_MIX; ASSUMP_AGENTIC_CONTEXT_PENALTY</t>
        </is>
      </c>
      <c r="L2004" s="3" t="inlineStr">
        <is>
          <t>Energized operational capacity divided by contracted/attributed capacity.</t>
        </is>
      </c>
    </row>
    <row r="2005">
      <c r="A2005" s="3" t="inlineStr">
        <is>
          <t>Tencent</t>
        </is>
      </c>
      <c r="B2005" s="3" t="n">
        <v>2028</v>
      </c>
      <c r="C2005" s="3" t="inlineStr">
        <is>
          <t>Base</t>
        </is>
      </c>
      <c r="D2005" s="3" t="inlineStr">
        <is>
          <t>active_power_gw</t>
        </is>
      </c>
      <c r="E2005" s="3" t="n">
        <v>1.425</v>
      </c>
      <c r="F2005" s="3" t="inlineStr">
        <is>
          <t>GW</t>
        </is>
      </c>
      <c r="G2005" s="3" t="inlineStr">
        <is>
          <t>Derived scenario</t>
        </is>
      </c>
      <c r="H2005" s="3" t="inlineStr">
        <is>
          <t>contracted_power_gw * operational_deployment_share</t>
        </is>
      </c>
      <c r="I2005" s="3" t="inlineStr">
        <is>
          <t>Active GW reflects staged Hunyuan/Yuanbao adoption rather than a reported powered fleet.</t>
        </is>
      </c>
      <c r="J2005" s="3" t="inlineStr">
        <is>
          <t>SRC_TENCENT_AI_INFRA_MOE; ASSUMP_CN_CAPACITY_TRANSPARENCY</t>
        </is>
      </c>
      <c r="K2005" s="3" t="inlineStr">
        <is>
          <t>ASSUMP_CN_CAPACITY_TRANSPARENCY; ASSUMP_APP_EMBEDDING; ASSUMP_NUMERIC_ACCELERATOR_MIX; ASSUMP_INFERENCE_SHARE_NOT_FACT_60; ASSUMP_WORKLOAD_CLASS_MIX; ASSUMP_AGENTIC_CONTEXT_PENALTY</t>
        </is>
      </c>
      <c r="L2005" s="3" t="inlineStr">
        <is>
          <t>Energization dates, accelerator deliveries and operational powered-rack telemetry.</t>
        </is>
      </c>
    </row>
    <row r="2006">
      <c r="A2006" s="3" t="inlineStr">
        <is>
          <t>Tencent</t>
        </is>
      </c>
      <c r="B2006" s="3" t="n">
        <v>2028</v>
      </c>
      <c r="C2006" s="3" t="inlineStr">
        <is>
          <t>Base</t>
        </is>
      </c>
      <c r="D2006" s="3" t="inlineStr">
        <is>
          <t>pue</t>
        </is>
      </c>
      <c r="E2006" s="3" t="n">
        <v>1.23</v>
      </c>
      <c r="F2006" s="3" t="inlineStr">
        <is>
          <t>ratio</t>
        </is>
      </c>
      <c r="G2006" s="3" t="inlineStr">
        <is>
          <t>Scenario parameter</t>
        </is>
      </c>
      <c r="H2006" s="3" t="inlineStr">
        <is>
          <t>it_load_gw = active_power_gw / pue</t>
        </is>
      </c>
      <c r="I2006" s="3" t="inlineStr">
        <is>
          <t>No provider-wide site-level PUE is used as a disclosed fact; PUE represents facility-to-IT conversion within the scenario.</t>
        </is>
      </c>
      <c r="J2006" s="3" t="inlineStr">
        <is>
          <t>ASSUMP_POWER_RAMP</t>
        </is>
      </c>
      <c r="K2006" s="3" t="inlineStr">
        <is>
          <t>ASSUMP_CN_CAPACITY_TRANSPARENCY; ASSUMP_APP_EMBEDDING; ASSUMP_NUMERIC_ACCELERATOR_MIX; ASSUMP_INFERENCE_SHARE_NOT_FACT_60; ASSUMP_WORKLOAD_CLASS_MIX; ASSUMP_AGENTIC_CONTEXT_PENALTY</t>
        </is>
      </c>
      <c r="L2006" s="3" t="inlineStr">
        <is>
          <t>Site-level measured PUE matched to attributed AI capacity.</t>
        </is>
      </c>
    </row>
    <row r="2007">
      <c r="A2007" s="3" t="inlineStr">
        <is>
          <t>Tencent</t>
        </is>
      </c>
      <c r="B2007" s="3" t="n">
        <v>2028</v>
      </c>
      <c r="C2007" s="3" t="inlineStr">
        <is>
          <t>Base</t>
        </is>
      </c>
      <c r="D2007" s="3" t="inlineStr">
        <is>
          <t>it_load_gw</t>
        </is>
      </c>
      <c r="E2007" s="3" t="n">
        <v>1.159</v>
      </c>
      <c r="F2007" s="3" t="inlineStr">
        <is>
          <t>GW</t>
        </is>
      </c>
      <c r="G2007" s="3" t="inlineStr">
        <is>
          <t>Derived formula</t>
        </is>
      </c>
      <c r="H2007" s="3" t="inlineStr">
        <is>
          <t>active_power_gw / pue</t>
        </is>
      </c>
      <c r="I2007" s="3" t="inlineStr">
        <is>
          <t>Facility power is converted to IT-deliverable power before attributing AI workloads.</t>
        </is>
      </c>
      <c r="J2007" s="3" t="inlineStr">
        <is>
          <t>SRC_TENCENT_AI_INFRA_MOE; ASSUMP_CN_CAPACITY_TRANSPARENCY</t>
        </is>
      </c>
      <c r="K2007" s="3" t="inlineStr">
        <is>
          <t>ASSUMP_CN_CAPACITY_TRANSPARENCY; ASSUMP_APP_EMBEDDING; ASSUMP_NUMERIC_ACCELERATOR_MIX; ASSUMP_INFERENCE_SHARE_NOT_FACT_60; ASSUMP_WORKLOAD_CLASS_MIX; ASSUMP_AGENTIC_CONTEXT_PENALTY</t>
        </is>
      </c>
      <c r="L2007" s="3" t="inlineStr">
        <is>
          <t>Recompute once active power and PUE become site-observable.</t>
        </is>
      </c>
    </row>
    <row r="2008">
      <c r="A2008" s="3" t="inlineStr">
        <is>
          <t>Tencent</t>
        </is>
      </c>
      <c r="B2008" s="3" t="n">
        <v>2028</v>
      </c>
      <c r="C2008" s="3" t="inlineStr">
        <is>
          <t>Base</t>
        </is>
      </c>
      <c r="D2008" s="3" t="inlineStr">
        <is>
          <t>ai_workload_share</t>
        </is>
      </c>
      <c r="E2008" s="3" t="n">
        <v>0.84</v>
      </c>
      <c r="F2008" s="3" t="inlineStr">
        <is>
          <t>share</t>
        </is>
      </c>
      <c r="G2008" s="3" t="inlineStr">
        <is>
          <t>Scenario allocation</t>
        </is>
      </c>
      <c r="H2008" s="3" t="inlineStr">
        <is>
          <t>ai_it_load_gw = it_load_gw * ai_workload_share</t>
        </is>
      </c>
      <c r="I2008" s="3" t="inlineStr">
        <is>
          <t>Modeled Hunyuan-serving capacity is AI-focused; 84% excludes cloud/platform and reserve overhead.</t>
        </is>
      </c>
      <c r="J2008" s="3" t="inlineStr">
        <is>
          <t>SRC_TENCENT_HUNYUAN; SRC_TENCENT_HY3; SRC_TENCENT_AI_INFRA_MOE; SRC_EPOCH_AI_DATA_CENTERS</t>
        </is>
      </c>
      <c r="K2008" s="3" t="inlineStr">
        <is>
          <t>ASSUMP_CN_CAPACITY_TRANSPARENCY; ASSUMP_APP_EMBEDDING; ASSUMP_NUMERIC_ACCELERATOR_MIX; ASSUMP_INFERENCE_SHARE_NOT_FACT_60; ASSUMP_WORKLOAD_CLASS_MIX; ASSUMP_AGENTIC_CONTEXT_PENALTY</t>
        </is>
      </c>
      <c r="L2008" s="3" t="inlineStr">
        <is>
          <t>Model-owner AI workload allocation or cluster scheduling telemetry.</t>
        </is>
      </c>
    </row>
    <row r="2009">
      <c r="A2009" s="3" t="inlineStr">
        <is>
          <t>Tencent</t>
        </is>
      </c>
      <c r="B2009" s="3" t="n">
        <v>2028</v>
      </c>
      <c r="C2009" s="3" t="inlineStr">
        <is>
          <t>Base</t>
        </is>
      </c>
      <c r="D2009" s="3" t="inlineStr">
        <is>
          <t>ai_it_load_gw</t>
        </is>
      </c>
      <c r="E2009" s="3" t="n">
        <v>0.973</v>
      </c>
      <c r="F2009" s="3" t="inlineStr">
        <is>
          <t>GW</t>
        </is>
      </c>
      <c r="G2009" s="3" t="inlineStr">
        <is>
          <t>Derived formula</t>
        </is>
      </c>
      <c r="H2009" s="3" t="inlineStr">
        <is>
          <t>it_load_gw * ai_workload_share</t>
        </is>
      </c>
      <c r="I2009" s="3" t="inlineStr">
        <is>
          <t>Only the AI-attributed portion of IT load enters training/inference allocation.</t>
        </is>
      </c>
      <c r="J2009" s="3" t="inlineStr">
        <is>
          <t>SRC_TENCENT_HUNYUAN; SRC_TENCENT_HY3; SRC_TENCENT_AI_INFRA_MOE; SRC_EPOCH_AI_DATA_CENTERS</t>
        </is>
      </c>
      <c r="K2009" s="3" t="inlineStr">
        <is>
          <t>ASSUMP_CN_CAPACITY_TRANSPARENCY; ASSUMP_APP_EMBEDDING; ASSUMP_NUMERIC_ACCELERATOR_MIX; ASSUMP_INFERENCE_SHARE_NOT_FACT_60; ASSUMP_WORKLOAD_CLASS_MIX; ASSUMP_AGENTIC_CONTEXT_PENALTY</t>
        </is>
      </c>
      <c r="L2009" s="3" t="inlineStr">
        <is>
          <t>Recompute after ai_workload_share is replaced by telemetry.</t>
        </is>
      </c>
    </row>
    <row r="2010">
      <c r="A2010" s="3" t="inlineStr">
        <is>
          <t>Tencent</t>
        </is>
      </c>
      <c r="B2010" s="3" t="n">
        <v>2028</v>
      </c>
      <c r="C2010" s="3" t="inlineStr">
        <is>
          <t>Base</t>
        </is>
      </c>
      <c r="D2010" s="3" t="inlineStr">
        <is>
          <t>gpu_share</t>
        </is>
      </c>
      <c r="E2010" s="3" t="n">
        <v>1</v>
      </c>
      <c r="F2010" s="3" t="inlineStr">
        <is>
          <t>share of inference-serving accelerator load</t>
        </is>
      </c>
      <c r="G2010" s="3" t="inlineStr">
        <is>
          <t>Numeric scenario</t>
        </is>
      </c>
      <c r="H2010" s="3" t="inlineStr">
        <is>
          <t>gpu_share interpolated from company 2026/2030 accelerator-mix endpoints</t>
        </is>
      </c>
      <c r="I2010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010" s="3" t="inlineStr">
        <is>
          <t>SRC_TENCENT_HUNYUAN; SRC_TENCENT_HY3; SRC_TENCENT_AI_INFRA_MOE; SRC_EPOCH_AI_DATA_CENTERS; ASSUMP_NUMERIC_ACCELERATOR_MIX</t>
        </is>
      </c>
      <c r="K2010" s="3" t="inlineStr">
        <is>
          <t>ASSUMP_CN_CAPACITY_TRANSPARENCY; ASSUMP_APP_EMBEDDING; ASSUMP_NUMERIC_ACCELERATOR_MIX; ASSUMP_INFERENCE_SHARE_NOT_FACT_60; ASSUMP_WORKLOAD_CLASS_MIX; ASSUMP_AGENTIC_CONTEXT_PENALTY</t>
        </is>
      </c>
      <c r="L2010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2011">
      <c r="A2011" s="3" t="inlineStr">
        <is>
          <t>Tencent</t>
        </is>
      </c>
      <c r="B2011" s="3" t="n">
        <v>2028</v>
      </c>
      <c r="C2011" s="3" t="inlineStr">
        <is>
          <t>Base</t>
        </is>
      </c>
      <c r="D2011" s="3" t="inlineStr">
        <is>
          <t>h200_share</t>
        </is>
      </c>
      <c r="E2011" s="3" t="n">
        <v>0.325</v>
      </c>
      <c r="F2011" s="3" t="inlineStr">
        <is>
          <t>share of inference-serving accelerator load</t>
        </is>
      </c>
      <c r="G2011" s="3" t="inlineStr">
        <is>
          <t>Editable numeric scenario</t>
        </is>
      </c>
      <c r="H2011" s="3" t="inlineStr">
        <is>
          <t>h200_share = gpu_share * default_gpu_generation_mix_h200</t>
        </is>
      </c>
      <c r="I2011" s="3" t="inlineStr">
        <is>
          <t>Default GPU-generation migration assumption; executive workbook allows later manual replacement by company/year/scenario.</t>
        </is>
      </c>
      <c r="J2011" s="3" t="inlineStr">
        <is>
          <t>SRC_SEMIANALYSIS_INFERENCEX; ASSUMP_NUMERIC_ACCELERATOR_MIX</t>
        </is>
      </c>
      <c r="K2011" s="3" t="inlineStr">
        <is>
          <t>ASSUMP_CN_CAPACITY_TRANSPARENCY; ASSUMP_APP_EMBEDDING; ASSUMP_NUMERIC_ACCELERATOR_MIX; ASSUMP_INFERENCE_SHARE_NOT_FACT_60; ASSUMP_WORKLOAD_CLASS_MIX; ASSUMP_AGENTIC_CONTEXT_PENALTY</t>
        </is>
      </c>
      <c r="L2011" s="3" t="inlineStr">
        <is>
          <t>Company fleet inventory, accelerator-hours or procurement/deployment records by GPU generation.</t>
        </is>
      </c>
    </row>
    <row r="2012">
      <c r="A2012" s="3" t="inlineStr">
        <is>
          <t>Tencent</t>
        </is>
      </c>
      <c r="B2012" s="3" t="n">
        <v>2028</v>
      </c>
      <c r="C2012" s="3" t="inlineStr">
        <is>
          <t>Base</t>
        </is>
      </c>
      <c r="D2012" s="3" t="inlineStr">
        <is>
          <t>b200_share</t>
        </is>
      </c>
      <c r="E2012" s="3" t="n">
        <v>0.375</v>
      </c>
      <c r="F2012" s="3" t="inlineStr">
        <is>
          <t>share of inference-serving accelerator load</t>
        </is>
      </c>
      <c r="G2012" s="3" t="inlineStr">
        <is>
          <t>Editable numeric scenario</t>
        </is>
      </c>
      <c r="H2012" s="3" t="inlineStr">
        <is>
          <t>b200_share = gpu_share * default_gpu_generation_mix_b200</t>
        </is>
      </c>
      <c r="I2012" s="3" t="inlineStr">
        <is>
          <t>Default GPU-generation migration assumption; executive workbook allows later manual replacement by company/year/scenario.</t>
        </is>
      </c>
      <c r="J2012" s="3" t="inlineStr">
        <is>
          <t>SRC_SEMIANALYSIS_INFERENCEX; ASSUMP_NUMERIC_ACCELERATOR_MIX</t>
        </is>
      </c>
      <c r="K2012" s="3" t="inlineStr">
        <is>
          <t>ASSUMP_CN_CAPACITY_TRANSPARENCY; ASSUMP_APP_EMBEDDING; ASSUMP_NUMERIC_ACCELERATOR_MIX; ASSUMP_INFERENCE_SHARE_NOT_FACT_60; ASSUMP_WORKLOAD_CLASS_MIX; ASSUMP_AGENTIC_CONTEXT_PENALTY</t>
        </is>
      </c>
      <c r="L2012" s="3" t="inlineStr">
        <is>
          <t>Company fleet inventory, accelerator-hours or procurement/deployment records by GPU generation.</t>
        </is>
      </c>
    </row>
    <row r="2013">
      <c r="A2013" s="3" t="inlineStr">
        <is>
          <t>Tencent</t>
        </is>
      </c>
      <c r="B2013" s="3" t="n">
        <v>2028</v>
      </c>
      <c r="C2013" s="3" t="inlineStr">
        <is>
          <t>Base</t>
        </is>
      </c>
      <c r="D2013" s="3" t="inlineStr">
        <is>
          <t>gb200_share</t>
        </is>
      </c>
      <c r="E2013" s="3" t="n">
        <v>0.3</v>
      </c>
      <c r="F2013" s="3" t="inlineStr">
        <is>
          <t>share of inference-serving accelerator load</t>
        </is>
      </c>
      <c r="G2013" s="3" t="inlineStr">
        <is>
          <t>Editable numeric scenario</t>
        </is>
      </c>
      <c r="H2013" s="3" t="inlineStr">
        <is>
          <t>gb200_share = gpu_share * default_gpu_generation_mix_gb200</t>
        </is>
      </c>
      <c r="I2013" s="3" t="inlineStr">
        <is>
          <t>Default GPU-generation migration assumption; executive workbook allows later manual replacement by company/year/scenario.</t>
        </is>
      </c>
      <c r="J2013" s="3" t="inlineStr">
        <is>
          <t>SRC_SEMIANALYSIS_INFERENCEX; ASSUMP_NUMERIC_ACCELERATOR_MIX</t>
        </is>
      </c>
      <c r="K2013" s="3" t="inlineStr">
        <is>
          <t>ASSUMP_CN_CAPACITY_TRANSPARENCY; ASSUMP_APP_EMBEDDING; ASSUMP_NUMERIC_ACCELERATOR_MIX; ASSUMP_INFERENCE_SHARE_NOT_FACT_60; ASSUMP_WORKLOAD_CLASS_MIX; ASSUMP_AGENTIC_CONTEXT_PENALTY</t>
        </is>
      </c>
      <c r="L2013" s="3" t="inlineStr">
        <is>
          <t>Company fleet inventory, accelerator-hours or procurement/deployment records by GPU generation.</t>
        </is>
      </c>
    </row>
    <row r="2014">
      <c r="A2014" s="3" t="inlineStr">
        <is>
          <t>Tencent</t>
        </is>
      </c>
      <c r="B2014" s="3" t="n">
        <v>2028</v>
      </c>
      <c r="C2014" s="3" t="inlineStr">
        <is>
          <t>Base</t>
        </is>
      </c>
      <c r="D2014" s="3" t="inlineStr">
        <is>
          <t>purpose_built_accelerator_share</t>
        </is>
      </c>
      <c r="E2014" s="3" t="n">
        <v>0</v>
      </c>
      <c r="F2014" s="3" t="inlineStr">
        <is>
          <t>share of inference-serving accelerator load</t>
        </is>
      </c>
      <c r="G2014" s="3" t="inlineStr">
        <is>
          <t>Numeric scenario</t>
        </is>
      </c>
      <c r="H2014" s="3" t="inlineStr">
        <is>
          <t>1 - gpu_share</t>
        </is>
      </c>
      <c r="I2014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014" s="3" t="inlineStr">
        <is>
          <t>SRC_TENCENT_HUNYUAN; SRC_TENCENT_HY3; SRC_TENCENT_AI_INFRA_MOE; SRC_EPOCH_AI_DATA_CENTERS; ASSUMP_NUMERIC_ACCELERATOR_MIX</t>
        </is>
      </c>
      <c r="K2014" s="3" t="inlineStr">
        <is>
          <t>ASSUMP_CN_CAPACITY_TRANSPARENCY; ASSUMP_APP_EMBEDDING; ASSUMP_NUMERIC_ACCELERATOR_MIX; ASSUMP_INFERENCE_SHARE_NOT_FACT_60; ASSUMP_WORKLOAD_CLASS_MIX; ASSUMP_AGENTIC_CONTEXT_PENALTY</t>
        </is>
      </c>
      <c r="L2014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2015">
      <c r="A2015" s="3" t="inlineStr">
        <is>
          <t>Tencent</t>
        </is>
      </c>
      <c r="B2015" s="3" t="n">
        <v>2028</v>
      </c>
      <c r="C2015" s="3" t="inlineStr">
        <is>
          <t>Base</t>
        </is>
      </c>
      <c r="D2015" s="3" t="inlineStr">
        <is>
          <t>fleet_reference_tps_per_mw</t>
        </is>
      </c>
      <c r="E2015" s="3" t="n">
        <v>2876295</v>
      </c>
      <c r="F2015" s="3" t="inlineStr">
        <is>
          <t>generated output tokens/sec/MW</t>
        </is>
      </c>
      <c r="G2015" s="3" t="inlineStr">
        <is>
          <t>Fleet-weighted public benchmark reference</t>
        </is>
      </c>
      <c r="H2015" s="3" t="inlineStr">
        <is>
          <t>h200_share*h200_workload_avg + b200_share*b200_workload_avg + gb200_share*gb200_workload_avg + purpose_built_share*purpose_workload_avg</t>
        </is>
      </c>
      <c r="I201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15" s="3" t="inlineStr">
        <is>
          <t>SRC_SEMIANALYSIS_INFERENCEX; ASSUMP_NUMERIC_ACCELERATOR_MIX; ASSUMP_WORKLOAD_CLASS_MIX; ASSUMP_AGENTIC_CONTEXT_PENALTY</t>
        </is>
      </c>
      <c r="K2015" s="3" t="inlineStr">
        <is>
          <t>ASSUMP_CN_CAPACITY_TRANSPARENCY; ASSUMP_APP_EMBEDDING; ASSUMP_NUMERIC_ACCELERATOR_MIX; ASSUMP_INFERENCE_SHARE_NOT_FACT_60; ASSUMP_WORKLOAD_CLASS_MIX; ASSUMP_AGENTIC_CONTEXT_PENALTY</t>
        </is>
      </c>
      <c r="L2015" s="3" t="inlineStr">
        <is>
          <t>Comparable production output-token throughput or a more closely matched benchmark.</t>
        </is>
      </c>
    </row>
    <row r="2016">
      <c r="A2016" s="3" t="inlineStr">
        <is>
          <t>Tencent</t>
        </is>
      </c>
      <c r="B2016" s="3" t="n">
        <v>2028</v>
      </c>
      <c r="C2016" s="3" t="inlineStr">
        <is>
          <t>Base</t>
        </is>
      </c>
      <c r="D2016" s="3" t="inlineStr">
        <is>
          <t>commercial_workload_fit_factor</t>
        </is>
      </c>
      <c r="E2016" s="3" t="n">
        <v>0.6</v>
      </c>
      <c r="F2016" s="3" t="inlineStr">
        <is>
          <t>share of public reference throughput</t>
        </is>
      </c>
      <c r="G2016" s="3" t="inlineStr">
        <is>
          <t>Scenario assumption</t>
        </is>
      </c>
      <c r="H2016" s="3" t="inlineStr">
        <is>
          <t>reference_serving_tps_per_mw = fleet_reference_tps_per_mw * commercial_workload_fit_factor</t>
        </is>
      </c>
      <c r="I201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16" s="3" t="inlineStr">
        <is>
          <t>SRC_SEMIANALYSIS_INFERENCEX; ASSUMP_NUMERIC_ACCELERATOR_MIX; ASSUMP_WORKLOAD_CLASS_MIX; ASSUMP_AGENTIC_CONTEXT_PENALTY</t>
        </is>
      </c>
      <c r="K2016" s="3" t="inlineStr">
        <is>
          <t>ASSUMP_CN_CAPACITY_TRANSPARENCY; ASSUMP_APP_EMBEDDING; ASSUMP_NUMERIC_ACCELERATOR_MIX; ASSUMP_INFERENCE_SHARE_NOT_FACT_60; ASSUMP_WORKLOAD_CLASS_MIX; ASSUMP_AGENTIC_CONTEXT_PENALTY</t>
        </is>
      </c>
      <c r="L2016" s="3" t="inlineStr">
        <is>
          <t>Matched commercial serving benchmark by product surface, context shape and latency SLO.</t>
        </is>
      </c>
    </row>
    <row r="2017">
      <c r="A2017" s="3" t="inlineStr">
        <is>
          <t>Tencent</t>
        </is>
      </c>
      <c r="B2017" s="3" t="n">
        <v>2028</v>
      </c>
      <c r="C2017" s="3" t="inlineStr">
        <is>
          <t>Base</t>
        </is>
      </c>
      <c r="D2017" s="3" t="inlineStr">
        <is>
          <t>reference_serving_tps_per_mw</t>
        </is>
      </c>
      <c r="E2017" s="3" t="n">
        <v>1725777</v>
      </c>
      <c r="F2017" s="3" t="inlineStr">
        <is>
          <t>generated output tokens/sec/MW</t>
        </is>
      </c>
      <c r="G2017" s="3" t="inlineStr">
        <is>
          <t>Workload-adjusted benchmark proxy</t>
        </is>
      </c>
      <c r="H2017" s="3" t="inlineStr">
        <is>
          <t>fleet_reference_tps_per_mw * commercial_workload_fit_factor</t>
        </is>
      </c>
      <c r="I2017" s="3" t="inlineStr">
        <is>
          <t>This is the coefficient used for headline token generation; each GPU's short chat, long chat and agentic TPS/MW are weighted before fleet mix and commercial fit are applied.</t>
        </is>
      </c>
      <c r="J2017" s="3" t="inlineStr">
        <is>
          <t>SRC_SEMIANALYSIS_INFERENCEX; ASSUMP_NUMERIC_ACCELERATOR_MIX; ASSUMP_WORKLOAD_CLASS_MIX; ASSUMP_AGENTIC_CONTEXT_PENALTY</t>
        </is>
      </c>
      <c r="K2017" s="3" t="inlineStr">
        <is>
          <t>ASSUMP_CN_CAPACITY_TRANSPARENCY; ASSUMP_APP_EMBEDDING; ASSUMP_NUMERIC_ACCELERATOR_MIX; ASSUMP_INFERENCE_SHARE_NOT_FACT_60; ASSUMP_WORKLOAD_CLASS_MIX; ASSUMP_AGENTIC_CONTEXT_PENALTY</t>
        </is>
      </c>
      <c r="L2017" s="3" t="inlineStr">
        <is>
          <t>Provider production output-token throughput with comparable workload/SLO.</t>
        </is>
      </c>
    </row>
    <row r="2018">
      <c r="A2018" s="3" t="inlineStr">
        <is>
          <t>Tencent</t>
        </is>
      </c>
      <c r="B2018" s="3" t="n">
        <v>2028</v>
      </c>
      <c r="C2018" s="3" t="inlineStr">
        <is>
          <t>Base</t>
        </is>
      </c>
      <c r="D2018" s="3" t="inlineStr">
        <is>
          <t>purpose_built_tps_per_mw</t>
        </is>
      </c>
      <c r="E2018" s="3" t="n">
        <v>2710180</v>
      </c>
      <c r="F2018" s="3" t="inlineStr">
        <is>
          <t>generated output tokens/sec/MW</t>
        </is>
      </c>
      <c r="G2018" s="3" t="inlineStr">
        <is>
          <t>Conservative no-uplift proxy</t>
        </is>
      </c>
      <c r="H2018" s="3" t="inlineStr">
        <is>
          <t>purpose_built_tps_per_mw = purpose_built_reference_tps_per_mw * commercial_workload_fit_factor until comparable output-token benchmark is adopted</t>
        </is>
      </c>
      <c r="I2018" s="3" t="inlineStr">
        <is>
          <t>No comparable public output-token/MW row adopted; B200 public reference placeholder is used and remains editable.</t>
        </is>
      </c>
      <c r="J2018" s="3" t="inlineStr">
        <is>
          <t>SRC_TENCENT_HUNYUAN; SRC_TENCENT_HY3; SRC_TENCENT_AI_INFRA_MOE; SRC_EPOCH_AI_DATA_CENTERS; ASSUMP_NUMERIC_ACCELERATOR_MIX</t>
        </is>
      </c>
      <c r="K2018" s="3" t="inlineStr">
        <is>
          <t>ASSUMP_CN_CAPACITY_TRANSPARENCY; ASSUMP_APP_EMBEDDING; ASSUMP_NUMERIC_ACCELERATOR_MIX; ASSUMP_INFERENCE_SHARE_NOT_FACT_60; ASSUMP_WORKLOAD_CLASS_MIX; ASSUMP_AGENTIC_CONTEXT_PENALTY</t>
        </is>
      </c>
      <c r="L2018" s="3" t="inlineStr">
        <is>
          <t>Matched-workload generated-output benchmark for the provider purpose-built accelerator.</t>
        </is>
      </c>
    </row>
    <row r="2019">
      <c r="A2019" s="3" t="inlineStr">
        <is>
          <t>Tencent</t>
        </is>
      </c>
      <c r="B2019" s="3" t="n">
        <v>2028</v>
      </c>
      <c r="C2019" s="3" t="inlineStr">
        <is>
          <t>Base</t>
        </is>
      </c>
      <c r="D2019" s="3" t="inlineStr">
        <is>
          <t>inference_power_share</t>
        </is>
      </c>
      <c r="E2019" s="3" t="n">
        <v>0.7</v>
      </c>
      <c r="F2019" s="3" t="inlineStr">
        <is>
          <t>share of AI IT load</t>
        </is>
      </c>
      <c r="G2019" s="3" t="inlineStr">
        <is>
          <t>Scenario allocation</t>
        </is>
      </c>
      <c r="H2019" s="3" t="inlineStr">
        <is>
          <t>inference_gw = ai_it_load_gw * inference_power_share</t>
        </is>
      </c>
      <c r="I2019" s="3" t="inlineStr">
        <is>
          <t>Yuanbao and embedded product surfaces plus Hunyuan Turbo inference-cost direction support rising inference allocation.</t>
        </is>
      </c>
      <c r="J2019" s="3" t="inlineStr">
        <is>
          <t>SRC_TENCENT_HUNYUAN; SRC_TENCENT_HY3; SRC_TENCENT_AI_INFRA_MOE; SRC_EPOCH_AI_DATA_CENTERS; ASSUMP_INFERENCE_SHARE_NOT_FACT_60</t>
        </is>
      </c>
      <c r="K2019" s="3" t="inlineStr">
        <is>
          <t>ASSUMP_CN_CAPACITY_TRANSPARENCY; ASSUMP_APP_EMBEDDING; ASSUMP_NUMERIC_ACCELERATOR_MIX; ASSUMP_INFERENCE_SHARE_NOT_FACT_60; ASSUMP_WORKLOAD_CLASS_MIX; ASSUMP_AGENTIC_CONTEXT_PENALTY</t>
        </is>
      </c>
      <c r="L2019" s="3" t="inlineStr">
        <is>
          <t>Provider-specific inference/training workload power telemetry.</t>
        </is>
      </c>
    </row>
    <row r="2020">
      <c r="A2020" s="3" t="inlineStr">
        <is>
          <t>Tencent</t>
        </is>
      </c>
      <c r="B2020" s="3" t="n">
        <v>2028</v>
      </c>
      <c r="C2020" s="3" t="inlineStr">
        <is>
          <t>Base</t>
        </is>
      </c>
      <c r="D2020" s="3" t="inlineStr">
        <is>
          <t>inference_gw</t>
        </is>
      </c>
      <c r="E2020" s="3" t="n">
        <v>0.681</v>
      </c>
      <c r="F2020" s="3" t="inlineStr">
        <is>
          <t>GW</t>
        </is>
      </c>
      <c r="G2020" s="3" t="inlineStr">
        <is>
          <t>Derived formula</t>
        </is>
      </c>
      <c r="H2020" s="3" t="inlineStr">
        <is>
          <t>ai_it_load_gw * inference_power_share</t>
        </is>
      </c>
      <c r="I2020" s="3" t="inlineStr">
        <is>
          <t>This is the operational power eligible to become commercial generated output tokens through the selected TPS/MW proxy.</t>
        </is>
      </c>
      <c r="J2020" s="3" t="inlineStr">
        <is>
          <t>SRC_TENCENT_HUNYUAN; SRC_TENCENT_HY3; SRC_TENCENT_AI_INFRA_MOE; SRC_EPOCH_AI_DATA_CENTERS</t>
        </is>
      </c>
      <c r="K2020" s="3" t="inlineStr">
        <is>
          <t>ASSUMP_CN_CAPACITY_TRANSPARENCY; ASSUMP_APP_EMBEDDING; ASSUMP_NUMERIC_ACCELERATOR_MIX; ASSUMP_INFERENCE_SHARE_NOT_FACT_60; ASSUMP_WORKLOAD_CLASS_MIX; ASSUMP_AGENTIC_CONTEXT_PENALTY</t>
        </is>
      </c>
      <c r="L2020" s="3" t="inlineStr">
        <is>
          <t>Recompute after AI allocation or inference-share evidence changes.</t>
        </is>
      </c>
    </row>
    <row r="2021">
      <c r="A2021" s="3" t="inlineStr">
        <is>
          <t>Tencent</t>
        </is>
      </c>
      <c r="B2021" s="3" t="n">
        <v>2028</v>
      </c>
      <c r="C2021" s="3" t="inlineStr">
        <is>
          <t>Base</t>
        </is>
      </c>
      <c r="D2021" s="3" t="inlineStr">
        <is>
          <t>training_power_share</t>
        </is>
      </c>
      <c r="E2021" s="3" t="n">
        <v>0.3</v>
      </c>
      <c r="F2021" s="3" t="inlineStr">
        <is>
          <t>share of AI IT load</t>
        </is>
      </c>
      <c r="G2021" s="3" t="inlineStr">
        <is>
          <t>Derived allocation</t>
        </is>
      </c>
      <c r="H2021" s="3" t="inlineStr">
        <is>
          <t>1 - inference_power_share</t>
        </is>
      </c>
      <c r="I2021" s="3" t="inlineStr">
        <is>
          <t>Training receives the complementary modeled AI IT allocation; it is not a disclosed company workload split.</t>
        </is>
      </c>
      <c r="J2021" s="3" t="inlineStr">
        <is>
          <t>SRC_TENCENT_HUNYUAN; SRC_TENCENT_HY3; SRC_TENCENT_AI_INFRA_MOE; SRC_EPOCH_AI_DATA_CENTERS; ASSUMP_INFERENCE_SHARE_NOT_FACT_60</t>
        </is>
      </c>
      <c r="K2021" s="3" t="inlineStr">
        <is>
          <t>ASSUMP_CN_CAPACITY_TRANSPARENCY; ASSUMP_APP_EMBEDDING; ASSUMP_NUMERIC_ACCELERATOR_MIX; ASSUMP_INFERENCE_SHARE_NOT_FACT_60; ASSUMP_WORKLOAD_CLASS_MIX; ASSUMP_AGENTIC_CONTEXT_PENALTY</t>
        </is>
      </c>
      <c r="L2021" s="3" t="inlineStr">
        <is>
          <t>Provider-specific inference/training workload power telemetry.</t>
        </is>
      </c>
    </row>
    <row r="2022">
      <c r="A2022" s="3" t="inlineStr">
        <is>
          <t>Tencent</t>
        </is>
      </c>
      <c r="B2022" s="3" t="n">
        <v>2028</v>
      </c>
      <c r="C2022" s="3" t="inlineStr">
        <is>
          <t>Base</t>
        </is>
      </c>
      <c r="D2022" s="3" t="inlineStr">
        <is>
          <t>training_gw</t>
        </is>
      </c>
      <c r="E2022" s="3" t="n">
        <v>0.292</v>
      </c>
      <c r="F2022" s="3" t="inlineStr">
        <is>
          <t>GW</t>
        </is>
      </c>
      <c r="G2022" s="3" t="inlineStr">
        <is>
          <t>Derived formula</t>
        </is>
      </c>
      <c r="H2022" s="3" t="inlineStr">
        <is>
          <t>ai_it_load_gw * training_power_share</t>
        </is>
      </c>
      <c r="I2022" s="3" t="inlineStr">
        <is>
          <t>Training GW is shown separately so commercial inference token capacity is not overstated.</t>
        </is>
      </c>
      <c r="J2022" s="3" t="inlineStr">
        <is>
          <t>SRC_TENCENT_HUNYUAN; SRC_TENCENT_HY3; SRC_TENCENT_AI_INFRA_MOE; SRC_EPOCH_AI_DATA_CENTERS</t>
        </is>
      </c>
      <c r="K2022" s="3" t="inlineStr">
        <is>
          <t>ASSUMP_CN_CAPACITY_TRANSPARENCY; ASSUMP_APP_EMBEDDING; ASSUMP_NUMERIC_ACCELERATOR_MIX; ASSUMP_INFERENCE_SHARE_NOT_FACT_60; ASSUMP_WORKLOAD_CLASS_MIX; ASSUMP_AGENTIC_CONTEXT_PENALTY</t>
        </is>
      </c>
      <c r="L2022" s="3" t="inlineStr">
        <is>
          <t>Recompute after AI allocation or workload-split evidence changes.</t>
        </is>
      </c>
    </row>
    <row r="2023">
      <c r="A2023" s="3" t="inlineStr">
        <is>
          <t>Tencent</t>
        </is>
      </c>
      <c r="B2023" s="3" t="n">
        <v>2028</v>
      </c>
      <c r="C2023" s="3" t="inlineStr">
        <is>
          <t>Base</t>
        </is>
      </c>
      <c r="D2023" s="3" t="inlineStr">
        <is>
          <t>tokens_per_second_per_mw</t>
        </is>
      </c>
      <c r="E2023" s="3" t="n">
        <v>1725777</v>
      </c>
      <c r="F2023" s="3" t="inlineStr">
        <is>
          <t>generated output tokens/sec/MW</t>
        </is>
      </c>
      <c r="G2023" s="3" t="inlineStr">
        <is>
          <t>Derived estimate + benchmark calibration</t>
        </is>
      </c>
      <c r="H2023" s="3" t="inlineStr">
        <is>
          <t>fleet_reference_tps_per_mw * commercial_workload_fit_factor</t>
        </is>
      </c>
      <c r="I202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23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23" s="3" t="inlineStr">
        <is>
          <t>ASSUMP_CN_CAPACITY_TRANSPARENCY; ASSUMP_APP_EMBEDDING; ASSUMP_NUMERIC_ACCELERATOR_MIX; ASSUMP_INFERENCE_SHARE_NOT_FACT_60; ASSUMP_WORKLOAD_CLASS_MIX; ASSUMP_AGENTIC_CONTEXT_PENALTY</t>
        </is>
      </c>
      <c r="L2023" s="3" t="inlineStr">
        <is>
          <t>Comparable production output-token throughput with model, hardware, precision, ISL/OSL and SLO matched.</t>
        </is>
      </c>
    </row>
    <row r="2024">
      <c r="A2024" s="3" t="inlineStr">
        <is>
          <t>Tencent</t>
        </is>
      </c>
      <c r="B2024" s="3" t="n">
        <v>2028</v>
      </c>
      <c r="C2024" s="3" t="inlineStr">
        <is>
          <t>Base</t>
        </is>
      </c>
      <c r="D2024" s="3" t="inlineStr">
        <is>
          <t>inference_tokens_per_day</t>
        </is>
      </c>
      <c r="E2024" s="3" t="n">
        <v>101541957436800</v>
      </c>
      <c r="F2024" s="3" t="inlineStr">
        <is>
          <t>generated output tokens/day</t>
        </is>
      </c>
      <c r="G2024" s="3" t="inlineStr">
        <is>
          <t>Derived headline metric</t>
        </is>
      </c>
      <c r="H2024" s="3" t="inlineStr">
        <is>
          <t>inference_gw * 1000 * tokens_per_second_per_mw * 86,400</t>
        </is>
      </c>
      <c r="I2024" s="3" t="inlineStr">
        <is>
          <t>Headline capacity uses no utilization, MoE, architecture or software-growth multiplier; it is not observed commercial output volume.</t>
        </is>
      </c>
      <c r="J2024" s="3" t="inlineStr">
        <is>
          <t>SRC_TENCENT_HUNYUAN; SRC_TENCENT_HY3; SRC_TENCENT_AI_INFRA_MOE; SRC_EPOCH_AI_DATA_CENTERS; SRC_SEMIANALYSIS_INFERENCEX</t>
        </is>
      </c>
      <c r="K2024" s="3" t="inlineStr">
        <is>
          <t>ASSUMP_CN_CAPACITY_TRANSPARENCY; ASSUMP_APP_EMBEDDING; ASSUMP_NUMERIC_ACCELERATOR_MIX; ASSUMP_INFERENCE_SHARE_NOT_FACT_60; ASSUMP_WORKLOAD_CLASS_MIX; ASSUMP_AGENTIC_CONTEXT_PENALTY</t>
        </is>
      </c>
      <c r="L2024" s="3" t="inlineStr">
        <is>
          <t>Provider-disclosed generated output token volume or calibrated capacity telemetry.</t>
        </is>
      </c>
    </row>
    <row r="2025">
      <c r="A2025" s="3" t="inlineStr">
        <is>
          <t>Tencent</t>
        </is>
      </c>
      <c r="B2025" s="3" t="n">
        <v>2028</v>
      </c>
      <c r="C2025" s="3" t="inlineStr">
        <is>
          <t>Base</t>
        </is>
      </c>
      <c r="D2025" s="3" t="inlineStr">
        <is>
          <t>inference_tokens_per_year</t>
        </is>
      </c>
      <c r="E2025" s="3" t="n">
        <v>3.7062814464432e+16</v>
      </c>
      <c r="F2025" s="3" t="inlineStr">
        <is>
          <t>generated output tokens/year</t>
        </is>
      </c>
      <c r="G2025" s="3" t="inlineStr">
        <is>
          <t>Derived headline metric</t>
        </is>
      </c>
      <c r="H2025" s="3" t="inlineStr">
        <is>
          <t>inference_tokens_per_day * 365</t>
        </is>
      </c>
      <c r="I2025" s="3" t="inlineStr">
        <is>
          <t>Annualized version of generated output token capacity; it is not observed annual demand or billable volume.</t>
        </is>
      </c>
      <c r="J2025" s="3" t="inlineStr">
        <is>
          <t>SRC_TENCENT_HUNYUAN; SRC_TENCENT_HY3; SRC_TENCENT_AI_INFRA_MOE; SRC_EPOCH_AI_DATA_CENTERS; SRC_SEMIANALYSIS_INFERENCEX</t>
        </is>
      </c>
      <c r="K2025" s="3" t="inlineStr">
        <is>
          <t>ASSUMP_CN_CAPACITY_TRANSPARENCY; ASSUMP_APP_EMBEDDING; ASSUMP_NUMERIC_ACCELERATOR_MIX; ASSUMP_INFERENCE_SHARE_NOT_FACT_60; ASSUMP_WORKLOAD_CLASS_MIX; ASSUMP_AGENTIC_CONTEXT_PENALTY</t>
        </is>
      </c>
      <c r="L2025" s="3" t="inlineStr">
        <is>
          <t>Provider-disclosed annual generated-output volume or metered serving telemetry.</t>
        </is>
      </c>
    </row>
    <row r="2026">
      <c r="A2026" s="3" t="inlineStr">
        <is>
          <t>Tencent</t>
        </is>
      </c>
      <c r="B2026" s="3" t="n">
        <v>2029</v>
      </c>
      <c r="C2026" s="3" t="inlineStr">
        <is>
          <t>Base</t>
        </is>
      </c>
      <c r="D2026" s="3" t="inlineStr">
        <is>
          <t>contracted_power_gw</t>
        </is>
      </c>
      <c r="E2026" s="3" t="n">
        <v>2.55</v>
      </c>
      <c r="F2026" s="3" t="inlineStr">
        <is>
          <t>GW</t>
        </is>
      </c>
      <c r="G2026" s="3" t="inlineStr">
        <is>
          <t>Scenario capacity envelope</t>
        </is>
      </c>
      <c r="H2026" s="3" t="inlineStr">
        <is>
          <t>linear interpolation between 2026 and 2030 company capacity endpoints</t>
        </is>
      </c>
      <c r="I2026" s="3" t="inlineStr">
        <is>
          <t>Tencent Cloud/Hunyuan capacity is a scenario envelope because operated model-serving GW is undisclosed.</t>
        </is>
      </c>
      <c r="J2026" s="3" t="inlineStr">
        <is>
          <t>SRC_TENCENT_AI_INFRA_MOE; ASSUMP_CN_CAPACITY_TRANSPARENCY</t>
        </is>
      </c>
      <c r="K2026" s="3" t="inlineStr">
        <is>
          <t>ASSUMP_CN_CAPACITY_TRANSPARENCY; ASSUMP_APP_EMBEDDING; ASSUMP_NUMERIC_ACCELERATOR_MIX; ASSUMP_INFERENCE_SHARE_NOT_FACT_60; ASSUMP_WORKLOAD_CLASS_MIX; ASSUMP_AGENTIC_CONTEXT_PENALTY</t>
        </is>
      </c>
      <c r="L2026" s="3" t="inlineStr">
        <is>
          <t>Company/site-level committed MW/GW, interconnect and contract disclosure.</t>
        </is>
      </c>
    </row>
    <row r="2027">
      <c r="A2027" s="3" t="inlineStr">
        <is>
          <t>Tencent</t>
        </is>
      </c>
      <c r="B2027" s="3" t="n">
        <v>2029</v>
      </c>
      <c r="C2027" s="3" t="inlineStr">
        <is>
          <t>Base</t>
        </is>
      </c>
      <c r="D2027" s="3" t="inlineStr">
        <is>
          <t>operational_deployment_share</t>
        </is>
      </c>
      <c r="E2027" s="3" t="n">
        <v>0.74980392</v>
      </c>
      <c r="F2027" s="3" t="inlineStr">
        <is>
          <t>share</t>
        </is>
      </c>
      <c r="G2027" s="3" t="inlineStr">
        <is>
          <t>Scenario conversion</t>
        </is>
      </c>
      <c r="H2027" s="3" t="inlineStr">
        <is>
          <t>active_power_gw / contracted_power_gw</t>
        </is>
      </c>
      <c r="I2027" s="3" t="inlineStr">
        <is>
          <t>This is the single explicit conversion from contracted/attributed capacity to operationally usable capacity.</t>
        </is>
      </c>
      <c r="J2027" s="3" t="inlineStr">
        <is>
          <t>SRC_TENCENT_AI_INFRA_MOE; ASSUMP_CN_CAPACITY_TRANSPARENCY</t>
        </is>
      </c>
      <c r="K2027" s="3" t="inlineStr">
        <is>
          <t>ASSUMP_CN_CAPACITY_TRANSPARENCY; ASSUMP_APP_EMBEDDING; ASSUMP_NUMERIC_ACCELERATOR_MIX; ASSUMP_INFERENCE_SHARE_NOT_FACT_60; ASSUMP_WORKLOAD_CLASS_MIX; ASSUMP_AGENTIC_CONTEXT_PENALTY</t>
        </is>
      </c>
      <c r="L2027" s="3" t="inlineStr">
        <is>
          <t>Energized operational capacity divided by contracted/attributed capacity.</t>
        </is>
      </c>
    </row>
    <row r="2028">
      <c r="A2028" s="3" t="inlineStr">
        <is>
          <t>Tencent</t>
        </is>
      </c>
      <c r="B2028" s="3" t="n">
        <v>2029</v>
      </c>
      <c r="C2028" s="3" t="inlineStr">
        <is>
          <t>Base</t>
        </is>
      </c>
      <c r="D2028" s="3" t="inlineStr">
        <is>
          <t>active_power_gw</t>
        </is>
      </c>
      <c r="E2028" s="3" t="n">
        <v>1.912</v>
      </c>
      <c r="F2028" s="3" t="inlineStr">
        <is>
          <t>GW</t>
        </is>
      </c>
      <c r="G2028" s="3" t="inlineStr">
        <is>
          <t>Derived scenario</t>
        </is>
      </c>
      <c r="H2028" s="3" t="inlineStr">
        <is>
          <t>contracted_power_gw * operational_deployment_share</t>
        </is>
      </c>
      <c r="I2028" s="3" t="inlineStr">
        <is>
          <t>Active GW reflects staged Hunyuan/Yuanbao adoption rather than a reported powered fleet.</t>
        </is>
      </c>
      <c r="J2028" s="3" t="inlineStr">
        <is>
          <t>SRC_TENCENT_AI_INFRA_MOE; ASSUMP_CN_CAPACITY_TRANSPARENCY</t>
        </is>
      </c>
      <c r="K2028" s="3" t="inlineStr">
        <is>
          <t>ASSUMP_CN_CAPACITY_TRANSPARENCY; ASSUMP_APP_EMBEDDING; ASSUMP_NUMERIC_ACCELERATOR_MIX; ASSUMP_INFERENCE_SHARE_NOT_FACT_60; ASSUMP_WORKLOAD_CLASS_MIX; ASSUMP_AGENTIC_CONTEXT_PENALTY</t>
        </is>
      </c>
      <c r="L2028" s="3" t="inlineStr">
        <is>
          <t>Energization dates, accelerator deliveries and operational powered-rack telemetry.</t>
        </is>
      </c>
    </row>
    <row r="2029">
      <c r="A2029" s="3" t="inlineStr">
        <is>
          <t>Tencent</t>
        </is>
      </c>
      <c r="B2029" s="3" t="n">
        <v>2029</v>
      </c>
      <c r="C2029" s="3" t="inlineStr">
        <is>
          <t>Base</t>
        </is>
      </c>
      <c r="D2029" s="3" t="inlineStr">
        <is>
          <t>pue</t>
        </is>
      </c>
      <c r="E2029" s="3" t="n">
        <v>1.23</v>
      </c>
      <c r="F2029" s="3" t="inlineStr">
        <is>
          <t>ratio</t>
        </is>
      </c>
      <c r="G2029" s="3" t="inlineStr">
        <is>
          <t>Scenario parameter</t>
        </is>
      </c>
      <c r="H2029" s="3" t="inlineStr">
        <is>
          <t>it_load_gw = active_power_gw / pue</t>
        </is>
      </c>
      <c r="I2029" s="3" t="inlineStr">
        <is>
          <t>No provider-wide site-level PUE is used as a disclosed fact; PUE represents facility-to-IT conversion within the scenario.</t>
        </is>
      </c>
      <c r="J2029" s="3" t="inlineStr">
        <is>
          <t>ASSUMP_POWER_RAMP</t>
        </is>
      </c>
      <c r="K2029" s="3" t="inlineStr">
        <is>
          <t>ASSUMP_CN_CAPACITY_TRANSPARENCY; ASSUMP_APP_EMBEDDING; ASSUMP_NUMERIC_ACCELERATOR_MIX; ASSUMP_INFERENCE_SHARE_NOT_FACT_60; ASSUMP_WORKLOAD_CLASS_MIX; ASSUMP_AGENTIC_CONTEXT_PENALTY</t>
        </is>
      </c>
      <c r="L2029" s="3" t="inlineStr">
        <is>
          <t>Site-level measured PUE matched to attributed AI capacity.</t>
        </is>
      </c>
    </row>
    <row r="2030">
      <c r="A2030" s="3" t="inlineStr">
        <is>
          <t>Tencent</t>
        </is>
      </c>
      <c r="B2030" s="3" t="n">
        <v>2029</v>
      </c>
      <c r="C2030" s="3" t="inlineStr">
        <is>
          <t>Base</t>
        </is>
      </c>
      <c r="D2030" s="3" t="inlineStr">
        <is>
          <t>it_load_gw</t>
        </is>
      </c>
      <c r="E2030" s="3" t="n">
        <v>1.555</v>
      </c>
      <c r="F2030" s="3" t="inlineStr">
        <is>
          <t>GW</t>
        </is>
      </c>
      <c r="G2030" s="3" t="inlineStr">
        <is>
          <t>Derived formula</t>
        </is>
      </c>
      <c r="H2030" s="3" t="inlineStr">
        <is>
          <t>active_power_gw / pue</t>
        </is>
      </c>
      <c r="I2030" s="3" t="inlineStr">
        <is>
          <t>Facility power is converted to IT-deliverable power before attributing AI workloads.</t>
        </is>
      </c>
      <c r="J2030" s="3" t="inlineStr">
        <is>
          <t>SRC_TENCENT_AI_INFRA_MOE; ASSUMP_CN_CAPACITY_TRANSPARENCY</t>
        </is>
      </c>
      <c r="K2030" s="3" t="inlineStr">
        <is>
          <t>ASSUMP_CN_CAPACITY_TRANSPARENCY; ASSUMP_APP_EMBEDDING; ASSUMP_NUMERIC_ACCELERATOR_MIX; ASSUMP_INFERENCE_SHARE_NOT_FACT_60; ASSUMP_WORKLOAD_CLASS_MIX; ASSUMP_AGENTIC_CONTEXT_PENALTY</t>
        </is>
      </c>
      <c r="L2030" s="3" t="inlineStr">
        <is>
          <t>Recompute once active power and PUE become site-observable.</t>
        </is>
      </c>
    </row>
    <row r="2031">
      <c r="A2031" s="3" t="inlineStr">
        <is>
          <t>Tencent</t>
        </is>
      </c>
      <c r="B2031" s="3" t="n">
        <v>2029</v>
      </c>
      <c r="C2031" s="3" t="inlineStr">
        <is>
          <t>Base</t>
        </is>
      </c>
      <c r="D2031" s="3" t="inlineStr">
        <is>
          <t>ai_workload_share</t>
        </is>
      </c>
      <c r="E2031" s="3" t="n">
        <v>0.84</v>
      </c>
      <c r="F2031" s="3" t="inlineStr">
        <is>
          <t>share</t>
        </is>
      </c>
      <c r="G2031" s="3" t="inlineStr">
        <is>
          <t>Scenario allocation</t>
        </is>
      </c>
      <c r="H2031" s="3" t="inlineStr">
        <is>
          <t>ai_it_load_gw = it_load_gw * ai_workload_share</t>
        </is>
      </c>
      <c r="I2031" s="3" t="inlineStr">
        <is>
          <t>Modeled Hunyuan-serving capacity is AI-focused; 84% excludes cloud/platform and reserve overhead.</t>
        </is>
      </c>
      <c r="J2031" s="3" t="inlineStr">
        <is>
          <t>SRC_TENCENT_HUNYUAN; SRC_TENCENT_HY3; SRC_TENCENT_AI_INFRA_MOE; SRC_EPOCH_AI_DATA_CENTERS</t>
        </is>
      </c>
      <c r="K2031" s="3" t="inlineStr">
        <is>
          <t>ASSUMP_CN_CAPACITY_TRANSPARENCY; ASSUMP_APP_EMBEDDING; ASSUMP_NUMERIC_ACCELERATOR_MIX; ASSUMP_INFERENCE_SHARE_NOT_FACT_60; ASSUMP_WORKLOAD_CLASS_MIX; ASSUMP_AGENTIC_CONTEXT_PENALTY</t>
        </is>
      </c>
      <c r="L2031" s="3" t="inlineStr">
        <is>
          <t>Model-owner AI workload allocation or cluster scheduling telemetry.</t>
        </is>
      </c>
    </row>
    <row r="2032">
      <c r="A2032" s="3" t="inlineStr">
        <is>
          <t>Tencent</t>
        </is>
      </c>
      <c r="B2032" s="3" t="n">
        <v>2029</v>
      </c>
      <c r="C2032" s="3" t="inlineStr">
        <is>
          <t>Base</t>
        </is>
      </c>
      <c r="D2032" s="3" t="inlineStr">
        <is>
          <t>ai_it_load_gw</t>
        </is>
      </c>
      <c r="E2032" s="3" t="n">
        <v>1.306</v>
      </c>
      <c r="F2032" s="3" t="inlineStr">
        <is>
          <t>GW</t>
        </is>
      </c>
      <c r="G2032" s="3" t="inlineStr">
        <is>
          <t>Derived formula</t>
        </is>
      </c>
      <c r="H2032" s="3" t="inlineStr">
        <is>
          <t>it_load_gw * ai_workload_share</t>
        </is>
      </c>
      <c r="I2032" s="3" t="inlineStr">
        <is>
          <t>Only the AI-attributed portion of IT load enters training/inference allocation.</t>
        </is>
      </c>
      <c r="J2032" s="3" t="inlineStr">
        <is>
          <t>SRC_TENCENT_HUNYUAN; SRC_TENCENT_HY3; SRC_TENCENT_AI_INFRA_MOE; SRC_EPOCH_AI_DATA_CENTERS</t>
        </is>
      </c>
      <c r="K2032" s="3" t="inlineStr">
        <is>
          <t>ASSUMP_CN_CAPACITY_TRANSPARENCY; ASSUMP_APP_EMBEDDING; ASSUMP_NUMERIC_ACCELERATOR_MIX; ASSUMP_INFERENCE_SHARE_NOT_FACT_60; ASSUMP_WORKLOAD_CLASS_MIX; ASSUMP_AGENTIC_CONTEXT_PENALTY</t>
        </is>
      </c>
      <c r="L2032" s="3" t="inlineStr">
        <is>
          <t>Recompute after ai_workload_share is replaced by telemetry.</t>
        </is>
      </c>
    </row>
    <row r="2033">
      <c r="A2033" s="3" t="inlineStr">
        <is>
          <t>Tencent</t>
        </is>
      </c>
      <c r="B2033" s="3" t="n">
        <v>2029</v>
      </c>
      <c r="C2033" s="3" t="inlineStr">
        <is>
          <t>Base</t>
        </is>
      </c>
      <c r="D2033" s="3" t="inlineStr">
        <is>
          <t>gpu_share</t>
        </is>
      </c>
      <c r="E2033" s="3" t="n">
        <v>1</v>
      </c>
      <c r="F2033" s="3" t="inlineStr">
        <is>
          <t>share of inference-serving accelerator load</t>
        </is>
      </c>
      <c r="G2033" s="3" t="inlineStr">
        <is>
          <t>Numeric scenario</t>
        </is>
      </c>
      <c r="H2033" s="3" t="inlineStr">
        <is>
          <t>gpu_share interpolated from company 2026/2030 accelerator-mix endpoints</t>
        </is>
      </c>
      <c r="I2033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033" s="3" t="inlineStr">
        <is>
          <t>SRC_TENCENT_HUNYUAN; SRC_TENCENT_HY3; SRC_TENCENT_AI_INFRA_MOE; SRC_EPOCH_AI_DATA_CENTERS; ASSUMP_NUMERIC_ACCELERATOR_MIX</t>
        </is>
      </c>
      <c r="K2033" s="3" t="inlineStr">
        <is>
          <t>ASSUMP_CN_CAPACITY_TRANSPARENCY; ASSUMP_APP_EMBEDDING; ASSUMP_NUMERIC_ACCELERATOR_MIX; ASSUMP_INFERENCE_SHARE_NOT_FACT_60; ASSUMP_WORKLOAD_CLASS_MIX; ASSUMP_AGENTIC_CONTEXT_PENALTY</t>
        </is>
      </c>
      <c r="L2033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2034">
      <c r="A2034" s="3" t="inlineStr">
        <is>
          <t>Tencent</t>
        </is>
      </c>
      <c r="B2034" s="3" t="n">
        <v>2029</v>
      </c>
      <c r="C2034" s="3" t="inlineStr">
        <is>
          <t>Base</t>
        </is>
      </c>
      <c r="D2034" s="3" t="inlineStr">
        <is>
          <t>h200_share</t>
        </is>
      </c>
      <c r="E2034" s="3" t="n">
        <v>0.213</v>
      </c>
      <c r="F2034" s="3" t="inlineStr">
        <is>
          <t>share of inference-serving accelerator load</t>
        </is>
      </c>
      <c r="G2034" s="3" t="inlineStr">
        <is>
          <t>Editable numeric scenario</t>
        </is>
      </c>
      <c r="H2034" s="3" t="inlineStr">
        <is>
          <t>h200_share = gpu_share * default_gpu_generation_mix_h200</t>
        </is>
      </c>
      <c r="I2034" s="3" t="inlineStr">
        <is>
          <t>Default GPU-generation migration assumption; executive workbook allows later manual replacement by company/year/scenario.</t>
        </is>
      </c>
      <c r="J2034" s="3" t="inlineStr">
        <is>
          <t>SRC_SEMIANALYSIS_INFERENCEX; ASSUMP_NUMERIC_ACCELERATOR_MIX</t>
        </is>
      </c>
      <c r="K2034" s="3" t="inlineStr">
        <is>
          <t>ASSUMP_CN_CAPACITY_TRANSPARENCY; ASSUMP_APP_EMBEDDING; ASSUMP_NUMERIC_ACCELERATOR_MIX; ASSUMP_INFERENCE_SHARE_NOT_FACT_60; ASSUMP_WORKLOAD_CLASS_MIX; ASSUMP_AGENTIC_CONTEXT_PENALTY</t>
        </is>
      </c>
      <c r="L2034" s="3" t="inlineStr">
        <is>
          <t>Company fleet inventory, accelerator-hours or procurement/deployment records by GPU generation.</t>
        </is>
      </c>
    </row>
    <row r="2035">
      <c r="A2035" s="3" t="inlineStr">
        <is>
          <t>Tencent</t>
        </is>
      </c>
      <c r="B2035" s="3" t="n">
        <v>2029</v>
      </c>
      <c r="C2035" s="3" t="inlineStr">
        <is>
          <t>Base</t>
        </is>
      </c>
      <c r="D2035" s="3" t="inlineStr">
        <is>
          <t>b200_share</t>
        </is>
      </c>
      <c r="E2035" s="3" t="n">
        <v>0.362</v>
      </c>
      <c r="F2035" s="3" t="inlineStr">
        <is>
          <t>share of inference-serving accelerator load</t>
        </is>
      </c>
      <c r="G2035" s="3" t="inlineStr">
        <is>
          <t>Editable numeric scenario</t>
        </is>
      </c>
      <c r="H2035" s="3" t="inlineStr">
        <is>
          <t>b200_share = gpu_share * default_gpu_generation_mix_b200</t>
        </is>
      </c>
      <c r="I2035" s="3" t="inlineStr">
        <is>
          <t>Default GPU-generation migration assumption; executive workbook allows later manual replacement by company/year/scenario.</t>
        </is>
      </c>
      <c r="J2035" s="3" t="inlineStr">
        <is>
          <t>SRC_SEMIANALYSIS_INFERENCEX; ASSUMP_NUMERIC_ACCELERATOR_MIX</t>
        </is>
      </c>
      <c r="K2035" s="3" t="inlineStr">
        <is>
          <t>ASSUMP_CN_CAPACITY_TRANSPARENCY; ASSUMP_APP_EMBEDDING; ASSUMP_NUMERIC_ACCELERATOR_MIX; ASSUMP_INFERENCE_SHARE_NOT_FACT_60; ASSUMP_WORKLOAD_CLASS_MIX; ASSUMP_AGENTIC_CONTEXT_PENALTY</t>
        </is>
      </c>
      <c r="L2035" s="3" t="inlineStr">
        <is>
          <t>Company fleet inventory, accelerator-hours or procurement/deployment records by GPU generation.</t>
        </is>
      </c>
    </row>
    <row r="2036">
      <c r="A2036" s="3" t="inlineStr">
        <is>
          <t>Tencent</t>
        </is>
      </c>
      <c r="B2036" s="3" t="n">
        <v>2029</v>
      </c>
      <c r="C2036" s="3" t="inlineStr">
        <is>
          <t>Base</t>
        </is>
      </c>
      <c r="D2036" s="3" t="inlineStr">
        <is>
          <t>gb200_share</t>
        </is>
      </c>
      <c r="E2036" s="3" t="n">
        <v>0.425</v>
      </c>
      <c r="F2036" s="3" t="inlineStr">
        <is>
          <t>share of inference-serving accelerator load</t>
        </is>
      </c>
      <c r="G2036" s="3" t="inlineStr">
        <is>
          <t>Editable numeric scenario</t>
        </is>
      </c>
      <c r="H2036" s="3" t="inlineStr">
        <is>
          <t>gb200_share = gpu_share * default_gpu_generation_mix_gb200</t>
        </is>
      </c>
      <c r="I2036" s="3" t="inlineStr">
        <is>
          <t>Default GPU-generation migration assumption; executive workbook allows later manual replacement by company/year/scenario.</t>
        </is>
      </c>
      <c r="J2036" s="3" t="inlineStr">
        <is>
          <t>SRC_SEMIANALYSIS_INFERENCEX; ASSUMP_NUMERIC_ACCELERATOR_MIX</t>
        </is>
      </c>
      <c r="K2036" s="3" t="inlineStr">
        <is>
          <t>ASSUMP_CN_CAPACITY_TRANSPARENCY; ASSUMP_APP_EMBEDDING; ASSUMP_NUMERIC_ACCELERATOR_MIX; ASSUMP_INFERENCE_SHARE_NOT_FACT_60; ASSUMP_WORKLOAD_CLASS_MIX; ASSUMP_AGENTIC_CONTEXT_PENALTY</t>
        </is>
      </c>
      <c r="L2036" s="3" t="inlineStr">
        <is>
          <t>Company fleet inventory, accelerator-hours or procurement/deployment records by GPU generation.</t>
        </is>
      </c>
    </row>
    <row r="2037">
      <c r="A2037" s="3" t="inlineStr">
        <is>
          <t>Tencent</t>
        </is>
      </c>
      <c r="B2037" s="3" t="n">
        <v>2029</v>
      </c>
      <c r="C2037" s="3" t="inlineStr">
        <is>
          <t>Base</t>
        </is>
      </c>
      <c r="D2037" s="3" t="inlineStr">
        <is>
          <t>purpose_built_accelerator_share</t>
        </is>
      </c>
      <c r="E2037" s="3" t="n">
        <v>0</v>
      </c>
      <c r="F2037" s="3" t="inlineStr">
        <is>
          <t>share of inference-serving accelerator load</t>
        </is>
      </c>
      <c r="G2037" s="3" t="inlineStr">
        <is>
          <t>Numeric scenario</t>
        </is>
      </c>
      <c r="H2037" s="3" t="inlineStr">
        <is>
          <t>1 - gpu_share</t>
        </is>
      </c>
      <c r="I2037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037" s="3" t="inlineStr">
        <is>
          <t>SRC_TENCENT_HUNYUAN; SRC_TENCENT_HY3; SRC_TENCENT_AI_INFRA_MOE; SRC_EPOCH_AI_DATA_CENTERS; ASSUMP_NUMERIC_ACCELERATOR_MIX</t>
        </is>
      </c>
      <c r="K2037" s="3" t="inlineStr">
        <is>
          <t>ASSUMP_CN_CAPACITY_TRANSPARENCY; ASSUMP_APP_EMBEDDING; ASSUMP_NUMERIC_ACCELERATOR_MIX; ASSUMP_INFERENCE_SHARE_NOT_FACT_60; ASSUMP_WORKLOAD_CLASS_MIX; ASSUMP_AGENTIC_CONTEXT_PENALTY</t>
        </is>
      </c>
      <c r="L2037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2038">
      <c r="A2038" s="3" t="inlineStr">
        <is>
          <t>Tencent</t>
        </is>
      </c>
      <c r="B2038" s="3" t="n">
        <v>2029</v>
      </c>
      <c r="C2038" s="3" t="inlineStr">
        <is>
          <t>Base</t>
        </is>
      </c>
      <c r="D2038" s="3" t="inlineStr">
        <is>
          <t>fleet_reference_tps_per_mw</t>
        </is>
      </c>
      <c r="E2038" s="3" t="n">
        <v>3133311</v>
      </c>
      <c r="F2038" s="3" t="inlineStr">
        <is>
          <t>generated output tokens/sec/MW</t>
        </is>
      </c>
      <c r="G2038" s="3" t="inlineStr">
        <is>
          <t>Fleet-weighted public benchmark reference</t>
        </is>
      </c>
      <c r="H2038" s="3" t="inlineStr">
        <is>
          <t>h200_share*h200_workload_avg + b200_share*b200_workload_avg + gb200_share*gb200_workload_avg + purpose_built_share*purpose_workload_avg</t>
        </is>
      </c>
      <c r="I203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38" s="3" t="inlineStr">
        <is>
          <t>SRC_SEMIANALYSIS_INFERENCEX; ASSUMP_NUMERIC_ACCELERATOR_MIX; ASSUMP_WORKLOAD_CLASS_MIX; ASSUMP_AGENTIC_CONTEXT_PENALTY</t>
        </is>
      </c>
      <c r="K2038" s="3" t="inlineStr">
        <is>
          <t>ASSUMP_CN_CAPACITY_TRANSPARENCY; ASSUMP_APP_EMBEDDING; ASSUMP_NUMERIC_ACCELERATOR_MIX; ASSUMP_INFERENCE_SHARE_NOT_FACT_60; ASSUMP_WORKLOAD_CLASS_MIX; ASSUMP_AGENTIC_CONTEXT_PENALTY</t>
        </is>
      </c>
      <c r="L2038" s="3" t="inlineStr">
        <is>
          <t>Comparable production output-token throughput or a more closely matched benchmark.</t>
        </is>
      </c>
    </row>
    <row r="2039">
      <c r="A2039" s="3" t="inlineStr">
        <is>
          <t>Tencent</t>
        </is>
      </c>
      <c r="B2039" s="3" t="n">
        <v>2029</v>
      </c>
      <c r="C2039" s="3" t="inlineStr">
        <is>
          <t>Base</t>
        </is>
      </c>
      <c r="D2039" s="3" t="inlineStr">
        <is>
          <t>commercial_workload_fit_factor</t>
        </is>
      </c>
      <c r="E2039" s="3" t="n">
        <v>0.6</v>
      </c>
      <c r="F2039" s="3" t="inlineStr">
        <is>
          <t>share of public reference throughput</t>
        </is>
      </c>
      <c r="G2039" s="3" t="inlineStr">
        <is>
          <t>Scenario assumption</t>
        </is>
      </c>
      <c r="H2039" s="3" t="inlineStr">
        <is>
          <t>reference_serving_tps_per_mw = fleet_reference_tps_per_mw * commercial_workload_fit_factor</t>
        </is>
      </c>
      <c r="I203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39" s="3" t="inlineStr">
        <is>
          <t>SRC_SEMIANALYSIS_INFERENCEX; ASSUMP_NUMERIC_ACCELERATOR_MIX; ASSUMP_WORKLOAD_CLASS_MIX; ASSUMP_AGENTIC_CONTEXT_PENALTY</t>
        </is>
      </c>
      <c r="K2039" s="3" t="inlineStr">
        <is>
          <t>ASSUMP_CN_CAPACITY_TRANSPARENCY; ASSUMP_APP_EMBEDDING; ASSUMP_NUMERIC_ACCELERATOR_MIX; ASSUMP_INFERENCE_SHARE_NOT_FACT_60; ASSUMP_WORKLOAD_CLASS_MIX; ASSUMP_AGENTIC_CONTEXT_PENALTY</t>
        </is>
      </c>
      <c r="L2039" s="3" t="inlineStr">
        <is>
          <t>Matched commercial serving benchmark by product surface, context shape and latency SLO.</t>
        </is>
      </c>
    </row>
    <row r="2040">
      <c r="A2040" s="3" t="inlineStr">
        <is>
          <t>Tencent</t>
        </is>
      </c>
      <c r="B2040" s="3" t="n">
        <v>2029</v>
      </c>
      <c r="C2040" s="3" t="inlineStr">
        <is>
          <t>Base</t>
        </is>
      </c>
      <c r="D2040" s="3" t="inlineStr">
        <is>
          <t>reference_serving_tps_per_mw</t>
        </is>
      </c>
      <c r="E2040" s="3" t="n">
        <v>1879987</v>
      </c>
      <c r="F2040" s="3" t="inlineStr">
        <is>
          <t>generated output tokens/sec/MW</t>
        </is>
      </c>
      <c r="G2040" s="3" t="inlineStr">
        <is>
          <t>Workload-adjusted benchmark proxy</t>
        </is>
      </c>
      <c r="H2040" s="3" t="inlineStr">
        <is>
          <t>fleet_reference_tps_per_mw * commercial_workload_fit_factor</t>
        </is>
      </c>
      <c r="I2040" s="3" t="inlineStr">
        <is>
          <t>This is the coefficient used for headline token generation; each GPU's short chat, long chat and agentic TPS/MW are weighted before fleet mix and commercial fit are applied.</t>
        </is>
      </c>
      <c r="J2040" s="3" t="inlineStr">
        <is>
          <t>SRC_SEMIANALYSIS_INFERENCEX; ASSUMP_NUMERIC_ACCELERATOR_MIX; ASSUMP_WORKLOAD_CLASS_MIX; ASSUMP_AGENTIC_CONTEXT_PENALTY</t>
        </is>
      </c>
      <c r="K2040" s="3" t="inlineStr">
        <is>
          <t>ASSUMP_CN_CAPACITY_TRANSPARENCY; ASSUMP_APP_EMBEDDING; ASSUMP_NUMERIC_ACCELERATOR_MIX; ASSUMP_INFERENCE_SHARE_NOT_FACT_60; ASSUMP_WORKLOAD_CLASS_MIX; ASSUMP_AGENTIC_CONTEXT_PENALTY</t>
        </is>
      </c>
      <c r="L2040" s="3" t="inlineStr">
        <is>
          <t>Provider production output-token throughput with comparable workload/SLO.</t>
        </is>
      </c>
    </row>
    <row r="2041">
      <c r="A2041" s="3" t="inlineStr">
        <is>
          <t>Tencent</t>
        </is>
      </c>
      <c r="B2041" s="3" t="n">
        <v>2029</v>
      </c>
      <c r="C2041" s="3" t="inlineStr">
        <is>
          <t>Base</t>
        </is>
      </c>
      <c r="D2041" s="3" t="inlineStr">
        <is>
          <t>purpose_built_tps_per_mw</t>
        </is>
      </c>
      <c r="E2041" s="3" t="n">
        <v>2710180</v>
      </c>
      <c r="F2041" s="3" t="inlineStr">
        <is>
          <t>generated output tokens/sec/MW</t>
        </is>
      </c>
      <c r="G2041" s="3" t="inlineStr">
        <is>
          <t>Conservative no-uplift proxy</t>
        </is>
      </c>
      <c r="H2041" s="3" t="inlineStr">
        <is>
          <t>purpose_built_tps_per_mw = purpose_built_reference_tps_per_mw * commercial_workload_fit_factor until comparable output-token benchmark is adopted</t>
        </is>
      </c>
      <c r="I2041" s="3" t="inlineStr">
        <is>
          <t>No comparable public output-token/MW row adopted; B200 public reference placeholder is used and remains editable.</t>
        </is>
      </c>
      <c r="J2041" s="3" t="inlineStr">
        <is>
          <t>SRC_TENCENT_HUNYUAN; SRC_TENCENT_HY3; SRC_TENCENT_AI_INFRA_MOE; SRC_EPOCH_AI_DATA_CENTERS; ASSUMP_NUMERIC_ACCELERATOR_MIX</t>
        </is>
      </c>
      <c r="K2041" s="3" t="inlineStr">
        <is>
          <t>ASSUMP_CN_CAPACITY_TRANSPARENCY; ASSUMP_APP_EMBEDDING; ASSUMP_NUMERIC_ACCELERATOR_MIX; ASSUMP_INFERENCE_SHARE_NOT_FACT_60; ASSUMP_WORKLOAD_CLASS_MIX; ASSUMP_AGENTIC_CONTEXT_PENALTY</t>
        </is>
      </c>
      <c r="L2041" s="3" t="inlineStr">
        <is>
          <t>Matched-workload generated-output benchmark for the provider purpose-built accelerator.</t>
        </is>
      </c>
    </row>
    <row r="2042">
      <c r="A2042" s="3" t="inlineStr">
        <is>
          <t>Tencent</t>
        </is>
      </c>
      <c r="B2042" s="3" t="n">
        <v>2029</v>
      </c>
      <c r="C2042" s="3" t="inlineStr">
        <is>
          <t>Base</t>
        </is>
      </c>
      <c r="D2042" s="3" t="inlineStr">
        <is>
          <t>inference_power_share</t>
        </is>
      </c>
      <c r="E2042" s="3" t="n">
        <v>0.75</v>
      </c>
      <c r="F2042" s="3" t="inlineStr">
        <is>
          <t>share of AI IT load</t>
        </is>
      </c>
      <c r="G2042" s="3" t="inlineStr">
        <is>
          <t>Scenario allocation</t>
        </is>
      </c>
      <c r="H2042" s="3" t="inlineStr">
        <is>
          <t>inference_gw = ai_it_load_gw * inference_power_share</t>
        </is>
      </c>
      <c r="I2042" s="3" t="inlineStr">
        <is>
          <t>Yuanbao and embedded product surfaces plus Hunyuan Turbo inference-cost direction support rising inference allocation.</t>
        </is>
      </c>
      <c r="J2042" s="3" t="inlineStr">
        <is>
          <t>SRC_TENCENT_HUNYUAN; SRC_TENCENT_HY3; SRC_TENCENT_AI_INFRA_MOE; SRC_EPOCH_AI_DATA_CENTERS; ASSUMP_INFERENCE_SHARE_NOT_FACT_60</t>
        </is>
      </c>
      <c r="K2042" s="3" t="inlineStr">
        <is>
          <t>ASSUMP_CN_CAPACITY_TRANSPARENCY; ASSUMP_APP_EMBEDDING; ASSUMP_NUMERIC_ACCELERATOR_MIX; ASSUMP_INFERENCE_SHARE_NOT_FACT_60; ASSUMP_WORKLOAD_CLASS_MIX; ASSUMP_AGENTIC_CONTEXT_PENALTY</t>
        </is>
      </c>
      <c r="L2042" s="3" t="inlineStr">
        <is>
          <t>Provider-specific inference/training workload power telemetry.</t>
        </is>
      </c>
    </row>
    <row r="2043">
      <c r="A2043" s="3" t="inlineStr">
        <is>
          <t>Tencent</t>
        </is>
      </c>
      <c r="B2043" s="3" t="n">
        <v>2029</v>
      </c>
      <c r="C2043" s="3" t="inlineStr">
        <is>
          <t>Base</t>
        </is>
      </c>
      <c r="D2043" s="3" t="inlineStr">
        <is>
          <t>inference_gw</t>
        </is>
      </c>
      <c r="E2043" s="3" t="n">
        <v>0.98</v>
      </c>
      <c r="F2043" s="3" t="inlineStr">
        <is>
          <t>GW</t>
        </is>
      </c>
      <c r="G2043" s="3" t="inlineStr">
        <is>
          <t>Derived formula</t>
        </is>
      </c>
      <c r="H2043" s="3" t="inlineStr">
        <is>
          <t>ai_it_load_gw * inference_power_share</t>
        </is>
      </c>
      <c r="I2043" s="3" t="inlineStr">
        <is>
          <t>This is the operational power eligible to become commercial generated output tokens through the selected TPS/MW proxy.</t>
        </is>
      </c>
      <c r="J2043" s="3" t="inlineStr">
        <is>
          <t>SRC_TENCENT_HUNYUAN; SRC_TENCENT_HY3; SRC_TENCENT_AI_INFRA_MOE; SRC_EPOCH_AI_DATA_CENTERS</t>
        </is>
      </c>
      <c r="K2043" s="3" t="inlineStr">
        <is>
          <t>ASSUMP_CN_CAPACITY_TRANSPARENCY; ASSUMP_APP_EMBEDDING; ASSUMP_NUMERIC_ACCELERATOR_MIX; ASSUMP_INFERENCE_SHARE_NOT_FACT_60; ASSUMP_WORKLOAD_CLASS_MIX; ASSUMP_AGENTIC_CONTEXT_PENALTY</t>
        </is>
      </c>
      <c r="L2043" s="3" t="inlineStr">
        <is>
          <t>Recompute after AI allocation or inference-share evidence changes.</t>
        </is>
      </c>
    </row>
    <row r="2044">
      <c r="A2044" s="3" t="inlineStr">
        <is>
          <t>Tencent</t>
        </is>
      </c>
      <c r="B2044" s="3" t="n">
        <v>2029</v>
      </c>
      <c r="C2044" s="3" t="inlineStr">
        <is>
          <t>Base</t>
        </is>
      </c>
      <c r="D2044" s="3" t="inlineStr">
        <is>
          <t>training_power_share</t>
        </is>
      </c>
      <c r="E2044" s="3" t="n">
        <v>0.25</v>
      </c>
      <c r="F2044" s="3" t="inlineStr">
        <is>
          <t>share of AI IT load</t>
        </is>
      </c>
      <c r="G2044" s="3" t="inlineStr">
        <is>
          <t>Derived allocation</t>
        </is>
      </c>
      <c r="H2044" s="3" t="inlineStr">
        <is>
          <t>1 - inference_power_share</t>
        </is>
      </c>
      <c r="I2044" s="3" t="inlineStr">
        <is>
          <t>Training receives the complementary modeled AI IT allocation; it is not a disclosed company workload split.</t>
        </is>
      </c>
      <c r="J2044" s="3" t="inlineStr">
        <is>
          <t>SRC_TENCENT_HUNYUAN; SRC_TENCENT_HY3; SRC_TENCENT_AI_INFRA_MOE; SRC_EPOCH_AI_DATA_CENTERS; ASSUMP_INFERENCE_SHARE_NOT_FACT_60</t>
        </is>
      </c>
      <c r="K2044" s="3" t="inlineStr">
        <is>
          <t>ASSUMP_CN_CAPACITY_TRANSPARENCY; ASSUMP_APP_EMBEDDING; ASSUMP_NUMERIC_ACCELERATOR_MIX; ASSUMP_INFERENCE_SHARE_NOT_FACT_60; ASSUMP_WORKLOAD_CLASS_MIX; ASSUMP_AGENTIC_CONTEXT_PENALTY</t>
        </is>
      </c>
      <c r="L2044" s="3" t="inlineStr">
        <is>
          <t>Provider-specific inference/training workload power telemetry.</t>
        </is>
      </c>
    </row>
    <row r="2045">
      <c r="A2045" s="3" t="inlineStr">
        <is>
          <t>Tencent</t>
        </is>
      </c>
      <c r="B2045" s="3" t="n">
        <v>2029</v>
      </c>
      <c r="C2045" s="3" t="inlineStr">
        <is>
          <t>Base</t>
        </is>
      </c>
      <c r="D2045" s="3" t="inlineStr">
        <is>
          <t>training_gw</t>
        </is>
      </c>
      <c r="E2045" s="3" t="n">
        <v>0.327</v>
      </c>
      <c r="F2045" s="3" t="inlineStr">
        <is>
          <t>GW</t>
        </is>
      </c>
      <c r="G2045" s="3" t="inlineStr">
        <is>
          <t>Derived formula</t>
        </is>
      </c>
      <c r="H2045" s="3" t="inlineStr">
        <is>
          <t>ai_it_load_gw * training_power_share</t>
        </is>
      </c>
      <c r="I2045" s="3" t="inlineStr">
        <is>
          <t>Training GW is shown separately so commercial inference token capacity is not overstated.</t>
        </is>
      </c>
      <c r="J2045" s="3" t="inlineStr">
        <is>
          <t>SRC_TENCENT_HUNYUAN; SRC_TENCENT_HY3; SRC_TENCENT_AI_INFRA_MOE; SRC_EPOCH_AI_DATA_CENTERS</t>
        </is>
      </c>
      <c r="K2045" s="3" t="inlineStr">
        <is>
          <t>ASSUMP_CN_CAPACITY_TRANSPARENCY; ASSUMP_APP_EMBEDDING; ASSUMP_NUMERIC_ACCELERATOR_MIX; ASSUMP_INFERENCE_SHARE_NOT_FACT_60; ASSUMP_WORKLOAD_CLASS_MIX; ASSUMP_AGENTIC_CONTEXT_PENALTY</t>
        </is>
      </c>
      <c r="L2045" s="3" t="inlineStr">
        <is>
          <t>Recompute after AI allocation or workload-split evidence changes.</t>
        </is>
      </c>
    </row>
    <row r="2046">
      <c r="A2046" s="3" t="inlineStr">
        <is>
          <t>Tencent</t>
        </is>
      </c>
      <c r="B2046" s="3" t="n">
        <v>2029</v>
      </c>
      <c r="C2046" s="3" t="inlineStr">
        <is>
          <t>Base</t>
        </is>
      </c>
      <c r="D2046" s="3" t="inlineStr">
        <is>
          <t>tokens_per_second_per_mw</t>
        </is>
      </c>
      <c r="E2046" s="3" t="n">
        <v>1879987</v>
      </c>
      <c r="F2046" s="3" t="inlineStr">
        <is>
          <t>generated output tokens/sec/MW</t>
        </is>
      </c>
      <c r="G2046" s="3" t="inlineStr">
        <is>
          <t>Derived estimate + benchmark calibration</t>
        </is>
      </c>
      <c r="H2046" s="3" t="inlineStr">
        <is>
          <t>fleet_reference_tps_per_mw * commercial_workload_fit_factor</t>
        </is>
      </c>
      <c r="I204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46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46" s="3" t="inlineStr">
        <is>
          <t>ASSUMP_CN_CAPACITY_TRANSPARENCY; ASSUMP_APP_EMBEDDING; ASSUMP_NUMERIC_ACCELERATOR_MIX; ASSUMP_INFERENCE_SHARE_NOT_FACT_60; ASSUMP_WORKLOAD_CLASS_MIX; ASSUMP_AGENTIC_CONTEXT_PENALTY</t>
        </is>
      </c>
      <c r="L2046" s="3" t="inlineStr">
        <is>
          <t>Comparable production output-token throughput with model, hardware, precision, ISL/OSL and SLO matched.</t>
        </is>
      </c>
    </row>
    <row r="2047">
      <c r="A2047" s="3" t="inlineStr">
        <is>
          <t>Tencent</t>
        </is>
      </c>
      <c r="B2047" s="3" t="n">
        <v>2029</v>
      </c>
      <c r="C2047" s="3" t="inlineStr">
        <is>
          <t>Base</t>
        </is>
      </c>
      <c r="D2047" s="3" t="inlineStr">
        <is>
          <t>inference_tokens_per_day</t>
        </is>
      </c>
      <c r="E2047" s="3" t="n">
        <v>159182259264000</v>
      </c>
      <c r="F2047" s="3" t="inlineStr">
        <is>
          <t>generated output tokens/day</t>
        </is>
      </c>
      <c r="G2047" s="3" t="inlineStr">
        <is>
          <t>Derived headline metric</t>
        </is>
      </c>
      <c r="H2047" s="3" t="inlineStr">
        <is>
          <t>inference_gw * 1000 * tokens_per_second_per_mw * 86,400</t>
        </is>
      </c>
      <c r="I2047" s="3" t="inlineStr">
        <is>
          <t>Headline capacity uses no utilization, MoE, architecture or software-growth multiplier; it is not observed commercial output volume.</t>
        </is>
      </c>
      <c r="J2047" s="3" t="inlineStr">
        <is>
          <t>SRC_TENCENT_HUNYUAN; SRC_TENCENT_HY3; SRC_TENCENT_AI_INFRA_MOE; SRC_EPOCH_AI_DATA_CENTERS; SRC_SEMIANALYSIS_INFERENCEX</t>
        </is>
      </c>
      <c r="K2047" s="3" t="inlineStr">
        <is>
          <t>ASSUMP_CN_CAPACITY_TRANSPARENCY; ASSUMP_APP_EMBEDDING; ASSUMP_NUMERIC_ACCELERATOR_MIX; ASSUMP_INFERENCE_SHARE_NOT_FACT_60; ASSUMP_WORKLOAD_CLASS_MIX; ASSUMP_AGENTIC_CONTEXT_PENALTY</t>
        </is>
      </c>
      <c r="L2047" s="3" t="inlineStr">
        <is>
          <t>Provider-disclosed generated output token volume or calibrated capacity telemetry.</t>
        </is>
      </c>
    </row>
    <row r="2048">
      <c r="A2048" s="3" t="inlineStr">
        <is>
          <t>Tencent</t>
        </is>
      </c>
      <c r="B2048" s="3" t="n">
        <v>2029</v>
      </c>
      <c r="C2048" s="3" t="inlineStr">
        <is>
          <t>Base</t>
        </is>
      </c>
      <c r="D2048" s="3" t="inlineStr">
        <is>
          <t>inference_tokens_per_year</t>
        </is>
      </c>
      <c r="E2048" s="3" t="n">
        <v>5.810152463136e+16</v>
      </c>
      <c r="F2048" s="3" t="inlineStr">
        <is>
          <t>generated output tokens/year</t>
        </is>
      </c>
      <c r="G2048" s="3" t="inlineStr">
        <is>
          <t>Derived headline metric</t>
        </is>
      </c>
      <c r="H2048" s="3" t="inlineStr">
        <is>
          <t>inference_tokens_per_day * 365</t>
        </is>
      </c>
      <c r="I2048" s="3" t="inlineStr">
        <is>
          <t>Annualized version of generated output token capacity; it is not observed annual demand or billable volume.</t>
        </is>
      </c>
      <c r="J2048" s="3" t="inlineStr">
        <is>
          <t>SRC_TENCENT_HUNYUAN; SRC_TENCENT_HY3; SRC_TENCENT_AI_INFRA_MOE; SRC_EPOCH_AI_DATA_CENTERS; SRC_SEMIANALYSIS_INFERENCEX</t>
        </is>
      </c>
      <c r="K2048" s="3" t="inlineStr">
        <is>
          <t>ASSUMP_CN_CAPACITY_TRANSPARENCY; ASSUMP_APP_EMBEDDING; ASSUMP_NUMERIC_ACCELERATOR_MIX; ASSUMP_INFERENCE_SHARE_NOT_FACT_60; ASSUMP_WORKLOAD_CLASS_MIX; ASSUMP_AGENTIC_CONTEXT_PENALTY</t>
        </is>
      </c>
      <c r="L2048" s="3" t="inlineStr">
        <is>
          <t>Provider-disclosed annual generated-output volume or metered serving telemetry.</t>
        </is>
      </c>
    </row>
    <row r="2049">
      <c r="A2049" s="3" t="inlineStr">
        <is>
          <t>Tencent</t>
        </is>
      </c>
      <c r="B2049" s="3" t="n">
        <v>2030</v>
      </c>
      <c r="C2049" s="3" t="inlineStr">
        <is>
          <t>Base</t>
        </is>
      </c>
      <c r="D2049" s="3" t="inlineStr">
        <is>
          <t>contracted_power_gw</t>
        </is>
      </c>
      <c r="E2049" s="3" t="n">
        <v>3</v>
      </c>
      <c r="F2049" s="3" t="inlineStr">
        <is>
          <t>GW</t>
        </is>
      </c>
      <c r="G2049" s="3" t="inlineStr">
        <is>
          <t>Scenario capacity envelope</t>
        </is>
      </c>
      <c r="H2049" s="3" t="inlineStr">
        <is>
          <t>linear interpolation between 2026 and 2030 company capacity endpoints</t>
        </is>
      </c>
      <c r="I2049" s="3" t="inlineStr">
        <is>
          <t>Tencent Cloud/Hunyuan capacity is a scenario envelope because operated model-serving GW is undisclosed.</t>
        </is>
      </c>
      <c r="J2049" s="3" t="inlineStr">
        <is>
          <t>SRC_TENCENT_AI_INFRA_MOE; ASSUMP_CN_CAPACITY_TRANSPARENCY</t>
        </is>
      </c>
      <c r="K2049" s="3" t="inlineStr">
        <is>
          <t>ASSUMP_CN_CAPACITY_TRANSPARENCY; ASSUMP_APP_EMBEDDING; ASSUMP_NUMERIC_ACCELERATOR_MIX; ASSUMP_INFERENCE_SHARE_NOT_FACT_60; ASSUMP_WORKLOAD_CLASS_MIX; ASSUMP_AGENTIC_CONTEXT_PENALTY</t>
        </is>
      </c>
      <c r="L2049" s="3" t="inlineStr">
        <is>
          <t>Company/site-level committed MW/GW, interconnect and contract disclosure.</t>
        </is>
      </c>
    </row>
    <row r="2050">
      <c r="A2050" s="3" t="inlineStr">
        <is>
          <t>Tencent</t>
        </is>
      </c>
      <c r="B2050" s="3" t="n">
        <v>2030</v>
      </c>
      <c r="C2050" s="3" t="inlineStr">
        <is>
          <t>Base</t>
        </is>
      </c>
      <c r="D2050" s="3" t="inlineStr">
        <is>
          <t>operational_deployment_share</t>
        </is>
      </c>
      <c r="E2050" s="3" t="n">
        <v>0.8</v>
      </c>
      <c r="F2050" s="3" t="inlineStr">
        <is>
          <t>share</t>
        </is>
      </c>
      <c r="G2050" s="3" t="inlineStr">
        <is>
          <t>Scenario conversion</t>
        </is>
      </c>
      <c r="H2050" s="3" t="inlineStr">
        <is>
          <t>active_power_gw / contracted_power_gw</t>
        </is>
      </c>
      <c r="I2050" s="3" t="inlineStr">
        <is>
          <t>This is the single explicit conversion from contracted/attributed capacity to operationally usable capacity.</t>
        </is>
      </c>
      <c r="J2050" s="3" t="inlineStr">
        <is>
          <t>SRC_TENCENT_AI_INFRA_MOE; ASSUMP_CN_CAPACITY_TRANSPARENCY</t>
        </is>
      </c>
      <c r="K2050" s="3" t="inlineStr">
        <is>
          <t>ASSUMP_CN_CAPACITY_TRANSPARENCY; ASSUMP_APP_EMBEDDING; ASSUMP_NUMERIC_ACCELERATOR_MIX; ASSUMP_INFERENCE_SHARE_NOT_FACT_60; ASSUMP_WORKLOAD_CLASS_MIX; ASSUMP_AGENTIC_CONTEXT_PENALTY</t>
        </is>
      </c>
      <c r="L2050" s="3" t="inlineStr">
        <is>
          <t>Energized operational capacity divided by contracted/attributed capacity.</t>
        </is>
      </c>
    </row>
    <row r="2051">
      <c r="A2051" s="3" t="inlineStr">
        <is>
          <t>Tencent</t>
        </is>
      </c>
      <c r="B2051" s="3" t="n">
        <v>2030</v>
      </c>
      <c r="C2051" s="3" t="inlineStr">
        <is>
          <t>Base</t>
        </is>
      </c>
      <c r="D2051" s="3" t="inlineStr">
        <is>
          <t>active_power_gw</t>
        </is>
      </c>
      <c r="E2051" s="3" t="n">
        <v>2.4</v>
      </c>
      <c r="F2051" s="3" t="inlineStr">
        <is>
          <t>GW</t>
        </is>
      </c>
      <c r="G2051" s="3" t="inlineStr">
        <is>
          <t>Derived scenario</t>
        </is>
      </c>
      <c r="H2051" s="3" t="inlineStr">
        <is>
          <t>contracted_power_gw * operational_deployment_share</t>
        </is>
      </c>
      <c r="I2051" s="3" t="inlineStr">
        <is>
          <t>Active GW reflects staged Hunyuan/Yuanbao adoption rather than a reported powered fleet.</t>
        </is>
      </c>
      <c r="J2051" s="3" t="inlineStr">
        <is>
          <t>SRC_TENCENT_AI_INFRA_MOE; ASSUMP_CN_CAPACITY_TRANSPARENCY</t>
        </is>
      </c>
      <c r="K2051" s="3" t="inlineStr">
        <is>
          <t>ASSUMP_CN_CAPACITY_TRANSPARENCY; ASSUMP_APP_EMBEDDING; ASSUMP_NUMERIC_ACCELERATOR_MIX; ASSUMP_INFERENCE_SHARE_NOT_FACT_60; ASSUMP_WORKLOAD_CLASS_MIX; ASSUMP_AGENTIC_CONTEXT_PENALTY</t>
        </is>
      </c>
      <c r="L2051" s="3" t="inlineStr">
        <is>
          <t>Energization dates, accelerator deliveries and operational powered-rack telemetry.</t>
        </is>
      </c>
    </row>
    <row r="2052">
      <c r="A2052" s="3" t="inlineStr">
        <is>
          <t>Tencent</t>
        </is>
      </c>
      <c r="B2052" s="3" t="n">
        <v>2030</v>
      </c>
      <c r="C2052" s="3" t="inlineStr">
        <is>
          <t>Base</t>
        </is>
      </c>
      <c r="D2052" s="3" t="inlineStr">
        <is>
          <t>pue</t>
        </is>
      </c>
      <c r="E2052" s="3" t="n">
        <v>1.23</v>
      </c>
      <c r="F2052" s="3" t="inlineStr">
        <is>
          <t>ratio</t>
        </is>
      </c>
      <c r="G2052" s="3" t="inlineStr">
        <is>
          <t>Scenario parameter</t>
        </is>
      </c>
      <c r="H2052" s="3" t="inlineStr">
        <is>
          <t>it_load_gw = active_power_gw / pue</t>
        </is>
      </c>
      <c r="I2052" s="3" t="inlineStr">
        <is>
          <t>No provider-wide site-level PUE is used as a disclosed fact; PUE represents facility-to-IT conversion within the scenario.</t>
        </is>
      </c>
      <c r="J2052" s="3" t="inlineStr">
        <is>
          <t>ASSUMP_POWER_RAMP</t>
        </is>
      </c>
      <c r="K2052" s="3" t="inlineStr">
        <is>
          <t>ASSUMP_CN_CAPACITY_TRANSPARENCY; ASSUMP_APP_EMBEDDING; ASSUMP_NUMERIC_ACCELERATOR_MIX; ASSUMP_INFERENCE_SHARE_NOT_FACT_60; ASSUMP_WORKLOAD_CLASS_MIX; ASSUMP_AGENTIC_CONTEXT_PENALTY</t>
        </is>
      </c>
      <c r="L2052" s="3" t="inlineStr">
        <is>
          <t>Site-level measured PUE matched to attributed AI capacity.</t>
        </is>
      </c>
    </row>
    <row r="2053">
      <c r="A2053" s="3" t="inlineStr">
        <is>
          <t>Tencent</t>
        </is>
      </c>
      <c r="B2053" s="3" t="n">
        <v>2030</v>
      </c>
      <c r="C2053" s="3" t="inlineStr">
        <is>
          <t>Base</t>
        </is>
      </c>
      <c r="D2053" s="3" t="inlineStr">
        <is>
          <t>it_load_gw</t>
        </is>
      </c>
      <c r="E2053" s="3" t="n">
        <v>1.951</v>
      </c>
      <c r="F2053" s="3" t="inlineStr">
        <is>
          <t>GW</t>
        </is>
      </c>
      <c r="G2053" s="3" t="inlineStr">
        <is>
          <t>Derived formula</t>
        </is>
      </c>
      <c r="H2053" s="3" t="inlineStr">
        <is>
          <t>active_power_gw / pue</t>
        </is>
      </c>
      <c r="I2053" s="3" t="inlineStr">
        <is>
          <t>Facility power is converted to IT-deliverable power before attributing AI workloads.</t>
        </is>
      </c>
      <c r="J2053" s="3" t="inlineStr">
        <is>
          <t>SRC_TENCENT_AI_INFRA_MOE; ASSUMP_CN_CAPACITY_TRANSPARENCY</t>
        </is>
      </c>
      <c r="K2053" s="3" t="inlineStr">
        <is>
          <t>ASSUMP_CN_CAPACITY_TRANSPARENCY; ASSUMP_APP_EMBEDDING; ASSUMP_NUMERIC_ACCELERATOR_MIX; ASSUMP_INFERENCE_SHARE_NOT_FACT_60; ASSUMP_WORKLOAD_CLASS_MIX; ASSUMP_AGENTIC_CONTEXT_PENALTY</t>
        </is>
      </c>
      <c r="L2053" s="3" t="inlineStr">
        <is>
          <t>Recompute once active power and PUE become site-observable.</t>
        </is>
      </c>
    </row>
    <row r="2054">
      <c r="A2054" s="3" t="inlineStr">
        <is>
          <t>Tencent</t>
        </is>
      </c>
      <c r="B2054" s="3" t="n">
        <v>2030</v>
      </c>
      <c r="C2054" s="3" t="inlineStr">
        <is>
          <t>Base</t>
        </is>
      </c>
      <c r="D2054" s="3" t="inlineStr">
        <is>
          <t>ai_workload_share</t>
        </is>
      </c>
      <c r="E2054" s="3" t="n">
        <v>0.84</v>
      </c>
      <c r="F2054" s="3" t="inlineStr">
        <is>
          <t>share</t>
        </is>
      </c>
      <c r="G2054" s="3" t="inlineStr">
        <is>
          <t>Scenario allocation</t>
        </is>
      </c>
      <c r="H2054" s="3" t="inlineStr">
        <is>
          <t>ai_it_load_gw = it_load_gw * ai_workload_share</t>
        </is>
      </c>
      <c r="I2054" s="3" t="inlineStr">
        <is>
          <t>Modeled Hunyuan-serving capacity is AI-focused; 84% excludes cloud/platform and reserve overhead.</t>
        </is>
      </c>
      <c r="J2054" s="3" t="inlineStr">
        <is>
          <t>SRC_TENCENT_HUNYUAN; SRC_TENCENT_HY3; SRC_TENCENT_AI_INFRA_MOE; SRC_EPOCH_AI_DATA_CENTERS</t>
        </is>
      </c>
      <c r="K2054" s="3" t="inlineStr">
        <is>
          <t>ASSUMP_CN_CAPACITY_TRANSPARENCY; ASSUMP_APP_EMBEDDING; ASSUMP_NUMERIC_ACCELERATOR_MIX; ASSUMP_INFERENCE_SHARE_NOT_FACT_60; ASSUMP_WORKLOAD_CLASS_MIX; ASSUMP_AGENTIC_CONTEXT_PENALTY</t>
        </is>
      </c>
      <c r="L2054" s="3" t="inlineStr">
        <is>
          <t>Model-owner AI workload allocation or cluster scheduling telemetry.</t>
        </is>
      </c>
    </row>
    <row r="2055">
      <c r="A2055" s="3" t="inlineStr">
        <is>
          <t>Tencent</t>
        </is>
      </c>
      <c r="B2055" s="3" t="n">
        <v>2030</v>
      </c>
      <c r="C2055" s="3" t="inlineStr">
        <is>
          <t>Base</t>
        </is>
      </c>
      <c r="D2055" s="3" t="inlineStr">
        <is>
          <t>ai_it_load_gw</t>
        </is>
      </c>
      <c r="E2055" s="3" t="n">
        <v>1.639</v>
      </c>
      <c r="F2055" s="3" t="inlineStr">
        <is>
          <t>GW</t>
        </is>
      </c>
      <c r="G2055" s="3" t="inlineStr">
        <is>
          <t>Derived formula</t>
        </is>
      </c>
      <c r="H2055" s="3" t="inlineStr">
        <is>
          <t>it_load_gw * ai_workload_share</t>
        </is>
      </c>
      <c r="I2055" s="3" t="inlineStr">
        <is>
          <t>Only the AI-attributed portion of IT load enters training/inference allocation.</t>
        </is>
      </c>
      <c r="J2055" s="3" t="inlineStr">
        <is>
          <t>SRC_TENCENT_HUNYUAN; SRC_TENCENT_HY3; SRC_TENCENT_AI_INFRA_MOE; SRC_EPOCH_AI_DATA_CENTERS</t>
        </is>
      </c>
      <c r="K2055" s="3" t="inlineStr">
        <is>
          <t>ASSUMP_CN_CAPACITY_TRANSPARENCY; ASSUMP_APP_EMBEDDING; ASSUMP_NUMERIC_ACCELERATOR_MIX; ASSUMP_INFERENCE_SHARE_NOT_FACT_60; ASSUMP_WORKLOAD_CLASS_MIX; ASSUMP_AGENTIC_CONTEXT_PENALTY</t>
        </is>
      </c>
      <c r="L2055" s="3" t="inlineStr">
        <is>
          <t>Recompute after ai_workload_share is replaced by telemetry.</t>
        </is>
      </c>
    </row>
    <row r="2056">
      <c r="A2056" s="3" t="inlineStr">
        <is>
          <t>Tencent</t>
        </is>
      </c>
      <c r="B2056" s="3" t="n">
        <v>2030</v>
      </c>
      <c r="C2056" s="3" t="inlineStr">
        <is>
          <t>Base</t>
        </is>
      </c>
      <c r="D2056" s="3" t="inlineStr">
        <is>
          <t>gpu_share</t>
        </is>
      </c>
      <c r="E2056" s="3" t="n">
        <v>1</v>
      </c>
      <c r="F2056" s="3" t="inlineStr">
        <is>
          <t>share of inference-serving accelerator load</t>
        </is>
      </c>
      <c r="G2056" s="3" t="inlineStr">
        <is>
          <t>Numeric scenario</t>
        </is>
      </c>
      <c r="H2056" s="3" t="inlineStr">
        <is>
          <t>gpu_share interpolated from company 2026/2030 accelerator-mix endpoints</t>
        </is>
      </c>
      <c r="I2056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056" s="3" t="inlineStr">
        <is>
          <t>SRC_TENCENT_HUNYUAN; SRC_TENCENT_HY3; SRC_TENCENT_AI_INFRA_MOE; SRC_EPOCH_AI_DATA_CENTERS; ASSUMP_NUMERIC_ACCELERATOR_MIX</t>
        </is>
      </c>
      <c r="K2056" s="3" t="inlineStr">
        <is>
          <t>ASSUMP_CN_CAPACITY_TRANSPARENCY; ASSUMP_APP_EMBEDDING; ASSUMP_NUMERIC_ACCELERATOR_MIX; ASSUMP_INFERENCE_SHARE_NOT_FACT_60; ASSUMP_WORKLOAD_CLASS_MIX; ASSUMP_AGENTIC_CONTEXT_PENALTY</t>
        </is>
      </c>
      <c r="L2056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2057">
      <c r="A2057" s="3" t="inlineStr">
        <is>
          <t>Tencent</t>
        </is>
      </c>
      <c r="B2057" s="3" t="n">
        <v>2030</v>
      </c>
      <c r="C2057" s="3" t="inlineStr">
        <is>
          <t>Base</t>
        </is>
      </c>
      <c r="D2057" s="3" t="inlineStr">
        <is>
          <t>h200_share</t>
        </is>
      </c>
      <c r="E2057" s="3" t="n">
        <v>0.1</v>
      </c>
      <c r="F2057" s="3" t="inlineStr">
        <is>
          <t>share of inference-serving accelerator load</t>
        </is>
      </c>
      <c r="G2057" s="3" t="inlineStr">
        <is>
          <t>Editable numeric scenario</t>
        </is>
      </c>
      <c r="H2057" s="3" t="inlineStr">
        <is>
          <t>h200_share = gpu_share * default_gpu_generation_mix_h200</t>
        </is>
      </c>
      <c r="I2057" s="3" t="inlineStr">
        <is>
          <t>Default GPU-generation migration assumption; executive workbook allows later manual replacement by company/year/scenario.</t>
        </is>
      </c>
      <c r="J2057" s="3" t="inlineStr">
        <is>
          <t>SRC_SEMIANALYSIS_INFERENCEX; ASSUMP_NUMERIC_ACCELERATOR_MIX</t>
        </is>
      </c>
      <c r="K2057" s="3" t="inlineStr">
        <is>
          <t>ASSUMP_CN_CAPACITY_TRANSPARENCY; ASSUMP_APP_EMBEDDING; ASSUMP_NUMERIC_ACCELERATOR_MIX; ASSUMP_INFERENCE_SHARE_NOT_FACT_60; ASSUMP_WORKLOAD_CLASS_MIX; ASSUMP_AGENTIC_CONTEXT_PENALTY</t>
        </is>
      </c>
      <c r="L2057" s="3" t="inlineStr">
        <is>
          <t>Company fleet inventory, accelerator-hours or procurement/deployment records by GPU generation.</t>
        </is>
      </c>
    </row>
    <row r="2058">
      <c r="A2058" s="3" t="inlineStr">
        <is>
          <t>Tencent</t>
        </is>
      </c>
      <c r="B2058" s="3" t="n">
        <v>2030</v>
      </c>
      <c r="C2058" s="3" t="inlineStr">
        <is>
          <t>Base</t>
        </is>
      </c>
      <c r="D2058" s="3" t="inlineStr">
        <is>
          <t>b200_share</t>
        </is>
      </c>
      <c r="E2058" s="3" t="n">
        <v>0.35</v>
      </c>
      <c r="F2058" s="3" t="inlineStr">
        <is>
          <t>share of inference-serving accelerator load</t>
        </is>
      </c>
      <c r="G2058" s="3" t="inlineStr">
        <is>
          <t>Editable numeric scenario</t>
        </is>
      </c>
      <c r="H2058" s="3" t="inlineStr">
        <is>
          <t>b200_share = gpu_share * default_gpu_generation_mix_b200</t>
        </is>
      </c>
      <c r="I2058" s="3" t="inlineStr">
        <is>
          <t>Default GPU-generation migration assumption; executive workbook allows later manual replacement by company/year/scenario.</t>
        </is>
      </c>
      <c r="J2058" s="3" t="inlineStr">
        <is>
          <t>SRC_SEMIANALYSIS_INFERENCEX; ASSUMP_NUMERIC_ACCELERATOR_MIX</t>
        </is>
      </c>
      <c r="K2058" s="3" t="inlineStr">
        <is>
          <t>ASSUMP_CN_CAPACITY_TRANSPARENCY; ASSUMP_APP_EMBEDDING; ASSUMP_NUMERIC_ACCELERATOR_MIX; ASSUMP_INFERENCE_SHARE_NOT_FACT_60; ASSUMP_WORKLOAD_CLASS_MIX; ASSUMP_AGENTIC_CONTEXT_PENALTY</t>
        </is>
      </c>
      <c r="L2058" s="3" t="inlineStr">
        <is>
          <t>Company fleet inventory, accelerator-hours or procurement/deployment records by GPU generation.</t>
        </is>
      </c>
    </row>
    <row r="2059">
      <c r="A2059" s="3" t="inlineStr">
        <is>
          <t>Tencent</t>
        </is>
      </c>
      <c r="B2059" s="3" t="n">
        <v>2030</v>
      </c>
      <c r="C2059" s="3" t="inlineStr">
        <is>
          <t>Base</t>
        </is>
      </c>
      <c r="D2059" s="3" t="inlineStr">
        <is>
          <t>gb200_share</t>
        </is>
      </c>
      <c r="E2059" s="3" t="n">
        <v>0.55</v>
      </c>
      <c r="F2059" s="3" t="inlineStr">
        <is>
          <t>share of inference-serving accelerator load</t>
        </is>
      </c>
      <c r="G2059" s="3" t="inlineStr">
        <is>
          <t>Editable numeric scenario</t>
        </is>
      </c>
      <c r="H2059" s="3" t="inlineStr">
        <is>
          <t>gb200_share = gpu_share * default_gpu_generation_mix_gb200</t>
        </is>
      </c>
      <c r="I2059" s="3" t="inlineStr">
        <is>
          <t>Default GPU-generation migration assumption; executive workbook allows later manual replacement by company/year/scenario.</t>
        </is>
      </c>
      <c r="J2059" s="3" t="inlineStr">
        <is>
          <t>SRC_SEMIANALYSIS_INFERENCEX; ASSUMP_NUMERIC_ACCELERATOR_MIX</t>
        </is>
      </c>
      <c r="K2059" s="3" t="inlineStr">
        <is>
          <t>ASSUMP_CN_CAPACITY_TRANSPARENCY; ASSUMP_APP_EMBEDDING; ASSUMP_NUMERIC_ACCELERATOR_MIX; ASSUMP_INFERENCE_SHARE_NOT_FACT_60; ASSUMP_WORKLOAD_CLASS_MIX; ASSUMP_AGENTIC_CONTEXT_PENALTY</t>
        </is>
      </c>
      <c r="L2059" s="3" t="inlineStr">
        <is>
          <t>Company fleet inventory, accelerator-hours or procurement/deployment records by GPU generation.</t>
        </is>
      </c>
    </row>
    <row r="2060">
      <c r="A2060" s="3" t="inlineStr">
        <is>
          <t>Tencent</t>
        </is>
      </c>
      <c r="B2060" s="3" t="n">
        <v>2030</v>
      </c>
      <c r="C2060" s="3" t="inlineStr">
        <is>
          <t>Base</t>
        </is>
      </c>
      <c r="D2060" s="3" t="inlineStr">
        <is>
          <t>purpose_built_accelerator_share</t>
        </is>
      </c>
      <c r="E2060" s="3" t="n">
        <v>0</v>
      </c>
      <c r="F2060" s="3" t="inlineStr">
        <is>
          <t>share of inference-serving accelerator load</t>
        </is>
      </c>
      <c r="G2060" s="3" t="inlineStr">
        <is>
          <t>Numeric scenario</t>
        </is>
      </c>
      <c r="H2060" s="3" t="inlineStr">
        <is>
          <t>1 - gpu_share</t>
        </is>
      </c>
      <c r="I2060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060" s="3" t="inlineStr">
        <is>
          <t>SRC_TENCENT_HUNYUAN; SRC_TENCENT_HY3; SRC_TENCENT_AI_INFRA_MOE; SRC_EPOCH_AI_DATA_CENTERS; ASSUMP_NUMERIC_ACCELERATOR_MIX</t>
        </is>
      </c>
      <c r="K2060" s="3" t="inlineStr">
        <is>
          <t>ASSUMP_CN_CAPACITY_TRANSPARENCY; ASSUMP_APP_EMBEDDING; ASSUMP_NUMERIC_ACCELERATOR_MIX; ASSUMP_INFERENCE_SHARE_NOT_FACT_60; ASSUMP_WORKLOAD_CLASS_MIX; ASSUMP_AGENTIC_CONTEXT_PENALTY</t>
        </is>
      </c>
      <c r="L2060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2061">
      <c r="A2061" s="3" t="inlineStr">
        <is>
          <t>Tencent</t>
        </is>
      </c>
      <c r="B2061" s="3" t="n">
        <v>2030</v>
      </c>
      <c r="C2061" s="3" t="inlineStr">
        <is>
          <t>Base</t>
        </is>
      </c>
      <c r="D2061" s="3" t="inlineStr">
        <is>
          <t>fleet_reference_tps_per_mw</t>
        </is>
      </c>
      <c r="E2061" s="3" t="n">
        <v>3392622</v>
      </c>
      <c r="F2061" s="3" t="inlineStr">
        <is>
          <t>generated output tokens/sec/MW</t>
        </is>
      </c>
      <c r="G2061" s="3" t="inlineStr">
        <is>
          <t>Fleet-weighted public benchmark reference</t>
        </is>
      </c>
      <c r="H2061" s="3" t="inlineStr">
        <is>
          <t>h200_share*h200_workload_avg + b200_share*b200_workload_avg + gb200_share*gb200_workload_avg + purpose_built_share*purpose_workload_avg</t>
        </is>
      </c>
      <c r="I206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61" s="3" t="inlineStr">
        <is>
          <t>SRC_SEMIANALYSIS_INFERENCEX; ASSUMP_NUMERIC_ACCELERATOR_MIX; ASSUMP_WORKLOAD_CLASS_MIX; ASSUMP_AGENTIC_CONTEXT_PENALTY</t>
        </is>
      </c>
      <c r="K2061" s="3" t="inlineStr">
        <is>
          <t>ASSUMP_CN_CAPACITY_TRANSPARENCY; ASSUMP_APP_EMBEDDING; ASSUMP_NUMERIC_ACCELERATOR_MIX; ASSUMP_INFERENCE_SHARE_NOT_FACT_60; ASSUMP_WORKLOAD_CLASS_MIX; ASSUMP_AGENTIC_CONTEXT_PENALTY</t>
        </is>
      </c>
      <c r="L2061" s="3" t="inlineStr">
        <is>
          <t>Comparable production output-token throughput or a more closely matched benchmark.</t>
        </is>
      </c>
    </row>
    <row r="2062">
      <c r="A2062" s="3" t="inlineStr">
        <is>
          <t>Tencent</t>
        </is>
      </c>
      <c r="B2062" s="3" t="n">
        <v>2030</v>
      </c>
      <c r="C2062" s="3" t="inlineStr">
        <is>
          <t>Base</t>
        </is>
      </c>
      <c r="D2062" s="3" t="inlineStr">
        <is>
          <t>commercial_workload_fit_factor</t>
        </is>
      </c>
      <c r="E2062" s="3" t="n">
        <v>0.6</v>
      </c>
      <c r="F2062" s="3" t="inlineStr">
        <is>
          <t>share of public reference throughput</t>
        </is>
      </c>
      <c r="G2062" s="3" t="inlineStr">
        <is>
          <t>Scenario assumption</t>
        </is>
      </c>
      <c r="H2062" s="3" t="inlineStr">
        <is>
          <t>reference_serving_tps_per_mw = fleet_reference_tps_per_mw * commercial_workload_fit_factor</t>
        </is>
      </c>
      <c r="I206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2062" s="3" t="inlineStr">
        <is>
          <t>SRC_SEMIANALYSIS_INFERENCEX; ASSUMP_NUMERIC_ACCELERATOR_MIX; ASSUMP_WORKLOAD_CLASS_MIX; ASSUMP_AGENTIC_CONTEXT_PENALTY</t>
        </is>
      </c>
      <c r="K2062" s="3" t="inlineStr">
        <is>
          <t>ASSUMP_CN_CAPACITY_TRANSPARENCY; ASSUMP_APP_EMBEDDING; ASSUMP_NUMERIC_ACCELERATOR_MIX; ASSUMP_INFERENCE_SHARE_NOT_FACT_60; ASSUMP_WORKLOAD_CLASS_MIX; ASSUMP_AGENTIC_CONTEXT_PENALTY</t>
        </is>
      </c>
      <c r="L2062" s="3" t="inlineStr">
        <is>
          <t>Matched commercial serving benchmark by product surface, context shape and latency SLO.</t>
        </is>
      </c>
    </row>
    <row r="2063">
      <c r="A2063" s="3" t="inlineStr">
        <is>
          <t>Tencent</t>
        </is>
      </c>
      <c r="B2063" s="3" t="n">
        <v>2030</v>
      </c>
      <c r="C2063" s="3" t="inlineStr">
        <is>
          <t>Base</t>
        </is>
      </c>
      <c r="D2063" s="3" t="inlineStr">
        <is>
          <t>reference_serving_tps_per_mw</t>
        </is>
      </c>
      <c r="E2063" s="3" t="n">
        <v>2035573</v>
      </c>
      <c r="F2063" s="3" t="inlineStr">
        <is>
          <t>generated output tokens/sec/MW</t>
        </is>
      </c>
      <c r="G2063" s="3" t="inlineStr">
        <is>
          <t>Workload-adjusted benchmark proxy</t>
        </is>
      </c>
      <c r="H2063" s="3" t="inlineStr">
        <is>
          <t>fleet_reference_tps_per_mw * commercial_workload_fit_factor</t>
        </is>
      </c>
      <c r="I2063" s="3" t="inlineStr">
        <is>
          <t>This is the coefficient used for headline token generation; each GPU's short chat, long chat and agentic TPS/MW are weighted before fleet mix and commercial fit are applied.</t>
        </is>
      </c>
      <c r="J2063" s="3" t="inlineStr">
        <is>
          <t>SRC_SEMIANALYSIS_INFERENCEX; ASSUMP_NUMERIC_ACCELERATOR_MIX; ASSUMP_WORKLOAD_CLASS_MIX; ASSUMP_AGENTIC_CONTEXT_PENALTY</t>
        </is>
      </c>
      <c r="K2063" s="3" t="inlineStr">
        <is>
          <t>ASSUMP_CN_CAPACITY_TRANSPARENCY; ASSUMP_APP_EMBEDDING; ASSUMP_NUMERIC_ACCELERATOR_MIX; ASSUMP_INFERENCE_SHARE_NOT_FACT_60; ASSUMP_WORKLOAD_CLASS_MIX; ASSUMP_AGENTIC_CONTEXT_PENALTY</t>
        </is>
      </c>
      <c r="L2063" s="3" t="inlineStr">
        <is>
          <t>Provider production output-token throughput with comparable workload/SLO.</t>
        </is>
      </c>
    </row>
    <row r="2064">
      <c r="A2064" s="3" t="inlineStr">
        <is>
          <t>Tencent</t>
        </is>
      </c>
      <c r="B2064" s="3" t="n">
        <v>2030</v>
      </c>
      <c r="C2064" s="3" t="inlineStr">
        <is>
          <t>Base</t>
        </is>
      </c>
      <c r="D2064" s="3" t="inlineStr">
        <is>
          <t>purpose_built_tps_per_mw</t>
        </is>
      </c>
      <c r="E2064" s="3" t="n">
        <v>2710180</v>
      </c>
      <c r="F2064" s="3" t="inlineStr">
        <is>
          <t>generated output tokens/sec/MW</t>
        </is>
      </c>
      <c r="G2064" s="3" t="inlineStr">
        <is>
          <t>Conservative no-uplift proxy</t>
        </is>
      </c>
      <c r="H2064" s="3" t="inlineStr">
        <is>
          <t>purpose_built_tps_per_mw = purpose_built_reference_tps_per_mw * commercial_workload_fit_factor until comparable output-token benchmark is adopted</t>
        </is>
      </c>
      <c r="I2064" s="3" t="inlineStr">
        <is>
          <t>No comparable public output-token/MW row adopted; B200 public reference placeholder is used and remains editable.</t>
        </is>
      </c>
      <c r="J2064" s="3" t="inlineStr">
        <is>
          <t>SRC_TENCENT_HUNYUAN; SRC_TENCENT_HY3; SRC_TENCENT_AI_INFRA_MOE; SRC_EPOCH_AI_DATA_CENTERS; ASSUMP_NUMERIC_ACCELERATOR_MIX</t>
        </is>
      </c>
      <c r="K2064" s="3" t="inlineStr">
        <is>
          <t>ASSUMP_CN_CAPACITY_TRANSPARENCY; ASSUMP_APP_EMBEDDING; ASSUMP_NUMERIC_ACCELERATOR_MIX; ASSUMP_INFERENCE_SHARE_NOT_FACT_60; ASSUMP_WORKLOAD_CLASS_MIX; ASSUMP_AGENTIC_CONTEXT_PENALTY</t>
        </is>
      </c>
      <c r="L2064" s="3" t="inlineStr">
        <is>
          <t>Matched-workload generated-output benchmark for the provider purpose-built accelerator.</t>
        </is>
      </c>
    </row>
    <row r="2065">
      <c r="A2065" s="3" t="inlineStr">
        <is>
          <t>Tencent</t>
        </is>
      </c>
      <c r="B2065" s="3" t="n">
        <v>2030</v>
      </c>
      <c r="C2065" s="3" t="inlineStr">
        <is>
          <t>Base</t>
        </is>
      </c>
      <c r="D2065" s="3" t="inlineStr">
        <is>
          <t>inference_power_share</t>
        </is>
      </c>
      <c r="E2065" s="3" t="n">
        <v>0.8</v>
      </c>
      <c r="F2065" s="3" t="inlineStr">
        <is>
          <t>share of AI IT load</t>
        </is>
      </c>
      <c r="G2065" s="3" t="inlineStr">
        <is>
          <t>Scenario allocation</t>
        </is>
      </c>
      <c r="H2065" s="3" t="inlineStr">
        <is>
          <t>inference_gw = ai_it_load_gw * inference_power_share</t>
        </is>
      </c>
      <c r="I2065" s="3" t="inlineStr">
        <is>
          <t>Yuanbao and embedded product surfaces plus Hunyuan Turbo inference-cost direction support rising inference allocation.</t>
        </is>
      </c>
      <c r="J2065" s="3" t="inlineStr">
        <is>
          <t>SRC_TENCENT_HUNYUAN; SRC_TENCENT_HY3; SRC_TENCENT_AI_INFRA_MOE; SRC_EPOCH_AI_DATA_CENTERS; ASSUMP_INFERENCE_SHARE_NOT_FACT_60</t>
        </is>
      </c>
      <c r="K2065" s="3" t="inlineStr">
        <is>
          <t>ASSUMP_CN_CAPACITY_TRANSPARENCY; ASSUMP_APP_EMBEDDING; ASSUMP_NUMERIC_ACCELERATOR_MIX; ASSUMP_INFERENCE_SHARE_NOT_FACT_60; ASSUMP_WORKLOAD_CLASS_MIX; ASSUMP_AGENTIC_CONTEXT_PENALTY</t>
        </is>
      </c>
      <c r="L2065" s="3" t="inlineStr">
        <is>
          <t>Provider-specific inference/training workload power telemetry.</t>
        </is>
      </c>
    </row>
    <row r="2066">
      <c r="A2066" s="3" t="inlineStr">
        <is>
          <t>Tencent</t>
        </is>
      </c>
      <c r="B2066" s="3" t="n">
        <v>2030</v>
      </c>
      <c r="C2066" s="3" t="inlineStr">
        <is>
          <t>Base</t>
        </is>
      </c>
      <c r="D2066" s="3" t="inlineStr">
        <is>
          <t>inference_gw</t>
        </is>
      </c>
      <c r="E2066" s="3" t="n">
        <v>1.311</v>
      </c>
      <c r="F2066" s="3" t="inlineStr">
        <is>
          <t>GW</t>
        </is>
      </c>
      <c r="G2066" s="3" t="inlineStr">
        <is>
          <t>Derived formula</t>
        </is>
      </c>
      <c r="H2066" s="3" t="inlineStr">
        <is>
          <t>ai_it_load_gw * inference_power_share</t>
        </is>
      </c>
      <c r="I2066" s="3" t="inlineStr">
        <is>
          <t>This is the operational power eligible to become commercial generated output tokens through the selected TPS/MW proxy.</t>
        </is>
      </c>
      <c r="J2066" s="3" t="inlineStr">
        <is>
          <t>SRC_TENCENT_HUNYUAN; SRC_TENCENT_HY3; SRC_TENCENT_AI_INFRA_MOE; SRC_EPOCH_AI_DATA_CENTERS</t>
        </is>
      </c>
      <c r="K2066" s="3" t="inlineStr">
        <is>
          <t>ASSUMP_CN_CAPACITY_TRANSPARENCY; ASSUMP_APP_EMBEDDING; ASSUMP_NUMERIC_ACCELERATOR_MIX; ASSUMP_INFERENCE_SHARE_NOT_FACT_60; ASSUMP_WORKLOAD_CLASS_MIX; ASSUMP_AGENTIC_CONTEXT_PENALTY</t>
        </is>
      </c>
      <c r="L2066" s="3" t="inlineStr">
        <is>
          <t>Recompute after AI allocation or inference-share evidence changes.</t>
        </is>
      </c>
    </row>
    <row r="2067">
      <c r="A2067" s="3" t="inlineStr">
        <is>
          <t>Tencent</t>
        </is>
      </c>
      <c r="B2067" s="3" t="n">
        <v>2030</v>
      </c>
      <c r="C2067" s="3" t="inlineStr">
        <is>
          <t>Base</t>
        </is>
      </c>
      <c r="D2067" s="3" t="inlineStr">
        <is>
          <t>training_power_share</t>
        </is>
      </c>
      <c r="E2067" s="3" t="n">
        <v>0.2</v>
      </c>
      <c r="F2067" s="3" t="inlineStr">
        <is>
          <t>share of AI IT load</t>
        </is>
      </c>
      <c r="G2067" s="3" t="inlineStr">
        <is>
          <t>Derived allocation</t>
        </is>
      </c>
      <c r="H2067" s="3" t="inlineStr">
        <is>
          <t>1 - inference_power_share</t>
        </is>
      </c>
      <c r="I2067" s="3" t="inlineStr">
        <is>
          <t>Training receives the complementary modeled AI IT allocation; it is not a disclosed company workload split.</t>
        </is>
      </c>
      <c r="J2067" s="3" t="inlineStr">
        <is>
          <t>SRC_TENCENT_HUNYUAN; SRC_TENCENT_HY3; SRC_TENCENT_AI_INFRA_MOE; SRC_EPOCH_AI_DATA_CENTERS; ASSUMP_INFERENCE_SHARE_NOT_FACT_60</t>
        </is>
      </c>
      <c r="K2067" s="3" t="inlineStr">
        <is>
          <t>ASSUMP_CN_CAPACITY_TRANSPARENCY; ASSUMP_APP_EMBEDDING; ASSUMP_NUMERIC_ACCELERATOR_MIX; ASSUMP_INFERENCE_SHARE_NOT_FACT_60; ASSUMP_WORKLOAD_CLASS_MIX; ASSUMP_AGENTIC_CONTEXT_PENALTY</t>
        </is>
      </c>
      <c r="L2067" s="3" t="inlineStr">
        <is>
          <t>Provider-specific inference/training workload power telemetry.</t>
        </is>
      </c>
    </row>
    <row r="2068">
      <c r="A2068" s="3" t="inlineStr">
        <is>
          <t>Tencent</t>
        </is>
      </c>
      <c r="B2068" s="3" t="n">
        <v>2030</v>
      </c>
      <c r="C2068" s="3" t="inlineStr">
        <is>
          <t>Base</t>
        </is>
      </c>
      <c r="D2068" s="3" t="inlineStr">
        <is>
          <t>training_gw</t>
        </is>
      </c>
      <c r="E2068" s="3" t="n">
        <v>0.328</v>
      </c>
      <c r="F2068" s="3" t="inlineStr">
        <is>
          <t>GW</t>
        </is>
      </c>
      <c r="G2068" s="3" t="inlineStr">
        <is>
          <t>Derived formula</t>
        </is>
      </c>
      <c r="H2068" s="3" t="inlineStr">
        <is>
          <t>ai_it_load_gw * training_power_share</t>
        </is>
      </c>
      <c r="I2068" s="3" t="inlineStr">
        <is>
          <t>Training GW is shown separately so commercial inference token capacity is not overstated.</t>
        </is>
      </c>
      <c r="J2068" s="3" t="inlineStr">
        <is>
          <t>SRC_TENCENT_HUNYUAN; SRC_TENCENT_HY3; SRC_TENCENT_AI_INFRA_MOE; SRC_EPOCH_AI_DATA_CENTERS</t>
        </is>
      </c>
      <c r="K2068" s="3" t="inlineStr">
        <is>
          <t>ASSUMP_CN_CAPACITY_TRANSPARENCY; ASSUMP_APP_EMBEDDING; ASSUMP_NUMERIC_ACCELERATOR_MIX; ASSUMP_INFERENCE_SHARE_NOT_FACT_60; ASSUMP_WORKLOAD_CLASS_MIX; ASSUMP_AGENTIC_CONTEXT_PENALTY</t>
        </is>
      </c>
      <c r="L2068" s="3" t="inlineStr">
        <is>
          <t>Recompute after AI allocation or workload-split evidence changes.</t>
        </is>
      </c>
    </row>
    <row r="2069">
      <c r="A2069" s="3" t="inlineStr">
        <is>
          <t>Tencent</t>
        </is>
      </c>
      <c r="B2069" s="3" t="n">
        <v>2030</v>
      </c>
      <c r="C2069" s="3" t="inlineStr">
        <is>
          <t>Base</t>
        </is>
      </c>
      <c r="D2069" s="3" t="inlineStr">
        <is>
          <t>tokens_per_second_per_mw</t>
        </is>
      </c>
      <c r="E2069" s="3" t="n">
        <v>2035573</v>
      </c>
      <c r="F2069" s="3" t="inlineStr">
        <is>
          <t>generated output tokens/sec/MW</t>
        </is>
      </c>
      <c r="G2069" s="3" t="inlineStr">
        <is>
          <t>Derived estimate + benchmark calibration</t>
        </is>
      </c>
      <c r="H2069" s="3" t="inlineStr">
        <is>
          <t>fleet_reference_tps_per_mw * commercial_workload_fit_factor</t>
        </is>
      </c>
      <c r="I206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2069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2069" s="3" t="inlineStr">
        <is>
          <t>ASSUMP_CN_CAPACITY_TRANSPARENCY; ASSUMP_APP_EMBEDDING; ASSUMP_NUMERIC_ACCELERATOR_MIX; ASSUMP_INFERENCE_SHARE_NOT_FACT_60; ASSUMP_WORKLOAD_CLASS_MIX; ASSUMP_AGENTIC_CONTEXT_PENALTY</t>
        </is>
      </c>
      <c r="L2069" s="3" t="inlineStr">
        <is>
          <t>Comparable production output-token throughput with model, hardware, precision, ISL/OSL and SLO matched.</t>
        </is>
      </c>
    </row>
    <row r="2070">
      <c r="A2070" s="3" t="inlineStr">
        <is>
          <t>Tencent</t>
        </is>
      </c>
      <c r="B2070" s="3" t="n">
        <v>2030</v>
      </c>
      <c r="C2070" s="3" t="inlineStr">
        <is>
          <t>Base</t>
        </is>
      </c>
      <c r="D2070" s="3" t="inlineStr">
        <is>
          <t>inference_tokens_per_day</t>
        </is>
      </c>
      <c r="E2070" s="3" t="n">
        <v>230570167939200</v>
      </c>
      <c r="F2070" s="3" t="inlineStr">
        <is>
          <t>generated output tokens/day</t>
        </is>
      </c>
      <c r="G2070" s="3" t="inlineStr">
        <is>
          <t>Derived headline metric</t>
        </is>
      </c>
      <c r="H2070" s="3" t="inlineStr">
        <is>
          <t>inference_gw * 1000 * tokens_per_second_per_mw * 86,400</t>
        </is>
      </c>
      <c r="I2070" s="3" t="inlineStr">
        <is>
          <t>Headline capacity uses no utilization, MoE, architecture or software-growth multiplier; it is not observed commercial output volume.</t>
        </is>
      </c>
      <c r="J2070" s="3" t="inlineStr">
        <is>
          <t>SRC_TENCENT_HUNYUAN; SRC_TENCENT_HY3; SRC_TENCENT_AI_INFRA_MOE; SRC_EPOCH_AI_DATA_CENTERS; SRC_SEMIANALYSIS_INFERENCEX</t>
        </is>
      </c>
      <c r="K2070" s="3" t="inlineStr">
        <is>
          <t>ASSUMP_CN_CAPACITY_TRANSPARENCY; ASSUMP_APP_EMBEDDING; ASSUMP_NUMERIC_ACCELERATOR_MIX; ASSUMP_INFERENCE_SHARE_NOT_FACT_60; ASSUMP_WORKLOAD_CLASS_MIX; ASSUMP_AGENTIC_CONTEXT_PENALTY</t>
        </is>
      </c>
      <c r="L2070" s="3" t="inlineStr">
        <is>
          <t>Provider-disclosed generated output token volume or calibrated capacity telemetry.</t>
        </is>
      </c>
    </row>
    <row r="2071">
      <c r="A2071" s="3" t="inlineStr">
        <is>
          <t>Tencent</t>
        </is>
      </c>
      <c r="B2071" s="3" t="n">
        <v>2030</v>
      </c>
      <c r="C2071" s="3" t="inlineStr">
        <is>
          <t>Base</t>
        </is>
      </c>
      <c r="D2071" s="3" t="inlineStr">
        <is>
          <t>inference_tokens_per_year</t>
        </is>
      </c>
      <c r="E2071" s="3" t="n">
        <v>8.4158111297808e+16</v>
      </c>
      <c r="F2071" s="3" t="inlineStr">
        <is>
          <t>generated output tokens/year</t>
        </is>
      </c>
      <c r="G2071" s="3" t="inlineStr">
        <is>
          <t>Derived headline metric</t>
        </is>
      </c>
      <c r="H2071" s="3" t="inlineStr">
        <is>
          <t>inference_tokens_per_day * 365</t>
        </is>
      </c>
      <c r="I2071" s="3" t="inlineStr">
        <is>
          <t>Annualized version of generated output token capacity; it is not observed annual demand or billable volume.</t>
        </is>
      </c>
      <c r="J2071" s="3" t="inlineStr">
        <is>
          <t>SRC_TENCENT_HUNYUAN; SRC_TENCENT_HY3; SRC_TENCENT_AI_INFRA_MOE; SRC_EPOCH_AI_DATA_CENTERS; SRC_SEMIANALYSIS_INFERENCEX</t>
        </is>
      </c>
      <c r="K2071" s="3" t="inlineStr">
        <is>
          <t>ASSUMP_CN_CAPACITY_TRANSPARENCY; ASSUMP_APP_EMBEDDING; ASSUMP_NUMERIC_ACCELERATOR_MIX; ASSUMP_INFERENCE_SHARE_NOT_FACT_60; ASSUMP_WORKLOAD_CLASS_MIX; ASSUMP_AGENTIC_CONTEXT_PENALTY</t>
        </is>
      </c>
      <c r="L2071" s="3" t="inlineStr">
        <is>
          <t>Provider-disclosed annual generated-output volume or metered serving telemetry.</t>
        </is>
      </c>
    </row>
    <row r="2072">
      <c r="A2072" s="3" t="inlineStr">
        <is>
          <t>Microsoft</t>
        </is>
      </c>
      <c r="B2072" s="3" t="n">
        <v>2026</v>
      </c>
      <c r="C2072" s="3" t="inlineStr">
        <is>
          <t>Bull</t>
        </is>
      </c>
      <c r="D2072" s="3" t="inlineStr">
        <is>
          <t>contracted_power_gw</t>
        </is>
      </c>
      <c r="E2072" s="3" t="n">
        <v>4</v>
      </c>
      <c r="F2072" s="3" t="inlineStr">
        <is>
          <t>GW</t>
        </is>
      </c>
      <c r="G2072" s="3" t="inlineStr">
        <is>
          <t>Scenario capacity envelope</t>
        </is>
      </c>
      <c r="H2072" s="3" t="inlineStr">
        <is>
          <t>linear interpolation between 2026 and 2030 company capacity endpoints</t>
        </is>
      </c>
      <c r="I2072" s="3" t="inlineStr">
        <is>
          <t>Scenario envelope for Microsoft-controlled/Copilot serving burden; not an official contracted-GW disclosure.</t>
        </is>
      </c>
      <c r="J2072" s="3" t="inlineStr">
        <is>
          <t>ASSUMP_POWER_RAMP; SRC_MS_MAIA200</t>
        </is>
      </c>
      <c r="K2072" s="3" t="inlineStr">
        <is>
          <t>ASSUMP_POWER_RAMP; ASSUMP_MS_OPENAI_ATTRIBUTION; ASSUMP_NUMERIC_ACCELERATOR_MIX; ASSUMP_INFERENCE_SHARE_NOT_FACT_60; ASSUMP_WORKLOAD_CLASS_MIX; ASSUMP_AGENTIC_CONTEXT_PENALTY</t>
        </is>
      </c>
      <c r="L2072" s="3" t="inlineStr">
        <is>
          <t>Company/site-level committed MW/GW, interconnect and contract disclosure.</t>
        </is>
      </c>
    </row>
    <row r="2073">
      <c r="A2073" s="3" t="inlineStr">
        <is>
          <t>Microsoft</t>
        </is>
      </c>
      <c r="B2073" s="3" t="n">
        <v>2026</v>
      </c>
      <c r="C2073" s="3" t="inlineStr">
        <is>
          <t>Bull</t>
        </is>
      </c>
      <c r="D2073" s="3" t="inlineStr">
        <is>
          <t>operational_deployment_share</t>
        </is>
      </c>
      <c r="E2073" s="3" t="n">
        <v>0.4725</v>
      </c>
      <c r="F2073" s="3" t="inlineStr">
        <is>
          <t>share</t>
        </is>
      </c>
      <c r="G2073" s="3" t="inlineStr">
        <is>
          <t>Scenario conversion</t>
        </is>
      </c>
      <c r="H2073" s="3" t="inlineStr">
        <is>
          <t>active_power_gw / contracted_power_gw</t>
        </is>
      </c>
      <c r="I2073" s="3" t="inlineStr">
        <is>
          <t>This is the single explicit conversion from contracted/attributed capacity to operationally usable capacity.</t>
        </is>
      </c>
      <c r="J2073" s="3" t="inlineStr">
        <is>
          <t>ASSUMP_POWER_RAMP; SRC_MS_MAIA200</t>
        </is>
      </c>
      <c r="K2073" s="3" t="inlineStr">
        <is>
          <t>ASSUMP_POWER_RAMP; ASSUMP_MS_OPENAI_ATTRIBUTION; ASSUMP_NUMERIC_ACCELERATOR_MIX; ASSUMP_INFERENCE_SHARE_NOT_FACT_60; ASSUMP_WORKLOAD_CLASS_MIX; ASSUMP_AGENTIC_CONTEXT_PENALTY</t>
        </is>
      </c>
      <c r="L2073" s="3" t="inlineStr">
        <is>
          <t>Energized operational capacity divided by contracted/attributed capacity.</t>
        </is>
      </c>
    </row>
    <row r="2074">
      <c r="A2074" s="3" t="inlineStr">
        <is>
          <t>Microsoft</t>
        </is>
      </c>
      <c r="B2074" s="3" t="n">
        <v>2026</v>
      </c>
      <c r="C2074" s="3" t="inlineStr">
        <is>
          <t>Bull</t>
        </is>
      </c>
      <c r="D2074" s="3" t="inlineStr">
        <is>
          <t>active_power_gw</t>
        </is>
      </c>
      <c r="E2074" s="3" t="n">
        <v>1.89</v>
      </c>
      <c r="F2074" s="3" t="inlineStr">
        <is>
          <t>GW</t>
        </is>
      </c>
      <c r="G2074" s="3" t="inlineStr">
        <is>
          <t>Derived scenario</t>
        </is>
      </c>
      <c r="H2074" s="3" t="inlineStr">
        <is>
          <t>contracted_power_gw * operational_deployment_share</t>
        </is>
      </c>
      <c r="I2074" s="3" t="inlineStr">
        <is>
          <t>Active GW is a staged operational deployment fraction of modeled capacity, reflecting site energization and accelerator availability.</t>
        </is>
      </c>
      <c r="J2074" s="3" t="inlineStr">
        <is>
          <t>ASSUMP_POWER_RAMP; SRC_MS_MAIA200</t>
        </is>
      </c>
      <c r="K2074" s="3" t="inlineStr">
        <is>
          <t>ASSUMP_POWER_RAMP; ASSUMP_MS_OPENAI_ATTRIBUTION; ASSUMP_NUMERIC_ACCELERATOR_MIX; ASSUMP_INFERENCE_SHARE_NOT_FACT_60; ASSUMP_WORKLOAD_CLASS_MIX; ASSUMP_AGENTIC_CONTEXT_PENALTY</t>
        </is>
      </c>
      <c r="L2074" s="3" t="inlineStr">
        <is>
          <t>Energization dates, accelerator deliveries and operational powered-rack telemetry.</t>
        </is>
      </c>
    </row>
    <row r="2075">
      <c r="A2075" s="3" t="inlineStr">
        <is>
          <t>Microsoft</t>
        </is>
      </c>
      <c r="B2075" s="3" t="n">
        <v>2026</v>
      </c>
      <c r="C2075" s="3" t="inlineStr">
        <is>
          <t>Bull</t>
        </is>
      </c>
      <c r="D2075" s="3" t="inlineStr">
        <is>
          <t>pue</t>
        </is>
      </c>
      <c r="E2075" s="3" t="n">
        <v>1.2</v>
      </c>
      <c r="F2075" s="3" t="inlineStr">
        <is>
          <t>ratio</t>
        </is>
      </c>
      <c r="G2075" s="3" t="inlineStr">
        <is>
          <t>Scenario parameter</t>
        </is>
      </c>
      <c r="H2075" s="3" t="inlineStr">
        <is>
          <t>it_load_gw = active_power_gw / pue</t>
        </is>
      </c>
      <c r="I2075" s="3" t="inlineStr">
        <is>
          <t>No provider-wide site-level PUE is used as a disclosed fact; PUE represents facility-to-IT conversion within the scenario.</t>
        </is>
      </c>
      <c r="J2075" s="3" t="inlineStr">
        <is>
          <t>ASSUMP_POWER_RAMP</t>
        </is>
      </c>
      <c r="K2075" s="3" t="inlineStr">
        <is>
          <t>ASSUMP_POWER_RAMP; ASSUMP_MS_OPENAI_ATTRIBUTION; ASSUMP_NUMERIC_ACCELERATOR_MIX; ASSUMP_INFERENCE_SHARE_NOT_FACT_60; ASSUMP_WORKLOAD_CLASS_MIX; ASSUMP_AGENTIC_CONTEXT_PENALTY</t>
        </is>
      </c>
      <c r="L2075" s="3" t="inlineStr">
        <is>
          <t>Site-level measured PUE matched to attributed AI capacity.</t>
        </is>
      </c>
    </row>
    <row r="2076">
      <c r="A2076" s="3" t="inlineStr">
        <is>
          <t>Microsoft</t>
        </is>
      </c>
      <c r="B2076" s="3" t="n">
        <v>2026</v>
      </c>
      <c r="C2076" s="3" t="inlineStr">
        <is>
          <t>Bull</t>
        </is>
      </c>
      <c r="D2076" s="3" t="inlineStr">
        <is>
          <t>it_load_gw</t>
        </is>
      </c>
      <c r="E2076" s="3" t="n">
        <v>1.575</v>
      </c>
      <c r="F2076" s="3" t="inlineStr">
        <is>
          <t>GW</t>
        </is>
      </c>
      <c r="G2076" s="3" t="inlineStr">
        <is>
          <t>Derived formula</t>
        </is>
      </c>
      <c r="H2076" s="3" t="inlineStr">
        <is>
          <t>active_power_gw / pue</t>
        </is>
      </c>
      <c r="I2076" s="3" t="inlineStr">
        <is>
          <t>Facility power is converted to IT-deliverable power before attributing AI workloads.</t>
        </is>
      </c>
      <c r="J2076" s="3" t="inlineStr">
        <is>
          <t>ASSUMP_POWER_RAMP; SRC_MS_MAIA200</t>
        </is>
      </c>
      <c r="K2076" s="3" t="inlineStr">
        <is>
          <t>ASSUMP_POWER_RAMP; ASSUMP_MS_OPENAI_ATTRIBUTION; ASSUMP_NUMERIC_ACCELERATOR_MIX; ASSUMP_INFERENCE_SHARE_NOT_FACT_60; ASSUMP_WORKLOAD_CLASS_MIX; ASSUMP_AGENTIC_CONTEXT_PENALTY</t>
        </is>
      </c>
      <c r="L2076" s="3" t="inlineStr">
        <is>
          <t>Recompute once active power and PUE become site-observable.</t>
        </is>
      </c>
    </row>
    <row r="2077">
      <c r="A2077" s="3" t="inlineStr">
        <is>
          <t>Microsoft</t>
        </is>
      </c>
      <c r="B2077" s="3" t="n">
        <v>2026</v>
      </c>
      <c r="C2077" s="3" t="inlineStr">
        <is>
          <t>Bull</t>
        </is>
      </c>
      <c r="D2077" s="3" t="inlineStr">
        <is>
          <t>ai_workload_share</t>
        </is>
      </c>
      <c r="E2077" s="3" t="n">
        <v>0.86</v>
      </c>
      <c r="F2077" s="3" t="inlineStr">
        <is>
          <t>share</t>
        </is>
      </c>
      <c r="G2077" s="3" t="inlineStr">
        <is>
          <t>Scenario allocation</t>
        </is>
      </c>
      <c r="H2077" s="3" t="inlineStr">
        <is>
          <t>ai_it_load_gw = it_load_gw * ai_workload_share</t>
        </is>
      </c>
      <c r="I2077" s="3" t="inlineStr">
        <is>
          <t>Azure/Copilot serving burden is AI-oriented but shares infrastructure with platform and reserve overhead; 86% is a scenario allocation.</t>
        </is>
      </c>
      <c r="J2077" s="3" t="inlineStr">
        <is>
          <t>SRC_MS_PHI; SRC_OPENAI_GPT41_DOCS; SRC_MS_PHI4_TECHREPORT; SRC_MS_MAIA200; SRC_EPOCH_AI_DATA_CENTERS</t>
        </is>
      </c>
      <c r="K2077" s="3" t="inlineStr">
        <is>
          <t>ASSUMP_POWER_RAMP; ASSUMP_MS_OPENAI_ATTRIBUTION; ASSUMP_NUMERIC_ACCELERATOR_MIX; ASSUMP_INFERENCE_SHARE_NOT_FACT_60; ASSUMP_WORKLOAD_CLASS_MIX; ASSUMP_AGENTIC_CONTEXT_PENALTY</t>
        </is>
      </c>
      <c r="L2077" s="3" t="inlineStr">
        <is>
          <t>Model-owner AI workload allocation or cluster scheduling telemetry.</t>
        </is>
      </c>
    </row>
    <row r="2078">
      <c r="A2078" s="3" t="inlineStr">
        <is>
          <t>Microsoft</t>
        </is>
      </c>
      <c r="B2078" s="3" t="n">
        <v>2026</v>
      </c>
      <c r="C2078" s="3" t="inlineStr">
        <is>
          <t>Bull</t>
        </is>
      </c>
      <c r="D2078" s="3" t="inlineStr">
        <is>
          <t>ai_it_load_gw</t>
        </is>
      </c>
      <c r="E2078" s="3" t="n">
        <v>1.355</v>
      </c>
      <c r="F2078" s="3" t="inlineStr">
        <is>
          <t>GW</t>
        </is>
      </c>
      <c r="G2078" s="3" t="inlineStr">
        <is>
          <t>Derived formula</t>
        </is>
      </c>
      <c r="H2078" s="3" t="inlineStr">
        <is>
          <t>it_load_gw * ai_workload_share</t>
        </is>
      </c>
      <c r="I2078" s="3" t="inlineStr">
        <is>
          <t>Only the AI-attributed portion of IT load enters training/inference allocation.</t>
        </is>
      </c>
      <c r="J2078" s="3" t="inlineStr">
        <is>
          <t>SRC_MS_PHI; SRC_OPENAI_GPT41_DOCS; SRC_MS_PHI4_TECHREPORT; SRC_MS_MAIA200; SRC_EPOCH_AI_DATA_CENTERS</t>
        </is>
      </c>
      <c r="K2078" s="3" t="inlineStr">
        <is>
          <t>ASSUMP_POWER_RAMP; ASSUMP_MS_OPENAI_ATTRIBUTION; ASSUMP_NUMERIC_ACCELERATOR_MIX; ASSUMP_INFERENCE_SHARE_NOT_FACT_60; ASSUMP_WORKLOAD_CLASS_MIX; ASSUMP_AGENTIC_CONTEXT_PENALTY</t>
        </is>
      </c>
      <c r="L2078" s="3" t="inlineStr">
        <is>
          <t>Recompute after ai_workload_share is replaced by telemetry.</t>
        </is>
      </c>
    </row>
    <row r="2079">
      <c r="A2079" s="3" t="inlineStr">
        <is>
          <t>Microsoft</t>
        </is>
      </c>
      <c r="B2079" s="3" t="n">
        <v>2026</v>
      </c>
      <c r="C2079" s="3" t="inlineStr">
        <is>
          <t>Bull</t>
        </is>
      </c>
      <c r="D2079" s="3" t="inlineStr">
        <is>
          <t>gpu_share</t>
        </is>
      </c>
      <c r="E2079" s="3" t="n">
        <v>1</v>
      </c>
      <c r="F2079" s="3" t="inlineStr">
        <is>
          <t>share of inference-serving accelerator load</t>
        </is>
      </c>
      <c r="G2079" s="3" t="inlineStr">
        <is>
          <t>Numeric scenario</t>
        </is>
      </c>
      <c r="H2079" s="3" t="inlineStr">
        <is>
          <t>gpu_share interpolated from company 2026/2030 accelerator-mix endpoints</t>
        </is>
      </c>
      <c r="I2079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079" s="3" t="inlineStr">
        <is>
          <t>SRC_MS_PHI; SRC_OPENAI_GPT41_DOCS; SRC_MS_PHI4_TECHREPORT; SRC_MS_MAIA200; SRC_EPOCH_AI_DATA_CENTERS; ASSUMP_NUMERIC_ACCELERATOR_MIX</t>
        </is>
      </c>
      <c r="K2079" s="3" t="inlineStr">
        <is>
          <t>ASSUMP_POWER_RAMP; ASSUMP_MS_OPENAI_ATTRIBUTION; ASSUMP_NUMERIC_ACCELERATOR_MIX; ASSUMP_INFERENCE_SHARE_NOT_FACT_60; ASSUMP_WORKLOAD_CLASS_MIX; ASSUMP_AGENTIC_CONTEXT_PENALTY</t>
        </is>
      </c>
      <c r="L2079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080">
      <c r="A2080" s="3" t="inlineStr">
        <is>
          <t>Microsoft</t>
        </is>
      </c>
      <c r="B2080" s="3" t="n">
        <v>2026</v>
      </c>
      <c r="C2080" s="3" t="inlineStr">
        <is>
          <t>Bull</t>
        </is>
      </c>
      <c r="D2080" s="3" t="inlineStr">
        <is>
          <t>h200_share</t>
        </is>
      </c>
      <c r="E2080" s="3" t="n">
        <v>0.07946300000000001</v>
      </c>
      <c r="F2080" s="3" t="inlineStr">
        <is>
          <t>share of inference-serving accelerator load</t>
        </is>
      </c>
      <c r="G2080" s="3" t="inlineStr">
        <is>
          <t>Editable numeric scenario</t>
        </is>
      </c>
      <c r="H2080" s="3" t="inlineStr">
        <is>
          <t>h200_share = gpu_share * default_gpu_generation_mix_h200</t>
        </is>
      </c>
      <c r="I2080" s="3" t="inlineStr">
        <is>
          <t>Default GPU-generation migration assumption; executive workbook allows later manual replacement by company/year/scenario.</t>
        </is>
      </c>
      <c r="J2080" s="3" t="inlineStr">
        <is>
          <t>SRC_SEMIANALYSIS_INFERENCEX; ASSUMP_NUMERIC_ACCELERATOR_MIX</t>
        </is>
      </c>
      <c r="K2080" s="3" t="inlineStr">
        <is>
          <t>ASSUMP_POWER_RAMP; ASSUMP_MS_OPENAI_ATTRIBUTION; ASSUMP_NUMERIC_ACCELERATOR_MIX; ASSUMP_INFERENCE_SHARE_NOT_FACT_60; ASSUMP_WORKLOAD_CLASS_MIX; ASSUMP_AGENTIC_CONTEXT_PENALTY</t>
        </is>
      </c>
      <c r="L2080" s="3" t="inlineStr">
        <is>
          <t>Company fleet inventory, accelerator-hours or procurement/deployment records by GPU generation.</t>
        </is>
      </c>
    </row>
    <row r="2081">
      <c r="A2081" s="3" t="inlineStr">
        <is>
          <t>Microsoft</t>
        </is>
      </c>
      <c r="B2081" s="3" t="n">
        <v>2026</v>
      </c>
      <c r="C2081" s="3" t="inlineStr">
        <is>
          <t>Bull</t>
        </is>
      </c>
      <c r="D2081" s="3" t="inlineStr">
        <is>
          <t>b200_share</t>
        </is>
      </c>
      <c r="E2081" s="3" t="n">
        <v>0.920537</v>
      </c>
      <c r="F2081" s="3" t="inlineStr">
        <is>
          <t>share of inference-serving accelerator load</t>
        </is>
      </c>
      <c r="G2081" s="3" t="inlineStr">
        <is>
          <t>Editable numeric scenario</t>
        </is>
      </c>
      <c r="H2081" s="3" t="inlineStr">
        <is>
          <t>b200_share = gpu_share * default_gpu_generation_mix_b200</t>
        </is>
      </c>
      <c r="I2081" s="3" t="inlineStr">
        <is>
          <t>Default GPU-generation migration assumption; executive workbook allows later manual replacement by company/year/scenario.</t>
        </is>
      </c>
      <c r="J2081" s="3" t="inlineStr">
        <is>
          <t>SRC_SEMIANALYSIS_INFERENCEX; ASSUMP_NUMERIC_ACCELERATOR_MIX</t>
        </is>
      </c>
      <c r="K2081" s="3" t="inlineStr">
        <is>
          <t>ASSUMP_POWER_RAMP; ASSUMP_MS_OPENAI_ATTRIBUTION; ASSUMP_NUMERIC_ACCELERATOR_MIX; ASSUMP_INFERENCE_SHARE_NOT_FACT_60; ASSUMP_WORKLOAD_CLASS_MIX; ASSUMP_AGENTIC_CONTEXT_PENALTY</t>
        </is>
      </c>
      <c r="L2081" s="3" t="inlineStr">
        <is>
          <t>Company fleet inventory, accelerator-hours or procurement/deployment records by GPU generation.</t>
        </is>
      </c>
    </row>
    <row r="2082">
      <c r="A2082" s="3" t="inlineStr">
        <is>
          <t>Microsoft</t>
        </is>
      </c>
      <c r="B2082" s="3" t="n">
        <v>2026</v>
      </c>
      <c r="C2082" s="3" t="inlineStr">
        <is>
          <t>Bull</t>
        </is>
      </c>
      <c r="D2082" s="3" t="inlineStr">
        <is>
          <t>gb200_share</t>
        </is>
      </c>
      <c r="E2082" s="3" t="n">
        <v>0</v>
      </c>
      <c r="F2082" s="3" t="inlineStr">
        <is>
          <t>share of inference-serving accelerator load</t>
        </is>
      </c>
      <c r="G2082" s="3" t="inlineStr">
        <is>
          <t>Editable numeric scenario</t>
        </is>
      </c>
      <c r="H2082" s="3" t="inlineStr">
        <is>
          <t>gb200_share = gpu_share * default_gpu_generation_mix_gb200</t>
        </is>
      </c>
      <c r="I2082" s="3" t="inlineStr">
        <is>
          <t>Default GPU-generation migration assumption; executive workbook allows later manual replacement by company/year/scenario.</t>
        </is>
      </c>
      <c r="J2082" s="3" t="inlineStr">
        <is>
          <t>SRC_SEMIANALYSIS_INFERENCEX; ASSUMP_NUMERIC_ACCELERATOR_MIX</t>
        </is>
      </c>
      <c r="K2082" s="3" t="inlineStr">
        <is>
          <t>ASSUMP_POWER_RAMP; ASSUMP_MS_OPENAI_ATTRIBUTION; ASSUMP_NUMERIC_ACCELERATOR_MIX; ASSUMP_INFERENCE_SHARE_NOT_FACT_60; ASSUMP_WORKLOAD_CLASS_MIX; ASSUMP_AGENTIC_CONTEXT_PENALTY</t>
        </is>
      </c>
      <c r="L2082" s="3" t="inlineStr">
        <is>
          <t>Company fleet inventory, accelerator-hours or procurement/deployment records by GPU generation.</t>
        </is>
      </c>
    </row>
    <row r="2083">
      <c r="A2083" s="3" t="inlineStr">
        <is>
          <t>Microsoft</t>
        </is>
      </c>
      <c r="B2083" s="3" t="n">
        <v>2026</v>
      </c>
      <c r="C2083" s="3" t="inlineStr">
        <is>
          <t>Bull</t>
        </is>
      </c>
      <c r="D2083" s="3" t="inlineStr">
        <is>
          <t>purpose_built_accelerator_share</t>
        </is>
      </c>
      <c r="E2083" s="3" t="n">
        <v>0</v>
      </c>
      <c r="F2083" s="3" t="inlineStr">
        <is>
          <t>share of inference-serving accelerator load</t>
        </is>
      </c>
      <c r="G2083" s="3" t="inlineStr">
        <is>
          <t>Numeric scenario</t>
        </is>
      </c>
      <c r="H2083" s="3" t="inlineStr">
        <is>
          <t>1 - gpu_share</t>
        </is>
      </c>
      <c r="I2083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083" s="3" t="inlineStr">
        <is>
          <t>SRC_MS_PHI; SRC_OPENAI_GPT41_DOCS; SRC_MS_PHI4_TECHREPORT; SRC_MS_MAIA200; SRC_EPOCH_AI_DATA_CENTERS; ASSUMP_NUMERIC_ACCELERATOR_MIX</t>
        </is>
      </c>
      <c r="K2083" s="3" t="inlineStr">
        <is>
          <t>ASSUMP_POWER_RAMP; ASSUMP_MS_OPENAI_ATTRIBUTION; ASSUMP_NUMERIC_ACCELERATOR_MIX; ASSUMP_INFERENCE_SHARE_NOT_FACT_60; ASSUMP_WORKLOAD_CLASS_MIX; ASSUMP_AGENTIC_CONTEXT_PENALTY</t>
        </is>
      </c>
      <c r="L2083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084">
      <c r="A2084" s="3" t="inlineStr">
        <is>
          <t>Microsoft</t>
        </is>
      </c>
      <c r="B2084" s="3" t="n">
        <v>2026</v>
      </c>
      <c r="C2084" s="3" t="inlineStr">
        <is>
          <t>Bull</t>
        </is>
      </c>
      <c r="D2084" s="3" t="inlineStr">
        <is>
          <t>fleet_reference_tps_per_mw</t>
        </is>
      </c>
      <c r="E2084" s="3" t="n">
        <v>2753112</v>
      </c>
      <c r="F2084" s="3" t="inlineStr">
        <is>
          <t>generated output tokens/sec/MW</t>
        </is>
      </c>
      <c r="G2084" s="3" t="inlineStr">
        <is>
          <t>Fleet-weighted public benchmark reference</t>
        </is>
      </c>
      <c r="H2084" s="3" t="inlineStr">
        <is>
          <t>h200_share*h200_workload_avg + b200_share*b200_workload_avg + gb200_share*gb200_workload_avg + purpose_built_share*purpose_workload_avg</t>
        </is>
      </c>
      <c r="I208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084" s="3" t="inlineStr">
        <is>
          <t>SRC_SEMIANALYSIS_INFERENCEX; ASSUMP_NUMERIC_ACCELERATOR_MIX; ASSUMP_WORKLOAD_CLASS_MIX; ASSUMP_AGENTIC_CONTEXT_PENALTY</t>
        </is>
      </c>
      <c r="K2084" s="3" t="inlineStr">
        <is>
          <t>ASSUMP_POWER_RAMP; ASSUMP_MS_OPENAI_ATTRIBUTION; ASSUMP_NUMERIC_ACCELERATOR_MIX; ASSUMP_INFERENCE_SHARE_NOT_FACT_60; ASSUMP_WORKLOAD_CLASS_MIX; ASSUMP_AGENTIC_CONTEXT_PENALTY</t>
        </is>
      </c>
      <c r="L2084" s="3" t="inlineStr">
        <is>
          <t>Comparable production output-token throughput or a more closely matched benchmark.</t>
        </is>
      </c>
    </row>
    <row r="2085">
      <c r="A2085" s="3" t="inlineStr">
        <is>
          <t>Microsoft</t>
        </is>
      </c>
      <c r="B2085" s="3" t="n">
        <v>2026</v>
      </c>
      <c r="C2085" s="3" t="inlineStr">
        <is>
          <t>Bull</t>
        </is>
      </c>
      <c r="D2085" s="3" t="inlineStr">
        <is>
          <t>commercial_workload_fit_factor</t>
        </is>
      </c>
      <c r="E2085" s="3" t="n">
        <v>0.8</v>
      </c>
      <c r="F2085" s="3" t="inlineStr">
        <is>
          <t>share of public reference throughput</t>
        </is>
      </c>
      <c r="G2085" s="3" t="inlineStr">
        <is>
          <t>Scenario assumption</t>
        </is>
      </c>
      <c r="H2085" s="3" t="inlineStr">
        <is>
          <t>reference_serving_tps_per_mw = fleet_reference_tps_per_mw * commercial_workload_fit_factor</t>
        </is>
      </c>
      <c r="I2085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085" s="3" t="inlineStr">
        <is>
          <t>SRC_SEMIANALYSIS_INFERENCEX; ASSUMP_NUMERIC_ACCELERATOR_MIX; ASSUMP_WORKLOAD_CLASS_MIX; ASSUMP_AGENTIC_CONTEXT_PENALTY</t>
        </is>
      </c>
      <c r="K2085" s="3" t="inlineStr">
        <is>
          <t>ASSUMP_POWER_RAMP; ASSUMP_MS_OPENAI_ATTRIBUTION; ASSUMP_NUMERIC_ACCELERATOR_MIX; ASSUMP_INFERENCE_SHARE_NOT_FACT_60; ASSUMP_WORKLOAD_CLASS_MIX; ASSUMP_AGENTIC_CONTEXT_PENALTY</t>
        </is>
      </c>
      <c r="L2085" s="3" t="inlineStr">
        <is>
          <t>Matched commercial serving benchmark by product surface, context shape and latency SLO.</t>
        </is>
      </c>
    </row>
    <row r="2086">
      <c r="A2086" s="3" t="inlineStr">
        <is>
          <t>Microsoft</t>
        </is>
      </c>
      <c r="B2086" s="3" t="n">
        <v>2026</v>
      </c>
      <c r="C2086" s="3" t="inlineStr">
        <is>
          <t>Bull</t>
        </is>
      </c>
      <c r="D2086" s="3" t="inlineStr">
        <is>
          <t>reference_serving_tps_per_mw</t>
        </is>
      </c>
      <c r="E2086" s="3" t="n">
        <v>2202490</v>
      </c>
      <c r="F2086" s="3" t="inlineStr">
        <is>
          <t>generated output tokens/sec/MW</t>
        </is>
      </c>
      <c r="G2086" s="3" t="inlineStr">
        <is>
          <t>Workload-adjusted benchmark proxy</t>
        </is>
      </c>
      <c r="H2086" s="3" t="inlineStr">
        <is>
          <t>fleet_reference_tps_per_mw * commercial_workload_fit_factor</t>
        </is>
      </c>
      <c r="I2086" s="3" t="inlineStr">
        <is>
          <t>This is the coefficient used for headline token generation; each GPU's short chat, long chat and agentic TPS/MW are weighted before fleet mix and commercial fit are applied.</t>
        </is>
      </c>
      <c r="J2086" s="3" t="inlineStr">
        <is>
          <t>SRC_SEMIANALYSIS_INFERENCEX; ASSUMP_NUMERIC_ACCELERATOR_MIX; ASSUMP_WORKLOAD_CLASS_MIX; ASSUMP_AGENTIC_CONTEXT_PENALTY</t>
        </is>
      </c>
      <c r="K2086" s="3" t="inlineStr">
        <is>
          <t>ASSUMP_POWER_RAMP; ASSUMP_MS_OPENAI_ATTRIBUTION; ASSUMP_NUMERIC_ACCELERATOR_MIX; ASSUMP_INFERENCE_SHARE_NOT_FACT_60; ASSUMP_WORKLOAD_CLASS_MIX; ASSUMP_AGENTIC_CONTEXT_PENALTY</t>
        </is>
      </c>
      <c r="L2086" s="3" t="inlineStr">
        <is>
          <t>Provider production output-token throughput with comparable workload/SLO.</t>
        </is>
      </c>
    </row>
    <row r="2087">
      <c r="A2087" s="3" t="inlineStr">
        <is>
          <t>Microsoft</t>
        </is>
      </c>
      <c r="B2087" s="3" t="n">
        <v>2026</v>
      </c>
      <c r="C2087" s="3" t="inlineStr">
        <is>
          <t>Bull</t>
        </is>
      </c>
      <c r="D2087" s="3" t="inlineStr">
        <is>
          <t>purpose_built_tps_per_mw</t>
        </is>
      </c>
      <c r="E2087" s="3" t="n">
        <v>3613574</v>
      </c>
      <c r="F2087" s="3" t="inlineStr">
        <is>
          <t>generated output tokens/sec/MW</t>
        </is>
      </c>
      <c r="G2087" s="3" t="inlineStr">
        <is>
          <t>Conservative no-uplift proxy</t>
        </is>
      </c>
      <c r="H2087" s="3" t="inlineStr">
        <is>
          <t>purpose_built_tps_per_mw = purpose_built_reference_tps_per_mw * commercial_workload_fit_factor until comparable output-token benchmark is adopted</t>
        </is>
      </c>
      <c r="I2087" s="3" t="inlineStr">
        <is>
          <t>No comparable public output-token/MW row adopted; B200 public reference placeholder is used and remains editable.</t>
        </is>
      </c>
      <c r="J2087" s="3" t="inlineStr">
        <is>
          <t>SRC_MS_PHI; SRC_OPENAI_GPT41_DOCS; SRC_MS_PHI4_TECHREPORT; SRC_MS_MAIA200; SRC_EPOCH_AI_DATA_CENTERS; ASSUMP_NUMERIC_ACCELERATOR_MIX</t>
        </is>
      </c>
      <c r="K2087" s="3" t="inlineStr">
        <is>
          <t>ASSUMP_POWER_RAMP; ASSUMP_MS_OPENAI_ATTRIBUTION; ASSUMP_NUMERIC_ACCELERATOR_MIX; ASSUMP_INFERENCE_SHARE_NOT_FACT_60; ASSUMP_WORKLOAD_CLASS_MIX; ASSUMP_AGENTIC_CONTEXT_PENALTY</t>
        </is>
      </c>
      <c r="L2087" s="3" t="inlineStr">
        <is>
          <t>Matched-workload generated-output benchmark for the provider purpose-built accelerator.</t>
        </is>
      </c>
    </row>
    <row r="2088">
      <c r="A2088" s="3" t="inlineStr">
        <is>
          <t>Microsoft</t>
        </is>
      </c>
      <c r="B2088" s="3" t="n">
        <v>2026</v>
      </c>
      <c r="C2088" s="3" t="inlineStr">
        <is>
          <t>Bull</t>
        </is>
      </c>
      <c r="D2088" s="3" t="inlineStr">
        <is>
          <t>inference_power_share</t>
        </is>
      </c>
      <c r="E2088" s="3" t="n">
        <v>0.6</v>
      </c>
      <c r="F2088" s="3" t="inlineStr">
        <is>
          <t>share of AI IT load</t>
        </is>
      </c>
      <c r="G2088" s="3" t="inlineStr">
        <is>
          <t>Scenario allocation</t>
        </is>
      </c>
      <c r="H2088" s="3" t="inlineStr">
        <is>
          <t>inference_gw = ai_it_load_gw * inference_power_share</t>
        </is>
      </c>
      <c r="I2088" s="3" t="inlineStr">
        <is>
          <t>Copilot commercial serving growth supports rising inference allocation; OpenAI model-owner output must remain separately attributed.</t>
        </is>
      </c>
      <c r="J2088" s="3" t="inlineStr">
        <is>
          <t>SRC_MS_PHI; SRC_OPENAI_GPT41_DOCS; SRC_MS_PHI4_TECHREPORT; SRC_MS_MAIA200; SRC_EPOCH_AI_DATA_CENTERS; ASSUMP_INFERENCE_SHARE_NOT_FACT_60</t>
        </is>
      </c>
      <c r="K2088" s="3" t="inlineStr">
        <is>
          <t>ASSUMP_POWER_RAMP; ASSUMP_MS_OPENAI_ATTRIBUTION; ASSUMP_NUMERIC_ACCELERATOR_MIX; ASSUMP_INFERENCE_SHARE_NOT_FACT_60; ASSUMP_WORKLOAD_CLASS_MIX; ASSUMP_AGENTIC_CONTEXT_PENALTY</t>
        </is>
      </c>
      <c r="L2088" s="3" t="inlineStr">
        <is>
          <t>Provider-specific inference/training workload power telemetry.</t>
        </is>
      </c>
    </row>
    <row r="2089">
      <c r="A2089" s="3" t="inlineStr">
        <is>
          <t>Microsoft</t>
        </is>
      </c>
      <c r="B2089" s="3" t="n">
        <v>2026</v>
      </c>
      <c r="C2089" s="3" t="inlineStr">
        <is>
          <t>Bull</t>
        </is>
      </c>
      <c r="D2089" s="3" t="inlineStr">
        <is>
          <t>inference_gw</t>
        </is>
      </c>
      <c r="E2089" s="3" t="n">
        <v>0.8129999999999999</v>
      </c>
      <c r="F2089" s="3" t="inlineStr">
        <is>
          <t>GW</t>
        </is>
      </c>
      <c r="G2089" s="3" t="inlineStr">
        <is>
          <t>Derived formula</t>
        </is>
      </c>
      <c r="H2089" s="3" t="inlineStr">
        <is>
          <t>ai_it_load_gw * inference_power_share</t>
        </is>
      </c>
      <c r="I2089" s="3" t="inlineStr">
        <is>
          <t>This is the operational power eligible to become commercial generated output tokens through the selected TPS/MW proxy.</t>
        </is>
      </c>
      <c r="J2089" s="3" t="inlineStr">
        <is>
          <t>SRC_MS_PHI; SRC_OPENAI_GPT41_DOCS; SRC_MS_PHI4_TECHREPORT; SRC_MS_MAIA200; SRC_EPOCH_AI_DATA_CENTERS</t>
        </is>
      </c>
      <c r="K2089" s="3" t="inlineStr">
        <is>
          <t>ASSUMP_POWER_RAMP; ASSUMP_MS_OPENAI_ATTRIBUTION; ASSUMP_NUMERIC_ACCELERATOR_MIX; ASSUMP_INFERENCE_SHARE_NOT_FACT_60; ASSUMP_WORKLOAD_CLASS_MIX; ASSUMP_AGENTIC_CONTEXT_PENALTY</t>
        </is>
      </c>
      <c r="L2089" s="3" t="inlineStr">
        <is>
          <t>Recompute after AI allocation or inference-share evidence changes.</t>
        </is>
      </c>
    </row>
    <row r="2090">
      <c r="A2090" s="3" t="inlineStr">
        <is>
          <t>Microsoft</t>
        </is>
      </c>
      <c r="B2090" s="3" t="n">
        <v>2026</v>
      </c>
      <c r="C2090" s="3" t="inlineStr">
        <is>
          <t>Bull</t>
        </is>
      </c>
      <c r="D2090" s="3" t="inlineStr">
        <is>
          <t>training_power_share</t>
        </is>
      </c>
      <c r="E2090" s="3" t="n">
        <v>0.4</v>
      </c>
      <c r="F2090" s="3" t="inlineStr">
        <is>
          <t>share of AI IT load</t>
        </is>
      </c>
      <c r="G2090" s="3" t="inlineStr">
        <is>
          <t>Derived allocation</t>
        </is>
      </c>
      <c r="H2090" s="3" t="inlineStr">
        <is>
          <t>1 - inference_power_share</t>
        </is>
      </c>
      <c r="I2090" s="3" t="inlineStr">
        <is>
          <t>Training receives the complementary modeled AI IT allocation; it is not a disclosed company workload split.</t>
        </is>
      </c>
      <c r="J2090" s="3" t="inlineStr">
        <is>
          <t>SRC_MS_PHI; SRC_OPENAI_GPT41_DOCS; SRC_MS_PHI4_TECHREPORT; SRC_MS_MAIA200; SRC_EPOCH_AI_DATA_CENTERS; ASSUMP_INFERENCE_SHARE_NOT_FACT_60</t>
        </is>
      </c>
      <c r="K2090" s="3" t="inlineStr">
        <is>
          <t>ASSUMP_POWER_RAMP; ASSUMP_MS_OPENAI_ATTRIBUTION; ASSUMP_NUMERIC_ACCELERATOR_MIX; ASSUMP_INFERENCE_SHARE_NOT_FACT_60; ASSUMP_WORKLOAD_CLASS_MIX; ASSUMP_AGENTIC_CONTEXT_PENALTY</t>
        </is>
      </c>
      <c r="L2090" s="3" t="inlineStr">
        <is>
          <t>Provider-specific inference/training workload power telemetry.</t>
        </is>
      </c>
    </row>
    <row r="2091">
      <c r="A2091" s="3" t="inlineStr">
        <is>
          <t>Microsoft</t>
        </is>
      </c>
      <c r="B2091" s="3" t="n">
        <v>2026</v>
      </c>
      <c r="C2091" s="3" t="inlineStr">
        <is>
          <t>Bull</t>
        </is>
      </c>
      <c r="D2091" s="3" t="inlineStr">
        <is>
          <t>training_gw</t>
        </is>
      </c>
      <c r="E2091" s="3" t="n">
        <v>0.542</v>
      </c>
      <c r="F2091" s="3" t="inlineStr">
        <is>
          <t>GW</t>
        </is>
      </c>
      <c r="G2091" s="3" t="inlineStr">
        <is>
          <t>Derived formula</t>
        </is>
      </c>
      <c r="H2091" s="3" t="inlineStr">
        <is>
          <t>ai_it_load_gw * training_power_share</t>
        </is>
      </c>
      <c r="I2091" s="3" t="inlineStr">
        <is>
          <t>Training GW is shown separately so commercial inference token capacity is not overstated.</t>
        </is>
      </c>
      <c r="J2091" s="3" t="inlineStr">
        <is>
          <t>SRC_MS_PHI; SRC_OPENAI_GPT41_DOCS; SRC_MS_PHI4_TECHREPORT; SRC_MS_MAIA200; SRC_EPOCH_AI_DATA_CENTERS</t>
        </is>
      </c>
      <c r="K2091" s="3" t="inlineStr">
        <is>
          <t>ASSUMP_POWER_RAMP; ASSUMP_MS_OPENAI_ATTRIBUTION; ASSUMP_NUMERIC_ACCELERATOR_MIX; ASSUMP_INFERENCE_SHARE_NOT_FACT_60; ASSUMP_WORKLOAD_CLASS_MIX; ASSUMP_AGENTIC_CONTEXT_PENALTY</t>
        </is>
      </c>
      <c r="L2091" s="3" t="inlineStr">
        <is>
          <t>Recompute after AI allocation or workload-split evidence changes.</t>
        </is>
      </c>
    </row>
    <row r="2092">
      <c r="A2092" s="3" t="inlineStr">
        <is>
          <t>Microsoft</t>
        </is>
      </c>
      <c r="B2092" s="3" t="n">
        <v>2026</v>
      </c>
      <c r="C2092" s="3" t="inlineStr">
        <is>
          <t>Bull</t>
        </is>
      </c>
      <c r="D2092" s="3" t="inlineStr">
        <is>
          <t>tokens_per_second_per_mw</t>
        </is>
      </c>
      <c r="E2092" s="3" t="n">
        <v>2202490</v>
      </c>
      <c r="F2092" s="3" t="inlineStr">
        <is>
          <t>generated output tokens/sec/MW</t>
        </is>
      </c>
      <c r="G2092" s="3" t="inlineStr">
        <is>
          <t>Derived estimate + benchmark calibration</t>
        </is>
      </c>
      <c r="H2092" s="3" t="inlineStr">
        <is>
          <t>fleet_reference_tps_per_mw * commercial_workload_fit_factor</t>
        </is>
      </c>
      <c r="I2092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092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092" s="3" t="inlineStr">
        <is>
          <t>ASSUMP_POWER_RAMP; ASSUMP_MS_OPENAI_ATTRIBUTION; ASSUMP_NUMERIC_ACCELERATOR_MIX; ASSUMP_INFERENCE_SHARE_NOT_FACT_60; ASSUMP_WORKLOAD_CLASS_MIX; ASSUMP_AGENTIC_CONTEXT_PENALTY</t>
        </is>
      </c>
      <c r="L2092" s="3" t="inlineStr">
        <is>
          <t>Comparable production output-token throughput with model, hardware, precision, ISL/OSL and SLO matched.</t>
        </is>
      </c>
    </row>
    <row r="2093">
      <c r="A2093" s="3" t="inlineStr">
        <is>
          <t>Microsoft</t>
        </is>
      </c>
      <c r="B2093" s="3" t="n">
        <v>2026</v>
      </c>
      <c r="C2093" s="3" t="inlineStr">
        <is>
          <t>Bull</t>
        </is>
      </c>
      <c r="D2093" s="3" t="inlineStr">
        <is>
          <t>inference_tokens_per_day</t>
        </is>
      </c>
      <c r="E2093" s="3" t="n">
        <v>154709945568000</v>
      </c>
      <c r="F2093" s="3" t="inlineStr">
        <is>
          <t>generated output tokens/day</t>
        </is>
      </c>
      <c r="G2093" s="3" t="inlineStr">
        <is>
          <t>Derived headline metric</t>
        </is>
      </c>
      <c r="H2093" s="3" t="inlineStr">
        <is>
          <t>inference_gw * 1000 * tokens_per_second_per_mw * 86,400</t>
        </is>
      </c>
      <c r="I2093" s="3" t="inlineStr">
        <is>
          <t>Headline capacity uses no utilization, MoE, architecture or software-growth multiplier; it is not observed commercial output volume.</t>
        </is>
      </c>
      <c r="J2093" s="3" t="inlineStr">
        <is>
          <t>SRC_MS_PHI; SRC_OPENAI_GPT41_DOCS; SRC_MS_PHI4_TECHREPORT; SRC_MS_MAIA200; SRC_EPOCH_AI_DATA_CENTERS; SRC_SEMIANALYSIS_INFERENCEX</t>
        </is>
      </c>
      <c r="K2093" s="3" t="inlineStr">
        <is>
          <t>ASSUMP_POWER_RAMP; ASSUMP_MS_OPENAI_ATTRIBUTION; ASSUMP_NUMERIC_ACCELERATOR_MIX; ASSUMP_INFERENCE_SHARE_NOT_FACT_60; ASSUMP_WORKLOAD_CLASS_MIX; ASSUMP_AGENTIC_CONTEXT_PENALTY</t>
        </is>
      </c>
      <c r="L2093" s="3" t="inlineStr">
        <is>
          <t>Provider-disclosed generated output token volume or calibrated capacity telemetry.</t>
        </is>
      </c>
    </row>
    <row r="2094">
      <c r="A2094" s="3" t="inlineStr">
        <is>
          <t>Microsoft</t>
        </is>
      </c>
      <c r="B2094" s="3" t="n">
        <v>2026</v>
      </c>
      <c r="C2094" s="3" t="inlineStr">
        <is>
          <t>Bull</t>
        </is>
      </c>
      <c r="D2094" s="3" t="inlineStr">
        <is>
          <t>inference_tokens_per_year</t>
        </is>
      </c>
      <c r="E2094" s="3" t="n">
        <v>5.646913013232e+16</v>
      </c>
      <c r="F2094" s="3" t="inlineStr">
        <is>
          <t>generated output tokens/year</t>
        </is>
      </c>
      <c r="G2094" s="3" t="inlineStr">
        <is>
          <t>Derived headline metric</t>
        </is>
      </c>
      <c r="H2094" s="3" t="inlineStr">
        <is>
          <t>inference_tokens_per_day * 365</t>
        </is>
      </c>
      <c r="I2094" s="3" t="inlineStr">
        <is>
          <t>Annualized version of generated output token capacity; it is not observed annual demand or billable volume.</t>
        </is>
      </c>
      <c r="J2094" s="3" t="inlineStr">
        <is>
          <t>SRC_MS_PHI; SRC_OPENAI_GPT41_DOCS; SRC_MS_PHI4_TECHREPORT; SRC_MS_MAIA200; SRC_EPOCH_AI_DATA_CENTERS; SRC_SEMIANALYSIS_INFERENCEX</t>
        </is>
      </c>
      <c r="K2094" s="3" t="inlineStr">
        <is>
          <t>ASSUMP_POWER_RAMP; ASSUMP_MS_OPENAI_ATTRIBUTION; ASSUMP_NUMERIC_ACCELERATOR_MIX; ASSUMP_INFERENCE_SHARE_NOT_FACT_60; ASSUMP_WORKLOAD_CLASS_MIX; ASSUMP_AGENTIC_CONTEXT_PENALTY</t>
        </is>
      </c>
      <c r="L2094" s="3" t="inlineStr">
        <is>
          <t>Provider-disclosed annual generated-output volume or metered serving telemetry.</t>
        </is>
      </c>
    </row>
    <row r="2095">
      <c r="A2095" s="3" t="inlineStr">
        <is>
          <t>Microsoft</t>
        </is>
      </c>
      <c r="B2095" s="3" t="n">
        <v>2027</v>
      </c>
      <c r="C2095" s="3" t="inlineStr">
        <is>
          <t>Bull</t>
        </is>
      </c>
      <c r="D2095" s="3" t="inlineStr">
        <is>
          <t>contracted_power_gw</t>
        </is>
      </c>
      <c r="E2095" s="3" t="n">
        <v>5.25</v>
      </c>
      <c r="F2095" s="3" t="inlineStr">
        <is>
          <t>GW</t>
        </is>
      </c>
      <c r="G2095" s="3" t="inlineStr">
        <is>
          <t>Scenario capacity envelope</t>
        </is>
      </c>
      <c r="H2095" s="3" t="inlineStr">
        <is>
          <t>linear interpolation between 2026 and 2030 company capacity endpoints</t>
        </is>
      </c>
      <c r="I2095" s="3" t="inlineStr">
        <is>
          <t>Scenario envelope for Microsoft-controlled/Copilot serving burden; not an official contracted-GW disclosure.</t>
        </is>
      </c>
      <c r="J2095" s="3" t="inlineStr">
        <is>
          <t>ASSUMP_POWER_RAMP; SRC_MS_MAIA200</t>
        </is>
      </c>
      <c r="K2095" s="3" t="inlineStr">
        <is>
          <t>ASSUMP_POWER_RAMP; ASSUMP_MS_OPENAI_ATTRIBUTION; ASSUMP_NUMERIC_ACCELERATOR_MIX; ASSUMP_INFERENCE_SHARE_NOT_FACT_60; ASSUMP_WORKLOAD_CLASS_MIX; ASSUMP_AGENTIC_CONTEXT_PENALTY</t>
        </is>
      </c>
      <c r="L2095" s="3" t="inlineStr">
        <is>
          <t>Company/site-level committed MW/GW, interconnect and contract disclosure.</t>
        </is>
      </c>
    </row>
    <row r="2096">
      <c r="A2096" s="3" t="inlineStr">
        <is>
          <t>Microsoft</t>
        </is>
      </c>
      <c r="B2096" s="3" t="n">
        <v>2027</v>
      </c>
      <c r="C2096" s="3" t="inlineStr">
        <is>
          <t>Bull</t>
        </is>
      </c>
      <c r="D2096" s="3" t="inlineStr">
        <is>
          <t>operational_deployment_share</t>
        </is>
      </c>
      <c r="E2096" s="3" t="n">
        <v>0.59790476</v>
      </c>
      <c r="F2096" s="3" t="inlineStr">
        <is>
          <t>share</t>
        </is>
      </c>
      <c r="G2096" s="3" t="inlineStr">
        <is>
          <t>Scenario conversion</t>
        </is>
      </c>
      <c r="H2096" s="3" t="inlineStr">
        <is>
          <t>active_power_gw / contracted_power_gw</t>
        </is>
      </c>
      <c r="I2096" s="3" t="inlineStr">
        <is>
          <t>This is the single explicit conversion from contracted/attributed capacity to operationally usable capacity.</t>
        </is>
      </c>
      <c r="J2096" s="3" t="inlineStr">
        <is>
          <t>ASSUMP_POWER_RAMP; SRC_MS_MAIA200</t>
        </is>
      </c>
      <c r="K2096" s="3" t="inlineStr">
        <is>
          <t>ASSUMP_POWER_RAMP; ASSUMP_MS_OPENAI_ATTRIBUTION; ASSUMP_NUMERIC_ACCELERATOR_MIX; ASSUMP_INFERENCE_SHARE_NOT_FACT_60; ASSUMP_WORKLOAD_CLASS_MIX; ASSUMP_AGENTIC_CONTEXT_PENALTY</t>
        </is>
      </c>
      <c r="L2096" s="3" t="inlineStr">
        <is>
          <t>Energized operational capacity divided by contracted/attributed capacity.</t>
        </is>
      </c>
    </row>
    <row r="2097">
      <c r="A2097" s="3" t="inlineStr">
        <is>
          <t>Microsoft</t>
        </is>
      </c>
      <c r="B2097" s="3" t="n">
        <v>2027</v>
      </c>
      <c r="C2097" s="3" t="inlineStr">
        <is>
          <t>Bull</t>
        </is>
      </c>
      <c r="D2097" s="3" t="inlineStr">
        <is>
          <t>active_power_gw</t>
        </is>
      </c>
      <c r="E2097" s="3" t="n">
        <v>3.139</v>
      </c>
      <c r="F2097" s="3" t="inlineStr">
        <is>
          <t>GW</t>
        </is>
      </c>
      <c r="G2097" s="3" t="inlineStr">
        <is>
          <t>Derived scenario</t>
        </is>
      </c>
      <c r="H2097" s="3" t="inlineStr">
        <is>
          <t>contracted_power_gw * operational_deployment_share</t>
        </is>
      </c>
      <c r="I2097" s="3" t="inlineStr">
        <is>
          <t>Active GW is a staged operational deployment fraction of modeled capacity, reflecting site energization and accelerator availability.</t>
        </is>
      </c>
      <c r="J2097" s="3" t="inlineStr">
        <is>
          <t>ASSUMP_POWER_RAMP; SRC_MS_MAIA200</t>
        </is>
      </c>
      <c r="K2097" s="3" t="inlineStr">
        <is>
          <t>ASSUMP_POWER_RAMP; ASSUMP_MS_OPENAI_ATTRIBUTION; ASSUMP_NUMERIC_ACCELERATOR_MIX; ASSUMP_INFERENCE_SHARE_NOT_FACT_60; ASSUMP_WORKLOAD_CLASS_MIX; ASSUMP_AGENTIC_CONTEXT_PENALTY</t>
        </is>
      </c>
      <c r="L2097" s="3" t="inlineStr">
        <is>
          <t>Energization dates, accelerator deliveries and operational powered-rack telemetry.</t>
        </is>
      </c>
    </row>
    <row r="2098">
      <c r="A2098" s="3" t="inlineStr">
        <is>
          <t>Microsoft</t>
        </is>
      </c>
      <c r="B2098" s="3" t="n">
        <v>2027</v>
      </c>
      <c r="C2098" s="3" t="inlineStr">
        <is>
          <t>Bull</t>
        </is>
      </c>
      <c r="D2098" s="3" t="inlineStr">
        <is>
          <t>pue</t>
        </is>
      </c>
      <c r="E2098" s="3" t="n">
        <v>1.2</v>
      </c>
      <c r="F2098" s="3" t="inlineStr">
        <is>
          <t>ratio</t>
        </is>
      </c>
      <c r="G2098" s="3" t="inlineStr">
        <is>
          <t>Scenario parameter</t>
        </is>
      </c>
      <c r="H2098" s="3" t="inlineStr">
        <is>
          <t>it_load_gw = active_power_gw / pue</t>
        </is>
      </c>
      <c r="I2098" s="3" t="inlineStr">
        <is>
          <t>No provider-wide site-level PUE is used as a disclosed fact; PUE represents facility-to-IT conversion within the scenario.</t>
        </is>
      </c>
      <c r="J2098" s="3" t="inlineStr">
        <is>
          <t>ASSUMP_POWER_RAMP</t>
        </is>
      </c>
      <c r="K2098" s="3" t="inlineStr">
        <is>
          <t>ASSUMP_POWER_RAMP; ASSUMP_MS_OPENAI_ATTRIBUTION; ASSUMP_NUMERIC_ACCELERATOR_MIX; ASSUMP_INFERENCE_SHARE_NOT_FACT_60; ASSUMP_WORKLOAD_CLASS_MIX; ASSUMP_AGENTIC_CONTEXT_PENALTY</t>
        </is>
      </c>
      <c r="L2098" s="3" t="inlineStr">
        <is>
          <t>Site-level measured PUE matched to attributed AI capacity.</t>
        </is>
      </c>
    </row>
    <row r="2099">
      <c r="A2099" s="3" t="inlineStr">
        <is>
          <t>Microsoft</t>
        </is>
      </c>
      <c r="B2099" s="3" t="n">
        <v>2027</v>
      </c>
      <c r="C2099" s="3" t="inlineStr">
        <is>
          <t>Bull</t>
        </is>
      </c>
      <c r="D2099" s="3" t="inlineStr">
        <is>
          <t>it_load_gw</t>
        </is>
      </c>
      <c r="E2099" s="3" t="n">
        <v>2.616</v>
      </c>
      <c r="F2099" s="3" t="inlineStr">
        <is>
          <t>GW</t>
        </is>
      </c>
      <c r="G2099" s="3" t="inlineStr">
        <is>
          <t>Derived formula</t>
        </is>
      </c>
      <c r="H2099" s="3" t="inlineStr">
        <is>
          <t>active_power_gw / pue</t>
        </is>
      </c>
      <c r="I2099" s="3" t="inlineStr">
        <is>
          <t>Facility power is converted to IT-deliverable power before attributing AI workloads.</t>
        </is>
      </c>
      <c r="J2099" s="3" t="inlineStr">
        <is>
          <t>ASSUMP_POWER_RAMP; SRC_MS_MAIA200</t>
        </is>
      </c>
      <c r="K2099" s="3" t="inlineStr">
        <is>
          <t>ASSUMP_POWER_RAMP; ASSUMP_MS_OPENAI_ATTRIBUTION; ASSUMP_NUMERIC_ACCELERATOR_MIX; ASSUMP_INFERENCE_SHARE_NOT_FACT_60; ASSUMP_WORKLOAD_CLASS_MIX; ASSUMP_AGENTIC_CONTEXT_PENALTY</t>
        </is>
      </c>
      <c r="L2099" s="3" t="inlineStr">
        <is>
          <t>Recompute once active power and PUE become site-observable.</t>
        </is>
      </c>
    </row>
    <row r="2100">
      <c r="A2100" s="3" t="inlineStr">
        <is>
          <t>Microsoft</t>
        </is>
      </c>
      <c r="B2100" s="3" t="n">
        <v>2027</v>
      </c>
      <c r="C2100" s="3" t="inlineStr">
        <is>
          <t>Bull</t>
        </is>
      </c>
      <c r="D2100" s="3" t="inlineStr">
        <is>
          <t>ai_workload_share</t>
        </is>
      </c>
      <c r="E2100" s="3" t="n">
        <v>0.86</v>
      </c>
      <c r="F2100" s="3" t="inlineStr">
        <is>
          <t>share</t>
        </is>
      </c>
      <c r="G2100" s="3" t="inlineStr">
        <is>
          <t>Scenario allocation</t>
        </is>
      </c>
      <c r="H2100" s="3" t="inlineStr">
        <is>
          <t>ai_it_load_gw = it_load_gw * ai_workload_share</t>
        </is>
      </c>
      <c r="I2100" s="3" t="inlineStr">
        <is>
          <t>Azure/Copilot serving burden is AI-oriented but shares infrastructure with platform and reserve overhead; 86% is a scenario allocation.</t>
        </is>
      </c>
      <c r="J2100" s="3" t="inlineStr">
        <is>
          <t>SRC_MS_PHI; SRC_OPENAI_GPT41_DOCS; SRC_MS_PHI4_TECHREPORT; SRC_MS_MAIA200; SRC_EPOCH_AI_DATA_CENTERS</t>
        </is>
      </c>
      <c r="K2100" s="3" t="inlineStr">
        <is>
          <t>ASSUMP_POWER_RAMP; ASSUMP_MS_OPENAI_ATTRIBUTION; ASSUMP_NUMERIC_ACCELERATOR_MIX; ASSUMP_INFERENCE_SHARE_NOT_FACT_60; ASSUMP_WORKLOAD_CLASS_MIX; ASSUMP_AGENTIC_CONTEXT_PENALTY</t>
        </is>
      </c>
      <c r="L2100" s="3" t="inlineStr">
        <is>
          <t>Model-owner AI workload allocation or cluster scheduling telemetry.</t>
        </is>
      </c>
    </row>
    <row r="2101">
      <c r="A2101" s="3" t="inlineStr">
        <is>
          <t>Microsoft</t>
        </is>
      </c>
      <c r="B2101" s="3" t="n">
        <v>2027</v>
      </c>
      <c r="C2101" s="3" t="inlineStr">
        <is>
          <t>Bull</t>
        </is>
      </c>
      <c r="D2101" s="3" t="inlineStr">
        <is>
          <t>ai_it_load_gw</t>
        </is>
      </c>
      <c r="E2101" s="3" t="n">
        <v>2.25</v>
      </c>
      <c r="F2101" s="3" t="inlineStr">
        <is>
          <t>GW</t>
        </is>
      </c>
      <c r="G2101" s="3" t="inlineStr">
        <is>
          <t>Derived formula</t>
        </is>
      </c>
      <c r="H2101" s="3" t="inlineStr">
        <is>
          <t>it_load_gw * ai_workload_share</t>
        </is>
      </c>
      <c r="I2101" s="3" t="inlineStr">
        <is>
          <t>Only the AI-attributed portion of IT load enters training/inference allocation.</t>
        </is>
      </c>
      <c r="J2101" s="3" t="inlineStr">
        <is>
          <t>SRC_MS_PHI; SRC_OPENAI_GPT41_DOCS; SRC_MS_PHI4_TECHREPORT; SRC_MS_MAIA200; SRC_EPOCH_AI_DATA_CENTERS</t>
        </is>
      </c>
      <c r="K2101" s="3" t="inlineStr">
        <is>
          <t>ASSUMP_POWER_RAMP; ASSUMP_MS_OPENAI_ATTRIBUTION; ASSUMP_NUMERIC_ACCELERATOR_MIX; ASSUMP_INFERENCE_SHARE_NOT_FACT_60; ASSUMP_WORKLOAD_CLASS_MIX; ASSUMP_AGENTIC_CONTEXT_PENALTY</t>
        </is>
      </c>
      <c r="L2101" s="3" t="inlineStr">
        <is>
          <t>Recompute after ai_workload_share is replaced by telemetry.</t>
        </is>
      </c>
    </row>
    <row r="2102">
      <c r="A2102" s="3" t="inlineStr">
        <is>
          <t>Microsoft</t>
        </is>
      </c>
      <c r="B2102" s="3" t="n">
        <v>2027</v>
      </c>
      <c r="C2102" s="3" t="inlineStr">
        <is>
          <t>Bull</t>
        </is>
      </c>
      <c r="D2102" s="3" t="inlineStr">
        <is>
          <t>gpu_share</t>
        </is>
      </c>
      <c r="E2102" s="3" t="n">
        <v>0.554524</v>
      </c>
      <c r="F2102" s="3" t="inlineStr">
        <is>
          <t>share of inference-serving accelerator load</t>
        </is>
      </c>
      <c r="G2102" s="3" t="inlineStr">
        <is>
          <t>Numeric scenario</t>
        </is>
      </c>
      <c r="H2102" s="3" t="inlineStr">
        <is>
          <t>gpu_share interpolated from company 2026/2030 accelerator-mix endpoints</t>
        </is>
      </c>
      <c r="I2102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02" s="3" t="inlineStr">
        <is>
          <t>SRC_MS_PHI; SRC_OPENAI_GPT41_DOCS; SRC_MS_PHI4_TECHREPORT; SRC_MS_MAIA200; SRC_EPOCH_AI_DATA_CENTERS; ASSUMP_NUMERIC_ACCELERATOR_MIX</t>
        </is>
      </c>
      <c r="K2102" s="3" t="inlineStr">
        <is>
          <t>ASSUMP_POWER_RAMP; ASSUMP_MS_OPENAI_ATTRIBUTION; ASSUMP_NUMERIC_ACCELERATOR_MIX; ASSUMP_INFERENCE_SHARE_NOT_FACT_60; ASSUMP_WORKLOAD_CLASS_MIX; ASSUMP_AGENTIC_CONTEXT_PENALTY</t>
        </is>
      </c>
      <c r="L2102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03">
      <c r="A2103" s="3" t="inlineStr">
        <is>
          <t>Microsoft</t>
        </is>
      </c>
      <c r="B2103" s="3" t="n">
        <v>2027</v>
      </c>
      <c r="C2103" s="3" t="inlineStr">
        <is>
          <t>Bull</t>
        </is>
      </c>
      <c r="D2103" s="3" t="inlineStr">
        <is>
          <t>h200_share</t>
        </is>
      </c>
      <c r="E2103" s="3" t="n">
        <v>0.033529</v>
      </c>
      <c r="F2103" s="3" t="inlineStr">
        <is>
          <t>share of inference-serving accelerator load</t>
        </is>
      </c>
      <c r="G2103" s="3" t="inlineStr">
        <is>
          <t>Editable numeric scenario</t>
        </is>
      </c>
      <c r="H2103" s="3" t="inlineStr">
        <is>
          <t>h200_share = gpu_share * default_gpu_generation_mix_h200</t>
        </is>
      </c>
      <c r="I2103" s="3" t="inlineStr">
        <is>
          <t>Default GPU-generation migration assumption; executive workbook allows later manual replacement by company/year/scenario.</t>
        </is>
      </c>
      <c r="J2103" s="3" t="inlineStr">
        <is>
          <t>SRC_SEMIANALYSIS_INFERENCEX; ASSUMP_NUMERIC_ACCELERATOR_MIX</t>
        </is>
      </c>
      <c r="K2103" s="3" t="inlineStr">
        <is>
          <t>ASSUMP_POWER_RAMP; ASSUMP_MS_OPENAI_ATTRIBUTION; ASSUMP_NUMERIC_ACCELERATOR_MIX; ASSUMP_INFERENCE_SHARE_NOT_FACT_60; ASSUMP_WORKLOAD_CLASS_MIX; ASSUMP_AGENTIC_CONTEXT_PENALTY</t>
        </is>
      </c>
      <c r="L2103" s="3" t="inlineStr">
        <is>
          <t>Company fleet inventory, accelerator-hours or procurement/deployment records by GPU generation.</t>
        </is>
      </c>
    </row>
    <row r="2104">
      <c r="A2104" s="3" t="inlineStr">
        <is>
          <t>Microsoft</t>
        </is>
      </c>
      <c r="B2104" s="3" t="n">
        <v>2027</v>
      </c>
      <c r="C2104" s="3" t="inlineStr">
        <is>
          <t>Bull</t>
        </is>
      </c>
      <c r="D2104" s="3" t="inlineStr">
        <is>
          <t>b200_share</t>
        </is>
      </c>
      <c r="E2104" s="3" t="n">
        <v>0.520995</v>
      </c>
      <c r="F2104" s="3" t="inlineStr">
        <is>
          <t>share of inference-serving accelerator load</t>
        </is>
      </c>
      <c r="G2104" s="3" t="inlineStr">
        <is>
          <t>Editable numeric scenario</t>
        </is>
      </c>
      <c r="H2104" s="3" t="inlineStr">
        <is>
          <t>b200_share = gpu_share * default_gpu_generation_mix_b200</t>
        </is>
      </c>
      <c r="I2104" s="3" t="inlineStr">
        <is>
          <t>Default GPU-generation migration assumption; executive workbook allows later manual replacement by company/year/scenario.</t>
        </is>
      </c>
      <c r="J2104" s="3" t="inlineStr">
        <is>
          <t>SRC_SEMIANALYSIS_INFERENCEX; ASSUMP_NUMERIC_ACCELERATOR_MIX</t>
        </is>
      </c>
      <c r="K2104" s="3" t="inlineStr">
        <is>
          <t>ASSUMP_POWER_RAMP; ASSUMP_MS_OPENAI_ATTRIBUTION; ASSUMP_NUMERIC_ACCELERATOR_MIX; ASSUMP_INFERENCE_SHARE_NOT_FACT_60; ASSUMP_WORKLOAD_CLASS_MIX; ASSUMP_AGENTIC_CONTEXT_PENALTY</t>
        </is>
      </c>
      <c r="L2104" s="3" t="inlineStr">
        <is>
          <t>Company fleet inventory, accelerator-hours or procurement/deployment records by GPU generation.</t>
        </is>
      </c>
    </row>
    <row r="2105">
      <c r="A2105" s="3" t="inlineStr">
        <is>
          <t>Microsoft</t>
        </is>
      </c>
      <c r="B2105" s="3" t="n">
        <v>2027</v>
      </c>
      <c r="C2105" s="3" t="inlineStr">
        <is>
          <t>Bull</t>
        </is>
      </c>
      <c r="D2105" s="3" t="inlineStr">
        <is>
          <t>gb200_share</t>
        </is>
      </c>
      <c r="E2105" s="3" t="n">
        <v>0</v>
      </c>
      <c r="F2105" s="3" t="inlineStr">
        <is>
          <t>share of inference-serving accelerator load</t>
        </is>
      </c>
      <c r="G2105" s="3" t="inlineStr">
        <is>
          <t>Editable numeric scenario</t>
        </is>
      </c>
      <c r="H2105" s="3" t="inlineStr">
        <is>
          <t>gb200_share = gpu_share * default_gpu_generation_mix_gb200</t>
        </is>
      </c>
      <c r="I2105" s="3" t="inlineStr">
        <is>
          <t>Default GPU-generation migration assumption; executive workbook allows later manual replacement by company/year/scenario.</t>
        </is>
      </c>
      <c r="J2105" s="3" t="inlineStr">
        <is>
          <t>SRC_SEMIANALYSIS_INFERENCEX; ASSUMP_NUMERIC_ACCELERATOR_MIX</t>
        </is>
      </c>
      <c r="K2105" s="3" t="inlineStr">
        <is>
          <t>ASSUMP_POWER_RAMP; ASSUMP_MS_OPENAI_ATTRIBUTION; ASSUMP_NUMERIC_ACCELERATOR_MIX; ASSUMP_INFERENCE_SHARE_NOT_FACT_60; ASSUMP_WORKLOAD_CLASS_MIX; ASSUMP_AGENTIC_CONTEXT_PENALTY</t>
        </is>
      </c>
      <c r="L2105" s="3" t="inlineStr">
        <is>
          <t>Company fleet inventory, accelerator-hours or procurement/deployment records by GPU generation.</t>
        </is>
      </c>
    </row>
    <row r="2106">
      <c r="A2106" s="3" t="inlineStr">
        <is>
          <t>Microsoft</t>
        </is>
      </c>
      <c r="B2106" s="3" t="n">
        <v>2027</v>
      </c>
      <c r="C2106" s="3" t="inlineStr">
        <is>
          <t>Bull</t>
        </is>
      </c>
      <c r="D2106" s="3" t="inlineStr">
        <is>
          <t>purpose_built_accelerator_share</t>
        </is>
      </c>
      <c r="E2106" s="3" t="n">
        <v>0.445476</v>
      </c>
      <c r="F2106" s="3" t="inlineStr">
        <is>
          <t>share of inference-serving accelerator load</t>
        </is>
      </c>
      <c r="G2106" s="3" t="inlineStr">
        <is>
          <t>Numeric scenario</t>
        </is>
      </c>
      <c r="H2106" s="3" t="inlineStr">
        <is>
          <t>1 - gpu_share</t>
        </is>
      </c>
      <c r="I2106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06" s="3" t="inlineStr">
        <is>
          <t>SRC_MS_PHI; SRC_OPENAI_GPT41_DOCS; SRC_MS_PHI4_TECHREPORT; SRC_MS_MAIA200; SRC_EPOCH_AI_DATA_CENTERS; ASSUMP_NUMERIC_ACCELERATOR_MIX</t>
        </is>
      </c>
      <c r="K2106" s="3" t="inlineStr">
        <is>
          <t>ASSUMP_POWER_RAMP; ASSUMP_MS_OPENAI_ATTRIBUTION; ASSUMP_NUMERIC_ACCELERATOR_MIX; ASSUMP_INFERENCE_SHARE_NOT_FACT_60; ASSUMP_WORKLOAD_CLASS_MIX; ASSUMP_AGENTIC_CONTEXT_PENALTY</t>
        </is>
      </c>
      <c r="L2106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07">
      <c r="A2107" s="3" t="inlineStr">
        <is>
          <t>Microsoft</t>
        </is>
      </c>
      <c r="B2107" s="3" t="n">
        <v>2027</v>
      </c>
      <c r="C2107" s="3" t="inlineStr">
        <is>
          <t>Bull</t>
        </is>
      </c>
      <c r="D2107" s="3" t="inlineStr">
        <is>
          <t>fleet_reference_tps_per_mw</t>
        </is>
      </c>
      <c r="E2107" s="3" t="n">
        <v>2834024</v>
      </c>
      <c r="F2107" s="3" t="inlineStr">
        <is>
          <t>generated output tokens/sec/MW</t>
        </is>
      </c>
      <c r="G2107" s="3" t="inlineStr">
        <is>
          <t>Fleet-weighted public benchmark reference</t>
        </is>
      </c>
      <c r="H2107" s="3" t="inlineStr">
        <is>
          <t>h200_share*h200_workload_avg + b200_share*b200_workload_avg + gb200_share*gb200_workload_avg + purpose_built_share*purpose_workload_avg</t>
        </is>
      </c>
      <c r="I210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07" s="3" t="inlineStr">
        <is>
          <t>SRC_SEMIANALYSIS_INFERENCEX; ASSUMP_NUMERIC_ACCELERATOR_MIX; ASSUMP_WORKLOAD_CLASS_MIX; ASSUMP_AGENTIC_CONTEXT_PENALTY</t>
        </is>
      </c>
      <c r="K2107" s="3" t="inlineStr">
        <is>
          <t>ASSUMP_POWER_RAMP; ASSUMP_MS_OPENAI_ATTRIBUTION; ASSUMP_NUMERIC_ACCELERATOR_MIX; ASSUMP_INFERENCE_SHARE_NOT_FACT_60; ASSUMP_WORKLOAD_CLASS_MIX; ASSUMP_AGENTIC_CONTEXT_PENALTY</t>
        </is>
      </c>
      <c r="L2107" s="3" t="inlineStr">
        <is>
          <t>Comparable production output-token throughput or a more closely matched benchmark.</t>
        </is>
      </c>
    </row>
    <row r="2108">
      <c r="A2108" s="3" t="inlineStr">
        <is>
          <t>Microsoft</t>
        </is>
      </c>
      <c r="B2108" s="3" t="n">
        <v>2027</v>
      </c>
      <c r="C2108" s="3" t="inlineStr">
        <is>
          <t>Bull</t>
        </is>
      </c>
      <c r="D2108" s="3" t="inlineStr">
        <is>
          <t>commercial_workload_fit_factor</t>
        </is>
      </c>
      <c r="E2108" s="3" t="n">
        <v>0.8</v>
      </c>
      <c r="F2108" s="3" t="inlineStr">
        <is>
          <t>share of public reference throughput</t>
        </is>
      </c>
      <c r="G2108" s="3" t="inlineStr">
        <is>
          <t>Scenario assumption</t>
        </is>
      </c>
      <c r="H2108" s="3" t="inlineStr">
        <is>
          <t>reference_serving_tps_per_mw = fleet_reference_tps_per_mw * commercial_workload_fit_factor</t>
        </is>
      </c>
      <c r="I2108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08" s="3" t="inlineStr">
        <is>
          <t>SRC_SEMIANALYSIS_INFERENCEX; ASSUMP_NUMERIC_ACCELERATOR_MIX; ASSUMP_WORKLOAD_CLASS_MIX; ASSUMP_AGENTIC_CONTEXT_PENALTY</t>
        </is>
      </c>
      <c r="K2108" s="3" t="inlineStr">
        <is>
          <t>ASSUMP_POWER_RAMP; ASSUMP_MS_OPENAI_ATTRIBUTION; ASSUMP_NUMERIC_ACCELERATOR_MIX; ASSUMP_INFERENCE_SHARE_NOT_FACT_60; ASSUMP_WORKLOAD_CLASS_MIX; ASSUMP_AGENTIC_CONTEXT_PENALTY</t>
        </is>
      </c>
      <c r="L2108" s="3" t="inlineStr">
        <is>
          <t>Matched commercial serving benchmark by product surface, context shape and latency SLO.</t>
        </is>
      </c>
    </row>
    <row r="2109">
      <c r="A2109" s="3" t="inlineStr">
        <is>
          <t>Microsoft</t>
        </is>
      </c>
      <c r="B2109" s="3" t="n">
        <v>2027</v>
      </c>
      <c r="C2109" s="3" t="inlineStr">
        <is>
          <t>Bull</t>
        </is>
      </c>
      <c r="D2109" s="3" t="inlineStr">
        <is>
          <t>reference_serving_tps_per_mw</t>
        </is>
      </c>
      <c r="E2109" s="3" t="n">
        <v>2267219</v>
      </c>
      <c r="F2109" s="3" t="inlineStr">
        <is>
          <t>generated output tokens/sec/MW</t>
        </is>
      </c>
      <c r="G2109" s="3" t="inlineStr">
        <is>
          <t>Workload-adjusted benchmark proxy</t>
        </is>
      </c>
      <c r="H2109" s="3" t="inlineStr">
        <is>
          <t>fleet_reference_tps_per_mw * commercial_workload_fit_factor</t>
        </is>
      </c>
      <c r="I2109" s="3" t="inlineStr">
        <is>
          <t>This is the coefficient used for headline token generation; each GPU's short chat, long chat and agentic TPS/MW are weighted before fleet mix and commercial fit are applied.</t>
        </is>
      </c>
      <c r="J2109" s="3" t="inlineStr">
        <is>
          <t>SRC_SEMIANALYSIS_INFERENCEX; ASSUMP_NUMERIC_ACCELERATOR_MIX; ASSUMP_WORKLOAD_CLASS_MIX; ASSUMP_AGENTIC_CONTEXT_PENALTY</t>
        </is>
      </c>
      <c r="K2109" s="3" t="inlineStr">
        <is>
          <t>ASSUMP_POWER_RAMP; ASSUMP_MS_OPENAI_ATTRIBUTION; ASSUMP_NUMERIC_ACCELERATOR_MIX; ASSUMP_INFERENCE_SHARE_NOT_FACT_60; ASSUMP_WORKLOAD_CLASS_MIX; ASSUMP_AGENTIC_CONTEXT_PENALTY</t>
        </is>
      </c>
      <c r="L2109" s="3" t="inlineStr">
        <is>
          <t>Provider production output-token throughput with comparable workload/SLO.</t>
        </is>
      </c>
    </row>
    <row r="2110">
      <c r="A2110" s="3" t="inlineStr">
        <is>
          <t>Microsoft</t>
        </is>
      </c>
      <c r="B2110" s="3" t="n">
        <v>2027</v>
      </c>
      <c r="C2110" s="3" t="inlineStr">
        <is>
          <t>Bull</t>
        </is>
      </c>
      <c r="D2110" s="3" t="inlineStr">
        <is>
          <t>purpose_built_tps_per_mw</t>
        </is>
      </c>
      <c r="E2110" s="3" t="n">
        <v>3613574</v>
      </c>
      <c r="F2110" s="3" t="inlineStr">
        <is>
          <t>generated output tokens/sec/MW</t>
        </is>
      </c>
      <c r="G2110" s="3" t="inlineStr">
        <is>
          <t>Conservative no-uplift proxy</t>
        </is>
      </c>
      <c r="H2110" s="3" t="inlineStr">
        <is>
          <t>purpose_built_tps_per_mw = purpose_built_reference_tps_per_mw * commercial_workload_fit_factor until comparable output-token benchmark is adopted</t>
        </is>
      </c>
      <c r="I2110" s="3" t="inlineStr">
        <is>
          <t>No comparable public output-token/MW row adopted; B200 public reference placeholder is used and remains editable.</t>
        </is>
      </c>
      <c r="J2110" s="3" t="inlineStr">
        <is>
          <t>SRC_MS_PHI; SRC_OPENAI_GPT41_DOCS; SRC_MS_PHI4_TECHREPORT; SRC_MS_MAIA200; SRC_EPOCH_AI_DATA_CENTERS; ASSUMP_NUMERIC_ACCELERATOR_MIX</t>
        </is>
      </c>
      <c r="K2110" s="3" t="inlineStr">
        <is>
          <t>ASSUMP_POWER_RAMP; ASSUMP_MS_OPENAI_ATTRIBUTION; ASSUMP_NUMERIC_ACCELERATOR_MIX; ASSUMP_INFERENCE_SHARE_NOT_FACT_60; ASSUMP_WORKLOAD_CLASS_MIX; ASSUMP_AGENTIC_CONTEXT_PENALTY</t>
        </is>
      </c>
      <c r="L2110" s="3" t="inlineStr">
        <is>
          <t>Matched-workload generated-output benchmark for the provider purpose-built accelerator.</t>
        </is>
      </c>
    </row>
    <row r="2111">
      <c r="A2111" s="3" t="inlineStr">
        <is>
          <t>Microsoft</t>
        </is>
      </c>
      <c r="B2111" s="3" t="n">
        <v>2027</v>
      </c>
      <c r="C2111" s="3" t="inlineStr">
        <is>
          <t>Bull</t>
        </is>
      </c>
      <c r="D2111" s="3" t="inlineStr">
        <is>
          <t>inference_power_share</t>
        </is>
      </c>
      <c r="E2111" s="3" t="n">
        <v>0.658</v>
      </c>
      <c r="F2111" s="3" t="inlineStr">
        <is>
          <t>share of AI IT load</t>
        </is>
      </c>
      <c r="G2111" s="3" t="inlineStr">
        <is>
          <t>Scenario allocation</t>
        </is>
      </c>
      <c r="H2111" s="3" t="inlineStr">
        <is>
          <t>inference_gw = ai_it_load_gw * inference_power_share</t>
        </is>
      </c>
      <c r="I2111" s="3" t="inlineStr">
        <is>
          <t>Copilot commercial serving growth supports rising inference allocation; OpenAI model-owner output must remain separately attributed.</t>
        </is>
      </c>
      <c r="J2111" s="3" t="inlineStr">
        <is>
          <t>SRC_MS_PHI; SRC_OPENAI_GPT41_DOCS; SRC_MS_PHI4_TECHREPORT; SRC_MS_MAIA200; SRC_EPOCH_AI_DATA_CENTERS; ASSUMP_INFERENCE_SHARE_NOT_FACT_60</t>
        </is>
      </c>
      <c r="K2111" s="3" t="inlineStr">
        <is>
          <t>ASSUMP_POWER_RAMP; ASSUMP_MS_OPENAI_ATTRIBUTION; ASSUMP_NUMERIC_ACCELERATOR_MIX; ASSUMP_INFERENCE_SHARE_NOT_FACT_60; ASSUMP_WORKLOAD_CLASS_MIX; ASSUMP_AGENTIC_CONTEXT_PENALTY</t>
        </is>
      </c>
      <c r="L2111" s="3" t="inlineStr">
        <is>
          <t>Provider-specific inference/training workload power telemetry.</t>
        </is>
      </c>
    </row>
    <row r="2112">
      <c r="A2112" s="3" t="inlineStr">
        <is>
          <t>Microsoft</t>
        </is>
      </c>
      <c r="B2112" s="3" t="n">
        <v>2027</v>
      </c>
      <c r="C2112" s="3" t="inlineStr">
        <is>
          <t>Bull</t>
        </is>
      </c>
      <c r="D2112" s="3" t="inlineStr">
        <is>
          <t>inference_gw</t>
        </is>
      </c>
      <c r="E2112" s="3" t="n">
        <v>1.479</v>
      </c>
      <c r="F2112" s="3" t="inlineStr">
        <is>
          <t>GW</t>
        </is>
      </c>
      <c r="G2112" s="3" t="inlineStr">
        <is>
          <t>Derived formula</t>
        </is>
      </c>
      <c r="H2112" s="3" t="inlineStr">
        <is>
          <t>ai_it_load_gw * inference_power_share</t>
        </is>
      </c>
      <c r="I2112" s="3" t="inlineStr">
        <is>
          <t>This is the operational power eligible to become commercial generated output tokens through the selected TPS/MW proxy.</t>
        </is>
      </c>
      <c r="J2112" s="3" t="inlineStr">
        <is>
          <t>SRC_MS_PHI; SRC_OPENAI_GPT41_DOCS; SRC_MS_PHI4_TECHREPORT; SRC_MS_MAIA200; SRC_EPOCH_AI_DATA_CENTERS</t>
        </is>
      </c>
      <c r="K2112" s="3" t="inlineStr">
        <is>
          <t>ASSUMP_POWER_RAMP; ASSUMP_MS_OPENAI_ATTRIBUTION; ASSUMP_NUMERIC_ACCELERATOR_MIX; ASSUMP_INFERENCE_SHARE_NOT_FACT_60; ASSUMP_WORKLOAD_CLASS_MIX; ASSUMP_AGENTIC_CONTEXT_PENALTY</t>
        </is>
      </c>
      <c r="L2112" s="3" t="inlineStr">
        <is>
          <t>Recompute after AI allocation or inference-share evidence changes.</t>
        </is>
      </c>
    </row>
    <row r="2113">
      <c r="A2113" s="3" t="inlineStr">
        <is>
          <t>Microsoft</t>
        </is>
      </c>
      <c r="B2113" s="3" t="n">
        <v>2027</v>
      </c>
      <c r="C2113" s="3" t="inlineStr">
        <is>
          <t>Bull</t>
        </is>
      </c>
      <c r="D2113" s="3" t="inlineStr">
        <is>
          <t>training_power_share</t>
        </is>
      </c>
      <c r="E2113" s="3" t="n">
        <v>0.342</v>
      </c>
      <c r="F2113" s="3" t="inlineStr">
        <is>
          <t>share of AI IT load</t>
        </is>
      </c>
      <c r="G2113" s="3" t="inlineStr">
        <is>
          <t>Derived allocation</t>
        </is>
      </c>
      <c r="H2113" s="3" t="inlineStr">
        <is>
          <t>1 - inference_power_share</t>
        </is>
      </c>
      <c r="I2113" s="3" t="inlineStr">
        <is>
          <t>Training receives the complementary modeled AI IT allocation; it is not a disclosed company workload split.</t>
        </is>
      </c>
      <c r="J2113" s="3" t="inlineStr">
        <is>
          <t>SRC_MS_PHI; SRC_OPENAI_GPT41_DOCS; SRC_MS_PHI4_TECHREPORT; SRC_MS_MAIA200; SRC_EPOCH_AI_DATA_CENTERS; ASSUMP_INFERENCE_SHARE_NOT_FACT_60</t>
        </is>
      </c>
      <c r="K2113" s="3" t="inlineStr">
        <is>
          <t>ASSUMP_POWER_RAMP; ASSUMP_MS_OPENAI_ATTRIBUTION; ASSUMP_NUMERIC_ACCELERATOR_MIX; ASSUMP_INFERENCE_SHARE_NOT_FACT_60; ASSUMP_WORKLOAD_CLASS_MIX; ASSUMP_AGENTIC_CONTEXT_PENALTY</t>
        </is>
      </c>
      <c r="L2113" s="3" t="inlineStr">
        <is>
          <t>Provider-specific inference/training workload power telemetry.</t>
        </is>
      </c>
    </row>
    <row r="2114">
      <c r="A2114" s="3" t="inlineStr">
        <is>
          <t>Microsoft</t>
        </is>
      </c>
      <c r="B2114" s="3" t="n">
        <v>2027</v>
      </c>
      <c r="C2114" s="3" t="inlineStr">
        <is>
          <t>Bull</t>
        </is>
      </c>
      <c r="D2114" s="3" t="inlineStr">
        <is>
          <t>training_gw</t>
        </is>
      </c>
      <c r="E2114" s="3" t="n">
        <v>0.771</v>
      </c>
      <c r="F2114" s="3" t="inlineStr">
        <is>
          <t>GW</t>
        </is>
      </c>
      <c r="G2114" s="3" t="inlineStr">
        <is>
          <t>Derived formula</t>
        </is>
      </c>
      <c r="H2114" s="3" t="inlineStr">
        <is>
          <t>ai_it_load_gw * training_power_share</t>
        </is>
      </c>
      <c r="I2114" s="3" t="inlineStr">
        <is>
          <t>Training GW is shown separately so commercial inference token capacity is not overstated.</t>
        </is>
      </c>
      <c r="J2114" s="3" t="inlineStr">
        <is>
          <t>SRC_MS_PHI; SRC_OPENAI_GPT41_DOCS; SRC_MS_PHI4_TECHREPORT; SRC_MS_MAIA200; SRC_EPOCH_AI_DATA_CENTERS</t>
        </is>
      </c>
      <c r="K2114" s="3" t="inlineStr">
        <is>
          <t>ASSUMP_POWER_RAMP; ASSUMP_MS_OPENAI_ATTRIBUTION; ASSUMP_NUMERIC_ACCELERATOR_MIX; ASSUMP_INFERENCE_SHARE_NOT_FACT_60; ASSUMP_WORKLOAD_CLASS_MIX; ASSUMP_AGENTIC_CONTEXT_PENALTY</t>
        </is>
      </c>
      <c r="L2114" s="3" t="inlineStr">
        <is>
          <t>Recompute after AI allocation or workload-split evidence changes.</t>
        </is>
      </c>
    </row>
    <row r="2115">
      <c r="A2115" s="3" t="inlineStr">
        <is>
          <t>Microsoft</t>
        </is>
      </c>
      <c r="B2115" s="3" t="n">
        <v>2027</v>
      </c>
      <c r="C2115" s="3" t="inlineStr">
        <is>
          <t>Bull</t>
        </is>
      </c>
      <c r="D2115" s="3" t="inlineStr">
        <is>
          <t>tokens_per_second_per_mw</t>
        </is>
      </c>
      <c r="E2115" s="3" t="n">
        <v>2267219</v>
      </c>
      <c r="F2115" s="3" t="inlineStr">
        <is>
          <t>generated output tokens/sec/MW</t>
        </is>
      </c>
      <c r="G2115" s="3" t="inlineStr">
        <is>
          <t>Derived estimate + benchmark calibration</t>
        </is>
      </c>
      <c r="H2115" s="3" t="inlineStr">
        <is>
          <t>fleet_reference_tps_per_mw * commercial_workload_fit_factor</t>
        </is>
      </c>
      <c r="I2115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15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15" s="3" t="inlineStr">
        <is>
          <t>ASSUMP_POWER_RAMP; ASSUMP_MS_OPENAI_ATTRIBUTION; ASSUMP_NUMERIC_ACCELERATOR_MIX; ASSUMP_INFERENCE_SHARE_NOT_FACT_60; ASSUMP_WORKLOAD_CLASS_MIX; ASSUMP_AGENTIC_CONTEXT_PENALTY</t>
        </is>
      </c>
      <c r="L2115" s="3" t="inlineStr">
        <is>
          <t>Comparable production output-token throughput with model, hardware, precision, ISL/OSL and SLO matched.</t>
        </is>
      </c>
    </row>
    <row r="2116">
      <c r="A2116" s="3" t="inlineStr">
        <is>
          <t>Microsoft</t>
        </is>
      </c>
      <c r="B2116" s="3" t="n">
        <v>2027</v>
      </c>
      <c r="C2116" s="3" t="inlineStr">
        <is>
          <t>Bull</t>
        </is>
      </c>
      <c r="D2116" s="3" t="inlineStr">
        <is>
          <t>inference_tokens_per_day</t>
        </is>
      </c>
      <c r="E2116" s="3" t="n">
        <v>289717940246400</v>
      </c>
      <c r="F2116" s="3" t="inlineStr">
        <is>
          <t>generated output tokens/day</t>
        </is>
      </c>
      <c r="G2116" s="3" t="inlineStr">
        <is>
          <t>Derived headline metric</t>
        </is>
      </c>
      <c r="H2116" s="3" t="inlineStr">
        <is>
          <t>inference_gw * 1000 * tokens_per_second_per_mw * 86,400</t>
        </is>
      </c>
      <c r="I2116" s="3" t="inlineStr">
        <is>
          <t>Headline capacity uses no utilization, MoE, architecture or software-growth multiplier; it is not observed commercial output volume.</t>
        </is>
      </c>
      <c r="J2116" s="3" t="inlineStr">
        <is>
          <t>SRC_MS_PHI; SRC_OPENAI_GPT41_DOCS; SRC_MS_PHI4_TECHREPORT; SRC_MS_MAIA200; SRC_EPOCH_AI_DATA_CENTERS; SRC_SEMIANALYSIS_INFERENCEX</t>
        </is>
      </c>
      <c r="K2116" s="3" t="inlineStr">
        <is>
          <t>ASSUMP_POWER_RAMP; ASSUMP_MS_OPENAI_ATTRIBUTION; ASSUMP_NUMERIC_ACCELERATOR_MIX; ASSUMP_INFERENCE_SHARE_NOT_FACT_60; ASSUMP_WORKLOAD_CLASS_MIX; ASSUMP_AGENTIC_CONTEXT_PENALTY</t>
        </is>
      </c>
      <c r="L2116" s="3" t="inlineStr">
        <is>
          <t>Provider-disclosed generated output token volume or calibrated capacity telemetry.</t>
        </is>
      </c>
    </row>
    <row r="2117">
      <c r="A2117" s="3" t="inlineStr">
        <is>
          <t>Microsoft</t>
        </is>
      </c>
      <c r="B2117" s="3" t="n">
        <v>2027</v>
      </c>
      <c r="C2117" s="3" t="inlineStr">
        <is>
          <t>Bull</t>
        </is>
      </c>
      <c r="D2117" s="3" t="inlineStr">
        <is>
          <t>inference_tokens_per_year</t>
        </is>
      </c>
      <c r="E2117" s="3" t="n">
        <v>1.05747048189936e+17</v>
      </c>
      <c r="F2117" s="3" t="inlineStr">
        <is>
          <t>generated output tokens/year</t>
        </is>
      </c>
      <c r="G2117" s="3" t="inlineStr">
        <is>
          <t>Derived headline metric</t>
        </is>
      </c>
      <c r="H2117" s="3" t="inlineStr">
        <is>
          <t>inference_tokens_per_day * 365</t>
        </is>
      </c>
      <c r="I2117" s="3" t="inlineStr">
        <is>
          <t>Annualized version of generated output token capacity; it is not observed annual demand or billable volume.</t>
        </is>
      </c>
      <c r="J2117" s="3" t="inlineStr">
        <is>
          <t>SRC_MS_PHI; SRC_OPENAI_GPT41_DOCS; SRC_MS_PHI4_TECHREPORT; SRC_MS_MAIA200; SRC_EPOCH_AI_DATA_CENTERS; SRC_SEMIANALYSIS_INFERENCEX</t>
        </is>
      </c>
      <c r="K2117" s="3" t="inlineStr">
        <is>
          <t>ASSUMP_POWER_RAMP; ASSUMP_MS_OPENAI_ATTRIBUTION; ASSUMP_NUMERIC_ACCELERATOR_MIX; ASSUMP_INFERENCE_SHARE_NOT_FACT_60; ASSUMP_WORKLOAD_CLASS_MIX; ASSUMP_AGENTIC_CONTEXT_PENALTY</t>
        </is>
      </c>
      <c r="L2117" s="3" t="inlineStr">
        <is>
          <t>Provider-disclosed annual generated-output volume or metered serving telemetry.</t>
        </is>
      </c>
    </row>
    <row r="2118">
      <c r="A2118" s="3" t="inlineStr">
        <is>
          <t>Microsoft</t>
        </is>
      </c>
      <c r="B2118" s="3" t="n">
        <v>2028</v>
      </c>
      <c r="C2118" s="3" t="inlineStr">
        <is>
          <t>Bull</t>
        </is>
      </c>
      <c r="D2118" s="3" t="inlineStr">
        <is>
          <t>contracted_power_gw</t>
        </is>
      </c>
      <c r="E2118" s="3" t="n">
        <v>6.5</v>
      </c>
      <c r="F2118" s="3" t="inlineStr">
        <is>
          <t>GW</t>
        </is>
      </c>
      <c r="G2118" s="3" t="inlineStr">
        <is>
          <t>Scenario capacity envelope</t>
        </is>
      </c>
      <c r="H2118" s="3" t="inlineStr">
        <is>
          <t>linear interpolation between 2026 and 2030 company capacity endpoints</t>
        </is>
      </c>
      <c r="I2118" s="3" t="inlineStr">
        <is>
          <t>Scenario envelope for Microsoft-controlled/Copilot serving burden; not an official contracted-GW disclosure.</t>
        </is>
      </c>
      <c r="J2118" s="3" t="inlineStr">
        <is>
          <t>ASSUMP_POWER_RAMP; SRC_MS_MAIA200</t>
        </is>
      </c>
      <c r="K2118" s="3" t="inlineStr">
        <is>
          <t>ASSUMP_POWER_RAMP; ASSUMP_MS_OPENAI_ATTRIBUTION; ASSUMP_NUMERIC_ACCELERATOR_MIX; ASSUMP_INFERENCE_SHARE_NOT_FACT_60; ASSUMP_WORKLOAD_CLASS_MIX; ASSUMP_AGENTIC_CONTEXT_PENALTY</t>
        </is>
      </c>
      <c r="L2118" s="3" t="inlineStr">
        <is>
          <t>Company/site-level committed MW/GW, interconnect and contract disclosure.</t>
        </is>
      </c>
    </row>
    <row r="2119">
      <c r="A2119" s="3" t="inlineStr">
        <is>
          <t>Microsoft</t>
        </is>
      </c>
      <c r="B2119" s="3" t="n">
        <v>2028</v>
      </c>
      <c r="C2119" s="3" t="inlineStr">
        <is>
          <t>Bull</t>
        </is>
      </c>
      <c r="D2119" s="3" t="inlineStr">
        <is>
          <t>operational_deployment_share</t>
        </is>
      </c>
      <c r="E2119" s="3" t="n">
        <v>0.68615385</v>
      </c>
      <c r="F2119" s="3" t="inlineStr">
        <is>
          <t>share</t>
        </is>
      </c>
      <c r="G2119" s="3" t="inlineStr">
        <is>
          <t>Scenario conversion</t>
        </is>
      </c>
      <c r="H2119" s="3" t="inlineStr">
        <is>
          <t>active_power_gw / contracted_power_gw</t>
        </is>
      </c>
      <c r="I2119" s="3" t="inlineStr">
        <is>
          <t>This is the single explicit conversion from contracted/attributed capacity to operationally usable capacity.</t>
        </is>
      </c>
      <c r="J2119" s="3" t="inlineStr">
        <is>
          <t>ASSUMP_POWER_RAMP; SRC_MS_MAIA200</t>
        </is>
      </c>
      <c r="K2119" s="3" t="inlineStr">
        <is>
          <t>ASSUMP_POWER_RAMP; ASSUMP_MS_OPENAI_ATTRIBUTION; ASSUMP_NUMERIC_ACCELERATOR_MIX; ASSUMP_INFERENCE_SHARE_NOT_FACT_60; ASSUMP_WORKLOAD_CLASS_MIX; ASSUMP_AGENTIC_CONTEXT_PENALTY</t>
        </is>
      </c>
      <c r="L2119" s="3" t="inlineStr">
        <is>
          <t>Energized operational capacity divided by contracted/attributed capacity.</t>
        </is>
      </c>
    </row>
    <row r="2120">
      <c r="A2120" s="3" t="inlineStr">
        <is>
          <t>Microsoft</t>
        </is>
      </c>
      <c r="B2120" s="3" t="n">
        <v>2028</v>
      </c>
      <c r="C2120" s="3" t="inlineStr">
        <is>
          <t>Bull</t>
        </is>
      </c>
      <c r="D2120" s="3" t="inlineStr">
        <is>
          <t>active_power_gw</t>
        </is>
      </c>
      <c r="E2120" s="3" t="n">
        <v>4.46</v>
      </c>
      <c r="F2120" s="3" t="inlineStr">
        <is>
          <t>GW</t>
        </is>
      </c>
      <c r="G2120" s="3" t="inlineStr">
        <is>
          <t>Derived scenario</t>
        </is>
      </c>
      <c r="H2120" s="3" t="inlineStr">
        <is>
          <t>contracted_power_gw * operational_deployment_share</t>
        </is>
      </c>
      <c r="I2120" s="3" t="inlineStr">
        <is>
          <t>Active GW is a staged operational deployment fraction of modeled capacity, reflecting site energization and accelerator availability.</t>
        </is>
      </c>
      <c r="J2120" s="3" t="inlineStr">
        <is>
          <t>ASSUMP_POWER_RAMP; SRC_MS_MAIA200</t>
        </is>
      </c>
      <c r="K2120" s="3" t="inlineStr">
        <is>
          <t>ASSUMP_POWER_RAMP; ASSUMP_MS_OPENAI_ATTRIBUTION; ASSUMP_NUMERIC_ACCELERATOR_MIX; ASSUMP_INFERENCE_SHARE_NOT_FACT_60; ASSUMP_WORKLOAD_CLASS_MIX; ASSUMP_AGENTIC_CONTEXT_PENALTY</t>
        </is>
      </c>
      <c r="L2120" s="3" t="inlineStr">
        <is>
          <t>Energization dates, accelerator deliveries and operational powered-rack telemetry.</t>
        </is>
      </c>
    </row>
    <row r="2121">
      <c r="A2121" s="3" t="inlineStr">
        <is>
          <t>Microsoft</t>
        </is>
      </c>
      <c r="B2121" s="3" t="n">
        <v>2028</v>
      </c>
      <c r="C2121" s="3" t="inlineStr">
        <is>
          <t>Bull</t>
        </is>
      </c>
      <c r="D2121" s="3" t="inlineStr">
        <is>
          <t>pue</t>
        </is>
      </c>
      <c r="E2121" s="3" t="n">
        <v>1.2</v>
      </c>
      <c r="F2121" s="3" t="inlineStr">
        <is>
          <t>ratio</t>
        </is>
      </c>
      <c r="G2121" s="3" t="inlineStr">
        <is>
          <t>Scenario parameter</t>
        </is>
      </c>
      <c r="H2121" s="3" t="inlineStr">
        <is>
          <t>it_load_gw = active_power_gw / pue</t>
        </is>
      </c>
      <c r="I2121" s="3" t="inlineStr">
        <is>
          <t>No provider-wide site-level PUE is used as a disclosed fact; PUE represents facility-to-IT conversion within the scenario.</t>
        </is>
      </c>
      <c r="J2121" s="3" t="inlineStr">
        <is>
          <t>ASSUMP_POWER_RAMP</t>
        </is>
      </c>
      <c r="K2121" s="3" t="inlineStr">
        <is>
          <t>ASSUMP_POWER_RAMP; ASSUMP_MS_OPENAI_ATTRIBUTION; ASSUMP_NUMERIC_ACCELERATOR_MIX; ASSUMP_INFERENCE_SHARE_NOT_FACT_60; ASSUMP_WORKLOAD_CLASS_MIX; ASSUMP_AGENTIC_CONTEXT_PENALTY</t>
        </is>
      </c>
      <c r="L2121" s="3" t="inlineStr">
        <is>
          <t>Site-level measured PUE matched to attributed AI capacity.</t>
        </is>
      </c>
    </row>
    <row r="2122">
      <c r="A2122" s="3" t="inlineStr">
        <is>
          <t>Microsoft</t>
        </is>
      </c>
      <c r="B2122" s="3" t="n">
        <v>2028</v>
      </c>
      <c r="C2122" s="3" t="inlineStr">
        <is>
          <t>Bull</t>
        </is>
      </c>
      <c r="D2122" s="3" t="inlineStr">
        <is>
          <t>it_load_gw</t>
        </is>
      </c>
      <c r="E2122" s="3" t="n">
        <v>3.717</v>
      </c>
      <c r="F2122" s="3" t="inlineStr">
        <is>
          <t>GW</t>
        </is>
      </c>
      <c r="G2122" s="3" t="inlineStr">
        <is>
          <t>Derived formula</t>
        </is>
      </c>
      <c r="H2122" s="3" t="inlineStr">
        <is>
          <t>active_power_gw / pue</t>
        </is>
      </c>
      <c r="I2122" s="3" t="inlineStr">
        <is>
          <t>Facility power is converted to IT-deliverable power before attributing AI workloads.</t>
        </is>
      </c>
      <c r="J2122" s="3" t="inlineStr">
        <is>
          <t>ASSUMP_POWER_RAMP; SRC_MS_MAIA200</t>
        </is>
      </c>
      <c r="K2122" s="3" t="inlineStr">
        <is>
          <t>ASSUMP_POWER_RAMP; ASSUMP_MS_OPENAI_ATTRIBUTION; ASSUMP_NUMERIC_ACCELERATOR_MIX; ASSUMP_INFERENCE_SHARE_NOT_FACT_60; ASSUMP_WORKLOAD_CLASS_MIX; ASSUMP_AGENTIC_CONTEXT_PENALTY</t>
        </is>
      </c>
      <c r="L2122" s="3" t="inlineStr">
        <is>
          <t>Recompute once active power and PUE become site-observable.</t>
        </is>
      </c>
    </row>
    <row r="2123">
      <c r="A2123" s="3" t="inlineStr">
        <is>
          <t>Microsoft</t>
        </is>
      </c>
      <c r="B2123" s="3" t="n">
        <v>2028</v>
      </c>
      <c r="C2123" s="3" t="inlineStr">
        <is>
          <t>Bull</t>
        </is>
      </c>
      <c r="D2123" s="3" t="inlineStr">
        <is>
          <t>ai_workload_share</t>
        </is>
      </c>
      <c r="E2123" s="3" t="n">
        <v>0.86</v>
      </c>
      <c r="F2123" s="3" t="inlineStr">
        <is>
          <t>share</t>
        </is>
      </c>
      <c r="G2123" s="3" t="inlineStr">
        <is>
          <t>Scenario allocation</t>
        </is>
      </c>
      <c r="H2123" s="3" t="inlineStr">
        <is>
          <t>ai_it_load_gw = it_load_gw * ai_workload_share</t>
        </is>
      </c>
      <c r="I2123" s="3" t="inlineStr">
        <is>
          <t>Azure/Copilot serving burden is AI-oriented but shares infrastructure with platform and reserve overhead; 86% is a scenario allocation.</t>
        </is>
      </c>
      <c r="J2123" s="3" t="inlineStr">
        <is>
          <t>SRC_MS_PHI; SRC_OPENAI_GPT41_DOCS; SRC_MS_PHI4_TECHREPORT; SRC_MS_MAIA200; SRC_EPOCH_AI_DATA_CENTERS</t>
        </is>
      </c>
      <c r="K2123" s="3" t="inlineStr">
        <is>
          <t>ASSUMP_POWER_RAMP; ASSUMP_MS_OPENAI_ATTRIBUTION; ASSUMP_NUMERIC_ACCELERATOR_MIX; ASSUMP_INFERENCE_SHARE_NOT_FACT_60; ASSUMP_WORKLOAD_CLASS_MIX; ASSUMP_AGENTIC_CONTEXT_PENALTY</t>
        </is>
      </c>
      <c r="L2123" s="3" t="inlineStr">
        <is>
          <t>Model-owner AI workload allocation or cluster scheduling telemetry.</t>
        </is>
      </c>
    </row>
    <row r="2124">
      <c r="A2124" s="3" t="inlineStr">
        <is>
          <t>Microsoft</t>
        </is>
      </c>
      <c r="B2124" s="3" t="n">
        <v>2028</v>
      </c>
      <c r="C2124" s="3" t="inlineStr">
        <is>
          <t>Bull</t>
        </is>
      </c>
      <c r="D2124" s="3" t="inlineStr">
        <is>
          <t>ai_it_load_gw</t>
        </is>
      </c>
      <c r="E2124" s="3" t="n">
        <v>3.196</v>
      </c>
      <c r="F2124" s="3" t="inlineStr">
        <is>
          <t>GW</t>
        </is>
      </c>
      <c r="G2124" s="3" t="inlineStr">
        <is>
          <t>Derived formula</t>
        </is>
      </c>
      <c r="H2124" s="3" t="inlineStr">
        <is>
          <t>it_load_gw * ai_workload_share</t>
        </is>
      </c>
      <c r="I2124" s="3" t="inlineStr">
        <is>
          <t>Only the AI-attributed portion of IT load enters training/inference allocation.</t>
        </is>
      </c>
      <c r="J2124" s="3" t="inlineStr">
        <is>
          <t>SRC_MS_PHI; SRC_OPENAI_GPT41_DOCS; SRC_MS_PHI4_TECHREPORT; SRC_MS_MAIA200; SRC_EPOCH_AI_DATA_CENTERS</t>
        </is>
      </c>
      <c r="K2124" s="3" t="inlineStr">
        <is>
          <t>ASSUMP_POWER_RAMP; ASSUMP_MS_OPENAI_ATTRIBUTION; ASSUMP_NUMERIC_ACCELERATOR_MIX; ASSUMP_INFERENCE_SHARE_NOT_FACT_60; ASSUMP_WORKLOAD_CLASS_MIX; ASSUMP_AGENTIC_CONTEXT_PENALTY</t>
        </is>
      </c>
      <c r="L2124" s="3" t="inlineStr">
        <is>
          <t>Recompute after ai_workload_share is replaced by telemetry.</t>
        </is>
      </c>
    </row>
    <row r="2125">
      <c r="A2125" s="3" t="inlineStr">
        <is>
          <t>Microsoft</t>
        </is>
      </c>
      <c r="B2125" s="3" t="n">
        <v>2028</v>
      </c>
      <c r="C2125" s="3" t="inlineStr">
        <is>
          <t>Bull</t>
        </is>
      </c>
      <c r="D2125" s="3" t="inlineStr">
        <is>
          <t>gpu_share</t>
        </is>
      </c>
      <c r="E2125" s="3" t="n">
        <v>0.726329</v>
      </c>
      <c r="F2125" s="3" t="inlineStr">
        <is>
          <t>share of inference-serving accelerator load</t>
        </is>
      </c>
      <c r="G2125" s="3" t="inlineStr">
        <is>
          <t>Numeric scenario</t>
        </is>
      </c>
      <c r="H2125" s="3" t="inlineStr">
        <is>
          <t>gpu_share interpolated from company 2026/2030 accelerator-mix endpoints</t>
        </is>
      </c>
      <c r="I2125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25" s="3" t="inlineStr">
        <is>
          <t>SRC_MS_PHI; SRC_OPENAI_GPT41_DOCS; SRC_MS_PHI4_TECHREPORT; SRC_MS_MAIA200; SRC_EPOCH_AI_DATA_CENTERS; ASSUMP_NUMERIC_ACCELERATOR_MIX</t>
        </is>
      </c>
      <c r="K2125" s="3" t="inlineStr">
        <is>
          <t>ASSUMP_POWER_RAMP; ASSUMP_MS_OPENAI_ATTRIBUTION; ASSUMP_NUMERIC_ACCELERATOR_MIX; ASSUMP_INFERENCE_SHARE_NOT_FACT_60; ASSUMP_WORKLOAD_CLASS_MIX; ASSUMP_AGENTIC_CONTEXT_PENALTY</t>
        </is>
      </c>
      <c r="L2125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26">
      <c r="A2126" s="3" t="inlineStr">
        <is>
          <t>Microsoft</t>
        </is>
      </c>
      <c r="B2126" s="3" t="n">
        <v>2028</v>
      </c>
      <c r="C2126" s="3" t="inlineStr">
        <is>
          <t>Bull</t>
        </is>
      </c>
      <c r="D2126" s="3" t="inlineStr">
        <is>
          <t>h200_share</t>
        </is>
      </c>
      <c r="E2126" s="3" t="n">
        <v>0.020598</v>
      </c>
      <c r="F2126" s="3" t="inlineStr">
        <is>
          <t>share of inference-serving accelerator load</t>
        </is>
      </c>
      <c r="G2126" s="3" t="inlineStr">
        <is>
          <t>Editable numeric scenario</t>
        </is>
      </c>
      <c r="H2126" s="3" t="inlineStr">
        <is>
          <t>h200_share = gpu_share * default_gpu_generation_mix_h200</t>
        </is>
      </c>
      <c r="I2126" s="3" t="inlineStr">
        <is>
          <t>Default GPU-generation migration assumption; executive workbook allows later manual replacement by company/year/scenario.</t>
        </is>
      </c>
      <c r="J2126" s="3" t="inlineStr">
        <is>
          <t>SRC_SEMIANALYSIS_INFERENCEX; ASSUMP_NUMERIC_ACCELERATOR_MIX</t>
        </is>
      </c>
      <c r="K2126" s="3" t="inlineStr">
        <is>
          <t>ASSUMP_POWER_RAMP; ASSUMP_MS_OPENAI_ATTRIBUTION; ASSUMP_NUMERIC_ACCELERATOR_MIX; ASSUMP_INFERENCE_SHARE_NOT_FACT_60; ASSUMP_WORKLOAD_CLASS_MIX; ASSUMP_AGENTIC_CONTEXT_PENALTY</t>
        </is>
      </c>
      <c r="L2126" s="3" t="inlineStr">
        <is>
          <t>Company fleet inventory, accelerator-hours or procurement/deployment records by GPU generation.</t>
        </is>
      </c>
    </row>
    <row r="2127">
      <c r="A2127" s="3" t="inlineStr">
        <is>
          <t>Microsoft</t>
        </is>
      </c>
      <c r="B2127" s="3" t="n">
        <v>2028</v>
      </c>
      <c r="C2127" s="3" t="inlineStr">
        <is>
          <t>Bull</t>
        </is>
      </c>
      <c r="D2127" s="3" t="inlineStr">
        <is>
          <t>b200_share</t>
        </is>
      </c>
      <c r="E2127" s="3" t="n">
        <v>0.705731</v>
      </c>
      <c r="F2127" s="3" t="inlineStr">
        <is>
          <t>share of inference-serving accelerator load</t>
        </is>
      </c>
      <c r="G2127" s="3" t="inlineStr">
        <is>
          <t>Editable numeric scenario</t>
        </is>
      </c>
      <c r="H2127" s="3" t="inlineStr">
        <is>
          <t>b200_share = gpu_share * default_gpu_generation_mix_b200</t>
        </is>
      </c>
      <c r="I2127" s="3" t="inlineStr">
        <is>
          <t>Default GPU-generation migration assumption; executive workbook allows later manual replacement by company/year/scenario.</t>
        </is>
      </c>
      <c r="J2127" s="3" t="inlineStr">
        <is>
          <t>SRC_SEMIANALYSIS_INFERENCEX; ASSUMP_NUMERIC_ACCELERATOR_MIX</t>
        </is>
      </c>
      <c r="K2127" s="3" t="inlineStr">
        <is>
          <t>ASSUMP_POWER_RAMP; ASSUMP_MS_OPENAI_ATTRIBUTION; ASSUMP_NUMERIC_ACCELERATOR_MIX; ASSUMP_INFERENCE_SHARE_NOT_FACT_60; ASSUMP_WORKLOAD_CLASS_MIX; ASSUMP_AGENTIC_CONTEXT_PENALTY</t>
        </is>
      </c>
      <c r="L2127" s="3" t="inlineStr">
        <is>
          <t>Company fleet inventory, accelerator-hours or procurement/deployment records by GPU generation.</t>
        </is>
      </c>
    </row>
    <row r="2128">
      <c r="A2128" s="3" t="inlineStr">
        <is>
          <t>Microsoft</t>
        </is>
      </c>
      <c r="B2128" s="3" t="n">
        <v>2028</v>
      </c>
      <c r="C2128" s="3" t="inlineStr">
        <is>
          <t>Bull</t>
        </is>
      </c>
      <c r="D2128" s="3" t="inlineStr">
        <is>
          <t>gb200_share</t>
        </is>
      </c>
      <c r="E2128" s="3" t="n">
        <v>0</v>
      </c>
      <c r="F2128" s="3" t="inlineStr">
        <is>
          <t>share of inference-serving accelerator load</t>
        </is>
      </c>
      <c r="G2128" s="3" t="inlineStr">
        <is>
          <t>Editable numeric scenario</t>
        </is>
      </c>
      <c r="H2128" s="3" t="inlineStr">
        <is>
          <t>gb200_share = gpu_share * default_gpu_generation_mix_gb200</t>
        </is>
      </c>
      <c r="I2128" s="3" t="inlineStr">
        <is>
          <t>Default GPU-generation migration assumption; executive workbook allows later manual replacement by company/year/scenario.</t>
        </is>
      </c>
      <c r="J2128" s="3" t="inlineStr">
        <is>
          <t>SRC_SEMIANALYSIS_INFERENCEX; ASSUMP_NUMERIC_ACCELERATOR_MIX</t>
        </is>
      </c>
      <c r="K2128" s="3" t="inlineStr">
        <is>
          <t>ASSUMP_POWER_RAMP; ASSUMP_MS_OPENAI_ATTRIBUTION; ASSUMP_NUMERIC_ACCELERATOR_MIX; ASSUMP_INFERENCE_SHARE_NOT_FACT_60; ASSUMP_WORKLOAD_CLASS_MIX; ASSUMP_AGENTIC_CONTEXT_PENALTY</t>
        </is>
      </c>
      <c r="L2128" s="3" t="inlineStr">
        <is>
          <t>Company fleet inventory, accelerator-hours or procurement/deployment records by GPU generation.</t>
        </is>
      </c>
    </row>
    <row r="2129">
      <c r="A2129" s="3" t="inlineStr">
        <is>
          <t>Microsoft</t>
        </is>
      </c>
      <c r="B2129" s="3" t="n">
        <v>2028</v>
      </c>
      <c r="C2129" s="3" t="inlineStr">
        <is>
          <t>Bull</t>
        </is>
      </c>
      <c r="D2129" s="3" t="inlineStr">
        <is>
          <t>purpose_built_accelerator_share</t>
        </is>
      </c>
      <c r="E2129" s="3" t="n">
        <v>0.273671</v>
      </c>
      <c r="F2129" s="3" t="inlineStr">
        <is>
          <t>share of inference-serving accelerator load</t>
        </is>
      </c>
      <c r="G2129" s="3" t="inlineStr">
        <is>
          <t>Numeric scenario</t>
        </is>
      </c>
      <c r="H2129" s="3" t="inlineStr">
        <is>
          <t>1 - gpu_share</t>
        </is>
      </c>
      <c r="I2129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29" s="3" t="inlineStr">
        <is>
          <t>SRC_MS_PHI; SRC_OPENAI_GPT41_DOCS; SRC_MS_PHI4_TECHREPORT; SRC_MS_MAIA200; SRC_EPOCH_AI_DATA_CENTERS; ASSUMP_NUMERIC_ACCELERATOR_MIX</t>
        </is>
      </c>
      <c r="K2129" s="3" t="inlineStr">
        <is>
          <t>ASSUMP_POWER_RAMP; ASSUMP_MS_OPENAI_ATTRIBUTION; ASSUMP_NUMERIC_ACCELERATOR_MIX; ASSUMP_INFERENCE_SHARE_NOT_FACT_60; ASSUMP_WORKLOAD_CLASS_MIX; ASSUMP_AGENTIC_CONTEXT_PENALTY</t>
        </is>
      </c>
      <c r="L2129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30">
      <c r="A2130" s="3" t="inlineStr">
        <is>
          <t>Microsoft</t>
        </is>
      </c>
      <c r="B2130" s="3" t="n">
        <v>2028</v>
      </c>
      <c r="C2130" s="3" t="inlineStr">
        <is>
          <t>Bull</t>
        </is>
      </c>
      <c r="D2130" s="3" t="inlineStr">
        <is>
          <t>fleet_reference_tps_per_mw</t>
        </is>
      </c>
      <c r="E2130" s="3" t="n">
        <v>2856801</v>
      </c>
      <c r="F2130" s="3" t="inlineStr">
        <is>
          <t>generated output tokens/sec/MW</t>
        </is>
      </c>
      <c r="G2130" s="3" t="inlineStr">
        <is>
          <t>Fleet-weighted public benchmark reference</t>
        </is>
      </c>
      <c r="H2130" s="3" t="inlineStr">
        <is>
          <t>h200_share*h200_workload_avg + b200_share*b200_workload_avg + gb200_share*gb200_workload_avg + purpose_built_share*purpose_workload_avg</t>
        </is>
      </c>
      <c r="I213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30" s="3" t="inlineStr">
        <is>
          <t>SRC_SEMIANALYSIS_INFERENCEX; ASSUMP_NUMERIC_ACCELERATOR_MIX; ASSUMP_WORKLOAD_CLASS_MIX; ASSUMP_AGENTIC_CONTEXT_PENALTY</t>
        </is>
      </c>
      <c r="K2130" s="3" t="inlineStr">
        <is>
          <t>ASSUMP_POWER_RAMP; ASSUMP_MS_OPENAI_ATTRIBUTION; ASSUMP_NUMERIC_ACCELERATOR_MIX; ASSUMP_INFERENCE_SHARE_NOT_FACT_60; ASSUMP_WORKLOAD_CLASS_MIX; ASSUMP_AGENTIC_CONTEXT_PENALTY</t>
        </is>
      </c>
      <c r="L2130" s="3" t="inlineStr">
        <is>
          <t>Comparable production output-token throughput or a more closely matched benchmark.</t>
        </is>
      </c>
    </row>
    <row r="2131">
      <c r="A2131" s="3" t="inlineStr">
        <is>
          <t>Microsoft</t>
        </is>
      </c>
      <c r="B2131" s="3" t="n">
        <v>2028</v>
      </c>
      <c r="C2131" s="3" t="inlineStr">
        <is>
          <t>Bull</t>
        </is>
      </c>
      <c r="D2131" s="3" t="inlineStr">
        <is>
          <t>commercial_workload_fit_factor</t>
        </is>
      </c>
      <c r="E2131" s="3" t="n">
        <v>0.8</v>
      </c>
      <c r="F2131" s="3" t="inlineStr">
        <is>
          <t>share of public reference throughput</t>
        </is>
      </c>
      <c r="G2131" s="3" t="inlineStr">
        <is>
          <t>Scenario assumption</t>
        </is>
      </c>
      <c r="H2131" s="3" t="inlineStr">
        <is>
          <t>reference_serving_tps_per_mw = fleet_reference_tps_per_mw * commercial_workload_fit_factor</t>
        </is>
      </c>
      <c r="I2131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31" s="3" t="inlineStr">
        <is>
          <t>SRC_SEMIANALYSIS_INFERENCEX; ASSUMP_NUMERIC_ACCELERATOR_MIX; ASSUMP_WORKLOAD_CLASS_MIX; ASSUMP_AGENTIC_CONTEXT_PENALTY</t>
        </is>
      </c>
      <c r="K2131" s="3" t="inlineStr">
        <is>
          <t>ASSUMP_POWER_RAMP; ASSUMP_MS_OPENAI_ATTRIBUTION; ASSUMP_NUMERIC_ACCELERATOR_MIX; ASSUMP_INFERENCE_SHARE_NOT_FACT_60; ASSUMP_WORKLOAD_CLASS_MIX; ASSUMP_AGENTIC_CONTEXT_PENALTY</t>
        </is>
      </c>
      <c r="L2131" s="3" t="inlineStr">
        <is>
          <t>Matched commercial serving benchmark by product surface, context shape and latency SLO.</t>
        </is>
      </c>
    </row>
    <row r="2132">
      <c r="A2132" s="3" t="inlineStr">
        <is>
          <t>Microsoft</t>
        </is>
      </c>
      <c r="B2132" s="3" t="n">
        <v>2028</v>
      </c>
      <c r="C2132" s="3" t="inlineStr">
        <is>
          <t>Bull</t>
        </is>
      </c>
      <c r="D2132" s="3" t="inlineStr">
        <is>
          <t>reference_serving_tps_per_mw</t>
        </is>
      </c>
      <c r="E2132" s="3" t="n">
        <v>2285441</v>
      </c>
      <c r="F2132" s="3" t="inlineStr">
        <is>
          <t>generated output tokens/sec/MW</t>
        </is>
      </c>
      <c r="G2132" s="3" t="inlineStr">
        <is>
          <t>Workload-adjusted benchmark proxy</t>
        </is>
      </c>
      <c r="H2132" s="3" t="inlineStr">
        <is>
          <t>fleet_reference_tps_per_mw * commercial_workload_fit_factor</t>
        </is>
      </c>
      <c r="I2132" s="3" t="inlineStr">
        <is>
          <t>This is the coefficient used for headline token generation; each GPU's short chat, long chat and agentic TPS/MW are weighted before fleet mix and commercial fit are applied.</t>
        </is>
      </c>
      <c r="J2132" s="3" t="inlineStr">
        <is>
          <t>SRC_SEMIANALYSIS_INFERENCEX; ASSUMP_NUMERIC_ACCELERATOR_MIX; ASSUMP_WORKLOAD_CLASS_MIX; ASSUMP_AGENTIC_CONTEXT_PENALTY</t>
        </is>
      </c>
      <c r="K2132" s="3" t="inlineStr">
        <is>
          <t>ASSUMP_POWER_RAMP; ASSUMP_MS_OPENAI_ATTRIBUTION; ASSUMP_NUMERIC_ACCELERATOR_MIX; ASSUMP_INFERENCE_SHARE_NOT_FACT_60; ASSUMP_WORKLOAD_CLASS_MIX; ASSUMP_AGENTIC_CONTEXT_PENALTY</t>
        </is>
      </c>
      <c r="L2132" s="3" t="inlineStr">
        <is>
          <t>Provider production output-token throughput with comparable workload/SLO.</t>
        </is>
      </c>
    </row>
    <row r="2133">
      <c r="A2133" s="3" t="inlineStr">
        <is>
          <t>Microsoft</t>
        </is>
      </c>
      <c r="B2133" s="3" t="n">
        <v>2028</v>
      </c>
      <c r="C2133" s="3" t="inlineStr">
        <is>
          <t>Bull</t>
        </is>
      </c>
      <c r="D2133" s="3" t="inlineStr">
        <is>
          <t>purpose_built_tps_per_mw</t>
        </is>
      </c>
      <c r="E2133" s="3" t="n">
        <v>3613574</v>
      </c>
      <c r="F2133" s="3" t="inlineStr">
        <is>
          <t>generated output tokens/sec/MW</t>
        </is>
      </c>
      <c r="G2133" s="3" t="inlineStr">
        <is>
          <t>Conservative no-uplift proxy</t>
        </is>
      </c>
      <c r="H2133" s="3" t="inlineStr">
        <is>
          <t>purpose_built_tps_per_mw = purpose_built_reference_tps_per_mw * commercial_workload_fit_factor until comparable output-token benchmark is adopted</t>
        </is>
      </c>
      <c r="I2133" s="3" t="inlineStr">
        <is>
          <t>No comparable public output-token/MW row adopted; B200 public reference placeholder is used and remains editable.</t>
        </is>
      </c>
      <c r="J2133" s="3" t="inlineStr">
        <is>
          <t>SRC_MS_PHI; SRC_OPENAI_GPT41_DOCS; SRC_MS_PHI4_TECHREPORT; SRC_MS_MAIA200; SRC_EPOCH_AI_DATA_CENTERS; ASSUMP_NUMERIC_ACCELERATOR_MIX</t>
        </is>
      </c>
      <c r="K2133" s="3" t="inlineStr">
        <is>
          <t>ASSUMP_POWER_RAMP; ASSUMP_MS_OPENAI_ATTRIBUTION; ASSUMP_NUMERIC_ACCELERATOR_MIX; ASSUMP_INFERENCE_SHARE_NOT_FACT_60; ASSUMP_WORKLOAD_CLASS_MIX; ASSUMP_AGENTIC_CONTEXT_PENALTY</t>
        </is>
      </c>
      <c r="L2133" s="3" t="inlineStr">
        <is>
          <t>Matched-workload generated-output benchmark for the provider purpose-built accelerator.</t>
        </is>
      </c>
    </row>
    <row r="2134">
      <c r="A2134" s="3" t="inlineStr">
        <is>
          <t>Microsoft</t>
        </is>
      </c>
      <c r="B2134" s="3" t="n">
        <v>2028</v>
      </c>
      <c r="C2134" s="3" t="inlineStr">
        <is>
          <t>Bull</t>
        </is>
      </c>
      <c r="D2134" s="3" t="inlineStr">
        <is>
          <t>inference_power_share</t>
        </is>
      </c>
      <c r="E2134" s="3" t="n">
        <v>0.715</v>
      </c>
      <c r="F2134" s="3" t="inlineStr">
        <is>
          <t>share of AI IT load</t>
        </is>
      </c>
      <c r="G2134" s="3" t="inlineStr">
        <is>
          <t>Scenario allocation</t>
        </is>
      </c>
      <c r="H2134" s="3" t="inlineStr">
        <is>
          <t>inference_gw = ai_it_load_gw * inference_power_share</t>
        </is>
      </c>
      <c r="I2134" s="3" t="inlineStr">
        <is>
          <t>Copilot commercial serving growth supports rising inference allocation; OpenAI model-owner output must remain separately attributed.</t>
        </is>
      </c>
      <c r="J2134" s="3" t="inlineStr">
        <is>
          <t>SRC_MS_PHI; SRC_OPENAI_GPT41_DOCS; SRC_MS_PHI4_TECHREPORT; SRC_MS_MAIA200; SRC_EPOCH_AI_DATA_CENTERS; ASSUMP_INFERENCE_SHARE_NOT_FACT_60</t>
        </is>
      </c>
      <c r="K2134" s="3" t="inlineStr">
        <is>
          <t>ASSUMP_POWER_RAMP; ASSUMP_MS_OPENAI_ATTRIBUTION; ASSUMP_NUMERIC_ACCELERATOR_MIX; ASSUMP_INFERENCE_SHARE_NOT_FACT_60; ASSUMP_WORKLOAD_CLASS_MIX; ASSUMP_AGENTIC_CONTEXT_PENALTY</t>
        </is>
      </c>
      <c r="L2134" s="3" t="inlineStr">
        <is>
          <t>Provider-specific inference/training workload power telemetry.</t>
        </is>
      </c>
    </row>
    <row r="2135">
      <c r="A2135" s="3" t="inlineStr">
        <is>
          <t>Microsoft</t>
        </is>
      </c>
      <c r="B2135" s="3" t="n">
        <v>2028</v>
      </c>
      <c r="C2135" s="3" t="inlineStr">
        <is>
          <t>Bull</t>
        </is>
      </c>
      <c r="D2135" s="3" t="inlineStr">
        <is>
          <t>inference_gw</t>
        </is>
      </c>
      <c r="E2135" s="3" t="n">
        <v>2.285</v>
      </c>
      <c r="F2135" s="3" t="inlineStr">
        <is>
          <t>GW</t>
        </is>
      </c>
      <c r="G2135" s="3" t="inlineStr">
        <is>
          <t>Derived formula</t>
        </is>
      </c>
      <c r="H2135" s="3" t="inlineStr">
        <is>
          <t>ai_it_load_gw * inference_power_share</t>
        </is>
      </c>
      <c r="I2135" s="3" t="inlineStr">
        <is>
          <t>This is the operational power eligible to become commercial generated output tokens through the selected TPS/MW proxy.</t>
        </is>
      </c>
      <c r="J2135" s="3" t="inlineStr">
        <is>
          <t>SRC_MS_PHI; SRC_OPENAI_GPT41_DOCS; SRC_MS_PHI4_TECHREPORT; SRC_MS_MAIA200; SRC_EPOCH_AI_DATA_CENTERS</t>
        </is>
      </c>
      <c r="K2135" s="3" t="inlineStr">
        <is>
          <t>ASSUMP_POWER_RAMP; ASSUMP_MS_OPENAI_ATTRIBUTION; ASSUMP_NUMERIC_ACCELERATOR_MIX; ASSUMP_INFERENCE_SHARE_NOT_FACT_60; ASSUMP_WORKLOAD_CLASS_MIX; ASSUMP_AGENTIC_CONTEXT_PENALTY</t>
        </is>
      </c>
      <c r="L2135" s="3" t="inlineStr">
        <is>
          <t>Recompute after AI allocation or inference-share evidence changes.</t>
        </is>
      </c>
    </row>
    <row r="2136">
      <c r="A2136" s="3" t="inlineStr">
        <is>
          <t>Microsoft</t>
        </is>
      </c>
      <c r="B2136" s="3" t="n">
        <v>2028</v>
      </c>
      <c r="C2136" s="3" t="inlineStr">
        <is>
          <t>Bull</t>
        </is>
      </c>
      <c r="D2136" s="3" t="inlineStr">
        <is>
          <t>training_power_share</t>
        </is>
      </c>
      <c r="E2136" s="3" t="n">
        <v>0.285</v>
      </c>
      <c r="F2136" s="3" t="inlineStr">
        <is>
          <t>share of AI IT load</t>
        </is>
      </c>
      <c r="G2136" s="3" t="inlineStr">
        <is>
          <t>Derived allocation</t>
        </is>
      </c>
      <c r="H2136" s="3" t="inlineStr">
        <is>
          <t>1 - inference_power_share</t>
        </is>
      </c>
      <c r="I2136" s="3" t="inlineStr">
        <is>
          <t>Training receives the complementary modeled AI IT allocation; it is not a disclosed company workload split.</t>
        </is>
      </c>
      <c r="J2136" s="3" t="inlineStr">
        <is>
          <t>SRC_MS_PHI; SRC_OPENAI_GPT41_DOCS; SRC_MS_PHI4_TECHREPORT; SRC_MS_MAIA200; SRC_EPOCH_AI_DATA_CENTERS; ASSUMP_INFERENCE_SHARE_NOT_FACT_60</t>
        </is>
      </c>
      <c r="K2136" s="3" t="inlineStr">
        <is>
          <t>ASSUMP_POWER_RAMP; ASSUMP_MS_OPENAI_ATTRIBUTION; ASSUMP_NUMERIC_ACCELERATOR_MIX; ASSUMP_INFERENCE_SHARE_NOT_FACT_60; ASSUMP_WORKLOAD_CLASS_MIX; ASSUMP_AGENTIC_CONTEXT_PENALTY</t>
        </is>
      </c>
      <c r="L2136" s="3" t="inlineStr">
        <is>
          <t>Provider-specific inference/training workload power telemetry.</t>
        </is>
      </c>
    </row>
    <row r="2137">
      <c r="A2137" s="3" t="inlineStr">
        <is>
          <t>Microsoft</t>
        </is>
      </c>
      <c r="B2137" s="3" t="n">
        <v>2028</v>
      </c>
      <c r="C2137" s="3" t="inlineStr">
        <is>
          <t>Bull</t>
        </is>
      </c>
      <c r="D2137" s="3" t="inlineStr">
        <is>
          <t>training_gw</t>
        </is>
      </c>
      <c r="E2137" s="3" t="n">
        <v>0.911</v>
      </c>
      <c r="F2137" s="3" t="inlineStr">
        <is>
          <t>GW</t>
        </is>
      </c>
      <c r="G2137" s="3" t="inlineStr">
        <is>
          <t>Derived formula</t>
        </is>
      </c>
      <c r="H2137" s="3" t="inlineStr">
        <is>
          <t>ai_it_load_gw * training_power_share</t>
        </is>
      </c>
      <c r="I2137" s="3" t="inlineStr">
        <is>
          <t>Training GW is shown separately so commercial inference token capacity is not overstated.</t>
        </is>
      </c>
      <c r="J2137" s="3" t="inlineStr">
        <is>
          <t>SRC_MS_PHI; SRC_OPENAI_GPT41_DOCS; SRC_MS_PHI4_TECHREPORT; SRC_MS_MAIA200; SRC_EPOCH_AI_DATA_CENTERS</t>
        </is>
      </c>
      <c r="K2137" s="3" t="inlineStr">
        <is>
          <t>ASSUMP_POWER_RAMP; ASSUMP_MS_OPENAI_ATTRIBUTION; ASSUMP_NUMERIC_ACCELERATOR_MIX; ASSUMP_INFERENCE_SHARE_NOT_FACT_60; ASSUMP_WORKLOAD_CLASS_MIX; ASSUMP_AGENTIC_CONTEXT_PENALTY</t>
        </is>
      </c>
      <c r="L2137" s="3" t="inlineStr">
        <is>
          <t>Recompute after AI allocation or workload-split evidence changes.</t>
        </is>
      </c>
    </row>
    <row r="2138">
      <c r="A2138" s="3" t="inlineStr">
        <is>
          <t>Microsoft</t>
        </is>
      </c>
      <c r="B2138" s="3" t="n">
        <v>2028</v>
      </c>
      <c r="C2138" s="3" t="inlineStr">
        <is>
          <t>Bull</t>
        </is>
      </c>
      <c r="D2138" s="3" t="inlineStr">
        <is>
          <t>tokens_per_second_per_mw</t>
        </is>
      </c>
      <c r="E2138" s="3" t="n">
        <v>2285441</v>
      </c>
      <c r="F2138" s="3" t="inlineStr">
        <is>
          <t>generated output tokens/sec/MW</t>
        </is>
      </c>
      <c r="G2138" s="3" t="inlineStr">
        <is>
          <t>Derived estimate + benchmark calibration</t>
        </is>
      </c>
      <c r="H2138" s="3" t="inlineStr">
        <is>
          <t>fleet_reference_tps_per_mw * commercial_workload_fit_factor</t>
        </is>
      </c>
      <c r="I2138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38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38" s="3" t="inlineStr">
        <is>
          <t>ASSUMP_POWER_RAMP; ASSUMP_MS_OPENAI_ATTRIBUTION; ASSUMP_NUMERIC_ACCELERATOR_MIX; ASSUMP_INFERENCE_SHARE_NOT_FACT_60; ASSUMP_WORKLOAD_CLASS_MIX; ASSUMP_AGENTIC_CONTEXT_PENALTY</t>
        </is>
      </c>
      <c r="L2138" s="3" t="inlineStr">
        <is>
          <t>Comparable production output-token throughput with model, hardware, precision, ISL/OSL and SLO matched.</t>
        </is>
      </c>
    </row>
    <row r="2139">
      <c r="A2139" s="3" t="inlineStr">
        <is>
          <t>Microsoft</t>
        </is>
      </c>
      <c r="B2139" s="3" t="n">
        <v>2028</v>
      </c>
      <c r="C2139" s="3" t="inlineStr">
        <is>
          <t>Bull</t>
        </is>
      </c>
      <c r="D2139" s="3" t="inlineStr">
        <is>
          <t>inference_tokens_per_day</t>
        </is>
      </c>
      <c r="E2139" s="3" t="n">
        <v>451200903984000</v>
      </c>
      <c r="F2139" s="3" t="inlineStr">
        <is>
          <t>generated output tokens/day</t>
        </is>
      </c>
      <c r="G2139" s="3" t="inlineStr">
        <is>
          <t>Derived headline metric</t>
        </is>
      </c>
      <c r="H2139" s="3" t="inlineStr">
        <is>
          <t>inference_gw * 1000 * tokens_per_second_per_mw * 86,400</t>
        </is>
      </c>
      <c r="I2139" s="3" t="inlineStr">
        <is>
          <t>Headline capacity uses no utilization, MoE, architecture or software-growth multiplier; it is not observed commercial output volume.</t>
        </is>
      </c>
      <c r="J2139" s="3" t="inlineStr">
        <is>
          <t>SRC_MS_PHI; SRC_OPENAI_GPT41_DOCS; SRC_MS_PHI4_TECHREPORT; SRC_MS_MAIA200; SRC_EPOCH_AI_DATA_CENTERS; SRC_SEMIANALYSIS_INFERENCEX</t>
        </is>
      </c>
      <c r="K2139" s="3" t="inlineStr">
        <is>
          <t>ASSUMP_POWER_RAMP; ASSUMP_MS_OPENAI_ATTRIBUTION; ASSUMP_NUMERIC_ACCELERATOR_MIX; ASSUMP_INFERENCE_SHARE_NOT_FACT_60; ASSUMP_WORKLOAD_CLASS_MIX; ASSUMP_AGENTIC_CONTEXT_PENALTY</t>
        </is>
      </c>
      <c r="L2139" s="3" t="inlineStr">
        <is>
          <t>Provider-disclosed generated output token volume or calibrated capacity telemetry.</t>
        </is>
      </c>
    </row>
    <row r="2140">
      <c r="A2140" s="3" t="inlineStr">
        <is>
          <t>Microsoft</t>
        </is>
      </c>
      <c r="B2140" s="3" t="n">
        <v>2028</v>
      </c>
      <c r="C2140" s="3" t="inlineStr">
        <is>
          <t>Bull</t>
        </is>
      </c>
      <c r="D2140" s="3" t="inlineStr">
        <is>
          <t>inference_tokens_per_year</t>
        </is>
      </c>
      <c r="E2140" s="3" t="n">
        <v>1.6468832995416e+17</v>
      </c>
      <c r="F2140" s="3" t="inlineStr">
        <is>
          <t>generated output tokens/year</t>
        </is>
      </c>
      <c r="G2140" s="3" t="inlineStr">
        <is>
          <t>Derived headline metric</t>
        </is>
      </c>
      <c r="H2140" s="3" t="inlineStr">
        <is>
          <t>inference_tokens_per_day * 365</t>
        </is>
      </c>
      <c r="I2140" s="3" t="inlineStr">
        <is>
          <t>Annualized version of generated output token capacity; it is not observed annual demand or billable volume.</t>
        </is>
      </c>
      <c r="J2140" s="3" t="inlineStr">
        <is>
          <t>SRC_MS_PHI; SRC_OPENAI_GPT41_DOCS; SRC_MS_PHI4_TECHREPORT; SRC_MS_MAIA200; SRC_EPOCH_AI_DATA_CENTERS; SRC_SEMIANALYSIS_INFERENCEX</t>
        </is>
      </c>
      <c r="K2140" s="3" t="inlineStr">
        <is>
          <t>ASSUMP_POWER_RAMP; ASSUMP_MS_OPENAI_ATTRIBUTION; ASSUMP_NUMERIC_ACCELERATOR_MIX; ASSUMP_INFERENCE_SHARE_NOT_FACT_60; ASSUMP_WORKLOAD_CLASS_MIX; ASSUMP_AGENTIC_CONTEXT_PENALTY</t>
        </is>
      </c>
      <c r="L2140" s="3" t="inlineStr">
        <is>
          <t>Provider-disclosed annual generated-output volume or metered serving telemetry.</t>
        </is>
      </c>
    </row>
    <row r="2141">
      <c r="A2141" s="3" t="inlineStr">
        <is>
          <t>Microsoft</t>
        </is>
      </c>
      <c r="B2141" s="3" t="n">
        <v>2029</v>
      </c>
      <c r="C2141" s="3" t="inlineStr">
        <is>
          <t>Bull</t>
        </is>
      </c>
      <c r="D2141" s="3" t="inlineStr">
        <is>
          <t>contracted_power_gw</t>
        </is>
      </c>
      <c r="E2141" s="3" t="n">
        <v>7.75</v>
      </c>
      <c r="F2141" s="3" t="inlineStr">
        <is>
          <t>GW</t>
        </is>
      </c>
      <c r="G2141" s="3" t="inlineStr">
        <is>
          <t>Scenario capacity envelope</t>
        </is>
      </c>
      <c r="H2141" s="3" t="inlineStr">
        <is>
          <t>linear interpolation between 2026 and 2030 company capacity endpoints</t>
        </is>
      </c>
      <c r="I2141" s="3" t="inlineStr">
        <is>
          <t>Scenario envelope for Microsoft-controlled/Copilot serving burden; not an official contracted-GW disclosure.</t>
        </is>
      </c>
      <c r="J2141" s="3" t="inlineStr">
        <is>
          <t>ASSUMP_POWER_RAMP; SRC_MS_MAIA200</t>
        </is>
      </c>
      <c r="K2141" s="3" t="inlineStr">
        <is>
          <t>ASSUMP_POWER_RAMP; ASSUMP_MS_OPENAI_ATTRIBUTION; ASSUMP_NUMERIC_ACCELERATOR_MIX; ASSUMP_INFERENCE_SHARE_NOT_FACT_60; ASSUMP_WORKLOAD_CLASS_MIX; ASSUMP_AGENTIC_CONTEXT_PENALTY</t>
        </is>
      </c>
      <c r="L2141" s="3" t="inlineStr">
        <is>
          <t>Company/site-level committed MW/GW, interconnect and contract disclosure.</t>
        </is>
      </c>
    </row>
    <row r="2142">
      <c r="A2142" s="3" t="inlineStr">
        <is>
          <t>Microsoft</t>
        </is>
      </c>
      <c r="B2142" s="3" t="n">
        <v>2029</v>
      </c>
      <c r="C2142" s="3" t="inlineStr">
        <is>
          <t>Bull</t>
        </is>
      </c>
      <c r="D2142" s="3" t="inlineStr">
        <is>
          <t>operational_deployment_share</t>
        </is>
      </c>
      <c r="E2142" s="3" t="n">
        <v>0.75509677</v>
      </c>
      <c r="F2142" s="3" t="inlineStr">
        <is>
          <t>share</t>
        </is>
      </c>
      <c r="G2142" s="3" t="inlineStr">
        <is>
          <t>Scenario conversion</t>
        </is>
      </c>
      <c r="H2142" s="3" t="inlineStr">
        <is>
          <t>active_power_gw / contracted_power_gw</t>
        </is>
      </c>
      <c r="I2142" s="3" t="inlineStr">
        <is>
          <t>This is the single explicit conversion from contracted/attributed capacity to operationally usable capacity.</t>
        </is>
      </c>
      <c r="J2142" s="3" t="inlineStr">
        <is>
          <t>ASSUMP_POWER_RAMP; SRC_MS_MAIA200</t>
        </is>
      </c>
      <c r="K2142" s="3" t="inlineStr">
        <is>
          <t>ASSUMP_POWER_RAMP; ASSUMP_MS_OPENAI_ATTRIBUTION; ASSUMP_NUMERIC_ACCELERATOR_MIX; ASSUMP_INFERENCE_SHARE_NOT_FACT_60; ASSUMP_WORKLOAD_CLASS_MIX; ASSUMP_AGENTIC_CONTEXT_PENALTY</t>
        </is>
      </c>
      <c r="L2142" s="3" t="inlineStr">
        <is>
          <t>Energized operational capacity divided by contracted/attributed capacity.</t>
        </is>
      </c>
    </row>
    <row r="2143">
      <c r="A2143" s="3" t="inlineStr">
        <is>
          <t>Microsoft</t>
        </is>
      </c>
      <c r="B2143" s="3" t="n">
        <v>2029</v>
      </c>
      <c r="C2143" s="3" t="inlineStr">
        <is>
          <t>Bull</t>
        </is>
      </c>
      <c r="D2143" s="3" t="inlineStr">
        <is>
          <t>active_power_gw</t>
        </is>
      </c>
      <c r="E2143" s="3" t="n">
        <v>5.852</v>
      </c>
      <c r="F2143" s="3" t="inlineStr">
        <is>
          <t>GW</t>
        </is>
      </c>
      <c r="G2143" s="3" t="inlineStr">
        <is>
          <t>Derived scenario</t>
        </is>
      </c>
      <c r="H2143" s="3" t="inlineStr">
        <is>
          <t>contracted_power_gw * operational_deployment_share</t>
        </is>
      </c>
      <c r="I2143" s="3" t="inlineStr">
        <is>
          <t>Active GW is a staged operational deployment fraction of modeled capacity, reflecting site energization and accelerator availability.</t>
        </is>
      </c>
      <c r="J2143" s="3" t="inlineStr">
        <is>
          <t>ASSUMP_POWER_RAMP; SRC_MS_MAIA200</t>
        </is>
      </c>
      <c r="K2143" s="3" t="inlineStr">
        <is>
          <t>ASSUMP_POWER_RAMP; ASSUMP_MS_OPENAI_ATTRIBUTION; ASSUMP_NUMERIC_ACCELERATOR_MIX; ASSUMP_INFERENCE_SHARE_NOT_FACT_60; ASSUMP_WORKLOAD_CLASS_MIX; ASSUMP_AGENTIC_CONTEXT_PENALTY</t>
        </is>
      </c>
      <c r="L2143" s="3" t="inlineStr">
        <is>
          <t>Energization dates, accelerator deliveries and operational powered-rack telemetry.</t>
        </is>
      </c>
    </row>
    <row r="2144">
      <c r="A2144" s="3" t="inlineStr">
        <is>
          <t>Microsoft</t>
        </is>
      </c>
      <c r="B2144" s="3" t="n">
        <v>2029</v>
      </c>
      <c r="C2144" s="3" t="inlineStr">
        <is>
          <t>Bull</t>
        </is>
      </c>
      <c r="D2144" s="3" t="inlineStr">
        <is>
          <t>pue</t>
        </is>
      </c>
      <c r="E2144" s="3" t="n">
        <v>1.2</v>
      </c>
      <c r="F2144" s="3" t="inlineStr">
        <is>
          <t>ratio</t>
        </is>
      </c>
      <c r="G2144" s="3" t="inlineStr">
        <is>
          <t>Scenario parameter</t>
        </is>
      </c>
      <c r="H2144" s="3" t="inlineStr">
        <is>
          <t>it_load_gw = active_power_gw / pue</t>
        </is>
      </c>
      <c r="I2144" s="3" t="inlineStr">
        <is>
          <t>No provider-wide site-level PUE is used as a disclosed fact; PUE represents facility-to-IT conversion within the scenario.</t>
        </is>
      </c>
      <c r="J2144" s="3" t="inlineStr">
        <is>
          <t>ASSUMP_POWER_RAMP</t>
        </is>
      </c>
      <c r="K2144" s="3" t="inlineStr">
        <is>
          <t>ASSUMP_POWER_RAMP; ASSUMP_MS_OPENAI_ATTRIBUTION; ASSUMP_NUMERIC_ACCELERATOR_MIX; ASSUMP_INFERENCE_SHARE_NOT_FACT_60; ASSUMP_WORKLOAD_CLASS_MIX; ASSUMP_AGENTIC_CONTEXT_PENALTY</t>
        </is>
      </c>
      <c r="L2144" s="3" t="inlineStr">
        <is>
          <t>Site-level measured PUE matched to attributed AI capacity.</t>
        </is>
      </c>
    </row>
    <row r="2145">
      <c r="A2145" s="3" t="inlineStr">
        <is>
          <t>Microsoft</t>
        </is>
      </c>
      <c r="B2145" s="3" t="n">
        <v>2029</v>
      </c>
      <c r="C2145" s="3" t="inlineStr">
        <is>
          <t>Bull</t>
        </is>
      </c>
      <c r="D2145" s="3" t="inlineStr">
        <is>
          <t>it_load_gw</t>
        </is>
      </c>
      <c r="E2145" s="3" t="n">
        <v>4.877</v>
      </c>
      <c r="F2145" s="3" t="inlineStr">
        <is>
          <t>GW</t>
        </is>
      </c>
      <c r="G2145" s="3" t="inlineStr">
        <is>
          <t>Derived formula</t>
        </is>
      </c>
      <c r="H2145" s="3" t="inlineStr">
        <is>
          <t>active_power_gw / pue</t>
        </is>
      </c>
      <c r="I2145" s="3" t="inlineStr">
        <is>
          <t>Facility power is converted to IT-deliverable power before attributing AI workloads.</t>
        </is>
      </c>
      <c r="J2145" s="3" t="inlineStr">
        <is>
          <t>ASSUMP_POWER_RAMP; SRC_MS_MAIA200</t>
        </is>
      </c>
      <c r="K2145" s="3" t="inlineStr">
        <is>
          <t>ASSUMP_POWER_RAMP; ASSUMP_MS_OPENAI_ATTRIBUTION; ASSUMP_NUMERIC_ACCELERATOR_MIX; ASSUMP_INFERENCE_SHARE_NOT_FACT_60; ASSUMP_WORKLOAD_CLASS_MIX; ASSUMP_AGENTIC_CONTEXT_PENALTY</t>
        </is>
      </c>
      <c r="L2145" s="3" t="inlineStr">
        <is>
          <t>Recompute once active power and PUE become site-observable.</t>
        </is>
      </c>
    </row>
    <row r="2146">
      <c r="A2146" s="3" t="inlineStr">
        <is>
          <t>Microsoft</t>
        </is>
      </c>
      <c r="B2146" s="3" t="n">
        <v>2029</v>
      </c>
      <c r="C2146" s="3" t="inlineStr">
        <is>
          <t>Bull</t>
        </is>
      </c>
      <c r="D2146" s="3" t="inlineStr">
        <is>
          <t>ai_workload_share</t>
        </is>
      </c>
      <c r="E2146" s="3" t="n">
        <v>0.86</v>
      </c>
      <c r="F2146" s="3" t="inlineStr">
        <is>
          <t>share</t>
        </is>
      </c>
      <c r="G2146" s="3" t="inlineStr">
        <is>
          <t>Scenario allocation</t>
        </is>
      </c>
      <c r="H2146" s="3" t="inlineStr">
        <is>
          <t>ai_it_load_gw = it_load_gw * ai_workload_share</t>
        </is>
      </c>
      <c r="I2146" s="3" t="inlineStr">
        <is>
          <t>Azure/Copilot serving burden is AI-oriented but shares infrastructure with platform and reserve overhead; 86% is a scenario allocation.</t>
        </is>
      </c>
      <c r="J2146" s="3" t="inlineStr">
        <is>
          <t>SRC_MS_PHI; SRC_OPENAI_GPT41_DOCS; SRC_MS_PHI4_TECHREPORT; SRC_MS_MAIA200; SRC_EPOCH_AI_DATA_CENTERS</t>
        </is>
      </c>
      <c r="K2146" s="3" t="inlineStr">
        <is>
          <t>ASSUMP_POWER_RAMP; ASSUMP_MS_OPENAI_ATTRIBUTION; ASSUMP_NUMERIC_ACCELERATOR_MIX; ASSUMP_INFERENCE_SHARE_NOT_FACT_60; ASSUMP_WORKLOAD_CLASS_MIX; ASSUMP_AGENTIC_CONTEXT_PENALTY</t>
        </is>
      </c>
      <c r="L2146" s="3" t="inlineStr">
        <is>
          <t>Model-owner AI workload allocation or cluster scheduling telemetry.</t>
        </is>
      </c>
    </row>
    <row r="2147">
      <c r="A2147" s="3" t="inlineStr">
        <is>
          <t>Microsoft</t>
        </is>
      </c>
      <c r="B2147" s="3" t="n">
        <v>2029</v>
      </c>
      <c r="C2147" s="3" t="inlineStr">
        <is>
          <t>Bull</t>
        </is>
      </c>
      <c r="D2147" s="3" t="inlineStr">
        <is>
          <t>ai_it_load_gw</t>
        </is>
      </c>
      <c r="E2147" s="3" t="n">
        <v>4.194</v>
      </c>
      <c r="F2147" s="3" t="inlineStr">
        <is>
          <t>GW</t>
        </is>
      </c>
      <c r="G2147" s="3" t="inlineStr">
        <is>
          <t>Derived formula</t>
        </is>
      </c>
      <c r="H2147" s="3" t="inlineStr">
        <is>
          <t>it_load_gw * ai_workload_share</t>
        </is>
      </c>
      <c r="I2147" s="3" t="inlineStr">
        <is>
          <t>Only the AI-attributed portion of IT load enters training/inference allocation.</t>
        </is>
      </c>
      <c r="J2147" s="3" t="inlineStr">
        <is>
          <t>SRC_MS_PHI; SRC_OPENAI_GPT41_DOCS; SRC_MS_PHI4_TECHREPORT; SRC_MS_MAIA200; SRC_EPOCH_AI_DATA_CENTERS</t>
        </is>
      </c>
      <c r="K2147" s="3" t="inlineStr">
        <is>
          <t>ASSUMP_POWER_RAMP; ASSUMP_MS_OPENAI_ATTRIBUTION; ASSUMP_NUMERIC_ACCELERATOR_MIX; ASSUMP_INFERENCE_SHARE_NOT_FACT_60; ASSUMP_WORKLOAD_CLASS_MIX; ASSUMP_AGENTIC_CONTEXT_PENALTY</t>
        </is>
      </c>
      <c r="L2147" s="3" t="inlineStr">
        <is>
          <t>Recompute after ai_workload_share is replaced by telemetry.</t>
        </is>
      </c>
    </row>
    <row r="2148">
      <c r="A2148" s="3" t="inlineStr">
        <is>
          <t>Microsoft</t>
        </is>
      </c>
      <c r="B2148" s="3" t="n">
        <v>2029</v>
      </c>
      <c r="C2148" s="3" t="inlineStr">
        <is>
          <t>Bull</t>
        </is>
      </c>
      <c r="D2148" s="3" t="inlineStr">
        <is>
          <t>gpu_share</t>
        </is>
      </c>
      <c r="E2148" s="3" t="n">
        <v>0.726329</v>
      </c>
      <c r="F2148" s="3" t="inlineStr">
        <is>
          <t>share of inference-serving accelerator load</t>
        </is>
      </c>
      <c r="G2148" s="3" t="inlineStr">
        <is>
          <t>Numeric scenario</t>
        </is>
      </c>
      <c r="H2148" s="3" t="inlineStr">
        <is>
          <t>gpu_share interpolated from company 2026/2030 accelerator-mix endpoints</t>
        </is>
      </c>
      <c r="I2148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48" s="3" t="inlineStr">
        <is>
          <t>SRC_MS_PHI; SRC_OPENAI_GPT41_DOCS; SRC_MS_PHI4_TECHREPORT; SRC_MS_MAIA200; SRC_EPOCH_AI_DATA_CENTERS; ASSUMP_NUMERIC_ACCELERATOR_MIX</t>
        </is>
      </c>
      <c r="K2148" s="3" t="inlineStr">
        <is>
          <t>ASSUMP_POWER_RAMP; ASSUMP_MS_OPENAI_ATTRIBUTION; ASSUMP_NUMERIC_ACCELERATOR_MIX; ASSUMP_INFERENCE_SHARE_NOT_FACT_60; ASSUMP_WORKLOAD_CLASS_MIX; ASSUMP_AGENTIC_CONTEXT_PENALTY</t>
        </is>
      </c>
      <c r="L2148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49">
      <c r="A2149" s="3" t="inlineStr">
        <is>
          <t>Microsoft</t>
        </is>
      </c>
      <c r="B2149" s="3" t="n">
        <v>2029</v>
      </c>
      <c r="C2149" s="3" t="inlineStr">
        <is>
          <t>Bull</t>
        </is>
      </c>
      <c r="D2149" s="3" t="inlineStr">
        <is>
          <t>h200_share</t>
        </is>
      </c>
      <c r="E2149" s="3" t="n">
        <v>0.020598</v>
      </c>
      <c r="F2149" s="3" t="inlineStr">
        <is>
          <t>share of inference-serving accelerator load</t>
        </is>
      </c>
      <c r="G2149" s="3" t="inlineStr">
        <is>
          <t>Editable numeric scenario</t>
        </is>
      </c>
      <c r="H2149" s="3" t="inlineStr">
        <is>
          <t>h200_share = gpu_share * default_gpu_generation_mix_h200</t>
        </is>
      </c>
      <c r="I2149" s="3" t="inlineStr">
        <is>
          <t>Default GPU-generation migration assumption; executive workbook allows later manual replacement by company/year/scenario.</t>
        </is>
      </c>
      <c r="J2149" s="3" t="inlineStr">
        <is>
          <t>SRC_SEMIANALYSIS_INFERENCEX; ASSUMP_NUMERIC_ACCELERATOR_MIX</t>
        </is>
      </c>
      <c r="K2149" s="3" t="inlineStr">
        <is>
          <t>ASSUMP_POWER_RAMP; ASSUMP_MS_OPENAI_ATTRIBUTION; ASSUMP_NUMERIC_ACCELERATOR_MIX; ASSUMP_INFERENCE_SHARE_NOT_FACT_60; ASSUMP_WORKLOAD_CLASS_MIX; ASSUMP_AGENTIC_CONTEXT_PENALTY</t>
        </is>
      </c>
      <c r="L2149" s="3" t="inlineStr">
        <is>
          <t>Company fleet inventory, accelerator-hours or procurement/deployment records by GPU generation.</t>
        </is>
      </c>
    </row>
    <row r="2150">
      <c r="A2150" s="3" t="inlineStr">
        <is>
          <t>Microsoft</t>
        </is>
      </c>
      <c r="B2150" s="3" t="n">
        <v>2029</v>
      </c>
      <c r="C2150" s="3" t="inlineStr">
        <is>
          <t>Bull</t>
        </is>
      </c>
      <c r="D2150" s="3" t="inlineStr">
        <is>
          <t>b200_share</t>
        </is>
      </c>
      <c r="E2150" s="3" t="n">
        <v>0.705731</v>
      </c>
      <c r="F2150" s="3" t="inlineStr">
        <is>
          <t>share of inference-serving accelerator load</t>
        </is>
      </c>
      <c r="G2150" s="3" t="inlineStr">
        <is>
          <t>Editable numeric scenario</t>
        </is>
      </c>
      <c r="H2150" s="3" t="inlineStr">
        <is>
          <t>b200_share = gpu_share * default_gpu_generation_mix_b200</t>
        </is>
      </c>
      <c r="I2150" s="3" t="inlineStr">
        <is>
          <t>Default GPU-generation migration assumption; executive workbook allows later manual replacement by company/year/scenario.</t>
        </is>
      </c>
      <c r="J2150" s="3" t="inlineStr">
        <is>
          <t>SRC_SEMIANALYSIS_INFERENCEX; ASSUMP_NUMERIC_ACCELERATOR_MIX</t>
        </is>
      </c>
      <c r="K2150" s="3" t="inlineStr">
        <is>
          <t>ASSUMP_POWER_RAMP; ASSUMP_MS_OPENAI_ATTRIBUTION; ASSUMP_NUMERIC_ACCELERATOR_MIX; ASSUMP_INFERENCE_SHARE_NOT_FACT_60; ASSUMP_WORKLOAD_CLASS_MIX; ASSUMP_AGENTIC_CONTEXT_PENALTY</t>
        </is>
      </c>
      <c r="L2150" s="3" t="inlineStr">
        <is>
          <t>Company fleet inventory, accelerator-hours or procurement/deployment records by GPU generation.</t>
        </is>
      </c>
    </row>
    <row r="2151">
      <c r="A2151" s="3" t="inlineStr">
        <is>
          <t>Microsoft</t>
        </is>
      </c>
      <c r="B2151" s="3" t="n">
        <v>2029</v>
      </c>
      <c r="C2151" s="3" t="inlineStr">
        <is>
          <t>Bull</t>
        </is>
      </c>
      <c r="D2151" s="3" t="inlineStr">
        <is>
          <t>gb200_share</t>
        </is>
      </c>
      <c r="E2151" s="3" t="n">
        <v>0</v>
      </c>
      <c r="F2151" s="3" t="inlineStr">
        <is>
          <t>share of inference-serving accelerator load</t>
        </is>
      </c>
      <c r="G2151" s="3" t="inlineStr">
        <is>
          <t>Editable numeric scenario</t>
        </is>
      </c>
      <c r="H2151" s="3" t="inlineStr">
        <is>
          <t>gb200_share = gpu_share * default_gpu_generation_mix_gb200</t>
        </is>
      </c>
      <c r="I2151" s="3" t="inlineStr">
        <is>
          <t>Default GPU-generation migration assumption; executive workbook allows later manual replacement by company/year/scenario.</t>
        </is>
      </c>
      <c r="J2151" s="3" t="inlineStr">
        <is>
          <t>SRC_SEMIANALYSIS_INFERENCEX; ASSUMP_NUMERIC_ACCELERATOR_MIX</t>
        </is>
      </c>
      <c r="K2151" s="3" t="inlineStr">
        <is>
          <t>ASSUMP_POWER_RAMP; ASSUMP_MS_OPENAI_ATTRIBUTION; ASSUMP_NUMERIC_ACCELERATOR_MIX; ASSUMP_INFERENCE_SHARE_NOT_FACT_60; ASSUMP_WORKLOAD_CLASS_MIX; ASSUMP_AGENTIC_CONTEXT_PENALTY</t>
        </is>
      </c>
      <c r="L2151" s="3" t="inlineStr">
        <is>
          <t>Company fleet inventory, accelerator-hours or procurement/deployment records by GPU generation.</t>
        </is>
      </c>
    </row>
    <row r="2152">
      <c r="A2152" s="3" t="inlineStr">
        <is>
          <t>Microsoft</t>
        </is>
      </c>
      <c r="B2152" s="3" t="n">
        <v>2029</v>
      </c>
      <c r="C2152" s="3" t="inlineStr">
        <is>
          <t>Bull</t>
        </is>
      </c>
      <c r="D2152" s="3" t="inlineStr">
        <is>
          <t>purpose_built_accelerator_share</t>
        </is>
      </c>
      <c r="E2152" s="3" t="n">
        <v>0.273671</v>
      </c>
      <c r="F2152" s="3" t="inlineStr">
        <is>
          <t>share of inference-serving accelerator load</t>
        </is>
      </c>
      <c r="G2152" s="3" t="inlineStr">
        <is>
          <t>Numeric scenario</t>
        </is>
      </c>
      <c r="H2152" s="3" t="inlineStr">
        <is>
          <t>1 - gpu_share</t>
        </is>
      </c>
      <c r="I2152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52" s="3" t="inlineStr">
        <is>
          <t>SRC_MS_PHI; SRC_OPENAI_GPT41_DOCS; SRC_MS_PHI4_TECHREPORT; SRC_MS_MAIA200; SRC_EPOCH_AI_DATA_CENTERS; ASSUMP_NUMERIC_ACCELERATOR_MIX</t>
        </is>
      </c>
      <c r="K2152" s="3" t="inlineStr">
        <is>
          <t>ASSUMP_POWER_RAMP; ASSUMP_MS_OPENAI_ATTRIBUTION; ASSUMP_NUMERIC_ACCELERATOR_MIX; ASSUMP_INFERENCE_SHARE_NOT_FACT_60; ASSUMP_WORKLOAD_CLASS_MIX; ASSUMP_AGENTIC_CONTEXT_PENALTY</t>
        </is>
      </c>
      <c r="L2152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53">
      <c r="A2153" s="3" t="inlineStr">
        <is>
          <t>Microsoft</t>
        </is>
      </c>
      <c r="B2153" s="3" t="n">
        <v>2029</v>
      </c>
      <c r="C2153" s="3" t="inlineStr">
        <is>
          <t>Bull</t>
        </is>
      </c>
      <c r="D2153" s="3" t="inlineStr">
        <is>
          <t>fleet_reference_tps_per_mw</t>
        </is>
      </c>
      <c r="E2153" s="3" t="n">
        <v>2856801</v>
      </c>
      <c r="F2153" s="3" t="inlineStr">
        <is>
          <t>generated output tokens/sec/MW</t>
        </is>
      </c>
      <c r="G2153" s="3" t="inlineStr">
        <is>
          <t>Fleet-weighted public benchmark reference</t>
        </is>
      </c>
      <c r="H2153" s="3" t="inlineStr">
        <is>
          <t>h200_share*h200_workload_avg + b200_share*b200_workload_avg + gb200_share*gb200_workload_avg + purpose_built_share*purpose_workload_avg</t>
        </is>
      </c>
      <c r="I215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53" s="3" t="inlineStr">
        <is>
          <t>SRC_SEMIANALYSIS_INFERENCEX; ASSUMP_NUMERIC_ACCELERATOR_MIX; ASSUMP_WORKLOAD_CLASS_MIX; ASSUMP_AGENTIC_CONTEXT_PENALTY</t>
        </is>
      </c>
      <c r="K2153" s="3" t="inlineStr">
        <is>
          <t>ASSUMP_POWER_RAMP; ASSUMP_MS_OPENAI_ATTRIBUTION; ASSUMP_NUMERIC_ACCELERATOR_MIX; ASSUMP_INFERENCE_SHARE_NOT_FACT_60; ASSUMP_WORKLOAD_CLASS_MIX; ASSUMP_AGENTIC_CONTEXT_PENALTY</t>
        </is>
      </c>
      <c r="L2153" s="3" t="inlineStr">
        <is>
          <t>Comparable production output-token throughput or a more closely matched benchmark.</t>
        </is>
      </c>
    </row>
    <row r="2154">
      <c r="A2154" s="3" t="inlineStr">
        <is>
          <t>Microsoft</t>
        </is>
      </c>
      <c r="B2154" s="3" t="n">
        <v>2029</v>
      </c>
      <c r="C2154" s="3" t="inlineStr">
        <is>
          <t>Bull</t>
        </is>
      </c>
      <c r="D2154" s="3" t="inlineStr">
        <is>
          <t>commercial_workload_fit_factor</t>
        </is>
      </c>
      <c r="E2154" s="3" t="n">
        <v>0.8</v>
      </c>
      <c r="F2154" s="3" t="inlineStr">
        <is>
          <t>share of public reference throughput</t>
        </is>
      </c>
      <c r="G2154" s="3" t="inlineStr">
        <is>
          <t>Scenario assumption</t>
        </is>
      </c>
      <c r="H2154" s="3" t="inlineStr">
        <is>
          <t>reference_serving_tps_per_mw = fleet_reference_tps_per_mw * commercial_workload_fit_factor</t>
        </is>
      </c>
      <c r="I2154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54" s="3" t="inlineStr">
        <is>
          <t>SRC_SEMIANALYSIS_INFERENCEX; ASSUMP_NUMERIC_ACCELERATOR_MIX; ASSUMP_WORKLOAD_CLASS_MIX; ASSUMP_AGENTIC_CONTEXT_PENALTY</t>
        </is>
      </c>
      <c r="K2154" s="3" t="inlineStr">
        <is>
          <t>ASSUMP_POWER_RAMP; ASSUMP_MS_OPENAI_ATTRIBUTION; ASSUMP_NUMERIC_ACCELERATOR_MIX; ASSUMP_INFERENCE_SHARE_NOT_FACT_60; ASSUMP_WORKLOAD_CLASS_MIX; ASSUMP_AGENTIC_CONTEXT_PENALTY</t>
        </is>
      </c>
      <c r="L2154" s="3" t="inlineStr">
        <is>
          <t>Matched commercial serving benchmark by product surface, context shape and latency SLO.</t>
        </is>
      </c>
    </row>
    <row r="2155">
      <c r="A2155" s="3" t="inlineStr">
        <is>
          <t>Microsoft</t>
        </is>
      </c>
      <c r="B2155" s="3" t="n">
        <v>2029</v>
      </c>
      <c r="C2155" s="3" t="inlineStr">
        <is>
          <t>Bull</t>
        </is>
      </c>
      <c r="D2155" s="3" t="inlineStr">
        <is>
          <t>reference_serving_tps_per_mw</t>
        </is>
      </c>
      <c r="E2155" s="3" t="n">
        <v>2285441</v>
      </c>
      <c r="F2155" s="3" t="inlineStr">
        <is>
          <t>generated output tokens/sec/MW</t>
        </is>
      </c>
      <c r="G2155" s="3" t="inlineStr">
        <is>
          <t>Workload-adjusted benchmark proxy</t>
        </is>
      </c>
      <c r="H2155" s="3" t="inlineStr">
        <is>
          <t>fleet_reference_tps_per_mw * commercial_workload_fit_factor</t>
        </is>
      </c>
      <c r="I2155" s="3" t="inlineStr">
        <is>
          <t>This is the coefficient used for headline token generation; each GPU's short chat, long chat and agentic TPS/MW are weighted before fleet mix and commercial fit are applied.</t>
        </is>
      </c>
      <c r="J2155" s="3" t="inlineStr">
        <is>
          <t>SRC_SEMIANALYSIS_INFERENCEX; ASSUMP_NUMERIC_ACCELERATOR_MIX; ASSUMP_WORKLOAD_CLASS_MIX; ASSUMP_AGENTIC_CONTEXT_PENALTY</t>
        </is>
      </c>
      <c r="K2155" s="3" t="inlineStr">
        <is>
          <t>ASSUMP_POWER_RAMP; ASSUMP_MS_OPENAI_ATTRIBUTION; ASSUMP_NUMERIC_ACCELERATOR_MIX; ASSUMP_INFERENCE_SHARE_NOT_FACT_60; ASSUMP_WORKLOAD_CLASS_MIX; ASSUMP_AGENTIC_CONTEXT_PENALTY</t>
        </is>
      </c>
      <c r="L2155" s="3" t="inlineStr">
        <is>
          <t>Provider production output-token throughput with comparable workload/SLO.</t>
        </is>
      </c>
    </row>
    <row r="2156">
      <c r="A2156" s="3" t="inlineStr">
        <is>
          <t>Microsoft</t>
        </is>
      </c>
      <c r="B2156" s="3" t="n">
        <v>2029</v>
      </c>
      <c r="C2156" s="3" t="inlineStr">
        <is>
          <t>Bull</t>
        </is>
      </c>
      <c r="D2156" s="3" t="inlineStr">
        <is>
          <t>purpose_built_tps_per_mw</t>
        </is>
      </c>
      <c r="E2156" s="3" t="n">
        <v>3613574</v>
      </c>
      <c r="F2156" s="3" t="inlineStr">
        <is>
          <t>generated output tokens/sec/MW</t>
        </is>
      </c>
      <c r="G2156" s="3" t="inlineStr">
        <is>
          <t>Conservative no-uplift proxy</t>
        </is>
      </c>
      <c r="H2156" s="3" t="inlineStr">
        <is>
          <t>purpose_built_tps_per_mw = purpose_built_reference_tps_per_mw * commercial_workload_fit_factor until comparable output-token benchmark is adopted</t>
        </is>
      </c>
      <c r="I2156" s="3" t="inlineStr">
        <is>
          <t>No comparable public output-token/MW row adopted; B200 public reference placeholder is used and remains editable.</t>
        </is>
      </c>
      <c r="J2156" s="3" t="inlineStr">
        <is>
          <t>SRC_MS_PHI; SRC_OPENAI_GPT41_DOCS; SRC_MS_PHI4_TECHREPORT; SRC_MS_MAIA200; SRC_EPOCH_AI_DATA_CENTERS; ASSUMP_NUMERIC_ACCELERATOR_MIX</t>
        </is>
      </c>
      <c r="K2156" s="3" t="inlineStr">
        <is>
          <t>ASSUMP_POWER_RAMP; ASSUMP_MS_OPENAI_ATTRIBUTION; ASSUMP_NUMERIC_ACCELERATOR_MIX; ASSUMP_INFERENCE_SHARE_NOT_FACT_60; ASSUMP_WORKLOAD_CLASS_MIX; ASSUMP_AGENTIC_CONTEXT_PENALTY</t>
        </is>
      </c>
      <c r="L2156" s="3" t="inlineStr">
        <is>
          <t>Matched-workload generated-output benchmark for the provider purpose-built accelerator.</t>
        </is>
      </c>
    </row>
    <row r="2157">
      <c r="A2157" s="3" t="inlineStr">
        <is>
          <t>Microsoft</t>
        </is>
      </c>
      <c r="B2157" s="3" t="n">
        <v>2029</v>
      </c>
      <c r="C2157" s="3" t="inlineStr">
        <is>
          <t>Bull</t>
        </is>
      </c>
      <c r="D2157" s="3" t="inlineStr">
        <is>
          <t>inference_power_share</t>
        </is>
      </c>
      <c r="E2157" s="3" t="n">
        <v>0.772</v>
      </c>
      <c r="F2157" s="3" t="inlineStr">
        <is>
          <t>share of AI IT load</t>
        </is>
      </c>
      <c r="G2157" s="3" t="inlineStr">
        <is>
          <t>Scenario allocation</t>
        </is>
      </c>
      <c r="H2157" s="3" t="inlineStr">
        <is>
          <t>inference_gw = ai_it_load_gw * inference_power_share</t>
        </is>
      </c>
      <c r="I2157" s="3" t="inlineStr">
        <is>
          <t>Copilot commercial serving growth supports rising inference allocation; OpenAI model-owner output must remain separately attributed.</t>
        </is>
      </c>
      <c r="J2157" s="3" t="inlineStr">
        <is>
          <t>SRC_MS_PHI; SRC_OPENAI_GPT41_DOCS; SRC_MS_PHI4_TECHREPORT; SRC_MS_MAIA200; SRC_EPOCH_AI_DATA_CENTERS; ASSUMP_INFERENCE_SHARE_NOT_FACT_60</t>
        </is>
      </c>
      <c r="K2157" s="3" t="inlineStr">
        <is>
          <t>ASSUMP_POWER_RAMP; ASSUMP_MS_OPENAI_ATTRIBUTION; ASSUMP_NUMERIC_ACCELERATOR_MIX; ASSUMP_INFERENCE_SHARE_NOT_FACT_60; ASSUMP_WORKLOAD_CLASS_MIX; ASSUMP_AGENTIC_CONTEXT_PENALTY</t>
        </is>
      </c>
      <c r="L2157" s="3" t="inlineStr">
        <is>
          <t>Provider-specific inference/training workload power telemetry.</t>
        </is>
      </c>
    </row>
    <row r="2158">
      <c r="A2158" s="3" t="inlineStr">
        <is>
          <t>Microsoft</t>
        </is>
      </c>
      <c r="B2158" s="3" t="n">
        <v>2029</v>
      </c>
      <c r="C2158" s="3" t="inlineStr">
        <is>
          <t>Bull</t>
        </is>
      </c>
      <c r="D2158" s="3" t="inlineStr">
        <is>
          <t>inference_gw</t>
        </is>
      </c>
      <c r="E2158" s="3" t="n">
        <v>3.24</v>
      </c>
      <c r="F2158" s="3" t="inlineStr">
        <is>
          <t>GW</t>
        </is>
      </c>
      <c r="G2158" s="3" t="inlineStr">
        <is>
          <t>Derived formula</t>
        </is>
      </c>
      <c r="H2158" s="3" t="inlineStr">
        <is>
          <t>ai_it_load_gw * inference_power_share</t>
        </is>
      </c>
      <c r="I2158" s="3" t="inlineStr">
        <is>
          <t>This is the operational power eligible to become commercial generated output tokens through the selected TPS/MW proxy.</t>
        </is>
      </c>
      <c r="J2158" s="3" t="inlineStr">
        <is>
          <t>SRC_MS_PHI; SRC_OPENAI_GPT41_DOCS; SRC_MS_PHI4_TECHREPORT; SRC_MS_MAIA200; SRC_EPOCH_AI_DATA_CENTERS</t>
        </is>
      </c>
      <c r="K2158" s="3" t="inlineStr">
        <is>
          <t>ASSUMP_POWER_RAMP; ASSUMP_MS_OPENAI_ATTRIBUTION; ASSUMP_NUMERIC_ACCELERATOR_MIX; ASSUMP_INFERENCE_SHARE_NOT_FACT_60; ASSUMP_WORKLOAD_CLASS_MIX; ASSUMP_AGENTIC_CONTEXT_PENALTY</t>
        </is>
      </c>
      <c r="L2158" s="3" t="inlineStr">
        <is>
          <t>Recompute after AI allocation or inference-share evidence changes.</t>
        </is>
      </c>
    </row>
    <row r="2159">
      <c r="A2159" s="3" t="inlineStr">
        <is>
          <t>Microsoft</t>
        </is>
      </c>
      <c r="B2159" s="3" t="n">
        <v>2029</v>
      </c>
      <c r="C2159" s="3" t="inlineStr">
        <is>
          <t>Bull</t>
        </is>
      </c>
      <c r="D2159" s="3" t="inlineStr">
        <is>
          <t>training_power_share</t>
        </is>
      </c>
      <c r="E2159" s="3" t="n">
        <v>0.228</v>
      </c>
      <c r="F2159" s="3" t="inlineStr">
        <is>
          <t>share of AI IT load</t>
        </is>
      </c>
      <c r="G2159" s="3" t="inlineStr">
        <is>
          <t>Derived allocation</t>
        </is>
      </c>
      <c r="H2159" s="3" t="inlineStr">
        <is>
          <t>1 - inference_power_share</t>
        </is>
      </c>
      <c r="I2159" s="3" t="inlineStr">
        <is>
          <t>Training receives the complementary modeled AI IT allocation; it is not a disclosed company workload split.</t>
        </is>
      </c>
      <c r="J2159" s="3" t="inlineStr">
        <is>
          <t>SRC_MS_PHI; SRC_OPENAI_GPT41_DOCS; SRC_MS_PHI4_TECHREPORT; SRC_MS_MAIA200; SRC_EPOCH_AI_DATA_CENTERS; ASSUMP_INFERENCE_SHARE_NOT_FACT_60</t>
        </is>
      </c>
      <c r="K2159" s="3" t="inlineStr">
        <is>
          <t>ASSUMP_POWER_RAMP; ASSUMP_MS_OPENAI_ATTRIBUTION; ASSUMP_NUMERIC_ACCELERATOR_MIX; ASSUMP_INFERENCE_SHARE_NOT_FACT_60; ASSUMP_WORKLOAD_CLASS_MIX; ASSUMP_AGENTIC_CONTEXT_PENALTY</t>
        </is>
      </c>
      <c r="L2159" s="3" t="inlineStr">
        <is>
          <t>Provider-specific inference/training workload power telemetry.</t>
        </is>
      </c>
    </row>
    <row r="2160">
      <c r="A2160" s="3" t="inlineStr">
        <is>
          <t>Microsoft</t>
        </is>
      </c>
      <c r="B2160" s="3" t="n">
        <v>2029</v>
      </c>
      <c r="C2160" s="3" t="inlineStr">
        <is>
          <t>Bull</t>
        </is>
      </c>
      <c r="D2160" s="3" t="inlineStr">
        <is>
          <t>training_gw</t>
        </is>
      </c>
      <c r="E2160" s="3" t="n">
        <v>0.954</v>
      </c>
      <c r="F2160" s="3" t="inlineStr">
        <is>
          <t>GW</t>
        </is>
      </c>
      <c r="G2160" s="3" t="inlineStr">
        <is>
          <t>Derived formula</t>
        </is>
      </c>
      <c r="H2160" s="3" t="inlineStr">
        <is>
          <t>ai_it_load_gw * training_power_share</t>
        </is>
      </c>
      <c r="I2160" s="3" t="inlineStr">
        <is>
          <t>Training GW is shown separately so commercial inference token capacity is not overstated.</t>
        </is>
      </c>
      <c r="J2160" s="3" t="inlineStr">
        <is>
          <t>SRC_MS_PHI; SRC_OPENAI_GPT41_DOCS; SRC_MS_PHI4_TECHREPORT; SRC_MS_MAIA200; SRC_EPOCH_AI_DATA_CENTERS</t>
        </is>
      </c>
      <c r="K2160" s="3" t="inlineStr">
        <is>
          <t>ASSUMP_POWER_RAMP; ASSUMP_MS_OPENAI_ATTRIBUTION; ASSUMP_NUMERIC_ACCELERATOR_MIX; ASSUMP_INFERENCE_SHARE_NOT_FACT_60; ASSUMP_WORKLOAD_CLASS_MIX; ASSUMP_AGENTIC_CONTEXT_PENALTY</t>
        </is>
      </c>
      <c r="L2160" s="3" t="inlineStr">
        <is>
          <t>Recompute after AI allocation or workload-split evidence changes.</t>
        </is>
      </c>
    </row>
    <row r="2161">
      <c r="A2161" s="3" t="inlineStr">
        <is>
          <t>Microsoft</t>
        </is>
      </c>
      <c r="B2161" s="3" t="n">
        <v>2029</v>
      </c>
      <c r="C2161" s="3" t="inlineStr">
        <is>
          <t>Bull</t>
        </is>
      </c>
      <c r="D2161" s="3" t="inlineStr">
        <is>
          <t>tokens_per_second_per_mw</t>
        </is>
      </c>
      <c r="E2161" s="3" t="n">
        <v>2285441</v>
      </c>
      <c r="F2161" s="3" t="inlineStr">
        <is>
          <t>generated output tokens/sec/MW</t>
        </is>
      </c>
      <c r="G2161" s="3" t="inlineStr">
        <is>
          <t>Derived estimate + benchmark calibration</t>
        </is>
      </c>
      <c r="H2161" s="3" t="inlineStr">
        <is>
          <t>fleet_reference_tps_per_mw * commercial_workload_fit_factor</t>
        </is>
      </c>
      <c r="I2161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61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61" s="3" t="inlineStr">
        <is>
          <t>ASSUMP_POWER_RAMP; ASSUMP_MS_OPENAI_ATTRIBUTION; ASSUMP_NUMERIC_ACCELERATOR_MIX; ASSUMP_INFERENCE_SHARE_NOT_FACT_60; ASSUMP_WORKLOAD_CLASS_MIX; ASSUMP_AGENTIC_CONTEXT_PENALTY</t>
        </is>
      </c>
      <c r="L2161" s="3" t="inlineStr">
        <is>
          <t>Comparable production output-token throughput with model, hardware, precision, ISL/OSL and SLO matched.</t>
        </is>
      </c>
    </row>
    <row r="2162">
      <c r="A2162" s="3" t="inlineStr">
        <is>
          <t>Microsoft</t>
        </is>
      </c>
      <c r="B2162" s="3" t="n">
        <v>2029</v>
      </c>
      <c r="C2162" s="3" t="inlineStr">
        <is>
          <t>Bull</t>
        </is>
      </c>
      <c r="D2162" s="3" t="inlineStr">
        <is>
          <t>inference_tokens_per_day</t>
        </is>
      </c>
      <c r="E2162" s="3" t="n">
        <v>639777211776000</v>
      </c>
      <c r="F2162" s="3" t="inlineStr">
        <is>
          <t>generated output tokens/day</t>
        </is>
      </c>
      <c r="G2162" s="3" t="inlineStr">
        <is>
          <t>Derived headline metric</t>
        </is>
      </c>
      <c r="H2162" s="3" t="inlineStr">
        <is>
          <t>inference_gw * 1000 * tokens_per_second_per_mw * 86,400</t>
        </is>
      </c>
      <c r="I2162" s="3" t="inlineStr">
        <is>
          <t>Headline capacity uses no utilization, MoE, architecture or software-growth multiplier; it is not observed commercial output volume.</t>
        </is>
      </c>
      <c r="J2162" s="3" t="inlineStr">
        <is>
          <t>SRC_MS_PHI; SRC_OPENAI_GPT41_DOCS; SRC_MS_PHI4_TECHREPORT; SRC_MS_MAIA200; SRC_EPOCH_AI_DATA_CENTERS; SRC_SEMIANALYSIS_INFERENCEX</t>
        </is>
      </c>
      <c r="K2162" s="3" t="inlineStr">
        <is>
          <t>ASSUMP_POWER_RAMP; ASSUMP_MS_OPENAI_ATTRIBUTION; ASSUMP_NUMERIC_ACCELERATOR_MIX; ASSUMP_INFERENCE_SHARE_NOT_FACT_60; ASSUMP_WORKLOAD_CLASS_MIX; ASSUMP_AGENTIC_CONTEXT_PENALTY</t>
        </is>
      </c>
      <c r="L2162" s="3" t="inlineStr">
        <is>
          <t>Provider-disclosed generated output token volume or calibrated capacity telemetry.</t>
        </is>
      </c>
    </row>
    <row r="2163">
      <c r="A2163" s="3" t="inlineStr">
        <is>
          <t>Microsoft</t>
        </is>
      </c>
      <c r="B2163" s="3" t="n">
        <v>2029</v>
      </c>
      <c r="C2163" s="3" t="inlineStr">
        <is>
          <t>Bull</t>
        </is>
      </c>
      <c r="D2163" s="3" t="inlineStr">
        <is>
          <t>inference_tokens_per_year</t>
        </is>
      </c>
      <c r="E2163" s="3" t="n">
        <v>2.3351868229824e+17</v>
      </c>
      <c r="F2163" s="3" t="inlineStr">
        <is>
          <t>generated output tokens/year</t>
        </is>
      </c>
      <c r="G2163" s="3" t="inlineStr">
        <is>
          <t>Derived headline metric</t>
        </is>
      </c>
      <c r="H2163" s="3" t="inlineStr">
        <is>
          <t>inference_tokens_per_day * 365</t>
        </is>
      </c>
      <c r="I2163" s="3" t="inlineStr">
        <is>
          <t>Annualized version of generated output token capacity; it is not observed annual demand or billable volume.</t>
        </is>
      </c>
      <c r="J2163" s="3" t="inlineStr">
        <is>
          <t>SRC_MS_PHI; SRC_OPENAI_GPT41_DOCS; SRC_MS_PHI4_TECHREPORT; SRC_MS_MAIA200; SRC_EPOCH_AI_DATA_CENTERS; SRC_SEMIANALYSIS_INFERENCEX</t>
        </is>
      </c>
      <c r="K2163" s="3" t="inlineStr">
        <is>
          <t>ASSUMP_POWER_RAMP; ASSUMP_MS_OPENAI_ATTRIBUTION; ASSUMP_NUMERIC_ACCELERATOR_MIX; ASSUMP_INFERENCE_SHARE_NOT_FACT_60; ASSUMP_WORKLOAD_CLASS_MIX; ASSUMP_AGENTIC_CONTEXT_PENALTY</t>
        </is>
      </c>
      <c r="L2163" s="3" t="inlineStr">
        <is>
          <t>Provider-disclosed annual generated-output volume or metered serving telemetry.</t>
        </is>
      </c>
    </row>
    <row r="2164">
      <c r="A2164" s="3" t="inlineStr">
        <is>
          <t>Microsoft</t>
        </is>
      </c>
      <c r="B2164" s="3" t="n">
        <v>2030</v>
      </c>
      <c r="C2164" s="3" t="inlineStr">
        <is>
          <t>Bull</t>
        </is>
      </c>
      <c r="D2164" s="3" t="inlineStr">
        <is>
          <t>contracted_power_gw</t>
        </is>
      </c>
      <c r="E2164" s="3" t="n">
        <v>9</v>
      </c>
      <c r="F2164" s="3" t="inlineStr">
        <is>
          <t>GW</t>
        </is>
      </c>
      <c r="G2164" s="3" t="inlineStr">
        <is>
          <t>Scenario capacity envelope</t>
        </is>
      </c>
      <c r="H2164" s="3" t="inlineStr">
        <is>
          <t>linear interpolation between 2026 and 2030 company capacity endpoints</t>
        </is>
      </c>
      <c r="I2164" s="3" t="inlineStr">
        <is>
          <t>Scenario envelope for Microsoft-controlled/Copilot serving burden; not an official contracted-GW disclosure.</t>
        </is>
      </c>
      <c r="J2164" s="3" t="inlineStr">
        <is>
          <t>ASSUMP_POWER_RAMP; SRC_MS_MAIA200</t>
        </is>
      </c>
      <c r="K2164" s="3" t="inlineStr">
        <is>
          <t>ASSUMP_POWER_RAMP; ASSUMP_MS_OPENAI_ATTRIBUTION; ASSUMP_NUMERIC_ACCELERATOR_MIX; ASSUMP_INFERENCE_SHARE_NOT_FACT_60; ASSUMP_WORKLOAD_CLASS_MIX; ASSUMP_AGENTIC_CONTEXT_PENALTY</t>
        </is>
      </c>
      <c r="L2164" s="3" t="inlineStr">
        <is>
          <t>Company/site-level committed MW/GW, interconnect and contract disclosure.</t>
        </is>
      </c>
    </row>
    <row r="2165">
      <c r="A2165" s="3" t="inlineStr">
        <is>
          <t>Microsoft</t>
        </is>
      </c>
      <c r="B2165" s="3" t="n">
        <v>2030</v>
      </c>
      <c r="C2165" s="3" t="inlineStr">
        <is>
          <t>Bull</t>
        </is>
      </c>
      <c r="D2165" s="3" t="inlineStr">
        <is>
          <t>operational_deployment_share</t>
        </is>
      </c>
      <c r="E2165" s="3" t="n">
        <v>0.81288889</v>
      </c>
      <c r="F2165" s="3" t="inlineStr">
        <is>
          <t>share</t>
        </is>
      </c>
      <c r="G2165" s="3" t="inlineStr">
        <is>
          <t>Scenario conversion</t>
        </is>
      </c>
      <c r="H2165" s="3" t="inlineStr">
        <is>
          <t>active_power_gw / contracted_power_gw</t>
        </is>
      </c>
      <c r="I2165" s="3" t="inlineStr">
        <is>
          <t>This is the single explicit conversion from contracted/attributed capacity to operationally usable capacity.</t>
        </is>
      </c>
      <c r="J2165" s="3" t="inlineStr">
        <is>
          <t>ASSUMP_POWER_RAMP; SRC_MS_MAIA200</t>
        </is>
      </c>
      <c r="K2165" s="3" t="inlineStr">
        <is>
          <t>ASSUMP_POWER_RAMP; ASSUMP_MS_OPENAI_ATTRIBUTION; ASSUMP_NUMERIC_ACCELERATOR_MIX; ASSUMP_INFERENCE_SHARE_NOT_FACT_60; ASSUMP_WORKLOAD_CLASS_MIX; ASSUMP_AGENTIC_CONTEXT_PENALTY</t>
        </is>
      </c>
      <c r="L2165" s="3" t="inlineStr">
        <is>
          <t>Energized operational capacity divided by contracted/attributed capacity.</t>
        </is>
      </c>
    </row>
    <row r="2166">
      <c r="A2166" s="3" t="inlineStr">
        <is>
          <t>Microsoft</t>
        </is>
      </c>
      <c r="B2166" s="3" t="n">
        <v>2030</v>
      </c>
      <c r="C2166" s="3" t="inlineStr">
        <is>
          <t>Bull</t>
        </is>
      </c>
      <c r="D2166" s="3" t="inlineStr">
        <is>
          <t>active_power_gw</t>
        </is>
      </c>
      <c r="E2166" s="3" t="n">
        <v>7.316</v>
      </c>
      <c r="F2166" s="3" t="inlineStr">
        <is>
          <t>GW</t>
        </is>
      </c>
      <c r="G2166" s="3" t="inlineStr">
        <is>
          <t>Derived scenario</t>
        </is>
      </c>
      <c r="H2166" s="3" t="inlineStr">
        <is>
          <t>contracted_power_gw * operational_deployment_share</t>
        </is>
      </c>
      <c r="I2166" s="3" t="inlineStr">
        <is>
          <t>Active GW is a staged operational deployment fraction of modeled capacity, reflecting site energization and accelerator availability.</t>
        </is>
      </c>
      <c r="J2166" s="3" t="inlineStr">
        <is>
          <t>ASSUMP_POWER_RAMP; SRC_MS_MAIA200</t>
        </is>
      </c>
      <c r="K2166" s="3" t="inlineStr">
        <is>
          <t>ASSUMP_POWER_RAMP; ASSUMP_MS_OPENAI_ATTRIBUTION; ASSUMP_NUMERIC_ACCELERATOR_MIX; ASSUMP_INFERENCE_SHARE_NOT_FACT_60; ASSUMP_WORKLOAD_CLASS_MIX; ASSUMP_AGENTIC_CONTEXT_PENALTY</t>
        </is>
      </c>
      <c r="L2166" s="3" t="inlineStr">
        <is>
          <t>Energization dates, accelerator deliveries and operational powered-rack telemetry.</t>
        </is>
      </c>
    </row>
    <row r="2167">
      <c r="A2167" s="3" t="inlineStr">
        <is>
          <t>Microsoft</t>
        </is>
      </c>
      <c r="B2167" s="3" t="n">
        <v>2030</v>
      </c>
      <c r="C2167" s="3" t="inlineStr">
        <is>
          <t>Bull</t>
        </is>
      </c>
      <c r="D2167" s="3" t="inlineStr">
        <is>
          <t>pue</t>
        </is>
      </c>
      <c r="E2167" s="3" t="n">
        <v>1.2</v>
      </c>
      <c r="F2167" s="3" t="inlineStr">
        <is>
          <t>ratio</t>
        </is>
      </c>
      <c r="G2167" s="3" t="inlineStr">
        <is>
          <t>Scenario parameter</t>
        </is>
      </c>
      <c r="H2167" s="3" t="inlineStr">
        <is>
          <t>it_load_gw = active_power_gw / pue</t>
        </is>
      </c>
      <c r="I2167" s="3" t="inlineStr">
        <is>
          <t>No provider-wide site-level PUE is used as a disclosed fact; PUE represents facility-to-IT conversion within the scenario.</t>
        </is>
      </c>
      <c r="J2167" s="3" t="inlineStr">
        <is>
          <t>ASSUMP_POWER_RAMP</t>
        </is>
      </c>
      <c r="K2167" s="3" t="inlineStr">
        <is>
          <t>ASSUMP_POWER_RAMP; ASSUMP_MS_OPENAI_ATTRIBUTION; ASSUMP_NUMERIC_ACCELERATOR_MIX; ASSUMP_INFERENCE_SHARE_NOT_FACT_60; ASSUMP_WORKLOAD_CLASS_MIX; ASSUMP_AGENTIC_CONTEXT_PENALTY</t>
        </is>
      </c>
      <c r="L2167" s="3" t="inlineStr">
        <is>
          <t>Site-level measured PUE matched to attributed AI capacity.</t>
        </is>
      </c>
    </row>
    <row r="2168">
      <c r="A2168" s="3" t="inlineStr">
        <is>
          <t>Microsoft</t>
        </is>
      </c>
      <c r="B2168" s="3" t="n">
        <v>2030</v>
      </c>
      <c r="C2168" s="3" t="inlineStr">
        <is>
          <t>Bull</t>
        </is>
      </c>
      <c r="D2168" s="3" t="inlineStr">
        <is>
          <t>it_load_gw</t>
        </is>
      </c>
      <c r="E2168" s="3" t="n">
        <v>6.097</v>
      </c>
      <c r="F2168" s="3" t="inlineStr">
        <is>
          <t>GW</t>
        </is>
      </c>
      <c r="G2168" s="3" t="inlineStr">
        <is>
          <t>Derived formula</t>
        </is>
      </c>
      <c r="H2168" s="3" t="inlineStr">
        <is>
          <t>active_power_gw / pue</t>
        </is>
      </c>
      <c r="I2168" s="3" t="inlineStr">
        <is>
          <t>Facility power is converted to IT-deliverable power before attributing AI workloads.</t>
        </is>
      </c>
      <c r="J2168" s="3" t="inlineStr">
        <is>
          <t>ASSUMP_POWER_RAMP; SRC_MS_MAIA200</t>
        </is>
      </c>
      <c r="K2168" s="3" t="inlineStr">
        <is>
          <t>ASSUMP_POWER_RAMP; ASSUMP_MS_OPENAI_ATTRIBUTION; ASSUMP_NUMERIC_ACCELERATOR_MIX; ASSUMP_INFERENCE_SHARE_NOT_FACT_60; ASSUMP_WORKLOAD_CLASS_MIX; ASSUMP_AGENTIC_CONTEXT_PENALTY</t>
        </is>
      </c>
      <c r="L2168" s="3" t="inlineStr">
        <is>
          <t>Recompute once active power and PUE become site-observable.</t>
        </is>
      </c>
    </row>
    <row r="2169">
      <c r="A2169" s="3" t="inlineStr">
        <is>
          <t>Microsoft</t>
        </is>
      </c>
      <c r="B2169" s="3" t="n">
        <v>2030</v>
      </c>
      <c r="C2169" s="3" t="inlineStr">
        <is>
          <t>Bull</t>
        </is>
      </c>
      <c r="D2169" s="3" t="inlineStr">
        <is>
          <t>ai_workload_share</t>
        </is>
      </c>
      <c r="E2169" s="3" t="n">
        <v>0.86</v>
      </c>
      <c r="F2169" s="3" t="inlineStr">
        <is>
          <t>share</t>
        </is>
      </c>
      <c r="G2169" s="3" t="inlineStr">
        <is>
          <t>Scenario allocation</t>
        </is>
      </c>
      <c r="H2169" s="3" t="inlineStr">
        <is>
          <t>ai_it_load_gw = it_load_gw * ai_workload_share</t>
        </is>
      </c>
      <c r="I2169" s="3" t="inlineStr">
        <is>
          <t>Azure/Copilot serving burden is AI-oriented but shares infrastructure with platform and reserve overhead; 86% is a scenario allocation.</t>
        </is>
      </c>
      <c r="J2169" s="3" t="inlineStr">
        <is>
          <t>SRC_MS_PHI; SRC_OPENAI_GPT41_DOCS; SRC_MS_PHI4_TECHREPORT; SRC_MS_MAIA200; SRC_EPOCH_AI_DATA_CENTERS</t>
        </is>
      </c>
      <c r="K2169" s="3" t="inlineStr">
        <is>
          <t>ASSUMP_POWER_RAMP; ASSUMP_MS_OPENAI_ATTRIBUTION; ASSUMP_NUMERIC_ACCELERATOR_MIX; ASSUMP_INFERENCE_SHARE_NOT_FACT_60; ASSUMP_WORKLOAD_CLASS_MIX; ASSUMP_AGENTIC_CONTEXT_PENALTY</t>
        </is>
      </c>
      <c r="L2169" s="3" t="inlineStr">
        <is>
          <t>Model-owner AI workload allocation or cluster scheduling telemetry.</t>
        </is>
      </c>
    </row>
    <row r="2170">
      <c r="A2170" s="3" t="inlineStr">
        <is>
          <t>Microsoft</t>
        </is>
      </c>
      <c r="B2170" s="3" t="n">
        <v>2030</v>
      </c>
      <c r="C2170" s="3" t="inlineStr">
        <is>
          <t>Bull</t>
        </is>
      </c>
      <c r="D2170" s="3" t="inlineStr">
        <is>
          <t>ai_it_load_gw</t>
        </is>
      </c>
      <c r="E2170" s="3" t="n">
        <v>5.243</v>
      </c>
      <c r="F2170" s="3" t="inlineStr">
        <is>
          <t>GW</t>
        </is>
      </c>
      <c r="G2170" s="3" t="inlineStr">
        <is>
          <t>Derived formula</t>
        </is>
      </c>
      <c r="H2170" s="3" t="inlineStr">
        <is>
          <t>it_load_gw * ai_workload_share</t>
        </is>
      </c>
      <c r="I2170" s="3" t="inlineStr">
        <is>
          <t>Only the AI-attributed portion of IT load enters training/inference allocation.</t>
        </is>
      </c>
      <c r="J2170" s="3" t="inlineStr">
        <is>
          <t>SRC_MS_PHI; SRC_OPENAI_GPT41_DOCS; SRC_MS_PHI4_TECHREPORT; SRC_MS_MAIA200; SRC_EPOCH_AI_DATA_CENTERS</t>
        </is>
      </c>
      <c r="K2170" s="3" t="inlineStr">
        <is>
          <t>ASSUMP_POWER_RAMP; ASSUMP_MS_OPENAI_ATTRIBUTION; ASSUMP_NUMERIC_ACCELERATOR_MIX; ASSUMP_INFERENCE_SHARE_NOT_FACT_60; ASSUMP_WORKLOAD_CLASS_MIX; ASSUMP_AGENTIC_CONTEXT_PENALTY</t>
        </is>
      </c>
      <c r="L2170" s="3" t="inlineStr">
        <is>
          <t>Recompute after ai_workload_share is replaced by telemetry.</t>
        </is>
      </c>
    </row>
    <row r="2171">
      <c r="A2171" s="3" t="inlineStr">
        <is>
          <t>Microsoft</t>
        </is>
      </c>
      <c r="B2171" s="3" t="n">
        <v>2030</v>
      </c>
      <c r="C2171" s="3" t="inlineStr">
        <is>
          <t>Bull</t>
        </is>
      </c>
      <c r="D2171" s="3" t="inlineStr">
        <is>
          <t>gpu_share</t>
        </is>
      </c>
      <c r="E2171" s="3" t="n">
        <v>0.726329</v>
      </c>
      <c r="F2171" s="3" t="inlineStr">
        <is>
          <t>share of inference-serving accelerator load</t>
        </is>
      </c>
      <c r="G2171" s="3" t="inlineStr">
        <is>
          <t>Numeric scenario</t>
        </is>
      </c>
      <c r="H2171" s="3" t="inlineStr">
        <is>
          <t>gpu_share interpolated from company 2026/2030 accelerator-mix endpoints</t>
        </is>
      </c>
      <c r="I2171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71" s="3" t="inlineStr">
        <is>
          <t>SRC_MS_PHI; SRC_OPENAI_GPT41_DOCS; SRC_MS_PHI4_TECHREPORT; SRC_MS_MAIA200; SRC_EPOCH_AI_DATA_CENTERS; ASSUMP_NUMERIC_ACCELERATOR_MIX</t>
        </is>
      </c>
      <c r="K2171" s="3" t="inlineStr">
        <is>
          <t>ASSUMP_POWER_RAMP; ASSUMP_MS_OPENAI_ATTRIBUTION; ASSUMP_NUMERIC_ACCELERATOR_MIX; ASSUMP_INFERENCE_SHARE_NOT_FACT_60; ASSUMP_WORKLOAD_CLASS_MIX; ASSUMP_AGENTIC_CONTEXT_PENALTY</t>
        </is>
      </c>
      <c r="L2171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72">
      <c r="A2172" s="3" t="inlineStr">
        <is>
          <t>Microsoft</t>
        </is>
      </c>
      <c r="B2172" s="3" t="n">
        <v>2030</v>
      </c>
      <c r="C2172" s="3" t="inlineStr">
        <is>
          <t>Bull</t>
        </is>
      </c>
      <c r="D2172" s="3" t="inlineStr">
        <is>
          <t>h200_share</t>
        </is>
      </c>
      <c r="E2172" s="3" t="n">
        <v>0.020598</v>
      </c>
      <c r="F2172" s="3" t="inlineStr">
        <is>
          <t>share of inference-serving accelerator load</t>
        </is>
      </c>
      <c r="G2172" s="3" t="inlineStr">
        <is>
          <t>Editable numeric scenario</t>
        </is>
      </c>
      <c r="H2172" s="3" t="inlineStr">
        <is>
          <t>h200_share = gpu_share * default_gpu_generation_mix_h200</t>
        </is>
      </c>
      <c r="I2172" s="3" t="inlineStr">
        <is>
          <t>Default GPU-generation migration assumption; executive workbook allows later manual replacement by company/year/scenario.</t>
        </is>
      </c>
      <c r="J2172" s="3" t="inlineStr">
        <is>
          <t>SRC_SEMIANALYSIS_INFERENCEX; ASSUMP_NUMERIC_ACCELERATOR_MIX</t>
        </is>
      </c>
      <c r="K2172" s="3" t="inlineStr">
        <is>
          <t>ASSUMP_POWER_RAMP; ASSUMP_MS_OPENAI_ATTRIBUTION; ASSUMP_NUMERIC_ACCELERATOR_MIX; ASSUMP_INFERENCE_SHARE_NOT_FACT_60; ASSUMP_WORKLOAD_CLASS_MIX; ASSUMP_AGENTIC_CONTEXT_PENALTY</t>
        </is>
      </c>
      <c r="L2172" s="3" t="inlineStr">
        <is>
          <t>Company fleet inventory, accelerator-hours or procurement/deployment records by GPU generation.</t>
        </is>
      </c>
    </row>
    <row r="2173">
      <c r="A2173" s="3" t="inlineStr">
        <is>
          <t>Microsoft</t>
        </is>
      </c>
      <c r="B2173" s="3" t="n">
        <v>2030</v>
      </c>
      <c r="C2173" s="3" t="inlineStr">
        <is>
          <t>Bull</t>
        </is>
      </c>
      <c r="D2173" s="3" t="inlineStr">
        <is>
          <t>b200_share</t>
        </is>
      </c>
      <c r="E2173" s="3" t="n">
        <v>0.705731</v>
      </c>
      <c r="F2173" s="3" t="inlineStr">
        <is>
          <t>share of inference-serving accelerator load</t>
        </is>
      </c>
      <c r="G2173" s="3" t="inlineStr">
        <is>
          <t>Editable numeric scenario</t>
        </is>
      </c>
      <c r="H2173" s="3" t="inlineStr">
        <is>
          <t>b200_share = gpu_share * default_gpu_generation_mix_b200</t>
        </is>
      </c>
      <c r="I2173" s="3" t="inlineStr">
        <is>
          <t>Default GPU-generation migration assumption; executive workbook allows later manual replacement by company/year/scenario.</t>
        </is>
      </c>
      <c r="J2173" s="3" t="inlineStr">
        <is>
          <t>SRC_SEMIANALYSIS_INFERENCEX; ASSUMP_NUMERIC_ACCELERATOR_MIX</t>
        </is>
      </c>
      <c r="K2173" s="3" t="inlineStr">
        <is>
          <t>ASSUMP_POWER_RAMP; ASSUMP_MS_OPENAI_ATTRIBUTION; ASSUMP_NUMERIC_ACCELERATOR_MIX; ASSUMP_INFERENCE_SHARE_NOT_FACT_60; ASSUMP_WORKLOAD_CLASS_MIX; ASSUMP_AGENTIC_CONTEXT_PENALTY</t>
        </is>
      </c>
      <c r="L2173" s="3" t="inlineStr">
        <is>
          <t>Company fleet inventory, accelerator-hours or procurement/deployment records by GPU generation.</t>
        </is>
      </c>
    </row>
    <row r="2174">
      <c r="A2174" s="3" t="inlineStr">
        <is>
          <t>Microsoft</t>
        </is>
      </c>
      <c r="B2174" s="3" t="n">
        <v>2030</v>
      </c>
      <c r="C2174" s="3" t="inlineStr">
        <is>
          <t>Bull</t>
        </is>
      </c>
      <c r="D2174" s="3" t="inlineStr">
        <is>
          <t>gb200_share</t>
        </is>
      </c>
      <c r="E2174" s="3" t="n">
        <v>0</v>
      </c>
      <c r="F2174" s="3" t="inlineStr">
        <is>
          <t>share of inference-serving accelerator load</t>
        </is>
      </c>
      <c r="G2174" s="3" t="inlineStr">
        <is>
          <t>Editable numeric scenario</t>
        </is>
      </c>
      <c r="H2174" s="3" t="inlineStr">
        <is>
          <t>gb200_share = gpu_share * default_gpu_generation_mix_gb200</t>
        </is>
      </c>
      <c r="I2174" s="3" t="inlineStr">
        <is>
          <t>Default GPU-generation migration assumption; executive workbook allows later manual replacement by company/year/scenario.</t>
        </is>
      </c>
      <c r="J2174" s="3" t="inlineStr">
        <is>
          <t>SRC_SEMIANALYSIS_INFERENCEX; ASSUMP_NUMERIC_ACCELERATOR_MIX</t>
        </is>
      </c>
      <c r="K2174" s="3" t="inlineStr">
        <is>
          <t>ASSUMP_POWER_RAMP; ASSUMP_MS_OPENAI_ATTRIBUTION; ASSUMP_NUMERIC_ACCELERATOR_MIX; ASSUMP_INFERENCE_SHARE_NOT_FACT_60; ASSUMP_WORKLOAD_CLASS_MIX; ASSUMP_AGENTIC_CONTEXT_PENALTY</t>
        </is>
      </c>
      <c r="L2174" s="3" t="inlineStr">
        <is>
          <t>Company fleet inventory, accelerator-hours or procurement/deployment records by GPU generation.</t>
        </is>
      </c>
    </row>
    <row r="2175">
      <c r="A2175" s="3" t="inlineStr">
        <is>
          <t>Microsoft</t>
        </is>
      </c>
      <c r="B2175" s="3" t="n">
        <v>2030</v>
      </c>
      <c r="C2175" s="3" t="inlineStr">
        <is>
          <t>Bull</t>
        </is>
      </c>
      <c r="D2175" s="3" t="inlineStr">
        <is>
          <t>purpose_built_accelerator_share</t>
        </is>
      </c>
      <c r="E2175" s="3" t="n">
        <v>0.273671</v>
      </c>
      <c r="F2175" s="3" t="inlineStr">
        <is>
          <t>share of inference-serving accelerator load</t>
        </is>
      </c>
      <c r="G2175" s="3" t="inlineStr">
        <is>
          <t>Numeric scenario</t>
        </is>
      </c>
      <c r="H2175" s="3" t="inlineStr">
        <is>
          <t>1 - gpu_share</t>
        </is>
      </c>
      <c r="I2175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2175" s="3" t="inlineStr">
        <is>
          <t>SRC_MS_PHI; SRC_OPENAI_GPT41_DOCS; SRC_MS_PHI4_TECHREPORT; SRC_MS_MAIA200; SRC_EPOCH_AI_DATA_CENTERS; ASSUMP_NUMERIC_ACCELERATOR_MIX</t>
        </is>
      </c>
      <c r="K2175" s="3" t="inlineStr">
        <is>
          <t>ASSUMP_POWER_RAMP; ASSUMP_MS_OPENAI_ATTRIBUTION; ASSUMP_NUMERIC_ACCELERATOR_MIX; ASSUMP_INFERENCE_SHARE_NOT_FACT_60; ASSUMP_WORKLOAD_CLASS_MIX; ASSUMP_AGENTIC_CONTEXT_PENALTY</t>
        </is>
      </c>
      <c r="L2175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2176">
      <c r="A2176" s="3" t="inlineStr">
        <is>
          <t>Microsoft</t>
        </is>
      </c>
      <c r="B2176" s="3" t="n">
        <v>2030</v>
      </c>
      <c r="C2176" s="3" t="inlineStr">
        <is>
          <t>Bull</t>
        </is>
      </c>
      <c r="D2176" s="3" t="inlineStr">
        <is>
          <t>fleet_reference_tps_per_mw</t>
        </is>
      </c>
      <c r="E2176" s="3" t="n">
        <v>2856801</v>
      </c>
      <c r="F2176" s="3" t="inlineStr">
        <is>
          <t>generated output tokens/sec/MW</t>
        </is>
      </c>
      <c r="G2176" s="3" t="inlineStr">
        <is>
          <t>Fleet-weighted public benchmark reference</t>
        </is>
      </c>
      <c r="H2176" s="3" t="inlineStr">
        <is>
          <t>h200_share*h200_workload_avg + b200_share*b200_workload_avg + gb200_share*gb200_workload_avg + purpose_built_share*purpose_workload_avg</t>
        </is>
      </c>
      <c r="I217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176" s="3" t="inlineStr">
        <is>
          <t>SRC_SEMIANALYSIS_INFERENCEX; ASSUMP_NUMERIC_ACCELERATOR_MIX; ASSUMP_WORKLOAD_CLASS_MIX; ASSUMP_AGENTIC_CONTEXT_PENALTY</t>
        </is>
      </c>
      <c r="K2176" s="3" t="inlineStr">
        <is>
          <t>ASSUMP_POWER_RAMP; ASSUMP_MS_OPENAI_ATTRIBUTION; ASSUMP_NUMERIC_ACCELERATOR_MIX; ASSUMP_INFERENCE_SHARE_NOT_FACT_60; ASSUMP_WORKLOAD_CLASS_MIX; ASSUMP_AGENTIC_CONTEXT_PENALTY</t>
        </is>
      </c>
      <c r="L2176" s="3" t="inlineStr">
        <is>
          <t>Comparable production output-token throughput or a more closely matched benchmark.</t>
        </is>
      </c>
    </row>
    <row r="2177">
      <c r="A2177" s="3" t="inlineStr">
        <is>
          <t>Microsoft</t>
        </is>
      </c>
      <c r="B2177" s="3" t="n">
        <v>2030</v>
      </c>
      <c r="C2177" s="3" t="inlineStr">
        <is>
          <t>Bull</t>
        </is>
      </c>
      <c r="D2177" s="3" t="inlineStr">
        <is>
          <t>commercial_workload_fit_factor</t>
        </is>
      </c>
      <c r="E2177" s="3" t="n">
        <v>0.8</v>
      </c>
      <c r="F2177" s="3" t="inlineStr">
        <is>
          <t>share of public reference throughput</t>
        </is>
      </c>
      <c r="G2177" s="3" t="inlineStr">
        <is>
          <t>Scenario assumption</t>
        </is>
      </c>
      <c r="H2177" s="3" t="inlineStr">
        <is>
          <t>reference_serving_tps_per_mw = fleet_reference_tps_per_mw * commercial_workload_fit_factor</t>
        </is>
      </c>
      <c r="I2177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2177" s="3" t="inlineStr">
        <is>
          <t>SRC_SEMIANALYSIS_INFERENCEX; ASSUMP_NUMERIC_ACCELERATOR_MIX; ASSUMP_WORKLOAD_CLASS_MIX; ASSUMP_AGENTIC_CONTEXT_PENALTY</t>
        </is>
      </c>
      <c r="K2177" s="3" t="inlineStr">
        <is>
          <t>ASSUMP_POWER_RAMP; ASSUMP_MS_OPENAI_ATTRIBUTION; ASSUMP_NUMERIC_ACCELERATOR_MIX; ASSUMP_INFERENCE_SHARE_NOT_FACT_60; ASSUMP_WORKLOAD_CLASS_MIX; ASSUMP_AGENTIC_CONTEXT_PENALTY</t>
        </is>
      </c>
      <c r="L2177" s="3" t="inlineStr">
        <is>
          <t>Matched commercial serving benchmark by product surface, context shape and latency SLO.</t>
        </is>
      </c>
    </row>
    <row r="2178">
      <c r="A2178" s="3" t="inlineStr">
        <is>
          <t>Microsoft</t>
        </is>
      </c>
      <c r="B2178" s="3" t="n">
        <v>2030</v>
      </c>
      <c r="C2178" s="3" t="inlineStr">
        <is>
          <t>Bull</t>
        </is>
      </c>
      <c r="D2178" s="3" t="inlineStr">
        <is>
          <t>reference_serving_tps_per_mw</t>
        </is>
      </c>
      <c r="E2178" s="3" t="n">
        <v>2285441</v>
      </c>
      <c r="F2178" s="3" t="inlineStr">
        <is>
          <t>generated output tokens/sec/MW</t>
        </is>
      </c>
      <c r="G2178" s="3" t="inlineStr">
        <is>
          <t>Workload-adjusted benchmark proxy</t>
        </is>
      </c>
      <c r="H2178" s="3" t="inlineStr">
        <is>
          <t>fleet_reference_tps_per_mw * commercial_workload_fit_factor</t>
        </is>
      </c>
      <c r="I2178" s="3" t="inlineStr">
        <is>
          <t>This is the coefficient used for headline token generation; each GPU's short chat, long chat and agentic TPS/MW are weighted before fleet mix and commercial fit are applied.</t>
        </is>
      </c>
      <c r="J2178" s="3" t="inlineStr">
        <is>
          <t>SRC_SEMIANALYSIS_INFERENCEX; ASSUMP_NUMERIC_ACCELERATOR_MIX; ASSUMP_WORKLOAD_CLASS_MIX; ASSUMP_AGENTIC_CONTEXT_PENALTY</t>
        </is>
      </c>
      <c r="K2178" s="3" t="inlineStr">
        <is>
          <t>ASSUMP_POWER_RAMP; ASSUMP_MS_OPENAI_ATTRIBUTION; ASSUMP_NUMERIC_ACCELERATOR_MIX; ASSUMP_INFERENCE_SHARE_NOT_FACT_60; ASSUMP_WORKLOAD_CLASS_MIX; ASSUMP_AGENTIC_CONTEXT_PENALTY</t>
        </is>
      </c>
      <c r="L2178" s="3" t="inlineStr">
        <is>
          <t>Provider production output-token throughput with comparable workload/SLO.</t>
        </is>
      </c>
    </row>
    <row r="2179">
      <c r="A2179" s="3" t="inlineStr">
        <is>
          <t>Microsoft</t>
        </is>
      </c>
      <c r="B2179" s="3" t="n">
        <v>2030</v>
      </c>
      <c r="C2179" s="3" t="inlineStr">
        <is>
          <t>Bull</t>
        </is>
      </c>
      <c r="D2179" s="3" t="inlineStr">
        <is>
          <t>purpose_built_tps_per_mw</t>
        </is>
      </c>
      <c r="E2179" s="3" t="n">
        <v>3613574</v>
      </c>
      <c r="F2179" s="3" t="inlineStr">
        <is>
          <t>generated output tokens/sec/MW</t>
        </is>
      </c>
      <c r="G2179" s="3" t="inlineStr">
        <is>
          <t>Conservative no-uplift proxy</t>
        </is>
      </c>
      <c r="H2179" s="3" t="inlineStr">
        <is>
          <t>purpose_built_tps_per_mw = purpose_built_reference_tps_per_mw * commercial_workload_fit_factor until comparable output-token benchmark is adopted</t>
        </is>
      </c>
      <c r="I2179" s="3" t="inlineStr">
        <is>
          <t>No comparable public output-token/MW row adopted; B200 public reference placeholder is used and remains editable.</t>
        </is>
      </c>
      <c r="J2179" s="3" t="inlineStr">
        <is>
          <t>SRC_MS_PHI; SRC_OPENAI_GPT41_DOCS; SRC_MS_PHI4_TECHREPORT; SRC_MS_MAIA200; SRC_EPOCH_AI_DATA_CENTERS; ASSUMP_NUMERIC_ACCELERATOR_MIX</t>
        </is>
      </c>
      <c r="K2179" s="3" t="inlineStr">
        <is>
          <t>ASSUMP_POWER_RAMP; ASSUMP_MS_OPENAI_ATTRIBUTION; ASSUMP_NUMERIC_ACCELERATOR_MIX; ASSUMP_INFERENCE_SHARE_NOT_FACT_60; ASSUMP_WORKLOAD_CLASS_MIX; ASSUMP_AGENTIC_CONTEXT_PENALTY</t>
        </is>
      </c>
      <c r="L2179" s="3" t="inlineStr">
        <is>
          <t>Matched-workload generated-output benchmark for the provider purpose-built accelerator.</t>
        </is>
      </c>
    </row>
    <row r="2180">
      <c r="A2180" s="3" t="inlineStr">
        <is>
          <t>Microsoft</t>
        </is>
      </c>
      <c r="B2180" s="3" t="n">
        <v>2030</v>
      </c>
      <c r="C2180" s="3" t="inlineStr">
        <is>
          <t>Bull</t>
        </is>
      </c>
      <c r="D2180" s="3" t="inlineStr">
        <is>
          <t>inference_power_share</t>
        </is>
      </c>
      <c r="E2180" s="3" t="n">
        <v>0.83</v>
      </c>
      <c r="F2180" s="3" t="inlineStr">
        <is>
          <t>share of AI IT load</t>
        </is>
      </c>
      <c r="G2180" s="3" t="inlineStr">
        <is>
          <t>Scenario allocation</t>
        </is>
      </c>
      <c r="H2180" s="3" t="inlineStr">
        <is>
          <t>inference_gw = ai_it_load_gw * inference_power_share</t>
        </is>
      </c>
      <c r="I2180" s="3" t="inlineStr">
        <is>
          <t>Copilot commercial serving growth supports rising inference allocation; OpenAI model-owner output must remain separately attributed.</t>
        </is>
      </c>
      <c r="J2180" s="3" t="inlineStr">
        <is>
          <t>SRC_MS_PHI; SRC_OPENAI_GPT41_DOCS; SRC_MS_PHI4_TECHREPORT; SRC_MS_MAIA200; SRC_EPOCH_AI_DATA_CENTERS; ASSUMP_INFERENCE_SHARE_NOT_FACT_60</t>
        </is>
      </c>
      <c r="K2180" s="3" t="inlineStr">
        <is>
          <t>ASSUMP_POWER_RAMP; ASSUMP_MS_OPENAI_ATTRIBUTION; ASSUMP_NUMERIC_ACCELERATOR_MIX; ASSUMP_INFERENCE_SHARE_NOT_FACT_60; ASSUMP_WORKLOAD_CLASS_MIX; ASSUMP_AGENTIC_CONTEXT_PENALTY</t>
        </is>
      </c>
      <c r="L2180" s="3" t="inlineStr">
        <is>
          <t>Provider-specific inference/training workload power telemetry.</t>
        </is>
      </c>
    </row>
    <row r="2181">
      <c r="A2181" s="3" t="inlineStr">
        <is>
          <t>Microsoft</t>
        </is>
      </c>
      <c r="B2181" s="3" t="n">
        <v>2030</v>
      </c>
      <c r="C2181" s="3" t="inlineStr">
        <is>
          <t>Bull</t>
        </is>
      </c>
      <c r="D2181" s="3" t="inlineStr">
        <is>
          <t>inference_gw</t>
        </is>
      </c>
      <c r="E2181" s="3" t="n">
        <v>4.352</v>
      </c>
      <c r="F2181" s="3" t="inlineStr">
        <is>
          <t>GW</t>
        </is>
      </c>
      <c r="G2181" s="3" t="inlineStr">
        <is>
          <t>Derived formula</t>
        </is>
      </c>
      <c r="H2181" s="3" t="inlineStr">
        <is>
          <t>ai_it_load_gw * inference_power_share</t>
        </is>
      </c>
      <c r="I2181" s="3" t="inlineStr">
        <is>
          <t>This is the operational power eligible to become commercial generated output tokens through the selected TPS/MW proxy.</t>
        </is>
      </c>
      <c r="J2181" s="3" t="inlineStr">
        <is>
          <t>SRC_MS_PHI; SRC_OPENAI_GPT41_DOCS; SRC_MS_PHI4_TECHREPORT; SRC_MS_MAIA200; SRC_EPOCH_AI_DATA_CENTERS</t>
        </is>
      </c>
      <c r="K2181" s="3" t="inlineStr">
        <is>
          <t>ASSUMP_POWER_RAMP; ASSUMP_MS_OPENAI_ATTRIBUTION; ASSUMP_NUMERIC_ACCELERATOR_MIX; ASSUMP_INFERENCE_SHARE_NOT_FACT_60; ASSUMP_WORKLOAD_CLASS_MIX; ASSUMP_AGENTIC_CONTEXT_PENALTY</t>
        </is>
      </c>
      <c r="L2181" s="3" t="inlineStr">
        <is>
          <t>Recompute after AI allocation or inference-share evidence changes.</t>
        </is>
      </c>
    </row>
    <row r="2182">
      <c r="A2182" s="3" t="inlineStr">
        <is>
          <t>Microsoft</t>
        </is>
      </c>
      <c r="B2182" s="3" t="n">
        <v>2030</v>
      </c>
      <c r="C2182" s="3" t="inlineStr">
        <is>
          <t>Bull</t>
        </is>
      </c>
      <c r="D2182" s="3" t="inlineStr">
        <is>
          <t>training_power_share</t>
        </is>
      </c>
      <c r="E2182" s="3" t="n">
        <v>0.17</v>
      </c>
      <c r="F2182" s="3" t="inlineStr">
        <is>
          <t>share of AI IT load</t>
        </is>
      </c>
      <c r="G2182" s="3" t="inlineStr">
        <is>
          <t>Derived allocation</t>
        </is>
      </c>
      <c r="H2182" s="3" t="inlineStr">
        <is>
          <t>1 - inference_power_share</t>
        </is>
      </c>
      <c r="I2182" s="3" t="inlineStr">
        <is>
          <t>Training receives the complementary modeled AI IT allocation; it is not a disclosed company workload split.</t>
        </is>
      </c>
      <c r="J2182" s="3" t="inlineStr">
        <is>
          <t>SRC_MS_PHI; SRC_OPENAI_GPT41_DOCS; SRC_MS_PHI4_TECHREPORT; SRC_MS_MAIA200; SRC_EPOCH_AI_DATA_CENTERS; ASSUMP_INFERENCE_SHARE_NOT_FACT_60</t>
        </is>
      </c>
      <c r="K2182" s="3" t="inlineStr">
        <is>
          <t>ASSUMP_POWER_RAMP; ASSUMP_MS_OPENAI_ATTRIBUTION; ASSUMP_NUMERIC_ACCELERATOR_MIX; ASSUMP_INFERENCE_SHARE_NOT_FACT_60; ASSUMP_WORKLOAD_CLASS_MIX; ASSUMP_AGENTIC_CONTEXT_PENALTY</t>
        </is>
      </c>
      <c r="L2182" s="3" t="inlineStr">
        <is>
          <t>Provider-specific inference/training workload power telemetry.</t>
        </is>
      </c>
    </row>
    <row r="2183">
      <c r="A2183" s="3" t="inlineStr">
        <is>
          <t>Microsoft</t>
        </is>
      </c>
      <c r="B2183" s="3" t="n">
        <v>2030</v>
      </c>
      <c r="C2183" s="3" t="inlineStr">
        <is>
          <t>Bull</t>
        </is>
      </c>
      <c r="D2183" s="3" t="inlineStr">
        <is>
          <t>training_gw</t>
        </is>
      </c>
      <c r="E2183" s="3" t="n">
        <v>0.891</v>
      </c>
      <c r="F2183" s="3" t="inlineStr">
        <is>
          <t>GW</t>
        </is>
      </c>
      <c r="G2183" s="3" t="inlineStr">
        <is>
          <t>Derived formula</t>
        </is>
      </c>
      <c r="H2183" s="3" t="inlineStr">
        <is>
          <t>ai_it_load_gw * training_power_share</t>
        </is>
      </c>
      <c r="I2183" s="3" t="inlineStr">
        <is>
          <t>Training GW is shown separately so commercial inference token capacity is not overstated.</t>
        </is>
      </c>
      <c r="J2183" s="3" t="inlineStr">
        <is>
          <t>SRC_MS_PHI; SRC_OPENAI_GPT41_DOCS; SRC_MS_PHI4_TECHREPORT; SRC_MS_MAIA200; SRC_EPOCH_AI_DATA_CENTERS</t>
        </is>
      </c>
      <c r="K2183" s="3" t="inlineStr">
        <is>
          <t>ASSUMP_POWER_RAMP; ASSUMP_MS_OPENAI_ATTRIBUTION; ASSUMP_NUMERIC_ACCELERATOR_MIX; ASSUMP_INFERENCE_SHARE_NOT_FACT_60; ASSUMP_WORKLOAD_CLASS_MIX; ASSUMP_AGENTIC_CONTEXT_PENALTY</t>
        </is>
      </c>
      <c r="L2183" s="3" t="inlineStr">
        <is>
          <t>Recompute after AI allocation or workload-split evidence changes.</t>
        </is>
      </c>
    </row>
    <row r="2184">
      <c r="A2184" s="3" t="inlineStr">
        <is>
          <t>Microsoft</t>
        </is>
      </c>
      <c r="B2184" s="3" t="n">
        <v>2030</v>
      </c>
      <c r="C2184" s="3" t="inlineStr">
        <is>
          <t>Bull</t>
        </is>
      </c>
      <c r="D2184" s="3" t="inlineStr">
        <is>
          <t>tokens_per_second_per_mw</t>
        </is>
      </c>
      <c r="E2184" s="3" t="n">
        <v>2285441</v>
      </c>
      <c r="F2184" s="3" t="inlineStr">
        <is>
          <t>generated output tokens/sec/MW</t>
        </is>
      </c>
      <c r="G2184" s="3" t="inlineStr">
        <is>
          <t>Derived estimate + benchmark calibration</t>
        </is>
      </c>
      <c r="H2184" s="3" t="inlineStr">
        <is>
          <t>fleet_reference_tps_per_mw * commercial_workload_fit_factor</t>
        </is>
      </c>
      <c r="I2184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2184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2184" s="3" t="inlineStr">
        <is>
          <t>ASSUMP_POWER_RAMP; ASSUMP_MS_OPENAI_ATTRIBUTION; ASSUMP_NUMERIC_ACCELERATOR_MIX; ASSUMP_INFERENCE_SHARE_NOT_FACT_60; ASSUMP_WORKLOAD_CLASS_MIX; ASSUMP_AGENTIC_CONTEXT_PENALTY</t>
        </is>
      </c>
      <c r="L2184" s="3" t="inlineStr">
        <is>
          <t>Comparable production output-token throughput with model, hardware, precision, ISL/OSL and SLO matched.</t>
        </is>
      </c>
    </row>
    <row r="2185">
      <c r="A2185" s="3" t="inlineStr">
        <is>
          <t>Microsoft</t>
        </is>
      </c>
      <c r="B2185" s="3" t="n">
        <v>2030</v>
      </c>
      <c r="C2185" s="3" t="inlineStr">
        <is>
          <t>Bull</t>
        </is>
      </c>
      <c r="D2185" s="3" t="inlineStr">
        <is>
          <t>inference_tokens_per_day</t>
        </is>
      </c>
      <c r="E2185" s="3" t="n">
        <v>859355069644800</v>
      </c>
      <c r="F2185" s="3" t="inlineStr">
        <is>
          <t>generated output tokens/day</t>
        </is>
      </c>
      <c r="G2185" s="3" t="inlineStr">
        <is>
          <t>Derived headline metric</t>
        </is>
      </c>
      <c r="H2185" s="3" t="inlineStr">
        <is>
          <t>inference_gw * 1000 * tokens_per_second_per_mw * 86,400</t>
        </is>
      </c>
      <c r="I2185" s="3" t="inlineStr">
        <is>
          <t>Headline capacity uses no utilization, MoE, architecture or software-growth multiplier; it is not observed commercial output volume.</t>
        </is>
      </c>
      <c r="J2185" s="3" t="inlineStr">
        <is>
          <t>SRC_MS_PHI; SRC_OPENAI_GPT41_DOCS; SRC_MS_PHI4_TECHREPORT; SRC_MS_MAIA200; SRC_EPOCH_AI_DATA_CENTERS; SRC_SEMIANALYSIS_INFERENCEX</t>
        </is>
      </c>
      <c r="K2185" s="3" t="inlineStr">
        <is>
          <t>ASSUMP_POWER_RAMP; ASSUMP_MS_OPENAI_ATTRIBUTION; ASSUMP_NUMERIC_ACCELERATOR_MIX; ASSUMP_INFERENCE_SHARE_NOT_FACT_60; ASSUMP_WORKLOAD_CLASS_MIX; ASSUMP_AGENTIC_CONTEXT_PENALTY</t>
        </is>
      </c>
      <c r="L2185" s="3" t="inlineStr">
        <is>
          <t>Provider-disclosed generated output token volume or calibrated capacity telemetry.</t>
        </is>
      </c>
    </row>
    <row r="2186">
      <c r="A2186" s="3" t="inlineStr">
        <is>
          <t>Microsoft</t>
        </is>
      </c>
      <c r="B2186" s="3" t="n">
        <v>2030</v>
      </c>
      <c r="C2186" s="3" t="inlineStr">
        <is>
          <t>Bull</t>
        </is>
      </c>
      <c r="D2186" s="3" t="inlineStr">
        <is>
          <t>inference_tokens_per_year</t>
        </is>
      </c>
      <c r="E2186" s="3" t="n">
        <v>3.13664600420352e+17</v>
      </c>
      <c r="F2186" s="3" t="inlineStr">
        <is>
          <t>generated output tokens/year</t>
        </is>
      </c>
      <c r="G2186" s="3" t="inlineStr">
        <is>
          <t>Derived headline metric</t>
        </is>
      </c>
      <c r="H2186" s="3" t="inlineStr">
        <is>
          <t>inference_tokens_per_day * 365</t>
        </is>
      </c>
      <c r="I2186" s="3" t="inlineStr">
        <is>
          <t>Annualized version of generated output token capacity; it is not observed annual demand or billable volume.</t>
        </is>
      </c>
      <c r="J2186" s="3" t="inlineStr">
        <is>
          <t>SRC_MS_PHI; SRC_OPENAI_GPT41_DOCS; SRC_MS_PHI4_TECHREPORT; SRC_MS_MAIA200; SRC_EPOCH_AI_DATA_CENTERS; SRC_SEMIANALYSIS_INFERENCEX</t>
        </is>
      </c>
      <c r="K2186" s="3" t="inlineStr">
        <is>
          <t>ASSUMP_POWER_RAMP; ASSUMP_MS_OPENAI_ATTRIBUTION; ASSUMP_NUMERIC_ACCELERATOR_MIX; ASSUMP_INFERENCE_SHARE_NOT_FACT_60; ASSUMP_WORKLOAD_CLASS_MIX; ASSUMP_AGENTIC_CONTEXT_PENALTY</t>
        </is>
      </c>
      <c r="L2186" s="3" t="inlineStr">
        <is>
          <t>Provider-disclosed annual generated-output volume or metered serving telemetry.</t>
        </is>
      </c>
    </row>
    <row r="2187">
      <c r="A2187" s="3" t="inlineStr">
        <is>
          <t>Google</t>
        </is>
      </c>
      <c r="B2187" s="3" t="n">
        <v>2026</v>
      </c>
      <c r="C2187" s="3" t="inlineStr">
        <is>
          <t>Bull</t>
        </is>
      </c>
      <c r="D2187" s="3" t="inlineStr">
        <is>
          <t>contracted_power_gw</t>
        </is>
      </c>
      <c r="E2187" s="3" t="n">
        <v>4.5</v>
      </c>
      <c r="F2187" s="3" t="inlineStr">
        <is>
          <t>GW</t>
        </is>
      </c>
      <c r="G2187" s="3" t="inlineStr">
        <is>
          <t>Scenario capacity envelope</t>
        </is>
      </c>
      <c r="H2187" s="3" t="inlineStr">
        <is>
          <t>linear interpolation between 2026 and 2030 company capacity endpoints</t>
        </is>
      </c>
      <c r="I2187" s="3" t="inlineStr">
        <is>
          <t>Scenario envelope for Gemini-serving capacity; official TPU hardware direction is disclosed, company-level contracted GW is not.</t>
        </is>
      </c>
      <c r="J2187" s="3" t="inlineStr">
        <is>
          <t>ASSUMP_POWER_RAMP; SRC_GOOGLE_IRONWOOD; SRC_GOOGLE_TPU_V6E</t>
        </is>
      </c>
      <c r="K2187" s="3" t="inlineStr">
        <is>
          <t>ASSUMP_TPU_EFFICIENCY; ASSUMP_POWER_RAMP; ASSUMP_NUMERIC_ACCELERATOR_MIX; ASSUMP_INFERENCE_SHARE_NOT_FACT_60; ASSUMP_WORKLOAD_CLASS_MIX; ASSUMP_AGENTIC_CONTEXT_PENALTY</t>
        </is>
      </c>
      <c r="L2187" s="3" t="inlineStr">
        <is>
          <t>Company/site-level committed MW/GW, interconnect and contract disclosure.</t>
        </is>
      </c>
    </row>
    <row r="2188">
      <c r="A2188" s="3" t="inlineStr">
        <is>
          <t>Google</t>
        </is>
      </c>
      <c r="B2188" s="3" t="n">
        <v>2026</v>
      </c>
      <c r="C2188" s="3" t="inlineStr">
        <is>
          <t>Bull</t>
        </is>
      </c>
      <c r="D2188" s="3" t="inlineStr">
        <is>
          <t>operational_deployment_share</t>
        </is>
      </c>
      <c r="E2188" s="3" t="n">
        <v>0.51333333</v>
      </c>
      <c r="F2188" s="3" t="inlineStr">
        <is>
          <t>share</t>
        </is>
      </c>
      <c r="G2188" s="3" t="inlineStr">
        <is>
          <t>Scenario conversion</t>
        </is>
      </c>
      <c r="H2188" s="3" t="inlineStr">
        <is>
          <t>active_power_gw / contracted_power_gw</t>
        </is>
      </c>
      <c r="I2188" s="3" t="inlineStr">
        <is>
          <t>This is the single explicit conversion from contracted/attributed capacity to operationally usable capacity.</t>
        </is>
      </c>
      <c r="J2188" s="3" t="inlineStr">
        <is>
          <t>ASSUMP_POWER_RAMP; SRC_GOOGLE_IRONWOOD; SRC_GOOGLE_TPU_V6E</t>
        </is>
      </c>
      <c r="K2188" s="3" t="inlineStr">
        <is>
          <t>ASSUMP_TPU_EFFICIENCY; ASSUMP_POWER_RAMP; ASSUMP_NUMERIC_ACCELERATOR_MIX; ASSUMP_INFERENCE_SHARE_NOT_FACT_60; ASSUMP_WORKLOAD_CLASS_MIX; ASSUMP_AGENTIC_CONTEXT_PENALTY</t>
        </is>
      </c>
      <c r="L2188" s="3" t="inlineStr">
        <is>
          <t>Energized operational capacity divided by contracted/attributed capacity.</t>
        </is>
      </c>
    </row>
    <row r="2189">
      <c r="A2189" s="3" t="inlineStr">
        <is>
          <t>Google</t>
        </is>
      </c>
      <c r="B2189" s="3" t="n">
        <v>2026</v>
      </c>
      <c r="C2189" s="3" t="inlineStr">
        <is>
          <t>Bull</t>
        </is>
      </c>
      <c r="D2189" s="3" t="inlineStr">
        <is>
          <t>active_power_gw</t>
        </is>
      </c>
      <c r="E2189" s="3" t="n">
        <v>2.31</v>
      </c>
      <c r="F2189" s="3" t="inlineStr">
        <is>
          <t>GW</t>
        </is>
      </c>
      <c r="G2189" s="3" t="inlineStr">
        <is>
          <t>Derived scenario</t>
        </is>
      </c>
      <c r="H2189" s="3" t="inlineStr">
        <is>
          <t>contracted_power_gw * operational_deployment_share</t>
        </is>
      </c>
      <c r="I2189" s="3" t="inlineStr">
        <is>
          <t>TPU generation availability supports ramp direction, while active GW remains a staged deployment estimate.</t>
        </is>
      </c>
      <c r="J2189" s="3" t="inlineStr">
        <is>
          <t>ASSUMP_POWER_RAMP; SRC_GOOGLE_IRONWOOD; SRC_GOOGLE_TPU_V6E</t>
        </is>
      </c>
      <c r="K2189" s="3" t="inlineStr">
        <is>
          <t>ASSUMP_TPU_EFFICIENCY; ASSUMP_POWER_RAMP; ASSUMP_NUMERIC_ACCELERATOR_MIX; ASSUMP_INFERENCE_SHARE_NOT_FACT_60; ASSUMP_WORKLOAD_CLASS_MIX; ASSUMP_AGENTIC_CONTEXT_PENALTY</t>
        </is>
      </c>
      <c r="L2189" s="3" t="inlineStr">
        <is>
          <t>Energization dates, accelerator deliveries and operational powered-rack telemetry.</t>
        </is>
      </c>
    </row>
    <row r="2190">
      <c r="A2190" s="3" t="inlineStr">
        <is>
          <t>Google</t>
        </is>
      </c>
      <c r="B2190" s="3" t="n">
        <v>2026</v>
      </c>
      <c r="C2190" s="3" t="inlineStr">
        <is>
          <t>Bull</t>
        </is>
      </c>
      <c r="D2190" s="3" t="inlineStr">
        <is>
          <t>pue</t>
        </is>
      </c>
      <c r="E2190" s="3" t="n">
        <v>1.18</v>
      </c>
      <c r="F2190" s="3" t="inlineStr">
        <is>
          <t>ratio</t>
        </is>
      </c>
      <c r="G2190" s="3" t="inlineStr">
        <is>
          <t>Scenario parameter</t>
        </is>
      </c>
      <c r="H2190" s="3" t="inlineStr">
        <is>
          <t>it_load_gw = active_power_gw / pue</t>
        </is>
      </c>
      <c r="I2190" s="3" t="inlineStr">
        <is>
          <t>No provider-wide site-level PUE is used as a disclosed fact; PUE represents facility-to-IT conversion within the scenario.</t>
        </is>
      </c>
      <c r="J2190" s="3" t="inlineStr">
        <is>
          <t>ASSUMP_POWER_RAMP</t>
        </is>
      </c>
      <c r="K2190" s="3" t="inlineStr">
        <is>
          <t>ASSUMP_TPU_EFFICIENCY; ASSUMP_POWER_RAMP; ASSUMP_NUMERIC_ACCELERATOR_MIX; ASSUMP_INFERENCE_SHARE_NOT_FACT_60; ASSUMP_WORKLOAD_CLASS_MIX; ASSUMP_AGENTIC_CONTEXT_PENALTY</t>
        </is>
      </c>
      <c r="L2190" s="3" t="inlineStr">
        <is>
          <t>Site-level measured PUE matched to attributed AI capacity.</t>
        </is>
      </c>
    </row>
    <row r="2191">
      <c r="A2191" s="3" t="inlineStr">
        <is>
          <t>Google</t>
        </is>
      </c>
      <c r="B2191" s="3" t="n">
        <v>2026</v>
      </c>
      <c r="C2191" s="3" t="inlineStr">
        <is>
          <t>Bull</t>
        </is>
      </c>
      <c r="D2191" s="3" t="inlineStr">
        <is>
          <t>it_load_gw</t>
        </is>
      </c>
      <c r="E2191" s="3" t="n">
        <v>1.958</v>
      </c>
      <c r="F2191" s="3" t="inlineStr">
        <is>
          <t>GW</t>
        </is>
      </c>
      <c r="G2191" s="3" t="inlineStr">
        <is>
          <t>Derived formula</t>
        </is>
      </c>
      <c r="H2191" s="3" t="inlineStr">
        <is>
          <t>active_power_gw / pue</t>
        </is>
      </c>
      <c r="I2191" s="3" t="inlineStr">
        <is>
          <t>Facility power is converted to IT-deliverable power before attributing AI workloads.</t>
        </is>
      </c>
      <c r="J2191" s="3" t="inlineStr">
        <is>
          <t>ASSUMP_POWER_RAMP; SRC_GOOGLE_IRONWOOD; SRC_GOOGLE_TPU_V6E</t>
        </is>
      </c>
      <c r="K2191" s="3" t="inlineStr">
        <is>
          <t>ASSUMP_TPU_EFFICIENCY; ASSUMP_POWER_RAMP; ASSUMP_NUMERIC_ACCELERATOR_MIX; ASSUMP_INFERENCE_SHARE_NOT_FACT_60; ASSUMP_WORKLOAD_CLASS_MIX; ASSUMP_AGENTIC_CONTEXT_PENALTY</t>
        </is>
      </c>
      <c r="L2191" s="3" t="inlineStr">
        <is>
          <t>Recompute once active power and PUE become site-observable.</t>
        </is>
      </c>
    </row>
    <row r="2192">
      <c r="A2192" s="3" t="inlineStr">
        <is>
          <t>Google</t>
        </is>
      </c>
      <c r="B2192" s="3" t="n">
        <v>2026</v>
      </c>
      <c r="C2192" s="3" t="inlineStr">
        <is>
          <t>Bull</t>
        </is>
      </c>
      <c r="D2192" s="3" t="inlineStr">
        <is>
          <t>ai_workload_share</t>
        </is>
      </c>
      <c r="E2192" s="3" t="n">
        <v>0.88</v>
      </c>
      <c r="F2192" s="3" t="inlineStr">
        <is>
          <t>share</t>
        </is>
      </c>
      <c r="G2192" s="3" t="inlineStr">
        <is>
          <t>Scenario allocation</t>
        </is>
      </c>
      <c r="H2192" s="3" t="inlineStr">
        <is>
          <t>ai_it_load_gw = it_load_gw * ai_workload_share</t>
        </is>
      </c>
      <c r="I2192" s="3" t="inlineStr">
        <is>
          <t>Gemini/Vertex TPU serving is AI-dedicated in the modeled capacity envelope; 88% excludes platform/reserve load.</t>
        </is>
      </c>
      <c r="J2192" s="3" t="inlineStr">
        <is>
          <t>SRC_GOOGLE_GEMINI_TOKENS; SRC_GOOGLE_IRONWOOD; SRC_GOOGLE_TPU_V6E; SRC_EPOCH_AI_DATA_CENTERS</t>
        </is>
      </c>
      <c r="K2192" s="3" t="inlineStr">
        <is>
          <t>ASSUMP_TPU_EFFICIENCY; ASSUMP_POWER_RAMP; ASSUMP_NUMERIC_ACCELERATOR_MIX; ASSUMP_INFERENCE_SHARE_NOT_FACT_60; ASSUMP_WORKLOAD_CLASS_MIX; ASSUMP_AGENTIC_CONTEXT_PENALTY</t>
        </is>
      </c>
      <c r="L2192" s="3" t="inlineStr">
        <is>
          <t>Model-owner AI workload allocation or cluster scheduling telemetry.</t>
        </is>
      </c>
    </row>
    <row r="2193">
      <c r="A2193" s="3" t="inlineStr">
        <is>
          <t>Google</t>
        </is>
      </c>
      <c r="B2193" s="3" t="n">
        <v>2026</v>
      </c>
      <c r="C2193" s="3" t="inlineStr">
        <is>
          <t>Bull</t>
        </is>
      </c>
      <c r="D2193" s="3" t="inlineStr">
        <is>
          <t>ai_it_load_gw</t>
        </is>
      </c>
      <c r="E2193" s="3" t="n">
        <v>1.723</v>
      </c>
      <c r="F2193" s="3" t="inlineStr">
        <is>
          <t>GW</t>
        </is>
      </c>
      <c r="G2193" s="3" t="inlineStr">
        <is>
          <t>Derived formula</t>
        </is>
      </c>
      <c r="H2193" s="3" t="inlineStr">
        <is>
          <t>it_load_gw * ai_workload_share</t>
        </is>
      </c>
      <c r="I2193" s="3" t="inlineStr">
        <is>
          <t>Only the AI-attributed portion of IT load enters training/inference allocation.</t>
        </is>
      </c>
      <c r="J2193" s="3" t="inlineStr">
        <is>
          <t>SRC_GOOGLE_GEMINI_TOKENS; SRC_GOOGLE_IRONWOOD; SRC_GOOGLE_TPU_V6E; SRC_EPOCH_AI_DATA_CENTERS</t>
        </is>
      </c>
      <c r="K2193" s="3" t="inlineStr">
        <is>
          <t>ASSUMP_TPU_EFFICIENCY; ASSUMP_POWER_RAMP; ASSUMP_NUMERIC_ACCELERATOR_MIX; ASSUMP_INFERENCE_SHARE_NOT_FACT_60; ASSUMP_WORKLOAD_CLASS_MIX; ASSUMP_AGENTIC_CONTEXT_PENALTY</t>
        </is>
      </c>
      <c r="L2193" s="3" t="inlineStr">
        <is>
          <t>Recompute after ai_workload_share is replaced by telemetry.</t>
        </is>
      </c>
    </row>
    <row r="2194">
      <c r="A2194" s="3" t="inlineStr">
        <is>
          <t>Google</t>
        </is>
      </c>
      <c r="B2194" s="3" t="n">
        <v>2026</v>
      </c>
      <c r="C2194" s="3" t="inlineStr">
        <is>
          <t>Bull</t>
        </is>
      </c>
      <c r="D2194" s="3" t="inlineStr">
        <is>
          <t>gpu_share</t>
        </is>
      </c>
      <c r="E2194" s="3" t="n">
        <v>0</v>
      </c>
      <c r="F2194" s="3" t="inlineStr">
        <is>
          <t>share of inference-serving accelerator load</t>
        </is>
      </c>
      <c r="G2194" s="3" t="inlineStr">
        <is>
          <t>Numeric scenario</t>
        </is>
      </c>
      <c r="H2194" s="3" t="inlineStr">
        <is>
          <t>gpu_share interpolated from company 2026/2030 accelerator-mix endpoints</t>
        </is>
      </c>
      <c r="I2194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194" s="3" t="inlineStr">
        <is>
          <t>SRC_GOOGLE_GEMINI_TOKENS; SRC_GOOGLE_IRONWOOD; SRC_GOOGLE_TPU_V6E; SRC_EPOCH_AI_DATA_CENTERS; ASSUMP_NUMERIC_ACCELERATOR_MIX</t>
        </is>
      </c>
      <c r="K2194" s="3" t="inlineStr">
        <is>
          <t>ASSUMP_TPU_EFFICIENCY; ASSUMP_POWER_RAMP; ASSUMP_NUMERIC_ACCELERATOR_MIX; ASSUMP_INFERENCE_SHARE_NOT_FACT_60; ASSUMP_WORKLOAD_CLASS_MIX; ASSUMP_AGENTIC_CONTEXT_PENALTY</t>
        </is>
      </c>
      <c r="L2194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195">
      <c r="A2195" s="3" t="inlineStr">
        <is>
          <t>Google</t>
        </is>
      </c>
      <c r="B2195" s="3" t="n">
        <v>2026</v>
      </c>
      <c r="C2195" s="3" t="inlineStr">
        <is>
          <t>Bull</t>
        </is>
      </c>
      <c r="D2195" s="3" t="inlineStr">
        <is>
          <t>h200_share</t>
        </is>
      </c>
      <c r="E2195" s="3" t="n">
        <v>0</v>
      </c>
      <c r="F2195" s="3" t="inlineStr">
        <is>
          <t>share of inference-serving accelerator load</t>
        </is>
      </c>
      <c r="G2195" s="3" t="inlineStr">
        <is>
          <t>Editable numeric scenario</t>
        </is>
      </c>
      <c r="H2195" s="3" t="inlineStr">
        <is>
          <t>h200_share = gpu_share * default_gpu_generation_mix_h200</t>
        </is>
      </c>
      <c r="I2195" s="3" t="inlineStr">
        <is>
          <t>Default GPU-generation migration assumption; executive workbook allows later manual replacement by company/year/scenario.</t>
        </is>
      </c>
      <c r="J2195" s="3" t="inlineStr">
        <is>
          <t>SRC_SEMIANALYSIS_INFERENCEX; ASSUMP_NUMERIC_ACCELERATOR_MIX</t>
        </is>
      </c>
      <c r="K2195" s="3" t="inlineStr">
        <is>
          <t>ASSUMP_TPU_EFFICIENCY; ASSUMP_POWER_RAMP; ASSUMP_NUMERIC_ACCELERATOR_MIX; ASSUMP_INFERENCE_SHARE_NOT_FACT_60; ASSUMP_WORKLOAD_CLASS_MIX; ASSUMP_AGENTIC_CONTEXT_PENALTY</t>
        </is>
      </c>
      <c r="L2195" s="3" t="inlineStr">
        <is>
          <t>Company fleet inventory, accelerator-hours or procurement/deployment records by GPU generation.</t>
        </is>
      </c>
    </row>
    <row r="2196">
      <c r="A2196" s="3" t="inlineStr">
        <is>
          <t>Google</t>
        </is>
      </c>
      <c r="B2196" s="3" t="n">
        <v>2026</v>
      </c>
      <c r="C2196" s="3" t="inlineStr">
        <is>
          <t>Bull</t>
        </is>
      </c>
      <c r="D2196" s="3" t="inlineStr">
        <is>
          <t>b200_share</t>
        </is>
      </c>
      <c r="E2196" s="3" t="n">
        <v>0</v>
      </c>
      <c r="F2196" s="3" t="inlineStr">
        <is>
          <t>share of inference-serving accelerator load</t>
        </is>
      </c>
      <c r="G2196" s="3" t="inlineStr">
        <is>
          <t>Editable numeric scenario</t>
        </is>
      </c>
      <c r="H2196" s="3" t="inlineStr">
        <is>
          <t>b200_share = gpu_share * default_gpu_generation_mix_b200</t>
        </is>
      </c>
      <c r="I2196" s="3" t="inlineStr">
        <is>
          <t>Default GPU-generation migration assumption; executive workbook allows later manual replacement by company/year/scenario.</t>
        </is>
      </c>
      <c r="J2196" s="3" t="inlineStr">
        <is>
          <t>SRC_SEMIANALYSIS_INFERENCEX; ASSUMP_NUMERIC_ACCELERATOR_MIX</t>
        </is>
      </c>
      <c r="K2196" s="3" t="inlineStr">
        <is>
          <t>ASSUMP_TPU_EFFICIENCY; ASSUMP_POWER_RAMP; ASSUMP_NUMERIC_ACCELERATOR_MIX; ASSUMP_INFERENCE_SHARE_NOT_FACT_60; ASSUMP_WORKLOAD_CLASS_MIX; ASSUMP_AGENTIC_CONTEXT_PENALTY</t>
        </is>
      </c>
      <c r="L2196" s="3" t="inlineStr">
        <is>
          <t>Company fleet inventory, accelerator-hours or procurement/deployment records by GPU generation.</t>
        </is>
      </c>
    </row>
    <row r="2197">
      <c r="A2197" s="3" t="inlineStr">
        <is>
          <t>Google</t>
        </is>
      </c>
      <c r="B2197" s="3" t="n">
        <v>2026</v>
      </c>
      <c r="C2197" s="3" t="inlineStr">
        <is>
          <t>Bull</t>
        </is>
      </c>
      <c r="D2197" s="3" t="inlineStr">
        <is>
          <t>gb200_share</t>
        </is>
      </c>
      <c r="E2197" s="3" t="n">
        <v>0</v>
      </c>
      <c r="F2197" s="3" t="inlineStr">
        <is>
          <t>share of inference-serving accelerator load</t>
        </is>
      </c>
      <c r="G2197" s="3" t="inlineStr">
        <is>
          <t>Editable numeric scenario</t>
        </is>
      </c>
      <c r="H2197" s="3" t="inlineStr">
        <is>
          <t>gb200_share = gpu_share * default_gpu_generation_mix_gb200</t>
        </is>
      </c>
      <c r="I2197" s="3" t="inlineStr">
        <is>
          <t>Default GPU-generation migration assumption; executive workbook allows later manual replacement by company/year/scenario.</t>
        </is>
      </c>
      <c r="J2197" s="3" t="inlineStr">
        <is>
          <t>SRC_SEMIANALYSIS_INFERENCEX; ASSUMP_NUMERIC_ACCELERATOR_MIX</t>
        </is>
      </c>
      <c r="K2197" s="3" t="inlineStr">
        <is>
          <t>ASSUMP_TPU_EFFICIENCY; ASSUMP_POWER_RAMP; ASSUMP_NUMERIC_ACCELERATOR_MIX; ASSUMP_INFERENCE_SHARE_NOT_FACT_60; ASSUMP_WORKLOAD_CLASS_MIX; ASSUMP_AGENTIC_CONTEXT_PENALTY</t>
        </is>
      </c>
      <c r="L2197" s="3" t="inlineStr">
        <is>
          <t>Company fleet inventory, accelerator-hours or procurement/deployment records by GPU generation.</t>
        </is>
      </c>
    </row>
    <row r="2198">
      <c r="A2198" s="3" t="inlineStr">
        <is>
          <t>Google</t>
        </is>
      </c>
      <c r="B2198" s="3" t="n">
        <v>2026</v>
      </c>
      <c r="C2198" s="3" t="inlineStr">
        <is>
          <t>Bull</t>
        </is>
      </c>
      <c r="D2198" s="3" t="inlineStr">
        <is>
          <t>purpose_built_accelerator_share</t>
        </is>
      </c>
      <c r="E2198" s="3" t="n">
        <v>1</v>
      </c>
      <c r="F2198" s="3" t="inlineStr">
        <is>
          <t>share of inference-serving accelerator load</t>
        </is>
      </c>
      <c r="G2198" s="3" t="inlineStr">
        <is>
          <t>Numeric scenario</t>
        </is>
      </c>
      <c r="H2198" s="3" t="inlineStr">
        <is>
          <t>1 - gpu_share</t>
        </is>
      </c>
      <c r="I2198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198" s="3" t="inlineStr">
        <is>
          <t>SRC_GOOGLE_GEMINI_TOKENS; SRC_GOOGLE_IRONWOOD; SRC_GOOGLE_TPU_V6E; SRC_EPOCH_AI_DATA_CENTERS; ASSUMP_NUMERIC_ACCELERATOR_MIX</t>
        </is>
      </c>
      <c r="K2198" s="3" t="inlineStr">
        <is>
          <t>ASSUMP_TPU_EFFICIENCY; ASSUMP_POWER_RAMP; ASSUMP_NUMERIC_ACCELERATOR_MIX; ASSUMP_INFERENCE_SHARE_NOT_FACT_60; ASSUMP_WORKLOAD_CLASS_MIX; ASSUMP_AGENTIC_CONTEXT_PENALTY</t>
        </is>
      </c>
      <c r="L2198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199">
      <c r="A2199" s="3" t="inlineStr">
        <is>
          <t>Google</t>
        </is>
      </c>
      <c r="B2199" s="3" t="n">
        <v>2026</v>
      </c>
      <c r="C2199" s="3" t="inlineStr">
        <is>
          <t>Bull</t>
        </is>
      </c>
      <c r="D2199" s="3" t="inlineStr">
        <is>
          <t>fleet_reference_tps_per_mw</t>
        </is>
      </c>
      <c r="E2199" s="3" t="n">
        <v>167768</v>
      </c>
      <c r="F2199" s="3" t="inlineStr">
        <is>
          <t>generated output tokens/sec/MW</t>
        </is>
      </c>
      <c r="G2199" s="3" t="inlineStr">
        <is>
          <t>Fleet-weighted public benchmark reference</t>
        </is>
      </c>
      <c r="H2199" s="3" t="inlineStr">
        <is>
          <t>h200_share*h200_workload_avg + b200_share*b200_workload_avg + gb200_share*gb200_workload_avg + purpose_built_share*purpose_workload_avg</t>
        </is>
      </c>
      <c r="I219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199" s="3" t="inlineStr">
        <is>
          <t>SRC_SEMIANALYSIS_INFERENCEX; ASSUMP_NUMERIC_ACCELERATOR_MIX; ASSUMP_WORKLOAD_CLASS_MIX; ASSUMP_AGENTIC_CONTEXT_PENALTY</t>
        </is>
      </c>
      <c r="K2199" s="3" t="inlineStr">
        <is>
          <t>ASSUMP_TPU_EFFICIENCY; ASSUMP_POWER_RAMP; ASSUMP_NUMERIC_ACCELERATOR_MIX; ASSUMP_INFERENCE_SHARE_NOT_FACT_60; ASSUMP_WORKLOAD_CLASS_MIX; ASSUMP_AGENTIC_CONTEXT_PENALTY</t>
        </is>
      </c>
      <c r="L2199" s="3" t="inlineStr">
        <is>
          <t>Comparable production output-token throughput or a more closely matched benchmark.</t>
        </is>
      </c>
    </row>
    <row r="2200">
      <c r="A2200" s="3" t="inlineStr">
        <is>
          <t>Google</t>
        </is>
      </c>
      <c r="B2200" s="3" t="n">
        <v>2026</v>
      </c>
      <c r="C2200" s="3" t="inlineStr">
        <is>
          <t>Bull</t>
        </is>
      </c>
      <c r="D2200" s="3" t="inlineStr">
        <is>
          <t>commercial_workload_fit_factor</t>
        </is>
      </c>
      <c r="E2200" s="3" t="n">
        <v>0.8</v>
      </c>
      <c r="F2200" s="3" t="inlineStr">
        <is>
          <t>share of public reference throughput</t>
        </is>
      </c>
      <c r="G2200" s="3" t="inlineStr">
        <is>
          <t>Scenario assumption</t>
        </is>
      </c>
      <c r="H2200" s="3" t="inlineStr">
        <is>
          <t>reference_serving_tps_per_mw = fleet_reference_tps_per_mw * commercial_workload_fit_factor</t>
        </is>
      </c>
      <c r="I2200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00" s="3" t="inlineStr">
        <is>
          <t>SRC_SEMIANALYSIS_INFERENCEX; ASSUMP_NUMERIC_ACCELERATOR_MIX; ASSUMP_WORKLOAD_CLASS_MIX; ASSUMP_AGENTIC_CONTEXT_PENALTY</t>
        </is>
      </c>
      <c r="K2200" s="3" t="inlineStr">
        <is>
          <t>ASSUMP_TPU_EFFICIENCY; ASSUMP_POWER_RAMP; ASSUMP_NUMERIC_ACCELERATOR_MIX; ASSUMP_INFERENCE_SHARE_NOT_FACT_60; ASSUMP_WORKLOAD_CLASS_MIX; ASSUMP_AGENTIC_CONTEXT_PENALTY</t>
        </is>
      </c>
      <c r="L2200" s="3" t="inlineStr">
        <is>
          <t>Matched commercial serving benchmark by product surface, context shape and latency SLO.</t>
        </is>
      </c>
    </row>
    <row r="2201">
      <c r="A2201" s="3" t="inlineStr">
        <is>
          <t>Google</t>
        </is>
      </c>
      <c r="B2201" s="3" t="n">
        <v>2026</v>
      </c>
      <c r="C2201" s="3" t="inlineStr">
        <is>
          <t>Bull</t>
        </is>
      </c>
      <c r="D2201" s="3" t="inlineStr">
        <is>
          <t>reference_serving_tps_per_mw</t>
        </is>
      </c>
      <c r="E2201" s="3" t="n">
        <v>134214</v>
      </c>
      <c r="F2201" s="3" t="inlineStr">
        <is>
          <t>generated output tokens/sec/MW</t>
        </is>
      </c>
      <c r="G2201" s="3" t="inlineStr">
        <is>
          <t>Workload-adjusted benchmark proxy</t>
        </is>
      </c>
      <c r="H2201" s="3" t="inlineStr">
        <is>
          <t>fleet_reference_tps_per_mw * commercial_workload_fit_factor</t>
        </is>
      </c>
      <c r="I2201" s="3" t="inlineStr">
        <is>
          <t>This is the coefficient used for headline token generation; each GPU's short chat, long chat and agentic TPS/MW are weighted before fleet mix and commercial fit are applied.</t>
        </is>
      </c>
      <c r="J2201" s="3" t="inlineStr">
        <is>
          <t>SRC_SEMIANALYSIS_INFERENCEX; ASSUMP_NUMERIC_ACCELERATOR_MIX; ASSUMP_WORKLOAD_CLASS_MIX; ASSUMP_AGENTIC_CONTEXT_PENALTY</t>
        </is>
      </c>
      <c r="K2201" s="3" t="inlineStr">
        <is>
          <t>ASSUMP_TPU_EFFICIENCY; ASSUMP_POWER_RAMP; ASSUMP_NUMERIC_ACCELERATOR_MIX; ASSUMP_INFERENCE_SHARE_NOT_FACT_60; ASSUMP_WORKLOAD_CLASS_MIX; ASSUMP_AGENTIC_CONTEXT_PENALTY</t>
        </is>
      </c>
      <c r="L2201" s="3" t="inlineStr">
        <is>
          <t>Provider production output-token throughput with comparable workload/SLO.</t>
        </is>
      </c>
    </row>
    <row r="2202">
      <c r="A2202" s="3" t="inlineStr">
        <is>
          <t>Google</t>
        </is>
      </c>
      <c r="B2202" s="3" t="n">
        <v>2026</v>
      </c>
      <c r="C2202" s="3" t="inlineStr">
        <is>
          <t>Bull</t>
        </is>
      </c>
      <c r="D2202" s="3" t="inlineStr">
        <is>
          <t>purpose_built_tps_per_mw</t>
        </is>
      </c>
      <c r="E2202" s="3" t="n">
        <v>108245</v>
      </c>
      <c r="F2202" s="3" t="inlineStr">
        <is>
          <t>generated output tokens/sec/MW</t>
        </is>
      </c>
      <c r="G2202" s="3" t="inlineStr">
        <is>
          <t>Conservative no-uplift proxy</t>
        </is>
      </c>
      <c r="H2202" s="3" t="inlineStr">
        <is>
          <t>purpose_built_tps_per_mw = purpose_built_reference_tps_per_mw * commercial_workload_fit_factor until comparable output-token benchmark is adopted</t>
        </is>
      </c>
      <c r="I2202" s="3" t="inlineStr">
        <is>
          <t>No comparable public output-token/MW row adopted; B200 public reference placeholder is used and remains editable.</t>
        </is>
      </c>
      <c r="J2202" s="3" t="inlineStr">
        <is>
          <t>SRC_GOOGLE_GEMINI_TOKENS; SRC_GOOGLE_IRONWOOD; SRC_GOOGLE_TPU_V6E; SRC_EPOCH_AI_DATA_CENTERS; ASSUMP_NUMERIC_ACCELERATOR_MIX</t>
        </is>
      </c>
      <c r="K2202" s="3" t="inlineStr">
        <is>
          <t>ASSUMP_TPU_EFFICIENCY; ASSUMP_POWER_RAMP; ASSUMP_NUMERIC_ACCELERATOR_MIX; ASSUMP_INFERENCE_SHARE_NOT_FACT_60; ASSUMP_WORKLOAD_CLASS_MIX; ASSUMP_AGENTIC_CONTEXT_PENALTY</t>
        </is>
      </c>
      <c r="L2202" s="3" t="inlineStr">
        <is>
          <t>Matched-workload generated-output benchmark for the provider purpose-built accelerator.</t>
        </is>
      </c>
    </row>
    <row r="2203">
      <c r="A2203" s="3" t="inlineStr">
        <is>
          <t>Google</t>
        </is>
      </c>
      <c r="B2203" s="3" t="n">
        <v>2026</v>
      </c>
      <c r="C2203" s="3" t="inlineStr">
        <is>
          <t>Bull</t>
        </is>
      </c>
      <c r="D2203" s="3" t="inlineStr">
        <is>
          <t>inference_power_share</t>
        </is>
      </c>
      <c r="E2203" s="3" t="n">
        <v>0.6</v>
      </c>
      <c r="F2203" s="3" t="inlineStr">
        <is>
          <t>share of AI IT load</t>
        </is>
      </c>
      <c r="G2203" s="3" t="inlineStr">
        <is>
          <t>Scenario allocation</t>
        </is>
      </c>
      <c r="H2203" s="3" t="inlineStr">
        <is>
          <t>inference_gw = ai_it_load_gw * inference_power_share</t>
        </is>
      </c>
      <c r="I2203" s="3" t="inlineStr">
        <is>
          <t>Ironwood is positioned for inference and Gemini is commercialized across products; inference share increases as a scenario.</t>
        </is>
      </c>
      <c r="J2203" s="3" t="inlineStr">
        <is>
          <t>SRC_GOOGLE_GEMINI_TOKENS; SRC_GOOGLE_IRONWOOD; SRC_GOOGLE_TPU_V6E; SRC_EPOCH_AI_DATA_CENTERS; ASSUMP_INFERENCE_SHARE_NOT_FACT_60</t>
        </is>
      </c>
      <c r="K2203" s="3" t="inlineStr">
        <is>
          <t>ASSUMP_TPU_EFFICIENCY; ASSUMP_POWER_RAMP; ASSUMP_NUMERIC_ACCELERATOR_MIX; ASSUMP_INFERENCE_SHARE_NOT_FACT_60; ASSUMP_WORKLOAD_CLASS_MIX; ASSUMP_AGENTIC_CONTEXT_PENALTY</t>
        </is>
      </c>
      <c r="L2203" s="3" t="inlineStr">
        <is>
          <t>Provider-specific inference/training workload power telemetry.</t>
        </is>
      </c>
    </row>
    <row r="2204">
      <c r="A2204" s="3" t="inlineStr">
        <is>
          <t>Google</t>
        </is>
      </c>
      <c r="B2204" s="3" t="n">
        <v>2026</v>
      </c>
      <c r="C2204" s="3" t="inlineStr">
        <is>
          <t>Bull</t>
        </is>
      </c>
      <c r="D2204" s="3" t="inlineStr">
        <is>
          <t>inference_gw</t>
        </is>
      </c>
      <c r="E2204" s="3" t="n">
        <v>1.034</v>
      </c>
      <c r="F2204" s="3" t="inlineStr">
        <is>
          <t>GW</t>
        </is>
      </c>
      <c r="G2204" s="3" t="inlineStr">
        <is>
          <t>Derived formula</t>
        </is>
      </c>
      <c r="H2204" s="3" t="inlineStr">
        <is>
          <t>ai_it_load_gw * inference_power_share</t>
        </is>
      </c>
      <c r="I2204" s="3" t="inlineStr">
        <is>
          <t>This is the operational power eligible to become commercial generated output tokens through the selected TPS/MW proxy.</t>
        </is>
      </c>
      <c r="J2204" s="3" t="inlineStr">
        <is>
          <t>SRC_GOOGLE_GEMINI_TOKENS; SRC_GOOGLE_IRONWOOD; SRC_GOOGLE_TPU_V6E; SRC_EPOCH_AI_DATA_CENTERS</t>
        </is>
      </c>
      <c r="K2204" s="3" t="inlineStr">
        <is>
          <t>ASSUMP_TPU_EFFICIENCY; ASSUMP_POWER_RAMP; ASSUMP_NUMERIC_ACCELERATOR_MIX; ASSUMP_INFERENCE_SHARE_NOT_FACT_60; ASSUMP_WORKLOAD_CLASS_MIX; ASSUMP_AGENTIC_CONTEXT_PENALTY</t>
        </is>
      </c>
      <c r="L2204" s="3" t="inlineStr">
        <is>
          <t>Recompute after AI allocation or inference-share evidence changes.</t>
        </is>
      </c>
    </row>
    <row r="2205">
      <c r="A2205" s="3" t="inlineStr">
        <is>
          <t>Google</t>
        </is>
      </c>
      <c r="B2205" s="3" t="n">
        <v>2026</v>
      </c>
      <c r="C2205" s="3" t="inlineStr">
        <is>
          <t>Bull</t>
        </is>
      </c>
      <c r="D2205" s="3" t="inlineStr">
        <is>
          <t>training_power_share</t>
        </is>
      </c>
      <c r="E2205" s="3" t="n">
        <v>0.4</v>
      </c>
      <c r="F2205" s="3" t="inlineStr">
        <is>
          <t>share of AI IT load</t>
        </is>
      </c>
      <c r="G2205" s="3" t="inlineStr">
        <is>
          <t>Derived allocation</t>
        </is>
      </c>
      <c r="H2205" s="3" t="inlineStr">
        <is>
          <t>1 - inference_power_share</t>
        </is>
      </c>
      <c r="I2205" s="3" t="inlineStr">
        <is>
          <t>Training receives the complementary modeled AI IT allocation; it is not a disclosed company workload split.</t>
        </is>
      </c>
      <c r="J2205" s="3" t="inlineStr">
        <is>
          <t>SRC_GOOGLE_GEMINI_TOKENS; SRC_GOOGLE_IRONWOOD; SRC_GOOGLE_TPU_V6E; SRC_EPOCH_AI_DATA_CENTERS; ASSUMP_INFERENCE_SHARE_NOT_FACT_60</t>
        </is>
      </c>
      <c r="K2205" s="3" t="inlineStr">
        <is>
          <t>ASSUMP_TPU_EFFICIENCY; ASSUMP_POWER_RAMP; ASSUMP_NUMERIC_ACCELERATOR_MIX; ASSUMP_INFERENCE_SHARE_NOT_FACT_60; ASSUMP_WORKLOAD_CLASS_MIX; ASSUMP_AGENTIC_CONTEXT_PENALTY</t>
        </is>
      </c>
      <c r="L2205" s="3" t="inlineStr">
        <is>
          <t>Provider-specific inference/training workload power telemetry.</t>
        </is>
      </c>
    </row>
    <row r="2206">
      <c r="A2206" s="3" t="inlineStr">
        <is>
          <t>Google</t>
        </is>
      </c>
      <c r="B2206" s="3" t="n">
        <v>2026</v>
      </c>
      <c r="C2206" s="3" t="inlineStr">
        <is>
          <t>Bull</t>
        </is>
      </c>
      <c r="D2206" s="3" t="inlineStr">
        <is>
          <t>training_gw</t>
        </is>
      </c>
      <c r="E2206" s="3" t="n">
        <v>0.6889999999999999</v>
      </c>
      <c r="F2206" s="3" t="inlineStr">
        <is>
          <t>GW</t>
        </is>
      </c>
      <c r="G2206" s="3" t="inlineStr">
        <is>
          <t>Derived formula</t>
        </is>
      </c>
      <c r="H2206" s="3" t="inlineStr">
        <is>
          <t>ai_it_load_gw * training_power_share</t>
        </is>
      </c>
      <c r="I2206" s="3" t="inlineStr">
        <is>
          <t>Training GW is shown separately so commercial inference token capacity is not overstated.</t>
        </is>
      </c>
      <c r="J2206" s="3" t="inlineStr">
        <is>
          <t>SRC_GOOGLE_GEMINI_TOKENS; SRC_GOOGLE_IRONWOOD; SRC_GOOGLE_TPU_V6E; SRC_EPOCH_AI_DATA_CENTERS</t>
        </is>
      </c>
      <c r="K2206" s="3" t="inlineStr">
        <is>
          <t>ASSUMP_TPU_EFFICIENCY; ASSUMP_POWER_RAMP; ASSUMP_NUMERIC_ACCELERATOR_MIX; ASSUMP_INFERENCE_SHARE_NOT_FACT_60; ASSUMP_WORKLOAD_CLASS_MIX; ASSUMP_AGENTIC_CONTEXT_PENALTY</t>
        </is>
      </c>
      <c r="L2206" s="3" t="inlineStr">
        <is>
          <t>Recompute after AI allocation or workload-split evidence changes.</t>
        </is>
      </c>
    </row>
    <row r="2207">
      <c r="A2207" s="3" t="inlineStr">
        <is>
          <t>Google</t>
        </is>
      </c>
      <c r="B2207" s="3" t="n">
        <v>2026</v>
      </c>
      <c r="C2207" s="3" t="inlineStr">
        <is>
          <t>Bull</t>
        </is>
      </c>
      <c r="D2207" s="3" t="inlineStr">
        <is>
          <t>tokens_per_second_per_mw</t>
        </is>
      </c>
      <c r="E2207" s="3" t="n">
        <v>134214</v>
      </c>
      <c r="F2207" s="3" t="inlineStr">
        <is>
          <t>generated output tokens/sec/MW</t>
        </is>
      </c>
      <c r="G2207" s="3" t="inlineStr">
        <is>
          <t>Derived estimate + benchmark calibration</t>
        </is>
      </c>
      <c r="H2207" s="3" t="inlineStr">
        <is>
          <t>fleet_reference_tps_per_mw * commercial_workload_fit_factor</t>
        </is>
      </c>
      <c r="I2207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07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07" s="3" t="inlineStr">
        <is>
          <t>ASSUMP_TPU_EFFICIENCY; ASSUMP_POWER_RAMP; ASSUMP_NUMERIC_ACCELERATOR_MIX; ASSUMP_INFERENCE_SHARE_NOT_FACT_60; ASSUMP_WORKLOAD_CLASS_MIX; ASSUMP_AGENTIC_CONTEXT_PENALTY</t>
        </is>
      </c>
      <c r="L2207" s="3" t="inlineStr">
        <is>
          <t>Comparable production output-token throughput with model, hardware, precision, ISL/OSL and SLO matched.</t>
        </is>
      </c>
    </row>
    <row r="2208">
      <c r="A2208" s="3" t="inlineStr">
        <is>
          <t>Google</t>
        </is>
      </c>
      <c r="B2208" s="3" t="n">
        <v>2026</v>
      </c>
      <c r="C2208" s="3" t="inlineStr">
        <is>
          <t>Bull</t>
        </is>
      </c>
      <c r="D2208" s="3" t="inlineStr">
        <is>
          <t>inference_tokens_per_day</t>
        </is>
      </c>
      <c r="E2208" s="3" t="n">
        <v>11990356646400</v>
      </c>
      <c r="F2208" s="3" t="inlineStr">
        <is>
          <t>generated output tokens/day</t>
        </is>
      </c>
      <c r="G2208" s="3" t="inlineStr">
        <is>
          <t>Derived headline metric</t>
        </is>
      </c>
      <c r="H2208" s="3" t="inlineStr">
        <is>
          <t>inference_gw * 1000 * tokens_per_second_per_mw * 86,400</t>
        </is>
      </c>
      <c r="I2208" s="3" t="inlineStr">
        <is>
          <t>Headline capacity uses no utilization, MoE, architecture or software-growth multiplier; it is not observed commercial output volume.</t>
        </is>
      </c>
      <c r="J2208" s="3" t="inlineStr">
        <is>
          <t>SRC_GOOGLE_GEMINI_TOKENS; SRC_GOOGLE_IRONWOOD; SRC_GOOGLE_TPU_V6E; SRC_EPOCH_AI_DATA_CENTERS; SRC_SEMIANALYSIS_INFERENCEX</t>
        </is>
      </c>
      <c r="K2208" s="3" t="inlineStr">
        <is>
          <t>ASSUMP_TPU_EFFICIENCY; ASSUMP_POWER_RAMP; ASSUMP_NUMERIC_ACCELERATOR_MIX; ASSUMP_INFERENCE_SHARE_NOT_FACT_60; ASSUMP_WORKLOAD_CLASS_MIX; ASSUMP_AGENTIC_CONTEXT_PENALTY</t>
        </is>
      </c>
      <c r="L2208" s="3" t="inlineStr">
        <is>
          <t>Provider-disclosed generated output token volume or calibrated capacity telemetry.</t>
        </is>
      </c>
    </row>
    <row r="2209">
      <c r="A2209" s="3" t="inlineStr">
        <is>
          <t>Google</t>
        </is>
      </c>
      <c r="B2209" s="3" t="n">
        <v>2026</v>
      </c>
      <c r="C2209" s="3" t="inlineStr">
        <is>
          <t>Bull</t>
        </is>
      </c>
      <c r="D2209" s="3" t="inlineStr">
        <is>
          <t>inference_tokens_per_year</t>
        </is>
      </c>
      <c r="E2209" s="3" t="n">
        <v>4376480175936000</v>
      </c>
      <c r="F2209" s="3" t="inlineStr">
        <is>
          <t>generated output tokens/year</t>
        </is>
      </c>
      <c r="G2209" s="3" t="inlineStr">
        <is>
          <t>Derived headline metric</t>
        </is>
      </c>
      <c r="H2209" s="3" t="inlineStr">
        <is>
          <t>inference_tokens_per_day * 365</t>
        </is>
      </c>
      <c r="I2209" s="3" t="inlineStr">
        <is>
          <t>Annualized version of generated output token capacity; it is not observed annual demand or billable volume.</t>
        </is>
      </c>
      <c r="J2209" s="3" t="inlineStr">
        <is>
          <t>SRC_GOOGLE_GEMINI_TOKENS; SRC_GOOGLE_IRONWOOD; SRC_GOOGLE_TPU_V6E; SRC_EPOCH_AI_DATA_CENTERS; SRC_SEMIANALYSIS_INFERENCEX</t>
        </is>
      </c>
      <c r="K2209" s="3" t="inlineStr">
        <is>
          <t>ASSUMP_TPU_EFFICIENCY; ASSUMP_POWER_RAMP; ASSUMP_NUMERIC_ACCELERATOR_MIX; ASSUMP_INFERENCE_SHARE_NOT_FACT_60; ASSUMP_WORKLOAD_CLASS_MIX; ASSUMP_AGENTIC_CONTEXT_PENALTY</t>
        </is>
      </c>
      <c r="L2209" s="3" t="inlineStr">
        <is>
          <t>Provider-disclosed annual generated-output volume or metered serving telemetry.</t>
        </is>
      </c>
    </row>
    <row r="2210">
      <c r="A2210" s="3" t="inlineStr">
        <is>
          <t>Google</t>
        </is>
      </c>
      <c r="B2210" s="3" t="n">
        <v>2027</v>
      </c>
      <c r="C2210" s="3" t="inlineStr">
        <is>
          <t>Bull</t>
        </is>
      </c>
      <c r="D2210" s="3" t="inlineStr">
        <is>
          <t>contracted_power_gw</t>
        </is>
      </c>
      <c r="E2210" s="3" t="n">
        <v>5.375</v>
      </c>
      <c r="F2210" s="3" t="inlineStr">
        <is>
          <t>GW</t>
        </is>
      </c>
      <c r="G2210" s="3" t="inlineStr">
        <is>
          <t>Scenario capacity envelope</t>
        </is>
      </c>
      <c r="H2210" s="3" t="inlineStr">
        <is>
          <t>linear interpolation between 2026 and 2030 company capacity endpoints</t>
        </is>
      </c>
      <c r="I2210" s="3" t="inlineStr">
        <is>
          <t>Scenario envelope for Gemini-serving capacity; official TPU hardware direction is disclosed, company-level contracted GW is not.</t>
        </is>
      </c>
      <c r="J2210" s="3" t="inlineStr">
        <is>
          <t>ASSUMP_POWER_RAMP; SRC_GOOGLE_IRONWOOD; SRC_GOOGLE_TPU_V6E</t>
        </is>
      </c>
      <c r="K2210" s="3" t="inlineStr">
        <is>
          <t>ASSUMP_TPU_EFFICIENCY; ASSUMP_POWER_RAMP; ASSUMP_NUMERIC_ACCELERATOR_MIX; ASSUMP_INFERENCE_SHARE_NOT_FACT_60; ASSUMP_WORKLOAD_CLASS_MIX; ASSUMP_AGENTIC_CONTEXT_PENALTY</t>
        </is>
      </c>
      <c r="L2210" s="3" t="inlineStr">
        <is>
          <t>Company/site-level committed MW/GW, interconnect and contract disclosure.</t>
        </is>
      </c>
    </row>
    <row r="2211">
      <c r="A2211" s="3" t="inlineStr">
        <is>
          <t>Google</t>
        </is>
      </c>
      <c r="B2211" s="3" t="n">
        <v>2027</v>
      </c>
      <c r="C2211" s="3" t="inlineStr">
        <is>
          <t>Bull</t>
        </is>
      </c>
      <c r="D2211" s="3" t="inlineStr">
        <is>
          <t>operational_deployment_share</t>
        </is>
      </c>
      <c r="E2211" s="3" t="n">
        <v>0.67460465</v>
      </c>
      <c r="F2211" s="3" t="inlineStr">
        <is>
          <t>share</t>
        </is>
      </c>
      <c r="G2211" s="3" t="inlineStr">
        <is>
          <t>Scenario conversion</t>
        </is>
      </c>
      <c r="H2211" s="3" t="inlineStr">
        <is>
          <t>active_power_gw / contracted_power_gw</t>
        </is>
      </c>
      <c r="I2211" s="3" t="inlineStr">
        <is>
          <t>This is the single explicit conversion from contracted/attributed capacity to operationally usable capacity.</t>
        </is>
      </c>
      <c r="J2211" s="3" t="inlineStr">
        <is>
          <t>ASSUMP_POWER_RAMP; SRC_GOOGLE_IRONWOOD; SRC_GOOGLE_TPU_V6E</t>
        </is>
      </c>
      <c r="K2211" s="3" t="inlineStr">
        <is>
          <t>ASSUMP_TPU_EFFICIENCY; ASSUMP_POWER_RAMP; ASSUMP_NUMERIC_ACCELERATOR_MIX; ASSUMP_INFERENCE_SHARE_NOT_FACT_60; ASSUMP_WORKLOAD_CLASS_MIX; ASSUMP_AGENTIC_CONTEXT_PENALTY</t>
        </is>
      </c>
      <c r="L2211" s="3" t="inlineStr">
        <is>
          <t>Energized operational capacity divided by contracted/attributed capacity.</t>
        </is>
      </c>
    </row>
    <row r="2212">
      <c r="A2212" s="3" t="inlineStr">
        <is>
          <t>Google</t>
        </is>
      </c>
      <c r="B2212" s="3" t="n">
        <v>2027</v>
      </c>
      <c r="C2212" s="3" t="inlineStr">
        <is>
          <t>Bull</t>
        </is>
      </c>
      <c r="D2212" s="3" t="inlineStr">
        <is>
          <t>active_power_gw</t>
        </is>
      </c>
      <c r="E2212" s="3" t="n">
        <v>3.626</v>
      </c>
      <c r="F2212" s="3" t="inlineStr">
        <is>
          <t>GW</t>
        </is>
      </c>
      <c r="G2212" s="3" t="inlineStr">
        <is>
          <t>Derived scenario</t>
        </is>
      </c>
      <c r="H2212" s="3" t="inlineStr">
        <is>
          <t>contracted_power_gw * operational_deployment_share</t>
        </is>
      </c>
      <c r="I2212" s="3" t="inlineStr">
        <is>
          <t>TPU generation availability supports ramp direction, while active GW remains a staged deployment estimate.</t>
        </is>
      </c>
      <c r="J2212" s="3" t="inlineStr">
        <is>
          <t>ASSUMP_POWER_RAMP; SRC_GOOGLE_IRONWOOD; SRC_GOOGLE_TPU_V6E</t>
        </is>
      </c>
      <c r="K2212" s="3" t="inlineStr">
        <is>
          <t>ASSUMP_TPU_EFFICIENCY; ASSUMP_POWER_RAMP; ASSUMP_NUMERIC_ACCELERATOR_MIX; ASSUMP_INFERENCE_SHARE_NOT_FACT_60; ASSUMP_WORKLOAD_CLASS_MIX; ASSUMP_AGENTIC_CONTEXT_PENALTY</t>
        </is>
      </c>
      <c r="L2212" s="3" t="inlineStr">
        <is>
          <t>Energization dates, accelerator deliveries and operational powered-rack telemetry.</t>
        </is>
      </c>
    </row>
    <row r="2213">
      <c r="A2213" s="3" t="inlineStr">
        <is>
          <t>Google</t>
        </is>
      </c>
      <c r="B2213" s="3" t="n">
        <v>2027</v>
      </c>
      <c r="C2213" s="3" t="inlineStr">
        <is>
          <t>Bull</t>
        </is>
      </c>
      <c r="D2213" s="3" t="inlineStr">
        <is>
          <t>pue</t>
        </is>
      </c>
      <c r="E2213" s="3" t="n">
        <v>1.18</v>
      </c>
      <c r="F2213" s="3" t="inlineStr">
        <is>
          <t>ratio</t>
        </is>
      </c>
      <c r="G2213" s="3" t="inlineStr">
        <is>
          <t>Scenario parameter</t>
        </is>
      </c>
      <c r="H2213" s="3" t="inlineStr">
        <is>
          <t>it_load_gw = active_power_gw / pue</t>
        </is>
      </c>
      <c r="I2213" s="3" t="inlineStr">
        <is>
          <t>No provider-wide site-level PUE is used as a disclosed fact; PUE represents facility-to-IT conversion within the scenario.</t>
        </is>
      </c>
      <c r="J2213" s="3" t="inlineStr">
        <is>
          <t>ASSUMP_POWER_RAMP</t>
        </is>
      </c>
      <c r="K2213" s="3" t="inlineStr">
        <is>
          <t>ASSUMP_TPU_EFFICIENCY; ASSUMP_POWER_RAMP; ASSUMP_NUMERIC_ACCELERATOR_MIX; ASSUMP_INFERENCE_SHARE_NOT_FACT_60; ASSUMP_WORKLOAD_CLASS_MIX; ASSUMP_AGENTIC_CONTEXT_PENALTY</t>
        </is>
      </c>
      <c r="L2213" s="3" t="inlineStr">
        <is>
          <t>Site-level measured PUE matched to attributed AI capacity.</t>
        </is>
      </c>
    </row>
    <row r="2214">
      <c r="A2214" s="3" t="inlineStr">
        <is>
          <t>Google</t>
        </is>
      </c>
      <c r="B2214" s="3" t="n">
        <v>2027</v>
      </c>
      <c r="C2214" s="3" t="inlineStr">
        <is>
          <t>Bull</t>
        </is>
      </c>
      <c r="D2214" s="3" t="inlineStr">
        <is>
          <t>it_load_gw</t>
        </is>
      </c>
      <c r="E2214" s="3" t="n">
        <v>3.073</v>
      </c>
      <c r="F2214" s="3" t="inlineStr">
        <is>
          <t>GW</t>
        </is>
      </c>
      <c r="G2214" s="3" t="inlineStr">
        <is>
          <t>Derived formula</t>
        </is>
      </c>
      <c r="H2214" s="3" t="inlineStr">
        <is>
          <t>active_power_gw / pue</t>
        </is>
      </c>
      <c r="I2214" s="3" t="inlineStr">
        <is>
          <t>Facility power is converted to IT-deliverable power before attributing AI workloads.</t>
        </is>
      </c>
      <c r="J2214" s="3" t="inlineStr">
        <is>
          <t>ASSUMP_POWER_RAMP; SRC_GOOGLE_IRONWOOD; SRC_GOOGLE_TPU_V6E</t>
        </is>
      </c>
      <c r="K2214" s="3" t="inlineStr">
        <is>
          <t>ASSUMP_TPU_EFFICIENCY; ASSUMP_POWER_RAMP; ASSUMP_NUMERIC_ACCELERATOR_MIX; ASSUMP_INFERENCE_SHARE_NOT_FACT_60; ASSUMP_WORKLOAD_CLASS_MIX; ASSUMP_AGENTIC_CONTEXT_PENALTY</t>
        </is>
      </c>
      <c r="L2214" s="3" t="inlineStr">
        <is>
          <t>Recompute once active power and PUE become site-observable.</t>
        </is>
      </c>
    </row>
    <row r="2215">
      <c r="A2215" s="3" t="inlineStr">
        <is>
          <t>Google</t>
        </is>
      </c>
      <c r="B2215" s="3" t="n">
        <v>2027</v>
      </c>
      <c r="C2215" s="3" t="inlineStr">
        <is>
          <t>Bull</t>
        </is>
      </c>
      <c r="D2215" s="3" t="inlineStr">
        <is>
          <t>ai_workload_share</t>
        </is>
      </c>
      <c r="E2215" s="3" t="n">
        <v>0.88</v>
      </c>
      <c r="F2215" s="3" t="inlineStr">
        <is>
          <t>share</t>
        </is>
      </c>
      <c r="G2215" s="3" t="inlineStr">
        <is>
          <t>Scenario allocation</t>
        </is>
      </c>
      <c r="H2215" s="3" t="inlineStr">
        <is>
          <t>ai_it_load_gw = it_load_gw * ai_workload_share</t>
        </is>
      </c>
      <c r="I2215" s="3" t="inlineStr">
        <is>
          <t>Gemini/Vertex TPU serving is AI-dedicated in the modeled capacity envelope; 88% excludes platform/reserve load.</t>
        </is>
      </c>
      <c r="J2215" s="3" t="inlineStr">
        <is>
          <t>SRC_GOOGLE_GEMINI_TOKENS; SRC_GOOGLE_IRONWOOD; SRC_GOOGLE_TPU_V6E; SRC_EPOCH_AI_DATA_CENTERS</t>
        </is>
      </c>
      <c r="K2215" s="3" t="inlineStr">
        <is>
          <t>ASSUMP_TPU_EFFICIENCY; ASSUMP_POWER_RAMP; ASSUMP_NUMERIC_ACCELERATOR_MIX; ASSUMP_INFERENCE_SHARE_NOT_FACT_60; ASSUMP_WORKLOAD_CLASS_MIX; ASSUMP_AGENTIC_CONTEXT_PENALTY</t>
        </is>
      </c>
      <c r="L2215" s="3" t="inlineStr">
        <is>
          <t>Model-owner AI workload allocation or cluster scheduling telemetry.</t>
        </is>
      </c>
    </row>
    <row r="2216">
      <c r="A2216" s="3" t="inlineStr">
        <is>
          <t>Google</t>
        </is>
      </c>
      <c r="B2216" s="3" t="n">
        <v>2027</v>
      </c>
      <c r="C2216" s="3" t="inlineStr">
        <is>
          <t>Bull</t>
        </is>
      </c>
      <c r="D2216" s="3" t="inlineStr">
        <is>
          <t>ai_it_load_gw</t>
        </is>
      </c>
      <c r="E2216" s="3" t="n">
        <v>2.704</v>
      </c>
      <c r="F2216" s="3" t="inlineStr">
        <is>
          <t>GW</t>
        </is>
      </c>
      <c r="G2216" s="3" t="inlineStr">
        <is>
          <t>Derived formula</t>
        </is>
      </c>
      <c r="H2216" s="3" t="inlineStr">
        <is>
          <t>it_load_gw * ai_workload_share</t>
        </is>
      </c>
      <c r="I2216" s="3" t="inlineStr">
        <is>
          <t>Only the AI-attributed portion of IT load enters training/inference allocation.</t>
        </is>
      </c>
      <c r="J2216" s="3" t="inlineStr">
        <is>
          <t>SRC_GOOGLE_GEMINI_TOKENS; SRC_GOOGLE_IRONWOOD; SRC_GOOGLE_TPU_V6E; SRC_EPOCH_AI_DATA_CENTERS</t>
        </is>
      </c>
      <c r="K2216" s="3" t="inlineStr">
        <is>
          <t>ASSUMP_TPU_EFFICIENCY; ASSUMP_POWER_RAMP; ASSUMP_NUMERIC_ACCELERATOR_MIX; ASSUMP_INFERENCE_SHARE_NOT_FACT_60; ASSUMP_WORKLOAD_CLASS_MIX; ASSUMP_AGENTIC_CONTEXT_PENALTY</t>
        </is>
      </c>
      <c r="L2216" s="3" t="inlineStr">
        <is>
          <t>Recompute after ai_workload_share is replaced by telemetry.</t>
        </is>
      </c>
    </row>
    <row r="2217">
      <c r="A2217" s="3" t="inlineStr">
        <is>
          <t>Google</t>
        </is>
      </c>
      <c r="B2217" s="3" t="n">
        <v>2027</v>
      </c>
      <c r="C2217" s="3" t="inlineStr">
        <is>
          <t>Bull</t>
        </is>
      </c>
      <c r="D2217" s="3" t="inlineStr">
        <is>
          <t>gpu_share</t>
        </is>
      </c>
      <c r="E2217" s="3" t="n">
        <v>0.105947</v>
      </c>
      <c r="F2217" s="3" t="inlineStr">
        <is>
          <t>share of inference-serving accelerator load</t>
        </is>
      </c>
      <c r="G2217" s="3" t="inlineStr">
        <is>
          <t>Numeric scenario</t>
        </is>
      </c>
      <c r="H2217" s="3" t="inlineStr">
        <is>
          <t>gpu_share interpolated from company 2026/2030 accelerator-mix endpoints</t>
        </is>
      </c>
      <c r="I2217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17" s="3" t="inlineStr">
        <is>
          <t>SRC_GOOGLE_GEMINI_TOKENS; SRC_GOOGLE_IRONWOOD; SRC_GOOGLE_TPU_V6E; SRC_EPOCH_AI_DATA_CENTERS; ASSUMP_NUMERIC_ACCELERATOR_MIX</t>
        </is>
      </c>
      <c r="K2217" s="3" t="inlineStr">
        <is>
          <t>ASSUMP_TPU_EFFICIENCY; ASSUMP_POWER_RAMP; ASSUMP_NUMERIC_ACCELERATOR_MIX; ASSUMP_INFERENCE_SHARE_NOT_FACT_60; ASSUMP_WORKLOAD_CLASS_MIX; ASSUMP_AGENTIC_CONTEXT_PENALTY</t>
        </is>
      </c>
      <c r="L2217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18">
      <c r="A2218" s="3" t="inlineStr">
        <is>
          <t>Google</t>
        </is>
      </c>
      <c r="B2218" s="3" t="n">
        <v>2027</v>
      </c>
      <c r="C2218" s="3" t="inlineStr">
        <is>
          <t>Bull</t>
        </is>
      </c>
      <c r="D2218" s="3" t="inlineStr">
        <is>
          <t>h200_share</t>
        </is>
      </c>
      <c r="E2218" s="3" t="n">
        <v>0.005625</v>
      </c>
      <c r="F2218" s="3" t="inlineStr">
        <is>
          <t>share of inference-serving accelerator load</t>
        </is>
      </c>
      <c r="G2218" s="3" t="inlineStr">
        <is>
          <t>Editable numeric scenario</t>
        </is>
      </c>
      <c r="H2218" s="3" t="inlineStr">
        <is>
          <t>h200_share = gpu_share * default_gpu_generation_mix_h200</t>
        </is>
      </c>
      <c r="I2218" s="3" t="inlineStr">
        <is>
          <t>Default GPU-generation migration assumption; executive workbook allows later manual replacement by company/year/scenario.</t>
        </is>
      </c>
      <c r="J2218" s="3" t="inlineStr">
        <is>
          <t>SRC_SEMIANALYSIS_INFERENCEX; ASSUMP_NUMERIC_ACCELERATOR_MIX</t>
        </is>
      </c>
      <c r="K2218" s="3" t="inlineStr">
        <is>
          <t>ASSUMP_TPU_EFFICIENCY; ASSUMP_POWER_RAMP; ASSUMP_NUMERIC_ACCELERATOR_MIX; ASSUMP_INFERENCE_SHARE_NOT_FACT_60; ASSUMP_WORKLOAD_CLASS_MIX; ASSUMP_AGENTIC_CONTEXT_PENALTY</t>
        </is>
      </c>
      <c r="L2218" s="3" t="inlineStr">
        <is>
          <t>Company fleet inventory, accelerator-hours or procurement/deployment records by GPU generation.</t>
        </is>
      </c>
    </row>
    <row r="2219">
      <c r="A2219" s="3" t="inlineStr">
        <is>
          <t>Google</t>
        </is>
      </c>
      <c r="B2219" s="3" t="n">
        <v>2027</v>
      </c>
      <c r="C2219" s="3" t="inlineStr">
        <is>
          <t>Bull</t>
        </is>
      </c>
      <c r="D2219" s="3" t="inlineStr">
        <is>
          <t>b200_share</t>
        </is>
      </c>
      <c r="E2219" s="3" t="n">
        <v>0.098131</v>
      </c>
      <c r="F2219" s="3" t="inlineStr">
        <is>
          <t>share of inference-serving accelerator load</t>
        </is>
      </c>
      <c r="G2219" s="3" t="inlineStr">
        <is>
          <t>Editable numeric scenario</t>
        </is>
      </c>
      <c r="H2219" s="3" t="inlineStr">
        <is>
          <t>b200_share = gpu_share * default_gpu_generation_mix_b200</t>
        </is>
      </c>
      <c r="I2219" s="3" t="inlineStr">
        <is>
          <t>Default GPU-generation migration assumption; executive workbook allows later manual replacement by company/year/scenario.</t>
        </is>
      </c>
      <c r="J2219" s="3" t="inlineStr">
        <is>
          <t>SRC_SEMIANALYSIS_INFERENCEX; ASSUMP_NUMERIC_ACCELERATOR_MIX</t>
        </is>
      </c>
      <c r="K2219" s="3" t="inlineStr">
        <is>
          <t>ASSUMP_TPU_EFFICIENCY; ASSUMP_POWER_RAMP; ASSUMP_NUMERIC_ACCELERATOR_MIX; ASSUMP_INFERENCE_SHARE_NOT_FACT_60; ASSUMP_WORKLOAD_CLASS_MIX; ASSUMP_AGENTIC_CONTEXT_PENALTY</t>
        </is>
      </c>
      <c r="L2219" s="3" t="inlineStr">
        <is>
          <t>Company fleet inventory, accelerator-hours or procurement/deployment records by GPU generation.</t>
        </is>
      </c>
    </row>
    <row r="2220">
      <c r="A2220" s="3" t="inlineStr">
        <is>
          <t>Google</t>
        </is>
      </c>
      <c r="B2220" s="3" t="n">
        <v>2027</v>
      </c>
      <c r="C2220" s="3" t="inlineStr">
        <is>
          <t>Bull</t>
        </is>
      </c>
      <c r="D2220" s="3" t="inlineStr">
        <is>
          <t>gb200_share</t>
        </is>
      </c>
      <c r="E2220" s="3" t="n">
        <v>0.002191</v>
      </c>
      <c r="F2220" s="3" t="inlineStr">
        <is>
          <t>share of inference-serving accelerator load</t>
        </is>
      </c>
      <c r="G2220" s="3" t="inlineStr">
        <is>
          <t>Editable numeric scenario</t>
        </is>
      </c>
      <c r="H2220" s="3" t="inlineStr">
        <is>
          <t>gb200_share = gpu_share * default_gpu_generation_mix_gb200</t>
        </is>
      </c>
      <c r="I2220" s="3" t="inlineStr">
        <is>
          <t>Default GPU-generation migration assumption; executive workbook allows later manual replacement by company/year/scenario.</t>
        </is>
      </c>
      <c r="J2220" s="3" t="inlineStr">
        <is>
          <t>SRC_SEMIANALYSIS_INFERENCEX; ASSUMP_NUMERIC_ACCELERATOR_MIX</t>
        </is>
      </c>
      <c r="K2220" s="3" t="inlineStr">
        <is>
          <t>ASSUMP_TPU_EFFICIENCY; ASSUMP_POWER_RAMP; ASSUMP_NUMERIC_ACCELERATOR_MIX; ASSUMP_INFERENCE_SHARE_NOT_FACT_60; ASSUMP_WORKLOAD_CLASS_MIX; ASSUMP_AGENTIC_CONTEXT_PENALTY</t>
        </is>
      </c>
      <c r="L2220" s="3" t="inlineStr">
        <is>
          <t>Company fleet inventory, accelerator-hours or procurement/deployment records by GPU generation.</t>
        </is>
      </c>
    </row>
    <row r="2221">
      <c r="A2221" s="3" t="inlineStr">
        <is>
          <t>Google</t>
        </is>
      </c>
      <c r="B2221" s="3" t="n">
        <v>2027</v>
      </c>
      <c r="C2221" s="3" t="inlineStr">
        <is>
          <t>Bull</t>
        </is>
      </c>
      <c r="D2221" s="3" t="inlineStr">
        <is>
          <t>purpose_built_accelerator_share</t>
        </is>
      </c>
      <c r="E2221" s="3" t="n">
        <v>0.894053</v>
      </c>
      <c r="F2221" s="3" t="inlineStr">
        <is>
          <t>share of inference-serving accelerator load</t>
        </is>
      </c>
      <c r="G2221" s="3" t="inlineStr">
        <is>
          <t>Numeric scenario</t>
        </is>
      </c>
      <c r="H2221" s="3" t="inlineStr">
        <is>
          <t>1 - gpu_share</t>
        </is>
      </c>
      <c r="I2221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21" s="3" t="inlineStr">
        <is>
          <t>SRC_GOOGLE_GEMINI_TOKENS; SRC_GOOGLE_IRONWOOD; SRC_GOOGLE_TPU_V6E; SRC_EPOCH_AI_DATA_CENTERS; ASSUMP_NUMERIC_ACCELERATOR_MIX</t>
        </is>
      </c>
      <c r="K2221" s="3" t="inlineStr">
        <is>
          <t>ASSUMP_TPU_EFFICIENCY; ASSUMP_POWER_RAMP; ASSUMP_NUMERIC_ACCELERATOR_MIX; ASSUMP_INFERENCE_SHARE_NOT_FACT_60; ASSUMP_WORKLOAD_CLASS_MIX; ASSUMP_AGENTIC_CONTEXT_PENALTY</t>
        </is>
      </c>
      <c r="L2221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22">
      <c r="A2222" s="3" t="inlineStr">
        <is>
          <t>Google</t>
        </is>
      </c>
      <c r="B2222" s="3" t="n">
        <v>2027</v>
      </c>
      <c r="C2222" s="3" t="inlineStr">
        <is>
          <t>Bull</t>
        </is>
      </c>
      <c r="D2222" s="3" t="inlineStr">
        <is>
          <t>fleet_reference_tps_per_mw</t>
        </is>
      </c>
      <c r="E2222" s="3" t="n">
        <v>173666</v>
      </c>
      <c r="F2222" s="3" t="inlineStr">
        <is>
          <t>generated output tokens/sec/MW</t>
        </is>
      </c>
      <c r="G2222" s="3" t="inlineStr">
        <is>
          <t>Fleet-weighted public benchmark reference</t>
        </is>
      </c>
      <c r="H2222" s="3" t="inlineStr">
        <is>
          <t>h200_share*h200_workload_avg + b200_share*b200_workload_avg + gb200_share*gb200_workload_avg + purpose_built_share*purpose_workload_avg</t>
        </is>
      </c>
      <c r="I222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22" s="3" t="inlineStr">
        <is>
          <t>SRC_SEMIANALYSIS_INFERENCEX; ASSUMP_NUMERIC_ACCELERATOR_MIX; ASSUMP_WORKLOAD_CLASS_MIX; ASSUMP_AGENTIC_CONTEXT_PENALTY</t>
        </is>
      </c>
      <c r="K2222" s="3" t="inlineStr">
        <is>
          <t>ASSUMP_TPU_EFFICIENCY; ASSUMP_POWER_RAMP; ASSUMP_NUMERIC_ACCELERATOR_MIX; ASSUMP_INFERENCE_SHARE_NOT_FACT_60; ASSUMP_WORKLOAD_CLASS_MIX; ASSUMP_AGENTIC_CONTEXT_PENALTY</t>
        </is>
      </c>
      <c r="L2222" s="3" t="inlineStr">
        <is>
          <t>Comparable production output-token throughput or a more closely matched benchmark.</t>
        </is>
      </c>
    </row>
    <row r="2223">
      <c r="A2223" s="3" t="inlineStr">
        <is>
          <t>Google</t>
        </is>
      </c>
      <c r="B2223" s="3" t="n">
        <v>2027</v>
      </c>
      <c r="C2223" s="3" t="inlineStr">
        <is>
          <t>Bull</t>
        </is>
      </c>
      <c r="D2223" s="3" t="inlineStr">
        <is>
          <t>commercial_workload_fit_factor</t>
        </is>
      </c>
      <c r="E2223" s="3" t="n">
        <v>0.8</v>
      </c>
      <c r="F2223" s="3" t="inlineStr">
        <is>
          <t>share of public reference throughput</t>
        </is>
      </c>
      <c r="G2223" s="3" t="inlineStr">
        <is>
          <t>Scenario assumption</t>
        </is>
      </c>
      <c r="H2223" s="3" t="inlineStr">
        <is>
          <t>reference_serving_tps_per_mw = fleet_reference_tps_per_mw * commercial_workload_fit_factor</t>
        </is>
      </c>
      <c r="I2223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23" s="3" t="inlineStr">
        <is>
          <t>SRC_SEMIANALYSIS_INFERENCEX; ASSUMP_NUMERIC_ACCELERATOR_MIX; ASSUMP_WORKLOAD_CLASS_MIX; ASSUMP_AGENTIC_CONTEXT_PENALTY</t>
        </is>
      </c>
      <c r="K2223" s="3" t="inlineStr">
        <is>
          <t>ASSUMP_TPU_EFFICIENCY; ASSUMP_POWER_RAMP; ASSUMP_NUMERIC_ACCELERATOR_MIX; ASSUMP_INFERENCE_SHARE_NOT_FACT_60; ASSUMP_WORKLOAD_CLASS_MIX; ASSUMP_AGENTIC_CONTEXT_PENALTY</t>
        </is>
      </c>
      <c r="L2223" s="3" t="inlineStr">
        <is>
          <t>Matched commercial serving benchmark by product surface, context shape and latency SLO.</t>
        </is>
      </c>
    </row>
    <row r="2224">
      <c r="A2224" s="3" t="inlineStr">
        <is>
          <t>Google</t>
        </is>
      </c>
      <c r="B2224" s="3" t="n">
        <v>2027</v>
      </c>
      <c r="C2224" s="3" t="inlineStr">
        <is>
          <t>Bull</t>
        </is>
      </c>
      <c r="D2224" s="3" t="inlineStr">
        <is>
          <t>reference_serving_tps_per_mw</t>
        </is>
      </c>
      <c r="E2224" s="3" t="n">
        <v>138933</v>
      </c>
      <c r="F2224" s="3" t="inlineStr">
        <is>
          <t>generated output tokens/sec/MW</t>
        </is>
      </c>
      <c r="G2224" s="3" t="inlineStr">
        <is>
          <t>Workload-adjusted benchmark proxy</t>
        </is>
      </c>
      <c r="H2224" s="3" t="inlineStr">
        <is>
          <t>fleet_reference_tps_per_mw * commercial_workload_fit_factor</t>
        </is>
      </c>
      <c r="I2224" s="3" t="inlineStr">
        <is>
          <t>This is the coefficient used for headline token generation; each GPU's short chat, long chat and agentic TPS/MW are weighted before fleet mix and commercial fit are applied.</t>
        </is>
      </c>
      <c r="J2224" s="3" t="inlineStr">
        <is>
          <t>SRC_SEMIANALYSIS_INFERENCEX; ASSUMP_NUMERIC_ACCELERATOR_MIX; ASSUMP_WORKLOAD_CLASS_MIX; ASSUMP_AGENTIC_CONTEXT_PENALTY</t>
        </is>
      </c>
      <c r="K2224" s="3" t="inlineStr">
        <is>
          <t>ASSUMP_TPU_EFFICIENCY; ASSUMP_POWER_RAMP; ASSUMP_NUMERIC_ACCELERATOR_MIX; ASSUMP_INFERENCE_SHARE_NOT_FACT_60; ASSUMP_WORKLOAD_CLASS_MIX; ASSUMP_AGENTIC_CONTEXT_PENALTY</t>
        </is>
      </c>
      <c r="L2224" s="3" t="inlineStr">
        <is>
          <t>Provider production output-token throughput with comparable workload/SLO.</t>
        </is>
      </c>
    </row>
    <row r="2225">
      <c r="A2225" s="3" t="inlineStr">
        <is>
          <t>Google</t>
        </is>
      </c>
      <c r="B2225" s="3" t="n">
        <v>2027</v>
      </c>
      <c r="C2225" s="3" t="inlineStr">
        <is>
          <t>Bull</t>
        </is>
      </c>
      <c r="D2225" s="3" t="inlineStr">
        <is>
          <t>purpose_built_tps_per_mw</t>
        </is>
      </c>
      <c r="E2225" s="3" t="n">
        <v>108245</v>
      </c>
      <c r="F2225" s="3" t="inlineStr">
        <is>
          <t>generated output tokens/sec/MW</t>
        </is>
      </c>
      <c r="G2225" s="3" t="inlineStr">
        <is>
          <t>Conservative no-uplift proxy</t>
        </is>
      </c>
      <c r="H2225" s="3" t="inlineStr">
        <is>
          <t>purpose_built_tps_per_mw = purpose_built_reference_tps_per_mw * commercial_workload_fit_factor until comparable output-token benchmark is adopted</t>
        </is>
      </c>
      <c r="I2225" s="3" t="inlineStr">
        <is>
          <t>No comparable public output-token/MW row adopted; B200 public reference placeholder is used and remains editable.</t>
        </is>
      </c>
      <c r="J2225" s="3" t="inlineStr">
        <is>
          <t>SRC_GOOGLE_GEMINI_TOKENS; SRC_GOOGLE_IRONWOOD; SRC_GOOGLE_TPU_V6E; SRC_EPOCH_AI_DATA_CENTERS; ASSUMP_NUMERIC_ACCELERATOR_MIX</t>
        </is>
      </c>
      <c r="K2225" s="3" t="inlineStr">
        <is>
          <t>ASSUMP_TPU_EFFICIENCY; ASSUMP_POWER_RAMP; ASSUMP_NUMERIC_ACCELERATOR_MIX; ASSUMP_INFERENCE_SHARE_NOT_FACT_60; ASSUMP_WORKLOAD_CLASS_MIX; ASSUMP_AGENTIC_CONTEXT_PENALTY</t>
        </is>
      </c>
      <c r="L2225" s="3" t="inlineStr">
        <is>
          <t>Matched-workload generated-output benchmark for the provider purpose-built accelerator.</t>
        </is>
      </c>
    </row>
    <row r="2226">
      <c r="A2226" s="3" t="inlineStr">
        <is>
          <t>Google</t>
        </is>
      </c>
      <c r="B2226" s="3" t="n">
        <v>2027</v>
      </c>
      <c r="C2226" s="3" t="inlineStr">
        <is>
          <t>Bull</t>
        </is>
      </c>
      <c r="D2226" s="3" t="inlineStr">
        <is>
          <t>inference_power_share</t>
        </is>
      </c>
      <c r="E2226" s="3" t="n">
        <v>0.65</v>
      </c>
      <c r="F2226" s="3" t="inlineStr">
        <is>
          <t>share of AI IT load</t>
        </is>
      </c>
      <c r="G2226" s="3" t="inlineStr">
        <is>
          <t>Scenario allocation</t>
        </is>
      </c>
      <c r="H2226" s="3" t="inlineStr">
        <is>
          <t>inference_gw = ai_it_load_gw * inference_power_share</t>
        </is>
      </c>
      <c r="I2226" s="3" t="inlineStr">
        <is>
          <t>Ironwood is positioned for inference and Gemini is commercialized across products; inference share increases as a scenario.</t>
        </is>
      </c>
      <c r="J2226" s="3" t="inlineStr">
        <is>
          <t>SRC_GOOGLE_GEMINI_TOKENS; SRC_GOOGLE_IRONWOOD; SRC_GOOGLE_TPU_V6E; SRC_EPOCH_AI_DATA_CENTERS; ASSUMP_INFERENCE_SHARE_NOT_FACT_60</t>
        </is>
      </c>
      <c r="K2226" s="3" t="inlineStr">
        <is>
          <t>ASSUMP_TPU_EFFICIENCY; ASSUMP_POWER_RAMP; ASSUMP_NUMERIC_ACCELERATOR_MIX; ASSUMP_INFERENCE_SHARE_NOT_FACT_60; ASSUMP_WORKLOAD_CLASS_MIX; ASSUMP_AGENTIC_CONTEXT_PENALTY</t>
        </is>
      </c>
      <c r="L2226" s="3" t="inlineStr">
        <is>
          <t>Provider-specific inference/training workload power telemetry.</t>
        </is>
      </c>
    </row>
    <row r="2227">
      <c r="A2227" s="3" t="inlineStr">
        <is>
          <t>Google</t>
        </is>
      </c>
      <c r="B2227" s="3" t="n">
        <v>2027</v>
      </c>
      <c r="C2227" s="3" t="inlineStr">
        <is>
          <t>Bull</t>
        </is>
      </c>
      <c r="D2227" s="3" t="inlineStr">
        <is>
          <t>inference_gw</t>
        </is>
      </c>
      <c r="E2227" s="3" t="n">
        <v>1.758</v>
      </c>
      <c r="F2227" s="3" t="inlineStr">
        <is>
          <t>GW</t>
        </is>
      </c>
      <c r="G2227" s="3" t="inlineStr">
        <is>
          <t>Derived formula</t>
        </is>
      </c>
      <c r="H2227" s="3" t="inlineStr">
        <is>
          <t>ai_it_load_gw * inference_power_share</t>
        </is>
      </c>
      <c r="I2227" s="3" t="inlineStr">
        <is>
          <t>This is the operational power eligible to become commercial generated output tokens through the selected TPS/MW proxy.</t>
        </is>
      </c>
      <c r="J2227" s="3" t="inlineStr">
        <is>
          <t>SRC_GOOGLE_GEMINI_TOKENS; SRC_GOOGLE_IRONWOOD; SRC_GOOGLE_TPU_V6E; SRC_EPOCH_AI_DATA_CENTERS</t>
        </is>
      </c>
      <c r="K2227" s="3" t="inlineStr">
        <is>
          <t>ASSUMP_TPU_EFFICIENCY; ASSUMP_POWER_RAMP; ASSUMP_NUMERIC_ACCELERATOR_MIX; ASSUMP_INFERENCE_SHARE_NOT_FACT_60; ASSUMP_WORKLOAD_CLASS_MIX; ASSUMP_AGENTIC_CONTEXT_PENALTY</t>
        </is>
      </c>
      <c r="L2227" s="3" t="inlineStr">
        <is>
          <t>Recompute after AI allocation or inference-share evidence changes.</t>
        </is>
      </c>
    </row>
    <row r="2228">
      <c r="A2228" s="3" t="inlineStr">
        <is>
          <t>Google</t>
        </is>
      </c>
      <c r="B2228" s="3" t="n">
        <v>2027</v>
      </c>
      <c r="C2228" s="3" t="inlineStr">
        <is>
          <t>Bull</t>
        </is>
      </c>
      <c r="D2228" s="3" t="inlineStr">
        <is>
          <t>training_power_share</t>
        </is>
      </c>
      <c r="E2228" s="3" t="n">
        <v>0.35</v>
      </c>
      <c r="F2228" s="3" t="inlineStr">
        <is>
          <t>share of AI IT load</t>
        </is>
      </c>
      <c r="G2228" s="3" t="inlineStr">
        <is>
          <t>Derived allocation</t>
        </is>
      </c>
      <c r="H2228" s="3" t="inlineStr">
        <is>
          <t>1 - inference_power_share</t>
        </is>
      </c>
      <c r="I2228" s="3" t="inlineStr">
        <is>
          <t>Training receives the complementary modeled AI IT allocation; it is not a disclosed company workload split.</t>
        </is>
      </c>
      <c r="J2228" s="3" t="inlineStr">
        <is>
          <t>SRC_GOOGLE_GEMINI_TOKENS; SRC_GOOGLE_IRONWOOD; SRC_GOOGLE_TPU_V6E; SRC_EPOCH_AI_DATA_CENTERS; ASSUMP_INFERENCE_SHARE_NOT_FACT_60</t>
        </is>
      </c>
      <c r="K2228" s="3" t="inlineStr">
        <is>
          <t>ASSUMP_TPU_EFFICIENCY; ASSUMP_POWER_RAMP; ASSUMP_NUMERIC_ACCELERATOR_MIX; ASSUMP_INFERENCE_SHARE_NOT_FACT_60; ASSUMP_WORKLOAD_CLASS_MIX; ASSUMP_AGENTIC_CONTEXT_PENALTY</t>
        </is>
      </c>
      <c r="L2228" s="3" t="inlineStr">
        <is>
          <t>Provider-specific inference/training workload power telemetry.</t>
        </is>
      </c>
    </row>
    <row r="2229">
      <c r="A2229" s="3" t="inlineStr">
        <is>
          <t>Google</t>
        </is>
      </c>
      <c r="B2229" s="3" t="n">
        <v>2027</v>
      </c>
      <c r="C2229" s="3" t="inlineStr">
        <is>
          <t>Bull</t>
        </is>
      </c>
      <c r="D2229" s="3" t="inlineStr">
        <is>
          <t>training_gw</t>
        </is>
      </c>
      <c r="E2229" s="3" t="n">
        <v>0.947</v>
      </c>
      <c r="F2229" s="3" t="inlineStr">
        <is>
          <t>GW</t>
        </is>
      </c>
      <c r="G2229" s="3" t="inlineStr">
        <is>
          <t>Derived formula</t>
        </is>
      </c>
      <c r="H2229" s="3" t="inlineStr">
        <is>
          <t>ai_it_load_gw * training_power_share</t>
        </is>
      </c>
      <c r="I2229" s="3" t="inlineStr">
        <is>
          <t>Training GW is shown separately so commercial inference token capacity is not overstated.</t>
        </is>
      </c>
      <c r="J2229" s="3" t="inlineStr">
        <is>
          <t>SRC_GOOGLE_GEMINI_TOKENS; SRC_GOOGLE_IRONWOOD; SRC_GOOGLE_TPU_V6E; SRC_EPOCH_AI_DATA_CENTERS</t>
        </is>
      </c>
      <c r="K2229" s="3" t="inlineStr">
        <is>
          <t>ASSUMP_TPU_EFFICIENCY; ASSUMP_POWER_RAMP; ASSUMP_NUMERIC_ACCELERATOR_MIX; ASSUMP_INFERENCE_SHARE_NOT_FACT_60; ASSUMP_WORKLOAD_CLASS_MIX; ASSUMP_AGENTIC_CONTEXT_PENALTY</t>
        </is>
      </c>
      <c r="L2229" s="3" t="inlineStr">
        <is>
          <t>Recompute after AI allocation or workload-split evidence changes.</t>
        </is>
      </c>
    </row>
    <row r="2230">
      <c r="A2230" s="3" t="inlineStr">
        <is>
          <t>Google</t>
        </is>
      </c>
      <c r="B2230" s="3" t="n">
        <v>2027</v>
      </c>
      <c r="C2230" s="3" t="inlineStr">
        <is>
          <t>Bull</t>
        </is>
      </c>
      <c r="D2230" s="3" t="inlineStr">
        <is>
          <t>tokens_per_second_per_mw</t>
        </is>
      </c>
      <c r="E2230" s="3" t="n">
        <v>138933</v>
      </c>
      <c r="F2230" s="3" t="inlineStr">
        <is>
          <t>generated output tokens/sec/MW</t>
        </is>
      </c>
      <c r="G2230" s="3" t="inlineStr">
        <is>
          <t>Derived estimate + benchmark calibration</t>
        </is>
      </c>
      <c r="H2230" s="3" t="inlineStr">
        <is>
          <t>fleet_reference_tps_per_mw * commercial_workload_fit_factor</t>
        </is>
      </c>
      <c r="I2230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30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30" s="3" t="inlineStr">
        <is>
          <t>ASSUMP_TPU_EFFICIENCY; ASSUMP_POWER_RAMP; ASSUMP_NUMERIC_ACCELERATOR_MIX; ASSUMP_INFERENCE_SHARE_NOT_FACT_60; ASSUMP_WORKLOAD_CLASS_MIX; ASSUMP_AGENTIC_CONTEXT_PENALTY</t>
        </is>
      </c>
      <c r="L2230" s="3" t="inlineStr">
        <is>
          <t>Comparable production output-token throughput with model, hardware, precision, ISL/OSL and SLO matched.</t>
        </is>
      </c>
    </row>
    <row r="2231">
      <c r="A2231" s="3" t="inlineStr">
        <is>
          <t>Google</t>
        </is>
      </c>
      <c r="B2231" s="3" t="n">
        <v>2027</v>
      </c>
      <c r="C2231" s="3" t="inlineStr">
        <is>
          <t>Bull</t>
        </is>
      </c>
      <c r="D2231" s="3" t="inlineStr">
        <is>
          <t>inference_tokens_per_day</t>
        </is>
      </c>
      <c r="E2231" s="3" t="n">
        <v>21102700089600</v>
      </c>
      <c r="F2231" s="3" t="inlineStr">
        <is>
          <t>generated output tokens/day</t>
        </is>
      </c>
      <c r="G2231" s="3" t="inlineStr">
        <is>
          <t>Derived headline metric</t>
        </is>
      </c>
      <c r="H2231" s="3" t="inlineStr">
        <is>
          <t>inference_gw * 1000 * tokens_per_second_per_mw * 86,400</t>
        </is>
      </c>
      <c r="I2231" s="3" t="inlineStr">
        <is>
          <t>Headline capacity uses no utilization, MoE, architecture or software-growth multiplier; it is not observed commercial output volume.</t>
        </is>
      </c>
      <c r="J2231" s="3" t="inlineStr">
        <is>
          <t>SRC_GOOGLE_GEMINI_TOKENS; SRC_GOOGLE_IRONWOOD; SRC_GOOGLE_TPU_V6E; SRC_EPOCH_AI_DATA_CENTERS; SRC_SEMIANALYSIS_INFERENCEX</t>
        </is>
      </c>
      <c r="K2231" s="3" t="inlineStr">
        <is>
          <t>ASSUMP_TPU_EFFICIENCY; ASSUMP_POWER_RAMP; ASSUMP_NUMERIC_ACCELERATOR_MIX; ASSUMP_INFERENCE_SHARE_NOT_FACT_60; ASSUMP_WORKLOAD_CLASS_MIX; ASSUMP_AGENTIC_CONTEXT_PENALTY</t>
        </is>
      </c>
      <c r="L2231" s="3" t="inlineStr">
        <is>
          <t>Provider-disclosed generated output token volume or calibrated capacity telemetry.</t>
        </is>
      </c>
    </row>
    <row r="2232">
      <c r="A2232" s="3" t="inlineStr">
        <is>
          <t>Google</t>
        </is>
      </c>
      <c r="B2232" s="3" t="n">
        <v>2027</v>
      </c>
      <c r="C2232" s="3" t="inlineStr">
        <is>
          <t>Bull</t>
        </is>
      </c>
      <c r="D2232" s="3" t="inlineStr">
        <is>
          <t>inference_tokens_per_year</t>
        </is>
      </c>
      <c r="E2232" s="3" t="n">
        <v>7702485532704000</v>
      </c>
      <c r="F2232" s="3" t="inlineStr">
        <is>
          <t>generated output tokens/year</t>
        </is>
      </c>
      <c r="G2232" s="3" t="inlineStr">
        <is>
          <t>Derived headline metric</t>
        </is>
      </c>
      <c r="H2232" s="3" t="inlineStr">
        <is>
          <t>inference_tokens_per_day * 365</t>
        </is>
      </c>
      <c r="I2232" s="3" t="inlineStr">
        <is>
          <t>Annualized version of generated output token capacity; it is not observed annual demand or billable volume.</t>
        </is>
      </c>
      <c r="J2232" s="3" t="inlineStr">
        <is>
          <t>SRC_GOOGLE_GEMINI_TOKENS; SRC_GOOGLE_IRONWOOD; SRC_GOOGLE_TPU_V6E; SRC_EPOCH_AI_DATA_CENTERS; SRC_SEMIANALYSIS_INFERENCEX</t>
        </is>
      </c>
      <c r="K2232" s="3" t="inlineStr">
        <is>
          <t>ASSUMP_TPU_EFFICIENCY; ASSUMP_POWER_RAMP; ASSUMP_NUMERIC_ACCELERATOR_MIX; ASSUMP_INFERENCE_SHARE_NOT_FACT_60; ASSUMP_WORKLOAD_CLASS_MIX; ASSUMP_AGENTIC_CONTEXT_PENALTY</t>
        </is>
      </c>
      <c r="L2232" s="3" t="inlineStr">
        <is>
          <t>Provider-disclosed annual generated-output volume or metered serving telemetry.</t>
        </is>
      </c>
    </row>
    <row r="2233">
      <c r="A2233" s="3" t="inlineStr">
        <is>
          <t>Google</t>
        </is>
      </c>
      <c r="B2233" s="3" t="n">
        <v>2028</v>
      </c>
      <c r="C2233" s="3" t="inlineStr">
        <is>
          <t>Bull</t>
        </is>
      </c>
      <c r="D2233" s="3" t="inlineStr">
        <is>
          <t>contracted_power_gw</t>
        </is>
      </c>
      <c r="E2233" s="3" t="n">
        <v>6.25</v>
      </c>
      <c r="F2233" s="3" t="inlineStr">
        <is>
          <t>GW</t>
        </is>
      </c>
      <c r="G2233" s="3" t="inlineStr">
        <is>
          <t>Scenario capacity envelope</t>
        </is>
      </c>
      <c r="H2233" s="3" t="inlineStr">
        <is>
          <t>linear interpolation between 2026 and 2030 company capacity endpoints</t>
        </is>
      </c>
      <c r="I2233" s="3" t="inlineStr">
        <is>
          <t>Scenario envelope for Gemini-serving capacity; official TPU hardware direction is disclosed, company-level contracted GW is not.</t>
        </is>
      </c>
      <c r="J2233" s="3" t="inlineStr">
        <is>
          <t>ASSUMP_POWER_RAMP; SRC_GOOGLE_IRONWOOD; SRC_GOOGLE_TPU_V6E</t>
        </is>
      </c>
      <c r="K2233" s="3" t="inlineStr">
        <is>
          <t>ASSUMP_TPU_EFFICIENCY; ASSUMP_POWER_RAMP; ASSUMP_NUMERIC_ACCELERATOR_MIX; ASSUMP_INFERENCE_SHARE_NOT_FACT_60; ASSUMP_WORKLOAD_CLASS_MIX; ASSUMP_AGENTIC_CONTEXT_PENALTY</t>
        </is>
      </c>
      <c r="L2233" s="3" t="inlineStr">
        <is>
          <t>Company/site-level committed MW/GW, interconnect and contract disclosure.</t>
        </is>
      </c>
    </row>
    <row r="2234">
      <c r="A2234" s="3" t="inlineStr">
        <is>
          <t>Google</t>
        </is>
      </c>
      <c r="B2234" s="3" t="n">
        <v>2028</v>
      </c>
      <c r="C2234" s="3" t="inlineStr">
        <is>
          <t>Bull</t>
        </is>
      </c>
      <c r="D2234" s="3" t="inlineStr">
        <is>
          <t>operational_deployment_share</t>
        </is>
      </c>
      <c r="E2234" s="3" t="n">
        <v>0.80288</v>
      </c>
      <c r="F2234" s="3" t="inlineStr">
        <is>
          <t>share</t>
        </is>
      </c>
      <c r="G2234" s="3" t="inlineStr">
        <is>
          <t>Scenario conversion</t>
        </is>
      </c>
      <c r="H2234" s="3" t="inlineStr">
        <is>
          <t>active_power_gw / contracted_power_gw</t>
        </is>
      </c>
      <c r="I2234" s="3" t="inlineStr">
        <is>
          <t>This is the single explicit conversion from contracted/attributed capacity to operationally usable capacity.</t>
        </is>
      </c>
      <c r="J2234" s="3" t="inlineStr">
        <is>
          <t>ASSUMP_POWER_RAMP; SRC_GOOGLE_IRONWOOD; SRC_GOOGLE_TPU_V6E</t>
        </is>
      </c>
      <c r="K2234" s="3" t="inlineStr">
        <is>
          <t>ASSUMP_TPU_EFFICIENCY; ASSUMP_POWER_RAMP; ASSUMP_NUMERIC_ACCELERATOR_MIX; ASSUMP_INFERENCE_SHARE_NOT_FACT_60; ASSUMP_WORKLOAD_CLASS_MIX; ASSUMP_AGENTIC_CONTEXT_PENALTY</t>
        </is>
      </c>
      <c r="L2234" s="3" t="inlineStr">
        <is>
          <t>Energized operational capacity divided by contracted/attributed capacity.</t>
        </is>
      </c>
    </row>
    <row r="2235">
      <c r="A2235" s="3" t="inlineStr">
        <is>
          <t>Google</t>
        </is>
      </c>
      <c r="B2235" s="3" t="n">
        <v>2028</v>
      </c>
      <c r="C2235" s="3" t="inlineStr">
        <is>
          <t>Bull</t>
        </is>
      </c>
      <c r="D2235" s="3" t="inlineStr">
        <is>
          <t>active_power_gw</t>
        </is>
      </c>
      <c r="E2235" s="3" t="n">
        <v>5.018</v>
      </c>
      <c r="F2235" s="3" t="inlineStr">
        <is>
          <t>GW</t>
        </is>
      </c>
      <c r="G2235" s="3" t="inlineStr">
        <is>
          <t>Derived scenario</t>
        </is>
      </c>
      <c r="H2235" s="3" t="inlineStr">
        <is>
          <t>contracted_power_gw * operational_deployment_share</t>
        </is>
      </c>
      <c r="I2235" s="3" t="inlineStr">
        <is>
          <t>TPU generation availability supports ramp direction, while active GW remains a staged deployment estimate.</t>
        </is>
      </c>
      <c r="J2235" s="3" t="inlineStr">
        <is>
          <t>ASSUMP_POWER_RAMP; SRC_GOOGLE_IRONWOOD; SRC_GOOGLE_TPU_V6E</t>
        </is>
      </c>
      <c r="K2235" s="3" t="inlineStr">
        <is>
          <t>ASSUMP_TPU_EFFICIENCY; ASSUMP_POWER_RAMP; ASSUMP_NUMERIC_ACCELERATOR_MIX; ASSUMP_INFERENCE_SHARE_NOT_FACT_60; ASSUMP_WORKLOAD_CLASS_MIX; ASSUMP_AGENTIC_CONTEXT_PENALTY</t>
        </is>
      </c>
      <c r="L2235" s="3" t="inlineStr">
        <is>
          <t>Energization dates, accelerator deliveries and operational powered-rack telemetry.</t>
        </is>
      </c>
    </row>
    <row r="2236">
      <c r="A2236" s="3" t="inlineStr">
        <is>
          <t>Google</t>
        </is>
      </c>
      <c r="B2236" s="3" t="n">
        <v>2028</v>
      </c>
      <c r="C2236" s="3" t="inlineStr">
        <is>
          <t>Bull</t>
        </is>
      </c>
      <c r="D2236" s="3" t="inlineStr">
        <is>
          <t>pue</t>
        </is>
      </c>
      <c r="E2236" s="3" t="n">
        <v>1.18</v>
      </c>
      <c r="F2236" s="3" t="inlineStr">
        <is>
          <t>ratio</t>
        </is>
      </c>
      <c r="G2236" s="3" t="inlineStr">
        <is>
          <t>Scenario parameter</t>
        </is>
      </c>
      <c r="H2236" s="3" t="inlineStr">
        <is>
          <t>it_load_gw = active_power_gw / pue</t>
        </is>
      </c>
      <c r="I2236" s="3" t="inlineStr">
        <is>
          <t>No provider-wide site-level PUE is used as a disclosed fact; PUE represents facility-to-IT conversion within the scenario.</t>
        </is>
      </c>
      <c r="J2236" s="3" t="inlineStr">
        <is>
          <t>ASSUMP_POWER_RAMP</t>
        </is>
      </c>
      <c r="K2236" s="3" t="inlineStr">
        <is>
          <t>ASSUMP_TPU_EFFICIENCY; ASSUMP_POWER_RAMP; ASSUMP_NUMERIC_ACCELERATOR_MIX; ASSUMP_INFERENCE_SHARE_NOT_FACT_60; ASSUMP_WORKLOAD_CLASS_MIX; ASSUMP_AGENTIC_CONTEXT_PENALTY</t>
        </is>
      </c>
      <c r="L2236" s="3" t="inlineStr">
        <is>
          <t>Site-level measured PUE matched to attributed AI capacity.</t>
        </is>
      </c>
    </row>
    <row r="2237">
      <c r="A2237" s="3" t="inlineStr">
        <is>
          <t>Google</t>
        </is>
      </c>
      <c r="B2237" s="3" t="n">
        <v>2028</v>
      </c>
      <c r="C2237" s="3" t="inlineStr">
        <is>
          <t>Bull</t>
        </is>
      </c>
      <c r="D2237" s="3" t="inlineStr">
        <is>
          <t>it_load_gw</t>
        </is>
      </c>
      <c r="E2237" s="3" t="n">
        <v>4.252</v>
      </c>
      <c r="F2237" s="3" t="inlineStr">
        <is>
          <t>GW</t>
        </is>
      </c>
      <c r="G2237" s="3" t="inlineStr">
        <is>
          <t>Derived formula</t>
        </is>
      </c>
      <c r="H2237" s="3" t="inlineStr">
        <is>
          <t>active_power_gw / pue</t>
        </is>
      </c>
      <c r="I2237" s="3" t="inlineStr">
        <is>
          <t>Facility power is converted to IT-deliverable power before attributing AI workloads.</t>
        </is>
      </c>
      <c r="J2237" s="3" t="inlineStr">
        <is>
          <t>ASSUMP_POWER_RAMP; SRC_GOOGLE_IRONWOOD; SRC_GOOGLE_TPU_V6E</t>
        </is>
      </c>
      <c r="K2237" s="3" t="inlineStr">
        <is>
          <t>ASSUMP_TPU_EFFICIENCY; ASSUMP_POWER_RAMP; ASSUMP_NUMERIC_ACCELERATOR_MIX; ASSUMP_INFERENCE_SHARE_NOT_FACT_60; ASSUMP_WORKLOAD_CLASS_MIX; ASSUMP_AGENTIC_CONTEXT_PENALTY</t>
        </is>
      </c>
      <c r="L2237" s="3" t="inlineStr">
        <is>
          <t>Recompute once active power and PUE become site-observable.</t>
        </is>
      </c>
    </row>
    <row r="2238">
      <c r="A2238" s="3" t="inlineStr">
        <is>
          <t>Google</t>
        </is>
      </c>
      <c r="B2238" s="3" t="n">
        <v>2028</v>
      </c>
      <c r="C2238" s="3" t="inlineStr">
        <is>
          <t>Bull</t>
        </is>
      </c>
      <c r="D2238" s="3" t="inlineStr">
        <is>
          <t>ai_workload_share</t>
        </is>
      </c>
      <c r="E2238" s="3" t="n">
        <v>0.88</v>
      </c>
      <c r="F2238" s="3" t="inlineStr">
        <is>
          <t>share</t>
        </is>
      </c>
      <c r="G2238" s="3" t="inlineStr">
        <is>
          <t>Scenario allocation</t>
        </is>
      </c>
      <c r="H2238" s="3" t="inlineStr">
        <is>
          <t>ai_it_load_gw = it_load_gw * ai_workload_share</t>
        </is>
      </c>
      <c r="I2238" s="3" t="inlineStr">
        <is>
          <t>Gemini/Vertex TPU serving is AI-dedicated in the modeled capacity envelope; 88% excludes platform/reserve load.</t>
        </is>
      </c>
      <c r="J2238" s="3" t="inlineStr">
        <is>
          <t>SRC_GOOGLE_GEMINI_TOKENS; SRC_GOOGLE_IRONWOOD; SRC_GOOGLE_TPU_V6E; SRC_EPOCH_AI_DATA_CENTERS</t>
        </is>
      </c>
      <c r="K2238" s="3" t="inlineStr">
        <is>
          <t>ASSUMP_TPU_EFFICIENCY; ASSUMP_POWER_RAMP; ASSUMP_NUMERIC_ACCELERATOR_MIX; ASSUMP_INFERENCE_SHARE_NOT_FACT_60; ASSUMP_WORKLOAD_CLASS_MIX; ASSUMP_AGENTIC_CONTEXT_PENALTY</t>
        </is>
      </c>
      <c r="L2238" s="3" t="inlineStr">
        <is>
          <t>Model-owner AI workload allocation or cluster scheduling telemetry.</t>
        </is>
      </c>
    </row>
    <row r="2239">
      <c r="A2239" s="3" t="inlineStr">
        <is>
          <t>Google</t>
        </is>
      </c>
      <c r="B2239" s="3" t="n">
        <v>2028</v>
      </c>
      <c r="C2239" s="3" t="inlineStr">
        <is>
          <t>Bull</t>
        </is>
      </c>
      <c r="D2239" s="3" t="inlineStr">
        <is>
          <t>ai_it_load_gw</t>
        </is>
      </c>
      <c r="E2239" s="3" t="n">
        <v>3.742</v>
      </c>
      <c r="F2239" s="3" t="inlineStr">
        <is>
          <t>GW</t>
        </is>
      </c>
      <c r="G2239" s="3" t="inlineStr">
        <is>
          <t>Derived formula</t>
        </is>
      </c>
      <c r="H2239" s="3" t="inlineStr">
        <is>
          <t>it_load_gw * ai_workload_share</t>
        </is>
      </c>
      <c r="I2239" s="3" t="inlineStr">
        <is>
          <t>Only the AI-attributed portion of IT load enters training/inference allocation.</t>
        </is>
      </c>
      <c r="J2239" s="3" t="inlineStr">
        <is>
          <t>SRC_GOOGLE_GEMINI_TOKENS; SRC_GOOGLE_IRONWOOD; SRC_GOOGLE_TPU_V6E; SRC_EPOCH_AI_DATA_CENTERS</t>
        </is>
      </c>
      <c r="K2239" s="3" t="inlineStr">
        <is>
          <t>ASSUMP_TPU_EFFICIENCY; ASSUMP_POWER_RAMP; ASSUMP_NUMERIC_ACCELERATOR_MIX; ASSUMP_INFERENCE_SHARE_NOT_FACT_60; ASSUMP_WORKLOAD_CLASS_MIX; ASSUMP_AGENTIC_CONTEXT_PENALTY</t>
        </is>
      </c>
      <c r="L2239" s="3" t="inlineStr">
        <is>
          <t>Recompute after ai_workload_share is replaced by telemetry.</t>
        </is>
      </c>
    </row>
    <row r="2240">
      <c r="A2240" s="3" t="inlineStr">
        <is>
          <t>Google</t>
        </is>
      </c>
      <c r="B2240" s="3" t="n">
        <v>2028</v>
      </c>
      <c r="C2240" s="3" t="inlineStr">
        <is>
          <t>Bull</t>
        </is>
      </c>
      <c r="D2240" s="3" t="inlineStr">
        <is>
          <t>gpu_share</t>
        </is>
      </c>
      <c r="E2240" s="3" t="n">
        <v>0.109158</v>
      </c>
      <c r="F2240" s="3" t="inlineStr">
        <is>
          <t>share of inference-serving accelerator load</t>
        </is>
      </c>
      <c r="G2240" s="3" t="inlineStr">
        <is>
          <t>Numeric scenario</t>
        </is>
      </c>
      <c r="H2240" s="3" t="inlineStr">
        <is>
          <t>gpu_share interpolated from company 2026/2030 accelerator-mix endpoints</t>
        </is>
      </c>
      <c r="I2240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40" s="3" t="inlineStr">
        <is>
          <t>SRC_GOOGLE_GEMINI_TOKENS; SRC_GOOGLE_IRONWOOD; SRC_GOOGLE_TPU_V6E; SRC_EPOCH_AI_DATA_CENTERS; ASSUMP_NUMERIC_ACCELERATOR_MIX</t>
        </is>
      </c>
      <c r="K2240" s="3" t="inlineStr">
        <is>
          <t>ASSUMP_TPU_EFFICIENCY; ASSUMP_POWER_RAMP; ASSUMP_NUMERIC_ACCELERATOR_MIX; ASSUMP_INFERENCE_SHARE_NOT_FACT_60; ASSUMP_WORKLOAD_CLASS_MIX; ASSUMP_AGENTIC_CONTEXT_PENALTY</t>
        </is>
      </c>
      <c r="L2240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41">
      <c r="A2241" s="3" t="inlineStr">
        <is>
          <t>Google</t>
        </is>
      </c>
      <c r="B2241" s="3" t="n">
        <v>2028</v>
      </c>
      <c r="C2241" s="3" t="inlineStr">
        <is>
          <t>Bull</t>
        </is>
      </c>
      <c r="D2241" s="3" t="inlineStr">
        <is>
          <t>h200_share</t>
        </is>
      </c>
      <c r="E2241" s="3" t="n">
        <v>0.011989</v>
      </c>
      <c r="F2241" s="3" t="inlineStr">
        <is>
          <t>share of inference-serving accelerator load</t>
        </is>
      </c>
      <c r="G2241" s="3" t="inlineStr">
        <is>
          <t>Editable numeric scenario</t>
        </is>
      </c>
      <c r="H2241" s="3" t="inlineStr">
        <is>
          <t>h200_share = gpu_share * default_gpu_generation_mix_h200</t>
        </is>
      </c>
      <c r="I2241" s="3" t="inlineStr">
        <is>
          <t>Default GPU-generation migration assumption; executive workbook allows later manual replacement by company/year/scenario.</t>
        </is>
      </c>
      <c r="J2241" s="3" t="inlineStr">
        <is>
          <t>SRC_SEMIANALYSIS_INFERENCEX; ASSUMP_NUMERIC_ACCELERATOR_MIX</t>
        </is>
      </c>
      <c r="K2241" s="3" t="inlineStr">
        <is>
          <t>ASSUMP_TPU_EFFICIENCY; ASSUMP_POWER_RAMP; ASSUMP_NUMERIC_ACCELERATOR_MIX; ASSUMP_INFERENCE_SHARE_NOT_FACT_60; ASSUMP_WORKLOAD_CLASS_MIX; ASSUMP_AGENTIC_CONTEXT_PENALTY</t>
        </is>
      </c>
      <c r="L2241" s="3" t="inlineStr">
        <is>
          <t>Company fleet inventory, accelerator-hours or procurement/deployment records by GPU generation.</t>
        </is>
      </c>
    </row>
    <row r="2242">
      <c r="A2242" s="3" t="inlineStr">
        <is>
          <t>Google</t>
        </is>
      </c>
      <c r="B2242" s="3" t="n">
        <v>2028</v>
      </c>
      <c r="C2242" s="3" t="inlineStr">
        <is>
          <t>Bull</t>
        </is>
      </c>
      <c r="D2242" s="3" t="inlineStr">
        <is>
          <t>b200_share</t>
        </is>
      </c>
      <c r="E2242" s="3" t="n">
        <v>0.086159</v>
      </c>
      <c r="F2242" s="3" t="inlineStr">
        <is>
          <t>share of inference-serving accelerator load</t>
        </is>
      </c>
      <c r="G2242" s="3" t="inlineStr">
        <is>
          <t>Editable numeric scenario</t>
        </is>
      </c>
      <c r="H2242" s="3" t="inlineStr">
        <is>
          <t>b200_share = gpu_share * default_gpu_generation_mix_b200</t>
        </is>
      </c>
      <c r="I2242" s="3" t="inlineStr">
        <is>
          <t>Default GPU-generation migration assumption; executive workbook allows later manual replacement by company/year/scenario.</t>
        </is>
      </c>
      <c r="J2242" s="3" t="inlineStr">
        <is>
          <t>SRC_SEMIANALYSIS_INFERENCEX; ASSUMP_NUMERIC_ACCELERATOR_MIX</t>
        </is>
      </c>
      <c r="K2242" s="3" t="inlineStr">
        <is>
          <t>ASSUMP_TPU_EFFICIENCY; ASSUMP_POWER_RAMP; ASSUMP_NUMERIC_ACCELERATOR_MIX; ASSUMP_INFERENCE_SHARE_NOT_FACT_60; ASSUMP_WORKLOAD_CLASS_MIX; ASSUMP_AGENTIC_CONTEXT_PENALTY</t>
        </is>
      </c>
      <c r="L2242" s="3" t="inlineStr">
        <is>
          <t>Company fleet inventory, accelerator-hours or procurement/deployment records by GPU generation.</t>
        </is>
      </c>
    </row>
    <row r="2243">
      <c r="A2243" s="3" t="inlineStr">
        <is>
          <t>Google</t>
        </is>
      </c>
      <c r="B2243" s="3" t="n">
        <v>2028</v>
      </c>
      <c r="C2243" s="3" t="inlineStr">
        <is>
          <t>Bull</t>
        </is>
      </c>
      <c r="D2243" s="3" t="inlineStr">
        <is>
          <t>gb200_share</t>
        </is>
      </c>
      <c r="E2243" s="3" t="n">
        <v>0.01101</v>
      </c>
      <c r="F2243" s="3" t="inlineStr">
        <is>
          <t>share of inference-serving accelerator load</t>
        </is>
      </c>
      <c r="G2243" s="3" t="inlineStr">
        <is>
          <t>Editable numeric scenario</t>
        </is>
      </c>
      <c r="H2243" s="3" t="inlineStr">
        <is>
          <t>gb200_share = gpu_share * default_gpu_generation_mix_gb200</t>
        </is>
      </c>
      <c r="I2243" s="3" t="inlineStr">
        <is>
          <t>Default GPU-generation migration assumption; executive workbook allows later manual replacement by company/year/scenario.</t>
        </is>
      </c>
      <c r="J2243" s="3" t="inlineStr">
        <is>
          <t>SRC_SEMIANALYSIS_INFERENCEX; ASSUMP_NUMERIC_ACCELERATOR_MIX</t>
        </is>
      </c>
      <c r="K2243" s="3" t="inlineStr">
        <is>
          <t>ASSUMP_TPU_EFFICIENCY; ASSUMP_POWER_RAMP; ASSUMP_NUMERIC_ACCELERATOR_MIX; ASSUMP_INFERENCE_SHARE_NOT_FACT_60; ASSUMP_WORKLOAD_CLASS_MIX; ASSUMP_AGENTIC_CONTEXT_PENALTY</t>
        </is>
      </c>
      <c r="L2243" s="3" t="inlineStr">
        <is>
          <t>Company fleet inventory, accelerator-hours or procurement/deployment records by GPU generation.</t>
        </is>
      </c>
    </row>
    <row r="2244">
      <c r="A2244" s="3" t="inlineStr">
        <is>
          <t>Google</t>
        </is>
      </c>
      <c r="B2244" s="3" t="n">
        <v>2028</v>
      </c>
      <c r="C2244" s="3" t="inlineStr">
        <is>
          <t>Bull</t>
        </is>
      </c>
      <c r="D2244" s="3" t="inlineStr">
        <is>
          <t>purpose_built_accelerator_share</t>
        </is>
      </c>
      <c r="E2244" s="3" t="n">
        <v>0.890842</v>
      </c>
      <c r="F2244" s="3" t="inlineStr">
        <is>
          <t>share of inference-serving accelerator load</t>
        </is>
      </c>
      <c r="G2244" s="3" t="inlineStr">
        <is>
          <t>Numeric scenario</t>
        </is>
      </c>
      <c r="H2244" s="3" t="inlineStr">
        <is>
          <t>1 - gpu_share</t>
        </is>
      </c>
      <c r="I2244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44" s="3" t="inlineStr">
        <is>
          <t>SRC_GOOGLE_GEMINI_TOKENS; SRC_GOOGLE_IRONWOOD; SRC_GOOGLE_TPU_V6E; SRC_EPOCH_AI_DATA_CENTERS; ASSUMP_NUMERIC_ACCELERATOR_MIX</t>
        </is>
      </c>
      <c r="K2244" s="3" t="inlineStr">
        <is>
          <t>ASSUMP_TPU_EFFICIENCY; ASSUMP_POWER_RAMP; ASSUMP_NUMERIC_ACCELERATOR_MIX; ASSUMP_INFERENCE_SHARE_NOT_FACT_60; ASSUMP_WORKLOAD_CLASS_MIX; ASSUMP_AGENTIC_CONTEXT_PENALTY</t>
        </is>
      </c>
      <c r="L2244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45">
      <c r="A2245" s="3" t="inlineStr">
        <is>
          <t>Google</t>
        </is>
      </c>
      <c r="B2245" s="3" t="n">
        <v>2028</v>
      </c>
      <c r="C2245" s="3" t="inlineStr">
        <is>
          <t>Bull</t>
        </is>
      </c>
      <c r="D2245" s="3" t="inlineStr">
        <is>
          <t>fleet_reference_tps_per_mw</t>
        </is>
      </c>
      <c r="E2245" s="3" t="n">
        <v>180670</v>
      </c>
      <c r="F2245" s="3" t="inlineStr">
        <is>
          <t>generated output tokens/sec/MW</t>
        </is>
      </c>
      <c r="G2245" s="3" t="inlineStr">
        <is>
          <t>Fleet-weighted public benchmark reference</t>
        </is>
      </c>
      <c r="H2245" s="3" t="inlineStr">
        <is>
          <t>h200_share*h200_workload_avg + b200_share*b200_workload_avg + gb200_share*gb200_workload_avg + purpose_built_share*purpose_workload_avg</t>
        </is>
      </c>
      <c r="I224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45" s="3" t="inlineStr">
        <is>
          <t>SRC_SEMIANALYSIS_INFERENCEX; ASSUMP_NUMERIC_ACCELERATOR_MIX; ASSUMP_WORKLOAD_CLASS_MIX; ASSUMP_AGENTIC_CONTEXT_PENALTY</t>
        </is>
      </c>
      <c r="K2245" s="3" t="inlineStr">
        <is>
          <t>ASSUMP_TPU_EFFICIENCY; ASSUMP_POWER_RAMP; ASSUMP_NUMERIC_ACCELERATOR_MIX; ASSUMP_INFERENCE_SHARE_NOT_FACT_60; ASSUMP_WORKLOAD_CLASS_MIX; ASSUMP_AGENTIC_CONTEXT_PENALTY</t>
        </is>
      </c>
      <c r="L2245" s="3" t="inlineStr">
        <is>
          <t>Comparable production output-token throughput or a more closely matched benchmark.</t>
        </is>
      </c>
    </row>
    <row r="2246">
      <c r="A2246" s="3" t="inlineStr">
        <is>
          <t>Google</t>
        </is>
      </c>
      <c r="B2246" s="3" t="n">
        <v>2028</v>
      </c>
      <c r="C2246" s="3" t="inlineStr">
        <is>
          <t>Bull</t>
        </is>
      </c>
      <c r="D2246" s="3" t="inlineStr">
        <is>
          <t>commercial_workload_fit_factor</t>
        </is>
      </c>
      <c r="E2246" s="3" t="n">
        <v>0.8</v>
      </c>
      <c r="F2246" s="3" t="inlineStr">
        <is>
          <t>share of public reference throughput</t>
        </is>
      </c>
      <c r="G2246" s="3" t="inlineStr">
        <is>
          <t>Scenario assumption</t>
        </is>
      </c>
      <c r="H2246" s="3" t="inlineStr">
        <is>
          <t>reference_serving_tps_per_mw = fleet_reference_tps_per_mw * commercial_workload_fit_factor</t>
        </is>
      </c>
      <c r="I2246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46" s="3" t="inlineStr">
        <is>
          <t>SRC_SEMIANALYSIS_INFERENCEX; ASSUMP_NUMERIC_ACCELERATOR_MIX; ASSUMP_WORKLOAD_CLASS_MIX; ASSUMP_AGENTIC_CONTEXT_PENALTY</t>
        </is>
      </c>
      <c r="K2246" s="3" t="inlineStr">
        <is>
          <t>ASSUMP_TPU_EFFICIENCY; ASSUMP_POWER_RAMP; ASSUMP_NUMERIC_ACCELERATOR_MIX; ASSUMP_INFERENCE_SHARE_NOT_FACT_60; ASSUMP_WORKLOAD_CLASS_MIX; ASSUMP_AGENTIC_CONTEXT_PENALTY</t>
        </is>
      </c>
      <c r="L2246" s="3" t="inlineStr">
        <is>
          <t>Matched commercial serving benchmark by product surface, context shape and latency SLO.</t>
        </is>
      </c>
    </row>
    <row r="2247">
      <c r="A2247" s="3" t="inlineStr">
        <is>
          <t>Google</t>
        </is>
      </c>
      <c r="B2247" s="3" t="n">
        <v>2028</v>
      </c>
      <c r="C2247" s="3" t="inlineStr">
        <is>
          <t>Bull</t>
        </is>
      </c>
      <c r="D2247" s="3" t="inlineStr">
        <is>
          <t>reference_serving_tps_per_mw</t>
        </is>
      </c>
      <c r="E2247" s="3" t="n">
        <v>144536</v>
      </c>
      <c r="F2247" s="3" t="inlineStr">
        <is>
          <t>generated output tokens/sec/MW</t>
        </is>
      </c>
      <c r="G2247" s="3" t="inlineStr">
        <is>
          <t>Workload-adjusted benchmark proxy</t>
        </is>
      </c>
      <c r="H2247" s="3" t="inlineStr">
        <is>
          <t>fleet_reference_tps_per_mw * commercial_workload_fit_factor</t>
        </is>
      </c>
      <c r="I2247" s="3" t="inlineStr">
        <is>
          <t>This is the coefficient used for headline token generation; each GPU's short chat, long chat and agentic TPS/MW are weighted before fleet mix and commercial fit are applied.</t>
        </is>
      </c>
      <c r="J2247" s="3" t="inlineStr">
        <is>
          <t>SRC_SEMIANALYSIS_INFERENCEX; ASSUMP_NUMERIC_ACCELERATOR_MIX; ASSUMP_WORKLOAD_CLASS_MIX; ASSUMP_AGENTIC_CONTEXT_PENALTY</t>
        </is>
      </c>
      <c r="K2247" s="3" t="inlineStr">
        <is>
          <t>ASSUMP_TPU_EFFICIENCY; ASSUMP_POWER_RAMP; ASSUMP_NUMERIC_ACCELERATOR_MIX; ASSUMP_INFERENCE_SHARE_NOT_FACT_60; ASSUMP_WORKLOAD_CLASS_MIX; ASSUMP_AGENTIC_CONTEXT_PENALTY</t>
        </is>
      </c>
      <c r="L2247" s="3" t="inlineStr">
        <is>
          <t>Provider production output-token throughput with comparable workload/SLO.</t>
        </is>
      </c>
    </row>
    <row r="2248">
      <c r="A2248" s="3" t="inlineStr">
        <is>
          <t>Google</t>
        </is>
      </c>
      <c r="B2248" s="3" t="n">
        <v>2028</v>
      </c>
      <c r="C2248" s="3" t="inlineStr">
        <is>
          <t>Bull</t>
        </is>
      </c>
      <c r="D2248" s="3" t="inlineStr">
        <is>
          <t>purpose_built_tps_per_mw</t>
        </is>
      </c>
      <c r="E2248" s="3" t="n">
        <v>108245</v>
      </c>
      <c r="F2248" s="3" t="inlineStr">
        <is>
          <t>generated output tokens/sec/MW</t>
        </is>
      </c>
      <c r="G2248" s="3" t="inlineStr">
        <is>
          <t>Conservative no-uplift proxy</t>
        </is>
      </c>
      <c r="H2248" s="3" t="inlineStr">
        <is>
          <t>purpose_built_tps_per_mw = purpose_built_reference_tps_per_mw * commercial_workload_fit_factor until comparable output-token benchmark is adopted</t>
        </is>
      </c>
      <c r="I2248" s="3" t="inlineStr">
        <is>
          <t>No comparable public output-token/MW row adopted; B200 public reference placeholder is used and remains editable.</t>
        </is>
      </c>
      <c r="J2248" s="3" t="inlineStr">
        <is>
          <t>SRC_GOOGLE_GEMINI_TOKENS; SRC_GOOGLE_IRONWOOD; SRC_GOOGLE_TPU_V6E; SRC_EPOCH_AI_DATA_CENTERS; ASSUMP_NUMERIC_ACCELERATOR_MIX</t>
        </is>
      </c>
      <c r="K2248" s="3" t="inlineStr">
        <is>
          <t>ASSUMP_TPU_EFFICIENCY; ASSUMP_POWER_RAMP; ASSUMP_NUMERIC_ACCELERATOR_MIX; ASSUMP_INFERENCE_SHARE_NOT_FACT_60; ASSUMP_WORKLOAD_CLASS_MIX; ASSUMP_AGENTIC_CONTEXT_PENALTY</t>
        </is>
      </c>
      <c r="L2248" s="3" t="inlineStr">
        <is>
          <t>Matched-workload generated-output benchmark for the provider purpose-built accelerator.</t>
        </is>
      </c>
    </row>
    <row r="2249">
      <c r="A2249" s="3" t="inlineStr">
        <is>
          <t>Google</t>
        </is>
      </c>
      <c r="B2249" s="3" t="n">
        <v>2028</v>
      </c>
      <c r="C2249" s="3" t="inlineStr">
        <is>
          <t>Bull</t>
        </is>
      </c>
      <c r="D2249" s="3" t="inlineStr">
        <is>
          <t>inference_power_share</t>
        </is>
      </c>
      <c r="E2249" s="3" t="n">
        <v>0.7</v>
      </c>
      <c r="F2249" s="3" t="inlineStr">
        <is>
          <t>share of AI IT load</t>
        </is>
      </c>
      <c r="G2249" s="3" t="inlineStr">
        <is>
          <t>Scenario allocation</t>
        </is>
      </c>
      <c r="H2249" s="3" t="inlineStr">
        <is>
          <t>inference_gw = ai_it_load_gw * inference_power_share</t>
        </is>
      </c>
      <c r="I2249" s="3" t="inlineStr">
        <is>
          <t>Ironwood is positioned for inference and Gemini is commercialized across products; inference share increases as a scenario.</t>
        </is>
      </c>
      <c r="J2249" s="3" t="inlineStr">
        <is>
          <t>SRC_GOOGLE_GEMINI_TOKENS; SRC_GOOGLE_IRONWOOD; SRC_GOOGLE_TPU_V6E; SRC_EPOCH_AI_DATA_CENTERS; ASSUMP_INFERENCE_SHARE_NOT_FACT_60</t>
        </is>
      </c>
      <c r="K2249" s="3" t="inlineStr">
        <is>
          <t>ASSUMP_TPU_EFFICIENCY; ASSUMP_POWER_RAMP; ASSUMP_NUMERIC_ACCELERATOR_MIX; ASSUMP_INFERENCE_SHARE_NOT_FACT_60; ASSUMP_WORKLOAD_CLASS_MIX; ASSUMP_AGENTIC_CONTEXT_PENALTY</t>
        </is>
      </c>
      <c r="L2249" s="3" t="inlineStr">
        <is>
          <t>Provider-specific inference/training workload power telemetry.</t>
        </is>
      </c>
    </row>
    <row r="2250">
      <c r="A2250" s="3" t="inlineStr">
        <is>
          <t>Google</t>
        </is>
      </c>
      <c r="B2250" s="3" t="n">
        <v>2028</v>
      </c>
      <c r="C2250" s="3" t="inlineStr">
        <is>
          <t>Bull</t>
        </is>
      </c>
      <c r="D2250" s="3" t="inlineStr">
        <is>
          <t>inference_gw</t>
        </is>
      </c>
      <c r="E2250" s="3" t="n">
        <v>2.619</v>
      </c>
      <c r="F2250" s="3" t="inlineStr">
        <is>
          <t>GW</t>
        </is>
      </c>
      <c r="G2250" s="3" t="inlineStr">
        <is>
          <t>Derived formula</t>
        </is>
      </c>
      <c r="H2250" s="3" t="inlineStr">
        <is>
          <t>ai_it_load_gw * inference_power_share</t>
        </is>
      </c>
      <c r="I2250" s="3" t="inlineStr">
        <is>
          <t>This is the operational power eligible to become commercial generated output tokens through the selected TPS/MW proxy.</t>
        </is>
      </c>
      <c r="J2250" s="3" t="inlineStr">
        <is>
          <t>SRC_GOOGLE_GEMINI_TOKENS; SRC_GOOGLE_IRONWOOD; SRC_GOOGLE_TPU_V6E; SRC_EPOCH_AI_DATA_CENTERS</t>
        </is>
      </c>
      <c r="K2250" s="3" t="inlineStr">
        <is>
          <t>ASSUMP_TPU_EFFICIENCY; ASSUMP_POWER_RAMP; ASSUMP_NUMERIC_ACCELERATOR_MIX; ASSUMP_INFERENCE_SHARE_NOT_FACT_60; ASSUMP_WORKLOAD_CLASS_MIX; ASSUMP_AGENTIC_CONTEXT_PENALTY</t>
        </is>
      </c>
      <c r="L2250" s="3" t="inlineStr">
        <is>
          <t>Recompute after AI allocation or inference-share evidence changes.</t>
        </is>
      </c>
    </row>
    <row r="2251">
      <c r="A2251" s="3" t="inlineStr">
        <is>
          <t>Google</t>
        </is>
      </c>
      <c r="B2251" s="3" t="n">
        <v>2028</v>
      </c>
      <c r="C2251" s="3" t="inlineStr">
        <is>
          <t>Bull</t>
        </is>
      </c>
      <c r="D2251" s="3" t="inlineStr">
        <is>
          <t>training_power_share</t>
        </is>
      </c>
      <c r="E2251" s="3" t="n">
        <v>0.3</v>
      </c>
      <c r="F2251" s="3" t="inlineStr">
        <is>
          <t>share of AI IT load</t>
        </is>
      </c>
      <c r="G2251" s="3" t="inlineStr">
        <is>
          <t>Derived allocation</t>
        </is>
      </c>
      <c r="H2251" s="3" t="inlineStr">
        <is>
          <t>1 - inference_power_share</t>
        </is>
      </c>
      <c r="I2251" s="3" t="inlineStr">
        <is>
          <t>Training receives the complementary modeled AI IT allocation; it is not a disclosed company workload split.</t>
        </is>
      </c>
      <c r="J2251" s="3" t="inlineStr">
        <is>
          <t>SRC_GOOGLE_GEMINI_TOKENS; SRC_GOOGLE_IRONWOOD; SRC_GOOGLE_TPU_V6E; SRC_EPOCH_AI_DATA_CENTERS; ASSUMP_INFERENCE_SHARE_NOT_FACT_60</t>
        </is>
      </c>
      <c r="K2251" s="3" t="inlineStr">
        <is>
          <t>ASSUMP_TPU_EFFICIENCY; ASSUMP_POWER_RAMP; ASSUMP_NUMERIC_ACCELERATOR_MIX; ASSUMP_INFERENCE_SHARE_NOT_FACT_60; ASSUMP_WORKLOAD_CLASS_MIX; ASSUMP_AGENTIC_CONTEXT_PENALTY</t>
        </is>
      </c>
      <c r="L2251" s="3" t="inlineStr">
        <is>
          <t>Provider-specific inference/training workload power telemetry.</t>
        </is>
      </c>
    </row>
    <row r="2252">
      <c r="A2252" s="3" t="inlineStr">
        <is>
          <t>Google</t>
        </is>
      </c>
      <c r="B2252" s="3" t="n">
        <v>2028</v>
      </c>
      <c r="C2252" s="3" t="inlineStr">
        <is>
          <t>Bull</t>
        </is>
      </c>
      <c r="D2252" s="3" t="inlineStr">
        <is>
          <t>training_gw</t>
        </is>
      </c>
      <c r="E2252" s="3" t="n">
        <v>1.123</v>
      </c>
      <c r="F2252" s="3" t="inlineStr">
        <is>
          <t>GW</t>
        </is>
      </c>
      <c r="G2252" s="3" t="inlineStr">
        <is>
          <t>Derived formula</t>
        </is>
      </c>
      <c r="H2252" s="3" t="inlineStr">
        <is>
          <t>ai_it_load_gw * training_power_share</t>
        </is>
      </c>
      <c r="I2252" s="3" t="inlineStr">
        <is>
          <t>Training GW is shown separately so commercial inference token capacity is not overstated.</t>
        </is>
      </c>
      <c r="J2252" s="3" t="inlineStr">
        <is>
          <t>SRC_GOOGLE_GEMINI_TOKENS; SRC_GOOGLE_IRONWOOD; SRC_GOOGLE_TPU_V6E; SRC_EPOCH_AI_DATA_CENTERS</t>
        </is>
      </c>
      <c r="K2252" s="3" t="inlineStr">
        <is>
          <t>ASSUMP_TPU_EFFICIENCY; ASSUMP_POWER_RAMP; ASSUMP_NUMERIC_ACCELERATOR_MIX; ASSUMP_INFERENCE_SHARE_NOT_FACT_60; ASSUMP_WORKLOAD_CLASS_MIX; ASSUMP_AGENTIC_CONTEXT_PENALTY</t>
        </is>
      </c>
      <c r="L2252" s="3" t="inlineStr">
        <is>
          <t>Recompute after AI allocation or workload-split evidence changes.</t>
        </is>
      </c>
    </row>
    <row r="2253">
      <c r="A2253" s="3" t="inlineStr">
        <is>
          <t>Google</t>
        </is>
      </c>
      <c r="B2253" s="3" t="n">
        <v>2028</v>
      </c>
      <c r="C2253" s="3" t="inlineStr">
        <is>
          <t>Bull</t>
        </is>
      </c>
      <c r="D2253" s="3" t="inlineStr">
        <is>
          <t>tokens_per_second_per_mw</t>
        </is>
      </c>
      <c r="E2253" s="3" t="n">
        <v>144536</v>
      </c>
      <c r="F2253" s="3" t="inlineStr">
        <is>
          <t>generated output tokens/sec/MW</t>
        </is>
      </c>
      <c r="G2253" s="3" t="inlineStr">
        <is>
          <t>Derived estimate + benchmark calibration</t>
        </is>
      </c>
      <c r="H2253" s="3" t="inlineStr">
        <is>
          <t>fleet_reference_tps_per_mw * commercial_workload_fit_factor</t>
        </is>
      </c>
      <c r="I2253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53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53" s="3" t="inlineStr">
        <is>
          <t>ASSUMP_TPU_EFFICIENCY; ASSUMP_POWER_RAMP; ASSUMP_NUMERIC_ACCELERATOR_MIX; ASSUMP_INFERENCE_SHARE_NOT_FACT_60; ASSUMP_WORKLOAD_CLASS_MIX; ASSUMP_AGENTIC_CONTEXT_PENALTY</t>
        </is>
      </c>
      <c r="L2253" s="3" t="inlineStr">
        <is>
          <t>Comparable production output-token throughput with model, hardware, precision, ISL/OSL and SLO matched.</t>
        </is>
      </c>
    </row>
    <row r="2254">
      <c r="A2254" s="3" t="inlineStr">
        <is>
          <t>Google</t>
        </is>
      </c>
      <c r="B2254" s="3" t="n">
        <v>2028</v>
      </c>
      <c r="C2254" s="3" t="inlineStr">
        <is>
          <t>Bull</t>
        </is>
      </c>
      <c r="D2254" s="3" t="inlineStr">
        <is>
          <t>inference_tokens_per_day</t>
        </is>
      </c>
      <c r="E2254" s="3" t="n">
        <v>32705837337600</v>
      </c>
      <c r="F2254" s="3" t="inlineStr">
        <is>
          <t>generated output tokens/day</t>
        </is>
      </c>
      <c r="G2254" s="3" t="inlineStr">
        <is>
          <t>Derived headline metric</t>
        </is>
      </c>
      <c r="H2254" s="3" t="inlineStr">
        <is>
          <t>inference_gw * 1000 * tokens_per_second_per_mw * 86,400</t>
        </is>
      </c>
      <c r="I2254" s="3" t="inlineStr">
        <is>
          <t>Headline capacity uses no utilization, MoE, architecture or software-growth multiplier; it is not observed commercial output volume.</t>
        </is>
      </c>
      <c r="J2254" s="3" t="inlineStr">
        <is>
          <t>SRC_GOOGLE_GEMINI_TOKENS; SRC_GOOGLE_IRONWOOD; SRC_GOOGLE_TPU_V6E; SRC_EPOCH_AI_DATA_CENTERS; SRC_SEMIANALYSIS_INFERENCEX</t>
        </is>
      </c>
      <c r="K2254" s="3" t="inlineStr">
        <is>
          <t>ASSUMP_TPU_EFFICIENCY; ASSUMP_POWER_RAMP; ASSUMP_NUMERIC_ACCELERATOR_MIX; ASSUMP_INFERENCE_SHARE_NOT_FACT_60; ASSUMP_WORKLOAD_CLASS_MIX; ASSUMP_AGENTIC_CONTEXT_PENALTY</t>
        </is>
      </c>
      <c r="L2254" s="3" t="inlineStr">
        <is>
          <t>Provider-disclosed generated output token volume or calibrated capacity telemetry.</t>
        </is>
      </c>
    </row>
    <row r="2255">
      <c r="A2255" s="3" t="inlineStr">
        <is>
          <t>Google</t>
        </is>
      </c>
      <c r="B2255" s="3" t="n">
        <v>2028</v>
      </c>
      <c r="C2255" s="3" t="inlineStr">
        <is>
          <t>Bull</t>
        </is>
      </c>
      <c r="D2255" s="3" t="inlineStr">
        <is>
          <t>inference_tokens_per_year</t>
        </is>
      </c>
      <c r="E2255" s="3" t="n">
        <v>1.1937630628224e+16</v>
      </c>
      <c r="F2255" s="3" t="inlineStr">
        <is>
          <t>generated output tokens/year</t>
        </is>
      </c>
      <c r="G2255" s="3" t="inlineStr">
        <is>
          <t>Derived headline metric</t>
        </is>
      </c>
      <c r="H2255" s="3" t="inlineStr">
        <is>
          <t>inference_tokens_per_day * 365</t>
        </is>
      </c>
      <c r="I2255" s="3" t="inlineStr">
        <is>
          <t>Annualized version of generated output token capacity; it is not observed annual demand or billable volume.</t>
        </is>
      </c>
      <c r="J2255" s="3" t="inlineStr">
        <is>
          <t>SRC_GOOGLE_GEMINI_TOKENS; SRC_GOOGLE_IRONWOOD; SRC_GOOGLE_TPU_V6E; SRC_EPOCH_AI_DATA_CENTERS; SRC_SEMIANALYSIS_INFERENCEX</t>
        </is>
      </c>
      <c r="K2255" s="3" t="inlineStr">
        <is>
          <t>ASSUMP_TPU_EFFICIENCY; ASSUMP_POWER_RAMP; ASSUMP_NUMERIC_ACCELERATOR_MIX; ASSUMP_INFERENCE_SHARE_NOT_FACT_60; ASSUMP_WORKLOAD_CLASS_MIX; ASSUMP_AGENTIC_CONTEXT_PENALTY</t>
        </is>
      </c>
      <c r="L2255" s="3" t="inlineStr">
        <is>
          <t>Provider-disclosed annual generated-output volume or metered serving telemetry.</t>
        </is>
      </c>
    </row>
    <row r="2256">
      <c r="A2256" s="3" t="inlineStr">
        <is>
          <t>Google</t>
        </is>
      </c>
      <c r="B2256" s="3" t="n">
        <v>2029</v>
      </c>
      <c r="C2256" s="3" t="inlineStr">
        <is>
          <t>Bull</t>
        </is>
      </c>
      <c r="D2256" s="3" t="inlineStr">
        <is>
          <t>contracted_power_gw</t>
        </is>
      </c>
      <c r="E2256" s="3" t="n">
        <v>7.125</v>
      </c>
      <c r="F2256" s="3" t="inlineStr">
        <is>
          <t>GW</t>
        </is>
      </c>
      <c r="G2256" s="3" t="inlineStr">
        <is>
          <t>Scenario capacity envelope</t>
        </is>
      </c>
      <c r="H2256" s="3" t="inlineStr">
        <is>
          <t>linear interpolation between 2026 and 2030 company capacity endpoints</t>
        </is>
      </c>
      <c r="I2256" s="3" t="inlineStr">
        <is>
          <t>Scenario envelope for Gemini-serving capacity; official TPU hardware direction is disclosed, company-level contracted GW is not.</t>
        </is>
      </c>
      <c r="J2256" s="3" t="inlineStr">
        <is>
          <t>ASSUMP_POWER_RAMP; SRC_GOOGLE_IRONWOOD; SRC_GOOGLE_TPU_V6E</t>
        </is>
      </c>
      <c r="K2256" s="3" t="inlineStr">
        <is>
          <t>ASSUMP_TPU_EFFICIENCY; ASSUMP_POWER_RAMP; ASSUMP_NUMERIC_ACCELERATOR_MIX; ASSUMP_INFERENCE_SHARE_NOT_FACT_60; ASSUMP_WORKLOAD_CLASS_MIX; ASSUMP_AGENTIC_CONTEXT_PENALTY</t>
        </is>
      </c>
      <c r="L2256" s="3" t="inlineStr">
        <is>
          <t>Company/site-level committed MW/GW, interconnect and contract disclosure.</t>
        </is>
      </c>
    </row>
    <row r="2257">
      <c r="A2257" s="3" t="inlineStr">
        <is>
          <t>Google</t>
        </is>
      </c>
      <c r="B2257" s="3" t="n">
        <v>2029</v>
      </c>
      <c r="C2257" s="3" t="inlineStr">
        <is>
          <t>Bull</t>
        </is>
      </c>
      <c r="D2257" s="3" t="inlineStr">
        <is>
          <t>operational_deployment_share</t>
        </is>
      </c>
      <c r="E2257" s="3" t="n">
        <v>0.90989474</v>
      </c>
      <c r="F2257" s="3" t="inlineStr">
        <is>
          <t>share</t>
        </is>
      </c>
      <c r="G2257" s="3" t="inlineStr">
        <is>
          <t>Scenario conversion</t>
        </is>
      </c>
      <c r="H2257" s="3" t="inlineStr">
        <is>
          <t>active_power_gw / contracted_power_gw</t>
        </is>
      </c>
      <c r="I2257" s="3" t="inlineStr">
        <is>
          <t>This is the single explicit conversion from contracted/attributed capacity to operationally usable capacity.</t>
        </is>
      </c>
      <c r="J2257" s="3" t="inlineStr">
        <is>
          <t>ASSUMP_POWER_RAMP; SRC_GOOGLE_IRONWOOD; SRC_GOOGLE_TPU_V6E</t>
        </is>
      </c>
      <c r="K2257" s="3" t="inlineStr">
        <is>
          <t>ASSUMP_TPU_EFFICIENCY; ASSUMP_POWER_RAMP; ASSUMP_NUMERIC_ACCELERATOR_MIX; ASSUMP_INFERENCE_SHARE_NOT_FACT_60; ASSUMP_WORKLOAD_CLASS_MIX; ASSUMP_AGENTIC_CONTEXT_PENALTY</t>
        </is>
      </c>
      <c r="L2257" s="3" t="inlineStr">
        <is>
          <t>Energized operational capacity divided by contracted/attributed capacity.</t>
        </is>
      </c>
    </row>
    <row r="2258">
      <c r="A2258" s="3" t="inlineStr">
        <is>
          <t>Google</t>
        </is>
      </c>
      <c r="B2258" s="3" t="n">
        <v>2029</v>
      </c>
      <c r="C2258" s="3" t="inlineStr">
        <is>
          <t>Bull</t>
        </is>
      </c>
      <c r="D2258" s="3" t="inlineStr">
        <is>
          <t>active_power_gw</t>
        </is>
      </c>
      <c r="E2258" s="3" t="n">
        <v>6.483</v>
      </c>
      <c r="F2258" s="3" t="inlineStr">
        <is>
          <t>GW</t>
        </is>
      </c>
      <c r="G2258" s="3" t="inlineStr">
        <is>
          <t>Derived scenario</t>
        </is>
      </c>
      <c r="H2258" s="3" t="inlineStr">
        <is>
          <t>contracted_power_gw * operational_deployment_share</t>
        </is>
      </c>
      <c r="I2258" s="3" t="inlineStr">
        <is>
          <t>TPU generation availability supports ramp direction, while active GW remains a staged deployment estimate.</t>
        </is>
      </c>
      <c r="J2258" s="3" t="inlineStr">
        <is>
          <t>ASSUMP_POWER_RAMP; SRC_GOOGLE_IRONWOOD; SRC_GOOGLE_TPU_V6E</t>
        </is>
      </c>
      <c r="K2258" s="3" t="inlineStr">
        <is>
          <t>ASSUMP_TPU_EFFICIENCY; ASSUMP_POWER_RAMP; ASSUMP_NUMERIC_ACCELERATOR_MIX; ASSUMP_INFERENCE_SHARE_NOT_FACT_60; ASSUMP_WORKLOAD_CLASS_MIX; ASSUMP_AGENTIC_CONTEXT_PENALTY</t>
        </is>
      </c>
      <c r="L2258" s="3" t="inlineStr">
        <is>
          <t>Energization dates, accelerator deliveries and operational powered-rack telemetry.</t>
        </is>
      </c>
    </row>
    <row r="2259">
      <c r="A2259" s="3" t="inlineStr">
        <is>
          <t>Google</t>
        </is>
      </c>
      <c r="B2259" s="3" t="n">
        <v>2029</v>
      </c>
      <c r="C2259" s="3" t="inlineStr">
        <is>
          <t>Bull</t>
        </is>
      </c>
      <c r="D2259" s="3" t="inlineStr">
        <is>
          <t>pue</t>
        </is>
      </c>
      <c r="E2259" s="3" t="n">
        <v>1.18</v>
      </c>
      <c r="F2259" s="3" t="inlineStr">
        <is>
          <t>ratio</t>
        </is>
      </c>
      <c r="G2259" s="3" t="inlineStr">
        <is>
          <t>Scenario parameter</t>
        </is>
      </c>
      <c r="H2259" s="3" t="inlineStr">
        <is>
          <t>it_load_gw = active_power_gw / pue</t>
        </is>
      </c>
      <c r="I2259" s="3" t="inlineStr">
        <is>
          <t>No provider-wide site-level PUE is used as a disclosed fact; PUE represents facility-to-IT conversion within the scenario.</t>
        </is>
      </c>
      <c r="J2259" s="3" t="inlineStr">
        <is>
          <t>ASSUMP_POWER_RAMP</t>
        </is>
      </c>
      <c r="K2259" s="3" t="inlineStr">
        <is>
          <t>ASSUMP_TPU_EFFICIENCY; ASSUMP_POWER_RAMP; ASSUMP_NUMERIC_ACCELERATOR_MIX; ASSUMP_INFERENCE_SHARE_NOT_FACT_60; ASSUMP_WORKLOAD_CLASS_MIX; ASSUMP_AGENTIC_CONTEXT_PENALTY</t>
        </is>
      </c>
      <c r="L2259" s="3" t="inlineStr">
        <is>
          <t>Site-level measured PUE matched to attributed AI capacity.</t>
        </is>
      </c>
    </row>
    <row r="2260">
      <c r="A2260" s="3" t="inlineStr">
        <is>
          <t>Google</t>
        </is>
      </c>
      <c r="B2260" s="3" t="n">
        <v>2029</v>
      </c>
      <c r="C2260" s="3" t="inlineStr">
        <is>
          <t>Bull</t>
        </is>
      </c>
      <c r="D2260" s="3" t="inlineStr">
        <is>
          <t>it_load_gw</t>
        </is>
      </c>
      <c r="E2260" s="3" t="n">
        <v>5.494</v>
      </c>
      <c r="F2260" s="3" t="inlineStr">
        <is>
          <t>GW</t>
        </is>
      </c>
      <c r="G2260" s="3" t="inlineStr">
        <is>
          <t>Derived formula</t>
        </is>
      </c>
      <c r="H2260" s="3" t="inlineStr">
        <is>
          <t>active_power_gw / pue</t>
        </is>
      </c>
      <c r="I2260" s="3" t="inlineStr">
        <is>
          <t>Facility power is converted to IT-deliverable power before attributing AI workloads.</t>
        </is>
      </c>
      <c r="J2260" s="3" t="inlineStr">
        <is>
          <t>ASSUMP_POWER_RAMP; SRC_GOOGLE_IRONWOOD; SRC_GOOGLE_TPU_V6E</t>
        </is>
      </c>
      <c r="K2260" s="3" t="inlineStr">
        <is>
          <t>ASSUMP_TPU_EFFICIENCY; ASSUMP_POWER_RAMP; ASSUMP_NUMERIC_ACCELERATOR_MIX; ASSUMP_INFERENCE_SHARE_NOT_FACT_60; ASSUMP_WORKLOAD_CLASS_MIX; ASSUMP_AGENTIC_CONTEXT_PENALTY</t>
        </is>
      </c>
      <c r="L2260" s="3" t="inlineStr">
        <is>
          <t>Recompute once active power and PUE become site-observable.</t>
        </is>
      </c>
    </row>
    <row r="2261">
      <c r="A2261" s="3" t="inlineStr">
        <is>
          <t>Google</t>
        </is>
      </c>
      <c r="B2261" s="3" t="n">
        <v>2029</v>
      </c>
      <c r="C2261" s="3" t="inlineStr">
        <is>
          <t>Bull</t>
        </is>
      </c>
      <c r="D2261" s="3" t="inlineStr">
        <is>
          <t>ai_workload_share</t>
        </is>
      </c>
      <c r="E2261" s="3" t="n">
        <v>0.88</v>
      </c>
      <c r="F2261" s="3" t="inlineStr">
        <is>
          <t>share</t>
        </is>
      </c>
      <c r="G2261" s="3" t="inlineStr">
        <is>
          <t>Scenario allocation</t>
        </is>
      </c>
      <c r="H2261" s="3" t="inlineStr">
        <is>
          <t>ai_it_load_gw = it_load_gw * ai_workload_share</t>
        </is>
      </c>
      <c r="I2261" s="3" t="inlineStr">
        <is>
          <t>Gemini/Vertex TPU serving is AI-dedicated in the modeled capacity envelope; 88% excludes platform/reserve load.</t>
        </is>
      </c>
      <c r="J2261" s="3" t="inlineStr">
        <is>
          <t>SRC_GOOGLE_GEMINI_TOKENS; SRC_GOOGLE_IRONWOOD; SRC_GOOGLE_TPU_V6E; SRC_EPOCH_AI_DATA_CENTERS</t>
        </is>
      </c>
      <c r="K2261" s="3" t="inlineStr">
        <is>
          <t>ASSUMP_TPU_EFFICIENCY; ASSUMP_POWER_RAMP; ASSUMP_NUMERIC_ACCELERATOR_MIX; ASSUMP_INFERENCE_SHARE_NOT_FACT_60; ASSUMP_WORKLOAD_CLASS_MIX; ASSUMP_AGENTIC_CONTEXT_PENALTY</t>
        </is>
      </c>
      <c r="L2261" s="3" t="inlineStr">
        <is>
          <t>Model-owner AI workload allocation or cluster scheduling telemetry.</t>
        </is>
      </c>
    </row>
    <row r="2262">
      <c r="A2262" s="3" t="inlineStr">
        <is>
          <t>Google</t>
        </is>
      </c>
      <c r="B2262" s="3" t="n">
        <v>2029</v>
      </c>
      <c r="C2262" s="3" t="inlineStr">
        <is>
          <t>Bull</t>
        </is>
      </c>
      <c r="D2262" s="3" t="inlineStr">
        <is>
          <t>ai_it_load_gw</t>
        </is>
      </c>
      <c r="E2262" s="3" t="n">
        <v>4.835</v>
      </c>
      <c r="F2262" s="3" t="inlineStr">
        <is>
          <t>GW</t>
        </is>
      </c>
      <c r="G2262" s="3" t="inlineStr">
        <is>
          <t>Derived formula</t>
        </is>
      </c>
      <c r="H2262" s="3" t="inlineStr">
        <is>
          <t>it_load_gw * ai_workload_share</t>
        </is>
      </c>
      <c r="I2262" s="3" t="inlineStr">
        <is>
          <t>Only the AI-attributed portion of IT load enters training/inference allocation.</t>
        </is>
      </c>
      <c r="J2262" s="3" t="inlineStr">
        <is>
          <t>SRC_GOOGLE_GEMINI_TOKENS; SRC_GOOGLE_IRONWOOD; SRC_GOOGLE_TPU_V6E; SRC_EPOCH_AI_DATA_CENTERS</t>
        </is>
      </c>
      <c r="K2262" s="3" t="inlineStr">
        <is>
          <t>ASSUMP_TPU_EFFICIENCY; ASSUMP_POWER_RAMP; ASSUMP_NUMERIC_ACCELERATOR_MIX; ASSUMP_INFERENCE_SHARE_NOT_FACT_60; ASSUMP_WORKLOAD_CLASS_MIX; ASSUMP_AGENTIC_CONTEXT_PENALTY</t>
        </is>
      </c>
      <c r="L2262" s="3" t="inlineStr">
        <is>
          <t>Recompute after ai_workload_share is replaced by telemetry.</t>
        </is>
      </c>
    </row>
    <row r="2263">
      <c r="A2263" s="3" t="inlineStr">
        <is>
          <t>Google</t>
        </is>
      </c>
      <c r="B2263" s="3" t="n">
        <v>2029</v>
      </c>
      <c r="C2263" s="3" t="inlineStr">
        <is>
          <t>Bull</t>
        </is>
      </c>
      <c r="D2263" s="3" t="inlineStr">
        <is>
          <t>gpu_share</t>
        </is>
      </c>
      <c r="E2263" s="3" t="n">
        <v>0.103041</v>
      </c>
      <c r="F2263" s="3" t="inlineStr">
        <is>
          <t>share of inference-serving accelerator load</t>
        </is>
      </c>
      <c r="G2263" s="3" t="inlineStr">
        <is>
          <t>Numeric scenario</t>
        </is>
      </c>
      <c r="H2263" s="3" t="inlineStr">
        <is>
          <t>gpu_share interpolated from company 2026/2030 accelerator-mix endpoints</t>
        </is>
      </c>
      <c r="I2263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63" s="3" t="inlineStr">
        <is>
          <t>SRC_GOOGLE_GEMINI_TOKENS; SRC_GOOGLE_IRONWOOD; SRC_GOOGLE_TPU_V6E; SRC_EPOCH_AI_DATA_CENTERS; ASSUMP_NUMERIC_ACCELERATOR_MIX</t>
        </is>
      </c>
      <c r="K2263" s="3" t="inlineStr">
        <is>
          <t>ASSUMP_TPU_EFFICIENCY; ASSUMP_POWER_RAMP; ASSUMP_NUMERIC_ACCELERATOR_MIX; ASSUMP_INFERENCE_SHARE_NOT_FACT_60; ASSUMP_WORKLOAD_CLASS_MIX; ASSUMP_AGENTIC_CONTEXT_PENALTY</t>
        </is>
      </c>
      <c r="L2263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64">
      <c r="A2264" s="3" t="inlineStr">
        <is>
          <t>Google</t>
        </is>
      </c>
      <c r="B2264" s="3" t="n">
        <v>2029</v>
      </c>
      <c r="C2264" s="3" t="inlineStr">
        <is>
          <t>Bull</t>
        </is>
      </c>
      <c r="D2264" s="3" t="inlineStr">
        <is>
          <t>h200_share</t>
        </is>
      </c>
      <c r="E2264" s="3" t="n">
        <v>0.006606</v>
      </c>
      <c r="F2264" s="3" t="inlineStr">
        <is>
          <t>share of inference-serving accelerator load</t>
        </is>
      </c>
      <c r="G2264" s="3" t="inlineStr">
        <is>
          <t>Editable numeric scenario</t>
        </is>
      </c>
      <c r="H2264" s="3" t="inlineStr">
        <is>
          <t>h200_share = gpu_share * default_gpu_generation_mix_h200</t>
        </is>
      </c>
      <c r="I2264" s="3" t="inlineStr">
        <is>
          <t>Default GPU-generation migration assumption; executive workbook allows later manual replacement by company/year/scenario.</t>
        </is>
      </c>
      <c r="J2264" s="3" t="inlineStr">
        <is>
          <t>SRC_SEMIANALYSIS_INFERENCEX; ASSUMP_NUMERIC_ACCELERATOR_MIX</t>
        </is>
      </c>
      <c r="K2264" s="3" t="inlineStr">
        <is>
          <t>ASSUMP_TPU_EFFICIENCY; ASSUMP_POWER_RAMP; ASSUMP_NUMERIC_ACCELERATOR_MIX; ASSUMP_INFERENCE_SHARE_NOT_FACT_60; ASSUMP_WORKLOAD_CLASS_MIX; ASSUMP_AGENTIC_CONTEXT_PENALTY</t>
        </is>
      </c>
      <c r="L2264" s="3" t="inlineStr">
        <is>
          <t>Company fleet inventory, accelerator-hours or procurement/deployment records by GPU generation.</t>
        </is>
      </c>
    </row>
    <row r="2265">
      <c r="A2265" s="3" t="inlineStr">
        <is>
          <t>Google</t>
        </is>
      </c>
      <c r="B2265" s="3" t="n">
        <v>2029</v>
      </c>
      <c r="C2265" s="3" t="inlineStr">
        <is>
          <t>Bull</t>
        </is>
      </c>
      <c r="D2265" s="3" t="inlineStr">
        <is>
          <t>b200_share</t>
        </is>
      </c>
      <c r="E2265" s="3" t="n">
        <v>0.083468</v>
      </c>
      <c r="F2265" s="3" t="inlineStr">
        <is>
          <t>share of inference-serving accelerator load</t>
        </is>
      </c>
      <c r="G2265" s="3" t="inlineStr">
        <is>
          <t>Editable numeric scenario</t>
        </is>
      </c>
      <c r="H2265" s="3" t="inlineStr">
        <is>
          <t>b200_share = gpu_share * default_gpu_generation_mix_b200</t>
        </is>
      </c>
      <c r="I2265" s="3" t="inlineStr">
        <is>
          <t>Default GPU-generation migration assumption; executive workbook allows later manual replacement by company/year/scenario.</t>
        </is>
      </c>
      <c r="J2265" s="3" t="inlineStr">
        <is>
          <t>SRC_SEMIANALYSIS_INFERENCEX; ASSUMP_NUMERIC_ACCELERATOR_MIX</t>
        </is>
      </c>
      <c r="K2265" s="3" t="inlineStr">
        <is>
          <t>ASSUMP_TPU_EFFICIENCY; ASSUMP_POWER_RAMP; ASSUMP_NUMERIC_ACCELERATOR_MIX; ASSUMP_INFERENCE_SHARE_NOT_FACT_60; ASSUMP_WORKLOAD_CLASS_MIX; ASSUMP_AGENTIC_CONTEXT_PENALTY</t>
        </is>
      </c>
      <c r="L2265" s="3" t="inlineStr">
        <is>
          <t>Company fleet inventory, accelerator-hours or procurement/deployment records by GPU generation.</t>
        </is>
      </c>
    </row>
    <row r="2266">
      <c r="A2266" s="3" t="inlineStr">
        <is>
          <t>Google</t>
        </is>
      </c>
      <c r="B2266" s="3" t="n">
        <v>2029</v>
      </c>
      <c r="C2266" s="3" t="inlineStr">
        <is>
          <t>Bull</t>
        </is>
      </c>
      <c r="D2266" s="3" t="inlineStr">
        <is>
          <t>gb200_share</t>
        </is>
      </c>
      <c r="E2266" s="3" t="n">
        <v>0.012967</v>
      </c>
      <c r="F2266" s="3" t="inlineStr">
        <is>
          <t>share of inference-serving accelerator load</t>
        </is>
      </c>
      <c r="G2266" s="3" t="inlineStr">
        <is>
          <t>Editable numeric scenario</t>
        </is>
      </c>
      <c r="H2266" s="3" t="inlineStr">
        <is>
          <t>gb200_share = gpu_share * default_gpu_generation_mix_gb200</t>
        </is>
      </c>
      <c r="I2266" s="3" t="inlineStr">
        <is>
          <t>Default GPU-generation migration assumption; executive workbook allows later manual replacement by company/year/scenario.</t>
        </is>
      </c>
      <c r="J2266" s="3" t="inlineStr">
        <is>
          <t>SRC_SEMIANALYSIS_INFERENCEX; ASSUMP_NUMERIC_ACCELERATOR_MIX</t>
        </is>
      </c>
      <c r="K2266" s="3" t="inlineStr">
        <is>
          <t>ASSUMP_TPU_EFFICIENCY; ASSUMP_POWER_RAMP; ASSUMP_NUMERIC_ACCELERATOR_MIX; ASSUMP_INFERENCE_SHARE_NOT_FACT_60; ASSUMP_WORKLOAD_CLASS_MIX; ASSUMP_AGENTIC_CONTEXT_PENALTY</t>
        </is>
      </c>
      <c r="L2266" s="3" t="inlineStr">
        <is>
          <t>Company fleet inventory, accelerator-hours or procurement/deployment records by GPU generation.</t>
        </is>
      </c>
    </row>
    <row r="2267">
      <c r="A2267" s="3" t="inlineStr">
        <is>
          <t>Google</t>
        </is>
      </c>
      <c r="B2267" s="3" t="n">
        <v>2029</v>
      </c>
      <c r="C2267" s="3" t="inlineStr">
        <is>
          <t>Bull</t>
        </is>
      </c>
      <c r="D2267" s="3" t="inlineStr">
        <is>
          <t>purpose_built_accelerator_share</t>
        </is>
      </c>
      <c r="E2267" s="3" t="n">
        <v>0.896959</v>
      </c>
      <c r="F2267" s="3" t="inlineStr">
        <is>
          <t>share of inference-serving accelerator load</t>
        </is>
      </c>
      <c r="G2267" s="3" t="inlineStr">
        <is>
          <t>Numeric scenario</t>
        </is>
      </c>
      <c r="H2267" s="3" t="inlineStr">
        <is>
          <t>1 - gpu_share</t>
        </is>
      </c>
      <c r="I2267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67" s="3" t="inlineStr">
        <is>
          <t>SRC_GOOGLE_GEMINI_TOKENS; SRC_GOOGLE_IRONWOOD; SRC_GOOGLE_TPU_V6E; SRC_EPOCH_AI_DATA_CENTERS; ASSUMP_NUMERIC_ACCELERATOR_MIX</t>
        </is>
      </c>
      <c r="K2267" s="3" t="inlineStr">
        <is>
          <t>ASSUMP_TPU_EFFICIENCY; ASSUMP_POWER_RAMP; ASSUMP_NUMERIC_ACCELERATOR_MIX; ASSUMP_INFERENCE_SHARE_NOT_FACT_60; ASSUMP_WORKLOAD_CLASS_MIX; ASSUMP_AGENTIC_CONTEXT_PENALTY</t>
        </is>
      </c>
      <c r="L2267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68">
      <c r="A2268" s="3" t="inlineStr">
        <is>
          <t>Google</t>
        </is>
      </c>
      <c r="B2268" s="3" t="n">
        <v>2029</v>
      </c>
      <c r="C2268" s="3" t="inlineStr">
        <is>
          <t>Bull</t>
        </is>
      </c>
      <c r="D2268" s="3" t="inlineStr">
        <is>
          <t>fleet_reference_tps_per_mw</t>
        </is>
      </c>
      <c r="E2268" s="3" t="n">
        <v>175238</v>
      </c>
      <c r="F2268" s="3" t="inlineStr">
        <is>
          <t>generated output tokens/sec/MW</t>
        </is>
      </c>
      <c r="G2268" s="3" t="inlineStr">
        <is>
          <t>Fleet-weighted public benchmark reference</t>
        </is>
      </c>
      <c r="H2268" s="3" t="inlineStr">
        <is>
          <t>h200_share*h200_workload_avg + b200_share*b200_workload_avg + gb200_share*gb200_workload_avg + purpose_built_share*purpose_workload_avg</t>
        </is>
      </c>
      <c r="I226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68" s="3" t="inlineStr">
        <is>
          <t>SRC_SEMIANALYSIS_INFERENCEX; ASSUMP_NUMERIC_ACCELERATOR_MIX; ASSUMP_WORKLOAD_CLASS_MIX; ASSUMP_AGENTIC_CONTEXT_PENALTY</t>
        </is>
      </c>
      <c r="K2268" s="3" t="inlineStr">
        <is>
          <t>ASSUMP_TPU_EFFICIENCY; ASSUMP_POWER_RAMP; ASSUMP_NUMERIC_ACCELERATOR_MIX; ASSUMP_INFERENCE_SHARE_NOT_FACT_60; ASSUMP_WORKLOAD_CLASS_MIX; ASSUMP_AGENTIC_CONTEXT_PENALTY</t>
        </is>
      </c>
      <c r="L2268" s="3" t="inlineStr">
        <is>
          <t>Comparable production output-token throughput or a more closely matched benchmark.</t>
        </is>
      </c>
    </row>
    <row r="2269">
      <c r="A2269" s="3" t="inlineStr">
        <is>
          <t>Google</t>
        </is>
      </c>
      <c r="B2269" s="3" t="n">
        <v>2029</v>
      </c>
      <c r="C2269" s="3" t="inlineStr">
        <is>
          <t>Bull</t>
        </is>
      </c>
      <c r="D2269" s="3" t="inlineStr">
        <is>
          <t>commercial_workload_fit_factor</t>
        </is>
      </c>
      <c r="E2269" s="3" t="n">
        <v>0.8</v>
      </c>
      <c r="F2269" s="3" t="inlineStr">
        <is>
          <t>share of public reference throughput</t>
        </is>
      </c>
      <c r="G2269" s="3" t="inlineStr">
        <is>
          <t>Scenario assumption</t>
        </is>
      </c>
      <c r="H2269" s="3" t="inlineStr">
        <is>
          <t>reference_serving_tps_per_mw = fleet_reference_tps_per_mw * commercial_workload_fit_factor</t>
        </is>
      </c>
      <c r="I2269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69" s="3" t="inlineStr">
        <is>
          <t>SRC_SEMIANALYSIS_INFERENCEX; ASSUMP_NUMERIC_ACCELERATOR_MIX; ASSUMP_WORKLOAD_CLASS_MIX; ASSUMP_AGENTIC_CONTEXT_PENALTY</t>
        </is>
      </c>
      <c r="K2269" s="3" t="inlineStr">
        <is>
          <t>ASSUMP_TPU_EFFICIENCY; ASSUMP_POWER_RAMP; ASSUMP_NUMERIC_ACCELERATOR_MIX; ASSUMP_INFERENCE_SHARE_NOT_FACT_60; ASSUMP_WORKLOAD_CLASS_MIX; ASSUMP_AGENTIC_CONTEXT_PENALTY</t>
        </is>
      </c>
      <c r="L2269" s="3" t="inlineStr">
        <is>
          <t>Matched commercial serving benchmark by product surface, context shape and latency SLO.</t>
        </is>
      </c>
    </row>
    <row r="2270">
      <c r="A2270" s="3" t="inlineStr">
        <is>
          <t>Google</t>
        </is>
      </c>
      <c r="B2270" s="3" t="n">
        <v>2029</v>
      </c>
      <c r="C2270" s="3" t="inlineStr">
        <is>
          <t>Bull</t>
        </is>
      </c>
      <c r="D2270" s="3" t="inlineStr">
        <is>
          <t>reference_serving_tps_per_mw</t>
        </is>
      </c>
      <c r="E2270" s="3" t="n">
        <v>140190</v>
      </c>
      <c r="F2270" s="3" t="inlineStr">
        <is>
          <t>generated output tokens/sec/MW</t>
        </is>
      </c>
      <c r="G2270" s="3" t="inlineStr">
        <is>
          <t>Workload-adjusted benchmark proxy</t>
        </is>
      </c>
      <c r="H2270" s="3" t="inlineStr">
        <is>
          <t>fleet_reference_tps_per_mw * commercial_workload_fit_factor</t>
        </is>
      </c>
      <c r="I2270" s="3" t="inlineStr">
        <is>
          <t>This is the coefficient used for headline token generation; each GPU's short chat, long chat and agentic TPS/MW are weighted before fleet mix and commercial fit are applied.</t>
        </is>
      </c>
      <c r="J2270" s="3" t="inlineStr">
        <is>
          <t>SRC_SEMIANALYSIS_INFERENCEX; ASSUMP_NUMERIC_ACCELERATOR_MIX; ASSUMP_WORKLOAD_CLASS_MIX; ASSUMP_AGENTIC_CONTEXT_PENALTY</t>
        </is>
      </c>
      <c r="K2270" s="3" t="inlineStr">
        <is>
          <t>ASSUMP_TPU_EFFICIENCY; ASSUMP_POWER_RAMP; ASSUMP_NUMERIC_ACCELERATOR_MIX; ASSUMP_INFERENCE_SHARE_NOT_FACT_60; ASSUMP_WORKLOAD_CLASS_MIX; ASSUMP_AGENTIC_CONTEXT_PENALTY</t>
        </is>
      </c>
      <c r="L2270" s="3" t="inlineStr">
        <is>
          <t>Provider production output-token throughput with comparable workload/SLO.</t>
        </is>
      </c>
    </row>
    <row r="2271">
      <c r="A2271" s="3" t="inlineStr">
        <is>
          <t>Google</t>
        </is>
      </c>
      <c r="B2271" s="3" t="n">
        <v>2029</v>
      </c>
      <c r="C2271" s="3" t="inlineStr">
        <is>
          <t>Bull</t>
        </is>
      </c>
      <c r="D2271" s="3" t="inlineStr">
        <is>
          <t>purpose_built_tps_per_mw</t>
        </is>
      </c>
      <c r="E2271" s="3" t="n">
        <v>108245</v>
      </c>
      <c r="F2271" s="3" t="inlineStr">
        <is>
          <t>generated output tokens/sec/MW</t>
        </is>
      </c>
      <c r="G2271" s="3" t="inlineStr">
        <is>
          <t>Conservative no-uplift proxy</t>
        </is>
      </c>
      <c r="H2271" s="3" t="inlineStr">
        <is>
          <t>purpose_built_tps_per_mw = purpose_built_reference_tps_per_mw * commercial_workload_fit_factor until comparable output-token benchmark is adopted</t>
        </is>
      </c>
      <c r="I2271" s="3" t="inlineStr">
        <is>
          <t>No comparable public output-token/MW row adopted; B200 public reference placeholder is used and remains editable.</t>
        </is>
      </c>
      <c r="J2271" s="3" t="inlineStr">
        <is>
          <t>SRC_GOOGLE_GEMINI_TOKENS; SRC_GOOGLE_IRONWOOD; SRC_GOOGLE_TPU_V6E; SRC_EPOCH_AI_DATA_CENTERS; ASSUMP_NUMERIC_ACCELERATOR_MIX</t>
        </is>
      </c>
      <c r="K2271" s="3" t="inlineStr">
        <is>
          <t>ASSUMP_TPU_EFFICIENCY; ASSUMP_POWER_RAMP; ASSUMP_NUMERIC_ACCELERATOR_MIX; ASSUMP_INFERENCE_SHARE_NOT_FACT_60; ASSUMP_WORKLOAD_CLASS_MIX; ASSUMP_AGENTIC_CONTEXT_PENALTY</t>
        </is>
      </c>
      <c r="L2271" s="3" t="inlineStr">
        <is>
          <t>Matched-workload generated-output benchmark for the provider purpose-built accelerator.</t>
        </is>
      </c>
    </row>
    <row r="2272">
      <c r="A2272" s="3" t="inlineStr">
        <is>
          <t>Google</t>
        </is>
      </c>
      <c r="B2272" s="3" t="n">
        <v>2029</v>
      </c>
      <c r="C2272" s="3" t="inlineStr">
        <is>
          <t>Bull</t>
        </is>
      </c>
      <c r="D2272" s="3" t="inlineStr">
        <is>
          <t>inference_power_share</t>
        </is>
      </c>
      <c r="E2272" s="3" t="n">
        <v>0.75</v>
      </c>
      <c r="F2272" s="3" t="inlineStr">
        <is>
          <t>share of AI IT load</t>
        </is>
      </c>
      <c r="G2272" s="3" t="inlineStr">
        <is>
          <t>Scenario allocation</t>
        </is>
      </c>
      <c r="H2272" s="3" t="inlineStr">
        <is>
          <t>inference_gw = ai_it_load_gw * inference_power_share</t>
        </is>
      </c>
      <c r="I2272" s="3" t="inlineStr">
        <is>
          <t>Ironwood is positioned for inference and Gemini is commercialized across products; inference share increases as a scenario.</t>
        </is>
      </c>
      <c r="J2272" s="3" t="inlineStr">
        <is>
          <t>SRC_GOOGLE_GEMINI_TOKENS; SRC_GOOGLE_IRONWOOD; SRC_GOOGLE_TPU_V6E; SRC_EPOCH_AI_DATA_CENTERS; ASSUMP_INFERENCE_SHARE_NOT_FACT_60</t>
        </is>
      </c>
      <c r="K2272" s="3" t="inlineStr">
        <is>
          <t>ASSUMP_TPU_EFFICIENCY; ASSUMP_POWER_RAMP; ASSUMP_NUMERIC_ACCELERATOR_MIX; ASSUMP_INFERENCE_SHARE_NOT_FACT_60; ASSUMP_WORKLOAD_CLASS_MIX; ASSUMP_AGENTIC_CONTEXT_PENALTY</t>
        </is>
      </c>
      <c r="L2272" s="3" t="inlineStr">
        <is>
          <t>Provider-specific inference/training workload power telemetry.</t>
        </is>
      </c>
    </row>
    <row r="2273">
      <c r="A2273" s="3" t="inlineStr">
        <is>
          <t>Google</t>
        </is>
      </c>
      <c r="B2273" s="3" t="n">
        <v>2029</v>
      </c>
      <c r="C2273" s="3" t="inlineStr">
        <is>
          <t>Bull</t>
        </is>
      </c>
      <c r="D2273" s="3" t="inlineStr">
        <is>
          <t>inference_gw</t>
        </is>
      </c>
      <c r="E2273" s="3" t="n">
        <v>3.626</v>
      </c>
      <c r="F2273" s="3" t="inlineStr">
        <is>
          <t>GW</t>
        </is>
      </c>
      <c r="G2273" s="3" t="inlineStr">
        <is>
          <t>Derived formula</t>
        </is>
      </c>
      <c r="H2273" s="3" t="inlineStr">
        <is>
          <t>ai_it_load_gw * inference_power_share</t>
        </is>
      </c>
      <c r="I2273" s="3" t="inlineStr">
        <is>
          <t>This is the operational power eligible to become commercial generated output tokens through the selected TPS/MW proxy.</t>
        </is>
      </c>
      <c r="J2273" s="3" t="inlineStr">
        <is>
          <t>SRC_GOOGLE_GEMINI_TOKENS; SRC_GOOGLE_IRONWOOD; SRC_GOOGLE_TPU_V6E; SRC_EPOCH_AI_DATA_CENTERS</t>
        </is>
      </c>
      <c r="K2273" s="3" t="inlineStr">
        <is>
          <t>ASSUMP_TPU_EFFICIENCY; ASSUMP_POWER_RAMP; ASSUMP_NUMERIC_ACCELERATOR_MIX; ASSUMP_INFERENCE_SHARE_NOT_FACT_60; ASSUMP_WORKLOAD_CLASS_MIX; ASSUMP_AGENTIC_CONTEXT_PENALTY</t>
        </is>
      </c>
      <c r="L2273" s="3" t="inlineStr">
        <is>
          <t>Recompute after AI allocation or inference-share evidence changes.</t>
        </is>
      </c>
    </row>
    <row r="2274">
      <c r="A2274" s="3" t="inlineStr">
        <is>
          <t>Google</t>
        </is>
      </c>
      <c r="B2274" s="3" t="n">
        <v>2029</v>
      </c>
      <c r="C2274" s="3" t="inlineStr">
        <is>
          <t>Bull</t>
        </is>
      </c>
      <c r="D2274" s="3" t="inlineStr">
        <is>
          <t>training_power_share</t>
        </is>
      </c>
      <c r="E2274" s="3" t="n">
        <v>0.25</v>
      </c>
      <c r="F2274" s="3" t="inlineStr">
        <is>
          <t>share of AI IT load</t>
        </is>
      </c>
      <c r="G2274" s="3" t="inlineStr">
        <is>
          <t>Derived allocation</t>
        </is>
      </c>
      <c r="H2274" s="3" t="inlineStr">
        <is>
          <t>1 - inference_power_share</t>
        </is>
      </c>
      <c r="I2274" s="3" t="inlineStr">
        <is>
          <t>Training receives the complementary modeled AI IT allocation; it is not a disclosed company workload split.</t>
        </is>
      </c>
      <c r="J2274" s="3" t="inlineStr">
        <is>
          <t>SRC_GOOGLE_GEMINI_TOKENS; SRC_GOOGLE_IRONWOOD; SRC_GOOGLE_TPU_V6E; SRC_EPOCH_AI_DATA_CENTERS; ASSUMP_INFERENCE_SHARE_NOT_FACT_60</t>
        </is>
      </c>
      <c r="K2274" s="3" t="inlineStr">
        <is>
          <t>ASSUMP_TPU_EFFICIENCY; ASSUMP_POWER_RAMP; ASSUMP_NUMERIC_ACCELERATOR_MIX; ASSUMP_INFERENCE_SHARE_NOT_FACT_60; ASSUMP_WORKLOAD_CLASS_MIX; ASSUMP_AGENTIC_CONTEXT_PENALTY</t>
        </is>
      </c>
      <c r="L2274" s="3" t="inlineStr">
        <is>
          <t>Provider-specific inference/training workload power telemetry.</t>
        </is>
      </c>
    </row>
    <row r="2275">
      <c r="A2275" s="3" t="inlineStr">
        <is>
          <t>Google</t>
        </is>
      </c>
      <c r="B2275" s="3" t="n">
        <v>2029</v>
      </c>
      <c r="C2275" s="3" t="inlineStr">
        <is>
          <t>Bull</t>
        </is>
      </c>
      <c r="D2275" s="3" t="inlineStr">
        <is>
          <t>training_gw</t>
        </is>
      </c>
      <c r="E2275" s="3" t="n">
        <v>1.209</v>
      </c>
      <c r="F2275" s="3" t="inlineStr">
        <is>
          <t>GW</t>
        </is>
      </c>
      <c r="G2275" s="3" t="inlineStr">
        <is>
          <t>Derived formula</t>
        </is>
      </c>
      <c r="H2275" s="3" t="inlineStr">
        <is>
          <t>ai_it_load_gw * training_power_share</t>
        </is>
      </c>
      <c r="I2275" s="3" t="inlineStr">
        <is>
          <t>Training GW is shown separately so commercial inference token capacity is not overstated.</t>
        </is>
      </c>
      <c r="J2275" s="3" t="inlineStr">
        <is>
          <t>SRC_GOOGLE_GEMINI_TOKENS; SRC_GOOGLE_IRONWOOD; SRC_GOOGLE_TPU_V6E; SRC_EPOCH_AI_DATA_CENTERS</t>
        </is>
      </c>
      <c r="K2275" s="3" t="inlineStr">
        <is>
          <t>ASSUMP_TPU_EFFICIENCY; ASSUMP_POWER_RAMP; ASSUMP_NUMERIC_ACCELERATOR_MIX; ASSUMP_INFERENCE_SHARE_NOT_FACT_60; ASSUMP_WORKLOAD_CLASS_MIX; ASSUMP_AGENTIC_CONTEXT_PENALTY</t>
        </is>
      </c>
      <c r="L2275" s="3" t="inlineStr">
        <is>
          <t>Recompute after AI allocation or workload-split evidence changes.</t>
        </is>
      </c>
    </row>
    <row r="2276">
      <c r="A2276" s="3" t="inlineStr">
        <is>
          <t>Google</t>
        </is>
      </c>
      <c r="B2276" s="3" t="n">
        <v>2029</v>
      </c>
      <c r="C2276" s="3" t="inlineStr">
        <is>
          <t>Bull</t>
        </is>
      </c>
      <c r="D2276" s="3" t="inlineStr">
        <is>
          <t>tokens_per_second_per_mw</t>
        </is>
      </c>
      <c r="E2276" s="3" t="n">
        <v>140190</v>
      </c>
      <c r="F2276" s="3" t="inlineStr">
        <is>
          <t>generated output tokens/sec/MW</t>
        </is>
      </c>
      <c r="G2276" s="3" t="inlineStr">
        <is>
          <t>Derived estimate + benchmark calibration</t>
        </is>
      </c>
      <c r="H2276" s="3" t="inlineStr">
        <is>
          <t>fleet_reference_tps_per_mw * commercial_workload_fit_factor</t>
        </is>
      </c>
      <c r="I2276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76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76" s="3" t="inlineStr">
        <is>
          <t>ASSUMP_TPU_EFFICIENCY; ASSUMP_POWER_RAMP; ASSUMP_NUMERIC_ACCELERATOR_MIX; ASSUMP_INFERENCE_SHARE_NOT_FACT_60; ASSUMP_WORKLOAD_CLASS_MIX; ASSUMP_AGENTIC_CONTEXT_PENALTY</t>
        </is>
      </c>
      <c r="L2276" s="3" t="inlineStr">
        <is>
          <t>Comparable production output-token throughput with model, hardware, precision, ISL/OSL and SLO matched.</t>
        </is>
      </c>
    </row>
    <row r="2277">
      <c r="A2277" s="3" t="inlineStr">
        <is>
          <t>Google</t>
        </is>
      </c>
      <c r="B2277" s="3" t="n">
        <v>2029</v>
      </c>
      <c r="C2277" s="3" t="inlineStr">
        <is>
          <t>Bull</t>
        </is>
      </c>
      <c r="D2277" s="3" t="inlineStr">
        <is>
          <t>inference_tokens_per_day</t>
        </is>
      </c>
      <c r="E2277" s="3" t="n">
        <v>43919620416000</v>
      </c>
      <c r="F2277" s="3" t="inlineStr">
        <is>
          <t>generated output tokens/day</t>
        </is>
      </c>
      <c r="G2277" s="3" t="inlineStr">
        <is>
          <t>Derived headline metric</t>
        </is>
      </c>
      <c r="H2277" s="3" t="inlineStr">
        <is>
          <t>inference_gw * 1000 * tokens_per_second_per_mw * 86,400</t>
        </is>
      </c>
      <c r="I2277" s="3" t="inlineStr">
        <is>
          <t>Headline capacity uses no utilization, MoE, architecture or software-growth multiplier; it is not observed commercial output volume.</t>
        </is>
      </c>
      <c r="J2277" s="3" t="inlineStr">
        <is>
          <t>SRC_GOOGLE_GEMINI_TOKENS; SRC_GOOGLE_IRONWOOD; SRC_GOOGLE_TPU_V6E; SRC_EPOCH_AI_DATA_CENTERS; SRC_SEMIANALYSIS_INFERENCEX</t>
        </is>
      </c>
      <c r="K2277" s="3" t="inlineStr">
        <is>
          <t>ASSUMP_TPU_EFFICIENCY; ASSUMP_POWER_RAMP; ASSUMP_NUMERIC_ACCELERATOR_MIX; ASSUMP_INFERENCE_SHARE_NOT_FACT_60; ASSUMP_WORKLOAD_CLASS_MIX; ASSUMP_AGENTIC_CONTEXT_PENALTY</t>
        </is>
      </c>
      <c r="L2277" s="3" t="inlineStr">
        <is>
          <t>Provider-disclosed generated output token volume or calibrated capacity telemetry.</t>
        </is>
      </c>
    </row>
    <row r="2278">
      <c r="A2278" s="3" t="inlineStr">
        <is>
          <t>Google</t>
        </is>
      </c>
      <c r="B2278" s="3" t="n">
        <v>2029</v>
      </c>
      <c r="C2278" s="3" t="inlineStr">
        <is>
          <t>Bull</t>
        </is>
      </c>
      <c r="D2278" s="3" t="inlineStr">
        <is>
          <t>inference_tokens_per_year</t>
        </is>
      </c>
      <c r="E2278" s="3" t="n">
        <v>1.603066145184e+16</v>
      </c>
      <c r="F2278" s="3" t="inlineStr">
        <is>
          <t>generated output tokens/year</t>
        </is>
      </c>
      <c r="G2278" s="3" t="inlineStr">
        <is>
          <t>Derived headline metric</t>
        </is>
      </c>
      <c r="H2278" s="3" t="inlineStr">
        <is>
          <t>inference_tokens_per_day * 365</t>
        </is>
      </c>
      <c r="I2278" s="3" t="inlineStr">
        <is>
          <t>Annualized version of generated output token capacity; it is not observed annual demand or billable volume.</t>
        </is>
      </c>
      <c r="J2278" s="3" t="inlineStr">
        <is>
          <t>SRC_GOOGLE_GEMINI_TOKENS; SRC_GOOGLE_IRONWOOD; SRC_GOOGLE_TPU_V6E; SRC_EPOCH_AI_DATA_CENTERS; SRC_SEMIANALYSIS_INFERENCEX</t>
        </is>
      </c>
      <c r="K2278" s="3" t="inlineStr">
        <is>
          <t>ASSUMP_TPU_EFFICIENCY; ASSUMP_POWER_RAMP; ASSUMP_NUMERIC_ACCELERATOR_MIX; ASSUMP_INFERENCE_SHARE_NOT_FACT_60; ASSUMP_WORKLOAD_CLASS_MIX; ASSUMP_AGENTIC_CONTEXT_PENALTY</t>
        </is>
      </c>
      <c r="L2278" s="3" t="inlineStr">
        <is>
          <t>Provider-disclosed annual generated-output volume or metered serving telemetry.</t>
        </is>
      </c>
    </row>
    <row r="2279">
      <c r="A2279" s="3" t="inlineStr">
        <is>
          <t>Google</t>
        </is>
      </c>
      <c r="B2279" s="3" t="n">
        <v>2030</v>
      </c>
      <c r="C2279" s="3" t="inlineStr">
        <is>
          <t>Bull</t>
        </is>
      </c>
      <c r="D2279" s="3" t="inlineStr">
        <is>
          <t>contracted_power_gw</t>
        </is>
      </c>
      <c r="E2279" s="3" t="n">
        <v>8</v>
      </c>
      <c r="F2279" s="3" t="inlineStr">
        <is>
          <t>GW</t>
        </is>
      </c>
      <c r="G2279" s="3" t="inlineStr">
        <is>
          <t>Scenario capacity envelope</t>
        </is>
      </c>
      <c r="H2279" s="3" t="inlineStr">
        <is>
          <t>linear interpolation between 2026 and 2030 company capacity endpoints</t>
        </is>
      </c>
      <c r="I2279" s="3" t="inlineStr">
        <is>
          <t>Scenario envelope for Gemini-serving capacity; official TPU hardware direction is disclosed, company-level contracted GW is not.</t>
        </is>
      </c>
      <c r="J2279" s="3" t="inlineStr">
        <is>
          <t>ASSUMP_POWER_RAMP; SRC_GOOGLE_IRONWOOD; SRC_GOOGLE_TPU_V6E</t>
        </is>
      </c>
      <c r="K2279" s="3" t="inlineStr">
        <is>
          <t>ASSUMP_TPU_EFFICIENCY; ASSUMP_POWER_RAMP; ASSUMP_NUMERIC_ACCELERATOR_MIX; ASSUMP_INFERENCE_SHARE_NOT_FACT_60; ASSUMP_WORKLOAD_CLASS_MIX; ASSUMP_AGENTIC_CONTEXT_PENALTY</t>
        </is>
      </c>
      <c r="L2279" s="3" t="inlineStr">
        <is>
          <t>Company/site-level committed MW/GW, interconnect and contract disclosure.</t>
        </is>
      </c>
    </row>
    <row r="2280">
      <c r="A2280" s="3" t="inlineStr">
        <is>
          <t>Google</t>
        </is>
      </c>
      <c r="B2280" s="3" t="n">
        <v>2030</v>
      </c>
      <c r="C2280" s="3" t="inlineStr">
        <is>
          <t>Bull</t>
        </is>
      </c>
      <c r="D2280" s="3" t="inlineStr">
        <is>
          <t>operational_deployment_share</t>
        </is>
      </c>
      <c r="E2280" s="3" t="n">
        <v>1</v>
      </c>
      <c r="F2280" s="3" t="inlineStr">
        <is>
          <t>share</t>
        </is>
      </c>
      <c r="G2280" s="3" t="inlineStr">
        <is>
          <t>Scenario conversion</t>
        </is>
      </c>
      <c r="H2280" s="3" t="inlineStr">
        <is>
          <t>active_power_gw / contracted_power_gw</t>
        </is>
      </c>
      <c r="I2280" s="3" t="inlineStr">
        <is>
          <t>This is the single explicit conversion from contracted/attributed capacity to operationally usable capacity.</t>
        </is>
      </c>
      <c r="J2280" s="3" t="inlineStr">
        <is>
          <t>ASSUMP_POWER_RAMP; SRC_GOOGLE_IRONWOOD; SRC_GOOGLE_TPU_V6E</t>
        </is>
      </c>
      <c r="K2280" s="3" t="inlineStr">
        <is>
          <t>ASSUMP_TPU_EFFICIENCY; ASSUMP_POWER_RAMP; ASSUMP_NUMERIC_ACCELERATOR_MIX; ASSUMP_INFERENCE_SHARE_NOT_FACT_60; ASSUMP_WORKLOAD_CLASS_MIX; ASSUMP_AGENTIC_CONTEXT_PENALTY</t>
        </is>
      </c>
      <c r="L2280" s="3" t="inlineStr">
        <is>
          <t>Energized operational capacity divided by contracted/attributed capacity.</t>
        </is>
      </c>
    </row>
    <row r="2281">
      <c r="A2281" s="3" t="inlineStr">
        <is>
          <t>Google</t>
        </is>
      </c>
      <c r="B2281" s="3" t="n">
        <v>2030</v>
      </c>
      <c r="C2281" s="3" t="inlineStr">
        <is>
          <t>Bull</t>
        </is>
      </c>
      <c r="D2281" s="3" t="inlineStr">
        <is>
          <t>active_power_gw</t>
        </is>
      </c>
      <c r="E2281" s="3" t="n">
        <v>8</v>
      </c>
      <c r="F2281" s="3" t="inlineStr">
        <is>
          <t>GW</t>
        </is>
      </c>
      <c r="G2281" s="3" t="inlineStr">
        <is>
          <t>Derived scenario</t>
        </is>
      </c>
      <c r="H2281" s="3" t="inlineStr">
        <is>
          <t>contracted_power_gw * operational_deployment_share</t>
        </is>
      </c>
      <c r="I2281" s="3" t="inlineStr">
        <is>
          <t>TPU generation availability supports ramp direction, while active GW remains a staged deployment estimate.</t>
        </is>
      </c>
      <c r="J2281" s="3" t="inlineStr">
        <is>
          <t>ASSUMP_POWER_RAMP; SRC_GOOGLE_IRONWOOD; SRC_GOOGLE_TPU_V6E</t>
        </is>
      </c>
      <c r="K2281" s="3" t="inlineStr">
        <is>
          <t>ASSUMP_TPU_EFFICIENCY; ASSUMP_POWER_RAMP; ASSUMP_NUMERIC_ACCELERATOR_MIX; ASSUMP_INFERENCE_SHARE_NOT_FACT_60; ASSUMP_WORKLOAD_CLASS_MIX; ASSUMP_AGENTIC_CONTEXT_PENALTY</t>
        </is>
      </c>
      <c r="L2281" s="3" t="inlineStr">
        <is>
          <t>Energization dates, accelerator deliveries and operational powered-rack telemetry.</t>
        </is>
      </c>
    </row>
    <row r="2282">
      <c r="A2282" s="3" t="inlineStr">
        <is>
          <t>Google</t>
        </is>
      </c>
      <c r="B2282" s="3" t="n">
        <v>2030</v>
      </c>
      <c r="C2282" s="3" t="inlineStr">
        <is>
          <t>Bull</t>
        </is>
      </c>
      <c r="D2282" s="3" t="inlineStr">
        <is>
          <t>pue</t>
        </is>
      </c>
      <c r="E2282" s="3" t="n">
        <v>1.18</v>
      </c>
      <c r="F2282" s="3" t="inlineStr">
        <is>
          <t>ratio</t>
        </is>
      </c>
      <c r="G2282" s="3" t="inlineStr">
        <is>
          <t>Scenario parameter</t>
        </is>
      </c>
      <c r="H2282" s="3" t="inlineStr">
        <is>
          <t>it_load_gw = active_power_gw / pue</t>
        </is>
      </c>
      <c r="I2282" s="3" t="inlineStr">
        <is>
          <t>No provider-wide site-level PUE is used as a disclosed fact; PUE represents facility-to-IT conversion within the scenario.</t>
        </is>
      </c>
      <c r="J2282" s="3" t="inlineStr">
        <is>
          <t>ASSUMP_POWER_RAMP</t>
        </is>
      </c>
      <c r="K2282" s="3" t="inlineStr">
        <is>
          <t>ASSUMP_TPU_EFFICIENCY; ASSUMP_POWER_RAMP; ASSUMP_NUMERIC_ACCELERATOR_MIX; ASSUMP_INFERENCE_SHARE_NOT_FACT_60; ASSUMP_WORKLOAD_CLASS_MIX; ASSUMP_AGENTIC_CONTEXT_PENALTY</t>
        </is>
      </c>
      <c r="L2282" s="3" t="inlineStr">
        <is>
          <t>Site-level measured PUE matched to attributed AI capacity.</t>
        </is>
      </c>
    </row>
    <row r="2283">
      <c r="A2283" s="3" t="inlineStr">
        <is>
          <t>Google</t>
        </is>
      </c>
      <c r="B2283" s="3" t="n">
        <v>2030</v>
      </c>
      <c r="C2283" s="3" t="inlineStr">
        <is>
          <t>Bull</t>
        </is>
      </c>
      <c r="D2283" s="3" t="inlineStr">
        <is>
          <t>it_load_gw</t>
        </is>
      </c>
      <c r="E2283" s="3" t="n">
        <v>6.78</v>
      </c>
      <c r="F2283" s="3" t="inlineStr">
        <is>
          <t>GW</t>
        </is>
      </c>
      <c r="G2283" s="3" t="inlineStr">
        <is>
          <t>Derived formula</t>
        </is>
      </c>
      <c r="H2283" s="3" t="inlineStr">
        <is>
          <t>active_power_gw / pue</t>
        </is>
      </c>
      <c r="I2283" s="3" t="inlineStr">
        <is>
          <t>Facility power is converted to IT-deliverable power before attributing AI workloads.</t>
        </is>
      </c>
      <c r="J2283" s="3" t="inlineStr">
        <is>
          <t>ASSUMP_POWER_RAMP; SRC_GOOGLE_IRONWOOD; SRC_GOOGLE_TPU_V6E</t>
        </is>
      </c>
      <c r="K2283" s="3" t="inlineStr">
        <is>
          <t>ASSUMP_TPU_EFFICIENCY; ASSUMP_POWER_RAMP; ASSUMP_NUMERIC_ACCELERATOR_MIX; ASSUMP_INFERENCE_SHARE_NOT_FACT_60; ASSUMP_WORKLOAD_CLASS_MIX; ASSUMP_AGENTIC_CONTEXT_PENALTY</t>
        </is>
      </c>
      <c r="L2283" s="3" t="inlineStr">
        <is>
          <t>Recompute once active power and PUE become site-observable.</t>
        </is>
      </c>
    </row>
    <row r="2284">
      <c r="A2284" s="3" t="inlineStr">
        <is>
          <t>Google</t>
        </is>
      </c>
      <c r="B2284" s="3" t="n">
        <v>2030</v>
      </c>
      <c r="C2284" s="3" t="inlineStr">
        <is>
          <t>Bull</t>
        </is>
      </c>
      <c r="D2284" s="3" t="inlineStr">
        <is>
          <t>ai_workload_share</t>
        </is>
      </c>
      <c r="E2284" s="3" t="n">
        <v>0.88</v>
      </c>
      <c r="F2284" s="3" t="inlineStr">
        <is>
          <t>share</t>
        </is>
      </c>
      <c r="G2284" s="3" t="inlineStr">
        <is>
          <t>Scenario allocation</t>
        </is>
      </c>
      <c r="H2284" s="3" t="inlineStr">
        <is>
          <t>ai_it_load_gw = it_load_gw * ai_workload_share</t>
        </is>
      </c>
      <c r="I2284" s="3" t="inlineStr">
        <is>
          <t>Gemini/Vertex TPU serving is AI-dedicated in the modeled capacity envelope; 88% excludes platform/reserve load.</t>
        </is>
      </c>
      <c r="J2284" s="3" t="inlineStr">
        <is>
          <t>SRC_GOOGLE_GEMINI_TOKENS; SRC_GOOGLE_IRONWOOD; SRC_GOOGLE_TPU_V6E; SRC_EPOCH_AI_DATA_CENTERS</t>
        </is>
      </c>
      <c r="K2284" s="3" t="inlineStr">
        <is>
          <t>ASSUMP_TPU_EFFICIENCY; ASSUMP_POWER_RAMP; ASSUMP_NUMERIC_ACCELERATOR_MIX; ASSUMP_INFERENCE_SHARE_NOT_FACT_60; ASSUMP_WORKLOAD_CLASS_MIX; ASSUMP_AGENTIC_CONTEXT_PENALTY</t>
        </is>
      </c>
      <c r="L2284" s="3" t="inlineStr">
        <is>
          <t>Model-owner AI workload allocation or cluster scheduling telemetry.</t>
        </is>
      </c>
    </row>
    <row r="2285">
      <c r="A2285" s="3" t="inlineStr">
        <is>
          <t>Google</t>
        </is>
      </c>
      <c r="B2285" s="3" t="n">
        <v>2030</v>
      </c>
      <c r="C2285" s="3" t="inlineStr">
        <is>
          <t>Bull</t>
        </is>
      </c>
      <c r="D2285" s="3" t="inlineStr">
        <is>
          <t>ai_it_load_gw</t>
        </is>
      </c>
      <c r="E2285" s="3" t="n">
        <v>5.966</v>
      </c>
      <c r="F2285" s="3" t="inlineStr">
        <is>
          <t>GW</t>
        </is>
      </c>
      <c r="G2285" s="3" t="inlineStr">
        <is>
          <t>Derived formula</t>
        </is>
      </c>
      <c r="H2285" s="3" t="inlineStr">
        <is>
          <t>it_load_gw * ai_workload_share</t>
        </is>
      </c>
      <c r="I2285" s="3" t="inlineStr">
        <is>
          <t>Only the AI-attributed portion of IT load enters training/inference allocation.</t>
        </is>
      </c>
      <c r="J2285" s="3" t="inlineStr">
        <is>
          <t>SRC_GOOGLE_GEMINI_TOKENS; SRC_GOOGLE_IRONWOOD; SRC_GOOGLE_TPU_V6E; SRC_EPOCH_AI_DATA_CENTERS</t>
        </is>
      </c>
      <c r="K2285" s="3" t="inlineStr">
        <is>
          <t>ASSUMP_TPU_EFFICIENCY; ASSUMP_POWER_RAMP; ASSUMP_NUMERIC_ACCELERATOR_MIX; ASSUMP_INFERENCE_SHARE_NOT_FACT_60; ASSUMP_WORKLOAD_CLASS_MIX; ASSUMP_AGENTIC_CONTEXT_PENALTY</t>
        </is>
      </c>
      <c r="L2285" s="3" t="inlineStr">
        <is>
          <t>Recompute after ai_workload_share is replaced by telemetry.</t>
        </is>
      </c>
    </row>
    <row r="2286">
      <c r="A2286" s="3" t="inlineStr">
        <is>
          <t>Google</t>
        </is>
      </c>
      <c r="B2286" s="3" t="n">
        <v>2030</v>
      </c>
      <c r="C2286" s="3" t="inlineStr">
        <is>
          <t>Bull</t>
        </is>
      </c>
      <c r="D2286" s="3" t="inlineStr">
        <is>
          <t>gpu_share</t>
        </is>
      </c>
      <c r="E2286" s="3" t="n">
        <v>0.096925</v>
      </c>
      <c r="F2286" s="3" t="inlineStr">
        <is>
          <t>share of inference-serving accelerator load</t>
        </is>
      </c>
      <c r="G2286" s="3" t="inlineStr">
        <is>
          <t>Numeric scenario</t>
        </is>
      </c>
      <c r="H2286" s="3" t="inlineStr">
        <is>
          <t>gpu_share interpolated from company 2026/2030 accelerator-mix endpoints</t>
        </is>
      </c>
      <c r="I2286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86" s="3" t="inlineStr">
        <is>
          <t>SRC_GOOGLE_GEMINI_TOKENS; SRC_GOOGLE_IRONWOOD; SRC_GOOGLE_TPU_V6E; SRC_EPOCH_AI_DATA_CENTERS; ASSUMP_NUMERIC_ACCELERATOR_MIX</t>
        </is>
      </c>
      <c r="K2286" s="3" t="inlineStr">
        <is>
          <t>ASSUMP_TPU_EFFICIENCY; ASSUMP_POWER_RAMP; ASSUMP_NUMERIC_ACCELERATOR_MIX; ASSUMP_INFERENCE_SHARE_NOT_FACT_60; ASSUMP_WORKLOAD_CLASS_MIX; ASSUMP_AGENTIC_CONTEXT_PENALTY</t>
        </is>
      </c>
      <c r="L2286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87">
      <c r="A2287" s="3" t="inlineStr">
        <is>
          <t>Google</t>
        </is>
      </c>
      <c r="B2287" s="3" t="n">
        <v>2030</v>
      </c>
      <c r="C2287" s="3" t="inlineStr">
        <is>
          <t>Bull</t>
        </is>
      </c>
      <c r="D2287" s="3" t="inlineStr">
        <is>
          <t>h200_share</t>
        </is>
      </c>
      <c r="E2287" s="3" t="n">
        <v>0.002447</v>
      </c>
      <c r="F2287" s="3" t="inlineStr">
        <is>
          <t>share of inference-serving accelerator load</t>
        </is>
      </c>
      <c r="G2287" s="3" t="inlineStr">
        <is>
          <t>Editable numeric scenario</t>
        </is>
      </c>
      <c r="H2287" s="3" t="inlineStr">
        <is>
          <t>h200_share = gpu_share * default_gpu_generation_mix_h200</t>
        </is>
      </c>
      <c r="I2287" s="3" t="inlineStr">
        <is>
          <t>Default GPU-generation migration assumption; executive workbook allows later manual replacement by company/year/scenario.</t>
        </is>
      </c>
      <c r="J2287" s="3" t="inlineStr">
        <is>
          <t>SRC_SEMIANALYSIS_INFERENCEX; ASSUMP_NUMERIC_ACCELERATOR_MIX</t>
        </is>
      </c>
      <c r="K2287" s="3" t="inlineStr">
        <is>
          <t>ASSUMP_TPU_EFFICIENCY; ASSUMP_POWER_RAMP; ASSUMP_NUMERIC_ACCELERATOR_MIX; ASSUMP_INFERENCE_SHARE_NOT_FACT_60; ASSUMP_WORKLOAD_CLASS_MIX; ASSUMP_AGENTIC_CONTEXT_PENALTY</t>
        </is>
      </c>
      <c r="L2287" s="3" t="inlineStr">
        <is>
          <t>Company fleet inventory, accelerator-hours or procurement/deployment records by GPU generation.</t>
        </is>
      </c>
    </row>
    <row r="2288">
      <c r="A2288" s="3" t="inlineStr">
        <is>
          <t>Google</t>
        </is>
      </c>
      <c r="B2288" s="3" t="n">
        <v>2030</v>
      </c>
      <c r="C2288" s="3" t="inlineStr">
        <is>
          <t>Bull</t>
        </is>
      </c>
      <c r="D2288" s="3" t="inlineStr">
        <is>
          <t>b200_share</t>
        </is>
      </c>
      <c r="E2288" s="3" t="n">
        <v>0.081021</v>
      </c>
      <c r="F2288" s="3" t="inlineStr">
        <is>
          <t>share of inference-serving accelerator load</t>
        </is>
      </c>
      <c r="G2288" s="3" t="inlineStr">
        <is>
          <t>Editable numeric scenario</t>
        </is>
      </c>
      <c r="H2288" s="3" t="inlineStr">
        <is>
          <t>b200_share = gpu_share * default_gpu_generation_mix_b200</t>
        </is>
      </c>
      <c r="I2288" s="3" t="inlineStr">
        <is>
          <t>Default GPU-generation migration assumption; executive workbook allows later manual replacement by company/year/scenario.</t>
        </is>
      </c>
      <c r="J2288" s="3" t="inlineStr">
        <is>
          <t>SRC_SEMIANALYSIS_INFERENCEX; ASSUMP_NUMERIC_ACCELERATOR_MIX</t>
        </is>
      </c>
      <c r="K2288" s="3" t="inlineStr">
        <is>
          <t>ASSUMP_TPU_EFFICIENCY; ASSUMP_POWER_RAMP; ASSUMP_NUMERIC_ACCELERATOR_MIX; ASSUMP_INFERENCE_SHARE_NOT_FACT_60; ASSUMP_WORKLOAD_CLASS_MIX; ASSUMP_AGENTIC_CONTEXT_PENALTY</t>
        </is>
      </c>
      <c r="L2288" s="3" t="inlineStr">
        <is>
          <t>Company fleet inventory, accelerator-hours or procurement/deployment records by GPU generation.</t>
        </is>
      </c>
    </row>
    <row r="2289">
      <c r="A2289" s="3" t="inlineStr">
        <is>
          <t>Google</t>
        </is>
      </c>
      <c r="B2289" s="3" t="n">
        <v>2030</v>
      </c>
      <c r="C2289" s="3" t="inlineStr">
        <is>
          <t>Bull</t>
        </is>
      </c>
      <c r="D2289" s="3" t="inlineStr">
        <is>
          <t>gb200_share</t>
        </is>
      </c>
      <c r="E2289" s="3" t="n">
        <v>0.013457</v>
      </c>
      <c r="F2289" s="3" t="inlineStr">
        <is>
          <t>share of inference-serving accelerator load</t>
        </is>
      </c>
      <c r="G2289" s="3" t="inlineStr">
        <is>
          <t>Editable numeric scenario</t>
        </is>
      </c>
      <c r="H2289" s="3" t="inlineStr">
        <is>
          <t>gb200_share = gpu_share * default_gpu_generation_mix_gb200</t>
        </is>
      </c>
      <c r="I2289" s="3" t="inlineStr">
        <is>
          <t>Default GPU-generation migration assumption; executive workbook allows later manual replacement by company/year/scenario.</t>
        </is>
      </c>
      <c r="J2289" s="3" t="inlineStr">
        <is>
          <t>SRC_SEMIANALYSIS_INFERENCEX; ASSUMP_NUMERIC_ACCELERATOR_MIX</t>
        </is>
      </c>
      <c r="K2289" s="3" t="inlineStr">
        <is>
          <t>ASSUMP_TPU_EFFICIENCY; ASSUMP_POWER_RAMP; ASSUMP_NUMERIC_ACCELERATOR_MIX; ASSUMP_INFERENCE_SHARE_NOT_FACT_60; ASSUMP_WORKLOAD_CLASS_MIX; ASSUMP_AGENTIC_CONTEXT_PENALTY</t>
        </is>
      </c>
      <c r="L2289" s="3" t="inlineStr">
        <is>
          <t>Company fleet inventory, accelerator-hours or procurement/deployment records by GPU generation.</t>
        </is>
      </c>
    </row>
    <row r="2290">
      <c r="A2290" s="3" t="inlineStr">
        <is>
          <t>Google</t>
        </is>
      </c>
      <c r="B2290" s="3" t="n">
        <v>2030</v>
      </c>
      <c r="C2290" s="3" t="inlineStr">
        <is>
          <t>Bull</t>
        </is>
      </c>
      <c r="D2290" s="3" t="inlineStr">
        <is>
          <t>purpose_built_accelerator_share</t>
        </is>
      </c>
      <c r="E2290" s="3" t="n">
        <v>0.903075</v>
      </c>
      <c r="F2290" s="3" t="inlineStr">
        <is>
          <t>share of inference-serving accelerator load</t>
        </is>
      </c>
      <c r="G2290" s="3" t="inlineStr">
        <is>
          <t>Numeric scenario</t>
        </is>
      </c>
      <c r="H2290" s="3" t="inlineStr">
        <is>
          <t>1 - gpu_share</t>
        </is>
      </c>
      <c r="I2290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2290" s="3" t="inlineStr">
        <is>
          <t>SRC_GOOGLE_GEMINI_TOKENS; SRC_GOOGLE_IRONWOOD; SRC_GOOGLE_TPU_V6E; SRC_EPOCH_AI_DATA_CENTERS; ASSUMP_NUMERIC_ACCELERATOR_MIX</t>
        </is>
      </c>
      <c r="K2290" s="3" t="inlineStr">
        <is>
          <t>ASSUMP_TPU_EFFICIENCY; ASSUMP_POWER_RAMP; ASSUMP_NUMERIC_ACCELERATOR_MIX; ASSUMP_INFERENCE_SHARE_NOT_FACT_60; ASSUMP_WORKLOAD_CLASS_MIX; ASSUMP_AGENTIC_CONTEXT_PENALTY</t>
        </is>
      </c>
      <c r="L2290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2291">
      <c r="A2291" s="3" t="inlineStr">
        <is>
          <t>Google</t>
        </is>
      </c>
      <c r="B2291" s="3" t="n">
        <v>2030</v>
      </c>
      <c r="C2291" s="3" t="inlineStr">
        <is>
          <t>Bull</t>
        </is>
      </c>
      <c r="D2291" s="3" t="inlineStr">
        <is>
          <t>fleet_reference_tps_per_mw</t>
        </is>
      </c>
      <c r="E2291" s="3" t="n">
        <v>170988</v>
      </c>
      <c r="F2291" s="3" t="inlineStr">
        <is>
          <t>generated output tokens/sec/MW</t>
        </is>
      </c>
      <c r="G2291" s="3" t="inlineStr">
        <is>
          <t>Fleet-weighted public benchmark reference</t>
        </is>
      </c>
      <c r="H2291" s="3" t="inlineStr">
        <is>
          <t>h200_share*h200_workload_avg + b200_share*b200_workload_avg + gb200_share*gb200_workload_avg + purpose_built_share*purpose_workload_avg</t>
        </is>
      </c>
      <c r="I229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291" s="3" t="inlineStr">
        <is>
          <t>SRC_SEMIANALYSIS_INFERENCEX; ASSUMP_NUMERIC_ACCELERATOR_MIX; ASSUMP_WORKLOAD_CLASS_MIX; ASSUMP_AGENTIC_CONTEXT_PENALTY</t>
        </is>
      </c>
      <c r="K2291" s="3" t="inlineStr">
        <is>
          <t>ASSUMP_TPU_EFFICIENCY; ASSUMP_POWER_RAMP; ASSUMP_NUMERIC_ACCELERATOR_MIX; ASSUMP_INFERENCE_SHARE_NOT_FACT_60; ASSUMP_WORKLOAD_CLASS_MIX; ASSUMP_AGENTIC_CONTEXT_PENALTY</t>
        </is>
      </c>
      <c r="L2291" s="3" t="inlineStr">
        <is>
          <t>Comparable production output-token throughput or a more closely matched benchmark.</t>
        </is>
      </c>
    </row>
    <row r="2292">
      <c r="A2292" s="3" t="inlineStr">
        <is>
          <t>Google</t>
        </is>
      </c>
      <c r="B2292" s="3" t="n">
        <v>2030</v>
      </c>
      <c r="C2292" s="3" t="inlineStr">
        <is>
          <t>Bull</t>
        </is>
      </c>
      <c r="D2292" s="3" t="inlineStr">
        <is>
          <t>commercial_workload_fit_factor</t>
        </is>
      </c>
      <c r="E2292" s="3" t="n">
        <v>0.8</v>
      </c>
      <c r="F2292" s="3" t="inlineStr">
        <is>
          <t>share of public reference throughput</t>
        </is>
      </c>
      <c r="G2292" s="3" t="inlineStr">
        <is>
          <t>Scenario assumption</t>
        </is>
      </c>
      <c r="H2292" s="3" t="inlineStr">
        <is>
          <t>reference_serving_tps_per_mw = fleet_reference_tps_per_mw * commercial_workload_fit_factor</t>
        </is>
      </c>
      <c r="I2292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2292" s="3" t="inlineStr">
        <is>
          <t>SRC_SEMIANALYSIS_INFERENCEX; ASSUMP_NUMERIC_ACCELERATOR_MIX; ASSUMP_WORKLOAD_CLASS_MIX; ASSUMP_AGENTIC_CONTEXT_PENALTY</t>
        </is>
      </c>
      <c r="K2292" s="3" t="inlineStr">
        <is>
          <t>ASSUMP_TPU_EFFICIENCY; ASSUMP_POWER_RAMP; ASSUMP_NUMERIC_ACCELERATOR_MIX; ASSUMP_INFERENCE_SHARE_NOT_FACT_60; ASSUMP_WORKLOAD_CLASS_MIX; ASSUMP_AGENTIC_CONTEXT_PENALTY</t>
        </is>
      </c>
      <c r="L2292" s="3" t="inlineStr">
        <is>
          <t>Matched commercial serving benchmark by product surface, context shape and latency SLO.</t>
        </is>
      </c>
    </row>
    <row r="2293">
      <c r="A2293" s="3" t="inlineStr">
        <is>
          <t>Google</t>
        </is>
      </c>
      <c r="B2293" s="3" t="n">
        <v>2030</v>
      </c>
      <c r="C2293" s="3" t="inlineStr">
        <is>
          <t>Bull</t>
        </is>
      </c>
      <c r="D2293" s="3" t="inlineStr">
        <is>
          <t>reference_serving_tps_per_mw</t>
        </is>
      </c>
      <c r="E2293" s="3" t="n">
        <v>136790</v>
      </c>
      <c r="F2293" s="3" t="inlineStr">
        <is>
          <t>generated output tokens/sec/MW</t>
        </is>
      </c>
      <c r="G2293" s="3" t="inlineStr">
        <is>
          <t>Workload-adjusted benchmark proxy</t>
        </is>
      </c>
      <c r="H2293" s="3" t="inlineStr">
        <is>
          <t>fleet_reference_tps_per_mw * commercial_workload_fit_factor</t>
        </is>
      </c>
      <c r="I2293" s="3" t="inlineStr">
        <is>
          <t>This is the coefficient used for headline token generation; each GPU's short chat, long chat and agentic TPS/MW are weighted before fleet mix and commercial fit are applied.</t>
        </is>
      </c>
      <c r="J2293" s="3" t="inlineStr">
        <is>
          <t>SRC_SEMIANALYSIS_INFERENCEX; ASSUMP_NUMERIC_ACCELERATOR_MIX; ASSUMP_WORKLOAD_CLASS_MIX; ASSUMP_AGENTIC_CONTEXT_PENALTY</t>
        </is>
      </c>
      <c r="K2293" s="3" t="inlineStr">
        <is>
          <t>ASSUMP_TPU_EFFICIENCY; ASSUMP_POWER_RAMP; ASSUMP_NUMERIC_ACCELERATOR_MIX; ASSUMP_INFERENCE_SHARE_NOT_FACT_60; ASSUMP_WORKLOAD_CLASS_MIX; ASSUMP_AGENTIC_CONTEXT_PENALTY</t>
        </is>
      </c>
      <c r="L2293" s="3" t="inlineStr">
        <is>
          <t>Provider production output-token throughput with comparable workload/SLO.</t>
        </is>
      </c>
    </row>
    <row r="2294">
      <c r="A2294" s="3" t="inlineStr">
        <is>
          <t>Google</t>
        </is>
      </c>
      <c r="B2294" s="3" t="n">
        <v>2030</v>
      </c>
      <c r="C2294" s="3" t="inlineStr">
        <is>
          <t>Bull</t>
        </is>
      </c>
      <c r="D2294" s="3" t="inlineStr">
        <is>
          <t>purpose_built_tps_per_mw</t>
        </is>
      </c>
      <c r="E2294" s="3" t="n">
        <v>108245</v>
      </c>
      <c r="F2294" s="3" t="inlineStr">
        <is>
          <t>generated output tokens/sec/MW</t>
        </is>
      </c>
      <c r="G2294" s="3" t="inlineStr">
        <is>
          <t>Conservative no-uplift proxy</t>
        </is>
      </c>
      <c r="H2294" s="3" t="inlineStr">
        <is>
          <t>purpose_built_tps_per_mw = purpose_built_reference_tps_per_mw * commercial_workload_fit_factor until comparable output-token benchmark is adopted</t>
        </is>
      </c>
      <c r="I2294" s="3" t="inlineStr">
        <is>
          <t>No comparable public output-token/MW row adopted; B200 public reference placeholder is used and remains editable.</t>
        </is>
      </c>
      <c r="J2294" s="3" t="inlineStr">
        <is>
          <t>SRC_GOOGLE_GEMINI_TOKENS; SRC_GOOGLE_IRONWOOD; SRC_GOOGLE_TPU_V6E; SRC_EPOCH_AI_DATA_CENTERS; ASSUMP_NUMERIC_ACCELERATOR_MIX</t>
        </is>
      </c>
      <c r="K2294" s="3" t="inlineStr">
        <is>
          <t>ASSUMP_TPU_EFFICIENCY; ASSUMP_POWER_RAMP; ASSUMP_NUMERIC_ACCELERATOR_MIX; ASSUMP_INFERENCE_SHARE_NOT_FACT_60; ASSUMP_WORKLOAD_CLASS_MIX; ASSUMP_AGENTIC_CONTEXT_PENALTY</t>
        </is>
      </c>
      <c r="L2294" s="3" t="inlineStr">
        <is>
          <t>Matched-workload generated-output benchmark for the provider purpose-built accelerator.</t>
        </is>
      </c>
    </row>
    <row r="2295">
      <c r="A2295" s="3" t="inlineStr">
        <is>
          <t>Google</t>
        </is>
      </c>
      <c r="B2295" s="3" t="n">
        <v>2030</v>
      </c>
      <c r="C2295" s="3" t="inlineStr">
        <is>
          <t>Bull</t>
        </is>
      </c>
      <c r="D2295" s="3" t="inlineStr">
        <is>
          <t>inference_power_share</t>
        </is>
      </c>
      <c r="E2295" s="3" t="n">
        <v>0.8</v>
      </c>
      <c r="F2295" s="3" t="inlineStr">
        <is>
          <t>share of AI IT load</t>
        </is>
      </c>
      <c r="G2295" s="3" t="inlineStr">
        <is>
          <t>Scenario allocation</t>
        </is>
      </c>
      <c r="H2295" s="3" t="inlineStr">
        <is>
          <t>inference_gw = ai_it_load_gw * inference_power_share</t>
        </is>
      </c>
      <c r="I2295" s="3" t="inlineStr">
        <is>
          <t>Ironwood is positioned for inference and Gemini is commercialized across products; inference share increases as a scenario.</t>
        </is>
      </c>
      <c r="J2295" s="3" t="inlineStr">
        <is>
          <t>SRC_GOOGLE_GEMINI_TOKENS; SRC_GOOGLE_IRONWOOD; SRC_GOOGLE_TPU_V6E; SRC_EPOCH_AI_DATA_CENTERS; ASSUMP_INFERENCE_SHARE_NOT_FACT_60</t>
        </is>
      </c>
      <c r="K2295" s="3" t="inlineStr">
        <is>
          <t>ASSUMP_TPU_EFFICIENCY; ASSUMP_POWER_RAMP; ASSUMP_NUMERIC_ACCELERATOR_MIX; ASSUMP_INFERENCE_SHARE_NOT_FACT_60; ASSUMP_WORKLOAD_CLASS_MIX; ASSUMP_AGENTIC_CONTEXT_PENALTY</t>
        </is>
      </c>
      <c r="L2295" s="3" t="inlineStr">
        <is>
          <t>Provider-specific inference/training workload power telemetry.</t>
        </is>
      </c>
    </row>
    <row r="2296">
      <c r="A2296" s="3" t="inlineStr">
        <is>
          <t>Google</t>
        </is>
      </c>
      <c r="B2296" s="3" t="n">
        <v>2030</v>
      </c>
      <c r="C2296" s="3" t="inlineStr">
        <is>
          <t>Bull</t>
        </is>
      </c>
      <c r="D2296" s="3" t="inlineStr">
        <is>
          <t>inference_gw</t>
        </is>
      </c>
      <c r="E2296" s="3" t="n">
        <v>4.773</v>
      </c>
      <c r="F2296" s="3" t="inlineStr">
        <is>
          <t>GW</t>
        </is>
      </c>
      <c r="G2296" s="3" t="inlineStr">
        <is>
          <t>Derived formula</t>
        </is>
      </c>
      <c r="H2296" s="3" t="inlineStr">
        <is>
          <t>ai_it_load_gw * inference_power_share</t>
        </is>
      </c>
      <c r="I2296" s="3" t="inlineStr">
        <is>
          <t>This is the operational power eligible to become commercial generated output tokens through the selected TPS/MW proxy.</t>
        </is>
      </c>
      <c r="J2296" s="3" t="inlineStr">
        <is>
          <t>SRC_GOOGLE_GEMINI_TOKENS; SRC_GOOGLE_IRONWOOD; SRC_GOOGLE_TPU_V6E; SRC_EPOCH_AI_DATA_CENTERS</t>
        </is>
      </c>
      <c r="K2296" s="3" t="inlineStr">
        <is>
          <t>ASSUMP_TPU_EFFICIENCY; ASSUMP_POWER_RAMP; ASSUMP_NUMERIC_ACCELERATOR_MIX; ASSUMP_INFERENCE_SHARE_NOT_FACT_60; ASSUMP_WORKLOAD_CLASS_MIX; ASSUMP_AGENTIC_CONTEXT_PENALTY</t>
        </is>
      </c>
      <c r="L2296" s="3" t="inlineStr">
        <is>
          <t>Recompute after AI allocation or inference-share evidence changes.</t>
        </is>
      </c>
    </row>
    <row r="2297">
      <c r="A2297" s="3" t="inlineStr">
        <is>
          <t>Google</t>
        </is>
      </c>
      <c r="B2297" s="3" t="n">
        <v>2030</v>
      </c>
      <c r="C2297" s="3" t="inlineStr">
        <is>
          <t>Bull</t>
        </is>
      </c>
      <c r="D2297" s="3" t="inlineStr">
        <is>
          <t>training_power_share</t>
        </is>
      </c>
      <c r="E2297" s="3" t="n">
        <v>0.2</v>
      </c>
      <c r="F2297" s="3" t="inlineStr">
        <is>
          <t>share of AI IT load</t>
        </is>
      </c>
      <c r="G2297" s="3" t="inlineStr">
        <is>
          <t>Derived allocation</t>
        </is>
      </c>
      <c r="H2297" s="3" t="inlineStr">
        <is>
          <t>1 - inference_power_share</t>
        </is>
      </c>
      <c r="I2297" s="3" t="inlineStr">
        <is>
          <t>Training receives the complementary modeled AI IT allocation; it is not a disclosed company workload split.</t>
        </is>
      </c>
      <c r="J2297" s="3" t="inlineStr">
        <is>
          <t>SRC_GOOGLE_GEMINI_TOKENS; SRC_GOOGLE_IRONWOOD; SRC_GOOGLE_TPU_V6E; SRC_EPOCH_AI_DATA_CENTERS; ASSUMP_INFERENCE_SHARE_NOT_FACT_60</t>
        </is>
      </c>
      <c r="K2297" s="3" t="inlineStr">
        <is>
          <t>ASSUMP_TPU_EFFICIENCY; ASSUMP_POWER_RAMP; ASSUMP_NUMERIC_ACCELERATOR_MIX; ASSUMP_INFERENCE_SHARE_NOT_FACT_60; ASSUMP_WORKLOAD_CLASS_MIX; ASSUMP_AGENTIC_CONTEXT_PENALTY</t>
        </is>
      </c>
      <c r="L2297" s="3" t="inlineStr">
        <is>
          <t>Provider-specific inference/training workload power telemetry.</t>
        </is>
      </c>
    </row>
    <row r="2298">
      <c r="A2298" s="3" t="inlineStr">
        <is>
          <t>Google</t>
        </is>
      </c>
      <c r="B2298" s="3" t="n">
        <v>2030</v>
      </c>
      <c r="C2298" s="3" t="inlineStr">
        <is>
          <t>Bull</t>
        </is>
      </c>
      <c r="D2298" s="3" t="inlineStr">
        <is>
          <t>training_gw</t>
        </is>
      </c>
      <c r="E2298" s="3" t="n">
        <v>1.193</v>
      </c>
      <c r="F2298" s="3" t="inlineStr">
        <is>
          <t>GW</t>
        </is>
      </c>
      <c r="G2298" s="3" t="inlineStr">
        <is>
          <t>Derived formula</t>
        </is>
      </c>
      <c r="H2298" s="3" t="inlineStr">
        <is>
          <t>ai_it_load_gw * training_power_share</t>
        </is>
      </c>
      <c r="I2298" s="3" t="inlineStr">
        <is>
          <t>Training GW is shown separately so commercial inference token capacity is not overstated.</t>
        </is>
      </c>
      <c r="J2298" s="3" t="inlineStr">
        <is>
          <t>SRC_GOOGLE_GEMINI_TOKENS; SRC_GOOGLE_IRONWOOD; SRC_GOOGLE_TPU_V6E; SRC_EPOCH_AI_DATA_CENTERS</t>
        </is>
      </c>
      <c r="K2298" s="3" t="inlineStr">
        <is>
          <t>ASSUMP_TPU_EFFICIENCY; ASSUMP_POWER_RAMP; ASSUMP_NUMERIC_ACCELERATOR_MIX; ASSUMP_INFERENCE_SHARE_NOT_FACT_60; ASSUMP_WORKLOAD_CLASS_MIX; ASSUMP_AGENTIC_CONTEXT_PENALTY</t>
        </is>
      </c>
      <c r="L2298" s="3" t="inlineStr">
        <is>
          <t>Recompute after AI allocation or workload-split evidence changes.</t>
        </is>
      </c>
    </row>
    <row r="2299">
      <c r="A2299" s="3" t="inlineStr">
        <is>
          <t>Google</t>
        </is>
      </c>
      <c r="B2299" s="3" t="n">
        <v>2030</v>
      </c>
      <c r="C2299" s="3" t="inlineStr">
        <is>
          <t>Bull</t>
        </is>
      </c>
      <c r="D2299" s="3" t="inlineStr">
        <is>
          <t>tokens_per_second_per_mw</t>
        </is>
      </c>
      <c r="E2299" s="3" t="n">
        <v>136790</v>
      </c>
      <c r="F2299" s="3" t="inlineStr">
        <is>
          <t>generated output tokens/sec/MW</t>
        </is>
      </c>
      <c r="G2299" s="3" t="inlineStr">
        <is>
          <t>Derived estimate + benchmark calibration</t>
        </is>
      </c>
      <c r="H2299" s="3" t="inlineStr">
        <is>
          <t>fleet_reference_tps_per_mw * commercial_workload_fit_factor</t>
        </is>
      </c>
      <c r="I2299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2299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2299" s="3" t="inlineStr">
        <is>
          <t>ASSUMP_TPU_EFFICIENCY; ASSUMP_POWER_RAMP; ASSUMP_NUMERIC_ACCELERATOR_MIX; ASSUMP_INFERENCE_SHARE_NOT_FACT_60; ASSUMP_WORKLOAD_CLASS_MIX; ASSUMP_AGENTIC_CONTEXT_PENALTY</t>
        </is>
      </c>
      <c r="L2299" s="3" t="inlineStr">
        <is>
          <t>Comparable production output-token throughput with model, hardware, precision, ISL/OSL and SLO matched.</t>
        </is>
      </c>
    </row>
    <row r="2300">
      <c r="A2300" s="3" t="inlineStr">
        <is>
          <t>Google</t>
        </is>
      </c>
      <c r="B2300" s="3" t="n">
        <v>2030</v>
      </c>
      <c r="C2300" s="3" t="inlineStr">
        <is>
          <t>Bull</t>
        </is>
      </c>
      <c r="D2300" s="3" t="inlineStr">
        <is>
          <t>inference_tokens_per_day</t>
        </is>
      </c>
      <c r="E2300" s="3" t="n">
        <v>56410445088000</v>
      </c>
      <c r="F2300" s="3" t="inlineStr">
        <is>
          <t>generated output tokens/day</t>
        </is>
      </c>
      <c r="G2300" s="3" t="inlineStr">
        <is>
          <t>Derived headline metric</t>
        </is>
      </c>
      <c r="H2300" s="3" t="inlineStr">
        <is>
          <t>inference_gw * 1000 * tokens_per_second_per_mw * 86,400</t>
        </is>
      </c>
      <c r="I2300" s="3" t="inlineStr">
        <is>
          <t>Headline capacity uses no utilization, MoE, architecture or software-growth multiplier; it is not observed commercial output volume.</t>
        </is>
      </c>
      <c r="J2300" s="3" t="inlineStr">
        <is>
          <t>SRC_GOOGLE_GEMINI_TOKENS; SRC_GOOGLE_IRONWOOD; SRC_GOOGLE_TPU_V6E; SRC_EPOCH_AI_DATA_CENTERS; SRC_SEMIANALYSIS_INFERENCEX</t>
        </is>
      </c>
      <c r="K2300" s="3" t="inlineStr">
        <is>
          <t>ASSUMP_TPU_EFFICIENCY; ASSUMP_POWER_RAMP; ASSUMP_NUMERIC_ACCELERATOR_MIX; ASSUMP_INFERENCE_SHARE_NOT_FACT_60; ASSUMP_WORKLOAD_CLASS_MIX; ASSUMP_AGENTIC_CONTEXT_PENALTY</t>
        </is>
      </c>
      <c r="L2300" s="3" t="inlineStr">
        <is>
          <t>Provider-disclosed generated output token volume or calibrated capacity telemetry.</t>
        </is>
      </c>
    </row>
    <row r="2301">
      <c r="A2301" s="3" t="inlineStr">
        <is>
          <t>Google</t>
        </is>
      </c>
      <c r="B2301" s="3" t="n">
        <v>2030</v>
      </c>
      <c r="C2301" s="3" t="inlineStr">
        <is>
          <t>Bull</t>
        </is>
      </c>
      <c r="D2301" s="3" t="inlineStr">
        <is>
          <t>inference_tokens_per_year</t>
        </is>
      </c>
      <c r="E2301" s="3" t="n">
        <v>2.058981245712e+16</v>
      </c>
      <c r="F2301" s="3" t="inlineStr">
        <is>
          <t>generated output tokens/year</t>
        </is>
      </c>
      <c r="G2301" s="3" t="inlineStr">
        <is>
          <t>Derived headline metric</t>
        </is>
      </c>
      <c r="H2301" s="3" t="inlineStr">
        <is>
          <t>inference_tokens_per_day * 365</t>
        </is>
      </c>
      <c r="I2301" s="3" t="inlineStr">
        <is>
          <t>Annualized version of generated output token capacity; it is not observed annual demand or billable volume.</t>
        </is>
      </c>
      <c r="J2301" s="3" t="inlineStr">
        <is>
          <t>SRC_GOOGLE_GEMINI_TOKENS; SRC_GOOGLE_IRONWOOD; SRC_GOOGLE_TPU_V6E; SRC_EPOCH_AI_DATA_CENTERS; SRC_SEMIANALYSIS_INFERENCEX</t>
        </is>
      </c>
      <c r="K2301" s="3" t="inlineStr">
        <is>
          <t>ASSUMP_TPU_EFFICIENCY; ASSUMP_POWER_RAMP; ASSUMP_NUMERIC_ACCELERATOR_MIX; ASSUMP_INFERENCE_SHARE_NOT_FACT_60; ASSUMP_WORKLOAD_CLASS_MIX; ASSUMP_AGENTIC_CONTEXT_PENALTY</t>
        </is>
      </c>
      <c r="L2301" s="3" t="inlineStr">
        <is>
          <t>Provider-disclosed annual generated-output volume or metered serving telemetry.</t>
        </is>
      </c>
    </row>
    <row r="2302">
      <c r="A2302" s="3" t="inlineStr">
        <is>
          <t>Meta</t>
        </is>
      </c>
      <c r="B2302" s="3" t="n">
        <v>2026</v>
      </c>
      <c r="C2302" s="3" t="inlineStr">
        <is>
          <t>Bull</t>
        </is>
      </c>
      <c r="D2302" s="3" t="inlineStr">
        <is>
          <t>contracted_power_gw</t>
        </is>
      </c>
      <c r="E2302" s="3" t="n">
        <v>3.5</v>
      </c>
      <c r="F2302" s="3" t="inlineStr">
        <is>
          <t>GW</t>
        </is>
      </c>
      <c r="G2302" s="3" t="inlineStr">
        <is>
          <t>Scenario capacity envelope</t>
        </is>
      </c>
      <c r="H2302" s="3" t="inlineStr">
        <is>
          <t>linear interpolation between 2026 and 2030 company capacity endpoints</t>
        </is>
      </c>
      <c r="I2302" s="3" t="inlineStr">
        <is>
          <t>Scenario envelope for Meta AI/Llama serving capacity; not an official contracted-GW figure.</t>
        </is>
      </c>
      <c r="J2302" s="3" t="inlineStr">
        <is>
          <t>ASSUMP_POWER_RAMP; SRC_META_MTIA_GENAI_2026</t>
        </is>
      </c>
      <c r="K2302" s="3" t="inlineStr">
        <is>
          <t>ASSUMP_CONSUMER_AI_UTILIZATION; ASSUMP_POWER_RAMP; ASSUMP_NUMERIC_ACCELERATOR_MIX; ASSUMP_INFERENCE_SHARE_NOT_FACT_60; ASSUMP_WORKLOAD_CLASS_MIX; ASSUMP_AGENTIC_CONTEXT_PENALTY</t>
        </is>
      </c>
      <c r="L2302" s="3" t="inlineStr">
        <is>
          <t>Company/site-level committed MW/GW, interconnect and contract disclosure.</t>
        </is>
      </c>
    </row>
    <row r="2303">
      <c r="A2303" s="3" t="inlineStr">
        <is>
          <t>Meta</t>
        </is>
      </c>
      <c r="B2303" s="3" t="n">
        <v>2026</v>
      </c>
      <c r="C2303" s="3" t="inlineStr">
        <is>
          <t>Bull</t>
        </is>
      </c>
      <c r="D2303" s="3" t="inlineStr">
        <is>
          <t>operational_deployment_share</t>
        </is>
      </c>
      <c r="E2303" s="3" t="n">
        <v>0.48</v>
      </c>
      <c r="F2303" s="3" t="inlineStr">
        <is>
          <t>share</t>
        </is>
      </c>
      <c r="G2303" s="3" t="inlineStr">
        <is>
          <t>Scenario conversion</t>
        </is>
      </c>
      <c r="H2303" s="3" t="inlineStr">
        <is>
          <t>active_power_gw / contracted_power_gw</t>
        </is>
      </c>
      <c r="I2303" s="3" t="inlineStr">
        <is>
          <t>This is the single explicit conversion from contracted/attributed capacity to operationally usable capacity.</t>
        </is>
      </c>
      <c r="J2303" s="3" t="inlineStr">
        <is>
          <t>ASSUMP_POWER_RAMP; SRC_META_MTIA_GENAI_2026</t>
        </is>
      </c>
      <c r="K2303" s="3" t="inlineStr">
        <is>
          <t>ASSUMP_CONSUMER_AI_UTILIZATION; ASSUMP_POWER_RAMP; ASSUMP_NUMERIC_ACCELERATOR_MIX; ASSUMP_INFERENCE_SHARE_NOT_FACT_60; ASSUMP_WORKLOAD_CLASS_MIX; ASSUMP_AGENTIC_CONTEXT_PENALTY</t>
        </is>
      </c>
      <c r="L2303" s="3" t="inlineStr">
        <is>
          <t>Energized operational capacity divided by contracted/attributed capacity.</t>
        </is>
      </c>
    </row>
    <row r="2304">
      <c r="A2304" s="3" t="inlineStr">
        <is>
          <t>Meta</t>
        </is>
      </c>
      <c r="B2304" s="3" t="n">
        <v>2026</v>
      </c>
      <c r="C2304" s="3" t="inlineStr">
        <is>
          <t>Bull</t>
        </is>
      </c>
      <c r="D2304" s="3" t="inlineStr">
        <is>
          <t>active_power_gw</t>
        </is>
      </c>
      <c r="E2304" s="3" t="n">
        <v>1.68</v>
      </c>
      <c r="F2304" s="3" t="inlineStr">
        <is>
          <t>GW</t>
        </is>
      </c>
      <c r="G2304" s="3" t="inlineStr">
        <is>
          <t>Derived scenario</t>
        </is>
      </c>
      <c r="H2304" s="3" t="inlineStr">
        <is>
          <t>contracted_power_gw * operational_deployment_share</t>
        </is>
      </c>
      <c r="I2304" s="3" t="inlineStr">
        <is>
          <t>MTIA deployment direction and consumer product distribution support active ramp, not exact powered GW.</t>
        </is>
      </c>
      <c r="J2304" s="3" t="inlineStr">
        <is>
          <t>ASSUMP_POWER_RAMP; SRC_META_MTIA_GENAI_2026</t>
        </is>
      </c>
      <c r="K2304" s="3" t="inlineStr">
        <is>
          <t>ASSUMP_CONSUMER_AI_UTILIZATION; ASSUMP_POWER_RAMP; ASSUMP_NUMERIC_ACCELERATOR_MIX; ASSUMP_INFERENCE_SHARE_NOT_FACT_60; ASSUMP_WORKLOAD_CLASS_MIX; ASSUMP_AGENTIC_CONTEXT_PENALTY</t>
        </is>
      </c>
      <c r="L2304" s="3" t="inlineStr">
        <is>
          <t>Energization dates, accelerator deliveries and operational powered-rack telemetry.</t>
        </is>
      </c>
    </row>
    <row r="2305">
      <c r="A2305" s="3" t="inlineStr">
        <is>
          <t>Meta</t>
        </is>
      </c>
      <c r="B2305" s="3" t="n">
        <v>2026</v>
      </c>
      <c r="C2305" s="3" t="inlineStr">
        <is>
          <t>Bull</t>
        </is>
      </c>
      <c r="D2305" s="3" t="inlineStr">
        <is>
          <t>pue</t>
        </is>
      </c>
      <c r="E2305" s="3" t="n">
        <v>1.2</v>
      </c>
      <c r="F2305" s="3" t="inlineStr">
        <is>
          <t>ratio</t>
        </is>
      </c>
      <c r="G2305" s="3" t="inlineStr">
        <is>
          <t>Scenario parameter</t>
        </is>
      </c>
      <c r="H2305" s="3" t="inlineStr">
        <is>
          <t>it_load_gw = active_power_gw / pue</t>
        </is>
      </c>
      <c r="I2305" s="3" t="inlineStr">
        <is>
          <t>No provider-wide site-level PUE is used as a disclosed fact; PUE represents facility-to-IT conversion within the scenario.</t>
        </is>
      </c>
      <c r="J2305" s="3" t="inlineStr">
        <is>
          <t>ASSUMP_POWER_RAMP</t>
        </is>
      </c>
      <c r="K2305" s="3" t="inlineStr">
        <is>
          <t>ASSUMP_CONSUMER_AI_UTILIZATION; ASSUMP_POWER_RAMP; ASSUMP_NUMERIC_ACCELERATOR_MIX; ASSUMP_INFERENCE_SHARE_NOT_FACT_60; ASSUMP_WORKLOAD_CLASS_MIX; ASSUMP_AGENTIC_CONTEXT_PENALTY</t>
        </is>
      </c>
      <c r="L2305" s="3" t="inlineStr">
        <is>
          <t>Site-level measured PUE matched to attributed AI capacity.</t>
        </is>
      </c>
    </row>
    <row r="2306">
      <c r="A2306" s="3" t="inlineStr">
        <is>
          <t>Meta</t>
        </is>
      </c>
      <c r="B2306" s="3" t="n">
        <v>2026</v>
      </c>
      <c r="C2306" s="3" t="inlineStr">
        <is>
          <t>Bull</t>
        </is>
      </c>
      <c r="D2306" s="3" t="inlineStr">
        <is>
          <t>it_load_gw</t>
        </is>
      </c>
      <c r="E2306" s="3" t="n">
        <v>1.4</v>
      </c>
      <c r="F2306" s="3" t="inlineStr">
        <is>
          <t>GW</t>
        </is>
      </c>
      <c r="G2306" s="3" t="inlineStr">
        <is>
          <t>Derived formula</t>
        </is>
      </c>
      <c r="H2306" s="3" t="inlineStr">
        <is>
          <t>active_power_gw / pue</t>
        </is>
      </c>
      <c r="I2306" s="3" t="inlineStr">
        <is>
          <t>Facility power is converted to IT-deliverable power before attributing AI workloads.</t>
        </is>
      </c>
      <c r="J2306" s="3" t="inlineStr">
        <is>
          <t>ASSUMP_POWER_RAMP; SRC_META_MTIA_GENAI_2026</t>
        </is>
      </c>
      <c r="K2306" s="3" t="inlineStr">
        <is>
          <t>ASSUMP_CONSUMER_AI_UTILIZATION; ASSUMP_POWER_RAMP; ASSUMP_NUMERIC_ACCELERATOR_MIX; ASSUMP_INFERENCE_SHARE_NOT_FACT_60; ASSUMP_WORKLOAD_CLASS_MIX; ASSUMP_AGENTIC_CONTEXT_PENALTY</t>
        </is>
      </c>
      <c r="L2306" s="3" t="inlineStr">
        <is>
          <t>Recompute once active power and PUE become site-observable.</t>
        </is>
      </c>
    </row>
    <row r="2307">
      <c r="A2307" s="3" t="inlineStr">
        <is>
          <t>Meta</t>
        </is>
      </c>
      <c r="B2307" s="3" t="n">
        <v>2026</v>
      </c>
      <c r="C2307" s="3" t="inlineStr">
        <is>
          <t>Bull</t>
        </is>
      </c>
      <c r="D2307" s="3" t="inlineStr">
        <is>
          <t>ai_workload_share</t>
        </is>
      </c>
      <c r="E2307" s="3" t="n">
        <v>0.87</v>
      </c>
      <c r="F2307" s="3" t="inlineStr">
        <is>
          <t>share</t>
        </is>
      </c>
      <c r="G2307" s="3" t="inlineStr">
        <is>
          <t>Scenario allocation</t>
        </is>
      </c>
      <c r="H2307" s="3" t="inlineStr">
        <is>
          <t>ai_it_load_gw = it_load_gw * ai_workload_share</t>
        </is>
      </c>
      <c r="I2307" s="3" t="inlineStr">
        <is>
          <t>The modeled fleet is focused on AI workloads across Meta AI surfaces; non-LLM ranking/platform overhead is excluded through the 87% share.</t>
        </is>
      </c>
      <c r="J2307" s="3" t="inlineStr">
        <is>
          <t>SRC_META_LLAMA; SRC_META_LLAMA4_NVIDIA; SRC_META_MTIA_GENAI_2026; SRC_EPOCH_AI_DATA_CENTERS</t>
        </is>
      </c>
      <c r="K2307" s="3" t="inlineStr">
        <is>
          <t>ASSUMP_CONSUMER_AI_UTILIZATION; ASSUMP_POWER_RAMP; ASSUMP_NUMERIC_ACCELERATOR_MIX; ASSUMP_INFERENCE_SHARE_NOT_FACT_60; ASSUMP_WORKLOAD_CLASS_MIX; ASSUMP_AGENTIC_CONTEXT_PENALTY</t>
        </is>
      </c>
      <c r="L2307" s="3" t="inlineStr">
        <is>
          <t>Model-owner AI workload allocation or cluster scheduling telemetry.</t>
        </is>
      </c>
    </row>
    <row r="2308">
      <c r="A2308" s="3" t="inlineStr">
        <is>
          <t>Meta</t>
        </is>
      </c>
      <c r="B2308" s="3" t="n">
        <v>2026</v>
      </c>
      <c r="C2308" s="3" t="inlineStr">
        <is>
          <t>Bull</t>
        </is>
      </c>
      <c r="D2308" s="3" t="inlineStr">
        <is>
          <t>ai_it_load_gw</t>
        </is>
      </c>
      <c r="E2308" s="3" t="n">
        <v>1.218</v>
      </c>
      <c r="F2308" s="3" t="inlineStr">
        <is>
          <t>GW</t>
        </is>
      </c>
      <c r="G2308" s="3" t="inlineStr">
        <is>
          <t>Derived formula</t>
        </is>
      </c>
      <c r="H2308" s="3" t="inlineStr">
        <is>
          <t>it_load_gw * ai_workload_share</t>
        </is>
      </c>
      <c r="I2308" s="3" t="inlineStr">
        <is>
          <t>Only the AI-attributed portion of IT load enters training/inference allocation.</t>
        </is>
      </c>
      <c r="J2308" s="3" t="inlineStr">
        <is>
          <t>SRC_META_LLAMA; SRC_META_LLAMA4_NVIDIA; SRC_META_MTIA_GENAI_2026; SRC_EPOCH_AI_DATA_CENTERS</t>
        </is>
      </c>
      <c r="K2308" s="3" t="inlineStr">
        <is>
          <t>ASSUMP_CONSUMER_AI_UTILIZATION; ASSUMP_POWER_RAMP; ASSUMP_NUMERIC_ACCELERATOR_MIX; ASSUMP_INFERENCE_SHARE_NOT_FACT_60; ASSUMP_WORKLOAD_CLASS_MIX; ASSUMP_AGENTIC_CONTEXT_PENALTY</t>
        </is>
      </c>
      <c r="L2308" s="3" t="inlineStr">
        <is>
          <t>Recompute after ai_workload_share is replaced by telemetry.</t>
        </is>
      </c>
    </row>
    <row r="2309">
      <c r="A2309" s="3" t="inlineStr">
        <is>
          <t>Meta</t>
        </is>
      </c>
      <c r="B2309" s="3" t="n">
        <v>2026</v>
      </c>
      <c r="C2309" s="3" t="inlineStr">
        <is>
          <t>Bull</t>
        </is>
      </c>
      <c r="D2309" s="3" t="inlineStr">
        <is>
          <t>gpu_share</t>
        </is>
      </c>
      <c r="E2309" s="3" t="n">
        <v>1</v>
      </c>
      <c r="F2309" s="3" t="inlineStr">
        <is>
          <t>share of inference-serving accelerator load</t>
        </is>
      </c>
      <c r="G2309" s="3" t="inlineStr">
        <is>
          <t>Numeric scenario</t>
        </is>
      </c>
      <c r="H2309" s="3" t="inlineStr">
        <is>
          <t>gpu_share interpolated from company 2026/2030 accelerator-mix endpoints</t>
        </is>
      </c>
      <c r="I2309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09" s="3" t="inlineStr">
        <is>
          <t>SRC_META_LLAMA; SRC_META_LLAMA4_NVIDIA; SRC_META_MTIA_GENAI_2026; SRC_EPOCH_AI_DATA_CENTERS; ASSUMP_NUMERIC_ACCELERATOR_MIX</t>
        </is>
      </c>
      <c r="K2309" s="3" t="inlineStr">
        <is>
          <t>ASSUMP_CONSUMER_AI_UTILIZATION; ASSUMP_POWER_RAMP; ASSUMP_NUMERIC_ACCELERATOR_MIX; ASSUMP_INFERENCE_SHARE_NOT_FACT_60; ASSUMP_WORKLOAD_CLASS_MIX; ASSUMP_AGENTIC_CONTEXT_PENALTY</t>
        </is>
      </c>
      <c r="L2309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10">
      <c r="A2310" s="3" t="inlineStr">
        <is>
          <t>Meta</t>
        </is>
      </c>
      <c r="B2310" s="3" t="n">
        <v>2026</v>
      </c>
      <c r="C2310" s="3" t="inlineStr">
        <is>
          <t>Bull</t>
        </is>
      </c>
      <c r="D2310" s="3" t="inlineStr">
        <is>
          <t>h200_share</t>
        </is>
      </c>
      <c r="E2310" s="3" t="n">
        <v>0</v>
      </c>
      <c r="F2310" s="3" t="inlineStr">
        <is>
          <t>share of inference-serving accelerator load</t>
        </is>
      </c>
      <c r="G2310" s="3" t="inlineStr">
        <is>
          <t>Editable numeric scenario</t>
        </is>
      </c>
      <c r="H2310" s="3" t="inlineStr">
        <is>
          <t>h200_share = gpu_share * default_gpu_generation_mix_h200</t>
        </is>
      </c>
      <c r="I2310" s="3" t="inlineStr">
        <is>
          <t>Default GPU-generation migration assumption; executive workbook allows later manual replacement by company/year/scenario.</t>
        </is>
      </c>
      <c r="J2310" s="3" t="inlineStr">
        <is>
          <t>SRC_SEMIANALYSIS_INFERENCEX; ASSUMP_NUMERIC_ACCELERATOR_MIX</t>
        </is>
      </c>
      <c r="K2310" s="3" t="inlineStr">
        <is>
          <t>ASSUMP_CONSUMER_AI_UTILIZATION; ASSUMP_POWER_RAMP; ASSUMP_NUMERIC_ACCELERATOR_MIX; ASSUMP_INFERENCE_SHARE_NOT_FACT_60; ASSUMP_WORKLOAD_CLASS_MIX; ASSUMP_AGENTIC_CONTEXT_PENALTY</t>
        </is>
      </c>
      <c r="L2310" s="3" t="inlineStr">
        <is>
          <t>Company fleet inventory, accelerator-hours or procurement/deployment records by GPU generation.</t>
        </is>
      </c>
    </row>
    <row r="2311">
      <c r="A2311" s="3" t="inlineStr">
        <is>
          <t>Meta</t>
        </is>
      </c>
      <c r="B2311" s="3" t="n">
        <v>2026</v>
      </c>
      <c r="C2311" s="3" t="inlineStr">
        <is>
          <t>Bull</t>
        </is>
      </c>
      <c r="D2311" s="3" t="inlineStr">
        <is>
          <t>b200_share</t>
        </is>
      </c>
      <c r="E2311" s="3" t="n">
        <v>1</v>
      </c>
      <c r="F2311" s="3" t="inlineStr">
        <is>
          <t>share of inference-serving accelerator load</t>
        </is>
      </c>
      <c r="G2311" s="3" t="inlineStr">
        <is>
          <t>Editable numeric scenario</t>
        </is>
      </c>
      <c r="H2311" s="3" t="inlineStr">
        <is>
          <t>b200_share = gpu_share * default_gpu_generation_mix_b200</t>
        </is>
      </c>
      <c r="I2311" s="3" t="inlineStr">
        <is>
          <t>Default GPU-generation migration assumption; executive workbook allows later manual replacement by company/year/scenario.</t>
        </is>
      </c>
      <c r="J2311" s="3" t="inlineStr">
        <is>
          <t>SRC_SEMIANALYSIS_INFERENCEX; ASSUMP_NUMERIC_ACCELERATOR_MIX</t>
        </is>
      </c>
      <c r="K2311" s="3" t="inlineStr">
        <is>
          <t>ASSUMP_CONSUMER_AI_UTILIZATION; ASSUMP_POWER_RAMP; ASSUMP_NUMERIC_ACCELERATOR_MIX; ASSUMP_INFERENCE_SHARE_NOT_FACT_60; ASSUMP_WORKLOAD_CLASS_MIX; ASSUMP_AGENTIC_CONTEXT_PENALTY</t>
        </is>
      </c>
      <c r="L2311" s="3" t="inlineStr">
        <is>
          <t>Company fleet inventory, accelerator-hours or procurement/deployment records by GPU generation.</t>
        </is>
      </c>
    </row>
    <row r="2312">
      <c r="A2312" s="3" t="inlineStr">
        <is>
          <t>Meta</t>
        </is>
      </c>
      <c r="B2312" s="3" t="n">
        <v>2026</v>
      </c>
      <c r="C2312" s="3" t="inlineStr">
        <is>
          <t>Bull</t>
        </is>
      </c>
      <c r="D2312" s="3" t="inlineStr">
        <is>
          <t>gb200_share</t>
        </is>
      </c>
      <c r="E2312" s="3" t="n">
        <v>0</v>
      </c>
      <c r="F2312" s="3" t="inlineStr">
        <is>
          <t>share of inference-serving accelerator load</t>
        </is>
      </c>
      <c r="G2312" s="3" t="inlineStr">
        <is>
          <t>Editable numeric scenario</t>
        </is>
      </c>
      <c r="H2312" s="3" t="inlineStr">
        <is>
          <t>gb200_share = gpu_share * default_gpu_generation_mix_gb200</t>
        </is>
      </c>
      <c r="I2312" s="3" t="inlineStr">
        <is>
          <t>Default GPU-generation migration assumption; executive workbook allows later manual replacement by company/year/scenario.</t>
        </is>
      </c>
      <c r="J2312" s="3" t="inlineStr">
        <is>
          <t>SRC_SEMIANALYSIS_INFERENCEX; ASSUMP_NUMERIC_ACCELERATOR_MIX</t>
        </is>
      </c>
      <c r="K2312" s="3" t="inlineStr">
        <is>
          <t>ASSUMP_CONSUMER_AI_UTILIZATION; ASSUMP_POWER_RAMP; ASSUMP_NUMERIC_ACCELERATOR_MIX; ASSUMP_INFERENCE_SHARE_NOT_FACT_60; ASSUMP_WORKLOAD_CLASS_MIX; ASSUMP_AGENTIC_CONTEXT_PENALTY</t>
        </is>
      </c>
      <c r="L2312" s="3" t="inlineStr">
        <is>
          <t>Company fleet inventory, accelerator-hours or procurement/deployment records by GPU generation.</t>
        </is>
      </c>
    </row>
    <row r="2313">
      <c r="A2313" s="3" t="inlineStr">
        <is>
          <t>Meta</t>
        </is>
      </c>
      <c r="B2313" s="3" t="n">
        <v>2026</v>
      </c>
      <c r="C2313" s="3" t="inlineStr">
        <is>
          <t>Bull</t>
        </is>
      </c>
      <c r="D2313" s="3" t="inlineStr">
        <is>
          <t>purpose_built_accelerator_share</t>
        </is>
      </c>
      <c r="E2313" s="3" t="n">
        <v>0</v>
      </c>
      <c r="F2313" s="3" t="inlineStr">
        <is>
          <t>share of inference-serving accelerator load</t>
        </is>
      </c>
      <c r="G2313" s="3" t="inlineStr">
        <is>
          <t>Numeric scenario</t>
        </is>
      </c>
      <c r="H2313" s="3" t="inlineStr">
        <is>
          <t>1 - gpu_share</t>
        </is>
      </c>
      <c r="I2313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13" s="3" t="inlineStr">
        <is>
          <t>SRC_META_LLAMA; SRC_META_LLAMA4_NVIDIA; SRC_META_MTIA_GENAI_2026; SRC_EPOCH_AI_DATA_CENTERS; ASSUMP_NUMERIC_ACCELERATOR_MIX</t>
        </is>
      </c>
      <c r="K2313" s="3" t="inlineStr">
        <is>
          <t>ASSUMP_CONSUMER_AI_UTILIZATION; ASSUMP_POWER_RAMP; ASSUMP_NUMERIC_ACCELERATOR_MIX; ASSUMP_INFERENCE_SHARE_NOT_FACT_60; ASSUMP_WORKLOAD_CLASS_MIX; ASSUMP_AGENTIC_CONTEXT_PENALTY</t>
        </is>
      </c>
      <c r="L2313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14">
      <c r="A2314" s="3" t="inlineStr">
        <is>
          <t>Meta</t>
        </is>
      </c>
      <c r="B2314" s="3" t="n">
        <v>2026</v>
      </c>
      <c r="C2314" s="3" t="inlineStr">
        <is>
          <t>Bull</t>
        </is>
      </c>
      <c r="D2314" s="3" t="inlineStr">
        <is>
          <t>fleet_reference_tps_per_mw</t>
        </is>
      </c>
      <c r="E2314" s="3" t="n">
        <v>941060</v>
      </c>
      <c r="F2314" s="3" t="inlineStr">
        <is>
          <t>generated output tokens/sec/MW</t>
        </is>
      </c>
      <c r="G2314" s="3" t="inlineStr">
        <is>
          <t>Fleet-weighted public benchmark reference</t>
        </is>
      </c>
      <c r="H2314" s="3" t="inlineStr">
        <is>
          <t>h200_share*h200_workload_avg + b200_share*b200_workload_avg + gb200_share*gb200_workload_avg + purpose_built_share*purpose_workload_avg</t>
        </is>
      </c>
      <c r="I2314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14" s="3" t="inlineStr">
        <is>
          <t>SRC_SEMIANALYSIS_INFERENCEX; ASSUMP_NUMERIC_ACCELERATOR_MIX; ASSUMP_WORKLOAD_CLASS_MIX; ASSUMP_AGENTIC_CONTEXT_PENALTY</t>
        </is>
      </c>
      <c r="K2314" s="3" t="inlineStr">
        <is>
          <t>ASSUMP_CONSUMER_AI_UTILIZATION; ASSUMP_POWER_RAMP; ASSUMP_NUMERIC_ACCELERATOR_MIX; ASSUMP_INFERENCE_SHARE_NOT_FACT_60; ASSUMP_WORKLOAD_CLASS_MIX; ASSUMP_AGENTIC_CONTEXT_PENALTY</t>
        </is>
      </c>
      <c r="L2314" s="3" t="inlineStr">
        <is>
          <t>Comparable production output-token throughput or a more closely matched benchmark.</t>
        </is>
      </c>
    </row>
    <row r="2315">
      <c r="A2315" s="3" t="inlineStr">
        <is>
          <t>Meta</t>
        </is>
      </c>
      <c r="B2315" s="3" t="n">
        <v>2026</v>
      </c>
      <c r="C2315" s="3" t="inlineStr">
        <is>
          <t>Bull</t>
        </is>
      </c>
      <c r="D2315" s="3" t="inlineStr">
        <is>
          <t>commercial_workload_fit_factor</t>
        </is>
      </c>
      <c r="E2315" s="3" t="n">
        <v>1</v>
      </c>
      <c r="F2315" s="3" t="inlineStr">
        <is>
          <t>share of public reference throughput</t>
        </is>
      </c>
      <c r="G2315" s="3" t="inlineStr">
        <is>
          <t>Scenario assumption</t>
        </is>
      </c>
      <c r="H2315" s="3" t="inlineStr">
        <is>
          <t>reference_serving_tps_per_mw = fleet_reference_tps_per_mw * commercial_workload_fit_factor</t>
        </is>
      </c>
      <c r="I2315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15" s="3" t="inlineStr">
        <is>
          <t>SRC_SEMIANALYSIS_INFERENCEX; ASSUMP_NUMERIC_ACCELERATOR_MIX; ASSUMP_WORKLOAD_CLASS_MIX; ASSUMP_AGENTIC_CONTEXT_PENALTY</t>
        </is>
      </c>
      <c r="K2315" s="3" t="inlineStr">
        <is>
          <t>ASSUMP_CONSUMER_AI_UTILIZATION; ASSUMP_POWER_RAMP; ASSUMP_NUMERIC_ACCELERATOR_MIX; ASSUMP_INFERENCE_SHARE_NOT_FACT_60; ASSUMP_WORKLOAD_CLASS_MIX; ASSUMP_AGENTIC_CONTEXT_PENALTY</t>
        </is>
      </c>
      <c r="L2315" s="3" t="inlineStr">
        <is>
          <t>Matched commercial serving benchmark by product surface, context shape and latency SLO.</t>
        </is>
      </c>
    </row>
    <row r="2316">
      <c r="A2316" s="3" t="inlineStr">
        <is>
          <t>Meta</t>
        </is>
      </c>
      <c r="B2316" s="3" t="n">
        <v>2026</v>
      </c>
      <c r="C2316" s="3" t="inlineStr">
        <is>
          <t>Bull</t>
        </is>
      </c>
      <c r="D2316" s="3" t="inlineStr">
        <is>
          <t>reference_serving_tps_per_mw</t>
        </is>
      </c>
      <c r="E2316" s="3" t="n">
        <v>941060</v>
      </c>
      <c r="F2316" s="3" t="inlineStr">
        <is>
          <t>generated output tokens/sec/MW</t>
        </is>
      </c>
      <c r="G2316" s="3" t="inlineStr">
        <is>
          <t>Workload-adjusted benchmark proxy</t>
        </is>
      </c>
      <c r="H2316" s="3" t="inlineStr">
        <is>
          <t>fleet_reference_tps_per_mw * commercial_workload_fit_factor</t>
        </is>
      </c>
      <c r="I2316" s="3" t="inlineStr">
        <is>
          <t>This is the coefficient used for headline token generation; each GPU's short chat, long chat and agentic TPS/MW are weighted before fleet mix and commercial fit are applied.</t>
        </is>
      </c>
      <c r="J2316" s="3" t="inlineStr">
        <is>
          <t>SRC_SEMIANALYSIS_INFERENCEX; ASSUMP_NUMERIC_ACCELERATOR_MIX; ASSUMP_WORKLOAD_CLASS_MIX; ASSUMP_AGENTIC_CONTEXT_PENALTY</t>
        </is>
      </c>
      <c r="K2316" s="3" t="inlineStr">
        <is>
          <t>ASSUMP_CONSUMER_AI_UTILIZATION; ASSUMP_POWER_RAMP; ASSUMP_NUMERIC_ACCELERATOR_MIX; ASSUMP_INFERENCE_SHARE_NOT_FACT_60; ASSUMP_WORKLOAD_CLASS_MIX; ASSUMP_AGENTIC_CONTEXT_PENALTY</t>
        </is>
      </c>
      <c r="L2316" s="3" t="inlineStr">
        <is>
          <t>Provider production output-token throughput with comparable workload/SLO.</t>
        </is>
      </c>
    </row>
    <row r="2317">
      <c r="A2317" s="3" t="inlineStr">
        <is>
          <t>Meta</t>
        </is>
      </c>
      <c r="B2317" s="3" t="n">
        <v>2026</v>
      </c>
      <c r="C2317" s="3" t="inlineStr">
        <is>
          <t>Bull</t>
        </is>
      </c>
      <c r="D2317" s="3" t="inlineStr">
        <is>
          <t>purpose_built_tps_per_mw</t>
        </is>
      </c>
      <c r="E2317" s="3" t="n">
        <v>1228515</v>
      </c>
      <c r="F2317" s="3" t="inlineStr">
        <is>
          <t>generated output tokens/sec/MW</t>
        </is>
      </c>
      <c r="G2317" s="3" t="inlineStr">
        <is>
          <t>Conservative no-uplift proxy</t>
        </is>
      </c>
      <c r="H2317" s="3" t="inlineStr">
        <is>
          <t>purpose_built_tps_per_mw = purpose_built_reference_tps_per_mw * commercial_workload_fit_factor until comparable output-token benchmark is adopted</t>
        </is>
      </c>
      <c r="I2317" s="3" t="inlineStr">
        <is>
          <t>No comparable public output-token/MW row adopted; B200 public reference placeholder is used and remains editable.</t>
        </is>
      </c>
      <c r="J2317" s="3" t="inlineStr">
        <is>
          <t>SRC_META_LLAMA; SRC_META_LLAMA4_NVIDIA; SRC_META_MTIA_GENAI_2026; SRC_EPOCH_AI_DATA_CENTERS; ASSUMP_NUMERIC_ACCELERATOR_MIX</t>
        </is>
      </c>
      <c r="K2317" s="3" t="inlineStr">
        <is>
          <t>ASSUMP_CONSUMER_AI_UTILIZATION; ASSUMP_POWER_RAMP; ASSUMP_NUMERIC_ACCELERATOR_MIX; ASSUMP_INFERENCE_SHARE_NOT_FACT_60; ASSUMP_WORKLOAD_CLASS_MIX; ASSUMP_AGENTIC_CONTEXT_PENALTY</t>
        </is>
      </c>
      <c r="L2317" s="3" t="inlineStr">
        <is>
          <t>Matched-workload generated-output benchmark for the provider purpose-built accelerator.</t>
        </is>
      </c>
    </row>
    <row r="2318">
      <c r="A2318" s="3" t="inlineStr">
        <is>
          <t>Meta</t>
        </is>
      </c>
      <c r="B2318" s="3" t="n">
        <v>2026</v>
      </c>
      <c r="C2318" s="3" t="inlineStr">
        <is>
          <t>Bull</t>
        </is>
      </c>
      <c r="D2318" s="3" t="inlineStr">
        <is>
          <t>inference_power_share</t>
        </is>
      </c>
      <c r="E2318" s="3" t="n">
        <v>0.63</v>
      </c>
      <c r="F2318" s="3" t="inlineStr">
        <is>
          <t>share of AI IT load</t>
        </is>
      </c>
      <c r="G2318" s="3" t="inlineStr">
        <is>
          <t>Scenario allocation</t>
        </is>
      </c>
      <c r="H2318" s="3" t="inlineStr">
        <is>
          <t>inference_gw = ai_it_load_gw * inference_power_share</t>
        </is>
      </c>
      <c r="I2318" s="3" t="inlineStr">
        <is>
          <t>Large consumer AI distribution and inference-first MTIA roadmap support a higher inference share scenario.</t>
        </is>
      </c>
      <c r="J2318" s="3" t="inlineStr">
        <is>
          <t>SRC_META_LLAMA; SRC_META_LLAMA4_NVIDIA; SRC_META_MTIA_GENAI_2026; SRC_EPOCH_AI_DATA_CENTERS; ASSUMP_INFERENCE_SHARE_NOT_FACT_60</t>
        </is>
      </c>
      <c r="K2318" s="3" t="inlineStr">
        <is>
          <t>ASSUMP_CONSUMER_AI_UTILIZATION; ASSUMP_POWER_RAMP; ASSUMP_NUMERIC_ACCELERATOR_MIX; ASSUMP_INFERENCE_SHARE_NOT_FACT_60; ASSUMP_WORKLOAD_CLASS_MIX; ASSUMP_AGENTIC_CONTEXT_PENALTY</t>
        </is>
      </c>
      <c r="L2318" s="3" t="inlineStr">
        <is>
          <t>Provider-specific inference/training workload power telemetry.</t>
        </is>
      </c>
    </row>
    <row r="2319">
      <c r="A2319" s="3" t="inlineStr">
        <is>
          <t>Meta</t>
        </is>
      </c>
      <c r="B2319" s="3" t="n">
        <v>2026</v>
      </c>
      <c r="C2319" s="3" t="inlineStr">
        <is>
          <t>Bull</t>
        </is>
      </c>
      <c r="D2319" s="3" t="inlineStr">
        <is>
          <t>inference_gw</t>
        </is>
      </c>
      <c r="E2319" s="3" t="n">
        <v>0.767</v>
      </c>
      <c r="F2319" s="3" t="inlineStr">
        <is>
          <t>GW</t>
        </is>
      </c>
      <c r="G2319" s="3" t="inlineStr">
        <is>
          <t>Derived formula</t>
        </is>
      </c>
      <c r="H2319" s="3" t="inlineStr">
        <is>
          <t>ai_it_load_gw * inference_power_share</t>
        </is>
      </c>
      <c r="I2319" s="3" t="inlineStr">
        <is>
          <t>This is the operational power eligible to become commercial generated output tokens through the selected TPS/MW proxy.</t>
        </is>
      </c>
      <c r="J2319" s="3" t="inlineStr">
        <is>
          <t>SRC_META_LLAMA; SRC_META_LLAMA4_NVIDIA; SRC_META_MTIA_GENAI_2026; SRC_EPOCH_AI_DATA_CENTERS</t>
        </is>
      </c>
      <c r="K2319" s="3" t="inlineStr">
        <is>
          <t>ASSUMP_CONSUMER_AI_UTILIZATION; ASSUMP_POWER_RAMP; ASSUMP_NUMERIC_ACCELERATOR_MIX; ASSUMP_INFERENCE_SHARE_NOT_FACT_60; ASSUMP_WORKLOAD_CLASS_MIX; ASSUMP_AGENTIC_CONTEXT_PENALTY</t>
        </is>
      </c>
      <c r="L2319" s="3" t="inlineStr">
        <is>
          <t>Recompute after AI allocation or inference-share evidence changes.</t>
        </is>
      </c>
    </row>
    <row r="2320">
      <c r="A2320" s="3" t="inlineStr">
        <is>
          <t>Meta</t>
        </is>
      </c>
      <c r="B2320" s="3" t="n">
        <v>2026</v>
      </c>
      <c r="C2320" s="3" t="inlineStr">
        <is>
          <t>Bull</t>
        </is>
      </c>
      <c r="D2320" s="3" t="inlineStr">
        <is>
          <t>training_power_share</t>
        </is>
      </c>
      <c r="E2320" s="3" t="n">
        <v>0.37</v>
      </c>
      <c r="F2320" s="3" t="inlineStr">
        <is>
          <t>share of AI IT load</t>
        </is>
      </c>
      <c r="G2320" s="3" t="inlineStr">
        <is>
          <t>Derived allocation</t>
        </is>
      </c>
      <c r="H2320" s="3" t="inlineStr">
        <is>
          <t>1 - inference_power_share</t>
        </is>
      </c>
      <c r="I2320" s="3" t="inlineStr">
        <is>
          <t>Training receives the complementary modeled AI IT allocation; it is not a disclosed company workload split.</t>
        </is>
      </c>
      <c r="J2320" s="3" t="inlineStr">
        <is>
          <t>SRC_META_LLAMA; SRC_META_LLAMA4_NVIDIA; SRC_META_MTIA_GENAI_2026; SRC_EPOCH_AI_DATA_CENTERS; ASSUMP_INFERENCE_SHARE_NOT_FACT_60</t>
        </is>
      </c>
      <c r="K2320" s="3" t="inlineStr">
        <is>
          <t>ASSUMP_CONSUMER_AI_UTILIZATION; ASSUMP_POWER_RAMP; ASSUMP_NUMERIC_ACCELERATOR_MIX; ASSUMP_INFERENCE_SHARE_NOT_FACT_60; ASSUMP_WORKLOAD_CLASS_MIX; ASSUMP_AGENTIC_CONTEXT_PENALTY</t>
        </is>
      </c>
      <c r="L2320" s="3" t="inlineStr">
        <is>
          <t>Provider-specific inference/training workload power telemetry.</t>
        </is>
      </c>
    </row>
    <row r="2321">
      <c r="A2321" s="3" t="inlineStr">
        <is>
          <t>Meta</t>
        </is>
      </c>
      <c r="B2321" s="3" t="n">
        <v>2026</v>
      </c>
      <c r="C2321" s="3" t="inlineStr">
        <is>
          <t>Bull</t>
        </is>
      </c>
      <c r="D2321" s="3" t="inlineStr">
        <is>
          <t>training_gw</t>
        </is>
      </c>
      <c r="E2321" s="3" t="n">
        <v>0.451</v>
      </c>
      <c r="F2321" s="3" t="inlineStr">
        <is>
          <t>GW</t>
        </is>
      </c>
      <c r="G2321" s="3" t="inlineStr">
        <is>
          <t>Derived formula</t>
        </is>
      </c>
      <c r="H2321" s="3" t="inlineStr">
        <is>
          <t>ai_it_load_gw * training_power_share</t>
        </is>
      </c>
      <c r="I2321" s="3" t="inlineStr">
        <is>
          <t>Training GW is shown separately so commercial inference token capacity is not overstated.</t>
        </is>
      </c>
      <c r="J2321" s="3" t="inlineStr">
        <is>
          <t>SRC_META_LLAMA; SRC_META_LLAMA4_NVIDIA; SRC_META_MTIA_GENAI_2026; SRC_EPOCH_AI_DATA_CENTERS</t>
        </is>
      </c>
      <c r="K2321" s="3" t="inlineStr">
        <is>
          <t>ASSUMP_CONSUMER_AI_UTILIZATION; ASSUMP_POWER_RAMP; ASSUMP_NUMERIC_ACCELERATOR_MIX; ASSUMP_INFERENCE_SHARE_NOT_FACT_60; ASSUMP_WORKLOAD_CLASS_MIX; ASSUMP_AGENTIC_CONTEXT_PENALTY</t>
        </is>
      </c>
      <c r="L2321" s="3" t="inlineStr">
        <is>
          <t>Recompute after AI allocation or workload-split evidence changes.</t>
        </is>
      </c>
    </row>
    <row r="2322">
      <c r="A2322" s="3" t="inlineStr">
        <is>
          <t>Meta</t>
        </is>
      </c>
      <c r="B2322" s="3" t="n">
        <v>2026</v>
      </c>
      <c r="C2322" s="3" t="inlineStr">
        <is>
          <t>Bull</t>
        </is>
      </c>
      <c r="D2322" s="3" t="inlineStr">
        <is>
          <t>tokens_per_second_per_mw</t>
        </is>
      </c>
      <c r="E2322" s="3" t="n">
        <v>941060</v>
      </c>
      <c r="F2322" s="3" t="inlineStr">
        <is>
          <t>generated output tokens/sec/MW</t>
        </is>
      </c>
      <c r="G2322" s="3" t="inlineStr">
        <is>
          <t>Derived estimate + benchmark calibration</t>
        </is>
      </c>
      <c r="H2322" s="3" t="inlineStr">
        <is>
          <t>fleet_reference_tps_per_mw * commercial_workload_fit_factor</t>
        </is>
      </c>
      <c r="I2322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22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22" s="3" t="inlineStr">
        <is>
          <t>ASSUMP_CONSUMER_AI_UTILIZATION; ASSUMP_POWER_RAMP; ASSUMP_NUMERIC_ACCELERATOR_MIX; ASSUMP_INFERENCE_SHARE_NOT_FACT_60; ASSUMP_WORKLOAD_CLASS_MIX; ASSUMP_AGENTIC_CONTEXT_PENALTY</t>
        </is>
      </c>
      <c r="L2322" s="3" t="inlineStr">
        <is>
          <t>Comparable production output-token throughput with model, hardware, precision, ISL/OSL and SLO matched.</t>
        </is>
      </c>
    </row>
    <row r="2323">
      <c r="A2323" s="3" t="inlineStr">
        <is>
          <t>Meta</t>
        </is>
      </c>
      <c r="B2323" s="3" t="n">
        <v>2026</v>
      </c>
      <c r="C2323" s="3" t="inlineStr">
        <is>
          <t>Bull</t>
        </is>
      </c>
      <c r="D2323" s="3" t="inlineStr">
        <is>
          <t>inference_tokens_per_day</t>
        </is>
      </c>
      <c r="E2323" s="3" t="n">
        <v>62362916928000</v>
      </c>
      <c r="F2323" s="3" t="inlineStr">
        <is>
          <t>generated output tokens/day</t>
        </is>
      </c>
      <c r="G2323" s="3" t="inlineStr">
        <is>
          <t>Derived headline metric</t>
        </is>
      </c>
      <c r="H2323" s="3" t="inlineStr">
        <is>
          <t>inference_gw * 1000 * tokens_per_second_per_mw * 86,400</t>
        </is>
      </c>
      <c r="I2323" s="3" t="inlineStr">
        <is>
          <t>Headline capacity uses no utilization, MoE, architecture or software-growth multiplier; it is not observed commercial output volume.</t>
        </is>
      </c>
      <c r="J2323" s="3" t="inlineStr">
        <is>
          <t>SRC_META_LLAMA; SRC_META_LLAMA4_NVIDIA; SRC_META_MTIA_GENAI_2026; SRC_EPOCH_AI_DATA_CENTERS; SRC_SEMIANALYSIS_INFERENCEX</t>
        </is>
      </c>
      <c r="K2323" s="3" t="inlineStr">
        <is>
          <t>ASSUMP_CONSUMER_AI_UTILIZATION; ASSUMP_POWER_RAMP; ASSUMP_NUMERIC_ACCELERATOR_MIX; ASSUMP_INFERENCE_SHARE_NOT_FACT_60; ASSUMP_WORKLOAD_CLASS_MIX; ASSUMP_AGENTIC_CONTEXT_PENALTY</t>
        </is>
      </c>
      <c r="L2323" s="3" t="inlineStr">
        <is>
          <t>Provider-disclosed generated output token volume or calibrated capacity telemetry.</t>
        </is>
      </c>
    </row>
    <row r="2324">
      <c r="A2324" s="3" t="inlineStr">
        <is>
          <t>Meta</t>
        </is>
      </c>
      <c r="B2324" s="3" t="n">
        <v>2026</v>
      </c>
      <c r="C2324" s="3" t="inlineStr">
        <is>
          <t>Bull</t>
        </is>
      </c>
      <c r="D2324" s="3" t="inlineStr">
        <is>
          <t>inference_tokens_per_year</t>
        </is>
      </c>
      <c r="E2324" s="3" t="n">
        <v>2.276246467872e+16</v>
      </c>
      <c r="F2324" s="3" t="inlineStr">
        <is>
          <t>generated output tokens/year</t>
        </is>
      </c>
      <c r="G2324" s="3" t="inlineStr">
        <is>
          <t>Derived headline metric</t>
        </is>
      </c>
      <c r="H2324" s="3" t="inlineStr">
        <is>
          <t>inference_tokens_per_day * 365</t>
        </is>
      </c>
      <c r="I2324" s="3" t="inlineStr">
        <is>
          <t>Annualized version of generated output token capacity; it is not observed annual demand or billable volume.</t>
        </is>
      </c>
      <c r="J2324" s="3" t="inlineStr">
        <is>
          <t>SRC_META_LLAMA; SRC_META_LLAMA4_NVIDIA; SRC_META_MTIA_GENAI_2026; SRC_EPOCH_AI_DATA_CENTERS; SRC_SEMIANALYSIS_INFERENCEX</t>
        </is>
      </c>
      <c r="K2324" s="3" t="inlineStr">
        <is>
          <t>ASSUMP_CONSUMER_AI_UTILIZATION; ASSUMP_POWER_RAMP; ASSUMP_NUMERIC_ACCELERATOR_MIX; ASSUMP_INFERENCE_SHARE_NOT_FACT_60; ASSUMP_WORKLOAD_CLASS_MIX; ASSUMP_AGENTIC_CONTEXT_PENALTY</t>
        </is>
      </c>
      <c r="L2324" s="3" t="inlineStr">
        <is>
          <t>Provider-disclosed annual generated-output volume or metered serving telemetry.</t>
        </is>
      </c>
    </row>
    <row r="2325">
      <c r="A2325" s="3" t="inlineStr">
        <is>
          <t>Meta</t>
        </is>
      </c>
      <c r="B2325" s="3" t="n">
        <v>2027</v>
      </c>
      <c r="C2325" s="3" t="inlineStr">
        <is>
          <t>Bull</t>
        </is>
      </c>
      <c r="D2325" s="3" t="inlineStr">
        <is>
          <t>contracted_power_gw</t>
        </is>
      </c>
      <c r="E2325" s="3" t="n">
        <v>4.375</v>
      </c>
      <c r="F2325" s="3" t="inlineStr">
        <is>
          <t>GW</t>
        </is>
      </c>
      <c r="G2325" s="3" t="inlineStr">
        <is>
          <t>Scenario capacity envelope</t>
        </is>
      </c>
      <c r="H2325" s="3" t="inlineStr">
        <is>
          <t>linear interpolation between 2026 and 2030 company capacity endpoints</t>
        </is>
      </c>
      <c r="I2325" s="3" t="inlineStr">
        <is>
          <t>Scenario envelope for Meta AI/Llama serving capacity; not an official contracted-GW figure.</t>
        </is>
      </c>
      <c r="J2325" s="3" t="inlineStr">
        <is>
          <t>ASSUMP_POWER_RAMP; SRC_META_MTIA_GENAI_2026</t>
        </is>
      </c>
      <c r="K2325" s="3" t="inlineStr">
        <is>
          <t>ASSUMP_CONSUMER_AI_UTILIZATION; ASSUMP_POWER_RAMP; ASSUMP_NUMERIC_ACCELERATOR_MIX; ASSUMP_INFERENCE_SHARE_NOT_FACT_60; ASSUMP_WORKLOAD_CLASS_MIX; ASSUMP_AGENTIC_CONTEXT_PENALTY</t>
        </is>
      </c>
      <c r="L2325" s="3" t="inlineStr">
        <is>
          <t>Company/site-level committed MW/GW, interconnect and contract disclosure.</t>
        </is>
      </c>
    </row>
    <row r="2326">
      <c r="A2326" s="3" t="inlineStr">
        <is>
          <t>Meta</t>
        </is>
      </c>
      <c r="B2326" s="3" t="n">
        <v>2027</v>
      </c>
      <c r="C2326" s="3" t="inlineStr">
        <is>
          <t>Bull</t>
        </is>
      </c>
      <c r="D2326" s="3" t="inlineStr">
        <is>
          <t>operational_deployment_share</t>
        </is>
      </c>
      <c r="E2326" s="3" t="n">
        <v>0.65577143</v>
      </c>
      <c r="F2326" s="3" t="inlineStr">
        <is>
          <t>share</t>
        </is>
      </c>
      <c r="G2326" s="3" t="inlineStr">
        <is>
          <t>Scenario conversion</t>
        </is>
      </c>
      <c r="H2326" s="3" t="inlineStr">
        <is>
          <t>active_power_gw / contracted_power_gw</t>
        </is>
      </c>
      <c r="I2326" s="3" t="inlineStr">
        <is>
          <t>This is the single explicit conversion from contracted/attributed capacity to operationally usable capacity.</t>
        </is>
      </c>
      <c r="J2326" s="3" t="inlineStr">
        <is>
          <t>ASSUMP_POWER_RAMP; SRC_META_MTIA_GENAI_2026</t>
        </is>
      </c>
      <c r="K2326" s="3" t="inlineStr">
        <is>
          <t>ASSUMP_CONSUMER_AI_UTILIZATION; ASSUMP_POWER_RAMP; ASSUMP_NUMERIC_ACCELERATOR_MIX; ASSUMP_INFERENCE_SHARE_NOT_FACT_60; ASSUMP_WORKLOAD_CLASS_MIX; ASSUMP_AGENTIC_CONTEXT_PENALTY</t>
        </is>
      </c>
      <c r="L2326" s="3" t="inlineStr">
        <is>
          <t>Energized operational capacity divided by contracted/attributed capacity.</t>
        </is>
      </c>
    </row>
    <row r="2327">
      <c r="A2327" s="3" t="inlineStr">
        <is>
          <t>Meta</t>
        </is>
      </c>
      <c r="B2327" s="3" t="n">
        <v>2027</v>
      </c>
      <c r="C2327" s="3" t="inlineStr">
        <is>
          <t>Bull</t>
        </is>
      </c>
      <c r="D2327" s="3" t="inlineStr">
        <is>
          <t>active_power_gw</t>
        </is>
      </c>
      <c r="E2327" s="3" t="n">
        <v>2.869</v>
      </c>
      <c r="F2327" s="3" t="inlineStr">
        <is>
          <t>GW</t>
        </is>
      </c>
      <c r="G2327" s="3" t="inlineStr">
        <is>
          <t>Derived scenario</t>
        </is>
      </c>
      <c r="H2327" s="3" t="inlineStr">
        <is>
          <t>contracted_power_gw * operational_deployment_share</t>
        </is>
      </c>
      <c r="I2327" s="3" t="inlineStr">
        <is>
          <t>MTIA deployment direction and consumer product distribution support active ramp, not exact powered GW.</t>
        </is>
      </c>
      <c r="J2327" s="3" t="inlineStr">
        <is>
          <t>ASSUMP_POWER_RAMP; SRC_META_MTIA_GENAI_2026</t>
        </is>
      </c>
      <c r="K2327" s="3" t="inlineStr">
        <is>
          <t>ASSUMP_CONSUMER_AI_UTILIZATION; ASSUMP_POWER_RAMP; ASSUMP_NUMERIC_ACCELERATOR_MIX; ASSUMP_INFERENCE_SHARE_NOT_FACT_60; ASSUMP_WORKLOAD_CLASS_MIX; ASSUMP_AGENTIC_CONTEXT_PENALTY</t>
        </is>
      </c>
      <c r="L2327" s="3" t="inlineStr">
        <is>
          <t>Energization dates, accelerator deliveries and operational powered-rack telemetry.</t>
        </is>
      </c>
    </row>
    <row r="2328">
      <c r="A2328" s="3" t="inlineStr">
        <is>
          <t>Meta</t>
        </is>
      </c>
      <c r="B2328" s="3" t="n">
        <v>2027</v>
      </c>
      <c r="C2328" s="3" t="inlineStr">
        <is>
          <t>Bull</t>
        </is>
      </c>
      <c r="D2328" s="3" t="inlineStr">
        <is>
          <t>pue</t>
        </is>
      </c>
      <c r="E2328" s="3" t="n">
        <v>1.2</v>
      </c>
      <c r="F2328" s="3" t="inlineStr">
        <is>
          <t>ratio</t>
        </is>
      </c>
      <c r="G2328" s="3" t="inlineStr">
        <is>
          <t>Scenario parameter</t>
        </is>
      </c>
      <c r="H2328" s="3" t="inlineStr">
        <is>
          <t>it_load_gw = active_power_gw / pue</t>
        </is>
      </c>
      <c r="I2328" s="3" t="inlineStr">
        <is>
          <t>No provider-wide site-level PUE is used as a disclosed fact; PUE represents facility-to-IT conversion within the scenario.</t>
        </is>
      </c>
      <c r="J2328" s="3" t="inlineStr">
        <is>
          <t>ASSUMP_POWER_RAMP</t>
        </is>
      </c>
      <c r="K2328" s="3" t="inlineStr">
        <is>
          <t>ASSUMP_CONSUMER_AI_UTILIZATION; ASSUMP_POWER_RAMP; ASSUMP_NUMERIC_ACCELERATOR_MIX; ASSUMP_INFERENCE_SHARE_NOT_FACT_60; ASSUMP_WORKLOAD_CLASS_MIX; ASSUMP_AGENTIC_CONTEXT_PENALTY</t>
        </is>
      </c>
      <c r="L2328" s="3" t="inlineStr">
        <is>
          <t>Site-level measured PUE matched to attributed AI capacity.</t>
        </is>
      </c>
    </row>
    <row r="2329">
      <c r="A2329" s="3" t="inlineStr">
        <is>
          <t>Meta</t>
        </is>
      </c>
      <c r="B2329" s="3" t="n">
        <v>2027</v>
      </c>
      <c r="C2329" s="3" t="inlineStr">
        <is>
          <t>Bull</t>
        </is>
      </c>
      <c r="D2329" s="3" t="inlineStr">
        <is>
          <t>it_load_gw</t>
        </is>
      </c>
      <c r="E2329" s="3" t="n">
        <v>2.391</v>
      </c>
      <c r="F2329" s="3" t="inlineStr">
        <is>
          <t>GW</t>
        </is>
      </c>
      <c r="G2329" s="3" t="inlineStr">
        <is>
          <t>Derived formula</t>
        </is>
      </c>
      <c r="H2329" s="3" t="inlineStr">
        <is>
          <t>active_power_gw / pue</t>
        </is>
      </c>
      <c r="I2329" s="3" t="inlineStr">
        <is>
          <t>Facility power is converted to IT-deliverable power before attributing AI workloads.</t>
        </is>
      </c>
      <c r="J2329" s="3" t="inlineStr">
        <is>
          <t>ASSUMP_POWER_RAMP; SRC_META_MTIA_GENAI_2026</t>
        </is>
      </c>
      <c r="K2329" s="3" t="inlineStr">
        <is>
          <t>ASSUMP_CONSUMER_AI_UTILIZATION; ASSUMP_POWER_RAMP; ASSUMP_NUMERIC_ACCELERATOR_MIX; ASSUMP_INFERENCE_SHARE_NOT_FACT_60; ASSUMP_WORKLOAD_CLASS_MIX; ASSUMP_AGENTIC_CONTEXT_PENALTY</t>
        </is>
      </c>
      <c r="L2329" s="3" t="inlineStr">
        <is>
          <t>Recompute once active power and PUE become site-observable.</t>
        </is>
      </c>
    </row>
    <row r="2330">
      <c r="A2330" s="3" t="inlineStr">
        <is>
          <t>Meta</t>
        </is>
      </c>
      <c r="B2330" s="3" t="n">
        <v>2027</v>
      </c>
      <c r="C2330" s="3" t="inlineStr">
        <is>
          <t>Bull</t>
        </is>
      </c>
      <c r="D2330" s="3" t="inlineStr">
        <is>
          <t>ai_workload_share</t>
        </is>
      </c>
      <c r="E2330" s="3" t="n">
        <v>0.87</v>
      </c>
      <c r="F2330" s="3" t="inlineStr">
        <is>
          <t>share</t>
        </is>
      </c>
      <c r="G2330" s="3" t="inlineStr">
        <is>
          <t>Scenario allocation</t>
        </is>
      </c>
      <c r="H2330" s="3" t="inlineStr">
        <is>
          <t>ai_it_load_gw = it_load_gw * ai_workload_share</t>
        </is>
      </c>
      <c r="I2330" s="3" t="inlineStr">
        <is>
          <t>The modeled fleet is focused on AI workloads across Meta AI surfaces; non-LLM ranking/platform overhead is excluded through the 87% share.</t>
        </is>
      </c>
      <c r="J2330" s="3" t="inlineStr">
        <is>
          <t>SRC_META_LLAMA; SRC_META_LLAMA4_NVIDIA; SRC_META_MTIA_GENAI_2026; SRC_EPOCH_AI_DATA_CENTERS</t>
        </is>
      </c>
      <c r="K2330" s="3" t="inlineStr">
        <is>
          <t>ASSUMP_CONSUMER_AI_UTILIZATION; ASSUMP_POWER_RAMP; ASSUMP_NUMERIC_ACCELERATOR_MIX; ASSUMP_INFERENCE_SHARE_NOT_FACT_60; ASSUMP_WORKLOAD_CLASS_MIX; ASSUMP_AGENTIC_CONTEXT_PENALTY</t>
        </is>
      </c>
      <c r="L2330" s="3" t="inlineStr">
        <is>
          <t>Model-owner AI workload allocation or cluster scheduling telemetry.</t>
        </is>
      </c>
    </row>
    <row r="2331">
      <c r="A2331" s="3" t="inlineStr">
        <is>
          <t>Meta</t>
        </is>
      </c>
      <c r="B2331" s="3" t="n">
        <v>2027</v>
      </c>
      <c r="C2331" s="3" t="inlineStr">
        <is>
          <t>Bull</t>
        </is>
      </c>
      <c r="D2331" s="3" t="inlineStr">
        <is>
          <t>ai_it_load_gw</t>
        </is>
      </c>
      <c r="E2331" s="3" t="n">
        <v>2.08</v>
      </c>
      <c r="F2331" s="3" t="inlineStr">
        <is>
          <t>GW</t>
        </is>
      </c>
      <c r="G2331" s="3" t="inlineStr">
        <is>
          <t>Derived formula</t>
        </is>
      </c>
      <c r="H2331" s="3" t="inlineStr">
        <is>
          <t>it_load_gw * ai_workload_share</t>
        </is>
      </c>
      <c r="I2331" s="3" t="inlineStr">
        <is>
          <t>Only the AI-attributed portion of IT load enters training/inference allocation.</t>
        </is>
      </c>
      <c r="J2331" s="3" t="inlineStr">
        <is>
          <t>SRC_META_LLAMA; SRC_META_LLAMA4_NVIDIA; SRC_META_MTIA_GENAI_2026; SRC_EPOCH_AI_DATA_CENTERS</t>
        </is>
      </c>
      <c r="K2331" s="3" t="inlineStr">
        <is>
          <t>ASSUMP_CONSUMER_AI_UTILIZATION; ASSUMP_POWER_RAMP; ASSUMP_NUMERIC_ACCELERATOR_MIX; ASSUMP_INFERENCE_SHARE_NOT_FACT_60; ASSUMP_WORKLOAD_CLASS_MIX; ASSUMP_AGENTIC_CONTEXT_PENALTY</t>
        </is>
      </c>
      <c r="L2331" s="3" t="inlineStr">
        <is>
          <t>Recompute after ai_workload_share is replaced by telemetry.</t>
        </is>
      </c>
    </row>
    <row r="2332">
      <c r="A2332" s="3" t="inlineStr">
        <is>
          <t>Meta</t>
        </is>
      </c>
      <c r="B2332" s="3" t="n">
        <v>2027</v>
      </c>
      <c r="C2332" s="3" t="inlineStr">
        <is>
          <t>Bull</t>
        </is>
      </c>
      <c r="D2332" s="3" t="inlineStr">
        <is>
          <t>gpu_share</t>
        </is>
      </c>
      <c r="E2332" s="3" t="n">
        <v>1</v>
      </c>
      <c r="F2332" s="3" t="inlineStr">
        <is>
          <t>share of inference-serving accelerator load</t>
        </is>
      </c>
      <c r="G2332" s="3" t="inlineStr">
        <is>
          <t>Numeric scenario</t>
        </is>
      </c>
      <c r="H2332" s="3" t="inlineStr">
        <is>
          <t>gpu_share interpolated from company 2026/2030 accelerator-mix endpoints</t>
        </is>
      </c>
      <c r="I2332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32" s="3" t="inlineStr">
        <is>
          <t>SRC_META_LLAMA; SRC_META_LLAMA4_NVIDIA; SRC_META_MTIA_GENAI_2026; SRC_EPOCH_AI_DATA_CENTERS; ASSUMP_NUMERIC_ACCELERATOR_MIX</t>
        </is>
      </c>
      <c r="K2332" s="3" t="inlineStr">
        <is>
          <t>ASSUMP_CONSUMER_AI_UTILIZATION; ASSUMP_POWER_RAMP; ASSUMP_NUMERIC_ACCELERATOR_MIX; ASSUMP_INFERENCE_SHARE_NOT_FACT_60; ASSUMP_WORKLOAD_CLASS_MIX; ASSUMP_AGENTIC_CONTEXT_PENALTY</t>
        </is>
      </c>
      <c r="L2332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33">
      <c r="A2333" s="3" t="inlineStr">
        <is>
          <t>Meta</t>
        </is>
      </c>
      <c r="B2333" s="3" t="n">
        <v>2027</v>
      </c>
      <c r="C2333" s="3" t="inlineStr">
        <is>
          <t>Bull</t>
        </is>
      </c>
      <c r="D2333" s="3" t="inlineStr">
        <is>
          <t>h200_share</t>
        </is>
      </c>
      <c r="E2333" s="3" t="n">
        <v>0</v>
      </c>
      <c r="F2333" s="3" t="inlineStr">
        <is>
          <t>share of inference-serving accelerator load</t>
        </is>
      </c>
      <c r="G2333" s="3" t="inlineStr">
        <is>
          <t>Editable numeric scenario</t>
        </is>
      </c>
      <c r="H2333" s="3" t="inlineStr">
        <is>
          <t>h200_share = gpu_share * default_gpu_generation_mix_h200</t>
        </is>
      </c>
      <c r="I2333" s="3" t="inlineStr">
        <is>
          <t>Default GPU-generation migration assumption; executive workbook allows later manual replacement by company/year/scenario.</t>
        </is>
      </c>
      <c r="J2333" s="3" t="inlineStr">
        <is>
          <t>SRC_SEMIANALYSIS_INFERENCEX; ASSUMP_NUMERIC_ACCELERATOR_MIX</t>
        </is>
      </c>
      <c r="K2333" s="3" t="inlineStr">
        <is>
          <t>ASSUMP_CONSUMER_AI_UTILIZATION; ASSUMP_POWER_RAMP; ASSUMP_NUMERIC_ACCELERATOR_MIX; ASSUMP_INFERENCE_SHARE_NOT_FACT_60; ASSUMP_WORKLOAD_CLASS_MIX; ASSUMP_AGENTIC_CONTEXT_PENALTY</t>
        </is>
      </c>
      <c r="L2333" s="3" t="inlineStr">
        <is>
          <t>Company fleet inventory, accelerator-hours or procurement/deployment records by GPU generation.</t>
        </is>
      </c>
    </row>
    <row r="2334">
      <c r="A2334" s="3" t="inlineStr">
        <is>
          <t>Meta</t>
        </is>
      </c>
      <c r="B2334" s="3" t="n">
        <v>2027</v>
      </c>
      <c r="C2334" s="3" t="inlineStr">
        <is>
          <t>Bull</t>
        </is>
      </c>
      <c r="D2334" s="3" t="inlineStr">
        <is>
          <t>b200_share</t>
        </is>
      </c>
      <c r="E2334" s="3" t="n">
        <v>1</v>
      </c>
      <c r="F2334" s="3" t="inlineStr">
        <is>
          <t>share of inference-serving accelerator load</t>
        </is>
      </c>
      <c r="G2334" s="3" t="inlineStr">
        <is>
          <t>Editable numeric scenario</t>
        </is>
      </c>
      <c r="H2334" s="3" t="inlineStr">
        <is>
          <t>b200_share = gpu_share * default_gpu_generation_mix_b200</t>
        </is>
      </c>
      <c r="I2334" s="3" t="inlineStr">
        <is>
          <t>Default GPU-generation migration assumption; executive workbook allows later manual replacement by company/year/scenario.</t>
        </is>
      </c>
      <c r="J2334" s="3" t="inlineStr">
        <is>
          <t>SRC_SEMIANALYSIS_INFERENCEX; ASSUMP_NUMERIC_ACCELERATOR_MIX</t>
        </is>
      </c>
      <c r="K2334" s="3" t="inlineStr">
        <is>
          <t>ASSUMP_CONSUMER_AI_UTILIZATION; ASSUMP_POWER_RAMP; ASSUMP_NUMERIC_ACCELERATOR_MIX; ASSUMP_INFERENCE_SHARE_NOT_FACT_60; ASSUMP_WORKLOAD_CLASS_MIX; ASSUMP_AGENTIC_CONTEXT_PENALTY</t>
        </is>
      </c>
      <c r="L2334" s="3" t="inlineStr">
        <is>
          <t>Company fleet inventory, accelerator-hours or procurement/deployment records by GPU generation.</t>
        </is>
      </c>
    </row>
    <row r="2335">
      <c r="A2335" s="3" t="inlineStr">
        <is>
          <t>Meta</t>
        </is>
      </c>
      <c r="B2335" s="3" t="n">
        <v>2027</v>
      </c>
      <c r="C2335" s="3" t="inlineStr">
        <is>
          <t>Bull</t>
        </is>
      </c>
      <c r="D2335" s="3" t="inlineStr">
        <is>
          <t>gb200_share</t>
        </is>
      </c>
      <c r="E2335" s="3" t="n">
        <v>0</v>
      </c>
      <c r="F2335" s="3" t="inlineStr">
        <is>
          <t>share of inference-serving accelerator load</t>
        </is>
      </c>
      <c r="G2335" s="3" t="inlineStr">
        <is>
          <t>Editable numeric scenario</t>
        </is>
      </c>
      <c r="H2335" s="3" t="inlineStr">
        <is>
          <t>gb200_share = gpu_share * default_gpu_generation_mix_gb200</t>
        </is>
      </c>
      <c r="I2335" s="3" t="inlineStr">
        <is>
          <t>Default GPU-generation migration assumption; executive workbook allows later manual replacement by company/year/scenario.</t>
        </is>
      </c>
      <c r="J2335" s="3" t="inlineStr">
        <is>
          <t>SRC_SEMIANALYSIS_INFERENCEX; ASSUMP_NUMERIC_ACCELERATOR_MIX</t>
        </is>
      </c>
      <c r="K2335" s="3" t="inlineStr">
        <is>
          <t>ASSUMP_CONSUMER_AI_UTILIZATION; ASSUMP_POWER_RAMP; ASSUMP_NUMERIC_ACCELERATOR_MIX; ASSUMP_INFERENCE_SHARE_NOT_FACT_60; ASSUMP_WORKLOAD_CLASS_MIX; ASSUMP_AGENTIC_CONTEXT_PENALTY</t>
        </is>
      </c>
      <c r="L2335" s="3" t="inlineStr">
        <is>
          <t>Company fleet inventory, accelerator-hours or procurement/deployment records by GPU generation.</t>
        </is>
      </c>
    </row>
    <row r="2336">
      <c r="A2336" s="3" t="inlineStr">
        <is>
          <t>Meta</t>
        </is>
      </c>
      <c r="B2336" s="3" t="n">
        <v>2027</v>
      </c>
      <c r="C2336" s="3" t="inlineStr">
        <is>
          <t>Bull</t>
        </is>
      </c>
      <c r="D2336" s="3" t="inlineStr">
        <is>
          <t>purpose_built_accelerator_share</t>
        </is>
      </c>
      <c r="E2336" s="3" t="n">
        <v>0</v>
      </c>
      <c r="F2336" s="3" t="inlineStr">
        <is>
          <t>share of inference-serving accelerator load</t>
        </is>
      </c>
      <c r="G2336" s="3" t="inlineStr">
        <is>
          <t>Numeric scenario</t>
        </is>
      </c>
      <c r="H2336" s="3" t="inlineStr">
        <is>
          <t>1 - gpu_share</t>
        </is>
      </c>
      <c r="I2336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36" s="3" t="inlineStr">
        <is>
          <t>SRC_META_LLAMA; SRC_META_LLAMA4_NVIDIA; SRC_META_MTIA_GENAI_2026; SRC_EPOCH_AI_DATA_CENTERS; ASSUMP_NUMERIC_ACCELERATOR_MIX</t>
        </is>
      </c>
      <c r="K2336" s="3" t="inlineStr">
        <is>
          <t>ASSUMP_CONSUMER_AI_UTILIZATION; ASSUMP_POWER_RAMP; ASSUMP_NUMERIC_ACCELERATOR_MIX; ASSUMP_INFERENCE_SHARE_NOT_FACT_60; ASSUMP_WORKLOAD_CLASS_MIX; ASSUMP_AGENTIC_CONTEXT_PENALTY</t>
        </is>
      </c>
      <c r="L2336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37">
      <c r="A2337" s="3" t="inlineStr">
        <is>
          <t>Meta</t>
        </is>
      </c>
      <c r="B2337" s="3" t="n">
        <v>2027</v>
      </c>
      <c r="C2337" s="3" t="inlineStr">
        <is>
          <t>Bull</t>
        </is>
      </c>
      <c r="D2337" s="3" t="inlineStr">
        <is>
          <t>fleet_reference_tps_per_mw</t>
        </is>
      </c>
      <c r="E2337" s="3" t="n">
        <v>941060</v>
      </c>
      <c r="F2337" s="3" t="inlineStr">
        <is>
          <t>generated output tokens/sec/MW</t>
        </is>
      </c>
      <c r="G2337" s="3" t="inlineStr">
        <is>
          <t>Fleet-weighted public benchmark reference</t>
        </is>
      </c>
      <c r="H2337" s="3" t="inlineStr">
        <is>
          <t>h200_share*h200_workload_avg + b200_share*b200_workload_avg + gb200_share*gb200_workload_avg + purpose_built_share*purpose_workload_avg</t>
        </is>
      </c>
      <c r="I2337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37" s="3" t="inlineStr">
        <is>
          <t>SRC_SEMIANALYSIS_INFERENCEX; ASSUMP_NUMERIC_ACCELERATOR_MIX; ASSUMP_WORKLOAD_CLASS_MIX; ASSUMP_AGENTIC_CONTEXT_PENALTY</t>
        </is>
      </c>
      <c r="K2337" s="3" t="inlineStr">
        <is>
          <t>ASSUMP_CONSUMER_AI_UTILIZATION; ASSUMP_POWER_RAMP; ASSUMP_NUMERIC_ACCELERATOR_MIX; ASSUMP_INFERENCE_SHARE_NOT_FACT_60; ASSUMP_WORKLOAD_CLASS_MIX; ASSUMP_AGENTIC_CONTEXT_PENALTY</t>
        </is>
      </c>
      <c r="L2337" s="3" t="inlineStr">
        <is>
          <t>Comparable production output-token throughput or a more closely matched benchmark.</t>
        </is>
      </c>
    </row>
    <row r="2338">
      <c r="A2338" s="3" t="inlineStr">
        <is>
          <t>Meta</t>
        </is>
      </c>
      <c r="B2338" s="3" t="n">
        <v>2027</v>
      </c>
      <c r="C2338" s="3" t="inlineStr">
        <is>
          <t>Bull</t>
        </is>
      </c>
      <c r="D2338" s="3" t="inlineStr">
        <is>
          <t>commercial_workload_fit_factor</t>
        </is>
      </c>
      <c r="E2338" s="3" t="n">
        <v>1</v>
      </c>
      <c r="F2338" s="3" t="inlineStr">
        <is>
          <t>share of public reference throughput</t>
        </is>
      </c>
      <c r="G2338" s="3" t="inlineStr">
        <is>
          <t>Scenario assumption</t>
        </is>
      </c>
      <c r="H2338" s="3" t="inlineStr">
        <is>
          <t>reference_serving_tps_per_mw = fleet_reference_tps_per_mw * commercial_workload_fit_factor</t>
        </is>
      </c>
      <c r="I2338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38" s="3" t="inlineStr">
        <is>
          <t>SRC_SEMIANALYSIS_INFERENCEX; ASSUMP_NUMERIC_ACCELERATOR_MIX; ASSUMP_WORKLOAD_CLASS_MIX; ASSUMP_AGENTIC_CONTEXT_PENALTY</t>
        </is>
      </c>
      <c r="K2338" s="3" t="inlineStr">
        <is>
          <t>ASSUMP_CONSUMER_AI_UTILIZATION; ASSUMP_POWER_RAMP; ASSUMP_NUMERIC_ACCELERATOR_MIX; ASSUMP_INFERENCE_SHARE_NOT_FACT_60; ASSUMP_WORKLOAD_CLASS_MIX; ASSUMP_AGENTIC_CONTEXT_PENALTY</t>
        </is>
      </c>
      <c r="L2338" s="3" t="inlineStr">
        <is>
          <t>Matched commercial serving benchmark by product surface, context shape and latency SLO.</t>
        </is>
      </c>
    </row>
    <row r="2339">
      <c r="A2339" s="3" t="inlineStr">
        <is>
          <t>Meta</t>
        </is>
      </c>
      <c r="B2339" s="3" t="n">
        <v>2027</v>
      </c>
      <c r="C2339" s="3" t="inlineStr">
        <is>
          <t>Bull</t>
        </is>
      </c>
      <c r="D2339" s="3" t="inlineStr">
        <is>
          <t>reference_serving_tps_per_mw</t>
        </is>
      </c>
      <c r="E2339" s="3" t="n">
        <v>941060</v>
      </c>
      <c r="F2339" s="3" t="inlineStr">
        <is>
          <t>generated output tokens/sec/MW</t>
        </is>
      </c>
      <c r="G2339" s="3" t="inlineStr">
        <is>
          <t>Workload-adjusted benchmark proxy</t>
        </is>
      </c>
      <c r="H2339" s="3" t="inlineStr">
        <is>
          <t>fleet_reference_tps_per_mw * commercial_workload_fit_factor</t>
        </is>
      </c>
      <c r="I2339" s="3" t="inlineStr">
        <is>
          <t>This is the coefficient used for headline token generation; each GPU's short chat, long chat and agentic TPS/MW are weighted before fleet mix and commercial fit are applied.</t>
        </is>
      </c>
      <c r="J2339" s="3" t="inlineStr">
        <is>
          <t>SRC_SEMIANALYSIS_INFERENCEX; ASSUMP_NUMERIC_ACCELERATOR_MIX; ASSUMP_WORKLOAD_CLASS_MIX; ASSUMP_AGENTIC_CONTEXT_PENALTY</t>
        </is>
      </c>
      <c r="K2339" s="3" t="inlineStr">
        <is>
          <t>ASSUMP_CONSUMER_AI_UTILIZATION; ASSUMP_POWER_RAMP; ASSUMP_NUMERIC_ACCELERATOR_MIX; ASSUMP_INFERENCE_SHARE_NOT_FACT_60; ASSUMP_WORKLOAD_CLASS_MIX; ASSUMP_AGENTIC_CONTEXT_PENALTY</t>
        </is>
      </c>
      <c r="L2339" s="3" t="inlineStr">
        <is>
          <t>Provider production output-token throughput with comparable workload/SLO.</t>
        </is>
      </c>
    </row>
    <row r="2340">
      <c r="A2340" s="3" t="inlineStr">
        <is>
          <t>Meta</t>
        </is>
      </c>
      <c r="B2340" s="3" t="n">
        <v>2027</v>
      </c>
      <c r="C2340" s="3" t="inlineStr">
        <is>
          <t>Bull</t>
        </is>
      </c>
      <c r="D2340" s="3" t="inlineStr">
        <is>
          <t>purpose_built_tps_per_mw</t>
        </is>
      </c>
      <c r="E2340" s="3" t="n">
        <v>1228515</v>
      </c>
      <c r="F2340" s="3" t="inlineStr">
        <is>
          <t>generated output tokens/sec/MW</t>
        </is>
      </c>
      <c r="G2340" s="3" t="inlineStr">
        <is>
          <t>Conservative no-uplift proxy</t>
        </is>
      </c>
      <c r="H2340" s="3" t="inlineStr">
        <is>
          <t>purpose_built_tps_per_mw = purpose_built_reference_tps_per_mw * commercial_workload_fit_factor until comparable output-token benchmark is adopted</t>
        </is>
      </c>
      <c r="I2340" s="3" t="inlineStr">
        <is>
          <t>No comparable public output-token/MW row adopted; B200 public reference placeholder is used and remains editable.</t>
        </is>
      </c>
      <c r="J2340" s="3" t="inlineStr">
        <is>
          <t>SRC_META_LLAMA; SRC_META_LLAMA4_NVIDIA; SRC_META_MTIA_GENAI_2026; SRC_EPOCH_AI_DATA_CENTERS; ASSUMP_NUMERIC_ACCELERATOR_MIX</t>
        </is>
      </c>
      <c r="K2340" s="3" t="inlineStr">
        <is>
          <t>ASSUMP_CONSUMER_AI_UTILIZATION; ASSUMP_POWER_RAMP; ASSUMP_NUMERIC_ACCELERATOR_MIX; ASSUMP_INFERENCE_SHARE_NOT_FACT_60; ASSUMP_WORKLOAD_CLASS_MIX; ASSUMP_AGENTIC_CONTEXT_PENALTY</t>
        </is>
      </c>
      <c r="L2340" s="3" t="inlineStr">
        <is>
          <t>Matched-workload generated-output benchmark for the provider purpose-built accelerator.</t>
        </is>
      </c>
    </row>
    <row r="2341">
      <c r="A2341" s="3" t="inlineStr">
        <is>
          <t>Meta</t>
        </is>
      </c>
      <c r="B2341" s="3" t="n">
        <v>2027</v>
      </c>
      <c r="C2341" s="3" t="inlineStr">
        <is>
          <t>Bull</t>
        </is>
      </c>
      <c r="D2341" s="3" t="inlineStr">
        <is>
          <t>inference_power_share</t>
        </is>
      </c>
      <c r="E2341" s="3" t="n">
        <v>0.6879999999999999</v>
      </c>
      <c r="F2341" s="3" t="inlineStr">
        <is>
          <t>share of AI IT load</t>
        </is>
      </c>
      <c r="G2341" s="3" t="inlineStr">
        <is>
          <t>Scenario allocation</t>
        </is>
      </c>
      <c r="H2341" s="3" t="inlineStr">
        <is>
          <t>inference_gw = ai_it_load_gw * inference_power_share</t>
        </is>
      </c>
      <c r="I2341" s="3" t="inlineStr">
        <is>
          <t>Large consumer AI distribution and inference-first MTIA roadmap support a higher inference share scenario.</t>
        </is>
      </c>
      <c r="J2341" s="3" t="inlineStr">
        <is>
          <t>SRC_META_LLAMA; SRC_META_LLAMA4_NVIDIA; SRC_META_MTIA_GENAI_2026; SRC_EPOCH_AI_DATA_CENTERS; ASSUMP_INFERENCE_SHARE_NOT_FACT_60</t>
        </is>
      </c>
      <c r="K2341" s="3" t="inlineStr">
        <is>
          <t>ASSUMP_CONSUMER_AI_UTILIZATION; ASSUMP_POWER_RAMP; ASSUMP_NUMERIC_ACCELERATOR_MIX; ASSUMP_INFERENCE_SHARE_NOT_FACT_60; ASSUMP_WORKLOAD_CLASS_MIX; ASSUMP_AGENTIC_CONTEXT_PENALTY</t>
        </is>
      </c>
      <c r="L2341" s="3" t="inlineStr">
        <is>
          <t>Provider-specific inference/training workload power telemetry.</t>
        </is>
      </c>
    </row>
    <row r="2342">
      <c r="A2342" s="3" t="inlineStr">
        <is>
          <t>Meta</t>
        </is>
      </c>
      <c r="B2342" s="3" t="n">
        <v>2027</v>
      </c>
      <c r="C2342" s="3" t="inlineStr">
        <is>
          <t>Bull</t>
        </is>
      </c>
      <c r="D2342" s="3" t="inlineStr">
        <is>
          <t>inference_gw</t>
        </is>
      </c>
      <c r="E2342" s="3" t="n">
        <v>1.43</v>
      </c>
      <c r="F2342" s="3" t="inlineStr">
        <is>
          <t>GW</t>
        </is>
      </c>
      <c r="G2342" s="3" t="inlineStr">
        <is>
          <t>Derived formula</t>
        </is>
      </c>
      <c r="H2342" s="3" t="inlineStr">
        <is>
          <t>ai_it_load_gw * inference_power_share</t>
        </is>
      </c>
      <c r="I2342" s="3" t="inlineStr">
        <is>
          <t>This is the operational power eligible to become commercial generated output tokens through the selected TPS/MW proxy.</t>
        </is>
      </c>
      <c r="J2342" s="3" t="inlineStr">
        <is>
          <t>SRC_META_LLAMA; SRC_META_LLAMA4_NVIDIA; SRC_META_MTIA_GENAI_2026; SRC_EPOCH_AI_DATA_CENTERS</t>
        </is>
      </c>
      <c r="K2342" s="3" t="inlineStr">
        <is>
          <t>ASSUMP_CONSUMER_AI_UTILIZATION; ASSUMP_POWER_RAMP; ASSUMP_NUMERIC_ACCELERATOR_MIX; ASSUMP_INFERENCE_SHARE_NOT_FACT_60; ASSUMP_WORKLOAD_CLASS_MIX; ASSUMP_AGENTIC_CONTEXT_PENALTY</t>
        </is>
      </c>
      <c r="L2342" s="3" t="inlineStr">
        <is>
          <t>Recompute after AI allocation or inference-share evidence changes.</t>
        </is>
      </c>
    </row>
    <row r="2343">
      <c r="A2343" s="3" t="inlineStr">
        <is>
          <t>Meta</t>
        </is>
      </c>
      <c r="B2343" s="3" t="n">
        <v>2027</v>
      </c>
      <c r="C2343" s="3" t="inlineStr">
        <is>
          <t>Bull</t>
        </is>
      </c>
      <c r="D2343" s="3" t="inlineStr">
        <is>
          <t>training_power_share</t>
        </is>
      </c>
      <c r="E2343" s="3" t="n">
        <v>0.312</v>
      </c>
      <c r="F2343" s="3" t="inlineStr">
        <is>
          <t>share of AI IT load</t>
        </is>
      </c>
      <c r="G2343" s="3" t="inlineStr">
        <is>
          <t>Derived allocation</t>
        </is>
      </c>
      <c r="H2343" s="3" t="inlineStr">
        <is>
          <t>1 - inference_power_share</t>
        </is>
      </c>
      <c r="I2343" s="3" t="inlineStr">
        <is>
          <t>Training receives the complementary modeled AI IT allocation; it is not a disclosed company workload split.</t>
        </is>
      </c>
      <c r="J2343" s="3" t="inlineStr">
        <is>
          <t>SRC_META_LLAMA; SRC_META_LLAMA4_NVIDIA; SRC_META_MTIA_GENAI_2026; SRC_EPOCH_AI_DATA_CENTERS; ASSUMP_INFERENCE_SHARE_NOT_FACT_60</t>
        </is>
      </c>
      <c r="K2343" s="3" t="inlineStr">
        <is>
          <t>ASSUMP_CONSUMER_AI_UTILIZATION; ASSUMP_POWER_RAMP; ASSUMP_NUMERIC_ACCELERATOR_MIX; ASSUMP_INFERENCE_SHARE_NOT_FACT_60; ASSUMP_WORKLOAD_CLASS_MIX; ASSUMP_AGENTIC_CONTEXT_PENALTY</t>
        </is>
      </c>
      <c r="L2343" s="3" t="inlineStr">
        <is>
          <t>Provider-specific inference/training workload power telemetry.</t>
        </is>
      </c>
    </row>
    <row r="2344">
      <c r="A2344" s="3" t="inlineStr">
        <is>
          <t>Meta</t>
        </is>
      </c>
      <c r="B2344" s="3" t="n">
        <v>2027</v>
      </c>
      <c r="C2344" s="3" t="inlineStr">
        <is>
          <t>Bull</t>
        </is>
      </c>
      <c r="D2344" s="3" t="inlineStr">
        <is>
          <t>training_gw</t>
        </is>
      </c>
      <c r="E2344" s="3" t="n">
        <v>0.65</v>
      </c>
      <c r="F2344" s="3" t="inlineStr">
        <is>
          <t>GW</t>
        </is>
      </c>
      <c r="G2344" s="3" t="inlineStr">
        <is>
          <t>Derived formula</t>
        </is>
      </c>
      <c r="H2344" s="3" t="inlineStr">
        <is>
          <t>ai_it_load_gw * training_power_share</t>
        </is>
      </c>
      <c r="I2344" s="3" t="inlineStr">
        <is>
          <t>Training GW is shown separately so commercial inference token capacity is not overstated.</t>
        </is>
      </c>
      <c r="J2344" s="3" t="inlineStr">
        <is>
          <t>SRC_META_LLAMA; SRC_META_LLAMA4_NVIDIA; SRC_META_MTIA_GENAI_2026; SRC_EPOCH_AI_DATA_CENTERS</t>
        </is>
      </c>
      <c r="K2344" s="3" t="inlineStr">
        <is>
          <t>ASSUMP_CONSUMER_AI_UTILIZATION; ASSUMP_POWER_RAMP; ASSUMP_NUMERIC_ACCELERATOR_MIX; ASSUMP_INFERENCE_SHARE_NOT_FACT_60; ASSUMP_WORKLOAD_CLASS_MIX; ASSUMP_AGENTIC_CONTEXT_PENALTY</t>
        </is>
      </c>
      <c r="L2344" s="3" t="inlineStr">
        <is>
          <t>Recompute after AI allocation or workload-split evidence changes.</t>
        </is>
      </c>
    </row>
    <row r="2345">
      <c r="A2345" s="3" t="inlineStr">
        <is>
          <t>Meta</t>
        </is>
      </c>
      <c r="B2345" s="3" t="n">
        <v>2027</v>
      </c>
      <c r="C2345" s="3" t="inlineStr">
        <is>
          <t>Bull</t>
        </is>
      </c>
      <c r="D2345" s="3" t="inlineStr">
        <is>
          <t>tokens_per_second_per_mw</t>
        </is>
      </c>
      <c r="E2345" s="3" t="n">
        <v>941060</v>
      </c>
      <c r="F2345" s="3" t="inlineStr">
        <is>
          <t>generated output tokens/sec/MW</t>
        </is>
      </c>
      <c r="G2345" s="3" t="inlineStr">
        <is>
          <t>Derived estimate + benchmark calibration</t>
        </is>
      </c>
      <c r="H2345" s="3" t="inlineStr">
        <is>
          <t>fleet_reference_tps_per_mw * commercial_workload_fit_factor</t>
        </is>
      </c>
      <c r="I2345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45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45" s="3" t="inlineStr">
        <is>
          <t>ASSUMP_CONSUMER_AI_UTILIZATION; ASSUMP_POWER_RAMP; ASSUMP_NUMERIC_ACCELERATOR_MIX; ASSUMP_INFERENCE_SHARE_NOT_FACT_60; ASSUMP_WORKLOAD_CLASS_MIX; ASSUMP_AGENTIC_CONTEXT_PENALTY</t>
        </is>
      </c>
      <c r="L2345" s="3" t="inlineStr">
        <is>
          <t>Comparable production output-token throughput with model, hardware, precision, ISL/OSL and SLO matched.</t>
        </is>
      </c>
    </row>
    <row r="2346">
      <c r="A2346" s="3" t="inlineStr">
        <is>
          <t>Meta</t>
        </is>
      </c>
      <c r="B2346" s="3" t="n">
        <v>2027</v>
      </c>
      <c r="C2346" s="3" t="inlineStr">
        <is>
          <t>Bull</t>
        </is>
      </c>
      <c r="D2346" s="3" t="inlineStr">
        <is>
          <t>inference_tokens_per_day</t>
        </is>
      </c>
      <c r="E2346" s="3" t="n">
        <v>116269845120000</v>
      </c>
      <c r="F2346" s="3" t="inlineStr">
        <is>
          <t>generated output tokens/day</t>
        </is>
      </c>
      <c r="G2346" s="3" t="inlineStr">
        <is>
          <t>Derived headline metric</t>
        </is>
      </c>
      <c r="H2346" s="3" t="inlineStr">
        <is>
          <t>inference_gw * 1000 * tokens_per_second_per_mw * 86,400</t>
        </is>
      </c>
      <c r="I2346" s="3" t="inlineStr">
        <is>
          <t>Headline capacity uses no utilization, MoE, architecture or software-growth multiplier; it is not observed commercial output volume.</t>
        </is>
      </c>
      <c r="J2346" s="3" t="inlineStr">
        <is>
          <t>SRC_META_LLAMA; SRC_META_LLAMA4_NVIDIA; SRC_META_MTIA_GENAI_2026; SRC_EPOCH_AI_DATA_CENTERS; SRC_SEMIANALYSIS_INFERENCEX</t>
        </is>
      </c>
      <c r="K2346" s="3" t="inlineStr">
        <is>
          <t>ASSUMP_CONSUMER_AI_UTILIZATION; ASSUMP_POWER_RAMP; ASSUMP_NUMERIC_ACCELERATOR_MIX; ASSUMP_INFERENCE_SHARE_NOT_FACT_60; ASSUMP_WORKLOAD_CLASS_MIX; ASSUMP_AGENTIC_CONTEXT_PENALTY</t>
        </is>
      </c>
      <c r="L2346" s="3" t="inlineStr">
        <is>
          <t>Provider-disclosed generated output token volume or calibrated capacity telemetry.</t>
        </is>
      </c>
    </row>
    <row r="2347">
      <c r="A2347" s="3" t="inlineStr">
        <is>
          <t>Meta</t>
        </is>
      </c>
      <c r="B2347" s="3" t="n">
        <v>2027</v>
      </c>
      <c r="C2347" s="3" t="inlineStr">
        <is>
          <t>Bull</t>
        </is>
      </c>
      <c r="D2347" s="3" t="inlineStr">
        <is>
          <t>inference_tokens_per_year</t>
        </is>
      </c>
      <c r="E2347" s="3" t="n">
        <v>4.24384934688e+16</v>
      </c>
      <c r="F2347" s="3" t="inlineStr">
        <is>
          <t>generated output tokens/year</t>
        </is>
      </c>
      <c r="G2347" s="3" t="inlineStr">
        <is>
          <t>Derived headline metric</t>
        </is>
      </c>
      <c r="H2347" s="3" t="inlineStr">
        <is>
          <t>inference_tokens_per_day * 365</t>
        </is>
      </c>
      <c r="I2347" s="3" t="inlineStr">
        <is>
          <t>Annualized version of generated output token capacity; it is not observed annual demand or billable volume.</t>
        </is>
      </c>
      <c r="J2347" s="3" t="inlineStr">
        <is>
          <t>SRC_META_LLAMA; SRC_META_LLAMA4_NVIDIA; SRC_META_MTIA_GENAI_2026; SRC_EPOCH_AI_DATA_CENTERS; SRC_SEMIANALYSIS_INFERENCEX</t>
        </is>
      </c>
      <c r="K2347" s="3" t="inlineStr">
        <is>
          <t>ASSUMP_CONSUMER_AI_UTILIZATION; ASSUMP_POWER_RAMP; ASSUMP_NUMERIC_ACCELERATOR_MIX; ASSUMP_INFERENCE_SHARE_NOT_FACT_60; ASSUMP_WORKLOAD_CLASS_MIX; ASSUMP_AGENTIC_CONTEXT_PENALTY</t>
        </is>
      </c>
      <c r="L2347" s="3" t="inlineStr">
        <is>
          <t>Provider-disclosed annual generated-output volume or metered serving telemetry.</t>
        </is>
      </c>
    </row>
    <row r="2348">
      <c r="A2348" s="3" t="inlineStr">
        <is>
          <t>Meta</t>
        </is>
      </c>
      <c r="B2348" s="3" t="n">
        <v>2028</v>
      </c>
      <c r="C2348" s="3" t="inlineStr">
        <is>
          <t>Bull</t>
        </is>
      </c>
      <c r="D2348" s="3" t="inlineStr">
        <is>
          <t>contracted_power_gw</t>
        </is>
      </c>
      <c r="E2348" s="3" t="n">
        <v>5.25</v>
      </c>
      <c r="F2348" s="3" t="inlineStr">
        <is>
          <t>GW</t>
        </is>
      </c>
      <c r="G2348" s="3" t="inlineStr">
        <is>
          <t>Scenario capacity envelope</t>
        </is>
      </c>
      <c r="H2348" s="3" t="inlineStr">
        <is>
          <t>linear interpolation between 2026 and 2030 company capacity endpoints</t>
        </is>
      </c>
      <c r="I2348" s="3" t="inlineStr">
        <is>
          <t>Scenario envelope for Meta AI/Llama serving capacity; not an official contracted-GW figure.</t>
        </is>
      </c>
      <c r="J2348" s="3" t="inlineStr">
        <is>
          <t>ASSUMP_POWER_RAMP; SRC_META_MTIA_GENAI_2026</t>
        </is>
      </c>
      <c r="K2348" s="3" t="inlineStr">
        <is>
          <t>ASSUMP_CONSUMER_AI_UTILIZATION; ASSUMP_POWER_RAMP; ASSUMP_NUMERIC_ACCELERATOR_MIX; ASSUMP_INFERENCE_SHARE_NOT_FACT_60; ASSUMP_WORKLOAD_CLASS_MIX; ASSUMP_AGENTIC_CONTEXT_PENALTY</t>
        </is>
      </c>
      <c r="L2348" s="3" t="inlineStr">
        <is>
          <t>Company/site-level committed MW/GW, interconnect and contract disclosure.</t>
        </is>
      </c>
    </row>
    <row r="2349">
      <c r="A2349" s="3" t="inlineStr">
        <is>
          <t>Meta</t>
        </is>
      </c>
      <c r="B2349" s="3" t="n">
        <v>2028</v>
      </c>
      <c r="C2349" s="3" t="inlineStr">
        <is>
          <t>Bull</t>
        </is>
      </c>
      <c r="D2349" s="3" t="inlineStr">
        <is>
          <t>operational_deployment_share</t>
        </is>
      </c>
      <c r="E2349" s="3" t="n">
        <v>0.78571429</v>
      </c>
      <c r="F2349" s="3" t="inlineStr">
        <is>
          <t>share</t>
        </is>
      </c>
      <c r="G2349" s="3" t="inlineStr">
        <is>
          <t>Scenario conversion</t>
        </is>
      </c>
      <c r="H2349" s="3" t="inlineStr">
        <is>
          <t>active_power_gw / contracted_power_gw</t>
        </is>
      </c>
      <c r="I2349" s="3" t="inlineStr">
        <is>
          <t>This is the single explicit conversion from contracted/attributed capacity to operationally usable capacity.</t>
        </is>
      </c>
      <c r="J2349" s="3" t="inlineStr">
        <is>
          <t>ASSUMP_POWER_RAMP; SRC_META_MTIA_GENAI_2026</t>
        </is>
      </c>
      <c r="K2349" s="3" t="inlineStr">
        <is>
          <t>ASSUMP_CONSUMER_AI_UTILIZATION; ASSUMP_POWER_RAMP; ASSUMP_NUMERIC_ACCELERATOR_MIX; ASSUMP_INFERENCE_SHARE_NOT_FACT_60; ASSUMP_WORKLOAD_CLASS_MIX; ASSUMP_AGENTIC_CONTEXT_PENALTY</t>
        </is>
      </c>
      <c r="L2349" s="3" t="inlineStr">
        <is>
          <t>Energized operational capacity divided by contracted/attributed capacity.</t>
        </is>
      </c>
    </row>
    <row r="2350">
      <c r="A2350" s="3" t="inlineStr">
        <is>
          <t>Meta</t>
        </is>
      </c>
      <c r="B2350" s="3" t="n">
        <v>2028</v>
      </c>
      <c r="C2350" s="3" t="inlineStr">
        <is>
          <t>Bull</t>
        </is>
      </c>
      <c r="D2350" s="3" t="inlineStr">
        <is>
          <t>active_power_gw</t>
        </is>
      </c>
      <c r="E2350" s="3" t="n">
        <v>4.125</v>
      </c>
      <c r="F2350" s="3" t="inlineStr">
        <is>
          <t>GW</t>
        </is>
      </c>
      <c r="G2350" s="3" t="inlineStr">
        <is>
          <t>Derived scenario</t>
        </is>
      </c>
      <c r="H2350" s="3" t="inlineStr">
        <is>
          <t>contracted_power_gw * operational_deployment_share</t>
        </is>
      </c>
      <c r="I2350" s="3" t="inlineStr">
        <is>
          <t>MTIA deployment direction and consumer product distribution support active ramp, not exact powered GW.</t>
        </is>
      </c>
      <c r="J2350" s="3" t="inlineStr">
        <is>
          <t>ASSUMP_POWER_RAMP; SRC_META_MTIA_GENAI_2026</t>
        </is>
      </c>
      <c r="K2350" s="3" t="inlineStr">
        <is>
          <t>ASSUMP_CONSUMER_AI_UTILIZATION; ASSUMP_POWER_RAMP; ASSUMP_NUMERIC_ACCELERATOR_MIX; ASSUMP_INFERENCE_SHARE_NOT_FACT_60; ASSUMP_WORKLOAD_CLASS_MIX; ASSUMP_AGENTIC_CONTEXT_PENALTY</t>
        </is>
      </c>
      <c r="L2350" s="3" t="inlineStr">
        <is>
          <t>Energization dates, accelerator deliveries and operational powered-rack telemetry.</t>
        </is>
      </c>
    </row>
    <row r="2351">
      <c r="A2351" s="3" t="inlineStr">
        <is>
          <t>Meta</t>
        </is>
      </c>
      <c r="B2351" s="3" t="n">
        <v>2028</v>
      </c>
      <c r="C2351" s="3" t="inlineStr">
        <is>
          <t>Bull</t>
        </is>
      </c>
      <c r="D2351" s="3" t="inlineStr">
        <is>
          <t>pue</t>
        </is>
      </c>
      <c r="E2351" s="3" t="n">
        <v>1.2</v>
      </c>
      <c r="F2351" s="3" t="inlineStr">
        <is>
          <t>ratio</t>
        </is>
      </c>
      <c r="G2351" s="3" t="inlineStr">
        <is>
          <t>Scenario parameter</t>
        </is>
      </c>
      <c r="H2351" s="3" t="inlineStr">
        <is>
          <t>it_load_gw = active_power_gw / pue</t>
        </is>
      </c>
      <c r="I2351" s="3" t="inlineStr">
        <is>
          <t>No provider-wide site-level PUE is used as a disclosed fact; PUE represents facility-to-IT conversion within the scenario.</t>
        </is>
      </c>
      <c r="J2351" s="3" t="inlineStr">
        <is>
          <t>ASSUMP_POWER_RAMP</t>
        </is>
      </c>
      <c r="K2351" s="3" t="inlineStr">
        <is>
          <t>ASSUMP_CONSUMER_AI_UTILIZATION; ASSUMP_POWER_RAMP; ASSUMP_NUMERIC_ACCELERATOR_MIX; ASSUMP_INFERENCE_SHARE_NOT_FACT_60; ASSUMP_WORKLOAD_CLASS_MIX; ASSUMP_AGENTIC_CONTEXT_PENALTY</t>
        </is>
      </c>
      <c r="L2351" s="3" t="inlineStr">
        <is>
          <t>Site-level measured PUE matched to attributed AI capacity.</t>
        </is>
      </c>
    </row>
    <row r="2352">
      <c r="A2352" s="3" t="inlineStr">
        <is>
          <t>Meta</t>
        </is>
      </c>
      <c r="B2352" s="3" t="n">
        <v>2028</v>
      </c>
      <c r="C2352" s="3" t="inlineStr">
        <is>
          <t>Bull</t>
        </is>
      </c>
      <c r="D2352" s="3" t="inlineStr">
        <is>
          <t>it_load_gw</t>
        </is>
      </c>
      <c r="E2352" s="3" t="n">
        <v>3.438</v>
      </c>
      <c r="F2352" s="3" t="inlineStr">
        <is>
          <t>GW</t>
        </is>
      </c>
      <c r="G2352" s="3" t="inlineStr">
        <is>
          <t>Derived formula</t>
        </is>
      </c>
      <c r="H2352" s="3" t="inlineStr">
        <is>
          <t>active_power_gw / pue</t>
        </is>
      </c>
      <c r="I2352" s="3" t="inlineStr">
        <is>
          <t>Facility power is converted to IT-deliverable power before attributing AI workloads.</t>
        </is>
      </c>
      <c r="J2352" s="3" t="inlineStr">
        <is>
          <t>ASSUMP_POWER_RAMP; SRC_META_MTIA_GENAI_2026</t>
        </is>
      </c>
      <c r="K2352" s="3" t="inlineStr">
        <is>
          <t>ASSUMP_CONSUMER_AI_UTILIZATION; ASSUMP_POWER_RAMP; ASSUMP_NUMERIC_ACCELERATOR_MIX; ASSUMP_INFERENCE_SHARE_NOT_FACT_60; ASSUMP_WORKLOAD_CLASS_MIX; ASSUMP_AGENTIC_CONTEXT_PENALTY</t>
        </is>
      </c>
      <c r="L2352" s="3" t="inlineStr">
        <is>
          <t>Recompute once active power and PUE become site-observable.</t>
        </is>
      </c>
    </row>
    <row r="2353">
      <c r="A2353" s="3" t="inlineStr">
        <is>
          <t>Meta</t>
        </is>
      </c>
      <c r="B2353" s="3" t="n">
        <v>2028</v>
      </c>
      <c r="C2353" s="3" t="inlineStr">
        <is>
          <t>Bull</t>
        </is>
      </c>
      <c r="D2353" s="3" t="inlineStr">
        <is>
          <t>ai_workload_share</t>
        </is>
      </c>
      <c r="E2353" s="3" t="n">
        <v>0.87</v>
      </c>
      <c r="F2353" s="3" t="inlineStr">
        <is>
          <t>share</t>
        </is>
      </c>
      <c r="G2353" s="3" t="inlineStr">
        <is>
          <t>Scenario allocation</t>
        </is>
      </c>
      <c r="H2353" s="3" t="inlineStr">
        <is>
          <t>ai_it_load_gw = it_load_gw * ai_workload_share</t>
        </is>
      </c>
      <c r="I2353" s="3" t="inlineStr">
        <is>
          <t>The modeled fleet is focused on AI workloads across Meta AI surfaces; non-LLM ranking/platform overhead is excluded through the 87% share.</t>
        </is>
      </c>
      <c r="J2353" s="3" t="inlineStr">
        <is>
          <t>SRC_META_LLAMA; SRC_META_LLAMA4_NVIDIA; SRC_META_MTIA_GENAI_2026; SRC_EPOCH_AI_DATA_CENTERS</t>
        </is>
      </c>
      <c r="K2353" s="3" t="inlineStr">
        <is>
          <t>ASSUMP_CONSUMER_AI_UTILIZATION; ASSUMP_POWER_RAMP; ASSUMP_NUMERIC_ACCELERATOR_MIX; ASSUMP_INFERENCE_SHARE_NOT_FACT_60; ASSUMP_WORKLOAD_CLASS_MIX; ASSUMP_AGENTIC_CONTEXT_PENALTY</t>
        </is>
      </c>
      <c r="L2353" s="3" t="inlineStr">
        <is>
          <t>Model-owner AI workload allocation or cluster scheduling telemetry.</t>
        </is>
      </c>
    </row>
    <row r="2354">
      <c r="A2354" s="3" t="inlineStr">
        <is>
          <t>Meta</t>
        </is>
      </c>
      <c r="B2354" s="3" t="n">
        <v>2028</v>
      </c>
      <c r="C2354" s="3" t="inlineStr">
        <is>
          <t>Bull</t>
        </is>
      </c>
      <c r="D2354" s="3" t="inlineStr">
        <is>
          <t>ai_it_load_gw</t>
        </is>
      </c>
      <c r="E2354" s="3" t="n">
        <v>2.991</v>
      </c>
      <c r="F2354" s="3" t="inlineStr">
        <is>
          <t>GW</t>
        </is>
      </c>
      <c r="G2354" s="3" t="inlineStr">
        <is>
          <t>Derived formula</t>
        </is>
      </c>
      <c r="H2354" s="3" t="inlineStr">
        <is>
          <t>it_load_gw * ai_workload_share</t>
        </is>
      </c>
      <c r="I2354" s="3" t="inlineStr">
        <is>
          <t>Only the AI-attributed portion of IT load enters training/inference allocation.</t>
        </is>
      </c>
      <c r="J2354" s="3" t="inlineStr">
        <is>
          <t>SRC_META_LLAMA; SRC_META_LLAMA4_NVIDIA; SRC_META_MTIA_GENAI_2026; SRC_EPOCH_AI_DATA_CENTERS</t>
        </is>
      </c>
      <c r="K2354" s="3" t="inlineStr">
        <is>
          <t>ASSUMP_CONSUMER_AI_UTILIZATION; ASSUMP_POWER_RAMP; ASSUMP_NUMERIC_ACCELERATOR_MIX; ASSUMP_INFERENCE_SHARE_NOT_FACT_60; ASSUMP_WORKLOAD_CLASS_MIX; ASSUMP_AGENTIC_CONTEXT_PENALTY</t>
        </is>
      </c>
      <c r="L2354" s="3" t="inlineStr">
        <is>
          <t>Recompute after ai_workload_share is replaced by telemetry.</t>
        </is>
      </c>
    </row>
    <row r="2355">
      <c r="A2355" s="3" t="inlineStr">
        <is>
          <t>Meta</t>
        </is>
      </c>
      <c r="B2355" s="3" t="n">
        <v>2028</v>
      </c>
      <c r="C2355" s="3" t="inlineStr">
        <is>
          <t>Bull</t>
        </is>
      </c>
      <c r="D2355" s="3" t="inlineStr">
        <is>
          <t>gpu_share</t>
        </is>
      </c>
      <c r="E2355" s="3" t="n">
        <v>0.612306</v>
      </c>
      <c r="F2355" s="3" t="inlineStr">
        <is>
          <t>share of inference-serving accelerator load</t>
        </is>
      </c>
      <c r="G2355" s="3" t="inlineStr">
        <is>
          <t>Numeric scenario</t>
        </is>
      </c>
      <c r="H2355" s="3" t="inlineStr">
        <is>
          <t>gpu_share interpolated from company 2026/2030 accelerator-mix endpoints</t>
        </is>
      </c>
      <c r="I2355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55" s="3" t="inlineStr">
        <is>
          <t>SRC_META_LLAMA; SRC_META_LLAMA4_NVIDIA; SRC_META_MTIA_GENAI_2026; SRC_EPOCH_AI_DATA_CENTERS; ASSUMP_NUMERIC_ACCELERATOR_MIX</t>
        </is>
      </c>
      <c r="K2355" s="3" t="inlineStr">
        <is>
          <t>ASSUMP_CONSUMER_AI_UTILIZATION; ASSUMP_POWER_RAMP; ASSUMP_NUMERIC_ACCELERATOR_MIX; ASSUMP_INFERENCE_SHARE_NOT_FACT_60; ASSUMP_WORKLOAD_CLASS_MIX; ASSUMP_AGENTIC_CONTEXT_PENALTY</t>
        </is>
      </c>
      <c r="L2355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56">
      <c r="A2356" s="3" t="inlineStr">
        <is>
          <t>Meta</t>
        </is>
      </c>
      <c r="B2356" s="3" t="n">
        <v>2028</v>
      </c>
      <c r="C2356" s="3" t="inlineStr">
        <is>
          <t>Bull</t>
        </is>
      </c>
      <c r="D2356" s="3" t="inlineStr">
        <is>
          <t>h200_share</t>
        </is>
      </c>
      <c r="E2356" s="3" t="n">
        <v>0</v>
      </c>
      <c r="F2356" s="3" t="inlineStr">
        <is>
          <t>share of inference-serving accelerator load</t>
        </is>
      </c>
      <c r="G2356" s="3" t="inlineStr">
        <is>
          <t>Editable numeric scenario</t>
        </is>
      </c>
      <c r="H2356" s="3" t="inlineStr">
        <is>
          <t>h200_share = gpu_share * default_gpu_generation_mix_h200</t>
        </is>
      </c>
      <c r="I2356" s="3" t="inlineStr">
        <is>
          <t>Default GPU-generation migration assumption; executive workbook allows later manual replacement by company/year/scenario.</t>
        </is>
      </c>
      <c r="J2356" s="3" t="inlineStr">
        <is>
          <t>SRC_SEMIANALYSIS_INFERENCEX; ASSUMP_NUMERIC_ACCELERATOR_MIX</t>
        </is>
      </c>
      <c r="K2356" s="3" t="inlineStr">
        <is>
          <t>ASSUMP_CONSUMER_AI_UTILIZATION; ASSUMP_POWER_RAMP; ASSUMP_NUMERIC_ACCELERATOR_MIX; ASSUMP_INFERENCE_SHARE_NOT_FACT_60; ASSUMP_WORKLOAD_CLASS_MIX; ASSUMP_AGENTIC_CONTEXT_PENALTY</t>
        </is>
      </c>
      <c r="L2356" s="3" t="inlineStr">
        <is>
          <t>Company fleet inventory, accelerator-hours or procurement/deployment records by GPU generation.</t>
        </is>
      </c>
    </row>
    <row r="2357">
      <c r="A2357" s="3" t="inlineStr">
        <is>
          <t>Meta</t>
        </is>
      </c>
      <c r="B2357" s="3" t="n">
        <v>2028</v>
      </c>
      <c r="C2357" s="3" t="inlineStr">
        <is>
          <t>Bull</t>
        </is>
      </c>
      <c r="D2357" s="3" t="inlineStr">
        <is>
          <t>b200_share</t>
        </is>
      </c>
      <c r="E2357" s="3" t="n">
        <v>0.612306</v>
      </c>
      <c r="F2357" s="3" t="inlineStr">
        <is>
          <t>share of inference-serving accelerator load</t>
        </is>
      </c>
      <c r="G2357" s="3" t="inlineStr">
        <is>
          <t>Editable numeric scenario</t>
        </is>
      </c>
      <c r="H2357" s="3" t="inlineStr">
        <is>
          <t>b200_share = gpu_share * default_gpu_generation_mix_b200</t>
        </is>
      </c>
      <c r="I2357" s="3" t="inlineStr">
        <is>
          <t>Default GPU-generation migration assumption; executive workbook allows later manual replacement by company/year/scenario.</t>
        </is>
      </c>
      <c r="J2357" s="3" t="inlineStr">
        <is>
          <t>SRC_SEMIANALYSIS_INFERENCEX; ASSUMP_NUMERIC_ACCELERATOR_MIX</t>
        </is>
      </c>
      <c r="K2357" s="3" t="inlineStr">
        <is>
          <t>ASSUMP_CONSUMER_AI_UTILIZATION; ASSUMP_POWER_RAMP; ASSUMP_NUMERIC_ACCELERATOR_MIX; ASSUMP_INFERENCE_SHARE_NOT_FACT_60; ASSUMP_WORKLOAD_CLASS_MIX; ASSUMP_AGENTIC_CONTEXT_PENALTY</t>
        </is>
      </c>
      <c r="L2357" s="3" t="inlineStr">
        <is>
          <t>Company fleet inventory, accelerator-hours or procurement/deployment records by GPU generation.</t>
        </is>
      </c>
    </row>
    <row r="2358">
      <c r="A2358" s="3" t="inlineStr">
        <is>
          <t>Meta</t>
        </is>
      </c>
      <c r="B2358" s="3" t="n">
        <v>2028</v>
      </c>
      <c r="C2358" s="3" t="inlineStr">
        <is>
          <t>Bull</t>
        </is>
      </c>
      <c r="D2358" s="3" t="inlineStr">
        <is>
          <t>gb200_share</t>
        </is>
      </c>
      <c r="E2358" s="3" t="n">
        <v>0</v>
      </c>
      <c r="F2358" s="3" t="inlineStr">
        <is>
          <t>share of inference-serving accelerator load</t>
        </is>
      </c>
      <c r="G2358" s="3" t="inlineStr">
        <is>
          <t>Editable numeric scenario</t>
        </is>
      </c>
      <c r="H2358" s="3" t="inlineStr">
        <is>
          <t>gb200_share = gpu_share * default_gpu_generation_mix_gb200</t>
        </is>
      </c>
      <c r="I2358" s="3" t="inlineStr">
        <is>
          <t>Default GPU-generation migration assumption; executive workbook allows later manual replacement by company/year/scenario.</t>
        </is>
      </c>
      <c r="J2358" s="3" t="inlineStr">
        <is>
          <t>SRC_SEMIANALYSIS_INFERENCEX; ASSUMP_NUMERIC_ACCELERATOR_MIX</t>
        </is>
      </c>
      <c r="K2358" s="3" t="inlineStr">
        <is>
          <t>ASSUMP_CONSUMER_AI_UTILIZATION; ASSUMP_POWER_RAMP; ASSUMP_NUMERIC_ACCELERATOR_MIX; ASSUMP_INFERENCE_SHARE_NOT_FACT_60; ASSUMP_WORKLOAD_CLASS_MIX; ASSUMP_AGENTIC_CONTEXT_PENALTY</t>
        </is>
      </c>
      <c r="L2358" s="3" t="inlineStr">
        <is>
          <t>Company fleet inventory, accelerator-hours or procurement/deployment records by GPU generation.</t>
        </is>
      </c>
    </row>
    <row r="2359">
      <c r="A2359" s="3" t="inlineStr">
        <is>
          <t>Meta</t>
        </is>
      </c>
      <c r="B2359" s="3" t="n">
        <v>2028</v>
      </c>
      <c r="C2359" s="3" t="inlineStr">
        <is>
          <t>Bull</t>
        </is>
      </c>
      <c r="D2359" s="3" t="inlineStr">
        <is>
          <t>purpose_built_accelerator_share</t>
        </is>
      </c>
      <c r="E2359" s="3" t="n">
        <v>0.387694</v>
      </c>
      <c r="F2359" s="3" t="inlineStr">
        <is>
          <t>share of inference-serving accelerator load</t>
        </is>
      </c>
      <c r="G2359" s="3" t="inlineStr">
        <is>
          <t>Numeric scenario</t>
        </is>
      </c>
      <c r="H2359" s="3" t="inlineStr">
        <is>
          <t>1 - gpu_share</t>
        </is>
      </c>
      <c r="I2359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59" s="3" t="inlineStr">
        <is>
          <t>SRC_META_LLAMA; SRC_META_LLAMA4_NVIDIA; SRC_META_MTIA_GENAI_2026; SRC_EPOCH_AI_DATA_CENTERS; ASSUMP_NUMERIC_ACCELERATOR_MIX</t>
        </is>
      </c>
      <c r="K2359" s="3" t="inlineStr">
        <is>
          <t>ASSUMP_CONSUMER_AI_UTILIZATION; ASSUMP_POWER_RAMP; ASSUMP_NUMERIC_ACCELERATOR_MIX; ASSUMP_INFERENCE_SHARE_NOT_FACT_60; ASSUMP_WORKLOAD_CLASS_MIX; ASSUMP_AGENTIC_CONTEXT_PENALTY</t>
        </is>
      </c>
      <c r="L2359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60">
      <c r="A2360" s="3" t="inlineStr">
        <is>
          <t>Meta</t>
        </is>
      </c>
      <c r="B2360" s="3" t="n">
        <v>2028</v>
      </c>
      <c r="C2360" s="3" t="inlineStr">
        <is>
          <t>Bull</t>
        </is>
      </c>
      <c r="D2360" s="3" t="inlineStr">
        <is>
          <t>fleet_reference_tps_per_mw</t>
        </is>
      </c>
      <c r="E2360" s="3" t="n">
        <v>941060</v>
      </c>
      <c r="F2360" s="3" t="inlineStr">
        <is>
          <t>generated output tokens/sec/MW</t>
        </is>
      </c>
      <c r="G2360" s="3" t="inlineStr">
        <is>
          <t>Fleet-weighted public benchmark reference</t>
        </is>
      </c>
      <c r="H2360" s="3" t="inlineStr">
        <is>
          <t>h200_share*h200_workload_avg + b200_share*b200_workload_avg + gb200_share*gb200_workload_avg + purpose_built_share*purpose_workload_avg</t>
        </is>
      </c>
      <c r="I2360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60" s="3" t="inlineStr">
        <is>
          <t>SRC_SEMIANALYSIS_INFERENCEX; ASSUMP_NUMERIC_ACCELERATOR_MIX; ASSUMP_WORKLOAD_CLASS_MIX; ASSUMP_AGENTIC_CONTEXT_PENALTY</t>
        </is>
      </c>
      <c r="K2360" s="3" t="inlineStr">
        <is>
          <t>ASSUMP_CONSUMER_AI_UTILIZATION; ASSUMP_POWER_RAMP; ASSUMP_NUMERIC_ACCELERATOR_MIX; ASSUMP_INFERENCE_SHARE_NOT_FACT_60; ASSUMP_WORKLOAD_CLASS_MIX; ASSUMP_AGENTIC_CONTEXT_PENALTY</t>
        </is>
      </c>
      <c r="L2360" s="3" t="inlineStr">
        <is>
          <t>Comparable production output-token throughput or a more closely matched benchmark.</t>
        </is>
      </c>
    </row>
    <row r="2361">
      <c r="A2361" s="3" t="inlineStr">
        <is>
          <t>Meta</t>
        </is>
      </c>
      <c r="B2361" s="3" t="n">
        <v>2028</v>
      </c>
      <c r="C2361" s="3" t="inlineStr">
        <is>
          <t>Bull</t>
        </is>
      </c>
      <c r="D2361" s="3" t="inlineStr">
        <is>
          <t>commercial_workload_fit_factor</t>
        </is>
      </c>
      <c r="E2361" s="3" t="n">
        <v>1</v>
      </c>
      <c r="F2361" s="3" t="inlineStr">
        <is>
          <t>share of public reference throughput</t>
        </is>
      </c>
      <c r="G2361" s="3" t="inlineStr">
        <is>
          <t>Scenario assumption</t>
        </is>
      </c>
      <c r="H2361" s="3" t="inlineStr">
        <is>
          <t>reference_serving_tps_per_mw = fleet_reference_tps_per_mw * commercial_workload_fit_factor</t>
        </is>
      </c>
      <c r="I2361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61" s="3" t="inlineStr">
        <is>
          <t>SRC_SEMIANALYSIS_INFERENCEX; ASSUMP_NUMERIC_ACCELERATOR_MIX; ASSUMP_WORKLOAD_CLASS_MIX; ASSUMP_AGENTIC_CONTEXT_PENALTY</t>
        </is>
      </c>
      <c r="K2361" s="3" t="inlineStr">
        <is>
          <t>ASSUMP_CONSUMER_AI_UTILIZATION; ASSUMP_POWER_RAMP; ASSUMP_NUMERIC_ACCELERATOR_MIX; ASSUMP_INFERENCE_SHARE_NOT_FACT_60; ASSUMP_WORKLOAD_CLASS_MIX; ASSUMP_AGENTIC_CONTEXT_PENALTY</t>
        </is>
      </c>
      <c r="L2361" s="3" t="inlineStr">
        <is>
          <t>Matched commercial serving benchmark by product surface, context shape and latency SLO.</t>
        </is>
      </c>
    </row>
    <row r="2362">
      <c r="A2362" s="3" t="inlineStr">
        <is>
          <t>Meta</t>
        </is>
      </c>
      <c r="B2362" s="3" t="n">
        <v>2028</v>
      </c>
      <c r="C2362" s="3" t="inlineStr">
        <is>
          <t>Bull</t>
        </is>
      </c>
      <c r="D2362" s="3" t="inlineStr">
        <is>
          <t>reference_serving_tps_per_mw</t>
        </is>
      </c>
      <c r="E2362" s="3" t="n">
        <v>941060</v>
      </c>
      <c r="F2362" s="3" t="inlineStr">
        <is>
          <t>generated output tokens/sec/MW</t>
        </is>
      </c>
      <c r="G2362" s="3" t="inlineStr">
        <is>
          <t>Workload-adjusted benchmark proxy</t>
        </is>
      </c>
      <c r="H2362" s="3" t="inlineStr">
        <is>
          <t>fleet_reference_tps_per_mw * commercial_workload_fit_factor</t>
        </is>
      </c>
      <c r="I2362" s="3" t="inlineStr">
        <is>
          <t>This is the coefficient used for headline token generation; each GPU's short chat, long chat and agentic TPS/MW are weighted before fleet mix and commercial fit are applied.</t>
        </is>
      </c>
      <c r="J2362" s="3" t="inlineStr">
        <is>
          <t>SRC_SEMIANALYSIS_INFERENCEX; ASSUMP_NUMERIC_ACCELERATOR_MIX; ASSUMP_WORKLOAD_CLASS_MIX; ASSUMP_AGENTIC_CONTEXT_PENALTY</t>
        </is>
      </c>
      <c r="K2362" s="3" t="inlineStr">
        <is>
          <t>ASSUMP_CONSUMER_AI_UTILIZATION; ASSUMP_POWER_RAMP; ASSUMP_NUMERIC_ACCELERATOR_MIX; ASSUMP_INFERENCE_SHARE_NOT_FACT_60; ASSUMP_WORKLOAD_CLASS_MIX; ASSUMP_AGENTIC_CONTEXT_PENALTY</t>
        </is>
      </c>
      <c r="L2362" s="3" t="inlineStr">
        <is>
          <t>Provider production output-token throughput with comparable workload/SLO.</t>
        </is>
      </c>
    </row>
    <row r="2363">
      <c r="A2363" s="3" t="inlineStr">
        <is>
          <t>Meta</t>
        </is>
      </c>
      <c r="B2363" s="3" t="n">
        <v>2028</v>
      </c>
      <c r="C2363" s="3" t="inlineStr">
        <is>
          <t>Bull</t>
        </is>
      </c>
      <c r="D2363" s="3" t="inlineStr">
        <is>
          <t>purpose_built_tps_per_mw</t>
        </is>
      </c>
      <c r="E2363" s="3" t="n">
        <v>1228515</v>
      </c>
      <c r="F2363" s="3" t="inlineStr">
        <is>
          <t>generated output tokens/sec/MW</t>
        </is>
      </c>
      <c r="G2363" s="3" t="inlineStr">
        <is>
          <t>Conservative no-uplift proxy</t>
        </is>
      </c>
      <c r="H2363" s="3" t="inlineStr">
        <is>
          <t>purpose_built_tps_per_mw = purpose_built_reference_tps_per_mw * commercial_workload_fit_factor until comparable output-token benchmark is adopted</t>
        </is>
      </c>
      <c r="I2363" s="3" t="inlineStr">
        <is>
          <t>No comparable public output-token/MW row adopted; B200 public reference placeholder is used and remains editable.</t>
        </is>
      </c>
      <c r="J2363" s="3" t="inlineStr">
        <is>
          <t>SRC_META_LLAMA; SRC_META_LLAMA4_NVIDIA; SRC_META_MTIA_GENAI_2026; SRC_EPOCH_AI_DATA_CENTERS; ASSUMP_NUMERIC_ACCELERATOR_MIX</t>
        </is>
      </c>
      <c r="K2363" s="3" t="inlineStr">
        <is>
          <t>ASSUMP_CONSUMER_AI_UTILIZATION; ASSUMP_POWER_RAMP; ASSUMP_NUMERIC_ACCELERATOR_MIX; ASSUMP_INFERENCE_SHARE_NOT_FACT_60; ASSUMP_WORKLOAD_CLASS_MIX; ASSUMP_AGENTIC_CONTEXT_PENALTY</t>
        </is>
      </c>
      <c r="L2363" s="3" t="inlineStr">
        <is>
          <t>Matched-workload generated-output benchmark for the provider purpose-built accelerator.</t>
        </is>
      </c>
    </row>
    <row r="2364">
      <c r="A2364" s="3" t="inlineStr">
        <is>
          <t>Meta</t>
        </is>
      </c>
      <c r="B2364" s="3" t="n">
        <v>2028</v>
      </c>
      <c r="C2364" s="3" t="inlineStr">
        <is>
          <t>Bull</t>
        </is>
      </c>
      <c r="D2364" s="3" t="inlineStr">
        <is>
          <t>inference_power_share</t>
        </is>
      </c>
      <c r="E2364" s="3" t="n">
        <v>0.745</v>
      </c>
      <c r="F2364" s="3" t="inlineStr">
        <is>
          <t>share of AI IT load</t>
        </is>
      </c>
      <c r="G2364" s="3" t="inlineStr">
        <is>
          <t>Scenario allocation</t>
        </is>
      </c>
      <c r="H2364" s="3" t="inlineStr">
        <is>
          <t>inference_gw = ai_it_load_gw * inference_power_share</t>
        </is>
      </c>
      <c r="I2364" s="3" t="inlineStr">
        <is>
          <t>Large consumer AI distribution and inference-first MTIA roadmap support a higher inference share scenario.</t>
        </is>
      </c>
      <c r="J2364" s="3" t="inlineStr">
        <is>
          <t>SRC_META_LLAMA; SRC_META_LLAMA4_NVIDIA; SRC_META_MTIA_GENAI_2026; SRC_EPOCH_AI_DATA_CENTERS; ASSUMP_INFERENCE_SHARE_NOT_FACT_60</t>
        </is>
      </c>
      <c r="K2364" s="3" t="inlineStr">
        <is>
          <t>ASSUMP_CONSUMER_AI_UTILIZATION; ASSUMP_POWER_RAMP; ASSUMP_NUMERIC_ACCELERATOR_MIX; ASSUMP_INFERENCE_SHARE_NOT_FACT_60; ASSUMP_WORKLOAD_CLASS_MIX; ASSUMP_AGENTIC_CONTEXT_PENALTY</t>
        </is>
      </c>
      <c r="L2364" s="3" t="inlineStr">
        <is>
          <t>Provider-specific inference/training workload power telemetry.</t>
        </is>
      </c>
    </row>
    <row r="2365">
      <c r="A2365" s="3" t="inlineStr">
        <is>
          <t>Meta</t>
        </is>
      </c>
      <c r="B2365" s="3" t="n">
        <v>2028</v>
      </c>
      <c r="C2365" s="3" t="inlineStr">
        <is>
          <t>Bull</t>
        </is>
      </c>
      <c r="D2365" s="3" t="inlineStr">
        <is>
          <t>inference_gw</t>
        </is>
      </c>
      <c r="E2365" s="3" t="n">
        <v>2.228</v>
      </c>
      <c r="F2365" s="3" t="inlineStr">
        <is>
          <t>GW</t>
        </is>
      </c>
      <c r="G2365" s="3" t="inlineStr">
        <is>
          <t>Derived formula</t>
        </is>
      </c>
      <c r="H2365" s="3" t="inlineStr">
        <is>
          <t>ai_it_load_gw * inference_power_share</t>
        </is>
      </c>
      <c r="I2365" s="3" t="inlineStr">
        <is>
          <t>This is the operational power eligible to become commercial generated output tokens through the selected TPS/MW proxy.</t>
        </is>
      </c>
      <c r="J2365" s="3" t="inlineStr">
        <is>
          <t>SRC_META_LLAMA; SRC_META_LLAMA4_NVIDIA; SRC_META_MTIA_GENAI_2026; SRC_EPOCH_AI_DATA_CENTERS</t>
        </is>
      </c>
      <c r="K2365" s="3" t="inlineStr">
        <is>
          <t>ASSUMP_CONSUMER_AI_UTILIZATION; ASSUMP_POWER_RAMP; ASSUMP_NUMERIC_ACCELERATOR_MIX; ASSUMP_INFERENCE_SHARE_NOT_FACT_60; ASSUMP_WORKLOAD_CLASS_MIX; ASSUMP_AGENTIC_CONTEXT_PENALTY</t>
        </is>
      </c>
      <c r="L2365" s="3" t="inlineStr">
        <is>
          <t>Recompute after AI allocation or inference-share evidence changes.</t>
        </is>
      </c>
    </row>
    <row r="2366">
      <c r="A2366" s="3" t="inlineStr">
        <is>
          <t>Meta</t>
        </is>
      </c>
      <c r="B2366" s="3" t="n">
        <v>2028</v>
      </c>
      <c r="C2366" s="3" t="inlineStr">
        <is>
          <t>Bull</t>
        </is>
      </c>
      <c r="D2366" s="3" t="inlineStr">
        <is>
          <t>training_power_share</t>
        </is>
      </c>
      <c r="E2366" s="3" t="n">
        <v>0.255</v>
      </c>
      <c r="F2366" s="3" t="inlineStr">
        <is>
          <t>share of AI IT load</t>
        </is>
      </c>
      <c r="G2366" s="3" t="inlineStr">
        <is>
          <t>Derived allocation</t>
        </is>
      </c>
      <c r="H2366" s="3" t="inlineStr">
        <is>
          <t>1 - inference_power_share</t>
        </is>
      </c>
      <c r="I2366" s="3" t="inlineStr">
        <is>
          <t>Training receives the complementary modeled AI IT allocation; it is not a disclosed company workload split.</t>
        </is>
      </c>
      <c r="J2366" s="3" t="inlineStr">
        <is>
          <t>SRC_META_LLAMA; SRC_META_LLAMA4_NVIDIA; SRC_META_MTIA_GENAI_2026; SRC_EPOCH_AI_DATA_CENTERS; ASSUMP_INFERENCE_SHARE_NOT_FACT_60</t>
        </is>
      </c>
      <c r="K2366" s="3" t="inlineStr">
        <is>
          <t>ASSUMP_CONSUMER_AI_UTILIZATION; ASSUMP_POWER_RAMP; ASSUMP_NUMERIC_ACCELERATOR_MIX; ASSUMP_INFERENCE_SHARE_NOT_FACT_60; ASSUMP_WORKLOAD_CLASS_MIX; ASSUMP_AGENTIC_CONTEXT_PENALTY</t>
        </is>
      </c>
      <c r="L2366" s="3" t="inlineStr">
        <is>
          <t>Provider-specific inference/training workload power telemetry.</t>
        </is>
      </c>
    </row>
    <row r="2367">
      <c r="A2367" s="3" t="inlineStr">
        <is>
          <t>Meta</t>
        </is>
      </c>
      <c r="B2367" s="3" t="n">
        <v>2028</v>
      </c>
      <c r="C2367" s="3" t="inlineStr">
        <is>
          <t>Bull</t>
        </is>
      </c>
      <c r="D2367" s="3" t="inlineStr">
        <is>
          <t>training_gw</t>
        </is>
      </c>
      <c r="E2367" s="3" t="n">
        <v>0.763</v>
      </c>
      <c r="F2367" s="3" t="inlineStr">
        <is>
          <t>GW</t>
        </is>
      </c>
      <c r="G2367" s="3" t="inlineStr">
        <is>
          <t>Derived formula</t>
        </is>
      </c>
      <c r="H2367" s="3" t="inlineStr">
        <is>
          <t>ai_it_load_gw * training_power_share</t>
        </is>
      </c>
      <c r="I2367" s="3" t="inlineStr">
        <is>
          <t>Training GW is shown separately so commercial inference token capacity is not overstated.</t>
        </is>
      </c>
      <c r="J2367" s="3" t="inlineStr">
        <is>
          <t>SRC_META_LLAMA; SRC_META_LLAMA4_NVIDIA; SRC_META_MTIA_GENAI_2026; SRC_EPOCH_AI_DATA_CENTERS</t>
        </is>
      </c>
      <c r="K2367" s="3" t="inlineStr">
        <is>
          <t>ASSUMP_CONSUMER_AI_UTILIZATION; ASSUMP_POWER_RAMP; ASSUMP_NUMERIC_ACCELERATOR_MIX; ASSUMP_INFERENCE_SHARE_NOT_FACT_60; ASSUMP_WORKLOAD_CLASS_MIX; ASSUMP_AGENTIC_CONTEXT_PENALTY</t>
        </is>
      </c>
      <c r="L2367" s="3" t="inlineStr">
        <is>
          <t>Recompute after AI allocation or workload-split evidence changes.</t>
        </is>
      </c>
    </row>
    <row r="2368">
      <c r="A2368" s="3" t="inlineStr">
        <is>
          <t>Meta</t>
        </is>
      </c>
      <c r="B2368" s="3" t="n">
        <v>2028</v>
      </c>
      <c r="C2368" s="3" t="inlineStr">
        <is>
          <t>Bull</t>
        </is>
      </c>
      <c r="D2368" s="3" t="inlineStr">
        <is>
          <t>tokens_per_second_per_mw</t>
        </is>
      </c>
      <c r="E2368" s="3" t="n">
        <v>941060</v>
      </c>
      <c r="F2368" s="3" t="inlineStr">
        <is>
          <t>generated output tokens/sec/MW</t>
        </is>
      </c>
      <c r="G2368" s="3" t="inlineStr">
        <is>
          <t>Derived estimate + benchmark calibration</t>
        </is>
      </c>
      <c r="H2368" s="3" t="inlineStr">
        <is>
          <t>fleet_reference_tps_per_mw * commercial_workload_fit_factor</t>
        </is>
      </c>
      <c r="I2368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68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68" s="3" t="inlineStr">
        <is>
          <t>ASSUMP_CONSUMER_AI_UTILIZATION; ASSUMP_POWER_RAMP; ASSUMP_NUMERIC_ACCELERATOR_MIX; ASSUMP_INFERENCE_SHARE_NOT_FACT_60; ASSUMP_WORKLOAD_CLASS_MIX; ASSUMP_AGENTIC_CONTEXT_PENALTY</t>
        </is>
      </c>
      <c r="L2368" s="3" t="inlineStr">
        <is>
          <t>Comparable production output-token throughput with model, hardware, precision, ISL/OSL and SLO matched.</t>
        </is>
      </c>
    </row>
    <row r="2369">
      <c r="A2369" s="3" t="inlineStr">
        <is>
          <t>Meta</t>
        </is>
      </c>
      <c r="B2369" s="3" t="n">
        <v>2028</v>
      </c>
      <c r="C2369" s="3" t="inlineStr">
        <is>
          <t>Bull</t>
        </is>
      </c>
      <c r="D2369" s="3" t="inlineStr">
        <is>
          <t>inference_tokens_per_day</t>
        </is>
      </c>
      <c r="E2369" s="3" t="n">
        <v>181153297152000</v>
      </c>
      <c r="F2369" s="3" t="inlineStr">
        <is>
          <t>generated output tokens/day</t>
        </is>
      </c>
      <c r="G2369" s="3" t="inlineStr">
        <is>
          <t>Derived headline metric</t>
        </is>
      </c>
      <c r="H2369" s="3" t="inlineStr">
        <is>
          <t>inference_gw * 1000 * tokens_per_second_per_mw * 86,400</t>
        </is>
      </c>
      <c r="I2369" s="3" t="inlineStr">
        <is>
          <t>Headline capacity uses no utilization, MoE, architecture or software-growth multiplier; it is not observed commercial output volume.</t>
        </is>
      </c>
      <c r="J2369" s="3" t="inlineStr">
        <is>
          <t>SRC_META_LLAMA; SRC_META_LLAMA4_NVIDIA; SRC_META_MTIA_GENAI_2026; SRC_EPOCH_AI_DATA_CENTERS; SRC_SEMIANALYSIS_INFERENCEX</t>
        </is>
      </c>
      <c r="K2369" s="3" t="inlineStr">
        <is>
          <t>ASSUMP_CONSUMER_AI_UTILIZATION; ASSUMP_POWER_RAMP; ASSUMP_NUMERIC_ACCELERATOR_MIX; ASSUMP_INFERENCE_SHARE_NOT_FACT_60; ASSUMP_WORKLOAD_CLASS_MIX; ASSUMP_AGENTIC_CONTEXT_PENALTY</t>
        </is>
      </c>
      <c r="L2369" s="3" t="inlineStr">
        <is>
          <t>Provider-disclosed generated output token volume or calibrated capacity telemetry.</t>
        </is>
      </c>
    </row>
    <row r="2370">
      <c r="A2370" s="3" t="inlineStr">
        <is>
          <t>Meta</t>
        </is>
      </c>
      <c r="B2370" s="3" t="n">
        <v>2028</v>
      </c>
      <c r="C2370" s="3" t="inlineStr">
        <is>
          <t>Bull</t>
        </is>
      </c>
      <c r="D2370" s="3" t="inlineStr">
        <is>
          <t>inference_tokens_per_year</t>
        </is>
      </c>
      <c r="E2370" s="3" t="n">
        <v>6.612095346048e+16</v>
      </c>
      <c r="F2370" s="3" t="inlineStr">
        <is>
          <t>generated output tokens/year</t>
        </is>
      </c>
      <c r="G2370" s="3" t="inlineStr">
        <is>
          <t>Derived headline metric</t>
        </is>
      </c>
      <c r="H2370" s="3" t="inlineStr">
        <is>
          <t>inference_tokens_per_day * 365</t>
        </is>
      </c>
      <c r="I2370" s="3" t="inlineStr">
        <is>
          <t>Annualized version of generated output token capacity; it is not observed annual demand or billable volume.</t>
        </is>
      </c>
      <c r="J2370" s="3" t="inlineStr">
        <is>
          <t>SRC_META_LLAMA; SRC_META_LLAMA4_NVIDIA; SRC_META_MTIA_GENAI_2026; SRC_EPOCH_AI_DATA_CENTERS; SRC_SEMIANALYSIS_INFERENCEX</t>
        </is>
      </c>
      <c r="K2370" s="3" t="inlineStr">
        <is>
          <t>ASSUMP_CONSUMER_AI_UTILIZATION; ASSUMP_POWER_RAMP; ASSUMP_NUMERIC_ACCELERATOR_MIX; ASSUMP_INFERENCE_SHARE_NOT_FACT_60; ASSUMP_WORKLOAD_CLASS_MIX; ASSUMP_AGENTIC_CONTEXT_PENALTY</t>
        </is>
      </c>
      <c r="L2370" s="3" t="inlineStr">
        <is>
          <t>Provider-disclosed annual generated-output volume or metered serving telemetry.</t>
        </is>
      </c>
    </row>
    <row r="2371">
      <c r="A2371" s="3" t="inlineStr">
        <is>
          <t>Meta</t>
        </is>
      </c>
      <c r="B2371" s="3" t="n">
        <v>2029</v>
      </c>
      <c r="C2371" s="3" t="inlineStr">
        <is>
          <t>Bull</t>
        </is>
      </c>
      <c r="D2371" s="3" t="inlineStr">
        <is>
          <t>contracted_power_gw</t>
        </is>
      </c>
      <c r="E2371" s="3" t="n">
        <v>6.125</v>
      </c>
      <c r="F2371" s="3" t="inlineStr">
        <is>
          <t>GW</t>
        </is>
      </c>
      <c r="G2371" s="3" t="inlineStr">
        <is>
          <t>Scenario capacity envelope</t>
        </is>
      </c>
      <c r="H2371" s="3" t="inlineStr">
        <is>
          <t>linear interpolation between 2026 and 2030 company capacity endpoints</t>
        </is>
      </c>
      <c r="I2371" s="3" t="inlineStr">
        <is>
          <t>Scenario envelope for Meta AI/Llama serving capacity; not an official contracted-GW figure.</t>
        </is>
      </c>
      <c r="J2371" s="3" t="inlineStr">
        <is>
          <t>ASSUMP_POWER_RAMP; SRC_META_MTIA_GENAI_2026</t>
        </is>
      </c>
      <c r="K2371" s="3" t="inlineStr">
        <is>
          <t>ASSUMP_CONSUMER_AI_UTILIZATION; ASSUMP_POWER_RAMP; ASSUMP_NUMERIC_ACCELERATOR_MIX; ASSUMP_INFERENCE_SHARE_NOT_FACT_60; ASSUMP_WORKLOAD_CLASS_MIX; ASSUMP_AGENTIC_CONTEXT_PENALTY</t>
        </is>
      </c>
      <c r="L2371" s="3" t="inlineStr">
        <is>
          <t>Company/site-level committed MW/GW, interconnect and contract disclosure.</t>
        </is>
      </c>
    </row>
    <row r="2372">
      <c r="A2372" s="3" t="inlineStr">
        <is>
          <t>Meta</t>
        </is>
      </c>
      <c r="B2372" s="3" t="n">
        <v>2029</v>
      </c>
      <c r="C2372" s="3" t="inlineStr">
        <is>
          <t>Bull</t>
        </is>
      </c>
      <c r="D2372" s="3" t="inlineStr">
        <is>
          <t>operational_deployment_share</t>
        </is>
      </c>
      <c r="E2372" s="3" t="n">
        <v>0.88995918</v>
      </c>
      <c r="F2372" s="3" t="inlineStr">
        <is>
          <t>share</t>
        </is>
      </c>
      <c r="G2372" s="3" t="inlineStr">
        <is>
          <t>Scenario conversion</t>
        </is>
      </c>
      <c r="H2372" s="3" t="inlineStr">
        <is>
          <t>active_power_gw / contracted_power_gw</t>
        </is>
      </c>
      <c r="I2372" s="3" t="inlineStr">
        <is>
          <t>This is the single explicit conversion from contracted/attributed capacity to operationally usable capacity.</t>
        </is>
      </c>
      <c r="J2372" s="3" t="inlineStr">
        <is>
          <t>ASSUMP_POWER_RAMP; SRC_META_MTIA_GENAI_2026</t>
        </is>
      </c>
      <c r="K2372" s="3" t="inlineStr">
        <is>
          <t>ASSUMP_CONSUMER_AI_UTILIZATION; ASSUMP_POWER_RAMP; ASSUMP_NUMERIC_ACCELERATOR_MIX; ASSUMP_INFERENCE_SHARE_NOT_FACT_60; ASSUMP_WORKLOAD_CLASS_MIX; ASSUMP_AGENTIC_CONTEXT_PENALTY</t>
        </is>
      </c>
      <c r="L2372" s="3" t="inlineStr">
        <is>
          <t>Energized operational capacity divided by contracted/attributed capacity.</t>
        </is>
      </c>
    </row>
    <row r="2373">
      <c r="A2373" s="3" t="inlineStr">
        <is>
          <t>Meta</t>
        </is>
      </c>
      <c r="B2373" s="3" t="n">
        <v>2029</v>
      </c>
      <c r="C2373" s="3" t="inlineStr">
        <is>
          <t>Bull</t>
        </is>
      </c>
      <c r="D2373" s="3" t="inlineStr">
        <is>
          <t>active_power_gw</t>
        </is>
      </c>
      <c r="E2373" s="3" t="n">
        <v>5.451</v>
      </c>
      <c r="F2373" s="3" t="inlineStr">
        <is>
          <t>GW</t>
        </is>
      </c>
      <c r="G2373" s="3" t="inlineStr">
        <is>
          <t>Derived scenario</t>
        </is>
      </c>
      <c r="H2373" s="3" t="inlineStr">
        <is>
          <t>contracted_power_gw * operational_deployment_share</t>
        </is>
      </c>
      <c r="I2373" s="3" t="inlineStr">
        <is>
          <t>MTIA deployment direction and consumer product distribution support active ramp, not exact powered GW.</t>
        </is>
      </c>
      <c r="J2373" s="3" t="inlineStr">
        <is>
          <t>ASSUMP_POWER_RAMP; SRC_META_MTIA_GENAI_2026</t>
        </is>
      </c>
      <c r="K2373" s="3" t="inlineStr">
        <is>
          <t>ASSUMP_CONSUMER_AI_UTILIZATION; ASSUMP_POWER_RAMP; ASSUMP_NUMERIC_ACCELERATOR_MIX; ASSUMP_INFERENCE_SHARE_NOT_FACT_60; ASSUMP_WORKLOAD_CLASS_MIX; ASSUMP_AGENTIC_CONTEXT_PENALTY</t>
        </is>
      </c>
      <c r="L2373" s="3" t="inlineStr">
        <is>
          <t>Energization dates, accelerator deliveries and operational powered-rack telemetry.</t>
        </is>
      </c>
    </row>
    <row r="2374">
      <c r="A2374" s="3" t="inlineStr">
        <is>
          <t>Meta</t>
        </is>
      </c>
      <c r="B2374" s="3" t="n">
        <v>2029</v>
      </c>
      <c r="C2374" s="3" t="inlineStr">
        <is>
          <t>Bull</t>
        </is>
      </c>
      <c r="D2374" s="3" t="inlineStr">
        <is>
          <t>pue</t>
        </is>
      </c>
      <c r="E2374" s="3" t="n">
        <v>1.2</v>
      </c>
      <c r="F2374" s="3" t="inlineStr">
        <is>
          <t>ratio</t>
        </is>
      </c>
      <c r="G2374" s="3" t="inlineStr">
        <is>
          <t>Scenario parameter</t>
        </is>
      </c>
      <c r="H2374" s="3" t="inlineStr">
        <is>
          <t>it_load_gw = active_power_gw / pue</t>
        </is>
      </c>
      <c r="I2374" s="3" t="inlineStr">
        <is>
          <t>No provider-wide site-level PUE is used as a disclosed fact; PUE represents facility-to-IT conversion within the scenario.</t>
        </is>
      </c>
      <c r="J2374" s="3" t="inlineStr">
        <is>
          <t>ASSUMP_POWER_RAMP</t>
        </is>
      </c>
      <c r="K2374" s="3" t="inlineStr">
        <is>
          <t>ASSUMP_CONSUMER_AI_UTILIZATION; ASSUMP_POWER_RAMP; ASSUMP_NUMERIC_ACCELERATOR_MIX; ASSUMP_INFERENCE_SHARE_NOT_FACT_60; ASSUMP_WORKLOAD_CLASS_MIX; ASSUMP_AGENTIC_CONTEXT_PENALTY</t>
        </is>
      </c>
      <c r="L2374" s="3" t="inlineStr">
        <is>
          <t>Site-level measured PUE matched to attributed AI capacity.</t>
        </is>
      </c>
    </row>
    <row r="2375">
      <c r="A2375" s="3" t="inlineStr">
        <is>
          <t>Meta</t>
        </is>
      </c>
      <c r="B2375" s="3" t="n">
        <v>2029</v>
      </c>
      <c r="C2375" s="3" t="inlineStr">
        <is>
          <t>Bull</t>
        </is>
      </c>
      <c r="D2375" s="3" t="inlineStr">
        <is>
          <t>it_load_gw</t>
        </is>
      </c>
      <c r="E2375" s="3" t="n">
        <v>4.542</v>
      </c>
      <c r="F2375" s="3" t="inlineStr">
        <is>
          <t>GW</t>
        </is>
      </c>
      <c r="G2375" s="3" t="inlineStr">
        <is>
          <t>Derived formula</t>
        </is>
      </c>
      <c r="H2375" s="3" t="inlineStr">
        <is>
          <t>active_power_gw / pue</t>
        </is>
      </c>
      <c r="I2375" s="3" t="inlineStr">
        <is>
          <t>Facility power is converted to IT-deliverable power before attributing AI workloads.</t>
        </is>
      </c>
      <c r="J2375" s="3" t="inlineStr">
        <is>
          <t>ASSUMP_POWER_RAMP; SRC_META_MTIA_GENAI_2026</t>
        </is>
      </c>
      <c r="K2375" s="3" t="inlineStr">
        <is>
          <t>ASSUMP_CONSUMER_AI_UTILIZATION; ASSUMP_POWER_RAMP; ASSUMP_NUMERIC_ACCELERATOR_MIX; ASSUMP_INFERENCE_SHARE_NOT_FACT_60; ASSUMP_WORKLOAD_CLASS_MIX; ASSUMP_AGENTIC_CONTEXT_PENALTY</t>
        </is>
      </c>
      <c r="L2375" s="3" t="inlineStr">
        <is>
          <t>Recompute once active power and PUE become site-observable.</t>
        </is>
      </c>
    </row>
    <row r="2376">
      <c r="A2376" s="3" t="inlineStr">
        <is>
          <t>Meta</t>
        </is>
      </c>
      <c r="B2376" s="3" t="n">
        <v>2029</v>
      </c>
      <c r="C2376" s="3" t="inlineStr">
        <is>
          <t>Bull</t>
        </is>
      </c>
      <c r="D2376" s="3" t="inlineStr">
        <is>
          <t>ai_workload_share</t>
        </is>
      </c>
      <c r="E2376" s="3" t="n">
        <v>0.87</v>
      </c>
      <c r="F2376" s="3" t="inlineStr">
        <is>
          <t>share</t>
        </is>
      </c>
      <c r="G2376" s="3" t="inlineStr">
        <is>
          <t>Scenario allocation</t>
        </is>
      </c>
      <c r="H2376" s="3" t="inlineStr">
        <is>
          <t>ai_it_load_gw = it_load_gw * ai_workload_share</t>
        </is>
      </c>
      <c r="I2376" s="3" t="inlineStr">
        <is>
          <t>The modeled fleet is focused on AI workloads across Meta AI surfaces; non-LLM ranking/platform overhead is excluded through the 87% share.</t>
        </is>
      </c>
      <c r="J2376" s="3" t="inlineStr">
        <is>
          <t>SRC_META_LLAMA; SRC_META_LLAMA4_NVIDIA; SRC_META_MTIA_GENAI_2026; SRC_EPOCH_AI_DATA_CENTERS</t>
        </is>
      </c>
      <c r="K2376" s="3" t="inlineStr">
        <is>
          <t>ASSUMP_CONSUMER_AI_UTILIZATION; ASSUMP_POWER_RAMP; ASSUMP_NUMERIC_ACCELERATOR_MIX; ASSUMP_INFERENCE_SHARE_NOT_FACT_60; ASSUMP_WORKLOAD_CLASS_MIX; ASSUMP_AGENTIC_CONTEXT_PENALTY</t>
        </is>
      </c>
      <c r="L2376" s="3" t="inlineStr">
        <is>
          <t>Model-owner AI workload allocation or cluster scheduling telemetry.</t>
        </is>
      </c>
    </row>
    <row r="2377">
      <c r="A2377" s="3" t="inlineStr">
        <is>
          <t>Meta</t>
        </is>
      </c>
      <c r="B2377" s="3" t="n">
        <v>2029</v>
      </c>
      <c r="C2377" s="3" t="inlineStr">
        <is>
          <t>Bull</t>
        </is>
      </c>
      <c r="D2377" s="3" t="inlineStr">
        <is>
          <t>ai_it_load_gw</t>
        </is>
      </c>
      <c r="E2377" s="3" t="n">
        <v>3.952</v>
      </c>
      <c r="F2377" s="3" t="inlineStr">
        <is>
          <t>GW</t>
        </is>
      </c>
      <c r="G2377" s="3" t="inlineStr">
        <is>
          <t>Derived formula</t>
        </is>
      </c>
      <c r="H2377" s="3" t="inlineStr">
        <is>
          <t>it_load_gw * ai_workload_share</t>
        </is>
      </c>
      <c r="I2377" s="3" t="inlineStr">
        <is>
          <t>Only the AI-attributed portion of IT load enters training/inference allocation.</t>
        </is>
      </c>
      <c r="J2377" s="3" t="inlineStr">
        <is>
          <t>SRC_META_LLAMA; SRC_META_LLAMA4_NVIDIA; SRC_META_MTIA_GENAI_2026; SRC_EPOCH_AI_DATA_CENTERS</t>
        </is>
      </c>
      <c r="K2377" s="3" t="inlineStr">
        <is>
          <t>ASSUMP_CONSUMER_AI_UTILIZATION; ASSUMP_POWER_RAMP; ASSUMP_NUMERIC_ACCELERATOR_MIX; ASSUMP_INFERENCE_SHARE_NOT_FACT_60; ASSUMP_WORKLOAD_CLASS_MIX; ASSUMP_AGENTIC_CONTEXT_PENALTY</t>
        </is>
      </c>
      <c r="L2377" s="3" t="inlineStr">
        <is>
          <t>Recompute after ai_workload_share is replaced by telemetry.</t>
        </is>
      </c>
    </row>
    <row r="2378">
      <c r="A2378" s="3" t="inlineStr">
        <is>
          <t>Meta</t>
        </is>
      </c>
      <c r="B2378" s="3" t="n">
        <v>2029</v>
      </c>
      <c r="C2378" s="3" t="inlineStr">
        <is>
          <t>Bull</t>
        </is>
      </c>
      <c r="D2378" s="3" t="inlineStr">
        <is>
          <t>gpu_share</t>
        </is>
      </c>
      <c r="E2378" s="3" t="n">
        <v>0.612306</v>
      </c>
      <c r="F2378" s="3" t="inlineStr">
        <is>
          <t>share of inference-serving accelerator load</t>
        </is>
      </c>
      <c r="G2378" s="3" t="inlineStr">
        <is>
          <t>Numeric scenario</t>
        </is>
      </c>
      <c r="H2378" s="3" t="inlineStr">
        <is>
          <t>gpu_share interpolated from company 2026/2030 accelerator-mix endpoints</t>
        </is>
      </c>
      <c r="I2378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78" s="3" t="inlineStr">
        <is>
          <t>SRC_META_LLAMA; SRC_META_LLAMA4_NVIDIA; SRC_META_MTIA_GENAI_2026; SRC_EPOCH_AI_DATA_CENTERS; ASSUMP_NUMERIC_ACCELERATOR_MIX</t>
        </is>
      </c>
      <c r="K2378" s="3" t="inlineStr">
        <is>
          <t>ASSUMP_CONSUMER_AI_UTILIZATION; ASSUMP_POWER_RAMP; ASSUMP_NUMERIC_ACCELERATOR_MIX; ASSUMP_INFERENCE_SHARE_NOT_FACT_60; ASSUMP_WORKLOAD_CLASS_MIX; ASSUMP_AGENTIC_CONTEXT_PENALTY</t>
        </is>
      </c>
      <c r="L2378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79">
      <c r="A2379" s="3" t="inlineStr">
        <is>
          <t>Meta</t>
        </is>
      </c>
      <c r="B2379" s="3" t="n">
        <v>2029</v>
      </c>
      <c r="C2379" s="3" t="inlineStr">
        <is>
          <t>Bull</t>
        </is>
      </c>
      <c r="D2379" s="3" t="inlineStr">
        <is>
          <t>h200_share</t>
        </is>
      </c>
      <c r="E2379" s="3" t="n">
        <v>0</v>
      </c>
      <c r="F2379" s="3" t="inlineStr">
        <is>
          <t>share of inference-serving accelerator load</t>
        </is>
      </c>
      <c r="G2379" s="3" t="inlineStr">
        <is>
          <t>Editable numeric scenario</t>
        </is>
      </c>
      <c r="H2379" s="3" t="inlineStr">
        <is>
          <t>h200_share = gpu_share * default_gpu_generation_mix_h200</t>
        </is>
      </c>
      <c r="I2379" s="3" t="inlineStr">
        <is>
          <t>Default GPU-generation migration assumption; executive workbook allows later manual replacement by company/year/scenario.</t>
        </is>
      </c>
      <c r="J2379" s="3" t="inlineStr">
        <is>
          <t>SRC_SEMIANALYSIS_INFERENCEX; ASSUMP_NUMERIC_ACCELERATOR_MIX</t>
        </is>
      </c>
      <c r="K2379" s="3" t="inlineStr">
        <is>
          <t>ASSUMP_CONSUMER_AI_UTILIZATION; ASSUMP_POWER_RAMP; ASSUMP_NUMERIC_ACCELERATOR_MIX; ASSUMP_INFERENCE_SHARE_NOT_FACT_60; ASSUMP_WORKLOAD_CLASS_MIX; ASSUMP_AGENTIC_CONTEXT_PENALTY</t>
        </is>
      </c>
      <c r="L2379" s="3" t="inlineStr">
        <is>
          <t>Company fleet inventory, accelerator-hours or procurement/deployment records by GPU generation.</t>
        </is>
      </c>
    </row>
    <row r="2380">
      <c r="A2380" s="3" t="inlineStr">
        <is>
          <t>Meta</t>
        </is>
      </c>
      <c r="B2380" s="3" t="n">
        <v>2029</v>
      </c>
      <c r="C2380" s="3" t="inlineStr">
        <is>
          <t>Bull</t>
        </is>
      </c>
      <c r="D2380" s="3" t="inlineStr">
        <is>
          <t>b200_share</t>
        </is>
      </c>
      <c r="E2380" s="3" t="n">
        <v>0.612306</v>
      </c>
      <c r="F2380" s="3" t="inlineStr">
        <is>
          <t>share of inference-serving accelerator load</t>
        </is>
      </c>
      <c r="G2380" s="3" t="inlineStr">
        <is>
          <t>Editable numeric scenario</t>
        </is>
      </c>
      <c r="H2380" s="3" t="inlineStr">
        <is>
          <t>b200_share = gpu_share * default_gpu_generation_mix_b200</t>
        </is>
      </c>
      <c r="I2380" s="3" t="inlineStr">
        <is>
          <t>Default GPU-generation migration assumption; executive workbook allows later manual replacement by company/year/scenario.</t>
        </is>
      </c>
      <c r="J2380" s="3" t="inlineStr">
        <is>
          <t>SRC_SEMIANALYSIS_INFERENCEX; ASSUMP_NUMERIC_ACCELERATOR_MIX</t>
        </is>
      </c>
      <c r="K2380" s="3" t="inlineStr">
        <is>
          <t>ASSUMP_CONSUMER_AI_UTILIZATION; ASSUMP_POWER_RAMP; ASSUMP_NUMERIC_ACCELERATOR_MIX; ASSUMP_INFERENCE_SHARE_NOT_FACT_60; ASSUMP_WORKLOAD_CLASS_MIX; ASSUMP_AGENTIC_CONTEXT_PENALTY</t>
        </is>
      </c>
      <c r="L2380" s="3" t="inlineStr">
        <is>
          <t>Company fleet inventory, accelerator-hours or procurement/deployment records by GPU generation.</t>
        </is>
      </c>
    </row>
    <row r="2381">
      <c r="A2381" s="3" t="inlineStr">
        <is>
          <t>Meta</t>
        </is>
      </c>
      <c r="B2381" s="3" t="n">
        <v>2029</v>
      </c>
      <c r="C2381" s="3" t="inlineStr">
        <is>
          <t>Bull</t>
        </is>
      </c>
      <c r="D2381" s="3" t="inlineStr">
        <is>
          <t>gb200_share</t>
        </is>
      </c>
      <c r="E2381" s="3" t="n">
        <v>0</v>
      </c>
      <c r="F2381" s="3" t="inlineStr">
        <is>
          <t>share of inference-serving accelerator load</t>
        </is>
      </c>
      <c r="G2381" s="3" t="inlineStr">
        <is>
          <t>Editable numeric scenario</t>
        </is>
      </c>
      <c r="H2381" s="3" t="inlineStr">
        <is>
          <t>gb200_share = gpu_share * default_gpu_generation_mix_gb200</t>
        </is>
      </c>
      <c r="I2381" s="3" t="inlineStr">
        <is>
          <t>Default GPU-generation migration assumption; executive workbook allows later manual replacement by company/year/scenario.</t>
        </is>
      </c>
      <c r="J2381" s="3" t="inlineStr">
        <is>
          <t>SRC_SEMIANALYSIS_INFERENCEX; ASSUMP_NUMERIC_ACCELERATOR_MIX</t>
        </is>
      </c>
      <c r="K2381" s="3" t="inlineStr">
        <is>
          <t>ASSUMP_CONSUMER_AI_UTILIZATION; ASSUMP_POWER_RAMP; ASSUMP_NUMERIC_ACCELERATOR_MIX; ASSUMP_INFERENCE_SHARE_NOT_FACT_60; ASSUMP_WORKLOAD_CLASS_MIX; ASSUMP_AGENTIC_CONTEXT_PENALTY</t>
        </is>
      </c>
      <c r="L2381" s="3" t="inlineStr">
        <is>
          <t>Company fleet inventory, accelerator-hours or procurement/deployment records by GPU generation.</t>
        </is>
      </c>
    </row>
    <row r="2382">
      <c r="A2382" s="3" t="inlineStr">
        <is>
          <t>Meta</t>
        </is>
      </c>
      <c r="B2382" s="3" t="n">
        <v>2029</v>
      </c>
      <c r="C2382" s="3" t="inlineStr">
        <is>
          <t>Bull</t>
        </is>
      </c>
      <c r="D2382" s="3" t="inlineStr">
        <is>
          <t>purpose_built_accelerator_share</t>
        </is>
      </c>
      <c r="E2382" s="3" t="n">
        <v>0.387694</v>
      </c>
      <c r="F2382" s="3" t="inlineStr">
        <is>
          <t>share of inference-serving accelerator load</t>
        </is>
      </c>
      <c r="G2382" s="3" t="inlineStr">
        <is>
          <t>Numeric scenario</t>
        </is>
      </c>
      <c r="H2382" s="3" t="inlineStr">
        <is>
          <t>1 - gpu_share</t>
        </is>
      </c>
      <c r="I2382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382" s="3" t="inlineStr">
        <is>
          <t>SRC_META_LLAMA; SRC_META_LLAMA4_NVIDIA; SRC_META_MTIA_GENAI_2026; SRC_EPOCH_AI_DATA_CENTERS; ASSUMP_NUMERIC_ACCELERATOR_MIX</t>
        </is>
      </c>
      <c r="K2382" s="3" t="inlineStr">
        <is>
          <t>ASSUMP_CONSUMER_AI_UTILIZATION; ASSUMP_POWER_RAMP; ASSUMP_NUMERIC_ACCELERATOR_MIX; ASSUMP_INFERENCE_SHARE_NOT_FACT_60; ASSUMP_WORKLOAD_CLASS_MIX; ASSUMP_AGENTIC_CONTEXT_PENALTY</t>
        </is>
      </c>
      <c r="L2382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383">
      <c r="A2383" s="3" t="inlineStr">
        <is>
          <t>Meta</t>
        </is>
      </c>
      <c r="B2383" s="3" t="n">
        <v>2029</v>
      </c>
      <c r="C2383" s="3" t="inlineStr">
        <is>
          <t>Bull</t>
        </is>
      </c>
      <c r="D2383" s="3" t="inlineStr">
        <is>
          <t>fleet_reference_tps_per_mw</t>
        </is>
      </c>
      <c r="E2383" s="3" t="n">
        <v>941060</v>
      </c>
      <c r="F2383" s="3" t="inlineStr">
        <is>
          <t>generated output tokens/sec/MW</t>
        </is>
      </c>
      <c r="G2383" s="3" t="inlineStr">
        <is>
          <t>Fleet-weighted public benchmark reference</t>
        </is>
      </c>
      <c r="H2383" s="3" t="inlineStr">
        <is>
          <t>h200_share*h200_workload_avg + b200_share*b200_workload_avg + gb200_share*gb200_workload_avg + purpose_built_share*purpose_workload_avg</t>
        </is>
      </c>
      <c r="I2383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383" s="3" t="inlineStr">
        <is>
          <t>SRC_SEMIANALYSIS_INFERENCEX; ASSUMP_NUMERIC_ACCELERATOR_MIX; ASSUMP_WORKLOAD_CLASS_MIX; ASSUMP_AGENTIC_CONTEXT_PENALTY</t>
        </is>
      </c>
      <c r="K2383" s="3" t="inlineStr">
        <is>
          <t>ASSUMP_CONSUMER_AI_UTILIZATION; ASSUMP_POWER_RAMP; ASSUMP_NUMERIC_ACCELERATOR_MIX; ASSUMP_INFERENCE_SHARE_NOT_FACT_60; ASSUMP_WORKLOAD_CLASS_MIX; ASSUMP_AGENTIC_CONTEXT_PENALTY</t>
        </is>
      </c>
      <c r="L2383" s="3" t="inlineStr">
        <is>
          <t>Comparable production output-token throughput or a more closely matched benchmark.</t>
        </is>
      </c>
    </row>
    <row r="2384">
      <c r="A2384" s="3" t="inlineStr">
        <is>
          <t>Meta</t>
        </is>
      </c>
      <c r="B2384" s="3" t="n">
        <v>2029</v>
      </c>
      <c r="C2384" s="3" t="inlineStr">
        <is>
          <t>Bull</t>
        </is>
      </c>
      <c r="D2384" s="3" t="inlineStr">
        <is>
          <t>commercial_workload_fit_factor</t>
        </is>
      </c>
      <c r="E2384" s="3" t="n">
        <v>1</v>
      </c>
      <c r="F2384" s="3" t="inlineStr">
        <is>
          <t>share of public reference throughput</t>
        </is>
      </c>
      <c r="G2384" s="3" t="inlineStr">
        <is>
          <t>Scenario assumption</t>
        </is>
      </c>
      <c r="H2384" s="3" t="inlineStr">
        <is>
          <t>reference_serving_tps_per_mw = fleet_reference_tps_per_mw * commercial_workload_fit_factor</t>
        </is>
      </c>
      <c r="I2384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384" s="3" t="inlineStr">
        <is>
          <t>SRC_SEMIANALYSIS_INFERENCEX; ASSUMP_NUMERIC_ACCELERATOR_MIX; ASSUMP_WORKLOAD_CLASS_MIX; ASSUMP_AGENTIC_CONTEXT_PENALTY</t>
        </is>
      </c>
      <c r="K2384" s="3" t="inlineStr">
        <is>
          <t>ASSUMP_CONSUMER_AI_UTILIZATION; ASSUMP_POWER_RAMP; ASSUMP_NUMERIC_ACCELERATOR_MIX; ASSUMP_INFERENCE_SHARE_NOT_FACT_60; ASSUMP_WORKLOAD_CLASS_MIX; ASSUMP_AGENTIC_CONTEXT_PENALTY</t>
        </is>
      </c>
      <c r="L2384" s="3" t="inlineStr">
        <is>
          <t>Matched commercial serving benchmark by product surface, context shape and latency SLO.</t>
        </is>
      </c>
    </row>
    <row r="2385">
      <c r="A2385" s="3" t="inlineStr">
        <is>
          <t>Meta</t>
        </is>
      </c>
      <c r="B2385" s="3" t="n">
        <v>2029</v>
      </c>
      <c r="C2385" s="3" t="inlineStr">
        <is>
          <t>Bull</t>
        </is>
      </c>
      <c r="D2385" s="3" t="inlineStr">
        <is>
          <t>reference_serving_tps_per_mw</t>
        </is>
      </c>
      <c r="E2385" s="3" t="n">
        <v>941060</v>
      </c>
      <c r="F2385" s="3" t="inlineStr">
        <is>
          <t>generated output tokens/sec/MW</t>
        </is>
      </c>
      <c r="G2385" s="3" t="inlineStr">
        <is>
          <t>Workload-adjusted benchmark proxy</t>
        </is>
      </c>
      <c r="H2385" s="3" t="inlineStr">
        <is>
          <t>fleet_reference_tps_per_mw * commercial_workload_fit_factor</t>
        </is>
      </c>
      <c r="I2385" s="3" t="inlineStr">
        <is>
          <t>This is the coefficient used for headline token generation; each GPU's short chat, long chat and agentic TPS/MW are weighted before fleet mix and commercial fit are applied.</t>
        </is>
      </c>
      <c r="J2385" s="3" t="inlineStr">
        <is>
          <t>SRC_SEMIANALYSIS_INFERENCEX; ASSUMP_NUMERIC_ACCELERATOR_MIX; ASSUMP_WORKLOAD_CLASS_MIX; ASSUMP_AGENTIC_CONTEXT_PENALTY</t>
        </is>
      </c>
      <c r="K2385" s="3" t="inlineStr">
        <is>
          <t>ASSUMP_CONSUMER_AI_UTILIZATION; ASSUMP_POWER_RAMP; ASSUMP_NUMERIC_ACCELERATOR_MIX; ASSUMP_INFERENCE_SHARE_NOT_FACT_60; ASSUMP_WORKLOAD_CLASS_MIX; ASSUMP_AGENTIC_CONTEXT_PENALTY</t>
        </is>
      </c>
      <c r="L2385" s="3" t="inlineStr">
        <is>
          <t>Provider production output-token throughput with comparable workload/SLO.</t>
        </is>
      </c>
    </row>
    <row r="2386">
      <c r="A2386" s="3" t="inlineStr">
        <is>
          <t>Meta</t>
        </is>
      </c>
      <c r="B2386" s="3" t="n">
        <v>2029</v>
      </c>
      <c r="C2386" s="3" t="inlineStr">
        <is>
          <t>Bull</t>
        </is>
      </c>
      <c r="D2386" s="3" t="inlineStr">
        <is>
          <t>purpose_built_tps_per_mw</t>
        </is>
      </c>
      <c r="E2386" s="3" t="n">
        <v>1228515</v>
      </c>
      <c r="F2386" s="3" t="inlineStr">
        <is>
          <t>generated output tokens/sec/MW</t>
        </is>
      </c>
      <c r="G2386" s="3" t="inlineStr">
        <is>
          <t>Conservative no-uplift proxy</t>
        </is>
      </c>
      <c r="H2386" s="3" t="inlineStr">
        <is>
          <t>purpose_built_tps_per_mw = purpose_built_reference_tps_per_mw * commercial_workload_fit_factor until comparable output-token benchmark is adopted</t>
        </is>
      </c>
      <c r="I2386" s="3" t="inlineStr">
        <is>
          <t>No comparable public output-token/MW row adopted; B200 public reference placeholder is used and remains editable.</t>
        </is>
      </c>
      <c r="J2386" s="3" t="inlineStr">
        <is>
          <t>SRC_META_LLAMA; SRC_META_LLAMA4_NVIDIA; SRC_META_MTIA_GENAI_2026; SRC_EPOCH_AI_DATA_CENTERS; ASSUMP_NUMERIC_ACCELERATOR_MIX</t>
        </is>
      </c>
      <c r="K2386" s="3" t="inlineStr">
        <is>
          <t>ASSUMP_CONSUMER_AI_UTILIZATION; ASSUMP_POWER_RAMP; ASSUMP_NUMERIC_ACCELERATOR_MIX; ASSUMP_INFERENCE_SHARE_NOT_FACT_60; ASSUMP_WORKLOAD_CLASS_MIX; ASSUMP_AGENTIC_CONTEXT_PENALTY</t>
        </is>
      </c>
      <c r="L2386" s="3" t="inlineStr">
        <is>
          <t>Matched-workload generated-output benchmark for the provider purpose-built accelerator.</t>
        </is>
      </c>
    </row>
    <row r="2387">
      <c r="A2387" s="3" t="inlineStr">
        <is>
          <t>Meta</t>
        </is>
      </c>
      <c r="B2387" s="3" t="n">
        <v>2029</v>
      </c>
      <c r="C2387" s="3" t="inlineStr">
        <is>
          <t>Bull</t>
        </is>
      </c>
      <c r="D2387" s="3" t="inlineStr">
        <is>
          <t>inference_power_share</t>
        </is>
      </c>
      <c r="E2387" s="3" t="n">
        <v>0.802</v>
      </c>
      <c r="F2387" s="3" t="inlineStr">
        <is>
          <t>share of AI IT load</t>
        </is>
      </c>
      <c r="G2387" s="3" t="inlineStr">
        <is>
          <t>Scenario allocation</t>
        </is>
      </c>
      <c r="H2387" s="3" t="inlineStr">
        <is>
          <t>inference_gw = ai_it_load_gw * inference_power_share</t>
        </is>
      </c>
      <c r="I2387" s="3" t="inlineStr">
        <is>
          <t>Large consumer AI distribution and inference-first MTIA roadmap support a higher inference share scenario.</t>
        </is>
      </c>
      <c r="J2387" s="3" t="inlineStr">
        <is>
          <t>SRC_META_LLAMA; SRC_META_LLAMA4_NVIDIA; SRC_META_MTIA_GENAI_2026; SRC_EPOCH_AI_DATA_CENTERS; ASSUMP_INFERENCE_SHARE_NOT_FACT_60</t>
        </is>
      </c>
      <c r="K2387" s="3" t="inlineStr">
        <is>
          <t>ASSUMP_CONSUMER_AI_UTILIZATION; ASSUMP_POWER_RAMP; ASSUMP_NUMERIC_ACCELERATOR_MIX; ASSUMP_INFERENCE_SHARE_NOT_FACT_60; ASSUMP_WORKLOAD_CLASS_MIX; ASSUMP_AGENTIC_CONTEXT_PENALTY</t>
        </is>
      </c>
      <c r="L2387" s="3" t="inlineStr">
        <is>
          <t>Provider-specific inference/training workload power telemetry.</t>
        </is>
      </c>
    </row>
    <row r="2388">
      <c r="A2388" s="3" t="inlineStr">
        <is>
          <t>Meta</t>
        </is>
      </c>
      <c r="B2388" s="3" t="n">
        <v>2029</v>
      </c>
      <c r="C2388" s="3" t="inlineStr">
        <is>
          <t>Bull</t>
        </is>
      </c>
      <c r="D2388" s="3" t="inlineStr">
        <is>
          <t>inference_gw</t>
        </is>
      </c>
      <c r="E2388" s="3" t="n">
        <v>3.171</v>
      </c>
      <c r="F2388" s="3" t="inlineStr">
        <is>
          <t>GW</t>
        </is>
      </c>
      <c r="G2388" s="3" t="inlineStr">
        <is>
          <t>Derived formula</t>
        </is>
      </c>
      <c r="H2388" s="3" t="inlineStr">
        <is>
          <t>ai_it_load_gw * inference_power_share</t>
        </is>
      </c>
      <c r="I2388" s="3" t="inlineStr">
        <is>
          <t>This is the operational power eligible to become commercial generated output tokens through the selected TPS/MW proxy.</t>
        </is>
      </c>
      <c r="J2388" s="3" t="inlineStr">
        <is>
          <t>SRC_META_LLAMA; SRC_META_LLAMA4_NVIDIA; SRC_META_MTIA_GENAI_2026; SRC_EPOCH_AI_DATA_CENTERS</t>
        </is>
      </c>
      <c r="K2388" s="3" t="inlineStr">
        <is>
          <t>ASSUMP_CONSUMER_AI_UTILIZATION; ASSUMP_POWER_RAMP; ASSUMP_NUMERIC_ACCELERATOR_MIX; ASSUMP_INFERENCE_SHARE_NOT_FACT_60; ASSUMP_WORKLOAD_CLASS_MIX; ASSUMP_AGENTIC_CONTEXT_PENALTY</t>
        </is>
      </c>
      <c r="L2388" s="3" t="inlineStr">
        <is>
          <t>Recompute after AI allocation or inference-share evidence changes.</t>
        </is>
      </c>
    </row>
    <row r="2389">
      <c r="A2389" s="3" t="inlineStr">
        <is>
          <t>Meta</t>
        </is>
      </c>
      <c r="B2389" s="3" t="n">
        <v>2029</v>
      </c>
      <c r="C2389" s="3" t="inlineStr">
        <is>
          <t>Bull</t>
        </is>
      </c>
      <c r="D2389" s="3" t="inlineStr">
        <is>
          <t>training_power_share</t>
        </is>
      </c>
      <c r="E2389" s="3" t="n">
        <v>0.198</v>
      </c>
      <c r="F2389" s="3" t="inlineStr">
        <is>
          <t>share of AI IT load</t>
        </is>
      </c>
      <c r="G2389" s="3" t="inlineStr">
        <is>
          <t>Derived allocation</t>
        </is>
      </c>
      <c r="H2389" s="3" t="inlineStr">
        <is>
          <t>1 - inference_power_share</t>
        </is>
      </c>
      <c r="I2389" s="3" t="inlineStr">
        <is>
          <t>Training receives the complementary modeled AI IT allocation; it is not a disclosed company workload split.</t>
        </is>
      </c>
      <c r="J2389" s="3" t="inlineStr">
        <is>
          <t>SRC_META_LLAMA; SRC_META_LLAMA4_NVIDIA; SRC_META_MTIA_GENAI_2026; SRC_EPOCH_AI_DATA_CENTERS; ASSUMP_INFERENCE_SHARE_NOT_FACT_60</t>
        </is>
      </c>
      <c r="K2389" s="3" t="inlineStr">
        <is>
          <t>ASSUMP_CONSUMER_AI_UTILIZATION; ASSUMP_POWER_RAMP; ASSUMP_NUMERIC_ACCELERATOR_MIX; ASSUMP_INFERENCE_SHARE_NOT_FACT_60; ASSUMP_WORKLOAD_CLASS_MIX; ASSUMP_AGENTIC_CONTEXT_PENALTY</t>
        </is>
      </c>
      <c r="L2389" s="3" t="inlineStr">
        <is>
          <t>Provider-specific inference/training workload power telemetry.</t>
        </is>
      </c>
    </row>
    <row r="2390">
      <c r="A2390" s="3" t="inlineStr">
        <is>
          <t>Meta</t>
        </is>
      </c>
      <c r="B2390" s="3" t="n">
        <v>2029</v>
      </c>
      <c r="C2390" s="3" t="inlineStr">
        <is>
          <t>Bull</t>
        </is>
      </c>
      <c r="D2390" s="3" t="inlineStr">
        <is>
          <t>training_gw</t>
        </is>
      </c>
      <c r="E2390" s="3" t="n">
        <v>0.78</v>
      </c>
      <c r="F2390" s="3" t="inlineStr">
        <is>
          <t>GW</t>
        </is>
      </c>
      <c r="G2390" s="3" t="inlineStr">
        <is>
          <t>Derived formula</t>
        </is>
      </c>
      <c r="H2390" s="3" t="inlineStr">
        <is>
          <t>ai_it_load_gw * training_power_share</t>
        </is>
      </c>
      <c r="I2390" s="3" t="inlineStr">
        <is>
          <t>Training GW is shown separately so commercial inference token capacity is not overstated.</t>
        </is>
      </c>
      <c r="J2390" s="3" t="inlineStr">
        <is>
          <t>SRC_META_LLAMA; SRC_META_LLAMA4_NVIDIA; SRC_META_MTIA_GENAI_2026; SRC_EPOCH_AI_DATA_CENTERS</t>
        </is>
      </c>
      <c r="K2390" s="3" t="inlineStr">
        <is>
          <t>ASSUMP_CONSUMER_AI_UTILIZATION; ASSUMP_POWER_RAMP; ASSUMP_NUMERIC_ACCELERATOR_MIX; ASSUMP_INFERENCE_SHARE_NOT_FACT_60; ASSUMP_WORKLOAD_CLASS_MIX; ASSUMP_AGENTIC_CONTEXT_PENALTY</t>
        </is>
      </c>
      <c r="L2390" s="3" t="inlineStr">
        <is>
          <t>Recompute after AI allocation or workload-split evidence changes.</t>
        </is>
      </c>
    </row>
    <row r="2391">
      <c r="A2391" s="3" t="inlineStr">
        <is>
          <t>Meta</t>
        </is>
      </c>
      <c r="B2391" s="3" t="n">
        <v>2029</v>
      </c>
      <c r="C2391" s="3" t="inlineStr">
        <is>
          <t>Bull</t>
        </is>
      </c>
      <c r="D2391" s="3" t="inlineStr">
        <is>
          <t>tokens_per_second_per_mw</t>
        </is>
      </c>
      <c r="E2391" s="3" t="n">
        <v>941060</v>
      </c>
      <c r="F2391" s="3" t="inlineStr">
        <is>
          <t>generated output tokens/sec/MW</t>
        </is>
      </c>
      <c r="G2391" s="3" t="inlineStr">
        <is>
          <t>Derived estimate + benchmark calibration</t>
        </is>
      </c>
      <c r="H2391" s="3" t="inlineStr">
        <is>
          <t>fleet_reference_tps_per_mw * commercial_workload_fit_factor</t>
        </is>
      </c>
      <c r="I2391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391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391" s="3" t="inlineStr">
        <is>
          <t>ASSUMP_CONSUMER_AI_UTILIZATION; ASSUMP_POWER_RAMP; ASSUMP_NUMERIC_ACCELERATOR_MIX; ASSUMP_INFERENCE_SHARE_NOT_FACT_60; ASSUMP_WORKLOAD_CLASS_MIX; ASSUMP_AGENTIC_CONTEXT_PENALTY</t>
        </is>
      </c>
      <c r="L2391" s="3" t="inlineStr">
        <is>
          <t>Comparable production output-token throughput with model, hardware, precision, ISL/OSL and SLO matched.</t>
        </is>
      </c>
    </row>
    <row r="2392">
      <c r="A2392" s="3" t="inlineStr">
        <is>
          <t>Meta</t>
        </is>
      </c>
      <c r="B2392" s="3" t="n">
        <v>2029</v>
      </c>
      <c r="C2392" s="3" t="inlineStr">
        <is>
          <t>Bull</t>
        </is>
      </c>
      <c r="D2392" s="3" t="inlineStr">
        <is>
          <t>inference_tokens_per_day</t>
        </is>
      </c>
      <c r="E2392" s="3" t="n">
        <v>257826348864000</v>
      </c>
      <c r="F2392" s="3" t="inlineStr">
        <is>
          <t>generated output tokens/day</t>
        </is>
      </c>
      <c r="G2392" s="3" t="inlineStr">
        <is>
          <t>Derived headline metric</t>
        </is>
      </c>
      <c r="H2392" s="3" t="inlineStr">
        <is>
          <t>inference_gw * 1000 * tokens_per_second_per_mw * 86,400</t>
        </is>
      </c>
      <c r="I2392" s="3" t="inlineStr">
        <is>
          <t>Headline capacity uses no utilization, MoE, architecture or software-growth multiplier; it is not observed commercial output volume.</t>
        </is>
      </c>
      <c r="J2392" s="3" t="inlineStr">
        <is>
          <t>SRC_META_LLAMA; SRC_META_LLAMA4_NVIDIA; SRC_META_MTIA_GENAI_2026; SRC_EPOCH_AI_DATA_CENTERS; SRC_SEMIANALYSIS_INFERENCEX</t>
        </is>
      </c>
      <c r="K2392" s="3" t="inlineStr">
        <is>
          <t>ASSUMP_CONSUMER_AI_UTILIZATION; ASSUMP_POWER_RAMP; ASSUMP_NUMERIC_ACCELERATOR_MIX; ASSUMP_INFERENCE_SHARE_NOT_FACT_60; ASSUMP_WORKLOAD_CLASS_MIX; ASSUMP_AGENTIC_CONTEXT_PENALTY</t>
        </is>
      </c>
      <c r="L2392" s="3" t="inlineStr">
        <is>
          <t>Provider-disclosed generated output token volume or calibrated capacity telemetry.</t>
        </is>
      </c>
    </row>
    <row r="2393">
      <c r="A2393" s="3" t="inlineStr">
        <is>
          <t>Meta</t>
        </is>
      </c>
      <c r="B2393" s="3" t="n">
        <v>2029</v>
      </c>
      <c r="C2393" s="3" t="inlineStr">
        <is>
          <t>Bull</t>
        </is>
      </c>
      <c r="D2393" s="3" t="inlineStr">
        <is>
          <t>inference_tokens_per_year</t>
        </is>
      </c>
      <c r="E2393" s="3" t="n">
        <v>9.410661733536e+16</v>
      </c>
      <c r="F2393" s="3" t="inlineStr">
        <is>
          <t>generated output tokens/year</t>
        </is>
      </c>
      <c r="G2393" s="3" t="inlineStr">
        <is>
          <t>Derived headline metric</t>
        </is>
      </c>
      <c r="H2393" s="3" t="inlineStr">
        <is>
          <t>inference_tokens_per_day * 365</t>
        </is>
      </c>
      <c r="I2393" s="3" t="inlineStr">
        <is>
          <t>Annualized version of generated output token capacity; it is not observed annual demand or billable volume.</t>
        </is>
      </c>
      <c r="J2393" s="3" t="inlineStr">
        <is>
          <t>SRC_META_LLAMA; SRC_META_LLAMA4_NVIDIA; SRC_META_MTIA_GENAI_2026; SRC_EPOCH_AI_DATA_CENTERS; SRC_SEMIANALYSIS_INFERENCEX</t>
        </is>
      </c>
      <c r="K2393" s="3" t="inlineStr">
        <is>
          <t>ASSUMP_CONSUMER_AI_UTILIZATION; ASSUMP_POWER_RAMP; ASSUMP_NUMERIC_ACCELERATOR_MIX; ASSUMP_INFERENCE_SHARE_NOT_FACT_60; ASSUMP_WORKLOAD_CLASS_MIX; ASSUMP_AGENTIC_CONTEXT_PENALTY</t>
        </is>
      </c>
      <c r="L2393" s="3" t="inlineStr">
        <is>
          <t>Provider-disclosed annual generated-output volume or metered serving telemetry.</t>
        </is>
      </c>
    </row>
    <row r="2394">
      <c r="A2394" s="3" t="inlineStr">
        <is>
          <t>Meta</t>
        </is>
      </c>
      <c r="B2394" s="3" t="n">
        <v>2030</v>
      </c>
      <c r="C2394" s="3" t="inlineStr">
        <is>
          <t>Bull</t>
        </is>
      </c>
      <c r="D2394" s="3" t="inlineStr">
        <is>
          <t>contracted_power_gw</t>
        </is>
      </c>
      <c r="E2394" s="3" t="n">
        <v>7</v>
      </c>
      <c r="F2394" s="3" t="inlineStr">
        <is>
          <t>GW</t>
        </is>
      </c>
      <c r="G2394" s="3" t="inlineStr">
        <is>
          <t>Scenario capacity envelope</t>
        </is>
      </c>
      <c r="H2394" s="3" t="inlineStr">
        <is>
          <t>linear interpolation between 2026 and 2030 company capacity endpoints</t>
        </is>
      </c>
      <c r="I2394" s="3" t="inlineStr">
        <is>
          <t>Scenario envelope for Meta AI/Llama serving capacity; not an official contracted-GW figure.</t>
        </is>
      </c>
      <c r="J2394" s="3" t="inlineStr">
        <is>
          <t>ASSUMP_POWER_RAMP; SRC_META_MTIA_GENAI_2026</t>
        </is>
      </c>
      <c r="K2394" s="3" t="inlineStr">
        <is>
          <t>ASSUMP_CONSUMER_AI_UTILIZATION; ASSUMP_POWER_RAMP; ASSUMP_NUMERIC_ACCELERATOR_MIX; ASSUMP_INFERENCE_SHARE_NOT_FACT_60; ASSUMP_WORKLOAD_CLASS_MIX; ASSUMP_AGENTIC_CONTEXT_PENALTY</t>
        </is>
      </c>
      <c r="L2394" s="3" t="inlineStr">
        <is>
          <t>Company/site-level committed MW/GW, interconnect and contract disclosure.</t>
        </is>
      </c>
    </row>
    <row r="2395">
      <c r="A2395" s="3" t="inlineStr">
        <is>
          <t>Meta</t>
        </is>
      </c>
      <c r="B2395" s="3" t="n">
        <v>2030</v>
      </c>
      <c r="C2395" s="3" t="inlineStr">
        <is>
          <t>Bull</t>
        </is>
      </c>
      <c r="D2395" s="3" t="inlineStr">
        <is>
          <t>operational_deployment_share</t>
        </is>
      </c>
      <c r="E2395" s="3" t="n">
        <v>0.97771429</v>
      </c>
      <c r="F2395" s="3" t="inlineStr">
        <is>
          <t>share</t>
        </is>
      </c>
      <c r="G2395" s="3" t="inlineStr">
        <is>
          <t>Scenario conversion</t>
        </is>
      </c>
      <c r="H2395" s="3" t="inlineStr">
        <is>
          <t>active_power_gw / contracted_power_gw</t>
        </is>
      </c>
      <c r="I2395" s="3" t="inlineStr">
        <is>
          <t>This is the single explicit conversion from contracted/attributed capacity to operationally usable capacity.</t>
        </is>
      </c>
      <c r="J2395" s="3" t="inlineStr">
        <is>
          <t>ASSUMP_POWER_RAMP; SRC_META_MTIA_GENAI_2026</t>
        </is>
      </c>
      <c r="K2395" s="3" t="inlineStr">
        <is>
          <t>ASSUMP_CONSUMER_AI_UTILIZATION; ASSUMP_POWER_RAMP; ASSUMP_NUMERIC_ACCELERATOR_MIX; ASSUMP_INFERENCE_SHARE_NOT_FACT_60; ASSUMP_WORKLOAD_CLASS_MIX; ASSUMP_AGENTIC_CONTEXT_PENALTY</t>
        </is>
      </c>
      <c r="L2395" s="3" t="inlineStr">
        <is>
          <t>Energized operational capacity divided by contracted/attributed capacity.</t>
        </is>
      </c>
    </row>
    <row r="2396">
      <c r="A2396" s="3" t="inlineStr">
        <is>
          <t>Meta</t>
        </is>
      </c>
      <c r="B2396" s="3" t="n">
        <v>2030</v>
      </c>
      <c r="C2396" s="3" t="inlineStr">
        <is>
          <t>Bull</t>
        </is>
      </c>
      <c r="D2396" s="3" t="inlineStr">
        <is>
          <t>active_power_gw</t>
        </is>
      </c>
      <c r="E2396" s="3" t="n">
        <v>6.844</v>
      </c>
      <c r="F2396" s="3" t="inlineStr">
        <is>
          <t>GW</t>
        </is>
      </c>
      <c r="G2396" s="3" t="inlineStr">
        <is>
          <t>Derived scenario</t>
        </is>
      </c>
      <c r="H2396" s="3" t="inlineStr">
        <is>
          <t>contracted_power_gw * operational_deployment_share</t>
        </is>
      </c>
      <c r="I2396" s="3" t="inlineStr">
        <is>
          <t>MTIA deployment direction and consumer product distribution support active ramp, not exact powered GW.</t>
        </is>
      </c>
      <c r="J2396" s="3" t="inlineStr">
        <is>
          <t>ASSUMP_POWER_RAMP; SRC_META_MTIA_GENAI_2026</t>
        </is>
      </c>
      <c r="K2396" s="3" t="inlineStr">
        <is>
          <t>ASSUMP_CONSUMER_AI_UTILIZATION; ASSUMP_POWER_RAMP; ASSUMP_NUMERIC_ACCELERATOR_MIX; ASSUMP_INFERENCE_SHARE_NOT_FACT_60; ASSUMP_WORKLOAD_CLASS_MIX; ASSUMP_AGENTIC_CONTEXT_PENALTY</t>
        </is>
      </c>
      <c r="L2396" s="3" t="inlineStr">
        <is>
          <t>Energization dates, accelerator deliveries and operational powered-rack telemetry.</t>
        </is>
      </c>
    </row>
    <row r="2397">
      <c r="A2397" s="3" t="inlineStr">
        <is>
          <t>Meta</t>
        </is>
      </c>
      <c r="B2397" s="3" t="n">
        <v>2030</v>
      </c>
      <c r="C2397" s="3" t="inlineStr">
        <is>
          <t>Bull</t>
        </is>
      </c>
      <c r="D2397" s="3" t="inlineStr">
        <is>
          <t>pue</t>
        </is>
      </c>
      <c r="E2397" s="3" t="n">
        <v>1.2</v>
      </c>
      <c r="F2397" s="3" t="inlineStr">
        <is>
          <t>ratio</t>
        </is>
      </c>
      <c r="G2397" s="3" t="inlineStr">
        <is>
          <t>Scenario parameter</t>
        </is>
      </c>
      <c r="H2397" s="3" t="inlineStr">
        <is>
          <t>it_load_gw = active_power_gw / pue</t>
        </is>
      </c>
      <c r="I2397" s="3" t="inlineStr">
        <is>
          <t>No provider-wide site-level PUE is used as a disclosed fact; PUE represents facility-to-IT conversion within the scenario.</t>
        </is>
      </c>
      <c r="J2397" s="3" t="inlineStr">
        <is>
          <t>ASSUMP_POWER_RAMP</t>
        </is>
      </c>
      <c r="K2397" s="3" t="inlineStr">
        <is>
          <t>ASSUMP_CONSUMER_AI_UTILIZATION; ASSUMP_POWER_RAMP; ASSUMP_NUMERIC_ACCELERATOR_MIX; ASSUMP_INFERENCE_SHARE_NOT_FACT_60; ASSUMP_WORKLOAD_CLASS_MIX; ASSUMP_AGENTIC_CONTEXT_PENALTY</t>
        </is>
      </c>
      <c r="L2397" s="3" t="inlineStr">
        <is>
          <t>Site-level measured PUE matched to attributed AI capacity.</t>
        </is>
      </c>
    </row>
    <row r="2398">
      <c r="A2398" s="3" t="inlineStr">
        <is>
          <t>Meta</t>
        </is>
      </c>
      <c r="B2398" s="3" t="n">
        <v>2030</v>
      </c>
      <c r="C2398" s="3" t="inlineStr">
        <is>
          <t>Bull</t>
        </is>
      </c>
      <c r="D2398" s="3" t="inlineStr">
        <is>
          <t>it_load_gw</t>
        </is>
      </c>
      <c r="E2398" s="3" t="n">
        <v>5.703</v>
      </c>
      <c r="F2398" s="3" t="inlineStr">
        <is>
          <t>GW</t>
        </is>
      </c>
      <c r="G2398" s="3" t="inlineStr">
        <is>
          <t>Derived formula</t>
        </is>
      </c>
      <c r="H2398" s="3" t="inlineStr">
        <is>
          <t>active_power_gw / pue</t>
        </is>
      </c>
      <c r="I2398" s="3" t="inlineStr">
        <is>
          <t>Facility power is converted to IT-deliverable power before attributing AI workloads.</t>
        </is>
      </c>
      <c r="J2398" s="3" t="inlineStr">
        <is>
          <t>ASSUMP_POWER_RAMP; SRC_META_MTIA_GENAI_2026</t>
        </is>
      </c>
      <c r="K2398" s="3" t="inlineStr">
        <is>
          <t>ASSUMP_CONSUMER_AI_UTILIZATION; ASSUMP_POWER_RAMP; ASSUMP_NUMERIC_ACCELERATOR_MIX; ASSUMP_INFERENCE_SHARE_NOT_FACT_60; ASSUMP_WORKLOAD_CLASS_MIX; ASSUMP_AGENTIC_CONTEXT_PENALTY</t>
        </is>
      </c>
      <c r="L2398" s="3" t="inlineStr">
        <is>
          <t>Recompute once active power and PUE become site-observable.</t>
        </is>
      </c>
    </row>
    <row r="2399">
      <c r="A2399" s="3" t="inlineStr">
        <is>
          <t>Meta</t>
        </is>
      </c>
      <c r="B2399" s="3" t="n">
        <v>2030</v>
      </c>
      <c r="C2399" s="3" t="inlineStr">
        <is>
          <t>Bull</t>
        </is>
      </c>
      <c r="D2399" s="3" t="inlineStr">
        <is>
          <t>ai_workload_share</t>
        </is>
      </c>
      <c r="E2399" s="3" t="n">
        <v>0.87</v>
      </c>
      <c r="F2399" s="3" t="inlineStr">
        <is>
          <t>share</t>
        </is>
      </c>
      <c r="G2399" s="3" t="inlineStr">
        <is>
          <t>Scenario allocation</t>
        </is>
      </c>
      <c r="H2399" s="3" t="inlineStr">
        <is>
          <t>ai_it_load_gw = it_load_gw * ai_workload_share</t>
        </is>
      </c>
      <c r="I2399" s="3" t="inlineStr">
        <is>
          <t>The modeled fleet is focused on AI workloads across Meta AI surfaces; non-LLM ranking/platform overhead is excluded through the 87% share.</t>
        </is>
      </c>
      <c r="J2399" s="3" t="inlineStr">
        <is>
          <t>SRC_META_LLAMA; SRC_META_LLAMA4_NVIDIA; SRC_META_MTIA_GENAI_2026; SRC_EPOCH_AI_DATA_CENTERS</t>
        </is>
      </c>
      <c r="K2399" s="3" t="inlineStr">
        <is>
          <t>ASSUMP_CONSUMER_AI_UTILIZATION; ASSUMP_POWER_RAMP; ASSUMP_NUMERIC_ACCELERATOR_MIX; ASSUMP_INFERENCE_SHARE_NOT_FACT_60; ASSUMP_WORKLOAD_CLASS_MIX; ASSUMP_AGENTIC_CONTEXT_PENALTY</t>
        </is>
      </c>
      <c r="L2399" s="3" t="inlineStr">
        <is>
          <t>Model-owner AI workload allocation or cluster scheduling telemetry.</t>
        </is>
      </c>
    </row>
    <row r="2400">
      <c r="A2400" s="3" t="inlineStr">
        <is>
          <t>Meta</t>
        </is>
      </c>
      <c r="B2400" s="3" t="n">
        <v>2030</v>
      </c>
      <c r="C2400" s="3" t="inlineStr">
        <is>
          <t>Bull</t>
        </is>
      </c>
      <c r="D2400" s="3" t="inlineStr">
        <is>
          <t>ai_it_load_gw</t>
        </is>
      </c>
      <c r="E2400" s="3" t="n">
        <v>4.962</v>
      </c>
      <c r="F2400" s="3" t="inlineStr">
        <is>
          <t>GW</t>
        </is>
      </c>
      <c r="G2400" s="3" t="inlineStr">
        <is>
          <t>Derived formula</t>
        </is>
      </c>
      <c r="H2400" s="3" t="inlineStr">
        <is>
          <t>it_load_gw * ai_workload_share</t>
        </is>
      </c>
      <c r="I2400" s="3" t="inlineStr">
        <is>
          <t>Only the AI-attributed portion of IT load enters training/inference allocation.</t>
        </is>
      </c>
      <c r="J2400" s="3" t="inlineStr">
        <is>
          <t>SRC_META_LLAMA; SRC_META_LLAMA4_NVIDIA; SRC_META_MTIA_GENAI_2026; SRC_EPOCH_AI_DATA_CENTERS</t>
        </is>
      </c>
      <c r="K2400" s="3" t="inlineStr">
        <is>
          <t>ASSUMP_CONSUMER_AI_UTILIZATION; ASSUMP_POWER_RAMP; ASSUMP_NUMERIC_ACCELERATOR_MIX; ASSUMP_INFERENCE_SHARE_NOT_FACT_60; ASSUMP_WORKLOAD_CLASS_MIX; ASSUMP_AGENTIC_CONTEXT_PENALTY</t>
        </is>
      </c>
      <c r="L2400" s="3" t="inlineStr">
        <is>
          <t>Recompute after ai_workload_share is replaced by telemetry.</t>
        </is>
      </c>
    </row>
    <row r="2401">
      <c r="A2401" s="3" t="inlineStr">
        <is>
          <t>Meta</t>
        </is>
      </c>
      <c r="B2401" s="3" t="n">
        <v>2030</v>
      </c>
      <c r="C2401" s="3" t="inlineStr">
        <is>
          <t>Bull</t>
        </is>
      </c>
      <c r="D2401" s="3" t="inlineStr">
        <is>
          <t>gpu_share</t>
        </is>
      </c>
      <c r="E2401" s="3" t="n">
        <v>0.612306</v>
      </c>
      <c r="F2401" s="3" t="inlineStr">
        <is>
          <t>share of inference-serving accelerator load</t>
        </is>
      </c>
      <c r="G2401" s="3" t="inlineStr">
        <is>
          <t>Numeric scenario</t>
        </is>
      </c>
      <c r="H2401" s="3" t="inlineStr">
        <is>
          <t>gpu_share interpolated from company 2026/2030 accelerator-mix endpoints</t>
        </is>
      </c>
      <c r="I2401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401" s="3" t="inlineStr">
        <is>
          <t>SRC_META_LLAMA; SRC_META_LLAMA4_NVIDIA; SRC_META_MTIA_GENAI_2026; SRC_EPOCH_AI_DATA_CENTERS; ASSUMP_NUMERIC_ACCELERATOR_MIX</t>
        </is>
      </c>
      <c r="K2401" s="3" t="inlineStr">
        <is>
          <t>ASSUMP_CONSUMER_AI_UTILIZATION; ASSUMP_POWER_RAMP; ASSUMP_NUMERIC_ACCELERATOR_MIX; ASSUMP_INFERENCE_SHARE_NOT_FACT_60; ASSUMP_WORKLOAD_CLASS_MIX; ASSUMP_AGENTIC_CONTEXT_PENALTY</t>
        </is>
      </c>
      <c r="L2401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402">
      <c r="A2402" s="3" t="inlineStr">
        <is>
          <t>Meta</t>
        </is>
      </c>
      <c r="B2402" s="3" t="n">
        <v>2030</v>
      </c>
      <c r="C2402" s="3" t="inlineStr">
        <is>
          <t>Bull</t>
        </is>
      </c>
      <c r="D2402" s="3" t="inlineStr">
        <is>
          <t>h200_share</t>
        </is>
      </c>
      <c r="E2402" s="3" t="n">
        <v>0</v>
      </c>
      <c r="F2402" s="3" t="inlineStr">
        <is>
          <t>share of inference-serving accelerator load</t>
        </is>
      </c>
      <c r="G2402" s="3" t="inlineStr">
        <is>
          <t>Editable numeric scenario</t>
        </is>
      </c>
      <c r="H2402" s="3" t="inlineStr">
        <is>
          <t>h200_share = gpu_share * default_gpu_generation_mix_h200</t>
        </is>
      </c>
      <c r="I2402" s="3" t="inlineStr">
        <is>
          <t>Default GPU-generation migration assumption; executive workbook allows later manual replacement by company/year/scenario.</t>
        </is>
      </c>
      <c r="J2402" s="3" t="inlineStr">
        <is>
          <t>SRC_SEMIANALYSIS_INFERENCEX; ASSUMP_NUMERIC_ACCELERATOR_MIX</t>
        </is>
      </c>
      <c r="K2402" s="3" t="inlineStr">
        <is>
          <t>ASSUMP_CONSUMER_AI_UTILIZATION; ASSUMP_POWER_RAMP; ASSUMP_NUMERIC_ACCELERATOR_MIX; ASSUMP_INFERENCE_SHARE_NOT_FACT_60; ASSUMP_WORKLOAD_CLASS_MIX; ASSUMP_AGENTIC_CONTEXT_PENALTY</t>
        </is>
      </c>
      <c r="L2402" s="3" t="inlineStr">
        <is>
          <t>Company fleet inventory, accelerator-hours or procurement/deployment records by GPU generation.</t>
        </is>
      </c>
    </row>
    <row r="2403">
      <c r="A2403" s="3" t="inlineStr">
        <is>
          <t>Meta</t>
        </is>
      </c>
      <c r="B2403" s="3" t="n">
        <v>2030</v>
      </c>
      <c r="C2403" s="3" t="inlineStr">
        <is>
          <t>Bull</t>
        </is>
      </c>
      <c r="D2403" s="3" t="inlineStr">
        <is>
          <t>b200_share</t>
        </is>
      </c>
      <c r="E2403" s="3" t="n">
        <v>0.612306</v>
      </c>
      <c r="F2403" s="3" t="inlineStr">
        <is>
          <t>share of inference-serving accelerator load</t>
        </is>
      </c>
      <c r="G2403" s="3" t="inlineStr">
        <is>
          <t>Editable numeric scenario</t>
        </is>
      </c>
      <c r="H2403" s="3" t="inlineStr">
        <is>
          <t>b200_share = gpu_share * default_gpu_generation_mix_b200</t>
        </is>
      </c>
      <c r="I2403" s="3" t="inlineStr">
        <is>
          <t>Default GPU-generation migration assumption; executive workbook allows later manual replacement by company/year/scenario.</t>
        </is>
      </c>
      <c r="J2403" s="3" t="inlineStr">
        <is>
          <t>SRC_SEMIANALYSIS_INFERENCEX; ASSUMP_NUMERIC_ACCELERATOR_MIX</t>
        </is>
      </c>
      <c r="K2403" s="3" t="inlineStr">
        <is>
          <t>ASSUMP_CONSUMER_AI_UTILIZATION; ASSUMP_POWER_RAMP; ASSUMP_NUMERIC_ACCELERATOR_MIX; ASSUMP_INFERENCE_SHARE_NOT_FACT_60; ASSUMP_WORKLOAD_CLASS_MIX; ASSUMP_AGENTIC_CONTEXT_PENALTY</t>
        </is>
      </c>
      <c r="L2403" s="3" t="inlineStr">
        <is>
          <t>Company fleet inventory, accelerator-hours or procurement/deployment records by GPU generation.</t>
        </is>
      </c>
    </row>
    <row r="2404">
      <c r="A2404" s="3" t="inlineStr">
        <is>
          <t>Meta</t>
        </is>
      </c>
      <c r="B2404" s="3" t="n">
        <v>2030</v>
      </c>
      <c r="C2404" s="3" t="inlineStr">
        <is>
          <t>Bull</t>
        </is>
      </c>
      <c r="D2404" s="3" t="inlineStr">
        <is>
          <t>gb200_share</t>
        </is>
      </c>
      <c r="E2404" s="3" t="n">
        <v>0</v>
      </c>
      <c r="F2404" s="3" t="inlineStr">
        <is>
          <t>share of inference-serving accelerator load</t>
        </is>
      </c>
      <c r="G2404" s="3" t="inlineStr">
        <is>
          <t>Editable numeric scenario</t>
        </is>
      </c>
      <c r="H2404" s="3" t="inlineStr">
        <is>
          <t>gb200_share = gpu_share * default_gpu_generation_mix_gb200</t>
        </is>
      </c>
      <c r="I2404" s="3" t="inlineStr">
        <is>
          <t>Default GPU-generation migration assumption; executive workbook allows later manual replacement by company/year/scenario.</t>
        </is>
      </c>
      <c r="J2404" s="3" t="inlineStr">
        <is>
          <t>SRC_SEMIANALYSIS_INFERENCEX; ASSUMP_NUMERIC_ACCELERATOR_MIX</t>
        </is>
      </c>
      <c r="K2404" s="3" t="inlineStr">
        <is>
          <t>ASSUMP_CONSUMER_AI_UTILIZATION; ASSUMP_POWER_RAMP; ASSUMP_NUMERIC_ACCELERATOR_MIX; ASSUMP_INFERENCE_SHARE_NOT_FACT_60; ASSUMP_WORKLOAD_CLASS_MIX; ASSUMP_AGENTIC_CONTEXT_PENALTY</t>
        </is>
      </c>
      <c r="L2404" s="3" t="inlineStr">
        <is>
          <t>Company fleet inventory, accelerator-hours or procurement/deployment records by GPU generation.</t>
        </is>
      </c>
    </row>
    <row r="2405">
      <c r="A2405" s="3" t="inlineStr">
        <is>
          <t>Meta</t>
        </is>
      </c>
      <c r="B2405" s="3" t="n">
        <v>2030</v>
      </c>
      <c r="C2405" s="3" t="inlineStr">
        <is>
          <t>Bull</t>
        </is>
      </c>
      <c r="D2405" s="3" t="inlineStr">
        <is>
          <t>purpose_built_accelerator_share</t>
        </is>
      </c>
      <c r="E2405" s="3" t="n">
        <v>0.387694</v>
      </c>
      <c r="F2405" s="3" t="inlineStr">
        <is>
          <t>share of inference-serving accelerator load</t>
        </is>
      </c>
      <c r="G2405" s="3" t="inlineStr">
        <is>
          <t>Numeric scenario</t>
        </is>
      </c>
      <c r="H2405" s="3" t="inlineStr">
        <is>
          <t>1 - gpu_share</t>
        </is>
      </c>
      <c r="I2405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2405" s="3" t="inlineStr">
        <is>
          <t>SRC_META_LLAMA; SRC_META_LLAMA4_NVIDIA; SRC_META_MTIA_GENAI_2026; SRC_EPOCH_AI_DATA_CENTERS; ASSUMP_NUMERIC_ACCELERATOR_MIX</t>
        </is>
      </c>
      <c r="K2405" s="3" t="inlineStr">
        <is>
          <t>ASSUMP_CONSUMER_AI_UTILIZATION; ASSUMP_POWER_RAMP; ASSUMP_NUMERIC_ACCELERATOR_MIX; ASSUMP_INFERENCE_SHARE_NOT_FACT_60; ASSUMP_WORKLOAD_CLASS_MIX; ASSUMP_AGENTIC_CONTEXT_PENALTY</t>
        </is>
      </c>
      <c r="L2405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2406">
      <c r="A2406" s="3" t="inlineStr">
        <is>
          <t>Meta</t>
        </is>
      </c>
      <c r="B2406" s="3" t="n">
        <v>2030</v>
      </c>
      <c r="C2406" s="3" t="inlineStr">
        <is>
          <t>Bull</t>
        </is>
      </c>
      <c r="D2406" s="3" t="inlineStr">
        <is>
          <t>fleet_reference_tps_per_mw</t>
        </is>
      </c>
      <c r="E2406" s="3" t="n">
        <v>941060</v>
      </c>
      <c r="F2406" s="3" t="inlineStr">
        <is>
          <t>generated output tokens/sec/MW</t>
        </is>
      </c>
      <c r="G2406" s="3" t="inlineStr">
        <is>
          <t>Fleet-weighted public benchmark reference</t>
        </is>
      </c>
      <c r="H2406" s="3" t="inlineStr">
        <is>
          <t>h200_share*h200_workload_avg + b200_share*b200_workload_avg + gb200_share*gb200_workload_avg + purpose_built_share*purpose_workload_avg</t>
        </is>
      </c>
      <c r="I2406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2406" s="3" t="inlineStr">
        <is>
          <t>SRC_SEMIANALYSIS_INFERENCEX; ASSUMP_NUMERIC_ACCELERATOR_MIX; ASSUMP_WORKLOAD_CLASS_MIX; ASSUMP_AGENTIC_CONTEXT_PENALTY</t>
        </is>
      </c>
      <c r="K2406" s="3" t="inlineStr">
        <is>
          <t>ASSUMP_CONSUMER_AI_UTILIZATION; ASSUMP_POWER_RAMP; ASSUMP_NUMERIC_ACCELERATOR_MIX; ASSUMP_INFERENCE_SHARE_NOT_FACT_60; ASSUMP_WORKLOAD_CLASS_MIX; ASSUMP_AGENTIC_CONTEXT_PENALTY</t>
        </is>
      </c>
      <c r="L2406" s="3" t="inlineStr">
        <is>
          <t>Comparable production output-token throughput or a more closely matched benchmark.</t>
        </is>
      </c>
    </row>
    <row r="2407">
      <c r="A2407" s="3" t="inlineStr">
        <is>
          <t>Meta</t>
        </is>
      </c>
      <c r="B2407" s="3" t="n">
        <v>2030</v>
      </c>
      <c r="C2407" s="3" t="inlineStr">
        <is>
          <t>Bull</t>
        </is>
      </c>
      <c r="D2407" s="3" t="inlineStr">
        <is>
          <t>commercial_workload_fit_factor</t>
        </is>
      </c>
      <c r="E2407" s="3" t="n">
        <v>1</v>
      </c>
      <c r="F2407" s="3" t="inlineStr">
        <is>
          <t>share of public reference throughput</t>
        </is>
      </c>
      <c r="G2407" s="3" t="inlineStr">
        <is>
          <t>Scenario assumption</t>
        </is>
      </c>
      <c r="H2407" s="3" t="inlineStr">
        <is>
          <t>reference_serving_tps_per_mw = fleet_reference_tps_per_mw * commercial_workload_fit_factor</t>
        </is>
      </c>
      <c r="I2407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2407" s="3" t="inlineStr">
        <is>
          <t>SRC_SEMIANALYSIS_INFERENCEX; ASSUMP_NUMERIC_ACCELERATOR_MIX; ASSUMP_WORKLOAD_CLASS_MIX; ASSUMP_AGENTIC_CONTEXT_PENALTY</t>
        </is>
      </c>
      <c r="K2407" s="3" t="inlineStr">
        <is>
          <t>ASSUMP_CONSUMER_AI_UTILIZATION; ASSUMP_POWER_RAMP; ASSUMP_NUMERIC_ACCELERATOR_MIX; ASSUMP_INFERENCE_SHARE_NOT_FACT_60; ASSUMP_WORKLOAD_CLASS_MIX; ASSUMP_AGENTIC_CONTEXT_PENALTY</t>
        </is>
      </c>
      <c r="L2407" s="3" t="inlineStr">
        <is>
          <t>Matched commercial serving benchmark by product surface, context shape and latency SLO.</t>
        </is>
      </c>
    </row>
    <row r="2408">
      <c r="A2408" s="3" t="inlineStr">
        <is>
          <t>Meta</t>
        </is>
      </c>
      <c r="B2408" s="3" t="n">
        <v>2030</v>
      </c>
      <c r="C2408" s="3" t="inlineStr">
        <is>
          <t>Bull</t>
        </is>
      </c>
      <c r="D2408" s="3" t="inlineStr">
        <is>
          <t>reference_serving_tps_per_mw</t>
        </is>
      </c>
      <c r="E2408" s="3" t="n">
        <v>941060</v>
      </c>
      <c r="F2408" s="3" t="inlineStr">
        <is>
          <t>generated output tokens/sec/MW</t>
        </is>
      </c>
      <c r="G2408" s="3" t="inlineStr">
        <is>
          <t>Workload-adjusted benchmark proxy</t>
        </is>
      </c>
      <c r="H2408" s="3" t="inlineStr">
        <is>
          <t>fleet_reference_tps_per_mw * commercial_workload_fit_factor</t>
        </is>
      </c>
      <c r="I2408" s="3" t="inlineStr">
        <is>
          <t>This is the coefficient used for headline token generation; each GPU's short chat, long chat and agentic TPS/MW are weighted before fleet mix and commercial fit are applied.</t>
        </is>
      </c>
      <c r="J2408" s="3" t="inlineStr">
        <is>
          <t>SRC_SEMIANALYSIS_INFERENCEX; ASSUMP_NUMERIC_ACCELERATOR_MIX; ASSUMP_WORKLOAD_CLASS_MIX; ASSUMP_AGENTIC_CONTEXT_PENALTY</t>
        </is>
      </c>
      <c r="K2408" s="3" t="inlineStr">
        <is>
          <t>ASSUMP_CONSUMER_AI_UTILIZATION; ASSUMP_POWER_RAMP; ASSUMP_NUMERIC_ACCELERATOR_MIX; ASSUMP_INFERENCE_SHARE_NOT_FACT_60; ASSUMP_WORKLOAD_CLASS_MIX; ASSUMP_AGENTIC_CONTEXT_PENALTY</t>
        </is>
      </c>
      <c r="L2408" s="3" t="inlineStr">
        <is>
          <t>Provider production output-token throughput with comparable workload/SLO.</t>
        </is>
      </c>
    </row>
    <row r="2409">
      <c r="A2409" s="3" t="inlineStr">
        <is>
          <t>Meta</t>
        </is>
      </c>
      <c r="B2409" s="3" t="n">
        <v>2030</v>
      </c>
      <c r="C2409" s="3" t="inlineStr">
        <is>
          <t>Bull</t>
        </is>
      </c>
      <c r="D2409" s="3" t="inlineStr">
        <is>
          <t>purpose_built_tps_per_mw</t>
        </is>
      </c>
      <c r="E2409" s="3" t="n">
        <v>1228515</v>
      </c>
      <c r="F2409" s="3" t="inlineStr">
        <is>
          <t>generated output tokens/sec/MW</t>
        </is>
      </c>
      <c r="G2409" s="3" t="inlineStr">
        <is>
          <t>Conservative no-uplift proxy</t>
        </is>
      </c>
      <c r="H2409" s="3" t="inlineStr">
        <is>
          <t>purpose_built_tps_per_mw = purpose_built_reference_tps_per_mw * commercial_workload_fit_factor until comparable output-token benchmark is adopted</t>
        </is>
      </c>
      <c r="I2409" s="3" t="inlineStr">
        <is>
          <t>No comparable public output-token/MW row adopted; B200 public reference placeholder is used and remains editable.</t>
        </is>
      </c>
      <c r="J2409" s="3" t="inlineStr">
        <is>
          <t>SRC_META_LLAMA; SRC_META_LLAMA4_NVIDIA; SRC_META_MTIA_GENAI_2026; SRC_EPOCH_AI_DATA_CENTERS; ASSUMP_NUMERIC_ACCELERATOR_MIX</t>
        </is>
      </c>
      <c r="K2409" s="3" t="inlineStr">
        <is>
          <t>ASSUMP_CONSUMER_AI_UTILIZATION; ASSUMP_POWER_RAMP; ASSUMP_NUMERIC_ACCELERATOR_MIX; ASSUMP_INFERENCE_SHARE_NOT_FACT_60; ASSUMP_WORKLOAD_CLASS_MIX; ASSUMP_AGENTIC_CONTEXT_PENALTY</t>
        </is>
      </c>
      <c r="L2409" s="3" t="inlineStr">
        <is>
          <t>Matched-workload generated-output benchmark for the provider purpose-built accelerator.</t>
        </is>
      </c>
    </row>
    <row r="2410">
      <c r="A2410" s="3" t="inlineStr">
        <is>
          <t>Meta</t>
        </is>
      </c>
      <c r="B2410" s="3" t="n">
        <v>2030</v>
      </c>
      <c r="C2410" s="3" t="inlineStr">
        <is>
          <t>Bull</t>
        </is>
      </c>
      <c r="D2410" s="3" t="inlineStr">
        <is>
          <t>inference_power_share</t>
        </is>
      </c>
      <c r="E2410" s="3" t="n">
        <v>0.86</v>
      </c>
      <c r="F2410" s="3" t="inlineStr">
        <is>
          <t>share of AI IT load</t>
        </is>
      </c>
      <c r="G2410" s="3" t="inlineStr">
        <is>
          <t>Scenario allocation</t>
        </is>
      </c>
      <c r="H2410" s="3" t="inlineStr">
        <is>
          <t>inference_gw = ai_it_load_gw * inference_power_share</t>
        </is>
      </c>
      <c r="I2410" s="3" t="inlineStr">
        <is>
          <t>Large consumer AI distribution and inference-first MTIA roadmap support a higher inference share scenario.</t>
        </is>
      </c>
      <c r="J2410" s="3" t="inlineStr">
        <is>
          <t>SRC_META_LLAMA; SRC_META_LLAMA4_NVIDIA; SRC_META_MTIA_GENAI_2026; SRC_EPOCH_AI_DATA_CENTERS; ASSUMP_INFERENCE_SHARE_NOT_FACT_60</t>
        </is>
      </c>
      <c r="K2410" s="3" t="inlineStr">
        <is>
          <t>ASSUMP_CONSUMER_AI_UTILIZATION; ASSUMP_POWER_RAMP; ASSUMP_NUMERIC_ACCELERATOR_MIX; ASSUMP_INFERENCE_SHARE_NOT_FACT_60; ASSUMP_WORKLOAD_CLASS_MIX; ASSUMP_AGENTIC_CONTEXT_PENALTY</t>
        </is>
      </c>
      <c r="L2410" s="3" t="inlineStr">
        <is>
          <t>Provider-specific inference/training workload power telemetry.</t>
        </is>
      </c>
    </row>
    <row r="2411">
      <c r="A2411" s="3" t="inlineStr">
        <is>
          <t>Meta</t>
        </is>
      </c>
      <c r="B2411" s="3" t="n">
        <v>2030</v>
      </c>
      <c r="C2411" s="3" t="inlineStr">
        <is>
          <t>Bull</t>
        </is>
      </c>
      <c r="D2411" s="3" t="inlineStr">
        <is>
          <t>inference_gw</t>
        </is>
      </c>
      <c r="E2411" s="3" t="n">
        <v>4.267</v>
      </c>
      <c r="F2411" s="3" t="inlineStr">
        <is>
          <t>GW</t>
        </is>
      </c>
      <c r="G2411" s="3" t="inlineStr">
        <is>
          <t>Derived formula</t>
        </is>
      </c>
      <c r="H2411" s="3" t="inlineStr">
        <is>
          <t>ai_it_load_gw * inference_power_share</t>
        </is>
      </c>
      <c r="I2411" s="3" t="inlineStr">
        <is>
          <t>This is the operational power eligible to become commercial generated output tokens through the selected TPS/MW proxy.</t>
        </is>
      </c>
      <c r="J2411" s="3" t="inlineStr">
        <is>
          <t>SRC_META_LLAMA; SRC_META_LLAMA4_NVIDIA; SRC_META_MTIA_GENAI_2026; SRC_EPOCH_AI_DATA_CENTERS</t>
        </is>
      </c>
      <c r="K2411" s="3" t="inlineStr">
        <is>
          <t>ASSUMP_CONSUMER_AI_UTILIZATION; ASSUMP_POWER_RAMP; ASSUMP_NUMERIC_ACCELERATOR_MIX; ASSUMP_INFERENCE_SHARE_NOT_FACT_60; ASSUMP_WORKLOAD_CLASS_MIX; ASSUMP_AGENTIC_CONTEXT_PENALTY</t>
        </is>
      </c>
      <c r="L2411" s="3" t="inlineStr">
        <is>
          <t>Recompute after AI allocation or inference-share evidence changes.</t>
        </is>
      </c>
    </row>
    <row r="2412">
      <c r="A2412" s="3" t="inlineStr">
        <is>
          <t>Meta</t>
        </is>
      </c>
      <c r="B2412" s="3" t="n">
        <v>2030</v>
      </c>
      <c r="C2412" s="3" t="inlineStr">
        <is>
          <t>Bull</t>
        </is>
      </c>
      <c r="D2412" s="3" t="inlineStr">
        <is>
          <t>training_power_share</t>
        </is>
      </c>
      <c r="E2412" s="3" t="n">
        <v>0.14</v>
      </c>
      <c r="F2412" s="3" t="inlineStr">
        <is>
          <t>share of AI IT load</t>
        </is>
      </c>
      <c r="G2412" s="3" t="inlineStr">
        <is>
          <t>Derived allocation</t>
        </is>
      </c>
      <c r="H2412" s="3" t="inlineStr">
        <is>
          <t>1 - inference_power_share</t>
        </is>
      </c>
      <c r="I2412" s="3" t="inlineStr">
        <is>
          <t>Training receives the complementary modeled AI IT allocation; it is not a disclosed company workload split.</t>
        </is>
      </c>
      <c r="J2412" s="3" t="inlineStr">
        <is>
          <t>SRC_META_LLAMA; SRC_META_LLAMA4_NVIDIA; SRC_META_MTIA_GENAI_2026; SRC_EPOCH_AI_DATA_CENTERS; ASSUMP_INFERENCE_SHARE_NOT_FACT_60</t>
        </is>
      </c>
      <c r="K2412" s="3" t="inlineStr">
        <is>
          <t>ASSUMP_CONSUMER_AI_UTILIZATION; ASSUMP_POWER_RAMP; ASSUMP_NUMERIC_ACCELERATOR_MIX; ASSUMP_INFERENCE_SHARE_NOT_FACT_60; ASSUMP_WORKLOAD_CLASS_MIX; ASSUMP_AGENTIC_CONTEXT_PENALTY</t>
        </is>
      </c>
      <c r="L2412" s="3" t="inlineStr">
        <is>
          <t>Provider-specific inference/training workload power telemetry.</t>
        </is>
      </c>
    </row>
    <row r="2413">
      <c r="A2413" s="3" t="inlineStr">
        <is>
          <t>Meta</t>
        </is>
      </c>
      <c r="B2413" s="3" t="n">
        <v>2030</v>
      </c>
      <c r="C2413" s="3" t="inlineStr">
        <is>
          <t>Bull</t>
        </is>
      </c>
      <c r="D2413" s="3" t="inlineStr">
        <is>
          <t>training_gw</t>
        </is>
      </c>
      <c r="E2413" s="3" t="n">
        <v>0.695</v>
      </c>
      <c r="F2413" s="3" t="inlineStr">
        <is>
          <t>GW</t>
        </is>
      </c>
      <c r="G2413" s="3" t="inlineStr">
        <is>
          <t>Derived formula</t>
        </is>
      </c>
      <c r="H2413" s="3" t="inlineStr">
        <is>
          <t>ai_it_load_gw * training_power_share</t>
        </is>
      </c>
      <c r="I2413" s="3" t="inlineStr">
        <is>
          <t>Training GW is shown separately so commercial inference token capacity is not overstated.</t>
        </is>
      </c>
      <c r="J2413" s="3" t="inlineStr">
        <is>
          <t>SRC_META_LLAMA; SRC_META_LLAMA4_NVIDIA; SRC_META_MTIA_GENAI_2026; SRC_EPOCH_AI_DATA_CENTERS</t>
        </is>
      </c>
      <c r="K2413" s="3" t="inlineStr">
        <is>
          <t>ASSUMP_CONSUMER_AI_UTILIZATION; ASSUMP_POWER_RAMP; ASSUMP_NUMERIC_ACCELERATOR_MIX; ASSUMP_INFERENCE_SHARE_NOT_FACT_60; ASSUMP_WORKLOAD_CLASS_MIX; ASSUMP_AGENTIC_CONTEXT_PENALTY</t>
        </is>
      </c>
      <c r="L2413" s="3" t="inlineStr">
        <is>
          <t>Recompute after AI allocation or workload-split evidence changes.</t>
        </is>
      </c>
    </row>
    <row r="2414">
      <c r="A2414" s="3" t="inlineStr">
        <is>
          <t>Meta</t>
        </is>
      </c>
      <c r="B2414" s="3" t="n">
        <v>2030</v>
      </c>
      <c r="C2414" s="3" t="inlineStr">
        <is>
          <t>Bull</t>
        </is>
      </c>
      <c r="D2414" s="3" t="inlineStr">
        <is>
          <t>tokens_per_second_per_mw</t>
        </is>
      </c>
      <c r="E2414" s="3" t="n">
        <v>941060</v>
      </c>
      <c r="F2414" s="3" t="inlineStr">
        <is>
          <t>generated output tokens/sec/MW</t>
        </is>
      </c>
      <c r="G2414" s="3" t="inlineStr">
        <is>
          <t>Derived estimate + benchmark calibration</t>
        </is>
      </c>
      <c r="H2414" s="3" t="inlineStr">
        <is>
          <t>fleet_reference_tps_per_mw * commercial_workload_fit_factor</t>
        </is>
      </c>
      <c r="I2414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2414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2414" s="3" t="inlineStr">
        <is>
          <t>ASSUMP_CONSUMER_AI_UTILIZATION; ASSUMP_POWER_RAMP; ASSUMP_NUMERIC_ACCELERATOR_MIX; ASSUMP_INFERENCE_SHARE_NOT_FACT_60; ASSUMP_WORKLOAD_CLASS_MIX; ASSUMP_AGENTIC_CONTEXT_PENALTY</t>
        </is>
      </c>
      <c r="L2414" s="3" t="inlineStr">
        <is>
          <t>Comparable production output-token throughput with model, hardware, precision, ISL/OSL and SLO matched.</t>
        </is>
      </c>
    </row>
    <row r="2415">
      <c r="A2415" s="3" t="inlineStr">
        <is>
          <t>Meta</t>
        </is>
      </c>
      <c r="B2415" s="3" t="n">
        <v>2030</v>
      </c>
      <c r="C2415" s="3" t="inlineStr">
        <is>
          <t>Bull</t>
        </is>
      </c>
      <c r="D2415" s="3" t="inlineStr">
        <is>
          <t>inference_tokens_per_day</t>
        </is>
      </c>
      <c r="E2415" s="3" t="n">
        <v>346939460928000</v>
      </c>
      <c r="F2415" s="3" t="inlineStr">
        <is>
          <t>generated output tokens/day</t>
        </is>
      </c>
      <c r="G2415" s="3" t="inlineStr">
        <is>
          <t>Derived headline metric</t>
        </is>
      </c>
      <c r="H2415" s="3" t="inlineStr">
        <is>
          <t>inference_gw * 1000 * tokens_per_second_per_mw * 86,400</t>
        </is>
      </c>
      <c r="I2415" s="3" t="inlineStr">
        <is>
          <t>Headline capacity uses no utilization, MoE, architecture or software-growth multiplier; it is not observed commercial output volume.</t>
        </is>
      </c>
      <c r="J2415" s="3" t="inlineStr">
        <is>
          <t>SRC_META_LLAMA; SRC_META_LLAMA4_NVIDIA; SRC_META_MTIA_GENAI_2026; SRC_EPOCH_AI_DATA_CENTERS; SRC_SEMIANALYSIS_INFERENCEX</t>
        </is>
      </c>
      <c r="K2415" s="3" t="inlineStr">
        <is>
          <t>ASSUMP_CONSUMER_AI_UTILIZATION; ASSUMP_POWER_RAMP; ASSUMP_NUMERIC_ACCELERATOR_MIX; ASSUMP_INFERENCE_SHARE_NOT_FACT_60; ASSUMP_WORKLOAD_CLASS_MIX; ASSUMP_AGENTIC_CONTEXT_PENALTY</t>
        </is>
      </c>
      <c r="L2415" s="3" t="inlineStr">
        <is>
          <t>Provider-disclosed generated output token volume or calibrated capacity telemetry.</t>
        </is>
      </c>
    </row>
    <row r="2416">
      <c r="A2416" s="3" t="inlineStr">
        <is>
          <t>Meta</t>
        </is>
      </c>
      <c r="B2416" s="3" t="n">
        <v>2030</v>
      </c>
      <c r="C2416" s="3" t="inlineStr">
        <is>
          <t>Bull</t>
        </is>
      </c>
      <c r="D2416" s="3" t="inlineStr">
        <is>
          <t>inference_tokens_per_year</t>
        </is>
      </c>
      <c r="E2416" s="3" t="n">
        <v>1.2663290323872e+17</v>
      </c>
      <c r="F2416" s="3" t="inlineStr">
        <is>
          <t>generated output tokens/year</t>
        </is>
      </c>
      <c r="G2416" s="3" t="inlineStr">
        <is>
          <t>Derived headline metric</t>
        </is>
      </c>
      <c r="H2416" s="3" t="inlineStr">
        <is>
          <t>inference_tokens_per_day * 365</t>
        </is>
      </c>
      <c r="I2416" s="3" t="inlineStr">
        <is>
          <t>Annualized version of generated output token capacity; it is not observed annual demand or billable volume.</t>
        </is>
      </c>
      <c r="J2416" s="3" t="inlineStr">
        <is>
          <t>SRC_META_LLAMA; SRC_META_LLAMA4_NVIDIA; SRC_META_MTIA_GENAI_2026; SRC_EPOCH_AI_DATA_CENTERS; SRC_SEMIANALYSIS_INFERENCEX</t>
        </is>
      </c>
      <c r="K2416" s="3" t="inlineStr">
        <is>
          <t>ASSUMP_CONSUMER_AI_UTILIZATION; ASSUMP_POWER_RAMP; ASSUMP_NUMERIC_ACCELERATOR_MIX; ASSUMP_INFERENCE_SHARE_NOT_FACT_60; ASSUMP_WORKLOAD_CLASS_MIX; ASSUMP_AGENTIC_CONTEXT_PENALTY</t>
        </is>
      </c>
      <c r="L2416" s="3" t="inlineStr">
        <is>
          <t>Provider-disclosed annual generated-output volume or metered serving telemetry.</t>
        </is>
      </c>
    </row>
    <row r="2417">
      <c r="A2417" s="3" t="inlineStr">
        <is>
          <t>xAI</t>
        </is>
      </c>
      <c r="B2417" s="3" t="n">
        <v>2026</v>
      </c>
      <c r="C2417" s="3" t="inlineStr">
        <is>
          <t>Bull</t>
        </is>
      </c>
      <c r="D2417" s="3" t="inlineStr">
        <is>
          <t>contracted_power_gw</t>
        </is>
      </c>
      <c r="E2417" s="3" t="n">
        <v>1</v>
      </c>
      <c r="F2417" s="3" t="inlineStr">
        <is>
          <t>GW</t>
        </is>
      </c>
      <c r="G2417" s="3" t="inlineStr">
        <is>
          <t>Fact anchor + scenario ceiling</t>
        </is>
      </c>
      <c r="H2417" s="3" t="inlineStr">
        <is>
          <t>linear interpolation between 2026 and 2030 company capacity endpoints</t>
        </is>
      </c>
      <c r="I2417" s="3" t="inlineStr">
        <is>
          <t>Colossus GPU-count disclosure bounds capacity direction; contracted GW values are modeled power envelopes.</t>
        </is>
      </c>
      <c r="J2417" s="3" t="inlineStr">
        <is>
          <t>SRC_XAI_NVIDIA_COLOSSUS; ASSUMP_CLUSTER_RAMP</t>
        </is>
      </c>
      <c r="K2417" s="3" t="inlineStr">
        <is>
          <t>ASSUMP_CLUSTER_RAMP; ASSUMP_CLOSED_MODEL_BAND; ASSUMP_NUMERIC_ACCELERATOR_MIX; ASSUMP_INFERENCE_SHARE_NOT_FACT_60; ASSUMP_WORKLOAD_CLASS_MIX; ASSUMP_AGENTIC_CONTEXT_PENALTY</t>
        </is>
      </c>
      <c r="L2417" s="3" t="inlineStr">
        <is>
          <t>Company/site-level committed MW/GW, interconnect and contract disclosure.</t>
        </is>
      </c>
    </row>
    <row r="2418">
      <c r="A2418" s="3" t="inlineStr">
        <is>
          <t>xAI</t>
        </is>
      </c>
      <c r="B2418" s="3" t="n">
        <v>2026</v>
      </c>
      <c r="C2418" s="3" t="inlineStr">
        <is>
          <t>Bull</t>
        </is>
      </c>
      <c r="D2418" s="3" t="inlineStr">
        <is>
          <t>operational_deployment_share</t>
        </is>
      </c>
      <c r="E2418" s="3" t="n">
        <v>0.367</v>
      </c>
      <c r="F2418" s="3" t="inlineStr">
        <is>
          <t>share</t>
        </is>
      </c>
      <c r="G2418" s="3" t="inlineStr">
        <is>
          <t>Scenario conversion</t>
        </is>
      </c>
      <c r="H2418" s="3" t="inlineStr">
        <is>
          <t>active_power_gw / contracted_power_gw</t>
        </is>
      </c>
      <c r="I2418" s="3" t="inlineStr">
        <is>
          <t>This is the single explicit conversion from contracted/attributed capacity to operationally usable capacity.</t>
        </is>
      </c>
      <c r="J2418" s="3" t="inlineStr">
        <is>
          <t>SRC_XAI_NVIDIA_COLOSSUS; ASSUMP_CLUSTER_RAMP</t>
        </is>
      </c>
      <c r="K2418" s="3" t="inlineStr">
        <is>
          <t>ASSUMP_CLUSTER_RAMP; ASSUMP_CLOSED_MODEL_BAND; ASSUMP_NUMERIC_ACCELERATOR_MIX; ASSUMP_INFERENCE_SHARE_NOT_FACT_60; ASSUMP_WORKLOAD_CLASS_MIX; ASSUMP_AGENTIC_CONTEXT_PENALTY</t>
        </is>
      </c>
      <c r="L2418" s="3" t="inlineStr">
        <is>
          <t>Energized operational capacity divided by contracted/attributed capacity.</t>
        </is>
      </c>
    </row>
    <row r="2419">
      <c r="A2419" s="3" t="inlineStr">
        <is>
          <t>xAI</t>
        </is>
      </c>
      <c r="B2419" s="3" t="n">
        <v>2026</v>
      </c>
      <c r="C2419" s="3" t="inlineStr">
        <is>
          <t>Bull</t>
        </is>
      </c>
      <c r="D2419" s="3" t="inlineStr">
        <is>
          <t>active_power_gw</t>
        </is>
      </c>
      <c r="E2419" s="3" t="n">
        <v>0.367</v>
      </c>
      <c r="F2419" s="3" t="inlineStr">
        <is>
          <t>GW</t>
        </is>
      </c>
      <c r="G2419" s="3" t="inlineStr">
        <is>
          <t>Derived scenario</t>
        </is>
      </c>
      <c r="H2419" s="3" t="inlineStr">
        <is>
          <t>contracted_power_gw * operational_deployment_share</t>
        </is>
      </c>
      <c r="I2419" s="3" t="inlineStr">
        <is>
          <t>GPU cluster scale anchors operational possibility, while inference/training allocation and site power draw remain estimates.</t>
        </is>
      </c>
      <c r="J2419" s="3" t="inlineStr">
        <is>
          <t>SRC_XAI_NVIDIA_COLOSSUS; ASSUMP_CLUSTER_RAMP</t>
        </is>
      </c>
      <c r="K2419" s="3" t="inlineStr">
        <is>
          <t>ASSUMP_CLUSTER_RAMP; ASSUMP_CLOSED_MODEL_BAND; ASSUMP_NUMERIC_ACCELERATOR_MIX; ASSUMP_INFERENCE_SHARE_NOT_FACT_60; ASSUMP_WORKLOAD_CLASS_MIX; ASSUMP_AGENTIC_CONTEXT_PENALTY</t>
        </is>
      </c>
      <c r="L2419" s="3" t="inlineStr">
        <is>
          <t>Energization dates, accelerator deliveries and operational powered-rack telemetry.</t>
        </is>
      </c>
    </row>
    <row r="2420">
      <c r="A2420" s="3" t="inlineStr">
        <is>
          <t>xAI</t>
        </is>
      </c>
      <c r="B2420" s="3" t="n">
        <v>2026</v>
      </c>
      <c r="C2420" s="3" t="inlineStr">
        <is>
          <t>Bull</t>
        </is>
      </c>
      <c r="D2420" s="3" t="inlineStr">
        <is>
          <t>pue</t>
        </is>
      </c>
      <c r="E2420" s="3" t="n">
        <v>1.22</v>
      </c>
      <c r="F2420" s="3" t="inlineStr">
        <is>
          <t>ratio</t>
        </is>
      </c>
      <c r="G2420" s="3" t="inlineStr">
        <is>
          <t>Scenario parameter</t>
        </is>
      </c>
      <c r="H2420" s="3" t="inlineStr">
        <is>
          <t>it_load_gw = active_power_gw / pue</t>
        </is>
      </c>
      <c r="I2420" s="3" t="inlineStr">
        <is>
          <t>No provider-wide site-level PUE is used as a disclosed fact; PUE represents facility-to-IT conversion within the scenario.</t>
        </is>
      </c>
      <c r="J2420" s="3" t="inlineStr">
        <is>
          <t>ASSUMP_POWER_RAMP</t>
        </is>
      </c>
      <c r="K2420" s="3" t="inlineStr">
        <is>
          <t>ASSUMP_CLUSTER_RAMP; ASSUMP_CLOSED_MODEL_BAND; ASSUMP_NUMERIC_ACCELERATOR_MIX; ASSUMP_INFERENCE_SHARE_NOT_FACT_60; ASSUMP_WORKLOAD_CLASS_MIX; ASSUMP_AGENTIC_CONTEXT_PENALTY</t>
        </is>
      </c>
      <c r="L2420" s="3" t="inlineStr">
        <is>
          <t>Site-level measured PUE matched to attributed AI capacity.</t>
        </is>
      </c>
    </row>
    <row r="2421">
      <c r="A2421" s="3" t="inlineStr">
        <is>
          <t>xAI</t>
        </is>
      </c>
      <c r="B2421" s="3" t="n">
        <v>2026</v>
      </c>
      <c r="C2421" s="3" t="inlineStr">
        <is>
          <t>Bull</t>
        </is>
      </c>
      <c r="D2421" s="3" t="inlineStr">
        <is>
          <t>it_load_gw</t>
        </is>
      </c>
      <c r="E2421" s="3" t="n">
        <v>0.301</v>
      </c>
      <c r="F2421" s="3" t="inlineStr">
        <is>
          <t>GW</t>
        </is>
      </c>
      <c r="G2421" s="3" t="inlineStr">
        <is>
          <t>Derived formula</t>
        </is>
      </c>
      <c r="H2421" s="3" t="inlineStr">
        <is>
          <t>active_power_gw / pue</t>
        </is>
      </c>
      <c r="I2421" s="3" t="inlineStr">
        <is>
          <t>Facility power is converted to IT-deliverable power before attributing AI workloads.</t>
        </is>
      </c>
      <c r="J2421" s="3" t="inlineStr">
        <is>
          <t>SRC_XAI_NVIDIA_COLOSSUS; ASSUMP_CLUSTER_RAMP</t>
        </is>
      </c>
      <c r="K2421" s="3" t="inlineStr">
        <is>
          <t>ASSUMP_CLUSTER_RAMP; ASSUMP_CLOSED_MODEL_BAND; ASSUMP_NUMERIC_ACCELERATOR_MIX; ASSUMP_INFERENCE_SHARE_NOT_FACT_60; ASSUMP_WORKLOAD_CLASS_MIX; ASSUMP_AGENTIC_CONTEXT_PENALTY</t>
        </is>
      </c>
      <c r="L2421" s="3" t="inlineStr">
        <is>
          <t>Recompute once active power and PUE become site-observable.</t>
        </is>
      </c>
    </row>
    <row r="2422">
      <c r="A2422" s="3" t="inlineStr">
        <is>
          <t>xAI</t>
        </is>
      </c>
      <c r="B2422" s="3" t="n">
        <v>2026</v>
      </c>
      <c r="C2422" s="3" t="inlineStr">
        <is>
          <t>Bull</t>
        </is>
      </c>
      <c r="D2422" s="3" t="inlineStr">
        <is>
          <t>ai_workload_share</t>
        </is>
      </c>
      <c r="E2422" s="3" t="n">
        <v>0.85</v>
      </c>
      <c r="F2422" s="3" t="inlineStr">
        <is>
          <t>share</t>
        </is>
      </c>
      <c r="G2422" s="3" t="inlineStr">
        <is>
          <t>Scenario allocation</t>
        </is>
      </c>
      <c r="H2422" s="3" t="inlineStr">
        <is>
          <t>ai_it_load_gw = it_load_gw * ai_workload_share</t>
        </is>
      </c>
      <c r="I2422" s="3" t="inlineStr">
        <is>
          <t>Colossus is AI-centric; 85% retains cooling/IT allocation boundary and non-serving AI work.</t>
        </is>
      </c>
      <c r="J2422" s="3" t="inlineStr">
        <is>
          <t>SRC_XAI_MODELS; SRC_XAI_NVIDIA_COLOSSUS; SRC_EPOCH_AI_DATA_CENTERS</t>
        </is>
      </c>
      <c r="K2422" s="3" t="inlineStr">
        <is>
          <t>ASSUMP_CLUSTER_RAMP; ASSUMP_CLOSED_MODEL_BAND; ASSUMP_NUMERIC_ACCELERATOR_MIX; ASSUMP_INFERENCE_SHARE_NOT_FACT_60; ASSUMP_WORKLOAD_CLASS_MIX; ASSUMP_AGENTIC_CONTEXT_PENALTY</t>
        </is>
      </c>
      <c r="L2422" s="3" t="inlineStr">
        <is>
          <t>Model-owner AI workload allocation or cluster scheduling telemetry.</t>
        </is>
      </c>
    </row>
    <row r="2423">
      <c r="A2423" s="3" t="inlineStr">
        <is>
          <t>xAI</t>
        </is>
      </c>
      <c r="B2423" s="3" t="n">
        <v>2026</v>
      </c>
      <c r="C2423" s="3" t="inlineStr">
        <is>
          <t>Bull</t>
        </is>
      </c>
      <c r="D2423" s="3" t="inlineStr">
        <is>
          <t>ai_it_load_gw</t>
        </is>
      </c>
      <c r="E2423" s="3" t="n">
        <v>0.256</v>
      </c>
      <c r="F2423" s="3" t="inlineStr">
        <is>
          <t>GW</t>
        </is>
      </c>
      <c r="G2423" s="3" t="inlineStr">
        <is>
          <t>Derived formula</t>
        </is>
      </c>
      <c r="H2423" s="3" t="inlineStr">
        <is>
          <t>it_load_gw * ai_workload_share</t>
        </is>
      </c>
      <c r="I2423" s="3" t="inlineStr">
        <is>
          <t>Only the AI-attributed portion of IT load enters training/inference allocation.</t>
        </is>
      </c>
      <c r="J2423" s="3" t="inlineStr">
        <is>
          <t>SRC_XAI_MODELS; SRC_XAI_NVIDIA_COLOSSUS; SRC_EPOCH_AI_DATA_CENTERS</t>
        </is>
      </c>
      <c r="K2423" s="3" t="inlineStr">
        <is>
          <t>ASSUMP_CLUSTER_RAMP; ASSUMP_CLOSED_MODEL_BAND; ASSUMP_NUMERIC_ACCELERATOR_MIX; ASSUMP_INFERENCE_SHARE_NOT_FACT_60; ASSUMP_WORKLOAD_CLASS_MIX; ASSUMP_AGENTIC_CONTEXT_PENALTY</t>
        </is>
      </c>
      <c r="L2423" s="3" t="inlineStr">
        <is>
          <t>Recompute after ai_workload_share is replaced by telemetry.</t>
        </is>
      </c>
    </row>
    <row r="2424">
      <c r="A2424" s="3" t="inlineStr">
        <is>
          <t>xAI</t>
        </is>
      </c>
      <c r="B2424" s="3" t="n">
        <v>2026</v>
      </c>
      <c r="C2424" s="3" t="inlineStr">
        <is>
          <t>Bull</t>
        </is>
      </c>
      <c r="D2424" s="3" t="inlineStr">
        <is>
          <t>gpu_share</t>
        </is>
      </c>
      <c r="E2424" s="3" t="n">
        <v>1</v>
      </c>
      <c r="F2424" s="3" t="inlineStr">
        <is>
          <t>share of inference-serving accelerator load</t>
        </is>
      </c>
      <c r="G2424" s="3" t="inlineStr">
        <is>
          <t>Numeric scenario</t>
        </is>
      </c>
      <c r="H2424" s="3" t="inlineStr">
        <is>
          <t>gpu_share interpolated from company 2026/2030 accelerator-mix endpoints</t>
        </is>
      </c>
      <c r="I2424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24" s="3" t="inlineStr">
        <is>
          <t>SRC_XAI_MODELS; SRC_XAI_NVIDIA_COLOSSUS; SRC_EPOCH_AI_DATA_CENTERS; ASSUMP_NUMERIC_ACCELERATOR_MIX</t>
        </is>
      </c>
      <c r="K2424" s="3" t="inlineStr">
        <is>
          <t>ASSUMP_CLUSTER_RAMP; ASSUMP_CLOSED_MODEL_BAND; ASSUMP_NUMERIC_ACCELERATOR_MIX; ASSUMP_INFERENCE_SHARE_NOT_FACT_60; ASSUMP_WORKLOAD_CLASS_MIX; ASSUMP_AGENTIC_CONTEXT_PENALTY</t>
        </is>
      </c>
      <c r="L2424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25">
      <c r="A2425" s="3" t="inlineStr">
        <is>
          <t>xAI</t>
        </is>
      </c>
      <c r="B2425" s="3" t="n">
        <v>2026</v>
      </c>
      <c r="C2425" s="3" t="inlineStr">
        <is>
          <t>Bull</t>
        </is>
      </c>
      <c r="D2425" s="3" t="inlineStr">
        <is>
          <t>h200_share</t>
        </is>
      </c>
      <c r="E2425" s="3" t="n">
        <v>0</v>
      </c>
      <c r="F2425" s="3" t="inlineStr">
        <is>
          <t>share of inference-serving accelerator load</t>
        </is>
      </c>
      <c r="G2425" s="3" t="inlineStr">
        <is>
          <t>Editable numeric scenario</t>
        </is>
      </c>
      <c r="H2425" s="3" t="inlineStr">
        <is>
          <t>h200_share = gpu_share * default_gpu_generation_mix_h200</t>
        </is>
      </c>
      <c r="I2425" s="3" t="inlineStr">
        <is>
          <t>Default GPU-generation migration assumption; executive workbook allows later manual replacement by company/year/scenario.</t>
        </is>
      </c>
      <c r="J2425" s="3" t="inlineStr">
        <is>
          <t>SRC_SEMIANALYSIS_INFERENCEX; ASSUMP_NUMERIC_ACCELERATOR_MIX</t>
        </is>
      </c>
      <c r="K2425" s="3" t="inlineStr">
        <is>
          <t>ASSUMP_CLUSTER_RAMP; ASSUMP_CLOSED_MODEL_BAND; ASSUMP_NUMERIC_ACCELERATOR_MIX; ASSUMP_INFERENCE_SHARE_NOT_FACT_60; ASSUMP_WORKLOAD_CLASS_MIX; ASSUMP_AGENTIC_CONTEXT_PENALTY</t>
        </is>
      </c>
      <c r="L2425" s="3" t="inlineStr">
        <is>
          <t>Company fleet inventory, accelerator-hours or procurement/deployment records by GPU generation.</t>
        </is>
      </c>
    </row>
    <row r="2426">
      <c r="A2426" s="3" t="inlineStr">
        <is>
          <t>xAI</t>
        </is>
      </c>
      <c r="B2426" s="3" t="n">
        <v>2026</v>
      </c>
      <c r="C2426" s="3" t="inlineStr">
        <is>
          <t>Bull</t>
        </is>
      </c>
      <c r="D2426" s="3" t="inlineStr">
        <is>
          <t>b200_share</t>
        </is>
      </c>
      <c r="E2426" s="3" t="n">
        <v>1</v>
      </c>
      <c r="F2426" s="3" t="inlineStr">
        <is>
          <t>share of inference-serving accelerator load</t>
        </is>
      </c>
      <c r="G2426" s="3" t="inlineStr">
        <is>
          <t>Editable numeric scenario</t>
        </is>
      </c>
      <c r="H2426" s="3" t="inlineStr">
        <is>
          <t>b200_share = gpu_share * default_gpu_generation_mix_b200</t>
        </is>
      </c>
      <c r="I2426" s="3" t="inlineStr">
        <is>
          <t>Default GPU-generation migration assumption; executive workbook allows later manual replacement by company/year/scenario.</t>
        </is>
      </c>
      <c r="J2426" s="3" t="inlineStr">
        <is>
          <t>SRC_SEMIANALYSIS_INFERENCEX; ASSUMP_NUMERIC_ACCELERATOR_MIX</t>
        </is>
      </c>
      <c r="K2426" s="3" t="inlineStr">
        <is>
          <t>ASSUMP_CLUSTER_RAMP; ASSUMP_CLOSED_MODEL_BAND; ASSUMP_NUMERIC_ACCELERATOR_MIX; ASSUMP_INFERENCE_SHARE_NOT_FACT_60; ASSUMP_WORKLOAD_CLASS_MIX; ASSUMP_AGENTIC_CONTEXT_PENALTY</t>
        </is>
      </c>
      <c r="L2426" s="3" t="inlineStr">
        <is>
          <t>Company fleet inventory, accelerator-hours or procurement/deployment records by GPU generation.</t>
        </is>
      </c>
    </row>
    <row r="2427">
      <c r="A2427" s="3" t="inlineStr">
        <is>
          <t>xAI</t>
        </is>
      </c>
      <c r="B2427" s="3" t="n">
        <v>2026</v>
      </c>
      <c r="C2427" s="3" t="inlineStr">
        <is>
          <t>Bull</t>
        </is>
      </c>
      <c r="D2427" s="3" t="inlineStr">
        <is>
          <t>gb200_share</t>
        </is>
      </c>
      <c r="E2427" s="3" t="n">
        <v>0</v>
      </c>
      <c r="F2427" s="3" t="inlineStr">
        <is>
          <t>share of inference-serving accelerator load</t>
        </is>
      </c>
      <c r="G2427" s="3" t="inlineStr">
        <is>
          <t>Editable numeric scenario</t>
        </is>
      </c>
      <c r="H2427" s="3" t="inlineStr">
        <is>
          <t>gb200_share = gpu_share * default_gpu_generation_mix_gb200</t>
        </is>
      </c>
      <c r="I2427" s="3" t="inlineStr">
        <is>
          <t>Default GPU-generation migration assumption; executive workbook allows later manual replacement by company/year/scenario.</t>
        </is>
      </c>
      <c r="J2427" s="3" t="inlineStr">
        <is>
          <t>SRC_SEMIANALYSIS_INFERENCEX; ASSUMP_NUMERIC_ACCELERATOR_MIX</t>
        </is>
      </c>
      <c r="K2427" s="3" t="inlineStr">
        <is>
          <t>ASSUMP_CLUSTER_RAMP; ASSUMP_CLOSED_MODEL_BAND; ASSUMP_NUMERIC_ACCELERATOR_MIX; ASSUMP_INFERENCE_SHARE_NOT_FACT_60; ASSUMP_WORKLOAD_CLASS_MIX; ASSUMP_AGENTIC_CONTEXT_PENALTY</t>
        </is>
      </c>
      <c r="L2427" s="3" t="inlineStr">
        <is>
          <t>Company fleet inventory, accelerator-hours or procurement/deployment records by GPU generation.</t>
        </is>
      </c>
    </row>
    <row r="2428">
      <c r="A2428" s="3" t="inlineStr">
        <is>
          <t>xAI</t>
        </is>
      </c>
      <c r="B2428" s="3" t="n">
        <v>2026</v>
      </c>
      <c r="C2428" s="3" t="inlineStr">
        <is>
          <t>Bull</t>
        </is>
      </c>
      <c r="D2428" s="3" t="inlineStr">
        <is>
          <t>purpose_built_accelerator_share</t>
        </is>
      </c>
      <c r="E2428" s="3" t="n">
        <v>0</v>
      </c>
      <c r="F2428" s="3" t="inlineStr">
        <is>
          <t>share of inference-serving accelerator load</t>
        </is>
      </c>
      <c r="G2428" s="3" t="inlineStr">
        <is>
          <t>Numeric scenario</t>
        </is>
      </c>
      <c r="H2428" s="3" t="inlineStr">
        <is>
          <t>1 - gpu_share</t>
        </is>
      </c>
      <c r="I2428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28" s="3" t="inlineStr">
        <is>
          <t>SRC_XAI_MODELS; SRC_XAI_NVIDIA_COLOSSUS; SRC_EPOCH_AI_DATA_CENTERS; ASSUMP_NUMERIC_ACCELERATOR_MIX</t>
        </is>
      </c>
      <c r="K2428" s="3" t="inlineStr">
        <is>
          <t>ASSUMP_CLUSTER_RAMP; ASSUMP_CLOSED_MODEL_BAND; ASSUMP_NUMERIC_ACCELERATOR_MIX; ASSUMP_INFERENCE_SHARE_NOT_FACT_60; ASSUMP_WORKLOAD_CLASS_MIX; ASSUMP_AGENTIC_CONTEXT_PENALTY</t>
        </is>
      </c>
      <c r="L2428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29">
      <c r="A2429" s="3" t="inlineStr">
        <is>
          <t>xAI</t>
        </is>
      </c>
      <c r="B2429" s="3" t="n">
        <v>2026</v>
      </c>
      <c r="C2429" s="3" t="inlineStr">
        <is>
          <t>Bull</t>
        </is>
      </c>
      <c r="D2429" s="3" t="inlineStr">
        <is>
          <t>fleet_reference_tps_per_mw</t>
        </is>
      </c>
      <c r="E2429" s="3" t="n">
        <v>3010288</v>
      </c>
      <c r="F2429" s="3" t="inlineStr">
        <is>
          <t>generated output tokens/sec/MW</t>
        </is>
      </c>
      <c r="G2429" s="3" t="inlineStr">
        <is>
          <t>Fleet-weighted public benchmark reference</t>
        </is>
      </c>
      <c r="H2429" s="3" t="inlineStr">
        <is>
          <t>h200_share*h200_workload_avg + b200_share*b200_workload_avg + gb200_share*gb200_workload_avg + purpose_built_share*purpose_workload_avg</t>
        </is>
      </c>
      <c r="I242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29" s="3" t="inlineStr">
        <is>
          <t>SRC_SEMIANALYSIS_INFERENCEX; ASSUMP_NUMERIC_ACCELERATOR_MIX; ASSUMP_WORKLOAD_CLASS_MIX; ASSUMP_AGENTIC_CONTEXT_PENALTY</t>
        </is>
      </c>
      <c r="K2429" s="3" t="inlineStr">
        <is>
          <t>ASSUMP_CLUSTER_RAMP; ASSUMP_CLOSED_MODEL_BAND; ASSUMP_NUMERIC_ACCELERATOR_MIX; ASSUMP_INFERENCE_SHARE_NOT_FACT_60; ASSUMP_WORKLOAD_CLASS_MIX; ASSUMP_AGENTIC_CONTEXT_PENALTY</t>
        </is>
      </c>
      <c r="L2429" s="3" t="inlineStr">
        <is>
          <t>Comparable production output-token throughput or a more closely matched benchmark.</t>
        </is>
      </c>
    </row>
    <row r="2430">
      <c r="A2430" s="3" t="inlineStr">
        <is>
          <t>xAI</t>
        </is>
      </c>
      <c r="B2430" s="3" t="n">
        <v>2026</v>
      </c>
      <c r="C2430" s="3" t="inlineStr">
        <is>
          <t>Bull</t>
        </is>
      </c>
      <c r="D2430" s="3" t="inlineStr">
        <is>
          <t>commercial_workload_fit_factor</t>
        </is>
      </c>
      <c r="E2430" s="3" t="n">
        <v>0.75</v>
      </c>
      <c r="F2430" s="3" t="inlineStr">
        <is>
          <t>share of public reference throughput</t>
        </is>
      </c>
      <c r="G2430" s="3" t="inlineStr">
        <is>
          <t>Scenario assumption</t>
        </is>
      </c>
      <c r="H2430" s="3" t="inlineStr">
        <is>
          <t>reference_serving_tps_per_mw = fleet_reference_tps_per_mw * commercial_workload_fit_factor</t>
        </is>
      </c>
      <c r="I2430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30" s="3" t="inlineStr">
        <is>
          <t>SRC_SEMIANALYSIS_INFERENCEX; ASSUMP_NUMERIC_ACCELERATOR_MIX; ASSUMP_WORKLOAD_CLASS_MIX; ASSUMP_AGENTIC_CONTEXT_PENALTY</t>
        </is>
      </c>
      <c r="K2430" s="3" t="inlineStr">
        <is>
          <t>ASSUMP_CLUSTER_RAMP; ASSUMP_CLOSED_MODEL_BAND; ASSUMP_NUMERIC_ACCELERATOR_MIX; ASSUMP_INFERENCE_SHARE_NOT_FACT_60; ASSUMP_WORKLOAD_CLASS_MIX; ASSUMP_AGENTIC_CONTEXT_PENALTY</t>
        </is>
      </c>
      <c r="L2430" s="3" t="inlineStr">
        <is>
          <t>Matched commercial serving benchmark by product surface, context shape and latency SLO.</t>
        </is>
      </c>
    </row>
    <row r="2431">
      <c r="A2431" s="3" t="inlineStr">
        <is>
          <t>xAI</t>
        </is>
      </c>
      <c r="B2431" s="3" t="n">
        <v>2026</v>
      </c>
      <c r="C2431" s="3" t="inlineStr">
        <is>
          <t>Bull</t>
        </is>
      </c>
      <c r="D2431" s="3" t="inlineStr">
        <is>
          <t>reference_serving_tps_per_mw</t>
        </is>
      </c>
      <c r="E2431" s="3" t="n">
        <v>2257716</v>
      </c>
      <c r="F2431" s="3" t="inlineStr">
        <is>
          <t>generated output tokens/sec/MW</t>
        </is>
      </c>
      <c r="G2431" s="3" t="inlineStr">
        <is>
          <t>Workload-adjusted benchmark proxy</t>
        </is>
      </c>
      <c r="H2431" s="3" t="inlineStr">
        <is>
          <t>fleet_reference_tps_per_mw * commercial_workload_fit_factor</t>
        </is>
      </c>
      <c r="I2431" s="3" t="inlineStr">
        <is>
          <t>This is the coefficient used for headline token generation; each GPU's short chat, long chat and agentic TPS/MW are weighted before fleet mix and commercial fit are applied.</t>
        </is>
      </c>
      <c r="J2431" s="3" t="inlineStr">
        <is>
          <t>SRC_SEMIANALYSIS_INFERENCEX; ASSUMP_NUMERIC_ACCELERATOR_MIX; ASSUMP_WORKLOAD_CLASS_MIX; ASSUMP_AGENTIC_CONTEXT_PENALTY</t>
        </is>
      </c>
      <c r="K2431" s="3" t="inlineStr">
        <is>
          <t>ASSUMP_CLUSTER_RAMP; ASSUMP_CLOSED_MODEL_BAND; ASSUMP_NUMERIC_ACCELERATOR_MIX; ASSUMP_INFERENCE_SHARE_NOT_FACT_60; ASSUMP_WORKLOAD_CLASS_MIX; ASSUMP_AGENTIC_CONTEXT_PENALTY</t>
        </is>
      </c>
      <c r="L2431" s="3" t="inlineStr">
        <is>
          <t>Provider production output-token throughput with comparable workload/SLO.</t>
        </is>
      </c>
    </row>
    <row r="2432">
      <c r="A2432" s="3" t="inlineStr">
        <is>
          <t>xAI</t>
        </is>
      </c>
      <c r="B2432" s="3" t="n">
        <v>2026</v>
      </c>
      <c r="C2432" s="3" t="inlineStr">
        <is>
          <t>Bull</t>
        </is>
      </c>
      <c r="D2432" s="3" t="inlineStr">
        <is>
          <t>purpose_built_tps_per_mw</t>
        </is>
      </c>
      <c r="E2432" s="3" t="n">
        <v>3387725</v>
      </c>
      <c r="F2432" s="3" t="inlineStr">
        <is>
          <t>generated output tokens/sec/MW</t>
        </is>
      </c>
      <c r="G2432" s="3" t="inlineStr">
        <is>
          <t>Conservative no-uplift proxy</t>
        </is>
      </c>
      <c r="H2432" s="3" t="inlineStr">
        <is>
          <t>purpose_built_tps_per_mw = purpose_built_reference_tps_per_mw * commercial_workload_fit_factor until comparable output-token benchmark is adopted</t>
        </is>
      </c>
      <c r="I2432" s="3" t="inlineStr">
        <is>
          <t>No comparable public output-token/MW row adopted; B200 public reference placeholder is used and remains editable.</t>
        </is>
      </c>
      <c r="J2432" s="3" t="inlineStr">
        <is>
          <t>SRC_XAI_MODELS; SRC_XAI_NVIDIA_COLOSSUS; SRC_EPOCH_AI_DATA_CENTERS; ASSUMP_NUMERIC_ACCELERATOR_MIX</t>
        </is>
      </c>
      <c r="K2432" s="3" t="inlineStr">
        <is>
          <t>ASSUMP_CLUSTER_RAMP; ASSUMP_CLOSED_MODEL_BAND; ASSUMP_NUMERIC_ACCELERATOR_MIX; ASSUMP_INFERENCE_SHARE_NOT_FACT_60; ASSUMP_WORKLOAD_CLASS_MIX; ASSUMP_AGENTIC_CONTEXT_PENALTY</t>
        </is>
      </c>
      <c r="L2432" s="3" t="inlineStr">
        <is>
          <t>Matched-workload generated-output benchmark for the provider purpose-built accelerator.</t>
        </is>
      </c>
    </row>
    <row r="2433">
      <c r="A2433" s="3" t="inlineStr">
        <is>
          <t>xAI</t>
        </is>
      </c>
      <c r="B2433" s="3" t="n">
        <v>2026</v>
      </c>
      <c r="C2433" s="3" t="inlineStr">
        <is>
          <t>Bull</t>
        </is>
      </c>
      <c r="D2433" s="3" t="inlineStr">
        <is>
          <t>inference_power_share</t>
        </is>
      </c>
      <c r="E2433" s="3" t="n">
        <v>0.5</v>
      </c>
      <c r="F2433" s="3" t="inlineStr">
        <is>
          <t>share of AI IT load</t>
        </is>
      </c>
      <c r="G2433" s="3" t="inlineStr">
        <is>
          <t>Scenario allocation</t>
        </is>
      </c>
      <c r="H2433" s="3" t="inlineStr">
        <is>
          <t>inference_gw = ai_it_load_gw * inference_power_share</t>
        </is>
      </c>
      <c r="I2433" s="3" t="inlineStr">
        <is>
          <t>Grok product expansion is modeled to shift capacity toward inference after initial training-heavy operation.</t>
        </is>
      </c>
      <c r="J2433" s="3" t="inlineStr">
        <is>
          <t>SRC_XAI_MODELS; SRC_XAI_NVIDIA_COLOSSUS; SRC_EPOCH_AI_DATA_CENTERS; ASSUMP_INFERENCE_SHARE_NOT_FACT_60</t>
        </is>
      </c>
      <c r="K2433" s="3" t="inlineStr">
        <is>
          <t>ASSUMP_CLUSTER_RAMP; ASSUMP_CLOSED_MODEL_BAND; ASSUMP_NUMERIC_ACCELERATOR_MIX; ASSUMP_INFERENCE_SHARE_NOT_FACT_60; ASSUMP_WORKLOAD_CLASS_MIX; ASSUMP_AGENTIC_CONTEXT_PENALTY</t>
        </is>
      </c>
      <c r="L2433" s="3" t="inlineStr">
        <is>
          <t>Provider-specific inference/training workload power telemetry.</t>
        </is>
      </c>
    </row>
    <row r="2434">
      <c r="A2434" s="3" t="inlineStr">
        <is>
          <t>xAI</t>
        </is>
      </c>
      <c r="B2434" s="3" t="n">
        <v>2026</v>
      </c>
      <c r="C2434" s="3" t="inlineStr">
        <is>
          <t>Bull</t>
        </is>
      </c>
      <c r="D2434" s="3" t="inlineStr">
        <is>
          <t>inference_gw</t>
        </is>
      </c>
      <c r="E2434" s="3" t="n">
        <v>0.128</v>
      </c>
      <c r="F2434" s="3" t="inlineStr">
        <is>
          <t>GW</t>
        </is>
      </c>
      <c r="G2434" s="3" t="inlineStr">
        <is>
          <t>Derived formula</t>
        </is>
      </c>
      <c r="H2434" s="3" t="inlineStr">
        <is>
          <t>ai_it_load_gw * inference_power_share</t>
        </is>
      </c>
      <c r="I2434" s="3" t="inlineStr">
        <is>
          <t>This is the operational power eligible to become commercial generated output tokens through the selected TPS/MW proxy.</t>
        </is>
      </c>
      <c r="J2434" s="3" t="inlineStr">
        <is>
          <t>SRC_XAI_MODELS; SRC_XAI_NVIDIA_COLOSSUS; SRC_EPOCH_AI_DATA_CENTERS</t>
        </is>
      </c>
      <c r="K2434" s="3" t="inlineStr">
        <is>
          <t>ASSUMP_CLUSTER_RAMP; ASSUMP_CLOSED_MODEL_BAND; ASSUMP_NUMERIC_ACCELERATOR_MIX; ASSUMP_INFERENCE_SHARE_NOT_FACT_60; ASSUMP_WORKLOAD_CLASS_MIX; ASSUMP_AGENTIC_CONTEXT_PENALTY</t>
        </is>
      </c>
      <c r="L2434" s="3" t="inlineStr">
        <is>
          <t>Recompute after AI allocation or inference-share evidence changes.</t>
        </is>
      </c>
    </row>
    <row r="2435">
      <c r="A2435" s="3" t="inlineStr">
        <is>
          <t>xAI</t>
        </is>
      </c>
      <c r="B2435" s="3" t="n">
        <v>2026</v>
      </c>
      <c r="C2435" s="3" t="inlineStr">
        <is>
          <t>Bull</t>
        </is>
      </c>
      <c r="D2435" s="3" t="inlineStr">
        <is>
          <t>training_power_share</t>
        </is>
      </c>
      <c r="E2435" s="3" t="n">
        <v>0.5</v>
      </c>
      <c r="F2435" s="3" t="inlineStr">
        <is>
          <t>share of AI IT load</t>
        </is>
      </c>
      <c r="G2435" s="3" t="inlineStr">
        <is>
          <t>Derived allocation</t>
        </is>
      </c>
      <c r="H2435" s="3" t="inlineStr">
        <is>
          <t>1 - inference_power_share</t>
        </is>
      </c>
      <c r="I2435" s="3" t="inlineStr">
        <is>
          <t>Training receives the complementary modeled AI IT allocation; it is not a disclosed company workload split.</t>
        </is>
      </c>
      <c r="J2435" s="3" t="inlineStr">
        <is>
          <t>SRC_XAI_MODELS; SRC_XAI_NVIDIA_COLOSSUS; SRC_EPOCH_AI_DATA_CENTERS; ASSUMP_INFERENCE_SHARE_NOT_FACT_60</t>
        </is>
      </c>
      <c r="K2435" s="3" t="inlineStr">
        <is>
          <t>ASSUMP_CLUSTER_RAMP; ASSUMP_CLOSED_MODEL_BAND; ASSUMP_NUMERIC_ACCELERATOR_MIX; ASSUMP_INFERENCE_SHARE_NOT_FACT_60; ASSUMP_WORKLOAD_CLASS_MIX; ASSUMP_AGENTIC_CONTEXT_PENALTY</t>
        </is>
      </c>
      <c r="L2435" s="3" t="inlineStr">
        <is>
          <t>Provider-specific inference/training workload power telemetry.</t>
        </is>
      </c>
    </row>
    <row r="2436">
      <c r="A2436" s="3" t="inlineStr">
        <is>
          <t>xAI</t>
        </is>
      </c>
      <c r="B2436" s="3" t="n">
        <v>2026</v>
      </c>
      <c r="C2436" s="3" t="inlineStr">
        <is>
          <t>Bull</t>
        </is>
      </c>
      <c r="D2436" s="3" t="inlineStr">
        <is>
          <t>training_gw</t>
        </is>
      </c>
      <c r="E2436" s="3" t="n">
        <v>0.128</v>
      </c>
      <c r="F2436" s="3" t="inlineStr">
        <is>
          <t>GW</t>
        </is>
      </c>
      <c r="G2436" s="3" t="inlineStr">
        <is>
          <t>Derived formula</t>
        </is>
      </c>
      <c r="H2436" s="3" t="inlineStr">
        <is>
          <t>ai_it_load_gw * training_power_share</t>
        </is>
      </c>
      <c r="I2436" s="3" t="inlineStr">
        <is>
          <t>Training GW is shown separately so commercial inference token capacity is not overstated.</t>
        </is>
      </c>
      <c r="J2436" s="3" t="inlineStr">
        <is>
          <t>SRC_XAI_MODELS; SRC_XAI_NVIDIA_COLOSSUS; SRC_EPOCH_AI_DATA_CENTERS</t>
        </is>
      </c>
      <c r="K2436" s="3" t="inlineStr">
        <is>
          <t>ASSUMP_CLUSTER_RAMP; ASSUMP_CLOSED_MODEL_BAND; ASSUMP_NUMERIC_ACCELERATOR_MIX; ASSUMP_INFERENCE_SHARE_NOT_FACT_60; ASSUMP_WORKLOAD_CLASS_MIX; ASSUMP_AGENTIC_CONTEXT_PENALTY</t>
        </is>
      </c>
      <c r="L2436" s="3" t="inlineStr">
        <is>
          <t>Recompute after AI allocation or workload-split evidence changes.</t>
        </is>
      </c>
    </row>
    <row r="2437">
      <c r="A2437" s="3" t="inlineStr">
        <is>
          <t>xAI</t>
        </is>
      </c>
      <c r="B2437" s="3" t="n">
        <v>2026</v>
      </c>
      <c r="C2437" s="3" t="inlineStr">
        <is>
          <t>Bull</t>
        </is>
      </c>
      <c r="D2437" s="3" t="inlineStr">
        <is>
          <t>tokens_per_second_per_mw</t>
        </is>
      </c>
      <c r="E2437" s="3" t="n">
        <v>2257716</v>
      </c>
      <c r="F2437" s="3" t="inlineStr">
        <is>
          <t>generated output tokens/sec/MW</t>
        </is>
      </c>
      <c r="G2437" s="3" t="inlineStr">
        <is>
          <t>Derived estimate + benchmark calibration</t>
        </is>
      </c>
      <c r="H2437" s="3" t="inlineStr">
        <is>
          <t>fleet_reference_tps_per_mw * commercial_workload_fit_factor</t>
        </is>
      </c>
      <c r="I2437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37" s="3" t="inlineStr">
        <is>
          <t>SRC_XAI_MODELS; SRC_XAI_NVIDIA_COLOSSUS; SRC_EPOCH_AI_DATA_CENTERS; SRC_SEMIANALYSIS_INFERENCEX; ASSUMP_NUMERIC_ACCELERATOR_MIX; ASSUMP_WORKLOAD_CLASS_MIX; ASSUMP_AGENTIC_CONTEXT_PENALTY</t>
        </is>
      </c>
      <c r="K2437" s="3" t="inlineStr">
        <is>
          <t>ASSUMP_CLUSTER_RAMP; ASSUMP_CLOSED_MODEL_BAND; ASSUMP_NUMERIC_ACCELERATOR_MIX; ASSUMP_INFERENCE_SHARE_NOT_FACT_60; ASSUMP_WORKLOAD_CLASS_MIX; ASSUMP_AGENTIC_CONTEXT_PENALTY</t>
        </is>
      </c>
      <c r="L2437" s="3" t="inlineStr">
        <is>
          <t>Comparable production output-token throughput with model, hardware, precision, ISL/OSL and SLO matched.</t>
        </is>
      </c>
    </row>
    <row r="2438">
      <c r="A2438" s="3" t="inlineStr">
        <is>
          <t>xAI</t>
        </is>
      </c>
      <c r="B2438" s="3" t="n">
        <v>2026</v>
      </c>
      <c r="C2438" s="3" t="inlineStr">
        <is>
          <t>Bull</t>
        </is>
      </c>
      <c r="D2438" s="3" t="inlineStr">
        <is>
          <t>inference_tokens_per_day</t>
        </is>
      </c>
      <c r="E2438" s="3" t="n">
        <v>24968532787200</v>
      </c>
      <c r="F2438" s="3" t="inlineStr">
        <is>
          <t>generated output tokens/day</t>
        </is>
      </c>
      <c r="G2438" s="3" t="inlineStr">
        <is>
          <t>Derived headline metric</t>
        </is>
      </c>
      <c r="H2438" s="3" t="inlineStr">
        <is>
          <t>inference_gw * 1000 * tokens_per_second_per_mw * 86,400</t>
        </is>
      </c>
      <c r="I2438" s="3" t="inlineStr">
        <is>
          <t>Headline capacity uses no utilization, MoE, architecture or software-growth multiplier; it is not observed commercial output volume.</t>
        </is>
      </c>
      <c r="J2438" s="3" t="inlineStr">
        <is>
          <t>SRC_XAI_MODELS; SRC_XAI_NVIDIA_COLOSSUS; SRC_EPOCH_AI_DATA_CENTERS; SRC_SEMIANALYSIS_INFERENCEX</t>
        </is>
      </c>
      <c r="K2438" s="3" t="inlineStr">
        <is>
          <t>ASSUMP_CLUSTER_RAMP; ASSUMP_CLOSED_MODEL_BAND; ASSUMP_NUMERIC_ACCELERATOR_MIX; ASSUMP_INFERENCE_SHARE_NOT_FACT_60; ASSUMP_WORKLOAD_CLASS_MIX; ASSUMP_AGENTIC_CONTEXT_PENALTY</t>
        </is>
      </c>
      <c r="L2438" s="3" t="inlineStr">
        <is>
          <t>Provider-disclosed generated output token volume or calibrated capacity telemetry.</t>
        </is>
      </c>
    </row>
    <row r="2439">
      <c r="A2439" s="3" t="inlineStr">
        <is>
          <t>xAI</t>
        </is>
      </c>
      <c r="B2439" s="3" t="n">
        <v>2026</v>
      </c>
      <c r="C2439" s="3" t="inlineStr">
        <is>
          <t>Bull</t>
        </is>
      </c>
      <c r="D2439" s="3" t="inlineStr">
        <is>
          <t>inference_tokens_per_year</t>
        </is>
      </c>
      <c r="E2439" s="3" t="n">
        <v>9113514467328000</v>
      </c>
      <c r="F2439" s="3" t="inlineStr">
        <is>
          <t>generated output tokens/year</t>
        </is>
      </c>
      <c r="G2439" s="3" t="inlineStr">
        <is>
          <t>Derived headline metric</t>
        </is>
      </c>
      <c r="H2439" s="3" t="inlineStr">
        <is>
          <t>inference_tokens_per_day * 365</t>
        </is>
      </c>
      <c r="I2439" s="3" t="inlineStr">
        <is>
          <t>Annualized version of generated output token capacity; it is not observed annual demand or billable volume.</t>
        </is>
      </c>
      <c r="J2439" s="3" t="inlineStr">
        <is>
          <t>SRC_XAI_MODELS; SRC_XAI_NVIDIA_COLOSSUS; SRC_EPOCH_AI_DATA_CENTERS; SRC_SEMIANALYSIS_INFERENCEX</t>
        </is>
      </c>
      <c r="K2439" s="3" t="inlineStr">
        <is>
          <t>ASSUMP_CLUSTER_RAMP; ASSUMP_CLOSED_MODEL_BAND; ASSUMP_NUMERIC_ACCELERATOR_MIX; ASSUMP_INFERENCE_SHARE_NOT_FACT_60; ASSUMP_WORKLOAD_CLASS_MIX; ASSUMP_AGENTIC_CONTEXT_PENALTY</t>
        </is>
      </c>
      <c r="L2439" s="3" t="inlineStr">
        <is>
          <t>Provider-disclosed annual generated-output volume or metered serving telemetry.</t>
        </is>
      </c>
    </row>
    <row r="2440">
      <c r="A2440" s="3" t="inlineStr">
        <is>
          <t>xAI</t>
        </is>
      </c>
      <c r="B2440" s="3" t="n">
        <v>2027</v>
      </c>
      <c r="C2440" s="3" t="inlineStr">
        <is>
          <t>Bull</t>
        </is>
      </c>
      <c r="D2440" s="3" t="inlineStr">
        <is>
          <t>contracted_power_gw</t>
        </is>
      </c>
      <c r="E2440" s="3" t="n">
        <v>1.5</v>
      </c>
      <c r="F2440" s="3" t="inlineStr">
        <is>
          <t>GW</t>
        </is>
      </c>
      <c r="G2440" s="3" t="inlineStr">
        <is>
          <t>Fact anchor + scenario ceiling</t>
        </is>
      </c>
      <c r="H2440" s="3" t="inlineStr">
        <is>
          <t>linear interpolation between 2026 and 2030 company capacity endpoints</t>
        </is>
      </c>
      <c r="I2440" s="3" t="inlineStr">
        <is>
          <t>Colossus GPU-count disclosure bounds capacity direction; contracted GW values are modeled power envelopes.</t>
        </is>
      </c>
      <c r="J2440" s="3" t="inlineStr">
        <is>
          <t>SRC_XAI_NVIDIA_COLOSSUS; ASSUMP_CLUSTER_RAMP</t>
        </is>
      </c>
      <c r="K2440" s="3" t="inlineStr">
        <is>
          <t>ASSUMP_CLUSTER_RAMP; ASSUMP_CLOSED_MODEL_BAND; ASSUMP_NUMERIC_ACCELERATOR_MIX; ASSUMP_INFERENCE_SHARE_NOT_FACT_60; ASSUMP_WORKLOAD_CLASS_MIX; ASSUMP_AGENTIC_CONTEXT_PENALTY</t>
        </is>
      </c>
      <c r="L2440" s="3" t="inlineStr">
        <is>
          <t>Company/site-level committed MW/GW, interconnect and contract disclosure.</t>
        </is>
      </c>
    </row>
    <row r="2441">
      <c r="A2441" s="3" t="inlineStr">
        <is>
          <t>xAI</t>
        </is>
      </c>
      <c r="B2441" s="3" t="n">
        <v>2027</v>
      </c>
      <c r="C2441" s="3" t="inlineStr">
        <is>
          <t>Bull</t>
        </is>
      </c>
      <c r="D2441" s="3" t="inlineStr">
        <is>
          <t>operational_deployment_share</t>
        </is>
      </c>
      <c r="E2441" s="3" t="n">
        <v>0.64066667</v>
      </c>
      <c r="F2441" s="3" t="inlineStr">
        <is>
          <t>share</t>
        </is>
      </c>
      <c r="G2441" s="3" t="inlineStr">
        <is>
          <t>Scenario conversion</t>
        </is>
      </c>
      <c r="H2441" s="3" t="inlineStr">
        <is>
          <t>active_power_gw / contracted_power_gw</t>
        </is>
      </c>
      <c r="I2441" s="3" t="inlineStr">
        <is>
          <t>This is the single explicit conversion from contracted/attributed capacity to operationally usable capacity.</t>
        </is>
      </c>
      <c r="J2441" s="3" t="inlineStr">
        <is>
          <t>SRC_XAI_NVIDIA_COLOSSUS; ASSUMP_CLUSTER_RAMP</t>
        </is>
      </c>
      <c r="K2441" s="3" t="inlineStr">
        <is>
          <t>ASSUMP_CLUSTER_RAMP; ASSUMP_CLOSED_MODEL_BAND; ASSUMP_NUMERIC_ACCELERATOR_MIX; ASSUMP_INFERENCE_SHARE_NOT_FACT_60; ASSUMP_WORKLOAD_CLASS_MIX; ASSUMP_AGENTIC_CONTEXT_PENALTY</t>
        </is>
      </c>
      <c r="L2441" s="3" t="inlineStr">
        <is>
          <t>Energized operational capacity divided by contracted/attributed capacity.</t>
        </is>
      </c>
    </row>
    <row r="2442">
      <c r="A2442" s="3" t="inlineStr">
        <is>
          <t>xAI</t>
        </is>
      </c>
      <c r="B2442" s="3" t="n">
        <v>2027</v>
      </c>
      <c r="C2442" s="3" t="inlineStr">
        <is>
          <t>Bull</t>
        </is>
      </c>
      <c r="D2442" s="3" t="inlineStr">
        <is>
          <t>active_power_gw</t>
        </is>
      </c>
      <c r="E2442" s="3" t="n">
        <v>0.961</v>
      </c>
      <c r="F2442" s="3" t="inlineStr">
        <is>
          <t>GW</t>
        </is>
      </c>
      <c r="G2442" s="3" t="inlineStr">
        <is>
          <t>Derived scenario</t>
        </is>
      </c>
      <c r="H2442" s="3" t="inlineStr">
        <is>
          <t>contracted_power_gw * operational_deployment_share</t>
        </is>
      </c>
      <c r="I2442" s="3" t="inlineStr">
        <is>
          <t>GPU cluster scale anchors operational possibility, while inference/training allocation and site power draw remain estimates.</t>
        </is>
      </c>
      <c r="J2442" s="3" t="inlineStr">
        <is>
          <t>SRC_XAI_NVIDIA_COLOSSUS; ASSUMP_CLUSTER_RAMP</t>
        </is>
      </c>
      <c r="K2442" s="3" t="inlineStr">
        <is>
          <t>ASSUMP_CLUSTER_RAMP; ASSUMP_CLOSED_MODEL_BAND; ASSUMP_NUMERIC_ACCELERATOR_MIX; ASSUMP_INFERENCE_SHARE_NOT_FACT_60; ASSUMP_WORKLOAD_CLASS_MIX; ASSUMP_AGENTIC_CONTEXT_PENALTY</t>
        </is>
      </c>
      <c r="L2442" s="3" t="inlineStr">
        <is>
          <t>Energization dates, accelerator deliveries and operational powered-rack telemetry.</t>
        </is>
      </c>
    </row>
    <row r="2443">
      <c r="A2443" s="3" t="inlineStr">
        <is>
          <t>xAI</t>
        </is>
      </c>
      <c r="B2443" s="3" t="n">
        <v>2027</v>
      </c>
      <c r="C2443" s="3" t="inlineStr">
        <is>
          <t>Bull</t>
        </is>
      </c>
      <c r="D2443" s="3" t="inlineStr">
        <is>
          <t>pue</t>
        </is>
      </c>
      <c r="E2443" s="3" t="n">
        <v>1.22</v>
      </c>
      <c r="F2443" s="3" t="inlineStr">
        <is>
          <t>ratio</t>
        </is>
      </c>
      <c r="G2443" s="3" t="inlineStr">
        <is>
          <t>Scenario parameter</t>
        </is>
      </c>
      <c r="H2443" s="3" t="inlineStr">
        <is>
          <t>it_load_gw = active_power_gw / pue</t>
        </is>
      </c>
      <c r="I2443" s="3" t="inlineStr">
        <is>
          <t>No provider-wide site-level PUE is used as a disclosed fact; PUE represents facility-to-IT conversion within the scenario.</t>
        </is>
      </c>
      <c r="J2443" s="3" t="inlineStr">
        <is>
          <t>ASSUMP_POWER_RAMP</t>
        </is>
      </c>
      <c r="K2443" s="3" t="inlineStr">
        <is>
          <t>ASSUMP_CLUSTER_RAMP; ASSUMP_CLOSED_MODEL_BAND; ASSUMP_NUMERIC_ACCELERATOR_MIX; ASSUMP_INFERENCE_SHARE_NOT_FACT_60; ASSUMP_WORKLOAD_CLASS_MIX; ASSUMP_AGENTIC_CONTEXT_PENALTY</t>
        </is>
      </c>
      <c r="L2443" s="3" t="inlineStr">
        <is>
          <t>Site-level measured PUE matched to attributed AI capacity.</t>
        </is>
      </c>
    </row>
    <row r="2444">
      <c r="A2444" s="3" t="inlineStr">
        <is>
          <t>xAI</t>
        </is>
      </c>
      <c r="B2444" s="3" t="n">
        <v>2027</v>
      </c>
      <c r="C2444" s="3" t="inlineStr">
        <is>
          <t>Bull</t>
        </is>
      </c>
      <c r="D2444" s="3" t="inlineStr">
        <is>
          <t>it_load_gw</t>
        </is>
      </c>
      <c r="E2444" s="3" t="n">
        <v>0.787</v>
      </c>
      <c r="F2444" s="3" t="inlineStr">
        <is>
          <t>GW</t>
        </is>
      </c>
      <c r="G2444" s="3" t="inlineStr">
        <is>
          <t>Derived formula</t>
        </is>
      </c>
      <c r="H2444" s="3" t="inlineStr">
        <is>
          <t>active_power_gw / pue</t>
        </is>
      </c>
      <c r="I2444" s="3" t="inlineStr">
        <is>
          <t>Facility power is converted to IT-deliverable power before attributing AI workloads.</t>
        </is>
      </c>
      <c r="J2444" s="3" t="inlineStr">
        <is>
          <t>SRC_XAI_NVIDIA_COLOSSUS; ASSUMP_CLUSTER_RAMP</t>
        </is>
      </c>
      <c r="K2444" s="3" t="inlineStr">
        <is>
          <t>ASSUMP_CLUSTER_RAMP; ASSUMP_CLOSED_MODEL_BAND; ASSUMP_NUMERIC_ACCELERATOR_MIX; ASSUMP_INFERENCE_SHARE_NOT_FACT_60; ASSUMP_WORKLOAD_CLASS_MIX; ASSUMP_AGENTIC_CONTEXT_PENALTY</t>
        </is>
      </c>
      <c r="L2444" s="3" t="inlineStr">
        <is>
          <t>Recompute once active power and PUE become site-observable.</t>
        </is>
      </c>
    </row>
    <row r="2445">
      <c r="A2445" s="3" t="inlineStr">
        <is>
          <t>xAI</t>
        </is>
      </c>
      <c r="B2445" s="3" t="n">
        <v>2027</v>
      </c>
      <c r="C2445" s="3" t="inlineStr">
        <is>
          <t>Bull</t>
        </is>
      </c>
      <c r="D2445" s="3" t="inlineStr">
        <is>
          <t>ai_workload_share</t>
        </is>
      </c>
      <c r="E2445" s="3" t="n">
        <v>0.85</v>
      </c>
      <c r="F2445" s="3" t="inlineStr">
        <is>
          <t>share</t>
        </is>
      </c>
      <c r="G2445" s="3" t="inlineStr">
        <is>
          <t>Scenario allocation</t>
        </is>
      </c>
      <c r="H2445" s="3" t="inlineStr">
        <is>
          <t>ai_it_load_gw = it_load_gw * ai_workload_share</t>
        </is>
      </c>
      <c r="I2445" s="3" t="inlineStr">
        <is>
          <t>Colossus is AI-centric; 85% retains cooling/IT allocation boundary and non-serving AI work.</t>
        </is>
      </c>
      <c r="J2445" s="3" t="inlineStr">
        <is>
          <t>SRC_XAI_MODELS; SRC_XAI_NVIDIA_COLOSSUS; SRC_EPOCH_AI_DATA_CENTERS</t>
        </is>
      </c>
      <c r="K2445" s="3" t="inlineStr">
        <is>
          <t>ASSUMP_CLUSTER_RAMP; ASSUMP_CLOSED_MODEL_BAND; ASSUMP_NUMERIC_ACCELERATOR_MIX; ASSUMP_INFERENCE_SHARE_NOT_FACT_60; ASSUMP_WORKLOAD_CLASS_MIX; ASSUMP_AGENTIC_CONTEXT_PENALTY</t>
        </is>
      </c>
      <c r="L2445" s="3" t="inlineStr">
        <is>
          <t>Model-owner AI workload allocation or cluster scheduling telemetry.</t>
        </is>
      </c>
    </row>
    <row r="2446">
      <c r="A2446" s="3" t="inlineStr">
        <is>
          <t>xAI</t>
        </is>
      </c>
      <c r="B2446" s="3" t="n">
        <v>2027</v>
      </c>
      <c r="C2446" s="3" t="inlineStr">
        <is>
          <t>Bull</t>
        </is>
      </c>
      <c r="D2446" s="3" t="inlineStr">
        <is>
          <t>ai_it_load_gw</t>
        </is>
      </c>
      <c r="E2446" s="3" t="n">
        <v>0.669</v>
      </c>
      <c r="F2446" s="3" t="inlineStr">
        <is>
          <t>GW</t>
        </is>
      </c>
      <c r="G2446" s="3" t="inlineStr">
        <is>
          <t>Derived formula</t>
        </is>
      </c>
      <c r="H2446" s="3" t="inlineStr">
        <is>
          <t>it_load_gw * ai_workload_share</t>
        </is>
      </c>
      <c r="I2446" s="3" t="inlineStr">
        <is>
          <t>Only the AI-attributed portion of IT load enters training/inference allocation.</t>
        </is>
      </c>
      <c r="J2446" s="3" t="inlineStr">
        <is>
          <t>SRC_XAI_MODELS; SRC_XAI_NVIDIA_COLOSSUS; SRC_EPOCH_AI_DATA_CENTERS</t>
        </is>
      </c>
      <c r="K2446" s="3" t="inlineStr">
        <is>
          <t>ASSUMP_CLUSTER_RAMP; ASSUMP_CLOSED_MODEL_BAND; ASSUMP_NUMERIC_ACCELERATOR_MIX; ASSUMP_INFERENCE_SHARE_NOT_FACT_60; ASSUMP_WORKLOAD_CLASS_MIX; ASSUMP_AGENTIC_CONTEXT_PENALTY</t>
        </is>
      </c>
      <c r="L2446" s="3" t="inlineStr">
        <is>
          <t>Recompute after ai_workload_share is replaced by telemetry.</t>
        </is>
      </c>
    </row>
    <row r="2447">
      <c r="A2447" s="3" t="inlineStr">
        <is>
          <t>xAI</t>
        </is>
      </c>
      <c r="B2447" s="3" t="n">
        <v>2027</v>
      </c>
      <c r="C2447" s="3" t="inlineStr">
        <is>
          <t>Bull</t>
        </is>
      </c>
      <c r="D2447" s="3" t="inlineStr">
        <is>
          <t>gpu_share</t>
        </is>
      </c>
      <c r="E2447" s="3" t="n">
        <v>1</v>
      </c>
      <c r="F2447" s="3" t="inlineStr">
        <is>
          <t>share of inference-serving accelerator load</t>
        </is>
      </c>
      <c r="G2447" s="3" t="inlineStr">
        <is>
          <t>Numeric scenario</t>
        </is>
      </c>
      <c r="H2447" s="3" t="inlineStr">
        <is>
          <t>gpu_share interpolated from company 2026/2030 accelerator-mix endpoints</t>
        </is>
      </c>
      <c r="I2447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47" s="3" t="inlineStr">
        <is>
          <t>SRC_XAI_MODELS; SRC_XAI_NVIDIA_COLOSSUS; SRC_EPOCH_AI_DATA_CENTERS; ASSUMP_NUMERIC_ACCELERATOR_MIX</t>
        </is>
      </c>
      <c r="K2447" s="3" t="inlineStr">
        <is>
          <t>ASSUMP_CLUSTER_RAMP; ASSUMP_CLOSED_MODEL_BAND; ASSUMP_NUMERIC_ACCELERATOR_MIX; ASSUMP_INFERENCE_SHARE_NOT_FACT_60; ASSUMP_WORKLOAD_CLASS_MIX; ASSUMP_AGENTIC_CONTEXT_PENALTY</t>
        </is>
      </c>
      <c r="L2447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48">
      <c r="A2448" s="3" t="inlineStr">
        <is>
          <t>xAI</t>
        </is>
      </c>
      <c r="B2448" s="3" t="n">
        <v>2027</v>
      </c>
      <c r="C2448" s="3" t="inlineStr">
        <is>
          <t>Bull</t>
        </is>
      </c>
      <c r="D2448" s="3" t="inlineStr">
        <is>
          <t>h200_share</t>
        </is>
      </c>
      <c r="E2448" s="3" t="n">
        <v>0</v>
      </c>
      <c r="F2448" s="3" t="inlineStr">
        <is>
          <t>share of inference-serving accelerator load</t>
        </is>
      </c>
      <c r="G2448" s="3" t="inlineStr">
        <is>
          <t>Editable numeric scenario</t>
        </is>
      </c>
      <c r="H2448" s="3" t="inlineStr">
        <is>
          <t>h200_share = gpu_share * default_gpu_generation_mix_h200</t>
        </is>
      </c>
      <c r="I2448" s="3" t="inlineStr">
        <is>
          <t>Default GPU-generation migration assumption; executive workbook allows later manual replacement by company/year/scenario.</t>
        </is>
      </c>
      <c r="J2448" s="3" t="inlineStr">
        <is>
          <t>SRC_SEMIANALYSIS_INFERENCEX; ASSUMP_NUMERIC_ACCELERATOR_MIX</t>
        </is>
      </c>
      <c r="K2448" s="3" t="inlineStr">
        <is>
          <t>ASSUMP_CLUSTER_RAMP; ASSUMP_CLOSED_MODEL_BAND; ASSUMP_NUMERIC_ACCELERATOR_MIX; ASSUMP_INFERENCE_SHARE_NOT_FACT_60; ASSUMP_WORKLOAD_CLASS_MIX; ASSUMP_AGENTIC_CONTEXT_PENALTY</t>
        </is>
      </c>
      <c r="L2448" s="3" t="inlineStr">
        <is>
          <t>Company fleet inventory, accelerator-hours or procurement/deployment records by GPU generation.</t>
        </is>
      </c>
    </row>
    <row r="2449">
      <c r="A2449" s="3" t="inlineStr">
        <is>
          <t>xAI</t>
        </is>
      </c>
      <c r="B2449" s="3" t="n">
        <v>2027</v>
      </c>
      <c r="C2449" s="3" t="inlineStr">
        <is>
          <t>Bull</t>
        </is>
      </c>
      <c r="D2449" s="3" t="inlineStr">
        <is>
          <t>b200_share</t>
        </is>
      </c>
      <c r="E2449" s="3" t="n">
        <v>1</v>
      </c>
      <c r="F2449" s="3" t="inlineStr">
        <is>
          <t>share of inference-serving accelerator load</t>
        </is>
      </c>
      <c r="G2449" s="3" t="inlineStr">
        <is>
          <t>Editable numeric scenario</t>
        </is>
      </c>
      <c r="H2449" s="3" t="inlineStr">
        <is>
          <t>b200_share = gpu_share * default_gpu_generation_mix_b200</t>
        </is>
      </c>
      <c r="I2449" s="3" t="inlineStr">
        <is>
          <t>Default GPU-generation migration assumption; executive workbook allows later manual replacement by company/year/scenario.</t>
        </is>
      </c>
      <c r="J2449" s="3" t="inlineStr">
        <is>
          <t>SRC_SEMIANALYSIS_INFERENCEX; ASSUMP_NUMERIC_ACCELERATOR_MIX</t>
        </is>
      </c>
      <c r="K2449" s="3" t="inlineStr">
        <is>
          <t>ASSUMP_CLUSTER_RAMP; ASSUMP_CLOSED_MODEL_BAND; ASSUMP_NUMERIC_ACCELERATOR_MIX; ASSUMP_INFERENCE_SHARE_NOT_FACT_60; ASSUMP_WORKLOAD_CLASS_MIX; ASSUMP_AGENTIC_CONTEXT_PENALTY</t>
        </is>
      </c>
      <c r="L2449" s="3" t="inlineStr">
        <is>
          <t>Company fleet inventory, accelerator-hours or procurement/deployment records by GPU generation.</t>
        </is>
      </c>
    </row>
    <row r="2450">
      <c r="A2450" s="3" t="inlineStr">
        <is>
          <t>xAI</t>
        </is>
      </c>
      <c r="B2450" s="3" t="n">
        <v>2027</v>
      </c>
      <c r="C2450" s="3" t="inlineStr">
        <is>
          <t>Bull</t>
        </is>
      </c>
      <c r="D2450" s="3" t="inlineStr">
        <is>
          <t>gb200_share</t>
        </is>
      </c>
      <c r="E2450" s="3" t="n">
        <v>0</v>
      </c>
      <c r="F2450" s="3" t="inlineStr">
        <is>
          <t>share of inference-serving accelerator load</t>
        </is>
      </c>
      <c r="G2450" s="3" t="inlineStr">
        <is>
          <t>Editable numeric scenario</t>
        </is>
      </c>
      <c r="H2450" s="3" t="inlineStr">
        <is>
          <t>gb200_share = gpu_share * default_gpu_generation_mix_gb200</t>
        </is>
      </c>
      <c r="I2450" s="3" t="inlineStr">
        <is>
          <t>Default GPU-generation migration assumption; executive workbook allows later manual replacement by company/year/scenario.</t>
        </is>
      </c>
      <c r="J2450" s="3" t="inlineStr">
        <is>
          <t>SRC_SEMIANALYSIS_INFERENCEX; ASSUMP_NUMERIC_ACCELERATOR_MIX</t>
        </is>
      </c>
      <c r="K2450" s="3" t="inlineStr">
        <is>
          <t>ASSUMP_CLUSTER_RAMP; ASSUMP_CLOSED_MODEL_BAND; ASSUMP_NUMERIC_ACCELERATOR_MIX; ASSUMP_INFERENCE_SHARE_NOT_FACT_60; ASSUMP_WORKLOAD_CLASS_MIX; ASSUMP_AGENTIC_CONTEXT_PENALTY</t>
        </is>
      </c>
      <c r="L2450" s="3" t="inlineStr">
        <is>
          <t>Company fleet inventory, accelerator-hours or procurement/deployment records by GPU generation.</t>
        </is>
      </c>
    </row>
    <row r="2451">
      <c r="A2451" s="3" t="inlineStr">
        <is>
          <t>xAI</t>
        </is>
      </c>
      <c r="B2451" s="3" t="n">
        <v>2027</v>
      </c>
      <c r="C2451" s="3" t="inlineStr">
        <is>
          <t>Bull</t>
        </is>
      </c>
      <c r="D2451" s="3" t="inlineStr">
        <is>
          <t>purpose_built_accelerator_share</t>
        </is>
      </c>
      <c r="E2451" s="3" t="n">
        <v>0</v>
      </c>
      <c r="F2451" s="3" t="inlineStr">
        <is>
          <t>share of inference-serving accelerator load</t>
        </is>
      </c>
      <c r="G2451" s="3" t="inlineStr">
        <is>
          <t>Numeric scenario</t>
        </is>
      </c>
      <c r="H2451" s="3" t="inlineStr">
        <is>
          <t>1 - gpu_share</t>
        </is>
      </c>
      <c r="I2451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51" s="3" t="inlineStr">
        <is>
          <t>SRC_XAI_MODELS; SRC_XAI_NVIDIA_COLOSSUS; SRC_EPOCH_AI_DATA_CENTERS; ASSUMP_NUMERIC_ACCELERATOR_MIX</t>
        </is>
      </c>
      <c r="K2451" s="3" t="inlineStr">
        <is>
          <t>ASSUMP_CLUSTER_RAMP; ASSUMP_CLOSED_MODEL_BAND; ASSUMP_NUMERIC_ACCELERATOR_MIX; ASSUMP_INFERENCE_SHARE_NOT_FACT_60; ASSUMP_WORKLOAD_CLASS_MIX; ASSUMP_AGENTIC_CONTEXT_PENALTY</t>
        </is>
      </c>
      <c r="L2451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52">
      <c r="A2452" s="3" t="inlineStr">
        <is>
          <t>xAI</t>
        </is>
      </c>
      <c r="B2452" s="3" t="n">
        <v>2027</v>
      </c>
      <c r="C2452" s="3" t="inlineStr">
        <is>
          <t>Bull</t>
        </is>
      </c>
      <c r="D2452" s="3" t="inlineStr">
        <is>
          <t>fleet_reference_tps_per_mw</t>
        </is>
      </c>
      <c r="E2452" s="3" t="n">
        <v>3010288</v>
      </c>
      <c r="F2452" s="3" t="inlineStr">
        <is>
          <t>generated output tokens/sec/MW</t>
        </is>
      </c>
      <c r="G2452" s="3" t="inlineStr">
        <is>
          <t>Fleet-weighted public benchmark reference</t>
        </is>
      </c>
      <c r="H2452" s="3" t="inlineStr">
        <is>
          <t>h200_share*h200_workload_avg + b200_share*b200_workload_avg + gb200_share*gb200_workload_avg + purpose_built_share*purpose_workload_avg</t>
        </is>
      </c>
      <c r="I245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52" s="3" t="inlineStr">
        <is>
          <t>SRC_SEMIANALYSIS_INFERENCEX; ASSUMP_NUMERIC_ACCELERATOR_MIX; ASSUMP_WORKLOAD_CLASS_MIX; ASSUMP_AGENTIC_CONTEXT_PENALTY</t>
        </is>
      </c>
      <c r="K2452" s="3" t="inlineStr">
        <is>
          <t>ASSUMP_CLUSTER_RAMP; ASSUMP_CLOSED_MODEL_BAND; ASSUMP_NUMERIC_ACCELERATOR_MIX; ASSUMP_INFERENCE_SHARE_NOT_FACT_60; ASSUMP_WORKLOAD_CLASS_MIX; ASSUMP_AGENTIC_CONTEXT_PENALTY</t>
        </is>
      </c>
      <c r="L2452" s="3" t="inlineStr">
        <is>
          <t>Comparable production output-token throughput or a more closely matched benchmark.</t>
        </is>
      </c>
    </row>
    <row r="2453">
      <c r="A2453" s="3" t="inlineStr">
        <is>
          <t>xAI</t>
        </is>
      </c>
      <c r="B2453" s="3" t="n">
        <v>2027</v>
      </c>
      <c r="C2453" s="3" t="inlineStr">
        <is>
          <t>Bull</t>
        </is>
      </c>
      <c r="D2453" s="3" t="inlineStr">
        <is>
          <t>commercial_workload_fit_factor</t>
        </is>
      </c>
      <c r="E2453" s="3" t="n">
        <v>0.75</v>
      </c>
      <c r="F2453" s="3" t="inlineStr">
        <is>
          <t>share of public reference throughput</t>
        </is>
      </c>
      <c r="G2453" s="3" t="inlineStr">
        <is>
          <t>Scenario assumption</t>
        </is>
      </c>
      <c r="H2453" s="3" t="inlineStr">
        <is>
          <t>reference_serving_tps_per_mw = fleet_reference_tps_per_mw * commercial_workload_fit_factor</t>
        </is>
      </c>
      <c r="I2453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53" s="3" t="inlineStr">
        <is>
          <t>SRC_SEMIANALYSIS_INFERENCEX; ASSUMP_NUMERIC_ACCELERATOR_MIX; ASSUMP_WORKLOAD_CLASS_MIX; ASSUMP_AGENTIC_CONTEXT_PENALTY</t>
        </is>
      </c>
      <c r="K2453" s="3" t="inlineStr">
        <is>
          <t>ASSUMP_CLUSTER_RAMP; ASSUMP_CLOSED_MODEL_BAND; ASSUMP_NUMERIC_ACCELERATOR_MIX; ASSUMP_INFERENCE_SHARE_NOT_FACT_60; ASSUMP_WORKLOAD_CLASS_MIX; ASSUMP_AGENTIC_CONTEXT_PENALTY</t>
        </is>
      </c>
      <c r="L2453" s="3" t="inlineStr">
        <is>
          <t>Matched commercial serving benchmark by product surface, context shape and latency SLO.</t>
        </is>
      </c>
    </row>
    <row r="2454">
      <c r="A2454" s="3" t="inlineStr">
        <is>
          <t>xAI</t>
        </is>
      </c>
      <c r="B2454" s="3" t="n">
        <v>2027</v>
      </c>
      <c r="C2454" s="3" t="inlineStr">
        <is>
          <t>Bull</t>
        </is>
      </c>
      <c r="D2454" s="3" t="inlineStr">
        <is>
          <t>reference_serving_tps_per_mw</t>
        </is>
      </c>
      <c r="E2454" s="3" t="n">
        <v>2257716</v>
      </c>
      <c r="F2454" s="3" t="inlineStr">
        <is>
          <t>generated output tokens/sec/MW</t>
        </is>
      </c>
      <c r="G2454" s="3" t="inlineStr">
        <is>
          <t>Workload-adjusted benchmark proxy</t>
        </is>
      </c>
      <c r="H2454" s="3" t="inlineStr">
        <is>
          <t>fleet_reference_tps_per_mw * commercial_workload_fit_factor</t>
        </is>
      </c>
      <c r="I2454" s="3" t="inlineStr">
        <is>
          <t>This is the coefficient used for headline token generation; each GPU's short chat, long chat and agentic TPS/MW are weighted before fleet mix and commercial fit are applied.</t>
        </is>
      </c>
      <c r="J2454" s="3" t="inlineStr">
        <is>
          <t>SRC_SEMIANALYSIS_INFERENCEX; ASSUMP_NUMERIC_ACCELERATOR_MIX; ASSUMP_WORKLOAD_CLASS_MIX; ASSUMP_AGENTIC_CONTEXT_PENALTY</t>
        </is>
      </c>
      <c r="K2454" s="3" t="inlineStr">
        <is>
          <t>ASSUMP_CLUSTER_RAMP; ASSUMP_CLOSED_MODEL_BAND; ASSUMP_NUMERIC_ACCELERATOR_MIX; ASSUMP_INFERENCE_SHARE_NOT_FACT_60; ASSUMP_WORKLOAD_CLASS_MIX; ASSUMP_AGENTIC_CONTEXT_PENALTY</t>
        </is>
      </c>
      <c r="L2454" s="3" t="inlineStr">
        <is>
          <t>Provider production output-token throughput with comparable workload/SLO.</t>
        </is>
      </c>
    </row>
    <row r="2455">
      <c r="A2455" s="3" t="inlineStr">
        <is>
          <t>xAI</t>
        </is>
      </c>
      <c r="B2455" s="3" t="n">
        <v>2027</v>
      </c>
      <c r="C2455" s="3" t="inlineStr">
        <is>
          <t>Bull</t>
        </is>
      </c>
      <c r="D2455" s="3" t="inlineStr">
        <is>
          <t>purpose_built_tps_per_mw</t>
        </is>
      </c>
      <c r="E2455" s="3" t="n">
        <v>3387725</v>
      </c>
      <c r="F2455" s="3" t="inlineStr">
        <is>
          <t>generated output tokens/sec/MW</t>
        </is>
      </c>
      <c r="G2455" s="3" t="inlineStr">
        <is>
          <t>Conservative no-uplift proxy</t>
        </is>
      </c>
      <c r="H2455" s="3" t="inlineStr">
        <is>
          <t>purpose_built_tps_per_mw = purpose_built_reference_tps_per_mw * commercial_workload_fit_factor until comparable output-token benchmark is adopted</t>
        </is>
      </c>
      <c r="I2455" s="3" t="inlineStr">
        <is>
          <t>No comparable public output-token/MW row adopted; B200 public reference placeholder is used and remains editable.</t>
        </is>
      </c>
      <c r="J2455" s="3" t="inlineStr">
        <is>
          <t>SRC_XAI_MODELS; SRC_XAI_NVIDIA_COLOSSUS; SRC_EPOCH_AI_DATA_CENTERS; ASSUMP_NUMERIC_ACCELERATOR_MIX</t>
        </is>
      </c>
      <c r="K2455" s="3" t="inlineStr">
        <is>
          <t>ASSUMP_CLUSTER_RAMP; ASSUMP_CLOSED_MODEL_BAND; ASSUMP_NUMERIC_ACCELERATOR_MIX; ASSUMP_INFERENCE_SHARE_NOT_FACT_60; ASSUMP_WORKLOAD_CLASS_MIX; ASSUMP_AGENTIC_CONTEXT_PENALTY</t>
        </is>
      </c>
      <c r="L2455" s="3" t="inlineStr">
        <is>
          <t>Matched-workload generated-output benchmark for the provider purpose-built accelerator.</t>
        </is>
      </c>
    </row>
    <row r="2456">
      <c r="A2456" s="3" t="inlineStr">
        <is>
          <t>xAI</t>
        </is>
      </c>
      <c r="B2456" s="3" t="n">
        <v>2027</v>
      </c>
      <c r="C2456" s="3" t="inlineStr">
        <is>
          <t>Bull</t>
        </is>
      </c>
      <c r="D2456" s="3" t="inlineStr">
        <is>
          <t>inference_power_share</t>
        </is>
      </c>
      <c r="E2456" s="3" t="n">
        <v>0.57</v>
      </c>
      <c r="F2456" s="3" t="inlineStr">
        <is>
          <t>share of AI IT load</t>
        </is>
      </c>
      <c r="G2456" s="3" t="inlineStr">
        <is>
          <t>Scenario allocation</t>
        </is>
      </c>
      <c r="H2456" s="3" t="inlineStr">
        <is>
          <t>inference_gw = ai_it_load_gw * inference_power_share</t>
        </is>
      </c>
      <c r="I2456" s="3" t="inlineStr">
        <is>
          <t>Grok product expansion is modeled to shift capacity toward inference after initial training-heavy operation.</t>
        </is>
      </c>
      <c r="J2456" s="3" t="inlineStr">
        <is>
          <t>SRC_XAI_MODELS; SRC_XAI_NVIDIA_COLOSSUS; SRC_EPOCH_AI_DATA_CENTERS; ASSUMP_INFERENCE_SHARE_NOT_FACT_60</t>
        </is>
      </c>
      <c r="K2456" s="3" t="inlineStr">
        <is>
          <t>ASSUMP_CLUSTER_RAMP; ASSUMP_CLOSED_MODEL_BAND; ASSUMP_NUMERIC_ACCELERATOR_MIX; ASSUMP_INFERENCE_SHARE_NOT_FACT_60; ASSUMP_WORKLOAD_CLASS_MIX; ASSUMP_AGENTIC_CONTEXT_PENALTY</t>
        </is>
      </c>
      <c r="L2456" s="3" t="inlineStr">
        <is>
          <t>Provider-specific inference/training workload power telemetry.</t>
        </is>
      </c>
    </row>
    <row r="2457">
      <c r="A2457" s="3" t="inlineStr">
        <is>
          <t>xAI</t>
        </is>
      </c>
      <c r="B2457" s="3" t="n">
        <v>2027</v>
      </c>
      <c r="C2457" s="3" t="inlineStr">
        <is>
          <t>Bull</t>
        </is>
      </c>
      <c r="D2457" s="3" t="inlineStr">
        <is>
          <t>inference_gw</t>
        </is>
      </c>
      <c r="E2457" s="3" t="n">
        <v>0.382</v>
      </c>
      <c r="F2457" s="3" t="inlineStr">
        <is>
          <t>GW</t>
        </is>
      </c>
      <c r="G2457" s="3" t="inlineStr">
        <is>
          <t>Derived formula</t>
        </is>
      </c>
      <c r="H2457" s="3" t="inlineStr">
        <is>
          <t>ai_it_load_gw * inference_power_share</t>
        </is>
      </c>
      <c r="I2457" s="3" t="inlineStr">
        <is>
          <t>This is the operational power eligible to become commercial generated output tokens through the selected TPS/MW proxy.</t>
        </is>
      </c>
      <c r="J2457" s="3" t="inlineStr">
        <is>
          <t>SRC_XAI_MODELS; SRC_XAI_NVIDIA_COLOSSUS; SRC_EPOCH_AI_DATA_CENTERS</t>
        </is>
      </c>
      <c r="K2457" s="3" t="inlineStr">
        <is>
          <t>ASSUMP_CLUSTER_RAMP; ASSUMP_CLOSED_MODEL_BAND; ASSUMP_NUMERIC_ACCELERATOR_MIX; ASSUMP_INFERENCE_SHARE_NOT_FACT_60; ASSUMP_WORKLOAD_CLASS_MIX; ASSUMP_AGENTIC_CONTEXT_PENALTY</t>
        </is>
      </c>
      <c r="L2457" s="3" t="inlineStr">
        <is>
          <t>Recompute after AI allocation or inference-share evidence changes.</t>
        </is>
      </c>
    </row>
    <row r="2458">
      <c r="A2458" s="3" t="inlineStr">
        <is>
          <t>xAI</t>
        </is>
      </c>
      <c r="B2458" s="3" t="n">
        <v>2027</v>
      </c>
      <c r="C2458" s="3" t="inlineStr">
        <is>
          <t>Bull</t>
        </is>
      </c>
      <c r="D2458" s="3" t="inlineStr">
        <is>
          <t>training_power_share</t>
        </is>
      </c>
      <c r="E2458" s="3" t="n">
        <v>0.43</v>
      </c>
      <c r="F2458" s="3" t="inlineStr">
        <is>
          <t>share of AI IT load</t>
        </is>
      </c>
      <c r="G2458" s="3" t="inlineStr">
        <is>
          <t>Derived allocation</t>
        </is>
      </c>
      <c r="H2458" s="3" t="inlineStr">
        <is>
          <t>1 - inference_power_share</t>
        </is>
      </c>
      <c r="I2458" s="3" t="inlineStr">
        <is>
          <t>Training receives the complementary modeled AI IT allocation; it is not a disclosed company workload split.</t>
        </is>
      </c>
      <c r="J2458" s="3" t="inlineStr">
        <is>
          <t>SRC_XAI_MODELS; SRC_XAI_NVIDIA_COLOSSUS; SRC_EPOCH_AI_DATA_CENTERS; ASSUMP_INFERENCE_SHARE_NOT_FACT_60</t>
        </is>
      </c>
      <c r="K2458" s="3" t="inlineStr">
        <is>
          <t>ASSUMP_CLUSTER_RAMP; ASSUMP_CLOSED_MODEL_BAND; ASSUMP_NUMERIC_ACCELERATOR_MIX; ASSUMP_INFERENCE_SHARE_NOT_FACT_60; ASSUMP_WORKLOAD_CLASS_MIX; ASSUMP_AGENTIC_CONTEXT_PENALTY</t>
        </is>
      </c>
      <c r="L2458" s="3" t="inlineStr">
        <is>
          <t>Provider-specific inference/training workload power telemetry.</t>
        </is>
      </c>
    </row>
    <row r="2459">
      <c r="A2459" s="3" t="inlineStr">
        <is>
          <t>xAI</t>
        </is>
      </c>
      <c r="B2459" s="3" t="n">
        <v>2027</v>
      </c>
      <c r="C2459" s="3" t="inlineStr">
        <is>
          <t>Bull</t>
        </is>
      </c>
      <c r="D2459" s="3" t="inlineStr">
        <is>
          <t>training_gw</t>
        </is>
      </c>
      <c r="E2459" s="3" t="n">
        <v>0.288</v>
      </c>
      <c r="F2459" s="3" t="inlineStr">
        <is>
          <t>GW</t>
        </is>
      </c>
      <c r="G2459" s="3" t="inlineStr">
        <is>
          <t>Derived formula</t>
        </is>
      </c>
      <c r="H2459" s="3" t="inlineStr">
        <is>
          <t>ai_it_load_gw * training_power_share</t>
        </is>
      </c>
      <c r="I2459" s="3" t="inlineStr">
        <is>
          <t>Training GW is shown separately so commercial inference token capacity is not overstated.</t>
        </is>
      </c>
      <c r="J2459" s="3" t="inlineStr">
        <is>
          <t>SRC_XAI_MODELS; SRC_XAI_NVIDIA_COLOSSUS; SRC_EPOCH_AI_DATA_CENTERS</t>
        </is>
      </c>
      <c r="K2459" s="3" t="inlineStr">
        <is>
          <t>ASSUMP_CLUSTER_RAMP; ASSUMP_CLOSED_MODEL_BAND; ASSUMP_NUMERIC_ACCELERATOR_MIX; ASSUMP_INFERENCE_SHARE_NOT_FACT_60; ASSUMP_WORKLOAD_CLASS_MIX; ASSUMP_AGENTIC_CONTEXT_PENALTY</t>
        </is>
      </c>
      <c r="L2459" s="3" t="inlineStr">
        <is>
          <t>Recompute after AI allocation or workload-split evidence changes.</t>
        </is>
      </c>
    </row>
    <row r="2460">
      <c r="A2460" s="3" t="inlineStr">
        <is>
          <t>xAI</t>
        </is>
      </c>
      <c r="B2460" s="3" t="n">
        <v>2027</v>
      </c>
      <c r="C2460" s="3" t="inlineStr">
        <is>
          <t>Bull</t>
        </is>
      </c>
      <c r="D2460" s="3" t="inlineStr">
        <is>
          <t>tokens_per_second_per_mw</t>
        </is>
      </c>
      <c r="E2460" s="3" t="n">
        <v>2257716</v>
      </c>
      <c r="F2460" s="3" t="inlineStr">
        <is>
          <t>generated output tokens/sec/MW</t>
        </is>
      </c>
      <c r="G2460" s="3" t="inlineStr">
        <is>
          <t>Derived estimate + benchmark calibration</t>
        </is>
      </c>
      <c r="H2460" s="3" t="inlineStr">
        <is>
          <t>fleet_reference_tps_per_mw * commercial_workload_fit_factor</t>
        </is>
      </c>
      <c r="I2460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60" s="3" t="inlineStr">
        <is>
          <t>SRC_XAI_MODELS; SRC_XAI_NVIDIA_COLOSSUS; SRC_EPOCH_AI_DATA_CENTERS; SRC_SEMIANALYSIS_INFERENCEX; ASSUMP_NUMERIC_ACCELERATOR_MIX; ASSUMP_WORKLOAD_CLASS_MIX; ASSUMP_AGENTIC_CONTEXT_PENALTY</t>
        </is>
      </c>
      <c r="K2460" s="3" t="inlineStr">
        <is>
          <t>ASSUMP_CLUSTER_RAMP; ASSUMP_CLOSED_MODEL_BAND; ASSUMP_NUMERIC_ACCELERATOR_MIX; ASSUMP_INFERENCE_SHARE_NOT_FACT_60; ASSUMP_WORKLOAD_CLASS_MIX; ASSUMP_AGENTIC_CONTEXT_PENALTY</t>
        </is>
      </c>
      <c r="L2460" s="3" t="inlineStr">
        <is>
          <t>Comparable production output-token throughput with model, hardware, precision, ISL/OSL and SLO matched.</t>
        </is>
      </c>
    </row>
    <row r="2461">
      <c r="A2461" s="3" t="inlineStr">
        <is>
          <t>xAI</t>
        </is>
      </c>
      <c r="B2461" s="3" t="n">
        <v>2027</v>
      </c>
      <c r="C2461" s="3" t="inlineStr">
        <is>
          <t>Bull</t>
        </is>
      </c>
      <c r="D2461" s="3" t="inlineStr">
        <is>
          <t>inference_tokens_per_day</t>
        </is>
      </c>
      <c r="E2461" s="3" t="n">
        <v>74515465036800</v>
      </c>
      <c r="F2461" s="3" t="inlineStr">
        <is>
          <t>generated output tokens/day</t>
        </is>
      </c>
      <c r="G2461" s="3" t="inlineStr">
        <is>
          <t>Derived headline metric</t>
        </is>
      </c>
      <c r="H2461" s="3" t="inlineStr">
        <is>
          <t>inference_gw * 1000 * tokens_per_second_per_mw * 86,400</t>
        </is>
      </c>
      <c r="I2461" s="3" t="inlineStr">
        <is>
          <t>Headline capacity uses no utilization, MoE, architecture or software-growth multiplier; it is not observed commercial output volume.</t>
        </is>
      </c>
      <c r="J2461" s="3" t="inlineStr">
        <is>
          <t>SRC_XAI_MODELS; SRC_XAI_NVIDIA_COLOSSUS; SRC_EPOCH_AI_DATA_CENTERS; SRC_SEMIANALYSIS_INFERENCEX</t>
        </is>
      </c>
      <c r="K2461" s="3" t="inlineStr">
        <is>
          <t>ASSUMP_CLUSTER_RAMP; ASSUMP_CLOSED_MODEL_BAND; ASSUMP_NUMERIC_ACCELERATOR_MIX; ASSUMP_INFERENCE_SHARE_NOT_FACT_60; ASSUMP_WORKLOAD_CLASS_MIX; ASSUMP_AGENTIC_CONTEXT_PENALTY</t>
        </is>
      </c>
      <c r="L2461" s="3" t="inlineStr">
        <is>
          <t>Provider-disclosed generated output token volume or calibrated capacity telemetry.</t>
        </is>
      </c>
    </row>
    <row r="2462">
      <c r="A2462" s="3" t="inlineStr">
        <is>
          <t>xAI</t>
        </is>
      </c>
      <c r="B2462" s="3" t="n">
        <v>2027</v>
      </c>
      <c r="C2462" s="3" t="inlineStr">
        <is>
          <t>Bull</t>
        </is>
      </c>
      <c r="D2462" s="3" t="inlineStr">
        <is>
          <t>inference_tokens_per_year</t>
        </is>
      </c>
      <c r="E2462" s="3" t="n">
        <v>2.7198144738432e+16</v>
      </c>
      <c r="F2462" s="3" t="inlineStr">
        <is>
          <t>generated output tokens/year</t>
        </is>
      </c>
      <c r="G2462" s="3" t="inlineStr">
        <is>
          <t>Derived headline metric</t>
        </is>
      </c>
      <c r="H2462" s="3" t="inlineStr">
        <is>
          <t>inference_tokens_per_day * 365</t>
        </is>
      </c>
      <c r="I2462" s="3" t="inlineStr">
        <is>
          <t>Annualized version of generated output token capacity; it is not observed annual demand or billable volume.</t>
        </is>
      </c>
      <c r="J2462" s="3" t="inlineStr">
        <is>
          <t>SRC_XAI_MODELS; SRC_XAI_NVIDIA_COLOSSUS; SRC_EPOCH_AI_DATA_CENTERS; SRC_SEMIANALYSIS_INFERENCEX</t>
        </is>
      </c>
      <c r="K2462" s="3" t="inlineStr">
        <is>
          <t>ASSUMP_CLUSTER_RAMP; ASSUMP_CLOSED_MODEL_BAND; ASSUMP_NUMERIC_ACCELERATOR_MIX; ASSUMP_INFERENCE_SHARE_NOT_FACT_60; ASSUMP_WORKLOAD_CLASS_MIX; ASSUMP_AGENTIC_CONTEXT_PENALTY</t>
        </is>
      </c>
      <c r="L2462" s="3" t="inlineStr">
        <is>
          <t>Provider-disclosed annual generated-output volume or metered serving telemetry.</t>
        </is>
      </c>
    </row>
    <row r="2463">
      <c r="A2463" s="3" t="inlineStr">
        <is>
          <t>xAI</t>
        </is>
      </c>
      <c r="B2463" s="3" t="n">
        <v>2028</v>
      </c>
      <c r="C2463" s="3" t="inlineStr">
        <is>
          <t>Bull</t>
        </is>
      </c>
      <c r="D2463" s="3" t="inlineStr">
        <is>
          <t>contracted_power_gw</t>
        </is>
      </c>
      <c r="E2463" s="3" t="n">
        <v>2</v>
      </c>
      <c r="F2463" s="3" t="inlineStr">
        <is>
          <t>GW</t>
        </is>
      </c>
      <c r="G2463" s="3" t="inlineStr">
        <is>
          <t>Fact anchor + scenario ceiling</t>
        </is>
      </c>
      <c r="H2463" s="3" t="inlineStr">
        <is>
          <t>linear interpolation between 2026 and 2030 company capacity endpoints</t>
        </is>
      </c>
      <c r="I2463" s="3" t="inlineStr">
        <is>
          <t>Colossus GPU-count disclosure bounds capacity direction; contracted GW values are modeled power envelopes.</t>
        </is>
      </c>
      <c r="J2463" s="3" t="inlineStr">
        <is>
          <t>SRC_XAI_NVIDIA_COLOSSUS; ASSUMP_CLUSTER_RAMP</t>
        </is>
      </c>
      <c r="K2463" s="3" t="inlineStr">
        <is>
          <t>ASSUMP_CLUSTER_RAMP; ASSUMP_CLOSED_MODEL_BAND; ASSUMP_NUMERIC_ACCELERATOR_MIX; ASSUMP_INFERENCE_SHARE_NOT_FACT_60; ASSUMP_WORKLOAD_CLASS_MIX; ASSUMP_AGENTIC_CONTEXT_PENALTY</t>
        </is>
      </c>
      <c r="L2463" s="3" t="inlineStr">
        <is>
          <t>Company/site-level committed MW/GW, interconnect and contract disclosure.</t>
        </is>
      </c>
    </row>
    <row r="2464">
      <c r="A2464" s="3" t="inlineStr">
        <is>
          <t>xAI</t>
        </is>
      </c>
      <c r="B2464" s="3" t="n">
        <v>2028</v>
      </c>
      <c r="C2464" s="3" t="inlineStr">
        <is>
          <t>Bull</t>
        </is>
      </c>
      <c r="D2464" s="3" t="inlineStr">
        <is>
          <t>operational_deployment_share</t>
        </is>
      </c>
      <c r="E2464" s="3" t="n">
        <v>0.7945</v>
      </c>
      <c r="F2464" s="3" t="inlineStr">
        <is>
          <t>share</t>
        </is>
      </c>
      <c r="G2464" s="3" t="inlineStr">
        <is>
          <t>Scenario conversion</t>
        </is>
      </c>
      <c r="H2464" s="3" t="inlineStr">
        <is>
          <t>active_power_gw / contracted_power_gw</t>
        </is>
      </c>
      <c r="I2464" s="3" t="inlineStr">
        <is>
          <t>This is the single explicit conversion from contracted/attributed capacity to operationally usable capacity.</t>
        </is>
      </c>
      <c r="J2464" s="3" t="inlineStr">
        <is>
          <t>SRC_XAI_NVIDIA_COLOSSUS; ASSUMP_CLUSTER_RAMP</t>
        </is>
      </c>
      <c r="K2464" s="3" t="inlineStr">
        <is>
          <t>ASSUMP_CLUSTER_RAMP; ASSUMP_CLOSED_MODEL_BAND; ASSUMP_NUMERIC_ACCELERATOR_MIX; ASSUMP_INFERENCE_SHARE_NOT_FACT_60; ASSUMP_WORKLOAD_CLASS_MIX; ASSUMP_AGENTIC_CONTEXT_PENALTY</t>
        </is>
      </c>
      <c r="L2464" s="3" t="inlineStr">
        <is>
          <t>Energized operational capacity divided by contracted/attributed capacity.</t>
        </is>
      </c>
    </row>
    <row r="2465">
      <c r="A2465" s="3" t="inlineStr">
        <is>
          <t>xAI</t>
        </is>
      </c>
      <c r="B2465" s="3" t="n">
        <v>2028</v>
      </c>
      <c r="C2465" s="3" t="inlineStr">
        <is>
          <t>Bull</t>
        </is>
      </c>
      <c r="D2465" s="3" t="inlineStr">
        <is>
          <t>active_power_gw</t>
        </is>
      </c>
      <c r="E2465" s="3" t="n">
        <v>1.589</v>
      </c>
      <c r="F2465" s="3" t="inlineStr">
        <is>
          <t>GW</t>
        </is>
      </c>
      <c r="G2465" s="3" t="inlineStr">
        <is>
          <t>Derived scenario</t>
        </is>
      </c>
      <c r="H2465" s="3" t="inlineStr">
        <is>
          <t>contracted_power_gw * operational_deployment_share</t>
        </is>
      </c>
      <c r="I2465" s="3" t="inlineStr">
        <is>
          <t>GPU cluster scale anchors operational possibility, while inference/training allocation and site power draw remain estimates.</t>
        </is>
      </c>
      <c r="J2465" s="3" t="inlineStr">
        <is>
          <t>SRC_XAI_NVIDIA_COLOSSUS; ASSUMP_CLUSTER_RAMP</t>
        </is>
      </c>
      <c r="K2465" s="3" t="inlineStr">
        <is>
          <t>ASSUMP_CLUSTER_RAMP; ASSUMP_CLOSED_MODEL_BAND; ASSUMP_NUMERIC_ACCELERATOR_MIX; ASSUMP_INFERENCE_SHARE_NOT_FACT_60; ASSUMP_WORKLOAD_CLASS_MIX; ASSUMP_AGENTIC_CONTEXT_PENALTY</t>
        </is>
      </c>
      <c r="L2465" s="3" t="inlineStr">
        <is>
          <t>Energization dates, accelerator deliveries and operational powered-rack telemetry.</t>
        </is>
      </c>
    </row>
    <row r="2466">
      <c r="A2466" s="3" t="inlineStr">
        <is>
          <t>xAI</t>
        </is>
      </c>
      <c r="B2466" s="3" t="n">
        <v>2028</v>
      </c>
      <c r="C2466" s="3" t="inlineStr">
        <is>
          <t>Bull</t>
        </is>
      </c>
      <c r="D2466" s="3" t="inlineStr">
        <is>
          <t>pue</t>
        </is>
      </c>
      <c r="E2466" s="3" t="n">
        <v>1.22</v>
      </c>
      <c r="F2466" s="3" t="inlineStr">
        <is>
          <t>ratio</t>
        </is>
      </c>
      <c r="G2466" s="3" t="inlineStr">
        <is>
          <t>Scenario parameter</t>
        </is>
      </c>
      <c r="H2466" s="3" t="inlineStr">
        <is>
          <t>it_load_gw = active_power_gw / pue</t>
        </is>
      </c>
      <c r="I2466" s="3" t="inlineStr">
        <is>
          <t>No provider-wide site-level PUE is used as a disclosed fact; PUE represents facility-to-IT conversion within the scenario.</t>
        </is>
      </c>
      <c r="J2466" s="3" t="inlineStr">
        <is>
          <t>ASSUMP_POWER_RAMP</t>
        </is>
      </c>
      <c r="K2466" s="3" t="inlineStr">
        <is>
          <t>ASSUMP_CLUSTER_RAMP; ASSUMP_CLOSED_MODEL_BAND; ASSUMP_NUMERIC_ACCELERATOR_MIX; ASSUMP_INFERENCE_SHARE_NOT_FACT_60; ASSUMP_WORKLOAD_CLASS_MIX; ASSUMP_AGENTIC_CONTEXT_PENALTY</t>
        </is>
      </c>
      <c r="L2466" s="3" t="inlineStr">
        <is>
          <t>Site-level measured PUE matched to attributed AI capacity.</t>
        </is>
      </c>
    </row>
    <row r="2467">
      <c r="A2467" s="3" t="inlineStr">
        <is>
          <t>xAI</t>
        </is>
      </c>
      <c r="B2467" s="3" t="n">
        <v>2028</v>
      </c>
      <c r="C2467" s="3" t="inlineStr">
        <is>
          <t>Bull</t>
        </is>
      </c>
      <c r="D2467" s="3" t="inlineStr">
        <is>
          <t>it_load_gw</t>
        </is>
      </c>
      <c r="E2467" s="3" t="n">
        <v>1.302</v>
      </c>
      <c r="F2467" s="3" t="inlineStr">
        <is>
          <t>GW</t>
        </is>
      </c>
      <c r="G2467" s="3" t="inlineStr">
        <is>
          <t>Derived formula</t>
        </is>
      </c>
      <c r="H2467" s="3" t="inlineStr">
        <is>
          <t>active_power_gw / pue</t>
        </is>
      </c>
      <c r="I2467" s="3" t="inlineStr">
        <is>
          <t>Facility power is converted to IT-deliverable power before attributing AI workloads.</t>
        </is>
      </c>
      <c r="J2467" s="3" t="inlineStr">
        <is>
          <t>SRC_XAI_NVIDIA_COLOSSUS; ASSUMP_CLUSTER_RAMP</t>
        </is>
      </c>
      <c r="K2467" s="3" t="inlineStr">
        <is>
          <t>ASSUMP_CLUSTER_RAMP; ASSUMP_CLOSED_MODEL_BAND; ASSUMP_NUMERIC_ACCELERATOR_MIX; ASSUMP_INFERENCE_SHARE_NOT_FACT_60; ASSUMP_WORKLOAD_CLASS_MIX; ASSUMP_AGENTIC_CONTEXT_PENALTY</t>
        </is>
      </c>
      <c r="L2467" s="3" t="inlineStr">
        <is>
          <t>Recompute once active power and PUE become site-observable.</t>
        </is>
      </c>
    </row>
    <row r="2468">
      <c r="A2468" s="3" t="inlineStr">
        <is>
          <t>xAI</t>
        </is>
      </c>
      <c r="B2468" s="3" t="n">
        <v>2028</v>
      </c>
      <c r="C2468" s="3" t="inlineStr">
        <is>
          <t>Bull</t>
        </is>
      </c>
      <c r="D2468" s="3" t="inlineStr">
        <is>
          <t>ai_workload_share</t>
        </is>
      </c>
      <c r="E2468" s="3" t="n">
        <v>0.85</v>
      </c>
      <c r="F2468" s="3" t="inlineStr">
        <is>
          <t>share</t>
        </is>
      </c>
      <c r="G2468" s="3" t="inlineStr">
        <is>
          <t>Scenario allocation</t>
        </is>
      </c>
      <c r="H2468" s="3" t="inlineStr">
        <is>
          <t>ai_it_load_gw = it_load_gw * ai_workload_share</t>
        </is>
      </c>
      <c r="I2468" s="3" t="inlineStr">
        <is>
          <t>Colossus is AI-centric; 85% retains cooling/IT allocation boundary and non-serving AI work.</t>
        </is>
      </c>
      <c r="J2468" s="3" t="inlineStr">
        <is>
          <t>SRC_XAI_MODELS; SRC_XAI_NVIDIA_COLOSSUS; SRC_EPOCH_AI_DATA_CENTERS</t>
        </is>
      </c>
      <c r="K2468" s="3" t="inlineStr">
        <is>
          <t>ASSUMP_CLUSTER_RAMP; ASSUMP_CLOSED_MODEL_BAND; ASSUMP_NUMERIC_ACCELERATOR_MIX; ASSUMP_INFERENCE_SHARE_NOT_FACT_60; ASSUMP_WORKLOAD_CLASS_MIX; ASSUMP_AGENTIC_CONTEXT_PENALTY</t>
        </is>
      </c>
      <c r="L2468" s="3" t="inlineStr">
        <is>
          <t>Model-owner AI workload allocation or cluster scheduling telemetry.</t>
        </is>
      </c>
    </row>
    <row r="2469">
      <c r="A2469" s="3" t="inlineStr">
        <is>
          <t>xAI</t>
        </is>
      </c>
      <c r="B2469" s="3" t="n">
        <v>2028</v>
      </c>
      <c r="C2469" s="3" t="inlineStr">
        <is>
          <t>Bull</t>
        </is>
      </c>
      <c r="D2469" s="3" t="inlineStr">
        <is>
          <t>ai_it_load_gw</t>
        </is>
      </c>
      <c r="E2469" s="3" t="n">
        <v>1.107</v>
      </c>
      <c r="F2469" s="3" t="inlineStr">
        <is>
          <t>GW</t>
        </is>
      </c>
      <c r="G2469" s="3" t="inlineStr">
        <is>
          <t>Derived formula</t>
        </is>
      </c>
      <c r="H2469" s="3" t="inlineStr">
        <is>
          <t>it_load_gw * ai_workload_share</t>
        </is>
      </c>
      <c r="I2469" s="3" t="inlineStr">
        <is>
          <t>Only the AI-attributed portion of IT load enters training/inference allocation.</t>
        </is>
      </c>
      <c r="J2469" s="3" t="inlineStr">
        <is>
          <t>SRC_XAI_MODELS; SRC_XAI_NVIDIA_COLOSSUS; SRC_EPOCH_AI_DATA_CENTERS</t>
        </is>
      </c>
      <c r="K2469" s="3" t="inlineStr">
        <is>
          <t>ASSUMP_CLUSTER_RAMP; ASSUMP_CLOSED_MODEL_BAND; ASSUMP_NUMERIC_ACCELERATOR_MIX; ASSUMP_INFERENCE_SHARE_NOT_FACT_60; ASSUMP_WORKLOAD_CLASS_MIX; ASSUMP_AGENTIC_CONTEXT_PENALTY</t>
        </is>
      </c>
      <c r="L2469" s="3" t="inlineStr">
        <is>
          <t>Recompute after ai_workload_share is replaced by telemetry.</t>
        </is>
      </c>
    </row>
    <row r="2470">
      <c r="A2470" s="3" t="inlineStr">
        <is>
          <t>xAI</t>
        </is>
      </c>
      <c r="B2470" s="3" t="n">
        <v>2028</v>
      </c>
      <c r="C2470" s="3" t="inlineStr">
        <is>
          <t>Bull</t>
        </is>
      </c>
      <c r="D2470" s="3" t="inlineStr">
        <is>
          <t>gpu_share</t>
        </is>
      </c>
      <c r="E2470" s="3" t="n">
        <v>1</v>
      </c>
      <c r="F2470" s="3" t="inlineStr">
        <is>
          <t>share of inference-serving accelerator load</t>
        </is>
      </c>
      <c r="G2470" s="3" t="inlineStr">
        <is>
          <t>Numeric scenario</t>
        </is>
      </c>
      <c r="H2470" s="3" t="inlineStr">
        <is>
          <t>gpu_share interpolated from company 2026/2030 accelerator-mix endpoints</t>
        </is>
      </c>
      <c r="I2470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70" s="3" t="inlineStr">
        <is>
          <t>SRC_XAI_MODELS; SRC_XAI_NVIDIA_COLOSSUS; SRC_EPOCH_AI_DATA_CENTERS; ASSUMP_NUMERIC_ACCELERATOR_MIX</t>
        </is>
      </c>
      <c r="K2470" s="3" t="inlineStr">
        <is>
          <t>ASSUMP_CLUSTER_RAMP; ASSUMP_CLOSED_MODEL_BAND; ASSUMP_NUMERIC_ACCELERATOR_MIX; ASSUMP_INFERENCE_SHARE_NOT_FACT_60; ASSUMP_WORKLOAD_CLASS_MIX; ASSUMP_AGENTIC_CONTEXT_PENALTY</t>
        </is>
      </c>
      <c r="L2470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71">
      <c r="A2471" s="3" t="inlineStr">
        <is>
          <t>xAI</t>
        </is>
      </c>
      <c r="B2471" s="3" t="n">
        <v>2028</v>
      </c>
      <c r="C2471" s="3" t="inlineStr">
        <is>
          <t>Bull</t>
        </is>
      </c>
      <c r="D2471" s="3" t="inlineStr">
        <is>
          <t>h200_share</t>
        </is>
      </c>
      <c r="E2471" s="3" t="n">
        <v>0</v>
      </c>
      <c r="F2471" s="3" t="inlineStr">
        <is>
          <t>share of inference-serving accelerator load</t>
        </is>
      </c>
      <c r="G2471" s="3" t="inlineStr">
        <is>
          <t>Editable numeric scenario</t>
        </is>
      </c>
      <c r="H2471" s="3" t="inlineStr">
        <is>
          <t>h200_share = gpu_share * default_gpu_generation_mix_h200</t>
        </is>
      </c>
      <c r="I2471" s="3" t="inlineStr">
        <is>
          <t>Default GPU-generation migration assumption; executive workbook allows later manual replacement by company/year/scenario.</t>
        </is>
      </c>
      <c r="J2471" s="3" t="inlineStr">
        <is>
          <t>SRC_SEMIANALYSIS_INFERENCEX; ASSUMP_NUMERIC_ACCELERATOR_MIX</t>
        </is>
      </c>
      <c r="K2471" s="3" t="inlineStr">
        <is>
          <t>ASSUMP_CLUSTER_RAMP; ASSUMP_CLOSED_MODEL_BAND; ASSUMP_NUMERIC_ACCELERATOR_MIX; ASSUMP_INFERENCE_SHARE_NOT_FACT_60; ASSUMP_WORKLOAD_CLASS_MIX; ASSUMP_AGENTIC_CONTEXT_PENALTY</t>
        </is>
      </c>
      <c r="L2471" s="3" t="inlineStr">
        <is>
          <t>Company fleet inventory, accelerator-hours or procurement/deployment records by GPU generation.</t>
        </is>
      </c>
    </row>
    <row r="2472">
      <c r="A2472" s="3" t="inlineStr">
        <is>
          <t>xAI</t>
        </is>
      </c>
      <c r="B2472" s="3" t="n">
        <v>2028</v>
      </c>
      <c r="C2472" s="3" t="inlineStr">
        <is>
          <t>Bull</t>
        </is>
      </c>
      <c r="D2472" s="3" t="inlineStr">
        <is>
          <t>b200_share</t>
        </is>
      </c>
      <c r="E2472" s="3" t="n">
        <v>1</v>
      </c>
      <c r="F2472" s="3" t="inlineStr">
        <is>
          <t>share of inference-serving accelerator load</t>
        </is>
      </c>
      <c r="G2472" s="3" t="inlineStr">
        <is>
          <t>Editable numeric scenario</t>
        </is>
      </c>
      <c r="H2472" s="3" t="inlineStr">
        <is>
          <t>b200_share = gpu_share * default_gpu_generation_mix_b200</t>
        </is>
      </c>
      <c r="I2472" s="3" t="inlineStr">
        <is>
          <t>Default GPU-generation migration assumption; executive workbook allows later manual replacement by company/year/scenario.</t>
        </is>
      </c>
      <c r="J2472" s="3" t="inlineStr">
        <is>
          <t>SRC_SEMIANALYSIS_INFERENCEX; ASSUMP_NUMERIC_ACCELERATOR_MIX</t>
        </is>
      </c>
      <c r="K2472" s="3" t="inlineStr">
        <is>
          <t>ASSUMP_CLUSTER_RAMP; ASSUMP_CLOSED_MODEL_BAND; ASSUMP_NUMERIC_ACCELERATOR_MIX; ASSUMP_INFERENCE_SHARE_NOT_FACT_60; ASSUMP_WORKLOAD_CLASS_MIX; ASSUMP_AGENTIC_CONTEXT_PENALTY</t>
        </is>
      </c>
      <c r="L2472" s="3" t="inlineStr">
        <is>
          <t>Company fleet inventory, accelerator-hours or procurement/deployment records by GPU generation.</t>
        </is>
      </c>
    </row>
    <row r="2473">
      <c r="A2473" s="3" t="inlineStr">
        <is>
          <t>xAI</t>
        </is>
      </c>
      <c r="B2473" s="3" t="n">
        <v>2028</v>
      </c>
      <c r="C2473" s="3" t="inlineStr">
        <is>
          <t>Bull</t>
        </is>
      </c>
      <c r="D2473" s="3" t="inlineStr">
        <is>
          <t>gb200_share</t>
        </is>
      </c>
      <c r="E2473" s="3" t="n">
        <v>0</v>
      </c>
      <c r="F2473" s="3" t="inlineStr">
        <is>
          <t>share of inference-serving accelerator load</t>
        </is>
      </c>
      <c r="G2473" s="3" t="inlineStr">
        <is>
          <t>Editable numeric scenario</t>
        </is>
      </c>
      <c r="H2473" s="3" t="inlineStr">
        <is>
          <t>gb200_share = gpu_share * default_gpu_generation_mix_gb200</t>
        </is>
      </c>
      <c r="I2473" s="3" t="inlineStr">
        <is>
          <t>Default GPU-generation migration assumption; executive workbook allows later manual replacement by company/year/scenario.</t>
        </is>
      </c>
      <c r="J2473" s="3" t="inlineStr">
        <is>
          <t>SRC_SEMIANALYSIS_INFERENCEX; ASSUMP_NUMERIC_ACCELERATOR_MIX</t>
        </is>
      </c>
      <c r="K2473" s="3" t="inlineStr">
        <is>
          <t>ASSUMP_CLUSTER_RAMP; ASSUMP_CLOSED_MODEL_BAND; ASSUMP_NUMERIC_ACCELERATOR_MIX; ASSUMP_INFERENCE_SHARE_NOT_FACT_60; ASSUMP_WORKLOAD_CLASS_MIX; ASSUMP_AGENTIC_CONTEXT_PENALTY</t>
        </is>
      </c>
      <c r="L2473" s="3" t="inlineStr">
        <is>
          <t>Company fleet inventory, accelerator-hours or procurement/deployment records by GPU generation.</t>
        </is>
      </c>
    </row>
    <row r="2474">
      <c r="A2474" s="3" t="inlineStr">
        <is>
          <t>xAI</t>
        </is>
      </c>
      <c r="B2474" s="3" t="n">
        <v>2028</v>
      </c>
      <c r="C2474" s="3" t="inlineStr">
        <is>
          <t>Bull</t>
        </is>
      </c>
      <c r="D2474" s="3" t="inlineStr">
        <is>
          <t>purpose_built_accelerator_share</t>
        </is>
      </c>
      <c r="E2474" s="3" t="n">
        <v>0</v>
      </c>
      <c r="F2474" s="3" t="inlineStr">
        <is>
          <t>share of inference-serving accelerator load</t>
        </is>
      </c>
      <c r="G2474" s="3" t="inlineStr">
        <is>
          <t>Numeric scenario</t>
        </is>
      </c>
      <c r="H2474" s="3" t="inlineStr">
        <is>
          <t>1 - gpu_share</t>
        </is>
      </c>
      <c r="I2474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74" s="3" t="inlineStr">
        <is>
          <t>SRC_XAI_MODELS; SRC_XAI_NVIDIA_COLOSSUS; SRC_EPOCH_AI_DATA_CENTERS; ASSUMP_NUMERIC_ACCELERATOR_MIX</t>
        </is>
      </c>
      <c r="K2474" s="3" t="inlineStr">
        <is>
          <t>ASSUMP_CLUSTER_RAMP; ASSUMP_CLOSED_MODEL_BAND; ASSUMP_NUMERIC_ACCELERATOR_MIX; ASSUMP_INFERENCE_SHARE_NOT_FACT_60; ASSUMP_WORKLOAD_CLASS_MIX; ASSUMP_AGENTIC_CONTEXT_PENALTY</t>
        </is>
      </c>
      <c r="L2474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75">
      <c r="A2475" s="3" t="inlineStr">
        <is>
          <t>xAI</t>
        </is>
      </c>
      <c r="B2475" s="3" t="n">
        <v>2028</v>
      </c>
      <c r="C2475" s="3" t="inlineStr">
        <is>
          <t>Bull</t>
        </is>
      </c>
      <c r="D2475" s="3" t="inlineStr">
        <is>
          <t>fleet_reference_tps_per_mw</t>
        </is>
      </c>
      <c r="E2475" s="3" t="n">
        <v>3010288</v>
      </c>
      <c r="F2475" s="3" t="inlineStr">
        <is>
          <t>generated output tokens/sec/MW</t>
        </is>
      </c>
      <c r="G2475" s="3" t="inlineStr">
        <is>
          <t>Fleet-weighted public benchmark reference</t>
        </is>
      </c>
      <c r="H2475" s="3" t="inlineStr">
        <is>
          <t>h200_share*h200_workload_avg + b200_share*b200_workload_avg + gb200_share*gb200_workload_avg + purpose_built_share*purpose_workload_avg</t>
        </is>
      </c>
      <c r="I247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75" s="3" t="inlineStr">
        <is>
          <t>SRC_SEMIANALYSIS_INFERENCEX; ASSUMP_NUMERIC_ACCELERATOR_MIX; ASSUMP_WORKLOAD_CLASS_MIX; ASSUMP_AGENTIC_CONTEXT_PENALTY</t>
        </is>
      </c>
      <c r="K2475" s="3" t="inlineStr">
        <is>
          <t>ASSUMP_CLUSTER_RAMP; ASSUMP_CLOSED_MODEL_BAND; ASSUMP_NUMERIC_ACCELERATOR_MIX; ASSUMP_INFERENCE_SHARE_NOT_FACT_60; ASSUMP_WORKLOAD_CLASS_MIX; ASSUMP_AGENTIC_CONTEXT_PENALTY</t>
        </is>
      </c>
      <c r="L2475" s="3" t="inlineStr">
        <is>
          <t>Comparable production output-token throughput or a more closely matched benchmark.</t>
        </is>
      </c>
    </row>
    <row r="2476">
      <c r="A2476" s="3" t="inlineStr">
        <is>
          <t>xAI</t>
        </is>
      </c>
      <c r="B2476" s="3" t="n">
        <v>2028</v>
      </c>
      <c r="C2476" s="3" t="inlineStr">
        <is>
          <t>Bull</t>
        </is>
      </c>
      <c r="D2476" s="3" t="inlineStr">
        <is>
          <t>commercial_workload_fit_factor</t>
        </is>
      </c>
      <c r="E2476" s="3" t="n">
        <v>0.75</v>
      </c>
      <c r="F2476" s="3" t="inlineStr">
        <is>
          <t>share of public reference throughput</t>
        </is>
      </c>
      <c r="G2476" s="3" t="inlineStr">
        <is>
          <t>Scenario assumption</t>
        </is>
      </c>
      <c r="H2476" s="3" t="inlineStr">
        <is>
          <t>reference_serving_tps_per_mw = fleet_reference_tps_per_mw * commercial_workload_fit_factor</t>
        </is>
      </c>
      <c r="I2476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76" s="3" t="inlineStr">
        <is>
          <t>SRC_SEMIANALYSIS_INFERENCEX; ASSUMP_NUMERIC_ACCELERATOR_MIX; ASSUMP_WORKLOAD_CLASS_MIX; ASSUMP_AGENTIC_CONTEXT_PENALTY</t>
        </is>
      </c>
      <c r="K2476" s="3" t="inlineStr">
        <is>
          <t>ASSUMP_CLUSTER_RAMP; ASSUMP_CLOSED_MODEL_BAND; ASSUMP_NUMERIC_ACCELERATOR_MIX; ASSUMP_INFERENCE_SHARE_NOT_FACT_60; ASSUMP_WORKLOAD_CLASS_MIX; ASSUMP_AGENTIC_CONTEXT_PENALTY</t>
        </is>
      </c>
      <c r="L2476" s="3" t="inlineStr">
        <is>
          <t>Matched commercial serving benchmark by product surface, context shape and latency SLO.</t>
        </is>
      </c>
    </row>
    <row r="2477">
      <c r="A2477" s="3" t="inlineStr">
        <is>
          <t>xAI</t>
        </is>
      </c>
      <c r="B2477" s="3" t="n">
        <v>2028</v>
      </c>
      <c r="C2477" s="3" t="inlineStr">
        <is>
          <t>Bull</t>
        </is>
      </c>
      <c r="D2477" s="3" t="inlineStr">
        <is>
          <t>reference_serving_tps_per_mw</t>
        </is>
      </c>
      <c r="E2477" s="3" t="n">
        <v>2257716</v>
      </c>
      <c r="F2477" s="3" t="inlineStr">
        <is>
          <t>generated output tokens/sec/MW</t>
        </is>
      </c>
      <c r="G2477" s="3" t="inlineStr">
        <is>
          <t>Workload-adjusted benchmark proxy</t>
        </is>
      </c>
      <c r="H2477" s="3" t="inlineStr">
        <is>
          <t>fleet_reference_tps_per_mw * commercial_workload_fit_factor</t>
        </is>
      </c>
      <c r="I2477" s="3" t="inlineStr">
        <is>
          <t>This is the coefficient used for headline token generation; each GPU's short chat, long chat and agentic TPS/MW are weighted before fleet mix and commercial fit are applied.</t>
        </is>
      </c>
      <c r="J2477" s="3" t="inlineStr">
        <is>
          <t>SRC_SEMIANALYSIS_INFERENCEX; ASSUMP_NUMERIC_ACCELERATOR_MIX; ASSUMP_WORKLOAD_CLASS_MIX; ASSUMP_AGENTIC_CONTEXT_PENALTY</t>
        </is>
      </c>
      <c r="K2477" s="3" t="inlineStr">
        <is>
          <t>ASSUMP_CLUSTER_RAMP; ASSUMP_CLOSED_MODEL_BAND; ASSUMP_NUMERIC_ACCELERATOR_MIX; ASSUMP_INFERENCE_SHARE_NOT_FACT_60; ASSUMP_WORKLOAD_CLASS_MIX; ASSUMP_AGENTIC_CONTEXT_PENALTY</t>
        </is>
      </c>
      <c r="L2477" s="3" t="inlineStr">
        <is>
          <t>Provider production output-token throughput with comparable workload/SLO.</t>
        </is>
      </c>
    </row>
    <row r="2478">
      <c r="A2478" s="3" t="inlineStr">
        <is>
          <t>xAI</t>
        </is>
      </c>
      <c r="B2478" s="3" t="n">
        <v>2028</v>
      </c>
      <c r="C2478" s="3" t="inlineStr">
        <is>
          <t>Bull</t>
        </is>
      </c>
      <c r="D2478" s="3" t="inlineStr">
        <is>
          <t>purpose_built_tps_per_mw</t>
        </is>
      </c>
      <c r="E2478" s="3" t="n">
        <v>3387725</v>
      </c>
      <c r="F2478" s="3" t="inlineStr">
        <is>
          <t>generated output tokens/sec/MW</t>
        </is>
      </c>
      <c r="G2478" s="3" t="inlineStr">
        <is>
          <t>Conservative no-uplift proxy</t>
        </is>
      </c>
      <c r="H2478" s="3" t="inlineStr">
        <is>
          <t>purpose_built_tps_per_mw = purpose_built_reference_tps_per_mw * commercial_workload_fit_factor until comparable output-token benchmark is adopted</t>
        </is>
      </c>
      <c r="I2478" s="3" t="inlineStr">
        <is>
          <t>No comparable public output-token/MW row adopted; B200 public reference placeholder is used and remains editable.</t>
        </is>
      </c>
      <c r="J2478" s="3" t="inlineStr">
        <is>
          <t>SRC_XAI_MODELS; SRC_XAI_NVIDIA_COLOSSUS; SRC_EPOCH_AI_DATA_CENTERS; ASSUMP_NUMERIC_ACCELERATOR_MIX</t>
        </is>
      </c>
      <c r="K2478" s="3" t="inlineStr">
        <is>
          <t>ASSUMP_CLUSTER_RAMP; ASSUMP_CLOSED_MODEL_BAND; ASSUMP_NUMERIC_ACCELERATOR_MIX; ASSUMP_INFERENCE_SHARE_NOT_FACT_60; ASSUMP_WORKLOAD_CLASS_MIX; ASSUMP_AGENTIC_CONTEXT_PENALTY</t>
        </is>
      </c>
      <c r="L2478" s="3" t="inlineStr">
        <is>
          <t>Matched-workload generated-output benchmark for the provider purpose-built accelerator.</t>
        </is>
      </c>
    </row>
    <row r="2479">
      <c r="A2479" s="3" t="inlineStr">
        <is>
          <t>xAI</t>
        </is>
      </c>
      <c r="B2479" s="3" t="n">
        <v>2028</v>
      </c>
      <c r="C2479" s="3" t="inlineStr">
        <is>
          <t>Bull</t>
        </is>
      </c>
      <c r="D2479" s="3" t="inlineStr">
        <is>
          <t>inference_power_share</t>
        </is>
      </c>
      <c r="E2479" s="3" t="n">
        <v>0.64</v>
      </c>
      <c r="F2479" s="3" t="inlineStr">
        <is>
          <t>share of AI IT load</t>
        </is>
      </c>
      <c r="G2479" s="3" t="inlineStr">
        <is>
          <t>Scenario allocation</t>
        </is>
      </c>
      <c r="H2479" s="3" t="inlineStr">
        <is>
          <t>inference_gw = ai_it_load_gw * inference_power_share</t>
        </is>
      </c>
      <c r="I2479" s="3" t="inlineStr">
        <is>
          <t>Grok product expansion is modeled to shift capacity toward inference after initial training-heavy operation.</t>
        </is>
      </c>
      <c r="J2479" s="3" t="inlineStr">
        <is>
          <t>SRC_XAI_MODELS; SRC_XAI_NVIDIA_COLOSSUS; SRC_EPOCH_AI_DATA_CENTERS; ASSUMP_INFERENCE_SHARE_NOT_FACT_60</t>
        </is>
      </c>
      <c r="K2479" s="3" t="inlineStr">
        <is>
          <t>ASSUMP_CLUSTER_RAMP; ASSUMP_CLOSED_MODEL_BAND; ASSUMP_NUMERIC_ACCELERATOR_MIX; ASSUMP_INFERENCE_SHARE_NOT_FACT_60; ASSUMP_WORKLOAD_CLASS_MIX; ASSUMP_AGENTIC_CONTEXT_PENALTY</t>
        </is>
      </c>
      <c r="L2479" s="3" t="inlineStr">
        <is>
          <t>Provider-specific inference/training workload power telemetry.</t>
        </is>
      </c>
    </row>
    <row r="2480">
      <c r="A2480" s="3" t="inlineStr">
        <is>
          <t>xAI</t>
        </is>
      </c>
      <c r="B2480" s="3" t="n">
        <v>2028</v>
      </c>
      <c r="C2480" s="3" t="inlineStr">
        <is>
          <t>Bull</t>
        </is>
      </c>
      <c r="D2480" s="3" t="inlineStr">
        <is>
          <t>inference_gw</t>
        </is>
      </c>
      <c r="E2480" s="3" t="n">
        <v>0.708</v>
      </c>
      <c r="F2480" s="3" t="inlineStr">
        <is>
          <t>GW</t>
        </is>
      </c>
      <c r="G2480" s="3" t="inlineStr">
        <is>
          <t>Derived formula</t>
        </is>
      </c>
      <c r="H2480" s="3" t="inlineStr">
        <is>
          <t>ai_it_load_gw * inference_power_share</t>
        </is>
      </c>
      <c r="I2480" s="3" t="inlineStr">
        <is>
          <t>This is the operational power eligible to become commercial generated output tokens through the selected TPS/MW proxy.</t>
        </is>
      </c>
      <c r="J2480" s="3" t="inlineStr">
        <is>
          <t>SRC_XAI_MODELS; SRC_XAI_NVIDIA_COLOSSUS; SRC_EPOCH_AI_DATA_CENTERS</t>
        </is>
      </c>
      <c r="K2480" s="3" t="inlineStr">
        <is>
          <t>ASSUMP_CLUSTER_RAMP; ASSUMP_CLOSED_MODEL_BAND; ASSUMP_NUMERIC_ACCELERATOR_MIX; ASSUMP_INFERENCE_SHARE_NOT_FACT_60; ASSUMP_WORKLOAD_CLASS_MIX; ASSUMP_AGENTIC_CONTEXT_PENALTY</t>
        </is>
      </c>
      <c r="L2480" s="3" t="inlineStr">
        <is>
          <t>Recompute after AI allocation or inference-share evidence changes.</t>
        </is>
      </c>
    </row>
    <row r="2481">
      <c r="A2481" s="3" t="inlineStr">
        <is>
          <t>xAI</t>
        </is>
      </c>
      <c r="B2481" s="3" t="n">
        <v>2028</v>
      </c>
      <c r="C2481" s="3" t="inlineStr">
        <is>
          <t>Bull</t>
        </is>
      </c>
      <c r="D2481" s="3" t="inlineStr">
        <is>
          <t>training_power_share</t>
        </is>
      </c>
      <c r="E2481" s="3" t="n">
        <v>0.36</v>
      </c>
      <c r="F2481" s="3" t="inlineStr">
        <is>
          <t>share of AI IT load</t>
        </is>
      </c>
      <c r="G2481" s="3" t="inlineStr">
        <is>
          <t>Derived allocation</t>
        </is>
      </c>
      <c r="H2481" s="3" t="inlineStr">
        <is>
          <t>1 - inference_power_share</t>
        </is>
      </c>
      <c r="I2481" s="3" t="inlineStr">
        <is>
          <t>Training receives the complementary modeled AI IT allocation; it is not a disclosed company workload split.</t>
        </is>
      </c>
      <c r="J2481" s="3" t="inlineStr">
        <is>
          <t>SRC_XAI_MODELS; SRC_XAI_NVIDIA_COLOSSUS; SRC_EPOCH_AI_DATA_CENTERS; ASSUMP_INFERENCE_SHARE_NOT_FACT_60</t>
        </is>
      </c>
      <c r="K2481" s="3" t="inlineStr">
        <is>
          <t>ASSUMP_CLUSTER_RAMP; ASSUMP_CLOSED_MODEL_BAND; ASSUMP_NUMERIC_ACCELERATOR_MIX; ASSUMP_INFERENCE_SHARE_NOT_FACT_60; ASSUMP_WORKLOAD_CLASS_MIX; ASSUMP_AGENTIC_CONTEXT_PENALTY</t>
        </is>
      </c>
      <c r="L2481" s="3" t="inlineStr">
        <is>
          <t>Provider-specific inference/training workload power telemetry.</t>
        </is>
      </c>
    </row>
    <row r="2482">
      <c r="A2482" s="3" t="inlineStr">
        <is>
          <t>xAI</t>
        </is>
      </c>
      <c r="B2482" s="3" t="n">
        <v>2028</v>
      </c>
      <c r="C2482" s="3" t="inlineStr">
        <is>
          <t>Bull</t>
        </is>
      </c>
      <c r="D2482" s="3" t="inlineStr">
        <is>
          <t>training_gw</t>
        </is>
      </c>
      <c r="E2482" s="3" t="n">
        <v>0.399</v>
      </c>
      <c r="F2482" s="3" t="inlineStr">
        <is>
          <t>GW</t>
        </is>
      </c>
      <c r="G2482" s="3" t="inlineStr">
        <is>
          <t>Derived formula</t>
        </is>
      </c>
      <c r="H2482" s="3" t="inlineStr">
        <is>
          <t>ai_it_load_gw * training_power_share</t>
        </is>
      </c>
      <c r="I2482" s="3" t="inlineStr">
        <is>
          <t>Training GW is shown separately so commercial inference token capacity is not overstated.</t>
        </is>
      </c>
      <c r="J2482" s="3" t="inlineStr">
        <is>
          <t>SRC_XAI_MODELS; SRC_XAI_NVIDIA_COLOSSUS; SRC_EPOCH_AI_DATA_CENTERS</t>
        </is>
      </c>
      <c r="K2482" s="3" t="inlineStr">
        <is>
          <t>ASSUMP_CLUSTER_RAMP; ASSUMP_CLOSED_MODEL_BAND; ASSUMP_NUMERIC_ACCELERATOR_MIX; ASSUMP_INFERENCE_SHARE_NOT_FACT_60; ASSUMP_WORKLOAD_CLASS_MIX; ASSUMP_AGENTIC_CONTEXT_PENALTY</t>
        </is>
      </c>
      <c r="L2482" s="3" t="inlineStr">
        <is>
          <t>Recompute after AI allocation or workload-split evidence changes.</t>
        </is>
      </c>
    </row>
    <row r="2483">
      <c r="A2483" s="3" t="inlineStr">
        <is>
          <t>xAI</t>
        </is>
      </c>
      <c r="B2483" s="3" t="n">
        <v>2028</v>
      </c>
      <c r="C2483" s="3" t="inlineStr">
        <is>
          <t>Bull</t>
        </is>
      </c>
      <c r="D2483" s="3" t="inlineStr">
        <is>
          <t>tokens_per_second_per_mw</t>
        </is>
      </c>
      <c r="E2483" s="3" t="n">
        <v>2257716</v>
      </c>
      <c r="F2483" s="3" t="inlineStr">
        <is>
          <t>generated output tokens/sec/MW</t>
        </is>
      </c>
      <c r="G2483" s="3" t="inlineStr">
        <is>
          <t>Derived estimate + benchmark calibration</t>
        </is>
      </c>
      <c r="H2483" s="3" t="inlineStr">
        <is>
          <t>fleet_reference_tps_per_mw * commercial_workload_fit_factor</t>
        </is>
      </c>
      <c r="I2483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483" s="3" t="inlineStr">
        <is>
          <t>SRC_XAI_MODELS; SRC_XAI_NVIDIA_COLOSSUS; SRC_EPOCH_AI_DATA_CENTERS; SRC_SEMIANALYSIS_INFERENCEX; ASSUMP_NUMERIC_ACCELERATOR_MIX; ASSUMP_WORKLOAD_CLASS_MIX; ASSUMP_AGENTIC_CONTEXT_PENALTY</t>
        </is>
      </c>
      <c r="K2483" s="3" t="inlineStr">
        <is>
          <t>ASSUMP_CLUSTER_RAMP; ASSUMP_CLOSED_MODEL_BAND; ASSUMP_NUMERIC_ACCELERATOR_MIX; ASSUMP_INFERENCE_SHARE_NOT_FACT_60; ASSUMP_WORKLOAD_CLASS_MIX; ASSUMP_AGENTIC_CONTEXT_PENALTY</t>
        </is>
      </c>
      <c r="L2483" s="3" t="inlineStr">
        <is>
          <t>Comparable production output-token throughput with model, hardware, precision, ISL/OSL and SLO matched.</t>
        </is>
      </c>
    </row>
    <row r="2484">
      <c r="A2484" s="3" t="inlineStr">
        <is>
          <t>xAI</t>
        </is>
      </c>
      <c r="B2484" s="3" t="n">
        <v>2028</v>
      </c>
      <c r="C2484" s="3" t="inlineStr">
        <is>
          <t>Bull</t>
        </is>
      </c>
      <c r="D2484" s="3" t="inlineStr">
        <is>
          <t>inference_tokens_per_day</t>
        </is>
      </c>
      <c r="E2484" s="3" t="n">
        <v>138107196979200</v>
      </c>
      <c r="F2484" s="3" t="inlineStr">
        <is>
          <t>generated output tokens/day</t>
        </is>
      </c>
      <c r="G2484" s="3" t="inlineStr">
        <is>
          <t>Derived headline metric</t>
        </is>
      </c>
      <c r="H2484" s="3" t="inlineStr">
        <is>
          <t>inference_gw * 1000 * tokens_per_second_per_mw * 86,400</t>
        </is>
      </c>
      <c r="I2484" s="3" t="inlineStr">
        <is>
          <t>Headline capacity uses no utilization, MoE, architecture or software-growth multiplier; it is not observed commercial output volume.</t>
        </is>
      </c>
      <c r="J2484" s="3" t="inlineStr">
        <is>
          <t>SRC_XAI_MODELS; SRC_XAI_NVIDIA_COLOSSUS; SRC_EPOCH_AI_DATA_CENTERS; SRC_SEMIANALYSIS_INFERENCEX</t>
        </is>
      </c>
      <c r="K2484" s="3" t="inlineStr">
        <is>
          <t>ASSUMP_CLUSTER_RAMP; ASSUMP_CLOSED_MODEL_BAND; ASSUMP_NUMERIC_ACCELERATOR_MIX; ASSUMP_INFERENCE_SHARE_NOT_FACT_60; ASSUMP_WORKLOAD_CLASS_MIX; ASSUMP_AGENTIC_CONTEXT_PENALTY</t>
        </is>
      </c>
      <c r="L2484" s="3" t="inlineStr">
        <is>
          <t>Provider-disclosed generated output token volume or calibrated capacity telemetry.</t>
        </is>
      </c>
    </row>
    <row r="2485">
      <c r="A2485" s="3" t="inlineStr">
        <is>
          <t>xAI</t>
        </is>
      </c>
      <c r="B2485" s="3" t="n">
        <v>2028</v>
      </c>
      <c r="C2485" s="3" t="inlineStr">
        <is>
          <t>Bull</t>
        </is>
      </c>
      <c r="D2485" s="3" t="inlineStr">
        <is>
          <t>inference_tokens_per_year</t>
        </is>
      </c>
      <c r="E2485" s="3" t="n">
        <v>5.0409126897408e+16</v>
      </c>
      <c r="F2485" s="3" t="inlineStr">
        <is>
          <t>generated output tokens/year</t>
        </is>
      </c>
      <c r="G2485" s="3" t="inlineStr">
        <is>
          <t>Derived headline metric</t>
        </is>
      </c>
      <c r="H2485" s="3" t="inlineStr">
        <is>
          <t>inference_tokens_per_day * 365</t>
        </is>
      </c>
      <c r="I2485" s="3" t="inlineStr">
        <is>
          <t>Annualized version of generated output token capacity; it is not observed annual demand or billable volume.</t>
        </is>
      </c>
      <c r="J2485" s="3" t="inlineStr">
        <is>
          <t>SRC_XAI_MODELS; SRC_XAI_NVIDIA_COLOSSUS; SRC_EPOCH_AI_DATA_CENTERS; SRC_SEMIANALYSIS_INFERENCEX</t>
        </is>
      </c>
      <c r="K2485" s="3" t="inlineStr">
        <is>
          <t>ASSUMP_CLUSTER_RAMP; ASSUMP_CLOSED_MODEL_BAND; ASSUMP_NUMERIC_ACCELERATOR_MIX; ASSUMP_INFERENCE_SHARE_NOT_FACT_60; ASSUMP_WORKLOAD_CLASS_MIX; ASSUMP_AGENTIC_CONTEXT_PENALTY</t>
        </is>
      </c>
      <c r="L2485" s="3" t="inlineStr">
        <is>
          <t>Provider-disclosed annual generated-output volume or metered serving telemetry.</t>
        </is>
      </c>
    </row>
    <row r="2486">
      <c r="A2486" s="3" t="inlineStr">
        <is>
          <t>xAI</t>
        </is>
      </c>
      <c r="B2486" s="3" t="n">
        <v>2029</v>
      </c>
      <c r="C2486" s="3" t="inlineStr">
        <is>
          <t>Bull</t>
        </is>
      </c>
      <c r="D2486" s="3" t="inlineStr">
        <is>
          <t>contracted_power_gw</t>
        </is>
      </c>
      <c r="E2486" s="3" t="n">
        <v>2.5</v>
      </c>
      <c r="F2486" s="3" t="inlineStr">
        <is>
          <t>GW</t>
        </is>
      </c>
      <c r="G2486" s="3" t="inlineStr">
        <is>
          <t>Fact anchor + scenario ceiling</t>
        </is>
      </c>
      <c r="H2486" s="3" t="inlineStr">
        <is>
          <t>linear interpolation between 2026 and 2030 company capacity endpoints</t>
        </is>
      </c>
      <c r="I2486" s="3" t="inlineStr">
        <is>
          <t>Colossus GPU-count disclosure bounds capacity direction; contracted GW values are modeled power envelopes.</t>
        </is>
      </c>
      <c r="J2486" s="3" t="inlineStr">
        <is>
          <t>SRC_XAI_NVIDIA_COLOSSUS; ASSUMP_CLUSTER_RAMP</t>
        </is>
      </c>
      <c r="K2486" s="3" t="inlineStr">
        <is>
          <t>ASSUMP_CLUSTER_RAMP; ASSUMP_CLOSED_MODEL_BAND; ASSUMP_NUMERIC_ACCELERATOR_MIX; ASSUMP_INFERENCE_SHARE_NOT_FACT_60; ASSUMP_WORKLOAD_CLASS_MIX; ASSUMP_AGENTIC_CONTEXT_PENALTY</t>
        </is>
      </c>
      <c r="L2486" s="3" t="inlineStr">
        <is>
          <t>Company/site-level committed MW/GW, interconnect and contract disclosure.</t>
        </is>
      </c>
    </row>
    <row r="2487">
      <c r="A2487" s="3" t="inlineStr">
        <is>
          <t>xAI</t>
        </is>
      </c>
      <c r="B2487" s="3" t="n">
        <v>2029</v>
      </c>
      <c r="C2487" s="3" t="inlineStr">
        <is>
          <t>Bull</t>
        </is>
      </c>
      <c r="D2487" s="3" t="inlineStr">
        <is>
          <t>operational_deployment_share</t>
        </is>
      </c>
      <c r="E2487" s="3" t="n">
        <v>0.9008</v>
      </c>
      <c r="F2487" s="3" t="inlineStr">
        <is>
          <t>share</t>
        </is>
      </c>
      <c r="G2487" s="3" t="inlineStr">
        <is>
          <t>Scenario conversion</t>
        </is>
      </c>
      <c r="H2487" s="3" t="inlineStr">
        <is>
          <t>active_power_gw / contracted_power_gw</t>
        </is>
      </c>
      <c r="I2487" s="3" t="inlineStr">
        <is>
          <t>This is the single explicit conversion from contracted/attributed capacity to operationally usable capacity.</t>
        </is>
      </c>
      <c r="J2487" s="3" t="inlineStr">
        <is>
          <t>SRC_XAI_NVIDIA_COLOSSUS; ASSUMP_CLUSTER_RAMP</t>
        </is>
      </c>
      <c r="K2487" s="3" t="inlineStr">
        <is>
          <t>ASSUMP_CLUSTER_RAMP; ASSUMP_CLOSED_MODEL_BAND; ASSUMP_NUMERIC_ACCELERATOR_MIX; ASSUMP_INFERENCE_SHARE_NOT_FACT_60; ASSUMP_WORKLOAD_CLASS_MIX; ASSUMP_AGENTIC_CONTEXT_PENALTY</t>
        </is>
      </c>
      <c r="L2487" s="3" t="inlineStr">
        <is>
          <t>Energized operational capacity divided by contracted/attributed capacity.</t>
        </is>
      </c>
    </row>
    <row r="2488">
      <c r="A2488" s="3" t="inlineStr">
        <is>
          <t>xAI</t>
        </is>
      </c>
      <c r="B2488" s="3" t="n">
        <v>2029</v>
      </c>
      <c r="C2488" s="3" t="inlineStr">
        <is>
          <t>Bull</t>
        </is>
      </c>
      <c r="D2488" s="3" t="inlineStr">
        <is>
          <t>active_power_gw</t>
        </is>
      </c>
      <c r="E2488" s="3" t="n">
        <v>2.252</v>
      </c>
      <c r="F2488" s="3" t="inlineStr">
        <is>
          <t>GW</t>
        </is>
      </c>
      <c r="G2488" s="3" t="inlineStr">
        <is>
          <t>Derived scenario</t>
        </is>
      </c>
      <c r="H2488" s="3" t="inlineStr">
        <is>
          <t>contracted_power_gw * operational_deployment_share</t>
        </is>
      </c>
      <c r="I2488" s="3" t="inlineStr">
        <is>
          <t>GPU cluster scale anchors operational possibility, while inference/training allocation and site power draw remain estimates.</t>
        </is>
      </c>
      <c r="J2488" s="3" t="inlineStr">
        <is>
          <t>SRC_XAI_NVIDIA_COLOSSUS; ASSUMP_CLUSTER_RAMP</t>
        </is>
      </c>
      <c r="K2488" s="3" t="inlineStr">
        <is>
          <t>ASSUMP_CLUSTER_RAMP; ASSUMP_CLOSED_MODEL_BAND; ASSUMP_NUMERIC_ACCELERATOR_MIX; ASSUMP_INFERENCE_SHARE_NOT_FACT_60; ASSUMP_WORKLOAD_CLASS_MIX; ASSUMP_AGENTIC_CONTEXT_PENALTY</t>
        </is>
      </c>
      <c r="L2488" s="3" t="inlineStr">
        <is>
          <t>Energization dates, accelerator deliveries and operational powered-rack telemetry.</t>
        </is>
      </c>
    </row>
    <row r="2489">
      <c r="A2489" s="3" t="inlineStr">
        <is>
          <t>xAI</t>
        </is>
      </c>
      <c r="B2489" s="3" t="n">
        <v>2029</v>
      </c>
      <c r="C2489" s="3" t="inlineStr">
        <is>
          <t>Bull</t>
        </is>
      </c>
      <c r="D2489" s="3" t="inlineStr">
        <is>
          <t>pue</t>
        </is>
      </c>
      <c r="E2489" s="3" t="n">
        <v>1.22</v>
      </c>
      <c r="F2489" s="3" t="inlineStr">
        <is>
          <t>ratio</t>
        </is>
      </c>
      <c r="G2489" s="3" t="inlineStr">
        <is>
          <t>Scenario parameter</t>
        </is>
      </c>
      <c r="H2489" s="3" t="inlineStr">
        <is>
          <t>it_load_gw = active_power_gw / pue</t>
        </is>
      </c>
      <c r="I2489" s="3" t="inlineStr">
        <is>
          <t>No provider-wide site-level PUE is used as a disclosed fact; PUE represents facility-to-IT conversion within the scenario.</t>
        </is>
      </c>
      <c r="J2489" s="3" t="inlineStr">
        <is>
          <t>ASSUMP_POWER_RAMP</t>
        </is>
      </c>
      <c r="K2489" s="3" t="inlineStr">
        <is>
          <t>ASSUMP_CLUSTER_RAMP; ASSUMP_CLOSED_MODEL_BAND; ASSUMP_NUMERIC_ACCELERATOR_MIX; ASSUMP_INFERENCE_SHARE_NOT_FACT_60; ASSUMP_WORKLOAD_CLASS_MIX; ASSUMP_AGENTIC_CONTEXT_PENALTY</t>
        </is>
      </c>
      <c r="L2489" s="3" t="inlineStr">
        <is>
          <t>Site-level measured PUE matched to attributed AI capacity.</t>
        </is>
      </c>
    </row>
    <row r="2490">
      <c r="A2490" s="3" t="inlineStr">
        <is>
          <t>xAI</t>
        </is>
      </c>
      <c r="B2490" s="3" t="n">
        <v>2029</v>
      </c>
      <c r="C2490" s="3" t="inlineStr">
        <is>
          <t>Bull</t>
        </is>
      </c>
      <c r="D2490" s="3" t="inlineStr">
        <is>
          <t>it_load_gw</t>
        </is>
      </c>
      <c r="E2490" s="3" t="n">
        <v>1.846</v>
      </c>
      <c r="F2490" s="3" t="inlineStr">
        <is>
          <t>GW</t>
        </is>
      </c>
      <c r="G2490" s="3" t="inlineStr">
        <is>
          <t>Derived formula</t>
        </is>
      </c>
      <c r="H2490" s="3" t="inlineStr">
        <is>
          <t>active_power_gw / pue</t>
        </is>
      </c>
      <c r="I2490" s="3" t="inlineStr">
        <is>
          <t>Facility power is converted to IT-deliverable power before attributing AI workloads.</t>
        </is>
      </c>
      <c r="J2490" s="3" t="inlineStr">
        <is>
          <t>SRC_XAI_NVIDIA_COLOSSUS; ASSUMP_CLUSTER_RAMP</t>
        </is>
      </c>
      <c r="K2490" s="3" t="inlineStr">
        <is>
          <t>ASSUMP_CLUSTER_RAMP; ASSUMP_CLOSED_MODEL_BAND; ASSUMP_NUMERIC_ACCELERATOR_MIX; ASSUMP_INFERENCE_SHARE_NOT_FACT_60; ASSUMP_WORKLOAD_CLASS_MIX; ASSUMP_AGENTIC_CONTEXT_PENALTY</t>
        </is>
      </c>
      <c r="L2490" s="3" t="inlineStr">
        <is>
          <t>Recompute once active power and PUE become site-observable.</t>
        </is>
      </c>
    </row>
    <row r="2491">
      <c r="A2491" s="3" t="inlineStr">
        <is>
          <t>xAI</t>
        </is>
      </c>
      <c r="B2491" s="3" t="n">
        <v>2029</v>
      </c>
      <c r="C2491" s="3" t="inlineStr">
        <is>
          <t>Bull</t>
        </is>
      </c>
      <c r="D2491" s="3" t="inlineStr">
        <is>
          <t>ai_workload_share</t>
        </is>
      </c>
      <c r="E2491" s="3" t="n">
        <v>0.85</v>
      </c>
      <c r="F2491" s="3" t="inlineStr">
        <is>
          <t>share</t>
        </is>
      </c>
      <c r="G2491" s="3" t="inlineStr">
        <is>
          <t>Scenario allocation</t>
        </is>
      </c>
      <c r="H2491" s="3" t="inlineStr">
        <is>
          <t>ai_it_load_gw = it_load_gw * ai_workload_share</t>
        </is>
      </c>
      <c r="I2491" s="3" t="inlineStr">
        <is>
          <t>Colossus is AI-centric; 85% retains cooling/IT allocation boundary and non-serving AI work.</t>
        </is>
      </c>
      <c r="J2491" s="3" t="inlineStr">
        <is>
          <t>SRC_XAI_MODELS; SRC_XAI_NVIDIA_COLOSSUS; SRC_EPOCH_AI_DATA_CENTERS</t>
        </is>
      </c>
      <c r="K2491" s="3" t="inlineStr">
        <is>
          <t>ASSUMP_CLUSTER_RAMP; ASSUMP_CLOSED_MODEL_BAND; ASSUMP_NUMERIC_ACCELERATOR_MIX; ASSUMP_INFERENCE_SHARE_NOT_FACT_60; ASSUMP_WORKLOAD_CLASS_MIX; ASSUMP_AGENTIC_CONTEXT_PENALTY</t>
        </is>
      </c>
      <c r="L2491" s="3" t="inlineStr">
        <is>
          <t>Model-owner AI workload allocation or cluster scheduling telemetry.</t>
        </is>
      </c>
    </row>
    <row r="2492">
      <c r="A2492" s="3" t="inlineStr">
        <is>
          <t>xAI</t>
        </is>
      </c>
      <c r="B2492" s="3" t="n">
        <v>2029</v>
      </c>
      <c r="C2492" s="3" t="inlineStr">
        <is>
          <t>Bull</t>
        </is>
      </c>
      <c r="D2492" s="3" t="inlineStr">
        <is>
          <t>ai_it_load_gw</t>
        </is>
      </c>
      <c r="E2492" s="3" t="n">
        <v>1.569</v>
      </c>
      <c r="F2492" s="3" t="inlineStr">
        <is>
          <t>GW</t>
        </is>
      </c>
      <c r="G2492" s="3" t="inlineStr">
        <is>
          <t>Derived formula</t>
        </is>
      </c>
      <c r="H2492" s="3" t="inlineStr">
        <is>
          <t>it_load_gw * ai_workload_share</t>
        </is>
      </c>
      <c r="I2492" s="3" t="inlineStr">
        <is>
          <t>Only the AI-attributed portion of IT load enters training/inference allocation.</t>
        </is>
      </c>
      <c r="J2492" s="3" t="inlineStr">
        <is>
          <t>SRC_XAI_MODELS; SRC_XAI_NVIDIA_COLOSSUS; SRC_EPOCH_AI_DATA_CENTERS</t>
        </is>
      </c>
      <c r="K2492" s="3" t="inlineStr">
        <is>
          <t>ASSUMP_CLUSTER_RAMP; ASSUMP_CLOSED_MODEL_BAND; ASSUMP_NUMERIC_ACCELERATOR_MIX; ASSUMP_INFERENCE_SHARE_NOT_FACT_60; ASSUMP_WORKLOAD_CLASS_MIX; ASSUMP_AGENTIC_CONTEXT_PENALTY</t>
        </is>
      </c>
      <c r="L2492" s="3" t="inlineStr">
        <is>
          <t>Recompute after ai_workload_share is replaced by telemetry.</t>
        </is>
      </c>
    </row>
    <row r="2493">
      <c r="A2493" s="3" t="inlineStr">
        <is>
          <t>xAI</t>
        </is>
      </c>
      <c r="B2493" s="3" t="n">
        <v>2029</v>
      </c>
      <c r="C2493" s="3" t="inlineStr">
        <is>
          <t>Bull</t>
        </is>
      </c>
      <c r="D2493" s="3" t="inlineStr">
        <is>
          <t>gpu_share</t>
        </is>
      </c>
      <c r="E2493" s="3" t="n">
        <v>1</v>
      </c>
      <c r="F2493" s="3" t="inlineStr">
        <is>
          <t>share of inference-serving accelerator load</t>
        </is>
      </c>
      <c r="G2493" s="3" t="inlineStr">
        <is>
          <t>Numeric scenario</t>
        </is>
      </c>
      <c r="H2493" s="3" t="inlineStr">
        <is>
          <t>gpu_share interpolated from company 2026/2030 accelerator-mix endpoints</t>
        </is>
      </c>
      <c r="I2493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93" s="3" t="inlineStr">
        <is>
          <t>SRC_XAI_MODELS; SRC_XAI_NVIDIA_COLOSSUS; SRC_EPOCH_AI_DATA_CENTERS; ASSUMP_NUMERIC_ACCELERATOR_MIX</t>
        </is>
      </c>
      <c r="K2493" s="3" t="inlineStr">
        <is>
          <t>ASSUMP_CLUSTER_RAMP; ASSUMP_CLOSED_MODEL_BAND; ASSUMP_NUMERIC_ACCELERATOR_MIX; ASSUMP_INFERENCE_SHARE_NOT_FACT_60; ASSUMP_WORKLOAD_CLASS_MIX; ASSUMP_AGENTIC_CONTEXT_PENALTY</t>
        </is>
      </c>
      <c r="L2493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94">
      <c r="A2494" s="3" t="inlineStr">
        <is>
          <t>xAI</t>
        </is>
      </c>
      <c r="B2494" s="3" t="n">
        <v>2029</v>
      </c>
      <c r="C2494" s="3" t="inlineStr">
        <is>
          <t>Bull</t>
        </is>
      </c>
      <c r="D2494" s="3" t="inlineStr">
        <is>
          <t>h200_share</t>
        </is>
      </c>
      <c r="E2494" s="3" t="n">
        <v>0</v>
      </c>
      <c r="F2494" s="3" t="inlineStr">
        <is>
          <t>share of inference-serving accelerator load</t>
        </is>
      </c>
      <c r="G2494" s="3" t="inlineStr">
        <is>
          <t>Editable numeric scenario</t>
        </is>
      </c>
      <c r="H2494" s="3" t="inlineStr">
        <is>
          <t>h200_share = gpu_share * default_gpu_generation_mix_h200</t>
        </is>
      </c>
      <c r="I2494" s="3" t="inlineStr">
        <is>
          <t>Default GPU-generation migration assumption; executive workbook allows later manual replacement by company/year/scenario.</t>
        </is>
      </c>
      <c r="J2494" s="3" t="inlineStr">
        <is>
          <t>SRC_SEMIANALYSIS_INFERENCEX; ASSUMP_NUMERIC_ACCELERATOR_MIX</t>
        </is>
      </c>
      <c r="K2494" s="3" t="inlineStr">
        <is>
          <t>ASSUMP_CLUSTER_RAMP; ASSUMP_CLOSED_MODEL_BAND; ASSUMP_NUMERIC_ACCELERATOR_MIX; ASSUMP_INFERENCE_SHARE_NOT_FACT_60; ASSUMP_WORKLOAD_CLASS_MIX; ASSUMP_AGENTIC_CONTEXT_PENALTY</t>
        </is>
      </c>
      <c r="L2494" s="3" t="inlineStr">
        <is>
          <t>Company fleet inventory, accelerator-hours or procurement/deployment records by GPU generation.</t>
        </is>
      </c>
    </row>
    <row r="2495">
      <c r="A2495" s="3" t="inlineStr">
        <is>
          <t>xAI</t>
        </is>
      </c>
      <c r="B2495" s="3" t="n">
        <v>2029</v>
      </c>
      <c r="C2495" s="3" t="inlineStr">
        <is>
          <t>Bull</t>
        </is>
      </c>
      <c r="D2495" s="3" t="inlineStr">
        <is>
          <t>b200_share</t>
        </is>
      </c>
      <c r="E2495" s="3" t="n">
        <v>1</v>
      </c>
      <c r="F2495" s="3" t="inlineStr">
        <is>
          <t>share of inference-serving accelerator load</t>
        </is>
      </c>
      <c r="G2495" s="3" t="inlineStr">
        <is>
          <t>Editable numeric scenario</t>
        </is>
      </c>
      <c r="H2495" s="3" t="inlineStr">
        <is>
          <t>b200_share = gpu_share * default_gpu_generation_mix_b200</t>
        </is>
      </c>
      <c r="I2495" s="3" t="inlineStr">
        <is>
          <t>Default GPU-generation migration assumption; executive workbook allows later manual replacement by company/year/scenario.</t>
        </is>
      </c>
      <c r="J2495" s="3" t="inlineStr">
        <is>
          <t>SRC_SEMIANALYSIS_INFERENCEX; ASSUMP_NUMERIC_ACCELERATOR_MIX</t>
        </is>
      </c>
      <c r="K2495" s="3" t="inlineStr">
        <is>
          <t>ASSUMP_CLUSTER_RAMP; ASSUMP_CLOSED_MODEL_BAND; ASSUMP_NUMERIC_ACCELERATOR_MIX; ASSUMP_INFERENCE_SHARE_NOT_FACT_60; ASSUMP_WORKLOAD_CLASS_MIX; ASSUMP_AGENTIC_CONTEXT_PENALTY</t>
        </is>
      </c>
      <c r="L2495" s="3" t="inlineStr">
        <is>
          <t>Company fleet inventory, accelerator-hours or procurement/deployment records by GPU generation.</t>
        </is>
      </c>
    </row>
    <row r="2496">
      <c r="A2496" s="3" t="inlineStr">
        <is>
          <t>xAI</t>
        </is>
      </c>
      <c r="B2496" s="3" t="n">
        <v>2029</v>
      </c>
      <c r="C2496" s="3" t="inlineStr">
        <is>
          <t>Bull</t>
        </is>
      </c>
      <c r="D2496" s="3" t="inlineStr">
        <is>
          <t>gb200_share</t>
        </is>
      </c>
      <c r="E2496" s="3" t="n">
        <v>0</v>
      </c>
      <c r="F2496" s="3" t="inlineStr">
        <is>
          <t>share of inference-serving accelerator load</t>
        </is>
      </c>
      <c r="G2496" s="3" t="inlineStr">
        <is>
          <t>Editable numeric scenario</t>
        </is>
      </c>
      <c r="H2496" s="3" t="inlineStr">
        <is>
          <t>gb200_share = gpu_share * default_gpu_generation_mix_gb200</t>
        </is>
      </c>
      <c r="I2496" s="3" t="inlineStr">
        <is>
          <t>Default GPU-generation migration assumption; executive workbook allows later manual replacement by company/year/scenario.</t>
        </is>
      </c>
      <c r="J2496" s="3" t="inlineStr">
        <is>
          <t>SRC_SEMIANALYSIS_INFERENCEX; ASSUMP_NUMERIC_ACCELERATOR_MIX</t>
        </is>
      </c>
      <c r="K2496" s="3" t="inlineStr">
        <is>
          <t>ASSUMP_CLUSTER_RAMP; ASSUMP_CLOSED_MODEL_BAND; ASSUMP_NUMERIC_ACCELERATOR_MIX; ASSUMP_INFERENCE_SHARE_NOT_FACT_60; ASSUMP_WORKLOAD_CLASS_MIX; ASSUMP_AGENTIC_CONTEXT_PENALTY</t>
        </is>
      </c>
      <c r="L2496" s="3" t="inlineStr">
        <is>
          <t>Company fleet inventory, accelerator-hours or procurement/deployment records by GPU generation.</t>
        </is>
      </c>
    </row>
    <row r="2497">
      <c r="A2497" s="3" t="inlineStr">
        <is>
          <t>xAI</t>
        </is>
      </c>
      <c r="B2497" s="3" t="n">
        <v>2029</v>
      </c>
      <c r="C2497" s="3" t="inlineStr">
        <is>
          <t>Bull</t>
        </is>
      </c>
      <c r="D2497" s="3" t="inlineStr">
        <is>
          <t>purpose_built_accelerator_share</t>
        </is>
      </c>
      <c r="E2497" s="3" t="n">
        <v>0</v>
      </c>
      <c r="F2497" s="3" t="inlineStr">
        <is>
          <t>share of inference-serving accelerator load</t>
        </is>
      </c>
      <c r="G2497" s="3" t="inlineStr">
        <is>
          <t>Numeric scenario</t>
        </is>
      </c>
      <c r="H2497" s="3" t="inlineStr">
        <is>
          <t>1 - gpu_share</t>
        </is>
      </c>
      <c r="I2497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497" s="3" t="inlineStr">
        <is>
          <t>SRC_XAI_MODELS; SRC_XAI_NVIDIA_COLOSSUS; SRC_EPOCH_AI_DATA_CENTERS; ASSUMP_NUMERIC_ACCELERATOR_MIX</t>
        </is>
      </c>
      <c r="K2497" s="3" t="inlineStr">
        <is>
          <t>ASSUMP_CLUSTER_RAMP; ASSUMP_CLOSED_MODEL_BAND; ASSUMP_NUMERIC_ACCELERATOR_MIX; ASSUMP_INFERENCE_SHARE_NOT_FACT_60; ASSUMP_WORKLOAD_CLASS_MIX; ASSUMP_AGENTIC_CONTEXT_PENALTY</t>
        </is>
      </c>
      <c r="L2497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498">
      <c r="A2498" s="3" t="inlineStr">
        <is>
          <t>xAI</t>
        </is>
      </c>
      <c r="B2498" s="3" t="n">
        <v>2029</v>
      </c>
      <c r="C2498" s="3" t="inlineStr">
        <is>
          <t>Bull</t>
        </is>
      </c>
      <c r="D2498" s="3" t="inlineStr">
        <is>
          <t>fleet_reference_tps_per_mw</t>
        </is>
      </c>
      <c r="E2498" s="3" t="n">
        <v>3010288</v>
      </c>
      <c r="F2498" s="3" t="inlineStr">
        <is>
          <t>generated output tokens/sec/MW</t>
        </is>
      </c>
      <c r="G2498" s="3" t="inlineStr">
        <is>
          <t>Fleet-weighted public benchmark reference</t>
        </is>
      </c>
      <c r="H2498" s="3" t="inlineStr">
        <is>
          <t>h200_share*h200_workload_avg + b200_share*b200_workload_avg + gb200_share*gb200_workload_avg + purpose_built_share*purpose_workload_avg</t>
        </is>
      </c>
      <c r="I249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498" s="3" t="inlineStr">
        <is>
          <t>SRC_SEMIANALYSIS_INFERENCEX; ASSUMP_NUMERIC_ACCELERATOR_MIX; ASSUMP_WORKLOAD_CLASS_MIX; ASSUMP_AGENTIC_CONTEXT_PENALTY</t>
        </is>
      </c>
      <c r="K2498" s="3" t="inlineStr">
        <is>
          <t>ASSUMP_CLUSTER_RAMP; ASSUMP_CLOSED_MODEL_BAND; ASSUMP_NUMERIC_ACCELERATOR_MIX; ASSUMP_INFERENCE_SHARE_NOT_FACT_60; ASSUMP_WORKLOAD_CLASS_MIX; ASSUMP_AGENTIC_CONTEXT_PENALTY</t>
        </is>
      </c>
      <c r="L2498" s="3" t="inlineStr">
        <is>
          <t>Comparable production output-token throughput or a more closely matched benchmark.</t>
        </is>
      </c>
    </row>
    <row r="2499">
      <c r="A2499" s="3" t="inlineStr">
        <is>
          <t>xAI</t>
        </is>
      </c>
      <c r="B2499" s="3" t="n">
        <v>2029</v>
      </c>
      <c r="C2499" s="3" t="inlineStr">
        <is>
          <t>Bull</t>
        </is>
      </c>
      <c r="D2499" s="3" t="inlineStr">
        <is>
          <t>commercial_workload_fit_factor</t>
        </is>
      </c>
      <c r="E2499" s="3" t="n">
        <v>0.75</v>
      </c>
      <c r="F2499" s="3" t="inlineStr">
        <is>
          <t>share of public reference throughput</t>
        </is>
      </c>
      <c r="G2499" s="3" t="inlineStr">
        <is>
          <t>Scenario assumption</t>
        </is>
      </c>
      <c r="H2499" s="3" t="inlineStr">
        <is>
          <t>reference_serving_tps_per_mw = fleet_reference_tps_per_mw * commercial_workload_fit_factor</t>
        </is>
      </c>
      <c r="I2499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499" s="3" t="inlineStr">
        <is>
          <t>SRC_SEMIANALYSIS_INFERENCEX; ASSUMP_NUMERIC_ACCELERATOR_MIX; ASSUMP_WORKLOAD_CLASS_MIX; ASSUMP_AGENTIC_CONTEXT_PENALTY</t>
        </is>
      </c>
      <c r="K2499" s="3" t="inlineStr">
        <is>
          <t>ASSUMP_CLUSTER_RAMP; ASSUMP_CLOSED_MODEL_BAND; ASSUMP_NUMERIC_ACCELERATOR_MIX; ASSUMP_INFERENCE_SHARE_NOT_FACT_60; ASSUMP_WORKLOAD_CLASS_MIX; ASSUMP_AGENTIC_CONTEXT_PENALTY</t>
        </is>
      </c>
      <c r="L2499" s="3" t="inlineStr">
        <is>
          <t>Matched commercial serving benchmark by product surface, context shape and latency SLO.</t>
        </is>
      </c>
    </row>
    <row r="2500">
      <c r="A2500" s="3" t="inlineStr">
        <is>
          <t>xAI</t>
        </is>
      </c>
      <c r="B2500" s="3" t="n">
        <v>2029</v>
      </c>
      <c r="C2500" s="3" t="inlineStr">
        <is>
          <t>Bull</t>
        </is>
      </c>
      <c r="D2500" s="3" t="inlineStr">
        <is>
          <t>reference_serving_tps_per_mw</t>
        </is>
      </c>
      <c r="E2500" s="3" t="n">
        <v>2257716</v>
      </c>
      <c r="F2500" s="3" t="inlineStr">
        <is>
          <t>generated output tokens/sec/MW</t>
        </is>
      </c>
      <c r="G2500" s="3" t="inlineStr">
        <is>
          <t>Workload-adjusted benchmark proxy</t>
        </is>
      </c>
      <c r="H2500" s="3" t="inlineStr">
        <is>
          <t>fleet_reference_tps_per_mw * commercial_workload_fit_factor</t>
        </is>
      </c>
      <c r="I2500" s="3" t="inlineStr">
        <is>
          <t>This is the coefficient used for headline token generation; each GPU's short chat, long chat and agentic TPS/MW are weighted before fleet mix and commercial fit are applied.</t>
        </is>
      </c>
      <c r="J2500" s="3" t="inlineStr">
        <is>
          <t>SRC_SEMIANALYSIS_INFERENCEX; ASSUMP_NUMERIC_ACCELERATOR_MIX; ASSUMP_WORKLOAD_CLASS_MIX; ASSUMP_AGENTIC_CONTEXT_PENALTY</t>
        </is>
      </c>
      <c r="K2500" s="3" t="inlineStr">
        <is>
          <t>ASSUMP_CLUSTER_RAMP; ASSUMP_CLOSED_MODEL_BAND; ASSUMP_NUMERIC_ACCELERATOR_MIX; ASSUMP_INFERENCE_SHARE_NOT_FACT_60; ASSUMP_WORKLOAD_CLASS_MIX; ASSUMP_AGENTIC_CONTEXT_PENALTY</t>
        </is>
      </c>
      <c r="L2500" s="3" t="inlineStr">
        <is>
          <t>Provider production output-token throughput with comparable workload/SLO.</t>
        </is>
      </c>
    </row>
    <row r="2501">
      <c r="A2501" s="3" t="inlineStr">
        <is>
          <t>xAI</t>
        </is>
      </c>
      <c r="B2501" s="3" t="n">
        <v>2029</v>
      </c>
      <c r="C2501" s="3" t="inlineStr">
        <is>
          <t>Bull</t>
        </is>
      </c>
      <c r="D2501" s="3" t="inlineStr">
        <is>
          <t>purpose_built_tps_per_mw</t>
        </is>
      </c>
      <c r="E2501" s="3" t="n">
        <v>3387725</v>
      </c>
      <c r="F2501" s="3" t="inlineStr">
        <is>
          <t>generated output tokens/sec/MW</t>
        </is>
      </c>
      <c r="G2501" s="3" t="inlineStr">
        <is>
          <t>Conservative no-uplift proxy</t>
        </is>
      </c>
      <c r="H2501" s="3" t="inlineStr">
        <is>
          <t>purpose_built_tps_per_mw = purpose_built_reference_tps_per_mw * commercial_workload_fit_factor until comparable output-token benchmark is adopted</t>
        </is>
      </c>
      <c r="I2501" s="3" t="inlineStr">
        <is>
          <t>No comparable public output-token/MW row adopted; B200 public reference placeholder is used and remains editable.</t>
        </is>
      </c>
      <c r="J2501" s="3" t="inlineStr">
        <is>
          <t>SRC_XAI_MODELS; SRC_XAI_NVIDIA_COLOSSUS; SRC_EPOCH_AI_DATA_CENTERS; ASSUMP_NUMERIC_ACCELERATOR_MIX</t>
        </is>
      </c>
      <c r="K2501" s="3" t="inlineStr">
        <is>
          <t>ASSUMP_CLUSTER_RAMP; ASSUMP_CLOSED_MODEL_BAND; ASSUMP_NUMERIC_ACCELERATOR_MIX; ASSUMP_INFERENCE_SHARE_NOT_FACT_60; ASSUMP_WORKLOAD_CLASS_MIX; ASSUMP_AGENTIC_CONTEXT_PENALTY</t>
        </is>
      </c>
      <c r="L2501" s="3" t="inlineStr">
        <is>
          <t>Matched-workload generated-output benchmark for the provider purpose-built accelerator.</t>
        </is>
      </c>
    </row>
    <row r="2502">
      <c r="A2502" s="3" t="inlineStr">
        <is>
          <t>xAI</t>
        </is>
      </c>
      <c r="B2502" s="3" t="n">
        <v>2029</v>
      </c>
      <c r="C2502" s="3" t="inlineStr">
        <is>
          <t>Bull</t>
        </is>
      </c>
      <c r="D2502" s="3" t="inlineStr">
        <is>
          <t>inference_power_share</t>
        </is>
      </c>
      <c r="E2502" s="3" t="n">
        <v>0.71</v>
      </c>
      <c r="F2502" s="3" t="inlineStr">
        <is>
          <t>share of AI IT load</t>
        </is>
      </c>
      <c r="G2502" s="3" t="inlineStr">
        <is>
          <t>Scenario allocation</t>
        </is>
      </c>
      <c r="H2502" s="3" t="inlineStr">
        <is>
          <t>inference_gw = ai_it_load_gw * inference_power_share</t>
        </is>
      </c>
      <c r="I2502" s="3" t="inlineStr">
        <is>
          <t>Grok product expansion is modeled to shift capacity toward inference after initial training-heavy operation.</t>
        </is>
      </c>
      <c r="J2502" s="3" t="inlineStr">
        <is>
          <t>SRC_XAI_MODELS; SRC_XAI_NVIDIA_COLOSSUS; SRC_EPOCH_AI_DATA_CENTERS; ASSUMP_INFERENCE_SHARE_NOT_FACT_60</t>
        </is>
      </c>
      <c r="K2502" s="3" t="inlineStr">
        <is>
          <t>ASSUMP_CLUSTER_RAMP; ASSUMP_CLOSED_MODEL_BAND; ASSUMP_NUMERIC_ACCELERATOR_MIX; ASSUMP_INFERENCE_SHARE_NOT_FACT_60; ASSUMP_WORKLOAD_CLASS_MIX; ASSUMP_AGENTIC_CONTEXT_PENALTY</t>
        </is>
      </c>
      <c r="L2502" s="3" t="inlineStr">
        <is>
          <t>Provider-specific inference/training workload power telemetry.</t>
        </is>
      </c>
    </row>
    <row r="2503">
      <c r="A2503" s="3" t="inlineStr">
        <is>
          <t>xAI</t>
        </is>
      </c>
      <c r="B2503" s="3" t="n">
        <v>2029</v>
      </c>
      <c r="C2503" s="3" t="inlineStr">
        <is>
          <t>Bull</t>
        </is>
      </c>
      <c r="D2503" s="3" t="inlineStr">
        <is>
          <t>inference_gw</t>
        </is>
      </c>
      <c r="E2503" s="3" t="n">
        <v>1.114</v>
      </c>
      <c r="F2503" s="3" t="inlineStr">
        <is>
          <t>GW</t>
        </is>
      </c>
      <c r="G2503" s="3" t="inlineStr">
        <is>
          <t>Derived formula</t>
        </is>
      </c>
      <c r="H2503" s="3" t="inlineStr">
        <is>
          <t>ai_it_load_gw * inference_power_share</t>
        </is>
      </c>
      <c r="I2503" s="3" t="inlineStr">
        <is>
          <t>This is the operational power eligible to become commercial generated output tokens through the selected TPS/MW proxy.</t>
        </is>
      </c>
      <c r="J2503" s="3" t="inlineStr">
        <is>
          <t>SRC_XAI_MODELS; SRC_XAI_NVIDIA_COLOSSUS; SRC_EPOCH_AI_DATA_CENTERS</t>
        </is>
      </c>
      <c r="K2503" s="3" t="inlineStr">
        <is>
          <t>ASSUMP_CLUSTER_RAMP; ASSUMP_CLOSED_MODEL_BAND; ASSUMP_NUMERIC_ACCELERATOR_MIX; ASSUMP_INFERENCE_SHARE_NOT_FACT_60; ASSUMP_WORKLOAD_CLASS_MIX; ASSUMP_AGENTIC_CONTEXT_PENALTY</t>
        </is>
      </c>
      <c r="L2503" s="3" t="inlineStr">
        <is>
          <t>Recompute after AI allocation or inference-share evidence changes.</t>
        </is>
      </c>
    </row>
    <row r="2504">
      <c r="A2504" s="3" t="inlineStr">
        <is>
          <t>xAI</t>
        </is>
      </c>
      <c r="B2504" s="3" t="n">
        <v>2029</v>
      </c>
      <c r="C2504" s="3" t="inlineStr">
        <is>
          <t>Bull</t>
        </is>
      </c>
      <c r="D2504" s="3" t="inlineStr">
        <is>
          <t>training_power_share</t>
        </is>
      </c>
      <c r="E2504" s="3" t="n">
        <v>0.29</v>
      </c>
      <c r="F2504" s="3" t="inlineStr">
        <is>
          <t>share of AI IT load</t>
        </is>
      </c>
      <c r="G2504" s="3" t="inlineStr">
        <is>
          <t>Derived allocation</t>
        </is>
      </c>
      <c r="H2504" s="3" t="inlineStr">
        <is>
          <t>1 - inference_power_share</t>
        </is>
      </c>
      <c r="I2504" s="3" t="inlineStr">
        <is>
          <t>Training receives the complementary modeled AI IT allocation; it is not a disclosed company workload split.</t>
        </is>
      </c>
      <c r="J2504" s="3" t="inlineStr">
        <is>
          <t>SRC_XAI_MODELS; SRC_XAI_NVIDIA_COLOSSUS; SRC_EPOCH_AI_DATA_CENTERS; ASSUMP_INFERENCE_SHARE_NOT_FACT_60</t>
        </is>
      </c>
      <c r="K2504" s="3" t="inlineStr">
        <is>
          <t>ASSUMP_CLUSTER_RAMP; ASSUMP_CLOSED_MODEL_BAND; ASSUMP_NUMERIC_ACCELERATOR_MIX; ASSUMP_INFERENCE_SHARE_NOT_FACT_60; ASSUMP_WORKLOAD_CLASS_MIX; ASSUMP_AGENTIC_CONTEXT_PENALTY</t>
        </is>
      </c>
      <c r="L2504" s="3" t="inlineStr">
        <is>
          <t>Provider-specific inference/training workload power telemetry.</t>
        </is>
      </c>
    </row>
    <row r="2505">
      <c r="A2505" s="3" t="inlineStr">
        <is>
          <t>xAI</t>
        </is>
      </c>
      <c r="B2505" s="3" t="n">
        <v>2029</v>
      </c>
      <c r="C2505" s="3" t="inlineStr">
        <is>
          <t>Bull</t>
        </is>
      </c>
      <c r="D2505" s="3" t="inlineStr">
        <is>
          <t>training_gw</t>
        </is>
      </c>
      <c r="E2505" s="3" t="n">
        <v>0.455</v>
      </c>
      <c r="F2505" s="3" t="inlineStr">
        <is>
          <t>GW</t>
        </is>
      </c>
      <c r="G2505" s="3" t="inlineStr">
        <is>
          <t>Derived formula</t>
        </is>
      </c>
      <c r="H2505" s="3" t="inlineStr">
        <is>
          <t>ai_it_load_gw * training_power_share</t>
        </is>
      </c>
      <c r="I2505" s="3" t="inlineStr">
        <is>
          <t>Training GW is shown separately so commercial inference token capacity is not overstated.</t>
        </is>
      </c>
      <c r="J2505" s="3" t="inlineStr">
        <is>
          <t>SRC_XAI_MODELS; SRC_XAI_NVIDIA_COLOSSUS; SRC_EPOCH_AI_DATA_CENTERS</t>
        </is>
      </c>
      <c r="K2505" s="3" t="inlineStr">
        <is>
          <t>ASSUMP_CLUSTER_RAMP; ASSUMP_CLOSED_MODEL_BAND; ASSUMP_NUMERIC_ACCELERATOR_MIX; ASSUMP_INFERENCE_SHARE_NOT_FACT_60; ASSUMP_WORKLOAD_CLASS_MIX; ASSUMP_AGENTIC_CONTEXT_PENALTY</t>
        </is>
      </c>
      <c r="L2505" s="3" t="inlineStr">
        <is>
          <t>Recompute after AI allocation or workload-split evidence changes.</t>
        </is>
      </c>
    </row>
    <row r="2506">
      <c r="A2506" s="3" t="inlineStr">
        <is>
          <t>xAI</t>
        </is>
      </c>
      <c r="B2506" s="3" t="n">
        <v>2029</v>
      </c>
      <c r="C2506" s="3" t="inlineStr">
        <is>
          <t>Bull</t>
        </is>
      </c>
      <c r="D2506" s="3" t="inlineStr">
        <is>
          <t>tokens_per_second_per_mw</t>
        </is>
      </c>
      <c r="E2506" s="3" t="n">
        <v>2257716</v>
      </c>
      <c r="F2506" s="3" t="inlineStr">
        <is>
          <t>generated output tokens/sec/MW</t>
        </is>
      </c>
      <c r="G2506" s="3" t="inlineStr">
        <is>
          <t>Derived estimate + benchmark calibration</t>
        </is>
      </c>
      <c r="H2506" s="3" t="inlineStr">
        <is>
          <t>fleet_reference_tps_per_mw * commercial_workload_fit_factor</t>
        </is>
      </c>
      <c r="I2506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06" s="3" t="inlineStr">
        <is>
          <t>SRC_XAI_MODELS; SRC_XAI_NVIDIA_COLOSSUS; SRC_EPOCH_AI_DATA_CENTERS; SRC_SEMIANALYSIS_INFERENCEX; ASSUMP_NUMERIC_ACCELERATOR_MIX; ASSUMP_WORKLOAD_CLASS_MIX; ASSUMP_AGENTIC_CONTEXT_PENALTY</t>
        </is>
      </c>
      <c r="K2506" s="3" t="inlineStr">
        <is>
          <t>ASSUMP_CLUSTER_RAMP; ASSUMP_CLOSED_MODEL_BAND; ASSUMP_NUMERIC_ACCELERATOR_MIX; ASSUMP_INFERENCE_SHARE_NOT_FACT_60; ASSUMP_WORKLOAD_CLASS_MIX; ASSUMP_AGENTIC_CONTEXT_PENALTY</t>
        </is>
      </c>
      <c r="L2506" s="3" t="inlineStr">
        <is>
          <t>Comparable production output-token throughput with model, hardware, precision, ISL/OSL and SLO matched.</t>
        </is>
      </c>
    </row>
    <row r="2507">
      <c r="A2507" s="3" t="inlineStr">
        <is>
          <t>xAI</t>
        </is>
      </c>
      <c r="B2507" s="3" t="n">
        <v>2029</v>
      </c>
      <c r="C2507" s="3" t="inlineStr">
        <is>
          <t>Bull</t>
        </is>
      </c>
      <c r="D2507" s="3" t="inlineStr">
        <is>
          <t>inference_tokens_per_day</t>
        </is>
      </c>
      <c r="E2507" s="3" t="n">
        <v>217304261913600</v>
      </c>
      <c r="F2507" s="3" t="inlineStr">
        <is>
          <t>generated output tokens/day</t>
        </is>
      </c>
      <c r="G2507" s="3" t="inlineStr">
        <is>
          <t>Derived headline metric</t>
        </is>
      </c>
      <c r="H2507" s="3" t="inlineStr">
        <is>
          <t>inference_gw * 1000 * tokens_per_second_per_mw * 86,400</t>
        </is>
      </c>
      <c r="I2507" s="3" t="inlineStr">
        <is>
          <t>Headline capacity uses no utilization, MoE, architecture or software-growth multiplier; it is not observed commercial output volume.</t>
        </is>
      </c>
      <c r="J2507" s="3" t="inlineStr">
        <is>
          <t>SRC_XAI_MODELS; SRC_XAI_NVIDIA_COLOSSUS; SRC_EPOCH_AI_DATA_CENTERS; SRC_SEMIANALYSIS_INFERENCEX</t>
        </is>
      </c>
      <c r="K2507" s="3" t="inlineStr">
        <is>
          <t>ASSUMP_CLUSTER_RAMP; ASSUMP_CLOSED_MODEL_BAND; ASSUMP_NUMERIC_ACCELERATOR_MIX; ASSUMP_INFERENCE_SHARE_NOT_FACT_60; ASSUMP_WORKLOAD_CLASS_MIX; ASSUMP_AGENTIC_CONTEXT_PENALTY</t>
        </is>
      </c>
      <c r="L2507" s="3" t="inlineStr">
        <is>
          <t>Provider-disclosed generated output token volume or calibrated capacity telemetry.</t>
        </is>
      </c>
    </row>
    <row r="2508">
      <c r="A2508" s="3" t="inlineStr">
        <is>
          <t>xAI</t>
        </is>
      </c>
      <c r="B2508" s="3" t="n">
        <v>2029</v>
      </c>
      <c r="C2508" s="3" t="inlineStr">
        <is>
          <t>Bull</t>
        </is>
      </c>
      <c r="D2508" s="3" t="inlineStr">
        <is>
          <t>inference_tokens_per_year</t>
        </is>
      </c>
      <c r="E2508" s="3" t="n">
        <v>7.9316055598464e+16</v>
      </c>
      <c r="F2508" s="3" t="inlineStr">
        <is>
          <t>generated output tokens/year</t>
        </is>
      </c>
      <c r="G2508" s="3" t="inlineStr">
        <is>
          <t>Derived headline metric</t>
        </is>
      </c>
      <c r="H2508" s="3" t="inlineStr">
        <is>
          <t>inference_tokens_per_day * 365</t>
        </is>
      </c>
      <c r="I2508" s="3" t="inlineStr">
        <is>
          <t>Annualized version of generated output token capacity; it is not observed annual demand or billable volume.</t>
        </is>
      </c>
      <c r="J2508" s="3" t="inlineStr">
        <is>
          <t>SRC_XAI_MODELS; SRC_XAI_NVIDIA_COLOSSUS; SRC_EPOCH_AI_DATA_CENTERS; SRC_SEMIANALYSIS_INFERENCEX</t>
        </is>
      </c>
      <c r="K2508" s="3" t="inlineStr">
        <is>
          <t>ASSUMP_CLUSTER_RAMP; ASSUMP_CLOSED_MODEL_BAND; ASSUMP_NUMERIC_ACCELERATOR_MIX; ASSUMP_INFERENCE_SHARE_NOT_FACT_60; ASSUMP_WORKLOAD_CLASS_MIX; ASSUMP_AGENTIC_CONTEXT_PENALTY</t>
        </is>
      </c>
      <c r="L2508" s="3" t="inlineStr">
        <is>
          <t>Provider-disclosed annual generated-output volume or metered serving telemetry.</t>
        </is>
      </c>
    </row>
    <row r="2509">
      <c r="A2509" s="3" t="inlineStr">
        <is>
          <t>xAI</t>
        </is>
      </c>
      <c r="B2509" s="3" t="n">
        <v>2030</v>
      </c>
      <c r="C2509" s="3" t="inlineStr">
        <is>
          <t>Bull</t>
        </is>
      </c>
      <c r="D2509" s="3" t="inlineStr">
        <is>
          <t>contracted_power_gw</t>
        </is>
      </c>
      <c r="E2509" s="3" t="n">
        <v>3</v>
      </c>
      <c r="F2509" s="3" t="inlineStr">
        <is>
          <t>GW</t>
        </is>
      </c>
      <c r="G2509" s="3" t="inlineStr">
        <is>
          <t>Fact anchor + scenario ceiling</t>
        </is>
      </c>
      <c r="H2509" s="3" t="inlineStr">
        <is>
          <t>linear interpolation between 2026 and 2030 company capacity endpoints</t>
        </is>
      </c>
      <c r="I2509" s="3" t="inlineStr">
        <is>
          <t>Colossus GPU-count disclosure bounds capacity direction; contracted GW values are modeled power envelopes.</t>
        </is>
      </c>
      <c r="J2509" s="3" t="inlineStr">
        <is>
          <t>SRC_XAI_NVIDIA_COLOSSUS; ASSUMP_CLUSTER_RAMP</t>
        </is>
      </c>
      <c r="K2509" s="3" t="inlineStr">
        <is>
          <t>ASSUMP_CLUSTER_RAMP; ASSUMP_CLOSED_MODEL_BAND; ASSUMP_NUMERIC_ACCELERATOR_MIX; ASSUMP_INFERENCE_SHARE_NOT_FACT_60; ASSUMP_WORKLOAD_CLASS_MIX; ASSUMP_AGENTIC_CONTEXT_PENALTY</t>
        </is>
      </c>
      <c r="L2509" s="3" t="inlineStr">
        <is>
          <t>Company/site-level committed MW/GW, interconnect and contract disclosure.</t>
        </is>
      </c>
    </row>
    <row r="2510">
      <c r="A2510" s="3" t="inlineStr">
        <is>
          <t>xAI</t>
        </is>
      </c>
      <c r="B2510" s="3" t="n">
        <v>2030</v>
      </c>
      <c r="C2510" s="3" t="inlineStr">
        <is>
          <t>Bull</t>
        </is>
      </c>
      <c r="D2510" s="3" t="inlineStr">
        <is>
          <t>operational_deployment_share</t>
        </is>
      </c>
      <c r="E2510" s="3" t="n">
        <v>0.98333333</v>
      </c>
      <c r="F2510" s="3" t="inlineStr">
        <is>
          <t>share</t>
        </is>
      </c>
      <c r="G2510" s="3" t="inlineStr">
        <is>
          <t>Scenario conversion</t>
        </is>
      </c>
      <c r="H2510" s="3" t="inlineStr">
        <is>
          <t>active_power_gw / contracted_power_gw</t>
        </is>
      </c>
      <c r="I2510" s="3" t="inlineStr">
        <is>
          <t>This is the single explicit conversion from contracted/attributed capacity to operationally usable capacity.</t>
        </is>
      </c>
      <c r="J2510" s="3" t="inlineStr">
        <is>
          <t>SRC_XAI_NVIDIA_COLOSSUS; ASSUMP_CLUSTER_RAMP</t>
        </is>
      </c>
      <c r="K2510" s="3" t="inlineStr">
        <is>
          <t>ASSUMP_CLUSTER_RAMP; ASSUMP_CLOSED_MODEL_BAND; ASSUMP_NUMERIC_ACCELERATOR_MIX; ASSUMP_INFERENCE_SHARE_NOT_FACT_60; ASSUMP_WORKLOAD_CLASS_MIX; ASSUMP_AGENTIC_CONTEXT_PENALTY</t>
        </is>
      </c>
      <c r="L2510" s="3" t="inlineStr">
        <is>
          <t>Energized operational capacity divided by contracted/attributed capacity.</t>
        </is>
      </c>
    </row>
    <row r="2511">
      <c r="A2511" s="3" t="inlineStr">
        <is>
          <t>xAI</t>
        </is>
      </c>
      <c r="B2511" s="3" t="n">
        <v>2030</v>
      </c>
      <c r="C2511" s="3" t="inlineStr">
        <is>
          <t>Bull</t>
        </is>
      </c>
      <c r="D2511" s="3" t="inlineStr">
        <is>
          <t>active_power_gw</t>
        </is>
      </c>
      <c r="E2511" s="3" t="n">
        <v>2.95</v>
      </c>
      <c r="F2511" s="3" t="inlineStr">
        <is>
          <t>GW</t>
        </is>
      </c>
      <c r="G2511" s="3" t="inlineStr">
        <is>
          <t>Derived scenario</t>
        </is>
      </c>
      <c r="H2511" s="3" t="inlineStr">
        <is>
          <t>contracted_power_gw * operational_deployment_share</t>
        </is>
      </c>
      <c r="I2511" s="3" t="inlineStr">
        <is>
          <t>GPU cluster scale anchors operational possibility, while inference/training allocation and site power draw remain estimates.</t>
        </is>
      </c>
      <c r="J2511" s="3" t="inlineStr">
        <is>
          <t>SRC_XAI_NVIDIA_COLOSSUS; ASSUMP_CLUSTER_RAMP</t>
        </is>
      </c>
      <c r="K2511" s="3" t="inlineStr">
        <is>
          <t>ASSUMP_CLUSTER_RAMP; ASSUMP_CLOSED_MODEL_BAND; ASSUMP_NUMERIC_ACCELERATOR_MIX; ASSUMP_INFERENCE_SHARE_NOT_FACT_60; ASSUMP_WORKLOAD_CLASS_MIX; ASSUMP_AGENTIC_CONTEXT_PENALTY</t>
        </is>
      </c>
      <c r="L2511" s="3" t="inlineStr">
        <is>
          <t>Energization dates, accelerator deliveries and operational powered-rack telemetry.</t>
        </is>
      </c>
    </row>
    <row r="2512">
      <c r="A2512" s="3" t="inlineStr">
        <is>
          <t>xAI</t>
        </is>
      </c>
      <c r="B2512" s="3" t="n">
        <v>2030</v>
      </c>
      <c r="C2512" s="3" t="inlineStr">
        <is>
          <t>Bull</t>
        </is>
      </c>
      <c r="D2512" s="3" t="inlineStr">
        <is>
          <t>pue</t>
        </is>
      </c>
      <c r="E2512" s="3" t="n">
        <v>1.22</v>
      </c>
      <c r="F2512" s="3" t="inlineStr">
        <is>
          <t>ratio</t>
        </is>
      </c>
      <c r="G2512" s="3" t="inlineStr">
        <is>
          <t>Scenario parameter</t>
        </is>
      </c>
      <c r="H2512" s="3" t="inlineStr">
        <is>
          <t>it_load_gw = active_power_gw / pue</t>
        </is>
      </c>
      <c r="I2512" s="3" t="inlineStr">
        <is>
          <t>No provider-wide site-level PUE is used as a disclosed fact; PUE represents facility-to-IT conversion within the scenario.</t>
        </is>
      </c>
      <c r="J2512" s="3" t="inlineStr">
        <is>
          <t>ASSUMP_POWER_RAMP</t>
        </is>
      </c>
      <c r="K2512" s="3" t="inlineStr">
        <is>
          <t>ASSUMP_CLUSTER_RAMP; ASSUMP_CLOSED_MODEL_BAND; ASSUMP_NUMERIC_ACCELERATOR_MIX; ASSUMP_INFERENCE_SHARE_NOT_FACT_60; ASSUMP_WORKLOAD_CLASS_MIX; ASSUMP_AGENTIC_CONTEXT_PENALTY</t>
        </is>
      </c>
      <c r="L2512" s="3" t="inlineStr">
        <is>
          <t>Site-level measured PUE matched to attributed AI capacity.</t>
        </is>
      </c>
    </row>
    <row r="2513">
      <c r="A2513" s="3" t="inlineStr">
        <is>
          <t>xAI</t>
        </is>
      </c>
      <c r="B2513" s="3" t="n">
        <v>2030</v>
      </c>
      <c r="C2513" s="3" t="inlineStr">
        <is>
          <t>Bull</t>
        </is>
      </c>
      <c r="D2513" s="3" t="inlineStr">
        <is>
          <t>it_load_gw</t>
        </is>
      </c>
      <c r="E2513" s="3" t="n">
        <v>2.418</v>
      </c>
      <c r="F2513" s="3" t="inlineStr">
        <is>
          <t>GW</t>
        </is>
      </c>
      <c r="G2513" s="3" t="inlineStr">
        <is>
          <t>Derived formula</t>
        </is>
      </c>
      <c r="H2513" s="3" t="inlineStr">
        <is>
          <t>active_power_gw / pue</t>
        </is>
      </c>
      <c r="I2513" s="3" t="inlineStr">
        <is>
          <t>Facility power is converted to IT-deliverable power before attributing AI workloads.</t>
        </is>
      </c>
      <c r="J2513" s="3" t="inlineStr">
        <is>
          <t>SRC_XAI_NVIDIA_COLOSSUS; ASSUMP_CLUSTER_RAMP</t>
        </is>
      </c>
      <c r="K2513" s="3" t="inlineStr">
        <is>
          <t>ASSUMP_CLUSTER_RAMP; ASSUMP_CLOSED_MODEL_BAND; ASSUMP_NUMERIC_ACCELERATOR_MIX; ASSUMP_INFERENCE_SHARE_NOT_FACT_60; ASSUMP_WORKLOAD_CLASS_MIX; ASSUMP_AGENTIC_CONTEXT_PENALTY</t>
        </is>
      </c>
      <c r="L2513" s="3" t="inlineStr">
        <is>
          <t>Recompute once active power and PUE become site-observable.</t>
        </is>
      </c>
    </row>
    <row r="2514">
      <c r="A2514" s="3" t="inlineStr">
        <is>
          <t>xAI</t>
        </is>
      </c>
      <c r="B2514" s="3" t="n">
        <v>2030</v>
      </c>
      <c r="C2514" s="3" t="inlineStr">
        <is>
          <t>Bull</t>
        </is>
      </c>
      <c r="D2514" s="3" t="inlineStr">
        <is>
          <t>ai_workload_share</t>
        </is>
      </c>
      <c r="E2514" s="3" t="n">
        <v>0.85</v>
      </c>
      <c r="F2514" s="3" t="inlineStr">
        <is>
          <t>share</t>
        </is>
      </c>
      <c r="G2514" s="3" t="inlineStr">
        <is>
          <t>Scenario allocation</t>
        </is>
      </c>
      <c r="H2514" s="3" t="inlineStr">
        <is>
          <t>ai_it_load_gw = it_load_gw * ai_workload_share</t>
        </is>
      </c>
      <c r="I2514" s="3" t="inlineStr">
        <is>
          <t>Colossus is AI-centric; 85% retains cooling/IT allocation boundary and non-serving AI work.</t>
        </is>
      </c>
      <c r="J2514" s="3" t="inlineStr">
        <is>
          <t>SRC_XAI_MODELS; SRC_XAI_NVIDIA_COLOSSUS; SRC_EPOCH_AI_DATA_CENTERS</t>
        </is>
      </c>
      <c r="K2514" s="3" t="inlineStr">
        <is>
          <t>ASSUMP_CLUSTER_RAMP; ASSUMP_CLOSED_MODEL_BAND; ASSUMP_NUMERIC_ACCELERATOR_MIX; ASSUMP_INFERENCE_SHARE_NOT_FACT_60; ASSUMP_WORKLOAD_CLASS_MIX; ASSUMP_AGENTIC_CONTEXT_PENALTY</t>
        </is>
      </c>
      <c r="L2514" s="3" t="inlineStr">
        <is>
          <t>Model-owner AI workload allocation or cluster scheduling telemetry.</t>
        </is>
      </c>
    </row>
    <row r="2515">
      <c r="A2515" s="3" t="inlineStr">
        <is>
          <t>xAI</t>
        </is>
      </c>
      <c r="B2515" s="3" t="n">
        <v>2030</v>
      </c>
      <c r="C2515" s="3" t="inlineStr">
        <is>
          <t>Bull</t>
        </is>
      </c>
      <c r="D2515" s="3" t="inlineStr">
        <is>
          <t>ai_it_load_gw</t>
        </is>
      </c>
      <c r="E2515" s="3" t="n">
        <v>2.055</v>
      </c>
      <c r="F2515" s="3" t="inlineStr">
        <is>
          <t>GW</t>
        </is>
      </c>
      <c r="G2515" s="3" t="inlineStr">
        <is>
          <t>Derived formula</t>
        </is>
      </c>
      <c r="H2515" s="3" t="inlineStr">
        <is>
          <t>it_load_gw * ai_workload_share</t>
        </is>
      </c>
      <c r="I2515" s="3" t="inlineStr">
        <is>
          <t>Only the AI-attributed portion of IT load enters training/inference allocation.</t>
        </is>
      </c>
      <c r="J2515" s="3" t="inlineStr">
        <is>
          <t>SRC_XAI_MODELS; SRC_XAI_NVIDIA_COLOSSUS; SRC_EPOCH_AI_DATA_CENTERS</t>
        </is>
      </c>
      <c r="K2515" s="3" t="inlineStr">
        <is>
          <t>ASSUMP_CLUSTER_RAMP; ASSUMP_CLOSED_MODEL_BAND; ASSUMP_NUMERIC_ACCELERATOR_MIX; ASSUMP_INFERENCE_SHARE_NOT_FACT_60; ASSUMP_WORKLOAD_CLASS_MIX; ASSUMP_AGENTIC_CONTEXT_PENALTY</t>
        </is>
      </c>
      <c r="L2515" s="3" t="inlineStr">
        <is>
          <t>Recompute after ai_workload_share is replaced by telemetry.</t>
        </is>
      </c>
    </row>
    <row r="2516">
      <c r="A2516" s="3" t="inlineStr">
        <is>
          <t>xAI</t>
        </is>
      </c>
      <c r="B2516" s="3" t="n">
        <v>2030</v>
      </c>
      <c r="C2516" s="3" t="inlineStr">
        <is>
          <t>Bull</t>
        </is>
      </c>
      <c r="D2516" s="3" t="inlineStr">
        <is>
          <t>gpu_share</t>
        </is>
      </c>
      <c r="E2516" s="3" t="n">
        <v>1</v>
      </c>
      <c r="F2516" s="3" t="inlineStr">
        <is>
          <t>share of inference-serving accelerator load</t>
        </is>
      </c>
      <c r="G2516" s="3" t="inlineStr">
        <is>
          <t>Numeric scenario</t>
        </is>
      </c>
      <c r="H2516" s="3" t="inlineStr">
        <is>
          <t>gpu_share interpolated from company 2026/2030 accelerator-mix endpoints</t>
        </is>
      </c>
      <c r="I2516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516" s="3" t="inlineStr">
        <is>
          <t>SRC_XAI_MODELS; SRC_XAI_NVIDIA_COLOSSUS; SRC_EPOCH_AI_DATA_CENTERS; ASSUMP_NUMERIC_ACCELERATOR_MIX</t>
        </is>
      </c>
      <c r="K2516" s="3" t="inlineStr">
        <is>
          <t>ASSUMP_CLUSTER_RAMP; ASSUMP_CLOSED_MODEL_BAND; ASSUMP_NUMERIC_ACCELERATOR_MIX; ASSUMP_INFERENCE_SHARE_NOT_FACT_60; ASSUMP_WORKLOAD_CLASS_MIX; ASSUMP_AGENTIC_CONTEXT_PENALTY</t>
        </is>
      </c>
      <c r="L2516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517">
      <c r="A2517" s="3" t="inlineStr">
        <is>
          <t>xAI</t>
        </is>
      </c>
      <c r="B2517" s="3" t="n">
        <v>2030</v>
      </c>
      <c r="C2517" s="3" t="inlineStr">
        <is>
          <t>Bull</t>
        </is>
      </c>
      <c r="D2517" s="3" t="inlineStr">
        <is>
          <t>h200_share</t>
        </is>
      </c>
      <c r="E2517" s="3" t="n">
        <v>0</v>
      </c>
      <c r="F2517" s="3" t="inlineStr">
        <is>
          <t>share of inference-serving accelerator load</t>
        </is>
      </c>
      <c r="G2517" s="3" t="inlineStr">
        <is>
          <t>Editable numeric scenario</t>
        </is>
      </c>
      <c r="H2517" s="3" t="inlineStr">
        <is>
          <t>h200_share = gpu_share * default_gpu_generation_mix_h200</t>
        </is>
      </c>
      <c r="I2517" s="3" t="inlineStr">
        <is>
          <t>Default GPU-generation migration assumption; executive workbook allows later manual replacement by company/year/scenario.</t>
        </is>
      </c>
      <c r="J2517" s="3" t="inlineStr">
        <is>
          <t>SRC_SEMIANALYSIS_INFERENCEX; ASSUMP_NUMERIC_ACCELERATOR_MIX</t>
        </is>
      </c>
      <c r="K2517" s="3" t="inlineStr">
        <is>
          <t>ASSUMP_CLUSTER_RAMP; ASSUMP_CLOSED_MODEL_BAND; ASSUMP_NUMERIC_ACCELERATOR_MIX; ASSUMP_INFERENCE_SHARE_NOT_FACT_60; ASSUMP_WORKLOAD_CLASS_MIX; ASSUMP_AGENTIC_CONTEXT_PENALTY</t>
        </is>
      </c>
      <c r="L2517" s="3" t="inlineStr">
        <is>
          <t>Company fleet inventory, accelerator-hours or procurement/deployment records by GPU generation.</t>
        </is>
      </c>
    </row>
    <row r="2518">
      <c r="A2518" s="3" t="inlineStr">
        <is>
          <t>xAI</t>
        </is>
      </c>
      <c r="B2518" s="3" t="n">
        <v>2030</v>
      </c>
      <c r="C2518" s="3" t="inlineStr">
        <is>
          <t>Bull</t>
        </is>
      </c>
      <c r="D2518" s="3" t="inlineStr">
        <is>
          <t>b200_share</t>
        </is>
      </c>
      <c r="E2518" s="3" t="n">
        <v>1</v>
      </c>
      <c r="F2518" s="3" t="inlineStr">
        <is>
          <t>share of inference-serving accelerator load</t>
        </is>
      </c>
      <c r="G2518" s="3" t="inlineStr">
        <is>
          <t>Editable numeric scenario</t>
        </is>
      </c>
      <c r="H2518" s="3" t="inlineStr">
        <is>
          <t>b200_share = gpu_share * default_gpu_generation_mix_b200</t>
        </is>
      </c>
      <c r="I2518" s="3" t="inlineStr">
        <is>
          <t>Default GPU-generation migration assumption; executive workbook allows later manual replacement by company/year/scenario.</t>
        </is>
      </c>
      <c r="J2518" s="3" t="inlineStr">
        <is>
          <t>SRC_SEMIANALYSIS_INFERENCEX; ASSUMP_NUMERIC_ACCELERATOR_MIX</t>
        </is>
      </c>
      <c r="K2518" s="3" t="inlineStr">
        <is>
          <t>ASSUMP_CLUSTER_RAMP; ASSUMP_CLOSED_MODEL_BAND; ASSUMP_NUMERIC_ACCELERATOR_MIX; ASSUMP_INFERENCE_SHARE_NOT_FACT_60; ASSUMP_WORKLOAD_CLASS_MIX; ASSUMP_AGENTIC_CONTEXT_PENALTY</t>
        </is>
      </c>
      <c r="L2518" s="3" t="inlineStr">
        <is>
          <t>Company fleet inventory, accelerator-hours or procurement/deployment records by GPU generation.</t>
        </is>
      </c>
    </row>
    <row r="2519">
      <c r="A2519" s="3" t="inlineStr">
        <is>
          <t>xAI</t>
        </is>
      </c>
      <c r="B2519" s="3" t="n">
        <v>2030</v>
      </c>
      <c r="C2519" s="3" t="inlineStr">
        <is>
          <t>Bull</t>
        </is>
      </c>
      <c r="D2519" s="3" t="inlineStr">
        <is>
          <t>gb200_share</t>
        </is>
      </c>
      <c r="E2519" s="3" t="n">
        <v>0</v>
      </c>
      <c r="F2519" s="3" t="inlineStr">
        <is>
          <t>share of inference-serving accelerator load</t>
        </is>
      </c>
      <c r="G2519" s="3" t="inlineStr">
        <is>
          <t>Editable numeric scenario</t>
        </is>
      </c>
      <c r="H2519" s="3" t="inlineStr">
        <is>
          <t>gb200_share = gpu_share * default_gpu_generation_mix_gb200</t>
        </is>
      </c>
      <c r="I2519" s="3" t="inlineStr">
        <is>
          <t>Default GPU-generation migration assumption; executive workbook allows later manual replacement by company/year/scenario.</t>
        </is>
      </c>
      <c r="J2519" s="3" t="inlineStr">
        <is>
          <t>SRC_SEMIANALYSIS_INFERENCEX; ASSUMP_NUMERIC_ACCELERATOR_MIX</t>
        </is>
      </c>
      <c r="K2519" s="3" t="inlineStr">
        <is>
          <t>ASSUMP_CLUSTER_RAMP; ASSUMP_CLOSED_MODEL_BAND; ASSUMP_NUMERIC_ACCELERATOR_MIX; ASSUMP_INFERENCE_SHARE_NOT_FACT_60; ASSUMP_WORKLOAD_CLASS_MIX; ASSUMP_AGENTIC_CONTEXT_PENALTY</t>
        </is>
      </c>
      <c r="L2519" s="3" t="inlineStr">
        <is>
          <t>Company fleet inventory, accelerator-hours or procurement/deployment records by GPU generation.</t>
        </is>
      </c>
    </row>
    <row r="2520">
      <c r="A2520" s="3" t="inlineStr">
        <is>
          <t>xAI</t>
        </is>
      </c>
      <c r="B2520" s="3" t="n">
        <v>2030</v>
      </c>
      <c r="C2520" s="3" t="inlineStr">
        <is>
          <t>Bull</t>
        </is>
      </c>
      <c r="D2520" s="3" t="inlineStr">
        <is>
          <t>purpose_built_accelerator_share</t>
        </is>
      </c>
      <c r="E2520" s="3" t="n">
        <v>0</v>
      </c>
      <c r="F2520" s="3" t="inlineStr">
        <is>
          <t>share of inference-serving accelerator load</t>
        </is>
      </c>
      <c r="G2520" s="3" t="inlineStr">
        <is>
          <t>Numeric scenario</t>
        </is>
      </c>
      <c r="H2520" s="3" t="inlineStr">
        <is>
          <t>1 - gpu_share</t>
        </is>
      </c>
      <c r="I2520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2520" s="3" t="inlineStr">
        <is>
          <t>SRC_XAI_MODELS; SRC_XAI_NVIDIA_COLOSSUS; SRC_EPOCH_AI_DATA_CENTERS; ASSUMP_NUMERIC_ACCELERATOR_MIX</t>
        </is>
      </c>
      <c r="K2520" s="3" t="inlineStr">
        <is>
          <t>ASSUMP_CLUSTER_RAMP; ASSUMP_CLOSED_MODEL_BAND; ASSUMP_NUMERIC_ACCELERATOR_MIX; ASSUMP_INFERENCE_SHARE_NOT_FACT_60; ASSUMP_WORKLOAD_CLASS_MIX; ASSUMP_AGENTIC_CONTEXT_PENALTY</t>
        </is>
      </c>
      <c r="L2520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2521">
      <c r="A2521" s="3" t="inlineStr">
        <is>
          <t>xAI</t>
        </is>
      </c>
      <c r="B2521" s="3" t="n">
        <v>2030</v>
      </c>
      <c r="C2521" s="3" t="inlineStr">
        <is>
          <t>Bull</t>
        </is>
      </c>
      <c r="D2521" s="3" t="inlineStr">
        <is>
          <t>fleet_reference_tps_per_mw</t>
        </is>
      </c>
      <c r="E2521" s="3" t="n">
        <v>3010288</v>
      </c>
      <c r="F2521" s="3" t="inlineStr">
        <is>
          <t>generated output tokens/sec/MW</t>
        </is>
      </c>
      <c r="G2521" s="3" t="inlineStr">
        <is>
          <t>Fleet-weighted public benchmark reference</t>
        </is>
      </c>
      <c r="H2521" s="3" t="inlineStr">
        <is>
          <t>h200_share*h200_workload_avg + b200_share*b200_workload_avg + gb200_share*gb200_workload_avg + purpose_built_share*purpose_workload_avg</t>
        </is>
      </c>
      <c r="I252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2521" s="3" t="inlineStr">
        <is>
          <t>SRC_SEMIANALYSIS_INFERENCEX; ASSUMP_NUMERIC_ACCELERATOR_MIX; ASSUMP_WORKLOAD_CLASS_MIX; ASSUMP_AGENTIC_CONTEXT_PENALTY</t>
        </is>
      </c>
      <c r="K2521" s="3" t="inlineStr">
        <is>
          <t>ASSUMP_CLUSTER_RAMP; ASSUMP_CLOSED_MODEL_BAND; ASSUMP_NUMERIC_ACCELERATOR_MIX; ASSUMP_INFERENCE_SHARE_NOT_FACT_60; ASSUMP_WORKLOAD_CLASS_MIX; ASSUMP_AGENTIC_CONTEXT_PENALTY</t>
        </is>
      </c>
      <c r="L2521" s="3" t="inlineStr">
        <is>
          <t>Comparable production output-token throughput or a more closely matched benchmark.</t>
        </is>
      </c>
    </row>
    <row r="2522">
      <c r="A2522" s="3" t="inlineStr">
        <is>
          <t>xAI</t>
        </is>
      </c>
      <c r="B2522" s="3" t="n">
        <v>2030</v>
      </c>
      <c r="C2522" s="3" t="inlineStr">
        <is>
          <t>Bull</t>
        </is>
      </c>
      <c r="D2522" s="3" t="inlineStr">
        <is>
          <t>commercial_workload_fit_factor</t>
        </is>
      </c>
      <c r="E2522" s="3" t="n">
        <v>0.75</v>
      </c>
      <c r="F2522" s="3" t="inlineStr">
        <is>
          <t>share of public reference throughput</t>
        </is>
      </c>
      <c r="G2522" s="3" t="inlineStr">
        <is>
          <t>Scenario assumption</t>
        </is>
      </c>
      <c r="H2522" s="3" t="inlineStr">
        <is>
          <t>reference_serving_tps_per_mw = fleet_reference_tps_per_mw * commercial_workload_fit_factor</t>
        </is>
      </c>
      <c r="I2522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2522" s="3" t="inlineStr">
        <is>
          <t>SRC_SEMIANALYSIS_INFERENCEX; ASSUMP_NUMERIC_ACCELERATOR_MIX; ASSUMP_WORKLOAD_CLASS_MIX; ASSUMP_AGENTIC_CONTEXT_PENALTY</t>
        </is>
      </c>
      <c r="K2522" s="3" t="inlineStr">
        <is>
          <t>ASSUMP_CLUSTER_RAMP; ASSUMP_CLOSED_MODEL_BAND; ASSUMP_NUMERIC_ACCELERATOR_MIX; ASSUMP_INFERENCE_SHARE_NOT_FACT_60; ASSUMP_WORKLOAD_CLASS_MIX; ASSUMP_AGENTIC_CONTEXT_PENALTY</t>
        </is>
      </c>
      <c r="L2522" s="3" t="inlineStr">
        <is>
          <t>Matched commercial serving benchmark by product surface, context shape and latency SLO.</t>
        </is>
      </c>
    </row>
    <row r="2523">
      <c r="A2523" s="3" t="inlineStr">
        <is>
          <t>xAI</t>
        </is>
      </c>
      <c r="B2523" s="3" t="n">
        <v>2030</v>
      </c>
      <c r="C2523" s="3" t="inlineStr">
        <is>
          <t>Bull</t>
        </is>
      </c>
      <c r="D2523" s="3" t="inlineStr">
        <is>
          <t>reference_serving_tps_per_mw</t>
        </is>
      </c>
      <c r="E2523" s="3" t="n">
        <v>2257716</v>
      </c>
      <c r="F2523" s="3" t="inlineStr">
        <is>
          <t>generated output tokens/sec/MW</t>
        </is>
      </c>
      <c r="G2523" s="3" t="inlineStr">
        <is>
          <t>Workload-adjusted benchmark proxy</t>
        </is>
      </c>
      <c r="H2523" s="3" t="inlineStr">
        <is>
          <t>fleet_reference_tps_per_mw * commercial_workload_fit_factor</t>
        </is>
      </c>
      <c r="I2523" s="3" t="inlineStr">
        <is>
          <t>This is the coefficient used for headline token generation; each GPU's short chat, long chat and agentic TPS/MW are weighted before fleet mix and commercial fit are applied.</t>
        </is>
      </c>
      <c r="J2523" s="3" t="inlineStr">
        <is>
          <t>SRC_SEMIANALYSIS_INFERENCEX; ASSUMP_NUMERIC_ACCELERATOR_MIX; ASSUMP_WORKLOAD_CLASS_MIX; ASSUMP_AGENTIC_CONTEXT_PENALTY</t>
        </is>
      </c>
      <c r="K2523" s="3" t="inlineStr">
        <is>
          <t>ASSUMP_CLUSTER_RAMP; ASSUMP_CLOSED_MODEL_BAND; ASSUMP_NUMERIC_ACCELERATOR_MIX; ASSUMP_INFERENCE_SHARE_NOT_FACT_60; ASSUMP_WORKLOAD_CLASS_MIX; ASSUMP_AGENTIC_CONTEXT_PENALTY</t>
        </is>
      </c>
      <c r="L2523" s="3" t="inlineStr">
        <is>
          <t>Provider production output-token throughput with comparable workload/SLO.</t>
        </is>
      </c>
    </row>
    <row r="2524">
      <c r="A2524" s="3" t="inlineStr">
        <is>
          <t>xAI</t>
        </is>
      </c>
      <c r="B2524" s="3" t="n">
        <v>2030</v>
      </c>
      <c r="C2524" s="3" t="inlineStr">
        <is>
          <t>Bull</t>
        </is>
      </c>
      <c r="D2524" s="3" t="inlineStr">
        <is>
          <t>purpose_built_tps_per_mw</t>
        </is>
      </c>
      <c r="E2524" s="3" t="n">
        <v>3387725</v>
      </c>
      <c r="F2524" s="3" t="inlineStr">
        <is>
          <t>generated output tokens/sec/MW</t>
        </is>
      </c>
      <c r="G2524" s="3" t="inlineStr">
        <is>
          <t>Conservative no-uplift proxy</t>
        </is>
      </c>
      <c r="H2524" s="3" t="inlineStr">
        <is>
          <t>purpose_built_tps_per_mw = purpose_built_reference_tps_per_mw * commercial_workload_fit_factor until comparable output-token benchmark is adopted</t>
        </is>
      </c>
      <c r="I2524" s="3" t="inlineStr">
        <is>
          <t>No comparable public output-token/MW row adopted; B200 public reference placeholder is used and remains editable.</t>
        </is>
      </c>
      <c r="J2524" s="3" t="inlineStr">
        <is>
          <t>SRC_XAI_MODELS; SRC_XAI_NVIDIA_COLOSSUS; SRC_EPOCH_AI_DATA_CENTERS; ASSUMP_NUMERIC_ACCELERATOR_MIX</t>
        </is>
      </c>
      <c r="K2524" s="3" t="inlineStr">
        <is>
          <t>ASSUMP_CLUSTER_RAMP; ASSUMP_CLOSED_MODEL_BAND; ASSUMP_NUMERIC_ACCELERATOR_MIX; ASSUMP_INFERENCE_SHARE_NOT_FACT_60; ASSUMP_WORKLOAD_CLASS_MIX; ASSUMP_AGENTIC_CONTEXT_PENALTY</t>
        </is>
      </c>
      <c r="L2524" s="3" t="inlineStr">
        <is>
          <t>Matched-workload generated-output benchmark for the provider purpose-built accelerator.</t>
        </is>
      </c>
    </row>
    <row r="2525">
      <c r="A2525" s="3" t="inlineStr">
        <is>
          <t>xAI</t>
        </is>
      </c>
      <c r="B2525" s="3" t="n">
        <v>2030</v>
      </c>
      <c r="C2525" s="3" t="inlineStr">
        <is>
          <t>Bull</t>
        </is>
      </c>
      <c r="D2525" s="3" t="inlineStr">
        <is>
          <t>inference_power_share</t>
        </is>
      </c>
      <c r="E2525" s="3" t="n">
        <v>0.78</v>
      </c>
      <c r="F2525" s="3" t="inlineStr">
        <is>
          <t>share of AI IT load</t>
        </is>
      </c>
      <c r="G2525" s="3" t="inlineStr">
        <is>
          <t>Scenario allocation</t>
        </is>
      </c>
      <c r="H2525" s="3" t="inlineStr">
        <is>
          <t>inference_gw = ai_it_load_gw * inference_power_share</t>
        </is>
      </c>
      <c r="I2525" s="3" t="inlineStr">
        <is>
          <t>Grok product expansion is modeled to shift capacity toward inference after initial training-heavy operation.</t>
        </is>
      </c>
      <c r="J2525" s="3" t="inlineStr">
        <is>
          <t>SRC_XAI_MODELS; SRC_XAI_NVIDIA_COLOSSUS; SRC_EPOCH_AI_DATA_CENTERS; ASSUMP_INFERENCE_SHARE_NOT_FACT_60</t>
        </is>
      </c>
      <c r="K2525" s="3" t="inlineStr">
        <is>
          <t>ASSUMP_CLUSTER_RAMP; ASSUMP_CLOSED_MODEL_BAND; ASSUMP_NUMERIC_ACCELERATOR_MIX; ASSUMP_INFERENCE_SHARE_NOT_FACT_60; ASSUMP_WORKLOAD_CLASS_MIX; ASSUMP_AGENTIC_CONTEXT_PENALTY</t>
        </is>
      </c>
      <c r="L2525" s="3" t="inlineStr">
        <is>
          <t>Provider-specific inference/training workload power telemetry.</t>
        </is>
      </c>
    </row>
    <row r="2526">
      <c r="A2526" s="3" t="inlineStr">
        <is>
          <t>xAI</t>
        </is>
      </c>
      <c r="B2526" s="3" t="n">
        <v>2030</v>
      </c>
      <c r="C2526" s="3" t="inlineStr">
        <is>
          <t>Bull</t>
        </is>
      </c>
      <c r="D2526" s="3" t="inlineStr">
        <is>
          <t>inference_gw</t>
        </is>
      </c>
      <c r="E2526" s="3" t="n">
        <v>1.603</v>
      </c>
      <c r="F2526" s="3" t="inlineStr">
        <is>
          <t>GW</t>
        </is>
      </c>
      <c r="G2526" s="3" t="inlineStr">
        <is>
          <t>Derived formula</t>
        </is>
      </c>
      <c r="H2526" s="3" t="inlineStr">
        <is>
          <t>ai_it_load_gw * inference_power_share</t>
        </is>
      </c>
      <c r="I2526" s="3" t="inlineStr">
        <is>
          <t>This is the operational power eligible to become commercial generated output tokens through the selected TPS/MW proxy.</t>
        </is>
      </c>
      <c r="J2526" s="3" t="inlineStr">
        <is>
          <t>SRC_XAI_MODELS; SRC_XAI_NVIDIA_COLOSSUS; SRC_EPOCH_AI_DATA_CENTERS</t>
        </is>
      </c>
      <c r="K2526" s="3" t="inlineStr">
        <is>
          <t>ASSUMP_CLUSTER_RAMP; ASSUMP_CLOSED_MODEL_BAND; ASSUMP_NUMERIC_ACCELERATOR_MIX; ASSUMP_INFERENCE_SHARE_NOT_FACT_60; ASSUMP_WORKLOAD_CLASS_MIX; ASSUMP_AGENTIC_CONTEXT_PENALTY</t>
        </is>
      </c>
      <c r="L2526" s="3" t="inlineStr">
        <is>
          <t>Recompute after AI allocation or inference-share evidence changes.</t>
        </is>
      </c>
    </row>
    <row r="2527">
      <c r="A2527" s="3" t="inlineStr">
        <is>
          <t>xAI</t>
        </is>
      </c>
      <c r="B2527" s="3" t="n">
        <v>2030</v>
      </c>
      <c r="C2527" s="3" t="inlineStr">
        <is>
          <t>Bull</t>
        </is>
      </c>
      <c r="D2527" s="3" t="inlineStr">
        <is>
          <t>training_power_share</t>
        </is>
      </c>
      <c r="E2527" s="3" t="n">
        <v>0.22</v>
      </c>
      <c r="F2527" s="3" t="inlineStr">
        <is>
          <t>share of AI IT load</t>
        </is>
      </c>
      <c r="G2527" s="3" t="inlineStr">
        <is>
          <t>Derived allocation</t>
        </is>
      </c>
      <c r="H2527" s="3" t="inlineStr">
        <is>
          <t>1 - inference_power_share</t>
        </is>
      </c>
      <c r="I2527" s="3" t="inlineStr">
        <is>
          <t>Training receives the complementary modeled AI IT allocation; it is not a disclosed company workload split.</t>
        </is>
      </c>
      <c r="J2527" s="3" t="inlineStr">
        <is>
          <t>SRC_XAI_MODELS; SRC_XAI_NVIDIA_COLOSSUS; SRC_EPOCH_AI_DATA_CENTERS; ASSUMP_INFERENCE_SHARE_NOT_FACT_60</t>
        </is>
      </c>
      <c r="K2527" s="3" t="inlineStr">
        <is>
          <t>ASSUMP_CLUSTER_RAMP; ASSUMP_CLOSED_MODEL_BAND; ASSUMP_NUMERIC_ACCELERATOR_MIX; ASSUMP_INFERENCE_SHARE_NOT_FACT_60; ASSUMP_WORKLOAD_CLASS_MIX; ASSUMP_AGENTIC_CONTEXT_PENALTY</t>
        </is>
      </c>
      <c r="L2527" s="3" t="inlineStr">
        <is>
          <t>Provider-specific inference/training workload power telemetry.</t>
        </is>
      </c>
    </row>
    <row r="2528">
      <c r="A2528" s="3" t="inlineStr">
        <is>
          <t>xAI</t>
        </is>
      </c>
      <c r="B2528" s="3" t="n">
        <v>2030</v>
      </c>
      <c r="C2528" s="3" t="inlineStr">
        <is>
          <t>Bull</t>
        </is>
      </c>
      <c r="D2528" s="3" t="inlineStr">
        <is>
          <t>training_gw</t>
        </is>
      </c>
      <c r="E2528" s="3" t="n">
        <v>0.452</v>
      </c>
      <c r="F2528" s="3" t="inlineStr">
        <is>
          <t>GW</t>
        </is>
      </c>
      <c r="G2528" s="3" t="inlineStr">
        <is>
          <t>Derived formula</t>
        </is>
      </c>
      <c r="H2528" s="3" t="inlineStr">
        <is>
          <t>ai_it_load_gw * training_power_share</t>
        </is>
      </c>
      <c r="I2528" s="3" t="inlineStr">
        <is>
          <t>Training GW is shown separately so commercial inference token capacity is not overstated.</t>
        </is>
      </c>
      <c r="J2528" s="3" t="inlineStr">
        <is>
          <t>SRC_XAI_MODELS; SRC_XAI_NVIDIA_COLOSSUS; SRC_EPOCH_AI_DATA_CENTERS</t>
        </is>
      </c>
      <c r="K2528" s="3" t="inlineStr">
        <is>
          <t>ASSUMP_CLUSTER_RAMP; ASSUMP_CLOSED_MODEL_BAND; ASSUMP_NUMERIC_ACCELERATOR_MIX; ASSUMP_INFERENCE_SHARE_NOT_FACT_60; ASSUMP_WORKLOAD_CLASS_MIX; ASSUMP_AGENTIC_CONTEXT_PENALTY</t>
        </is>
      </c>
      <c r="L2528" s="3" t="inlineStr">
        <is>
          <t>Recompute after AI allocation or workload-split evidence changes.</t>
        </is>
      </c>
    </row>
    <row r="2529">
      <c r="A2529" s="3" t="inlineStr">
        <is>
          <t>xAI</t>
        </is>
      </c>
      <c r="B2529" s="3" t="n">
        <v>2030</v>
      </c>
      <c r="C2529" s="3" t="inlineStr">
        <is>
          <t>Bull</t>
        </is>
      </c>
      <c r="D2529" s="3" t="inlineStr">
        <is>
          <t>tokens_per_second_per_mw</t>
        </is>
      </c>
      <c r="E2529" s="3" t="n">
        <v>2257716</v>
      </c>
      <c r="F2529" s="3" t="inlineStr">
        <is>
          <t>generated output tokens/sec/MW</t>
        </is>
      </c>
      <c r="G2529" s="3" t="inlineStr">
        <is>
          <t>Derived estimate + benchmark calibration</t>
        </is>
      </c>
      <c r="H2529" s="3" t="inlineStr">
        <is>
          <t>fleet_reference_tps_per_mw * commercial_workload_fit_factor</t>
        </is>
      </c>
      <c r="I2529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2529" s="3" t="inlineStr">
        <is>
          <t>SRC_XAI_MODELS; SRC_XAI_NVIDIA_COLOSSUS; SRC_EPOCH_AI_DATA_CENTERS; SRC_SEMIANALYSIS_INFERENCEX; ASSUMP_NUMERIC_ACCELERATOR_MIX; ASSUMP_WORKLOAD_CLASS_MIX; ASSUMP_AGENTIC_CONTEXT_PENALTY</t>
        </is>
      </c>
      <c r="K2529" s="3" t="inlineStr">
        <is>
          <t>ASSUMP_CLUSTER_RAMP; ASSUMP_CLOSED_MODEL_BAND; ASSUMP_NUMERIC_ACCELERATOR_MIX; ASSUMP_INFERENCE_SHARE_NOT_FACT_60; ASSUMP_WORKLOAD_CLASS_MIX; ASSUMP_AGENTIC_CONTEXT_PENALTY</t>
        </is>
      </c>
      <c r="L2529" s="3" t="inlineStr">
        <is>
          <t>Comparable production output-token throughput with model, hardware, precision, ISL/OSL and SLO matched.</t>
        </is>
      </c>
    </row>
    <row r="2530">
      <c r="A2530" s="3" t="inlineStr">
        <is>
          <t>xAI</t>
        </is>
      </c>
      <c r="B2530" s="3" t="n">
        <v>2030</v>
      </c>
      <c r="C2530" s="3" t="inlineStr">
        <is>
          <t>Bull</t>
        </is>
      </c>
      <c r="D2530" s="3" t="inlineStr">
        <is>
          <t>inference_tokens_per_day</t>
        </is>
      </c>
      <c r="E2530" s="3" t="n">
        <v>312691859827200</v>
      </c>
      <c r="F2530" s="3" t="inlineStr">
        <is>
          <t>generated output tokens/day</t>
        </is>
      </c>
      <c r="G2530" s="3" t="inlineStr">
        <is>
          <t>Derived headline metric</t>
        </is>
      </c>
      <c r="H2530" s="3" t="inlineStr">
        <is>
          <t>inference_gw * 1000 * tokens_per_second_per_mw * 86,400</t>
        </is>
      </c>
      <c r="I2530" s="3" t="inlineStr">
        <is>
          <t>Headline capacity uses no utilization, MoE, architecture or software-growth multiplier; it is not observed commercial output volume.</t>
        </is>
      </c>
      <c r="J2530" s="3" t="inlineStr">
        <is>
          <t>SRC_XAI_MODELS; SRC_XAI_NVIDIA_COLOSSUS; SRC_EPOCH_AI_DATA_CENTERS; SRC_SEMIANALYSIS_INFERENCEX</t>
        </is>
      </c>
      <c r="K2530" s="3" t="inlineStr">
        <is>
          <t>ASSUMP_CLUSTER_RAMP; ASSUMP_CLOSED_MODEL_BAND; ASSUMP_NUMERIC_ACCELERATOR_MIX; ASSUMP_INFERENCE_SHARE_NOT_FACT_60; ASSUMP_WORKLOAD_CLASS_MIX; ASSUMP_AGENTIC_CONTEXT_PENALTY</t>
        </is>
      </c>
      <c r="L2530" s="3" t="inlineStr">
        <is>
          <t>Provider-disclosed generated output token volume or calibrated capacity telemetry.</t>
        </is>
      </c>
    </row>
    <row r="2531">
      <c r="A2531" s="3" t="inlineStr">
        <is>
          <t>xAI</t>
        </is>
      </c>
      <c r="B2531" s="3" t="n">
        <v>2030</v>
      </c>
      <c r="C2531" s="3" t="inlineStr">
        <is>
          <t>Bull</t>
        </is>
      </c>
      <c r="D2531" s="3" t="inlineStr">
        <is>
          <t>inference_tokens_per_year</t>
        </is>
      </c>
      <c r="E2531" s="3" t="n">
        <v>1.14132528836928e+17</v>
      </c>
      <c r="F2531" s="3" t="inlineStr">
        <is>
          <t>generated output tokens/year</t>
        </is>
      </c>
      <c r="G2531" s="3" t="inlineStr">
        <is>
          <t>Derived headline metric</t>
        </is>
      </c>
      <c r="H2531" s="3" t="inlineStr">
        <is>
          <t>inference_tokens_per_day * 365</t>
        </is>
      </c>
      <c r="I2531" s="3" t="inlineStr">
        <is>
          <t>Annualized version of generated output token capacity; it is not observed annual demand or billable volume.</t>
        </is>
      </c>
      <c r="J2531" s="3" t="inlineStr">
        <is>
          <t>SRC_XAI_MODELS; SRC_XAI_NVIDIA_COLOSSUS; SRC_EPOCH_AI_DATA_CENTERS; SRC_SEMIANALYSIS_INFERENCEX</t>
        </is>
      </c>
      <c r="K2531" s="3" t="inlineStr">
        <is>
          <t>ASSUMP_CLUSTER_RAMP; ASSUMP_CLOSED_MODEL_BAND; ASSUMP_NUMERIC_ACCELERATOR_MIX; ASSUMP_INFERENCE_SHARE_NOT_FACT_60; ASSUMP_WORKLOAD_CLASS_MIX; ASSUMP_AGENTIC_CONTEXT_PENALTY</t>
        </is>
      </c>
      <c r="L2531" s="3" t="inlineStr">
        <is>
          <t>Provider-disclosed annual generated-output volume or metered serving telemetry.</t>
        </is>
      </c>
    </row>
    <row r="2532">
      <c r="A2532" s="3" t="inlineStr">
        <is>
          <t>OpenAI</t>
        </is>
      </c>
      <c r="B2532" s="3" t="n">
        <v>2026</v>
      </c>
      <c r="C2532" s="3" t="inlineStr">
        <is>
          <t>Bull</t>
        </is>
      </c>
      <c r="D2532" s="3" t="inlineStr">
        <is>
          <t>contracted_power_gw</t>
        </is>
      </c>
      <c r="E2532" s="3" t="n">
        <v>5</v>
      </c>
      <c r="F2532" s="3" t="inlineStr">
        <is>
          <t>GW</t>
        </is>
      </c>
      <c r="G2532" s="3" t="inlineStr">
        <is>
          <t>Fact anchor + scenario ceiling</t>
        </is>
      </c>
      <c r="H2532" s="3" t="inlineStr">
        <is>
          <t>linear interpolation between 2026 and 2030 company capacity endpoints</t>
        </is>
      </c>
      <c r="I2532" s="3" t="inlineStr">
        <is>
          <t>2030 envelope is bounded by official Stargate planned/committed capacity; 2026 and timing remain staged scenario values.</t>
        </is>
      </c>
      <c r="J2532" s="3" t="inlineStr">
        <is>
          <t>SRC_OPENAI_STARGATE_ORACLE; SRC_OPENAI_STARGATE_PROGRESS; ASSUMP_STARGATE_RAMP</t>
        </is>
      </c>
      <c r="K2532" s="3" t="inlineStr">
        <is>
          <t>ASSUMP_STARGATE_RAMP; ASSUMP_MS_OPENAI_ATTRIBUTION; ASSUMP_NUMERIC_ACCELERATOR_MIX; ASSUMP_INFERENCE_SHARE_NOT_FACT_60; ASSUMP_WORKLOAD_CLASS_MIX; ASSUMP_AGENTIC_CONTEXT_PENALTY</t>
        </is>
      </c>
      <c r="L2532" s="3" t="inlineStr">
        <is>
          <t>Company/site-level committed MW/GW, interconnect and contract disclosure.</t>
        </is>
      </c>
    </row>
    <row r="2533">
      <c r="A2533" s="3" t="inlineStr">
        <is>
          <t>OpenAI</t>
        </is>
      </c>
      <c r="B2533" s="3" t="n">
        <v>2026</v>
      </c>
      <c r="C2533" s="3" t="inlineStr">
        <is>
          <t>Bull</t>
        </is>
      </c>
      <c r="D2533" s="3" t="inlineStr">
        <is>
          <t>operational_deployment_share</t>
        </is>
      </c>
      <c r="E2533" s="3" t="n">
        <v>0.294</v>
      </c>
      <c r="F2533" s="3" t="inlineStr">
        <is>
          <t>share</t>
        </is>
      </c>
      <c r="G2533" s="3" t="inlineStr">
        <is>
          <t>Scenario conversion</t>
        </is>
      </c>
      <c r="H2533" s="3" t="inlineStr">
        <is>
          <t>active_power_gw / contracted_power_gw</t>
        </is>
      </c>
      <c r="I2533" s="3" t="inlineStr">
        <is>
          <t>This is the single explicit conversion from contracted/attributed capacity to operationally usable capacity.</t>
        </is>
      </c>
      <c r="J2533" s="3" t="inlineStr">
        <is>
          <t>SRC_OPENAI_STARGATE_ORACLE; SRC_OPENAI_STARGATE_PROGRESS; ASSUMP_STARGATE_RAMP</t>
        </is>
      </c>
      <c r="K2533" s="3" t="inlineStr">
        <is>
          <t>ASSUMP_STARGATE_RAMP; ASSUMP_MS_OPENAI_ATTRIBUTION; ASSUMP_NUMERIC_ACCELERATOR_MIX; ASSUMP_INFERENCE_SHARE_NOT_FACT_60; ASSUMP_WORKLOAD_CLASS_MIX; ASSUMP_AGENTIC_CONTEXT_PENALTY</t>
        </is>
      </c>
      <c r="L2533" s="3" t="inlineStr">
        <is>
          <t>Energized operational capacity divided by contracted/attributed capacity.</t>
        </is>
      </c>
    </row>
    <row r="2534">
      <c r="A2534" s="3" t="inlineStr">
        <is>
          <t>OpenAI</t>
        </is>
      </c>
      <c r="B2534" s="3" t="n">
        <v>2026</v>
      </c>
      <c r="C2534" s="3" t="inlineStr">
        <is>
          <t>Bull</t>
        </is>
      </c>
      <c r="D2534" s="3" t="inlineStr">
        <is>
          <t>active_power_gw</t>
        </is>
      </c>
      <c r="E2534" s="3" t="n">
        <v>1.47</v>
      </c>
      <c r="F2534" s="3" t="inlineStr">
        <is>
          <t>GW</t>
        </is>
      </c>
      <c r="G2534" s="3" t="inlineStr">
        <is>
          <t>Derived scenario</t>
        </is>
      </c>
      <c r="H2534" s="3" t="inlineStr">
        <is>
          <t>contracted_power_gw * operational_deployment_share</t>
        </is>
      </c>
      <c r="I2534" s="3" t="inlineStr">
        <is>
          <t>Official capacity announcements are converted to active GW only through energization/GPU-deployment ramp assumptions.</t>
        </is>
      </c>
      <c r="J2534" s="3" t="inlineStr">
        <is>
          <t>SRC_OPENAI_STARGATE_ORACLE; SRC_OPENAI_STARGATE_PROGRESS; ASSUMP_STARGATE_RAMP</t>
        </is>
      </c>
      <c r="K2534" s="3" t="inlineStr">
        <is>
          <t>ASSUMP_STARGATE_RAMP; ASSUMP_MS_OPENAI_ATTRIBUTION; ASSUMP_NUMERIC_ACCELERATOR_MIX; ASSUMP_INFERENCE_SHARE_NOT_FACT_60; ASSUMP_WORKLOAD_CLASS_MIX; ASSUMP_AGENTIC_CONTEXT_PENALTY</t>
        </is>
      </c>
      <c r="L2534" s="3" t="inlineStr">
        <is>
          <t>Energization dates, accelerator deliveries and operational powered-rack telemetry.</t>
        </is>
      </c>
    </row>
    <row r="2535">
      <c r="A2535" s="3" t="inlineStr">
        <is>
          <t>OpenAI</t>
        </is>
      </c>
      <c r="B2535" s="3" t="n">
        <v>2026</v>
      </c>
      <c r="C2535" s="3" t="inlineStr">
        <is>
          <t>Bull</t>
        </is>
      </c>
      <c r="D2535" s="3" t="inlineStr">
        <is>
          <t>pue</t>
        </is>
      </c>
      <c r="E2535" s="3" t="n">
        <v>1.2</v>
      </c>
      <c r="F2535" s="3" t="inlineStr">
        <is>
          <t>ratio</t>
        </is>
      </c>
      <c r="G2535" s="3" t="inlineStr">
        <is>
          <t>Scenario parameter</t>
        </is>
      </c>
      <c r="H2535" s="3" t="inlineStr">
        <is>
          <t>it_load_gw = active_power_gw / pue</t>
        </is>
      </c>
      <c r="I2535" s="3" t="inlineStr">
        <is>
          <t>No provider-wide site-level PUE is used as a disclosed fact; PUE represents facility-to-IT conversion within the scenario.</t>
        </is>
      </c>
      <c r="J2535" s="3" t="inlineStr">
        <is>
          <t>ASSUMP_POWER_RAMP</t>
        </is>
      </c>
      <c r="K2535" s="3" t="inlineStr">
        <is>
          <t>ASSUMP_STARGATE_RAMP; ASSUMP_MS_OPENAI_ATTRIBUTION; ASSUMP_NUMERIC_ACCELERATOR_MIX; ASSUMP_INFERENCE_SHARE_NOT_FACT_60; ASSUMP_WORKLOAD_CLASS_MIX; ASSUMP_AGENTIC_CONTEXT_PENALTY</t>
        </is>
      </c>
      <c r="L2535" s="3" t="inlineStr">
        <is>
          <t>Site-level measured PUE matched to attributed AI capacity.</t>
        </is>
      </c>
    </row>
    <row r="2536">
      <c r="A2536" s="3" t="inlineStr">
        <is>
          <t>OpenAI</t>
        </is>
      </c>
      <c r="B2536" s="3" t="n">
        <v>2026</v>
      </c>
      <c r="C2536" s="3" t="inlineStr">
        <is>
          <t>Bull</t>
        </is>
      </c>
      <c r="D2536" s="3" t="inlineStr">
        <is>
          <t>it_load_gw</t>
        </is>
      </c>
      <c r="E2536" s="3" t="n">
        <v>1.225</v>
      </c>
      <c r="F2536" s="3" t="inlineStr">
        <is>
          <t>GW</t>
        </is>
      </c>
      <c r="G2536" s="3" t="inlineStr">
        <is>
          <t>Derived formula</t>
        </is>
      </c>
      <c r="H2536" s="3" t="inlineStr">
        <is>
          <t>active_power_gw / pue</t>
        </is>
      </c>
      <c r="I2536" s="3" t="inlineStr">
        <is>
          <t>Facility power is converted to IT-deliverable power before attributing AI workloads.</t>
        </is>
      </c>
      <c r="J2536" s="3" t="inlineStr">
        <is>
          <t>SRC_OPENAI_STARGATE_ORACLE; SRC_OPENAI_STARGATE_PROGRESS; ASSUMP_STARGATE_RAMP</t>
        </is>
      </c>
      <c r="K2536" s="3" t="inlineStr">
        <is>
          <t>ASSUMP_STARGATE_RAMP; ASSUMP_MS_OPENAI_ATTRIBUTION; ASSUMP_NUMERIC_ACCELERATOR_MIX; ASSUMP_INFERENCE_SHARE_NOT_FACT_60; ASSUMP_WORKLOAD_CLASS_MIX; ASSUMP_AGENTIC_CONTEXT_PENALTY</t>
        </is>
      </c>
      <c r="L2536" s="3" t="inlineStr">
        <is>
          <t>Recompute once active power and PUE become site-observable.</t>
        </is>
      </c>
    </row>
    <row r="2537">
      <c r="A2537" s="3" t="inlineStr">
        <is>
          <t>OpenAI</t>
        </is>
      </c>
      <c r="B2537" s="3" t="n">
        <v>2026</v>
      </c>
      <c r="C2537" s="3" t="inlineStr">
        <is>
          <t>Bull</t>
        </is>
      </c>
      <c r="D2537" s="3" t="inlineStr">
        <is>
          <t>ai_workload_share</t>
        </is>
      </c>
      <c r="E2537" s="3" t="n">
        <v>0.88</v>
      </c>
      <c r="F2537" s="3" t="inlineStr">
        <is>
          <t>share</t>
        </is>
      </c>
      <c r="G2537" s="3" t="inlineStr">
        <is>
          <t>Scenario allocation</t>
        </is>
      </c>
      <c r="H2537" s="3" t="inlineStr">
        <is>
          <t>ai_it_load_gw = it_load_gw * ai_workload_share</t>
        </is>
      </c>
      <c r="I2537" s="3" t="inlineStr">
        <is>
          <t>Stargate capacity is AI-oriented but includes reserve, platform and non-token AI activity; 88% is a scenario.</t>
        </is>
      </c>
      <c r="J2537" s="3" t="inlineStr">
        <is>
          <t>SRC_OPENAI_GPT41_DOCS; SRC_OPENAI_STARGATE_ORACLE; SRC_OPENAI_STARGATE_PROGRESS; SRC_EPOCH_AI_DATA_CENTERS</t>
        </is>
      </c>
      <c r="K2537" s="3" t="inlineStr">
        <is>
          <t>ASSUMP_STARGATE_RAMP; ASSUMP_MS_OPENAI_ATTRIBUTION; ASSUMP_NUMERIC_ACCELERATOR_MIX; ASSUMP_INFERENCE_SHARE_NOT_FACT_60; ASSUMP_WORKLOAD_CLASS_MIX; ASSUMP_AGENTIC_CONTEXT_PENALTY</t>
        </is>
      </c>
      <c r="L2537" s="3" t="inlineStr">
        <is>
          <t>Model-owner AI workload allocation or cluster scheduling telemetry.</t>
        </is>
      </c>
    </row>
    <row r="2538">
      <c r="A2538" s="3" t="inlineStr">
        <is>
          <t>OpenAI</t>
        </is>
      </c>
      <c r="B2538" s="3" t="n">
        <v>2026</v>
      </c>
      <c r="C2538" s="3" t="inlineStr">
        <is>
          <t>Bull</t>
        </is>
      </c>
      <c r="D2538" s="3" t="inlineStr">
        <is>
          <t>ai_it_load_gw</t>
        </is>
      </c>
      <c r="E2538" s="3" t="n">
        <v>1.078</v>
      </c>
      <c r="F2538" s="3" t="inlineStr">
        <is>
          <t>GW</t>
        </is>
      </c>
      <c r="G2538" s="3" t="inlineStr">
        <is>
          <t>Derived formula</t>
        </is>
      </c>
      <c r="H2538" s="3" t="inlineStr">
        <is>
          <t>it_load_gw * ai_workload_share</t>
        </is>
      </c>
      <c r="I2538" s="3" t="inlineStr">
        <is>
          <t>Only the AI-attributed portion of IT load enters training/inference allocation.</t>
        </is>
      </c>
      <c r="J2538" s="3" t="inlineStr">
        <is>
          <t>SRC_OPENAI_GPT41_DOCS; SRC_OPENAI_STARGATE_ORACLE; SRC_OPENAI_STARGATE_PROGRESS; SRC_EPOCH_AI_DATA_CENTERS</t>
        </is>
      </c>
      <c r="K2538" s="3" t="inlineStr">
        <is>
          <t>ASSUMP_STARGATE_RAMP; ASSUMP_MS_OPENAI_ATTRIBUTION; ASSUMP_NUMERIC_ACCELERATOR_MIX; ASSUMP_INFERENCE_SHARE_NOT_FACT_60; ASSUMP_WORKLOAD_CLASS_MIX; ASSUMP_AGENTIC_CONTEXT_PENALTY</t>
        </is>
      </c>
      <c r="L2538" s="3" t="inlineStr">
        <is>
          <t>Recompute after ai_workload_share is replaced by telemetry.</t>
        </is>
      </c>
    </row>
    <row r="2539">
      <c r="A2539" s="3" t="inlineStr">
        <is>
          <t>OpenAI</t>
        </is>
      </c>
      <c r="B2539" s="3" t="n">
        <v>2026</v>
      </c>
      <c r="C2539" s="3" t="inlineStr">
        <is>
          <t>Bull</t>
        </is>
      </c>
      <c r="D2539" s="3" t="inlineStr">
        <is>
          <t>gpu_share</t>
        </is>
      </c>
      <c r="E2539" s="3" t="n">
        <v>1</v>
      </c>
      <c r="F2539" s="3" t="inlineStr">
        <is>
          <t>share of inference-serving accelerator load</t>
        </is>
      </c>
      <c r="G2539" s="3" t="inlineStr">
        <is>
          <t>Numeric scenario</t>
        </is>
      </c>
      <c r="H2539" s="3" t="inlineStr">
        <is>
          <t>gpu_share interpolated from company 2026/2030 accelerator-mix endpoints</t>
        </is>
      </c>
      <c r="I2539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539" s="3" t="inlineStr">
        <is>
          <t>SRC_OPENAI_GPT41_DOCS; SRC_OPENAI_STARGATE_ORACLE; SRC_OPENAI_STARGATE_PROGRESS; SRC_EPOCH_AI_DATA_CENTERS; ASSUMP_NUMERIC_ACCELERATOR_MIX</t>
        </is>
      </c>
      <c r="K2539" s="3" t="inlineStr">
        <is>
          <t>ASSUMP_STARGATE_RAMP; ASSUMP_MS_OPENAI_ATTRIBUTION; ASSUMP_NUMERIC_ACCELERATOR_MIX; ASSUMP_INFERENCE_SHARE_NOT_FACT_60; ASSUMP_WORKLOAD_CLASS_MIX; ASSUMP_AGENTIC_CONTEXT_PENALTY</t>
        </is>
      </c>
      <c r="L2539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540">
      <c r="A2540" s="3" t="inlineStr">
        <is>
          <t>OpenAI</t>
        </is>
      </c>
      <c r="B2540" s="3" t="n">
        <v>2026</v>
      </c>
      <c r="C2540" s="3" t="inlineStr">
        <is>
          <t>Bull</t>
        </is>
      </c>
      <c r="D2540" s="3" t="inlineStr">
        <is>
          <t>h200_share</t>
        </is>
      </c>
      <c r="E2540" s="3" t="n">
        <v>0.08550199999999999</v>
      </c>
      <c r="F2540" s="3" t="inlineStr">
        <is>
          <t>share of inference-serving accelerator load</t>
        </is>
      </c>
      <c r="G2540" s="3" t="inlineStr">
        <is>
          <t>Editable numeric scenario</t>
        </is>
      </c>
      <c r="H2540" s="3" t="inlineStr">
        <is>
          <t>h200_share = gpu_share * default_gpu_generation_mix_h200</t>
        </is>
      </c>
      <c r="I2540" s="3" t="inlineStr">
        <is>
          <t>Default GPU-generation migration assumption; executive workbook allows later manual replacement by company/year/scenario.</t>
        </is>
      </c>
      <c r="J2540" s="3" t="inlineStr">
        <is>
          <t>SRC_SEMIANALYSIS_INFERENCEX; ASSUMP_NUMERIC_ACCELERATOR_MIX</t>
        </is>
      </c>
      <c r="K2540" s="3" t="inlineStr">
        <is>
          <t>ASSUMP_STARGATE_RAMP; ASSUMP_MS_OPENAI_ATTRIBUTION; ASSUMP_NUMERIC_ACCELERATOR_MIX; ASSUMP_INFERENCE_SHARE_NOT_FACT_60; ASSUMP_WORKLOAD_CLASS_MIX; ASSUMP_AGENTIC_CONTEXT_PENALTY</t>
        </is>
      </c>
      <c r="L2540" s="3" t="inlineStr">
        <is>
          <t>Company fleet inventory, accelerator-hours or procurement/deployment records by GPU generation.</t>
        </is>
      </c>
    </row>
    <row r="2541">
      <c r="A2541" s="3" t="inlineStr">
        <is>
          <t>OpenAI</t>
        </is>
      </c>
      <c r="B2541" s="3" t="n">
        <v>2026</v>
      </c>
      <c r="C2541" s="3" t="inlineStr">
        <is>
          <t>Bull</t>
        </is>
      </c>
      <c r="D2541" s="3" t="inlineStr">
        <is>
          <t>b200_share</t>
        </is>
      </c>
      <c r="E2541" s="3" t="n">
        <v>0.914498</v>
      </c>
      <c r="F2541" s="3" t="inlineStr">
        <is>
          <t>share of inference-serving accelerator load</t>
        </is>
      </c>
      <c r="G2541" s="3" t="inlineStr">
        <is>
          <t>Editable numeric scenario</t>
        </is>
      </c>
      <c r="H2541" s="3" t="inlineStr">
        <is>
          <t>b200_share = gpu_share * default_gpu_generation_mix_b200</t>
        </is>
      </c>
      <c r="I2541" s="3" t="inlineStr">
        <is>
          <t>Default GPU-generation migration assumption; executive workbook allows later manual replacement by company/year/scenario.</t>
        </is>
      </c>
      <c r="J2541" s="3" t="inlineStr">
        <is>
          <t>SRC_SEMIANALYSIS_INFERENCEX; ASSUMP_NUMERIC_ACCELERATOR_MIX</t>
        </is>
      </c>
      <c r="K2541" s="3" t="inlineStr">
        <is>
          <t>ASSUMP_STARGATE_RAMP; ASSUMP_MS_OPENAI_ATTRIBUTION; ASSUMP_NUMERIC_ACCELERATOR_MIX; ASSUMP_INFERENCE_SHARE_NOT_FACT_60; ASSUMP_WORKLOAD_CLASS_MIX; ASSUMP_AGENTIC_CONTEXT_PENALTY</t>
        </is>
      </c>
      <c r="L2541" s="3" t="inlineStr">
        <is>
          <t>Company fleet inventory, accelerator-hours or procurement/deployment records by GPU generation.</t>
        </is>
      </c>
    </row>
    <row r="2542">
      <c r="A2542" s="3" t="inlineStr">
        <is>
          <t>OpenAI</t>
        </is>
      </c>
      <c r="B2542" s="3" t="n">
        <v>2026</v>
      </c>
      <c r="C2542" s="3" t="inlineStr">
        <is>
          <t>Bull</t>
        </is>
      </c>
      <c r="D2542" s="3" t="inlineStr">
        <is>
          <t>gb200_share</t>
        </is>
      </c>
      <c r="E2542" s="3" t="n">
        <v>0</v>
      </c>
      <c r="F2542" s="3" t="inlineStr">
        <is>
          <t>share of inference-serving accelerator load</t>
        </is>
      </c>
      <c r="G2542" s="3" t="inlineStr">
        <is>
          <t>Editable numeric scenario</t>
        </is>
      </c>
      <c r="H2542" s="3" t="inlineStr">
        <is>
          <t>gb200_share = gpu_share * default_gpu_generation_mix_gb200</t>
        </is>
      </c>
      <c r="I2542" s="3" t="inlineStr">
        <is>
          <t>Default GPU-generation migration assumption; executive workbook allows later manual replacement by company/year/scenario.</t>
        </is>
      </c>
      <c r="J2542" s="3" t="inlineStr">
        <is>
          <t>SRC_SEMIANALYSIS_INFERENCEX; ASSUMP_NUMERIC_ACCELERATOR_MIX</t>
        </is>
      </c>
      <c r="K2542" s="3" t="inlineStr">
        <is>
          <t>ASSUMP_STARGATE_RAMP; ASSUMP_MS_OPENAI_ATTRIBUTION; ASSUMP_NUMERIC_ACCELERATOR_MIX; ASSUMP_INFERENCE_SHARE_NOT_FACT_60; ASSUMP_WORKLOAD_CLASS_MIX; ASSUMP_AGENTIC_CONTEXT_PENALTY</t>
        </is>
      </c>
      <c r="L2542" s="3" t="inlineStr">
        <is>
          <t>Company fleet inventory, accelerator-hours or procurement/deployment records by GPU generation.</t>
        </is>
      </c>
    </row>
    <row r="2543">
      <c r="A2543" s="3" t="inlineStr">
        <is>
          <t>OpenAI</t>
        </is>
      </c>
      <c r="B2543" s="3" t="n">
        <v>2026</v>
      </c>
      <c r="C2543" s="3" t="inlineStr">
        <is>
          <t>Bull</t>
        </is>
      </c>
      <c r="D2543" s="3" t="inlineStr">
        <is>
          <t>purpose_built_accelerator_share</t>
        </is>
      </c>
      <c r="E2543" s="3" t="n">
        <v>0</v>
      </c>
      <c r="F2543" s="3" t="inlineStr">
        <is>
          <t>share of inference-serving accelerator load</t>
        </is>
      </c>
      <c r="G2543" s="3" t="inlineStr">
        <is>
          <t>Numeric scenario</t>
        </is>
      </c>
      <c r="H2543" s="3" t="inlineStr">
        <is>
          <t>1 - gpu_share</t>
        </is>
      </c>
      <c r="I2543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543" s="3" t="inlineStr">
        <is>
          <t>SRC_OPENAI_GPT41_DOCS; SRC_OPENAI_STARGATE_ORACLE; SRC_OPENAI_STARGATE_PROGRESS; SRC_EPOCH_AI_DATA_CENTERS; ASSUMP_NUMERIC_ACCELERATOR_MIX</t>
        </is>
      </c>
      <c r="K2543" s="3" t="inlineStr">
        <is>
          <t>ASSUMP_STARGATE_RAMP; ASSUMP_MS_OPENAI_ATTRIBUTION; ASSUMP_NUMERIC_ACCELERATOR_MIX; ASSUMP_INFERENCE_SHARE_NOT_FACT_60; ASSUMP_WORKLOAD_CLASS_MIX; ASSUMP_AGENTIC_CONTEXT_PENALTY</t>
        </is>
      </c>
      <c r="L2543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544">
      <c r="A2544" s="3" t="inlineStr">
        <is>
          <t>OpenAI</t>
        </is>
      </c>
      <c r="B2544" s="3" t="n">
        <v>2026</v>
      </c>
      <c r="C2544" s="3" t="inlineStr">
        <is>
          <t>Bull</t>
        </is>
      </c>
      <c r="D2544" s="3" t="inlineStr">
        <is>
          <t>fleet_reference_tps_per_mw</t>
        </is>
      </c>
      <c r="E2544" s="3" t="n">
        <v>216550</v>
      </c>
      <c r="F2544" s="3" t="inlineStr">
        <is>
          <t>generated output tokens/sec/MW</t>
        </is>
      </c>
      <c r="G2544" s="3" t="inlineStr">
        <is>
          <t>Fleet-weighted public benchmark reference</t>
        </is>
      </c>
      <c r="H2544" s="3" t="inlineStr">
        <is>
          <t>h200_share*h200_workload_avg + b200_share*b200_workload_avg + gb200_share*gb200_workload_avg + purpose_built_share*purpose_workload_avg</t>
        </is>
      </c>
      <c r="I254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44" s="3" t="inlineStr">
        <is>
          <t>SRC_SEMIANALYSIS_INFERENCEX; ASSUMP_NUMERIC_ACCELERATOR_MIX; ASSUMP_WORKLOAD_CLASS_MIX; ASSUMP_AGENTIC_CONTEXT_PENALTY</t>
        </is>
      </c>
      <c r="K2544" s="3" t="inlineStr">
        <is>
          <t>ASSUMP_STARGATE_RAMP; ASSUMP_MS_OPENAI_ATTRIBUTION; ASSUMP_NUMERIC_ACCELERATOR_MIX; ASSUMP_INFERENCE_SHARE_NOT_FACT_60; ASSUMP_WORKLOAD_CLASS_MIX; ASSUMP_AGENTIC_CONTEXT_PENALTY</t>
        </is>
      </c>
      <c r="L2544" s="3" t="inlineStr">
        <is>
          <t>Comparable production output-token throughput or a more closely matched benchmark.</t>
        </is>
      </c>
    </row>
    <row r="2545">
      <c r="A2545" s="3" t="inlineStr">
        <is>
          <t>OpenAI</t>
        </is>
      </c>
      <c r="B2545" s="3" t="n">
        <v>2026</v>
      </c>
      <c r="C2545" s="3" t="inlineStr">
        <is>
          <t>Bull</t>
        </is>
      </c>
      <c r="D2545" s="3" t="inlineStr">
        <is>
          <t>commercial_workload_fit_factor</t>
        </is>
      </c>
      <c r="E2545" s="3" t="n">
        <v>0.7</v>
      </c>
      <c r="F2545" s="3" t="inlineStr">
        <is>
          <t>share of public reference throughput</t>
        </is>
      </c>
      <c r="G2545" s="3" t="inlineStr">
        <is>
          <t>Scenario assumption</t>
        </is>
      </c>
      <c r="H2545" s="3" t="inlineStr">
        <is>
          <t>reference_serving_tps_per_mw = fleet_reference_tps_per_mw * commercial_workload_fit_factor</t>
        </is>
      </c>
      <c r="I2545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45" s="3" t="inlineStr">
        <is>
          <t>SRC_SEMIANALYSIS_INFERENCEX; ASSUMP_NUMERIC_ACCELERATOR_MIX; ASSUMP_WORKLOAD_CLASS_MIX; ASSUMP_AGENTIC_CONTEXT_PENALTY</t>
        </is>
      </c>
      <c r="K2545" s="3" t="inlineStr">
        <is>
          <t>ASSUMP_STARGATE_RAMP; ASSUMP_MS_OPENAI_ATTRIBUTION; ASSUMP_NUMERIC_ACCELERATOR_MIX; ASSUMP_INFERENCE_SHARE_NOT_FACT_60; ASSUMP_WORKLOAD_CLASS_MIX; ASSUMP_AGENTIC_CONTEXT_PENALTY</t>
        </is>
      </c>
      <c r="L2545" s="3" t="inlineStr">
        <is>
          <t>Matched commercial serving benchmark by product surface, context shape and latency SLO.</t>
        </is>
      </c>
    </row>
    <row r="2546">
      <c r="A2546" s="3" t="inlineStr">
        <is>
          <t>OpenAI</t>
        </is>
      </c>
      <c r="B2546" s="3" t="n">
        <v>2026</v>
      </c>
      <c r="C2546" s="3" t="inlineStr">
        <is>
          <t>Bull</t>
        </is>
      </c>
      <c r="D2546" s="3" t="inlineStr">
        <is>
          <t>reference_serving_tps_per_mw</t>
        </is>
      </c>
      <c r="E2546" s="3" t="n">
        <v>151585</v>
      </c>
      <c r="F2546" s="3" t="inlineStr">
        <is>
          <t>generated output tokens/sec/MW</t>
        </is>
      </c>
      <c r="G2546" s="3" t="inlineStr">
        <is>
          <t>Workload-adjusted benchmark proxy</t>
        </is>
      </c>
      <c r="H2546" s="3" t="inlineStr">
        <is>
          <t>fleet_reference_tps_per_mw * commercial_workload_fit_factor</t>
        </is>
      </c>
      <c r="I2546" s="3" t="inlineStr">
        <is>
          <t>This is the coefficient used for headline token generation; each GPU's short chat, long chat and agentic TPS/MW are weighted before fleet mix and commercial fit are applied.</t>
        </is>
      </c>
      <c r="J2546" s="3" t="inlineStr">
        <is>
          <t>SRC_SEMIANALYSIS_INFERENCEX; ASSUMP_NUMERIC_ACCELERATOR_MIX; ASSUMP_WORKLOAD_CLASS_MIX; ASSUMP_AGENTIC_CONTEXT_PENALTY</t>
        </is>
      </c>
      <c r="K2546" s="3" t="inlineStr">
        <is>
          <t>ASSUMP_STARGATE_RAMP; ASSUMP_MS_OPENAI_ATTRIBUTION; ASSUMP_NUMERIC_ACCELERATOR_MIX; ASSUMP_INFERENCE_SHARE_NOT_FACT_60; ASSUMP_WORKLOAD_CLASS_MIX; ASSUMP_AGENTIC_CONTEXT_PENALTY</t>
        </is>
      </c>
      <c r="L2546" s="3" t="inlineStr">
        <is>
          <t>Provider production output-token throughput with comparable workload/SLO.</t>
        </is>
      </c>
    </row>
    <row r="2547">
      <c r="A2547" s="3" t="inlineStr">
        <is>
          <t>OpenAI</t>
        </is>
      </c>
      <c r="B2547" s="3" t="n">
        <v>2026</v>
      </c>
      <c r="C2547" s="3" t="inlineStr">
        <is>
          <t>Bull</t>
        </is>
      </c>
      <c r="D2547" s="3" t="inlineStr">
        <is>
          <t>purpose_built_tps_per_mw</t>
        </is>
      </c>
      <c r="E2547" s="3" t="n">
        <v>94714</v>
      </c>
      <c r="F2547" s="3" t="inlineStr">
        <is>
          <t>generated output tokens/sec/MW</t>
        </is>
      </c>
      <c r="G2547" s="3" t="inlineStr">
        <is>
          <t>Conservative no-uplift proxy</t>
        </is>
      </c>
      <c r="H2547" s="3" t="inlineStr">
        <is>
          <t>purpose_built_tps_per_mw = purpose_built_reference_tps_per_mw * commercial_workload_fit_factor until comparable output-token benchmark is adopted</t>
        </is>
      </c>
      <c r="I2547" s="3" t="inlineStr">
        <is>
          <t>No comparable public output-token/MW row adopted; B200 public reference placeholder is used and remains editable.</t>
        </is>
      </c>
      <c r="J2547" s="3" t="inlineStr">
        <is>
          <t>SRC_OPENAI_GPT41_DOCS; SRC_OPENAI_STARGATE_ORACLE; SRC_OPENAI_STARGATE_PROGRESS; SRC_EPOCH_AI_DATA_CENTERS; ASSUMP_NUMERIC_ACCELERATOR_MIX</t>
        </is>
      </c>
      <c r="K2547" s="3" t="inlineStr">
        <is>
          <t>ASSUMP_STARGATE_RAMP; ASSUMP_MS_OPENAI_ATTRIBUTION; ASSUMP_NUMERIC_ACCELERATOR_MIX; ASSUMP_INFERENCE_SHARE_NOT_FACT_60; ASSUMP_WORKLOAD_CLASS_MIX; ASSUMP_AGENTIC_CONTEXT_PENALTY</t>
        </is>
      </c>
      <c r="L2547" s="3" t="inlineStr">
        <is>
          <t>Matched-workload generated-output benchmark for the provider purpose-built accelerator.</t>
        </is>
      </c>
    </row>
    <row r="2548">
      <c r="A2548" s="3" t="inlineStr">
        <is>
          <t>OpenAI</t>
        </is>
      </c>
      <c r="B2548" s="3" t="n">
        <v>2026</v>
      </c>
      <c r="C2548" s="3" t="inlineStr">
        <is>
          <t>Bull</t>
        </is>
      </c>
      <c r="D2548" s="3" t="inlineStr">
        <is>
          <t>inference_power_share</t>
        </is>
      </c>
      <c r="E2548" s="3" t="n">
        <v>0.63</v>
      </c>
      <c r="F2548" s="3" t="inlineStr">
        <is>
          <t>share of AI IT load</t>
        </is>
      </c>
      <c r="G2548" s="3" t="inlineStr">
        <is>
          <t>Scenario allocation</t>
        </is>
      </c>
      <c r="H2548" s="3" t="inlineStr">
        <is>
          <t>inference_gw = ai_it_load_gw * inference_power_share</t>
        </is>
      </c>
      <c r="I2548" s="3" t="inlineStr">
        <is>
          <t>ChatGPT/API/enterprise commercial surfaces support increasing inference allocation while training remains material.</t>
        </is>
      </c>
      <c r="J2548" s="3" t="inlineStr">
        <is>
          <t>SRC_OPENAI_GPT41_DOCS; SRC_OPENAI_STARGATE_ORACLE; SRC_OPENAI_STARGATE_PROGRESS; SRC_EPOCH_AI_DATA_CENTERS; ASSUMP_INFERENCE_SHARE_NOT_FACT_60</t>
        </is>
      </c>
      <c r="K2548" s="3" t="inlineStr">
        <is>
          <t>ASSUMP_STARGATE_RAMP; ASSUMP_MS_OPENAI_ATTRIBUTION; ASSUMP_NUMERIC_ACCELERATOR_MIX; ASSUMP_INFERENCE_SHARE_NOT_FACT_60; ASSUMP_WORKLOAD_CLASS_MIX; ASSUMP_AGENTIC_CONTEXT_PENALTY</t>
        </is>
      </c>
      <c r="L2548" s="3" t="inlineStr">
        <is>
          <t>Provider-specific inference/training workload power telemetry.</t>
        </is>
      </c>
    </row>
    <row r="2549">
      <c r="A2549" s="3" t="inlineStr">
        <is>
          <t>OpenAI</t>
        </is>
      </c>
      <c r="B2549" s="3" t="n">
        <v>2026</v>
      </c>
      <c r="C2549" s="3" t="inlineStr">
        <is>
          <t>Bull</t>
        </is>
      </c>
      <c r="D2549" s="3" t="inlineStr">
        <is>
          <t>inference_gw</t>
        </is>
      </c>
      <c r="E2549" s="3" t="n">
        <v>0.679</v>
      </c>
      <c r="F2549" s="3" t="inlineStr">
        <is>
          <t>GW</t>
        </is>
      </c>
      <c r="G2549" s="3" t="inlineStr">
        <is>
          <t>Derived formula</t>
        </is>
      </c>
      <c r="H2549" s="3" t="inlineStr">
        <is>
          <t>ai_it_load_gw * inference_power_share</t>
        </is>
      </c>
      <c r="I2549" s="3" t="inlineStr">
        <is>
          <t>This is the operational power eligible to become commercial generated output tokens through the selected TPS/MW proxy.</t>
        </is>
      </c>
      <c r="J2549" s="3" t="inlineStr">
        <is>
          <t>SRC_OPENAI_GPT41_DOCS; SRC_OPENAI_STARGATE_ORACLE; SRC_OPENAI_STARGATE_PROGRESS; SRC_EPOCH_AI_DATA_CENTERS</t>
        </is>
      </c>
      <c r="K2549" s="3" t="inlineStr">
        <is>
          <t>ASSUMP_STARGATE_RAMP; ASSUMP_MS_OPENAI_ATTRIBUTION; ASSUMP_NUMERIC_ACCELERATOR_MIX; ASSUMP_INFERENCE_SHARE_NOT_FACT_60; ASSUMP_WORKLOAD_CLASS_MIX; ASSUMP_AGENTIC_CONTEXT_PENALTY</t>
        </is>
      </c>
      <c r="L2549" s="3" t="inlineStr">
        <is>
          <t>Recompute after AI allocation or inference-share evidence changes.</t>
        </is>
      </c>
    </row>
    <row r="2550">
      <c r="A2550" s="3" t="inlineStr">
        <is>
          <t>OpenAI</t>
        </is>
      </c>
      <c r="B2550" s="3" t="n">
        <v>2026</v>
      </c>
      <c r="C2550" s="3" t="inlineStr">
        <is>
          <t>Bull</t>
        </is>
      </c>
      <c r="D2550" s="3" t="inlineStr">
        <is>
          <t>training_power_share</t>
        </is>
      </c>
      <c r="E2550" s="3" t="n">
        <v>0.37</v>
      </c>
      <c r="F2550" s="3" t="inlineStr">
        <is>
          <t>share of AI IT load</t>
        </is>
      </c>
      <c r="G2550" s="3" t="inlineStr">
        <is>
          <t>Derived allocation</t>
        </is>
      </c>
      <c r="H2550" s="3" t="inlineStr">
        <is>
          <t>1 - inference_power_share</t>
        </is>
      </c>
      <c r="I2550" s="3" t="inlineStr">
        <is>
          <t>Training receives the complementary modeled AI IT allocation; it is not a disclosed company workload split.</t>
        </is>
      </c>
      <c r="J2550" s="3" t="inlineStr">
        <is>
          <t>SRC_OPENAI_GPT41_DOCS; SRC_OPENAI_STARGATE_ORACLE; SRC_OPENAI_STARGATE_PROGRESS; SRC_EPOCH_AI_DATA_CENTERS; ASSUMP_INFERENCE_SHARE_NOT_FACT_60</t>
        </is>
      </c>
      <c r="K2550" s="3" t="inlineStr">
        <is>
          <t>ASSUMP_STARGATE_RAMP; ASSUMP_MS_OPENAI_ATTRIBUTION; ASSUMP_NUMERIC_ACCELERATOR_MIX; ASSUMP_INFERENCE_SHARE_NOT_FACT_60; ASSUMP_WORKLOAD_CLASS_MIX; ASSUMP_AGENTIC_CONTEXT_PENALTY</t>
        </is>
      </c>
      <c r="L2550" s="3" t="inlineStr">
        <is>
          <t>Provider-specific inference/training workload power telemetry.</t>
        </is>
      </c>
    </row>
    <row r="2551">
      <c r="A2551" s="3" t="inlineStr">
        <is>
          <t>OpenAI</t>
        </is>
      </c>
      <c r="B2551" s="3" t="n">
        <v>2026</v>
      </c>
      <c r="C2551" s="3" t="inlineStr">
        <is>
          <t>Bull</t>
        </is>
      </c>
      <c r="D2551" s="3" t="inlineStr">
        <is>
          <t>training_gw</t>
        </is>
      </c>
      <c r="E2551" s="3" t="n">
        <v>0.399</v>
      </c>
      <c r="F2551" s="3" t="inlineStr">
        <is>
          <t>GW</t>
        </is>
      </c>
      <c r="G2551" s="3" t="inlineStr">
        <is>
          <t>Derived formula</t>
        </is>
      </c>
      <c r="H2551" s="3" t="inlineStr">
        <is>
          <t>ai_it_load_gw * training_power_share</t>
        </is>
      </c>
      <c r="I2551" s="3" t="inlineStr">
        <is>
          <t>Training GW is shown separately so commercial inference token capacity is not overstated.</t>
        </is>
      </c>
      <c r="J2551" s="3" t="inlineStr">
        <is>
          <t>SRC_OPENAI_GPT41_DOCS; SRC_OPENAI_STARGATE_ORACLE; SRC_OPENAI_STARGATE_PROGRESS; SRC_EPOCH_AI_DATA_CENTERS</t>
        </is>
      </c>
      <c r="K2551" s="3" t="inlineStr">
        <is>
          <t>ASSUMP_STARGATE_RAMP; ASSUMP_MS_OPENAI_ATTRIBUTION; ASSUMP_NUMERIC_ACCELERATOR_MIX; ASSUMP_INFERENCE_SHARE_NOT_FACT_60; ASSUMP_WORKLOAD_CLASS_MIX; ASSUMP_AGENTIC_CONTEXT_PENALTY</t>
        </is>
      </c>
      <c r="L2551" s="3" t="inlineStr">
        <is>
          <t>Recompute after AI allocation or workload-split evidence changes.</t>
        </is>
      </c>
    </row>
    <row r="2552">
      <c r="A2552" s="3" t="inlineStr">
        <is>
          <t>OpenAI</t>
        </is>
      </c>
      <c r="B2552" s="3" t="n">
        <v>2026</v>
      </c>
      <c r="C2552" s="3" t="inlineStr">
        <is>
          <t>Bull</t>
        </is>
      </c>
      <c r="D2552" s="3" t="inlineStr">
        <is>
          <t>tokens_per_second_per_mw</t>
        </is>
      </c>
      <c r="E2552" s="3" t="n">
        <v>151585</v>
      </c>
      <c r="F2552" s="3" t="inlineStr">
        <is>
          <t>generated output tokens/sec/MW</t>
        </is>
      </c>
      <c r="G2552" s="3" t="inlineStr">
        <is>
          <t>Derived estimate + benchmark calibration</t>
        </is>
      </c>
      <c r="H2552" s="3" t="inlineStr">
        <is>
          <t>fleet_reference_tps_per_mw * commercial_workload_fit_factor</t>
        </is>
      </c>
      <c r="I2552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52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552" s="3" t="inlineStr">
        <is>
          <t>ASSUMP_STARGATE_RAMP; ASSUMP_MS_OPENAI_ATTRIBUTION; ASSUMP_NUMERIC_ACCELERATOR_MIX; ASSUMP_INFERENCE_SHARE_NOT_FACT_60; ASSUMP_WORKLOAD_CLASS_MIX; ASSUMP_AGENTIC_CONTEXT_PENALTY</t>
        </is>
      </c>
      <c r="L2552" s="3" t="inlineStr">
        <is>
          <t>Comparable production output-token throughput with model, hardware, precision, ISL/OSL and SLO matched.</t>
        </is>
      </c>
    </row>
    <row r="2553">
      <c r="A2553" s="3" t="inlineStr">
        <is>
          <t>OpenAI</t>
        </is>
      </c>
      <c r="B2553" s="3" t="n">
        <v>2026</v>
      </c>
      <c r="C2553" s="3" t="inlineStr">
        <is>
          <t>Bull</t>
        </is>
      </c>
      <c r="D2553" s="3" t="inlineStr">
        <is>
          <t>inference_tokens_per_day</t>
        </is>
      </c>
      <c r="E2553" s="3" t="n">
        <v>8892824976000</v>
      </c>
      <c r="F2553" s="3" t="inlineStr">
        <is>
          <t>generated output tokens/day</t>
        </is>
      </c>
      <c r="G2553" s="3" t="inlineStr">
        <is>
          <t>Derived headline metric</t>
        </is>
      </c>
      <c r="H2553" s="3" t="inlineStr">
        <is>
          <t>inference_gw * 1000 * tokens_per_second_per_mw * 86,400</t>
        </is>
      </c>
      <c r="I2553" s="3" t="inlineStr">
        <is>
          <t>Headline capacity uses no utilization, MoE, architecture or software-growth multiplier; it is not observed commercial output volume.</t>
        </is>
      </c>
      <c r="J2553" s="3" t="inlineStr">
        <is>
          <t>SRC_OPENAI_GPT41_DOCS; SRC_OPENAI_STARGATE_ORACLE; SRC_OPENAI_STARGATE_PROGRESS; SRC_EPOCH_AI_DATA_CENTERS; SRC_SEMIANALYSIS_INFERENCEX</t>
        </is>
      </c>
      <c r="K2553" s="3" t="inlineStr">
        <is>
          <t>ASSUMP_STARGATE_RAMP; ASSUMP_MS_OPENAI_ATTRIBUTION; ASSUMP_NUMERIC_ACCELERATOR_MIX; ASSUMP_INFERENCE_SHARE_NOT_FACT_60; ASSUMP_WORKLOAD_CLASS_MIX; ASSUMP_AGENTIC_CONTEXT_PENALTY</t>
        </is>
      </c>
      <c r="L2553" s="3" t="inlineStr">
        <is>
          <t>Provider-disclosed generated output token volume or calibrated capacity telemetry.</t>
        </is>
      </c>
    </row>
    <row r="2554">
      <c r="A2554" s="3" t="inlineStr">
        <is>
          <t>OpenAI</t>
        </is>
      </c>
      <c r="B2554" s="3" t="n">
        <v>2026</v>
      </c>
      <c r="C2554" s="3" t="inlineStr">
        <is>
          <t>Bull</t>
        </is>
      </c>
      <c r="D2554" s="3" t="inlineStr">
        <is>
          <t>inference_tokens_per_year</t>
        </is>
      </c>
      <c r="E2554" s="3" t="n">
        <v>3245881116240000</v>
      </c>
      <c r="F2554" s="3" t="inlineStr">
        <is>
          <t>generated output tokens/year</t>
        </is>
      </c>
      <c r="G2554" s="3" t="inlineStr">
        <is>
          <t>Derived headline metric</t>
        </is>
      </c>
      <c r="H2554" s="3" t="inlineStr">
        <is>
          <t>inference_tokens_per_day * 365</t>
        </is>
      </c>
      <c r="I2554" s="3" t="inlineStr">
        <is>
          <t>Annualized version of generated output token capacity; it is not observed annual demand or billable volume.</t>
        </is>
      </c>
      <c r="J2554" s="3" t="inlineStr">
        <is>
          <t>SRC_OPENAI_GPT41_DOCS; SRC_OPENAI_STARGATE_ORACLE; SRC_OPENAI_STARGATE_PROGRESS; SRC_EPOCH_AI_DATA_CENTERS; SRC_SEMIANALYSIS_INFERENCEX</t>
        </is>
      </c>
      <c r="K2554" s="3" t="inlineStr">
        <is>
          <t>ASSUMP_STARGATE_RAMP; ASSUMP_MS_OPENAI_ATTRIBUTION; ASSUMP_NUMERIC_ACCELERATOR_MIX; ASSUMP_INFERENCE_SHARE_NOT_FACT_60; ASSUMP_WORKLOAD_CLASS_MIX; ASSUMP_AGENTIC_CONTEXT_PENALTY</t>
        </is>
      </c>
      <c r="L2554" s="3" t="inlineStr">
        <is>
          <t>Provider-disclosed annual generated-output volume or metered serving telemetry.</t>
        </is>
      </c>
    </row>
    <row r="2555">
      <c r="A2555" s="3" t="inlineStr">
        <is>
          <t>OpenAI</t>
        </is>
      </c>
      <c r="B2555" s="3" t="n">
        <v>2027</v>
      </c>
      <c r="C2555" s="3" t="inlineStr">
        <is>
          <t>Bull</t>
        </is>
      </c>
      <c r="D2555" s="3" t="inlineStr">
        <is>
          <t>contracted_power_gw</t>
        </is>
      </c>
      <c r="E2555" s="3" t="n">
        <v>6.75</v>
      </c>
      <c r="F2555" s="3" t="inlineStr">
        <is>
          <t>GW</t>
        </is>
      </c>
      <c r="G2555" s="3" t="inlineStr">
        <is>
          <t>Fact anchor + scenario ceiling</t>
        </is>
      </c>
      <c r="H2555" s="3" t="inlineStr">
        <is>
          <t>linear interpolation between 2026 and 2030 company capacity endpoints</t>
        </is>
      </c>
      <c r="I2555" s="3" t="inlineStr">
        <is>
          <t>2030 envelope is bounded by official Stargate planned/committed capacity; 2026 and timing remain staged scenario values.</t>
        </is>
      </c>
      <c r="J2555" s="3" t="inlineStr">
        <is>
          <t>SRC_OPENAI_STARGATE_ORACLE; SRC_OPENAI_STARGATE_PROGRESS; ASSUMP_STARGATE_RAMP</t>
        </is>
      </c>
      <c r="K2555" s="3" t="inlineStr">
        <is>
          <t>ASSUMP_STARGATE_RAMP; ASSUMP_MS_OPENAI_ATTRIBUTION; ASSUMP_NUMERIC_ACCELERATOR_MIX; ASSUMP_INFERENCE_SHARE_NOT_FACT_60; ASSUMP_WORKLOAD_CLASS_MIX; ASSUMP_AGENTIC_CONTEXT_PENALTY</t>
        </is>
      </c>
      <c r="L2555" s="3" t="inlineStr">
        <is>
          <t>Company/site-level committed MW/GW, interconnect and contract disclosure.</t>
        </is>
      </c>
    </row>
    <row r="2556">
      <c r="A2556" s="3" t="inlineStr">
        <is>
          <t>OpenAI</t>
        </is>
      </c>
      <c r="B2556" s="3" t="n">
        <v>2027</v>
      </c>
      <c r="C2556" s="3" t="inlineStr">
        <is>
          <t>Bull</t>
        </is>
      </c>
      <c r="D2556" s="3" t="inlineStr">
        <is>
          <t>operational_deployment_share</t>
        </is>
      </c>
      <c r="E2556" s="3" t="n">
        <v>0.50918519</v>
      </c>
      <c r="F2556" s="3" t="inlineStr">
        <is>
          <t>share</t>
        </is>
      </c>
      <c r="G2556" s="3" t="inlineStr">
        <is>
          <t>Scenario conversion</t>
        </is>
      </c>
      <c r="H2556" s="3" t="inlineStr">
        <is>
          <t>active_power_gw / contracted_power_gw</t>
        </is>
      </c>
      <c r="I2556" s="3" t="inlineStr">
        <is>
          <t>This is the single explicit conversion from contracted/attributed capacity to operationally usable capacity.</t>
        </is>
      </c>
      <c r="J2556" s="3" t="inlineStr">
        <is>
          <t>SRC_OPENAI_STARGATE_ORACLE; SRC_OPENAI_STARGATE_PROGRESS; ASSUMP_STARGATE_RAMP</t>
        </is>
      </c>
      <c r="K2556" s="3" t="inlineStr">
        <is>
          <t>ASSUMP_STARGATE_RAMP; ASSUMP_MS_OPENAI_ATTRIBUTION; ASSUMP_NUMERIC_ACCELERATOR_MIX; ASSUMP_INFERENCE_SHARE_NOT_FACT_60; ASSUMP_WORKLOAD_CLASS_MIX; ASSUMP_AGENTIC_CONTEXT_PENALTY</t>
        </is>
      </c>
      <c r="L2556" s="3" t="inlineStr">
        <is>
          <t>Energized operational capacity divided by contracted/attributed capacity.</t>
        </is>
      </c>
    </row>
    <row r="2557">
      <c r="A2557" s="3" t="inlineStr">
        <is>
          <t>OpenAI</t>
        </is>
      </c>
      <c r="B2557" s="3" t="n">
        <v>2027</v>
      </c>
      <c r="C2557" s="3" t="inlineStr">
        <is>
          <t>Bull</t>
        </is>
      </c>
      <c r="D2557" s="3" t="inlineStr">
        <is>
          <t>active_power_gw</t>
        </is>
      </c>
      <c r="E2557" s="3" t="n">
        <v>3.437</v>
      </c>
      <c r="F2557" s="3" t="inlineStr">
        <is>
          <t>GW</t>
        </is>
      </c>
      <c r="G2557" s="3" t="inlineStr">
        <is>
          <t>Derived scenario</t>
        </is>
      </c>
      <c r="H2557" s="3" t="inlineStr">
        <is>
          <t>contracted_power_gw * operational_deployment_share</t>
        </is>
      </c>
      <c r="I2557" s="3" t="inlineStr">
        <is>
          <t>Official capacity announcements are converted to active GW only through energization/GPU-deployment ramp assumptions.</t>
        </is>
      </c>
      <c r="J2557" s="3" t="inlineStr">
        <is>
          <t>SRC_OPENAI_STARGATE_ORACLE; SRC_OPENAI_STARGATE_PROGRESS; ASSUMP_STARGATE_RAMP</t>
        </is>
      </c>
      <c r="K2557" s="3" t="inlineStr">
        <is>
          <t>ASSUMP_STARGATE_RAMP; ASSUMP_MS_OPENAI_ATTRIBUTION; ASSUMP_NUMERIC_ACCELERATOR_MIX; ASSUMP_INFERENCE_SHARE_NOT_FACT_60; ASSUMP_WORKLOAD_CLASS_MIX; ASSUMP_AGENTIC_CONTEXT_PENALTY</t>
        </is>
      </c>
      <c r="L2557" s="3" t="inlineStr">
        <is>
          <t>Energization dates, accelerator deliveries and operational powered-rack telemetry.</t>
        </is>
      </c>
    </row>
    <row r="2558">
      <c r="A2558" s="3" t="inlineStr">
        <is>
          <t>OpenAI</t>
        </is>
      </c>
      <c r="B2558" s="3" t="n">
        <v>2027</v>
      </c>
      <c r="C2558" s="3" t="inlineStr">
        <is>
          <t>Bull</t>
        </is>
      </c>
      <c r="D2558" s="3" t="inlineStr">
        <is>
          <t>pue</t>
        </is>
      </c>
      <c r="E2558" s="3" t="n">
        <v>1.2</v>
      </c>
      <c r="F2558" s="3" t="inlineStr">
        <is>
          <t>ratio</t>
        </is>
      </c>
      <c r="G2558" s="3" t="inlineStr">
        <is>
          <t>Scenario parameter</t>
        </is>
      </c>
      <c r="H2558" s="3" t="inlineStr">
        <is>
          <t>it_load_gw = active_power_gw / pue</t>
        </is>
      </c>
      <c r="I2558" s="3" t="inlineStr">
        <is>
          <t>No provider-wide site-level PUE is used as a disclosed fact; PUE represents facility-to-IT conversion within the scenario.</t>
        </is>
      </c>
      <c r="J2558" s="3" t="inlineStr">
        <is>
          <t>ASSUMP_POWER_RAMP</t>
        </is>
      </c>
      <c r="K2558" s="3" t="inlineStr">
        <is>
          <t>ASSUMP_STARGATE_RAMP; ASSUMP_MS_OPENAI_ATTRIBUTION; ASSUMP_NUMERIC_ACCELERATOR_MIX; ASSUMP_INFERENCE_SHARE_NOT_FACT_60; ASSUMP_WORKLOAD_CLASS_MIX; ASSUMP_AGENTIC_CONTEXT_PENALTY</t>
        </is>
      </c>
      <c r="L2558" s="3" t="inlineStr">
        <is>
          <t>Site-level measured PUE matched to attributed AI capacity.</t>
        </is>
      </c>
    </row>
    <row r="2559">
      <c r="A2559" s="3" t="inlineStr">
        <is>
          <t>OpenAI</t>
        </is>
      </c>
      <c r="B2559" s="3" t="n">
        <v>2027</v>
      </c>
      <c r="C2559" s="3" t="inlineStr">
        <is>
          <t>Bull</t>
        </is>
      </c>
      <c r="D2559" s="3" t="inlineStr">
        <is>
          <t>it_load_gw</t>
        </is>
      </c>
      <c r="E2559" s="3" t="n">
        <v>2.864</v>
      </c>
      <c r="F2559" s="3" t="inlineStr">
        <is>
          <t>GW</t>
        </is>
      </c>
      <c r="G2559" s="3" t="inlineStr">
        <is>
          <t>Derived formula</t>
        </is>
      </c>
      <c r="H2559" s="3" t="inlineStr">
        <is>
          <t>active_power_gw / pue</t>
        </is>
      </c>
      <c r="I2559" s="3" t="inlineStr">
        <is>
          <t>Facility power is converted to IT-deliverable power before attributing AI workloads.</t>
        </is>
      </c>
      <c r="J2559" s="3" t="inlineStr">
        <is>
          <t>SRC_OPENAI_STARGATE_ORACLE; SRC_OPENAI_STARGATE_PROGRESS; ASSUMP_STARGATE_RAMP</t>
        </is>
      </c>
      <c r="K2559" s="3" t="inlineStr">
        <is>
          <t>ASSUMP_STARGATE_RAMP; ASSUMP_MS_OPENAI_ATTRIBUTION; ASSUMP_NUMERIC_ACCELERATOR_MIX; ASSUMP_INFERENCE_SHARE_NOT_FACT_60; ASSUMP_WORKLOAD_CLASS_MIX; ASSUMP_AGENTIC_CONTEXT_PENALTY</t>
        </is>
      </c>
      <c r="L2559" s="3" t="inlineStr">
        <is>
          <t>Recompute once active power and PUE become site-observable.</t>
        </is>
      </c>
    </row>
    <row r="2560">
      <c r="A2560" s="3" t="inlineStr">
        <is>
          <t>OpenAI</t>
        </is>
      </c>
      <c r="B2560" s="3" t="n">
        <v>2027</v>
      </c>
      <c r="C2560" s="3" t="inlineStr">
        <is>
          <t>Bull</t>
        </is>
      </c>
      <c r="D2560" s="3" t="inlineStr">
        <is>
          <t>ai_workload_share</t>
        </is>
      </c>
      <c r="E2560" s="3" t="n">
        <v>0.88</v>
      </c>
      <c r="F2560" s="3" t="inlineStr">
        <is>
          <t>share</t>
        </is>
      </c>
      <c r="G2560" s="3" t="inlineStr">
        <is>
          <t>Scenario allocation</t>
        </is>
      </c>
      <c r="H2560" s="3" t="inlineStr">
        <is>
          <t>ai_it_load_gw = it_load_gw * ai_workload_share</t>
        </is>
      </c>
      <c r="I2560" s="3" t="inlineStr">
        <is>
          <t>Stargate capacity is AI-oriented but includes reserve, platform and non-token AI activity; 88% is a scenario.</t>
        </is>
      </c>
      <c r="J2560" s="3" t="inlineStr">
        <is>
          <t>SRC_OPENAI_GPT41_DOCS; SRC_OPENAI_STARGATE_ORACLE; SRC_OPENAI_STARGATE_PROGRESS; SRC_EPOCH_AI_DATA_CENTERS</t>
        </is>
      </c>
      <c r="K2560" s="3" t="inlineStr">
        <is>
          <t>ASSUMP_STARGATE_RAMP; ASSUMP_MS_OPENAI_ATTRIBUTION; ASSUMP_NUMERIC_ACCELERATOR_MIX; ASSUMP_INFERENCE_SHARE_NOT_FACT_60; ASSUMP_WORKLOAD_CLASS_MIX; ASSUMP_AGENTIC_CONTEXT_PENALTY</t>
        </is>
      </c>
      <c r="L2560" s="3" t="inlineStr">
        <is>
          <t>Model-owner AI workload allocation or cluster scheduling telemetry.</t>
        </is>
      </c>
    </row>
    <row r="2561">
      <c r="A2561" s="3" t="inlineStr">
        <is>
          <t>OpenAI</t>
        </is>
      </c>
      <c r="B2561" s="3" t="n">
        <v>2027</v>
      </c>
      <c r="C2561" s="3" t="inlineStr">
        <is>
          <t>Bull</t>
        </is>
      </c>
      <c r="D2561" s="3" t="inlineStr">
        <is>
          <t>ai_it_load_gw</t>
        </is>
      </c>
      <c r="E2561" s="3" t="n">
        <v>2.52</v>
      </c>
      <c r="F2561" s="3" t="inlineStr">
        <is>
          <t>GW</t>
        </is>
      </c>
      <c r="G2561" s="3" t="inlineStr">
        <is>
          <t>Derived formula</t>
        </is>
      </c>
      <c r="H2561" s="3" t="inlineStr">
        <is>
          <t>it_load_gw * ai_workload_share</t>
        </is>
      </c>
      <c r="I2561" s="3" t="inlineStr">
        <is>
          <t>Only the AI-attributed portion of IT load enters training/inference allocation.</t>
        </is>
      </c>
      <c r="J2561" s="3" t="inlineStr">
        <is>
          <t>SRC_OPENAI_GPT41_DOCS; SRC_OPENAI_STARGATE_ORACLE; SRC_OPENAI_STARGATE_PROGRESS; SRC_EPOCH_AI_DATA_CENTERS</t>
        </is>
      </c>
      <c r="K2561" s="3" t="inlineStr">
        <is>
          <t>ASSUMP_STARGATE_RAMP; ASSUMP_MS_OPENAI_ATTRIBUTION; ASSUMP_NUMERIC_ACCELERATOR_MIX; ASSUMP_INFERENCE_SHARE_NOT_FACT_60; ASSUMP_WORKLOAD_CLASS_MIX; ASSUMP_AGENTIC_CONTEXT_PENALTY</t>
        </is>
      </c>
      <c r="L2561" s="3" t="inlineStr">
        <is>
          <t>Recompute after ai_workload_share is replaced by telemetry.</t>
        </is>
      </c>
    </row>
    <row r="2562">
      <c r="A2562" s="3" t="inlineStr">
        <is>
          <t>OpenAI</t>
        </is>
      </c>
      <c r="B2562" s="3" t="n">
        <v>2027</v>
      </c>
      <c r="C2562" s="3" t="inlineStr">
        <is>
          <t>Bull</t>
        </is>
      </c>
      <c r="D2562" s="3" t="inlineStr">
        <is>
          <t>gpu_share</t>
        </is>
      </c>
      <c r="E2562" s="3" t="n">
        <v>1</v>
      </c>
      <c r="F2562" s="3" t="inlineStr">
        <is>
          <t>share of inference-serving accelerator load</t>
        </is>
      </c>
      <c r="G2562" s="3" t="inlineStr">
        <is>
          <t>Numeric scenario</t>
        </is>
      </c>
      <c r="H2562" s="3" t="inlineStr">
        <is>
          <t>gpu_share interpolated from company 2026/2030 accelerator-mix endpoints</t>
        </is>
      </c>
      <c r="I2562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562" s="3" t="inlineStr">
        <is>
          <t>SRC_OPENAI_GPT41_DOCS; SRC_OPENAI_STARGATE_ORACLE; SRC_OPENAI_STARGATE_PROGRESS; SRC_EPOCH_AI_DATA_CENTERS; ASSUMP_NUMERIC_ACCELERATOR_MIX</t>
        </is>
      </c>
      <c r="K2562" s="3" t="inlineStr">
        <is>
          <t>ASSUMP_STARGATE_RAMP; ASSUMP_MS_OPENAI_ATTRIBUTION; ASSUMP_NUMERIC_ACCELERATOR_MIX; ASSUMP_INFERENCE_SHARE_NOT_FACT_60; ASSUMP_WORKLOAD_CLASS_MIX; ASSUMP_AGENTIC_CONTEXT_PENALTY</t>
        </is>
      </c>
      <c r="L2562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563">
      <c r="A2563" s="3" t="inlineStr">
        <is>
          <t>OpenAI</t>
        </is>
      </c>
      <c r="B2563" s="3" t="n">
        <v>2027</v>
      </c>
      <c r="C2563" s="3" t="inlineStr">
        <is>
          <t>Bull</t>
        </is>
      </c>
      <c r="D2563" s="3" t="inlineStr">
        <is>
          <t>h200_share</t>
        </is>
      </c>
      <c r="E2563" s="3" t="n">
        <v>0.07041</v>
      </c>
      <c r="F2563" s="3" t="inlineStr">
        <is>
          <t>share of inference-serving accelerator load</t>
        </is>
      </c>
      <c r="G2563" s="3" t="inlineStr">
        <is>
          <t>Editable numeric scenario</t>
        </is>
      </c>
      <c r="H2563" s="3" t="inlineStr">
        <is>
          <t>h200_share = gpu_share * default_gpu_generation_mix_h200</t>
        </is>
      </c>
      <c r="I2563" s="3" t="inlineStr">
        <is>
          <t>Default GPU-generation migration assumption; executive workbook allows later manual replacement by company/year/scenario.</t>
        </is>
      </c>
      <c r="J2563" s="3" t="inlineStr">
        <is>
          <t>SRC_SEMIANALYSIS_INFERENCEX; ASSUMP_NUMERIC_ACCELERATOR_MIX</t>
        </is>
      </c>
      <c r="K2563" s="3" t="inlineStr">
        <is>
          <t>ASSUMP_STARGATE_RAMP; ASSUMP_MS_OPENAI_ATTRIBUTION; ASSUMP_NUMERIC_ACCELERATOR_MIX; ASSUMP_INFERENCE_SHARE_NOT_FACT_60; ASSUMP_WORKLOAD_CLASS_MIX; ASSUMP_AGENTIC_CONTEXT_PENALTY</t>
        </is>
      </c>
      <c r="L2563" s="3" t="inlineStr">
        <is>
          <t>Company fleet inventory, accelerator-hours or procurement/deployment records by GPU generation.</t>
        </is>
      </c>
    </row>
    <row r="2564">
      <c r="A2564" s="3" t="inlineStr">
        <is>
          <t>OpenAI</t>
        </is>
      </c>
      <c r="B2564" s="3" t="n">
        <v>2027</v>
      </c>
      <c r="C2564" s="3" t="inlineStr">
        <is>
          <t>Bull</t>
        </is>
      </c>
      <c r="D2564" s="3" t="inlineStr">
        <is>
          <t>b200_share</t>
        </is>
      </c>
      <c r="E2564" s="3" t="n">
        <v>0.92959</v>
      </c>
      <c r="F2564" s="3" t="inlineStr">
        <is>
          <t>share of inference-serving accelerator load</t>
        </is>
      </c>
      <c r="G2564" s="3" t="inlineStr">
        <is>
          <t>Editable numeric scenario</t>
        </is>
      </c>
      <c r="H2564" s="3" t="inlineStr">
        <is>
          <t>b200_share = gpu_share * default_gpu_generation_mix_b200</t>
        </is>
      </c>
      <c r="I2564" s="3" t="inlineStr">
        <is>
          <t>Default GPU-generation migration assumption; executive workbook allows later manual replacement by company/year/scenario.</t>
        </is>
      </c>
      <c r="J2564" s="3" t="inlineStr">
        <is>
          <t>SRC_SEMIANALYSIS_INFERENCEX; ASSUMP_NUMERIC_ACCELERATOR_MIX</t>
        </is>
      </c>
      <c r="K2564" s="3" t="inlineStr">
        <is>
          <t>ASSUMP_STARGATE_RAMP; ASSUMP_MS_OPENAI_ATTRIBUTION; ASSUMP_NUMERIC_ACCELERATOR_MIX; ASSUMP_INFERENCE_SHARE_NOT_FACT_60; ASSUMP_WORKLOAD_CLASS_MIX; ASSUMP_AGENTIC_CONTEXT_PENALTY</t>
        </is>
      </c>
      <c r="L2564" s="3" t="inlineStr">
        <is>
          <t>Company fleet inventory, accelerator-hours or procurement/deployment records by GPU generation.</t>
        </is>
      </c>
    </row>
    <row r="2565">
      <c r="A2565" s="3" t="inlineStr">
        <is>
          <t>OpenAI</t>
        </is>
      </c>
      <c r="B2565" s="3" t="n">
        <v>2027</v>
      </c>
      <c r="C2565" s="3" t="inlineStr">
        <is>
          <t>Bull</t>
        </is>
      </c>
      <c r="D2565" s="3" t="inlineStr">
        <is>
          <t>gb200_share</t>
        </is>
      </c>
      <c r="E2565" s="3" t="n">
        <v>0</v>
      </c>
      <c r="F2565" s="3" t="inlineStr">
        <is>
          <t>share of inference-serving accelerator load</t>
        </is>
      </c>
      <c r="G2565" s="3" t="inlineStr">
        <is>
          <t>Editable numeric scenario</t>
        </is>
      </c>
      <c r="H2565" s="3" t="inlineStr">
        <is>
          <t>gb200_share = gpu_share * default_gpu_generation_mix_gb200</t>
        </is>
      </c>
      <c r="I2565" s="3" t="inlineStr">
        <is>
          <t>Default GPU-generation migration assumption; executive workbook allows later manual replacement by company/year/scenario.</t>
        </is>
      </c>
      <c r="J2565" s="3" t="inlineStr">
        <is>
          <t>SRC_SEMIANALYSIS_INFERENCEX; ASSUMP_NUMERIC_ACCELERATOR_MIX</t>
        </is>
      </c>
      <c r="K2565" s="3" t="inlineStr">
        <is>
          <t>ASSUMP_STARGATE_RAMP; ASSUMP_MS_OPENAI_ATTRIBUTION; ASSUMP_NUMERIC_ACCELERATOR_MIX; ASSUMP_INFERENCE_SHARE_NOT_FACT_60; ASSUMP_WORKLOAD_CLASS_MIX; ASSUMP_AGENTIC_CONTEXT_PENALTY</t>
        </is>
      </c>
      <c r="L2565" s="3" t="inlineStr">
        <is>
          <t>Company fleet inventory, accelerator-hours or procurement/deployment records by GPU generation.</t>
        </is>
      </c>
    </row>
    <row r="2566">
      <c r="A2566" s="3" t="inlineStr">
        <is>
          <t>OpenAI</t>
        </is>
      </c>
      <c r="B2566" s="3" t="n">
        <v>2027</v>
      </c>
      <c r="C2566" s="3" t="inlineStr">
        <is>
          <t>Bull</t>
        </is>
      </c>
      <c r="D2566" s="3" t="inlineStr">
        <is>
          <t>purpose_built_accelerator_share</t>
        </is>
      </c>
      <c r="E2566" s="3" t="n">
        <v>0</v>
      </c>
      <c r="F2566" s="3" t="inlineStr">
        <is>
          <t>share of inference-serving accelerator load</t>
        </is>
      </c>
      <c r="G2566" s="3" t="inlineStr">
        <is>
          <t>Numeric scenario</t>
        </is>
      </c>
      <c r="H2566" s="3" t="inlineStr">
        <is>
          <t>1 - gpu_share</t>
        </is>
      </c>
      <c r="I2566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566" s="3" t="inlineStr">
        <is>
          <t>SRC_OPENAI_GPT41_DOCS; SRC_OPENAI_STARGATE_ORACLE; SRC_OPENAI_STARGATE_PROGRESS; SRC_EPOCH_AI_DATA_CENTERS; ASSUMP_NUMERIC_ACCELERATOR_MIX</t>
        </is>
      </c>
      <c r="K2566" s="3" t="inlineStr">
        <is>
          <t>ASSUMP_STARGATE_RAMP; ASSUMP_MS_OPENAI_ATTRIBUTION; ASSUMP_NUMERIC_ACCELERATOR_MIX; ASSUMP_INFERENCE_SHARE_NOT_FACT_60; ASSUMP_WORKLOAD_CLASS_MIX; ASSUMP_AGENTIC_CONTEXT_PENALTY</t>
        </is>
      </c>
      <c r="L2566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567">
      <c r="A2567" s="3" t="inlineStr">
        <is>
          <t>OpenAI</t>
        </is>
      </c>
      <c r="B2567" s="3" t="n">
        <v>2027</v>
      </c>
      <c r="C2567" s="3" t="inlineStr">
        <is>
          <t>Bull</t>
        </is>
      </c>
      <c r="D2567" s="3" t="inlineStr">
        <is>
          <t>fleet_reference_tps_per_mw</t>
        </is>
      </c>
      <c r="E2567" s="3" t="n">
        <v>202516</v>
      </c>
      <c r="F2567" s="3" t="inlineStr">
        <is>
          <t>generated output tokens/sec/MW</t>
        </is>
      </c>
      <c r="G2567" s="3" t="inlineStr">
        <is>
          <t>Fleet-weighted public benchmark reference</t>
        </is>
      </c>
      <c r="H2567" s="3" t="inlineStr">
        <is>
          <t>h200_share*h200_workload_avg + b200_share*b200_workload_avg + gb200_share*gb200_workload_avg + purpose_built_share*purpose_workload_avg</t>
        </is>
      </c>
      <c r="I256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67" s="3" t="inlineStr">
        <is>
          <t>SRC_SEMIANALYSIS_INFERENCEX; ASSUMP_NUMERIC_ACCELERATOR_MIX; ASSUMP_WORKLOAD_CLASS_MIX; ASSUMP_AGENTIC_CONTEXT_PENALTY</t>
        </is>
      </c>
      <c r="K2567" s="3" t="inlineStr">
        <is>
          <t>ASSUMP_STARGATE_RAMP; ASSUMP_MS_OPENAI_ATTRIBUTION; ASSUMP_NUMERIC_ACCELERATOR_MIX; ASSUMP_INFERENCE_SHARE_NOT_FACT_60; ASSUMP_WORKLOAD_CLASS_MIX; ASSUMP_AGENTIC_CONTEXT_PENALTY</t>
        </is>
      </c>
      <c r="L2567" s="3" t="inlineStr">
        <is>
          <t>Comparable production output-token throughput or a more closely matched benchmark.</t>
        </is>
      </c>
    </row>
    <row r="2568">
      <c r="A2568" s="3" t="inlineStr">
        <is>
          <t>OpenAI</t>
        </is>
      </c>
      <c r="B2568" s="3" t="n">
        <v>2027</v>
      </c>
      <c r="C2568" s="3" t="inlineStr">
        <is>
          <t>Bull</t>
        </is>
      </c>
      <c r="D2568" s="3" t="inlineStr">
        <is>
          <t>commercial_workload_fit_factor</t>
        </is>
      </c>
      <c r="E2568" s="3" t="n">
        <v>0.7</v>
      </c>
      <c r="F2568" s="3" t="inlineStr">
        <is>
          <t>share of public reference throughput</t>
        </is>
      </c>
      <c r="G2568" s="3" t="inlineStr">
        <is>
          <t>Scenario assumption</t>
        </is>
      </c>
      <c r="H2568" s="3" t="inlineStr">
        <is>
          <t>reference_serving_tps_per_mw = fleet_reference_tps_per_mw * commercial_workload_fit_factor</t>
        </is>
      </c>
      <c r="I2568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68" s="3" t="inlineStr">
        <is>
          <t>SRC_SEMIANALYSIS_INFERENCEX; ASSUMP_NUMERIC_ACCELERATOR_MIX; ASSUMP_WORKLOAD_CLASS_MIX; ASSUMP_AGENTIC_CONTEXT_PENALTY</t>
        </is>
      </c>
      <c r="K2568" s="3" t="inlineStr">
        <is>
          <t>ASSUMP_STARGATE_RAMP; ASSUMP_MS_OPENAI_ATTRIBUTION; ASSUMP_NUMERIC_ACCELERATOR_MIX; ASSUMP_INFERENCE_SHARE_NOT_FACT_60; ASSUMP_WORKLOAD_CLASS_MIX; ASSUMP_AGENTIC_CONTEXT_PENALTY</t>
        </is>
      </c>
      <c r="L2568" s="3" t="inlineStr">
        <is>
          <t>Matched commercial serving benchmark by product surface, context shape and latency SLO.</t>
        </is>
      </c>
    </row>
    <row r="2569">
      <c r="A2569" s="3" t="inlineStr">
        <is>
          <t>OpenAI</t>
        </is>
      </c>
      <c r="B2569" s="3" t="n">
        <v>2027</v>
      </c>
      <c r="C2569" s="3" t="inlineStr">
        <is>
          <t>Bull</t>
        </is>
      </c>
      <c r="D2569" s="3" t="inlineStr">
        <is>
          <t>reference_serving_tps_per_mw</t>
        </is>
      </c>
      <c r="E2569" s="3" t="n">
        <v>141761</v>
      </c>
      <c r="F2569" s="3" t="inlineStr">
        <is>
          <t>generated output tokens/sec/MW</t>
        </is>
      </c>
      <c r="G2569" s="3" t="inlineStr">
        <is>
          <t>Workload-adjusted benchmark proxy</t>
        </is>
      </c>
      <c r="H2569" s="3" t="inlineStr">
        <is>
          <t>fleet_reference_tps_per_mw * commercial_workload_fit_factor</t>
        </is>
      </c>
      <c r="I2569" s="3" t="inlineStr">
        <is>
          <t>This is the coefficient used for headline token generation; each GPU's short chat, long chat and agentic TPS/MW are weighted before fleet mix and commercial fit are applied.</t>
        </is>
      </c>
      <c r="J2569" s="3" t="inlineStr">
        <is>
          <t>SRC_SEMIANALYSIS_INFERENCEX; ASSUMP_NUMERIC_ACCELERATOR_MIX; ASSUMP_WORKLOAD_CLASS_MIX; ASSUMP_AGENTIC_CONTEXT_PENALTY</t>
        </is>
      </c>
      <c r="K2569" s="3" t="inlineStr">
        <is>
          <t>ASSUMP_STARGATE_RAMP; ASSUMP_MS_OPENAI_ATTRIBUTION; ASSUMP_NUMERIC_ACCELERATOR_MIX; ASSUMP_INFERENCE_SHARE_NOT_FACT_60; ASSUMP_WORKLOAD_CLASS_MIX; ASSUMP_AGENTIC_CONTEXT_PENALTY</t>
        </is>
      </c>
      <c r="L2569" s="3" t="inlineStr">
        <is>
          <t>Provider production output-token throughput with comparable workload/SLO.</t>
        </is>
      </c>
    </row>
    <row r="2570">
      <c r="A2570" s="3" t="inlineStr">
        <is>
          <t>OpenAI</t>
        </is>
      </c>
      <c r="B2570" s="3" t="n">
        <v>2027</v>
      </c>
      <c r="C2570" s="3" t="inlineStr">
        <is>
          <t>Bull</t>
        </is>
      </c>
      <c r="D2570" s="3" t="inlineStr">
        <is>
          <t>purpose_built_tps_per_mw</t>
        </is>
      </c>
      <c r="E2570" s="3" t="n">
        <v>94714</v>
      </c>
      <c r="F2570" s="3" t="inlineStr">
        <is>
          <t>generated output tokens/sec/MW</t>
        </is>
      </c>
      <c r="G2570" s="3" t="inlineStr">
        <is>
          <t>Conservative no-uplift proxy</t>
        </is>
      </c>
      <c r="H2570" s="3" t="inlineStr">
        <is>
          <t>purpose_built_tps_per_mw = purpose_built_reference_tps_per_mw * commercial_workload_fit_factor until comparable output-token benchmark is adopted</t>
        </is>
      </c>
      <c r="I2570" s="3" t="inlineStr">
        <is>
          <t>No comparable public output-token/MW row adopted; B200 public reference placeholder is used and remains editable.</t>
        </is>
      </c>
      <c r="J2570" s="3" t="inlineStr">
        <is>
          <t>SRC_OPENAI_GPT41_DOCS; SRC_OPENAI_STARGATE_ORACLE; SRC_OPENAI_STARGATE_PROGRESS; SRC_EPOCH_AI_DATA_CENTERS; ASSUMP_NUMERIC_ACCELERATOR_MIX</t>
        </is>
      </c>
      <c r="K2570" s="3" t="inlineStr">
        <is>
          <t>ASSUMP_STARGATE_RAMP; ASSUMP_MS_OPENAI_ATTRIBUTION; ASSUMP_NUMERIC_ACCELERATOR_MIX; ASSUMP_INFERENCE_SHARE_NOT_FACT_60; ASSUMP_WORKLOAD_CLASS_MIX; ASSUMP_AGENTIC_CONTEXT_PENALTY</t>
        </is>
      </c>
      <c r="L2570" s="3" t="inlineStr">
        <is>
          <t>Matched-workload generated-output benchmark for the provider purpose-built accelerator.</t>
        </is>
      </c>
    </row>
    <row r="2571">
      <c r="A2571" s="3" t="inlineStr">
        <is>
          <t>OpenAI</t>
        </is>
      </c>
      <c r="B2571" s="3" t="n">
        <v>2027</v>
      </c>
      <c r="C2571" s="3" t="inlineStr">
        <is>
          <t>Bull</t>
        </is>
      </c>
      <c r="D2571" s="3" t="inlineStr">
        <is>
          <t>inference_power_share</t>
        </is>
      </c>
      <c r="E2571" s="3" t="n">
        <v>0.6879999999999999</v>
      </c>
      <c r="F2571" s="3" t="inlineStr">
        <is>
          <t>share of AI IT load</t>
        </is>
      </c>
      <c r="G2571" s="3" t="inlineStr">
        <is>
          <t>Scenario allocation</t>
        </is>
      </c>
      <c r="H2571" s="3" t="inlineStr">
        <is>
          <t>inference_gw = ai_it_load_gw * inference_power_share</t>
        </is>
      </c>
      <c r="I2571" s="3" t="inlineStr">
        <is>
          <t>ChatGPT/API/enterprise commercial surfaces support increasing inference allocation while training remains material.</t>
        </is>
      </c>
      <c r="J2571" s="3" t="inlineStr">
        <is>
          <t>SRC_OPENAI_GPT41_DOCS; SRC_OPENAI_STARGATE_ORACLE; SRC_OPENAI_STARGATE_PROGRESS; SRC_EPOCH_AI_DATA_CENTERS; ASSUMP_INFERENCE_SHARE_NOT_FACT_60</t>
        </is>
      </c>
      <c r="K2571" s="3" t="inlineStr">
        <is>
          <t>ASSUMP_STARGATE_RAMP; ASSUMP_MS_OPENAI_ATTRIBUTION; ASSUMP_NUMERIC_ACCELERATOR_MIX; ASSUMP_INFERENCE_SHARE_NOT_FACT_60; ASSUMP_WORKLOAD_CLASS_MIX; ASSUMP_AGENTIC_CONTEXT_PENALTY</t>
        </is>
      </c>
      <c r="L2571" s="3" t="inlineStr">
        <is>
          <t>Provider-specific inference/training workload power telemetry.</t>
        </is>
      </c>
    </row>
    <row r="2572">
      <c r="A2572" s="3" t="inlineStr">
        <is>
          <t>OpenAI</t>
        </is>
      </c>
      <c r="B2572" s="3" t="n">
        <v>2027</v>
      </c>
      <c r="C2572" s="3" t="inlineStr">
        <is>
          <t>Bull</t>
        </is>
      </c>
      <c r="D2572" s="3" t="inlineStr">
        <is>
          <t>inference_gw</t>
        </is>
      </c>
      <c r="E2572" s="3" t="n">
        <v>1.733</v>
      </c>
      <c r="F2572" s="3" t="inlineStr">
        <is>
          <t>GW</t>
        </is>
      </c>
      <c r="G2572" s="3" t="inlineStr">
        <is>
          <t>Derived formula</t>
        </is>
      </c>
      <c r="H2572" s="3" t="inlineStr">
        <is>
          <t>ai_it_load_gw * inference_power_share</t>
        </is>
      </c>
      <c r="I2572" s="3" t="inlineStr">
        <is>
          <t>This is the operational power eligible to become commercial generated output tokens through the selected TPS/MW proxy.</t>
        </is>
      </c>
      <c r="J2572" s="3" t="inlineStr">
        <is>
          <t>SRC_OPENAI_GPT41_DOCS; SRC_OPENAI_STARGATE_ORACLE; SRC_OPENAI_STARGATE_PROGRESS; SRC_EPOCH_AI_DATA_CENTERS</t>
        </is>
      </c>
      <c r="K2572" s="3" t="inlineStr">
        <is>
          <t>ASSUMP_STARGATE_RAMP; ASSUMP_MS_OPENAI_ATTRIBUTION; ASSUMP_NUMERIC_ACCELERATOR_MIX; ASSUMP_INFERENCE_SHARE_NOT_FACT_60; ASSUMP_WORKLOAD_CLASS_MIX; ASSUMP_AGENTIC_CONTEXT_PENALTY</t>
        </is>
      </c>
      <c r="L2572" s="3" t="inlineStr">
        <is>
          <t>Recompute after AI allocation or inference-share evidence changes.</t>
        </is>
      </c>
    </row>
    <row r="2573">
      <c r="A2573" s="3" t="inlineStr">
        <is>
          <t>OpenAI</t>
        </is>
      </c>
      <c r="B2573" s="3" t="n">
        <v>2027</v>
      </c>
      <c r="C2573" s="3" t="inlineStr">
        <is>
          <t>Bull</t>
        </is>
      </c>
      <c r="D2573" s="3" t="inlineStr">
        <is>
          <t>training_power_share</t>
        </is>
      </c>
      <c r="E2573" s="3" t="n">
        <v>0.312</v>
      </c>
      <c r="F2573" s="3" t="inlineStr">
        <is>
          <t>share of AI IT load</t>
        </is>
      </c>
      <c r="G2573" s="3" t="inlineStr">
        <is>
          <t>Derived allocation</t>
        </is>
      </c>
      <c r="H2573" s="3" t="inlineStr">
        <is>
          <t>1 - inference_power_share</t>
        </is>
      </c>
      <c r="I2573" s="3" t="inlineStr">
        <is>
          <t>Training receives the complementary modeled AI IT allocation; it is not a disclosed company workload split.</t>
        </is>
      </c>
      <c r="J2573" s="3" t="inlineStr">
        <is>
          <t>SRC_OPENAI_GPT41_DOCS; SRC_OPENAI_STARGATE_ORACLE; SRC_OPENAI_STARGATE_PROGRESS; SRC_EPOCH_AI_DATA_CENTERS; ASSUMP_INFERENCE_SHARE_NOT_FACT_60</t>
        </is>
      </c>
      <c r="K2573" s="3" t="inlineStr">
        <is>
          <t>ASSUMP_STARGATE_RAMP; ASSUMP_MS_OPENAI_ATTRIBUTION; ASSUMP_NUMERIC_ACCELERATOR_MIX; ASSUMP_INFERENCE_SHARE_NOT_FACT_60; ASSUMP_WORKLOAD_CLASS_MIX; ASSUMP_AGENTIC_CONTEXT_PENALTY</t>
        </is>
      </c>
      <c r="L2573" s="3" t="inlineStr">
        <is>
          <t>Provider-specific inference/training workload power telemetry.</t>
        </is>
      </c>
    </row>
    <row r="2574">
      <c r="A2574" s="3" t="inlineStr">
        <is>
          <t>OpenAI</t>
        </is>
      </c>
      <c r="B2574" s="3" t="n">
        <v>2027</v>
      </c>
      <c r="C2574" s="3" t="inlineStr">
        <is>
          <t>Bull</t>
        </is>
      </c>
      <c r="D2574" s="3" t="inlineStr">
        <is>
          <t>training_gw</t>
        </is>
      </c>
      <c r="E2574" s="3" t="n">
        <v>0.788</v>
      </c>
      <c r="F2574" s="3" t="inlineStr">
        <is>
          <t>GW</t>
        </is>
      </c>
      <c r="G2574" s="3" t="inlineStr">
        <is>
          <t>Derived formula</t>
        </is>
      </c>
      <c r="H2574" s="3" t="inlineStr">
        <is>
          <t>ai_it_load_gw * training_power_share</t>
        </is>
      </c>
      <c r="I2574" s="3" t="inlineStr">
        <is>
          <t>Training GW is shown separately so commercial inference token capacity is not overstated.</t>
        </is>
      </c>
      <c r="J2574" s="3" t="inlineStr">
        <is>
          <t>SRC_OPENAI_GPT41_DOCS; SRC_OPENAI_STARGATE_ORACLE; SRC_OPENAI_STARGATE_PROGRESS; SRC_EPOCH_AI_DATA_CENTERS</t>
        </is>
      </c>
      <c r="K2574" s="3" t="inlineStr">
        <is>
          <t>ASSUMP_STARGATE_RAMP; ASSUMP_MS_OPENAI_ATTRIBUTION; ASSUMP_NUMERIC_ACCELERATOR_MIX; ASSUMP_INFERENCE_SHARE_NOT_FACT_60; ASSUMP_WORKLOAD_CLASS_MIX; ASSUMP_AGENTIC_CONTEXT_PENALTY</t>
        </is>
      </c>
      <c r="L2574" s="3" t="inlineStr">
        <is>
          <t>Recompute after AI allocation or workload-split evidence changes.</t>
        </is>
      </c>
    </row>
    <row r="2575">
      <c r="A2575" s="3" t="inlineStr">
        <is>
          <t>OpenAI</t>
        </is>
      </c>
      <c r="B2575" s="3" t="n">
        <v>2027</v>
      </c>
      <c r="C2575" s="3" t="inlineStr">
        <is>
          <t>Bull</t>
        </is>
      </c>
      <c r="D2575" s="3" t="inlineStr">
        <is>
          <t>tokens_per_second_per_mw</t>
        </is>
      </c>
      <c r="E2575" s="3" t="n">
        <v>141761</v>
      </c>
      <c r="F2575" s="3" t="inlineStr">
        <is>
          <t>generated output tokens/sec/MW</t>
        </is>
      </c>
      <c r="G2575" s="3" t="inlineStr">
        <is>
          <t>Derived estimate + benchmark calibration</t>
        </is>
      </c>
      <c r="H2575" s="3" t="inlineStr">
        <is>
          <t>fleet_reference_tps_per_mw * commercial_workload_fit_factor</t>
        </is>
      </c>
      <c r="I2575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75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575" s="3" t="inlineStr">
        <is>
          <t>ASSUMP_STARGATE_RAMP; ASSUMP_MS_OPENAI_ATTRIBUTION; ASSUMP_NUMERIC_ACCELERATOR_MIX; ASSUMP_INFERENCE_SHARE_NOT_FACT_60; ASSUMP_WORKLOAD_CLASS_MIX; ASSUMP_AGENTIC_CONTEXT_PENALTY</t>
        </is>
      </c>
      <c r="L2575" s="3" t="inlineStr">
        <is>
          <t>Comparable production output-token throughput with model, hardware, precision, ISL/OSL and SLO matched.</t>
        </is>
      </c>
    </row>
    <row r="2576">
      <c r="A2576" s="3" t="inlineStr">
        <is>
          <t>OpenAI</t>
        </is>
      </c>
      <c r="B2576" s="3" t="n">
        <v>2027</v>
      </c>
      <c r="C2576" s="3" t="inlineStr">
        <is>
          <t>Bull</t>
        </is>
      </c>
      <c r="D2576" s="3" t="inlineStr">
        <is>
          <t>inference_tokens_per_day</t>
        </is>
      </c>
      <c r="E2576" s="3" t="n">
        <v>21226044643200</v>
      </c>
      <c r="F2576" s="3" t="inlineStr">
        <is>
          <t>generated output tokens/day</t>
        </is>
      </c>
      <c r="G2576" s="3" t="inlineStr">
        <is>
          <t>Derived headline metric</t>
        </is>
      </c>
      <c r="H2576" s="3" t="inlineStr">
        <is>
          <t>inference_gw * 1000 * tokens_per_second_per_mw * 86,400</t>
        </is>
      </c>
      <c r="I2576" s="3" t="inlineStr">
        <is>
          <t>Headline capacity uses no utilization, MoE, architecture or software-growth multiplier; it is not observed commercial output volume.</t>
        </is>
      </c>
      <c r="J2576" s="3" t="inlineStr">
        <is>
          <t>SRC_OPENAI_GPT41_DOCS; SRC_OPENAI_STARGATE_ORACLE; SRC_OPENAI_STARGATE_PROGRESS; SRC_EPOCH_AI_DATA_CENTERS; SRC_SEMIANALYSIS_INFERENCEX</t>
        </is>
      </c>
      <c r="K2576" s="3" t="inlineStr">
        <is>
          <t>ASSUMP_STARGATE_RAMP; ASSUMP_MS_OPENAI_ATTRIBUTION; ASSUMP_NUMERIC_ACCELERATOR_MIX; ASSUMP_INFERENCE_SHARE_NOT_FACT_60; ASSUMP_WORKLOAD_CLASS_MIX; ASSUMP_AGENTIC_CONTEXT_PENALTY</t>
        </is>
      </c>
      <c r="L2576" s="3" t="inlineStr">
        <is>
          <t>Provider-disclosed generated output token volume or calibrated capacity telemetry.</t>
        </is>
      </c>
    </row>
    <row r="2577">
      <c r="A2577" s="3" t="inlineStr">
        <is>
          <t>OpenAI</t>
        </is>
      </c>
      <c r="B2577" s="3" t="n">
        <v>2027</v>
      </c>
      <c r="C2577" s="3" t="inlineStr">
        <is>
          <t>Bull</t>
        </is>
      </c>
      <c r="D2577" s="3" t="inlineStr">
        <is>
          <t>inference_tokens_per_year</t>
        </is>
      </c>
      <c r="E2577" s="3" t="n">
        <v>7747506294768000</v>
      </c>
      <c r="F2577" s="3" t="inlineStr">
        <is>
          <t>generated output tokens/year</t>
        </is>
      </c>
      <c r="G2577" s="3" t="inlineStr">
        <is>
          <t>Derived headline metric</t>
        </is>
      </c>
      <c r="H2577" s="3" t="inlineStr">
        <is>
          <t>inference_tokens_per_day * 365</t>
        </is>
      </c>
      <c r="I2577" s="3" t="inlineStr">
        <is>
          <t>Annualized version of generated output token capacity; it is not observed annual demand or billable volume.</t>
        </is>
      </c>
      <c r="J2577" s="3" t="inlineStr">
        <is>
          <t>SRC_OPENAI_GPT41_DOCS; SRC_OPENAI_STARGATE_ORACLE; SRC_OPENAI_STARGATE_PROGRESS; SRC_EPOCH_AI_DATA_CENTERS; SRC_SEMIANALYSIS_INFERENCEX</t>
        </is>
      </c>
      <c r="K2577" s="3" t="inlineStr">
        <is>
          <t>ASSUMP_STARGATE_RAMP; ASSUMP_MS_OPENAI_ATTRIBUTION; ASSUMP_NUMERIC_ACCELERATOR_MIX; ASSUMP_INFERENCE_SHARE_NOT_FACT_60; ASSUMP_WORKLOAD_CLASS_MIX; ASSUMP_AGENTIC_CONTEXT_PENALTY</t>
        </is>
      </c>
      <c r="L2577" s="3" t="inlineStr">
        <is>
          <t>Provider-disclosed annual generated-output volume or metered serving telemetry.</t>
        </is>
      </c>
    </row>
    <row r="2578">
      <c r="A2578" s="3" t="inlineStr">
        <is>
          <t>OpenAI</t>
        </is>
      </c>
      <c r="B2578" s="3" t="n">
        <v>2028</v>
      </c>
      <c r="C2578" s="3" t="inlineStr">
        <is>
          <t>Bull</t>
        </is>
      </c>
      <c r="D2578" s="3" t="inlineStr">
        <is>
          <t>contracted_power_gw</t>
        </is>
      </c>
      <c r="E2578" s="3" t="n">
        <v>8.5</v>
      </c>
      <c r="F2578" s="3" t="inlineStr">
        <is>
          <t>GW</t>
        </is>
      </c>
      <c r="G2578" s="3" t="inlineStr">
        <is>
          <t>Fact anchor + scenario ceiling</t>
        </is>
      </c>
      <c r="H2578" s="3" t="inlineStr">
        <is>
          <t>linear interpolation between 2026 and 2030 company capacity endpoints</t>
        </is>
      </c>
      <c r="I2578" s="3" t="inlineStr">
        <is>
          <t>2030 envelope is bounded by official Stargate planned/committed capacity; 2026 and timing remain staged scenario values.</t>
        </is>
      </c>
      <c r="J2578" s="3" t="inlineStr">
        <is>
          <t>SRC_OPENAI_STARGATE_ORACLE; SRC_OPENAI_STARGATE_PROGRESS; ASSUMP_STARGATE_RAMP</t>
        </is>
      </c>
      <c r="K2578" s="3" t="inlineStr">
        <is>
          <t>ASSUMP_STARGATE_RAMP; ASSUMP_MS_OPENAI_ATTRIBUTION; ASSUMP_NUMERIC_ACCELERATOR_MIX; ASSUMP_INFERENCE_SHARE_NOT_FACT_60; ASSUMP_WORKLOAD_CLASS_MIX; ASSUMP_AGENTIC_CONTEXT_PENALTY</t>
        </is>
      </c>
      <c r="L2578" s="3" t="inlineStr">
        <is>
          <t>Company/site-level committed MW/GW, interconnect and contract disclosure.</t>
        </is>
      </c>
    </row>
    <row r="2579">
      <c r="A2579" s="3" t="inlineStr">
        <is>
          <t>OpenAI</t>
        </is>
      </c>
      <c r="B2579" s="3" t="n">
        <v>2028</v>
      </c>
      <c r="C2579" s="3" t="inlineStr">
        <is>
          <t>Bull</t>
        </is>
      </c>
      <c r="D2579" s="3" t="inlineStr">
        <is>
          <t>operational_deployment_share</t>
        </is>
      </c>
      <c r="E2579" s="3" t="n">
        <v>0.64929412</v>
      </c>
      <c r="F2579" s="3" t="inlineStr">
        <is>
          <t>share</t>
        </is>
      </c>
      <c r="G2579" s="3" t="inlineStr">
        <is>
          <t>Scenario conversion</t>
        </is>
      </c>
      <c r="H2579" s="3" t="inlineStr">
        <is>
          <t>active_power_gw / contracted_power_gw</t>
        </is>
      </c>
      <c r="I2579" s="3" t="inlineStr">
        <is>
          <t>This is the single explicit conversion from contracted/attributed capacity to operationally usable capacity.</t>
        </is>
      </c>
      <c r="J2579" s="3" t="inlineStr">
        <is>
          <t>SRC_OPENAI_STARGATE_ORACLE; SRC_OPENAI_STARGATE_PROGRESS; ASSUMP_STARGATE_RAMP</t>
        </is>
      </c>
      <c r="K2579" s="3" t="inlineStr">
        <is>
          <t>ASSUMP_STARGATE_RAMP; ASSUMP_MS_OPENAI_ATTRIBUTION; ASSUMP_NUMERIC_ACCELERATOR_MIX; ASSUMP_INFERENCE_SHARE_NOT_FACT_60; ASSUMP_WORKLOAD_CLASS_MIX; ASSUMP_AGENTIC_CONTEXT_PENALTY</t>
        </is>
      </c>
      <c r="L2579" s="3" t="inlineStr">
        <is>
          <t>Energized operational capacity divided by contracted/attributed capacity.</t>
        </is>
      </c>
    </row>
    <row r="2580">
      <c r="A2580" s="3" t="inlineStr">
        <is>
          <t>OpenAI</t>
        </is>
      </c>
      <c r="B2580" s="3" t="n">
        <v>2028</v>
      </c>
      <c r="C2580" s="3" t="inlineStr">
        <is>
          <t>Bull</t>
        </is>
      </c>
      <c r="D2580" s="3" t="inlineStr">
        <is>
          <t>active_power_gw</t>
        </is>
      </c>
      <c r="E2580" s="3" t="n">
        <v>5.519</v>
      </c>
      <c r="F2580" s="3" t="inlineStr">
        <is>
          <t>GW</t>
        </is>
      </c>
      <c r="G2580" s="3" t="inlineStr">
        <is>
          <t>Derived scenario</t>
        </is>
      </c>
      <c r="H2580" s="3" t="inlineStr">
        <is>
          <t>contracted_power_gw * operational_deployment_share</t>
        </is>
      </c>
      <c r="I2580" s="3" t="inlineStr">
        <is>
          <t>Official capacity announcements are converted to active GW only through energization/GPU-deployment ramp assumptions.</t>
        </is>
      </c>
      <c r="J2580" s="3" t="inlineStr">
        <is>
          <t>SRC_OPENAI_STARGATE_ORACLE; SRC_OPENAI_STARGATE_PROGRESS; ASSUMP_STARGATE_RAMP</t>
        </is>
      </c>
      <c r="K2580" s="3" t="inlineStr">
        <is>
          <t>ASSUMP_STARGATE_RAMP; ASSUMP_MS_OPENAI_ATTRIBUTION; ASSUMP_NUMERIC_ACCELERATOR_MIX; ASSUMP_INFERENCE_SHARE_NOT_FACT_60; ASSUMP_WORKLOAD_CLASS_MIX; ASSUMP_AGENTIC_CONTEXT_PENALTY</t>
        </is>
      </c>
      <c r="L2580" s="3" t="inlineStr">
        <is>
          <t>Energization dates, accelerator deliveries and operational powered-rack telemetry.</t>
        </is>
      </c>
    </row>
    <row r="2581">
      <c r="A2581" s="3" t="inlineStr">
        <is>
          <t>OpenAI</t>
        </is>
      </c>
      <c r="B2581" s="3" t="n">
        <v>2028</v>
      </c>
      <c r="C2581" s="3" t="inlineStr">
        <is>
          <t>Bull</t>
        </is>
      </c>
      <c r="D2581" s="3" t="inlineStr">
        <is>
          <t>pue</t>
        </is>
      </c>
      <c r="E2581" s="3" t="n">
        <v>1.2</v>
      </c>
      <c r="F2581" s="3" t="inlineStr">
        <is>
          <t>ratio</t>
        </is>
      </c>
      <c r="G2581" s="3" t="inlineStr">
        <is>
          <t>Scenario parameter</t>
        </is>
      </c>
      <c r="H2581" s="3" t="inlineStr">
        <is>
          <t>it_load_gw = active_power_gw / pue</t>
        </is>
      </c>
      <c r="I2581" s="3" t="inlineStr">
        <is>
          <t>No provider-wide site-level PUE is used as a disclosed fact; PUE represents facility-to-IT conversion within the scenario.</t>
        </is>
      </c>
      <c r="J2581" s="3" t="inlineStr">
        <is>
          <t>ASSUMP_POWER_RAMP</t>
        </is>
      </c>
      <c r="K2581" s="3" t="inlineStr">
        <is>
          <t>ASSUMP_STARGATE_RAMP; ASSUMP_MS_OPENAI_ATTRIBUTION; ASSUMP_NUMERIC_ACCELERATOR_MIX; ASSUMP_INFERENCE_SHARE_NOT_FACT_60; ASSUMP_WORKLOAD_CLASS_MIX; ASSUMP_AGENTIC_CONTEXT_PENALTY</t>
        </is>
      </c>
      <c r="L2581" s="3" t="inlineStr">
        <is>
          <t>Site-level measured PUE matched to attributed AI capacity.</t>
        </is>
      </c>
    </row>
    <row r="2582">
      <c r="A2582" s="3" t="inlineStr">
        <is>
          <t>OpenAI</t>
        </is>
      </c>
      <c r="B2582" s="3" t="n">
        <v>2028</v>
      </c>
      <c r="C2582" s="3" t="inlineStr">
        <is>
          <t>Bull</t>
        </is>
      </c>
      <c r="D2582" s="3" t="inlineStr">
        <is>
          <t>it_load_gw</t>
        </is>
      </c>
      <c r="E2582" s="3" t="n">
        <v>4.599</v>
      </c>
      <c r="F2582" s="3" t="inlineStr">
        <is>
          <t>GW</t>
        </is>
      </c>
      <c r="G2582" s="3" t="inlineStr">
        <is>
          <t>Derived formula</t>
        </is>
      </c>
      <c r="H2582" s="3" t="inlineStr">
        <is>
          <t>active_power_gw / pue</t>
        </is>
      </c>
      <c r="I2582" s="3" t="inlineStr">
        <is>
          <t>Facility power is converted to IT-deliverable power before attributing AI workloads.</t>
        </is>
      </c>
      <c r="J2582" s="3" t="inlineStr">
        <is>
          <t>SRC_OPENAI_STARGATE_ORACLE; SRC_OPENAI_STARGATE_PROGRESS; ASSUMP_STARGATE_RAMP</t>
        </is>
      </c>
      <c r="K2582" s="3" t="inlineStr">
        <is>
          <t>ASSUMP_STARGATE_RAMP; ASSUMP_MS_OPENAI_ATTRIBUTION; ASSUMP_NUMERIC_ACCELERATOR_MIX; ASSUMP_INFERENCE_SHARE_NOT_FACT_60; ASSUMP_WORKLOAD_CLASS_MIX; ASSUMP_AGENTIC_CONTEXT_PENALTY</t>
        </is>
      </c>
      <c r="L2582" s="3" t="inlineStr">
        <is>
          <t>Recompute once active power and PUE become site-observable.</t>
        </is>
      </c>
    </row>
    <row r="2583">
      <c r="A2583" s="3" t="inlineStr">
        <is>
          <t>OpenAI</t>
        </is>
      </c>
      <c r="B2583" s="3" t="n">
        <v>2028</v>
      </c>
      <c r="C2583" s="3" t="inlineStr">
        <is>
          <t>Bull</t>
        </is>
      </c>
      <c r="D2583" s="3" t="inlineStr">
        <is>
          <t>ai_workload_share</t>
        </is>
      </c>
      <c r="E2583" s="3" t="n">
        <v>0.88</v>
      </c>
      <c r="F2583" s="3" t="inlineStr">
        <is>
          <t>share</t>
        </is>
      </c>
      <c r="G2583" s="3" t="inlineStr">
        <is>
          <t>Scenario allocation</t>
        </is>
      </c>
      <c r="H2583" s="3" t="inlineStr">
        <is>
          <t>ai_it_load_gw = it_load_gw * ai_workload_share</t>
        </is>
      </c>
      <c r="I2583" s="3" t="inlineStr">
        <is>
          <t>Stargate capacity is AI-oriented but includes reserve, platform and non-token AI activity; 88% is a scenario.</t>
        </is>
      </c>
      <c r="J2583" s="3" t="inlineStr">
        <is>
          <t>SRC_OPENAI_GPT41_DOCS; SRC_OPENAI_STARGATE_ORACLE; SRC_OPENAI_STARGATE_PROGRESS; SRC_EPOCH_AI_DATA_CENTERS</t>
        </is>
      </c>
      <c r="K2583" s="3" t="inlineStr">
        <is>
          <t>ASSUMP_STARGATE_RAMP; ASSUMP_MS_OPENAI_ATTRIBUTION; ASSUMP_NUMERIC_ACCELERATOR_MIX; ASSUMP_INFERENCE_SHARE_NOT_FACT_60; ASSUMP_WORKLOAD_CLASS_MIX; ASSUMP_AGENTIC_CONTEXT_PENALTY</t>
        </is>
      </c>
      <c r="L2583" s="3" t="inlineStr">
        <is>
          <t>Model-owner AI workload allocation or cluster scheduling telemetry.</t>
        </is>
      </c>
    </row>
    <row r="2584">
      <c r="A2584" s="3" t="inlineStr">
        <is>
          <t>OpenAI</t>
        </is>
      </c>
      <c r="B2584" s="3" t="n">
        <v>2028</v>
      </c>
      <c r="C2584" s="3" t="inlineStr">
        <is>
          <t>Bull</t>
        </is>
      </c>
      <c r="D2584" s="3" t="inlineStr">
        <is>
          <t>ai_it_load_gw</t>
        </is>
      </c>
      <c r="E2584" s="3" t="n">
        <v>4.047</v>
      </c>
      <c r="F2584" s="3" t="inlineStr">
        <is>
          <t>GW</t>
        </is>
      </c>
      <c r="G2584" s="3" t="inlineStr">
        <is>
          <t>Derived formula</t>
        </is>
      </c>
      <c r="H2584" s="3" t="inlineStr">
        <is>
          <t>it_load_gw * ai_workload_share</t>
        </is>
      </c>
      <c r="I2584" s="3" t="inlineStr">
        <is>
          <t>Only the AI-attributed portion of IT load enters training/inference allocation.</t>
        </is>
      </c>
      <c r="J2584" s="3" t="inlineStr">
        <is>
          <t>SRC_OPENAI_GPT41_DOCS; SRC_OPENAI_STARGATE_ORACLE; SRC_OPENAI_STARGATE_PROGRESS; SRC_EPOCH_AI_DATA_CENTERS</t>
        </is>
      </c>
      <c r="K2584" s="3" t="inlineStr">
        <is>
          <t>ASSUMP_STARGATE_RAMP; ASSUMP_MS_OPENAI_ATTRIBUTION; ASSUMP_NUMERIC_ACCELERATOR_MIX; ASSUMP_INFERENCE_SHARE_NOT_FACT_60; ASSUMP_WORKLOAD_CLASS_MIX; ASSUMP_AGENTIC_CONTEXT_PENALTY</t>
        </is>
      </c>
      <c r="L2584" s="3" t="inlineStr">
        <is>
          <t>Recompute after ai_workload_share is replaced by telemetry.</t>
        </is>
      </c>
    </row>
    <row r="2585">
      <c r="A2585" s="3" t="inlineStr">
        <is>
          <t>OpenAI</t>
        </is>
      </c>
      <c r="B2585" s="3" t="n">
        <v>2028</v>
      </c>
      <c r="C2585" s="3" t="inlineStr">
        <is>
          <t>Bull</t>
        </is>
      </c>
      <c r="D2585" s="3" t="inlineStr">
        <is>
          <t>gpu_share</t>
        </is>
      </c>
      <c r="E2585" s="3" t="n">
        <v>0.794485</v>
      </c>
      <c r="F2585" s="3" t="inlineStr">
        <is>
          <t>share of inference-serving accelerator load</t>
        </is>
      </c>
      <c r="G2585" s="3" t="inlineStr">
        <is>
          <t>Numeric scenario</t>
        </is>
      </c>
      <c r="H2585" s="3" t="inlineStr">
        <is>
          <t>gpu_share interpolated from company 2026/2030 accelerator-mix endpoints</t>
        </is>
      </c>
      <c r="I2585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585" s="3" t="inlineStr">
        <is>
          <t>SRC_OPENAI_GPT41_DOCS; SRC_OPENAI_STARGATE_ORACLE; SRC_OPENAI_STARGATE_PROGRESS; SRC_EPOCH_AI_DATA_CENTERS; ASSUMP_NUMERIC_ACCELERATOR_MIX</t>
        </is>
      </c>
      <c r="K2585" s="3" t="inlineStr">
        <is>
          <t>ASSUMP_STARGATE_RAMP; ASSUMP_MS_OPENAI_ATTRIBUTION; ASSUMP_NUMERIC_ACCELERATOR_MIX; ASSUMP_INFERENCE_SHARE_NOT_FACT_60; ASSUMP_WORKLOAD_CLASS_MIX; ASSUMP_AGENTIC_CONTEXT_PENALTY</t>
        </is>
      </c>
      <c r="L2585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586">
      <c r="A2586" s="3" t="inlineStr">
        <is>
          <t>OpenAI</t>
        </is>
      </c>
      <c r="B2586" s="3" t="n">
        <v>2028</v>
      </c>
      <c r="C2586" s="3" t="inlineStr">
        <is>
          <t>Bull</t>
        </is>
      </c>
      <c r="D2586" s="3" t="inlineStr">
        <is>
          <t>h200_share</t>
        </is>
      </c>
      <c r="E2586" s="3" t="n">
        <v>0.153136</v>
      </c>
      <c r="F2586" s="3" t="inlineStr">
        <is>
          <t>share of inference-serving accelerator load</t>
        </is>
      </c>
      <c r="G2586" s="3" t="inlineStr">
        <is>
          <t>Editable numeric scenario</t>
        </is>
      </c>
      <c r="H2586" s="3" t="inlineStr">
        <is>
          <t>h200_share = gpu_share * default_gpu_generation_mix_h200</t>
        </is>
      </c>
      <c r="I2586" s="3" t="inlineStr">
        <is>
          <t>Default GPU-generation migration assumption; executive workbook allows later manual replacement by company/year/scenario.</t>
        </is>
      </c>
      <c r="J2586" s="3" t="inlineStr">
        <is>
          <t>SRC_SEMIANALYSIS_INFERENCEX; ASSUMP_NUMERIC_ACCELERATOR_MIX</t>
        </is>
      </c>
      <c r="K2586" s="3" t="inlineStr">
        <is>
          <t>ASSUMP_STARGATE_RAMP; ASSUMP_MS_OPENAI_ATTRIBUTION; ASSUMP_NUMERIC_ACCELERATOR_MIX; ASSUMP_INFERENCE_SHARE_NOT_FACT_60; ASSUMP_WORKLOAD_CLASS_MIX; ASSUMP_AGENTIC_CONTEXT_PENALTY</t>
        </is>
      </c>
      <c r="L2586" s="3" t="inlineStr">
        <is>
          <t>Company fleet inventory, accelerator-hours or procurement/deployment records by GPU generation.</t>
        </is>
      </c>
    </row>
    <row r="2587">
      <c r="A2587" s="3" t="inlineStr">
        <is>
          <t>OpenAI</t>
        </is>
      </c>
      <c r="B2587" s="3" t="n">
        <v>2028</v>
      </c>
      <c r="C2587" s="3" t="inlineStr">
        <is>
          <t>Bull</t>
        </is>
      </c>
      <c r="D2587" s="3" t="inlineStr">
        <is>
          <t>b200_share</t>
        </is>
      </c>
      <c r="E2587" s="3" t="n">
        <v>0.5173219999999999</v>
      </c>
      <c r="F2587" s="3" t="inlineStr">
        <is>
          <t>share of inference-serving accelerator load</t>
        </is>
      </c>
      <c r="G2587" s="3" t="inlineStr">
        <is>
          <t>Editable numeric scenario</t>
        </is>
      </c>
      <c r="H2587" s="3" t="inlineStr">
        <is>
          <t>b200_share = gpu_share * default_gpu_generation_mix_b200</t>
        </is>
      </c>
      <c r="I2587" s="3" t="inlineStr">
        <is>
          <t>Default GPU-generation migration assumption; executive workbook allows later manual replacement by company/year/scenario.</t>
        </is>
      </c>
      <c r="J2587" s="3" t="inlineStr">
        <is>
          <t>SRC_SEMIANALYSIS_INFERENCEX; ASSUMP_NUMERIC_ACCELERATOR_MIX</t>
        </is>
      </c>
      <c r="K2587" s="3" t="inlineStr">
        <is>
          <t>ASSUMP_STARGATE_RAMP; ASSUMP_MS_OPENAI_ATTRIBUTION; ASSUMP_NUMERIC_ACCELERATOR_MIX; ASSUMP_INFERENCE_SHARE_NOT_FACT_60; ASSUMP_WORKLOAD_CLASS_MIX; ASSUMP_AGENTIC_CONTEXT_PENALTY</t>
        </is>
      </c>
      <c r="L2587" s="3" t="inlineStr">
        <is>
          <t>Company fleet inventory, accelerator-hours or procurement/deployment records by GPU generation.</t>
        </is>
      </c>
    </row>
    <row r="2588">
      <c r="A2588" s="3" t="inlineStr">
        <is>
          <t>OpenAI</t>
        </is>
      </c>
      <c r="B2588" s="3" t="n">
        <v>2028</v>
      </c>
      <c r="C2588" s="3" t="inlineStr">
        <is>
          <t>Bull</t>
        </is>
      </c>
      <c r="D2588" s="3" t="inlineStr">
        <is>
          <t>gb200_share</t>
        </is>
      </c>
      <c r="E2588" s="3" t="n">
        <v>0.124026</v>
      </c>
      <c r="F2588" s="3" t="inlineStr">
        <is>
          <t>share of inference-serving accelerator load</t>
        </is>
      </c>
      <c r="G2588" s="3" t="inlineStr">
        <is>
          <t>Editable numeric scenario</t>
        </is>
      </c>
      <c r="H2588" s="3" t="inlineStr">
        <is>
          <t>gb200_share = gpu_share * default_gpu_generation_mix_gb200</t>
        </is>
      </c>
      <c r="I2588" s="3" t="inlineStr">
        <is>
          <t>Default GPU-generation migration assumption; executive workbook allows later manual replacement by company/year/scenario.</t>
        </is>
      </c>
      <c r="J2588" s="3" t="inlineStr">
        <is>
          <t>SRC_SEMIANALYSIS_INFERENCEX; ASSUMP_NUMERIC_ACCELERATOR_MIX</t>
        </is>
      </c>
      <c r="K2588" s="3" t="inlineStr">
        <is>
          <t>ASSUMP_STARGATE_RAMP; ASSUMP_MS_OPENAI_ATTRIBUTION; ASSUMP_NUMERIC_ACCELERATOR_MIX; ASSUMP_INFERENCE_SHARE_NOT_FACT_60; ASSUMP_WORKLOAD_CLASS_MIX; ASSUMP_AGENTIC_CONTEXT_PENALTY</t>
        </is>
      </c>
      <c r="L2588" s="3" t="inlineStr">
        <is>
          <t>Company fleet inventory, accelerator-hours or procurement/deployment records by GPU generation.</t>
        </is>
      </c>
    </row>
    <row r="2589">
      <c r="A2589" s="3" t="inlineStr">
        <is>
          <t>OpenAI</t>
        </is>
      </c>
      <c r="B2589" s="3" t="n">
        <v>2028</v>
      </c>
      <c r="C2589" s="3" t="inlineStr">
        <is>
          <t>Bull</t>
        </is>
      </c>
      <c r="D2589" s="3" t="inlineStr">
        <is>
          <t>purpose_built_accelerator_share</t>
        </is>
      </c>
      <c r="E2589" s="3" t="n">
        <v>0.205515</v>
      </c>
      <c r="F2589" s="3" t="inlineStr">
        <is>
          <t>share of inference-serving accelerator load</t>
        </is>
      </c>
      <c r="G2589" s="3" t="inlineStr">
        <is>
          <t>Numeric scenario</t>
        </is>
      </c>
      <c r="H2589" s="3" t="inlineStr">
        <is>
          <t>1 - gpu_share</t>
        </is>
      </c>
      <c r="I2589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589" s="3" t="inlineStr">
        <is>
          <t>SRC_OPENAI_GPT41_DOCS; SRC_OPENAI_STARGATE_ORACLE; SRC_OPENAI_STARGATE_PROGRESS; SRC_EPOCH_AI_DATA_CENTERS; ASSUMP_NUMERIC_ACCELERATOR_MIX</t>
        </is>
      </c>
      <c r="K2589" s="3" t="inlineStr">
        <is>
          <t>ASSUMP_STARGATE_RAMP; ASSUMP_MS_OPENAI_ATTRIBUTION; ASSUMP_NUMERIC_ACCELERATOR_MIX; ASSUMP_INFERENCE_SHARE_NOT_FACT_60; ASSUMP_WORKLOAD_CLASS_MIX; ASSUMP_AGENTIC_CONTEXT_PENALTY</t>
        </is>
      </c>
      <c r="L2589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590">
      <c r="A2590" s="3" t="inlineStr">
        <is>
          <t>OpenAI</t>
        </is>
      </c>
      <c r="B2590" s="3" t="n">
        <v>2028</v>
      </c>
      <c r="C2590" s="3" t="inlineStr">
        <is>
          <t>Bull</t>
        </is>
      </c>
      <c r="D2590" s="3" t="inlineStr">
        <is>
          <t>fleet_reference_tps_per_mw</t>
        </is>
      </c>
      <c r="E2590" s="3" t="n">
        <v>283113</v>
      </c>
      <c r="F2590" s="3" t="inlineStr">
        <is>
          <t>generated output tokens/sec/MW</t>
        </is>
      </c>
      <c r="G2590" s="3" t="inlineStr">
        <is>
          <t>Fleet-weighted public benchmark reference</t>
        </is>
      </c>
      <c r="H2590" s="3" t="inlineStr">
        <is>
          <t>h200_share*h200_workload_avg + b200_share*b200_workload_avg + gb200_share*gb200_workload_avg + purpose_built_share*purpose_workload_avg</t>
        </is>
      </c>
      <c r="I259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590" s="3" t="inlineStr">
        <is>
          <t>SRC_SEMIANALYSIS_INFERENCEX; ASSUMP_NUMERIC_ACCELERATOR_MIX; ASSUMP_WORKLOAD_CLASS_MIX; ASSUMP_AGENTIC_CONTEXT_PENALTY</t>
        </is>
      </c>
      <c r="K2590" s="3" t="inlineStr">
        <is>
          <t>ASSUMP_STARGATE_RAMP; ASSUMP_MS_OPENAI_ATTRIBUTION; ASSUMP_NUMERIC_ACCELERATOR_MIX; ASSUMP_INFERENCE_SHARE_NOT_FACT_60; ASSUMP_WORKLOAD_CLASS_MIX; ASSUMP_AGENTIC_CONTEXT_PENALTY</t>
        </is>
      </c>
      <c r="L2590" s="3" t="inlineStr">
        <is>
          <t>Comparable production output-token throughput or a more closely matched benchmark.</t>
        </is>
      </c>
    </row>
    <row r="2591">
      <c r="A2591" s="3" t="inlineStr">
        <is>
          <t>OpenAI</t>
        </is>
      </c>
      <c r="B2591" s="3" t="n">
        <v>2028</v>
      </c>
      <c r="C2591" s="3" t="inlineStr">
        <is>
          <t>Bull</t>
        </is>
      </c>
      <c r="D2591" s="3" t="inlineStr">
        <is>
          <t>commercial_workload_fit_factor</t>
        </is>
      </c>
      <c r="E2591" s="3" t="n">
        <v>0.7</v>
      </c>
      <c r="F2591" s="3" t="inlineStr">
        <is>
          <t>share of public reference throughput</t>
        </is>
      </c>
      <c r="G2591" s="3" t="inlineStr">
        <is>
          <t>Scenario assumption</t>
        </is>
      </c>
      <c r="H2591" s="3" t="inlineStr">
        <is>
          <t>reference_serving_tps_per_mw = fleet_reference_tps_per_mw * commercial_workload_fit_factor</t>
        </is>
      </c>
      <c r="I2591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591" s="3" t="inlineStr">
        <is>
          <t>SRC_SEMIANALYSIS_INFERENCEX; ASSUMP_NUMERIC_ACCELERATOR_MIX; ASSUMP_WORKLOAD_CLASS_MIX; ASSUMP_AGENTIC_CONTEXT_PENALTY</t>
        </is>
      </c>
      <c r="K2591" s="3" t="inlineStr">
        <is>
          <t>ASSUMP_STARGATE_RAMP; ASSUMP_MS_OPENAI_ATTRIBUTION; ASSUMP_NUMERIC_ACCELERATOR_MIX; ASSUMP_INFERENCE_SHARE_NOT_FACT_60; ASSUMP_WORKLOAD_CLASS_MIX; ASSUMP_AGENTIC_CONTEXT_PENALTY</t>
        </is>
      </c>
      <c r="L2591" s="3" t="inlineStr">
        <is>
          <t>Matched commercial serving benchmark by product surface, context shape and latency SLO.</t>
        </is>
      </c>
    </row>
    <row r="2592">
      <c r="A2592" s="3" t="inlineStr">
        <is>
          <t>OpenAI</t>
        </is>
      </c>
      <c r="B2592" s="3" t="n">
        <v>2028</v>
      </c>
      <c r="C2592" s="3" t="inlineStr">
        <is>
          <t>Bull</t>
        </is>
      </c>
      <c r="D2592" s="3" t="inlineStr">
        <is>
          <t>reference_serving_tps_per_mw</t>
        </is>
      </c>
      <c r="E2592" s="3" t="n">
        <v>198179</v>
      </c>
      <c r="F2592" s="3" t="inlineStr">
        <is>
          <t>generated output tokens/sec/MW</t>
        </is>
      </c>
      <c r="G2592" s="3" t="inlineStr">
        <is>
          <t>Workload-adjusted benchmark proxy</t>
        </is>
      </c>
      <c r="H2592" s="3" t="inlineStr">
        <is>
          <t>fleet_reference_tps_per_mw * commercial_workload_fit_factor</t>
        </is>
      </c>
      <c r="I2592" s="3" t="inlineStr">
        <is>
          <t>This is the coefficient used for headline token generation; each GPU's short chat, long chat and agentic TPS/MW are weighted before fleet mix and commercial fit are applied.</t>
        </is>
      </c>
      <c r="J2592" s="3" t="inlineStr">
        <is>
          <t>SRC_SEMIANALYSIS_INFERENCEX; ASSUMP_NUMERIC_ACCELERATOR_MIX; ASSUMP_WORKLOAD_CLASS_MIX; ASSUMP_AGENTIC_CONTEXT_PENALTY</t>
        </is>
      </c>
      <c r="K2592" s="3" t="inlineStr">
        <is>
          <t>ASSUMP_STARGATE_RAMP; ASSUMP_MS_OPENAI_ATTRIBUTION; ASSUMP_NUMERIC_ACCELERATOR_MIX; ASSUMP_INFERENCE_SHARE_NOT_FACT_60; ASSUMP_WORKLOAD_CLASS_MIX; ASSUMP_AGENTIC_CONTEXT_PENALTY</t>
        </is>
      </c>
      <c r="L2592" s="3" t="inlineStr">
        <is>
          <t>Provider production output-token throughput with comparable workload/SLO.</t>
        </is>
      </c>
    </row>
    <row r="2593">
      <c r="A2593" s="3" t="inlineStr">
        <is>
          <t>OpenAI</t>
        </is>
      </c>
      <c r="B2593" s="3" t="n">
        <v>2028</v>
      </c>
      <c r="C2593" s="3" t="inlineStr">
        <is>
          <t>Bull</t>
        </is>
      </c>
      <c r="D2593" s="3" t="inlineStr">
        <is>
          <t>purpose_built_tps_per_mw</t>
        </is>
      </c>
      <c r="E2593" s="3" t="n">
        <v>94714</v>
      </c>
      <c r="F2593" s="3" t="inlineStr">
        <is>
          <t>generated output tokens/sec/MW</t>
        </is>
      </c>
      <c r="G2593" s="3" t="inlineStr">
        <is>
          <t>Conservative no-uplift proxy</t>
        </is>
      </c>
      <c r="H2593" s="3" t="inlineStr">
        <is>
          <t>purpose_built_tps_per_mw = purpose_built_reference_tps_per_mw * commercial_workload_fit_factor until comparable output-token benchmark is adopted</t>
        </is>
      </c>
      <c r="I2593" s="3" t="inlineStr">
        <is>
          <t>No comparable public output-token/MW row adopted; B200 public reference placeholder is used and remains editable.</t>
        </is>
      </c>
      <c r="J2593" s="3" t="inlineStr">
        <is>
          <t>SRC_OPENAI_GPT41_DOCS; SRC_OPENAI_STARGATE_ORACLE; SRC_OPENAI_STARGATE_PROGRESS; SRC_EPOCH_AI_DATA_CENTERS; ASSUMP_NUMERIC_ACCELERATOR_MIX</t>
        </is>
      </c>
      <c r="K2593" s="3" t="inlineStr">
        <is>
          <t>ASSUMP_STARGATE_RAMP; ASSUMP_MS_OPENAI_ATTRIBUTION; ASSUMP_NUMERIC_ACCELERATOR_MIX; ASSUMP_INFERENCE_SHARE_NOT_FACT_60; ASSUMP_WORKLOAD_CLASS_MIX; ASSUMP_AGENTIC_CONTEXT_PENALTY</t>
        </is>
      </c>
      <c r="L2593" s="3" t="inlineStr">
        <is>
          <t>Matched-workload generated-output benchmark for the provider purpose-built accelerator.</t>
        </is>
      </c>
    </row>
    <row r="2594">
      <c r="A2594" s="3" t="inlineStr">
        <is>
          <t>OpenAI</t>
        </is>
      </c>
      <c r="B2594" s="3" t="n">
        <v>2028</v>
      </c>
      <c r="C2594" s="3" t="inlineStr">
        <is>
          <t>Bull</t>
        </is>
      </c>
      <c r="D2594" s="3" t="inlineStr">
        <is>
          <t>inference_power_share</t>
        </is>
      </c>
      <c r="E2594" s="3" t="n">
        <v>0.745</v>
      </c>
      <c r="F2594" s="3" t="inlineStr">
        <is>
          <t>share of AI IT load</t>
        </is>
      </c>
      <c r="G2594" s="3" t="inlineStr">
        <is>
          <t>Scenario allocation</t>
        </is>
      </c>
      <c r="H2594" s="3" t="inlineStr">
        <is>
          <t>inference_gw = ai_it_load_gw * inference_power_share</t>
        </is>
      </c>
      <c r="I2594" s="3" t="inlineStr">
        <is>
          <t>ChatGPT/API/enterprise commercial surfaces support increasing inference allocation while training remains material.</t>
        </is>
      </c>
      <c r="J2594" s="3" t="inlineStr">
        <is>
          <t>SRC_OPENAI_GPT41_DOCS; SRC_OPENAI_STARGATE_ORACLE; SRC_OPENAI_STARGATE_PROGRESS; SRC_EPOCH_AI_DATA_CENTERS; ASSUMP_INFERENCE_SHARE_NOT_FACT_60</t>
        </is>
      </c>
      <c r="K2594" s="3" t="inlineStr">
        <is>
          <t>ASSUMP_STARGATE_RAMP; ASSUMP_MS_OPENAI_ATTRIBUTION; ASSUMP_NUMERIC_ACCELERATOR_MIX; ASSUMP_INFERENCE_SHARE_NOT_FACT_60; ASSUMP_WORKLOAD_CLASS_MIX; ASSUMP_AGENTIC_CONTEXT_PENALTY</t>
        </is>
      </c>
      <c r="L2594" s="3" t="inlineStr">
        <is>
          <t>Provider-specific inference/training workload power telemetry.</t>
        </is>
      </c>
    </row>
    <row r="2595">
      <c r="A2595" s="3" t="inlineStr">
        <is>
          <t>OpenAI</t>
        </is>
      </c>
      <c r="B2595" s="3" t="n">
        <v>2028</v>
      </c>
      <c r="C2595" s="3" t="inlineStr">
        <is>
          <t>Bull</t>
        </is>
      </c>
      <c r="D2595" s="3" t="inlineStr">
        <is>
          <t>inference_gw</t>
        </is>
      </c>
      <c r="E2595" s="3" t="n">
        <v>3.015</v>
      </c>
      <c r="F2595" s="3" t="inlineStr">
        <is>
          <t>GW</t>
        </is>
      </c>
      <c r="G2595" s="3" t="inlineStr">
        <is>
          <t>Derived formula</t>
        </is>
      </c>
      <c r="H2595" s="3" t="inlineStr">
        <is>
          <t>ai_it_load_gw * inference_power_share</t>
        </is>
      </c>
      <c r="I2595" s="3" t="inlineStr">
        <is>
          <t>This is the operational power eligible to become commercial generated output tokens through the selected TPS/MW proxy.</t>
        </is>
      </c>
      <c r="J2595" s="3" t="inlineStr">
        <is>
          <t>SRC_OPENAI_GPT41_DOCS; SRC_OPENAI_STARGATE_ORACLE; SRC_OPENAI_STARGATE_PROGRESS; SRC_EPOCH_AI_DATA_CENTERS</t>
        </is>
      </c>
      <c r="K2595" s="3" t="inlineStr">
        <is>
          <t>ASSUMP_STARGATE_RAMP; ASSUMP_MS_OPENAI_ATTRIBUTION; ASSUMP_NUMERIC_ACCELERATOR_MIX; ASSUMP_INFERENCE_SHARE_NOT_FACT_60; ASSUMP_WORKLOAD_CLASS_MIX; ASSUMP_AGENTIC_CONTEXT_PENALTY</t>
        </is>
      </c>
      <c r="L2595" s="3" t="inlineStr">
        <is>
          <t>Recompute after AI allocation or inference-share evidence changes.</t>
        </is>
      </c>
    </row>
    <row r="2596">
      <c r="A2596" s="3" t="inlineStr">
        <is>
          <t>OpenAI</t>
        </is>
      </c>
      <c r="B2596" s="3" t="n">
        <v>2028</v>
      </c>
      <c r="C2596" s="3" t="inlineStr">
        <is>
          <t>Bull</t>
        </is>
      </c>
      <c r="D2596" s="3" t="inlineStr">
        <is>
          <t>training_power_share</t>
        </is>
      </c>
      <c r="E2596" s="3" t="n">
        <v>0.255</v>
      </c>
      <c r="F2596" s="3" t="inlineStr">
        <is>
          <t>share of AI IT load</t>
        </is>
      </c>
      <c r="G2596" s="3" t="inlineStr">
        <is>
          <t>Derived allocation</t>
        </is>
      </c>
      <c r="H2596" s="3" t="inlineStr">
        <is>
          <t>1 - inference_power_share</t>
        </is>
      </c>
      <c r="I2596" s="3" t="inlineStr">
        <is>
          <t>Training receives the complementary modeled AI IT allocation; it is not a disclosed company workload split.</t>
        </is>
      </c>
      <c r="J2596" s="3" t="inlineStr">
        <is>
          <t>SRC_OPENAI_GPT41_DOCS; SRC_OPENAI_STARGATE_ORACLE; SRC_OPENAI_STARGATE_PROGRESS; SRC_EPOCH_AI_DATA_CENTERS; ASSUMP_INFERENCE_SHARE_NOT_FACT_60</t>
        </is>
      </c>
      <c r="K2596" s="3" t="inlineStr">
        <is>
          <t>ASSUMP_STARGATE_RAMP; ASSUMP_MS_OPENAI_ATTRIBUTION; ASSUMP_NUMERIC_ACCELERATOR_MIX; ASSUMP_INFERENCE_SHARE_NOT_FACT_60; ASSUMP_WORKLOAD_CLASS_MIX; ASSUMP_AGENTIC_CONTEXT_PENALTY</t>
        </is>
      </c>
      <c r="L2596" s="3" t="inlineStr">
        <is>
          <t>Provider-specific inference/training workload power telemetry.</t>
        </is>
      </c>
    </row>
    <row r="2597">
      <c r="A2597" s="3" t="inlineStr">
        <is>
          <t>OpenAI</t>
        </is>
      </c>
      <c r="B2597" s="3" t="n">
        <v>2028</v>
      </c>
      <c r="C2597" s="3" t="inlineStr">
        <is>
          <t>Bull</t>
        </is>
      </c>
      <c r="D2597" s="3" t="inlineStr">
        <is>
          <t>training_gw</t>
        </is>
      </c>
      <c r="E2597" s="3" t="n">
        <v>1.032</v>
      </c>
      <c r="F2597" s="3" t="inlineStr">
        <is>
          <t>GW</t>
        </is>
      </c>
      <c r="G2597" s="3" t="inlineStr">
        <is>
          <t>Derived formula</t>
        </is>
      </c>
      <c r="H2597" s="3" t="inlineStr">
        <is>
          <t>ai_it_load_gw * training_power_share</t>
        </is>
      </c>
      <c r="I2597" s="3" t="inlineStr">
        <is>
          <t>Training GW is shown separately so commercial inference token capacity is not overstated.</t>
        </is>
      </c>
      <c r="J2597" s="3" t="inlineStr">
        <is>
          <t>SRC_OPENAI_GPT41_DOCS; SRC_OPENAI_STARGATE_ORACLE; SRC_OPENAI_STARGATE_PROGRESS; SRC_EPOCH_AI_DATA_CENTERS</t>
        </is>
      </c>
      <c r="K2597" s="3" t="inlineStr">
        <is>
          <t>ASSUMP_STARGATE_RAMP; ASSUMP_MS_OPENAI_ATTRIBUTION; ASSUMP_NUMERIC_ACCELERATOR_MIX; ASSUMP_INFERENCE_SHARE_NOT_FACT_60; ASSUMP_WORKLOAD_CLASS_MIX; ASSUMP_AGENTIC_CONTEXT_PENALTY</t>
        </is>
      </c>
      <c r="L2597" s="3" t="inlineStr">
        <is>
          <t>Recompute after AI allocation or workload-split evidence changes.</t>
        </is>
      </c>
    </row>
    <row r="2598">
      <c r="A2598" s="3" t="inlineStr">
        <is>
          <t>OpenAI</t>
        </is>
      </c>
      <c r="B2598" s="3" t="n">
        <v>2028</v>
      </c>
      <c r="C2598" s="3" t="inlineStr">
        <is>
          <t>Bull</t>
        </is>
      </c>
      <c r="D2598" s="3" t="inlineStr">
        <is>
          <t>tokens_per_second_per_mw</t>
        </is>
      </c>
      <c r="E2598" s="3" t="n">
        <v>198179</v>
      </c>
      <c r="F2598" s="3" t="inlineStr">
        <is>
          <t>generated output tokens/sec/MW</t>
        </is>
      </c>
      <c r="G2598" s="3" t="inlineStr">
        <is>
          <t>Derived estimate + benchmark calibration</t>
        </is>
      </c>
      <c r="H2598" s="3" t="inlineStr">
        <is>
          <t>fleet_reference_tps_per_mw * commercial_workload_fit_factor</t>
        </is>
      </c>
      <c r="I2598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598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598" s="3" t="inlineStr">
        <is>
          <t>ASSUMP_STARGATE_RAMP; ASSUMP_MS_OPENAI_ATTRIBUTION; ASSUMP_NUMERIC_ACCELERATOR_MIX; ASSUMP_INFERENCE_SHARE_NOT_FACT_60; ASSUMP_WORKLOAD_CLASS_MIX; ASSUMP_AGENTIC_CONTEXT_PENALTY</t>
        </is>
      </c>
      <c r="L2598" s="3" t="inlineStr">
        <is>
          <t>Comparable production output-token throughput with model, hardware, precision, ISL/OSL and SLO matched.</t>
        </is>
      </c>
    </row>
    <row r="2599">
      <c r="A2599" s="3" t="inlineStr">
        <is>
          <t>OpenAI</t>
        </is>
      </c>
      <c r="B2599" s="3" t="n">
        <v>2028</v>
      </c>
      <c r="C2599" s="3" t="inlineStr">
        <is>
          <t>Bull</t>
        </is>
      </c>
      <c r="D2599" s="3" t="inlineStr">
        <is>
          <t>inference_tokens_per_day</t>
        </is>
      </c>
      <c r="E2599" s="3" t="n">
        <v>51624836784000</v>
      </c>
      <c r="F2599" s="3" t="inlineStr">
        <is>
          <t>generated output tokens/day</t>
        </is>
      </c>
      <c r="G2599" s="3" t="inlineStr">
        <is>
          <t>Derived headline metric</t>
        </is>
      </c>
      <c r="H2599" s="3" t="inlineStr">
        <is>
          <t>inference_gw * 1000 * tokens_per_second_per_mw * 86,400</t>
        </is>
      </c>
      <c r="I2599" s="3" t="inlineStr">
        <is>
          <t>Headline capacity uses no utilization, MoE, architecture or software-growth multiplier; it is not observed commercial output volume.</t>
        </is>
      </c>
      <c r="J2599" s="3" t="inlineStr">
        <is>
          <t>SRC_OPENAI_GPT41_DOCS; SRC_OPENAI_STARGATE_ORACLE; SRC_OPENAI_STARGATE_PROGRESS; SRC_EPOCH_AI_DATA_CENTERS; SRC_SEMIANALYSIS_INFERENCEX</t>
        </is>
      </c>
      <c r="K2599" s="3" t="inlineStr">
        <is>
          <t>ASSUMP_STARGATE_RAMP; ASSUMP_MS_OPENAI_ATTRIBUTION; ASSUMP_NUMERIC_ACCELERATOR_MIX; ASSUMP_INFERENCE_SHARE_NOT_FACT_60; ASSUMP_WORKLOAD_CLASS_MIX; ASSUMP_AGENTIC_CONTEXT_PENALTY</t>
        </is>
      </c>
      <c r="L2599" s="3" t="inlineStr">
        <is>
          <t>Provider-disclosed generated output token volume or calibrated capacity telemetry.</t>
        </is>
      </c>
    </row>
    <row r="2600">
      <c r="A2600" s="3" t="inlineStr">
        <is>
          <t>OpenAI</t>
        </is>
      </c>
      <c r="B2600" s="3" t="n">
        <v>2028</v>
      </c>
      <c r="C2600" s="3" t="inlineStr">
        <is>
          <t>Bull</t>
        </is>
      </c>
      <c r="D2600" s="3" t="inlineStr">
        <is>
          <t>inference_tokens_per_year</t>
        </is>
      </c>
      <c r="E2600" s="3" t="n">
        <v>1.884306542616e+16</v>
      </c>
      <c r="F2600" s="3" t="inlineStr">
        <is>
          <t>generated output tokens/year</t>
        </is>
      </c>
      <c r="G2600" s="3" t="inlineStr">
        <is>
          <t>Derived headline metric</t>
        </is>
      </c>
      <c r="H2600" s="3" t="inlineStr">
        <is>
          <t>inference_tokens_per_day * 365</t>
        </is>
      </c>
      <c r="I2600" s="3" t="inlineStr">
        <is>
          <t>Annualized version of generated output token capacity; it is not observed annual demand or billable volume.</t>
        </is>
      </c>
      <c r="J2600" s="3" t="inlineStr">
        <is>
          <t>SRC_OPENAI_GPT41_DOCS; SRC_OPENAI_STARGATE_ORACLE; SRC_OPENAI_STARGATE_PROGRESS; SRC_EPOCH_AI_DATA_CENTERS; SRC_SEMIANALYSIS_INFERENCEX</t>
        </is>
      </c>
      <c r="K2600" s="3" t="inlineStr">
        <is>
          <t>ASSUMP_STARGATE_RAMP; ASSUMP_MS_OPENAI_ATTRIBUTION; ASSUMP_NUMERIC_ACCELERATOR_MIX; ASSUMP_INFERENCE_SHARE_NOT_FACT_60; ASSUMP_WORKLOAD_CLASS_MIX; ASSUMP_AGENTIC_CONTEXT_PENALTY</t>
        </is>
      </c>
      <c r="L2600" s="3" t="inlineStr">
        <is>
          <t>Provider-disclosed annual generated-output volume or metered serving telemetry.</t>
        </is>
      </c>
    </row>
    <row r="2601">
      <c r="A2601" s="3" t="inlineStr">
        <is>
          <t>OpenAI</t>
        </is>
      </c>
      <c r="B2601" s="3" t="n">
        <v>2029</v>
      </c>
      <c r="C2601" s="3" t="inlineStr">
        <is>
          <t>Bull</t>
        </is>
      </c>
      <c r="D2601" s="3" t="inlineStr">
        <is>
          <t>contracted_power_gw</t>
        </is>
      </c>
      <c r="E2601" s="3" t="n">
        <v>10.25</v>
      </c>
      <c r="F2601" s="3" t="inlineStr">
        <is>
          <t>GW</t>
        </is>
      </c>
      <c r="G2601" s="3" t="inlineStr">
        <is>
          <t>Fact anchor + scenario ceiling</t>
        </is>
      </c>
      <c r="H2601" s="3" t="inlineStr">
        <is>
          <t>linear interpolation between 2026 and 2030 company capacity endpoints</t>
        </is>
      </c>
      <c r="I2601" s="3" t="inlineStr">
        <is>
          <t>2030 envelope is bounded by official Stargate planned/committed capacity; 2026 and timing remain staged scenario values.</t>
        </is>
      </c>
      <c r="J2601" s="3" t="inlineStr">
        <is>
          <t>SRC_OPENAI_STARGATE_ORACLE; SRC_OPENAI_STARGATE_PROGRESS; ASSUMP_STARGATE_RAMP</t>
        </is>
      </c>
      <c r="K2601" s="3" t="inlineStr">
        <is>
          <t>ASSUMP_STARGATE_RAMP; ASSUMP_MS_OPENAI_ATTRIBUTION; ASSUMP_NUMERIC_ACCELERATOR_MIX; ASSUMP_INFERENCE_SHARE_NOT_FACT_60; ASSUMP_WORKLOAD_CLASS_MIX; ASSUMP_AGENTIC_CONTEXT_PENALTY</t>
        </is>
      </c>
      <c r="L2601" s="3" t="inlineStr">
        <is>
          <t>Company/site-level committed MW/GW, interconnect and contract disclosure.</t>
        </is>
      </c>
    </row>
    <row r="2602">
      <c r="A2602" s="3" t="inlineStr">
        <is>
          <t>OpenAI</t>
        </is>
      </c>
      <c r="B2602" s="3" t="n">
        <v>2029</v>
      </c>
      <c r="C2602" s="3" t="inlineStr">
        <is>
          <t>Bull</t>
        </is>
      </c>
      <c r="D2602" s="3" t="inlineStr">
        <is>
          <t>operational_deployment_share</t>
        </is>
      </c>
      <c r="E2602" s="3" t="n">
        <v>0.75287805</v>
      </c>
      <c r="F2602" s="3" t="inlineStr">
        <is>
          <t>share</t>
        </is>
      </c>
      <c r="G2602" s="3" t="inlineStr">
        <is>
          <t>Scenario conversion</t>
        </is>
      </c>
      <c r="H2602" s="3" t="inlineStr">
        <is>
          <t>active_power_gw / contracted_power_gw</t>
        </is>
      </c>
      <c r="I2602" s="3" t="inlineStr">
        <is>
          <t>This is the single explicit conversion from contracted/attributed capacity to operationally usable capacity.</t>
        </is>
      </c>
      <c r="J2602" s="3" t="inlineStr">
        <is>
          <t>SRC_OPENAI_STARGATE_ORACLE; SRC_OPENAI_STARGATE_PROGRESS; ASSUMP_STARGATE_RAMP</t>
        </is>
      </c>
      <c r="K2602" s="3" t="inlineStr">
        <is>
          <t>ASSUMP_STARGATE_RAMP; ASSUMP_MS_OPENAI_ATTRIBUTION; ASSUMP_NUMERIC_ACCELERATOR_MIX; ASSUMP_INFERENCE_SHARE_NOT_FACT_60; ASSUMP_WORKLOAD_CLASS_MIX; ASSUMP_AGENTIC_CONTEXT_PENALTY</t>
        </is>
      </c>
      <c r="L2602" s="3" t="inlineStr">
        <is>
          <t>Energized operational capacity divided by contracted/attributed capacity.</t>
        </is>
      </c>
    </row>
    <row r="2603">
      <c r="A2603" s="3" t="inlineStr">
        <is>
          <t>OpenAI</t>
        </is>
      </c>
      <c r="B2603" s="3" t="n">
        <v>2029</v>
      </c>
      <c r="C2603" s="3" t="inlineStr">
        <is>
          <t>Bull</t>
        </is>
      </c>
      <c r="D2603" s="3" t="inlineStr">
        <is>
          <t>active_power_gw</t>
        </is>
      </c>
      <c r="E2603" s="3" t="n">
        <v>7.717</v>
      </c>
      <c r="F2603" s="3" t="inlineStr">
        <is>
          <t>GW</t>
        </is>
      </c>
      <c r="G2603" s="3" t="inlineStr">
        <is>
          <t>Derived scenario</t>
        </is>
      </c>
      <c r="H2603" s="3" t="inlineStr">
        <is>
          <t>contracted_power_gw * operational_deployment_share</t>
        </is>
      </c>
      <c r="I2603" s="3" t="inlineStr">
        <is>
          <t>Official capacity announcements are converted to active GW only through energization/GPU-deployment ramp assumptions.</t>
        </is>
      </c>
      <c r="J2603" s="3" t="inlineStr">
        <is>
          <t>SRC_OPENAI_STARGATE_ORACLE; SRC_OPENAI_STARGATE_PROGRESS; ASSUMP_STARGATE_RAMP</t>
        </is>
      </c>
      <c r="K2603" s="3" t="inlineStr">
        <is>
          <t>ASSUMP_STARGATE_RAMP; ASSUMP_MS_OPENAI_ATTRIBUTION; ASSUMP_NUMERIC_ACCELERATOR_MIX; ASSUMP_INFERENCE_SHARE_NOT_FACT_60; ASSUMP_WORKLOAD_CLASS_MIX; ASSUMP_AGENTIC_CONTEXT_PENALTY</t>
        </is>
      </c>
      <c r="L2603" s="3" t="inlineStr">
        <is>
          <t>Energization dates, accelerator deliveries and operational powered-rack telemetry.</t>
        </is>
      </c>
    </row>
    <row r="2604">
      <c r="A2604" s="3" t="inlineStr">
        <is>
          <t>OpenAI</t>
        </is>
      </c>
      <c r="B2604" s="3" t="n">
        <v>2029</v>
      </c>
      <c r="C2604" s="3" t="inlineStr">
        <is>
          <t>Bull</t>
        </is>
      </c>
      <c r="D2604" s="3" t="inlineStr">
        <is>
          <t>pue</t>
        </is>
      </c>
      <c r="E2604" s="3" t="n">
        <v>1.2</v>
      </c>
      <c r="F2604" s="3" t="inlineStr">
        <is>
          <t>ratio</t>
        </is>
      </c>
      <c r="G2604" s="3" t="inlineStr">
        <is>
          <t>Scenario parameter</t>
        </is>
      </c>
      <c r="H2604" s="3" t="inlineStr">
        <is>
          <t>it_load_gw = active_power_gw / pue</t>
        </is>
      </c>
      <c r="I2604" s="3" t="inlineStr">
        <is>
          <t>No provider-wide site-level PUE is used as a disclosed fact; PUE represents facility-to-IT conversion within the scenario.</t>
        </is>
      </c>
      <c r="J2604" s="3" t="inlineStr">
        <is>
          <t>ASSUMP_POWER_RAMP</t>
        </is>
      </c>
      <c r="K2604" s="3" t="inlineStr">
        <is>
          <t>ASSUMP_STARGATE_RAMP; ASSUMP_MS_OPENAI_ATTRIBUTION; ASSUMP_NUMERIC_ACCELERATOR_MIX; ASSUMP_INFERENCE_SHARE_NOT_FACT_60; ASSUMP_WORKLOAD_CLASS_MIX; ASSUMP_AGENTIC_CONTEXT_PENALTY</t>
        </is>
      </c>
      <c r="L2604" s="3" t="inlineStr">
        <is>
          <t>Site-level measured PUE matched to attributed AI capacity.</t>
        </is>
      </c>
    </row>
    <row r="2605">
      <c r="A2605" s="3" t="inlineStr">
        <is>
          <t>OpenAI</t>
        </is>
      </c>
      <c r="B2605" s="3" t="n">
        <v>2029</v>
      </c>
      <c r="C2605" s="3" t="inlineStr">
        <is>
          <t>Bull</t>
        </is>
      </c>
      <c r="D2605" s="3" t="inlineStr">
        <is>
          <t>it_load_gw</t>
        </is>
      </c>
      <c r="E2605" s="3" t="n">
        <v>6.431</v>
      </c>
      <c r="F2605" s="3" t="inlineStr">
        <is>
          <t>GW</t>
        </is>
      </c>
      <c r="G2605" s="3" t="inlineStr">
        <is>
          <t>Derived formula</t>
        </is>
      </c>
      <c r="H2605" s="3" t="inlineStr">
        <is>
          <t>active_power_gw / pue</t>
        </is>
      </c>
      <c r="I2605" s="3" t="inlineStr">
        <is>
          <t>Facility power is converted to IT-deliverable power before attributing AI workloads.</t>
        </is>
      </c>
      <c r="J2605" s="3" t="inlineStr">
        <is>
          <t>SRC_OPENAI_STARGATE_ORACLE; SRC_OPENAI_STARGATE_PROGRESS; ASSUMP_STARGATE_RAMP</t>
        </is>
      </c>
      <c r="K2605" s="3" t="inlineStr">
        <is>
          <t>ASSUMP_STARGATE_RAMP; ASSUMP_MS_OPENAI_ATTRIBUTION; ASSUMP_NUMERIC_ACCELERATOR_MIX; ASSUMP_INFERENCE_SHARE_NOT_FACT_60; ASSUMP_WORKLOAD_CLASS_MIX; ASSUMP_AGENTIC_CONTEXT_PENALTY</t>
        </is>
      </c>
      <c r="L2605" s="3" t="inlineStr">
        <is>
          <t>Recompute once active power and PUE become site-observable.</t>
        </is>
      </c>
    </row>
    <row r="2606">
      <c r="A2606" s="3" t="inlineStr">
        <is>
          <t>OpenAI</t>
        </is>
      </c>
      <c r="B2606" s="3" t="n">
        <v>2029</v>
      </c>
      <c r="C2606" s="3" t="inlineStr">
        <is>
          <t>Bull</t>
        </is>
      </c>
      <c r="D2606" s="3" t="inlineStr">
        <is>
          <t>ai_workload_share</t>
        </is>
      </c>
      <c r="E2606" s="3" t="n">
        <v>0.88</v>
      </c>
      <c r="F2606" s="3" t="inlineStr">
        <is>
          <t>share</t>
        </is>
      </c>
      <c r="G2606" s="3" t="inlineStr">
        <is>
          <t>Scenario allocation</t>
        </is>
      </c>
      <c r="H2606" s="3" t="inlineStr">
        <is>
          <t>ai_it_load_gw = it_load_gw * ai_workload_share</t>
        </is>
      </c>
      <c r="I2606" s="3" t="inlineStr">
        <is>
          <t>Stargate capacity is AI-oriented but includes reserve, platform and non-token AI activity; 88% is a scenario.</t>
        </is>
      </c>
      <c r="J2606" s="3" t="inlineStr">
        <is>
          <t>SRC_OPENAI_GPT41_DOCS; SRC_OPENAI_STARGATE_ORACLE; SRC_OPENAI_STARGATE_PROGRESS; SRC_EPOCH_AI_DATA_CENTERS</t>
        </is>
      </c>
      <c r="K2606" s="3" t="inlineStr">
        <is>
          <t>ASSUMP_STARGATE_RAMP; ASSUMP_MS_OPENAI_ATTRIBUTION; ASSUMP_NUMERIC_ACCELERATOR_MIX; ASSUMP_INFERENCE_SHARE_NOT_FACT_60; ASSUMP_WORKLOAD_CLASS_MIX; ASSUMP_AGENTIC_CONTEXT_PENALTY</t>
        </is>
      </c>
      <c r="L2606" s="3" t="inlineStr">
        <is>
          <t>Model-owner AI workload allocation or cluster scheduling telemetry.</t>
        </is>
      </c>
    </row>
    <row r="2607">
      <c r="A2607" s="3" t="inlineStr">
        <is>
          <t>OpenAI</t>
        </is>
      </c>
      <c r="B2607" s="3" t="n">
        <v>2029</v>
      </c>
      <c r="C2607" s="3" t="inlineStr">
        <is>
          <t>Bull</t>
        </is>
      </c>
      <c r="D2607" s="3" t="inlineStr">
        <is>
          <t>ai_it_load_gw</t>
        </is>
      </c>
      <c r="E2607" s="3" t="n">
        <v>5.659</v>
      </c>
      <c r="F2607" s="3" t="inlineStr">
        <is>
          <t>GW</t>
        </is>
      </c>
      <c r="G2607" s="3" t="inlineStr">
        <is>
          <t>Derived formula</t>
        </is>
      </c>
      <c r="H2607" s="3" t="inlineStr">
        <is>
          <t>it_load_gw * ai_workload_share</t>
        </is>
      </c>
      <c r="I2607" s="3" t="inlineStr">
        <is>
          <t>Only the AI-attributed portion of IT load enters training/inference allocation.</t>
        </is>
      </c>
      <c r="J2607" s="3" t="inlineStr">
        <is>
          <t>SRC_OPENAI_GPT41_DOCS; SRC_OPENAI_STARGATE_ORACLE; SRC_OPENAI_STARGATE_PROGRESS; SRC_EPOCH_AI_DATA_CENTERS</t>
        </is>
      </c>
      <c r="K2607" s="3" t="inlineStr">
        <is>
          <t>ASSUMP_STARGATE_RAMP; ASSUMP_MS_OPENAI_ATTRIBUTION; ASSUMP_NUMERIC_ACCELERATOR_MIX; ASSUMP_INFERENCE_SHARE_NOT_FACT_60; ASSUMP_WORKLOAD_CLASS_MIX; ASSUMP_AGENTIC_CONTEXT_PENALTY</t>
        </is>
      </c>
      <c r="L2607" s="3" t="inlineStr">
        <is>
          <t>Recompute after ai_workload_share is replaced by telemetry.</t>
        </is>
      </c>
    </row>
    <row r="2608">
      <c r="A2608" s="3" t="inlineStr">
        <is>
          <t>OpenAI</t>
        </is>
      </c>
      <c r="B2608" s="3" t="n">
        <v>2029</v>
      </c>
      <c r="C2608" s="3" t="inlineStr">
        <is>
          <t>Bull</t>
        </is>
      </c>
      <c r="D2608" s="3" t="inlineStr">
        <is>
          <t>gpu_share</t>
        </is>
      </c>
      <c r="E2608" s="3" t="n">
        <v>0.80198</v>
      </c>
      <c r="F2608" s="3" t="inlineStr">
        <is>
          <t>share of inference-serving accelerator load</t>
        </is>
      </c>
      <c r="G2608" s="3" t="inlineStr">
        <is>
          <t>Numeric scenario</t>
        </is>
      </c>
      <c r="H2608" s="3" t="inlineStr">
        <is>
          <t>gpu_share interpolated from company 2026/2030 accelerator-mix endpoints</t>
        </is>
      </c>
      <c r="I2608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608" s="3" t="inlineStr">
        <is>
          <t>SRC_OPENAI_GPT41_DOCS; SRC_OPENAI_STARGATE_ORACLE; SRC_OPENAI_STARGATE_PROGRESS; SRC_EPOCH_AI_DATA_CENTERS; ASSUMP_NUMERIC_ACCELERATOR_MIX</t>
        </is>
      </c>
      <c r="K2608" s="3" t="inlineStr">
        <is>
          <t>ASSUMP_STARGATE_RAMP; ASSUMP_MS_OPENAI_ATTRIBUTION; ASSUMP_NUMERIC_ACCELERATOR_MIX; ASSUMP_INFERENCE_SHARE_NOT_FACT_60; ASSUMP_WORKLOAD_CLASS_MIX; ASSUMP_AGENTIC_CONTEXT_PENALTY</t>
        </is>
      </c>
      <c r="L2608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609">
      <c r="A2609" s="3" t="inlineStr">
        <is>
          <t>OpenAI</t>
        </is>
      </c>
      <c r="B2609" s="3" t="n">
        <v>2029</v>
      </c>
      <c r="C2609" s="3" t="inlineStr">
        <is>
          <t>Bull</t>
        </is>
      </c>
      <c r="D2609" s="3" t="inlineStr">
        <is>
          <t>h200_share</t>
        </is>
      </c>
      <c r="E2609" s="3" t="n">
        <v>0.102937</v>
      </c>
      <c r="F2609" s="3" t="inlineStr">
        <is>
          <t>share of inference-serving accelerator load</t>
        </is>
      </c>
      <c r="G2609" s="3" t="inlineStr">
        <is>
          <t>Editable numeric scenario</t>
        </is>
      </c>
      <c r="H2609" s="3" t="inlineStr">
        <is>
          <t>h200_share = gpu_share * default_gpu_generation_mix_h200</t>
        </is>
      </c>
      <c r="I2609" s="3" t="inlineStr">
        <is>
          <t>Default GPU-generation migration assumption; executive workbook allows later manual replacement by company/year/scenario.</t>
        </is>
      </c>
      <c r="J2609" s="3" t="inlineStr">
        <is>
          <t>SRC_SEMIANALYSIS_INFERENCEX; ASSUMP_NUMERIC_ACCELERATOR_MIX</t>
        </is>
      </c>
      <c r="K2609" s="3" t="inlineStr">
        <is>
          <t>ASSUMP_STARGATE_RAMP; ASSUMP_MS_OPENAI_ATTRIBUTION; ASSUMP_NUMERIC_ACCELERATOR_MIX; ASSUMP_INFERENCE_SHARE_NOT_FACT_60; ASSUMP_WORKLOAD_CLASS_MIX; ASSUMP_AGENTIC_CONTEXT_PENALTY</t>
        </is>
      </c>
      <c r="L2609" s="3" t="inlineStr">
        <is>
          <t>Company fleet inventory, accelerator-hours or procurement/deployment records by GPU generation.</t>
        </is>
      </c>
    </row>
    <row r="2610">
      <c r="A2610" s="3" t="inlineStr">
        <is>
          <t>OpenAI</t>
        </is>
      </c>
      <c r="B2610" s="3" t="n">
        <v>2029</v>
      </c>
      <c r="C2610" s="3" t="inlineStr">
        <is>
          <t>Bull</t>
        </is>
      </c>
      <c r="D2610" s="3" t="inlineStr">
        <is>
          <t>b200_share</t>
        </is>
      </c>
      <c r="E2610" s="3" t="n">
        <v>0.529748</v>
      </c>
      <c r="F2610" s="3" t="inlineStr">
        <is>
          <t>share of inference-serving accelerator load</t>
        </is>
      </c>
      <c r="G2610" s="3" t="inlineStr">
        <is>
          <t>Editable numeric scenario</t>
        </is>
      </c>
      <c r="H2610" s="3" t="inlineStr">
        <is>
          <t>b200_share = gpu_share * default_gpu_generation_mix_b200</t>
        </is>
      </c>
      <c r="I2610" s="3" t="inlineStr">
        <is>
          <t>Default GPU-generation migration assumption; executive workbook allows later manual replacement by company/year/scenario.</t>
        </is>
      </c>
      <c r="J2610" s="3" t="inlineStr">
        <is>
          <t>SRC_SEMIANALYSIS_INFERENCEX; ASSUMP_NUMERIC_ACCELERATOR_MIX</t>
        </is>
      </c>
      <c r="K2610" s="3" t="inlineStr">
        <is>
          <t>ASSUMP_STARGATE_RAMP; ASSUMP_MS_OPENAI_ATTRIBUTION; ASSUMP_NUMERIC_ACCELERATOR_MIX; ASSUMP_INFERENCE_SHARE_NOT_FACT_60; ASSUMP_WORKLOAD_CLASS_MIX; ASSUMP_AGENTIC_CONTEXT_PENALTY</t>
        </is>
      </c>
      <c r="L2610" s="3" t="inlineStr">
        <is>
          <t>Company fleet inventory, accelerator-hours or procurement/deployment records by GPU generation.</t>
        </is>
      </c>
    </row>
    <row r="2611">
      <c r="A2611" s="3" t="inlineStr">
        <is>
          <t>OpenAI</t>
        </is>
      </c>
      <c r="B2611" s="3" t="n">
        <v>2029</v>
      </c>
      <c r="C2611" s="3" t="inlineStr">
        <is>
          <t>Bull</t>
        </is>
      </c>
      <c r="D2611" s="3" t="inlineStr">
        <is>
          <t>gb200_share</t>
        </is>
      </c>
      <c r="E2611" s="3" t="n">
        <v>0.169295</v>
      </c>
      <c r="F2611" s="3" t="inlineStr">
        <is>
          <t>share of inference-serving accelerator load</t>
        </is>
      </c>
      <c r="G2611" s="3" t="inlineStr">
        <is>
          <t>Editable numeric scenario</t>
        </is>
      </c>
      <c r="H2611" s="3" t="inlineStr">
        <is>
          <t>gb200_share = gpu_share * default_gpu_generation_mix_gb200</t>
        </is>
      </c>
      <c r="I2611" s="3" t="inlineStr">
        <is>
          <t>Default GPU-generation migration assumption; executive workbook allows later manual replacement by company/year/scenario.</t>
        </is>
      </c>
      <c r="J2611" s="3" t="inlineStr">
        <is>
          <t>SRC_SEMIANALYSIS_INFERENCEX; ASSUMP_NUMERIC_ACCELERATOR_MIX</t>
        </is>
      </c>
      <c r="K2611" s="3" t="inlineStr">
        <is>
          <t>ASSUMP_STARGATE_RAMP; ASSUMP_MS_OPENAI_ATTRIBUTION; ASSUMP_NUMERIC_ACCELERATOR_MIX; ASSUMP_INFERENCE_SHARE_NOT_FACT_60; ASSUMP_WORKLOAD_CLASS_MIX; ASSUMP_AGENTIC_CONTEXT_PENALTY</t>
        </is>
      </c>
      <c r="L2611" s="3" t="inlineStr">
        <is>
          <t>Company fleet inventory, accelerator-hours or procurement/deployment records by GPU generation.</t>
        </is>
      </c>
    </row>
    <row r="2612">
      <c r="A2612" s="3" t="inlineStr">
        <is>
          <t>OpenAI</t>
        </is>
      </c>
      <c r="B2612" s="3" t="n">
        <v>2029</v>
      </c>
      <c r="C2612" s="3" t="inlineStr">
        <is>
          <t>Bull</t>
        </is>
      </c>
      <c r="D2612" s="3" t="inlineStr">
        <is>
          <t>purpose_built_accelerator_share</t>
        </is>
      </c>
      <c r="E2612" s="3" t="n">
        <v>0.19802</v>
      </c>
      <c r="F2612" s="3" t="inlineStr">
        <is>
          <t>share of inference-serving accelerator load</t>
        </is>
      </c>
      <c r="G2612" s="3" t="inlineStr">
        <is>
          <t>Numeric scenario</t>
        </is>
      </c>
      <c r="H2612" s="3" t="inlineStr">
        <is>
          <t>1 - gpu_share</t>
        </is>
      </c>
      <c r="I2612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612" s="3" t="inlineStr">
        <is>
          <t>SRC_OPENAI_GPT41_DOCS; SRC_OPENAI_STARGATE_ORACLE; SRC_OPENAI_STARGATE_PROGRESS; SRC_EPOCH_AI_DATA_CENTERS; ASSUMP_NUMERIC_ACCELERATOR_MIX</t>
        </is>
      </c>
      <c r="K2612" s="3" t="inlineStr">
        <is>
          <t>ASSUMP_STARGATE_RAMP; ASSUMP_MS_OPENAI_ATTRIBUTION; ASSUMP_NUMERIC_ACCELERATOR_MIX; ASSUMP_INFERENCE_SHARE_NOT_FACT_60; ASSUMP_WORKLOAD_CLASS_MIX; ASSUMP_AGENTIC_CONTEXT_PENALTY</t>
        </is>
      </c>
      <c r="L2612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613">
      <c r="A2613" s="3" t="inlineStr">
        <is>
          <t>OpenAI</t>
        </is>
      </c>
      <c r="B2613" s="3" t="n">
        <v>2029</v>
      </c>
      <c r="C2613" s="3" t="inlineStr">
        <is>
          <t>Bull</t>
        </is>
      </c>
      <c r="D2613" s="3" t="inlineStr">
        <is>
          <t>fleet_reference_tps_per_mw</t>
        </is>
      </c>
      <c r="E2613" s="3" t="n">
        <v>237773</v>
      </c>
      <c r="F2613" s="3" t="inlineStr">
        <is>
          <t>generated output tokens/sec/MW</t>
        </is>
      </c>
      <c r="G2613" s="3" t="inlineStr">
        <is>
          <t>Fleet-weighted public benchmark reference</t>
        </is>
      </c>
      <c r="H2613" s="3" t="inlineStr">
        <is>
          <t>h200_share*h200_workload_avg + b200_share*b200_workload_avg + gb200_share*gb200_workload_avg + purpose_built_share*purpose_workload_avg</t>
        </is>
      </c>
      <c r="I261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13" s="3" t="inlineStr">
        <is>
          <t>SRC_SEMIANALYSIS_INFERENCEX; ASSUMP_NUMERIC_ACCELERATOR_MIX; ASSUMP_WORKLOAD_CLASS_MIX; ASSUMP_AGENTIC_CONTEXT_PENALTY</t>
        </is>
      </c>
      <c r="K2613" s="3" t="inlineStr">
        <is>
          <t>ASSUMP_STARGATE_RAMP; ASSUMP_MS_OPENAI_ATTRIBUTION; ASSUMP_NUMERIC_ACCELERATOR_MIX; ASSUMP_INFERENCE_SHARE_NOT_FACT_60; ASSUMP_WORKLOAD_CLASS_MIX; ASSUMP_AGENTIC_CONTEXT_PENALTY</t>
        </is>
      </c>
      <c r="L2613" s="3" t="inlineStr">
        <is>
          <t>Comparable production output-token throughput or a more closely matched benchmark.</t>
        </is>
      </c>
    </row>
    <row r="2614">
      <c r="A2614" s="3" t="inlineStr">
        <is>
          <t>OpenAI</t>
        </is>
      </c>
      <c r="B2614" s="3" t="n">
        <v>2029</v>
      </c>
      <c r="C2614" s="3" t="inlineStr">
        <is>
          <t>Bull</t>
        </is>
      </c>
      <c r="D2614" s="3" t="inlineStr">
        <is>
          <t>commercial_workload_fit_factor</t>
        </is>
      </c>
      <c r="E2614" s="3" t="n">
        <v>0.7</v>
      </c>
      <c r="F2614" s="3" t="inlineStr">
        <is>
          <t>share of public reference throughput</t>
        </is>
      </c>
      <c r="G2614" s="3" t="inlineStr">
        <is>
          <t>Scenario assumption</t>
        </is>
      </c>
      <c r="H2614" s="3" t="inlineStr">
        <is>
          <t>reference_serving_tps_per_mw = fleet_reference_tps_per_mw * commercial_workload_fit_factor</t>
        </is>
      </c>
      <c r="I2614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14" s="3" t="inlineStr">
        <is>
          <t>SRC_SEMIANALYSIS_INFERENCEX; ASSUMP_NUMERIC_ACCELERATOR_MIX; ASSUMP_WORKLOAD_CLASS_MIX; ASSUMP_AGENTIC_CONTEXT_PENALTY</t>
        </is>
      </c>
      <c r="K2614" s="3" t="inlineStr">
        <is>
          <t>ASSUMP_STARGATE_RAMP; ASSUMP_MS_OPENAI_ATTRIBUTION; ASSUMP_NUMERIC_ACCELERATOR_MIX; ASSUMP_INFERENCE_SHARE_NOT_FACT_60; ASSUMP_WORKLOAD_CLASS_MIX; ASSUMP_AGENTIC_CONTEXT_PENALTY</t>
        </is>
      </c>
      <c r="L2614" s="3" t="inlineStr">
        <is>
          <t>Matched commercial serving benchmark by product surface, context shape and latency SLO.</t>
        </is>
      </c>
    </row>
    <row r="2615">
      <c r="A2615" s="3" t="inlineStr">
        <is>
          <t>OpenAI</t>
        </is>
      </c>
      <c r="B2615" s="3" t="n">
        <v>2029</v>
      </c>
      <c r="C2615" s="3" t="inlineStr">
        <is>
          <t>Bull</t>
        </is>
      </c>
      <c r="D2615" s="3" t="inlineStr">
        <is>
          <t>reference_serving_tps_per_mw</t>
        </is>
      </c>
      <c r="E2615" s="3" t="n">
        <v>166441</v>
      </c>
      <c r="F2615" s="3" t="inlineStr">
        <is>
          <t>generated output tokens/sec/MW</t>
        </is>
      </c>
      <c r="G2615" s="3" t="inlineStr">
        <is>
          <t>Workload-adjusted benchmark proxy</t>
        </is>
      </c>
      <c r="H2615" s="3" t="inlineStr">
        <is>
          <t>fleet_reference_tps_per_mw * commercial_workload_fit_factor</t>
        </is>
      </c>
      <c r="I2615" s="3" t="inlineStr">
        <is>
          <t>This is the coefficient used for headline token generation; each GPU's short chat, long chat and agentic TPS/MW are weighted before fleet mix and commercial fit are applied.</t>
        </is>
      </c>
      <c r="J2615" s="3" t="inlineStr">
        <is>
          <t>SRC_SEMIANALYSIS_INFERENCEX; ASSUMP_NUMERIC_ACCELERATOR_MIX; ASSUMP_WORKLOAD_CLASS_MIX; ASSUMP_AGENTIC_CONTEXT_PENALTY</t>
        </is>
      </c>
      <c r="K2615" s="3" t="inlineStr">
        <is>
          <t>ASSUMP_STARGATE_RAMP; ASSUMP_MS_OPENAI_ATTRIBUTION; ASSUMP_NUMERIC_ACCELERATOR_MIX; ASSUMP_INFERENCE_SHARE_NOT_FACT_60; ASSUMP_WORKLOAD_CLASS_MIX; ASSUMP_AGENTIC_CONTEXT_PENALTY</t>
        </is>
      </c>
      <c r="L2615" s="3" t="inlineStr">
        <is>
          <t>Provider production output-token throughput with comparable workload/SLO.</t>
        </is>
      </c>
    </row>
    <row r="2616">
      <c r="A2616" s="3" t="inlineStr">
        <is>
          <t>OpenAI</t>
        </is>
      </c>
      <c r="B2616" s="3" t="n">
        <v>2029</v>
      </c>
      <c r="C2616" s="3" t="inlineStr">
        <is>
          <t>Bull</t>
        </is>
      </c>
      <c r="D2616" s="3" t="inlineStr">
        <is>
          <t>purpose_built_tps_per_mw</t>
        </is>
      </c>
      <c r="E2616" s="3" t="n">
        <v>94714</v>
      </c>
      <c r="F2616" s="3" t="inlineStr">
        <is>
          <t>generated output tokens/sec/MW</t>
        </is>
      </c>
      <c r="G2616" s="3" t="inlineStr">
        <is>
          <t>Conservative no-uplift proxy</t>
        </is>
      </c>
      <c r="H2616" s="3" t="inlineStr">
        <is>
          <t>purpose_built_tps_per_mw = purpose_built_reference_tps_per_mw * commercial_workload_fit_factor until comparable output-token benchmark is adopted</t>
        </is>
      </c>
      <c r="I2616" s="3" t="inlineStr">
        <is>
          <t>No comparable public output-token/MW row adopted; B200 public reference placeholder is used and remains editable.</t>
        </is>
      </c>
      <c r="J2616" s="3" t="inlineStr">
        <is>
          <t>SRC_OPENAI_GPT41_DOCS; SRC_OPENAI_STARGATE_ORACLE; SRC_OPENAI_STARGATE_PROGRESS; SRC_EPOCH_AI_DATA_CENTERS; ASSUMP_NUMERIC_ACCELERATOR_MIX</t>
        </is>
      </c>
      <c r="K2616" s="3" t="inlineStr">
        <is>
          <t>ASSUMP_STARGATE_RAMP; ASSUMP_MS_OPENAI_ATTRIBUTION; ASSUMP_NUMERIC_ACCELERATOR_MIX; ASSUMP_INFERENCE_SHARE_NOT_FACT_60; ASSUMP_WORKLOAD_CLASS_MIX; ASSUMP_AGENTIC_CONTEXT_PENALTY</t>
        </is>
      </c>
      <c r="L2616" s="3" t="inlineStr">
        <is>
          <t>Matched-workload generated-output benchmark for the provider purpose-built accelerator.</t>
        </is>
      </c>
    </row>
    <row r="2617">
      <c r="A2617" s="3" t="inlineStr">
        <is>
          <t>OpenAI</t>
        </is>
      </c>
      <c r="B2617" s="3" t="n">
        <v>2029</v>
      </c>
      <c r="C2617" s="3" t="inlineStr">
        <is>
          <t>Bull</t>
        </is>
      </c>
      <c r="D2617" s="3" t="inlineStr">
        <is>
          <t>inference_power_share</t>
        </is>
      </c>
      <c r="E2617" s="3" t="n">
        <v>0.802</v>
      </c>
      <c r="F2617" s="3" t="inlineStr">
        <is>
          <t>share of AI IT load</t>
        </is>
      </c>
      <c r="G2617" s="3" t="inlineStr">
        <is>
          <t>Scenario allocation</t>
        </is>
      </c>
      <c r="H2617" s="3" t="inlineStr">
        <is>
          <t>inference_gw = ai_it_load_gw * inference_power_share</t>
        </is>
      </c>
      <c r="I2617" s="3" t="inlineStr">
        <is>
          <t>ChatGPT/API/enterprise commercial surfaces support increasing inference allocation while training remains material.</t>
        </is>
      </c>
      <c r="J2617" s="3" t="inlineStr">
        <is>
          <t>SRC_OPENAI_GPT41_DOCS; SRC_OPENAI_STARGATE_ORACLE; SRC_OPENAI_STARGATE_PROGRESS; SRC_EPOCH_AI_DATA_CENTERS; ASSUMP_INFERENCE_SHARE_NOT_FACT_60</t>
        </is>
      </c>
      <c r="K2617" s="3" t="inlineStr">
        <is>
          <t>ASSUMP_STARGATE_RAMP; ASSUMP_MS_OPENAI_ATTRIBUTION; ASSUMP_NUMERIC_ACCELERATOR_MIX; ASSUMP_INFERENCE_SHARE_NOT_FACT_60; ASSUMP_WORKLOAD_CLASS_MIX; ASSUMP_AGENTIC_CONTEXT_PENALTY</t>
        </is>
      </c>
      <c r="L2617" s="3" t="inlineStr">
        <is>
          <t>Provider-specific inference/training workload power telemetry.</t>
        </is>
      </c>
    </row>
    <row r="2618">
      <c r="A2618" s="3" t="inlineStr">
        <is>
          <t>OpenAI</t>
        </is>
      </c>
      <c r="B2618" s="3" t="n">
        <v>2029</v>
      </c>
      <c r="C2618" s="3" t="inlineStr">
        <is>
          <t>Bull</t>
        </is>
      </c>
      <c r="D2618" s="3" t="inlineStr">
        <is>
          <t>inference_gw</t>
        </is>
      </c>
      <c r="E2618" s="3" t="n">
        <v>4.541</v>
      </c>
      <c r="F2618" s="3" t="inlineStr">
        <is>
          <t>GW</t>
        </is>
      </c>
      <c r="G2618" s="3" t="inlineStr">
        <is>
          <t>Derived formula</t>
        </is>
      </c>
      <c r="H2618" s="3" t="inlineStr">
        <is>
          <t>ai_it_load_gw * inference_power_share</t>
        </is>
      </c>
      <c r="I2618" s="3" t="inlineStr">
        <is>
          <t>This is the operational power eligible to become commercial generated output tokens through the selected TPS/MW proxy.</t>
        </is>
      </c>
      <c r="J2618" s="3" t="inlineStr">
        <is>
          <t>SRC_OPENAI_GPT41_DOCS; SRC_OPENAI_STARGATE_ORACLE; SRC_OPENAI_STARGATE_PROGRESS; SRC_EPOCH_AI_DATA_CENTERS</t>
        </is>
      </c>
      <c r="K2618" s="3" t="inlineStr">
        <is>
          <t>ASSUMP_STARGATE_RAMP; ASSUMP_MS_OPENAI_ATTRIBUTION; ASSUMP_NUMERIC_ACCELERATOR_MIX; ASSUMP_INFERENCE_SHARE_NOT_FACT_60; ASSUMP_WORKLOAD_CLASS_MIX; ASSUMP_AGENTIC_CONTEXT_PENALTY</t>
        </is>
      </c>
      <c r="L2618" s="3" t="inlineStr">
        <is>
          <t>Recompute after AI allocation or inference-share evidence changes.</t>
        </is>
      </c>
    </row>
    <row r="2619">
      <c r="A2619" s="3" t="inlineStr">
        <is>
          <t>OpenAI</t>
        </is>
      </c>
      <c r="B2619" s="3" t="n">
        <v>2029</v>
      </c>
      <c r="C2619" s="3" t="inlineStr">
        <is>
          <t>Bull</t>
        </is>
      </c>
      <c r="D2619" s="3" t="inlineStr">
        <is>
          <t>training_power_share</t>
        </is>
      </c>
      <c r="E2619" s="3" t="n">
        <v>0.198</v>
      </c>
      <c r="F2619" s="3" t="inlineStr">
        <is>
          <t>share of AI IT load</t>
        </is>
      </c>
      <c r="G2619" s="3" t="inlineStr">
        <is>
          <t>Derived allocation</t>
        </is>
      </c>
      <c r="H2619" s="3" t="inlineStr">
        <is>
          <t>1 - inference_power_share</t>
        </is>
      </c>
      <c r="I2619" s="3" t="inlineStr">
        <is>
          <t>Training receives the complementary modeled AI IT allocation; it is not a disclosed company workload split.</t>
        </is>
      </c>
      <c r="J2619" s="3" t="inlineStr">
        <is>
          <t>SRC_OPENAI_GPT41_DOCS; SRC_OPENAI_STARGATE_ORACLE; SRC_OPENAI_STARGATE_PROGRESS; SRC_EPOCH_AI_DATA_CENTERS; ASSUMP_INFERENCE_SHARE_NOT_FACT_60</t>
        </is>
      </c>
      <c r="K2619" s="3" t="inlineStr">
        <is>
          <t>ASSUMP_STARGATE_RAMP; ASSUMP_MS_OPENAI_ATTRIBUTION; ASSUMP_NUMERIC_ACCELERATOR_MIX; ASSUMP_INFERENCE_SHARE_NOT_FACT_60; ASSUMP_WORKLOAD_CLASS_MIX; ASSUMP_AGENTIC_CONTEXT_PENALTY</t>
        </is>
      </c>
      <c r="L2619" s="3" t="inlineStr">
        <is>
          <t>Provider-specific inference/training workload power telemetry.</t>
        </is>
      </c>
    </row>
    <row r="2620">
      <c r="A2620" s="3" t="inlineStr">
        <is>
          <t>OpenAI</t>
        </is>
      </c>
      <c r="B2620" s="3" t="n">
        <v>2029</v>
      </c>
      <c r="C2620" s="3" t="inlineStr">
        <is>
          <t>Bull</t>
        </is>
      </c>
      <c r="D2620" s="3" t="inlineStr">
        <is>
          <t>training_gw</t>
        </is>
      </c>
      <c r="E2620" s="3" t="n">
        <v>1.118</v>
      </c>
      <c r="F2620" s="3" t="inlineStr">
        <is>
          <t>GW</t>
        </is>
      </c>
      <c r="G2620" s="3" t="inlineStr">
        <is>
          <t>Derived formula</t>
        </is>
      </c>
      <c r="H2620" s="3" t="inlineStr">
        <is>
          <t>ai_it_load_gw * training_power_share</t>
        </is>
      </c>
      <c r="I2620" s="3" t="inlineStr">
        <is>
          <t>Training GW is shown separately so commercial inference token capacity is not overstated.</t>
        </is>
      </c>
      <c r="J2620" s="3" t="inlineStr">
        <is>
          <t>SRC_OPENAI_GPT41_DOCS; SRC_OPENAI_STARGATE_ORACLE; SRC_OPENAI_STARGATE_PROGRESS; SRC_EPOCH_AI_DATA_CENTERS</t>
        </is>
      </c>
      <c r="K2620" s="3" t="inlineStr">
        <is>
          <t>ASSUMP_STARGATE_RAMP; ASSUMP_MS_OPENAI_ATTRIBUTION; ASSUMP_NUMERIC_ACCELERATOR_MIX; ASSUMP_INFERENCE_SHARE_NOT_FACT_60; ASSUMP_WORKLOAD_CLASS_MIX; ASSUMP_AGENTIC_CONTEXT_PENALTY</t>
        </is>
      </c>
      <c r="L2620" s="3" t="inlineStr">
        <is>
          <t>Recompute after AI allocation or workload-split evidence changes.</t>
        </is>
      </c>
    </row>
    <row r="2621">
      <c r="A2621" s="3" t="inlineStr">
        <is>
          <t>OpenAI</t>
        </is>
      </c>
      <c r="B2621" s="3" t="n">
        <v>2029</v>
      </c>
      <c r="C2621" s="3" t="inlineStr">
        <is>
          <t>Bull</t>
        </is>
      </c>
      <c r="D2621" s="3" t="inlineStr">
        <is>
          <t>tokens_per_second_per_mw</t>
        </is>
      </c>
      <c r="E2621" s="3" t="n">
        <v>166441</v>
      </c>
      <c r="F2621" s="3" t="inlineStr">
        <is>
          <t>generated output tokens/sec/MW</t>
        </is>
      </c>
      <c r="G2621" s="3" t="inlineStr">
        <is>
          <t>Derived estimate + benchmark calibration</t>
        </is>
      </c>
      <c r="H2621" s="3" t="inlineStr">
        <is>
          <t>fleet_reference_tps_per_mw * commercial_workload_fit_factor</t>
        </is>
      </c>
      <c r="I2621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21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621" s="3" t="inlineStr">
        <is>
          <t>ASSUMP_STARGATE_RAMP; ASSUMP_MS_OPENAI_ATTRIBUTION; ASSUMP_NUMERIC_ACCELERATOR_MIX; ASSUMP_INFERENCE_SHARE_NOT_FACT_60; ASSUMP_WORKLOAD_CLASS_MIX; ASSUMP_AGENTIC_CONTEXT_PENALTY</t>
        </is>
      </c>
      <c r="L2621" s="3" t="inlineStr">
        <is>
          <t>Comparable production output-token throughput with model, hardware, precision, ISL/OSL and SLO matched.</t>
        </is>
      </c>
    </row>
    <row r="2622">
      <c r="A2622" s="3" t="inlineStr">
        <is>
          <t>OpenAI</t>
        </is>
      </c>
      <c r="B2622" s="3" t="n">
        <v>2029</v>
      </c>
      <c r="C2622" s="3" t="inlineStr">
        <is>
          <t>Bull</t>
        </is>
      </c>
      <c r="D2622" s="3" t="inlineStr">
        <is>
          <t>inference_tokens_per_day</t>
        </is>
      </c>
      <c r="E2622" s="3" t="n">
        <v>65301861398400</v>
      </c>
      <c r="F2622" s="3" t="inlineStr">
        <is>
          <t>generated output tokens/day</t>
        </is>
      </c>
      <c r="G2622" s="3" t="inlineStr">
        <is>
          <t>Derived headline metric</t>
        </is>
      </c>
      <c r="H2622" s="3" t="inlineStr">
        <is>
          <t>inference_gw * 1000 * tokens_per_second_per_mw * 86,400</t>
        </is>
      </c>
      <c r="I2622" s="3" t="inlineStr">
        <is>
          <t>Headline capacity uses no utilization, MoE, architecture or software-growth multiplier; it is not observed commercial output volume.</t>
        </is>
      </c>
      <c r="J2622" s="3" t="inlineStr">
        <is>
          <t>SRC_OPENAI_GPT41_DOCS; SRC_OPENAI_STARGATE_ORACLE; SRC_OPENAI_STARGATE_PROGRESS; SRC_EPOCH_AI_DATA_CENTERS; SRC_SEMIANALYSIS_INFERENCEX</t>
        </is>
      </c>
      <c r="K2622" s="3" t="inlineStr">
        <is>
          <t>ASSUMP_STARGATE_RAMP; ASSUMP_MS_OPENAI_ATTRIBUTION; ASSUMP_NUMERIC_ACCELERATOR_MIX; ASSUMP_INFERENCE_SHARE_NOT_FACT_60; ASSUMP_WORKLOAD_CLASS_MIX; ASSUMP_AGENTIC_CONTEXT_PENALTY</t>
        </is>
      </c>
      <c r="L2622" s="3" t="inlineStr">
        <is>
          <t>Provider-disclosed generated output token volume or calibrated capacity telemetry.</t>
        </is>
      </c>
    </row>
    <row r="2623">
      <c r="A2623" s="3" t="inlineStr">
        <is>
          <t>OpenAI</t>
        </is>
      </c>
      <c r="B2623" s="3" t="n">
        <v>2029</v>
      </c>
      <c r="C2623" s="3" t="inlineStr">
        <is>
          <t>Bull</t>
        </is>
      </c>
      <c r="D2623" s="3" t="inlineStr">
        <is>
          <t>inference_tokens_per_year</t>
        </is>
      </c>
      <c r="E2623" s="3" t="n">
        <v>2.3835179410416e+16</v>
      </c>
      <c r="F2623" s="3" t="inlineStr">
        <is>
          <t>generated output tokens/year</t>
        </is>
      </c>
      <c r="G2623" s="3" t="inlineStr">
        <is>
          <t>Derived headline metric</t>
        </is>
      </c>
      <c r="H2623" s="3" t="inlineStr">
        <is>
          <t>inference_tokens_per_day * 365</t>
        </is>
      </c>
      <c r="I2623" s="3" t="inlineStr">
        <is>
          <t>Annualized version of generated output token capacity; it is not observed annual demand or billable volume.</t>
        </is>
      </c>
      <c r="J2623" s="3" t="inlineStr">
        <is>
          <t>SRC_OPENAI_GPT41_DOCS; SRC_OPENAI_STARGATE_ORACLE; SRC_OPENAI_STARGATE_PROGRESS; SRC_EPOCH_AI_DATA_CENTERS; SRC_SEMIANALYSIS_INFERENCEX</t>
        </is>
      </c>
      <c r="K2623" s="3" t="inlineStr">
        <is>
          <t>ASSUMP_STARGATE_RAMP; ASSUMP_MS_OPENAI_ATTRIBUTION; ASSUMP_NUMERIC_ACCELERATOR_MIX; ASSUMP_INFERENCE_SHARE_NOT_FACT_60; ASSUMP_WORKLOAD_CLASS_MIX; ASSUMP_AGENTIC_CONTEXT_PENALTY</t>
        </is>
      </c>
      <c r="L2623" s="3" t="inlineStr">
        <is>
          <t>Provider-disclosed annual generated-output volume or metered serving telemetry.</t>
        </is>
      </c>
    </row>
    <row r="2624">
      <c r="A2624" s="3" t="inlineStr">
        <is>
          <t>OpenAI</t>
        </is>
      </c>
      <c r="B2624" s="3" t="n">
        <v>2030</v>
      </c>
      <c r="C2624" s="3" t="inlineStr">
        <is>
          <t>Bull</t>
        </is>
      </c>
      <c r="D2624" s="3" t="inlineStr">
        <is>
          <t>contracted_power_gw</t>
        </is>
      </c>
      <c r="E2624" s="3" t="n">
        <v>12</v>
      </c>
      <c r="F2624" s="3" t="inlineStr">
        <is>
          <t>GW</t>
        </is>
      </c>
      <c r="G2624" s="3" t="inlineStr">
        <is>
          <t>Fact anchor + scenario ceiling</t>
        </is>
      </c>
      <c r="H2624" s="3" t="inlineStr">
        <is>
          <t>linear interpolation between 2026 and 2030 company capacity endpoints</t>
        </is>
      </c>
      <c r="I2624" s="3" t="inlineStr">
        <is>
          <t>2030 envelope is bounded by official Stargate planned/committed capacity; 2026 and timing remain staged scenario values.</t>
        </is>
      </c>
      <c r="J2624" s="3" t="inlineStr">
        <is>
          <t>SRC_OPENAI_STARGATE_ORACLE; SRC_OPENAI_STARGATE_PROGRESS; ASSUMP_STARGATE_RAMP</t>
        </is>
      </c>
      <c r="K2624" s="3" t="inlineStr">
        <is>
          <t>ASSUMP_STARGATE_RAMP; ASSUMP_MS_OPENAI_ATTRIBUTION; ASSUMP_NUMERIC_ACCELERATOR_MIX; ASSUMP_INFERENCE_SHARE_NOT_FACT_60; ASSUMP_WORKLOAD_CLASS_MIX; ASSUMP_AGENTIC_CONTEXT_PENALTY</t>
        </is>
      </c>
      <c r="L2624" s="3" t="inlineStr">
        <is>
          <t>Company/site-level committed MW/GW, interconnect and contract disclosure.</t>
        </is>
      </c>
    </row>
    <row r="2625">
      <c r="A2625" s="3" t="inlineStr">
        <is>
          <t>OpenAI</t>
        </is>
      </c>
      <c r="B2625" s="3" t="n">
        <v>2030</v>
      </c>
      <c r="C2625" s="3" t="inlineStr">
        <is>
          <t>Bull</t>
        </is>
      </c>
      <c r="D2625" s="3" t="inlineStr">
        <is>
          <t>operational_deployment_share</t>
        </is>
      </c>
      <c r="E2625" s="3" t="n">
        <v>0.83583333</v>
      </c>
      <c r="F2625" s="3" t="inlineStr">
        <is>
          <t>share</t>
        </is>
      </c>
      <c r="G2625" s="3" t="inlineStr">
        <is>
          <t>Scenario conversion</t>
        </is>
      </c>
      <c r="H2625" s="3" t="inlineStr">
        <is>
          <t>active_power_gw / contracted_power_gw</t>
        </is>
      </c>
      <c r="I2625" s="3" t="inlineStr">
        <is>
          <t>This is the single explicit conversion from contracted/attributed capacity to operationally usable capacity.</t>
        </is>
      </c>
      <c r="J2625" s="3" t="inlineStr">
        <is>
          <t>SRC_OPENAI_STARGATE_ORACLE; SRC_OPENAI_STARGATE_PROGRESS; ASSUMP_STARGATE_RAMP</t>
        </is>
      </c>
      <c r="K2625" s="3" t="inlineStr">
        <is>
          <t>ASSUMP_STARGATE_RAMP; ASSUMP_MS_OPENAI_ATTRIBUTION; ASSUMP_NUMERIC_ACCELERATOR_MIX; ASSUMP_INFERENCE_SHARE_NOT_FACT_60; ASSUMP_WORKLOAD_CLASS_MIX; ASSUMP_AGENTIC_CONTEXT_PENALTY</t>
        </is>
      </c>
      <c r="L2625" s="3" t="inlineStr">
        <is>
          <t>Energized operational capacity divided by contracted/attributed capacity.</t>
        </is>
      </c>
    </row>
    <row r="2626">
      <c r="A2626" s="3" t="inlineStr">
        <is>
          <t>OpenAI</t>
        </is>
      </c>
      <c r="B2626" s="3" t="n">
        <v>2030</v>
      </c>
      <c r="C2626" s="3" t="inlineStr">
        <is>
          <t>Bull</t>
        </is>
      </c>
      <c r="D2626" s="3" t="inlineStr">
        <is>
          <t>active_power_gw</t>
        </is>
      </c>
      <c r="E2626" s="3" t="n">
        <v>10.03</v>
      </c>
      <c r="F2626" s="3" t="inlineStr">
        <is>
          <t>GW</t>
        </is>
      </c>
      <c r="G2626" s="3" t="inlineStr">
        <is>
          <t>Derived scenario</t>
        </is>
      </c>
      <c r="H2626" s="3" t="inlineStr">
        <is>
          <t>contracted_power_gw * operational_deployment_share</t>
        </is>
      </c>
      <c r="I2626" s="3" t="inlineStr">
        <is>
          <t>Official capacity announcements are converted to active GW only through energization/GPU-deployment ramp assumptions.</t>
        </is>
      </c>
      <c r="J2626" s="3" t="inlineStr">
        <is>
          <t>SRC_OPENAI_STARGATE_ORACLE; SRC_OPENAI_STARGATE_PROGRESS; ASSUMP_STARGATE_RAMP</t>
        </is>
      </c>
      <c r="K2626" s="3" t="inlineStr">
        <is>
          <t>ASSUMP_STARGATE_RAMP; ASSUMP_MS_OPENAI_ATTRIBUTION; ASSUMP_NUMERIC_ACCELERATOR_MIX; ASSUMP_INFERENCE_SHARE_NOT_FACT_60; ASSUMP_WORKLOAD_CLASS_MIX; ASSUMP_AGENTIC_CONTEXT_PENALTY</t>
        </is>
      </c>
      <c r="L2626" s="3" t="inlineStr">
        <is>
          <t>Energization dates, accelerator deliveries and operational powered-rack telemetry.</t>
        </is>
      </c>
    </row>
    <row r="2627">
      <c r="A2627" s="3" t="inlineStr">
        <is>
          <t>OpenAI</t>
        </is>
      </c>
      <c r="B2627" s="3" t="n">
        <v>2030</v>
      </c>
      <c r="C2627" s="3" t="inlineStr">
        <is>
          <t>Bull</t>
        </is>
      </c>
      <c r="D2627" s="3" t="inlineStr">
        <is>
          <t>pue</t>
        </is>
      </c>
      <c r="E2627" s="3" t="n">
        <v>1.2</v>
      </c>
      <c r="F2627" s="3" t="inlineStr">
        <is>
          <t>ratio</t>
        </is>
      </c>
      <c r="G2627" s="3" t="inlineStr">
        <is>
          <t>Scenario parameter</t>
        </is>
      </c>
      <c r="H2627" s="3" t="inlineStr">
        <is>
          <t>it_load_gw = active_power_gw / pue</t>
        </is>
      </c>
      <c r="I2627" s="3" t="inlineStr">
        <is>
          <t>No provider-wide site-level PUE is used as a disclosed fact; PUE represents facility-to-IT conversion within the scenario.</t>
        </is>
      </c>
      <c r="J2627" s="3" t="inlineStr">
        <is>
          <t>ASSUMP_POWER_RAMP</t>
        </is>
      </c>
      <c r="K2627" s="3" t="inlineStr">
        <is>
          <t>ASSUMP_STARGATE_RAMP; ASSUMP_MS_OPENAI_ATTRIBUTION; ASSUMP_NUMERIC_ACCELERATOR_MIX; ASSUMP_INFERENCE_SHARE_NOT_FACT_60; ASSUMP_WORKLOAD_CLASS_MIX; ASSUMP_AGENTIC_CONTEXT_PENALTY</t>
        </is>
      </c>
      <c r="L2627" s="3" t="inlineStr">
        <is>
          <t>Site-level measured PUE matched to attributed AI capacity.</t>
        </is>
      </c>
    </row>
    <row r="2628">
      <c r="A2628" s="3" t="inlineStr">
        <is>
          <t>OpenAI</t>
        </is>
      </c>
      <c r="B2628" s="3" t="n">
        <v>2030</v>
      </c>
      <c r="C2628" s="3" t="inlineStr">
        <is>
          <t>Bull</t>
        </is>
      </c>
      <c r="D2628" s="3" t="inlineStr">
        <is>
          <t>it_load_gw</t>
        </is>
      </c>
      <c r="E2628" s="3" t="n">
        <v>8.358000000000001</v>
      </c>
      <c r="F2628" s="3" t="inlineStr">
        <is>
          <t>GW</t>
        </is>
      </c>
      <c r="G2628" s="3" t="inlineStr">
        <is>
          <t>Derived formula</t>
        </is>
      </c>
      <c r="H2628" s="3" t="inlineStr">
        <is>
          <t>active_power_gw / pue</t>
        </is>
      </c>
      <c r="I2628" s="3" t="inlineStr">
        <is>
          <t>Facility power is converted to IT-deliverable power before attributing AI workloads.</t>
        </is>
      </c>
      <c r="J2628" s="3" t="inlineStr">
        <is>
          <t>SRC_OPENAI_STARGATE_ORACLE; SRC_OPENAI_STARGATE_PROGRESS; ASSUMP_STARGATE_RAMP</t>
        </is>
      </c>
      <c r="K2628" s="3" t="inlineStr">
        <is>
          <t>ASSUMP_STARGATE_RAMP; ASSUMP_MS_OPENAI_ATTRIBUTION; ASSUMP_NUMERIC_ACCELERATOR_MIX; ASSUMP_INFERENCE_SHARE_NOT_FACT_60; ASSUMP_WORKLOAD_CLASS_MIX; ASSUMP_AGENTIC_CONTEXT_PENALTY</t>
        </is>
      </c>
      <c r="L2628" s="3" t="inlineStr">
        <is>
          <t>Recompute once active power and PUE become site-observable.</t>
        </is>
      </c>
    </row>
    <row r="2629">
      <c r="A2629" s="3" t="inlineStr">
        <is>
          <t>OpenAI</t>
        </is>
      </c>
      <c r="B2629" s="3" t="n">
        <v>2030</v>
      </c>
      <c r="C2629" s="3" t="inlineStr">
        <is>
          <t>Bull</t>
        </is>
      </c>
      <c r="D2629" s="3" t="inlineStr">
        <is>
          <t>ai_workload_share</t>
        </is>
      </c>
      <c r="E2629" s="3" t="n">
        <v>0.88</v>
      </c>
      <c r="F2629" s="3" t="inlineStr">
        <is>
          <t>share</t>
        </is>
      </c>
      <c r="G2629" s="3" t="inlineStr">
        <is>
          <t>Scenario allocation</t>
        </is>
      </c>
      <c r="H2629" s="3" t="inlineStr">
        <is>
          <t>ai_it_load_gw = it_load_gw * ai_workload_share</t>
        </is>
      </c>
      <c r="I2629" s="3" t="inlineStr">
        <is>
          <t>Stargate capacity is AI-oriented but includes reserve, platform and non-token AI activity; 88% is a scenario.</t>
        </is>
      </c>
      <c r="J2629" s="3" t="inlineStr">
        <is>
          <t>SRC_OPENAI_GPT41_DOCS; SRC_OPENAI_STARGATE_ORACLE; SRC_OPENAI_STARGATE_PROGRESS; SRC_EPOCH_AI_DATA_CENTERS</t>
        </is>
      </c>
      <c r="K2629" s="3" t="inlineStr">
        <is>
          <t>ASSUMP_STARGATE_RAMP; ASSUMP_MS_OPENAI_ATTRIBUTION; ASSUMP_NUMERIC_ACCELERATOR_MIX; ASSUMP_INFERENCE_SHARE_NOT_FACT_60; ASSUMP_WORKLOAD_CLASS_MIX; ASSUMP_AGENTIC_CONTEXT_PENALTY</t>
        </is>
      </c>
      <c r="L2629" s="3" t="inlineStr">
        <is>
          <t>Model-owner AI workload allocation or cluster scheduling telemetry.</t>
        </is>
      </c>
    </row>
    <row r="2630">
      <c r="A2630" s="3" t="inlineStr">
        <is>
          <t>OpenAI</t>
        </is>
      </c>
      <c r="B2630" s="3" t="n">
        <v>2030</v>
      </c>
      <c r="C2630" s="3" t="inlineStr">
        <is>
          <t>Bull</t>
        </is>
      </c>
      <c r="D2630" s="3" t="inlineStr">
        <is>
          <t>ai_it_load_gw</t>
        </is>
      </c>
      <c r="E2630" s="3" t="n">
        <v>7.355</v>
      </c>
      <c r="F2630" s="3" t="inlineStr">
        <is>
          <t>GW</t>
        </is>
      </c>
      <c r="G2630" s="3" t="inlineStr">
        <is>
          <t>Derived formula</t>
        </is>
      </c>
      <c r="H2630" s="3" t="inlineStr">
        <is>
          <t>it_load_gw * ai_workload_share</t>
        </is>
      </c>
      <c r="I2630" s="3" t="inlineStr">
        <is>
          <t>Only the AI-attributed portion of IT load enters training/inference allocation.</t>
        </is>
      </c>
      <c r="J2630" s="3" t="inlineStr">
        <is>
          <t>SRC_OPENAI_GPT41_DOCS; SRC_OPENAI_STARGATE_ORACLE; SRC_OPENAI_STARGATE_PROGRESS; SRC_EPOCH_AI_DATA_CENTERS</t>
        </is>
      </c>
      <c r="K2630" s="3" t="inlineStr">
        <is>
          <t>ASSUMP_STARGATE_RAMP; ASSUMP_MS_OPENAI_ATTRIBUTION; ASSUMP_NUMERIC_ACCELERATOR_MIX; ASSUMP_INFERENCE_SHARE_NOT_FACT_60; ASSUMP_WORKLOAD_CLASS_MIX; ASSUMP_AGENTIC_CONTEXT_PENALTY</t>
        </is>
      </c>
      <c r="L2630" s="3" t="inlineStr">
        <is>
          <t>Recompute after ai_workload_share is replaced by telemetry.</t>
        </is>
      </c>
    </row>
    <row r="2631">
      <c r="A2631" s="3" t="inlineStr">
        <is>
          <t>OpenAI</t>
        </is>
      </c>
      <c r="B2631" s="3" t="n">
        <v>2030</v>
      </c>
      <c r="C2631" s="3" t="inlineStr">
        <is>
          <t>Bull</t>
        </is>
      </c>
      <c r="D2631" s="3" t="inlineStr">
        <is>
          <t>gpu_share</t>
        </is>
      </c>
      <c r="E2631" s="3" t="n">
        <v>0.80198</v>
      </c>
      <c r="F2631" s="3" t="inlineStr">
        <is>
          <t>share of inference-serving accelerator load</t>
        </is>
      </c>
      <c r="G2631" s="3" t="inlineStr">
        <is>
          <t>Numeric scenario</t>
        </is>
      </c>
      <c r="H2631" s="3" t="inlineStr">
        <is>
          <t>gpu_share interpolated from company 2026/2030 accelerator-mix endpoints</t>
        </is>
      </c>
      <c r="I2631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631" s="3" t="inlineStr">
        <is>
          <t>SRC_OPENAI_GPT41_DOCS; SRC_OPENAI_STARGATE_ORACLE; SRC_OPENAI_STARGATE_PROGRESS; SRC_EPOCH_AI_DATA_CENTERS; ASSUMP_NUMERIC_ACCELERATOR_MIX</t>
        </is>
      </c>
      <c r="K2631" s="3" t="inlineStr">
        <is>
          <t>ASSUMP_STARGATE_RAMP; ASSUMP_MS_OPENAI_ATTRIBUTION; ASSUMP_NUMERIC_ACCELERATOR_MIX; ASSUMP_INFERENCE_SHARE_NOT_FACT_60; ASSUMP_WORKLOAD_CLASS_MIX; ASSUMP_AGENTIC_CONTEXT_PENALTY</t>
        </is>
      </c>
      <c r="L2631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632">
      <c r="A2632" s="3" t="inlineStr">
        <is>
          <t>OpenAI</t>
        </is>
      </c>
      <c r="B2632" s="3" t="n">
        <v>2030</v>
      </c>
      <c r="C2632" s="3" t="inlineStr">
        <is>
          <t>Bull</t>
        </is>
      </c>
      <c r="D2632" s="3" t="inlineStr">
        <is>
          <t>h200_share</t>
        </is>
      </c>
      <c r="E2632" s="3" t="n">
        <v>0.057924</v>
      </c>
      <c r="F2632" s="3" t="inlineStr">
        <is>
          <t>share of inference-serving accelerator load</t>
        </is>
      </c>
      <c r="G2632" s="3" t="inlineStr">
        <is>
          <t>Editable numeric scenario</t>
        </is>
      </c>
      <c r="H2632" s="3" t="inlineStr">
        <is>
          <t>h200_share = gpu_share * default_gpu_generation_mix_h200</t>
        </is>
      </c>
      <c r="I2632" s="3" t="inlineStr">
        <is>
          <t>Default GPU-generation migration assumption; executive workbook allows later manual replacement by company/year/scenario.</t>
        </is>
      </c>
      <c r="J2632" s="3" t="inlineStr">
        <is>
          <t>SRC_SEMIANALYSIS_INFERENCEX; ASSUMP_NUMERIC_ACCELERATOR_MIX</t>
        </is>
      </c>
      <c r="K2632" s="3" t="inlineStr">
        <is>
          <t>ASSUMP_STARGATE_RAMP; ASSUMP_MS_OPENAI_ATTRIBUTION; ASSUMP_NUMERIC_ACCELERATOR_MIX; ASSUMP_INFERENCE_SHARE_NOT_FACT_60; ASSUMP_WORKLOAD_CLASS_MIX; ASSUMP_AGENTIC_CONTEXT_PENALTY</t>
        </is>
      </c>
      <c r="L2632" s="3" t="inlineStr">
        <is>
          <t>Company fleet inventory, accelerator-hours or procurement/deployment records by GPU generation.</t>
        </is>
      </c>
    </row>
    <row r="2633">
      <c r="A2633" s="3" t="inlineStr">
        <is>
          <t>OpenAI</t>
        </is>
      </c>
      <c r="B2633" s="3" t="n">
        <v>2030</v>
      </c>
      <c r="C2633" s="3" t="inlineStr">
        <is>
          <t>Bull</t>
        </is>
      </c>
      <c r="D2633" s="3" t="inlineStr">
        <is>
          <t>b200_share</t>
        </is>
      </c>
      <c r="E2633" s="3" t="n">
        <v>0.524968</v>
      </c>
      <c r="F2633" s="3" t="inlineStr">
        <is>
          <t>share of inference-serving accelerator load</t>
        </is>
      </c>
      <c r="G2633" s="3" t="inlineStr">
        <is>
          <t>Editable numeric scenario</t>
        </is>
      </c>
      <c r="H2633" s="3" t="inlineStr">
        <is>
          <t>b200_share = gpu_share * default_gpu_generation_mix_b200</t>
        </is>
      </c>
      <c r="I2633" s="3" t="inlineStr">
        <is>
          <t>Default GPU-generation migration assumption; executive workbook allows later manual replacement by company/year/scenario.</t>
        </is>
      </c>
      <c r="J2633" s="3" t="inlineStr">
        <is>
          <t>SRC_SEMIANALYSIS_INFERENCEX; ASSUMP_NUMERIC_ACCELERATOR_MIX</t>
        </is>
      </c>
      <c r="K2633" s="3" t="inlineStr">
        <is>
          <t>ASSUMP_STARGATE_RAMP; ASSUMP_MS_OPENAI_ATTRIBUTION; ASSUMP_NUMERIC_ACCELERATOR_MIX; ASSUMP_INFERENCE_SHARE_NOT_FACT_60; ASSUMP_WORKLOAD_CLASS_MIX; ASSUMP_AGENTIC_CONTEXT_PENALTY</t>
        </is>
      </c>
      <c r="L2633" s="3" t="inlineStr">
        <is>
          <t>Company fleet inventory, accelerator-hours or procurement/deployment records by GPU generation.</t>
        </is>
      </c>
    </row>
    <row r="2634">
      <c r="A2634" s="3" t="inlineStr">
        <is>
          <t>OpenAI</t>
        </is>
      </c>
      <c r="B2634" s="3" t="n">
        <v>2030</v>
      </c>
      <c r="C2634" s="3" t="inlineStr">
        <is>
          <t>Bull</t>
        </is>
      </c>
      <c r="D2634" s="3" t="inlineStr">
        <is>
          <t>gb200_share</t>
        </is>
      </c>
      <c r="E2634" s="3" t="n">
        <v>0.219088</v>
      </c>
      <c r="F2634" s="3" t="inlineStr">
        <is>
          <t>share of inference-serving accelerator load</t>
        </is>
      </c>
      <c r="G2634" s="3" t="inlineStr">
        <is>
          <t>Editable numeric scenario</t>
        </is>
      </c>
      <c r="H2634" s="3" t="inlineStr">
        <is>
          <t>gb200_share = gpu_share * default_gpu_generation_mix_gb200</t>
        </is>
      </c>
      <c r="I2634" s="3" t="inlineStr">
        <is>
          <t>Default GPU-generation migration assumption; executive workbook allows later manual replacement by company/year/scenario.</t>
        </is>
      </c>
      <c r="J2634" s="3" t="inlineStr">
        <is>
          <t>SRC_SEMIANALYSIS_INFERENCEX; ASSUMP_NUMERIC_ACCELERATOR_MIX</t>
        </is>
      </c>
      <c r="K2634" s="3" t="inlineStr">
        <is>
          <t>ASSUMP_STARGATE_RAMP; ASSUMP_MS_OPENAI_ATTRIBUTION; ASSUMP_NUMERIC_ACCELERATOR_MIX; ASSUMP_INFERENCE_SHARE_NOT_FACT_60; ASSUMP_WORKLOAD_CLASS_MIX; ASSUMP_AGENTIC_CONTEXT_PENALTY</t>
        </is>
      </c>
      <c r="L2634" s="3" t="inlineStr">
        <is>
          <t>Company fleet inventory, accelerator-hours or procurement/deployment records by GPU generation.</t>
        </is>
      </c>
    </row>
    <row r="2635">
      <c r="A2635" s="3" t="inlineStr">
        <is>
          <t>OpenAI</t>
        </is>
      </c>
      <c r="B2635" s="3" t="n">
        <v>2030</v>
      </c>
      <c r="C2635" s="3" t="inlineStr">
        <is>
          <t>Bull</t>
        </is>
      </c>
      <c r="D2635" s="3" t="inlineStr">
        <is>
          <t>purpose_built_accelerator_share</t>
        </is>
      </c>
      <c r="E2635" s="3" t="n">
        <v>0.19802</v>
      </c>
      <c r="F2635" s="3" t="inlineStr">
        <is>
          <t>share of inference-serving accelerator load</t>
        </is>
      </c>
      <c r="G2635" s="3" t="inlineStr">
        <is>
          <t>Numeric scenario</t>
        </is>
      </c>
      <c r="H2635" s="3" t="inlineStr">
        <is>
          <t>1 - gpu_share</t>
        </is>
      </c>
      <c r="I2635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2635" s="3" t="inlineStr">
        <is>
          <t>SRC_OPENAI_GPT41_DOCS; SRC_OPENAI_STARGATE_ORACLE; SRC_OPENAI_STARGATE_PROGRESS; SRC_EPOCH_AI_DATA_CENTERS; ASSUMP_NUMERIC_ACCELERATOR_MIX</t>
        </is>
      </c>
      <c r="K2635" s="3" t="inlineStr">
        <is>
          <t>ASSUMP_STARGATE_RAMP; ASSUMP_MS_OPENAI_ATTRIBUTION; ASSUMP_NUMERIC_ACCELERATOR_MIX; ASSUMP_INFERENCE_SHARE_NOT_FACT_60; ASSUMP_WORKLOAD_CLASS_MIX; ASSUMP_AGENTIC_CONTEXT_PENALTY</t>
        </is>
      </c>
      <c r="L2635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2636">
      <c r="A2636" s="3" t="inlineStr">
        <is>
          <t>OpenAI</t>
        </is>
      </c>
      <c r="B2636" s="3" t="n">
        <v>2030</v>
      </c>
      <c r="C2636" s="3" t="inlineStr">
        <is>
          <t>Bull</t>
        </is>
      </c>
      <c r="D2636" s="3" t="inlineStr">
        <is>
          <t>fleet_reference_tps_per_mw</t>
        </is>
      </c>
      <c r="E2636" s="3" t="n">
        <v>197389</v>
      </c>
      <c r="F2636" s="3" t="inlineStr">
        <is>
          <t>generated output tokens/sec/MW</t>
        </is>
      </c>
      <c r="G2636" s="3" t="inlineStr">
        <is>
          <t>Fleet-weighted public benchmark reference</t>
        </is>
      </c>
      <c r="H2636" s="3" t="inlineStr">
        <is>
          <t>h200_share*h200_workload_avg + b200_share*b200_workload_avg + gb200_share*gb200_workload_avg + purpose_built_share*purpose_workload_avg</t>
        </is>
      </c>
      <c r="I263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36" s="3" t="inlineStr">
        <is>
          <t>SRC_SEMIANALYSIS_INFERENCEX; ASSUMP_NUMERIC_ACCELERATOR_MIX; ASSUMP_WORKLOAD_CLASS_MIX; ASSUMP_AGENTIC_CONTEXT_PENALTY</t>
        </is>
      </c>
      <c r="K2636" s="3" t="inlineStr">
        <is>
          <t>ASSUMP_STARGATE_RAMP; ASSUMP_MS_OPENAI_ATTRIBUTION; ASSUMP_NUMERIC_ACCELERATOR_MIX; ASSUMP_INFERENCE_SHARE_NOT_FACT_60; ASSUMP_WORKLOAD_CLASS_MIX; ASSUMP_AGENTIC_CONTEXT_PENALTY</t>
        </is>
      </c>
      <c r="L2636" s="3" t="inlineStr">
        <is>
          <t>Comparable production output-token throughput or a more closely matched benchmark.</t>
        </is>
      </c>
    </row>
    <row r="2637">
      <c r="A2637" s="3" t="inlineStr">
        <is>
          <t>OpenAI</t>
        </is>
      </c>
      <c r="B2637" s="3" t="n">
        <v>2030</v>
      </c>
      <c r="C2637" s="3" t="inlineStr">
        <is>
          <t>Bull</t>
        </is>
      </c>
      <c r="D2637" s="3" t="inlineStr">
        <is>
          <t>commercial_workload_fit_factor</t>
        </is>
      </c>
      <c r="E2637" s="3" t="n">
        <v>0.7</v>
      </c>
      <c r="F2637" s="3" t="inlineStr">
        <is>
          <t>share of public reference throughput</t>
        </is>
      </c>
      <c r="G2637" s="3" t="inlineStr">
        <is>
          <t>Scenario assumption</t>
        </is>
      </c>
      <c r="H2637" s="3" t="inlineStr">
        <is>
          <t>reference_serving_tps_per_mw = fleet_reference_tps_per_mw * commercial_workload_fit_factor</t>
        </is>
      </c>
      <c r="I2637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2637" s="3" t="inlineStr">
        <is>
          <t>SRC_SEMIANALYSIS_INFERENCEX; ASSUMP_NUMERIC_ACCELERATOR_MIX; ASSUMP_WORKLOAD_CLASS_MIX; ASSUMP_AGENTIC_CONTEXT_PENALTY</t>
        </is>
      </c>
      <c r="K2637" s="3" t="inlineStr">
        <is>
          <t>ASSUMP_STARGATE_RAMP; ASSUMP_MS_OPENAI_ATTRIBUTION; ASSUMP_NUMERIC_ACCELERATOR_MIX; ASSUMP_INFERENCE_SHARE_NOT_FACT_60; ASSUMP_WORKLOAD_CLASS_MIX; ASSUMP_AGENTIC_CONTEXT_PENALTY</t>
        </is>
      </c>
      <c r="L2637" s="3" t="inlineStr">
        <is>
          <t>Matched commercial serving benchmark by product surface, context shape and latency SLO.</t>
        </is>
      </c>
    </row>
    <row r="2638">
      <c r="A2638" s="3" t="inlineStr">
        <is>
          <t>OpenAI</t>
        </is>
      </c>
      <c r="B2638" s="3" t="n">
        <v>2030</v>
      </c>
      <c r="C2638" s="3" t="inlineStr">
        <is>
          <t>Bull</t>
        </is>
      </c>
      <c r="D2638" s="3" t="inlineStr">
        <is>
          <t>reference_serving_tps_per_mw</t>
        </is>
      </c>
      <c r="E2638" s="3" t="n">
        <v>138172</v>
      </c>
      <c r="F2638" s="3" t="inlineStr">
        <is>
          <t>generated output tokens/sec/MW</t>
        </is>
      </c>
      <c r="G2638" s="3" t="inlineStr">
        <is>
          <t>Workload-adjusted benchmark proxy</t>
        </is>
      </c>
      <c r="H2638" s="3" t="inlineStr">
        <is>
          <t>fleet_reference_tps_per_mw * commercial_workload_fit_factor</t>
        </is>
      </c>
      <c r="I2638" s="3" t="inlineStr">
        <is>
          <t>This is the coefficient used for headline token generation; each GPU's short chat, long chat and agentic TPS/MW are weighted before fleet mix and commercial fit are applied.</t>
        </is>
      </c>
      <c r="J2638" s="3" t="inlineStr">
        <is>
          <t>SRC_SEMIANALYSIS_INFERENCEX; ASSUMP_NUMERIC_ACCELERATOR_MIX; ASSUMP_WORKLOAD_CLASS_MIX; ASSUMP_AGENTIC_CONTEXT_PENALTY</t>
        </is>
      </c>
      <c r="K2638" s="3" t="inlineStr">
        <is>
          <t>ASSUMP_STARGATE_RAMP; ASSUMP_MS_OPENAI_ATTRIBUTION; ASSUMP_NUMERIC_ACCELERATOR_MIX; ASSUMP_INFERENCE_SHARE_NOT_FACT_60; ASSUMP_WORKLOAD_CLASS_MIX; ASSUMP_AGENTIC_CONTEXT_PENALTY</t>
        </is>
      </c>
      <c r="L2638" s="3" t="inlineStr">
        <is>
          <t>Provider production output-token throughput with comparable workload/SLO.</t>
        </is>
      </c>
    </row>
    <row r="2639">
      <c r="A2639" s="3" t="inlineStr">
        <is>
          <t>OpenAI</t>
        </is>
      </c>
      <c r="B2639" s="3" t="n">
        <v>2030</v>
      </c>
      <c r="C2639" s="3" t="inlineStr">
        <is>
          <t>Bull</t>
        </is>
      </c>
      <c r="D2639" s="3" t="inlineStr">
        <is>
          <t>purpose_built_tps_per_mw</t>
        </is>
      </c>
      <c r="E2639" s="3" t="n">
        <v>94714</v>
      </c>
      <c r="F2639" s="3" t="inlineStr">
        <is>
          <t>generated output tokens/sec/MW</t>
        </is>
      </c>
      <c r="G2639" s="3" t="inlineStr">
        <is>
          <t>Conservative no-uplift proxy</t>
        </is>
      </c>
      <c r="H2639" s="3" t="inlineStr">
        <is>
          <t>purpose_built_tps_per_mw = purpose_built_reference_tps_per_mw * commercial_workload_fit_factor until comparable output-token benchmark is adopted</t>
        </is>
      </c>
      <c r="I2639" s="3" t="inlineStr">
        <is>
          <t>No comparable public output-token/MW row adopted; B200 public reference placeholder is used and remains editable.</t>
        </is>
      </c>
      <c r="J2639" s="3" t="inlineStr">
        <is>
          <t>SRC_OPENAI_GPT41_DOCS; SRC_OPENAI_STARGATE_ORACLE; SRC_OPENAI_STARGATE_PROGRESS; SRC_EPOCH_AI_DATA_CENTERS; ASSUMP_NUMERIC_ACCELERATOR_MIX</t>
        </is>
      </c>
      <c r="K2639" s="3" t="inlineStr">
        <is>
          <t>ASSUMP_STARGATE_RAMP; ASSUMP_MS_OPENAI_ATTRIBUTION; ASSUMP_NUMERIC_ACCELERATOR_MIX; ASSUMP_INFERENCE_SHARE_NOT_FACT_60; ASSUMP_WORKLOAD_CLASS_MIX; ASSUMP_AGENTIC_CONTEXT_PENALTY</t>
        </is>
      </c>
      <c r="L2639" s="3" t="inlineStr">
        <is>
          <t>Matched-workload generated-output benchmark for the provider purpose-built accelerator.</t>
        </is>
      </c>
    </row>
    <row r="2640">
      <c r="A2640" s="3" t="inlineStr">
        <is>
          <t>OpenAI</t>
        </is>
      </c>
      <c r="B2640" s="3" t="n">
        <v>2030</v>
      </c>
      <c r="C2640" s="3" t="inlineStr">
        <is>
          <t>Bull</t>
        </is>
      </c>
      <c r="D2640" s="3" t="inlineStr">
        <is>
          <t>inference_power_share</t>
        </is>
      </c>
      <c r="E2640" s="3" t="n">
        <v>0.86</v>
      </c>
      <c r="F2640" s="3" t="inlineStr">
        <is>
          <t>share of AI IT load</t>
        </is>
      </c>
      <c r="G2640" s="3" t="inlineStr">
        <is>
          <t>Scenario allocation</t>
        </is>
      </c>
      <c r="H2640" s="3" t="inlineStr">
        <is>
          <t>inference_gw = ai_it_load_gw * inference_power_share</t>
        </is>
      </c>
      <c r="I2640" s="3" t="inlineStr">
        <is>
          <t>ChatGPT/API/enterprise commercial surfaces support increasing inference allocation while training remains material.</t>
        </is>
      </c>
      <c r="J2640" s="3" t="inlineStr">
        <is>
          <t>SRC_OPENAI_GPT41_DOCS; SRC_OPENAI_STARGATE_ORACLE; SRC_OPENAI_STARGATE_PROGRESS; SRC_EPOCH_AI_DATA_CENTERS; ASSUMP_INFERENCE_SHARE_NOT_FACT_60</t>
        </is>
      </c>
      <c r="K2640" s="3" t="inlineStr">
        <is>
          <t>ASSUMP_STARGATE_RAMP; ASSUMP_MS_OPENAI_ATTRIBUTION; ASSUMP_NUMERIC_ACCELERATOR_MIX; ASSUMP_INFERENCE_SHARE_NOT_FACT_60; ASSUMP_WORKLOAD_CLASS_MIX; ASSUMP_AGENTIC_CONTEXT_PENALTY</t>
        </is>
      </c>
      <c r="L2640" s="3" t="inlineStr">
        <is>
          <t>Provider-specific inference/training workload power telemetry.</t>
        </is>
      </c>
    </row>
    <row r="2641">
      <c r="A2641" s="3" t="inlineStr">
        <is>
          <t>OpenAI</t>
        </is>
      </c>
      <c r="B2641" s="3" t="n">
        <v>2030</v>
      </c>
      <c r="C2641" s="3" t="inlineStr">
        <is>
          <t>Bull</t>
        </is>
      </c>
      <c r="D2641" s="3" t="inlineStr">
        <is>
          <t>inference_gw</t>
        </is>
      </c>
      <c r="E2641" s="3" t="n">
        <v>6.326</v>
      </c>
      <c r="F2641" s="3" t="inlineStr">
        <is>
          <t>GW</t>
        </is>
      </c>
      <c r="G2641" s="3" t="inlineStr">
        <is>
          <t>Derived formula</t>
        </is>
      </c>
      <c r="H2641" s="3" t="inlineStr">
        <is>
          <t>ai_it_load_gw * inference_power_share</t>
        </is>
      </c>
      <c r="I2641" s="3" t="inlineStr">
        <is>
          <t>This is the operational power eligible to become commercial generated output tokens through the selected TPS/MW proxy.</t>
        </is>
      </c>
      <c r="J2641" s="3" t="inlineStr">
        <is>
          <t>SRC_OPENAI_GPT41_DOCS; SRC_OPENAI_STARGATE_ORACLE; SRC_OPENAI_STARGATE_PROGRESS; SRC_EPOCH_AI_DATA_CENTERS</t>
        </is>
      </c>
      <c r="K2641" s="3" t="inlineStr">
        <is>
          <t>ASSUMP_STARGATE_RAMP; ASSUMP_MS_OPENAI_ATTRIBUTION; ASSUMP_NUMERIC_ACCELERATOR_MIX; ASSUMP_INFERENCE_SHARE_NOT_FACT_60; ASSUMP_WORKLOAD_CLASS_MIX; ASSUMP_AGENTIC_CONTEXT_PENALTY</t>
        </is>
      </c>
      <c r="L2641" s="3" t="inlineStr">
        <is>
          <t>Recompute after AI allocation or inference-share evidence changes.</t>
        </is>
      </c>
    </row>
    <row r="2642">
      <c r="A2642" s="3" t="inlineStr">
        <is>
          <t>OpenAI</t>
        </is>
      </c>
      <c r="B2642" s="3" t="n">
        <v>2030</v>
      </c>
      <c r="C2642" s="3" t="inlineStr">
        <is>
          <t>Bull</t>
        </is>
      </c>
      <c r="D2642" s="3" t="inlineStr">
        <is>
          <t>training_power_share</t>
        </is>
      </c>
      <c r="E2642" s="3" t="n">
        <v>0.14</v>
      </c>
      <c r="F2642" s="3" t="inlineStr">
        <is>
          <t>share of AI IT load</t>
        </is>
      </c>
      <c r="G2642" s="3" t="inlineStr">
        <is>
          <t>Derived allocation</t>
        </is>
      </c>
      <c r="H2642" s="3" t="inlineStr">
        <is>
          <t>1 - inference_power_share</t>
        </is>
      </c>
      <c r="I2642" s="3" t="inlineStr">
        <is>
          <t>Training receives the complementary modeled AI IT allocation; it is not a disclosed company workload split.</t>
        </is>
      </c>
      <c r="J2642" s="3" t="inlineStr">
        <is>
          <t>SRC_OPENAI_GPT41_DOCS; SRC_OPENAI_STARGATE_ORACLE; SRC_OPENAI_STARGATE_PROGRESS; SRC_EPOCH_AI_DATA_CENTERS; ASSUMP_INFERENCE_SHARE_NOT_FACT_60</t>
        </is>
      </c>
      <c r="K2642" s="3" t="inlineStr">
        <is>
          <t>ASSUMP_STARGATE_RAMP; ASSUMP_MS_OPENAI_ATTRIBUTION; ASSUMP_NUMERIC_ACCELERATOR_MIX; ASSUMP_INFERENCE_SHARE_NOT_FACT_60; ASSUMP_WORKLOAD_CLASS_MIX; ASSUMP_AGENTIC_CONTEXT_PENALTY</t>
        </is>
      </c>
      <c r="L2642" s="3" t="inlineStr">
        <is>
          <t>Provider-specific inference/training workload power telemetry.</t>
        </is>
      </c>
    </row>
    <row r="2643">
      <c r="A2643" s="3" t="inlineStr">
        <is>
          <t>OpenAI</t>
        </is>
      </c>
      <c r="B2643" s="3" t="n">
        <v>2030</v>
      </c>
      <c r="C2643" s="3" t="inlineStr">
        <is>
          <t>Bull</t>
        </is>
      </c>
      <c r="D2643" s="3" t="inlineStr">
        <is>
          <t>training_gw</t>
        </is>
      </c>
      <c r="E2643" s="3" t="n">
        <v>1.03</v>
      </c>
      <c r="F2643" s="3" t="inlineStr">
        <is>
          <t>GW</t>
        </is>
      </c>
      <c r="G2643" s="3" t="inlineStr">
        <is>
          <t>Derived formula</t>
        </is>
      </c>
      <c r="H2643" s="3" t="inlineStr">
        <is>
          <t>ai_it_load_gw * training_power_share</t>
        </is>
      </c>
      <c r="I2643" s="3" t="inlineStr">
        <is>
          <t>Training GW is shown separately so commercial inference token capacity is not overstated.</t>
        </is>
      </c>
      <c r="J2643" s="3" t="inlineStr">
        <is>
          <t>SRC_OPENAI_GPT41_DOCS; SRC_OPENAI_STARGATE_ORACLE; SRC_OPENAI_STARGATE_PROGRESS; SRC_EPOCH_AI_DATA_CENTERS</t>
        </is>
      </c>
      <c r="K2643" s="3" t="inlineStr">
        <is>
          <t>ASSUMP_STARGATE_RAMP; ASSUMP_MS_OPENAI_ATTRIBUTION; ASSUMP_NUMERIC_ACCELERATOR_MIX; ASSUMP_INFERENCE_SHARE_NOT_FACT_60; ASSUMP_WORKLOAD_CLASS_MIX; ASSUMP_AGENTIC_CONTEXT_PENALTY</t>
        </is>
      </c>
      <c r="L2643" s="3" t="inlineStr">
        <is>
          <t>Recompute after AI allocation or workload-split evidence changes.</t>
        </is>
      </c>
    </row>
    <row r="2644">
      <c r="A2644" s="3" t="inlineStr">
        <is>
          <t>OpenAI</t>
        </is>
      </c>
      <c r="B2644" s="3" t="n">
        <v>2030</v>
      </c>
      <c r="C2644" s="3" t="inlineStr">
        <is>
          <t>Bull</t>
        </is>
      </c>
      <c r="D2644" s="3" t="inlineStr">
        <is>
          <t>tokens_per_second_per_mw</t>
        </is>
      </c>
      <c r="E2644" s="3" t="n">
        <v>138172</v>
      </c>
      <c r="F2644" s="3" t="inlineStr">
        <is>
          <t>generated output tokens/sec/MW</t>
        </is>
      </c>
      <c r="G2644" s="3" t="inlineStr">
        <is>
          <t>Derived estimate + benchmark calibration</t>
        </is>
      </c>
      <c r="H2644" s="3" t="inlineStr">
        <is>
          <t>fleet_reference_tps_per_mw * commercial_workload_fit_factor</t>
        </is>
      </c>
      <c r="I2644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2644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2644" s="3" t="inlineStr">
        <is>
          <t>ASSUMP_STARGATE_RAMP; ASSUMP_MS_OPENAI_ATTRIBUTION; ASSUMP_NUMERIC_ACCELERATOR_MIX; ASSUMP_INFERENCE_SHARE_NOT_FACT_60; ASSUMP_WORKLOAD_CLASS_MIX; ASSUMP_AGENTIC_CONTEXT_PENALTY</t>
        </is>
      </c>
      <c r="L2644" s="3" t="inlineStr">
        <is>
          <t>Comparable production output-token throughput with model, hardware, precision, ISL/OSL and SLO matched.</t>
        </is>
      </c>
    </row>
    <row r="2645">
      <c r="A2645" s="3" t="inlineStr">
        <is>
          <t>OpenAI</t>
        </is>
      </c>
      <c r="B2645" s="3" t="n">
        <v>2030</v>
      </c>
      <c r="C2645" s="3" t="inlineStr">
        <is>
          <t>Bull</t>
        </is>
      </c>
      <c r="D2645" s="3" t="inlineStr">
        <is>
          <t>inference_tokens_per_day</t>
        </is>
      </c>
      <c r="E2645" s="3" t="n">
        <v>75520172620800</v>
      </c>
      <c r="F2645" s="3" t="inlineStr">
        <is>
          <t>generated output tokens/day</t>
        </is>
      </c>
      <c r="G2645" s="3" t="inlineStr">
        <is>
          <t>Derived headline metric</t>
        </is>
      </c>
      <c r="H2645" s="3" t="inlineStr">
        <is>
          <t>inference_gw * 1000 * tokens_per_second_per_mw * 86,400</t>
        </is>
      </c>
      <c r="I2645" s="3" t="inlineStr">
        <is>
          <t>Headline capacity uses no utilization, MoE, architecture or software-growth multiplier; it is not observed commercial output volume.</t>
        </is>
      </c>
      <c r="J2645" s="3" t="inlineStr">
        <is>
          <t>SRC_OPENAI_GPT41_DOCS; SRC_OPENAI_STARGATE_ORACLE; SRC_OPENAI_STARGATE_PROGRESS; SRC_EPOCH_AI_DATA_CENTERS; SRC_SEMIANALYSIS_INFERENCEX</t>
        </is>
      </c>
      <c r="K2645" s="3" t="inlineStr">
        <is>
          <t>ASSUMP_STARGATE_RAMP; ASSUMP_MS_OPENAI_ATTRIBUTION; ASSUMP_NUMERIC_ACCELERATOR_MIX; ASSUMP_INFERENCE_SHARE_NOT_FACT_60; ASSUMP_WORKLOAD_CLASS_MIX; ASSUMP_AGENTIC_CONTEXT_PENALTY</t>
        </is>
      </c>
      <c r="L2645" s="3" t="inlineStr">
        <is>
          <t>Provider-disclosed generated output token volume or calibrated capacity telemetry.</t>
        </is>
      </c>
    </row>
    <row r="2646">
      <c r="A2646" s="3" t="inlineStr">
        <is>
          <t>OpenAI</t>
        </is>
      </c>
      <c r="B2646" s="3" t="n">
        <v>2030</v>
      </c>
      <c r="C2646" s="3" t="inlineStr">
        <is>
          <t>Bull</t>
        </is>
      </c>
      <c r="D2646" s="3" t="inlineStr">
        <is>
          <t>inference_tokens_per_year</t>
        </is>
      </c>
      <c r="E2646" s="3" t="n">
        <v>2.7564863006592e+16</v>
      </c>
      <c r="F2646" s="3" t="inlineStr">
        <is>
          <t>generated output tokens/year</t>
        </is>
      </c>
      <c r="G2646" s="3" t="inlineStr">
        <is>
          <t>Derived headline metric</t>
        </is>
      </c>
      <c r="H2646" s="3" t="inlineStr">
        <is>
          <t>inference_tokens_per_day * 365</t>
        </is>
      </c>
      <c r="I2646" s="3" t="inlineStr">
        <is>
          <t>Annualized version of generated output token capacity; it is not observed annual demand or billable volume.</t>
        </is>
      </c>
      <c r="J2646" s="3" t="inlineStr">
        <is>
          <t>SRC_OPENAI_GPT41_DOCS; SRC_OPENAI_STARGATE_ORACLE; SRC_OPENAI_STARGATE_PROGRESS; SRC_EPOCH_AI_DATA_CENTERS; SRC_SEMIANALYSIS_INFERENCEX</t>
        </is>
      </c>
      <c r="K2646" s="3" t="inlineStr">
        <is>
          <t>ASSUMP_STARGATE_RAMP; ASSUMP_MS_OPENAI_ATTRIBUTION; ASSUMP_NUMERIC_ACCELERATOR_MIX; ASSUMP_INFERENCE_SHARE_NOT_FACT_60; ASSUMP_WORKLOAD_CLASS_MIX; ASSUMP_AGENTIC_CONTEXT_PENALTY</t>
        </is>
      </c>
      <c r="L2646" s="3" t="inlineStr">
        <is>
          <t>Provider-disclosed annual generated-output volume or metered serving telemetry.</t>
        </is>
      </c>
    </row>
    <row r="2647">
      <c r="A2647" s="3" t="inlineStr">
        <is>
          <t>Anthropic</t>
        </is>
      </c>
      <c r="B2647" s="3" t="n">
        <v>2026</v>
      </c>
      <c r="C2647" s="3" t="inlineStr">
        <is>
          <t>Bull</t>
        </is>
      </c>
      <c r="D2647" s="3" t="inlineStr">
        <is>
          <t>contracted_power_gw</t>
        </is>
      </c>
      <c r="E2647" s="3" t="n">
        <v>3.5</v>
      </c>
      <c r="F2647" s="3" t="inlineStr">
        <is>
          <t>GW</t>
        </is>
      </c>
      <c r="G2647" s="3" t="inlineStr">
        <is>
          <t>Fact anchor + scenario ceiling</t>
        </is>
      </c>
      <c r="H2647" s="3" t="inlineStr">
        <is>
          <t>linear interpolation between 2026 and 2030 company capacity endpoints</t>
        </is>
      </c>
      <c r="I2647" s="3" t="inlineStr">
        <is>
          <t>Hosted capacity envelope is anchored by Anthropic/AWS Project Rainier direction; it is attributed to Claude outputs, not AWS as a model owner.</t>
        </is>
      </c>
      <c r="J2647" s="3" t="inlineStr">
        <is>
          <t>SRC_ANTHROPIC_AMAZON_COMPUTE; SRC_AWS_RAINIER_ACTIVE; ASSUMP_POWER_RAMP</t>
        </is>
      </c>
      <c r="K2647" s="3" t="inlineStr">
        <is>
          <t>ASSUMP_POWER_RAMP; ASSUMP_CLOSED_MODEL_BAND; ASSUMP_NUMERIC_ACCELERATOR_MIX; ASSUMP_INFERENCE_SHARE_NOT_FACT_60; ASSUMP_WORKLOAD_CLASS_MIX; ASSUMP_AGENTIC_CONTEXT_PENALTY</t>
        </is>
      </c>
      <c r="L2647" s="3" t="inlineStr">
        <is>
          <t>Company/site-level committed MW/GW, interconnect and contract disclosure.</t>
        </is>
      </c>
    </row>
    <row r="2648">
      <c r="A2648" s="3" t="inlineStr">
        <is>
          <t>Anthropic</t>
        </is>
      </c>
      <c r="B2648" s="3" t="n">
        <v>2026</v>
      </c>
      <c r="C2648" s="3" t="inlineStr">
        <is>
          <t>Bull</t>
        </is>
      </c>
      <c r="D2648" s="3" t="inlineStr">
        <is>
          <t>operational_deployment_share</t>
        </is>
      </c>
      <c r="E2648" s="3" t="n">
        <v>0.3</v>
      </c>
      <c r="F2648" s="3" t="inlineStr">
        <is>
          <t>share</t>
        </is>
      </c>
      <c r="G2648" s="3" t="inlineStr">
        <is>
          <t>Scenario conversion</t>
        </is>
      </c>
      <c r="H2648" s="3" t="inlineStr">
        <is>
          <t>active_power_gw / contracted_power_gw</t>
        </is>
      </c>
      <c r="I2648" s="3" t="inlineStr">
        <is>
          <t>This is the single explicit conversion from contracted/attributed capacity to operationally usable capacity.</t>
        </is>
      </c>
      <c r="J2648" s="3" t="inlineStr">
        <is>
          <t>SRC_ANTHROPIC_AMAZON_COMPUTE; SRC_AWS_RAINIER_ACTIVE; ASSUMP_POWER_RAMP</t>
        </is>
      </c>
      <c r="K2648" s="3" t="inlineStr">
        <is>
          <t>ASSUMP_POWER_RAMP; ASSUMP_CLOSED_MODEL_BAND; ASSUMP_NUMERIC_ACCELERATOR_MIX; ASSUMP_INFERENCE_SHARE_NOT_FACT_60; ASSUMP_WORKLOAD_CLASS_MIX; ASSUMP_AGENTIC_CONTEXT_PENALTY</t>
        </is>
      </c>
      <c r="L2648" s="3" t="inlineStr">
        <is>
          <t>Energized operational capacity divided by contracted/attributed capacity.</t>
        </is>
      </c>
    </row>
    <row r="2649">
      <c r="A2649" s="3" t="inlineStr">
        <is>
          <t>Anthropic</t>
        </is>
      </c>
      <c r="B2649" s="3" t="n">
        <v>2026</v>
      </c>
      <c r="C2649" s="3" t="inlineStr">
        <is>
          <t>Bull</t>
        </is>
      </c>
      <c r="D2649" s="3" t="inlineStr">
        <is>
          <t>active_power_gw</t>
        </is>
      </c>
      <c r="E2649" s="3" t="n">
        <v>1.05</v>
      </c>
      <c r="F2649" s="3" t="inlineStr">
        <is>
          <t>GW</t>
        </is>
      </c>
      <c r="G2649" s="3" t="inlineStr">
        <is>
          <t>Derived scenario</t>
        </is>
      </c>
      <c r="H2649" s="3" t="inlineStr">
        <is>
          <t>contracted_power_gw * operational_deployment_share</t>
        </is>
      </c>
      <c r="I2649" s="3" t="inlineStr">
        <is>
          <t>Trainium cluster activation supports staged active ramp; Claude inference-versus-training use remains estimated.</t>
        </is>
      </c>
      <c r="J2649" s="3" t="inlineStr">
        <is>
          <t>SRC_ANTHROPIC_AMAZON_COMPUTE; SRC_AWS_RAINIER_ACTIVE; ASSUMP_POWER_RAMP</t>
        </is>
      </c>
      <c r="K2649" s="3" t="inlineStr">
        <is>
          <t>ASSUMP_POWER_RAMP; ASSUMP_CLOSED_MODEL_BAND; ASSUMP_NUMERIC_ACCELERATOR_MIX; ASSUMP_INFERENCE_SHARE_NOT_FACT_60; ASSUMP_WORKLOAD_CLASS_MIX; ASSUMP_AGENTIC_CONTEXT_PENALTY</t>
        </is>
      </c>
      <c r="L2649" s="3" t="inlineStr">
        <is>
          <t>Energization dates, accelerator deliveries and operational powered-rack telemetry.</t>
        </is>
      </c>
    </row>
    <row r="2650">
      <c r="A2650" s="3" t="inlineStr">
        <is>
          <t>Anthropic</t>
        </is>
      </c>
      <c r="B2650" s="3" t="n">
        <v>2026</v>
      </c>
      <c r="C2650" s="3" t="inlineStr">
        <is>
          <t>Bull</t>
        </is>
      </c>
      <c r="D2650" s="3" t="inlineStr">
        <is>
          <t>pue</t>
        </is>
      </c>
      <c r="E2650" s="3" t="n">
        <v>1.18</v>
      </c>
      <c r="F2650" s="3" t="inlineStr">
        <is>
          <t>ratio</t>
        </is>
      </c>
      <c r="G2650" s="3" t="inlineStr">
        <is>
          <t>Scenario parameter</t>
        </is>
      </c>
      <c r="H2650" s="3" t="inlineStr">
        <is>
          <t>it_load_gw = active_power_gw / pue</t>
        </is>
      </c>
      <c r="I2650" s="3" t="inlineStr">
        <is>
          <t>No provider-wide site-level PUE is used as a disclosed fact; PUE represents facility-to-IT conversion within the scenario.</t>
        </is>
      </c>
      <c r="J2650" s="3" t="inlineStr">
        <is>
          <t>ASSUMP_POWER_RAMP</t>
        </is>
      </c>
      <c r="K2650" s="3" t="inlineStr">
        <is>
          <t>ASSUMP_POWER_RAMP; ASSUMP_CLOSED_MODEL_BAND; ASSUMP_NUMERIC_ACCELERATOR_MIX; ASSUMP_INFERENCE_SHARE_NOT_FACT_60; ASSUMP_WORKLOAD_CLASS_MIX; ASSUMP_AGENTIC_CONTEXT_PENALTY</t>
        </is>
      </c>
      <c r="L2650" s="3" t="inlineStr">
        <is>
          <t>Site-level measured PUE matched to attributed AI capacity.</t>
        </is>
      </c>
    </row>
    <row r="2651">
      <c r="A2651" s="3" t="inlineStr">
        <is>
          <t>Anthropic</t>
        </is>
      </c>
      <c r="B2651" s="3" t="n">
        <v>2026</v>
      </c>
      <c r="C2651" s="3" t="inlineStr">
        <is>
          <t>Bull</t>
        </is>
      </c>
      <c r="D2651" s="3" t="inlineStr">
        <is>
          <t>it_load_gw</t>
        </is>
      </c>
      <c r="E2651" s="3" t="n">
        <v>0.89</v>
      </c>
      <c r="F2651" s="3" t="inlineStr">
        <is>
          <t>GW</t>
        </is>
      </c>
      <c r="G2651" s="3" t="inlineStr">
        <is>
          <t>Derived formula</t>
        </is>
      </c>
      <c r="H2651" s="3" t="inlineStr">
        <is>
          <t>active_power_gw / pue</t>
        </is>
      </c>
      <c r="I2651" s="3" t="inlineStr">
        <is>
          <t>Facility power is converted to IT-deliverable power before attributing AI workloads.</t>
        </is>
      </c>
      <c r="J2651" s="3" t="inlineStr">
        <is>
          <t>SRC_ANTHROPIC_AMAZON_COMPUTE; SRC_AWS_RAINIER_ACTIVE; ASSUMP_POWER_RAMP</t>
        </is>
      </c>
      <c r="K2651" s="3" t="inlineStr">
        <is>
          <t>ASSUMP_POWER_RAMP; ASSUMP_CLOSED_MODEL_BAND; ASSUMP_NUMERIC_ACCELERATOR_MIX; ASSUMP_INFERENCE_SHARE_NOT_FACT_60; ASSUMP_WORKLOAD_CLASS_MIX; ASSUMP_AGENTIC_CONTEXT_PENALTY</t>
        </is>
      </c>
      <c r="L2651" s="3" t="inlineStr">
        <is>
          <t>Recompute once active power and PUE become site-observable.</t>
        </is>
      </c>
    </row>
    <row r="2652">
      <c r="A2652" s="3" t="inlineStr">
        <is>
          <t>Anthropic</t>
        </is>
      </c>
      <c r="B2652" s="3" t="n">
        <v>2026</v>
      </c>
      <c r="C2652" s="3" t="inlineStr">
        <is>
          <t>Bull</t>
        </is>
      </c>
      <c r="D2652" s="3" t="inlineStr">
        <is>
          <t>ai_workload_share</t>
        </is>
      </c>
      <c r="E2652" s="3" t="n">
        <v>0.86</v>
      </c>
      <c r="F2652" s="3" t="inlineStr">
        <is>
          <t>share</t>
        </is>
      </c>
      <c r="G2652" s="3" t="inlineStr">
        <is>
          <t>Scenario allocation</t>
        </is>
      </c>
      <c r="H2652" s="3" t="inlineStr">
        <is>
          <t>ai_it_load_gw = it_load_gw * ai_workload_share</t>
        </is>
      </c>
      <c r="I2652" s="3" t="inlineStr">
        <is>
          <t>Anthropic-directed hosted capacity is predominantly AI; 86% excludes platform, reserve and non-serving allocation.</t>
        </is>
      </c>
      <c r="J2652" s="3" t="inlineStr">
        <is>
          <t>SRC_ANTHROPIC_CLAUDE_DOCS; SRC_ANTHROPIC_AMAZON_COMPUTE; SRC_AWS_RAINIER_ACTIVE; SRC_EPOCH_AI_DATA_CENTERS</t>
        </is>
      </c>
      <c r="K2652" s="3" t="inlineStr">
        <is>
          <t>ASSUMP_POWER_RAMP; ASSUMP_CLOSED_MODEL_BAND; ASSUMP_NUMERIC_ACCELERATOR_MIX; ASSUMP_INFERENCE_SHARE_NOT_FACT_60; ASSUMP_WORKLOAD_CLASS_MIX; ASSUMP_AGENTIC_CONTEXT_PENALTY</t>
        </is>
      </c>
      <c r="L2652" s="3" t="inlineStr">
        <is>
          <t>Model-owner AI workload allocation or cluster scheduling telemetry.</t>
        </is>
      </c>
    </row>
    <row r="2653">
      <c r="A2653" s="3" t="inlineStr">
        <is>
          <t>Anthropic</t>
        </is>
      </c>
      <c r="B2653" s="3" t="n">
        <v>2026</v>
      </c>
      <c r="C2653" s="3" t="inlineStr">
        <is>
          <t>Bull</t>
        </is>
      </c>
      <c r="D2653" s="3" t="inlineStr">
        <is>
          <t>ai_it_load_gw</t>
        </is>
      </c>
      <c r="E2653" s="3" t="n">
        <v>0.765</v>
      </c>
      <c r="F2653" s="3" t="inlineStr">
        <is>
          <t>GW</t>
        </is>
      </c>
      <c r="G2653" s="3" t="inlineStr">
        <is>
          <t>Derived formula</t>
        </is>
      </c>
      <c r="H2653" s="3" t="inlineStr">
        <is>
          <t>it_load_gw * ai_workload_share</t>
        </is>
      </c>
      <c r="I2653" s="3" t="inlineStr">
        <is>
          <t>Only the AI-attributed portion of IT load enters training/inference allocation.</t>
        </is>
      </c>
      <c r="J2653" s="3" t="inlineStr">
        <is>
          <t>SRC_ANTHROPIC_CLAUDE_DOCS; SRC_ANTHROPIC_AMAZON_COMPUTE; SRC_AWS_RAINIER_ACTIVE; SRC_EPOCH_AI_DATA_CENTERS</t>
        </is>
      </c>
      <c r="K2653" s="3" t="inlineStr">
        <is>
          <t>ASSUMP_POWER_RAMP; ASSUMP_CLOSED_MODEL_BAND; ASSUMP_NUMERIC_ACCELERATOR_MIX; ASSUMP_INFERENCE_SHARE_NOT_FACT_60; ASSUMP_WORKLOAD_CLASS_MIX; ASSUMP_AGENTIC_CONTEXT_PENALTY</t>
        </is>
      </c>
      <c r="L2653" s="3" t="inlineStr">
        <is>
          <t>Recompute after ai_workload_share is replaced by telemetry.</t>
        </is>
      </c>
    </row>
    <row r="2654">
      <c r="A2654" s="3" t="inlineStr">
        <is>
          <t>Anthropic</t>
        </is>
      </c>
      <c r="B2654" s="3" t="n">
        <v>2026</v>
      </c>
      <c r="C2654" s="3" t="inlineStr">
        <is>
          <t>Bull</t>
        </is>
      </c>
      <c r="D2654" s="3" t="inlineStr">
        <is>
          <t>gpu_share</t>
        </is>
      </c>
      <c r="E2654" s="3" t="n">
        <v>0.320539</v>
      </c>
      <c r="F2654" s="3" t="inlineStr">
        <is>
          <t>share of inference-serving accelerator load</t>
        </is>
      </c>
      <c r="G2654" s="3" t="inlineStr">
        <is>
          <t>Numeric scenario</t>
        </is>
      </c>
      <c r="H2654" s="3" t="inlineStr">
        <is>
          <t>gpu_share interpolated from company 2026/2030 accelerator-mix endpoints</t>
        </is>
      </c>
      <c r="I2654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654" s="3" t="inlineStr">
        <is>
          <t>SRC_ANTHROPIC_CLAUDE_DOCS; SRC_ANTHROPIC_AMAZON_COMPUTE; SRC_AWS_RAINIER_ACTIVE; SRC_EPOCH_AI_DATA_CENTERS; ASSUMP_NUMERIC_ACCELERATOR_MIX</t>
        </is>
      </c>
      <c r="K2654" s="3" t="inlineStr">
        <is>
          <t>ASSUMP_POWER_RAMP; ASSUMP_CLOSED_MODEL_BAND; ASSUMP_NUMERIC_ACCELERATOR_MIX; ASSUMP_INFERENCE_SHARE_NOT_FACT_60; ASSUMP_WORKLOAD_CLASS_MIX; ASSUMP_AGENTIC_CONTEXT_PENALTY</t>
        </is>
      </c>
      <c r="L2654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655">
      <c r="A2655" s="3" t="inlineStr">
        <is>
          <t>Anthropic</t>
        </is>
      </c>
      <c r="B2655" s="3" t="n">
        <v>2026</v>
      </c>
      <c r="C2655" s="3" t="inlineStr">
        <is>
          <t>Bull</t>
        </is>
      </c>
      <c r="D2655" s="3" t="inlineStr">
        <is>
          <t>h200_share</t>
        </is>
      </c>
      <c r="E2655" s="3" t="n">
        <v>0.138978</v>
      </c>
      <c r="F2655" s="3" t="inlineStr">
        <is>
          <t>share of inference-serving accelerator load</t>
        </is>
      </c>
      <c r="G2655" s="3" t="inlineStr">
        <is>
          <t>Editable numeric scenario</t>
        </is>
      </c>
      <c r="H2655" s="3" t="inlineStr">
        <is>
          <t>h200_share = gpu_share * default_gpu_generation_mix_h200</t>
        </is>
      </c>
      <c r="I2655" s="3" t="inlineStr">
        <is>
          <t>Default GPU-generation migration assumption; executive workbook allows later manual replacement by company/year/scenario.</t>
        </is>
      </c>
      <c r="J2655" s="3" t="inlineStr">
        <is>
          <t>SRC_SEMIANALYSIS_INFERENCEX; ASSUMP_NUMERIC_ACCELERATOR_MIX</t>
        </is>
      </c>
      <c r="K2655" s="3" t="inlineStr">
        <is>
          <t>ASSUMP_POWER_RAMP; ASSUMP_CLOSED_MODEL_BAND; ASSUMP_NUMERIC_ACCELERATOR_MIX; ASSUMP_INFERENCE_SHARE_NOT_FACT_60; ASSUMP_WORKLOAD_CLASS_MIX; ASSUMP_AGENTIC_CONTEXT_PENALTY</t>
        </is>
      </c>
      <c r="L2655" s="3" t="inlineStr">
        <is>
          <t>Company fleet inventory, accelerator-hours or procurement/deployment records by GPU generation.</t>
        </is>
      </c>
    </row>
    <row r="2656">
      <c r="A2656" s="3" t="inlineStr">
        <is>
          <t>Anthropic</t>
        </is>
      </c>
      <c r="B2656" s="3" t="n">
        <v>2026</v>
      </c>
      <c r="C2656" s="3" t="inlineStr">
        <is>
          <t>Bull</t>
        </is>
      </c>
      <c r="D2656" s="3" t="inlineStr">
        <is>
          <t>b200_share</t>
        </is>
      </c>
      <c r="E2656" s="3" t="n">
        <v>0.181561</v>
      </c>
      <c r="F2656" s="3" t="inlineStr">
        <is>
          <t>share of inference-serving accelerator load</t>
        </is>
      </c>
      <c r="G2656" s="3" t="inlineStr">
        <is>
          <t>Editable numeric scenario</t>
        </is>
      </c>
      <c r="H2656" s="3" t="inlineStr">
        <is>
          <t>b200_share = gpu_share * default_gpu_generation_mix_b200</t>
        </is>
      </c>
      <c r="I2656" s="3" t="inlineStr">
        <is>
          <t>Default GPU-generation migration assumption; executive workbook allows later manual replacement by company/year/scenario.</t>
        </is>
      </c>
      <c r="J2656" s="3" t="inlineStr">
        <is>
          <t>SRC_SEMIANALYSIS_INFERENCEX; ASSUMP_NUMERIC_ACCELERATOR_MIX</t>
        </is>
      </c>
      <c r="K2656" s="3" t="inlineStr">
        <is>
          <t>ASSUMP_POWER_RAMP; ASSUMP_CLOSED_MODEL_BAND; ASSUMP_NUMERIC_ACCELERATOR_MIX; ASSUMP_INFERENCE_SHARE_NOT_FACT_60; ASSUMP_WORKLOAD_CLASS_MIX; ASSUMP_AGENTIC_CONTEXT_PENALTY</t>
        </is>
      </c>
      <c r="L2656" s="3" t="inlineStr">
        <is>
          <t>Company fleet inventory, accelerator-hours or procurement/deployment records by GPU generation.</t>
        </is>
      </c>
    </row>
    <row r="2657">
      <c r="A2657" s="3" t="inlineStr">
        <is>
          <t>Anthropic</t>
        </is>
      </c>
      <c r="B2657" s="3" t="n">
        <v>2026</v>
      </c>
      <c r="C2657" s="3" t="inlineStr">
        <is>
          <t>Bull</t>
        </is>
      </c>
      <c r="D2657" s="3" t="inlineStr">
        <is>
          <t>gb200_share</t>
        </is>
      </c>
      <c r="E2657" s="3" t="n">
        <v>0</v>
      </c>
      <c r="F2657" s="3" t="inlineStr">
        <is>
          <t>share of inference-serving accelerator load</t>
        </is>
      </c>
      <c r="G2657" s="3" t="inlineStr">
        <is>
          <t>Editable numeric scenario</t>
        </is>
      </c>
      <c r="H2657" s="3" t="inlineStr">
        <is>
          <t>gb200_share = gpu_share * default_gpu_generation_mix_gb200</t>
        </is>
      </c>
      <c r="I2657" s="3" t="inlineStr">
        <is>
          <t>Default GPU-generation migration assumption; executive workbook allows later manual replacement by company/year/scenario.</t>
        </is>
      </c>
      <c r="J2657" s="3" t="inlineStr">
        <is>
          <t>SRC_SEMIANALYSIS_INFERENCEX; ASSUMP_NUMERIC_ACCELERATOR_MIX</t>
        </is>
      </c>
      <c r="K2657" s="3" t="inlineStr">
        <is>
          <t>ASSUMP_POWER_RAMP; ASSUMP_CLOSED_MODEL_BAND; ASSUMP_NUMERIC_ACCELERATOR_MIX; ASSUMP_INFERENCE_SHARE_NOT_FACT_60; ASSUMP_WORKLOAD_CLASS_MIX; ASSUMP_AGENTIC_CONTEXT_PENALTY</t>
        </is>
      </c>
      <c r="L2657" s="3" t="inlineStr">
        <is>
          <t>Company fleet inventory, accelerator-hours or procurement/deployment records by GPU generation.</t>
        </is>
      </c>
    </row>
    <row r="2658">
      <c r="A2658" s="3" t="inlineStr">
        <is>
          <t>Anthropic</t>
        </is>
      </c>
      <c r="B2658" s="3" t="n">
        <v>2026</v>
      </c>
      <c r="C2658" s="3" t="inlineStr">
        <is>
          <t>Bull</t>
        </is>
      </c>
      <c r="D2658" s="3" t="inlineStr">
        <is>
          <t>purpose_built_accelerator_share</t>
        </is>
      </c>
      <c r="E2658" s="3" t="n">
        <v>0.679461</v>
      </c>
      <c r="F2658" s="3" t="inlineStr">
        <is>
          <t>share of inference-serving accelerator load</t>
        </is>
      </c>
      <c r="G2658" s="3" t="inlineStr">
        <is>
          <t>Numeric scenario</t>
        </is>
      </c>
      <c r="H2658" s="3" t="inlineStr">
        <is>
          <t>1 - gpu_share</t>
        </is>
      </c>
      <c r="I2658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658" s="3" t="inlineStr">
        <is>
          <t>SRC_ANTHROPIC_CLAUDE_DOCS; SRC_ANTHROPIC_AMAZON_COMPUTE; SRC_AWS_RAINIER_ACTIVE; SRC_EPOCH_AI_DATA_CENTERS; ASSUMP_NUMERIC_ACCELERATOR_MIX</t>
        </is>
      </c>
      <c r="K2658" s="3" t="inlineStr">
        <is>
          <t>ASSUMP_POWER_RAMP; ASSUMP_CLOSED_MODEL_BAND; ASSUMP_NUMERIC_ACCELERATOR_MIX; ASSUMP_INFERENCE_SHARE_NOT_FACT_60; ASSUMP_WORKLOAD_CLASS_MIX; ASSUMP_AGENTIC_CONTEXT_PENALTY</t>
        </is>
      </c>
      <c r="L2658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659">
      <c r="A2659" s="3" t="inlineStr">
        <is>
          <t>Anthropic</t>
        </is>
      </c>
      <c r="B2659" s="3" t="n">
        <v>2026</v>
      </c>
      <c r="C2659" s="3" t="inlineStr">
        <is>
          <t>Bull</t>
        </is>
      </c>
      <c r="D2659" s="3" t="inlineStr">
        <is>
          <t>fleet_reference_tps_per_mw</t>
        </is>
      </c>
      <c r="E2659" s="3" t="n">
        <v>244773</v>
      </c>
      <c r="F2659" s="3" t="inlineStr">
        <is>
          <t>generated output tokens/sec/MW</t>
        </is>
      </c>
      <c r="G2659" s="3" t="inlineStr">
        <is>
          <t>Fleet-weighted public benchmark reference</t>
        </is>
      </c>
      <c r="H2659" s="3" t="inlineStr">
        <is>
          <t>h200_share*h200_workload_avg + b200_share*b200_workload_avg + gb200_share*gb200_workload_avg + purpose_built_share*purpose_workload_avg</t>
        </is>
      </c>
      <c r="I265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59" s="3" t="inlineStr">
        <is>
          <t>SRC_SEMIANALYSIS_INFERENCEX; ASSUMP_NUMERIC_ACCELERATOR_MIX; ASSUMP_WORKLOAD_CLASS_MIX; ASSUMP_AGENTIC_CONTEXT_PENALTY</t>
        </is>
      </c>
      <c r="K2659" s="3" t="inlineStr">
        <is>
          <t>ASSUMP_POWER_RAMP; ASSUMP_CLOSED_MODEL_BAND; ASSUMP_NUMERIC_ACCELERATOR_MIX; ASSUMP_INFERENCE_SHARE_NOT_FACT_60; ASSUMP_WORKLOAD_CLASS_MIX; ASSUMP_AGENTIC_CONTEXT_PENALTY</t>
        </is>
      </c>
      <c r="L2659" s="3" t="inlineStr">
        <is>
          <t>Comparable production output-token throughput or a more closely matched benchmark.</t>
        </is>
      </c>
    </row>
    <row r="2660">
      <c r="A2660" s="3" t="inlineStr">
        <is>
          <t>Anthropic</t>
        </is>
      </c>
      <c r="B2660" s="3" t="n">
        <v>2026</v>
      </c>
      <c r="C2660" s="3" t="inlineStr">
        <is>
          <t>Bull</t>
        </is>
      </c>
      <c r="D2660" s="3" t="inlineStr">
        <is>
          <t>commercial_workload_fit_factor</t>
        </is>
      </c>
      <c r="E2660" s="3" t="n">
        <v>0.7</v>
      </c>
      <c r="F2660" s="3" t="inlineStr">
        <is>
          <t>share of public reference throughput</t>
        </is>
      </c>
      <c r="G2660" s="3" t="inlineStr">
        <is>
          <t>Scenario assumption</t>
        </is>
      </c>
      <c r="H2660" s="3" t="inlineStr">
        <is>
          <t>reference_serving_tps_per_mw = fleet_reference_tps_per_mw * commercial_workload_fit_factor</t>
        </is>
      </c>
      <c r="I2660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60" s="3" t="inlineStr">
        <is>
          <t>SRC_SEMIANALYSIS_INFERENCEX; ASSUMP_NUMERIC_ACCELERATOR_MIX; ASSUMP_WORKLOAD_CLASS_MIX; ASSUMP_AGENTIC_CONTEXT_PENALTY</t>
        </is>
      </c>
      <c r="K2660" s="3" t="inlineStr">
        <is>
          <t>ASSUMP_POWER_RAMP; ASSUMP_CLOSED_MODEL_BAND; ASSUMP_NUMERIC_ACCELERATOR_MIX; ASSUMP_INFERENCE_SHARE_NOT_FACT_60; ASSUMP_WORKLOAD_CLASS_MIX; ASSUMP_AGENTIC_CONTEXT_PENALTY</t>
        </is>
      </c>
      <c r="L2660" s="3" t="inlineStr">
        <is>
          <t>Matched commercial serving benchmark by product surface, context shape and latency SLO.</t>
        </is>
      </c>
    </row>
    <row r="2661">
      <c r="A2661" s="3" t="inlineStr">
        <is>
          <t>Anthropic</t>
        </is>
      </c>
      <c r="B2661" s="3" t="n">
        <v>2026</v>
      </c>
      <c r="C2661" s="3" t="inlineStr">
        <is>
          <t>Bull</t>
        </is>
      </c>
      <c r="D2661" s="3" t="inlineStr">
        <is>
          <t>reference_serving_tps_per_mw</t>
        </is>
      </c>
      <c r="E2661" s="3" t="n">
        <v>171341</v>
      </c>
      <c r="F2661" s="3" t="inlineStr">
        <is>
          <t>generated output tokens/sec/MW</t>
        </is>
      </c>
      <c r="G2661" s="3" t="inlineStr">
        <is>
          <t>Workload-adjusted benchmark proxy</t>
        </is>
      </c>
      <c r="H2661" s="3" t="inlineStr">
        <is>
          <t>fleet_reference_tps_per_mw * commercial_workload_fit_factor</t>
        </is>
      </c>
      <c r="I2661" s="3" t="inlineStr">
        <is>
          <t>This is the coefficient used for headline token generation; each GPU's short chat, long chat and agentic TPS/MW are weighted before fleet mix and commercial fit are applied.</t>
        </is>
      </c>
      <c r="J2661" s="3" t="inlineStr">
        <is>
          <t>SRC_SEMIANALYSIS_INFERENCEX; ASSUMP_NUMERIC_ACCELERATOR_MIX; ASSUMP_WORKLOAD_CLASS_MIX; ASSUMP_AGENTIC_CONTEXT_PENALTY</t>
        </is>
      </c>
      <c r="K2661" s="3" t="inlineStr">
        <is>
          <t>ASSUMP_POWER_RAMP; ASSUMP_CLOSED_MODEL_BAND; ASSUMP_NUMERIC_ACCELERATOR_MIX; ASSUMP_INFERENCE_SHARE_NOT_FACT_60; ASSUMP_WORKLOAD_CLASS_MIX; ASSUMP_AGENTIC_CONTEXT_PENALTY</t>
        </is>
      </c>
      <c r="L2661" s="3" t="inlineStr">
        <is>
          <t>Provider production output-token throughput with comparable workload/SLO.</t>
        </is>
      </c>
    </row>
    <row r="2662">
      <c r="A2662" s="3" t="inlineStr">
        <is>
          <t>Anthropic</t>
        </is>
      </c>
      <c r="B2662" s="3" t="n">
        <v>2026</v>
      </c>
      <c r="C2662" s="3" t="inlineStr">
        <is>
          <t>Bull</t>
        </is>
      </c>
      <c r="D2662" s="3" t="inlineStr">
        <is>
          <t>purpose_built_tps_per_mw</t>
        </is>
      </c>
      <c r="E2662" s="3" t="n">
        <v>94714</v>
      </c>
      <c r="F2662" s="3" t="inlineStr">
        <is>
          <t>generated output tokens/sec/MW</t>
        </is>
      </c>
      <c r="G2662" s="3" t="inlineStr">
        <is>
          <t>Conservative no-uplift proxy</t>
        </is>
      </c>
      <c r="H2662" s="3" t="inlineStr">
        <is>
          <t>purpose_built_tps_per_mw = purpose_built_reference_tps_per_mw * commercial_workload_fit_factor until comparable output-token benchmark is adopted</t>
        </is>
      </c>
      <c r="I2662" s="3" t="inlineStr">
        <is>
          <t>No comparable public output-token/MW row adopted; B200 public reference placeholder is used and remains editable.</t>
        </is>
      </c>
      <c r="J2662" s="3" t="inlineStr">
        <is>
          <t>SRC_ANTHROPIC_CLAUDE_DOCS; SRC_ANTHROPIC_AMAZON_COMPUTE; SRC_AWS_RAINIER_ACTIVE; SRC_EPOCH_AI_DATA_CENTERS; ASSUMP_NUMERIC_ACCELERATOR_MIX</t>
        </is>
      </c>
      <c r="K2662" s="3" t="inlineStr">
        <is>
          <t>ASSUMP_POWER_RAMP; ASSUMP_CLOSED_MODEL_BAND; ASSUMP_NUMERIC_ACCELERATOR_MIX; ASSUMP_INFERENCE_SHARE_NOT_FACT_60; ASSUMP_WORKLOAD_CLASS_MIX; ASSUMP_AGENTIC_CONTEXT_PENALTY</t>
        </is>
      </c>
      <c r="L2662" s="3" t="inlineStr">
        <is>
          <t>Matched-workload generated-output benchmark for the provider purpose-built accelerator.</t>
        </is>
      </c>
    </row>
    <row r="2663">
      <c r="A2663" s="3" t="inlineStr">
        <is>
          <t>Anthropic</t>
        </is>
      </c>
      <c r="B2663" s="3" t="n">
        <v>2026</v>
      </c>
      <c r="C2663" s="3" t="inlineStr">
        <is>
          <t>Bull</t>
        </is>
      </c>
      <c r="D2663" s="3" t="inlineStr">
        <is>
          <t>inference_power_share</t>
        </is>
      </c>
      <c r="E2663" s="3" t="n">
        <v>0.57</v>
      </c>
      <c r="F2663" s="3" t="inlineStr">
        <is>
          <t>share of AI IT load</t>
        </is>
      </c>
      <c r="G2663" s="3" t="inlineStr">
        <is>
          <t>Scenario allocation</t>
        </is>
      </c>
      <c r="H2663" s="3" t="inlineStr">
        <is>
          <t>inference_gw = ai_it_load_gw * inference_power_share</t>
        </is>
      </c>
      <c r="I2663" s="3" t="inlineStr">
        <is>
          <t>Claude API/product growth supports a rising inference share, while continued model training prevents full conversion.</t>
        </is>
      </c>
      <c r="J2663" s="3" t="inlineStr">
        <is>
          <t>SRC_ANTHROPIC_CLAUDE_DOCS; SRC_ANTHROPIC_AMAZON_COMPUTE; SRC_AWS_RAINIER_ACTIVE; SRC_EPOCH_AI_DATA_CENTERS; ASSUMP_INFERENCE_SHARE_NOT_FACT_60</t>
        </is>
      </c>
      <c r="K2663" s="3" t="inlineStr">
        <is>
          <t>ASSUMP_POWER_RAMP; ASSUMP_CLOSED_MODEL_BAND; ASSUMP_NUMERIC_ACCELERATOR_MIX; ASSUMP_INFERENCE_SHARE_NOT_FACT_60; ASSUMP_WORKLOAD_CLASS_MIX; ASSUMP_AGENTIC_CONTEXT_PENALTY</t>
        </is>
      </c>
      <c r="L2663" s="3" t="inlineStr">
        <is>
          <t>Provider-specific inference/training workload power telemetry.</t>
        </is>
      </c>
    </row>
    <row r="2664">
      <c r="A2664" s="3" t="inlineStr">
        <is>
          <t>Anthropic</t>
        </is>
      </c>
      <c r="B2664" s="3" t="n">
        <v>2026</v>
      </c>
      <c r="C2664" s="3" t="inlineStr">
        <is>
          <t>Bull</t>
        </is>
      </c>
      <c r="D2664" s="3" t="inlineStr">
        <is>
          <t>inference_gw</t>
        </is>
      </c>
      <c r="E2664" s="3" t="n">
        <v>0.436</v>
      </c>
      <c r="F2664" s="3" t="inlineStr">
        <is>
          <t>GW</t>
        </is>
      </c>
      <c r="G2664" s="3" t="inlineStr">
        <is>
          <t>Derived formula</t>
        </is>
      </c>
      <c r="H2664" s="3" t="inlineStr">
        <is>
          <t>ai_it_load_gw * inference_power_share</t>
        </is>
      </c>
      <c r="I2664" s="3" t="inlineStr">
        <is>
          <t>This is the operational power eligible to become commercial generated output tokens through the selected TPS/MW proxy.</t>
        </is>
      </c>
      <c r="J2664" s="3" t="inlineStr">
        <is>
          <t>SRC_ANTHROPIC_CLAUDE_DOCS; SRC_ANTHROPIC_AMAZON_COMPUTE; SRC_AWS_RAINIER_ACTIVE; SRC_EPOCH_AI_DATA_CENTERS</t>
        </is>
      </c>
      <c r="K2664" s="3" t="inlineStr">
        <is>
          <t>ASSUMP_POWER_RAMP; ASSUMP_CLOSED_MODEL_BAND; ASSUMP_NUMERIC_ACCELERATOR_MIX; ASSUMP_INFERENCE_SHARE_NOT_FACT_60; ASSUMP_WORKLOAD_CLASS_MIX; ASSUMP_AGENTIC_CONTEXT_PENALTY</t>
        </is>
      </c>
      <c r="L2664" s="3" t="inlineStr">
        <is>
          <t>Recompute after AI allocation or inference-share evidence changes.</t>
        </is>
      </c>
    </row>
    <row r="2665">
      <c r="A2665" s="3" t="inlineStr">
        <is>
          <t>Anthropic</t>
        </is>
      </c>
      <c r="B2665" s="3" t="n">
        <v>2026</v>
      </c>
      <c r="C2665" s="3" t="inlineStr">
        <is>
          <t>Bull</t>
        </is>
      </c>
      <c r="D2665" s="3" t="inlineStr">
        <is>
          <t>training_power_share</t>
        </is>
      </c>
      <c r="E2665" s="3" t="n">
        <v>0.43</v>
      </c>
      <c r="F2665" s="3" t="inlineStr">
        <is>
          <t>share of AI IT load</t>
        </is>
      </c>
      <c r="G2665" s="3" t="inlineStr">
        <is>
          <t>Derived allocation</t>
        </is>
      </c>
      <c r="H2665" s="3" t="inlineStr">
        <is>
          <t>1 - inference_power_share</t>
        </is>
      </c>
      <c r="I2665" s="3" t="inlineStr">
        <is>
          <t>Training receives the complementary modeled AI IT allocation; it is not a disclosed company workload split.</t>
        </is>
      </c>
      <c r="J2665" s="3" t="inlineStr">
        <is>
          <t>SRC_ANTHROPIC_CLAUDE_DOCS; SRC_ANTHROPIC_AMAZON_COMPUTE; SRC_AWS_RAINIER_ACTIVE; SRC_EPOCH_AI_DATA_CENTERS; ASSUMP_INFERENCE_SHARE_NOT_FACT_60</t>
        </is>
      </c>
      <c r="K2665" s="3" t="inlineStr">
        <is>
          <t>ASSUMP_POWER_RAMP; ASSUMP_CLOSED_MODEL_BAND; ASSUMP_NUMERIC_ACCELERATOR_MIX; ASSUMP_INFERENCE_SHARE_NOT_FACT_60; ASSUMP_WORKLOAD_CLASS_MIX; ASSUMP_AGENTIC_CONTEXT_PENALTY</t>
        </is>
      </c>
      <c r="L2665" s="3" t="inlineStr">
        <is>
          <t>Provider-specific inference/training workload power telemetry.</t>
        </is>
      </c>
    </row>
    <row r="2666">
      <c r="A2666" s="3" t="inlineStr">
        <is>
          <t>Anthropic</t>
        </is>
      </c>
      <c r="B2666" s="3" t="n">
        <v>2026</v>
      </c>
      <c r="C2666" s="3" t="inlineStr">
        <is>
          <t>Bull</t>
        </is>
      </c>
      <c r="D2666" s="3" t="inlineStr">
        <is>
          <t>training_gw</t>
        </is>
      </c>
      <c r="E2666" s="3" t="n">
        <v>0.329</v>
      </c>
      <c r="F2666" s="3" t="inlineStr">
        <is>
          <t>GW</t>
        </is>
      </c>
      <c r="G2666" s="3" t="inlineStr">
        <is>
          <t>Derived formula</t>
        </is>
      </c>
      <c r="H2666" s="3" t="inlineStr">
        <is>
          <t>ai_it_load_gw * training_power_share</t>
        </is>
      </c>
      <c r="I2666" s="3" t="inlineStr">
        <is>
          <t>Training GW is shown separately so commercial inference token capacity is not overstated.</t>
        </is>
      </c>
      <c r="J2666" s="3" t="inlineStr">
        <is>
          <t>SRC_ANTHROPIC_CLAUDE_DOCS; SRC_ANTHROPIC_AMAZON_COMPUTE; SRC_AWS_RAINIER_ACTIVE; SRC_EPOCH_AI_DATA_CENTERS</t>
        </is>
      </c>
      <c r="K2666" s="3" t="inlineStr">
        <is>
          <t>ASSUMP_POWER_RAMP; ASSUMP_CLOSED_MODEL_BAND; ASSUMP_NUMERIC_ACCELERATOR_MIX; ASSUMP_INFERENCE_SHARE_NOT_FACT_60; ASSUMP_WORKLOAD_CLASS_MIX; ASSUMP_AGENTIC_CONTEXT_PENALTY</t>
        </is>
      </c>
      <c r="L2666" s="3" t="inlineStr">
        <is>
          <t>Recompute after AI allocation or workload-split evidence changes.</t>
        </is>
      </c>
    </row>
    <row r="2667">
      <c r="A2667" s="3" t="inlineStr">
        <is>
          <t>Anthropic</t>
        </is>
      </c>
      <c r="B2667" s="3" t="n">
        <v>2026</v>
      </c>
      <c r="C2667" s="3" t="inlineStr">
        <is>
          <t>Bull</t>
        </is>
      </c>
      <c r="D2667" s="3" t="inlineStr">
        <is>
          <t>tokens_per_second_per_mw</t>
        </is>
      </c>
      <c r="E2667" s="3" t="n">
        <v>171341</v>
      </c>
      <c r="F2667" s="3" t="inlineStr">
        <is>
          <t>generated output tokens/sec/MW</t>
        </is>
      </c>
      <c r="G2667" s="3" t="inlineStr">
        <is>
          <t>Derived estimate + benchmark calibration</t>
        </is>
      </c>
      <c r="H2667" s="3" t="inlineStr">
        <is>
          <t>fleet_reference_tps_per_mw * commercial_workload_fit_factor</t>
        </is>
      </c>
      <c r="I2667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67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667" s="3" t="inlineStr">
        <is>
          <t>ASSUMP_POWER_RAMP; ASSUMP_CLOSED_MODEL_BAND; ASSUMP_NUMERIC_ACCELERATOR_MIX; ASSUMP_INFERENCE_SHARE_NOT_FACT_60; ASSUMP_WORKLOAD_CLASS_MIX; ASSUMP_AGENTIC_CONTEXT_PENALTY</t>
        </is>
      </c>
      <c r="L2667" s="3" t="inlineStr">
        <is>
          <t>Comparable production output-token throughput with model, hardware, precision, ISL/OSL and SLO matched.</t>
        </is>
      </c>
    </row>
    <row r="2668">
      <c r="A2668" s="3" t="inlineStr">
        <is>
          <t>Anthropic</t>
        </is>
      </c>
      <c r="B2668" s="3" t="n">
        <v>2026</v>
      </c>
      <c r="C2668" s="3" t="inlineStr">
        <is>
          <t>Bull</t>
        </is>
      </c>
      <c r="D2668" s="3" t="inlineStr">
        <is>
          <t>inference_tokens_per_day</t>
        </is>
      </c>
      <c r="E2668" s="3" t="n">
        <v>6454484006400</v>
      </c>
      <c r="F2668" s="3" t="inlineStr">
        <is>
          <t>generated output tokens/day</t>
        </is>
      </c>
      <c r="G2668" s="3" t="inlineStr">
        <is>
          <t>Derived headline metric</t>
        </is>
      </c>
      <c r="H2668" s="3" t="inlineStr">
        <is>
          <t>inference_gw * 1000 * tokens_per_second_per_mw * 86,400</t>
        </is>
      </c>
      <c r="I2668" s="3" t="inlineStr">
        <is>
          <t>Headline capacity uses no utilization, MoE, architecture or software-growth multiplier; it is not observed commercial output volume.</t>
        </is>
      </c>
      <c r="J2668" s="3" t="inlineStr">
        <is>
          <t>SRC_ANTHROPIC_CLAUDE_DOCS; SRC_ANTHROPIC_AMAZON_COMPUTE; SRC_AWS_RAINIER_ACTIVE; SRC_EPOCH_AI_DATA_CENTERS; SRC_SEMIANALYSIS_INFERENCEX</t>
        </is>
      </c>
      <c r="K2668" s="3" t="inlineStr">
        <is>
          <t>ASSUMP_POWER_RAMP; ASSUMP_CLOSED_MODEL_BAND; ASSUMP_NUMERIC_ACCELERATOR_MIX; ASSUMP_INFERENCE_SHARE_NOT_FACT_60; ASSUMP_WORKLOAD_CLASS_MIX; ASSUMP_AGENTIC_CONTEXT_PENALTY</t>
        </is>
      </c>
      <c r="L2668" s="3" t="inlineStr">
        <is>
          <t>Provider-disclosed generated output token volume or calibrated capacity telemetry.</t>
        </is>
      </c>
    </row>
    <row r="2669">
      <c r="A2669" s="3" t="inlineStr">
        <is>
          <t>Anthropic</t>
        </is>
      </c>
      <c r="B2669" s="3" t="n">
        <v>2026</v>
      </c>
      <c r="C2669" s="3" t="inlineStr">
        <is>
          <t>Bull</t>
        </is>
      </c>
      <c r="D2669" s="3" t="inlineStr">
        <is>
          <t>inference_tokens_per_year</t>
        </is>
      </c>
      <c r="E2669" s="3" t="n">
        <v>2355886662336000</v>
      </c>
      <c r="F2669" s="3" t="inlineStr">
        <is>
          <t>generated output tokens/year</t>
        </is>
      </c>
      <c r="G2669" s="3" t="inlineStr">
        <is>
          <t>Derived headline metric</t>
        </is>
      </c>
      <c r="H2669" s="3" t="inlineStr">
        <is>
          <t>inference_tokens_per_day * 365</t>
        </is>
      </c>
      <c r="I2669" s="3" t="inlineStr">
        <is>
          <t>Annualized version of generated output token capacity; it is not observed annual demand or billable volume.</t>
        </is>
      </c>
      <c r="J2669" s="3" t="inlineStr">
        <is>
          <t>SRC_ANTHROPIC_CLAUDE_DOCS; SRC_ANTHROPIC_AMAZON_COMPUTE; SRC_AWS_RAINIER_ACTIVE; SRC_EPOCH_AI_DATA_CENTERS; SRC_SEMIANALYSIS_INFERENCEX</t>
        </is>
      </c>
      <c r="K2669" s="3" t="inlineStr">
        <is>
          <t>ASSUMP_POWER_RAMP; ASSUMP_CLOSED_MODEL_BAND; ASSUMP_NUMERIC_ACCELERATOR_MIX; ASSUMP_INFERENCE_SHARE_NOT_FACT_60; ASSUMP_WORKLOAD_CLASS_MIX; ASSUMP_AGENTIC_CONTEXT_PENALTY</t>
        </is>
      </c>
      <c r="L2669" s="3" t="inlineStr">
        <is>
          <t>Provider-disclosed annual generated-output volume or metered serving telemetry.</t>
        </is>
      </c>
    </row>
    <row r="2670">
      <c r="A2670" s="3" t="inlineStr">
        <is>
          <t>Anthropic</t>
        </is>
      </c>
      <c r="B2670" s="3" t="n">
        <v>2027</v>
      </c>
      <c r="C2670" s="3" t="inlineStr">
        <is>
          <t>Bull</t>
        </is>
      </c>
      <c r="D2670" s="3" t="inlineStr">
        <is>
          <t>contracted_power_gw</t>
        </is>
      </c>
      <c r="E2670" s="3" t="n">
        <v>4.375</v>
      </c>
      <c r="F2670" s="3" t="inlineStr">
        <is>
          <t>GW</t>
        </is>
      </c>
      <c r="G2670" s="3" t="inlineStr">
        <is>
          <t>Fact anchor + scenario ceiling</t>
        </is>
      </c>
      <c r="H2670" s="3" t="inlineStr">
        <is>
          <t>linear interpolation between 2026 and 2030 company capacity endpoints</t>
        </is>
      </c>
      <c r="I2670" s="3" t="inlineStr">
        <is>
          <t>Hosted capacity envelope is anchored by Anthropic/AWS Project Rainier direction; it is attributed to Claude outputs, not AWS as a model owner.</t>
        </is>
      </c>
      <c r="J2670" s="3" t="inlineStr">
        <is>
          <t>SRC_ANTHROPIC_AMAZON_COMPUTE; SRC_AWS_RAINIER_ACTIVE; ASSUMP_POWER_RAMP</t>
        </is>
      </c>
      <c r="K2670" s="3" t="inlineStr">
        <is>
          <t>ASSUMP_POWER_RAMP; ASSUMP_CLOSED_MODEL_BAND; ASSUMP_NUMERIC_ACCELERATOR_MIX; ASSUMP_INFERENCE_SHARE_NOT_FACT_60; ASSUMP_WORKLOAD_CLASS_MIX; ASSUMP_AGENTIC_CONTEXT_PENALTY</t>
        </is>
      </c>
      <c r="L2670" s="3" t="inlineStr">
        <is>
          <t>Company/site-level committed MW/GW, interconnect and contract disclosure.</t>
        </is>
      </c>
    </row>
    <row r="2671">
      <c r="A2671" s="3" t="inlineStr">
        <is>
          <t>Anthropic</t>
        </is>
      </c>
      <c r="B2671" s="3" t="n">
        <v>2027</v>
      </c>
      <c r="C2671" s="3" t="inlineStr">
        <is>
          <t>Bull</t>
        </is>
      </c>
      <c r="D2671" s="3" t="inlineStr">
        <is>
          <t>operational_deployment_share</t>
        </is>
      </c>
      <c r="E2671" s="3" t="n">
        <v>0.52571429</v>
      </c>
      <c r="F2671" s="3" t="inlineStr">
        <is>
          <t>share</t>
        </is>
      </c>
      <c r="G2671" s="3" t="inlineStr">
        <is>
          <t>Scenario conversion</t>
        </is>
      </c>
      <c r="H2671" s="3" t="inlineStr">
        <is>
          <t>active_power_gw / contracted_power_gw</t>
        </is>
      </c>
      <c r="I2671" s="3" t="inlineStr">
        <is>
          <t>This is the single explicit conversion from contracted/attributed capacity to operationally usable capacity.</t>
        </is>
      </c>
      <c r="J2671" s="3" t="inlineStr">
        <is>
          <t>SRC_ANTHROPIC_AMAZON_COMPUTE; SRC_AWS_RAINIER_ACTIVE; ASSUMP_POWER_RAMP</t>
        </is>
      </c>
      <c r="K2671" s="3" t="inlineStr">
        <is>
          <t>ASSUMP_POWER_RAMP; ASSUMP_CLOSED_MODEL_BAND; ASSUMP_NUMERIC_ACCELERATOR_MIX; ASSUMP_INFERENCE_SHARE_NOT_FACT_60; ASSUMP_WORKLOAD_CLASS_MIX; ASSUMP_AGENTIC_CONTEXT_PENALTY</t>
        </is>
      </c>
      <c r="L2671" s="3" t="inlineStr">
        <is>
          <t>Energized operational capacity divided by contracted/attributed capacity.</t>
        </is>
      </c>
    </row>
    <row r="2672">
      <c r="A2672" s="3" t="inlineStr">
        <is>
          <t>Anthropic</t>
        </is>
      </c>
      <c r="B2672" s="3" t="n">
        <v>2027</v>
      </c>
      <c r="C2672" s="3" t="inlineStr">
        <is>
          <t>Bull</t>
        </is>
      </c>
      <c r="D2672" s="3" t="inlineStr">
        <is>
          <t>active_power_gw</t>
        </is>
      </c>
      <c r="E2672" s="3" t="n">
        <v>2.3</v>
      </c>
      <c r="F2672" s="3" t="inlineStr">
        <is>
          <t>GW</t>
        </is>
      </c>
      <c r="G2672" s="3" t="inlineStr">
        <is>
          <t>Derived scenario</t>
        </is>
      </c>
      <c r="H2672" s="3" t="inlineStr">
        <is>
          <t>contracted_power_gw * operational_deployment_share</t>
        </is>
      </c>
      <c r="I2672" s="3" t="inlineStr">
        <is>
          <t>Trainium cluster activation supports staged active ramp; Claude inference-versus-training use remains estimated.</t>
        </is>
      </c>
      <c r="J2672" s="3" t="inlineStr">
        <is>
          <t>SRC_ANTHROPIC_AMAZON_COMPUTE; SRC_AWS_RAINIER_ACTIVE; ASSUMP_POWER_RAMP</t>
        </is>
      </c>
      <c r="K2672" s="3" t="inlineStr">
        <is>
          <t>ASSUMP_POWER_RAMP; ASSUMP_CLOSED_MODEL_BAND; ASSUMP_NUMERIC_ACCELERATOR_MIX; ASSUMP_INFERENCE_SHARE_NOT_FACT_60; ASSUMP_WORKLOAD_CLASS_MIX; ASSUMP_AGENTIC_CONTEXT_PENALTY</t>
        </is>
      </c>
      <c r="L2672" s="3" t="inlineStr">
        <is>
          <t>Energization dates, accelerator deliveries and operational powered-rack telemetry.</t>
        </is>
      </c>
    </row>
    <row r="2673">
      <c r="A2673" s="3" t="inlineStr">
        <is>
          <t>Anthropic</t>
        </is>
      </c>
      <c r="B2673" s="3" t="n">
        <v>2027</v>
      </c>
      <c r="C2673" s="3" t="inlineStr">
        <is>
          <t>Bull</t>
        </is>
      </c>
      <c r="D2673" s="3" t="inlineStr">
        <is>
          <t>pue</t>
        </is>
      </c>
      <c r="E2673" s="3" t="n">
        <v>1.18</v>
      </c>
      <c r="F2673" s="3" t="inlineStr">
        <is>
          <t>ratio</t>
        </is>
      </c>
      <c r="G2673" s="3" t="inlineStr">
        <is>
          <t>Scenario parameter</t>
        </is>
      </c>
      <c r="H2673" s="3" t="inlineStr">
        <is>
          <t>it_load_gw = active_power_gw / pue</t>
        </is>
      </c>
      <c r="I2673" s="3" t="inlineStr">
        <is>
          <t>No provider-wide site-level PUE is used as a disclosed fact; PUE represents facility-to-IT conversion within the scenario.</t>
        </is>
      </c>
      <c r="J2673" s="3" t="inlineStr">
        <is>
          <t>ASSUMP_POWER_RAMP</t>
        </is>
      </c>
      <c r="K2673" s="3" t="inlineStr">
        <is>
          <t>ASSUMP_POWER_RAMP; ASSUMP_CLOSED_MODEL_BAND; ASSUMP_NUMERIC_ACCELERATOR_MIX; ASSUMP_INFERENCE_SHARE_NOT_FACT_60; ASSUMP_WORKLOAD_CLASS_MIX; ASSUMP_AGENTIC_CONTEXT_PENALTY</t>
        </is>
      </c>
      <c r="L2673" s="3" t="inlineStr">
        <is>
          <t>Site-level measured PUE matched to attributed AI capacity.</t>
        </is>
      </c>
    </row>
    <row r="2674">
      <c r="A2674" s="3" t="inlineStr">
        <is>
          <t>Anthropic</t>
        </is>
      </c>
      <c r="B2674" s="3" t="n">
        <v>2027</v>
      </c>
      <c r="C2674" s="3" t="inlineStr">
        <is>
          <t>Bull</t>
        </is>
      </c>
      <c r="D2674" s="3" t="inlineStr">
        <is>
          <t>it_load_gw</t>
        </is>
      </c>
      <c r="E2674" s="3" t="n">
        <v>1.949</v>
      </c>
      <c r="F2674" s="3" t="inlineStr">
        <is>
          <t>GW</t>
        </is>
      </c>
      <c r="G2674" s="3" t="inlineStr">
        <is>
          <t>Derived formula</t>
        </is>
      </c>
      <c r="H2674" s="3" t="inlineStr">
        <is>
          <t>active_power_gw / pue</t>
        </is>
      </c>
      <c r="I2674" s="3" t="inlineStr">
        <is>
          <t>Facility power is converted to IT-deliverable power before attributing AI workloads.</t>
        </is>
      </c>
      <c r="J2674" s="3" t="inlineStr">
        <is>
          <t>SRC_ANTHROPIC_AMAZON_COMPUTE; SRC_AWS_RAINIER_ACTIVE; ASSUMP_POWER_RAMP</t>
        </is>
      </c>
      <c r="K2674" s="3" t="inlineStr">
        <is>
          <t>ASSUMP_POWER_RAMP; ASSUMP_CLOSED_MODEL_BAND; ASSUMP_NUMERIC_ACCELERATOR_MIX; ASSUMP_INFERENCE_SHARE_NOT_FACT_60; ASSUMP_WORKLOAD_CLASS_MIX; ASSUMP_AGENTIC_CONTEXT_PENALTY</t>
        </is>
      </c>
      <c r="L2674" s="3" t="inlineStr">
        <is>
          <t>Recompute once active power and PUE become site-observable.</t>
        </is>
      </c>
    </row>
    <row r="2675">
      <c r="A2675" s="3" t="inlineStr">
        <is>
          <t>Anthropic</t>
        </is>
      </c>
      <c r="B2675" s="3" t="n">
        <v>2027</v>
      </c>
      <c r="C2675" s="3" t="inlineStr">
        <is>
          <t>Bull</t>
        </is>
      </c>
      <c r="D2675" s="3" t="inlineStr">
        <is>
          <t>ai_workload_share</t>
        </is>
      </c>
      <c r="E2675" s="3" t="n">
        <v>0.86</v>
      </c>
      <c r="F2675" s="3" t="inlineStr">
        <is>
          <t>share</t>
        </is>
      </c>
      <c r="G2675" s="3" t="inlineStr">
        <is>
          <t>Scenario allocation</t>
        </is>
      </c>
      <c r="H2675" s="3" t="inlineStr">
        <is>
          <t>ai_it_load_gw = it_load_gw * ai_workload_share</t>
        </is>
      </c>
      <c r="I2675" s="3" t="inlineStr">
        <is>
          <t>Anthropic-directed hosted capacity is predominantly AI; 86% excludes platform, reserve and non-serving allocation.</t>
        </is>
      </c>
      <c r="J2675" s="3" t="inlineStr">
        <is>
          <t>SRC_ANTHROPIC_CLAUDE_DOCS; SRC_ANTHROPIC_AMAZON_COMPUTE; SRC_AWS_RAINIER_ACTIVE; SRC_EPOCH_AI_DATA_CENTERS</t>
        </is>
      </c>
      <c r="K2675" s="3" t="inlineStr">
        <is>
          <t>ASSUMP_POWER_RAMP; ASSUMP_CLOSED_MODEL_BAND; ASSUMP_NUMERIC_ACCELERATOR_MIX; ASSUMP_INFERENCE_SHARE_NOT_FACT_60; ASSUMP_WORKLOAD_CLASS_MIX; ASSUMP_AGENTIC_CONTEXT_PENALTY</t>
        </is>
      </c>
      <c r="L2675" s="3" t="inlineStr">
        <is>
          <t>Model-owner AI workload allocation or cluster scheduling telemetry.</t>
        </is>
      </c>
    </row>
    <row r="2676">
      <c r="A2676" s="3" t="inlineStr">
        <is>
          <t>Anthropic</t>
        </is>
      </c>
      <c r="B2676" s="3" t="n">
        <v>2027</v>
      </c>
      <c r="C2676" s="3" t="inlineStr">
        <is>
          <t>Bull</t>
        </is>
      </c>
      <c r="D2676" s="3" t="inlineStr">
        <is>
          <t>ai_it_load_gw</t>
        </is>
      </c>
      <c r="E2676" s="3" t="n">
        <v>1.676</v>
      </c>
      <c r="F2676" s="3" t="inlineStr">
        <is>
          <t>GW</t>
        </is>
      </c>
      <c r="G2676" s="3" t="inlineStr">
        <is>
          <t>Derived formula</t>
        </is>
      </c>
      <c r="H2676" s="3" t="inlineStr">
        <is>
          <t>it_load_gw * ai_workload_share</t>
        </is>
      </c>
      <c r="I2676" s="3" t="inlineStr">
        <is>
          <t>Only the AI-attributed portion of IT load enters training/inference allocation.</t>
        </is>
      </c>
      <c r="J2676" s="3" t="inlineStr">
        <is>
          <t>SRC_ANTHROPIC_CLAUDE_DOCS; SRC_ANTHROPIC_AMAZON_COMPUTE; SRC_AWS_RAINIER_ACTIVE; SRC_EPOCH_AI_DATA_CENTERS</t>
        </is>
      </c>
      <c r="K2676" s="3" t="inlineStr">
        <is>
          <t>ASSUMP_POWER_RAMP; ASSUMP_CLOSED_MODEL_BAND; ASSUMP_NUMERIC_ACCELERATOR_MIX; ASSUMP_INFERENCE_SHARE_NOT_FACT_60; ASSUMP_WORKLOAD_CLASS_MIX; ASSUMP_AGENTIC_CONTEXT_PENALTY</t>
        </is>
      </c>
      <c r="L2676" s="3" t="inlineStr">
        <is>
          <t>Recompute after ai_workload_share is replaced by telemetry.</t>
        </is>
      </c>
    </row>
    <row r="2677">
      <c r="A2677" s="3" t="inlineStr">
        <is>
          <t>Anthropic</t>
        </is>
      </c>
      <c r="B2677" s="3" t="n">
        <v>2027</v>
      </c>
      <c r="C2677" s="3" t="inlineStr">
        <is>
          <t>Bull</t>
        </is>
      </c>
      <c r="D2677" s="3" t="inlineStr">
        <is>
          <t>gpu_share</t>
        </is>
      </c>
      <c r="E2677" s="3" t="n">
        <v>0.335957</v>
      </c>
      <c r="F2677" s="3" t="inlineStr">
        <is>
          <t>share of inference-serving accelerator load</t>
        </is>
      </c>
      <c r="G2677" s="3" t="inlineStr">
        <is>
          <t>Numeric scenario</t>
        </is>
      </c>
      <c r="H2677" s="3" t="inlineStr">
        <is>
          <t>gpu_share interpolated from company 2026/2030 accelerator-mix endpoints</t>
        </is>
      </c>
      <c r="I2677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677" s="3" t="inlineStr">
        <is>
          <t>SRC_ANTHROPIC_CLAUDE_DOCS; SRC_ANTHROPIC_AMAZON_COMPUTE; SRC_AWS_RAINIER_ACTIVE; SRC_EPOCH_AI_DATA_CENTERS; ASSUMP_NUMERIC_ACCELERATOR_MIX</t>
        </is>
      </c>
      <c r="K2677" s="3" t="inlineStr">
        <is>
          <t>ASSUMP_POWER_RAMP; ASSUMP_CLOSED_MODEL_BAND; ASSUMP_NUMERIC_ACCELERATOR_MIX; ASSUMP_INFERENCE_SHARE_NOT_FACT_60; ASSUMP_WORKLOAD_CLASS_MIX; ASSUMP_AGENTIC_CONTEXT_PENALTY</t>
        </is>
      </c>
      <c r="L2677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678">
      <c r="A2678" s="3" t="inlineStr">
        <is>
          <t>Anthropic</t>
        </is>
      </c>
      <c r="B2678" s="3" t="n">
        <v>2027</v>
      </c>
      <c r="C2678" s="3" t="inlineStr">
        <is>
          <t>Bull</t>
        </is>
      </c>
      <c r="D2678" s="3" t="inlineStr">
        <is>
          <t>h200_share</t>
        </is>
      </c>
      <c r="E2678" s="3" t="n">
        <v>0.128806</v>
      </c>
      <c r="F2678" s="3" t="inlineStr">
        <is>
          <t>share of inference-serving accelerator load</t>
        </is>
      </c>
      <c r="G2678" s="3" t="inlineStr">
        <is>
          <t>Editable numeric scenario</t>
        </is>
      </c>
      <c r="H2678" s="3" t="inlineStr">
        <is>
          <t>h200_share = gpu_share * default_gpu_generation_mix_h200</t>
        </is>
      </c>
      <c r="I2678" s="3" t="inlineStr">
        <is>
          <t>Default GPU-generation migration assumption; executive workbook allows later manual replacement by company/year/scenario.</t>
        </is>
      </c>
      <c r="J2678" s="3" t="inlineStr">
        <is>
          <t>SRC_SEMIANALYSIS_INFERENCEX; ASSUMP_NUMERIC_ACCELERATOR_MIX</t>
        </is>
      </c>
      <c r="K2678" s="3" t="inlineStr">
        <is>
          <t>ASSUMP_POWER_RAMP; ASSUMP_CLOSED_MODEL_BAND; ASSUMP_NUMERIC_ACCELERATOR_MIX; ASSUMP_INFERENCE_SHARE_NOT_FACT_60; ASSUMP_WORKLOAD_CLASS_MIX; ASSUMP_AGENTIC_CONTEXT_PENALTY</t>
        </is>
      </c>
      <c r="L2678" s="3" t="inlineStr">
        <is>
          <t>Company fleet inventory, accelerator-hours or procurement/deployment records by GPU generation.</t>
        </is>
      </c>
    </row>
    <row r="2679">
      <c r="A2679" s="3" t="inlineStr">
        <is>
          <t>Anthropic</t>
        </is>
      </c>
      <c r="B2679" s="3" t="n">
        <v>2027</v>
      </c>
      <c r="C2679" s="3" t="inlineStr">
        <is>
          <t>Bull</t>
        </is>
      </c>
      <c r="D2679" s="3" t="inlineStr">
        <is>
          <t>b200_share</t>
        </is>
      </c>
      <c r="E2679" s="3" t="n">
        <v>0.207151</v>
      </c>
      <c r="F2679" s="3" t="inlineStr">
        <is>
          <t>share of inference-serving accelerator load</t>
        </is>
      </c>
      <c r="G2679" s="3" t="inlineStr">
        <is>
          <t>Editable numeric scenario</t>
        </is>
      </c>
      <c r="H2679" s="3" t="inlineStr">
        <is>
          <t>b200_share = gpu_share * default_gpu_generation_mix_b200</t>
        </is>
      </c>
      <c r="I2679" s="3" t="inlineStr">
        <is>
          <t>Default GPU-generation migration assumption; executive workbook allows later manual replacement by company/year/scenario.</t>
        </is>
      </c>
      <c r="J2679" s="3" t="inlineStr">
        <is>
          <t>SRC_SEMIANALYSIS_INFERENCEX; ASSUMP_NUMERIC_ACCELERATOR_MIX</t>
        </is>
      </c>
      <c r="K2679" s="3" t="inlineStr">
        <is>
          <t>ASSUMP_POWER_RAMP; ASSUMP_CLOSED_MODEL_BAND; ASSUMP_NUMERIC_ACCELERATOR_MIX; ASSUMP_INFERENCE_SHARE_NOT_FACT_60; ASSUMP_WORKLOAD_CLASS_MIX; ASSUMP_AGENTIC_CONTEXT_PENALTY</t>
        </is>
      </c>
      <c r="L2679" s="3" t="inlineStr">
        <is>
          <t>Company fleet inventory, accelerator-hours or procurement/deployment records by GPU generation.</t>
        </is>
      </c>
    </row>
    <row r="2680">
      <c r="A2680" s="3" t="inlineStr">
        <is>
          <t>Anthropic</t>
        </is>
      </c>
      <c r="B2680" s="3" t="n">
        <v>2027</v>
      </c>
      <c r="C2680" s="3" t="inlineStr">
        <is>
          <t>Bull</t>
        </is>
      </c>
      <c r="D2680" s="3" t="inlineStr">
        <is>
          <t>gb200_share</t>
        </is>
      </c>
      <c r="E2680" s="3" t="n">
        <v>0</v>
      </c>
      <c r="F2680" s="3" t="inlineStr">
        <is>
          <t>share of inference-serving accelerator load</t>
        </is>
      </c>
      <c r="G2680" s="3" t="inlineStr">
        <is>
          <t>Editable numeric scenario</t>
        </is>
      </c>
      <c r="H2680" s="3" t="inlineStr">
        <is>
          <t>gb200_share = gpu_share * default_gpu_generation_mix_gb200</t>
        </is>
      </c>
      <c r="I2680" s="3" t="inlineStr">
        <is>
          <t>Default GPU-generation migration assumption; executive workbook allows later manual replacement by company/year/scenario.</t>
        </is>
      </c>
      <c r="J2680" s="3" t="inlineStr">
        <is>
          <t>SRC_SEMIANALYSIS_INFERENCEX; ASSUMP_NUMERIC_ACCELERATOR_MIX</t>
        </is>
      </c>
      <c r="K2680" s="3" t="inlineStr">
        <is>
          <t>ASSUMP_POWER_RAMP; ASSUMP_CLOSED_MODEL_BAND; ASSUMP_NUMERIC_ACCELERATOR_MIX; ASSUMP_INFERENCE_SHARE_NOT_FACT_60; ASSUMP_WORKLOAD_CLASS_MIX; ASSUMP_AGENTIC_CONTEXT_PENALTY</t>
        </is>
      </c>
      <c r="L2680" s="3" t="inlineStr">
        <is>
          <t>Company fleet inventory, accelerator-hours or procurement/deployment records by GPU generation.</t>
        </is>
      </c>
    </row>
    <row r="2681">
      <c r="A2681" s="3" t="inlineStr">
        <is>
          <t>Anthropic</t>
        </is>
      </c>
      <c r="B2681" s="3" t="n">
        <v>2027</v>
      </c>
      <c r="C2681" s="3" t="inlineStr">
        <is>
          <t>Bull</t>
        </is>
      </c>
      <c r="D2681" s="3" t="inlineStr">
        <is>
          <t>purpose_built_accelerator_share</t>
        </is>
      </c>
      <c r="E2681" s="3" t="n">
        <v>0.664043</v>
      </c>
      <c r="F2681" s="3" t="inlineStr">
        <is>
          <t>share of inference-serving accelerator load</t>
        </is>
      </c>
      <c r="G2681" s="3" t="inlineStr">
        <is>
          <t>Numeric scenario</t>
        </is>
      </c>
      <c r="H2681" s="3" t="inlineStr">
        <is>
          <t>1 - gpu_share</t>
        </is>
      </c>
      <c r="I2681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681" s="3" t="inlineStr">
        <is>
          <t>SRC_ANTHROPIC_CLAUDE_DOCS; SRC_ANTHROPIC_AMAZON_COMPUTE; SRC_AWS_RAINIER_ACTIVE; SRC_EPOCH_AI_DATA_CENTERS; ASSUMP_NUMERIC_ACCELERATOR_MIX</t>
        </is>
      </c>
      <c r="K2681" s="3" t="inlineStr">
        <is>
          <t>ASSUMP_POWER_RAMP; ASSUMP_CLOSED_MODEL_BAND; ASSUMP_NUMERIC_ACCELERATOR_MIX; ASSUMP_INFERENCE_SHARE_NOT_FACT_60; ASSUMP_WORKLOAD_CLASS_MIX; ASSUMP_AGENTIC_CONTEXT_PENALTY</t>
        </is>
      </c>
      <c r="L2681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682">
      <c r="A2682" s="3" t="inlineStr">
        <is>
          <t>Anthropic</t>
        </is>
      </c>
      <c r="B2682" s="3" t="n">
        <v>2027</v>
      </c>
      <c r="C2682" s="3" t="inlineStr">
        <is>
          <t>Bull</t>
        </is>
      </c>
      <c r="D2682" s="3" t="inlineStr">
        <is>
          <t>fleet_reference_tps_per_mw</t>
        </is>
      </c>
      <c r="E2682" s="3" t="n">
        <v>236603</v>
      </c>
      <c r="F2682" s="3" t="inlineStr">
        <is>
          <t>generated output tokens/sec/MW</t>
        </is>
      </c>
      <c r="G2682" s="3" t="inlineStr">
        <is>
          <t>Fleet-weighted public benchmark reference</t>
        </is>
      </c>
      <c r="H2682" s="3" t="inlineStr">
        <is>
          <t>h200_share*h200_workload_avg + b200_share*b200_workload_avg + gb200_share*gb200_workload_avg + purpose_built_share*purpose_workload_avg</t>
        </is>
      </c>
      <c r="I268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682" s="3" t="inlineStr">
        <is>
          <t>SRC_SEMIANALYSIS_INFERENCEX; ASSUMP_NUMERIC_ACCELERATOR_MIX; ASSUMP_WORKLOAD_CLASS_MIX; ASSUMP_AGENTIC_CONTEXT_PENALTY</t>
        </is>
      </c>
      <c r="K2682" s="3" t="inlineStr">
        <is>
          <t>ASSUMP_POWER_RAMP; ASSUMP_CLOSED_MODEL_BAND; ASSUMP_NUMERIC_ACCELERATOR_MIX; ASSUMP_INFERENCE_SHARE_NOT_FACT_60; ASSUMP_WORKLOAD_CLASS_MIX; ASSUMP_AGENTIC_CONTEXT_PENALTY</t>
        </is>
      </c>
      <c r="L2682" s="3" t="inlineStr">
        <is>
          <t>Comparable production output-token throughput or a more closely matched benchmark.</t>
        </is>
      </c>
    </row>
    <row r="2683">
      <c r="A2683" s="3" t="inlineStr">
        <is>
          <t>Anthropic</t>
        </is>
      </c>
      <c r="B2683" s="3" t="n">
        <v>2027</v>
      </c>
      <c r="C2683" s="3" t="inlineStr">
        <is>
          <t>Bull</t>
        </is>
      </c>
      <c r="D2683" s="3" t="inlineStr">
        <is>
          <t>commercial_workload_fit_factor</t>
        </is>
      </c>
      <c r="E2683" s="3" t="n">
        <v>0.7</v>
      </c>
      <c r="F2683" s="3" t="inlineStr">
        <is>
          <t>share of public reference throughput</t>
        </is>
      </c>
      <c r="G2683" s="3" t="inlineStr">
        <is>
          <t>Scenario assumption</t>
        </is>
      </c>
      <c r="H2683" s="3" t="inlineStr">
        <is>
          <t>reference_serving_tps_per_mw = fleet_reference_tps_per_mw * commercial_workload_fit_factor</t>
        </is>
      </c>
      <c r="I2683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683" s="3" t="inlineStr">
        <is>
          <t>SRC_SEMIANALYSIS_INFERENCEX; ASSUMP_NUMERIC_ACCELERATOR_MIX; ASSUMP_WORKLOAD_CLASS_MIX; ASSUMP_AGENTIC_CONTEXT_PENALTY</t>
        </is>
      </c>
      <c r="K2683" s="3" t="inlineStr">
        <is>
          <t>ASSUMP_POWER_RAMP; ASSUMP_CLOSED_MODEL_BAND; ASSUMP_NUMERIC_ACCELERATOR_MIX; ASSUMP_INFERENCE_SHARE_NOT_FACT_60; ASSUMP_WORKLOAD_CLASS_MIX; ASSUMP_AGENTIC_CONTEXT_PENALTY</t>
        </is>
      </c>
      <c r="L2683" s="3" t="inlineStr">
        <is>
          <t>Matched commercial serving benchmark by product surface, context shape and latency SLO.</t>
        </is>
      </c>
    </row>
    <row r="2684">
      <c r="A2684" s="3" t="inlineStr">
        <is>
          <t>Anthropic</t>
        </is>
      </c>
      <c r="B2684" s="3" t="n">
        <v>2027</v>
      </c>
      <c r="C2684" s="3" t="inlineStr">
        <is>
          <t>Bull</t>
        </is>
      </c>
      <c r="D2684" s="3" t="inlineStr">
        <is>
          <t>reference_serving_tps_per_mw</t>
        </is>
      </c>
      <c r="E2684" s="3" t="n">
        <v>165622</v>
      </c>
      <c r="F2684" s="3" t="inlineStr">
        <is>
          <t>generated output tokens/sec/MW</t>
        </is>
      </c>
      <c r="G2684" s="3" t="inlineStr">
        <is>
          <t>Workload-adjusted benchmark proxy</t>
        </is>
      </c>
      <c r="H2684" s="3" t="inlineStr">
        <is>
          <t>fleet_reference_tps_per_mw * commercial_workload_fit_factor</t>
        </is>
      </c>
      <c r="I2684" s="3" t="inlineStr">
        <is>
          <t>This is the coefficient used for headline token generation; each GPU's short chat, long chat and agentic TPS/MW are weighted before fleet mix and commercial fit are applied.</t>
        </is>
      </c>
      <c r="J2684" s="3" t="inlineStr">
        <is>
          <t>SRC_SEMIANALYSIS_INFERENCEX; ASSUMP_NUMERIC_ACCELERATOR_MIX; ASSUMP_WORKLOAD_CLASS_MIX; ASSUMP_AGENTIC_CONTEXT_PENALTY</t>
        </is>
      </c>
      <c r="K2684" s="3" t="inlineStr">
        <is>
          <t>ASSUMP_POWER_RAMP; ASSUMP_CLOSED_MODEL_BAND; ASSUMP_NUMERIC_ACCELERATOR_MIX; ASSUMP_INFERENCE_SHARE_NOT_FACT_60; ASSUMP_WORKLOAD_CLASS_MIX; ASSUMP_AGENTIC_CONTEXT_PENALTY</t>
        </is>
      </c>
      <c r="L2684" s="3" t="inlineStr">
        <is>
          <t>Provider production output-token throughput with comparable workload/SLO.</t>
        </is>
      </c>
    </row>
    <row r="2685">
      <c r="A2685" s="3" t="inlineStr">
        <is>
          <t>Anthropic</t>
        </is>
      </c>
      <c r="B2685" s="3" t="n">
        <v>2027</v>
      </c>
      <c r="C2685" s="3" t="inlineStr">
        <is>
          <t>Bull</t>
        </is>
      </c>
      <c r="D2685" s="3" t="inlineStr">
        <is>
          <t>purpose_built_tps_per_mw</t>
        </is>
      </c>
      <c r="E2685" s="3" t="n">
        <v>94714</v>
      </c>
      <c r="F2685" s="3" t="inlineStr">
        <is>
          <t>generated output tokens/sec/MW</t>
        </is>
      </c>
      <c r="G2685" s="3" t="inlineStr">
        <is>
          <t>Conservative no-uplift proxy</t>
        </is>
      </c>
      <c r="H2685" s="3" t="inlineStr">
        <is>
          <t>purpose_built_tps_per_mw = purpose_built_reference_tps_per_mw * commercial_workload_fit_factor until comparable output-token benchmark is adopted</t>
        </is>
      </c>
      <c r="I2685" s="3" t="inlineStr">
        <is>
          <t>No comparable public output-token/MW row adopted; B200 public reference placeholder is used and remains editable.</t>
        </is>
      </c>
      <c r="J2685" s="3" t="inlineStr">
        <is>
          <t>SRC_ANTHROPIC_CLAUDE_DOCS; SRC_ANTHROPIC_AMAZON_COMPUTE; SRC_AWS_RAINIER_ACTIVE; SRC_EPOCH_AI_DATA_CENTERS; ASSUMP_NUMERIC_ACCELERATOR_MIX</t>
        </is>
      </c>
      <c r="K2685" s="3" t="inlineStr">
        <is>
          <t>ASSUMP_POWER_RAMP; ASSUMP_CLOSED_MODEL_BAND; ASSUMP_NUMERIC_ACCELERATOR_MIX; ASSUMP_INFERENCE_SHARE_NOT_FACT_60; ASSUMP_WORKLOAD_CLASS_MIX; ASSUMP_AGENTIC_CONTEXT_PENALTY</t>
        </is>
      </c>
      <c r="L2685" s="3" t="inlineStr">
        <is>
          <t>Matched-workload generated-output benchmark for the provider purpose-built accelerator.</t>
        </is>
      </c>
    </row>
    <row r="2686">
      <c r="A2686" s="3" t="inlineStr">
        <is>
          <t>Anthropic</t>
        </is>
      </c>
      <c r="B2686" s="3" t="n">
        <v>2027</v>
      </c>
      <c r="C2686" s="3" t="inlineStr">
        <is>
          <t>Bull</t>
        </is>
      </c>
      <c r="D2686" s="3" t="inlineStr">
        <is>
          <t>inference_power_share</t>
        </is>
      </c>
      <c r="E2686" s="3" t="n">
        <v>0.632</v>
      </c>
      <c r="F2686" s="3" t="inlineStr">
        <is>
          <t>share of AI IT load</t>
        </is>
      </c>
      <c r="G2686" s="3" t="inlineStr">
        <is>
          <t>Scenario allocation</t>
        </is>
      </c>
      <c r="H2686" s="3" t="inlineStr">
        <is>
          <t>inference_gw = ai_it_load_gw * inference_power_share</t>
        </is>
      </c>
      <c r="I2686" s="3" t="inlineStr">
        <is>
          <t>Claude API/product growth supports a rising inference share, while continued model training prevents full conversion.</t>
        </is>
      </c>
      <c r="J2686" s="3" t="inlineStr">
        <is>
          <t>SRC_ANTHROPIC_CLAUDE_DOCS; SRC_ANTHROPIC_AMAZON_COMPUTE; SRC_AWS_RAINIER_ACTIVE; SRC_EPOCH_AI_DATA_CENTERS; ASSUMP_INFERENCE_SHARE_NOT_FACT_60</t>
        </is>
      </c>
      <c r="K2686" s="3" t="inlineStr">
        <is>
          <t>ASSUMP_POWER_RAMP; ASSUMP_CLOSED_MODEL_BAND; ASSUMP_NUMERIC_ACCELERATOR_MIX; ASSUMP_INFERENCE_SHARE_NOT_FACT_60; ASSUMP_WORKLOAD_CLASS_MIX; ASSUMP_AGENTIC_CONTEXT_PENALTY</t>
        </is>
      </c>
      <c r="L2686" s="3" t="inlineStr">
        <is>
          <t>Provider-specific inference/training workload power telemetry.</t>
        </is>
      </c>
    </row>
    <row r="2687">
      <c r="A2687" s="3" t="inlineStr">
        <is>
          <t>Anthropic</t>
        </is>
      </c>
      <c r="B2687" s="3" t="n">
        <v>2027</v>
      </c>
      <c r="C2687" s="3" t="inlineStr">
        <is>
          <t>Bull</t>
        </is>
      </c>
      <c r="D2687" s="3" t="inlineStr">
        <is>
          <t>inference_gw</t>
        </is>
      </c>
      <c r="E2687" s="3" t="n">
        <v>1.06</v>
      </c>
      <c r="F2687" s="3" t="inlineStr">
        <is>
          <t>GW</t>
        </is>
      </c>
      <c r="G2687" s="3" t="inlineStr">
        <is>
          <t>Derived formula</t>
        </is>
      </c>
      <c r="H2687" s="3" t="inlineStr">
        <is>
          <t>ai_it_load_gw * inference_power_share</t>
        </is>
      </c>
      <c r="I2687" s="3" t="inlineStr">
        <is>
          <t>This is the operational power eligible to become commercial generated output tokens through the selected TPS/MW proxy.</t>
        </is>
      </c>
      <c r="J2687" s="3" t="inlineStr">
        <is>
          <t>SRC_ANTHROPIC_CLAUDE_DOCS; SRC_ANTHROPIC_AMAZON_COMPUTE; SRC_AWS_RAINIER_ACTIVE; SRC_EPOCH_AI_DATA_CENTERS</t>
        </is>
      </c>
      <c r="K2687" s="3" t="inlineStr">
        <is>
          <t>ASSUMP_POWER_RAMP; ASSUMP_CLOSED_MODEL_BAND; ASSUMP_NUMERIC_ACCELERATOR_MIX; ASSUMP_INFERENCE_SHARE_NOT_FACT_60; ASSUMP_WORKLOAD_CLASS_MIX; ASSUMP_AGENTIC_CONTEXT_PENALTY</t>
        </is>
      </c>
      <c r="L2687" s="3" t="inlineStr">
        <is>
          <t>Recompute after AI allocation or inference-share evidence changes.</t>
        </is>
      </c>
    </row>
    <row r="2688">
      <c r="A2688" s="3" t="inlineStr">
        <is>
          <t>Anthropic</t>
        </is>
      </c>
      <c r="B2688" s="3" t="n">
        <v>2027</v>
      </c>
      <c r="C2688" s="3" t="inlineStr">
        <is>
          <t>Bull</t>
        </is>
      </c>
      <c r="D2688" s="3" t="inlineStr">
        <is>
          <t>training_power_share</t>
        </is>
      </c>
      <c r="E2688" s="3" t="n">
        <v>0.368</v>
      </c>
      <c r="F2688" s="3" t="inlineStr">
        <is>
          <t>share of AI IT load</t>
        </is>
      </c>
      <c r="G2688" s="3" t="inlineStr">
        <is>
          <t>Derived allocation</t>
        </is>
      </c>
      <c r="H2688" s="3" t="inlineStr">
        <is>
          <t>1 - inference_power_share</t>
        </is>
      </c>
      <c r="I2688" s="3" t="inlineStr">
        <is>
          <t>Training receives the complementary modeled AI IT allocation; it is not a disclosed company workload split.</t>
        </is>
      </c>
      <c r="J2688" s="3" t="inlineStr">
        <is>
          <t>SRC_ANTHROPIC_CLAUDE_DOCS; SRC_ANTHROPIC_AMAZON_COMPUTE; SRC_AWS_RAINIER_ACTIVE; SRC_EPOCH_AI_DATA_CENTERS; ASSUMP_INFERENCE_SHARE_NOT_FACT_60</t>
        </is>
      </c>
      <c r="K2688" s="3" t="inlineStr">
        <is>
          <t>ASSUMP_POWER_RAMP; ASSUMP_CLOSED_MODEL_BAND; ASSUMP_NUMERIC_ACCELERATOR_MIX; ASSUMP_INFERENCE_SHARE_NOT_FACT_60; ASSUMP_WORKLOAD_CLASS_MIX; ASSUMP_AGENTIC_CONTEXT_PENALTY</t>
        </is>
      </c>
      <c r="L2688" s="3" t="inlineStr">
        <is>
          <t>Provider-specific inference/training workload power telemetry.</t>
        </is>
      </c>
    </row>
    <row r="2689">
      <c r="A2689" s="3" t="inlineStr">
        <is>
          <t>Anthropic</t>
        </is>
      </c>
      <c r="B2689" s="3" t="n">
        <v>2027</v>
      </c>
      <c r="C2689" s="3" t="inlineStr">
        <is>
          <t>Bull</t>
        </is>
      </c>
      <c r="D2689" s="3" t="inlineStr">
        <is>
          <t>training_gw</t>
        </is>
      </c>
      <c r="E2689" s="3" t="n">
        <v>0.616</v>
      </c>
      <c r="F2689" s="3" t="inlineStr">
        <is>
          <t>GW</t>
        </is>
      </c>
      <c r="G2689" s="3" t="inlineStr">
        <is>
          <t>Derived formula</t>
        </is>
      </c>
      <c r="H2689" s="3" t="inlineStr">
        <is>
          <t>ai_it_load_gw * training_power_share</t>
        </is>
      </c>
      <c r="I2689" s="3" t="inlineStr">
        <is>
          <t>Training GW is shown separately so commercial inference token capacity is not overstated.</t>
        </is>
      </c>
      <c r="J2689" s="3" t="inlineStr">
        <is>
          <t>SRC_ANTHROPIC_CLAUDE_DOCS; SRC_ANTHROPIC_AMAZON_COMPUTE; SRC_AWS_RAINIER_ACTIVE; SRC_EPOCH_AI_DATA_CENTERS</t>
        </is>
      </c>
      <c r="K2689" s="3" t="inlineStr">
        <is>
          <t>ASSUMP_POWER_RAMP; ASSUMP_CLOSED_MODEL_BAND; ASSUMP_NUMERIC_ACCELERATOR_MIX; ASSUMP_INFERENCE_SHARE_NOT_FACT_60; ASSUMP_WORKLOAD_CLASS_MIX; ASSUMP_AGENTIC_CONTEXT_PENALTY</t>
        </is>
      </c>
      <c r="L2689" s="3" t="inlineStr">
        <is>
          <t>Recompute after AI allocation or workload-split evidence changes.</t>
        </is>
      </c>
    </row>
    <row r="2690">
      <c r="A2690" s="3" t="inlineStr">
        <is>
          <t>Anthropic</t>
        </is>
      </c>
      <c r="B2690" s="3" t="n">
        <v>2027</v>
      </c>
      <c r="C2690" s="3" t="inlineStr">
        <is>
          <t>Bull</t>
        </is>
      </c>
      <c r="D2690" s="3" t="inlineStr">
        <is>
          <t>tokens_per_second_per_mw</t>
        </is>
      </c>
      <c r="E2690" s="3" t="n">
        <v>165622</v>
      </c>
      <c r="F2690" s="3" t="inlineStr">
        <is>
          <t>generated output tokens/sec/MW</t>
        </is>
      </c>
      <c r="G2690" s="3" t="inlineStr">
        <is>
          <t>Derived estimate + benchmark calibration</t>
        </is>
      </c>
      <c r="H2690" s="3" t="inlineStr">
        <is>
          <t>fleet_reference_tps_per_mw * commercial_workload_fit_factor</t>
        </is>
      </c>
      <c r="I2690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690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690" s="3" t="inlineStr">
        <is>
          <t>ASSUMP_POWER_RAMP; ASSUMP_CLOSED_MODEL_BAND; ASSUMP_NUMERIC_ACCELERATOR_MIX; ASSUMP_INFERENCE_SHARE_NOT_FACT_60; ASSUMP_WORKLOAD_CLASS_MIX; ASSUMP_AGENTIC_CONTEXT_PENALTY</t>
        </is>
      </c>
      <c r="L2690" s="3" t="inlineStr">
        <is>
          <t>Comparable production output-token throughput with model, hardware, precision, ISL/OSL and SLO matched.</t>
        </is>
      </c>
    </row>
    <row r="2691">
      <c r="A2691" s="3" t="inlineStr">
        <is>
          <t>Anthropic</t>
        </is>
      </c>
      <c r="B2691" s="3" t="n">
        <v>2027</v>
      </c>
      <c r="C2691" s="3" t="inlineStr">
        <is>
          <t>Bull</t>
        </is>
      </c>
      <c r="D2691" s="3" t="inlineStr">
        <is>
          <t>inference_tokens_per_day</t>
        </is>
      </c>
      <c r="E2691" s="3" t="n">
        <v>15168325248000</v>
      </c>
      <c r="F2691" s="3" t="inlineStr">
        <is>
          <t>generated output tokens/day</t>
        </is>
      </c>
      <c r="G2691" s="3" t="inlineStr">
        <is>
          <t>Derived headline metric</t>
        </is>
      </c>
      <c r="H2691" s="3" t="inlineStr">
        <is>
          <t>inference_gw * 1000 * tokens_per_second_per_mw * 86,400</t>
        </is>
      </c>
      <c r="I2691" s="3" t="inlineStr">
        <is>
          <t>Headline capacity uses no utilization, MoE, architecture or software-growth multiplier; it is not observed commercial output volume.</t>
        </is>
      </c>
      <c r="J2691" s="3" t="inlineStr">
        <is>
          <t>SRC_ANTHROPIC_CLAUDE_DOCS; SRC_ANTHROPIC_AMAZON_COMPUTE; SRC_AWS_RAINIER_ACTIVE; SRC_EPOCH_AI_DATA_CENTERS; SRC_SEMIANALYSIS_INFERENCEX</t>
        </is>
      </c>
      <c r="K2691" s="3" t="inlineStr">
        <is>
          <t>ASSUMP_POWER_RAMP; ASSUMP_CLOSED_MODEL_BAND; ASSUMP_NUMERIC_ACCELERATOR_MIX; ASSUMP_INFERENCE_SHARE_NOT_FACT_60; ASSUMP_WORKLOAD_CLASS_MIX; ASSUMP_AGENTIC_CONTEXT_PENALTY</t>
        </is>
      </c>
      <c r="L2691" s="3" t="inlineStr">
        <is>
          <t>Provider-disclosed generated output token volume or calibrated capacity telemetry.</t>
        </is>
      </c>
    </row>
    <row r="2692">
      <c r="A2692" s="3" t="inlineStr">
        <is>
          <t>Anthropic</t>
        </is>
      </c>
      <c r="B2692" s="3" t="n">
        <v>2027</v>
      </c>
      <c r="C2692" s="3" t="inlineStr">
        <is>
          <t>Bull</t>
        </is>
      </c>
      <c r="D2692" s="3" t="inlineStr">
        <is>
          <t>inference_tokens_per_year</t>
        </is>
      </c>
      <c r="E2692" s="3" t="n">
        <v>5536438715520000</v>
      </c>
      <c r="F2692" s="3" t="inlineStr">
        <is>
          <t>generated output tokens/year</t>
        </is>
      </c>
      <c r="G2692" s="3" t="inlineStr">
        <is>
          <t>Derived headline metric</t>
        </is>
      </c>
      <c r="H2692" s="3" t="inlineStr">
        <is>
          <t>inference_tokens_per_day * 365</t>
        </is>
      </c>
      <c r="I2692" s="3" t="inlineStr">
        <is>
          <t>Annualized version of generated output token capacity; it is not observed annual demand or billable volume.</t>
        </is>
      </c>
      <c r="J2692" s="3" t="inlineStr">
        <is>
          <t>SRC_ANTHROPIC_CLAUDE_DOCS; SRC_ANTHROPIC_AMAZON_COMPUTE; SRC_AWS_RAINIER_ACTIVE; SRC_EPOCH_AI_DATA_CENTERS; SRC_SEMIANALYSIS_INFERENCEX</t>
        </is>
      </c>
      <c r="K2692" s="3" t="inlineStr">
        <is>
          <t>ASSUMP_POWER_RAMP; ASSUMP_CLOSED_MODEL_BAND; ASSUMP_NUMERIC_ACCELERATOR_MIX; ASSUMP_INFERENCE_SHARE_NOT_FACT_60; ASSUMP_WORKLOAD_CLASS_MIX; ASSUMP_AGENTIC_CONTEXT_PENALTY</t>
        </is>
      </c>
      <c r="L2692" s="3" t="inlineStr">
        <is>
          <t>Provider-disclosed annual generated-output volume or metered serving telemetry.</t>
        </is>
      </c>
    </row>
    <row r="2693">
      <c r="A2693" s="3" t="inlineStr">
        <is>
          <t>Anthropic</t>
        </is>
      </c>
      <c r="B2693" s="3" t="n">
        <v>2028</v>
      </c>
      <c r="C2693" s="3" t="inlineStr">
        <is>
          <t>Bull</t>
        </is>
      </c>
      <c r="D2693" s="3" t="inlineStr">
        <is>
          <t>contracted_power_gw</t>
        </is>
      </c>
      <c r="E2693" s="3" t="n">
        <v>5.25</v>
      </c>
      <c r="F2693" s="3" t="inlineStr">
        <is>
          <t>GW</t>
        </is>
      </c>
      <c r="G2693" s="3" t="inlineStr">
        <is>
          <t>Fact anchor + scenario ceiling</t>
        </is>
      </c>
      <c r="H2693" s="3" t="inlineStr">
        <is>
          <t>linear interpolation between 2026 and 2030 company capacity endpoints</t>
        </is>
      </c>
      <c r="I2693" s="3" t="inlineStr">
        <is>
          <t>Hosted capacity envelope is anchored by Anthropic/AWS Project Rainier direction; it is attributed to Claude outputs, not AWS as a model owner.</t>
        </is>
      </c>
      <c r="J2693" s="3" t="inlineStr">
        <is>
          <t>SRC_ANTHROPIC_AMAZON_COMPUTE; SRC_AWS_RAINIER_ACTIVE; ASSUMP_POWER_RAMP</t>
        </is>
      </c>
      <c r="K2693" s="3" t="inlineStr">
        <is>
          <t>ASSUMP_POWER_RAMP; ASSUMP_CLOSED_MODEL_BAND; ASSUMP_NUMERIC_ACCELERATOR_MIX; ASSUMP_INFERENCE_SHARE_NOT_FACT_60; ASSUMP_WORKLOAD_CLASS_MIX; ASSUMP_AGENTIC_CONTEXT_PENALTY</t>
        </is>
      </c>
      <c r="L2693" s="3" t="inlineStr">
        <is>
          <t>Company/site-level committed MW/GW, interconnect and contract disclosure.</t>
        </is>
      </c>
    </row>
    <row r="2694">
      <c r="A2694" s="3" t="inlineStr">
        <is>
          <t>Anthropic</t>
        </is>
      </c>
      <c r="B2694" s="3" t="n">
        <v>2028</v>
      </c>
      <c r="C2694" s="3" t="inlineStr">
        <is>
          <t>Bull</t>
        </is>
      </c>
      <c r="D2694" s="3" t="inlineStr">
        <is>
          <t>operational_deployment_share</t>
        </is>
      </c>
      <c r="E2694" s="3" t="n">
        <v>0.6902857100000001</v>
      </c>
      <c r="F2694" s="3" t="inlineStr">
        <is>
          <t>share</t>
        </is>
      </c>
      <c r="G2694" s="3" t="inlineStr">
        <is>
          <t>Scenario conversion</t>
        </is>
      </c>
      <c r="H2694" s="3" t="inlineStr">
        <is>
          <t>active_power_gw / contracted_power_gw</t>
        </is>
      </c>
      <c r="I2694" s="3" t="inlineStr">
        <is>
          <t>This is the single explicit conversion from contracted/attributed capacity to operationally usable capacity.</t>
        </is>
      </c>
      <c r="J2694" s="3" t="inlineStr">
        <is>
          <t>SRC_ANTHROPIC_AMAZON_COMPUTE; SRC_AWS_RAINIER_ACTIVE; ASSUMP_POWER_RAMP</t>
        </is>
      </c>
      <c r="K2694" s="3" t="inlineStr">
        <is>
          <t>ASSUMP_POWER_RAMP; ASSUMP_CLOSED_MODEL_BAND; ASSUMP_NUMERIC_ACCELERATOR_MIX; ASSUMP_INFERENCE_SHARE_NOT_FACT_60; ASSUMP_WORKLOAD_CLASS_MIX; ASSUMP_AGENTIC_CONTEXT_PENALTY</t>
        </is>
      </c>
      <c r="L2694" s="3" t="inlineStr">
        <is>
          <t>Energized operational capacity divided by contracted/attributed capacity.</t>
        </is>
      </c>
    </row>
    <row r="2695">
      <c r="A2695" s="3" t="inlineStr">
        <is>
          <t>Anthropic</t>
        </is>
      </c>
      <c r="B2695" s="3" t="n">
        <v>2028</v>
      </c>
      <c r="C2695" s="3" t="inlineStr">
        <is>
          <t>Bull</t>
        </is>
      </c>
      <c r="D2695" s="3" t="inlineStr">
        <is>
          <t>active_power_gw</t>
        </is>
      </c>
      <c r="E2695" s="3" t="n">
        <v>3.624</v>
      </c>
      <c r="F2695" s="3" t="inlineStr">
        <is>
          <t>GW</t>
        </is>
      </c>
      <c r="G2695" s="3" t="inlineStr">
        <is>
          <t>Derived scenario</t>
        </is>
      </c>
      <c r="H2695" s="3" t="inlineStr">
        <is>
          <t>contracted_power_gw * operational_deployment_share</t>
        </is>
      </c>
      <c r="I2695" s="3" t="inlineStr">
        <is>
          <t>Trainium cluster activation supports staged active ramp; Claude inference-versus-training use remains estimated.</t>
        </is>
      </c>
      <c r="J2695" s="3" t="inlineStr">
        <is>
          <t>SRC_ANTHROPIC_AMAZON_COMPUTE; SRC_AWS_RAINIER_ACTIVE; ASSUMP_POWER_RAMP</t>
        </is>
      </c>
      <c r="K2695" s="3" t="inlineStr">
        <is>
          <t>ASSUMP_POWER_RAMP; ASSUMP_CLOSED_MODEL_BAND; ASSUMP_NUMERIC_ACCELERATOR_MIX; ASSUMP_INFERENCE_SHARE_NOT_FACT_60; ASSUMP_WORKLOAD_CLASS_MIX; ASSUMP_AGENTIC_CONTEXT_PENALTY</t>
        </is>
      </c>
      <c r="L2695" s="3" t="inlineStr">
        <is>
          <t>Energization dates, accelerator deliveries and operational powered-rack telemetry.</t>
        </is>
      </c>
    </row>
    <row r="2696">
      <c r="A2696" s="3" t="inlineStr">
        <is>
          <t>Anthropic</t>
        </is>
      </c>
      <c r="B2696" s="3" t="n">
        <v>2028</v>
      </c>
      <c r="C2696" s="3" t="inlineStr">
        <is>
          <t>Bull</t>
        </is>
      </c>
      <c r="D2696" s="3" t="inlineStr">
        <is>
          <t>pue</t>
        </is>
      </c>
      <c r="E2696" s="3" t="n">
        <v>1.18</v>
      </c>
      <c r="F2696" s="3" t="inlineStr">
        <is>
          <t>ratio</t>
        </is>
      </c>
      <c r="G2696" s="3" t="inlineStr">
        <is>
          <t>Scenario parameter</t>
        </is>
      </c>
      <c r="H2696" s="3" t="inlineStr">
        <is>
          <t>it_load_gw = active_power_gw / pue</t>
        </is>
      </c>
      <c r="I2696" s="3" t="inlineStr">
        <is>
          <t>No provider-wide site-level PUE is used as a disclosed fact; PUE represents facility-to-IT conversion within the scenario.</t>
        </is>
      </c>
      <c r="J2696" s="3" t="inlineStr">
        <is>
          <t>ASSUMP_POWER_RAMP</t>
        </is>
      </c>
      <c r="K2696" s="3" t="inlineStr">
        <is>
          <t>ASSUMP_POWER_RAMP; ASSUMP_CLOSED_MODEL_BAND; ASSUMP_NUMERIC_ACCELERATOR_MIX; ASSUMP_INFERENCE_SHARE_NOT_FACT_60; ASSUMP_WORKLOAD_CLASS_MIX; ASSUMP_AGENTIC_CONTEXT_PENALTY</t>
        </is>
      </c>
      <c r="L2696" s="3" t="inlineStr">
        <is>
          <t>Site-level measured PUE matched to attributed AI capacity.</t>
        </is>
      </c>
    </row>
    <row r="2697">
      <c r="A2697" s="3" t="inlineStr">
        <is>
          <t>Anthropic</t>
        </is>
      </c>
      <c r="B2697" s="3" t="n">
        <v>2028</v>
      </c>
      <c r="C2697" s="3" t="inlineStr">
        <is>
          <t>Bull</t>
        </is>
      </c>
      <c r="D2697" s="3" t="inlineStr">
        <is>
          <t>it_load_gw</t>
        </is>
      </c>
      <c r="E2697" s="3" t="n">
        <v>3.071</v>
      </c>
      <c r="F2697" s="3" t="inlineStr">
        <is>
          <t>GW</t>
        </is>
      </c>
      <c r="G2697" s="3" t="inlineStr">
        <is>
          <t>Derived formula</t>
        </is>
      </c>
      <c r="H2697" s="3" t="inlineStr">
        <is>
          <t>active_power_gw / pue</t>
        </is>
      </c>
      <c r="I2697" s="3" t="inlineStr">
        <is>
          <t>Facility power is converted to IT-deliverable power before attributing AI workloads.</t>
        </is>
      </c>
      <c r="J2697" s="3" t="inlineStr">
        <is>
          <t>SRC_ANTHROPIC_AMAZON_COMPUTE; SRC_AWS_RAINIER_ACTIVE; ASSUMP_POWER_RAMP</t>
        </is>
      </c>
      <c r="K2697" s="3" t="inlineStr">
        <is>
          <t>ASSUMP_POWER_RAMP; ASSUMP_CLOSED_MODEL_BAND; ASSUMP_NUMERIC_ACCELERATOR_MIX; ASSUMP_INFERENCE_SHARE_NOT_FACT_60; ASSUMP_WORKLOAD_CLASS_MIX; ASSUMP_AGENTIC_CONTEXT_PENALTY</t>
        </is>
      </c>
      <c r="L2697" s="3" t="inlineStr">
        <is>
          <t>Recompute once active power and PUE become site-observable.</t>
        </is>
      </c>
    </row>
    <row r="2698">
      <c r="A2698" s="3" t="inlineStr">
        <is>
          <t>Anthropic</t>
        </is>
      </c>
      <c r="B2698" s="3" t="n">
        <v>2028</v>
      </c>
      <c r="C2698" s="3" t="inlineStr">
        <is>
          <t>Bull</t>
        </is>
      </c>
      <c r="D2698" s="3" t="inlineStr">
        <is>
          <t>ai_workload_share</t>
        </is>
      </c>
      <c r="E2698" s="3" t="n">
        <v>0.86</v>
      </c>
      <c r="F2698" s="3" t="inlineStr">
        <is>
          <t>share</t>
        </is>
      </c>
      <c r="G2698" s="3" t="inlineStr">
        <is>
          <t>Scenario allocation</t>
        </is>
      </c>
      <c r="H2698" s="3" t="inlineStr">
        <is>
          <t>ai_it_load_gw = it_load_gw * ai_workload_share</t>
        </is>
      </c>
      <c r="I2698" s="3" t="inlineStr">
        <is>
          <t>Anthropic-directed hosted capacity is predominantly AI; 86% excludes platform, reserve and non-serving allocation.</t>
        </is>
      </c>
      <c r="J2698" s="3" t="inlineStr">
        <is>
          <t>SRC_ANTHROPIC_CLAUDE_DOCS; SRC_ANTHROPIC_AMAZON_COMPUTE; SRC_AWS_RAINIER_ACTIVE; SRC_EPOCH_AI_DATA_CENTERS</t>
        </is>
      </c>
      <c r="K2698" s="3" t="inlineStr">
        <is>
          <t>ASSUMP_POWER_RAMP; ASSUMP_CLOSED_MODEL_BAND; ASSUMP_NUMERIC_ACCELERATOR_MIX; ASSUMP_INFERENCE_SHARE_NOT_FACT_60; ASSUMP_WORKLOAD_CLASS_MIX; ASSUMP_AGENTIC_CONTEXT_PENALTY</t>
        </is>
      </c>
      <c r="L2698" s="3" t="inlineStr">
        <is>
          <t>Model-owner AI workload allocation or cluster scheduling telemetry.</t>
        </is>
      </c>
    </row>
    <row r="2699">
      <c r="A2699" s="3" t="inlineStr">
        <is>
          <t>Anthropic</t>
        </is>
      </c>
      <c r="B2699" s="3" t="n">
        <v>2028</v>
      </c>
      <c r="C2699" s="3" t="inlineStr">
        <is>
          <t>Bull</t>
        </is>
      </c>
      <c r="D2699" s="3" t="inlineStr">
        <is>
          <t>ai_it_load_gw</t>
        </is>
      </c>
      <c r="E2699" s="3" t="n">
        <v>2.641</v>
      </c>
      <c r="F2699" s="3" t="inlineStr">
        <is>
          <t>GW</t>
        </is>
      </c>
      <c r="G2699" s="3" t="inlineStr">
        <is>
          <t>Derived formula</t>
        </is>
      </c>
      <c r="H2699" s="3" t="inlineStr">
        <is>
          <t>it_load_gw * ai_workload_share</t>
        </is>
      </c>
      <c r="I2699" s="3" t="inlineStr">
        <is>
          <t>Only the AI-attributed portion of IT load enters training/inference allocation.</t>
        </is>
      </c>
      <c r="J2699" s="3" t="inlineStr">
        <is>
          <t>SRC_ANTHROPIC_CLAUDE_DOCS; SRC_ANTHROPIC_AMAZON_COMPUTE; SRC_AWS_RAINIER_ACTIVE; SRC_EPOCH_AI_DATA_CENTERS</t>
        </is>
      </c>
      <c r="K2699" s="3" t="inlineStr">
        <is>
          <t>ASSUMP_POWER_RAMP; ASSUMP_CLOSED_MODEL_BAND; ASSUMP_NUMERIC_ACCELERATOR_MIX; ASSUMP_INFERENCE_SHARE_NOT_FACT_60; ASSUMP_WORKLOAD_CLASS_MIX; ASSUMP_AGENTIC_CONTEXT_PENALTY</t>
        </is>
      </c>
      <c r="L2699" s="3" t="inlineStr">
        <is>
          <t>Recompute after ai_workload_share is replaced by telemetry.</t>
        </is>
      </c>
    </row>
    <row r="2700">
      <c r="A2700" s="3" t="inlineStr">
        <is>
          <t>Anthropic</t>
        </is>
      </c>
      <c r="B2700" s="3" t="n">
        <v>2028</v>
      </c>
      <c r="C2700" s="3" t="inlineStr">
        <is>
          <t>Bull</t>
        </is>
      </c>
      <c r="D2700" s="3" t="inlineStr">
        <is>
          <t>gpu_share</t>
        </is>
      </c>
      <c r="E2700" s="3" t="n">
        <v>0.178448</v>
      </c>
      <c r="F2700" s="3" t="inlineStr">
        <is>
          <t>share of inference-serving accelerator load</t>
        </is>
      </c>
      <c r="G2700" s="3" t="inlineStr">
        <is>
          <t>Numeric scenario</t>
        </is>
      </c>
      <c r="H2700" s="3" t="inlineStr">
        <is>
          <t>gpu_share interpolated from company 2026/2030 accelerator-mix endpoints</t>
        </is>
      </c>
      <c r="I2700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700" s="3" t="inlineStr">
        <is>
          <t>SRC_ANTHROPIC_CLAUDE_DOCS; SRC_ANTHROPIC_AMAZON_COMPUTE; SRC_AWS_RAINIER_ACTIVE; SRC_EPOCH_AI_DATA_CENTERS; ASSUMP_NUMERIC_ACCELERATOR_MIX</t>
        </is>
      </c>
      <c r="K2700" s="3" t="inlineStr">
        <is>
          <t>ASSUMP_POWER_RAMP; ASSUMP_CLOSED_MODEL_BAND; ASSUMP_NUMERIC_ACCELERATOR_MIX; ASSUMP_INFERENCE_SHARE_NOT_FACT_60; ASSUMP_WORKLOAD_CLASS_MIX; ASSUMP_AGENTIC_CONTEXT_PENALTY</t>
        </is>
      </c>
      <c r="L2700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701">
      <c r="A2701" s="3" t="inlineStr">
        <is>
          <t>Anthropic</t>
        </is>
      </c>
      <c r="B2701" s="3" t="n">
        <v>2028</v>
      </c>
      <c r="C2701" s="3" t="inlineStr">
        <is>
          <t>Bull</t>
        </is>
      </c>
      <c r="D2701" s="3" t="inlineStr">
        <is>
          <t>h200_share</t>
        </is>
      </c>
      <c r="E2701" s="3" t="n">
        <v>0.06841700000000001</v>
      </c>
      <c r="F2701" s="3" t="inlineStr">
        <is>
          <t>share of inference-serving accelerator load</t>
        </is>
      </c>
      <c r="G2701" s="3" t="inlineStr">
        <is>
          <t>Editable numeric scenario</t>
        </is>
      </c>
      <c r="H2701" s="3" t="inlineStr">
        <is>
          <t>h200_share = gpu_share * default_gpu_generation_mix_h200</t>
        </is>
      </c>
      <c r="I2701" s="3" t="inlineStr">
        <is>
          <t>Default GPU-generation migration assumption; executive workbook allows later manual replacement by company/year/scenario.</t>
        </is>
      </c>
      <c r="J2701" s="3" t="inlineStr">
        <is>
          <t>SRC_SEMIANALYSIS_INFERENCEX; ASSUMP_NUMERIC_ACCELERATOR_MIX</t>
        </is>
      </c>
      <c r="K2701" s="3" t="inlineStr">
        <is>
          <t>ASSUMP_POWER_RAMP; ASSUMP_CLOSED_MODEL_BAND; ASSUMP_NUMERIC_ACCELERATOR_MIX; ASSUMP_INFERENCE_SHARE_NOT_FACT_60; ASSUMP_WORKLOAD_CLASS_MIX; ASSUMP_AGENTIC_CONTEXT_PENALTY</t>
        </is>
      </c>
      <c r="L2701" s="3" t="inlineStr">
        <is>
          <t>Company fleet inventory, accelerator-hours or procurement/deployment records by GPU generation.</t>
        </is>
      </c>
    </row>
    <row r="2702">
      <c r="A2702" s="3" t="inlineStr">
        <is>
          <t>Anthropic</t>
        </is>
      </c>
      <c r="B2702" s="3" t="n">
        <v>2028</v>
      </c>
      <c r="C2702" s="3" t="inlineStr">
        <is>
          <t>Bull</t>
        </is>
      </c>
      <c r="D2702" s="3" t="inlineStr">
        <is>
          <t>b200_share</t>
        </is>
      </c>
      <c r="E2702" s="3" t="n">
        <v>0.110031</v>
      </c>
      <c r="F2702" s="3" t="inlineStr">
        <is>
          <t>share of inference-serving accelerator load</t>
        </is>
      </c>
      <c r="G2702" s="3" t="inlineStr">
        <is>
          <t>Editable numeric scenario</t>
        </is>
      </c>
      <c r="H2702" s="3" t="inlineStr">
        <is>
          <t>b200_share = gpu_share * default_gpu_generation_mix_b200</t>
        </is>
      </c>
      <c r="I2702" s="3" t="inlineStr">
        <is>
          <t>Default GPU-generation migration assumption; executive workbook allows later manual replacement by company/year/scenario.</t>
        </is>
      </c>
      <c r="J2702" s="3" t="inlineStr">
        <is>
          <t>SRC_SEMIANALYSIS_INFERENCEX; ASSUMP_NUMERIC_ACCELERATOR_MIX</t>
        </is>
      </c>
      <c r="K2702" s="3" t="inlineStr">
        <is>
          <t>ASSUMP_POWER_RAMP; ASSUMP_CLOSED_MODEL_BAND; ASSUMP_NUMERIC_ACCELERATOR_MIX; ASSUMP_INFERENCE_SHARE_NOT_FACT_60; ASSUMP_WORKLOAD_CLASS_MIX; ASSUMP_AGENTIC_CONTEXT_PENALTY</t>
        </is>
      </c>
      <c r="L2702" s="3" t="inlineStr">
        <is>
          <t>Company fleet inventory, accelerator-hours or procurement/deployment records by GPU generation.</t>
        </is>
      </c>
    </row>
    <row r="2703">
      <c r="A2703" s="3" t="inlineStr">
        <is>
          <t>Anthropic</t>
        </is>
      </c>
      <c r="B2703" s="3" t="n">
        <v>2028</v>
      </c>
      <c r="C2703" s="3" t="inlineStr">
        <is>
          <t>Bull</t>
        </is>
      </c>
      <c r="D2703" s="3" t="inlineStr">
        <is>
          <t>gb200_share</t>
        </is>
      </c>
      <c r="E2703" s="3" t="n">
        <v>0</v>
      </c>
      <c r="F2703" s="3" t="inlineStr">
        <is>
          <t>share of inference-serving accelerator load</t>
        </is>
      </c>
      <c r="G2703" s="3" t="inlineStr">
        <is>
          <t>Editable numeric scenario</t>
        </is>
      </c>
      <c r="H2703" s="3" t="inlineStr">
        <is>
          <t>gb200_share = gpu_share * default_gpu_generation_mix_gb200</t>
        </is>
      </c>
      <c r="I2703" s="3" t="inlineStr">
        <is>
          <t>Default GPU-generation migration assumption; executive workbook allows later manual replacement by company/year/scenario.</t>
        </is>
      </c>
      <c r="J2703" s="3" t="inlineStr">
        <is>
          <t>SRC_SEMIANALYSIS_INFERENCEX; ASSUMP_NUMERIC_ACCELERATOR_MIX</t>
        </is>
      </c>
      <c r="K2703" s="3" t="inlineStr">
        <is>
          <t>ASSUMP_POWER_RAMP; ASSUMP_CLOSED_MODEL_BAND; ASSUMP_NUMERIC_ACCELERATOR_MIX; ASSUMP_INFERENCE_SHARE_NOT_FACT_60; ASSUMP_WORKLOAD_CLASS_MIX; ASSUMP_AGENTIC_CONTEXT_PENALTY</t>
        </is>
      </c>
      <c r="L2703" s="3" t="inlineStr">
        <is>
          <t>Company fleet inventory, accelerator-hours or procurement/deployment records by GPU generation.</t>
        </is>
      </c>
    </row>
    <row r="2704">
      <c r="A2704" s="3" t="inlineStr">
        <is>
          <t>Anthropic</t>
        </is>
      </c>
      <c r="B2704" s="3" t="n">
        <v>2028</v>
      </c>
      <c r="C2704" s="3" t="inlineStr">
        <is>
          <t>Bull</t>
        </is>
      </c>
      <c r="D2704" s="3" t="inlineStr">
        <is>
          <t>purpose_built_accelerator_share</t>
        </is>
      </c>
      <c r="E2704" s="3" t="n">
        <v>0.8215519999999999</v>
      </c>
      <c r="F2704" s="3" t="inlineStr">
        <is>
          <t>share of inference-serving accelerator load</t>
        </is>
      </c>
      <c r="G2704" s="3" t="inlineStr">
        <is>
          <t>Numeric scenario</t>
        </is>
      </c>
      <c r="H2704" s="3" t="inlineStr">
        <is>
          <t>1 - gpu_share</t>
        </is>
      </c>
      <c r="I2704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704" s="3" t="inlineStr">
        <is>
          <t>SRC_ANTHROPIC_CLAUDE_DOCS; SRC_ANTHROPIC_AMAZON_COMPUTE; SRC_AWS_RAINIER_ACTIVE; SRC_EPOCH_AI_DATA_CENTERS; ASSUMP_NUMERIC_ACCELERATOR_MIX</t>
        </is>
      </c>
      <c r="K2704" s="3" t="inlineStr">
        <is>
          <t>ASSUMP_POWER_RAMP; ASSUMP_CLOSED_MODEL_BAND; ASSUMP_NUMERIC_ACCELERATOR_MIX; ASSUMP_INFERENCE_SHARE_NOT_FACT_60; ASSUMP_WORKLOAD_CLASS_MIX; ASSUMP_AGENTIC_CONTEXT_PENALTY</t>
        </is>
      </c>
      <c r="L2704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705">
      <c r="A2705" s="3" t="inlineStr">
        <is>
          <t>Anthropic</t>
        </is>
      </c>
      <c r="B2705" s="3" t="n">
        <v>2028</v>
      </c>
      <c r="C2705" s="3" t="inlineStr">
        <is>
          <t>Bull</t>
        </is>
      </c>
      <c r="D2705" s="3" t="inlineStr">
        <is>
          <t>fleet_reference_tps_per_mw</t>
        </is>
      </c>
      <c r="E2705" s="3" t="n">
        <v>188100</v>
      </c>
      <c r="F2705" s="3" t="inlineStr">
        <is>
          <t>generated output tokens/sec/MW</t>
        </is>
      </c>
      <c r="G2705" s="3" t="inlineStr">
        <is>
          <t>Fleet-weighted public benchmark reference</t>
        </is>
      </c>
      <c r="H2705" s="3" t="inlineStr">
        <is>
          <t>h200_share*h200_workload_avg + b200_share*b200_workload_avg + gb200_share*gb200_workload_avg + purpose_built_share*purpose_workload_avg</t>
        </is>
      </c>
      <c r="I270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05" s="3" t="inlineStr">
        <is>
          <t>SRC_SEMIANALYSIS_INFERENCEX; ASSUMP_NUMERIC_ACCELERATOR_MIX; ASSUMP_WORKLOAD_CLASS_MIX; ASSUMP_AGENTIC_CONTEXT_PENALTY</t>
        </is>
      </c>
      <c r="K2705" s="3" t="inlineStr">
        <is>
          <t>ASSUMP_POWER_RAMP; ASSUMP_CLOSED_MODEL_BAND; ASSUMP_NUMERIC_ACCELERATOR_MIX; ASSUMP_INFERENCE_SHARE_NOT_FACT_60; ASSUMP_WORKLOAD_CLASS_MIX; ASSUMP_AGENTIC_CONTEXT_PENALTY</t>
        </is>
      </c>
      <c r="L2705" s="3" t="inlineStr">
        <is>
          <t>Comparable production output-token throughput or a more closely matched benchmark.</t>
        </is>
      </c>
    </row>
    <row r="2706">
      <c r="A2706" s="3" t="inlineStr">
        <is>
          <t>Anthropic</t>
        </is>
      </c>
      <c r="B2706" s="3" t="n">
        <v>2028</v>
      </c>
      <c r="C2706" s="3" t="inlineStr">
        <is>
          <t>Bull</t>
        </is>
      </c>
      <c r="D2706" s="3" t="inlineStr">
        <is>
          <t>commercial_workload_fit_factor</t>
        </is>
      </c>
      <c r="E2706" s="3" t="n">
        <v>0.7</v>
      </c>
      <c r="F2706" s="3" t="inlineStr">
        <is>
          <t>share of public reference throughput</t>
        </is>
      </c>
      <c r="G2706" s="3" t="inlineStr">
        <is>
          <t>Scenario assumption</t>
        </is>
      </c>
      <c r="H2706" s="3" t="inlineStr">
        <is>
          <t>reference_serving_tps_per_mw = fleet_reference_tps_per_mw * commercial_workload_fit_factor</t>
        </is>
      </c>
      <c r="I2706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06" s="3" t="inlineStr">
        <is>
          <t>SRC_SEMIANALYSIS_INFERENCEX; ASSUMP_NUMERIC_ACCELERATOR_MIX; ASSUMP_WORKLOAD_CLASS_MIX; ASSUMP_AGENTIC_CONTEXT_PENALTY</t>
        </is>
      </c>
      <c r="K2706" s="3" t="inlineStr">
        <is>
          <t>ASSUMP_POWER_RAMP; ASSUMP_CLOSED_MODEL_BAND; ASSUMP_NUMERIC_ACCELERATOR_MIX; ASSUMP_INFERENCE_SHARE_NOT_FACT_60; ASSUMP_WORKLOAD_CLASS_MIX; ASSUMP_AGENTIC_CONTEXT_PENALTY</t>
        </is>
      </c>
      <c r="L2706" s="3" t="inlineStr">
        <is>
          <t>Matched commercial serving benchmark by product surface, context shape and latency SLO.</t>
        </is>
      </c>
    </row>
    <row r="2707">
      <c r="A2707" s="3" t="inlineStr">
        <is>
          <t>Anthropic</t>
        </is>
      </c>
      <c r="B2707" s="3" t="n">
        <v>2028</v>
      </c>
      <c r="C2707" s="3" t="inlineStr">
        <is>
          <t>Bull</t>
        </is>
      </c>
      <c r="D2707" s="3" t="inlineStr">
        <is>
          <t>reference_serving_tps_per_mw</t>
        </is>
      </c>
      <c r="E2707" s="3" t="n">
        <v>131670</v>
      </c>
      <c r="F2707" s="3" t="inlineStr">
        <is>
          <t>generated output tokens/sec/MW</t>
        </is>
      </c>
      <c r="G2707" s="3" t="inlineStr">
        <is>
          <t>Workload-adjusted benchmark proxy</t>
        </is>
      </c>
      <c r="H2707" s="3" t="inlineStr">
        <is>
          <t>fleet_reference_tps_per_mw * commercial_workload_fit_factor</t>
        </is>
      </c>
      <c r="I2707" s="3" t="inlineStr">
        <is>
          <t>This is the coefficient used for headline token generation; each GPU's short chat, long chat and agentic TPS/MW are weighted before fleet mix and commercial fit are applied.</t>
        </is>
      </c>
      <c r="J2707" s="3" t="inlineStr">
        <is>
          <t>SRC_SEMIANALYSIS_INFERENCEX; ASSUMP_NUMERIC_ACCELERATOR_MIX; ASSUMP_WORKLOAD_CLASS_MIX; ASSUMP_AGENTIC_CONTEXT_PENALTY</t>
        </is>
      </c>
      <c r="K2707" s="3" t="inlineStr">
        <is>
          <t>ASSUMP_POWER_RAMP; ASSUMP_CLOSED_MODEL_BAND; ASSUMP_NUMERIC_ACCELERATOR_MIX; ASSUMP_INFERENCE_SHARE_NOT_FACT_60; ASSUMP_WORKLOAD_CLASS_MIX; ASSUMP_AGENTIC_CONTEXT_PENALTY</t>
        </is>
      </c>
      <c r="L2707" s="3" t="inlineStr">
        <is>
          <t>Provider production output-token throughput with comparable workload/SLO.</t>
        </is>
      </c>
    </row>
    <row r="2708">
      <c r="A2708" s="3" t="inlineStr">
        <is>
          <t>Anthropic</t>
        </is>
      </c>
      <c r="B2708" s="3" t="n">
        <v>2028</v>
      </c>
      <c r="C2708" s="3" t="inlineStr">
        <is>
          <t>Bull</t>
        </is>
      </c>
      <c r="D2708" s="3" t="inlineStr">
        <is>
          <t>purpose_built_tps_per_mw</t>
        </is>
      </c>
      <c r="E2708" s="3" t="n">
        <v>94714</v>
      </c>
      <c r="F2708" s="3" t="inlineStr">
        <is>
          <t>generated output tokens/sec/MW</t>
        </is>
      </c>
      <c r="G2708" s="3" t="inlineStr">
        <is>
          <t>Conservative no-uplift proxy</t>
        </is>
      </c>
      <c r="H2708" s="3" t="inlineStr">
        <is>
          <t>purpose_built_tps_per_mw = purpose_built_reference_tps_per_mw * commercial_workload_fit_factor until comparable output-token benchmark is adopted</t>
        </is>
      </c>
      <c r="I2708" s="3" t="inlineStr">
        <is>
          <t>No comparable public output-token/MW row adopted; B200 public reference placeholder is used and remains editable.</t>
        </is>
      </c>
      <c r="J2708" s="3" t="inlineStr">
        <is>
          <t>SRC_ANTHROPIC_CLAUDE_DOCS; SRC_ANTHROPIC_AMAZON_COMPUTE; SRC_AWS_RAINIER_ACTIVE; SRC_EPOCH_AI_DATA_CENTERS; ASSUMP_NUMERIC_ACCELERATOR_MIX</t>
        </is>
      </c>
      <c r="K2708" s="3" t="inlineStr">
        <is>
          <t>ASSUMP_POWER_RAMP; ASSUMP_CLOSED_MODEL_BAND; ASSUMP_NUMERIC_ACCELERATOR_MIX; ASSUMP_INFERENCE_SHARE_NOT_FACT_60; ASSUMP_WORKLOAD_CLASS_MIX; ASSUMP_AGENTIC_CONTEXT_PENALTY</t>
        </is>
      </c>
      <c r="L2708" s="3" t="inlineStr">
        <is>
          <t>Matched-workload generated-output benchmark for the provider purpose-built accelerator.</t>
        </is>
      </c>
    </row>
    <row r="2709">
      <c r="A2709" s="3" t="inlineStr">
        <is>
          <t>Anthropic</t>
        </is>
      </c>
      <c r="B2709" s="3" t="n">
        <v>2028</v>
      </c>
      <c r="C2709" s="3" t="inlineStr">
        <is>
          <t>Bull</t>
        </is>
      </c>
      <c r="D2709" s="3" t="inlineStr">
        <is>
          <t>inference_power_share</t>
        </is>
      </c>
      <c r="E2709" s="3" t="n">
        <v>0.695</v>
      </c>
      <c r="F2709" s="3" t="inlineStr">
        <is>
          <t>share of AI IT load</t>
        </is>
      </c>
      <c r="G2709" s="3" t="inlineStr">
        <is>
          <t>Scenario allocation</t>
        </is>
      </c>
      <c r="H2709" s="3" t="inlineStr">
        <is>
          <t>inference_gw = ai_it_load_gw * inference_power_share</t>
        </is>
      </c>
      <c r="I2709" s="3" t="inlineStr">
        <is>
          <t>Claude API/product growth supports a rising inference share, while continued model training prevents full conversion.</t>
        </is>
      </c>
      <c r="J2709" s="3" t="inlineStr">
        <is>
          <t>SRC_ANTHROPIC_CLAUDE_DOCS; SRC_ANTHROPIC_AMAZON_COMPUTE; SRC_AWS_RAINIER_ACTIVE; SRC_EPOCH_AI_DATA_CENTERS; ASSUMP_INFERENCE_SHARE_NOT_FACT_60</t>
        </is>
      </c>
      <c r="K2709" s="3" t="inlineStr">
        <is>
          <t>ASSUMP_POWER_RAMP; ASSUMP_CLOSED_MODEL_BAND; ASSUMP_NUMERIC_ACCELERATOR_MIX; ASSUMP_INFERENCE_SHARE_NOT_FACT_60; ASSUMP_WORKLOAD_CLASS_MIX; ASSUMP_AGENTIC_CONTEXT_PENALTY</t>
        </is>
      </c>
      <c r="L2709" s="3" t="inlineStr">
        <is>
          <t>Provider-specific inference/training workload power telemetry.</t>
        </is>
      </c>
    </row>
    <row r="2710">
      <c r="A2710" s="3" t="inlineStr">
        <is>
          <t>Anthropic</t>
        </is>
      </c>
      <c r="B2710" s="3" t="n">
        <v>2028</v>
      </c>
      <c r="C2710" s="3" t="inlineStr">
        <is>
          <t>Bull</t>
        </is>
      </c>
      <c r="D2710" s="3" t="inlineStr">
        <is>
          <t>inference_gw</t>
        </is>
      </c>
      <c r="E2710" s="3" t="n">
        <v>1.836</v>
      </c>
      <c r="F2710" s="3" t="inlineStr">
        <is>
          <t>GW</t>
        </is>
      </c>
      <c r="G2710" s="3" t="inlineStr">
        <is>
          <t>Derived formula</t>
        </is>
      </c>
      <c r="H2710" s="3" t="inlineStr">
        <is>
          <t>ai_it_load_gw * inference_power_share</t>
        </is>
      </c>
      <c r="I2710" s="3" t="inlineStr">
        <is>
          <t>This is the operational power eligible to become commercial generated output tokens through the selected TPS/MW proxy.</t>
        </is>
      </c>
      <c r="J2710" s="3" t="inlineStr">
        <is>
          <t>SRC_ANTHROPIC_CLAUDE_DOCS; SRC_ANTHROPIC_AMAZON_COMPUTE; SRC_AWS_RAINIER_ACTIVE; SRC_EPOCH_AI_DATA_CENTERS</t>
        </is>
      </c>
      <c r="K2710" s="3" t="inlineStr">
        <is>
          <t>ASSUMP_POWER_RAMP; ASSUMP_CLOSED_MODEL_BAND; ASSUMP_NUMERIC_ACCELERATOR_MIX; ASSUMP_INFERENCE_SHARE_NOT_FACT_60; ASSUMP_WORKLOAD_CLASS_MIX; ASSUMP_AGENTIC_CONTEXT_PENALTY</t>
        </is>
      </c>
      <c r="L2710" s="3" t="inlineStr">
        <is>
          <t>Recompute after AI allocation or inference-share evidence changes.</t>
        </is>
      </c>
    </row>
    <row r="2711">
      <c r="A2711" s="3" t="inlineStr">
        <is>
          <t>Anthropic</t>
        </is>
      </c>
      <c r="B2711" s="3" t="n">
        <v>2028</v>
      </c>
      <c r="C2711" s="3" t="inlineStr">
        <is>
          <t>Bull</t>
        </is>
      </c>
      <c r="D2711" s="3" t="inlineStr">
        <is>
          <t>training_power_share</t>
        </is>
      </c>
      <c r="E2711" s="3" t="n">
        <v>0.305</v>
      </c>
      <c r="F2711" s="3" t="inlineStr">
        <is>
          <t>share of AI IT load</t>
        </is>
      </c>
      <c r="G2711" s="3" t="inlineStr">
        <is>
          <t>Derived allocation</t>
        </is>
      </c>
      <c r="H2711" s="3" t="inlineStr">
        <is>
          <t>1 - inference_power_share</t>
        </is>
      </c>
      <c r="I2711" s="3" t="inlineStr">
        <is>
          <t>Training receives the complementary modeled AI IT allocation; it is not a disclosed company workload split.</t>
        </is>
      </c>
      <c r="J2711" s="3" t="inlineStr">
        <is>
          <t>SRC_ANTHROPIC_CLAUDE_DOCS; SRC_ANTHROPIC_AMAZON_COMPUTE; SRC_AWS_RAINIER_ACTIVE; SRC_EPOCH_AI_DATA_CENTERS; ASSUMP_INFERENCE_SHARE_NOT_FACT_60</t>
        </is>
      </c>
      <c r="K2711" s="3" t="inlineStr">
        <is>
          <t>ASSUMP_POWER_RAMP; ASSUMP_CLOSED_MODEL_BAND; ASSUMP_NUMERIC_ACCELERATOR_MIX; ASSUMP_INFERENCE_SHARE_NOT_FACT_60; ASSUMP_WORKLOAD_CLASS_MIX; ASSUMP_AGENTIC_CONTEXT_PENALTY</t>
        </is>
      </c>
      <c r="L2711" s="3" t="inlineStr">
        <is>
          <t>Provider-specific inference/training workload power telemetry.</t>
        </is>
      </c>
    </row>
    <row r="2712">
      <c r="A2712" s="3" t="inlineStr">
        <is>
          <t>Anthropic</t>
        </is>
      </c>
      <c r="B2712" s="3" t="n">
        <v>2028</v>
      </c>
      <c r="C2712" s="3" t="inlineStr">
        <is>
          <t>Bull</t>
        </is>
      </c>
      <c r="D2712" s="3" t="inlineStr">
        <is>
          <t>training_gw</t>
        </is>
      </c>
      <c r="E2712" s="3" t="n">
        <v>0.806</v>
      </c>
      <c r="F2712" s="3" t="inlineStr">
        <is>
          <t>GW</t>
        </is>
      </c>
      <c r="G2712" s="3" t="inlineStr">
        <is>
          <t>Derived formula</t>
        </is>
      </c>
      <c r="H2712" s="3" t="inlineStr">
        <is>
          <t>ai_it_load_gw * training_power_share</t>
        </is>
      </c>
      <c r="I2712" s="3" t="inlineStr">
        <is>
          <t>Training GW is shown separately so commercial inference token capacity is not overstated.</t>
        </is>
      </c>
      <c r="J2712" s="3" t="inlineStr">
        <is>
          <t>SRC_ANTHROPIC_CLAUDE_DOCS; SRC_ANTHROPIC_AMAZON_COMPUTE; SRC_AWS_RAINIER_ACTIVE; SRC_EPOCH_AI_DATA_CENTERS</t>
        </is>
      </c>
      <c r="K2712" s="3" t="inlineStr">
        <is>
          <t>ASSUMP_POWER_RAMP; ASSUMP_CLOSED_MODEL_BAND; ASSUMP_NUMERIC_ACCELERATOR_MIX; ASSUMP_INFERENCE_SHARE_NOT_FACT_60; ASSUMP_WORKLOAD_CLASS_MIX; ASSUMP_AGENTIC_CONTEXT_PENALTY</t>
        </is>
      </c>
      <c r="L2712" s="3" t="inlineStr">
        <is>
          <t>Recompute after AI allocation or workload-split evidence changes.</t>
        </is>
      </c>
    </row>
    <row r="2713">
      <c r="A2713" s="3" t="inlineStr">
        <is>
          <t>Anthropic</t>
        </is>
      </c>
      <c r="B2713" s="3" t="n">
        <v>2028</v>
      </c>
      <c r="C2713" s="3" t="inlineStr">
        <is>
          <t>Bull</t>
        </is>
      </c>
      <c r="D2713" s="3" t="inlineStr">
        <is>
          <t>tokens_per_second_per_mw</t>
        </is>
      </c>
      <c r="E2713" s="3" t="n">
        <v>131670</v>
      </c>
      <c r="F2713" s="3" t="inlineStr">
        <is>
          <t>generated output tokens/sec/MW</t>
        </is>
      </c>
      <c r="G2713" s="3" t="inlineStr">
        <is>
          <t>Derived estimate + benchmark calibration</t>
        </is>
      </c>
      <c r="H2713" s="3" t="inlineStr">
        <is>
          <t>fleet_reference_tps_per_mw * commercial_workload_fit_factor</t>
        </is>
      </c>
      <c r="I2713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13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713" s="3" t="inlineStr">
        <is>
          <t>ASSUMP_POWER_RAMP; ASSUMP_CLOSED_MODEL_BAND; ASSUMP_NUMERIC_ACCELERATOR_MIX; ASSUMP_INFERENCE_SHARE_NOT_FACT_60; ASSUMP_WORKLOAD_CLASS_MIX; ASSUMP_AGENTIC_CONTEXT_PENALTY</t>
        </is>
      </c>
      <c r="L2713" s="3" t="inlineStr">
        <is>
          <t>Comparable production output-token throughput with model, hardware, precision, ISL/OSL and SLO matched.</t>
        </is>
      </c>
    </row>
    <row r="2714">
      <c r="A2714" s="3" t="inlineStr">
        <is>
          <t>Anthropic</t>
        </is>
      </c>
      <c r="B2714" s="3" t="n">
        <v>2028</v>
      </c>
      <c r="C2714" s="3" t="inlineStr">
        <is>
          <t>Bull</t>
        </is>
      </c>
      <c r="D2714" s="3" t="inlineStr">
        <is>
          <t>inference_tokens_per_day</t>
        </is>
      </c>
      <c r="E2714" s="3" t="n">
        <v>20886864768000</v>
      </c>
      <c r="F2714" s="3" t="inlineStr">
        <is>
          <t>generated output tokens/day</t>
        </is>
      </c>
      <c r="G2714" s="3" t="inlineStr">
        <is>
          <t>Derived headline metric</t>
        </is>
      </c>
      <c r="H2714" s="3" t="inlineStr">
        <is>
          <t>inference_gw * 1000 * tokens_per_second_per_mw * 86,400</t>
        </is>
      </c>
      <c r="I2714" s="3" t="inlineStr">
        <is>
          <t>Headline capacity uses no utilization, MoE, architecture or software-growth multiplier; it is not observed commercial output volume.</t>
        </is>
      </c>
      <c r="J2714" s="3" t="inlineStr">
        <is>
          <t>SRC_ANTHROPIC_CLAUDE_DOCS; SRC_ANTHROPIC_AMAZON_COMPUTE; SRC_AWS_RAINIER_ACTIVE; SRC_EPOCH_AI_DATA_CENTERS; SRC_SEMIANALYSIS_INFERENCEX</t>
        </is>
      </c>
      <c r="K2714" s="3" t="inlineStr">
        <is>
          <t>ASSUMP_POWER_RAMP; ASSUMP_CLOSED_MODEL_BAND; ASSUMP_NUMERIC_ACCELERATOR_MIX; ASSUMP_INFERENCE_SHARE_NOT_FACT_60; ASSUMP_WORKLOAD_CLASS_MIX; ASSUMP_AGENTIC_CONTEXT_PENALTY</t>
        </is>
      </c>
      <c r="L2714" s="3" t="inlineStr">
        <is>
          <t>Provider-disclosed generated output token volume or calibrated capacity telemetry.</t>
        </is>
      </c>
    </row>
    <row r="2715">
      <c r="A2715" s="3" t="inlineStr">
        <is>
          <t>Anthropic</t>
        </is>
      </c>
      <c r="B2715" s="3" t="n">
        <v>2028</v>
      </c>
      <c r="C2715" s="3" t="inlineStr">
        <is>
          <t>Bull</t>
        </is>
      </c>
      <c r="D2715" s="3" t="inlineStr">
        <is>
          <t>inference_tokens_per_year</t>
        </is>
      </c>
      <c r="E2715" s="3" t="n">
        <v>7623705640320000</v>
      </c>
      <c r="F2715" s="3" t="inlineStr">
        <is>
          <t>generated output tokens/year</t>
        </is>
      </c>
      <c r="G2715" s="3" t="inlineStr">
        <is>
          <t>Derived headline metric</t>
        </is>
      </c>
      <c r="H2715" s="3" t="inlineStr">
        <is>
          <t>inference_tokens_per_day * 365</t>
        </is>
      </c>
      <c r="I2715" s="3" t="inlineStr">
        <is>
          <t>Annualized version of generated output token capacity; it is not observed annual demand or billable volume.</t>
        </is>
      </c>
      <c r="J2715" s="3" t="inlineStr">
        <is>
          <t>SRC_ANTHROPIC_CLAUDE_DOCS; SRC_ANTHROPIC_AMAZON_COMPUTE; SRC_AWS_RAINIER_ACTIVE; SRC_EPOCH_AI_DATA_CENTERS; SRC_SEMIANALYSIS_INFERENCEX</t>
        </is>
      </c>
      <c r="K2715" s="3" t="inlineStr">
        <is>
          <t>ASSUMP_POWER_RAMP; ASSUMP_CLOSED_MODEL_BAND; ASSUMP_NUMERIC_ACCELERATOR_MIX; ASSUMP_INFERENCE_SHARE_NOT_FACT_60; ASSUMP_WORKLOAD_CLASS_MIX; ASSUMP_AGENTIC_CONTEXT_PENALTY</t>
        </is>
      </c>
      <c r="L2715" s="3" t="inlineStr">
        <is>
          <t>Provider-disclosed annual generated-output volume or metered serving telemetry.</t>
        </is>
      </c>
    </row>
    <row r="2716">
      <c r="A2716" s="3" t="inlineStr">
        <is>
          <t>Anthropic</t>
        </is>
      </c>
      <c r="B2716" s="3" t="n">
        <v>2029</v>
      </c>
      <c r="C2716" s="3" t="inlineStr">
        <is>
          <t>Bull</t>
        </is>
      </c>
      <c r="D2716" s="3" t="inlineStr">
        <is>
          <t>contracted_power_gw</t>
        </is>
      </c>
      <c r="E2716" s="3" t="n">
        <v>6.125</v>
      </c>
      <c r="F2716" s="3" t="inlineStr">
        <is>
          <t>GW</t>
        </is>
      </c>
      <c r="G2716" s="3" t="inlineStr">
        <is>
          <t>Fact anchor + scenario ceiling</t>
        </is>
      </c>
      <c r="H2716" s="3" t="inlineStr">
        <is>
          <t>linear interpolation between 2026 and 2030 company capacity endpoints</t>
        </is>
      </c>
      <c r="I2716" s="3" t="inlineStr">
        <is>
          <t>Hosted capacity envelope is anchored by Anthropic/AWS Project Rainier direction; it is attributed to Claude outputs, not AWS as a model owner.</t>
        </is>
      </c>
      <c r="J2716" s="3" t="inlineStr">
        <is>
          <t>SRC_ANTHROPIC_AMAZON_COMPUTE; SRC_AWS_RAINIER_ACTIVE; ASSUMP_POWER_RAMP</t>
        </is>
      </c>
      <c r="K2716" s="3" t="inlineStr">
        <is>
          <t>ASSUMP_POWER_RAMP; ASSUMP_CLOSED_MODEL_BAND; ASSUMP_NUMERIC_ACCELERATOR_MIX; ASSUMP_INFERENCE_SHARE_NOT_FACT_60; ASSUMP_WORKLOAD_CLASS_MIX; ASSUMP_AGENTIC_CONTEXT_PENALTY</t>
        </is>
      </c>
      <c r="L2716" s="3" t="inlineStr">
        <is>
          <t>Company/site-level committed MW/GW, interconnect and contract disclosure.</t>
        </is>
      </c>
    </row>
    <row r="2717">
      <c r="A2717" s="3" t="inlineStr">
        <is>
          <t>Anthropic</t>
        </is>
      </c>
      <c r="B2717" s="3" t="n">
        <v>2029</v>
      </c>
      <c r="C2717" s="3" t="inlineStr">
        <is>
          <t>Bull</t>
        </is>
      </c>
      <c r="D2717" s="3" t="inlineStr">
        <is>
          <t>operational_deployment_share</t>
        </is>
      </c>
      <c r="E2717" s="3" t="n">
        <v>0.81959184</v>
      </c>
      <c r="F2717" s="3" t="inlineStr">
        <is>
          <t>share</t>
        </is>
      </c>
      <c r="G2717" s="3" t="inlineStr">
        <is>
          <t>Scenario conversion</t>
        </is>
      </c>
      <c r="H2717" s="3" t="inlineStr">
        <is>
          <t>active_power_gw / contracted_power_gw</t>
        </is>
      </c>
      <c r="I2717" s="3" t="inlineStr">
        <is>
          <t>This is the single explicit conversion from contracted/attributed capacity to operationally usable capacity.</t>
        </is>
      </c>
      <c r="J2717" s="3" t="inlineStr">
        <is>
          <t>SRC_ANTHROPIC_AMAZON_COMPUTE; SRC_AWS_RAINIER_ACTIVE; ASSUMP_POWER_RAMP</t>
        </is>
      </c>
      <c r="K2717" s="3" t="inlineStr">
        <is>
          <t>ASSUMP_POWER_RAMP; ASSUMP_CLOSED_MODEL_BAND; ASSUMP_NUMERIC_ACCELERATOR_MIX; ASSUMP_INFERENCE_SHARE_NOT_FACT_60; ASSUMP_WORKLOAD_CLASS_MIX; ASSUMP_AGENTIC_CONTEXT_PENALTY</t>
        </is>
      </c>
      <c r="L2717" s="3" t="inlineStr">
        <is>
          <t>Energized operational capacity divided by contracted/attributed capacity.</t>
        </is>
      </c>
    </row>
    <row r="2718">
      <c r="A2718" s="3" t="inlineStr">
        <is>
          <t>Anthropic</t>
        </is>
      </c>
      <c r="B2718" s="3" t="n">
        <v>2029</v>
      </c>
      <c r="C2718" s="3" t="inlineStr">
        <is>
          <t>Bull</t>
        </is>
      </c>
      <c r="D2718" s="3" t="inlineStr">
        <is>
          <t>active_power_gw</t>
        </is>
      </c>
      <c r="E2718" s="3" t="n">
        <v>5.02</v>
      </c>
      <c r="F2718" s="3" t="inlineStr">
        <is>
          <t>GW</t>
        </is>
      </c>
      <c r="G2718" s="3" t="inlineStr">
        <is>
          <t>Derived scenario</t>
        </is>
      </c>
      <c r="H2718" s="3" t="inlineStr">
        <is>
          <t>contracted_power_gw * operational_deployment_share</t>
        </is>
      </c>
      <c r="I2718" s="3" t="inlineStr">
        <is>
          <t>Trainium cluster activation supports staged active ramp; Claude inference-versus-training use remains estimated.</t>
        </is>
      </c>
      <c r="J2718" s="3" t="inlineStr">
        <is>
          <t>SRC_ANTHROPIC_AMAZON_COMPUTE; SRC_AWS_RAINIER_ACTIVE; ASSUMP_POWER_RAMP</t>
        </is>
      </c>
      <c r="K2718" s="3" t="inlineStr">
        <is>
          <t>ASSUMP_POWER_RAMP; ASSUMP_CLOSED_MODEL_BAND; ASSUMP_NUMERIC_ACCELERATOR_MIX; ASSUMP_INFERENCE_SHARE_NOT_FACT_60; ASSUMP_WORKLOAD_CLASS_MIX; ASSUMP_AGENTIC_CONTEXT_PENALTY</t>
        </is>
      </c>
      <c r="L2718" s="3" t="inlineStr">
        <is>
          <t>Energization dates, accelerator deliveries and operational powered-rack telemetry.</t>
        </is>
      </c>
    </row>
    <row r="2719">
      <c r="A2719" s="3" t="inlineStr">
        <is>
          <t>Anthropic</t>
        </is>
      </c>
      <c r="B2719" s="3" t="n">
        <v>2029</v>
      </c>
      <c r="C2719" s="3" t="inlineStr">
        <is>
          <t>Bull</t>
        </is>
      </c>
      <c r="D2719" s="3" t="inlineStr">
        <is>
          <t>pue</t>
        </is>
      </c>
      <c r="E2719" s="3" t="n">
        <v>1.18</v>
      </c>
      <c r="F2719" s="3" t="inlineStr">
        <is>
          <t>ratio</t>
        </is>
      </c>
      <c r="G2719" s="3" t="inlineStr">
        <is>
          <t>Scenario parameter</t>
        </is>
      </c>
      <c r="H2719" s="3" t="inlineStr">
        <is>
          <t>it_load_gw = active_power_gw / pue</t>
        </is>
      </c>
      <c r="I2719" s="3" t="inlineStr">
        <is>
          <t>No provider-wide site-level PUE is used as a disclosed fact; PUE represents facility-to-IT conversion within the scenario.</t>
        </is>
      </c>
      <c r="J2719" s="3" t="inlineStr">
        <is>
          <t>ASSUMP_POWER_RAMP</t>
        </is>
      </c>
      <c r="K2719" s="3" t="inlineStr">
        <is>
          <t>ASSUMP_POWER_RAMP; ASSUMP_CLOSED_MODEL_BAND; ASSUMP_NUMERIC_ACCELERATOR_MIX; ASSUMP_INFERENCE_SHARE_NOT_FACT_60; ASSUMP_WORKLOAD_CLASS_MIX; ASSUMP_AGENTIC_CONTEXT_PENALTY</t>
        </is>
      </c>
      <c r="L2719" s="3" t="inlineStr">
        <is>
          <t>Site-level measured PUE matched to attributed AI capacity.</t>
        </is>
      </c>
    </row>
    <row r="2720">
      <c r="A2720" s="3" t="inlineStr">
        <is>
          <t>Anthropic</t>
        </is>
      </c>
      <c r="B2720" s="3" t="n">
        <v>2029</v>
      </c>
      <c r="C2720" s="3" t="inlineStr">
        <is>
          <t>Bull</t>
        </is>
      </c>
      <c r="D2720" s="3" t="inlineStr">
        <is>
          <t>it_load_gw</t>
        </is>
      </c>
      <c r="E2720" s="3" t="n">
        <v>4.255</v>
      </c>
      <c r="F2720" s="3" t="inlineStr">
        <is>
          <t>GW</t>
        </is>
      </c>
      <c r="G2720" s="3" t="inlineStr">
        <is>
          <t>Derived formula</t>
        </is>
      </c>
      <c r="H2720" s="3" t="inlineStr">
        <is>
          <t>active_power_gw / pue</t>
        </is>
      </c>
      <c r="I2720" s="3" t="inlineStr">
        <is>
          <t>Facility power is converted to IT-deliverable power before attributing AI workloads.</t>
        </is>
      </c>
      <c r="J2720" s="3" t="inlineStr">
        <is>
          <t>SRC_ANTHROPIC_AMAZON_COMPUTE; SRC_AWS_RAINIER_ACTIVE; ASSUMP_POWER_RAMP</t>
        </is>
      </c>
      <c r="K2720" s="3" t="inlineStr">
        <is>
          <t>ASSUMP_POWER_RAMP; ASSUMP_CLOSED_MODEL_BAND; ASSUMP_NUMERIC_ACCELERATOR_MIX; ASSUMP_INFERENCE_SHARE_NOT_FACT_60; ASSUMP_WORKLOAD_CLASS_MIX; ASSUMP_AGENTIC_CONTEXT_PENALTY</t>
        </is>
      </c>
      <c r="L2720" s="3" t="inlineStr">
        <is>
          <t>Recompute once active power and PUE become site-observable.</t>
        </is>
      </c>
    </row>
    <row r="2721">
      <c r="A2721" s="3" t="inlineStr">
        <is>
          <t>Anthropic</t>
        </is>
      </c>
      <c r="B2721" s="3" t="n">
        <v>2029</v>
      </c>
      <c r="C2721" s="3" t="inlineStr">
        <is>
          <t>Bull</t>
        </is>
      </c>
      <c r="D2721" s="3" t="inlineStr">
        <is>
          <t>ai_workload_share</t>
        </is>
      </c>
      <c r="E2721" s="3" t="n">
        <v>0.86</v>
      </c>
      <c r="F2721" s="3" t="inlineStr">
        <is>
          <t>share</t>
        </is>
      </c>
      <c r="G2721" s="3" t="inlineStr">
        <is>
          <t>Scenario allocation</t>
        </is>
      </c>
      <c r="H2721" s="3" t="inlineStr">
        <is>
          <t>ai_it_load_gw = it_load_gw * ai_workload_share</t>
        </is>
      </c>
      <c r="I2721" s="3" t="inlineStr">
        <is>
          <t>Anthropic-directed hosted capacity is predominantly AI; 86% excludes platform, reserve and non-serving allocation.</t>
        </is>
      </c>
      <c r="J2721" s="3" t="inlineStr">
        <is>
          <t>SRC_ANTHROPIC_CLAUDE_DOCS; SRC_ANTHROPIC_AMAZON_COMPUTE; SRC_AWS_RAINIER_ACTIVE; SRC_EPOCH_AI_DATA_CENTERS</t>
        </is>
      </c>
      <c r="K2721" s="3" t="inlineStr">
        <is>
          <t>ASSUMP_POWER_RAMP; ASSUMP_CLOSED_MODEL_BAND; ASSUMP_NUMERIC_ACCELERATOR_MIX; ASSUMP_INFERENCE_SHARE_NOT_FACT_60; ASSUMP_WORKLOAD_CLASS_MIX; ASSUMP_AGENTIC_CONTEXT_PENALTY</t>
        </is>
      </c>
      <c r="L2721" s="3" t="inlineStr">
        <is>
          <t>Model-owner AI workload allocation or cluster scheduling telemetry.</t>
        </is>
      </c>
    </row>
    <row r="2722">
      <c r="A2722" s="3" t="inlineStr">
        <is>
          <t>Anthropic</t>
        </is>
      </c>
      <c r="B2722" s="3" t="n">
        <v>2029</v>
      </c>
      <c r="C2722" s="3" t="inlineStr">
        <is>
          <t>Bull</t>
        </is>
      </c>
      <c r="D2722" s="3" t="inlineStr">
        <is>
          <t>ai_it_load_gw</t>
        </is>
      </c>
      <c r="E2722" s="3" t="n">
        <v>3.659</v>
      </c>
      <c r="F2722" s="3" t="inlineStr">
        <is>
          <t>GW</t>
        </is>
      </c>
      <c r="G2722" s="3" t="inlineStr">
        <is>
          <t>Derived formula</t>
        </is>
      </c>
      <c r="H2722" s="3" t="inlineStr">
        <is>
          <t>it_load_gw * ai_workload_share</t>
        </is>
      </c>
      <c r="I2722" s="3" t="inlineStr">
        <is>
          <t>Only the AI-attributed portion of IT load enters training/inference allocation.</t>
        </is>
      </c>
      <c r="J2722" s="3" t="inlineStr">
        <is>
          <t>SRC_ANTHROPIC_CLAUDE_DOCS; SRC_ANTHROPIC_AMAZON_COMPUTE; SRC_AWS_RAINIER_ACTIVE; SRC_EPOCH_AI_DATA_CENTERS</t>
        </is>
      </c>
      <c r="K2722" s="3" t="inlineStr">
        <is>
          <t>ASSUMP_POWER_RAMP; ASSUMP_CLOSED_MODEL_BAND; ASSUMP_NUMERIC_ACCELERATOR_MIX; ASSUMP_INFERENCE_SHARE_NOT_FACT_60; ASSUMP_WORKLOAD_CLASS_MIX; ASSUMP_AGENTIC_CONTEXT_PENALTY</t>
        </is>
      </c>
      <c r="L2722" s="3" t="inlineStr">
        <is>
          <t>Recompute after ai_workload_share is replaced by telemetry.</t>
        </is>
      </c>
    </row>
    <row r="2723">
      <c r="A2723" s="3" t="inlineStr">
        <is>
          <t>Anthropic</t>
        </is>
      </c>
      <c r="B2723" s="3" t="n">
        <v>2029</v>
      </c>
      <c r="C2723" s="3" t="inlineStr">
        <is>
          <t>Bull</t>
        </is>
      </c>
      <c r="D2723" s="3" t="inlineStr">
        <is>
          <t>gpu_share</t>
        </is>
      </c>
      <c r="E2723" s="3" t="n">
        <v>0.178448</v>
      </c>
      <c r="F2723" s="3" t="inlineStr">
        <is>
          <t>share of inference-serving accelerator load</t>
        </is>
      </c>
      <c r="G2723" s="3" t="inlineStr">
        <is>
          <t>Numeric scenario</t>
        </is>
      </c>
      <c r="H2723" s="3" t="inlineStr">
        <is>
          <t>gpu_share interpolated from company 2026/2030 accelerator-mix endpoints</t>
        </is>
      </c>
      <c r="I2723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723" s="3" t="inlineStr">
        <is>
          <t>SRC_ANTHROPIC_CLAUDE_DOCS; SRC_ANTHROPIC_AMAZON_COMPUTE; SRC_AWS_RAINIER_ACTIVE; SRC_EPOCH_AI_DATA_CENTERS; ASSUMP_NUMERIC_ACCELERATOR_MIX</t>
        </is>
      </c>
      <c r="K2723" s="3" t="inlineStr">
        <is>
          <t>ASSUMP_POWER_RAMP; ASSUMP_CLOSED_MODEL_BAND; ASSUMP_NUMERIC_ACCELERATOR_MIX; ASSUMP_INFERENCE_SHARE_NOT_FACT_60; ASSUMP_WORKLOAD_CLASS_MIX; ASSUMP_AGENTIC_CONTEXT_PENALTY</t>
        </is>
      </c>
      <c r="L2723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724">
      <c r="A2724" s="3" t="inlineStr">
        <is>
          <t>Anthropic</t>
        </is>
      </c>
      <c r="B2724" s="3" t="n">
        <v>2029</v>
      </c>
      <c r="C2724" s="3" t="inlineStr">
        <is>
          <t>Bull</t>
        </is>
      </c>
      <c r="D2724" s="3" t="inlineStr">
        <is>
          <t>h200_share</t>
        </is>
      </c>
      <c r="E2724" s="3" t="n">
        <v>0.06841700000000001</v>
      </c>
      <c r="F2724" s="3" t="inlineStr">
        <is>
          <t>share of inference-serving accelerator load</t>
        </is>
      </c>
      <c r="G2724" s="3" t="inlineStr">
        <is>
          <t>Editable numeric scenario</t>
        </is>
      </c>
      <c r="H2724" s="3" t="inlineStr">
        <is>
          <t>h200_share = gpu_share * default_gpu_generation_mix_h200</t>
        </is>
      </c>
      <c r="I2724" s="3" t="inlineStr">
        <is>
          <t>Default GPU-generation migration assumption; executive workbook allows later manual replacement by company/year/scenario.</t>
        </is>
      </c>
      <c r="J2724" s="3" t="inlineStr">
        <is>
          <t>SRC_SEMIANALYSIS_INFERENCEX; ASSUMP_NUMERIC_ACCELERATOR_MIX</t>
        </is>
      </c>
      <c r="K2724" s="3" t="inlineStr">
        <is>
          <t>ASSUMP_POWER_RAMP; ASSUMP_CLOSED_MODEL_BAND; ASSUMP_NUMERIC_ACCELERATOR_MIX; ASSUMP_INFERENCE_SHARE_NOT_FACT_60; ASSUMP_WORKLOAD_CLASS_MIX; ASSUMP_AGENTIC_CONTEXT_PENALTY</t>
        </is>
      </c>
      <c r="L2724" s="3" t="inlineStr">
        <is>
          <t>Company fleet inventory, accelerator-hours or procurement/deployment records by GPU generation.</t>
        </is>
      </c>
    </row>
    <row r="2725">
      <c r="A2725" s="3" t="inlineStr">
        <is>
          <t>Anthropic</t>
        </is>
      </c>
      <c r="B2725" s="3" t="n">
        <v>2029</v>
      </c>
      <c r="C2725" s="3" t="inlineStr">
        <is>
          <t>Bull</t>
        </is>
      </c>
      <c r="D2725" s="3" t="inlineStr">
        <is>
          <t>b200_share</t>
        </is>
      </c>
      <c r="E2725" s="3" t="n">
        <v>0.110031</v>
      </c>
      <c r="F2725" s="3" t="inlineStr">
        <is>
          <t>share of inference-serving accelerator load</t>
        </is>
      </c>
      <c r="G2725" s="3" t="inlineStr">
        <is>
          <t>Editable numeric scenario</t>
        </is>
      </c>
      <c r="H2725" s="3" t="inlineStr">
        <is>
          <t>b200_share = gpu_share * default_gpu_generation_mix_b200</t>
        </is>
      </c>
      <c r="I2725" s="3" t="inlineStr">
        <is>
          <t>Default GPU-generation migration assumption; executive workbook allows later manual replacement by company/year/scenario.</t>
        </is>
      </c>
      <c r="J2725" s="3" t="inlineStr">
        <is>
          <t>SRC_SEMIANALYSIS_INFERENCEX; ASSUMP_NUMERIC_ACCELERATOR_MIX</t>
        </is>
      </c>
      <c r="K2725" s="3" t="inlineStr">
        <is>
          <t>ASSUMP_POWER_RAMP; ASSUMP_CLOSED_MODEL_BAND; ASSUMP_NUMERIC_ACCELERATOR_MIX; ASSUMP_INFERENCE_SHARE_NOT_FACT_60; ASSUMP_WORKLOAD_CLASS_MIX; ASSUMP_AGENTIC_CONTEXT_PENALTY</t>
        </is>
      </c>
      <c r="L2725" s="3" t="inlineStr">
        <is>
          <t>Company fleet inventory, accelerator-hours or procurement/deployment records by GPU generation.</t>
        </is>
      </c>
    </row>
    <row r="2726">
      <c r="A2726" s="3" t="inlineStr">
        <is>
          <t>Anthropic</t>
        </is>
      </c>
      <c r="B2726" s="3" t="n">
        <v>2029</v>
      </c>
      <c r="C2726" s="3" t="inlineStr">
        <is>
          <t>Bull</t>
        </is>
      </c>
      <c r="D2726" s="3" t="inlineStr">
        <is>
          <t>gb200_share</t>
        </is>
      </c>
      <c r="E2726" s="3" t="n">
        <v>0</v>
      </c>
      <c r="F2726" s="3" t="inlineStr">
        <is>
          <t>share of inference-serving accelerator load</t>
        </is>
      </c>
      <c r="G2726" s="3" t="inlineStr">
        <is>
          <t>Editable numeric scenario</t>
        </is>
      </c>
      <c r="H2726" s="3" t="inlineStr">
        <is>
          <t>gb200_share = gpu_share * default_gpu_generation_mix_gb200</t>
        </is>
      </c>
      <c r="I2726" s="3" t="inlineStr">
        <is>
          <t>Default GPU-generation migration assumption; executive workbook allows later manual replacement by company/year/scenario.</t>
        </is>
      </c>
      <c r="J2726" s="3" t="inlineStr">
        <is>
          <t>SRC_SEMIANALYSIS_INFERENCEX; ASSUMP_NUMERIC_ACCELERATOR_MIX</t>
        </is>
      </c>
      <c r="K2726" s="3" t="inlineStr">
        <is>
          <t>ASSUMP_POWER_RAMP; ASSUMP_CLOSED_MODEL_BAND; ASSUMP_NUMERIC_ACCELERATOR_MIX; ASSUMP_INFERENCE_SHARE_NOT_FACT_60; ASSUMP_WORKLOAD_CLASS_MIX; ASSUMP_AGENTIC_CONTEXT_PENALTY</t>
        </is>
      </c>
      <c r="L2726" s="3" t="inlineStr">
        <is>
          <t>Company fleet inventory, accelerator-hours or procurement/deployment records by GPU generation.</t>
        </is>
      </c>
    </row>
    <row r="2727">
      <c r="A2727" s="3" t="inlineStr">
        <is>
          <t>Anthropic</t>
        </is>
      </c>
      <c r="B2727" s="3" t="n">
        <v>2029</v>
      </c>
      <c r="C2727" s="3" t="inlineStr">
        <is>
          <t>Bull</t>
        </is>
      </c>
      <c r="D2727" s="3" t="inlineStr">
        <is>
          <t>purpose_built_accelerator_share</t>
        </is>
      </c>
      <c r="E2727" s="3" t="n">
        <v>0.8215519999999999</v>
      </c>
      <c r="F2727" s="3" t="inlineStr">
        <is>
          <t>share of inference-serving accelerator load</t>
        </is>
      </c>
      <c r="G2727" s="3" t="inlineStr">
        <is>
          <t>Numeric scenario</t>
        </is>
      </c>
      <c r="H2727" s="3" t="inlineStr">
        <is>
          <t>1 - gpu_share</t>
        </is>
      </c>
      <c r="I2727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727" s="3" t="inlineStr">
        <is>
          <t>SRC_ANTHROPIC_CLAUDE_DOCS; SRC_ANTHROPIC_AMAZON_COMPUTE; SRC_AWS_RAINIER_ACTIVE; SRC_EPOCH_AI_DATA_CENTERS; ASSUMP_NUMERIC_ACCELERATOR_MIX</t>
        </is>
      </c>
      <c r="K2727" s="3" t="inlineStr">
        <is>
          <t>ASSUMP_POWER_RAMP; ASSUMP_CLOSED_MODEL_BAND; ASSUMP_NUMERIC_ACCELERATOR_MIX; ASSUMP_INFERENCE_SHARE_NOT_FACT_60; ASSUMP_WORKLOAD_CLASS_MIX; ASSUMP_AGENTIC_CONTEXT_PENALTY</t>
        </is>
      </c>
      <c r="L2727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728">
      <c r="A2728" s="3" t="inlineStr">
        <is>
          <t>Anthropic</t>
        </is>
      </c>
      <c r="B2728" s="3" t="n">
        <v>2029</v>
      </c>
      <c r="C2728" s="3" t="inlineStr">
        <is>
          <t>Bull</t>
        </is>
      </c>
      <c r="D2728" s="3" t="inlineStr">
        <is>
          <t>fleet_reference_tps_per_mw</t>
        </is>
      </c>
      <c r="E2728" s="3" t="n">
        <v>188100</v>
      </c>
      <c r="F2728" s="3" t="inlineStr">
        <is>
          <t>generated output tokens/sec/MW</t>
        </is>
      </c>
      <c r="G2728" s="3" t="inlineStr">
        <is>
          <t>Fleet-weighted public benchmark reference</t>
        </is>
      </c>
      <c r="H2728" s="3" t="inlineStr">
        <is>
          <t>h200_share*h200_workload_avg + b200_share*b200_workload_avg + gb200_share*gb200_workload_avg + purpose_built_share*purpose_workload_avg</t>
        </is>
      </c>
      <c r="I272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28" s="3" t="inlineStr">
        <is>
          <t>SRC_SEMIANALYSIS_INFERENCEX; ASSUMP_NUMERIC_ACCELERATOR_MIX; ASSUMP_WORKLOAD_CLASS_MIX; ASSUMP_AGENTIC_CONTEXT_PENALTY</t>
        </is>
      </c>
      <c r="K2728" s="3" t="inlineStr">
        <is>
          <t>ASSUMP_POWER_RAMP; ASSUMP_CLOSED_MODEL_BAND; ASSUMP_NUMERIC_ACCELERATOR_MIX; ASSUMP_INFERENCE_SHARE_NOT_FACT_60; ASSUMP_WORKLOAD_CLASS_MIX; ASSUMP_AGENTIC_CONTEXT_PENALTY</t>
        </is>
      </c>
      <c r="L2728" s="3" t="inlineStr">
        <is>
          <t>Comparable production output-token throughput or a more closely matched benchmark.</t>
        </is>
      </c>
    </row>
    <row r="2729">
      <c r="A2729" s="3" t="inlineStr">
        <is>
          <t>Anthropic</t>
        </is>
      </c>
      <c r="B2729" s="3" t="n">
        <v>2029</v>
      </c>
      <c r="C2729" s="3" t="inlineStr">
        <is>
          <t>Bull</t>
        </is>
      </c>
      <c r="D2729" s="3" t="inlineStr">
        <is>
          <t>commercial_workload_fit_factor</t>
        </is>
      </c>
      <c r="E2729" s="3" t="n">
        <v>0.7</v>
      </c>
      <c r="F2729" s="3" t="inlineStr">
        <is>
          <t>share of public reference throughput</t>
        </is>
      </c>
      <c r="G2729" s="3" t="inlineStr">
        <is>
          <t>Scenario assumption</t>
        </is>
      </c>
      <c r="H2729" s="3" t="inlineStr">
        <is>
          <t>reference_serving_tps_per_mw = fleet_reference_tps_per_mw * commercial_workload_fit_factor</t>
        </is>
      </c>
      <c r="I2729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29" s="3" t="inlineStr">
        <is>
          <t>SRC_SEMIANALYSIS_INFERENCEX; ASSUMP_NUMERIC_ACCELERATOR_MIX; ASSUMP_WORKLOAD_CLASS_MIX; ASSUMP_AGENTIC_CONTEXT_PENALTY</t>
        </is>
      </c>
      <c r="K2729" s="3" t="inlineStr">
        <is>
          <t>ASSUMP_POWER_RAMP; ASSUMP_CLOSED_MODEL_BAND; ASSUMP_NUMERIC_ACCELERATOR_MIX; ASSUMP_INFERENCE_SHARE_NOT_FACT_60; ASSUMP_WORKLOAD_CLASS_MIX; ASSUMP_AGENTIC_CONTEXT_PENALTY</t>
        </is>
      </c>
      <c r="L2729" s="3" t="inlineStr">
        <is>
          <t>Matched commercial serving benchmark by product surface, context shape and latency SLO.</t>
        </is>
      </c>
    </row>
    <row r="2730">
      <c r="A2730" s="3" t="inlineStr">
        <is>
          <t>Anthropic</t>
        </is>
      </c>
      <c r="B2730" s="3" t="n">
        <v>2029</v>
      </c>
      <c r="C2730" s="3" t="inlineStr">
        <is>
          <t>Bull</t>
        </is>
      </c>
      <c r="D2730" s="3" t="inlineStr">
        <is>
          <t>reference_serving_tps_per_mw</t>
        </is>
      </c>
      <c r="E2730" s="3" t="n">
        <v>131670</v>
      </c>
      <c r="F2730" s="3" t="inlineStr">
        <is>
          <t>generated output tokens/sec/MW</t>
        </is>
      </c>
      <c r="G2730" s="3" t="inlineStr">
        <is>
          <t>Workload-adjusted benchmark proxy</t>
        </is>
      </c>
      <c r="H2730" s="3" t="inlineStr">
        <is>
          <t>fleet_reference_tps_per_mw * commercial_workload_fit_factor</t>
        </is>
      </c>
      <c r="I2730" s="3" t="inlineStr">
        <is>
          <t>This is the coefficient used for headline token generation; each GPU's short chat, long chat and agentic TPS/MW are weighted before fleet mix and commercial fit are applied.</t>
        </is>
      </c>
      <c r="J2730" s="3" t="inlineStr">
        <is>
          <t>SRC_SEMIANALYSIS_INFERENCEX; ASSUMP_NUMERIC_ACCELERATOR_MIX; ASSUMP_WORKLOAD_CLASS_MIX; ASSUMP_AGENTIC_CONTEXT_PENALTY</t>
        </is>
      </c>
      <c r="K2730" s="3" t="inlineStr">
        <is>
          <t>ASSUMP_POWER_RAMP; ASSUMP_CLOSED_MODEL_BAND; ASSUMP_NUMERIC_ACCELERATOR_MIX; ASSUMP_INFERENCE_SHARE_NOT_FACT_60; ASSUMP_WORKLOAD_CLASS_MIX; ASSUMP_AGENTIC_CONTEXT_PENALTY</t>
        </is>
      </c>
      <c r="L2730" s="3" t="inlineStr">
        <is>
          <t>Provider production output-token throughput with comparable workload/SLO.</t>
        </is>
      </c>
    </row>
    <row r="2731">
      <c r="A2731" s="3" t="inlineStr">
        <is>
          <t>Anthropic</t>
        </is>
      </c>
      <c r="B2731" s="3" t="n">
        <v>2029</v>
      </c>
      <c r="C2731" s="3" t="inlineStr">
        <is>
          <t>Bull</t>
        </is>
      </c>
      <c r="D2731" s="3" t="inlineStr">
        <is>
          <t>purpose_built_tps_per_mw</t>
        </is>
      </c>
      <c r="E2731" s="3" t="n">
        <v>94714</v>
      </c>
      <c r="F2731" s="3" t="inlineStr">
        <is>
          <t>generated output tokens/sec/MW</t>
        </is>
      </c>
      <c r="G2731" s="3" t="inlineStr">
        <is>
          <t>Conservative no-uplift proxy</t>
        </is>
      </c>
      <c r="H2731" s="3" t="inlineStr">
        <is>
          <t>purpose_built_tps_per_mw = purpose_built_reference_tps_per_mw * commercial_workload_fit_factor until comparable output-token benchmark is adopted</t>
        </is>
      </c>
      <c r="I2731" s="3" t="inlineStr">
        <is>
          <t>No comparable public output-token/MW row adopted; B200 public reference placeholder is used and remains editable.</t>
        </is>
      </c>
      <c r="J2731" s="3" t="inlineStr">
        <is>
          <t>SRC_ANTHROPIC_CLAUDE_DOCS; SRC_ANTHROPIC_AMAZON_COMPUTE; SRC_AWS_RAINIER_ACTIVE; SRC_EPOCH_AI_DATA_CENTERS; ASSUMP_NUMERIC_ACCELERATOR_MIX</t>
        </is>
      </c>
      <c r="K2731" s="3" t="inlineStr">
        <is>
          <t>ASSUMP_POWER_RAMP; ASSUMP_CLOSED_MODEL_BAND; ASSUMP_NUMERIC_ACCELERATOR_MIX; ASSUMP_INFERENCE_SHARE_NOT_FACT_60; ASSUMP_WORKLOAD_CLASS_MIX; ASSUMP_AGENTIC_CONTEXT_PENALTY</t>
        </is>
      </c>
      <c r="L2731" s="3" t="inlineStr">
        <is>
          <t>Matched-workload generated-output benchmark for the provider purpose-built accelerator.</t>
        </is>
      </c>
    </row>
    <row r="2732">
      <c r="A2732" s="3" t="inlineStr">
        <is>
          <t>Anthropic</t>
        </is>
      </c>
      <c r="B2732" s="3" t="n">
        <v>2029</v>
      </c>
      <c r="C2732" s="3" t="inlineStr">
        <is>
          <t>Bull</t>
        </is>
      </c>
      <c r="D2732" s="3" t="inlineStr">
        <is>
          <t>inference_power_share</t>
        </is>
      </c>
      <c r="E2732" s="3" t="n">
        <v>0.758</v>
      </c>
      <c r="F2732" s="3" t="inlineStr">
        <is>
          <t>share of AI IT load</t>
        </is>
      </c>
      <c r="G2732" s="3" t="inlineStr">
        <is>
          <t>Scenario allocation</t>
        </is>
      </c>
      <c r="H2732" s="3" t="inlineStr">
        <is>
          <t>inference_gw = ai_it_load_gw * inference_power_share</t>
        </is>
      </c>
      <c r="I2732" s="3" t="inlineStr">
        <is>
          <t>Claude API/product growth supports a rising inference share, while continued model training prevents full conversion.</t>
        </is>
      </c>
      <c r="J2732" s="3" t="inlineStr">
        <is>
          <t>SRC_ANTHROPIC_CLAUDE_DOCS; SRC_ANTHROPIC_AMAZON_COMPUTE; SRC_AWS_RAINIER_ACTIVE; SRC_EPOCH_AI_DATA_CENTERS; ASSUMP_INFERENCE_SHARE_NOT_FACT_60</t>
        </is>
      </c>
      <c r="K2732" s="3" t="inlineStr">
        <is>
          <t>ASSUMP_POWER_RAMP; ASSUMP_CLOSED_MODEL_BAND; ASSUMP_NUMERIC_ACCELERATOR_MIX; ASSUMP_INFERENCE_SHARE_NOT_FACT_60; ASSUMP_WORKLOAD_CLASS_MIX; ASSUMP_AGENTIC_CONTEXT_PENALTY</t>
        </is>
      </c>
      <c r="L2732" s="3" t="inlineStr">
        <is>
          <t>Provider-specific inference/training workload power telemetry.</t>
        </is>
      </c>
    </row>
    <row r="2733">
      <c r="A2733" s="3" t="inlineStr">
        <is>
          <t>Anthropic</t>
        </is>
      </c>
      <c r="B2733" s="3" t="n">
        <v>2029</v>
      </c>
      <c r="C2733" s="3" t="inlineStr">
        <is>
          <t>Bull</t>
        </is>
      </c>
      <c r="D2733" s="3" t="inlineStr">
        <is>
          <t>inference_gw</t>
        </is>
      </c>
      <c r="E2733" s="3" t="n">
        <v>2.772</v>
      </c>
      <c r="F2733" s="3" t="inlineStr">
        <is>
          <t>GW</t>
        </is>
      </c>
      <c r="G2733" s="3" t="inlineStr">
        <is>
          <t>Derived formula</t>
        </is>
      </c>
      <c r="H2733" s="3" t="inlineStr">
        <is>
          <t>ai_it_load_gw * inference_power_share</t>
        </is>
      </c>
      <c r="I2733" s="3" t="inlineStr">
        <is>
          <t>This is the operational power eligible to become commercial generated output tokens through the selected TPS/MW proxy.</t>
        </is>
      </c>
      <c r="J2733" s="3" t="inlineStr">
        <is>
          <t>SRC_ANTHROPIC_CLAUDE_DOCS; SRC_ANTHROPIC_AMAZON_COMPUTE; SRC_AWS_RAINIER_ACTIVE; SRC_EPOCH_AI_DATA_CENTERS</t>
        </is>
      </c>
      <c r="K2733" s="3" t="inlineStr">
        <is>
          <t>ASSUMP_POWER_RAMP; ASSUMP_CLOSED_MODEL_BAND; ASSUMP_NUMERIC_ACCELERATOR_MIX; ASSUMP_INFERENCE_SHARE_NOT_FACT_60; ASSUMP_WORKLOAD_CLASS_MIX; ASSUMP_AGENTIC_CONTEXT_PENALTY</t>
        </is>
      </c>
      <c r="L2733" s="3" t="inlineStr">
        <is>
          <t>Recompute after AI allocation or inference-share evidence changes.</t>
        </is>
      </c>
    </row>
    <row r="2734">
      <c r="A2734" s="3" t="inlineStr">
        <is>
          <t>Anthropic</t>
        </is>
      </c>
      <c r="B2734" s="3" t="n">
        <v>2029</v>
      </c>
      <c r="C2734" s="3" t="inlineStr">
        <is>
          <t>Bull</t>
        </is>
      </c>
      <c r="D2734" s="3" t="inlineStr">
        <is>
          <t>training_power_share</t>
        </is>
      </c>
      <c r="E2734" s="3" t="n">
        <v>0.242</v>
      </c>
      <c r="F2734" s="3" t="inlineStr">
        <is>
          <t>share of AI IT load</t>
        </is>
      </c>
      <c r="G2734" s="3" t="inlineStr">
        <is>
          <t>Derived allocation</t>
        </is>
      </c>
      <c r="H2734" s="3" t="inlineStr">
        <is>
          <t>1 - inference_power_share</t>
        </is>
      </c>
      <c r="I2734" s="3" t="inlineStr">
        <is>
          <t>Training receives the complementary modeled AI IT allocation; it is not a disclosed company workload split.</t>
        </is>
      </c>
      <c r="J2734" s="3" t="inlineStr">
        <is>
          <t>SRC_ANTHROPIC_CLAUDE_DOCS; SRC_ANTHROPIC_AMAZON_COMPUTE; SRC_AWS_RAINIER_ACTIVE; SRC_EPOCH_AI_DATA_CENTERS; ASSUMP_INFERENCE_SHARE_NOT_FACT_60</t>
        </is>
      </c>
      <c r="K2734" s="3" t="inlineStr">
        <is>
          <t>ASSUMP_POWER_RAMP; ASSUMP_CLOSED_MODEL_BAND; ASSUMP_NUMERIC_ACCELERATOR_MIX; ASSUMP_INFERENCE_SHARE_NOT_FACT_60; ASSUMP_WORKLOAD_CLASS_MIX; ASSUMP_AGENTIC_CONTEXT_PENALTY</t>
        </is>
      </c>
      <c r="L2734" s="3" t="inlineStr">
        <is>
          <t>Provider-specific inference/training workload power telemetry.</t>
        </is>
      </c>
    </row>
    <row r="2735">
      <c r="A2735" s="3" t="inlineStr">
        <is>
          <t>Anthropic</t>
        </is>
      </c>
      <c r="B2735" s="3" t="n">
        <v>2029</v>
      </c>
      <c r="C2735" s="3" t="inlineStr">
        <is>
          <t>Bull</t>
        </is>
      </c>
      <c r="D2735" s="3" t="inlineStr">
        <is>
          <t>training_gw</t>
        </is>
      </c>
      <c r="E2735" s="3" t="n">
        <v>0.887</v>
      </c>
      <c r="F2735" s="3" t="inlineStr">
        <is>
          <t>GW</t>
        </is>
      </c>
      <c r="G2735" s="3" t="inlineStr">
        <is>
          <t>Derived formula</t>
        </is>
      </c>
      <c r="H2735" s="3" t="inlineStr">
        <is>
          <t>ai_it_load_gw * training_power_share</t>
        </is>
      </c>
      <c r="I2735" s="3" t="inlineStr">
        <is>
          <t>Training GW is shown separately so commercial inference token capacity is not overstated.</t>
        </is>
      </c>
      <c r="J2735" s="3" t="inlineStr">
        <is>
          <t>SRC_ANTHROPIC_CLAUDE_DOCS; SRC_ANTHROPIC_AMAZON_COMPUTE; SRC_AWS_RAINIER_ACTIVE; SRC_EPOCH_AI_DATA_CENTERS</t>
        </is>
      </c>
      <c r="K2735" s="3" t="inlineStr">
        <is>
          <t>ASSUMP_POWER_RAMP; ASSUMP_CLOSED_MODEL_BAND; ASSUMP_NUMERIC_ACCELERATOR_MIX; ASSUMP_INFERENCE_SHARE_NOT_FACT_60; ASSUMP_WORKLOAD_CLASS_MIX; ASSUMP_AGENTIC_CONTEXT_PENALTY</t>
        </is>
      </c>
      <c r="L2735" s="3" t="inlineStr">
        <is>
          <t>Recompute after AI allocation or workload-split evidence changes.</t>
        </is>
      </c>
    </row>
    <row r="2736">
      <c r="A2736" s="3" t="inlineStr">
        <is>
          <t>Anthropic</t>
        </is>
      </c>
      <c r="B2736" s="3" t="n">
        <v>2029</v>
      </c>
      <c r="C2736" s="3" t="inlineStr">
        <is>
          <t>Bull</t>
        </is>
      </c>
      <c r="D2736" s="3" t="inlineStr">
        <is>
          <t>tokens_per_second_per_mw</t>
        </is>
      </c>
      <c r="E2736" s="3" t="n">
        <v>131670</v>
      </c>
      <c r="F2736" s="3" t="inlineStr">
        <is>
          <t>generated output tokens/sec/MW</t>
        </is>
      </c>
      <c r="G2736" s="3" t="inlineStr">
        <is>
          <t>Derived estimate + benchmark calibration</t>
        </is>
      </c>
      <c r="H2736" s="3" t="inlineStr">
        <is>
          <t>fleet_reference_tps_per_mw * commercial_workload_fit_factor</t>
        </is>
      </c>
      <c r="I2736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36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736" s="3" t="inlineStr">
        <is>
          <t>ASSUMP_POWER_RAMP; ASSUMP_CLOSED_MODEL_BAND; ASSUMP_NUMERIC_ACCELERATOR_MIX; ASSUMP_INFERENCE_SHARE_NOT_FACT_60; ASSUMP_WORKLOAD_CLASS_MIX; ASSUMP_AGENTIC_CONTEXT_PENALTY</t>
        </is>
      </c>
      <c r="L2736" s="3" t="inlineStr">
        <is>
          <t>Comparable production output-token throughput with model, hardware, precision, ISL/OSL and SLO matched.</t>
        </is>
      </c>
    </row>
    <row r="2737">
      <c r="A2737" s="3" t="inlineStr">
        <is>
          <t>Anthropic</t>
        </is>
      </c>
      <c r="B2737" s="3" t="n">
        <v>2029</v>
      </c>
      <c r="C2737" s="3" t="inlineStr">
        <is>
          <t>Bull</t>
        </is>
      </c>
      <c r="D2737" s="3" t="inlineStr">
        <is>
          <t>inference_tokens_per_day</t>
        </is>
      </c>
      <c r="E2737" s="3" t="n">
        <v>31535070336000</v>
      </c>
      <c r="F2737" s="3" t="inlineStr">
        <is>
          <t>generated output tokens/day</t>
        </is>
      </c>
      <c r="G2737" s="3" t="inlineStr">
        <is>
          <t>Derived headline metric</t>
        </is>
      </c>
      <c r="H2737" s="3" t="inlineStr">
        <is>
          <t>inference_gw * 1000 * tokens_per_second_per_mw * 86,400</t>
        </is>
      </c>
      <c r="I2737" s="3" t="inlineStr">
        <is>
          <t>Headline capacity uses no utilization, MoE, architecture or software-growth multiplier; it is not observed commercial output volume.</t>
        </is>
      </c>
      <c r="J2737" s="3" t="inlineStr">
        <is>
          <t>SRC_ANTHROPIC_CLAUDE_DOCS; SRC_ANTHROPIC_AMAZON_COMPUTE; SRC_AWS_RAINIER_ACTIVE; SRC_EPOCH_AI_DATA_CENTERS; SRC_SEMIANALYSIS_INFERENCEX</t>
        </is>
      </c>
      <c r="K2737" s="3" t="inlineStr">
        <is>
          <t>ASSUMP_POWER_RAMP; ASSUMP_CLOSED_MODEL_BAND; ASSUMP_NUMERIC_ACCELERATOR_MIX; ASSUMP_INFERENCE_SHARE_NOT_FACT_60; ASSUMP_WORKLOAD_CLASS_MIX; ASSUMP_AGENTIC_CONTEXT_PENALTY</t>
        </is>
      </c>
      <c r="L2737" s="3" t="inlineStr">
        <is>
          <t>Provider-disclosed generated output token volume or calibrated capacity telemetry.</t>
        </is>
      </c>
    </row>
    <row r="2738">
      <c r="A2738" s="3" t="inlineStr">
        <is>
          <t>Anthropic</t>
        </is>
      </c>
      <c r="B2738" s="3" t="n">
        <v>2029</v>
      </c>
      <c r="C2738" s="3" t="inlineStr">
        <is>
          <t>Bull</t>
        </is>
      </c>
      <c r="D2738" s="3" t="inlineStr">
        <is>
          <t>inference_tokens_per_year</t>
        </is>
      </c>
      <c r="E2738" s="3" t="n">
        <v>1.151030067264e+16</v>
      </c>
      <c r="F2738" s="3" t="inlineStr">
        <is>
          <t>generated output tokens/year</t>
        </is>
      </c>
      <c r="G2738" s="3" t="inlineStr">
        <is>
          <t>Derived headline metric</t>
        </is>
      </c>
      <c r="H2738" s="3" t="inlineStr">
        <is>
          <t>inference_tokens_per_day * 365</t>
        </is>
      </c>
      <c r="I2738" s="3" t="inlineStr">
        <is>
          <t>Annualized version of generated output token capacity; it is not observed annual demand or billable volume.</t>
        </is>
      </c>
      <c r="J2738" s="3" t="inlineStr">
        <is>
          <t>SRC_ANTHROPIC_CLAUDE_DOCS; SRC_ANTHROPIC_AMAZON_COMPUTE; SRC_AWS_RAINIER_ACTIVE; SRC_EPOCH_AI_DATA_CENTERS; SRC_SEMIANALYSIS_INFERENCEX</t>
        </is>
      </c>
      <c r="K2738" s="3" t="inlineStr">
        <is>
          <t>ASSUMP_POWER_RAMP; ASSUMP_CLOSED_MODEL_BAND; ASSUMP_NUMERIC_ACCELERATOR_MIX; ASSUMP_INFERENCE_SHARE_NOT_FACT_60; ASSUMP_WORKLOAD_CLASS_MIX; ASSUMP_AGENTIC_CONTEXT_PENALTY</t>
        </is>
      </c>
      <c r="L2738" s="3" t="inlineStr">
        <is>
          <t>Provider-disclosed annual generated-output volume or metered serving telemetry.</t>
        </is>
      </c>
    </row>
    <row r="2739">
      <c r="A2739" s="3" t="inlineStr">
        <is>
          <t>Anthropic</t>
        </is>
      </c>
      <c r="B2739" s="3" t="n">
        <v>2030</v>
      </c>
      <c r="C2739" s="3" t="inlineStr">
        <is>
          <t>Bull</t>
        </is>
      </c>
      <c r="D2739" s="3" t="inlineStr">
        <is>
          <t>contracted_power_gw</t>
        </is>
      </c>
      <c r="E2739" s="3" t="n">
        <v>7</v>
      </c>
      <c r="F2739" s="3" t="inlineStr">
        <is>
          <t>GW</t>
        </is>
      </c>
      <c r="G2739" s="3" t="inlineStr">
        <is>
          <t>Fact anchor + scenario ceiling</t>
        </is>
      </c>
      <c r="H2739" s="3" t="inlineStr">
        <is>
          <t>linear interpolation between 2026 and 2030 company capacity endpoints</t>
        </is>
      </c>
      <c r="I2739" s="3" t="inlineStr">
        <is>
          <t>Hosted capacity envelope is anchored by Anthropic/AWS Project Rainier direction; it is attributed to Claude outputs, not AWS as a model owner.</t>
        </is>
      </c>
      <c r="J2739" s="3" t="inlineStr">
        <is>
          <t>SRC_ANTHROPIC_AMAZON_COMPUTE; SRC_AWS_RAINIER_ACTIVE; ASSUMP_POWER_RAMP</t>
        </is>
      </c>
      <c r="K2739" s="3" t="inlineStr">
        <is>
          <t>ASSUMP_POWER_RAMP; ASSUMP_CLOSED_MODEL_BAND; ASSUMP_NUMERIC_ACCELERATOR_MIX; ASSUMP_INFERENCE_SHARE_NOT_FACT_60; ASSUMP_WORKLOAD_CLASS_MIX; ASSUMP_AGENTIC_CONTEXT_PENALTY</t>
        </is>
      </c>
      <c r="L2739" s="3" t="inlineStr">
        <is>
          <t>Company/site-level committed MW/GW, interconnect and contract disclosure.</t>
        </is>
      </c>
    </row>
    <row r="2740">
      <c r="A2740" s="3" t="inlineStr">
        <is>
          <t>Anthropic</t>
        </is>
      </c>
      <c r="B2740" s="3" t="n">
        <v>2030</v>
      </c>
      <c r="C2740" s="3" t="inlineStr">
        <is>
          <t>Bull</t>
        </is>
      </c>
      <c r="D2740" s="3" t="inlineStr">
        <is>
          <t>operational_deployment_share</t>
        </is>
      </c>
      <c r="E2740" s="3" t="n">
        <v>0.92714286</v>
      </c>
      <c r="F2740" s="3" t="inlineStr">
        <is>
          <t>share</t>
        </is>
      </c>
      <c r="G2740" s="3" t="inlineStr">
        <is>
          <t>Scenario conversion</t>
        </is>
      </c>
      <c r="H2740" s="3" t="inlineStr">
        <is>
          <t>active_power_gw / contracted_power_gw</t>
        </is>
      </c>
      <c r="I2740" s="3" t="inlineStr">
        <is>
          <t>This is the single explicit conversion from contracted/attributed capacity to operationally usable capacity.</t>
        </is>
      </c>
      <c r="J2740" s="3" t="inlineStr">
        <is>
          <t>SRC_ANTHROPIC_AMAZON_COMPUTE; SRC_AWS_RAINIER_ACTIVE; ASSUMP_POWER_RAMP</t>
        </is>
      </c>
      <c r="K2740" s="3" t="inlineStr">
        <is>
          <t>ASSUMP_POWER_RAMP; ASSUMP_CLOSED_MODEL_BAND; ASSUMP_NUMERIC_ACCELERATOR_MIX; ASSUMP_INFERENCE_SHARE_NOT_FACT_60; ASSUMP_WORKLOAD_CLASS_MIX; ASSUMP_AGENTIC_CONTEXT_PENALTY</t>
        </is>
      </c>
      <c r="L2740" s="3" t="inlineStr">
        <is>
          <t>Energized operational capacity divided by contracted/attributed capacity.</t>
        </is>
      </c>
    </row>
    <row r="2741">
      <c r="A2741" s="3" t="inlineStr">
        <is>
          <t>Anthropic</t>
        </is>
      </c>
      <c r="B2741" s="3" t="n">
        <v>2030</v>
      </c>
      <c r="C2741" s="3" t="inlineStr">
        <is>
          <t>Bull</t>
        </is>
      </c>
      <c r="D2741" s="3" t="inlineStr">
        <is>
          <t>active_power_gw</t>
        </is>
      </c>
      <c r="E2741" s="3" t="n">
        <v>6.49</v>
      </c>
      <c r="F2741" s="3" t="inlineStr">
        <is>
          <t>GW</t>
        </is>
      </c>
      <c r="G2741" s="3" t="inlineStr">
        <is>
          <t>Derived scenario</t>
        </is>
      </c>
      <c r="H2741" s="3" t="inlineStr">
        <is>
          <t>contracted_power_gw * operational_deployment_share</t>
        </is>
      </c>
      <c r="I2741" s="3" t="inlineStr">
        <is>
          <t>Trainium cluster activation supports staged active ramp; Claude inference-versus-training use remains estimated.</t>
        </is>
      </c>
      <c r="J2741" s="3" t="inlineStr">
        <is>
          <t>SRC_ANTHROPIC_AMAZON_COMPUTE; SRC_AWS_RAINIER_ACTIVE; ASSUMP_POWER_RAMP</t>
        </is>
      </c>
      <c r="K2741" s="3" t="inlineStr">
        <is>
          <t>ASSUMP_POWER_RAMP; ASSUMP_CLOSED_MODEL_BAND; ASSUMP_NUMERIC_ACCELERATOR_MIX; ASSUMP_INFERENCE_SHARE_NOT_FACT_60; ASSUMP_WORKLOAD_CLASS_MIX; ASSUMP_AGENTIC_CONTEXT_PENALTY</t>
        </is>
      </c>
      <c r="L2741" s="3" t="inlineStr">
        <is>
          <t>Energization dates, accelerator deliveries and operational powered-rack telemetry.</t>
        </is>
      </c>
    </row>
    <row r="2742">
      <c r="A2742" s="3" t="inlineStr">
        <is>
          <t>Anthropic</t>
        </is>
      </c>
      <c r="B2742" s="3" t="n">
        <v>2030</v>
      </c>
      <c r="C2742" s="3" t="inlineStr">
        <is>
          <t>Bull</t>
        </is>
      </c>
      <c r="D2742" s="3" t="inlineStr">
        <is>
          <t>pue</t>
        </is>
      </c>
      <c r="E2742" s="3" t="n">
        <v>1.18</v>
      </c>
      <c r="F2742" s="3" t="inlineStr">
        <is>
          <t>ratio</t>
        </is>
      </c>
      <c r="G2742" s="3" t="inlineStr">
        <is>
          <t>Scenario parameter</t>
        </is>
      </c>
      <c r="H2742" s="3" t="inlineStr">
        <is>
          <t>it_load_gw = active_power_gw / pue</t>
        </is>
      </c>
      <c r="I2742" s="3" t="inlineStr">
        <is>
          <t>No provider-wide site-level PUE is used as a disclosed fact; PUE represents facility-to-IT conversion within the scenario.</t>
        </is>
      </c>
      <c r="J2742" s="3" t="inlineStr">
        <is>
          <t>ASSUMP_POWER_RAMP</t>
        </is>
      </c>
      <c r="K2742" s="3" t="inlineStr">
        <is>
          <t>ASSUMP_POWER_RAMP; ASSUMP_CLOSED_MODEL_BAND; ASSUMP_NUMERIC_ACCELERATOR_MIX; ASSUMP_INFERENCE_SHARE_NOT_FACT_60; ASSUMP_WORKLOAD_CLASS_MIX; ASSUMP_AGENTIC_CONTEXT_PENALTY</t>
        </is>
      </c>
      <c r="L2742" s="3" t="inlineStr">
        <is>
          <t>Site-level measured PUE matched to attributed AI capacity.</t>
        </is>
      </c>
    </row>
    <row r="2743">
      <c r="A2743" s="3" t="inlineStr">
        <is>
          <t>Anthropic</t>
        </is>
      </c>
      <c r="B2743" s="3" t="n">
        <v>2030</v>
      </c>
      <c r="C2743" s="3" t="inlineStr">
        <is>
          <t>Bull</t>
        </is>
      </c>
      <c r="D2743" s="3" t="inlineStr">
        <is>
          <t>it_load_gw</t>
        </is>
      </c>
      <c r="E2743" s="3" t="n">
        <v>5.5</v>
      </c>
      <c r="F2743" s="3" t="inlineStr">
        <is>
          <t>GW</t>
        </is>
      </c>
      <c r="G2743" s="3" t="inlineStr">
        <is>
          <t>Derived formula</t>
        </is>
      </c>
      <c r="H2743" s="3" t="inlineStr">
        <is>
          <t>active_power_gw / pue</t>
        </is>
      </c>
      <c r="I2743" s="3" t="inlineStr">
        <is>
          <t>Facility power is converted to IT-deliverable power before attributing AI workloads.</t>
        </is>
      </c>
      <c r="J2743" s="3" t="inlineStr">
        <is>
          <t>SRC_ANTHROPIC_AMAZON_COMPUTE; SRC_AWS_RAINIER_ACTIVE; ASSUMP_POWER_RAMP</t>
        </is>
      </c>
      <c r="K2743" s="3" t="inlineStr">
        <is>
          <t>ASSUMP_POWER_RAMP; ASSUMP_CLOSED_MODEL_BAND; ASSUMP_NUMERIC_ACCELERATOR_MIX; ASSUMP_INFERENCE_SHARE_NOT_FACT_60; ASSUMP_WORKLOAD_CLASS_MIX; ASSUMP_AGENTIC_CONTEXT_PENALTY</t>
        </is>
      </c>
      <c r="L2743" s="3" t="inlineStr">
        <is>
          <t>Recompute once active power and PUE become site-observable.</t>
        </is>
      </c>
    </row>
    <row r="2744">
      <c r="A2744" s="3" t="inlineStr">
        <is>
          <t>Anthropic</t>
        </is>
      </c>
      <c r="B2744" s="3" t="n">
        <v>2030</v>
      </c>
      <c r="C2744" s="3" t="inlineStr">
        <is>
          <t>Bull</t>
        </is>
      </c>
      <c r="D2744" s="3" t="inlineStr">
        <is>
          <t>ai_workload_share</t>
        </is>
      </c>
      <c r="E2744" s="3" t="n">
        <v>0.86</v>
      </c>
      <c r="F2744" s="3" t="inlineStr">
        <is>
          <t>share</t>
        </is>
      </c>
      <c r="G2744" s="3" t="inlineStr">
        <is>
          <t>Scenario allocation</t>
        </is>
      </c>
      <c r="H2744" s="3" t="inlineStr">
        <is>
          <t>ai_it_load_gw = it_load_gw * ai_workload_share</t>
        </is>
      </c>
      <c r="I2744" s="3" t="inlineStr">
        <is>
          <t>Anthropic-directed hosted capacity is predominantly AI; 86% excludes platform, reserve and non-serving allocation.</t>
        </is>
      </c>
      <c r="J2744" s="3" t="inlineStr">
        <is>
          <t>SRC_ANTHROPIC_CLAUDE_DOCS; SRC_ANTHROPIC_AMAZON_COMPUTE; SRC_AWS_RAINIER_ACTIVE; SRC_EPOCH_AI_DATA_CENTERS</t>
        </is>
      </c>
      <c r="K2744" s="3" t="inlineStr">
        <is>
          <t>ASSUMP_POWER_RAMP; ASSUMP_CLOSED_MODEL_BAND; ASSUMP_NUMERIC_ACCELERATOR_MIX; ASSUMP_INFERENCE_SHARE_NOT_FACT_60; ASSUMP_WORKLOAD_CLASS_MIX; ASSUMP_AGENTIC_CONTEXT_PENALTY</t>
        </is>
      </c>
      <c r="L2744" s="3" t="inlineStr">
        <is>
          <t>Model-owner AI workload allocation or cluster scheduling telemetry.</t>
        </is>
      </c>
    </row>
    <row r="2745">
      <c r="A2745" s="3" t="inlineStr">
        <is>
          <t>Anthropic</t>
        </is>
      </c>
      <c r="B2745" s="3" t="n">
        <v>2030</v>
      </c>
      <c r="C2745" s="3" t="inlineStr">
        <is>
          <t>Bull</t>
        </is>
      </c>
      <c r="D2745" s="3" t="inlineStr">
        <is>
          <t>ai_it_load_gw</t>
        </is>
      </c>
      <c r="E2745" s="3" t="n">
        <v>4.73</v>
      </c>
      <c r="F2745" s="3" t="inlineStr">
        <is>
          <t>GW</t>
        </is>
      </c>
      <c r="G2745" s="3" t="inlineStr">
        <is>
          <t>Derived formula</t>
        </is>
      </c>
      <c r="H2745" s="3" t="inlineStr">
        <is>
          <t>it_load_gw * ai_workload_share</t>
        </is>
      </c>
      <c r="I2745" s="3" t="inlineStr">
        <is>
          <t>Only the AI-attributed portion of IT load enters training/inference allocation.</t>
        </is>
      </c>
      <c r="J2745" s="3" t="inlineStr">
        <is>
          <t>SRC_ANTHROPIC_CLAUDE_DOCS; SRC_ANTHROPIC_AMAZON_COMPUTE; SRC_AWS_RAINIER_ACTIVE; SRC_EPOCH_AI_DATA_CENTERS</t>
        </is>
      </c>
      <c r="K2745" s="3" t="inlineStr">
        <is>
          <t>ASSUMP_POWER_RAMP; ASSUMP_CLOSED_MODEL_BAND; ASSUMP_NUMERIC_ACCELERATOR_MIX; ASSUMP_INFERENCE_SHARE_NOT_FACT_60; ASSUMP_WORKLOAD_CLASS_MIX; ASSUMP_AGENTIC_CONTEXT_PENALTY</t>
        </is>
      </c>
      <c r="L2745" s="3" t="inlineStr">
        <is>
          <t>Recompute after ai_workload_share is replaced by telemetry.</t>
        </is>
      </c>
    </row>
    <row r="2746">
      <c r="A2746" s="3" t="inlineStr">
        <is>
          <t>Anthropic</t>
        </is>
      </c>
      <c r="B2746" s="3" t="n">
        <v>2030</v>
      </c>
      <c r="C2746" s="3" t="inlineStr">
        <is>
          <t>Bull</t>
        </is>
      </c>
      <c r="D2746" s="3" t="inlineStr">
        <is>
          <t>gpu_share</t>
        </is>
      </c>
      <c r="E2746" s="3" t="n">
        <v>0.178448</v>
      </c>
      <c r="F2746" s="3" t="inlineStr">
        <is>
          <t>share of inference-serving accelerator load</t>
        </is>
      </c>
      <c r="G2746" s="3" t="inlineStr">
        <is>
          <t>Numeric scenario</t>
        </is>
      </c>
      <c r="H2746" s="3" t="inlineStr">
        <is>
          <t>gpu_share interpolated from company 2026/2030 accelerator-mix endpoints</t>
        </is>
      </c>
      <c r="I2746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746" s="3" t="inlineStr">
        <is>
          <t>SRC_ANTHROPIC_CLAUDE_DOCS; SRC_ANTHROPIC_AMAZON_COMPUTE; SRC_AWS_RAINIER_ACTIVE; SRC_EPOCH_AI_DATA_CENTERS; ASSUMP_NUMERIC_ACCELERATOR_MIX</t>
        </is>
      </c>
      <c r="K2746" s="3" t="inlineStr">
        <is>
          <t>ASSUMP_POWER_RAMP; ASSUMP_CLOSED_MODEL_BAND; ASSUMP_NUMERIC_ACCELERATOR_MIX; ASSUMP_INFERENCE_SHARE_NOT_FACT_60; ASSUMP_WORKLOAD_CLASS_MIX; ASSUMP_AGENTIC_CONTEXT_PENALTY</t>
        </is>
      </c>
      <c r="L2746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747">
      <c r="A2747" s="3" t="inlineStr">
        <is>
          <t>Anthropic</t>
        </is>
      </c>
      <c r="B2747" s="3" t="n">
        <v>2030</v>
      </c>
      <c r="C2747" s="3" t="inlineStr">
        <is>
          <t>Bull</t>
        </is>
      </c>
      <c r="D2747" s="3" t="inlineStr">
        <is>
          <t>h200_share</t>
        </is>
      </c>
      <c r="E2747" s="3" t="n">
        <v>0.06841700000000001</v>
      </c>
      <c r="F2747" s="3" t="inlineStr">
        <is>
          <t>share of inference-serving accelerator load</t>
        </is>
      </c>
      <c r="G2747" s="3" t="inlineStr">
        <is>
          <t>Editable numeric scenario</t>
        </is>
      </c>
      <c r="H2747" s="3" t="inlineStr">
        <is>
          <t>h200_share = gpu_share * default_gpu_generation_mix_h200</t>
        </is>
      </c>
      <c r="I2747" s="3" t="inlineStr">
        <is>
          <t>Default GPU-generation migration assumption; executive workbook allows later manual replacement by company/year/scenario.</t>
        </is>
      </c>
      <c r="J2747" s="3" t="inlineStr">
        <is>
          <t>SRC_SEMIANALYSIS_INFERENCEX; ASSUMP_NUMERIC_ACCELERATOR_MIX</t>
        </is>
      </c>
      <c r="K2747" s="3" t="inlineStr">
        <is>
          <t>ASSUMP_POWER_RAMP; ASSUMP_CLOSED_MODEL_BAND; ASSUMP_NUMERIC_ACCELERATOR_MIX; ASSUMP_INFERENCE_SHARE_NOT_FACT_60; ASSUMP_WORKLOAD_CLASS_MIX; ASSUMP_AGENTIC_CONTEXT_PENALTY</t>
        </is>
      </c>
      <c r="L2747" s="3" t="inlineStr">
        <is>
          <t>Company fleet inventory, accelerator-hours or procurement/deployment records by GPU generation.</t>
        </is>
      </c>
    </row>
    <row r="2748">
      <c r="A2748" s="3" t="inlineStr">
        <is>
          <t>Anthropic</t>
        </is>
      </c>
      <c r="B2748" s="3" t="n">
        <v>2030</v>
      </c>
      <c r="C2748" s="3" t="inlineStr">
        <is>
          <t>Bull</t>
        </is>
      </c>
      <c r="D2748" s="3" t="inlineStr">
        <is>
          <t>b200_share</t>
        </is>
      </c>
      <c r="E2748" s="3" t="n">
        <v>0.110031</v>
      </c>
      <c r="F2748" s="3" t="inlineStr">
        <is>
          <t>share of inference-serving accelerator load</t>
        </is>
      </c>
      <c r="G2748" s="3" t="inlineStr">
        <is>
          <t>Editable numeric scenario</t>
        </is>
      </c>
      <c r="H2748" s="3" t="inlineStr">
        <is>
          <t>b200_share = gpu_share * default_gpu_generation_mix_b200</t>
        </is>
      </c>
      <c r="I2748" s="3" t="inlineStr">
        <is>
          <t>Default GPU-generation migration assumption; executive workbook allows later manual replacement by company/year/scenario.</t>
        </is>
      </c>
      <c r="J2748" s="3" t="inlineStr">
        <is>
          <t>SRC_SEMIANALYSIS_INFERENCEX; ASSUMP_NUMERIC_ACCELERATOR_MIX</t>
        </is>
      </c>
      <c r="K2748" s="3" t="inlineStr">
        <is>
          <t>ASSUMP_POWER_RAMP; ASSUMP_CLOSED_MODEL_BAND; ASSUMP_NUMERIC_ACCELERATOR_MIX; ASSUMP_INFERENCE_SHARE_NOT_FACT_60; ASSUMP_WORKLOAD_CLASS_MIX; ASSUMP_AGENTIC_CONTEXT_PENALTY</t>
        </is>
      </c>
      <c r="L2748" s="3" t="inlineStr">
        <is>
          <t>Company fleet inventory, accelerator-hours or procurement/deployment records by GPU generation.</t>
        </is>
      </c>
    </row>
    <row r="2749">
      <c r="A2749" s="3" t="inlineStr">
        <is>
          <t>Anthropic</t>
        </is>
      </c>
      <c r="B2749" s="3" t="n">
        <v>2030</v>
      </c>
      <c r="C2749" s="3" t="inlineStr">
        <is>
          <t>Bull</t>
        </is>
      </c>
      <c r="D2749" s="3" t="inlineStr">
        <is>
          <t>gb200_share</t>
        </is>
      </c>
      <c r="E2749" s="3" t="n">
        <v>0</v>
      </c>
      <c r="F2749" s="3" t="inlineStr">
        <is>
          <t>share of inference-serving accelerator load</t>
        </is>
      </c>
      <c r="G2749" s="3" t="inlineStr">
        <is>
          <t>Editable numeric scenario</t>
        </is>
      </c>
      <c r="H2749" s="3" t="inlineStr">
        <is>
          <t>gb200_share = gpu_share * default_gpu_generation_mix_gb200</t>
        </is>
      </c>
      <c r="I2749" s="3" t="inlineStr">
        <is>
          <t>Default GPU-generation migration assumption; executive workbook allows later manual replacement by company/year/scenario.</t>
        </is>
      </c>
      <c r="J2749" s="3" t="inlineStr">
        <is>
          <t>SRC_SEMIANALYSIS_INFERENCEX; ASSUMP_NUMERIC_ACCELERATOR_MIX</t>
        </is>
      </c>
      <c r="K2749" s="3" t="inlineStr">
        <is>
          <t>ASSUMP_POWER_RAMP; ASSUMP_CLOSED_MODEL_BAND; ASSUMP_NUMERIC_ACCELERATOR_MIX; ASSUMP_INFERENCE_SHARE_NOT_FACT_60; ASSUMP_WORKLOAD_CLASS_MIX; ASSUMP_AGENTIC_CONTEXT_PENALTY</t>
        </is>
      </c>
      <c r="L2749" s="3" t="inlineStr">
        <is>
          <t>Company fleet inventory, accelerator-hours or procurement/deployment records by GPU generation.</t>
        </is>
      </c>
    </row>
    <row r="2750">
      <c r="A2750" s="3" t="inlineStr">
        <is>
          <t>Anthropic</t>
        </is>
      </c>
      <c r="B2750" s="3" t="n">
        <v>2030</v>
      </c>
      <c r="C2750" s="3" t="inlineStr">
        <is>
          <t>Bull</t>
        </is>
      </c>
      <c r="D2750" s="3" t="inlineStr">
        <is>
          <t>purpose_built_accelerator_share</t>
        </is>
      </c>
      <c r="E2750" s="3" t="n">
        <v>0.8215519999999999</v>
      </c>
      <c r="F2750" s="3" t="inlineStr">
        <is>
          <t>share of inference-serving accelerator load</t>
        </is>
      </c>
      <c r="G2750" s="3" t="inlineStr">
        <is>
          <t>Numeric scenario</t>
        </is>
      </c>
      <c r="H2750" s="3" t="inlineStr">
        <is>
          <t>1 - gpu_share</t>
        </is>
      </c>
      <c r="I2750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2750" s="3" t="inlineStr">
        <is>
          <t>SRC_ANTHROPIC_CLAUDE_DOCS; SRC_ANTHROPIC_AMAZON_COMPUTE; SRC_AWS_RAINIER_ACTIVE; SRC_EPOCH_AI_DATA_CENTERS; ASSUMP_NUMERIC_ACCELERATOR_MIX</t>
        </is>
      </c>
      <c r="K2750" s="3" t="inlineStr">
        <is>
          <t>ASSUMP_POWER_RAMP; ASSUMP_CLOSED_MODEL_BAND; ASSUMP_NUMERIC_ACCELERATOR_MIX; ASSUMP_INFERENCE_SHARE_NOT_FACT_60; ASSUMP_WORKLOAD_CLASS_MIX; ASSUMP_AGENTIC_CONTEXT_PENALTY</t>
        </is>
      </c>
      <c r="L2750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2751">
      <c r="A2751" s="3" t="inlineStr">
        <is>
          <t>Anthropic</t>
        </is>
      </c>
      <c r="B2751" s="3" t="n">
        <v>2030</v>
      </c>
      <c r="C2751" s="3" t="inlineStr">
        <is>
          <t>Bull</t>
        </is>
      </c>
      <c r="D2751" s="3" t="inlineStr">
        <is>
          <t>fleet_reference_tps_per_mw</t>
        </is>
      </c>
      <c r="E2751" s="3" t="n">
        <v>188100</v>
      </c>
      <c r="F2751" s="3" t="inlineStr">
        <is>
          <t>generated output tokens/sec/MW</t>
        </is>
      </c>
      <c r="G2751" s="3" t="inlineStr">
        <is>
          <t>Fleet-weighted public benchmark reference</t>
        </is>
      </c>
      <c r="H2751" s="3" t="inlineStr">
        <is>
          <t>h200_share*h200_workload_avg + b200_share*b200_workload_avg + gb200_share*gb200_workload_avg + purpose_built_share*purpose_workload_avg</t>
        </is>
      </c>
      <c r="I275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2751" s="3" t="inlineStr">
        <is>
          <t>SRC_SEMIANALYSIS_INFERENCEX; ASSUMP_NUMERIC_ACCELERATOR_MIX; ASSUMP_WORKLOAD_CLASS_MIX; ASSUMP_AGENTIC_CONTEXT_PENALTY</t>
        </is>
      </c>
      <c r="K2751" s="3" t="inlineStr">
        <is>
          <t>ASSUMP_POWER_RAMP; ASSUMP_CLOSED_MODEL_BAND; ASSUMP_NUMERIC_ACCELERATOR_MIX; ASSUMP_INFERENCE_SHARE_NOT_FACT_60; ASSUMP_WORKLOAD_CLASS_MIX; ASSUMP_AGENTIC_CONTEXT_PENALTY</t>
        </is>
      </c>
      <c r="L2751" s="3" t="inlineStr">
        <is>
          <t>Comparable production output-token throughput or a more closely matched benchmark.</t>
        </is>
      </c>
    </row>
    <row r="2752">
      <c r="A2752" s="3" t="inlineStr">
        <is>
          <t>Anthropic</t>
        </is>
      </c>
      <c r="B2752" s="3" t="n">
        <v>2030</v>
      </c>
      <c r="C2752" s="3" t="inlineStr">
        <is>
          <t>Bull</t>
        </is>
      </c>
      <c r="D2752" s="3" t="inlineStr">
        <is>
          <t>commercial_workload_fit_factor</t>
        </is>
      </c>
      <c r="E2752" s="3" t="n">
        <v>0.7</v>
      </c>
      <c r="F2752" s="3" t="inlineStr">
        <is>
          <t>share of public reference throughput</t>
        </is>
      </c>
      <c r="G2752" s="3" t="inlineStr">
        <is>
          <t>Scenario assumption</t>
        </is>
      </c>
      <c r="H2752" s="3" t="inlineStr">
        <is>
          <t>reference_serving_tps_per_mw = fleet_reference_tps_per_mw * commercial_workload_fit_factor</t>
        </is>
      </c>
      <c r="I2752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2752" s="3" t="inlineStr">
        <is>
          <t>SRC_SEMIANALYSIS_INFERENCEX; ASSUMP_NUMERIC_ACCELERATOR_MIX; ASSUMP_WORKLOAD_CLASS_MIX; ASSUMP_AGENTIC_CONTEXT_PENALTY</t>
        </is>
      </c>
      <c r="K2752" s="3" t="inlineStr">
        <is>
          <t>ASSUMP_POWER_RAMP; ASSUMP_CLOSED_MODEL_BAND; ASSUMP_NUMERIC_ACCELERATOR_MIX; ASSUMP_INFERENCE_SHARE_NOT_FACT_60; ASSUMP_WORKLOAD_CLASS_MIX; ASSUMP_AGENTIC_CONTEXT_PENALTY</t>
        </is>
      </c>
      <c r="L2752" s="3" t="inlineStr">
        <is>
          <t>Matched commercial serving benchmark by product surface, context shape and latency SLO.</t>
        </is>
      </c>
    </row>
    <row r="2753">
      <c r="A2753" s="3" t="inlineStr">
        <is>
          <t>Anthropic</t>
        </is>
      </c>
      <c r="B2753" s="3" t="n">
        <v>2030</v>
      </c>
      <c r="C2753" s="3" t="inlineStr">
        <is>
          <t>Bull</t>
        </is>
      </c>
      <c r="D2753" s="3" t="inlineStr">
        <is>
          <t>reference_serving_tps_per_mw</t>
        </is>
      </c>
      <c r="E2753" s="3" t="n">
        <v>131670</v>
      </c>
      <c r="F2753" s="3" t="inlineStr">
        <is>
          <t>generated output tokens/sec/MW</t>
        </is>
      </c>
      <c r="G2753" s="3" t="inlineStr">
        <is>
          <t>Workload-adjusted benchmark proxy</t>
        </is>
      </c>
      <c r="H2753" s="3" t="inlineStr">
        <is>
          <t>fleet_reference_tps_per_mw * commercial_workload_fit_factor</t>
        </is>
      </c>
      <c r="I2753" s="3" t="inlineStr">
        <is>
          <t>This is the coefficient used for headline token generation; each GPU's short chat, long chat and agentic TPS/MW are weighted before fleet mix and commercial fit are applied.</t>
        </is>
      </c>
      <c r="J2753" s="3" t="inlineStr">
        <is>
          <t>SRC_SEMIANALYSIS_INFERENCEX; ASSUMP_NUMERIC_ACCELERATOR_MIX; ASSUMP_WORKLOAD_CLASS_MIX; ASSUMP_AGENTIC_CONTEXT_PENALTY</t>
        </is>
      </c>
      <c r="K2753" s="3" t="inlineStr">
        <is>
          <t>ASSUMP_POWER_RAMP; ASSUMP_CLOSED_MODEL_BAND; ASSUMP_NUMERIC_ACCELERATOR_MIX; ASSUMP_INFERENCE_SHARE_NOT_FACT_60; ASSUMP_WORKLOAD_CLASS_MIX; ASSUMP_AGENTIC_CONTEXT_PENALTY</t>
        </is>
      </c>
      <c r="L2753" s="3" t="inlineStr">
        <is>
          <t>Provider production output-token throughput with comparable workload/SLO.</t>
        </is>
      </c>
    </row>
    <row r="2754">
      <c r="A2754" s="3" t="inlineStr">
        <is>
          <t>Anthropic</t>
        </is>
      </c>
      <c r="B2754" s="3" t="n">
        <v>2030</v>
      </c>
      <c r="C2754" s="3" t="inlineStr">
        <is>
          <t>Bull</t>
        </is>
      </c>
      <c r="D2754" s="3" t="inlineStr">
        <is>
          <t>purpose_built_tps_per_mw</t>
        </is>
      </c>
      <c r="E2754" s="3" t="n">
        <v>94714</v>
      </c>
      <c r="F2754" s="3" t="inlineStr">
        <is>
          <t>generated output tokens/sec/MW</t>
        </is>
      </c>
      <c r="G2754" s="3" t="inlineStr">
        <is>
          <t>Conservative no-uplift proxy</t>
        </is>
      </c>
      <c r="H2754" s="3" t="inlineStr">
        <is>
          <t>purpose_built_tps_per_mw = purpose_built_reference_tps_per_mw * commercial_workload_fit_factor until comparable output-token benchmark is adopted</t>
        </is>
      </c>
      <c r="I2754" s="3" t="inlineStr">
        <is>
          <t>No comparable public output-token/MW row adopted; B200 public reference placeholder is used and remains editable.</t>
        </is>
      </c>
      <c r="J2754" s="3" t="inlineStr">
        <is>
          <t>SRC_ANTHROPIC_CLAUDE_DOCS; SRC_ANTHROPIC_AMAZON_COMPUTE; SRC_AWS_RAINIER_ACTIVE; SRC_EPOCH_AI_DATA_CENTERS; ASSUMP_NUMERIC_ACCELERATOR_MIX</t>
        </is>
      </c>
      <c r="K2754" s="3" t="inlineStr">
        <is>
          <t>ASSUMP_POWER_RAMP; ASSUMP_CLOSED_MODEL_BAND; ASSUMP_NUMERIC_ACCELERATOR_MIX; ASSUMP_INFERENCE_SHARE_NOT_FACT_60; ASSUMP_WORKLOAD_CLASS_MIX; ASSUMP_AGENTIC_CONTEXT_PENALTY</t>
        </is>
      </c>
      <c r="L2754" s="3" t="inlineStr">
        <is>
          <t>Matched-workload generated-output benchmark for the provider purpose-built accelerator.</t>
        </is>
      </c>
    </row>
    <row r="2755">
      <c r="A2755" s="3" t="inlineStr">
        <is>
          <t>Anthropic</t>
        </is>
      </c>
      <c r="B2755" s="3" t="n">
        <v>2030</v>
      </c>
      <c r="C2755" s="3" t="inlineStr">
        <is>
          <t>Bull</t>
        </is>
      </c>
      <c r="D2755" s="3" t="inlineStr">
        <is>
          <t>inference_power_share</t>
        </is>
      </c>
      <c r="E2755" s="3" t="n">
        <v>0.82</v>
      </c>
      <c r="F2755" s="3" t="inlineStr">
        <is>
          <t>share of AI IT load</t>
        </is>
      </c>
      <c r="G2755" s="3" t="inlineStr">
        <is>
          <t>Scenario allocation</t>
        </is>
      </c>
      <c r="H2755" s="3" t="inlineStr">
        <is>
          <t>inference_gw = ai_it_load_gw * inference_power_share</t>
        </is>
      </c>
      <c r="I2755" s="3" t="inlineStr">
        <is>
          <t>Claude API/product growth supports a rising inference share, while continued model training prevents full conversion.</t>
        </is>
      </c>
      <c r="J2755" s="3" t="inlineStr">
        <is>
          <t>SRC_ANTHROPIC_CLAUDE_DOCS; SRC_ANTHROPIC_AMAZON_COMPUTE; SRC_AWS_RAINIER_ACTIVE; SRC_EPOCH_AI_DATA_CENTERS; ASSUMP_INFERENCE_SHARE_NOT_FACT_60</t>
        </is>
      </c>
      <c r="K2755" s="3" t="inlineStr">
        <is>
          <t>ASSUMP_POWER_RAMP; ASSUMP_CLOSED_MODEL_BAND; ASSUMP_NUMERIC_ACCELERATOR_MIX; ASSUMP_INFERENCE_SHARE_NOT_FACT_60; ASSUMP_WORKLOAD_CLASS_MIX; ASSUMP_AGENTIC_CONTEXT_PENALTY</t>
        </is>
      </c>
      <c r="L2755" s="3" t="inlineStr">
        <is>
          <t>Provider-specific inference/training workload power telemetry.</t>
        </is>
      </c>
    </row>
    <row r="2756">
      <c r="A2756" s="3" t="inlineStr">
        <is>
          <t>Anthropic</t>
        </is>
      </c>
      <c r="B2756" s="3" t="n">
        <v>2030</v>
      </c>
      <c r="C2756" s="3" t="inlineStr">
        <is>
          <t>Bull</t>
        </is>
      </c>
      <c r="D2756" s="3" t="inlineStr">
        <is>
          <t>inference_gw</t>
        </is>
      </c>
      <c r="E2756" s="3" t="n">
        <v>3.879</v>
      </c>
      <c r="F2756" s="3" t="inlineStr">
        <is>
          <t>GW</t>
        </is>
      </c>
      <c r="G2756" s="3" t="inlineStr">
        <is>
          <t>Derived formula</t>
        </is>
      </c>
      <c r="H2756" s="3" t="inlineStr">
        <is>
          <t>ai_it_load_gw * inference_power_share</t>
        </is>
      </c>
      <c r="I2756" s="3" t="inlineStr">
        <is>
          <t>This is the operational power eligible to become commercial generated output tokens through the selected TPS/MW proxy.</t>
        </is>
      </c>
      <c r="J2756" s="3" t="inlineStr">
        <is>
          <t>SRC_ANTHROPIC_CLAUDE_DOCS; SRC_ANTHROPIC_AMAZON_COMPUTE; SRC_AWS_RAINIER_ACTIVE; SRC_EPOCH_AI_DATA_CENTERS</t>
        </is>
      </c>
      <c r="K2756" s="3" t="inlineStr">
        <is>
          <t>ASSUMP_POWER_RAMP; ASSUMP_CLOSED_MODEL_BAND; ASSUMP_NUMERIC_ACCELERATOR_MIX; ASSUMP_INFERENCE_SHARE_NOT_FACT_60; ASSUMP_WORKLOAD_CLASS_MIX; ASSUMP_AGENTIC_CONTEXT_PENALTY</t>
        </is>
      </c>
      <c r="L2756" s="3" t="inlineStr">
        <is>
          <t>Recompute after AI allocation or inference-share evidence changes.</t>
        </is>
      </c>
    </row>
    <row r="2757">
      <c r="A2757" s="3" t="inlineStr">
        <is>
          <t>Anthropic</t>
        </is>
      </c>
      <c r="B2757" s="3" t="n">
        <v>2030</v>
      </c>
      <c r="C2757" s="3" t="inlineStr">
        <is>
          <t>Bull</t>
        </is>
      </c>
      <c r="D2757" s="3" t="inlineStr">
        <is>
          <t>training_power_share</t>
        </is>
      </c>
      <c r="E2757" s="3" t="n">
        <v>0.18</v>
      </c>
      <c r="F2757" s="3" t="inlineStr">
        <is>
          <t>share of AI IT load</t>
        </is>
      </c>
      <c r="G2757" s="3" t="inlineStr">
        <is>
          <t>Derived allocation</t>
        </is>
      </c>
      <c r="H2757" s="3" t="inlineStr">
        <is>
          <t>1 - inference_power_share</t>
        </is>
      </c>
      <c r="I2757" s="3" t="inlineStr">
        <is>
          <t>Training receives the complementary modeled AI IT allocation; it is not a disclosed company workload split.</t>
        </is>
      </c>
      <c r="J2757" s="3" t="inlineStr">
        <is>
          <t>SRC_ANTHROPIC_CLAUDE_DOCS; SRC_ANTHROPIC_AMAZON_COMPUTE; SRC_AWS_RAINIER_ACTIVE; SRC_EPOCH_AI_DATA_CENTERS; ASSUMP_INFERENCE_SHARE_NOT_FACT_60</t>
        </is>
      </c>
      <c r="K2757" s="3" t="inlineStr">
        <is>
          <t>ASSUMP_POWER_RAMP; ASSUMP_CLOSED_MODEL_BAND; ASSUMP_NUMERIC_ACCELERATOR_MIX; ASSUMP_INFERENCE_SHARE_NOT_FACT_60; ASSUMP_WORKLOAD_CLASS_MIX; ASSUMP_AGENTIC_CONTEXT_PENALTY</t>
        </is>
      </c>
      <c r="L2757" s="3" t="inlineStr">
        <is>
          <t>Provider-specific inference/training workload power telemetry.</t>
        </is>
      </c>
    </row>
    <row r="2758">
      <c r="A2758" s="3" t="inlineStr">
        <is>
          <t>Anthropic</t>
        </is>
      </c>
      <c r="B2758" s="3" t="n">
        <v>2030</v>
      </c>
      <c r="C2758" s="3" t="inlineStr">
        <is>
          <t>Bull</t>
        </is>
      </c>
      <c r="D2758" s="3" t="inlineStr">
        <is>
          <t>training_gw</t>
        </is>
      </c>
      <c r="E2758" s="3" t="n">
        <v>0.851</v>
      </c>
      <c r="F2758" s="3" t="inlineStr">
        <is>
          <t>GW</t>
        </is>
      </c>
      <c r="G2758" s="3" t="inlineStr">
        <is>
          <t>Derived formula</t>
        </is>
      </c>
      <c r="H2758" s="3" t="inlineStr">
        <is>
          <t>ai_it_load_gw * training_power_share</t>
        </is>
      </c>
      <c r="I2758" s="3" t="inlineStr">
        <is>
          <t>Training GW is shown separately so commercial inference token capacity is not overstated.</t>
        </is>
      </c>
      <c r="J2758" s="3" t="inlineStr">
        <is>
          <t>SRC_ANTHROPIC_CLAUDE_DOCS; SRC_ANTHROPIC_AMAZON_COMPUTE; SRC_AWS_RAINIER_ACTIVE; SRC_EPOCH_AI_DATA_CENTERS</t>
        </is>
      </c>
      <c r="K2758" s="3" t="inlineStr">
        <is>
          <t>ASSUMP_POWER_RAMP; ASSUMP_CLOSED_MODEL_BAND; ASSUMP_NUMERIC_ACCELERATOR_MIX; ASSUMP_INFERENCE_SHARE_NOT_FACT_60; ASSUMP_WORKLOAD_CLASS_MIX; ASSUMP_AGENTIC_CONTEXT_PENALTY</t>
        </is>
      </c>
      <c r="L2758" s="3" t="inlineStr">
        <is>
          <t>Recompute after AI allocation or workload-split evidence changes.</t>
        </is>
      </c>
    </row>
    <row r="2759">
      <c r="A2759" s="3" t="inlineStr">
        <is>
          <t>Anthropic</t>
        </is>
      </c>
      <c r="B2759" s="3" t="n">
        <v>2030</v>
      </c>
      <c r="C2759" s="3" t="inlineStr">
        <is>
          <t>Bull</t>
        </is>
      </c>
      <c r="D2759" s="3" t="inlineStr">
        <is>
          <t>tokens_per_second_per_mw</t>
        </is>
      </c>
      <c r="E2759" s="3" t="n">
        <v>131670</v>
      </c>
      <c r="F2759" s="3" t="inlineStr">
        <is>
          <t>generated output tokens/sec/MW</t>
        </is>
      </c>
      <c r="G2759" s="3" t="inlineStr">
        <is>
          <t>Derived estimate + benchmark calibration</t>
        </is>
      </c>
      <c r="H2759" s="3" t="inlineStr">
        <is>
          <t>fleet_reference_tps_per_mw * commercial_workload_fit_factor</t>
        </is>
      </c>
      <c r="I2759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2759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2759" s="3" t="inlineStr">
        <is>
          <t>ASSUMP_POWER_RAMP; ASSUMP_CLOSED_MODEL_BAND; ASSUMP_NUMERIC_ACCELERATOR_MIX; ASSUMP_INFERENCE_SHARE_NOT_FACT_60; ASSUMP_WORKLOAD_CLASS_MIX; ASSUMP_AGENTIC_CONTEXT_PENALTY</t>
        </is>
      </c>
      <c r="L2759" s="3" t="inlineStr">
        <is>
          <t>Comparable production output-token throughput with model, hardware, precision, ISL/OSL and SLO matched.</t>
        </is>
      </c>
    </row>
    <row r="2760">
      <c r="A2760" s="3" t="inlineStr">
        <is>
          <t>Anthropic</t>
        </is>
      </c>
      <c r="B2760" s="3" t="n">
        <v>2030</v>
      </c>
      <c r="C2760" s="3" t="inlineStr">
        <is>
          <t>Bull</t>
        </is>
      </c>
      <c r="D2760" s="3" t="inlineStr">
        <is>
          <t>inference_tokens_per_day</t>
        </is>
      </c>
      <c r="E2760" s="3" t="n">
        <v>44128621152000</v>
      </c>
      <c r="F2760" s="3" t="inlineStr">
        <is>
          <t>generated output tokens/day</t>
        </is>
      </c>
      <c r="G2760" s="3" t="inlineStr">
        <is>
          <t>Derived headline metric</t>
        </is>
      </c>
      <c r="H2760" s="3" t="inlineStr">
        <is>
          <t>inference_gw * 1000 * tokens_per_second_per_mw * 86,400</t>
        </is>
      </c>
      <c r="I2760" s="3" t="inlineStr">
        <is>
          <t>Headline capacity uses no utilization, MoE, architecture or software-growth multiplier; it is not observed commercial output volume.</t>
        </is>
      </c>
      <c r="J2760" s="3" t="inlineStr">
        <is>
          <t>SRC_ANTHROPIC_CLAUDE_DOCS; SRC_ANTHROPIC_AMAZON_COMPUTE; SRC_AWS_RAINIER_ACTIVE; SRC_EPOCH_AI_DATA_CENTERS; SRC_SEMIANALYSIS_INFERENCEX</t>
        </is>
      </c>
      <c r="K2760" s="3" t="inlineStr">
        <is>
          <t>ASSUMP_POWER_RAMP; ASSUMP_CLOSED_MODEL_BAND; ASSUMP_NUMERIC_ACCELERATOR_MIX; ASSUMP_INFERENCE_SHARE_NOT_FACT_60; ASSUMP_WORKLOAD_CLASS_MIX; ASSUMP_AGENTIC_CONTEXT_PENALTY</t>
        </is>
      </c>
      <c r="L2760" s="3" t="inlineStr">
        <is>
          <t>Provider-disclosed generated output token volume or calibrated capacity telemetry.</t>
        </is>
      </c>
    </row>
    <row r="2761">
      <c r="A2761" s="3" t="inlineStr">
        <is>
          <t>Anthropic</t>
        </is>
      </c>
      <c r="B2761" s="3" t="n">
        <v>2030</v>
      </c>
      <c r="C2761" s="3" t="inlineStr">
        <is>
          <t>Bull</t>
        </is>
      </c>
      <c r="D2761" s="3" t="inlineStr">
        <is>
          <t>inference_tokens_per_year</t>
        </is>
      </c>
      <c r="E2761" s="3" t="n">
        <v>1.610694672048e+16</v>
      </c>
      <c r="F2761" s="3" t="inlineStr">
        <is>
          <t>generated output tokens/year</t>
        </is>
      </c>
      <c r="G2761" s="3" t="inlineStr">
        <is>
          <t>Derived headline metric</t>
        </is>
      </c>
      <c r="H2761" s="3" t="inlineStr">
        <is>
          <t>inference_tokens_per_day * 365</t>
        </is>
      </c>
      <c r="I2761" s="3" t="inlineStr">
        <is>
          <t>Annualized version of generated output token capacity; it is not observed annual demand or billable volume.</t>
        </is>
      </c>
      <c r="J2761" s="3" t="inlineStr">
        <is>
          <t>SRC_ANTHROPIC_CLAUDE_DOCS; SRC_ANTHROPIC_AMAZON_COMPUTE; SRC_AWS_RAINIER_ACTIVE; SRC_EPOCH_AI_DATA_CENTERS; SRC_SEMIANALYSIS_INFERENCEX</t>
        </is>
      </c>
      <c r="K2761" s="3" t="inlineStr">
        <is>
          <t>ASSUMP_POWER_RAMP; ASSUMP_CLOSED_MODEL_BAND; ASSUMP_NUMERIC_ACCELERATOR_MIX; ASSUMP_INFERENCE_SHARE_NOT_FACT_60; ASSUMP_WORKLOAD_CLASS_MIX; ASSUMP_AGENTIC_CONTEXT_PENALTY</t>
        </is>
      </c>
      <c r="L2761" s="3" t="inlineStr">
        <is>
          <t>Provider-disclosed annual generated-output volume or metered serving telemetry.</t>
        </is>
      </c>
    </row>
    <row r="2762">
      <c r="A2762" s="3" t="inlineStr">
        <is>
          <t>DeepSeek</t>
        </is>
      </c>
      <c r="B2762" s="3" t="n">
        <v>2026</v>
      </c>
      <c r="C2762" s="3" t="inlineStr">
        <is>
          <t>Bull</t>
        </is>
      </c>
      <c r="D2762" s="3" t="inlineStr">
        <is>
          <t>contracted_power_gw</t>
        </is>
      </c>
      <c r="E2762" s="3" t="n">
        <v>0.5</v>
      </c>
      <c r="F2762" s="3" t="inlineStr">
        <is>
          <t>GW</t>
        </is>
      </c>
      <c r="G2762" s="3" t="inlineStr">
        <is>
          <t>Scenario capacity envelope</t>
        </is>
      </c>
      <c r="H2762" s="3" t="inlineStr">
        <is>
          <t>linear interpolation between 2026 and 2030 company capacity endpoints</t>
        </is>
      </c>
      <c r="I2762" s="3" t="inlineStr">
        <is>
          <t>Capacity is a low-transparency scenario; official infrastructure evidence supports H800 inference hardware, not company GW.</t>
        </is>
      </c>
      <c r="J2762" s="3" t="inlineStr">
        <is>
          <t>SRC_DEEPSEEK_H800_INFERENCE; ASSUMP_CN_CAPACITY_TRANSPARENCY</t>
        </is>
      </c>
      <c r="K2762" s="3" t="inlineStr">
        <is>
          <t>ASSUMP_MOE_EFFICIENCY; ASSUMP_CN_CAPACITY_TRANSPARENCY; ASSUMP_NUMERIC_ACCELERATOR_MIX; ASSUMP_INFERENCE_SHARE_NOT_FACT_60; ASSUMP_WORKLOAD_CLASS_MIX; ASSUMP_AGENTIC_CONTEXT_PENALTY</t>
        </is>
      </c>
      <c r="L2762" s="3" t="inlineStr">
        <is>
          <t>Company/site-level committed MW/GW, interconnect and contract disclosure.</t>
        </is>
      </c>
    </row>
    <row r="2763">
      <c r="A2763" s="3" t="inlineStr">
        <is>
          <t>DeepSeek</t>
        </is>
      </c>
      <c r="B2763" s="3" t="n">
        <v>2026</v>
      </c>
      <c r="C2763" s="3" t="inlineStr">
        <is>
          <t>Bull</t>
        </is>
      </c>
      <c r="D2763" s="3" t="inlineStr">
        <is>
          <t>operational_deployment_share</t>
        </is>
      </c>
      <c r="E2763" s="3" t="n">
        <v>0.316</v>
      </c>
      <c r="F2763" s="3" t="inlineStr">
        <is>
          <t>share</t>
        </is>
      </c>
      <c r="G2763" s="3" t="inlineStr">
        <is>
          <t>Scenario conversion</t>
        </is>
      </c>
      <c r="H2763" s="3" t="inlineStr">
        <is>
          <t>active_power_gw / contracted_power_gw</t>
        </is>
      </c>
      <c r="I2763" s="3" t="inlineStr">
        <is>
          <t>This is the single explicit conversion from contracted/attributed capacity to operationally usable capacity.</t>
        </is>
      </c>
      <c r="J2763" s="3" t="inlineStr">
        <is>
          <t>SRC_DEEPSEEK_H800_INFERENCE; ASSUMP_CN_CAPACITY_TRANSPARENCY</t>
        </is>
      </c>
      <c r="K2763" s="3" t="inlineStr">
        <is>
          <t>ASSUMP_MOE_EFFICIENCY; ASSUMP_CN_CAPACITY_TRANSPARENCY; ASSUMP_NUMERIC_ACCELERATOR_MIX; ASSUMP_INFERENCE_SHARE_NOT_FACT_60; ASSUMP_WORKLOAD_CLASS_MIX; ASSUMP_AGENTIC_CONTEXT_PENALTY</t>
        </is>
      </c>
      <c r="L2763" s="3" t="inlineStr">
        <is>
          <t>Energized operational capacity divided by contracted/attributed capacity.</t>
        </is>
      </c>
    </row>
    <row r="2764">
      <c r="A2764" s="3" t="inlineStr">
        <is>
          <t>DeepSeek</t>
        </is>
      </c>
      <c r="B2764" s="3" t="n">
        <v>2026</v>
      </c>
      <c r="C2764" s="3" t="inlineStr">
        <is>
          <t>Bull</t>
        </is>
      </c>
      <c r="D2764" s="3" t="inlineStr">
        <is>
          <t>active_power_gw</t>
        </is>
      </c>
      <c r="E2764" s="3" t="n">
        <v>0.158</v>
      </c>
      <c r="F2764" s="3" t="inlineStr">
        <is>
          <t>GW</t>
        </is>
      </c>
      <c r="G2764" s="3" t="inlineStr">
        <is>
          <t>Derived scenario</t>
        </is>
      </c>
      <c r="H2764" s="3" t="inlineStr">
        <is>
          <t>contracted_power_gw * operational_deployment_share</t>
        </is>
      </c>
      <c r="I2764" s="3" t="inlineStr">
        <is>
          <t>Active GW is conservative because operated cluster scale beyond disclosed infrastructure is not public.</t>
        </is>
      </c>
      <c r="J2764" s="3" t="inlineStr">
        <is>
          <t>SRC_DEEPSEEK_H800_INFERENCE; ASSUMP_CN_CAPACITY_TRANSPARENCY</t>
        </is>
      </c>
      <c r="K2764" s="3" t="inlineStr">
        <is>
          <t>ASSUMP_MOE_EFFICIENCY; ASSUMP_CN_CAPACITY_TRANSPARENCY; ASSUMP_NUMERIC_ACCELERATOR_MIX; ASSUMP_INFERENCE_SHARE_NOT_FACT_60; ASSUMP_WORKLOAD_CLASS_MIX; ASSUMP_AGENTIC_CONTEXT_PENALTY</t>
        </is>
      </c>
      <c r="L2764" s="3" t="inlineStr">
        <is>
          <t>Energization dates, accelerator deliveries and operational powered-rack telemetry.</t>
        </is>
      </c>
    </row>
    <row r="2765">
      <c r="A2765" s="3" t="inlineStr">
        <is>
          <t>DeepSeek</t>
        </is>
      </c>
      <c r="B2765" s="3" t="n">
        <v>2026</v>
      </c>
      <c r="C2765" s="3" t="inlineStr">
        <is>
          <t>Bull</t>
        </is>
      </c>
      <c r="D2765" s="3" t="inlineStr">
        <is>
          <t>pue</t>
        </is>
      </c>
      <c r="E2765" s="3" t="n">
        <v>1.24</v>
      </c>
      <c r="F2765" s="3" t="inlineStr">
        <is>
          <t>ratio</t>
        </is>
      </c>
      <c r="G2765" s="3" t="inlineStr">
        <is>
          <t>Scenario parameter</t>
        </is>
      </c>
      <c r="H2765" s="3" t="inlineStr">
        <is>
          <t>it_load_gw = active_power_gw / pue</t>
        </is>
      </c>
      <c r="I2765" s="3" t="inlineStr">
        <is>
          <t>No provider-wide site-level PUE is used as a disclosed fact; PUE represents facility-to-IT conversion within the scenario.</t>
        </is>
      </c>
      <c r="J2765" s="3" t="inlineStr">
        <is>
          <t>ASSUMP_POWER_RAMP</t>
        </is>
      </c>
      <c r="K2765" s="3" t="inlineStr">
        <is>
          <t>ASSUMP_MOE_EFFICIENCY; ASSUMP_CN_CAPACITY_TRANSPARENCY; ASSUMP_NUMERIC_ACCELERATOR_MIX; ASSUMP_INFERENCE_SHARE_NOT_FACT_60; ASSUMP_WORKLOAD_CLASS_MIX; ASSUMP_AGENTIC_CONTEXT_PENALTY</t>
        </is>
      </c>
      <c r="L2765" s="3" t="inlineStr">
        <is>
          <t>Site-level measured PUE matched to attributed AI capacity.</t>
        </is>
      </c>
    </row>
    <row r="2766">
      <c r="A2766" s="3" t="inlineStr">
        <is>
          <t>DeepSeek</t>
        </is>
      </c>
      <c r="B2766" s="3" t="n">
        <v>2026</v>
      </c>
      <c r="C2766" s="3" t="inlineStr">
        <is>
          <t>Bull</t>
        </is>
      </c>
      <c r="D2766" s="3" t="inlineStr">
        <is>
          <t>it_load_gw</t>
        </is>
      </c>
      <c r="E2766" s="3" t="n">
        <v>0.127</v>
      </c>
      <c r="F2766" s="3" t="inlineStr">
        <is>
          <t>GW</t>
        </is>
      </c>
      <c r="G2766" s="3" t="inlineStr">
        <is>
          <t>Derived formula</t>
        </is>
      </c>
      <c r="H2766" s="3" t="inlineStr">
        <is>
          <t>active_power_gw / pue</t>
        </is>
      </c>
      <c r="I2766" s="3" t="inlineStr">
        <is>
          <t>Facility power is converted to IT-deliverable power before attributing AI workloads.</t>
        </is>
      </c>
      <c r="J2766" s="3" t="inlineStr">
        <is>
          <t>SRC_DEEPSEEK_H800_INFERENCE; ASSUMP_CN_CAPACITY_TRANSPARENCY</t>
        </is>
      </c>
      <c r="K2766" s="3" t="inlineStr">
        <is>
          <t>ASSUMP_MOE_EFFICIENCY; ASSUMP_CN_CAPACITY_TRANSPARENCY; ASSUMP_NUMERIC_ACCELERATOR_MIX; ASSUMP_INFERENCE_SHARE_NOT_FACT_60; ASSUMP_WORKLOAD_CLASS_MIX; ASSUMP_AGENTIC_CONTEXT_PENALTY</t>
        </is>
      </c>
      <c r="L2766" s="3" t="inlineStr">
        <is>
          <t>Recompute once active power and PUE become site-observable.</t>
        </is>
      </c>
    </row>
    <row r="2767">
      <c r="A2767" s="3" t="inlineStr">
        <is>
          <t>DeepSeek</t>
        </is>
      </c>
      <c r="B2767" s="3" t="n">
        <v>2026</v>
      </c>
      <c r="C2767" s="3" t="inlineStr">
        <is>
          <t>Bull</t>
        </is>
      </c>
      <c r="D2767" s="3" t="inlineStr">
        <is>
          <t>ai_workload_share</t>
        </is>
      </c>
      <c r="E2767" s="3" t="n">
        <v>0.82</v>
      </c>
      <c r="F2767" s="3" t="inlineStr">
        <is>
          <t>share</t>
        </is>
      </c>
      <c r="G2767" s="3" t="inlineStr">
        <is>
          <t>Scenario allocation</t>
        </is>
      </c>
      <c r="H2767" s="3" t="inlineStr">
        <is>
          <t>ai_it_load_gw = it_load_gw * ai_workload_share</t>
        </is>
      </c>
      <c r="I2767" s="3" t="inlineStr">
        <is>
          <t>DeepSeek-operated service capacity is modeled as AI-focused, reduced for reserve and ancillary processing.</t>
        </is>
      </c>
      <c r="J2767" s="3" t="inlineStr">
        <is>
          <t>SRC_DEEPSEEK_V3; SRC_DEEPSEEK_R1; SRC_DEEPSEEK_H800_INFERENCE; SRC_EPOCH_AI_DATA_CENTERS</t>
        </is>
      </c>
      <c r="K2767" s="3" t="inlineStr">
        <is>
          <t>ASSUMP_MOE_EFFICIENCY; ASSUMP_CN_CAPACITY_TRANSPARENCY; ASSUMP_NUMERIC_ACCELERATOR_MIX; ASSUMP_INFERENCE_SHARE_NOT_FACT_60; ASSUMP_WORKLOAD_CLASS_MIX; ASSUMP_AGENTIC_CONTEXT_PENALTY</t>
        </is>
      </c>
      <c r="L2767" s="3" t="inlineStr">
        <is>
          <t>Model-owner AI workload allocation or cluster scheduling telemetry.</t>
        </is>
      </c>
    </row>
    <row r="2768">
      <c r="A2768" s="3" t="inlineStr">
        <is>
          <t>DeepSeek</t>
        </is>
      </c>
      <c r="B2768" s="3" t="n">
        <v>2026</v>
      </c>
      <c r="C2768" s="3" t="inlineStr">
        <is>
          <t>Bull</t>
        </is>
      </c>
      <c r="D2768" s="3" t="inlineStr">
        <is>
          <t>ai_it_load_gw</t>
        </is>
      </c>
      <c r="E2768" s="3" t="n">
        <v>0.104</v>
      </c>
      <c r="F2768" s="3" t="inlineStr">
        <is>
          <t>GW</t>
        </is>
      </c>
      <c r="G2768" s="3" t="inlineStr">
        <is>
          <t>Derived formula</t>
        </is>
      </c>
      <c r="H2768" s="3" t="inlineStr">
        <is>
          <t>it_load_gw * ai_workload_share</t>
        </is>
      </c>
      <c r="I2768" s="3" t="inlineStr">
        <is>
          <t>Only the AI-attributed portion of IT load enters training/inference allocation.</t>
        </is>
      </c>
      <c r="J2768" s="3" t="inlineStr">
        <is>
          <t>SRC_DEEPSEEK_V3; SRC_DEEPSEEK_R1; SRC_DEEPSEEK_H800_INFERENCE; SRC_EPOCH_AI_DATA_CENTERS</t>
        </is>
      </c>
      <c r="K2768" s="3" t="inlineStr">
        <is>
          <t>ASSUMP_MOE_EFFICIENCY; ASSUMP_CN_CAPACITY_TRANSPARENCY; ASSUMP_NUMERIC_ACCELERATOR_MIX; ASSUMP_INFERENCE_SHARE_NOT_FACT_60; ASSUMP_WORKLOAD_CLASS_MIX; ASSUMP_AGENTIC_CONTEXT_PENALTY</t>
        </is>
      </c>
      <c r="L2768" s="3" t="inlineStr">
        <is>
          <t>Recompute after ai_workload_share is replaced by telemetry.</t>
        </is>
      </c>
    </row>
    <row r="2769">
      <c r="A2769" s="3" t="inlineStr">
        <is>
          <t>DeepSeek</t>
        </is>
      </c>
      <c r="B2769" s="3" t="n">
        <v>2026</v>
      </c>
      <c r="C2769" s="3" t="inlineStr">
        <is>
          <t>Bull</t>
        </is>
      </c>
      <c r="D2769" s="3" t="inlineStr">
        <is>
          <t>gpu_share</t>
        </is>
      </c>
      <c r="E2769" s="3" t="n">
        <v>1</v>
      </c>
      <c r="F2769" s="3" t="inlineStr">
        <is>
          <t>share of inference-serving accelerator load</t>
        </is>
      </c>
      <c r="G2769" s="3" t="inlineStr">
        <is>
          <t>Numeric scenario</t>
        </is>
      </c>
      <c r="H2769" s="3" t="inlineStr">
        <is>
          <t>gpu_share interpolated from company 2026/2030 accelerator-mix endpoints</t>
        </is>
      </c>
      <c r="I2769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769" s="3" t="inlineStr">
        <is>
          <t>SRC_DEEPSEEK_V3; SRC_DEEPSEEK_R1; SRC_DEEPSEEK_H800_INFERENCE; SRC_EPOCH_AI_DATA_CENTERS; ASSUMP_NUMERIC_ACCELERATOR_MIX</t>
        </is>
      </c>
      <c r="K2769" s="3" t="inlineStr">
        <is>
          <t>ASSUMP_MOE_EFFICIENCY; ASSUMP_CN_CAPACITY_TRANSPARENCY; ASSUMP_NUMERIC_ACCELERATOR_MIX; ASSUMP_INFERENCE_SHARE_NOT_FACT_60; ASSUMP_WORKLOAD_CLASS_MIX; ASSUMP_AGENTIC_CONTEXT_PENALTY</t>
        </is>
      </c>
      <c r="L2769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770">
      <c r="A2770" s="3" t="inlineStr">
        <is>
          <t>DeepSeek</t>
        </is>
      </c>
      <c r="B2770" s="3" t="n">
        <v>2026</v>
      </c>
      <c r="C2770" s="3" t="inlineStr">
        <is>
          <t>Bull</t>
        </is>
      </c>
      <c r="D2770" s="3" t="inlineStr">
        <is>
          <t>h200_share</t>
        </is>
      </c>
      <c r="E2770" s="3" t="n">
        <v>0.55</v>
      </c>
      <c r="F2770" s="3" t="inlineStr">
        <is>
          <t>share of inference-serving accelerator load</t>
        </is>
      </c>
      <c r="G2770" s="3" t="inlineStr">
        <is>
          <t>Editable numeric scenario</t>
        </is>
      </c>
      <c r="H2770" s="3" t="inlineStr">
        <is>
          <t>h200_share = gpu_share * default_gpu_generation_mix_h200</t>
        </is>
      </c>
      <c r="I2770" s="3" t="inlineStr">
        <is>
          <t>Default GPU-generation migration assumption; executive workbook allows later manual replacement by company/year/scenario.</t>
        </is>
      </c>
      <c r="J2770" s="3" t="inlineStr">
        <is>
          <t>SRC_SEMIANALYSIS_INFERENCEX; ASSUMP_NUMERIC_ACCELERATOR_MIX</t>
        </is>
      </c>
      <c r="K2770" s="3" t="inlineStr">
        <is>
          <t>ASSUMP_MOE_EFFICIENCY; ASSUMP_CN_CAPACITY_TRANSPARENCY; ASSUMP_NUMERIC_ACCELERATOR_MIX; ASSUMP_INFERENCE_SHARE_NOT_FACT_60; ASSUMP_WORKLOAD_CLASS_MIX; ASSUMP_AGENTIC_CONTEXT_PENALTY</t>
        </is>
      </c>
      <c r="L2770" s="3" t="inlineStr">
        <is>
          <t>Company fleet inventory, accelerator-hours or procurement/deployment records by GPU generation.</t>
        </is>
      </c>
    </row>
    <row r="2771">
      <c r="A2771" s="3" t="inlineStr">
        <is>
          <t>DeepSeek</t>
        </is>
      </c>
      <c r="B2771" s="3" t="n">
        <v>2026</v>
      </c>
      <c r="C2771" s="3" t="inlineStr">
        <is>
          <t>Bull</t>
        </is>
      </c>
      <c r="D2771" s="3" t="inlineStr">
        <is>
          <t>b200_share</t>
        </is>
      </c>
      <c r="E2771" s="3" t="n">
        <v>0.4</v>
      </c>
      <c r="F2771" s="3" t="inlineStr">
        <is>
          <t>share of inference-serving accelerator load</t>
        </is>
      </c>
      <c r="G2771" s="3" t="inlineStr">
        <is>
          <t>Editable numeric scenario</t>
        </is>
      </c>
      <c r="H2771" s="3" t="inlineStr">
        <is>
          <t>b200_share = gpu_share * default_gpu_generation_mix_b200</t>
        </is>
      </c>
      <c r="I2771" s="3" t="inlineStr">
        <is>
          <t>Default GPU-generation migration assumption; executive workbook allows later manual replacement by company/year/scenario.</t>
        </is>
      </c>
      <c r="J2771" s="3" t="inlineStr">
        <is>
          <t>SRC_SEMIANALYSIS_INFERENCEX; ASSUMP_NUMERIC_ACCELERATOR_MIX</t>
        </is>
      </c>
      <c r="K2771" s="3" t="inlineStr">
        <is>
          <t>ASSUMP_MOE_EFFICIENCY; ASSUMP_CN_CAPACITY_TRANSPARENCY; ASSUMP_NUMERIC_ACCELERATOR_MIX; ASSUMP_INFERENCE_SHARE_NOT_FACT_60; ASSUMP_WORKLOAD_CLASS_MIX; ASSUMP_AGENTIC_CONTEXT_PENALTY</t>
        </is>
      </c>
      <c r="L2771" s="3" t="inlineStr">
        <is>
          <t>Company fleet inventory, accelerator-hours or procurement/deployment records by GPU generation.</t>
        </is>
      </c>
    </row>
    <row r="2772">
      <c r="A2772" s="3" t="inlineStr">
        <is>
          <t>DeepSeek</t>
        </is>
      </c>
      <c r="B2772" s="3" t="n">
        <v>2026</v>
      </c>
      <c r="C2772" s="3" t="inlineStr">
        <is>
          <t>Bull</t>
        </is>
      </c>
      <c r="D2772" s="3" t="inlineStr">
        <is>
          <t>gb200_share</t>
        </is>
      </c>
      <c r="E2772" s="3" t="n">
        <v>0.05</v>
      </c>
      <c r="F2772" s="3" t="inlineStr">
        <is>
          <t>share of inference-serving accelerator load</t>
        </is>
      </c>
      <c r="G2772" s="3" t="inlineStr">
        <is>
          <t>Editable numeric scenario</t>
        </is>
      </c>
      <c r="H2772" s="3" t="inlineStr">
        <is>
          <t>gb200_share = gpu_share * default_gpu_generation_mix_gb200</t>
        </is>
      </c>
      <c r="I2772" s="3" t="inlineStr">
        <is>
          <t>Default GPU-generation migration assumption; executive workbook allows later manual replacement by company/year/scenario.</t>
        </is>
      </c>
      <c r="J2772" s="3" t="inlineStr">
        <is>
          <t>SRC_SEMIANALYSIS_INFERENCEX; ASSUMP_NUMERIC_ACCELERATOR_MIX</t>
        </is>
      </c>
      <c r="K2772" s="3" t="inlineStr">
        <is>
          <t>ASSUMP_MOE_EFFICIENCY; ASSUMP_CN_CAPACITY_TRANSPARENCY; ASSUMP_NUMERIC_ACCELERATOR_MIX; ASSUMP_INFERENCE_SHARE_NOT_FACT_60; ASSUMP_WORKLOAD_CLASS_MIX; ASSUMP_AGENTIC_CONTEXT_PENALTY</t>
        </is>
      </c>
      <c r="L2772" s="3" t="inlineStr">
        <is>
          <t>Company fleet inventory, accelerator-hours or procurement/deployment records by GPU generation.</t>
        </is>
      </c>
    </row>
    <row r="2773">
      <c r="A2773" s="3" t="inlineStr">
        <is>
          <t>DeepSeek</t>
        </is>
      </c>
      <c r="B2773" s="3" t="n">
        <v>2026</v>
      </c>
      <c r="C2773" s="3" t="inlineStr">
        <is>
          <t>Bull</t>
        </is>
      </c>
      <c r="D2773" s="3" t="inlineStr">
        <is>
          <t>purpose_built_accelerator_share</t>
        </is>
      </c>
      <c r="E2773" s="3" t="n">
        <v>0</v>
      </c>
      <c r="F2773" s="3" t="inlineStr">
        <is>
          <t>share of inference-serving accelerator load</t>
        </is>
      </c>
      <c r="G2773" s="3" t="inlineStr">
        <is>
          <t>Numeric scenario</t>
        </is>
      </c>
      <c r="H2773" s="3" t="inlineStr">
        <is>
          <t>1 - gpu_share</t>
        </is>
      </c>
      <c r="I2773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773" s="3" t="inlineStr">
        <is>
          <t>SRC_DEEPSEEK_V3; SRC_DEEPSEEK_R1; SRC_DEEPSEEK_H800_INFERENCE; SRC_EPOCH_AI_DATA_CENTERS; ASSUMP_NUMERIC_ACCELERATOR_MIX</t>
        </is>
      </c>
      <c r="K2773" s="3" t="inlineStr">
        <is>
          <t>ASSUMP_MOE_EFFICIENCY; ASSUMP_CN_CAPACITY_TRANSPARENCY; ASSUMP_NUMERIC_ACCELERATOR_MIX; ASSUMP_INFERENCE_SHARE_NOT_FACT_60; ASSUMP_WORKLOAD_CLASS_MIX; ASSUMP_AGENTIC_CONTEXT_PENALTY</t>
        </is>
      </c>
      <c r="L2773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774">
      <c r="A2774" s="3" t="inlineStr">
        <is>
          <t>DeepSeek</t>
        </is>
      </c>
      <c r="B2774" s="3" t="n">
        <v>2026</v>
      </c>
      <c r="C2774" s="3" t="inlineStr">
        <is>
          <t>Bull</t>
        </is>
      </c>
      <c r="D2774" s="3" t="inlineStr">
        <is>
          <t>fleet_reference_tps_per_mw</t>
        </is>
      </c>
      <c r="E2774" s="3" t="n">
        <v>140577</v>
      </c>
      <c r="F2774" s="3" t="inlineStr">
        <is>
          <t>generated output tokens/sec/MW</t>
        </is>
      </c>
      <c r="G2774" s="3" t="inlineStr">
        <is>
          <t>Fleet-weighted public benchmark reference</t>
        </is>
      </c>
      <c r="H2774" s="3" t="inlineStr">
        <is>
          <t>h200_share*h200_workload_avg + b200_share*b200_workload_avg + gb200_share*gb200_workload_avg + purpose_built_share*purpose_workload_avg</t>
        </is>
      </c>
      <c r="I2774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74" s="3" t="inlineStr">
        <is>
          <t>SRC_SEMIANALYSIS_INFERENCEX; ASSUMP_NUMERIC_ACCELERATOR_MIX; ASSUMP_WORKLOAD_CLASS_MIX; ASSUMP_AGENTIC_CONTEXT_PENALTY</t>
        </is>
      </c>
      <c r="K2774" s="3" t="inlineStr">
        <is>
          <t>ASSUMP_MOE_EFFICIENCY; ASSUMP_CN_CAPACITY_TRANSPARENCY; ASSUMP_NUMERIC_ACCELERATOR_MIX; ASSUMP_INFERENCE_SHARE_NOT_FACT_60; ASSUMP_WORKLOAD_CLASS_MIX; ASSUMP_AGENTIC_CONTEXT_PENALTY</t>
        </is>
      </c>
      <c r="L2774" s="3" t="inlineStr">
        <is>
          <t>Comparable production output-token throughput or a more closely matched benchmark.</t>
        </is>
      </c>
    </row>
    <row r="2775">
      <c r="A2775" s="3" t="inlineStr">
        <is>
          <t>DeepSeek</t>
        </is>
      </c>
      <c r="B2775" s="3" t="n">
        <v>2026</v>
      </c>
      <c r="C2775" s="3" t="inlineStr">
        <is>
          <t>Bull</t>
        </is>
      </c>
      <c r="D2775" s="3" t="inlineStr">
        <is>
          <t>commercial_workload_fit_factor</t>
        </is>
      </c>
      <c r="E2775" s="3" t="n">
        <v>1</v>
      </c>
      <c r="F2775" s="3" t="inlineStr">
        <is>
          <t>share of public reference throughput</t>
        </is>
      </c>
      <c r="G2775" s="3" t="inlineStr">
        <is>
          <t>Scenario assumption</t>
        </is>
      </c>
      <c r="H2775" s="3" t="inlineStr">
        <is>
          <t>reference_serving_tps_per_mw = fleet_reference_tps_per_mw * commercial_workload_fit_factor</t>
        </is>
      </c>
      <c r="I2775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75" s="3" t="inlineStr">
        <is>
          <t>SRC_SEMIANALYSIS_INFERENCEX; ASSUMP_NUMERIC_ACCELERATOR_MIX; ASSUMP_WORKLOAD_CLASS_MIX; ASSUMP_AGENTIC_CONTEXT_PENALTY</t>
        </is>
      </c>
      <c r="K2775" s="3" t="inlineStr">
        <is>
          <t>ASSUMP_MOE_EFFICIENCY; ASSUMP_CN_CAPACITY_TRANSPARENCY; ASSUMP_NUMERIC_ACCELERATOR_MIX; ASSUMP_INFERENCE_SHARE_NOT_FACT_60; ASSUMP_WORKLOAD_CLASS_MIX; ASSUMP_AGENTIC_CONTEXT_PENALTY</t>
        </is>
      </c>
      <c r="L2775" s="3" t="inlineStr">
        <is>
          <t>Matched commercial serving benchmark by product surface, context shape and latency SLO.</t>
        </is>
      </c>
    </row>
    <row r="2776">
      <c r="A2776" s="3" t="inlineStr">
        <is>
          <t>DeepSeek</t>
        </is>
      </c>
      <c r="B2776" s="3" t="n">
        <v>2026</v>
      </c>
      <c r="C2776" s="3" t="inlineStr">
        <is>
          <t>Bull</t>
        </is>
      </c>
      <c r="D2776" s="3" t="inlineStr">
        <is>
          <t>reference_serving_tps_per_mw</t>
        </is>
      </c>
      <c r="E2776" s="3" t="n">
        <v>140577</v>
      </c>
      <c r="F2776" s="3" t="inlineStr">
        <is>
          <t>generated output tokens/sec/MW</t>
        </is>
      </c>
      <c r="G2776" s="3" t="inlineStr">
        <is>
          <t>Workload-adjusted benchmark proxy</t>
        </is>
      </c>
      <c r="H2776" s="3" t="inlineStr">
        <is>
          <t>fleet_reference_tps_per_mw * commercial_workload_fit_factor</t>
        </is>
      </c>
      <c r="I2776" s="3" t="inlineStr">
        <is>
          <t>This is the coefficient used for headline token generation; each GPU's short chat, long chat and agentic TPS/MW are weighted before fleet mix and commercial fit are applied.</t>
        </is>
      </c>
      <c r="J2776" s="3" t="inlineStr">
        <is>
          <t>SRC_SEMIANALYSIS_INFERENCEX; ASSUMP_NUMERIC_ACCELERATOR_MIX; ASSUMP_WORKLOAD_CLASS_MIX; ASSUMP_AGENTIC_CONTEXT_PENALTY</t>
        </is>
      </c>
      <c r="K2776" s="3" t="inlineStr">
        <is>
          <t>ASSUMP_MOE_EFFICIENCY; ASSUMP_CN_CAPACITY_TRANSPARENCY; ASSUMP_NUMERIC_ACCELERATOR_MIX; ASSUMP_INFERENCE_SHARE_NOT_FACT_60; ASSUMP_WORKLOAD_CLASS_MIX; ASSUMP_AGENTIC_CONTEXT_PENALTY</t>
        </is>
      </c>
      <c r="L2776" s="3" t="inlineStr">
        <is>
          <t>Provider production output-token throughput with comparable workload/SLO.</t>
        </is>
      </c>
    </row>
    <row r="2777">
      <c r="A2777" s="3" t="inlineStr">
        <is>
          <t>DeepSeek</t>
        </is>
      </c>
      <c r="B2777" s="3" t="n">
        <v>2026</v>
      </c>
      <c r="C2777" s="3" t="inlineStr">
        <is>
          <t>Bull</t>
        </is>
      </c>
      <c r="D2777" s="3" t="inlineStr">
        <is>
          <t>purpose_built_tps_per_mw</t>
        </is>
      </c>
      <c r="E2777" s="3" t="n">
        <v>393572</v>
      </c>
      <c r="F2777" s="3" t="inlineStr">
        <is>
          <t>generated output tokens/sec/MW</t>
        </is>
      </c>
      <c r="G2777" s="3" t="inlineStr">
        <is>
          <t>Conservative no-uplift proxy</t>
        </is>
      </c>
      <c r="H2777" s="3" t="inlineStr">
        <is>
          <t>purpose_built_tps_per_mw = purpose_built_reference_tps_per_mw * commercial_workload_fit_factor until comparable output-token benchmark is adopted</t>
        </is>
      </c>
      <c r="I2777" s="3" t="inlineStr">
        <is>
          <t>No comparable public output-token/MW row adopted; B200 public reference placeholder is used and remains editable.</t>
        </is>
      </c>
      <c r="J2777" s="3" t="inlineStr">
        <is>
          <t>SRC_DEEPSEEK_V3; SRC_DEEPSEEK_R1; SRC_DEEPSEEK_H800_INFERENCE; SRC_EPOCH_AI_DATA_CENTERS; ASSUMP_NUMERIC_ACCELERATOR_MIX</t>
        </is>
      </c>
      <c r="K2777" s="3" t="inlineStr">
        <is>
          <t>ASSUMP_MOE_EFFICIENCY; ASSUMP_CN_CAPACITY_TRANSPARENCY; ASSUMP_NUMERIC_ACCELERATOR_MIX; ASSUMP_INFERENCE_SHARE_NOT_FACT_60; ASSUMP_WORKLOAD_CLASS_MIX; ASSUMP_AGENTIC_CONTEXT_PENALTY</t>
        </is>
      </c>
      <c r="L2777" s="3" t="inlineStr">
        <is>
          <t>Matched-workload generated-output benchmark for the provider purpose-built accelerator.</t>
        </is>
      </c>
    </row>
    <row r="2778">
      <c r="A2778" s="3" t="inlineStr">
        <is>
          <t>DeepSeek</t>
        </is>
      </c>
      <c r="B2778" s="3" t="n">
        <v>2026</v>
      </c>
      <c r="C2778" s="3" t="inlineStr">
        <is>
          <t>Bull</t>
        </is>
      </c>
      <c r="D2778" s="3" t="inlineStr">
        <is>
          <t>inference_power_share</t>
        </is>
      </c>
      <c r="E2778" s="3" t="n">
        <v>0.67</v>
      </c>
      <c r="F2778" s="3" t="inlineStr">
        <is>
          <t>share of AI IT load</t>
        </is>
      </c>
      <c r="G2778" s="3" t="inlineStr">
        <is>
          <t>Scenario allocation</t>
        </is>
      </c>
      <c r="H2778" s="3" t="inlineStr">
        <is>
          <t>inference_gw = ai_it_load_gw * inference_power_share</t>
        </is>
      </c>
      <c r="I2778" s="3" t="inlineStr">
        <is>
          <t>API/app availability and inference-system disclosure support higher inference share; the value remains scenario.</t>
        </is>
      </c>
      <c r="J2778" s="3" t="inlineStr">
        <is>
          <t>SRC_DEEPSEEK_V3; SRC_DEEPSEEK_R1; SRC_DEEPSEEK_H800_INFERENCE; SRC_EPOCH_AI_DATA_CENTERS; ASSUMP_INFERENCE_SHARE_NOT_FACT_60</t>
        </is>
      </c>
      <c r="K2778" s="3" t="inlineStr">
        <is>
          <t>ASSUMP_MOE_EFFICIENCY; ASSUMP_CN_CAPACITY_TRANSPARENCY; ASSUMP_NUMERIC_ACCELERATOR_MIX; ASSUMP_INFERENCE_SHARE_NOT_FACT_60; ASSUMP_WORKLOAD_CLASS_MIX; ASSUMP_AGENTIC_CONTEXT_PENALTY</t>
        </is>
      </c>
      <c r="L2778" s="3" t="inlineStr">
        <is>
          <t>Provider-specific inference/training workload power telemetry.</t>
        </is>
      </c>
    </row>
    <row r="2779">
      <c r="A2779" s="3" t="inlineStr">
        <is>
          <t>DeepSeek</t>
        </is>
      </c>
      <c r="B2779" s="3" t="n">
        <v>2026</v>
      </c>
      <c r="C2779" s="3" t="inlineStr">
        <is>
          <t>Bull</t>
        </is>
      </c>
      <c r="D2779" s="3" t="inlineStr">
        <is>
          <t>inference_gw</t>
        </is>
      </c>
      <c r="E2779" s="3" t="n">
        <v>0.07000000000000001</v>
      </c>
      <c r="F2779" s="3" t="inlineStr">
        <is>
          <t>GW</t>
        </is>
      </c>
      <c r="G2779" s="3" t="inlineStr">
        <is>
          <t>Derived formula</t>
        </is>
      </c>
      <c r="H2779" s="3" t="inlineStr">
        <is>
          <t>ai_it_load_gw * inference_power_share</t>
        </is>
      </c>
      <c r="I2779" s="3" t="inlineStr">
        <is>
          <t>This is the operational power eligible to become commercial generated output tokens through the selected TPS/MW proxy.</t>
        </is>
      </c>
      <c r="J2779" s="3" t="inlineStr">
        <is>
          <t>SRC_DEEPSEEK_V3; SRC_DEEPSEEK_R1; SRC_DEEPSEEK_H800_INFERENCE; SRC_EPOCH_AI_DATA_CENTERS</t>
        </is>
      </c>
      <c r="K2779" s="3" t="inlineStr">
        <is>
          <t>ASSUMP_MOE_EFFICIENCY; ASSUMP_CN_CAPACITY_TRANSPARENCY; ASSUMP_NUMERIC_ACCELERATOR_MIX; ASSUMP_INFERENCE_SHARE_NOT_FACT_60; ASSUMP_WORKLOAD_CLASS_MIX; ASSUMP_AGENTIC_CONTEXT_PENALTY</t>
        </is>
      </c>
      <c r="L2779" s="3" t="inlineStr">
        <is>
          <t>Recompute after AI allocation or inference-share evidence changes.</t>
        </is>
      </c>
    </row>
    <row r="2780">
      <c r="A2780" s="3" t="inlineStr">
        <is>
          <t>DeepSeek</t>
        </is>
      </c>
      <c r="B2780" s="3" t="n">
        <v>2026</v>
      </c>
      <c r="C2780" s="3" t="inlineStr">
        <is>
          <t>Bull</t>
        </is>
      </c>
      <c r="D2780" s="3" t="inlineStr">
        <is>
          <t>training_power_share</t>
        </is>
      </c>
      <c r="E2780" s="3" t="n">
        <v>0.33</v>
      </c>
      <c r="F2780" s="3" t="inlineStr">
        <is>
          <t>share of AI IT load</t>
        </is>
      </c>
      <c r="G2780" s="3" t="inlineStr">
        <is>
          <t>Derived allocation</t>
        </is>
      </c>
      <c r="H2780" s="3" t="inlineStr">
        <is>
          <t>1 - inference_power_share</t>
        </is>
      </c>
      <c r="I2780" s="3" t="inlineStr">
        <is>
          <t>Training receives the complementary modeled AI IT allocation; it is not a disclosed company workload split.</t>
        </is>
      </c>
      <c r="J2780" s="3" t="inlineStr">
        <is>
          <t>SRC_DEEPSEEK_V3; SRC_DEEPSEEK_R1; SRC_DEEPSEEK_H800_INFERENCE; SRC_EPOCH_AI_DATA_CENTERS; ASSUMP_INFERENCE_SHARE_NOT_FACT_60</t>
        </is>
      </c>
      <c r="K2780" s="3" t="inlineStr">
        <is>
          <t>ASSUMP_MOE_EFFICIENCY; ASSUMP_CN_CAPACITY_TRANSPARENCY; ASSUMP_NUMERIC_ACCELERATOR_MIX; ASSUMP_INFERENCE_SHARE_NOT_FACT_60; ASSUMP_WORKLOAD_CLASS_MIX; ASSUMP_AGENTIC_CONTEXT_PENALTY</t>
        </is>
      </c>
      <c r="L2780" s="3" t="inlineStr">
        <is>
          <t>Provider-specific inference/training workload power telemetry.</t>
        </is>
      </c>
    </row>
    <row r="2781">
      <c r="A2781" s="3" t="inlineStr">
        <is>
          <t>DeepSeek</t>
        </is>
      </c>
      <c r="B2781" s="3" t="n">
        <v>2026</v>
      </c>
      <c r="C2781" s="3" t="inlineStr">
        <is>
          <t>Bull</t>
        </is>
      </c>
      <c r="D2781" s="3" t="inlineStr">
        <is>
          <t>training_gw</t>
        </is>
      </c>
      <c r="E2781" s="3" t="n">
        <v>0.034</v>
      </c>
      <c r="F2781" s="3" t="inlineStr">
        <is>
          <t>GW</t>
        </is>
      </c>
      <c r="G2781" s="3" t="inlineStr">
        <is>
          <t>Derived formula</t>
        </is>
      </c>
      <c r="H2781" s="3" t="inlineStr">
        <is>
          <t>ai_it_load_gw * training_power_share</t>
        </is>
      </c>
      <c r="I2781" s="3" t="inlineStr">
        <is>
          <t>Training GW is shown separately so commercial inference token capacity is not overstated.</t>
        </is>
      </c>
      <c r="J2781" s="3" t="inlineStr">
        <is>
          <t>SRC_DEEPSEEK_V3; SRC_DEEPSEEK_R1; SRC_DEEPSEEK_H800_INFERENCE; SRC_EPOCH_AI_DATA_CENTERS</t>
        </is>
      </c>
      <c r="K2781" s="3" t="inlineStr">
        <is>
          <t>ASSUMP_MOE_EFFICIENCY; ASSUMP_CN_CAPACITY_TRANSPARENCY; ASSUMP_NUMERIC_ACCELERATOR_MIX; ASSUMP_INFERENCE_SHARE_NOT_FACT_60; ASSUMP_WORKLOAD_CLASS_MIX; ASSUMP_AGENTIC_CONTEXT_PENALTY</t>
        </is>
      </c>
      <c r="L2781" s="3" t="inlineStr">
        <is>
          <t>Recompute after AI allocation or workload-split evidence changes.</t>
        </is>
      </c>
    </row>
    <row r="2782">
      <c r="A2782" s="3" t="inlineStr">
        <is>
          <t>DeepSeek</t>
        </is>
      </c>
      <c r="B2782" s="3" t="n">
        <v>2026</v>
      </c>
      <c r="C2782" s="3" t="inlineStr">
        <is>
          <t>Bull</t>
        </is>
      </c>
      <c r="D2782" s="3" t="inlineStr">
        <is>
          <t>tokens_per_second_per_mw</t>
        </is>
      </c>
      <c r="E2782" s="3" t="n">
        <v>140577</v>
      </c>
      <c r="F2782" s="3" t="inlineStr">
        <is>
          <t>generated output tokens/sec/MW</t>
        </is>
      </c>
      <c r="G2782" s="3" t="inlineStr">
        <is>
          <t>Derived estimate + benchmark calibration</t>
        </is>
      </c>
      <c r="H2782" s="3" t="inlineStr">
        <is>
          <t>fleet_reference_tps_per_mw * commercial_workload_fit_factor</t>
        </is>
      </c>
      <c r="I2782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782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782" s="3" t="inlineStr">
        <is>
          <t>ASSUMP_MOE_EFFICIENCY; ASSUMP_CN_CAPACITY_TRANSPARENCY; ASSUMP_NUMERIC_ACCELERATOR_MIX; ASSUMP_INFERENCE_SHARE_NOT_FACT_60; ASSUMP_WORKLOAD_CLASS_MIX; ASSUMP_AGENTIC_CONTEXT_PENALTY</t>
        </is>
      </c>
      <c r="L2782" s="3" t="inlineStr">
        <is>
          <t>Comparable production output-token throughput with model, hardware, precision, ISL/OSL and SLO matched.</t>
        </is>
      </c>
    </row>
    <row r="2783">
      <c r="A2783" s="3" t="inlineStr">
        <is>
          <t>DeepSeek</t>
        </is>
      </c>
      <c r="B2783" s="3" t="n">
        <v>2026</v>
      </c>
      <c r="C2783" s="3" t="inlineStr">
        <is>
          <t>Bull</t>
        </is>
      </c>
      <c r="D2783" s="3" t="inlineStr">
        <is>
          <t>inference_tokens_per_day</t>
        </is>
      </c>
      <c r="E2783" s="3" t="n">
        <v>850209696000</v>
      </c>
      <c r="F2783" s="3" t="inlineStr">
        <is>
          <t>generated output tokens/day</t>
        </is>
      </c>
      <c r="G2783" s="3" t="inlineStr">
        <is>
          <t>Derived headline metric</t>
        </is>
      </c>
      <c r="H2783" s="3" t="inlineStr">
        <is>
          <t>inference_gw * 1000 * tokens_per_second_per_mw * 86,400</t>
        </is>
      </c>
      <c r="I2783" s="3" t="inlineStr">
        <is>
          <t>Headline capacity uses no utilization, MoE, architecture or software-growth multiplier; it is not observed commercial output volume.</t>
        </is>
      </c>
      <c r="J2783" s="3" t="inlineStr">
        <is>
          <t>SRC_DEEPSEEK_V3; SRC_DEEPSEEK_R1; SRC_DEEPSEEK_H800_INFERENCE; SRC_EPOCH_AI_DATA_CENTERS; SRC_SEMIANALYSIS_INFERENCEX</t>
        </is>
      </c>
      <c r="K2783" s="3" t="inlineStr">
        <is>
          <t>ASSUMP_MOE_EFFICIENCY; ASSUMP_CN_CAPACITY_TRANSPARENCY; ASSUMP_NUMERIC_ACCELERATOR_MIX; ASSUMP_INFERENCE_SHARE_NOT_FACT_60; ASSUMP_WORKLOAD_CLASS_MIX; ASSUMP_AGENTIC_CONTEXT_PENALTY</t>
        </is>
      </c>
      <c r="L2783" s="3" t="inlineStr">
        <is>
          <t>Provider-disclosed generated output token volume or calibrated capacity telemetry.</t>
        </is>
      </c>
    </row>
    <row r="2784">
      <c r="A2784" s="3" t="inlineStr">
        <is>
          <t>DeepSeek</t>
        </is>
      </c>
      <c r="B2784" s="3" t="n">
        <v>2026</v>
      </c>
      <c r="C2784" s="3" t="inlineStr">
        <is>
          <t>Bull</t>
        </is>
      </c>
      <c r="D2784" s="3" t="inlineStr">
        <is>
          <t>inference_tokens_per_year</t>
        </is>
      </c>
      <c r="E2784" s="3" t="n">
        <v>310326539040000</v>
      </c>
      <c r="F2784" s="3" t="inlineStr">
        <is>
          <t>generated output tokens/year</t>
        </is>
      </c>
      <c r="G2784" s="3" t="inlineStr">
        <is>
          <t>Derived headline metric</t>
        </is>
      </c>
      <c r="H2784" s="3" t="inlineStr">
        <is>
          <t>inference_tokens_per_day * 365</t>
        </is>
      </c>
      <c r="I2784" s="3" t="inlineStr">
        <is>
          <t>Annualized version of generated output token capacity; it is not observed annual demand or billable volume.</t>
        </is>
      </c>
      <c r="J2784" s="3" t="inlineStr">
        <is>
          <t>SRC_DEEPSEEK_V3; SRC_DEEPSEEK_R1; SRC_DEEPSEEK_H800_INFERENCE; SRC_EPOCH_AI_DATA_CENTERS; SRC_SEMIANALYSIS_INFERENCEX</t>
        </is>
      </c>
      <c r="K2784" s="3" t="inlineStr">
        <is>
          <t>ASSUMP_MOE_EFFICIENCY; ASSUMP_CN_CAPACITY_TRANSPARENCY; ASSUMP_NUMERIC_ACCELERATOR_MIX; ASSUMP_INFERENCE_SHARE_NOT_FACT_60; ASSUMP_WORKLOAD_CLASS_MIX; ASSUMP_AGENTIC_CONTEXT_PENALTY</t>
        </is>
      </c>
      <c r="L2784" s="3" t="inlineStr">
        <is>
          <t>Provider-disclosed annual generated-output volume or metered serving telemetry.</t>
        </is>
      </c>
    </row>
    <row r="2785">
      <c r="A2785" s="3" t="inlineStr">
        <is>
          <t>DeepSeek</t>
        </is>
      </c>
      <c r="B2785" s="3" t="n">
        <v>2027</v>
      </c>
      <c r="C2785" s="3" t="inlineStr">
        <is>
          <t>Bull</t>
        </is>
      </c>
      <c r="D2785" s="3" t="inlineStr">
        <is>
          <t>contracted_power_gw</t>
        </is>
      </c>
      <c r="E2785" s="3" t="n">
        <v>0.825</v>
      </c>
      <c r="F2785" s="3" t="inlineStr">
        <is>
          <t>GW</t>
        </is>
      </c>
      <c r="G2785" s="3" t="inlineStr">
        <is>
          <t>Scenario capacity envelope</t>
        </is>
      </c>
      <c r="H2785" s="3" t="inlineStr">
        <is>
          <t>linear interpolation between 2026 and 2030 company capacity endpoints</t>
        </is>
      </c>
      <c r="I2785" s="3" t="inlineStr">
        <is>
          <t>Capacity is a low-transparency scenario; official infrastructure evidence supports H800 inference hardware, not company GW.</t>
        </is>
      </c>
      <c r="J2785" s="3" t="inlineStr">
        <is>
          <t>SRC_DEEPSEEK_H800_INFERENCE; ASSUMP_CN_CAPACITY_TRANSPARENCY</t>
        </is>
      </c>
      <c r="K2785" s="3" t="inlineStr">
        <is>
          <t>ASSUMP_MOE_EFFICIENCY; ASSUMP_CN_CAPACITY_TRANSPARENCY; ASSUMP_NUMERIC_ACCELERATOR_MIX; ASSUMP_INFERENCE_SHARE_NOT_FACT_60; ASSUMP_WORKLOAD_CLASS_MIX; ASSUMP_AGENTIC_CONTEXT_PENALTY</t>
        </is>
      </c>
      <c r="L2785" s="3" t="inlineStr">
        <is>
          <t>Company/site-level committed MW/GW, interconnect and contract disclosure.</t>
        </is>
      </c>
    </row>
    <row r="2786">
      <c r="A2786" s="3" t="inlineStr">
        <is>
          <t>DeepSeek</t>
        </is>
      </c>
      <c r="B2786" s="3" t="n">
        <v>2027</v>
      </c>
      <c r="C2786" s="3" t="inlineStr">
        <is>
          <t>Bull</t>
        </is>
      </c>
      <c r="D2786" s="3" t="inlineStr">
        <is>
          <t>operational_deployment_share</t>
        </is>
      </c>
      <c r="E2786" s="3" t="n">
        <v>0.54181818</v>
      </c>
      <c r="F2786" s="3" t="inlineStr">
        <is>
          <t>share</t>
        </is>
      </c>
      <c r="G2786" s="3" t="inlineStr">
        <is>
          <t>Scenario conversion</t>
        </is>
      </c>
      <c r="H2786" s="3" t="inlineStr">
        <is>
          <t>active_power_gw / contracted_power_gw</t>
        </is>
      </c>
      <c r="I2786" s="3" t="inlineStr">
        <is>
          <t>This is the single explicit conversion from contracted/attributed capacity to operationally usable capacity.</t>
        </is>
      </c>
      <c r="J2786" s="3" t="inlineStr">
        <is>
          <t>SRC_DEEPSEEK_H800_INFERENCE; ASSUMP_CN_CAPACITY_TRANSPARENCY</t>
        </is>
      </c>
      <c r="K2786" s="3" t="inlineStr">
        <is>
          <t>ASSUMP_MOE_EFFICIENCY; ASSUMP_CN_CAPACITY_TRANSPARENCY; ASSUMP_NUMERIC_ACCELERATOR_MIX; ASSUMP_INFERENCE_SHARE_NOT_FACT_60; ASSUMP_WORKLOAD_CLASS_MIX; ASSUMP_AGENTIC_CONTEXT_PENALTY</t>
        </is>
      </c>
      <c r="L2786" s="3" t="inlineStr">
        <is>
          <t>Energized operational capacity divided by contracted/attributed capacity.</t>
        </is>
      </c>
    </row>
    <row r="2787">
      <c r="A2787" s="3" t="inlineStr">
        <is>
          <t>DeepSeek</t>
        </is>
      </c>
      <c r="B2787" s="3" t="n">
        <v>2027</v>
      </c>
      <c r="C2787" s="3" t="inlineStr">
        <is>
          <t>Bull</t>
        </is>
      </c>
      <c r="D2787" s="3" t="inlineStr">
        <is>
          <t>active_power_gw</t>
        </is>
      </c>
      <c r="E2787" s="3" t="n">
        <v>0.447</v>
      </c>
      <c r="F2787" s="3" t="inlineStr">
        <is>
          <t>GW</t>
        </is>
      </c>
      <c r="G2787" s="3" t="inlineStr">
        <is>
          <t>Derived scenario</t>
        </is>
      </c>
      <c r="H2787" s="3" t="inlineStr">
        <is>
          <t>contracted_power_gw * operational_deployment_share</t>
        </is>
      </c>
      <c r="I2787" s="3" t="inlineStr">
        <is>
          <t>Active GW is conservative because operated cluster scale beyond disclosed infrastructure is not public.</t>
        </is>
      </c>
      <c r="J2787" s="3" t="inlineStr">
        <is>
          <t>SRC_DEEPSEEK_H800_INFERENCE; ASSUMP_CN_CAPACITY_TRANSPARENCY</t>
        </is>
      </c>
      <c r="K2787" s="3" t="inlineStr">
        <is>
          <t>ASSUMP_MOE_EFFICIENCY; ASSUMP_CN_CAPACITY_TRANSPARENCY; ASSUMP_NUMERIC_ACCELERATOR_MIX; ASSUMP_INFERENCE_SHARE_NOT_FACT_60; ASSUMP_WORKLOAD_CLASS_MIX; ASSUMP_AGENTIC_CONTEXT_PENALTY</t>
        </is>
      </c>
      <c r="L2787" s="3" t="inlineStr">
        <is>
          <t>Energization dates, accelerator deliveries and operational powered-rack telemetry.</t>
        </is>
      </c>
    </row>
    <row r="2788">
      <c r="A2788" s="3" t="inlineStr">
        <is>
          <t>DeepSeek</t>
        </is>
      </c>
      <c r="B2788" s="3" t="n">
        <v>2027</v>
      </c>
      <c r="C2788" s="3" t="inlineStr">
        <is>
          <t>Bull</t>
        </is>
      </c>
      <c r="D2788" s="3" t="inlineStr">
        <is>
          <t>pue</t>
        </is>
      </c>
      <c r="E2788" s="3" t="n">
        <v>1.24</v>
      </c>
      <c r="F2788" s="3" t="inlineStr">
        <is>
          <t>ratio</t>
        </is>
      </c>
      <c r="G2788" s="3" t="inlineStr">
        <is>
          <t>Scenario parameter</t>
        </is>
      </c>
      <c r="H2788" s="3" t="inlineStr">
        <is>
          <t>it_load_gw = active_power_gw / pue</t>
        </is>
      </c>
      <c r="I2788" s="3" t="inlineStr">
        <is>
          <t>No provider-wide site-level PUE is used as a disclosed fact; PUE represents facility-to-IT conversion within the scenario.</t>
        </is>
      </c>
      <c r="J2788" s="3" t="inlineStr">
        <is>
          <t>ASSUMP_POWER_RAMP</t>
        </is>
      </c>
      <c r="K2788" s="3" t="inlineStr">
        <is>
          <t>ASSUMP_MOE_EFFICIENCY; ASSUMP_CN_CAPACITY_TRANSPARENCY; ASSUMP_NUMERIC_ACCELERATOR_MIX; ASSUMP_INFERENCE_SHARE_NOT_FACT_60; ASSUMP_WORKLOAD_CLASS_MIX; ASSUMP_AGENTIC_CONTEXT_PENALTY</t>
        </is>
      </c>
      <c r="L2788" s="3" t="inlineStr">
        <is>
          <t>Site-level measured PUE matched to attributed AI capacity.</t>
        </is>
      </c>
    </row>
    <row r="2789">
      <c r="A2789" s="3" t="inlineStr">
        <is>
          <t>DeepSeek</t>
        </is>
      </c>
      <c r="B2789" s="3" t="n">
        <v>2027</v>
      </c>
      <c r="C2789" s="3" t="inlineStr">
        <is>
          <t>Bull</t>
        </is>
      </c>
      <c r="D2789" s="3" t="inlineStr">
        <is>
          <t>it_load_gw</t>
        </is>
      </c>
      <c r="E2789" s="3" t="n">
        <v>0.36</v>
      </c>
      <c r="F2789" s="3" t="inlineStr">
        <is>
          <t>GW</t>
        </is>
      </c>
      <c r="G2789" s="3" t="inlineStr">
        <is>
          <t>Derived formula</t>
        </is>
      </c>
      <c r="H2789" s="3" t="inlineStr">
        <is>
          <t>active_power_gw / pue</t>
        </is>
      </c>
      <c r="I2789" s="3" t="inlineStr">
        <is>
          <t>Facility power is converted to IT-deliverable power before attributing AI workloads.</t>
        </is>
      </c>
      <c r="J2789" s="3" t="inlineStr">
        <is>
          <t>SRC_DEEPSEEK_H800_INFERENCE; ASSUMP_CN_CAPACITY_TRANSPARENCY</t>
        </is>
      </c>
      <c r="K2789" s="3" t="inlineStr">
        <is>
          <t>ASSUMP_MOE_EFFICIENCY; ASSUMP_CN_CAPACITY_TRANSPARENCY; ASSUMP_NUMERIC_ACCELERATOR_MIX; ASSUMP_INFERENCE_SHARE_NOT_FACT_60; ASSUMP_WORKLOAD_CLASS_MIX; ASSUMP_AGENTIC_CONTEXT_PENALTY</t>
        </is>
      </c>
      <c r="L2789" s="3" t="inlineStr">
        <is>
          <t>Recompute once active power and PUE become site-observable.</t>
        </is>
      </c>
    </row>
    <row r="2790">
      <c r="A2790" s="3" t="inlineStr">
        <is>
          <t>DeepSeek</t>
        </is>
      </c>
      <c r="B2790" s="3" t="n">
        <v>2027</v>
      </c>
      <c r="C2790" s="3" t="inlineStr">
        <is>
          <t>Bull</t>
        </is>
      </c>
      <c r="D2790" s="3" t="inlineStr">
        <is>
          <t>ai_workload_share</t>
        </is>
      </c>
      <c r="E2790" s="3" t="n">
        <v>0.82</v>
      </c>
      <c r="F2790" s="3" t="inlineStr">
        <is>
          <t>share</t>
        </is>
      </c>
      <c r="G2790" s="3" t="inlineStr">
        <is>
          <t>Scenario allocation</t>
        </is>
      </c>
      <c r="H2790" s="3" t="inlineStr">
        <is>
          <t>ai_it_load_gw = it_load_gw * ai_workload_share</t>
        </is>
      </c>
      <c r="I2790" s="3" t="inlineStr">
        <is>
          <t>DeepSeek-operated service capacity is modeled as AI-focused, reduced for reserve and ancillary processing.</t>
        </is>
      </c>
      <c r="J2790" s="3" t="inlineStr">
        <is>
          <t>SRC_DEEPSEEK_V3; SRC_DEEPSEEK_R1; SRC_DEEPSEEK_H800_INFERENCE; SRC_EPOCH_AI_DATA_CENTERS</t>
        </is>
      </c>
      <c r="K2790" s="3" t="inlineStr">
        <is>
          <t>ASSUMP_MOE_EFFICIENCY; ASSUMP_CN_CAPACITY_TRANSPARENCY; ASSUMP_NUMERIC_ACCELERATOR_MIX; ASSUMP_INFERENCE_SHARE_NOT_FACT_60; ASSUMP_WORKLOAD_CLASS_MIX; ASSUMP_AGENTIC_CONTEXT_PENALTY</t>
        </is>
      </c>
      <c r="L2790" s="3" t="inlineStr">
        <is>
          <t>Model-owner AI workload allocation or cluster scheduling telemetry.</t>
        </is>
      </c>
    </row>
    <row r="2791">
      <c r="A2791" s="3" t="inlineStr">
        <is>
          <t>DeepSeek</t>
        </is>
      </c>
      <c r="B2791" s="3" t="n">
        <v>2027</v>
      </c>
      <c r="C2791" s="3" t="inlineStr">
        <is>
          <t>Bull</t>
        </is>
      </c>
      <c r="D2791" s="3" t="inlineStr">
        <is>
          <t>ai_it_load_gw</t>
        </is>
      </c>
      <c r="E2791" s="3" t="n">
        <v>0.295</v>
      </c>
      <c r="F2791" s="3" t="inlineStr">
        <is>
          <t>GW</t>
        </is>
      </c>
      <c r="G2791" s="3" t="inlineStr">
        <is>
          <t>Derived formula</t>
        </is>
      </c>
      <c r="H2791" s="3" t="inlineStr">
        <is>
          <t>it_load_gw * ai_workload_share</t>
        </is>
      </c>
      <c r="I2791" s="3" t="inlineStr">
        <is>
          <t>Only the AI-attributed portion of IT load enters training/inference allocation.</t>
        </is>
      </c>
      <c r="J2791" s="3" t="inlineStr">
        <is>
          <t>SRC_DEEPSEEK_V3; SRC_DEEPSEEK_R1; SRC_DEEPSEEK_H800_INFERENCE; SRC_EPOCH_AI_DATA_CENTERS</t>
        </is>
      </c>
      <c r="K2791" s="3" t="inlineStr">
        <is>
          <t>ASSUMP_MOE_EFFICIENCY; ASSUMP_CN_CAPACITY_TRANSPARENCY; ASSUMP_NUMERIC_ACCELERATOR_MIX; ASSUMP_INFERENCE_SHARE_NOT_FACT_60; ASSUMP_WORKLOAD_CLASS_MIX; ASSUMP_AGENTIC_CONTEXT_PENALTY</t>
        </is>
      </c>
      <c r="L2791" s="3" t="inlineStr">
        <is>
          <t>Recompute after ai_workload_share is replaced by telemetry.</t>
        </is>
      </c>
    </row>
    <row r="2792">
      <c r="A2792" s="3" t="inlineStr">
        <is>
          <t>DeepSeek</t>
        </is>
      </c>
      <c r="B2792" s="3" t="n">
        <v>2027</v>
      </c>
      <c r="C2792" s="3" t="inlineStr">
        <is>
          <t>Bull</t>
        </is>
      </c>
      <c r="D2792" s="3" t="inlineStr">
        <is>
          <t>gpu_share</t>
        </is>
      </c>
      <c r="E2792" s="3" t="n">
        <v>1</v>
      </c>
      <c r="F2792" s="3" t="inlineStr">
        <is>
          <t>share of inference-serving accelerator load</t>
        </is>
      </c>
      <c r="G2792" s="3" t="inlineStr">
        <is>
          <t>Numeric scenario</t>
        </is>
      </c>
      <c r="H2792" s="3" t="inlineStr">
        <is>
          <t>gpu_share interpolated from company 2026/2030 accelerator-mix endpoints</t>
        </is>
      </c>
      <c r="I2792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792" s="3" t="inlineStr">
        <is>
          <t>SRC_DEEPSEEK_V3; SRC_DEEPSEEK_R1; SRC_DEEPSEEK_H800_INFERENCE; SRC_EPOCH_AI_DATA_CENTERS; ASSUMP_NUMERIC_ACCELERATOR_MIX</t>
        </is>
      </c>
      <c r="K2792" s="3" t="inlineStr">
        <is>
          <t>ASSUMP_MOE_EFFICIENCY; ASSUMP_CN_CAPACITY_TRANSPARENCY; ASSUMP_NUMERIC_ACCELERATOR_MIX; ASSUMP_INFERENCE_SHARE_NOT_FACT_60; ASSUMP_WORKLOAD_CLASS_MIX; ASSUMP_AGENTIC_CONTEXT_PENALTY</t>
        </is>
      </c>
      <c r="L2792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793">
      <c r="A2793" s="3" t="inlineStr">
        <is>
          <t>DeepSeek</t>
        </is>
      </c>
      <c r="B2793" s="3" t="n">
        <v>2027</v>
      </c>
      <c r="C2793" s="3" t="inlineStr">
        <is>
          <t>Bull</t>
        </is>
      </c>
      <c r="D2793" s="3" t="inlineStr">
        <is>
          <t>h200_share</t>
        </is>
      </c>
      <c r="E2793" s="3" t="n">
        <v>0.438</v>
      </c>
      <c r="F2793" s="3" t="inlineStr">
        <is>
          <t>share of inference-serving accelerator load</t>
        </is>
      </c>
      <c r="G2793" s="3" t="inlineStr">
        <is>
          <t>Editable numeric scenario</t>
        </is>
      </c>
      <c r="H2793" s="3" t="inlineStr">
        <is>
          <t>h200_share = gpu_share * default_gpu_generation_mix_h200</t>
        </is>
      </c>
      <c r="I2793" s="3" t="inlineStr">
        <is>
          <t>Default GPU-generation migration assumption; executive workbook allows later manual replacement by company/year/scenario.</t>
        </is>
      </c>
      <c r="J2793" s="3" t="inlineStr">
        <is>
          <t>SRC_SEMIANALYSIS_INFERENCEX; ASSUMP_NUMERIC_ACCELERATOR_MIX</t>
        </is>
      </c>
      <c r="K2793" s="3" t="inlineStr">
        <is>
          <t>ASSUMP_MOE_EFFICIENCY; ASSUMP_CN_CAPACITY_TRANSPARENCY; ASSUMP_NUMERIC_ACCELERATOR_MIX; ASSUMP_INFERENCE_SHARE_NOT_FACT_60; ASSUMP_WORKLOAD_CLASS_MIX; ASSUMP_AGENTIC_CONTEXT_PENALTY</t>
        </is>
      </c>
      <c r="L2793" s="3" t="inlineStr">
        <is>
          <t>Company fleet inventory, accelerator-hours or procurement/deployment records by GPU generation.</t>
        </is>
      </c>
    </row>
    <row r="2794">
      <c r="A2794" s="3" t="inlineStr">
        <is>
          <t>DeepSeek</t>
        </is>
      </c>
      <c r="B2794" s="3" t="n">
        <v>2027</v>
      </c>
      <c r="C2794" s="3" t="inlineStr">
        <is>
          <t>Bull</t>
        </is>
      </c>
      <c r="D2794" s="3" t="inlineStr">
        <is>
          <t>b200_share</t>
        </is>
      </c>
      <c r="E2794" s="3" t="n">
        <v>0.388</v>
      </c>
      <c r="F2794" s="3" t="inlineStr">
        <is>
          <t>share of inference-serving accelerator load</t>
        </is>
      </c>
      <c r="G2794" s="3" t="inlineStr">
        <is>
          <t>Editable numeric scenario</t>
        </is>
      </c>
      <c r="H2794" s="3" t="inlineStr">
        <is>
          <t>b200_share = gpu_share * default_gpu_generation_mix_b200</t>
        </is>
      </c>
      <c r="I2794" s="3" t="inlineStr">
        <is>
          <t>Default GPU-generation migration assumption; executive workbook allows later manual replacement by company/year/scenario.</t>
        </is>
      </c>
      <c r="J2794" s="3" t="inlineStr">
        <is>
          <t>SRC_SEMIANALYSIS_INFERENCEX; ASSUMP_NUMERIC_ACCELERATOR_MIX</t>
        </is>
      </c>
      <c r="K2794" s="3" t="inlineStr">
        <is>
          <t>ASSUMP_MOE_EFFICIENCY; ASSUMP_CN_CAPACITY_TRANSPARENCY; ASSUMP_NUMERIC_ACCELERATOR_MIX; ASSUMP_INFERENCE_SHARE_NOT_FACT_60; ASSUMP_WORKLOAD_CLASS_MIX; ASSUMP_AGENTIC_CONTEXT_PENALTY</t>
        </is>
      </c>
      <c r="L2794" s="3" t="inlineStr">
        <is>
          <t>Company fleet inventory, accelerator-hours or procurement/deployment records by GPU generation.</t>
        </is>
      </c>
    </row>
    <row r="2795">
      <c r="A2795" s="3" t="inlineStr">
        <is>
          <t>DeepSeek</t>
        </is>
      </c>
      <c r="B2795" s="3" t="n">
        <v>2027</v>
      </c>
      <c r="C2795" s="3" t="inlineStr">
        <is>
          <t>Bull</t>
        </is>
      </c>
      <c r="D2795" s="3" t="inlineStr">
        <is>
          <t>gb200_share</t>
        </is>
      </c>
      <c r="E2795" s="3" t="n">
        <v>0.174</v>
      </c>
      <c r="F2795" s="3" t="inlineStr">
        <is>
          <t>share of inference-serving accelerator load</t>
        </is>
      </c>
      <c r="G2795" s="3" t="inlineStr">
        <is>
          <t>Editable numeric scenario</t>
        </is>
      </c>
      <c r="H2795" s="3" t="inlineStr">
        <is>
          <t>gb200_share = gpu_share * default_gpu_generation_mix_gb200</t>
        </is>
      </c>
      <c r="I2795" s="3" t="inlineStr">
        <is>
          <t>Default GPU-generation migration assumption; executive workbook allows later manual replacement by company/year/scenario.</t>
        </is>
      </c>
      <c r="J2795" s="3" t="inlineStr">
        <is>
          <t>SRC_SEMIANALYSIS_INFERENCEX; ASSUMP_NUMERIC_ACCELERATOR_MIX</t>
        </is>
      </c>
      <c r="K2795" s="3" t="inlineStr">
        <is>
          <t>ASSUMP_MOE_EFFICIENCY; ASSUMP_CN_CAPACITY_TRANSPARENCY; ASSUMP_NUMERIC_ACCELERATOR_MIX; ASSUMP_INFERENCE_SHARE_NOT_FACT_60; ASSUMP_WORKLOAD_CLASS_MIX; ASSUMP_AGENTIC_CONTEXT_PENALTY</t>
        </is>
      </c>
      <c r="L2795" s="3" t="inlineStr">
        <is>
          <t>Company fleet inventory, accelerator-hours or procurement/deployment records by GPU generation.</t>
        </is>
      </c>
    </row>
    <row r="2796">
      <c r="A2796" s="3" t="inlineStr">
        <is>
          <t>DeepSeek</t>
        </is>
      </c>
      <c r="B2796" s="3" t="n">
        <v>2027</v>
      </c>
      <c r="C2796" s="3" t="inlineStr">
        <is>
          <t>Bull</t>
        </is>
      </c>
      <c r="D2796" s="3" t="inlineStr">
        <is>
          <t>purpose_built_accelerator_share</t>
        </is>
      </c>
      <c r="E2796" s="3" t="n">
        <v>0</v>
      </c>
      <c r="F2796" s="3" t="inlineStr">
        <is>
          <t>share of inference-serving accelerator load</t>
        </is>
      </c>
      <c r="G2796" s="3" t="inlineStr">
        <is>
          <t>Numeric scenario</t>
        </is>
      </c>
      <c r="H2796" s="3" t="inlineStr">
        <is>
          <t>1 - gpu_share</t>
        </is>
      </c>
      <c r="I2796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796" s="3" t="inlineStr">
        <is>
          <t>SRC_DEEPSEEK_V3; SRC_DEEPSEEK_R1; SRC_DEEPSEEK_H800_INFERENCE; SRC_EPOCH_AI_DATA_CENTERS; ASSUMP_NUMERIC_ACCELERATOR_MIX</t>
        </is>
      </c>
      <c r="K2796" s="3" t="inlineStr">
        <is>
          <t>ASSUMP_MOE_EFFICIENCY; ASSUMP_CN_CAPACITY_TRANSPARENCY; ASSUMP_NUMERIC_ACCELERATOR_MIX; ASSUMP_INFERENCE_SHARE_NOT_FACT_60; ASSUMP_WORKLOAD_CLASS_MIX; ASSUMP_AGENTIC_CONTEXT_PENALTY</t>
        </is>
      </c>
      <c r="L2796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797">
      <c r="A2797" s="3" t="inlineStr">
        <is>
          <t>DeepSeek</t>
        </is>
      </c>
      <c r="B2797" s="3" t="n">
        <v>2027</v>
      </c>
      <c r="C2797" s="3" t="inlineStr">
        <is>
          <t>Bull</t>
        </is>
      </c>
      <c r="D2797" s="3" t="inlineStr">
        <is>
          <t>fleet_reference_tps_per_mw</t>
        </is>
      </c>
      <c r="E2797" s="3" t="n">
        <v>151424</v>
      </c>
      <c r="F2797" s="3" t="inlineStr">
        <is>
          <t>generated output tokens/sec/MW</t>
        </is>
      </c>
      <c r="G2797" s="3" t="inlineStr">
        <is>
          <t>Fleet-weighted public benchmark reference</t>
        </is>
      </c>
      <c r="H2797" s="3" t="inlineStr">
        <is>
          <t>h200_share*h200_workload_avg + b200_share*b200_workload_avg + gb200_share*gb200_workload_avg + purpose_built_share*purpose_workload_avg</t>
        </is>
      </c>
      <c r="I2797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797" s="3" t="inlineStr">
        <is>
          <t>SRC_SEMIANALYSIS_INFERENCEX; ASSUMP_NUMERIC_ACCELERATOR_MIX; ASSUMP_WORKLOAD_CLASS_MIX; ASSUMP_AGENTIC_CONTEXT_PENALTY</t>
        </is>
      </c>
      <c r="K2797" s="3" t="inlineStr">
        <is>
          <t>ASSUMP_MOE_EFFICIENCY; ASSUMP_CN_CAPACITY_TRANSPARENCY; ASSUMP_NUMERIC_ACCELERATOR_MIX; ASSUMP_INFERENCE_SHARE_NOT_FACT_60; ASSUMP_WORKLOAD_CLASS_MIX; ASSUMP_AGENTIC_CONTEXT_PENALTY</t>
        </is>
      </c>
      <c r="L2797" s="3" t="inlineStr">
        <is>
          <t>Comparable production output-token throughput or a more closely matched benchmark.</t>
        </is>
      </c>
    </row>
    <row r="2798">
      <c r="A2798" s="3" t="inlineStr">
        <is>
          <t>DeepSeek</t>
        </is>
      </c>
      <c r="B2798" s="3" t="n">
        <v>2027</v>
      </c>
      <c r="C2798" s="3" t="inlineStr">
        <is>
          <t>Bull</t>
        </is>
      </c>
      <c r="D2798" s="3" t="inlineStr">
        <is>
          <t>commercial_workload_fit_factor</t>
        </is>
      </c>
      <c r="E2798" s="3" t="n">
        <v>1</v>
      </c>
      <c r="F2798" s="3" t="inlineStr">
        <is>
          <t>share of public reference throughput</t>
        </is>
      </c>
      <c r="G2798" s="3" t="inlineStr">
        <is>
          <t>Scenario assumption</t>
        </is>
      </c>
      <c r="H2798" s="3" t="inlineStr">
        <is>
          <t>reference_serving_tps_per_mw = fleet_reference_tps_per_mw * commercial_workload_fit_factor</t>
        </is>
      </c>
      <c r="I2798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798" s="3" t="inlineStr">
        <is>
          <t>SRC_SEMIANALYSIS_INFERENCEX; ASSUMP_NUMERIC_ACCELERATOR_MIX; ASSUMP_WORKLOAD_CLASS_MIX; ASSUMP_AGENTIC_CONTEXT_PENALTY</t>
        </is>
      </c>
      <c r="K2798" s="3" t="inlineStr">
        <is>
          <t>ASSUMP_MOE_EFFICIENCY; ASSUMP_CN_CAPACITY_TRANSPARENCY; ASSUMP_NUMERIC_ACCELERATOR_MIX; ASSUMP_INFERENCE_SHARE_NOT_FACT_60; ASSUMP_WORKLOAD_CLASS_MIX; ASSUMP_AGENTIC_CONTEXT_PENALTY</t>
        </is>
      </c>
      <c r="L2798" s="3" t="inlineStr">
        <is>
          <t>Matched commercial serving benchmark by product surface, context shape and latency SLO.</t>
        </is>
      </c>
    </row>
    <row r="2799">
      <c r="A2799" s="3" t="inlineStr">
        <is>
          <t>DeepSeek</t>
        </is>
      </c>
      <c r="B2799" s="3" t="n">
        <v>2027</v>
      </c>
      <c r="C2799" s="3" t="inlineStr">
        <is>
          <t>Bull</t>
        </is>
      </c>
      <c r="D2799" s="3" t="inlineStr">
        <is>
          <t>reference_serving_tps_per_mw</t>
        </is>
      </c>
      <c r="E2799" s="3" t="n">
        <v>151424</v>
      </c>
      <c r="F2799" s="3" t="inlineStr">
        <is>
          <t>generated output tokens/sec/MW</t>
        </is>
      </c>
      <c r="G2799" s="3" t="inlineStr">
        <is>
          <t>Workload-adjusted benchmark proxy</t>
        </is>
      </c>
      <c r="H2799" s="3" t="inlineStr">
        <is>
          <t>fleet_reference_tps_per_mw * commercial_workload_fit_factor</t>
        </is>
      </c>
      <c r="I2799" s="3" t="inlineStr">
        <is>
          <t>This is the coefficient used for headline token generation; each GPU's short chat, long chat and agentic TPS/MW are weighted before fleet mix and commercial fit are applied.</t>
        </is>
      </c>
      <c r="J2799" s="3" t="inlineStr">
        <is>
          <t>SRC_SEMIANALYSIS_INFERENCEX; ASSUMP_NUMERIC_ACCELERATOR_MIX; ASSUMP_WORKLOAD_CLASS_MIX; ASSUMP_AGENTIC_CONTEXT_PENALTY</t>
        </is>
      </c>
      <c r="K2799" s="3" t="inlineStr">
        <is>
          <t>ASSUMP_MOE_EFFICIENCY; ASSUMP_CN_CAPACITY_TRANSPARENCY; ASSUMP_NUMERIC_ACCELERATOR_MIX; ASSUMP_INFERENCE_SHARE_NOT_FACT_60; ASSUMP_WORKLOAD_CLASS_MIX; ASSUMP_AGENTIC_CONTEXT_PENALTY</t>
        </is>
      </c>
      <c r="L2799" s="3" t="inlineStr">
        <is>
          <t>Provider production output-token throughput with comparable workload/SLO.</t>
        </is>
      </c>
    </row>
    <row r="2800">
      <c r="A2800" s="3" t="inlineStr">
        <is>
          <t>DeepSeek</t>
        </is>
      </c>
      <c r="B2800" s="3" t="n">
        <v>2027</v>
      </c>
      <c r="C2800" s="3" t="inlineStr">
        <is>
          <t>Bull</t>
        </is>
      </c>
      <c r="D2800" s="3" t="inlineStr">
        <is>
          <t>purpose_built_tps_per_mw</t>
        </is>
      </c>
      <c r="E2800" s="3" t="n">
        <v>393572</v>
      </c>
      <c r="F2800" s="3" t="inlineStr">
        <is>
          <t>generated output tokens/sec/MW</t>
        </is>
      </c>
      <c r="G2800" s="3" t="inlineStr">
        <is>
          <t>Conservative no-uplift proxy</t>
        </is>
      </c>
      <c r="H2800" s="3" t="inlineStr">
        <is>
          <t>purpose_built_tps_per_mw = purpose_built_reference_tps_per_mw * commercial_workload_fit_factor until comparable output-token benchmark is adopted</t>
        </is>
      </c>
      <c r="I2800" s="3" t="inlineStr">
        <is>
          <t>No comparable public output-token/MW row adopted; B200 public reference placeholder is used and remains editable.</t>
        </is>
      </c>
      <c r="J2800" s="3" t="inlineStr">
        <is>
          <t>SRC_DEEPSEEK_V3; SRC_DEEPSEEK_R1; SRC_DEEPSEEK_H800_INFERENCE; SRC_EPOCH_AI_DATA_CENTERS; ASSUMP_NUMERIC_ACCELERATOR_MIX</t>
        </is>
      </c>
      <c r="K2800" s="3" t="inlineStr">
        <is>
          <t>ASSUMP_MOE_EFFICIENCY; ASSUMP_CN_CAPACITY_TRANSPARENCY; ASSUMP_NUMERIC_ACCELERATOR_MIX; ASSUMP_INFERENCE_SHARE_NOT_FACT_60; ASSUMP_WORKLOAD_CLASS_MIX; ASSUMP_AGENTIC_CONTEXT_PENALTY</t>
        </is>
      </c>
      <c r="L2800" s="3" t="inlineStr">
        <is>
          <t>Matched-workload generated-output benchmark for the provider purpose-built accelerator.</t>
        </is>
      </c>
    </row>
    <row r="2801">
      <c r="A2801" s="3" t="inlineStr">
        <is>
          <t>DeepSeek</t>
        </is>
      </c>
      <c r="B2801" s="3" t="n">
        <v>2027</v>
      </c>
      <c r="C2801" s="3" t="inlineStr">
        <is>
          <t>Bull</t>
        </is>
      </c>
      <c r="D2801" s="3" t="inlineStr">
        <is>
          <t>inference_power_share</t>
        </is>
      </c>
      <c r="E2801" s="3" t="n">
        <v>0.727</v>
      </c>
      <c r="F2801" s="3" t="inlineStr">
        <is>
          <t>share of AI IT load</t>
        </is>
      </c>
      <c r="G2801" s="3" t="inlineStr">
        <is>
          <t>Scenario allocation</t>
        </is>
      </c>
      <c r="H2801" s="3" t="inlineStr">
        <is>
          <t>inference_gw = ai_it_load_gw * inference_power_share</t>
        </is>
      </c>
      <c r="I2801" s="3" t="inlineStr">
        <is>
          <t>API/app availability and inference-system disclosure support higher inference share; the value remains scenario.</t>
        </is>
      </c>
      <c r="J2801" s="3" t="inlineStr">
        <is>
          <t>SRC_DEEPSEEK_V3; SRC_DEEPSEEK_R1; SRC_DEEPSEEK_H800_INFERENCE; SRC_EPOCH_AI_DATA_CENTERS; ASSUMP_INFERENCE_SHARE_NOT_FACT_60</t>
        </is>
      </c>
      <c r="K2801" s="3" t="inlineStr">
        <is>
          <t>ASSUMP_MOE_EFFICIENCY; ASSUMP_CN_CAPACITY_TRANSPARENCY; ASSUMP_NUMERIC_ACCELERATOR_MIX; ASSUMP_INFERENCE_SHARE_NOT_FACT_60; ASSUMP_WORKLOAD_CLASS_MIX; ASSUMP_AGENTIC_CONTEXT_PENALTY</t>
        </is>
      </c>
      <c r="L2801" s="3" t="inlineStr">
        <is>
          <t>Provider-specific inference/training workload power telemetry.</t>
        </is>
      </c>
    </row>
    <row r="2802">
      <c r="A2802" s="3" t="inlineStr">
        <is>
          <t>DeepSeek</t>
        </is>
      </c>
      <c r="B2802" s="3" t="n">
        <v>2027</v>
      </c>
      <c r="C2802" s="3" t="inlineStr">
        <is>
          <t>Bull</t>
        </is>
      </c>
      <c r="D2802" s="3" t="inlineStr">
        <is>
          <t>inference_gw</t>
        </is>
      </c>
      <c r="E2802" s="3" t="n">
        <v>0.215</v>
      </c>
      <c r="F2802" s="3" t="inlineStr">
        <is>
          <t>GW</t>
        </is>
      </c>
      <c r="G2802" s="3" t="inlineStr">
        <is>
          <t>Derived formula</t>
        </is>
      </c>
      <c r="H2802" s="3" t="inlineStr">
        <is>
          <t>ai_it_load_gw * inference_power_share</t>
        </is>
      </c>
      <c r="I2802" s="3" t="inlineStr">
        <is>
          <t>This is the operational power eligible to become commercial generated output tokens through the selected TPS/MW proxy.</t>
        </is>
      </c>
      <c r="J2802" s="3" t="inlineStr">
        <is>
          <t>SRC_DEEPSEEK_V3; SRC_DEEPSEEK_R1; SRC_DEEPSEEK_H800_INFERENCE; SRC_EPOCH_AI_DATA_CENTERS</t>
        </is>
      </c>
      <c r="K2802" s="3" t="inlineStr">
        <is>
          <t>ASSUMP_MOE_EFFICIENCY; ASSUMP_CN_CAPACITY_TRANSPARENCY; ASSUMP_NUMERIC_ACCELERATOR_MIX; ASSUMP_INFERENCE_SHARE_NOT_FACT_60; ASSUMP_WORKLOAD_CLASS_MIX; ASSUMP_AGENTIC_CONTEXT_PENALTY</t>
        </is>
      </c>
      <c r="L2802" s="3" t="inlineStr">
        <is>
          <t>Recompute after AI allocation or inference-share evidence changes.</t>
        </is>
      </c>
    </row>
    <row r="2803">
      <c r="A2803" s="3" t="inlineStr">
        <is>
          <t>DeepSeek</t>
        </is>
      </c>
      <c r="B2803" s="3" t="n">
        <v>2027</v>
      </c>
      <c r="C2803" s="3" t="inlineStr">
        <is>
          <t>Bull</t>
        </is>
      </c>
      <c r="D2803" s="3" t="inlineStr">
        <is>
          <t>training_power_share</t>
        </is>
      </c>
      <c r="E2803" s="3" t="n">
        <v>0.273</v>
      </c>
      <c r="F2803" s="3" t="inlineStr">
        <is>
          <t>share of AI IT load</t>
        </is>
      </c>
      <c r="G2803" s="3" t="inlineStr">
        <is>
          <t>Derived allocation</t>
        </is>
      </c>
      <c r="H2803" s="3" t="inlineStr">
        <is>
          <t>1 - inference_power_share</t>
        </is>
      </c>
      <c r="I2803" s="3" t="inlineStr">
        <is>
          <t>Training receives the complementary modeled AI IT allocation; it is not a disclosed company workload split.</t>
        </is>
      </c>
      <c r="J2803" s="3" t="inlineStr">
        <is>
          <t>SRC_DEEPSEEK_V3; SRC_DEEPSEEK_R1; SRC_DEEPSEEK_H800_INFERENCE; SRC_EPOCH_AI_DATA_CENTERS; ASSUMP_INFERENCE_SHARE_NOT_FACT_60</t>
        </is>
      </c>
      <c r="K2803" s="3" t="inlineStr">
        <is>
          <t>ASSUMP_MOE_EFFICIENCY; ASSUMP_CN_CAPACITY_TRANSPARENCY; ASSUMP_NUMERIC_ACCELERATOR_MIX; ASSUMP_INFERENCE_SHARE_NOT_FACT_60; ASSUMP_WORKLOAD_CLASS_MIX; ASSUMP_AGENTIC_CONTEXT_PENALTY</t>
        </is>
      </c>
      <c r="L2803" s="3" t="inlineStr">
        <is>
          <t>Provider-specific inference/training workload power telemetry.</t>
        </is>
      </c>
    </row>
    <row r="2804">
      <c r="A2804" s="3" t="inlineStr">
        <is>
          <t>DeepSeek</t>
        </is>
      </c>
      <c r="B2804" s="3" t="n">
        <v>2027</v>
      </c>
      <c r="C2804" s="3" t="inlineStr">
        <is>
          <t>Bull</t>
        </is>
      </c>
      <c r="D2804" s="3" t="inlineStr">
        <is>
          <t>training_gw</t>
        </is>
      </c>
      <c r="E2804" s="3" t="n">
        <v>0.08</v>
      </c>
      <c r="F2804" s="3" t="inlineStr">
        <is>
          <t>GW</t>
        </is>
      </c>
      <c r="G2804" s="3" t="inlineStr">
        <is>
          <t>Derived formula</t>
        </is>
      </c>
      <c r="H2804" s="3" t="inlineStr">
        <is>
          <t>ai_it_load_gw * training_power_share</t>
        </is>
      </c>
      <c r="I2804" s="3" t="inlineStr">
        <is>
          <t>Training GW is shown separately so commercial inference token capacity is not overstated.</t>
        </is>
      </c>
      <c r="J2804" s="3" t="inlineStr">
        <is>
          <t>SRC_DEEPSEEK_V3; SRC_DEEPSEEK_R1; SRC_DEEPSEEK_H800_INFERENCE; SRC_EPOCH_AI_DATA_CENTERS</t>
        </is>
      </c>
      <c r="K2804" s="3" t="inlineStr">
        <is>
          <t>ASSUMP_MOE_EFFICIENCY; ASSUMP_CN_CAPACITY_TRANSPARENCY; ASSUMP_NUMERIC_ACCELERATOR_MIX; ASSUMP_INFERENCE_SHARE_NOT_FACT_60; ASSUMP_WORKLOAD_CLASS_MIX; ASSUMP_AGENTIC_CONTEXT_PENALTY</t>
        </is>
      </c>
      <c r="L2804" s="3" t="inlineStr">
        <is>
          <t>Recompute after AI allocation or workload-split evidence changes.</t>
        </is>
      </c>
    </row>
    <row r="2805">
      <c r="A2805" s="3" t="inlineStr">
        <is>
          <t>DeepSeek</t>
        </is>
      </c>
      <c r="B2805" s="3" t="n">
        <v>2027</v>
      </c>
      <c r="C2805" s="3" t="inlineStr">
        <is>
          <t>Bull</t>
        </is>
      </c>
      <c r="D2805" s="3" t="inlineStr">
        <is>
          <t>tokens_per_second_per_mw</t>
        </is>
      </c>
      <c r="E2805" s="3" t="n">
        <v>151424</v>
      </c>
      <c r="F2805" s="3" t="inlineStr">
        <is>
          <t>generated output tokens/sec/MW</t>
        </is>
      </c>
      <c r="G2805" s="3" t="inlineStr">
        <is>
          <t>Derived estimate + benchmark calibration</t>
        </is>
      </c>
      <c r="H2805" s="3" t="inlineStr">
        <is>
          <t>fleet_reference_tps_per_mw * commercial_workload_fit_factor</t>
        </is>
      </c>
      <c r="I2805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05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05" s="3" t="inlineStr">
        <is>
          <t>ASSUMP_MOE_EFFICIENCY; ASSUMP_CN_CAPACITY_TRANSPARENCY; ASSUMP_NUMERIC_ACCELERATOR_MIX; ASSUMP_INFERENCE_SHARE_NOT_FACT_60; ASSUMP_WORKLOAD_CLASS_MIX; ASSUMP_AGENTIC_CONTEXT_PENALTY</t>
        </is>
      </c>
      <c r="L2805" s="3" t="inlineStr">
        <is>
          <t>Comparable production output-token throughput with model, hardware, precision, ISL/OSL and SLO matched.</t>
        </is>
      </c>
    </row>
    <row r="2806">
      <c r="A2806" s="3" t="inlineStr">
        <is>
          <t>DeepSeek</t>
        </is>
      </c>
      <c r="B2806" s="3" t="n">
        <v>2027</v>
      </c>
      <c r="C2806" s="3" t="inlineStr">
        <is>
          <t>Bull</t>
        </is>
      </c>
      <c r="D2806" s="3" t="inlineStr">
        <is>
          <t>inference_tokens_per_day</t>
        </is>
      </c>
      <c r="E2806" s="3" t="n">
        <v>2812852224000</v>
      </c>
      <c r="F2806" s="3" t="inlineStr">
        <is>
          <t>generated output tokens/day</t>
        </is>
      </c>
      <c r="G2806" s="3" t="inlineStr">
        <is>
          <t>Derived headline metric</t>
        </is>
      </c>
      <c r="H2806" s="3" t="inlineStr">
        <is>
          <t>inference_gw * 1000 * tokens_per_second_per_mw * 86,400</t>
        </is>
      </c>
      <c r="I2806" s="3" t="inlineStr">
        <is>
          <t>Headline capacity uses no utilization, MoE, architecture or software-growth multiplier; it is not observed commercial output volume.</t>
        </is>
      </c>
      <c r="J2806" s="3" t="inlineStr">
        <is>
          <t>SRC_DEEPSEEK_V3; SRC_DEEPSEEK_R1; SRC_DEEPSEEK_H800_INFERENCE; SRC_EPOCH_AI_DATA_CENTERS; SRC_SEMIANALYSIS_INFERENCEX</t>
        </is>
      </c>
      <c r="K2806" s="3" t="inlineStr">
        <is>
          <t>ASSUMP_MOE_EFFICIENCY; ASSUMP_CN_CAPACITY_TRANSPARENCY; ASSUMP_NUMERIC_ACCELERATOR_MIX; ASSUMP_INFERENCE_SHARE_NOT_FACT_60; ASSUMP_WORKLOAD_CLASS_MIX; ASSUMP_AGENTIC_CONTEXT_PENALTY</t>
        </is>
      </c>
      <c r="L2806" s="3" t="inlineStr">
        <is>
          <t>Provider-disclosed generated output token volume or calibrated capacity telemetry.</t>
        </is>
      </c>
    </row>
    <row r="2807">
      <c r="A2807" s="3" t="inlineStr">
        <is>
          <t>DeepSeek</t>
        </is>
      </c>
      <c r="B2807" s="3" t="n">
        <v>2027</v>
      </c>
      <c r="C2807" s="3" t="inlineStr">
        <is>
          <t>Bull</t>
        </is>
      </c>
      <c r="D2807" s="3" t="inlineStr">
        <is>
          <t>inference_tokens_per_year</t>
        </is>
      </c>
      <c r="E2807" s="3" t="n">
        <v>1026691061760000</v>
      </c>
      <c r="F2807" s="3" t="inlineStr">
        <is>
          <t>generated output tokens/year</t>
        </is>
      </c>
      <c r="G2807" s="3" t="inlineStr">
        <is>
          <t>Derived headline metric</t>
        </is>
      </c>
      <c r="H2807" s="3" t="inlineStr">
        <is>
          <t>inference_tokens_per_day * 365</t>
        </is>
      </c>
      <c r="I2807" s="3" t="inlineStr">
        <is>
          <t>Annualized version of generated output token capacity; it is not observed annual demand or billable volume.</t>
        </is>
      </c>
      <c r="J2807" s="3" t="inlineStr">
        <is>
          <t>SRC_DEEPSEEK_V3; SRC_DEEPSEEK_R1; SRC_DEEPSEEK_H800_INFERENCE; SRC_EPOCH_AI_DATA_CENTERS; SRC_SEMIANALYSIS_INFERENCEX</t>
        </is>
      </c>
      <c r="K2807" s="3" t="inlineStr">
        <is>
          <t>ASSUMP_MOE_EFFICIENCY; ASSUMP_CN_CAPACITY_TRANSPARENCY; ASSUMP_NUMERIC_ACCELERATOR_MIX; ASSUMP_INFERENCE_SHARE_NOT_FACT_60; ASSUMP_WORKLOAD_CLASS_MIX; ASSUMP_AGENTIC_CONTEXT_PENALTY</t>
        </is>
      </c>
      <c r="L2807" s="3" t="inlineStr">
        <is>
          <t>Provider-disclosed annual generated-output volume or metered serving telemetry.</t>
        </is>
      </c>
    </row>
    <row r="2808">
      <c r="A2808" s="3" t="inlineStr">
        <is>
          <t>DeepSeek</t>
        </is>
      </c>
      <c r="B2808" s="3" t="n">
        <v>2028</v>
      </c>
      <c r="C2808" s="3" t="inlineStr">
        <is>
          <t>Bull</t>
        </is>
      </c>
      <c r="D2808" s="3" t="inlineStr">
        <is>
          <t>contracted_power_gw</t>
        </is>
      </c>
      <c r="E2808" s="3" t="n">
        <v>1.15</v>
      </c>
      <c r="F2808" s="3" t="inlineStr">
        <is>
          <t>GW</t>
        </is>
      </c>
      <c r="G2808" s="3" t="inlineStr">
        <is>
          <t>Scenario capacity envelope</t>
        </is>
      </c>
      <c r="H2808" s="3" t="inlineStr">
        <is>
          <t>linear interpolation between 2026 and 2030 company capacity endpoints</t>
        </is>
      </c>
      <c r="I2808" s="3" t="inlineStr">
        <is>
          <t>Capacity is a low-transparency scenario; official infrastructure evidence supports H800 inference hardware, not company GW.</t>
        </is>
      </c>
      <c r="J2808" s="3" t="inlineStr">
        <is>
          <t>SRC_DEEPSEEK_H800_INFERENCE; ASSUMP_CN_CAPACITY_TRANSPARENCY</t>
        </is>
      </c>
      <c r="K2808" s="3" t="inlineStr">
        <is>
          <t>ASSUMP_MOE_EFFICIENCY; ASSUMP_CN_CAPACITY_TRANSPARENCY; ASSUMP_NUMERIC_ACCELERATOR_MIX; ASSUMP_INFERENCE_SHARE_NOT_FACT_60; ASSUMP_WORKLOAD_CLASS_MIX; ASSUMP_AGENTIC_CONTEXT_PENALTY</t>
        </is>
      </c>
      <c r="L2808" s="3" t="inlineStr">
        <is>
          <t>Company/site-level committed MW/GW, interconnect and contract disclosure.</t>
        </is>
      </c>
    </row>
    <row r="2809">
      <c r="A2809" s="3" t="inlineStr">
        <is>
          <t>DeepSeek</t>
        </is>
      </c>
      <c r="B2809" s="3" t="n">
        <v>2028</v>
      </c>
      <c r="C2809" s="3" t="inlineStr">
        <is>
          <t>Bull</t>
        </is>
      </c>
      <c r="D2809" s="3" t="inlineStr">
        <is>
          <t>operational_deployment_share</t>
        </is>
      </c>
      <c r="E2809" s="3" t="n">
        <v>0.65478261</v>
      </c>
      <c r="F2809" s="3" t="inlineStr">
        <is>
          <t>share</t>
        </is>
      </c>
      <c r="G2809" s="3" t="inlineStr">
        <is>
          <t>Scenario conversion</t>
        </is>
      </c>
      <c r="H2809" s="3" t="inlineStr">
        <is>
          <t>active_power_gw / contracted_power_gw</t>
        </is>
      </c>
      <c r="I2809" s="3" t="inlineStr">
        <is>
          <t>This is the single explicit conversion from contracted/attributed capacity to operationally usable capacity.</t>
        </is>
      </c>
      <c r="J2809" s="3" t="inlineStr">
        <is>
          <t>SRC_DEEPSEEK_H800_INFERENCE; ASSUMP_CN_CAPACITY_TRANSPARENCY</t>
        </is>
      </c>
      <c r="K2809" s="3" t="inlineStr">
        <is>
          <t>ASSUMP_MOE_EFFICIENCY; ASSUMP_CN_CAPACITY_TRANSPARENCY; ASSUMP_NUMERIC_ACCELERATOR_MIX; ASSUMP_INFERENCE_SHARE_NOT_FACT_60; ASSUMP_WORKLOAD_CLASS_MIX; ASSUMP_AGENTIC_CONTEXT_PENALTY</t>
        </is>
      </c>
      <c r="L2809" s="3" t="inlineStr">
        <is>
          <t>Energized operational capacity divided by contracted/attributed capacity.</t>
        </is>
      </c>
    </row>
    <row r="2810">
      <c r="A2810" s="3" t="inlineStr">
        <is>
          <t>DeepSeek</t>
        </is>
      </c>
      <c r="B2810" s="3" t="n">
        <v>2028</v>
      </c>
      <c r="C2810" s="3" t="inlineStr">
        <is>
          <t>Bull</t>
        </is>
      </c>
      <c r="D2810" s="3" t="inlineStr">
        <is>
          <t>active_power_gw</t>
        </is>
      </c>
      <c r="E2810" s="3" t="n">
        <v>0.753</v>
      </c>
      <c r="F2810" s="3" t="inlineStr">
        <is>
          <t>GW</t>
        </is>
      </c>
      <c r="G2810" s="3" t="inlineStr">
        <is>
          <t>Derived scenario</t>
        </is>
      </c>
      <c r="H2810" s="3" t="inlineStr">
        <is>
          <t>contracted_power_gw * operational_deployment_share</t>
        </is>
      </c>
      <c r="I2810" s="3" t="inlineStr">
        <is>
          <t>Active GW is conservative because operated cluster scale beyond disclosed infrastructure is not public.</t>
        </is>
      </c>
      <c r="J2810" s="3" t="inlineStr">
        <is>
          <t>SRC_DEEPSEEK_H800_INFERENCE; ASSUMP_CN_CAPACITY_TRANSPARENCY</t>
        </is>
      </c>
      <c r="K2810" s="3" t="inlineStr">
        <is>
          <t>ASSUMP_MOE_EFFICIENCY; ASSUMP_CN_CAPACITY_TRANSPARENCY; ASSUMP_NUMERIC_ACCELERATOR_MIX; ASSUMP_INFERENCE_SHARE_NOT_FACT_60; ASSUMP_WORKLOAD_CLASS_MIX; ASSUMP_AGENTIC_CONTEXT_PENALTY</t>
        </is>
      </c>
      <c r="L2810" s="3" t="inlineStr">
        <is>
          <t>Energization dates, accelerator deliveries and operational powered-rack telemetry.</t>
        </is>
      </c>
    </row>
    <row r="2811">
      <c r="A2811" s="3" t="inlineStr">
        <is>
          <t>DeepSeek</t>
        </is>
      </c>
      <c r="B2811" s="3" t="n">
        <v>2028</v>
      </c>
      <c r="C2811" s="3" t="inlineStr">
        <is>
          <t>Bull</t>
        </is>
      </c>
      <c r="D2811" s="3" t="inlineStr">
        <is>
          <t>pue</t>
        </is>
      </c>
      <c r="E2811" s="3" t="n">
        <v>1.24</v>
      </c>
      <c r="F2811" s="3" t="inlineStr">
        <is>
          <t>ratio</t>
        </is>
      </c>
      <c r="G2811" s="3" t="inlineStr">
        <is>
          <t>Scenario parameter</t>
        </is>
      </c>
      <c r="H2811" s="3" t="inlineStr">
        <is>
          <t>it_load_gw = active_power_gw / pue</t>
        </is>
      </c>
      <c r="I2811" s="3" t="inlineStr">
        <is>
          <t>No provider-wide site-level PUE is used as a disclosed fact; PUE represents facility-to-IT conversion within the scenario.</t>
        </is>
      </c>
      <c r="J2811" s="3" t="inlineStr">
        <is>
          <t>ASSUMP_POWER_RAMP</t>
        </is>
      </c>
      <c r="K2811" s="3" t="inlineStr">
        <is>
          <t>ASSUMP_MOE_EFFICIENCY; ASSUMP_CN_CAPACITY_TRANSPARENCY; ASSUMP_NUMERIC_ACCELERATOR_MIX; ASSUMP_INFERENCE_SHARE_NOT_FACT_60; ASSUMP_WORKLOAD_CLASS_MIX; ASSUMP_AGENTIC_CONTEXT_PENALTY</t>
        </is>
      </c>
      <c r="L2811" s="3" t="inlineStr">
        <is>
          <t>Site-level measured PUE matched to attributed AI capacity.</t>
        </is>
      </c>
    </row>
    <row r="2812">
      <c r="A2812" s="3" t="inlineStr">
        <is>
          <t>DeepSeek</t>
        </is>
      </c>
      <c r="B2812" s="3" t="n">
        <v>2028</v>
      </c>
      <c r="C2812" s="3" t="inlineStr">
        <is>
          <t>Bull</t>
        </is>
      </c>
      <c r="D2812" s="3" t="inlineStr">
        <is>
          <t>it_load_gw</t>
        </is>
      </c>
      <c r="E2812" s="3" t="n">
        <v>0.607</v>
      </c>
      <c r="F2812" s="3" t="inlineStr">
        <is>
          <t>GW</t>
        </is>
      </c>
      <c r="G2812" s="3" t="inlineStr">
        <is>
          <t>Derived formula</t>
        </is>
      </c>
      <c r="H2812" s="3" t="inlineStr">
        <is>
          <t>active_power_gw / pue</t>
        </is>
      </c>
      <c r="I2812" s="3" t="inlineStr">
        <is>
          <t>Facility power is converted to IT-deliverable power before attributing AI workloads.</t>
        </is>
      </c>
      <c r="J2812" s="3" t="inlineStr">
        <is>
          <t>SRC_DEEPSEEK_H800_INFERENCE; ASSUMP_CN_CAPACITY_TRANSPARENCY</t>
        </is>
      </c>
      <c r="K2812" s="3" t="inlineStr">
        <is>
          <t>ASSUMP_MOE_EFFICIENCY; ASSUMP_CN_CAPACITY_TRANSPARENCY; ASSUMP_NUMERIC_ACCELERATOR_MIX; ASSUMP_INFERENCE_SHARE_NOT_FACT_60; ASSUMP_WORKLOAD_CLASS_MIX; ASSUMP_AGENTIC_CONTEXT_PENALTY</t>
        </is>
      </c>
      <c r="L2812" s="3" t="inlineStr">
        <is>
          <t>Recompute once active power and PUE become site-observable.</t>
        </is>
      </c>
    </row>
    <row r="2813">
      <c r="A2813" s="3" t="inlineStr">
        <is>
          <t>DeepSeek</t>
        </is>
      </c>
      <c r="B2813" s="3" t="n">
        <v>2028</v>
      </c>
      <c r="C2813" s="3" t="inlineStr">
        <is>
          <t>Bull</t>
        </is>
      </c>
      <c r="D2813" s="3" t="inlineStr">
        <is>
          <t>ai_workload_share</t>
        </is>
      </c>
      <c r="E2813" s="3" t="n">
        <v>0.82</v>
      </c>
      <c r="F2813" s="3" t="inlineStr">
        <is>
          <t>share</t>
        </is>
      </c>
      <c r="G2813" s="3" t="inlineStr">
        <is>
          <t>Scenario allocation</t>
        </is>
      </c>
      <c r="H2813" s="3" t="inlineStr">
        <is>
          <t>ai_it_load_gw = it_load_gw * ai_workload_share</t>
        </is>
      </c>
      <c r="I2813" s="3" t="inlineStr">
        <is>
          <t>DeepSeek-operated service capacity is modeled as AI-focused, reduced for reserve and ancillary processing.</t>
        </is>
      </c>
      <c r="J2813" s="3" t="inlineStr">
        <is>
          <t>SRC_DEEPSEEK_V3; SRC_DEEPSEEK_R1; SRC_DEEPSEEK_H800_INFERENCE; SRC_EPOCH_AI_DATA_CENTERS</t>
        </is>
      </c>
      <c r="K2813" s="3" t="inlineStr">
        <is>
          <t>ASSUMP_MOE_EFFICIENCY; ASSUMP_CN_CAPACITY_TRANSPARENCY; ASSUMP_NUMERIC_ACCELERATOR_MIX; ASSUMP_INFERENCE_SHARE_NOT_FACT_60; ASSUMP_WORKLOAD_CLASS_MIX; ASSUMP_AGENTIC_CONTEXT_PENALTY</t>
        </is>
      </c>
      <c r="L2813" s="3" t="inlineStr">
        <is>
          <t>Model-owner AI workload allocation or cluster scheduling telemetry.</t>
        </is>
      </c>
    </row>
    <row r="2814">
      <c r="A2814" s="3" t="inlineStr">
        <is>
          <t>DeepSeek</t>
        </is>
      </c>
      <c r="B2814" s="3" t="n">
        <v>2028</v>
      </c>
      <c r="C2814" s="3" t="inlineStr">
        <is>
          <t>Bull</t>
        </is>
      </c>
      <c r="D2814" s="3" t="inlineStr">
        <is>
          <t>ai_it_load_gw</t>
        </is>
      </c>
      <c r="E2814" s="3" t="n">
        <v>0.498</v>
      </c>
      <c r="F2814" s="3" t="inlineStr">
        <is>
          <t>GW</t>
        </is>
      </c>
      <c r="G2814" s="3" t="inlineStr">
        <is>
          <t>Derived formula</t>
        </is>
      </c>
      <c r="H2814" s="3" t="inlineStr">
        <is>
          <t>it_load_gw * ai_workload_share</t>
        </is>
      </c>
      <c r="I2814" s="3" t="inlineStr">
        <is>
          <t>Only the AI-attributed portion of IT load enters training/inference allocation.</t>
        </is>
      </c>
      <c r="J2814" s="3" t="inlineStr">
        <is>
          <t>SRC_DEEPSEEK_V3; SRC_DEEPSEEK_R1; SRC_DEEPSEEK_H800_INFERENCE; SRC_EPOCH_AI_DATA_CENTERS</t>
        </is>
      </c>
      <c r="K2814" s="3" t="inlineStr">
        <is>
          <t>ASSUMP_MOE_EFFICIENCY; ASSUMP_CN_CAPACITY_TRANSPARENCY; ASSUMP_NUMERIC_ACCELERATOR_MIX; ASSUMP_INFERENCE_SHARE_NOT_FACT_60; ASSUMP_WORKLOAD_CLASS_MIX; ASSUMP_AGENTIC_CONTEXT_PENALTY</t>
        </is>
      </c>
      <c r="L2814" s="3" t="inlineStr">
        <is>
          <t>Recompute after ai_workload_share is replaced by telemetry.</t>
        </is>
      </c>
    </row>
    <row r="2815">
      <c r="A2815" s="3" t="inlineStr">
        <is>
          <t>DeepSeek</t>
        </is>
      </c>
      <c r="B2815" s="3" t="n">
        <v>2028</v>
      </c>
      <c r="C2815" s="3" t="inlineStr">
        <is>
          <t>Bull</t>
        </is>
      </c>
      <c r="D2815" s="3" t="inlineStr">
        <is>
          <t>gpu_share</t>
        </is>
      </c>
      <c r="E2815" s="3" t="n">
        <v>1</v>
      </c>
      <c r="F2815" s="3" t="inlineStr">
        <is>
          <t>share of inference-serving accelerator load</t>
        </is>
      </c>
      <c r="G2815" s="3" t="inlineStr">
        <is>
          <t>Numeric scenario</t>
        </is>
      </c>
      <c r="H2815" s="3" t="inlineStr">
        <is>
          <t>gpu_share interpolated from company 2026/2030 accelerator-mix endpoints</t>
        </is>
      </c>
      <c r="I2815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815" s="3" t="inlineStr">
        <is>
          <t>SRC_DEEPSEEK_V3; SRC_DEEPSEEK_R1; SRC_DEEPSEEK_H800_INFERENCE; SRC_EPOCH_AI_DATA_CENTERS; ASSUMP_NUMERIC_ACCELERATOR_MIX</t>
        </is>
      </c>
      <c r="K2815" s="3" t="inlineStr">
        <is>
          <t>ASSUMP_MOE_EFFICIENCY; ASSUMP_CN_CAPACITY_TRANSPARENCY; ASSUMP_NUMERIC_ACCELERATOR_MIX; ASSUMP_INFERENCE_SHARE_NOT_FACT_60; ASSUMP_WORKLOAD_CLASS_MIX; ASSUMP_AGENTIC_CONTEXT_PENALTY</t>
        </is>
      </c>
      <c r="L2815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816">
      <c r="A2816" s="3" t="inlineStr">
        <is>
          <t>DeepSeek</t>
        </is>
      </c>
      <c r="B2816" s="3" t="n">
        <v>2028</v>
      </c>
      <c r="C2816" s="3" t="inlineStr">
        <is>
          <t>Bull</t>
        </is>
      </c>
      <c r="D2816" s="3" t="inlineStr">
        <is>
          <t>h200_share</t>
        </is>
      </c>
      <c r="E2816" s="3" t="n">
        <v>0.325</v>
      </c>
      <c r="F2816" s="3" t="inlineStr">
        <is>
          <t>share of inference-serving accelerator load</t>
        </is>
      </c>
      <c r="G2816" s="3" t="inlineStr">
        <is>
          <t>Editable numeric scenario</t>
        </is>
      </c>
      <c r="H2816" s="3" t="inlineStr">
        <is>
          <t>h200_share = gpu_share * default_gpu_generation_mix_h200</t>
        </is>
      </c>
      <c r="I2816" s="3" t="inlineStr">
        <is>
          <t>Default GPU-generation migration assumption; executive workbook allows later manual replacement by company/year/scenario.</t>
        </is>
      </c>
      <c r="J2816" s="3" t="inlineStr">
        <is>
          <t>SRC_SEMIANALYSIS_INFERENCEX; ASSUMP_NUMERIC_ACCELERATOR_MIX</t>
        </is>
      </c>
      <c r="K2816" s="3" t="inlineStr">
        <is>
          <t>ASSUMP_MOE_EFFICIENCY; ASSUMP_CN_CAPACITY_TRANSPARENCY; ASSUMP_NUMERIC_ACCELERATOR_MIX; ASSUMP_INFERENCE_SHARE_NOT_FACT_60; ASSUMP_WORKLOAD_CLASS_MIX; ASSUMP_AGENTIC_CONTEXT_PENALTY</t>
        </is>
      </c>
      <c r="L2816" s="3" t="inlineStr">
        <is>
          <t>Company fleet inventory, accelerator-hours or procurement/deployment records by GPU generation.</t>
        </is>
      </c>
    </row>
    <row r="2817">
      <c r="A2817" s="3" t="inlineStr">
        <is>
          <t>DeepSeek</t>
        </is>
      </c>
      <c r="B2817" s="3" t="n">
        <v>2028</v>
      </c>
      <c r="C2817" s="3" t="inlineStr">
        <is>
          <t>Bull</t>
        </is>
      </c>
      <c r="D2817" s="3" t="inlineStr">
        <is>
          <t>b200_share</t>
        </is>
      </c>
      <c r="E2817" s="3" t="n">
        <v>0.375</v>
      </c>
      <c r="F2817" s="3" t="inlineStr">
        <is>
          <t>share of inference-serving accelerator load</t>
        </is>
      </c>
      <c r="G2817" s="3" t="inlineStr">
        <is>
          <t>Editable numeric scenario</t>
        </is>
      </c>
      <c r="H2817" s="3" t="inlineStr">
        <is>
          <t>b200_share = gpu_share * default_gpu_generation_mix_b200</t>
        </is>
      </c>
      <c r="I2817" s="3" t="inlineStr">
        <is>
          <t>Default GPU-generation migration assumption; executive workbook allows later manual replacement by company/year/scenario.</t>
        </is>
      </c>
      <c r="J2817" s="3" t="inlineStr">
        <is>
          <t>SRC_SEMIANALYSIS_INFERENCEX; ASSUMP_NUMERIC_ACCELERATOR_MIX</t>
        </is>
      </c>
      <c r="K2817" s="3" t="inlineStr">
        <is>
          <t>ASSUMP_MOE_EFFICIENCY; ASSUMP_CN_CAPACITY_TRANSPARENCY; ASSUMP_NUMERIC_ACCELERATOR_MIX; ASSUMP_INFERENCE_SHARE_NOT_FACT_60; ASSUMP_WORKLOAD_CLASS_MIX; ASSUMP_AGENTIC_CONTEXT_PENALTY</t>
        </is>
      </c>
      <c r="L2817" s="3" t="inlineStr">
        <is>
          <t>Company fleet inventory, accelerator-hours or procurement/deployment records by GPU generation.</t>
        </is>
      </c>
    </row>
    <row r="2818">
      <c r="A2818" s="3" t="inlineStr">
        <is>
          <t>DeepSeek</t>
        </is>
      </c>
      <c r="B2818" s="3" t="n">
        <v>2028</v>
      </c>
      <c r="C2818" s="3" t="inlineStr">
        <is>
          <t>Bull</t>
        </is>
      </c>
      <c r="D2818" s="3" t="inlineStr">
        <is>
          <t>gb200_share</t>
        </is>
      </c>
      <c r="E2818" s="3" t="n">
        <v>0.3</v>
      </c>
      <c r="F2818" s="3" t="inlineStr">
        <is>
          <t>share of inference-serving accelerator load</t>
        </is>
      </c>
      <c r="G2818" s="3" t="inlineStr">
        <is>
          <t>Editable numeric scenario</t>
        </is>
      </c>
      <c r="H2818" s="3" t="inlineStr">
        <is>
          <t>gb200_share = gpu_share * default_gpu_generation_mix_gb200</t>
        </is>
      </c>
      <c r="I2818" s="3" t="inlineStr">
        <is>
          <t>Default GPU-generation migration assumption; executive workbook allows later manual replacement by company/year/scenario.</t>
        </is>
      </c>
      <c r="J2818" s="3" t="inlineStr">
        <is>
          <t>SRC_SEMIANALYSIS_INFERENCEX; ASSUMP_NUMERIC_ACCELERATOR_MIX</t>
        </is>
      </c>
      <c r="K2818" s="3" t="inlineStr">
        <is>
          <t>ASSUMP_MOE_EFFICIENCY; ASSUMP_CN_CAPACITY_TRANSPARENCY; ASSUMP_NUMERIC_ACCELERATOR_MIX; ASSUMP_INFERENCE_SHARE_NOT_FACT_60; ASSUMP_WORKLOAD_CLASS_MIX; ASSUMP_AGENTIC_CONTEXT_PENALTY</t>
        </is>
      </c>
      <c r="L2818" s="3" t="inlineStr">
        <is>
          <t>Company fleet inventory, accelerator-hours or procurement/deployment records by GPU generation.</t>
        </is>
      </c>
    </row>
    <row r="2819">
      <c r="A2819" s="3" t="inlineStr">
        <is>
          <t>DeepSeek</t>
        </is>
      </c>
      <c r="B2819" s="3" t="n">
        <v>2028</v>
      </c>
      <c r="C2819" s="3" t="inlineStr">
        <is>
          <t>Bull</t>
        </is>
      </c>
      <c r="D2819" s="3" t="inlineStr">
        <is>
          <t>purpose_built_accelerator_share</t>
        </is>
      </c>
      <c r="E2819" s="3" t="n">
        <v>0</v>
      </c>
      <c r="F2819" s="3" t="inlineStr">
        <is>
          <t>share of inference-serving accelerator load</t>
        </is>
      </c>
      <c r="G2819" s="3" t="inlineStr">
        <is>
          <t>Numeric scenario</t>
        </is>
      </c>
      <c r="H2819" s="3" t="inlineStr">
        <is>
          <t>1 - gpu_share</t>
        </is>
      </c>
      <c r="I2819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819" s="3" t="inlineStr">
        <is>
          <t>SRC_DEEPSEEK_V3; SRC_DEEPSEEK_R1; SRC_DEEPSEEK_H800_INFERENCE; SRC_EPOCH_AI_DATA_CENTERS; ASSUMP_NUMERIC_ACCELERATOR_MIX</t>
        </is>
      </c>
      <c r="K2819" s="3" t="inlineStr">
        <is>
          <t>ASSUMP_MOE_EFFICIENCY; ASSUMP_CN_CAPACITY_TRANSPARENCY; ASSUMP_NUMERIC_ACCELERATOR_MIX; ASSUMP_INFERENCE_SHARE_NOT_FACT_60; ASSUMP_WORKLOAD_CLASS_MIX; ASSUMP_AGENTIC_CONTEXT_PENALTY</t>
        </is>
      </c>
      <c r="L2819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820">
      <c r="A2820" s="3" t="inlineStr">
        <is>
          <t>DeepSeek</t>
        </is>
      </c>
      <c r="B2820" s="3" t="n">
        <v>2028</v>
      </c>
      <c r="C2820" s="3" t="inlineStr">
        <is>
          <t>Bull</t>
        </is>
      </c>
      <c r="D2820" s="3" t="inlineStr">
        <is>
          <t>fleet_reference_tps_per_mw</t>
        </is>
      </c>
      <c r="E2820" s="3" t="n">
        <v>162367</v>
      </c>
      <c r="F2820" s="3" t="inlineStr">
        <is>
          <t>generated output tokens/sec/MW</t>
        </is>
      </c>
      <c r="G2820" s="3" t="inlineStr">
        <is>
          <t>Fleet-weighted public benchmark reference</t>
        </is>
      </c>
      <c r="H2820" s="3" t="inlineStr">
        <is>
          <t>h200_share*h200_workload_avg + b200_share*b200_workload_avg + gb200_share*gb200_workload_avg + purpose_built_share*purpose_workload_avg</t>
        </is>
      </c>
      <c r="I2820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20" s="3" t="inlineStr">
        <is>
          <t>SRC_SEMIANALYSIS_INFERENCEX; ASSUMP_NUMERIC_ACCELERATOR_MIX; ASSUMP_WORKLOAD_CLASS_MIX; ASSUMP_AGENTIC_CONTEXT_PENALTY</t>
        </is>
      </c>
      <c r="K2820" s="3" t="inlineStr">
        <is>
          <t>ASSUMP_MOE_EFFICIENCY; ASSUMP_CN_CAPACITY_TRANSPARENCY; ASSUMP_NUMERIC_ACCELERATOR_MIX; ASSUMP_INFERENCE_SHARE_NOT_FACT_60; ASSUMP_WORKLOAD_CLASS_MIX; ASSUMP_AGENTIC_CONTEXT_PENALTY</t>
        </is>
      </c>
      <c r="L2820" s="3" t="inlineStr">
        <is>
          <t>Comparable production output-token throughput or a more closely matched benchmark.</t>
        </is>
      </c>
    </row>
    <row r="2821">
      <c r="A2821" s="3" t="inlineStr">
        <is>
          <t>DeepSeek</t>
        </is>
      </c>
      <c r="B2821" s="3" t="n">
        <v>2028</v>
      </c>
      <c r="C2821" s="3" t="inlineStr">
        <is>
          <t>Bull</t>
        </is>
      </c>
      <c r="D2821" s="3" t="inlineStr">
        <is>
          <t>commercial_workload_fit_factor</t>
        </is>
      </c>
      <c r="E2821" s="3" t="n">
        <v>1</v>
      </c>
      <c r="F2821" s="3" t="inlineStr">
        <is>
          <t>share of public reference throughput</t>
        </is>
      </c>
      <c r="G2821" s="3" t="inlineStr">
        <is>
          <t>Scenario assumption</t>
        </is>
      </c>
      <c r="H2821" s="3" t="inlineStr">
        <is>
          <t>reference_serving_tps_per_mw = fleet_reference_tps_per_mw * commercial_workload_fit_factor</t>
        </is>
      </c>
      <c r="I2821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21" s="3" t="inlineStr">
        <is>
          <t>SRC_SEMIANALYSIS_INFERENCEX; ASSUMP_NUMERIC_ACCELERATOR_MIX; ASSUMP_WORKLOAD_CLASS_MIX; ASSUMP_AGENTIC_CONTEXT_PENALTY</t>
        </is>
      </c>
      <c r="K2821" s="3" t="inlineStr">
        <is>
          <t>ASSUMP_MOE_EFFICIENCY; ASSUMP_CN_CAPACITY_TRANSPARENCY; ASSUMP_NUMERIC_ACCELERATOR_MIX; ASSUMP_INFERENCE_SHARE_NOT_FACT_60; ASSUMP_WORKLOAD_CLASS_MIX; ASSUMP_AGENTIC_CONTEXT_PENALTY</t>
        </is>
      </c>
      <c r="L2821" s="3" t="inlineStr">
        <is>
          <t>Matched commercial serving benchmark by product surface, context shape and latency SLO.</t>
        </is>
      </c>
    </row>
    <row r="2822">
      <c r="A2822" s="3" t="inlineStr">
        <is>
          <t>DeepSeek</t>
        </is>
      </c>
      <c r="B2822" s="3" t="n">
        <v>2028</v>
      </c>
      <c r="C2822" s="3" t="inlineStr">
        <is>
          <t>Bull</t>
        </is>
      </c>
      <c r="D2822" s="3" t="inlineStr">
        <is>
          <t>reference_serving_tps_per_mw</t>
        </is>
      </c>
      <c r="E2822" s="3" t="n">
        <v>162367</v>
      </c>
      <c r="F2822" s="3" t="inlineStr">
        <is>
          <t>generated output tokens/sec/MW</t>
        </is>
      </c>
      <c r="G2822" s="3" t="inlineStr">
        <is>
          <t>Workload-adjusted benchmark proxy</t>
        </is>
      </c>
      <c r="H2822" s="3" t="inlineStr">
        <is>
          <t>fleet_reference_tps_per_mw * commercial_workload_fit_factor</t>
        </is>
      </c>
      <c r="I2822" s="3" t="inlineStr">
        <is>
          <t>This is the coefficient used for headline token generation; each GPU's short chat, long chat and agentic TPS/MW are weighted before fleet mix and commercial fit are applied.</t>
        </is>
      </c>
      <c r="J2822" s="3" t="inlineStr">
        <is>
          <t>SRC_SEMIANALYSIS_INFERENCEX; ASSUMP_NUMERIC_ACCELERATOR_MIX; ASSUMP_WORKLOAD_CLASS_MIX; ASSUMP_AGENTIC_CONTEXT_PENALTY</t>
        </is>
      </c>
      <c r="K2822" s="3" t="inlineStr">
        <is>
          <t>ASSUMP_MOE_EFFICIENCY; ASSUMP_CN_CAPACITY_TRANSPARENCY; ASSUMP_NUMERIC_ACCELERATOR_MIX; ASSUMP_INFERENCE_SHARE_NOT_FACT_60; ASSUMP_WORKLOAD_CLASS_MIX; ASSUMP_AGENTIC_CONTEXT_PENALTY</t>
        </is>
      </c>
      <c r="L2822" s="3" t="inlineStr">
        <is>
          <t>Provider production output-token throughput with comparable workload/SLO.</t>
        </is>
      </c>
    </row>
    <row r="2823">
      <c r="A2823" s="3" t="inlineStr">
        <is>
          <t>DeepSeek</t>
        </is>
      </c>
      <c r="B2823" s="3" t="n">
        <v>2028</v>
      </c>
      <c r="C2823" s="3" t="inlineStr">
        <is>
          <t>Bull</t>
        </is>
      </c>
      <c r="D2823" s="3" t="inlineStr">
        <is>
          <t>purpose_built_tps_per_mw</t>
        </is>
      </c>
      <c r="E2823" s="3" t="n">
        <v>393572</v>
      </c>
      <c r="F2823" s="3" t="inlineStr">
        <is>
          <t>generated output tokens/sec/MW</t>
        </is>
      </c>
      <c r="G2823" s="3" t="inlineStr">
        <is>
          <t>Conservative no-uplift proxy</t>
        </is>
      </c>
      <c r="H2823" s="3" t="inlineStr">
        <is>
          <t>purpose_built_tps_per_mw = purpose_built_reference_tps_per_mw * commercial_workload_fit_factor until comparable output-token benchmark is adopted</t>
        </is>
      </c>
      <c r="I2823" s="3" t="inlineStr">
        <is>
          <t>No comparable public output-token/MW row adopted; B200 public reference placeholder is used and remains editable.</t>
        </is>
      </c>
      <c r="J2823" s="3" t="inlineStr">
        <is>
          <t>SRC_DEEPSEEK_V3; SRC_DEEPSEEK_R1; SRC_DEEPSEEK_H800_INFERENCE; SRC_EPOCH_AI_DATA_CENTERS; ASSUMP_NUMERIC_ACCELERATOR_MIX</t>
        </is>
      </c>
      <c r="K2823" s="3" t="inlineStr">
        <is>
          <t>ASSUMP_MOE_EFFICIENCY; ASSUMP_CN_CAPACITY_TRANSPARENCY; ASSUMP_NUMERIC_ACCELERATOR_MIX; ASSUMP_INFERENCE_SHARE_NOT_FACT_60; ASSUMP_WORKLOAD_CLASS_MIX; ASSUMP_AGENTIC_CONTEXT_PENALTY</t>
        </is>
      </c>
      <c r="L2823" s="3" t="inlineStr">
        <is>
          <t>Matched-workload generated-output benchmark for the provider purpose-built accelerator.</t>
        </is>
      </c>
    </row>
    <row r="2824">
      <c r="A2824" s="3" t="inlineStr">
        <is>
          <t>DeepSeek</t>
        </is>
      </c>
      <c r="B2824" s="3" t="n">
        <v>2028</v>
      </c>
      <c r="C2824" s="3" t="inlineStr">
        <is>
          <t>Bull</t>
        </is>
      </c>
      <c r="D2824" s="3" t="inlineStr">
        <is>
          <t>inference_power_share</t>
        </is>
      </c>
      <c r="E2824" s="3" t="n">
        <v>0.785</v>
      </c>
      <c r="F2824" s="3" t="inlineStr">
        <is>
          <t>share of AI IT load</t>
        </is>
      </c>
      <c r="G2824" s="3" t="inlineStr">
        <is>
          <t>Scenario allocation</t>
        </is>
      </c>
      <c r="H2824" s="3" t="inlineStr">
        <is>
          <t>inference_gw = ai_it_load_gw * inference_power_share</t>
        </is>
      </c>
      <c r="I2824" s="3" t="inlineStr">
        <is>
          <t>API/app availability and inference-system disclosure support higher inference share; the value remains scenario.</t>
        </is>
      </c>
      <c r="J2824" s="3" t="inlineStr">
        <is>
          <t>SRC_DEEPSEEK_V3; SRC_DEEPSEEK_R1; SRC_DEEPSEEK_H800_INFERENCE; SRC_EPOCH_AI_DATA_CENTERS; ASSUMP_INFERENCE_SHARE_NOT_FACT_60</t>
        </is>
      </c>
      <c r="K2824" s="3" t="inlineStr">
        <is>
          <t>ASSUMP_MOE_EFFICIENCY; ASSUMP_CN_CAPACITY_TRANSPARENCY; ASSUMP_NUMERIC_ACCELERATOR_MIX; ASSUMP_INFERENCE_SHARE_NOT_FACT_60; ASSUMP_WORKLOAD_CLASS_MIX; ASSUMP_AGENTIC_CONTEXT_PENALTY</t>
        </is>
      </c>
      <c r="L2824" s="3" t="inlineStr">
        <is>
          <t>Provider-specific inference/training workload power telemetry.</t>
        </is>
      </c>
    </row>
    <row r="2825">
      <c r="A2825" s="3" t="inlineStr">
        <is>
          <t>DeepSeek</t>
        </is>
      </c>
      <c r="B2825" s="3" t="n">
        <v>2028</v>
      </c>
      <c r="C2825" s="3" t="inlineStr">
        <is>
          <t>Bull</t>
        </is>
      </c>
      <c r="D2825" s="3" t="inlineStr">
        <is>
          <t>inference_gw</t>
        </is>
      </c>
      <c r="E2825" s="3" t="n">
        <v>0.391</v>
      </c>
      <c r="F2825" s="3" t="inlineStr">
        <is>
          <t>GW</t>
        </is>
      </c>
      <c r="G2825" s="3" t="inlineStr">
        <is>
          <t>Derived formula</t>
        </is>
      </c>
      <c r="H2825" s="3" t="inlineStr">
        <is>
          <t>ai_it_load_gw * inference_power_share</t>
        </is>
      </c>
      <c r="I2825" s="3" t="inlineStr">
        <is>
          <t>This is the operational power eligible to become commercial generated output tokens through the selected TPS/MW proxy.</t>
        </is>
      </c>
      <c r="J2825" s="3" t="inlineStr">
        <is>
          <t>SRC_DEEPSEEK_V3; SRC_DEEPSEEK_R1; SRC_DEEPSEEK_H800_INFERENCE; SRC_EPOCH_AI_DATA_CENTERS</t>
        </is>
      </c>
      <c r="K2825" s="3" t="inlineStr">
        <is>
          <t>ASSUMP_MOE_EFFICIENCY; ASSUMP_CN_CAPACITY_TRANSPARENCY; ASSUMP_NUMERIC_ACCELERATOR_MIX; ASSUMP_INFERENCE_SHARE_NOT_FACT_60; ASSUMP_WORKLOAD_CLASS_MIX; ASSUMP_AGENTIC_CONTEXT_PENALTY</t>
        </is>
      </c>
      <c r="L2825" s="3" t="inlineStr">
        <is>
          <t>Recompute after AI allocation or inference-share evidence changes.</t>
        </is>
      </c>
    </row>
    <row r="2826">
      <c r="A2826" s="3" t="inlineStr">
        <is>
          <t>DeepSeek</t>
        </is>
      </c>
      <c r="B2826" s="3" t="n">
        <v>2028</v>
      </c>
      <c r="C2826" s="3" t="inlineStr">
        <is>
          <t>Bull</t>
        </is>
      </c>
      <c r="D2826" s="3" t="inlineStr">
        <is>
          <t>training_power_share</t>
        </is>
      </c>
      <c r="E2826" s="3" t="n">
        <v>0.215</v>
      </c>
      <c r="F2826" s="3" t="inlineStr">
        <is>
          <t>share of AI IT load</t>
        </is>
      </c>
      <c r="G2826" s="3" t="inlineStr">
        <is>
          <t>Derived allocation</t>
        </is>
      </c>
      <c r="H2826" s="3" t="inlineStr">
        <is>
          <t>1 - inference_power_share</t>
        </is>
      </c>
      <c r="I2826" s="3" t="inlineStr">
        <is>
          <t>Training receives the complementary modeled AI IT allocation; it is not a disclosed company workload split.</t>
        </is>
      </c>
      <c r="J2826" s="3" t="inlineStr">
        <is>
          <t>SRC_DEEPSEEK_V3; SRC_DEEPSEEK_R1; SRC_DEEPSEEK_H800_INFERENCE; SRC_EPOCH_AI_DATA_CENTERS; ASSUMP_INFERENCE_SHARE_NOT_FACT_60</t>
        </is>
      </c>
      <c r="K2826" s="3" t="inlineStr">
        <is>
          <t>ASSUMP_MOE_EFFICIENCY; ASSUMP_CN_CAPACITY_TRANSPARENCY; ASSUMP_NUMERIC_ACCELERATOR_MIX; ASSUMP_INFERENCE_SHARE_NOT_FACT_60; ASSUMP_WORKLOAD_CLASS_MIX; ASSUMP_AGENTIC_CONTEXT_PENALTY</t>
        </is>
      </c>
      <c r="L2826" s="3" t="inlineStr">
        <is>
          <t>Provider-specific inference/training workload power telemetry.</t>
        </is>
      </c>
    </row>
    <row r="2827">
      <c r="A2827" s="3" t="inlineStr">
        <is>
          <t>DeepSeek</t>
        </is>
      </c>
      <c r="B2827" s="3" t="n">
        <v>2028</v>
      </c>
      <c r="C2827" s="3" t="inlineStr">
        <is>
          <t>Bull</t>
        </is>
      </c>
      <c r="D2827" s="3" t="inlineStr">
        <is>
          <t>training_gw</t>
        </is>
      </c>
      <c r="E2827" s="3" t="n">
        <v>0.107</v>
      </c>
      <c r="F2827" s="3" t="inlineStr">
        <is>
          <t>GW</t>
        </is>
      </c>
      <c r="G2827" s="3" t="inlineStr">
        <is>
          <t>Derived formula</t>
        </is>
      </c>
      <c r="H2827" s="3" t="inlineStr">
        <is>
          <t>ai_it_load_gw * training_power_share</t>
        </is>
      </c>
      <c r="I2827" s="3" t="inlineStr">
        <is>
          <t>Training GW is shown separately so commercial inference token capacity is not overstated.</t>
        </is>
      </c>
      <c r="J2827" s="3" t="inlineStr">
        <is>
          <t>SRC_DEEPSEEK_V3; SRC_DEEPSEEK_R1; SRC_DEEPSEEK_H800_INFERENCE; SRC_EPOCH_AI_DATA_CENTERS</t>
        </is>
      </c>
      <c r="K2827" s="3" t="inlineStr">
        <is>
          <t>ASSUMP_MOE_EFFICIENCY; ASSUMP_CN_CAPACITY_TRANSPARENCY; ASSUMP_NUMERIC_ACCELERATOR_MIX; ASSUMP_INFERENCE_SHARE_NOT_FACT_60; ASSUMP_WORKLOAD_CLASS_MIX; ASSUMP_AGENTIC_CONTEXT_PENALTY</t>
        </is>
      </c>
      <c r="L2827" s="3" t="inlineStr">
        <is>
          <t>Recompute after AI allocation or workload-split evidence changes.</t>
        </is>
      </c>
    </row>
    <row r="2828">
      <c r="A2828" s="3" t="inlineStr">
        <is>
          <t>DeepSeek</t>
        </is>
      </c>
      <c r="B2828" s="3" t="n">
        <v>2028</v>
      </c>
      <c r="C2828" s="3" t="inlineStr">
        <is>
          <t>Bull</t>
        </is>
      </c>
      <c r="D2828" s="3" t="inlineStr">
        <is>
          <t>tokens_per_second_per_mw</t>
        </is>
      </c>
      <c r="E2828" s="3" t="n">
        <v>162367</v>
      </c>
      <c r="F2828" s="3" t="inlineStr">
        <is>
          <t>generated output tokens/sec/MW</t>
        </is>
      </c>
      <c r="G2828" s="3" t="inlineStr">
        <is>
          <t>Derived estimate + benchmark calibration</t>
        </is>
      </c>
      <c r="H2828" s="3" t="inlineStr">
        <is>
          <t>fleet_reference_tps_per_mw * commercial_workload_fit_factor</t>
        </is>
      </c>
      <c r="I2828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28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28" s="3" t="inlineStr">
        <is>
          <t>ASSUMP_MOE_EFFICIENCY; ASSUMP_CN_CAPACITY_TRANSPARENCY; ASSUMP_NUMERIC_ACCELERATOR_MIX; ASSUMP_INFERENCE_SHARE_NOT_FACT_60; ASSUMP_WORKLOAD_CLASS_MIX; ASSUMP_AGENTIC_CONTEXT_PENALTY</t>
        </is>
      </c>
      <c r="L2828" s="3" t="inlineStr">
        <is>
          <t>Comparable production output-token throughput with model, hardware, precision, ISL/OSL and SLO matched.</t>
        </is>
      </c>
    </row>
    <row r="2829">
      <c r="A2829" s="3" t="inlineStr">
        <is>
          <t>DeepSeek</t>
        </is>
      </c>
      <c r="B2829" s="3" t="n">
        <v>2028</v>
      </c>
      <c r="C2829" s="3" t="inlineStr">
        <is>
          <t>Bull</t>
        </is>
      </c>
      <c r="D2829" s="3" t="inlineStr">
        <is>
          <t>inference_tokens_per_day</t>
        </is>
      </c>
      <c r="E2829" s="3" t="n">
        <v>5485146940800</v>
      </c>
      <c r="F2829" s="3" t="inlineStr">
        <is>
          <t>generated output tokens/day</t>
        </is>
      </c>
      <c r="G2829" s="3" t="inlineStr">
        <is>
          <t>Derived headline metric</t>
        </is>
      </c>
      <c r="H2829" s="3" t="inlineStr">
        <is>
          <t>inference_gw * 1000 * tokens_per_second_per_mw * 86,400</t>
        </is>
      </c>
      <c r="I2829" s="3" t="inlineStr">
        <is>
          <t>Headline capacity uses no utilization, MoE, architecture or software-growth multiplier; it is not observed commercial output volume.</t>
        </is>
      </c>
      <c r="J2829" s="3" t="inlineStr">
        <is>
          <t>SRC_DEEPSEEK_V3; SRC_DEEPSEEK_R1; SRC_DEEPSEEK_H800_INFERENCE; SRC_EPOCH_AI_DATA_CENTERS; SRC_SEMIANALYSIS_INFERENCEX</t>
        </is>
      </c>
      <c r="K2829" s="3" t="inlineStr">
        <is>
          <t>ASSUMP_MOE_EFFICIENCY; ASSUMP_CN_CAPACITY_TRANSPARENCY; ASSUMP_NUMERIC_ACCELERATOR_MIX; ASSUMP_INFERENCE_SHARE_NOT_FACT_60; ASSUMP_WORKLOAD_CLASS_MIX; ASSUMP_AGENTIC_CONTEXT_PENALTY</t>
        </is>
      </c>
      <c r="L2829" s="3" t="inlineStr">
        <is>
          <t>Provider-disclosed generated output token volume or calibrated capacity telemetry.</t>
        </is>
      </c>
    </row>
    <row r="2830">
      <c r="A2830" s="3" t="inlineStr">
        <is>
          <t>DeepSeek</t>
        </is>
      </c>
      <c r="B2830" s="3" t="n">
        <v>2028</v>
      </c>
      <c r="C2830" s="3" t="inlineStr">
        <is>
          <t>Bull</t>
        </is>
      </c>
      <c r="D2830" s="3" t="inlineStr">
        <is>
          <t>inference_tokens_per_year</t>
        </is>
      </c>
      <c r="E2830" s="3" t="n">
        <v>2002078633392000</v>
      </c>
      <c r="F2830" s="3" t="inlineStr">
        <is>
          <t>generated output tokens/year</t>
        </is>
      </c>
      <c r="G2830" s="3" t="inlineStr">
        <is>
          <t>Derived headline metric</t>
        </is>
      </c>
      <c r="H2830" s="3" t="inlineStr">
        <is>
          <t>inference_tokens_per_day * 365</t>
        </is>
      </c>
      <c r="I2830" s="3" t="inlineStr">
        <is>
          <t>Annualized version of generated output token capacity; it is not observed annual demand or billable volume.</t>
        </is>
      </c>
      <c r="J2830" s="3" t="inlineStr">
        <is>
          <t>SRC_DEEPSEEK_V3; SRC_DEEPSEEK_R1; SRC_DEEPSEEK_H800_INFERENCE; SRC_EPOCH_AI_DATA_CENTERS; SRC_SEMIANALYSIS_INFERENCEX</t>
        </is>
      </c>
      <c r="K2830" s="3" t="inlineStr">
        <is>
          <t>ASSUMP_MOE_EFFICIENCY; ASSUMP_CN_CAPACITY_TRANSPARENCY; ASSUMP_NUMERIC_ACCELERATOR_MIX; ASSUMP_INFERENCE_SHARE_NOT_FACT_60; ASSUMP_WORKLOAD_CLASS_MIX; ASSUMP_AGENTIC_CONTEXT_PENALTY</t>
        </is>
      </c>
      <c r="L2830" s="3" t="inlineStr">
        <is>
          <t>Provider-disclosed annual generated-output volume or metered serving telemetry.</t>
        </is>
      </c>
    </row>
    <row r="2831">
      <c r="A2831" s="3" t="inlineStr">
        <is>
          <t>DeepSeek</t>
        </is>
      </c>
      <c r="B2831" s="3" t="n">
        <v>2029</v>
      </c>
      <c r="C2831" s="3" t="inlineStr">
        <is>
          <t>Bull</t>
        </is>
      </c>
      <c r="D2831" s="3" t="inlineStr">
        <is>
          <t>contracted_power_gw</t>
        </is>
      </c>
      <c r="E2831" s="3" t="n">
        <v>1.475</v>
      </c>
      <c r="F2831" s="3" t="inlineStr">
        <is>
          <t>GW</t>
        </is>
      </c>
      <c r="G2831" s="3" t="inlineStr">
        <is>
          <t>Scenario capacity envelope</t>
        </is>
      </c>
      <c r="H2831" s="3" t="inlineStr">
        <is>
          <t>linear interpolation between 2026 and 2030 company capacity endpoints</t>
        </is>
      </c>
      <c r="I2831" s="3" t="inlineStr">
        <is>
          <t>Capacity is a low-transparency scenario; official infrastructure evidence supports H800 inference hardware, not company GW.</t>
        </is>
      </c>
      <c r="J2831" s="3" t="inlineStr">
        <is>
          <t>SRC_DEEPSEEK_H800_INFERENCE; ASSUMP_CN_CAPACITY_TRANSPARENCY</t>
        </is>
      </c>
      <c r="K2831" s="3" t="inlineStr">
        <is>
          <t>ASSUMP_MOE_EFFICIENCY; ASSUMP_CN_CAPACITY_TRANSPARENCY; ASSUMP_NUMERIC_ACCELERATOR_MIX; ASSUMP_INFERENCE_SHARE_NOT_FACT_60; ASSUMP_WORKLOAD_CLASS_MIX; ASSUMP_AGENTIC_CONTEXT_PENALTY</t>
        </is>
      </c>
      <c r="L2831" s="3" t="inlineStr">
        <is>
          <t>Company/site-level committed MW/GW, interconnect and contract disclosure.</t>
        </is>
      </c>
    </row>
    <row r="2832">
      <c r="A2832" s="3" t="inlineStr">
        <is>
          <t>DeepSeek</t>
        </is>
      </c>
      <c r="B2832" s="3" t="n">
        <v>2029</v>
      </c>
      <c r="C2832" s="3" t="inlineStr">
        <is>
          <t>Bull</t>
        </is>
      </c>
      <c r="D2832" s="3" t="inlineStr">
        <is>
          <t>operational_deployment_share</t>
        </is>
      </c>
      <c r="E2832" s="3" t="n">
        <v>0.72949153</v>
      </c>
      <c r="F2832" s="3" t="inlineStr">
        <is>
          <t>share</t>
        </is>
      </c>
      <c r="G2832" s="3" t="inlineStr">
        <is>
          <t>Scenario conversion</t>
        </is>
      </c>
      <c r="H2832" s="3" t="inlineStr">
        <is>
          <t>active_power_gw / contracted_power_gw</t>
        </is>
      </c>
      <c r="I2832" s="3" t="inlineStr">
        <is>
          <t>This is the single explicit conversion from contracted/attributed capacity to operationally usable capacity.</t>
        </is>
      </c>
      <c r="J2832" s="3" t="inlineStr">
        <is>
          <t>SRC_DEEPSEEK_H800_INFERENCE; ASSUMP_CN_CAPACITY_TRANSPARENCY</t>
        </is>
      </c>
      <c r="K2832" s="3" t="inlineStr">
        <is>
          <t>ASSUMP_MOE_EFFICIENCY; ASSUMP_CN_CAPACITY_TRANSPARENCY; ASSUMP_NUMERIC_ACCELERATOR_MIX; ASSUMP_INFERENCE_SHARE_NOT_FACT_60; ASSUMP_WORKLOAD_CLASS_MIX; ASSUMP_AGENTIC_CONTEXT_PENALTY</t>
        </is>
      </c>
      <c r="L2832" s="3" t="inlineStr">
        <is>
          <t>Energized operational capacity divided by contracted/attributed capacity.</t>
        </is>
      </c>
    </row>
    <row r="2833">
      <c r="A2833" s="3" t="inlineStr">
        <is>
          <t>DeepSeek</t>
        </is>
      </c>
      <c r="B2833" s="3" t="n">
        <v>2029</v>
      </c>
      <c r="C2833" s="3" t="inlineStr">
        <is>
          <t>Bull</t>
        </is>
      </c>
      <c r="D2833" s="3" t="inlineStr">
        <is>
          <t>active_power_gw</t>
        </is>
      </c>
      <c r="E2833" s="3" t="n">
        <v>1.076</v>
      </c>
      <c r="F2833" s="3" t="inlineStr">
        <is>
          <t>GW</t>
        </is>
      </c>
      <c r="G2833" s="3" t="inlineStr">
        <is>
          <t>Derived scenario</t>
        </is>
      </c>
      <c r="H2833" s="3" t="inlineStr">
        <is>
          <t>contracted_power_gw * operational_deployment_share</t>
        </is>
      </c>
      <c r="I2833" s="3" t="inlineStr">
        <is>
          <t>Active GW is conservative because operated cluster scale beyond disclosed infrastructure is not public.</t>
        </is>
      </c>
      <c r="J2833" s="3" t="inlineStr">
        <is>
          <t>SRC_DEEPSEEK_H800_INFERENCE; ASSUMP_CN_CAPACITY_TRANSPARENCY</t>
        </is>
      </c>
      <c r="K2833" s="3" t="inlineStr">
        <is>
          <t>ASSUMP_MOE_EFFICIENCY; ASSUMP_CN_CAPACITY_TRANSPARENCY; ASSUMP_NUMERIC_ACCELERATOR_MIX; ASSUMP_INFERENCE_SHARE_NOT_FACT_60; ASSUMP_WORKLOAD_CLASS_MIX; ASSUMP_AGENTIC_CONTEXT_PENALTY</t>
        </is>
      </c>
      <c r="L2833" s="3" t="inlineStr">
        <is>
          <t>Energization dates, accelerator deliveries and operational powered-rack telemetry.</t>
        </is>
      </c>
    </row>
    <row r="2834">
      <c r="A2834" s="3" t="inlineStr">
        <is>
          <t>DeepSeek</t>
        </is>
      </c>
      <c r="B2834" s="3" t="n">
        <v>2029</v>
      </c>
      <c r="C2834" s="3" t="inlineStr">
        <is>
          <t>Bull</t>
        </is>
      </c>
      <c r="D2834" s="3" t="inlineStr">
        <is>
          <t>pue</t>
        </is>
      </c>
      <c r="E2834" s="3" t="n">
        <v>1.24</v>
      </c>
      <c r="F2834" s="3" t="inlineStr">
        <is>
          <t>ratio</t>
        </is>
      </c>
      <c r="G2834" s="3" t="inlineStr">
        <is>
          <t>Scenario parameter</t>
        </is>
      </c>
      <c r="H2834" s="3" t="inlineStr">
        <is>
          <t>it_load_gw = active_power_gw / pue</t>
        </is>
      </c>
      <c r="I2834" s="3" t="inlineStr">
        <is>
          <t>No provider-wide site-level PUE is used as a disclosed fact; PUE represents facility-to-IT conversion within the scenario.</t>
        </is>
      </c>
      <c r="J2834" s="3" t="inlineStr">
        <is>
          <t>ASSUMP_POWER_RAMP</t>
        </is>
      </c>
      <c r="K2834" s="3" t="inlineStr">
        <is>
          <t>ASSUMP_MOE_EFFICIENCY; ASSUMP_CN_CAPACITY_TRANSPARENCY; ASSUMP_NUMERIC_ACCELERATOR_MIX; ASSUMP_INFERENCE_SHARE_NOT_FACT_60; ASSUMP_WORKLOAD_CLASS_MIX; ASSUMP_AGENTIC_CONTEXT_PENALTY</t>
        </is>
      </c>
      <c r="L2834" s="3" t="inlineStr">
        <is>
          <t>Site-level measured PUE matched to attributed AI capacity.</t>
        </is>
      </c>
    </row>
    <row r="2835">
      <c r="A2835" s="3" t="inlineStr">
        <is>
          <t>DeepSeek</t>
        </is>
      </c>
      <c r="B2835" s="3" t="n">
        <v>2029</v>
      </c>
      <c r="C2835" s="3" t="inlineStr">
        <is>
          <t>Bull</t>
        </is>
      </c>
      <c r="D2835" s="3" t="inlineStr">
        <is>
          <t>it_load_gw</t>
        </is>
      </c>
      <c r="E2835" s="3" t="n">
        <v>0.868</v>
      </c>
      <c r="F2835" s="3" t="inlineStr">
        <is>
          <t>GW</t>
        </is>
      </c>
      <c r="G2835" s="3" t="inlineStr">
        <is>
          <t>Derived formula</t>
        </is>
      </c>
      <c r="H2835" s="3" t="inlineStr">
        <is>
          <t>active_power_gw / pue</t>
        </is>
      </c>
      <c r="I2835" s="3" t="inlineStr">
        <is>
          <t>Facility power is converted to IT-deliverable power before attributing AI workloads.</t>
        </is>
      </c>
      <c r="J2835" s="3" t="inlineStr">
        <is>
          <t>SRC_DEEPSEEK_H800_INFERENCE; ASSUMP_CN_CAPACITY_TRANSPARENCY</t>
        </is>
      </c>
      <c r="K2835" s="3" t="inlineStr">
        <is>
          <t>ASSUMP_MOE_EFFICIENCY; ASSUMP_CN_CAPACITY_TRANSPARENCY; ASSUMP_NUMERIC_ACCELERATOR_MIX; ASSUMP_INFERENCE_SHARE_NOT_FACT_60; ASSUMP_WORKLOAD_CLASS_MIX; ASSUMP_AGENTIC_CONTEXT_PENALTY</t>
        </is>
      </c>
      <c r="L2835" s="3" t="inlineStr">
        <is>
          <t>Recompute once active power and PUE become site-observable.</t>
        </is>
      </c>
    </row>
    <row r="2836">
      <c r="A2836" s="3" t="inlineStr">
        <is>
          <t>DeepSeek</t>
        </is>
      </c>
      <c r="B2836" s="3" t="n">
        <v>2029</v>
      </c>
      <c r="C2836" s="3" t="inlineStr">
        <is>
          <t>Bull</t>
        </is>
      </c>
      <c r="D2836" s="3" t="inlineStr">
        <is>
          <t>ai_workload_share</t>
        </is>
      </c>
      <c r="E2836" s="3" t="n">
        <v>0.82</v>
      </c>
      <c r="F2836" s="3" t="inlineStr">
        <is>
          <t>share</t>
        </is>
      </c>
      <c r="G2836" s="3" t="inlineStr">
        <is>
          <t>Scenario allocation</t>
        </is>
      </c>
      <c r="H2836" s="3" t="inlineStr">
        <is>
          <t>ai_it_load_gw = it_load_gw * ai_workload_share</t>
        </is>
      </c>
      <c r="I2836" s="3" t="inlineStr">
        <is>
          <t>DeepSeek-operated service capacity is modeled as AI-focused, reduced for reserve and ancillary processing.</t>
        </is>
      </c>
      <c r="J2836" s="3" t="inlineStr">
        <is>
          <t>SRC_DEEPSEEK_V3; SRC_DEEPSEEK_R1; SRC_DEEPSEEK_H800_INFERENCE; SRC_EPOCH_AI_DATA_CENTERS</t>
        </is>
      </c>
      <c r="K2836" s="3" t="inlineStr">
        <is>
          <t>ASSUMP_MOE_EFFICIENCY; ASSUMP_CN_CAPACITY_TRANSPARENCY; ASSUMP_NUMERIC_ACCELERATOR_MIX; ASSUMP_INFERENCE_SHARE_NOT_FACT_60; ASSUMP_WORKLOAD_CLASS_MIX; ASSUMP_AGENTIC_CONTEXT_PENALTY</t>
        </is>
      </c>
      <c r="L2836" s="3" t="inlineStr">
        <is>
          <t>Model-owner AI workload allocation or cluster scheduling telemetry.</t>
        </is>
      </c>
    </row>
    <row r="2837">
      <c r="A2837" s="3" t="inlineStr">
        <is>
          <t>DeepSeek</t>
        </is>
      </c>
      <c r="B2837" s="3" t="n">
        <v>2029</v>
      </c>
      <c r="C2837" s="3" t="inlineStr">
        <is>
          <t>Bull</t>
        </is>
      </c>
      <c r="D2837" s="3" t="inlineStr">
        <is>
          <t>ai_it_load_gw</t>
        </is>
      </c>
      <c r="E2837" s="3" t="n">
        <v>0.711</v>
      </c>
      <c r="F2837" s="3" t="inlineStr">
        <is>
          <t>GW</t>
        </is>
      </c>
      <c r="G2837" s="3" t="inlineStr">
        <is>
          <t>Derived formula</t>
        </is>
      </c>
      <c r="H2837" s="3" t="inlineStr">
        <is>
          <t>it_load_gw * ai_workload_share</t>
        </is>
      </c>
      <c r="I2837" s="3" t="inlineStr">
        <is>
          <t>Only the AI-attributed portion of IT load enters training/inference allocation.</t>
        </is>
      </c>
      <c r="J2837" s="3" t="inlineStr">
        <is>
          <t>SRC_DEEPSEEK_V3; SRC_DEEPSEEK_R1; SRC_DEEPSEEK_H800_INFERENCE; SRC_EPOCH_AI_DATA_CENTERS</t>
        </is>
      </c>
      <c r="K2837" s="3" t="inlineStr">
        <is>
          <t>ASSUMP_MOE_EFFICIENCY; ASSUMP_CN_CAPACITY_TRANSPARENCY; ASSUMP_NUMERIC_ACCELERATOR_MIX; ASSUMP_INFERENCE_SHARE_NOT_FACT_60; ASSUMP_WORKLOAD_CLASS_MIX; ASSUMP_AGENTIC_CONTEXT_PENALTY</t>
        </is>
      </c>
      <c r="L2837" s="3" t="inlineStr">
        <is>
          <t>Recompute after ai_workload_share is replaced by telemetry.</t>
        </is>
      </c>
    </row>
    <row r="2838">
      <c r="A2838" s="3" t="inlineStr">
        <is>
          <t>DeepSeek</t>
        </is>
      </c>
      <c r="B2838" s="3" t="n">
        <v>2029</v>
      </c>
      <c r="C2838" s="3" t="inlineStr">
        <is>
          <t>Bull</t>
        </is>
      </c>
      <c r="D2838" s="3" t="inlineStr">
        <is>
          <t>gpu_share</t>
        </is>
      </c>
      <c r="E2838" s="3" t="n">
        <v>1</v>
      </c>
      <c r="F2838" s="3" t="inlineStr">
        <is>
          <t>share of inference-serving accelerator load</t>
        </is>
      </c>
      <c r="G2838" s="3" t="inlineStr">
        <is>
          <t>Numeric scenario</t>
        </is>
      </c>
      <c r="H2838" s="3" t="inlineStr">
        <is>
          <t>gpu_share interpolated from company 2026/2030 accelerator-mix endpoints</t>
        </is>
      </c>
      <c r="I2838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838" s="3" t="inlineStr">
        <is>
          <t>SRC_DEEPSEEK_V3; SRC_DEEPSEEK_R1; SRC_DEEPSEEK_H800_INFERENCE; SRC_EPOCH_AI_DATA_CENTERS; ASSUMP_NUMERIC_ACCELERATOR_MIX</t>
        </is>
      </c>
      <c r="K2838" s="3" t="inlineStr">
        <is>
          <t>ASSUMP_MOE_EFFICIENCY; ASSUMP_CN_CAPACITY_TRANSPARENCY; ASSUMP_NUMERIC_ACCELERATOR_MIX; ASSUMP_INFERENCE_SHARE_NOT_FACT_60; ASSUMP_WORKLOAD_CLASS_MIX; ASSUMP_AGENTIC_CONTEXT_PENALTY</t>
        </is>
      </c>
      <c r="L2838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839">
      <c r="A2839" s="3" t="inlineStr">
        <is>
          <t>DeepSeek</t>
        </is>
      </c>
      <c r="B2839" s="3" t="n">
        <v>2029</v>
      </c>
      <c r="C2839" s="3" t="inlineStr">
        <is>
          <t>Bull</t>
        </is>
      </c>
      <c r="D2839" s="3" t="inlineStr">
        <is>
          <t>h200_share</t>
        </is>
      </c>
      <c r="E2839" s="3" t="n">
        <v>0.213</v>
      </c>
      <c r="F2839" s="3" t="inlineStr">
        <is>
          <t>share of inference-serving accelerator load</t>
        </is>
      </c>
      <c r="G2839" s="3" t="inlineStr">
        <is>
          <t>Editable numeric scenario</t>
        </is>
      </c>
      <c r="H2839" s="3" t="inlineStr">
        <is>
          <t>h200_share = gpu_share * default_gpu_generation_mix_h200</t>
        </is>
      </c>
      <c r="I2839" s="3" t="inlineStr">
        <is>
          <t>Default GPU-generation migration assumption; executive workbook allows later manual replacement by company/year/scenario.</t>
        </is>
      </c>
      <c r="J2839" s="3" t="inlineStr">
        <is>
          <t>SRC_SEMIANALYSIS_INFERENCEX; ASSUMP_NUMERIC_ACCELERATOR_MIX</t>
        </is>
      </c>
      <c r="K2839" s="3" t="inlineStr">
        <is>
          <t>ASSUMP_MOE_EFFICIENCY; ASSUMP_CN_CAPACITY_TRANSPARENCY; ASSUMP_NUMERIC_ACCELERATOR_MIX; ASSUMP_INFERENCE_SHARE_NOT_FACT_60; ASSUMP_WORKLOAD_CLASS_MIX; ASSUMP_AGENTIC_CONTEXT_PENALTY</t>
        </is>
      </c>
      <c r="L2839" s="3" t="inlineStr">
        <is>
          <t>Company fleet inventory, accelerator-hours or procurement/deployment records by GPU generation.</t>
        </is>
      </c>
    </row>
    <row r="2840">
      <c r="A2840" s="3" t="inlineStr">
        <is>
          <t>DeepSeek</t>
        </is>
      </c>
      <c r="B2840" s="3" t="n">
        <v>2029</v>
      </c>
      <c r="C2840" s="3" t="inlineStr">
        <is>
          <t>Bull</t>
        </is>
      </c>
      <c r="D2840" s="3" t="inlineStr">
        <is>
          <t>b200_share</t>
        </is>
      </c>
      <c r="E2840" s="3" t="n">
        <v>0.362</v>
      </c>
      <c r="F2840" s="3" t="inlineStr">
        <is>
          <t>share of inference-serving accelerator load</t>
        </is>
      </c>
      <c r="G2840" s="3" t="inlineStr">
        <is>
          <t>Editable numeric scenario</t>
        </is>
      </c>
      <c r="H2840" s="3" t="inlineStr">
        <is>
          <t>b200_share = gpu_share * default_gpu_generation_mix_b200</t>
        </is>
      </c>
      <c r="I2840" s="3" t="inlineStr">
        <is>
          <t>Default GPU-generation migration assumption; executive workbook allows later manual replacement by company/year/scenario.</t>
        </is>
      </c>
      <c r="J2840" s="3" t="inlineStr">
        <is>
          <t>SRC_SEMIANALYSIS_INFERENCEX; ASSUMP_NUMERIC_ACCELERATOR_MIX</t>
        </is>
      </c>
      <c r="K2840" s="3" t="inlineStr">
        <is>
          <t>ASSUMP_MOE_EFFICIENCY; ASSUMP_CN_CAPACITY_TRANSPARENCY; ASSUMP_NUMERIC_ACCELERATOR_MIX; ASSUMP_INFERENCE_SHARE_NOT_FACT_60; ASSUMP_WORKLOAD_CLASS_MIX; ASSUMP_AGENTIC_CONTEXT_PENALTY</t>
        </is>
      </c>
      <c r="L2840" s="3" t="inlineStr">
        <is>
          <t>Company fleet inventory, accelerator-hours or procurement/deployment records by GPU generation.</t>
        </is>
      </c>
    </row>
    <row r="2841">
      <c r="A2841" s="3" t="inlineStr">
        <is>
          <t>DeepSeek</t>
        </is>
      </c>
      <c r="B2841" s="3" t="n">
        <v>2029</v>
      </c>
      <c r="C2841" s="3" t="inlineStr">
        <is>
          <t>Bull</t>
        </is>
      </c>
      <c r="D2841" s="3" t="inlineStr">
        <is>
          <t>gb200_share</t>
        </is>
      </c>
      <c r="E2841" s="3" t="n">
        <v>0.425</v>
      </c>
      <c r="F2841" s="3" t="inlineStr">
        <is>
          <t>share of inference-serving accelerator load</t>
        </is>
      </c>
      <c r="G2841" s="3" t="inlineStr">
        <is>
          <t>Editable numeric scenario</t>
        </is>
      </c>
      <c r="H2841" s="3" t="inlineStr">
        <is>
          <t>gb200_share = gpu_share * default_gpu_generation_mix_gb200</t>
        </is>
      </c>
      <c r="I2841" s="3" t="inlineStr">
        <is>
          <t>Default GPU-generation migration assumption; executive workbook allows later manual replacement by company/year/scenario.</t>
        </is>
      </c>
      <c r="J2841" s="3" t="inlineStr">
        <is>
          <t>SRC_SEMIANALYSIS_INFERENCEX; ASSUMP_NUMERIC_ACCELERATOR_MIX</t>
        </is>
      </c>
      <c r="K2841" s="3" t="inlineStr">
        <is>
          <t>ASSUMP_MOE_EFFICIENCY; ASSUMP_CN_CAPACITY_TRANSPARENCY; ASSUMP_NUMERIC_ACCELERATOR_MIX; ASSUMP_INFERENCE_SHARE_NOT_FACT_60; ASSUMP_WORKLOAD_CLASS_MIX; ASSUMP_AGENTIC_CONTEXT_PENALTY</t>
        </is>
      </c>
      <c r="L2841" s="3" t="inlineStr">
        <is>
          <t>Company fleet inventory, accelerator-hours or procurement/deployment records by GPU generation.</t>
        </is>
      </c>
    </row>
    <row r="2842">
      <c r="A2842" s="3" t="inlineStr">
        <is>
          <t>DeepSeek</t>
        </is>
      </c>
      <c r="B2842" s="3" t="n">
        <v>2029</v>
      </c>
      <c r="C2842" s="3" t="inlineStr">
        <is>
          <t>Bull</t>
        </is>
      </c>
      <c r="D2842" s="3" t="inlineStr">
        <is>
          <t>purpose_built_accelerator_share</t>
        </is>
      </c>
      <c r="E2842" s="3" t="n">
        <v>0</v>
      </c>
      <c r="F2842" s="3" t="inlineStr">
        <is>
          <t>share of inference-serving accelerator load</t>
        </is>
      </c>
      <c r="G2842" s="3" t="inlineStr">
        <is>
          <t>Numeric scenario</t>
        </is>
      </c>
      <c r="H2842" s="3" t="inlineStr">
        <is>
          <t>1 - gpu_share</t>
        </is>
      </c>
      <c r="I2842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842" s="3" t="inlineStr">
        <is>
          <t>SRC_DEEPSEEK_V3; SRC_DEEPSEEK_R1; SRC_DEEPSEEK_H800_INFERENCE; SRC_EPOCH_AI_DATA_CENTERS; ASSUMP_NUMERIC_ACCELERATOR_MIX</t>
        </is>
      </c>
      <c r="K2842" s="3" t="inlineStr">
        <is>
          <t>ASSUMP_MOE_EFFICIENCY; ASSUMP_CN_CAPACITY_TRANSPARENCY; ASSUMP_NUMERIC_ACCELERATOR_MIX; ASSUMP_INFERENCE_SHARE_NOT_FACT_60; ASSUMP_WORKLOAD_CLASS_MIX; ASSUMP_AGENTIC_CONTEXT_PENALTY</t>
        </is>
      </c>
      <c r="L2842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843">
      <c r="A2843" s="3" t="inlineStr">
        <is>
          <t>DeepSeek</t>
        </is>
      </c>
      <c r="B2843" s="3" t="n">
        <v>2029</v>
      </c>
      <c r="C2843" s="3" t="inlineStr">
        <is>
          <t>Bull</t>
        </is>
      </c>
      <c r="D2843" s="3" t="inlineStr">
        <is>
          <t>fleet_reference_tps_per_mw</t>
        </is>
      </c>
      <c r="E2843" s="3" t="n">
        <v>173214</v>
      </c>
      <c r="F2843" s="3" t="inlineStr">
        <is>
          <t>generated output tokens/sec/MW</t>
        </is>
      </c>
      <c r="G2843" s="3" t="inlineStr">
        <is>
          <t>Fleet-weighted public benchmark reference</t>
        </is>
      </c>
      <c r="H2843" s="3" t="inlineStr">
        <is>
          <t>h200_share*h200_workload_avg + b200_share*b200_workload_avg + gb200_share*gb200_workload_avg + purpose_built_share*purpose_workload_avg</t>
        </is>
      </c>
      <c r="I2843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43" s="3" t="inlineStr">
        <is>
          <t>SRC_SEMIANALYSIS_INFERENCEX; ASSUMP_NUMERIC_ACCELERATOR_MIX; ASSUMP_WORKLOAD_CLASS_MIX; ASSUMP_AGENTIC_CONTEXT_PENALTY</t>
        </is>
      </c>
      <c r="K2843" s="3" t="inlineStr">
        <is>
          <t>ASSUMP_MOE_EFFICIENCY; ASSUMP_CN_CAPACITY_TRANSPARENCY; ASSUMP_NUMERIC_ACCELERATOR_MIX; ASSUMP_INFERENCE_SHARE_NOT_FACT_60; ASSUMP_WORKLOAD_CLASS_MIX; ASSUMP_AGENTIC_CONTEXT_PENALTY</t>
        </is>
      </c>
      <c r="L2843" s="3" t="inlineStr">
        <is>
          <t>Comparable production output-token throughput or a more closely matched benchmark.</t>
        </is>
      </c>
    </row>
    <row r="2844">
      <c r="A2844" s="3" t="inlineStr">
        <is>
          <t>DeepSeek</t>
        </is>
      </c>
      <c r="B2844" s="3" t="n">
        <v>2029</v>
      </c>
      <c r="C2844" s="3" t="inlineStr">
        <is>
          <t>Bull</t>
        </is>
      </c>
      <c r="D2844" s="3" t="inlineStr">
        <is>
          <t>commercial_workload_fit_factor</t>
        </is>
      </c>
      <c r="E2844" s="3" t="n">
        <v>1</v>
      </c>
      <c r="F2844" s="3" t="inlineStr">
        <is>
          <t>share of public reference throughput</t>
        </is>
      </c>
      <c r="G2844" s="3" t="inlineStr">
        <is>
          <t>Scenario assumption</t>
        </is>
      </c>
      <c r="H2844" s="3" t="inlineStr">
        <is>
          <t>reference_serving_tps_per_mw = fleet_reference_tps_per_mw * commercial_workload_fit_factor</t>
        </is>
      </c>
      <c r="I2844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44" s="3" t="inlineStr">
        <is>
          <t>SRC_SEMIANALYSIS_INFERENCEX; ASSUMP_NUMERIC_ACCELERATOR_MIX; ASSUMP_WORKLOAD_CLASS_MIX; ASSUMP_AGENTIC_CONTEXT_PENALTY</t>
        </is>
      </c>
      <c r="K2844" s="3" t="inlineStr">
        <is>
          <t>ASSUMP_MOE_EFFICIENCY; ASSUMP_CN_CAPACITY_TRANSPARENCY; ASSUMP_NUMERIC_ACCELERATOR_MIX; ASSUMP_INFERENCE_SHARE_NOT_FACT_60; ASSUMP_WORKLOAD_CLASS_MIX; ASSUMP_AGENTIC_CONTEXT_PENALTY</t>
        </is>
      </c>
      <c r="L2844" s="3" t="inlineStr">
        <is>
          <t>Matched commercial serving benchmark by product surface, context shape and latency SLO.</t>
        </is>
      </c>
    </row>
    <row r="2845">
      <c r="A2845" s="3" t="inlineStr">
        <is>
          <t>DeepSeek</t>
        </is>
      </c>
      <c r="B2845" s="3" t="n">
        <v>2029</v>
      </c>
      <c r="C2845" s="3" t="inlineStr">
        <is>
          <t>Bull</t>
        </is>
      </c>
      <c r="D2845" s="3" t="inlineStr">
        <is>
          <t>reference_serving_tps_per_mw</t>
        </is>
      </c>
      <c r="E2845" s="3" t="n">
        <v>173214</v>
      </c>
      <c r="F2845" s="3" t="inlineStr">
        <is>
          <t>generated output tokens/sec/MW</t>
        </is>
      </c>
      <c r="G2845" s="3" t="inlineStr">
        <is>
          <t>Workload-adjusted benchmark proxy</t>
        </is>
      </c>
      <c r="H2845" s="3" t="inlineStr">
        <is>
          <t>fleet_reference_tps_per_mw * commercial_workload_fit_factor</t>
        </is>
      </c>
      <c r="I2845" s="3" t="inlineStr">
        <is>
          <t>This is the coefficient used for headline token generation; each GPU's short chat, long chat and agentic TPS/MW are weighted before fleet mix and commercial fit are applied.</t>
        </is>
      </c>
      <c r="J2845" s="3" t="inlineStr">
        <is>
          <t>SRC_SEMIANALYSIS_INFERENCEX; ASSUMP_NUMERIC_ACCELERATOR_MIX; ASSUMP_WORKLOAD_CLASS_MIX; ASSUMP_AGENTIC_CONTEXT_PENALTY</t>
        </is>
      </c>
      <c r="K2845" s="3" t="inlineStr">
        <is>
          <t>ASSUMP_MOE_EFFICIENCY; ASSUMP_CN_CAPACITY_TRANSPARENCY; ASSUMP_NUMERIC_ACCELERATOR_MIX; ASSUMP_INFERENCE_SHARE_NOT_FACT_60; ASSUMP_WORKLOAD_CLASS_MIX; ASSUMP_AGENTIC_CONTEXT_PENALTY</t>
        </is>
      </c>
      <c r="L2845" s="3" t="inlineStr">
        <is>
          <t>Provider production output-token throughput with comparable workload/SLO.</t>
        </is>
      </c>
    </row>
    <row r="2846">
      <c r="A2846" s="3" t="inlineStr">
        <is>
          <t>DeepSeek</t>
        </is>
      </c>
      <c r="B2846" s="3" t="n">
        <v>2029</v>
      </c>
      <c r="C2846" s="3" t="inlineStr">
        <is>
          <t>Bull</t>
        </is>
      </c>
      <c r="D2846" s="3" t="inlineStr">
        <is>
          <t>purpose_built_tps_per_mw</t>
        </is>
      </c>
      <c r="E2846" s="3" t="n">
        <v>393572</v>
      </c>
      <c r="F2846" s="3" t="inlineStr">
        <is>
          <t>generated output tokens/sec/MW</t>
        </is>
      </c>
      <c r="G2846" s="3" t="inlineStr">
        <is>
          <t>Conservative no-uplift proxy</t>
        </is>
      </c>
      <c r="H2846" s="3" t="inlineStr">
        <is>
          <t>purpose_built_tps_per_mw = purpose_built_reference_tps_per_mw * commercial_workload_fit_factor until comparable output-token benchmark is adopted</t>
        </is>
      </c>
      <c r="I2846" s="3" t="inlineStr">
        <is>
          <t>No comparable public output-token/MW row adopted; B200 public reference placeholder is used and remains editable.</t>
        </is>
      </c>
      <c r="J2846" s="3" t="inlineStr">
        <is>
          <t>SRC_DEEPSEEK_V3; SRC_DEEPSEEK_R1; SRC_DEEPSEEK_H800_INFERENCE; SRC_EPOCH_AI_DATA_CENTERS; ASSUMP_NUMERIC_ACCELERATOR_MIX</t>
        </is>
      </c>
      <c r="K2846" s="3" t="inlineStr">
        <is>
          <t>ASSUMP_MOE_EFFICIENCY; ASSUMP_CN_CAPACITY_TRANSPARENCY; ASSUMP_NUMERIC_ACCELERATOR_MIX; ASSUMP_INFERENCE_SHARE_NOT_FACT_60; ASSUMP_WORKLOAD_CLASS_MIX; ASSUMP_AGENTIC_CONTEXT_PENALTY</t>
        </is>
      </c>
      <c r="L2846" s="3" t="inlineStr">
        <is>
          <t>Matched-workload generated-output benchmark for the provider purpose-built accelerator.</t>
        </is>
      </c>
    </row>
    <row r="2847">
      <c r="A2847" s="3" t="inlineStr">
        <is>
          <t>DeepSeek</t>
        </is>
      </c>
      <c r="B2847" s="3" t="n">
        <v>2029</v>
      </c>
      <c r="C2847" s="3" t="inlineStr">
        <is>
          <t>Bull</t>
        </is>
      </c>
      <c r="D2847" s="3" t="inlineStr">
        <is>
          <t>inference_power_share</t>
        </is>
      </c>
      <c r="E2847" s="3" t="n">
        <v>0.843</v>
      </c>
      <c r="F2847" s="3" t="inlineStr">
        <is>
          <t>share of AI IT load</t>
        </is>
      </c>
      <c r="G2847" s="3" t="inlineStr">
        <is>
          <t>Scenario allocation</t>
        </is>
      </c>
      <c r="H2847" s="3" t="inlineStr">
        <is>
          <t>inference_gw = ai_it_load_gw * inference_power_share</t>
        </is>
      </c>
      <c r="I2847" s="3" t="inlineStr">
        <is>
          <t>API/app availability and inference-system disclosure support higher inference share; the value remains scenario.</t>
        </is>
      </c>
      <c r="J2847" s="3" t="inlineStr">
        <is>
          <t>SRC_DEEPSEEK_V3; SRC_DEEPSEEK_R1; SRC_DEEPSEEK_H800_INFERENCE; SRC_EPOCH_AI_DATA_CENTERS; ASSUMP_INFERENCE_SHARE_NOT_FACT_60</t>
        </is>
      </c>
      <c r="K2847" s="3" t="inlineStr">
        <is>
          <t>ASSUMP_MOE_EFFICIENCY; ASSUMP_CN_CAPACITY_TRANSPARENCY; ASSUMP_NUMERIC_ACCELERATOR_MIX; ASSUMP_INFERENCE_SHARE_NOT_FACT_60; ASSUMP_WORKLOAD_CLASS_MIX; ASSUMP_AGENTIC_CONTEXT_PENALTY</t>
        </is>
      </c>
      <c r="L2847" s="3" t="inlineStr">
        <is>
          <t>Provider-specific inference/training workload power telemetry.</t>
        </is>
      </c>
    </row>
    <row r="2848">
      <c r="A2848" s="3" t="inlineStr">
        <is>
          <t>DeepSeek</t>
        </is>
      </c>
      <c r="B2848" s="3" t="n">
        <v>2029</v>
      </c>
      <c r="C2848" s="3" t="inlineStr">
        <is>
          <t>Bull</t>
        </is>
      </c>
      <c r="D2848" s="3" t="inlineStr">
        <is>
          <t>inference_gw</t>
        </is>
      </c>
      <c r="E2848" s="3" t="n">
        <v>0.599</v>
      </c>
      <c r="F2848" s="3" t="inlineStr">
        <is>
          <t>GW</t>
        </is>
      </c>
      <c r="G2848" s="3" t="inlineStr">
        <is>
          <t>Derived formula</t>
        </is>
      </c>
      <c r="H2848" s="3" t="inlineStr">
        <is>
          <t>ai_it_load_gw * inference_power_share</t>
        </is>
      </c>
      <c r="I2848" s="3" t="inlineStr">
        <is>
          <t>This is the operational power eligible to become commercial generated output tokens through the selected TPS/MW proxy.</t>
        </is>
      </c>
      <c r="J2848" s="3" t="inlineStr">
        <is>
          <t>SRC_DEEPSEEK_V3; SRC_DEEPSEEK_R1; SRC_DEEPSEEK_H800_INFERENCE; SRC_EPOCH_AI_DATA_CENTERS</t>
        </is>
      </c>
      <c r="K2848" s="3" t="inlineStr">
        <is>
          <t>ASSUMP_MOE_EFFICIENCY; ASSUMP_CN_CAPACITY_TRANSPARENCY; ASSUMP_NUMERIC_ACCELERATOR_MIX; ASSUMP_INFERENCE_SHARE_NOT_FACT_60; ASSUMP_WORKLOAD_CLASS_MIX; ASSUMP_AGENTIC_CONTEXT_PENALTY</t>
        </is>
      </c>
      <c r="L2848" s="3" t="inlineStr">
        <is>
          <t>Recompute after AI allocation or inference-share evidence changes.</t>
        </is>
      </c>
    </row>
    <row r="2849">
      <c r="A2849" s="3" t="inlineStr">
        <is>
          <t>DeepSeek</t>
        </is>
      </c>
      <c r="B2849" s="3" t="n">
        <v>2029</v>
      </c>
      <c r="C2849" s="3" t="inlineStr">
        <is>
          <t>Bull</t>
        </is>
      </c>
      <c r="D2849" s="3" t="inlineStr">
        <is>
          <t>training_power_share</t>
        </is>
      </c>
      <c r="E2849" s="3" t="n">
        <v>0.157</v>
      </c>
      <c r="F2849" s="3" t="inlineStr">
        <is>
          <t>share of AI IT load</t>
        </is>
      </c>
      <c r="G2849" s="3" t="inlineStr">
        <is>
          <t>Derived allocation</t>
        </is>
      </c>
      <c r="H2849" s="3" t="inlineStr">
        <is>
          <t>1 - inference_power_share</t>
        </is>
      </c>
      <c r="I2849" s="3" t="inlineStr">
        <is>
          <t>Training receives the complementary modeled AI IT allocation; it is not a disclosed company workload split.</t>
        </is>
      </c>
      <c r="J2849" s="3" t="inlineStr">
        <is>
          <t>SRC_DEEPSEEK_V3; SRC_DEEPSEEK_R1; SRC_DEEPSEEK_H800_INFERENCE; SRC_EPOCH_AI_DATA_CENTERS; ASSUMP_INFERENCE_SHARE_NOT_FACT_60</t>
        </is>
      </c>
      <c r="K2849" s="3" t="inlineStr">
        <is>
          <t>ASSUMP_MOE_EFFICIENCY; ASSUMP_CN_CAPACITY_TRANSPARENCY; ASSUMP_NUMERIC_ACCELERATOR_MIX; ASSUMP_INFERENCE_SHARE_NOT_FACT_60; ASSUMP_WORKLOAD_CLASS_MIX; ASSUMP_AGENTIC_CONTEXT_PENALTY</t>
        </is>
      </c>
      <c r="L2849" s="3" t="inlineStr">
        <is>
          <t>Provider-specific inference/training workload power telemetry.</t>
        </is>
      </c>
    </row>
    <row r="2850">
      <c r="A2850" s="3" t="inlineStr">
        <is>
          <t>DeepSeek</t>
        </is>
      </c>
      <c r="B2850" s="3" t="n">
        <v>2029</v>
      </c>
      <c r="C2850" s="3" t="inlineStr">
        <is>
          <t>Bull</t>
        </is>
      </c>
      <c r="D2850" s="3" t="inlineStr">
        <is>
          <t>training_gw</t>
        </is>
      </c>
      <c r="E2850" s="3" t="n">
        <v>0.112</v>
      </c>
      <c r="F2850" s="3" t="inlineStr">
        <is>
          <t>GW</t>
        </is>
      </c>
      <c r="G2850" s="3" t="inlineStr">
        <is>
          <t>Derived formula</t>
        </is>
      </c>
      <c r="H2850" s="3" t="inlineStr">
        <is>
          <t>ai_it_load_gw * training_power_share</t>
        </is>
      </c>
      <c r="I2850" s="3" t="inlineStr">
        <is>
          <t>Training GW is shown separately so commercial inference token capacity is not overstated.</t>
        </is>
      </c>
      <c r="J2850" s="3" t="inlineStr">
        <is>
          <t>SRC_DEEPSEEK_V3; SRC_DEEPSEEK_R1; SRC_DEEPSEEK_H800_INFERENCE; SRC_EPOCH_AI_DATA_CENTERS</t>
        </is>
      </c>
      <c r="K2850" s="3" t="inlineStr">
        <is>
          <t>ASSUMP_MOE_EFFICIENCY; ASSUMP_CN_CAPACITY_TRANSPARENCY; ASSUMP_NUMERIC_ACCELERATOR_MIX; ASSUMP_INFERENCE_SHARE_NOT_FACT_60; ASSUMP_WORKLOAD_CLASS_MIX; ASSUMP_AGENTIC_CONTEXT_PENALTY</t>
        </is>
      </c>
      <c r="L2850" s="3" t="inlineStr">
        <is>
          <t>Recompute after AI allocation or workload-split evidence changes.</t>
        </is>
      </c>
    </row>
    <row r="2851">
      <c r="A2851" s="3" t="inlineStr">
        <is>
          <t>DeepSeek</t>
        </is>
      </c>
      <c r="B2851" s="3" t="n">
        <v>2029</v>
      </c>
      <c r="C2851" s="3" t="inlineStr">
        <is>
          <t>Bull</t>
        </is>
      </c>
      <c r="D2851" s="3" t="inlineStr">
        <is>
          <t>tokens_per_second_per_mw</t>
        </is>
      </c>
      <c r="E2851" s="3" t="n">
        <v>173214</v>
      </c>
      <c r="F2851" s="3" t="inlineStr">
        <is>
          <t>generated output tokens/sec/MW</t>
        </is>
      </c>
      <c r="G2851" s="3" t="inlineStr">
        <is>
          <t>Derived estimate + benchmark calibration</t>
        </is>
      </c>
      <c r="H2851" s="3" t="inlineStr">
        <is>
          <t>fleet_reference_tps_per_mw * commercial_workload_fit_factor</t>
        </is>
      </c>
      <c r="I2851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51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51" s="3" t="inlineStr">
        <is>
          <t>ASSUMP_MOE_EFFICIENCY; ASSUMP_CN_CAPACITY_TRANSPARENCY; ASSUMP_NUMERIC_ACCELERATOR_MIX; ASSUMP_INFERENCE_SHARE_NOT_FACT_60; ASSUMP_WORKLOAD_CLASS_MIX; ASSUMP_AGENTIC_CONTEXT_PENALTY</t>
        </is>
      </c>
      <c r="L2851" s="3" t="inlineStr">
        <is>
          <t>Comparable production output-token throughput with model, hardware, precision, ISL/OSL and SLO matched.</t>
        </is>
      </c>
    </row>
    <row r="2852">
      <c r="A2852" s="3" t="inlineStr">
        <is>
          <t>DeepSeek</t>
        </is>
      </c>
      <c r="B2852" s="3" t="n">
        <v>2029</v>
      </c>
      <c r="C2852" s="3" t="inlineStr">
        <is>
          <t>Bull</t>
        </is>
      </c>
      <c r="D2852" s="3" t="inlineStr">
        <is>
          <t>inference_tokens_per_day</t>
        </is>
      </c>
      <c r="E2852" s="3" t="n">
        <v>8964448070400</v>
      </c>
      <c r="F2852" s="3" t="inlineStr">
        <is>
          <t>generated output tokens/day</t>
        </is>
      </c>
      <c r="G2852" s="3" t="inlineStr">
        <is>
          <t>Derived headline metric</t>
        </is>
      </c>
      <c r="H2852" s="3" t="inlineStr">
        <is>
          <t>inference_gw * 1000 * tokens_per_second_per_mw * 86,400</t>
        </is>
      </c>
      <c r="I2852" s="3" t="inlineStr">
        <is>
          <t>Headline capacity uses no utilization, MoE, architecture or software-growth multiplier; it is not observed commercial output volume.</t>
        </is>
      </c>
      <c r="J2852" s="3" t="inlineStr">
        <is>
          <t>SRC_DEEPSEEK_V3; SRC_DEEPSEEK_R1; SRC_DEEPSEEK_H800_INFERENCE; SRC_EPOCH_AI_DATA_CENTERS; SRC_SEMIANALYSIS_INFERENCEX</t>
        </is>
      </c>
      <c r="K2852" s="3" t="inlineStr">
        <is>
          <t>ASSUMP_MOE_EFFICIENCY; ASSUMP_CN_CAPACITY_TRANSPARENCY; ASSUMP_NUMERIC_ACCELERATOR_MIX; ASSUMP_INFERENCE_SHARE_NOT_FACT_60; ASSUMP_WORKLOAD_CLASS_MIX; ASSUMP_AGENTIC_CONTEXT_PENALTY</t>
        </is>
      </c>
      <c r="L2852" s="3" t="inlineStr">
        <is>
          <t>Provider-disclosed generated output token volume or calibrated capacity telemetry.</t>
        </is>
      </c>
    </row>
    <row r="2853">
      <c r="A2853" s="3" t="inlineStr">
        <is>
          <t>DeepSeek</t>
        </is>
      </c>
      <c r="B2853" s="3" t="n">
        <v>2029</v>
      </c>
      <c r="C2853" s="3" t="inlineStr">
        <is>
          <t>Bull</t>
        </is>
      </c>
      <c r="D2853" s="3" t="inlineStr">
        <is>
          <t>inference_tokens_per_year</t>
        </is>
      </c>
      <c r="E2853" s="3" t="n">
        <v>3272023545696000</v>
      </c>
      <c r="F2853" s="3" t="inlineStr">
        <is>
          <t>generated output tokens/year</t>
        </is>
      </c>
      <c r="G2853" s="3" t="inlineStr">
        <is>
          <t>Derived headline metric</t>
        </is>
      </c>
      <c r="H2853" s="3" t="inlineStr">
        <is>
          <t>inference_tokens_per_day * 365</t>
        </is>
      </c>
      <c r="I2853" s="3" t="inlineStr">
        <is>
          <t>Annualized version of generated output token capacity; it is not observed annual demand or billable volume.</t>
        </is>
      </c>
      <c r="J2853" s="3" t="inlineStr">
        <is>
          <t>SRC_DEEPSEEK_V3; SRC_DEEPSEEK_R1; SRC_DEEPSEEK_H800_INFERENCE; SRC_EPOCH_AI_DATA_CENTERS; SRC_SEMIANALYSIS_INFERENCEX</t>
        </is>
      </c>
      <c r="K2853" s="3" t="inlineStr">
        <is>
          <t>ASSUMP_MOE_EFFICIENCY; ASSUMP_CN_CAPACITY_TRANSPARENCY; ASSUMP_NUMERIC_ACCELERATOR_MIX; ASSUMP_INFERENCE_SHARE_NOT_FACT_60; ASSUMP_WORKLOAD_CLASS_MIX; ASSUMP_AGENTIC_CONTEXT_PENALTY</t>
        </is>
      </c>
      <c r="L2853" s="3" t="inlineStr">
        <is>
          <t>Provider-disclosed annual generated-output volume or metered serving telemetry.</t>
        </is>
      </c>
    </row>
    <row r="2854">
      <c r="A2854" s="3" t="inlineStr">
        <is>
          <t>DeepSeek</t>
        </is>
      </c>
      <c r="B2854" s="3" t="n">
        <v>2030</v>
      </c>
      <c r="C2854" s="3" t="inlineStr">
        <is>
          <t>Bull</t>
        </is>
      </c>
      <c r="D2854" s="3" t="inlineStr">
        <is>
          <t>contracted_power_gw</t>
        </is>
      </c>
      <c r="E2854" s="3" t="n">
        <v>1.8</v>
      </c>
      <c r="F2854" s="3" t="inlineStr">
        <is>
          <t>GW</t>
        </is>
      </c>
      <c r="G2854" s="3" t="inlineStr">
        <is>
          <t>Scenario capacity envelope</t>
        </is>
      </c>
      <c r="H2854" s="3" t="inlineStr">
        <is>
          <t>linear interpolation between 2026 and 2030 company capacity endpoints</t>
        </is>
      </c>
      <c r="I2854" s="3" t="inlineStr">
        <is>
          <t>Capacity is a low-transparency scenario; official infrastructure evidence supports H800 inference hardware, not company GW.</t>
        </is>
      </c>
      <c r="J2854" s="3" t="inlineStr">
        <is>
          <t>SRC_DEEPSEEK_H800_INFERENCE; ASSUMP_CN_CAPACITY_TRANSPARENCY</t>
        </is>
      </c>
      <c r="K2854" s="3" t="inlineStr">
        <is>
          <t>ASSUMP_MOE_EFFICIENCY; ASSUMP_CN_CAPACITY_TRANSPARENCY; ASSUMP_NUMERIC_ACCELERATOR_MIX; ASSUMP_INFERENCE_SHARE_NOT_FACT_60; ASSUMP_WORKLOAD_CLASS_MIX; ASSUMP_AGENTIC_CONTEXT_PENALTY</t>
        </is>
      </c>
      <c r="L2854" s="3" t="inlineStr">
        <is>
          <t>Company/site-level committed MW/GW, interconnect and contract disclosure.</t>
        </is>
      </c>
    </row>
    <row r="2855">
      <c r="A2855" s="3" t="inlineStr">
        <is>
          <t>DeepSeek</t>
        </is>
      </c>
      <c r="B2855" s="3" t="n">
        <v>2030</v>
      </c>
      <c r="C2855" s="3" t="inlineStr">
        <is>
          <t>Bull</t>
        </is>
      </c>
      <c r="D2855" s="3" t="inlineStr">
        <is>
          <t>operational_deployment_share</t>
        </is>
      </c>
      <c r="E2855" s="3" t="n">
        <v>0.78666667</v>
      </c>
      <c r="F2855" s="3" t="inlineStr">
        <is>
          <t>share</t>
        </is>
      </c>
      <c r="G2855" s="3" t="inlineStr">
        <is>
          <t>Scenario conversion</t>
        </is>
      </c>
      <c r="H2855" s="3" t="inlineStr">
        <is>
          <t>active_power_gw / contracted_power_gw</t>
        </is>
      </c>
      <c r="I2855" s="3" t="inlineStr">
        <is>
          <t>This is the single explicit conversion from contracted/attributed capacity to operationally usable capacity.</t>
        </is>
      </c>
      <c r="J2855" s="3" t="inlineStr">
        <is>
          <t>SRC_DEEPSEEK_H800_INFERENCE; ASSUMP_CN_CAPACITY_TRANSPARENCY</t>
        </is>
      </c>
      <c r="K2855" s="3" t="inlineStr">
        <is>
          <t>ASSUMP_MOE_EFFICIENCY; ASSUMP_CN_CAPACITY_TRANSPARENCY; ASSUMP_NUMERIC_ACCELERATOR_MIX; ASSUMP_INFERENCE_SHARE_NOT_FACT_60; ASSUMP_WORKLOAD_CLASS_MIX; ASSUMP_AGENTIC_CONTEXT_PENALTY</t>
        </is>
      </c>
      <c r="L2855" s="3" t="inlineStr">
        <is>
          <t>Energized operational capacity divided by contracted/attributed capacity.</t>
        </is>
      </c>
    </row>
    <row r="2856">
      <c r="A2856" s="3" t="inlineStr">
        <is>
          <t>DeepSeek</t>
        </is>
      </c>
      <c r="B2856" s="3" t="n">
        <v>2030</v>
      </c>
      <c r="C2856" s="3" t="inlineStr">
        <is>
          <t>Bull</t>
        </is>
      </c>
      <c r="D2856" s="3" t="inlineStr">
        <is>
          <t>active_power_gw</t>
        </is>
      </c>
      <c r="E2856" s="3" t="n">
        <v>1.416</v>
      </c>
      <c r="F2856" s="3" t="inlineStr">
        <is>
          <t>GW</t>
        </is>
      </c>
      <c r="G2856" s="3" t="inlineStr">
        <is>
          <t>Derived scenario</t>
        </is>
      </c>
      <c r="H2856" s="3" t="inlineStr">
        <is>
          <t>contracted_power_gw * operational_deployment_share</t>
        </is>
      </c>
      <c r="I2856" s="3" t="inlineStr">
        <is>
          <t>Active GW is conservative because operated cluster scale beyond disclosed infrastructure is not public.</t>
        </is>
      </c>
      <c r="J2856" s="3" t="inlineStr">
        <is>
          <t>SRC_DEEPSEEK_H800_INFERENCE; ASSUMP_CN_CAPACITY_TRANSPARENCY</t>
        </is>
      </c>
      <c r="K2856" s="3" t="inlineStr">
        <is>
          <t>ASSUMP_MOE_EFFICIENCY; ASSUMP_CN_CAPACITY_TRANSPARENCY; ASSUMP_NUMERIC_ACCELERATOR_MIX; ASSUMP_INFERENCE_SHARE_NOT_FACT_60; ASSUMP_WORKLOAD_CLASS_MIX; ASSUMP_AGENTIC_CONTEXT_PENALTY</t>
        </is>
      </c>
      <c r="L2856" s="3" t="inlineStr">
        <is>
          <t>Energization dates, accelerator deliveries and operational powered-rack telemetry.</t>
        </is>
      </c>
    </row>
    <row r="2857">
      <c r="A2857" s="3" t="inlineStr">
        <is>
          <t>DeepSeek</t>
        </is>
      </c>
      <c r="B2857" s="3" t="n">
        <v>2030</v>
      </c>
      <c r="C2857" s="3" t="inlineStr">
        <is>
          <t>Bull</t>
        </is>
      </c>
      <c r="D2857" s="3" t="inlineStr">
        <is>
          <t>pue</t>
        </is>
      </c>
      <c r="E2857" s="3" t="n">
        <v>1.24</v>
      </c>
      <c r="F2857" s="3" t="inlineStr">
        <is>
          <t>ratio</t>
        </is>
      </c>
      <c r="G2857" s="3" t="inlineStr">
        <is>
          <t>Scenario parameter</t>
        </is>
      </c>
      <c r="H2857" s="3" t="inlineStr">
        <is>
          <t>it_load_gw = active_power_gw / pue</t>
        </is>
      </c>
      <c r="I2857" s="3" t="inlineStr">
        <is>
          <t>No provider-wide site-level PUE is used as a disclosed fact; PUE represents facility-to-IT conversion within the scenario.</t>
        </is>
      </c>
      <c r="J2857" s="3" t="inlineStr">
        <is>
          <t>ASSUMP_POWER_RAMP</t>
        </is>
      </c>
      <c r="K2857" s="3" t="inlineStr">
        <is>
          <t>ASSUMP_MOE_EFFICIENCY; ASSUMP_CN_CAPACITY_TRANSPARENCY; ASSUMP_NUMERIC_ACCELERATOR_MIX; ASSUMP_INFERENCE_SHARE_NOT_FACT_60; ASSUMP_WORKLOAD_CLASS_MIX; ASSUMP_AGENTIC_CONTEXT_PENALTY</t>
        </is>
      </c>
      <c r="L2857" s="3" t="inlineStr">
        <is>
          <t>Site-level measured PUE matched to attributed AI capacity.</t>
        </is>
      </c>
    </row>
    <row r="2858">
      <c r="A2858" s="3" t="inlineStr">
        <is>
          <t>DeepSeek</t>
        </is>
      </c>
      <c r="B2858" s="3" t="n">
        <v>2030</v>
      </c>
      <c r="C2858" s="3" t="inlineStr">
        <is>
          <t>Bull</t>
        </is>
      </c>
      <c r="D2858" s="3" t="inlineStr">
        <is>
          <t>it_load_gw</t>
        </is>
      </c>
      <c r="E2858" s="3" t="n">
        <v>1.142</v>
      </c>
      <c r="F2858" s="3" t="inlineStr">
        <is>
          <t>GW</t>
        </is>
      </c>
      <c r="G2858" s="3" t="inlineStr">
        <is>
          <t>Derived formula</t>
        </is>
      </c>
      <c r="H2858" s="3" t="inlineStr">
        <is>
          <t>active_power_gw / pue</t>
        </is>
      </c>
      <c r="I2858" s="3" t="inlineStr">
        <is>
          <t>Facility power is converted to IT-deliverable power before attributing AI workloads.</t>
        </is>
      </c>
      <c r="J2858" s="3" t="inlineStr">
        <is>
          <t>SRC_DEEPSEEK_H800_INFERENCE; ASSUMP_CN_CAPACITY_TRANSPARENCY</t>
        </is>
      </c>
      <c r="K2858" s="3" t="inlineStr">
        <is>
          <t>ASSUMP_MOE_EFFICIENCY; ASSUMP_CN_CAPACITY_TRANSPARENCY; ASSUMP_NUMERIC_ACCELERATOR_MIX; ASSUMP_INFERENCE_SHARE_NOT_FACT_60; ASSUMP_WORKLOAD_CLASS_MIX; ASSUMP_AGENTIC_CONTEXT_PENALTY</t>
        </is>
      </c>
      <c r="L2858" s="3" t="inlineStr">
        <is>
          <t>Recompute once active power and PUE become site-observable.</t>
        </is>
      </c>
    </row>
    <row r="2859">
      <c r="A2859" s="3" t="inlineStr">
        <is>
          <t>DeepSeek</t>
        </is>
      </c>
      <c r="B2859" s="3" t="n">
        <v>2030</v>
      </c>
      <c r="C2859" s="3" t="inlineStr">
        <is>
          <t>Bull</t>
        </is>
      </c>
      <c r="D2859" s="3" t="inlineStr">
        <is>
          <t>ai_workload_share</t>
        </is>
      </c>
      <c r="E2859" s="3" t="n">
        <v>0.82</v>
      </c>
      <c r="F2859" s="3" t="inlineStr">
        <is>
          <t>share</t>
        </is>
      </c>
      <c r="G2859" s="3" t="inlineStr">
        <is>
          <t>Scenario allocation</t>
        </is>
      </c>
      <c r="H2859" s="3" t="inlineStr">
        <is>
          <t>ai_it_load_gw = it_load_gw * ai_workload_share</t>
        </is>
      </c>
      <c r="I2859" s="3" t="inlineStr">
        <is>
          <t>DeepSeek-operated service capacity is modeled as AI-focused, reduced for reserve and ancillary processing.</t>
        </is>
      </c>
      <c r="J2859" s="3" t="inlineStr">
        <is>
          <t>SRC_DEEPSEEK_V3; SRC_DEEPSEEK_R1; SRC_DEEPSEEK_H800_INFERENCE; SRC_EPOCH_AI_DATA_CENTERS</t>
        </is>
      </c>
      <c r="K2859" s="3" t="inlineStr">
        <is>
          <t>ASSUMP_MOE_EFFICIENCY; ASSUMP_CN_CAPACITY_TRANSPARENCY; ASSUMP_NUMERIC_ACCELERATOR_MIX; ASSUMP_INFERENCE_SHARE_NOT_FACT_60; ASSUMP_WORKLOAD_CLASS_MIX; ASSUMP_AGENTIC_CONTEXT_PENALTY</t>
        </is>
      </c>
      <c r="L2859" s="3" t="inlineStr">
        <is>
          <t>Model-owner AI workload allocation or cluster scheduling telemetry.</t>
        </is>
      </c>
    </row>
    <row r="2860">
      <c r="A2860" s="3" t="inlineStr">
        <is>
          <t>DeepSeek</t>
        </is>
      </c>
      <c r="B2860" s="3" t="n">
        <v>2030</v>
      </c>
      <c r="C2860" s="3" t="inlineStr">
        <is>
          <t>Bull</t>
        </is>
      </c>
      <c r="D2860" s="3" t="inlineStr">
        <is>
          <t>ai_it_load_gw</t>
        </is>
      </c>
      <c r="E2860" s="3" t="n">
        <v>0.9360000000000001</v>
      </c>
      <c r="F2860" s="3" t="inlineStr">
        <is>
          <t>GW</t>
        </is>
      </c>
      <c r="G2860" s="3" t="inlineStr">
        <is>
          <t>Derived formula</t>
        </is>
      </c>
      <c r="H2860" s="3" t="inlineStr">
        <is>
          <t>it_load_gw * ai_workload_share</t>
        </is>
      </c>
      <c r="I2860" s="3" t="inlineStr">
        <is>
          <t>Only the AI-attributed portion of IT load enters training/inference allocation.</t>
        </is>
      </c>
      <c r="J2860" s="3" t="inlineStr">
        <is>
          <t>SRC_DEEPSEEK_V3; SRC_DEEPSEEK_R1; SRC_DEEPSEEK_H800_INFERENCE; SRC_EPOCH_AI_DATA_CENTERS</t>
        </is>
      </c>
      <c r="K2860" s="3" t="inlineStr">
        <is>
          <t>ASSUMP_MOE_EFFICIENCY; ASSUMP_CN_CAPACITY_TRANSPARENCY; ASSUMP_NUMERIC_ACCELERATOR_MIX; ASSUMP_INFERENCE_SHARE_NOT_FACT_60; ASSUMP_WORKLOAD_CLASS_MIX; ASSUMP_AGENTIC_CONTEXT_PENALTY</t>
        </is>
      </c>
      <c r="L2860" s="3" t="inlineStr">
        <is>
          <t>Recompute after ai_workload_share is replaced by telemetry.</t>
        </is>
      </c>
    </row>
    <row r="2861">
      <c r="A2861" s="3" t="inlineStr">
        <is>
          <t>DeepSeek</t>
        </is>
      </c>
      <c r="B2861" s="3" t="n">
        <v>2030</v>
      </c>
      <c r="C2861" s="3" t="inlineStr">
        <is>
          <t>Bull</t>
        </is>
      </c>
      <c r="D2861" s="3" t="inlineStr">
        <is>
          <t>gpu_share</t>
        </is>
      </c>
      <c r="E2861" s="3" t="n">
        <v>1</v>
      </c>
      <c r="F2861" s="3" t="inlineStr">
        <is>
          <t>share of inference-serving accelerator load</t>
        </is>
      </c>
      <c r="G2861" s="3" t="inlineStr">
        <is>
          <t>Numeric scenario</t>
        </is>
      </c>
      <c r="H2861" s="3" t="inlineStr">
        <is>
          <t>gpu_share interpolated from company 2026/2030 accelerator-mix endpoints</t>
        </is>
      </c>
      <c r="I2861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861" s="3" t="inlineStr">
        <is>
          <t>SRC_DEEPSEEK_V3; SRC_DEEPSEEK_R1; SRC_DEEPSEEK_H800_INFERENCE; SRC_EPOCH_AI_DATA_CENTERS; ASSUMP_NUMERIC_ACCELERATOR_MIX</t>
        </is>
      </c>
      <c r="K2861" s="3" t="inlineStr">
        <is>
          <t>ASSUMP_MOE_EFFICIENCY; ASSUMP_CN_CAPACITY_TRANSPARENCY; ASSUMP_NUMERIC_ACCELERATOR_MIX; ASSUMP_INFERENCE_SHARE_NOT_FACT_60; ASSUMP_WORKLOAD_CLASS_MIX; ASSUMP_AGENTIC_CONTEXT_PENALTY</t>
        </is>
      </c>
      <c r="L2861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862">
      <c r="A2862" s="3" t="inlineStr">
        <is>
          <t>DeepSeek</t>
        </is>
      </c>
      <c r="B2862" s="3" t="n">
        <v>2030</v>
      </c>
      <c r="C2862" s="3" t="inlineStr">
        <is>
          <t>Bull</t>
        </is>
      </c>
      <c r="D2862" s="3" t="inlineStr">
        <is>
          <t>h200_share</t>
        </is>
      </c>
      <c r="E2862" s="3" t="n">
        <v>0.1</v>
      </c>
      <c r="F2862" s="3" t="inlineStr">
        <is>
          <t>share of inference-serving accelerator load</t>
        </is>
      </c>
      <c r="G2862" s="3" t="inlineStr">
        <is>
          <t>Editable numeric scenario</t>
        </is>
      </c>
      <c r="H2862" s="3" t="inlineStr">
        <is>
          <t>h200_share = gpu_share * default_gpu_generation_mix_h200</t>
        </is>
      </c>
      <c r="I2862" s="3" t="inlineStr">
        <is>
          <t>Default GPU-generation migration assumption; executive workbook allows later manual replacement by company/year/scenario.</t>
        </is>
      </c>
      <c r="J2862" s="3" t="inlineStr">
        <is>
          <t>SRC_SEMIANALYSIS_INFERENCEX; ASSUMP_NUMERIC_ACCELERATOR_MIX</t>
        </is>
      </c>
      <c r="K2862" s="3" t="inlineStr">
        <is>
          <t>ASSUMP_MOE_EFFICIENCY; ASSUMP_CN_CAPACITY_TRANSPARENCY; ASSUMP_NUMERIC_ACCELERATOR_MIX; ASSUMP_INFERENCE_SHARE_NOT_FACT_60; ASSUMP_WORKLOAD_CLASS_MIX; ASSUMP_AGENTIC_CONTEXT_PENALTY</t>
        </is>
      </c>
      <c r="L2862" s="3" t="inlineStr">
        <is>
          <t>Company fleet inventory, accelerator-hours or procurement/deployment records by GPU generation.</t>
        </is>
      </c>
    </row>
    <row r="2863">
      <c r="A2863" s="3" t="inlineStr">
        <is>
          <t>DeepSeek</t>
        </is>
      </c>
      <c r="B2863" s="3" t="n">
        <v>2030</v>
      </c>
      <c r="C2863" s="3" t="inlineStr">
        <is>
          <t>Bull</t>
        </is>
      </c>
      <c r="D2863" s="3" t="inlineStr">
        <is>
          <t>b200_share</t>
        </is>
      </c>
      <c r="E2863" s="3" t="n">
        <v>0.35</v>
      </c>
      <c r="F2863" s="3" t="inlineStr">
        <is>
          <t>share of inference-serving accelerator load</t>
        </is>
      </c>
      <c r="G2863" s="3" t="inlineStr">
        <is>
          <t>Editable numeric scenario</t>
        </is>
      </c>
      <c r="H2863" s="3" t="inlineStr">
        <is>
          <t>b200_share = gpu_share * default_gpu_generation_mix_b200</t>
        </is>
      </c>
      <c r="I2863" s="3" t="inlineStr">
        <is>
          <t>Default GPU-generation migration assumption; executive workbook allows later manual replacement by company/year/scenario.</t>
        </is>
      </c>
      <c r="J2863" s="3" t="inlineStr">
        <is>
          <t>SRC_SEMIANALYSIS_INFERENCEX; ASSUMP_NUMERIC_ACCELERATOR_MIX</t>
        </is>
      </c>
      <c r="K2863" s="3" t="inlineStr">
        <is>
          <t>ASSUMP_MOE_EFFICIENCY; ASSUMP_CN_CAPACITY_TRANSPARENCY; ASSUMP_NUMERIC_ACCELERATOR_MIX; ASSUMP_INFERENCE_SHARE_NOT_FACT_60; ASSUMP_WORKLOAD_CLASS_MIX; ASSUMP_AGENTIC_CONTEXT_PENALTY</t>
        </is>
      </c>
      <c r="L2863" s="3" t="inlineStr">
        <is>
          <t>Company fleet inventory, accelerator-hours or procurement/deployment records by GPU generation.</t>
        </is>
      </c>
    </row>
    <row r="2864">
      <c r="A2864" s="3" t="inlineStr">
        <is>
          <t>DeepSeek</t>
        </is>
      </c>
      <c r="B2864" s="3" t="n">
        <v>2030</v>
      </c>
      <c r="C2864" s="3" t="inlineStr">
        <is>
          <t>Bull</t>
        </is>
      </c>
      <c r="D2864" s="3" t="inlineStr">
        <is>
          <t>gb200_share</t>
        </is>
      </c>
      <c r="E2864" s="3" t="n">
        <v>0.55</v>
      </c>
      <c r="F2864" s="3" t="inlineStr">
        <is>
          <t>share of inference-serving accelerator load</t>
        </is>
      </c>
      <c r="G2864" s="3" t="inlineStr">
        <is>
          <t>Editable numeric scenario</t>
        </is>
      </c>
      <c r="H2864" s="3" t="inlineStr">
        <is>
          <t>gb200_share = gpu_share * default_gpu_generation_mix_gb200</t>
        </is>
      </c>
      <c r="I2864" s="3" t="inlineStr">
        <is>
          <t>Default GPU-generation migration assumption; executive workbook allows later manual replacement by company/year/scenario.</t>
        </is>
      </c>
      <c r="J2864" s="3" t="inlineStr">
        <is>
          <t>SRC_SEMIANALYSIS_INFERENCEX; ASSUMP_NUMERIC_ACCELERATOR_MIX</t>
        </is>
      </c>
      <c r="K2864" s="3" t="inlineStr">
        <is>
          <t>ASSUMP_MOE_EFFICIENCY; ASSUMP_CN_CAPACITY_TRANSPARENCY; ASSUMP_NUMERIC_ACCELERATOR_MIX; ASSUMP_INFERENCE_SHARE_NOT_FACT_60; ASSUMP_WORKLOAD_CLASS_MIX; ASSUMP_AGENTIC_CONTEXT_PENALTY</t>
        </is>
      </c>
      <c r="L2864" s="3" t="inlineStr">
        <is>
          <t>Company fleet inventory, accelerator-hours or procurement/deployment records by GPU generation.</t>
        </is>
      </c>
    </row>
    <row r="2865">
      <c r="A2865" s="3" t="inlineStr">
        <is>
          <t>DeepSeek</t>
        </is>
      </c>
      <c r="B2865" s="3" t="n">
        <v>2030</v>
      </c>
      <c r="C2865" s="3" t="inlineStr">
        <is>
          <t>Bull</t>
        </is>
      </c>
      <c r="D2865" s="3" t="inlineStr">
        <is>
          <t>purpose_built_accelerator_share</t>
        </is>
      </c>
      <c r="E2865" s="3" t="n">
        <v>0</v>
      </c>
      <c r="F2865" s="3" t="inlineStr">
        <is>
          <t>share of inference-serving accelerator load</t>
        </is>
      </c>
      <c r="G2865" s="3" t="inlineStr">
        <is>
          <t>Numeric scenario</t>
        </is>
      </c>
      <c r="H2865" s="3" t="inlineStr">
        <is>
          <t>1 - gpu_share</t>
        </is>
      </c>
      <c r="I2865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2865" s="3" t="inlineStr">
        <is>
          <t>SRC_DEEPSEEK_V3; SRC_DEEPSEEK_R1; SRC_DEEPSEEK_H800_INFERENCE; SRC_EPOCH_AI_DATA_CENTERS; ASSUMP_NUMERIC_ACCELERATOR_MIX</t>
        </is>
      </c>
      <c r="K2865" s="3" t="inlineStr">
        <is>
          <t>ASSUMP_MOE_EFFICIENCY; ASSUMP_CN_CAPACITY_TRANSPARENCY; ASSUMP_NUMERIC_ACCELERATOR_MIX; ASSUMP_INFERENCE_SHARE_NOT_FACT_60; ASSUMP_WORKLOAD_CLASS_MIX; ASSUMP_AGENTIC_CONTEXT_PENALTY</t>
        </is>
      </c>
      <c r="L2865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2866">
      <c r="A2866" s="3" t="inlineStr">
        <is>
          <t>DeepSeek</t>
        </is>
      </c>
      <c r="B2866" s="3" t="n">
        <v>2030</v>
      </c>
      <c r="C2866" s="3" t="inlineStr">
        <is>
          <t>Bull</t>
        </is>
      </c>
      <c r="D2866" s="3" t="inlineStr">
        <is>
          <t>fleet_reference_tps_per_mw</t>
        </is>
      </c>
      <c r="E2866" s="3" t="n">
        <v>184158</v>
      </c>
      <c r="F2866" s="3" t="inlineStr">
        <is>
          <t>generated output tokens/sec/MW</t>
        </is>
      </c>
      <c r="G2866" s="3" t="inlineStr">
        <is>
          <t>Fleet-weighted public benchmark reference</t>
        </is>
      </c>
      <c r="H2866" s="3" t="inlineStr">
        <is>
          <t>h200_share*h200_workload_avg + b200_share*b200_workload_avg + gb200_share*gb200_workload_avg + purpose_built_share*purpose_workload_avg</t>
        </is>
      </c>
      <c r="I2866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2866" s="3" t="inlineStr">
        <is>
          <t>SRC_SEMIANALYSIS_INFERENCEX; ASSUMP_NUMERIC_ACCELERATOR_MIX; ASSUMP_WORKLOAD_CLASS_MIX; ASSUMP_AGENTIC_CONTEXT_PENALTY</t>
        </is>
      </c>
      <c r="K2866" s="3" t="inlineStr">
        <is>
          <t>ASSUMP_MOE_EFFICIENCY; ASSUMP_CN_CAPACITY_TRANSPARENCY; ASSUMP_NUMERIC_ACCELERATOR_MIX; ASSUMP_INFERENCE_SHARE_NOT_FACT_60; ASSUMP_WORKLOAD_CLASS_MIX; ASSUMP_AGENTIC_CONTEXT_PENALTY</t>
        </is>
      </c>
      <c r="L2866" s="3" t="inlineStr">
        <is>
          <t>Comparable production output-token throughput or a more closely matched benchmark.</t>
        </is>
      </c>
    </row>
    <row r="2867">
      <c r="A2867" s="3" t="inlineStr">
        <is>
          <t>DeepSeek</t>
        </is>
      </c>
      <c r="B2867" s="3" t="n">
        <v>2030</v>
      </c>
      <c r="C2867" s="3" t="inlineStr">
        <is>
          <t>Bull</t>
        </is>
      </c>
      <c r="D2867" s="3" t="inlineStr">
        <is>
          <t>commercial_workload_fit_factor</t>
        </is>
      </c>
      <c r="E2867" s="3" t="n">
        <v>1</v>
      </c>
      <c r="F2867" s="3" t="inlineStr">
        <is>
          <t>share of public reference throughput</t>
        </is>
      </c>
      <c r="G2867" s="3" t="inlineStr">
        <is>
          <t>Scenario assumption</t>
        </is>
      </c>
      <c r="H2867" s="3" t="inlineStr">
        <is>
          <t>reference_serving_tps_per_mw = fleet_reference_tps_per_mw * commercial_workload_fit_factor</t>
        </is>
      </c>
      <c r="I2867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2867" s="3" t="inlineStr">
        <is>
          <t>SRC_SEMIANALYSIS_INFERENCEX; ASSUMP_NUMERIC_ACCELERATOR_MIX; ASSUMP_WORKLOAD_CLASS_MIX; ASSUMP_AGENTIC_CONTEXT_PENALTY</t>
        </is>
      </c>
      <c r="K2867" s="3" t="inlineStr">
        <is>
          <t>ASSUMP_MOE_EFFICIENCY; ASSUMP_CN_CAPACITY_TRANSPARENCY; ASSUMP_NUMERIC_ACCELERATOR_MIX; ASSUMP_INFERENCE_SHARE_NOT_FACT_60; ASSUMP_WORKLOAD_CLASS_MIX; ASSUMP_AGENTIC_CONTEXT_PENALTY</t>
        </is>
      </c>
      <c r="L2867" s="3" t="inlineStr">
        <is>
          <t>Matched commercial serving benchmark by product surface, context shape and latency SLO.</t>
        </is>
      </c>
    </row>
    <row r="2868">
      <c r="A2868" s="3" t="inlineStr">
        <is>
          <t>DeepSeek</t>
        </is>
      </c>
      <c r="B2868" s="3" t="n">
        <v>2030</v>
      </c>
      <c r="C2868" s="3" t="inlineStr">
        <is>
          <t>Bull</t>
        </is>
      </c>
      <c r="D2868" s="3" t="inlineStr">
        <is>
          <t>reference_serving_tps_per_mw</t>
        </is>
      </c>
      <c r="E2868" s="3" t="n">
        <v>184158</v>
      </c>
      <c r="F2868" s="3" t="inlineStr">
        <is>
          <t>generated output tokens/sec/MW</t>
        </is>
      </c>
      <c r="G2868" s="3" t="inlineStr">
        <is>
          <t>Workload-adjusted benchmark proxy</t>
        </is>
      </c>
      <c r="H2868" s="3" t="inlineStr">
        <is>
          <t>fleet_reference_tps_per_mw * commercial_workload_fit_factor</t>
        </is>
      </c>
      <c r="I2868" s="3" t="inlineStr">
        <is>
          <t>This is the coefficient used for headline token generation; each GPU's short chat, long chat and agentic TPS/MW are weighted before fleet mix and commercial fit are applied.</t>
        </is>
      </c>
      <c r="J2868" s="3" t="inlineStr">
        <is>
          <t>SRC_SEMIANALYSIS_INFERENCEX; ASSUMP_NUMERIC_ACCELERATOR_MIX; ASSUMP_WORKLOAD_CLASS_MIX; ASSUMP_AGENTIC_CONTEXT_PENALTY</t>
        </is>
      </c>
      <c r="K2868" s="3" t="inlineStr">
        <is>
          <t>ASSUMP_MOE_EFFICIENCY; ASSUMP_CN_CAPACITY_TRANSPARENCY; ASSUMP_NUMERIC_ACCELERATOR_MIX; ASSUMP_INFERENCE_SHARE_NOT_FACT_60; ASSUMP_WORKLOAD_CLASS_MIX; ASSUMP_AGENTIC_CONTEXT_PENALTY</t>
        </is>
      </c>
      <c r="L2868" s="3" t="inlineStr">
        <is>
          <t>Provider production output-token throughput with comparable workload/SLO.</t>
        </is>
      </c>
    </row>
    <row r="2869">
      <c r="A2869" s="3" t="inlineStr">
        <is>
          <t>DeepSeek</t>
        </is>
      </c>
      <c r="B2869" s="3" t="n">
        <v>2030</v>
      </c>
      <c r="C2869" s="3" t="inlineStr">
        <is>
          <t>Bull</t>
        </is>
      </c>
      <c r="D2869" s="3" t="inlineStr">
        <is>
          <t>purpose_built_tps_per_mw</t>
        </is>
      </c>
      <c r="E2869" s="3" t="n">
        <v>393572</v>
      </c>
      <c r="F2869" s="3" t="inlineStr">
        <is>
          <t>generated output tokens/sec/MW</t>
        </is>
      </c>
      <c r="G2869" s="3" t="inlineStr">
        <is>
          <t>Conservative no-uplift proxy</t>
        </is>
      </c>
      <c r="H2869" s="3" t="inlineStr">
        <is>
          <t>purpose_built_tps_per_mw = purpose_built_reference_tps_per_mw * commercial_workload_fit_factor until comparable output-token benchmark is adopted</t>
        </is>
      </c>
      <c r="I2869" s="3" t="inlineStr">
        <is>
          <t>No comparable public output-token/MW row adopted; B200 public reference placeholder is used and remains editable.</t>
        </is>
      </c>
      <c r="J2869" s="3" t="inlineStr">
        <is>
          <t>SRC_DEEPSEEK_V3; SRC_DEEPSEEK_R1; SRC_DEEPSEEK_H800_INFERENCE; SRC_EPOCH_AI_DATA_CENTERS; ASSUMP_NUMERIC_ACCELERATOR_MIX</t>
        </is>
      </c>
      <c r="K2869" s="3" t="inlineStr">
        <is>
          <t>ASSUMP_MOE_EFFICIENCY; ASSUMP_CN_CAPACITY_TRANSPARENCY; ASSUMP_NUMERIC_ACCELERATOR_MIX; ASSUMP_INFERENCE_SHARE_NOT_FACT_60; ASSUMP_WORKLOAD_CLASS_MIX; ASSUMP_AGENTIC_CONTEXT_PENALTY</t>
        </is>
      </c>
      <c r="L2869" s="3" t="inlineStr">
        <is>
          <t>Matched-workload generated-output benchmark for the provider purpose-built accelerator.</t>
        </is>
      </c>
    </row>
    <row r="2870">
      <c r="A2870" s="3" t="inlineStr">
        <is>
          <t>DeepSeek</t>
        </is>
      </c>
      <c r="B2870" s="3" t="n">
        <v>2030</v>
      </c>
      <c r="C2870" s="3" t="inlineStr">
        <is>
          <t>Bull</t>
        </is>
      </c>
      <c r="D2870" s="3" t="inlineStr">
        <is>
          <t>inference_power_share</t>
        </is>
      </c>
      <c r="E2870" s="3" t="n">
        <v>0.9</v>
      </c>
      <c r="F2870" s="3" t="inlineStr">
        <is>
          <t>share of AI IT load</t>
        </is>
      </c>
      <c r="G2870" s="3" t="inlineStr">
        <is>
          <t>Scenario allocation</t>
        </is>
      </c>
      <c r="H2870" s="3" t="inlineStr">
        <is>
          <t>inference_gw = ai_it_load_gw * inference_power_share</t>
        </is>
      </c>
      <c r="I2870" s="3" t="inlineStr">
        <is>
          <t>API/app availability and inference-system disclosure support higher inference share; the value remains scenario.</t>
        </is>
      </c>
      <c r="J2870" s="3" t="inlineStr">
        <is>
          <t>SRC_DEEPSEEK_V3; SRC_DEEPSEEK_R1; SRC_DEEPSEEK_H800_INFERENCE; SRC_EPOCH_AI_DATA_CENTERS; ASSUMP_INFERENCE_SHARE_NOT_FACT_60</t>
        </is>
      </c>
      <c r="K2870" s="3" t="inlineStr">
        <is>
          <t>ASSUMP_MOE_EFFICIENCY; ASSUMP_CN_CAPACITY_TRANSPARENCY; ASSUMP_NUMERIC_ACCELERATOR_MIX; ASSUMP_INFERENCE_SHARE_NOT_FACT_60; ASSUMP_WORKLOAD_CLASS_MIX; ASSUMP_AGENTIC_CONTEXT_PENALTY</t>
        </is>
      </c>
      <c r="L2870" s="3" t="inlineStr">
        <is>
          <t>Provider-specific inference/training workload power telemetry.</t>
        </is>
      </c>
    </row>
    <row r="2871">
      <c r="A2871" s="3" t="inlineStr">
        <is>
          <t>DeepSeek</t>
        </is>
      </c>
      <c r="B2871" s="3" t="n">
        <v>2030</v>
      </c>
      <c r="C2871" s="3" t="inlineStr">
        <is>
          <t>Bull</t>
        </is>
      </c>
      <c r="D2871" s="3" t="inlineStr">
        <is>
          <t>inference_gw</t>
        </is>
      </c>
      <c r="E2871" s="3" t="n">
        <v>0.843</v>
      </c>
      <c r="F2871" s="3" t="inlineStr">
        <is>
          <t>GW</t>
        </is>
      </c>
      <c r="G2871" s="3" t="inlineStr">
        <is>
          <t>Derived formula</t>
        </is>
      </c>
      <c r="H2871" s="3" t="inlineStr">
        <is>
          <t>ai_it_load_gw * inference_power_share</t>
        </is>
      </c>
      <c r="I2871" s="3" t="inlineStr">
        <is>
          <t>This is the operational power eligible to become commercial generated output tokens through the selected TPS/MW proxy.</t>
        </is>
      </c>
      <c r="J2871" s="3" t="inlineStr">
        <is>
          <t>SRC_DEEPSEEK_V3; SRC_DEEPSEEK_R1; SRC_DEEPSEEK_H800_INFERENCE; SRC_EPOCH_AI_DATA_CENTERS</t>
        </is>
      </c>
      <c r="K2871" s="3" t="inlineStr">
        <is>
          <t>ASSUMP_MOE_EFFICIENCY; ASSUMP_CN_CAPACITY_TRANSPARENCY; ASSUMP_NUMERIC_ACCELERATOR_MIX; ASSUMP_INFERENCE_SHARE_NOT_FACT_60; ASSUMP_WORKLOAD_CLASS_MIX; ASSUMP_AGENTIC_CONTEXT_PENALTY</t>
        </is>
      </c>
      <c r="L2871" s="3" t="inlineStr">
        <is>
          <t>Recompute after AI allocation or inference-share evidence changes.</t>
        </is>
      </c>
    </row>
    <row r="2872">
      <c r="A2872" s="3" t="inlineStr">
        <is>
          <t>DeepSeek</t>
        </is>
      </c>
      <c r="B2872" s="3" t="n">
        <v>2030</v>
      </c>
      <c r="C2872" s="3" t="inlineStr">
        <is>
          <t>Bull</t>
        </is>
      </c>
      <c r="D2872" s="3" t="inlineStr">
        <is>
          <t>training_power_share</t>
        </is>
      </c>
      <c r="E2872" s="3" t="n">
        <v>0.1</v>
      </c>
      <c r="F2872" s="3" t="inlineStr">
        <is>
          <t>share of AI IT load</t>
        </is>
      </c>
      <c r="G2872" s="3" t="inlineStr">
        <is>
          <t>Derived allocation</t>
        </is>
      </c>
      <c r="H2872" s="3" t="inlineStr">
        <is>
          <t>1 - inference_power_share</t>
        </is>
      </c>
      <c r="I2872" s="3" t="inlineStr">
        <is>
          <t>Training receives the complementary modeled AI IT allocation; it is not a disclosed company workload split.</t>
        </is>
      </c>
      <c r="J2872" s="3" t="inlineStr">
        <is>
          <t>SRC_DEEPSEEK_V3; SRC_DEEPSEEK_R1; SRC_DEEPSEEK_H800_INFERENCE; SRC_EPOCH_AI_DATA_CENTERS; ASSUMP_INFERENCE_SHARE_NOT_FACT_60</t>
        </is>
      </c>
      <c r="K2872" s="3" t="inlineStr">
        <is>
          <t>ASSUMP_MOE_EFFICIENCY; ASSUMP_CN_CAPACITY_TRANSPARENCY; ASSUMP_NUMERIC_ACCELERATOR_MIX; ASSUMP_INFERENCE_SHARE_NOT_FACT_60; ASSUMP_WORKLOAD_CLASS_MIX; ASSUMP_AGENTIC_CONTEXT_PENALTY</t>
        </is>
      </c>
      <c r="L2872" s="3" t="inlineStr">
        <is>
          <t>Provider-specific inference/training workload power telemetry.</t>
        </is>
      </c>
    </row>
    <row r="2873">
      <c r="A2873" s="3" t="inlineStr">
        <is>
          <t>DeepSeek</t>
        </is>
      </c>
      <c r="B2873" s="3" t="n">
        <v>2030</v>
      </c>
      <c r="C2873" s="3" t="inlineStr">
        <is>
          <t>Bull</t>
        </is>
      </c>
      <c r="D2873" s="3" t="inlineStr">
        <is>
          <t>training_gw</t>
        </is>
      </c>
      <c r="E2873" s="3" t="n">
        <v>0.094</v>
      </c>
      <c r="F2873" s="3" t="inlineStr">
        <is>
          <t>GW</t>
        </is>
      </c>
      <c r="G2873" s="3" t="inlineStr">
        <is>
          <t>Derived formula</t>
        </is>
      </c>
      <c r="H2873" s="3" t="inlineStr">
        <is>
          <t>ai_it_load_gw * training_power_share</t>
        </is>
      </c>
      <c r="I2873" s="3" t="inlineStr">
        <is>
          <t>Training GW is shown separately so commercial inference token capacity is not overstated.</t>
        </is>
      </c>
      <c r="J2873" s="3" t="inlineStr">
        <is>
          <t>SRC_DEEPSEEK_V3; SRC_DEEPSEEK_R1; SRC_DEEPSEEK_H800_INFERENCE; SRC_EPOCH_AI_DATA_CENTERS</t>
        </is>
      </c>
      <c r="K2873" s="3" t="inlineStr">
        <is>
          <t>ASSUMP_MOE_EFFICIENCY; ASSUMP_CN_CAPACITY_TRANSPARENCY; ASSUMP_NUMERIC_ACCELERATOR_MIX; ASSUMP_INFERENCE_SHARE_NOT_FACT_60; ASSUMP_WORKLOAD_CLASS_MIX; ASSUMP_AGENTIC_CONTEXT_PENALTY</t>
        </is>
      </c>
      <c r="L2873" s="3" t="inlineStr">
        <is>
          <t>Recompute after AI allocation or workload-split evidence changes.</t>
        </is>
      </c>
    </row>
    <row r="2874">
      <c r="A2874" s="3" t="inlineStr">
        <is>
          <t>DeepSeek</t>
        </is>
      </c>
      <c r="B2874" s="3" t="n">
        <v>2030</v>
      </c>
      <c r="C2874" s="3" t="inlineStr">
        <is>
          <t>Bull</t>
        </is>
      </c>
      <c r="D2874" s="3" t="inlineStr">
        <is>
          <t>tokens_per_second_per_mw</t>
        </is>
      </c>
      <c r="E2874" s="3" t="n">
        <v>184158</v>
      </c>
      <c r="F2874" s="3" t="inlineStr">
        <is>
          <t>generated output tokens/sec/MW</t>
        </is>
      </c>
      <c r="G2874" s="3" t="inlineStr">
        <is>
          <t>Derived estimate + benchmark calibration</t>
        </is>
      </c>
      <c r="H2874" s="3" t="inlineStr">
        <is>
          <t>fleet_reference_tps_per_mw * commercial_workload_fit_factor</t>
        </is>
      </c>
      <c r="I2874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2874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2874" s="3" t="inlineStr">
        <is>
          <t>ASSUMP_MOE_EFFICIENCY; ASSUMP_CN_CAPACITY_TRANSPARENCY; ASSUMP_NUMERIC_ACCELERATOR_MIX; ASSUMP_INFERENCE_SHARE_NOT_FACT_60; ASSUMP_WORKLOAD_CLASS_MIX; ASSUMP_AGENTIC_CONTEXT_PENALTY</t>
        </is>
      </c>
      <c r="L2874" s="3" t="inlineStr">
        <is>
          <t>Comparable production output-token throughput with model, hardware, precision, ISL/OSL and SLO matched.</t>
        </is>
      </c>
    </row>
    <row r="2875">
      <c r="A2875" s="3" t="inlineStr">
        <is>
          <t>DeepSeek</t>
        </is>
      </c>
      <c r="B2875" s="3" t="n">
        <v>2030</v>
      </c>
      <c r="C2875" s="3" t="inlineStr">
        <is>
          <t>Bull</t>
        </is>
      </c>
      <c r="D2875" s="3" t="inlineStr">
        <is>
          <t>inference_tokens_per_day</t>
        </is>
      </c>
      <c r="E2875" s="3" t="n">
        <v>13413184761600</v>
      </c>
      <c r="F2875" s="3" t="inlineStr">
        <is>
          <t>generated output tokens/day</t>
        </is>
      </c>
      <c r="G2875" s="3" t="inlineStr">
        <is>
          <t>Derived headline metric</t>
        </is>
      </c>
      <c r="H2875" s="3" t="inlineStr">
        <is>
          <t>inference_gw * 1000 * tokens_per_second_per_mw * 86,400</t>
        </is>
      </c>
      <c r="I2875" s="3" t="inlineStr">
        <is>
          <t>Headline capacity uses no utilization, MoE, architecture or software-growth multiplier; it is not observed commercial output volume.</t>
        </is>
      </c>
      <c r="J2875" s="3" t="inlineStr">
        <is>
          <t>SRC_DEEPSEEK_V3; SRC_DEEPSEEK_R1; SRC_DEEPSEEK_H800_INFERENCE; SRC_EPOCH_AI_DATA_CENTERS; SRC_SEMIANALYSIS_INFERENCEX</t>
        </is>
      </c>
      <c r="K2875" s="3" t="inlineStr">
        <is>
          <t>ASSUMP_MOE_EFFICIENCY; ASSUMP_CN_CAPACITY_TRANSPARENCY; ASSUMP_NUMERIC_ACCELERATOR_MIX; ASSUMP_INFERENCE_SHARE_NOT_FACT_60; ASSUMP_WORKLOAD_CLASS_MIX; ASSUMP_AGENTIC_CONTEXT_PENALTY</t>
        </is>
      </c>
      <c r="L2875" s="3" t="inlineStr">
        <is>
          <t>Provider-disclosed generated output token volume or calibrated capacity telemetry.</t>
        </is>
      </c>
    </row>
    <row r="2876">
      <c r="A2876" s="3" t="inlineStr">
        <is>
          <t>DeepSeek</t>
        </is>
      </c>
      <c r="B2876" s="3" t="n">
        <v>2030</v>
      </c>
      <c r="C2876" s="3" t="inlineStr">
        <is>
          <t>Bull</t>
        </is>
      </c>
      <c r="D2876" s="3" t="inlineStr">
        <is>
          <t>inference_tokens_per_year</t>
        </is>
      </c>
      <c r="E2876" s="3" t="n">
        <v>4895812437984000</v>
      </c>
      <c r="F2876" s="3" t="inlineStr">
        <is>
          <t>generated output tokens/year</t>
        </is>
      </c>
      <c r="G2876" s="3" t="inlineStr">
        <is>
          <t>Derived headline metric</t>
        </is>
      </c>
      <c r="H2876" s="3" t="inlineStr">
        <is>
          <t>inference_tokens_per_day * 365</t>
        </is>
      </c>
      <c r="I2876" s="3" t="inlineStr">
        <is>
          <t>Annualized version of generated output token capacity; it is not observed annual demand or billable volume.</t>
        </is>
      </c>
      <c r="J2876" s="3" t="inlineStr">
        <is>
          <t>SRC_DEEPSEEK_V3; SRC_DEEPSEEK_R1; SRC_DEEPSEEK_H800_INFERENCE; SRC_EPOCH_AI_DATA_CENTERS; SRC_SEMIANALYSIS_INFERENCEX</t>
        </is>
      </c>
      <c r="K2876" s="3" t="inlineStr">
        <is>
          <t>ASSUMP_MOE_EFFICIENCY; ASSUMP_CN_CAPACITY_TRANSPARENCY; ASSUMP_NUMERIC_ACCELERATOR_MIX; ASSUMP_INFERENCE_SHARE_NOT_FACT_60; ASSUMP_WORKLOAD_CLASS_MIX; ASSUMP_AGENTIC_CONTEXT_PENALTY</t>
        </is>
      </c>
      <c r="L2876" s="3" t="inlineStr">
        <is>
          <t>Provider-disclosed annual generated-output volume or metered serving telemetry.</t>
        </is>
      </c>
    </row>
    <row r="2877">
      <c r="A2877" s="3" t="inlineStr">
        <is>
          <t>Alibaba</t>
        </is>
      </c>
      <c r="B2877" s="3" t="n">
        <v>2026</v>
      </c>
      <c r="C2877" s="3" t="inlineStr">
        <is>
          <t>Bull</t>
        </is>
      </c>
      <c r="D2877" s="3" t="inlineStr">
        <is>
          <t>contracted_power_gw</t>
        </is>
      </c>
      <c r="E2877" s="3" t="n">
        <v>1.8</v>
      </c>
      <c r="F2877" s="3" t="inlineStr">
        <is>
          <t>GW</t>
        </is>
      </c>
      <c r="G2877" s="3" t="inlineStr">
        <is>
          <t>Scenario capacity envelope</t>
        </is>
      </c>
      <c r="H2877" s="3" t="inlineStr">
        <is>
          <t>linear interpolation between 2026 and 2030 company capacity endpoints</t>
        </is>
      </c>
      <c r="I2877" s="3" t="inlineStr">
        <is>
          <t>Alibaba Cloud/Qwen capacity is a scenario envelope; official model and deployment documentation does not state operated GW.</t>
        </is>
      </c>
      <c r="J2877" s="3" t="inlineStr">
        <is>
          <t>SRC_ALIBABA_QWEN_GPU_DEPLOY; ASSUMP_CN_CAPACITY_TRANSPARENCY</t>
        </is>
      </c>
      <c r="K2877" s="3" t="inlineStr">
        <is>
          <t>ASSUMP_MOE_EFFICIENCY; ASSUMP_CN_CAPACITY_TRANSPARENCY; ASSUMP_NUMERIC_ACCELERATOR_MIX; ASSUMP_INFERENCE_SHARE_NOT_FACT_60; ASSUMP_WORKLOAD_CLASS_MIX; ASSUMP_AGENTIC_CONTEXT_PENALTY</t>
        </is>
      </c>
      <c r="L2877" s="3" t="inlineStr">
        <is>
          <t>Company/site-level committed MW/GW, interconnect and contract disclosure.</t>
        </is>
      </c>
    </row>
    <row r="2878">
      <c r="A2878" s="3" t="inlineStr">
        <is>
          <t>Alibaba</t>
        </is>
      </c>
      <c r="B2878" s="3" t="n">
        <v>2026</v>
      </c>
      <c r="C2878" s="3" t="inlineStr">
        <is>
          <t>Bull</t>
        </is>
      </c>
      <c r="D2878" s="3" t="inlineStr">
        <is>
          <t>operational_deployment_share</t>
        </is>
      </c>
      <c r="E2878" s="3" t="n">
        <v>0.37944444</v>
      </c>
      <c r="F2878" s="3" t="inlineStr">
        <is>
          <t>share</t>
        </is>
      </c>
      <c r="G2878" s="3" t="inlineStr">
        <is>
          <t>Scenario conversion</t>
        </is>
      </c>
      <c r="H2878" s="3" t="inlineStr">
        <is>
          <t>active_power_gw / contracted_power_gw</t>
        </is>
      </c>
      <c r="I2878" s="3" t="inlineStr">
        <is>
          <t>This is the single explicit conversion from contracted/attributed capacity to operationally usable capacity.</t>
        </is>
      </c>
      <c r="J2878" s="3" t="inlineStr">
        <is>
          <t>SRC_ALIBABA_QWEN_GPU_DEPLOY; ASSUMP_CN_CAPACITY_TRANSPARENCY</t>
        </is>
      </c>
      <c r="K2878" s="3" t="inlineStr">
        <is>
          <t>ASSUMP_MOE_EFFICIENCY; ASSUMP_CN_CAPACITY_TRANSPARENCY; ASSUMP_NUMERIC_ACCELERATOR_MIX; ASSUMP_INFERENCE_SHARE_NOT_FACT_60; ASSUMP_WORKLOAD_CLASS_MIX; ASSUMP_AGENTIC_CONTEXT_PENALTY</t>
        </is>
      </c>
      <c r="L2878" s="3" t="inlineStr">
        <is>
          <t>Energized operational capacity divided by contracted/attributed capacity.</t>
        </is>
      </c>
    </row>
    <row r="2879">
      <c r="A2879" s="3" t="inlineStr">
        <is>
          <t>Alibaba</t>
        </is>
      </c>
      <c r="B2879" s="3" t="n">
        <v>2026</v>
      </c>
      <c r="C2879" s="3" t="inlineStr">
        <is>
          <t>Bull</t>
        </is>
      </c>
      <c r="D2879" s="3" t="inlineStr">
        <is>
          <t>active_power_gw</t>
        </is>
      </c>
      <c r="E2879" s="3" t="n">
        <v>0.6830000000000001</v>
      </c>
      <c r="F2879" s="3" t="inlineStr">
        <is>
          <t>GW</t>
        </is>
      </c>
      <c r="G2879" s="3" t="inlineStr">
        <is>
          <t>Derived scenario</t>
        </is>
      </c>
      <c r="H2879" s="3" t="inlineStr">
        <is>
          <t>contracted_power_gw * operational_deployment_share</t>
        </is>
      </c>
      <c r="I2879" s="3" t="inlineStr">
        <is>
          <t>Active GW is staged below capacity due to undisclosed accelerator allocation and cloud multi-tenant use.</t>
        </is>
      </c>
      <c r="J2879" s="3" t="inlineStr">
        <is>
          <t>SRC_ALIBABA_QWEN_GPU_DEPLOY; ASSUMP_CN_CAPACITY_TRANSPARENCY</t>
        </is>
      </c>
      <c r="K2879" s="3" t="inlineStr">
        <is>
          <t>ASSUMP_MOE_EFFICIENCY; ASSUMP_CN_CAPACITY_TRANSPARENCY; ASSUMP_NUMERIC_ACCELERATOR_MIX; ASSUMP_INFERENCE_SHARE_NOT_FACT_60; ASSUMP_WORKLOAD_CLASS_MIX; ASSUMP_AGENTIC_CONTEXT_PENALTY</t>
        </is>
      </c>
      <c r="L2879" s="3" t="inlineStr">
        <is>
          <t>Energization dates, accelerator deliveries and operational powered-rack telemetry.</t>
        </is>
      </c>
    </row>
    <row r="2880">
      <c r="A2880" s="3" t="inlineStr">
        <is>
          <t>Alibaba</t>
        </is>
      </c>
      <c r="B2880" s="3" t="n">
        <v>2026</v>
      </c>
      <c r="C2880" s="3" t="inlineStr">
        <is>
          <t>Bull</t>
        </is>
      </c>
      <c r="D2880" s="3" t="inlineStr">
        <is>
          <t>pue</t>
        </is>
      </c>
      <c r="E2880" s="3" t="n">
        <v>1.23</v>
      </c>
      <c r="F2880" s="3" t="inlineStr">
        <is>
          <t>ratio</t>
        </is>
      </c>
      <c r="G2880" s="3" t="inlineStr">
        <is>
          <t>Scenario parameter</t>
        </is>
      </c>
      <c r="H2880" s="3" t="inlineStr">
        <is>
          <t>it_load_gw = active_power_gw / pue</t>
        </is>
      </c>
      <c r="I2880" s="3" t="inlineStr">
        <is>
          <t>No provider-wide site-level PUE is used as a disclosed fact; PUE represents facility-to-IT conversion within the scenario.</t>
        </is>
      </c>
      <c r="J2880" s="3" t="inlineStr">
        <is>
          <t>ASSUMP_POWER_RAMP</t>
        </is>
      </c>
      <c r="K2880" s="3" t="inlineStr">
        <is>
          <t>ASSUMP_MOE_EFFICIENCY; ASSUMP_CN_CAPACITY_TRANSPARENCY; ASSUMP_NUMERIC_ACCELERATOR_MIX; ASSUMP_INFERENCE_SHARE_NOT_FACT_60; ASSUMP_WORKLOAD_CLASS_MIX; ASSUMP_AGENTIC_CONTEXT_PENALTY</t>
        </is>
      </c>
      <c r="L2880" s="3" t="inlineStr">
        <is>
          <t>Site-level measured PUE matched to attributed AI capacity.</t>
        </is>
      </c>
    </row>
    <row r="2881">
      <c r="A2881" s="3" t="inlineStr">
        <is>
          <t>Alibaba</t>
        </is>
      </c>
      <c r="B2881" s="3" t="n">
        <v>2026</v>
      </c>
      <c r="C2881" s="3" t="inlineStr">
        <is>
          <t>Bull</t>
        </is>
      </c>
      <c r="D2881" s="3" t="inlineStr">
        <is>
          <t>it_load_gw</t>
        </is>
      </c>
      <c r="E2881" s="3" t="n">
        <v>0.555</v>
      </c>
      <c r="F2881" s="3" t="inlineStr">
        <is>
          <t>GW</t>
        </is>
      </c>
      <c r="G2881" s="3" t="inlineStr">
        <is>
          <t>Derived formula</t>
        </is>
      </c>
      <c r="H2881" s="3" t="inlineStr">
        <is>
          <t>active_power_gw / pue</t>
        </is>
      </c>
      <c r="I2881" s="3" t="inlineStr">
        <is>
          <t>Facility power is converted to IT-deliverable power before attributing AI workloads.</t>
        </is>
      </c>
      <c r="J2881" s="3" t="inlineStr">
        <is>
          <t>SRC_ALIBABA_QWEN_GPU_DEPLOY; ASSUMP_CN_CAPACITY_TRANSPARENCY</t>
        </is>
      </c>
      <c r="K2881" s="3" t="inlineStr">
        <is>
          <t>ASSUMP_MOE_EFFICIENCY; ASSUMP_CN_CAPACITY_TRANSPARENCY; ASSUMP_NUMERIC_ACCELERATOR_MIX; ASSUMP_INFERENCE_SHARE_NOT_FACT_60; ASSUMP_WORKLOAD_CLASS_MIX; ASSUMP_AGENTIC_CONTEXT_PENALTY</t>
        </is>
      </c>
      <c r="L2881" s="3" t="inlineStr">
        <is>
          <t>Recompute once active power and PUE become site-observable.</t>
        </is>
      </c>
    </row>
    <row r="2882">
      <c r="A2882" s="3" t="inlineStr">
        <is>
          <t>Alibaba</t>
        </is>
      </c>
      <c r="B2882" s="3" t="n">
        <v>2026</v>
      </c>
      <c r="C2882" s="3" t="inlineStr">
        <is>
          <t>Bull</t>
        </is>
      </c>
      <c r="D2882" s="3" t="inlineStr">
        <is>
          <t>ai_workload_share</t>
        </is>
      </c>
      <c r="E2882" s="3" t="n">
        <v>0.84</v>
      </c>
      <c r="F2882" s="3" t="inlineStr">
        <is>
          <t>share</t>
        </is>
      </c>
      <c r="G2882" s="3" t="inlineStr">
        <is>
          <t>Scenario allocation</t>
        </is>
      </c>
      <c r="H2882" s="3" t="inlineStr">
        <is>
          <t>ai_it_load_gw = it_load_gw * ai_workload_share</t>
        </is>
      </c>
      <c r="I2882" s="3" t="inlineStr">
        <is>
          <t>Model Studio/Qwen-serving envelope is AI-focused, while cloud platform/reserve allocation is excluded through 84%.</t>
        </is>
      </c>
      <c r="J2882" s="3" t="inlineStr">
        <is>
          <t>SRC_QWEN3_GITHUB; SRC_ALIBABA_QWEN_GPU_DEPLOY; SRC_EPOCH_AI_DATA_CENTERS</t>
        </is>
      </c>
      <c r="K2882" s="3" t="inlineStr">
        <is>
          <t>ASSUMP_MOE_EFFICIENCY; ASSUMP_CN_CAPACITY_TRANSPARENCY; ASSUMP_NUMERIC_ACCELERATOR_MIX; ASSUMP_INFERENCE_SHARE_NOT_FACT_60; ASSUMP_WORKLOAD_CLASS_MIX; ASSUMP_AGENTIC_CONTEXT_PENALTY</t>
        </is>
      </c>
      <c r="L2882" s="3" t="inlineStr">
        <is>
          <t>Model-owner AI workload allocation or cluster scheduling telemetry.</t>
        </is>
      </c>
    </row>
    <row r="2883">
      <c r="A2883" s="3" t="inlineStr">
        <is>
          <t>Alibaba</t>
        </is>
      </c>
      <c r="B2883" s="3" t="n">
        <v>2026</v>
      </c>
      <c r="C2883" s="3" t="inlineStr">
        <is>
          <t>Bull</t>
        </is>
      </c>
      <c r="D2883" s="3" t="inlineStr">
        <is>
          <t>ai_it_load_gw</t>
        </is>
      </c>
      <c r="E2883" s="3" t="n">
        <v>0.466</v>
      </c>
      <c r="F2883" s="3" t="inlineStr">
        <is>
          <t>GW</t>
        </is>
      </c>
      <c r="G2883" s="3" t="inlineStr">
        <is>
          <t>Derived formula</t>
        </is>
      </c>
      <c r="H2883" s="3" t="inlineStr">
        <is>
          <t>it_load_gw * ai_workload_share</t>
        </is>
      </c>
      <c r="I2883" s="3" t="inlineStr">
        <is>
          <t>Only the AI-attributed portion of IT load enters training/inference allocation.</t>
        </is>
      </c>
      <c r="J2883" s="3" t="inlineStr">
        <is>
          <t>SRC_QWEN3_GITHUB; SRC_ALIBABA_QWEN_GPU_DEPLOY; SRC_EPOCH_AI_DATA_CENTERS</t>
        </is>
      </c>
      <c r="K2883" s="3" t="inlineStr">
        <is>
          <t>ASSUMP_MOE_EFFICIENCY; ASSUMP_CN_CAPACITY_TRANSPARENCY; ASSUMP_NUMERIC_ACCELERATOR_MIX; ASSUMP_INFERENCE_SHARE_NOT_FACT_60; ASSUMP_WORKLOAD_CLASS_MIX; ASSUMP_AGENTIC_CONTEXT_PENALTY</t>
        </is>
      </c>
      <c r="L2883" s="3" t="inlineStr">
        <is>
          <t>Recompute after ai_workload_share is replaced by telemetry.</t>
        </is>
      </c>
    </row>
    <row r="2884">
      <c r="A2884" s="3" t="inlineStr">
        <is>
          <t>Alibaba</t>
        </is>
      </c>
      <c r="B2884" s="3" t="n">
        <v>2026</v>
      </c>
      <c r="C2884" s="3" t="inlineStr">
        <is>
          <t>Bull</t>
        </is>
      </c>
      <c r="D2884" s="3" t="inlineStr">
        <is>
          <t>gpu_share</t>
        </is>
      </c>
      <c r="E2884" s="3" t="n">
        <v>1</v>
      </c>
      <c r="F2884" s="3" t="inlineStr">
        <is>
          <t>share of inference-serving accelerator load</t>
        </is>
      </c>
      <c r="G2884" s="3" t="inlineStr">
        <is>
          <t>Numeric scenario</t>
        </is>
      </c>
      <c r="H2884" s="3" t="inlineStr">
        <is>
          <t>gpu_share interpolated from company 2026/2030 accelerator-mix endpoints</t>
        </is>
      </c>
      <c r="I2884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884" s="3" t="inlineStr">
        <is>
          <t>SRC_QWEN3_GITHUB; SRC_ALIBABA_QWEN_GPU_DEPLOY; SRC_EPOCH_AI_DATA_CENTERS; ASSUMP_NUMERIC_ACCELERATOR_MIX</t>
        </is>
      </c>
      <c r="K2884" s="3" t="inlineStr">
        <is>
          <t>ASSUMP_MOE_EFFICIENCY; ASSUMP_CN_CAPACITY_TRANSPARENCY; ASSUMP_NUMERIC_ACCELERATOR_MIX; ASSUMP_INFERENCE_SHARE_NOT_FACT_60; ASSUMP_WORKLOAD_CLASS_MIX; ASSUMP_AGENTIC_CONTEXT_PENALTY</t>
        </is>
      </c>
      <c r="L2884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885">
      <c r="A2885" s="3" t="inlineStr">
        <is>
          <t>Alibaba</t>
        </is>
      </c>
      <c r="B2885" s="3" t="n">
        <v>2026</v>
      </c>
      <c r="C2885" s="3" t="inlineStr">
        <is>
          <t>Bull</t>
        </is>
      </c>
      <c r="D2885" s="3" t="inlineStr">
        <is>
          <t>h200_share</t>
        </is>
      </c>
      <c r="E2885" s="3" t="n">
        <v>1</v>
      </c>
      <c r="F2885" s="3" t="inlineStr">
        <is>
          <t>share of inference-serving accelerator load</t>
        </is>
      </c>
      <c r="G2885" s="3" t="inlineStr">
        <is>
          <t>Editable numeric scenario</t>
        </is>
      </c>
      <c r="H2885" s="3" t="inlineStr">
        <is>
          <t>h200_share = gpu_share * default_gpu_generation_mix_h200</t>
        </is>
      </c>
      <c r="I2885" s="3" t="inlineStr">
        <is>
          <t>Default GPU-generation migration assumption; executive workbook allows later manual replacement by company/year/scenario.</t>
        </is>
      </c>
      <c r="J2885" s="3" t="inlineStr">
        <is>
          <t>SRC_SEMIANALYSIS_INFERENCEX; ASSUMP_NUMERIC_ACCELERATOR_MIX</t>
        </is>
      </c>
      <c r="K2885" s="3" t="inlineStr">
        <is>
          <t>ASSUMP_MOE_EFFICIENCY; ASSUMP_CN_CAPACITY_TRANSPARENCY; ASSUMP_NUMERIC_ACCELERATOR_MIX; ASSUMP_INFERENCE_SHARE_NOT_FACT_60; ASSUMP_WORKLOAD_CLASS_MIX; ASSUMP_AGENTIC_CONTEXT_PENALTY</t>
        </is>
      </c>
      <c r="L2885" s="3" t="inlineStr">
        <is>
          <t>Company fleet inventory, accelerator-hours or procurement/deployment records by GPU generation.</t>
        </is>
      </c>
    </row>
    <row r="2886">
      <c r="A2886" s="3" t="inlineStr">
        <is>
          <t>Alibaba</t>
        </is>
      </c>
      <c r="B2886" s="3" t="n">
        <v>2026</v>
      </c>
      <c r="C2886" s="3" t="inlineStr">
        <is>
          <t>Bull</t>
        </is>
      </c>
      <c r="D2886" s="3" t="inlineStr">
        <is>
          <t>b200_share</t>
        </is>
      </c>
      <c r="E2886" s="3" t="n">
        <v>0</v>
      </c>
      <c r="F2886" s="3" t="inlineStr">
        <is>
          <t>share of inference-serving accelerator load</t>
        </is>
      </c>
      <c r="G2886" s="3" t="inlineStr">
        <is>
          <t>Editable numeric scenario</t>
        </is>
      </c>
      <c r="H2886" s="3" t="inlineStr">
        <is>
          <t>b200_share = gpu_share * default_gpu_generation_mix_b200</t>
        </is>
      </c>
      <c r="I2886" s="3" t="inlineStr">
        <is>
          <t>Default GPU-generation migration assumption; executive workbook allows later manual replacement by company/year/scenario.</t>
        </is>
      </c>
      <c r="J2886" s="3" t="inlineStr">
        <is>
          <t>SRC_SEMIANALYSIS_INFERENCEX; ASSUMP_NUMERIC_ACCELERATOR_MIX</t>
        </is>
      </c>
      <c r="K2886" s="3" t="inlineStr">
        <is>
          <t>ASSUMP_MOE_EFFICIENCY; ASSUMP_CN_CAPACITY_TRANSPARENCY; ASSUMP_NUMERIC_ACCELERATOR_MIX; ASSUMP_INFERENCE_SHARE_NOT_FACT_60; ASSUMP_WORKLOAD_CLASS_MIX; ASSUMP_AGENTIC_CONTEXT_PENALTY</t>
        </is>
      </c>
      <c r="L2886" s="3" t="inlineStr">
        <is>
          <t>Company fleet inventory, accelerator-hours or procurement/deployment records by GPU generation.</t>
        </is>
      </c>
    </row>
    <row r="2887">
      <c r="A2887" s="3" t="inlineStr">
        <is>
          <t>Alibaba</t>
        </is>
      </c>
      <c r="B2887" s="3" t="n">
        <v>2026</v>
      </c>
      <c r="C2887" s="3" t="inlineStr">
        <is>
          <t>Bull</t>
        </is>
      </c>
      <c r="D2887" s="3" t="inlineStr">
        <is>
          <t>gb200_share</t>
        </is>
      </c>
      <c r="E2887" s="3" t="n">
        <v>0</v>
      </c>
      <c r="F2887" s="3" t="inlineStr">
        <is>
          <t>share of inference-serving accelerator load</t>
        </is>
      </c>
      <c r="G2887" s="3" t="inlineStr">
        <is>
          <t>Editable numeric scenario</t>
        </is>
      </c>
      <c r="H2887" s="3" t="inlineStr">
        <is>
          <t>gb200_share = gpu_share * default_gpu_generation_mix_gb200</t>
        </is>
      </c>
      <c r="I2887" s="3" t="inlineStr">
        <is>
          <t>Default GPU-generation migration assumption; executive workbook allows later manual replacement by company/year/scenario.</t>
        </is>
      </c>
      <c r="J2887" s="3" t="inlineStr">
        <is>
          <t>SRC_SEMIANALYSIS_INFERENCEX; ASSUMP_NUMERIC_ACCELERATOR_MIX</t>
        </is>
      </c>
      <c r="K2887" s="3" t="inlineStr">
        <is>
          <t>ASSUMP_MOE_EFFICIENCY; ASSUMP_CN_CAPACITY_TRANSPARENCY; ASSUMP_NUMERIC_ACCELERATOR_MIX; ASSUMP_INFERENCE_SHARE_NOT_FACT_60; ASSUMP_WORKLOAD_CLASS_MIX; ASSUMP_AGENTIC_CONTEXT_PENALTY</t>
        </is>
      </c>
      <c r="L2887" s="3" t="inlineStr">
        <is>
          <t>Company fleet inventory, accelerator-hours or procurement/deployment records by GPU generation.</t>
        </is>
      </c>
    </row>
    <row r="2888">
      <c r="A2888" s="3" t="inlineStr">
        <is>
          <t>Alibaba</t>
        </is>
      </c>
      <c r="B2888" s="3" t="n">
        <v>2026</v>
      </c>
      <c r="C2888" s="3" t="inlineStr">
        <is>
          <t>Bull</t>
        </is>
      </c>
      <c r="D2888" s="3" t="inlineStr">
        <is>
          <t>purpose_built_accelerator_share</t>
        </is>
      </c>
      <c r="E2888" s="3" t="n">
        <v>0</v>
      </c>
      <c r="F2888" s="3" t="inlineStr">
        <is>
          <t>share of inference-serving accelerator load</t>
        </is>
      </c>
      <c r="G2888" s="3" t="inlineStr">
        <is>
          <t>Numeric scenario</t>
        </is>
      </c>
      <c r="H2888" s="3" t="inlineStr">
        <is>
          <t>1 - gpu_share</t>
        </is>
      </c>
      <c r="I2888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888" s="3" t="inlineStr">
        <is>
          <t>SRC_QWEN3_GITHUB; SRC_ALIBABA_QWEN_GPU_DEPLOY; SRC_EPOCH_AI_DATA_CENTERS; ASSUMP_NUMERIC_ACCELERATOR_MIX</t>
        </is>
      </c>
      <c r="K2888" s="3" t="inlineStr">
        <is>
          <t>ASSUMP_MOE_EFFICIENCY; ASSUMP_CN_CAPACITY_TRANSPARENCY; ASSUMP_NUMERIC_ACCELERATOR_MIX; ASSUMP_INFERENCE_SHARE_NOT_FACT_60; ASSUMP_WORKLOAD_CLASS_MIX; ASSUMP_AGENTIC_CONTEXT_PENALTY</t>
        </is>
      </c>
      <c r="L2888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889">
      <c r="A2889" s="3" t="inlineStr">
        <is>
          <t>Alibaba</t>
        </is>
      </c>
      <c r="B2889" s="3" t="n">
        <v>2026</v>
      </c>
      <c r="C2889" s="3" t="inlineStr">
        <is>
          <t>Bull</t>
        </is>
      </c>
      <c r="D2889" s="3" t="inlineStr">
        <is>
          <t>fleet_reference_tps_per_mw</t>
        </is>
      </c>
      <c r="E2889" s="3" t="n">
        <v>166591</v>
      </c>
      <c r="F2889" s="3" t="inlineStr">
        <is>
          <t>generated output tokens/sec/MW</t>
        </is>
      </c>
      <c r="G2889" s="3" t="inlineStr">
        <is>
          <t>Fleet-weighted public benchmark reference</t>
        </is>
      </c>
      <c r="H2889" s="3" t="inlineStr">
        <is>
          <t>h200_share*h200_workload_avg + b200_share*b200_workload_avg + gb200_share*gb200_workload_avg + purpose_built_share*purpose_workload_avg</t>
        </is>
      </c>
      <c r="I2889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889" s="3" t="inlineStr">
        <is>
          <t>SRC_SEMIANALYSIS_INFERENCEX; ASSUMP_NUMERIC_ACCELERATOR_MIX; ASSUMP_WORKLOAD_CLASS_MIX; ASSUMP_AGENTIC_CONTEXT_PENALTY</t>
        </is>
      </c>
      <c r="K2889" s="3" t="inlineStr">
        <is>
          <t>ASSUMP_MOE_EFFICIENCY; ASSUMP_CN_CAPACITY_TRANSPARENCY; ASSUMP_NUMERIC_ACCELERATOR_MIX; ASSUMP_INFERENCE_SHARE_NOT_FACT_60; ASSUMP_WORKLOAD_CLASS_MIX; ASSUMP_AGENTIC_CONTEXT_PENALTY</t>
        </is>
      </c>
      <c r="L2889" s="3" t="inlineStr">
        <is>
          <t>Comparable production output-token throughput or a more closely matched benchmark.</t>
        </is>
      </c>
    </row>
    <row r="2890">
      <c r="A2890" s="3" t="inlineStr">
        <is>
          <t>Alibaba</t>
        </is>
      </c>
      <c r="B2890" s="3" t="n">
        <v>2026</v>
      </c>
      <c r="C2890" s="3" t="inlineStr">
        <is>
          <t>Bull</t>
        </is>
      </c>
      <c r="D2890" s="3" t="inlineStr">
        <is>
          <t>commercial_workload_fit_factor</t>
        </is>
      </c>
      <c r="E2890" s="3" t="n">
        <v>1</v>
      </c>
      <c r="F2890" s="3" t="inlineStr">
        <is>
          <t>share of public reference throughput</t>
        </is>
      </c>
      <c r="G2890" s="3" t="inlineStr">
        <is>
          <t>Scenario assumption</t>
        </is>
      </c>
      <c r="H2890" s="3" t="inlineStr">
        <is>
          <t>reference_serving_tps_per_mw = fleet_reference_tps_per_mw * commercial_workload_fit_factor</t>
        </is>
      </c>
      <c r="I2890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890" s="3" t="inlineStr">
        <is>
          <t>SRC_SEMIANALYSIS_INFERENCEX; ASSUMP_NUMERIC_ACCELERATOR_MIX; ASSUMP_WORKLOAD_CLASS_MIX; ASSUMP_AGENTIC_CONTEXT_PENALTY</t>
        </is>
      </c>
      <c r="K2890" s="3" t="inlineStr">
        <is>
          <t>ASSUMP_MOE_EFFICIENCY; ASSUMP_CN_CAPACITY_TRANSPARENCY; ASSUMP_NUMERIC_ACCELERATOR_MIX; ASSUMP_INFERENCE_SHARE_NOT_FACT_60; ASSUMP_WORKLOAD_CLASS_MIX; ASSUMP_AGENTIC_CONTEXT_PENALTY</t>
        </is>
      </c>
      <c r="L2890" s="3" t="inlineStr">
        <is>
          <t>Matched commercial serving benchmark by product surface, context shape and latency SLO.</t>
        </is>
      </c>
    </row>
    <row r="2891">
      <c r="A2891" s="3" t="inlineStr">
        <is>
          <t>Alibaba</t>
        </is>
      </c>
      <c r="B2891" s="3" t="n">
        <v>2026</v>
      </c>
      <c r="C2891" s="3" t="inlineStr">
        <is>
          <t>Bull</t>
        </is>
      </c>
      <c r="D2891" s="3" t="inlineStr">
        <is>
          <t>reference_serving_tps_per_mw</t>
        </is>
      </c>
      <c r="E2891" s="3" t="n">
        <v>166591</v>
      </c>
      <c r="F2891" s="3" t="inlineStr">
        <is>
          <t>generated output tokens/sec/MW</t>
        </is>
      </c>
      <c r="G2891" s="3" t="inlineStr">
        <is>
          <t>Workload-adjusted benchmark proxy</t>
        </is>
      </c>
      <c r="H2891" s="3" t="inlineStr">
        <is>
          <t>fleet_reference_tps_per_mw * commercial_workload_fit_factor</t>
        </is>
      </c>
      <c r="I2891" s="3" t="inlineStr">
        <is>
          <t>This is the coefficient used for headline token generation; each GPU's short chat, long chat and agentic TPS/MW are weighted before fleet mix and commercial fit are applied.</t>
        </is>
      </c>
      <c r="J2891" s="3" t="inlineStr">
        <is>
          <t>SRC_SEMIANALYSIS_INFERENCEX; ASSUMP_NUMERIC_ACCELERATOR_MIX; ASSUMP_WORKLOAD_CLASS_MIX; ASSUMP_AGENTIC_CONTEXT_PENALTY</t>
        </is>
      </c>
      <c r="K2891" s="3" t="inlineStr">
        <is>
          <t>ASSUMP_MOE_EFFICIENCY; ASSUMP_CN_CAPACITY_TRANSPARENCY; ASSUMP_NUMERIC_ACCELERATOR_MIX; ASSUMP_INFERENCE_SHARE_NOT_FACT_60; ASSUMP_WORKLOAD_CLASS_MIX; ASSUMP_AGENTIC_CONTEXT_PENALTY</t>
        </is>
      </c>
      <c r="L2891" s="3" t="inlineStr">
        <is>
          <t>Provider production output-token throughput with comparable workload/SLO.</t>
        </is>
      </c>
    </row>
    <row r="2892">
      <c r="A2892" s="3" t="inlineStr">
        <is>
          <t>Alibaba</t>
        </is>
      </c>
      <c r="B2892" s="3" t="n">
        <v>2026</v>
      </c>
      <c r="C2892" s="3" t="inlineStr">
        <is>
          <t>Bull</t>
        </is>
      </c>
      <c r="D2892" s="3" t="inlineStr">
        <is>
          <t>purpose_built_tps_per_mw</t>
        </is>
      </c>
      <c r="E2892" s="3" t="n">
        <v>1106733</v>
      </c>
      <c r="F2892" s="3" t="inlineStr">
        <is>
          <t>generated output tokens/sec/MW</t>
        </is>
      </c>
      <c r="G2892" s="3" t="inlineStr">
        <is>
          <t>Conservative no-uplift proxy</t>
        </is>
      </c>
      <c r="H2892" s="3" t="inlineStr">
        <is>
          <t>purpose_built_tps_per_mw = purpose_built_reference_tps_per_mw * commercial_workload_fit_factor until comparable output-token benchmark is adopted</t>
        </is>
      </c>
      <c r="I2892" s="3" t="inlineStr">
        <is>
          <t>No comparable public output-token/MW row adopted; B200 public reference placeholder is used and remains editable.</t>
        </is>
      </c>
      <c r="J2892" s="3" t="inlineStr">
        <is>
          <t>SRC_QWEN3_GITHUB; SRC_ALIBABA_QWEN_GPU_DEPLOY; SRC_EPOCH_AI_DATA_CENTERS; ASSUMP_NUMERIC_ACCELERATOR_MIX</t>
        </is>
      </c>
      <c r="K2892" s="3" t="inlineStr">
        <is>
          <t>ASSUMP_MOE_EFFICIENCY; ASSUMP_CN_CAPACITY_TRANSPARENCY; ASSUMP_NUMERIC_ACCELERATOR_MIX; ASSUMP_INFERENCE_SHARE_NOT_FACT_60; ASSUMP_WORKLOAD_CLASS_MIX; ASSUMP_AGENTIC_CONTEXT_PENALTY</t>
        </is>
      </c>
      <c r="L2892" s="3" t="inlineStr">
        <is>
          <t>Matched-workload generated-output benchmark for the provider purpose-built accelerator.</t>
        </is>
      </c>
    </row>
    <row r="2893">
      <c r="A2893" s="3" t="inlineStr">
        <is>
          <t>Alibaba</t>
        </is>
      </c>
      <c r="B2893" s="3" t="n">
        <v>2026</v>
      </c>
      <c r="C2893" s="3" t="inlineStr">
        <is>
          <t>Bull</t>
        </is>
      </c>
      <c r="D2893" s="3" t="inlineStr">
        <is>
          <t>inference_power_share</t>
        </is>
      </c>
      <c r="E2893" s="3" t="n">
        <v>0.65</v>
      </c>
      <c r="F2893" s="3" t="inlineStr">
        <is>
          <t>share of AI IT load</t>
        </is>
      </c>
      <c r="G2893" s="3" t="inlineStr">
        <is>
          <t>Scenario allocation</t>
        </is>
      </c>
      <c r="H2893" s="3" t="inlineStr">
        <is>
          <t>inference_gw = ai_it_load_gw * inference_power_share</t>
        </is>
      </c>
      <c r="I2893" s="3" t="inlineStr">
        <is>
          <t>Qwen API/enterprise commercialization and MoE architecture support increasing inference allocation scenario.</t>
        </is>
      </c>
      <c r="J2893" s="3" t="inlineStr">
        <is>
          <t>SRC_QWEN3_GITHUB; SRC_ALIBABA_QWEN_GPU_DEPLOY; SRC_EPOCH_AI_DATA_CENTERS; ASSUMP_INFERENCE_SHARE_NOT_FACT_60</t>
        </is>
      </c>
      <c r="K2893" s="3" t="inlineStr">
        <is>
          <t>ASSUMP_MOE_EFFICIENCY; ASSUMP_CN_CAPACITY_TRANSPARENCY; ASSUMP_NUMERIC_ACCELERATOR_MIX; ASSUMP_INFERENCE_SHARE_NOT_FACT_60; ASSUMP_WORKLOAD_CLASS_MIX; ASSUMP_AGENTIC_CONTEXT_PENALTY</t>
        </is>
      </c>
      <c r="L2893" s="3" t="inlineStr">
        <is>
          <t>Provider-specific inference/training workload power telemetry.</t>
        </is>
      </c>
    </row>
    <row r="2894">
      <c r="A2894" s="3" t="inlineStr">
        <is>
          <t>Alibaba</t>
        </is>
      </c>
      <c r="B2894" s="3" t="n">
        <v>2026</v>
      </c>
      <c r="C2894" s="3" t="inlineStr">
        <is>
          <t>Bull</t>
        </is>
      </c>
      <c r="D2894" s="3" t="inlineStr">
        <is>
          <t>inference_gw</t>
        </is>
      </c>
      <c r="E2894" s="3" t="n">
        <v>0.303</v>
      </c>
      <c r="F2894" s="3" t="inlineStr">
        <is>
          <t>GW</t>
        </is>
      </c>
      <c r="G2894" s="3" t="inlineStr">
        <is>
          <t>Derived formula</t>
        </is>
      </c>
      <c r="H2894" s="3" t="inlineStr">
        <is>
          <t>ai_it_load_gw * inference_power_share</t>
        </is>
      </c>
      <c r="I2894" s="3" t="inlineStr">
        <is>
          <t>This is the operational power eligible to become commercial generated output tokens through the selected TPS/MW proxy.</t>
        </is>
      </c>
      <c r="J2894" s="3" t="inlineStr">
        <is>
          <t>SRC_QWEN3_GITHUB; SRC_ALIBABA_QWEN_GPU_DEPLOY; SRC_EPOCH_AI_DATA_CENTERS</t>
        </is>
      </c>
      <c r="K2894" s="3" t="inlineStr">
        <is>
          <t>ASSUMP_MOE_EFFICIENCY; ASSUMP_CN_CAPACITY_TRANSPARENCY; ASSUMP_NUMERIC_ACCELERATOR_MIX; ASSUMP_INFERENCE_SHARE_NOT_FACT_60; ASSUMP_WORKLOAD_CLASS_MIX; ASSUMP_AGENTIC_CONTEXT_PENALTY</t>
        </is>
      </c>
      <c r="L2894" s="3" t="inlineStr">
        <is>
          <t>Recompute after AI allocation or inference-share evidence changes.</t>
        </is>
      </c>
    </row>
    <row r="2895">
      <c r="A2895" s="3" t="inlineStr">
        <is>
          <t>Alibaba</t>
        </is>
      </c>
      <c r="B2895" s="3" t="n">
        <v>2026</v>
      </c>
      <c r="C2895" s="3" t="inlineStr">
        <is>
          <t>Bull</t>
        </is>
      </c>
      <c r="D2895" s="3" t="inlineStr">
        <is>
          <t>training_power_share</t>
        </is>
      </c>
      <c r="E2895" s="3" t="n">
        <v>0.35</v>
      </c>
      <c r="F2895" s="3" t="inlineStr">
        <is>
          <t>share of AI IT load</t>
        </is>
      </c>
      <c r="G2895" s="3" t="inlineStr">
        <is>
          <t>Derived allocation</t>
        </is>
      </c>
      <c r="H2895" s="3" t="inlineStr">
        <is>
          <t>1 - inference_power_share</t>
        </is>
      </c>
      <c r="I2895" s="3" t="inlineStr">
        <is>
          <t>Training receives the complementary modeled AI IT allocation; it is not a disclosed company workload split.</t>
        </is>
      </c>
      <c r="J2895" s="3" t="inlineStr">
        <is>
          <t>SRC_QWEN3_GITHUB; SRC_ALIBABA_QWEN_GPU_DEPLOY; SRC_EPOCH_AI_DATA_CENTERS; ASSUMP_INFERENCE_SHARE_NOT_FACT_60</t>
        </is>
      </c>
      <c r="K2895" s="3" t="inlineStr">
        <is>
          <t>ASSUMP_MOE_EFFICIENCY; ASSUMP_CN_CAPACITY_TRANSPARENCY; ASSUMP_NUMERIC_ACCELERATOR_MIX; ASSUMP_INFERENCE_SHARE_NOT_FACT_60; ASSUMP_WORKLOAD_CLASS_MIX; ASSUMP_AGENTIC_CONTEXT_PENALTY</t>
        </is>
      </c>
      <c r="L2895" s="3" t="inlineStr">
        <is>
          <t>Provider-specific inference/training workload power telemetry.</t>
        </is>
      </c>
    </row>
    <row r="2896">
      <c r="A2896" s="3" t="inlineStr">
        <is>
          <t>Alibaba</t>
        </is>
      </c>
      <c r="B2896" s="3" t="n">
        <v>2026</v>
      </c>
      <c r="C2896" s="3" t="inlineStr">
        <is>
          <t>Bull</t>
        </is>
      </c>
      <c r="D2896" s="3" t="inlineStr">
        <is>
          <t>training_gw</t>
        </is>
      </c>
      <c r="E2896" s="3" t="n">
        <v>0.163</v>
      </c>
      <c r="F2896" s="3" t="inlineStr">
        <is>
          <t>GW</t>
        </is>
      </c>
      <c r="G2896" s="3" t="inlineStr">
        <is>
          <t>Derived formula</t>
        </is>
      </c>
      <c r="H2896" s="3" t="inlineStr">
        <is>
          <t>ai_it_load_gw * training_power_share</t>
        </is>
      </c>
      <c r="I2896" s="3" t="inlineStr">
        <is>
          <t>Training GW is shown separately so commercial inference token capacity is not overstated.</t>
        </is>
      </c>
      <c r="J2896" s="3" t="inlineStr">
        <is>
          <t>SRC_QWEN3_GITHUB; SRC_ALIBABA_QWEN_GPU_DEPLOY; SRC_EPOCH_AI_DATA_CENTERS</t>
        </is>
      </c>
      <c r="K2896" s="3" t="inlineStr">
        <is>
          <t>ASSUMP_MOE_EFFICIENCY; ASSUMP_CN_CAPACITY_TRANSPARENCY; ASSUMP_NUMERIC_ACCELERATOR_MIX; ASSUMP_INFERENCE_SHARE_NOT_FACT_60; ASSUMP_WORKLOAD_CLASS_MIX; ASSUMP_AGENTIC_CONTEXT_PENALTY</t>
        </is>
      </c>
      <c r="L2896" s="3" t="inlineStr">
        <is>
          <t>Recompute after AI allocation or workload-split evidence changes.</t>
        </is>
      </c>
    </row>
    <row r="2897">
      <c r="A2897" s="3" t="inlineStr">
        <is>
          <t>Alibaba</t>
        </is>
      </c>
      <c r="B2897" s="3" t="n">
        <v>2026</v>
      </c>
      <c r="C2897" s="3" t="inlineStr">
        <is>
          <t>Bull</t>
        </is>
      </c>
      <c r="D2897" s="3" t="inlineStr">
        <is>
          <t>tokens_per_second_per_mw</t>
        </is>
      </c>
      <c r="E2897" s="3" t="n">
        <v>166591</v>
      </c>
      <c r="F2897" s="3" t="inlineStr">
        <is>
          <t>generated output tokens/sec/MW</t>
        </is>
      </c>
      <c r="G2897" s="3" t="inlineStr">
        <is>
          <t>Derived estimate + benchmark calibration</t>
        </is>
      </c>
      <c r="H2897" s="3" t="inlineStr">
        <is>
          <t>fleet_reference_tps_per_mw * commercial_workload_fit_factor</t>
        </is>
      </c>
      <c r="I2897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897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897" s="3" t="inlineStr">
        <is>
          <t>ASSUMP_MOE_EFFICIENCY; ASSUMP_CN_CAPACITY_TRANSPARENCY; ASSUMP_NUMERIC_ACCELERATOR_MIX; ASSUMP_INFERENCE_SHARE_NOT_FACT_60; ASSUMP_WORKLOAD_CLASS_MIX; ASSUMP_AGENTIC_CONTEXT_PENALTY</t>
        </is>
      </c>
      <c r="L2897" s="3" t="inlineStr">
        <is>
          <t>Comparable production output-token throughput with model, hardware, precision, ISL/OSL and SLO matched.</t>
        </is>
      </c>
    </row>
    <row r="2898">
      <c r="A2898" s="3" t="inlineStr">
        <is>
          <t>Alibaba</t>
        </is>
      </c>
      <c r="B2898" s="3" t="n">
        <v>2026</v>
      </c>
      <c r="C2898" s="3" t="inlineStr">
        <is>
          <t>Bull</t>
        </is>
      </c>
      <c r="D2898" s="3" t="inlineStr">
        <is>
          <t>inference_tokens_per_day</t>
        </is>
      </c>
      <c r="E2898" s="3" t="n">
        <v>4361219107200</v>
      </c>
      <c r="F2898" s="3" t="inlineStr">
        <is>
          <t>generated output tokens/day</t>
        </is>
      </c>
      <c r="G2898" s="3" t="inlineStr">
        <is>
          <t>Derived headline metric</t>
        </is>
      </c>
      <c r="H2898" s="3" t="inlineStr">
        <is>
          <t>inference_gw * 1000 * tokens_per_second_per_mw * 86,400</t>
        </is>
      </c>
      <c r="I2898" s="3" t="inlineStr">
        <is>
          <t>Headline capacity uses no utilization, MoE, architecture or software-growth multiplier; it is not observed commercial output volume.</t>
        </is>
      </c>
      <c r="J2898" s="3" t="inlineStr">
        <is>
          <t>SRC_QWEN3_GITHUB; SRC_ALIBABA_QWEN_GPU_DEPLOY; SRC_EPOCH_AI_DATA_CENTERS; SRC_SEMIANALYSIS_INFERENCEX</t>
        </is>
      </c>
      <c r="K2898" s="3" t="inlineStr">
        <is>
          <t>ASSUMP_MOE_EFFICIENCY; ASSUMP_CN_CAPACITY_TRANSPARENCY; ASSUMP_NUMERIC_ACCELERATOR_MIX; ASSUMP_INFERENCE_SHARE_NOT_FACT_60; ASSUMP_WORKLOAD_CLASS_MIX; ASSUMP_AGENTIC_CONTEXT_PENALTY</t>
        </is>
      </c>
      <c r="L2898" s="3" t="inlineStr">
        <is>
          <t>Provider-disclosed generated output token volume or calibrated capacity telemetry.</t>
        </is>
      </c>
    </row>
    <row r="2899">
      <c r="A2899" s="3" t="inlineStr">
        <is>
          <t>Alibaba</t>
        </is>
      </c>
      <c r="B2899" s="3" t="n">
        <v>2026</v>
      </c>
      <c r="C2899" s="3" t="inlineStr">
        <is>
          <t>Bull</t>
        </is>
      </c>
      <c r="D2899" s="3" t="inlineStr">
        <is>
          <t>inference_tokens_per_year</t>
        </is>
      </c>
      <c r="E2899" s="3" t="n">
        <v>1591844974128000</v>
      </c>
      <c r="F2899" s="3" t="inlineStr">
        <is>
          <t>generated output tokens/year</t>
        </is>
      </c>
      <c r="G2899" s="3" t="inlineStr">
        <is>
          <t>Derived headline metric</t>
        </is>
      </c>
      <c r="H2899" s="3" t="inlineStr">
        <is>
          <t>inference_tokens_per_day * 365</t>
        </is>
      </c>
      <c r="I2899" s="3" t="inlineStr">
        <is>
          <t>Annualized version of generated output token capacity; it is not observed annual demand or billable volume.</t>
        </is>
      </c>
      <c r="J2899" s="3" t="inlineStr">
        <is>
          <t>SRC_QWEN3_GITHUB; SRC_ALIBABA_QWEN_GPU_DEPLOY; SRC_EPOCH_AI_DATA_CENTERS; SRC_SEMIANALYSIS_INFERENCEX</t>
        </is>
      </c>
      <c r="K2899" s="3" t="inlineStr">
        <is>
          <t>ASSUMP_MOE_EFFICIENCY; ASSUMP_CN_CAPACITY_TRANSPARENCY; ASSUMP_NUMERIC_ACCELERATOR_MIX; ASSUMP_INFERENCE_SHARE_NOT_FACT_60; ASSUMP_WORKLOAD_CLASS_MIX; ASSUMP_AGENTIC_CONTEXT_PENALTY</t>
        </is>
      </c>
      <c r="L2899" s="3" t="inlineStr">
        <is>
          <t>Provider-disclosed annual generated-output volume or metered serving telemetry.</t>
        </is>
      </c>
    </row>
    <row r="2900">
      <c r="A2900" s="3" t="inlineStr">
        <is>
          <t>Alibaba</t>
        </is>
      </c>
      <c r="B2900" s="3" t="n">
        <v>2027</v>
      </c>
      <c r="C2900" s="3" t="inlineStr">
        <is>
          <t>Bull</t>
        </is>
      </c>
      <c r="D2900" s="3" t="inlineStr">
        <is>
          <t>contracted_power_gw</t>
        </is>
      </c>
      <c r="E2900" s="3" t="n">
        <v>2.35</v>
      </c>
      <c r="F2900" s="3" t="inlineStr">
        <is>
          <t>GW</t>
        </is>
      </c>
      <c r="G2900" s="3" t="inlineStr">
        <is>
          <t>Scenario capacity envelope</t>
        </is>
      </c>
      <c r="H2900" s="3" t="inlineStr">
        <is>
          <t>linear interpolation between 2026 and 2030 company capacity endpoints</t>
        </is>
      </c>
      <c r="I2900" s="3" t="inlineStr">
        <is>
          <t>Alibaba Cloud/Qwen capacity is a scenario envelope; official model and deployment documentation does not state operated GW.</t>
        </is>
      </c>
      <c r="J2900" s="3" t="inlineStr">
        <is>
          <t>SRC_ALIBABA_QWEN_GPU_DEPLOY; ASSUMP_CN_CAPACITY_TRANSPARENCY</t>
        </is>
      </c>
      <c r="K2900" s="3" t="inlineStr">
        <is>
          <t>ASSUMP_MOE_EFFICIENCY; ASSUMP_CN_CAPACITY_TRANSPARENCY; ASSUMP_NUMERIC_ACCELERATOR_MIX; ASSUMP_INFERENCE_SHARE_NOT_FACT_60; ASSUMP_WORKLOAD_CLASS_MIX; ASSUMP_AGENTIC_CONTEXT_PENALTY</t>
        </is>
      </c>
      <c r="L2900" s="3" t="inlineStr">
        <is>
          <t>Company/site-level committed MW/GW, interconnect and contract disclosure.</t>
        </is>
      </c>
    </row>
    <row r="2901">
      <c r="A2901" s="3" t="inlineStr">
        <is>
          <t>Alibaba</t>
        </is>
      </c>
      <c r="B2901" s="3" t="n">
        <v>2027</v>
      </c>
      <c r="C2901" s="3" t="inlineStr">
        <is>
          <t>Bull</t>
        </is>
      </c>
      <c r="D2901" s="3" t="inlineStr">
        <is>
          <t>operational_deployment_share</t>
        </is>
      </c>
      <c r="E2901" s="3" t="n">
        <v>0.59319149</v>
      </c>
      <c r="F2901" s="3" t="inlineStr">
        <is>
          <t>share</t>
        </is>
      </c>
      <c r="G2901" s="3" t="inlineStr">
        <is>
          <t>Scenario conversion</t>
        </is>
      </c>
      <c r="H2901" s="3" t="inlineStr">
        <is>
          <t>active_power_gw / contracted_power_gw</t>
        </is>
      </c>
      <c r="I2901" s="3" t="inlineStr">
        <is>
          <t>This is the single explicit conversion from contracted/attributed capacity to operationally usable capacity.</t>
        </is>
      </c>
      <c r="J2901" s="3" t="inlineStr">
        <is>
          <t>SRC_ALIBABA_QWEN_GPU_DEPLOY; ASSUMP_CN_CAPACITY_TRANSPARENCY</t>
        </is>
      </c>
      <c r="K2901" s="3" t="inlineStr">
        <is>
          <t>ASSUMP_MOE_EFFICIENCY; ASSUMP_CN_CAPACITY_TRANSPARENCY; ASSUMP_NUMERIC_ACCELERATOR_MIX; ASSUMP_INFERENCE_SHARE_NOT_FACT_60; ASSUMP_WORKLOAD_CLASS_MIX; ASSUMP_AGENTIC_CONTEXT_PENALTY</t>
        </is>
      </c>
      <c r="L2901" s="3" t="inlineStr">
        <is>
          <t>Energized operational capacity divided by contracted/attributed capacity.</t>
        </is>
      </c>
    </row>
    <row r="2902">
      <c r="A2902" s="3" t="inlineStr">
        <is>
          <t>Alibaba</t>
        </is>
      </c>
      <c r="B2902" s="3" t="n">
        <v>2027</v>
      </c>
      <c r="C2902" s="3" t="inlineStr">
        <is>
          <t>Bull</t>
        </is>
      </c>
      <c r="D2902" s="3" t="inlineStr">
        <is>
          <t>active_power_gw</t>
        </is>
      </c>
      <c r="E2902" s="3" t="n">
        <v>1.394</v>
      </c>
      <c r="F2902" s="3" t="inlineStr">
        <is>
          <t>GW</t>
        </is>
      </c>
      <c r="G2902" s="3" t="inlineStr">
        <is>
          <t>Derived scenario</t>
        </is>
      </c>
      <c r="H2902" s="3" t="inlineStr">
        <is>
          <t>contracted_power_gw * operational_deployment_share</t>
        </is>
      </c>
      <c r="I2902" s="3" t="inlineStr">
        <is>
          <t>Active GW is staged below capacity due to undisclosed accelerator allocation and cloud multi-tenant use.</t>
        </is>
      </c>
      <c r="J2902" s="3" t="inlineStr">
        <is>
          <t>SRC_ALIBABA_QWEN_GPU_DEPLOY; ASSUMP_CN_CAPACITY_TRANSPARENCY</t>
        </is>
      </c>
      <c r="K2902" s="3" t="inlineStr">
        <is>
          <t>ASSUMP_MOE_EFFICIENCY; ASSUMP_CN_CAPACITY_TRANSPARENCY; ASSUMP_NUMERIC_ACCELERATOR_MIX; ASSUMP_INFERENCE_SHARE_NOT_FACT_60; ASSUMP_WORKLOAD_CLASS_MIX; ASSUMP_AGENTIC_CONTEXT_PENALTY</t>
        </is>
      </c>
      <c r="L2902" s="3" t="inlineStr">
        <is>
          <t>Energization dates, accelerator deliveries and operational powered-rack telemetry.</t>
        </is>
      </c>
    </row>
    <row r="2903">
      <c r="A2903" s="3" t="inlineStr">
        <is>
          <t>Alibaba</t>
        </is>
      </c>
      <c r="B2903" s="3" t="n">
        <v>2027</v>
      </c>
      <c r="C2903" s="3" t="inlineStr">
        <is>
          <t>Bull</t>
        </is>
      </c>
      <c r="D2903" s="3" t="inlineStr">
        <is>
          <t>pue</t>
        </is>
      </c>
      <c r="E2903" s="3" t="n">
        <v>1.23</v>
      </c>
      <c r="F2903" s="3" t="inlineStr">
        <is>
          <t>ratio</t>
        </is>
      </c>
      <c r="G2903" s="3" t="inlineStr">
        <is>
          <t>Scenario parameter</t>
        </is>
      </c>
      <c r="H2903" s="3" t="inlineStr">
        <is>
          <t>it_load_gw = active_power_gw / pue</t>
        </is>
      </c>
      <c r="I2903" s="3" t="inlineStr">
        <is>
          <t>No provider-wide site-level PUE is used as a disclosed fact; PUE represents facility-to-IT conversion within the scenario.</t>
        </is>
      </c>
      <c r="J2903" s="3" t="inlineStr">
        <is>
          <t>ASSUMP_POWER_RAMP</t>
        </is>
      </c>
      <c r="K2903" s="3" t="inlineStr">
        <is>
          <t>ASSUMP_MOE_EFFICIENCY; ASSUMP_CN_CAPACITY_TRANSPARENCY; ASSUMP_NUMERIC_ACCELERATOR_MIX; ASSUMP_INFERENCE_SHARE_NOT_FACT_60; ASSUMP_WORKLOAD_CLASS_MIX; ASSUMP_AGENTIC_CONTEXT_PENALTY</t>
        </is>
      </c>
      <c r="L2903" s="3" t="inlineStr">
        <is>
          <t>Site-level measured PUE matched to attributed AI capacity.</t>
        </is>
      </c>
    </row>
    <row r="2904">
      <c r="A2904" s="3" t="inlineStr">
        <is>
          <t>Alibaba</t>
        </is>
      </c>
      <c r="B2904" s="3" t="n">
        <v>2027</v>
      </c>
      <c r="C2904" s="3" t="inlineStr">
        <is>
          <t>Bull</t>
        </is>
      </c>
      <c r="D2904" s="3" t="inlineStr">
        <is>
          <t>it_load_gw</t>
        </is>
      </c>
      <c r="E2904" s="3" t="n">
        <v>1.133</v>
      </c>
      <c r="F2904" s="3" t="inlineStr">
        <is>
          <t>GW</t>
        </is>
      </c>
      <c r="G2904" s="3" t="inlineStr">
        <is>
          <t>Derived formula</t>
        </is>
      </c>
      <c r="H2904" s="3" t="inlineStr">
        <is>
          <t>active_power_gw / pue</t>
        </is>
      </c>
      <c r="I2904" s="3" t="inlineStr">
        <is>
          <t>Facility power is converted to IT-deliverable power before attributing AI workloads.</t>
        </is>
      </c>
      <c r="J2904" s="3" t="inlineStr">
        <is>
          <t>SRC_ALIBABA_QWEN_GPU_DEPLOY; ASSUMP_CN_CAPACITY_TRANSPARENCY</t>
        </is>
      </c>
      <c r="K2904" s="3" t="inlineStr">
        <is>
          <t>ASSUMP_MOE_EFFICIENCY; ASSUMP_CN_CAPACITY_TRANSPARENCY; ASSUMP_NUMERIC_ACCELERATOR_MIX; ASSUMP_INFERENCE_SHARE_NOT_FACT_60; ASSUMP_WORKLOAD_CLASS_MIX; ASSUMP_AGENTIC_CONTEXT_PENALTY</t>
        </is>
      </c>
      <c r="L2904" s="3" t="inlineStr">
        <is>
          <t>Recompute once active power and PUE become site-observable.</t>
        </is>
      </c>
    </row>
    <row r="2905">
      <c r="A2905" s="3" t="inlineStr">
        <is>
          <t>Alibaba</t>
        </is>
      </c>
      <c r="B2905" s="3" t="n">
        <v>2027</v>
      </c>
      <c r="C2905" s="3" t="inlineStr">
        <is>
          <t>Bull</t>
        </is>
      </c>
      <c r="D2905" s="3" t="inlineStr">
        <is>
          <t>ai_workload_share</t>
        </is>
      </c>
      <c r="E2905" s="3" t="n">
        <v>0.84</v>
      </c>
      <c r="F2905" s="3" t="inlineStr">
        <is>
          <t>share</t>
        </is>
      </c>
      <c r="G2905" s="3" t="inlineStr">
        <is>
          <t>Scenario allocation</t>
        </is>
      </c>
      <c r="H2905" s="3" t="inlineStr">
        <is>
          <t>ai_it_load_gw = it_load_gw * ai_workload_share</t>
        </is>
      </c>
      <c r="I2905" s="3" t="inlineStr">
        <is>
          <t>Model Studio/Qwen-serving envelope is AI-focused, while cloud platform/reserve allocation is excluded through 84%.</t>
        </is>
      </c>
      <c r="J2905" s="3" t="inlineStr">
        <is>
          <t>SRC_QWEN3_GITHUB; SRC_ALIBABA_QWEN_GPU_DEPLOY; SRC_EPOCH_AI_DATA_CENTERS</t>
        </is>
      </c>
      <c r="K2905" s="3" t="inlineStr">
        <is>
          <t>ASSUMP_MOE_EFFICIENCY; ASSUMP_CN_CAPACITY_TRANSPARENCY; ASSUMP_NUMERIC_ACCELERATOR_MIX; ASSUMP_INFERENCE_SHARE_NOT_FACT_60; ASSUMP_WORKLOAD_CLASS_MIX; ASSUMP_AGENTIC_CONTEXT_PENALTY</t>
        </is>
      </c>
      <c r="L2905" s="3" t="inlineStr">
        <is>
          <t>Model-owner AI workload allocation or cluster scheduling telemetry.</t>
        </is>
      </c>
    </row>
    <row r="2906">
      <c r="A2906" s="3" t="inlineStr">
        <is>
          <t>Alibaba</t>
        </is>
      </c>
      <c r="B2906" s="3" t="n">
        <v>2027</v>
      </c>
      <c r="C2906" s="3" t="inlineStr">
        <is>
          <t>Bull</t>
        </is>
      </c>
      <c r="D2906" s="3" t="inlineStr">
        <is>
          <t>ai_it_load_gw</t>
        </is>
      </c>
      <c r="E2906" s="3" t="n">
        <v>0.952</v>
      </c>
      <c r="F2906" s="3" t="inlineStr">
        <is>
          <t>GW</t>
        </is>
      </c>
      <c r="G2906" s="3" t="inlineStr">
        <is>
          <t>Derived formula</t>
        </is>
      </c>
      <c r="H2906" s="3" t="inlineStr">
        <is>
          <t>it_load_gw * ai_workload_share</t>
        </is>
      </c>
      <c r="I2906" s="3" t="inlineStr">
        <is>
          <t>Only the AI-attributed portion of IT load enters training/inference allocation.</t>
        </is>
      </c>
      <c r="J2906" s="3" t="inlineStr">
        <is>
          <t>SRC_QWEN3_GITHUB; SRC_ALIBABA_QWEN_GPU_DEPLOY; SRC_EPOCH_AI_DATA_CENTERS</t>
        </is>
      </c>
      <c r="K2906" s="3" t="inlineStr">
        <is>
          <t>ASSUMP_MOE_EFFICIENCY; ASSUMP_CN_CAPACITY_TRANSPARENCY; ASSUMP_NUMERIC_ACCELERATOR_MIX; ASSUMP_INFERENCE_SHARE_NOT_FACT_60; ASSUMP_WORKLOAD_CLASS_MIX; ASSUMP_AGENTIC_CONTEXT_PENALTY</t>
        </is>
      </c>
      <c r="L2906" s="3" t="inlineStr">
        <is>
          <t>Recompute after ai_workload_share is replaced by telemetry.</t>
        </is>
      </c>
    </row>
    <row r="2907">
      <c r="A2907" s="3" t="inlineStr">
        <is>
          <t>Alibaba</t>
        </is>
      </c>
      <c r="B2907" s="3" t="n">
        <v>2027</v>
      </c>
      <c r="C2907" s="3" t="inlineStr">
        <is>
          <t>Bull</t>
        </is>
      </c>
      <c r="D2907" s="3" t="inlineStr">
        <is>
          <t>gpu_share</t>
        </is>
      </c>
      <c r="E2907" s="3" t="n">
        <v>1</v>
      </c>
      <c r="F2907" s="3" t="inlineStr">
        <is>
          <t>share of inference-serving accelerator load</t>
        </is>
      </c>
      <c r="G2907" s="3" t="inlineStr">
        <is>
          <t>Numeric scenario</t>
        </is>
      </c>
      <c r="H2907" s="3" t="inlineStr">
        <is>
          <t>gpu_share interpolated from company 2026/2030 accelerator-mix endpoints</t>
        </is>
      </c>
      <c r="I2907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07" s="3" t="inlineStr">
        <is>
          <t>SRC_QWEN3_GITHUB; SRC_ALIBABA_QWEN_GPU_DEPLOY; SRC_EPOCH_AI_DATA_CENTERS; ASSUMP_NUMERIC_ACCELERATOR_MIX</t>
        </is>
      </c>
      <c r="K2907" s="3" t="inlineStr">
        <is>
          <t>ASSUMP_MOE_EFFICIENCY; ASSUMP_CN_CAPACITY_TRANSPARENCY; ASSUMP_NUMERIC_ACCELERATOR_MIX; ASSUMP_INFERENCE_SHARE_NOT_FACT_60; ASSUMP_WORKLOAD_CLASS_MIX; ASSUMP_AGENTIC_CONTEXT_PENALTY</t>
        </is>
      </c>
      <c r="L2907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08">
      <c r="A2908" s="3" t="inlineStr">
        <is>
          <t>Alibaba</t>
        </is>
      </c>
      <c r="B2908" s="3" t="n">
        <v>2027</v>
      </c>
      <c r="C2908" s="3" t="inlineStr">
        <is>
          <t>Bull</t>
        </is>
      </c>
      <c r="D2908" s="3" t="inlineStr">
        <is>
          <t>h200_share</t>
        </is>
      </c>
      <c r="E2908" s="3" t="n">
        <v>1</v>
      </c>
      <c r="F2908" s="3" t="inlineStr">
        <is>
          <t>share of inference-serving accelerator load</t>
        </is>
      </c>
      <c r="G2908" s="3" t="inlineStr">
        <is>
          <t>Editable numeric scenario</t>
        </is>
      </c>
      <c r="H2908" s="3" t="inlineStr">
        <is>
          <t>h200_share = gpu_share * default_gpu_generation_mix_h200</t>
        </is>
      </c>
      <c r="I2908" s="3" t="inlineStr">
        <is>
          <t>Default GPU-generation migration assumption; executive workbook allows later manual replacement by company/year/scenario.</t>
        </is>
      </c>
      <c r="J2908" s="3" t="inlineStr">
        <is>
          <t>SRC_SEMIANALYSIS_INFERENCEX; ASSUMP_NUMERIC_ACCELERATOR_MIX</t>
        </is>
      </c>
      <c r="K2908" s="3" t="inlineStr">
        <is>
          <t>ASSUMP_MOE_EFFICIENCY; ASSUMP_CN_CAPACITY_TRANSPARENCY; ASSUMP_NUMERIC_ACCELERATOR_MIX; ASSUMP_INFERENCE_SHARE_NOT_FACT_60; ASSUMP_WORKLOAD_CLASS_MIX; ASSUMP_AGENTIC_CONTEXT_PENALTY</t>
        </is>
      </c>
      <c r="L2908" s="3" t="inlineStr">
        <is>
          <t>Company fleet inventory, accelerator-hours or procurement/deployment records by GPU generation.</t>
        </is>
      </c>
    </row>
    <row r="2909">
      <c r="A2909" s="3" t="inlineStr">
        <is>
          <t>Alibaba</t>
        </is>
      </c>
      <c r="B2909" s="3" t="n">
        <v>2027</v>
      </c>
      <c r="C2909" s="3" t="inlineStr">
        <is>
          <t>Bull</t>
        </is>
      </c>
      <c r="D2909" s="3" t="inlineStr">
        <is>
          <t>b200_share</t>
        </is>
      </c>
      <c r="E2909" s="3" t="n">
        <v>0</v>
      </c>
      <c r="F2909" s="3" t="inlineStr">
        <is>
          <t>share of inference-serving accelerator load</t>
        </is>
      </c>
      <c r="G2909" s="3" t="inlineStr">
        <is>
          <t>Editable numeric scenario</t>
        </is>
      </c>
      <c r="H2909" s="3" t="inlineStr">
        <is>
          <t>b200_share = gpu_share * default_gpu_generation_mix_b200</t>
        </is>
      </c>
      <c r="I2909" s="3" t="inlineStr">
        <is>
          <t>Default GPU-generation migration assumption; executive workbook allows later manual replacement by company/year/scenario.</t>
        </is>
      </c>
      <c r="J2909" s="3" t="inlineStr">
        <is>
          <t>SRC_SEMIANALYSIS_INFERENCEX; ASSUMP_NUMERIC_ACCELERATOR_MIX</t>
        </is>
      </c>
      <c r="K2909" s="3" t="inlineStr">
        <is>
          <t>ASSUMP_MOE_EFFICIENCY; ASSUMP_CN_CAPACITY_TRANSPARENCY; ASSUMP_NUMERIC_ACCELERATOR_MIX; ASSUMP_INFERENCE_SHARE_NOT_FACT_60; ASSUMP_WORKLOAD_CLASS_MIX; ASSUMP_AGENTIC_CONTEXT_PENALTY</t>
        </is>
      </c>
      <c r="L2909" s="3" t="inlineStr">
        <is>
          <t>Company fleet inventory, accelerator-hours or procurement/deployment records by GPU generation.</t>
        </is>
      </c>
    </row>
    <row r="2910">
      <c r="A2910" s="3" t="inlineStr">
        <is>
          <t>Alibaba</t>
        </is>
      </c>
      <c r="B2910" s="3" t="n">
        <v>2027</v>
      </c>
      <c r="C2910" s="3" t="inlineStr">
        <is>
          <t>Bull</t>
        </is>
      </c>
      <c r="D2910" s="3" t="inlineStr">
        <is>
          <t>gb200_share</t>
        </is>
      </c>
      <c r="E2910" s="3" t="n">
        <v>0</v>
      </c>
      <c r="F2910" s="3" t="inlineStr">
        <is>
          <t>share of inference-serving accelerator load</t>
        </is>
      </c>
      <c r="G2910" s="3" t="inlineStr">
        <is>
          <t>Editable numeric scenario</t>
        </is>
      </c>
      <c r="H2910" s="3" t="inlineStr">
        <is>
          <t>gb200_share = gpu_share * default_gpu_generation_mix_gb200</t>
        </is>
      </c>
      <c r="I2910" s="3" t="inlineStr">
        <is>
          <t>Default GPU-generation migration assumption; executive workbook allows later manual replacement by company/year/scenario.</t>
        </is>
      </c>
      <c r="J2910" s="3" t="inlineStr">
        <is>
          <t>SRC_SEMIANALYSIS_INFERENCEX; ASSUMP_NUMERIC_ACCELERATOR_MIX</t>
        </is>
      </c>
      <c r="K2910" s="3" t="inlineStr">
        <is>
          <t>ASSUMP_MOE_EFFICIENCY; ASSUMP_CN_CAPACITY_TRANSPARENCY; ASSUMP_NUMERIC_ACCELERATOR_MIX; ASSUMP_INFERENCE_SHARE_NOT_FACT_60; ASSUMP_WORKLOAD_CLASS_MIX; ASSUMP_AGENTIC_CONTEXT_PENALTY</t>
        </is>
      </c>
      <c r="L2910" s="3" t="inlineStr">
        <is>
          <t>Company fleet inventory, accelerator-hours or procurement/deployment records by GPU generation.</t>
        </is>
      </c>
    </row>
    <row r="2911">
      <c r="A2911" s="3" t="inlineStr">
        <is>
          <t>Alibaba</t>
        </is>
      </c>
      <c r="B2911" s="3" t="n">
        <v>2027</v>
      </c>
      <c r="C2911" s="3" t="inlineStr">
        <is>
          <t>Bull</t>
        </is>
      </c>
      <c r="D2911" s="3" t="inlineStr">
        <is>
          <t>purpose_built_accelerator_share</t>
        </is>
      </c>
      <c r="E2911" s="3" t="n">
        <v>0</v>
      </c>
      <c r="F2911" s="3" t="inlineStr">
        <is>
          <t>share of inference-serving accelerator load</t>
        </is>
      </c>
      <c r="G2911" s="3" t="inlineStr">
        <is>
          <t>Numeric scenario</t>
        </is>
      </c>
      <c r="H2911" s="3" t="inlineStr">
        <is>
          <t>1 - gpu_share</t>
        </is>
      </c>
      <c r="I2911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11" s="3" t="inlineStr">
        <is>
          <t>SRC_QWEN3_GITHUB; SRC_ALIBABA_QWEN_GPU_DEPLOY; SRC_EPOCH_AI_DATA_CENTERS; ASSUMP_NUMERIC_ACCELERATOR_MIX</t>
        </is>
      </c>
      <c r="K2911" s="3" t="inlineStr">
        <is>
          <t>ASSUMP_MOE_EFFICIENCY; ASSUMP_CN_CAPACITY_TRANSPARENCY; ASSUMP_NUMERIC_ACCELERATOR_MIX; ASSUMP_INFERENCE_SHARE_NOT_FACT_60; ASSUMP_WORKLOAD_CLASS_MIX; ASSUMP_AGENTIC_CONTEXT_PENALTY</t>
        </is>
      </c>
      <c r="L2911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12">
      <c r="A2912" s="3" t="inlineStr">
        <is>
          <t>Alibaba</t>
        </is>
      </c>
      <c r="B2912" s="3" t="n">
        <v>2027</v>
      </c>
      <c r="C2912" s="3" t="inlineStr">
        <is>
          <t>Bull</t>
        </is>
      </c>
      <c r="D2912" s="3" t="inlineStr">
        <is>
          <t>fleet_reference_tps_per_mw</t>
        </is>
      </c>
      <c r="E2912" s="3" t="n">
        <v>166591</v>
      </c>
      <c r="F2912" s="3" t="inlineStr">
        <is>
          <t>generated output tokens/sec/MW</t>
        </is>
      </c>
      <c r="G2912" s="3" t="inlineStr">
        <is>
          <t>Fleet-weighted public benchmark reference</t>
        </is>
      </c>
      <c r="H2912" s="3" t="inlineStr">
        <is>
          <t>h200_share*h200_workload_avg + b200_share*b200_workload_avg + gb200_share*gb200_workload_avg + purpose_built_share*purpose_workload_avg</t>
        </is>
      </c>
      <c r="I2912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12" s="3" t="inlineStr">
        <is>
          <t>SRC_SEMIANALYSIS_INFERENCEX; ASSUMP_NUMERIC_ACCELERATOR_MIX; ASSUMP_WORKLOAD_CLASS_MIX; ASSUMP_AGENTIC_CONTEXT_PENALTY</t>
        </is>
      </c>
      <c r="K2912" s="3" t="inlineStr">
        <is>
          <t>ASSUMP_MOE_EFFICIENCY; ASSUMP_CN_CAPACITY_TRANSPARENCY; ASSUMP_NUMERIC_ACCELERATOR_MIX; ASSUMP_INFERENCE_SHARE_NOT_FACT_60; ASSUMP_WORKLOAD_CLASS_MIX; ASSUMP_AGENTIC_CONTEXT_PENALTY</t>
        </is>
      </c>
      <c r="L2912" s="3" t="inlineStr">
        <is>
          <t>Comparable production output-token throughput or a more closely matched benchmark.</t>
        </is>
      </c>
    </row>
    <row r="2913">
      <c r="A2913" s="3" t="inlineStr">
        <is>
          <t>Alibaba</t>
        </is>
      </c>
      <c r="B2913" s="3" t="n">
        <v>2027</v>
      </c>
      <c r="C2913" s="3" t="inlineStr">
        <is>
          <t>Bull</t>
        </is>
      </c>
      <c r="D2913" s="3" t="inlineStr">
        <is>
          <t>commercial_workload_fit_factor</t>
        </is>
      </c>
      <c r="E2913" s="3" t="n">
        <v>1</v>
      </c>
      <c r="F2913" s="3" t="inlineStr">
        <is>
          <t>share of public reference throughput</t>
        </is>
      </c>
      <c r="G2913" s="3" t="inlineStr">
        <is>
          <t>Scenario assumption</t>
        </is>
      </c>
      <c r="H2913" s="3" t="inlineStr">
        <is>
          <t>reference_serving_tps_per_mw = fleet_reference_tps_per_mw * commercial_workload_fit_factor</t>
        </is>
      </c>
      <c r="I2913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13" s="3" t="inlineStr">
        <is>
          <t>SRC_SEMIANALYSIS_INFERENCEX; ASSUMP_NUMERIC_ACCELERATOR_MIX; ASSUMP_WORKLOAD_CLASS_MIX; ASSUMP_AGENTIC_CONTEXT_PENALTY</t>
        </is>
      </c>
      <c r="K2913" s="3" t="inlineStr">
        <is>
          <t>ASSUMP_MOE_EFFICIENCY; ASSUMP_CN_CAPACITY_TRANSPARENCY; ASSUMP_NUMERIC_ACCELERATOR_MIX; ASSUMP_INFERENCE_SHARE_NOT_FACT_60; ASSUMP_WORKLOAD_CLASS_MIX; ASSUMP_AGENTIC_CONTEXT_PENALTY</t>
        </is>
      </c>
      <c r="L2913" s="3" t="inlineStr">
        <is>
          <t>Matched commercial serving benchmark by product surface, context shape and latency SLO.</t>
        </is>
      </c>
    </row>
    <row r="2914">
      <c r="A2914" s="3" t="inlineStr">
        <is>
          <t>Alibaba</t>
        </is>
      </c>
      <c r="B2914" s="3" t="n">
        <v>2027</v>
      </c>
      <c r="C2914" s="3" t="inlineStr">
        <is>
          <t>Bull</t>
        </is>
      </c>
      <c r="D2914" s="3" t="inlineStr">
        <is>
          <t>reference_serving_tps_per_mw</t>
        </is>
      </c>
      <c r="E2914" s="3" t="n">
        <v>166591</v>
      </c>
      <c r="F2914" s="3" t="inlineStr">
        <is>
          <t>generated output tokens/sec/MW</t>
        </is>
      </c>
      <c r="G2914" s="3" t="inlineStr">
        <is>
          <t>Workload-adjusted benchmark proxy</t>
        </is>
      </c>
      <c r="H2914" s="3" t="inlineStr">
        <is>
          <t>fleet_reference_tps_per_mw * commercial_workload_fit_factor</t>
        </is>
      </c>
      <c r="I2914" s="3" t="inlineStr">
        <is>
          <t>This is the coefficient used for headline token generation; each GPU's short chat, long chat and agentic TPS/MW are weighted before fleet mix and commercial fit are applied.</t>
        </is>
      </c>
      <c r="J2914" s="3" t="inlineStr">
        <is>
          <t>SRC_SEMIANALYSIS_INFERENCEX; ASSUMP_NUMERIC_ACCELERATOR_MIX; ASSUMP_WORKLOAD_CLASS_MIX; ASSUMP_AGENTIC_CONTEXT_PENALTY</t>
        </is>
      </c>
      <c r="K2914" s="3" t="inlineStr">
        <is>
          <t>ASSUMP_MOE_EFFICIENCY; ASSUMP_CN_CAPACITY_TRANSPARENCY; ASSUMP_NUMERIC_ACCELERATOR_MIX; ASSUMP_INFERENCE_SHARE_NOT_FACT_60; ASSUMP_WORKLOAD_CLASS_MIX; ASSUMP_AGENTIC_CONTEXT_PENALTY</t>
        </is>
      </c>
      <c r="L2914" s="3" t="inlineStr">
        <is>
          <t>Provider production output-token throughput with comparable workload/SLO.</t>
        </is>
      </c>
    </row>
    <row r="2915">
      <c r="A2915" s="3" t="inlineStr">
        <is>
          <t>Alibaba</t>
        </is>
      </c>
      <c r="B2915" s="3" t="n">
        <v>2027</v>
      </c>
      <c r="C2915" s="3" t="inlineStr">
        <is>
          <t>Bull</t>
        </is>
      </c>
      <c r="D2915" s="3" t="inlineStr">
        <is>
          <t>purpose_built_tps_per_mw</t>
        </is>
      </c>
      <c r="E2915" s="3" t="n">
        <v>1106733</v>
      </c>
      <c r="F2915" s="3" t="inlineStr">
        <is>
          <t>generated output tokens/sec/MW</t>
        </is>
      </c>
      <c r="G2915" s="3" t="inlineStr">
        <is>
          <t>Conservative no-uplift proxy</t>
        </is>
      </c>
      <c r="H2915" s="3" t="inlineStr">
        <is>
          <t>purpose_built_tps_per_mw = purpose_built_reference_tps_per_mw * commercial_workload_fit_factor until comparable output-token benchmark is adopted</t>
        </is>
      </c>
      <c r="I2915" s="3" t="inlineStr">
        <is>
          <t>No comparable public output-token/MW row adopted; B200 public reference placeholder is used and remains editable.</t>
        </is>
      </c>
      <c r="J2915" s="3" t="inlineStr">
        <is>
          <t>SRC_QWEN3_GITHUB; SRC_ALIBABA_QWEN_GPU_DEPLOY; SRC_EPOCH_AI_DATA_CENTERS; ASSUMP_NUMERIC_ACCELERATOR_MIX</t>
        </is>
      </c>
      <c r="K2915" s="3" t="inlineStr">
        <is>
          <t>ASSUMP_MOE_EFFICIENCY; ASSUMP_CN_CAPACITY_TRANSPARENCY; ASSUMP_NUMERIC_ACCELERATOR_MIX; ASSUMP_INFERENCE_SHARE_NOT_FACT_60; ASSUMP_WORKLOAD_CLASS_MIX; ASSUMP_AGENTIC_CONTEXT_PENALTY</t>
        </is>
      </c>
      <c r="L2915" s="3" t="inlineStr">
        <is>
          <t>Matched-workload generated-output benchmark for the provider purpose-built accelerator.</t>
        </is>
      </c>
    </row>
    <row r="2916">
      <c r="A2916" s="3" t="inlineStr">
        <is>
          <t>Alibaba</t>
        </is>
      </c>
      <c r="B2916" s="3" t="n">
        <v>2027</v>
      </c>
      <c r="C2916" s="3" t="inlineStr">
        <is>
          <t>Bull</t>
        </is>
      </c>
      <c r="D2916" s="3" t="inlineStr">
        <is>
          <t>inference_power_share</t>
        </is>
      </c>
      <c r="E2916" s="3" t="n">
        <v>0.708</v>
      </c>
      <c r="F2916" s="3" t="inlineStr">
        <is>
          <t>share of AI IT load</t>
        </is>
      </c>
      <c r="G2916" s="3" t="inlineStr">
        <is>
          <t>Scenario allocation</t>
        </is>
      </c>
      <c r="H2916" s="3" t="inlineStr">
        <is>
          <t>inference_gw = ai_it_load_gw * inference_power_share</t>
        </is>
      </c>
      <c r="I2916" s="3" t="inlineStr">
        <is>
          <t>Qwen API/enterprise commercialization and MoE architecture support increasing inference allocation scenario.</t>
        </is>
      </c>
      <c r="J2916" s="3" t="inlineStr">
        <is>
          <t>SRC_QWEN3_GITHUB; SRC_ALIBABA_QWEN_GPU_DEPLOY; SRC_EPOCH_AI_DATA_CENTERS; ASSUMP_INFERENCE_SHARE_NOT_FACT_60</t>
        </is>
      </c>
      <c r="K2916" s="3" t="inlineStr">
        <is>
          <t>ASSUMP_MOE_EFFICIENCY; ASSUMP_CN_CAPACITY_TRANSPARENCY; ASSUMP_NUMERIC_ACCELERATOR_MIX; ASSUMP_INFERENCE_SHARE_NOT_FACT_60; ASSUMP_WORKLOAD_CLASS_MIX; ASSUMP_AGENTIC_CONTEXT_PENALTY</t>
        </is>
      </c>
      <c r="L2916" s="3" t="inlineStr">
        <is>
          <t>Provider-specific inference/training workload power telemetry.</t>
        </is>
      </c>
    </row>
    <row r="2917">
      <c r="A2917" s="3" t="inlineStr">
        <is>
          <t>Alibaba</t>
        </is>
      </c>
      <c r="B2917" s="3" t="n">
        <v>2027</v>
      </c>
      <c r="C2917" s="3" t="inlineStr">
        <is>
          <t>Bull</t>
        </is>
      </c>
      <c r="D2917" s="3" t="inlineStr">
        <is>
          <t>inference_gw</t>
        </is>
      </c>
      <c r="E2917" s="3" t="n">
        <v>0.673</v>
      </c>
      <c r="F2917" s="3" t="inlineStr">
        <is>
          <t>GW</t>
        </is>
      </c>
      <c r="G2917" s="3" t="inlineStr">
        <is>
          <t>Derived formula</t>
        </is>
      </c>
      <c r="H2917" s="3" t="inlineStr">
        <is>
          <t>ai_it_load_gw * inference_power_share</t>
        </is>
      </c>
      <c r="I2917" s="3" t="inlineStr">
        <is>
          <t>This is the operational power eligible to become commercial generated output tokens through the selected TPS/MW proxy.</t>
        </is>
      </c>
      <c r="J2917" s="3" t="inlineStr">
        <is>
          <t>SRC_QWEN3_GITHUB; SRC_ALIBABA_QWEN_GPU_DEPLOY; SRC_EPOCH_AI_DATA_CENTERS</t>
        </is>
      </c>
      <c r="K2917" s="3" t="inlineStr">
        <is>
          <t>ASSUMP_MOE_EFFICIENCY; ASSUMP_CN_CAPACITY_TRANSPARENCY; ASSUMP_NUMERIC_ACCELERATOR_MIX; ASSUMP_INFERENCE_SHARE_NOT_FACT_60; ASSUMP_WORKLOAD_CLASS_MIX; ASSUMP_AGENTIC_CONTEXT_PENALTY</t>
        </is>
      </c>
      <c r="L2917" s="3" t="inlineStr">
        <is>
          <t>Recompute after AI allocation or inference-share evidence changes.</t>
        </is>
      </c>
    </row>
    <row r="2918">
      <c r="A2918" s="3" t="inlineStr">
        <is>
          <t>Alibaba</t>
        </is>
      </c>
      <c r="B2918" s="3" t="n">
        <v>2027</v>
      </c>
      <c r="C2918" s="3" t="inlineStr">
        <is>
          <t>Bull</t>
        </is>
      </c>
      <c r="D2918" s="3" t="inlineStr">
        <is>
          <t>training_power_share</t>
        </is>
      </c>
      <c r="E2918" s="3" t="n">
        <v>0.292</v>
      </c>
      <c r="F2918" s="3" t="inlineStr">
        <is>
          <t>share of AI IT load</t>
        </is>
      </c>
      <c r="G2918" s="3" t="inlineStr">
        <is>
          <t>Derived allocation</t>
        </is>
      </c>
      <c r="H2918" s="3" t="inlineStr">
        <is>
          <t>1 - inference_power_share</t>
        </is>
      </c>
      <c r="I2918" s="3" t="inlineStr">
        <is>
          <t>Training receives the complementary modeled AI IT allocation; it is not a disclosed company workload split.</t>
        </is>
      </c>
      <c r="J2918" s="3" t="inlineStr">
        <is>
          <t>SRC_QWEN3_GITHUB; SRC_ALIBABA_QWEN_GPU_DEPLOY; SRC_EPOCH_AI_DATA_CENTERS; ASSUMP_INFERENCE_SHARE_NOT_FACT_60</t>
        </is>
      </c>
      <c r="K2918" s="3" t="inlineStr">
        <is>
          <t>ASSUMP_MOE_EFFICIENCY; ASSUMP_CN_CAPACITY_TRANSPARENCY; ASSUMP_NUMERIC_ACCELERATOR_MIX; ASSUMP_INFERENCE_SHARE_NOT_FACT_60; ASSUMP_WORKLOAD_CLASS_MIX; ASSUMP_AGENTIC_CONTEXT_PENALTY</t>
        </is>
      </c>
      <c r="L2918" s="3" t="inlineStr">
        <is>
          <t>Provider-specific inference/training workload power telemetry.</t>
        </is>
      </c>
    </row>
    <row r="2919">
      <c r="A2919" s="3" t="inlineStr">
        <is>
          <t>Alibaba</t>
        </is>
      </c>
      <c r="B2919" s="3" t="n">
        <v>2027</v>
      </c>
      <c r="C2919" s="3" t="inlineStr">
        <is>
          <t>Bull</t>
        </is>
      </c>
      <c r="D2919" s="3" t="inlineStr">
        <is>
          <t>training_gw</t>
        </is>
      </c>
      <c r="E2919" s="3" t="n">
        <v>0.278</v>
      </c>
      <c r="F2919" s="3" t="inlineStr">
        <is>
          <t>GW</t>
        </is>
      </c>
      <c r="G2919" s="3" t="inlineStr">
        <is>
          <t>Derived formula</t>
        </is>
      </c>
      <c r="H2919" s="3" t="inlineStr">
        <is>
          <t>ai_it_load_gw * training_power_share</t>
        </is>
      </c>
      <c r="I2919" s="3" t="inlineStr">
        <is>
          <t>Training GW is shown separately so commercial inference token capacity is not overstated.</t>
        </is>
      </c>
      <c r="J2919" s="3" t="inlineStr">
        <is>
          <t>SRC_QWEN3_GITHUB; SRC_ALIBABA_QWEN_GPU_DEPLOY; SRC_EPOCH_AI_DATA_CENTERS</t>
        </is>
      </c>
      <c r="K2919" s="3" t="inlineStr">
        <is>
          <t>ASSUMP_MOE_EFFICIENCY; ASSUMP_CN_CAPACITY_TRANSPARENCY; ASSUMP_NUMERIC_ACCELERATOR_MIX; ASSUMP_INFERENCE_SHARE_NOT_FACT_60; ASSUMP_WORKLOAD_CLASS_MIX; ASSUMP_AGENTIC_CONTEXT_PENALTY</t>
        </is>
      </c>
      <c r="L2919" s="3" t="inlineStr">
        <is>
          <t>Recompute after AI allocation or workload-split evidence changes.</t>
        </is>
      </c>
    </row>
    <row r="2920">
      <c r="A2920" s="3" t="inlineStr">
        <is>
          <t>Alibaba</t>
        </is>
      </c>
      <c r="B2920" s="3" t="n">
        <v>2027</v>
      </c>
      <c r="C2920" s="3" t="inlineStr">
        <is>
          <t>Bull</t>
        </is>
      </c>
      <c r="D2920" s="3" t="inlineStr">
        <is>
          <t>tokens_per_second_per_mw</t>
        </is>
      </c>
      <c r="E2920" s="3" t="n">
        <v>166591</v>
      </c>
      <c r="F2920" s="3" t="inlineStr">
        <is>
          <t>generated output tokens/sec/MW</t>
        </is>
      </c>
      <c r="G2920" s="3" t="inlineStr">
        <is>
          <t>Derived estimate + benchmark calibration</t>
        </is>
      </c>
      <c r="H2920" s="3" t="inlineStr">
        <is>
          <t>fleet_reference_tps_per_mw * commercial_workload_fit_factor</t>
        </is>
      </c>
      <c r="I2920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20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20" s="3" t="inlineStr">
        <is>
          <t>ASSUMP_MOE_EFFICIENCY; ASSUMP_CN_CAPACITY_TRANSPARENCY; ASSUMP_NUMERIC_ACCELERATOR_MIX; ASSUMP_INFERENCE_SHARE_NOT_FACT_60; ASSUMP_WORKLOAD_CLASS_MIX; ASSUMP_AGENTIC_CONTEXT_PENALTY</t>
        </is>
      </c>
      <c r="L2920" s="3" t="inlineStr">
        <is>
          <t>Comparable production output-token throughput with model, hardware, precision, ISL/OSL and SLO matched.</t>
        </is>
      </c>
    </row>
    <row r="2921">
      <c r="A2921" s="3" t="inlineStr">
        <is>
          <t>Alibaba</t>
        </is>
      </c>
      <c r="B2921" s="3" t="n">
        <v>2027</v>
      </c>
      <c r="C2921" s="3" t="inlineStr">
        <is>
          <t>Bull</t>
        </is>
      </c>
      <c r="D2921" s="3" t="inlineStr">
        <is>
          <t>inference_tokens_per_day</t>
        </is>
      </c>
      <c r="E2921" s="3" t="n">
        <v>9686800195200</v>
      </c>
      <c r="F2921" s="3" t="inlineStr">
        <is>
          <t>generated output tokens/day</t>
        </is>
      </c>
      <c r="G2921" s="3" t="inlineStr">
        <is>
          <t>Derived headline metric</t>
        </is>
      </c>
      <c r="H2921" s="3" t="inlineStr">
        <is>
          <t>inference_gw * 1000 * tokens_per_second_per_mw * 86,400</t>
        </is>
      </c>
      <c r="I2921" s="3" t="inlineStr">
        <is>
          <t>Headline capacity uses no utilization, MoE, architecture or software-growth multiplier; it is not observed commercial output volume.</t>
        </is>
      </c>
      <c r="J2921" s="3" t="inlineStr">
        <is>
          <t>SRC_QWEN3_GITHUB; SRC_ALIBABA_QWEN_GPU_DEPLOY; SRC_EPOCH_AI_DATA_CENTERS; SRC_SEMIANALYSIS_INFERENCEX</t>
        </is>
      </c>
      <c r="K2921" s="3" t="inlineStr">
        <is>
          <t>ASSUMP_MOE_EFFICIENCY; ASSUMP_CN_CAPACITY_TRANSPARENCY; ASSUMP_NUMERIC_ACCELERATOR_MIX; ASSUMP_INFERENCE_SHARE_NOT_FACT_60; ASSUMP_WORKLOAD_CLASS_MIX; ASSUMP_AGENTIC_CONTEXT_PENALTY</t>
        </is>
      </c>
      <c r="L2921" s="3" t="inlineStr">
        <is>
          <t>Provider-disclosed generated output token volume or calibrated capacity telemetry.</t>
        </is>
      </c>
    </row>
    <row r="2922">
      <c r="A2922" s="3" t="inlineStr">
        <is>
          <t>Alibaba</t>
        </is>
      </c>
      <c r="B2922" s="3" t="n">
        <v>2027</v>
      </c>
      <c r="C2922" s="3" t="inlineStr">
        <is>
          <t>Bull</t>
        </is>
      </c>
      <c r="D2922" s="3" t="inlineStr">
        <is>
          <t>inference_tokens_per_year</t>
        </is>
      </c>
      <c r="E2922" s="3" t="n">
        <v>3535682071248000</v>
      </c>
      <c r="F2922" s="3" t="inlineStr">
        <is>
          <t>generated output tokens/year</t>
        </is>
      </c>
      <c r="G2922" s="3" t="inlineStr">
        <is>
          <t>Derived headline metric</t>
        </is>
      </c>
      <c r="H2922" s="3" t="inlineStr">
        <is>
          <t>inference_tokens_per_day * 365</t>
        </is>
      </c>
      <c r="I2922" s="3" t="inlineStr">
        <is>
          <t>Annualized version of generated output token capacity; it is not observed annual demand or billable volume.</t>
        </is>
      </c>
      <c r="J2922" s="3" t="inlineStr">
        <is>
          <t>SRC_QWEN3_GITHUB; SRC_ALIBABA_QWEN_GPU_DEPLOY; SRC_EPOCH_AI_DATA_CENTERS; SRC_SEMIANALYSIS_INFERENCEX</t>
        </is>
      </c>
      <c r="K2922" s="3" t="inlineStr">
        <is>
          <t>ASSUMP_MOE_EFFICIENCY; ASSUMP_CN_CAPACITY_TRANSPARENCY; ASSUMP_NUMERIC_ACCELERATOR_MIX; ASSUMP_INFERENCE_SHARE_NOT_FACT_60; ASSUMP_WORKLOAD_CLASS_MIX; ASSUMP_AGENTIC_CONTEXT_PENALTY</t>
        </is>
      </c>
      <c r="L2922" s="3" t="inlineStr">
        <is>
          <t>Provider-disclosed annual generated-output volume or metered serving telemetry.</t>
        </is>
      </c>
    </row>
    <row r="2923">
      <c r="A2923" s="3" t="inlineStr">
        <is>
          <t>Alibaba</t>
        </is>
      </c>
      <c r="B2923" s="3" t="n">
        <v>2028</v>
      </c>
      <c r="C2923" s="3" t="inlineStr">
        <is>
          <t>Bull</t>
        </is>
      </c>
      <c r="D2923" s="3" t="inlineStr">
        <is>
          <t>contracted_power_gw</t>
        </is>
      </c>
      <c r="E2923" s="3" t="n">
        <v>2.9</v>
      </c>
      <c r="F2923" s="3" t="inlineStr">
        <is>
          <t>GW</t>
        </is>
      </c>
      <c r="G2923" s="3" t="inlineStr">
        <is>
          <t>Scenario capacity envelope</t>
        </is>
      </c>
      <c r="H2923" s="3" t="inlineStr">
        <is>
          <t>linear interpolation between 2026 and 2030 company capacity endpoints</t>
        </is>
      </c>
      <c r="I2923" s="3" t="inlineStr">
        <is>
          <t>Alibaba Cloud/Qwen capacity is a scenario envelope; official model and deployment documentation does not state operated GW.</t>
        </is>
      </c>
      <c r="J2923" s="3" t="inlineStr">
        <is>
          <t>SRC_ALIBABA_QWEN_GPU_DEPLOY; ASSUMP_CN_CAPACITY_TRANSPARENCY</t>
        </is>
      </c>
      <c r="K2923" s="3" t="inlineStr">
        <is>
          <t>ASSUMP_MOE_EFFICIENCY; ASSUMP_CN_CAPACITY_TRANSPARENCY; ASSUMP_NUMERIC_ACCELERATOR_MIX; ASSUMP_INFERENCE_SHARE_NOT_FACT_60; ASSUMP_WORKLOAD_CLASS_MIX; ASSUMP_AGENTIC_CONTEXT_PENALTY</t>
        </is>
      </c>
      <c r="L2923" s="3" t="inlineStr">
        <is>
          <t>Company/site-level committed MW/GW, interconnect and contract disclosure.</t>
        </is>
      </c>
    </row>
    <row r="2924">
      <c r="A2924" s="3" t="inlineStr">
        <is>
          <t>Alibaba</t>
        </is>
      </c>
      <c r="B2924" s="3" t="n">
        <v>2028</v>
      </c>
      <c r="C2924" s="3" t="inlineStr">
        <is>
          <t>Bull</t>
        </is>
      </c>
      <c r="D2924" s="3" t="inlineStr">
        <is>
          <t>operational_deployment_share</t>
        </is>
      </c>
      <c r="E2924" s="3" t="n">
        <v>0.74</v>
      </c>
      <c r="F2924" s="3" t="inlineStr">
        <is>
          <t>share</t>
        </is>
      </c>
      <c r="G2924" s="3" t="inlineStr">
        <is>
          <t>Scenario conversion</t>
        </is>
      </c>
      <c r="H2924" s="3" t="inlineStr">
        <is>
          <t>active_power_gw / contracted_power_gw</t>
        </is>
      </c>
      <c r="I2924" s="3" t="inlineStr">
        <is>
          <t>This is the single explicit conversion from contracted/attributed capacity to operationally usable capacity.</t>
        </is>
      </c>
      <c r="J2924" s="3" t="inlineStr">
        <is>
          <t>SRC_ALIBABA_QWEN_GPU_DEPLOY; ASSUMP_CN_CAPACITY_TRANSPARENCY</t>
        </is>
      </c>
      <c r="K2924" s="3" t="inlineStr">
        <is>
          <t>ASSUMP_MOE_EFFICIENCY; ASSUMP_CN_CAPACITY_TRANSPARENCY; ASSUMP_NUMERIC_ACCELERATOR_MIX; ASSUMP_INFERENCE_SHARE_NOT_FACT_60; ASSUMP_WORKLOAD_CLASS_MIX; ASSUMP_AGENTIC_CONTEXT_PENALTY</t>
        </is>
      </c>
      <c r="L2924" s="3" t="inlineStr">
        <is>
          <t>Energized operational capacity divided by contracted/attributed capacity.</t>
        </is>
      </c>
    </row>
    <row r="2925">
      <c r="A2925" s="3" t="inlineStr">
        <is>
          <t>Alibaba</t>
        </is>
      </c>
      <c r="B2925" s="3" t="n">
        <v>2028</v>
      </c>
      <c r="C2925" s="3" t="inlineStr">
        <is>
          <t>Bull</t>
        </is>
      </c>
      <c r="D2925" s="3" t="inlineStr">
        <is>
          <t>active_power_gw</t>
        </is>
      </c>
      <c r="E2925" s="3" t="n">
        <v>2.146</v>
      </c>
      <c r="F2925" s="3" t="inlineStr">
        <is>
          <t>GW</t>
        </is>
      </c>
      <c r="G2925" s="3" t="inlineStr">
        <is>
          <t>Derived scenario</t>
        </is>
      </c>
      <c r="H2925" s="3" t="inlineStr">
        <is>
          <t>contracted_power_gw * operational_deployment_share</t>
        </is>
      </c>
      <c r="I2925" s="3" t="inlineStr">
        <is>
          <t>Active GW is staged below capacity due to undisclosed accelerator allocation and cloud multi-tenant use.</t>
        </is>
      </c>
      <c r="J2925" s="3" t="inlineStr">
        <is>
          <t>SRC_ALIBABA_QWEN_GPU_DEPLOY; ASSUMP_CN_CAPACITY_TRANSPARENCY</t>
        </is>
      </c>
      <c r="K2925" s="3" t="inlineStr">
        <is>
          <t>ASSUMP_MOE_EFFICIENCY; ASSUMP_CN_CAPACITY_TRANSPARENCY; ASSUMP_NUMERIC_ACCELERATOR_MIX; ASSUMP_INFERENCE_SHARE_NOT_FACT_60; ASSUMP_WORKLOAD_CLASS_MIX; ASSUMP_AGENTIC_CONTEXT_PENALTY</t>
        </is>
      </c>
      <c r="L2925" s="3" t="inlineStr">
        <is>
          <t>Energization dates, accelerator deliveries and operational powered-rack telemetry.</t>
        </is>
      </c>
    </row>
    <row r="2926">
      <c r="A2926" s="3" t="inlineStr">
        <is>
          <t>Alibaba</t>
        </is>
      </c>
      <c r="B2926" s="3" t="n">
        <v>2028</v>
      </c>
      <c r="C2926" s="3" t="inlineStr">
        <is>
          <t>Bull</t>
        </is>
      </c>
      <c r="D2926" s="3" t="inlineStr">
        <is>
          <t>pue</t>
        </is>
      </c>
      <c r="E2926" s="3" t="n">
        <v>1.23</v>
      </c>
      <c r="F2926" s="3" t="inlineStr">
        <is>
          <t>ratio</t>
        </is>
      </c>
      <c r="G2926" s="3" t="inlineStr">
        <is>
          <t>Scenario parameter</t>
        </is>
      </c>
      <c r="H2926" s="3" t="inlineStr">
        <is>
          <t>it_load_gw = active_power_gw / pue</t>
        </is>
      </c>
      <c r="I2926" s="3" t="inlineStr">
        <is>
          <t>No provider-wide site-level PUE is used as a disclosed fact; PUE represents facility-to-IT conversion within the scenario.</t>
        </is>
      </c>
      <c r="J2926" s="3" t="inlineStr">
        <is>
          <t>ASSUMP_POWER_RAMP</t>
        </is>
      </c>
      <c r="K2926" s="3" t="inlineStr">
        <is>
          <t>ASSUMP_MOE_EFFICIENCY; ASSUMP_CN_CAPACITY_TRANSPARENCY; ASSUMP_NUMERIC_ACCELERATOR_MIX; ASSUMP_INFERENCE_SHARE_NOT_FACT_60; ASSUMP_WORKLOAD_CLASS_MIX; ASSUMP_AGENTIC_CONTEXT_PENALTY</t>
        </is>
      </c>
      <c r="L2926" s="3" t="inlineStr">
        <is>
          <t>Site-level measured PUE matched to attributed AI capacity.</t>
        </is>
      </c>
    </row>
    <row r="2927">
      <c r="A2927" s="3" t="inlineStr">
        <is>
          <t>Alibaba</t>
        </is>
      </c>
      <c r="B2927" s="3" t="n">
        <v>2028</v>
      </c>
      <c r="C2927" s="3" t="inlineStr">
        <is>
          <t>Bull</t>
        </is>
      </c>
      <c r="D2927" s="3" t="inlineStr">
        <is>
          <t>it_load_gw</t>
        </is>
      </c>
      <c r="E2927" s="3" t="n">
        <v>1.745</v>
      </c>
      <c r="F2927" s="3" t="inlineStr">
        <is>
          <t>GW</t>
        </is>
      </c>
      <c r="G2927" s="3" t="inlineStr">
        <is>
          <t>Derived formula</t>
        </is>
      </c>
      <c r="H2927" s="3" t="inlineStr">
        <is>
          <t>active_power_gw / pue</t>
        </is>
      </c>
      <c r="I2927" s="3" t="inlineStr">
        <is>
          <t>Facility power is converted to IT-deliverable power before attributing AI workloads.</t>
        </is>
      </c>
      <c r="J2927" s="3" t="inlineStr">
        <is>
          <t>SRC_ALIBABA_QWEN_GPU_DEPLOY; ASSUMP_CN_CAPACITY_TRANSPARENCY</t>
        </is>
      </c>
      <c r="K2927" s="3" t="inlineStr">
        <is>
          <t>ASSUMP_MOE_EFFICIENCY; ASSUMP_CN_CAPACITY_TRANSPARENCY; ASSUMP_NUMERIC_ACCELERATOR_MIX; ASSUMP_INFERENCE_SHARE_NOT_FACT_60; ASSUMP_WORKLOAD_CLASS_MIX; ASSUMP_AGENTIC_CONTEXT_PENALTY</t>
        </is>
      </c>
      <c r="L2927" s="3" t="inlineStr">
        <is>
          <t>Recompute once active power and PUE become site-observable.</t>
        </is>
      </c>
    </row>
    <row r="2928">
      <c r="A2928" s="3" t="inlineStr">
        <is>
          <t>Alibaba</t>
        </is>
      </c>
      <c r="B2928" s="3" t="n">
        <v>2028</v>
      </c>
      <c r="C2928" s="3" t="inlineStr">
        <is>
          <t>Bull</t>
        </is>
      </c>
      <c r="D2928" s="3" t="inlineStr">
        <is>
          <t>ai_workload_share</t>
        </is>
      </c>
      <c r="E2928" s="3" t="n">
        <v>0.84</v>
      </c>
      <c r="F2928" s="3" t="inlineStr">
        <is>
          <t>share</t>
        </is>
      </c>
      <c r="G2928" s="3" t="inlineStr">
        <is>
          <t>Scenario allocation</t>
        </is>
      </c>
      <c r="H2928" s="3" t="inlineStr">
        <is>
          <t>ai_it_load_gw = it_load_gw * ai_workload_share</t>
        </is>
      </c>
      <c r="I2928" s="3" t="inlineStr">
        <is>
          <t>Model Studio/Qwen-serving envelope is AI-focused, while cloud platform/reserve allocation is excluded through 84%.</t>
        </is>
      </c>
      <c r="J2928" s="3" t="inlineStr">
        <is>
          <t>SRC_QWEN3_GITHUB; SRC_ALIBABA_QWEN_GPU_DEPLOY; SRC_EPOCH_AI_DATA_CENTERS</t>
        </is>
      </c>
      <c r="K2928" s="3" t="inlineStr">
        <is>
          <t>ASSUMP_MOE_EFFICIENCY; ASSUMP_CN_CAPACITY_TRANSPARENCY; ASSUMP_NUMERIC_ACCELERATOR_MIX; ASSUMP_INFERENCE_SHARE_NOT_FACT_60; ASSUMP_WORKLOAD_CLASS_MIX; ASSUMP_AGENTIC_CONTEXT_PENALTY</t>
        </is>
      </c>
      <c r="L2928" s="3" t="inlineStr">
        <is>
          <t>Model-owner AI workload allocation or cluster scheduling telemetry.</t>
        </is>
      </c>
    </row>
    <row r="2929">
      <c r="A2929" s="3" t="inlineStr">
        <is>
          <t>Alibaba</t>
        </is>
      </c>
      <c r="B2929" s="3" t="n">
        <v>2028</v>
      </c>
      <c r="C2929" s="3" t="inlineStr">
        <is>
          <t>Bull</t>
        </is>
      </c>
      <c r="D2929" s="3" t="inlineStr">
        <is>
          <t>ai_it_load_gw</t>
        </is>
      </c>
      <c r="E2929" s="3" t="n">
        <v>1.466</v>
      </c>
      <c r="F2929" s="3" t="inlineStr">
        <is>
          <t>GW</t>
        </is>
      </c>
      <c r="G2929" s="3" t="inlineStr">
        <is>
          <t>Derived formula</t>
        </is>
      </c>
      <c r="H2929" s="3" t="inlineStr">
        <is>
          <t>it_load_gw * ai_workload_share</t>
        </is>
      </c>
      <c r="I2929" s="3" t="inlineStr">
        <is>
          <t>Only the AI-attributed portion of IT load enters training/inference allocation.</t>
        </is>
      </c>
      <c r="J2929" s="3" t="inlineStr">
        <is>
          <t>SRC_QWEN3_GITHUB; SRC_ALIBABA_QWEN_GPU_DEPLOY; SRC_EPOCH_AI_DATA_CENTERS</t>
        </is>
      </c>
      <c r="K2929" s="3" t="inlineStr">
        <is>
          <t>ASSUMP_MOE_EFFICIENCY; ASSUMP_CN_CAPACITY_TRANSPARENCY; ASSUMP_NUMERIC_ACCELERATOR_MIX; ASSUMP_INFERENCE_SHARE_NOT_FACT_60; ASSUMP_WORKLOAD_CLASS_MIX; ASSUMP_AGENTIC_CONTEXT_PENALTY</t>
        </is>
      </c>
      <c r="L2929" s="3" t="inlineStr">
        <is>
          <t>Recompute after ai_workload_share is replaced by telemetry.</t>
        </is>
      </c>
    </row>
    <row r="2930">
      <c r="A2930" s="3" t="inlineStr">
        <is>
          <t>Alibaba</t>
        </is>
      </c>
      <c r="B2930" s="3" t="n">
        <v>2028</v>
      </c>
      <c r="C2930" s="3" t="inlineStr">
        <is>
          <t>Bull</t>
        </is>
      </c>
      <c r="D2930" s="3" t="inlineStr">
        <is>
          <t>gpu_share</t>
        </is>
      </c>
      <c r="E2930" s="3" t="n">
        <v>1</v>
      </c>
      <c r="F2930" s="3" t="inlineStr">
        <is>
          <t>share of inference-serving accelerator load</t>
        </is>
      </c>
      <c r="G2930" s="3" t="inlineStr">
        <is>
          <t>Numeric scenario</t>
        </is>
      </c>
      <c r="H2930" s="3" t="inlineStr">
        <is>
          <t>gpu_share interpolated from company 2026/2030 accelerator-mix endpoints</t>
        </is>
      </c>
      <c r="I2930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30" s="3" t="inlineStr">
        <is>
          <t>SRC_QWEN3_GITHUB; SRC_ALIBABA_QWEN_GPU_DEPLOY; SRC_EPOCH_AI_DATA_CENTERS; ASSUMP_NUMERIC_ACCELERATOR_MIX</t>
        </is>
      </c>
      <c r="K2930" s="3" t="inlineStr">
        <is>
          <t>ASSUMP_MOE_EFFICIENCY; ASSUMP_CN_CAPACITY_TRANSPARENCY; ASSUMP_NUMERIC_ACCELERATOR_MIX; ASSUMP_INFERENCE_SHARE_NOT_FACT_60; ASSUMP_WORKLOAD_CLASS_MIX; ASSUMP_AGENTIC_CONTEXT_PENALTY</t>
        </is>
      </c>
      <c r="L2930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31">
      <c r="A2931" s="3" t="inlineStr">
        <is>
          <t>Alibaba</t>
        </is>
      </c>
      <c r="B2931" s="3" t="n">
        <v>2028</v>
      </c>
      <c r="C2931" s="3" t="inlineStr">
        <is>
          <t>Bull</t>
        </is>
      </c>
      <c r="D2931" s="3" t="inlineStr">
        <is>
          <t>h200_share</t>
        </is>
      </c>
      <c r="E2931" s="3" t="n">
        <v>1</v>
      </c>
      <c r="F2931" s="3" t="inlineStr">
        <is>
          <t>share of inference-serving accelerator load</t>
        </is>
      </c>
      <c r="G2931" s="3" t="inlineStr">
        <is>
          <t>Editable numeric scenario</t>
        </is>
      </c>
      <c r="H2931" s="3" t="inlineStr">
        <is>
          <t>h200_share = gpu_share * default_gpu_generation_mix_h200</t>
        </is>
      </c>
      <c r="I2931" s="3" t="inlineStr">
        <is>
          <t>Default GPU-generation migration assumption; executive workbook allows later manual replacement by company/year/scenario.</t>
        </is>
      </c>
      <c r="J2931" s="3" t="inlineStr">
        <is>
          <t>SRC_SEMIANALYSIS_INFERENCEX; ASSUMP_NUMERIC_ACCELERATOR_MIX</t>
        </is>
      </c>
      <c r="K2931" s="3" t="inlineStr">
        <is>
          <t>ASSUMP_MOE_EFFICIENCY; ASSUMP_CN_CAPACITY_TRANSPARENCY; ASSUMP_NUMERIC_ACCELERATOR_MIX; ASSUMP_INFERENCE_SHARE_NOT_FACT_60; ASSUMP_WORKLOAD_CLASS_MIX; ASSUMP_AGENTIC_CONTEXT_PENALTY</t>
        </is>
      </c>
      <c r="L2931" s="3" t="inlineStr">
        <is>
          <t>Company fleet inventory, accelerator-hours or procurement/deployment records by GPU generation.</t>
        </is>
      </c>
    </row>
    <row r="2932">
      <c r="A2932" s="3" t="inlineStr">
        <is>
          <t>Alibaba</t>
        </is>
      </c>
      <c r="B2932" s="3" t="n">
        <v>2028</v>
      </c>
      <c r="C2932" s="3" t="inlineStr">
        <is>
          <t>Bull</t>
        </is>
      </c>
      <c r="D2932" s="3" t="inlineStr">
        <is>
          <t>b200_share</t>
        </is>
      </c>
      <c r="E2932" s="3" t="n">
        <v>0</v>
      </c>
      <c r="F2932" s="3" t="inlineStr">
        <is>
          <t>share of inference-serving accelerator load</t>
        </is>
      </c>
      <c r="G2932" s="3" t="inlineStr">
        <is>
          <t>Editable numeric scenario</t>
        </is>
      </c>
      <c r="H2932" s="3" t="inlineStr">
        <is>
          <t>b200_share = gpu_share * default_gpu_generation_mix_b200</t>
        </is>
      </c>
      <c r="I2932" s="3" t="inlineStr">
        <is>
          <t>Default GPU-generation migration assumption; executive workbook allows later manual replacement by company/year/scenario.</t>
        </is>
      </c>
      <c r="J2932" s="3" t="inlineStr">
        <is>
          <t>SRC_SEMIANALYSIS_INFERENCEX; ASSUMP_NUMERIC_ACCELERATOR_MIX</t>
        </is>
      </c>
      <c r="K2932" s="3" t="inlineStr">
        <is>
          <t>ASSUMP_MOE_EFFICIENCY; ASSUMP_CN_CAPACITY_TRANSPARENCY; ASSUMP_NUMERIC_ACCELERATOR_MIX; ASSUMP_INFERENCE_SHARE_NOT_FACT_60; ASSUMP_WORKLOAD_CLASS_MIX; ASSUMP_AGENTIC_CONTEXT_PENALTY</t>
        </is>
      </c>
      <c r="L2932" s="3" t="inlineStr">
        <is>
          <t>Company fleet inventory, accelerator-hours or procurement/deployment records by GPU generation.</t>
        </is>
      </c>
    </row>
    <row r="2933">
      <c r="A2933" s="3" t="inlineStr">
        <is>
          <t>Alibaba</t>
        </is>
      </c>
      <c r="B2933" s="3" t="n">
        <v>2028</v>
      </c>
      <c r="C2933" s="3" t="inlineStr">
        <is>
          <t>Bull</t>
        </is>
      </c>
      <c r="D2933" s="3" t="inlineStr">
        <is>
          <t>gb200_share</t>
        </is>
      </c>
      <c r="E2933" s="3" t="n">
        <v>0</v>
      </c>
      <c r="F2933" s="3" t="inlineStr">
        <is>
          <t>share of inference-serving accelerator load</t>
        </is>
      </c>
      <c r="G2933" s="3" t="inlineStr">
        <is>
          <t>Editable numeric scenario</t>
        </is>
      </c>
      <c r="H2933" s="3" t="inlineStr">
        <is>
          <t>gb200_share = gpu_share * default_gpu_generation_mix_gb200</t>
        </is>
      </c>
      <c r="I2933" s="3" t="inlineStr">
        <is>
          <t>Default GPU-generation migration assumption; executive workbook allows later manual replacement by company/year/scenario.</t>
        </is>
      </c>
      <c r="J2933" s="3" t="inlineStr">
        <is>
          <t>SRC_SEMIANALYSIS_INFERENCEX; ASSUMP_NUMERIC_ACCELERATOR_MIX</t>
        </is>
      </c>
      <c r="K2933" s="3" t="inlineStr">
        <is>
          <t>ASSUMP_MOE_EFFICIENCY; ASSUMP_CN_CAPACITY_TRANSPARENCY; ASSUMP_NUMERIC_ACCELERATOR_MIX; ASSUMP_INFERENCE_SHARE_NOT_FACT_60; ASSUMP_WORKLOAD_CLASS_MIX; ASSUMP_AGENTIC_CONTEXT_PENALTY</t>
        </is>
      </c>
      <c r="L2933" s="3" t="inlineStr">
        <is>
          <t>Company fleet inventory, accelerator-hours or procurement/deployment records by GPU generation.</t>
        </is>
      </c>
    </row>
    <row r="2934">
      <c r="A2934" s="3" t="inlineStr">
        <is>
          <t>Alibaba</t>
        </is>
      </c>
      <c r="B2934" s="3" t="n">
        <v>2028</v>
      </c>
      <c r="C2934" s="3" t="inlineStr">
        <is>
          <t>Bull</t>
        </is>
      </c>
      <c r="D2934" s="3" t="inlineStr">
        <is>
          <t>purpose_built_accelerator_share</t>
        </is>
      </c>
      <c r="E2934" s="3" t="n">
        <v>0</v>
      </c>
      <c r="F2934" s="3" t="inlineStr">
        <is>
          <t>share of inference-serving accelerator load</t>
        </is>
      </c>
      <c r="G2934" s="3" t="inlineStr">
        <is>
          <t>Numeric scenario</t>
        </is>
      </c>
      <c r="H2934" s="3" t="inlineStr">
        <is>
          <t>1 - gpu_share</t>
        </is>
      </c>
      <c r="I2934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34" s="3" t="inlineStr">
        <is>
          <t>SRC_QWEN3_GITHUB; SRC_ALIBABA_QWEN_GPU_DEPLOY; SRC_EPOCH_AI_DATA_CENTERS; ASSUMP_NUMERIC_ACCELERATOR_MIX</t>
        </is>
      </c>
      <c r="K2934" s="3" t="inlineStr">
        <is>
          <t>ASSUMP_MOE_EFFICIENCY; ASSUMP_CN_CAPACITY_TRANSPARENCY; ASSUMP_NUMERIC_ACCELERATOR_MIX; ASSUMP_INFERENCE_SHARE_NOT_FACT_60; ASSUMP_WORKLOAD_CLASS_MIX; ASSUMP_AGENTIC_CONTEXT_PENALTY</t>
        </is>
      </c>
      <c r="L2934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35">
      <c r="A2935" s="3" t="inlineStr">
        <is>
          <t>Alibaba</t>
        </is>
      </c>
      <c r="B2935" s="3" t="n">
        <v>2028</v>
      </c>
      <c r="C2935" s="3" t="inlineStr">
        <is>
          <t>Bull</t>
        </is>
      </c>
      <c r="D2935" s="3" t="inlineStr">
        <is>
          <t>fleet_reference_tps_per_mw</t>
        </is>
      </c>
      <c r="E2935" s="3" t="n">
        <v>166591</v>
      </c>
      <c r="F2935" s="3" t="inlineStr">
        <is>
          <t>generated output tokens/sec/MW</t>
        </is>
      </c>
      <c r="G2935" s="3" t="inlineStr">
        <is>
          <t>Fleet-weighted public benchmark reference</t>
        </is>
      </c>
      <c r="H2935" s="3" t="inlineStr">
        <is>
          <t>h200_share*h200_workload_avg + b200_share*b200_workload_avg + gb200_share*gb200_workload_avg + purpose_built_share*purpose_workload_avg</t>
        </is>
      </c>
      <c r="I2935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35" s="3" t="inlineStr">
        <is>
          <t>SRC_SEMIANALYSIS_INFERENCEX; ASSUMP_NUMERIC_ACCELERATOR_MIX; ASSUMP_WORKLOAD_CLASS_MIX; ASSUMP_AGENTIC_CONTEXT_PENALTY</t>
        </is>
      </c>
      <c r="K2935" s="3" t="inlineStr">
        <is>
          <t>ASSUMP_MOE_EFFICIENCY; ASSUMP_CN_CAPACITY_TRANSPARENCY; ASSUMP_NUMERIC_ACCELERATOR_MIX; ASSUMP_INFERENCE_SHARE_NOT_FACT_60; ASSUMP_WORKLOAD_CLASS_MIX; ASSUMP_AGENTIC_CONTEXT_PENALTY</t>
        </is>
      </c>
      <c r="L2935" s="3" t="inlineStr">
        <is>
          <t>Comparable production output-token throughput or a more closely matched benchmark.</t>
        </is>
      </c>
    </row>
    <row r="2936">
      <c r="A2936" s="3" t="inlineStr">
        <is>
          <t>Alibaba</t>
        </is>
      </c>
      <c r="B2936" s="3" t="n">
        <v>2028</v>
      </c>
      <c r="C2936" s="3" t="inlineStr">
        <is>
          <t>Bull</t>
        </is>
      </c>
      <c r="D2936" s="3" t="inlineStr">
        <is>
          <t>commercial_workload_fit_factor</t>
        </is>
      </c>
      <c r="E2936" s="3" t="n">
        <v>1</v>
      </c>
      <c r="F2936" s="3" t="inlineStr">
        <is>
          <t>share of public reference throughput</t>
        </is>
      </c>
      <c r="G2936" s="3" t="inlineStr">
        <is>
          <t>Scenario assumption</t>
        </is>
      </c>
      <c r="H2936" s="3" t="inlineStr">
        <is>
          <t>reference_serving_tps_per_mw = fleet_reference_tps_per_mw * commercial_workload_fit_factor</t>
        </is>
      </c>
      <c r="I2936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36" s="3" t="inlineStr">
        <is>
          <t>SRC_SEMIANALYSIS_INFERENCEX; ASSUMP_NUMERIC_ACCELERATOR_MIX; ASSUMP_WORKLOAD_CLASS_MIX; ASSUMP_AGENTIC_CONTEXT_PENALTY</t>
        </is>
      </c>
      <c r="K2936" s="3" t="inlineStr">
        <is>
          <t>ASSUMP_MOE_EFFICIENCY; ASSUMP_CN_CAPACITY_TRANSPARENCY; ASSUMP_NUMERIC_ACCELERATOR_MIX; ASSUMP_INFERENCE_SHARE_NOT_FACT_60; ASSUMP_WORKLOAD_CLASS_MIX; ASSUMP_AGENTIC_CONTEXT_PENALTY</t>
        </is>
      </c>
      <c r="L2936" s="3" t="inlineStr">
        <is>
          <t>Matched commercial serving benchmark by product surface, context shape and latency SLO.</t>
        </is>
      </c>
    </row>
    <row r="2937">
      <c r="A2937" s="3" t="inlineStr">
        <is>
          <t>Alibaba</t>
        </is>
      </c>
      <c r="B2937" s="3" t="n">
        <v>2028</v>
      </c>
      <c r="C2937" s="3" t="inlineStr">
        <is>
          <t>Bull</t>
        </is>
      </c>
      <c r="D2937" s="3" t="inlineStr">
        <is>
          <t>reference_serving_tps_per_mw</t>
        </is>
      </c>
      <c r="E2937" s="3" t="n">
        <v>166591</v>
      </c>
      <c r="F2937" s="3" t="inlineStr">
        <is>
          <t>generated output tokens/sec/MW</t>
        </is>
      </c>
      <c r="G2937" s="3" t="inlineStr">
        <is>
          <t>Workload-adjusted benchmark proxy</t>
        </is>
      </c>
      <c r="H2937" s="3" t="inlineStr">
        <is>
          <t>fleet_reference_tps_per_mw * commercial_workload_fit_factor</t>
        </is>
      </c>
      <c r="I2937" s="3" t="inlineStr">
        <is>
          <t>This is the coefficient used for headline token generation; each GPU's short chat, long chat and agentic TPS/MW are weighted before fleet mix and commercial fit are applied.</t>
        </is>
      </c>
      <c r="J2937" s="3" t="inlineStr">
        <is>
          <t>SRC_SEMIANALYSIS_INFERENCEX; ASSUMP_NUMERIC_ACCELERATOR_MIX; ASSUMP_WORKLOAD_CLASS_MIX; ASSUMP_AGENTIC_CONTEXT_PENALTY</t>
        </is>
      </c>
      <c r="K2937" s="3" t="inlineStr">
        <is>
          <t>ASSUMP_MOE_EFFICIENCY; ASSUMP_CN_CAPACITY_TRANSPARENCY; ASSUMP_NUMERIC_ACCELERATOR_MIX; ASSUMP_INFERENCE_SHARE_NOT_FACT_60; ASSUMP_WORKLOAD_CLASS_MIX; ASSUMP_AGENTIC_CONTEXT_PENALTY</t>
        </is>
      </c>
      <c r="L2937" s="3" t="inlineStr">
        <is>
          <t>Provider production output-token throughput with comparable workload/SLO.</t>
        </is>
      </c>
    </row>
    <row r="2938">
      <c r="A2938" s="3" t="inlineStr">
        <is>
          <t>Alibaba</t>
        </is>
      </c>
      <c r="B2938" s="3" t="n">
        <v>2028</v>
      </c>
      <c r="C2938" s="3" t="inlineStr">
        <is>
          <t>Bull</t>
        </is>
      </c>
      <c r="D2938" s="3" t="inlineStr">
        <is>
          <t>purpose_built_tps_per_mw</t>
        </is>
      </c>
      <c r="E2938" s="3" t="n">
        <v>1106733</v>
      </c>
      <c r="F2938" s="3" t="inlineStr">
        <is>
          <t>generated output tokens/sec/MW</t>
        </is>
      </c>
      <c r="G2938" s="3" t="inlineStr">
        <is>
          <t>Conservative no-uplift proxy</t>
        </is>
      </c>
      <c r="H2938" s="3" t="inlineStr">
        <is>
          <t>purpose_built_tps_per_mw = purpose_built_reference_tps_per_mw * commercial_workload_fit_factor until comparable output-token benchmark is adopted</t>
        </is>
      </c>
      <c r="I2938" s="3" t="inlineStr">
        <is>
          <t>No comparable public output-token/MW row adopted; B200 public reference placeholder is used and remains editable.</t>
        </is>
      </c>
      <c r="J2938" s="3" t="inlineStr">
        <is>
          <t>SRC_QWEN3_GITHUB; SRC_ALIBABA_QWEN_GPU_DEPLOY; SRC_EPOCH_AI_DATA_CENTERS; ASSUMP_NUMERIC_ACCELERATOR_MIX</t>
        </is>
      </c>
      <c r="K2938" s="3" t="inlineStr">
        <is>
          <t>ASSUMP_MOE_EFFICIENCY; ASSUMP_CN_CAPACITY_TRANSPARENCY; ASSUMP_NUMERIC_ACCELERATOR_MIX; ASSUMP_INFERENCE_SHARE_NOT_FACT_60; ASSUMP_WORKLOAD_CLASS_MIX; ASSUMP_AGENTIC_CONTEXT_PENALTY</t>
        </is>
      </c>
      <c r="L2938" s="3" t="inlineStr">
        <is>
          <t>Matched-workload generated-output benchmark for the provider purpose-built accelerator.</t>
        </is>
      </c>
    </row>
    <row r="2939">
      <c r="A2939" s="3" t="inlineStr">
        <is>
          <t>Alibaba</t>
        </is>
      </c>
      <c r="B2939" s="3" t="n">
        <v>2028</v>
      </c>
      <c r="C2939" s="3" t="inlineStr">
        <is>
          <t>Bull</t>
        </is>
      </c>
      <c r="D2939" s="3" t="inlineStr">
        <is>
          <t>inference_power_share</t>
        </is>
      </c>
      <c r="E2939" s="3" t="n">
        <v>0.765</v>
      </c>
      <c r="F2939" s="3" t="inlineStr">
        <is>
          <t>share of AI IT load</t>
        </is>
      </c>
      <c r="G2939" s="3" t="inlineStr">
        <is>
          <t>Scenario allocation</t>
        </is>
      </c>
      <c r="H2939" s="3" t="inlineStr">
        <is>
          <t>inference_gw = ai_it_load_gw * inference_power_share</t>
        </is>
      </c>
      <c r="I2939" s="3" t="inlineStr">
        <is>
          <t>Qwen API/enterprise commercialization and MoE architecture support increasing inference allocation scenario.</t>
        </is>
      </c>
      <c r="J2939" s="3" t="inlineStr">
        <is>
          <t>SRC_QWEN3_GITHUB; SRC_ALIBABA_QWEN_GPU_DEPLOY; SRC_EPOCH_AI_DATA_CENTERS; ASSUMP_INFERENCE_SHARE_NOT_FACT_60</t>
        </is>
      </c>
      <c r="K2939" s="3" t="inlineStr">
        <is>
          <t>ASSUMP_MOE_EFFICIENCY; ASSUMP_CN_CAPACITY_TRANSPARENCY; ASSUMP_NUMERIC_ACCELERATOR_MIX; ASSUMP_INFERENCE_SHARE_NOT_FACT_60; ASSUMP_WORKLOAD_CLASS_MIX; ASSUMP_AGENTIC_CONTEXT_PENALTY</t>
        </is>
      </c>
      <c r="L2939" s="3" t="inlineStr">
        <is>
          <t>Provider-specific inference/training workload power telemetry.</t>
        </is>
      </c>
    </row>
    <row r="2940">
      <c r="A2940" s="3" t="inlineStr">
        <is>
          <t>Alibaba</t>
        </is>
      </c>
      <c r="B2940" s="3" t="n">
        <v>2028</v>
      </c>
      <c r="C2940" s="3" t="inlineStr">
        <is>
          <t>Bull</t>
        </is>
      </c>
      <c r="D2940" s="3" t="inlineStr">
        <is>
          <t>inference_gw</t>
        </is>
      </c>
      <c r="E2940" s="3" t="n">
        <v>1.121</v>
      </c>
      <c r="F2940" s="3" t="inlineStr">
        <is>
          <t>GW</t>
        </is>
      </c>
      <c r="G2940" s="3" t="inlineStr">
        <is>
          <t>Derived formula</t>
        </is>
      </c>
      <c r="H2940" s="3" t="inlineStr">
        <is>
          <t>ai_it_load_gw * inference_power_share</t>
        </is>
      </c>
      <c r="I2940" s="3" t="inlineStr">
        <is>
          <t>This is the operational power eligible to become commercial generated output tokens through the selected TPS/MW proxy.</t>
        </is>
      </c>
      <c r="J2940" s="3" t="inlineStr">
        <is>
          <t>SRC_QWEN3_GITHUB; SRC_ALIBABA_QWEN_GPU_DEPLOY; SRC_EPOCH_AI_DATA_CENTERS</t>
        </is>
      </c>
      <c r="K2940" s="3" t="inlineStr">
        <is>
          <t>ASSUMP_MOE_EFFICIENCY; ASSUMP_CN_CAPACITY_TRANSPARENCY; ASSUMP_NUMERIC_ACCELERATOR_MIX; ASSUMP_INFERENCE_SHARE_NOT_FACT_60; ASSUMP_WORKLOAD_CLASS_MIX; ASSUMP_AGENTIC_CONTEXT_PENALTY</t>
        </is>
      </c>
      <c r="L2940" s="3" t="inlineStr">
        <is>
          <t>Recompute after AI allocation or inference-share evidence changes.</t>
        </is>
      </c>
    </row>
    <row r="2941">
      <c r="A2941" s="3" t="inlineStr">
        <is>
          <t>Alibaba</t>
        </is>
      </c>
      <c r="B2941" s="3" t="n">
        <v>2028</v>
      </c>
      <c r="C2941" s="3" t="inlineStr">
        <is>
          <t>Bull</t>
        </is>
      </c>
      <c r="D2941" s="3" t="inlineStr">
        <is>
          <t>training_power_share</t>
        </is>
      </c>
      <c r="E2941" s="3" t="n">
        <v>0.235</v>
      </c>
      <c r="F2941" s="3" t="inlineStr">
        <is>
          <t>share of AI IT load</t>
        </is>
      </c>
      <c r="G2941" s="3" t="inlineStr">
        <is>
          <t>Derived allocation</t>
        </is>
      </c>
      <c r="H2941" s="3" t="inlineStr">
        <is>
          <t>1 - inference_power_share</t>
        </is>
      </c>
      <c r="I2941" s="3" t="inlineStr">
        <is>
          <t>Training receives the complementary modeled AI IT allocation; it is not a disclosed company workload split.</t>
        </is>
      </c>
      <c r="J2941" s="3" t="inlineStr">
        <is>
          <t>SRC_QWEN3_GITHUB; SRC_ALIBABA_QWEN_GPU_DEPLOY; SRC_EPOCH_AI_DATA_CENTERS; ASSUMP_INFERENCE_SHARE_NOT_FACT_60</t>
        </is>
      </c>
      <c r="K2941" s="3" t="inlineStr">
        <is>
          <t>ASSUMP_MOE_EFFICIENCY; ASSUMP_CN_CAPACITY_TRANSPARENCY; ASSUMP_NUMERIC_ACCELERATOR_MIX; ASSUMP_INFERENCE_SHARE_NOT_FACT_60; ASSUMP_WORKLOAD_CLASS_MIX; ASSUMP_AGENTIC_CONTEXT_PENALTY</t>
        </is>
      </c>
      <c r="L2941" s="3" t="inlineStr">
        <is>
          <t>Provider-specific inference/training workload power telemetry.</t>
        </is>
      </c>
    </row>
    <row r="2942">
      <c r="A2942" s="3" t="inlineStr">
        <is>
          <t>Alibaba</t>
        </is>
      </c>
      <c r="B2942" s="3" t="n">
        <v>2028</v>
      </c>
      <c r="C2942" s="3" t="inlineStr">
        <is>
          <t>Bull</t>
        </is>
      </c>
      <c r="D2942" s="3" t="inlineStr">
        <is>
          <t>training_gw</t>
        </is>
      </c>
      <c r="E2942" s="3" t="n">
        <v>0.344</v>
      </c>
      <c r="F2942" s="3" t="inlineStr">
        <is>
          <t>GW</t>
        </is>
      </c>
      <c r="G2942" s="3" t="inlineStr">
        <is>
          <t>Derived formula</t>
        </is>
      </c>
      <c r="H2942" s="3" t="inlineStr">
        <is>
          <t>ai_it_load_gw * training_power_share</t>
        </is>
      </c>
      <c r="I2942" s="3" t="inlineStr">
        <is>
          <t>Training GW is shown separately so commercial inference token capacity is not overstated.</t>
        </is>
      </c>
      <c r="J2942" s="3" t="inlineStr">
        <is>
          <t>SRC_QWEN3_GITHUB; SRC_ALIBABA_QWEN_GPU_DEPLOY; SRC_EPOCH_AI_DATA_CENTERS</t>
        </is>
      </c>
      <c r="K2942" s="3" t="inlineStr">
        <is>
          <t>ASSUMP_MOE_EFFICIENCY; ASSUMP_CN_CAPACITY_TRANSPARENCY; ASSUMP_NUMERIC_ACCELERATOR_MIX; ASSUMP_INFERENCE_SHARE_NOT_FACT_60; ASSUMP_WORKLOAD_CLASS_MIX; ASSUMP_AGENTIC_CONTEXT_PENALTY</t>
        </is>
      </c>
      <c r="L2942" s="3" t="inlineStr">
        <is>
          <t>Recompute after AI allocation or workload-split evidence changes.</t>
        </is>
      </c>
    </row>
    <row r="2943">
      <c r="A2943" s="3" t="inlineStr">
        <is>
          <t>Alibaba</t>
        </is>
      </c>
      <c r="B2943" s="3" t="n">
        <v>2028</v>
      </c>
      <c r="C2943" s="3" t="inlineStr">
        <is>
          <t>Bull</t>
        </is>
      </c>
      <c r="D2943" s="3" t="inlineStr">
        <is>
          <t>tokens_per_second_per_mw</t>
        </is>
      </c>
      <c r="E2943" s="3" t="n">
        <v>166591</v>
      </c>
      <c r="F2943" s="3" t="inlineStr">
        <is>
          <t>generated output tokens/sec/MW</t>
        </is>
      </c>
      <c r="G2943" s="3" t="inlineStr">
        <is>
          <t>Derived estimate + benchmark calibration</t>
        </is>
      </c>
      <c r="H2943" s="3" t="inlineStr">
        <is>
          <t>fleet_reference_tps_per_mw * commercial_workload_fit_factor</t>
        </is>
      </c>
      <c r="I2943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43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43" s="3" t="inlineStr">
        <is>
          <t>ASSUMP_MOE_EFFICIENCY; ASSUMP_CN_CAPACITY_TRANSPARENCY; ASSUMP_NUMERIC_ACCELERATOR_MIX; ASSUMP_INFERENCE_SHARE_NOT_FACT_60; ASSUMP_WORKLOAD_CLASS_MIX; ASSUMP_AGENTIC_CONTEXT_PENALTY</t>
        </is>
      </c>
      <c r="L2943" s="3" t="inlineStr">
        <is>
          <t>Comparable production output-token throughput with model, hardware, precision, ISL/OSL and SLO matched.</t>
        </is>
      </c>
    </row>
    <row r="2944">
      <c r="A2944" s="3" t="inlineStr">
        <is>
          <t>Alibaba</t>
        </is>
      </c>
      <c r="B2944" s="3" t="n">
        <v>2028</v>
      </c>
      <c r="C2944" s="3" t="inlineStr">
        <is>
          <t>Bull</t>
        </is>
      </c>
      <c r="D2944" s="3" t="inlineStr">
        <is>
          <t>inference_tokens_per_day</t>
        </is>
      </c>
      <c r="E2944" s="3" t="n">
        <v>16135071350400</v>
      </c>
      <c r="F2944" s="3" t="inlineStr">
        <is>
          <t>generated output tokens/day</t>
        </is>
      </c>
      <c r="G2944" s="3" t="inlineStr">
        <is>
          <t>Derived headline metric</t>
        </is>
      </c>
      <c r="H2944" s="3" t="inlineStr">
        <is>
          <t>inference_gw * 1000 * tokens_per_second_per_mw * 86,400</t>
        </is>
      </c>
      <c r="I2944" s="3" t="inlineStr">
        <is>
          <t>Headline capacity uses no utilization, MoE, architecture or software-growth multiplier; it is not observed commercial output volume.</t>
        </is>
      </c>
      <c r="J2944" s="3" t="inlineStr">
        <is>
          <t>SRC_QWEN3_GITHUB; SRC_ALIBABA_QWEN_GPU_DEPLOY; SRC_EPOCH_AI_DATA_CENTERS; SRC_SEMIANALYSIS_INFERENCEX</t>
        </is>
      </c>
      <c r="K2944" s="3" t="inlineStr">
        <is>
          <t>ASSUMP_MOE_EFFICIENCY; ASSUMP_CN_CAPACITY_TRANSPARENCY; ASSUMP_NUMERIC_ACCELERATOR_MIX; ASSUMP_INFERENCE_SHARE_NOT_FACT_60; ASSUMP_WORKLOAD_CLASS_MIX; ASSUMP_AGENTIC_CONTEXT_PENALTY</t>
        </is>
      </c>
      <c r="L2944" s="3" t="inlineStr">
        <is>
          <t>Provider-disclosed generated output token volume or calibrated capacity telemetry.</t>
        </is>
      </c>
    </row>
    <row r="2945">
      <c r="A2945" s="3" t="inlineStr">
        <is>
          <t>Alibaba</t>
        </is>
      </c>
      <c r="B2945" s="3" t="n">
        <v>2028</v>
      </c>
      <c r="C2945" s="3" t="inlineStr">
        <is>
          <t>Bull</t>
        </is>
      </c>
      <c r="D2945" s="3" t="inlineStr">
        <is>
          <t>inference_tokens_per_year</t>
        </is>
      </c>
      <c r="E2945" s="3" t="n">
        <v>5889301042896000</v>
      </c>
      <c r="F2945" s="3" t="inlineStr">
        <is>
          <t>generated output tokens/year</t>
        </is>
      </c>
      <c r="G2945" s="3" t="inlineStr">
        <is>
          <t>Derived headline metric</t>
        </is>
      </c>
      <c r="H2945" s="3" t="inlineStr">
        <is>
          <t>inference_tokens_per_day * 365</t>
        </is>
      </c>
      <c r="I2945" s="3" t="inlineStr">
        <is>
          <t>Annualized version of generated output token capacity; it is not observed annual demand or billable volume.</t>
        </is>
      </c>
      <c r="J2945" s="3" t="inlineStr">
        <is>
          <t>SRC_QWEN3_GITHUB; SRC_ALIBABA_QWEN_GPU_DEPLOY; SRC_EPOCH_AI_DATA_CENTERS; SRC_SEMIANALYSIS_INFERENCEX</t>
        </is>
      </c>
      <c r="K2945" s="3" t="inlineStr">
        <is>
          <t>ASSUMP_MOE_EFFICIENCY; ASSUMP_CN_CAPACITY_TRANSPARENCY; ASSUMP_NUMERIC_ACCELERATOR_MIX; ASSUMP_INFERENCE_SHARE_NOT_FACT_60; ASSUMP_WORKLOAD_CLASS_MIX; ASSUMP_AGENTIC_CONTEXT_PENALTY</t>
        </is>
      </c>
      <c r="L2945" s="3" t="inlineStr">
        <is>
          <t>Provider-disclosed annual generated-output volume or metered serving telemetry.</t>
        </is>
      </c>
    </row>
    <row r="2946">
      <c r="A2946" s="3" t="inlineStr">
        <is>
          <t>Alibaba</t>
        </is>
      </c>
      <c r="B2946" s="3" t="n">
        <v>2029</v>
      </c>
      <c r="C2946" s="3" t="inlineStr">
        <is>
          <t>Bull</t>
        </is>
      </c>
      <c r="D2946" s="3" t="inlineStr">
        <is>
          <t>contracted_power_gw</t>
        </is>
      </c>
      <c r="E2946" s="3" t="n">
        <v>3.45</v>
      </c>
      <c r="F2946" s="3" t="inlineStr">
        <is>
          <t>GW</t>
        </is>
      </c>
      <c r="G2946" s="3" t="inlineStr">
        <is>
          <t>Scenario capacity envelope</t>
        </is>
      </c>
      <c r="H2946" s="3" t="inlineStr">
        <is>
          <t>linear interpolation between 2026 and 2030 company capacity endpoints</t>
        </is>
      </c>
      <c r="I2946" s="3" t="inlineStr">
        <is>
          <t>Alibaba Cloud/Qwen capacity is a scenario envelope; official model and deployment documentation does not state operated GW.</t>
        </is>
      </c>
      <c r="J2946" s="3" t="inlineStr">
        <is>
          <t>SRC_ALIBABA_QWEN_GPU_DEPLOY; ASSUMP_CN_CAPACITY_TRANSPARENCY</t>
        </is>
      </c>
      <c r="K2946" s="3" t="inlineStr">
        <is>
          <t>ASSUMP_MOE_EFFICIENCY; ASSUMP_CN_CAPACITY_TRANSPARENCY; ASSUMP_NUMERIC_ACCELERATOR_MIX; ASSUMP_INFERENCE_SHARE_NOT_FACT_60; ASSUMP_WORKLOAD_CLASS_MIX; ASSUMP_AGENTIC_CONTEXT_PENALTY</t>
        </is>
      </c>
      <c r="L2946" s="3" t="inlineStr">
        <is>
          <t>Company/site-level committed MW/GW, interconnect and contract disclosure.</t>
        </is>
      </c>
    </row>
    <row r="2947">
      <c r="A2947" s="3" t="inlineStr">
        <is>
          <t>Alibaba</t>
        </is>
      </c>
      <c r="B2947" s="3" t="n">
        <v>2029</v>
      </c>
      <c r="C2947" s="3" t="inlineStr">
        <is>
          <t>Bull</t>
        </is>
      </c>
      <c r="D2947" s="3" t="inlineStr">
        <is>
          <t>operational_deployment_share</t>
        </is>
      </c>
      <c r="E2947" s="3" t="n">
        <v>0.85217391</v>
      </c>
      <c r="F2947" s="3" t="inlineStr">
        <is>
          <t>share</t>
        </is>
      </c>
      <c r="G2947" s="3" t="inlineStr">
        <is>
          <t>Scenario conversion</t>
        </is>
      </c>
      <c r="H2947" s="3" t="inlineStr">
        <is>
          <t>active_power_gw / contracted_power_gw</t>
        </is>
      </c>
      <c r="I2947" s="3" t="inlineStr">
        <is>
          <t>This is the single explicit conversion from contracted/attributed capacity to operationally usable capacity.</t>
        </is>
      </c>
      <c r="J2947" s="3" t="inlineStr">
        <is>
          <t>SRC_ALIBABA_QWEN_GPU_DEPLOY; ASSUMP_CN_CAPACITY_TRANSPARENCY</t>
        </is>
      </c>
      <c r="K2947" s="3" t="inlineStr">
        <is>
          <t>ASSUMP_MOE_EFFICIENCY; ASSUMP_CN_CAPACITY_TRANSPARENCY; ASSUMP_NUMERIC_ACCELERATOR_MIX; ASSUMP_INFERENCE_SHARE_NOT_FACT_60; ASSUMP_WORKLOAD_CLASS_MIX; ASSUMP_AGENTIC_CONTEXT_PENALTY</t>
        </is>
      </c>
      <c r="L2947" s="3" t="inlineStr">
        <is>
          <t>Energized operational capacity divided by contracted/attributed capacity.</t>
        </is>
      </c>
    </row>
    <row r="2948">
      <c r="A2948" s="3" t="inlineStr">
        <is>
          <t>Alibaba</t>
        </is>
      </c>
      <c r="B2948" s="3" t="n">
        <v>2029</v>
      </c>
      <c r="C2948" s="3" t="inlineStr">
        <is>
          <t>Bull</t>
        </is>
      </c>
      <c r="D2948" s="3" t="inlineStr">
        <is>
          <t>active_power_gw</t>
        </is>
      </c>
      <c r="E2948" s="3" t="n">
        <v>2.94</v>
      </c>
      <c r="F2948" s="3" t="inlineStr">
        <is>
          <t>GW</t>
        </is>
      </c>
      <c r="G2948" s="3" t="inlineStr">
        <is>
          <t>Derived scenario</t>
        </is>
      </c>
      <c r="H2948" s="3" t="inlineStr">
        <is>
          <t>contracted_power_gw * operational_deployment_share</t>
        </is>
      </c>
      <c r="I2948" s="3" t="inlineStr">
        <is>
          <t>Active GW is staged below capacity due to undisclosed accelerator allocation and cloud multi-tenant use.</t>
        </is>
      </c>
      <c r="J2948" s="3" t="inlineStr">
        <is>
          <t>SRC_ALIBABA_QWEN_GPU_DEPLOY; ASSUMP_CN_CAPACITY_TRANSPARENCY</t>
        </is>
      </c>
      <c r="K2948" s="3" t="inlineStr">
        <is>
          <t>ASSUMP_MOE_EFFICIENCY; ASSUMP_CN_CAPACITY_TRANSPARENCY; ASSUMP_NUMERIC_ACCELERATOR_MIX; ASSUMP_INFERENCE_SHARE_NOT_FACT_60; ASSUMP_WORKLOAD_CLASS_MIX; ASSUMP_AGENTIC_CONTEXT_PENALTY</t>
        </is>
      </c>
      <c r="L2948" s="3" t="inlineStr">
        <is>
          <t>Energization dates, accelerator deliveries and operational powered-rack telemetry.</t>
        </is>
      </c>
    </row>
    <row r="2949">
      <c r="A2949" s="3" t="inlineStr">
        <is>
          <t>Alibaba</t>
        </is>
      </c>
      <c r="B2949" s="3" t="n">
        <v>2029</v>
      </c>
      <c r="C2949" s="3" t="inlineStr">
        <is>
          <t>Bull</t>
        </is>
      </c>
      <c r="D2949" s="3" t="inlineStr">
        <is>
          <t>pue</t>
        </is>
      </c>
      <c r="E2949" s="3" t="n">
        <v>1.23</v>
      </c>
      <c r="F2949" s="3" t="inlineStr">
        <is>
          <t>ratio</t>
        </is>
      </c>
      <c r="G2949" s="3" t="inlineStr">
        <is>
          <t>Scenario parameter</t>
        </is>
      </c>
      <c r="H2949" s="3" t="inlineStr">
        <is>
          <t>it_load_gw = active_power_gw / pue</t>
        </is>
      </c>
      <c r="I2949" s="3" t="inlineStr">
        <is>
          <t>No provider-wide site-level PUE is used as a disclosed fact; PUE represents facility-to-IT conversion within the scenario.</t>
        </is>
      </c>
      <c r="J2949" s="3" t="inlineStr">
        <is>
          <t>ASSUMP_POWER_RAMP</t>
        </is>
      </c>
      <c r="K2949" s="3" t="inlineStr">
        <is>
          <t>ASSUMP_MOE_EFFICIENCY; ASSUMP_CN_CAPACITY_TRANSPARENCY; ASSUMP_NUMERIC_ACCELERATOR_MIX; ASSUMP_INFERENCE_SHARE_NOT_FACT_60; ASSUMP_WORKLOAD_CLASS_MIX; ASSUMP_AGENTIC_CONTEXT_PENALTY</t>
        </is>
      </c>
      <c r="L2949" s="3" t="inlineStr">
        <is>
          <t>Site-level measured PUE matched to attributed AI capacity.</t>
        </is>
      </c>
    </row>
    <row r="2950">
      <c r="A2950" s="3" t="inlineStr">
        <is>
          <t>Alibaba</t>
        </is>
      </c>
      <c r="B2950" s="3" t="n">
        <v>2029</v>
      </c>
      <c r="C2950" s="3" t="inlineStr">
        <is>
          <t>Bull</t>
        </is>
      </c>
      <c r="D2950" s="3" t="inlineStr">
        <is>
          <t>it_load_gw</t>
        </is>
      </c>
      <c r="E2950" s="3" t="n">
        <v>2.391</v>
      </c>
      <c r="F2950" s="3" t="inlineStr">
        <is>
          <t>GW</t>
        </is>
      </c>
      <c r="G2950" s="3" t="inlineStr">
        <is>
          <t>Derived formula</t>
        </is>
      </c>
      <c r="H2950" s="3" t="inlineStr">
        <is>
          <t>active_power_gw / pue</t>
        </is>
      </c>
      <c r="I2950" s="3" t="inlineStr">
        <is>
          <t>Facility power is converted to IT-deliverable power before attributing AI workloads.</t>
        </is>
      </c>
      <c r="J2950" s="3" t="inlineStr">
        <is>
          <t>SRC_ALIBABA_QWEN_GPU_DEPLOY; ASSUMP_CN_CAPACITY_TRANSPARENCY</t>
        </is>
      </c>
      <c r="K2950" s="3" t="inlineStr">
        <is>
          <t>ASSUMP_MOE_EFFICIENCY; ASSUMP_CN_CAPACITY_TRANSPARENCY; ASSUMP_NUMERIC_ACCELERATOR_MIX; ASSUMP_INFERENCE_SHARE_NOT_FACT_60; ASSUMP_WORKLOAD_CLASS_MIX; ASSUMP_AGENTIC_CONTEXT_PENALTY</t>
        </is>
      </c>
      <c r="L2950" s="3" t="inlineStr">
        <is>
          <t>Recompute once active power and PUE become site-observable.</t>
        </is>
      </c>
    </row>
    <row r="2951">
      <c r="A2951" s="3" t="inlineStr">
        <is>
          <t>Alibaba</t>
        </is>
      </c>
      <c r="B2951" s="3" t="n">
        <v>2029</v>
      </c>
      <c r="C2951" s="3" t="inlineStr">
        <is>
          <t>Bull</t>
        </is>
      </c>
      <c r="D2951" s="3" t="inlineStr">
        <is>
          <t>ai_workload_share</t>
        </is>
      </c>
      <c r="E2951" s="3" t="n">
        <v>0.84</v>
      </c>
      <c r="F2951" s="3" t="inlineStr">
        <is>
          <t>share</t>
        </is>
      </c>
      <c r="G2951" s="3" t="inlineStr">
        <is>
          <t>Scenario allocation</t>
        </is>
      </c>
      <c r="H2951" s="3" t="inlineStr">
        <is>
          <t>ai_it_load_gw = it_load_gw * ai_workload_share</t>
        </is>
      </c>
      <c r="I2951" s="3" t="inlineStr">
        <is>
          <t>Model Studio/Qwen-serving envelope is AI-focused, while cloud platform/reserve allocation is excluded through 84%.</t>
        </is>
      </c>
      <c r="J2951" s="3" t="inlineStr">
        <is>
          <t>SRC_QWEN3_GITHUB; SRC_ALIBABA_QWEN_GPU_DEPLOY; SRC_EPOCH_AI_DATA_CENTERS</t>
        </is>
      </c>
      <c r="K2951" s="3" t="inlineStr">
        <is>
          <t>ASSUMP_MOE_EFFICIENCY; ASSUMP_CN_CAPACITY_TRANSPARENCY; ASSUMP_NUMERIC_ACCELERATOR_MIX; ASSUMP_INFERENCE_SHARE_NOT_FACT_60; ASSUMP_WORKLOAD_CLASS_MIX; ASSUMP_AGENTIC_CONTEXT_PENALTY</t>
        </is>
      </c>
      <c r="L2951" s="3" t="inlineStr">
        <is>
          <t>Model-owner AI workload allocation or cluster scheduling telemetry.</t>
        </is>
      </c>
    </row>
    <row r="2952">
      <c r="A2952" s="3" t="inlineStr">
        <is>
          <t>Alibaba</t>
        </is>
      </c>
      <c r="B2952" s="3" t="n">
        <v>2029</v>
      </c>
      <c r="C2952" s="3" t="inlineStr">
        <is>
          <t>Bull</t>
        </is>
      </c>
      <c r="D2952" s="3" t="inlineStr">
        <is>
          <t>ai_it_load_gw</t>
        </is>
      </c>
      <c r="E2952" s="3" t="n">
        <v>2.008</v>
      </c>
      <c r="F2952" s="3" t="inlineStr">
        <is>
          <t>GW</t>
        </is>
      </c>
      <c r="G2952" s="3" t="inlineStr">
        <is>
          <t>Derived formula</t>
        </is>
      </c>
      <c r="H2952" s="3" t="inlineStr">
        <is>
          <t>it_load_gw * ai_workload_share</t>
        </is>
      </c>
      <c r="I2952" s="3" t="inlineStr">
        <is>
          <t>Only the AI-attributed portion of IT load enters training/inference allocation.</t>
        </is>
      </c>
      <c r="J2952" s="3" t="inlineStr">
        <is>
          <t>SRC_QWEN3_GITHUB; SRC_ALIBABA_QWEN_GPU_DEPLOY; SRC_EPOCH_AI_DATA_CENTERS</t>
        </is>
      </c>
      <c r="K2952" s="3" t="inlineStr">
        <is>
          <t>ASSUMP_MOE_EFFICIENCY; ASSUMP_CN_CAPACITY_TRANSPARENCY; ASSUMP_NUMERIC_ACCELERATOR_MIX; ASSUMP_INFERENCE_SHARE_NOT_FACT_60; ASSUMP_WORKLOAD_CLASS_MIX; ASSUMP_AGENTIC_CONTEXT_PENALTY</t>
        </is>
      </c>
      <c r="L2952" s="3" t="inlineStr">
        <is>
          <t>Recompute after ai_workload_share is replaced by telemetry.</t>
        </is>
      </c>
    </row>
    <row r="2953">
      <c r="A2953" s="3" t="inlineStr">
        <is>
          <t>Alibaba</t>
        </is>
      </c>
      <c r="B2953" s="3" t="n">
        <v>2029</v>
      </c>
      <c r="C2953" s="3" t="inlineStr">
        <is>
          <t>Bull</t>
        </is>
      </c>
      <c r="D2953" s="3" t="inlineStr">
        <is>
          <t>gpu_share</t>
        </is>
      </c>
      <c r="E2953" s="3" t="n">
        <v>1</v>
      </c>
      <c r="F2953" s="3" t="inlineStr">
        <is>
          <t>share of inference-serving accelerator load</t>
        </is>
      </c>
      <c r="G2953" s="3" t="inlineStr">
        <is>
          <t>Numeric scenario</t>
        </is>
      </c>
      <c r="H2953" s="3" t="inlineStr">
        <is>
          <t>gpu_share interpolated from company 2026/2030 accelerator-mix endpoints</t>
        </is>
      </c>
      <c r="I2953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53" s="3" t="inlineStr">
        <is>
          <t>SRC_QWEN3_GITHUB; SRC_ALIBABA_QWEN_GPU_DEPLOY; SRC_EPOCH_AI_DATA_CENTERS; ASSUMP_NUMERIC_ACCELERATOR_MIX</t>
        </is>
      </c>
      <c r="K2953" s="3" t="inlineStr">
        <is>
          <t>ASSUMP_MOE_EFFICIENCY; ASSUMP_CN_CAPACITY_TRANSPARENCY; ASSUMP_NUMERIC_ACCELERATOR_MIX; ASSUMP_INFERENCE_SHARE_NOT_FACT_60; ASSUMP_WORKLOAD_CLASS_MIX; ASSUMP_AGENTIC_CONTEXT_PENALTY</t>
        </is>
      </c>
      <c r="L2953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54">
      <c r="A2954" s="3" t="inlineStr">
        <is>
          <t>Alibaba</t>
        </is>
      </c>
      <c r="B2954" s="3" t="n">
        <v>2029</v>
      </c>
      <c r="C2954" s="3" t="inlineStr">
        <is>
          <t>Bull</t>
        </is>
      </c>
      <c r="D2954" s="3" t="inlineStr">
        <is>
          <t>h200_share</t>
        </is>
      </c>
      <c r="E2954" s="3" t="n">
        <v>1</v>
      </c>
      <c r="F2954" s="3" t="inlineStr">
        <is>
          <t>share of inference-serving accelerator load</t>
        </is>
      </c>
      <c r="G2954" s="3" t="inlineStr">
        <is>
          <t>Editable numeric scenario</t>
        </is>
      </c>
      <c r="H2954" s="3" t="inlineStr">
        <is>
          <t>h200_share = gpu_share * default_gpu_generation_mix_h200</t>
        </is>
      </c>
      <c r="I2954" s="3" t="inlineStr">
        <is>
          <t>Default GPU-generation migration assumption; executive workbook allows later manual replacement by company/year/scenario.</t>
        </is>
      </c>
      <c r="J2954" s="3" t="inlineStr">
        <is>
          <t>SRC_SEMIANALYSIS_INFERENCEX; ASSUMP_NUMERIC_ACCELERATOR_MIX</t>
        </is>
      </c>
      <c r="K2954" s="3" t="inlineStr">
        <is>
          <t>ASSUMP_MOE_EFFICIENCY; ASSUMP_CN_CAPACITY_TRANSPARENCY; ASSUMP_NUMERIC_ACCELERATOR_MIX; ASSUMP_INFERENCE_SHARE_NOT_FACT_60; ASSUMP_WORKLOAD_CLASS_MIX; ASSUMP_AGENTIC_CONTEXT_PENALTY</t>
        </is>
      </c>
      <c r="L2954" s="3" t="inlineStr">
        <is>
          <t>Company fleet inventory, accelerator-hours or procurement/deployment records by GPU generation.</t>
        </is>
      </c>
    </row>
    <row r="2955">
      <c r="A2955" s="3" t="inlineStr">
        <is>
          <t>Alibaba</t>
        </is>
      </c>
      <c r="B2955" s="3" t="n">
        <v>2029</v>
      </c>
      <c r="C2955" s="3" t="inlineStr">
        <is>
          <t>Bull</t>
        </is>
      </c>
      <c r="D2955" s="3" t="inlineStr">
        <is>
          <t>b200_share</t>
        </is>
      </c>
      <c r="E2955" s="3" t="n">
        <v>0</v>
      </c>
      <c r="F2955" s="3" t="inlineStr">
        <is>
          <t>share of inference-serving accelerator load</t>
        </is>
      </c>
      <c r="G2955" s="3" t="inlineStr">
        <is>
          <t>Editable numeric scenario</t>
        </is>
      </c>
      <c r="H2955" s="3" t="inlineStr">
        <is>
          <t>b200_share = gpu_share * default_gpu_generation_mix_b200</t>
        </is>
      </c>
      <c r="I2955" s="3" t="inlineStr">
        <is>
          <t>Default GPU-generation migration assumption; executive workbook allows later manual replacement by company/year/scenario.</t>
        </is>
      </c>
      <c r="J2955" s="3" t="inlineStr">
        <is>
          <t>SRC_SEMIANALYSIS_INFERENCEX; ASSUMP_NUMERIC_ACCELERATOR_MIX</t>
        </is>
      </c>
      <c r="K2955" s="3" t="inlineStr">
        <is>
          <t>ASSUMP_MOE_EFFICIENCY; ASSUMP_CN_CAPACITY_TRANSPARENCY; ASSUMP_NUMERIC_ACCELERATOR_MIX; ASSUMP_INFERENCE_SHARE_NOT_FACT_60; ASSUMP_WORKLOAD_CLASS_MIX; ASSUMP_AGENTIC_CONTEXT_PENALTY</t>
        </is>
      </c>
      <c r="L2955" s="3" t="inlineStr">
        <is>
          <t>Company fleet inventory, accelerator-hours or procurement/deployment records by GPU generation.</t>
        </is>
      </c>
    </row>
    <row r="2956">
      <c r="A2956" s="3" t="inlineStr">
        <is>
          <t>Alibaba</t>
        </is>
      </c>
      <c r="B2956" s="3" t="n">
        <v>2029</v>
      </c>
      <c r="C2956" s="3" t="inlineStr">
        <is>
          <t>Bull</t>
        </is>
      </c>
      <c r="D2956" s="3" t="inlineStr">
        <is>
          <t>gb200_share</t>
        </is>
      </c>
      <c r="E2956" s="3" t="n">
        <v>0</v>
      </c>
      <c r="F2956" s="3" t="inlineStr">
        <is>
          <t>share of inference-serving accelerator load</t>
        </is>
      </c>
      <c r="G2956" s="3" t="inlineStr">
        <is>
          <t>Editable numeric scenario</t>
        </is>
      </c>
      <c r="H2956" s="3" t="inlineStr">
        <is>
          <t>gb200_share = gpu_share * default_gpu_generation_mix_gb200</t>
        </is>
      </c>
      <c r="I2956" s="3" t="inlineStr">
        <is>
          <t>Default GPU-generation migration assumption; executive workbook allows later manual replacement by company/year/scenario.</t>
        </is>
      </c>
      <c r="J2956" s="3" t="inlineStr">
        <is>
          <t>SRC_SEMIANALYSIS_INFERENCEX; ASSUMP_NUMERIC_ACCELERATOR_MIX</t>
        </is>
      </c>
      <c r="K2956" s="3" t="inlineStr">
        <is>
          <t>ASSUMP_MOE_EFFICIENCY; ASSUMP_CN_CAPACITY_TRANSPARENCY; ASSUMP_NUMERIC_ACCELERATOR_MIX; ASSUMP_INFERENCE_SHARE_NOT_FACT_60; ASSUMP_WORKLOAD_CLASS_MIX; ASSUMP_AGENTIC_CONTEXT_PENALTY</t>
        </is>
      </c>
      <c r="L2956" s="3" t="inlineStr">
        <is>
          <t>Company fleet inventory, accelerator-hours or procurement/deployment records by GPU generation.</t>
        </is>
      </c>
    </row>
    <row r="2957">
      <c r="A2957" s="3" t="inlineStr">
        <is>
          <t>Alibaba</t>
        </is>
      </c>
      <c r="B2957" s="3" t="n">
        <v>2029</v>
      </c>
      <c r="C2957" s="3" t="inlineStr">
        <is>
          <t>Bull</t>
        </is>
      </c>
      <c r="D2957" s="3" t="inlineStr">
        <is>
          <t>purpose_built_accelerator_share</t>
        </is>
      </c>
      <c r="E2957" s="3" t="n">
        <v>0</v>
      </c>
      <c r="F2957" s="3" t="inlineStr">
        <is>
          <t>share of inference-serving accelerator load</t>
        </is>
      </c>
      <c r="G2957" s="3" t="inlineStr">
        <is>
          <t>Numeric scenario</t>
        </is>
      </c>
      <c r="H2957" s="3" t="inlineStr">
        <is>
          <t>1 - gpu_share</t>
        </is>
      </c>
      <c r="I2957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57" s="3" t="inlineStr">
        <is>
          <t>SRC_QWEN3_GITHUB; SRC_ALIBABA_QWEN_GPU_DEPLOY; SRC_EPOCH_AI_DATA_CENTERS; ASSUMP_NUMERIC_ACCELERATOR_MIX</t>
        </is>
      </c>
      <c r="K2957" s="3" t="inlineStr">
        <is>
          <t>ASSUMP_MOE_EFFICIENCY; ASSUMP_CN_CAPACITY_TRANSPARENCY; ASSUMP_NUMERIC_ACCELERATOR_MIX; ASSUMP_INFERENCE_SHARE_NOT_FACT_60; ASSUMP_WORKLOAD_CLASS_MIX; ASSUMP_AGENTIC_CONTEXT_PENALTY</t>
        </is>
      </c>
      <c r="L2957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58">
      <c r="A2958" s="3" t="inlineStr">
        <is>
          <t>Alibaba</t>
        </is>
      </c>
      <c r="B2958" s="3" t="n">
        <v>2029</v>
      </c>
      <c r="C2958" s="3" t="inlineStr">
        <is>
          <t>Bull</t>
        </is>
      </c>
      <c r="D2958" s="3" t="inlineStr">
        <is>
          <t>fleet_reference_tps_per_mw</t>
        </is>
      </c>
      <c r="E2958" s="3" t="n">
        <v>166591</v>
      </c>
      <c r="F2958" s="3" t="inlineStr">
        <is>
          <t>generated output tokens/sec/MW</t>
        </is>
      </c>
      <c r="G2958" s="3" t="inlineStr">
        <is>
          <t>Fleet-weighted public benchmark reference</t>
        </is>
      </c>
      <c r="H2958" s="3" t="inlineStr">
        <is>
          <t>h200_share*h200_workload_avg + b200_share*b200_workload_avg + gb200_share*gb200_workload_avg + purpose_built_share*purpose_workload_avg</t>
        </is>
      </c>
      <c r="I2958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58" s="3" t="inlineStr">
        <is>
          <t>SRC_SEMIANALYSIS_INFERENCEX; ASSUMP_NUMERIC_ACCELERATOR_MIX; ASSUMP_WORKLOAD_CLASS_MIX; ASSUMP_AGENTIC_CONTEXT_PENALTY</t>
        </is>
      </c>
      <c r="K2958" s="3" t="inlineStr">
        <is>
          <t>ASSUMP_MOE_EFFICIENCY; ASSUMP_CN_CAPACITY_TRANSPARENCY; ASSUMP_NUMERIC_ACCELERATOR_MIX; ASSUMP_INFERENCE_SHARE_NOT_FACT_60; ASSUMP_WORKLOAD_CLASS_MIX; ASSUMP_AGENTIC_CONTEXT_PENALTY</t>
        </is>
      </c>
      <c r="L2958" s="3" t="inlineStr">
        <is>
          <t>Comparable production output-token throughput or a more closely matched benchmark.</t>
        </is>
      </c>
    </row>
    <row r="2959">
      <c r="A2959" s="3" t="inlineStr">
        <is>
          <t>Alibaba</t>
        </is>
      </c>
      <c r="B2959" s="3" t="n">
        <v>2029</v>
      </c>
      <c r="C2959" s="3" t="inlineStr">
        <is>
          <t>Bull</t>
        </is>
      </c>
      <c r="D2959" s="3" t="inlineStr">
        <is>
          <t>commercial_workload_fit_factor</t>
        </is>
      </c>
      <c r="E2959" s="3" t="n">
        <v>1</v>
      </c>
      <c r="F2959" s="3" t="inlineStr">
        <is>
          <t>share of public reference throughput</t>
        </is>
      </c>
      <c r="G2959" s="3" t="inlineStr">
        <is>
          <t>Scenario assumption</t>
        </is>
      </c>
      <c r="H2959" s="3" t="inlineStr">
        <is>
          <t>reference_serving_tps_per_mw = fleet_reference_tps_per_mw * commercial_workload_fit_factor</t>
        </is>
      </c>
      <c r="I2959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59" s="3" t="inlineStr">
        <is>
          <t>SRC_SEMIANALYSIS_INFERENCEX; ASSUMP_NUMERIC_ACCELERATOR_MIX; ASSUMP_WORKLOAD_CLASS_MIX; ASSUMP_AGENTIC_CONTEXT_PENALTY</t>
        </is>
      </c>
      <c r="K2959" s="3" t="inlineStr">
        <is>
          <t>ASSUMP_MOE_EFFICIENCY; ASSUMP_CN_CAPACITY_TRANSPARENCY; ASSUMP_NUMERIC_ACCELERATOR_MIX; ASSUMP_INFERENCE_SHARE_NOT_FACT_60; ASSUMP_WORKLOAD_CLASS_MIX; ASSUMP_AGENTIC_CONTEXT_PENALTY</t>
        </is>
      </c>
      <c r="L2959" s="3" t="inlineStr">
        <is>
          <t>Matched commercial serving benchmark by product surface, context shape and latency SLO.</t>
        </is>
      </c>
    </row>
    <row r="2960">
      <c r="A2960" s="3" t="inlineStr">
        <is>
          <t>Alibaba</t>
        </is>
      </c>
      <c r="B2960" s="3" t="n">
        <v>2029</v>
      </c>
      <c r="C2960" s="3" t="inlineStr">
        <is>
          <t>Bull</t>
        </is>
      </c>
      <c r="D2960" s="3" t="inlineStr">
        <is>
          <t>reference_serving_tps_per_mw</t>
        </is>
      </c>
      <c r="E2960" s="3" t="n">
        <v>166591</v>
      </c>
      <c r="F2960" s="3" t="inlineStr">
        <is>
          <t>generated output tokens/sec/MW</t>
        </is>
      </c>
      <c r="G2960" s="3" t="inlineStr">
        <is>
          <t>Workload-adjusted benchmark proxy</t>
        </is>
      </c>
      <c r="H2960" s="3" t="inlineStr">
        <is>
          <t>fleet_reference_tps_per_mw * commercial_workload_fit_factor</t>
        </is>
      </c>
      <c r="I2960" s="3" t="inlineStr">
        <is>
          <t>This is the coefficient used for headline token generation; each GPU's short chat, long chat and agentic TPS/MW are weighted before fleet mix and commercial fit are applied.</t>
        </is>
      </c>
      <c r="J2960" s="3" t="inlineStr">
        <is>
          <t>SRC_SEMIANALYSIS_INFERENCEX; ASSUMP_NUMERIC_ACCELERATOR_MIX; ASSUMP_WORKLOAD_CLASS_MIX; ASSUMP_AGENTIC_CONTEXT_PENALTY</t>
        </is>
      </c>
      <c r="K2960" s="3" t="inlineStr">
        <is>
          <t>ASSUMP_MOE_EFFICIENCY; ASSUMP_CN_CAPACITY_TRANSPARENCY; ASSUMP_NUMERIC_ACCELERATOR_MIX; ASSUMP_INFERENCE_SHARE_NOT_FACT_60; ASSUMP_WORKLOAD_CLASS_MIX; ASSUMP_AGENTIC_CONTEXT_PENALTY</t>
        </is>
      </c>
      <c r="L2960" s="3" t="inlineStr">
        <is>
          <t>Provider production output-token throughput with comparable workload/SLO.</t>
        </is>
      </c>
    </row>
    <row r="2961">
      <c r="A2961" s="3" t="inlineStr">
        <is>
          <t>Alibaba</t>
        </is>
      </c>
      <c r="B2961" s="3" t="n">
        <v>2029</v>
      </c>
      <c r="C2961" s="3" t="inlineStr">
        <is>
          <t>Bull</t>
        </is>
      </c>
      <c r="D2961" s="3" t="inlineStr">
        <is>
          <t>purpose_built_tps_per_mw</t>
        </is>
      </c>
      <c r="E2961" s="3" t="n">
        <v>1106733</v>
      </c>
      <c r="F2961" s="3" t="inlineStr">
        <is>
          <t>generated output tokens/sec/MW</t>
        </is>
      </c>
      <c r="G2961" s="3" t="inlineStr">
        <is>
          <t>Conservative no-uplift proxy</t>
        </is>
      </c>
      <c r="H2961" s="3" t="inlineStr">
        <is>
          <t>purpose_built_tps_per_mw = purpose_built_reference_tps_per_mw * commercial_workload_fit_factor until comparable output-token benchmark is adopted</t>
        </is>
      </c>
      <c r="I2961" s="3" t="inlineStr">
        <is>
          <t>No comparable public output-token/MW row adopted; B200 public reference placeholder is used and remains editable.</t>
        </is>
      </c>
      <c r="J2961" s="3" t="inlineStr">
        <is>
          <t>SRC_QWEN3_GITHUB; SRC_ALIBABA_QWEN_GPU_DEPLOY; SRC_EPOCH_AI_DATA_CENTERS; ASSUMP_NUMERIC_ACCELERATOR_MIX</t>
        </is>
      </c>
      <c r="K2961" s="3" t="inlineStr">
        <is>
          <t>ASSUMP_MOE_EFFICIENCY; ASSUMP_CN_CAPACITY_TRANSPARENCY; ASSUMP_NUMERIC_ACCELERATOR_MIX; ASSUMP_INFERENCE_SHARE_NOT_FACT_60; ASSUMP_WORKLOAD_CLASS_MIX; ASSUMP_AGENTIC_CONTEXT_PENALTY</t>
        </is>
      </c>
      <c r="L2961" s="3" t="inlineStr">
        <is>
          <t>Matched-workload generated-output benchmark for the provider purpose-built accelerator.</t>
        </is>
      </c>
    </row>
    <row r="2962">
      <c r="A2962" s="3" t="inlineStr">
        <is>
          <t>Alibaba</t>
        </is>
      </c>
      <c r="B2962" s="3" t="n">
        <v>2029</v>
      </c>
      <c r="C2962" s="3" t="inlineStr">
        <is>
          <t>Bull</t>
        </is>
      </c>
      <c r="D2962" s="3" t="inlineStr">
        <is>
          <t>inference_power_share</t>
        </is>
      </c>
      <c r="E2962" s="3" t="n">
        <v>0.823</v>
      </c>
      <c r="F2962" s="3" t="inlineStr">
        <is>
          <t>share of AI IT load</t>
        </is>
      </c>
      <c r="G2962" s="3" t="inlineStr">
        <is>
          <t>Scenario allocation</t>
        </is>
      </c>
      <c r="H2962" s="3" t="inlineStr">
        <is>
          <t>inference_gw = ai_it_load_gw * inference_power_share</t>
        </is>
      </c>
      <c r="I2962" s="3" t="inlineStr">
        <is>
          <t>Qwen API/enterprise commercialization and MoE architecture support increasing inference allocation scenario.</t>
        </is>
      </c>
      <c r="J2962" s="3" t="inlineStr">
        <is>
          <t>SRC_QWEN3_GITHUB; SRC_ALIBABA_QWEN_GPU_DEPLOY; SRC_EPOCH_AI_DATA_CENTERS; ASSUMP_INFERENCE_SHARE_NOT_FACT_60</t>
        </is>
      </c>
      <c r="K2962" s="3" t="inlineStr">
        <is>
          <t>ASSUMP_MOE_EFFICIENCY; ASSUMP_CN_CAPACITY_TRANSPARENCY; ASSUMP_NUMERIC_ACCELERATOR_MIX; ASSUMP_INFERENCE_SHARE_NOT_FACT_60; ASSUMP_WORKLOAD_CLASS_MIX; ASSUMP_AGENTIC_CONTEXT_PENALTY</t>
        </is>
      </c>
      <c r="L2962" s="3" t="inlineStr">
        <is>
          <t>Provider-specific inference/training workload power telemetry.</t>
        </is>
      </c>
    </row>
    <row r="2963">
      <c r="A2963" s="3" t="inlineStr">
        <is>
          <t>Alibaba</t>
        </is>
      </c>
      <c r="B2963" s="3" t="n">
        <v>2029</v>
      </c>
      <c r="C2963" s="3" t="inlineStr">
        <is>
          <t>Bull</t>
        </is>
      </c>
      <c r="D2963" s="3" t="inlineStr">
        <is>
          <t>inference_gw</t>
        </is>
      </c>
      <c r="E2963" s="3" t="n">
        <v>1.652</v>
      </c>
      <c r="F2963" s="3" t="inlineStr">
        <is>
          <t>GW</t>
        </is>
      </c>
      <c r="G2963" s="3" t="inlineStr">
        <is>
          <t>Derived formula</t>
        </is>
      </c>
      <c r="H2963" s="3" t="inlineStr">
        <is>
          <t>ai_it_load_gw * inference_power_share</t>
        </is>
      </c>
      <c r="I2963" s="3" t="inlineStr">
        <is>
          <t>This is the operational power eligible to become commercial generated output tokens through the selected TPS/MW proxy.</t>
        </is>
      </c>
      <c r="J2963" s="3" t="inlineStr">
        <is>
          <t>SRC_QWEN3_GITHUB; SRC_ALIBABA_QWEN_GPU_DEPLOY; SRC_EPOCH_AI_DATA_CENTERS</t>
        </is>
      </c>
      <c r="K2963" s="3" t="inlineStr">
        <is>
          <t>ASSUMP_MOE_EFFICIENCY; ASSUMP_CN_CAPACITY_TRANSPARENCY; ASSUMP_NUMERIC_ACCELERATOR_MIX; ASSUMP_INFERENCE_SHARE_NOT_FACT_60; ASSUMP_WORKLOAD_CLASS_MIX; ASSUMP_AGENTIC_CONTEXT_PENALTY</t>
        </is>
      </c>
      <c r="L2963" s="3" t="inlineStr">
        <is>
          <t>Recompute after AI allocation or inference-share evidence changes.</t>
        </is>
      </c>
    </row>
    <row r="2964">
      <c r="A2964" s="3" t="inlineStr">
        <is>
          <t>Alibaba</t>
        </is>
      </c>
      <c r="B2964" s="3" t="n">
        <v>2029</v>
      </c>
      <c r="C2964" s="3" t="inlineStr">
        <is>
          <t>Bull</t>
        </is>
      </c>
      <c r="D2964" s="3" t="inlineStr">
        <is>
          <t>training_power_share</t>
        </is>
      </c>
      <c r="E2964" s="3" t="n">
        <v>0.177</v>
      </c>
      <c r="F2964" s="3" t="inlineStr">
        <is>
          <t>share of AI IT load</t>
        </is>
      </c>
      <c r="G2964" s="3" t="inlineStr">
        <is>
          <t>Derived allocation</t>
        </is>
      </c>
      <c r="H2964" s="3" t="inlineStr">
        <is>
          <t>1 - inference_power_share</t>
        </is>
      </c>
      <c r="I2964" s="3" t="inlineStr">
        <is>
          <t>Training receives the complementary modeled AI IT allocation; it is not a disclosed company workload split.</t>
        </is>
      </c>
      <c r="J2964" s="3" t="inlineStr">
        <is>
          <t>SRC_QWEN3_GITHUB; SRC_ALIBABA_QWEN_GPU_DEPLOY; SRC_EPOCH_AI_DATA_CENTERS; ASSUMP_INFERENCE_SHARE_NOT_FACT_60</t>
        </is>
      </c>
      <c r="K2964" s="3" t="inlineStr">
        <is>
          <t>ASSUMP_MOE_EFFICIENCY; ASSUMP_CN_CAPACITY_TRANSPARENCY; ASSUMP_NUMERIC_ACCELERATOR_MIX; ASSUMP_INFERENCE_SHARE_NOT_FACT_60; ASSUMP_WORKLOAD_CLASS_MIX; ASSUMP_AGENTIC_CONTEXT_PENALTY</t>
        </is>
      </c>
      <c r="L2964" s="3" t="inlineStr">
        <is>
          <t>Provider-specific inference/training workload power telemetry.</t>
        </is>
      </c>
    </row>
    <row r="2965">
      <c r="A2965" s="3" t="inlineStr">
        <is>
          <t>Alibaba</t>
        </is>
      </c>
      <c r="B2965" s="3" t="n">
        <v>2029</v>
      </c>
      <c r="C2965" s="3" t="inlineStr">
        <is>
          <t>Bull</t>
        </is>
      </c>
      <c r="D2965" s="3" t="inlineStr">
        <is>
          <t>training_gw</t>
        </is>
      </c>
      <c r="E2965" s="3" t="n">
        <v>0.356</v>
      </c>
      <c r="F2965" s="3" t="inlineStr">
        <is>
          <t>GW</t>
        </is>
      </c>
      <c r="G2965" s="3" t="inlineStr">
        <is>
          <t>Derived formula</t>
        </is>
      </c>
      <c r="H2965" s="3" t="inlineStr">
        <is>
          <t>ai_it_load_gw * training_power_share</t>
        </is>
      </c>
      <c r="I2965" s="3" t="inlineStr">
        <is>
          <t>Training GW is shown separately so commercial inference token capacity is not overstated.</t>
        </is>
      </c>
      <c r="J2965" s="3" t="inlineStr">
        <is>
          <t>SRC_QWEN3_GITHUB; SRC_ALIBABA_QWEN_GPU_DEPLOY; SRC_EPOCH_AI_DATA_CENTERS</t>
        </is>
      </c>
      <c r="K2965" s="3" t="inlineStr">
        <is>
          <t>ASSUMP_MOE_EFFICIENCY; ASSUMP_CN_CAPACITY_TRANSPARENCY; ASSUMP_NUMERIC_ACCELERATOR_MIX; ASSUMP_INFERENCE_SHARE_NOT_FACT_60; ASSUMP_WORKLOAD_CLASS_MIX; ASSUMP_AGENTIC_CONTEXT_PENALTY</t>
        </is>
      </c>
      <c r="L2965" s="3" t="inlineStr">
        <is>
          <t>Recompute after AI allocation or workload-split evidence changes.</t>
        </is>
      </c>
    </row>
    <row r="2966">
      <c r="A2966" s="3" t="inlineStr">
        <is>
          <t>Alibaba</t>
        </is>
      </c>
      <c r="B2966" s="3" t="n">
        <v>2029</v>
      </c>
      <c r="C2966" s="3" t="inlineStr">
        <is>
          <t>Bull</t>
        </is>
      </c>
      <c r="D2966" s="3" t="inlineStr">
        <is>
          <t>tokens_per_second_per_mw</t>
        </is>
      </c>
      <c r="E2966" s="3" t="n">
        <v>166591</v>
      </c>
      <c r="F2966" s="3" t="inlineStr">
        <is>
          <t>generated output tokens/sec/MW</t>
        </is>
      </c>
      <c r="G2966" s="3" t="inlineStr">
        <is>
          <t>Derived estimate + benchmark calibration</t>
        </is>
      </c>
      <c r="H2966" s="3" t="inlineStr">
        <is>
          <t>fleet_reference_tps_per_mw * commercial_workload_fit_factor</t>
        </is>
      </c>
      <c r="I2966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66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66" s="3" t="inlineStr">
        <is>
          <t>ASSUMP_MOE_EFFICIENCY; ASSUMP_CN_CAPACITY_TRANSPARENCY; ASSUMP_NUMERIC_ACCELERATOR_MIX; ASSUMP_INFERENCE_SHARE_NOT_FACT_60; ASSUMP_WORKLOAD_CLASS_MIX; ASSUMP_AGENTIC_CONTEXT_PENALTY</t>
        </is>
      </c>
      <c r="L2966" s="3" t="inlineStr">
        <is>
          <t>Comparable production output-token throughput with model, hardware, precision, ISL/OSL and SLO matched.</t>
        </is>
      </c>
    </row>
    <row r="2967">
      <c r="A2967" s="3" t="inlineStr">
        <is>
          <t>Alibaba</t>
        </is>
      </c>
      <c r="B2967" s="3" t="n">
        <v>2029</v>
      </c>
      <c r="C2967" s="3" t="inlineStr">
        <is>
          <t>Bull</t>
        </is>
      </c>
      <c r="D2967" s="3" t="inlineStr">
        <is>
          <t>inference_tokens_per_day</t>
        </is>
      </c>
      <c r="E2967" s="3" t="n">
        <v>23777999884800</v>
      </c>
      <c r="F2967" s="3" t="inlineStr">
        <is>
          <t>generated output tokens/day</t>
        </is>
      </c>
      <c r="G2967" s="3" t="inlineStr">
        <is>
          <t>Derived headline metric</t>
        </is>
      </c>
      <c r="H2967" s="3" t="inlineStr">
        <is>
          <t>inference_gw * 1000 * tokens_per_second_per_mw * 86,400</t>
        </is>
      </c>
      <c r="I2967" s="3" t="inlineStr">
        <is>
          <t>Headline capacity uses no utilization, MoE, architecture or software-growth multiplier; it is not observed commercial output volume.</t>
        </is>
      </c>
      <c r="J2967" s="3" t="inlineStr">
        <is>
          <t>SRC_QWEN3_GITHUB; SRC_ALIBABA_QWEN_GPU_DEPLOY; SRC_EPOCH_AI_DATA_CENTERS; SRC_SEMIANALYSIS_INFERENCEX</t>
        </is>
      </c>
      <c r="K2967" s="3" t="inlineStr">
        <is>
          <t>ASSUMP_MOE_EFFICIENCY; ASSUMP_CN_CAPACITY_TRANSPARENCY; ASSUMP_NUMERIC_ACCELERATOR_MIX; ASSUMP_INFERENCE_SHARE_NOT_FACT_60; ASSUMP_WORKLOAD_CLASS_MIX; ASSUMP_AGENTIC_CONTEXT_PENALTY</t>
        </is>
      </c>
      <c r="L2967" s="3" t="inlineStr">
        <is>
          <t>Provider-disclosed generated output token volume or calibrated capacity telemetry.</t>
        </is>
      </c>
    </row>
    <row r="2968">
      <c r="A2968" s="3" t="inlineStr">
        <is>
          <t>Alibaba</t>
        </is>
      </c>
      <c r="B2968" s="3" t="n">
        <v>2029</v>
      </c>
      <c r="C2968" s="3" t="inlineStr">
        <is>
          <t>Bull</t>
        </is>
      </c>
      <c r="D2968" s="3" t="inlineStr">
        <is>
          <t>inference_tokens_per_year</t>
        </is>
      </c>
      <c r="E2968" s="3" t="n">
        <v>8678969957952000</v>
      </c>
      <c r="F2968" s="3" t="inlineStr">
        <is>
          <t>generated output tokens/year</t>
        </is>
      </c>
      <c r="G2968" s="3" t="inlineStr">
        <is>
          <t>Derived headline metric</t>
        </is>
      </c>
      <c r="H2968" s="3" t="inlineStr">
        <is>
          <t>inference_tokens_per_day * 365</t>
        </is>
      </c>
      <c r="I2968" s="3" t="inlineStr">
        <is>
          <t>Annualized version of generated output token capacity; it is not observed annual demand or billable volume.</t>
        </is>
      </c>
      <c r="J2968" s="3" t="inlineStr">
        <is>
          <t>SRC_QWEN3_GITHUB; SRC_ALIBABA_QWEN_GPU_DEPLOY; SRC_EPOCH_AI_DATA_CENTERS; SRC_SEMIANALYSIS_INFERENCEX</t>
        </is>
      </c>
      <c r="K2968" s="3" t="inlineStr">
        <is>
          <t>ASSUMP_MOE_EFFICIENCY; ASSUMP_CN_CAPACITY_TRANSPARENCY; ASSUMP_NUMERIC_ACCELERATOR_MIX; ASSUMP_INFERENCE_SHARE_NOT_FACT_60; ASSUMP_WORKLOAD_CLASS_MIX; ASSUMP_AGENTIC_CONTEXT_PENALTY</t>
        </is>
      </c>
      <c r="L2968" s="3" t="inlineStr">
        <is>
          <t>Provider-disclosed annual generated-output volume or metered serving telemetry.</t>
        </is>
      </c>
    </row>
    <row r="2969">
      <c r="A2969" s="3" t="inlineStr">
        <is>
          <t>Alibaba</t>
        </is>
      </c>
      <c r="B2969" s="3" t="n">
        <v>2030</v>
      </c>
      <c r="C2969" s="3" t="inlineStr">
        <is>
          <t>Bull</t>
        </is>
      </c>
      <c r="D2969" s="3" t="inlineStr">
        <is>
          <t>contracted_power_gw</t>
        </is>
      </c>
      <c r="E2969" s="3" t="n">
        <v>4</v>
      </c>
      <c r="F2969" s="3" t="inlineStr">
        <is>
          <t>GW</t>
        </is>
      </c>
      <c r="G2969" s="3" t="inlineStr">
        <is>
          <t>Scenario capacity envelope</t>
        </is>
      </c>
      <c r="H2969" s="3" t="inlineStr">
        <is>
          <t>linear interpolation between 2026 and 2030 company capacity endpoints</t>
        </is>
      </c>
      <c r="I2969" s="3" t="inlineStr">
        <is>
          <t>Alibaba Cloud/Qwen capacity is a scenario envelope; official model and deployment documentation does not state operated GW.</t>
        </is>
      </c>
      <c r="J2969" s="3" t="inlineStr">
        <is>
          <t>SRC_ALIBABA_QWEN_GPU_DEPLOY; ASSUMP_CN_CAPACITY_TRANSPARENCY</t>
        </is>
      </c>
      <c r="K2969" s="3" t="inlineStr">
        <is>
          <t>ASSUMP_MOE_EFFICIENCY; ASSUMP_CN_CAPACITY_TRANSPARENCY; ASSUMP_NUMERIC_ACCELERATOR_MIX; ASSUMP_INFERENCE_SHARE_NOT_FACT_60; ASSUMP_WORKLOAD_CLASS_MIX; ASSUMP_AGENTIC_CONTEXT_PENALTY</t>
        </is>
      </c>
      <c r="L2969" s="3" t="inlineStr">
        <is>
          <t>Company/site-level committed MW/GW, interconnect and contract disclosure.</t>
        </is>
      </c>
    </row>
    <row r="2970">
      <c r="A2970" s="3" t="inlineStr">
        <is>
          <t>Alibaba</t>
        </is>
      </c>
      <c r="B2970" s="3" t="n">
        <v>2030</v>
      </c>
      <c r="C2970" s="3" t="inlineStr">
        <is>
          <t>Bull</t>
        </is>
      </c>
      <c r="D2970" s="3" t="inlineStr">
        <is>
          <t>operational_deployment_share</t>
        </is>
      </c>
      <c r="E2970" s="3" t="n">
        <v>0.944</v>
      </c>
      <c r="F2970" s="3" t="inlineStr">
        <is>
          <t>share</t>
        </is>
      </c>
      <c r="G2970" s="3" t="inlineStr">
        <is>
          <t>Scenario conversion</t>
        </is>
      </c>
      <c r="H2970" s="3" t="inlineStr">
        <is>
          <t>active_power_gw / contracted_power_gw</t>
        </is>
      </c>
      <c r="I2970" s="3" t="inlineStr">
        <is>
          <t>This is the single explicit conversion from contracted/attributed capacity to operationally usable capacity.</t>
        </is>
      </c>
      <c r="J2970" s="3" t="inlineStr">
        <is>
          <t>SRC_ALIBABA_QWEN_GPU_DEPLOY; ASSUMP_CN_CAPACITY_TRANSPARENCY</t>
        </is>
      </c>
      <c r="K2970" s="3" t="inlineStr">
        <is>
          <t>ASSUMP_MOE_EFFICIENCY; ASSUMP_CN_CAPACITY_TRANSPARENCY; ASSUMP_NUMERIC_ACCELERATOR_MIX; ASSUMP_INFERENCE_SHARE_NOT_FACT_60; ASSUMP_WORKLOAD_CLASS_MIX; ASSUMP_AGENTIC_CONTEXT_PENALTY</t>
        </is>
      </c>
      <c r="L2970" s="3" t="inlineStr">
        <is>
          <t>Energized operational capacity divided by contracted/attributed capacity.</t>
        </is>
      </c>
    </row>
    <row r="2971">
      <c r="A2971" s="3" t="inlineStr">
        <is>
          <t>Alibaba</t>
        </is>
      </c>
      <c r="B2971" s="3" t="n">
        <v>2030</v>
      </c>
      <c r="C2971" s="3" t="inlineStr">
        <is>
          <t>Bull</t>
        </is>
      </c>
      <c r="D2971" s="3" t="inlineStr">
        <is>
          <t>active_power_gw</t>
        </is>
      </c>
      <c r="E2971" s="3" t="n">
        <v>3.776</v>
      </c>
      <c r="F2971" s="3" t="inlineStr">
        <is>
          <t>GW</t>
        </is>
      </c>
      <c r="G2971" s="3" t="inlineStr">
        <is>
          <t>Derived scenario</t>
        </is>
      </c>
      <c r="H2971" s="3" t="inlineStr">
        <is>
          <t>contracted_power_gw * operational_deployment_share</t>
        </is>
      </c>
      <c r="I2971" s="3" t="inlineStr">
        <is>
          <t>Active GW is staged below capacity due to undisclosed accelerator allocation and cloud multi-tenant use.</t>
        </is>
      </c>
      <c r="J2971" s="3" t="inlineStr">
        <is>
          <t>SRC_ALIBABA_QWEN_GPU_DEPLOY; ASSUMP_CN_CAPACITY_TRANSPARENCY</t>
        </is>
      </c>
      <c r="K2971" s="3" t="inlineStr">
        <is>
          <t>ASSUMP_MOE_EFFICIENCY; ASSUMP_CN_CAPACITY_TRANSPARENCY; ASSUMP_NUMERIC_ACCELERATOR_MIX; ASSUMP_INFERENCE_SHARE_NOT_FACT_60; ASSUMP_WORKLOAD_CLASS_MIX; ASSUMP_AGENTIC_CONTEXT_PENALTY</t>
        </is>
      </c>
      <c r="L2971" s="3" t="inlineStr">
        <is>
          <t>Energization dates, accelerator deliveries and operational powered-rack telemetry.</t>
        </is>
      </c>
    </row>
    <row r="2972">
      <c r="A2972" s="3" t="inlineStr">
        <is>
          <t>Alibaba</t>
        </is>
      </c>
      <c r="B2972" s="3" t="n">
        <v>2030</v>
      </c>
      <c r="C2972" s="3" t="inlineStr">
        <is>
          <t>Bull</t>
        </is>
      </c>
      <c r="D2972" s="3" t="inlineStr">
        <is>
          <t>pue</t>
        </is>
      </c>
      <c r="E2972" s="3" t="n">
        <v>1.23</v>
      </c>
      <c r="F2972" s="3" t="inlineStr">
        <is>
          <t>ratio</t>
        </is>
      </c>
      <c r="G2972" s="3" t="inlineStr">
        <is>
          <t>Scenario parameter</t>
        </is>
      </c>
      <c r="H2972" s="3" t="inlineStr">
        <is>
          <t>it_load_gw = active_power_gw / pue</t>
        </is>
      </c>
      <c r="I2972" s="3" t="inlineStr">
        <is>
          <t>No provider-wide site-level PUE is used as a disclosed fact; PUE represents facility-to-IT conversion within the scenario.</t>
        </is>
      </c>
      <c r="J2972" s="3" t="inlineStr">
        <is>
          <t>ASSUMP_POWER_RAMP</t>
        </is>
      </c>
      <c r="K2972" s="3" t="inlineStr">
        <is>
          <t>ASSUMP_MOE_EFFICIENCY; ASSUMP_CN_CAPACITY_TRANSPARENCY; ASSUMP_NUMERIC_ACCELERATOR_MIX; ASSUMP_INFERENCE_SHARE_NOT_FACT_60; ASSUMP_WORKLOAD_CLASS_MIX; ASSUMP_AGENTIC_CONTEXT_PENALTY</t>
        </is>
      </c>
      <c r="L2972" s="3" t="inlineStr">
        <is>
          <t>Site-level measured PUE matched to attributed AI capacity.</t>
        </is>
      </c>
    </row>
    <row r="2973">
      <c r="A2973" s="3" t="inlineStr">
        <is>
          <t>Alibaba</t>
        </is>
      </c>
      <c r="B2973" s="3" t="n">
        <v>2030</v>
      </c>
      <c r="C2973" s="3" t="inlineStr">
        <is>
          <t>Bull</t>
        </is>
      </c>
      <c r="D2973" s="3" t="inlineStr">
        <is>
          <t>it_load_gw</t>
        </is>
      </c>
      <c r="E2973" s="3" t="n">
        <v>3.07</v>
      </c>
      <c r="F2973" s="3" t="inlineStr">
        <is>
          <t>GW</t>
        </is>
      </c>
      <c r="G2973" s="3" t="inlineStr">
        <is>
          <t>Derived formula</t>
        </is>
      </c>
      <c r="H2973" s="3" t="inlineStr">
        <is>
          <t>active_power_gw / pue</t>
        </is>
      </c>
      <c r="I2973" s="3" t="inlineStr">
        <is>
          <t>Facility power is converted to IT-deliverable power before attributing AI workloads.</t>
        </is>
      </c>
      <c r="J2973" s="3" t="inlineStr">
        <is>
          <t>SRC_ALIBABA_QWEN_GPU_DEPLOY; ASSUMP_CN_CAPACITY_TRANSPARENCY</t>
        </is>
      </c>
      <c r="K2973" s="3" t="inlineStr">
        <is>
          <t>ASSUMP_MOE_EFFICIENCY; ASSUMP_CN_CAPACITY_TRANSPARENCY; ASSUMP_NUMERIC_ACCELERATOR_MIX; ASSUMP_INFERENCE_SHARE_NOT_FACT_60; ASSUMP_WORKLOAD_CLASS_MIX; ASSUMP_AGENTIC_CONTEXT_PENALTY</t>
        </is>
      </c>
      <c r="L2973" s="3" t="inlineStr">
        <is>
          <t>Recompute once active power and PUE become site-observable.</t>
        </is>
      </c>
    </row>
    <row r="2974">
      <c r="A2974" s="3" t="inlineStr">
        <is>
          <t>Alibaba</t>
        </is>
      </c>
      <c r="B2974" s="3" t="n">
        <v>2030</v>
      </c>
      <c r="C2974" s="3" t="inlineStr">
        <is>
          <t>Bull</t>
        </is>
      </c>
      <c r="D2974" s="3" t="inlineStr">
        <is>
          <t>ai_workload_share</t>
        </is>
      </c>
      <c r="E2974" s="3" t="n">
        <v>0.84</v>
      </c>
      <c r="F2974" s="3" t="inlineStr">
        <is>
          <t>share</t>
        </is>
      </c>
      <c r="G2974" s="3" t="inlineStr">
        <is>
          <t>Scenario allocation</t>
        </is>
      </c>
      <c r="H2974" s="3" t="inlineStr">
        <is>
          <t>ai_it_load_gw = it_load_gw * ai_workload_share</t>
        </is>
      </c>
      <c r="I2974" s="3" t="inlineStr">
        <is>
          <t>Model Studio/Qwen-serving envelope is AI-focused, while cloud platform/reserve allocation is excluded through 84%.</t>
        </is>
      </c>
      <c r="J2974" s="3" t="inlineStr">
        <is>
          <t>SRC_QWEN3_GITHUB; SRC_ALIBABA_QWEN_GPU_DEPLOY; SRC_EPOCH_AI_DATA_CENTERS</t>
        </is>
      </c>
      <c r="K2974" s="3" t="inlineStr">
        <is>
          <t>ASSUMP_MOE_EFFICIENCY; ASSUMP_CN_CAPACITY_TRANSPARENCY; ASSUMP_NUMERIC_ACCELERATOR_MIX; ASSUMP_INFERENCE_SHARE_NOT_FACT_60; ASSUMP_WORKLOAD_CLASS_MIX; ASSUMP_AGENTIC_CONTEXT_PENALTY</t>
        </is>
      </c>
      <c r="L2974" s="3" t="inlineStr">
        <is>
          <t>Model-owner AI workload allocation or cluster scheduling telemetry.</t>
        </is>
      </c>
    </row>
    <row r="2975">
      <c r="A2975" s="3" t="inlineStr">
        <is>
          <t>Alibaba</t>
        </is>
      </c>
      <c r="B2975" s="3" t="n">
        <v>2030</v>
      </c>
      <c r="C2975" s="3" t="inlineStr">
        <is>
          <t>Bull</t>
        </is>
      </c>
      <c r="D2975" s="3" t="inlineStr">
        <is>
          <t>ai_it_load_gw</t>
        </is>
      </c>
      <c r="E2975" s="3" t="n">
        <v>2.579</v>
      </c>
      <c r="F2975" s="3" t="inlineStr">
        <is>
          <t>GW</t>
        </is>
      </c>
      <c r="G2975" s="3" t="inlineStr">
        <is>
          <t>Derived formula</t>
        </is>
      </c>
      <c r="H2975" s="3" t="inlineStr">
        <is>
          <t>it_load_gw * ai_workload_share</t>
        </is>
      </c>
      <c r="I2975" s="3" t="inlineStr">
        <is>
          <t>Only the AI-attributed portion of IT load enters training/inference allocation.</t>
        </is>
      </c>
      <c r="J2975" s="3" t="inlineStr">
        <is>
          <t>SRC_QWEN3_GITHUB; SRC_ALIBABA_QWEN_GPU_DEPLOY; SRC_EPOCH_AI_DATA_CENTERS</t>
        </is>
      </c>
      <c r="K2975" s="3" t="inlineStr">
        <is>
          <t>ASSUMP_MOE_EFFICIENCY; ASSUMP_CN_CAPACITY_TRANSPARENCY; ASSUMP_NUMERIC_ACCELERATOR_MIX; ASSUMP_INFERENCE_SHARE_NOT_FACT_60; ASSUMP_WORKLOAD_CLASS_MIX; ASSUMP_AGENTIC_CONTEXT_PENALTY</t>
        </is>
      </c>
      <c r="L2975" s="3" t="inlineStr">
        <is>
          <t>Recompute after ai_workload_share is replaced by telemetry.</t>
        </is>
      </c>
    </row>
    <row r="2976">
      <c r="A2976" s="3" t="inlineStr">
        <is>
          <t>Alibaba</t>
        </is>
      </c>
      <c r="B2976" s="3" t="n">
        <v>2030</v>
      </c>
      <c r="C2976" s="3" t="inlineStr">
        <is>
          <t>Bull</t>
        </is>
      </c>
      <c r="D2976" s="3" t="inlineStr">
        <is>
          <t>gpu_share</t>
        </is>
      </c>
      <c r="E2976" s="3" t="n">
        <v>1</v>
      </c>
      <c r="F2976" s="3" t="inlineStr">
        <is>
          <t>share of inference-serving accelerator load</t>
        </is>
      </c>
      <c r="G2976" s="3" t="inlineStr">
        <is>
          <t>Numeric scenario</t>
        </is>
      </c>
      <c r="H2976" s="3" t="inlineStr">
        <is>
          <t>gpu_share interpolated from company 2026/2030 accelerator-mix endpoints</t>
        </is>
      </c>
      <c r="I2976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76" s="3" t="inlineStr">
        <is>
          <t>SRC_QWEN3_GITHUB; SRC_ALIBABA_QWEN_GPU_DEPLOY; SRC_EPOCH_AI_DATA_CENTERS; ASSUMP_NUMERIC_ACCELERATOR_MIX</t>
        </is>
      </c>
      <c r="K2976" s="3" t="inlineStr">
        <is>
          <t>ASSUMP_MOE_EFFICIENCY; ASSUMP_CN_CAPACITY_TRANSPARENCY; ASSUMP_NUMERIC_ACCELERATOR_MIX; ASSUMP_INFERENCE_SHARE_NOT_FACT_60; ASSUMP_WORKLOAD_CLASS_MIX; ASSUMP_AGENTIC_CONTEXT_PENALTY</t>
        </is>
      </c>
      <c r="L2976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77">
      <c r="A2977" s="3" t="inlineStr">
        <is>
          <t>Alibaba</t>
        </is>
      </c>
      <c r="B2977" s="3" t="n">
        <v>2030</v>
      </c>
      <c r="C2977" s="3" t="inlineStr">
        <is>
          <t>Bull</t>
        </is>
      </c>
      <c r="D2977" s="3" t="inlineStr">
        <is>
          <t>h200_share</t>
        </is>
      </c>
      <c r="E2977" s="3" t="n">
        <v>1</v>
      </c>
      <c r="F2977" s="3" t="inlineStr">
        <is>
          <t>share of inference-serving accelerator load</t>
        </is>
      </c>
      <c r="G2977" s="3" t="inlineStr">
        <is>
          <t>Editable numeric scenario</t>
        </is>
      </c>
      <c r="H2977" s="3" t="inlineStr">
        <is>
          <t>h200_share = gpu_share * default_gpu_generation_mix_h200</t>
        </is>
      </c>
      <c r="I2977" s="3" t="inlineStr">
        <is>
          <t>Default GPU-generation migration assumption; executive workbook allows later manual replacement by company/year/scenario.</t>
        </is>
      </c>
      <c r="J2977" s="3" t="inlineStr">
        <is>
          <t>SRC_SEMIANALYSIS_INFERENCEX; ASSUMP_NUMERIC_ACCELERATOR_MIX</t>
        </is>
      </c>
      <c r="K2977" s="3" t="inlineStr">
        <is>
          <t>ASSUMP_MOE_EFFICIENCY; ASSUMP_CN_CAPACITY_TRANSPARENCY; ASSUMP_NUMERIC_ACCELERATOR_MIX; ASSUMP_INFERENCE_SHARE_NOT_FACT_60; ASSUMP_WORKLOAD_CLASS_MIX; ASSUMP_AGENTIC_CONTEXT_PENALTY</t>
        </is>
      </c>
      <c r="L2977" s="3" t="inlineStr">
        <is>
          <t>Company fleet inventory, accelerator-hours or procurement/deployment records by GPU generation.</t>
        </is>
      </c>
    </row>
    <row r="2978">
      <c r="A2978" s="3" t="inlineStr">
        <is>
          <t>Alibaba</t>
        </is>
      </c>
      <c r="B2978" s="3" t="n">
        <v>2030</v>
      </c>
      <c r="C2978" s="3" t="inlineStr">
        <is>
          <t>Bull</t>
        </is>
      </c>
      <c r="D2978" s="3" t="inlineStr">
        <is>
          <t>b200_share</t>
        </is>
      </c>
      <c r="E2978" s="3" t="n">
        <v>0</v>
      </c>
      <c r="F2978" s="3" t="inlineStr">
        <is>
          <t>share of inference-serving accelerator load</t>
        </is>
      </c>
      <c r="G2978" s="3" t="inlineStr">
        <is>
          <t>Editable numeric scenario</t>
        </is>
      </c>
      <c r="H2978" s="3" t="inlineStr">
        <is>
          <t>b200_share = gpu_share * default_gpu_generation_mix_b200</t>
        </is>
      </c>
      <c r="I2978" s="3" t="inlineStr">
        <is>
          <t>Default GPU-generation migration assumption; executive workbook allows later manual replacement by company/year/scenario.</t>
        </is>
      </c>
      <c r="J2978" s="3" t="inlineStr">
        <is>
          <t>SRC_SEMIANALYSIS_INFERENCEX; ASSUMP_NUMERIC_ACCELERATOR_MIX</t>
        </is>
      </c>
      <c r="K2978" s="3" t="inlineStr">
        <is>
          <t>ASSUMP_MOE_EFFICIENCY; ASSUMP_CN_CAPACITY_TRANSPARENCY; ASSUMP_NUMERIC_ACCELERATOR_MIX; ASSUMP_INFERENCE_SHARE_NOT_FACT_60; ASSUMP_WORKLOAD_CLASS_MIX; ASSUMP_AGENTIC_CONTEXT_PENALTY</t>
        </is>
      </c>
      <c r="L2978" s="3" t="inlineStr">
        <is>
          <t>Company fleet inventory, accelerator-hours or procurement/deployment records by GPU generation.</t>
        </is>
      </c>
    </row>
    <row r="2979">
      <c r="A2979" s="3" t="inlineStr">
        <is>
          <t>Alibaba</t>
        </is>
      </c>
      <c r="B2979" s="3" t="n">
        <v>2030</v>
      </c>
      <c r="C2979" s="3" t="inlineStr">
        <is>
          <t>Bull</t>
        </is>
      </c>
      <c r="D2979" s="3" t="inlineStr">
        <is>
          <t>gb200_share</t>
        </is>
      </c>
      <c r="E2979" s="3" t="n">
        <v>0</v>
      </c>
      <c r="F2979" s="3" t="inlineStr">
        <is>
          <t>share of inference-serving accelerator load</t>
        </is>
      </c>
      <c r="G2979" s="3" t="inlineStr">
        <is>
          <t>Editable numeric scenario</t>
        </is>
      </c>
      <c r="H2979" s="3" t="inlineStr">
        <is>
          <t>gb200_share = gpu_share * default_gpu_generation_mix_gb200</t>
        </is>
      </c>
      <c r="I2979" s="3" t="inlineStr">
        <is>
          <t>Default GPU-generation migration assumption; executive workbook allows later manual replacement by company/year/scenario.</t>
        </is>
      </c>
      <c r="J2979" s="3" t="inlineStr">
        <is>
          <t>SRC_SEMIANALYSIS_INFERENCEX; ASSUMP_NUMERIC_ACCELERATOR_MIX</t>
        </is>
      </c>
      <c r="K2979" s="3" t="inlineStr">
        <is>
          <t>ASSUMP_MOE_EFFICIENCY; ASSUMP_CN_CAPACITY_TRANSPARENCY; ASSUMP_NUMERIC_ACCELERATOR_MIX; ASSUMP_INFERENCE_SHARE_NOT_FACT_60; ASSUMP_WORKLOAD_CLASS_MIX; ASSUMP_AGENTIC_CONTEXT_PENALTY</t>
        </is>
      </c>
      <c r="L2979" s="3" t="inlineStr">
        <is>
          <t>Company fleet inventory, accelerator-hours or procurement/deployment records by GPU generation.</t>
        </is>
      </c>
    </row>
    <row r="2980">
      <c r="A2980" s="3" t="inlineStr">
        <is>
          <t>Alibaba</t>
        </is>
      </c>
      <c r="B2980" s="3" t="n">
        <v>2030</v>
      </c>
      <c r="C2980" s="3" t="inlineStr">
        <is>
          <t>Bull</t>
        </is>
      </c>
      <c r="D2980" s="3" t="inlineStr">
        <is>
          <t>purpose_built_accelerator_share</t>
        </is>
      </c>
      <c r="E2980" s="3" t="n">
        <v>0</v>
      </c>
      <c r="F2980" s="3" t="inlineStr">
        <is>
          <t>share of inference-serving accelerator load</t>
        </is>
      </c>
      <c r="G2980" s="3" t="inlineStr">
        <is>
          <t>Numeric scenario</t>
        </is>
      </c>
      <c r="H2980" s="3" t="inlineStr">
        <is>
          <t>1 - gpu_share</t>
        </is>
      </c>
      <c r="I2980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2980" s="3" t="inlineStr">
        <is>
          <t>SRC_QWEN3_GITHUB; SRC_ALIBABA_QWEN_GPU_DEPLOY; SRC_EPOCH_AI_DATA_CENTERS; ASSUMP_NUMERIC_ACCELERATOR_MIX</t>
        </is>
      </c>
      <c r="K2980" s="3" t="inlineStr">
        <is>
          <t>ASSUMP_MOE_EFFICIENCY; ASSUMP_CN_CAPACITY_TRANSPARENCY; ASSUMP_NUMERIC_ACCELERATOR_MIX; ASSUMP_INFERENCE_SHARE_NOT_FACT_60; ASSUMP_WORKLOAD_CLASS_MIX; ASSUMP_AGENTIC_CONTEXT_PENALTY</t>
        </is>
      </c>
      <c r="L2980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2981">
      <c r="A2981" s="3" t="inlineStr">
        <is>
          <t>Alibaba</t>
        </is>
      </c>
      <c r="B2981" s="3" t="n">
        <v>2030</v>
      </c>
      <c r="C2981" s="3" t="inlineStr">
        <is>
          <t>Bull</t>
        </is>
      </c>
      <c r="D2981" s="3" t="inlineStr">
        <is>
          <t>fleet_reference_tps_per_mw</t>
        </is>
      </c>
      <c r="E2981" s="3" t="n">
        <v>166591</v>
      </c>
      <c r="F2981" s="3" t="inlineStr">
        <is>
          <t>generated output tokens/sec/MW</t>
        </is>
      </c>
      <c r="G2981" s="3" t="inlineStr">
        <is>
          <t>Fleet-weighted public benchmark reference</t>
        </is>
      </c>
      <c r="H2981" s="3" t="inlineStr">
        <is>
          <t>h200_share*h200_workload_avg + b200_share*b200_workload_avg + gb200_share*gb200_workload_avg + purpose_built_share*purpose_workload_avg</t>
        </is>
      </c>
      <c r="I2981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2981" s="3" t="inlineStr">
        <is>
          <t>SRC_SEMIANALYSIS_INFERENCEX; ASSUMP_NUMERIC_ACCELERATOR_MIX; ASSUMP_WORKLOAD_CLASS_MIX; ASSUMP_AGENTIC_CONTEXT_PENALTY</t>
        </is>
      </c>
      <c r="K2981" s="3" t="inlineStr">
        <is>
          <t>ASSUMP_MOE_EFFICIENCY; ASSUMP_CN_CAPACITY_TRANSPARENCY; ASSUMP_NUMERIC_ACCELERATOR_MIX; ASSUMP_INFERENCE_SHARE_NOT_FACT_60; ASSUMP_WORKLOAD_CLASS_MIX; ASSUMP_AGENTIC_CONTEXT_PENALTY</t>
        </is>
      </c>
      <c r="L2981" s="3" t="inlineStr">
        <is>
          <t>Comparable production output-token throughput or a more closely matched benchmark.</t>
        </is>
      </c>
    </row>
    <row r="2982">
      <c r="A2982" s="3" t="inlineStr">
        <is>
          <t>Alibaba</t>
        </is>
      </c>
      <c r="B2982" s="3" t="n">
        <v>2030</v>
      </c>
      <c r="C2982" s="3" t="inlineStr">
        <is>
          <t>Bull</t>
        </is>
      </c>
      <c r="D2982" s="3" t="inlineStr">
        <is>
          <t>commercial_workload_fit_factor</t>
        </is>
      </c>
      <c r="E2982" s="3" t="n">
        <v>1</v>
      </c>
      <c r="F2982" s="3" t="inlineStr">
        <is>
          <t>share of public reference throughput</t>
        </is>
      </c>
      <c r="G2982" s="3" t="inlineStr">
        <is>
          <t>Scenario assumption</t>
        </is>
      </c>
      <c r="H2982" s="3" t="inlineStr">
        <is>
          <t>reference_serving_tps_per_mw = fleet_reference_tps_per_mw * commercial_workload_fit_factor</t>
        </is>
      </c>
      <c r="I2982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2982" s="3" t="inlineStr">
        <is>
          <t>SRC_SEMIANALYSIS_INFERENCEX; ASSUMP_NUMERIC_ACCELERATOR_MIX; ASSUMP_WORKLOAD_CLASS_MIX; ASSUMP_AGENTIC_CONTEXT_PENALTY</t>
        </is>
      </c>
      <c r="K2982" s="3" t="inlineStr">
        <is>
          <t>ASSUMP_MOE_EFFICIENCY; ASSUMP_CN_CAPACITY_TRANSPARENCY; ASSUMP_NUMERIC_ACCELERATOR_MIX; ASSUMP_INFERENCE_SHARE_NOT_FACT_60; ASSUMP_WORKLOAD_CLASS_MIX; ASSUMP_AGENTIC_CONTEXT_PENALTY</t>
        </is>
      </c>
      <c r="L2982" s="3" t="inlineStr">
        <is>
          <t>Matched commercial serving benchmark by product surface, context shape and latency SLO.</t>
        </is>
      </c>
    </row>
    <row r="2983">
      <c r="A2983" s="3" t="inlineStr">
        <is>
          <t>Alibaba</t>
        </is>
      </c>
      <c r="B2983" s="3" t="n">
        <v>2030</v>
      </c>
      <c r="C2983" s="3" t="inlineStr">
        <is>
          <t>Bull</t>
        </is>
      </c>
      <c r="D2983" s="3" t="inlineStr">
        <is>
          <t>reference_serving_tps_per_mw</t>
        </is>
      </c>
      <c r="E2983" s="3" t="n">
        <v>166591</v>
      </c>
      <c r="F2983" s="3" t="inlineStr">
        <is>
          <t>generated output tokens/sec/MW</t>
        </is>
      </c>
      <c r="G2983" s="3" t="inlineStr">
        <is>
          <t>Workload-adjusted benchmark proxy</t>
        </is>
      </c>
      <c r="H2983" s="3" t="inlineStr">
        <is>
          <t>fleet_reference_tps_per_mw * commercial_workload_fit_factor</t>
        </is>
      </c>
      <c r="I2983" s="3" t="inlineStr">
        <is>
          <t>This is the coefficient used for headline token generation; each GPU's short chat, long chat and agentic TPS/MW are weighted before fleet mix and commercial fit are applied.</t>
        </is>
      </c>
      <c r="J2983" s="3" t="inlineStr">
        <is>
          <t>SRC_SEMIANALYSIS_INFERENCEX; ASSUMP_NUMERIC_ACCELERATOR_MIX; ASSUMP_WORKLOAD_CLASS_MIX; ASSUMP_AGENTIC_CONTEXT_PENALTY</t>
        </is>
      </c>
      <c r="K2983" s="3" t="inlineStr">
        <is>
          <t>ASSUMP_MOE_EFFICIENCY; ASSUMP_CN_CAPACITY_TRANSPARENCY; ASSUMP_NUMERIC_ACCELERATOR_MIX; ASSUMP_INFERENCE_SHARE_NOT_FACT_60; ASSUMP_WORKLOAD_CLASS_MIX; ASSUMP_AGENTIC_CONTEXT_PENALTY</t>
        </is>
      </c>
      <c r="L2983" s="3" t="inlineStr">
        <is>
          <t>Provider production output-token throughput with comparable workload/SLO.</t>
        </is>
      </c>
    </row>
    <row r="2984">
      <c r="A2984" s="3" t="inlineStr">
        <is>
          <t>Alibaba</t>
        </is>
      </c>
      <c r="B2984" s="3" t="n">
        <v>2030</v>
      </c>
      <c r="C2984" s="3" t="inlineStr">
        <is>
          <t>Bull</t>
        </is>
      </c>
      <c r="D2984" s="3" t="inlineStr">
        <is>
          <t>purpose_built_tps_per_mw</t>
        </is>
      </c>
      <c r="E2984" s="3" t="n">
        <v>1106733</v>
      </c>
      <c r="F2984" s="3" t="inlineStr">
        <is>
          <t>generated output tokens/sec/MW</t>
        </is>
      </c>
      <c r="G2984" s="3" t="inlineStr">
        <is>
          <t>Conservative no-uplift proxy</t>
        </is>
      </c>
      <c r="H2984" s="3" t="inlineStr">
        <is>
          <t>purpose_built_tps_per_mw = purpose_built_reference_tps_per_mw * commercial_workload_fit_factor until comparable output-token benchmark is adopted</t>
        </is>
      </c>
      <c r="I2984" s="3" t="inlineStr">
        <is>
          <t>No comparable public output-token/MW row adopted; B200 public reference placeholder is used and remains editable.</t>
        </is>
      </c>
      <c r="J2984" s="3" t="inlineStr">
        <is>
          <t>SRC_QWEN3_GITHUB; SRC_ALIBABA_QWEN_GPU_DEPLOY; SRC_EPOCH_AI_DATA_CENTERS; ASSUMP_NUMERIC_ACCELERATOR_MIX</t>
        </is>
      </c>
      <c r="K2984" s="3" t="inlineStr">
        <is>
          <t>ASSUMP_MOE_EFFICIENCY; ASSUMP_CN_CAPACITY_TRANSPARENCY; ASSUMP_NUMERIC_ACCELERATOR_MIX; ASSUMP_INFERENCE_SHARE_NOT_FACT_60; ASSUMP_WORKLOAD_CLASS_MIX; ASSUMP_AGENTIC_CONTEXT_PENALTY</t>
        </is>
      </c>
      <c r="L2984" s="3" t="inlineStr">
        <is>
          <t>Matched-workload generated-output benchmark for the provider purpose-built accelerator.</t>
        </is>
      </c>
    </row>
    <row r="2985">
      <c r="A2985" s="3" t="inlineStr">
        <is>
          <t>Alibaba</t>
        </is>
      </c>
      <c r="B2985" s="3" t="n">
        <v>2030</v>
      </c>
      <c r="C2985" s="3" t="inlineStr">
        <is>
          <t>Bull</t>
        </is>
      </c>
      <c r="D2985" s="3" t="inlineStr">
        <is>
          <t>inference_power_share</t>
        </is>
      </c>
      <c r="E2985" s="3" t="n">
        <v>0.88</v>
      </c>
      <c r="F2985" s="3" t="inlineStr">
        <is>
          <t>share of AI IT load</t>
        </is>
      </c>
      <c r="G2985" s="3" t="inlineStr">
        <is>
          <t>Scenario allocation</t>
        </is>
      </c>
      <c r="H2985" s="3" t="inlineStr">
        <is>
          <t>inference_gw = ai_it_load_gw * inference_power_share</t>
        </is>
      </c>
      <c r="I2985" s="3" t="inlineStr">
        <is>
          <t>Qwen API/enterprise commercialization and MoE architecture support increasing inference allocation scenario.</t>
        </is>
      </c>
      <c r="J2985" s="3" t="inlineStr">
        <is>
          <t>SRC_QWEN3_GITHUB; SRC_ALIBABA_QWEN_GPU_DEPLOY; SRC_EPOCH_AI_DATA_CENTERS; ASSUMP_INFERENCE_SHARE_NOT_FACT_60</t>
        </is>
      </c>
      <c r="K2985" s="3" t="inlineStr">
        <is>
          <t>ASSUMP_MOE_EFFICIENCY; ASSUMP_CN_CAPACITY_TRANSPARENCY; ASSUMP_NUMERIC_ACCELERATOR_MIX; ASSUMP_INFERENCE_SHARE_NOT_FACT_60; ASSUMP_WORKLOAD_CLASS_MIX; ASSUMP_AGENTIC_CONTEXT_PENALTY</t>
        </is>
      </c>
      <c r="L2985" s="3" t="inlineStr">
        <is>
          <t>Provider-specific inference/training workload power telemetry.</t>
        </is>
      </c>
    </row>
    <row r="2986">
      <c r="A2986" s="3" t="inlineStr">
        <is>
          <t>Alibaba</t>
        </is>
      </c>
      <c r="B2986" s="3" t="n">
        <v>2030</v>
      </c>
      <c r="C2986" s="3" t="inlineStr">
        <is>
          <t>Bull</t>
        </is>
      </c>
      <c r="D2986" s="3" t="inlineStr">
        <is>
          <t>inference_gw</t>
        </is>
      </c>
      <c r="E2986" s="3" t="n">
        <v>2.269</v>
      </c>
      <c r="F2986" s="3" t="inlineStr">
        <is>
          <t>GW</t>
        </is>
      </c>
      <c r="G2986" s="3" t="inlineStr">
        <is>
          <t>Derived formula</t>
        </is>
      </c>
      <c r="H2986" s="3" t="inlineStr">
        <is>
          <t>ai_it_load_gw * inference_power_share</t>
        </is>
      </c>
      <c r="I2986" s="3" t="inlineStr">
        <is>
          <t>This is the operational power eligible to become commercial generated output tokens through the selected TPS/MW proxy.</t>
        </is>
      </c>
      <c r="J2986" s="3" t="inlineStr">
        <is>
          <t>SRC_QWEN3_GITHUB; SRC_ALIBABA_QWEN_GPU_DEPLOY; SRC_EPOCH_AI_DATA_CENTERS</t>
        </is>
      </c>
      <c r="K2986" s="3" t="inlineStr">
        <is>
          <t>ASSUMP_MOE_EFFICIENCY; ASSUMP_CN_CAPACITY_TRANSPARENCY; ASSUMP_NUMERIC_ACCELERATOR_MIX; ASSUMP_INFERENCE_SHARE_NOT_FACT_60; ASSUMP_WORKLOAD_CLASS_MIX; ASSUMP_AGENTIC_CONTEXT_PENALTY</t>
        </is>
      </c>
      <c r="L2986" s="3" t="inlineStr">
        <is>
          <t>Recompute after AI allocation or inference-share evidence changes.</t>
        </is>
      </c>
    </row>
    <row r="2987">
      <c r="A2987" s="3" t="inlineStr">
        <is>
          <t>Alibaba</t>
        </is>
      </c>
      <c r="B2987" s="3" t="n">
        <v>2030</v>
      </c>
      <c r="C2987" s="3" t="inlineStr">
        <is>
          <t>Bull</t>
        </is>
      </c>
      <c r="D2987" s="3" t="inlineStr">
        <is>
          <t>training_power_share</t>
        </is>
      </c>
      <c r="E2987" s="3" t="n">
        <v>0.12</v>
      </c>
      <c r="F2987" s="3" t="inlineStr">
        <is>
          <t>share of AI IT load</t>
        </is>
      </c>
      <c r="G2987" s="3" t="inlineStr">
        <is>
          <t>Derived allocation</t>
        </is>
      </c>
      <c r="H2987" s="3" t="inlineStr">
        <is>
          <t>1 - inference_power_share</t>
        </is>
      </c>
      <c r="I2987" s="3" t="inlineStr">
        <is>
          <t>Training receives the complementary modeled AI IT allocation; it is not a disclosed company workload split.</t>
        </is>
      </c>
      <c r="J2987" s="3" t="inlineStr">
        <is>
          <t>SRC_QWEN3_GITHUB; SRC_ALIBABA_QWEN_GPU_DEPLOY; SRC_EPOCH_AI_DATA_CENTERS; ASSUMP_INFERENCE_SHARE_NOT_FACT_60</t>
        </is>
      </c>
      <c r="K2987" s="3" t="inlineStr">
        <is>
          <t>ASSUMP_MOE_EFFICIENCY; ASSUMP_CN_CAPACITY_TRANSPARENCY; ASSUMP_NUMERIC_ACCELERATOR_MIX; ASSUMP_INFERENCE_SHARE_NOT_FACT_60; ASSUMP_WORKLOAD_CLASS_MIX; ASSUMP_AGENTIC_CONTEXT_PENALTY</t>
        </is>
      </c>
      <c r="L2987" s="3" t="inlineStr">
        <is>
          <t>Provider-specific inference/training workload power telemetry.</t>
        </is>
      </c>
    </row>
    <row r="2988">
      <c r="A2988" s="3" t="inlineStr">
        <is>
          <t>Alibaba</t>
        </is>
      </c>
      <c r="B2988" s="3" t="n">
        <v>2030</v>
      </c>
      <c r="C2988" s="3" t="inlineStr">
        <is>
          <t>Bull</t>
        </is>
      </c>
      <c r="D2988" s="3" t="inlineStr">
        <is>
          <t>training_gw</t>
        </is>
      </c>
      <c r="E2988" s="3" t="n">
        <v>0.309</v>
      </c>
      <c r="F2988" s="3" t="inlineStr">
        <is>
          <t>GW</t>
        </is>
      </c>
      <c r="G2988" s="3" t="inlineStr">
        <is>
          <t>Derived formula</t>
        </is>
      </c>
      <c r="H2988" s="3" t="inlineStr">
        <is>
          <t>ai_it_load_gw * training_power_share</t>
        </is>
      </c>
      <c r="I2988" s="3" t="inlineStr">
        <is>
          <t>Training GW is shown separately so commercial inference token capacity is not overstated.</t>
        </is>
      </c>
      <c r="J2988" s="3" t="inlineStr">
        <is>
          <t>SRC_QWEN3_GITHUB; SRC_ALIBABA_QWEN_GPU_DEPLOY; SRC_EPOCH_AI_DATA_CENTERS</t>
        </is>
      </c>
      <c r="K2988" s="3" t="inlineStr">
        <is>
          <t>ASSUMP_MOE_EFFICIENCY; ASSUMP_CN_CAPACITY_TRANSPARENCY; ASSUMP_NUMERIC_ACCELERATOR_MIX; ASSUMP_INFERENCE_SHARE_NOT_FACT_60; ASSUMP_WORKLOAD_CLASS_MIX; ASSUMP_AGENTIC_CONTEXT_PENALTY</t>
        </is>
      </c>
      <c r="L2988" s="3" t="inlineStr">
        <is>
          <t>Recompute after AI allocation or workload-split evidence changes.</t>
        </is>
      </c>
    </row>
    <row r="2989">
      <c r="A2989" s="3" t="inlineStr">
        <is>
          <t>Alibaba</t>
        </is>
      </c>
      <c r="B2989" s="3" t="n">
        <v>2030</v>
      </c>
      <c r="C2989" s="3" t="inlineStr">
        <is>
          <t>Bull</t>
        </is>
      </c>
      <c r="D2989" s="3" t="inlineStr">
        <is>
          <t>tokens_per_second_per_mw</t>
        </is>
      </c>
      <c r="E2989" s="3" t="n">
        <v>166591</v>
      </c>
      <c r="F2989" s="3" t="inlineStr">
        <is>
          <t>generated output tokens/sec/MW</t>
        </is>
      </c>
      <c r="G2989" s="3" t="inlineStr">
        <is>
          <t>Derived estimate + benchmark calibration</t>
        </is>
      </c>
      <c r="H2989" s="3" t="inlineStr">
        <is>
          <t>fleet_reference_tps_per_mw * commercial_workload_fit_factor</t>
        </is>
      </c>
      <c r="I2989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2989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2989" s="3" t="inlineStr">
        <is>
          <t>ASSUMP_MOE_EFFICIENCY; ASSUMP_CN_CAPACITY_TRANSPARENCY; ASSUMP_NUMERIC_ACCELERATOR_MIX; ASSUMP_INFERENCE_SHARE_NOT_FACT_60; ASSUMP_WORKLOAD_CLASS_MIX; ASSUMP_AGENTIC_CONTEXT_PENALTY</t>
        </is>
      </c>
      <c r="L2989" s="3" t="inlineStr">
        <is>
          <t>Comparable production output-token throughput with model, hardware, precision, ISL/OSL and SLO matched.</t>
        </is>
      </c>
    </row>
    <row r="2990">
      <c r="A2990" s="3" t="inlineStr">
        <is>
          <t>Alibaba</t>
        </is>
      </c>
      <c r="B2990" s="3" t="n">
        <v>2030</v>
      </c>
      <c r="C2990" s="3" t="inlineStr">
        <is>
          <t>Bull</t>
        </is>
      </c>
      <c r="D2990" s="3" t="inlineStr">
        <is>
          <t>inference_tokens_per_day</t>
        </is>
      </c>
      <c r="E2990" s="3" t="n">
        <v>32658766185600</v>
      </c>
      <c r="F2990" s="3" t="inlineStr">
        <is>
          <t>generated output tokens/day</t>
        </is>
      </c>
      <c r="G2990" s="3" t="inlineStr">
        <is>
          <t>Derived headline metric</t>
        </is>
      </c>
      <c r="H2990" s="3" t="inlineStr">
        <is>
          <t>inference_gw * 1000 * tokens_per_second_per_mw * 86,400</t>
        </is>
      </c>
      <c r="I2990" s="3" t="inlineStr">
        <is>
          <t>Headline capacity uses no utilization, MoE, architecture or software-growth multiplier; it is not observed commercial output volume.</t>
        </is>
      </c>
      <c r="J2990" s="3" t="inlineStr">
        <is>
          <t>SRC_QWEN3_GITHUB; SRC_ALIBABA_QWEN_GPU_DEPLOY; SRC_EPOCH_AI_DATA_CENTERS; SRC_SEMIANALYSIS_INFERENCEX</t>
        </is>
      </c>
      <c r="K2990" s="3" t="inlineStr">
        <is>
          <t>ASSUMP_MOE_EFFICIENCY; ASSUMP_CN_CAPACITY_TRANSPARENCY; ASSUMP_NUMERIC_ACCELERATOR_MIX; ASSUMP_INFERENCE_SHARE_NOT_FACT_60; ASSUMP_WORKLOAD_CLASS_MIX; ASSUMP_AGENTIC_CONTEXT_PENALTY</t>
        </is>
      </c>
      <c r="L2990" s="3" t="inlineStr">
        <is>
          <t>Provider-disclosed generated output token volume or calibrated capacity telemetry.</t>
        </is>
      </c>
    </row>
    <row r="2991">
      <c r="A2991" s="3" t="inlineStr">
        <is>
          <t>Alibaba</t>
        </is>
      </c>
      <c r="B2991" s="3" t="n">
        <v>2030</v>
      </c>
      <c r="C2991" s="3" t="inlineStr">
        <is>
          <t>Bull</t>
        </is>
      </c>
      <c r="D2991" s="3" t="inlineStr">
        <is>
          <t>inference_tokens_per_year</t>
        </is>
      </c>
      <c r="E2991" s="3" t="n">
        <v>1.1920449657744e+16</v>
      </c>
      <c r="F2991" s="3" t="inlineStr">
        <is>
          <t>generated output tokens/year</t>
        </is>
      </c>
      <c r="G2991" s="3" t="inlineStr">
        <is>
          <t>Derived headline metric</t>
        </is>
      </c>
      <c r="H2991" s="3" t="inlineStr">
        <is>
          <t>inference_tokens_per_day * 365</t>
        </is>
      </c>
      <c r="I2991" s="3" t="inlineStr">
        <is>
          <t>Annualized version of generated output token capacity; it is not observed annual demand or billable volume.</t>
        </is>
      </c>
      <c r="J2991" s="3" t="inlineStr">
        <is>
          <t>SRC_QWEN3_GITHUB; SRC_ALIBABA_QWEN_GPU_DEPLOY; SRC_EPOCH_AI_DATA_CENTERS; SRC_SEMIANALYSIS_INFERENCEX</t>
        </is>
      </c>
      <c r="K2991" s="3" t="inlineStr">
        <is>
          <t>ASSUMP_MOE_EFFICIENCY; ASSUMP_CN_CAPACITY_TRANSPARENCY; ASSUMP_NUMERIC_ACCELERATOR_MIX; ASSUMP_INFERENCE_SHARE_NOT_FACT_60; ASSUMP_WORKLOAD_CLASS_MIX; ASSUMP_AGENTIC_CONTEXT_PENALTY</t>
        </is>
      </c>
      <c r="L2991" s="3" t="inlineStr">
        <is>
          <t>Provider-disclosed annual generated-output volume or metered serving telemetry.</t>
        </is>
      </c>
    </row>
    <row r="2992">
      <c r="A2992" s="3" t="inlineStr">
        <is>
          <t>Tencent</t>
        </is>
      </c>
      <c r="B2992" s="3" t="n">
        <v>2026</v>
      </c>
      <c r="C2992" s="3" t="inlineStr">
        <is>
          <t>Bull</t>
        </is>
      </c>
      <c r="D2992" s="3" t="inlineStr">
        <is>
          <t>contracted_power_gw</t>
        </is>
      </c>
      <c r="E2992" s="3" t="n">
        <v>1.2</v>
      </c>
      <c r="F2992" s="3" t="inlineStr">
        <is>
          <t>GW</t>
        </is>
      </c>
      <c r="G2992" s="3" t="inlineStr">
        <is>
          <t>Scenario capacity envelope</t>
        </is>
      </c>
      <c r="H2992" s="3" t="inlineStr">
        <is>
          <t>linear interpolation between 2026 and 2030 company capacity endpoints</t>
        </is>
      </c>
      <c r="I2992" s="3" t="inlineStr">
        <is>
          <t>Tencent Cloud/Hunyuan capacity is a scenario envelope because operated model-serving GW is undisclosed.</t>
        </is>
      </c>
      <c r="J2992" s="3" t="inlineStr">
        <is>
          <t>SRC_TENCENT_AI_INFRA_MOE; ASSUMP_CN_CAPACITY_TRANSPARENCY</t>
        </is>
      </c>
      <c r="K2992" s="3" t="inlineStr">
        <is>
          <t>ASSUMP_CN_CAPACITY_TRANSPARENCY; ASSUMP_APP_EMBEDDING; ASSUMP_NUMERIC_ACCELERATOR_MIX; ASSUMP_INFERENCE_SHARE_NOT_FACT_60; ASSUMP_WORKLOAD_CLASS_MIX; ASSUMP_AGENTIC_CONTEXT_PENALTY</t>
        </is>
      </c>
      <c r="L2992" s="3" t="inlineStr">
        <is>
          <t>Company/site-level committed MW/GW, interconnect and contract disclosure.</t>
        </is>
      </c>
    </row>
    <row r="2993">
      <c r="A2993" s="3" t="inlineStr">
        <is>
          <t>Tencent</t>
        </is>
      </c>
      <c r="B2993" s="3" t="n">
        <v>2026</v>
      </c>
      <c r="C2993" s="3" t="inlineStr">
        <is>
          <t>Bull</t>
        </is>
      </c>
      <c r="D2993" s="3" t="inlineStr">
        <is>
          <t>operational_deployment_share</t>
        </is>
      </c>
      <c r="E2993" s="3" t="n">
        <v>0.39416667</v>
      </c>
      <c r="F2993" s="3" t="inlineStr">
        <is>
          <t>share</t>
        </is>
      </c>
      <c r="G2993" s="3" t="inlineStr">
        <is>
          <t>Scenario conversion</t>
        </is>
      </c>
      <c r="H2993" s="3" t="inlineStr">
        <is>
          <t>active_power_gw / contracted_power_gw</t>
        </is>
      </c>
      <c r="I2993" s="3" t="inlineStr">
        <is>
          <t>This is the single explicit conversion from contracted/attributed capacity to operationally usable capacity.</t>
        </is>
      </c>
      <c r="J2993" s="3" t="inlineStr">
        <is>
          <t>SRC_TENCENT_AI_INFRA_MOE; ASSUMP_CN_CAPACITY_TRANSPARENCY</t>
        </is>
      </c>
      <c r="K2993" s="3" t="inlineStr">
        <is>
          <t>ASSUMP_CN_CAPACITY_TRANSPARENCY; ASSUMP_APP_EMBEDDING; ASSUMP_NUMERIC_ACCELERATOR_MIX; ASSUMP_INFERENCE_SHARE_NOT_FACT_60; ASSUMP_WORKLOAD_CLASS_MIX; ASSUMP_AGENTIC_CONTEXT_PENALTY</t>
        </is>
      </c>
      <c r="L2993" s="3" t="inlineStr">
        <is>
          <t>Energized operational capacity divided by contracted/attributed capacity.</t>
        </is>
      </c>
    </row>
    <row r="2994">
      <c r="A2994" s="3" t="inlineStr">
        <is>
          <t>Tencent</t>
        </is>
      </c>
      <c r="B2994" s="3" t="n">
        <v>2026</v>
      </c>
      <c r="C2994" s="3" t="inlineStr">
        <is>
          <t>Bull</t>
        </is>
      </c>
      <c r="D2994" s="3" t="inlineStr">
        <is>
          <t>active_power_gw</t>
        </is>
      </c>
      <c r="E2994" s="3" t="n">
        <v>0.473</v>
      </c>
      <c r="F2994" s="3" t="inlineStr">
        <is>
          <t>GW</t>
        </is>
      </c>
      <c r="G2994" s="3" t="inlineStr">
        <is>
          <t>Derived scenario</t>
        </is>
      </c>
      <c r="H2994" s="3" t="inlineStr">
        <is>
          <t>contracted_power_gw * operational_deployment_share</t>
        </is>
      </c>
      <c r="I2994" s="3" t="inlineStr">
        <is>
          <t>Active GW reflects staged Hunyuan/Yuanbao adoption rather than a reported powered fleet.</t>
        </is>
      </c>
      <c r="J2994" s="3" t="inlineStr">
        <is>
          <t>SRC_TENCENT_AI_INFRA_MOE; ASSUMP_CN_CAPACITY_TRANSPARENCY</t>
        </is>
      </c>
      <c r="K2994" s="3" t="inlineStr">
        <is>
          <t>ASSUMP_CN_CAPACITY_TRANSPARENCY; ASSUMP_APP_EMBEDDING; ASSUMP_NUMERIC_ACCELERATOR_MIX; ASSUMP_INFERENCE_SHARE_NOT_FACT_60; ASSUMP_WORKLOAD_CLASS_MIX; ASSUMP_AGENTIC_CONTEXT_PENALTY</t>
        </is>
      </c>
      <c r="L2994" s="3" t="inlineStr">
        <is>
          <t>Energization dates, accelerator deliveries and operational powered-rack telemetry.</t>
        </is>
      </c>
    </row>
    <row r="2995">
      <c r="A2995" s="3" t="inlineStr">
        <is>
          <t>Tencent</t>
        </is>
      </c>
      <c r="B2995" s="3" t="n">
        <v>2026</v>
      </c>
      <c r="C2995" s="3" t="inlineStr">
        <is>
          <t>Bull</t>
        </is>
      </c>
      <c r="D2995" s="3" t="inlineStr">
        <is>
          <t>pue</t>
        </is>
      </c>
      <c r="E2995" s="3" t="n">
        <v>1.23</v>
      </c>
      <c r="F2995" s="3" t="inlineStr">
        <is>
          <t>ratio</t>
        </is>
      </c>
      <c r="G2995" s="3" t="inlineStr">
        <is>
          <t>Scenario parameter</t>
        </is>
      </c>
      <c r="H2995" s="3" t="inlineStr">
        <is>
          <t>it_load_gw = active_power_gw / pue</t>
        </is>
      </c>
      <c r="I2995" s="3" t="inlineStr">
        <is>
          <t>No provider-wide site-level PUE is used as a disclosed fact; PUE represents facility-to-IT conversion within the scenario.</t>
        </is>
      </c>
      <c r="J2995" s="3" t="inlineStr">
        <is>
          <t>ASSUMP_POWER_RAMP</t>
        </is>
      </c>
      <c r="K2995" s="3" t="inlineStr">
        <is>
          <t>ASSUMP_CN_CAPACITY_TRANSPARENCY; ASSUMP_APP_EMBEDDING; ASSUMP_NUMERIC_ACCELERATOR_MIX; ASSUMP_INFERENCE_SHARE_NOT_FACT_60; ASSUMP_WORKLOAD_CLASS_MIX; ASSUMP_AGENTIC_CONTEXT_PENALTY</t>
        </is>
      </c>
      <c r="L2995" s="3" t="inlineStr">
        <is>
          <t>Site-level measured PUE matched to attributed AI capacity.</t>
        </is>
      </c>
    </row>
    <row r="2996">
      <c r="A2996" s="3" t="inlineStr">
        <is>
          <t>Tencent</t>
        </is>
      </c>
      <c r="B2996" s="3" t="n">
        <v>2026</v>
      </c>
      <c r="C2996" s="3" t="inlineStr">
        <is>
          <t>Bull</t>
        </is>
      </c>
      <c r="D2996" s="3" t="inlineStr">
        <is>
          <t>it_load_gw</t>
        </is>
      </c>
      <c r="E2996" s="3" t="n">
        <v>0.384</v>
      </c>
      <c r="F2996" s="3" t="inlineStr">
        <is>
          <t>GW</t>
        </is>
      </c>
      <c r="G2996" s="3" t="inlineStr">
        <is>
          <t>Derived formula</t>
        </is>
      </c>
      <c r="H2996" s="3" t="inlineStr">
        <is>
          <t>active_power_gw / pue</t>
        </is>
      </c>
      <c r="I2996" s="3" t="inlineStr">
        <is>
          <t>Facility power is converted to IT-deliverable power before attributing AI workloads.</t>
        </is>
      </c>
      <c r="J2996" s="3" t="inlineStr">
        <is>
          <t>SRC_TENCENT_AI_INFRA_MOE; ASSUMP_CN_CAPACITY_TRANSPARENCY</t>
        </is>
      </c>
      <c r="K2996" s="3" t="inlineStr">
        <is>
          <t>ASSUMP_CN_CAPACITY_TRANSPARENCY; ASSUMP_APP_EMBEDDING; ASSUMP_NUMERIC_ACCELERATOR_MIX; ASSUMP_INFERENCE_SHARE_NOT_FACT_60; ASSUMP_WORKLOAD_CLASS_MIX; ASSUMP_AGENTIC_CONTEXT_PENALTY</t>
        </is>
      </c>
      <c r="L2996" s="3" t="inlineStr">
        <is>
          <t>Recompute once active power and PUE become site-observable.</t>
        </is>
      </c>
    </row>
    <row r="2997">
      <c r="A2997" s="3" t="inlineStr">
        <is>
          <t>Tencent</t>
        </is>
      </c>
      <c r="B2997" s="3" t="n">
        <v>2026</v>
      </c>
      <c r="C2997" s="3" t="inlineStr">
        <is>
          <t>Bull</t>
        </is>
      </c>
      <c r="D2997" s="3" t="inlineStr">
        <is>
          <t>ai_workload_share</t>
        </is>
      </c>
      <c r="E2997" s="3" t="n">
        <v>0.84</v>
      </c>
      <c r="F2997" s="3" t="inlineStr">
        <is>
          <t>share</t>
        </is>
      </c>
      <c r="G2997" s="3" t="inlineStr">
        <is>
          <t>Scenario allocation</t>
        </is>
      </c>
      <c r="H2997" s="3" t="inlineStr">
        <is>
          <t>ai_it_load_gw = it_load_gw * ai_workload_share</t>
        </is>
      </c>
      <c r="I2997" s="3" t="inlineStr">
        <is>
          <t>Modeled Hunyuan-serving capacity is AI-focused; 84% excludes cloud/platform and reserve overhead.</t>
        </is>
      </c>
      <c r="J2997" s="3" t="inlineStr">
        <is>
          <t>SRC_TENCENT_HUNYUAN; SRC_TENCENT_HY3; SRC_TENCENT_AI_INFRA_MOE; SRC_EPOCH_AI_DATA_CENTERS</t>
        </is>
      </c>
      <c r="K2997" s="3" t="inlineStr">
        <is>
          <t>ASSUMP_CN_CAPACITY_TRANSPARENCY; ASSUMP_APP_EMBEDDING; ASSUMP_NUMERIC_ACCELERATOR_MIX; ASSUMP_INFERENCE_SHARE_NOT_FACT_60; ASSUMP_WORKLOAD_CLASS_MIX; ASSUMP_AGENTIC_CONTEXT_PENALTY</t>
        </is>
      </c>
      <c r="L2997" s="3" t="inlineStr">
        <is>
          <t>Model-owner AI workload allocation or cluster scheduling telemetry.</t>
        </is>
      </c>
    </row>
    <row r="2998">
      <c r="A2998" s="3" t="inlineStr">
        <is>
          <t>Tencent</t>
        </is>
      </c>
      <c r="B2998" s="3" t="n">
        <v>2026</v>
      </c>
      <c r="C2998" s="3" t="inlineStr">
        <is>
          <t>Bull</t>
        </is>
      </c>
      <c r="D2998" s="3" t="inlineStr">
        <is>
          <t>ai_it_load_gw</t>
        </is>
      </c>
      <c r="E2998" s="3" t="n">
        <v>0.323</v>
      </c>
      <c r="F2998" s="3" t="inlineStr">
        <is>
          <t>GW</t>
        </is>
      </c>
      <c r="G2998" s="3" t="inlineStr">
        <is>
          <t>Derived formula</t>
        </is>
      </c>
      <c r="H2998" s="3" t="inlineStr">
        <is>
          <t>it_load_gw * ai_workload_share</t>
        </is>
      </c>
      <c r="I2998" s="3" t="inlineStr">
        <is>
          <t>Only the AI-attributed portion of IT load enters training/inference allocation.</t>
        </is>
      </c>
      <c r="J2998" s="3" t="inlineStr">
        <is>
          <t>SRC_TENCENT_HUNYUAN; SRC_TENCENT_HY3; SRC_TENCENT_AI_INFRA_MOE; SRC_EPOCH_AI_DATA_CENTERS</t>
        </is>
      </c>
      <c r="K2998" s="3" t="inlineStr">
        <is>
          <t>ASSUMP_CN_CAPACITY_TRANSPARENCY; ASSUMP_APP_EMBEDDING; ASSUMP_NUMERIC_ACCELERATOR_MIX; ASSUMP_INFERENCE_SHARE_NOT_FACT_60; ASSUMP_WORKLOAD_CLASS_MIX; ASSUMP_AGENTIC_CONTEXT_PENALTY</t>
        </is>
      </c>
      <c r="L2998" s="3" t="inlineStr">
        <is>
          <t>Recompute after ai_workload_share is replaced by telemetry.</t>
        </is>
      </c>
    </row>
    <row r="2999">
      <c r="A2999" s="3" t="inlineStr">
        <is>
          <t>Tencent</t>
        </is>
      </c>
      <c r="B2999" s="3" t="n">
        <v>2026</v>
      </c>
      <c r="C2999" s="3" t="inlineStr">
        <is>
          <t>Bull</t>
        </is>
      </c>
      <c r="D2999" s="3" t="inlineStr">
        <is>
          <t>gpu_share</t>
        </is>
      </c>
      <c r="E2999" s="3" t="n">
        <v>1</v>
      </c>
      <c r="F2999" s="3" t="inlineStr">
        <is>
          <t>share of inference-serving accelerator load</t>
        </is>
      </c>
      <c r="G2999" s="3" t="inlineStr">
        <is>
          <t>Numeric scenario</t>
        </is>
      </c>
      <c r="H2999" s="3" t="inlineStr">
        <is>
          <t>gpu_share interpolated from company 2026/2030 accelerator-mix endpoints</t>
        </is>
      </c>
      <c r="I2999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2999" s="3" t="inlineStr">
        <is>
          <t>SRC_TENCENT_HUNYUAN; SRC_TENCENT_HY3; SRC_TENCENT_AI_INFRA_MOE; SRC_EPOCH_AI_DATA_CENTERS; ASSUMP_NUMERIC_ACCELERATOR_MIX</t>
        </is>
      </c>
      <c r="K2999" s="3" t="inlineStr">
        <is>
          <t>ASSUMP_CN_CAPACITY_TRANSPARENCY; ASSUMP_APP_EMBEDDING; ASSUMP_NUMERIC_ACCELERATOR_MIX; ASSUMP_INFERENCE_SHARE_NOT_FACT_60; ASSUMP_WORKLOAD_CLASS_MIX; ASSUMP_AGENTIC_CONTEXT_PENALTY</t>
        </is>
      </c>
      <c r="L2999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00">
      <c r="A3000" s="3" t="inlineStr">
        <is>
          <t>Tencent</t>
        </is>
      </c>
      <c r="B3000" s="3" t="n">
        <v>2026</v>
      </c>
      <c r="C3000" s="3" t="inlineStr">
        <is>
          <t>Bull</t>
        </is>
      </c>
      <c r="D3000" s="3" t="inlineStr">
        <is>
          <t>h200_share</t>
        </is>
      </c>
      <c r="E3000" s="3" t="n">
        <v>0.55</v>
      </c>
      <c r="F3000" s="3" t="inlineStr">
        <is>
          <t>share of inference-serving accelerator load</t>
        </is>
      </c>
      <c r="G3000" s="3" t="inlineStr">
        <is>
          <t>Editable numeric scenario</t>
        </is>
      </c>
      <c r="H3000" s="3" t="inlineStr">
        <is>
          <t>h200_share = gpu_share * default_gpu_generation_mix_h200</t>
        </is>
      </c>
      <c r="I3000" s="3" t="inlineStr">
        <is>
          <t>Default GPU-generation migration assumption; executive workbook allows later manual replacement by company/year/scenario.</t>
        </is>
      </c>
      <c r="J3000" s="3" t="inlineStr">
        <is>
          <t>SRC_SEMIANALYSIS_INFERENCEX; ASSUMP_NUMERIC_ACCELERATOR_MIX</t>
        </is>
      </c>
      <c r="K3000" s="3" t="inlineStr">
        <is>
          <t>ASSUMP_CN_CAPACITY_TRANSPARENCY; ASSUMP_APP_EMBEDDING; ASSUMP_NUMERIC_ACCELERATOR_MIX; ASSUMP_INFERENCE_SHARE_NOT_FACT_60; ASSUMP_WORKLOAD_CLASS_MIX; ASSUMP_AGENTIC_CONTEXT_PENALTY</t>
        </is>
      </c>
      <c r="L3000" s="3" t="inlineStr">
        <is>
          <t>Company fleet inventory, accelerator-hours or procurement/deployment records by GPU generation.</t>
        </is>
      </c>
    </row>
    <row r="3001">
      <c r="A3001" s="3" t="inlineStr">
        <is>
          <t>Tencent</t>
        </is>
      </c>
      <c r="B3001" s="3" t="n">
        <v>2026</v>
      </c>
      <c r="C3001" s="3" t="inlineStr">
        <is>
          <t>Bull</t>
        </is>
      </c>
      <c r="D3001" s="3" t="inlineStr">
        <is>
          <t>b200_share</t>
        </is>
      </c>
      <c r="E3001" s="3" t="n">
        <v>0.4</v>
      </c>
      <c r="F3001" s="3" t="inlineStr">
        <is>
          <t>share of inference-serving accelerator load</t>
        </is>
      </c>
      <c r="G3001" s="3" t="inlineStr">
        <is>
          <t>Editable numeric scenario</t>
        </is>
      </c>
      <c r="H3001" s="3" t="inlineStr">
        <is>
          <t>b200_share = gpu_share * default_gpu_generation_mix_b200</t>
        </is>
      </c>
      <c r="I3001" s="3" t="inlineStr">
        <is>
          <t>Default GPU-generation migration assumption; executive workbook allows later manual replacement by company/year/scenario.</t>
        </is>
      </c>
      <c r="J3001" s="3" t="inlineStr">
        <is>
          <t>SRC_SEMIANALYSIS_INFERENCEX; ASSUMP_NUMERIC_ACCELERATOR_MIX</t>
        </is>
      </c>
      <c r="K3001" s="3" t="inlineStr">
        <is>
          <t>ASSUMP_CN_CAPACITY_TRANSPARENCY; ASSUMP_APP_EMBEDDING; ASSUMP_NUMERIC_ACCELERATOR_MIX; ASSUMP_INFERENCE_SHARE_NOT_FACT_60; ASSUMP_WORKLOAD_CLASS_MIX; ASSUMP_AGENTIC_CONTEXT_PENALTY</t>
        </is>
      </c>
      <c r="L3001" s="3" t="inlineStr">
        <is>
          <t>Company fleet inventory, accelerator-hours or procurement/deployment records by GPU generation.</t>
        </is>
      </c>
    </row>
    <row r="3002">
      <c r="A3002" s="3" t="inlineStr">
        <is>
          <t>Tencent</t>
        </is>
      </c>
      <c r="B3002" s="3" t="n">
        <v>2026</v>
      </c>
      <c r="C3002" s="3" t="inlineStr">
        <is>
          <t>Bull</t>
        </is>
      </c>
      <c r="D3002" s="3" t="inlineStr">
        <is>
          <t>gb200_share</t>
        </is>
      </c>
      <c r="E3002" s="3" t="n">
        <v>0.05</v>
      </c>
      <c r="F3002" s="3" t="inlineStr">
        <is>
          <t>share of inference-serving accelerator load</t>
        </is>
      </c>
      <c r="G3002" s="3" t="inlineStr">
        <is>
          <t>Editable numeric scenario</t>
        </is>
      </c>
      <c r="H3002" s="3" t="inlineStr">
        <is>
          <t>gb200_share = gpu_share * default_gpu_generation_mix_gb200</t>
        </is>
      </c>
      <c r="I3002" s="3" t="inlineStr">
        <is>
          <t>Default GPU-generation migration assumption; executive workbook allows later manual replacement by company/year/scenario.</t>
        </is>
      </c>
      <c r="J3002" s="3" t="inlineStr">
        <is>
          <t>SRC_SEMIANALYSIS_INFERENCEX; ASSUMP_NUMERIC_ACCELERATOR_MIX</t>
        </is>
      </c>
      <c r="K3002" s="3" t="inlineStr">
        <is>
          <t>ASSUMP_CN_CAPACITY_TRANSPARENCY; ASSUMP_APP_EMBEDDING; ASSUMP_NUMERIC_ACCELERATOR_MIX; ASSUMP_INFERENCE_SHARE_NOT_FACT_60; ASSUMP_WORKLOAD_CLASS_MIX; ASSUMP_AGENTIC_CONTEXT_PENALTY</t>
        </is>
      </c>
      <c r="L3002" s="3" t="inlineStr">
        <is>
          <t>Company fleet inventory, accelerator-hours or procurement/deployment records by GPU generation.</t>
        </is>
      </c>
    </row>
    <row r="3003">
      <c r="A3003" s="3" t="inlineStr">
        <is>
          <t>Tencent</t>
        </is>
      </c>
      <c r="B3003" s="3" t="n">
        <v>2026</v>
      </c>
      <c r="C3003" s="3" t="inlineStr">
        <is>
          <t>Bull</t>
        </is>
      </c>
      <c r="D3003" s="3" t="inlineStr">
        <is>
          <t>purpose_built_accelerator_share</t>
        </is>
      </c>
      <c r="E3003" s="3" t="n">
        <v>0</v>
      </c>
      <c r="F3003" s="3" t="inlineStr">
        <is>
          <t>share of inference-serving accelerator load</t>
        </is>
      </c>
      <c r="G3003" s="3" t="inlineStr">
        <is>
          <t>Numeric scenario</t>
        </is>
      </c>
      <c r="H3003" s="3" t="inlineStr">
        <is>
          <t>1 - gpu_share</t>
        </is>
      </c>
      <c r="I3003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03" s="3" t="inlineStr">
        <is>
          <t>SRC_TENCENT_HUNYUAN; SRC_TENCENT_HY3; SRC_TENCENT_AI_INFRA_MOE; SRC_EPOCH_AI_DATA_CENTERS; ASSUMP_NUMERIC_ACCELERATOR_MIX</t>
        </is>
      </c>
      <c r="K3003" s="3" t="inlineStr">
        <is>
          <t>ASSUMP_CN_CAPACITY_TRANSPARENCY; ASSUMP_APP_EMBEDDING; ASSUMP_NUMERIC_ACCELERATOR_MIX; ASSUMP_INFERENCE_SHARE_NOT_FACT_60; ASSUMP_WORKLOAD_CLASS_MIX; ASSUMP_AGENTIC_CONTEXT_PENALTY</t>
        </is>
      </c>
      <c r="L3003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04">
      <c r="A3004" s="3" t="inlineStr">
        <is>
          <t>Tencent</t>
        </is>
      </c>
      <c r="B3004" s="3" t="n">
        <v>2026</v>
      </c>
      <c r="C3004" s="3" t="inlineStr">
        <is>
          <t>Bull</t>
        </is>
      </c>
      <c r="D3004" s="3" t="inlineStr">
        <is>
          <t>fleet_reference_tps_per_mw</t>
        </is>
      </c>
      <c r="E3004" s="3" t="n">
        <v>2359967</v>
      </c>
      <c r="F3004" s="3" t="inlineStr">
        <is>
          <t>generated output tokens/sec/MW</t>
        </is>
      </c>
      <c r="G3004" s="3" t="inlineStr">
        <is>
          <t>Fleet-weighted public benchmark reference</t>
        </is>
      </c>
      <c r="H3004" s="3" t="inlineStr">
        <is>
          <t>h200_share*h200_workload_avg + b200_share*b200_workload_avg + gb200_share*gb200_workload_avg + purpose_built_share*purpose_workload_avg</t>
        </is>
      </c>
      <c r="I300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04" s="3" t="inlineStr">
        <is>
          <t>SRC_SEMIANALYSIS_INFERENCEX; ASSUMP_NUMERIC_ACCELERATOR_MIX; ASSUMP_WORKLOAD_CLASS_MIX; ASSUMP_AGENTIC_CONTEXT_PENALTY</t>
        </is>
      </c>
      <c r="K3004" s="3" t="inlineStr">
        <is>
          <t>ASSUMP_CN_CAPACITY_TRANSPARENCY; ASSUMP_APP_EMBEDDING; ASSUMP_NUMERIC_ACCELERATOR_MIX; ASSUMP_INFERENCE_SHARE_NOT_FACT_60; ASSUMP_WORKLOAD_CLASS_MIX; ASSUMP_AGENTIC_CONTEXT_PENALTY</t>
        </is>
      </c>
      <c r="L3004" s="3" t="inlineStr">
        <is>
          <t>Comparable production output-token throughput or a more closely matched benchmark.</t>
        </is>
      </c>
    </row>
    <row r="3005">
      <c r="A3005" s="3" t="inlineStr">
        <is>
          <t>Tencent</t>
        </is>
      </c>
      <c r="B3005" s="3" t="n">
        <v>2026</v>
      </c>
      <c r="C3005" s="3" t="inlineStr">
        <is>
          <t>Bull</t>
        </is>
      </c>
      <c r="D3005" s="3" t="inlineStr">
        <is>
          <t>commercial_workload_fit_factor</t>
        </is>
      </c>
      <c r="E3005" s="3" t="n">
        <v>0.8</v>
      </c>
      <c r="F3005" s="3" t="inlineStr">
        <is>
          <t>share of public reference throughput</t>
        </is>
      </c>
      <c r="G3005" s="3" t="inlineStr">
        <is>
          <t>Scenario assumption</t>
        </is>
      </c>
      <c r="H3005" s="3" t="inlineStr">
        <is>
          <t>reference_serving_tps_per_mw = fleet_reference_tps_per_mw * commercial_workload_fit_factor</t>
        </is>
      </c>
      <c r="I3005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05" s="3" t="inlineStr">
        <is>
          <t>SRC_SEMIANALYSIS_INFERENCEX; ASSUMP_NUMERIC_ACCELERATOR_MIX; ASSUMP_WORKLOAD_CLASS_MIX; ASSUMP_AGENTIC_CONTEXT_PENALTY</t>
        </is>
      </c>
      <c r="K3005" s="3" t="inlineStr">
        <is>
          <t>ASSUMP_CN_CAPACITY_TRANSPARENCY; ASSUMP_APP_EMBEDDING; ASSUMP_NUMERIC_ACCELERATOR_MIX; ASSUMP_INFERENCE_SHARE_NOT_FACT_60; ASSUMP_WORKLOAD_CLASS_MIX; ASSUMP_AGENTIC_CONTEXT_PENALTY</t>
        </is>
      </c>
      <c r="L3005" s="3" t="inlineStr">
        <is>
          <t>Matched commercial serving benchmark by product surface, context shape and latency SLO.</t>
        </is>
      </c>
    </row>
    <row r="3006">
      <c r="A3006" s="3" t="inlineStr">
        <is>
          <t>Tencent</t>
        </is>
      </c>
      <c r="B3006" s="3" t="n">
        <v>2026</v>
      </c>
      <c r="C3006" s="3" t="inlineStr">
        <is>
          <t>Bull</t>
        </is>
      </c>
      <c r="D3006" s="3" t="inlineStr">
        <is>
          <t>reference_serving_tps_per_mw</t>
        </is>
      </c>
      <c r="E3006" s="3" t="n">
        <v>1887974</v>
      </c>
      <c r="F3006" s="3" t="inlineStr">
        <is>
          <t>generated output tokens/sec/MW</t>
        </is>
      </c>
      <c r="G3006" s="3" t="inlineStr">
        <is>
          <t>Workload-adjusted benchmark proxy</t>
        </is>
      </c>
      <c r="H3006" s="3" t="inlineStr">
        <is>
          <t>fleet_reference_tps_per_mw * commercial_workload_fit_factor</t>
        </is>
      </c>
      <c r="I3006" s="3" t="inlineStr">
        <is>
          <t>This is the coefficient used for headline token generation; each GPU's short chat, long chat and agentic TPS/MW are weighted before fleet mix and commercial fit are applied.</t>
        </is>
      </c>
      <c r="J3006" s="3" t="inlineStr">
        <is>
          <t>SRC_SEMIANALYSIS_INFERENCEX; ASSUMP_NUMERIC_ACCELERATOR_MIX; ASSUMP_WORKLOAD_CLASS_MIX; ASSUMP_AGENTIC_CONTEXT_PENALTY</t>
        </is>
      </c>
      <c r="K3006" s="3" t="inlineStr">
        <is>
          <t>ASSUMP_CN_CAPACITY_TRANSPARENCY; ASSUMP_APP_EMBEDDING; ASSUMP_NUMERIC_ACCELERATOR_MIX; ASSUMP_INFERENCE_SHARE_NOT_FACT_60; ASSUMP_WORKLOAD_CLASS_MIX; ASSUMP_AGENTIC_CONTEXT_PENALTY</t>
        </is>
      </c>
      <c r="L3006" s="3" t="inlineStr">
        <is>
          <t>Provider production output-token throughput with comparable workload/SLO.</t>
        </is>
      </c>
    </row>
    <row r="3007">
      <c r="A3007" s="3" t="inlineStr">
        <is>
          <t>Tencent</t>
        </is>
      </c>
      <c r="B3007" s="3" t="n">
        <v>2026</v>
      </c>
      <c r="C3007" s="3" t="inlineStr">
        <is>
          <t>Bull</t>
        </is>
      </c>
      <c r="D3007" s="3" t="inlineStr">
        <is>
          <t>purpose_built_tps_per_mw</t>
        </is>
      </c>
      <c r="E3007" s="3" t="n">
        <v>3613574</v>
      </c>
      <c r="F3007" s="3" t="inlineStr">
        <is>
          <t>generated output tokens/sec/MW</t>
        </is>
      </c>
      <c r="G3007" s="3" t="inlineStr">
        <is>
          <t>Conservative no-uplift proxy</t>
        </is>
      </c>
      <c r="H3007" s="3" t="inlineStr">
        <is>
          <t>purpose_built_tps_per_mw = purpose_built_reference_tps_per_mw * commercial_workload_fit_factor until comparable output-token benchmark is adopted</t>
        </is>
      </c>
      <c r="I3007" s="3" t="inlineStr">
        <is>
          <t>No comparable public output-token/MW row adopted; B200 public reference placeholder is used and remains editable.</t>
        </is>
      </c>
      <c r="J3007" s="3" t="inlineStr">
        <is>
          <t>SRC_TENCENT_HUNYUAN; SRC_TENCENT_HY3; SRC_TENCENT_AI_INFRA_MOE; SRC_EPOCH_AI_DATA_CENTERS; ASSUMP_NUMERIC_ACCELERATOR_MIX</t>
        </is>
      </c>
      <c r="K3007" s="3" t="inlineStr">
        <is>
          <t>ASSUMP_CN_CAPACITY_TRANSPARENCY; ASSUMP_APP_EMBEDDING; ASSUMP_NUMERIC_ACCELERATOR_MIX; ASSUMP_INFERENCE_SHARE_NOT_FACT_60; ASSUMP_WORKLOAD_CLASS_MIX; ASSUMP_AGENTIC_CONTEXT_PENALTY</t>
        </is>
      </c>
      <c r="L3007" s="3" t="inlineStr">
        <is>
          <t>Matched-workload generated-output benchmark for the provider purpose-built accelerator.</t>
        </is>
      </c>
    </row>
    <row r="3008">
      <c r="A3008" s="3" t="inlineStr">
        <is>
          <t>Tencent</t>
        </is>
      </c>
      <c r="B3008" s="3" t="n">
        <v>2026</v>
      </c>
      <c r="C3008" s="3" t="inlineStr">
        <is>
          <t>Bull</t>
        </is>
      </c>
      <c r="D3008" s="3" t="inlineStr">
        <is>
          <t>inference_power_share</t>
        </is>
      </c>
      <c r="E3008" s="3" t="n">
        <v>0.65</v>
      </c>
      <c r="F3008" s="3" t="inlineStr">
        <is>
          <t>share of AI IT load</t>
        </is>
      </c>
      <c r="G3008" s="3" t="inlineStr">
        <is>
          <t>Scenario allocation</t>
        </is>
      </c>
      <c r="H3008" s="3" t="inlineStr">
        <is>
          <t>inference_gw = ai_it_load_gw * inference_power_share</t>
        </is>
      </c>
      <c r="I3008" s="3" t="inlineStr">
        <is>
          <t>Yuanbao and embedded product surfaces plus Hunyuan Turbo inference-cost direction support rising inference allocation.</t>
        </is>
      </c>
      <c r="J3008" s="3" t="inlineStr">
        <is>
          <t>SRC_TENCENT_HUNYUAN; SRC_TENCENT_HY3; SRC_TENCENT_AI_INFRA_MOE; SRC_EPOCH_AI_DATA_CENTERS; ASSUMP_INFERENCE_SHARE_NOT_FACT_60</t>
        </is>
      </c>
      <c r="K3008" s="3" t="inlineStr">
        <is>
          <t>ASSUMP_CN_CAPACITY_TRANSPARENCY; ASSUMP_APP_EMBEDDING; ASSUMP_NUMERIC_ACCELERATOR_MIX; ASSUMP_INFERENCE_SHARE_NOT_FACT_60; ASSUMP_WORKLOAD_CLASS_MIX; ASSUMP_AGENTIC_CONTEXT_PENALTY</t>
        </is>
      </c>
      <c r="L3008" s="3" t="inlineStr">
        <is>
          <t>Provider-specific inference/training workload power telemetry.</t>
        </is>
      </c>
    </row>
    <row r="3009">
      <c r="A3009" s="3" t="inlineStr">
        <is>
          <t>Tencent</t>
        </is>
      </c>
      <c r="B3009" s="3" t="n">
        <v>2026</v>
      </c>
      <c r="C3009" s="3" t="inlineStr">
        <is>
          <t>Bull</t>
        </is>
      </c>
      <c r="D3009" s="3" t="inlineStr">
        <is>
          <t>inference_gw</t>
        </is>
      </c>
      <c r="E3009" s="3" t="n">
        <v>0.21</v>
      </c>
      <c r="F3009" s="3" t="inlineStr">
        <is>
          <t>GW</t>
        </is>
      </c>
      <c r="G3009" s="3" t="inlineStr">
        <is>
          <t>Derived formula</t>
        </is>
      </c>
      <c r="H3009" s="3" t="inlineStr">
        <is>
          <t>ai_it_load_gw * inference_power_share</t>
        </is>
      </c>
      <c r="I3009" s="3" t="inlineStr">
        <is>
          <t>This is the operational power eligible to become commercial generated output tokens through the selected TPS/MW proxy.</t>
        </is>
      </c>
      <c r="J3009" s="3" t="inlineStr">
        <is>
          <t>SRC_TENCENT_HUNYUAN; SRC_TENCENT_HY3; SRC_TENCENT_AI_INFRA_MOE; SRC_EPOCH_AI_DATA_CENTERS</t>
        </is>
      </c>
      <c r="K3009" s="3" t="inlineStr">
        <is>
          <t>ASSUMP_CN_CAPACITY_TRANSPARENCY; ASSUMP_APP_EMBEDDING; ASSUMP_NUMERIC_ACCELERATOR_MIX; ASSUMP_INFERENCE_SHARE_NOT_FACT_60; ASSUMP_WORKLOAD_CLASS_MIX; ASSUMP_AGENTIC_CONTEXT_PENALTY</t>
        </is>
      </c>
      <c r="L3009" s="3" t="inlineStr">
        <is>
          <t>Recompute after AI allocation or inference-share evidence changes.</t>
        </is>
      </c>
    </row>
    <row r="3010">
      <c r="A3010" s="3" t="inlineStr">
        <is>
          <t>Tencent</t>
        </is>
      </c>
      <c r="B3010" s="3" t="n">
        <v>2026</v>
      </c>
      <c r="C3010" s="3" t="inlineStr">
        <is>
          <t>Bull</t>
        </is>
      </c>
      <c r="D3010" s="3" t="inlineStr">
        <is>
          <t>training_power_share</t>
        </is>
      </c>
      <c r="E3010" s="3" t="n">
        <v>0.35</v>
      </c>
      <c r="F3010" s="3" t="inlineStr">
        <is>
          <t>share of AI IT load</t>
        </is>
      </c>
      <c r="G3010" s="3" t="inlineStr">
        <is>
          <t>Derived allocation</t>
        </is>
      </c>
      <c r="H3010" s="3" t="inlineStr">
        <is>
          <t>1 - inference_power_share</t>
        </is>
      </c>
      <c r="I3010" s="3" t="inlineStr">
        <is>
          <t>Training receives the complementary modeled AI IT allocation; it is not a disclosed company workload split.</t>
        </is>
      </c>
      <c r="J3010" s="3" t="inlineStr">
        <is>
          <t>SRC_TENCENT_HUNYUAN; SRC_TENCENT_HY3; SRC_TENCENT_AI_INFRA_MOE; SRC_EPOCH_AI_DATA_CENTERS; ASSUMP_INFERENCE_SHARE_NOT_FACT_60</t>
        </is>
      </c>
      <c r="K3010" s="3" t="inlineStr">
        <is>
          <t>ASSUMP_CN_CAPACITY_TRANSPARENCY; ASSUMP_APP_EMBEDDING; ASSUMP_NUMERIC_ACCELERATOR_MIX; ASSUMP_INFERENCE_SHARE_NOT_FACT_60; ASSUMP_WORKLOAD_CLASS_MIX; ASSUMP_AGENTIC_CONTEXT_PENALTY</t>
        </is>
      </c>
      <c r="L3010" s="3" t="inlineStr">
        <is>
          <t>Provider-specific inference/training workload power telemetry.</t>
        </is>
      </c>
    </row>
    <row r="3011">
      <c r="A3011" s="3" t="inlineStr">
        <is>
          <t>Tencent</t>
        </is>
      </c>
      <c r="B3011" s="3" t="n">
        <v>2026</v>
      </c>
      <c r="C3011" s="3" t="inlineStr">
        <is>
          <t>Bull</t>
        </is>
      </c>
      <c r="D3011" s="3" t="inlineStr">
        <is>
          <t>training_gw</t>
        </is>
      </c>
      <c r="E3011" s="3" t="n">
        <v>0.113</v>
      </c>
      <c r="F3011" s="3" t="inlineStr">
        <is>
          <t>GW</t>
        </is>
      </c>
      <c r="G3011" s="3" t="inlineStr">
        <is>
          <t>Derived formula</t>
        </is>
      </c>
      <c r="H3011" s="3" t="inlineStr">
        <is>
          <t>ai_it_load_gw * training_power_share</t>
        </is>
      </c>
      <c r="I3011" s="3" t="inlineStr">
        <is>
          <t>Training GW is shown separately so commercial inference token capacity is not overstated.</t>
        </is>
      </c>
      <c r="J3011" s="3" t="inlineStr">
        <is>
          <t>SRC_TENCENT_HUNYUAN; SRC_TENCENT_HY3; SRC_TENCENT_AI_INFRA_MOE; SRC_EPOCH_AI_DATA_CENTERS</t>
        </is>
      </c>
      <c r="K3011" s="3" t="inlineStr">
        <is>
          <t>ASSUMP_CN_CAPACITY_TRANSPARENCY; ASSUMP_APP_EMBEDDING; ASSUMP_NUMERIC_ACCELERATOR_MIX; ASSUMP_INFERENCE_SHARE_NOT_FACT_60; ASSUMP_WORKLOAD_CLASS_MIX; ASSUMP_AGENTIC_CONTEXT_PENALTY</t>
        </is>
      </c>
      <c r="L3011" s="3" t="inlineStr">
        <is>
          <t>Recompute after AI allocation or workload-split evidence changes.</t>
        </is>
      </c>
    </row>
    <row r="3012">
      <c r="A3012" s="3" t="inlineStr">
        <is>
          <t>Tencent</t>
        </is>
      </c>
      <c r="B3012" s="3" t="n">
        <v>2026</v>
      </c>
      <c r="C3012" s="3" t="inlineStr">
        <is>
          <t>Bull</t>
        </is>
      </c>
      <c r="D3012" s="3" t="inlineStr">
        <is>
          <t>tokens_per_second_per_mw</t>
        </is>
      </c>
      <c r="E3012" s="3" t="n">
        <v>1887974</v>
      </c>
      <c r="F3012" s="3" t="inlineStr">
        <is>
          <t>generated output tokens/sec/MW</t>
        </is>
      </c>
      <c r="G3012" s="3" t="inlineStr">
        <is>
          <t>Derived estimate + benchmark calibration</t>
        </is>
      </c>
      <c r="H3012" s="3" t="inlineStr">
        <is>
          <t>fleet_reference_tps_per_mw * commercial_workload_fit_factor</t>
        </is>
      </c>
      <c r="I3012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12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12" s="3" t="inlineStr">
        <is>
          <t>ASSUMP_CN_CAPACITY_TRANSPARENCY; ASSUMP_APP_EMBEDDING; ASSUMP_NUMERIC_ACCELERATOR_MIX; ASSUMP_INFERENCE_SHARE_NOT_FACT_60; ASSUMP_WORKLOAD_CLASS_MIX; ASSUMP_AGENTIC_CONTEXT_PENALTY</t>
        </is>
      </c>
      <c r="L3012" s="3" t="inlineStr">
        <is>
          <t>Comparable production output-token throughput with model, hardware, precision, ISL/OSL and SLO matched.</t>
        </is>
      </c>
    </row>
    <row r="3013">
      <c r="A3013" s="3" t="inlineStr">
        <is>
          <t>Tencent</t>
        </is>
      </c>
      <c r="B3013" s="3" t="n">
        <v>2026</v>
      </c>
      <c r="C3013" s="3" t="inlineStr">
        <is>
          <t>Bull</t>
        </is>
      </c>
      <c r="D3013" s="3" t="inlineStr">
        <is>
          <t>inference_tokens_per_day</t>
        </is>
      </c>
      <c r="E3013" s="3" t="n">
        <v>34255400256000</v>
      </c>
      <c r="F3013" s="3" t="inlineStr">
        <is>
          <t>generated output tokens/day</t>
        </is>
      </c>
      <c r="G3013" s="3" t="inlineStr">
        <is>
          <t>Derived headline metric</t>
        </is>
      </c>
      <c r="H3013" s="3" t="inlineStr">
        <is>
          <t>inference_gw * 1000 * tokens_per_second_per_mw * 86,400</t>
        </is>
      </c>
      <c r="I3013" s="3" t="inlineStr">
        <is>
          <t>Headline capacity uses no utilization, MoE, architecture or software-growth multiplier; it is not observed commercial output volume.</t>
        </is>
      </c>
      <c r="J3013" s="3" t="inlineStr">
        <is>
          <t>SRC_TENCENT_HUNYUAN; SRC_TENCENT_HY3; SRC_TENCENT_AI_INFRA_MOE; SRC_EPOCH_AI_DATA_CENTERS; SRC_SEMIANALYSIS_INFERENCEX</t>
        </is>
      </c>
      <c r="K3013" s="3" t="inlineStr">
        <is>
          <t>ASSUMP_CN_CAPACITY_TRANSPARENCY; ASSUMP_APP_EMBEDDING; ASSUMP_NUMERIC_ACCELERATOR_MIX; ASSUMP_INFERENCE_SHARE_NOT_FACT_60; ASSUMP_WORKLOAD_CLASS_MIX; ASSUMP_AGENTIC_CONTEXT_PENALTY</t>
        </is>
      </c>
      <c r="L3013" s="3" t="inlineStr">
        <is>
          <t>Provider-disclosed generated output token volume or calibrated capacity telemetry.</t>
        </is>
      </c>
    </row>
    <row r="3014">
      <c r="A3014" s="3" t="inlineStr">
        <is>
          <t>Tencent</t>
        </is>
      </c>
      <c r="B3014" s="3" t="n">
        <v>2026</v>
      </c>
      <c r="C3014" s="3" t="inlineStr">
        <is>
          <t>Bull</t>
        </is>
      </c>
      <c r="D3014" s="3" t="inlineStr">
        <is>
          <t>inference_tokens_per_year</t>
        </is>
      </c>
      <c r="E3014" s="3" t="n">
        <v>1.250322109344e+16</v>
      </c>
      <c r="F3014" s="3" t="inlineStr">
        <is>
          <t>generated output tokens/year</t>
        </is>
      </c>
      <c r="G3014" s="3" t="inlineStr">
        <is>
          <t>Derived headline metric</t>
        </is>
      </c>
      <c r="H3014" s="3" t="inlineStr">
        <is>
          <t>inference_tokens_per_day * 365</t>
        </is>
      </c>
      <c r="I3014" s="3" t="inlineStr">
        <is>
          <t>Annualized version of generated output token capacity; it is not observed annual demand or billable volume.</t>
        </is>
      </c>
      <c r="J3014" s="3" t="inlineStr">
        <is>
          <t>SRC_TENCENT_HUNYUAN; SRC_TENCENT_HY3; SRC_TENCENT_AI_INFRA_MOE; SRC_EPOCH_AI_DATA_CENTERS; SRC_SEMIANALYSIS_INFERENCEX</t>
        </is>
      </c>
      <c r="K3014" s="3" t="inlineStr">
        <is>
          <t>ASSUMP_CN_CAPACITY_TRANSPARENCY; ASSUMP_APP_EMBEDDING; ASSUMP_NUMERIC_ACCELERATOR_MIX; ASSUMP_INFERENCE_SHARE_NOT_FACT_60; ASSUMP_WORKLOAD_CLASS_MIX; ASSUMP_AGENTIC_CONTEXT_PENALTY</t>
        </is>
      </c>
      <c r="L3014" s="3" t="inlineStr">
        <is>
          <t>Provider-disclosed annual generated-output volume or metered serving telemetry.</t>
        </is>
      </c>
    </row>
    <row r="3015">
      <c r="A3015" s="3" t="inlineStr">
        <is>
          <t>Tencent</t>
        </is>
      </c>
      <c r="B3015" s="3" t="n">
        <v>2027</v>
      </c>
      <c r="C3015" s="3" t="inlineStr">
        <is>
          <t>Bull</t>
        </is>
      </c>
      <c r="D3015" s="3" t="inlineStr">
        <is>
          <t>contracted_power_gw</t>
        </is>
      </c>
      <c r="E3015" s="3" t="n">
        <v>1.65</v>
      </c>
      <c r="F3015" s="3" t="inlineStr">
        <is>
          <t>GW</t>
        </is>
      </c>
      <c r="G3015" s="3" t="inlineStr">
        <is>
          <t>Scenario capacity envelope</t>
        </is>
      </c>
      <c r="H3015" s="3" t="inlineStr">
        <is>
          <t>linear interpolation between 2026 and 2030 company capacity endpoints</t>
        </is>
      </c>
      <c r="I3015" s="3" t="inlineStr">
        <is>
          <t>Tencent Cloud/Hunyuan capacity is a scenario envelope because operated model-serving GW is undisclosed.</t>
        </is>
      </c>
      <c r="J3015" s="3" t="inlineStr">
        <is>
          <t>SRC_TENCENT_AI_INFRA_MOE; ASSUMP_CN_CAPACITY_TRANSPARENCY</t>
        </is>
      </c>
      <c r="K3015" s="3" t="inlineStr">
        <is>
          <t>ASSUMP_CN_CAPACITY_TRANSPARENCY; ASSUMP_APP_EMBEDDING; ASSUMP_NUMERIC_ACCELERATOR_MIX; ASSUMP_INFERENCE_SHARE_NOT_FACT_60; ASSUMP_WORKLOAD_CLASS_MIX; ASSUMP_AGENTIC_CONTEXT_PENALTY</t>
        </is>
      </c>
      <c r="L3015" s="3" t="inlineStr">
        <is>
          <t>Company/site-level committed MW/GW, interconnect and contract disclosure.</t>
        </is>
      </c>
    </row>
    <row r="3016">
      <c r="A3016" s="3" t="inlineStr">
        <is>
          <t>Tencent</t>
        </is>
      </c>
      <c r="B3016" s="3" t="n">
        <v>2027</v>
      </c>
      <c r="C3016" s="3" t="inlineStr">
        <is>
          <t>Bull</t>
        </is>
      </c>
      <c r="D3016" s="3" t="inlineStr">
        <is>
          <t>operational_deployment_share</t>
        </is>
      </c>
      <c r="E3016" s="3" t="n">
        <v>0.61515152</v>
      </c>
      <c r="F3016" s="3" t="inlineStr">
        <is>
          <t>share</t>
        </is>
      </c>
      <c r="G3016" s="3" t="inlineStr">
        <is>
          <t>Scenario conversion</t>
        </is>
      </c>
      <c r="H3016" s="3" t="inlineStr">
        <is>
          <t>active_power_gw / contracted_power_gw</t>
        </is>
      </c>
      <c r="I3016" s="3" t="inlineStr">
        <is>
          <t>This is the single explicit conversion from contracted/attributed capacity to operationally usable capacity.</t>
        </is>
      </c>
      <c r="J3016" s="3" t="inlineStr">
        <is>
          <t>SRC_TENCENT_AI_INFRA_MOE; ASSUMP_CN_CAPACITY_TRANSPARENCY</t>
        </is>
      </c>
      <c r="K3016" s="3" t="inlineStr">
        <is>
          <t>ASSUMP_CN_CAPACITY_TRANSPARENCY; ASSUMP_APP_EMBEDDING; ASSUMP_NUMERIC_ACCELERATOR_MIX; ASSUMP_INFERENCE_SHARE_NOT_FACT_60; ASSUMP_WORKLOAD_CLASS_MIX; ASSUMP_AGENTIC_CONTEXT_PENALTY</t>
        </is>
      </c>
      <c r="L3016" s="3" t="inlineStr">
        <is>
          <t>Energized operational capacity divided by contracted/attributed capacity.</t>
        </is>
      </c>
    </row>
    <row r="3017">
      <c r="A3017" s="3" t="inlineStr">
        <is>
          <t>Tencent</t>
        </is>
      </c>
      <c r="B3017" s="3" t="n">
        <v>2027</v>
      </c>
      <c r="C3017" s="3" t="inlineStr">
        <is>
          <t>Bull</t>
        </is>
      </c>
      <c r="D3017" s="3" t="inlineStr">
        <is>
          <t>active_power_gw</t>
        </is>
      </c>
      <c r="E3017" s="3" t="n">
        <v>1.015</v>
      </c>
      <c r="F3017" s="3" t="inlineStr">
        <is>
          <t>GW</t>
        </is>
      </c>
      <c r="G3017" s="3" t="inlineStr">
        <is>
          <t>Derived scenario</t>
        </is>
      </c>
      <c r="H3017" s="3" t="inlineStr">
        <is>
          <t>contracted_power_gw * operational_deployment_share</t>
        </is>
      </c>
      <c r="I3017" s="3" t="inlineStr">
        <is>
          <t>Active GW reflects staged Hunyuan/Yuanbao adoption rather than a reported powered fleet.</t>
        </is>
      </c>
      <c r="J3017" s="3" t="inlineStr">
        <is>
          <t>SRC_TENCENT_AI_INFRA_MOE; ASSUMP_CN_CAPACITY_TRANSPARENCY</t>
        </is>
      </c>
      <c r="K3017" s="3" t="inlineStr">
        <is>
          <t>ASSUMP_CN_CAPACITY_TRANSPARENCY; ASSUMP_APP_EMBEDDING; ASSUMP_NUMERIC_ACCELERATOR_MIX; ASSUMP_INFERENCE_SHARE_NOT_FACT_60; ASSUMP_WORKLOAD_CLASS_MIX; ASSUMP_AGENTIC_CONTEXT_PENALTY</t>
        </is>
      </c>
      <c r="L3017" s="3" t="inlineStr">
        <is>
          <t>Energization dates, accelerator deliveries and operational powered-rack telemetry.</t>
        </is>
      </c>
    </row>
    <row r="3018">
      <c r="A3018" s="3" t="inlineStr">
        <is>
          <t>Tencent</t>
        </is>
      </c>
      <c r="B3018" s="3" t="n">
        <v>2027</v>
      </c>
      <c r="C3018" s="3" t="inlineStr">
        <is>
          <t>Bull</t>
        </is>
      </c>
      <c r="D3018" s="3" t="inlineStr">
        <is>
          <t>pue</t>
        </is>
      </c>
      <c r="E3018" s="3" t="n">
        <v>1.23</v>
      </c>
      <c r="F3018" s="3" t="inlineStr">
        <is>
          <t>ratio</t>
        </is>
      </c>
      <c r="G3018" s="3" t="inlineStr">
        <is>
          <t>Scenario parameter</t>
        </is>
      </c>
      <c r="H3018" s="3" t="inlineStr">
        <is>
          <t>it_load_gw = active_power_gw / pue</t>
        </is>
      </c>
      <c r="I3018" s="3" t="inlineStr">
        <is>
          <t>No provider-wide site-level PUE is used as a disclosed fact; PUE represents facility-to-IT conversion within the scenario.</t>
        </is>
      </c>
      <c r="J3018" s="3" t="inlineStr">
        <is>
          <t>ASSUMP_POWER_RAMP</t>
        </is>
      </c>
      <c r="K3018" s="3" t="inlineStr">
        <is>
          <t>ASSUMP_CN_CAPACITY_TRANSPARENCY; ASSUMP_APP_EMBEDDING; ASSUMP_NUMERIC_ACCELERATOR_MIX; ASSUMP_INFERENCE_SHARE_NOT_FACT_60; ASSUMP_WORKLOAD_CLASS_MIX; ASSUMP_AGENTIC_CONTEXT_PENALTY</t>
        </is>
      </c>
      <c r="L3018" s="3" t="inlineStr">
        <is>
          <t>Site-level measured PUE matched to attributed AI capacity.</t>
        </is>
      </c>
    </row>
    <row r="3019">
      <c r="A3019" s="3" t="inlineStr">
        <is>
          <t>Tencent</t>
        </is>
      </c>
      <c r="B3019" s="3" t="n">
        <v>2027</v>
      </c>
      <c r="C3019" s="3" t="inlineStr">
        <is>
          <t>Bull</t>
        </is>
      </c>
      <c r="D3019" s="3" t="inlineStr">
        <is>
          <t>it_load_gw</t>
        </is>
      </c>
      <c r="E3019" s="3" t="n">
        <v>0.825</v>
      </c>
      <c r="F3019" s="3" t="inlineStr">
        <is>
          <t>GW</t>
        </is>
      </c>
      <c r="G3019" s="3" t="inlineStr">
        <is>
          <t>Derived formula</t>
        </is>
      </c>
      <c r="H3019" s="3" t="inlineStr">
        <is>
          <t>active_power_gw / pue</t>
        </is>
      </c>
      <c r="I3019" s="3" t="inlineStr">
        <is>
          <t>Facility power is converted to IT-deliverable power before attributing AI workloads.</t>
        </is>
      </c>
      <c r="J3019" s="3" t="inlineStr">
        <is>
          <t>SRC_TENCENT_AI_INFRA_MOE; ASSUMP_CN_CAPACITY_TRANSPARENCY</t>
        </is>
      </c>
      <c r="K3019" s="3" t="inlineStr">
        <is>
          <t>ASSUMP_CN_CAPACITY_TRANSPARENCY; ASSUMP_APP_EMBEDDING; ASSUMP_NUMERIC_ACCELERATOR_MIX; ASSUMP_INFERENCE_SHARE_NOT_FACT_60; ASSUMP_WORKLOAD_CLASS_MIX; ASSUMP_AGENTIC_CONTEXT_PENALTY</t>
        </is>
      </c>
      <c r="L3019" s="3" t="inlineStr">
        <is>
          <t>Recompute once active power and PUE become site-observable.</t>
        </is>
      </c>
    </row>
    <row r="3020">
      <c r="A3020" s="3" t="inlineStr">
        <is>
          <t>Tencent</t>
        </is>
      </c>
      <c r="B3020" s="3" t="n">
        <v>2027</v>
      </c>
      <c r="C3020" s="3" t="inlineStr">
        <is>
          <t>Bull</t>
        </is>
      </c>
      <c r="D3020" s="3" t="inlineStr">
        <is>
          <t>ai_workload_share</t>
        </is>
      </c>
      <c r="E3020" s="3" t="n">
        <v>0.84</v>
      </c>
      <c r="F3020" s="3" t="inlineStr">
        <is>
          <t>share</t>
        </is>
      </c>
      <c r="G3020" s="3" t="inlineStr">
        <is>
          <t>Scenario allocation</t>
        </is>
      </c>
      <c r="H3020" s="3" t="inlineStr">
        <is>
          <t>ai_it_load_gw = it_load_gw * ai_workload_share</t>
        </is>
      </c>
      <c r="I3020" s="3" t="inlineStr">
        <is>
          <t>Modeled Hunyuan-serving capacity is AI-focused; 84% excludes cloud/platform and reserve overhead.</t>
        </is>
      </c>
      <c r="J3020" s="3" t="inlineStr">
        <is>
          <t>SRC_TENCENT_HUNYUAN; SRC_TENCENT_HY3; SRC_TENCENT_AI_INFRA_MOE; SRC_EPOCH_AI_DATA_CENTERS</t>
        </is>
      </c>
      <c r="K3020" s="3" t="inlineStr">
        <is>
          <t>ASSUMP_CN_CAPACITY_TRANSPARENCY; ASSUMP_APP_EMBEDDING; ASSUMP_NUMERIC_ACCELERATOR_MIX; ASSUMP_INFERENCE_SHARE_NOT_FACT_60; ASSUMP_WORKLOAD_CLASS_MIX; ASSUMP_AGENTIC_CONTEXT_PENALTY</t>
        </is>
      </c>
      <c r="L3020" s="3" t="inlineStr">
        <is>
          <t>Model-owner AI workload allocation or cluster scheduling telemetry.</t>
        </is>
      </c>
    </row>
    <row r="3021">
      <c r="A3021" s="3" t="inlineStr">
        <is>
          <t>Tencent</t>
        </is>
      </c>
      <c r="B3021" s="3" t="n">
        <v>2027</v>
      </c>
      <c r="C3021" s="3" t="inlineStr">
        <is>
          <t>Bull</t>
        </is>
      </c>
      <c r="D3021" s="3" t="inlineStr">
        <is>
          <t>ai_it_load_gw</t>
        </is>
      </c>
      <c r="E3021" s="3" t="n">
        <v>0.6929999999999999</v>
      </c>
      <c r="F3021" s="3" t="inlineStr">
        <is>
          <t>GW</t>
        </is>
      </c>
      <c r="G3021" s="3" t="inlineStr">
        <is>
          <t>Derived formula</t>
        </is>
      </c>
      <c r="H3021" s="3" t="inlineStr">
        <is>
          <t>it_load_gw * ai_workload_share</t>
        </is>
      </c>
      <c r="I3021" s="3" t="inlineStr">
        <is>
          <t>Only the AI-attributed portion of IT load enters training/inference allocation.</t>
        </is>
      </c>
      <c r="J3021" s="3" t="inlineStr">
        <is>
          <t>SRC_TENCENT_HUNYUAN; SRC_TENCENT_HY3; SRC_TENCENT_AI_INFRA_MOE; SRC_EPOCH_AI_DATA_CENTERS</t>
        </is>
      </c>
      <c r="K3021" s="3" t="inlineStr">
        <is>
          <t>ASSUMP_CN_CAPACITY_TRANSPARENCY; ASSUMP_APP_EMBEDDING; ASSUMP_NUMERIC_ACCELERATOR_MIX; ASSUMP_INFERENCE_SHARE_NOT_FACT_60; ASSUMP_WORKLOAD_CLASS_MIX; ASSUMP_AGENTIC_CONTEXT_PENALTY</t>
        </is>
      </c>
      <c r="L3021" s="3" t="inlineStr">
        <is>
          <t>Recompute after ai_workload_share is replaced by telemetry.</t>
        </is>
      </c>
    </row>
    <row r="3022">
      <c r="A3022" s="3" t="inlineStr">
        <is>
          <t>Tencent</t>
        </is>
      </c>
      <c r="B3022" s="3" t="n">
        <v>2027</v>
      </c>
      <c r="C3022" s="3" t="inlineStr">
        <is>
          <t>Bull</t>
        </is>
      </c>
      <c r="D3022" s="3" t="inlineStr">
        <is>
          <t>gpu_share</t>
        </is>
      </c>
      <c r="E3022" s="3" t="n">
        <v>1</v>
      </c>
      <c r="F3022" s="3" t="inlineStr">
        <is>
          <t>share of inference-serving accelerator load</t>
        </is>
      </c>
      <c r="G3022" s="3" t="inlineStr">
        <is>
          <t>Numeric scenario</t>
        </is>
      </c>
      <c r="H3022" s="3" t="inlineStr">
        <is>
          <t>gpu_share interpolated from company 2026/2030 accelerator-mix endpoints</t>
        </is>
      </c>
      <c r="I3022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22" s="3" t="inlineStr">
        <is>
          <t>SRC_TENCENT_HUNYUAN; SRC_TENCENT_HY3; SRC_TENCENT_AI_INFRA_MOE; SRC_EPOCH_AI_DATA_CENTERS; ASSUMP_NUMERIC_ACCELERATOR_MIX</t>
        </is>
      </c>
      <c r="K3022" s="3" t="inlineStr">
        <is>
          <t>ASSUMP_CN_CAPACITY_TRANSPARENCY; ASSUMP_APP_EMBEDDING; ASSUMP_NUMERIC_ACCELERATOR_MIX; ASSUMP_INFERENCE_SHARE_NOT_FACT_60; ASSUMP_WORKLOAD_CLASS_MIX; ASSUMP_AGENTIC_CONTEXT_PENALTY</t>
        </is>
      </c>
      <c r="L3022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23">
      <c r="A3023" s="3" t="inlineStr">
        <is>
          <t>Tencent</t>
        </is>
      </c>
      <c r="B3023" s="3" t="n">
        <v>2027</v>
      </c>
      <c r="C3023" s="3" t="inlineStr">
        <is>
          <t>Bull</t>
        </is>
      </c>
      <c r="D3023" s="3" t="inlineStr">
        <is>
          <t>h200_share</t>
        </is>
      </c>
      <c r="E3023" s="3" t="n">
        <v>0.438</v>
      </c>
      <c r="F3023" s="3" t="inlineStr">
        <is>
          <t>share of inference-serving accelerator load</t>
        </is>
      </c>
      <c r="G3023" s="3" t="inlineStr">
        <is>
          <t>Editable numeric scenario</t>
        </is>
      </c>
      <c r="H3023" s="3" t="inlineStr">
        <is>
          <t>h200_share = gpu_share * default_gpu_generation_mix_h200</t>
        </is>
      </c>
      <c r="I3023" s="3" t="inlineStr">
        <is>
          <t>Default GPU-generation migration assumption; executive workbook allows later manual replacement by company/year/scenario.</t>
        </is>
      </c>
      <c r="J3023" s="3" t="inlineStr">
        <is>
          <t>SRC_SEMIANALYSIS_INFERENCEX; ASSUMP_NUMERIC_ACCELERATOR_MIX</t>
        </is>
      </c>
      <c r="K3023" s="3" t="inlineStr">
        <is>
          <t>ASSUMP_CN_CAPACITY_TRANSPARENCY; ASSUMP_APP_EMBEDDING; ASSUMP_NUMERIC_ACCELERATOR_MIX; ASSUMP_INFERENCE_SHARE_NOT_FACT_60; ASSUMP_WORKLOAD_CLASS_MIX; ASSUMP_AGENTIC_CONTEXT_PENALTY</t>
        </is>
      </c>
      <c r="L3023" s="3" t="inlineStr">
        <is>
          <t>Company fleet inventory, accelerator-hours or procurement/deployment records by GPU generation.</t>
        </is>
      </c>
    </row>
    <row r="3024">
      <c r="A3024" s="3" t="inlineStr">
        <is>
          <t>Tencent</t>
        </is>
      </c>
      <c r="B3024" s="3" t="n">
        <v>2027</v>
      </c>
      <c r="C3024" s="3" t="inlineStr">
        <is>
          <t>Bull</t>
        </is>
      </c>
      <c r="D3024" s="3" t="inlineStr">
        <is>
          <t>b200_share</t>
        </is>
      </c>
      <c r="E3024" s="3" t="n">
        <v>0.388</v>
      </c>
      <c r="F3024" s="3" t="inlineStr">
        <is>
          <t>share of inference-serving accelerator load</t>
        </is>
      </c>
      <c r="G3024" s="3" t="inlineStr">
        <is>
          <t>Editable numeric scenario</t>
        </is>
      </c>
      <c r="H3024" s="3" t="inlineStr">
        <is>
          <t>b200_share = gpu_share * default_gpu_generation_mix_b200</t>
        </is>
      </c>
      <c r="I3024" s="3" t="inlineStr">
        <is>
          <t>Default GPU-generation migration assumption; executive workbook allows later manual replacement by company/year/scenario.</t>
        </is>
      </c>
      <c r="J3024" s="3" t="inlineStr">
        <is>
          <t>SRC_SEMIANALYSIS_INFERENCEX; ASSUMP_NUMERIC_ACCELERATOR_MIX</t>
        </is>
      </c>
      <c r="K3024" s="3" t="inlineStr">
        <is>
          <t>ASSUMP_CN_CAPACITY_TRANSPARENCY; ASSUMP_APP_EMBEDDING; ASSUMP_NUMERIC_ACCELERATOR_MIX; ASSUMP_INFERENCE_SHARE_NOT_FACT_60; ASSUMP_WORKLOAD_CLASS_MIX; ASSUMP_AGENTIC_CONTEXT_PENALTY</t>
        </is>
      </c>
      <c r="L3024" s="3" t="inlineStr">
        <is>
          <t>Company fleet inventory, accelerator-hours or procurement/deployment records by GPU generation.</t>
        </is>
      </c>
    </row>
    <row r="3025">
      <c r="A3025" s="3" t="inlineStr">
        <is>
          <t>Tencent</t>
        </is>
      </c>
      <c r="B3025" s="3" t="n">
        <v>2027</v>
      </c>
      <c r="C3025" s="3" t="inlineStr">
        <is>
          <t>Bull</t>
        </is>
      </c>
      <c r="D3025" s="3" t="inlineStr">
        <is>
          <t>gb200_share</t>
        </is>
      </c>
      <c r="E3025" s="3" t="n">
        <v>0.174</v>
      </c>
      <c r="F3025" s="3" t="inlineStr">
        <is>
          <t>share of inference-serving accelerator load</t>
        </is>
      </c>
      <c r="G3025" s="3" t="inlineStr">
        <is>
          <t>Editable numeric scenario</t>
        </is>
      </c>
      <c r="H3025" s="3" t="inlineStr">
        <is>
          <t>gb200_share = gpu_share * default_gpu_generation_mix_gb200</t>
        </is>
      </c>
      <c r="I3025" s="3" t="inlineStr">
        <is>
          <t>Default GPU-generation migration assumption; executive workbook allows later manual replacement by company/year/scenario.</t>
        </is>
      </c>
      <c r="J3025" s="3" t="inlineStr">
        <is>
          <t>SRC_SEMIANALYSIS_INFERENCEX; ASSUMP_NUMERIC_ACCELERATOR_MIX</t>
        </is>
      </c>
      <c r="K3025" s="3" t="inlineStr">
        <is>
          <t>ASSUMP_CN_CAPACITY_TRANSPARENCY; ASSUMP_APP_EMBEDDING; ASSUMP_NUMERIC_ACCELERATOR_MIX; ASSUMP_INFERENCE_SHARE_NOT_FACT_60; ASSUMP_WORKLOAD_CLASS_MIX; ASSUMP_AGENTIC_CONTEXT_PENALTY</t>
        </is>
      </c>
      <c r="L3025" s="3" t="inlineStr">
        <is>
          <t>Company fleet inventory, accelerator-hours or procurement/deployment records by GPU generation.</t>
        </is>
      </c>
    </row>
    <row r="3026">
      <c r="A3026" s="3" t="inlineStr">
        <is>
          <t>Tencent</t>
        </is>
      </c>
      <c r="B3026" s="3" t="n">
        <v>2027</v>
      </c>
      <c r="C3026" s="3" t="inlineStr">
        <is>
          <t>Bull</t>
        </is>
      </c>
      <c r="D3026" s="3" t="inlineStr">
        <is>
          <t>purpose_built_accelerator_share</t>
        </is>
      </c>
      <c r="E3026" s="3" t="n">
        <v>0</v>
      </c>
      <c r="F3026" s="3" t="inlineStr">
        <is>
          <t>share of inference-serving accelerator load</t>
        </is>
      </c>
      <c r="G3026" s="3" t="inlineStr">
        <is>
          <t>Numeric scenario</t>
        </is>
      </c>
      <c r="H3026" s="3" t="inlineStr">
        <is>
          <t>1 - gpu_share</t>
        </is>
      </c>
      <c r="I3026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26" s="3" t="inlineStr">
        <is>
          <t>SRC_TENCENT_HUNYUAN; SRC_TENCENT_HY3; SRC_TENCENT_AI_INFRA_MOE; SRC_EPOCH_AI_DATA_CENTERS; ASSUMP_NUMERIC_ACCELERATOR_MIX</t>
        </is>
      </c>
      <c r="K3026" s="3" t="inlineStr">
        <is>
          <t>ASSUMP_CN_CAPACITY_TRANSPARENCY; ASSUMP_APP_EMBEDDING; ASSUMP_NUMERIC_ACCELERATOR_MIX; ASSUMP_INFERENCE_SHARE_NOT_FACT_60; ASSUMP_WORKLOAD_CLASS_MIX; ASSUMP_AGENTIC_CONTEXT_PENALTY</t>
        </is>
      </c>
      <c r="L3026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27">
      <c r="A3027" s="3" t="inlineStr">
        <is>
          <t>Tencent</t>
        </is>
      </c>
      <c r="B3027" s="3" t="n">
        <v>2027</v>
      </c>
      <c r="C3027" s="3" t="inlineStr">
        <is>
          <t>Bull</t>
        </is>
      </c>
      <c r="D3027" s="3" t="inlineStr">
        <is>
          <t>fleet_reference_tps_per_mw</t>
        </is>
      </c>
      <c r="E3027" s="3" t="n">
        <v>2616983</v>
      </c>
      <c r="F3027" s="3" t="inlineStr">
        <is>
          <t>generated output tokens/sec/MW</t>
        </is>
      </c>
      <c r="G3027" s="3" t="inlineStr">
        <is>
          <t>Fleet-weighted public benchmark reference</t>
        </is>
      </c>
      <c r="H3027" s="3" t="inlineStr">
        <is>
          <t>h200_share*h200_workload_avg + b200_share*b200_workload_avg + gb200_share*gb200_workload_avg + purpose_built_share*purpose_workload_avg</t>
        </is>
      </c>
      <c r="I302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27" s="3" t="inlineStr">
        <is>
          <t>SRC_SEMIANALYSIS_INFERENCEX; ASSUMP_NUMERIC_ACCELERATOR_MIX; ASSUMP_WORKLOAD_CLASS_MIX; ASSUMP_AGENTIC_CONTEXT_PENALTY</t>
        </is>
      </c>
      <c r="K3027" s="3" t="inlineStr">
        <is>
          <t>ASSUMP_CN_CAPACITY_TRANSPARENCY; ASSUMP_APP_EMBEDDING; ASSUMP_NUMERIC_ACCELERATOR_MIX; ASSUMP_INFERENCE_SHARE_NOT_FACT_60; ASSUMP_WORKLOAD_CLASS_MIX; ASSUMP_AGENTIC_CONTEXT_PENALTY</t>
        </is>
      </c>
      <c r="L3027" s="3" t="inlineStr">
        <is>
          <t>Comparable production output-token throughput or a more closely matched benchmark.</t>
        </is>
      </c>
    </row>
    <row r="3028">
      <c r="A3028" s="3" t="inlineStr">
        <is>
          <t>Tencent</t>
        </is>
      </c>
      <c r="B3028" s="3" t="n">
        <v>2027</v>
      </c>
      <c r="C3028" s="3" t="inlineStr">
        <is>
          <t>Bull</t>
        </is>
      </c>
      <c r="D3028" s="3" t="inlineStr">
        <is>
          <t>commercial_workload_fit_factor</t>
        </is>
      </c>
      <c r="E3028" s="3" t="n">
        <v>0.8</v>
      </c>
      <c r="F3028" s="3" t="inlineStr">
        <is>
          <t>share of public reference throughput</t>
        </is>
      </c>
      <c r="G3028" s="3" t="inlineStr">
        <is>
          <t>Scenario assumption</t>
        </is>
      </c>
      <c r="H3028" s="3" t="inlineStr">
        <is>
          <t>reference_serving_tps_per_mw = fleet_reference_tps_per_mw * commercial_workload_fit_factor</t>
        </is>
      </c>
      <c r="I3028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28" s="3" t="inlineStr">
        <is>
          <t>SRC_SEMIANALYSIS_INFERENCEX; ASSUMP_NUMERIC_ACCELERATOR_MIX; ASSUMP_WORKLOAD_CLASS_MIX; ASSUMP_AGENTIC_CONTEXT_PENALTY</t>
        </is>
      </c>
      <c r="K3028" s="3" t="inlineStr">
        <is>
          <t>ASSUMP_CN_CAPACITY_TRANSPARENCY; ASSUMP_APP_EMBEDDING; ASSUMP_NUMERIC_ACCELERATOR_MIX; ASSUMP_INFERENCE_SHARE_NOT_FACT_60; ASSUMP_WORKLOAD_CLASS_MIX; ASSUMP_AGENTIC_CONTEXT_PENALTY</t>
        </is>
      </c>
      <c r="L3028" s="3" t="inlineStr">
        <is>
          <t>Matched commercial serving benchmark by product surface, context shape and latency SLO.</t>
        </is>
      </c>
    </row>
    <row r="3029">
      <c r="A3029" s="3" t="inlineStr">
        <is>
          <t>Tencent</t>
        </is>
      </c>
      <c r="B3029" s="3" t="n">
        <v>2027</v>
      </c>
      <c r="C3029" s="3" t="inlineStr">
        <is>
          <t>Bull</t>
        </is>
      </c>
      <c r="D3029" s="3" t="inlineStr">
        <is>
          <t>reference_serving_tps_per_mw</t>
        </is>
      </c>
      <c r="E3029" s="3" t="n">
        <v>2093586</v>
      </c>
      <c r="F3029" s="3" t="inlineStr">
        <is>
          <t>generated output tokens/sec/MW</t>
        </is>
      </c>
      <c r="G3029" s="3" t="inlineStr">
        <is>
          <t>Workload-adjusted benchmark proxy</t>
        </is>
      </c>
      <c r="H3029" s="3" t="inlineStr">
        <is>
          <t>fleet_reference_tps_per_mw * commercial_workload_fit_factor</t>
        </is>
      </c>
      <c r="I3029" s="3" t="inlineStr">
        <is>
          <t>This is the coefficient used for headline token generation; each GPU's short chat, long chat and agentic TPS/MW are weighted before fleet mix and commercial fit are applied.</t>
        </is>
      </c>
      <c r="J3029" s="3" t="inlineStr">
        <is>
          <t>SRC_SEMIANALYSIS_INFERENCEX; ASSUMP_NUMERIC_ACCELERATOR_MIX; ASSUMP_WORKLOAD_CLASS_MIX; ASSUMP_AGENTIC_CONTEXT_PENALTY</t>
        </is>
      </c>
      <c r="K3029" s="3" t="inlineStr">
        <is>
          <t>ASSUMP_CN_CAPACITY_TRANSPARENCY; ASSUMP_APP_EMBEDDING; ASSUMP_NUMERIC_ACCELERATOR_MIX; ASSUMP_INFERENCE_SHARE_NOT_FACT_60; ASSUMP_WORKLOAD_CLASS_MIX; ASSUMP_AGENTIC_CONTEXT_PENALTY</t>
        </is>
      </c>
      <c r="L3029" s="3" t="inlineStr">
        <is>
          <t>Provider production output-token throughput with comparable workload/SLO.</t>
        </is>
      </c>
    </row>
    <row r="3030">
      <c r="A3030" s="3" t="inlineStr">
        <is>
          <t>Tencent</t>
        </is>
      </c>
      <c r="B3030" s="3" t="n">
        <v>2027</v>
      </c>
      <c r="C3030" s="3" t="inlineStr">
        <is>
          <t>Bull</t>
        </is>
      </c>
      <c r="D3030" s="3" t="inlineStr">
        <is>
          <t>purpose_built_tps_per_mw</t>
        </is>
      </c>
      <c r="E3030" s="3" t="n">
        <v>3613574</v>
      </c>
      <c r="F3030" s="3" t="inlineStr">
        <is>
          <t>generated output tokens/sec/MW</t>
        </is>
      </c>
      <c r="G3030" s="3" t="inlineStr">
        <is>
          <t>Conservative no-uplift proxy</t>
        </is>
      </c>
      <c r="H3030" s="3" t="inlineStr">
        <is>
          <t>purpose_built_tps_per_mw = purpose_built_reference_tps_per_mw * commercial_workload_fit_factor until comparable output-token benchmark is adopted</t>
        </is>
      </c>
      <c r="I3030" s="3" t="inlineStr">
        <is>
          <t>No comparable public output-token/MW row adopted; B200 public reference placeholder is used and remains editable.</t>
        </is>
      </c>
      <c r="J3030" s="3" t="inlineStr">
        <is>
          <t>SRC_TENCENT_HUNYUAN; SRC_TENCENT_HY3; SRC_TENCENT_AI_INFRA_MOE; SRC_EPOCH_AI_DATA_CENTERS; ASSUMP_NUMERIC_ACCELERATOR_MIX</t>
        </is>
      </c>
      <c r="K3030" s="3" t="inlineStr">
        <is>
          <t>ASSUMP_CN_CAPACITY_TRANSPARENCY; ASSUMP_APP_EMBEDDING; ASSUMP_NUMERIC_ACCELERATOR_MIX; ASSUMP_INFERENCE_SHARE_NOT_FACT_60; ASSUMP_WORKLOAD_CLASS_MIX; ASSUMP_AGENTIC_CONTEXT_PENALTY</t>
        </is>
      </c>
      <c r="L3030" s="3" t="inlineStr">
        <is>
          <t>Matched-workload generated-output benchmark for the provider purpose-built accelerator.</t>
        </is>
      </c>
    </row>
    <row r="3031">
      <c r="A3031" s="3" t="inlineStr">
        <is>
          <t>Tencent</t>
        </is>
      </c>
      <c r="B3031" s="3" t="n">
        <v>2027</v>
      </c>
      <c r="C3031" s="3" t="inlineStr">
        <is>
          <t>Bull</t>
        </is>
      </c>
      <c r="D3031" s="3" t="inlineStr">
        <is>
          <t>inference_power_share</t>
        </is>
      </c>
      <c r="E3031" s="3" t="n">
        <v>0.708</v>
      </c>
      <c r="F3031" s="3" t="inlineStr">
        <is>
          <t>share of AI IT load</t>
        </is>
      </c>
      <c r="G3031" s="3" t="inlineStr">
        <is>
          <t>Scenario allocation</t>
        </is>
      </c>
      <c r="H3031" s="3" t="inlineStr">
        <is>
          <t>inference_gw = ai_it_load_gw * inference_power_share</t>
        </is>
      </c>
      <c r="I3031" s="3" t="inlineStr">
        <is>
          <t>Yuanbao and embedded product surfaces plus Hunyuan Turbo inference-cost direction support rising inference allocation.</t>
        </is>
      </c>
      <c r="J3031" s="3" t="inlineStr">
        <is>
          <t>SRC_TENCENT_HUNYUAN; SRC_TENCENT_HY3; SRC_TENCENT_AI_INFRA_MOE; SRC_EPOCH_AI_DATA_CENTERS; ASSUMP_INFERENCE_SHARE_NOT_FACT_60</t>
        </is>
      </c>
      <c r="K3031" s="3" t="inlineStr">
        <is>
          <t>ASSUMP_CN_CAPACITY_TRANSPARENCY; ASSUMP_APP_EMBEDDING; ASSUMP_NUMERIC_ACCELERATOR_MIX; ASSUMP_INFERENCE_SHARE_NOT_FACT_60; ASSUMP_WORKLOAD_CLASS_MIX; ASSUMP_AGENTIC_CONTEXT_PENALTY</t>
        </is>
      </c>
      <c r="L3031" s="3" t="inlineStr">
        <is>
          <t>Provider-specific inference/training workload power telemetry.</t>
        </is>
      </c>
    </row>
    <row r="3032">
      <c r="A3032" s="3" t="inlineStr">
        <is>
          <t>Tencent</t>
        </is>
      </c>
      <c r="B3032" s="3" t="n">
        <v>2027</v>
      </c>
      <c r="C3032" s="3" t="inlineStr">
        <is>
          <t>Bull</t>
        </is>
      </c>
      <c r="D3032" s="3" t="inlineStr">
        <is>
          <t>inference_gw</t>
        </is>
      </c>
      <c r="E3032" s="3" t="n">
        <v>0.49</v>
      </c>
      <c r="F3032" s="3" t="inlineStr">
        <is>
          <t>GW</t>
        </is>
      </c>
      <c r="G3032" s="3" t="inlineStr">
        <is>
          <t>Derived formula</t>
        </is>
      </c>
      <c r="H3032" s="3" t="inlineStr">
        <is>
          <t>ai_it_load_gw * inference_power_share</t>
        </is>
      </c>
      <c r="I3032" s="3" t="inlineStr">
        <is>
          <t>This is the operational power eligible to become commercial generated output tokens through the selected TPS/MW proxy.</t>
        </is>
      </c>
      <c r="J3032" s="3" t="inlineStr">
        <is>
          <t>SRC_TENCENT_HUNYUAN; SRC_TENCENT_HY3; SRC_TENCENT_AI_INFRA_MOE; SRC_EPOCH_AI_DATA_CENTERS</t>
        </is>
      </c>
      <c r="K3032" s="3" t="inlineStr">
        <is>
          <t>ASSUMP_CN_CAPACITY_TRANSPARENCY; ASSUMP_APP_EMBEDDING; ASSUMP_NUMERIC_ACCELERATOR_MIX; ASSUMP_INFERENCE_SHARE_NOT_FACT_60; ASSUMP_WORKLOAD_CLASS_MIX; ASSUMP_AGENTIC_CONTEXT_PENALTY</t>
        </is>
      </c>
      <c r="L3032" s="3" t="inlineStr">
        <is>
          <t>Recompute after AI allocation or inference-share evidence changes.</t>
        </is>
      </c>
    </row>
    <row r="3033">
      <c r="A3033" s="3" t="inlineStr">
        <is>
          <t>Tencent</t>
        </is>
      </c>
      <c r="B3033" s="3" t="n">
        <v>2027</v>
      </c>
      <c r="C3033" s="3" t="inlineStr">
        <is>
          <t>Bull</t>
        </is>
      </c>
      <c r="D3033" s="3" t="inlineStr">
        <is>
          <t>training_power_share</t>
        </is>
      </c>
      <c r="E3033" s="3" t="n">
        <v>0.292</v>
      </c>
      <c r="F3033" s="3" t="inlineStr">
        <is>
          <t>share of AI IT load</t>
        </is>
      </c>
      <c r="G3033" s="3" t="inlineStr">
        <is>
          <t>Derived allocation</t>
        </is>
      </c>
      <c r="H3033" s="3" t="inlineStr">
        <is>
          <t>1 - inference_power_share</t>
        </is>
      </c>
      <c r="I3033" s="3" t="inlineStr">
        <is>
          <t>Training receives the complementary modeled AI IT allocation; it is not a disclosed company workload split.</t>
        </is>
      </c>
      <c r="J3033" s="3" t="inlineStr">
        <is>
          <t>SRC_TENCENT_HUNYUAN; SRC_TENCENT_HY3; SRC_TENCENT_AI_INFRA_MOE; SRC_EPOCH_AI_DATA_CENTERS; ASSUMP_INFERENCE_SHARE_NOT_FACT_60</t>
        </is>
      </c>
      <c r="K3033" s="3" t="inlineStr">
        <is>
          <t>ASSUMP_CN_CAPACITY_TRANSPARENCY; ASSUMP_APP_EMBEDDING; ASSUMP_NUMERIC_ACCELERATOR_MIX; ASSUMP_INFERENCE_SHARE_NOT_FACT_60; ASSUMP_WORKLOAD_CLASS_MIX; ASSUMP_AGENTIC_CONTEXT_PENALTY</t>
        </is>
      </c>
      <c r="L3033" s="3" t="inlineStr">
        <is>
          <t>Provider-specific inference/training workload power telemetry.</t>
        </is>
      </c>
    </row>
    <row r="3034">
      <c r="A3034" s="3" t="inlineStr">
        <is>
          <t>Tencent</t>
        </is>
      </c>
      <c r="B3034" s="3" t="n">
        <v>2027</v>
      </c>
      <c r="C3034" s="3" t="inlineStr">
        <is>
          <t>Bull</t>
        </is>
      </c>
      <c r="D3034" s="3" t="inlineStr">
        <is>
          <t>training_gw</t>
        </is>
      </c>
      <c r="E3034" s="3" t="n">
        <v>0.203</v>
      </c>
      <c r="F3034" s="3" t="inlineStr">
        <is>
          <t>GW</t>
        </is>
      </c>
      <c r="G3034" s="3" t="inlineStr">
        <is>
          <t>Derived formula</t>
        </is>
      </c>
      <c r="H3034" s="3" t="inlineStr">
        <is>
          <t>ai_it_load_gw * training_power_share</t>
        </is>
      </c>
      <c r="I3034" s="3" t="inlineStr">
        <is>
          <t>Training GW is shown separately so commercial inference token capacity is not overstated.</t>
        </is>
      </c>
      <c r="J3034" s="3" t="inlineStr">
        <is>
          <t>SRC_TENCENT_HUNYUAN; SRC_TENCENT_HY3; SRC_TENCENT_AI_INFRA_MOE; SRC_EPOCH_AI_DATA_CENTERS</t>
        </is>
      </c>
      <c r="K3034" s="3" t="inlineStr">
        <is>
          <t>ASSUMP_CN_CAPACITY_TRANSPARENCY; ASSUMP_APP_EMBEDDING; ASSUMP_NUMERIC_ACCELERATOR_MIX; ASSUMP_INFERENCE_SHARE_NOT_FACT_60; ASSUMP_WORKLOAD_CLASS_MIX; ASSUMP_AGENTIC_CONTEXT_PENALTY</t>
        </is>
      </c>
      <c r="L3034" s="3" t="inlineStr">
        <is>
          <t>Recompute after AI allocation or workload-split evidence changes.</t>
        </is>
      </c>
    </row>
    <row r="3035">
      <c r="A3035" s="3" t="inlineStr">
        <is>
          <t>Tencent</t>
        </is>
      </c>
      <c r="B3035" s="3" t="n">
        <v>2027</v>
      </c>
      <c r="C3035" s="3" t="inlineStr">
        <is>
          <t>Bull</t>
        </is>
      </c>
      <c r="D3035" s="3" t="inlineStr">
        <is>
          <t>tokens_per_second_per_mw</t>
        </is>
      </c>
      <c r="E3035" s="3" t="n">
        <v>2093586</v>
      </c>
      <c r="F3035" s="3" t="inlineStr">
        <is>
          <t>generated output tokens/sec/MW</t>
        </is>
      </c>
      <c r="G3035" s="3" t="inlineStr">
        <is>
          <t>Derived estimate + benchmark calibration</t>
        </is>
      </c>
      <c r="H3035" s="3" t="inlineStr">
        <is>
          <t>fleet_reference_tps_per_mw * commercial_workload_fit_factor</t>
        </is>
      </c>
      <c r="I3035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35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35" s="3" t="inlineStr">
        <is>
          <t>ASSUMP_CN_CAPACITY_TRANSPARENCY; ASSUMP_APP_EMBEDDING; ASSUMP_NUMERIC_ACCELERATOR_MIX; ASSUMP_INFERENCE_SHARE_NOT_FACT_60; ASSUMP_WORKLOAD_CLASS_MIX; ASSUMP_AGENTIC_CONTEXT_PENALTY</t>
        </is>
      </c>
      <c r="L3035" s="3" t="inlineStr">
        <is>
          <t>Comparable production output-token throughput with model, hardware, precision, ISL/OSL and SLO matched.</t>
        </is>
      </c>
    </row>
    <row r="3036">
      <c r="A3036" s="3" t="inlineStr">
        <is>
          <t>Tencent</t>
        </is>
      </c>
      <c r="B3036" s="3" t="n">
        <v>2027</v>
      </c>
      <c r="C3036" s="3" t="inlineStr">
        <is>
          <t>Bull</t>
        </is>
      </c>
      <c r="D3036" s="3" t="inlineStr">
        <is>
          <t>inference_tokens_per_day</t>
        </is>
      </c>
      <c r="E3036" s="3" t="n">
        <v>88634056896000</v>
      </c>
      <c r="F3036" s="3" t="inlineStr">
        <is>
          <t>generated output tokens/day</t>
        </is>
      </c>
      <c r="G3036" s="3" t="inlineStr">
        <is>
          <t>Derived headline metric</t>
        </is>
      </c>
      <c r="H3036" s="3" t="inlineStr">
        <is>
          <t>inference_gw * 1000 * tokens_per_second_per_mw * 86,400</t>
        </is>
      </c>
      <c r="I3036" s="3" t="inlineStr">
        <is>
          <t>Headline capacity uses no utilization, MoE, architecture or software-growth multiplier; it is not observed commercial output volume.</t>
        </is>
      </c>
      <c r="J3036" s="3" t="inlineStr">
        <is>
          <t>SRC_TENCENT_HUNYUAN; SRC_TENCENT_HY3; SRC_TENCENT_AI_INFRA_MOE; SRC_EPOCH_AI_DATA_CENTERS; SRC_SEMIANALYSIS_INFERENCEX</t>
        </is>
      </c>
      <c r="K3036" s="3" t="inlineStr">
        <is>
          <t>ASSUMP_CN_CAPACITY_TRANSPARENCY; ASSUMP_APP_EMBEDDING; ASSUMP_NUMERIC_ACCELERATOR_MIX; ASSUMP_INFERENCE_SHARE_NOT_FACT_60; ASSUMP_WORKLOAD_CLASS_MIX; ASSUMP_AGENTIC_CONTEXT_PENALTY</t>
        </is>
      </c>
      <c r="L3036" s="3" t="inlineStr">
        <is>
          <t>Provider-disclosed generated output token volume or calibrated capacity telemetry.</t>
        </is>
      </c>
    </row>
    <row r="3037">
      <c r="A3037" s="3" t="inlineStr">
        <is>
          <t>Tencent</t>
        </is>
      </c>
      <c r="B3037" s="3" t="n">
        <v>2027</v>
      </c>
      <c r="C3037" s="3" t="inlineStr">
        <is>
          <t>Bull</t>
        </is>
      </c>
      <c r="D3037" s="3" t="inlineStr">
        <is>
          <t>inference_tokens_per_year</t>
        </is>
      </c>
      <c r="E3037" s="3" t="n">
        <v>3.235143076704e+16</v>
      </c>
      <c r="F3037" s="3" t="inlineStr">
        <is>
          <t>generated output tokens/year</t>
        </is>
      </c>
      <c r="G3037" s="3" t="inlineStr">
        <is>
          <t>Derived headline metric</t>
        </is>
      </c>
      <c r="H3037" s="3" t="inlineStr">
        <is>
          <t>inference_tokens_per_day * 365</t>
        </is>
      </c>
      <c r="I3037" s="3" t="inlineStr">
        <is>
          <t>Annualized version of generated output token capacity; it is not observed annual demand or billable volume.</t>
        </is>
      </c>
      <c r="J3037" s="3" t="inlineStr">
        <is>
          <t>SRC_TENCENT_HUNYUAN; SRC_TENCENT_HY3; SRC_TENCENT_AI_INFRA_MOE; SRC_EPOCH_AI_DATA_CENTERS; SRC_SEMIANALYSIS_INFERENCEX</t>
        </is>
      </c>
      <c r="K3037" s="3" t="inlineStr">
        <is>
          <t>ASSUMP_CN_CAPACITY_TRANSPARENCY; ASSUMP_APP_EMBEDDING; ASSUMP_NUMERIC_ACCELERATOR_MIX; ASSUMP_INFERENCE_SHARE_NOT_FACT_60; ASSUMP_WORKLOAD_CLASS_MIX; ASSUMP_AGENTIC_CONTEXT_PENALTY</t>
        </is>
      </c>
      <c r="L3037" s="3" t="inlineStr">
        <is>
          <t>Provider-disclosed annual generated-output volume or metered serving telemetry.</t>
        </is>
      </c>
    </row>
    <row r="3038">
      <c r="A3038" s="3" t="inlineStr">
        <is>
          <t>Tencent</t>
        </is>
      </c>
      <c r="B3038" s="3" t="n">
        <v>2028</v>
      </c>
      <c r="C3038" s="3" t="inlineStr">
        <is>
          <t>Bull</t>
        </is>
      </c>
      <c r="D3038" s="3" t="inlineStr">
        <is>
          <t>contracted_power_gw</t>
        </is>
      </c>
      <c r="E3038" s="3" t="n">
        <v>2.1</v>
      </c>
      <c r="F3038" s="3" t="inlineStr">
        <is>
          <t>GW</t>
        </is>
      </c>
      <c r="G3038" s="3" t="inlineStr">
        <is>
          <t>Scenario capacity envelope</t>
        </is>
      </c>
      <c r="H3038" s="3" t="inlineStr">
        <is>
          <t>linear interpolation between 2026 and 2030 company capacity endpoints</t>
        </is>
      </c>
      <c r="I3038" s="3" t="inlineStr">
        <is>
          <t>Tencent Cloud/Hunyuan capacity is a scenario envelope because operated model-serving GW is undisclosed.</t>
        </is>
      </c>
      <c r="J3038" s="3" t="inlineStr">
        <is>
          <t>SRC_TENCENT_AI_INFRA_MOE; ASSUMP_CN_CAPACITY_TRANSPARENCY</t>
        </is>
      </c>
      <c r="K3038" s="3" t="inlineStr">
        <is>
          <t>ASSUMP_CN_CAPACITY_TRANSPARENCY; ASSUMP_APP_EMBEDDING; ASSUMP_NUMERIC_ACCELERATOR_MIX; ASSUMP_INFERENCE_SHARE_NOT_FACT_60; ASSUMP_WORKLOAD_CLASS_MIX; ASSUMP_AGENTIC_CONTEXT_PENALTY</t>
        </is>
      </c>
      <c r="L3038" s="3" t="inlineStr">
        <is>
          <t>Company/site-level committed MW/GW, interconnect and contract disclosure.</t>
        </is>
      </c>
    </row>
    <row r="3039">
      <c r="A3039" s="3" t="inlineStr">
        <is>
          <t>Tencent</t>
        </is>
      </c>
      <c r="B3039" s="3" t="n">
        <v>2028</v>
      </c>
      <c r="C3039" s="3" t="inlineStr">
        <is>
          <t>Bull</t>
        </is>
      </c>
      <c r="D3039" s="3" t="inlineStr">
        <is>
          <t>operational_deployment_share</t>
        </is>
      </c>
      <c r="E3039" s="3" t="n">
        <v>0.75666667</v>
      </c>
      <c r="F3039" s="3" t="inlineStr">
        <is>
          <t>share</t>
        </is>
      </c>
      <c r="G3039" s="3" t="inlineStr">
        <is>
          <t>Scenario conversion</t>
        </is>
      </c>
      <c r="H3039" s="3" t="inlineStr">
        <is>
          <t>active_power_gw / contracted_power_gw</t>
        </is>
      </c>
      <c r="I3039" s="3" t="inlineStr">
        <is>
          <t>This is the single explicit conversion from contracted/attributed capacity to operationally usable capacity.</t>
        </is>
      </c>
      <c r="J3039" s="3" t="inlineStr">
        <is>
          <t>SRC_TENCENT_AI_INFRA_MOE; ASSUMP_CN_CAPACITY_TRANSPARENCY</t>
        </is>
      </c>
      <c r="K3039" s="3" t="inlineStr">
        <is>
          <t>ASSUMP_CN_CAPACITY_TRANSPARENCY; ASSUMP_APP_EMBEDDING; ASSUMP_NUMERIC_ACCELERATOR_MIX; ASSUMP_INFERENCE_SHARE_NOT_FACT_60; ASSUMP_WORKLOAD_CLASS_MIX; ASSUMP_AGENTIC_CONTEXT_PENALTY</t>
        </is>
      </c>
      <c r="L3039" s="3" t="inlineStr">
        <is>
          <t>Energized operational capacity divided by contracted/attributed capacity.</t>
        </is>
      </c>
    </row>
    <row r="3040">
      <c r="A3040" s="3" t="inlineStr">
        <is>
          <t>Tencent</t>
        </is>
      </c>
      <c r="B3040" s="3" t="n">
        <v>2028</v>
      </c>
      <c r="C3040" s="3" t="inlineStr">
        <is>
          <t>Bull</t>
        </is>
      </c>
      <c r="D3040" s="3" t="inlineStr">
        <is>
          <t>active_power_gw</t>
        </is>
      </c>
      <c r="E3040" s="3" t="n">
        <v>1.589</v>
      </c>
      <c r="F3040" s="3" t="inlineStr">
        <is>
          <t>GW</t>
        </is>
      </c>
      <c r="G3040" s="3" t="inlineStr">
        <is>
          <t>Derived scenario</t>
        </is>
      </c>
      <c r="H3040" s="3" t="inlineStr">
        <is>
          <t>contracted_power_gw * operational_deployment_share</t>
        </is>
      </c>
      <c r="I3040" s="3" t="inlineStr">
        <is>
          <t>Active GW reflects staged Hunyuan/Yuanbao adoption rather than a reported powered fleet.</t>
        </is>
      </c>
      <c r="J3040" s="3" t="inlineStr">
        <is>
          <t>SRC_TENCENT_AI_INFRA_MOE; ASSUMP_CN_CAPACITY_TRANSPARENCY</t>
        </is>
      </c>
      <c r="K3040" s="3" t="inlineStr">
        <is>
          <t>ASSUMP_CN_CAPACITY_TRANSPARENCY; ASSUMP_APP_EMBEDDING; ASSUMP_NUMERIC_ACCELERATOR_MIX; ASSUMP_INFERENCE_SHARE_NOT_FACT_60; ASSUMP_WORKLOAD_CLASS_MIX; ASSUMP_AGENTIC_CONTEXT_PENALTY</t>
        </is>
      </c>
      <c r="L3040" s="3" t="inlineStr">
        <is>
          <t>Energization dates, accelerator deliveries and operational powered-rack telemetry.</t>
        </is>
      </c>
    </row>
    <row r="3041">
      <c r="A3041" s="3" t="inlineStr">
        <is>
          <t>Tencent</t>
        </is>
      </c>
      <c r="B3041" s="3" t="n">
        <v>2028</v>
      </c>
      <c r="C3041" s="3" t="inlineStr">
        <is>
          <t>Bull</t>
        </is>
      </c>
      <c r="D3041" s="3" t="inlineStr">
        <is>
          <t>pue</t>
        </is>
      </c>
      <c r="E3041" s="3" t="n">
        <v>1.23</v>
      </c>
      <c r="F3041" s="3" t="inlineStr">
        <is>
          <t>ratio</t>
        </is>
      </c>
      <c r="G3041" s="3" t="inlineStr">
        <is>
          <t>Scenario parameter</t>
        </is>
      </c>
      <c r="H3041" s="3" t="inlineStr">
        <is>
          <t>it_load_gw = active_power_gw / pue</t>
        </is>
      </c>
      <c r="I3041" s="3" t="inlineStr">
        <is>
          <t>No provider-wide site-level PUE is used as a disclosed fact; PUE represents facility-to-IT conversion within the scenario.</t>
        </is>
      </c>
      <c r="J3041" s="3" t="inlineStr">
        <is>
          <t>ASSUMP_POWER_RAMP</t>
        </is>
      </c>
      <c r="K3041" s="3" t="inlineStr">
        <is>
          <t>ASSUMP_CN_CAPACITY_TRANSPARENCY; ASSUMP_APP_EMBEDDING; ASSUMP_NUMERIC_ACCELERATOR_MIX; ASSUMP_INFERENCE_SHARE_NOT_FACT_60; ASSUMP_WORKLOAD_CLASS_MIX; ASSUMP_AGENTIC_CONTEXT_PENALTY</t>
        </is>
      </c>
      <c r="L3041" s="3" t="inlineStr">
        <is>
          <t>Site-level measured PUE matched to attributed AI capacity.</t>
        </is>
      </c>
    </row>
    <row r="3042">
      <c r="A3042" s="3" t="inlineStr">
        <is>
          <t>Tencent</t>
        </is>
      </c>
      <c r="B3042" s="3" t="n">
        <v>2028</v>
      </c>
      <c r="C3042" s="3" t="inlineStr">
        <is>
          <t>Bull</t>
        </is>
      </c>
      <c r="D3042" s="3" t="inlineStr">
        <is>
          <t>it_load_gw</t>
        </is>
      </c>
      <c r="E3042" s="3" t="n">
        <v>1.292</v>
      </c>
      <c r="F3042" s="3" t="inlineStr">
        <is>
          <t>GW</t>
        </is>
      </c>
      <c r="G3042" s="3" t="inlineStr">
        <is>
          <t>Derived formula</t>
        </is>
      </c>
      <c r="H3042" s="3" t="inlineStr">
        <is>
          <t>active_power_gw / pue</t>
        </is>
      </c>
      <c r="I3042" s="3" t="inlineStr">
        <is>
          <t>Facility power is converted to IT-deliverable power before attributing AI workloads.</t>
        </is>
      </c>
      <c r="J3042" s="3" t="inlineStr">
        <is>
          <t>SRC_TENCENT_AI_INFRA_MOE; ASSUMP_CN_CAPACITY_TRANSPARENCY</t>
        </is>
      </c>
      <c r="K3042" s="3" t="inlineStr">
        <is>
          <t>ASSUMP_CN_CAPACITY_TRANSPARENCY; ASSUMP_APP_EMBEDDING; ASSUMP_NUMERIC_ACCELERATOR_MIX; ASSUMP_INFERENCE_SHARE_NOT_FACT_60; ASSUMP_WORKLOAD_CLASS_MIX; ASSUMP_AGENTIC_CONTEXT_PENALTY</t>
        </is>
      </c>
      <c r="L3042" s="3" t="inlineStr">
        <is>
          <t>Recompute once active power and PUE become site-observable.</t>
        </is>
      </c>
    </row>
    <row r="3043">
      <c r="A3043" s="3" t="inlineStr">
        <is>
          <t>Tencent</t>
        </is>
      </c>
      <c r="B3043" s="3" t="n">
        <v>2028</v>
      </c>
      <c r="C3043" s="3" t="inlineStr">
        <is>
          <t>Bull</t>
        </is>
      </c>
      <c r="D3043" s="3" t="inlineStr">
        <is>
          <t>ai_workload_share</t>
        </is>
      </c>
      <c r="E3043" s="3" t="n">
        <v>0.84</v>
      </c>
      <c r="F3043" s="3" t="inlineStr">
        <is>
          <t>share</t>
        </is>
      </c>
      <c r="G3043" s="3" t="inlineStr">
        <is>
          <t>Scenario allocation</t>
        </is>
      </c>
      <c r="H3043" s="3" t="inlineStr">
        <is>
          <t>ai_it_load_gw = it_load_gw * ai_workload_share</t>
        </is>
      </c>
      <c r="I3043" s="3" t="inlineStr">
        <is>
          <t>Modeled Hunyuan-serving capacity is AI-focused; 84% excludes cloud/platform and reserve overhead.</t>
        </is>
      </c>
      <c r="J3043" s="3" t="inlineStr">
        <is>
          <t>SRC_TENCENT_HUNYUAN; SRC_TENCENT_HY3; SRC_TENCENT_AI_INFRA_MOE; SRC_EPOCH_AI_DATA_CENTERS</t>
        </is>
      </c>
      <c r="K3043" s="3" t="inlineStr">
        <is>
          <t>ASSUMP_CN_CAPACITY_TRANSPARENCY; ASSUMP_APP_EMBEDDING; ASSUMP_NUMERIC_ACCELERATOR_MIX; ASSUMP_INFERENCE_SHARE_NOT_FACT_60; ASSUMP_WORKLOAD_CLASS_MIX; ASSUMP_AGENTIC_CONTEXT_PENALTY</t>
        </is>
      </c>
      <c r="L3043" s="3" t="inlineStr">
        <is>
          <t>Model-owner AI workload allocation or cluster scheduling telemetry.</t>
        </is>
      </c>
    </row>
    <row r="3044">
      <c r="A3044" s="3" t="inlineStr">
        <is>
          <t>Tencent</t>
        </is>
      </c>
      <c r="B3044" s="3" t="n">
        <v>2028</v>
      </c>
      <c r="C3044" s="3" t="inlineStr">
        <is>
          <t>Bull</t>
        </is>
      </c>
      <c r="D3044" s="3" t="inlineStr">
        <is>
          <t>ai_it_load_gw</t>
        </is>
      </c>
      <c r="E3044" s="3" t="n">
        <v>1.085</v>
      </c>
      <c r="F3044" s="3" t="inlineStr">
        <is>
          <t>GW</t>
        </is>
      </c>
      <c r="G3044" s="3" t="inlineStr">
        <is>
          <t>Derived formula</t>
        </is>
      </c>
      <c r="H3044" s="3" t="inlineStr">
        <is>
          <t>it_load_gw * ai_workload_share</t>
        </is>
      </c>
      <c r="I3044" s="3" t="inlineStr">
        <is>
          <t>Only the AI-attributed portion of IT load enters training/inference allocation.</t>
        </is>
      </c>
      <c r="J3044" s="3" t="inlineStr">
        <is>
          <t>SRC_TENCENT_HUNYUAN; SRC_TENCENT_HY3; SRC_TENCENT_AI_INFRA_MOE; SRC_EPOCH_AI_DATA_CENTERS</t>
        </is>
      </c>
      <c r="K3044" s="3" t="inlineStr">
        <is>
          <t>ASSUMP_CN_CAPACITY_TRANSPARENCY; ASSUMP_APP_EMBEDDING; ASSUMP_NUMERIC_ACCELERATOR_MIX; ASSUMP_INFERENCE_SHARE_NOT_FACT_60; ASSUMP_WORKLOAD_CLASS_MIX; ASSUMP_AGENTIC_CONTEXT_PENALTY</t>
        </is>
      </c>
      <c r="L3044" s="3" t="inlineStr">
        <is>
          <t>Recompute after ai_workload_share is replaced by telemetry.</t>
        </is>
      </c>
    </row>
    <row r="3045">
      <c r="A3045" s="3" t="inlineStr">
        <is>
          <t>Tencent</t>
        </is>
      </c>
      <c r="B3045" s="3" t="n">
        <v>2028</v>
      </c>
      <c r="C3045" s="3" t="inlineStr">
        <is>
          <t>Bull</t>
        </is>
      </c>
      <c r="D3045" s="3" t="inlineStr">
        <is>
          <t>gpu_share</t>
        </is>
      </c>
      <c r="E3045" s="3" t="n">
        <v>1</v>
      </c>
      <c r="F3045" s="3" t="inlineStr">
        <is>
          <t>share of inference-serving accelerator load</t>
        </is>
      </c>
      <c r="G3045" s="3" t="inlineStr">
        <is>
          <t>Numeric scenario</t>
        </is>
      </c>
      <c r="H3045" s="3" t="inlineStr">
        <is>
          <t>gpu_share interpolated from company 2026/2030 accelerator-mix endpoints</t>
        </is>
      </c>
      <c r="I3045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45" s="3" t="inlineStr">
        <is>
          <t>SRC_TENCENT_HUNYUAN; SRC_TENCENT_HY3; SRC_TENCENT_AI_INFRA_MOE; SRC_EPOCH_AI_DATA_CENTERS; ASSUMP_NUMERIC_ACCELERATOR_MIX</t>
        </is>
      </c>
      <c r="K3045" s="3" t="inlineStr">
        <is>
          <t>ASSUMP_CN_CAPACITY_TRANSPARENCY; ASSUMP_APP_EMBEDDING; ASSUMP_NUMERIC_ACCELERATOR_MIX; ASSUMP_INFERENCE_SHARE_NOT_FACT_60; ASSUMP_WORKLOAD_CLASS_MIX; ASSUMP_AGENTIC_CONTEXT_PENALTY</t>
        </is>
      </c>
      <c r="L3045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46">
      <c r="A3046" s="3" t="inlineStr">
        <is>
          <t>Tencent</t>
        </is>
      </c>
      <c r="B3046" s="3" t="n">
        <v>2028</v>
      </c>
      <c r="C3046" s="3" t="inlineStr">
        <is>
          <t>Bull</t>
        </is>
      </c>
      <c r="D3046" s="3" t="inlineStr">
        <is>
          <t>h200_share</t>
        </is>
      </c>
      <c r="E3046" s="3" t="n">
        <v>0.325</v>
      </c>
      <c r="F3046" s="3" t="inlineStr">
        <is>
          <t>share of inference-serving accelerator load</t>
        </is>
      </c>
      <c r="G3046" s="3" t="inlineStr">
        <is>
          <t>Editable numeric scenario</t>
        </is>
      </c>
      <c r="H3046" s="3" t="inlineStr">
        <is>
          <t>h200_share = gpu_share * default_gpu_generation_mix_h200</t>
        </is>
      </c>
      <c r="I3046" s="3" t="inlineStr">
        <is>
          <t>Default GPU-generation migration assumption; executive workbook allows later manual replacement by company/year/scenario.</t>
        </is>
      </c>
      <c r="J3046" s="3" t="inlineStr">
        <is>
          <t>SRC_SEMIANALYSIS_INFERENCEX; ASSUMP_NUMERIC_ACCELERATOR_MIX</t>
        </is>
      </c>
      <c r="K3046" s="3" t="inlineStr">
        <is>
          <t>ASSUMP_CN_CAPACITY_TRANSPARENCY; ASSUMP_APP_EMBEDDING; ASSUMP_NUMERIC_ACCELERATOR_MIX; ASSUMP_INFERENCE_SHARE_NOT_FACT_60; ASSUMP_WORKLOAD_CLASS_MIX; ASSUMP_AGENTIC_CONTEXT_PENALTY</t>
        </is>
      </c>
      <c r="L3046" s="3" t="inlineStr">
        <is>
          <t>Company fleet inventory, accelerator-hours or procurement/deployment records by GPU generation.</t>
        </is>
      </c>
    </row>
    <row r="3047">
      <c r="A3047" s="3" t="inlineStr">
        <is>
          <t>Tencent</t>
        </is>
      </c>
      <c r="B3047" s="3" t="n">
        <v>2028</v>
      </c>
      <c r="C3047" s="3" t="inlineStr">
        <is>
          <t>Bull</t>
        </is>
      </c>
      <c r="D3047" s="3" t="inlineStr">
        <is>
          <t>b200_share</t>
        </is>
      </c>
      <c r="E3047" s="3" t="n">
        <v>0.375</v>
      </c>
      <c r="F3047" s="3" t="inlineStr">
        <is>
          <t>share of inference-serving accelerator load</t>
        </is>
      </c>
      <c r="G3047" s="3" t="inlineStr">
        <is>
          <t>Editable numeric scenario</t>
        </is>
      </c>
      <c r="H3047" s="3" t="inlineStr">
        <is>
          <t>b200_share = gpu_share * default_gpu_generation_mix_b200</t>
        </is>
      </c>
      <c r="I3047" s="3" t="inlineStr">
        <is>
          <t>Default GPU-generation migration assumption; executive workbook allows later manual replacement by company/year/scenario.</t>
        </is>
      </c>
      <c r="J3047" s="3" t="inlineStr">
        <is>
          <t>SRC_SEMIANALYSIS_INFERENCEX; ASSUMP_NUMERIC_ACCELERATOR_MIX</t>
        </is>
      </c>
      <c r="K3047" s="3" t="inlineStr">
        <is>
          <t>ASSUMP_CN_CAPACITY_TRANSPARENCY; ASSUMP_APP_EMBEDDING; ASSUMP_NUMERIC_ACCELERATOR_MIX; ASSUMP_INFERENCE_SHARE_NOT_FACT_60; ASSUMP_WORKLOAD_CLASS_MIX; ASSUMP_AGENTIC_CONTEXT_PENALTY</t>
        </is>
      </c>
      <c r="L3047" s="3" t="inlineStr">
        <is>
          <t>Company fleet inventory, accelerator-hours or procurement/deployment records by GPU generation.</t>
        </is>
      </c>
    </row>
    <row r="3048">
      <c r="A3048" s="3" t="inlineStr">
        <is>
          <t>Tencent</t>
        </is>
      </c>
      <c r="B3048" s="3" t="n">
        <v>2028</v>
      </c>
      <c r="C3048" s="3" t="inlineStr">
        <is>
          <t>Bull</t>
        </is>
      </c>
      <c r="D3048" s="3" t="inlineStr">
        <is>
          <t>gb200_share</t>
        </is>
      </c>
      <c r="E3048" s="3" t="n">
        <v>0.3</v>
      </c>
      <c r="F3048" s="3" t="inlineStr">
        <is>
          <t>share of inference-serving accelerator load</t>
        </is>
      </c>
      <c r="G3048" s="3" t="inlineStr">
        <is>
          <t>Editable numeric scenario</t>
        </is>
      </c>
      <c r="H3048" s="3" t="inlineStr">
        <is>
          <t>gb200_share = gpu_share * default_gpu_generation_mix_gb200</t>
        </is>
      </c>
      <c r="I3048" s="3" t="inlineStr">
        <is>
          <t>Default GPU-generation migration assumption; executive workbook allows later manual replacement by company/year/scenario.</t>
        </is>
      </c>
      <c r="J3048" s="3" t="inlineStr">
        <is>
          <t>SRC_SEMIANALYSIS_INFERENCEX; ASSUMP_NUMERIC_ACCELERATOR_MIX</t>
        </is>
      </c>
      <c r="K3048" s="3" t="inlineStr">
        <is>
          <t>ASSUMP_CN_CAPACITY_TRANSPARENCY; ASSUMP_APP_EMBEDDING; ASSUMP_NUMERIC_ACCELERATOR_MIX; ASSUMP_INFERENCE_SHARE_NOT_FACT_60; ASSUMP_WORKLOAD_CLASS_MIX; ASSUMP_AGENTIC_CONTEXT_PENALTY</t>
        </is>
      </c>
      <c r="L3048" s="3" t="inlineStr">
        <is>
          <t>Company fleet inventory, accelerator-hours or procurement/deployment records by GPU generation.</t>
        </is>
      </c>
    </row>
    <row r="3049">
      <c r="A3049" s="3" t="inlineStr">
        <is>
          <t>Tencent</t>
        </is>
      </c>
      <c r="B3049" s="3" t="n">
        <v>2028</v>
      </c>
      <c r="C3049" s="3" t="inlineStr">
        <is>
          <t>Bull</t>
        </is>
      </c>
      <c r="D3049" s="3" t="inlineStr">
        <is>
          <t>purpose_built_accelerator_share</t>
        </is>
      </c>
      <c r="E3049" s="3" t="n">
        <v>0</v>
      </c>
      <c r="F3049" s="3" t="inlineStr">
        <is>
          <t>share of inference-serving accelerator load</t>
        </is>
      </c>
      <c r="G3049" s="3" t="inlineStr">
        <is>
          <t>Numeric scenario</t>
        </is>
      </c>
      <c r="H3049" s="3" t="inlineStr">
        <is>
          <t>1 - gpu_share</t>
        </is>
      </c>
      <c r="I3049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49" s="3" t="inlineStr">
        <is>
          <t>SRC_TENCENT_HUNYUAN; SRC_TENCENT_HY3; SRC_TENCENT_AI_INFRA_MOE; SRC_EPOCH_AI_DATA_CENTERS; ASSUMP_NUMERIC_ACCELERATOR_MIX</t>
        </is>
      </c>
      <c r="K3049" s="3" t="inlineStr">
        <is>
          <t>ASSUMP_CN_CAPACITY_TRANSPARENCY; ASSUMP_APP_EMBEDDING; ASSUMP_NUMERIC_ACCELERATOR_MIX; ASSUMP_INFERENCE_SHARE_NOT_FACT_60; ASSUMP_WORKLOAD_CLASS_MIX; ASSUMP_AGENTIC_CONTEXT_PENALTY</t>
        </is>
      </c>
      <c r="L3049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50">
      <c r="A3050" s="3" t="inlineStr">
        <is>
          <t>Tencent</t>
        </is>
      </c>
      <c r="B3050" s="3" t="n">
        <v>2028</v>
      </c>
      <c r="C3050" s="3" t="inlineStr">
        <is>
          <t>Bull</t>
        </is>
      </c>
      <c r="D3050" s="3" t="inlineStr">
        <is>
          <t>fleet_reference_tps_per_mw</t>
        </is>
      </c>
      <c r="E3050" s="3" t="n">
        <v>2876295</v>
      </c>
      <c r="F3050" s="3" t="inlineStr">
        <is>
          <t>generated output tokens/sec/MW</t>
        </is>
      </c>
      <c r="G3050" s="3" t="inlineStr">
        <is>
          <t>Fleet-weighted public benchmark reference</t>
        </is>
      </c>
      <c r="H3050" s="3" t="inlineStr">
        <is>
          <t>h200_share*h200_workload_avg + b200_share*b200_workload_avg + gb200_share*gb200_workload_avg + purpose_built_share*purpose_workload_avg</t>
        </is>
      </c>
      <c r="I305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50" s="3" t="inlineStr">
        <is>
          <t>SRC_SEMIANALYSIS_INFERENCEX; ASSUMP_NUMERIC_ACCELERATOR_MIX; ASSUMP_WORKLOAD_CLASS_MIX; ASSUMP_AGENTIC_CONTEXT_PENALTY</t>
        </is>
      </c>
      <c r="K3050" s="3" t="inlineStr">
        <is>
          <t>ASSUMP_CN_CAPACITY_TRANSPARENCY; ASSUMP_APP_EMBEDDING; ASSUMP_NUMERIC_ACCELERATOR_MIX; ASSUMP_INFERENCE_SHARE_NOT_FACT_60; ASSUMP_WORKLOAD_CLASS_MIX; ASSUMP_AGENTIC_CONTEXT_PENALTY</t>
        </is>
      </c>
      <c r="L3050" s="3" t="inlineStr">
        <is>
          <t>Comparable production output-token throughput or a more closely matched benchmark.</t>
        </is>
      </c>
    </row>
    <row r="3051">
      <c r="A3051" s="3" t="inlineStr">
        <is>
          <t>Tencent</t>
        </is>
      </c>
      <c r="B3051" s="3" t="n">
        <v>2028</v>
      </c>
      <c r="C3051" s="3" t="inlineStr">
        <is>
          <t>Bull</t>
        </is>
      </c>
      <c r="D3051" s="3" t="inlineStr">
        <is>
          <t>commercial_workload_fit_factor</t>
        </is>
      </c>
      <c r="E3051" s="3" t="n">
        <v>0.8</v>
      </c>
      <c r="F3051" s="3" t="inlineStr">
        <is>
          <t>share of public reference throughput</t>
        </is>
      </c>
      <c r="G3051" s="3" t="inlineStr">
        <is>
          <t>Scenario assumption</t>
        </is>
      </c>
      <c r="H3051" s="3" t="inlineStr">
        <is>
          <t>reference_serving_tps_per_mw = fleet_reference_tps_per_mw * commercial_workload_fit_factor</t>
        </is>
      </c>
      <c r="I3051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51" s="3" t="inlineStr">
        <is>
          <t>SRC_SEMIANALYSIS_INFERENCEX; ASSUMP_NUMERIC_ACCELERATOR_MIX; ASSUMP_WORKLOAD_CLASS_MIX; ASSUMP_AGENTIC_CONTEXT_PENALTY</t>
        </is>
      </c>
      <c r="K3051" s="3" t="inlineStr">
        <is>
          <t>ASSUMP_CN_CAPACITY_TRANSPARENCY; ASSUMP_APP_EMBEDDING; ASSUMP_NUMERIC_ACCELERATOR_MIX; ASSUMP_INFERENCE_SHARE_NOT_FACT_60; ASSUMP_WORKLOAD_CLASS_MIX; ASSUMP_AGENTIC_CONTEXT_PENALTY</t>
        </is>
      </c>
      <c r="L3051" s="3" t="inlineStr">
        <is>
          <t>Matched commercial serving benchmark by product surface, context shape and latency SLO.</t>
        </is>
      </c>
    </row>
    <row r="3052">
      <c r="A3052" s="3" t="inlineStr">
        <is>
          <t>Tencent</t>
        </is>
      </c>
      <c r="B3052" s="3" t="n">
        <v>2028</v>
      </c>
      <c r="C3052" s="3" t="inlineStr">
        <is>
          <t>Bull</t>
        </is>
      </c>
      <c r="D3052" s="3" t="inlineStr">
        <is>
          <t>reference_serving_tps_per_mw</t>
        </is>
      </c>
      <c r="E3052" s="3" t="n">
        <v>2301036</v>
      </c>
      <c r="F3052" s="3" t="inlineStr">
        <is>
          <t>generated output tokens/sec/MW</t>
        </is>
      </c>
      <c r="G3052" s="3" t="inlineStr">
        <is>
          <t>Workload-adjusted benchmark proxy</t>
        </is>
      </c>
      <c r="H3052" s="3" t="inlineStr">
        <is>
          <t>fleet_reference_tps_per_mw * commercial_workload_fit_factor</t>
        </is>
      </c>
      <c r="I3052" s="3" t="inlineStr">
        <is>
          <t>This is the coefficient used for headline token generation; each GPU's short chat, long chat and agentic TPS/MW are weighted before fleet mix and commercial fit are applied.</t>
        </is>
      </c>
      <c r="J3052" s="3" t="inlineStr">
        <is>
          <t>SRC_SEMIANALYSIS_INFERENCEX; ASSUMP_NUMERIC_ACCELERATOR_MIX; ASSUMP_WORKLOAD_CLASS_MIX; ASSUMP_AGENTIC_CONTEXT_PENALTY</t>
        </is>
      </c>
      <c r="K3052" s="3" t="inlineStr">
        <is>
          <t>ASSUMP_CN_CAPACITY_TRANSPARENCY; ASSUMP_APP_EMBEDDING; ASSUMP_NUMERIC_ACCELERATOR_MIX; ASSUMP_INFERENCE_SHARE_NOT_FACT_60; ASSUMP_WORKLOAD_CLASS_MIX; ASSUMP_AGENTIC_CONTEXT_PENALTY</t>
        </is>
      </c>
      <c r="L3052" s="3" t="inlineStr">
        <is>
          <t>Provider production output-token throughput with comparable workload/SLO.</t>
        </is>
      </c>
    </row>
    <row r="3053">
      <c r="A3053" s="3" t="inlineStr">
        <is>
          <t>Tencent</t>
        </is>
      </c>
      <c r="B3053" s="3" t="n">
        <v>2028</v>
      </c>
      <c r="C3053" s="3" t="inlineStr">
        <is>
          <t>Bull</t>
        </is>
      </c>
      <c r="D3053" s="3" t="inlineStr">
        <is>
          <t>purpose_built_tps_per_mw</t>
        </is>
      </c>
      <c r="E3053" s="3" t="n">
        <v>3613574</v>
      </c>
      <c r="F3053" s="3" t="inlineStr">
        <is>
          <t>generated output tokens/sec/MW</t>
        </is>
      </c>
      <c r="G3053" s="3" t="inlineStr">
        <is>
          <t>Conservative no-uplift proxy</t>
        </is>
      </c>
      <c r="H3053" s="3" t="inlineStr">
        <is>
          <t>purpose_built_tps_per_mw = purpose_built_reference_tps_per_mw * commercial_workload_fit_factor until comparable output-token benchmark is adopted</t>
        </is>
      </c>
      <c r="I3053" s="3" t="inlineStr">
        <is>
          <t>No comparable public output-token/MW row adopted; B200 public reference placeholder is used and remains editable.</t>
        </is>
      </c>
      <c r="J3053" s="3" t="inlineStr">
        <is>
          <t>SRC_TENCENT_HUNYUAN; SRC_TENCENT_HY3; SRC_TENCENT_AI_INFRA_MOE; SRC_EPOCH_AI_DATA_CENTERS; ASSUMP_NUMERIC_ACCELERATOR_MIX</t>
        </is>
      </c>
      <c r="K3053" s="3" t="inlineStr">
        <is>
          <t>ASSUMP_CN_CAPACITY_TRANSPARENCY; ASSUMP_APP_EMBEDDING; ASSUMP_NUMERIC_ACCELERATOR_MIX; ASSUMP_INFERENCE_SHARE_NOT_FACT_60; ASSUMP_WORKLOAD_CLASS_MIX; ASSUMP_AGENTIC_CONTEXT_PENALTY</t>
        </is>
      </c>
      <c r="L3053" s="3" t="inlineStr">
        <is>
          <t>Matched-workload generated-output benchmark for the provider purpose-built accelerator.</t>
        </is>
      </c>
    </row>
    <row r="3054">
      <c r="A3054" s="3" t="inlineStr">
        <is>
          <t>Tencent</t>
        </is>
      </c>
      <c r="B3054" s="3" t="n">
        <v>2028</v>
      </c>
      <c r="C3054" s="3" t="inlineStr">
        <is>
          <t>Bull</t>
        </is>
      </c>
      <c r="D3054" s="3" t="inlineStr">
        <is>
          <t>inference_power_share</t>
        </is>
      </c>
      <c r="E3054" s="3" t="n">
        <v>0.765</v>
      </c>
      <c r="F3054" s="3" t="inlineStr">
        <is>
          <t>share of AI IT load</t>
        </is>
      </c>
      <c r="G3054" s="3" t="inlineStr">
        <is>
          <t>Scenario allocation</t>
        </is>
      </c>
      <c r="H3054" s="3" t="inlineStr">
        <is>
          <t>inference_gw = ai_it_load_gw * inference_power_share</t>
        </is>
      </c>
      <c r="I3054" s="3" t="inlineStr">
        <is>
          <t>Yuanbao and embedded product surfaces plus Hunyuan Turbo inference-cost direction support rising inference allocation.</t>
        </is>
      </c>
      <c r="J3054" s="3" t="inlineStr">
        <is>
          <t>SRC_TENCENT_HUNYUAN; SRC_TENCENT_HY3; SRC_TENCENT_AI_INFRA_MOE; SRC_EPOCH_AI_DATA_CENTERS; ASSUMP_INFERENCE_SHARE_NOT_FACT_60</t>
        </is>
      </c>
      <c r="K3054" s="3" t="inlineStr">
        <is>
          <t>ASSUMP_CN_CAPACITY_TRANSPARENCY; ASSUMP_APP_EMBEDDING; ASSUMP_NUMERIC_ACCELERATOR_MIX; ASSUMP_INFERENCE_SHARE_NOT_FACT_60; ASSUMP_WORKLOAD_CLASS_MIX; ASSUMP_AGENTIC_CONTEXT_PENALTY</t>
        </is>
      </c>
      <c r="L3054" s="3" t="inlineStr">
        <is>
          <t>Provider-specific inference/training workload power telemetry.</t>
        </is>
      </c>
    </row>
    <row r="3055">
      <c r="A3055" s="3" t="inlineStr">
        <is>
          <t>Tencent</t>
        </is>
      </c>
      <c r="B3055" s="3" t="n">
        <v>2028</v>
      </c>
      <c r="C3055" s="3" t="inlineStr">
        <is>
          <t>Bull</t>
        </is>
      </c>
      <c r="D3055" s="3" t="inlineStr">
        <is>
          <t>inference_gw</t>
        </is>
      </c>
      <c r="E3055" s="3" t="n">
        <v>0.83</v>
      </c>
      <c r="F3055" s="3" t="inlineStr">
        <is>
          <t>GW</t>
        </is>
      </c>
      <c r="G3055" s="3" t="inlineStr">
        <is>
          <t>Derived formula</t>
        </is>
      </c>
      <c r="H3055" s="3" t="inlineStr">
        <is>
          <t>ai_it_load_gw * inference_power_share</t>
        </is>
      </c>
      <c r="I3055" s="3" t="inlineStr">
        <is>
          <t>This is the operational power eligible to become commercial generated output tokens through the selected TPS/MW proxy.</t>
        </is>
      </c>
      <c r="J3055" s="3" t="inlineStr">
        <is>
          <t>SRC_TENCENT_HUNYUAN; SRC_TENCENT_HY3; SRC_TENCENT_AI_INFRA_MOE; SRC_EPOCH_AI_DATA_CENTERS</t>
        </is>
      </c>
      <c r="K3055" s="3" t="inlineStr">
        <is>
          <t>ASSUMP_CN_CAPACITY_TRANSPARENCY; ASSUMP_APP_EMBEDDING; ASSUMP_NUMERIC_ACCELERATOR_MIX; ASSUMP_INFERENCE_SHARE_NOT_FACT_60; ASSUMP_WORKLOAD_CLASS_MIX; ASSUMP_AGENTIC_CONTEXT_PENALTY</t>
        </is>
      </c>
      <c r="L3055" s="3" t="inlineStr">
        <is>
          <t>Recompute after AI allocation or inference-share evidence changes.</t>
        </is>
      </c>
    </row>
    <row r="3056">
      <c r="A3056" s="3" t="inlineStr">
        <is>
          <t>Tencent</t>
        </is>
      </c>
      <c r="B3056" s="3" t="n">
        <v>2028</v>
      </c>
      <c r="C3056" s="3" t="inlineStr">
        <is>
          <t>Bull</t>
        </is>
      </c>
      <c r="D3056" s="3" t="inlineStr">
        <is>
          <t>training_power_share</t>
        </is>
      </c>
      <c r="E3056" s="3" t="n">
        <v>0.235</v>
      </c>
      <c r="F3056" s="3" t="inlineStr">
        <is>
          <t>share of AI IT load</t>
        </is>
      </c>
      <c r="G3056" s="3" t="inlineStr">
        <is>
          <t>Derived allocation</t>
        </is>
      </c>
      <c r="H3056" s="3" t="inlineStr">
        <is>
          <t>1 - inference_power_share</t>
        </is>
      </c>
      <c r="I3056" s="3" t="inlineStr">
        <is>
          <t>Training receives the complementary modeled AI IT allocation; it is not a disclosed company workload split.</t>
        </is>
      </c>
      <c r="J3056" s="3" t="inlineStr">
        <is>
          <t>SRC_TENCENT_HUNYUAN; SRC_TENCENT_HY3; SRC_TENCENT_AI_INFRA_MOE; SRC_EPOCH_AI_DATA_CENTERS; ASSUMP_INFERENCE_SHARE_NOT_FACT_60</t>
        </is>
      </c>
      <c r="K3056" s="3" t="inlineStr">
        <is>
          <t>ASSUMP_CN_CAPACITY_TRANSPARENCY; ASSUMP_APP_EMBEDDING; ASSUMP_NUMERIC_ACCELERATOR_MIX; ASSUMP_INFERENCE_SHARE_NOT_FACT_60; ASSUMP_WORKLOAD_CLASS_MIX; ASSUMP_AGENTIC_CONTEXT_PENALTY</t>
        </is>
      </c>
      <c r="L3056" s="3" t="inlineStr">
        <is>
          <t>Provider-specific inference/training workload power telemetry.</t>
        </is>
      </c>
    </row>
    <row r="3057">
      <c r="A3057" s="3" t="inlineStr">
        <is>
          <t>Tencent</t>
        </is>
      </c>
      <c r="B3057" s="3" t="n">
        <v>2028</v>
      </c>
      <c r="C3057" s="3" t="inlineStr">
        <is>
          <t>Bull</t>
        </is>
      </c>
      <c r="D3057" s="3" t="inlineStr">
        <is>
          <t>training_gw</t>
        </is>
      </c>
      <c r="E3057" s="3" t="n">
        <v>0.255</v>
      </c>
      <c r="F3057" s="3" t="inlineStr">
        <is>
          <t>GW</t>
        </is>
      </c>
      <c r="G3057" s="3" t="inlineStr">
        <is>
          <t>Derived formula</t>
        </is>
      </c>
      <c r="H3057" s="3" t="inlineStr">
        <is>
          <t>ai_it_load_gw * training_power_share</t>
        </is>
      </c>
      <c r="I3057" s="3" t="inlineStr">
        <is>
          <t>Training GW is shown separately so commercial inference token capacity is not overstated.</t>
        </is>
      </c>
      <c r="J3057" s="3" t="inlineStr">
        <is>
          <t>SRC_TENCENT_HUNYUAN; SRC_TENCENT_HY3; SRC_TENCENT_AI_INFRA_MOE; SRC_EPOCH_AI_DATA_CENTERS</t>
        </is>
      </c>
      <c r="K3057" s="3" t="inlineStr">
        <is>
          <t>ASSUMP_CN_CAPACITY_TRANSPARENCY; ASSUMP_APP_EMBEDDING; ASSUMP_NUMERIC_ACCELERATOR_MIX; ASSUMP_INFERENCE_SHARE_NOT_FACT_60; ASSUMP_WORKLOAD_CLASS_MIX; ASSUMP_AGENTIC_CONTEXT_PENALTY</t>
        </is>
      </c>
      <c r="L3057" s="3" t="inlineStr">
        <is>
          <t>Recompute after AI allocation or workload-split evidence changes.</t>
        </is>
      </c>
    </row>
    <row r="3058">
      <c r="A3058" s="3" t="inlineStr">
        <is>
          <t>Tencent</t>
        </is>
      </c>
      <c r="B3058" s="3" t="n">
        <v>2028</v>
      </c>
      <c r="C3058" s="3" t="inlineStr">
        <is>
          <t>Bull</t>
        </is>
      </c>
      <c r="D3058" s="3" t="inlineStr">
        <is>
          <t>tokens_per_second_per_mw</t>
        </is>
      </c>
      <c r="E3058" s="3" t="n">
        <v>2301036</v>
      </c>
      <c r="F3058" s="3" t="inlineStr">
        <is>
          <t>generated output tokens/sec/MW</t>
        </is>
      </c>
      <c r="G3058" s="3" t="inlineStr">
        <is>
          <t>Derived estimate + benchmark calibration</t>
        </is>
      </c>
      <c r="H3058" s="3" t="inlineStr">
        <is>
          <t>fleet_reference_tps_per_mw * commercial_workload_fit_factor</t>
        </is>
      </c>
      <c r="I3058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58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58" s="3" t="inlineStr">
        <is>
          <t>ASSUMP_CN_CAPACITY_TRANSPARENCY; ASSUMP_APP_EMBEDDING; ASSUMP_NUMERIC_ACCELERATOR_MIX; ASSUMP_INFERENCE_SHARE_NOT_FACT_60; ASSUMP_WORKLOAD_CLASS_MIX; ASSUMP_AGENTIC_CONTEXT_PENALTY</t>
        </is>
      </c>
      <c r="L3058" s="3" t="inlineStr">
        <is>
          <t>Comparable production output-token throughput with model, hardware, precision, ISL/OSL and SLO matched.</t>
        </is>
      </c>
    </row>
    <row r="3059">
      <c r="A3059" s="3" t="inlineStr">
        <is>
          <t>Tencent</t>
        </is>
      </c>
      <c r="B3059" s="3" t="n">
        <v>2028</v>
      </c>
      <c r="C3059" s="3" t="inlineStr">
        <is>
          <t>Bull</t>
        </is>
      </c>
      <c r="D3059" s="3" t="inlineStr">
        <is>
          <t>inference_tokens_per_day</t>
        </is>
      </c>
      <c r="E3059" s="3" t="n">
        <v>165011893632000</v>
      </c>
      <c r="F3059" s="3" t="inlineStr">
        <is>
          <t>generated output tokens/day</t>
        </is>
      </c>
      <c r="G3059" s="3" t="inlineStr">
        <is>
          <t>Derived headline metric</t>
        </is>
      </c>
      <c r="H3059" s="3" t="inlineStr">
        <is>
          <t>inference_gw * 1000 * tokens_per_second_per_mw * 86,400</t>
        </is>
      </c>
      <c r="I3059" s="3" t="inlineStr">
        <is>
          <t>Headline capacity uses no utilization, MoE, architecture or software-growth multiplier; it is not observed commercial output volume.</t>
        </is>
      </c>
      <c r="J3059" s="3" t="inlineStr">
        <is>
          <t>SRC_TENCENT_HUNYUAN; SRC_TENCENT_HY3; SRC_TENCENT_AI_INFRA_MOE; SRC_EPOCH_AI_DATA_CENTERS; SRC_SEMIANALYSIS_INFERENCEX</t>
        </is>
      </c>
      <c r="K3059" s="3" t="inlineStr">
        <is>
          <t>ASSUMP_CN_CAPACITY_TRANSPARENCY; ASSUMP_APP_EMBEDDING; ASSUMP_NUMERIC_ACCELERATOR_MIX; ASSUMP_INFERENCE_SHARE_NOT_FACT_60; ASSUMP_WORKLOAD_CLASS_MIX; ASSUMP_AGENTIC_CONTEXT_PENALTY</t>
        </is>
      </c>
      <c r="L3059" s="3" t="inlineStr">
        <is>
          <t>Provider-disclosed generated output token volume or calibrated capacity telemetry.</t>
        </is>
      </c>
    </row>
    <row r="3060">
      <c r="A3060" s="3" t="inlineStr">
        <is>
          <t>Tencent</t>
        </is>
      </c>
      <c r="B3060" s="3" t="n">
        <v>2028</v>
      </c>
      <c r="C3060" s="3" t="inlineStr">
        <is>
          <t>Bull</t>
        </is>
      </c>
      <c r="D3060" s="3" t="inlineStr">
        <is>
          <t>inference_tokens_per_year</t>
        </is>
      </c>
      <c r="E3060" s="3" t="n">
        <v>6.022934117568e+16</v>
      </c>
      <c r="F3060" s="3" t="inlineStr">
        <is>
          <t>generated output tokens/year</t>
        </is>
      </c>
      <c r="G3060" s="3" t="inlineStr">
        <is>
          <t>Derived headline metric</t>
        </is>
      </c>
      <c r="H3060" s="3" t="inlineStr">
        <is>
          <t>inference_tokens_per_day * 365</t>
        </is>
      </c>
      <c r="I3060" s="3" t="inlineStr">
        <is>
          <t>Annualized version of generated output token capacity; it is not observed annual demand or billable volume.</t>
        </is>
      </c>
      <c r="J3060" s="3" t="inlineStr">
        <is>
          <t>SRC_TENCENT_HUNYUAN; SRC_TENCENT_HY3; SRC_TENCENT_AI_INFRA_MOE; SRC_EPOCH_AI_DATA_CENTERS; SRC_SEMIANALYSIS_INFERENCEX</t>
        </is>
      </c>
      <c r="K3060" s="3" t="inlineStr">
        <is>
          <t>ASSUMP_CN_CAPACITY_TRANSPARENCY; ASSUMP_APP_EMBEDDING; ASSUMP_NUMERIC_ACCELERATOR_MIX; ASSUMP_INFERENCE_SHARE_NOT_FACT_60; ASSUMP_WORKLOAD_CLASS_MIX; ASSUMP_AGENTIC_CONTEXT_PENALTY</t>
        </is>
      </c>
      <c r="L3060" s="3" t="inlineStr">
        <is>
          <t>Provider-disclosed annual generated-output volume or metered serving telemetry.</t>
        </is>
      </c>
    </row>
    <row r="3061">
      <c r="A3061" s="3" t="inlineStr">
        <is>
          <t>Tencent</t>
        </is>
      </c>
      <c r="B3061" s="3" t="n">
        <v>2029</v>
      </c>
      <c r="C3061" s="3" t="inlineStr">
        <is>
          <t>Bull</t>
        </is>
      </c>
      <c r="D3061" s="3" t="inlineStr">
        <is>
          <t>contracted_power_gw</t>
        </is>
      </c>
      <c r="E3061" s="3" t="n">
        <v>2.55</v>
      </c>
      <c r="F3061" s="3" t="inlineStr">
        <is>
          <t>GW</t>
        </is>
      </c>
      <c r="G3061" s="3" t="inlineStr">
        <is>
          <t>Scenario capacity envelope</t>
        </is>
      </c>
      <c r="H3061" s="3" t="inlineStr">
        <is>
          <t>linear interpolation between 2026 and 2030 company capacity endpoints</t>
        </is>
      </c>
      <c r="I3061" s="3" t="inlineStr">
        <is>
          <t>Tencent Cloud/Hunyuan capacity is a scenario envelope because operated model-serving GW is undisclosed.</t>
        </is>
      </c>
      <c r="J3061" s="3" t="inlineStr">
        <is>
          <t>SRC_TENCENT_AI_INFRA_MOE; ASSUMP_CN_CAPACITY_TRANSPARENCY</t>
        </is>
      </c>
      <c r="K3061" s="3" t="inlineStr">
        <is>
          <t>ASSUMP_CN_CAPACITY_TRANSPARENCY; ASSUMP_APP_EMBEDDING; ASSUMP_NUMERIC_ACCELERATOR_MIX; ASSUMP_INFERENCE_SHARE_NOT_FACT_60; ASSUMP_WORKLOAD_CLASS_MIX; ASSUMP_AGENTIC_CONTEXT_PENALTY</t>
        </is>
      </c>
      <c r="L3061" s="3" t="inlineStr">
        <is>
          <t>Company/site-level committed MW/GW, interconnect and contract disclosure.</t>
        </is>
      </c>
    </row>
    <row r="3062">
      <c r="A3062" s="3" t="inlineStr">
        <is>
          <t>Tencent</t>
        </is>
      </c>
      <c r="B3062" s="3" t="n">
        <v>2029</v>
      </c>
      <c r="C3062" s="3" t="inlineStr">
        <is>
          <t>Bull</t>
        </is>
      </c>
      <c r="D3062" s="3" t="inlineStr">
        <is>
          <t>operational_deployment_share</t>
        </is>
      </c>
      <c r="E3062" s="3" t="n">
        <v>0.86078431</v>
      </c>
      <c r="F3062" s="3" t="inlineStr">
        <is>
          <t>share</t>
        </is>
      </c>
      <c r="G3062" s="3" t="inlineStr">
        <is>
          <t>Scenario conversion</t>
        </is>
      </c>
      <c r="H3062" s="3" t="inlineStr">
        <is>
          <t>active_power_gw / contracted_power_gw</t>
        </is>
      </c>
      <c r="I3062" s="3" t="inlineStr">
        <is>
          <t>This is the single explicit conversion from contracted/attributed capacity to operationally usable capacity.</t>
        </is>
      </c>
      <c r="J3062" s="3" t="inlineStr">
        <is>
          <t>SRC_TENCENT_AI_INFRA_MOE; ASSUMP_CN_CAPACITY_TRANSPARENCY</t>
        </is>
      </c>
      <c r="K3062" s="3" t="inlineStr">
        <is>
          <t>ASSUMP_CN_CAPACITY_TRANSPARENCY; ASSUMP_APP_EMBEDDING; ASSUMP_NUMERIC_ACCELERATOR_MIX; ASSUMP_INFERENCE_SHARE_NOT_FACT_60; ASSUMP_WORKLOAD_CLASS_MIX; ASSUMP_AGENTIC_CONTEXT_PENALTY</t>
        </is>
      </c>
      <c r="L3062" s="3" t="inlineStr">
        <is>
          <t>Energized operational capacity divided by contracted/attributed capacity.</t>
        </is>
      </c>
    </row>
    <row r="3063">
      <c r="A3063" s="3" t="inlineStr">
        <is>
          <t>Tencent</t>
        </is>
      </c>
      <c r="B3063" s="3" t="n">
        <v>2029</v>
      </c>
      <c r="C3063" s="3" t="inlineStr">
        <is>
          <t>Bull</t>
        </is>
      </c>
      <c r="D3063" s="3" t="inlineStr">
        <is>
          <t>active_power_gw</t>
        </is>
      </c>
      <c r="E3063" s="3" t="n">
        <v>2.195</v>
      </c>
      <c r="F3063" s="3" t="inlineStr">
        <is>
          <t>GW</t>
        </is>
      </c>
      <c r="G3063" s="3" t="inlineStr">
        <is>
          <t>Derived scenario</t>
        </is>
      </c>
      <c r="H3063" s="3" t="inlineStr">
        <is>
          <t>contracted_power_gw * operational_deployment_share</t>
        </is>
      </c>
      <c r="I3063" s="3" t="inlineStr">
        <is>
          <t>Active GW reflects staged Hunyuan/Yuanbao adoption rather than a reported powered fleet.</t>
        </is>
      </c>
      <c r="J3063" s="3" t="inlineStr">
        <is>
          <t>SRC_TENCENT_AI_INFRA_MOE; ASSUMP_CN_CAPACITY_TRANSPARENCY</t>
        </is>
      </c>
      <c r="K3063" s="3" t="inlineStr">
        <is>
          <t>ASSUMP_CN_CAPACITY_TRANSPARENCY; ASSUMP_APP_EMBEDDING; ASSUMP_NUMERIC_ACCELERATOR_MIX; ASSUMP_INFERENCE_SHARE_NOT_FACT_60; ASSUMP_WORKLOAD_CLASS_MIX; ASSUMP_AGENTIC_CONTEXT_PENALTY</t>
        </is>
      </c>
      <c r="L3063" s="3" t="inlineStr">
        <is>
          <t>Energization dates, accelerator deliveries and operational powered-rack telemetry.</t>
        </is>
      </c>
    </row>
    <row r="3064">
      <c r="A3064" s="3" t="inlineStr">
        <is>
          <t>Tencent</t>
        </is>
      </c>
      <c r="B3064" s="3" t="n">
        <v>2029</v>
      </c>
      <c r="C3064" s="3" t="inlineStr">
        <is>
          <t>Bull</t>
        </is>
      </c>
      <c r="D3064" s="3" t="inlineStr">
        <is>
          <t>pue</t>
        </is>
      </c>
      <c r="E3064" s="3" t="n">
        <v>1.23</v>
      </c>
      <c r="F3064" s="3" t="inlineStr">
        <is>
          <t>ratio</t>
        </is>
      </c>
      <c r="G3064" s="3" t="inlineStr">
        <is>
          <t>Scenario parameter</t>
        </is>
      </c>
      <c r="H3064" s="3" t="inlineStr">
        <is>
          <t>it_load_gw = active_power_gw / pue</t>
        </is>
      </c>
      <c r="I3064" s="3" t="inlineStr">
        <is>
          <t>No provider-wide site-level PUE is used as a disclosed fact; PUE represents facility-to-IT conversion within the scenario.</t>
        </is>
      </c>
      <c r="J3064" s="3" t="inlineStr">
        <is>
          <t>ASSUMP_POWER_RAMP</t>
        </is>
      </c>
      <c r="K3064" s="3" t="inlineStr">
        <is>
          <t>ASSUMP_CN_CAPACITY_TRANSPARENCY; ASSUMP_APP_EMBEDDING; ASSUMP_NUMERIC_ACCELERATOR_MIX; ASSUMP_INFERENCE_SHARE_NOT_FACT_60; ASSUMP_WORKLOAD_CLASS_MIX; ASSUMP_AGENTIC_CONTEXT_PENALTY</t>
        </is>
      </c>
      <c r="L3064" s="3" t="inlineStr">
        <is>
          <t>Site-level measured PUE matched to attributed AI capacity.</t>
        </is>
      </c>
    </row>
    <row r="3065">
      <c r="A3065" s="3" t="inlineStr">
        <is>
          <t>Tencent</t>
        </is>
      </c>
      <c r="B3065" s="3" t="n">
        <v>2029</v>
      </c>
      <c r="C3065" s="3" t="inlineStr">
        <is>
          <t>Bull</t>
        </is>
      </c>
      <c r="D3065" s="3" t="inlineStr">
        <is>
          <t>it_load_gw</t>
        </is>
      </c>
      <c r="E3065" s="3" t="n">
        <v>1.784</v>
      </c>
      <c r="F3065" s="3" t="inlineStr">
        <is>
          <t>GW</t>
        </is>
      </c>
      <c r="G3065" s="3" t="inlineStr">
        <is>
          <t>Derived formula</t>
        </is>
      </c>
      <c r="H3065" s="3" t="inlineStr">
        <is>
          <t>active_power_gw / pue</t>
        </is>
      </c>
      <c r="I3065" s="3" t="inlineStr">
        <is>
          <t>Facility power is converted to IT-deliverable power before attributing AI workloads.</t>
        </is>
      </c>
      <c r="J3065" s="3" t="inlineStr">
        <is>
          <t>SRC_TENCENT_AI_INFRA_MOE; ASSUMP_CN_CAPACITY_TRANSPARENCY</t>
        </is>
      </c>
      <c r="K3065" s="3" t="inlineStr">
        <is>
          <t>ASSUMP_CN_CAPACITY_TRANSPARENCY; ASSUMP_APP_EMBEDDING; ASSUMP_NUMERIC_ACCELERATOR_MIX; ASSUMP_INFERENCE_SHARE_NOT_FACT_60; ASSUMP_WORKLOAD_CLASS_MIX; ASSUMP_AGENTIC_CONTEXT_PENALTY</t>
        </is>
      </c>
      <c r="L3065" s="3" t="inlineStr">
        <is>
          <t>Recompute once active power and PUE become site-observable.</t>
        </is>
      </c>
    </row>
    <row r="3066">
      <c r="A3066" s="3" t="inlineStr">
        <is>
          <t>Tencent</t>
        </is>
      </c>
      <c r="B3066" s="3" t="n">
        <v>2029</v>
      </c>
      <c r="C3066" s="3" t="inlineStr">
        <is>
          <t>Bull</t>
        </is>
      </c>
      <c r="D3066" s="3" t="inlineStr">
        <is>
          <t>ai_workload_share</t>
        </is>
      </c>
      <c r="E3066" s="3" t="n">
        <v>0.84</v>
      </c>
      <c r="F3066" s="3" t="inlineStr">
        <is>
          <t>share</t>
        </is>
      </c>
      <c r="G3066" s="3" t="inlineStr">
        <is>
          <t>Scenario allocation</t>
        </is>
      </c>
      <c r="H3066" s="3" t="inlineStr">
        <is>
          <t>ai_it_load_gw = it_load_gw * ai_workload_share</t>
        </is>
      </c>
      <c r="I3066" s="3" t="inlineStr">
        <is>
          <t>Modeled Hunyuan-serving capacity is AI-focused; 84% excludes cloud/platform and reserve overhead.</t>
        </is>
      </c>
      <c r="J3066" s="3" t="inlineStr">
        <is>
          <t>SRC_TENCENT_HUNYUAN; SRC_TENCENT_HY3; SRC_TENCENT_AI_INFRA_MOE; SRC_EPOCH_AI_DATA_CENTERS</t>
        </is>
      </c>
      <c r="K3066" s="3" t="inlineStr">
        <is>
          <t>ASSUMP_CN_CAPACITY_TRANSPARENCY; ASSUMP_APP_EMBEDDING; ASSUMP_NUMERIC_ACCELERATOR_MIX; ASSUMP_INFERENCE_SHARE_NOT_FACT_60; ASSUMP_WORKLOAD_CLASS_MIX; ASSUMP_AGENTIC_CONTEXT_PENALTY</t>
        </is>
      </c>
      <c r="L3066" s="3" t="inlineStr">
        <is>
          <t>Model-owner AI workload allocation or cluster scheduling telemetry.</t>
        </is>
      </c>
    </row>
    <row r="3067">
      <c r="A3067" s="3" t="inlineStr">
        <is>
          <t>Tencent</t>
        </is>
      </c>
      <c r="B3067" s="3" t="n">
        <v>2029</v>
      </c>
      <c r="C3067" s="3" t="inlineStr">
        <is>
          <t>Bull</t>
        </is>
      </c>
      <c r="D3067" s="3" t="inlineStr">
        <is>
          <t>ai_it_load_gw</t>
        </is>
      </c>
      <c r="E3067" s="3" t="n">
        <v>1.499</v>
      </c>
      <c r="F3067" s="3" t="inlineStr">
        <is>
          <t>GW</t>
        </is>
      </c>
      <c r="G3067" s="3" t="inlineStr">
        <is>
          <t>Derived formula</t>
        </is>
      </c>
      <c r="H3067" s="3" t="inlineStr">
        <is>
          <t>it_load_gw * ai_workload_share</t>
        </is>
      </c>
      <c r="I3067" s="3" t="inlineStr">
        <is>
          <t>Only the AI-attributed portion of IT load enters training/inference allocation.</t>
        </is>
      </c>
      <c r="J3067" s="3" t="inlineStr">
        <is>
          <t>SRC_TENCENT_HUNYUAN; SRC_TENCENT_HY3; SRC_TENCENT_AI_INFRA_MOE; SRC_EPOCH_AI_DATA_CENTERS</t>
        </is>
      </c>
      <c r="K3067" s="3" t="inlineStr">
        <is>
          <t>ASSUMP_CN_CAPACITY_TRANSPARENCY; ASSUMP_APP_EMBEDDING; ASSUMP_NUMERIC_ACCELERATOR_MIX; ASSUMP_INFERENCE_SHARE_NOT_FACT_60; ASSUMP_WORKLOAD_CLASS_MIX; ASSUMP_AGENTIC_CONTEXT_PENALTY</t>
        </is>
      </c>
      <c r="L3067" s="3" t="inlineStr">
        <is>
          <t>Recompute after ai_workload_share is replaced by telemetry.</t>
        </is>
      </c>
    </row>
    <row r="3068">
      <c r="A3068" s="3" t="inlineStr">
        <is>
          <t>Tencent</t>
        </is>
      </c>
      <c r="B3068" s="3" t="n">
        <v>2029</v>
      </c>
      <c r="C3068" s="3" t="inlineStr">
        <is>
          <t>Bull</t>
        </is>
      </c>
      <c r="D3068" s="3" t="inlineStr">
        <is>
          <t>gpu_share</t>
        </is>
      </c>
      <c r="E3068" s="3" t="n">
        <v>1</v>
      </c>
      <c r="F3068" s="3" t="inlineStr">
        <is>
          <t>share of inference-serving accelerator load</t>
        </is>
      </c>
      <c r="G3068" s="3" t="inlineStr">
        <is>
          <t>Numeric scenario</t>
        </is>
      </c>
      <c r="H3068" s="3" t="inlineStr">
        <is>
          <t>gpu_share interpolated from company 2026/2030 accelerator-mix endpoints</t>
        </is>
      </c>
      <c r="I3068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68" s="3" t="inlineStr">
        <is>
          <t>SRC_TENCENT_HUNYUAN; SRC_TENCENT_HY3; SRC_TENCENT_AI_INFRA_MOE; SRC_EPOCH_AI_DATA_CENTERS; ASSUMP_NUMERIC_ACCELERATOR_MIX</t>
        </is>
      </c>
      <c r="K3068" s="3" t="inlineStr">
        <is>
          <t>ASSUMP_CN_CAPACITY_TRANSPARENCY; ASSUMP_APP_EMBEDDING; ASSUMP_NUMERIC_ACCELERATOR_MIX; ASSUMP_INFERENCE_SHARE_NOT_FACT_60; ASSUMP_WORKLOAD_CLASS_MIX; ASSUMP_AGENTIC_CONTEXT_PENALTY</t>
        </is>
      </c>
      <c r="L3068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69">
      <c r="A3069" s="3" t="inlineStr">
        <is>
          <t>Tencent</t>
        </is>
      </c>
      <c r="B3069" s="3" t="n">
        <v>2029</v>
      </c>
      <c r="C3069" s="3" t="inlineStr">
        <is>
          <t>Bull</t>
        </is>
      </c>
      <c r="D3069" s="3" t="inlineStr">
        <is>
          <t>h200_share</t>
        </is>
      </c>
      <c r="E3069" s="3" t="n">
        <v>0.213</v>
      </c>
      <c r="F3069" s="3" t="inlineStr">
        <is>
          <t>share of inference-serving accelerator load</t>
        </is>
      </c>
      <c r="G3069" s="3" t="inlineStr">
        <is>
          <t>Editable numeric scenario</t>
        </is>
      </c>
      <c r="H3069" s="3" t="inlineStr">
        <is>
          <t>h200_share = gpu_share * default_gpu_generation_mix_h200</t>
        </is>
      </c>
      <c r="I3069" s="3" t="inlineStr">
        <is>
          <t>Default GPU-generation migration assumption; executive workbook allows later manual replacement by company/year/scenario.</t>
        </is>
      </c>
      <c r="J3069" s="3" t="inlineStr">
        <is>
          <t>SRC_SEMIANALYSIS_INFERENCEX; ASSUMP_NUMERIC_ACCELERATOR_MIX</t>
        </is>
      </c>
      <c r="K3069" s="3" t="inlineStr">
        <is>
          <t>ASSUMP_CN_CAPACITY_TRANSPARENCY; ASSUMP_APP_EMBEDDING; ASSUMP_NUMERIC_ACCELERATOR_MIX; ASSUMP_INFERENCE_SHARE_NOT_FACT_60; ASSUMP_WORKLOAD_CLASS_MIX; ASSUMP_AGENTIC_CONTEXT_PENALTY</t>
        </is>
      </c>
      <c r="L3069" s="3" t="inlineStr">
        <is>
          <t>Company fleet inventory, accelerator-hours or procurement/deployment records by GPU generation.</t>
        </is>
      </c>
    </row>
    <row r="3070">
      <c r="A3070" s="3" t="inlineStr">
        <is>
          <t>Tencent</t>
        </is>
      </c>
      <c r="B3070" s="3" t="n">
        <v>2029</v>
      </c>
      <c r="C3070" s="3" t="inlineStr">
        <is>
          <t>Bull</t>
        </is>
      </c>
      <c r="D3070" s="3" t="inlineStr">
        <is>
          <t>b200_share</t>
        </is>
      </c>
      <c r="E3070" s="3" t="n">
        <v>0.362</v>
      </c>
      <c r="F3070" s="3" t="inlineStr">
        <is>
          <t>share of inference-serving accelerator load</t>
        </is>
      </c>
      <c r="G3070" s="3" t="inlineStr">
        <is>
          <t>Editable numeric scenario</t>
        </is>
      </c>
      <c r="H3070" s="3" t="inlineStr">
        <is>
          <t>b200_share = gpu_share * default_gpu_generation_mix_b200</t>
        </is>
      </c>
      <c r="I3070" s="3" t="inlineStr">
        <is>
          <t>Default GPU-generation migration assumption; executive workbook allows later manual replacement by company/year/scenario.</t>
        </is>
      </c>
      <c r="J3070" s="3" t="inlineStr">
        <is>
          <t>SRC_SEMIANALYSIS_INFERENCEX; ASSUMP_NUMERIC_ACCELERATOR_MIX</t>
        </is>
      </c>
      <c r="K3070" s="3" t="inlineStr">
        <is>
          <t>ASSUMP_CN_CAPACITY_TRANSPARENCY; ASSUMP_APP_EMBEDDING; ASSUMP_NUMERIC_ACCELERATOR_MIX; ASSUMP_INFERENCE_SHARE_NOT_FACT_60; ASSUMP_WORKLOAD_CLASS_MIX; ASSUMP_AGENTIC_CONTEXT_PENALTY</t>
        </is>
      </c>
      <c r="L3070" s="3" t="inlineStr">
        <is>
          <t>Company fleet inventory, accelerator-hours or procurement/deployment records by GPU generation.</t>
        </is>
      </c>
    </row>
    <row r="3071">
      <c r="A3071" s="3" t="inlineStr">
        <is>
          <t>Tencent</t>
        </is>
      </c>
      <c r="B3071" s="3" t="n">
        <v>2029</v>
      </c>
      <c r="C3071" s="3" t="inlineStr">
        <is>
          <t>Bull</t>
        </is>
      </c>
      <c r="D3071" s="3" t="inlineStr">
        <is>
          <t>gb200_share</t>
        </is>
      </c>
      <c r="E3071" s="3" t="n">
        <v>0.425</v>
      </c>
      <c r="F3071" s="3" t="inlineStr">
        <is>
          <t>share of inference-serving accelerator load</t>
        </is>
      </c>
      <c r="G3071" s="3" t="inlineStr">
        <is>
          <t>Editable numeric scenario</t>
        </is>
      </c>
      <c r="H3071" s="3" t="inlineStr">
        <is>
          <t>gb200_share = gpu_share * default_gpu_generation_mix_gb200</t>
        </is>
      </c>
      <c r="I3071" s="3" t="inlineStr">
        <is>
          <t>Default GPU-generation migration assumption; executive workbook allows later manual replacement by company/year/scenario.</t>
        </is>
      </c>
      <c r="J3071" s="3" t="inlineStr">
        <is>
          <t>SRC_SEMIANALYSIS_INFERENCEX; ASSUMP_NUMERIC_ACCELERATOR_MIX</t>
        </is>
      </c>
      <c r="K3071" s="3" t="inlineStr">
        <is>
          <t>ASSUMP_CN_CAPACITY_TRANSPARENCY; ASSUMP_APP_EMBEDDING; ASSUMP_NUMERIC_ACCELERATOR_MIX; ASSUMP_INFERENCE_SHARE_NOT_FACT_60; ASSUMP_WORKLOAD_CLASS_MIX; ASSUMP_AGENTIC_CONTEXT_PENALTY</t>
        </is>
      </c>
      <c r="L3071" s="3" t="inlineStr">
        <is>
          <t>Company fleet inventory, accelerator-hours or procurement/deployment records by GPU generation.</t>
        </is>
      </c>
    </row>
    <row r="3072">
      <c r="A3072" s="3" t="inlineStr">
        <is>
          <t>Tencent</t>
        </is>
      </c>
      <c r="B3072" s="3" t="n">
        <v>2029</v>
      </c>
      <c r="C3072" s="3" t="inlineStr">
        <is>
          <t>Bull</t>
        </is>
      </c>
      <c r="D3072" s="3" t="inlineStr">
        <is>
          <t>purpose_built_accelerator_share</t>
        </is>
      </c>
      <c r="E3072" s="3" t="n">
        <v>0</v>
      </c>
      <c r="F3072" s="3" t="inlineStr">
        <is>
          <t>share of inference-serving accelerator load</t>
        </is>
      </c>
      <c r="G3072" s="3" t="inlineStr">
        <is>
          <t>Numeric scenario</t>
        </is>
      </c>
      <c r="H3072" s="3" t="inlineStr">
        <is>
          <t>1 - gpu_share</t>
        </is>
      </c>
      <c r="I3072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72" s="3" t="inlineStr">
        <is>
          <t>SRC_TENCENT_HUNYUAN; SRC_TENCENT_HY3; SRC_TENCENT_AI_INFRA_MOE; SRC_EPOCH_AI_DATA_CENTERS; ASSUMP_NUMERIC_ACCELERATOR_MIX</t>
        </is>
      </c>
      <c r="K3072" s="3" t="inlineStr">
        <is>
          <t>ASSUMP_CN_CAPACITY_TRANSPARENCY; ASSUMP_APP_EMBEDDING; ASSUMP_NUMERIC_ACCELERATOR_MIX; ASSUMP_INFERENCE_SHARE_NOT_FACT_60; ASSUMP_WORKLOAD_CLASS_MIX; ASSUMP_AGENTIC_CONTEXT_PENALTY</t>
        </is>
      </c>
      <c r="L3072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73">
      <c r="A3073" s="3" t="inlineStr">
        <is>
          <t>Tencent</t>
        </is>
      </c>
      <c r="B3073" s="3" t="n">
        <v>2029</v>
      </c>
      <c r="C3073" s="3" t="inlineStr">
        <is>
          <t>Bull</t>
        </is>
      </c>
      <c r="D3073" s="3" t="inlineStr">
        <is>
          <t>fleet_reference_tps_per_mw</t>
        </is>
      </c>
      <c r="E3073" s="3" t="n">
        <v>3133311</v>
      </c>
      <c r="F3073" s="3" t="inlineStr">
        <is>
          <t>generated output tokens/sec/MW</t>
        </is>
      </c>
      <c r="G3073" s="3" t="inlineStr">
        <is>
          <t>Fleet-weighted public benchmark reference</t>
        </is>
      </c>
      <c r="H3073" s="3" t="inlineStr">
        <is>
          <t>h200_share*h200_workload_avg + b200_share*b200_workload_avg + gb200_share*gb200_workload_avg + purpose_built_share*purpose_workload_avg</t>
        </is>
      </c>
      <c r="I307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73" s="3" t="inlineStr">
        <is>
          <t>SRC_SEMIANALYSIS_INFERENCEX; ASSUMP_NUMERIC_ACCELERATOR_MIX; ASSUMP_WORKLOAD_CLASS_MIX; ASSUMP_AGENTIC_CONTEXT_PENALTY</t>
        </is>
      </c>
      <c r="K3073" s="3" t="inlineStr">
        <is>
          <t>ASSUMP_CN_CAPACITY_TRANSPARENCY; ASSUMP_APP_EMBEDDING; ASSUMP_NUMERIC_ACCELERATOR_MIX; ASSUMP_INFERENCE_SHARE_NOT_FACT_60; ASSUMP_WORKLOAD_CLASS_MIX; ASSUMP_AGENTIC_CONTEXT_PENALTY</t>
        </is>
      </c>
      <c r="L3073" s="3" t="inlineStr">
        <is>
          <t>Comparable production output-token throughput or a more closely matched benchmark.</t>
        </is>
      </c>
    </row>
    <row r="3074">
      <c r="A3074" s="3" t="inlineStr">
        <is>
          <t>Tencent</t>
        </is>
      </c>
      <c r="B3074" s="3" t="n">
        <v>2029</v>
      </c>
      <c r="C3074" s="3" t="inlineStr">
        <is>
          <t>Bull</t>
        </is>
      </c>
      <c r="D3074" s="3" t="inlineStr">
        <is>
          <t>commercial_workload_fit_factor</t>
        </is>
      </c>
      <c r="E3074" s="3" t="n">
        <v>0.8</v>
      </c>
      <c r="F3074" s="3" t="inlineStr">
        <is>
          <t>share of public reference throughput</t>
        </is>
      </c>
      <c r="G3074" s="3" t="inlineStr">
        <is>
          <t>Scenario assumption</t>
        </is>
      </c>
      <c r="H3074" s="3" t="inlineStr">
        <is>
          <t>reference_serving_tps_per_mw = fleet_reference_tps_per_mw * commercial_workload_fit_factor</t>
        </is>
      </c>
      <c r="I3074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74" s="3" t="inlineStr">
        <is>
          <t>SRC_SEMIANALYSIS_INFERENCEX; ASSUMP_NUMERIC_ACCELERATOR_MIX; ASSUMP_WORKLOAD_CLASS_MIX; ASSUMP_AGENTIC_CONTEXT_PENALTY</t>
        </is>
      </c>
      <c r="K3074" s="3" t="inlineStr">
        <is>
          <t>ASSUMP_CN_CAPACITY_TRANSPARENCY; ASSUMP_APP_EMBEDDING; ASSUMP_NUMERIC_ACCELERATOR_MIX; ASSUMP_INFERENCE_SHARE_NOT_FACT_60; ASSUMP_WORKLOAD_CLASS_MIX; ASSUMP_AGENTIC_CONTEXT_PENALTY</t>
        </is>
      </c>
      <c r="L3074" s="3" t="inlineStr">
        <is>
          <t>Matched commercial serving benchmark by product surface, context shape and latency SLO.</t>
        </is>
      </c>
    </row>
    <row r="3075">
      <c r="A3075" s="3" t="inlineStr">
        <is>
          <t>Tencent</t>
        </is>
      </c>
      <c r="B3075" s="3" t="n">
        <v>2029</v>
      </c>
      <c r="C3075" s="3" t="inlineStr">
        <is>
          <t>Bull</t>
        </is>
      </c>
      <c r="D3075" s="3" t="inlineStr">
        <is>
          <t>reference_serving_tps_per_mw</t>
        </is>
      </c>
      <c r="E3075" s="3" t="n">
        <v>2506649</v>
      </c>
      <c r="F3075" s="3" t="inlineStr">
        <is>
          <t>generated output tokens/sec/MW</t>
        </is>
      </c>
      <c r="G3075" s="3" t="inlineStr">
        <is>
          <t>Workload-adjusted benchmark proxy</t>
        </is>
      </c>
      <c r="H3075" s="3" t="inlineStr">
        <is>
          <t>fleet_reference_tps_per_mw * commercial_workload_fit_factor</t>
        </is>
      </c>
      <c r="I3075" s="3" t="inlineStr">
        <is>
          <t>This is the coefficient used for headline token generation; each GPU's short chat, long chat and agentic TPS/MW are weighted before fleet mix and commercial fit are applied.</t>
        </is>
      </c>
      <c r="J3075" s="3" t="inlineStr">
        <is>
          <t>SRC_SEMIANALYSIS_INFERENCEX; ASSUMP_NUMERIC_ACCELERATOR_MIX; ASSUMP_WORKLOAD_CLASS_MIX; ASSUMP_AGENTIC_CONTEXT_PENALTY</t>
        </is>
      </c>
      <c r="K3075" s="3" t="inlineStr">
        <is>
          <t>ASSUMP_CN_CAPACITY_TRANSPARENCY; ASSUMP_APP_EMBEDDING; ASSUMP_NUMERIC_ACCELERATOR_MIX; ASSUMP_INFERENCE_SHARE_NOT_FACT_60; ASSUMP_WORKLOAD_CLASS_MIX; ASSUMP_AGENTIC_CONTEXT_PENALTY</t>
        </is>
      </c>
      <c r="L3075" s="3" t="inlineStr">
        <is>
          <t>Provider production output-token throughput with comparable workload/SLO.</t>
        </is>
      </c>
    </row>
    <row r="3076">
      <c r="A3076" s="3" t="inlineStr">
        <is>
          <t>Tencent</t>
        </is>
      </c>
      <c r="B3076" s="3" t="n">
        <v>2029</v>
      </c>
      <c r="C3076" s="3" t="inlineStr">
        <is>
          <t>Bull</t>
        </is>
      </c>
      <c r="D3076" s="3" t="inlineStr">
        <is>
          <t>purpose_built_tps_per_mw</t>
        </is>
      </c>
      <c r="E3076" s="3" t="n">
        <v>3613574</v>
      </c>
      <c r="F3076" s="3" t="inlineStr">
        <is>
          <t>generated output tokens/sec/MW</t>
        </is>
      </c>
      <c r="G3076" s="3" t="inlineStr">
        <is>
          <t>Conservative no-uplift proxy</t>
        </is>
      </c>
      <c r="H3076" s="3" t="inlineStr">
        <is>
          <t>purpose_built_tps_per_mw = purpose_built_reference_tps_per_mw * commercial_workload_fit_factor until comparable output-token benchmark is adopted</t>
        </is>
      </c>
      <c r="I3076" s="3" t="inlineStr">
        <is>
          <t>No comparable public output-token/MW row adopted; B200 public reference placeholder is used and remains editable.</t>
        </is>
      </c>
      <c r="J3076" s="3" t="inlineStr">
        <is>
          <t>SRC_TENCENT_HUNYUAN; SRC_TENCENT_HY3; SRC_TENCENT_AI_INFRA_MOE; SRC_EPOCH_AI_DATA_CENTERS; ASSUMP_NUMERIC_ACCELERATOR_MIX</t>
        </is>
      </c>
      <c r="K3076" s="3" t="inlineStr">
        <is>
          <t>ASSUMP_CN_CAPACITY_TRANSPARENCY; ASSUMP_APP_EMBEDDING; ASSUMP_NUMERIC_ACCELERATOR_MIX; ASSUMP_INFERENCE_SHARE_NOT_FACT_60; ASSUMP_WORKLOAD_CLASS_MIX; ASSUMP_AGENTIC_CONTEXT_PENALTY</t>
        </is>
      </c>
      <c r="L3076" s="3" t="inlineStr">
        <is>
          <t>Matched-workload generated-output benchmark for the provider purpose-built accelerator.</t>
        </is>
      </c>
    </row>
    <row r="3077">
      <c r="A3077" s="3" t="inlineStr">
        <is>
          <t>Tencent</t>
        </is>
      </c>
      <c r="B3077" s="3" t="n">
        <v>2029</v>
      </c>
      <c r="C3077" s="3" t="inlineStr">
        <is>
          <t>Bull</t>
        </is>
      </c>
      <c r="D3077" s="3" t="inlineStr">
        <is>
          <t>inference_power_share</t>
        </is>
      </c>
      <c r="E3077" s="3" t="n">
        <v>0.823</v>
      </c>
      <c r="F3077" s="3" t="inlineStr">
        <is>
          <t>share of AI IT load</t>
        </is>
      </c>
      <c r="G3077" s="3" t="inlineStr">
        <is>
          <t>Scenario allocation</t>
        </is>
      </c>
      <c r="H3077" s="3" t="inlineStr">
        <is>
          <t>inference_gw = ai_it_load_gw * inference_power_share</t>
        </is>
      </c>
      <c r="I3077" s="3" t="inlineStr">
        <is>
          <t>Yuanbao and embedded product surfaces plus Hunyuan Turbo inference-cost direction support rising inference allocation.</t>
        </is>
      </c>
      <c r="J3077" s="3" t="inlineStr">
        <is>
          <t>SRC_TENCENT_HUNYUAN; SRC_TENCENT_HY3; SRC_TENCENT_AI_INFRA_MOE; SRC_EPOCH_AI_DATA_CENTERS; ASSUMP_INFERENCE_SHARE_NOT_FACT_60</t>
        </is>
      </c>
      <c r="K3077" s="3" t="inlineStr">
        <is>
          <t>ASSUMP_CN_CAPACITY_TRANSPARENCY; ASSUMP_APP_EMBEDDING; ASSUMP_NUMERIC_ACCELERATOR_MIX; ASSUMP_INFERENCE_SHARE_NOT_FACT_60; ASSUMP_WORKLOAD_CLASS_MIX; ASSUMP_AGENTIC_CONTEXT_PENALTY</t>
        </is>
      </c>
      <c r="L3077" s="3" t="inlineStr">
        <is>
          <t>Provider-specific inference/training workload power telemetry.</t>
        </is>
      </c>
    </row>
    <row r="3078">
      <c r="A3078" s="3" t="inlineStr">
        <is>
          <t>Tencent</t>
        </is>
      </c>
      <c r="B3078" s="3" t="n">
        <v>2029</v>
      </c>
      <c r="C3078" s="3" t="inlineStr">
        <is>
          <t>Bull</t>
        </is>
      </c>
      <c r="D3078" s="3" t="inlineStr">
        <is>
          <t>inference_gw</t>
        </is>
      </c>
      <c r="E3078" s="3" t="n">
        <v>1.233</v>
      </c>
      <c r="F3078" s="3" t="inlineStr">
        <is>
          <t>GW</t>
        </is>
      </c>
      <c r="G3078" s="3" t="inlineStr">
        <is>
          <t>Derived formula</t>
        </is>
      </c>
      <c r="H3078" s="3" t="inlineStr">
        <is>
          <t>ai_it_load_gw * inference_power_share</t>
        </is>
      </c>
      <c r="I3078" s="3" t="inlineStr">
        <is>
          <t>This is the operational power eligible to become commercial generated output tokens through the selected TPS/MW proxy.</t>
        </is>
      </c>
      <c r="J3078" s="3" t="inlineStr">
        <is>
          <t>SRC_TENCENT_HUNYUAN; SRC_TENCENT_HY3; SRC_TENCENT_AI_INFRA_MOE; SRC_EPOCH_AI_DATA_CENTERS</t>
        </is>
      </c>
      <c r="K3078" s="3" t="inlineStr">
        <is>
          <t>ASSUMP_CN_CAPACITY_TRANSPARENCY; ASSUMP_APP_EMBEDDING; ASSUMP_NUMERIC_ACCELERATOR_MIX; ASSUMP_INFERENCE_SHARE_NOT_FACT_60; ASSUMP_WORKLOAD_CLASS_MIX; ASSUMP_AGENTIC_CONTEXT_PENALTY</t>
        </is>
      </c>
      <c r="L3078" s="3" t="inlineStr">
        <is>
          <t>Recompute after AI allocation or inference-share evidence changes.</t>
        </is>
      </c>
    </row>
    <row r="3079">
      <c r="A3079" s="3" t="inlineStr">
        <is>
          <t>Tencent</t>
        </is>
      </c>
      <c r="B3079" s="3" t="n">
        <v>2029</v>
      </c>
      <c r="C3079" s="3" t="inlineStr">
        <is>
          <t>Bull</t>
        </is>
      </c>
      <c r="D3079" s="3" t="inlineStr">
        <is>
          <t>training_power_share</t>
        </is>
      </c>
      <c r="E3079" s="3" t="n">
        <v>0.177</v>
      </c>
      <c r="F3079" s="3" t="inlineStr">
        <is>
          <t>share of AI IT load</t>
        </is>
      </c>
      <c r="G3079" s="3" t="inlineStr">
        <is>
          <t>Derived allocation</t>
        </is>
      </c>
      <c r="H3079" s="3" t="inlineStr">
        <is>
          <t>1 - inference_power_share</t>
        </is>
      </c>
      <c r="I3079" s="3" t="inlineStr">
        <is>
          <t>Training receives the complementary modeled AI IT allocation; it is not a disclosed company workload split.</t>
        </is>
      </c>
      <c r="J3079" s="3" t="inlineStr">
        <is>
          <t>SRC_TENCENT_HUNYUAN; SRC_TENCENT_HY3; SRC_TENCENT_AI_INFRA_MOE; SRC_EPOCH_AI_DATA_CENTERS; ASSUMP_INFERENCE_SHARE_NOT_FACT_60</t>
        </is>
      </c>
      <c r="K3079" s="3" t="inlineStr">
        <is>
          <t>ASSUMP_CN_CAPACITY_TRANSPARENCY; ASSUMP_APP_EMBEDDING; ASSUMP_NUMERIC_ACCELERATOR_MIX; ASSUMP_INFERENCE_SHARE_NOT_FACT_60; ASSUMP_WORKLOAD_CLASS_MIX; ASSUMP_AGENTIC_CONTEXT_PENALTY</t>
        </is>
      </c>
      <c r="L3079" s="3" t="inlineStr">
        <is>
          <t>Provider-specific inference/training workload power telemetry.</t>
        </is>
      </c>
    </row>
    <row r="3080">
      <c r="A3080" s="3" t="inlineStr">
        <is>
          <t>Tencent</t>
        </is>
      </c>
      <c r="B3080" s="3" t="n">
        <v>2029</v>
      </c>
      <c r="C3080" s="3" t="inlineStr">
        <is>
          <t>Bull</t>
        </is>
      </c>
      <c r="D3080" s="3" t="inlineStr">
        <is>
          <t>training_gw</t>
        </is>
      </c>
      <c r="E3080" s="3" t="n">
        <v>0.266</v>
      </c>
      <c r="F3080" s="3" t="inlineStr">
        <is>
          <t>GW</t>
        </is>
      </c>
      <c r="G3080" s="3" t="inlineStr">
        <is>
          <t>Derived formula</t>
        </is>
      </c>
      <c r="H3080" s="3" t="inlineStr">
        <is>
          <t>ai_it_load_gw * training_power_share</t>
        </is>
      </c>
      <c r="I3080" s="3" t="inlineStr">
        <is>
          <t>Training GW is shown separately so commercial inference token capacity is not overstated.</t>
        </is>
      </c>
      <c r="J3080" s="3" t="inlineStr">
        <is>
          <t>SRC_TENCENT_HUNYUAN; SRC_TENCENT_HY3; SRC_TENCENT_AI_INFRA_MOE; SRC_EPOCH_AI_DATA_CENTERS</t>
        </is>
      </c>
      <c r="K3080" s="3" t="inlineStr">
        <is>
          <t>ASSUMP_CN_CAPACITY_TRANSPARENCY; ASSUMP_APP_EMBEDDING; ASSUMP_NUMERIC_ACCELERATOR_MIX; ASSUMP_INFERENCE_SHARE_NOT_FACT_60; ASSUMP_WORKLOAD_CLASS_MIX; ASSUMP_AGENTIC_CONTEXT_PENALTY</t>
        </is>
      </c>
      <c r="L3080" s="3" t="inlineStr">
        <is>
          <t>Recompute after AI allocation or workload-split evidence changes.</t>
        </is>
      </c>
    </row>
    <row r="3081">
      <c r="A3081" s="3" t="inlineStr">
        <is>
          <t>Tencent</t>
        </is>
      </c>
      <c r="B3081" s="3" t="n">
        <v>2029</v>
      </c>
      <c r="C3081" s="3" t="inlineStr">
        <is>
          <t>Bull</t>
        </is>
      </c>
      <c r="D3081" s="3" t="inlineStr">
        <is>
          <t>tokens_per_second_per_mw</t>
        </is>
      </c>
      <c r="E3081" s="3" t="n">
        <v>2506649</v>
      </c>
      <c r="F3081" s="3" t="inlineStr">
        <is>
          <t>generated output tokens/sec/MW</t>
        </is>
      </c>
      <c r="G3081" s="3" t="inlineStr">
        <is>
          <t>Derived estimate + benchmark calibration</t>
        </is>
      </c>
      <c r="H3081" s="3" t="inlineStr">
        <is>
          <t>fleet_reference_tps_per_mw * commercial_workload_fit_factor</t>
        </is>
      </c>
      <c r="I3081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081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081" s="3" t="inlineStr">
        <is>
          <t>ASSUMP_CN_CAPACITY_TRANSPARENCY; ASSUMP_APP_EMBEDDING; ASSUMP_NUMERIC_ACCELERATOR_MIX; ASSUMP_INFERENCE_SHARE_NOT_FACT_60; ASSUMP_WORKLOAD_CLASS_MIX; ASSUMP_AGENTIC_CONTEXT_PENALTY</t>
        </is>
      </c>
      <c r="L3081" s="3" t="inlineStr">
        <is>
          <t>Comparable production output-token throughput with model, hardware, precision, ISL/OSL and SLO matched.</t>
        </is>
      </c>
    </row>
    <row r="3082">
      <c r="A3082" s="3" t="inlineStr">
        <is>
          <t>Tencent</t>
        </is>
      </c>
      <c r="B3082" s="3" t="n">
        <v>2029</v>
      </c>
      <c r="C3082" s="3" t="inlineStr">
        <is>
          <t>Bull</t>
        </is>
      </c>
      <c r="D3082" s="3" t="inlineStr">
        <is>
          <t>inference_tokens_per_day</t>
        </is>
      </c>
      <c r="E3082" s="3" t="n">
        <v>267036325948800</v>
      </c>
      <c r="F3082" s="3" t="inlineStr">
        <is>
          <t>generated output tokens/day</t>
        </is>
      </c>
      <c r="G3082" s="3" t="inlineStr">
        <is>
          <t>Derived headline metric</t>
        </is>
      </c>
      <c r="H3082" s="3" t="inlineStr">
        <is>
          <t>inference_gw * 1000 * tokens_per_second_per_mw * 86,400</t>
        </is>
      </c>
      <c r="I3082" s="3" t="inlineStr">
        <is>
          <t>Headline capacity uses no utilization, MoE, architecture or software-growth multiplier; it is not observed commercial output volume.</t>
        </is>
      </c>
      <c r="J3082" s="3" t="inlineStr">
        <is>
          <t>SRC_TENCENT_HUNYUAN; SRC_TENCENT_HY3; SRC_TENCENT_AI_INFRA_MOE; SRC_EPOCH_AI_DATA_CENTERS; SRC_SEMIANALYSIS_INFERENCEX</t>
        </is>
      </c>
      <c r="K3082" s="3" t="inlineStr">
        <is>
          <t>ASSUMP_CN_CAPACITY_TRANSPARENCY; ASSUMP_APP_EMBEDDING; ASSUMP_NUMERIC_ACCELERATOR_MIX; ASSUMP_INFERENCE_SHARE_NOT_FACT_60; ASSUMP_WORKLOAD_CLASS_MIX; ASSUMP_AGENTIC_CONTEXT_PENALTY</t>
        </is>
      </c>
      <c r="L3082" s="3" t="inlineStr">
        <is>
          <t>Provider-disclosed generated output token volume or calibrated capacity telemetry.</t>
        </is>
      </c>
    </row>
    <row r="3083">
      <c r="A3083" s="3" t="inlineStr">
        <is>
          <t>Tencent</t>
        </is>
      </c>
      <c r="B3083" s="3" t="n">
        <v>2029</v>
      </c>
      <c r="C3083" s="3" t="inlineStr">
        <is>
          <t>Bull</t>
        </is>
      </c>
      <c r="D3083" s="3" t="inlineStr">
        <is>
          <t>inference_tokens_per_year</t>
        </is>
      </c>
      <c r="E3083" s="3" t="n">
        <v>9.7468258971312e+16</v>
      </c>
      <c r="F3083" s="3" t="inlineStr">
        <is>
          <t>generated output tokens/year</t>
        </is>
      </c>
      <c r="G3083" s="3" t="inlineStr">
        <is>
          <t>Derived headline metric</t>
        </is>
      </c>
      <c r="H3083" s="3" t="inlineStr">
        <is>
          <t>inference_tokens_per_day * 365</t>
        </is>
      </c>
      <c r="I3083" s="3" t="inlineStr">
        <is>
          <t>Annualized version of generated output token capacity; it is not observed annual demand or billable volume.</t>
        </is>
      </c>
      <c r="J3083" s="3" t="inlineStr">
        <is>
          <t>SRC_TENCENT_HUNYUAN; SRC_TENCENT_HY3; SRC_TENCENT_AI_INFRA_MOE; SRC_EPOCH_AI_DATA_CENTERS; SRC_SEMIANALYSIS_INFERENCEX</t>
        </is>
      </c>
      <c r="K3083" s="3" t="inlineStr">
        <is>
          <t>ASSUMP_CN_CAPACITY_TRANSPARENCY; ASSUMP_APP_EMBEDDING; ASSUMP_NUMERIC_ACCELERATOR_MIX; ASSUMP_INFERENCE_SHARE_NOT_FACT_60; ASSUMP_WORKLOAD_CLASS_MIX; ASSUMP_AGENTIC_CONTEXT_PENALTY</t>
        </is>
      </c>
      <c r="L3083" s="3" t="inlineStr">
        <is>
          <t>Provider-disclosed annual generated-output volume or metered serving telemetry.</t>
        </is>
      </c>
    </row>
    <row r="3084">
      <c r="A3084" s="3" t="inlineStr">
        <is>
          <t>Tencent</t>
        </is>
      </c>
      <c r="B3084" s="3" t="n">
        <v>2030</v>
      </c>
      <c r="C3084" s="3" t="inlineStr">
        <is>
          <t>Bull</t>
        </is>
      </c>
      <c r="D3084" s="3" t="inlineStr">
        <is>
          <t>contracted_power_gw</t>
        </is>
      </c>
      <c r="E3084" s="3" t="n">
        <v>3</v>
      </c>
      <c r="F3084" s="3" t="inlineStr">
        <is>
          <t>GW</t>
        </is>
      </c>
      <c r="G3084" s="3" t="inlineStr">
        <is>
          <t>Scenario capacity envelope</t>
        </is>
      </c>
      <c r="H3084" s="3" t="inlineStr">
        <is>
          <t>linear interpolation between 2026 and 2030 company capacity endpoints</t>
        </is>
      </c>
      <c r="I3084" s="3" t="inlineStr">
        <is>
          <t>Tencent Cloud/Hunyuan capacity is a scenario envelope because operated model-serving GW is undisclosed.</t>
        </is>
      </c>
      <c r="J3084" s="3" t="inlineStr">
        <is>
          <t>SRC_TENCENT_AI_INFRA_MOE; ASSUMP_CN_CAPACITY_TRANSPARENCY</t>
        </is>
      </c>
      <c r="K3084" s="3" t="inlineStr">
        <is>
          <t>ASSUMP_CN_CAPACITY_TRANSPARENCY; ASSUMP_APP_EMBEDDING; ASSUMP_NUMERIC_ACCELERATOR_MIX; ASSUMP_INFERENCE_SHARE_NOT_FACT_60; ASSUMP_WORKLOAD_CLASS_MIX; ASSUMP_AGENTIC_CONTEXT_PENALTY</t>
        </is>
      </c>
      <c r="L3084" s="3" t="inlineStr">
        <is>
          <t>Company/site-level committed MW/GW, interconnect and contract disclosure.</t>
        </is>
      </c>
    </row>
    <row r="3085">
      <c r="A3085" s="3" t="inlineStr">
        <is>
          <t>Tencent</t>
        </is>
      </c>
      <c r="B3085" s="3" t="n">
        <v>2030</v>
      </c>
      <c r="C3085" s="3" t="inlineStr">
        <is>
          <t>Bull</t>
        </is>
      </c>
      <c r="D3085" s="3" t="inlineStr">
        <is>
          <t>operational_deployment_share</t>
        </is>
      </c>
      <c r="E3085" s="3" t="n">
        <v>0.944</v>
      </c>
      <c r="F3085" s="3" t="inlineStr">
        <is>
          <t>share</t>
        </is>
      </c>
      <c r="G3085" s="3" t="inlineStr">
        <is>
          <t>Scenario conversion</t>
        </is>
      </c>
      <c r="H3085" s="3" t="inlineStr">
        <is>
          <t>active_power_gw / contracted_power_gw</t>
        </is>
      </c>
      <c r="I3085" s="3" t="inlineStr">
        <is>
          <t>This is the single explicit conversion from contracted/attributed capacity to operationally usable capacity.</t>
        </is>
      </c>
      <c r="J3085" s="3" t="inlineStr">
        <is>
          <t>SRC_TENCENT_AI_INFRA_MOE; ASSUMP_CN_CAPACITY_TRANSPARENCY</t>
        </is>
      </c>
      <c r="K3085" s="3" t="inlineStr">
        <is>
          <t>ASSUMP_CN_CAPACITY_TRANSPARENCY; ASSUMP_APP_EMBEDDING; ASSUMP_NUMERIC_ACCELERATOR_MIX; ASSUMP_INFERENCE_SHARE_NOT_FACT_60; ASSUMP_WORKLOAD_CLASS_MIX; ASSUMP_AGENTIC_CONTEXT_PENALTY</t>
        </is>
      </c>
      <c r="L3085" s="3" t="inlineStr">
        <is>
          <t>Energized operational capacity divided by contracted/attributed capacity.</t>
        </is>
      </c>
    </row>
    <row r="3086">
      <c r="A3086" s="3" t="inlineStr">
        <is>
          <t>Tencent</t>
        </is>
      </c>
      <c r="B3086" s="3" t="n">
        <v>2030</v>
      </c>
      <c r="C3086" s="3" t="inlineStr">
        <is>
          <t>Bull</t>
        </is>
      </c>
      <c r="D3086" s="3" t="inlineStr">
        <is>
          <t>active_power_gw</t>
        </is>
      </c>
      <c r="E3086" s="3" t="n">
        <v>2.832</v>
      </c>
      <c r="F3086" s="3" t="inlineStr">
        <is>
          <t>GW</t>
        </is>
      </c>
      <c r="G3086" s="3" t="inlineStr">
        <is>
          <t>Derived scenario</t>
        </is>
      </c>
      <c r="H3086" s="3" t="inlineStr">
        <is>
          <t>contracted_power_gw * operational_deployment_share</t>
        </is>
      </c>
      <c r="I3086" s="3" t="inlineStr">
        <is>
          <t>Active GW reflects staged Hunyuan/Yuanbao adoption rather than a reported powered fleet.</t>
        </is>
      </c>
      <c r="J3086" s="3" t="inlineStr">
        <is>
          <t>SRC_TENCENT_AI_INFRA_MOE; ASSUMP_CN_CAPACITY_TRANSPARENCY</t>
        </is>
      </c>
      <c r="K3086" s="3" t="inlineStr">
        <is>
          <t>ASSUMP_CN_CAPACITY_TRANSPARENCY; ASSUMP_APP_EMBEDDING; ASSUMP_NUMERIC_ACCELERATOR_MIX; ASSUMP_INFERENCE_SHARE_NOT_FACT_60; ASSUMP_WORKLOAD_CLASS_MIX; ASSUMP_AGENTIC_CONTEXT_PENALTY</t>
        </is>
      </c>
      <c r="L3086" s="3" t="inlineStr">
        <is>
          <t>Energization dates, accelerator deliveries and operational powered-rack telemetry.</t>
        </is>
      </c>
    </row>
    <row r="3087">
      <c r="A3087" s="3" t="inlineStr">
        <is>
          <t>Tencent</t>
        </is>
      </c>
      <c r="B3087" s="3" t="n">
        <v>2030</v>
      </c>
      <c r="C3087" s="3" t="inlineStr">
        <is>
          <t>Bull</t>
        </is>
      </c>
      <c r="D3087" s="3" t="inlineStr">
        <is>
          <t>pue</t>
        </is>
      </c>
      <c r="E3087" s="3" t="n">
        <v>1.23</v>
      </c>
      <c r="F3087" s="3" t="inlineStr">
        <is>
          <t>ratio</t>
        </is>
      </c>
      <c r="G3087" s="3" t="inlineStr">
        <is>
          <t>Scenario parameter</t>
        </is>
      </c>
      <c r="H3087" s="3" t="inlineStr">
        <is>
          <t>it_load_gw = active_power_gw / pue</t>
        </is>
      </c>
      <c r="I3087" s="3" t="inlineStr">
        <is>
          <t>No provider-wide site-level PUE is used as a disclosed fact; PUE represents facility-to-IT conversion within the scenario.</t>
        </is>
      </c>
      <c r="J3087" s="3" t="inlineStr">
        <is>
          <t>ASSUMP_POWER_RAMP</t>
        </is>
      </c>
      <c r="K3087" s="3" t="inlineStr">
        <is>
          <t>ASSUMP_CN_CAPACITY_TRANSPARENCY; ASSUMP_APP_EMBEDDING; ASSUMP_NUMERIC_ACCELERATOR_MIX; ASSUMP_INFERENCE_SHARE_NOT_FACT_60; ASSUMP_WORKLOAD_CLASS_MIX; ASSUMP_AGENTIC_CONTEXT_PENALTY</t>
        </is>
      </c>
      <c r="L3087" s="3" t="inlineStr">
        <is>
          <t>Site-level measured PUE matched to attributed AI capacity.</t>
        </is>
      </c>
    </row>
    <row r="3088">
      <c r="A3088" s="3" t="inlineStr">
        <is>
          <t>Tencent</t>
        </is>
      </c>
      <c r="B3088" s="3" t="n">
        <v>2030</v>
      </c>
      <c r="C3088" s="3" t="inlineStr">
        <is>
          <t>Bull</t>
        </is>
      </c>
      <c r="D3088" s="3" t="inlineStr">
        <is>
          <t>it_load_gw</t>
        </is>
      </c>
      <c r="E3088" s="3" t="n">
        <v>2.302</v>
      </c>
      <c r="F3088" s="3" t="inlineStr">
        <is>
          <t>GW</t>
        </is>
      </c>
      <c r="G3088" s="3" t="inlineStr">
        <is>
          <t>Derived formula</t>
        </is>
      </c>
      <c r="H3088" s="3" t="inlineStr">
        <is>
          <t>active_power_gw / pue</t>
        </is>
      </c>
      <c r="I3088" s="3" t="inlineStr">
        <is>
          <t>Facility power is converted to IT-deliverable power before attributing AI workloads.</t>
        </is>
      </c>
      <c r="J3088" s="3" t="inlineStr">
        <is>
          <t>SRC_TENCENT_AI_INFRA_MOE; ASSUMP_CN_CAPACITY_TRANSPARENCY</t>
        </is>
      </c>
      <c r="K3088" s="3" t="inlineStr">
        <is>
          <t>ASSUMP_CN_CAPACITY_TRANSPARENCY; ASSUMP_APP_EMBEDDING; ASSUMP_NUMERIC_ACCELERATOR_MIX; ASSUMP_INFERENCE_SHARE_NOT_FACT_60; ASSUMP_WORKLOAD_CLASS_MIX; ASSUMP_AGENTIC_CONTEXT_PENALTY</t>
        </is>
      </c>
      <c r="L3088" s="3" t="inlineStr">
        <is>
          <t>Recompute once active power and PUE become site-observable.</t>
        </is>
      </c>
    </row>
    <row r="3089">
      <c r="A3089" s="3" t="inlineStr">
        <is>
          <t>Tencent</t>
        </is>
      </c>
      <c r="B3089" s="3" t="n">
        <v>2030</v>
      </c>
      <c r="C3089" s="3" t="inlineStr">
        <is>
          <t>Bull</t>
        </is>
      </c>
      <c r="D3089" s="3" t="inlineStr">
        <is>
          <t>ai_workload_share</t>
        </is>
      </c>
      <c r="E3089" s="3" t="n">
        <v>0.84</v>
      </c>
      <c r="F3089" s="3" t="inlineStr">
        <is>
          <t>share</t>
        </is>
      </c>
      <c r="G3089" s="3" t="inlineStr">
        <is>
          <t>Scenario allocation</t>
        </is>
      </c>
      <c r="H3089" s="3" t="inlineStr">
        <is>
          <t>ai_it_load_gw = it_load_gw * ai_workload_share</t>
        </is>
      </c>
      <c r="I3089" s="3" t="inlineStr">
        <is>
          <t>Modeled Hunyuan-serving capacity is AI-focused; 84% excludes cloud/platform and reserve overhead.</t>
        </is>
      </c>
      <c r="J3089" s="3" t="inlineStr">
        <is>
          <t>SRC_TENCENT_HUNYUAN; SRC_TENCENT_HY3; SRC_TENCENT_AI_INFRA_MOE; SRC_EPOCH_AI_DATA_CENTERS</t>
        </is>
      </c>
      <c r="K3089" s="3" t="inlineStr">
        <is>
          <t>ASSUMP_CN_CAPACITY_TRANSPARENCY; ASSUMP_APP_EMBEDDING; ASSUMP_NUMERIC_ACCELERATOR_MIX; ASSUMP_INFERENCE_SHARE_NOT_FACT_60; ASSUMP_WORKLOAD_CLASS_MIX; ASSUMP_AGENTIC_CONTEXT_PENALTY</t>
        </is>
      </c>
      <c r="L3089" s="3" t="inlineStr">
        <is>
          <t>Model-owner AI workload allocation or cluster scheduling telemetry.</t>
        </is>
      </c>
    </row>
    <row r="3090">
      <c r="A3090" s="3" t="inlineStr">
        <is>
          <t>Tencent</t>
        </is>
      </c>
      <c r="B3090" s="3" t="n">
        <v>2030</v>
      </c>
      <c r="C3090" s="3" t="inlineStr">
        <is>
          <t>Bull</t>
        </is>
      </c>
      <c r="D3090" s="3" t="inlineStr">
        <is>
          <t>ai_it_load_gw</t>
        </is>
      </c>
      <c r="E3090" s="3" t="n">
        <v>1.934</v>
      </c>
      <c r="F3090" s="3" t="inlineStr">
        <is>
          <t>GW</t>
        </is>
      </c>
      <c r="G3090" s="3" t="inlineStr">
        <is>
          <t>Derived formula</t>
        </is>
      </c>
      <c r="H3090" s="3" t="inlineStr">
        <is>
          <t>it_load_gw * ai_workload_share</t>
        </is>
      </c>
      <c r="I3090" s="3" t="inlineStr">
        <is>
          <t>Only the AI-attributed portion of IT load enters training/inference allocation.</t>
        </is>
      </c>
      <c r="J3090" s="3" t="inlineStr">
        <is>
          <t>SRC_TENCENT_HUNYUAN; SRC_TENCENT_HY3; SRC_TENCENT_AI_INFRA_MOE; SRC_EPOCH_AI_DATA_CENTERS</t>
        </is>
      </c>
      <c r="K3090" s="3" t="inlineStr">
        <is>
          <t>ASSUMP_CN_CAPACITY_TRANSPARENCY; ASSUMP_APP_EMBEDDING; ASSUMP_NUMERIC_ACCELERATOR_MIX; ASSUMP_INFERENCE_SHARE_NOT_FACT_60; ASSUMP_WORKLOAD_CLASS_MIX; ASSUMP_AGENTIC_CONTEXT_PENALTY</t>
        </is>
      </c>
      <c r="L3090" s="3" t="inlineStr">
        <is>
          <t>Recompute after ai_workload_share is replaced by telemetry.</t>
        </is>
      </c>
    </row>
    <row r="3091">
      <c r="A3091" s="3" t="inlineStr">
        <is>
          <t>Tencent</t>
        </is>
      </c>
      <c r="B3091" s="3" t="n">
        <v>2030</v>
      </c>
      <c r="C3091" s="3" t="inlineStr">
        <is>
          <t>Bull</t>
        </is>
      </c>
      <c r="D3091" s="3" t="inlineStr">
        <is>
          <t>gpu_share</t>
        </is>
      </c>
      <c r="E3091" s="3" t="n">
        <v>1</v>
      </c>
      <c r="F3091" s="3" t="inlineStr">
        <is>
          <t>share of inference-serving accelerator load</t>
        </is>
      </c>
      <c r="G3091" s="3" t="inlineStr">
        <is>
          <t>Numeric scenario</t>
        </is>
      </c>
      <c r="H3091" s="3" t="inlineStr">
        <is>
          <t>gpu_share interpolated from company 2026/2030 accelerator-mix endpoints</t>
        </is>
      </c>
      <c r="I3091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91" s="3" t="inlineStr">
        <is>
          <t>SRC_TENCENT_HUNYUAN; SRC_TENCENT_HY3; SRC_TENCENT_AI_INFRA_MOE; SRC_EPOCH_AI_DATA_CENTERS; ASSUMP_NUMERIC_ACCELERATOR_MIX</t>
        </is>
      </c>
      <c r="K3091" s="3" t="inlineStr">
        <is>
          <t>ASSUMP_CN_CAPACITY_TRANSPARENCY; ASSUMP_APP_EMBEDDING; ASSUMP_NUMERIC_ACCELERATOR_MIX; ASSUMP_INFERENCE_SHARE_NOT_FACT_60; ASSUMP_WORKLOAD_CLASS_MIX; ASSUMP_AGENTIC_CONTEXT_PENALTY</t>
        </is>
      </c>
      <c r="L3091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92">
      <c r="A3092" s="3" t="inlineStr">
        <is>
          <t>Tencent</t>
        </is>
      </c>
      <c r="B3092" s="3" t="n">
        <v>2030</v>
      </c>
      <c r="C3092" s="3" t="inlineStr">
        <is>
          <t>Bull</t>
        </is>
      </c>
      <c r="D3092" s="3" t="inlineStr">
        <is>
          <t>h200_share</t>
        </is>
      </c>
      <c r="E3092" s="3" t="n">
        <v>0.1</v>
      </c>
      <c r="F3092" s="3" t="inlineStr">
        <is>
          <t>share of inference-serving accelerator load</t>
        </is>
      </c>
      <c r="G3092" s="3" t="inlineStr">
        <is>
          <t>Editable numeric scenario</t>
        </is>
      </c>
      <c r="H3092" s="3" t="inlineStr">
        <is>
          <t>h200_share = gpu_share * default_gpu_generation_mix_h200</t>
        </is>
      </c>
      <c r="I3092" s="3" t="inlineStr">
        <is>
          <t>Default GPU-generation migration assumption; executive workbook allows later manual replacement by company/year/scenario.</t>
        </is>
      </c>
      <c r="J3092" s="3" t="inlineStr">
        <is>
          <t>SRC_SEMIANALYSIS_INFERENCEX; ASSUMP_NUMERIC_ACCELERATOR_MIX</t>
        </is>
      </c>
      <c r="K3092" s="3" t="inlineStr">
        <is>
          <t>ASSUMP_CN_CAPACITY_TRANSPARENCY; ASSUMP_APP_EMBEDDING; ASSUMP_NUMERIC_ACCELERATOR_MIX; ASSUMP_INFERENCE_SHARE_NOT_FACT_60; ASSUMP_WORKLOAD_CLASS_MIX; ASSUMP_AGENTIC_CONTEXT_PENALTY</t>
        </is>
      </c>
      <c r="L3092" s="3" t="inlineStr">
        <is>
          <t>Company fleet inventory, accelerator-hours or procurement/deployment records by GPU generation.</t>
        </is>
      </c>
    </row>
    <row r="3093">
      <c r="A3093" s="3" t="inlineStr">
        <is>
          <t>Tencent</t>
        </is>
      </c>
      <c r="B3093" s="3" t="n">
        <v>2030</v>
      </c>
      <c r="C3093" s="3" t="inlineStr">
        <is>
          <t>Bull</t>
        </is>
      </c>
      <c r="D3093" s="3" t="inlineStr">
        <is>
          <t>b200_share</t>
        </is>
      </c>
      <c r="E3093" s="3" t="n">
        <v>0.35</v>
      </c>
      <c r="F3093" s="3" t="inlineStr">
        <is>
          <t>share of inference-serving accelerator load</t>
        </is>
      </c>
      <c r="G3093" s="3" t="inlineStr">
        <is>
          <t>Editable numeric scenario</t>
        </is>
      </c>
      <c r="H3093" s="3" t="inlineStr">
        <is>
          <t>b200_share = gpu_share * default_gpu_generation_mix_b200</t>
        </is>
      </c>
      <c r="I3093" s="3" t="inlineStr">
        <is>
          <t>Default GPU-generation migration assumption; executive workbook allows later manual replacement by company/year/scenario.</t>
        </is>
      </c>
      <c r="J3093" s="3" t="inlineStr">
        <is>
          <t>SRC_SEMIANALYSIS_INFERENCEX; ASSUMP_NUMERIC_ACCELERATOR_MIX</t>
        </is>
      </c>
      <c r="K3093" s="3" t="inlineStr">
        <is>
          <t>ASSUMP_CN_CAPACITY_TRANSPARENCY; ASSUMP_APP_EMBEDDING; ASSUMP_NUMERIC_ACCELERATOR_MIX; ASSUMP_INFERENCE_SHARE_NOT_FACT_60; ASSUMP_WORKLOAD_CLASS_MIX; ASSUMP_AGENTIC_CONTEXT_PENALTY</t>
        </is>
      </c>
      <c r="L3093" s="3" t="inlineStr">
        <is>
          <t>Company fleet inventory, accelerator-hours or procurement/deployment records by GPU generation.</t>
        </is>
      </c>
    </row>
    <row r="3094">
      <c r="A3094" s="3" t="inlineStr">
        <is>
          <t>Tencent</t>
        </is>
      </c>
      <c r="B3094" s="3" t="n">
        <v>2030</v>
      </c>
      <c r="C3094" s="3" t="inlineStr">
        <is>
          <t>Bull</t>
        </is>
      </c>
      <c r="D3094" s="3" t="inlineStr">
        <is>
          <t>gb200_share</t>
        </is>
      </c>
      <c r="E3094" s="3" t="n">
        <v>0.55</v>
      </c>
      <c r="F3094" s="3" t="inlineStr">
        <is>
          <t>share of inference-serving accelerator load</t>
        </is>
      </c>
      <c r="G3094" s="3" t="inlineStr">
        <is>
          <t>Editable numeric scenario</t>
        </is>
      </c>
      <c r="H3094" s="3" t="inlineStr">
        <is>
          <t>gb200_share = gpu_share * default_gpu_generation_mix_gb200</t>
        </is>
      </c>
      <c r="I3094" s="3" t="inlineStr">
        <is>
          <t>Default GPU-generation migration assumption; executive workbook allows later manual replacement by company/year/scenario.</t>
        </is>
      </c>
      <c r="J3094" s="3" t="inlineStr">
        <is>
          <t>SRC_SEMIANALYSIS_INFERENCEX; ASSUMP_NUMERIC_ACCELERATOR_MIX</t>
        </is>
      </c>
      <c r="K3094" s="3" t="inlineStr">
        <is>
          <t>ASSUMP_CN_CAPACITY_TRANSPARENCY; ASSUMP_APP_EMBEDDING; ASSUMP_NUMERIC_ACCELERATOR_MIX; ASSUMP_INFERENCE_SHARE_NOT_FACT_60; ASSUMP_WORKLOAD_CLASS_MIX; ASSUMP_AGENTIC_CONTEXT_PENALTY</t>
        </is>
      </c>
      <c r="L3094" s="3" t="inlineStr">
        <is>
          <t>Company fleet inventory, accelerator-hours or procurement/deployment records by GPU generation.</t>
        </is>
      </c>
    </row>
    <row r="3095">
      <c r="A3095" s="3" t="inlineStr">
        <is>
          <t>Tencent</t>
        </is>
      </c>
      <c r="B3095" s="3" t="n">
        <v>2030</v>
      </c>
      <c r="C3095" s="3" t="inlineStr">
        <is>
          <t>Bull</t>
        </is>
      </c>
      <c r="D3095" s="3" t="inlineStr">
        <is>
          <t>purpose_built_accelerator_share</t>
        </is>
      </c>
      <c r="E3095" s="3" t="n">
        <v>0</v>
      </c>
      <c r="F3095" s="3" t="inlineStr">
        <is>
          <t>share of inference-serving accelerator load</t>
        </is>
      </c>
      <c r="G3095" s="3" t="inlineStr">
        <is>
          <t>Numeric scenario</t>
        </is>
      </c>
      <c r="H3095" s="3" t="inlineStr">
        <is>
          <t>1 - gpu_share</t>
        </is>
      </c>
      <c r="I3095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3095" s="3" t="inlineStr">
        <is>
          <t>SRC_TENCENT_HUNYUAN; SRC_TENCENT_HY3; SRC_TENCENT_AI_INFRA_MOE; SRC_EPOCH_AI_DATA_CENTERS; ASSUMP_NUMERIC_ACCELERATOR_MIX</t>
        </is>
      </c>
      <c r="K3095" s="3" t="inlineStr">
        <is>
          <t>ASSUMP_CN_CAPACITY_TRANSPARENCY; ASSUMP_APP_EMBEDDING; ASSUMP_NUMERIC_ACCELERATOR_MIX; ASSUMP_INFERENCE_SHARE_NOT_FACT_60; ASSUMP_WORKLOAD_CLASS_MIX; ASSUMP_AGENTIC_CONTEXT_PENALTY</t>
        </is>
      </c>
      <c r="L3095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3096">
      <c r="A3096" s="3" t="inlineStr">
        <is>
          <t>Tencent</t>
        </is>
      </c>
      <c r="B3096" s="3" t="n">
        <v>2030</v>
      </c>
      <c r="C3096" s="3" t="inlineStr">
        <is>
          <t>Bull</t>
        </is>
      </c>
      <c r="D3096" s="3" t="inlineStr">
        <is>
          <t>fleet_reference_tps_per_mw</t>
        </is>
      </c>
      <c r="E3096" s="3" t="n">
        <v>3392622</v>
      </c>
      <c r="F3096" s="3" t="inlineStr">
        <is>
          <t>generated output tokens/sec/MW</t>
        </is>
      </c>
      <c r="G3096" s="3" t="inlineStr">
        <is>
          <t>Fleet-weighted public benchmark reference</t>
        </is>
      </c>
      <c r="H3096" s="3" t="inlineStr">
        <is>
          <t>h200_share*h200_workload_avg + b200_share*b200_workload_avg + gb200_share*gb200_workload_avg + purpose_built_share*purpose_workload_avg</t>
        </is>
      </c>
      <c r="I309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096" s="3" t="inlineStr">
        <is>
          <t>SRC_SEMIANALYSIS_INFERENCEX; ASSUMP_NUMERIC_ACCELERATOR_MIX; ASSUMP_WORKLOAD_CLASS_MIX; ASSUMP_AGENTIC_CONTEXT_PENALTY</t>
        </is>
      </c>
      <c r="K3096" s="3" t="inlineStr">
        <is>
          <t>ASSUMP_CN_CAPACITY_TRANSPARENCY; ASSUMP_APP_EMBEDDING; ASSUMP_NUMERIC_ACCELERATOR_MIX; ASSUMP_INFERENCE_SHARE_NOT_FACT_60; ASSUMP_WORKLOAD_CLASS_MIX; ASSUMP_AGENTIC_CONTEXT_PENALTY</t>
        </is>
      </c>
      <c r="L3096" s="3" t="inlineStr">
        <is>
          <t>Comparable production output-token throughput or a more closely matched benchmark.</t>
        </is>
      </c>
    </row>
    <row r="3097">
      <c r="A3097" s="3" t="inlineStr">
        <is>
          <t>Tencent</t>
        </is>
      </c>
      <c r="B3097" s="3" t="n">
        <v>2030</v>
      </c>
      <c r="C3097" s="3" t="inlineStr">
        <is>
          <t>Bull</t>
        </is>
      </c>
      <c r="D3097" s="3" t="inlineStr">
        <is>
          <t>commercial_workload_fit_factor</t>
        </is>
      </c>
      <c r="E3097" s="3" t="n">
        <v>0.8</v>
      </c>
      <c r="F3097" s="3" t="inlineStr">
        <is>
          <t>share of public reference throughput</t>
        </is>
      </c>
      <c r="G3097" s="3" t="inlineStr">
        <is>
          <t>Scenario assumption</t>
        </is>
      </c>
      <c r="H3097" s="3" t="inlineStr">
        <is>
          <t>reference_serving_tps_per_mw = fleet_reference_tps_per_mw * commercial_workload_fit_factor</t>
        </is>
      </c>
      <c r="I3097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3097" s="3" t="inlineStr">
        <is>
          <t>SRC_SEMIANALYSIS_INFERENCEX; ASSUMP_NUMERIC_ACCELERATOR_MIX; ASSUMP_WORKLOAD_CLASS_MIX; ASSUMP_AGENTIC_CONTEXT_PENALTY</t>
        </is>
      </c>
      <c r="K3097" s="3" t="inlineStr">
        <is>
          <t>ASSUMP_CN_CAPACITY_TRANSPARENCY; ASSUMP_APP_EMBEDDING; ASSUMP_NUMERIC_ACCELERATOR_MIX; ASSUMP_INFERENCE_SHARE_NOT_FACT_60; ASSUMP_WORKLOAD_CLASS_MIX; ASSUMP_AGENTIC_CONTEXT_PENALTY</t>
        </is>
      </c>
      <c r="L3097" s="3" t="inlineStr">
        <is>
          <t>Matched commercial serving benchmark by product surface, context shape and latency SLO.</t>
        </is>
      </c>
    </row>
    <row r="3098">
      <c r="A3098" s="3" t="inlineStr">
        <is>
          <t>Tencent</t>
        </is>
      </c>
      <c r="B3098" s="3" t="n">
        <v>2030</v>
      </c>
      <c r="C3098" s="3" t="inlineStr">
        <is>
          <t>Bull</t>
        </is>
      </c>
      <c r="D3098" s="3" t="inlineStr">
        <is>
          <t>reference_serving_tps_per_mw</t>
        </is>
      </c>
      <c r="E3098" s="3" t="n">
        <v>2714098</v>
      </c>
      <c r="F3098" s="3" t="inlineStr">
        <is>
          <t>generated output tokens/sec/MW</t>
        </is>
      </c>
      <c r="G3098" s="3" t="inlineStr">
        <is>
          <t>Workload-adjusted benchmark proxy</t>
        </is>
      </c>
      <c r="H3098" s="3" t="inlineStr">
        <is>
          <t>fleet_reference_tps_per_mw * commercial_workload_fit_factor</t>
        </is>
      </c>
      <c r="I3098" s="3" t="inlineStr">
        <is>
          <t>This is the coefficient used for headline token generation; each GPU's short chat, long chat and agentic TPS/MW are weighted before fleet mix and commercial fit are applied.</t>
        </is>
      </c>
      <c r="J3098" s="3" t="inlineStr">
        <is>
          <t>SRC_SEMIANALYSIS_INFERENCEX; ASSUMP_NUMERIC_ACCELERATOR_MIX; ASSUMP_WORKLOAD_CLASS_MIX; ASSUMP_AGENTIC_CONTEXT_PENALTY</t>
        </is>
      </c>
      <c r="K3098" s="3" t="inlineStr">
        <is>
          <t>ASSUMP_CN_CAPACITY_TRANSPARENCY; ASSUMP_APP_EMBEDDING; ASSUMP_NUMERIC_ACCELERATOR_MIX; ASSUMP_INFERENCE_SHARE_NOT_FACT_60; ASSUMP_WORKLOAD_CLASS_MIX; ASSUMP_AGENTIC_CONTEXT_PENALTY</t>
        </is>
      </c>
      <c r="L3098" s="3" t="inlineStr">
        <is>
          <t>Provider production output-token throughput with comparable workload/SLO.</t>
        </is>
      </c>
    </row>
    <row r="3099">
      <c r="A3099" s="3" t="inlineStr">
        <is>
          <t>Tencent</t>
        </is>
      </c>
      <c r="B3099" s="3" t="n">
        <v>2030</v>
      </c>
      <c r="C3099" s="3" t="inlineStr">
        <is>
          <t>Bull</t>
        </is>
      </c>
      <c r="D3099" s="3" t="inlineStr">
        <is>
          <t>purpose_built_tps_per_mw</t>
        </is>
      </c>
      <c r="E3099" s="3" t="n">
        <v>3613574</v>
      </c>
      <c r="F3099" s="3" t="inlineStr">
        <is>
          <t>generated output tokens/sec/MW</t>
        </is>
      </c>
      <c r="G3099" s="3" t="inlineStr">
        <is>
          <t>Conservative no-uplift proxy</t>
        </is>
      </c>
      <c r="H3099" s="3" t="inlineStr">
        <is>
          <t>purpose_built_tps_per_mw = purpose_built_reference_tps_per_mw * commercial_workload_fit_factor until comparable output-token benchmark is adopted</t>
        </is>
      </c>
      <c r="I3099" s="3" t="inlineStr">
        <is>
          <t>No comparable public output-token/MW row adopted; B200 public reference placeholder is used and remains editable.</t>
        </is>
      </c>
      <c r="J3099" s="3" t="inlineStr">
        <is>
          <t>SRC_TENCENT_HUNYUAN; SRC_TENCENT_HY3; SRC_TENCENT_AI_INFRA_MOE; SRC_EPOCH_AI_DATA_CENTERS; ASSUMP_NUMERIC_ACCELERATOR_MIX</t>
        </is>
      </c>
      <c r="K3099" s="3" t="inlineStr">
        <is>
          <t>ASSUMP_CN_CAPACITY_TRANSPARENCY; ASSUMP_APP_EMBEDDING; ASSUMP_NUMERIC_ACCELERATOR_MIX; ASSUMP_INFERENCE_SHARE_NOT_FACT_60; ASSUMP_WORKLOAD_CLASS_MIX; ASSUMP_AGENTIC_CONTEXT_PENALTY</t>
        </is>
      </c>
      <c r="L3099" s="3" t="inlineStr">
        <is>
          <t>Matched-workload generated-output benchmark for the provider purpose-built accelerator.</t>
        </is>
      </c>
    </row>
    <row r="3100">
      <c r="A3100" s="3" t="inlineStr">
        <is>
          <t>Tencent</t>
        </is>
      </c>
      <c r="B3100" s="3" t="n">
        <v>2030</v>
      </c>
      <c r="C3100" s="3" t="inlineStr">
        <is>
          <t>Bull</t>
        </is>
      </c>
      <c r="D3100" s="3" t="inlineStr">
        <is>
          <t>inference_power_share</t>
        </is>
      </c>
      <c r="E3100" s="3" t="n">
        <v>0.88</v>
      </c>
      <c r="F3100" s="3" t="inlineStr">
        <is>
          <t>share of AI IT load</t>
        </is>
      </c>
      <c r="G3100" s="3" t="inlineStr">
        <is>
          <t>Scenario allocation</t>
        </is>
      </c>
      <c r="H3100" s="3" t="inlineStr">
        <is>
          <t>inference_gw = ai_it_load_gw * inference_power_share</t>
        </is>
      </c>
      <c r="I3100" s="3" t="inlineStr">
        <is>
          <t>Yuanbao and embedded product surfaces plus Hunyuan Turbo inference-cost direction support rising inference allocation.</t>
        </is>
      </c>
      <c r="J3100" s="3" t="inlineStr">
        <is>
          <t>SRC_TENCENT_HUNYUAN; SRC_TENCENT_HY3; SRC_TENCENT_AI_INFRA_MOE; SRC_EPOCH_AI_DATA_CENTERS; ASSUMP_INFERENCE_SHARE_NOT_FACT_60</t>
        </is>
      </c>
      <c r="K3100" s="3" t="inlineStr">
        <is>
          <t>ASSUMP_CN_CAPACITY_TRANSPARENCY; ASSUMP_APP_EMBEDDING; ASSUMP_NUMERIC_ACCELERATOR_MIX; ASSUMP_INFERENCE_SHARE_NOT_FACT_60; ASSUMP_WORKLOAD_CLASS_MIX; ASSUMP_AGENTIC_CONTEXT_PENALTY</t>
        </is>
      </c>
      <c r="L3100" s="3" t="inlineStr">
        <is>
          <t>Provider-specific inference/training workload power telemetry.</t>
        </is>
      </c>
    </row>
    <row r="3101">
      <c r="A3101" s="3" t="inlineStr">
        <is>
          <t>Tencent</t>
        </is>
      </c>
      <c r="B3101" s="3" t="n">
        <v>2030</v>
      </c>
      <c r="C3101" s="3" t="inlineStr">
        <is>
          <t>Bull</t>
        </is>
      </c>
      <c r="D3101" s="3" t="inlineStr">
        <is>
          <t>inference_gw</t>
        </is>
      </c>
      <c r="E3101" s="3" t="n">
        <v>1.702</v>
      </c>
      <c r="F3101" s="3" t="inlineStr">
        <is>
          <t>GW</t>
        </is>
      </c>
      <c r="G3101" s="3" t="inlineStr">
        <is>
          <t>Derived formula</t>
        </is>
      </c>
      <c r="H3101" s="3" t="inlineStr">
        <is>
          <t>ai_it_load_gw * inference_power_share</t>
        </is>
      </c>
      <c r="I3101" s="3" t="inlineStr">
        <is>
          <t>This is the operational power eligible to become commercial generated output tokens through the selected TPS/MW proxy.</t>
        </is>
      </c>
      <c r="J3101" s="3" t="inlineStr">
        <is>
          <t>SRC_TENCENT_HUNYUAN; SRC_TENCENT_HY3; SRC_TENCENT_AI_INFRA_MOE; SRC_EPOCH_AI_DATA_CENTERS</t>
        </is>
      </c>
      <c r="K3101" s="3" t="inlineStr">
        <is>
          <t>ASSUMP_CN_CAPACITY_TRANSPARENCY; ASSUMP_APP_EMBEDDING; ASSUMP_NUMERIC_ACCELERATOR_MIX; ASSUMP_INFERENCE_SHARE_NOT_FACT_60; ASSUMP_WORKLOAD_CLASS_MIX; ASSUMP_AGENTIC_CONTEXT_PENALTY</t>
        </is>
      </c>
      <c r="L3101" s="3" t="inlineStr">
        <is>
          <t>Recompute after AI allocation or inference-share evidence changes.</t>
        </is>
      </c>
    </row>
    <row r="3102">
      <c r="A3102" s="3" t="inlineStr">
        <is>
          <t>Tencent</t>
        </is>
      </c>
      <c r="B3102" s="3" t="n">
        <v>2030</v>
      </c>
      <c r="C3102" s="3" t="inlineStr">
        <is>
          <t>Bull</t>
        </is>
      </c>
      <c r="D3102" s="3" t="inlineStr">
        <is>
          <t>training_power_share</t>
        </is>
      </c>
      <c r="E3102" s="3" t="n">
        <v>0.12</v>
      </c>
      <c r="F3102" s="3" t="inlineStr">
        <is>
          <t>share of AI IT load</t>
        </is>
      </c>
      <c r="G3102" s="3" t="inlineStr">
        <is>
          <t>Derived allocation</t>
        </is>
      </c>
      <c r="H3102" s="3" t="inlineStr">
        <is>
          <t>1 - inference_power_share</t>
        </is>
      </c>
      <c r="I3102" s="3" t="inlineStr">
        <is>
          <t>Training receives the complementary modeled AI IT allocation; it is not a disclosed company workload split.</t>
        </is>
      </c>
      <c r="J3102" s="3" t="inlineStr">
        <is>
          <t>SRC_TENCENT_HUNYUAN; SRC_TENCENT_HY3; SRC_TENCENT_AI_INFRA_MOE; SRC_EPOCH_AI_DATA_CENTERS; ASSUMP_INFERENCE_SHARE_NOT_FACT_60</t>
        </is>
      </c>
      <c r="K3102" s="3" t="inlineStr">
        <is>
          <t>ASSUMP_CN_CAPACITY_TRANSPARENCY; ASSUMP_APP_EMBEDDING; ASSUMP_NUMERIC_ACCELERATOR_MIX; ASSUMP_INFERENCE_SHARE_NOT_FACT_60; ASSUMP_WORKLOAD_CLASS_MIX; ASSUMP_AGENTIC_CONTEXT_PENALTY</t>
        </is>
      </c>
      <c r="L3102" s="3" t="inlineStr">
        <is>
          <t>Provider-specific inference/training workload power telemetry.</t>
        </is>
      </c>
    </row>
    <row r="3103">
      <c r="A3103" s="3" t="inlineStr">
        <is>
          <t>Tencent</t>
        </is>
      </c>
      <c r="B3103" s="3" t="n">
        <v>2030</v>
      </c>
      <c r="C3103" s="3" t="inlineStr">
        <is>
          <t>Bull</t>
        </is>
      </c>
      <c r="D3103" s="3" t="inlineStr">
        <is>
          <t>training_gw</t>
        </is>
      </c>
      <c r="E3103" s="3" t="n">
        <v>0.232</v>
      </c>
      <c r="F3103" s="3" t="inlineStr">
        <is>
          <t>GW</t>
        </is>
      </c>
      <c r="G3103" s="3" t="inlineStr">
        <is>
          <t>Derived formula</t>
        </is>
      </c>
      <c r="H3103" s="3" t="inlineStr">
        <is>
          <t>ai_it_load_gw * training_power_share</t>
        </is>
      </c>
      <c r="I3103" s="3" t="inlineStr">
        <is>
          <t>Training GW is shown separately so commercial inference token capacity is not overstated.</t>
        </is>
      </c>
      <c r="J3103" s="3" t="inlineStr">
        <is>
          <t>SRC_TENCENT_HUNYUAN; SRC_TENCENT_HY3; SRC_TENCENT_AI_INFRA_MOE; SRC_EPOCH_AI_DATA_CENTERS</t>
        </is>
      </c>
      <c r="K3103" s="3" t="inlineStr">
        <is>
          <t>ASSUMP_CN_CAPACITY_TRANSPARENCY; ASSUMP_APP_EMBEDDING; ASSUMP_NUMERIC_ACCELERATOR_MIX; ASSUMP_INFERENCE_SHARE_NOT_FACT_60; ASSUMP_WORKLOAD_CLASS_MIX; ASSUMP_AGENTIC_CONTEXT_PENALTY</t>
        </is>
      </c>
      <c r="L3103" s="3" t="inlineStr">
        <is>
          <t>Recompute after AI allocation or workload-split evidence changes.</t>
        </is>
      </c>
    </row>
    <row r="3104">
      <c r="A3104" s="3" t="inlineStr">
        <is>
          <t>Tencent</t>
        </is>
      </c>
      <c r="B3104" s="3" t="n">
        <v>2030</v>
      </c>
      <c r="C3104" s="3" t="inlineStr">
        <is>
          <t>Bull</t>
        </is>
      </c>
      <c r="D3104" s="3" t="inlineStr">
        <is>
          <t>tokens_per_second_per_mw</t>
        </is>
      </c>
      <c r="E3104" s="3" t="n">
        <v>2714098</v>
      </c>
      <c r="F3104" s="3" t="inlineStr">
        <is>
          <t>generated output tokens/sec/MW</t>
        </is>
      </c>
      <c r="G3104" s="3" t="inlineStr">
        <is>
          <t>Derived estimate + benchmark calibration</t>
        </is>
      </c>
      <c r="H3104" s="3" t="inlineStr">
        <is>
          <t>fleet_reference_tps_per_mw * commercial_workload_fit_factor</t>
        </is>
      </c>
      <c r="I3104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3104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3104" s="3" t="inlineStr">
        <is>
          <t>ASSUMP_CN_CAPACITY_TRANSPARENCY; ASSUMP_APP_EMBEDDING; ASSUMP_NUMERIC_ACCELERATOR_MIX; ASSUMP_INFERENCE_SHARE_NOT_FACT_60; ASSUMP_WORKLOAD_CLASS_MIX; ASSUMP_AGENTIC_CONTEXT_PENALTY</t>
        </is>
      </c>
      <c r="L3104" s="3" t="inlineStr">
        <is>
          <t>Comparable production output-token throughput with model, hardware, precision, ISL/OSL and SLO matched.</t>
        </is>
      </c>
    </row>
    <row r="3105">
      <c r="A3105" s="3" t="inlineStr">
        <is>
          <t>Tencent</t>
        </is>
      </c>
      <c r="B3105" s="3" t="n">
        <v>2030</v>
      </c>
      <c r="C3105" s="3" t="inlineStr">
        <is>
          <t>Bull</t>
        </is>
      </c>
      <c r="D3105" s="3" t="inlineStr">
        <is>
          <t>inference_tokens_per_day</t>
        </is>
      </c>
      <c r="E3105" s="3" t="n">
        <v>399115710374400</v>
      </c>
      <c r="F3105" s="3" t="inlineStr">
        <is>
          <t>generated output tokens/day</t>
        </is>
      </c>
      <c r="G3105" s="3" t="inlineStr">
        <is>
          <t>Derived headline metric</t>
        </is>
      </c>
      <c r="H3105" s="3" t="inlineStr">
        <is>
          <t>inference_gw * 1000 * tokens_per_second_per_mw * 86,400</t>
        </is>
      </c>
      <c r="I3105" s="3" t="inlineStr">
        <is>
          <t>Headline capacity uses no utilization, MoE, architecture or software-growth multiplier; it is not observed commercial output volume.</t>
        </is>
      </c>
      <c r="J3105" s="3" t="inlineStr">
        <is>
          <t>SRC_TENCENT_HUNYUAN; SRC_TENCENT_HY3; SRC_TENCENT_AI_INFRA_MOE; SRC_EPOCH_AI_DATA_CENTERS; SRC_SEMIANALYSIS_INFERENCEX</t>
        </is>
      </c>
      <c r="K3105" s="3" t="inlineStr">
        <is>
          <t>ASSUMP_CN_CAPACITY_TRANSPARENCY; ASSUMP_APP_EMBEDDING; ASSUMP_NUMERIC_ACCELERATOR_MIX; ASSUMP_INFERENCE_SHARE_NOT_FACT_60; ASSUMP_WORKLOAD_CLASS_MIX; ASSUMP_AGENTIC_CONTEXT_PENALTY</t>
        </is>
      </c>
      <c r="L3105" s="3" t="inlineStr">
        <is>
          <t>Provider-disclosed generated output token volume or calibrated capacity telemetry.</t>
        </is>
      </c>
    </row>
    <row r="3106">
      <c r="A3106" s="3" t="inlineStr">
        <is>
          <t>Tencent</t>
        </is>
      </c>
      <c r="B3106" s="3" t="n">
        <v>2030</v>
      </c>
      <c r="C3106" s="3" t="inlineStr">
        <is>
          <t>Bull</t>
        </is>
      </c>
      <c r="D3106" s="3" t="inlineStr">
        <is>
          <t>inference_tokens_per_year</t>
        </is>
      </c>
      <c r="E3106" s="3" t="n">
        <v>1.45677234286656e+17</v>
      </c>
      <c r="F3106" s="3" t="inlineStr">
        <is>
          <t>generated output tokens/year</t>
        </is>
      </c>
      <c r="G3106" s="3" t="inlineStr">
        <is>
          <t>Derived headline metric</t>
        </is>
      </c>
      <c r="H3106" s="3" t="inlineStr">
        <is>
          <t>inference_tokens_per_day * 365</t>
        </is>
      </c>
      <c r="I3106" s="3" t="inlineStr">
        <is>
          <t>Annualized version of generated output token capacity; it is not observed annual demand or billable volume.</t>
        </is>
      </c>
      <c r="J3106" s="3" t="inlineStr">
        <is>
          <t>SRC_TENCENT_HUNYUAN; SRC_TENCENT_HY3; SRC_TENCENT_AI_INFRA_MOE; SRC_EPOCH_AI_DATA_CENTERS; SRC_SEMIANALYSIS_INFERENCEX</t>
        </is>
      </c>
      <c r="K3106" s="3" t="inlineStr">
        <is>
          <t>ASSUMP_CN_CAPACITY_TRANSPARENCY; ASSUMP_APP_EMBEDDING; ASSUMP_NUMERIC_ACCELERATOR_MIX; ASSUMP_INFERENCE_SHARE_NOT_FACT_60; ASSUMP_WORKLOAD_CLASS_MIX; ASSUMP_AGENTIC_CONTEXT_PENALTY</t>
        </is>
      </c>
      <c r="L3106" s="3" t="inlineStr">
        <is>
          <t>Provider-disclosed annual generated-output volume or metered serving telemetry.</t>
        </is>
      </c>
    </row>
    <row r="3107">
      <c r="A3107" s="3" t="inlineStr">
        <is>
          <t>Microsoft</t>
        </is>
      </c>
      <c r="B3107" s="3" t="n">
        <v>2026</v>
      </c>
      <c r="C3107" s="3" t="inlineStr">
        <is>
          <t>Grid-Constrained / Efficiency-Upside</t>
        </is>
      </c>
      <c r="D3107" s="3" t="inlineStr">
        <is>
          <t>contracted_power_gw</t>
        </is>
      </c>
      <c r="E3107" s="3" t="n">
        <v>4</v>
      </c>
      <c r="F3107" s="3" t="inlineStr">
        <is>
          <t>GW</t>
        </is>
      </c>
      <c r="G3107" s="3" t="inlineStr">
        <is>
          <t>Scenario capacity envelope</t>
        </is>
      </c>
      <c r="H3107" s="3" t="inlineStr">
        <is>
          <t>linear interpolation between 2026 and 2030 company capacity endpoints</t>
        </is>
      </c>
      <c r="I3107" s="3" t="inlineStr">
        <is>
          <t>Scenario envelope for Microsoft-controlled/Copilot serving burden; not an official contracted-GW disclosure.</t>
        </is>
      </c>
      <c r="J3107" s="3" t="inlineStr">
        <is>
          <t>ASSUMP_POWER_RAMP; SRC_MS_MAIA200</t>
        </is>
      </c>
      <c r="K3107" s="3" t="inlineStr">
        <is>
          <t>ASSUMP_POWER_RAMP; ASSUMP_MS_OPENAI_ATTRIBUTION; ASSUMP_NUMERIC_ACCELERATOR_MIX; ASSUMP_INFERENCE_SHARE_NOT_FACT_60; ASSUMP_WORKLOAD_CLASS_MIX; ASSUMP_AGENTIC_CONTEXT_PENALTY</t>
        </is>
      </c>
      <c r="L3107" s="3" t="inlineStr">
        <is>
          <t>Company/site-level committed MW/GW, interconnect and contract disclosure.</t>
        </is>
      </c>
    </row>
    <row r="3108">
      <c r="A3108" s="3" t="inlineStr">
        <is>
          <t>Microsoft</t>
        </is>
      </c>
      <c r="B3108" s="3" t="n">
        <v>2026</v>
      </c>
      <c r="C3108" s="3" t="inlineStr">
        <is>
          <t>Grid-Constrained / Efficiency-Upside</t>
        </is>
      </c>
      <c r="D3108" s="3" t="inlineStr">
        <is>
          <t>operational_deployment_share</t>
        </is>
      </c>
      <c r="E3108" s="3" t="n">
        <v>0.396</v>
      </c>
      <c r="F3108" s="3" t="inlineStr">
        <is>
          <t>share</t>
        </is>
      </c>
      <c r="G3108" s="3" t="inlineStr">
        <is>
          <t>Scenario conversion</t>
        </is>
      </c>
      <c r="H3108" s="3" t="inlineStr">
        <is>
          <t>active_power_gw / contracted_power_gw</t>
        </is>
      </c>
      <c r="I3108" s="3" t="inlineStr">
        <is>
          <t>This is the single explicit conversion from contracted/attributed capacity to operationally usable capacity.</t>
        </is>
      </c>
      <c r="J3108" s="3" t="inlineStr">
        <is>
          <t>ASSUMP_POWER_RAMP; SRC_MS_MAIA200</t>
        </is>
      </c>
      <c r="K3108" s="3" t="inlineStr">
        <is>
          <t>ASSUMP_POWER_RAMP; ASSUMP_MS_OPENAI_ATTRIBUTION; ASSUMP_NUMERIC_ACCELERATOR_MIX; ASSUMP_INFERENCE_SHARE_NOT_FACT_60; ASSUMP_WORKLOAD_CLASS_MIX; ASSUMP_AGENTIC_CONTEXT_PENALTY</t>
        </is>
      </c>
      <c r="L3108" s="3" t="inlineStr">
        <is>
          <t>Energized operational capacity divided by contracted/attributed capacity.</t>
        </is>
      </c>
    </row>
    <row r="3109">
      <c r="A3109" s="3" t="inlineStr">
        <is>
          <t>Microsoft</t>
        </is>
      </c>
      <c r="B3109" s="3" t="n">
        <v>2026</v>
      </c>
      <c r="C3109" s="3" t="inlineStr">
        <is>
          <t>Grid-Constrained / Efficiency-Upside</t>
        </is>
      </c>
      <c r="D3109" s="3" t="inlineStr">
        <is>
          <t>active_power_gw</t>
        </is>
      </c>
      <c r="E3109" s="3" t="n">
        <v>1.584</v>
      </c>
      <c r="F3109" s="3" t="inlineStr">
        <is>
          <t>GW</t>
        </is>
      </c>
      <c r="G3109" s="3" t="inlineStr">
        <is>
          <t>Derived scenario</t>
        </is>
      </c>
      <c r="H3109" s="3" t="inlineStr">
        <is>
          <t>contracted_power_gw * operational_deployment_share</t>
        </is>
      </c>
      <c r="I3109" s="3" t="inlineStr">
        <is>
          <t>Active GW is a staged operational deployment fraction of modeled capacity, reflecting site energization and accelerator availability.</t>
        </is>
      </c>
      <c r="J3109" s="3" t="inlineStr">
        <is>
          <t>ASSUMP_POWER_RAMP; SRC_MS_MAIA200</t>
        </is>
      </c>
      <c r="K3109" s="3" t="inlineStr">
        <is>
          <t>ASSUMP_POWER_RAMP; ASSUMP_MS_OPENAI_ATTRIBUTION; ASSUMP_NUMERIC_ACCELERATOR_MIX; ASSUMP_INFERENCE_SHARE_NOT_FACT_60; ASSUMP_WORKLOAD_CLASS_MIX; ASSUMP_AGENTIC_CONTEXT_PENALTY</t>
        </is>
      </c>
      <c r="L3109" s="3" t="inlineStr">
        <is>
          <t>Energization dates, accelerator deliveries and operational powered-rack telemetry.</t>
        </is>
      </c>
    </row>
    <row r="3110">
      <c r="A3110" s="3" t="inlineStr">
        <is>
          <t>Microsoft</t>
        </is>
      </c>
      <c r="B3110" s="3" t="n">
        <v>2026</v>
      </c>
      <c r="C3110" s="3" t="inlineStr">
        <is>
          <t>Grid-Constrained / Efficiency-Upside</t>
        </is>
      </c>
      <c r="D3110" s="3" t="inlineStr">
        <is>
          <t>pue</t>
        </is>
      </c>
      <c r="E3110" s="3" t="n">
        <v>1.2</v>
      </c>
      <c r="F3110" s="3" t="inlineStr">
        <is>
          <t>ratio</t>
        </is>
      </c>
      <c r="G3110" s="3" t="inlineStr">
        <is>
          <t>Scenario parameter</t>
        </is>
      </c>
      <c r="H3110" s="3" t="inlineStr">
        <is>
          <t>it_load_gw = active_power_gw / pue</t>
        </is>
      </c>
      <c r="I3110" s="3" t="inlineStr">
        <is>
          <t>No provider-wide site-level PUE is used as a disclosed fact; PUE represents facility-to-IT conversion within the scenario.</t>
        </is>
      </c>
      <c r="J3110" s="3" t="inlineStr">
        <is>
          <t>ASSUMP_POWER_RAMP</t>
        </is>
      </c>
      <c r="K3110" s="3" t="inlineStr">
        <is>
          <t>ASSUMP_POWER_RAMP; ASSUMP_MS_OPENAI_ATTRIBUTION; ASSUMP_NUMERIC_ACCELERATOR_MIX; ASSUMP_INFERENCE_SHARE_NOT_FACT_60; ASSUMP_WORKLOAD_CLASS_MIX; ASSUMP_AGENTIC_CONTEXT_PENALTY</t>
        </is>
      </c>
      <c r="L3110" s="3" t="inlineStr">
        <is>
          <t>Site-level measured PUE matched to attributed AI capacity.</t>
        </is>
      </c>
    </row>
    <row r="3111">
      <c r="A3111" s="3" t="inlineStr">
        <is>
          <t>Microsoft</t>
        </is>
      </c>
      <c r="B3111" s="3" t="n">
        <v>2026</v>
      </c>
      <c r="C3111" s="3" t="inlineStr">
        <is>
          <t>Grid-Constrained / Efficiency-Upside</t>
        </is>
      </c>
      <c r="D3111" s="3" t="inlineStr">
        <is>
          <t>it_load_gw</t>
        </is>
      </c>
      <c r="E3111" s="3" t="n">
        <v>1.32</v>
      </c>
      <c r="F3111" s="3" t="inlineStr">
        <is>
          <t>GW</t>
        </is>
      </c>
      <c r="G3111" s="3" t="inlineStr">
        <is>
          <t>Derived formula</t>
        </is>
      </c>
      <c r="H3111" s="3" t="inlineStr">
        <is>
          <t>active_power_gw / pue</t>
        </is>
      </c>
      <c r="I3111" s="3" t="inlineStr">
        <is>
          <t>Facility power is converted to IT-deliverable power before attributing AI workloads.</t>
        </is>
      </c>
      <c r="J3111" s="3" t="inlineStr">
        <is>
          <t>ASSUMP_POWER_RAMP; SRC_MS_MAIA200</t>
        </is>
      </c>
      <c r="K3111" s="3" t="inlineStr">
        <is>
          <t>ASSUMP_POWER_RAMP; ASSUMP_MS_OPENAI_ATTRIBUTION; ASSUMP_NUMERIC_ACCELERATOR_MIX; ASSUMP_INFERENCE_SHARE_NOT_FACT_60; ASSUMP_WORKLOAD_CLASS_MIX; ASSUMP_AGENTIC_CONTEXT_PENALTY</t>
        </is>
      </c>
      <c r="L3111" s="3" t="inlineStr">
        <is>
          <t>Recompute once active power and PUE become site-observable.</t>
        </is>
      </c>
    </row>
    <row r="3112">
      <c r="A3112" s="3" t="inlineStr">
        <is>
          <t>Microsoft</t>
        </is>
      </c>
      <c r="B3112" s="3" t="n">
        <v>2026</v>
      </c>
      <c r="C3112" s="3" t="inlineStr">
        <is>
          <t>Grid-Constrained / Efficiency-Upside</t>
        </is>
      </c>
      <c r="D3112" s="3" t="inlineStr">
        <is>
          <t>ai_workload_share</t>
        </is>
      </c>
      <c r="E3112" s="3" t="n">
        <v>0.86</v>
      </c>
      <c r="F3112" s="3" t="inlineStr">
        <is>
          <t>share</t>
        </is>
      </c>
      <c r="G3112" s="3" t="inlineStr">
        <is>
          <t>Scenario allocation</t>
        </is>
      </c>
      <c r="H3112" s="3" t="inlineStr">
        <is>
          <t>ai_it_load_gw = it_load_gw * ai_workload_share</t>
        </is>
      </c>
      <c r="I3112" s="3" t="inlineStr">
        <is>
          <t>Azure/Copilot serving burden is AI-oriented but shares infrastructure with platform and reserve overhead; 86% is a scenario allocation.</t>
        </is>
      </c>
      <c r="J3112" s="3" t="inlineStr">
        <is>
          <t>SRC_MS_PHI; SRC_OPENAI_GPT41_DOCS; SRC_MS_PHI4_TECHREPORT; SRC_MS_MAIA200; SRC_EPOCH_AI_DATA_CENTERS</t>
        </is>
      </c>
      <c r="K3112" s="3" t="inlineStr">
        <is>
          <t>ASSUMP_POWER_RAMP; ASSUMP_MS_OPENAI_ATTRIBUTION; ASSUMP_NUMERIC_ACCELERATOR_MIX; ASSUMP_INFERENCE_SHARE_NOT_FACT_60; ASSUMP_WORKLOAD_CLASS_MIX; ASSUMP_AGENTIC_CONTEXT_PENALTY</t>
        </is>
      </c>
      <c r="L3112" s="3" t="inlineStr">
        <is>
          <t>Model-owner AI workload allocation or cluster scheduling telemetry.</t>
        </is>
      </c>
    </row>
    <row r="3113">
      <c r="A3113" s="3" t="inlineStr">
        <is>
          <t>Microsoft</t>
        </is>
      </c>
      <c r="B3113" s="3" t="n">
        <v>2026</v>
      </c>
      <c r="C3113" s="3" t="inlineStr">
        <is>
          <t>Grid-Constrained / Efficiency-Upside</t>
        </is>
      </c>
      <c r="D3113" s="3" t="inlineStr">
        <is>
          <t>ai_it_load_gw</t>
        </is>
      </c>
      <c r="E3113" s="3" t="n">
        <v>1.135</v>
      </c>
      <c r="F3113" s="3" t="inlineStr">
        <is>
          <t>GW</t>
        </is>
      </c>
      <c r="G3113" s="3" t="inlineStr">
        <is>
          <t>Derived formula</t>
        </is>
      </c>
      <c r="H3113" s="3" t="inlineStr">
        <is>
          <t>it_load_gw * ai_workload_share</t>
        </is>
      </c>
      <c r="I3113" s="3" t="inlineStr">
        <is>
          <t>Only the AI-attributed portion of IT load enters training/inference allocation.</t>
        </is>
      </c>
      <c r="J3113" s="3" t="inlineStr">
        <is>
          <t>SRC_MS_PHI; SRC_OPENAI_GPT41_DOCS; SRC_MS_PHI4_TECHREPORT; SRC_MS_MAIA200; SRC_EPOCH_AI_DATA_CENTERS</t>
        </is>
      </c>
      <c r="K3113" s="3" t="inlineStr">
        <is>
          <t>ASSUMP_POWER_RAMP; ASSUMP_MS_OPENAI_ATTRIBUTION; ASSUMP_NUMERIC_ACCELERATOR_MIX; ASSUMP_INFERENCE_SHARE_NOT_FACT_60; ASSUMP_WORKLOAD_CLASS_MIX; ASSUMP_AGENTIC_CONTEXT_PENALTY</t>
        </is>
      </c>
      <c r="L3113" s="3" t="inlineStr">
        <is>
          <t>Recompute after ai_workload_share is replaced by telemetry.</t>
        </is>
      </c>
    </row>
    <row r="3114">
      <c r="A3114" s="3" t="inlineStr">
        <is>
          <t>Microsoft</t>
        </is>
      </c>
      <c r="B3114" s="3" t="n">
        <v>2026</v>
      </c>
      <c r="C3114" s="3" t="inlineStr">
        <is>
          <t>Grid-Constrained / Efficiency-Upside</t>
        </is>
      </c>
      <c r="D3114" s="3" t="inlineStr">
        <is>
          <t>gpu_share</t>
        </is>
      </c>
      <c r="E3114" s="3" t="n">
        <v>1</v>
      </c>
      <c r="F3114" s="3" t="inlineStr">
        <is>
          <t>share of inference-serving accelerator load</t>
        </is>
      </c>
      <c r="G3114" s="3" t="inlineStr">
        <is>
          <t>Numeric scenario</t>
        </is>
      </c>
      <c r="H3114" s="3" t="inlineStr">
        <is>
          <t>gpu_share interpolated from company 2026/2030 accelerator-mix endpoints</t>
        </is>
      </c>
      <c r="I3114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14" s="3" t="inlineStr">
        <is>
          <t>SRC_MS_PHI; SRC_OPENAI_GPT41_DOCS; SRC_MS_PHI4_TECHREPORT; SRC_MS_MAIA200; SRC_EPOCH_AI_DATA_CENTERS; ASSUMP_NUMERIC_ACCELERATOR_MIX</t>
        </is>
      </c>
      <c r="K3114" s="3" t="inlineStr">
        <is>
          <t>ASSUMP_POWER_RAMP; ASSUMP_MS_OPENAI_ATTRIBUTION; ASSUMP_NUMERIC_ACCELERATOR_MIX; ASSUMP_INFERENCE_SHARE_NOT_FACT_60; ASSUMP_WORKLOAD_CLASS_MIX; ASSUMP_AGENTIC_CONTEXT_PENALTY</t>
        </is>
      </c>
      <c r="L3114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15">
      <c r="A3115" s="3" t="inlineStr">
        <is>
          <t>Microsoft</t>
        </is>
      </c>
      <c r="B3115" s="3" t="n">
        <v>2026</v>
      </c>
      <c r="C3115" s="3" t="inlineStr">
        <is>
          <t>Grid-Constrained / Efficiency-Upside</t>
        </is>
      </c>
      <c r="D3115" s="3" t="inlineStr">
        <is>
          <t>h200_share</t>
        </is>
      </c>
      <c r="E3115" s="3" t="n">
        <v>0.07946300000000001</v>
      </c>
      <c r="F3115" s="3" t="inlineStr">
        <is>
          <t>share of inference-serving accelerator load</t>
        </is>
      </c>
      <c r="G3115" s="3" t="inlineStr">
        <is>
          <t>Editable numeric scenario</t>
        </is>
      </c>
      <c r="H3115" s="3" t="inlineStr">
        <is>
          <t>h200_share = gpu_share * default_gpu_generation_mix_h200</t>
        </is>
      </c>
      <c r="I3115" s="3" t="inlineStr">
        <is>
          <t>Default GPU-generation migration assumption; executive workbook allows later manual replacement by company/year/scenario.</t>
        </is>
      </c>
      <c r="J3115" s="3" t="inlineStr">
        <is>
          <t>SRC_SEMIANALYSIS_INFERENCEX; ASSUMP_NUMERIC_ACCELERATOR_MIX</t>
        </is>
      </c>
      <c r="K3115" s="3" t="inlineStr">
        <is>
          <t>ASSUMP_POWER_RAMP; ASSUMP_MS_OPENAI_ATTRIBUTION; ASSUMP_NUMERIC_ACCELERATOR_MIX; ASSUMP_INFERENCE_SHARE_NOT_FACT_60; ASSUMP_WORKLOAD_CLASS_MIX; ASSUMP_AGENTIC_CONTEXT_PENALTY</t>
        </is>
      </c>
      <c r="L3115" s="3" t="inlineStr">
        <is>
          <t>Company fleet inventory, accelerator-hours or procurement/deployment records by GPU generation.</t>
        </is>
      </c>
    </row>
    <row r="3116">
      <c r="A3116" s="3" t="inlineStr">
        <is>
          <t>Microsoft</t>
        </is>
      </c>
      <c r="B3116" s="3" t="n">
        <v>2026</v>
      </c>
      <c r="C3116" s="3" t="inlineStr">
        <is>
          <t>Grid-Constrained / Efficiency-Upside</t>
        </is>
      </c>
      <c r="D3116" s="3" t="inlineStr">
        <is>
          <t>b200_share</t>
        </is>
      </c>
      <c r="E3116" s="3" t="n">
        <v>0.920537</v>
      </c>
      <c r="F3116" s="3" t="inlineStr">
        <is>
          <t>share of inference-serving accelerator load</t>
        </is>
      </c>
      <c r="G3116" s="3" t="inlineStr">
        <is>
          <t>Editable numeric scenario</t>
        </is>
      </c>
      <c r="H3116" s="3" t="inlineStr">
        <is>
          <t>b200_share = gpu_share * default_gpu_generation_mix_b200</t>
        </is>
      </c>
      <c r="I3116" s="3" t="inlineStr">
        <is>
          <t>Default GPU-generation migration assumption; executive workbook allows later manual replacement by company/year/scenario.</t>
        </is>
      </c>
      <c r="J3116" s="3" t="inlineStr">
        <is>
          <t>SRC_SEMIANALYSIS_INFERENCEX; ASSUMP_NUMERIC_ACCELERATOR_MIX</t>
        </is>
      </c>
      <c r="K3116" s="3" t="inlineStr">
        <is>
          <t>ASSUMP_POWER_RAMP; ASSUMP_MS_OPENAI_ATTRIBUTION; ASSUMP_NUMERIC_ACCELERATOR_MIX; ASSUMP_INFERENCE_SHARE_NOT_FACT_60; ASSUMP_WORKLOAD_CLASS_MIX; ASSUMP_AGENTIC_CONTEXT_PENALTY</t>
        </is>
      </c>
      <c r="L3116" s="3" t="inlineStr">
        <is>
          <t>Company fleet inventory, accelerator-hours or procurement/deployment records by GPU generation.</t>
        </is>
      </c>
    </row>
    <row r="3117">
      <c r="A3117" s="3" t="inlineStr">
        <is>
          <t>Microsoft</t>
        </is>
      </c>
      <c r="B3117" s="3" t="n">
        <v>2026</v>
      </c>
      <c r="C3117" s="3" t="inlineStr">
        <is>
          <t>Grid-Constrained / Efficiency-Upside</t>
        </is>
      </c>
      <c r="D3117" s="3" t="inlineStr">
        <is>
          <t>gb200_share</t>
        </is>
      </c>
      <c r="E3117" s="3" t="n">
        <v>0</v>
      </c>
      <c r="F3117" s="3" t="inlineStr">
        <is>
          <t>share of inference-serving accelerator load</t>
        </is>
      </c>
      <c r="G3117" s="3" t="inlineStr">
        <is>
          <t>Editable numeric scenario</t>
        </is>
      </c>
      <c r="H3117" s="3" t="inlineStr">
        <is>
          <t>gb200_share = gpu_share * default_gpu_generation_mix_gb200</t>
        </is>
      </c>
      <c r="I3117" s="3" t="inlineStr">
        <is>
          <t>Default GPU-generation migration assumption; executive workbook allows later manual replacement by company/year/scenario.</t>
        </is>
      </c>
      <c r="J3117" s="3" t="inlineStr">
        <is>
          <t>SRC_SEMIANALYSIS_INFERENCEX; ASSUMP_NUMERIC_ACCELERATOR_MIX</t>
        </is>
      </c>
      <c r="K3117" s="3" t="inlineStr">
        <is>
          <t>ASSUMP_POWER_RAMP; ASSUMP_MS_OPENAI_ATTRIBUTION; ASSUMP_NUMERIC_ACCELERATOR_MIX; ASSUMP_INFERENCE_SHARE_NOT_FACT_60; ASSUMP_WORKLOAD_CLASS_MIX; ASSUMP_AGENTIC_CONTEXT_PENALTY</t>
        </is>
      </c>
      <c r="L3117" s="3" t="inlineStr">
        <is>
          <t>Company fleet inventory, accelerator-hours or procurement/deployment records by GPU generation.</t>
        </is>
      </c>
    </row>
    <row r="3118">
      <c r="A3118" s="3" t="inlineStr">
        <is>
          <t>Microsoft</t>
        </is>
      </c>
      <c r="B3118" s="3" t="n">
        <v>2026</v>
      </c>
      <c r="C3118" s="3" t="inlineStr">
        <is>
          <t>Grid-Constrained / Efficiency-Upside</t>
        </is>
      </c>
      <c r="D3118" s="3" t="inlineStr">
        <is>
          <t>purpose_built_accelerator_share</t>
        </is>
      </c>
      <c r="E3118" s="3" t="n">
        <v>0</v>
      </c>
      <c r="F3118" s="3" t="inlineStr">
        <is>
          <t>share of inference-serving accelerator load</t>
        </is>
      </c>
      <c r="G3118" s="3" t="inlineStr">
        <is>
          <t>Numeric scenario</t>
        </is>
      </c>
      <c r="H3118" s="3" t="inlineStr">
        <is>
          <t>1 - gpu_share</t>
        </is>
      </c>
      <c r="I3118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18" s="3" t="inlineStr">
        <is>
          <t>SRC_MS_PHI; SRC_OPENAI_GPT41_DOCS; SRC_MS_PHI4_TECHREPORT; SRC_MS_MAIA200; SRC_EPOCH_AI_DATA_CENTERS; ASSUMP_NUMERIC_ACCELERATOR_MIX</t>
        </is>
      </c>
      <c r="K3118" s="3" t="inlineStr">
        <is>
          <t>ASSUMP_POWER_RAMP; ASSUMP_MS_OPENAI_ATTRIBUTION; ASSUMP_NUMERIC_ACCELERATOR_MIX; ASSUMP_INFERENCE_SHARE_NOT_FACT_60; ASSUMP_WORKLOAD_CLASS_MIX; ASSUMP_AGENTIC_CONTEXT_PENALTY</t>
        </is>
      </c>
      <c r="L3118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19">
      <c r="A3119" s="3" t="inlineStr">
        <is>
          <t>Microsoft</t>
        </is>
      </c>
      <c r="B3119" s="3" t="n">
        <v>2026</v>
      </c>
      <c r="C3119" s="3" t="inlineStr">
        <is>
          <t>Grid-Constrained / Efficiency-Upside</t>
        </is>
      </c>
      <c r="D3119" s="3" t="inlineStr">
        <is>
          <t>fleet_reference_tps_per_mw</t>
        </is>
      </c>
      <c r="E3119" s="3" t="n">
        <v>2753112</v>
      </c>
      <c r="F3119" s="3" t="inlineStr">
        <is>
          <t>generated output tokens/sec/MW</t>
        </is>
      </c>
      <c r="G3119" s="3" t="inlineStr">
        <is>
          <t>Fleet-weighted public benchmark reference</t>
        </is>
      </c>
      <c r="H3119" s="3" t="inlineStr">
        <is>
          <t>h200_share*h200_workload_avg + b200_share*b200_workload_avg + gb200_share*gb200_workload_avg + purpose_built_share*purpose_workload_avg</t>
        </is>
      </c>
      <c r="I311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19" s="3" t="inlineStr">
        <is>
          <t>SRC_SEMIANALYSIS_INFERENCEX; ASSUMP_NUMERIC_ACCELERATOR_MIX; ASSUMP_WORKLOAD_CLASS_MIX; ASSUMP_AGENTIC_CONTEXT_PENALTY</t>
        </is>
      </c>
      <c r="K3119" s="3" t="inlineStr">
        <is>
          <t>ASSUMP_POWER_RAMP; ASSUMP_MS_OPENAI_ATTRIBUTION; ASSUMP_NUMERIC_ACCELERATOR_MIX; ASSUMP_INFERENCE_SHARE_NOT_FACT_60; ASSUMP_WORKLOAD_CLASS_MIX; ASSUMP_AGENTIC_CONTEXT_PENALTY</t>
        </is>
      </c>
      <c r="L3119" s="3" t="inlineStr">
        <is>
          <t>Comparable production output-token throughput or a more closely matched benchmark.</t>
        </is>
      </c>
    </row>
    <row r="3120">
      <c r="A3120" s="3" t="inlineStr">
        <is>
          <t>Microsoft</t>
        </is>
      </c>
      <c r="B3120" s="3" t="n">
        <v>2026</v>
      </c>
      <c r="C3120" s="3" t="inlineStr">
        <is>
          <t>Grid-Constrained / Efficiency-Upside</t>
        </is>
      </c>
      <c r="D3120" s="3" t="inlineStr">
        <is>
          <t>commercial_workload_fit_factor</t>
        </is>
      </c>
      <c r="E3120" s="3" t="n">
        <v>0.6</v>
      </c>
      <c r="F3120" s="3" t="inlineStr">
        <is>
          <t>share of public reference throughput</t>
        </is>
      </c>
      <c r="G3120" s="3" t="inlineStr">
        <is>
          <t>Scenario assumption</t>
        </is>
      </c>
      <c r="H3120" s="3" t="inlineStr">
        <is>
          <t>reference_serving_tps_per_mw = fleet_reference_tps_per_mw * commercial_workload_fit_factor</t>
        </is>
      </c>
      <c r="I3120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20" s="3" t="inlineStr">
        <is>
          <t>SRC_SEMIANALYSIS_INFERENCEX; ASSUMP_NUMERIC_ACCELERATOR_MIX; ASSUMP_WORKLOAD_CLASS_MIX; ASSUMP_AGENTIC_CONTEXT_PENALTY</t>
        </is>
      </c>
      <c r="K3120" s="3" t="inlineStr">
        <is>
          <t>ASSUMP_POWER_RAMP; ASSUMP_MS_OPENAI_ATTRIBUTION; ASSUMP_NUMERIC_ACCELERATOR_MIX; ASSUMP_INFERENCE_SHARE_NOT_FACT_60; ASSUMP_WORKLOAD_CLASS_MIX; ASSUMP_AGENTIC_CONTEXT_PENALTY</t>
        </is>
      </c>
      <c r="L3120" s="3" t="inlineStr">
        <is>
          <t>Matched commercial serving benchmark by product surface, context shape and latency SLO.</t>
        </is>
      </c>
    </row>
    <row r="3121">
      <c r="A3121" s="3" t="inlineStr">
        <is>
          <t>Microsoft</t>
        </is>
      </c>
      <c r="B3121" s="3" t="n">
        <v>2026</v>
      </c>
      <c r="C3121" s="3" t="inlineStr">
        <is>
          <t>Grid-Constrained / Efficiency-Upside</t>
        </is>
      </c>
      <c r="D3121" s="3" t="inlineStr">
        <is>
          <t>reference_serving_tps_per_mw</t>
        </is>
      </c>
      <c r="E3121" s="3" t="n">
        <v>1651867</v>
      </c>
      <c r="F3121" s="3" t="inlineStr">
        <is>
          <t>generated output tokens/sec/MW</t>
        </is>
      </c>
      <c r="G3121" s="3" t="inlineStr">
        <is>
          <t>Workload-adjusted benchmark proxy</t>
        </is>
      </c>
      <c r="H3121" s="3" t="inlineStr">
        <is>
          <t>fleet_reference_tps_per_mw * commercial_workload_fit_factor</t>
        </is>
      </c>
      <c r="I3121" s="3" t="inlineStr">
        <is>
          <t>This is the coefficient used for headline token generation; each GPU's short chat, long chat and agentic TPS/MW are weighted before fleet mix and commercial fit are applied.</t>
        </is>
      </c>
      <c r="J3121" s="3" t="inlineStr">
        <is>
          <t>SRC_SEMIANALYSIS_INFERENCEX; ASSUMP_NUMERIC_ACCELERATOR_MIX; ASSUMP_WORKLOAD_CLASS_MIX; ASSUMP_AGENTIC_CONTEXT_PENALTY</t>
        </is>
      </c>
      <c r="K3121" s="3" t="inlineStr">
        <is>
          <t>ASSUMP_POWER_RAMP; ASSUMP_MS_OPENAI_ATTRIBUTION; ASSUMP_NUMERIC_ACCELERATOR_MIX; ASSUMP_INFERENCE_SHARE_NOT_FACT_60; ASSUMP_WORKLOAD_CLASS_MIX; ASSUMP_AGENTIC_CONTEXT_PENALTY</t>
        </is>
      </c>
      <c r="L3121" s="3" t="inlineStr">
        <is>
          <t>Provider production output-token throughput with comparable workload/SLO.</t>
        </is>
      </c>
    </row>
    <row r="3122">
      <c r="A3122" s="3" t="inlineStr">
        <is>
          <t>Microsoft</t>
        </is>
      </c>
      <c r="B3122" s="3" t="n">
        <v>2026</v>
      </c>
      <c r="C3122" s="3" t="inlineStr">
        <is>
          <t>Grid-Constrained / Efficiency-Upside</t>
        </is>
      </c>
      <c r="D3122" s="3" t="inlineStr">
        <is>
          <t>purpose_built_tps_per_mw</t>
        </is>
      </c>
      <c r="E3122" s="3" t="n">
        <v>2710180</v>
      </c>
      <c r="F3122" s="3" t="inlineStr">
        <is>
          <t>generated output tokens/sec/MW</t>
        </is>
      </c>
      <c r="G3122" s="3" t="inlineStr">
        <is>
          <t>Conservative no-uplift proxy</t>
        </is>
      </c>
      <c r="H3122" s="3" t="inlineStr">
        <is>
          <t>purpose_built_tps_per_mw = purpose_built_reference_tps_per_mw * commercial_workload_fit_factor until comparable output-token benchmark is adopted</t>
        </is>
      </c>
      <c r="I3122" s="3" t="inlineStr">
        <is>
          <t>No comparable public output-token/MW row adopted; B200 public reference placeholder is used and remains editable.</t>
        </is>
      </c>
      <c r="J3122" s="3" t="inlineStr">
        <is>
          <t>SRC_MS_PHI; SRC_OPENAI_GPT41_DOCS; SRC_MS_PHI4_TECHREPORT; SRC_MS_MAIA200; SRC_EPOCH_AI_DATA_CENTERS; ASSUMP_NUMERIC_ACCELERATOR_MIX</t>
        </is>
      </c>
      <c r="K3122" s="3" t="inlineStr">
        <is>
          <t>ASSUMP_POWER_RAMP; ASSUMP_MS_OPENAI_ATTRIBUTION; ASSUMP_NUMERIC_ACCELERATOR_MIX; ASSUMP_INFERENCE_SHARE_NOT_FACT_60; ASSUMP_WORKLOAD_CLASS_MIX; ASSUMP_AGENTIC_CONTEXT_PENALTY</t>
        </is>
      </c>
      <c r="L3122" s="3" t="inlineStr">
        <is>
          <t>Matched-workload generated-output benchmark for the provider purpose-built accelerator.</t>
        </is>
      </c>
    </row>
    <row r="3123">
      <c r="A3123" s="3" t="inlineStr">
        <is>
          <t>Microsoft</t>
        </is>
      </c>
      <c r="B3123" s="3" t="n">
        <v>2026</v>
      </c>
      <c r="C3123" s="3" t="inlineStr">
        <is>
          <t>Grid-Constrained / Efficiency-Upside</t>
        </is>
      </c>
      <c r="D3123" s="3" t="inlineStr">
        <is>
          <t>inference_power_share</t>
        </is>
      </c>
      <c r="E3123" s="3" t="n">
        <v>0.57</v>
      </c>
      <c r="F3123" s="3" t="inlineStr">
        <is>
          <t>share of AI IT load</t>
        </is>
      </c>
      <c r="G3123" s="3" t="inlineStr">
        <is>
          <t>Scenario allocation</t>
        </is>
      </c>
      <c r="H3123" s="3" t="inlineStr">
        <is>
          <t>inference_gw = ai_it_load_gw * inference_power_share</t>
        </is>
      </c>
      <c r="I3123" s="3" t="inlineStr">
        <is>
          <t>Copilot commercial serving growth supports rising inference allocation; OpenAI model-owner output must remain separately attributed.</t>
        </is>
      </c>
      <c r="J3123" s="3" t="inlineStr">
        <is>
          <t>SRC_MS_PHI; SRC_OPENAI_GPT41_DOCS; SRC_MS_PHI4_TECHREPORT; SRC_MS_MAIA200; SRC_EPOCH_AI_DATA_CENTERS; ASSUMP_INFERENCE_SHARE_NOT_FACT_60</t>
        </is>
      </c>
      <c r="K3123" s="3" t="inlineStr">
        <is>
          <t>ASSUMP_POWER_RAMP; ASSUMP_MS_OPENAI_ATTRIBUTION; ASSUMP_NUMERIC_ACCELERATOR_MIX; ASSUMP_INFERENCE_SHARE_NOT_FACT_60; ASSUMP_WORKLOAD_CLASS_MIX; ASSUMP_AGENTIC_CONTEXT_PENALTY</t>
        </is>
      </c>
      <c r="L3123" s="3" t="inlineStr">
        <is>
          <t>Provider-specific inference/training workload power telemetry.</t>
        </is>
      </c>
    </row>
    <row r="3124">
      <c r="A3124" s="3" t="inlineStr">
        <is>
          <t>Microsoft</t>
        </is>
      </c>
      <c r="B3124" s="3" t="n">
        <v>2026</v>
      </c>
      <c r="C3124" s="3" t="inlineStr">
        <is>
          <t>Grid-Constrained / Efficiency-Upside</t>
        </is>
      </c>
      <c r="D3124" s="3" t="inlineStr">
        <is>
          <t>inference_gw</t>
        </is>
      </c>
      <c r="E3124" s="3" t="n">
        <v>0.647</v>
      </c>
      <c r="F3124" s="3" t="inlineStr">
        <is>
          <t>GW</t>
        </is>
      </c>
      <c r="G3124" s="3" t="inlineStr">
        <is>
          <t>Derived formula</t>
        </is>
      </c>
      <c r="H3124" s="3" t="inlineStr">
        <is>
          <t>ai_it_load_gw * inference_power_share</t>
        </is>
      </c>
      <c r="I3124" s="3" t="inlineStr">
        <is>
          <t>This is the operational power eligible to become commercial generated output tokens through the selected TPS/MW proxy.</t>
        </is>
      </c>
      <c r="J3124" s="3" t="inlineStr">
        <is>
          <t>SRC_MS_PHI; SRC_OPENAI_GPT41_DOCS; SRC_MS_PHI4_TECHREPORT; SRC_MS_MAIA200; SRC_EPOCH_AI_DATA_CENTERS</t>
        </is>
      </c>
      <c r="K3124" s="3" t="inlineStr">
        <is>
          <t>ASSUMP_POWER_RAMP; ASSUMP_MS_OPENAI_ATTRIBUTION; ASSUMP_NUMERIC_ACCELERATOR_MIX; ASSUMP_INFERENCE_SHARE_NOT_FACT_60; ASSUMP_WORKLOAD_CLASS_MIX; ASSUMP_AGENTIC_CONTEXT_PENALTY</t>
        </is>
      </c>
      <c r="L3124" s="3" t="inlineStr">
        <is>
          <t>Recompute after AI allocation or inference-share evidence changes.</t>
        </is>
      </c>
    </row>
    <row r="3125">
      <c r="A3125" s="3" t="inlineStr">
        <is>
          <t>Microsoft</t>
        </is>
      </c>
      <c r="B3125" s="3" t="n">
        <v>2026</v>
      </c>
      <c r="C3125" s="3" t="inlineStr">
        <is>
          <t>Grid-Constrained / Efficiency-Upside</t>
        </is>
      </c>
      <c r="D3125" s="3" t="inlineStr">
        <is>
          <t>training_power_share</t>
        </is>
      </c>
      <c r="E3125" s="3" t="n">
        <v>0.43</v>
      </c>
      <c r="F3125" s="3" t="inlineStr">
        <is>
          <t>share of AI IT load</t>
        </is>
      </c>
      <c r="G3125" s="3" t="inlineStr">
        <is>
          <t>Derived allocation</t>
        </is>
      </c>
      <c r="H3125" s="3" t="inlineStr">
        <is>
          <t>1 - inference_power_share</t>
        </is>
      </c>
      <c r="I3125" s="3" t="inlineStr">
        <is>
          <t>Training receives the complementary modeled AI IT allocation; it is not a disclosed company workload split.</t>
        </is>
      </c>
      <c r="J3125" s="3" t="inlineStr">
        <is>
          <t>SRC_MS_PHI; SRC_OPENAI_GPT41_DOCS; SRC_MS_PHI4_TECHREPORT; SRC_MS_MAIA200; SRC_EPOCH_AI_DATA_CENTERS; ASSUMP_INFERENCE_SHARE_NOT_FACT_60</t>
        </is>
      </c>
      <c r="K3125" s="3" t="inlineStr">
        <is>
          <t>ASSUMP_POWER_RAMP; ASSUMP_MS_OPENAI_ATTRIBUTION; ASSUMP_NUMERIC_ACCELERATOR_MIX; ASSUMP_INFERENCE_SHARE_NOT_FACT_60; ASSUMP_WORKLOAD_CLASS_MIX; ASSUMP_AGENTIC_CONTEXT_PENALTY</t>
        </is>
      </c>
      <c r="L3125" s="3" t="inlineStr">
        <is>
          <t>Provider-specific inference/training workload power telemetry.</t>
        </is>
      </c>
    </row>
    <row r="3126">
      <c r="A3126" s="3" t="inlineStr">
        <is>
          <t>Microsoft</t>
        </is>
      </c>
      <c r="B3126" s="3" t="n">
        <v>2026</v>
      </c>
      <c r="C3126" s="3" t="inlineStr">
        <is>
          <t>Grid-Constrained / Efficiency-Upside</t>
        </is>
      </c>
      <c r="D3126" s="3" t="inlineStr">
        <is>
          <t>training_gw</t>
        </is>
      </c>
      <c r="E3126" s="3" t="n">
        <v>0.488</v>
      </c>
      <c r="F3126" s="3" t="inlineStr">
        <is>
          <t>GW</t>
        </is>
      </c>
      <c r="G3126" s="3" t="inlineStr">
        <is>
          <t>Derived formula</t>
        </is>
      </c>
      <c r="H3126" s="3" t="inlineStr">
        <is>
          <t>ai_it_load_gw * training_power_share</t>
        </is>
      </c>
      <c r="I3126" s="3" t="inlineStr">
        <is>
          <t>Training GW is shown separately so commercial inference token capacity is not overstated.</t>
        </is>
      </c>
      <c r="J3126" s="3" t="inlineStr">
        <is>
          <t>SRC_MS_PHI; SRC_OPENAI_GPT41_DOCS; SRC_MS_PHI4_TECHREPORT; SRC_MS_MAIA200; SRC_EPOCH_AI_DATA_CENTERS</t>
        </is>
      </c>
      <c r="K3126" s="3" t="inlineStr">
        <is>
          <t>ASSUMP_POWER_RAMP; ASSUMP_MS_OPENAI_ATTRIBUTION; ASSUMP_NUMERIC_ACCELERATOR_MIX; ASSUMP_INFERENCE_SHARE_NOT_FACT_60; ASSUMP_WORKLOAD_CLASS_MIX; ASSUMP_AGENTIC_CONTEXT_PENALTY</t>
        </is>
      </c>
      <c r="L3126" s="3" t="inlineStr">
        <is>
          <t>Recompute after AI allocation or workload-split evidence changes.</t>
        </is>
      </c>
    </row>
    <row r="3127">
      <c r="A3127" s="3" t="inlineStr">
        <is>
          <t>Microsoft</t>
        </is>
      </c>
      <c r="B3127" s="3" t="n">
        <v>2026</v>
      </c>
      <c r="C3127" s="3" t="inlineStr">
        <is>
          <t>Grid-Constrained / Efficiency-Upside</t>
        </is>
      </c>
      <c r="D3127" s="3" t="inlineStr">
        <is>
          <t>tokens_per_second_per_mw</t>
        </is>
      </c>
      <c r="E3127" s="3" t="n">
        <v>1651867</v>
      </c>
      <c r="F3127" s="3" t="inlineStr">
        <is>
          <t>generated output tokens/sec/MW</t>
        </is>
      </c>
      <c r="G3127" s="3" t="inlineStr">
        <is>
          <t>Derived estimate + benchmark calibration</t>
        </is>
      </c>
      <c r="H3127" s="3" t="inlineStr">
        <is>
          <t>fleet_reference_tps_per_mw * commercial_workload_fit_factor</t>
        </is>
      </c>
      <c r="I3127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27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27" s="3" t="inlineStr">
        <is>
          <t>ASSUMP_POWER_RAMP; ASSUMP_MS_OPENAI_ATTRIBUTION; ASSUMP_NUMERIC_ACCELERATOR_MIX; ASSUMP_INFERENCE_SHARE_NOT_FACT_60; ASSUMP_WORKLOAD_CLASS_MIX; ASSUMP_AGENTIC_CONTEXT_PENALTY</t>
        </is>
      </c>
      <c r="L3127" s="3" t="inlineStr">
        <is>
          <t>Comparable production output-token throughput with model, hardware, precision, ISL/OSL and SLO matched.</t>
        </is>
      </c>
    </row>
    <row r="3128">
      <c r="A3128" s="3" t="inlineStr">
        <is>
          <t>Microsoft</t>
        </is>
      </c>
      <c r="B3128" s="3" t="n">
        <v>2026</v>
      </c>
      <c r="C3128" s="3" t="inlineStr">
        <is>
          <t>Grid-Constrained / Efficiency-Upside</t>
        </is>
      </c>
      <c r="D3128" s="3" t="inlineStr">
        <is>
          <t>inference_tokens_per_day</t>
        </is>
      </c>
      <c r="E3128" s="3" t="n">
        <v>92340686793600</v>
      </c>
      <c r="F3128" s="3" t="inlineStr">
        <is>
          <t>generated output tokens/day</t>
        </is>
      </c>
      <c r="G3128" s="3" t="inlineStr">
        <is>
          <t>Derived headline metric</t>
        </is>
      </c>
      <c r="H3128" s="3" t="inlineStr">
        <is>
          <t>inference_gw * 1000 * tokens_per_second_per_mw * 86,400</t>
        </is>
      </c>
      <c r="I3128" s="3" t="inlineStr">
        <is>
          <t>Headline capacity uses no utilization, MoE, architecture or software-growth multiplier; it is not observed commercial output volume.</t>
        </is>
      </c>
      <c r="J3128" s="3" t="inlineStr">
        <is>
          <t>SRC_MS_PHI; SRC_OPENAI_GPT41_DOCS; SRC_MS_PHI4_TECHREPORT; SRC_MS_MAIA200; SRC_EPOCH_AI_DATA_CENTERS; SRC_SEMIANALYSIS_INFERENCEX</t>
        </is>
      </c>
      <c r="K3128" s="3" t="inlineStr">
        <is>
          <t>ASSUMP_POWER_RAMP; ASSUMP_MS_OPENAI_ATTRIBUTION; ASSUMP_NUMERIC_ACCELERATOR_MIX; ASSUMP_INFERENCE_SHARE_NOT_FACT_60; ASSUMP_WORKLOAD_CLASS_MIX; ASSUMP_AGENTIC_CONTEXT_PENALTY</t>
        </is>
      </c>
      <c r="L3128" s="3" t="inlineStr">
        <is>
          <t>Provider-disclosed generated output token volume or calibrated capacity telemetry.</t>
        </is>
      </c>
    </row>
    <row r="3129">
      <c r="A3129" s="3" t="inlineStr">
        <is>
          <t>Microsoft</t>
        </is>
      </c>
      <c r="B3129" s="3" t="n">
        <v>2026</v>
      </c>
      <c r="C3129" s="3" t="inlineStr">
        <is>
          <t>Grid-Constrained / Efficiency-Upside</t>
        </is>
      </c>
      <c r="D3129" s="3" t="inlineStr">
        <is>
          <t>inference_tokens_per_year</t>
        </is>
      </c>
      <c r="E3129" s="3" t="n">
        <v>3.3704350679664e+16</v>
      </c>
      <c r="F3129" s="3" t="inlineStr">
        <is>
          <t>generated output tokens/year</t>
        </is>
      </c>
      <c r="G3129" s="3" t="inlineStr">
        <is>
          <t>Derived headline metric</t>
        </is>
      </c>
      <c r="H3129" s="3" t="inlineStr">
        <is>
          <t>inference_tokens_per_day * 365</t>
        </is>
      </c>
      <c r="I3129" s="3" t="inlineStr">
        <is>
          <t>Annualized version of generated output token capacity; it is not observed annual demand or billable volume.</t>
        </is>
      </c>
      <c r="J3129" s="3" t="inlineStr">
        <is>
          <t>SRC_MS_PHI; SRC_OPENAI_GPT41_DOCS; SRC_MS_PHI4_TECHREPORT; SRC_MS_MAIA200; SRC_EPOCH_AI_DATA_CENTERS; SRC_SEMIANALYSIS_INFERENCEX</t>
        </is>
      </c>
      <c r="K3129" s="3" t="inlineStr">
        <is>
          <t>ASSUMP_POWER_RAMP; ASSUMP_MS_OPENAI_ATTRIBUTION; ASSUMP_NUMERIC_ACCELERATOR_MIX; ASSUMP_INFERENCE_SHARE_NOT_FACT_60; ASSUMP_WORKLOAD_CLASS_MIX; ASSUMP_AGENTIC_CONTEXT_PENALTY</t>
        </is>
      </c>
      <c r="L3129" s="3" t="inlineStr">
        <is>
          <t>Provider-disclosed annual generated-output volume or metered serving telemetry.</t>
        </is>
      </c>
    </row>
    <row r="3130">
      <c r="A3130" s="3" t="inlineStr">
        <is>
          <t>Microsoft</t>
        </is>
      </c>
      <c r="B3130" s="3" t="n">
        <v>2027</v>
      </c>
      <c r="C3130" s="3" t="inlineStr">
        <is>
          <t>Grid-Constrained / Efficiency-Upside</t>
        </is>
      </c>
      <c r="D3130" s="3" t="inlineStr">
        <is>
          <t>contracted_power_gw</t>
        </is>
      </c>
      <c r="E3130" s="3" t="n">
        <v>5.25</v>
      </c>
      <c r="F3130" s="3" t="inlineStr">
        <is>
          <t>GW</t>
        </is>
      </c>
      <c r="G3130" s="3" t="inlineStr">
        <is>
          <t>Scenario capacity envelope</t>
        </is>
      </c>
      <c r="H3130" s="3" t="inlineStr">
        <is>
          <t>linear interpolation between 2026 and 2030 company capacity endpoints</t>
        </is>
      </c>
      <c r="I3130" s="3" t="inlineStr">
        <is>
          <t>Scenario envelope for Microsoft-controlled/Copilot serving burden; not an official contracted-GW disclosure.</t>
        </is>
      </c>
      <c r="J3130" s="3" t="inlineStr">
        <is>
          <t>ASSUMP_POWER_RAMP; SRC_MS_MAIA200</t>
        </is>
      </c>
      <c r="K3130" s="3" t="inlineStr">
        <is>
          <t>ASSUMP_POWER_RAMP; ASSUMP_MS_OPENAI_ATTRIBUTION; ASSUMP_NUMERIC_ACCELERATOR_MIX; ASSUMP_INFERENCE_SHARE_NOT_FACT_60; ASSUMP_WORKLOAD_CLASS_MIX; ASSUMP_AGENTIC_CONTEXT_PENALTY</t>
        </is>
      </c>
      <c r="L3130" s="3" t="inlineStr">
        <is>
          <t>Company/site-level committed MW/GW, interconnect and contract disclosure.</t>
        </is>
      </c>
    </row>
    <row r="3131">
      <c r="A3131" s="3" t="inlineStr">
        <is>
          <t>Microsoft</t>
        </is>
      </c>
      <c r="B3131" s="3" t="n">
        <v>2027</v>
      </c>
      <c r="C3131" s="3" t="inlineStr">
        <is>
          <t>Grid-Constrained / Efficiency-Upside</t>
        </is>
      </c>
      <c r="D3131" s="3" t="inlineStr">
        <is>
          <t>operational_deployment_share</t>
        </is>
      </c>
      <c r="E3131" s="3" t="n">
        <v>0.464</v>
      </c>
      <c r="F3131" s="3" t="inlineStr">
        <is>
          <t>share</t>
        </is>
      </c>
      <c r="G3131" s="3" t="inlineStr">
        <is>
          <t>Scenario conversion</t>
        </is>
      </c>
      <c r="H3131" s="3" t="inlineStr">
        <is>
          <t>active_power_gw / contracted_power_gw</t>
        </is>
      </c>
      <c r="I3131" s="3" t="inlineStr">
        <is>
          <t>This is the single explicit conversion from contracted/attributed capacity to operationally usable capacity.</t>
        </is>
      </c>
      <c r="J3131" s="3" t="inlineStr">
        <is>
          <t>ASSUMP_POWER_RAMP; SRC_MS_MAIA200</t>
        </is>
      </c>
      <c r="K3131" s="3" t="inlineStr">
        <is>
          <t>ASSUMP_POWER_RAMP; ASSUMP_MS_OPENAI_ATTRIBUTION; ASSUMP_NUMERIC_ACCELERATOR_MIX; ASSUMP_INFERENCE_SHARE_NOT_FACT_60; ASSUMP_WORKLOAD_CLASS_MIX; ASSUMP_AGENTIC_CONTEXT_PENALTY</t>
        </is>
      </c>
      <c r="L3131" s="3" t="inlineStr">
        <is>
          <t>Energized operational capacity divided by contracted/attributed capacity.</t>
        </is>
      </c>
    </row>
    <row r="3132">
      <c r="A3132" s="3" t="inlineStr">
        <is>
          <t>Microsoft</t>
        </is>
      </c>
      <c r="B3132" s="3" t="n">
        <v>2027</v>
      </c>
      <c r="C3132" s="3" t="inlineStr">
        <is>
          <t>Grid-Constrained / Efficiency-Upside</t>
        </is>
      </c>
      <c r="D3132" s="3" t="inlineStr">
        <is>
          <t>active_power_gw</t>
        </is>
      </c>
      <c r="E3132" s="3" t="n">
        <v>2.436</v>
      </c>
      <c r="F3132" s="3" t="inlineStr">
        <is>
          <t>GW</t>
        </is>
      </c>
      <c r="G3132" s="3" t="inlineStr">
        <is>
          <t>Derived scenario</t>
        </is>
      </c>
      <c r="H3132" s="3" t="inlineStr">
        <is>
          <t>contracted_power_gw * operational_deployment_share</t>
        </is>
      </c>
      <c r="I3132" s="3" t="inlineStr">
        <is>
          <t>Active GW is a staged operational deployment fraction of modeled capacity, reflecting site energization and accelerator availability.</t>
        </is>
      </c>
      <c r="J3132" s="3" t="inlineStr">
        <is>
          <t>ASSUMP_POWER_RAMP; SRC_MS_MAIA200</t>
        </is>
      </c>
      <c r="K3132" s="3" t="inlineStr">
        <is>
          <t>ASSUMP_POWER_RAMP; ASSUMP_MS_OPENAI_ATTRIBUTION; ASSUMP_NUMERIC_ACCELERATOR_MIX; ASSUMP_INFERENCE_SHARE_NOT_FACT_60; ASSUMP_WORKLOAD_CLASS_MIX; ASSUMP_AGENTIC_CONTEXT_PENALTY</t>
        </is>
      </c>
      <c r="L3132" s="3" t="inlineStr">
        <is>
          <t>Energization dates, accelerator deliveries and operational powered-rack telemetry.</t>
        </is>
      </c>
    </row>
    <row r="3133">
      <c r="A3133" s="3" t="inlineStr">
        <is>
          <t>Microsoft</t>
        </is>
      </c>
      <c r="B3133" s="3" t="n">
        <v>2027</v>
      </c>
      <c r="C3133" s="3" t="inlineStr">
        <is>
          <t>Grid-Constrained / Efficiency-Upside</t>
        </is>
      </c>
      <c r="D3133" s="3" t="inlineStr">
        <is>
          <t>pue</t>
        </is>
      </c>
      <c r="E3133" s="3" t="n">
        <v>1.2</v>
      </c>
      <c r="F3133" s="3" t="inlineStr">
        <is>
          <t>ratio</t>
        </is>
      </c>
      <c r="G3133" s="3" t="inlineStr">
        <is>
          <t>Scenario parameter</t>
        </is>
      </c>
      <c r="H3133" s="3" t="inlineStr">
        <is>
          <t>it_load_gw = active_power_gw / pue</t>
        </is>
      </c>
      <c r="I3133" s="3" t="inlineStr">
        <is>
          <t>No provider-wide site-level PUE is used as a disclosed fact; PUE represents facility-to-IT conversion within the scenario.</t>
        </is>
      </c>
      <c r="J3133" s="3" t="inlineStr">
        <is>
          <t>ASSUMP_POWER_RAMP</t>
        </is>
      </c>
      <c r="K3133" s="3" t="inlineStr">
        <is>
          <t>ASSUMP_POWER_RAMP; ASSUMP_MS_OPENAI_ATTRIBUTION; ASSUMP_NUMERIC_ACCELERATOR_MIX; ASSUMP_INFERENCE_SHARE_NOT_FACT_60; ASSUMP_WORKLOAD_CLASS_MIX; ASSUMP_AGENTIC_CONTEXT_PENALTY</t>
        </is>
      </c>
      <c r="L3133" s="3" t="inlineStr">
        <is>
          <t>Site-level measured PUE matched to attributed AI capacity.</t>
        </is>
      </c>
    </row>
    <row r="3134">
      <c r="A3134" s="3" t="inlineStr">
        <is>
          <t>Microsoft</t>
        </is>
      </c>
      <c r="B3134" s="3" t="n">
        <v>2027</v>
      </c>
      <c r="C3134" s="3" t="inlineStr">
        <is>
          <t>Grid-Constrained / Efficiency-Upside</t>
        </is>
      </c>
      <c r="D3134" s="3" t="inlineStr">
        <is>
          <t>it_load_gw</t>
        </is>
      </c>
      <c r="E3134" s="3" t="n">
        <v>2.03</v>
      </c>
      <c r="F3134" s="3" t="inlineStr">
        <is>
          <t>GW</t>
        </is>
      </c>
      <c r="G3134" s="3" t="inlineStr">
        <is>
          <t>Derived formula</t>
        </is>
      </c>
      <c r="H3134" s="3" t="inlineStr">
        <is>
          <t>active_power_gw / pue</t>
        </is>
      </c>
      <c r="I3134" s="3" t="inlineStr">
        <is>
          <t>Facility power is converted to IT-deliverable power before attributing AI workloads.</t>
        </is>
      </c>
      <c r="J3134" s="3" t="inlineStr">
        <is>
          <t>ASSUMP_POWER_RAMP; SRC_MS_MAIA200</t>
        </is>
      </c>
      <c r="K3134" s="3" t="inlineStr">
        <is>
          <t>ASSUMP_POWER_RAMP; ASSUMP_MS_OPENAI_ATTRIBUTION; ASSUMP_NUMERIC_ACCELERATOR_MIX; ASSUMP_INFERENCE_SHARE_NOT_FACT_60; ASSUMP_WORKLOAD_CLASS_MIX; ASSUMP_AGENTIC_CONTEXT_PENALTY</t>
        </is>
      </c>
      <c r="L3134" s="3" t="inlineStr">
        <is>
          <t>Recompute once active power and PUE become site-observable.</t>
        </is>
      </c>
    </row>
    <row r="3135">
      <c r="A3135" s="3" t="inlineStr">
        <is>
          <t>Microsoft</t>
        </is>
      </c>
      <c r="B3135" s="3" t="n">
        <v>2027</v>
      </c>
      <c r="C3135" s="3" t="inlineStr">
        <is>
          <t>Grid-Constrained / Efficiency-Upside</t>
        </is>
      </c>
      <c r="D3135" s="3" t="inlineStr">
        <is>
          <t>ai_workload_share</t>
        </is>
      </c>
      <c r="E3135" s="3" t="n">
        <v>0.86</v>
      </c>
      <c r="F3135" s="3" t="inlineStr">
        <is>
          <t>share</t>
        </is>
      </c>
      <c r="G3135" s="3" t="inlineStr">
        <is>
          <t>Scenario allocation</t>
        </is>
      </c>
      <c r="H3135" s="3" t="inlineStr">
        <is>
          <t>ai_it_load_gw = it_load_gw * ai_workload_share</t>
        </is>
      </c>
      <c r="I3135" s="3" t="inlineStr">
        <is>
          <t>Azure/Copilot serving burden is AI-oriented but shares infrastructure with platform and reserve overhead; 86% is a scenario allocation.</t>
        </is>
      </c>
      <c r="J3135" s="3" t="inlineStr">
        <is>
          <t>SRC_MS_PHI; SRC_OPENAI_GPT41_DOCS; SRC_MS_PHI4_TECHREPORT; SRC_MS_MAIA200; SRC_EPOCH_AI_DATA_CENTERS</t>
        </is>
      </c>
      <c r="K3135" s="3" t="inlineStr">
        <is>
          <t>ASSUMP_POWER_RAMP; ASSUMP_MS_OPENAI_ATTRIBUTION; ASSUMP_NUMERIC_ACCELERATOR_MIX; ASSUMP_INFERENCE_SHARE_NOT_FACT_60; ASSUMP_WORKLOAD_CLASS_MIX; ASSUMP_AGENTIC_CONTEXT_PENALTY</t>
        </is>
      </c>
      <c r="L3135" s="3" t="inlineStr">
        <is>
          <t>Model-owner AI workload allocation or cluster scheduling telemetry.</t>
        </is>
      </c>
    </row>
    <row r="3136">
      <c r="A3136" s="3" t="inlineStr">
        <is>
          <t>Microsoft</t>
        </is>
      </c>
      <c r="B3136" s="3" t="n">
        <v>2027</v>
      </c>
      <c r="C3136" s="3" t="inlineStr">
        <is>
          <t>Grid-Constrained / Efficiency-Upside</t>
        </is>
      </c>
      <c r="D3136" s="3" t="inlineStr">
        <is>
          <t>ai_it_load_gw</t>
        </is>
      </c>
      <c r="E3136" s="3" t="n">
        <v>1.746</v>
      </c>
      <c r="F3136" s="3" t="inlineStr">
        <is>
          <t>GW</t>
        </is>
      </c>
      <c r="G3136" s="3" t="inlineStr">
        <is>
          <t>Derived formula</t>
        </is>
      </c>
      <c r="H3136" s="3" t="inlineStr">
        <is>
          <t>it_load_gw * ai_workload_share</t>
        </is>
      </c>
      <c r="I3136" s="3" t="inlineStr">
        <is>
          <t>Only the AI-attributed portion of IT load enters training/inference allocation.</t>
        </is>
      </c>
      <c r="J3136" s="3" t="inlineStr">
        <is>
          <t>SRC_MS_PHI; SRC_OPENAI_GPT41_DOCS; SRC_MS_PHI4_TECHREPORT; SRC_MS_MAIA200; SRC_EPOCH_AI_DATA_CENTERS</t>
        </is>
      </c>
      <c r="K3136" s="3" t="inlineStr">
        <is>
          <t>ASSUMP_POWER_RAMP; ASSUMP_MS_OPENAI_ATTRIBUTION; ASSUMP_NUMERIC_ACCELERATOR_MIX; ASSUMP_INFERENCE_SHARE_NOT_FACT_60; ASSUMP_WORKLOAD_CLASS_MIX; ASSUMP_AGENTIC_CONTEXT_PENALTY</t>
        </is>
      </c>
      <c r="L3136" s="3" t="inlineStr">
        <is>
          <t>Recompute after ai_workload_share is replaced by telemetry.</t>
        </is>
      </c>
    </row>
    <row r="3137">
      <c r="A3137" s="3" t="inlineStr">
        <is>
          <t>Microsoft</t>
        </is>
      </c>
      <c r="B3137" s="3" t="n">
        <v>2027</v>
      </c>
      <c r="C3137" s="3" t="inlineStr">
        <is>
          <t>Grid-Constrained / Efficiency-Upside</t>
        </is>
      </c>
      <c r="D3137" s="3" t="inlineStr">
        <is>
          <t>gpu_share</t>
        </is>
      </c>
      <c r="E3137" s="3" t="n">
        <v>0.554524</v>
      </c>
      <c r="F3137" s="3" t="inlineStr">
        <is>
          <t>share of inference-serving accelerator load</t>
        </is>
      </c>
      <c r="G3137" s="3" t="inlineStr">
        <is>
          <t>Numeric scenario</t>
        </is>
      </c>
      <c r="H3137" s="3" t="inlineStr">
        <is>
          <t>gpu_share interpolated from company 2026/2030 accelerator-mix endpoints</t>
        </is>
      </c>
      <c r="I3137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37" s="3" t="inlineStr">
        <is>
          <t>SRC_MS_PHI; SRC_OPENAI_GPT41_DOCS; SRC_MS_PHI4_TECHREPORT; SRC_MS_MAIA200; SRC_EPOCH_AI_DATA_CENTERS; ASSUMP_NUMERIC_ACCELERATOR_MIX</t>
        </is>
      </c>
      <c r="K3137" s="3" t="inlineStr">
        <is>
          <t>ASSUMP_POWER_RAMP; ASSUMP_MS_OPENAI_ATTRIBUTION; ASSUMP_NUMERIC_ACCELERATOR_MIX; ASSUMP_INFERENCE_SHARE_NOT_FACT_60; ASSUMP_WORKLOAD_CLASS_MIX; ASSUMP_AGENTIC_CONTEXT_PENALTY</t>
        </is>
      </c>
      <c r="L3137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38">
      <c r="A3138" s="3" t="inlineStr">
        <is>
          <t>Microsoft</t>
        </is>
      </c>
      <c r="B3138" s="3" t="n">
        <v>2027</v>
      </c>
      <c r="C3138" s="3" t="inlineStr">
        <is>
          <t>Grid-Constrained / Efficiency-Upside</t>
        </is>
      </c>
      <c r="D3138" s="3" t="inlineStr">
        <is>
          <t>h200_share</t>
        </is>
      </c>
      <c r="E3138" s="3" t="n">
        <v>0.033529</v>
      </c>
      <c r="F3138" s="3" t="inlineStr">
        <is>
          <t>share of inference-serving accelerator load</t>
        </is>
      </c>
      <c r="G3138" s="3" t="inlineStr">
        <is>
          <t>Editable numeric scenario</t>
        </is>
      </c>
      <c r="H3138" s="3" t="inlineStr">
        <is>
          <t>h200_share = gpu_share * default_gpu_generation_mix_h200</t>
        </is>
      </c>
      <c r="I3138" s="3" t="inlineStr">
        <is>
          <t>Default GPU-generation migration assumption; executive workbook allows later manual replacement by company/year/scenario.</t>
        </is>
      </c>
      <c r="J3138" s="3" t="inlineStr">
        <is>
          <t>SRC_SEMIANALYSIS_INFERENCEX; ASSUMP_NUMERIC_ACCELERATOR_MIX</t>
        </is>
      </c>
      <c r="K3138" s="3" t="inlineStr">
        <is>
          <t>ASSUMP_POWER_RAMP; ASSUMP_MS_OPENAI_ATTRIBUTION; ASSUMP_NUMERIC_ACCELERATOR_MIX; ASSUMP_INFERENCE_SHARE_NOT_FACT_60; ASSUMP_WORKLOAD_CLASS_MIX; ASSUMP_AGENTIC_CONTEXT_PENALTY</t>
        </is>
      </c>
      <c r="L3138" s="3" t="inlineStr">
        <is>
          <t>Company fleet inventory, accelerator-hours or procurement/deployment records by GPU generation.</t>
        </is>
      </c>
    </row>
    <row r="3139">
      <c r="A3139" s="3" t="inlineStr">
        <is>
          <t>Microsoft</t>
        </is>
      </c>
      <c r="B3139" s="3" t="n">
        <v>2027</v>
      </c>
      <c r="C3139" s="3" t="inlineStr">
        <is>
          <t>Grid-Constrained / Efficiency-Upside</t>
        </is>
      </c>
      <c r="D3139" s="3" t="inlineStr">
        <is>
          <t>b200_share</t>
        </is>
      </c>
      <c r="E3139" s="3" t="n">
        <v>0.520995</v>
      </c>
      <c r="F3139" s="3" t="inlineStr">
        <is>
          <t>share of inference-serving accelerator load</t>
        </is>
      </c>
      <c r="G3139" s="3" t="inlineStr">
        <is>
          <t>Editable numeric scenario</t>
        </is>
      </c>
      <c r="H3139" s="3" t="inlineStr">
        <is>
          <t>b200_share = gpu_share * default_gpu_generation_mix_b200</t>
        </is>
      </c>
      <c r="I3139" s="3" t="inlineStr">
        <is>
          <t>Default GPU-generation migration assumption; executive workbook allows later manual replacement by company/year/scenario.</t>
        </is>
      </c>
      <c r="J3139" s="3" t="inlineStr">
        <is>
          <t>SRC_SEMIANALYSIS_INFERENCEX; ASSUMP_NUMERIC_ACCELERATOR_MIX</t>
        </is>
      </c>
      <c r="K3139" s="3" t="inlineStr">
        <is>
          <t>ASSUMP_POWER_RAMP; ASSUMP_MS_OPENAI_ATTRIBUTION; ASSUMP_NUMERIC_ACCELERATOR_MIX; ASSUMP_INFERENCE_SHARE_NOT_FACT_60; ASSUMP_WORKLOAD_CLASS_MIX; ASSUMP_AGENTIC_CONTEXT_PENALTY</t>
        </is>
      </c>
      <c r="L3139" s="3" t="inlineStr">
        <is>
          <t>Company fleet inventory, accelerator-hours or procurement/deployment records by GPU generation.</t>
        </is>
      </c>
    </row>
    <row r="3140">
      <c r="A3140" s="3" t="inlineStr">
        <is>
          <t>Microsoft</t>
        </is>
      </c>
      <c r="B3140" s="3" t="n">
        <v>2027</v>
      </c>
      <c r="C3140" s="3" t="inlineStr">
        <is>
          <t>Grid-Constrained / Efficiency-Upside</t>
        </is>
      </c>
      <c r="D3140" s="3" t="inlineStr">
        <is>
          <t>gb200_share</t>
        </is>
      </c>
      <c r="E3140" s="3" t="n">
        <v>0</v>
      </c>
      <c r="F3140" s="3" t="inlineStr">
        <is>
          <t>share of inference-serving accelerator load</t>
        </is>
      </c>
      <c r="G3140" s="3" t="inlineStr">
        <is>
          <t>Editable numeric scenario</t>
        </is>
      </c>
      <c r="H3140" s="3" t="inlineStr">
        <is>
          <t>gb200_share = gpu_share * default_gpu_generation_mix_gb200</t>
        </is>
      </c>
      <c r="I3140" s="3" t="inlineStr">
        <is>
          <t>Default GPU-generation migration assumption; executive workbook allows later manual replacement by company/year/scenario.</t>
        </is>
      </c>
      <c r="J3140" s="3" t="inlineStr">
        <is>
          <t>SRC_SEMIANALYSIS_INFERENCEX; ASSUMP_NUMERIC_ACCELERATOR_MIX</t>
        </is>
      </c>
      <c r="K3140" s="3" t="inlineStr">
        <is>
          <t>ASSUMP_POWER_RAMP; ASSUMP_MS_OPENAI_ATTRIBUTION; ASSUMP_NUMERIC_ACCELERATOR_MIX; ASSUMP_INFERENCE_SHARE_NOT_FACT_60; ASSUMP_WORKLOAD_CLASS_MIX; ASSUMP_AGENTIC_CONTEXT_PENALTY</t>
        </is>
      </c>
      <c r="L3140" s="3" t="inlineStr">
        <is>
          <t>Company fleet inventory, accelerator-hours or procurement/deployment records by GPU generation.</t>
        </is>
      </c>
    </row>
    <row r="3141">
      <c r="A3141" s="3" t="inlineStr">
        <is>
          <t>Microsoft</t>
        </is>
      </c>
      <c r="B3141" s="3" t="n">
        <v>2027</v>
      </c>
      <c r="C3141" s="3" t="inlineStr">
        <is>
          <t>Grid-Constrained / Efficiency-Upside</t>
        </is>
      </c>
      <c r="D3141" s="3" t="inlineStr">
        <is>
          <t>purpose_built_accelerator_share</t>
        </is>
      </c>
      <c r="E3141" s="3" t="n">
        <v>0.445476</v>
      </c>
      <c r="F3141" s="3" t="inlineStr">
        <is>
          <t>share of inference-serving accelerator load</t>
        </is>
      </c>
      <c r="G3141" s="3" t="inlineStr">
        <is>
          <t>Numeric scenario</t>
        </is>
      </c>
      <c r="H3141" s="3" t="inlineStr">
        <is>
          <t>1 - gpu_share</t>
        </is>
      </c>
      <c r="I3141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41" s="3" t="inlineStr">
        <is>
          <t>SRC_MS_PHI; SRC_OPENAI_GPT41_DOCS; SRC_MS_PHI4_TECHREPORT; SRC_MS_MAIA200; SRC_EPOCH_AI_DATA_CENTERS; ASSUMP_NUMERIC_ACCELERATOR_MIX</t>
        </is>
      </c>
      <c r="K3141" s="3" t="inlineStr">
        <is>
          <t>ASSUMP_POWER_RAMP; ASSUMP_MS_OPENAI_ATTRIBUTION; ASSUMP_NUMERIC_ACCELERATOR_MIX; ASSUMP_INFERENCE_SHARE_NOT_FACT_60; ASSUMP_WORKLOAD_CLASS_MIX; ASSUMP_AGENTIC_CONTEXT_PENALTY</t>
        </is>
      </c>
      <c r="L3141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42">
      <c r="A3142" s="3" t="inlineStr">
        <is>
          <t>Microsoft</t>
        </is>
      </c>
      <c r="B3142" s="3" t="n">
        <v>2027</v>
      </c>
      <c r="C3142" s="3" t="inlineStr">
        <is>
          <t>Grid-Constrained / Efficiency-Upside</t>
        </is>
      </c>
      <c r="D3142" s="3" t="inlineStr">
        <is>
          <t>fleet_reference_tps_per_mw</t>
        </is>
      </c>
      <c r="E3142" s="3" t="n">
        <v>2834024</v>
      </c>
      <c r="F3142" s="3" t="inlineStr">
        <is>
          <t>generated output tokens/sec/MW</t>
        </is>
      </c>
      <c r="G3142" s="3" t="inlineStr">
        <is>
          <t>Fleet-weighted public benchmark reference</t>
        </is>
      </c>
      <c r="H3142" s="3" t="inlineStr">
        <is>
          <t>h200_share*h200_workload_avg + b200_share*b200_workload_avg + gb200_share*gb200_workload_avg + purpose_built_share*purpose_workload_avg</t>
        </is>
      </c>
      <c r="I314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42" s="3" t="inlineStr">
        <is>
          <t>SRC_SEMIANALYSIS_INFERENCEX; ASSUMP_NUMERIC_ACCELERATOR_MIX; ASSUMP_WORKLOAD_CLASS_MIX; ASSUMP_AGENTIC_CONTEXT_PENALTY</t>
        </is>
      </c>
      <c r="K3142" s="3" t="inlineStr">
        <is>
          <t>ASSUMP_POWER_RAMP; ASSUMP_MS_OPENAI_ATTRIBUTION; ASSUMP_NUMERIC_ACCELERATOR_MIX; ASSUMP_INFERENCE_SHARE_NOT_FACT_60; ASSUMP_WORKLOAD_CLASS_MIX; ASSUMP_AGENTIC_CONTEXT_PENALTY</t>
        </is>
      </c>
      <c r="L3142" s="3" t="inlineStr">
        <is>
          <t>Comparable production output-token throughput or a more closely matched benchmark.</t>
        </is>
      </c>
    </row>
    <row r="3143">
      <c r="A3143" s="3" t="inlineStr">
        <is>
          <t>Microsoft</t>
        </is>
      </c>
      <c r="B3143" s="3" t="n">
        <v>2027</v>
      </c>
      <c r="C3143" s="3" t="inlineStr">
        <is>
          <t>Grid-Constrained / Efficiency-Upside</t>
        </is>
      </c>
      <c r="D3143" s="3" t="inlineStr">
        <is>
          <t>commercial_workload_fit_factor</t>
        </is>
      </c>
      <c r="E3143" s="3" t="n">
        <v>0.6</v>
      </c>
      <c r="F3143" s="3" t="inlineStr">
        <is>
          <t>share of public reference throughput</t>
        </is>
      </c>
      <c r="G3143" s="3" t="inlineStr">
        <is>
          <t>Scenario assumption</t>
        </is>
      </c>
      <c r="H3143" s="3" t="inlineStr">
        <is>
          <t>reference_serving_tps_per_mw = fleet_reference_tps_per_mw * commercial_workload_fit_factor</t>
        </is>
      </c>
      <c r="I3143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43" s="3" t="inlineStr">
        <is>
          <t>SRC_SEMIANALYSIS_INFERENCEX; ASSUMP_NUMERIC_ACCELERATOR_MIX; ASSUMP_WORKLOAD_CLASS_MIX; ASSUMP_AGENTIC_CONTEXT_PENALTY</t>
        </is>
      </c>
      <c r="K3143" s="3" t="inlineStr">
        <is>
          <t>ASSUMP_POWER_RAMP; ASSUMP_MS_OPENAI_ATTRIBUTION; ASSUMP_NUMERIC_ACCELERATOR_MIX; ASSUMP_INFERENCE_SHARE_NOT_FACT_60; ASSUMP_WORKLOAD_CLASS_MIX; ASSUMP_AGENTIC_CONTEXT_PENALTY</t>
        </is>
      </c>
      <c r="L3143" s="3" t="inlineStr">
        <is>
          <t>Matched commercial serving benchmark by product surface, context shape and latency SLO.</t>
        </is>
      </c>
    </row>
    <row r="3144">
      <c r="A3144" s="3" t="inlineStr">
        <is>
          <t>Microsoft</t>
        </is>
      </c>
      <c r="B3144" s="3" t="n">
        <v>2027</v>
      </c>
      <c r="C3144" s="3" t="inlineStr">
        <is>
          <t>Grid-Constrained / Efficiency-Upside</t>
        </is>
      </c>
      <c r="D3144" s="3" t="inlineStr">
        <is>
          <t>reference_serving_tps_per_mw</t>
        </is>
      </c>
      <c r="E3144" s="3" t="n">
        <v>1700414</v>
      </c>
      <c r="F3144" s="3" t="inlineStr">
        <is>
          <t>generated output tokens/sec/MW</t>
        </is>
      </c>
      <c r="G3144" s="3" t="inlineStr">
        <is>
          <t>Workload-adjusted benchmark proxy</t>
        </is>
      </c>
      <c r="H3144" s="3" t="inlineStr">
        <is>
          <t>fleet_reference_tps_per_mw * commercial_workload_fit_factor</t>
        </is>
      </c>
      <c r="I3144" s="3" t="inlineStr">
        <is>
          <t>This is the coefficient used for headline token generation; each GPU's short chat, long chat and agentic TPS/MW are weighted before fleet mix and commercial fit are applied.</t>
        </is>
      </c>
      <c r="J3144" s="3" t="inlineStr">
        <is>
          <t>SRC_SEMIANALYSIS_INFERENCEX; ASSUMP_NUMERIC_ACCELERATOR_MIX; ASSUMP_WORKLOAD_CLASS_MIX; ASSUMP_AGENTIC_CONTEXT_PENALTY</t>
        </is>
      </c>
      <c r="K3144" s="3" t="inlineStr">
        <is>
          <t>ASSUMP_POWER_RAMP; ASSUMP_MS_OPENAI_ATTRIBUTION; ASSUMP_NUMERIC_ACCELERATOR_MIX; ASSUMP_INFERENCE_SHARE_NOT_FACT_60; ASSUMP_WORKLOAD_CLASS_MIX; ASSUMP_AGENTIC_CONTEXT_PENALTY</t>
        </is>
      </c>
      <c r="L3144" s="3" t="inlineStr">
        <is>
          <t>Provider production output-token throughput with comparable workload/SLO.</t>
        </is>
      </c>
    </row>
    <row r="3145">
      <c r="A3145" s="3" t="inlineStr">
        <is>
          <t>Microsoft</t>
        </is>
      </c>
      <c r="B3145" s="3" t="n">
        <v>2027</v>
      </c>
      <c r="C3145" s="3" t="inlineStr">
        <is>
          <t>Grid-Constrained / Efficiency-Upside</t>
        </is>
      </c>
      <c r="D3145" s="3" t="inlineStr">
        <is>
          <t>purpose_built_tps_per_mw</t>
        </is>
      </c>
      <c r="E3145" s="3" t="n">
        <v>2710180</v>
      </c>
      <c r="F3145" s="3" t="inlineStr">
        <is>
          <t>generated output tokens/sec/MW</t>
        </is>
      </c>
      <c r="G3145" s="3" t="inlineStr">
        <is>
          <t>Conservative no-uplift proxy</t>
        </is>
      </c>
      <c r="H3145" s="3" t="inlineStr">
        <is>
          <t>purpose_built_tps_per_mw = purpose_built_reference_tps_per_mw * commercial_workload_fit_factor until comparable output-token benchmark is adopted</t>
        </is>
      </c>
      <c r="I3145" s="3" t="inlineStr">
        <is>
          <t>No comparable public output-token/MW row adopted; B200 public reference placeholder is used and remains editable.</t>
        </is>
      </c>
      <c r="J3145" s="3" t="inlineStr">
        <is>
          <t>SRC_MS_PHI; SRC_OPENAI_GPT41_DOCS; SRC_MS_PHI4_TECHREPORT; SRC_MS_MAIA200; SRC_EPOCH_AI_DATA_CENTERS; ASSUMP_NUMERIC_ACCELERATOR_MIX</t>
        </is>
      </c>
      <c r="K3145" s="3" t="inlineStr">
        <is>
          <t>ASSUMP_POWER_RAMP; ASSUMP_MS_OPENAI_ATTRIBUTION; ASSUMP_NUMERIC_ACCELERATOR_MIX; ASSUMP_INFERENCE_SHARE_NOT_FACT_60; ASSUMP_WORKLOAD_CLASS_MIX; ASSUMP_AGENTIC_CONTEXT_PENALTY</t>
        </is>
      </c>
      <c r="L3145" s="3" t="inlineStr">
        <is>
          <t>Matched-workload generated-output benchmark for the provider purpose-built accelerator.</t>
        </is>
      </c>
    </row>
    <row r="3146">
      <c r="A3146" s="3" t="inlineStr">
        <is>
          <t>Microsoft</t>
        </is>
      </c>
      <c r="B3146" s="3" t="n">
        <v>2027</v>
      </c>
      <c r="C3146" s="3" t="inlineStr">
        <is>
          <t>Grid-Constrained / Efficiency-Upside</t>
        </is>
      </c>
      <c r="D3146" s="3" t="inlineStr">
        <is>
          <t>inference_power_share</t>
        </is>
      </c>
      <c r="E3146" s="3" t="n">
        <v>0.625</v>
      </c>
      <c r="F3146" s="3" t="inlineStr">
        <is>
          <t>share of AI IT load</t>
        </is>
      </c>
      <c r="G3146" s="3" t="inlineStr">
        <is>
          <t>Scenario allocation</t>
        </is>
      </c>
      <c r="H3146" s="3" t="inlineStr">
        <is>
          <t>inference_gw = ai_it_load_gw * inference_power_share</t>
        </is>
      </c>
      <c r="I3146" s="3" t="inlineStr">
        <is>
          <t>Copilot commercial serving growth supports rising inference allocation; OpenAI model-owner output must remain separately attributed.</t>
        </is>
      </c>
      <c r="J3146" s="3" t="inlineStr">
        <is>
          <t>SRC_MS_PHI; SRC_OPENAI_GPT41_DOCS; SRC_MS_PHI4_TECHREPORT; SRC_MS_MAIA200; SRC_EPOCH_AI_DATA_CENTERS; ASSUMP_INFERENCE_SHARE_NOT_FACT_60</t>
        </is>
      </c>
      <c r="K3146" s="3" t="inlineStr">
        <is>
          <t>ASSUMP_POWER_RAMP; ASSUMP_MS_OPENAI_ATTRIBUTION; ASSUMP_NUMERIC_ACCELERATOR_MIX; ASSUMP_INFERENCE_SHARE_NOT_FACT_60; ASSUMP_WORKLOAD_CLASS_MIX; ASSUMP_AGENTIC_CONTEXT_PENALTY</t>
        </is>
      </c>
      <c r="L3146" s="3" t="inlineStr">
        <is>
          <t>Provider-specific inference/training workload power telemetry.</t>
        </is>
      </c>
    </row>
    <row r="3147">
      <c r="A3147" s="3" t="inlineStr">
        <is>
          <t>Microsoft</t>
        </is>
      </c>
      <c r="B3147" s="3" t="n">
        <v>2027</v>
      </c>
      <c r="C3147" s="3" t="inlineStr">
        <is>
          <t>Grid-Constrained / Efficiency-Upside</t>
        </is>
      </c>
      <c r="D3147" s="3" t="inlineStr">
        <is>
          <t>inference_gw</t>
        </is>
      </c>
      <c r="E3147" s="3" t="n">
        <v>1.091</v>
      </c>
      <c r="F3147" s="3" t="inlineStr">
        <is>
          <t>GW</t>
        </is>
      </c>
      <c r="G3147" s="3" t="inlineStr">
        <is>
          <t>Derived formula</t>
        </is>
      </c>
      <c r="H3147" s="3" t="inlineStr">
        <is>
          <t>ai_it_load_gw * inference_power_share</t>
        </is>
      </c>
      <c r="I3147" s="3" t="inlineStr">
        <is>
          <t>This is the operational power eligible to become commercial generated output tokens through the selected TPS/MW proxy.</t>
        </is>
      </c>
      <c r="J3147" s="3" t="inlineStr">
        <is>
          <t>SRC_MS_PHI; SRC_OPENAI_GPT41_DOCS; SRC_MS_PHI4_TECHREPORT; SRC_MS_MAIA200; SRC_EPOCH_AI_DATA_CENTERS</t>
        </is>
      </c>
      <c r="K3147" s="3" t="inlineStr">
        <is>
          <t>ASSUMP_POWER_RAMP; ASSUMP_MS_OPENAI_ATTRIBUTION; ASSUMP_NUMERIC_ACCELERATOR_MIX; ASSUMP_INFERENCE_SHARE_NOT_FACT_60; ASSUMP_WORKLOAD_CLASS_MIX; ASSUMP_AGENTIC_CONTEXT_PENALTY</t>
        </is>
      </c>
      <c r="L3147" s="3" t="inlineStr">
        <is>
          <t>Recompute after AI allocation or inference-share evidence changes.</t>
        </is>
      </c>
    </row>
    <row r="3148">
      <c r="A3148" s="3" t="inlineStr">
        <is>
          <t>Microsoft</t>
        </is>
      </c>
      <c r="B3148" s="3" t="n">
        <v>2027</v>
      </c>
      <c r="C3148" s="3" t="inlineStr">
        <is>
          <t>Grid-Constrained / Efficiency-Upside</t>
        </is>
      </c>
      <c r="D3148" s="3" t="inlineStr">
        <is>
          <t>training_power_share</t>
        </is>
      </c>
      <c r="E3148" s="3" t="n">
        <v>0.375</v>
      </c>
      <c r="F3148" s="3" t="inlineStr">
        <is>
          <t>share of AI IT load</t>
        </is>
      </c>
      <c r="G3148" s="3" t="inlineStr">
        <is>
          <t>Derived allocation</t>
        </is>
      </c>
      <c r="H3148" s="3" t="inlineStr">
        <is>
          <t>1 - inference_power_share</t>
        </is>
      </c>
      <c r="I3148" s="3" t="inlineStr">
        <is>
          <t>Training receives the complementary modeled AI IT allocation; it is not a disclosed company workload split.</t>
        </is>
      </c>
      <c r="J3148" s="3" t="inlineStr">
        <is>
          <t>SRC_MS_PHI; SRC_OPENAI_GPT41_DOCS; SRC_MS_PHI4_TECHREPORT; SRC_MS_MAIA200; SRC_EPOCH_AI_DATA_CENTERS; ASSUMP_INFERENCE_SHARE_NOT_FACT_60</t>
        </is>
      </c>
      <c r="K3148" s="3" t="inlineStr">
        <is>
          <t>ASSUMP_POWER_RAMP; ASSUMP_MS_OPENAI_ATTRIBUTION; ASSUMP_NUMERIC_ACCELERATOR_MIX; ASSUMP_INFERENCE_SHARE_NOT_FACT_60; ASSUMP_WORKLOAD_CLASS_MIX; ASSUMP_AGENTIC_CONTEXT_PENALTY</t>
        </is>
      </c>
      <c r="L3148" s="3" t="inlineStr">
        <is>
          <t>Provider-specific inference/training workload power telemetry.</t>
        </is>
      </c>
    </row>
    <row r="3149">
      <c r="A3149" s="3" t="inlineStr">
        <is>
          <t>Microsoft</t>
        </is>
      </c>
      <c r="B3149" s="3" t="n">
        <v>2027</v>
      </c>
      <c r="C3149" s="3" t="inlineStr">
        <is>
          <t>Grid-Constrained / Efficiency-Upside</t>
        </is>
      </c>
      <c r="D3149" s="3" t="inlineStr">
        <is>
          <t>training_gw</t>
        </is>
      </c>
      <c r="E3149" s="3" t="n">
        <v>0.655</v>
      </c>
      <c r="F3149" s="3" t="inlineStr">
        <is>
          <t>GW</t>
        </is>
      </c>
      <c r="G3149" s="3" t="inlineStr">
        <is>
          <t>Derived formula</t>
        </is>
      </c>
      <c r="H3149" s="3" t="inlineStr">
        <is>
          <t>ai_it_load_gw * training_power_share</t>
        </is>
      </c>
      <c r="I3149" s="3" t="inlineStr">
        <is>
          <t>Training GW is shown separately so commercial inference token capacity is not overstated.</t>
        </is>
      </c>
      <c r="J3149" s="3" t="inlineStr">
        <is>
          <t>SRC_MS_PHI; SRC_OPENAI_GPT41_DOCS; SRC_MS_PHI4_TECHREPORT; SRC_MS_MAIA200; SRC_EPOCH_AI_DATA_CENTERS</t>
        </is>
      </c>
      <c r="K3149" s="3" t="inlineStr">
        <is>
          <t>ASSUMP_POWER_RAMP; ASSUMP_MS_OPENAI_ATTRIBUTION; ASSUMP_NUMERIC_ACCELERATOR_MIX; ASSUMP_INFERENCE_SHARE_NOT_FACT_60; ASSUMP_WORKLOAD_CLASS_MIX; ASSUMP_AGENTIC_CONTEXT_PENALTY</t>
        </is>
      </c>
      <c r="L3149" s="3" t="inlineStr">
        <is>
          <t>Recompute after AI allocation or workload-split evidence changes.</t>
        </is>
      </c>
    </row>
    <row r="3150">
      <c r="A3150" s="3" t="inlineStr">
        <is>
          <t>Microsoft</t>
        </is>
      </c>
      <c r="B3150" s="3" t="n">
        <v>2027</v>
      </c>
      <c r="C3150" s="3" t="inlineStr">
        <is>
          <t>Grid-Constrained / Efficiency-Upside</t>
        </is>
      </c>
      <c r="D3150" s="3" t="inlineStr">
        <is>
          <t>tokens_per_second_per_mw</t>
        </is>
      </c>
      <c r="E3150" s="3" t="n">
        <v>1700414</v>
      </c>
      <c r="F3150" s="3" t="inlineStr">
        <is>
          <t>generated output tokens/sec/MW</t>
        </is>
      </c>
      <c r="G3150" s="3" t="inlineStr">
        <is>
          <t>Derived estimate + benchmark calibration</t>
        </is>
      </c>
      <c r="H3150" s="3" t="inlineStr">
        <is>
          <t>fleet_reference_tps_per_mw * commercial_workload_fit_factor</t>
        </is>
      </c>
      <c r="I3150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50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50" s="3" t="inlineStr">
        <is>
          <t>ASSUMP_POWER_RAMP; ASSUMP_MS_OPENAI_ATTRIBUTION; ASSUMP_NUMERIC_ACCELERATOR_MIX; ASSUMP_INFERENCE_SHARE_NOT_FACT_60; ASSUMP_WORKLOAD_CLASS_MIX; ASSUMP_AGENTIC_CONTEXT_PENALTY</t>
        </is>
      </c>
      <c r="L3150" s="3" t="inlineStr">
        <is>
          <t>Comparable production output-token throughput with model, hardware, precision, ISL/OSL and SLO matched.</t>
        </is>
      </c>
    </row>
    <row r="3151">
      <c r="A3151" s="3" t="inlineStr">
        <is>
          <t>Microsoft</t>
        </is>
      </c>
      <c r="B3151" s="3" t="n">
        <v>2027</v>
      </c>
      <c r="C3151" s="3" t="inlineStr">
        <is>
          <t>Grid-Constrained / Efficiency-Upside</t>
        </is>
      </c>
      <c r="D3151" s="3" t="inlineStr">
        <is>
          <t>inference_tokens_per_day</t>
        </is>
      </c>
      <c r="E3151" s="3" t="n">
        <v>160285104633600</v>
      </c>
      <c r="F3151" s="3" t="inlineStr">
        <is>
          <t>generated output tokens/day</t>
        </is>
      </c>
      <c r="G3151" s="3" t="inlineStr">
        <is>
          <t>Derived headline metric</t>
        </is>
      </c>
      <c r="H3151" s="3" t="inlineStr">
        <is>
          <t>inference_gw * 1000 * tokens_per_second_per_mw * 86,400</t>
        </is>
      </c>
      <c r="I3151" s="3" t="inlineStr">
        <is>
          <t>Headline capacity uses no utilization, MoE, architecture or software-growth multiplier; it is not observed commercial output volume.</t>
        </is>
      </c>
      <c r="J3151" s="3" t="inlineStr">
        <is>
          <t>SRC_MS_PHI; SRC_OPENAI_GPT41_DOCS; SRC_MS_PHI4_TECHREPORT; SRC_MS_MAIA200; SRC_EPOCH_AI_DATA_CENTERS; SRC_SEMIANALYSIS_INFERENCEX</t>
        </is>
      </c>
      <c r="K3151" s="3" t="inlineStr">
        <is>
          <t>ASSUMP_POWER_RAMP; ASSUMP_MS_OPENAI_ATTRIBUTION; ASSUMP_NUMERIC_ACCELERATOR_MIX; ASSUMP_INFERENCE_SHARE_NOT_FACT_60; ASSUMP_WORKLOAD_CLASS_MIX; ASSUMP_AGENTIC_CONTEXT_PENALTY</t>
        </is>
      </c>
      <c r="L3151" s="3" t="inlineStr">
        <is>
          <t>Provider-disclosed generated output token volume or calibrated capacity telemetry.</t>
        </is>
      </c>
    </row>
    <row r="3152">
      <c r="A3152" s="3" t="inlineStr">
        <is>
          <t>Microsoft</t>
        </is>
      </c>
      <c r="B3152" s="3" t="n">
        <v>2027</v>
      </c>
      <c r="C3152" s="3" t="inlineStr">
        <is>
          <t>Grid-Constrained / Efficiency-Upside</t>
        </is>
      </c>
      <c r="D3152" s="3" t="inlineStr">
        <is>
          <t>inference_tokens_per_year</t>
        </is>
      </c>
      <c r="E3152" s="3" t="n">
        <v>5.8504063191264e+16</v>
      </c>
      <c r="F3152" s="3" t="inlineStr">
        <is>
          <t>generated output tokens/year</t>
        </is>
      </c>
      <c r="G3152" s="3" t="inlineStr">
        <is>
          <t>Derived headline metric</t>
        </is>
      </c>
      <c r="H3152" s="3" t="inlineStr">
        <is>
          <t>inference_tokens_per_day * 365</t>
        </is>
      </c>
      <c r="I3152" s="3" t="inlineStr">
        <is>
          <t>Annualized version of generated output token capacity; it is not observed annual demand or billable volume.</t>
        </is>
      </c>
      <c r="J3152" s="3" t="inlineStr">
        <is>
          <t>SRC_MS_PHI; SRC_OPENAI_GPT41_DOCS; SRC_MS_PHI4_TECHREPORT; SRC_MS_MAIA200; SRC_EPOCH_AI_DATA_CENTERS; SRC_SEMIANALYSIS_INFERENCEX</t>
        </is>
      </c>
      <c r="K3152" s="3" t="inlineStr">
        <is>
          <t>ASSUMP_POWER_RAMP; ASSUMP_MS_OPENAI_ATTRIBUTION; ASSUMP_NUMERIC_ACCELERATOR_MIX; ASSUMP_INFERENCE_SHARE_NOT_FACT_60; ASSUMP_WORKLOAD_CLASS_MIX; ASSUMP_AGENTIC_CONTEXT_PENALTY</t>
        </is>
      </c>
      <c r="L3152" s="3" t="inlineStr">
        <is>
          <t>Provider-disclosed annual generated-output volume or metered serving telemetry.</t>
        </is>
      </c>
    </row>
    <row r="3153">
      <c r="A3153" s="3" t="inlineStr">
        <is>
          <t>Microsoft</t>
        </is>
      </c>
      <c r="B3153" s="3" t="n">
        <v>2028</v>
      </c>
      <c r="C3153" s="3" t="inlineStr">
        <is>
          <t>Grid-Constrained / Efficiency-Upside</t>
        </is>
      </c>
      <c r="D3153" s="3" t="inlineStr">
        <is>
          <t>contracted_power_gw</t>
        </is>
      </c>
      <c r="E3153" s="3" t="n">
        <v>6.5</v>
      </c>
      <c r="F3153" s="3" t="inlineStr">
        <is>
          <t>GW</t>
        </is>
      </c>
      <c r="G3153" s="3" t="inlineStr">
        <is>
          <t>Scenario capacity envelope</t>
        </is>
      </c>
      <c r="H3153" s="3" t="inlineStr">
        <is>
          <t>linear interpolation between 2026 and 2030 company capacity endpoints</t>
        </is>
      </c>
      <c r="I3153" s="3" t="inlineStr">
        <is>
          <t>Scenario envelope for Microsoft-controlled/Copilot serving burden; not an official contracted-GW disclosure.</t>
        </is>
      </c>
      <c r="J3153" s="3" t="inlineStr">
        <is>
          <t>ASSUMP_POWER_RAMP; SRC_MS_MAIA200</t>
        </is>
      </c>
      <c r="K3153" s="3" t="inlineStr">
        <is>
          <t>ASSUMP_POWER_RAMP; ASSUMP_MS_OPENAI_ATTRIBUTION; ASSUMP_NUMERIC_ACCELERATOR_MIX; ASSUMP_INFERENCE_SHARE_NOT_FACT_60; ASSUMP_WORKLOAD_CLASS_MIX; ASSUMP_AGENTIC_CONTEXT_PENALTY</t>
        </is>
      </c>
      <c r="L3153" s="3" t="inlineStr">
        <is>
          <t>Company/site-level committed MW/GW, interconnect and contract disclosure.</t>
        </is>
      </c>
    </row>
    <row r="3154">
      <c r="A3154" s="3" t="inlineStr">
        <is>
          <t>Microsoft</t>
        </is>
      </c>
      <c r="B3154" s="3" t="n">
        <v>2028</v>
      </c>
      <c r="C3154" s="3" t="inlineStr">
        <is>
          <t>Grid-Constrained / Efficiency-Upside</t>
        </is>
      </c>
      <c r="D3154" s="3" t="inlineStr">
        <is>
          <t>operational_deployment_share</t>
        </is>
      </c>
      <c r="E3154" s="3" t="n">
        <v>0.49230769</v>
      </c>
      <c r="F3154" s="3" t="inlineStr">
        <is>
          <t>share</t>
        </is>
      </c>
      <c r="G3154" s="3" t="inlineStr">
        <is>
          <t>Scenario conversion</t>
        </is>
      </c>
      <c r="H3154" s="3" t="inlineStr">
        <is>
          <t>active_power_gw / contracted_power_gw</t>
        </is>
      </c>
      <c r="I3154" s="3" t="inlineStr">
        <is>
          <t>This is the single explicit conversion from contracted/attributed capacity to operationally usable capacity.</t>
        </is>
      </c>
      <c r="J3154" s="3" t="inlineStr">
        <is>
          <t>ASSUMP_POWER_RAMP; SRC_MS_MAIA200</t>
        </is>
      </c>
      <c r="K3154" s="3" t="inlineStr">
        <is>
          <t>ASSUMP_POWER_RAMP; ASSUMP_MS_OPENAI_ATTRIBUTION; ASSUMP_NUMERIC_ACCELERATOR_MIX; ASSUMP_INFERENCE_SHARE_NOT_FACT_60; ASSUMP_WORKLOAD_CLASS_MIX; ASSUMP_AGENTIC_CONTEXT_PENALTY</t>
        </is>
      </c>
      <c r="L3154" s="3" t="inlineStr">
        <is>
          <t>Energized operational capacity divided by contracted/attributed capacity.</t>
        </is>
      </c>
    </row>
    <row r="3155">
      <c r="A3155" s="3" t="inlineStr">
        <is>
          <t>Microsoft</t>
        </is>
      </c>
      <c r="B3155" s="3" t="n">
        <v>2028</v>
      </c>
      <c r="C3155" s="3" t="inlineStr">
        <is>
          <t>Grid-Constrained / Efficiency-Upside</t>
        </is>
      </c>
      <c r="D3155" s="3" t="inlineStr">
        <is>
          <t>active_power_gw</t>
        </is>
      </c>
      <c r="E3155" s="3" t="n">
        <v>3.2</v>
      </c>
      <c r="F3155" s="3" t="inlineStr">
        <is>
          <t>GW</t>
        </is>
      </c>
      <c r="G3155" s="3" t="inlineStr">
        <is>
          <t>Derived scenario</t>
        </is>
      </c>
      <c r="H3155" s="3" t="inlineStr">
        <is>
          <t>contracted_power_gw * operational_deployment_share</t>
        </is>
      </c>
      <c r="I3155" s="3" t="inlineStr">
        <is>
          <t>Active GW is a staged operational deployment fraction of modeled capacity, reflecting site energization and accelerator availability.</t>
        </is>
      </c>
      <c r="J3155" s="3" t="inlineStr">
        <is>
          <t>ASSUMP_POWER_RAMP; SRC_MS_MAIA200</t>
        </is>
      </c>
      <c r="K3155" s="3" t="inlineStr">
        <is>
          <t>ASSUMP_POWER_RAMP; ASSUMP_MS_OPENAI_ATTRIBUTION; ASSUMP_NUMERIC_ACCELERATOR_MIX; ASSUMP_INFERENCE_SHARE_NOT_FACT_60; ASSUMP_WORKLOAD_CLASS_MIX; ASSUMP_AGENTIC_CONTEXT_PENALTY</t>
        </is>
      </c>
      <c r="L3155" s="3" t="inlineStr">
        <is>
          <t>Energization dates, accelerator deliveries and operational powered-rack telemetry.</t>
        </is>
      </c>
    </row>
    <row r="3156">
      <c r="A3156" s="3" t="inlineStr">
        <is>
          <t>Microsoft</t>
        </is>
      </c>
      <c r="B3156" s="3" t="n">
        <v>2028</v>
      </c>
      <c r="C3156" s="3" t="inlineStr">
        <is>
          <t>Grid-Constrained / Efficiency-Upside</t>
        </is>
      </c>
      <c r="D3156" s="3" t="inlineStr">
        <is>
          <t>pue</t>
        </is>
      </c>
      <c r="E3156" s="3" t="n">
        <v>1.2</v>
      </c>
      <c r="F3156" s="3" t="inlineStr">
        <is>
          <t>ratio</t>
        </is>
      </c>
      <c r="G3156" s="3" t="inlineStr">
        <is>
          <t>Scenario parameter</t>
        </is>
      </c>
      <c r="H3156" s="3" t="inlineStr">
        <is>
          <t>it_load_gw = active_power_gw / pue</t>
        </is>
      </c>
      <c r="I3156" s="3" t="inlineStr">
        <is>
          <t>No provider-wide site-level PUE is used as a disclosed fact; PUE represents facility-to-IT conversion within the scenario.</t>
        </is>
      </c>
      <c r="J3156" s="3" t="inlineStr">
        <is>
          <t>ASSUMP_POWER_RAMP</t>
        </is>
      </c>
      <c r="K3156" s="3" t="inlineStr">
        <is>
          <t>ASSUMP_POWER_RAMP; ASSUMP_MS_OPENAI_ATTRIBUTION; ASSUMP_NUMERIC_ACCELERATOR_MIX; ASSUMP_INFERENCE_SHARE_NOT_FACT_60; ASSUMP_WORKLOAD_CLASS_MIX; ASSUMP_AGENTIC_CONTEXT_PENALTY</t>
        </is>
      </c>
      <c r="L3156" s="3" t="inlineStr">
        <is>
          <t>Site-level measured PUE matched to attributed AI capacity.</t>
        </is>
      </c>
    </row>
    <row r="3157">
      <c r="A3157" s="3" t="inlineStr">
        <is>
          <t>Microsoft</t>
        </is>
      </c>
      <c r="B3157" s="3" t="n">
        <v>2028</v>
      </c>
      <c r="C3157" s="3" t="inlineStr">
        <is>
          <t>Grid-Constrained / Efficiency-Upside</t>
        </is>
      </c>
      <c r="D3157" s="3" t="inlineStr">
        <is>
          <t>it_load_gw</t>
        </is>
      </c>
      <c r="E3157" s="3" t="n">
        <v>2.667</v>
      </c>
      <c r="F3157" s="3" t="inlineStr">
        <is>
          <t>GW</t>
        </is>
      </c>
      <c r="G3157" s="3" t="inlineStr">
        <is>
          <t>Derived formula</t>
        </is>
      </c>
      <c r="H3157" s="3" t="inlineStr">
        <is>
          <t>active_power_gw / pue</t>
        </is>
      </c>
      <c r="I3157" s="3" t="inlineStr">
        <is>
          <t>Facility power is converted to IT-deliverable power before attributing AI workloads.</t>
        </is>
      </c>
      <c r="J3157" s="3" t="inlineStr">
        <is>
          <t>ASSUMP_POWER_RAMP; SRC_MS_MAIA200</t>
        </is>
      </c>
      <c r="K3157" s="3" t="inlineStr">
        <is>
          <t>ASSUMP_POWER_RAMP; ASSUMP_MS_OPENAI_ATTRIBUTION; ASSUMP_NUMERIC_ACCELERATOR_MIX; ASSUMP_INFERENCE_SHARE_NOT_FACT_60; ASSUMP_WORKLOAD_CLASS_MIX; ASSUMP_AGENTIC_CONTEXT_PENALTY</t>
        </is>
      </c>
      <c r="L3157" s="3" t="inlineStr">
        <is>
          <t>Recompute once active power and PUE become site-observable.</t>
        </is>
      </c>
    </row>
    <row r="3158">
      <c r="A3158" s="3" t="inlineStr">
        <is>
          <t>Microsoft</t>
        </is>
      </c>
      <c r="B3158" s="3" t="n">
        <v>2028</v>
      </c>
      <c r="C3158" s="3" t="inlineStr">
        <is>
          <t>Grid-Constrained / Efficiency-Upside</t>
        </is>
      </c>
      <c r="D3158" s="3" t="inlineStr">
        <is>
          <t>ai_workload_share</t>
        </is>
      </c>
      <c r="E3158" s="3" t="n">
        <v>0.86</v>
      </c>
      <c r="F3158" s="3" t="inlineStr">
        <is>
          <t>share</t>
        </is>
      </c>
      <c r="G3158" s="3" t="inlineStr">
        <is>
          <t>Scenario allocation</t>
        </is>
      </c>
      <c r="H3158" s="3" t="inlineStr">
        <is>
          <t>ai_it_load_gw = it_load_gw * ai_workload_share</t>
        </is>
      </c>
      <c r="I3158" s="3" t="inlineStr">
        <is>
          <t>Azure/Copilot serving burden is AI-oriented but shares infrastructure with platform and reserve overhead; 86% is a scenario allocation.</t>
        </is>
      </c>
      <c r="J3158" s="3" t="inlineStr">
        <is>
          <t>SRC_MS_PHI; SRC_OPENAI_GPT41_DOCS; SRC_MS_PHI4_TECHREPORT; SRC_MS_MAIA200; SRC_EPOCH_AI_DATA_CENTERS</t>
        </is>
      </c>
      <c r="K3158" s="3" t="inlineStr">
        <is>
          <t>ASSUMP_POWER_RAMP; ASSUMP_MS_OPENAI_ATTRIBUTION; ASSUMP_NUMERIC_ACCELERATOR_MIX; ASSUMP_INFERENCE_SHARE_NOT_FACT_60; ASSUMP_WORKLOAD_CLASS_MIX; ASSUMP_AGENTIC_CONTEXT_PENALTY</t>
        </is>
      </c>
      <c r="L3158" s="3" t="inlineStr">
        <is>
          <t>Model-owner AI workload allocation or cluster scheduling telemetry.</t>
        </is>
      </c>
    </row>
    <row r="3159">
      <c r="A3159" s="3" t="inlineStr">
        <is>
          <t>Microsoft</t>
        </is>
      </c>
      <c r="B3159" s="3" t="n">
        <v>2028</v>
      </c>
      <c r="C3159" s="3" t="inlineStr">
        <is>
          <t>Grid-Constrained / Efficiency-Upside</t>
        </is>
      </c>
      <c r="D3159" s="3" t="inlineStr">
        <is>
          <t>ai_it_load_gw</t>
        </is>
      </c>
      <c r="E3159" s="3" t="n">
        <v>2.293</v>
      </c>
      <c r="F3159" s="3" t="inlineStr">
        <is>
          <t>GW</t>
        </is>
      </c>
      <c r="G3159" s="3" t="inlineStr">
        <is>
          <t>Derived formula</t>
        </is>
      </c>
      <c r="H3159" s="3" t="inlineStr">
        <is>
          <t>it_load_gw * ai_workload_share</t>
        </is>
      </c>
      <c r="I3159" s="3" t="inlineStr">
        <is>
          <t>Only the AI-attributed portion of IT load enters training/inference allocation.</t>
        </is>
      </c>
      <c r="J3159" s="3" t="inlineStr">
        <is>
          <t>SRC_MS_PHI; SRC_OPENAI_GPT41_DOCS; SRC_MS_PHI4_TECHREPORT; SRC_MS_MAIA200; SRC_EPOCH_AI_DATA_CENTERS</t>
        </is>
      </c>
      <c r="K3159" s="3" t="inlineStr">
        <is>
          <t>ASSUMP_POWER_RAMP; ASSUMP_MS_OPENAI_ATTRIBUTION; ASSUMP_NUMERIC_ACCELERATOR_MIX; ASSUMP_INFERENCE_SHARE_NOT_FACT_60; ASSUMP_WORKLOAD_CLASS_MIX; ASSUMP_AGENTIC_CONTEXT_PENALTY</t>
        </is>
      </c>
      <c r="L3159" s="3" t="inlineStr">
        <is>
          <t>Recompute after ai_workload_share is replaced by telemetry.</t>
        </is>
      </c>
    </row>
    <row r="3160">
      <c r="A3160" s="3" t="inlineStr">
        <is>
          <t>Microsoft</t>
        </is>
      </c>
      <c r="B3160" s="3" t="n">
        <v>2028</v>
      </c>
      <c r="C3160" s="3" t="inlineStr">
        <is>
          <t>Grid-Constrained / Efficiency-Upside</t>
        </is>
      </c>
      <c r="D3160" s="3" t="inlineStr">
        <is>
          <t>gpu_share</t>
        </is>
      </c>
      <c r="E3160" s="3" t="n">
        <v>0.726329</v>
      </c>
      <c r="F3160" s="3" t="inlineStr">
        <is>
          <t>share of inference-serving accelerator load</t>
        </is>
      </c>
      <c r="G3160" s="3" t="inlineStr">
        <is>
          <t>Numeric scenario</t>
        </is>
      </c>
      <c r="H3160" s="3" t="inlineStr">
        <is>
          <t>gpu_share interpolated from company 2026/2030 accelerator-mix endpoints</t>
        </is>
      </c>
      <c r="I3160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60" s="3" t="inlineStr">
        <is>
          <t>SRC_MS_PHI; SRC_OPENAI_GPT41_DOCS; SRC_MS_PHI4_TECHREPORT; SRC_MS_MAIA200; SRC_EPOCH_AI_DATA_CENTERS; ASSUMP_NUMERIC_ACCELERATOR_MIX</t>
        </is>
      </c>
      <c r="K3160" s="3" t="inlineStr">
        <is>
          <t>ASSUMP_POWER_RAMP; ASSUMP_MS_OPENAI_ATTRIBUTION; ASSUMP_NUMERIC_ACCELERATOR_MIX; ASSUMP_INFERENCE_SHARE_NOT_FACT_60; ASSUMP_WORKLOAD_CLASS_MIX; ASSUMP_AGENTIC_CONTEXT_PENALTY</t>
        </is>
      </c>
      <c r="L3160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61">
      <c r="A3161" s="3" t="inlineStr">
        <is>
          <t>Microsoft</t>
        </is>
      </c>
      <c r="B3161" s="3" t="n">
        <v>2028</v>
      </c>
      <c r="C3161" s="3" t="inlineStr">
        <is>
          <t>Grid-Constrained / Efficiency-Upside</t>
        </is>
      </c>
      <c r="D3161" s="3" t="inlineStr">
        <is>
          <t>h200_share</t>
        </is>
      </c>
      <c r="E3161" s="3" t="n">
        <v>0.020598</v>
      </c>
      <c r="F3161" s="3" t="inlineStr">
        <is>
          <t>share of inference-serving accelerator load</t>
        </is>
      </c>
      <c r="G3161" s="3" t="inlineStr">
        <is>
          <t>Editable numeric scenario</t>
        </is>
      </c>
      <c r="H3161" s="3" t="inlineStr">
        <is>
          <t>h200_share = gpu_share * default_gpu_generation_mix_h200</t>
        </is>
      </c>
      <c r="I3161" s="3" t="inlineStr">
        <is>
          <t>Default GPU-generation migration assumption; executive workbook allows later manual replacement by company/year/scenario.</t>
        </is>
      </c>
      <c r="J3161" s="3" t="inlineStr">
        <is>
          <t>SRC_SEMIANALYSIS_INFERENCEX; ASSUMP_NUMERIC_ACCELERATOR_MIX</t>
        </is>
      </c>
      <c r="K3161" s="3" t="inlineStr">
        <is>
          <t>ASSUMP_POWER_RAMP; ASSUMP_MS_OPENAI_ATTRIBUTION; ASSUMP_NUMERIC_ACCELERATOR_MIX; ASSUMP_INFERENCE_SHARE_NOT_FACT_60; ASSUMP_WORKLOAD_CLASS_MIX; ASSUMP_AGENTIC_CONTEXT_PENALTY</t>
        </is>
      </c>
      <c r="L3161" s="3" t="inlineStr">
        <is>
          <t>Company fleet inventory, accelerator-hours or procurement/deployment records by GPU generation.</t>
        </is>
      </c>
    </row>
    <row r="3162">
      <c r="A3162" s="3" t="inlineStr">
        <is>
          <t>Microsoft</t>
        </is>
      </c>
      <c r="B3162" s="3" t="n">
        <v>2028</v>
      </c>
      <c r="C3162" s="3" t="inlineStr">
        <is>
          <t>Grid-Constrained / Efficiency-Upside</t>
        </is>
      </c>
      <c r="D3162" s="3" t="inlineStr">
        <is>
          <t>b200_share</t>
        </is>
      </c>
      <c r="E3162" s="3" t="n">
        <v>0.705731</v>
      </c>
      <c r="F3162" s="3" t="inlineStr">
        <is>
          <t>share of inference-serving accelerator load</t>
        </is>
      </c>
      <c r="G3162" s="3" t="inlineStr">
        <is>
          <t>Editable numeric scenario</t>
        </is>
      </c>
      <c r="H3162" s="3" t="inlineStr">
        <is>
          <t>b200_share = gpu_share * default_gpu_generation_mix_b200</t>
        </is>
      </c>
      <c r="I3162" s="3" t="inlineStr">
        <is>
          <t>Default GPU-generation migration assumption; executive workbook allows later manual replacement by company/year/scenario.</t>
        </is>
      </c>
      <c r="J3162" s="3" t="inlineStr">
        <is>
          <t>SRC_SEMIANALYSIS_INFERENCEX; ASSUMP_NUMERIC_ACCELERATOR_MIX</t>
        </is>
      </c>
      <c r="K3162" s="3" t="inlineStr">
        <is>
          <t>ASSUMP_POWER_RAMP; ASSUMP_MS_OPENAI_ATTRIBUTION; ASSUMP_NUMERIC_ACCELERATOR_MIX; ASSUMP_INFERENCE_SHARE_NOT_FACT_60; ASSUMP_WORKLOAD_CLASS_MIX; ASSUMP_AGENTIC_CONTEXT_PENALTY</t>
        </is>
      </c>
      <c r="L3162" s="3" t="inlineStr">
        <is>
          <t>Company fleet inventory, accelerator-hours or procurement/deployment records by GPU generation.</t>
        </is>
      </c>
    </row>
    <row r="3163">
      <c r="A3163" s="3" t="inlineStr">
        <is>
          <t>Microsoft</t>
        </is>
      </c>
      <c r="B3163" s="3" t="n">
        <v>2028</v>
      </c>
      <c r="C3163" s="3" t="inlineStr">
        <is>
          <t>Grid-Constrained / Efficiency-Upside</t>
        </is>
      </c>
      <c r="D3163" s="3" t="inlineStr">
        <is>
          <t>gb200_share</t>
        </is>
      </c>
      <c r="E3163" s="3" t="n">
        <v>0</v>
      </c>
      <c r="F3163" s="3" t="inlineStr">
        <is>
          <t>share of inference-serving accelerator load</t>
        </is>
      </c>
      <c r="G3163" s="3" t="inlineStr">
        <is>
          <t>Editable numeric scenario</t>
        </is>
      </c>
      <c r="H3163" s="3" t="inlineStr">
        <is>
          <t>gb200_share = gpu_share * default_gpu_generation_mix_gb200</t>
        </is>
      </c>
      <c r="I3163" s="3" t="inlineStr">
        <is>
          <t>Default GPU-generation migration assumption; executive workbook allows later manual replacement by company/year/scenario.</t>
        </is>
      </c>
      <c r="J3163" s="3" t="inlineStr">
        <is>
          <t>SRC_SEMIANALYSIS_INFERENCEX; ASSUMP_NUMERIC_ACCELERATOR_MIX</t>
        </is>
      </c>
      <c r="K3163" s="3" t="inlineStr">
        <is>
          <t>ASSUMP_POWER_RAMP; ASSUMP_MS_OPENAI_ATTRIBUTION; ASSUMP_NUMERIC_ACCELERATOR_MIX; ASSUMP_INFERENCE_SHARE_NOT_FACT_60; ASSUMP_WORKLOAD_CLASS_MIX; ASSUMP_AGENTIC_CONTEXT_PENALTY</t>
        </is>
      </c>
      <c r="L3163" s="3" t="inlineStr">
        <is>
          <t>Company fleet inventory, accelerator-hours or procurement/deployment records by GPU generation.</t>
        </is>
      </c>
    </row>
    <row r="3164">
      <c r="A3164" s="3" t="inlineStr">
        <is>
          <t>Microsoft</t>
        </is>
      </c>
      <c r="B3164" s="3" t="n">
        <v>2028</v>
      </c>
      <c r="C3164" s="3" t="inlineStr">
        <is>
          <t>Grid-Constrained / Efficiency-Upside</t>
        </is>
      </c>
      <c r="D3164" s="3" t="inlineStr">
        <is>
          <t>purpose_built_accelerator_share</t>
        </is>
      </c>
      <c r="E3164" s="3" t="n">
        <v>0.273671</v>
      </c>
      <c r="F3164" s="3" t="inlineStr">
        <is>
          <t>share of inference-serving accelerator load</t>
        </is>
      </c>
      <c r="G3164" s="3" t="inlineStr">
        <is>
          <t>Numeric scenario</t>
        </is>
      </c>
      <c r="H3164" s="3" t="inlineStr">
        <is>
          <t>1 - gpu_share</t>
        </is>
      </c>
      <c r="I3164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64" s="3" t="inlineStr">
        <is>
          <t>SRC_MS_PHI; SRC_OPENAI_GPT41_DOCS; SRC_MS_PHI4_TECHREPORT; SRC_MS_MAIA200; SRC_EPOCH_AI_DATA_CENTERS; ASSUMP_NUMERIC_ACCELERATOR_MIX</t>
        </is>
      </c>
      <c r="K3164" s="3" t="inlineStr">
        <is>
          <t>ASSUMP_POWER_RAMP; ASSUMP_MS_OPENAI_ATTRIBUTION; ASSUMP_NUMERIC_ACCELERATOR_MIX; ASSUMP_INFERENCE_SHARE_NOT_FACT_60; ASSUMP_WORKLOAD_CLASS_MIX; ASSUMP_AGENTIC_CONTEXT_PENALTY</t>
        </is>
      </c>
      <c r="L3164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65">
      <c r="A3165" s="3" t="inlineStr">
        <is>
          <t>Microsoft</t>
        </is>
      </c>
      <c r="B3165" s="3" t="n">
        <v>2028</v>
      </c>
      <c r="C3165" s="3" t="inlineStr">
        <is>
          <t>Grid-Constrained / Efficiency-Upside</t>
        </is>
      </c>
      <c r="D3165" s="3" t="inlineStr">
        <is>
          <t>fleet_reference_tps_per_mw</t>
        </is>
      </c>
      <c r="E3165" s="3" t="n">
        <v>2856801</v>
      </c>
      <c r="F3165" s="3" t="inlineStr">
        <is>
          <t>generated output tokens/sec/MW</t>
        </is>
      </c>
      <c r="G3165" s="3" t="inlineStr">
        <is>
          <t>Fleet-weighted public benchmark reference</t>
        </is>
      </c>
      <c r="H3165" s="3" t="inlineStr">
        <is>
          <t>h200_share*h200_workload_avg + b200_share*b200_workload_avg + gb200_share*gb200_workload_avg + purpose_built_share*purpose_workload_avg</t>
        </is>
      </c>
      <c r="I316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65" s="3" t="inlineStr">
        <is>
          <t>SRC_SEMIANALYSIS_INFERENCEX; ASSUMP_NUMERIC_ACCELERATOR_MIX; ASSUMP_WORKLOAD_CLASS_MIX; ASSUMP_AGENTIC_CONTEXT_PENALTY</t>
        </is>
      </c>
      <c r="K3165" s="3" t="inlineStr">
        <is>
          <t>ASSUMP_POWER_RAMP; ASSUMP_MS_OPENAI_ATTRIBUTION; ASSUMP_NUMERIC_ACCELERATOR_MIX; ASSUMP_INFERENCE_SHARE_NOT_FACT_60; ASSUMP_WORKLOAD_CLASS_MIX; ASSUMP_AGENTIC_CONTEXT_PENALTY</t>
        </is>
      </c>
      <c r="L3165" s="3" t="inlineStr">
        <is>
          <t>Comparable production output-token throughput or a more closely matched benchmark.</t>
        </is>
      </c>
    </row>
    <row r="3166">
      <c r="A3166" s="3" t="inlineStr">
        <is>
          <t>Microsoft</t>
        </is>
      </c>
      <c r="B3166" s="3" t="n">
        <v>2028</v>
      </c>
      <c r="C3166" s="3" t="inlineStr">
        <is>
          <t>Grid-Constrained / Efficiency-Upside</t>
        </is>
      </c>
      <c r="D3166" s="3" t="inlineStr">
        <is>
          <t>commercial_workload_fit_factor</t>
        </is>
      </c>
      <c r="E3166" s="3" t="n">
        <v>0.6</v>
      </c>
      <c r="F3166" s="3" t="inlineStr">
        <is>
          <t>share of public reference throughput</t>
        </is>
      </c>
      <c r="G3166" s="3" t="inlineStr">
        <is>
          <t>Scenario assumption</t>
        </is>
      </c>
      <c r="H3166" s="3" t="inlineStr">
        <is>
          <t>reference_serving_tps_per_mw = fleet_reference_tps_per_mw * commercial_workload_fit_factor</t>
        </is>
      </c>
      <c r="I3166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66" s="3" t="inlineStr">
        <is>
          <t>SRC_SEMIANALYSIS_INFERENCEX; ASSUMP_NUMERIC_ACCELERATOR_MIX; ASSUMP_WORKLOAD_CLASS_MIX; ASSUMP_AGENTIC_CONTEXT_PENALTY</t>
        </is>
      </c>
      <c r="K3166" s="3" t="inlineStr">
        <is>
          <t>ASSUMP_POWER_RAMP; ASSUMP_MS_OPENAI_ATTRIBUTION; ASSUMP_NUMERIC_ACCELERATOR_MIX; ASSUMP_INFERENCE_SHARE_NOT_FACT_60; ASSUMP_WORKLOAD_CLASS_MIX; ASSUMP_AGENTIC_CONTEXT_PENALTY</t>
        </is>
      </c>
      <c r="L3166" s="3" t="inlineStr">
        <is>
          <t>Matched commercial serving benchmark by product surface, context shape and latency SLO.</t>
        </is>
      </c>
    </row>
    <row r="3167">
      <c r="A3167" s="3" t="inlineStr">
        <is>
          <t>Microsoft</t>
        </is>
      </c>
      <c r="B3167" s="3" t="n">
        <v>2028</v>
      </c>
      <c r="C3167" s="3" t="inlineStr">
        <is>
          <t>Grid-Constrained / Efficiency-Upside</t>
        </is>
      </c>
      <c r="D3167" s="3" t="inlineStr">
        <is>
          <t>reference_serving_tps_per_mw</t>
        </is>
      </c>
      <c r="E3167" s="3" t="n">
        <v>1714081</v>
      </c>
      <c r="F3167" s="3" t="inlineStr">
        <is>
          <t>generated output tokens/sec/MW</t>
        </is>
      </c>
      <c r="G3167" s="3" t="inlineStr">
        <is>
          <t>Workload-adjusted benchmark proxy</t>
        </is>
      </c>
      <c r="H3167" s="3" t="inlineStr">
        <is>
          <t>fleet_reference_tps_per_mw * commercial_workload_fit_factor</t>
        </is>
      </c>
      <c r="I3167" s="3" t="inlineStr">
        <is>
          <t>This is the coefficient used for headline token generation; each GPU's short chat, long chat and agentic TPS/MW are weighted before fleet mix and commercial fit are applied.</t>
        </is>
      </c>
      <c r="J3167" s="3" t="inlineStr">
        <is>
          <t>SRC_SEMIANALYSIS_INFERENCEX; ASSUMP_NUMERIC_ACCELERATOR_MIX; ASSUMP_WORKLOAD_CLASS_MIX; ASSUMP_AGENTIC_CONTEXT_PENALTY</t>
        </is>
      </c>
      <c r="K3167" s="3" t="inlineStr">
        <is>
          <t>ASSUMP_POWER_RAMP; ASSUMP_MS_OPENAI_ATTRIBUTION; ASSUMP_NUMERIC_ACCELERATOR_MIX; ASSUMP_INFERENCE_SHARE_NOT_FACT_60; ASSUMP_WORKLOAD_CLASS_MIX; ASSUMP_AGENTIC_CONTEXT_PENALTY</t>
        </is>
      </c>
      <c r="L3167" s="3" t="inlineStr">
        <is>
          <t>Provider production output-token throughput with comparable workload/SLO.</t>
        </is>
      </c>
    </row>
    <row r="3168">
      <c r="A3168" s="3" t="inlineStr">
        <is>
          <t>Microsoft</t>
        </is>
      </c>
      <c r="B3168" s="3" t="n">
        <v>2028</v>
      </c>
      <c r="C3168" s="3" t="inlineStr">
        <is>
          <t>Grid-Constrained / Efficiency-Upside</t>
        </is>
      </c>
      <c r="D3168" s="3" t="inlineStr">
        <is>
          <t>purpose_built_tps_per_mw</t>
        </is>
      </c>
      <c r="E3168" s="3" t="n">
        <v>2710180</v>
      </c>
      <c r="F3168" s="3" t="inlineStr">
        <is>
          <t>generated output tokens/sec/MW</t>
        </is>
      </c>
      <c r="G3168" s="3" t="inlineStr">
        <is>
          <t>Conservative no-uplift proxy</t>
        </is>
      </c>
      <c r="H3168" s="3" t="inlineStr">
        <is>
          <t>purpose_built_tps_per_mw = purpose_built_reference_tps_per_mw * commercial_workload_fit_factor until comparable output-token benchmark is adopted</t>
        </is>
      </c>
      <c r="I3168" s="3" t="inlineStr">
        <is>
          <t>No comparable public output-token/MW row adopted; B200 public reference placeholder is used and remains editable.</t>
        </is>
      </c>
      <c r="J3168" s="3" t="inlineStr">
        <is>
          <t>SRC_MS_PHI; SRC_OPENAI_GPT41_DOCS; SRC_MS_PHI4_TECHREPORT; SRC_MS_MAIA200; SRC_EPOCH_AI_DATA_CENTERS; ASSUMP_NUMERIC_ACCELERATOR_MIX</t>
        </is>
      </c>
      <c r="K3168" s="3" t="inlineStr">
        <is>
          <t>ASSUMP_POWER_RAMP; ASSUMP_MS_OPENAI_ATTRIBUTION; ASSUMP_NUMERIC_ACCELERATOR_MIX; ASSUMP_INFERENCE_SHARE_NOT_FACT_60; ASSUMP_WORKLOAD_CLASS_MIX; ASSUMP_AGENTIC_CONTEXT_PENALTY</t>
        </is>
      </c>
      <c r="L3168" s="3" t="inlineStr">
        <is>
          <t>Matched-workload generated-output benchmark for the provider purpose-built accelerator.</t>
        </is>
      </c>
    </row>
    <row r="3169">
      <c r="A3169" s="3" t="inlineStr">
        <is>
          <t>Microsoft</t>
        </is>
      </c>
      <c r="B3169" s="3" t="n">
        <v>2028</v>
      </c>
      <c r="C3169" s="3" t="inlineStr">
        <is>
          <t>Grid-Constrained / Efficiency-Upside</t>
        </is>
      </c>
      <c r="D3169" s="3" t="inlineStr">
        <is>
          <t>inference_power_share</t>
        </is>
      </c>
      <c r="E3169" s="3" t="n">
        <v>0.68</v>
      </c>
      <c r="F3169" s="3" t="inlineStr">
        <is>
          <t>share of AI IT load</t>
        </is>
      </c>
      <c r="G3169" s="3" t="inlineStr">
        <is>
          <t>Scenario allocation</t>
        </is>
      </c>
      <c r="H3169" s="3" t="inlineStr">
        <is>
          <t>inference_gw = ai_it_load_gw * inference_power_share</t>
        </is>
      </c>
      <c r="I3169" s="3" t="inlineStr">
        <is>
          <t>Copilot commercial serving growth supports rising inference allocation; OpenAI model-owner output must remain separately attributed.</t>
        </is>
      </c>
      <c r="J3169" s="3" t="inlineStr">
        <is>
          <t>SRC_MS_PHI; SRC_OPENAI_GPT41_DOCS; SRC_MS_PHI4_TECHREPORT; SRC_MS_MAIA200; SRC_EPOCH_AI_DATA_CENTERS; ASSUMP_INFERENCE_SHARE_NOT_FACT_60</t>
        </is>
      </c>
      <c r="K3169" s="3" t="inlineStr">
        <is>
          <t>ASSUMP_POWER_RAMP; ASSUMP_MS_OPENAI_ATTRIBUTION; ASSUMP_NUMERIC_ACCELERATOR_MIX; ASSUMP_INFERENCE_SHARE_NOT_FACT_60; ASSUMP_WORKLOAD_CLASS_MIX; ASSUMP_AGENTIC_CONTEXT_PENALTY</t>
        </is>
      </c>
      <c r="L3169" s="3" t="inlineStr">
        <is>
          <t>Provider-specific inference/training workload power telemetry.</t>
        </is>
      </c>
    </row>
    <row r="3170">
      <c r="A3170" s="3" t="inlineStr">
        <is>
          <t>Microsoft</t>
        </is>
      </c>
      <c r="B3170" s="3" t="n">
        <v>2028</v>
      </c>
      <c r="C3170" s="3" t="inlineStr">
        <is>
          <t>Grid-Constrained / Efficiency-Upside</t>
        </is>
      </c>
      <c r="D3170" s="3" t="inlineStr">
        <is>
          <t>inference_gw</t>
        </is>
      </c>
      <c r="E3170" s="3" t="n">
        <v>1.559</v>
      </c>
      <c r="F3170" s="3" t="inlineStr">
        <is>
          <t>GW</t>
        </is>
      </c>
      <c r="G3170" s="3" t="inlineStr">
        <is>
          <t>Derived formula</t>
        </is>
      </c>
      <c r="H3170" s="3" t="inlineStr">
        <is>
          <t>ai_it_load_gw * inference_power_share</t>
        </is>
      </c>
      <c r="I3170" s="3" t="inlineStr">
        <is>
          <t>This is the operational power eligible to become commercial generated output tokens through the selected TPS/MW proxy.</t>
        </is>
      </c>
      <c r="J3170" s="3" t="inlineStr">
        <is>
          <t>SRC_MS_PHI; SRC_OPENAI_GPT41_DOCS; SRC_MS_PHI4_TECHREPORT; SRC_MS_MAIA200; SRC_EPOCH_AI_DATA_CENTERS</t>
        </is>
      </c>
      <c r="K3170" s="3" t="inlineStr">
        <is>
          <t>ASSUMP_POWER_RAMP; ASSUMP_MS_OPENAI_ATTRIBUTION; ASSUMP_NUMERIC_ACCELERATOR_MIX; ASSUMP_INFERENCE_SHARE_NOT_FACT_60; ASSUMP_WORKLOAD_CLASS_MIX; ASSUMP_AGENTIC_CONTEXT_PENALTY</t>
        </is>
      </c>
      <c r="L3170" s="3" t="inlineStr">
        <is>
          <t>Recompute after AI allocation or inference-share evidence changes.</t>
        </is>
      </c>
    </row>
    <row r="3171">
      <c r="A3171" s="3" t="inlineStr">
        <is>
          <t>Microsoft</t>
        </is>
      </c>
      <c r="B3171" s="3" t="n">
        <v>2028</v>
      </c>
      <c r="C3171" s="3" t="inlineStr">
        <is>
          <t>Grid-Constrained / Efficiency-Upside</t>
        </is>
      </c>
      <c r="D3171" s="3" t="inlineStr">
        <is>
          <t>training_power_share</t>
        </is>
      </c>
      <c r="E3171" s="3" t="n">
        <v>0.32</v>
      </c>
      <c r="F3171" s="3" t="inlineStr">
        <is>
          <t>share of AI IT load</t>
        </is>
      </c>
      <c r="G3171" s="3" t="inlineStr">
        <is>
          <t>Derived allocation</t>
        </is>
      </c>
      <c r="H3171" s="3" t="inlineStr">
        <is>
          <t>1 - inference_power_share</t>
        </is>
      </c>
      <c r="I3171" s="3" t="inlineStr">
        <is>
          <t>Training receives the complementary modeled AI IT allocation; it is not a disclosed company workload split.</t>
        </is>
      </c>
      <c r="J3171" s="3" t="inlineStr">
        <is>
          <t>SRC_MS_PHI; SRC_OPENAI_GPT41_DOCS; SRC_MS_PHI4_TECHREPORT; SRC_MS_MAIA200; SRC_EPOCH_AI_DATA_CENTERS; ASSUMP_INFERENCE_SHARE_NOT_FACT_60</t>
        </is>
      </c>
      <c r="K3171" s="3" t="inlineStr">
        <is>
          <t>ASSUMP_POWER_RAMP; ASSUMP_MS_OPENAI_ATTRIBUTION; ASSUMP_NUMERIC_ACCELERATOR_MIX; ASSUMP_INFERENCE_SHARE_NOT_FACT_60; ASSUMP_WORKLOAD_CLASS_MIX; ASSUMP_AGENTIC_CONTEXT_PENALTY</t>
        </is>
      </c>
      <c r="L3171" s="3" t="inlineStr">
        <is>
          <t>Provider-specific inference/training workload power telemetry.</t>
        </is>
      </c>
    </row>
    <row r="3172">
      <c r="A3172" s="3" t="inlineStr">
        <is>
          <t>Microsoft</t>
        </is>
      </c>
      <c r="B3172" s="3" t="n">
        <v>2028</v>
      </c>
      <c r="C3172" s="3" t="inlineStr">
        <is>
          <t>Grid-Constrained / Efficiency-Upside</t>
        </is>
      </c>
      <c r="D3172" s="3" t="inlineStr">
        <is>
          <t>training_gw</t>
        </is>
      </c>
      <c r="E3172" s="3" t="n">
        <v>0.734</v>
      </c>
      <c r="F3172" s="3" t="inlineStr">
        <is>
          <t>GW</t>
        </is>
      </c>
      <c r="G3172" s="3" t="inlineStr">
        <is>
          <t>Derived formula</t>
        </is>
      </c>
      <c r="H3172" s="3" t="inlineStr">
        <is>
          <t>ai_it_load_gw * training_power_share</t>
        </is>
      </c>
      <c r="I3172" s="3" t="inlineStr">
        <is>
          <t>Training GW is shown separately so commercial inference token capacity is not overstated.</t>
        </is>
      </c>
      <c r="J3172" s="3" t="inlineStr">
        <is>
          <t>SRC_MS_PHI; SRC_OPENAI_GPT41_DOCS; SRC_MS_PHI4_TECHREPORT; SRC_MS_MAIA200; SRC_EPOCH_AI_DATA_CENTERS</t>
        </is>
      </c>
      <c r="K3172" s="3" t="inlineStr">
        <is>
          <t>ASSUMP_POWER_RAMP; ASSUMP_MS_OPENAI_ATTRIBUTION; ASSUMP_NUMERIC_ACCELERATOR_MIX; ASSUMP_INFERENCE_SHARE_NOT_FACT_60; ASSUMP_WORKLOAD_CLASS_MIX; ASSUMP_AGENTIC_CONTEXT_PENALTY</t>
        </is>
      </c>
      <c r="L3172" s="3" t="inlineStr">
        <is>
          <t>Recompute after AI allocation or workload-split evidence changes.</t>
        </is>
      </c>
    </row>
    <row r="3173">
      <c r="A3173" s="3" t="inlineStr">
        <is>
          <t>Microsoft</t>
        </is>
      </c>
      <c r="B3173" s="3" t="n">
        <v>2028</v>
      </c>
      <c r="C3173" s="3" t="inlineStr">
        <is>
          <t>Grid-Constrained / Efficiency-Upside</t>
        </is>
      </c>
      <c r="D3173" s="3" t="inlineStr">
        <is>
          <t>tokens_per_second_per_mw</t>
        </is>
      </c>
      <c r="E3173" s="3" t="n">
        <v>1714081</v>
      </c>
      <c r="F3173" s="3" t="inlineStr">
        <is>
          <t>generated output tokens/sec/MW</t>
        </is>
      </c>
      <c r="G3173" s="3" t="inlineStr">
        <is>
          <t>Derived estimate + benchmark calibration</t>
        </is>
      </c>
      <c r="H3173" s="3" t="inlineStr">
        <is>
          <t>fleet_reference_tps_per_mw * commercial_workload_fit_factor</t>
        </is>
      </c>
      <c r="I3173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73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73" s="3" t="inlineStr">
        <is>
          <t>ASSUMP_POWER_RAMP; ASSUMP_MS_OPENAI_ATTRIBUTION; ASSUMP_NUMERIC_ACCELERATOR_MIX; ASSUMP_INFERENCE_SHARE_NOT_FACT_60; ASSUMP_WORKLOAD_CLASS_MIX; ASSUMP_AGENTIC_CONTEXT_PENALTY</t>
        </is>
      </c>
      <c r="L3173" s="3" t="inlineStr">
        <is>
          <t>Comparable production output-token throughput with model, hardware, precision, ISL/OSL and SLO matched.</t>
        </is>
      </c>
    </row>
    <row r="3174">
      <c r="A3174" s="3" t="inlineStr">
        <is>
          <t>Microsoft</t>
        </is>
      </c>
      <c r="B3174" s="3" t="n">
        <v>2028</v>
      </c>
      <c r="C3174" s="3" t="inlineStr">
        <is>
          <t>Grid-Constrained / Efficiency-Upside</t>
        </is>
      </c>
      <c r="D3174" s="3" t="inlineStr">
        <is>
          <t>inference_tokens_per_day</t>
        </is>
      </c>
      <c r="E3174" s="3" t="n">
        <v>230882596905600</v>
      </c>
      <c r="F3174" s="3" t="inlineStr">
        <is>
          <t>generated output tokens/day</t>
        </is>
      </c>
      <c r="G3174" s="3" t="inlineStr">
        <is>
          <t>Derived headline metric</t>
        </is>
      </c>
      <c r="H3174" s="3" t="inlineStr">
        <is>
          <t>inference_gw * 1000 * tokens_per_second_per_mw * 86,400</t>
        </is>
      </c>
      <c r="I3174" s="3" t="inlineStr">
        <is>
          <t>Headline capacity uses no utilization, MoE, architecture or software-growth multiplier; it is not observed commercial output volume.</t>
        </is>
      </c>
      <c r="J3174" s="3" t="inlineStr">
        <is>
          <t>SRC_MS_PHI; SRC_OPENAI_GPT41_DOCS; SRC_MS_PHI4_TECHREPORT; SRC_MS_MAIA200; SRC_EPOCH_AI_DATA_CENTERS; SRC_SEMIANALYSIS_INFERENCEX</t>
        </is>
      </c>
      <c r="K3174" s="3" t="inlineStr">
        <is>
          <t>ASSUMP_POWER_RAMP; ASSUMP_MS_OPENAI_ATTRIBUTION; ASSUMP_NUMERIC_ACCELERATOR_MIX; ASSUMP_INFERENCE_SHARE_NOT_FACT_60; ASSUMP_WORKLOAD_CLASS_MIX; ASSUMP_AGENTIC_CONTEXT_PENALTY</t>
        </is>
      </c>
      <c r="L3174" s="3" t="inlineStr">
        <is>
          <t>Provider-disclosed generated output token volume or calibrated capacity telemetry.</t>
        </is>
      </c>
    </row>
    <row r="3175">
      <c r="A3175" s="3" t="inlineStr">
        <is>
          <t>Microsoft</t>
        </is>
      </c>
      <c r="B3175" s="3" t="n">
        <v>2028</v>
      </c>
      <c r="C3175" s="3" t="inlineStr">
        <is>
          <t>Grid-Constrained / Efficiency-Upside</t>
        </is>
      </c>
      <c r="D3175" s="3" t="inlineStr">
        <is>
          <t>inference_tokens_per_year</t>
        </is>
      </c>
      <c r="E3175" s="3" t="n">
        <v>8.4272147870544e+16</v>
      </c>
      <c r="F3175" s="3" t="inlineStr">
        <is>
          <t>generated output tokens/year</t>
        </is>
      </c>
      <c r="G3175" s="3" t="inlineStr">
        <is>
          <t>Derived headline metric</t>
        </is>
      </c>
      <c r="H3175" s="3" t="inlineStr">
        <is>
          <t>inference_tokens_per_day * 365</t>
        </is>
      </c>
      <c r="I3175" s="3" t="inlineStr">
        <is>
          <t>Annualized version of generated output token capacity; it is not observed annual demand or billable volume.</t>
        </is>
      </c>
      <c r="J3175" s="3" t="inlineStr">
        <is>
          <t>SRC_MS_PHI; SRC_OPENAI_GPT41_DOCS; SRC_MS_PHI4_TECHREPORT; SRC_MS_MAIA200; SRC_EPOCH_AI_DATA_CENTERS; SRC_SEMIANALYSIS_INFERENCEX</t>
        </is>
      </c>
      <c r="K3175" s="3" t="inlineStr">
        <is>
          <t>ASSUMP_POWER_RAMP; ASSUMP_MS_OPENAI_ATTRIBUTION; ASSUMP_NUMERIC_ACCELERATOR_MIX; ASSUMP_INFERENCE_SHARE_NOT_FACT_60; ASSUMP_WORKLOAD_CLASS_MIX; ASSUMP_AGENTIC_CONTEXT_PENALTY</t>
        </is>
      </c>
      <c r="L3175" s="3" t="inlineStr">
        <is>
          <t>Provider-disclosed annual generated-output volume or metered serving telemetry.</t>
        </is>
      </c>
    </row>
    <row r="3176">
      <c r="A3176" s="3" t="inlineStr">
        <is>
          <t>Microsoft</t>
        </is>
      </c>
      <c r="B3176" s="3" t="n">
        <v>2029</v>
      </c>
      <c r="C3176" s="3" t="inlineStr">
        <is>
          <t>Grid-Constrained / Efficiency-Upside</t>
        </is>
      </c>
      <c r="D3176" s="3" t="inlineStr">
        <is>
          <t>contracted_power_gw</t>
        </is>
      </c>
      <c r="E3176" s="3" t="n">
        <v>7.75</v>
      </c>
      <c r="F3176" s="3" t="inlineStr">
        <is>
          <t>GW</t>
        </is>
      </c>
      <c r="G3176" s="3" t="inlineStr">
        <is>
          <t>Scenario capacity envelope</t>
        </is>
      </c>
      <c r="H3176" s="3" t="inlineStr">
        <is>
          <t>linear interpolation between 2026 and 2030 company capacity endpoints</t>
        </is>
      </c>
      <c r="I3176" s="3" t="inlineStr">
        <is>
          <t>Scenario envelope for Microsoft-controlled/Copilot serving burden; not an official contracted-GW disclosure.</t>
        </is>
      </c>
      <c r="J3176" s="3" t="inlineStr">
        <is>
          <t>ASSUMP_POWER_RAMP; SRC_MS_MAIA200</t>
        </is>
      </c>
      <c r="K3176" s="3" t="inlineStr">
        <is>
          <t>ASSUMP_POWER_RAMP; ASSUMP_MS_OPENAI_ATTRIBUTION; ASSUMP_NUMERIC_ACCELERATOR_MIX; ASSUMP_INFERENCE_SHARE_NOT_FACT_60; ASSUMP_WORKLOAD_CLASS_MIX; ASSUMP_AGENTIC_CONTEXT_PENALTY</t>
        </is>
      </c>
      <c r="L3176" s="3" t="inlineStr">
        <is>
          <t>Company/site-level committed MW/GW, interconnect and contract disclosure.</t>
        </is>
      </c>
    </row>
    <row r="3177">
      <c r="A3177" s="3" t="inlineStr">
        <is>
          <t>Microsoft</t>
        </is>
      </c>
      <c r="B3177" s="3" t="n">
        <v>2029</v>
      </c>
      <c r="C3177" s="3" t="inlineStr">
        <is>
          <t>Grid-Constrained / Efficiency-Upside</t>
        </is>
      </c>
      <c r="D3177" s="3" t="inlineStr">
        <is>
          <t>operational_deployment_share</t>
        </is>
      </c>
      <c r="E3177" s="3" t="n">
        <v>0.50012903</v>
      </c>
      <c r="F3177" s="3" t="inlineStr">
        <is>
          <t>share</t>
        </is>
      </c>
      <c r="G3177" s="3" t="inlineStr">
        <is>
          <t>Scenario conversion</t>
        </is>
      </c>
      <c r="H3177" s="3" t="inlineStr">
        <is>
          <t>active_power_gw / contracted_power_gw</t>
        </is>
      </c>
      <c r="I3177" s="3" t="inlineStr">
        <is>
          <t>This is the single explicit conversion from contracted/attributed capacity to operationally usable capacity.</t>
        </is>
      </c>
      <c r="J3177" s="3" t="inlineStr">
        <is>
          <t>ASSUMP_POWER_RAMP; SRC_MS_MAIA200</t>
        </is>
      </c>
      <c r="K3177" s="3" t="inlineStr">
        <is>
          <t>ASSUMP_POWER_RAMP; ASSUMP_MS_OPENAI_ATTRIBUTION; ASSUMP_NUMERIC_ACCELERATOR_MIX; ASSUMP_INFERENCE_SHARE_NOT_FACT_60; ASSUMP_WORKLOAD_CLASS_MIX; ASSUMP_AGENTIC_CONTEXT_PENALTY</t>
        </is>
      </c>
      <c r="L3177" s="3" t="inlineStr">
        <is>
          <t>Energized operational capacity divided by contracted/attributed capacity.</t>
        </is>
      </c>
    </row>
    <row r="3178">
      <c r="A3178" s="3" t="inlineStr">
        <is>
          <t>Microsoft</t>
        </is>
      </c>
      <c r="B3178" s="3" t="n">
        <v>2029</v>
      </c>
      <c r="C3178" s="3" t="inlineStr">
        <is>
          <t>Grid-Constrained / Efficiency-Upside</t>
        </is>
      </c>
      <c r="D3178" s="3" t="inlineStr">
        <is>
          <t>active_power_gw</t>
        </is>
      </c>
      <c r="E3178" s="3" t="n">
        <v>3.876</v>
      </c>
      <c r="F3178" s="3" t="inlineStr">
        <is>
          <t>GW</t>
        </is>
      </c>
      <c r="G3178" s="3" t="inlineStr">
        <is>
          <t>Derived scenario</t>
        </is>
      </c>
      <c r="H3178" s="3" t="inlineStr">
        <is>
          <t>contracted_power_gw * operational_deployment_share</t>
        </is>
      </c>
      <c r="I3178" s="3" t="inlineStr">
        <is>
          <t>Active GW is a staged operational deployment fraction of modeled capacity, reflecting site energization and accelerator availability.</t>
        </is>
      </c>
      <c r="J3178" s="3" t="inlineStr">
        <is>
          <t>ASSUMP_POWER_RAMP; SRC_MS_MAIA200</t>
        </is>
      </c>
      <c r="K3178" s="3" t="inlineStr">
        <is>
          <t>ASSUMP_POWER_RAMP; ASSUMP_MS_OPENAI_ATTRIBUTION; ASSUMP_NUMERIC_ACCELERATOR_MIX; ASSUMP_INFERENCE_SHARE_NOT_FACT_60; ASSUMP_WORKLOAD_CLASS_MIX; ASSUMP_AGENTIC_CONTEXT_PENALTY</t>
        </is>
      </c>
      <c r="L3178" s="3" t="inlineStr">
        <is>
          <t>Energization dates, accelerator deliveries and operational powered-rack telemetry.</t>
        </is>
      </c>
    </row>
    <row r="3179">
      <c r="A3179" s="3" t="inlineStr">
        <is>
          <t>Microsoft</t>
        </is>
      </c>
      <c r="B3179" s="3" t="n">
        <v>2029</v>
      </c>
      <c r="C3179" s="3" t="inlineStr">
        <is>
          <t>Grid-Constrained / Efficiency-Upside</t>
        </is>
      </c>
      <c r="D3179" s="3" t="inlineStr">
        <is>
          <t>pue</t>
        </is>
      </c>
      <c r="E3179" s="3" t="n">
        <v>1.2</v>
      </c>
      <c r="F3179" s="3" t="inlineStr">
        <is>
          <t>ratio</t>
        </is>
      </c>
      <c r="G3179" s="3" t="inlineStr">
        <is>
          <t>Scenario parameter</t>
        </is>
      </c>
      <c r="H3179" s="3" t="inlineStr">
        <is>
          <t>it_load_gw = active_power_gw / pue</t>
        </is>
      </c>
      <c r="I3179" s="3" t="inlineStr">
        <is>
          <t>No provider-wide site-level PUE is used as a disclosed fact; PUE represents facility-to-IT conversion within the scenario.</t>
        </is>
      </c>
      <c r="J3179" s="3" t="inlineStr">
        <is>
          <t>ASSUMP_POWER_RAMP</t>
        </is>
      </c>
      <c r="K3179" s="3" t="inlineStr">
        <is>
          <t>ASSUMP_POWER_RAMP; ASSUMP_MS_OPENAI_ATTRIBUTION; ASSUMP_NUMERIC_ACCELERATOR_MIX; ASSUMP_INFERENCE_SHARE_NOT_FACT_60; ASSUMP_WORKLOAD_CLASS_MIX; ASSUMP_AGENTIC_CONTEXT_PENALTY</t>
        </is>
      </c>
      <c r="L3179" s="3" t="inlineStr">
        <is>
          <t>Site-level measured PUE matched to attributed AI capacity.</t>
        </is>
      </c>
    </row>
    <row r="3180">
      <c r="A3180" s="3" t="inlineStr">
        <is>
          <t>Microsoft</t>
        </is>
      </c>
      <c r="B3180" s="3" t="n">
        <v>2029</v>
      </c>
      <c r="C3180" s="3" t="inlineStr">
        <is>
          <t>Grid-Constrained / Efficiency-Upside</t>
        </is>
      </c>
      <c r="D3180" s="3" t="inlineStr">
        <is>
          <t>it_load_gw</t>
        </is>
      </c>
      <c r="E3180" s="3" t="n">
        <v>3.23</v>
      </c>
      <c r="F3180" s="3" t="inlineStr">
        <is>
          <t>GW</t>
        </is>
      </c>
      <c r="G3180" s="3" t="inlineStr">
        <is>
          <t>Derived formula</t>
        </is>
      </c>
      <c r="H3180" s="3" t="inlineStr">
        <is>
          <t>active_power_gw / pue</t>
        </is>
      </c>
      <c r="I3180" s="3" t="inlineStr">
        <is>
          <t>Facility power is converted to IT-deliverable power before attributing AI workloads.</t>
        </is>
      </c>
      <c r="J3180" s="3" t="inlineStr">
        <is>
          <t>ASSUMP_POWER_RAMP; SRC_MS_MAIA200</t>
        </is>
      </c>
      <c r="K3180" s="3" t="inlineStr">
        <is>
          <t>ASSUMP_POWER_RAMP; ASSUMP_MS_OPENAI_ATTRIBUTION; ASSUMP_NUMERIC_ACCELERATOR_MIX; ASSUMP_INFERENCE_SHARE_NOT_FACT_60; ASSUMP_WORKLOAD_CLASS_MIX; ASSUMP_AGENTIC_CONTEXT_PENALTY</t>
        </is>
      </c>
      <c r="L3180" s="3" t="inlineStr">
        <is>
          <t>Recompute once active power and PUE become site-observable.</t>
        </is>
      </c>
    </row>
    <row r="3181">
      <c r="A3181" s="3" t="inlineStr">
        <is>
          <t>Microsoft</t>
        </is>
      </c>
      <c r="B3181" s="3" t="n">
        <v>2029</v>
      </c>
      <c r="C3181" s="3" t="inlineStr">
        <is>
          <t>Grid-Constrained / Efficiency-Upside</t>
        </is>
      </c>
      <c r="D3181" s="3" t="inlineStr">
        <is>
          <t>ai_workload_share</t>
        </is>
      </c>
      <c r="E3181" s="3" t="n">
        <v>0.86</v>
      </c>
      <c r="F3181" s="3" t="inlineStr">
        <is>
          <t>share</t>
        </is>
      </c>
      <c r="G3181" s="3" t="inlineStr">
        <is>
          <t>Scenario allocation</t>
        </is>
      </c>
      <c r="H3181" s="3" t="inlineStr">
        <is>
          <t>ai_it_load_gw = it_load_gw * ai_workload_share</t>
        </is>
      </c>
      <c r="I3181" s="3" t="inlineStr">
        <is>
          <t>Azure/Copilot serving burden is AI-oriented but shares infrastructure with platform and reserve overhead; 86% is a scenario allocation.</t>
        </is>
      </c>
      <c r="J3181" s="3" t="inlineStr">
        <is>
          <t>SRC_MS_PHI; SRC_OPENAI_GPT41_DOCS; SRC_MS_PHI4_TECHREPORT; SRC_MS_MAIA200; SRC_EPOCH_AI_DATA_CENTERS</t>
        </is>
      </c>
      <c r="K3181" s="3" t="inlineStr">
        <is>
          <t>ASSUMP_POWER_RAMP; ASSUMP_MS_OPENAI_ATTRIBUTION; ASSUMP_NUMERIC_ACCELERATOR_MIX; ASSUMP_INFERENCE_SHARE_NOT_FACT_60; ASSUMP_WORKLOAD_CLASS_MIX; ASSUMP_AGENTIC_CONTEXT_PENALTY</t>
        </is>
      </c>
      <c r="L3181" s="3" t="inlineStr">
        <is>
          <t>Model-owner AI workload allocation or cluster scheduling telemetry.</t>
        </is>
      </c>
    </row>
    <row r="3182">
      <c r="A3182" s="3" t="inlineStr">
        <is>
          <t>Microsoft</t>
        </is>
      </c>
      <c r="B3182" s="3" t="n">
        <v>2029</v>
      </c>
      <c r="C3182" s="3" t="inlineStr">
        <is>
          <t>Grid-Constrained / Efficiency-Upside</t>
        </is>
      </c>
      <c r="D3182" s="3" t="inlineStr">
        <is>
          <t>ai_it_load_gw</t>
        </is>
      </c>
      <c r="E3182" s="3" t="n">
        <v>2.778</v>
      </c>
      <c r="F3182" s="3" t="inlineStr">
        <is>
          <t>GW</t>
        </is>
      </c>
      <c r="G3182" s="3" t="inlineStr">
        <is>
          <t>Derived formula</t>
        </is>
      </c>
      <c r="H3182" s="3" t="inlineStr">
        <is>
          <t>it_load_gw * ai_workload_share</t>
        </is>
      </c>
      <c r="I3182" s="3" t="inlineStr">
        <is>
          <t>Only the AI-attributed portion of IT load enters training/inference allocation.</t>
        </is>
      </c>
      <c r="J3182" s="3" t="inlineStr">
        <is>
          <t>SRC_MS_PHI; SRC_OPENAI_GPT41_DOCS; SRC_MS_PHI4_TECHREPORT; SRC_MS_MAIA200; SRC_EPOCH_AI_DATA_CENTERS</t>
        </is>
      </c>
      <c r="K3182" s="3" t="inlineStr">
        <is>
          <t>ASSUMP_POWER_RAMP; ASSUMP_MS_OPENAI_ATTRIBUTION; ASSUMP_NUMERIC_ACCELERATOR_MIX; ASSUMP_INFERENCE_SHARE_NOT_FACT_60; ASSUMP_WORKLOAD_CLASS_MIX; ASSUMP_AGENTIC_CONTEXT_PENALTY</t>
        </is>
      </c>
      <c r="L3182" s="3" t="inlineStr">
        <is>
          <t>Recompute after ai_workload_share is replaced by telemetry.</t>
        </is>
      </c>
    </row>
    <row r="3183">
      <c r="A3183" s="3" t="inlineStr">
        <is>
          <t>Microsoft</t>
        </is>
      </c>
      <c r="B3183" s="3" t="n">
        <v>2029</v>
      </c>
      <c r="C3183" s="3" t="inlineStr">
        <is>
          <t>Grid-Constrained / Efficiency-Upside</t>
        </is>
      </c>
      <c r="D3183" s="3" t="inlineStr">
        <is>
          <t>gpu_share</t>
        </is>
      </c>
      <c r="E3183" s="3" t="n">
        <v>0.726329</v>
      </c>
      <c r="F3183" s="3" t="inlineStr">
        <is>
          <t>share of inference-serving accelerator load</t>
        </is>
      </c>
      <c r="G3183" s="3" t="inlineStr">
        <is>
          <t>Numeric scenario</t>
        </is>
      </c>
      <c r="H3183" s="3" t="inlineStr">
        <is>
          <t>gpu_share interpolated from company 2026/2030 accelerator-mix endpoints</t>
        </is>
      </c>
      <c r="I3183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83" s="3" t="inlineStr">
        <is>
          <t>SRC_MS_PHI; SRC_OPENAI_GPT41_DOCS; SRC_MS_PHI4_TECHREPORT; SRC_MS_MAIA200; SRC_EPOCH_AI_DATA_CENTERS; ASSUMP_NUMERIC_ACCELERATOR_MIX</t>
        </is>
      </c>
      <c r="K3183" s="3" t="inlineStr">
        <is>
          <t>ASSUMP_POWER_RAMP; ASSUMP_MS_OPENAI_ATTRIBUTION; ASSUMP_NUMERIC_ACCELERATOR_MIX; ASSUMP_INFERENCE_SHARE_NOT_FACT_60; ASSUMP_WORKLOAD_CLASS_MIX; ASSUMP_AGENTIC_CONTEXT_PENALTY</t>
        </is>
      </c>
      <c r="L3183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84">
      <c r="A3184" s="3" t="inlineStr">
        <is>
          <t>Microsoft</t>
        </is>
      </c>
      <c r="B3184" s="3" t="n">
        <v>2029</v>
      </c>
      <c r="C3184" s="3" t="inlineStr">
        <is>
          <t>Grid-Constrained / Efficiency-Upside</t>
        </is>
      </c>
      <c r="D3184" s="3" t="inlineStr">
        <is>
          <t>h200_share</t>
        </is>
      </c>
      <c r="E3184" s="3" t="n">
        <v>0.020598</v>
      </c>
      <c r="F3184" s="3" t="inlineStr">
        <is>
          <t>share of inference-serving accelerator load</t>
        </is>
      </c>
      <c r="G3184" s="3" t="inlineStr">
        <is>
          <t>Editable numeric scenario</t>
        </is>
      </c>
      <c r="H3184" s="3" t="inlineStr">
        <is>
          <t>h200_share = gpu_share * default_gpu_generation_mix_h200</t>
        </is>
      </c>
      <c r="I3184" s="3" t="inlineStr">
        <is>
          <t>Default GPU-generation migration assumption; executive workbook allows later manual replacement by company/year/scenario.</t>
        </is>
      </c>
      <c r="J3184" s="3" t="inlineStr">
        <is>
          <t>SRC_SEMIANALYSIS_INFERENCEX; ASSUMP_NUMERIC_ACCELERATOR_MIX</t>
        </is>
      </c>
      <c r="K3184" s="3" t="inlineStr">
        <is>
          <t>ASSUMP_POWER_RAMP; ASSUMP_MS_OPENAI_ATTRIBUTION; ASSUMP_NUMERIC_ACCELERATOR_MIX; ASSUMP_INFERENCE_SHARE_NOT_FACT_60; ASSUMP_WORKLOAD_CLASS_MIX; ASSUMP_AGENTIC_CONTEXT_PENALTY</t>
        </is>
      </c>
      <c r="L3184" s="3" t="inlineStr">
        <is>
          <t>Company fleet inventory, accelerator-hours or procurement/deployment records by GPU generation.</t>
        </is>
      </c>
    </row>
    <row r="3185">
      <c r="A3185" s="3" t="inlineStr">
        <is>
          <t>Microsoft</t>
        </is>
      </c>
      <c r="B3185" s="3" t="n">
        <v>2029</v>
      </c>
      <c r="C3185" s="3" t="inlineStr">
        <is>
          <t>Grid-Constrained / Efficiency-Upside</t>
        </is>
      </c>
      <c r="D3185" s="3" t="inlineStr">
        <is>
          <t>b200_share</t>
        </is>
      </c>
      <c r="E3185" s="3" t="n">
        <v>0.705731</v>
      </c>
      <c r="F3185" s="3" t="inlineStr">
        <is>
          <t>share of inference-serving accelerator load</t>
        </is>
      </c>
      <c r="G3185" s="3" t="inlineStr">
        <is>
          <t>Editable numeric scenario</t>
        </is>
      </c>
      <c r="H3185" s="3" t="inlineStr">
        <is>
          <t>b200_share = gpu_share * default_gpu_generation_mix_b200</t>
        </is>
      </c>
      <c r="I3185" s="3" t="inlineStr">
        <is>
          <t>Default GPU-generation migration assumption; executive workbook allows later manual replacement by company/year/scenario.</t>
        </is>
      </c>
      <c r="J3185" s="3" t="inlineStr">
        <is>
          <t>SRC_SEMIANALYSIS_INFERENCEX; ASSUMP_NUMERIC_ACCELERATOR_MIX</t>
        </is>
      </c>
      <c r="K3185" s="3" t="inlineStr">
        <is>
          <t>ASSUMP_POWER_RAMP; ASSUMP_MS_OPENAI_ATTRIBUTION; ASSUMP_NUMERIC_ACCELERATOR_MIX; ASSUMP_INFERENCE_SHARE_NOT_FACT_60; ASSUMP_WORKLOAD_CLASS_MIX; ASSUMP_AGENTIC_CONTEXT_PENALTY</t>
        </is>
      </c>
      <c r="L3185" s="3" t="inlineStr">
        <is>
          <t>Company fleet inventory, accelerator-hours or procurement/deployment records by GPU generation.</t>
        </is>
      </c>
    </row>
    <row r="3186">
      <c r="A3186" s="3" t="inlineStr">
        <is>
          <t>Microsoft</t>
        </is>
      </c>
      <c r="B3186" s="3" t="n">
        <v>2029</v>
      </c>
      <c r="C3186" s="3" t="inlineStr">
        <is>
          <t>Grid-Constrained / Efficiency-Upside</t>
        </is>
      </c>
      <c r="D3186" s="3" t="inlineStr">
        <is>
          <t>gb200_share</t>
        </is>
      </c>
      <c r="E3186" s="3" t="n">
        <v>0</v>
      </c>
      <c r="F3186" s="3" t="inlineStr">
        <is>
          <t>share of inference-serving accelerator load</t>
        </is>
      </c>
      <c r="G3186" s="3" t="inlineStr">
        <is>
          <t>Editable numeric scenario</t>
        </is>
      </c>
      <c r="H3186" s="3" t="inlineStr">
        <is>
          <t>gb200_share = gpu_share * default_gpu_generation_mix_gb200</t>
        </is>
      </c>
      <c r="I3186" s="3" t="inlineStr">
        <is>
          <t>Default GPU-generation migration assumption; executive workbook allows later manual replacement by company/year/scenario.</t>
        </is>
      </c>
      <c r="J3186" s="3" t="inlineStr">
        <is>
          <t>SRC_SEMIANALYSIS_INFERENCEX; ASSUMP_NUMERIC_ACCELERATOR_MIX</t>
        </is>
      </c>
      <c r="K3186" s="3" t="inlineStr">
        <is>
          <t>ASSUMP_POWER_RAMP; ASSUMP_MS_OPENAI_ATTRIBUTION; ASSUMP_NUMERIC_ACCELERATOR_MIX; ASSUMP_INFERENCE_SHARE_NOT_FACT_60; ASSUMP_WORKLOAD_CLASS_MIX; ASSUMP_AGENTIC_CONTEXT_PENALTY</t>
        </is>
      </c>
      <c r="L3186" s="3" t="inlineStr">
        <is>
          <t>Company fleet inventory, accelerator-hours or procurement/deployment records by GPU generation.</t>
        </is>
      </c>
    </row>
    <row r="3187">
      <c r="A3187" s="3" t="inlineStr">
        <is>
          <t>Microsoft</t>
        </is>
      </c>
      <c r="B3187" s="3" t="n">
        <v>2029</v>
      </c>
      <c r="C3187" s="3" t="inlineStr">
        <is>
          <t>Grid-Constrained / Efficiency-Upside</t>
        </is>
      </c>
      <c r="D3187" s="3" t="inlineStr">
        <is>
          <t>purpose_built_accelerator_share</t>
        </is>
      </c>
      <c r="E3187" s="3" t="n">
        <v>0.273671</v>
      </c>
      <c r="F3187" s="3" t="inlineStr">
        <is>
          <t>share of inference-serving accelerator load</t>
        </is>
      </c>
      <c r="G3187" s="3" t="inlineStr">
        <is>
          <t>Numeric scenario</t>
        </is>
      </c>
      <c r="H3187" s="3" t="inlineStr">
        <is>
          <t>1 - gpu_share</t>
        </is>
      </c>
      <c r="I3187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187" s="3" t="inlineStr">
        <is>
          <t>SRC_MS_PHI; SRC_OPENAI_GPT41_DOCS; SRC_MS_PHI4_TECHREPORT; SRC_MS_MAIA200; SRC_EPOCH_AI_DATA_CENTERS; ASSUMP_NUMERIC_ACCELERATOR_MIX</t>
        </is>
      </c>
      <c r="K3187" s="3" t="inlineStr">
        <is>
          <t>ASSUMP_POWER_RAMP; ASSUMP_MS_OPENAI_ATTRIBUTION; ASSUMP_NUMERIC_ACCELERATOR_MIX; ASSUMP_INFERENCE_SHARE_NOT_FACT_60; ASSUMP_WORKLOAD_CLASS_MIX; ASSUMP_AGENTIC_CONTEXT_PENALTY</t>
        </is>
      </c>
      <c r="L3187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188">
      <c r="A3188" s="3" t="inlineStr">
        <is>
          <t>Microsoft</t>
        </is>
      </c>
      <c r="B3188" s="3" t="n">
        <v>2029</v>
      </c>
      <c r="C3188" s="3" t="inlineStr">
        <is>
          <t>Grid-Constrained / Efficiency-Upside</t>
        </is>
      </c>
      <c r="D3188" s="3" t="inlineStr">
        <is>
          <t>fleet_reference_tps_per_mw</t>
        </is>
      </c>
      <c r="E3188" s="3" t="n">
        <v>2856801</v>
      </c>
      <c r="F3188" s="3" t="inlineStr">
        <is>
          <t>generated output tokens/sec/MW</t>
        </is>
      </c>
      <c r="G3188" s="3" t="inlineStr">
        <is>
          <t>Fleet-weighted public benchmark reference</t>
        </is>
      </c>
      <c r="H3188" s="3" t="inlineStr">
        <is>
          <t>h200_share*h200_workload_avg + b200_share*b200_workload_avg + gb200_share*gb200_workload_avg + purpose_built_share*purpose_workload_avg</t>
        </is>
      </c>
      <c r="I318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188" s="3" t="inlineStr">
        <is>
          <t>SRC_SEMIANALYSIS_INFERENCEX; ASSUMP_NUMERIC_ACCELERATOR_MIX; ASSUMP_WORKLOAD_CLASS_MIX; ASSUMP_AGENTIC_CONTEXT_PENALTY</t>
        </is>
      </c>
      <c r="K3188" s="3" t="inlineStr">
        <is>
          <t>ASSUMP_POWER_RAMP; ASSUMP_MS_OPENAI_ATTRIBUTION; ASSUMP_NUMERIC_ACCELERATOR_MIX; ASSUMP_INFERENCE_SHARE_NOT_FACT_60; ASSUMP_WORKLOAD_CLASS_MIX; ASSUMP_AGENTIC_CONTEXT_PENALTY</t>
        </is>
      </c>
      <c r="L3188" s="3" t="inlineStr">
        <is>
          <t>Comparable production output-token throughput or a more closely matched benchmark.</t>
        </is>
      </c>
    </row>
    <row r="3189">
      <c r="A3189" s="3" t="inlineStr">
        <is>
          <t>Microsoft</t>
        </is>
      </c>
      <c r="B3189" s="3" t="n">
        <v>2029</v>
      </c>
      <c r="C3189" s="3" t="inlineStr">
        <is>
          <t>Grid-Constrained / Efficiency-Upside</t>
        </is>
      </c>
      <c r="D3189" s="3" t="inlineStr">
        <is>
          <t>commercial_workload_fit_factor</t>
        </is>
      </c>
      <c r="E3189" s="3" t="n">
        <v>0.6</v>
      </c>
      <c r="F3189" s="3" t="inlineStr">
        <is>
          <t>share of public reference throughput</t>
        </is>
      </c>
      <c r="G3189" s="3" t="inlineStr">
        <is>
          <t>Scenario assumption</t>
        </is>
      </c>
      <c r="H3189" s="3" t="inlineStr">
        <is>
          <t>reference_serving_tps_per_mw = fleet_reference_tps_per_mw * commercial_workload_fit_factor</t>
        </is>
      </c>
      <c r="I3189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189" s="3" t="inlineStr">
        <is>
          <t>SRC_SEMIANALYSIS_INFERENCEX; ASSUMP_NUMERIC_ACCELERATOR_MIX; ASSUMP_WORKLOAD_CLASS_MIX; ASSUMP_AGENTIC_CONTEXT_PENALTY</t>
        </is>
      </c>
      <c r="K3189" s="3" t="inlineStr">
        <is>
          <t>ASSUMP_POWER_RAMP; ASSUMP_MS_OPENAI_ATTRIBUTION; ASSUMP_NUMERIC_ACCELERATOR_MIX; ASSUMP_INFERENCE_SHARE_NOT_FACT_60; ASSUMP_WORKLOAD_CLASS_MIX; ASSUMP_AGENTIC_CONTEXT_PENALTY</t>
        </is>
      </c>
      <c r="L3189" s="3" t="inlineStr">
        <is>
          <t>Matched commercial serving benchmark by product surface, context shape and latency SLO.</t>
        </is>
      </c>
    </row>
    <row r="3190">
      <c r="A3190" s="3" t="inlineStr">
        <is>
          <t>Microsoft</t>
        </is>
      </c>
      <c r="B3190" s="3" t="n">
        <v>2029</v>
      </c>
      <c r="C3190" s="3" t="inlineStr">
        <is>
          <t>Grid-Constrained / Efficiency-Upside</t>
        </is>
      </c>
      <c r="D3190" s="3" t="inlineStr">
        <is>
          <t>reference_serving_tps_per_mw</t>
        </is>
      </c>
      <c r="E3190" s="3" t="n">
        <v>1714081</v>
      </c>
      <c r="F3190" s="3" t="inlineStr">
        <is>
          <t>generated output tokens/sec/MW</t>
        </is>
      </c>
      <c r="G3190" s="3" t="inlineStr">
        <is>
          <t>Workload-adjusted benchmark proxy</t>
        </is>
      </c>
      <c r="H3190" s="3" t="inlineStr">
        <is>
          <t>fleet_reference_tps_per_mw * commercial_workload_fit_factor</t>
        </is>
      </c>
      <c r="I3190" s="3" t="inlineStr">
        <is>
          <t>This is the coefficient used for headline token generation; each GPU's short chat, long chat and agentic TPS/MW are weighted before fleet mix and commercial fit are applied.</t>
        </is>
      </c>
      <c r="J3190" s="3" t="inlineStr">
        <is>
          <t>SRC_SEMIANALYSIS_INFERENCEX; ASSUMP_NUMERIC_ACCELERATOR_MIX; ASSUMP_WORKLOAD_CLASS_MIX; ASSUMP_AGENTIC_CONTEXT_PENALTY</t>
        </is>
      </c>
      <c r="K3190" s="3" t="inlineStr">
        <is>
          <t>ASSUMP_POWER_RAMP; ASSUMP_MS_OPENAI_ATTRIBUTION; ASSUMP_NUMERIC_ACCELERATOR_MIX; ASSUMP_INFERENCE_SHARE_NOT_FACT_60; ASSUMP_WORKLOAD_CLASS_MIX; ASSUMP_AGENTIC_CONTEXT_PENALTY</t>
        </is>
      </c>
      <c r="L3190" s="3" t="inlineStr">
        <is>
          <t>Provider production output-token throughput with comparable workload/SLO.</t>
        </is>
      </c>
    </row>
    <row r="3191">
      <c r="A3191" s="3" t="inlineStr">
        <is>
          <t>Microsoft</t>
        </is>
      </c>
      <c r="B3191" s="3" t="n">
        <v>2029</v>
      </c>
      <c r="C3191" s="3" t="inlineStr">
        <is>
          <t>Grid-Constrained / Efficiency-Upside</t>
        </is>
      </c>
      <c r="D3191" s="3" t="inlineStr">
        <is>
          <t>purpose_built_tps_per_mw</t>
        </is>
      </c>
      <c r="E3191" s="3" t="n">
        <v>2710180</v>
      </c>
      <c r="F3191" s="3" t="inlineStr">
        <is>
          <t>generated output tokens/sec/MW</t>
        </is>
      </c>
      <c r="G3191" s="3" t="inlineStr">
        <is>
          <t>Conservative no-uplift proxy</t>
        </is>
      </c>
      <c r="H3191" s="3" t="inlineStr">
        <is>
          <t>purpose_built_tps_per_mw = purpose_built_reference_tps_per_mw * commercial_workload_fit_factor until comparable output-token benchmark is adopted</t>
        </is>
      </c>
      <c r="I3191" s="3" t="inlineStr">
        <is>
          <t>No comparable public output-token/MW row adopted; B200 public reference placeholder is used and remains editable.</t>
        </is>
      </c>
      <c r="J3191" s="3" t="inlineStr">
        <is>
          <t>SRC_MS_PHI; SRC_OPENAI_GPT41_DOCS; SRC_MS_PHI4_TECHREPORT; SRC_MS_MAIA200; SRC_EPOCH_AI_DATA_CENTERS; ASSUMP_NUMERIC_ACCELERATOR_MIX</t>
        </is>
      </c>
      <c r="K3191" s="3" t="inlineStr">
        <is>
          <t>ASSUMP_POWER_RAMP; ASSUMP_MS_OPENAI_ATTRIBUTION; ASSUMP_NUMERIC_ACCELERATOR_MIX; ASSUMP_INFERENCE_SHARE_NOT_FACT_60; ASSUMP_WORKLOAD_CLASS_MIX; ASSUMP_AGENTIC_CONTEXT_PENALTY</t>
        </is>
      </c>
      <c r="L3191" s="3" t="inlineStr">
        <is>
          <t>Matched-workload generated-output benchmark for the provider purpose-built accelerator.</t>
        </is>
      </c>
    </row>
    <row r="3192">
      <c r="A3192" s="3" t="inlineStr">
        <is>
          <t>Microsoft</t>
        </is>
      </c>
      <c r="B3192" s="3" t="n">
        <v>2029</v>
      </c>
      <c r="C3192" s="3" t="inlineStr">
        <is>
          <t>Grid-Constrained / Efficiency-Upside</t>
        </is>
      </c>
      <c r="D3192" s="3" t="inlineStr">
        <is>
          <t>inference_power_share</t>
        </is>
      </c>
      <c r="E3192" s="3" t="n">
        <v>0.735</v>
      </c>
      <c r="F3192" s="3" t="inlineStr">
        <is>
          <t>share of AI IT load</t>
        </is>
      </c>
      <c r="G3192" s="3" t="inlineStr">
        <is>
          <t>Scenario allocation</t>
        </is>
      </c>
      <c r="H3192" s="3" t="inlineStr">
        <is>
          <t>inference_gw = ai_it_load_gw * inference_power_share</t>
        </is>
      </c>
      <c r="I3192" s="3" t="inlineStr">
        <is>
          <t>Copilot commercial serving growth supports rising inference allocation; OpenAI model-owner output must remain separately attributed.</t>
        </is>
      </c>
      <c r="J3192" s="3" t="inlineStr">
        <is>
          <t>SRC_MS_PHI; SRC_OPENAI_GPT41_DOCS; SRC_MS_PHI4_TECHREPORT; SRC_MS_MAIA200; SRC_EPOCH_AI_DATA_CENTERS; ASSUMP_INFERENCE_SHARE_NOT_FACT_60</t>
        </is>
      </c>
      <c r="K3192" s="3" t="inlineStr">
        <is>
          <t>ASSUMP_POWER_RAMP; ASSUMP_MS_OPENAI_ATTRIBUTION; ASSUMP_NUMERIC_ACCELERATOR_MIX; ASSUMP_INFERENCE_SHARE_NOT_FACT_60; ASSUMP_WORKLOAD_CLASS_MIX; ASSUMP_AGENTIC_CONTEXT_PENALTY</t>
        </is>
      </c>
      <c r="L3192" s="3" t="inlineStr">
        <is>
          <t>Provider-specific inference/training workload power telemetry.</t>
        </is>
      </c>
    </row>
    <row r="3193">
      <c r="A3193" s="3" t="inlineStr">
        <is>
          <t>Microsoft</t>
        </is>
      </c>
      <c r="B3193" s="3" t="n">
        <v>2029</v>
      </c>
      <c r="C3193" s="3" t="inlineStr">
        <is>
          <t>Grid-Constrained / Efficiency-Upside</t>
        </is>
      </c>
      <c r="D3193" s="3" t="inlineStr">
        <is>
          <t>inference_gw</t>
        </is>
      </c>
      <c r="E3193" s="3" t="n">
        <v>2.042</v>
      </c>
      <c r="F3193" s="3" t="inlineStr">
        <is>
          <t>GW</t>
        </is>
      </c>
      <c r="G3193" s="3" t="inlineStr">
        <is>
          <t>Derived formula</t>
        </is>
      </c>
      <c r="H3193" s="3" t="inlineStr">
        <is>
          <t>ai_it_load_gw * inference_power_share</t>
        </is>
      </c>
      <c r="I3193" s="3" t="inlineStr">
        <is>
          <t>This is the operational power eligible to become commercial generated output tokens through the selected TPS/MW proxy.</t>
        </is>
      </c>
      <c r="J3193" s="3" t="inlineStr">
        <is>
          <t>SRC_MS_PHI; SRC_OPENAI_GPT41_DOCS; SRC_MS_PHI4_TECHREPORT; SRC_MS_MAIA200; SRC_EPOCH_AI_DATA_CENTERS</t>
        </is>
      </c>
      <c r="K3193" s="3" t="inlineStr">
        <is>
          <t>ASSUMP_POWER_RAMP; ASSUMP_MS_OPENAI_ATTRIBUTION; ASSUMP_NUMERIC_ACCELERATOR_MIX; ASSUMP_INFERENCE_SHARE_NOT_FACT_60; ASSUMP_WORKLOAD_CLASS_MIX; ASSUMP_AGENTIC_CONTEXT_PENALTY</t>
        </is>
      </c>
      <c r="L3193" s="3" t="inlineStr">
        <is>
          <t>Recompute after AI allocation or inference-share evidence changes.</t>
        </is>
      </c>
    </row>
    <row r="3194">
      <c r="A3194" s="3" t="inlineStr">
        <is>
          <t>Microsoft</t>
        </is>
      </c>
      <c r="B3194" s="3" t="n">
        <v>2029</v>
      </c>
      <c r="C3194" s="3" t="inlineStr">
        <is>
          <t>Grid-Constrained / Efficiency-Upside</t>
        </is>
      </c>
      <c r="D3194" s="3" t="inlineStr">
        <is>
          <t>training_power_share</t>
        </is>
      </c>
      <c r="E3194" s="3" t="n">
        <v>0.265</v>
      </c>
      <c r="F3194" s="3" t="inlineStr">
        <is>
          <t>share of AI IT load</t>
        </is>
      </c>
      <c r="G3194" s="3" t="inlineStr">
        <is>
          <t>Derived allocation</t>
        </is>
      </c>
      <c r="H3194" s="3" t="inlineStr">
        <is>
          <t>1 - inference_power_share</t>
        </is>
      </c>
      <c r="I3194" s="3" t="inlineStr">
        <is>
          <t>Training receives the complementary modeled AI IT allocation; it is not a disclosed company workload split.</t>
        </is>
      </c>
      <c r="J3194" s="3" t="inlineStr">
        <is>
          <t>SRC_MS_PHI; SRC_OPENAI_GPT41_DOCS; SRC_MS_PHI4_TECHREPORT; SRC_MS_MAIA200; SRC_EPOCH_AI_DATA_CENTERS; ASSUMP_INFERENCE_SHARE_NOT_FACT_60</t>
        </is>
      </c>
      <c r="K3194" s="3" t="inlineStr">
        <is>
          <t>ASSUMP_POWER_RAMP; ASSUMP_MS_OPENAI_ATTRIBUTION; ASSUMP_NUMERIC_ACCELERATOR_MIX; ASSUMP_INFERENCE_SHARE_NOT_FACT_60; ASSUMP_WORKLOAD_CLASS_MIX; ASSUMP_AGENTIC_CONTEXT_PENALTY</t>
        </is>
      </c>
      <c r="L3194" s="3" t="inlineStr">
        <is>
          <t>Provider-specific inference/training workload power telemetry.</t>
        </is>
      </c>
    </row>
    <row r="3195">
      <c r="A3195" s="3" t="inlineStr">
        <is>
          <t>Microsoft</t>
        </is>
      </c>
      <c r="B3195" s="3" t="n">
        <v>2029</v>
      </c>
      <c r="C3195" s="3" t="inlineStr">
        <is>
          <t>Grid-Constrained / Efficiency-Upside</t>
        </is>
      </c>
      <c r="D3195" s="3" t="inlineStr">
        <is>
          <t>training_gw</t>
        </is>
      </c>
      <c r="E3195" s="3" t="n">
        <v>0.736</v>
      </c>
      <c r="F3195" s="3" t="inlineStr">
        <is>
          <t>GW</t>
        </is>
      </c>
      <c r="G3195" s="3" t="inlineStr">
        <is>
          <t>Derived formula</t>
        </is>
      </c>
      <c r="H3195" s="3" t="inlineStr">
        <is>
          <t>ai_it_load_gw * training_power_share</t>
        </is>
      </c>
      <c r="I3195" s="3" t="inlineStr">
        <is>
          <t>Training GW is shown separately so commercial inference token capacity is not overstated.</t>
        </is>
      </c>
      <c r="J3195" s="3" t="inlineStr">
        <is>
          <t>SRC_MS_PHI; SRC_OPENAI_GPT41_DOCS; SRC_MS_PHI4_TECHREPORT; SRC_MS_MAIA200; SRC_EPOCH_AI_DATA_CENTERS</t>
        </is>
      </c>
      <c r="K3195" s="3" t="inlineStr">
        <is>
          <t>ASSUMP_POWER_RAMP; ASSUMP_MS_OPENAI_ATTRIBUTION; ASSUMP_NUMERIC_ACCELERATOR_MIX; ASSUMP_INFERENCE_SHARE_NOT_FACT_60; ASSUMP_WORKLOAD_CLASS_MIX; ASSUMP_AGENTIC_CONTEXT_PENALTY</t>
        </is>
      </c>
      <c r="L3195" s="3" t="inlineStr">
        <is>
          <t>Recompute after AI allocation or workload-split evidence changes.</t>
        </is>
      </c>
    </row>
    <row r="3196">
      <c r="A3196" s="3" t="inlineStr">
        <is>
          <t>Microsoft</t>
        </is>
      </c>
      <c r="B3196" s="3" t="n">
        <v>2029</v>
      </c>
      <c r="C3196" s="3" t="inlineStr">
        <is>
          <t>Grid-Constrained / Efficiency-Upside</t>
        </is>
      </c>
      <c r="D3196" s="3" t="inlineStr">
        <is>
          <t>tokens_per_second_per_mw</t>
        </is>
      </c>
      <c r="E3196" s="3" t="n">
        <v>1714081</v>
      </c>
      <c r="F3196" s="3" t="inlineStr">
        <is>
          <t>generated output tokens/sec/MW</t>
        </is>
      </c>
      <c r="G3196" s="3" t="inlineStr">
        <is>
          <t>Derived estimate + benchmark calibration</t>
        </is>
      </c>
      <c r="H3196" s="3" t="inlineStr">
        <is>
          <t>fleet_reference_tps_per_mw * commercial_workload_fit_factor</t>
        </is>
      </c>
      <c r="I3196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196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196" s="3" t="inlineStr">
        <is>
          <t>ASSUMP_POWER_RAMP; ASSUMP_MS_OPENAI_ATTRIBUTION; ASSUMP_NUMERIC_ACCELERATOR_MIX; ASSUMP_INFERENCE_SHARE_NOT_FACT_60; ASSUMP_WORKLOAD_CLASS_MIX; ASSUMP_AGENTIC_CONTEXT_PENALTY</t>
        </is>
      </c>
      <c r="L3196" s="3" t="inlineStr">
        <is>
          <t>Comparable production output-token throughput with model, hardware, precision, ISL/OSL and SLO matched.</t>
        </is>
      </c>
    </row>
    <row r="3197">
      <c r="A3197" s="3" t="inlineStr">
        <is>
          <t>Microsoft</t>
        </is>
      </c>
      <c r="B3197" s="3" t="n">
        <v>2029</v>
      </c>
      <c r="C3197" s="3" t="inlineStr">
        <is>
          <t>Grid-Constrained / Efficiency-Upside</t>
        </is>
      </c>
      <c r="D3197" s="3" t="inlineStr">
        <is>
          <t>inference_tokens_per_day</t>
        </is>
      </c>
      <c r="E3197" s="3" t="n">
        <v>302413253932800</v>
      </c>
      <c r="F3197" s="3" t="inlineStr">
        <is>
          <t>generated output tokens/day</t>
        </is>
      </c>
      <c r="G3197" s="3" t="inlineStr">
        <is>
          <t>Derived headline metric</t>
        </is>
      </c>
      <c r="H3197" s="3" t="inlineStr">
        <is>
          <t>inference_gw * 1000 * tokens_per_second_per_mw * 86,400</t>
        </is>
      </c>
      <c r="I3197" s="3" t="inlineStr">
        <is>
          <t>Headline capacity uses no utilization, MoE, architecture or software-growth multiplier; it is not observed commercial output volume.</t>
        </is>
      </c>
      <c r="J3197" s="3" t="inlineStr">
        <is>
          <t>SRC_MS_PHI; SRC_OPENAI_GPT41_DOCS; SRC_MS_PHI4_TECHREPORT; SRC_MS_MAIA200; SRC_EPOCH_AI_DATA_CENTERS; SRC_SEMIANALYSIS_INFERENCEX</t>
        </is>
      </c>
      <c r="K3197" s="3" t="inlineStr">
        <is>
          <t>ASSUMP_POWER_RAMP; ASSUMP_MS_OPENAI_ATTRIBUTION; ASSUMP_NUMERIC_ACCELERATOR_MIX; ASSUMP_INFERENCE_SHARE_NOT_FACT_60; ASSUMP_WORKLOAD_CLASS_MIX; ASSUMP_AGENTIC_CONTEXT_PENALTY</t>
        </is>
      </c>
      <c r="L3197" s="3" t="inlineStr">
        <is>
          <t>Provider-disclosed generated output token volume or calibrated capacity telemetry.</t>
        </is>
      </c>
    </row>
    <row r="3198">
      <c r="A3198" s="3" t="inlineStr">
        <is>
          <t>Microsoft</t>
        </is>
      </c>
      <c r="B3198" s="3" t="n">
        <v>2029</v>
      </c>
      <c r="C3198" s="3" t="inlineStr">
        <is>
          <t>Grid-Constrained / Efficiency-Upside</t>
        </is>
      </c>
      <c r="D3198" s="3" t="inlineStr">
        <is>
          <t>inference_tokens_per_year</t>
        </is>
      </c>
      <c r="E3198" s="3" t="n">
        <v>1.10380837685472e+17</v>
      </c>
      <c r="F3198" s="3" t="inlineStr">
        <is>
          <t>generated output tokens/year</t>
        </is>
      </c>
      <c r="G3198" s="3" t="inlineStr">
        <is>
          <t>Derived headline metric</t>
        </is>
      </c>
      <c r="H3198" s="3" t="inlineStr">
        <is>
          <t>inference_tokens_per_day * 365</t>
        </is>
      </c>
      <c r="I3198" s="3" t="inlineStr">
        <is>
          <t>Annualized version of generated output token capacity; it is not observed annual demand or billable volume.</t>
        </is>
      </c>
      <c r="J3198" s="3" t="inlineStr">
        <is>
          <t>SRC_MS_PHI; SRC_OPENAI_GPT41_DOCS; SRC_MS_PHI4_TECHREPORT; SRC_MS_MAIA200; SRC_EPOCH_AI_DATA_CENTERS; SRC_SEMIANALYSIS_INFERENCEX</t>
        </is>
      </c>
      <c r="K3198" s="3" t="inlineStr">
        <is>
          <t>ASSUMP_POWER_RAMP; ASSUMP_MS_OPENAI_ATTRIBUTION; ASSUMP_NUMERIC_ACCELERATOR_MIX; ASSUMP_INFERENCE_SHARE_NOT_FACT_60; ASSUMP_WORKLOAD_CLASS_MIX; ASSUMP_AGENTIC_CONTEXT_PENALTY</t>
        </is>
      </c>
      <c r="L3198" s="3" t="inlineStr">
        <is>
          <t>Provider-disclosed annual generated-output volume or metered serving telemetry.</t>
        </is>
      </c>
    </row>
    <row r="3199">
      <c r="A3199" s="3" t="inlineStr">
        <is>
          <t>Microsoft</t>
        </is>
      </c>
      <c r="B3199" s="3" t="n">
        <v>2030</v>
      </c>
      <c r="C3199" s="3" t="inlineStr">
        <is>
          <t>Grid-Constrained / Efficiency-Upside</t>
        </is>
      </c>
      <c r="D3199" s="3" t="inlineStr">
        <is>
          <t>contracted_power_gw</t>
        </is>
      </c>
      <c r="E3199" s="3" t="n">
        <v>9</v>
      </c>
      <c r="F3199" s="3" t="inlineStr">
        <is>
          <t>GW</t>
        </is>
      </c>
      <c r="G3199" s="3" t="inlineStr">
        <is>
          <t>Scenario capacity envelope</t>
        </is>
      </c>
      <c r="H3199" s="3" t="inlineStr">
        <is>
          <t>linear interpolation between 2026 and 2030 company capacity endpoints</t>
        </is>
      </c>
      <c r="I3199" s="3" t="inlineStr">
        <is>
          <t>Scenario envelope for Microsoft-controlled/Copilot serving burden; not an official contracted-GW disclosure.</t>
        </is>
      </c>
      <c r="J3199" s="3" t="inlineStr">
        <is>
          <t>ASSUMP_POWER_RAMP; SRC_MS_MAIA200</t>
        </is>
      </c>
      <c r="K3199" s="3" t="inlineStr">
        <is>
          <t>ASSUMP_POWER_RAMP; ASSUMP_MS_OPENAI_ATTRIBUTION; ASSUMP_NUMERIC_ACCELERATOR_MIX; ASSUMP_INFERENCE_SHARE_NOT_FACT_60; ASSUMP_WORKLOAD_CLASS_MIX; ASSUMP_AGENTIC_CONTEXT_PENALTY</t>
        </is>
      </c>
      <c r="L3199" s="3" t="inlineStr">
        <is>
          <t>Company/site-level committed MW/GW, interconnect and contract disclosure.</t>
        </is>
      </c>
    </row>
    <row r="3200">
      <c r="A3200" s="3" t="inlineStr">
        <is>
          <t>Microsoft</t>
        </is>
      </c>
      <c r="B3200" s="3" t="n">
        <v>2030</v>
      </c>
      <c r="C3200" s="3" t="inlineStr">
        <is>
          <t>Grid-Constrained / Efficiency-Upside</t>
        </is>
      </c>
      <c r="D3200" s="3" t="inlineStr">
        <is>
          <t>operational_deployment_share</t>
        </is>
      </c>
      <c r="E3200" s="3" t="n">
        <v>0.496</v>
      </c>
      <c r="F3200" s="3" t="inlineStr">
        <is>
          <t>share</t>
        </is>
      </c>
      <c r="G3200" s="3" t="inlineStr">
        <is>
          <t>Scenario conversion</t>
        </is>
      </c>
      <c r="H3200" s="3" t="inlineStr">
        <is>
          <t>active_power_gw / contracted_power_gw</t>
        </is>
      </c>
      <c r="I3200" s="3" t="inlineStr">
        <is>
          <t>This is the single explicit conversion from contracted/attributed capacity to operationally usable capacity.</t>
        </is>
      </c>
      <c r="J3200" s="3" t="inlineStr">
        <is>
          <t>ASSUMP_POWER_RAMP; SRC_MS_MAIA200</t>
        </is>
      </c>
      <c r="K3200" s="3" t="inlineStr">
        <is>
          <t>ASSUMP_POWER_RAMP; ASSUMP_MS_OPENAI_ATTRIBUTION; ASSUMP_NUMERIC_ACCELERATOR_MIX; ASSUMP_INFERENCE_SHARE_NOT_FACT_60; ASSUMP_WORKLOAD_CLASS_MIX; ASSUMP_AGENTIC_CONTEXT_PENALTY</t>
        </is>
      </c>
      <c r="L3200" s="3" t="inlineStr">
        <is>
          <t>Energized operational capacity divided by contracted/attributed capacity.</t>
        </is>
      </c>
    </row>
    <row r="3201">
      <c r="A3201" s="3" t="inlineStr">
        <is>
          <t>Microsoft</t>
        </is>
      </c>
      <c r="B3201" s="3" t="n">
        <v>2030</v>
      </c>
      <c r="C3201" s="3" t="inlineStr">
        <is>
          <t>Grid-Constrained / Efficiency-Upside</t>
        </is>
      </c>
      <c r="D3201" s="3" t="inlineStr">
        <is>
          <t>active_power_gw</t>
        </is>
      </c>
      <c r="E3201" s="3" t="n">
        <v>4.464</v>
      </c>
      <c r="F3201" s="3" t="inlineStr">
        <is>
          <t>GW</t>
        </is>
      </c>
      <c r="G3201" s="3" t="inlineStr">
        <is>
          <t>Derived scenario</t>
        </is>
      </c>
      <c r="H3201" s="3" t="inlineStr">
        <is>
          <t>contracted_power_gw * operational_deployment_share</t>
        </is>
      </c>
      <c r="I3201" s="3" t="inlineStr">
        <is>
          <t>Active GW is a staged operational deployment fraction of modeled capacity, reflecting site energization and accelerator availability.</t>
        </is>
      </c>
      <c r="J3201" s="3" t="inlineStr">
        <is>
          <t>ASSUMP_POWER_RAMP; SRC_MS_MAIA200</t>
        </is>
      </c>
      <c r="K3201" s="3" t="inlineStr">
        <is>
          <t>ASSUMP_POWER_RAMP; ASSUMP_MS_OPENAI_ATTRIBUTION; ASSUMP_NUMERIC_ACCELERATOR_MIX; ASSUMP_INFERENCE_SHARE_NOT_FACT_60; ASSUMP_WORKLOAD_CLASS_MIX; ASSUMP_AGENTIC_CONTEXT_PENALTY</t>
        </is>
      </c>
      <c r="L3201" s="3" t="inlineStr">
        <is>
          <t>Energization dates, accelerator deliveries and operational powered-rack telemetry.</t>
        </is>
      </c>
    </row>
    <row r="3202">
      <c r="A3202" s="3" t="inlineStr">
        <is>
          <t>Microsoft</t>
        </is>
      </c>
      <c r="B3202" s="3" t="n">
        <v>2030</v>
      </c>
      <c r="C3202" s="3" t="inlineStr">
        <is>
          <t>Grid-Constrained / Efficiency-Upside</t>
        </is>
      </c>
      <c r="D3202" s="3" t="inlineStr">
        <is>
          <t>pue</t>
        </is>
      </c>
      <c r="E3202" s="3" t="n">
        <v>1.2</v>
      </c>
      <c r="F3202" s="3" t="inlineStr">
        <is>
          <t>ratio</t>
        </is>
      </c>
      <c r="G3202" s="3" t="inlineStr">
        <is>
          <t>Scenario parameter</t>
        </is>
      </c>
      <c r="H3202" s="3" t="inlineStr">
        <is>
          <t>it_load_gw = active_power_gw / pue</t>
        </is>
      </c>
      <c r="I3202" s="3" t="inlineStr">
        <is>
          <t>No provider-wide site-level PUE is used as a disclosed fact; PUE represents facility-to-IT conversion within the scenario.</t>
        </is>
      </c>
      <c r="J3202" s="3" t="inlineStr">
        <is>
          <t>ASSUMP_POWER_RAMP</t>
        </is>
      </c>
      <c r="K3202" s="3" t="inlineStr">
        <is>
          <t>ASSUMP_POWER_RAMP; ASSUMP_MS_OPENAI_ATTRIBUTION; ASSUMP_NUMERIC_ACCELERATOR_MIX; ASSUMP_INFERENCE_SHARE_NOT_FACT_60; ASSUMP_WORKLOAD_CLASS_MIX; ASSUMP_AGENTIC_CONTEXT_PENALTY</t>
        </is>
      </c>
      <c r="L3202" s="3" t="inlineStr">
        <is>
          <t>Site-level measured PUE matched to attributed AI capacity.</t>
        </is>
      </c>
    </row>
    <row r="3203">
      <c r="A3203" s="3" t="inlineStr">
        <is>
          <t>Microsoft</t>
        </is>
      </c>
      <c r="B3203" s="3" t="n">
        <v>2030</v>
      </c>
      <c r="C3203" s="3" t="inlineStr">
        <is>
          <t>Grid-Constrained / Efficiency-Upside</t>
        </is>
      </c>
      <c r="D3203" s="3" t="inlineStr">
        <is>
          <t>it_load_gw</t>
        </is>
      </c>
      <c r="E3203" s="3" t="n">
        <v>3.72</v>
      </c>
      <c r="F3203" s="3" t="inlineStr">
        <is>
          <t>GW</t>
        </is>
      </c>
      <c r="G3203" s="3" t="inlineStr">
        <is>
          <t>Derived formula</t>
        </is>
      </c>
      <c r="H3203" s="3" t="inlineStr">
        <is>
          <t>active_power_gw / pue</t>
        </is>
      </c>
      <c r="I3203" s="3" t="inlineStr">
        <is>
          <t>Facility power is converted to IT-deliverable power before attributing AI workloads.</t>
        </is>
      </c>
      <c r="J3203" s="3" t="inlineStr">
        <is>
          <t>ASSUMP_POWER_RAMP; SRC_MS_MAIA200</t>
        </is>
      </c>
      <c r="K3203" s="3" t="inlineStr">
        <is>
          <t>ASSUMP_POWER_RAMP; ASSUMP_MS_OPENAI_ATTRIBUTION; ASSUMP_NUMERIC_ACCELERATOR_MIX; ASSUMP_INFERENCE_SHARE_NOT_FACT_60; ASSUMP_WORKLOAD_CLASS_MIX; ASSUMP_AGENTIC_CONTEXT_PENALTY</t>
        </is>
      </c>
      <c r="L3203" s="3" t="inlineStr">
        <is>
          <t>Recompute once active power and PUE become site-observable.</t>
        </is>
      </c>
    </row>
    <row r="3204">
      <c r="A3204" s="3" t="inlineStr">
        <is>
          <t>Microsoft</t>
        </is>
      </c>
      <c r="B3204" s="3" t="n">
        <v>2030</v>
      </c>
      <c r="C3204" s="3" t="inlineStr">
        <is>
          <t>Grid-Constrained / Efficiency-Upside</t>
        </is>
      </c>
      <c r="D3204" s="3" t="inlineStr">
        <is>
          <t>ai_workload_share</t>
        </is>
      </c>
      <c r="E3204" s="3" t="n">
        <v>0.86</v>
      </c>
      <c r="F3204" s="3" t="inlineStr">
        <is>
          <t>share</t>
        </is>
      </c>
      <c r="G3204" s="3" t="inlineStr">
        <is>
          <t>Scenario allocation</t>
        </is>
      </c>
      <c r="H3204" s="3" t="inlineStr">
        <is>
          <t>ai_it_load_gw = it_load_gw * ai_workload_share</t>
        </is>
      </c>
      <c r="I3204" s="3" t="inlineStr">
        <is>
          <t>Azure/Copilot serving burden is AI-oriented but shares infrastructure with platform and reserve overhead; 86% is a scenario allocation.</t>
        </is>
      </c>
      <c r="J3204" s="3" t="inlineStr">
        <is>
          <t>SRC_MS_PHI; SRC_OPENAI_GPT41_DOCS; SRC_MS_PHI4_TECHREPORT; SRC_MS_MAIA200; SRC_EPOCH_AI_DATA_CENTERS</t>
        </is>
      </c>
      <c r="K3204" s="3" t="inlineStr">
        <is>
          <t>ASSUMP_POWER_RAMP; ASSUMP_MS_OPENAI_ATTRIBUTION; ASSUMP_NUMERIC_ACCELERATOR_MIX; ASSUMP_INFERENCE_SHARE_NOT_FACT_60; ASSUMP_WORKLOAD_CLASS_MIX; ASSUMP_AGENTIC_CONTEXT_PENALTY</t>
        </is>
      </c>
      <c r="L3204" s="3" t="inlineStr">
        <is>
          <t>Model-owner AI workload allocation or cluster scheduling telemetry.</t>
        </is>
      </c>
    </row>
    <row r="3205">
      <c r="A3205" s="3" t="inlineStr">
        <is>
          <t>Microsoft</t>
        </is>
      </c>
      <c r="B3205" s="3" t="n">
        <v>2030</v>
      </c>
      <c r="C3205" s="3" t="inlineStr">
        <is>
          <t>Grid-Constrained / Efficiency-Upside</t>
        </is>
      </c>
      <c r="D3205" s="3" t="inlineStr">
        <is>
          <t>ai_it_load_gw</t>
        </is>
      </c>
      <c r="E3205" s="3" t="n">
        <v>3.199</v>
      </c>
      <c r="F3205" s="3" t="inlineStr">
        <is>
          <t>GW</t>
        </is>
      </c>
      <c r="G3205" s="3" t="inlineStr">
        <is>
          <t>Derived formula</t>
        </is>
      </c>
      <c r="H3205" s="3" t="inlineStr">
        <is>
          <t>it_load_gw * ai_workload_share</t>
        </is>
      </c>
      <c r="I3205" s="3" t="inlineStr">
        <is>
          <t>Only the AI-attributed portion of IT load enters training/inference allocation.</t>
        </is>
      </c>
      <c r="J3205" s="3" t="inlineStr">
        <is>
          <t>SRC_MS_PHI; SRC_OPENAI_GPT41_DOCS; SRC_MS_PHI4_TECHREPORT; SRC_MS_MAIA200; SRC_EPOCH_AI_DATA_CENTERS</t>
        </is>
      </c>
      <c r="K3205" s="3" t="inlineStr">
        <is>
          <t>ASSUMP_POWER_RAMP; ASSUMP_MS_OPENAI_ATTRIBUTION; ASSUMP_NUMERIC_ACCELERATOR_MIX; ASSUMP_INFERENCE_SHARE_NOT_FACT_60; ASSUMP_WORKLOAD_CLASS_MIX; ASSUMP_AGENTIC_CONTEXT_PENALTY</t>
        </is>
      </c>
      <c r="L3205" s="3" t="inlineStr">
        <is>
          <t>Recompute after ai_workload_share is replaced by telemetry.</t>
        </is>
      </c>
    </row>
    <row r="3206">
      <c r="A3206" s="3" t="inlineStr">
        <is>
          <t>Microsoft</t>
        </is>
      </c>
      <c r="B3206" s="3" t="n">
        <v>2030</v>
      </c>
      <c r="C3206" s="3" t="inlineStr">
        <is>
          <t>Grid-Constrained / Efficiency-Upside</t>
        </is>
      </c>
      <c r="D3206" s="3" t="inlineStr">
        <is>
          <t>gpu_share</t>
        </is>
      </c>
      <c r="E3206" s="3" t="n">
        <v>0.726329</v>
      </c>
      <c r="F3206" s="3" t="inlineStr">
        <is>
          <t>share of inference-serving accelerator load</t>
        </is>
      </c>
      <c r="G3206" s="3" t="inlineStr">
        <is>
          <t>Numeric scenario</t>
        </is>
      </c>
      <c r="H3206" s="3" t="inlineStr">
        <is>
          <t>gpu_share interpolated from company 2026/2030 accelerator-mix endpoints</t>
        </is>
      </c>
      <c r="I3206" s="3" t="inlineStr">
        <is>
          <t>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206" s="3" t="inlineStr">
        <is>
          <t>SRC_MS_PHI; SRC_OPENAI_GPT41_DOCS; SRC_MS_PHI4_TECHREPORT; SRC_MS_MAIA200; SRC_EPOCH_AI_DATA_CENTERS; ASSUMP_NUMERIC_ACCELERATOR_MIX</t>
        </is>
      </c>
      <c r="K3206" s="3" t="inlineStr">
        <is>
          <t>ASSUMP_POWER_RAMP; ASSUMP_MS_OPENAI_ATTRIBUTION; ASSUMP_NUMERIC_ACCELERATOR_MIX; ASSUMP_INFERENCE_SHARE_NOT_FACT_60; ASSUMP_WORKLOAD_CLASS_MIX; ASSUMP_AGENTIC_CONTEXT_PENALTY</t>
        </is>
      </c>
      <c r="L3206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207">
      <c r="A3207" s="3" t="inlineStr">
        <is>
          <t>Microsoft</t>
        </is>
      </c>
      <c r="B3207" s="3" t="n">
        <v>2030</v>
      </c>
      <c r="C3207" s="3" t="inlineStr">
        <is>
          <t>Grid-Constrained / Efficiency-Upside</t>
        </is>
      </c>
      <c r="D3207" s="3" t="inlineStr">
        <is>
          <t>h200_share</t>
        </is>
      </c>
      <c r="E3207" s="3" t="n">
        <v>0.020598</v>
      </c>
      <c r="F3207" s="3" t="inlineStr">
        <is>
          <t>share of inference-serving accelerator load</t>
        </is>
      </c>
      <c r="G3207" s="3" t="inlineStr">
        <is>
          <t>Editable numeric scenario</t>
        </is>
      </c>
      <c r="H3207" s="3" t="inlineStr">
        <is>
          <t>h200_share = gpu_share * default_gpu_generation_mix_h200</t>
        </is>
      </c>
      <c r="I3207" s="3" t="inlineStr">
        <is>
          <t>Default GPU-generation migration assumption; executive workbook allows later manual replacement by company/year/scenario.</t>
        </is>
      </c>
      <c r="J3207" s="3" t="inlineStr">
        <is>
          <t>SRC_SEMIANALYSIS_INFERENCEX; ASSUMP_NUMERIC_ACCELERATOR_MIX</t>
        </is>
      </c>
      <c r="K3207" s="3" t="inlineStr">
        <is>
          <t>ASSUMP_POWER_RAMP; ASSUMP_MS_OPENAI_ATTRIBUTION; ASSUMP_NUMERIC_ACCELERATOR_MIX; ASSUMP_INFERENCE_SHARE_NOT_FACT_60; ASSUMP_WORKLOAD_CLASS_MIX; ASSUMP_AGENTIC_CONTEXT_PENALTY</t>
        </is>
      </c>
      <c r="L3207" s="3" t="inlineStr">
        <is>
          <t>Company fleet inventory, accelerator-hours or procurement/deployment records by GPU generation.</t>
        </is>
      </c>
    </row>
    <row r="3208">
      <c r="A3208" s="3" t="inlineStr">
        <is>
          <t>Microsoft</t>
        </is>
      </c>
      <c r="B3208" s="3" t="n">
        <v>2030</v>
      </c>
      <c r="C3208" s="3" t="inlineStr">
        <is>
          <t>Grid-Constrained / Efficiency-Upside</t>
        </is>
      </c>
      <c r="D3208" s="3" t="inlineStr">
        <is>
          <t>b200_share</t>
        </is>
      </c>
      <c r="E3208" s="3" t="n">
        <v>0.705731</v>
      </c>
      <c r="F3208" s="3" t="inlineStr">
        <is>
          <t>share of inference-serving accelerator load</t>
        </is>
      </c>
      <c r="G3208" s="3" t="inlineStr">
        <is>
          <t>Editable numeric scenario</t>
        </is>
      </c>
      <c r="H3208" s="3" t="inlineStr">
        <is>
          <t>b200_share = gpu_share * default_gpu_generation_mix_b200</t>
        </is>
      </c>
      <c r="I3208" s="3" t="inlineStr">
        <is>
          <t>Default GPU-generation migration assumption; executive workbook allows later manual replacement by company/year/scenario.</t>
        </is>
      </c>
      <c r="J3208" s="3" t="inlineStr">
        <is>
          <t>SRC_SEMIANALYSIS_INFERENCEX; ASSUMP_NUMERIC_ACCELERATOR_MIX</t>
        </is>
      </c>
      <c r="K3208" s="3" t="inlineStr">
        <is>
          <t>ASSUMP_POWER_RAMP; ASSUMP_MS_OPENAI_ATTRIBUTION; ASSUMP_NUMERIC_ACCELERATOR_MIX; ASSUMP_INFERENCE_SHARE_NOT_FACT_60; ASSUMP_WORKLOAD_CLASS_MIX; ASSUMP_AGENTIC_CONTEXT_PENALTY</t>
        </is>
      </c>
      <c r="L3208" s="3" t="inlineStr">
        <is>
          <t>Company fleet inventory, accelerator-hours or procurement/deployment records by GPU generation.</t>
        </is>
      </c>
    </row>
    <row r="3209">
      <c r="A3209" s="3" t="inlineStr">
        <is>
          <t>Microsoft</t>
        </is>
      </c>
      <c r="B3209" s="3" t="n">
        <v>2030</v>
      </c>
      <c r="C3209" s="3" t="inlineStr">
        <is>
          <t>Grid-Constrained / Efficiency-Upside</t>
        </is>
      </c>
      <c r="D3209" s="3" t="inlineStr">
        <is>
          <t>gb200_share</t>
        </is>
      </c>
      <c r="E3209" s="3" t="n">
        <v>0</v>
      </c>
      <c r="F3209" s="3" t="inlineStr">
        <is>
          <t>share of inference-serving accelerator load</t>
        </is>
      </c>
      <c r="G3209" s="3" t="inlineStr">
        <is>
          <t>Editable numeric scenario</t>
        </is>
      </c>
      <c r="H3209" s="3" t="inlineStr">
        <is>
          <t>gb200_share = gpu_share * default_gpu_generation_mix_gb200</t>
        </is>
      </c>
      <c r="I3209" s="3" t="inlineStr">
        <is>
          <t>Default GPU-generation migration assumption; executive workbook allows later manual replacement by company/year/scenario.</t>
        </is>
      </c>
      <c r="J3209" s="3" t="inlineStr">
        <is>
          <t>SRC_SEMIANALYSIS_INFERENCEX; ASSUMP_NUMERIC_ACCELERATOR_MIX</t>
        </is>
      </c>
      <c r="K3209" s="3" t="inlineStr">
        <is>
          <t>ASSUMP_POWER_RAMP; ASSUMP_MS_OPENAI_ATTRIBUTION; ASSUMP_NUMERIC_ACCELERATOR_MIX; ASSUMP_INFERENCE_SHARE_NOT_FACT_60; ASSUMP_WORKLOAD_CLASS_MIX; ASSUMP_AGENTIC_CONTEXT_PENALTY</t>
        </is>
      </c>
      <c r="L3209" s="3" t="inlineStr">
        <is>
          <t>Company fleet inventory, accelerator-hours or procurement/deployment records by GPU generation.</t>
        </is>
      </c>
    </row>
    <row r="3210">
      <c r="A3210" s="3" t="inlineStr">
        <is>
          <t>Microsoft</t>
        </is>
      </c>
      <c r="B3210" s="3" t="n">
        <v>2030</v>
      </c>
      <c r="C3210" s="3" t="inlineStr">
        <is>
          <t>Grid-Constrained / Efficiency-Upside</t>
        </is>
      </c>
      <c r="D3210" s="3" t="inlineStr">
        <is>
          <t>purpose_built_accelerator_share</t>
        </is>
      </c>
      <c r="E3210" s="3" t="n">
        <v>0.273671</v>
      </c>
      <c r="F3210" s="3" t="inlineStr">
        <is>
          <t>share of inference-serving accelerator load</t>
        </is>
      </c>
      <c r="G3210" s="3" t="inlineStr">
        <is>
          <t>Numeric scenario</t>
        </is>
      </c>
      <c r="H3210" s="3" t="inlineStr">
        <is>
          <t>1 - gpu_share</t>
        </is>
      </c>
      <c r="I3210" s="3" t="inlineStr">
        <is>
          <t>Purpose-built bucket: Maia inference accelerator. Derived by capacity-weighting 02a_DC_Capacity_Alloc rows against 02b_DC_Accelerator_Mix rows, using inference-weighted capacity only. Maia 200 is officially designated for inference, Azure AI Foundry and Microsoft 365 Copilot. Exact serving fleet share is undisclosed; gradual Maia adoption is modeled.</t>
        </is>
      </c>
      <c r="J3210" s="3" t="inlineStr">
        <is>
          <t>SRC_MS_PHI; SRC_OPENAI_GPT41_DOCS; SRC_MS_PHI4_TECHREPORT; SRC_MS_MAIA200; SRC_EPOCH_AI_DATA_CENTERS; ASSUMP_NUMERIC_ACCELERATOR_MIX</t>
        </is>
      </c>
      <c r="K3210" s="3" t="inlineStr">
        <is>
          <t>ASSUMP_POWER_RAMP; ASSUMP_MS_OPENAI_ATTRIBUTION; ASSUMP_NUMERIC_ACCELERATOR_MIX; ASSUMP_INFERENCE_SHARE_NOT_FACT_60; ASSUMP_WORKLOAD_CLASS_MIX; ASSUMP_AGENTIC_CONTEXT_PENALTY</t>
        </is>
      </c>
      <c r="L3210" s="3" t="inlineStr">
        <is>
          <t>Replace 02a datacenter capacity allocations and 02b datacenter accelerator mix with contract/procurement telemetry. Microsoft disclosure of Maia accelerator-hours or Copilot model/hardware routing mix.</t>
        </is>
      </c>
    </row>
    <row r="3211">
      <c r="A3211" s="3" t="inlineStr">
        <is>
          <t>Microsoft</t>
        </is>
      </c>
      <c r="B3211" s="3" t="n">
        <v>2030</v>
      </c>
      <c r="C3211" s="3" t="inlineStr">
        <is>
          <t>Grid-Constrained / Efficiency-Upside</t>
        </is>
      </c>
      <c r="D3211" s="3" t="inlineStr">
        <is>
          <t>fleet_reference_tps_per_mw</t>
        </is>
      </c>
      <c r="E3211" s="3" t="n">
        <v>2856801</v>
      </c>
      <c r="F3211" s="3" t="inlineStr">
        <is>
          <t>generated output tokens/sec/MW</t>
        </is>
      </c>
      <c r="G3211" s="3" t="inlineStr">
        <is>
          <t>Fleet-weighted public benchmark reference</t>
        </is>
      </c>
      <c r="H3211" s="3" t="inlineStr">
        <is>
          <t>h200_share*h200_workload_avg + b200_share*b200_workload_avg + gb200_share*gb200_workload_avg + purpose_built_share*purpose_workload_avg</t>
        </is>
      </c>
      <c r="I321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211" s="3" t="inlineStr">
        <is>
          <t>SRC_SEMIANALYSIS_INFERENCEX; ASSUMP_NUMERIC_ACCELERATOR_MIX; ASSUMP_WORKLOAD_CLASS_MIX; ASSUMP_AGENTIC_CONTEXT_PENALTY</t>
        </is>
      </c>
      <c r="K3211" s="3" t="inlineStr">
        <is>
          <t>ASSUMP_POWER_RAMP; ASSUMP_MS_OPENAI_ATTRIBUTION; ASSUMP_NUMERIC_ACCELERATOR_MIX; ASSUMP_INFERENCE_SHARE_NOT_FACT_60; ASSUMP_WORKLOAD_CLASS_MIX; ASSUMP_AGENTIC_CONTEXT_PENALTY</t>
        </is>
      </c>
      <c r="L3211" s="3" t="inlineStr">
        <is>
          <t>Comparable production output-token throughput or a more closely matched benchmark.</t>
        </is>
      </c>
    </row>
    <row r="3212">
      <c r="A3212" s="3" t="inlineStr">
        <is>
          <t>Microsoft</t>
        </is>
      </c>
      <c r="B3212" s="3" t="n">
        <v>2030</v>
      </c>
      <c r="C3212" s="3" t="inlineStr">
        <is>
          <t>Grid-Constrained / Efficiency-Upside</t>
        </is>
      </c>
      <c r="D3212" s="3" t="inlineStr">
        <is>
          <t>commercial_workload_fit_factor</t>
        </is>
      </c>
      <c r="E3212" s="3" t="n">
        <v>0.6</v>
      </c>
      <c r="F3212" s="3" t="inlineStr">
        <is>
          <t>share of public reference throughput</t>
        </is>
      </c>
      <c r="G3212" s="3" t="inlineStr">
        <is>
          <t>Scenario assumption</t>
        </is>
      </c>
      <c r="H3212" s="3" t="inlineStr">
        <is>
          <t>reference_serving_tps_per_mw = fleet_reference_tps_per_mw * commercial_workload_fit_factor</t>
        </is>
      </c>
      <c r="I3212" s="3" t="inlineStr">
        <is>
          <t>Commercial workload class: Copilot / routed closed-model assistant. Company mix uses short_chat=45%, long_chat=30%, agentic=25%; closed-model, reasoning, long-context and SLO mismatch stays explicit.</t>
        </is>
      </c>
      <c r="J3212" s="3" t="inlineStr">
        <is>
          <t>SRC_SEMIANALYSIS_INFERENCEX; ASSUMP_NUMERIC_ACCELERATOR_MIX; ASSUMP_WORKLOAD_CLASS_MIX; ASSUMP_AGENTIC_CONTEXT_PENALTY</t>
        </is>
      </c>
      <c r="K3212" s="3" t="inlineStr">
        <is>
          <t>ASSUMP_POWER_RAMP; ASSUMP_MS_OPENAI_ATTRIBUTION; ASSUMP_NUMERIC_ACCELERATOR_MIX; ASSUMP_INFERENCE_SHARE_NOT_FACT_60; ASSUMP_WORKLOAD_CLASS_MIX; ASSUMP_AGENTIC_CONTEXT_PENALTY</t>
        </is>
      </c>
      <c r="L3212" s="3" t="inlineStr">
        <is>
          <t>Matched commercial serving benchmark by product surface, context shape and latency SLO.</t>
        </is>
      </c>
    </row>
    <row r="3213">
      <c r="A3213" s="3" t="inlineStr">
        <is>
          <t>Microsoft</t>
        </is>
      </c>
      <c r="B3213" s="3" t="n">
        <v>2030</v>
      </c>
      <c r="C3213" s="3" t="inlineStr">
        <is>
          <t>Grid-Constrained / Efficiency-Upside</t>
        </is>
      </c>
      <c r="D3213" s="3" t="inlineStr">
        <is>
          <t>reference_serving_tps_per_mw</t>
        </is>
      </c>
      <c r="E3213" s="3" t="n">
        <v>1714081</v>
      </c>
      <c r="F3213" s="3" t="inlineStr">
        <is>
          <t>generated output tokens/sec/MW</t>
        </is>
      </c>
      <c r="G3213" s="3" t="inlineStr">
        <is>
          <t>Workload-adjusted benchmark proxy</t>
        </is>
      </c>
      <c r="H3213" s="3" t="inlineStr">
        <is>
          <t>fleet_reference_tps_per_mw * commercial_workload_fit_factor</t>
        </is>
      </c>
      <c r="I3213" s="3" t="inlineStr">
        <is>
          <t>This is the coefficient used for headline token generation; each GPU's short chat, long chat and agentic TPS/MW are weighted before fleet mix and commercial fit are applied.</t>
        </is>
      </c>
      <c r="J3213" s="3" t="inlineStr">
        <is>
          <t>SRC_SEMIANALYSIS_INFERENCEX; ASSUMP_NUMERIC_ACCELERATOR_MIX; ASSUMP_WORKLOAD_CLASS_MIX; ASSUMP_AGENTIC_CONTEXT_PENALTY</t>
        </is>
      </c>
      <c r="K3213" s="3" t="inlineStr">
        <is>
          <t>ASSUMP_POWER_RAMP; ASSUMP_MS_OPENAI_ATTRIBUTION; ASSUMP_NUMERIC_ACCELERATOR_MIX; ASSUMP_INFERENCE_SHARE_NOT_FACT_60; ASSUMP_WORKLOAD_CLASS_MIX; ASSUMP_AGENTIC_CONTEXT_PENALTY</t>
        </is>
      </c>
      <c r="L3213" s="3" t="inlineStr">
        <is>
          <t>Provider production output-token throughput with comparable workload/SLO.</t>
        </is>
      </c>
    </row>
    <row r="3214">
      <c r="A3214" s="3" t="inlineStr">
        <is>
          <t>Microsoft</t>
        </is>
      </c>
      <c r="B3214" s="3" t="n">
        <v>2030</v>
      </c>
      <c r="C3214" s="3" t="inlineStr">
        <is>
          <t>Grid-Constrained / Efficiency-Upside</t>
        </is>
      </c>
      <c r="D3214" s="3" t="inlineStr">
        <is>
          <t>purpose_built_tps_per_mw</t>
        </is>
      </c>
      <c r="E3214" s="3" t="n">
        <v>2710180</v>
      </c>
      <c r="F3214" s="3" t="inlineStr">
        <is>
          <t>generated output tokens/sec/MW</t>
        </is>
      </c>
      <c r="G3214" s="3" t="inlineStr">
        <is>
          <t>Conservative no-uplift proxy</t>
        </is>
      </c>
      <c r="H3214" s="3" t="inlineStr">
        <is>
          <t>purpose_built_tps_per_mw = purpose_built_reference_tps_per_mw * commercial_workload_fit_factor until comparable output-token benchmark is adopted</t>
        </is>
      </c>
      <c r="I3214" s="3" t="inlineStr">
        <is>
          <t>No comparable public output-token/MW row adopted; B200 public reference placeholder is used and remains editable.</t>
        </is>
      </c>
      <c r="J3214" s="3" t="inlineStr">
        <is>
          <t>SRC_MS_PHI; SRC_OPENAI_GPT41_DOCS; SRC_MS_PHI4_TECHREPORT; SRC_MS_MAIA200; SRC_EPOCH_AI_DATA_CENTERS; ASSUMP_NUMERIC_ACCELERATOR_MIX</t>
        </is>
      </c>
      <c r="K3214" s="3" t="inlineStr">
        <is>
          <t>ASSUMP_POWER_RAMP; ASSUMP_MS_OPENAI_ATTRIBUTION; ASSUMP_NUMERIC_ACCELERATOR_MIX; ASSUMP_INFERENCE_SHARE_NOT_FACT_60; ASSUMP_WORKLOAD_CLASS_MIX; ASSUMP_AGENTIC_CONTEXT_PENALTY</t>
        </is>
      </c>
      <c r="L3214" s="3" t="inlineStr">
        <is>
          <t>Matched-workload generated-output benchmark for the provider purpose-built accelerator.</t>
        </is>
      </c>
    </row>
    <row r="3215">
      <c r="A3215" s="3" t="inlineStr">
        <is>
          <t>Microsoft</t>
        </is>
      </c>
      <c r="B3215" s="3" t="n">
        <v>2030</v>
      </c>
      <c r="C3215" s="3" t="inlineStr">
        <is>
          <t>Grid-Constrained / Efficiency-Upside</t>
        </is>
      </c>
      <c r="D3215" s="3" t="inlineStr">
        <is>
          <t>inference_power_share</t>
        </is>
      </c>
      <c r="E3215" s="3" t="n">
        <v>0.79</v>
      </c>
      <c r="F3215" s="3" t="inlineStr">
        <is>
          <t>share of AI IT load</t>
        </is>
      </c>
      <c r="G3215" s="3" t="inlineStr">
        <is>
          <t>Scenario allocation</t>
        </is>
      </c>
      <c r="H3215" s="3" t="inlineStr">
        <is>
          <t>inference_gw = ai_it_load_gw * inference_power_share</t>
        </is>
      </c>
      <c r="I3215" s="3" t="inlineStr">
        <is>
          <t>Copilot commercial serving growth supports rising inference allocation; OpenAI model-owner output must remain separately attributed.</t>
        </is>
      </c>
      <c r="J3215" s="3" t="inlineStr">
        <is>
          <t>SRC_MS_PHI; SRC_OPENAI_GPT41_DOCS; SRC_MS_PHI4_TECHREPORT; SRC_MS_MAIA200; SRC_EPOCH_AI_DATA_CENTERS; ASSUMP_INFERENCE_SHARE_NOT_FACT_60</t>
        </is>
      </c>
      <c r="K3215" s="3" t="inlineStr">
        <is>
          <t>ASSUMP_POWER_RAMP; ASSUMP_MS_OPENAI_ATTRIBUTION; ASSUMP_NUMERIC_ACCELERATOR_MIX; ASSUMP_INFERENCE_SHARE_NOT_FACT_60; ASSUMP_WORKLOAD_CLASS_MIX; ASSUMP_AGENTIC_CONTEXT_PENALTY</t>
        </is>
      </c>
      <c r="L3215" s="3" t="inlineStr">
        <is>
          <t>Provider-specific inference/training workload power telemetry.</t>
        </is>
      </c>
    </row>
    <row r="3216">
      <c r="A3216" s="3" t="inlineStr">
        <is>
          <t>Microsoft</t>
        </is>
      </c>
      <c r="B3216" s="3" t="n">
        <v>2030</v>
      </c>
      <c r="C3216" s="3" t="inlineStr">
        <is>
          <t>Grid-Constrained / Efficiency-Upside</t>
        </is>
      </c>
      <c r="D3216" s="3" t="inlineStr">
        <is>
          <t>inference_gw</t>
        </is>
      </c>
      <c r="E3216" s="3" t="n">
        <v>2.527</v>
      </c>
      <c r="F3216" s="3" t="inlineStr">
        <is>
          <t>GW</t>
        </is>
      </c>
      <c r="G3216" s="3" t="inlineStr">
        <is>
          <t>Derived formula</t>
        </is>
      </c>
      <c r="H3216" s="3" t="inlineStr">
        <is>
          <t>ai_it_load_gw * inference_power_share</t>
        </is>
      </c>
      <c r="I3216" s="3" t="inlineStr">
        <is>
          <t>This is the operational power eligible to become commercial generated output tokens through the selected TPS/MW proxy.</t>
        </is>
      </c>
      <c r="J3216" s="3" t="inlineStr">
        <is>
          <t>SRC_MS_PHI; SRC_OPENAI_GPT41_DOCS; SRC_MS_PHI4_TECHREPORT; SRC_MS_MAIA200; SRC_EPOCH_AI_DATA_CENTERS</t>
        </is>
      </c>
      <c r="K3216" s="3" t="inlineStr">
        <is>
          <t>ASSUMP_POWER_RAMP; ASSUMP_MS_OPENAI_ATTRIBUTION; ASSUMP_NUMERIC_ACCELERATOR_MIX; ASSUMP_INFERENCE_SHARE_NOT_FACT_60; ASSUMP_WORKLOAD_CLASS_MIX; ASSUMP_AGENTIC_CONTEXT_PENALTY</t>
        </is>
      </c>
      <c r="L3216" s="3" t="inlineStr">
        <is>
          <t>Recompute after AI allocation or inference-share evidence changes.</t>
        </is>
      </c>
    </row>
    <row r="3217">
      <c r="A3217" s="3" t="inlineStr">
        <is>
          <t>Microsoft</t>
        </is>
      </c>
      <c r="B3217" s="3" t="n">
        <v>2030</v>
      </c>
      <c r="C3217" s="3" t="inlineStr">
        <is>
          <t>Grid-Constrained / Efficiency-Upside</t>
        </is>
      </c>
      <c r="D3217" s="3" t="inlineStr">
        <is>
          <t>training_power_share</t>
        </is>
      </c>
      <c r="E3217" s="3" t="n">
        <v>0.21</v>
      </c>
      <c r="F3217" s="3" t="inlineStr">
        <is>
          <t>share of AI IT load</t>
        </is>
      </c>
      <c r="G3217" s="3" t="inlineStr">
        <is>
          <t>Derived allocation</t>
        </is>
      </c>
      <c r="H3217" s="3" t="inlineStr">
        <is>
          <t>1 - inference_power_share</t>
        </is>
      </c>
      <c r="I3217" s="3" t="inlineStr">
        <is>
          <t>Training receives the complementary modeled AI IT allocation; it is not a disclosed company workload split.</t>
        </is>
      </c>
      <c r="J3217" s="3" t="inlineStr">
        <is>
          <t>SRC_MS_PHI; SRC_OPENAI_GPT41_DOCS; SRC_MS_PHI4_TECHREPORT; SRC_MS_MAIA200; SRC_EPOCH_AI_DATA_CENTERS; ASSUMP_INFERENCE_SHARE_NOT_FACT_60</t>
        </is>
      </c>
      <c r="K3217" s="3" t="inlineStr">
        <is>
          <t>ASSUMP_POWER_RAMP; ASSUMP_MS_OPENAI_ATTRIBUTION; ASSUMP_NUMERIC_ACCELERATOR_MIX; ASSUMP_INFERENCE_SHARE_NOT_FACT_60; ASSUMP_WORKLOAD_CLASS_MIX; ASSUMP_AGENTIC_CONTEXT_PENALTY</t>
        </is>
      </c>
      <c r="L3217" s="3" t="inlineStr">
        <is>
          <t>Provider-specific inference/training workload power telemetry.</t>
        </is>
      </c>
    </row>
    <row r="3218">
      <c r="A3218" s="3" t="inlineStr">
        <is>
          <t>Microsoft</t>
        </is>
      </c>
      <c r="B3218" s="3" t="n">
        <v>2030</v>
      </c>
      <c r="C3218" s="3" t="inlineStr">
        <is>
          <t>Grid-Constrained / Efficiency-Upside</t>
        </is>
      </c>
      <c r="D3218" s="3" t="inlineStr">
        <is>
          <t>training_gw</t>
        </is>
      </c>
      <c r="E3218" s="3" t="n">
        <v>0.672</v>
      </c>
      <c r="F3218" s="3" t="inlineStr">
        <is>
          <t>GW</t>
        </is>
      </c>
      <c r="G3218" s="3" t="inlineStr">
        <is>
          <t>Derived formula</t>
        </is>
      </c>
      <c r="H3218" s="3" t="inlineStr">
        <is>
          <t>ai_it_load_gw * training_power_share</t>
        </is>
      </c>
      <c r="I3218" s="3" t="inlineStr">
        <is>
          <t>Training GW is shown separately so commercial inference token capacity is not overstated.</t>
        </is>
      </c>
      <c r="J3218" s="3" t="inlineStr">
        <is>
          <t>SRC_MS_PHI; SRC_OPENAI_GPT41_DOCS; SRC_MS_PHI4_TECHREPORT; SRC_MS_MAIA200; SRC_EPOCH_AI_DATA_CENTERS</t>
        </is>
      </c>
      <c r="K3218" s="3" t="inlineStr">
        <is>
          <t>ASSUMP_POWER_RAMP; ASSUMP_MS_OPENAI_ATTRIBUTION; ASSUMP_NUMERIC_ACCELERATOR_MIX; ASSUMP_INFERENCE_SHARE_NOT_FACT_60; ASSUMP_WORKLOAD_CLASS_MIX; ASSUMP_AGENTIC_CONTEXT_PENALTY</t>
        </is>
      </c>
      <c r="L3218" s="3" t="inlineStr">
        <is>
          <t>Recompute after AI allocation or workload-split evidence changes.</t>
        </is>
      </c>
    </row>
    <row r="3219">
      <c r="A3219" s="3" t="inlineStr">
        <is>
          <t>Microsoft</t>
        </is>
      </c>
      <c r="B3219" s="3" t="n">
        <v>2030</v>
      </c>
      <c r="C3219" s="3" t="inlineStr">
        <is>
          <t>Grid-Constrained / Efficiency-Upside</t>
        </is>
      </c>
      <c r="D3219" s="3" t="inlineStr">
        <is>
          <t>tokens_per_second_per_mw</t>
        </is>
      </c>
      <c r="E3219" s="3" t="n">
        <v>1714081</v>
      </c>
      <c r="F3219" s="3" t="inlineStr">
        <is>
          <t>generated output tokens/sec/MW</t>
        </is>
      </c>
      <c r="G3219" s="3" t="inlineStr">
        <is>
          <t>Derived estimate + benchmark calibration</t>
        </is>
      </c>
      <c r="H3219" s="3" t="inlineStr">
        <is>
          <t>fleet_reference_tps_per_mw * commercial_workload_fit_factor</t>
        </is>
      </c>
      <c r="I3219" s="3" t="inlineStr">
        <is>
          <t>GPT-OSS 120B B200 output-token benchmark proxy. Maia has no adopted comparable output-token/MW row, so no uplift is applied. Workload reference is now split into short_chat, long_chat and agentic classes. Company mix: short 45%, long 30%, agentic 25%. Commercial workload fit factor: Copilot traffic mixes routed proprietary models and interactive SLOs; GPT-OSS is a reference ceiling, not direct telemetry. Microsoft has broad Copilot surfaces plus GitHub/Codex-style developer workflows; agentic share is material but not dominant.</t>
        </is>
      </c>
      <c r="J3219" s="3" t="inlineStr">
        <is>
          <t>SRC_MS_PHI; SRC_OPENAI_GPT41_DOCS; SRC_MS_PHI4_TECHREPORT; SRC_MS_MAIA200; SRC_EPOCH_AI_DATA_CENTERS; SRC_SEMIANALYSIS_INFERENCEX; ASSUMP_NUMERIC_ACCELERATOR_MIX; ASSUMP_WORKLOAD_CLASS_MIX; ASSUMP_AGENTIC_CONTEXT_PENALTY</t>
        </is>
      </c>
      <c r="K3219" s="3" t="inlineStr">
        <is>
          <t>ASSUMP_POWER_RAMP; ASSUMP_MS_OPENAI_ATTRIBUTION; ASSUMP_NUMERIC_ACCELERATOR_MIX; ASSUMP_INFERENCE_SHARE_NOT_FACT_60; ASSUMP_WORKLOAD_CLASS_MIX; ASSUMP_AGENTIC_CONTEXT_PENALTY</t>
        </is>
      </c>
      <c r="L3219" s="3" t="inlineStr">
        <is>
          <t>Comparable production output-token throughput with model, hardware, precision, ISL/OSL and SLO matched.</t>
        </is>
      </c>
    </row>
    <row r="3220">
      <c r="A3220" s="3" t="inlineStr">
        <is>
          <t>Microsoft</t>
        </is>
      </c>
      <c r="B3220" s="3" t="n">
        <v>2030</v>
      </c>
      <c r="C3220" s="3" t="inlineStr">
        <is>
          <t>Grid-Constrained / Efficiency-Upside</t>
        </is>
      </c>
      <c r="D3220" s="3" t="inlineStr">
        <is>
          <t>inference_tokens_per_day</t>
        </is>
      </c>
      <c r="E3220" s="3" t="n">
        <v>374240104156800</v>
      </c>
      <c r="F3220" s="3" t="inlineStr">
        <is>
          <t>generated output tokens/day</t>
        </is>
      </c>
      <c r="G3220" s="3" t="inlineStr">
        <is>
          <t>Derived headline metric</t>
        </is>
      </c>
      <c r="H3220" s="3" t="inlineStr">
        <is>
          <t>inference_gw * 1000 * tokens_per_second_per_mw * 86,400</t>
        </is>
      </c>
      <c r="I3220" s="3" t="inlineStr">
        <is>
          <t>Headline capacity uses no utilization, MoE, architecture or software-growth multiplier; it is not observed commercial output volume.</t>
        </is>
      </c>
      <c r="J3220" s="3" t="inlineStr">
        <is>
          <t>SRC_MS_PHI; SRC_OPENAI_GPT41_DOCS; SRC_MS_PHI4_TECHREPORT; SRC_MS_MAIA200; SRC_EPOCH_AI_DATA_CENTERS; SRC_SEMIANALYSIS_INFERENCEX</t>
        </is>
      </c>
      <c r="K3220" s="3" t="inlineStr">
        <is>
          <t>ASSUMP_POWER_RAMP; ASSUMP_MS_OPENAI_ATTRIBUTION; ASSUMP_NUMERIC_ACCELERATOR_MIX; ASSUMP_INFERENCE_SHARE_NOT_FACT_60; ASSUMP_WORKLOAD_CLASS_MIX; ASSUMP_AGENTIC_CONTEXT_PENALTY</t>
        </is>
      </c>
      <c r="L3220" s="3" t="inlineStr">
        <is>
          <t>Provider-disclosed generated output token volume or calibrated capacity telemetry.</t>
        </is>
      </c>
    </row>
    <row r="3221">
      <c r="A3221" s="3" t="inlineStr">
        <is>
          <t>Microsoft</t>
        </is>
      </c>
      <c r="B3221" s="3" t="n">
        <v>2030</v>
      </c>
      <c r="C3221" s="3" t="inlineStr">
        <is>
          <t>Grid-Constrained / Efficiency-Upside</t>
        </is>
      </c>
      <c r="D3221" s="3" t="inlineStr">
        <is>
          <t>inference_tokens_per_year</t>
        </is>
      </c>
      <c r="E3221" s="3" t="n">
        <v>1.36597638017232e+17</v>
      </c>
      <c r="F3221" s="3" t="inlineStr">
        <is>
          <t>generated output tokens/year</t>
        </is>
      </c>
      <c r="G3221" s="3" t="inlineStr">
        <is>
          <t>Derived headline metric</t>
        </is>
      </c>
      <c r="H3221" s="3" t="inlineStr">
        <is>
          <t>inference_tokens_per_day * 365</t>
        </is>
      </c>
      <c r="I3221" s="3" t="inlineStr">
        <is>
          <t>Annualized version of generated output token capacity; it is not observed annual demand or billable volume.</t>
        </is>
      </c>
      <c r="J3221" s="3" t="inlineStr">
        <is>
          <t>SRC_MS_PHI; SRC_OPENAI_GPT41_DOCS; SRC_MS_PHI4_TECHREPORT; SRC_MS_MAIA200; SRC_EPOCH_AI_DATA_CENTERS; SRC_SEMIANALYSIS_INFERENCEX</t>
        </is>
      </c>
      <c r="K3221" s="3" t="inlineStr">
        <is>
          <t>ASSUMP_POWER_RAMP; ASSUMP_MS_OPENAI_ATTRIBUTION; ASSUMP_NUMERIC_ACCELERATOR_MIX; ASSUMP_INFERENCE_SHARE_NOT_FACT_60; ASSUMP_WORKLOAD_CLASS_MIX; ASSUMP_AGENTIC_CONTEXT_PENALTY</t>
        </is>
      </c>
      <c r="L3221" s="3" t="inlineStr">
        <is>
          <t>Provider-disclosed annual generated-output volume or metered serving telemetry.</t>
        </is>
      </c>
    </row>
    <row r="3222">
      <c r="A3222" s="3" t="inlineStr">
        <is>
          <t>Google</t>
        </is>
      </c>
      <c r="B3222" s="3" t="n">
        <v>2026</v>
      </c>
      <c r="C3222" s="3" t="inlineStr">
        <is>
          <t>Grid-Constrained / Efficiency-Upside</t>
        </is>
      </c>
      <c r="D3222" s="3" t="inlineStr">
        <is>
          <t>contracted_power_gw</t>
        </is>
      </c>
      <c r="E3222" s="3" t="n">
        <v>4.5</v>
      </c>
      <c r="F3222" s="3" t="inlineStr">
        <is>
          <t>GW</t>
        </is>
      </c>
      <c r="G3222" s="3" t="inlineStr">
        <is>
          <t>Scenario capacity envelope</t>
        </is>
      </c>
      <c r="H3222" s="3" t="inlineStr">
        <is>
          <t>linear interpolation between 2026 and 2030 company capacity endpoints</t>
        </is>
      </c>
      <c r="I3222" s="3" t="inlineStr">
        <is>
          <t>Scenario envelope for Gemini-serving capacity; official TPU hardware direction is disclosed, company-level contracted GW is not.</t>
        </is>
      </c>
      <c r="J3222" s="3" t="inlineStr">
        <is>
          <t>ASSUMP_POWER_RAMP; SRC_GOOGLE_IRONWOOD; SRC_GOOGLE_TPU_V6E</t>
        </is>
      </c>
      <c r="K3222" s="3" t="inlineStr">
        <is>
          <t>ASSUMP_TPU_EFFICIENCY; ASSUMP_POWER_RAMP; ASSUMP_NUMERIC_ACCELERATOR_MIX; ASSUMP_INFERENCE_SHARE_NOT_FACT_60; ASSUMP_WORKLOAD_CLASS_MIX; ASSUMP_AGENTIC_CONTEXT_PENALTY</t>
        </is>
      </c>
      <c r="L3222" s="3" t="inlineStr">
        <is>
          <t>Company/site-level committed MW/GW, interconnect and contract disclosure.</t>
        </is>
      </c>
    </row>
    <row r="3223">
      <c r="A3223" s="3" t="inlineStr">
        <is>
          <t>Google</t>
        </is>
      </c>
      <c r="B3223" s="3" t="n">
        <v>2026</v>
      </c>
      <c r="C3223" s="3" t="inlineStr">
        <is>
          <t>Grid-Constrained / Efficiency-Upside</t>
        </is>
      </c>
      <c r="D3223" s="3" t="inlineStr">
        <is>
          <t>operational_deployment_share</t>
        </is>
      </c>
      <c r="E3223" s="3" t="n">
        <v>0.43022222</v>
      </c>
      <c r="F3223" s="3" t="inlineStr">
        <is>
          <t>share</t>
        </is>
      </c>
      <c r="G3223" s="3" t="inlineStr">
        <is>
          <t>Scenario conversion</t>
        </is>
      </c>
      <c r="H3223" s="3" t="inlineStr">
        <is>
          <t>active_power_gw / contracted_power_gw</t>
        </is>
      </c>
      <c r="I3223" s="3" t="inlineStr">
        <is>
          <t>This is the single explicit conversion from contracted/attributed capacity to operationally usable capacity.</t>
        </is>
      </c>
      <c r="J3223" s="3" t="inlineStr">
        <is>
          <t>ASSUMP_POWER_RAMP; SRC_GOOGLE_IRONWOOD; SRC_GOOGLE_TPU_V6E</t>
        </is>
      </c>
      <c r="K3223" s="3" t="inlineStr">
        <is>
          <t>ASSUMP_TPU_EFFICIENCY; ASSUMP_POWER_RAMP; ASSUMP_NUMERIC_ACCELERATOR_MIX; ASSUMP_INFERENCE_SHARE_NOT_FACT_60; ASSUMP_WORKLOAD_CLASS_MIX; ASSUMP_AGENTIC_CONTEXT_PENALTY</t>
        </is>
      </c>
      <c r="L3223" s="3" t="inlineStr">
        <is>
          <t>Energized operational capacity divided by contracted/attributed capacity.</t>
        </is>
      </c>
    </row>
    <row r="3224">
      <c r="A3224" s="3" t="inlineStr">
        <is>
          <t>Google</t>
        </is>
      </c>
      <c r="B3224" s="3" t="n">
        <v>2026</v>
      </c>
      <c r="C3224" s="3" t="inlineStr">
        <is>
          <t>Grid-Constrained / Efficiency-Upside</t>
        </is>
      </c>
      <c r="D3224" s="3" t="inlineStr">
        <is>
          <t>active_power_gw</t>
        </is>
      </c>
      <c r="E3224" s="3" t="n">
        <v>1.936</v>
      </c>
      <c r="F3224" s="3" t="inlineStr">
        <is>
          <t>GW</t>
        </is>
      </c>
      <c r="G3224" s="3" t="inlineStr">
        <is>
          <t>Derived scenario</t>
        </is>
      </c>
      <c r="H3224" s="3" t="inlineStr">
        <is>
          <t>contracted_power_gw * operational_deployment_share</t>
        </is>
      </c>
      <c r="I3224" s="3" t="inlineStr">
        <is>
          <t>TPU generation availability supports ramp direction, while active GW remains a staged deployment estimate.</t>
        </is>
      </c>
      <c r="J3224" s="3" t="inlineStr">
        <is>
          <t>ASSUMP_POWER_RAMP; SRC_GOOGLE_IRONWOOD; SRC_GOOGLE_TPU_V6E</t>
        </is>
      </c>
      <c r="K3224" s="3" t="inlineStr">
        <is>
          <t>ASSUMP_TPU_EFFICIENCY; ASSUMP_POWER_RAMP; ASSUMP_NUMERIC_ACCELERATOR_MIX; ASSUMP_INFERENCE_SHARE_NOT_FACT_60; ASSUMP_WORKLOAD_CLASS_MIX; ASSUMP_AGENTIC_CONTEXT_PENALTY</t>
        </is>
      </c>
      <c r="L3224" s="3" t="inlineStr">
        <is>
          <t>Energization dates, accelerator deliveries and operational powered-rack telemetry.</t>
        </is>
      </c>
    </row>
    <row r="3225">
      <c r="A3225" s="3" t="inlineStr">
        <is>
          <t>Google</t>
        </is>
      </c>
      <c r="B3225" s="3" t="n">
        <v>2026</v>
      </c>
      <c r="C3225" s="3" t="inlineStr">
        <is>
          <t>Grid-Constrained / Efficiency-Upside</t>
        </is>
      </c>
      <c r="D3225" s="3" t="inlineStr">
        <is>
          <t>pue</t>
        </is>
      </c>
      <c r="E3225" s="3" t="n">
        <v>1.18</v>
      </c>
      <c r="F3225" s="3" t="inlineStr">
        <is>
          <t>ratio</t>
        </is>
      </c>
      <c r="G3225" s="3" t="inlineStr">
        <is>
          <t>Scenario parameter</t>
        </is>
      </c>
      <c r="H3225" s="3" t="inlineStr">
        <is>
          <t>it_load_gw = active_power_gw / pue</t>
        </is>
      </c>
      <c r="I3225" s="3" t="inlineStr">
        <is>
          <t>No provider-wide site-level PUE is used as a disclosed fact; PUE represents facility-to-IT conversion within the scenario.</t>
        </is>
      </c>
      <c r="J3225" s="3" t="inlineStr">
        <is>
          <t>ASSUMP_POWER_RAMP</t>
        </is>
      </c>
      <c r="K3225" s="3" t="inlineStr">
        <is>
          <t>ASSUMP_TPU_EFFICIENCY; ASSUMP_POWER_RAMP; ASSUMP_NUMERIC_ACCELERATOR_MIX; ASSUMP_INFERENCE_SHARE_NOT_FACT_60; ASSUMP_WORKLOAD_CLASS_MIX; ASSUMP_AGENTIC_CONTEXT_PENALTY</t>
        </is>
      </c>
      <c r="L3225" s="3" t="inlineStr">
        <is>
          <t>Site-level measured PUE matched to attributed AI capacity.</t>
        </is>
      </c>
    </row>
    <row r="3226">
      <c r="A3226" s="3" t="inlineStr">
        <is>
          <t>Google</t>
        </is>
      </c>
      <c r="B3226" s="3" t="n">
        <v>2026</v>
      </c>
      <c r="C3226" s="3" t="inlineStr">
        <is>
          <t>Grid-Constrained / Efficiency-Upside</t>
        </is>
      </c>
      <c r="D3226" s="3" t="inlineStr">
        <is>
          <t>it_load_gw</t>
        </is>
      </c>
      <c r="E3226" s="3" t="n">
        <v>1.641</v>
      </c>
      <c r="F3226" s="3" t="inlineStr">
        <is>
          <t>GW</t>
        </is>
      </c>
      <c r="G3226" s="3" t="inlineStr">
        <is>
          <t>Derived formula</t>
        </is>
      </c>
      <c r="H3226" s="3" t="inlineStr">
        <is>
          <t>active_power_gw / pue</t>
        </is>
      </c>
      <c r="I3226" s="3" t="inlineStr">
        <is>
          <t>Facility power is converted to IT-deliverable power before attributing AI workloads.</t>
        </is>
      </c>
      <c r="J3226" s="3" t="inlineStr">
        <is>
          <t>ASSUMP_POWER_RAMP; SRC_GOOGLE_IRONWOOD; SRC_GOOGLE_TPU_V6E</t>
        </is>
      </c>
      <c r="K3226" s="3" t="inlineStr">
        <is>
          <t>ASSUMP_TPU_EFFICIENCY; ASSUMP_POWER_RAMP; ASSUMP_NUMERIC_ACCELERATOR_MIX; ASSUMP_INFERENCE_SHARE_NOT_FACT_60; ASSUMP_WORKLOAD_CLASS_MIX; ASSUMP_AGENTIC_CONTEXT_PENALTY</t>
        </is>
      </c>
      <c r="L3226" s="3" t="inlineStr">
        <is>
          <t>Recompute once active power and PUE become site-observable.</t>
        </is>
      </c>
    </row>
    <row r="3227">
      <c r="A3227" s="3" t="inlineStr">
        <is>
          <t>Google</t>
        </is>
      </c>
      <c r="B3227" s="3" t="n">
        <v>2026</v>
      </c>
      <c r="C3227" s="3" t="inlineStr">
        <is>
          <t>Grid-Constrained / Efficiency-Upside</t>
        </is>
      </c>
      <c r="D3227" s="3" t="inlineStr">
        <is>
          <t>ai_workload_share</t>
        </is>
      </c>
      <c r="E3227" s="3" t="n">
        <v>0.88</v>
      </c>
      <c r="F3227" s="3" t="inlineStr">
        <is>
          <t>share</t>
        </is>
      </c>
      <c r="G3227" s="3" t="inlineStr">
        <is>
          <t>Scenario allocation</t>
        </is>
      </c>
      <c r="H3227" s="3" t="inlineStr">
        <is>
          <t>ai_it_load_gw = it_load_gw * ai_workload_share</t>
        </is>
      </c>
      <c r="I3227" s="3" t="inlineStr">
        <is>
          <t>Gemini/Vertex TPU serving is AI-dedicated in the modeled capacity envelope; 88% excludes platform/reserve load.</t>
        </is>
      </c>
      <c r="J3227" s="3" t="inlineStr">
        <is>
          <t>SRC_GOOGLE_GEMINI_TOKENS; SRC_GOOGLE_IRONWOOD; SRC_GOOGLE_TPU_V6E; SRC_EPOCH_AI_DATA_CENTERS</t>
        </is>
      </c>
      <c r="K3227" s="3" t="inlineStr">
        <is>
          <t>ASSUMP_TPU_EFFICIENCY; ASSUMP_POWER_RAMP; ASSUMP_NUMERIC_ACCELERATOR_MIX; ASSUMP_INFERENCE_SHARE_NOT_FACT_60; ASSUMP_WORKLOAD_CLASS_MIX; ASSUMP_AGENTIC_CONTEXT_PENALTY</t>
        </is>
      </c>
      <c r="L3227" s="3" t="inlineStr">
        <is>
          <t>Model-owner AI workload allocation or cluster scheduling telemetry.</t>
        </is>
      </c>
    </row>
    <row r="3228">
      <c r="A3228" s="3" t="inlineStr">
        <is>
          <t>Google</t>
        </is>
      </c>
      <c r="B3228" s="3" t="n">
        <v>2026</v>
      </c>
      <c r="C3228" s="3" t="inlineStr">
        <is>
          <t>Grid-Constrained / Efficiency-Upside</t>
        </is>
      </c>
      <c r="D3228" s="3" t="inlineStr">
        <is>
          <t>ai_it_load_gw</t>
        </is>
      </c>
      <c r="E3228" s="3" t="n">
        <v>1.444</v>
      </c>
      <c r="F3228" s="3" t="inlineStr">
        <is>
          <t>GW</t>
        </is>
      </c>
      <c r="G3228" s="3" t="inlineStr">
        <is>
          <t>Derived formula</t>
        </is>
      </c>
      <c r="H3228" s="3" t="inlineStr">
        <is>
          <t>it_load_gw * ai_workload_share</t>
        </is>
      </c>
      <c r="I3228" s="3" t="inlineStr">
        <is>
          <t>Only the AI-attributed portion of IT load enters training/inference allocation.</t>
        </is>
      </c>
      <c r="J3228" s="3" t="inlineStr">
        <is>
          <t>SRC_GOOGLE_GEMINI_TOKENS; SRC_GOOGLE_IRONWOOD; SRC_GOOGLE_TPU_V6E; SRC_EPOCH_AI_DATA_CENTERS</t>
        </is>
      </c>
      <c r="K3228" s="3" t="inlineStr">
        <is>
          <t>ASSUMP_TPU_EFFICIENCY; ASSUMP_POWER_RAMP; ASSUMP_NUMERIC_ACCELERATOR_MIX; ASSUMP_INFERENCE_SHARE_NOT_FACT_60; ASSUMP_WORKLOAD_CLASS_MIX; ASSUMP_AGENTIC_CONTEXT_PENALTY</t>
        </is>
      </c>
      <c r="L3228" s="3" t="inlineStr">
        <is>
          <t>Recompute after ai_workload_share is replaced by telemetry.</t>
        </is>
      </c>
    </row>
    <row r="3229">
      <c r="A3229" s="3" t="inlineStr">
        <is>
          <t>Google</t>
        </is>
      </c>
      <c r="B3229" s="3" t="n">
        <v>2026</v>
      </c>
      <c r="C3229" s="3" t="inlineStr">
        <is>
          <t>Grid-Constrained / Efficiency-Upside</t>
        </is>
      </c>
      <c r="D3229" s="3" t="inlineStr">
        <is>
          <t>gpu_share</t>
        </is>
      </c>
      <c r="E3229" s="3" t="n">
        <v>0</v>
      </c>
      <c r="F3229" s="3" t="inlineStr">
        <is>
          <t>share of inference-serving accelerator load</t>
        </is>
      </c>
      <c r="G3229" s="3" t="inlineStr">
        <is>
          <t>Numeric scenario</t>
        </is>
      </c>
      <c r="H3229" s="3" t="inlineStr">
        <is>
          <t>gpu_share interpolated from company 2026/2030 accelerator-mix endpoints</t>
        </is>
      </c>
      <c r="I3229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29" s="3" t="inlineStr">
        <is>
          <t>SRC_GOOGLE_GEMINI_TOKENS; SRC_GOOGLE_IRONWOOD; SRC_GOOGLE_TPU_V6E; SRC_EPOCH_AI_DATA_CENTERS; ASSUMP_NUMERIC_ACCELERATOR_MIX</t>
        </is>
      </c>
      <c r="K3229" s="3" t="inlineStr">
        <is>
          <t>ASSUMP_TPU_EFFICIENCY; ASSUMP_POWER_RAMP; ASSUMP_NUMERIC_ACCELERATOR_MIX; ASSUMP_INFERENCE_SHARE_NOT_FACT_60; ASSUMP_WORKLOAD_CLASS_MIX; ASSUMP_AGENTIC_CONTEXT_PENALTY</t>
        </is>
      </c>
      <c r="L3229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30">
      <c r="A3230" s="3" t="inlineStr">
        <is>
          <t>Google</t>
        </is>
      </c>
      <c r="B3230" s="3" t="n">
        <v>2026</v>
      </c>
      <c r="C3230" s="3" t="inlineStr">
        <is>
          <t>Grid-Constrained / Efficiency-Upside</t>
        </is>
      </c>
      <c r="D3230" s="3" t="inlineStr">
        <is>
          <t>h200_share</t>
        </is>
      </c>
      <c r="E3230" s="3" t="n">
        <v>0</v>
      </c>
      <c r="F3230" s="3" t="inlineStr">
        <is>
          <t>share of inference-serving accelerator load</t>
        </is>
      </c>
      <c r="G3230" s="3" t="inlineStr">
        <is>
          <t>Editable numeric scenario</t>
        </is>
      </c>
      <c r="H3230" s="3" t="inlineStr">
        <is>
          <t>h200_share = gpu_share * default_gpu_generation_mix_h200</t>
        </is>
      </c>
      <c r="I3230" s="3" t="inlineStr">
        <is>
          <t>Default GPU-generation migration assumption; executive workbook allows later manual replacement by company/year/scenario.</t>
        </is>
      </c>
      <c r="J3230" s="3" t="inlineStr">
        <is>
          <t>SRC_SEMIANALYSIS_INFERENCEX; ASSUMP_NUMERIC_ACCELERATOR_MIX</t>
        </is>
      </c>
      <c r="K3230" s="3" t="inlineStr">
        <is>
          <t>ASSUMP_TPU_EFFICIENCY; ASSUMP_POWER_RAMP; ASSUMP_NUMERIC_ACCELERATOR_MIX; ASSUMP_INFERENCE_SHARE_NOT_FACT_60; ASSUMP_WORKLOAD_CLASS_MIX; ASSUMP_AGENTIC_CONTEXT_PENALTY</t>
        </is>
      </c>
      <c r="L3230" s="3" t="inlineStr">
        <is>
          <t>Company fleet inventory, accelerator-hours or procurement/deployment records by GPU generation.</t>
        </is>
      </c>
    </row>
    <row r="3231">
      <c r="A3231" s="3" t="inlineStr">
        <is>
          <t>Google</t>
        </is>
      </c>
      <c r="B3231" s="3" t="n">
        <v>2026</v>
      </c>
      <c r="C3231" s="3" t="inlineStr">
        <is>
          <t>Grid-Constrained / Efficiency-Upside</t>
        </is>
      </c>
      <c r="D3231" s="3" t="inlineStr">
        <is>
          <t>b200_share</t>
        </is>
      </c>
      <c r="E3231" s="3" t="n">
        <v>0</v>
      </c>
      <c r="F3231" s="3" t="inlineStr">
        <is>
          <t>share of inference-serving accelerator load</t>
        </is>
      </c>
      <c r="G3231" s="3" t="inlineStr">
        <is>
          <t>Editable numeric scenario</t>
        </is>
      </c>
      <c r="H3231" s="3" t="inlineStr">
        <is>
          <t>b200_share = gpu_share * default_gpu_generation_mix_b200</t>
        </is>
      </c>
      <c r="I3231" s="3" t="inlineStr">
        <is>
          <t>Default GPU-generation migration assumption; executive workbook allows later manual replacement by company/year/scenario.</t>
        </is>
      </c>
      <c r="J3231" s="3" t="inlineStr">
        <is>
          <t>SRC_SEMIANALYSIS_INFERENCEX; ASSUMP_NUMERIC_ACCELERATOR_MIX</t>
        </is>
      </c>
      <c r="K3231" s="3" t="inlineStr">
        <is>
          <t>ASSUMP_TPU_EFFICIENCY; ASSUMP_POWER_RAMP; ASSUMP_NUMERIC_ACCELERATOR_MIX; ASSUMP_INFERENCE_SHARE_NOT_FACT_60; ASSUMP_WORKLOAD_CLASS_MIX; ASSUMP_AGENTIC_CONTEXT_PENALTY</t>
        </is>
      </c>
      <c r="L3231" s="3" t="inlineStr">
        <is>
          <t>Company fleet inventory, accelerator-hours or procurement/deployment records by GPU generation.</t>
        </is>
      </c>
    </row>
    <row r="3232">
      <c r="A3232" s="3" t="inlineStr">
        <is>
          <t>Google</t>
        </is>
      </c>
      <c r="B3232" s="3" t="n">
        <v>2026</v>
      </c>
      <c r="C3232" s="3" t="inlineStr">
        <is>
          <t>Grid-Constrained / Efficiency-Upside</t>
        </is>
      </c>
      <c r="D3232" s="3" t="inlineStr">
        <is>
          <t>gb200_share</t>
        </is>
      </c>
      <c r="E3232" s="3" t="n">
        <v>0</v>
      </c>
      <c r="F3232" s="3" t="inlineStr">
        <is>
          <t>share of inference-serving accelerator load</t>
        </is>
      </c>
      <c r="G3232" s="3" t="inlineStr">
        <is>
          <t>Editable numeric scenario</t>
        </is>
      </c>
      <c r="H3232" s="3" t="inlineStr">
        <is>
          <t>gb200_share = gpu_share * default_gpu_generation_mix_gb200</t>
        </is>
      </c>
      <c r="I3232" s="3" t="inlineStr">
        <is>
          <t>Default GPU-generation migration assumption; executive workbook allows later manual replacement by company/year/scenario.</t>
        </is>
      </c>
      <c r="J3232" s="3" t="inlineStr">
        <is>
          <t>SRC_SEMIANALYSIS_INFERENCEX; ASSUMP_NUMERIC_ACCELERATOR_MIX</t>
        </is>
      </c>
      <c r="K3232" s="3" t="inlineStr">
        <is>
          <t>ASSUMP_TPU_EFFICIENCY; ASSUMP_POWER_RAMP; ASSUMP_NUMERIC_ACCELERATOR_MIX; ASSUMP_INFERENCE_SHARE_NOT_FACT_60; ASSUMP_WORKLOAD_CLASS_MIX; ASSUMP_AGENTIC_CONTEXT_PENALTY</t>
        </is>
      </c>
      <c r="L3232" s="3" t="inlineStr">
        <is>
          <t>Company fleet inventory, accelerator-hours or procurement/deployment records by GPU generation.</t>
        </is>
      </c>
    </row>
    <row r="3233">
      <c r="A3233" s="3" t="inlineStr">
        <is>
          <t>Google</t>
        </is>
      </c>
      <c r="B3233" s="3" t="n">
        <v>2026</v>
      </c>
      <c r="C3233" s="3" t="inlineStr">
        <is>
          <t>Grid-Constrained / Efficiency-Upside</t>
        </is>
      </c>
      <c r="D3233" s="3" t="inlineStr">
        <is>
          <t>purpose_built_accelerator_share</t>
        </is>
      </c>
      <c r="E3233" s="3" t="n">
        <v>1</v>
      </c>
      <c r="F3233" s="3" t="inlineStr">
        <is>
          <t>share of inference-serving accelerator load</t>
        </is>
      </c>
      <c r="G3233" s="3" t="inlineStr">
        <is>
          <t>Numeric scenario</t>
        </is>
      </c>
      <c r="H3233" s="3" t="inlineStr">
        <is>
          <t>1 - gpu_share</t>
        </is>
      </c>
      <c r="I3233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33" s="3" t="inlineStr">
        <is>
          <t>SRC_GOOGLE_GEMINI_TOKENS; SRC_GOOGLE_IRONWOOD; SRC_GOOGLE_TPU_V6E; SRC_EPOCH_AI_DATA_CENTERS; ASSUMP_NUMERIC_ACCELERATOR_MIX</t>
        </is>
      </c>
      <c r="K3233" s="3" t="inlineStr">
        <is>
          <t>ASSUMP_TPU_EFFICIENCY; ASSUMP_POWER_RAMP; ASSUMP_NUMERIC_ACCELERATOR_MIX; ASSUMP_INFERENCE_SHARE_NOT_FACT_60; ASSUMP_WORKLOAD_CLASS_MIX; ASSUMP_AGENTIC_CONTEXT_PENALTY</t>
        </is>
      </c>
      <c r="L3233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34">
      <c r="A3234" s="3" t="inlineStr">
        <is>
          <t>Google</t>
        </is>
      </c>
      <c r="B3234" s="3" t="n">
        <v>2026</v>
      </c>
      <c r="C3234" s="3" t="inlineStr">
        <is>
          <t>Grid-Constrained / Efficiency-Upside</t>
        </is>
      </c>
      <c r="D3234" s="3" t="inlineStr">
        <is>
          <t>fleet_reference_tps_per_mw</t>
        </is>
      </c>
      <c r="E3234" s="3" t="n">
        <v>167768</v>
      </c>
      <c r="F3234" s="3" t="inlineStr">
        <is>
          <t>generated output tokens/sec/MW</t>
        </is>
      </c>
      <c r="G3234" s="3" t="inlineStr">
        <is>
          <t>Fleet-weighted public benchmark reference</t>
        </is>
      </c>
      <c r="H3234" s="3" t="inlineStr">
        <is>
          <t>h200_share*h200_workload_avg + b200_share*b200_workload_avg + gb200_share*gb200_workload_avg + purpose_built_share*purpose_workload_avg</t>
        </is>
      </c>
      <c r="I323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34" s="3" t="inlineStr">
        <is>
          <t>SRC_SEMIANALYSIS_INFERENCEX; ASSUMP_NUMERIC_ACCELERATOR_MIX; ASSUMP_WORKLOAD_CLASS_MIX; ASSUMP_AGENTIC_CONTEXT_PENALTY</t>
        </is>
      </c>
      <c r="K3234" s="3" t="inlineStr">
        <is>
          <t>ASSUMP_TPU_EFFICIENCY; ASSUMP_POWER_RAMP; ASSUMP_NUMERIC_ACCELERATOR_MIX; ASSUMP_INFERENCE_SHARE_NOT_FACT_60; ASSUMP_WORKLOAD_CLASS_MIX; ASSUMP_AGENTIC_CONTEXT_PENALTY</t>
        </is>
      </c>
      <c r="L3234" s="3" t="inlineStr">
        <is>
          <t>Comparable production output-token throughput or a more closely matched benchmark.</t>
        </is>
      </c>
    </row>
    <row r="3235">
      <c r="A3235" s="3" t="inlineStr">
        <is>
          <t>Google</t>
        </is>
      </c>
      <c r="B3235" s="3" t="n">
        <v>2026</v>
      </c>
      <c r="C3235" s="3" t="inlineStr">
        <is>
          <t>Grid-Constrained / Efficiency-Upside</t>
        </is>
      </c>
      <c r="D3235" s="3" t="inlineStr">
        <is>
          <t>commercial_workload_fit_factor</t>
        </is>
      </c>
      <c r="E3235" s="3" t="n">
        <v>0.6</v>
      </c>
      <c r="F3235" s="3" t="inlineStr">
        <is>
          <t>share of public reference throughput</t>
        </is>
      </c>
      <c r="G3235" s="3" t="inlineStr">
        <is>
          <t>Scenario assumption</t>
        </is>
      </c>
      <c r="H3235" s="3" t="inlineStr">
        <is>
          <t>reference_serving_tps_per_mw = fleet_reference_tps_per_mw * commercial_workload_fit_factor</t>
        </is>
      </c>
      <c r="I3235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35" s="3" t="inlineStr">
        <is>
          <t>SRC_SEMIANALYSIS_INFERENCEX; ASSUMP_NUMERIC_ACCELERATOR_MIX; ASSUMP_WORKLOAD_CLASS_MIX; ASSUMP_AGENTIC_CONTEXT_PENALTY</t>
        </is>
      </c>
      <c r="K3235" s="3" t="inlineStr">
        <is>
          <t>ASSUMP_TPU_EFFICIENCY; ASSUMP_POWER_RAMP; ASSUMP_NUMERIC_ACCELERATOR_MIX; ASSUMP_INFERENCE_SHARE_NOT_FACT_60; ASSUMP_WORKLOAD_CLASS_MIX; ASSUMP_AGENTIC_CONTEXT_PENALTY</t>
        </is>
      </c>
      <c r="L3235" s="3" t="inlineStr">
        <is>
          <t>Matched commercial serving benchmark by product surface, context shape and latency SLO.</t>
        </is>
      </c>
    </row>
    <row r="3236">
      <c r="A3236" s="3" t="inlineStr">
        <is>
          <t>Google</t>
        </is>
      </c>
      <c r="B3236" s="3" t="n">
        <v>2026</v>
      </c>
      <c r="C3236" s="3" t="inlineStr">
        <is>
          <t>Grid-Constrained / Efficiency-Upside</t>
        </is>
      </c>
      <c r="D3236" s="3" t="inlineStr">
        <is>
          <t>reference_serving_tps_per_mw</t>
        </is>
      </c>
      <c r="E3236" s="3" t="n">
        <v>100661</v>
      </c>
      <c r="F3236" s="3" t="inlineStr">
        <is>
          <t>generated output tokens/sec/MW</t>
        </is>
      </c>
      <c r="G3236" s="3" t="inlineStr">
        <is>
          <t>Workload-adjusted benchmark proxy</t>
        </is>
      </c>
      <c r="H3236" s="3" t="inlineStr">
        <is>
          <t>fleet_reference_tps_per_mw * commercial_workload_fit_factor</t>
        </is>
      </c>
      <c r="I3236" s="3" t="inlineStr">
        <is>
          <t>This is the coefficient used for headline token generation; each GPU's short chat, long chat and agentic TPS/MW are weighted before fleet mix and commercial fit are applied.</t>
        </is>
      </c>
      <c r="J3236" s="3" t="inlineStr">
        <is>
          <t>SRC_SEMIANALYSIS_INFERENCEX; ASSUMP_NUMERIC_ACCELERATOR_MIX; ASSUMP_WORKLOAD_CLASS_MIX; ASSUMP_AGENTIC_CONTEXT_PENALTY</t>
        </is>
      </c>
      <c r="K3236" s="3" t="inlineStr">
        <is>
          <t>ASSUMP_TPU_EFFICIENCY; ASSUMP_POWER_RAMP; ASSUMP_NUMERIC_ACCELERATOR_MIX; ASSUMP_INFERENCE_SHARE_NOT_FACT_60; ASSUMP_WORKLOAD_CLASS_MIX; ASSUMP_AGENTIC_CONTEXT_PENALTY</t>
        </is>
      </c>
      <c r="L3236" s="3" t="inlineStr">
        <is>
          <t>Provider production output-token throughput with comparable workload/SLO.</t>
        </is>
      </c>
    </row>
    <row r="3237">
      <c r="A3237" s="3" t="inlineStr">
        <is>
          <t>Google</t>
        </is>
      </c>
      <c r="B3237" s="3" t="n">
        <v>2026</v>
      </c>
      <c r="C3237" s="3" t="inlineStr">
        <is>
          <t>Grid-Constrained / Efficiency-Upside</t>
        </is>
      </c>
      <c r="D3237" s="3" t="inlineStr">
        <is>
          <t>purpose_built_tps_per_mw</t>
        </is>
      </c>
      <c r="E3237" s="3" t="n">
        <v>81184</v>
      </c>
      <c r="F3237" s="3" t="inlineStr">
        <is>
          <t>generated output tokens/sec/MW</t>
        </is>
      </c>
      <c r="G3237" s="3" t="inlineStr">
        <is>
          <t>Conservative no-uplift proxy</t>
        </is>
      </c>
      <c r="H3237" s="3" t="inlineStr">
        <is>
          <t>purpose_built_tps_per_mw = purpose_built_reference_tps_per_mw * commercial_workload_fit_factor until comparable output-token benchmark is adopted</t>
        </is>
      </c>
      <c r="I3237" s="3" t="inlineStr">
        <is>
          <t>No comparable public output-token/MW row adopted; B200 public reference placeholder is used and remains editable.</t>
        </is>
      </c>
      <c r="J3237" s="3" t="inlineStr">
        <is>
          <t>SRC_GOOGLE_GEMINI_TOKENS; SRC_GOOGLE_IRONWOOD; SRC_GOOGLE_TPU_V6E; SRC_EPOCH_AI_DATA_CENTERS; ASSUMP_NUMERIC_ACCELERATOR_MIX</t>
        </is>
      </c>
      <c r="K3237" s="3" t="inlineStr">
        <is>
          <t>ASSUMP_TPU_EFFICIENCY; ASSUMP_POWER_RAMP; ASSUMP_NUMERIC_ACCELERATOR_MIX; ASSUMP_INFERENCE_SHARE_NOT_FACT_60; ASSUMP_WORKLOAD_CLASS_MIX; ASSUMP_AGENTIC_CONTEXT_PENALTY</t>
        </is>
      </c>
      <c r="L3237" s="3" t="inlineStr">
        <is>
          <t>Matched-workload generated-output benchmark for the provider purpose-built accelerator.</t>
        </is>
      </c>
    </row>
    <row r="3238">
      <c r="A3238" s="3" t="inlineStr">
        <is>
          <t>Google</t>
        </is>
      </c>
      <c r="B3238" s="3" t="n">
        <v>2026</v>
      </c>
      <c r="C3238" s="3" t="inlineStr">
        <is>
          <t>Grid-Constrained / Efficiency-Upside</t>
        </is>
      </c>
      <c r="D3238" s="3" t="inlineStr">
        <is>
          <t>inference_power_share</t>
        </is>
      </c>
      <c r="E3238" s="3" t="n">
        <v>0.57</v>
      </c>
      <c r="F3238" s="3" t="inlineStr">
        <is>
          <t>share of AI IT load</t>
        </is>
      </c>
      <c r="G3238" s="3" t="inlineStr">
        <is>
          <t>Scenario allocation</t>
        </is>
      </c>
      <c r="H3238" s="3" t="inlineStr">
        <is>
          <t>inference_gw = ai_it_load_gw * inference_power_share</t>
        </is>
      </c>
      <c r="I3238" s="3" t="inlineStr">
        <is>
          <t>Ironwood is positioned for inference and Gemini is commercialized across products; inference share increases as a scenario.</t>
        </is>
      </c>
      <c r="J3238" s="3" t="inlineStr">
        <is>
          <t>SRC_GOOGLE_GEMINI_TOKENS; SRC_GOOGLE_IRONWOOD; SRC_GOOGLE_TPU_V6E; SRC_EPOCH_AI_DATA_CENTERS; ASSUMP_INFERENCE_SHARE_NOT_FACT_60</t>
        </is>
      </c>
      <c r="K3238" s="3" t="inlineStr">
        <is>
          <t>ASSUMP_TPU_EFFICIENCY; ASSUMP_POWER_RAMP; ASSUMP_NUMERIC_ACCELERATOR_MIX; ASSUMP_INFERENCE_SHARE_NOT_FACT_60; ASSUMP_WORKLOAD_CLASS_MIX; ASSUMP_AGENTIC_CONTEXT_PENALTY</t>
        </is>
      </c>
      <c r="L3238" s="3" t="inlineStr">
        <is>
          <t>Provider-specific inference/training workload power telemetry.</t>
        </is>
      </c>
    </row>
    <row r="3239">
      <c r="A3239" s="3" t="inlineStr">
        <is>
          <t>Google</t>
        </is>
      </c>
      <c r="B3239" s="3" t="n">
        <v>2026</v>
      </c>
      <c r="C3239" s="3" t="inlineStr">
        <is>
          <t>Grid-Constrained / Efficiency-Upside</t>
        </is>
      </c>
      <c r="D3239" s="3" t="inlineStr">
        <is>
          <t>inference_gw</t>
        </is>
      </c>
      <c r="E3239" s="3" t="n">
        <v>0.823</v>
      </c>
      <c r="F3239" s="3" t="inlineStr">
        <is>
          <t>GW</t>
        </is>
      </c>
      <c r="G3239" s="3" t="inlineStr">
        <is>
          <t>Derived formula</t>
        </is>
      </c>
      <c r="H3239" s="3" t="inlineStr">
        <is>
          <t>ai_it_load_gw * inference_power_share</t>
        </is>
      </c>
      <c r="I3239" s="3" t="inlineStr">
        <is>
          <t>This is the operational power eligible to become commercial generated output tokens through the selected TPS/MW proxy.</t>
        </is>
      </c>
      <c r="J3239" s="3" t="inlineStr">
        <is>
          <t>SRC_GOOGLE_GEMINI_TOKENS; SRC_GOOGLE_IRONWOOD; SRC_GOOGLE_TPU_V6E; SRC_EPOCH_AI_DATA_CENTERS</t>
        </is>
      </c>
      <c r="K3239" s="3" t="inlineStr">
        <is>
          <t>ASSUMP_TPU_EFFICIENCY; ASSUMP_POWER_RAMP; ASSUMP_NUMERIC_ACCELERATOR_MIX; ASSUMP_INFERENCE_SHARE_NOT_FACT_60; ASSUMP_WORKLOAD_CLASS_MIX; ASSUMP_AGENTIC_CONTEXT_PENALTY</t>
        </is>
      </c>
      <c r="L3239" s="3" t="inlineStr">
        <is>
          <t>Recompute after AI allocation or inference-share evidence changes.</t>
        </is>
      </c>
    </row>
    <row r="3240">
      <c r="A3240" s="3" t="inlineStr">
        <is>
          <t>Google</t>
        </is>
      </c>
      <c r="B3240" s="3" t="n">
        <v>2026</v>
      </c>
      <c r="C3240" s="3" t="inlineStr">
        <is>
          <t>Grid-Constrained / Efficiency-Upside</t>
        </is>
      </c>
      <c r="D3240" s="3" t="inlineStr">
        <is>
          <t>training_power_share</t>
        </is>
      </c>
      <c r="E3240" s="3" t="n">
        <v>0.43</v>
      </c>
      <c r="F3240" s="3" t="inlineStr">
        <is>
          <t>share of AI IT load</t>
        </is>
      </c>
      <c r="G3240" s="3" t="inlineStr">
        <is>
          <t>Derived allocation</t>
        </is>
      </c>
      <c r="H3240" s="3" t="inlineStr">
        <is>
          <t>1 - inference_power_share</t>
        </is>
      </c>
      <c r="I3240" s="3" t="inlineStr">
        <is>
          <t>Training receives the complementary modeled AI IT allocation; it is not a disclosed company workload split.</t>
        </is>
      </c>
      <c r="J3240" s="3" t="inlineStr">
        <is>
          <t>SRC_GOOGLE_GEMINI_TOKENS; SRC_GOOGLE_IRONWOOD; SRC_GOOGLE_TPU_V6E; SRC_EPOCH_AI_DATA_CENTERS; ASSUMP_INFERENCE_SHARE_NOT_FACT_60</t>
        </is>
      </c>
      <c r="K3240" s="3" t="inlineStr">
        <is>
          <t>ASSUMP_TPU_EFFICIENCY; ASSUMP_POWER_RAMP; ASSUMP_NUMERIC_ACCELERATOR_MIX; ASSUMP_INFERENCE_SHARE_NOT_FACT_60; ASSUMP_WORKLOAD_CLASS_MIX; ASSUMP_AGENTIC_CONTEXT_PENALTY</t>
        </is>
      </c>
      <c r="L3240" s="3" t="inlineStr">
        <is>
          <t>Provider-specific inference/training workload power telemetry.</t>
        </is>
      </c>
    </row>
    <row r="3241">
      <c r="A3241" s="3" t="inlineStr">
        <is>
          <t>Google</t>
        </is>
      </c>
      <c r="B3241" s="3" t="n">
        <v>2026</v>
      </c>
      <c r="C3241" s="3" t="inlineStr">
        <is>
          <t>Grid-Constrained / Efficiency-Upside</t>
        </is>
      </c>
      <c r="D3241" s="3" t="inlineStr">
        <is>
          <t>training_gw</t>
        </is>
      </c>
      <c r="E3241" s="3" t="n">
        <v>0.621</v>
      </c>
      <c r="F3241" s="3" t="inlineStr">
        <is>
          <t>GW</t>
        </is>
      </c>
      <c r="G3241" s="3" t="inlineStr">
        <is>
          <t>Derived formula</t>
        </is>
      </c>
      <c r="H3241" s="3" t="inlineStr">
        <is>
          <t>ai_it_load_gw * training_power_share</t>
        </is>
      </c>
      <c r="I3241" s="3" t="inlineStr">
        <is>
          <t>Training GW is shown separately so commercial inference token capacity is not overstated.</t>
        </is>
      </c>
      <c r="J3241" s="3" t="inlineStr">
        <is>
          <t>SRC_GOOGLE_GEMINI_TOKENS; SRC_GOOGLE_IRONWOOD; SRC_GOOGLE_TPU_V6E; SRC_EPOCH_AI_DATA_CENTERS</t>
        </is>
      </c>
      <c r="K3241" s="3" t="inlineStr">
        <is>
          <t>ASSUMP_TPU_EFFICIENCY; ASSUMP_POWER_RAMP; ASSUMP_NUMERIC_ACCELERATOR_MIX; ASSUMP_INFERENCE_SHARE_NOT_FACT_60; ASSUMP_WORKLOAD_CLASS_MIX; ASSUMP_AGENTIC_CONTEXT_PENALTY</t>
        </is>
      </c>
      <c r="L3241" s="3" t="inlineStr">
        <is>
          <t>Recompute after AI allocation or workload-split evidence changes.</t>
        </is>
      </c>
    </row>
    <row r="3242">
      <c r="A3242" s="3" t="inlineStr">
        <is>
          <t>Google</t>
        </is>
      </c>
      <c r="B3242" s="3" t="n">
        <v>2026</v>
      </c>
      <c r="C3242" s="3" t="inlineStr">
        <is>
          <t>Grid-Constrained / Efficiency-Upside</t>
        </is>
      </c>
      <c r="D3242" s="3" t="inlineStr">
        <is>
          <t>tokens_per_second_per_mw</t>
        </is>
      </c>
      <c r="E3242" s="3" t="n">
        <v>100661</v>
      </c>
      <c r="F3242" s="3" t="inlineStr">
        <is>
          <t>generated output tokens/sec/MW</t>
        </is>
      </c>
      <c r="G3242" s="3" t="inlineStr">
        <is>
          <t>Derived estimate + benchmark calibration</t>
        </is>
      </c>
      <c r="H3242" s="3" t="inlineStr">
        <is>
          <t>fleet_reference_tps_per_mw * commercial_workload_fit_factor</t>
        </is>
      </c>
      <c r="I3242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42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242" s="3" t="inlineStr">
        <is>
          <t>ASSUMP_TPU_EFFICIENCY; ASSUMP_POWER_RAMP; ASSUMP_NUMERIC_ACCELERATOR_MIX; ASSUMP_INFERENCE_SHARE_NOT_FACT_60; ASSUMP_WORKLOAD_CLASS_MIX; ASSUMP_AGENTIC_CONTEXT_PENALTY</t>
        </is>
      </c>
      <c r="L3242" s="3" t="inlineStr">
        <is>
          <t>Comparable production output-token throughput with model, hardware, precision, ISL/OSL and SLO matched.</t>
        </is>
      </c>
    </row>
    <row r="3243">
      <c r="A3243" s="3" t="inlineStr">
        <is>
          <t>Google</t>
        </is>
      </c>
      <c r="B3243" s="3" t="n">
        <v>2026</v>
      </c>
      <c r="C3243" s="3" t="inlineStr">
        <is>
          <t>Grid-Constrained / Efficiency-Upside</t>
        </is>
      </c>
      <c r="D3243" s="3" t="inlineStr">
        <is>
          <t>inference_tokens_per_day</t>
        </is>
      </c>
      <c r="E3243" s="3" t="n">
        <v>7157721859200</v>
      </c>
      <c r="F3243" s="3" t="inlineStr">
        <is>
          <t>generated output tokens/day</t>
        </is>
      </c>
      <c r="G3243" s="3" t="inlineStr">
        <is>
          <t>Derived headline metric</t>
        </is>
      </c>
      <c r="H3243" s="3" t="inlineStr">
        <is>
          <t>inference_gw * 1000 * tokens_per_second_per_mw * 86,400</t>
        </is>
      </c>
      <c r="I3243" s="3" t="inlineStr">
        <is>
          <t>Headline capacity uses no utilization, MoE, architecture or software-growth multiplier; it is not observed commercial output volume.</t>
        </is>
      </c>
      <c r="J3243" s="3" t="inlineStr">
        <is>
          <t>SRC_GOOGLE_GEMINI_TOKENS; SRC_GOOGLE_IRONWOOD; SRC_GOOGLE_TPU_V6E; SRC_EPOCH_AI_DATA_CENTERS; SRC_SEMIANALYSIS_INFERENCEX</t>
        </is>
      </c>
      <c r="K3243" s="3" t="inlineStr">
        <is>
          <t>ASSUMP_TPU_EFFICIENCY; ASSUMP_POWER_RAMP; ASSUMP_NUMERIC_ACCELERATOR_MIX; ASSUMP_INFERENCE_SHARE_NOT_FACT_60; ASSUMP_WORKLOAD_CLASS_MIX; ASSUMP_AGENTIC_CONTEXT_PENALTY</t>
        </is>
      </c>
      <c r="L3243" s="3" t="inlineStr">
        <is>
          <t>Provider-disclosed generated output token volume or calibrated capacity telemetry.</t>
        </is>
      </c>
    </row>
    <row r="3244">
      <c r="A3244" s="3" t="inlineStr">
        <is>
          <t>Google</t>
        </is>
      </c>
      <c r="B3244" s="3" t="n">
        <v>2026</v>
      </c>
      <c r="C3244" s="3" t="inlineStr">
        <is>
          <t>Grid-Constrained / Efficiency-Upside</t>
        </is>
      </c>
      <c r="D3244" s="3" t="inlineStr">
        <is>
          <t>inference_tokens_per_year</t>
        </is>
      </c>
      <c r="E3244" s="3" t="n">
        <v>2612568478608000</v>
      </c>
      <c r="F3244" s="3" t="inlineStr">
        <is>
          <t>generated output tokens/year</t>
        </is>
      </c>
      <c r="G3244" s="3" t="inlineStr">
        <is>
          <t>Derived headline metric</t>
        </is>
      </c>
      <c r="H3244" s="3" t="inlineStr">
        <is>
          <t>inference_tokens_per_day * 365</t>
        </is>
      </c>
      <c r="I3244" s="3" t="inlineStr">
        <is>
          <t>Annualized version of generated output token capacity; it is not observed annual demand or billable volume.</t>
        </is>
      </c>
      <c r="J3244" s="3" t="inlineStr">
        <is>
          <t>SRC_GOOGLE_GEMINI_TOKENS; SRC_GOOGLE_IRONWOOD; SRC_GOOGLE_TPU_V6E; SRC_EPOCH_AI_DATA_CENTERS; SRC_SEMIANALYSIS_INFERENCEX</t>
        </is>
      </c>
      <c r="K3244" s="3" t="inlineStr">
        <is>
          <t>ASSUMP_TPU_EFFICIENCY; ASSUMP_POWER_RAMP; ASSUMP_NUMERIC_ACCELERATOR_MIX; ASSUMP_INFERENCE_SHARE_NOT_FACT_60; ASSUMP_WORKLOAD_CLASS_MIX; ASSUMP_AGENTIC_CONTEXT_PENALTY</t>
        </is>
      </c>
      <c r="L3244" s="3" t="inlineStr">
        <is>
          <t>Provider-disclosed annual generated-output volume or metered serving telemetry.</t>
        </is>
      </c>
    </row>
    <row r="3245">
      <c r="A3245" s="3" t="inlineStr">
        <is>
          <t>Google</t>
        </is>
      </c>
      <c r="B3245" s="3" t="n">
        <v>2027</v>
      </c>
      <c r="C3245" s="3" t="inlineStr">
        <is>
          <t>Grid-Constrained / Efficiency-Upside</t>
        </is>
      </c>
      <c r="D3245" s="3" t="inlineStr">
        <is>
          <t>contracted_power_gw</t>
        </is>
      </c>
      <c r="E3245" s="3" t="n">
        <v>5.375</v>
      </c>
      <c r="F3245" s="3" t="inlineStr">
        <is>
          <t>GW</t>
        </is>
      </c>
      <c r="G3245" s="3" t="inlineStr">
        <is>
          <t>Scenario capacity envelope</t>
        </is>
      </c>
      <c r="H3245" s="3" t="inlineStr">
        <is>
          <t>linear interpolation between 2026 and 2030 company capacity endpoints</t>
        </is>
      </c>
      <c r="I3245" s="3" t="inlineStr">
        <is>
          <t>Scenario envelope for Gemini-serving capacity; official TPU hardware direction is disclosed, company-level contracted GW is not.</t>
        </is>
      </c>
      <c r="J3245" s="3" t="inlineStr">
        <is>
          <t>ASSUMP_POWER_RAMP; SRC_GOOGLE_IRONWOOD; SRC_GOOGLE_TPU_V6E</t>
        </is>
      </c>
      <c r="K3245" s="3" t="inlineStr">
        <is>
          <t>ASSUMP_TPU_EFFICIENCY; ASSUMP_POWER_RAMP; ASSUMP_NUMERIC_ACCELERATOR_MIX; ASSUMP_INFERENCE_SHARE_NOT_FACT_60; ASSUMP_WORKLOAD_CLASS_MIX; ASSUMP_AGENTIC_CONTEXT_PENALTY</t>
        </is>
      </c>
      <c r="L3245" s="3" t="inlineStr">
        <is>
          <t>Company/site-level committed MW/GW, interconnect and contract disclosure.</t>
        </is>
      </c>
    </row>
    <row r="3246">
      <c r="A3246" s="3" t="inlineStr">
        <is>
          <t>Google</t>
        </is>
      </c>
      <c r="B3246" s="3" t="n">
        <v>2027</v>
      </c>
      <c r="C3246" s="3" t="inlineStr">
        <is>
          <t>Grid-Constrained / Efficiency-Upside</t>
        </is>
      </c>
      <c r="D3246" s="3" t="inlineStr">
        <is>
          <t>operational_deployment_share</t>
        </is>
      </c>
      <c r="E3246" s="3" t="n">
        <v>0.52353488</v>
      </c>
      <c r="F3246" s="3" t="inlineStr">
        <is>
          <t>share</t>
        </is>
      </c>
      <c r="G3246" s="3" t="inlineStr">
        <is>
          <t>Scenario conversion</t>
        </is>
      </c>
      <c r="H3246" s="3" t="inlineStr">
        <is>
          <t>active_power_gw / contracted_power_gw</t>
        </is>
      </c>
      <c r="I3246" s="3" t="inlineStr">
        <is>
          <t>This is the single explicit conversion from contracted/attributed capacity to operationally usable capacity.</t>
        </is>
      </c>
      <c r="J3246" s="3" t="inlineStr">
        <is>
          <t>ASSUMP_POWER_RAMP; SRC_GOOGLE_IRONWOOD; SRC_GOOGLE_TPU_V6E</t>
        </is>
      </c>
      <c r="K3246" s="3" t="inlineStr">
        <is>
          <t>ASSUMP_TPU_EFFICIENCY; ASSUMP_POWER_RAMP; ASSUMP_NUMERIC_ACCELERATOR_MIX; ASSUMP_INFERENCE_SHARE_NOT_FACT_60; ASSUMP_WORKLOAD_CLASS_MIX; ASSUMP_AGENTIC_CONTEXT_PENALTY</t>
        </is>
      </c>
      <c r="L3246" s="3" t="inlineStr">
        <is>
          <t>Energized operational capacity divided by contracted/attributed capacity.</t>
        </is>
      </c>
    </row>
    <row r="3247">
      <c r="A3247" s="3" t="inlineStr">
        <is>
          <t>Google</t>
        </is>
      </c>
      <c r="B3247" s="3" t="n">
        <v>2027</v>
      </c>
      <c r="C3247" s="3" t="inlineStr">
        <is>
          <t>Grid-Constrained / Efficiency-Upside</t>
        </is>
      </c>
      <c r="D3247" s="3" t="inlineStr">
        <is>
          <t>active_power_gw</t>
        </is>
      </c>
      <c r="E3247" s="3" t="n">
        <v>2.814</v>
      </c>
      <c r="F3247" s="3" t="inlineStr">
        <is>
          <t>GW</t>
        </is>
      </c>
      <c r="G3247" s="3" t="inlineStr">
        <is>
          <t>Derived scenario</t>
        </is>
      </c>
      <c r="H3247" s="3" t="inlineStr">
        <is>
          <t>contracted_power_gw * operational_deployment_share</t>
        </is>
      </c>
      <c r="I3247" s="3" t="inlineStr">
        <is>
          <t>TPU generation availability supports ramp direction, while active GW remains a staged deployment estimate.</t>
        </is>
      </c>
      <c r="J3247" s="3" t="inlineStr">
        <is>
          <t>ASSUMP_POWER_RAMP; SRC_GOOGLE_IRONWOOD; SRC_GOOGLE_TPU_V6E</t>
        </is>
      </c>
      <c r="K3247" s="3" t="inlineStr">
        <is>
          <t>ASSUMP_TPU_EFFICIENCY; ASSUMP_POWER_RAMP; ASSUMP_NUMERIC_ACCELERATOR_MIX; ASSUMP_INFERENCE_SHARE_NOT_FACT_60; ASSUMP_WORKLOAD_CLASS_MIX; ASSUMP_AGENTIC_CONTEXT_PENALTY</t>
        </is>
      </c>
      <c r="L3247" s="3" t="inlineStr">
        <is>
          <t>Energization dates, accelerator deliveries and operational powered-rack telemetry.</t>
        </is>
      </c>
    </row>
    <row r="3248">
      <c r="A3248" s="3" t="inlineStr">
        <is>
          <t>Google</t>
        </is>
      </c>
      <c r="B3248" s="3" t="n">
        <v>2027</v>
      </c>
      <c r="C3248" s="3" t="inlineStr">
        <is>
          <t>Grid-Constrained / Efficiency-Upside</t>
        </is>
      </c>
      <c r="D3248" s="3" t="inlineStr">
        <is>
          <t>pue</t>
        </is>
      </c>
      <c r="E3248" s="3" t="n">
        <v>1.18</v>
      </c>
      <c r="F3248" s="3" t="inlineStr">
        <is>
          <t>ratio</t>
        </is>
      </c>
      <c r="G3248" s="3" t="inlineStr">
        <is>
          <t>Scenario parameter</t>
        </is>
      </c>
      <c r="H3248" s="3" t="inlineStr">
        <is>
          <t>it_load_gw = active_power_gw / pue</t>
        </is>
      </c>
      <c r="I3248" s="3" t="inlineStr">
        <is>
          <t>No provider-wide site-level PUE is used as a disclosed fact; PUE represents facility-to-IT conversion within the scenario.</t>
        </is>
      </c>
      <c r="J3248" s="3" t="inlineStr">
        <is>
          <t>ASSUMP_POWER_RAMP</t>
        </is>
      </c>
      <c r="K3248" s="3" t="inlineStr">
        <is>
          <t>ASSUMP_TPU_EFFICIENCY; ASSUMP_POWER_RAMP; ASSUMP_NUMERIC_ACCELERATOR_MIX; ASSUMP_INFERENCE_SHARE_NOT_FACT_60; ASSUMP_WORKLOAD_CLASS_MIX; ASSUMP_AGENTIC_CONTEXT_PENALTY</t>
        </is>
      </c>
      <c r="L3248" s="3" t="inlineStr">
        <is>
          <t>Site-level measured PUE matched to attributed AI capacity.</t>
        </is>
      </c>
    </row>
    <row r="3249">
      <c r="A3249" s="3" t="inlineStr">
        <is>
          <t>Google</t>
        </is>
      </c>
      <c r="B3249" s="3" t="n">
        <v>2027</v>
      </c>
      <c r="C3249" s="3" t="inlineStr">
        <is>
          <t>Grid-Constrained / Efficiency-Upside</t>
        </is>
      </c>
      <c r="D3249" s="3" t="inlineStr">
        <is>
          <t>it_load_gw</t>
        </is>
      </c>
      <c r="E3249" s="3" t="n">
        <v>2.385</v>
      </c>
      <c r="F3249" s="3" t="inlineStr">
        <is>
          <t>GW</t>
        </is>
      </c>
      <c r="G3249" s="3" t="inlineStr">
        <is>
          <t>Derived formula</t>
        </is>
      </c>
      <c r="H3249" s="3" t="inlineStr">
        <is>
          <t>active_power_gw / pue</t>
        </is>
      </c>
      <c r="I3249" s="3" t="inlineStr">
        <is>
          <t>Facility power is converted to IT-deliverable power before attributing AI workloads.</t>
        </is>
      </c>
      <c r="J3249" s="3" t="inlineStr">
        <is>
          <t>ASSUMP_POWER_RAMP; SRC_GOOGLE_IRONWOOD; SRC_GOOGLE_TPU_V6E</t>
        </is>
      </c>
      <c r="K3249" s="3" t="inlineStr">
        <is>
          <t>ASSUMP_TPU_EFFICIENCY; ASSUMP_POWER_RAMP; ASSUMP_NUMERIC_ACCELERATOR_MIX; ASSUMP_INFERENCE_SHARE_NOT_FACT_60; ASSUMP_WORKLOAD_CLASS_MIX; ASSUMP_AGENTIC_CONTEXT_PENALTY</t>
        </is>
      </c>
      <c r="L3249" s="3" t="inlineStr">
        <is>
          <t>Recompute once active power and PUE become site-observable.</t>
        </is>
      </c>
    </row>
    <row r="3250">
      <c r="A3250" s="3" t="inlineStr">
        <is>
          <t>Google</t>
        </is>
      </c>
      <c r="B3250" s="3" t="n">
        <v>2027</v>
      </c>
      <c r="C3250" s="3" t="inlineStr">
        <is>
          <t>Grid-Constrained / Efficiency-Upside</t>
        </is>
      </c>
      <c r="D3250" s="3" t="inlineStr">
        <is>
          <t>ai_workload_share</t>
        </is>
      </c>
      <c r="E3250" s="3" t="n">
        <v>0.88</v>
      </c>
      <c r="F3250" s="3" t="inlineStr">
        <is>
          <t>share</t>
        </is>
      </c>
      <c r="G3250" s="3" t="inlineStr">
        <is>
          <t>Scenario allocation</t>
        </is>
      </c>
      <c r="H3250" s="3" t="inlineStr">
        <is>
          <t>ai_it_load_gw = it_load_gw * ai_workload_share</t>
        </is>
      </c>
      <c r="I3250" s="3" t="inlineStr">
        <is>
          <t>Gemini/Vertex TPU serving is AI-dedicated in the modeled capacity envelope; 88% excludes platform/reserve load.</t>
        </is>
      </c>
      <c r="J3250" s="3" t="inlineStr">
        <is>
          <t>SRC_GOOGLE_GEMINI_TOKENS; SRC_GOOGLE_IRONWOOD; SRC_GOOGLE_TPU_V6E; SRC_EPOCH_AI_DATA_CENTERS</t>
        </is>
      </c>
      <c r="K3250" s="3" t="inlineStr">
        <is>
          <t>ASSUMP_TPU_EFFICIENCY; ASSUMP_POWER_RAMP; ASSUMP_NUMERIC_ACCELERATOR_MIX; ASSUMP_INFERENCE_SHARE_NOT_FACT_60; ASSUMP_WORKLOAD_CLASS_MIX; ASSUMP_AGENTIC_CONTEXT_PENALTY</t>
        </is>
      </c>
      <c r="L3250" s="3" t="inlineStr">
        <is>
          <t>Model-owner AI workload allocation or cluster scheduling telemetry.</t>
        </is>
      </c>
    </row>
    <row r="3251">
      <c r="A3251" s="3" t="inlineStr">
        <is>
          <t>Google</t>
        </is>
      </c>
      <c r="B3251" s="3" t="n">
        <v>2027</v>
      </c>
      <c r="C3251" s="3" t="inlineStr">
        <is>
          <t>Grid-Constrained / Efficiency-Upside</t>
        </is>
      </c>
      <c r="D3251" s="3" t="inlineStr">
        <is>
          <t>ai_it_load_gw</t>
        </is>
      </c>
      <c r="E3251" s="3" t="n">
        <v>2.099</v>
      </c>
      <c r="F3251" s="3" t="inlineStr">
        <is>
          <t>GW</t>
        </is>
      </c>
      <c r="G3251" s="3" t="inlineStr">
        <is>
          <t>Derived formula</t>
        </is>
      </c>
      <c r="H3251" s="3" t="inlineStr">
        <is>
          <t>it_load_gw * ai_workload_share</t>
        </is>
      </c>
      <c r="I3251" s="3" t="inlineStr">
        <is>
          <t>Only the AI-attributed portion of IT load enters training/inference allocation.</t>
        </is>
      </c>
      <c r="J3251" s="3" t="inlineStr">
        <is>
          <t>SRC_GOOGLE_GEMINI_TOKENS; SRC_GOOGLE_IRONWOOD; SRC_GOOGLE_TPU_V6E; SRC_EPOCH_AI_DATA_CENTERS</t>
        </is>
      </c>
      <c r="K3251" s="3" t="inlineStr">
        <is>
          <t>ASSUMP_TPU_EFFICIENCY; ASSUMP_POWER_RAMP; ASSUMP_NUMERIC_ACCELERATOR_MIX; ASSUMP_INFERENCE_SHARE_NOT_FACT_60; ASSUMP_WORKLOAD_CLASS_MIX; ASSUMP_AGENTIC_CONTEXT_PENALTY</t>
        </is>
      </c>
      <c r="L3251" s="3" t="inlineStr">
        <is>
          <t>Recompute after ai_workload_share is replaced by telemetry.</t>
        </is>
      </c>
    </row>
    <row r="3252">
      <c r="A3252" s="3" t="inlineStr">
        <is>
          <t>Google</t>
        </is>
      </c>
      <c r="B3252" s="3" t="n">
        <v>2027</v>
      </c>
      <c r="C3252" s="3" t="inlineStr">
        <is>
          <t>Grid-Constrained / Efficiency-Upside</t>
        </is>
      </c>
      <c r="D3252" s="3" t="inlineStr">
        <is>
          <t>gpu_share</t>
        </is>
      </c>
      <c r="E3252" s="3" t="n">
        <v>0.105947</v>
      </c>
      <c r="F3252" s="3" t="inlineStr">
        <is>
          <t>share of inference-serving accelerator load</t>
        </is>
      </c>
      <c r="G3252" s="3" t="inlineStr">
        <is>
          <t>Numeric scenario</t>
        </is>
      </c>
      <c r="H3252" s="3" t="inlineStr">
        <is>
          <t>gpu_share interpolated from company 2026/2030 accelerator-mix endpoints</t>
        </is>
      </c>
      <c r="I3252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52" s="3" t="inlineStr">
        <is>
          <t>SRC_GOOGLE_GEMINI_TOKENS; SRC_GOOGLE_IRONWOOD; SRC_GOOGLE_TPU_V6E; SRC_EPOCH_AI_DATA_CENTERS; ASSUMP_NUMERIC_ACCELERATOR_MIX</t>
        </is>
      </c>
      <c r="K3252" s="3" t="inlineStr">
        <is>
          <t>ASSUMP_TPU_EFFICIENCY; ASSUMP_POWER_RAMP; ASSUMP_NUMERIC_ACCELERATOR_MIX; ASSUMP_INFERENCE_SHARE_NOT_FACT_60; ASSUMP_WORKLOAD_CLASS_MIX; ASSUMP_AGENTIC_CONTEXT_PENALTY</t>
        </is>
      </c>
      <c r="L3252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53">
      <c r="A3253" s="3" t="inlineStr">
        <is>
          <t>Google</t>
        </is>
      </c>
      <c r="B3253" s="3" t="n">
        <v>2027</v>
      </c>
      <c r="C3253" s="3" t="inlineStr">
        <is>
          <t>Grid-Constrained / Efficiency-Upside</t>
        </is>
      </c>
      <c r="D3253" s="3" t="inlineStr">
        <is>
          <t>h200_share</t>
        </is>
      </c>
      <c r="E3253" s="3" t="n">
        <v>0.005625</v>
      </c>
      <c r="F3253" s="3" t="inlineStr">
        <is>
          <t>share of inference-serving accelerator load</t>
        </is>
      </c>
      <c r="G3253" s="3" t="inlineStr">
        <is>
          <t>Editable numeric scenario</t>
        </is>
      </c>
      <c r="H3253" s="3" t="inlineStr">
        <is>
          <t>h200_share = gpu_share * default_gpu_generation_mix_h200</t>
        </is>
      </c>
      <c r="I3253" s="3" t="inlineStr">
        <is>
          <t>Default GPU-generation migration assumption; executive workbook allows later manual replacement by company/year/scenario.</t>
        </is>
      </c>
      <c r="J3253" s="3" t="inlineStr">
        <is>
          <t>SRC_SEMIANALYSIS_INFERENCEX; ASSUMP_NUMERIC_ACCELERATOR_MIX</t>
        </is>
      </c>
      <c r="K3253" s="3" t="inlineStr">
        <is>
          <t>ASSUMP_TPU_EFFICIENCY; ASSUMP_POWER_RAMP; ASSUMP_NUMERIC_ACCELERATOR_MIX; ASSUMP_INFERENCE_SHARE_NOT_FACT_60; ASSUMP_WORKLOAD_CLASS_MIX; ASSUMP_AGENTIC_CONTEXT_PENALTY</t>
        </is>
      </c>
      <c r="L3253" s="3" t="inlineStr">
        <is>
          <t>Company fleet inventory, accelerator-hours or procurement/deployment records by GPU generation.</t>
        </is>
      </c>
    </row>
    <row r="3254">
      <c r="A3254" s="3" t="inlineStr">
        <is>
          <t>Google</t>
        </is>
      </c>
      <c r="B3254" s="3" t="n">
        <v>2027</v>
      </c>
      <c r="C3254" s="3" t="inlineStr">
        <is>
          <t>Grid-Constrained / Efficiency-Upside</t>
        </is>
      </c>
      <c r="D3254" s="3" t="inlineStr">
        <is>
          <t>b200_share</t>
        </is>
      </c>
      <c r="E3254" s="3" t="n">
        <v>0.098131</v>
      </c>
      <c r="F3254" s="3" t="inlineStr">
        <is>
          <t>share of inference-serving accelerator load</t>
        </is>
      </c>
      <c r="G3254" s="3" t="inlineStr">
        <is>
          <t>Editable numeric scenario</t>
        </is>
      </c>
      <c r="H3254" s="3" t="inlineStr">
        <is>
          <t>b200_share = gpu_share * default_gpu_generation_mix_b200</t>
        </is>
      </c>
      <c r="I3254" s="3" t="inlineStr">
        <is>
          <t>Default GPU-generation migration assumption; executive workbook allows later manual replacement by company/year/scenario.</t>
        </is>
      </c>
      <c r="J3254" s="3" t="inlineStr">
        <is>
          <t>SRC_SEMIANALYSIS_INFERENCEX; ASSUMP_NUMERIC_ACCELERATOR_MIX</t>
        </is>
      </c>
      <c r="K3254" s="3" t="inlineStr">
        <is>
          <t>ASSUMP_TPU_EFFICIENCY; ASSUMP_POWER_RAMP; ASSUMP_NUMERIC_ACCELERATOR_MIX; ASSUMP_INFERENCE_SHARE_NOT_FACT_60; ASSUMP_WORKLOAD_CLASS_MIX; ASSUMP_AGENTIC_CONTEXT_PENALTY</t>
        </is>
      </c>
      <c r="L3254" s="3" t="inlineStr">
        <is>
          <t>Company fleet inventory, accelerator-hours or procurement/deployment records by GPU generation.</t>
        </is>
      </c>
    </row>
    <row r="3255">
      <c r="A3255" s="3" t="inlineStr">
        <is>
          <t>Google</t>
        </is>
      </c>
      <c r="B3255" s="3" t="n">
        <v>2027</v>
      </c>
      <c r="C3255" s="3" t="inlineStr">
        <is>
          <t>Grid-Constrained / Efficiency-Upside</t>
        </is>
      </c>
      <c r="D3255" s="3" t="inlineStr">
        <is>
          <t>gb200_share</t>
        </is>
      </c>
      <c r="E3255" s="3" t="n">
        <v>0.002191</v>
      </c>
      <c r="F3255" s="3" t="inlineStr">
        <is>
          <t>share of inference-serving accelerator load</t>
        </is>
      </c>
      <c r="G3255" s="3" t="inlineStr">
        <is>
          <t>Editable numeric scenario</t>
        </is>
      </c>
      <c r="H3255" s="3" t="inlineStr">
        <is>
          <t>gb200_share = gpu_share * default_gpu_generation_mix_gb200</t>
        </is>
      </c>
      <c r="I3255" s="3" t="inlineStr">
        <is>
          <t>Default GPU-generation migration assumption; executive workbook allows later manual replacement by company/year/scenario.</t>
        </is>
      </c>
      <c r="J3255" s="3" t="inlineStr">
        <is>
          <t>SRC_SEMIANALYSIS_INFERENCEX; ASSUMP_NUMERIC_ACCELERATOR_MIX</t>
        </is>
      </c>
      <c r="K3255" s="3" t="inlineStr">
        <is>
          <t>ASSUMP_TPU_EFFICIENCY; ASSUMP_POWER_RAMP; ASSUMP_NUMERIC_ACCELERATOR_MIX; ASSUMP_INFERENCE_SHARE_NOT_FACT_60; ASSUMP_WORKLOAD_CLASS_MIX; ASSUMP_AGENTIC_CONTEXT_PENALTY</t>
        </is>
      </c>
      <c r="L3255" s="3" t="inlineStr">
        <is>
          <t>Company fleet inventory, accelerator-hours or procurement/deployment records by GPU generation.</t>
        </is>
      </c>
    </row>
    <row r="3256">
      <c r="A3256" s="3" t="inlineStr">
        <is>
          <t>Google</t>
        </is>
      </c>
      <c r="B3256" s="3" t="n">
        <v>2027</v>
      </c>
      <c r="C3256" s="3" t="inlineStr">
        <is>
          <t>Grid-Constrained / Efficiency-Upside</t>
        </is>
      </c>
      <c r="D3256" s="3" t="inlineStr">
        <is>
          <t>purpose_built_accelerator_share</t>
        </is>
      </c>
      <c r="E3256" s="3" t="n">
        <v>0.894053</v>
      </c>
      <c r="F3256" s="3" t="inlineStr">
        <is>
          <t>share of inference-serving accelerator load</t>
        </is>
      </c>
      <c r="G3256" s="3" t="inlineStr">
        <is>
          <t>Numeric scenario</t>
        </is>
      </c>
      <c r="H3256" s="3" t="inlineStr">
        <is>
          <t>1 - gpu_share</t>
        </is>
      </c>
      <c r="I3256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56" s="3" t="inlineStr">
        <is>
          <t>SRC_GOOGLE_GEMINI_TOKENS; SRC_GOOGLE_IRONWOOD; SRC_GOOGLE_TPU_V6E; SRC_EPOCH_AI_DATA_CENTERS; ASSUMP_NUMERIC_ACCELERATOR_MIX</t>
        </is>
      </c>
      <c r="K3256" s="3" t="inlineStr">
        <is>
          <t>ASSUMP_TPU_EFFICIENCY; ASSUMP_POWER_RAMP; ASSUMP_NUMERIC_ACCELERATOR_MIX; ASSUMP_INFERENCE_SHARE_NOT_FACT_60; ASSUMP_WORKLOAD_CLASS_MIX; ASSUMP_AGENTIC_CONTEXT_PENALTY</t>
        </is>
      </c>
      <c r="L3256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57">
      <c r="A3257" s="3" t="inlineStr">
        <is>
          <t>Google</t>
        </is>
      </c>
      <c r="B3257" s="3" t="n">
        <v>2027</v>
      </c>
      <c r="C3257" s="3" t="inlineStr">
        <is>
          <t>Grid-Constrained / Efficiency-Upside</t>
        </is>
      </c>
      <c r="D3257" s="3" t="inlineStr">
        <is>
          <t>fleet_reference_tps_per_mw</t>
        </is>
      </c>
      <c r="E3257" s="3" t="n">
        <v>173666</v>
      </c>
      <c r="F3257" s="3" t="inlineStr">
        <is>
          <t>generated output tokens/sec/MW</t>
        </is>
      </c>
      <c r="G3257" s="3" t="inlineStr">
        <is>
          <t>Fleet-weighted public benchmark reference</t>
        </is>
      </c>
      <c r="H3257" s="3" t="inlineStr">
        <is>
          <t>h200_share*h200_workload_avg + b200_share*b200_workload_avg + gb200_share*gb200_workload_avg + purpose_built_share*purpose_workload_avg</t>
        </is>
      </c>
      <c r="I325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57" s="3" t="inlineStr">
        <is>
          <t>SRC_SEMIANALYSIS_INFERENCEX; ASSUMP_NUMERIC_ACCELERATOR_MIX; ASSUMP_WORKLOAD_CLASS_MIX; ASSUMP_AGENTIC_CONTEXT_PENALTY</t>
        </is>
      </c>
      <c r="K3257" s="3" t="inlineStr">
        <is>
          <t>ASSUMP_TPU_EFFICIENCY; ASSUMP_POWER_RAMP; ASSUMP_NUMERIC_ACCELERATOR_MIX; ASSUMP_INFERENCE_SHARE_NOT_FACT_60; ASSUMP_WORKLOAD_CLASS_MIX; ASSUMP_AGENTIC_CONTEXT_PENALTY</t>
        </is>
      </c>
      <c r="L3257" s="3" t="inlineStr">
        <is>
          <t>Comparable production output-token throughput or a more closely matched benchmark.</t>
        </is>
      </c>
    </row>
    <row r="3258">
      <c r="A3258" s="3" t="inlineStr">
        <is>
          <t>Google</t>
        </is>
      </c>
      <c r="B3258" s="3" t="n">
        <v>2027</v>
      </c>
      <c r="C3258" s="3" t="inlineStr">
        <is>
          <t>Grid-Constrained / Efficiency-Upside</t>
        </is>
      </c>
      <c r="D3258" s="3" t="inlineStr">
        <is>
          <t>commercial_workload_fit_factor</t>
        </is>
      </c>
      <c r="E3258" s="3" t="n">
        <v>0.6</v>
      </c>
      <c r="F3258" s="3" t="inlineStr">
        <is>
          <t>share of public reference throughput</t>
        </is>
      </c>
      <c r="G3258" s="3" t="inlineStr">
        <is>
          <t>Scenario assumption</t>
        </is>
      </c>
      <c r="H3258" s="3" t="inlineStr">
        <is>
          <t>reference_serving_tps_per_mw = fleet_reference_tps_per_mw * commercial_workload_fit_factor</t>
        </is>
      </c>
      <c r="I3258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58" s="3" t="inlineStr">
        <is>
          <t>SRC_SEMIANALYSIS_INFERENCEX; ASSUMP_NUMERIC_ACCELERATOR_MIX; ASSUMP_WORKLOAD_CLASS_MIX; ASSUMP_AGENTIC_CONTEXT_PENALTY</t>
        </is>
      </c>
      <c r="K3258" s="3" t="inlineStr">
        <is>
          <t>ASSUMP_TPU_EFFICIENCY; ASSUMP_POWER_RAMP; ASSUMP_NUMERIC_ACCELERATOR_MIX; ASSUMP_INFERENCE_SHARE_NOT_FACT_60; ASSUMP_WORKLOAD_CLASS_MIX; ASSUMP_AGENTIC_CONTEXT_PENALTY</t>
        </is>
      </c>
      <c r="L3258" s="3" t="inlineStr">
        <is>
          <t>Matched commercial serving benchmark by product surface, context shape and latency SLO.</t>
        </is>
      </c>
    </row>
    <row r="3259">
      <c r="A3259" s="3" t="inlineStr">
        <is>
          <t>Google</t>
        </is>
      </c>
      <c r="B3259" s="3" t="n">
        <v>2027</v>
      </c>
      <c r="C3259" s="3" t="inlineStr">
        <is>
          <t>Grid-Constrained / Efficiency-Upside</t>
        </is>
      </c>
      <c r="D3259" s="3" t="inlineStr">
        <is>
          <t>reference_serving_tps_per_mw</t>
        </is>
      </c>
      <c r="E3259" s="3" t="n">
        <v>104200</v>
      </c>
      <c r="F3259" s="3" t="inlineStr">
        <is>
          <t>generated output tokens/sec/MW</t>
        </is>
      </c>
      <c r="G3259" s="3" t="inlineStr">
        <is>
          <t>Workload-adjusted benchmark proxy</t>
        </is>
      </c>
      <c r="H3259" s="3" t="inlineStr">
        <is>
          <t>fleet_reference_tps_per_mw * commercial_workload_fit_factor</t>
        </is>
      </c>
      <c r="I3259" s="3" t="inlineStr">
        <is>
          <t>This is the coefficient used for headline token generation; each GPU's short chat, long chat and agentic TPS/MW are weighted before fleet mix and commercial fit are applied.</t>
        </is>
      </c>
      <c r="J3259" s="3" t="inlineStr">
        <is>
          <t>SRC_SEMIANALYSIS_INFERENCEX; ASSUMP_NUMERIC_ACCELERATOR_MIX; ASSUMP_WORKLOAD_CLASS_MIX; ASSUMP_AGENTIC_CONTEXT_PENALTY</t>
        </is>
      </c>
      <c r="K3259" s="3" t="inlineStr">
        <is>
          <t>ASSUMP_TPU_EFFICIENCY; ASSUMP_POWER_RAMP; ASSUMP_NUMERIC_ACCELERATOR_MIX; ASSUMP_INFERENCE_SHARE_NOT_FACT_60; ASSUMP_WORKLOAD_CLASS_MIX; ASSUMP_AGENTIC_CONTEXT_PENALTY</t>
        </is>
      </c>
      <c r="L3259" s="3" t="inlineStr">
        <is>
          <t>Provider production output-token throughput with comparable workload/SLO.</t>
        </is>
      </c>
    </row>
    <row r="3260">
      <c r="A3260" s="3" t="inlineStr">
        <is>
          <t>Google</t>
        </is>
      </c>
      <c r="B3260" s="3" t="n">
        <v>2027</v>
      </c>
      <c r="C3260" s="3" t="inlineStr">
        <is>
          <t>Grid-Constrained / Efficiency-Upside</t>
        </is>
      </c>
      <c r="D3260" s="3" t="inlineStr">
        <is>
          <t>purpose_built_tps_per_mw</t>
        </is>
      </c>
      <c r="E3260" s="3" t="n">
        <v>81184</v>
      </c>
      <c r="F3260" s="3" t="inlineStr">
        <is>
          <t>generated output tokens/sec/MW</t>
        </is>
      </c>
      <c r="G3260" s="3" t="inlineStr">
        <is>
          <t>Conservative no-uplift proxy</t>
        </is>
      </c>
      <c r="H3260" s="3" t="inlineStr">
        <is>
          <t>purpose_built_tps_per_mw = purpose_built_reference_tps_per_mw * commercial_workload_fit_factor until comparable output-token benchmark is adopted</t>
        </is>
      </c>
      <c r="I3260" s="3" t="inlineStr">
        <is>
          <t>No comparable public output-token/MW row adopted; B200 public reference placeholder is used and remains editable.</t>
        </is>
      </c>
      <c r="J3260" s="3" t="inlineStr">
        <is>
          <t>SRC_GOOGLE_GEMINI_TOKENS; SRC_GOOGLE_IRONWOOD; SRC_GOOGLE_TPU_V6E; SRC_EPOCH_AI_DATA_CENTERS; ASSUMP_NUMERIC_ACCELERATOR_MIX</t>
        </is>
      </c>
      <c r="K3260" s="3" t="inlineStr">
        <is>
          <t>ASSUMP_TPU_EFFICIENCY; ASSUMP_POWER_RAMP; ASSUMP_NUMERIC_ACCELERATOR_MIX; ASSUMP_INFERENCE_SHARE_NOT_FACT_60; ASSUMP_WORKLOAD_CLASS_MIX; ASSUMP_AGENTIC_CONTEXT_PENALTY</t>
        </is>
      </c>
      <c r="L3260" s="3" t="inlineStr">
        <is>
          <t>Matched-workload generated-output benchmark for the provider purpose-built accelerator.</t>
        </is>
      </c>
    </row>
    <row r="3261">
      <c r="A3261" s="3" t="inlineStr">
        <is>
          <t>Google</t>
        </is>
      </c>
      <c r="B3261" s="3" t="n">
        <v>2027</v>
      </c>
      <c r="C3261" s="3" t="inlineStr">
        <is>
          <t>Grid-Constrained / Efficiency-Upside</t>
        </is>
      </c>
      <c r="D3261" s="3" t="inlineStr">
        <is>
          <t>inference_power_share</t>
        </is>
      </c>
      <c r="E3261" s="3" t="n">
        <v>0.618</v>
      </c>
      <c r="F3261" s="3" t="inlineStr">
        <is>
          <t>share of AI IT load</t>
        </is>
      </c>
      <c r="G3261" s="3" t="inlineStr">
        <is>
          <t>Scenario allocation</t>
        </is>
      </c>
      <c r="H3261" s="3" t="inlineStr">
        <is>
          <t>inference_gw = ai_it_load_gw * inference_power_share</t>
        </is>
      </c>
      <c r="I3261" s="3" t="inlineStr">
        <is>
          <t>Ironwood is positioned for inference and Gemini is commercialized across products; inference share increases as a scenario.</t>
        </is>
      </c>
      <c r="J3261" s="3" t="inlineStr">
        <is>
          <t>SRC_GOOGLE_GEMINI_TOKENS; SRC_GOOGLE_IRONWOOD; SRC_GOOGLE_TPU_V6E; SRC_EPOCH_AI_DATA_CENTERS; ASSUMP_INFERENCE_SHARE_NOT_FACT_60</t>
        </is>
      </c>
      <c r="K3261" s="3" t="inlineStr">
        <is>
          <t>ASSUMP_TPU_EFFICIENCY; ASSUMP_POWER_RAMP; ASSUMP_NUMERIC_ACCELERATOR_MIX; ASSUMP_INFERENCE_SHARE_NOT_FACT_60; ASSUMP_WORKLOAD_CLASS_MIX; ASSUMP_AGENTIC_CONTEXT_PENALTY</t>
        </is>
      </c>
      <c r="L3261" s="3" t="inlineStr">
        <is>
          <t>Provider-specific inference/training workload power telemetry.</t>
        </is>
      </c>
    </row>
    <row r="3262">
      <c r="A3262" s="3" t="inlineStr">
        <is>
          <t>Google</t>
        </is>
      </c>
      <c r="B3262" s="3" t="n">
        <v>2027</v>
      </c>
      <c r="C3262" s="3" t="inlineStr">
        <is>
          <t>Grid-Constrained / Efficiency-Upside</t>
        </is>
      </c>
      <c r="D3262" s="3" t="inlineStr">
        <is>
          <t>inference_gw</t>
        </is>
      </c>
      <c r="E3262" s="3" t="n">
        <v>1.296</v>
      </c>
      <c r="F3262" s="3" t="inlineStr">
        <is>
          <t>GW</t>
        </is>
      </c>
      <c r="G3262" s="3" t="inlineStr">
        <is>
          <t>Derived formula</t>
        </is>
      </c>
      <c r="H3262" s="3" t="inlineStr">
        <is>
          <t>ai_it_load_gw * inference_power_share</t>
        </is>
      </c>
      <c r="I3262" s="3" t="inlineStr">
        <is>
          <t>This is the operational power eligible to become commercial generated output tokens through the selected TPS/MW proxy.</t>
        </is>
      </c>
      <c r="J3262" s="3" t="inlineStr">
        <is>
          <t>SRC_GOOGLE_GEMINI_TOKENS; SRC_GOOGLE_IRONWOOD; SRC_GOOGLE_TPU_V6E; SRC_EPOCH_AI_DATA_CENTERS</t>
        </is>
      </c>
      <c r="K3262" s="3" t="inlineStr">
        <is>
          <t>ASSUMP_TPU_EFFICIENCY; ASSUMP_POWER_RAMP; ASSUMP_NUMERIC_ACCELERATOR_MIX; ASSUMP_INFERENCE_SHARE_NOT_FACT_60; ASSUMP_WORKLOAD_CLASS_MIX; ASSUMP_AGENTIC_CONTEXT_PENALTY</t>
        </is>
      </c>
      <c r="L3262" s="3" t="inlineStr">
        <is>
          <t>Recompute after AI allocation or inference-share evidence changes.</t>
        </is>
      </c>
    </row>
    <row r="3263">
      <c r="A3263" s="3" t="inlineStr">
        <is>
          <t>Google</t>
        </is>
      </c>
      <c r="B3263" s="3" t="n">
        <v>2027</v>
      </c>
      <c r="C3263" s="3" t="inlineStr">
        <is>
          <t>Grid-Constrained / Efficiency-Upside</t>
        </is>
      </c>
      <c r="D3263" s="3" t="inlineStr">
        <is>
          <t>training_power_share</t>
        </is>
      </c>
      <c r="E3263" s="3" t="n">
        <v>0.382</v>
      </c>
      <c r="F3263" s="3" t="inlineStr">
        <is>
          <t>share of AI IT load</t>
        </is>
      </c>
      <c r="G3263" s="3" t="inlineStr">
        <is>
          <t>Derived allocation</t>
        </is>
      </c>
      <c r="H3263" s="3" t="inlineStr">
        <is>
          <t>1 - inference_power_share</t>
        </is>
      </c>
      <c r="I3263" s="3" t="inlineStr">
        <is>
          <t>Training receives the complementary modeled AI IT allocation; it is not a disclosed company workload split.</t>
        </is>
      </c>
      <c r="J3263" s="3" t="inlineStr">
        <is>
          <t>SRC_GOOGLE_GEMINI_TOKENS; SRC_GOOGLE_IRONWOOD; SRC_GOOGLE_TPU_V6E; SRC_EPOCH_AI_DATA_CENTERS; ASSUMP_INFERENCE_SHARE_NOT_FACT_60</t>
        </is>
      </c>
      <c r="K3263" s="3" t="inlineStr">
        <is>
          <t>ASSUMP_TPU_EFFICIENCY; ASSUMP_POWER_RAMP; ASSUMP_NUMERIC_ACCELERATOR_MIX; ASSUMP_INFERENCE_SHARE_NOT_FACT_60; ASSUMP_WORKLOAD_CLASS_MIX; ASSUMP_AGENTIC_CONTEXT_PENALTY</t>
        </is>
      </c>
      <c r="L3263" s="3" t="inlineStr">
        <is>
          <t>Provider-specific inference/training workload power telemetry.</t>
        </is>
      </c>
    </row>
    <row r="3264">
      <c r="A3264" s="3" t="inlineStr">
        <is>
          <t>Google</t>
        </is>
      </c>
      <c r="B3264" s="3" t="n">
        <v>2027</v>
      </c>
      <c r="C3264" s="3" t="inlineStr">
        <is>
          <t>Grid-Constrained / Efficiency-Upside</t>
        </is>
      </c>
      <c r="D3264" s="3" t="inlineStr">
        <is>
          <t>training_gw</t>
        </is>
      </c>
      <c r="E3264" s="3" t="n">
        <v>0.803</v>
      </c>
      <c r="F3264" s="3" t="inlineStr">
        <is>
          <t>GW</t>
        </is>
      </c>
      <c r="G3264" s="3" t="inlineStr">
        <is>
          <t>Derived formula</t>
        </is>
      </c>
      <c r="H3264" s="3" t="inlineStr">
        <is>
          <t>ai_it_load_gw * training_power_share</t>
        </is>
      </c>
      <c r="I3264" s="3" t="inlineStr">
        <is>
          <t>Training GW is shown separately so commercial inference token capacity is not overstated.</t>
        </is>
      </c>
      <c r="J3264" s="3" t="inlineStr">
        <is>
          <t>SRC_GOOGLE_GEMINI_TOKENS; SRC_GOOGLE_IRONWOOD; SRC_GOOGLE_TPU_V6E; SRC_EPOCH_AI_DATA_CENTERS</t>
        </is>
      </c>
      <c r="K3264" s="3" t="inlineStr">
        <is>
          <t>ASSUMP_TPU_EFFICIENCY; ASSUMP_POWER_RAMP; ASSUMP_NUMERIC_ACCELERATOR_MIX; ASSUMP_INFERENCE_SHARE_NOT_FACT_60; ASSUMP_WORKLOAD_CLASS_MIX; ASSUMP_AGENTIC_CONTEXT_PENALTY</t>
        </is>
      </c>
      <c r="L3264" s="3" t="inlineStr">
        <is>
          <t>Recompute after AI allocation or workload-split evidence changes.</t>
        </is>
      </c>
    </row>
    <row r="3265">
      <c r="A3265" s="3" t="inlineStr">
        <is>
          <t>Google</t>
        </is>
      </c>
      <c r="B3265" s="3" t="n">
        <v>2027</v>
      </c>
      <c r="C3265" s="3" t="inlineStr">
        <is>
          <t>Grid-Constrained / Efficiency-Upside</t>
        </is>
      </c>
      <c r="D3265" s="3" t="inlineStr">
        <is>
          <t>tokens_per_second_per_mw</t>
        </is>
      </c>
      <c r="E3265" s="3" t="n">
        <v>104200</v>
      </c>
      <c r="F3265" s="3" t="inlineStr">
        <is>
          <t>generated output tokens/sec/MW</t>
        </is>
      </c>
      <c r="G3265" s="3" t="inlineStr">
        <is>
          <t>Derived estimate + benchmark calibration</t>
        </is>
      </c>
      <c r="H3265" s="3" t="inlineStr">
        <is>
          <t>fleet_reference_tps_per_mw * commercial_workload_fit_factor</t>
        </is>
      </c>
      <c r="I3265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65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265" s="3" t="inlineStr">
        <is>
          <t>ASSUMP_TPU_EFFICIENCY; ASSUMP_POWER_RAMP; ASSUMP_NUMERIC_ACCELERATOR_MIX; ASSUMP_INFERENCE_SHARE_NOT_FACT_60; ASSUMP_WORKLOAD_CLASS_MIX; ASSUMP_AGENTIC_CONTEXT_PENALTY</t>
        </is>
      </c>
      <c r="L3265" s="3" t="inlineStr">
        <is>
          <t>Comparable production output-token throughput with model, hardware, precision, ISL/OSL and SLO matched.</t>
        </is>
      </c>
    </row>
    <row r="3266">
      <c r="A3266" s="3" t="inlineStr">
        <is>
          <t>Google</t>
        </is>
      </c>
      <c r="B3266" s="3" t="n">
        <v>2027</v>
      </c>
      <c r="C3266" s="3" t="inlineStr">
        <is>
          <t>Grid-Constrained / Efficiency-Upside</t>
        </is>
      </c>
      <c r="D3266" s="3" t="inlineStr">
        <is>
          <t>inference_tokens_per_day</t>
        </is>
      </c>
      <c r="E3266" s="3" t="n">
        <v>11667732480000</v>
      </c>
      <c r="F3266" s="3" t="inlineStr">
        <is>
          <t>generated output tokens/day</t>
        </is>
      </c>
      <c r="G3266" s="3" t="inlineStr">
        <is>
          <t>Derived headline metric</t>
        </is>
      </c>
      <c r="H3266" s="3" t="inlineStr">
        <is>
          <t>inference_gw * 1000 * tokens_per_second_per_mw * 86,400</t>
        </is>
      </c>
      <c r="I3266" s="3" t="inlineStr">
        <is>
          <t>Headline capacity uses no utilization, MoE, architecture or software-growth multiplier; it is not observed commercial output volume.</t>
        </is>
      </c>
      <c r="J3266" s="3" t="inlineStr">
        <is>
          <t>SRC_GOOGLE_GEMINI_TOKENS; SRC_GOOGLE_IRONWOOD; SRC_GOOGLE_TPU_V6E; SRC_EPOCH_AI_DATA_CENTERS; SRC_SEMIANALYSIS_INFERENCEX</t>
        </is>
      </c>
      <c r="K3266" s="3" t="inlineStr">
        <is>
          <t>ASSUMP_TPU_EFFICIENCY; ASSUMP_POWER_RAMP; ASSUMP_NUMERIC_ACCELERATOR_MIX; ASSUMP_INFERENCE_SHARE_NOT_FACT_60; ASSUMP_WORKLOAD_CLASS_MIX; ASSUMP_AGENTIC_CONTEXT_PENALTY</t>
        </is>
      </c>
      <c r="L3266" s="3" t="inlineStr">
        <is>
          <t>Provider-disclosed generated output token volume or calibrated capacity telemetry.</t>
        </is>
      </c>
    </row>
    <row r="3267">
      <c r="A3267" s="3" t="inlineStr">
        <is>
          <t>Google</t>
        </is>
      </c>
      <c r="B3267" s="3" t="n">
        <v>2027</v>
      </c>
      <c r="C3267" s="3" t="inlineStr">
        <is>
          <t>Grid-Constrained / Efficiency-Upside</t>
        </is>
      </c>
      <c r="D3267" s="3" t="inlineStr">
        <is>
          <t>inference_tokens_per_year</t>
        </is>
      </c>
      <c r="E3267" s="3" t="n">
        <v>4258722355200000</v>
      </c>
      <c r="F3267" s="3" t="inlineStr">
        <is>
          <t>generated output tokens/year</t>
        </is>
      </c>
      <c r="G3267" s="3" t="inlineStr">
        <is>
          <t>Derived headline metric</t>
        </is>
      </c>
      <c r="H3267" s="3" t="inlineStr">
        <is>
          <t>inference_tokens_per_day * 365</t>
        </is>
      </c>
      <c r="I3267" s="3" t="inlineStr">
        <is>
          <t>Annualized version of generated output token capacity; it is not observed annual demand or billable volume.</t>
        </is>
      </c>
      <c r="J3267" s="3" t="inlineStr">
        <is>
          <t>SRC_GOOGLE_GEMINI_TOKENS; SRC_GOOGLE_IRONWOOD; SRC_GOOGLE_TPU_V6E; SRC_EPOCH_AI_DATA_CENTERS; SRC_SEMIANALYSIS_INFERENCEX</t>
        </is>
      </c>
      <c r="K3267" s="3" t="inlineStr">
        <is>
          <t>ASSUMP_TPU_EFFICIENCY; ASSUMP_POWER_RAMP; ASSUMP_NUMERIC_ACCELERATOR_MIX; ASSUMP_INFERENCE_SHARE_NOT_FACT_60; ASSUMP_WORKLOAD_CLASS_MIX; ASSUMP_AGENTIC_CONTEXT_PENALTY</t>
        </is>
      </c>
      <c r="L3267" s="3" t="inlineStr">
        <is>
          <t>Provider-disclosed annual generated-output volume or metered serving telemetry.</t>
        </is>
      </c>
    </row>
    <row r="3268">
      <c r="A3268" s="3" t="inlineStr">
        <is>
          <t>Google</t>
        </is>
      </c>
      <c r="B3268" s="3" t="n">
        <v>2028</v>
      </c>
      <c r="C3268" s="3" t="inlineStr">
        <is>
          <t>Grid-Constrained / Efficiency-Upside</t>
        </is>
      </c>
      <c r="D3268" s="3" t="inlineStr">
        <is>
          <t>contracted_power_gw</t>
        </is>
      </c>
      <c r="E3268" s="3" t="n">
        <v>6.25</v>
      </c>
      <c r="F3268" s="3" t="inlineStr">
        <is>
          <t>GW</t>
        </is>
      </c>
      <c r="G3268" s="3" t="inlineStr">
        <is>
          <t>Scenario capacity envelope</t>
        </is>
      </c>
      <c r="H3268" s="3" t="inlineStr">
        <is>
          <t>linear interpolation between 2026 and 2030 company capacity endpoints</t>
        </is>
      </c>
      <c r="I3268" s="3" t="inlineStr">
        <is>
          <t>Scenario envelope for Gemini-serving capacity; official TPU hardware direction is disclosed, company-level contracted GW is not.</t>
        </is>
      </c>
      <c r="J3268" s="3" t="inlineStr">
        <is>
          <t>ASSUMP_POWER_RAMP; SRC_GOOGLE_IRONWOOD; SRC_GOOGLE_TPU_V6E</t>
        </is>
      </c>
      <c r="K3268" s="3" t="inlineStr">
        <is>
          <t>ASSUMP_TPU_EFFICIENCY; ASSUMP_POWER_RAMP; ASSUMP_NUMERIC_ACCELERATOR_MIX; ASSUMP_INFERENCE_SHARE_NOT_FACT_60; ASSUMP_WORKLOAD_CLASS_MIX; ASSUMP_AGENTIC_CONTEXT_PENALTY</t>
        </is>
      </c>
      <c r="L3268" s="3" t="inlineStr">
        <is>
          <t>Company/site-level committed MW/GW, interconnect and contract disclosure.</t>
        </is>
      </c>
    </row>
    <row r="3269">
      <c r="A3269" s="3" t="inlineStr">
        <is>
          <t>Google</t>
        </is>
      </c>
      <c r="B3269" s="3" t="n">
        <v>2028</v>
      </c>
      <c r="C3269" s="3" t="inlineStr">
        <is>
          <t>Grid-Constrained / Efficiency-Upside</t>
        </is>
      </c>
      <c r="D3269" s="3" t="inlineStr">
        <is>
          <t>operational_deployment_share</t>
        </is>
      </c>
      <c r="E3269" s="3" t="n">
        <v>0.576</v>
      </c>
      <c r="F3269" s="3" t="inlineStr">
        <is>
          <t>share</t>
        </is>
      </c>
      <c r="G3269" s="3" t="inlineStr">
        <is>
          <t>Scenario conversion</t>
        </is>
      </c>
      <c r="H3269" s="3" t="inlineStr">
        <is>
          <t>active_power_gw / contracted_power_gw</t>
        </is>
      </c>
      <c r="I3269" s="3" t="inlineStr">
        <is>
          <t>This is the single explicit conversion from contracted/attributed capacity to operationally usable capacity.</t>
        </is>
      </c>
      <c r="J3269" s="3" t="inlineStr">
        <is>
          <t>ASSUMP_POWER_RAMP; SRC_GOOGLE_IRONWOOD; SRC_GOOGLE_TPU_V6E</t>
        </is>
      </c>
      <c r="K3269" s="3" t="inlineStr">
        <is>
          <t>ASSUMP_TPU_EFFICIENCY; ASSUMP_POWER_RAMP; ASSUMP_NUMERIC_ACCELERATOR_MIX; ASSUMP_INFERENCE_SHARE_NOT_FACT_60; ASSUMP_WORKLOAD_CLASS_MIX; ASSUMP_AGENTIC_CONTEXT_PENALTY</t>
        </is>
      </c>
      <c r="L3269" s="3" t="inlineStr">
        <is>
          <t>Energized operational capacity divided by contracted/attributed capacity.</t>
        </is>
      </c>
    </row>
    <row r="3270">
      <c r="A3270" s="3" t="inlineStr">
        <is>
          <t>Google</t>
        </is>
      </c>
      <c r="B3270" s="3" t="n">
        <v>2028</v>
      </c>
      <c r="C3270" s="3" t="inlineStr">
        <is>
          <t>Grid-Constrained / Efficiency-Upside</t>
        </is>
      </c>
      <c r="D3270" s="3" t="inlineStr">
        <is>
          <t>active_power_gw</t>
        </is>
      </c>
      <c r="E3270" s="3" t="n">
        <v>3.6</v>
      </c>
      <c r="F3270" s="3" t="inlineStr">
        <is>
          <t>GW</t>
        </is>
      </c>
      <c r="G3270" s="3" t="inlineStr">
        <is>
          <t>Derived scenario</t>
        </is>
      </c>
      <c r="H3270" s="3" t="inlineStr">
        <is>
          <t>contracted_power_gw * operational_deployment_share</t>
        </is>
      </c>
      <c r="I3270" s="3" t="inlineStr">
        <is>
          <t>TPU generation availability supports ramp direction, while active GW remains a staged deployment estimate.</t>
        </is>
      </c>
      <c r="J3270" s="3" t="inlineStr">
        <is>
          <t>ASSUMP_POWER_RAMP; SRC_GOOGLE_IRONWOOD; SRC_GOOGLE_TPU_V6E</t>
        </is>
      </c>
      <c r="K3270" s="3" t="inlineStr">
        <is>
          <t>ASSUMP_TPU_EFFICIENCY; ASSUMP_POWER_RAMP; ASSUMP_NUMERIC_ACCELERATOR_MIX; ASSUMP_INFERENCE_SHARE_NOT_FACT_60; ASSUMP_WORKLOAD_CLASS_MIX; ASSUMP_AGENTIC_CONTEXT_PENALTY</t>
        </is>
      </c>
      <c r="L3270" s="3" t="inlineStr">
        <is>
          <t>Energization dates, accelerator deliveries and operational powered-rack telemetry.</t>
        </is>
      </c>
    </row>
    <row r="3271">
      <c r="A3271" s="3" t="inlineStr">
        <is>
          <t>Google</t>
        </is>
      </c>
      <c r="B3271" s="3" t="n">
        <v>2028</v>
      </c>
      <c r="C3271" s="3" t="inlineStr">
        <is>
          <t>Grid-Constrained / Efficiency-Upside</t>
        </is>
      </c>
      <c r="D3271" s="3" t="inlineStr">
        <is>
          <t>pue</t>
        </is>
      </c>
      <c r="E3271" s="3" t="n">
        <v>1.18</v>
      </c>
      <c r="F3271" s="3" t="inlineStr">
        <is>
          <t>ratio</t>
        </is>
      </c>
      <c r="G3271" s="3" t="inlineStr">
        <is>
          <t>Scenario parameter</t>
        </is>
      </c>
      <c r="H3271" s="3" t="inlineStr">
        <is>
          <t>it_load_gw = active_power_gw / pue</t>
        </is>
      </c>
      <c r="I3271" s="3" t="inlineStr">
        <is>
          <t>No provider-wide site-level PUE is used as a disclosed fact; PUE represents facility-to-IT conversion within the scenario.</t>
        </is>
      </c>
      <c r="J3271" s="3" t="inlineStr">
        <is>
          <t>ASSUMP_POWER_RAMP</t>
        </is>
      </c>
      <c r="K3271" s="3" t="inlineStr">
        <is>
          <t>ASSUMP_TPU_EFFICIENCY; ASSUMP_POWER_RAMP; ASSUMP_NUMERIC_ACCELERATOR_MIX; ASSUMP_INFERENCE_SHARE_NOT_FACT_60; ASSUMP_WORKLOAD_CLASS_MIX; ASSUMP_AGENTIC_CONTEXT_PENALTY</t>
        </is>
      </c>
      <c r="L3271" s="3" t="inlineStr">
        <is>
          <t>Site-level measured PUE matched to attributed AI capacity.</t>
        </is>
      </c>
    </row>
    <row r="3272">
      <c r="A3272" s="3" t="inlineStr">
        <is>
          <t>Google</t>
        </is>
      </c>
      <c r="B3272" s="3" t="n">
        <v>2028</v>
      </c>
      <c r="C3272" s="3" t="inlineStr">
        <is>
          <t>Grid-Constrained / Efficiency-Upside</t>
        </is>
      </c>
      <c r="D3272" s="3" t="inlineStr">
        <is>
          <t>it_load_gw</t>
        </is>
      </c>
      <c r="E3272" s="3" t="n">
        <v>3.051</v>
      </c>
      <c r="F3272" s="3" t="inlineStr">
        <is>
          <t>GW</t>
        </is>
      </c>
      <c r="G3272" s="3" t="inlineStr">
        <is>
          <t>Derived formula</t>
        </is>
      </c>
      <c r="H3272" s="3" t="inlineStr">
        <is>
          <t>active_power_gw / pue</t>
        </is>
      </c>
      <c r="I3272" s="3" t="inlineStr">
        <is>
          <t>Facility power is converted to IT-deliverable power before attributing AI workloads.</t>
        </is>
      </c>
      <c r="J3272" s="3" t="inlineStr">
        <is>
          <t>ASSUMP_POWER_RAMP; SRC_GOOGLE_IRONWOOD; SRC_GOOGLE_TPU_V6E</t>
        </is>
      </c>
      <c r="K3272" s="3" t="inlineStr">
        <is>
          <t>ASSUMP_TPU_EFFICIENCY; ASSUMP_POWER_RAMP; ASSUMP_NUMERIC_ACCELERATOR_MIX; ASSUMP_INFERENCE_SHARE_NOT_FACT_60; ASSUMP_WORKLOAD_CLASS_MIX; ASSUMP_AGENTIC_CONTEXT_PENALTY</t>
        </is>
      </c>
      <c r="L3272" s="3" t="inlineStr">
        <is>
          <t>Recompute once active power and PUE become site-observable.</t>
        </is>
      </c>
    </row>
    <row r="3273">
      <c r="A3273" s="3" t="inlineStr">
        <is>
          <t>Google</t>
        </is>
      </c>
      <c r="B3273" s="3" t="n">
        <v>2028</v>
      </c>
      <c r="C3273" s="3" t="inlineStr">
        <is>
          <t>Grid-Constrained / Efficiency-Upside</t>
        </is>
      </c>
      <c r="D3273" s="3" t="inlineStr">
        <is>
          <t>ai_workload_share</t>
        </is>
      </c>
      <c r="E3273" s="3" t="n">
        <v>0.88</v>
      </c>
      <c r="F3273" s="3" t="inlineStr">
        <is>
          <t>share</t>
        </is>
      </c>
      <c r="G3273" s="3" t="inlineStr">
        <is>
          <t>Scenario allocation</t>
        </is>
      </c>
      <c r="H3273" s="3" t="inlineStr">
        <is>
          <t>ai_it_load_gw = it_load_gw * ai_workload_share</t>
        </is>
      </c>
      <c r="I3273" s="3" t="inlineStr">
        <is>
          <t>Gemini/Vertex TPU serving is AI-dedicated in the modeled capacity envelope; 88% excludes platform/reserve load.</t>
        </is>
      </c>
      <c r="J3273" s="3" t="inlineStr">
        <is>
          <t>SRC_GOOGLE_GEMINI_TOKENS; SRC_GOOGLE_IRONWOOD; SRC_GOOGLE_TPU_V6E; SRC_EPOCH_AI_DATA_CENTERS</t>
        </is>
      </c>
      <c r="K3273" s="3" t="inlineStr">
        <is>
          <t>ASSUMP_TPU_EFFICIENCY; ASSUMP_POWER_RAMP; ASSUMP_NUMERIC_ACCELERATOR_MIX; ASSUMP_INFERENCE_SHARE_NOT_FACT_60; ASSUMP_WORKLOAD_CLASS_MIX; ASSUMP_AGENTIC_CONTEXT_PENALTY</t>
        </is>
      </c>
      <c r="L3273" s="3" t="inlineStr">
        <is>
          <t>Model-owner AI workload allocation or cluster scheduling telemetry.</t>
        </is>
      </c>
    </row>
    <row r="3274">
      <c r="A3274" s="3" t="inlineStr">
        <is>
          <t>Google</t>
        </is>
      </c>
      <c r="B3274" s="3" t="n">
        <v>2028</v>
      </c>
      <c r="C3274" s="3" t="inlineStr">
        <is>
          <t>Grid-Constrained / Efficiency-Upside</t>
        </is>
      </c>
      <c r="D3274" s="3" t="inlineStr">
        <is>
          <t>ai_it_load_gw</t>
        </is>
      </c>
      <c r="E3274" s="3" t="n">
        <v>2.685</v>
      </c>
      <c r="F3274" s="3" t="inlineStr">
        <is>
          <t>GW</t>
        </is>
      </c>
      <c r="G3274" s="3" t="inlineStr">
        <is>
          <t>Derived formula</t>
        </is>
      </c>
      <c r="H3274" s="3" t="inlineStr">
        <is>
          <t>it_load_gw * ai_workload_share</t>
        </is>
      </c>
      <c r="I3274" s="3" t="inlineStr">
        <is>
          <t>Only the AI-attributed portion of IT load enters training/inference allocation.</t>
        </is>
      </c>
      <c r="J3274" s="3" t="inlineStr">
        <is>
          <t>SRC_GOOGLE_GEMINI_TOKENS; SRC_GOOGLE_IRONWOOD; SRC_GOOGLE_TPU_V6E; SRC_EPOCH_AI_DATA_CENTERS</t>
        </is>
      </c>
      <c r="K3274" s="3" t="inlineStr">
        <is>
          <t>ASSUMP_TPU_EFFICIENCY; ASSUMP_POWER_RAMP; ASSUMP_NUMERIC_ACCELERATOR_MIX; ASSUMP_INFERENCE_SHARE_NOT_FACT_60; ASSUMP_WORKLOAD_CLASS_MIX; ASSUMP_AGENTIC_CONTEXT_PENALTY</t>
        </is>
      </c>
      <c r="L3274" s="3" t="inlineStr">
        <is>
          <t>Recompute after ai_workload_share is replaced by telemetry.</t>
        </is>
      </c>
    </row>
    <row r="3275">
      <c r="A3275" s="3" t="inlineStr">
        <is>
          <t>Google</t>
        </is>
      </c>
      <c r="B3275" s="3" t="n">
        <v>2028</v>
      </c>
      <c r="C3275" s="3" t="inlineStr">
        <is>
          <t>Grid-Constrained / Efficiency-Upside</t>
        </is>
      </c>
      <c r="D3275" s="3" t="inlineStr">
        <is>
          <t>gpu_share</t>
        </is>
      </c>
      <c r="E3275" s="3" t="n">
        <v>0.109158</v>
      </c>
      <c r="F3275" s="3" t="inlineStr">
        <is>
          <t>share of inference-serving accelerator load</t>
        </is>
      </c>
      <c r="G3275" s="3" t="inlineStr">
        <is>
          <t>Numeric scenario</t>
        </is>
      </c>
      <c r="H3275" s="3" t="inlineStr">
        <is>
          <t>gpu_share interpolated from company 2026/2030 accelerator-mix endpoints</t>
        </is>
      </c>
      <c r="I3275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75" s="3" t="inlineStr">
        <is>
          <t>SRC_GOOGLE_GEMINI_TOKENS; SRC_GOOGLE_IRONWOOD; SRC_GOOGLE_TPU_V6E; SRC_EPOCH_AI_DATA_CENTERS; ASSUMP_NUMERIC_ACCELERATOR_MIX</t>
        </is>
      </c>
      <c r="K3275" s="3" t="inlineStr">
        <is>
          <t>ASSUMP_TPU_EFFICIENCY; ASSUMP_POWER_RAMP; ASSUMP_NUMERIC_ACCELERATOR_MIX; ASSUMP_INFERENCE_SHARE_NOT_FACT_60; ASSUMP_WORKLOAD_CLASS_MIX; ASSUMP_AGENTIC_CONTEXT_PENALTY</t>
        </is>
      </c>
      <c r="L3275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76">
      <c r="A3276" s="3" t="inlineStr">
        <is>
          <t>Google</t>
        </is>
      </c>
      <c r="B3276" s="3" t="n">
        <v>2028</v>
      </c>
      <c r="C3276" s="3" t="inlineStr">
        <is>
          <t>Grid-Constrained / Efficiency-Upside</t>
        </is>
      </c>
      <c r="D3276" s="3" t="inlineStr">
        <is>
          <t>h200_share</t>
        </is>
      </c>
      <c r="E3276" s="3" t="n">
        <v>0.011989</v>
      </c>
      <c r="F3276" s="3" t="inlineStr">
        <is>
          <t>share of inference-serving accelerator load</t>
        </is>
      </c>
      <c r="G3276" s="3" t="inlineStr">
        <is>
          <t>Editable numeric scenario</t>
        </is>
      </c>
      <c r="H3276" s="3" t="inlineStr">
        <is>
          <t>h200_share = gpu_share * default_gpu_generation_mix_h200</t>
        </is>
      </c>
      <c r="I3276" s="3" t="inlineStr">
        <is>
          <t>Default GPU-generation migration assumption; executive workbook allows later manual replacement by company/year/scenario.</t>
        </is>
      </c>
      <c r="J3276" s="3" t="inlineStr">
        <is>
          <t>SRC_SEMIANALYSIS_INFERENCEX; ASSUMP_NUMERIC_ACCELERATOR_MIX</t>
        </is>
      </c>
      <c r="K3276" s="3" t="inlineStr">
        <is>
          <t>ASSUMP_TPU_EFFICIENCY; ASSUMP_POWER_RAMP; ASSUMP_NUMERIC_ACCELERATOR_MIX; ASSUMP_INFERENCE_SHARE_NOT_FACT_60; ASSUMP_WORKLOAD_CLASS_MIX; ASSUMP_AGENTIC_CONTEXT_PENALTY</t>
        </is>
      </c>
      <c r="L3276" s="3" t="inlineStr">
        <is>
          <t>Company fleet inventory, accelerator-hours or procurement/deployment records by GPU generation.</t>
        </is>
      </c>
    </row>
    <row r="3277">
      <c r="A3277" s="3" t="inlineStr">
        <is>
          <t>Google</t>
        </is>
      </c>
      <c r="B3277" s="3" t="n">
        <v>2028</v>
      </c>
      <c r="C3277" s="3" t="inlineStr">
        <is>
          <t>Grid-Constrained / Efficiency-Upside</t>
        </is>
      </c>
      <c r="D3277" s="3" t="inlineStr">
        <is>
          <t>b200_share</t>
        </is>
      </c>
      <c r="E3277" s="3" t="n">
        <v>0.086159</v>
      </c>
      <c r="F3277" s="3" t="inlineStr">
        <is>
          <t>share of inference-serving accelerator load</t>
        </is>
      </c>
      <c r="G3277" s="3" t="inlineStr">
        <is>
          <t>Editable numeric scenario</t>
        </is>
      </c>
      <c r="H3277" s="3" t="inlineStr">
        <is>
          <t>b200_share = gpu_share * default_gpu_generation_mix_b200</t>
        </is>
      </c>
      <c r="I3277" s="3" t="inlineStr">
        <is>
          <t>Default GPU-generation migration assumption; executive workbook allows later manual replacement by company/year/scenario.</t>
        </is>
      </c>
      <c r="J3277" s="3" t="inlineStr">
        <is>
          <t>SRC_SEMIANALYSIS_INFERENCEX; ASSUMP_NUMERIC_ACCELERATOR_MIX</t>
        </is>
      </c>
      <c r="K3277" s="3" t="inlineStr">
        <is>
          <t>ASSUMP_TPU_EFFICIENCY; ASSUMP_POWER_RAMP; ASSUMP_NUMERIC_ACCELERATOR_MIX; ASSUMP_INFERENCE_SHARE_NOT_FACT_60; ASSUMP_WORKLOAD_CLASS_MIX; ASSUMP_AGENTIC_CONTEXT_PENALTY</t>
        </is>
      </c>
      <c r="L3277" s="3" t="inlineStr">
        <is>
          <t>Company fleet inventory, accelerator-hours or procurement/deployment records by GPU generation.</t>
        </is>
      </c>
    </row>
    <row r="3278">
      <c r="A3278" s="3" t="inlineStr">
        <is>
          <t>Google</t>
        </is>
      </c>
      <c r="B3278" s="3" t="n">
        <v>2028</v>
      </c>
      <c r="C3278" s="3" t="inlineStr">
        <is>
          <t>Grid-Constrained / Efficiency-Upside</t>
        </is>
      </c>
      <c r="D3278" s="3" t="inlineStr">
        <is>
          <t>gb200_share</t>
        </is>
      </c>
      <c r="E3278" s="3" t="n">
        <v>0.01101</v>
      </c>
      <c r="F3278" s="3" t="inlineStr">
        <is>
          <t>share of inference-serving accelerator load</t>
        </is>
      </c>
      <c r="G3278" s="3" t="inlineStr">
        <is>
          <t>Editable numeric scenario</t>
        </is>
      </c>
      <c r="H3278" s="3" t="inlineStr">
        <is>
          <t>gb200_share = gpu_share * default_gpu_generation_mix_gb200</t>
        </is>
      </c>
      <c r="I3278" s="3" t="inlineStr">
        <is>
          <t>Default GPU-generation migration assumption; executive workbook allows later manual replacement by company/year/scenario.</t>
        </is>
      </c>
      <c r="J3278" s="3" t="inlineStr">
        <is>
          <t>SRC_SEMIANALYSIS_INFERENCEX; ASSUMP_NUMERIC_ACCELERATOR_MIX</t>
        </is>
      </c>
      <c r="K3278" s="3" t="inlineStr">
        <is>
          <t>ASSUMP_TPU_EFFICIENCY; ASSUMP_POWER_RAMP; ASSUMP_NUMERIC_ACCELERATOR_MIX; ASSUMP_INFERENCE_SHARE_NOT_FACT_60; ASSUMP_WORKLOAD_CLASS_MIX; ASSUMP_AGENTIC_CONTEXT_PENALTY</t>
        </is>
      </c>
      <c r="L3278" s="3" t="inlineStr">
        <is>
          <t>Company fleet inventory, accelerator-hours or procurement/deployment records by GPU generation.</t>
        </is>
      </c>
    </row>
    <row r="3279">
      <c r="A3279" s="3" t="inlineStr">
        <is>
          <t>Google</t>
        </is>
      </c>
      <c r="B3279" s="3" t="n">
        <v>2028</v>
      </c>
      <c r="C3279" s="3" t="inlineStr">
        <is>
          <t>Grid-Constrained / Efficiency-Upside</t>
        </is>
      </c>
      <c r="D3279" s="3" t="inlineStr">
        <is>
          <t>purpose_built_accelerator_share</t>
        </is>
      </c>
      <c r="E3279" s="3" t="n">
        <v>0.890842</v>
      </c>
      <c r="F3279" s="3" t="inlineStr">
        <is>
          <t>share of inference-serving accelerator load</t>
        </is>
      </c>
      <c r="G3279" s="3" t="inlineStr">
        <is>
          <t>Numeric scenario</t>
        </is>
      </c>
      <c r="H3279" s="3" t="inlineStr">
        <is>
          <t>1 - gpu_share</t>
        </is>
      </c>
      <c r="I3279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79" s="3" t="inlineStr">
        <is>
          <t>SRC_GOOGLE_GEMINI_TOKENS; SRC_GOOGLE_IRONWOOD; SRC_GOOGLE_TPU_V6E; SRC_EPOCH_AI_DATA_CENTERS; ASSUMP_NUMERIC_ACCELERATOR_MIX</t>
        </is>
      </c>
      <c r="K3279" s="3" t="inlineStr">
        <is>
          <t>ASSUMP_TPU_EFFICIENCY; ASSUMP_POWER_RAMP; ASSUMP_NUMERIC_ACCELERATOR_MIX; ASSUMP_INFERENCE_SHARE_NOT_FACT_60; ASSUMP_WORKLOAD_CLASS_MIX; ASSUMP_AGENTIC_CONTEXT_PENALTY</t>
        </is>
      </c>
      <c r="L3279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80">
      <c r="A3280" s="3" t="inlineStr">
        <is>
          <t>Google</t>
        </is>
      </c>
      <c r="B3280" s="3" t="n">
        <v>2028</v>
      </c>
      <c r="C3280" s="3" t="inlineStr">
        <is>
          <t>Grid-Constrained / Efficiency-Upside</t>
        </is>
      </c>
      <c r="D3280" s="3" t="inlineStr">
        <is>
          <t>fleet_reference_tps_per_mw</t>
        </is>
      </c>
      <c r="E3280" s="3" t="n">
        <v>180670</v>
      </c>
      <c r="F3280" s="3" t="inlineStr">
        <is>
          <t>generated output tokens/sec/MW</t>
        </is>
      </c>
      <c r="G3280" s="3" t="inlineStr">
        <is>
          <t>Fleet-weighted public benchmark reference</t>
        </is>
      </c>
      <c r="H3280" s="3" t="inlineStr">
        <is>
          <t>h200_share*h200_workload_avg + b200_share*b200_workload_avg + gb200_share*gb200_workload_avg + purpose_built_share*purpose_workload_avg</t>
        </is>
      </c>
      <c r="I328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280" s="3" t="inlineStr">
        <is>
          <t>SRC_SEMIANALYSIS_INFERENCEX; ASSUMP_NUMERIC_ACCELERATOR_MIX; ASSUMP_WORKLOAD_CLASS_MIX; ASSUMP_AGENTIC_CONTEXT_PENALTY</t>
        </is>
      </c>
      <c r="K3280" s="3" t="inlineStr">
        <is>
          <t>ASSUMP_TPU_EFFICIENCY; ASSUMP_POWER_RAMP; ASSUMP_NUMERIC_ACCELERATOR_MIX; ASSUMP_INFERENCE_SHARE_NOT_FACT_60; ASSUMP_WORKLOAD_CLASS_MIX; ASSUMP_AGENTIC_CONTEXT_PENALTY</t>
        </is>
      </c>
      <c r="L3280" s="3" t="inlineStr">
        <is>
          <t>Comparable production output-token throughput or a more closely matched benchmark.</t>
        </is>
      </c>
    </row>
    <row r="3281">
      <c r="A3281" s="3" t="inlineStr">
        <is>
          <t>Google</t>
        </is>
      </c>
      <c r="B3281" s="3" t="n">
        <v>2028</v>
      </c>
      <c r="C3281" s="3" t="inlineStr">
        <is>
          <t>Grid-Constrained / Efficiency-Upside</t>
        </is>
      </c>
      <c r="D3281" s="3" t="inlineStr">
        <is>
          <t>commercial_workload_fit_factor</t>
        </is>
      </c>
      <c r="E3281" s="3" t="n">
        <v>0.6</v>
      </c>
      <c r="F3281" s="3" t="inlineStr">
        <is>
          <t>share of public reference throughput</t>
        </is>
      </c>
      <c r="G3281" s="3" t="inlineStr">
        <is>
          <t>Scenario assumption</t>
        </is>
      </c>
      <c r="H3281" s="3" t="inlineStr">
        <is>
          <t>reference_serving_tps_per_mw = fleet_reference_tps_per_mw * commercial_workload_fit_factor</t>
        </is>
      </c>
      <c r="I3281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281" s="3" t="inlineStr">
        <is>
          <t>SRC_SEMIANALYSIS_INFERENCEX; ASSUMP_NUMERIC_ACCELERATOR_MIX; ASSUMP_WORKLOAD_CLASS_MIX; ASSUMP_AGENTIC_CONTEXT_PENALTY</t>
        </is>
      </c>
      <c r="K3281" s="3" t="inlineStr">
        <is>
          <t>ASSUMP_TPU_EFFICIENCY; ASSUMP_POWER_RAMP; ASSUMP_NUMERIC_ACCELERATOR_MIX; ASSUMP_INFERENCE_SHARE_NOT_FACT_60; ASSUMP_WORKLOAD_CLASS_MIX; ASSUMP_AGENTIC_CONTEXT_PENALTY</t>
        </is>
      </c>
      <c r="L3281" s="3" t="inlineStr">
        <is>
          <t>Matched commercial serving benchmark by product surface, context shape and latency SLO.</t>
        </is>
      </c>
    </row>
    <row r="3282">
      <c r="A3282" s="3" t="inlineStr">
        <is>
          <t>Google</t>
        </is>
      </c>
      <c r="B3282" s="3" t="n">
        <v>2028</v>
      </c>
      <c r="C3282" s="3" t="inlineStr">
        <is>
          <t>Grid-Constrained / Efficiency-Upside</t>
        </is>
      </c>
      <c r="D3282" s="3" t="inlineStr">
        <is>
          <t>reference_serving_tps_per_mw</t>
        </is>
      </c>
      <c r="E3282" s="3" t="n">
        <v>108402</v>
      </c>
      <c r="F3282" s="3" t="inlineStr">
        <is>
          <t>generated output tokens/sec/MW</t>
        </is>
      </c>
      <c r="G3282" s="3" t="inlineStr">
        <is>
          <t>Workload-adjusted benchmark proxy</t>
        </is>
      </c>
      <c r="H3282" s="3" t="inlineStr">
        <is>
          <t>fleet_reference_tps_per_mw * commercial_workload_fit_factor</t>
        </is>
      </c>
      <c r="I3282" s="3" t="inlineStr">
        <is>
          <t>This is the coefficient used for headline token generation; each GPU's short chat, long chat and agentic TPS/MW are weighted before fleet mix and commercial fit are applied.</t>
        </is>
      </c>
      <c r="J3282" s="3" t="inlineStr">
        <is>
          <t>SRC_SEMIANALYSIS_INFERENCEX; ASSUMP_NUMERIC_ACCELERATOR_MIX; ASSUMP_WORKLOAD_CLASS_MIX; ASSUMP_AGENTIC_CONTEXT_PENALTY</t>
        </is>
      </c>
      <c r="K3282" s="3" t="inlineStr">
        <is>
          <t>ASSUMP_TPU_EFFICIENCY; ASSUMP_POWER_RAMP; ASSUMP_NUMERIC_ACCELERATOR_MIX; ASSUMP_INFERENCE_SHARE_NOT_FACT_60; ASSUMP_WORKLOAD_CLASS_MIX; ASSUMP_AGENTIC_CONTEXT_PENALTY</t>
        </is>
      </c>
      <c r="L3282" s="3" t="inlineStr">
        <is>
          <t>Provider production output-token throughput with comparable workload/SLO.</t>
        </is>
      </c>
    </row>
    <row r="3283">
      <c r="A3283" s="3" t="inlineStr">
        <is>
          <t>Google</t>
        </is>
      </c>
      <c r="B3283" s="3" t="n">
        <v>2028</v>
      </c>
      <c r="C3283" s="3" t="inlineStr">
        <is>
          <t>Grid-Constrained / Efficiency-Upside</t>
        </is>
      </c>
      <c r="D3283" s="3" t="inlineStr">
        <is>
          <t>purpose_built_tps_per_mw</t>
        </is>
      </c>
      <c r="E3283" s="3" t="n">
        <v>81184</v>
      </c>
      <c r="F3283" s="3" t="inlineStr">
        <is>
          <t>generated output tokens/sec/MW</t>
        </is>
      </c>
      <c r="G3283" s="3" t="inlineStr">
        <is>
          <t>Conservative no-uplift proxy</t>
        </is>
      </c>
      <c r="H3283" s="3" t="inlineStr">
        <is>
          <t>purpose_built_tps_per_mw = purpose_built_reference_tps_per_mw * commercial_workload_fit_factor until comparable output-token benchmark is adopted</t>
        </is>
      </c>
      <c r="I3283" s="3" t="inlineStr">
        <is>
          <t>No comparable public output-token/MW row adopted; B200 public reference placeholder is used and remains editable.</t>
        </is>
      </c>
      <c r="J3283" s="3" t="inlineStr">
        <is>
          <t>SRC_GOOGLE_GEMINI_TOKENS; SRC_GOOGLE_IRONWOOD; SRC_GOOGLE_TPU_V6E; SRC_EPOCH_AI_DATA_CENTERS; ASSUMP_NUMERIC_ACCELERATOR_MIX</t>
        </is>
      </c>
      <c r="K3283" s="3" t="inlineStr">
        <is>
          <t>ASSUMP_TPU_EFFICIENCY; ASSUMP_POWER_RAMP; ASSUMP_NUMERIC_ACCELERATOR_MIX; ASSUMP_INFERENCE_SHARE_NOT_FACT_60; ASSUMP_WORKLOAD_CLASS_MIX; ASSUMP_AGENTIC_CONTEXT_PENALTY</t>
        </is>
      </c>
      <c r="L3283" s="3" t="inlineStr">
        <is>
          <t>Matched-workload generated-output benchmark for the provider purpose-built accelerator.</t>
        </is>
      </c>
    </row>
    <row r="3284">
      <c r="A3284" s="3" t="inlineStr">
        <is>
          <t>Google</t>
        </is>
      </c>
      <c r="B3284" s="3" t="n">
        <v>2028</v>
      </c>
      <c r="C3284" s="3" t="inlineStr">
        <is>
          <t>Grid-Constrained / Efficiency-Upside</t>
        </is>
      </c>
      <c r="D3284" s="3" t="inlineStr">
        <is>
          <t>inference_power_share</t>
        </is>
      </c>
      <c r="E3284" s="3" t="n">
        <v>0.665</v>
      </c>
      <c r="F3284" s="3" t="inlineStr">
        <is>
          <t>share of AI IT load</t>
        </is>
      </c>
      <c r="G3284" s="3" t="inlineStr">
        <is>
          <t>Scenario allocation</t>
        </is>
      </c>
      <c r="H3284" s="3" t="inlineStr">
        <is>
          <t>inference_gw = ai_it_load_gw * inference_power_share</t>
        </is>
      </c>
      <c r="I3284" s="3" t="inlineStr">
        <is>
          <t>Ironwood is positioned for inference and Gemini is commercialized across products; inference share increases as a scenario.</t>
        </is>
      </c>
      <c r="J3284" s="3" t="inlineStr">
        <is>
          <t>SRC_GOOGLE_GEMINI_TOKENS; SRC_GOOGLE_IRONWOOD; SRC_GOOGLE_TPU_V6E; SRC_EPOCH_AI_DATA_CENTERS; ASSUMP_INFERENCE_SHARE_NOT_FACT_60</t>
        </is>
      </c>
      <c r="K3284" s="3" t="inlineStr">
        <is>
          <t>ASSUMP_TPU_EFFICIENCY; ASSUMP_POWER_RAMP; ASSUMP_NUMERIC_ACCELERATOR_MIX; ASSUMP_INFERENCE_SHARE_NOT_FACT_60; ASSUMP_WORKLOAD_CLASS_MIX; ASSUMP_AGENTIC_CONTEXT_PENALTY</t>
        </is>
      </c>
      <c r="L3284" s="3" t="inlineStr">
        <is>
          <t>Provider-specific inference/training workload power telemetry.</t>
        </is>
      </c>
    </row>
    <row r="3285">
      <c r="A3285" s="3" t="inlineStr">
        <is>
          <t>Google</t>
        </is>
      </c>
      <c r="B3285" s="3" t="n">
        <v>2028</v>
      </c>
      <c r="C3285" s="3" t="inlineStr">
        <is>
          <t>Grid-Constrained / Efficiency-Upside</t>
        </is>
      </c>
      <c r="D3285" s="3" t="inlineStr">
        <is>
          <t>inference_gw</t>
        </is>
      </c>
      <c r="E3285" s="3" t="n">
        <v>1.785</v>
      </c>
      <c r="F3285" s="3" t="inlineStr">
        <is>
          <t>GW</t>
        </is>
      </c>
      <c r="G3285" s="3" t="inlineStr">
        <is>
          <t>Derived formula</t>
        </is>
      </c>
      <c r="H3285" s="3" t="inlineStr">
        <is>
          <t>ai_it_load_gw * inference_power_share</t>
        </is>
      </c>
      <c r="I3285" s="3" t="inlineStr">
        <is>
          <t>This is the operational power eligible to become commercial generated output tokens through the selected TPS/MW proxy.</t>
        </is>
      </c>
      <c r="J3285" s="3" t="inlineStr">
        <is>
          <t>SRC_GOOGLE_GEMINI_TOKENS; SRC_GOOGLE_IRONWOOD; SRC_GOOGLE_TPU_V6E; SRC_EPOCH_AI_DATA_CENTERS</t>
        </is>
      </c>
      <c r="K3285" s="3" t="inlineStr">
        <is>
          <t>ASSUMP_TPU_EFFICIENCY; ASSUMP_POWER_RAMP; ASSUMP_NUMERIC_ACCELERATOR_MIX; ASSUMP_INFERENCE_SHARE_NOT_FACT_60; ASSUMP_WORKLOAD_CLASS_MIX; ASSUMP_AGENTIC_CONTEXT_PENALTY</t>
        </is>
      </c>
      <c r="L3285" s="3" t="inlineStr">
        <is>
          <t>Recompute after AI allocation or inference-share evidence changes.</t>
        </is>
      </c>
    </row>
    <row r="3286">
      <c r="A3286" s="3" t="inlineStr">
        <is>
          <t>Google</t>
        </is>
      </c>
      <c r="B3286" s="3" t="n">
        <v>2028</v>
      </c>
      <c r="C3286" s="3" t="inlineStr">
        <is>
          <t>Grid-Constrained / Efficiency-Upside</t>
        </is>
      </c>
      <c r="D3286" s="3" t="inlineStr">
        <is>
          <t>training_power_share</t>
        </is>
      </c>
      <c r="E3286" s="3" t="n">
        <v>0.335</v>
      </c>
      <c r="F3286" s="3" t="inlineStr">
        <is>
          <t>share of AI IT load</t>
        </is>
      </c>
      <c r="G3286" s="3" t="inlineStr">
        <is>
          <t>Derived allocation</t>
        </is>
      </c>
      <c r="H3286" s="3" t="inlineStr">
        <is>
          <t>1 - inference_power_share</t>
        </is>
      </c>
      <c r="I3286" s="3" t="inlineStr">
        <is>
          <t>Training receives the complementary modeled AI IT allocation; it is not a disclosed company workload split.</t>
        </is>
      </c>
      <c r="J3286" s="3" t="inlineStr">
        <is>
          <t>SRC_GOOGLE_GEMINI_TOKENS; SRC_GOOGLE_IRONWOOD; SRC_GOOGLE_TPU_V6E; SRC_EPOCH_AI_DATA_CENTERS; ASSUMP_INFERENCE_SHARE_NOT_FACT_60</t>
        </is>
      </c>
      <c r="K3286" s="3" t="inlineStr">
        <is>
          <t>ASSUMP_TPU_EFFICIENCY; ASSUMP_POWER_RAMP; ASSUMP_NUMERIC_ACCELERATOR_MIX; ASSUMP_INFERENCE_SHARE_NOT_FACT_60; ASSUMP_WORKLOAD_CLASS_MIX; ASSUMP_AGENTIC_CONTEXT_PENALTY</t>
        </is>
      </c>
      <c r="L3286" s="3" t="inlineStr">
        <is>
          <t>Provider-specific inference/training workload power telemetry.</t>
        </is>
      </c>
    </row>
    <row r="3287">
      <c r="A3287" s="3" t="inlineStr">
        <is>
          <t>Google</t>
        </is>
      </c>
      <c r="B3287" s="3" t="n">
        <v>2028</v>
      </c>
      <c r="C3287" s="3" t="inlineStr">
        <is>
          <t>Grid-Constrained / Efficiency-Upside</t>
        </is>
      </c>
      <c r="D3287" s="3" t="inlineStr">
        <is>
          <t>training_gw</t>
        </is>
      </c>
      <c r="E3287" s="3" t="n">
        <v>0.899</v>
      </c>
      <c r="F3287" s="3" t="inlineStr">
        <is>
          <t>GW</t>
        </is>
      </c>
      <c r="G3287" s="3" t="inlineStr">
        <is>
          <t>Derived formula</t>
        </is>
      </c>
      <c r="H3287" s="3" t="inlineStr">
        <is>
          <t>ai_it_load_gw * training_power_share</t>
        </is>
      </c>
      <c r="I3287" s="3" t="inlineStr">
        <is>
          <t>Training GW is shown separately so commercial inference token capacity is not overstated.</t>
        </is>
      </c>
      <c r="J3287" s="3" t="inlineStr">
        <is>
          <t>SRC_GOOGLE_GEMINI_TOKENS; SRC_GOOGLE_IRONWOOD; SRC_GOOGLE_TPU_V6E; SRC_EPOCH_AI_DATA_CENTERS</t>
        </is>
      </c>
      <c r="K3287" s="3" t="inlineStr">
        <is>
          <t>ASSUMP_TPU_EFFICIENCY; ASSUMP_POWER_RAMP; ASSUMP_NUMERIC_ACCELERATOR_MIX; ASSUMP_INFERENCE_SHARE_NOT_FACT_60; ASSUMP_WORKLOAD_CLASS_MIX; ASSUMP_AGENTIC_CONTEXT_PENALTY</t>
        </is>
      </c>
      <c r="L3287" s="3" t="inlineStr">
        <is>
          <t>Recompute after AI allocation or workload-split evidence changes.</t>
        </is>
      </c>
    </row>
    <row r="3288">
      <c r="A3288" s="3" t="inlineStr">
        <is>
          <t>Google</t>
        </is>
      </c>
      <c r="B3288" s="3" t="n">
        <v>2028</v>
      </c>
      <c r="C3288" s="3" t="inlineStr">
        <is>
          <t>Grid-Constrained / Efficiency-Upside</t>
        </is>
      </c>
      <c r="D3288" s="3" t="inlineStr">
        <is>
          <t>tokens_per_second_per_mw</t>
        </is>
      </c>
      <c r="E3288" s="3" t="n">
        <v>108402</v>
      </c>
      <c r="F3288" s="3" t="inlineStr">
        <is>
          <t>generated output tokens/sec/MW</t>
        </is>
      </c>
      <c r="G3288" s="3" t="inlineStr">
        <is>
          <t>Derived estimate + benchmark calibration</t>
        </is>
      </c>
      <c r="H3288" s="3" t="inlineStr">
        <is>
          <t>fleet_reference_tps_per_mw * commercial_workload_fit_factor</t>
        </is>
      </c>
      <c r="I3288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288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288" s="3" t="inlineStr">
        <is>
          <t>ASSUMP_TPU_EFFICIENCY; ASSUMP_POWER_RAMP; ASSUMP_NUMERIC_ACCELERATOR_MIX; ASSUMP_INFERENCE_SHARE_NOT_FACT_60; ASSUMP_WORKLOAD_CLASS_MIX; ASSUMP_AGENTIC_CONTEXT_PENALTY</t>
        </is>
      </c>
      <c r="L3288" s="3" t="inlineStr">
        <is>
          <t>Comparable production output-token throughput with model, hardware, precision, ISL/OSL and SLO matched.</t>
        </is>
      </c>
    </row>
    <row r="3289">
      <c r="A3289" s="3" t="inlineStr">
        <is>
          <t>Google</t>
        </is>
      </c>
      <c r="B3289" s="3" t="n">
        <v>2028</v>
      </c>
      <c r="C3289" s="3" t="inlineStr">
        <is>
          <t>Grid-Constrained / Efficiency-Upside</t>
        </is>
      </c>
      <c r="D3289" s="3" t="inlineStr">
        <is>
          <t>inference_tokens_per_day</t>
        </is>
      </c>
      <c r="E3289" s="3" t="n">
        <v>16718190048000</v>
      </c>
      <c r="F3289" s="3" t="inlineStr">
        <is>
          <t>generated output tokens/day</t>
        </is>
      </c>
      <c r="G3289" s="3" t="inlineStr">
        <is>
          <t>Derived headline metric</t>
        </is>
      </c>
      <c r="H3289" s="3" t="inlineStr">
        <is>
          <t>inference_gw * 1000 * tokens_per_second_per_mw * 86,400</t>
        </is>
      </c>
      <c r="I3289" s="3" t="inlineStr">
        <is>
          <t>Headline capacity uses no utilization, MoE, architecture or software-growth multiplier; it is not observed commercial output volume.</t>
        </is>
      </c>
      <c r="J3289" s="3" t="inlineStr">
        <is>
          <t>SRC_GOOGLE_GEMINI_TOKENS; SRC_GOOGLE_IRONWOOD; SRC_GOOGLE_TPU_V6E; SRC_EPOCH_AI_DATA_CENTERS; SRC_SEMIANALYSIS_INFERENCEX</t>
        </is>
      </c>
      <c r="K3289" s="3" t="inlineStr">
        <is>
          <t>ASSUMP_TPU_EFFICIENCY; ASSUMP_POWER_RAMP; ASSUMP_NUMERIC_ACCELERATOR_MIX; ASSUMP_INFERENCE_SHARE_NOT_FACT_60; ASSUMP_WORKLOAD_CLASS_MIX; ASSUMP_AGENTIC_CONTEXT_PENALTY</t>
        </is>
      </c>
      <c r="L3289" s="3" t="inlineStr">
        <is>
          <t>Provider-disclosed generated output token volume or calibrated capacity telemetry.</t>
        </is>
      </c>
    </row>
    <row r="3290">
      <c r="A3290" s="3" t="inlineStr">
        <is>
          <t>Google</t>
        </is>
      </c>
      <c r="B3290" s="3" t="n">
        <v>2028</v>
      </c>
      <c r="C3290" s="3" t="inlineStr">
        <is>
          <t>Grid-Constrained / Efficiency-Upside</t>
        </is>
      </c>
      <c r="D3290" s="3" t="inlineStr">
        <is>
          <t>inference_tokens_per_year</t>
        </is>
      </c>
      <c r="E3290" s="3" t="n">
        <v>6102139367520000</v>
      </c>
      <c r="F3290" s="3" t="inlineStr">
        <is>
          <t>generated output tokens/year</t>
        </is>
      </c>
      <c r="G3290" s="3" t="inlineStr">
        <is>
          <t>Derived headline metric</t>
        </is>
      </c>
      <c r="H3290" s="3" t="inlineStr">
        <is>
          <t>inference_tokens_per_day * 365</t>
        </is>
      </c>
      <c r="I3290" s="3" t="inlineStr">
        <is>
          <t>Annualized version of generated output token capacity; it is not observed annual demand or billable volume.</t>
        </is>
      </c>
      <c r="J3290" s="3" t="inlineStr">
        <is>
          <t>SRC_GOOGLE_GEMINI_TOKENS; SRC_GOOGLE_IRONWOOD; SRC_GOOGLE_TPU_V6E; SRC_EPOCH_AI_DATA_CENTERS; SRC_SEMIANALYSIS_INFERENCEX</t>
        </is>
      </c>
      <c r="K3290" s="3" t="inlineStr">
        <is>
          <t>ASSUMP_TPU_EFFICIENCY; ASSUMP_POWER_RAMP; ASSUMP_NUMERIC_ACCELERATOR_MIX; ASSUMP_INFERENCE_SHARE_NOT_FACT_60; ASSUMP_WORKLOAD_CLASS_MIX; ASSUMP_AGENTIC_CONTEXT_PENALTY</t>
        </is>
      </c>
      <c r="L3290" s="3" t="inlineStr">
        <is>
          <t>Provider-disclosed annual generated-output volume or metered serving telemetry.</t>
        </is>
      </c>
    </row>
    <row r="3291">
      <c r="A3291" s="3" t="inlineStr">
        <is>
          <t>Google</t>
        </is>
      </c>
      <c r="B3291" s="3" t="n">
        <v>2029</v>
      </c>
      <c r="C3291" s="3" t="inlineStr">
        <is>
          <t>Grid-Constrained / Efficiency-Upside</t>
        </is>
      </c>
      <c r="D3291" s="3" t="inlineStr">
        <is>
          <t>contracted_power_gw</t>
        </is>
      </c>
      <c r="E3291" s="3" t="n">
        <v>7.125</v>
      </c>
      <c r="F3291" s="3" t="inlineStr">
        <is>
          <t>GW</t>
        </is>
      </c>
      <c r="G3291" s="3" t="inlineStr">
        <is>
          <t>Scenario capacity envelope</t>
        </is>
      </c>
      <c r="H3291" s="3" t="inlineStr">
        <is>
          <t>linear interpolation between 2026 and 2030 company capacity endpoints</t>
        </is>
      </c>
      <c r="I3291" s="3" t="inlineStr">
        <is>
          <t>Scenario envelope for Gemini-serving capacity; official TPU hardware direction is disclosed, company-level contracted GW is not.</t>
        </is>
      </c>
      <c r="J3291" s="3" t="inlineStr">
        <is>
          <t>ASSUMP_POWER_RAMP; SRC_GOOGLE_IRONWOOD; SRC_GOOGLE_TPU_V6E</t>
        </is>
      </c>
      <c r="K3291" s="3" t="inlineStr">
        <is>
          <t>ASSUMP_TPU_EFFICIENCY; ASSUMP_POWER_RAMP; ASSUMP_NUMERIC_ACCELERATOR_MIX; ASSUMP_INFERENCE_SHARE_NOT_FACT_60; ASSUMP_WORKLOAD_CLASS_MIX; ASSUMP_AGENTIC_CONTEXT_PENALTY</t>
        </is>
      </c>
      <c r="L3291" s="3" t="inlineStr">
        <is>
          <t>Company/site-level committed MW/GW, interconnect and contract disclosure.</t>
        </is>
      </c>
    </row>
    <row r="3292">
      <c r="A3292" s="3" t="inlineStr">
        <is>
          <t>Google</t>
        </is>
      </c>
      <c r="B3292" s="3" t="n">
        <v>2029</v>
      </c>
      <c r="C3292" s="3" t="inlineStr">
        <is>
          <t>Grid-Constrained / Efficiency-Upside</t>
        </is>
      </c>
      <c r="D3292" s="3" t="inlineStr">
        <is>
          <t>operational_deployment_share</t>
        </is>
      </c>
      <c r="E3292" s="3" t="n">
        <v>0.60266667</v>
      </c>
      <c r="F3292" s="3" t="inlineStr">
        <is>
          <t>share</t>
        </is>
      </c>
      <c r="G3292" s="3" t="inlineStr">
        <is>
          <t>Scenario conversion</t>
        </is>
      </c>
      <c r="H3292" s="3" t="inlineStr">
        <is>
          <t>active_power_gw / contracted_power_gw</t>
        </is>
      </c>
      <c r="I3292" s="3" t="inlineStr">
        <is>
          <t>This is the single explicit conversion from contracted/attributed capacity to operationally usable capacity.</t>
        </is>
      </c>
      <c r="J3292" s="3" t="inlineStr">
        <is>
          <t>ASSUMP_POWER_RAMP; SRC_GOOGLE_IRONWOOD; SRC_GOOGLE_TPU_V6E</t>
        </is>
      </c>
      <c r="K3292" s="3" t="inlineStr">
        <is>
          <t>ASSUMP_TPU_EFFICIENCY; ASSUMP_POWER_RAMP; ASSUMP_NUMERIC_ACCELERATOR_MIX; ASSUMP_INFERENCE_SHARE_NOT_FACT_60; ASSUMP_WORKLOAD_CLASS_MIX; ASSUMP_AGENTIC_CONTEXT_PENALTY</t>
        </is>
      </c>
      <c r="L3292" s="3" t="inlineStr">
        <is>
          <t>Energized operational capacity divided by contracted/attributed capacity.</t>
        </is>
      </c>
    </row>
    <row r="3293">
      <c r="A3293" s="3" t="inlineStr">
        <is>
          <t>Google</t>
        </is>
      </c>
      <c r="B3293" s="3" t="n">
        <v>2029</v>
      </c>
      <c r="C3293" s="3" t="inlineStr">
        <is>
          <t>Grid-Constrained / Efficiency-Upside</t>
        </is>
      </c>
      <c r="D3293" s="3" t="inlineStr">
        <is>
          <t>active_power_gw</t>
        </is>
      </c>
      <c r="E3293" s="3" t="n">
        <v>4.294</v>
      </c>
      <c r="F3293" s="3" t="inlineStr">
        <is>
          <t>GW</t>
        </is>
      </c>
      <c r="G3293" s="3" t="inlineStr">
        <is>
          <t>Derived scenario</t>
        </is>
      </c>
      <c r="H3293" s="3" t="inlineStr">
        <is>
          <t>contracted_power_gw * operational_deployment_share</t>
        </is>
      </c>
      <c r="I3293" s="3" t="inlineStr">
        <is>
          <t>TPU generation availability supports ramp direction, while active GW remains a staged deployment estimate.</t>
        </is>
      </c>
      <c r="J3293" s="3" t="inlineStr">
        <is>
          <t>ASSUMP_POWER_RAMP; SRC_GOOGLE_IRONWOOD; SRC_GOOGLE_TPU_V6E</t>
        </is>
      </c>
      <c r="K3293" s="3" t="inlineStr">
        <is>
          <t>ASSUMP_TPU_EFFICIENCY; ASSUMP_POWER_RAMP; ASSUMP_NUMERIC_ACCELERATOR_MIX; ASSUMP_INFERENCE_SHARE_NOT_FACT_60; ASSUMP_WORKLOAD_CLASS_MIX; ASSUMP_AGENTIC_CONTEXT_PENALTY</t>
        </is>
      </c>
      <c r="L3293" s="3" t="inlineStr">
        <is>
          <t>Energization dates, accelerator deliveries and operational powered-rack telemetry.</t>
        </is>
      </c>
    </row>
    <row r="3294">
      <c r="A3294" s="3" t="inlineStr">
        <is>
          <t>Google</t>
        </is>
      </c>
      <c r="B3294" s="3" t="n">
        <v>2029</v>
      </c>
      <c r="C3294" s="3" t="inlineStr">
        <is>
          <t>Grid-Constrained / Efficiency-Upside</t>
        </is>
      </c>
      <c r="D3294" s="3" t="inlineStr">
        <is>
          <t>pue</t>
        </is>
      </c>
      <c r="E3294" s="3" t="n">
        <v>1.18</v>
      </c>
      <c r="F3294" s="3" t="inlineStr">
        <is>
          <t>ratio</t>
        </is>
      </c>
      <c r="G3294" s="3" t="inlineStr">
        <is>
          <t>Scenario parameter</t>
        </is>
      </c>
      <c r="H3294" s="3" t="inlineStr">
        <is>
          <t>it_load_gw = active_power_gw / pue</t>
        </is>
      </c>
      <c r="I3294" s="3" t="inlineStr">
        <is>
          <t>No provider-wide site-level PUE is used as a disclosed fact; PUE represents facility-to-IT conversion within the scenario.</t>
        </is>
      </c>
      <c r="J3294" s="3" t="inlineStr">
        <is>
          <t>ASSUMP_POWER_RAMP</t>
        </is>
      </c>
      <c r="K3294" s="3" t="inlineStr">
        <is>
          <t>ASSUMP_TPU_EFFICIENCY; ASSUMP_POWER_RAMP; ASSUMP_NUMERIC_ACCELERATOR_MIX; ASSUMP_INFERENCE_SHARE_NOT_FACT_60; ASSUMP_WORKLOAD_CLASS_MIX; ASSUMP_AGENTIC_CONTEXT_PENALTY</t>
        </is>
      </c>
      <c r="L3294" s="3" t="inlineStr">
        <is>
          <t>Site-level measured PUE matched to attributed AI capacity.</t>
        </is>
      </c>
    </row>
    <row r="3295">
      <c r="A3295" s="3" t="inlineStr">
        <is>
          <t>Google</t>
        </is>
      </c>
      <c r="B3295" s="3" t="n">
        <v>2029</v>
      </c>
      <c r="C3295" s="3" t="inlineStr">
        <is>
          <t>Grid-Constrained / Efficiency-Upside</t>
        </is>
      </c>
      <c r="D3295" s="3" t="inlineStr">
        <is>
          <t>it_load_gw</t>
        </is>
      </c>
      <c r="E3295" s="3" t="n">
        <v>3.639</v>
      </c>
      <c r="F3295" s="3" t="inlineStr">
        <is>
          <t>GW</t>
        </is>
      </c>
      <c r="G3295" s="3" t="inlineStr">
        <is>
          <t>Derived formula</t>
        </is>
      </c>
      <c r="H3295" s="3" t="inlineStr">
        <is>
          <t>active_power_gw / pue</t>
        </is>
      </c>
      <c r="I3295" s="3" t="inlineStr">
        <is>
          <t>Facility power is converted to IT-deliverable power before attributing AI workloads.</t>
        </is>
      </c>
      <c r="J3295" s="3" t="inlineStr">
        <is>
          <t>ASSUMP_POWER_RAMP; SRC_GOOGLE_IRONWOOD; SRC_GOOGLE_TPU_V6E</t>
        </is>
      </c>
      <c r="K3295" s="3" t="inlineStr">
        <is>
          <t>ASSUMP_TPU_EFFICIENCY; ASSUMP_POWER_RAMP; ASSUMP_NUMERIC_ACCELERATOR_MIX; ASSUMP_INFERENCE_SHARE_NOT_FACT_60; ASSUMP_WORKLOAD_CLASS_MIX; ASSUMP_AGENTIC_CONTEXT_PENALTY</t>
        </is>
      </c>
      <c r="L3295" s="3" t="inlineStr">
        <is>
          <t>Recompute once active power and PUE become site-observable.</t>
        </is>
      </c>
    </row>
    <row r="3296">
      <c r="A3296" s="3" t="inlineStr">
        <is>
          <t>Google</t>
        </is>
      </c>
      <c r="B3296" s="3" t="n">
        <v>2029</v>
      </c>
      <c r="C3296" s="3" t="inlineStr">
        <is>
          <t>Grid-Constrained / Efficiency-Upside</t>
        </is>
      </c>
      <c r="D3296" s="3" t="inlineStr">
        <is>
          <t>ai_workload_share</t>
        </is>
      </c>
      <c r="E3296" s="3" t="n">
        <v>0.88</v>
      </c>
      <c r="F3296" s="3" t="inlineStr">
        <is>
          <t>share</t>
        </is>
      </c>
      <c r="G3296" s="3" t="inlineStr">
        <is>
          <t>Scenario allocation</t>
        </is>
      </c>
      <c r="H3296" s="3" t="inlineStr">
        <is>
          <t>ai_it_load_gw = it_load_gw * ai_workload_share</t>
        </is>
      </c>
      <c r="I3296" s="3" t="inlineStr">
        <is>
          <t>Gemini/Vertex TPU serving is AI-dedicated in the modeled capacity envelope; 88% excludes platform/reserve load.</t>
        </is>
      </c>
      <c r="J3296" s="3" t="inlineStr">
        <is>
          <t>SRC_GOOGLE_GEMINI_TOKENS; SRC_GOOGLE_IRONWOOD; SRC_GOOGLE_TPU_V6E; SRC_EPOCH_AI_DATA_CENTERS</t>
        </is>
      </c>
      <c r="K3296" s="3" t="inlineStr">
        <is>
          <t>ASSUMP_TPU_EFFICIENCY; ASSUMP_POWER_RAMP; ASSUMP_NUMERIC_ACCELERATOR_MIX; ASSUMP_INFERENCE_SHARE_NOT_FACT_60; ASSUMP_WORKLOAD_CLASS_MIX; ASSUMP_AGENTIC_CONTEXT_PENALTY</t>
        </is>
      </c>
      <c r="L3296" s="3" t="inlineStr">
        <is>
          <t>Model-owner AI workload allocation or cluster scheduling telemetry.</t>
        </is>
      </c>
    </row>
    <row r="3297">
      <c r="A3297" s="3" t="inlineStr">
        <is>
          <t>Google</t>
        </is>
      </c>
      <c r="B3297" s="3" t="n">
        <v>2029</v>
      </c>
      <c r="C3297" s="3" t="inlineStr">
        <is>
          <t>Grid-Constrained / Efficiency-Upside</t>
        </is>
      </c>
      <c r="D3297" s="3" t="inlineStr">
        <is>
          <t>ai_it_load_gw</t>
        </is>
      </c>
      <c r="E3297" s="3" t="n">
        <v>3.202</v>
      </c>
      <c r="F3297" s="3" t="inlineStr">
        <is>
          <t>GW</t>
        </is>
      </c>
      <c r="G3297" s="3" t="inlineStr">
        <is>
          <t>Derived formula</t>
        </is>
      </c>
      <c r="H3297" s="3" t="inlineStr">
        <is>
          <t>it_load_gw * ai_workload_share</t>
        </is>
      </c>
      <c r="I3297" s="3" t="inlineStr">
        <is>
          <t>Only the AI-attributed portion of IT load enters training/inference allocation.</t>
        </is>
      </c>
      <c r="J3297" s="3" t="inlineStr">
        <is>
          <t>SRC_GOOGLE_GEMINI_TOKENS; SRC_GOOGLE_IRONWOOD; SRC_GOOGLE_TPU_V6E; SRC_EPOCH_AI_DATA_CENTERS</t>
        </is>
      </c>
      <c r="K3297" s="3" t="inlineStr">
        <is>
          <t>ASSUMP_TPU_EFFICIENCY; ASSUMP_POWER_RAMP; ASSUMP_NUMERIC_ACCELERATOR_MIX; ASSUMP_INFERENCE_SHARE_NOT_FACT_60; ASSUMP_WORKLOAD_CLASS_MIX; ASSUMP_AGENTIC_CONTEXT_PENALTY</t>
        </is>
      </c>
      <c r="L3297" s="3" t="inlineStr">
        <is>
          <t>Recompute after ai_workload_share is replaced by telemetry.</t>
        </is>
      </c>
    </row>
    <row r="3298">
      <c r="A3298" s="3" t="inlineStr">
        <is>
          <t>Google</t>
        </is>
      </c>
      <c r="B3298" s="3" t="n">
        <v>2029</v>
      </c>
      <c r="C3298" s="3" t="inlineStr">
        <is>
          <t>Grid-Constrained / Efficiency-Upside</t>
        </is>
      </c>
      <c r="D3298" s="3" t="inlineStr">
        <is>
          <t>gpu_share</t>
        </is>
      </c>
      <c r="E3298" s="3" t="n">
        <v>0.103041</v>
      </c>
      <c r="F3298" s="3" t="inlineStr">
        <is>
          <t>share of inference-serving accelerator load</t>
        </is>
      </c>
      <c r="G3298" s="3" t="inlineStr">
        <is>
          <t>Numeric scenario</t>
        </is>
      </c>
      <c r="H3298" s="3" t="inlineStr">
        <is>
          <t>gpu_share interpolated from company 2026/2030 accelerator-mix endpoints</t>
        </is>
      </c>
      <c r="I3298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298" s="3" t="inlineStr">
        <is>
          <t>SRC_GOOGLE_GEMINI_TOKENS; SRC_GOOGLE_IRONWOOD; SRC_GOOGLE_TPU_V6E; SRC_EPOCH_AI_DATA_CENTERS; ASSUMP_NUMERIC_ACCELERATOR_MIX</t>
        </is>
      </c>
      <c r="K3298" s="3" t="inlineStr">
        <is>
          <t>ASSUMP_TPU_EFFICIENCY; ASSUMP_POWER_RAMP; ASSUMP_NUMERIC_ACCELERATOR_MIX; ASSUMP_INFERENCE_SHARE_NOT_FACT_60; ASSUMP_WORKLOAD_CLASS_MIX; ASSUMP_AGENTIC_CONTEXT_PENALTY</t>
        </is>
      </c>
      <c r="L3298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299">
      <c r="A3299" s="3" t="inlineStr">
        <is>
          <t>Google</t>
        </is>
      </c>
      <c r="B3299" s="3" t="n">
        <v>2029</v>
      </c>
      <c r="C3299" s="3" t="inlineStr">
        <is>
          <t>Grid-Constrained / Efficiency-Upside</t>
        </is>
      </c>
      <c r="D3299" s="3" t="inlineStr">
        <is>
          <t>h200_share</t>
        </is>
      </c>
      <c r="E3299" s="3" t="n">
        <v>0.006606</v>
      </c>
      <c r="F3299" s="3" t="inlineStr">
        <is>
          <t>share of inference-serving accelerator load</t>
        </is>
      </c>
      <c r="G3299" s="3" t="inlineStr">
        <is>
          <t>Editable numeric scenario</t>
        </is>
      </c>
      <c r="H3299" s="3" t="inlineStr">
        <is>
          <t>h200_share = gpu_share * default_gpu_generation_mix_h200</t>
        </is>
      </c>
      <c r="I3299" s="3" t="inlineStr">
        <is>
          <t>Default GPU-generation migration assumption; executive workbook allows later manual replacement by company/year/scenario.</t>
        </is>
      </c>
      <c r="J3299" s="3" t="inlineStr">
        <is>
          <t>SRC_SEMIANALYSIS_INFERENCEX; ASSUMP_NUMERIC_ACCELERATOR_MIX</t>
        </is>
      </c>
      <c r="K3299" s="3" t="inlineStr">
        <is>
          <t>ASSUMP_TPU_EFFICIENCY; ASSUMP_POWER_RAMP; ASSUMP_NUMERIC_ACCELERATOR_MIX; ASSUMP_INFERENCE_SHARE_NOT_FACT_60; ASSUMP_WORKLOAD_CLASS_MIX; ASSUMP_AGENTIC_CONTEXT_PENALTY</t>
        </is>
      </c>
      <c r="L3299" s="3" t="inlineStr">
        <is>
          <t>Company fleet inventory, accelerator-hours or procurement/deployment records by GPU generation.</t>
        </is>
      </c>
    </row>
    <row r="3300">
      <c r="A3300" s="3" t="inlineStr">
        <is>
          <t>Google</t>
        </is>
      </c>
      <c r="B3300" s="3" t="n">
        <v>2029</v>
      </c>
      <c r="C3300" s="3" t="inlineStr">
        <is>
          <t>Grid-Constrained / Efficiency-Upside</t>
        </is>
      </c>
      <c r="D3300" s="3" t="inlineStr">
        <is>
          <t>b200_share</t>
        </is>
      </c>
      <c r="E3300" s="3" t="n">
        <v>0.083468</v>
      </c>
      <c r="F3300" s="3" t="inlineStr">
        <is>
          <t>share of inference-serving accelerator load</t>
        </is>
      </c>
      <c r="G3300" s="3" t="inlineStr">
        <is>
          <t>Editable numeric scenario</t>
        </is>
      </c>
      <c r="H3300" s="3" t="inlineStr">
        <is>
          <t>b200_share = gpu_share * default_gpu_generation_mix_b200</t>
        </is>
      </c>
      <c r="I3300" s="3" t="inlineStr">
        <is>
          <t>Default GPU-generation migration assumption; executive workbook allows later manual replacement by company/year/scenario.</t>
        </is>
      </c>
      <c r="J3300" s="3" t="inlineStr">
        <is>
          <t>SRC_SEMIANALYSIS_INFERENCEX; ASSUMP_NUMERIC_ACCELERATOR_MIX</t>
        </is>
      </c>
      <c r="K3300" s="3" t="inlineStr">
        <is>
          <t>ASSUMP_TPU_EFFICIENCY; ASSUMP_POWER_RAMP; ASSUMP_NUMERIC_ACCELERATOR_MIX; ASSUMP_INFERENCE_SHARE_NOT_FACT_60; ASSUMP_WORKLOAD_CLASS_MIX; ASSUMP_AGENTIC_CONTEXT_PENALTY</t>
        </is>
      </c>
      <c r="L3300" s="3" t="inlineStr">
        <is>
          <t>Company fleet inventory, accelerator-hours or procurement/deployment records by GPU generation.</t>
        </is>
      </c>
    </row>
    <row r="3301">
      <c r="A3301" s="3" t="inlineStr">
        <is>
          <t>Google</t>
        </is>
      </c>
      <c r="B3301" s="3" t="n">
        <v>2029</v>
      </c>
      <c r="C3301" s="3" t="inlineStr">
        <is>
          <t>Grid-Constrained / Efficiency-Upside</t>
        </is>
      </c>
      <c r="D3301" s="3" t="inlineStr">
        <is>
          <t>gb200_share</t>
        </is>
      </c>
      <c r="E3301" s="3" t="n">
        <v>0.012967</v>
      </c>
      <c r="F3301" s="3" t="inlineStr">
        <is>
          <t>share of inference-serving accelerator load</t>
        </is>
      </c>
      <c r="G3301" s="3" t="inlineStr">
        <is>
          <t>Editable numeric scenario</t>
        </is>
      </c>
      <c r="H3301" s="3" t="inlineStr">
        <is>
          <t>gb200_share = gpu_share * default_gpu_generation_mix_gb200</t>
        </is>
      </c>
      <c r="I3301" s="3" t="inlineStr">
        <is>
          <t>Default GPU-generation migration assumption; executive workbook allows later manual replacement by company/year/scenario.</t>
        </is>
      </c>
      <c r="J3301" s="3" t="inlineStr">
        <is>
          <t>SRC_SEMIANALYSIS_INFERENCEX; ASSUMP_NUMERIC_ACCELERATOR_MIX</t>
        </is>
      </c>
      <c r="K3301" s="3" t="inlineStr">
        <is>
          <t>ASSUMP_TPU_EFFICIENCY; ASSUMP_POWER_RAMP; ASSUMP_NUMERIC_ACCELERATOR_MIX; ASSUMP_INFERENCE_SHARE_NOT_FACT_60; ASSUMP_WORKLOAD_CLASS_MIX; ASSUMP_AGENTIC_CONTEXT_PENALTY</t>
        </is>
      </c>
      <c r="L3301" s="3" t="inlineStr">
        <is>
          <t>Company fleet inventory, accelerator-hours or procurement/deployment records by GPU generation.</t>
        </is>
      </c>
    </row>
    <row r="3302">
      <c r="A3302" s="3" t="inlineStr">
        <is>
          <t>Google</t>
        </is>
      </c>
      <c r="B3302" s="3" t="n">
        <v>2029</v>
      </c>
      <c r="C3302" s="3" t="inlineStr">
        <is>
          <t>Grid-Constrained / Efficiency-Upside</t>
        </is>
      </c>
      <c r="D3302" s="3" t="inlineStr">
        <is>
          <t>purpose_built_accelerator_share</t>
        </is>
      </c>
      <c r="E3302" s="3" t="n">
        <v>0.896959</v>
      </c>
      <c r="F3302" s="3" t="inlineStr">
        <is>
          <t>share of inference-serving accelerator load</t>
        </is>
      </c>
      <c r="G3302" s="3" t="inlineStr">
        <is>
          <t>Numeric scenario</t>
        </is>
      </c>
      <c r="H3302" s="3" t="inlineStr">
        <is>
          <t>1 - gpu_share</t>
        </is>
      </c>
      <c r="I3302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302" s="3" t="inlineStr">
        <is>
          <t>SRC_GOOGLE_GEMINI_TOKENS; SRC_GOOGLE_IRONWOOD; SRC_GOOGLE_TPU_V6E; SRC_EPOCH_AI_DATA_CENTERS; ASSUMP_NUMERIC_ACCELERATOR_MIX</t>
        </is>
      </c>
      <c r="K3302" s="3" t="inlineStr">
        <is>
          <t>ASSUMP_TPU_EFFICIENCY; ASSUMP_POWER_RAMP; ASSUMP_NUMERIC_ACCELERATOR_MIX; ASSUMP_INFERENCE_SHARE_NOT_FACT_60; ASSUMP_WORKLOAD_CLASS_MIX; ASSUMP_AGENTIC_CONTEXT_PENALTY</t>
        </is>
      </c>
      <c r="L3302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303">
      <c r="A3303" s="3" t="inlineStr">
        <is>
          <t>Google</t>
        </is>
      </c>
      <c r="B3303" s="3" t="n">
        <v>2029</v>
      </c>
      <c r="C3303" s="3" t="inlineStr">
        <is>
          <t>Grid-Constrained / Efficiency-Upside</t>
        </is>
      </c>
      <c r="D3303" s="3" t="inlineStr">
        <is>
          <t>fleet_reference_tps_per_mw</t>
        </is>
      </c>
      <c r="E3303" s="3" t="n">
        <v>175238</v>
      </c>
      <c r="F3303" s="3" t="inlineStr">
        <is>
          <t>generated output tokens/sec/MW</t>
        </is>
      </c>
      <c r="G3303" s="3" t="inlineStr">
        <is>
          <t>Fleet-weighted public benchmark reference</t>
        </is>
      </c>
      <c r="H3303" s="3" t="inlineStr">
        <is>
          <t>h200_share*h200_workload_avg + b200_share*b200_workload_avg + gb200_share*gb200_workload_avg + purpose_built_share*purpose_workload_avg</t>
        </is>
      </c>
      <c r="I330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03" s="3" t="inlineStr">
        <is>
          <t>SRC_SEMIANALYSIS_INFERENCEX; ASSUMP_NUMERIC_ACCELERATOR_MIX; ASSUMP_WORKLOAD_CLASS_MIX; ASSUMP_AGENTIC_CONTEXT_PENALTY</t>
        </is>
      </c>
      <c r="K3303" s="3" t="inlineStr">
        <is>
          <t>ASSUMP_TPU_EFFICIENCY; ASSUMP_POWER_RAMP; ASSUMP_NUMERIC_ACCELERATOR_MIX; ASSUMP_INFERENCE_SHARE_NOT_FACT_60; ASSUMP_WORKLOAD_CLASS_MIX; ASSUMP_AGENTIC_CONTEXT_PENALTY</t>
        </is>
      </c>
      <c r="L3303" s="3" t="inlineStr">
        <is>
          <t>Comparable production output-token throughput or a more closely matched benchmark.</t>
        </is>
      </c>
    </row>
    <row r="3304">
      <c r="A3304" s="3" t="inlineStr">
        <is>
          <t>Google</t>
        </is>
      </c>
      <c r="B3304" s="3" t="n">
        <v>2029</v>
      </c>
      <c r="C3304" s="3" t="inlineStr">
        <is>
          <t>Grid-Constrained / Efficiency-Upside</t>
        </is>
      </c>
      <c r="D3304" s="3" t="inlineStr">
        <is>
          <t>commercial_workload_fit_factor</t>
        </is>
      </c>
      <c r="E3304" s="3" t="n">
        <v>0.6</v>
      </c>
      <c r="F3304" s="3" t="inlineStr">
        <is>
          <t>share of public reference throughput</t>
        </is>
      </c>
      <c r="G3304" s="3" t="inlineStr">
        <is>
          <t>Scenario assumption</t>
        </is>
      </c>
      <c r="H3304" s="3" t="inlineStr">
        <is>
          <t>reference_serving_tps_per_mw = fleet_reference_tps_per_mw * commercial_workload_fit_factor</t>
        </is>
      </c>
      <c r="I3304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04" s="3" t="inlineStr">
        <is>
          <t>SRC_SEMIANALYSIS_INFERENCEX; ASSUMP_NUMERIC_ACCELERATOR_MIX; ASSUMP_WORKLOAD_CLASS_MIX; ASSUMP_AGENTIC_CONTEXT_PENALTY</t>
        </is>
      </c>
      <c r="K3304" s="3" t="inlineStr">
        <is>
          <t>ASSUMP_TPU_EFFICIENCY; ASSUMP_POWER_RAMP; ASSUMP_NUMERIC_ACCELERATOR_MIX; ASSUMP_INFERENCE_SHARE_NOT_FACT_60; ASSUMP_WORKLOAD_CLASS_MIX; ASSUMP_AGENTIC_CONTEXT_PENALTY</t>
        </is>
      </c>
      <c r="L3304" s="3" t="inlineStr">
        <is>
          <t>Matched commercial serving benchmark by product surface, context shape and latency SLO.</t>
        </is>
      </c>
    </row>
    <row r="3305">
      <c r="A3305" s="3" t="inlineStr">
        <is>
          <t>Google</t>
        </is>
      </c>
      <c r="B3305" s="3" t="n">
        <v>2029</v>
      </c>
      <c r="C3305" s="3" t="inlineStr">
        <is>
          <t>Grid-Constrained / Efficiency-Upside</t>
        </is>
      </c>
      <c r="D3305" s="3" t="inlineStr">
        <is>
          <t>reference_serving_tps_per_mw</t>
        </is>
      </c>
      <c r="E3305" s="3" t="n">
        <v>105143</v>
      </c>
      <c r="F3305" s="3" t="inlineStr">
        <is>
          <t>generated output tokens/sec/MW</t>
        </is>
      </c>
      <c r="G3305" s="3" t="inlineStr">
        <is>
          <t>Workload-adjusted benchmark proxy</t>
        </is>
      </c>
      <c r="H3305" s="3" t="inlineStr">
        <is>
          <t>fleet_reference_tps_per_mw * commercial_workload_fit_factor</t>
        </is>
      </c>
      <c r="I3305" s="3" t="inlineStr">
        <is>
          <t>This is the coefficient used for headline token generation; each GPU's short chat, long chat and agentic TPS/MW are weighted before fleet mix and commercial fit are applied.</t>
        </is>
      </c>
      <c r="J3305" s="3" t="inlineStr">
        <is>
          <t>SRC_SEMIANALYSIS_INFERENCEX; ASSUMP_NUMERIC_ACCELERATOR_MIX; ASSUMP_WORKLOAD_CLASS_MIX; ASSUMP_AGENTIC_CONTEXT_PENALTY</t>
        </is>
      </c>
      <c r="K3305" s="3" t="inlineStr">
        <is>
          <t>ASSUMP_TPU_EFFICIENCY; ASSUMP_POWER_RAMP; ASSUMP_NUMERIC_ACCELERATOR_MIX; ASSUMP_INFERENCE_SHARE_NOT_FACT_60; ASSUMP_WORKLOAD_CLASS_MIX; ASSUMP_AGENTIC_CONTEXT_PENALTY</t>
        </is>
      </c>
      <c r="L3305" s="3" t="inlineStr">
        <is>
          <t>Provider production output-token throughput with comparable workload/SLO.</t>
        </is>
      </c>
    </row>
    <row r="3306">
      <c r="A3306" s="3" t="inlineStr">
        <is>
          <t>Google</t>
        </is>
      </c>
      <c r="B3306" s="3" t="n">
        <v>2029</v>
      </c>
      <c r="C3306" s="3" t="inlineStr">
        <is>
          <t>Grid-Constrained / Efficiency-Upside</t>
        </is>
      </c>
      <c r="D3306" s="3" t="inlineStr">
        <is>
          <t>purpose_built_tps_per_mw</t>
        </is>
      </c>
      <c r="E3306" s="3" t="n">
        <v>81184</v>
      </c>
      <c r="F3306" s="3" t="inlineStr">
        <is>
          <t>generated output tokens/sec/MW</t>
        </is>
      </c>
      <c r="G3306" s="3" t="inlineStr">
        <is>
          <t>Conservative no-uplift proxy</t>
        </is>
      </c>
      <c r="H3306" s="3" t="inlineStr">
        <is>
          <t>purpose_built_tps_per_mw = purpose_built_reference_tps_per_mw * commercial_workload_fit_factor until comparable output-token benchmark is adopted</t>
        </is>
      </c>
      <c r="I3306" s="3" t="inlineStr">
        <is>
          <t>No comparable public output-token/MW row adopted; B200 public reference placeholder is used and remains editable.</t>
        </is>
      </c>
      <c r="J3306" s="3" t="inlineStr">
        <is>
          <t>SRC_GOOGLE_GEMINI_TOKENS; SRC_GOOGLE_IRONWOOD; SRC_GOOGLE_TPU_V6E; SRC_EPOCH_AI_DATA_CENTERS; ASSUMP_NUMERIC_ACCELERATOR_MIX</t>
        </is>
      </c>
      <c r="K3306" s="3" t="inlineStr">
        <is>
          <t>ASSUMP_TPU_EFFICIENCY; ASSUMP_POWER_RAMP; ASSUMP_NUMERIC_ACCELERATOR_MIX; ASSUMP_INFERENCE_SHARE_NOT_FACT_60; ASSUMP_WORKLOAD_CLASS_MIX; ASSUMP_AGENTIC_CONTEXT_PENALTY</t>
        </is>
      </c>
      <c r="L3306" s="3" t="inlineStr">
        <is>
          <t>Matched-workload generated-output benchmark for the provider purpose-built accelerator.</t>
        </is>
      </c>
    </row>
    <row r="3307">
      <c r="A3307" s="3" t="inlineStr">
        <is>
          <t>Google</t>
        </is>
      </c>
      <c r="B3307" s="3" t="n">
        <v>2029</v>
      </c>
      <c r="C3307" s="3" t="inlineStr">
        <is>
          <t>Grid-Constrained / Efficiency-Upside</t>
        </is>
      </c>
      <c r="D3307" s="3" t="inlineStr">
        <is>
          <t>inference_power_share</t>
        </is>
      </c>
      <c r="E3307" s="3" t="n">
        <v>0.713</v>
      </c>
      <c r="F3307" s="3" t="inlineStr">
        <is>
          <t>share of AI IT load</t>
        </is>
      </c>
      <c r="G3307" s="3" t="inlineStr">
        <is>
          <t>Scenario allocation</t>
        </is>
      </c>
      <c r="H3307" s="3" t="inlineStr">
        <is>
          <t>inference_gw = ai_it_load_gw * inference_power_share</t>
        </is>
      </c>
      <c r="I3307" s="3" t="inlineStr">
        <is>
          <t>Ironwood is positioned for inference and Gemini is commercialized across products; inference share increases as a scenario.</t>
        </is>
      </c>
      <c r="J3307" s="3" t="inlineStr">
        <is>
          <t>SRC_GOOGLE_GEMINI_TOKENS; SRC_GOOGLE_IRONWOOD; SRC_GOOGLE_TPU_V6E; SRC_EPOCH_AI_DATA_CENTERS; ASSUMP_INFERENCE_SHARE_NOT_FACT_60</t>
        </is>
      </c>
      <c r="K3307" s="3" t="inlineStr">
        <is>
          <t>ASSUMP_TPU_EFFICIENCY; ASSUMP_POWER_RAMP; ASSUMP_NUMERIC_ACCELERATOR_MIX; ASSUMP_INFERENCE_SHARE_NOT_FACT_60; ASSUMP_WORKLOAD_CLASS_MIX; ASSUMP_AGENTIC_CONTEXT_PENALTY</t>
        </is>
      </c>
      <c r="L3307" s="3" t="inlineStr">
        <is>
          <t>Provider-specific inference/training workload power telemetry.</t>
        </is>
      </c>
    </row>
    <row r="3308">
      <c r="A3308" s="3" t="inlineStr">
        <is>
          <t>Google</t>
        </is>
      </c>
      <c r="B3308" s="3" t="n">
        <v>2029</v>
      </c>
      <c r="C3308" s="3" t="inlineStr">
        <is>
          <t>Grid-Constrained / Efficiency-Upside</t>
        </is>
      </c>
      <c r="D3308" s="3" t="inlineStr">
        <is>
          <t>inference_gw</t>
        </is>
      </c>
      <c r="E3308" s="3" t="n">
        <v>2.282</v>
      </c>
      <c r="F3308" s="3" t="inlineStr">
        <is>
          <t>GW</t>
        </is>
      </c>
      <c r="G3308" s="3" t="inlineStr">
        <is>
          <t>Derived formula</t>
        </is>
      </c>
      <c r="H3308" s="3" t="inlineStr">
        <is>
          <t>ai_it_load_gw * inference_power_share</t>
        </is>
      </c>
      <c r="I3308" s="3" t="inlineStr">
        <is>
          <t>This is the operational power eligible to become commercial generated output tokens through the selected TPS/MW proxy.</t>
        </is>
      </c>
      <c r="J3308" s="3" t="inlineStr">
        <is>
          <t>SRC_GOOGLE_GEMINI_TOKENS; SRC_GOOGLE_IRONWOOD; SRC_GOOGLE_TPU_V6E; SRC_EPOCH_AI_DATA_CENTERS</t>
        </is>
      </c>
      <c r="K3308" s="3" t="inlineStr">
        <is>
          <t>ASSUMP_TPU_EFFICIENCY; ASSUMP_POWER_RAMP; ASSUMP_NUMERIC_ACCELERATOR_MIX; ASSUMP_INFERENCE_SHARE_NOT_FACT_60; ASSUMP_WORKLOAD_CLASS_MIX; ASSUMP_AGENTIC_CONTEXT_PENALTY</t>
        </is>
      </c>
      <c r="L3308" s="3" t="inlineStr">
        <is>
          <t>Recompute after AI allocation or inference-share evidence changes.</t>
        </is>
      </c>
    </row>
    <row r="3309">
      <c r="A3309" s="3" t="inlineStr">
        <is>
          <t>Google</t>
        </is>
      </c>
      <c r="B3309" s="3" t="n">
        <v>2029</v>
      </c>
      <c r="C3309" s="3" t="inlineStr">
        <is>
          <t>Grid-Constrained / Efficiency-Upside</t>
        </is>
      </c>
      <c r="D3309" s="3" t="inlineStr">
        <is>
          <t>training_power_share</t>
        </is>
      </c>
      <c r="E3309" s="3" t="n">
        <v>0.287</v>
      </c>
      <c r="F3309" s="3" t="inlineStr">
        <is>
          <t>share of AI IT load</t>
        </is>
      </c>
      <c r="G3309" s="3" t="inlineStr">
        <is>
          <t>Derived allocation</t>
        </is>
      </c>
      <c r="H3309" s="3" t="inlineStr">
        <is>
          <t>1 - inference_power_share</t>
        </is>
      </c>
      <c r="I3309" s="3" t="inlineStr">
        <is>
          <t>Training receives the complementary modeled AI IT allocation; it is not a disclosed company workload split.</t>
        </is>
      </c>
      <c r="J3309" s="3" t="inlineStr">
        <is>
          <t>SRC_GOOGLE_GEMINI_TOKENS; SRC_GOOGLE_IRONWOOD; SRC_GOOGLE_TPU_V6E; SRC_EPOCH_AI_DATA_CENTERS; ASSUMP_INFERENCE_SHARE_NOT_FACT_60</t>
        </is>
      </c>
      <c r="K3309" s="3" t="inlineStr">
        <is>
          <t>ASSUMP_TPU_EFFICIENCY; ASSUMP_POWER_RAMP; ASSUMP_NUMERIC_ACCELERATOR_MIX; ASSUMP_INFERENCE_SHARE_NOT_FACT_60; ASSUMP_WORKLOAD_CLASS_MIX; ASSUMP_AGENTIC_CONTEXT_PENALTY</t>
        </is>
      </c>
      <c r="L3309" s="3" t="inlineStr">
        <is>
          <t>Provider-specific inference/training workload power telemetry.</t>
        </is>
      </c>
    </row>
    <row r="3310">
      <c r="A3310" s="3" t="inlineStr">
        <is>
          <t>Google</t>
        </is>
      </c>
      <c r="B3310" s="3" t="n">
        <v>2029</v>
      </c>
      <c r="C3310" s="3" t="inlineStr">
        <is>
          <t>Grid-Constrained / Efficiency-Upside</t>
        </is>
      </c>
      <c r="D3310" s="3" t="inlineStr">
        <is>
          <t>training_gw</t>
        </is>
      </c>
      <c r="E3310" s="3" t="n">
        <v>0.921</v>
      </c>
      <c r="F3310" s="3" t="inlineStr">
        <is>
          <t>GW</t>
        </is>
      </c>
      <c r="G3310" s="3" t="inlineStr">
        <is>
          <t>Derived formula</t>
        </is>
      </c>
      <c r="H3310" s="3" t="inlineStr">
        <is>
          <t>ai_it_load_gw * training_power_share</t>
        </is>
      </c>
      <c r="I3310" s="3" t="inlineStr">
        <is>
          <t>Training GW is shown separately so commercial inference token capacity is not overstated.</t>
        </is>
      </c>
      <c r="J3310" s="3" t="inlineStr">
        <is>
          <t>SRC_GOOGLE_GEMINI_TOKENS; SRC_GOOGLE_IRONWOOD; SRC_GOOGLE_TPU_V6E; SRC_EPOCH_AI_DATA_CENTERS</t>
        </is>
      </c>
      <c r="K3310" s="3" t="inlineStr">
        <is>
          <t>ASSUMP_TPU_EFFICIENCY; ASSUMP_POWER_RAMP; ASSUMP_NUMERIC_ACCELERATOR_MIX; ASSUMP_INFERENCE_SHARE_NOT_FACT_60; ASSUMP_WORKLOAD_CLASS_MIX; ASSUMP_AGENTIC_CONTEXT_PENALTY</t>
        </is>
      </c>
      <c r="L3310" s="3" t="inlineStr">
        <is>
          <t>Recompute after AI allocation or workload-split evidence changes.</t>
        </is>
      </c>
    </row>
    <row r="3311">
      <c r="A3311" s="3" t="inlineStr">
        <is>
          <t>Google</t>
        </is>
      </c>
      <c r="B3311" s="3" t="n">
        <v>2029</v>
      </c>
      <c r="C3311" s="3" t="inlineStr">
        <is>
          <t>Grid-Constrained / Efficiency-Upside</t>
        </is>
      </c>
      <c r="D3311" s="3" t="inlineStr">
        <is>
          <t>tokens_per_second_per_mw</t>
        </is>
      </c>
      <c r="E3311" s="3" t="n">
        <v>105143</v>
      </c>
      <c r="F3311" s="3" t="inlineStr">
        <is>
          <t>generated output tokens/sec/MW</t>
        </is>
      </c>
      <c r="G3311" s="3" t="inlineStr">
        <is>
          <t>Derived estimate + benchmark calibration</t>
        </is>
      </c>
      <c r="H3311" s="3" t="inlineStr">
        <is>
          <t>fleet_reference_tps_per_mw * commercial_workload_fit_factor</t>
        </is>
      </c>
      <c r="I3311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11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311" s="3" t="inlineStr">
        <is>
          <t>ASSUMP_TPU_EFFICIENCY; ASSUMP_POWER_RAMP; ASSUMP_NUMERIC_ACCELERATOR_MIX; ASSUMP_INFERENCE_SHARE_NOT_FACT_60; ASSUMP_WORKLOAD_CLASS_MIX; ASSUMP_AGENTIC_CONTEXT_PENALTY</t>
        </is>
      </c>
      <c r="L3311" s="3" t="inlineStr">
        <is>
          <t>Comparable production output-token throughput with model, hardware, precision, ISL/OSL and SLO matched.</t>
        </is>
      </c>
    </row>
    <row r="3312">
      <c r="A3312" s="3" t="inlineStr">
        <is>
          <t>Google</t>
        </is>
      </c>
      <c r="B3312" s="3" t="n">
        <v>2029</v>
      </c>
      <c r="C3312" s="3" t="inlineStr">
        <is>
          <t>Grid-Constrained / Efficiency-Upside</t>
        </is>
      </c>
      <c r="D3312" s="3" t="inlineStr">
        <is>
          <t>inference_tokens_per_day</t>
        </is>
      </c>
      <c r="E3312" s="3" t="n">
        <v>20730498566400</v>
      </c>
      <c r="F3312" s="3" t="inlineStr">
        <is>
          <t>generated output tokens/day</t>
        </is>
      </c>
      <c r="G3312" s="3" t="inlineStr">
        <is>
          <t>Derived headline metric</t>
        </is>
      </c>
      <c r="H3312" s="3" t="inlineStr">
        <is>
          <t>inference_gw * 1000 * tokens_per_second_per_mw * 86,400</t>
        </is>
      </c>
      <c r="I3312" s="3" t="inlineStr">
        <is>
          <t>Headline capacity uses no utilization, MoE, architecture or software-growth multiplier; it is not observed commercial output volume.</t>
        </is>
      </c>
      <c r="J3312" s="3" t="inlineStr">
        <is>
          <t>SRC_GOOGLE_GEMINI_TOKENS; SRC_GOOGLE_IRONWOOD; SRC_GOOGLE_TPU_V6E; SRC_EPOCH_AI_DATA_CENTERS; SRC_SEMIANALYSIS_INFERENCEX</t>
        </is>
      </c>
      <c r="K3312" s="3" t="inlineStr">
        <is>
          <t>ASSUMP_TPU_EFFICIENCY; ASSUMP_POWER_RAMP; ASSUMP_NUMERIC_ACCELERATOR_MIX; ASSUMP_INFERENCE_SHARE_NOT_FACT_60; ASSUMP_WORKLOAD_CLASS_MIX; ASSUMP_AGENTIC_CONTEXT_PENALTY</t>
        </is>
      </c>
      <c r="L3312" s="3" t="inlineStr">
        <is>
          <t>Provider-disclosed generated output token volume or calibrated capacity telemetry.</t>
        </is>
      </c>
    </row>
    <row r="3313">
      <c r="A3313" s="3" t="inlineStr">
        <is>
          <t>Google</t>
        </is>
      </c>
      <c r="B3313" s="3" t="n">
        <v>2029</v>
      </c>
      <c r="C3313" s="3" t="inlineStr">
        <is>
          <t>Grid-Constrained / Efficiency-Upside</t>
        </is>
      </c>
      <c r="D3313" s="3" t="inlineStr">
        <is>
          <t>inference_tokens_per_year</t>
        </is>
      </c>
      <c r="E3313" s="3" t="n">
        <v>7566631976736000</v>
      </c>
      <c r="F3313" s="3" t="inlineStr">
        <is>
          <t>generated output tokens/year</t>
        </is>
      </c>
      <c r="G3313" s="3" t="inlineStr">
        <is>
          <t>Derived headline metric</t>
        </is>
      </c>
      <c r="H3313" s="3" t="inlineStr">
        <is>
          <t>inference_tokens_per_day * 365</t>
        </is>
      </c>
      <c r="I3313" s="3" t="inlineStr">
        <is>
          <t>Annualized version of generated output token capacity; it is not observed annual demand or billable volume.</t>
        </is>
      </c>
      <c r="J3313" s="3" t="inlineStr">
        <is>
          <t>SRC_GOOGLE_GEMINI_TOKENS; SRC_GOOGLE_IRONWOOD; SRC_GOOGLE_TPU_V6E; SRC_EPOCH_AI_DATA_CENTERS; SRC_SEMIANALYSIS_INFERENCEX</t>
        </is>
      </c>
      <c r="K3313" s="3" t="inlineStr">
        <is>
          <t>ASSUMP_TPU_EFFICIENCY; ASSUMP_POWER_RAMP; ASSUMP_NUMERIC_ACCELERATOR_MIX; ASSUMP_INFERENCE_SHARE_NOT_FACT_60; ASSUMP_WORKLOAD_CLASS_MIX; ASSUMP_AGENTIC_CONTEXT_PENALTY</t>
        </is>
      </c>
      <c r="L3313" s="3" t="inlineStr">
        <is>
          <t>Provider-disclosed annual generated-output volume or metered serving telemetry.</t>
        </is>
      </c>
    </row>
    <row r="3314">
      <c r="A3314" s="3" t="inlineStr">
        <is>
          <t>Google</t>
        </is>
      </c>
      <c r="B3314" s="3" t="n">
        <v>2030</v>
      </c>
      <c r="C3314" s="3" t="inlineStr">
        <is>
          <t>Grid-Constrained / Efficiency-Upside</t>
        </is>
      </c>
      <c r="D3314" s="3" t="inlineStr">
        <is>
          <t>contracted_power_gw</t>
        </is>
      </c>
      <c r="E3314" s="3" t="n">
        <v>8</v>
      </c>
      <c r="F3314" s="3" t="inlineStr">
        <is>
          <t>GW</t>
        </is>
      </c>
      <c r="G3314" s="3" t="inlineStr">
        <is>
          <t>Scenario capacity envelope</t>
        </is>
      </c>
      <c r="H3314" s="3" t="inlineStr">
        <is>
          <t>linear interpolation between 2026 and 2030 company capacity endpoints</t>
        </is>
      </c>
      <c r="I3314" s="3" t="inlineStr">
        <is>
          <t>Scenario envelope for Gemini-serving capacity; official TPU hardware direction is disclosed, company-level contracted GW is not.</t>
        </is>
      </c>
      <c r="J3314" s="3" t="inlineStr">
        <is>
          <t>ASSUMP_POWER_RAMP; SRC_GOOGLE_IRONWOOD; SRC_GOOGLE_TPU_V6E</t>
        </is>
      </c>
      <c r="K3314" s="3" t="inlineStr">
        <is>
          <t>ASSUMP_TPU_EFFICIENCY; ASSUMP_POWER_RAMP; ASSUMP_NUMERIC_ACCELERATOR_MIX; ASSUMP_INFERENCE_SHARE_NOT_FACT_60; ASSUMP_WORKLOAD_CLASS_MIX; ASSUMP_AGENTIC_CONTEXT_PENALTY</t>
        </is>
      </c>
      <c r="L3314" s="3" t="inlineStr">
        <is>
          <t>Company/site-level committed MW/GW, interconnect and contract disclosure.</t>
        </is>
      </c>
    </row>
    <row r="3315">
      <c r="A3315" s="3" t="inlineStr">
        <is>
          <t>Google</t>
        </is>
      </c>
      <c r="B3315" s="3" t="n">
        <v>2030</v>
      </c>
      <c r="C3315" s="3" t="inlineStr">
        <is>
          <t>Grid-Constrained / Efficiency-Upside</t>
        </is>
      </c>
      <c r="D3315" s="3" t="inlineStr">
        <is>
          <t>operational_deployment_share</t>
        </is>
      </c>
      <c r="E3315" s="3" t="n">
        <v>0.612</v>
      </c>
      <c r="F3315" s="3" t="inlineStr">
        <is>
          <t>share</t>
        </is>
      </c>
      <c r="G3315" s="3" t="inlineStr">
        <is>
          <t>Scenario conversion</t>
        </is>
      </c>
      <c r="H3315" s="3" t="inlineStr">
        <is>
          <t>active_power_gw / contracted_power_gw</t>
        </is>
      </c>
      <c r="I3315" s="3" t="inlineStr">
        <is>
          <t>This is the single explicit conversion from contracted/attributed capacity to operationally usable capacity.</t>
        </is>
      </c>
      <c r="J3315" s="3" t="inlineStr">
        <is>
          <t>ASSUMP_POWER_RAMP; SRC_GOOGLE_IRONWOOD; SRC_GOOGLE_TPU_V6E</t>
        </is>
      </c>
      <c r="K3315" s="3" t="inlineStr">
        <is>
          <t>ASSUMP_TPU_EFFICIENCY; ASSUMP_POWER_RAMP; ASSUMP_NUMERIC_ACCELERATOR_MIX; ASSUMP_INFERENCE_SHARE_NOT_FACT_60; ASSUMP_WORKLOAD_CLASS_MIX; ASSUMP_AGENTIC_CONTEXT_PENALTY</t>
        </is>
      </c>
      <c r="L3315" s="3" t="inlineStr">
        <is>
          <t>Energized operational capacity divided by contracted/attributed capacity.</t>
        </is>
      </c>
    </row>
    <row r="3316">
      <c r="A3316" s="3" t="inlineStr">
        <is>
          <t>Google</t>
        </is>
      </c>
      <c r="B3316" s="3" t="n">
        <v>2030</v>
      </c>
      <c r="C3316" s="3" t="inlineStr">
        <is>
          <t>Grid-Constrained / Efficiency-Upside</t>
        </is>
      </c>
      <c r="D3316" s="3" t="inlineStr">
        <is>
          <t>active_power_gw</t>
        </is>
      </c>
      <c r="E3316" s="3" t="n">
        <v>4.896</v>
      </c>
      <c r="F3316" s="3" t="inlineStr">
        <is>
          <t>GW</t>
        </is>
      </c>
      <c r="G3316" s="3" t="inlineStr">
        <is>
          <t>Derived scenario</t>
        </is>
      </c>
      <c r="H3316" s="3" t="inlineStr">
        <is>
          <t>contracted_power_gw * operational_deployment_share</t>
        </is>
      </c>
      <c r="I3316" s="3" t="inlineStr">
        <is>
          <t>TPU generation availability supports ramp direction, while active GW remains a staged deployment estimate.</t>
        </is>
      </c>
      <c r="J3316" s="3" t="inlineStr">
        <is>
          <t>ASSUMP_POWER_RAMP; SRC_GOOGLE_IRONWOOD; SRC_GOOGLE_TPU_V6E</t>
        </is>
      </c>
      <c r="K3316" s="3" t="inlineStr">
        <is>
          <t>ASSUMP_TPU_EFFICIENCY; ASSUMP_POWER_RAMP; ASSUMP_NUMERIC_ACCELERATOR_MIX; ASSUMP_INFERENCE_SHARE_NOT_FACT_60; ASSUMP_WORKLOAD_CLASS_MIX; ASSUMP_AGENTIC_CONTEXT_PENALTY</t>
        </is>
      </c>
      <c r="L3316" s="3" t="inlineStr">
        <is>
          <t>Energization dates, accelerator deliveries and operational powered-rack telemetry.</t>
        </is>
      </c>
    </row>
    <row r="3317">
      <c r="A3317" s="3" t="inlineStr">
        <is>
          <t>Google</t>
        </is>
      </c>
      <c r="B3317" s="3" t="n">
        <v>2030</v>
      </c>
      <c r="C3317" s="3" t="inlineStr">
        <is>
          <t>Grid-Constrained / Efficiency-Upside</t>
        </is>
      </c>
      <c r="D3317" s="3" t="inlineStr">
        <is>
          <t>pue</t>
        </is>
      </c>
      <c r="E3317" s="3" t="n">
        <v>1.18</v>
      </c>
      <c r="F3317" s="3" t="inlineStr">
        <is>
          <t>ratio</t>
        </is>
      </c>
      <c r="G3317" s="3" t="inlineStr">
        <is>
          <t>Scenario parameter</t>
        </is>
      </c>
      <c r="H3317" s="3" t="inlineStr">
        <is>
          <t>it_load_gw = active_power_gw / pue</t>
        </is>
      </c>
      <c r="I3317" s="3" t="inlineStr">
        <is>
          <t>No provider-wide site-level PUE is used as a disclosed fact; PUE represents facility-to-IT conversion within the scenario.</t>
        </is>
      </c>
      <c r="J3317" s="3" t="inlineStr">
        <is>
          <t>ASSUMP_POWER_RAMP</t>
        </is>
      </c>
      <c r="K3317" s="3" t="inlineStr">
        <is>
          <t>ASSUMP_TPU_EFFICIENCY; ASSUMP_POWER_RAMP; ASSUMP_NUMERIC_ACCELERATOR_MIX; ASSUMP_INFERENCE_SHARE_NOT_FACT_60; ASSUMP_WORKLOAD_CLASS_MIX; ASSUMP_AGENTIC_CONTEXT_PENALTY</t>
        </is>
      </c>
      <c r="L3317" s="3" t="inlineStr">
        <is>
          <t>Site-level measured PUE matched to attributed AI capacity.</t>
        </is>
      </c>
    </row>
    <row r="3318">
      <c r="A3318" s="3" t="inlineStr">
        <is>
          <t>Google</t>
        </is>
      </c>
      <c r="B3318" s="3" t="n">
        <v>2030</v>
      </c>
      <c r="C3318" s="3" t="inlineStr">
        <is>
          <t>Grid-Constrained / Efficiency-Upside</t>
        </is>
      </c>
      <c r="D3318" s="3" t="inlineStr">
        <is>
          <t>it_load_gw</t>
        </is>
      </c>
      <c r="E3318" s="3" t="n">
        <v>4.149</v>
      </c>
      <c r="F3318" s="3" t="inlineStr">
        <is>
          <t>GW</t>
        </is>
      </c>
      <c r="G3318" s="3" t="inlineStr">
        <is>
          <t>Derived formula</t>
        </is>
      </c>
      <c r="H3318" s="3" t="inlineStr">
        <is>
          <t>active_power_gw / pue</t>
        </is>
      </c>
      <c r="I3318" s="3" t="inlineStr">
        <is>
          <t>Facility power is converted to IT-deliverable power before attributing AI workloads.</t>
        </is>
      </c>
      <c r="J3318" s="3" t="inlineStr">
        <is>
          <t>ASSUMP_POWER_RAMP; SRC_GOOGLE_IRONWOOD; SRC_GOOGLE_TPU_V6E</t>
        </is>
      </c>
      <c r="K3318" s="3" t="inlineStr">
        <is>
          <t>ASSUMP_TPU_EFFICIENCY; ASSUMP_POWER_RAMP; ASSUMP_NUMERIC_ACCELERATOR_MIX; ASSUMP_INFERENCE_SHARE_NOT_FACT_60; ASSUMP_WORKLOAD_CLASS_MIX; ASSUMP_AGENTIC_CONTEXT_PENALTY</t>
        </is>
      </c>
      <c r="L3318" s="3" t="inlineStr">
        <is>
          <t>Recompute once active power and PUE become site-observable.</t>
        </is>
      </c>
    </row>
    <row r="3319">
      <c r="A3319" s="3" t="inlineStr">
        <is>
          <t>Google</t>
        </is>
      </c>
      <c r="B3319" s="3" t="n">
        <v>2030</v>
      </c>
      <c r="C3319" s="3" t="inlineStr">
        <is>
          <t>Grid-Constrained / Efficiency-Upside</t>
        </is>
      </c>
      <c r="D3319" s="3" t="inlineStr">
        <is>
          <t>ai_workload_share</t>
        </is>
      </c>
      <c r="E3319" s="3" t="n">
        <v>0.88</v>
      </c>
      <c r="F3319" s="3" t="inlineStr">
        <is>
          <t>share</t>
        </is>
      </c>
      <c r="G3319" s="3" t="inlineStr">
        <is>
          <t>Scenario allocation</t>
        </is>
      </c>
      <c r="H3319" s="3" t="inlineStr">
        <is>
          <t>ai_it_load_gw = it_load_gw * ai_workload_share</t>
        </is>
      </c>
      <c r="I3319" s="3" t="inlineStr">
        <is>
          <t>Gemini/Vertex TPU serving is AI-dedicated in the modeled capacity envelope; 88% excludes platform/reserve load.</t>
        </is>
      </c>
      <c r="J3319" s="3" t="inlineStr">
        <is>
          <t>SRC_GOOGLE_GEMINI_TOKENS; SRC_GOOGLE_IRONWOOD; SRC_GOOGLE_TPU_V6E; SRC_EPOCH_AI_DATA_CENTERS</t>
        </is>
      </c>
      <c r="K3319" s="3" t="inlineStr">
        <is>
          <t>ASSUMP_TPU_EFFICIENCY; ASSUMP_POWER_RAMP; ASSUMP_NUMERIC_ACCELERATOR_MIX; ASSUMP_INFERENCE_SHARE_NOT_FACT_60; ASSUMP_WORKLOAD_CLASS_MIX; ASSUMP_AGENTIC_CONTEXT_PENALTY</t>
        </is>
      </c>
      <c r="L3319" s="3" t="inlineStr">
        <is>
          <t>Model-owner AI workload allocation or cluster scheduling telemetry.</t>
        </is>
      </c>
    </row>
    <row r="3320">
      <c r="A3320" s="3" t="inlineStr">
        <is>
          <t>Google</t>
        </is>
      </c>
      <c r="B3320" s="3" t="n">
        <v>2030</v>
      </c>
      <c r="C3320" s="3" t="inlineStr">
        <is>
          <t>Grid-Constrained / Efficiency-Upside</t>
        </is>
      </c>
      <c r="D3320" s="3" t="inlineStr">
        <is>
          <t>ai_it_load_gw</t>
        </is>
      </c>
      <c r="E3320" s="3" t="n">
        <v>3.651</v>
      </c>
      <c r="F3320" s="3" t="inlineStr">
        <is>
          <t>GW</t>
        </is>
      </c>
      <c r="G3320" s="3" t="inlineStr">
        <is>
          <t>Derived formula</t>
        </is>
      </c>
      <c r="H3320" s="3" t="inlineStr">
        <is>
          <t>it_load_gw * ai_workload_share</t>
        </is>
      </c>
      <c r="I3320" s="3" t="inlineStr">
        <is>
          <t>Only the AI-attributed portion of IT load enters training/inference allocation.</t>
        </is>
      </c>
      <c r="J3320" s="3" t="inlineStr">
        <is>
          <t>SRC_GOOGLE_GEMINI_TOKENS; SRC_GOOGLE_IRONWOOD; SRC_GOOGLE_TPU_V6E; SRC_EPOCH_AI_DATA_CENTERS</t>
        </is>
      </c>
      <c r="K3320" s="3" t="inlineStr">
        <is>
          <t>ASSUMP_TPU_EFFICIENCY; ASSUMP_POWER_RAMP; ASSUMP_NUMERIC_ACCELERATOR_MIX; ASSUMP_INFERENCE_SHARE_NOT_FACT_60; ASSUMP_WORKLOAD_CLASS_MIX; ASSUMP_AGENTIC_CONTEXT_PENALTY</t>
        </is>
      </c>
      <c r="L3320" s="3" t="inlineStr">
        <is>
          <t>Recompute after ai_workload_share is replaced by telemetry.</t>
        </is>
      </c>
    </row>
    <row r="3321">
      <c r="A3321" s="3" t="inlineStr">
        <is>
          <t>Google</t>
        </is>
      </c>
      <c r="B3321" s="3" t="n">
        <v>2030</v>
      </c>
      <c r="C3321" s="3" t="inlineStr">
        <is>
          <t>Grid-Constrained / Efficiency-Upside</t>
        </is>
      </c>
      <c r="D3321" s="3" t="inlineStr">
        <is>
          <t>gpu_share</t>
        </is>
      </c>
      <c r="E3321" s="3" t="n">
        <v>0.096925</v>
      </c>
      <c r="F3321" s="3" t="inlineStr">
        <is>
          <t>share of inference-serving accelerator load</t>
        </is>
      </c>
      <c r="G3321" s="3" t="inlineStr">
        <is>
          <t>Numeric scenario</t>
        </is>
      </c>
      <c r="H3321" s="3" t="inlineStr">
        <is>
          <t>gpu_share interpolated from company 2026/2030 accelerator-mix endpoints</t>
        </is>
      </c>
      <c r="I3321" s="3" t="inlineStr">
        <is>
          <t>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321" s="3" t="inlineStr">
        <is>
          <t>SRC_GOOGLE_GEMINI_TOKENS; SRC_GOOGLE_IRONWOOD; SRC_GOOGLE_TPU_V6E; SRC_EPOCH_AI_DATA_CENTERS; ASSUMP_NUMERIC_ACCELERATOR_MIX</t>
        </is>
      </c>
      <c r="K3321" s="3" t="inlineStr">
        <is>
          <t>ASSUMP_TPU_EFFICIENCY; ASSUMP_POWER_RAMP; ASSUMP_NUMERIC_ACCELERATOR_MIX; ASSUMP_INFERENCE_SHARE_NOT_FACT_60; ASSUMP_WORKLOAD_CLASS_MIX; ASSUMP_AGENTIC_CONTEXT_PENALTY</t>
        </is>
      </c>
      <c r="L3321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322">
      <c r="A3322" s="3" t="inlineStr">
        <is>
          <t>Google</t>
        </is>
      </c>
      <c r="B3322" s="3" t="n">
        <v>2030</v>
      </c>
      <c r="C3322" s="3" t="inlineStr">
        <is>
          <t>Grid-Constrained / Efficiency-Upside</t>
        </is>
      </c>
      <c r="D3322" s="3" t="inlineStr">
        <is>
          <t>h200_share</t>
        </is>
      </c>
      <c r="E3322" s="3" t="n">
        <v>0.002447</v>
      </c>
      <c r="F3322" s="3" t="inlineStr">
        <is>
          <t>share of inference-serving accelerator load</t>
        </is>
      </c>
      <c r="G3322" s="3" t="inlineStr">
        <is>
          <t>Editable numeric scenario</t>
        </is>
      </c>
      <c r="H3322" s="3" t="inlineStr">
        <is>
          <t>h200_share = gpu_share * default_gpu_generation_mix_h200</t>
        </is>
      </c>
      <c r="I3322" s="3" t="inlineStr">
        <is>
          <t>Default GPU-generation migration assumption; executive workbook allows later manual replacement by company/year/scenario.</t>
        </is>
      </c>
      <c r="J3322" s="3" t="inlineStr">
        <is>
          <t>SRC_SEMIANALYSIS_INFERENCEX; ASSUMP_NUMERIC_ACCELERATOR_MIX</t>
        </is>
      </c>
      <c r="K3322" s="3" t="inlineStr">
        <is>
          <t>ASSUMP_TPU_EFFICIENCY; ASSUMP_POWER_RAMP; ASSUMP_NUMERIC_ACCELERATOR_MIX; ASSUMP_INFERENCE_SHARE_NOT_FACT_60; ASSUMP_WORKLOAD_CLASS_MIX; ASSUMP_AGENTIC_CONTEXT_PENALTY</t>
        </is>
      </c>
      <c r="L3322" s="3" t="inlineStr">
        <is>
          <t>Company fleet inventory, accelerator-hours or procurement/deployment records by GPU generation.</t>
        </is>
      </c>
    </row>
    <row r="3323">
      <c r="A3323" s="3" t="inlineStr">
        <is>
          <t>Google</t>
        </is>
      </c>
      <c r="B3323" s="3" t="n">
        <v>2030</v>
      </c>
      <c r="C3323" s="3" t="inlineStr">
        <is>
          <t>Grid-Constrained / Efficiency-Upside</t>
        </is>
      </c>
      <c r="D3323" s="3" t="inlineStr">
        <is>
          <t>b200_share</t>
        </is>
      </c>
      <c r="E3323" s="3" t="n">
        <v>0.081021</v>
      </c>
      <c r="F3323" s="3" t="inlineStr">
        <is>
          <t>share of inference-serving accelerator load</t>
        </is>
      </c>
      <c r="G3323" s="3" t="inlineStr">
        <is>
          <t>Editable numeric scenario</t>
        </is>
      </c>
      <c r="H3323" s="3" t="inlineStr">
        <is>
          <t>b200_share = gpu_share * default_gpu_generation_mix_b200</t>
        </is>
      </c>
      <c r="I3323" s="3" t="inlineStr">
        <is>
          <t>Default GPU-generation migration assumption; executive workbook allows later manual replacement by company/year/scenario.</t>
        </is>
      </c>
      <c r="J3323" s="3" t="inlineStr">
        <is>
          <t>SRC_SEMIANALYSIS_INFERENCEX; ASSUMP_NUMERIC_ACCELERATOR_MIX</t>
        </is>
      </c>
      <c r="K3323" s="3" t="inlineStr">
        <is>
          <t>ASSUMP_TPU_EFFICIENCY; ASSUMP_POWER_RAMP; ASSUMP_NUMERIC_ACCELERATOR_MIX; ASSUMP_INFERENCE_SHARE_NOT_FACT_60; ASSUMP_WORKLOAD_CLASS_MIX; ASSUMP_AGENTIC_CONTEXT_PENALTY</t>
        </is>
      </c>
      <c r="L3323" s="3" t="inlineStr">
        <is>
          <t>Company fleet inventory, accelerator-hours or procurement/deployment records by GPU generation.</t>
        </is>
      </c>
    </row>
    <row r="3324">
      <c r="A3324" s="3" t="inlineStr">
        <is>
          <t>Google</t>
        </is>
      </c>
      <c r="B3324" s="3" t="n">
        <v>2030</v>
      </c>
      <c r="C3324" s="3" t="inlineStr">
        <is>
          <t>Grid-Constrained / Efficiency-Upside</t>
        </is>
      </c>
      <c r="D3324" s="3" t="inlineStr">
        <is>
          <t>gb200_share</t>
        </is>
      </c>
      <c r="E3324" s="3" t="n">
        <v>0.013457</v>
      </c>
      <c r="F3324" s="3" t="inlineStr">
        <is>
          <t>share of inference-serving accelerator load</t>
        </is>
      </c>
      <c r="G3324" s="3" t="inlineStr">
        <is>
          <t>Editable numeric scenario</t>
        </is>
      </c>
      <c r="H3324" s="3" t="inlineStr">
        <is>
          <t>gb200_share = gpu_share * default_gpu_generation_mix_gb200</t>
        </is>
      </c>
      <c r="I3324" s="3" t="inlineStr">
        <is>
          <t>Default GPU-generation migration assumption; executive workbook allows later manual replacement by company/year/scenario.</t>
        </is>
      </c>
      <c r="J3324" s="3" t="inlineStr">
        <is>
          <t>SRC_SEMIANALYSIS_INFERENCEX; ASSUMP_NUMERIC_ACCELERATOR_MIX</t>
        </is>
      </c>
      <c r="K3324" s="3" t="inlineStr">
        <is>
          <t>ASSUMP_TPU_EFFICIENCY; ASSUMP_POWER_RAMP; ASSUMP_NUMERIC_ACCELERATOR_MIX; ASSUMP_INFERENCE_SHARE_NOT_FACT_60; ASSUMP_WORKLOAD_CLASS_MIX; ASSUMP_AGENTIC_CONTEXT_PENALTY</t>
        </is>
      </c>
      <c r="L3324" s="3" t="inlineStr">
        <is>
          <t>Company fleet inventory, accelerator-hours or procurement/deployment records by GPU generation.</t>
        </is>
      </c>
    </row>
    <row r="3325">
      <c r="A3325" s="3" t="inlineStr">
        <is>
          <t>Google</t>
        </is>
      </c>
      <c r="B3325" s="3" t="n">
        <v>2030</v>
      </c>
      <c r="C3325" s="3" t="inlineStr">
        <is>
          <t>Grid-Constrained / Efficiency-Upside</t>
        </is>
      </c>
      <c r="D3325" s="3" t="inlineStr">
        <is>
          <t>purpose_built_accelerator_share</t>
        </is>
      </c>
      <c r="E3325" s="3" t="n">
        <v>0.903075</v>
      </c>
      <c r="F3325" s="3" t="inlineStr">
        <is>
          <t>share of inference-serving accelerator load</t>
        </is>
      </c>
      <c r="G3325" s="3" t="inlineStr">
        <is>
          <t>Numeric scenario</t>
        </is>
      </c>
      <c r="H3325" s="3" t="inlineStr">
        <is>
          <t>1 - gpu_share</t>
        </is>
      </c>
      <c r="I3325" s="3" t="inlineStr">
        <is>
          <t>Purpose-built bucket: TPU / Ironwood. Derived by capacity-weighting 02a_DC_Capacity_Alloc rows against 02b_DC_Accelerator_Mix rows, using inference-weighted capacity only. Google officially positions Ironwood as an inference TPU and publicly documents TPU generations; TPU-heavy serving is modeled, not measured fleet share.</t>
        </is>
      </c>
      <c r="J3325" s="3" t="inlineStr">
        <is>
          <t>SRC_GOOGLE_GEMINI_TOKENS; SRC_GOOGLE_IRONWOOD; SRC_GOOGLE_TPU_V6E; SRC_EPOCH_AI_DATA_CENTERS; ASSUMP_NUMERIC_ACCELERATOR_MIX</t>
        </is>
      </c>
      <c r="K3325" s="3" t="inlineStr">
        <is>
          <t>ASSUMP_TPU_EFFICIENCY; ASSUMP_POWER_RAMP; ASSUMP_NUMERIC_ACCELERATOR_MIX; ASSUMP_INFERENCE_SHARE_NOT_FACT_60; ASSUMP_WORKLOAD_CLASS_MIX; ASSUMP_AGENTIC_CONTEXT_PENALTY</t>
        </is>
      </c>
      <c r="L3325" s="3" t="inlineStr">
        <is>
          <t>Replace 02a datacenter capacity allocations and 02b datacenter accelerator mix with contract/procurement telemetry. Gemini production serving throughput/power or TPU-versus-GPU serving allocation disclosure.</t>
        </is>
      </c>
    </row>
    <row r="3326">
      <c r="A3326" s="3" t="inlineStr">
        <is>
          <t>Google</t>
        </is>
      </c>
      <c r="B3326" s="3" t="n">
        <v>2030</v>
      </c>
      <c r="C3326" s="3" t="inlineStr">
        <is>
          <t>Grid-Constrained / Efficiency-Upside</t>
        </is>
      </c>
      <c r="D3326" s="3" t="inlineStr">
        <is>
          <t>fleet_reference_tps_per_mw</t>
        </is>
      </c>
      <c r="E3326" s="3" t="n">
        <v>170988</v>
      </c>
      <c r="F3326" s="3" t="inlineStr">
        <is>
          <t>generated output tokens/sec/MW</t>
        </is>
      </c>
      <c r="G3326" s="3" t="inlineStr">
        <is>
          <t>Fleet-weighted public benchmark reference</t>
        </is>
      </c>
      <c r="H3326" s="3" t="inlineStr">
        <is>
          <t>h200_share*h200_workload_avg + b200_share*b200_workload_avg + gb200_share*gb200_workload_avg + purpose_built_share*purpose_workload_avg</t>
        </is>
      </c>
      <c r="I332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326" s="3" t="inlineStr">
        <is>
          <t>SRC_SEMIANALYSIS_INFERENCEX; ASSUMP_NUMERIC_ACCELERATOR_MIX; ASSUMP_WORKLOAD_CLASS_MIX; ASSUMP_AGENTIC_CONTEXT_PENALTY</t>
        </is>
      </c>
      <c r="K3326" s="3" t="inlineStr">
        <is>
          <t>ASSUMP_TPU_EFFICIENCY; ASSUMP_POWER_RAMP; ASSUMP_NUMERIC_ACCELERATOR_MIX; ASSUMP_INFERENCE_SHARE_NOT_FACT_60; ASSUMP_WORKLOAD_CLASS_MIX; ASSUMP_AGENTIC_CONTEXT_PENALTY</t>
        </is>
      </c>
      <c r="L3326" s="3" t="inlineStr">
        <is>
          <t>Comparable production output-token throughput or a more closely matched benchmark.</t>
        </is>
      </c>
    </row>
    <row r="3327">
      <c r="A3327" s="3" t="inlineStr">
        <is>
          <t>Google</t>
        </is>
      </c>
      <c r="B3327" s="3" t="n">
        <v>2030</v>
      </c>
      <c r="C3327" s="3" t="inlineStr">
        <is>
          <t>Grid-Constrained / Efficiency-Upside</t>
        </is>
      </c>
      <c r="D3327" s="3" t="inlineStr">
        <is>
          <t>commercial_workload_fit_factor</t>
        </is>
      </c>
      <c r="E3327" s="3" t="n">
        <v>0.6</v>
      </c>
      <c r="F3327" s="3" t="inlineStr">
        <is>
          <t>share of public reference throughput</t>
        </is>
      </c>
      <c r="G3327" s="3" t="inlineStr">
        <is>
          <t>Scenario assumption</t>
        </is>
      </c>
      <c r="H3327" s="3" t="inlineStr">
        <is>
          <t>reference_serving_tps_per_mw = fleet_reference_tps_per_mw * commercial_workload_fit_factor</t>
        </is>
      </c>
      <c r="I3327" s="3" t="inlineStr">
        <is>
          <t>Commercial workload class: Gemini product-integrated multimodal assistant. Company mix uses short_chat=40%, long_chat=40%, agentic=20%; closed-model, reasoning, long-context and SLO mismatch stays explicit.</t>
        </is>
      </c>
      <c r="J3327" s="3" t="inlineStr">
        <is>
          <t>SRC_SEMIANALYSIS_INFERENCEX; ASSUMP_NUMERIC_ACCELERATOR_MIX; ASSUMP_WORKLOAD_CLASS_MIX; ASSUMP_AGENTIC_CONTEXT_PENALTY</t>
        </is>
      </c>
      <c r="K3327" s="3" t="inlineStr">
        <is>
          <t>ASSUMP_TPU_EFFICIENCY; ASSUMP_POWER_RAMP; ASSUMP_NUMERIC_ACCELERATOR_MIX; ASSUMP_INFERENCE_SHARE_NOT_FACT_60; ASSUMP_WORKLOAD_CLASS_MIX; ASSUMP_AGENTIC_CONTEXT_PENALTY</t>
        </is>
      </c>
      <c r="L3327" s="3" t="inlineStr">
        <is>
          <t>Matched commercial serving benchmark by product surface, context shape and latency SLO.</t>
        </is>
      </c>
    </row>
    <row r="3328">
      <c r="A3328" s="3" t="inlineStr">
        <is>
          <t>Google</t>
        </is>
      </c>
      <c r="B3328" s="3" t="n">
        <v>2030</v>
      </c>
      <c r="C3328" s="3" t="inlineStr">
        <is>
          <t>Grid-Constrained / Efficiency-Upside</t>
        </is>
      </c>
      <c r="D3328" s="3" t="inlineStr">
        <is>
          <t>reference_serving_tps_per_mw</t>
        </is>
      </c>
      <c r="E3328" s="3" t="n">
        <v>102593</v>
      </c>
      <c r="F3328" s="3" t="inlineStr">
        <is>
          <t>generated output tokens/sec/MW</t>
        </is>
      </c>
      <c r="G3328" s="3" t="inlineStr">
        <is>
          <t>Workload-adjusted benchmark proxy</t>
        </is>
      </c>
      <c r="H3328" s="3" t="inlineStr">
        <is>
          <t>fleet_reference_tps_per_mw * commercial_workload_fit_factor</t>
        </is>
      </c>
      <c r="I3328" s="3" t="inlineStr">
        <is>
          <t>This is the coefficient used for headline token generation; each GPU's short chat, long chat and agentic TPS/MW are weighted before fleet mix and commercial fit are applied.</t>
        </is>
      </c>
      <c r="J3328" s="3" t="inlineStr">
        <is>
          <t>SRC_SEMIANALYSIS_INFERENCEX; ASSUMP_NUMERIC_ACCELERATOR_MIX; ASSUMP_WORKLOAD_CLASS_MIX; ASSUMP_AGENTIC_CONTEXT_PENALTY</t>
        </is>
      </c>
      <c r="K3328" s="3" t="inlineStr">
        <is>
          <t>ASSUMP_TPU_EFFICIENCY; ASSUMP_POWER_RAMP; ASSUMP_NUMERIC_ACCELERATOR_MIX; ASSUMP_INFERENCE_SHARE_NOT_FACT_60; ASSUMP_WORKLOAD_CLASS_MIX; ASSUMP_AGENTIC_CONTEXT_PENALTY</t>
        </is>
      </c>
      <c r="L3328" s="3" t="inlineStr">
        <is>
          <t>Provider production output-token throughput with comparable workload/SLO.</t>
        </is>
      </c>
    </row>
    <row r="3329">
      <c r="A3329" s="3" t="inlineStr">
        <is>
          <t>Google</t>
        </is>
      </c>
      <c r="B3329" s="3" t="n">
        <v>2030</v>
      </c>
      <c r="C3329" s="3" t="inlineStr">
        <is>
          <t>Grid-Constrained / Efficiency-Upside</t>
        </is>
      </c>
      <c r="D3329" s="3" t="inlineStr">
        <is>
          <t>purpose_built_tps_per_mw</t>
        </is>
      </c>
      <c r="E3329" s="3" t="n">
        <v>81184</v>
      </c>
      <c r="F3329" s="3" t="inlineStr">
        <is>
          <t>generated output tokens/sec/MW</t>
        </is>
      </c>
      <c r="G3329" s="3" t="inlineStr">
        <is>
          <t>Conservative no-uplift proxy</t>
        </is>
      </c>
      <c r="H3329" s="3" t="inlineStr">
        <is>
          <t>purpose_built_tps_per_mw = purpose_built_reference_tps_per_mw * commercial_workload_fit_factor until comparable output-token benchmark is adopted</t>
        </is>
      </c>
      <c r="I3329" s="3" t="inlineStr">
        <is>
          <t>No comparable public output-token/MW row adopted; B200 public reference placeholder is used and remains editable.</t>
        </is>
      </c>
      <c r="J3329" s="3" t="inlineStr">
        <is>
          <t>SRC_GOOGLE_GEMINI_TOKENS; SRC_GOOGLE_IRONWOOD; SRC_GOOGLE_TPU_V6E; SRC_EPOCH_AI_DATA_CENTERS; ASSUMP_NUMERIC_ACCELERATOR_MIX</t>
        </is>
      </c>
      <c r="K3329" s="3" t="inlineStr">
        <is>
          <t>ASSUMP_TPU_EFFICIENCY; ASSUMP_POWER_RAMP; ASSUMP_NUMERIC_ACCELERATOR_MIX; ASSUMP_INFERENCE_SHARE_NOT_FACT_60; ASSUMP_WORKLOAD_CLASS_MIX; ASSUMP_AGENTIC_CONTEXT_PENALTY</t>
        </is>
      </c>
      <c r="L3329" s="3" t="inlineStr">
        <is>
          <t>Matched-workload generated-output benchmark for the provider purpose-built accelerator.</t>
        </is>
      </c>
    </row>
    <row r="3330">
      <c r="A3330" s="3" t="inlineStr">
        <is>
          <t>Google</t>
        </is>
      </c>
      <c r="B3330" s="3" t="n">
        <v>2030</v>
      </c>
      <c r="C3330" s="3" t="inlineStr">
        <is>
          <t>Grid-Constrained / Efficiency-Upside</t>
        </is>
      </c>
      <c r="D3330" s="3" t="inlineStr">
        <is>
          <t>inference_power_share</t>
        </is>
      </c>
      <c r="E3330" s="3" t="n">
        <v>0.76</v>
      </c>
      <c r="F3330" s="3" t="inlineStr">
        <is>
          <t>share of AI IT load</t>
        </is>
      </c>
      <c r="G3330" s="3" t="inlineStr">
        <is>
          <t>Scenario allocation</t>
        </is>
      </c>
      <c r="H3330" s="3" t="inlineStr">
        <is>
          <t>inference_gw = ai_it_load_gw * inference_power_share</t>
        </is>
      </c>
      <c r="I3330" s="3" t="inlineStr">
        <is>
          <t>Ironwood is positioned for inference and Gemini is commercialized across products; inference share increases as a scenario.</t>
        </is>
      </c>
      <c r="J3330" s="3" t="inlineStr">
        <is>
          <t>SRC_GOOGLE_GEMINI_TOKENS; SRC_GOOGLE_IRONWOOD; SRC_GOOGLE_TPU_V6E; SRC_EPOCH_AI_DATA_CENTERS; ASSUMP_INFERENCE_SHARE_NOT_FACT_60</t>
        </is>
      </c>
      <c r="K3330" s="3" t="inlineStr">
        <is>
          <t>ASSUMP_TPU_EFFICIENCY; ASSUMP_POWER_RAMP; ASSUMP_NUMERIC_ACCELERATOR_MIX; ASSUMP_INFERENCE_SHARE_NOT_FACT_60; ASSUMP_WORKLOAD_CLASS_MIX; ASSUMP_AGENTIC_CONTEXT_PENALTY</t>
        </is>
      </c>
      <c r="L3330" s="3" t="inlineStr">
        <is>
          <t>Provider-specific inference/training workload power telemetry.</t>
        </is>
      </c>
    </row>
    <row r="3331">
      <c r="A3331" s="3" t="inlineStr">
        <is>
          <t>Google</t>
        </is>
      </c>
      <c r="B3331" s="3" t="n">
        <v>2030</v>
      </c>
      <c r="C3331" s="3" t="inlineStr">
        <is>
          <t>Grid-Constrained / Efficiency-Upside</t>
        </is>
      </c>
      <c r="D3331" s="3" t="inlineStr">
        <is>
          <t>inference_gw</t>
        </is>
      </c>
      <c r="E3331" s="3" t="n">
        <v>2.775</v>
      </c>
      <c r="F3331" s="3" t="inlineStr">
        <is>
          <t>GW</t>
        </is>
      </c>
      <c r="G3331" s="3" t="inlineStr">
        <is>
          <t>Derived formula</t>
        </is>
      </c>
      <c r="H3331" s="3" t="inlineStr">
        <is>
          <t>ai_it_load_gw * inference_power_share</t>
        </is>
      </c>
      <c r="I3331" s="3" t="inlineStr">
        <is>
          <t>This is the operational power eligible to become commercial generated output tokens through the selected TPS/MW proxy.</t>
        </is>
      </c>
      <c r="J3331" s="3" t="inlineStr">
        <is>
          <t>SRC_GOOGLE_GEMINI_TOKENS; SRC_GOOGLE_IRONWOOD; SRC_GOOGLE_TPU_V6E; SRC_EPOCH_AI_DATA_CENTERS</t>
        </is>
      </c>
      <c r="K3331" s="3" t="inlineStr">
        <is>
          <t>ASSUMP_TPU_EFFICIENCY; ASSUMP_POWER_RAMP; ASSUMP_NUMERIC_ACCELERATOR_MIX; ASSUMP_INFERENCE_SHARE_NOT_FACT_60; ASSUMP_WORKLOAD_CLASS_MIX; ASSUMP_AGENTIC_CONTEXT_PENALTY</t>
        </is>
      </c>
      <c r="L3331" s="3" t="inlineStr">
        <is>
          <t>Recompute after AI allocation or inference-share evidence changes.</t>
        </is>
      </c>
    </row>
    <row r="3332">
      <c r="A3332" s="3" t="inlineStr">
        <is>
          <t>Google</t>
        </is>
      </c>
      <c r="B3332" s="3" t="n">
        <v>2030</v>
      </c>
      <c r="C3332" s="3" t="inlineStr">
        <is>
          <t>Grid-Constrained / Efficiency-Upside</t>
        </is>
      </c>
      <c r="D3332" s="3" t="inlineStr">
        <is>
          <t>training_power_share</t>
        </is>
      </c>
      <c r="E3332" s="3" t="n">
        <v>0.24</v>
      </c>
      <c r="F3332" s="3" t="inlineStr">
        <is>
          <t>share of AI IT load</t>
        </is>
      </c>
      <c r="G3332" s="3" t="inlineStr">
        <is>
          <t>Derived allocation</t>
        </is>
      </c>
      <c r="H3332" s="3" t="inlineStr">
        <is>
          <t>1 - inference_power_share</t>
        </is>
      </c>
      <c r="I3332" s="3" t="inlineStr">
        <is>
          <t>Training receives the complementary modeled AI IT allocation; it is not a disclosed company workload split.</t>
        </is>
      </c>
      <c r="J3332" s="3" t="inlineStr">
        <is>
          <t>SRC_GOOGLE_GEMINI_TOKENS; SRC_GOOGLE_IRONWOOD; SRC_GOOGLE_TPU_V6E; SRC_EPOCH_AI_DATA_CENTERS; ASSUMP_INFERENCE_SHARE_NOT_FACT_60</t>
        </is>
      </c>
      <c r="K3332" s="3" t="inlineStr">
        <is>
          <t>ASSUMP_TPU_EFFICIENCY; ASSUMP_POWER_RAMP; ASSUMP_NUMERIC_ACCELERATOR_MIX; ASSUMP_INFERENCE_SHARE_NOT_FACT_60; ASSUMP_WORKLOAD_CLASS_MIX; ASSUMP_AGENTIC_CONTEXT_PENALTY</t>
        </is>
      </c>
      <c r="L3332" s="3" t="inlineStr">
        <is>
          <t>Provider-specific inference/training workload power telemetry.</t>
        </is>
      </c>
    </row>
    <row r="3333">
      <c r="A3333" s="3" t="inlineStr">
        <is>
          <t>Google</t>
        </is>
      </c>
      <c r="B3333" s="3" t="n">
        <v>2030</v>
      </c>
      <c r="C3333" s="3" t="inlineStr">
        <is>
          <t>Grid-Constrained / Efficiency-Upside</t>
        </is>
      </c>
      <c r="D3333" s="3" t="inlineStr">
        <is>
          <t>training_gw</t>
        </is>
      </c>
      <c r="E3333" s="3" t="n">
        <v>0.876</v>
      </c>
      <c r="F3333" s="3" t="inlineStr">
        <is>
          <t>GW</t>
        </is>
      </c>
      <c r="G3333" s="3" t="inlineStr">
        <is>
          <t>Derived formula</t>
        </is>
      </c>
      <c r="H3333" s="3" t="inlineStr">
        <is>
          <t>ai_it_load_gw * training_power_share</t>
        </is>
      </c>
      <c r="I3333" s="3" t="inlineStr">
        <is>
          <t>Training GW is shown separately so commercial inference token capacity is not overstated.</t>
        </is>
      </c>
      <c r="J3333" s="3" t="inlineStr">
        <is>
          <t>SRC_GOOGLE_GEMINI_TOKENS; SRC_GOOGLE_IRONWOOD; SRC_GOOGLE_TPU_V6E; SRC_EPOCH_AI_DATA_CENTERS</t>
        </is>
      </c>
      <c r="K3333" s="3" t="inlineStr">
        <is>
          <t>ASSUMP_TPU_EFFICIENCY; ASSUMP_POWER_RAMP; ASSUMP_NUMERIC_ACCELERATOR_MIX; ASSUMP_INFERENCE_SHARE_NOT_FACT_60; ASSUMP_WORKLOAD_CLASS_MIX; ASSUMP_AGENTIC_CONTEXT_PENALTY</t>
        </is>
      </c>
      <c r="L3333" s="3" t="inlineStr">
        <is>
          <t>Recompute after AI allocation or workload-split evidence changes.</t>
        </is>
      </c>
    </row>
    <row r="3334">
      <c r="A3334" s="3" t="inlineStr">
        <is>
          <t>Google</t>
        </is>
      </c>
      <c r="B3334" s="3" t="n">
        <v>2030</v>
      </c>
      <c r="C3334" s="3" t="inlineStr">
        <is>
          <t>Grid-Constrained / Efficiency-Upside</t>
        </is>
      </c>
      <c r="D3334" s="3" t="inlineStr">
        <is>
          <t>tokens_per_second_per_mw</t>
        </is>
      </c>
      <c r="E3334" s="3" t="n">
        <v>102593</v>
      </c>
      <c r="F3334" s="3" t="inlineStr">
        <is>
          <t>generated output tokens/sec/MW</t>
        </is>
      </c>
      <c r="G3334" s="3" t="inlineStr">
        <is>
          <t>Derived estimate + benchmark calibration</t>
        </is>
      </c>
      <c r="H3334" s="3" t="inlineStr">
        <is>
          <t>fleet_reference_tps_per_mw * commercial_workload_fit_factor</t>
        </is>
      </c>
      <c r="I3334" s="3" t="inlineStr">
        <is>
          <t>Hybrid frontier InferenceX proxy using gptoss120b for H200 and DeepSeek V4 Pro/Kimi K2.5 for B200/GB200 output-token rows. TPU/Ironwood presence is shown, but no unmatched efficiency premium is applied. Workload reference is now split into short_chat, long_chat and agentic classes. Company mix: short 40%, long 40%, agentic 20%. Commercial workload fit factor: Gemini serving is closed and TPU-heavy with product and multimodal routing; the hybrid frontier composite uses gptoss120b on H200 and DeepSeek V4 Pro/Kimi K2.5 on B200/GB200 as a public proxy, not production telemetry. Gemini emphasizes long-context and enterprise agent platforms, but broad Workspace/Search-style assistant use remains large.</t>
        </is>
      </c>
      <c r="J3334" s="3" t="inlineStr">
        <is>
          <t>SRC_GOOGLE_GEMINI_TOKENS; SRC_GOOGLE_IRONWOOD; SRC_GOOGLE_TPU_V6E; SRC_EPOCH_AI_DATA_CENTERS; SRC_SEMIANALYSIS_INFERENCEX; ASSUMP_NUMERIC_ACCELERATOR_MIX; ASSUMP_WORKLOAD_CLASS_MIX; ASSUMP_AGENTIC_CONTEXT_PENALTY</t>
        </is>
      </c>
      <c r="K3334" s="3" t="inlineStr">
        <is>
          <t>ASSUMP_TPU_EFFICIENCY; ASSUMP_POWER_RAMP; ASSUMP_NUMERIC_ACCELERATOR_MIX; ASSUMP_INFERENCE_SHARE_NOT_FACT_60; ASSUMP_WORKLOAD_CLASS_MIX; ASSUMP_AGENTIC_CONTEXT_PENALTY</t>
        </is>
      </c>
      <c r="L3334" s="3" t="inlineStr">
        <is>
          <t>Comparable production output-token throughput with model, hardware, precision, ISL/OSL and SLO matched.</t>
        </is>
      </c>
    </row>
    <row r="3335">
      <c r="A3335" s="3" t="inlineStr">
        <is>
          <t>Google</t>
        </is>
      </c>
      <c r="B3335" s="3" t="n">
        <v>2030</v>
      </c>
      <c r="C3335" s="3" t="inlineStr">
        <is>
          <t>Grid-Constrained / Efficiency-Upside</t>
        </is>
      </c>
      <c r="D3335" s="3" t="inlineStr">
        <is>
          <t>inference_tokens_per_day</t>
        </is>
      </c>
      <c r="E3335" s="3" t="n">
        <v>24597697680000</v>
      </c>
      <c r="F3335" s="3" t="inlineStr">
        <is>
          <t>generated output tokens/day</t>
        </is>
      </c>
      <c r="G3335" s="3" t="inlineStr">
        <is>
          <t>Derived headline metric</t>
        </is>
      </c>
      <c r="H3335" s="3" t="inlineStr">
        <is>
          <t>inference_gw * 1000 * tokens_per_second_per_mw * 86,400</t>
        </is>
      </c>
      <c r="I3335" s="3" t="inlineStr">
        <is>
          <t>Headline capacity uses no utilization, MoE, architecture or software-growth multiplier; it is not observed commercial output volume.</t>
        </is>
      </c>
      <c r="J3335" s="3" t="inlineStr">
        <is>
          <t>SRC_GOOGLE_GEMINI_TOKENS; SRC_GOOGLE_IRONWOOD; SRC_GOOGLE_TPU_V6E; SRC_EPOCH_AI_DATA_CENTERS; SRC_SEMIANALYSIS_INFERENCEX</t>
        </is>
      </c>
      <c r="K3335" s="3" t="inlineStr">
        <is>
          <t>ASSUMP_TPU_EFFICIENCY; ASSUMP_POWER_RAMP; ASSUMP_NUMERIC_ACCELERATOR_MIX; ASSUMP_INFERENCE_SHARE_NOT_FACT_60; ASSUMP_WORKLOAD_CLASS_MIX; ASSUMP_AGENTIC_CONTEXT_PENALTY</t>
        </is>
      </c>
      <c r="L3335" s="3" t="inlineStr">
        <is>
          <t>Provider-disclosed generated output token volume or calibrated capacity telemetry.</t>
        </is>
      </c>
    </row>
    <row r="3336">
      <c r="A3336" s="3" t="inlineStr">
        <is>
          <t>Google</t>
        </is>
      </c>
      <c r="B3336" s="3" t="n">
        <v>2030</v>
      </c>
      <c r="C3336" s="3" t="inlineStr">
        <is>
          <t>Grid-Constrained / Efficiency-Upside</t>
        </is>
      </c>
      <c r="D3336" s="3" t="inlineStr">
        <is>
          <t>inference_tokens_per_year</t>
        </is>
      </c>
      <c r="E3336" s="3" t="n">
        <v>8978159653200000</v>
      </c>
      <c r="F3336" s="3" t="inlineStr">
        <is>
          <t>generated output tokens/year</t>
        </is>
      </c>
      <c r="G3336" s="3" t="inlineStr">
        <is>
          <t>Derived headline metric</t>
        </is>
      </c>
      <c r="H3336" s="3" t="inlineStr">
        <is>
          <t>inference_tokens_per_day * 365</t>
        </is>
      </c>
      <c r="I3336" s="3" t="inlineStr">
        <is>
          <t>Annualized version of generated output token capacity; it is not observed annual demand or billable volume.</t>
        </is>
      </c>
      <c r="J3336" s="3" t="inlineStr">
        <is>
          <t>SRC_GOOGLE_GEMINI_TOKENS; SRC_GOOGLE_IRONWOOD; SRC_GOOGLE_TPU_V6E; SRC_EPOCH_AI_DATA_CENTERS; SRC_SEMIANALYSIS_INFERENCEX</t>
        </is>
      </c>
      <c r="K3336" s="3" t="inlineStr">
        <is>
          <t>ASSUMP_TPU_EFFICIENCY; ASSUMP_POWER_RAMP; ASSUMP_NUMERIC_ACCELERATOR_MIX; ASSUMP_INFERENCE_SHARE_NOT_FACT_60; ASSUMP_WORKLOAD_CLASS_MIX; ASSUMP_AGENTIC_CONTEXT_PENALTY</t>
        </is>
      </c>
      <c r="L3336" s="3" t="inlineStr">
        <is>
          <t>Provider-disclosed annual generated-output volume or metered serving telemetry.</t>
        </is>
      </c>
    </row>
    <row r="3337">
      <c r="A3337" s="3" t="inlineStr">
        <is>
          <t>Meta</t>
        </is>
      </c>
      <c r="B3337" s="3" t="n">
        <v>2026</v>
      </c>
      <c r="C3337" s="3" t="inlineStr">
        <is>
          <t>Grid-Constrained / Efficiency-Upside</t>
        </is>
      </c>
      <c r="D3337" s="3" t="inlineStr">
        <is>
          <t>contracted_power_gw</t>
        </is>
      </c>
      <c r="E3337" s="3" t="n">
        <v>3.5</v>
      </c>
      <c r="F3337" s="3" t="inlineStr">
        <is>
          <t>GW</t>
        </is>
      </c>
      <c r="G3337" s="3" t="inlineStr">
        <is>
          <t>Scenario capacity envelope</t>
        </is>
      </c>
      <c r="H3337" s="3" t="inlineStr">
        <is>
          <t>linear interpolation between 2026 and 2030 company capacity endpoints</t>
        </is>
      </c>
      <c r="I3337" s="3" t="inlineStr">
        <is>
          <t>Scenario envelope for Meta AI/Llama serving capacity; not an official contracted-GW figure.</t>
        </is>
      </c>
      <c r="J3337" s="3" t="inlineStr">
        <is>
          <t>ASSUMP_POWER_RAMP; SRC_META_MTIA_GENAI_2026</t>
        </is>
      </c>
      <c r="K3337" s="3" t="inlineStr">
        <is>
          <t>ASSUMP_CONSUMER_AI_UTILIZATION; ASSUMP_POWER_RAMP; ASSUMP_NUMERIC_ACCELERATOR_MIX; ASSUMP_INFERENCE_SHARE_NOT_FACT_60; ASSUMP_WORKLOAD_CLASS_MIX; ASSUMP_AGENTIC_CONTEXT_PENALTY</t>
        </is>
      </c>
      <c r="L3337" s="3" t="inlineStr">
        <is>
          <t>Company/site-level committed MW/GW, interconnect and contract disclosure.</t>
        </is>
      </c>
    </row>
    <row r="3338">
      <c r="A3338" s="3" t="inlineStr">
        <is>
          <t>Meta</t>
        </is>
      </c>
      <c r="B3338" s="3" t="n">
        <v>2026</v>
      </c>
      <c r="C3338" s="3" t="inlineStr">
        <is>
          <t>Grid-Constrained / Efficiency-Upside</t>
        </is>
      </c>
      <c r="D3338" s="3" t="inlineStr">
        <is>
          <t>operational_deployment_share</t>
        </is>
      </c>
      <c r="E3338" s="3" t="n">
        <v>0.40228571</v>
      </c>
      <c r="F3338" s="3" t="inlineStr">
        <is>
          <t>share</t>
        </is>
      </c>
      <c r="G3338" s="3" t="inlineStr">
        <is>
          <t>Scenario conversion</t>
        </is>
      </c>
      <c r="H3338" s="3" t="inlineStr">
        <is>
          <t>active_power_gw / contracted_power_gw</t>
        </is>
      </c>
      <c r="I3338" s="3" t="inlineStr">
        <is>
          <t>This is the single explicit conversion from contracted/attributed capacity to operationally usable capacity.</t>
        </is>
      </c>
      <c r="J3338" s="3" t="inlineStr">
        <is>
          <t>ASSUMP_POWER_RAMP; SRC_META_MTIA_GENAI_2026</t>
        </is>
      </c>
      <c r="K3338" s="3" t="inlineStr">
        <is>
          <t>ASSUMP_CONSUMER_AI_UTILIZATION; ASSUMP_POWER_RAMP; ASSUMP_NUMERIC_ACCELERATOR_MIX; ASSUMP_INFERENCE_SHARE_NOT_FACT_60; ASSUMP_WORKLOAD_CLASS_MIX; ASSUMP_AGENTIC_CONTEXT_PENALTY</t>
        </is>
      </c>
      <c r="L3338" s="3" t="inlineStr">
        <is>
          <t>Energized operational capacity divided by contracted/attributed capacity.</t>
        </is>
      </c>
    </row>
    <row r="3339">
      <c r="A3339" s="3" t="inlineStr">
        <is>
          <t>Meta</t>
        </is>
      </c>
      <c r="B3339" s="3" t="n">
        <v>2026</v>
      </c>
      <c r="C3339" s="3" t="inlineStr">
        <is>
          <t>Grid-Constrained / Efficiency-Upside</t>
        </is>
      </c>
      <c r="D3339" s="3" t="inlineStr">
        <is>
          <t>active_power_gw</t>
        </is>
      </c>
      <c r="E3339" s="3" t="n">
        <v>1.408</v>
      </c>
      <c r="F3339" s="3" t="inlineStr">
        <is>
          <t>GW</t>
        </is>
      </c>
      <c r="G3339" s="3" t="inlineStr">
        <is>
          <t>Derived scenario</t>
        </is>
      </c>
      <c r="H3339" s="3" t="inlineStr">
        <is>
          <t>contracted_power_gw * operational_deployment_share</t>
        </is>
      </c>
      <c r="I3339" s="3" t="inlineStr">
        <is>
          <t>MTIA deployment direction and consumer product distribution support active ramp, not exact powered GW.</t>
        </is>
      </c>
      <c r="J3339" s="3" t="inlineStr">
        <is>
          <t>ASSUMP_POWER_RAMP; SRC_META_MTIA_GENAI_2026</t>
        </is>
      </c>
      <c r="K3339" s="3" t="inlineStr">
        <is>
          <t>ASSUMP_CONSUMER_AI_UTILIZATION; ASSUMP_POWER_RAMP; ASSUMP_NUMERIC_ACCELERATOR_MIX; ASSUMP_INFERENCE_SHARE_NOT_FACT_60; ASSUMP_WORKLOAD_CLASS_MIX; ASSUMP_AGENTIC_CONTEXT_PENALTY</t>
        </is>
      </c>
      <c r="L3339" s="3" t="inlineStr">
        <is>
          <t>Energization dates, accelerator deliveries and operational powered-rack telemetry.</t>
        </is>
      </c>
    </row>
    <row r="3340">
      <c r="A3340" s="3" t="inlineStr">
        <is>
          <t>Meta</t>
        </is>
      </c>
      <c r="B3340" s="3" t="n">
        <v>2026</v>
      </c>
      <c r="C3340" s="3" t="inlineStr">
        <is>
          <t>Grid-Constrained / Efficiency-Upside</t>
        </is>
      </c>
      <c r="D3340" s="3" t="inlineStr">
        <is>
          <t>pue</t>
        </is>
      </c>
      <c r="E3340" s="3" t="n">
        <v>1.2</v>
      </c>
      <c r="F3340" s="3" t="inlineStr">
        <is>
          <t>ratio</t>
        </is>
      </c>
      <c r="G3340" s="3" t="inlineStr">
        <is>
          <t>Scenario parameter</t>
        </is>
      </c>
      <c r="H3340" s="3" t="inlineStr">
        <is>
          <t>it_load_gw = active_power_gw / pue</t>
        </is>
      </c>
      <c r="I3340" s="3" t="inlineStr">
        <is>
          <t>No provider-wide site-level PUE is used as a disclosed fact; PUE represents facility-to-IT conversion within the scenario.</t>
        </is>
      </c>
      <c r="J3340" s="3" t="inlineStr">
        <is>
          <t>ASSUMP_POWER_RAMP</t>
        </is>
      </c>
      <c r="K3340" s="3" t="inlineStr">
        <is>
          <t>ASSUMP_CONSUMER_AI_UTILIZATION; ASSUMP_POWER_RAMP; ASSUMP_NUMERIC_ACCELERATOR_MIX; ASSUMP_INFERENCE_SHARE_NOT_FACT_60; ASSUMP_WORKLOAD_CLASS_MIX; ASSUMP_AGENTIC_CONTEXT_PENALTY</t>
        </is>
      </c>
      <c r="L3340" s="3" t="inlineStr">
        <is>
          <t>Site-level measured PUE matched to attributed AI capacity.</t>
        </is>
      </c>
    </row>
    <row r="3341">
      <c r="A3341" s="3" t="inlineStr">
        <is>
          <t>Meta</t>
        </is>
      </c>
      <c r="B3341" s="3" t="n">
        <v>2026</v>
      </c>
      <c r="C3341" s="3" t="inlineStr">
        <is>
          <t>Grid-Constrained / Efficiency-Upside</t>
        </is>
      </c>
      <c r="D3341" s="3" t="inlineStr">
        <is>
          <t>it_load_gw</t>
        </is>
      </c>
      <c r="E3341" s="3" t="n">
        <v>1.173</v>
      </c>
      <c r="F3341" s="3" t="inlineStr">
        <is>
          <t>GW</t>
        </is>
      </c>
      <c r="G3341" s="3" t="inlineStr">
        <is>
          <t>Derived formula</t>
        </is>
      </c>
      <c r="H3341" s="3" t="inlineStr">
        <is>
          <t>active_power_gw / pue</t>
        </is>
      </c>
      <c r="I3341" s="3" t="inlineStr">
        <is>
          <t>Facility power is converted to IT-deliverable power before attributing AI workloads.</t>
        </is>
      </c>
      <c r="J3341" s="3" t="inlineStr">
        <is>
          <t>ASSUMP_POWER_RAMP; SRC_META_MTIA_GENAI_2026</t>
        </is>
      </c>
      <c r="K3341" s="3" t="inlineStr">
        <is>
          <t>ASSUMP_CONSUMER_AI_UTILIZATION; ASSUMP_POWER_RAMP; ASSUMP_NUMERIC_ACCELERATOR_MIX; ASSUMP_INFERENCE_SHARE_NOT_FACT_60; ASSUMP_WORKLOAD_CLASS_MIX; ASSUMP_AGENTIC_CONTEXT_PENALTY</t>
        </is>
      </c>
      <c r="L3341" s="3" t="inlineStr">
        <is>
          <t>Recompute once active power and PUE become site-observable.</t>
        </is>
      </c>
    </row>
    <row r="3342">
      <c r="A3342" s="3" t="inlineStr">
        <is>
          <t>Meta</t>
        </is>
      </c>
      <c r="B3342" s="3" t="n">
        <v>2026</v>
      </c>
      <c r="C3342" s="3" t="inlineStr">
        <is>
          <t>Grid-Constrained / Efficiency-Upside</t>
        </is>
      </c>
      <c r="D3342" s="3" t="inlineStr">
        <is>
          <t>ai_workload_share</t>
        </is>
      </c>
      <c r="E3342" s="3" t="n">
        <v>0.87</v>
      </c>
      <c r="F3342" s="3" t="inlineStr">
        <is>
          <t>share</t>
        </is>
      </c>
      <c r="G3342" s="3" t="inlineStr">
        <is>
          <t>Scenario allocation</t>
        </is>
      </c>
      <c r="H3342" s="3" t="inlineStr">
        <is>
          <t>ai_it_load_gw = it_load_gw * ai_workload_share</t>
        </is>
      </c>
      <c r="I3342" s="3" t="inlineStr">
        <is>
          <t>The modeled fleet is focused on AI workloads across Meta AI surfaces; non-LLM ranking/platform overhead is excluded through the 87% share.</t>
        </is>
      </c>
      <c r="J3342" s="3" t="inlineStr">
        <is>
          <t>SRC_META_LLAMA; SRC_META_LLAMA4_NVIDIA; SRC_META_MTIA_GENAI_2026; SRC_EPOCH_AI_DATA_CENTERS</t>
        </is>
      </c>
      <c r="K3342" s="3" t="inlineStr">
        <is>
          <t>ASSUMP_CONSUMER_AI_UTILIZATION; ASSUMP_POWER_RAMP; ASSUMP_NUMERIC_ACCELERATOR_MIX; ASSUMP_INFERENCE_SHARE_NOT_FACT_60; ASSUMP_WORKLOAD_CLASS_MIX; ASSUMP_AGENTIC_CONTEXT_PENALTY</t>
        </is>
      </c>
      <c r="L3342" s="3" t="inlineStr">
        <is>
          <t>Model-owner AI workload allocation or cluster scheduling telemetry.</t>
        </is>
      </c>
    </row>
    <row r="3343">
      <c r="A3343" s="3" t="inlineStr">
        <is>
          <t>Meta</t>
        </is>
      </c>
      <c r="B3343" s="3" t="n">
        <v>2026</v>
      </c>
      <c r="C3343" s="3" t="inlineStr">
        <is>
          <t>Grid-Constrained / Efficiency-Upside</t>
        </is>
      </c>
      <c r="D3343" s="3" t="inlineStr">
        <is>
          <t>ai_it_load_gw</t>
        </is>
      </c>
      <c r="E3343" s="3" t="n">
        <v>1.021</v>
      </c>
      <c r="F3343" s="3" t="inlineStr">
        <is>
          <t>GW</t>
        </is>
      </c>
      <c r="G3343" s="3" t="inlineStr">
        <is>
          <t>Derived formula</t>
        </is>
      </c>
      <c r="H3343" s="3" t="inlineStr">
        <is>
          <t>it_load_gw * ai_workload_share</t>
        </is>
      </c>
      <c r="I3343" s="3" t="inlineStr">
        <is>
          <t>Only the AI-attributed portion of IT load enters training/inference allocation.</t>
        </is>
      </c>
      <c r="J3343" s="3" t="inlineStr">
        <is>
          <t>SRC_META_LLAMA; SRC_META_LLAMA4_NVIDIA; SRC_META_MTIA_GENAI_2026; SRC_EPOCH_AI_DATA_CENTERS</t>
        </is>
      </c>
      <c r="K3343" s="3" t="inlineStr">
        <is>
          <t>ASSUMP_CONSUMER_AI_UTILIZATION; ASSUMP_POWER_RAMP; ASSUMP_NUMERIC_ACCELERATOR_MIX; ASSUMP_INFERENCE_SHARE_NOT_FACT_60; ASSUMP_WORKLOAD_CLASS_MIX; ASSUMP_AGENTIC_CONTEXT_PENALTY</t>
        </is>
      </c>
      <c r="L3343" s="3" t="inlineStr">
        <is>
          <t>Recompute after ai_workload_share is replaced by telemetry.</t>
        </is>
      </c>
    </row>
    <row r="3344">
      <c r="A3344" s="3" t="inlineStr">
        <is>
          <t>Meta</t>
        </is>
      </c>
      <c r="B3344" s="3" t="n">
        <v>2026</v>
      </c>
      <c r="C3344" s="3" t="inlineStr">
        <is>
          <t>Grid-Constrained / Efficiency-Upside</t>
        </is>
      </c>
      <c r="D3344" s="3" t="inlineStr">
        <is>
          <t>gpu_share</t>
        </is>
      </c>
      <c r="E3344" s="3" t="n">
        <v>1</v>
      </c>
      <c r="F3344" s="3" t="inlineStr">
        <is>
          <t>share of inference-serving accelerator load</t>
        </is>
      </c>
      <c r="G3344" s="3" t="inlineStr">
        <is>
          <t>Numeric scenario</t>
        </is>
      </c>
      <c r="H3344" s="3" t="inlineStr">
        <is>
          <t>gpu_share interpolated from company 2026/2030 accelerator-mix endpoints</t>
        </is>
      </c>
      <c r="I3344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44" s="3" t="inlineStr">
        <is>
          <t>SRC_META_LLAMA; SRC_META_LLAMA4_NVIDIA; SRC_META_MTIA_GENAI_2026; SRC_EPOCH_AI_DATA_CENTERS; ASSUMP_NUMERIC_ACCELERATOR_MIX</t>
        </is>
      </c>
      <c r="K3344" s="3" t="inlineStr">
        <is>
          <t>ASSUMP_CONSUMER_AI_UTILIZATION; ASSUMP_POWER_RAMP; ASSUMP_NUMERIC_ACCELERATOR_MIX; ASSUMP_INFERENCE_SHARE_NOT_FACT_60; ASSUMP_WORKLOAD_CLASS_MIX; ASSUMP_AGENTIC_CONTEXT_PENALTY</t>
        </is>
      </c>
      <c r="L3344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45">
      <c r="A3345" s="3" t="inlineStr">
        <is>
          <t>Meta</t>
        </is>
      </c>
      <c r="B3345" s="3" t="n">
        <v>2026</v>
      </c>
      <c r="C3345" s="3" t="inlineStr">
        <is>
          <t>Grid-Constrained / Efficiency-Upside</t>
        </is>
      </c>
      <c r="D3345" s="3" t="inlineStr">
        <is>
          <t>h200_share</t>
        </is>
      </c>
      <c r="E3345" s="3" t="n">
        <v>0</v>
      </c>
      <c r="F3345" s="3" t="inlineStr">
        <is>
          <t>share of inference-serving accelerator load</t>
        </is>
      </c>
      <c r="G3345" s="3" t="inlineStr">
        <is>
          <t>Editable numeric scenario</t>
        </is>
      </c>
      <c r="H3345" s="3" t="inlineStr">
        <is>
          <t>h200_share = gpu_share * default_gpu_generation_mix_h200</t>
        </is>
      </c>
      <c r="I3345" s="3" t="inlineStr">
        <is>
          <t>Default GPU-generation migration assumption; executive workbook allows later manual replacement by company/year/scenario.</t>
        </is>
      </c>
      <c r="J3345" s="3" t="inlineStr">
        <is>
          <t>SRC_SEMIANALYSIS_INFERENCEX; ASSUMP_NUMERIC_ACCELERATOR_MIX</t>
        </is>
      </c>
      <c r="K3345" s="3" t="inlineStr">
        <is>
          <t>ASSUMP_CONSUMER_AI_UTILIZATION; ASSUMP_POWER_RAMP; ASSUMP_NUMERIC_ACCELERATOR_MIX; ASSUMP_INFERENCE_SHARE_NOT_FACT_60; ASSUMP_WORKLOAD_CLASS_MIX; ASSUMP_AGENTIC_CONTEXT_PENALTY</t>
        </is>
      </c>
      <c r="L3345" s="3" t="inlineStr">
        <is>
          <t>Company fleet inventory, accelerator-hours or procurement/deployment records by GPU generation.</t>
        </is>
      </c>
    </row>
    <row r="3346">
      <c r="A3346" s="3" t="inlineStr">
        <is>
          <t>Meta</t>
        </is>
      </c>
      <c r="B3346" s="3" t="n">
        <v>2026</v>
      </c>
      <c r="C3346" s="3" t="inlineStr">
        <is>
          <t>Grid-Constrained / Efficiency-Upside</t>
        </is>
      </c>
      <c r="D3346" s="3" t="inlineStr">
        <is>
          <t>b200_share</t>
        </is>
      </c>
      <c r="E3346" s="3" t="n">
        <v>1</v>
      </c>
      <c r="F3346" s="3" t="inlineStr">
        <is>
          <t>share of inference-serving accelerator load</t>
        </is>
      </c>
      <c r="G3346" s="3" t="inlineStr">
        <is>
          <t>Editable numeric scenario</t>
        </is>
      </c>
      <c r="H3346" s="3" t="inlineStr">
        <is>
          <t>b200_share = gpu_share * default_gpu_generation_mix_b200</t>
        </is>
      </c>
      <c r="I3346" s="3" t="inlineStr">
        <is>
          <t>Default GPU-generation migration assumption; executive workbook allows later manual replacement by company/year/scenario.</t>
        </is>
      </c>
      <c r="J3346" s="3" t="inlineStr">
        <is>
          <t>SRC_SEMIANALYSIS_INFERENCEX; ASSUMP_NUMERIC_ACCELERATOR_MIX</t>
        </is>
      </c>
      <c r="K3346" s="3" t="inlineStr">
        <is>
          <t>ASSUMP_CONSUMER_AI_UTILIZATION; ASSUMP_POWER_RAMP; ASSUMP_NUMERIC_ACCELERATOR_MIX; ASSUMP_INFERENCE_SHARE_NOT_FACT_60; ASSUMP_WORKLOAD_CLASS_MIX; ASSUMP_AGENTIC_CONTEXT_PENALTY</t>
        </is>
      </c>
      <c r="L3346" s="3" t="inlineStr">
        <is>
          <t>Company fleet inventory, accelerator-hours or procurement/deployment records by GPU generation.</t>
        </is>
      </c>
    </row>
    <row r="3347">
      <c r="A3347" s="3" t="inlineStr">
        <is>
          <t>Meta</t>
        </is>
      </c>
      <c r="B3347" s="3" t="n">
        <v>2026</v>
      </c>
      <c r="C3347" s="3" t="inlineStr">
        <is>
          <t>Grid-Constrained / Efficiency-Upside</t>
        </is>
      </c>
      <c r="D3347" s="3" t="inlineStr">
        <is>
          <t>gb200_share</t>
        </is>
      </c>
      <c r="E3347" s="3" t="n">
        <v>0</v>
      </c>
      <c r="F3347" s="3" t="inlineStr">
        <is>
          <t>share of inference-serving accelerator load</t>
        </is>
      </c>
      <c r="G3347" s="3" t="inlineStr">
        <is>
          <t>Editable numeric scenario</t>
        </is>
      </c>
      <c r="H3347" s="3" t="inlineStr">
        <is>
          <t>gb200_share = gpu_share * default_gpu_generation_mix_gb200</t>
        </is>
      </c>
      <c r="I3347" s="3" t="inlineStr">
        <is>
          <t>Default GPU-generation migration assumption; executive workbook allows later manual replacement by company/year/scenario.</t>
        </is>
      </c>
      <c r="J3347" s="3" t="inlineStr">
        <is>
          <t>SRC_SEMIANALYSIS_INFERENCEX; ASSUMP_NUMERIC_ACCELERATOR_MIX</t>
        </is>
      </c>
      <c r="K3347" s="3" t="inlineStr">
        <is>
          <t>ASSUMP_CONSUMER_AI_UTILIZATION; ASSUMP_POWER_RAMP; ASSUMP_NUMERIC_ACCELERATOR_MIX; ASSUMP_INFERENCE_SHARE_NOT_FACT_60; ASSUMP_WORKLOAD_CLASS_MIX; ASSUMP_AGENTIC_CONTEXT_PENALTY</t>
        </is>
      </c>
      <c r="L3347" s="3" t="inlineStr">
        <is>
          <t>Company fleet inventory, accelerator-hours or procurement/deployment records by GPU generation.</t>
        </is>
      </c>
    </row>
    <row r="3348">
      <c r="A3348" s="3" t="inlineStr">
        <is>
          <t>Meta</t>
        </is>
      </c>
      <c r="B3348" s="3" t="n">
        <v>2026</v>
      </c>
      <c r="C3348" s="3" t="inlineStr">
        <is>
          <t>Grid-Constrained / Efficiency-Upside</t>
        </is>
      </c>
      <c r="D3348" s="3" t="inlineStr">
        <is>
          <t>purpose_built_accelerator_share</t>
        </is>
      </c>
      <c r="E3348" s="3" t="n">
        <v>0</v>
      </c>
      <c r="F3348" s="3" t="inlineStr">
        <is>
          <t>share of inference-serving accelerator load</t>
        </is>
      </c>
      <c r="G3348" s="3" t="inlineStr">
        <is>
          <t>Numeric scenario</t>
        </is>
      </c>
      <c r="H3348" s="3" t="inlineStr">
        <is>
          <t>1 - gpu_share</t>
        </is>
      </c>
      <c r="I3348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48" s="3" t="inlineStr">
        <is>
          <t>SRC_META_LLAMA; SRC_META_LLAMA4_NVIDIA; SRC_META_MTIA_GENAI_2026; SRC_EPOCH_AI_DATA_CENTERS; ASSUMP_NUMERIC_ACCELERATOR_MIX</t>
        </is>
      </c>
      <c r="K3348" s="3" t="inlineStr">
        <is>
          <t>ASSUMP_CONSUMER_AI_UTILIZATION; ASSUMP_POWER_RAMP; ASSUMP_NUMERIC_ACCELERATOR_MIX; ASSUMP_INFERENCE_SHARE_NOT_FACT_60; ASSUMP_WORKLOAD_CLASS_MIX; ASSUMP_AGENTIC_CONTEXT_PENALTY</t>
        </is>
      </c>
      <c r="L3348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49">
      <c r="A3349" s="3" t="inlineStr">
        <is>
          <t>Meta</t>
        </is>
      </c>
      <c r="B3349" s="3" t="n">
        <v>2026</v>
      </c>
      <c r="C3349" s="3" t="inlineStr">
        <is>
          <t>Grid-Constrained / Efficiency-Upside</t>
        </is>
      </c>
      <c r="D3349" s="3" t="inlineStr">
        <is>
          <t>fleet_reference_tps_per_mw</t>
        </is>
      </c>
      <c r="E3349" s="3" t="n">
        <v>941060</v>
      </c>
      <c r="F3349" s="3" t="inlineStr">
        <is>
          <t>generated output tokens/sec/MW</t>
        </is>
      </c>
      <c r="G3349" s="3" t="inlineStr">
        <is>
          <t>Fleet-weighted public benchmark reference</t>
        </is>
      </c>
      <c r="H3349" s="3" t="inlineStr">
        <is>
          <t>h200_share*h200_workload_avg + b200_share*b200_workload_avg + gb200_share*gb200_workload_avg + purpose_built_share*purpose_workload_avg</t>
        </is>
      </c>
      <c r="I3349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49" s="3" t="inlineStr">
        <is>
          <t>SRC_SEMIANALYSIS_INFERENCEX; ASSUMP_NUMERIC_ACCELERATOR_MIX; ASSUMP_WORKLOAD_CLASS_MIX; ASSUMP_AGENTIC_CONTEXT_PENALTY</t>
        </is>
      </c>
      <c r="K3349" s="3" t="inlineStr">
        <is>
          <t>ASSUMP_CONSUMER_AI_UTILIZATION; ASSUMP_POWER_RAMP; ASSUMP_NUMERIC_ACCELERATOR_MIX; ASSUMP_INFERENCE_SHARE_NOT_FACT_60; ASSUMP_WORKLOAD_CLASS_MIX; ASSUMP_AGENTIC_CONTEXT_PENALTY</t>
        </is>
      </c>
      <c r="L3349" s="3" t="inlineStr">
        <is>
          <t>Comparable production output-token throughput or a more closely matched benchmark.</t>
        </is>
      </c>
    </row>
    <row r="3350">
      <c r="A3350" s="3" t="inlineStr">
        <is>
          <t>Meta</t>
        </is>
      </c>
      <c r="B3350" s="3" t="n">
        <v>2026</v>
      </c>
      <c r="C3350" s="3" t="inlineStr">
        <is>
          <t>Grid-Constrained / Efficiency-Upside</t>
        </is>
      </c>
      <c r="D3350" s="3" t="inlineStr">
        <is>
          <t>commercial_workload_fit_factor</t>
        </is>
      </c>
      <c r="E3350" s="3" t="n">
        <v>0.9</v>
      </c>
      <c r="F3350" s="3" t="inlineStr">
        <is>
          <t>share of public reference throughput</t>
        </is>
      </c>
      <c r="G3350" s="3" t="inlineStr">
        <is>
          <t>Scenario assumption</t>
        </is>
      </c>
      <c r="H3350" s="3" t="inlineStr">
        <is>
          <t>reference_serving_tps_per_mw = fleet_reference_tps_per_mw * commercial_workload_fit_factor</t>
        </is>
      </c>
      <c r="I3350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50" s="3" t="inlineStr">
        <is>
          <t>SRC_SEMIANALYSIS_INFERENCEX; ASSUMP_NUMERIC_ACCELERATOR_MIX; ASSUMP_WORKLOAD_CLASS_MIX; ASSUMP_AGENTIC_CONTEXT_PENALTY</t>
        </is>
      </c>
      <c r="K3350" s="3" t="inlineStr">
        <is>
          <t>ASSUMP_CONSUMER_AI_UTILIZATION; ASSUMP_POWER_RAMP; ASSUMP_NUMERIC_ACCELERATOR_MIX; ASSUMP_INFERENCE_SHARE_NOT_FACT_60; ASSUMP_WORKLOAD_CLASS_MIX; ASSUMP_AGENTIC_CONTEXT_PENALTY</t>
        </is>
      </c>
      <c r="L3350" s="3" t="inlineStr">
        <is>
          <t>Matched commercial serving benchmark by product surface, context shape and latency SLO.</t>
        </is>
      </c>
    </row>
    <row r="3351">
      <c r="A3351" s="3" t="inlineStr">
        <is>
          <t>Meta</t>
        </is>
      </c>
      <c r="B3351" s="3" t="n">
        <v>2026</v>
      </c>
      <c r="C3351" s="3" t="inlineStr">
        <is>
          <t>Grid-Constrained / Efficiency-Upside</t>
        </is>
      </c>
      <c r="D3351" s="3" t="inlineStr">
        <is>
          <t>reference_serving_tps_per_mw</t>
        </is>
      </c>
      <c r="E3351" s="3" t="n">
        <v>846954</v>
      </c>
      <c r="F3351" s="3" t="inlineStr">
        <is>
          <t>generated output tokens/sec/MW</t>
        </is>
      </c>
      <c r="G3351" s="3" t="inlineStr">
        <is>
          <t>Workload-adjusted benchmark proxy</t>
        </is>
      </c>
      <c r="H3351" s="3" t="inlineStr">
        <is>
          <t>fleet_reference_tps_per_mw * commercial_workload_fit_factor</t>
        </is>
      </c>
      <c r="I3351" s="3" t="inlineStr">
        <is>
          <t>This is the coefficient used for headline token generation; each GPU's short chat, long chat and agentic TPS/MW are weighted before fleet mix and commercial fit are applied.</t>
        </is>
      </c>
      <c r="J3351" s="3" t="inlineStr">
        <is>
          <t>SRC_SEMIANALYSIS_INFERENCEX; ASSUMP_NUMERIC_ACCELERATOR_MIX; ASSUMP_WORKLOAD_CLASS_MIX; ASSUMP_AGENTIC_CONTEXT_PENALTY</t>
        </is>
      </c>
      <c r="K3351" s="3" t="inlineStr">
        <is>
          <t>ASSUMP_CONSUMER_AI_UTILIZATION; ASSUMP_POWER_RAMP; ASSUMP_NUMERIC_ACCELERATOR_MIX; ASSUMP_INFERENCE_SHARE_NOT_FACT_60; ASSUMP_WORKLOAD_CLASS_MIX; ASSUMP_AGENTIC_CONTEXT_PENALTY</t>
        </is>
      </c>
      <c r="L3351" s="3" t="inlineStr">
        <is>
          <t>Provider production output-token throughput with comparable workload/SLO.</t>
        </is>
      </c>
    </row>
    <row r="3352">
      <c r="A3352" s="3" t="inlineStr">
        <is>
          <t>Meta</t>
        </is>
      </c>
      <c r="B3352" s="3" t="n">
        <v>2026</v>
      </c>
      <c r="C3352" s="3" t="inlineStr">
        <is>
          <t>Grid-Constrained / Efficiency-Upside</t>
        </is>
      </c>
      <c r="D3352" s="3" t="inlineStr">
        <is>
          <t>purpose_built_tps_per_mw</t>
        </is>
      </c>
      <c r="E3352" s="3" t="n">
        <v>1105664</v>
      </c>
      <c r="F3352" s="3" t="inlineStr">
        <is>
          <t>generated output tokens/sec/MW</t>
        </is>
      </c>
      <c r="G3352" s="3" t="inlineStr">
        <is>
          <t>Conservative no-uplift proxy</t>
        </is>
      </c>
      <c r="H3352" s="3" t="inlineStr">
        <is>
          <t>purpose_built_tps_per_mw = purpose_built_reference_tps_per_mw * commercial_workload_fit_factor until comparable output-token benchmark is adopted</t>
        </is>
      </c>
      <c r="I3352" s="3" t="inlineStr">
        <is>
          <t>No comparable public output-token/MW row adopted; B200 public reference placeholder is used and remains editable.</t>
        </is>
      </c>
      <c r="J3352" s="3" t="inlineStr">
        <is>
          <t>SRC_META_LLAMA; SRC_META_LLAMA4_NVIDIA; SRC_META_MTIA_GENAI_2026; SRC_EPOCH_AI_DATA_CENTERS; ASSUMP_NUMERIC_ACCELERATOR_MIX</t>
        </is>
      </c>
      <c r="K3352" s="3" t="inlineStr">
        <is>
          <t>ASSUMP_CONSUMER_AI_UTILIZATION; ASSUMP_POWER_RAMP; ASSUMP_NUMERIC_ACCELERATOR_MIX; ASSUMP_INFERENCE_SHARE_NOT_FACT_60; ASSUMP_WORKLOAD_CLASS_MIX; ASSUMP_AGENTIC_CONTEXT_PENALTY</t>
        </is>
      </c>
      <c r="L3352" s="3" t="inlineStr">
        <is>
          <t>Matched-workload generated-output benchmark for the provider purpose-built accelerator.</t>
        </is>
      </c>
    </row>
    <row r="3353">
      <c r="A3353" s="3" t="inlineStr">
        <is>
          <t>Meta</t>
        </is>
      </c>
      <c r="B3353" s="3" t="n">
        <v>2026</v>
      </c>
      <c r="C3353" s="3" t="inlineStr">
        <is>
          <t>Grid-Constrained / Efficiency-Upside</t>
        </is>
      </c>
      <c r="D3353" s="3" t="inlineStr">
        <is>
          <t>inference_power_share</t>
        </is>
      </c>
      <c r="E3353" s="3" t="n">
        <v>0.6</v>
      </c>
      <c r="F3353" s="3" t="inlineStr">
        <is>
          <t>share of AI IT load</t>
        </is>
      </c>
      <c r="G3353" s="3" t="inlineStr">
        <is>
          <t>Scenario allocation</t>
        </is>
      </c>
      <c r="H3353" s="3" t="inlineStr">
        <is>
          <t>inference_gw = ai_it_load_gw * inference_power_share</t>
        </is>
      </c>
      <c r="I3353" s="3" t="inlineStr">
        <is>
          <t>Large consumer AI distribution and inference-first MTIA roadmap support a higher inference share scenario.</t>
        </is>
      </c>
      <c r="J3353" s="3" t="inlineStr">
        <is>
          <t>SRC_META_LLAMA; SRC_META_LLAMA4_NVIDIA; SRC_META_MTIA_GENAI_2026; SRC_EPOCH_AI_DATA_CENTERS; ASSUMP_INFERENCE_SHARE_NOT_FACT_60</t>
        </is>
      </c>
      <c r="K3353" s="3" t="inlineStr">
        <is>
          <t>ASSUMP_CONSUMER_AI_UTILIZATION; ASSUMP_POWER_RAMP; ASSUMP_NUMERIC_ACCELERATOR_MIX; ASSUMP_INFERENCE_SHARE_NOT_FACT_60; ASSUMP_WORKLOAD_CLASS_MIX; ASSUMP_AGENTIC_CONTEXT_PENALTY</t>
        </is>
      </c>
      <c r="L3353" s="3" t="inlineStr">
        <is>
          <t>Provider-specific inference/training workload power telemetry.</t>
        </is>
      </c>
    </row>
    <row r="3354">
      <c r="A3354" s="3" t="inlineStr">
        <is>
          <t>Meta</t>
        </is>
      </c>
      <c r="B3354" s="3" t="n">
        <v>2026</v>
      </c>
      <c r="C3354" s="3" t="inlineStr">
        <is>
          <t>Grid-Constrained / Efficiency-Upside</t>
        </is>
      </c>
      <c r="D3354" s="3" t="inlineStr">
        <is>
          <t>inference_gw</t>
        </is>
      </c>
      <c r="E3354" s="3" t="n">
        <v>0.612</v>
      </c>
      <c r="F3354" s="3" t="inlineStr">
        <is>
          <t>GW</t>
        </is>
      </c>
      <c r="G3354" s="3" t="inlineStr">
        <is>
          <t>Derived formula</t>
        </is>
      </c>
      <c r="H3354" s="3" t="inlineStr">
        <is>
          <t>ai_it_load_gw * inference_power_share</t>
        </is>
      </c>
      <c r="I3354" s="3" t="inlineStr">
        <is>
          <t>This is the operational power eligible to become commercial generated output tokens through the selected TPS/MW proxy.</t>
        </is>
      </c>
      <c r="J3354" s="3" t="inlineStr">
        <is>
          <t>SRC_META_LLAMA; SRC_META_LLAMA4_NVIDIA; SRC_META_MTIA_GENAI_2026; SRC_EPOCH_AI_DATA_CENTERS</t>
        </is>
      </c>
      <c r="K3354" s="3" t="inlineStr">
        <is>
          <t>ASSUMP_CONSUMER_AI_UTILIZATION; ASSUMP_POWER_RAMP; ASSUMP_NUMERIC_ACCELERATOR_MIX; ASSUMP_INFERENCE_SHARE_NOT_FACT_60; ASSUMP_WORKLOAD_CLASS_MIX; ASSUMP_AGENTIC_CONTEXT_PENALTY</t>
        </is>
      </c>
      <c r="L3354" s="3" t="inlineStr">
        <is>
          <t>Recompute after AI allocation or inference-share evidence changes.</t>
        </is>
      </c>
    </row>
    <row r="3355">
      <c r="A3355" s="3" t="inlineStr">
        <is>
          <t>Meta</t>
        </is>
      </c>
      <c r="B3355" s="3" t="n">
        <v>2026</v>
      </c>
      <c r="C3355" s="3" t="inlineStr">
        <is>
          <t>Grid-Constrained / Efficiency-Upside</t>
        </is>
      </c>
      <c r="D3355" s="3" t="inlineStr">
        <is>
          <t>training_power_share</t>
        </is>
      </c>
      <c r="E3355" s="3" t="n">
        <v>0.4</v>
      </c>
      <c r="F3355" s="3" t="inlineStr">
        <is>
          <t>share of AI IT load</t>
        </is>
      </c>
      <c r="G3355" s="3" t="inlineStr">
        <is>
          <t>Derived allocation</t>
        </is>
      </c>
      <c r="H3355" s="3" t="inlineStr">
        <is>
          <t>1 - inference_power_share</t>
        </is>
      </c>
      <c r="I3355" s="3" t="inlineStr">
        <is>
          <t>Training receives the complementary modeled AI IT allocation; it is not a disclosed company workload split.</t>
        </is>
      </c>
      <c r="J3355" s="3" t="inlineStr">
        <is>
          <t>SRC_META_LLAMA; SRC_META_LLAMA4_NVIDIA; SRC_META_MTIA_GENAI_2026; SRC_EPOCH_AI_DATA_CENTERS; ASSUMP_INFERENCE_SHARE_NOT_FACT_60</t>
        </is>
      </c>
      <c r="K3355" s="3" t="inlineStr">
        <is>
          <t>ASSUMP_CONSUMER_AI_UTILIZATION; ASSUMP_POWER_RAMP; ASSUMP_NUMERIC_ACCELERATOR_MIX; ASSUMP_INFERENCE_SHARE_NOT_FACT_60; ASSUMP_WORKLOAD_CLASS_MIX; ASSUMP_AGENTIC_CONTEXT_PENALTY</t>
        </is>
      </c>
      <c r="L3355" s="3" t="inlineStr">
        <is>
          <t>Provider-specific inference/training workload power telemetry.</t>
        </is>
      </c>
    </row>
    <row r="3356">
      <c r="A3356" s="3" t="inlineStr">
        <is>
          <t>Meta</t>
        </is>
      </c>
      <c r="B3356" s="3" t="n">
        <v>2026</v>
      </c>
      <c r="C3356" s="3" t="inlineStr">
        <is>
          <t>Grid-Constrained / Efficiency-Upside</t>
        </is>
      </c>
      <c r="D3356" s="3" t="inlineStr">
        <is>
          <t>training_gw</t>
        </is>
      </c>
      <c r="E3356" s="3" t="n">
        <v>0.408</v>
      </c>
      <c r="F3356" s="3" t="inlineStr">
        <is>
          <t>GW</t>
        </is>
      </c>
      <c r="G3356" s="3" t="inlineStr">
        <is>
          <t>Derived formula</t>
        </is>
      </c>
      <c r="H3356" s="3" t="inlineStr">
        <is>
          <t>ai_it_load_gw * training_power_share</t>
        </is>
      </c>
      <c r="I3356" s="3" t="inlineStr">
        <is>
          <t>Training GW is shown separately so commercial inference token capacity is not overstated.</t>
        </is>
      </c>
      <c r="J3356" s="3" t="inlineStr">
        <is>
          <t>SRC_META_LLAMA; SRC_META_LLAMA4_NVIDIA; SRC_META_MTIA_GENAI_2026; SRC_EPOCH_AI_DATA_CENTERS</t>
        </is>
      </c>
      <c r="K3356" s="3" t="inlineStr">
        <is>
          <t>ASSUMP_CONSUMER_AI_UTILIZATION; ASSUMP_POWER_RAMP; ASSUMP_NUMERIC_ACCELERATOR_MIX; ASSUMP_INFERENCE_SHARE_NOT_FACT_60; ASSUMP_WORKLOAD_CLASS_MIX; ASSUMP_AGENTIC_CONTEXT_PENALTY</t>
        </is>
      </c>
      <c r="L3356" s="3" t="inlineStr">
        <is>
          <t>Recompute after AI allocation or workload-split evidence changes.</t>
        </is>
      </c>
    </row>
    <row r="3357">
      <c r="A3357" s="3" t="inlineStr">
        <is>
          <t>Meta</t>
        </is>
      </c>
      <c r="B3357" s="3" t="n">
        <v>2026</v>
      </c>
      <c r="C3357" s="3" t="inlineStr">
        <is>
          <t>Grid-Constrained / Efficiency-Upside</t>
        </is>
      </c>
      <c r="D3357" s="3" t="inlineStr">
        <is>
          <t>tokens_per_second_per_mw</t>
        </is>
      </c>
      <c r="E3357" s="3" t="n">
        <v>846954</v>
      </c>
      <c r="F3357" s="3" t="inlineStr">
        <is>
          <t>generated output tokens/sec/MW</t>
        </is>
      </c>
      <c r="G3357" s="3" t="inlineStr">
        <is>
          <t>Derived estimate + benchmark calibration</t>
        </is>
      </c>
      <c r="H3357" s="3" t="inlineStr">
        <is>
          <t>fleet_reference_tps_per_mw * commercial_workload_fit_factor</t>
        </is>
      </c>
      <c r="I3357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57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357" s="3" t="inlineStr">
        <is>
          <t>ASSUMP_CONSUMER_AI_UTILIZATION; ASSUMP_POWER_RAMP; ASSUMP_NUMERIC_ACCELERATOR_MIX; ASSUMP_INFERENCE_SHARE_NOT_FACT_60; ASSUMP_WORKLOAD_CLASS_MIX; ASSUMP_AGENTIC_CONTEXT_PENALTY</t>
        </is>
      </c>
      <c r="L3357" s="3" t="inlineStr">
        <is>
          <t>Comparable production output-token throughput with model, hardware, precision, ISL/OSL and SLO matched.</t>
        </is>
      </c>
    </row>
    <row r="3358">
      <c r="A3358" s="3" t="inlineStr">
        <is>
          <t>Meta</t>
        </is>
      </c>
      <c r="B3358" s="3" t="n">
        <v>2026</v>
      </c>
      <c r="C3358" s="3" t="inlineStr">
        <is>
          <t>Grid-Constrained / Efficiency-Upside</t>
        </is>
      </c>
      <c r="D3358" s="3" t="inlineStr">
        <is>
          <t>inference_tokens_per_day</t>
        </is>
      </c>
      <c r="E3358" s="3" t="n">
        <v>44784217267200</v>
      </c>
      <c r="F3358" s="3" t="inlineStr">
        <is>
          <t>generated output tokens/day</t>
        </is>
      </c>
      <c r="G3358" s="3" t="inlineStr">
        <is>
          <t>Derived headline metric</t>
        </is>
      </c>
      <c r="H3358" s="3" t="inlineStr">
        <is>
          <t>inference_gw * 1000 * tokens_per_second_per_mw * 86,400</t>
        </is>
      </c>
      <c r="I3358" s="3" t="inlineStr">
        <is>
          <t>Headline capacity uses no utilization, MoE, architecture or software-growth multiplier; it is not observed commercial output volume.</t>
        </is>
      </c>
      <c r="J3358" s="3" t="inlineStr">
        <is>
          <t>SRC_META_LLAMA; SRC_META_LLAMA4_NVIDIA; SRC_META_MTIA_GENAI_2026; SRC_EPOCH_AI_DATA_CENTERS; SRC_SEMIANALYSIS_INFERENCEX</t>
        </is>
      </c>
      <c r="K3358" s="3" t="inlineStr">
        <is>
          <t>ASSUMP_CONSUMER_AI_UTILIZATION; ASSUMP_POWER_RAMP; ASSUMP_NUMERIC_ACCELERATOR_MIX; ASSUMP_INFERENCE_SHARE_NOT_FACT_60; ASSUMP_WORKLOAD_CLASS_MIX; ASSUMP_AGENTIC_CONTEXT_PENALTY</t>
        </is>
      </c>
      <c r="L3358" s="3" t="inlineStr">
        <is>
          <t>Provider-disclosed generated output token volume or calibrated capacity telemetry.</t>
        </is>
      </c>
    </row>
    <row r="3359">
      <c r="A3359" s="3" t="inlineStr">
        <is>
          <t>Meta</t>
        </is>
      </c>
      <c r="B3359" s="3" t="n">
        <v>2026</v>
      </c>
      <c r="C3359" s="3" t="inlineStr">
        <is>
          <t>Grid-Constrained / Efficiency-Upside</t>
        </is>
      </c>
      <c r="D3359" s="3" t="inlineStr">
        <is>
          <t>inference_tokens_per_year</t>
        </is>
      </c>
      <c r="E3359" s="3" t="n">
        <v>1.6346239302528e+16</v>
      </c>
      <c r="F3359" s="3" t="inlineStr">
        <is>
          <t>generated output tokens/year</t>
        </is>
      </c>
      <c r="G3359" s="3" t="inlineStr">
        <is>
          <t>Derived headline metric</t>
        </is>
      </c>
      <c r="H3359" s="3" t="inlineStr">
        <is>
          <t>inference_tokens_per_day * 365</t>
        </is>
      </c>
      <c r="I3359" s="3" t="inlineStr">
        <is>
          <t>Annualized version of generated output token capacity; it is not observed annual demand or billable volume.</t>
        </is>
      </c>
      <c r="J3359" s="3" t="inlineStr">
        <is>
          <t>SRC_META_LLAMA; SRC_META_LLAMA4_NVIDIA; SRC_META_MTIA_GENAI_2026; SRC_EPOCH_AI_DATA_CENTERS; SRC_SEMIANALYSIS_INFERENCEX</t>
        </is>
      </c>
      <c r="K3359" s="3" t="inlineStr">
        <is>
          <t>ASSUMP_CONSUMER_AI_UTILIZATION; ASSUMP_POWER_RAMP; ASSUMP_NUMERIC_ACCELERATOR_MIX; ASSUMP_INFERENCE_SHARE_NOT_FACT_60; ASSUMP_WORKLOAD_CLASS_MIX; ASSUMP_AGENTIC_CONTEXT_PENALTY</t>
        </is>
      </c>
      <c r="L3359" s="3" t="inlineStr">
        <is>
          <t>Provider-disclosed annual generated-output volume or metered serving telemetry.</t>
        </is>
      </c>
    </row>
    <row r="3360">
      <c r="A3360" s="3" t="inlineStr">
        <is>
          <t>Meta</t>
        </is>
      </c>
      <c r="B3360" s="3" t="n">
        <v>2027</v>
      </c>
      <c r="C3360" s="3" t="inlineStr">
        <is>
          <t>Grid-Constrained / Efficiency-Upside</t>
        </is>
      </c>
      <c r="D3360" s="3" t="inlineStr">
        <is>
          <t>contracted_power_gw</t>
        </is>
      </c>
      <c r="E3360" s="3" t="n">
        <v>4.375</v>
      </c>
      <c r="F3360" s="3" t="inlineStr">
        <is>
          <t>GW</t>
        </is>
      </c>
      <c r="G3360" s="3" t="inlineStr">
        <is>
          <t>Scenario capacity envelope</t>
        </is>
      </c>
      <c r="H3360" s="3" t="inlineStr">
        <is>
          <t>linear interpolation between 2026 and 2030 company capacity endpoints</t>
        </is>
      </c>
      <c r="I3360" s="3" t="inlineStr">
        <is>
          <t>Scenario envelope for Meta AI/Llama serving capacity; not an official contracted-GW figure.</t>
        </is>
      </c>
      <c r="J3360" s="3" t="inlineStr">
        <is>
          <t>ASSUMP_POWER_RAMP; SRC_META_MTIA_GENAI_2026</t>
        </is>
      </c>
      <c r="K3360" s="3" t="inlineStr">
        <is>
          <t>ASSUMP_CONSUMER_AI_UTILIZATION; ASSUMP_POWER_RAMP; ASSUMP_NUMERIC_ACCELERATOR_MIX; ASSUMP_INFERENCE_SHARE_NOT_FACT_60; ASSUMP_WORKLOAD_CLASS_MIX; ASSUMP_AGENTIC_CONTEXT_PENALTY</t>
        </is>
      </c>
      <c r="L3360" s="3" t="inlineStr">
        <is>
          <t>Company/site-level committed MW/GW, interconnect and contract disclosure.</t>
        </is>
      </c>
    </row>
    <row r="3361">
      <c r="A3361" s="3" t="inlineStr">
        <is>
          <t>Meta</t>
        </is>
      </c>
      <c r="B3361" s="3" t="n">
        <v>2027</v>
      </c>
      <c r="C3361" s="3" t="inlineStr">
        <is>
          <t>Grid-Constrained / Efficiency-Upside</t>
        </is>
      </c>
      <c r="D3361" s="3" t="inlineStr">
        <is>
          <t>operational_deployment_share</t>
        </is>
      </c>
      <c r="E3361" s="3" t="n">
        <v>0.5088</v>
      </c>
      <c r="F3361" s="3" t="inlineStr">
        <is>
          <t>share</t>
        </is>
      </c>
      <c r="G3361" s="3" t="inlineStr">
        <is>
          <t>Scenario conversion</t>
        </is>
      </c>
      <c r="H3361" s="3" t="inlineStr">
        <is>
          <t>active_power_gw / contracted_power_gw</t>
        </is>
      </c>
      <c r="I3361" s="3" t="inlineStr">
        <is>
          <t>This is the single explicit conversion from contracted/attributed capacity to operationally usable capacity.</t>
        </is>
      </c>
      <c r="J3361" s="3" t="inlineStr">
        <is>
          <t>ASSUMP_POWER_RAMP; SRC_META_MTIA_GENAI_2026</t>
        </is>
      </c>
      <c r="K3361" s="3" t="inlineStr">
        <is>
          <t>ASSUMP_CONSUMER_AI_UTILIZATION; ASSUMP_POWER_RAMP; ASSUMP_NUMERIC_ACCELERATOR_MIX; ASSUMP_INFERENCE_SHARE_NOT_FACT_60; ASSUMP_WORKLOAD_CLASS_MIX; ASSUMP_AGENTIC_CONTEXT_PENALTY</t>
        </is>
      </c>
      <c r="L3361" s="3" t="inlineStr">
        <is>
          <t>Energized operational capacity divided by contracted/attributed capacity.</t>
        </is>
      </c>
    </row>
    <row r="3362">
      <c r="A3362" s="3" t="inlineStr">
        <is>
          <t>Meta</t>
        </is>
      </c>
      <c r="B3362" s="3" t="n">
        <v>2027</v>
      </c>
      <c r="C3362" s="3" t="inlineStr">
        <is>
          <t>Grid-Constrained / Efficiency-Upside</t>
        </is>
      </c>
      <c r="D3362" s="3" t="inlineStr">
        <is>
          <t>active_power_gw</t>
        </is>
      </c>
      <c r="E3362" s="3" t="n">
        <v>2.226</v>
      </c>
      <c r="F3362" s="3" t="inlineStr">
        <is>
          <t>GW</t>
        </is>
      </c>
      <c r="G3362" s="3" t="inlineStr">
        <is>
          <t>Derived scenario</t>
        </is>
      </c>
      <c r="H3362" s="3" t="inlineStr">
        <is>
          <t>contracted_power_gw * operational_deployment_share</t>
        </is>
      </c>
      <c r="I3362" s="3" t="inlineStr">
        <is>
          <t>MTIA deployment direction and consumer product distribution support active ramp, not exact powered GW.</t>
        </is>
      </c>
      <c r="J3362" s="3" t="inlineStr">
        <is>
          <t>ASSUMP_POWER_RAMP; SRC_META_MTIA_GENAI_2026</t>
        </is>
      </c>
      <c r="K3362" s="3" t="inlineStr">
        <is>
          <t>ASSUMP_CONSUMER_AI_UTILIZATION; ASSUMP_POWER_RAMP; ASSUMP_NUMERIC_ACCELERATOR_MIX; ASSUMP_INFERENCE_SHARE_NOT_FACT_60; ASSUMP_WORKLOAD_CLASS_MIX; ASSUMP_AGENTIC_CONTEXT_PENALTY</t>
        </is>
      </c>
      <c r="L3362" s="3" t="inlineStr">
        <is>
          <t>Energization dates, accelerator deliveries and operational powered-rack telemetry.</t>
        </is>
      </c>
    </row>
    <row r="3363">
      <c r="A3363" s="3" t="inlineStr">
        <is>
          <t>Meta</t>
        </is>
      </c>
      <c r="B3363" s="3" t="n">
        <v>2027</v>
      </c>
      <c r="C3363" s="3" t="inlineStr">
        <is>
          <t>Grid-Constrained / Efficiency-Upside</t>
        </is>
      </c>
      <c r="D3363" s="3" t="inlineStr">
        <is>
          <t>pue</t>
        </is>
      </c>
      <c r="E3363" s="3" t="n">
        <v>1.2</v>
      </c>
      <c r="F3363" s="3" t="inlineStr">
        <is>
          <t>ratio</t>
        </is>
      </c>
      <c r="G3363" s="3" t="inlineStr">
        <is>
          <t>Scenario parameter</t>
        </is>
      </c>
      <c r="H3363" s="3" t="inlineStr">
        <is>
          <t>it_load_gw = active_power_gw / pue</t>
        </is>
      </c>
      <c r="I3363" s="3" t="inlineStr">
        <is>
          <t>No provider-wide site-level PUE is used as a disclosed fact; PUE represents facility-to-IT conversion within the scenario.</t>
        </is>
      </c>
      <c r="J3363" s="3" t="inlineStr">
        <is>
          <t>ASSUMP_POWER_RAMP</t>
        </is>
      </c>
      <c r="K3363" s="3" t="inlineStr">
        <is>
          <t>ASSUMP_CONSUMER_AI_UTILIZATION; ASSUMP_POWER_RAMP; ASSUMP_NUMERIC_ACCELERATOR_MIX; ASSUMP_INFERENCE_SHARE_NOT_FACT_60; ASSUMP_WORKLOAD_CLASS_MIX; ASSUMP_AGENTIC_CONTEXT_PENALTY</t>
        </is>
      </c>
      <c r="L3363" s="3" t="inlineStr">
        <is>
          <t>Site-level measured PUE matched to attributed AI capacity.</t>
        </is>
      </c>
    </row>
    <row r="3364">
      <c r="A3364" s="3" t="inlineStr">
        <is>
          <t>Meta</t>
        </is>
      </c>
      <c r="B3364" s="3" t="n">
        <v>2027</v>
      </c>
      <c r="C3364" s="3" t="inlineStr">
        <is>
          <t>Grid-Constrained / Efficiency-Upside</t>
        </is>
      </c>
      <c r="D3364" s="3" t="inlineStr">
        <is>
          <t>it_load_gw</t>
        </is>
      </c>
      <c r="E3364" s="3" t="n">
        <v>1.855</v>
      </c>
      <c r="F3364" s="3" t="inlineStr">
        <is>
          <t>GW</t>
        </is>
      </c>
      <c r="G3364" s="3" t="inlineStr">
        <is>
          <t>Derived formula</t>
        </is>
      </c>
      <c r="H3364" s="3" t="inlineStr">
        <is>
          <t>active_power_gw / pue</t>
        </is>
      </c>
      <c r="I3364" s="3" t="inlineStr">
        <is>
          <t>Facility power is converted to IT-deliverable power before attributing AI workloads.</t>
        </is>
      </c>
      <c r="J3364" s="3" t="inlineStr">
        <is>
          <t>ASSUMP_POWER_RAMP; SRC_META_MTIA_GENAI_2026</t>
        </is>
      </c>
      <c r="K3364" s="3" t="inlineStr">
        <is>
          <t>ASSUMP_CONSUMER_AI_UTILIZATION; ASSUMP_POWER_RAMP; ASSUMP_NUMERIC_ACCELERATOR_MIX; ASSUMP_INFERENCE_SHARE_NOT_FACT_60; ASSUMP_WORKLOAD_CLASS_MIX; ASSUMP_AGENTIC_CONTEXT_PENALTY</t>
        </is>
      </c>
      <c r="L3364" s="3" t="inlineStr">
        <is>
          <t>Recompute once active power and PUE become site-observable.</t>
        </is>
      </c>
    </row>
    <row r="3365">
      <c r="A3365" s="3" t="inlineStr">
        <is>
          <t>Meta</t>
        </is>
      </c>
      <c r="B3365" s="3" t="n">
        <v>2027</v>
      </c>
      <c r="C3365" s="3" t="inlineStr">
        <is>
          <t>Grid-Constrained / Efficiency-Upside</t>
        </is>
      </c>
      <c r="D3365" s="3" t="inlineStr">
        <is>
          <t>ai_workload_share</t>
        </is>
      </c>
      <c r="E3365" s="3" t="n">
        <v>0.87</v>
      </c>
      <c r="F3365" s="3" t="inlineStr">
        <is>
          <t>share</t>
        </is>
      </c>
      <c r="G3365" s="3" t="inlineStr">
        <is>
          <t>Scenario allocation</t>
        </is>
      </c>
      <c r="H3365" s="3" t="inlineStr">
        <is>
          <t>ai_it_load_gw = it_load_gw * ai_workload_share</t>
        </is>
      </c>
      <c r="I3365" s="3" t="inlineStr">
        <is>
          <t>The modeled fleet is focused on AI workloads across Meta AI surfaces; non-LLM ranking/platform overhead is excluded through the 87% share.</t>
        </is>
      </c>
      <c r="J3365" s="3" t="inlineStr">
        <is>
          <t>SRC_META_LLAMA; SRC_META_LLAMA4_NVIDIA; SRC_META_MTIA_GENAI_2026; SRC_EPOCH_AI_DATA_CENTERS</t>
        </is>
      </c>
      <c r="K3365" s="3" t="inlineStr">
        <is>
          <t>ASSUMP_CONSUMER_AI_UTILIZATION; ASSUMP_POWER_RAMP; ASSUMP_NUMERIC_ACCELERATOR_MIX; ASSUMP_INFERENCE_SHARE_NOT_FACT_60; ASSUMP_WORKLOAD_CLASS_MIX; ASSUMP_AGENTIC_CONTEXT_PENALTY</t>
        </is>
      </c>
      <c r="L3365" s="3" t="inlineStr">
        <is>
          <t>Model-owner AI workload allocation or cluster scheduling telemetry.</t>
        </is>
      </c>
    </row>
    <row r="3366">
      <c r="A3366" s="3" t="inlineStr">
        <is>
          <t>Meta</t>
        </is>
      </c>
      <c r="B3366" s="3" t="n">
        <v>2027</v>
      </c>
      <c r="C3366" s="3" t="inlineStr">
        <is>
          <t>Grid-Constrained / Efficiency-Upside</t>
        </is>
      </c>
      <c r="D3366" s="3" t="inlineStr">
        <is>
          <t>ai_it_load_gw</t>
        </is>
      </c>
      <c r="E3366" s="3" t="n">
        <v>1.614</v>
      </c>
      <c r="F3366" s="3" t="inlineStr">
        <is>
          <t>GW</t>
        </is>
      </c>
      <c r="G3366" s="3" t="inlineStr">
        <is>
          <t>Derived formula</t>
        </is>
      </c>
      <c r="H3366" s="3" t="inlineStr">
        <is>
          <t>it_load_gw * ai_workload_share</t>
        </is>
      </c>
      <c r="I3366" s="3" t="inlineStr">
        <is>
          <t>Only the AI-attributed portion of IT load enters training/inference allocation.</t>
        </is>
      </c>
      <c r="J3366" s="3" t="inlineStr">
        <is>
          <t>SRC_META_LLAMA; SRC_META_LLAMA4_NVIDIA; SRC_META_MTIA_GENAI_2026; SRC_EPOCH_AI_DATA_CENTERS</t>
        </is>
      </c>
      <c r="K3366" s="3" t="inlineStr">
        <is>
          <t>ASSUMP_CONSUMER_AI_UTILIZATION; ASSUMP_POWER_RAMP; ASSUMP_NUMERIC_ACCELERATOR_MIX; ASSUMP_INFERENCE_SHARE_NOT_FACT_60; ASSUMP_WORKLOAD_CLASS_MIX; ASSUMP_AGENTIC_CONTEXT_PENALTY</t>
        </is>
      </c>
      <c r="L3366" s="3" t="inlineStr">
        <is>
          <t>Recompute after ai_workload_share is replaced by telemetry.</t>
        </is>
      </c>
    </row>
    <row r="3367">
      <c r="A3367" s="3" t="inlineStr">
        <is>
          <t>Meta</t>
        </is>
      </c>
      <c r="B3367" s="3" t="n">
        <v>2027</v>
      </c>
      <c r="C3367" s="3" t="inlineStr">
        <is>
          <t>Grid-Constrained / Efficiency-Upside</t>
        </is>
      </c>
      <c r="D3367" s="3" t="inlineStr">
        <is>
          <t>gpu_share</t>
        </is>
      </c>
      <c r="E3367" s="3" t="n">
        <v>1</v>
      </c>
      <c r="F3367" s="3" t="inlineStr">
        <is>
          <t>share of inference-serving accelerator load</t>
        </is>
      </c>
      <c r="G3367" s="3" t="inlineStr">
        <is>
          <t>Numeric scenario</t>
        </is>
      </c>
      <c r="H3367" s="3" t="inlineStr">
        <is>
          <t>gpu_share interpolated from company 2026/2030 accelerator-mix endpoints</t>
        </is>
      </c>
      <c r="I3367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67" s="3" t="inlineStr">
        <is>
          <t>SRC_META_LLAMA; SRC_META_LLAMA4_NVIDIA; SRC_META_MTIA_GENAI_2026; SRC_EPOCH_AI_DATA_CENTERS; ASSUMP_NUMERIC_ACCELERATOR_MIX</t>
        </is>
      </c>
      <c r="K3367" s="3" t="inlineStr">
        <is>
          <t>ASSUMP_CONSUMER_AI_UTILIZATION; ASSUMP_POWER_RAMP; ASSUMP_NUMERIC_ACCELERATOR_MIX; ASSUMP_INFERENCE_SHARE_NOT_FACT_60; ASSUMP_WORKLOAD_CLASS_MIX; ASSUMP_AGENTIC_CONTEXT_PENALTY</t>
        </is>
      </c>
      <c r="L3367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68">
      <c r="A3368" s="3" t="inlineStr">
        <is>
          <t>Meta</t>
        </is>
      </c>
      <c r="B3368" s="3" t="n">
        <v>2027</v>
      </c>
      <c r="C3368" s="3" t="inlineStr">
        <is>
          <t>Grid-Constrained / Efficiency-Upside</t>
        </is>
      </c>
      <c r="D3368" s="3" t="inlineStr">
        <is>
          <t>h200_share</t>
        </is>
      </c>
      <c r="E3368" s="3" t="n">
        <v>0</v>
      </c>
      <c r="F3368" s="3" t="inlineStr">
        <is>
          <t>share of inference-serving accelerator load</t>
        </is>
      </c>
      <c r="G3368" s="3" t="inlineStr">
        <is>
          <t>Editable numeric scenario</t>
        </is>
      </c>
      <c r="H3368" s="3" t="inlineStr">
        <is>
          <t>h200_share = gpu_share * default_gpu_generation_mix_h200</t>
        </is>
      </c>
      <c r="I3368" s="3" t="inlineStr">
        <is>
          <t>Default GPU-generation migration assumption; executive workbook allows later manual replacement by company/year/scenario.</t>
        </is>
      </c>
      <c r="J3368" s="3" t="inlineStr">
        <is>
          <t>SRC_SEMIANALYSIS_INFERENCEX; ASSUMP_NUMERIC_ACCELERATOR_MIX</t>
        </is>
      </c>
      <c r="K3368" s="3" t="inlineStr">
        <is>
          <t>ASSUMP_CONSUMER_AI_UTILIZATION; ASSUMP_POWER_RAMP; ASSUMP_NUMERIC_ACCELERATOR_MIX; ASSUMP_INFERENCE_SHARE_NOT_FACT_60; ASSUMP_WORKLOAD_CLASS_MIX; ASSUMP_AGENTIC_CONTEXT_PENALTY</t>
        </is>
      </c>
      <c r="L3368" s="3" t="inlineStr">
        <is>
          <t>Company fleet inventory, accelerator-hours or procurement/deployment records by GPU generation.</t>
        </is>
      </c>
    </row>
    <row r="3369">
      <c r="A3369" s="3" t="inlineStr">
        <is>
          <t>Meta</t>
        </is>
      </c>
      <c r="B3369" s="3" t="n">
        <v>2027</v>
      </c>
      <c r="C3369" s="3" t="inlineStr">
        <is>
          <t>Grid-Constrained / Efficiency-Upside</t>
        </is>
      </c>
      <c r="D3369" s="3" t="inlineStr">
        <is>
          <t>b200_share</t>
        </is>
      </c>
      <c r="E3369" s="3" t="n">
        <v>1</v>
      </c>
      <c r="F3369" s="3" t="inlineStr">
        <is>
          <t>share of inference-serving accelerator load</t>
        </is>
      </c>
      <c r="G3369" s="3" t="inlineStr">
        <is>
          <t>Editable numeric scenario</t>
        </is>
      </c>
      <c r="H3369" s="3" t="inlineStr">
        <is>
          <t>b200_share = gpu_share * default_gpu_generation_mix_b200</t>
        </is>
      </c>
      <c r="I3369" s="3" t="inlineStr">
        <is>
          <t>Default GPU-generation migration assumption; executive workbook allows later manual replacement by company/year/scenario.</t>
        </is>
      </c>
      <c r="J3369" s="3" t="inlineStr">
        <is>
          <t>SRC_SEMIANALYSIS_INFERENCEX; ASSUMP_NUMERIC_ACCELERATOR_MIX</t>
        </is>
      </c>
      <c r="K3369" s="3" t="inlineStr">
        <is>
          <t>ASSUMP_CONSUMER_AI_UTILIZATION; ASSUMP_POWER_RAMP; ASSUMP_NUMERIC_ACCELERATOR_MIX; ASSUMP_INFERENCE_SHARE_NOT_FACT_60; ASSUMP_WORKLOAD_CLASS_MIX; ASSUMP_AGENTIC_CONTEXT_PENALTY</t>
        </is>
      </c>
      <c r="L3369" s="3" t="inlineStr">
        <is>
          <t>Company fleet inventory, accelerator-hours or procurement/deployment records by GPU generation.</t>
        </is>
      </c>
    </row>
    <row r="3370">
      <c r="A3370" s="3" t="inlineStr">
        <is>
          <t>Meta</t>
        </is>
      </c>
      <c r="B3370" s="3" t="n">
        <v>2027</v>
      </c>
      <c r="C3370" s="3" t="inlineStr">
        <is>
          <t>Grid-Constrained / Efficiency-Upside</t>
        </is>
      </c>
      <c r="D3370" s="3" t="inlineStr">
        <is>
          <t>gb200_share</t>
        </is>
      </c>
      <c r="E3370" s="3" t="n">
        <v>0</v>
      </c>
      <c r="F3370" s="3" t="inlineStr">
        <is>
          <t>share of inference-serving accelerator load</t>
        </is>
      </c>
      <c r="G3370" s="3" t="inlineStr">
        <is>
          <t>Editable numeric scenario</t>
        </is>
      </c>
      <c r="H3370" s="3" t="inlineStr">
        <is>
          <t>gb200_share = gpu_share * default_gpu_generation_mix_gb200</t>
        </is>
      </c>
      <c r="I3370" s="3" t="inlineStr">
        <is>
          <t>Default GPU-generation migration assumption; executive workbook allows later manual replacement by company/year/scenario.</t>
        </is>
      </c>
      <c r="J3370" s="3" t="inlineStr">
        <is>
          <t>SRC_SEMIANALYSIS_INFERENCEX; ASSUMP_NUMERIC_ACCELERATOR_MIX</t>
        </is>
      </c>
      <c r="K3370" s="3" t="inlineStr">
        <is>
          <t>ASSUMP_CONSUMER_AI_UTILIZATION; ASSUMP_POWER_RAMP; ASSUMP_NUMERIC_ACCELERATOR_MIX; ASSUMP_INFERENCE_SHARE_NOT_FACT_60; ASSUMP_WORKLOAD_CLASS_MIX; ASSUMP_AGENTIC_CONTEXT_PENALTY</t>
        </is>
      </c>
      <c r="L3370" s="3" t="inlineStr">
        <is>
          <t>Company fleet inventory, accelerator-hours or procurement/deployment records by GPU generation.</t>
        </is>
      </c>
    </row>
    <row r="3371">
      <c r="A3371" s="3" t="inlineStr">
        <is>
          <t>Meta</t>
        </is>
      </c>
      <c r="B3371" s="3" t="n">
        <v>2027</v>
      </c>
      <c r="C3371" s="3" t="inlineStr">
        <is>
          <t>Grid-Constrained / Efficiency-Upside</t>
        </is>
      </c>
      <c r="D3371" s="3" t="inlineStr">
        <is>
          <t>purpose_built_accelerator_share</t>
        </is>
      </c>
      <c r="E3371" s="3" t="n">
        <v>0</v>
      </c>
      <c r="F3371" s="3" t="inlineStr">
        <is>
          <t>share of inference-serving accelerator load</t>
        </is>
      </c>
      <c r="G3371" s="3" t="inlineStr">
        <is>
          <t>Numeric scenario</t>
        </is>
      </c>
      <c r="H3371" s="3" t="inlineStr">
        <is>
          <t>1 - gpu_share</t>
        </is>
      </c>
      <c r="I3371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71" s="3" t="inlineStr">
        <is>
          <t>SRC_META_LLAMA; SRC_META_LLAMA4_NVIDIA; SRC_META_MTIA_GENAI_2026; SRC_EPOCH_AI_DATA_CENTERS; ASSUMP_NUMERIC_ACCELERATOR_MIX</t>
        </is>
      </c>
      <c r="K3371" s="3" t="inlineStr">
        <is>
          <t>ASSUMP_CONSUMER_AI_UTILIZATION; ASSUMP_POWER_RAMP; ASSUMP_NUMERIC_ACCELERATOR_MIX; ASSUMP_INFERENCE_SHARE_NOT_FACT_60; ASSUMP_WORKLOAD_CLASS_MIX; ASSUMP_AGENTIC_CONTEXT_PENALTY</t>
        </is>
      </c>
      <c r="L3371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72">
      <c r="A3372" s="3" t="inlineStr">
        <is>
          <t>Meta</t>
        </is>
      </c>
      <c r="B3372" s="3" t="n">
        <v>2027</v>
      </c>
      <c r="C3372" s="3" t="inlineStr">
        <is>
          <t>Grid-Constrained / Efficiency-Upside</t>
        </is>
      </c>
      <c r="D3372" s="3" t="inlineStr">
        <is>
          <t>fleet_reference_tps_per_mw</t>
        </is>
      </c>
      <c r="E3372" s="3" t="n">
        <v>941060</v>
      </c>
      <c r="F3372" s="3" t="inlineStr">
        <is>
          <t>generated output tokens/sec/MW</t>
        </is>
      </c>
      <c r="G3372" s="3" t="inlineStr">
        <is>
          <t>Fleet-weighted public benchmark reference</t>
        </is>
      </c>
      <c r="H3372" s="3" t="inlineStr">
        <is>
          <t>h200_share*h200_workload_avg + b200_share*b200_workload_avg + gb200_share*gb200_workload_avg + purpose_built_share*purpose_workload_avg</t>
        </is>
      </c>
      <c r="I3372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72" s="3" t="inlineStr">
        <is>
          <t>SRC_SEMIANALYSIS_INFERENCEX; ASSUMP_NUMERIC_ACCELERATOR_MIX; ASSUMP_WORKLOAD_CLASS_MIX; ASSUMP_AGENTIC_CONTEXT_PENALTY</t>
        </is>
      </c>
      <c r="K3372" s="3" t="inlineStr">
        <is>
          <t>ASSUMP_CONSUMER_AI_UTILIZATION; ASSUMP_POWER_RAMP; ASSUMP_NUMERIC_ACCELERATOR_MIX; ASSUMP_INFERENCE_SHARE_NOT_FACT_60; ASSUMP_WORKLOAD_CLASS_MIX; ASSUMP_AGENTIC_CONTEXT_PENALTY</t>
        </is>
      </c>
      <c r="L3372" s="3" t="inlineStr">
        <is>
          <t>Comparable production output-token throughput or a more closely matched benchmark.</t>
        </is>
      </c>
    </row>
    <row r="3373">
      <c r="A3373" s="3" t="inlineStr">
        <is>
          <t>Meta</t>
        </is>
      </c>
      <c r="B3373" s="3" t="n">
        <v>2027</v>
      </c>
      <c r="C3373" s="3" t="inlineStr">
        <is>
          <t>Grid-Constrained / Efficiency-Upside</t>
        </is>
      </c>
      <c r="D3373" s="3" t="inlineStr">
        <is>
          <t>commercial_workload_fit_factor</t>
        </is>
      </c>
      <c r="E3373" s="3" t="n">
        <v>0.9</v>
      </c>
      <c r="F3373" s="3" t="inlineStr">
        <is>
          <t>share of public reference throughput</t>
        </is>
      </c>
      <c r="G3373" s="3" t="inlineStr">
        <is>
          <t>Scenario assumption</t>
        </is>
      </c>
      <c r="H3373" s="3" t="inlineStr">
        <is>
          <t>reference_serving_tps_per_mw = fleet_reference_tps_per_mw * commercial_workload_fit_factor</t>
        </is>
      </c>
      <c r="I3373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73" s="3" t="inlineStr">
        <is>
          <t>SRC_SEMIANALYSIS_INFERENCEX; ASSUMP_NUMERIC_ACCELERATOR_MIX; ASSUMP_WORKLOAD_CLASS_MIX; ASSUMP_AGENTIC_CONTEXT_PENALTY</t>
        </is>
      </c>
      <c r="K3373" s="3" t="inlineStr">
        <is>
          <t>ASSUMP_CONSUMER_AI_UTILIZATION; ASSUMP_POWER_RAMP; ASSUMP_NUMERIC_ACCELERATOR_MIX; ASSUMP_INFERENCE_SHARE_NOT_FACT_60; ASSUMP_WORKLOAD_CLASS_MIX; ASSUMP_AGENTIC_CONTEXT_PENALTY</t>
        </is>
      </c>
      <c r="L3373" s="3" t="inlineStr">
        <is>
          <t>Matched commercial serving benchmark by product surface, context shape and latency SLO.</t>
        </is>
      </c>
    </row>
    <row r="3374">
      <c r="A3374" s="3" t="inlineStr">
        <is>
          <t>Meta</t>
        </is>
      </c>
      <c r="B3374" s="3" t="n">
        <v>2027</v>
      </c>
      <c r="C3374" s="3" t="inlineStr">
        <is>
          <t>Grid-Constrained / Efficiency-Upside</t>
        </is>
      </c>
      <c r="D3374" s="3" t="inlineStr">
        <is>
          <t>reference_serving_tps_per_mw</t>
        </is>
      </c>
      <c r="E3374" s="3" t="n">
        <v>846954</v>
      </c>
      <c r="F3374" s="3" t="inlineStr">
        <is>
          <t>generated output tokens/sec/MW</t>
        </is>
      </c>
      <c r="G3374" s="3" t="inlineStr">
        <is>
          <t>Workload-adjusted benchmark proxy</t>
        </is>
      </c>
      <c r="H3374" s="3" t="inlineStr">
        <is>
          <t>fleet_reference_tps_per_mw * commercial_workload_fit_factor</t>
        </is>
      </c>
      <c r="I3374" s="3" t="inlineStr">
        <is>
          <t>This is the coefficient used for headline token generation; each GPU's short chat, long chat and agentic TPS/MW are weighted before fleet mix and commercial fit are applied.</t>
        </is>
      </c>
      <c r="J3374" s="3" t="inlineStr">
        <is>
          <t>SRC_SEMIANALYSIS_INFERENCEX; ASSUMP_NUMERIC_ACCELERATOR_MIX; ASSUMP_WORKLOAD_CLASS_MIX; ASSUMP_AGENTIC_CONTEXT_PENALTY</t>
        </is>
      </c>
      <c r="K3374" s="3" t="inlineStr">
        <is>
          <t>ASSUMP_CONSUMER_AI_UTILIZATION; ASSUMP_POWER_RAMP; ASSUMP_NUMERIC_ACCELERATOR_MIX; ASSUMP_INFERENCE_SHARE_NOT_FACT_60; ASSUMP_WORKLOAD_CLASS_MIX; ASSUMP_AGENTIC_CONTEXT_PENALTY</t>
        </is>
      </c>
      <c r="L3374" s="3" t="inlineStr">
        <is>
          <t>Provider production output-token throughput with comparable workload/SLO.</t>
        </is>
      </c>
    </row>
    <row r="3375">
      <c r="A3375" s="3" t="inlineStr">
        <is>
          <t>Meta</t>
        </is>
      </c>
      <c r="B3375" s="3" t="n">
        <v>2027</v>
      </c>
      <c r="C3375" s="3" t="inlineStr">
        <is>
          <t>Grid-Constrained / Efficiency-Upside</t>
        </is>
      </c>
      <c r="D3375" s="3" t="inlineStr">
        <is>
          <t>purpose_built_tps_per_mw</t>
        </is>
      </c>
      <c r="E3375" s="3" t="n">
        <v>1105664</v>
      </c>
      <c r="F3375" s="3" t="inlineStr">
        <is>
          <t>generated output tokens/sec/MW</t>
        </is>
      </c>
      <c r="G3375" s="3" t="inlineStr">
        <is>
          <t>Conservative no-uplift proxy</t>
        </is>
      </c>
      <c r="H3375" s="3" t="inlineStr">
        <is>
          <t>purpose_built_tps_per_mw = purpose_built_reference_tps_per_mw * commercial_workload_fit_factor until comparable output-token benchmark is adopted</t>
        </is>
      </c>
      <c r="I3375" s="3" t="inlineStr">
        <is>
          <t>No comparable public output-token/MW row adopted; B200 public reference placeholder is used and remains editable.</t>
        </is>
      </c>
      <c r="J3375" s="3" t="inlineStr">
        <is>
          <t>SRC_META_LLAMA; SRC_META_LLAMA4_NVIDIA; SRC_META_MTIA_GENAI_2026; SRC_EPOCH_AI_DATA_CENTERS; ASSUMP_NUMERIC_ACCELERATOR_MIX</t>
        </is>
      </c>
      <c r="K3375" s="3" t="inlineStr">
        <is>
          <t>ASSUMP_CONSUMER_AI_UTILIZATION; ASSUMP_POWER_RAMP; ASSUMP_NUMERIC_ACCELERATOR_MIX; ASSUMP_INFERENCE_SHARE_NOT_FACT_60; ASSUMP_WORKLOAD_CLASS_MIX; ASSUMP_AGENTIC_CONTEXT_PENALTY</t>
        </is>
      </c>
      <c r="L3375" s="3" t="inlineStr">
        <is>
          <t>Matched-workload generated-output benchmark for the provider purpose-built accelerator.</t>
        </is>
      </c>
    </row>
    <row r="3376">
      <c r="A3376" s="3" t="inlineStr">
        <is>
          <t>Meta</t>
        </is>
      </c>
      <c r="B3376" s="3" t="n">
        <v>2027</v>
      </c>
      <c r="C3376" s="3" t="inlineStr">
        <is>
          <t>Grid-Constrained / Efficiency-Upside</t>
        </is>
      </c>
      <c r="D3376" s="3" t="inlineStr">
        <is>
          <t>inference_power_share</t>
        </is>
      </c>
      <c r="E3376" s="3" t="n">
        <v>0.655</v>
      </c>
      <c r="F3376" s="3" t="inlineStr">
        <is>
          <t>share of AI IT load</t>
        </is>
      </c>
      <c r="G3376" s="3" t="inlineStr">
        <is>
          <t>Scenario allocation</t>
        </is>
      </c>
      <c r="H3376" s="3" t="inlineStr">
        <is>
          <t>inference_gw = ai_it_load_gw * inference_power_share</t>
        </is>
      </c>
      <c r="I3376" s="3" t="inlineStr">
        <is>
          <t>Large consumer AI distribution and inference-first MTIA roadmap support a higher inference share scenario.</t>
        </is>
      </c>
      <c r="J3376" s="3" t="inlineStr">
        <is>
          <t>SRC_META_LLAMA; SRC_META_LLAMA4_NVIDIA; SRC_META_MTIA_GENAI_2026; SRC_EPOCH_AI_DATA_CENTERS; ASSUMP_INFERENCE_SHARE_NOT_FACT_60</t>
        </is>
      </c>
      <c r="K3376" s="3" t="inlineStr">
        <is>
          <t>ASSUMP_CONSUMER_AI_UTILIZATION; ASSUMP_POWER_RAMP; ASSUMP_NUMERIC_ACCELERATOR_MIX; ASSUMP_INFERENCE_SHARE_NOT_FACT_60; ASSUMP_WORKLOAD_CLASS_MIX; ASSUMP_AGENTIC_CONTEXT_PENALTY</t>
        </is>
      </c>
      <c r="L3376" s="3" t="inlineStr">
        <is>
          <t>Provider-specific inference/training workload power telemetry.</t>
        </is>
      </c>
    </row>
    <row r="3377">
      <c r="A3377" s="3" t="inlineStr">
        <is>
          <t>Meta</t>
        </is>
      </c>
      <c r="B3377" s="3" t="n">
        <v>2027</v>
      </c>
      <c r="C3377" s="3" t="inlineStr">
        <is>
          <t>Grid-Constrained / Efficiency-Upside</t>
        </is>
      </c>
      <c r="D3377" s="3" t="inlineStr">
        <is>
          <t>inference_gw</t>
        </is>
      </c>
      <c r="E3377" s="3" t="n">
        <v>1.057</v>
      </c>
      <c r="F3377" s="3" t="inlineStr">
        <is>
          <t>GW</t>
        </is>
      </c>
      <c r="G3377" s="3" t="inlineStr">
        <is>
          <t>Derived formula</t>
        </is>
      </c>
      <c r="H3377" s="3" t="inlineStr">
        <is>
          <t>ai_it_load_gw * inference_power_share</t>
        </is>
      </c>
      <c r="I3377" s="3" t="inlineStr">
        <is>
          <t>This is the operational power eligible to become commercial generated output tokens through the selected TPS/MW proxy.</t>
        </is>
      </c>
      <c r="J3377" s="3" t="inlineStr">
        <is>
          <t>SRC_META_LLAMA; SRC_META_LLAMA4_NVIDIA; SRC_META_MTIA_GENAI_2026; SRC_EPOCH_AI_DATA_CENTERS</t>
        </is>
      </c>
      <c r="K3377" s="3" t="inlineStr">
        <is>
          <t>ASSUMP_CONSUMER_AI_UTILIZATION; ASSUMP_POWER_RAMP; ASSUMP_NUMERIC_ACCELERATOR_MIX; ASSUMP_INFERENCE_SHARE_NOT_FACT_60; ASSUMP_WORKLOAD_CLASS_MIX; ASSUMP_AGENTIC_CONTEXT_PENALTY</t>
        </is>
      </c>
      <c r="L3377" s="3" t="inlineStr">
        <is>
          <t>Recompute after AI allocation or inference-share evidence changes.</t>
        </is>
      </c>
    </row>
    <row r="3378">
      <c r="A3378" s="3" t="inlineStr">
        <is>
          <t>Meta</t>
        </is>
      </c>
      <c r="B3378" s="3" t="n">
        <v>2027</v>
      </c>
      <c r="C3378" s="3" t="inlineStr">
        <is>
          <t>Grid-Constrained / Efficiency-Upside</t>
        </is>
      </c>
      <c r="D3378" s="3" t="inlineStr">
        <is>
          <t>training_power_share</t>
        </is>
      </c>
      <c r="E3378" s="3" t="n">
        <v>0.345</v>
      </c>
      <c r="F3378" s="3" t="inlineStr">
        <is>
          <t>share of AI IT load</t>
        </is>
      </c>
      <c r="G3378" s="3" t="inlineStr">
        <is>
          <t>Derived allocation</t>
        </is>
      </c>
      <c r="H3378" s="3" t="inlineStr">
        <is>
          <t>1 - inference_power_share</t>
        </is>
      </c>
      <c r="I3378" s="3" t="inlineStr">
        <is>
          <t>Training receives the complementary modeled AI IT allocation; it is not a disclosed company workload split.</t>
        </is>
      </c>
      <c r="J3378" s="3" t="inlineStr">
        <is>
          <t>SRC_META_LLAMA; SRC_META_LLAMA4_NVIDIA; SRC_META_MTIA_GENAI_2026; SRC_EPOCH_AI_DATA_CENTERS; ASSUMP_INFERENCE_SHARE_NOT_FACT_60</t>
        </is>
      </c>
      <c r="K3378" s="3" t="inlineStr">
        <is>
          <t>ASSUMP_CONSUMER_AI_UTILIZATION; ASSUMP_POWER_RAMP; ASSUMP_NUMERIC_ACCELERATOR_MIX; ASSUMP_INFERENCE_SHARE_NOT_FACT_60; ASSUMP_WORKLOAD_CLASS_MIX; ASSUMP_AGENTIC_CONTEXT_PENALTY</t>
        </is>
      </c>
      <c r="L3378" s="3" t="inlineStr">
        <is>
          <t>Provider-specific inference/training workload power telemetry.</t>
        </is>
      </c>
    </row>
    <row r="3379">
      <c r="A3379" s="3" t="inlineStr">
        <is>
          <t>Meta</t>
        </is>
      </c>
      <c r="B3379" s="3" t="n">
        <v>2027</v>
      </c>
      <c r="C3379" s="3" t="inlineStr">
        <is>
          <t>Grid-Constrained / Efficiency-Upside</t>
        </is>
      </c>
      <c r="D3379" s="3" t="inlineStr">
        <is>
          <t>training_gw</t>
        </is>
      </c>
      <c r="E3379" s="3" t="n">
        <v>0.5570000000000001</v>
      </c>
      <c r="F3379" s="3" t="inlineStr">
        <is>
          <t>GW</t>
        </is>
      </c>
      <c r="G3379" s="3" t="inlineStr">
        <is>
          <t>Derived formula</t>
        </is>
      </c>
      <c r="H3379" s="3" t="inlineStr">
        <is>
          <t>ai_it_load_gw * training_power_share</t>
        </is>
      </c>
      <c r="I3379" s="3" t="inlineStr">
        <is>
          <t>Training GW is shown separately so commercial inference token capacity is not overstated.</t>
        </is>
      </c>
      <c r="J3379" s="3" t="inlineStr">
        <is>
          <t>SRC_META_LLAMA; SRC_META_LLAMA4_NVIDIA; SRC_META_MTIA_GENAI_2026; SRC_EPOCH_AI_DATA_CENTERS</t>
        </is>
      </c>
      <c r="K3379" s="3" t="inlineStr">
        <is>
          <t>ASSUMP_CONSUMER_AI_UTILIZATION; ASSUMP_POWER_RAMP; ASSUMP_NUMERIC_ACCELERATOR_MIX; ASSUMP_INFERENCE_SHARE_NOT_FACT_60; ASSUMP_WORKLOAD_CLASS_MIX; ASSUMP_AGENTIC_CONTEXT_PENALTY</t>
        </is>
      </c>
      <c r="L3379" s="3" t="inlineStr">
        <is>
          <t>Recompute after AI allocation or workload-split evidence changes.</t>
        </is>
      </c>
    </row>
    <row r="3380">
      <c r="A3380" s="3" t="inlineStr">
        <is>
          <t>Meta</t>
        </is>
      </c>
      <c r="B3380" s="3" t="n">
        <v>2027</v>
      </c>
      <c r="C3380" s="3" t="inlineStr">
        <is>
          <t>Grid-Constrained / Efficiency-Upside</t>
        </is>
      </c>
      <c r="D3380" s="3" t="inlineStr">
        <is>
          <t>tokens_per_second_per_mw</t>
        </is>
      </c>
      <c r="E3380" s="3" t="n">
        <v>846954</v>
      </c>
      <c r="F3380" s="3" t="inlineStr">
        <is>
          <t>generated output tokens/sec/MW</t>
        </is>
      </c>
      <c r="G3380" s="3" t="inlineStr">
        <is>
          <t>Derived estimate + benchmark calibration</t>
        </is>
      </c>
      <c r="H3380" s="3" t="inlineStr">
        <is>
          <t>fleet_reference_tps_per_mw * commercial_workload_fit_factor</t>
        </is>
      </c>
      <c r="I3380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380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380" s="3" t="inlineStr">
        <is>
          <t>ASSUMP_CONSUMER_AI_UTILIZATION; ASSUMP_POWER_RAMP; ASSUMP_NUMERIC_ACCELERATOR_MIX; ASSUMP_INFERENCE_SHARE_NOT_FACT_60; ASSUMP_WORKLOAD_CLASS_MIX; ASSUMP_AGENTIC_CONTEXT_PENALTY</t>
        </is>
      </c>
      <c r="L3380" s="3" t="inlineStr">
        <is>
          <t>Comparable production output-token throughput with model, hardware, precision, ISL/OSL and SLO matched.</t>
        </is>
      </c>
    </row>
    <row r="3381">
      <c r="A3381" s="3" t="inlineStr">
        <is>
          <t>Meta</t>
        </is>
      </c>
      <c r="B3381" s="3" t="n">
        <v>2027</v>
      </c>
      <c r="C3381" s="3" t="inlineStr">
        <is>
          <t>Grid-Constrained / Efficiency-Upside</t>
        </is>
      </c>
      <c r="D3381" s="3" t="inlineStr">
        <is>
          <t>inference_tokens_per_day</t>
        </is>
      </c>
      <c r="E3381" s="3" t="n">
        <v>77347904659200</v>
      </c>
      <c r="F3381" s="3" t="inlineStr">
        <is>
          <t>generated output tokens/day</t>
        </is>
      </c>
      <c r="G3381" s="3" t="inlineStr">
        <is>
          <t>Derived headline metric</t>
        </is>
      </c>
      <c r="H3381" s="3" t="inlineStr">
        <is>
          <t>inference_gw * 1000 * tokens_per_second_per_mw * 86,400</t>
        </is>
      </c>
      <c r="I3381" s="3" t="inlineStr">
        <is>
          <t>Headline capacity uses no utilization, MoE, architecture or software-growth multiplier; it is not observed commercial output volume.</t>
        </is>
      </c>
      <c r="J3381" s="3" t="inlineStr">
        <is>
          <t>SRC_META_LLAMA; SRC_META_LLAMA4_NVIDIA; SRC_META_MTIA_GENAI_2026; SRC_EPOCH_AI_DATA_CENTERS; SRC_SEMIANALYSIS_INFERENCEX</t>
        </is>
      </c>
      <c r="K3381" s="3" t="inlineStr">
        <is>
          <t>ASSUMP_CONSUMER_AI_UTILIZATION; ASSUMP_POWER_RAMP; ASSUMP_NUMERIC_ACCELERATOR_MIX; ASSUMP_INFERENCE_SHARE_NOT_FACT_60; ASSUMP_WORKLOAD_CLASS_MIX; ASSUMP_AGENTIC_CONTEXT_PENALTY</t>
        </is>
      </c>
      <c r="L3381" s="3" t="inlineStr">
        <is>
          <t>Provider-disclosed generated output token volume or calibrated capacity telemetry.</t>
        </is>
      </c>
    </row>
    <row r="3382">
      <c r="A3382" s="3" t="inlineStr">
        <is>
          <t>Meta</t>
        </is>
      </c>
      <c r="B3382" s="3" t="n">
        <v>2027</v>
      </c>
      <c r="C3382" s="3" t="inlineStr">
        <is>
          <t>Grid-Constrained / Efficiency-Upside</t>
        </is>
      </c>
      <c r="D3382" s="3" t="inlineStr">
        <is>
          <t>inference_tokens_per_year</t>
        </is>
      </c>
      <c r="E3382" s="3" t="n">
        <v>2.8231985200608e+16</v>
      </c>
      <c r="F3382" s="3" t="inlineStr">
        <is>
          <t>generated output tokens/year</t>
        </is>
      </c>
      <c r="G3382" s="3" t="inlineStr">
        <is>
          <t>Derived headline metric</t>
        </is>
      </c>
      <c r="H3382" s="3" t="inlineStr">
        <is>
          <t>inference_tokens_per_day * 365</t>
        </is>
      </c>
      <c r="I3382" s="3" t="inlineStr">
        <is>
          <t>Annualized version of generated output token capacity; it is not observed annual demand or billable volume.</t>
        </is>
      </c>
      <c r="J3382" s="3" t="inlineStr">
        <is>
          <t>SRC_META_LLAMA; SRC_META_LLAMA4_NVIDIA; SRC_META_MTIA_GENAI_2026; SRC_EPOCH_AI_DATA_CENTERS; SRC_SEMIANALYSIS_INFERENCEX</t>
        </is>
      </c>
      <c r="K3382" s="3" t="inlineStr">
        <is>
          <t>ASSUMP_CONSUMER_AI_UTILIZATION; ASSUMP_POWER_RAMP; ASSUMP_NUMERIC_ACCELERATOR_MIX; ASSUMP_INFERENCE_SHARE_NOT_FACT_60; ASSUMP_WORKLOAD_CLASS_MIX; ASSUMP_AGENTIC_CONTEXT_PENALTY</t>
        </is>
      </c>
      <c r="L3382" s="3" t="inlineStr">
        <is>
          <t>Provider-disclosed annual generated-output volume or metered serving telemetry.</t>
        </is>
      </c>
    </row>
    <row r="3383">
      <c r="A3383" s="3" t="inlineStr">
        <is>
          <t>Meta</t>
        </is>
      </c>
      <c r="B3383" s="3" t="n">
        <v>2028</v>
      </c>
      <c r="C3383" s="3" t="inlineStr">
        <is>
          <t>Grid-Constrained / Efficiency-Upside</t>
        </is>
      </c>
      <c r="D3383" s="3" t="inlineStr">
        <is>
          <t>contracted_power_gw</t>
        </is>
      </c>
      <c r="E3383" s="3" t="n">
        <v>5.25</v>
      </c>
      <c r="F3383" s="3" t="inlineStr">
        <is>
          <t>GW</t>
        </is>
      </c>
      <c r="G3383" s="3" t="inlineStr">
        <is>
          <t>Scenario capacity envelope</t>
        </is>
      </c>
      <c r="H3383" s="3" t="inlineStr">
        <is>
          <t>linear interpolation between 2026 and 2030 company capacity endpoints</t>
        </is>
      </c>
      <c r="I3383" s="3" t="inlineStr">
        <is>
          <t>Scenario envelope for Meta AI/Llama serving capacity; not an official contracted-GW figure.</t>
        </is>
      </c>
      <c r="J3383" s="3" t="inlineStr">
        <is>
          <t>ASSUMP_POWER_RAMP; SRC_META_MTIA_GENAI_2026</t>
        </is>
      </c>
      <c r="K3383" s="3" t="inlineStr">
        <is>
          <t>ASSUMP_CONSUMER_AI_UTILIZATION; ASSUMP_POWER_RAMP; ASSUMP_NUMERIC_ACCELERATOR_MIX; ASSUMP_INFERENCE_SHARE_NOT_FACT_60; ASSUMP_WORKLOAD_CLASS_MIX; ASSUMP_AGENTIC_CONTEXT_PENALTY</t>
        </is>
      </c>
      <c r="L3383" s="3" t="inlineStr">
        <is>
          <t>Company/site-level committed MW/GW, interconnect and contract disclosure.</t>
        </is>
      </c>
    </row>
    <row r="3384">
      <c r="A3384" s="3" t="inlineStr">
        <is>
          <t>Meta</t>
        </is>
      </c>
      <c r="B3384" s="3" t="n">
        <v>2028</v>
      </c>
      <c r="C3384" s="3" t="inlineStr">
        <is>
          <t>Grid-Constrained / Efficiency-Upside</t>
        </is>
      </c>
      <c r="D3384" s="3" t="inlineStr">
        <is>
          <t>operational_deployment_share</t>
        </is>
      </c>
      <c r="E3384" s="3" t="n">
        <v>0.56380952</v>
      </c>
      <c r="F3384" s="3" t="inlineStr">
        <is>
          <t>share</t>
        </is>
      </c>
      <c r="G3384" s="3" t="inlineStr">
        <is>
          <t>Scenario conversion</t>
        </is>
      </c>
      <c r="H3384" s="3" t="inlineStr">
        <is>
          <t>active_power_gw / contracted_power_gw</t>
        </is>
      </c>
      <c r="I3384" s="3" t="inlineStr">
        <is>
          <t>This is the single explicit conversion from contracted/attributed capacity to operationally usable capacity.</t>
        </is>
      </c>
      <c r="J3384" s="3" t="inlineStr">
        <is>
          <t>ASSUMP_POWER_RAMP; SRC_META_MTIA_GENAI_2026</t>
        </is>
      </c>
      <c r="K3384" s="3" t="inlineStr">
        <is>
          <t>ASSUMP_CONSUMER_AI_UTILIZATION; ASSUMP_POWER_RAMP; ASSUMP_NUMERIC_ACCELERATOR_MIX; ASSUMP_INFERENCE_SHARE_NOT_FACT_60; ASSUMP_WORKLOAD_CLASS_MIX; ASSUMP_AGENTIC_CONTEXT_PENALTY</t>
        </is>
      </c>
      <c r="L3384" s="3" t="inlineStr">
        <is>
          <t>Energized operational capacity divided by contracted/attributed capacity.</t>
        </is>
      </c>
    </row>
    <row r="3385">
      <c r="A3385" s="3" t="inlineStr">
        <is>
          <t>Meta</t>
        </is>
      </c>
      <c r="B3385" s="3" t="n">
        <v>2028</v>
      </c>
      <c r="C3385" s="3" t="inlineStr">
        <is>
          <t>Grid-Constrained / Efficiency-Upside</t>
        </is>
      </c>
      <c r="D3385" s="3" t="inlineStr">
        <is>
          <t>active_power_gw</t>
        </is>
      </c>
      <c r="E3385" s="3" t="n">
        <v>2.96</v>
      </c>
      <c r="F3385" s="3" t="inlineStr">
        <is>
          <t>GW</t>
        </is>
      </c>
      <c r="G3385" s="3" t="inlineStr">
        <is>
          <t>Derived scenario</t>
        </is>
      </c>
      <c r="H3385" s="3" t="inlineStr">
        <is>
          <t>contracted_power_gw * operational_deployment_share</t>
        </is>
      </c>
      <c r="I3385" s="3" t="inlineStr">
        <is>
          <t>MTIA deployment direction and consumer product distribution support active ramp, not exact powered GW.</t>
        </is>
      </c>
      <c r="J3385" s="3" t="inlineStr">
        <is>
          <t>ASSUMP_POWER_RAMP; SRC_META_MTIA_GENAI_2026</t>
        </is>
      </c>
      <c r="K3385" s="3" t="inlineStr">
        <is>
          <t>ASSUMP_CONSUMER_AI_UTILIZATION; ASSUMP_POWER_RAMP; ASSUMP_NUMERIC_ACCELERATOR_MIX; ASSUMP_INFERENCE_SHARE_NOT_FACT_60; ASSUMP_WORKLOAD_CLASS_MIX; ASSUMP_AGENTIC_CONTEXT_PENALTY</t>
        </is>
      </c>
      <c r="L3385" s="3" t="inlineStr">
        <is>
          <t>Energization dates, accelerator deliveries and operational powered-rack telemetry.</t>
        </is>
      </c>
    </row>
    <row r="3386">
      <c r="A3386" s="3" t="inlineStr">
        <is>
          <t>Meta</t>
        </is>
      </c>
      <c r="B3386" s="3" t="n">
        <v>2028</v>
      </c>
      <c r="C3386" s="3" t="inlineStr">
        <is>
          <t>Grid-Constrained / Efficiency-Upside</t>
        </is>
      </c>
      <c r="D3386" s="3" t="inlineStr">
        <is>
          <t>pue</t>
        </is>
      </c>
      <c r="E3386" s="3" t="n">
        <v>1.2</v>
      </c>
      <c r="F3386" s="3" t="inlineStr">
        <is>
          <t>ratio</t>
        </is>
      </c>
      <c r="G3386" s="3" t="inlineStr">
        <is>
          <t>Scenario parameter</t>
        </is>
      </c>
      <c r="H3386" s="3" t="inlineStr">
        <is>
          <t>it_load_gw = active_power_gw / pue</t>
        </is>
      </c>
      <c r="I3386" s="3" t="inlineStr">
        <is>
          <t>No provider-wide site-level PUE is used as a disclosed fact; PUE represents facility-to-IT conversion within the scenario.</t>
        </is>
      </c>
      <c r="J3386" s="3" t="inlineStr">
        <is>
          <t>ASSUMP_POWER_RAMP</t>
        </is>
      </c>
      <c r="K3386" s="3" t="inlineStr">
        <is>
          <t>ASSUMP_CONSUMER_AI_UTILIZATION; ASSUMP_POWER_RAMP; ASSUMP_NUMERIC_ACCELERATOR_MIX; ASSUMP_INFERENCE_SHARE_NOT_FACT_60; ASSUMP_WORKLOAD_CLASS_MIX; ASSUMP_AGENTIC_CONTEXT_PENALTY</t>
        </is>
      </c>
      <c r="L3386" s="3" t="inlineStr">
        <is>
          <t>Site-level measured PUE matched to attributed AI capacity.</t>
        </is>
      </c>
    </row>
    <row r="3387">
      <c r="A3387" s="3" t="inlineStr">
        <is>
          <t>Meta</t>
        </is>
      </c>
      <c r="B3387" s="3" t="n">
        <v>2028</v>
      </c>
      <c r="C3387" s="3" t="inlineStr">
        <is>
          <t>Grid-Constrained / Efficiency-Upside</t>
        </is>
      </c>
      <c r="D3387" s="3" t="inlineStr">
        <is>
          <t>it_load_gw</t>
        </is>
      </c>
      <c r="E3387" s="3" t="n">
        <v>2.467</v>
      </c>
      <c r="F3387" s="3" t="inlineStr">
        <is>
          <t>GW</t>
        </is>
      </c>
      <c r="G3387" s="3" t="inlineStr">
        <is>
          <t>Derived formula</t>
        </is>
      </c>
      <c r="H3387" s="3" t="inlineStr">
        <is>
          <t>active_power_gw / pue</t>
        </is>
      </c>
      <c r="I3387" s="3" t="inlineStr">
        <is>
          <t>Facility power is converted to IT-deliverable power before attributing AI workloads.</t>
        </is>
      </c>
      <c r="J3387" s="3" t="inlineStr">
        <is>
          <t>ASSUMP_POWER_RAMP; SRC_META_MTIA_GENAI_2026</t>
        </is>
      </c>
      <c r="K3387" s="3" t="inlineStr">
        <is>
          <t>ASSUMP_CONSUMER_AI_UTILIZATION; ASSUMP_POWER_RAMP; ASSUMP_NUMERIC_ACCELERATOR_MIX; ASSUMP_INFERENCE_SHARE_NOT_FACT_60; ASSUMP_WORKLOAD_CLASS_MIX; ASSUMP_AGENTIC_CONTEXT_PENALTY</t>
        </is>
      </c>
      <c r="L3387" s="3" t="inlineStr">
        <is>
          <t>Recompute once active power and PUE become site-observable.</t>
        </is>
      </c>
    </row>
    <row r="3388">
      <c r="A3388" s="3" t="inlineStr">
        <is>
          <t>Meta</t>
        </is>
      </c>
      <c r="B3388" s="3" t="n">
        <v>2028</v>
      </c>
      <c r="C3388" s="3" t="inlineStr">
        <is>
          <t>Grid-Constrained / Efficiency-Upside</t>
        </is>
      </c>
      <c r="D3388" s="3" t="inlineStr">
        <is>
          <t>ai_workload_share</t>
        </is>
      </c>
      <c r="E3388" s="3" t="n">
        <v>0.87</v>
      </c>
      <c r="F3388" s="3" t="inlineStr">
        <is>
          <t>share</t>
        </is>
      </c>
      <c r="G3388" s="3" t="inlineStr">
        <is>
          <t>Scenario allocation</t>
        </is>
      </c>
      <c r="H3388" s="3" t="inlineStr">
        <is>
          <t>ai_it_load_gw = it_load_gw * ai_workload_share</t>
        </is>
      </c>
      <c r="I3388" s="3" t="inlineStr">
        <is>
          <t>The modeled fleet is focused on AI workloads across Meta AI surfaces; non-LLM ranking/platform overhead is excluded through the 87% share.</t>
        </is>
      </c>
      <c r="J3388" s="3" t="inlineStr">
        <is>
          <t>SRC_META_LLAMA; SRC_META_LLAMA4_NVIDIA; SRC_META_MTIA_GENAI_2026; SRC_EPOCH_AI_DATA_CENTERS</t>
        </is>
      </c>
      <c r="K3388" s="3" t="inlineStr">
        <is>
          <t>ASSUMP_CONSUMER_AI_UTILIZATION; ASSUMP_POWER_RAMP; ASSUMP_NUMERIC_ACCELERATOR_MIX; ASSUMP_INFERENCE_SHARE_NOT_FACT_60; ASSUMP_WORKLOAD_CLASS_MIX; ASSUMP_AGENTIC_CONTEXT_PENALTY</t>
        </is>
      </c>
      <c r="L3388" s="3" t="inlineStr">
        <is>
          <t>Model-owner AI workload allocation or cluster scheduling telemetry.</t>
        </is>
      </c>
    </row>
    <row r="3389">
      <c r="A3389" s="3" t="inlineStr">
        <is>
          <t>Meta</t>
        </is>
      </c>
      <c r="B3389" s="3" t="n">
        <v>2028</v>
      </c>
      <c r="C3389" s="3" t="inlineStr">
        <is>
          <t>Grid-Constrained / Efficiency-Upside</t>
        </is>
      </c>
      <c r="D3389" s="3" t="inlineStr">
        <is>
          <t>ai_it_load_gw</t>
        </is>
      </c>
      <c r="E3389" s="3" t="n">
        <v>2.146</v>
      </c>
      <c r="F3389" s="3" t="inlineStr">
        <is>
          <t>GW</t>
        </is>
      </c>
      <c r="G3389" s="3" t="inlineStr">
        <is>
          <t>Derived formula</t>
        </is>
      </c>
      <c r="H3389" s="3" t="inlineStr">
        <is>
          <t>it_load_gw * ai_workload_share</t>
        </is>
      </c>
      <c r="I3389" s="3" t="inlineStr">
        <is>
          <t>Only the AI-attributed portion of IT load enters training/inference allocation.</t>
        </is>
      </c>
      <c r="J3389" s="3" t="inlineStr">
        <is>
          <t>SRC_META_LLAMA; SRC_META_LLAMA4_NVIDIA; SRC_META_MTIA_GENAI_2026; SRC_EPOCH_AI_DATA_CENTERS</t>
        </is>
      </c>
      <c r="K3389" s="3" t="inlineStr">
        <is>
          <t>ASSUMP_CONSUMER_AI_UTILIZATION; ASSUMP_POWER_RAMP; ASSUMP_NUMERIC_ACCELERATOR_MIX; ASSUMP_INFERENCE_SHARE_NOT_FACT_60; ASSUMP_WORKLOAD_CLASS_MIX; ASSUMP_AGENTIC_CONTEXT_PENALTY</t>
        </is>
      </c>
      <c r="L3389" s="3" t="inlineStr">
        <is>
          <t>Recompute after ai_workload_share is replaced by telemetry.</t>
        </is>
      </c>
    </row>
    <row r="3390">
      <c r="A3390" s="3" t="inlineStr">
        <is>
          <t>Meta</t>
        </is>
      </c>
      <c r="B3390" s="3" t="n">
        <v>2028</v>
      </c>
      <c r="C3390" s="3" t="inlineStr">
        <is>
          <t>Grid-Constrained / Efficiency-Upside</t>
        </is>
      </c>
      <c r="D3390" s="3" t="inlineStr">
        <is>
          <t>gpu_share</t>
        </is>
      </c>
      <c r="E3390" s="3" t="n">
        <v>0.612306</v>
      </c>
      <c r="F3390" s="3" t="inlineStr">
        <is>
          <t>share of inference-serving accelerator load</t>
        </is>
      </c>
      <c r="G3390" s="3" t="inlineStr">
        <is>
          <t>Numeric scenario</t>
        </is>
      </c>
      <c r="H3390" s="3" t="inlineStr">
        <is>
          <t>gpu_share interpolated from company 2026/2030 accelerator-mix endpoints</t>
        </is>
      </c>
      <c r="I3390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90" s="3" t="inlineStr">
        <is>
          <t>SRC_META_LLAMA; SRC_META_LLAMA4_NVIDIA; SRC_META_MTIA_GENAI_2026; SRC_EPOCH_AI_DATA_CENTERS; ASSUMP_NUMERIC_ACCELERATOR_MIX</t>
        </is>
      </c>
      <c r="K3390" s="3" t="inlineStr">
        <is>
          <t>ASSUMP_CONSUMER_AI_UTILIZATION; ASSUMP_POWER_RAMP; ASSUMP_NUMERIC_ACCELERATOR_MIX; ASSUMP_INFERENCE_SHARE_NOT_FACT_60; ASSUMP_WORKLOAD_CLASS_MIX; ASSUMP_AGENTIC_CONTEXT_PENALTY</t>
        </is>
      </c>
      <c r="L3390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91">
      <c r="A3391" s="3" t="inlineStr">
        <is>
          <t>Meta</t>
        </is>
      </c>
      <c r="B3391" s="3" t="n">
        <v>2028</v>
      </c>
      <c r="C3391" s="3" t="inlineStr">
        <is>
          <t>Grid-Constrained / Efficiency-Upside</t>
        </is>
      </c>
      <c r="D3391" s="3" t="inlineStr">
        <is>
          <t>h200_share</t>
        </is>
      </c>
      <c r="E3391" s="3" t="n">
        <v>0</v>
      </c>
      <c r="F3391" s="3" t="inlineStr">
        <is>
          <t>share of inference-serving accelerator load</t>
        </is>
      </c>
      <c r="G3391" s="3" t="inlineStr">
        <is>
          <t>Editable numeric scenario</t>
        </is>
      </c>
      <c r="H3391" s="3" t="inlineStr">
        <is>
          <t>h200_share = gpu_share * default_gpu_generation_mix_h200</t>
        </is>
      </c>
      <c r="I3391" s="3" t="inlineStr">
        <is>
          <t>Default GPU-generation migration assumption; executive workbook allows later manual replacement by company/year/scenario.</t>
        </is>
      </c>
      <c r="J3391" s="3" t="inlineStr">
        <is>
          <t>SRC_SEMIANALYSIS_INFERENCEX; ASSUMP_NUMERIC_ACCELERATOR_MIX</t>
        </is>
      </c>
      <c r="K3391" s="3" t="inlineStr">
        <is>
          <t>ASSUMP_CONSUMER_AI_UTILIZATION; ASSUMP_POWER_RAMP; ASSUMP_NUMERIC_ACCELERATOR_MIX; ASSUMP_INFERENCE_SHARE_NOT_FACT_60; ASSUMP_WORKLOAD_CLASS_MIX; ASSUMP_AGENTIC_CONTEXT_PENALTY</t>
        </is>
      </c>
      <c r="L3391" s="3" t="inlineStr">
        <is>
          <t>Company fleet inventory, accelerator-hours or procurement/deployment records by GPU generation.</t>
        </is>
      </c>
    </row>
    <row r="3392">
      <c r="A3392" s="3" t="inlineStr">
        <is>
          <t>Meta</t>
        </is>
      </c>
      <c r="B3392" s="3" t="n">
        <v>2028</v>
      </c>
      <c r="C3392" s="3" t="inlineStr">
        <is>
          <t>Grid-Constrained / Efficiency-Upside</t>
        </is>
      </c>
      <c r="D3392" s="3" t="inlineStr">
        <is>
          <t>b200_share</t>
        </is>
      </c>
      <c r="E3392" s="3" t="n">
        <v>0.612306</v>
      </c>
      <c r="F3392" s="3" t="inlineStr">
        <is>
          <t>share of inference-serving accelerator load</t>
        </is>
      </c>
      <c r="G3392" s="3" t="inlineStr">
        <is>
          <t>Editable numeric scenario</t>
        </is>
      </c>
      <c r="H3392" s="3" t="inlineStr">
        <is>
          <t>b200_share = gpu_share * default_gpu_generation_mix_b200</t>
        </is>
      </c>
      <c r="I3392" s="3" t="inlineStr">
        <is>
          <t>Default GPU-generation migration assumption; executive workbook allows later manual replacement by company/year/scenario.</t>
        </is>
      </c>
      <c r="J3392" s="3" t="inlineStr">
        <is>
          <t>SRC_SEMIANALYSIS_INFERENCEX; ASSUMP_NUMERIC_ACCELERATOR_MIX</t>
        </is>
      </c>
      <c r="K3392" s="3" t="inlineStr">
        <is>
          <t>ASSUMP_CONSUMER_AI_UTILIZATION; ASSUMP_POWER_RAMP; ASSUMP_NUMERIC_ACCELERATOR_MIX; ASSUMP_INFERENCE_SHARE_NOT_FACT_60; ASSUMP_WORKLOAD_CLASS_MIX; ASSUMP_AGENTIC_CONTEXT_PENALTY</t>
        </is>
      </c>
      <c r="L3392" s="3" t="inlineStr">
        <is>
          <t>Company fleet inventory, accelerator-hours or procurement/deployment records by GPU generation.</t>
        </is>
      </c>
    </row>
    <row r="3393">
      <c r="A3393" s="3" t="inlineStr">
        <is>
          <t>Meta</t>
        </is>
      </c>
      <c r="B3393" s="3" t="n">
        <v>2028</v>
      </c>
      <c r="C3393" s="3" t="inlineStr">
        <is>
          <t>Grid-Constrained / Efficiency-Upside</t>
        </is>
      </c>
      <c r="D3393" s="3" t="inlineStr">
        <is>
          <t>gb200_share</t>
        </is>
      </c>
      <c r="E3393" s="3" t="n">
        <v>0</v>
      </c>
      <c r="F3393" s="3" t="inlineStr">
        <is>
          <t>share of inference-serving accelerator load</t>
        </is>
      </c>
      <c r="G3393" s="3" t="inlineStr">
        <is>
          <t>Editable numeric scenario</t>
        </is>
      </c>
      <c r="H3393" s="3" t="inlineStr">
        <is>
          <t>gb200_share = gpu_share * default_gpu_generation_mix_gb200</t>
        </is>
      </c>
      <c r="I3393" s="3" t="inlineStr">
        <is>
          <t>Default GPU-generation migration assumption; executive workbook allows later manual replacement by company/year/scenario.</t>
        </is>
      </c>
      <c r="J3393" s="3" t="inlineStr">
        <is>
          <t>SRC_SEMIANALYSIS_INFERENCEX; ASSUMP_NUMERIC_ACCELERATOR_MIX</t>
        </is>
      </c>
      <c r="K3393" s="3" t="inlineStr">
        <is>
          <t>ASSUMP_CONSUMER_AI_UTILIZATION; ASSUMP_POWER_RAMP; ASSUMP_NUMERIC_ACCELERATOR_MIX; ASSUMP_INFERENCE_SHARE_NOT_FACT_60; ASSUMP_WORKLOAD_CLASS_MIX; ASSUMP_AGENTIC_CONTEXT_PENALTY</t>
        </is>
      </c>
      <c r="L3393" s="3" t="inlineStr">
        <is>
          <t>Company fleet inventory, accelerator-hours or procurement/deployment records by GPU generation.</t>
        </is>
      </c>
    </row>
    <row r="3394">
      <c r="A3394" s="3" t="inlineStr">
        <is>
          <t>Meta</t>
        </is>
      </c>
      <c r="B3394" s="3" t="n">
        <v>2028</v>
      </c>
      <c r="C3394" s="3" t="inlineStr">
        <is>
          <t>Grid-Constrained / Efficiency-Upside</t>
        </is>
      </c>
      <c r="D3394" s="3" t="inlineStr">
        <is>
          <t>purpose_built_accelerator_share</t>
        </is>
      </c>
      <c r="E3394" s="3" t="n">
        <v>0.387694</v>
      </c>
      <c r="F3394" s="3" t="inlineStr">
        <is>
          <t>share of inference-serving accelerator load</t>
        </is>
      </c>
      <c r="G3394" s="3" t="inlineStr">
        <is>
          <t>Numeric scenario</t>
        </is>
      </c>
      <c r="H3394" s="3" t="inlineStr">
        <is>
          <t>1 - gpu_share</t>
        </is>
      </c>
      <c r="I3394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394" s="3" t="inlineStr">
        <is>
          <t>SRC_META_LLAMA; SRC_META_LLAMA4_NVIDIA; SRC_META_MTIA_GENAI_2026; SRC_EPOCH_AI_DATA_CENTERS; ASSUMP_NUMERIC_ACCELERATOR_MIX</t>
        </is>
      </c>
      <c r="K3394" s="3" t="inlineStr">
        <is>
          <t>ASSUMP_CONSUMER_AI_UTILIZATION; ASSUMP_POWER_RAMP; ASSUMP_NUMERIC_ACCELERATOR_MIX; ASSUMP_INFERENCE_SHARE_NOT_FACT_60; ASSUMP_WORKLOAD_CLASS_MIX; ASSUMP_AGENTIC_CONTEXT_PENALTY</t>
        </is>
      </c>
      <c r="L3394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395">
      <c r="A3395" s="3" t="inlineStr">
        <is>
          <t>Meta</t>
        </is>
      </c>
      <c r="B3395" s="3" t="n">
        <v>2028</v>
      </c>
      <c r="C3395" s="3" t="inlineStr">
        <is>
          <t>Grid-Constrained / Efficiency-Upside</t>
        </is>
      </c>
      <c r="D3395" s="3" t="inlineStr">
        <is>
          <t>fleet_reference_tps_per_mw</t>
        </is>
      </c>
      <c r="E3395" s="3" t="n">
        <v>941060</v>
      </c>
      <c r="F3395" s="3" t="inlineStr">
        <is>
          <t>generated output tokens/sec/MW</t>
        </is>
      </c>
      <c r="G3395" s="3" t="inlineStr">
        <is>
          <t>Fleet-weighted public benchmark reference</t>
        </is>
      </c>
      <c r="H3395" s="3" t="inlineStr">
        <is>
          <t>h200_share*h200_workload_avg + b200_share*b200_workload_avg + gb200_share*gb200_workload_avg + purpose_built_share*purpose_workload_avg</t>
        </is>
      </c>
      <c r="I3395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395" s="3" t="inlineStr">
        <is>
          <t>SRC_SEMIANALYSIS_INFERENCEX; ASSUMP_NUMERIC_ACCELERATOR_MIX; ASSUMP_WORKLOAD_CLASS_MIX; ASSUMP_AGENTIC_CONTEXT_PENALTY</t>
        </is>
      </c>
      <c r="K3395" s="3" t="inlineStr">
        <is>
          <t>ASSUMP_CONSUMER_AI_UTILIZATION; ASSUMP_POWER_RAMP; ASSUMP_NUMERIC_ACCELERATOR_MIX; ASSUMP_INFERENCE_SHARE_NOT_FACT_60; ASSUMP_WORKLOAD_CLASS_MIX; ASSUMP_AGENTIC_CONTEXT_PENALTY</t>
        </is>
      </c>
      <c r="L3395" s="3" t="inlineStr">
        <is>
          <t>Comparable production output-token throughput or a more closely matched benchmark.</t>
        </is>
      </c>
    </row>
    <row r="3396">
      <c r="A3396" s="3" t="inlineStr">
        <is>
          <t>Meta</t>
        </is>
      </c>
      <c r="B3396" s="3" t="n">
        <v>2028</v>
      </c>
      <c r="C3396" s="3" t="inlineStr">
        <is>
          <t>Grid-Constrained / Efficiency-Upside</t>
        </is>
      </c>
      <c r="D3396" s="3" t="inlineStr">
        <is>
          <t>commercial_workload_fit_factor</t>
        </is>
      </c>
      <c r="E3396" s="3" t="n">
        <v>0.9</v>
      </c>
      <c r="F3396" s="3" t="inlineStr">
        <is>
          <t>share of public reference throughput</t>
        </is>
      </c>
      <c r="G3396" s="3" t="inlineStr">
        <is>
          <t>Scenario assumption</t>
        </is>
      </c>
      <c r="H3396" s="3" t="inlineStr">
        <is>
          <t>reference_serving_tps_per_mw = fleet_reference_tps_per_mw * commercial_workload_fit_factor</t>
        </is>
      </c>
      <c r="I3396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396" s="3" t="inlineStr">
        <is>
          <t>SRC_SEMIANALYSIS_INFERENCEX; ASSUMP_NUMERIC_ACCELERATOR_MIX; ASSUMP_WORKLOAD_CLASS_MIX; ASSUMP_AGENTIC_CONTEXT_PENALTY</t>
        </is>
      </c>
      <c r="K3396" s="3" t="inlineStr">
        <is>
          <t>ASSUMP_CONSUMER_AI_UTILIZATION; ASSUMP_POWER_RAMP; ASSUMP_NUMERIC_ACCELERATOR_MIX; ASSUMP_INFERENCE_SHARE_NOT_FACT_60; ASSUMP_WORKLOAD_CLASS_MIX; ASSUMP_AGENTIC_CONTEXT_PENALTY</t>
        </is>
      </c>
      <c r="L3396" s="3" t="inlineStr">
        <is>
          <t>Matched commercial serving benchmark by product surface, context shape and latency SLO.</t>
        </is>
      </c>
    </row>
    <row r="3397">
      <c r="A3397" s="3" t="inlineStr">
        <is>
          <t>Meta</t>
        </is>
      </c>
      <c r="B3397" s="3" t="n">
        <v>2028</v>
      </c>
      <c r="C3397" s="3" t="inlineStr">
        <is>
          <t>Grid-Constrained / Efficiency-Upside</t>
        </is>
      </c>
      <c r="D3397" s="3" t="inlineStr">
        <is>
          <t>reference_serving_tps_per_mw</t>
        </is>
      </c>
      <c r="E3397" s="3" t="n">
        <v>846954</v>
      </c>
      <c r="F3397" s="3" t="inlineStr">
        <is>
          <t>generated output tokens/sec/MW</t>
        </is>
      </c>
      <c r="G3397" s="3" t="inlineStr">
        <is>
          <t>Workload-adjusted benchmark proxy</t>
        </is>
      </c>
      <c r="H3397" s="3" t="inlineStr">
        <is>
          <t>fleet_reference_tps_per_mw * commercial_workload_fit_factor</t>
        </is>
      </c>
      <c r="I3397" s="3" t="inlineStr">
        <is>
          <t>This is the coefficient used for headline token generation; each GPU's short chat, long chat and agentic TPS/MW are weighted before fleet mix and commercial fit are applied.</t>
        </is>
      </c>
      <c r="J3397" s="3" t="inlineStr">
        <is>
          <t>SRC_SEMIANALYSIS_INFERENCEX; ASSUMP_NUMERIC_ACCELERATOR_MIX; ASSUMP_WORKLOAD_CLASS_MIX; ASSUMP_AGENTIC_CONTEXT_PENALTY</t>
        </is>
      </c>
      <c r="K3397" s="3" t="inlineStr">
        <is>
          <t>ASSUMP_CONSUMER_AI_UTILIZATION; ASSUMP_POWER_RAMP; ASSUMP_NUMERIC_ACCELERATOR_MIX; ASSUMP_INFERENCE_SHARE_NOT_FACT_60; ASSUMP_WORKLOAD_CLASS_MIX; ASSUMP_AGENTIC_CONTEXT_PENALTY</t>
        </is>
      </c>
      <c r="L3397" s="3" t="inlineStr">
        <is>
          <t>Provider production output-token throughput with comparable workload/SLO.</t>
        </is>
      </c>
    </row>
    <row r="3398">
      <c r="A3398" s="3" t="inlineStr">
        <is>
          <t>Meta</t>
        </is>
      </c>
      <c r="B3398" s="3" t="n">
        <v>2028</v>
      </c>
      <c r="C3398" s="3" t="inlineStr">
        <is>
          <t>Grid-Constrained / Efficiency-Upside</t>
        </is>
      </c>
      <c r="D3398" s="3" t="inlineStr">
        <is>
          <t>purpose_built_tps_per_mw</t>
        </is>
      </c>
      <c r="E3398" s="3" t="n">
        <v>1105664</v>
      </c>
      <c r="F3398" s="3" t="inlineStr">
        <is>
          <t>generated output tokens/sec/MW</t>
        </is>
      </c>
      <c r="G3398" s="3" t="inlineStr">
        <is>
          <t>Conservative no-uplift proxy</t>
        </is>
      </c>
      <c r="H3398" s="3" t="inlineStr">
        <is>
          <t>purpose_built_tps_per_mw = purpose_built_reference_tps_per_mw * commercial_workload_fit_factor until comparable output-token benchmark is adopted</t>
        </is>
      </c>
      <c r="I3398" s="3" t="inlineStr">
        <is>
          <t>No comparable public output-token/MW row adopted; B200 public reference placeholder is used and remains editable.</t>
        </is>
      </c>
      <c r="J3398" s="3" t="inlineStr">
        <is>
          <t>SRC_META_LLAMA; SRC_META_LLAMA4_NVIDIA; SRC_META_MTIA_GENAI_2026; SRC_EPOCH_AI_DATA_CENTERS; ASSUMP_NUMERIC_ACCELERATOR_MIX</t>
        </is>
      </c>
      <c r="K3398" s="3" t="inlineStr">
        <is>
          <t>ASSUMP_CONSUMER_AI_UTILIZATION; ASSUMP_POWER_RAMP; ASSUMP_NUMERIC_ACCELERATOR_MIX; ASSUMP_INFERENCE_SHARE_NOT_FACT_60; ASSUMP_WORKLOAD_CLASS_MIX; ASSUMP_AGENTIC_CONTEXT_PENALTY</t>
        </is>
      </c>
      <c r="L3398" s="3" t="inlineStr">
        <is>
          <t>Matched-workload generated-output benchmark for the provider purpose-built accelerator.</t>
        </is>
      </c>
    </row>
    <row r="3399">
      <c r="A3399" s="3" t="inlineStr">
        <is>
          <t>Meta</t>
        </is>
      </c>
      <c r="B3399" s="3" t="n">
        <v>2028</v>
      </c>
      <c r="C3399" s="3" t="inlineStr">
        <is>
          <t>Grid-Constrained / Efficiency-Upside</t>
        </is>
      </c>
      <c r="D3399" s="3" t="inlineStr">
        <is>
          <t>inference_power_share</t>
        </is>
      </c>
      <c r="E3399" s="3" t="n">
        <v>0.71</v>
      </c>
      <c r="F3399" s="3" t="inlineStr">
        <is>
          <t>share of AI IT load</t>
        </is>
      </c>
      <c r="G3399" s="3" t="inlineStr">
        <is>
          <t>Scenario allocation</t>
        </is>
      </c>
      <c r="H3399" s="3" t="inlineStr">
        <is>
          <t>inference_gw = ai_it_load_gw * inference_power_share</t>
        </is>
      </c>
      <c r="I3399" s="3" t="inlineStr">
        <is>
          <t>Large consumer AI distribution and inference-first MTIA roadmap support a higher inference share scenario.</t>
        </is>
      </c>
      <c r="J3399" s="3" t="inlineStr">
        <is>
          <t>SRC_META_LLAMA; SRC_META_LLAMA4_NVIDIA; SRC_META_MTIA_GENAI_2026; SRC_EPOCH_AI_DATA_CENTERS; ASSUMP_INFERENCE_SHARE_NOT_FACT_60</t>
        </is>
      </c>
      <c r="K3399" s="3" t="inlineStr">
        <is>
          <t>ASSUMP_CONSUMER_AI_UTILIZATION; ASSUMP_POWER_RAMP; ASSUMP_NUMERIC_ACCELERATOR_MIX; ASSUMP_INFERENCE_SHARE_NOT_FACT_60; ASSUMP_WORKLOAD_CLASS_MIX; ASSUMP_AGENTIC_CONTEXT_PENALTY</t>
        </is>
      </c>
      <c r="L3399" s="3" t="inlineStr">
        <is>
          <t>Provider-specific inference/training workload power telemetry.</t>
        </is>
      </c>
    </row>
    <row r="3400">
      <c r="A3400" s="3" t="inlineStr">
        <is>
          <t>Meta</t>
        </is>
      </c>
      <c r="B3400" s="3" t="n">
        <v>2028</v>
      </c>
      <c r="C3400" s="3" t="inlineStr">
        <is>
          <t>Grid-Constrained / Efficiency-Upside</t>
        </is>
      </c>
      <c r="D3400" s="3" t="inlineStr">
        <is>
          <t>inference_gw</t>
        </is>
      </c>
      <c r="E3400" s="3" t="n">
        <v>1.524</v>
      </c>
      <c r="F3400" s="3" t="inlineStr">
        <is>
          <t>GW</t>
        </is>
      </c>
      <c r="G3400" s="3" t="inlineStr">
        <is>
          <t>Derived formula</t>
        </is>
      </c>
      <c r="H3400" s="3" t="inlineStr">
        <is>
          <t>ai_it_load_gw * inference_power_share</t>
        </is>
      </c>
      <c r="I3400" s="3" t="inlineStr">
        <is>
          <t>This is the operational power eligible to become commercial generated output tokens through the selected TPS/MW proxy.</t>
        </is>
      </c>
      <c r="J3400" s="3" t="inlineStr">
        <is>
          <t>SRC_META_LLAMA; SRC_META_LLAMA4_NVIDIA; SRC_META_MTIA_GENAI_2026; SRC_EPOCH_AI_DATA_CENTERS</t>
        </is>
      </c>
      <c r="K3400" s="3" t="inlineStr">
        <is>
          <t>ASSUMP_CONSUMER_AI_UTILIZATION; ASSUMP_POWER_RAMP; ASSUMP_NUMERIC_ACCELERATOR_MIX; ASSUMP_INFERENCE_SHARE_NOT_FACT_60; ASSUMP_WORKLOAD_CLASS_MIX; ASSUMP_AGENTIC_CONTEXT_PENALTY</t>
        </is>
      </c>
      <c r="L3400" s="3" t="inlineStr">
        <is>
          <t>Recompute after AI allocation or inference-share evidence changes.</t>
        </is>
      </c>
    </row>
    <row r="3401">
      <c r="A3401" s="3" t="inlineStr">
        <is>
          <t>Meta</t>
        </is>
      </c>
      <c r="B3401" s="3" t="n">
        <v>2028</v>
      </c>
      <c r="C3401" s="3" t="inlineStr">
        <is>
          <t>Grid-Constrained / Efficiency-Upside</t>
        </is>
      </c>
      <c r="D3401" s="3" t="inlineStr">
        <is>
          <t>training_power_share</t>
        </is>
      </c>
      <c r="E3401" s="3" t="n">
        <v>0.29</v>
      </c>
      <c r="F3401" s="3" t="inlineStr">
        <is>
          <t>share of AI IT load</t>
        </is>
      </c>
      <c r="G3401" s="3" t="inlineStr">
        <is>
          <t>Derived allocation</t>
        </is>
      </c>
      <c r="H3401" s="3" t="inlineStr">
        <is>
          <t>1 - inference_power_share</t>
        </is>
      </c>
      <c r="I3401" s="3" t="inlineStr">
        <is>
          <t>Training receives the complementary modeled AI IT allocation; it is not a disclosed company workload split.</t>
        </is>
      </c>
      <c r="J3401" s="3" t="inlineStr">
        <is>
          <t>SRC_META_LLAMA; SRC_META_LLAMA4_NVIDIA; SRC_META_MTIA_GENAI_2026; SRC_EPOCH_AI_DATA_CENTERS; ASSUMP_INFERENCE_SHARE_NOT_FACT_60</t>
        </is>
      </c>
      <c r="K3401" s="3" t="inlineStr">
        <is>
          <t>ASSUMP_CONSUMER_AI_UTILIZATION; ASSUMP_POWER_RAMP; ASSUMP_NUMERIC_ACCELERATOR_MIX; ASSUMP_INFERENCE_SHARE_NOT_FACT_60; ASSUMP_WORKLOAD_CLASS_MIX; ASSUMP_AGENTIC_CONTEXT_PENALTY</t>
        </is>
      </c>
      <c r="L3401" s="3" t="inlineStr">
        <is>
          <t>Provider-specific inference/training workload power telemetry.</t>
        </is>
      </c>
    </row>
    <row r="3402">
      <c r="A3402" s="3" t="inlineStr">
        <is>
          <t>Meta</t>
        </is>
      </c>
      <c r="B3402" s="3" t="n">
        <v>2028</v>
      </c>
      <c r="C3402" s="3" t="inlineStr">
        <is>
          <t>Grid-Constrained / Efficiency-Upside</t>
        </is>
      </c>
      <c r="D3402" s="3" t="inlineStr">
        <is>
          <t>training_gw</t>
        </is>
      </c>
      <c r="E3402" s="3" t="n">
        <v>0.622</v>
      </c>
      <c r="F3402" s="3" t="inlineStr">
        <is>
          <t>GW</t>
        </is>
      </c>
      <c r="G3402" s="3" t="inlineStr">
        <is>
          <t>Derived formula</t>
        </is>
      </c>
      <c r="H3402" s="3" t="inlineStr">
        <is>
          <t>ai_it_load_gw * training_power_share</t>
        </is>
      </c>
      <c r="I3402" s="3" t="inlineStr">
        <is>
          <t>Training GW is shown separately so commercial inference token capacity is not overstated.</t>
        </is>
      </c>
      <c r="J3402" s="3" t="inlineStr">
        <is>
          <t>SRC_META_LLAMA; SRC_META_LLAMA4_NVIDIA; SRC_META_MTIA_GENAI_2026; SRC_EPOCH_AI_DATA_CENTERS</t>
        </is>
      </c>
      <c r="K3402" s="3" t="inlineStr">
        <is>
          <t>ASSUMP_CONSUMER_AI_UTILIZATION; ASSUMP_POWER_RAMP; ASSUMP_NUMERIC_ACCELERATOR_MIX; ASSUMP_INFERENCE_SHARE_NOT_FACT_60; ASSUMP_WORKLOAD_CLASS_MIX; ASSUMP_AGENTIC_CONTEXT_PENALTY</t>
        </is>
      </c>
      <c r="L3402" s="3" t="inlineStr">
        <is>
          <t>Recompute after AI allocation or workload-split evidence changes.</t>
        </is>
      </c>
    </row>
    <row r="3403">
      <c r="A3403" s="3" t="inlineStr">
        <is>
          <t>Meta</t>
        </is>
      </c>
      <c r="B3403" s="3" t="n">
        <v>2028</v>
      </c>
      <c r="C3403" s="3" t="inlineStr">
        <is>
          <t>Grid-Constrained / Efficiency-Upside</t>
        </is>
      </c>
      <c r="D3403" s="3" t="inlineStr">
        <is>
          <t>tokens_per_second_per_mw</t>
        </is>
      </c>
      <c r="E3403" s="3" t="n">
        <v>846954</v>
      </c>
      <c r="F3403" s="3" t="inlineStr">
        <is>
          <t>generated output tokens/sec/MW</t>
        </is>
      </c>
      <c r="G3403" s="3" t="inlineStr">
        <is>
          <t>Derived estimate + benchmark calibration</t>
        </is>
      </c>
      <c r="H3403" s="3" t="inlineStr">
        <is>
          <t>fleet_reference_tps_per_mw * commercial_workload_fit_factor</t>
        </is>
      </c>
      <c r="I3403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03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03" s="3" t="inlineStr">
        <is>
          <t>ASSUMP_CONSUMER_AI_UTILIZATION; ASSUMP_POWER_RAMP; ASSUMP_NUMERIC_ACCELERATOR_MIX; ASSUMP_INFERENCE_SHARE_NOT_FACT_60; ASSUMP_WORKLOAD_CLASS_MIX; ASSUMP_AGENTIC_CONTEXT_PENALTY</t>
        </is>
      </c>
      <c r="L3403" s="3" t="inlineStr">
        <is>
          <t>Comparable production output-token throughput with model, hardware, precision, ISL/OSL and SLO matched.</t>
        </is>
      </c>
    </row>
    <row r="3404">
      <c r="A3404" s="3" t="inlineStr">
        <is>
          <t>Meta</t>
        </is>
      </c>
      <c r="B3404" s="3" t="n">
        <v>2028</v>
      </c>
      <c r="C3404" s="3" t="inlineStr">
        <is>
          <t>Grid-Constrained / Efficiency-Upside</t>
        </is>
      </c>
      <c r="D3404" s="3" t="inlineStr">
        <is>
          <t>inference_tokens_per_day</t>
        </is>
      </c>
      <c r="E3404" s="3" t="n">
        <v>111521482214400</v>
      </c>
      <c r="F3404" s="3" t="inlineStr">
        <is>
          <t>generated output tokens/day</t>
        </is>
      </c>
      <c r="G3404" s="3" t="inlineStr">
        <is>
          <t>Derived headline metric</t>
        </is>
      </c>
      <c r="H3404" s="3" t="inlineStr">
        <is>
          <t>inference_gw * 1000 * tokens_per_second_per_mw * 86,400</t>
        </is>
      </c>
      <c r="I3404" s="3" t="inlineStr">
        <is>
          <t>Headline capacity uses no utilization, MoE, architecture or software-growth multiplier; it is not observed commercial output volume.</t>
        </is>
      </c>
      <c r="J3404" s="3" t="inlineStr">
        <is>
          <t>SRC_META_LLAMA; SRC_META_LLAMA4_NVIDIA; SRC_META_MTIA_GENAI_2026; SRC_EPOCH_AI_DATA_CENTERS; SRC_SEMIANALYSIS_INFERENCEX</t>
        </is>
      </c>
      <c r="K3404" s="3" t="inlineStr">
        <is>
          <t>ASSUMP_CONSUMER_AI_UTILIZATION; ASSUMP_POWER_RAMP; ASSUMP_NUMERIC_ACCELERATOR_MIX; ASSUMP_INFERENCE_SHARE_NOT_FACT_60; ASSUMP_WORKLOAD_CLASS_MIX; ASSUMP_AGENTIC_CONTEXT_PENALTY</t>
        </is>
      </c>
      <c r="L3404" s="3" t="inlineStr">
        <is>
          <t>Provider-disclosed generated output token volume or calibrated capacity telemetry.</t>
        </is>
      </c>
    </row>
    <row r="3405">
      <c r="A3405" s="3" t="inlineStr">
        <is>
          <t>Meta</t>
        </is>
      </c>
      <c r="B3405" s="3" t="n">
        <v>2028</v>
      </c>
      <c r="C3405" s="3" t="inlineStr">
        <is>
          <t>Grid-Constrained / Efficiency-Upside</t>
        </is>
      </c>
      <c r="D3405" s="3" t="inlineStr">
        <is>
          <t>inference_tokens_per_year</t>
        </is>
      </c>
      <c r="E3405" s="3" t="n">
        <v>4.0705341008256e+16</v>
      </c>
      <c r="F3405" s="3" t="inlineStr">
        <is>
          <t>generated output tokens/year</t>
        </is>
      </c>
      <c r="G3405" s="3" t="inlineStr">
        <is>
          <t>Derived headline metric</t>
        </is>
      </c>
      <c r="H3405" s="3" t="inlineStr">
        <is>
          <t>inference_tokens_per_day * 365</t>
        </is>
      </c>
      <c r="I3405" s="3" t="inlineStr">
        <is>
          <t>Annualized version of generated output token capacity; it is not observed annual demand or billable volume.</t>
        </is>
      </c>
      <c r="J3405" s="3" t="inlineStr">
        <is>
          <t>SRC_META_LLAMA; SRC_META_LLAMA4_NVIDIA; SRC_META_MTIA_GENAI_2026; SRC_EPOCH_AI_DATA_CENTERS; SRC_SEMIANALYSIS_INFERENCEX</t>
        </is>
      </c>
      <c r="K3405" s="3" t="inlineStr">
        <is>
          <t>ASSUMP_CONSUMER_AI_UTILIZATION; ASSUMP_POWER_RAMP; ASSUMP_NUMERIC_ACCELERATOR_MIX; ASSUMP_INFERENCE_SHARE_NOT_FACT_60; ASSUMP_WORKLOAD_CLASS_MIX; ASSUMP_AGENTIC_CONTEXT_PENALTY</t>
        </is>
      </c>
      <c r="L3405" s="3" t="inlineStr">
        <is>
          <t>Provider-disclosed annual generated-output volume or metered serving telemetry.</t>
        </is>
      </c>
    </row>
    <row r="3406">
      <c r="A3406" s="3" t="inlineStr">
        <is>
          <t>Meta</t>
        </is>
      </c>
      <c r="B3406" s="3" t="n">
        <v>2029</v>
      </c>
      <c r="C3406" s="3" t="inlineStr">
        <is>
          <t>Grid-Constrained / Efficiency-Upside</t>
        </is>
      </c>
      <c r="D3406" s="3" t="inlineStr">
        <is>
          <t>contracted_power_gw</t>
        </is>
      </c>
      <c r="E3406" s="3" t="n">
        <v>6.125</v>
      </c>
      <c r="F3406" s="3" t="inlineStr">
        <is>
          <t>GW</t>
        </is>
      </c>
      <c r="G3406" s="3" t="inlineStr">
        <is>
          <t>Scenario capacity envelope</t>
        </is>
      </c>
      <c r="H3406" s="3" t="inlineStr">
        <is>
          <t>linear interpolation between 2026 and 2030 company capacity endpoints</t>
        </is>
      </c>
      <c r="I3406" s="3" t="inlineStr">
        <is>
          <t>Scenario envelope for Meta AI/Llama serving capacity; not an official contracted-GW figure.</t>
        </is>
      </c>
      <c r="J3406" s="3" t="inlineStr">
        <is>
          <t>ASSUMP_POWER_RAMP; SRC_META_MTIA_GENAI_2026</t>
        </is>
      </c>
      <c r="K3406" s="3" t="inlineStr">
        <is>
          <t>ASSUMP_CONSUMER_AI_UTILIZATION; ASSUMP_POWER_RAMP; ASSUMP_NUMERIC_ACCELERATOR_MIX; ASSUMP_INFERENCE_SHARE_NOT_FACT_60; ASSUMP_WORKLOAD_CLASS_MIX; ASSUMP_AGENTIC_CONTEXT_PENALTY</t>
        </is>
      </c>
      <c r="L3406" s="3" t="inlineStr">
        <is>
          <t>Company/site-level committed MW/GW, interconnect and contract disclosure.</t>
        </is>
      </c>
    </row>
    <row r="3407">
      <c r="A3407" s="3" t="inlineStr">
        <is>
          <t>Meta</t>
        </is>
      </c>
      <c r="B3407" s="3" t="n">
        <v>2029</v>
      </c>
      <c r="C3407" s="3" t="inlineStr">
        <is>
          <t>Grid-Constrained / Efficiency-Upside</t>
        </is>
      </c>
      <c r="D3407" s="3" t="inlineStr">
        <is>
          <t>operational_deployment_share</t>
        </is>
      </c>
      <c r="E3407" s="3" t="n">
        <v>0.58938776</v>
      </c>
      <c r="F3407" s="3" t="inlineStr">
        <is>
          <t>share</t>
        </is>
      </c>
      <c r="G3407" s="3" t="inlineStr">
        <is>
          <t>Scenario conversion</t>
        </is>
      </c>
      <c r="H3407" s="3" t="inlineStr">
        <is>
          <t>active_power_gw / contracted_power_gw</t>
        </is>
      </c>
      <c r="I3407" s="3" t="inlineStr">
        <is>
          <t>This is the single explicit conversion from contracted/attributed capacity to operationally usable capacity.</t>
        </is>
      </c>
      <c r="J3407" s="3" t="inlineStr">
        <is>
          <t>ASSUMP_POWER_RAMP; SRC_META_MTIA_GENAI_2026</t>
        </is>
      </c>
      <c r="K3407" s="3" t="inlineStr">
        <is>
          <t>ASSUMP_CONSUMER_AI_UTILIZATION; ASSUMP_POWER_RAMP; ASSUMP_NUMERIC_ACCELERATOR_MIX; ASSUMP_INFERENCE_SHARE_NOT_FACT_60; ASSUMP_WORKLOAD_CLASS_MIX; ASSUMP_AGENTIC_CONTEXT_PENALTY</t>
        </is>
      </c>
      <c r="L3407" s="3" t="inlineStr">
        <is>
          <t>Energized operational capacity divided by contracted/attributed capacity.</t>
        </is>
      </c>
    </row>
    <row r="3408">
      <c r="A3408" s="3" t="inlineStr">
        <is>
          <t>Meta</t>
        </is>
      </c>
      <c r="B3408" s="3" t="n">
        <v>2029</v>
      </c>
      <c r="C3408" s="3" t="inlineStr">
        <is>
          <t>Grid-Constrained / Efficiency-Upside</t>
        </is>
      </c>
      <c r="D3408" s="3" t="inlineStr">
        <is>
          <t>active_power_gw</t>
        </is>
      </c>
      <c r="E3408" s="3" t="n">
        <v>3.61</v>
      </c>
      <c r="F3408" s="3" t="inlineStr">
        <is>
          <t>GW</t>
        </is>
      </c>
      <c r="G3408" s="3" t="inlineStr">
        <is>
          <t>Derived scenario</t>
        </is>
      </c>
      <c r="H3408" s="3" t="inlineStr">
        <is>
          <t>contracted_power_gw * operational_deployment_share</t>
        </is>
      </c>
      <c r="I3408" s="3" t="inlineStr">
        <is>
          <t>MTIA deployment direction and consumer product distribution support active ramp, not exact powered GW.</t>
        </is>
      </c>
      <c r="J3408" s="3" t="inlineStr">
        <is>
          <t>ASSUMP_POWER_RAMP; SRC_META_MTIA_GENAI_2026</t>
        </is>
      </c>
      <c r="K3408" s="3" t="inlineStr">
        <is>
          <t>ASSUMP_CONSUMER_AI_UTILIZATION; ASSUMP_POWER_RAMP; ASSUMP_NUMERIC_ACCELERATOR_MIX; ASSUMP_INFERENCE_SHARE_NOT_FACT_60; ASSUMP_WORKLOAD_CLASS_MIX; ASSUMP_AGENTIC_CONTEXT_PENALTY</t>
        </is>
      </c>
      <c r="L3408" s="3" t="inlineStr">
        <is>
          <t>Energization dates, accelerator deliveries and operational powered-rack telemetry.</t>
        </is>
      </c>
    </row>
    <row r="3409">
      <c r="A3409" s="3" t="inlineStr">
        <is>
          <t>Meta</t>
        </is>
      </c>
      <c r="B3409" s="3" t="n">
        <v>2029</v>
      </c>
      <c r="C3409" s="3" t="inlineStr">
        <is>
          <t>Grid-Constrained / Efficiency-Upside</t>
        </is>
      </c>
      <c r="D3409" s="3" t="inlineStr">
        <is>
          <t>pue</t>
        </is>
      </c>
      <c r="E3409" s="3" t="n">
        <v>1.2</v>
      </c>
      <c r="F3409" s="3" t="inlineStr">
        <is>
          <t>ratio</t>
        </is>
      </c>
      <c r="G3409" s="3" t="inlineStr">
        <is>
          <t>Scenario parameter</t>
        </is>
      </c>
      <c r="H3409" s="3" t="inlineStr">
        <is>
          <t>it_load_gw = active_power_gw / pue</t>
        </is>
      </c>
      <c r="I3409" s="3" t="inlineStr">
        <is>
          <t>No provider-wide site-level PUE is used as a disclosed fact; PUE represents facility-to-IT conversion within the scenario.</t>
        </is>
      </c>
      <c r="J3409" s="3" t="inlineStr">
        <is>
          <t>ASSUMP_POWER_RAMP</t>
        </is>
      </c>
      <c r="K3409" s="3" t="inlineStr">
        <is>
          <t>ASSUMP_CONSUMER_AI_UTILIZATION; ASSUMP_POWER_RAMP; ASSUMP_NUMERIC_ACCELERATOR_MIX; ASSUMP_INFERENCE_SHARE_NOT_FACT_60; ASSUMP_WORKLOAD_CLASS_MIX; ASSUMP_AGENTIC_CONTEXT_PENALTY</t>
        </is>
      </c>
      <c r="L3409" s="3" t="inlineStr">
        <is>
          <t>Site-level measured PUE matched to attributed AI capacity.</t>
        </is>
      </c>
    </row>
    <row r="3410">
      <c r="A3410" s="3" t="inlineStr">
        <is>
          <t>Meta</t>
        </is>
      </c>
      <c r="B3410" s="3" t="n">
        <v>2029</v>
      </c>
      <c r="C3410" s="3" t="inlineStr">
        <is>
          <t>Grid-Constrained / Efficiency-Upside</t>
        </is>
      </c>
      <c r="D3410" s="3" t="inlineStr">
        <is>
          <t>it_load_gw</t>
        </is>
      </c>
      <c r="E3410" s="3" t="n">
        <v>3.008</v>
      </c>
      <c r="F3410" s="3" t="inlineStr">
        <is>
          <t>GW</t>
        </is>
      </c>
      <c r="G3410" s="3" t="inlineStr">
        <is>
          <t>Derived formula</t>
        </is>
      </c>
      <c r="H3410" s="3" t="inlineStr">
        <is>
          <t>active_power_gw / pue</t>
        </is>
      </c>
      <c r="I3410" s="3" t="inlineStr">
        <is>
          <t>Facility power is converted to IT-deliverable power before attributing AI workloads.</t>
        </is>
      </c>
      <c r="J3410" s="3" t="inlineStr">
        <is>
          <t>ASSUMP_POWER_RAMP; SRC_META_MTIA_GENAI_2026</t>
        </is>
      </c>
      <c r="K3410" s="3" t="inlineStr">
        <is>
          <t>ASSUMP_CONSUMER_AI_UTILIZATION; ASSUMP_POWER_RAMP; ASSUMP_NUMERIC_ACCELERATOR_MIX; ASSUMP_INFERENCE_SHARE_NOT_FACT_60; ASSUMP_WORKLOAD_CLASS_MIX; ASSUMP_AGENTIC_CONTEXT_PENALTY</t>
        </is>
      </c>
      <c r="L3410" s="3" t="inlineStr">
        <is>
          <t>Recompute once active power and PUE become site-observable.</t>
        </is>
      </c>
    </row>
    <row r="3411">
      <c r="A3411" s="3" t="inlineStr">
        <is>
          <t>Meta</t>
        </is>
      </c>
      <c r="B3411" s="3" t="n">
        <v>2029</v>
      </c>
      <c r="C3411" s="3" t="inlineStr">
        <is>
          <t>Grid-Constrained / Efficiency-Upside</t>
        </is>
      </c>
      <c r="D3411" s="3" t="inlineStr">
        <is>
          <t>ai_workload_share</t>
        </is>
      </c>
      <c r="E3411" s="3" t="n">
        <v>0.87</v>
      </c>
      <c r="F3411" s="3" t="inlineStr">
        <is>
          <t>share</t>
        </is>
      </c>
      <c r="G3411" s="3" t="inlineStr">
        <is>
          <t>Scenario allocation</t>
        </is>
      </c>
      <c r="H3411" s="3" t="inlineStr">
        <is>
          <t>ai_it_load_gw = it_load_gw * ai_workload_share</t>
        </is>
      </c>
      <c r="I3411" s="3" t="inlineStr">
        <is>
          <t>The modeled fleet is focused on AI workloads across Meta AI surfaces; non-LLM ranking/platform overhead is excluded through the 87% share.</t>
        </is>
      </c>
      <c r="J3411" s="3" t="inlineStr">
        <is>
          <t>SRC_META_LLAMA; SRC_META_LLAMA4_NVIDIA; SRC_META_MTIA_GENAI_2026; SRC_EPOCH_AI_DATA_CENTERS</t>
        </is>
      </c>
      <c r="K3411" s="3" t="inlineStr">
        <is>
          <t>ASSUMP_CONSUMER_AI_UTILIZATION; ASSUMP_POWER_RAMP; ASSUMP_NUMERIC_ACCELERATOR_MIX; ASSUMP_INFERENCE_SHARE_NOT_FACT_60; ASSUMP_WORKLOAD_CLASS_MIX; ASSUMP_AGENTIC_CONTEXT_PENALTY</t>
        </is>
      </c>
      <c r="L3411" s="3" t="inlineStr">
        <is>
          <t>Model-owner AI workload allocation or cluster scheduling telemetry.</t>
        </is>
      </c>
    </row>
    <row r="3412">
      <c r="A3412" s="3" t="inlineStr">
        <is>
          <t>Meta</t>
        </is>
      </c>
      <c r="B3412" s="3" t="n">
        <v>2029</v>
      </c>
      <c r="C3412" s="3" t="inlineStr">
        <is>
          <t>Grid-Constrained / Efficiency-Upside</t>
        </is>
      </c>
      <c r="D3412" s="3" t="inlineStr">
        <is>
          <t>ai_it_load_gw</t>
        </is>
      </c>
      <c r="E3412" s="3" t="n">
        <v>2.617</v>
      </c>
      <c r="F3412" s="3" t="inlineStr">
        <is>
          <t>GW</t>
        </is>
      </c>
      <c r="G3412" s="3" t="inlineStr">
        <is>
          <t>Derived formula</t>
        </is>
      </c>
      <c r="H3412" s="3" t="inlineStr">
        <is>
          <t>it_load_gw * ai_workload_share</t>
        </is>
      </c>
      <c r="I3412" s="3" t="inlineStr">
        <is>
          <t>Only the AI-attributed portion of IT load enters training/inference allocation.</t>
        </is>
      </c>
      <c r="J3412" s="3" t="inlineStr">
        <is>
          <t>SRC_META_LLAMA; SRC_META_LLAMA4_NVIDIA; SRC_META_MTIA_GENAI_2026; SRC_EPOCH_AI_DATA_CENTERS</t>
        </is>
      </c>
      <c r="K3412" s="3" t="inlineStr">
        <is>
          <t>ASSUMP_CONSUMER_AI_UTILIZATION; ASSUMP_POWER_RAMP; ASSUMP_NUMERIC_ACCELERATOR_MIX; ASSUMP_INFERENCE_SHARE_NOT_FACT_60; ASSUMP_WORKLOAD_CLASS_MIX; ASSUMP_AGENTIC_CONTEXT_PENALTY</t>
        </is>
      </c>
      <c r="L3412" s="3" t="inlineStr">
        <is>
          <t>Recompute after ai_workload_share is replaced by telemetry.</t>
        </is>
      </c>
    </row>
    <row r="3413">
      <c r="A3413" s="3" t="inlineStr">
        <is>
          <t>Meta</t>
        </is>
      </c>
      <c r="B3413" s="3" t="n">
        <v>2029</v>
      </c>
      <c r="C3413" s="3" t="inlineStr">
        <is>
          <t>Grid-Constrained / Efficiency-Upside</t>
        </is>
      </c>
      <c r="D3413" s="3" t="inlineStr">
        <is>
          <t>gpu_share</t>
        </is>
      </c>
      <c r="E3413" s="3" t="n">
        <v>0.612306</v>
      </c>
      <c r="F3413" s="3" t="inlineStr">
        <is>
          <t>share of inference-serving accelerator load</t>
        </is>
      </c>
      <c r="G3413" s="3" t="inlineStr">
        <is>
          <t>Numeric scenario</t>
        </is>
      </c>
      <c r="H3413" s="3" t="inlineStr">
        <is>
          <t>gpu_share interpolated from company 2026/2030 accelerator-mix endpoints</t>
        </is>
      </c>
      <c r="I3413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413" s="3" t="inlineStr">
        <is>
          <t>SRC_META_LLAMA; SRC_META_LLAMA4_NVIDIA; SRC_META_MTIA_GENAI_2026; SRC_EPOCH_AI_DATA_CENTERS; ASSUMP_NUMERIC_ACCELERATOR_MIX</t>
        </is>
      </c>
      <c r="K3413" s="3" t="inlineStr">
        <is>
          <t>ASSUMP_CONSUMER_AI_UTILIZATION; ASSUMP_POWER_RAMP; ASSUMP_NUMERIC_ACCELERATOR_MIX; ASSUMP_INFERENCE_SHARE_NOT_FACT_60; ASSUMP_WORKLOAD_CLASS_MIX; ASSUMP_AGENTIC_CONTEXT_PENALTY</t>
        </is>
      </c>
      <c r="L3413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414">
      <c r="A3414" s="3" t="inlineStr">
        <is>
          <t>Meta</t>
        </is>
      </c>
      <c r="B3414" s="3" t="n">
        <v>2029</v>
      </c>
      <c r="C3414" s="3" t="inlineStr">
        <is>
          <t>Grid-Constrained / Efficiency-Upside</t>
        </is>
      </c>
      <c r="D3414" s="3" t="inlineStr">
        <is>
          <t>h200_share</t>
        </is>
      </c>
      <c r="E3414" s="3" t="n">
        <v>0</v>
      </c>
      <c r="F3414" s="3" t="inlineStr">
        <is>
          <t>share of inference-serving accelerator load</t>
        </is>
      </c>
      <c r="G3414" s="3" t="inlineStr">
        <is>
          <t>Editable numeric scenario</t>
        </is>
      </c>
      <c r="H3414" s="3" t="inlineStr">
        <is>
          <t>h200_share = gpu_share * default_gpu_generation_mix_h200</t>
        </is>
      </c>
      <c r="I3414" s="3" t="inlineStr">
        <is>
          <t>Default GPU-generation migration assumption; executive workbook allows later manual replacement by company/year/scenario.</t>
        </is>
      </c>
      <c r="J3414" s="3" t="inlineStr">
        <is>
          <t>SRC_SEMIANALYSIS_INFERENCEX; ASSUMP_NUMERIC_ACCELERATOR_MIX</t>
        </is>
      </c>
      <c r="K3414" s="3" t="inlineStr">
        <is>
          <t>ASSUMP_CONSUMER_AI_UTILIZATION; ASSUMP_POWER_RAMP; ASSUMP_NUMERIC_ACCELERATOR_MIX; ASSUMP_INFERENCE_SHARE_NOT_FACT_60; ASSUMP_WORKLOAD_CLASS_MIX; ASSUMP_AGENTIC_CONTEXT_PENALTY</t>
        </is>
      </c>
      <c r="L3414" s="3" t="inlineStr">
        <is>
          <t>Company fleet inventory, accelerator-hours or procurement/deployment records by GPU generation.</t>
        </is>
      </c>
    </row>
    <row r="3415">
      <c r="A3415" s="3" t="inlineStr">
        <is>
          <t>Meta</t>
        </is>
      </c>
      <c r="B3415" s="3" t="n">
        <v>2029</v>
      </c>
      <c r="C3415" s="3" t="inlineStr">
        <is>
          <t>Grid-Constrained / Efficiency-Upside</t>
        </is>
      </c>
      <c r="D3415" s="3" t="inlineStr">
        <is>
          <t>b200_share</t>
        </is>
      </c>
      <c r="E3415" s="3" t="n">
        <v>0.612306</v>
      </c>
      <c r="F3415" s="3" t="inlineStr">
        <is>
          <t>share of inference-serving accelerator load</t>
        </is>
      </c>
      <c r="G3415" s="3" t="inlineStr">
        <is>
          <t>Editable numeric scenario</t>
        </is>
      </c>
      <c r="H3415" s="3" t="inlineStr">
        <is>
          <t>b200_share = gpu_share * default_gpu_generation_mix_b200</t>
        </is>
      </c>
      <c r="I3415" s="3" t="inlineStr">
        <is>
          <t>Default GPU-generation migration assumption; executive workbook allows later manual replacement by company/year/scenario.</t>
        </is>
      </c>
      <c r="J3415" s="3" t="inlineStr">
        <is>
          <t>SRC_SEMIANALYSIS_INFERENCEX; ASSUMP_NUMERIC_ACCELERATOR_MIX</t>
        </is>
      </c>
      <c r="K3415" s="3" t="inlineStr">
        <is>
          <t>ASSUMP_CONSUMER_AI_UTILIZATION; ASSUMP_POWER_RAMP; ASSUMP_NUMERIC_ACCELERATOR_MIX; ASSUMP_INFERENCE_SHARE_NOT_FACT_60; ASSUMP_WORKLOAD_CLASS_MIX; ASSUMP_AGENTIC_CONTEXT_PENALTY</t>
        </is>
      </c>
      <c r="L3415" s="3" t="inlineStr">
        <is>
          <t>Company fleet inventory, accelerator-hours or procurement/deployment records by GPU generation.</t>
        </is>
      </c>
    </row>
    <row r="3416">
      <c r="A3416" s="3" t="inlineStr">
        <is>
          <t>Meta</t>
        </is>
      </c>
      <c r="B3416" s="3" t="n">
        <v>2029</v>
      </c>
      <c r="C3416" s="3" t="inlineStr">
        <is>
          <t>Grid-Constrained / Efficiency-Upside</t>
        </is>
      </c>
      <c r="D3416" s="3" t="inlineStr">
        <is>
          <t>gb200_share</t>
        </is>
      </c>
      <c r="E3416" s="3" t="n">
        <v>0</v>
      </c>
      <c r="F3416" s="3" t="inlineStr">
        <is>
          <t>share of inference-serving accelerator load</t>
        </is>
      </c>
      <c r="G3416" s="3" t="inlineStr">
        <is>
          <t>Editable numeric scenario</t>
        </is>
      </c>
      <c r="H3416" s="3" t="inlineStr">
        <is>
          <t>gb200_share = gpu_share * default_gpu_generation_mix_gb200</t>
        </is>
      </c>
      <c r="I3416" s="3" t="inlineStr">
        <is>
          <t>Default GPU-generation migration assumption; executive workbook allows later manual replacement by company/year/scenario.</t>
        </is>
      </c>
      <c r="J3416" s="3" t="inlineStr">
        <is>
          <t>SRC_SEMIANALYSIS_INFERENCEX; ASSUMP_NUMERIC_ACCELERATOR_MIX</t>
        </is>
      </c>
      <c r="K3416" s="3" t="inlineStr">
        <is>
          <t>ASSUMP_CONSUMER_AI_UTILIZATION; ASSUMP_POWER_RAMP; ASSUMP_NUMERIC_ACCELERATOR_MIX; ASSUMP_INFERENCE_SHARE_NOT_FACT_60; ASSUMP_WORKLOAD_CLASS_MIX; ASSUMP_AGENTIC_CONTEXT_PENALTY</t>
        </is>
      </c>
      <c r="L3416" s="3" t="inlineStr">
        <is>
          <t>Company fleet inventory, accelerator-hours or procurement/deployment records by GPU generation.</t>
        </is>
      </c>
    </row>
    <row r="3417">
      <c r="A3417" s="3" t="inlineStr">
        <is>
          <t>Meta</t>
        </is>
      </c>
      <c r="B3417" s="3" t="n">
        <v>2029</v>
      </c>
      <c r="C3417" s="3" t="inlineStr">
        <is>
          <t>Grid-Constrained / Efficiency-Upside</t>
        </is>
      </c>
      <c r="D3417" s="3" t="inlineStr">
        <is>
          <t>purpose_built_accelerator_share</t>
        </is>
      </c>
      <c r="E3417" s="3" t="n">
        <v>0.387694</v>
      </c>
      <c r="F3417" s="3" t="inlineStr">
        <is>
          <t>share of inference-serving accelerator load</t>
        </is>
      </c>
      <c r="G3417" s="3" t="inlineStr">
        <is>
          <t>Numeric scenario</t>
        </is>
      </c>
      <c r="H3417" s="3" t="inlineStr">
        <is>
          <t>1 - gpu_share</t>
        </is>
      </c>
      <c r="I3417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417" s="3" t="inlineStr">
        <is>
          <t>SRC_META_LLAMA; SRC_META_LLAMA4_NVIDIA; SRC_META_MTIA_GENAI_2026; SRC_EPOCH_AI_DATA_CENTERS; ASSUMP_NUMERIC_ACCELERATOR_MIX</t>
        </is>
      </c>
      <c r="K3417" s="3" t="inlineStr">
        <is>
          <t>ASSUMP_CONSUMER_AI_UTILIZATION; ASSUMP_POWER_RAMP; ASSUMP_NUMERIC_ACCELERATOR_MIX; ASSUMP_INFERENCE_SHARE_NOT_FACT_60; ASSUMP_WORKLOAD_CLASS_MIX; ASSUMP_AGENTIC_CONTEXT_PENALTY</t>
        </is>
      </c>
      <c r="L3417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418">
      <c r="A3418" s="3" t="inlineStr">
        <is>
          <t>Meta</t>
        </is>
      </c>
      <c r="B3418" s="3" t="n">
        <v>2029</v>
      </c>
      <c r="C3418" s="3" t="inlineStr">
        <is>
          <t>Grid-Constrained / Efficiency-Upside</t>
        </is>
      </c>
      <c r="D3418" s="3" t="inlineStr">
        <is>
          <t>fleet_reference_tps_per_mw</t>
        </is>
      </c>
      <c r="E3418" s="3" t="n">
        <v>941060</v>
      </c>
      <c r="F3418" s="3" t="inlineStr">
        <is>
          <t>generated output tokens/sec/MW</t>
        </is>
      </c>
      <c r="G3418" s="3" t="inlineStr">
        <is>
          <t>Fleet-weighted public benchmark reference</t>
        </is>
      </c>
      <c r="H3418" s="3" t="inlineStr">
        <is>
          <t>h200_share*h200_workload_avg + b200_share*b200_workload_avg + gb200_share*gb200_workload_avg + purpose_built_share*purpose_workload_avg</t>
        </is>
      </c>
      <c r="I3418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18" s="3" t="inlineStr">
        <is>
          <t>SRC_SEMIANALYSIS_INFERENCEX; ASSUMP_NUMERIC_ACCELERATOR_MIX; ASSUMP_WORKLOAD_CLASS_MIX; ASSUMP_AGENTIC_CONTEXT_PENALTY</t>
        </is>
      </c>
      <c r="K3418" s="3" t="inlineStr">
        <is>
          <t>ASSUMP_CONSUMER_AI_UTILIZATION; ASSUMP_POWER_RAMP; ASSUMP_NUMERIC_ACCELERATOR_MIX; ASSUMP_INFERENCE_SHARE_NOT_FACT_60; ASSUMP_WORKLOAD_CLASS_MIX; ASSUMP_AGENTIC_CONTEXT_PENALTY</t>
        </is>
      </c>
      <c r="L3418" s="3" t="inlineStr">
        <is>
          <t>Comparable production output-token throughput or a more closely matched benchmark.</t>
        </is>
      </c>
    </row>
    <row r="3419">
      <c r="A3419" s="3" t="inlineStr">
        <is>
          <t>Meta</t>
        </is>
      </c>
      <c r="B3419" s="3" t="n">
        <v>2029</v>
      </c>
      <c r="C3419" s="3" t="inlineStr">
        <is>
          <t>Grid-Constrained / Efficiency-Upside</t>
        </is>
      </c>
      <c r="D3419" s="3" t="inlineStr">
        <is>
          <t>commercial_workload_fit_factor</t>
        </is>
      </c>
      <c r="E3419" s="3" t="n">
        <v>0.9</v>
      </c>
      <c r="F3419" s="3" t="inlineStr">
        <is>
          <t>share of public reference throughput</t>
        </is>
      </c>
      <c r="G3419" s="3" t="inlineStr">
        <is>
          <t>Scenario assumption</t>
        </is>
      </c>
      <c r="H3419" s="3" t="inlineStr">
        <is>
          <t>reference_serving_tps_per_mw = fleet_reference_tps_per_mw * commercial_workload_fit_factor</t>
        </is>
      </c>
      <c r="I3419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19" s="3" t="inlineStr">
        <is>
          <t>SRC_SEMIANALYSIS_INFERENCEX; ASSUMP_NUMERIC_ACCELERATOR_MIX; ASSUMP_WORKLOAD_CLASS_MIX; ASSUMP_AGENTIC_CONTEXT_PENALTY</t>
        </is>
      </c>
      <c r="K3419" s="3" t="inlineStr">
        <is>
          <t>ASSUMP_CONSUMER_AI_UTILIZATION; ASSUMP_POWER_RAMP; ASSUMP_NUMERIC_ACCELERATOR_MIX; ASSUMP_INFERENCE_SHARE_NOT_FACT_60; ASSUMP_WORKLOAD_CLASS_MIX; ASSUMP_AGENTIC_CONTEXT_PENALTY</t>
        </is>
      </c>
      <c r="L3419" s="3" t="inlineStr">
        <is>
          <t>Matched commercial serving benchmark by product surface, context shape and latency SLO.</t>
        </is>
      </c>
    </row>
    <row r="3420">
      <c r="A3420" s="3" t="inlineStr">
        <is>
          <t>Meta</t>
        </is>
      </c>
      <c r="B3420" s="3" t="n">
        <v>2029</v>
      </c>
      <c r="C3420" s="3" t="inlineStr">
        <is>
          <t>Grid-Constrained / Efficiency-Upside</t>
        </is>
      </c>
      <c r="D3420" s="3" t="inlineStr">
        <is>
          <t>reference_serving_tps_per_mw</t>
        </is>
      </c>
      <c r="E3420" s="3" t="n">
        <v>846954</v>
      </c>
      <c r="F3420" s="3" t="inlineStr">
        <is>
          <t>generated output tokens/sec/MW</t>
        </is>
      </c>
      <c r="G3420" s="3" t="inlineStr">
        <is>
          <t>Workload-adjusted benchmark proxy</t>
        </is>
      </c>
      <c r="H3420" s="3" t="inlineStr">
        <is>
          <t>fleet_reference_tps_per_mw * commercial_workload_fit_factor</t>
        </is>
      </c>
      <c r="I3420" s="3" t="inlineStr">
        <is>
          <t>This is the coefficient used for headline token generation; each GPU's short chat, long chat and agentic TPS/MW are weighted before fleet mix and commercial fit are applied.</t>
        </is>
      </c>
      <c r="J3420" s="3" t="inlineStr">
        <is>
          <t>SRC_SEMIANALYSIS_INFERENCEX; ASSUMP_NUMERIC_ACCELERATOR_MIX; ASSUMP_WORKLOAD_CLASS_MIX; ASSUMP_AGENTIC_CONTEXT_PENALTY</t>
        </is>
      </c>
      <c r="K3420" s="3" t="inlineStr">
        <is>
          <t>ASSUMP_CONSUMER_AI_UTILIZATION; ASSUMP_POWER_RAMP; ASSUMP_NUMERIC_ACCELERATOR_MIX; ASSUMP_INFERENCE_SHARE_NOT_FACT_60; ASSUMP_WORKLOAD_CLASS_MIX; ASSUMP_AGENTIC_CONTEXT_PENALTY</t>
        </is>
      </c>
      <c r="L3420" s="3" t="inlineStr">
        <is>
          <t>Provider production output-token throughput with comparable workload/SLO.</t>
        </is>
      </c>
    </row>
    <row r="3421">
      <c r="A3421" s="3" t="inlineStr">
        <is>
          <t>Meta</t>
        </is>
      </c>
      <c r="B3421" s="3" t="n">
        <v>2029</v>
      </c>
      <c r="C3421" s="3" t="inlineStr">
        <is>
          <t>Grid-Constrained / Efficiency-Upside</t>
        </is>
      </c>
      <c r="D3421" s="3" t="inlineStr">
        <is>
          <t>purpose_built_tps_per_mw</t>
        </is>
      </c>
      <c r="E3421" s="3" t="n">
        <v>1105664</v>
      </c>
      <c r="F3421" s="3" t="inlineStr">
        <is>
          <t>generated output tokens/sec/MW</t>
        </is>
      </c>
      <c r="G3421" s="3" t="inlineStr">
        <is>
          <t>Conservative no-uplift proxy</t>
        </is>
      </c>
      <c r="H3421" s="3" t="inlineStr">
        <is>
          <t>purpose_built_tps_per_mw = purpose_built_reference_tps_per_mw * commercial_workload_fit_factor until comparable output-token benchmark is adopted</t>
        </is>
      </c>
      <c r="I3421" s="3" t="inlineStr">
        <is>
          <t>No comparable public output-token/MW row adopted; B200 public reference placeholder is used and remains editable.</t>
        </is>
      </c>
      <c r="J3421" s="3" t="inlineStr">
        <is>
          <t>SRC_META_LLAMA; SRC_META_LLAMA4_NVIDIA; SRC_META_MTIA_GENAI_2026; SRC_EPOCH_AI_DATA_CENTERS; ASSUMP_NUMERIC_ACCELERATOR_MIX</t>
        </is>
      </c>
      <c r="K3421" s="3" t="inlineStr">
        <is>
          <t>ASSUMP_CONSUMER_AI_UTILIZATION; ASSUMP_POWER_RAMP; ASSUMP_NUMERIC_ACCELERATOR_MIX; ASSUMP_INFERENCE_SHARE_NOT_FACT_60; ASSUMP_WORKLOAD_CLASS_MIX; ASSUMP_AGENTIC_CONTEXT_PENALTY</t>
        </is>
      </c>
      <c r="L3421" s="3" t="inlineStr">
        <is>
          <t>Matched-workload generated-output benchmark for the provider purpose-built accelerator.</t>
        </is>
      </c>
    </row>
    <row r="3422">
      <c r="A3422" s="3" t="inlineStr">
        <is>
          <t>Meta</t>
        </is>
      </c>
      <c r="B3422" s="3" t="n">
        <v>2029</v>
      </c>
      <c r="C3422" s="3" t="inlineStr">
        <is>
          <t>Grid-Constrained / Efficiency-Upside</t>
        </is>
      </c>
      <c r="D3422" s="3" t="inlineStr">
        <is>
          <t>inference_power_share</t>
        </is>
      </c>
      <c r="E3422" s="3" t="n">
        <v>0.765</v>
      </c>
      <c r="F3422" s="3" t="inlineStr">
        <is>
          <t>share of AI IT load</t>
        </is>
      </c>
      <c r="G3422" s="3" t="inlineStr">
        <is>
          <t>Scenario allocation</t>
        </is>
      </c>
      <c r="H3422" s="3" t="inlineStr">
        <is>
          <t>inference_gw = ai_it_load_gw * inference_power_share</t>
        </is>
      </c>
      <c r="I3422" s="3" t="inlineStr">
        <is>
          <t>Large consumer AI distribution and inference-first MTIA roadmap support a higher inference share scenario.</t>
        </is>
      </c>
      <c r="J3422" s="3" t="inlineStr">
        <is>
          <t>SRC_META_LLAMA; SRC_META_LLAMA4_NVIDIA; SRC_META_MTIA_GENAI_2026; SRC_EPOCH_AI_DATA_CENTERS; ASSUMP_INFERENCE_SHARE_NOT_FACT_60</t>
        </is>
      </c>
      <c r="K3422" s="3" t="inlineStr">
        <is>
          <t>ASSUMP_CONSUMER_AI_UTILIZATION; ASSUMP_POWER_RAMP; ASSUMP_NUMERIC_ACCELERATOR_MIX; ASSUMP_INFERENCE_SHARE_NOT_FACT_60; ASSUMP_WORKLOAD_CLASS_MIX; ASSUMP_AGENTIC_CONTEXT_PENALTY</t>
        </is>
      </c>
      <c r="L3422" s="3" t="inlineStr">
        <is>
          <t>Provider-specific inference/training workload power telemetry.</t>
        </is>
      </c>
    </row>
    <row r="3423">
      <c r="A3423" s="3" t="inlineStr">
        <is>
          <t>Meta</t>
        </is>
      </c>
      <c r="B3423" s="3" t="n">
        <v>2029</v>
      </c>
      <c r="C3423" s="3" t="inlineStr">
        <is>
          <t>Grid-Constrained / Efficiency-Upside</t>
        </is>
      </c>
      <c r="D3423" s="3" t="inlineStr">
        <is>
          <t>inference_gw</t>
        </is>
      </c>
      <c r="E3423" s="3" t="n">
        <v>2.002</v>
      </c>
      <c r="F3423" s="3" t="inlineStr">
        <is>
          <t>GW</t>
        </is>
      </c>
      <c r="G3423" s="3" t="inlineStr">
        <is>
          <t>Derived formula</t>
        </is>
      </c>
      <c r="H3423" s="3" t="inlineStr">
        <is>
          <t>ai_it_load_gw * inference_power_share</t>
        </is>
      </c>
      <c r="I3423" s="3" t="inlineStr">
        <is>
          <t>This is the operational power eligible to become commercial generated output tokens through the selected TPS/MW proxy.</t>
        </is>
      </c>
      <c r="J3423" s="3" t="inlineStr">
        <is>
          <t>SRC_META_LLAMA; SRC_META_LLAMA4_NVIDIA; SRC_META_MTIA_GENAI_2026; SRC_EPOCH_AI_DATA_CENTERS</t>
        </is>
      </c>
      <c r="K3423" s="3" t="inlineStr">
        <is>
          <t>ASSUMP_CONSUMER_AI_UTILIZATION; ASSUMP_POWER_RAMP; ASSUMP_NUMERIC_ACCELERATOR_MIX; ASSUMP_INFERENCE_SHARE_NOT_FACT_60; ASSUMP_WORKLOAD_CLASS_MIX; ASSUMP_AGENTIC_CONTEXT_PENALTY</t>
        </is>
      </c>
      <c r="L3423" s="3" t="inlineStr">
        <is>
          <t>Recompute after AI allocation or inference-share evidence changes.</t>
        </is>
      </c>
    </row>
    <row r="3424">
      <c r="A3424" s="3" t="inlineStr">
        <is>
          <t>Meta</t>
        </is>
      </c>
      <c r="B3424" s="3" t="n">
        <v>2029</v>
      </c>
      <c r="C3424" s="3" t="inlineStr">
        <is>
          <t>Grid-Constrained / Efficiency-Upside</t>
        </is>
      </c>
      <c r="D3424" s="3" t="inlineStr">
        <is>
          <t>training_power_share</t>
        </is>
      </c>
      <c r="E3424" s="3" t="n">
        <v>0.235</v>
      </c>
      <c r="F3424" s="3" t="inlineStr">
        <is>
          <t>share of AI IT load</t>
        </is>
      </c>
      <c r="G3424" s="3" t="inlineStr">
        <is>
          <t>Derived allocation</t>
        </is>
      </c>
      <c r="H3424" s="3" t="inlineStr">
        <is>
          <t>1 - inference_power_share</t>
        </is>
      </c>
      <c r="I3424" s="3" t="inlineStr">
        <is>
          <t>Training receives the complementary modeled AI IT allocation; it is not a disclosed company workload split.</t>
        </is>
      </c>
      <c r="J3424" s="3" t="inlineStr">
        <is>
          <t>SRC_META_LLAMA; SRC_META_LLAMA4_NVIDIA; SRC_META_MTIA_GENAI_2026; SRC_EPOCH_AI_DATA_CENTERS; ASSUMP_INFERENCE_SHARE_NOT_FACT_60</t>
        </is>
      </c>
      <c r="K3424" s="3" t="inlineStr">
        <is>
          <t>ASSUMP_CONSUMER_AI_UTILIZATION; ASSUMP_POWER_RAMP; ASSUMP_NUMERIC_ACCELERATOR_MIX; ASSUMP_INFERENCE_SHARE_NOT_FACT_60; ASSUMP_WORKLOAD_CLASS_MIX; ASSUMP_AGENTIC_CONTEXT_PENALTY</t>
        </is>
      </c>
      <c r="L3424" s="3" t="inlineStr">
        <is>
          <t>Provider-specific inference/training workload power telemetry.</t>
        </is>
      </c>
    </row>
    <row r="3425">
      <c r="A3425" s="3" t="inlineStr">
        <is>
          <t>Meta</t>
        </is>
      </c>
      <c r="B3425" s="3" t="n">
        <v>2029</v>
      </c>
      <c r="C3425" s="3" t="inlineStr">
        <is>
          <t>Grid-Constrained / Efficiency-Upside</t>
        </is>
      </c>
      <c r="D3425" s="3" t="inlineStr">
        <is>
          <t>training_gw</t>
        </is>
      </c>
      <c r="E3425" s="3" t="n">
        <v>0.615</v>
      </c>
      <c r="F3425" s="3" t="inlineStr">
        <is>
          <t>GW</t>
        </is>
      </c>
      <c r="G3425" s="3" t="inlineStr">
        <is>
          <t>Derived formula</t>
        </is>
      </c>
      <c r="H3425" s="3" t="inlineStr">
        <is>
          <t>ai_it_load_gw * training_power_share</t>
        </is>
      </c>
      <c r="I3425" s="3" t="inlineStr">
        <is>
          <t>Training GW is shown separately so commercial inference token capacity is not overstated.</t>
        </is>
      </c>
      <c r="J3425" s="3" t="inlineStr">
        <is>
          <t>SRC_META_LLAMA; SRC_META_LLAMA4_NVIDIA; SRC_META_MTIA_GENAI_2026; SRC_EPOCH_AI_DATA_CENTERS</t>
        </is>
      </c>
      <c r="K3425" s="3" t="inlineStr">
        <is>
          <t>ASSUMP_CONSUMER_AI_UTILIZATION; ASSUMP_POWER_RAMP; ASSUMP_NUMERIC_ACCELERATOR_MIX; ASSUMP_INFERENCE_SHARE_NOT_FACT_60; ASSUMP_WORKLOAD_CLASS_MIX; ASSUMP_AGENTIC_CONTEXT_PENALTY</t>
        </is>
      </c>
      <c r="L3425" s="3" t="inlineStr">
        <is>
          <t>Recompute after AI allocation or workload-split evidence changes.</t>
        </is>
      </c>
    </row>
    <row r="3426">
      <c r="A3426" s="3" t="inlineStr">
        <is>
          <t>Meta</t>
        </is>
      </c>
      <c r="B3426" s="3" t="n">
        <v>2029</v>
      </c>
      <c r="C3426" s="3" t="inlineStr">
        <is>
          <t>Grid-Constrained / Efficiency-Upside</t>
        </is>
      </c>
      <c r="D3426" s="3" t="inlineStr">
        <is>
          <t>tokens_per_second_per_mw</t>
        </is>
      </c>
      <c r="E3426" s="3" t="n">
        <v>846954</v>
      </c>
      <c r="F3426" s="3" t="inlineStr">
        <is>
          <t>generated output tokens/sec/MW</t>
        </is>
      </c>
      <c r="G3426" s="3" t="inlineStr">
        <is>
          <t>Derived estimate + benchmark calibration</t>
        </is>
      </c>
      <c r="H3426" s="3" t="inlineStr">
        <is>
          <t>fleet_reference_tps_per_mw * commercial_workload_fit_factor</t>
        </is>
      </c>
      <c r="I3426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26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26" s="3" t="inlineStr">
        <is>
          <t>ASSUMP_CONSUMER_AI_UTILIZATION; ASSUMP_POWER_RAMP; ASSUMP_NUMERIC_ACCELERATOR_MIX; ASSUMP_INFERENCE_SHARE_NOT_FACT_60; ASSUMP_WORKLOAD_CLASS_MIX; ASSUMP_AGENTIC_CONTEXT_PENALTY</t>
        </is>
      </c>
      <c r="L3426" s="3" t="inlineStr">
        <is>
          <t>Comparable production output-token throughput with model, hardware, precision, ISL/OSL and SLO matched.</t>
        </is>
      </c>
    </row>
    <row r="3427">
      <c r="A3427" s="3" t="inlineStr">
        <is>
          <t>Meta</t>
        </is>
      </c>
      <c r="B3427" s="3" t="n">
        <v>2029</v>
      </c>
      <c r="C3427" s="3" t="inlineStr">
        <is>
          <t>Grid-Constrained / Efficiency-Upside</t>
        </is>
      </c>
      <c r="D3427" s="3" t="inlineStr">
        <is>
          <t>inference_tokens_per_day</t>
        </is>
      </c>
      <c r="E3427" s="3" t="n">
        <v>146500004851200</v>
      </c>
      <c r="F3427" s="3" t="inlineStr">
        <is>
          <t>generated output tokens/day</t>
        </is>
      </c>
      <c r="G3427" s="3" t="inlineStr">
        <is>
          <t>Derived headline metric</t>
        </is>
      </c>
      <c r="H3427" s="3" t="inlineStr">
        <is>
          <t>inference_gw * 1000 * tokens_per_second_per_mw * 86,400</t>
        </is>
      </c>
      <c r="I3427" s="3" t="inlineStr">
        <is>
          <t>Headline capacity uses no utilization, MoE, architecture or software-growth multiplier; it is not observed commercial output volume.</t>
        </is>
      </c>
      <c r="J3427" s="3" t="inlineStr">
        <is>
          <t>SRC_META_LLAMA; SRC_META_LLAMA4_NVIDIA; SRC_META_MTIA_GENAI_2026; SRC_EPOCH_AI_DATA_CENTERS; SRC_SEMIANALYSIS_INFERENCEX</t>
        </is>
      </c>
      <c r="K3427" s="3" t="inlineStr">
        <is>
          <t>ASSUMP_CONSUMER_AI_UTILIZATION; ASSUMP_POWER_RAMP; ASSUMP_NUMERIC_ACCELERATOR_MIX; ASSUMP_INFERENCE_SHARE_NOT_FACT_60; ASSUMP_WORKLOAD_CLASS_MIX; ASSUMP_AGENTIC_CONTEXT_PENALTY</t>
        </is>
      </c>
      <c r="L3427" s="3" t="inlineStr">
        <is>
          <t>Provider-disclosed generated output token volume or calibrated capacity telemetry.</t>
        </is>
      </c>
    </row>
    <row r="3428">
      <c r="A3428" s="3" t="inlineStr">
        <is>
          <t>Meta</t>
        </is>
      </c>
      <c r="B3428" s="3" t="n">
        <v>2029</v>
      </c>
      <c r="C3428" s="3" t="inlineStr">
        <is>
          <t>Grid-Constrained / Efficiency-Upside</t>
        </is>
      </c>
      <c r="D3428" s="3" t="inlineStr">
        <is>
          <t>inference_tokens_per_year</t>
        </is>
      </c>
      <c r="E3428" s="3" t="n">
        <v>5.3472501770688e+16</v>
      </c>
      <c r="F3428" s="3" t="inlineStr">
        <is>
          <t>generated output tokens/year</t>
        </is>
      </c>
      <c r="G3428" s="3" t="inlineStr">
        <is>
          <t>Derived headline metric</t>
        </is>
      </c>
      <c r="H3428" s="3" t="inlineStr">
        <is>
          <t>inference_tokens_per_day * 365</t>
        </is>
      </c>
      <c r="I3428" s="3" t="inlineStr">
        <is>
          <t>Annualized version of generated output token capacity; it is not observed annual demand or billable volume.</t>
        </is>
      </c>
      <c r="J3428" s="3" t="inlineStr">
        <is>
          <t>SRC_META_LLAMA; SRC_META_LLAMA4_NVIDIA; SRC_META_MTIA_GENAI_2026; SRC_EPOCH_AI_DATA_CENTERS; SRC_SEMIANALYSIS_INFERENCEX</t>
        </is>
      </c>
      <c r="K3428" s="3" t="inlineStr">
        <is>
          <t>ASSUMP_CONSUMER_AI_UTILIZATION; ASSUMP_POWER_RAMP; ASSUMP_NUMERIC_ACCELERATOR_MIX; ASSUMP_INFERENCE_SHARE_NOT_FACT_60; ASSUMP_WORKLOAD_CLASS_MIX; ASSUMP_AGENTIC_CONTEXT_PENALTY</t>
        </is>
      </c>
      <c r="L3428" s="3" t="inlineStr">
        <is>
          <t>Provider-disclosed annual generated-output volume or metered serving telemetry.</t>
        </is>
      </c>
    </row>
    <row r="3429">
      <c r="A3429" s="3" t="inlineStr">
        <is>
          <t>Meta</t>
        </is>
      </c>
      <c r="B3429" s="3" t="n">
        <v>2030</v>
      </c>
      <c r="C3429" s="3" t="inlineStr">
        <is>
          <t>Grid-Constrained / Efficiency-Upside</t>
        </is>
      </c>
      <c r="D3429" s="3" t="inlineStr">
        <is>
          <t>contracted_power_gw</t>
        </is>
      </c>
      <c r="E3429" s="3" t="n">
        <v>7</v>
      </c>
      <c r="F3429" s="3" t="inlineStr">
        <is>
          <t>GW</t>
        </is>
      </c>
      <c r="G3429" s="3" t="inlineStr">
        <is>
          <t>Scenario capacity envelope</t>
        </is>
      </c>
      <c r="H3429" s="3" t="inlineStr">
        <is>
          <t>linear interpolation between 2026 and 2030 company capacity endpoints</t>
        </is>
      </c>
      <c r="I3429" s="3" t="inlineStr">
        <is>
          <t>Scenario envelope for Meta AI/Llama serving capacity; not an official contracted-GW figure.</t>
        </is>
      </c>
      <c r="J3429" s="3" t="inlineStr">
        <is>
          <t>ASSUMP_POWER_RAMP; SRC_META_MTIA_GENAI_2026</t>
        </is>
      </c>
      <c r="K3429" s="3" t="inlineStr">
        <is>
          <t>ASSUMP_CONSUMER_AI_UTILIZATION; ASSUMP_POWER_RAMP; ASSUMP_NUMERIC_ACCELERATOR_MIX; ASSUMP_INFERENCE_SHARE_NOT_FACT_60; ASSUMP_WORKLOAD_CLASS_MIX; ASSUMP_AGENTIC_CONTEXT_PENALTY</t>
        </is>
      </c>
      <c r="L3429" s="3" t="inlineStr">
        <is>
          <t>Company/site-level committed MW/GW, interconnect and contract disclosure.</t>
        </is>
      </c>
    </row>
    <row r="3430">
      <c r="A3430" s="3" t="inlineStr">
        <is>
          <t>Meta</t>
        </is>
      </c>
      <c r="B3430" s="3" t="n">
        <v>2030</v>
      </c>
      <c r="C3430" s="3" t="inlineStr">
        <is>
          <t>Grid-Constrained / Efficiency-Upside</t>
        </is>
      </c>
      <c r="D3430" s="3" t="inlineStr">
        <is>
          <t>operational_deployment_share</t>
        </is>
      </c>
      <c r="E3430" s="3" t="n">
        <v>0.59657143</v>
      </c>
      <c r="F3430" s="3" t="inlineStr">
        <is>
          <t>share</t>
        </is>
      </c>
      <c r="G3430" s="3" t="inlineStr">
        <is>
          <t>Scenario conversion</t>
        </is>
      </c>
      <c r="H3430" s="3" t="inlineStr">
        <is>
          <t>active_power_gw / contracted_power_gw</t>
        </is>
      </c>
      <c r="I3430" s="3" t="inlineStr">
        <is>
          <t>This is the single explicit conversion from contracted/attributed capacity to operationally usable capacity.</t>
        </is>
      </c>
      <c r="J3430" s="3" t="inlineStr">
        <is>
          <t>ASSUMP_POWER_RAMP; SRC_META_MTIA_GENAI_2026</t>
        </is>
      </c>
      <c r="K3430" s="3" t="inlineStr">
        <is>
          <t>ASSUMP_CONSUMER_AI_UTILIZATION; ASSUMP_POWER_RAMP; ASSUMP_NUMERIC_ACCELERATOR_MIX; ASSUMP_INFERENCE_SHARE_NOT_FACT_60; ASSUMP_WORKLOAD_CLASS_MIX; ASSUMP_AGENTIC_CONTEXT_PENALTY</t>
        </is>
      </c>
      <c r="L3430" s="3" t="inlineStr">
        <is>
          <t>Energized operational capacity divided by contracted/attributed capacity.</t>
        </is>
      </c>
    </row>
    <row r="3431">
      <c r="A3431" s="3" t="inlineStr">
        <is>
          <t>Meta</t>
        </is>
      </c>
      <c r="B3431" s="3" t="n">
        <v>2030</v>
      </c>
      <c r="C3431" s="3" t="inlineStr">
        <is>
          <t>Grid-Constrained / Efficiency-Upside</t>
        </is>
      </c>
      <c r="D3431" s="3" t="inlineStr">
        <is>
          <t>active_power_gw</t>
        </is>
      </c>
      <c r="E3431" s="3" t="n">
        <v>4.176</v>
      </c>
      <c r="F3431" s="3" t="inlineStr">
        <is>
          <t>GW</t>
        </is>
      </c>
      <c r="G3431" s="3" t="inlineStr">
        <is>
          <t>Derived scenario</t>
        </is>
      </c>
      <c r="H3431" s="3" t="inlineStr">
        <is>
          <t>contracted_power_gw * operational_deployment_share</t>
        </is>
      </c>
      <c r="I3431" s="3" t="inlineStr">
        <is>
          <t>MTIA deployment direction and consumer product distribution support active ramp, not exact powered GW.</t>
        </is>
      </c>
      <c r="J3431" s="3" t="inlineStr">
        <is>
          <t>ASSUMP_POWER_RAMP; SRC_META_MTIA_GENAI_2026</t>
        </is>
      </c>
      <c r="K3431" s="3" t="inlineStr">
        <is>
          <t>ASSUMP_CONSUMER_AI_UTILIZATION; ASSUMP_POWER_RAMP; ASSUMP_NUMERIC_ACCELERATOR_MIX; ASSUMP_INFERENCE_SHARE_NOT_FACT_60; ASSUMP_WORKLOAD_CLASS_MIX; ASSUMP_AGENTIC_CONTEXT_PENALTY</t>
        </is>
      </c>
      <c r="L3431" s="3" t="inlineStr">
        <is>
          <t>Energization dates, accelerator deliveries and operational powered-rack telemetry.</t>
        </is>
      </c>
    </row>
    <row r="3432">
      <c r="A3432" s="3" t="inlineStr">
        <is>
          <t>Meta</t>
        </is>
      </c>
      <c r="B3432" s="3" t="n">
        <v>2030</v>
      </c>
      <c r="C3432" s="3" t="inlineStr">
        <is>
          <t>Grid-Constrained / Efficiency-Upside</t>
        </is>
      </c>
      <c r="D3432" s="3" t="inlineStr">
        <is>
          <t>pue</t>
        </is>
      </c>
      <c r="E3432" s="3" t="n">
        <v>1.2</v>
      </c>
      <c r="F3432" s="3" t="inlineStr">
        <is>
          <t>ratio</t>
        </is>
      </c>
      <c r="G3432" s="3" t="inlineStr">
        <is>
          <t>Scenario parameter</t>
        </is>
      </c>
      <c r="H3432" s="3" t="inlineStr">
        <is>
          <t>it_load_gw = active_power_gw / pue</t>
        </is>
      </c>
      <c r="I3432" s="3" t="inlineStr">
        <is>
          <t>No provider-wide site-level PUE is used as a disclosed fact; PUE represents facility-to-IT conversion within the scenario.</t>
        </is>
      </c>
      <c r="J3432" s="3" t="inlineStr">
        <is>
          <t>ASSUMP_POWER_RAMP</t>
        </is>
      </c>
      <c r="K3432" s="3" t="inlineStr">
        <is>
          <t>ASSUMP_CONSUMER_AI_UTILIZATION; ASSUMP_POWER_RAMP; ASSUMP_NUMERIC_ACCELERATOR_MIX; ASSUMP_INFERENCE_SHARE_NOT_FACT_60; ASSUMP_WORKLOAD_CLASS_MIX; ASSUMP_AGENTIC_CONTEXT_PENALTY</t>
        </is>
      </c>
      <c r="L3432" s="3" t="inlineStr">
        <is>
          <t>Site-level measured PUE matched to attributed AI capacity.</t>
        </is>
      </c>
    </row>
    <row r="3433">
      <c r="A3433" s="3" t="inlineStr">
        <is>
          <t>Meta</t>
        </is>
      </c>
      <c r="B3433" s="3" t="n">
        <v>2030</v>
      </c>
      <c r="C3433" s="3" t="inlineStr">
        <is>
          <t>Grid-Constrained / Efficiency-Upside</t>
        </is>
      </c>
      <c r="D3433" s="3" t="inlineStr">
        <is>
          <t>it_load_gw</t>
        </is>
      </c>
      <c r="E3433" s="3" t="n">
        <v>3.48</v>
      </c>
      <c r="F3433" s="3" t="inlineStr">
        <is>
          <t>GW</t>
        </is>
      </c>
      <c r="G3433" s="3" t="inlineStr">
        <is>
          <t>Derived formula</t>
        </is>
      </c>
      <c r="H3433" s="3" t="inlineStr">
        <is>
          <t>active_power_gw / pue</t>
        </is>
      </c>
      <c r="I3433" s="3" t="inlineStr">
        <is>
          <t>Facility power is converted to IT-deliverable power before attributing AI workloads.</t>
        </is>
      </c>
      <c r="J3433" s="3" t="inlineStr">
        <is>
          <t>ASSUMP_POWER_RAMP; SRC_META_MTIA_GENAI_2026</t>
        </is>
      </c>
      <c r="K3433" s="3" t="inlineStr">
        <is>
          <t>ASSUMP_CONSUMER_AI_UTILIZATION; ASSUMP_POWER_RAMP; ASSUMP_NUMERIC_ACCELERATOR_MIX; ASSUMP_INFERENCE_SHARE_NOT_FACT_60; ASSUMP_WORKLOAD_CLASS_MIX; ASSUMP_AGENTIC_CONTEXT_PENALTY</t>
        </is>
      </c>
      <c r="L3433" s="3" t="inlineStr">
        <is>
          <t>Recompute once active power and PUE become site-observable.</t>
        </is>
      </c>
    </row>
    <row r="3434">
      <c r="A3434" s="3" t="inlineStr">
        <is>
          <t>Meta</t>
        </is>
      </c>
      <c r="B3434" s="3" t="n">
        <v>2030</v>
      </c>
      <c r="C3434" s="3" t="inlineStr">
        <is>
          <t>Grid-Constrained / Efficiency-Upside</t>
        </is>
      </c>
      <c r="D3434" s="3" t="inlineStr">
        <is>
          <t>ai_workload_share</t>
        </is>
      </c>
      <c r="E3434" s="3" t="n">
        <v>0.87</v>
      </c>
      <c r="F3434" s="3" t="inlineStr">
        <is>
          <t>share</t>
        </is>
      </c>
      <c r="G3434" s="3" t="inlineStr">
        <is>
          <t>Scenario allocation</t>
        </is>
      </c>
      <c r="H3434" s="3" t="inlineStr">
        <is>
          <t>ai_it_load_gw = it_load_gw * ai_workload_share</t>
        </is>
      </c>
      <c r="I3434" s="3" t="inlineStr">
        <is>
          <t>The modeled fleet is focused on AI workloads across Meta AI surfaces; non-LLM ranking/platform overhead is excluded through the 87% share.</t>
        </is>
      </c>
      <c r="J3434" s="3" t="inlineStr">
        <is>
          <t>SRC_META_LLAMA; SRC_META_LLAMA4_NVIDIA; SRC_META_MTIA_GENAI_2026; SRC_EPOCH_AI_DATA_CENTERS</t>
        </is>
      </c>
      <c r="K3434" s="3" t="inlineStr">
        <is>
          <t>ASSUMP_CONSUMER_AI_UTILIZATION; ASSUMP_POWER_RAMP; ASSUMP_NUMERIC_ACCELERATOR_MIX; ASSUMP_INFERENCE_SHARE_NOT_FACT_60; ASSUMP_WORKLOAD_CLASS_MIX; ASSUMP_AGENTIC_CONTEXT_PENALTY</t>
        </is>
      </c>
      <c r="L3434" s="3" t="inlineStr">
        <is>
          <t>Model-owner AI workload allocation or cluster scheduling telemetry.</t>
        </is>
      </c>
    </row>
    <row r="3435">
      <c r="A3435" s="3" t="inlineStr">
        <is>
          <t>Meta</t>
        </is>
      </c>
      <c r="B3435" s="3" t="n">
        <v>2030</v>
      </c>
      <c r="C3435" s="3" t="inlineStr">
        <is>
          <t>Grid-Constrained / Efficiency-Upside</t>
        </is>
      </c>
      <c r="D3435" s="3" t="inlineStr">
        <is>
          <t>ai_it_load_gw</t>
        </is>
      </c>
      <c r="E3435" s="3" t="n">
        <v>3.028</v>
      </c>
      <c r="F3435" s="3" t="inlineStr">
        <is>
          <t>GW</t>
        </is>
      </c>
      <c r="G3435" s="3" t="inlineStr">
        <is>
          <t>Derived formula</t>
        </is>
      </c>
      <c r="H3435" s="3" t="inlineStr">
        <is>
          <t>it_load_gw * ai_workload_share</t>
        </is>
      </c>
      <c r="I3435" s="3" t="inlineStr">
        <is>
          <t>Only the AI-attributed portion of IT load enters training/inference allocation.</t>
        </is>
      </c>
      <c r="J3435" s="3" t="inlineStr">
        <is>
          <t>SRC_META_LLAMA; SRC_META_LLAMA4_NVIDIA; SRC_META_MTIA_GENAI_2026; SRC_EPOCH_AI_DATA_CENTERS</t>
        </is>
      </c>
      <c r="K3435" s="3" t="inlineStr">
        <is>
          <t>ASSUMP_CONSUMER_AI_UTILIZATION; ASSUMP_POWER_RAMP; ASSUMP_NUMERIC_ACCELERATOR_MIX; ASSUMP_INFERENCE_SHARE_NOT_FACT_60; ASSUMP_WORKLOAD_CLASS_MIX; ASSUMP_AGENTIC_CONTEXT_PENALTY</t>
        </is>
      </c>
      <c r="L3435" s="3" t="inlineStr">
        <is>
          <t>Recompute after ai_workload_share is replaced by telemetry.</t>
        </is>
      </c>
    </row>
    <row r="3436">
      <c r="A3436" s="3" t="inlineStr">
        <is>
          <t>Meta</t>
        </is>
      </c>
      <c r="B3436" s="3" t="n">
        <v>2030</v>
      </c>
      <c r="C3436" s="3" t="inlineStr">
        <is>
          <t>Grid-Constrained / Efficiency-Upside</t>
        </is>
      </c>
      <c r="D3436" s="3" t="inlineStr">
        <is>
          <t>gpu_share</t>
        </is>
      </c>
      <c r="E3436" s="3" t="n">
        <v>0.612306</v>
      </c>
      <c r="F3436" s="3" t="inlineStr">
        <is>
          <t>share of inference-serving accelerator load</t>
        </is>
      </c>
      <c r="G3436" s="3" t="inlineStr">
        <is>
          <t>Numeric scenario</t>
        </is>
      </c>
      <c r="H3436" s="3" t="inlineStr">
        <is>
          <t>gpu_share interpolated from company 2026/2030 accelerator-mix endpoints</t>
        </is>
      </c>
      <c r="I3436" s="3" t="inlineStr">
        <is>
          <t>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436" s="3" t="inlineStr">
        <is>
          <t>SRC_META_LLAMA; SRC_META_LLAMA4_NVIDIA; SRC_META_MTIA_GENAI_2026; SRC_EPOCH_AI_DATA_CENTERS; ASSUMP_NUMERIC_ACCELERATOR_MIX</t>
        </is>
      </c>
      <c r="K3436" s="3" t="inlineStr">
        <is>
          <t>ASSUMP_CONSUMER_AI_UTILIZATION; ASSUMP_POWER_RAMP; ASSUMP_NUMERIC_ACCELERATOR_MIX; ASSUMP_INFERENCE_SHARE_NOT_FACT_60; ASSUMP_WORKLOAD_CLASS_MIX; ASSUMP_AGENTIC_CONTEXT_PENALTY</t>
        </is>
      </c>
      <c r="L3436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437">
      <c r="A3437" s="3" t="inlineStr">
        <is>
          <t>Meta</t>
        </is>
      </c>
      <c r="B3437" s="3" t="n">
        <v>2030</v>
      </c>
      <c r="C3437" s="3" t="inlineStr">
        <is>
          <t>Grid-Constrained / Efficiency-Upside</t>
        </is>
      </c>
      <c r="D3437" s="3" t="inlineStr">
        <is>
          <t>h200_share</t>
        </is>
      </c>
      <c r="E3437" s="3" t="n">
        <v>0</v>
      </c>
      <c r="F3437" s="3" t="inlineStr">
        <is>
          <t>share of inference-serving accelerator load</t>
        </is>
      </c>
      <c r="G3437" s="3" t="inlineStr">
        <is>
          <t>Editable numeric scenario</t>
        </is>
      </c>
      <c r="H3437" s="3" t="inlineStr">
        <is>
          <t>h200_share = gpu_share * default_gpu_generation_mix_h200</t>
        </is>
      </c>
      <c r="I3437" s="3" t="inlineStr">
        <is>
          <t>Default GPU-generation migration assumption; executive workbook allows later manual replacement by company/year/scenario.</t>
        </is>
      </c>
      <c r="J3437" s="3" t="inlineStr">
        <is>
          <t>SRC_SEMIANALYSIS_INFERENCEX; ASSUMP_NUMERIC_ACCELERATOR_MIX</t>
        </is>
      </c>
      <c r="K3437" s="3" t="inlineStr">
        <is>
          <t>ASSUMP_CONSUMER_AI_UTILIZATION; ASSUMP_POWER_RAMP; ASSUMP_NUMERIC_ACCELERATOR_MIX; ASSUMP_INFERENCE_SHARE_NOT_FACT_60; ASSUMP_WORKLOAD_CLASS_MIX; ASSUMP_AGENTIC_CONTEXT_PENALTY</t>
        </is>
      </c>
      <c r="L3437" s="3" t="inlineStr">
        <is>
          <t>Company fleet inventory, accelerator-hours or procurement/deployment records by GPU generation.</t>
        </is>
      </c>
    </row>
    <row r="3438">
      <c r="A3438" s="3" t="inlineStr">
        <is>
          <t>Meta</t>
        </is>
      </c>
      <c r="B3438" s="3" t="n">
        <v>2030</v>
      </c>
      <c r="C3438" s="3" t="inlineStr">
        <is>
          <t>Grid-Constrained / Efficiency-Upside</t>
        </is>
      </c>
      <c r="D3438" s="3" t="inlineStr">
        <is>
          <t>b200_share</t>
        </is>
      </c>
      <c r="E3438" s="3" t="n">
        <v>0.612306</v>
      </c>
      <c r="F3438" s="3" t="inlineStr">
        <is>
          <t>share of inference-serving accelerator load</t>
        </is>
      </c>
      <c r="G3438" s="3" t="inlineStr">
        <is>
          <t>Editable numeric scenario</t>
        </is>
      </c>
      <c r="H3438" s="3" t="inlineStr">
        <is>
          <t>b200_share = gpu_share * default_gpu_generation_mix_b200</t>
        </is>
      </c>
      <c r="I3438" s="3" t="inlineStr">
        <is>
          <t>Default GPU-generation migration assumption; executive workbook allows later manual replacement by company/year/scenario.</t>
        </is>
      </c>
      <c r="J3438" s="3" t="inlineStr">
        <is>
          <t>SRC_SEMIANALYSIS_INFERENCEX; ASSUMP_NUMERIC_ACCELERATOR_MIX</t>
        </is>
      </c>
      <c r="K3438" s="3" t="inlineStr">
        <is>
          <t>ASSUMP_CONSUMER_AI_UTILIZATION; ASSUMP_POWER_RAMP; ASSUMP_NUMERIC_ACCELERATOR_MIX; ASSUMP_INFERENCE_SHARE_NOT_FACT_60; ASSUMP_WORKLOAD_CLASS_MIX; ASSUMP_AGENTIC_CONTEXT_PENALTY</t>
        </is>
      </c>
      <c r="L3438" s="3" t="inlineStr">
        <is>
          <t>Company fleet inventory, accelerator-hours or procurement/deployment records by GPU generation.</t>
        </is>
      </c>
    </row>
    <row r="3439">
      <c r="A3439" s="3" t="inlineStr">
        <is>
          <t>Meta</t>
        </is>
      </c>
      <c r="B3439" s="3" t="n">
        <v>2030</v>
      </c>
      <c r="C3439" s="3" t="inlineStr">
        <is>
          <t>Grid-Constrained / Efficiency-Upside</t>
        </is>
      </c>
      <c r="D3439" s="3" t="inlineStr">
        <is>
          <t>gb200_share</t>
        </is>
      </c>
      <c r="E3439" s="3" t="n">
        <v>0</v>
      </c>
      <c r="F3439" s="3" t="inlineStr">
        <is>
          <t>share of inference-serving accelerator load</t>
        </is>
      </c>
      <c r="G3439" s="3" t="inlineStr">
        <is>
          <t>Editable numeric scenario</t>
        </is>
      </c>
      <c r="H3439" s="3" t="inlineStr">
        <is>
          <t>gb200_share = gpu_share * default_gpu_generation_mix_gb200</t>
        </is>
      </c>
      <c r="I3439" s="3" t="inlineStr">
        <is>
          <t>Default GPU-generation migration assumption; executive workbook allows later manual replacement by company/year/scenario.</t>
        </is>
      </c>
      <c r="J3439" s="3" t="inlineStr">
        <is>
          <t>SRC_SEMIANALYSIS_INFERENCEX; ASSUMP_NUMERIC_ACCELERATOR_MIX</t>
        </is>
      </c>
      <c r="K3439" s="3" t="inlineStr">
        <is>
          <t>ASSUMP_CONSUMER_AI_UTILIZATION; ASSUMP_POWER_RAMP; ASSUMP_NUMERIC_ACCELERATOR_MIX; ASSUMP_INFERENCE_SHARE_NOT_FACT_60; ASSUMP_WORKLOAD_CLASS_MIX; ASSUMP_AGENTIC_CONTEXT_PENALTY</t>
        </is>
      </c>
      <c r="L3439" s="3" t="inlineStr">
        <is>
          <t>Company fleet inventory, accelerator-hours or procurement/deployment records by GPU generation.</t>
        </is>
      </c>
    </row>
    <row r="3440">
      <c r="A3440" s="3" t="inlineStr">
        <is>
          <t>Meta</t>
        </is>
      </c>
      <c r="B3440" s="3" t="n">
        <v>2030</v>
      </c>
      <c r="C3440" s="3" t="inlineStr">
        <is>
          <t>Grid-Constrained / Efficiency-Upside</t>
        </is>
      </c>
      <c r="D3440" s="3" t="inlineStr">
        <is>
          <t>purpose_built_accelerator_share</t>
        </is>
      </c>
      <c r="E3440" s="3" t="n">
        <v>0.387694</v>
      </c>
      <c r="F3440" s="3" t="inlineStr">
        <is>
          <t>share of inference-serving accelerator load</t>
        </is>
      </c>
      <c r="G3440" s="3" t="inlineStr">
        <is>
          <t>Numeric scenario</t>
        </is>
      </c>
      <c r="H3440" s="3" t="inlineStr">
        <is>
          <t>1 - gpu_share</t>
        </is>
      </c>
      <c r="I3440" s="3" t="inlineStr">
        <is>
          <t>Purpose-built bucket: MTIA. Derived by capacity-weighting 02a_DC_Capacity_Alloc rows against 02b_DC_Accelerator_Mix rows, using inference-weighted capacity only. Meta discloses hundreds of thousands of MTIA chips for inference and an inference-first GenAI MTIA roadmap. LLM-serving mix remains undisclosed; adoption is scenario-based.</t>
        </is>
      </c>
      <c r="J3440" s="3" t="inlineStr">
        <is>
          <t>SRC_META_LLAMA; SRC_META_LLAMA4_NVIDIA; SRC_META_MTIA_GENAI_2026; SRC_EPOCH_AI_DATA_CENTERS; ASSUMP_NUMERIC_ACCELERATOR_MIX</t>
        </is>
      </c>
      <c r="K3440" s="3" t="inlineStr">
        <is>
          <t>ASSUMP_CONSUMER_AI_UTILIZATION; ASSUMP_POWER_RAMP; ASSUMP_NUMERIC_ACCELERATOR_MIX; ASSUMP_INFERENCE_SHARE_NOT_FACT_60; ASSUMP_WORKLOAD_CLASS_MIX; ASSUMP_AGENTIC_CONTEXT_PENALTY</t>
        </is>
      </c>
      <c r="L3440" s="3" t="inlineStr">
        <is>
          <t>Replace 02a datacenter capacity allocations and 02b datacenter accelerator mix with contract/procurement telemetry. Meta AI production model-routing and MTIA-versus-GPU inference allocation disclosure.</t>
        </is>
      </c>
    </row>
    <row r="3441">
      <c r="A3441" s="3" t="inlineStr">
        <is>
          <t>Meta</t>
        </is>
      </c>
      <c r="B3441" s="3" t="n">
        <v>2030</v>
      </c>
      <c r="C3441" s="3" t="inlineStr">
        <is>
          <t>Grid-Constrained / Efficiency-Upside</t>
        </is>
      </c>
      <c r="D3441" s="3" t="inlineStr">
        <is>
          <t>fleet_reference_tps_per_mw</t>
        </is>
      </c>
      <c r="E3441" s="3" t="n">
        <v>941060</v>
      </c>
      <c r="F3441" s="3" t="inlineStr">
        <is>
          <t>generated output tokens/sec/MW</t>
        </is>
      </c>
      <c r="G3441" s="3" t="inlineStr">
        <is>
          <t>Fleet-weighted public benchmark reference</t>
        </is>
      </c>
      <c r="H3441" s="3" t="inlineStr">
        <is>
          <t>h200_share*h200_workload_avg + b200_share*b200_workload_avg + gb200_share*gb200_workload_avg + purpose_built_share*purpose_workload_avg</t>
        </is>
      </c>
      <c r="I3441" s="3" t="inlineStr">
        <is>
          <t>Selected InferenceX proxy model: llama70b. Each GPU-generation reference first averages short_chat, long_chat and agentic TPS/MW using company workload mix; purpose-built remains a documented B200 placeholder.</t>
        </is>
      </c>
      <c r="J3441" s="3" t="inlineStr">
        <is>
          <t>SRC_SEMIANALYSIS_INFERENCEX; ASSUMP_NUMERIC_ACCELERATOR_MIX; ASSUMP_WORKLOAD_CLASS_MIX; ASSUMP_AGENTIC_CONTEXT_PENALTY</t>
        </is>
      </c>
      <c r="K3441" s="3" t="inlineStr">
        <is>
          <t>ASSUMP_CONSUMER_AI_UTILIZATION; ASSUMP_POWER_RAMP; ASSUMP_NUMERIC_ACCELERATOR_MIX; ASSUMP_INFERENCE_SHARE_NOT_FACT_60; ASSUMP_WORKLOAD_CLASS_MIX; ASSUMP_AGENTIC_CONTEXT_PENALTY</t>
        </is>
      </c>
      <c r="L3441" s="3" t="inlineStr">
        <is>
          <t>Comparable production output-token throughput or a more closely matched benchmark.</t>
        </is>
      </c>
    </row>
    <row r="3442">
      <c r="A3442" s="3" t="inlineStr">
        <is>
          <t>Meta</t>
        </is>
      </c>
      <c r="B3442" s="3" t="n">
        <v>2030</v>
      </c>
      <c r="C3442" s="3" t="inlineStr">
        <is>
          <t>Grid-Constrained / Efficiency-Upside</t>
        </is>
      </c>
      <c r="D3442" s="3" t="inlineStr">
        <is>
          <t>commercial_workload_fit_factor</t>
        </is>
      </c>
      <c r="E3442" s="3" t="n">
        <v>0.9</v>
      </c>
      <c r="F3442" s="3" t="inlineStr">
        <is>
          <t>share of public reference throughput</t>
        </is>
      </c>
      <c r="G3442" s="3" t="inlineStr">
        <is>
          <t>Scenario assumption</t>
        </is>
      </c>
      <c r="H3442" s="3" t="inlineStr">
        <is>
          <t>reference_serving_tps_per_mw = fleet_reference_tps_per_mw * commercial_workload_fit_factor</t>
        </is>
      </c>
      <c r="I3442" s="3" t="inlineStr">
        <is>
          <t>Commercial workload class: Llama / Meta AI general assistant. Company mix uses short_chat=70%, long_chat=20%, agentic=10%; closed-model, reasoning, long-context and SLO mismatch stays explicit.</t>
        </is>
      </c>
      <c r="J3442" s="3" t="inlineStr">
        <is>
          <t>SRC_SEMIANALYSIS_INFERENCEX; ASSUMP_NUMERIC_ACCELERATOR_MIX; ASSUMP_WORKLOAD_CLASS_MIX; ASSUMP_AGENTIC_CONTEXT_PENALTY</t>
        </is>
      </c>
      <c r="K3442" s="3" t="inlineStr">
        <is>
          <t>ASSUMP_CONSUMER_AI_UTILIZATION; ASSUMP_POWER_RAMP; ASSUMP_NUMERIC_ACCELERATOR_MIX; ASSUMP_INFERENCE_SHARE_NOT_FACT_60; ASSUMP_WORKLOAD_CLASS_MIX; ASSUMP_AGENTIC_CONTEXT_PENALTY</t>
        </is>
      </c>
      <c r="L3442" s="3" t="inlineStr">
        <is>
          <t>Matched commercial serving benchmark by product surface, context shape and latency SLO.</t>
        </is>
      </c>
    </row>
    <row r="3443">
      <c r="A3443" s="3" t="inlineStr">
        <is>
          <t>Meta</t>
        </is>
      </c>
      <c r="B3443" s="3" t="n">
        <v>2030</v>
      </c>
      <c r="C3443" s="3" t="inlineStr">
        <is>
          <t>Grid-Constrained / Efficiency-Upside</t>
        </is>
      </c>
      <c r="D3443" s="3" t="inlineStr">
        <is>
          <t>reference_serving_tps_per_mw</t>
        </is>
      </c>
      <c r="E3443" s="3" t="n">
        <v>846954</v>
      </c>
      <c r="F3443" s="3" t="inlineStr">
        <is>
          <t>generated output tokens/sec/MW</t>
        </is>
      </c>
      <c r="G3443" s="3" t="inlineStr">
        <is>
          <t>Workload-adjusted benchmark proxy</t>
        </is>
      </c>
      <c r="H3443" s="3" t="inlineStr">
        <is>
          <t>fleet_reference_tps_per_mw * commercial_workload_fit_factor</t>
        </is>
      </c>
      <c r="I3443" s="3" t="inlineStr">
        <is>
          <t>This is the coefficient used for headline token generation; each GPU's short chat, long chat and agentic TPS/MW are weighted before fleet mix and commercial fit are applied.</t>
        </is>
      </c>
      <c r="J3443" s="3" t="inlineStr">
        <is>
          <t>SRC_SEMIANALYSIS_INFERENCEX; ASSUMP_NUMERIC_ACCELERATOR_MIX; ASSUMP_WORKLOAD_CLASS_MIX; ASSUMP_AGENTIC_CONTEXT_PENALTY</t>
        </is>
      </c>
      <c r="K3443" s="3" t="inlineStr">
        <is>
          <t>ASSUMP_CONSUMER_AI_UTILIZATION; ASSUMP_POWER_RAMP; ASSUMP_NUMERIC_ACCELERATOR_MIX; ASSUMP_INFERENCE_SHARE_NOT_FACT_60; ASSUMP_WORKLOAD_CLASS_MIX; ASSUMP_AGENTIC_CONTEXT_PENALTY</t>
        </is>
      </c>
      <c r="L3443" s="3" t="inlineStr">
        <is>
          <t>Provider production output-token throughput with comparable workload/SLO.</t>
        </is>
      </c>
    </row>
    <row r="3444">
      <c r="A3444" s="3" t="inlineStr">
        <is>
          <t>Meta</t>
        </is>
      </c>
      <c r="B3444" s="3" t="n">
        <v>2030</v>
      </c>
      <c r="C3444" s="3" t="inlineStr">
        <is>
          <t>Grid-Constrained / Efficiency-Upside</t>
        </is>
      </c>
      <c r="D3444" s="3" t="inlineStr">
        <is>
          <t>purpose_built_tps_per_mw</t>
        </is>
      </c>
      <c r="E3444" s="3" t="n">
        <v>1105664</v>
      </c>
      <c r="F3444" s="3" t="inlineStr">
        <is>
          <t>generated output tokens/sec/MW</t>
        </is>
      </c>
      <c r="G3444" s="3" t="inlineStr">
        <is>
          <t>Conservative no-uplift proxy</t>
        </is>
      </c>
      <c r="H3444" s="3" t="inlineStr">
        <is>
          <t>purpose_built_tps_per_mw = purpose_built_reference_tps_per_mw * commercial_workload_fit_factor until comparable output-token benchmark is adopted</t>
        </is>
      </c>
      <c r="I3444" s="3" t="inlineStr">
        <is>
          <t>No comparable public output-token/MW row adopted; B200 public reference placeholder is used and remains editable.</t>
        </is>
      </c>
      <c r="J3444" s="3" t="inlineStr">
        <is>
          <t>SRC_META_LLAMA; SRC_META_LLAMA4_NVIDIA; SRC_META_MTIA_GENAI_2026; SRC_EPOCH_AI_DATA_CENTERS; ASSUMP_NUMERIC_ACCELERATOR_MIX</t>
        </is>
      </c>
      <c r="K3444" s="3" t="inlineStr">
        <is>
          <t>ASSUMP_CONSUMER_AI_UTILIZATION; ASSUMP_POWER_RAMP; ASSUMP_NUMERIC_ACCELERATOR_MIX; ASSUMP_INFERENCE_SHARE_NOT_FACT_60; ASSUMP_WORKLOAD_CLASS_MIX; ASSUMP_AGENTIC_CONTEXT_PENALTY</t>
        </is>
      </c>
      <c r="L3444" s="3" t="inlineStr">
        <is>
          <t>Matched-workload generated-output benchmark for the provider purpose-built accelerator.</t>
        </is>
      </c>
    </row>
    <row r="3445">
      <c r="A3445" s="3" t="inlineStr">
        <is>
          <t>Meta</t>
        </is>
      </c>
      <c r="B3445" s="3" t="n">
        <v>2030</v>
      </c>
      <c r="C3445" s="3" t="inlineStr">
        <is>
          <t>Grid-Constrained / Efficiency-Upside</t>
        </is>
      </c>
      <c r="D3445" s="3" t="inlineStr">
        <is>
          <t>inference_power_share</t>
        </is>
      </c>
      <c r="E3445" s="3" t="n">
        <v>0.82</v>
      </c>
      <c r="F3445" s="3" t="inlineStr">
        <is>
          <t>share of AI IT load</t>
        </is>
      </c>
      <c r="G3445" s="3" t="inlineStr">
        <is>
          <t>Scenario allocation</t>
        </is>
      </c>
      <c r="H3445" s="3" t="inlineStr">
        <is>
          <t>inference_gw = ai_it_load_gw * inference_power_share</t>
        </is>
      </c>
      <c r="I3445" s="3" t="inlineStr">
        <is>
          <t>Large consumer AI distribution and inference-first MTIA roadmap support a higher inference share scenario.</t>
        </is>
      </c>
      <c r="J3445" s="3" t="inlineStr">
        <is>
          <t>SRC_META_LLAMA; SRC_META_LLAMA4_NVIDIA; SRC_META_MTIA_GENAI_2026; SRC_EPOCH_AI_DATA_CENTERS; ASSUMP_INFERENCE_SHARE_NOT_FACT_60</t>
        </is>
      </c>
      <c r="K3445" s="3" t="inlineStr">
        <is>
          <t>ASSUMP_CONSUMER_AI_UTILIZATION; ASSUMP_POWER_RAMP; ASSUMP_NUMERIC_ACCELERATOR_MIX; ASSUMP_INFERENCE_SHARE_NOT_FACT_60; ASSUMP_WORKLOAD_CLASS_MIX; ASSUMP_AGENTIC_CONTEXT_PENALTY</t>
        </is>
      </c>
      <c r="L3445" s="3" t="inlineStr">
        <is>
          <t>Provider-specific inference/training workload power telemetry.</t>
        </is>
      </c>
    </row>
    <row r="3446">
      <c r="A3446" s="3" t="inlineStr">
        <is>
          <t>Meta</t>
        </is>
      </c>
      <c r="B3446" s="3" t="n">
        <v>2030</v>
      </c>
      <c r="C3446" s="3" t="inlineStr">
        <is>
          <t>Grid-Constrained / Efficiency-Upside</t>
        </is>
      </c>
      <c r="D3446" s="3" t="inlineStr">
        <is>
          <t>inference_gw</t>
        </is>
      </c>
      <c r="E3446" s="3" t="n">
        <v>2.483</v>
      </c>
      <c r="F3446" s="3" t="inlineStr">
        <is>
          <t>GW</t>
        </is>
      </c>
      <c r="G3446" s="3" t="inlineStr">
        <is>
          <t>Derived formula</t>
        </is>
      </c>
      <c r="H3446" s="3" t="inlineStr">
        <is>
          <t>ai_it_load_gw * inference_power_share</t>
        </is>
      </c>
      <c r="I3446" s="3" t="inlineStr">
        <is>
          <t>This is the operational power eligible to become commercial generated output tokens through the selected TPS/MW proxy.</t>
        </is>
      </c>
      <c r="J3446" s="3" t="inlineStr">
        <is>
          <t>SRC_META_LLAMA; SRC_META_LLAMA4_NVIDIA; SRC_META_MTIA_GENAI_2026; SRC_EPOCH_AI_DATA_CENTERS</t>
        </is>
      </c>
      <c r="K3446" s="3" t="inlineStr">
        <is>
          <t>ASSUMP_CONSUMER_AI_UTILIZATION; ASSUMP_POWER_RAMP; ASSUMP_NUMERIC_ACCELERATOR_MIX; ASSUMP_INFERENCE_SHARE_NOT_FACT_60; ASSUMP_WORKLOAD_CLASS_MIX; ASSUMP_AGENTIC_CONTEXT_PENALTY</t>
        </is>
      </c>
      <c r="L3446" s="3" t="inlineStr">
        <is>
          <t>Recompute after AI allocation or inference-share evidence changes.</t>
        </is>
      </c>
    </row>
    <row r="3447">
      <c r="A3447" s="3" t="inlineStr">
        <is>
          <t>Meta</t>
        </is>
      </c>
      <c r="B3447" s="3" t="n">
        <v>2030</v>
      </c>
      <c r="C3447" s="3" t="inlineStr">
        <is>
          <t>Grid-Constrained / Efficiency-Upside</t>
        </is>
      </c>
      <c r="D3447" s="3" t="inlineStr">
        <is>
          <t>training_power_share</t>
        </is>
      </c>
      <c r="E3447" s="3" t="n">
        <v>0.18</v>
      </c>
      <c r="F3447" s="3" t="inlineStr">
        <is>
          <t>share of AI IT load</t>
        </is>
      </c>
      <c r="G3447" s="3" t="inlineStr">
        <is>
          <t>Derived allocation</t>
        </is>
      </c>
      <c r="H3447" s="3" t="inlineStr">
        <is>
          <t>1 - inference_power_share</t>
        </is>
      </c>
      <c r="I3447" s="3" t="inlineStr">
        <is>
          <t>Training receives the complementary modeled AI IT allocation; it is not a disclosed company workload split.</t>
        </is>
      </c>
      <c r="J3447" s="3" t="inlineStr">
        <is>
          <t>SRC_META_LLAMA; SRC_META_LLAMA4_NVIDIA; SRC_META_MTIA_GENAI_2026; SRC_EPOCH_AI_DATA_CENTERS; ASSUMP_INFERENCE_SHARE_NOT_FACT_60</t>
        </is>
      </c>
      <c r="K3447" s="3" t="inlineStr">
        <is>
          <t>ASSUMP_CONSUMER_AI_UTILIZATION; ASSUMP_POWER_RAMP; ASSUMP_NUMERIC_ACCELERATOR_MIX; ASSUMP_INFERENCE_SHARE_NOT_FACT_60; ASSUMP_WORKLOAD_CLASS_MIX; ASSUMP_AGENTIC_CONTEXT_PENALTY</t>
        </is>
      </c>
      <c r="L3447" s="3" t="inlineStr">
        <is>
          <t>Provider-specific inference/training workload power telemetry.</t>
        </is>
      </c>
    </row>
    <row r="3448">
      <c r="A3448" s="3" t="inlineStr">
        <is>
          <t>Meta</t>
        </is>
      </c>
      <c r="B3448" s="3" t="n">
        <v>2030</v>
      </c>
      <c r="C3448" s="3" t="inlineStr">
        <is>
          <t>Grid-Constrained / Efficiency-Upside</t>
        </is>
      </c>
      <c r="D3448" s="3" t="inlineStr">
        <is>
          <t>training_gw</t>
        </is>
      </c>
      <c r="E3448" s="3" t="n">
        <v>0.545</v>
      </c>
      <c r="F3448" s="3" t="inlineStr">
        <is>
          <t>GW</t>
        </is>
      </c>
      <c r="G3448" s="3" t="inlineStr">
        <is>
          <t>Derived formula</t>
        </is>
      </c>
      <c r="H3448" s="3" t="inlineStr">
        <is>
          <t>ai_it_load_gw * training_power_share</t>
        </is>
      </c>
      <c r="I3448" s="3" t="inlineStr">
        <is>
          <t>Training GW is shown separately so commercial inference token capacity is not overstated.</t>
        </is>
      </c>
      <c r="J3448" s="3" t="inlineStr">
        <is>
          <t>SRC_META_LLAMA; SRC_META_LLAMA4_NVIDIA; SRC_META_MTIA_GENAI_2026; SRC_EPOCH_AI_DATA_CENTERS</t>
        </is>
      </c>
      <c r="K3448" s="3" t="inlineStr">
        <is>
          <t>ASSUMP_CONSUMER_AI_UTILIZATION; ASSUMP_POWER_RAMP; ASSUMP_NUMERIC_ACCELERATOR_MIX; ASSUMP_INFERENCE_SHARE_NOT_FACT_60; ASSUMP_WORKLOAD_CLASS_MIX; ASSUMP_AGENTIC_CONTEXT_PENALTY</t>
        </is>
      </c>
      <c r="L3448" s="3" t="inlineStr">
        <is>
          <t>Recompute after AI allocation or workload-split evidence changes.</t>
        </is>
      </c>
    </row>
    <row r="3449">
      <c r="A3449" s="3" t="inlineStr">
        <is>
          <t>Meta</t>
        </is>
      </c>
      <c r="B3449" s="3" t="n">
        <v>2030</v>
      </c>
      <c r="C3449" s="3" t="inlineStr">
        <is>
          <t>Grid-Constrained / Efficiency-Upside</t>
        </is>
      </c>
      <c r="D3449" s="3" t="inlineStr">
        <is>
          <t>tokens_per_second_per_mw</t>
        </is>
      </c>
      <c r="E3449" s="3" t="n">
        <v>846954</v>
      </c>
      <c r="F3449" s="3" t="inlineStr">
        <is>
          <t>generated output tokens/sec/MW</t>
        </is>
      </c>
      <c r="G3449" s="3" t="inlineStr">
        <is>
          <t>Derived estimate + benchmark calibration</t>
        </is>
      </c>
      <c r="H3449" s="3" t="inlineStr">
        <is>
          <t>fleet_reference_tps_per_mw * commercial_workload_fit_factor</t>
        </is>
      </c>
      <c r="I3449" s="3" t="inlineStr">
        <is>
          <t>Llama 70B B200 output-token benchmark proxy. MTIA presence is shown, but no unmatched efficiency premium is applied. Workload reference is now split into short_chat, long_chat and agentic classes. Company mix: short 70%, long 20%, agentic 10%. Commercial workload fit factor: Llama benchmark family is comparatively close to Meta AI serving, while fleet routing and MTIA performance remain unmeasured. Meta AI and Business Agent are high-volume messaging/customer-service surfaces; agentic enterprise actions are emerging but smaller in Base.</t>
        </is>
      </c>
      <c r="J3449" s="3" t="inlineStr">
        <is>
          <t>SRC_META_LLAMA; SRC_META_LLAMA4_NVIDIA; SRC_META_MTIA_GENAI_2026; SRC_EPOCH_AI_DATA_CENTERS; SRC_SEMIANALYSIS_INFERENCEX; ASSUMP_NUMERIC_ACCELERATOR_MIX; ASSUMP_WORKLOAD_CLASS_MIX; ASSUMP_AGENTIC_CONTEXT_PENALTY</t>
        </is>
      </c>
      <c r="K3449" s="3" t="inlineStr">
        <is>
          <t>ASSUMP_CONSUMER_AI_UTILIZATION; ASSUMP_POWER_RAMP; ASSUMP_NUMERIC_ACCELERATOR_MIX; ASSUMP_INFERENCE_SHARE_NOT_FACT_60; ASSUMP_WORKLOAD_CLASS_MIX; ASSUMP_AGENTIC_CONTEXT_PENALTY</t>
        </is>
      </c>
      <c r="L3449" s="3" t="inlineStr">
        <is>
          <t>Comparable production output-token throughput with model, hardware, precision, ISL/OSL and SLO matched.</t>
        </is>
      </c>
    </row>
    <row r="3450">
      <c r="A3450" s="3" t="inlineStr">
        <is>
          <t>Meta</t>
        </is>
      </c>
      <c r="B3450" s="3" t="n">
        <v>2030</v>
      </c>
      <c r="C3450" s="3" t="inlineStr">
        <is>
          <t>Grid-Constrained / Efficiency-Upside</t>
        </is>
      </c>
      <c r="D3450" s="3" t="inlineStr">
        <is>
          <t>inference_tokens_per_day</t>
        </is>
      </c>
      <c r="E3450" s="3" t="n">
        <v>181698057964800</v>
      </c>
      <c r="F3450" s="3" t="inlineStr">
        <is>
          <t>generated output tokens/day</t>
        </is>
      </c>
      <c r="G3450" s="3" t="inlineStr">
        <is>
          <t>Derived headline metric</t>
        </is>
      </c>
      <c r="H3450" s="3" t="inlineStr">
        <is>
          <t>inference_gw * 1000 * tokens_per_second_per_mw * 86,400</t>
        </is>
      </c>
      <c r="I3450" s="3" t="inlineStr">
        <is>
          <t>Headline capacity uses no utilization, MoE, architecture or software-growth multiplier; it is not observed commercial output volume.</t>
        </is>
      </c>
      <c r="J3450" s="3" t="inlineStr">
        <is>
          <t>SRC_META_LLAMA; SRC_META_LLAMA4_NVIDIA; SRC_META_MTIA_GENAI_2026; SRC_EPOCH_AI_DATA_CENTERS; SRC_SEMIANALYSIS_INFERENCEX</t>
        </is>
      </c>
      <c r="K3450" s="3" t="inlineStr">
        <is>
          <t>ASSUMP_CONSUMER_AI_UTILIZATION; ASSUMP_POWER_RAMP; ASSUMP_NUMERIC_ACCELERATOR_MIX; ASSUMP_INFERENCE_SHARE_NOT_FACT_60; ASSUMP_WORKLOAD_CLASS_MIX; ASSUMP_AGENTIC_CONTEXT_PENALTY</t>
        </is>
      </c>
      <c r="L3450" s="3" t="inlineStr">
        <is>
          <t>Provider-disclosed generated output token volume or calibrated capacity telemetry.</t>
        </is>
      </c>
    </row>
    <row r="3451">
      <c r="A3451" s="3" t="inlineStr">
        <is>
          <t>Meta</t>
        </is>
      </c>
      <c r="B3451" s="3" t="n">
        <v>2030</v>
      </c>
      <c r="C3451" s="3" t="inlineStr">
        <is>
          <t>Grid-Constrained / Efficiency-Upside</t>
        </is>
      </c>
      <c r="D3451" s="3" t="inlineStr">
        <is>
          <t>inference_tokens_per_year</t>
        </is>
      </c>
      <c r="E3451" s="3" t="n">
        <v>6.6319791157152e+16</v>
      </c>
      <c r="F3451" s="3" t="inlineStr">
        <is>
          <t>generated output tokens/year</t>
        </is>
      </c>
      <c r="G3451" s="3" t="inlineStr">
        <is>
          <t>Derived headline metric</t>
        </is>
      </c>
      <c r="H3451" s="3" t="inlineStr">
        <is>
          <t>inference_tokens_per_day * 365</t>
        </is>
      </c>
      <c r="I3451" s="3" t="inlineStr">
        <is>
          <t>Annualized version of generated output token capacity; it is not observed annual demand or billable volume.</t>
        </is>
      </c>
      <c r="J3451" s="3" t="inlineStr">
        <is>
          <t>SRC_META_LLAMA; SRC_META_LLAMA4_NVIDIA; SRC_META_MTIA_GENAI_2026; SRC_EPOCH_AI_DATA_CENTERS; SRC_SEMIANALYSIS_INFERENCEX</t>
        </is>
      </c>
      <c r="K3451" s="3" t="inlineStr">
        <is>
          <t>ASSUMP_CONSUMER_AI_UTILIZATION; ASSUMP_POWER_RAMP; ASSUMP_NUMERIC_ACCELERATOR_MIX; ASSUMP_INFERENCE_SHARE_NOT_FACT_60; ASSUMP_WORKLOAD_CLASS_MIX; ASSUMP_AGENTIC_CONTEXT_PENALTY</t>
        </is>
      </c>
      <c r="L3451" s="3" t="inlineStr">
        <is>
          <t>Provider-disclosed annual generated-output volume or metered serving telemetry.</t>
        </is>
      </c>
    </row>
    <row r="3452">
      <c r="A3452" s="3" t="inlineStr">
        <is>
          <t>xAI</t>
        </is>
      </c>
      <c r="B3452" s="3" t="n">
        <v>2026</v>
      </c>
      <c r="C3452" s="3" t="inlineStr">
        <is>
          <t>Grid-Constrained / Efficiency-Upside</t>
        </is>
      </c>
      <c r="D3452" s="3" t="inlineStr">
        <is>
          <t>contracted_power_gw</t>
        </is>
      </c>
      <c r="E3452" s="3" t="n">
        <v>1</v>
      </c>
      <c r="F3452" s="3" t="inlineStr">
        <is>
          <t>GW</t>
        </is>
      </c>
      <c r="G3452" s="3" t="inlineStr">
        <is>
          <t>Fact anchor + scenario ceiling</t>
        </is>
      </c>
      <c r="H3452" s="3" t="inlineStr">
        <is>
          <t>linear interpolation between 2026 and 2030 company capacity endpoints</t>
        </is>
      </c>
      <c r="I3452" s="3" t="inlineStr">
        <is>
          <t>Colossus GPU-count disclosure bounds capacity direction; contracted GW values are modeled power envelopes.</t>
        </is>
      </c>
      <c r="J3452" s="3" t="inlineStr">
        <is>
          <t>SRC_XAI_NVIDIA_COLOSSUS; ASSUMP_CLUSTER_RAMP</t>
        </is>
      </c>
      <c r="K3452" s="3" t="inlineStr">
        <is>
          <t>ASSUMP_CLUSTER_RAMP; ASSUMP_CLOSED_MODEL_BAND; ASSUMP_NUMERIC_ACCELERATOR_MIX; ASSUMP_INFERENCE_SHARE_NOT_FACT_60; ASSUMP_WORKLOAD_CLASS_MIX; ASSUMP_AGENTIC_CONTEXT_PENALTY</t>
        </is>
      </c>
      <c r="L3452" s="3" t="inlineStr">
        <is>
          <t>Company/site-level committed MW/GW, interconnect and contract disclosure.</t>
        </is>
      </c>
    </row>
    <row r="3453">
      <c r="A3453" s="3" t="inlineStr">
        <is>
          <t>xAI</t>
        </is>
      </c>
      <c r="B3453" s="3" t="n">
        <v>2026</v>
      </c>
      <c r="C3453" s="3" t="inlineStr">
        <is>
          <t>Grid-Constrained / Efficiency-Upside</t>
        </is>
      </c>
      <c r="D3453" s="3" t="inlineStr">
        <is>
          <t>operational_deployment_share</t>
        </is>
      </c>
      <c r="E3453" s="3" t="n">
        <v>0.308</v>
      </c>
      <c r="F3453" s="3" t="inlineStr">
        <is>
          <t>share</t>
        </is>
      </c>
      <c r="G3453" s="3" t="inlineStr">
        <is>
          <t>Scenario conversion</t>
        </is>
      </c>
      <c r="H3453" s="3" t="inlineStr">
        <is>
          <t>active_power_gw / contracted_power_gw</t>
        </is>
      </c>
      <c r="I3453" s="3" t="inlineStr">
        <is>
          <t>This is the single explicit conversion from contracted/attributed capacity to operationally usable capacity.</t>
        </is>
      </c>
      <c r="J3453" s="3" t="inlineStr">
        <is>
          <t>SRC_XAI_NVIDIA_COLOSSUS; ASSUMP_CLUSTER_RAMP</t>
        </is>
      </c>
      <c r="K3453" s="3" t="inlineStr">
        <is>
          <t>ASSUMP_CLUSTER_RAMP; ASSUMP_CLOSED_MODEL_BAND; ASSUMP_NUMERIC_ACCELERATOR_MIX; ASSUMP_INFERENCE_SHARE_NOT_FACT_60; ASSUMP_WORKLOAD_CLASS_MIX; ASSUMP_AGENTIC_CONTEXT_PENALTY</t>
        </is>
      </c>
      <c r="L3453" s="3" t="inlineStr">
        <is>
          <t>Energized operational capacity divided by contracted/attributed capacity.</t>
        </is>
      </c>
    </row>
    <row r="3454">
      <c r="A3454" s="3" t="inlineStr">
        <is>
          <t>xAI</t>
        </is>
      </c>
      <c r="B3454" s="3" t="n">
        <v>2026</v>
      </c>
      <c r="C3454" s="3" t="inlineStr">
        <is>
          <t>Grid-Constrained / Efficiency-Upside</t>
        </is>
      </c>
      <c r="D3454" s="3" t="inlineStr">
        <is>
          <t>active_power_gw</t>
        </is>
      </c>
      <c r="E3454" s="3" t="n">
        <v>0.308</v>
      </c>
      <c r="F3454" s="3" t="inlineStr">
        <is>
          <t>GW</t>
        </is>
      </c>
      <c r="G3454" s="3" t="inlineStr">
        <is>
          <t>Derived scenario</t>
        </is>
      </c>
      <c r="H3454" s="3" t="inlineStr">
        <is>
          <t>contracted_power_gw * operational_deployment_share</t>
        </is>
      </c>
      <c r="I3454" s="3" t="inlineStr">
        <is>
          <t>GPU cluster scale anchors operational possibility, while inference/training allocation and site power draw remain estimates.</t>
        </is>
      </c>
      <c r="J3454" s="3" t="inlineStr">
        <is>
          <t>SRC_XAI_NVIDIA_COLOSSUS; ASSUMP_CLUSTER_RAMP</t>
        </is>
      </c>
      <c r="K3454" s="3" t="inlineStr">
        <is>
          <t>ASSUMP_CLUSTER_RAMP; ASSUMP_CLOSED_MODEL_BAND; ASSUMP_NUMERIC_ACCELERATOR_MIX; ASSUMP_INFERENCE_SHARE_NOT_FACT_60; ASSUMP_WORKLOAD_CLASS_MIX; ASSUMP_AGENTIC_CONTEXT_PENALTY</t>
        </is>
      </c>
      <c r="L3454" s="3" t="inlineStr">
        <is>
          <t>Energization dates, accelerator deliveries and operational powered-rack telemetry.</t>
        </is>
      </c>
    </row>
    <row r="3455">
      <c r="A3455" s="3" t="inlineStr">
        <is>
          <t>xAI</t>
        </is>
      </c>
      <c r="B3455" s="3" t="n">
        <v>2026</v>
      </c>
      <c r="C3455" s="3" t="inlineStr">
        <is>
          <t>Grid-Constrained / Efficiency-Upside</t>
        </is>
      </c>
      <c r="D3455" s="3" t="inlineStr">
        <is>
          <t>pue</t>
        </is>
      </c>
      <c r="E3455" s="3" t="n">
        <v>1.22</v>
      </c>
      <c r="F3455" s="3" t="inlineStr">
        <is>
          <t>ratio</t>
        </is>
      </c>
      <c r="G3455" s="3" t="inlineStr">
        <is>
          <t>Scenario parameter</t>
        </is>
      </c>
      <c r="H3455" s="3" t="inlineStr">
        <is>
          <t>it_load_gw = active_power_gw / pue</t>
        </is>
      </c>
      <c r="I3455" s="3" t="inlineStr">
        <is>
          <t>No provider-wide site-level PUE is used as a disclosed fact; PUE represents facility-to-IT conversion within the scenario.</t>
        </is>
      </c>
      <c r="J3455" s="3" t="inlineStr">
        <is>
          <t>ASSUMP_POWER_RAMP</t>
        </is>
      </c>
      <c r="K3455" s="3" t="inlineStr">
        <is>
          <t>ASSUMP_CLUSTER_RAMP; ASSUMP_CLOSED_MODEL_BAND; ASSUMP_NUMERIC_ACCELERATOR_MIX; ASSUMP_INFERENCE_SHARE_NOT_FACT_60; ASSUMP_WORKLOAD_CLASS_MIX; ASSUMP_AGENTIC_CONTEXT_PENALTY</t>
        </is>
      </c>
      <c r="L3455" s="3" t="inlineStr">
        <is>
          <t>Site-level measured PUE matched to attributed AI capacity.</t>
        </is>
      </c>
    </row>
    <row r="3456">
      <c r="A3456" s="3" t="inlineStr">
        <is>
          <t>xAI</t>
        </is>
      </c>
      <c r="B3456" s="3" t="n">
        <v>2026</v>
      </c>
      <c r="C3456" s="3" t="inlineStr">
        <is>
          <t>Grid-Constrained / Efficiency-Upside</t>
        </is>
      </c>
      <c r="D3456" s="3" t="inlineStr">
        <is>
          <t>it_load_gw</t>
        </is>
      </c>
      <c r="E3456" s="3" t="n">
        <v>0.252</v>
      </c>
      <c r="F3456" s="3" t="inlineStr">
        <is>
          <t>GW</t>
        </is>
      </c>
      <c r="G3456" s="3" t="inlineStr">
        <is>
          <t>Derived formula</t>
        </is>
      </c>
      <c r="H3456" s="3" t="inlineStr">
        <is>
          <t>active_power_gw / pue</t>
        </is>
      </c>
      <c r="I3456" s="3" t="inlineStr">
        <is>
          <t>Facility power is converted to IT-deliverable power before attributing AI workloads.</t>
        </is>
      </c>
      <c r="J3456" s="3" t="inlineStr">
        <is>
          <t>SRC_XAI_NVIDIA_COLOSSUS; ASSUMP_CLUSTER_RAMP</t>
        </is>
      </c>
      <c r="K3456" s="3" t="inlineStr">
        <is>
          <t>ASSUMP_CLUSTER_RAMP; ASSUMP_CLOSED_MODEL_BAND; ASSUMP_NUMERIC_ACCELERATOR_MIX; ASSUMP_INFERENCE_SHARE_NOT_FACT_60; ASSUMP_WORKLOAD_CLASS_MIX; ASSUMP_AGENTIC_CONTEXT_PENALTY</t>
        </is>
      </c>
      <c r="L3456" s="3" t="inlineStr">
        <is>
          <t>Recompute once active power and PUE become site-observable.</t>
        </is>
      </c>
    </row>
    <row r="3457">
      <c r="A3457" s="3" t="inlineStr">
        <is>
          <t>xAI</t>
        </is>
      </c>
      <c r="B3457" s="3" t="n">
        <v>2026</v>
      </c>
      <c r="C3457" s="3" t="inlineStr">
        <is>
          <t>Grid-Constrained / Efficiency-Upside</t>
        </is>
      </c>
      <c r="D3457" s="3" t="inlineStr">
        <is>
          <t>ai_workload_share</t>
        </is>
      </c>
      <c r="E3457" s="3" t="n">
        <v>0.85</v>
      </c>
      <c r="F3457" s="3" t="inlineStr">
        <is>
          <t>share</t>
        </is>
      </c>
      <c r="G3457" s="3" t="inlineStr">
        <is>
          <t>Scenario allocation</t>
        </is>
      </c>
      <c r="H3457" s="3" t="inlineStr">
        <is>
          <t>ai_it_load_gw = it_load_gw * ai_workload_share</t>
        </is>
      </c>
      <c r="I3457" s="3" t="inlineStr">
        <is>
          <t>Colossus is AI-centric; 85% retains cooling/IT allocation boundary and non-serving AI work.</t>
        </is>
      </c>
      <c r="J3457" s="3" t="inlineStr">
        <is>
          <t>SRC_XAI_MODELS; SRC_XAI_NVIDIA_COLOSSUS; SRC_EPOCH_AI_DATA_CENTERS</t>
        </is>
      </c>
      <c r="K3457" s="3" t="inlineStr">
        <is>
          <t>ASSUMP_CLUSTER_RAMP; ASSUMP_CLOSED_MODEL_BAND; ASSUMP_NUMERIC_ACCELERATOR_MIX; ASSUMP_INFERENCE_SHARE_NOT_FACT_60; ASSUMP_WORKLOAD_CLASS_MIX; ASSUMP_AGENTIC_CONTEXT_PENALTY</t>
        </is>
      </c>
      <c r="L3457" s="3" t="inlineStr">
        <is>
          <t>Model-owner AI workload allocation or cluster scheduling telemetry.</t>
        </is>
      </c>
    </row>
    <row r="3458">
      <c r="A3458" s="3" t="inlineStr">
        <is>
          <t>xAI</t>
        </is>
      </c>
      <c r="B3458" s="3" t="n">
        <v>2026</v>
      </c>
      <c r="C3458" s="3" t="inlineStr">
        <is>
          <t>Grid-Constrained / Efficiency-Upside</t>
        </is>
      </c>
      <c r="D3458" s="3" t="inlineStr">
        <is>
          <t>ai_it_load_gw</t>
        </is>
      </c>
      <c r="E3458" s="3" t="n">
        <v>0.215</v>
      </c>
      <c r="F3458" s="3" t="inlineStr">
        <is>
          <t>GW</t>
        </is>
      </c>
      <c r="G3458" s="3" t="inlineStr">
        <is>
          <t>Derived formula</t>
        </is>
      </c>
      <c r="H3458" s="3" t="inlineStr">
        <is>
          <t>it_load_gw * ai_workload_share</t>
        </is>
      </c>
      <c r="I3458" s="3" t="inlineStr">
        <is>
          <t>Only the AI-attributed portion of IT load enters training/inference allocation.</t>
        </is>
      </c>
      <c r="J3458" s="3" t="inlineStr">
        <is>
          <t>SRC_XAI_MODELS; SRC_XAI_NVIDIA_COLOSSUS; SRC_EPOCH_AI_DATA_CENTERS</t>
        </is>
      </c>
      <c r="K3458" s="3" t="inlineStr">
        <is>
          <t>ASSUMP_CLUSTER_RAMP; ASSUMP_CLOSED_MODEL_BAND; ASSUMP_NUMERIC_ACCELERATOR_MIX; ASSUMP_INFERENCE_SHARE_NOT_FACT_60; ASSUMP_WORKLOAD_CLASS_MIX; ASSUMP_AGENTIC_CONTEXT_PENALTY</t>
        </is>
      </c>
      <c r="L3458" s="3" t="inlineStr">
        <is>
          <t>Recompute after ai_workload_share is replaced by telemetry.</t>
        </is>
      </c>
    </row>
    <row r="3459">
      <c r="A3459" s="3" t="inlineStr">
        <is>
          <t>xAI</t>
        </is>
      </c>
      <c r="B3459" s="3" t="n">
        <v>2026</v>
      </c>
      <c r="C3459" s="3" t="inlineStr">
        <is>
          <t>Grid-Constrained / Efficiency-Upside</t>
        </is>
      </c>
      <c r="D3459" s="3" t="inlineStr">
        <is>
          <t>gpu_share</t>
        </is>
      </c>
      <c r="E3459" s="3" t="n">
        <v>1</v>
      </c>
      <c r="F3459" s="3" t="inlineStr">
        <is>
          <t>share of inference-serving accelerator load</t>
        </is>
      </c>
      <c r="G3459" s="3" t="inlineStr">
        <is>
          <t>Numeric scenario</t>
        </is>
      </c>
      <c r="H3459" s="3" t="inlineStr">
        <is>
          <t>gpu_share interpolated from company 2026/2030 accelerator-mix endpoints</t>
        </is>
      </c>
      <c r="I3459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459" s="3" t="inlineStr">
        <is>
          <t>SRC_XAI_MODELS; SRC_XAI_NVIDIA_COLOSSUS; SRC_EPOCH_AI_DATA_CENTERS; ASSUMP_NUMERIC_ACCELERATOR_MIX</t>
        </is>
      </c>
      <c r="K3459" s="3" t="inlineStr">
        <is>
          <t>ASSUMP_CLUSTER_RAMP; ASSUMP_CLOSED_MODEL_BAND; ASSUMP_NUMERIC_ACCELERATOR_MIX; ASSUMP_INFERENCE_SHARE_NOT_FACT_60; ASSUMP_WORKLOAD_CLASS_MIX; ASSUMP_AGENTIC_CONTEXT_PENALTY</t>
        </is>
      </c>
      <c r="L3459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460">
      <c r="A3460" s="3" t="inlineStr">
        <is>
          <t>xAI</t>
        </is>
      </c>
      <c r="B3460" s="3" t="n">
        <v>2026</v>
      </c>
      <c r="C3460" s="3" t="inlineStr">
        <is>
          <t>Grid-Constrained / Efficiency-Upside</t>
        </is>
      </c>
      <c r="D3460" s="3" t="inlineStr">
        <is>
          <t>h200_share</t>
        </is>
      </c>
      <c r="E3460" s="3" t="n">
        <v>0</v>
      </c>
      <c r="F3460" s="3" t="inlineStr">
        <is>
          <t>share of inference-serving accelerator load</t>
        </is>
      </c>
      <c r="G3460" s="3" t="inlineStr">
        <is>
          <t>Editable numeric scenario</t>
        </is>
      </c>
      <c r="H3460" s="3" t="inlineStr">
        <is>
          <t>h200_share = gpu_share * default_gpu_generation_mix_h200</t>
        </is>
      </c>
      <c r="I3460" s="3" t="inlineStr">
        <is>
          <t>Default GPU-generation migration assumption; executive workbook allows later manual replacement by company/year/scenario.</t>
        </is>
      </c>
      <c r="J3460" s="3" t="inlineStr">
        <is>
          <t>SRC_SEMIANALYSIS_INFERENCEX; ASSUMP_NUMERIC_ACCELERATOR_MIX</t>
        </is>
      </c>
      <c r="K3460" s="3" t="inlineStr">
        <is>
          <t>ASSUMP_CLUSTER_RAMP; ASSUMP_CLOSED_MODEL_BAND; ASSUMP_NUMERIC_ACCELERATOR_MIX; ASSUMP_INFERENCE_SHARE_NOT_FACT_60; ASSUMP_WORKLOAD_CLASS_MIX; ASSUMP_AGENTIC_CONTEXT_PENALTY</t>
        </is>
      </c>
      <c r="L3460" s="3" t="inlineStr">
        <is>
          <t>Company fleet inventory, accelerator-hours or procurement/deployment records by GPU generation.</t>
        </is>
      </c>
    </row>
    <row r="3461">
      <c r="A3461" s="3" t="inlineStr">
        <is>
          <t>xAI</t>
        </is>
      </c>
      <c r="B3461" s="3" t="n">
        <v>2026</v>
      </c>
      <c r="C3461" s="3" t="inlineStr">
        <is>
          <t>Grid-Constrained / Efficiency-Upside</t>
        </is>
      </c>
      <c r="D3461" s="3" t="inlineStr">
        <is>
          <t>b200_share</t>
        </is>
      </c>
      <c r="E3461" s="3" t="n">
        <v>1</v>
      </c>
      <c r="F3461" s="3" t="inlineStr">
        <is>
          <t>share of inference-serving accelerator load</t>
        </is>
      </c>
      <c r="G3461" s="3" t="inlineStr">
        <is>
          <t>Editable numeric scenario</t>
        </is>
      </c>
      <c r="H3461" s="3" t="inlineStr">
        <is>
          <t>b200_share = gpu_share * default_gpu_generation_mix_b200</t>
        </is>
      </c>
      <c r="I3461" s="3" t="inlineStr">
        <is>
          <t>Default GPU-generation migration assumption; executive workbook allows later manual replacement by company/year/scenario.</t>
        </is>
      </c>
      <c r="J3461" s="3" t="inlineStr">
        <is>
          <t>SRC_SEMIANALYSIS_INFERENCEX; ASSUMP_NUMERIC_ACCELERATOR_MIX</t>
        </is>
      </c>
      <c r="K3461" s="3" t="inlineStr">
        <is>
          <t>ASSUMP_CLUSTER_RAMP; ASSUMP_CLOSED_MODEL_BAND; ASSUMP_NUMERIC_ACCELERATOR_MIX; ASSUMP_INFERENCE_SHARE_NOT_FACT_60; ASSUMP_WORKLOAD_CLASS_MIX; ASSUMP_AGENTIC_CONTEXT_PENALTY</t>
        </is>
      </c>
      <c r="L3461" s="3" t="inlineStr">
        <is>
          <t>Company fleet inventory, accelerator-hours or procurement/deployment records by GPU generation.</t>
        </is>
      </c>
    </row>
    <row r="3462">
      <c r="A3462" s="3" t="inlineStr">
        <is>
          <t>xAI</t>
        </is>
      </c>
      <c r="B3462" s="3" t="n">
        <v>2026</v>
      </c>
      <c r="C3462" s="3" t="inlineStr">
        <is>
          <t>Grid-Constrained / Efficiency-Upside</t>
        </is>
      </c>
      <c r="D3462" s="3" t="inlineStr">
        <is>
          <t>gb200_share</t>
        </is>
      </c>
      <c r="E3462" s="3" t="n">
        <v>0</v>
      </c>
      <c r="F3462" s="3" t="inlineStr">
        <is>
          <t>share of inference-serving accelerator load</t>
        </is>
      </c>
      <c r="G3462" s="3" t="inlineStr">
        <is>
          <t>Editable numeric scenario</t>
        </is>
      </c>
      <c r="H3462" s="3" t="inlineStr">
        <is>
          <t>gb200_share = gpu_share * default_gpu_generation_mix_gb200</t>
        </is>
      </c>
      <c r="I3462" s="3" t="inlineStr">
        <is>
          <t>Default GPU-generation migration assumption; executive workbook allows later manual replacement by company/year/scenario.</t>
        </is>
      </c>
      <c r="J3462" s="3" t="inlineStr">
        <is>
          <t>SRC_SEMIANALYSIS_INFERENCEX; ASSUMP_NUMERIC_ACCELERATOR_MIX</t>
        </is>
      </c>
      <c r="K3462" s="3" t="inlineStr">
        <is>
          <t>ASSUMP_CLUSTER_RAMP; ASSUMP_CLOSED_MODEL_BAND; ASSUMP_NUMERIC_ACCELERATOR_MIX; ASSUMP_INFERENCE_SHARE_NOT_FACT_60; ASSUMP_WORKLOAD_CLASS_MIX; ASSUMP_AGENTIC_CONTEXT_PENALTY</t>
        </is>
      </c>
      <c r="L3462" s="3" t="inlineStr">
        <is>
          <t>Company fleet inventory, accelerator-hours or procurement/deployment records by GPU generation.</t>
        </is>
      </c>
    </row>
    <row r="3463">
      <c r="A3463" s="3" t="inlineStr">
        <is>
          <t>xAI</t>
        </is>
      </c>
      <c r="B3463" s="3" t="n">
        <v>2026</v>
      </c>
      <c r="C3463" s="3" t="inlineStr">
        <is>
          <t>Grid-Constrained / Efficiency-Upside</t>
        </is>
      </c>
      <c r="D3463" s="3" t="inlineStr">
        <is>
          <t>purpose_built_accelerator_share</t>
        </is>
      </c>
      <c r="E3463" s="3" t="n">
        <v>0</v>
      </c>
      <c r="F3463" s="3" t="inlineStr">
        <is>
          <t>share of inference-serving accelerator load</t>
        </is>
      </c>
      <c r="G3463" s="3" t="inlineStr">
        <is>
          <t>Numeric scenario</t>
        </is>
      </c>
      <c r="H3463" s="3" t="inlineStr">
        <is>
          <t>1 - gpu_share</t>
        </is>
      </c>
      <c r="I3463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463" s="3" t="inlineStr">
        <is>
          <t>SRC_XAI_MODELS; SRC_XAI_NVIDIA_COLOSSUS; SRC_EPOCH_AI_DATA_CENTERS; ASSUMP_NUMERIC_ACCELERATOR_MIX</t>
        </is>
      </c>
      <c r="K3463" s="3" t="inlineStr">
        <is>
          <t>ASSUMP_CLUSTER_RAMP; ASSUMP_CLOSED_MODEL_BAND; ASSUMP_NUMERIC_ACCELERATOR_MIX; ASSUMP_INFERENCE_SHARE_NOT_FACT_60; ASSUMP_WORKLOAD_CLASS_MIX; ASSUMP_AGENTIC_CONTEXT_PENALTY</t>
        </is>
      </c>
      <c r="L3463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464">
      <c r="A3464" s="3" t="inlineStr">
        <is>
          <t>xAI</t>
        </is>
      </c>
      <c r="B3464" s="3" t="n">
        <v>2026</v>
      </c>
      <c r="C3464" s="3" t="inlineStr">
        <is>
          <t>Grid-Constrained / Efficiency-Upside</t>
        </is>
      </c>
      <c r="D3464" s="3" t="inlineStr">
        <is>
          <t>fleet_reference_tps_per_mw</t>
        </is>
      </c>
      <c r="E3464" s="3" t="n">
        <v>3010288</v>
      </c>
      <c r="F3464" s="3" t="inlineStr">
        <is>
          <t>generated output tokens/sec/MW</t>
        </is>
      </c>
      <c r="G3464" s="3" t="inlineStr">
        <is>
          <t>Fleet-weighted public benchmark reference</t>
        </is>
      </c>
      <c r="H3464" s="3" t="inlineStr">
        <is>
          <t>h200_share*h200_workload_avg + b200_share*b200_workload_avg + gb200_share*gb200_workload_avg + purpose_built_share*purpose_workload_avg</t>
        </is>
      </c>
      <c r="I3464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64" s="3" t="inlineStr">
        <is>
          <t>SRC_SEMIANALYSIS_INFERENCEX; ASSUMP_NUMERIC_ACCELERATOR_MIX; ASSUMP_WORKLOAD_CLASS_MIX; ASSUMP_AGENTIC_CONTEXT_PENALTY</t>
        </is>
      </c>
      <c r="K3464" s="3" t="inlineStr">
        <is>
          <t>ASSUMP_CLUSTER_RAMP; ASSUMP_CLOSED_MODEL_BAND; ASSUMP_NUMERIC_ACCELERATOR_MIX; ASSUMP_INFERENCE_SHARE_NOT_FACT_60; ASSUMP_WORKLOAD_CLASS_MIX; ASSUMP_AGENTIC_CONTEXT_PENALTY</t>
        </is>
      </c>
      <c r="L3464" s="3" t="inlineStr">
        <is>
          <t>Comparable production output-token throughput or a more closely matched benchmark.</t>
        </is>
      </c>
    </row>
    <row r="3465">
      <c r="A3465" s="3" t="inlineStr">
        <is>
          <t>xAI</t>
        </is>
      </c>
      <c r="B3465" s="3" t="n">
        <v>2026</v>
      </c>
      <c r="C3465" s="3" t="inlineStr">
        <is>
          <t>Grid-Constrained / Efficiency-Upside</t>
        </is>
      </c>
      <c r="D3465" s="3" t="inlineStr">
        <is>
          <t>commercial_workload_fit_factor</t>
        </is>
      </c>
      <c r="E3465" s="3" t="n">
        <v>0.55</v>
      </c>
      <c r="F3465" s="3" t="inlineStr">
        <is>
          <t>share of public reference throughput</t>
        </is>
      </c>
      <c r="G3465" s="3" t="inlineStr">
        <is>
          <t>Scenario assumption</t>
        </is>
      </c>
      <c r="H3465" s="3" t="inlineStr">
        <is>
          <t>reference_serving_tps_per_mw = fleet_reference_tps_per_mw * commercial_workload_fit_factor</t>
        </is>
      </c>
      <c r="I3465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65" s="3" t="inlineStr">
        <is>
          <t>SRC_SEMIANALYSIS_INFERENCEX; ASSUMP_NUMERIC_ACCELERATOR_MIX; ASSUMP_WORKLOAD_CLASS_MIX; ASSUMP_AGENTIC_CONTEXT_PENALTY</t>
        </is>
      </c>
      <c r="K3465" s="3" t="inlineStr">
        <is>
          <t>ASSUMP_CLUSTER_RAMP; ASSUMP_CLOSED_MODEL_BAND; ASSUMP_NUMERIC_ACCELERATOR_MIX; ASSUMP_INFERENCE_SHARE_NOT_FACT_60; ASSUMP_WORKLOAD_CLASS_MIX; ASSUMP_AGENTIC_CONTEXT_PENALTY</t>
        </is>
      </c>
      <c r="L3465" s="3" t="inlineStr">
        <is>
          <t>Matched commercial serving benchmark by product surface, context shape and latency SLO.</t>
        </is>
      </c>
    </row>
    <row r="3466">
      <c r="A3466" s="3" t="inlineStr">
        <is>
          <t>xAI</t>
        </is>
      </c>
      <c r="B3466" s="3" t="n">
        <v>2026</v>
      </c>
      <c r="C3466" s="3" t="inlineStr">
        <is>
          <t>Grid-Constrained / Efficiency-Upside</t>
        </is>
      </c>
      <c r="D3466" s="3" t="inlineStr">
        <is>
          <t>reference_serving_tps_per_mw</t>
        </is>
      </c>
      <c r="E3466" s="3" t="n">
        <v>1655658</v>
      </c>
      <c r="F3466" s="3" t="inlineStr">
        <is>
          <t>generated output tokens/sec/MW</t>
        </is>
      </c>
      <c r="G3466" s="3" t="inlineStr">
        <is>
          <t>Workload-adjusted benchmark proxy</t>
        </is>
      </c>
      <c r="H3466" s="3" t="inlineStr">
        <is>
          <t>fleet_reference_tps_per_mw * commercial_workload_fit_factor</t>
        </is>
      </c>
      <c r="I3466" s="3" t="inlineStr">
        <is>
          <t>This is the coefficient used for headline token generation; each GPU's short chat, long chat and agentic TPS/MW are weighted before fleet mix and commercial fit are applied.</t>
        </is>
      </c>
      <c r="J3466" s="3" t="inlineStr">
        <is>
          <t>SRC_SEMIANALYSIS_INFERENCEX; ASSUMP_NUMERIC_ACCELERATOR_MIX; ASSUMP_WORKLOAD_CLASS_MIX; ASSUMP_AGENTIC_CONTEXT_PENALTY</t>
        </is>
      </c>
      <c r="K3466" s="3" t="inlineStr">
        <is>
          <t>ASSUMP_CLUSTER_RAMP; ASSUMP_CLOSED_MODEL_BAND; ASSUMP_NUMERIC_ACCELERATOR_MIX; ASSUMP_INFERENCE_SHARE_NOT_FACT_60; ASSUMP_WORKLOAD_CLASS_MIX; ASSUMP_AGENTIC_CONTEXT_PENALTY</t>
        </is>
      </c>
      <c r="L3466" s="3" t="inlineStr">
        <is>
          <t>Provider production output-token throughput with comparable workload/SLO.</t>
        </is>
      </c>
    </row>
    <row r="3467">
      <c r="A3467" s="3" t="inlineStr">
        <is>
          <t>xAI</t>
        </is>
      </c>
      <c r="B3467" s="3" t="n">
        <v>2026</v>
      </c>
      <c r="C3467" s="3" t="inlineStr">
        <is>
          <t>Grid-Constrained / Efficiency-Upside</t>
        </is>
      </c>
      <c r="D3467" s="3" t="inlineStr">
        <is>
          <t>purpose_built_tps_per_mw</t>
        </is>
      </c>
      <c r="E3467" s="3" t="n">
        <v>2484332</v>
      </c>
      <c r="F3467" s="3" t="inlineStr">
        <is>
          <t>generated output tokens/sec/MW</t>
        </is>
      </c>
      <c r="G3467" s="3" t="inlineStr">
        <is>
          <t>Conservative no-uplift proxy</t>
        </is>
      </c>
      <c r="H3467" s="3" t="inlineStr">
        <is>
          <t>purpose_built_tps_per_mw = purpose_built_reference_tps_per_mw * commercial_workload_fit_factor until comparable output-token benchmark is adopted</t>
        </is>
      </c>
      <c r="I3467" s="3" t="inlineStr">
        <is>
          <t>No comparable public output-token/MW row adopted; B200 public reference placeholder is used and remains editable.</t>
        </is>
      </c>
      <c r="J3467" s="3" t="inlineStr">
        <is>
          <t>SRC_XAI_MODELS; SRC_XAI_NVIDIA_COLOSSUS; SRC_EPOCH_AI_DATA_CENTERS; ASSUMP_NUMERIC_ACCELERATOR_MIX</t>
        </is>
      </c>
      <c r="K3467" s="3" t="inlineStr">
        <is>
          <t>ASSUMP_CLUSTER_RAMP; ASSUMP_CLOSED_MODEL_BAND; ASSUMP_NUMERIC_ACCELERATOR_MIX; ASSUMP_INFERENCE_SHARE_NOT_FACT_60; ASSUMP_WORKLOAD_CLASS_MIX; ASSUMP_AGENTIC_CONTEXT_PENALTY</t>
        </is>
      </c>
      <c r="L3467" s="3" t="inlineStr">
        <is>
          <t>Matched-workload generated-output benchmark for the provider purpose-built accelerator.</t>
        </is>
      </c>
    </row>
    <row r="3468">
      <c r="A3468" s="3" t="inlineStr">
        <is>
          <t>xAI</t>
        </is>
      </c>
      <c r="B3468" s="3" t="n">
        <v>2026</v>
      </c>
      <c r="C3468" s="3" t="inlineStr">
        <is>
          <t>Grid-Constrained / Efficiency-Upside</t>
        </is>
      </c>
      <c r="D3468" s="3" t="inlineStr">
        <is>
          <t>inference_power_share</t>
        </is>
      </c>
      <c r="E3468" s="3" t="n">
        <v>0.47</v>
      </c>
      <c r="F3468" s="3" t="inlineStr">
        <is>
          <t>share of AI IT load</t>
        </is>
      </c>
      <c r="G3468" s="3" t="inlineStr">
        <is>
          <t>Scenario allocation</t>
        </is>
      </c>
      <c r="H3468" s="3" t="inlineStr">
        <is>
          <t>inference_gw = ai_it_load_gw * inference_power_share</t>
        </is>
      </c>
      <c r="I3468" s="3" t="inlineStr">
        <is>
          <t>Grok product expansion is modeled to shift capacity toward inference after initial training-heavy operation.</t>
        </is>
      </c>
      <c r="J3468" s="3" t="inlineStr">
        <is>
          <t>SRC_XAI_MODELS; SRC_XAI_NVIDIA_COLOSSUS; SRC_EPOCH_AI_DATA_CENTERS; ASSUMP_INFERENCE_SHARE_NOT_FACT_60</t>
        </is>
      </c>
      <c r="K3468" s="3" t="inlineStr">
        <is>
          <t>ASSUMP_CLUSTER_RAMP; ASSUMP_CLOSED_MODEL_BAND; ASSUMP_NUMERIC_ACCELERATOR_MIX; ASSUMP_INFERENCE_SHARE_NOT_FACT_60; ASSUMP_WORKLOAD_CLASS_MIX; ASSUMP_AGENTIC_CONTEXT_PENALTY</t>
        </is>
      </c>
      <c r="L3468" s="3" t="inlineStr">
        <is>
          <t>Provider-specific inference/training workload power telemetry.</t>
        </is>
      </c>
    </row>
    <row r="3469">
      <c r="A3469" s="3" t="inlineStr">
        <is>
          <t>xAI</t>
        </is>
      </c>
      <c r="B3469" s="3" t="n">
        <v>2026</v>
      </c>
      <c r="C3469" s="3" t="inlineStr">
        <is>
          <t>Grid-Constrained / Efficiency-Upside</t>
        </is>
      </c>
      <c r="D3469" s="3" t="inlineStr">
        <is>
          <t>inference_gw</t>
        </is>
      </c>
      <c r="E3469" s="3" t="n">
        <v>0.101</v>
      </c>
      <c r="F3469" s="3" t="inlineStr">
        <is>
          <t>GW</t>
        </is>
      </c>
      <c r="G3469" s="3" t="inlineStr">
        <is>
          <t>Derived formula</t>
        </is>
      </c>
      <c r="H3469" s="3" t="inlineStr">
        <is>
          <t>ai_it_load_gw * inference_power_share</t>
        </is>
      </c>
      <c r="I3469" s="3" t="inlineStr">
        <is>
          <t>This is the operational power eligible to become commercial generated output tokens through the selected TPS/MW proxy.</t>
        </is>
      </c>
      <c r="J3469" s="3" t="inlineStr">
        <is>
          <t>SRC_XAI_MODELS; SRC_XAI_NVIDIA_COLOSSUS; SRC_EPOCH_AI_DATA_CENTERS</t>
        </is>
      </c>
      <c r="K3469" s="3" t="inlineStr">
        <is>
          <t>ASSUMP_CLUSTER_RAMP; ASSUMP_CLOSED_MODEL_BAND; ASSUMP_NUMERIC_ACCELERATOR_MIX; ASSUMP_INFERENCE_SHARE_NOT_FACT_60; ASSUMP_WORKLOAD_CLASS_MIX; ASSUMP_AGENTIC_CONTEXT_PENALTY</t>
        </is>
      </c>
      <c r="L3469" s="3" t="inlineStr">
        <is>
          <t>Recompute after AI allocation or inference-share evidence changes.</t>
        </is>
      </c>
    </row>
    <row r="3470">
      <c r="A3470" s="3" t="inlineStr">
        <is>
          <t>xAI</t>
        </is>
      </c>
      <c r="B3470" s="3" t="n">
        <v>2026</v>
      </c>
      <c r="C3470" s="3" t="inlineStr">
        <is>
          <t>Grid-Constrained / Efficiency-Upside</t>
        </is>
      </c>
      <c r="D3470" s="3" t="inlineStr">
        <is>
          <t>training_power_share</t>
        </is>
      </c>
      <c r="E3470" s="3" t="n">
        <v>0.53</v>
      </c>
      <c r="F3470" s="3" t="inlineStr">
        <is>
          <t>share of AI IT load</t>
        </is>
      </c>
      <c r="G3470" s="3" t="inlineStr">
        <is>
          <t>Derived allocation</t>
        </is>
      </c>
      <c r="H3470" s="3" t="inlineStr">
        <is>
          <t>1 - inference_power_share</t>
        </is>
      </c>
      <c r="I3470" s="3" t="inlineStr">
        <is>
          <t>Training receives the complementary modeled AI IT allocation; it is not a disclosed company workload split.</t>
        </is>
      </c>
      <c r="J3470" s="3" t="inlineStr">
        <is>
          <t>SRC_XAI_MODELS; SRC_XAI_NVIDIA_COLOSSUS; SRC_EPOCH_AI_DATA_CENTERS; ASSUMP_INFERENCE_SHARE_NOT_FACT_60</t>
        </is>
      </c>
      <c r="K3470" s="3" t="inlineStr">
        <is>
          <t>ASSUMP_CLUSTER_RAMP; ASSUMP_CLOSED_MODEL_BAND; ASSUMP_NUMERIC_ACCELERATOR_MIX; ASSUMP_INFERENCE_SHARE_NOT_FACT_60; ASSUMP_WORKLOAD_CLASS_MIX; ASSUMP_AGENTIC_CONTEXT_PENALTY</t>
        </is>
      </c>
      <c r="L3470" s="3" t="inlineStr">
        <is>
          <t>Provider-specific inference/training workload power telemetry.</t>
        </is>
      </c>
    </row>
    <row r="3471">
      <c r="A3471" s="3" t="inlineStr">
        <is>
          <t>xAI</t>
        </is>
      </c>
      <c r="B3471" s="3" t="n">
        <v>2026</v>
      </c>
      <c r="C3471" s="3" t="inlineStr">
        <is>
          <t>Grid-Constrained / Efficiency-Upside</t>
        </is>
      </c>
      <c r="D3471" s="3" t="inlineStr">
        <is>
          <t>training_gw</t>
        </is>
      </c>
      <c r="E3471" s="3" t="n">
        <v>0.114</v>
      </c>
      <c r="F3471" s="3" t="inlineStr">
        <is>
          <t>GW</t>
        </is>
      </c>
      <c r="G3471" s="3" t="inlineStr">
        <is>
          <t>Derived formula</t>
        </is>
      </c>
      <c r="H3471" s="3" t="inlineStr">
        <is>
          <t>ai_it_load_gw * training_power_share</t>
        </is>
      </c>
      <c r="I3471" s="3" t="inlineStr">
        <is>
          <t>Training GW is shown separately so commercial inference token capacity is not overstated.</t>
        </is>
      </c>
      <c r="J3471" s="3" t="inlineStr">
        <is>
          <t>SRC_XAI_MODELS; SRC_XAI_NVIDIA_COLOSSUS; SRC_EPOCH_AI_DATA_CENTERS</t>
        </is>
      </c>
      <c r="K3471" s="3" t="inlineStr">
        <is>
          <t>ASSUMP_CLUSTER_RAMP; ASSUMP_CLOSED_MODEL_BAND; ASSUMP_NUMERIC_ACCELERATOR_MIX; ASSUMP_INFERENCE_SHARE_NOT_FACT_60; ASSUMP_WORKLOAD_CLASS_MIX; ASSUMP_AGENTIC_CONTEXT_PENALTY</t>
        </is>
      </c>
      <c r="L3471" s="3" t="inlineStr">
        <is>
          <t>Recompute after AI allocation or workload-split evidence changes.</t>
        </is>
      </c>
    </row>
    <row r="3472">
      <c r="A3472" s="3" t="inlineStr">
        <is>
          <t>xAI</t>
        </is>
      </c>
      <c r="B3472" s="3" t="n">
        <v>2026</v>
      </c>
      <c r="C3472" s="3" t="inlineStr">
        <is>
          <t>Grid-Constrained / Efficiency-Upside</t>
        </is>
      </c>
      <c r="D3472" s="3" t="inlineStr">
        <is>
          <t>tokens_per_second_per_mw</t>
        </is>
      </c>
      <c r="E3472" s="3" t="n">
        <v>1655658</v>
      </c>
      <c r="F3472" s="3" t="inlineStr">
        <is>
          <t>generated output tokens/sec/MW</t>
        </is>
      </c>
      <c r="G3472" s="3" t="inlineStr">
        <is>
          <t>Derived estimate + benchmark calibration</t>
        </is>
      </c>
      <c r="H3472" s="3" t="inlineStr">
        <is>
          <t>fleet_reference_tps_per_mw * commercial_workload_fit_factor</t>
        </is>
      </c>
      <c r="I3472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72" s="3" t="inlineStr">
        <is>
          <t>SRC_XAI_MODELS; SRC_XAI_NVIDIA_COLOSSUS; SRC_EPOCH_AI_DATA_CENTERS; SRC_SEMIANALYSIS_INFERENCEX; ASSUMP_NUMERIC_ACCELERATOR_MIX; ASSUMP_WORKLOAD_CLASS_MIX; ASSUMP_AGENTIC_CONTEXT_PENALTY</t>
        </is>
      </c>
      <c r="K3472" s="3" t="inlineStr">
        <is>
          <t>ASSUMP_CLUSTER_RAMP; ASSUMP_CLOSED_MODEL_BAND; ASSUMP_NUMERIC_ACCELERATOR_MIX; ASSUMP_INFERENCE_SHARE_NOT_FACT_60; ASSUMP_WORKLOAD_CLASS_MIX; ASSUMP_AGENTIC_CONTEXT_PENALTY</t>
        </is>
      </c>
      <c r="L3472" s="3" t="inlineStr">
        <is>
          <t>Comparable production output-token throughput with model, hardware, precision, ISL/OSL and SLO matched.</t>
        </is>
      </c>
    </row>
    <row r="3473">
      <c r="A3473" s="3" t="inlineStr">
        <is>
          <t>xAI</t>
        </is>
      </c>
      <c r="B3473" s="3" t="n">
        <v>2026</v>
      </c>
      <c r="C3473" s="3" t="inlineStr">
        <is>
          <t>Grid-Constrained / Efficiency-Upside</t>
        </is>
      </c>
      <c r="D3473" s="3" t="inlineStr">
        <is>
          <t>inference_tokens_per_day</t>
        </is>
      </c>
      <c r="E3473" s="3" t="n">
        <v>14447933971200</v>
      </c>
      <c r="F3473" s="3" t="inlineStr">
        <is>
          <t>generated output tokens/day</t>
        </is>
      </c>
      <c r="G3473" s="3" t="inlineStr">
        <is>
          <t>Derived headline metric</t>
        </is>
      </c>
      <c r="H3473" s="3" t="inlineStr">
        <is>
          <t>inference_gw * 1000 * tokens_per_second_per_mw * 86,400</t>
        </is>
      </c>
      <c r="I3473" s="3" t="inlineStr">
        <is>
          <t>Headline capacity uses no utilization, MoE, architecture or software-growth multiplier; it is not observed commercial output volume.</t>
        </is>
      </c>
      <c r="J3473" s="3" t="inlineStr">
        <is>
          <t>SRC_XAI_MODELS; SRC_XAI_NVIDIA_COLOSSUS; SRC_EPOCH_AI_DATA_CENTERS; SRC_SEMIANALYSIS_INFERENCEX</t>
        </is>
      </c>
      <c r="K3473" s="3" t="inlineStr">
        <is>
          <t>ASSUMP_CLUSTER_RAMP; ASSUMP_CLOSED_MODEL_BAND; ASSUMP_NUMERIC_ACCELERATOR_MIX; ASSUMP_INFERENCE_SHARE_NOT_FACT_60; ASSUMP_WORKLOAD_CLASS_MIX; ASSUMP_AGENTIC_CONTEXT_PENALTY</t>
        </is>
      </c>
      <c r="L3473" s="3" t="inlineStr">
        <is>
          <t>Provider-disclosed generated output token volume or calibrated capacity telemetry.</t>
        </is>
      </c>
    </row>
    <row r="3474">
      <c r="A3474" s="3" t="inlineStr">
        <is>
          <t>xAI</t>
        </is>
      </c>
      <c r="B3474" s="3" t="n">
        <v>2026</v>
      </c>
      <c r="C3474" s="3" t="inlineStr">
        <is>
          <t>Grid-Constrained / Efficiency-Upside</t>
        </is>
      </c>
      <c r="D3474" s="3" t="inlineStr">
        <is>
          <t>inference_tokens_per_year</t>
        </is>
      </c>
      <c r="E3474" s="3" t="n">
        <v>5273495899488000</v>
      </c>
      <c r="F3474" s="3" t="inlineStr">
        <is>
          <t>generated output tokens/year</t>
        </is>
      </c>
      <c r="G3474" s="3" t="inlineStr">
        <is>
          <t>Derived headline metric</t>
        </is>
      </c>
      <c r="H3474" s="3" t="inlineStr">
        <is>
          <t>inference_tokens_per_day * 365</t>
        </is>
      </c>
      <c r="I3474" s="3" t="inlineStr">
        <is>
          <t>Annualized version of generated output token capacity; it is not observed annual demand or billable volume.</t>
        </is>
      </c>
      <c r="J3474" s="3" t="inlineStr">
        <is>
          <t>SRC_XAI_MODELS; SRC_XAI_NVIDIA_COLOSSUS; SRC_EPOCH_AI_DATA_CENTERS; SRC_SEMIANALYSIS_INFERENCEX</t>
        </is>
      </c>
      <c r="K3474" s="3" t="inlineStr">
        <is>
          <t>ASSUMP_CLUSTER_RAMP; ASSUMP_CLOSED_MODEL_BAND; ASSUMP_NUMERIC_ACCELERATOR_MIX; ASSUMP_INFERENCE_SHARE_NOT_FACT_60; ASSUMP_WORKLOAD_CLASS_MIX; ASSUMP_AGENTIC_CONTEXT_PENALTY</t>
        </is>
      </c>
      <c r="L3474" s="3" t="inlineStr">
        <is>
          <t>Provider-disclosed annual generated-output volume or metered serving telemetry.</t>
        </is>
      </c>
    </row>
    <row r="3475">
      <c r="A3475" s="3" t="inlineStr">
        <is>
          <t>xAI</t>
        </is>
      </c>
      <c r="B3475" s="3" t="n">
        <v>2027</v>
      </c>
      <c r="C3475" s="3" t="inlineStr">
        <is>
          <t>Grid-Constrained / Efficiency-Upside</t>
        </is>
      </c>
      <c r="D3475" s="3" t="inlineStr">
        <is>
          <t>contracted_power_gw</t>
        </is>
      </c>
      <c r="E3475" s="3" t="n">
        <v>1.5</v>
      </c>
      <c r="F3475" s="3" t="inlineStr">
        <is>
          <t>GW</t>
        </is>
      </c>
      <c r="G3475" s="3" t="inlineStr">
        <is>
          <t>Fact anchor + scenario ceiling</t>
        </is>
      </c>
      <c r="H3475" s="3" t="inlineStr">
        <is>
          <t>linear interpolation between 2026 and 2030 company capacity endpoints</t>
        </is>
      </c>
      <c r="I3475" s="3" t="inlineStr">
        <is>
          <t>Colossus GPU-count disclosure bounds capacity direction; contracted GW values are modeled power envelopes.</t>
        </is>
      </c>
      <c r="J3475" s="3" t="inlineStr">
        <is>
          <t>SRC_XAI_NVIDIA_COLOSSUS; ASSUMP_CLUSTER_RAMP</t>
        </is>
      </c>
      <c r="K3475" s="3" t="inlineStr">
        <is>
          <t>ASSUMP_CLUSTER_RAMP; ASSUMP_CLOSED_MODEL_BAND; ASSUMP_NUMERIC_ACCELERATOR_MIX; ASSUMP_INFERENCE_SHARE_NOT_FACT_60; ASSUMP_WORKLOAD_CLASS_MIX; ASSUMP_AGENTIC_CONTEXT_PENALTY</t>
        </is>
      </c>
      <c r="L3475" s="3" t="inlineStr">
        <is>
          <t>Company/site-level committed MW/GW, interconnect and contract disclosure.</t>
        </is>
      </c>
    </row>
    <row r="3476">
      <c r="A3476" s="3" t="inlineStr">
        <is>
          <t>xAI</t>
        </is>
      </c>
      <c r="B3476" s="3" t="n">
        <v>2027</v>
      </c>
      <c r="C3476" s="3" t="inlineStr">
        <is>
          <t>Grid-Constrained / Efficiency-Upside</t>
        </is>
      </c>
      <c r="D3476" s="3" t="inlineStr">
        <is>
          <t>operational_deployment_share</t>
        </is>
      </c>
      <c r="E3476" s="3" t="n">
        <v>0.49666667</v>
      </c>
      <c r="F3476" s="3" t="inlineStr">
        <is>
          <t>share</t>
        </is>
      </c>
      <c r="G3476" s="3" t="inlineStr">
        <is>
          <t>Scenario conversion</t>
        </is>
      </c>
      <c r="H3476" s="3" t="inlineStr">
        <is>
          <t>active_power_gw / contracted_power_gw</t>
        </is>
      </c>
      <c r="I3476" s="3" t="inlineStr">
        <is>
          <t>This is the single explicit conversion from contracted/attributed capacity to operationally usable capacity.</t>
        </is>
      </c>
      <c r="J3476" s="3" t="inlineStr">
        <is>
          <t>SRC_XAI_NVIDIA_COLOSSUS; ASSUMP_CLUSTER_RAMP</t>
        </is>
      </c>
      <c r="K3476" s="3" t="inlineStr">
        <is>
          <t>ASSUMP_CLUSTER_RAMP; ASSUMP_CLOSED_MODEL_BAND; ASSUMP_NUMERIC_ACCELERATOR_MIX; ASSUMP_INFERENCE_SHARE_NOT_FACT_60; ASSUMP_WORKLOAD_CLASS_MIX; ASSUMP_AGENTIC_CONTEXT_PENALTY</t>
        </is>
      </c>
      <c r="L3476" s="3" t="inlineStr">
        <is>
          <t>Energized operational capacity divided by contracted/attributed capacity.</t>
        </is>
      </c>
    </row>
    <row r="3477">
      <c r="A3477" s="3" t="inlineStr">
        <is>
          <t>xAI</t>
        </is>
      </c>
      <c r="B3477" s="3" t="n">
        <v>2027</v>
      </c>
      <c r="C3477" s="3" t="inlineStr">
        <is>
          <t>Grid-Constrained / Efficiency-Upside</t>
        </is>
      </c>
      <c r="D3477" s="3" t="inlineStr">
        <is>
          <t>active_power_gw</t>
        </is>
      </c>
      <c r="E3477" s="3" t="n">
        <v>0.745</v>
      </c>
      <c r="F3477" s="3" t="inlineStr">
        <is>
          <t>GW</t>
        </is>
      </c>
      <c r="G3477" s="3" t="inlineStr">
        <is>
          <t>Derived scenario</t>
        </is>
      </c>
      <c r="H3477" s="3" t="inlineStr">
        <is>
          <t>contracted_power_gw * operational_deployment_share</t>
        </is>
      </c>
      <c r="I3477" s="3" t="inlineStr">
        <is>
          <t>GPU cluster scale anchors operational possibility, while inference/training allocation and site power draw remain estimates.</t>
        </is>
      </c>
      <c r="J3477" s="3" t="inlineStr">
        <is>
          <t>SRC_XAI_NVIDIA_COLOSSUS; ASSUMP_CLUSTER_RAMP</t>
        </is>
      </c>
      <c r="K3477" s="3" t="inlineStr">
        <is>
          <t>ASSUMP_CLUSTER_RAMP; ASSUMP_CLOSED_MODEL_BAND; ASSUMP_NUMERIC_ACCELERATOR_MIX; ASSUMP_INFERENCE_SHARE_NOT_FACT_60; ASSUMP_WORKLOAD_CLASS_MIX; ASSUMP_AGENTIC_CONTEXT_PENALTY</t>
        </is>
      </c>
      <c r="L3477" s="3" t="inlineStr">
        <is>
          <t>Energization dates, accelerator deliveries and operational powered-rack telemetry.</t>
        </is>
      </c>
    </row>
    <row r="3478">
      <c r="A3478" s="3" t="inlineStr">
        <is>
          <t>xAI</t>
        </is>
      </c>
      <c r="B3478" s="3" t="n">
        <v>2027</v>
      </c>
      <c r="C3478" s="3" t="inlineStr">
        <is>
          <t>Grid-Constrained / Efficiency-Upside</t>
        </is>
      </c>
      <c r="D3478" s="3" t="inlineStr">
        <is>
          <t>pue</t>
        </is>
      </c>
      <c r="E3478" s="3" t="n">
        <v>1.22</v>
      </c>
      <c r="F3478" s="3" t="inlineStr">
        <is>
          <t>ratio</t>
        </is>
      </c>
      <c r="G3478" s="3" t="inlineStr">
        <is>
          <t>Scenario parameter</t>
        </is>
      </c>
      <c r="H3478" s="3" t="inlineStr">
        <is>
          <t>it_load_gw = active_power_gw / pue</t>
        </is>
      </c>
      <c r="I3478" s="3" t="inlineStr">
        <is>
          <t>No provider-wide site-level PUE is used as a disclosed fact; PUE represents facility-to-IT conversion within the scenario.</t>
        </is>
      </c>
      <c r="J3478" s="3" t="inlineStr">
        <is>
          <t>ASSUMP_POWER_RAMP</t>
        </is>
      </c>
      <c r="K3478" s="3" t="inlineStr">
        <is>
          <t>ASSUMP_CLUSTER_RAMP; ASSUMP_CLOSED_MODEL_BAND; ASSUMP_NUMERIC_ACCELERATOR_MIX; ASSUMP_INFERENCE_SHARE_NOT_FACT_60; ASSUMP_WORKLOAD_CLASS_MIX; ASSUMP_AGENTIC_CONTEXT_PENALTY</t>
        </is>
      </c>
      <c r="L3478" s="3" t="inlineStr">
        <is>
          <t>Site-level measured PUE matched to attributed AI capacity.</t>
        </is>
      </c>
    </row>
    <row r="3479">
      <c r="A3479" s="3" t="inlineStr">
        <is>
          <t>xAI</t>
        </is>
      </c>
      <c r="B3479" s="3" t="n">
        <v>2027</v>
      </c>
      <c r="C3479" s="3" t="inlineStr">
        <is>
          <t>Grid-Constrained / Efficiency-Upside</t>
        </is>
      </c>
      <c r="D3479" s="3" t="inlineStr">
        <is>
          <t>it_load_gw</t>
        </is>
      </c>
      <c r="E3479" s="3" t="n">
        <v>0.611</v>
      </c>
      <c r="F3479" s="3" t="inlineStr">
        <is>
          <t>GW</t>
        </is>
      </c>
      <c r="G3479" s="3" t="inlineStr">
        <is>
          <t>Derived formula</t>
        </is>
      </c>
      <c r="H3479" s="3" t="inlineStr">
        <is>
          <t>active_power_gw / pue</t>
        </is>
      </c>
      <c r="I3479" s="3" t="inlineStr">
        <is>
          <t>Facility power is converted to IT-deliverable power before attributing AI workloads.</t>
        </is>
      </c>
      <c r="J3479" s="3" t="inlineStr">
        <is>
          <t>SRC_XAI_NVIDIA_COLOSSUS; ASSUMP_CLUSTER_RAMP</t>
        </is>
      </c>
      <c r="K3479" s="3" t="inlineStr">
        <is>
          <t>ASSUMP_CLUSTER_RAMP; ASSUMP_CLOSED_MODEL_BAND; ASSUMP_NUMERIC_ACCELERATOR_MIX; ASSUMP_INFERENCE_SHARE_NOT_FACT_60; ASSUMP_WORKLOAD_CLASS_MIX; ASSUMP_AGENTIC_CONTEXT_PENALTY</t>
        </is>
      </c>
      <c r="L3479" s="3" t="inlineStr">
        <is>
          <t>Recompute once active power and PUE become site-observable.</t>
        </is>
      </c>
    </row>
    <row r="3480">
      <c r="A3480" s="3" t="inlineStr">
        <is>
          <t>xAI</t>
        </is>
      </c>
      <c r="B3480" s="3" t="n">
        <v>2027</v>
      </c>
      <c r="C3480" s="3" t="inlineStr">
        <is>
          <t>Grid-Constrained / Efficiency-Upside</t>
        </is>
      </c>
      <c r="D3480" s="3" t="inlineStr">
        <is>
          <t>ai_workload_share</t>
        </is>
      </c>
      <c r="E3480" s="3" t="n">
        <v>0.85</v>
      </c>
      <c r="F3480" s="3" t="inlineStr">
        <is>
          <t>share</t>
        </is>
      </c>
      <c r="G3480" s="3" t="inlineStr">
        <is>
          <t>Scenario allocation</t>
        </is>
      </c>
      <c r="H3480" s="3" t="inlineStr">
        <is>
          <t>ai_it_load_gw = it_load_gw * ai_workload_share</t>
        </is>
      </c>
      <c r="I3480" s="3" t="inlineStr">
        <is>
          <t>Colossus is AI-centric; 85% retains cooling/IT allocation boundary and non-serving AI work.</t>
        </is>
      </c>
      <c r="J3480" s="3" t="inlineStr">
        <is>
          <t>SRC_XAI_MODELS; SRC_XAI_NVIDIA_COLOSSUS; SRC_EPOCH_AI_DATA_CENTERS</t>
        </is>
      </c>
      <c r="K3480" s="3" t="inlineStr">
        <is>
          <t>ASSUMP_CLUSTER_RAMP; ASSUMP_CLOSED_MODEL_BAND; ASSUMP_NUMERIC_ACCELERATOR_MIX; ASSUMP_INFERENCE_SHARE_NOT_FACT_60; ASSUMP_WORKLOAD_CLASS_MIX; ASSUMP_AGENTIC_CONTEXT_PENALTY</t>
        </is>
      </c>
      <c r="L3480" s="3" t="inlineStr">
        <is>
          <t>Model-owner AI workload allocation or cluster scheduling telemetry.</t>
        </is>
      </c>
    </row>
    <row r="3481">
      <c r="A3481" s="3" t="inlineStr">
        <is>
          <t>xAI</t>
        </is>
      </c>
      <c r="B3481" s="3" t="n">
        <v>2027</v>
      </c>
      <c r="C3481" s="3" t="inlineStr">
        <is>
          <t>Grid-Constrained / Efficiency-Upside</t>
        </is>
      </c>
      <c r="D3481" s="3" t="inlineStr">
        <is>
          <t>ai_it_load_gw</t>
        </is>
      </c>
      <c r="E3481" s="3" t="n">
        <v>0.519</v>
      </c>
      <c r="F3481" s="3" t="inlineStr">
        <is>
          <t>GW</t>
        </is>
      </c>
      <c r="G3481" s="3" t="inlineStr">
        <is>
          <t>Derived formula</t>
        </is>
      </c>
      <c r="H3481" s="3" t="inlineStr">
        <is>
          <t>it_load_gw * ai_workload_share</t>
        </is>
      </c>
      <c r="I3481" s="3" t="inlineStr">
        <is>
          <t>Only the AI-attributed portion of IT load enters training/inference allocation.</t>
        </is>
      </c>
      <c r="J3481" s="3" t="inlineStr">
        <is>
          <t>SRC_XAI_MODELS; SRC_XAI_NVIDIA_COLOSSUS; SRC_EPOCH_AI_DATA_CENTERS</t>
        </is>
      </c>
      <c r="K3481" s="3" t="inlineStr">
        <is>
          <t>ASSUMP_CLUSTER_RAMP; ASSUMP_CLOSED_MODEL_BAND; ASSUMP_NUMERIC_ACCELERATOR_MIX; ASSUMP_INFERENCE_SHARE_NOT_FACT_60; ASSUMP_WORKLOAD_CLASS_MIX; ASSUMP_AGENTIC_CONTEXT_PENALTY</t>
        </is>
      </c>
      <c r="L3481" s="3" t="inlineStr">
        <is>
          <t>Recompute after ai_workload_share is replaced by telemetry.</t>
        </is>
      </c>
    </row>
    <row r="3482">
      <c r="A3482" s="3" t="inlineStr">
        <is>
          <t>xAI</t>
        </is>
      </c>
      <c r="B3482" s="3" t="n">
        <v>2027</v>
      </c>
      <c r="C3482" s="3" t="inlineStr">
        <is>
          <t>Grid-Constrained / Efficiency-Upside</t>
        </is>
      </c>
      <c r="D3482" s="3" t="inlineStr">
        <is>
          <t>gpu_share</t>
        </is>
      </c>
      <c r="E3482" s="3" t="n">
        <v>1</v>
      </c>
      <c r="F3482" s="3" t="inlineStr">
        <is>
          <t>share of inference-serving accelerator load</t>
        </is>
      </c>
      <c r="G3482" s="3" t="inlineStr">
        <is>
          <t>Numeric scenario</t>
        </is>
      </c>
      <c r="H3482" s="3" t="inlineStr">
        <is>
          <t>gpu_share interpolated from company 2026/2030 accelerator-mix endpoints</t>
        </is>
      </c>
      <c r="I3482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482" s="3" t="inlineStr">
        <is>
          <t>SRC_XAI_MODELS; SRC_XAI_NVIDIA_COLOSSUS; SRC_EPOCH_AI_DATA_CENTERS; ASSUMP_NUMERIC_ACCELERATOR_MIX</t>
        </is>
      </c>
      <c r="K3482" s="3" t="inlineStr">
        <is>
          <t>ASSUMP_CLUSTER_RAMP; ASSUMP_CLOSED_MODEL_BAND; ASSUMP_NUMERIC_ACCELERATOR_MIX; ASSUMP_INFERENCE_SHARE_NOT_FACT_60; ASSUMP_WORKLOAD_CLASS_MIX; ASSUMP_AGENTIC_CONTEXT_PENALTY</t>
        </is>
      </c>
      <c r="L3482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483">
      <c r="A3483" s="3" t="inlineStr">
        <is>
          <t>xAI</t>
        </is>
      </c>
      <c r="B3483" s="3" t="n">
        <v>2027</v>
      </c>
      <c r="C3483" s="3" t="inlineStr">
        <is>
          <t>Grid-Constrained / Efficiency-Upside</t>
        </is>
      </c>
      <c r="D3483" s="3" t="inlineStr">
        <is>
          <t>h200_share</t>
        </is>
      </c>
      <c r="E3483" s="3" t="n">
        <v>0</v>
      </c>
      <c r="F3483" s="3" t="inlineStr">
        <is>
          <t>share of inference-serving accelerator load</t>
        </is>
      </c>
      <c r="G3483" s="3" t="inlineStr">
        <is>
          <t>Editable numeric scenario</t>
        </is>
      </c>
      <c r="H3483" s="3" t="inlineStr">
        <is>
          <t>h200_share = gpu_share * default_gpu_generation_mix_h200</t>
        </is>
      </c>
      <c r="I3483" s="3" t="inlineStr">
        <is>
          <t>Default GPU-generation migration assumption; executive workbook allows later manual replacement by company/year/scenario.</t>
        </is>
      </c>
      <c r="J3483" s="3" t="inlineStr">
        <is>
          <t>SRC_SEMIANALYSIS_INFERENCEX; ASSUMP_NUMERIC_ACCELERATOR_MIX</t>
        </is>
      </c>
      <c r="K3483" s="3" t="inlineStr">
        <is>
          <t>ASSUMP_CLUSTER_RAMP; ASSUMP_CLOSED_MODEL_BAND; ASSUMP_NUMERIC_ACCELERATOR_MIX; ASSUMP_INFERENCE_SHARE_NOT_FACT_60; ASSUMP_WORKLOAD_CLASS_MIX; ASSUMP_AGENTIC_CONTEXT_PENALTY</t>
        </is>
      </c>
      <c r="L3483" s="3" t="inlineStr">
        <is>
          <t>Company fleet inventory, accelerator-hours or procurement/deployment records by GPU generation.</t>
        </is>
      </c>
    </row>
    <row r="3484">
      <c r="A3484" s="3" t="inlineStr">
        <is>
          <t>xAI</t>
        </is>
      </c>
      <c r="B3484" s="3" t="n">
        <v>2027</v>
      </c>
      <c r="C3484" s="3" t="inlineStr">
        <is>
          <t>Grid-Constrained / Efficiency-Upside</t>
        </is>
      </c>
      <c r="D3484" s="3" t="inlineStr">
        <is>
          <t>b200_share</t>
        </is>
      </c>
      <c r="E3484" s="3" t="n">
        <v>1</v>
      </c>
      <c r="F3484" s="3" t="inlineStr">
        <is>
          <t>share of inference-serving accelerator load</t>
        </is>
      </c>
      <c r="G3484" s="3" t="inlineStr">
        <is>
          <t>Editable numeric scenario</t>
        </is>
      </c>
      <c r="H3484" s="3" t="inlineStr">
        <is>
          <t>b200_share = gpu_share * default_gpu_generation_mix_b200</t>
        </is>
      </c>
      <c r="I3484" s="3" t="inlineStr">
        <is>
          <t>Default GPU-generation migration assumption; executive workbook allows later manual replacement by company/year/scenario.</t>
        </is>
      </c>
      <c r="J3484" s="3" t="inlineStr">
        <is>
          <t>SRC_SEMIANALYSIS_INFERENCEX; ASSUMP_NUMERIC_ACCELERATOR_MIX</t>
        </is>
      </c>
      <c r="K3484" s="3" t="inlineStr">
        <is>
          <t>ASSUMP_CLUSTER_RAMP; ASSUMP_CLOSED_MODEL_BAND; ASSUMP_NUMERIC_ACCELERATOR_MIX; ASSUMP_INFERENCE_SHARE_NOT_FACT_60; ASSUMP_WORKLOAD_CLASS_MIX; ASSUMP_AGENTIC_CONTEXT_PENALTY</t>
        </is>
      </c>
      <c r="L3484" s="3" t="inlineStr">
        <is>
          <t>Company fleet inventory, accelerator-hours or procurement/deployment records by GPU generation.</t>
        </is>
      </c>
    </row>
    <row r="3485">
      <c r="A3485" s="3" t="inlineStr">
        <is>
          <t>xAI</t>
        </is>
      </c>
      <c r="B3485" s="3" t="n">
        <v>2027</v>
      </c>
      <c r="C3485" s="3" t="inlineStr">
        <is>
          <t>Grid-Constrained / Efficiency-Upside</t>
        </is>
      </c>
      <c r="D3485" s="3" t="inlineStr">
        <is>
          <t>gb200_share</t>
        </is>
      </c>
      <c r="E3485" s="3" t="n">
        <v>0</v>
      </c>
      <c r="F3485" s="3" t="inlineStr">
        <is>
          <t>share of inference-serving accelerator load</t>
        </is>
      </c>
      <c r="G3485" s="3" t="inlineStr">
        <is>
          <t>Editable numeric scenario</t>
        </is>
      </c>
      <c r="H3485" s="3" t="inlineStr">
        <is>
          <t>gb200_share = gpu_share * default_gpu_generation_mix_gb200</t>
        </is>
      </c>
      <c r="I3485" s="3" t="inlineStr">
        <is>
          <t>Default GPU-generation migration assumption; executive workbook allows later manual replacement by company/year/scenario.</t>
        </is>
      </c>
      <c r="J3485" s="3" t="inlineStr">
        <is>
          <t>SRC_SEMIANALYSIS_INFERENCEX; ASSUMP_NUMERIC_ACCELERATOR_MIX</t>
        </is>
      </c>
      <c r="K3485" s="3" t="inlineStr">
        <is>
          <t>ASSUMP_CLUSTER_RAMP; ASSUMP_CLOSED_MODEL_BAND; ASSUMP_NUMERIC_ACCELERATOR_MIX; ASSUMP_INFERENCE_SHARE_NOT_FACT_60; ASSUMP_WORKLOAD_CLASS_MIX; ASSUMP_AGENTIC_CONTEXT_PENALTY</t>
        </is>
      </c>
      <c r="L3485" s="3" t="inlineStr">
        <is>
          <t>Company fleet inventory, accelerator-hours or procurement/deployment records by GPU generation.</t>
        </is>
      </c>
    </row>
    <row r="3486">
      <c r="A3486" s="3" t="inlineStr">
        <is>
          <t>xAI</t>
        </is>
      </c>
      <c r="B3486" s="3" t="n">
        <v>2027</v>
      </c>
      <c r="C3486" s="3" t="inlineStr">
        <is>
          <t>Grid-Constrained / Efficiency-Upside</t>
        </is>
      </c>
      <c r="D3486" s="3" t="inlineStr">
        <is>
          <t>purpose_built_accelerator_share</t>
        </is>
      </c>
      <c r="E3486" s="3" t="n">
        <v>0</v>
      </c>
      <c r="F3486" s="3" t="inlineStr">
        <is>
          <t>share of inference-serving accelerator load</t>
        </is>
      </c>
      <c r="G3486" s="3" t="inlineStr">
        <is>
          <t>Numeric scenario</t>
        </is>
      </c>
      <c r="H3486" s="3" t="inlineStr">
        <is>
          <t>1 - gpu_share</t>
        </is>
      </c>
      <c r="I3486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486" s="3" t="inlineStr">
        <is>
          <t>SRC_XAI_MODELS; SRC_XAI_NVIDIA_COLOSSUS; SRC_EPOCH_AI_DATA_CENTERS; ASSUMP_NUMERIC_ACCELERATOR_MIX</t>
        </is>
      </c>
      <c r="K3486" s="3" t="inlineStr">
        <is>
          <t>ASSUMP_CLUSTER_RAMP; ASSUMP_CLOSED_MODEL_BAND; ASSUMP_NUMERIC_ACCELERATOR_MIX; ASSUMP_INFERENCE_SHARE_NOT_FACT_60; ASSUMP_WORKLOAD_CLASS_MIX; ASSUMP_AGENTIC_CONTEXT_PENALTY</t>
        </is>
      </c>
      <c r="L3486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487">
      <c r="A3487" s="3" t="inlineStr">
        <is>
          <t>xAI</t>
        </is>
      </c>
      <c r="B3487" s="3" t="n">
        <v>2027</v>
      </c>
      <c r="C3487" s="3" t="inlineStr">
        <is>
          <t>Grid-Constrained / Efficiency-Upside</t>
        </is>
      </c>
      <c r="D3487" s="3" t="inlineStr">
        <is>
          <t>fleet_reference_tps_per_mw</t>
        </is>
      </c>
      <c r="E3487" s="3" t="n">
        <v>3010288</v>
      </c>
      <c r="F3487" s="3" t="inlineStr">
        <is>
          <t>generated output tokens/sec/MW</t>
        </is>
      </c>
      <c r="G3487" s="3" t="inlineStr">
        <is>
          <t>Fleet-weighted public benchmark reference</t>
        </is>
      </c>
      <c r="H3487" s="3" t="inlineStr">
        <is>
          <t>h200_share*h200_workload_avg + b200_share*b200_workload_avg + gb200_share*gb200_workload_avg + purpose_built_share*purpose_workload_avg</t>
        </is>
      </c>
      <c r="I3487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487" s="3" t="inlineStr">
        <is>
          <t>SRC_SEMIANALYSIS_INFERENCEX; ASSUMP_NUMERIC_ACCELERATOR_MIX; ASSUMP_WORKLOAD_CLASS_MIX; ASSUMP_AGENTIC_CONTEXT_PENALTY</t>
        </is>
      </c>
      <c r="K3487" s="3" t="inlineStr">
        <is>
          <t>ASSUMP_CLUSTER_RAMP; ASSUMP_CLOSED_MODEL_BAND; ASSUMP_NUMERIC_ACCELERATOR_MIX; ASSUMP_INFERENCE_SHARE_NOT_FACT_60; ASSUMP_WORKLOAD_CLASS_MIX; ASSUMP_AGENTIC_CONTEXT_PENALTY</t>
        </is>
      </c>
      <c r="L3487" s="3" t="inlineStr">
        <is>
          <t>Comparable production output-token throughput or a more closely matched benchmark.</t>
        </is>
      </c>
    </row>
    <row r="3488">
      <c r="A3488" s="3" t="inlineStr">
        <is>
          <t>xAI</t>
        </is>
      </c>
      <c r="B3488" s="3" t="n">
        <v>2027</v>
      </c>
      <c r="C3488" s="3" t="inlineStr">
        <is>
          <t>Grid-Constrained / Efficiency-Upside</t>
        </is>
      </c>
      <c r="D3488" s="3" t="inlineStr">
        <is>
          <t>commercial_workload_fit_factor</t>
        </is>
      </c>
      <c r="E3488" s="3" t="n">
        <v>0.55</v>
      </c>
      <c r="F3488" s="3" t="inlineStr">
        <is>
          <t>share of public reference throughput</t>
        </is>
      </c>
      <c r="G3488" s="3" t="inlineStr">
        <is>
          <t>Scenario assumption</t>
        </is>
      </c>
      <c r="H3488" s="3" t="inlineStr">
        <is>
          <t>reference_serving_tps_per_mw = fleet_reference_tps_per_mw * commercial_workload_fit_factor</t>
        </is>
      </c>
      <c r="I3488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488" s="3" t="inlineStr">
        <is>
          <t>SRC_SEMIANALYSIS_INFERENCEX; ASSUMP_NUMERIC_ACCELERATOR_MIX; ASSUMP_WORKLOAD_CLASS_MIX; ASSUMP_AGENTIC_CONTEXT_PENALTY</t>
        </is>
      </c>
      <c r="K3488" s="3" t="inlineStr">
        <is>
          <t>ASSUMP_CLUSTER_RAMP; ASSUMP_CLOSED_MODEL_BAND; ASSUMP_NUMERIC_ACCELERATOR_MIX; ASSUMP_INFERENCE_SHARE_NOT_FACT_60; ASSUMP_WORKLOAD_CLASS_MIX; ASSUMP_AGENTIC_CONTEXT_PENALTY</t>
        </is>
      </c>
      <c r="L3488" s="3" t="inlineStr">
        <is>
          <t>Matched commercial serving benchmark by product surface, context shape and latency SLO.</t>
        </is>
      </c>
    </row>
    <row r="3489">
      <c r="A3489" s="3" t="inlineStr">
        <is>
          <t>xAI</t>
        </is>
      </c>
      <c r="B3489" s="3" t="n">
        <v>2027</v>
      </c>
      <c r="C3489" s="3" t="inlineStr">
        <is>
          <t>Grid-Constrained / Efficiency-Upside</t>
        </is>
      </c>
      <c r="D3489" s="3" t="inlineStr">
        <is>
          <t>reference_serving_tps_per_mw</t>
        </is>
      </c>
      <c r="E3489" s="3" t="n">
        <v>1655658</v>
      </c>
      <c r="F3489" s="3" t="inlineStr">
        <is>
          <t>generated output tokens/sec/MW</t>
        </is>
      </c>
      <c r="G3489" s="3" t="inlineStr">
        <is>
          <t>Workload-adjusted benchmark proxy</t>
        </is>
      </c>
      <c r="H3489" s="3" t="inlineStr">
        <is>
          <t>fleet_reference_tps_per_mw * commercial_workload_fit_factor</t>
        </is>
      </c>
      <c r="I3489" s="3" t="inlineStr">
        <is>
          <t>This is the coefficient used for headline token generation; each GPU's short chat, long chat and agentic TPS/MW are weighted before fleet mix and commercial fit are applied.</t>
        </is>
      </c>
      <c r="J3489" s="3" t="inlineStr">
        <is>
          <t>SRC_SEMIANALYSIS_INFERENCEX; ASSUMP_NUMERIC_ACCELERATOR_MIX; ASSUMP_WORKLOAD_CLASS_MIX; ASSUMP_AGENTIC_CONTEXT_PENALTY</t>
        </is>
      </c>
      <c r="K3489" s="3" t="inlineStr">
        <is>
          <t>ASSUMP_CLUSTER_RAMP; ASSUMP_CLOSED_MODEL_BAND; ASSUMP_NUMERIC_ACCELERATOR_MIX; ASSUMP_INFERENCE_SHARE_NOT_FACT_60; ASSUMP_WORKLOAD_CLASS_MIX; ASSUMP_AGENTIC_CONTEXT_PENALTY</t>
        </is>
      </c>
      <c r="L3489" s="3" t="inlineStr">
        <is>
          <t>Provider production output-token throughput with comparable workload/SLO.</t>
        </is>
      </c>
    </row>
    <row r="3490">
      <c r="A3490" s="3" t="inlineStr">
        <is>
          <t>xAI</t>
        </is>
      </c>
      <c r="B3490" s="3" t="n">
        <v>2027</v>
      </c>
      <c r="C3490" s="3" t="inlineStr">
        <is>
          <t>Grid-Constrained / Efficiency-Upside</t>
        </is>
      </c>
      <c r="D3490" s="3" t="inlineStr">
        <is>
          <t>purpose_built_tps_per_mw</t>
        </is>
      </c>
      <c r="E3490" s="3" t="n">
        <v>2484332</v>
      </c>
      <c r="F3490" s="3" t="inlineStr">
        <is>
          <t>generated output tokens/sec/MW</t>
        </is>
      </c>
      <c r="G3490" s="3" t="inlineStr">
        <is>
          <t>Conservative no-uplift proxy</t>
        </is>
      </c>
      <c r="H3490" s="3" t="inlineStr">
        <is>
          <t>purpose_built_tps_per_mw = purpose_built_reference_tps_per_mw * commercial_workload_fit_factor until comparable output-token benchmark is adopted</t>
        </is>
      </c>
      <c r="I3490" s="3" t="inlineStr">
        <is>
          <t>No comparable public output-token/MW row adopted; B200 public reference placeholder is used and remains editable.</t>
        </is>
      </c>
      <c r="J3490" s="3" t="inlineStr">
        <is>
          <t>SRC_XAI_MODELS; SRC_XAI_NVIDIA_COLOSSUS; SRC_EPOCH_AI_DATA_CENTERS; ASSUMP_NUMERIC_ACCELERATOR_MIX</t>
        </is>
      </c>
      <c r="K3490" s="3" t="inlineStr">
        <is>
          <t>ASSUMP_CLUSTER_RAMP; ASSUMP_CLOSED_MODEL_BAND; ASSUMP_NUMERIC_ACCELERATOR_MIX; ASSUMP_INFERENCE_SHARE_NOT_FACT_60; ASSUMP_WORKLOAD_CLASS_MIX; ASSUMP_AGENTIC_CONTEXT_PENALTY</t>
        </is>
      </c>
      <c r="L3490" s="3" t="inlineStr">
        <is>
          <t>Matched-workload generated-output benchmark for the provider purpose-built accelerator.</t>
        </is>
      </c>
    </row>
    <row r="3491">
      <c r="A3491" s="3" t="inlineStr">
        <is>
          <t>xAI</t>
        </is>
      </c>
      <c r="B3491" s="3" t="n">
        <v>2027</v>
      </c>
      <c r="C3491" s="3" t="inlineStr">
        <is>
          <t>Grid-Constrained / Efficiency-Upside</t>
        </is>
      </c>
      <c r="D3491" s="3" t="inlineStr">
        <is>
          <t>inference_power_share</t>
        </is>
      </c>
      <c r="E3491" s="3" t="n">
        <v>0.537</v>
      </c>
      <c r="F3491" s="3" t="inlineStr">
        <is>
          <t>share of AI IT load</t>
        </is>
      </c>
      <c r="G3491" s="3" t="inlineStr">
        <is>
          <t>Scenario allocation</t>
        </is>
      </c>
      <c r="H3491" s="3" t="inlineStr">
        <is>
          <t>inference_gw = ai_it_load_gw * inference_power_share</t>
        </is>
      </c>
      <c r="I3491" s="3" t="inlineStr">
        <is>
          <t>Grok product expansion is modeled to shift capacity toward inference after initial training-heavy operation.</t>
        </is>
      </c>
      <c r="J3491" s="3" t="inlineStr">
        <is>
          <t>SRC_XAI_MODELS; SRC_XAI_NVIDIA_COLOSSUS; SRC_EPOCH_AI_DATA_CENTERS; ASSUMP_INFERENCE_SHARE_NOT_FACT_60</t>
        </is>
      </c>
      <c r="K3491" s="3" t="inlineStr">
        <is>
          <t>ASSUMP_CLUSTER_RAMP; ASSUMP_CLOSED_MODEL_BAND; ASSUMP_NUMERIC_ACCELERATOR_MIX; ASSUMP_INFERENCE_SHARE_NOT_FACT_60; ASSUMP_WORKLOAD_CLASS_MIX; ASSUMP_AGENTIC_CONTEXT_PENALTY</t>
        </is>
      </c>
      <c r="L3491" s="3" t="inlineStr">
        <is>
          <t>Provider-specific inference/training workload power telemetry.</t>
        </is>
      </c>
    </row>
    <row r="3492">
      <c r="A3492" s="3" t="inlineStr">
        <is>
          <t>xAI</t>
        </is>
      </c>
      <c r="B3492" s="3" t="n">
        <v>2027</v>
      </c>
      <c r="C3492" s="3" t="inlineStr">
        <is>
          <t>Grid-Constrained / Efficiency-Upside</t>
        </is>
      </c>
      <c r="D3492" s="3" t="inlineStr">
        <is>
          <t>inference_gw</t>
        </is>
      </c>
      <c r="E3492" s="3" t="n">
        <v>0.279</v>
      </c>
      <c r="F3492" s="3" t="inlineStr">
        <is>
          <t>GW</t>
        </is>
      </c>
      <c r="G3492" s="3" t="inlineStr">
        <is>
          <t>Derived formula</t>
        </is>
      </c>
      <c r="H3492" s="3" t="inlineStr">
        <is>
          <t>ai_it_load_gw * inference_power_share</t>
        </is>
      </c>
      <c r="I3492" s="3" t="inlineStr">
        <is>
          <t>This is the operational power eligible to become commercial generated output tokens through the selected TPS/MW proxy.</t>
        </is>
      </c>
      <c r="J3492" s="3" t="inlineStr">
        <is>
          <t>SRC_XAI_MODELS; SRC_XAI_NVIDIA_COLOSSUS; SRC_EPOCH_AI_DATA_CENTERS</t>
        </is>
      </c>
      <c r="K3492" s="3" t="inlineStr">
        <is>
          <t>ASSUMP_CLUSTER_RAMP; ASSUMP_CLOSED_MODEL_BAND; ASSUMP_NUMERIC_ACCELERATOR_MIX; ASSUMP_INFERENCE_SHARE_NOT_FACT_60; ASSUMP_WORKLOAD_CLASS_MIX; ASSUMP_AGENTIC_CONTEXT_PENALTY</t>
        </is>
      </c>
      <c r="L3492" s="3" t="inlineStr">
        <is>
          <t>Recompute after AI allocation or inference-share evidence changes.</t>
        </is>
      </c>
    </row>
    <row r="3493">
      <c r="A3493" s="3" t="inlineStr">
        <is>
          <t>xAI</t>
        </is>
      </c>
      <c r="B3493" s="3" t="n">
        <v>2027</v>
      </c>
      <c r="C3493" s="3" t="inlineStr">
        <is>
          <t>Grid-Constrained / Efficiency-Upside</t>
        </is>
      </c>
      <c r="D3493" s="3" t="inlineStr">
        <is>
          <t>training_power_share</t>
        </is>
      </c>
      <c r="E3493" s="3" t="n">
        <v>0.463</v>
      </c>
      <c r="F3493" s="3" t="inlineStr">
        <is>
          <t>share of AI IT load</t>
        </is>
      </c>
      <c r="G3493" s="3" t="inlineStr">
        <is>
          <t>Derived allocation</t>
        </is>
      </c>
      <c r="H3493" s="3" t="inlineStr">
        <is>
          <t>1 - inference_power_share</t>
        </is>
      </c>
      <c r="I3493" s="3" t="inlineStr">
        <is>
          <t>Training receives the complementary modeled AI IT allocation; it is not a disclosed company workload split.</t>
        </is>
      </c>
      <c r="J3493" s="3" t="inlineStr">
        <is>
          <t>SRC_XAI_MODELS; SRC_XAI_NVIDIA_COLOSSUS; SRC_EPOCH_AI_DATA_CENTERS; ASSUMP_INFERENCE_SHARE_NOT_FACT_60</t>
        </is>
      </c>
      <c r="K3493" s="3" t="inlineStr">
        <is>
          <t>ASSUMP_CLUSTER_RAMP; ASSUMP_CLOSED_MODEL_BAND; ASSUMP_NUMERIC_ACCELERATOR_MIX; ASSUMP_INFERENCE_SHARE_NOT_FACT_60; ASSUMP_WORKLOAD_CLASS_MIX; ASSUMP_AGENTIC_CONTEXT_PENALTY</t>
        </is>
      </c>
      <c r="L3493" s="3" t="inlineStr">
        <is>
          <t>Provider-specific inference/training workload power telemetry.</t>
        </is>
      </c>
    </row>
    <row r="3494">
      <c r="A3494" s="3" t="inlineStr">
        <is>
          <t>xAI</t>
        </is>
      </c>
      <c r="B3494" s="3" t="n">
        <v>2027</v>
      </c>
      <c r="C3494" s="3" t="inlineStr">
        <is>
          <t>Grid-Constrained / Efficiency-Upside</t>
        </is>
      </c>
      <c r="D3494" s="3" t="inlineStr">
        <is>
          <t>training_gw</t>
        </is>
      </c>
      <c r="E3494" s="3" t="n">
        <v>0.24</v>
      </c>
      <c r="F3494" s="3" t="inlineStr">
        <is>
          <t>GW</t>
        </is>
      </c>
      <c r="G3494" s="3" t="inlineStr">
        <is>
          <t>Derived formula</t>
        </is>
      </c>
      <c r="H3494" s="3" t="inlineStr">
        <is>
          <t>ai_it_load_gw * training_power_share</t>
        </is>
      </c>
      <c r="I3494" s="3" t="inlineStr">
        <is>
          <t>Training GW is shown separately so commercial inference token capacity is not overstated.</t>
        </is>
      </c>
      <c r="J3494" s="3" t="inlineStr">
        <is>
          <t>SRC_XAI_MODELS; SRC_XAI_NVIDIA_COLOSSUS; SRC_EPOCH_AI_DATA_CENTERS</t>
        </is>
      </c>
      <c r="K3494" s="3" t="inlineStr">
        <is>
          <t>ASSUMP_CLUSTER_RAMP; ASSUMP_CLOSED_MODEL_BAND; ASSUMP_NUMERIC_ACCELERATOR_MIX; ASSUMP_INFERENCE_SHARE_NOT_FACT_60; ASSUMP_WORKLOAD_CLASS_MIX; ASSUMP_AGENTIC_CONTEXT_PENALTY</t>
        </is>
      </c>
      <c r="L3494" s="3" t="inlineStr">
        <is>
          <t>Recompute after AI allocation or workload-split evidence changes.</t>
        </is>
      </c>
    </row>
    <row r="3495">
      <c r="A3495" s="3" t="inlineStr">
        <is>
          <t>xAI</t>
        </is>
      </c>
      <c r="B3495" s="3" t="n">
        <v>2027</v>
      </c>
      <c r="C3495" s="3" t="inlineStr">
        <is>
          <t>Grid-Constrained / Efficiency-Upside</t>
        </is>
      </c>
      <c r="D3495" s="3" t="inlineStr">
        <is>
          <t>tokens_per_second_per_mw</t>
        </is>
      </c>
      <c r="E3495" s="3" t="n">
        <v>1655658</v>
      </c>
      <c r="F3495" s="3" t="inlineStr">
        <is>
          <t>generated output tokens/sec/MW</t>
        </is>
      </c>
      <c r="G3495" s="3" t="inlineStr">
        <is>
          <t>Derived estimate + benchmark calibration</t>
        </is>
      </c>
      <c r="H3495" s="3" t="inlineStr">
        <is>
          <t>fleet_reference_tps_per_mw * commercial_workload_fit_factor</t>
        </is>
      </c>
      <c r="I3495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495" s="3" t="inlineStr">
        <is>
          <t>SRC_XAI_MODELS; SRC_XAI_NVIDIA_COLOSSUS; SRC_EPOCH_AI_DATA_CENTERS; SRC_SEMIANALYSIS_INFERENCEX; ASSUMP_NUMERIC_ACCELERATOR_MIX; ASSUMP_WORKLOAD_CLASS_MIX; ASSUMP_AGENTIC_CONTEXT_PENALTY</t>
        </is>
      </c>
      <c r="K3495" s="3" t="inlineStr">
        <is>
          <t>ASSUMP_CLUSTER_RAMP; ASSUMP_CLOSED_MODEL_BAND; ASSUMP_NUMERIC_ACCELERATOR_MIX; ASSUMP_INFERENCE_SHARE_NOT_FACT_60; ASSUMP_WORKLOAD_CLASS_MIX; ASSUMP_AGENTIC_CONTEXT_PENALTY</t>
        </is>
      </c>
      <c r="L3495" s="3" t="inlineStr">
        <is>
          <t>Comparable production output-token throughput with model, hardware, precision, ISL/OSL and SLO matched.</t>
        </is>
      </c>
    </row>
    <row r="3496">
      <c r="A3496" s="3" t="inlineStr">
        <is>
          <t>xAI</t>
        </is>
      </c>
      <c r="B3496" s="3" t="n">
        <v>2027</v>
      </c>
      <c r="C3496" s="3" t="inlineStr">
        <is>
          <t>Grid-Constrained / Efficiency-Upside</t>
        </is>
      </c>
      <c r="D3496" s="3" t="inlineStr">
        <is>
          <t>inference_tokens_per_day</t>
        </is>
      </c>
      <c r="E3496" s="3" t="n">
        <v>39910629484800</v>
      </c>
      <c r="F3496" s="3" t="inlineStr">
        <is>
          <t>generated output tokens/day</t>
        </is>
      </c>
      <c r="G3496" s="3" t="inlineStr">
        <is>
          <t>Derived headline metric</t>
        </is>
      </c>
      <c r="H3496" s="3" t="inlineStr">
        <is>
          <t>inference_gw * 1000 * tokens_per_second_per_mw * 86,400</t>
        </is>
      </c>
      <c r="I3496" s="3" t="inlineStr">
        <is>
          <t>Headline capacity uses no utilization, MoE, architecture or software-growth multiplier; it is not observed commercial output volume.</t>
        </is>
      </c>
      <c r="J3496" s="3" t="inlineStr">
        <is>
          <t>SRC_XAI_MODELS; SRC_XAI_NVIDIA_COLOSSUS; SRC_EPOCH_AI_DATA_CENTERS; SRC_SEMIANALYSIS_INFERENCEX</t>
        </is>
      </c>
      <c r="K3496" s="3" t="inlineStr">
        <is>
          <t>ASSUMP_CLUSTER_RAMP; ASSUMP_CLOSED_MODEL_BAND; ASSUMP_NUMERIC_ACCELERATOR_MIX; ASSUMP_INFERENCE_SHARE_NOT_FACT_60; ASSUMP_WORKLOAD_CLASS_MIX; ASSUMP_AGENTIC_CONTEXT_PENALTY</t>
        </is>
      </c>
      <c r="L3496" s="3" t="inlineStr">
        <is>
          <t>Provider-disclosed generated output token volume or calibrated capacity telemetry.</t>
        </is>
      </c>
    </row>
    <row r="3497">
      <c r="A3497" s="3" t="inlineStr">
        <is>
          <t>xAI</t>
        </is>
      </c>
      <c r="B3497" s="3" t="n">
        <v>2027</v>
      </c>
      <c r="C3497" s="3" t="inlineStr">
        <is>
          <t>Grid-Constrained / Efficiency-Upside</t>
        </is>
      </c>
      <c r="D3497" s="3" t="inlineStr">
        <is>
          <t>inference_tokens_per_year</t>
        </is>
      </c>
      <c r="E3497" s="3" t="n">
        <v>1.4567379761952e+16</v>
      </c>
      <c r="F3497" s="3" t="inlineStr">
        <is>
          <t>generated output tokens/year</t>
        </is>
      </c>
      <c r="G3497" s="3" t="inlineStr">
        <is>
          <t>Derived headline metric</t>
        </is>
      </c>
      <c r="H3497" s="3" t="inlineStr">
        <is>
          <t>inference_tokens_per_day * 365</t>
        </is>
      </c>
      <c r="I3497" s="3" t="inlineStr">
        <is>
          <t>Annualized version of generated output token capacity; it is not observed annual demand or billable volume.</t>
        </is>
      </c>
      <c r="J3497" s="3" t="inlineStr">
        <is>
          <t>SRC_XAI_MODELS; SRC_XAI_NVIDIA_COLOSSUS; SRC_EPOCH_AI_DATA_CENTERS; SRC_SEMIANALYSIS_INFERENCEX</t>
        </is>
      </c>
      <c r="K3497" s="3" t="inlineStr">
        <is>
          <t>ASSUMP_CLUSTER_RAMP; ASSUMP_CLOSED_MODEL_BAND; ASSUMP_NUMERIC_ACCELERATOR_MIX; ASSUMP_INFERENCE_SHARE_NOT_FACT_60; ASSUMP_WORKLOAD_CLASS_MIX; ASSUMP_AGENTIC_CONTEXT_PENALTY</t>
        </is>
      </c>
      <c r="L3497" s="3" t="inlineStr">
        <is>
          <t>Provider-disclosed annual generated-output volume or metered serving telemetry.</t>
        </is>
      </c>
    </row>
    <row r="3498">
      <c r="A3498" s="3" t="inlineStr">
        <is>
          <t>xAI</t>
        </is>
      </c>
      <c r="B3498" s="3" t="n">
        <v>2028</v>
      </c>
      <c r="C3498" s="3" t="inlineStr">
        <is>
          <t>Grid-Constrained / Efficiency-Upside</t>
        </is>
      </c>
      <c r="D3498" s="3" t="inlineStr">
        <is>
          <t>contracted_power_gw</t>
        </is>
      </c>
      <c r="E3498" s="3" t="n">
        <v>2</v>
      </c>
      <c r="F3498" s="3" t="inlineStr">
        <is>
          <t>GW</t>
        </is>
      </c>
      <c r="G3498" s="3" t="inlineStr">
        <is>
          <t>Fact anchor + scenario ceiling</t>
        </is>
      </c>
      <c r="H3498" s="3" t="inlineStr">
        <is>
          <t>linear interpolation between 2026 and 2030 company capacity endpoints</t>
        </is>
      </c>
      <c r="I3498" s="3" t="inlineStr">
        <is>
          <t>Colossus GPU-count disclosure bounds capacity direction; contracted GW values are modeled power envelopes.</t>
        </is>
      </c>
      <c r="J3498" s="3" t="inlineStr">
        <is>
          <t>SRC_XAI_NVIDIA_COLOSSUS; ASSUMP_CLUSTER_RAMP</t>
        </is>
      </c>
      <c r="K3498" s="3" t="inlineStr">
        <is>
          <t>ASSUMP_CLUSTER_RAMP; ASSUMP_CLOSED_MODEL_BAND; ASSUMP_NUMERIC_ACCELERATOR_MIX; ASSUMP_INFERENCE_SHARE_NOT_FACT_60; ASSUMP_WORKLOAD_CLASS_MIX; ASSUMP_AGENTIC_CONTEXT_PENALTY</t>
        </is>
      </c>
      <c r="L3498" s="3" t="inlineStr">
        <is>
          <t>Company/site-level committed MW/GW, interconnect and contract disclosure.</t>
        </is>
      </c>
    </row>
    <row r="3499">
      <c r="A3499" s="3" t="inlineStr">
        <is>
          <t>xAI</t>
        </is>
      </c>
      <c r="B3499" s="3" t="n">
        <v>2028</v>
      </c>
      <c r="C3499" s="3" t="inlineStr">
        <is>
          <t>Grid-Constrained / Efficiency-Upside</t>
        </is>
      </c>
      <c r="D3499" s="3" t="inlineStr">
        <is>
          <t>operational_deployment_share</t>
        </is>
      </c>
      <c r="E3499" s="3" t="n">
        <v>0.57</v>
      </c>
      <c r="F3499" s="3" t="inlineStr">
        <is>
          <t>share</t>
        </is>
      </c>
      <c r="G3499" s="3" t="inlineStr">
        <is>
          <t>Scenario conversion</t>
        </is>
      </c>
      <c r="H3499" s="3" t="inlineStr">
        <is>
          <t>active_power_gw / contracted_power_gw</t>
        </is>
      </c>
      <c r="I3499" s="3" t="inlineStr">
        <is>
          <t>This is the single explicit conversion from contracted/attributed capacity to operationally usable capacity.</t>
        </is>
      </c>
      <c r="J3499" s="3" t="inlineStr">
        <is>
          <t>SRC_XAI_NVIDIA_COLOSSUS; ASSUMP_CLUSTER_RAMP</t>
        </is>
      </c>
      <c r="K3499" s="3" t="inlineStr">
        <is>
          <t>ASSUMP_CLUSTER_RAMP; ASSUMP_CLOSED_MODEL_BAND; ASSUMP_NUMERIC_ACCELERATOR_MIX; ASSUMP_INFERENCE_SHARE_NOT_FACT_60; ASSUMP_WORKLOAD_CLASS_MIX; ASSUMP_AGENTIC_CONTEXT_PENALTY</t>
        </is>
      </c>
      <c r="L3499" s="3" t="inlineStr">
        <is>
          <t>Energized operational capacity divided by contracted/attributed capacity.</t>
        </is>
      </c>
    </row>
    <row r="3500">
      <c r="A3500" s="3" t="inlineStr">
        <is>
          <t>xAI</t>
        </is>
      </c>
      <c r="B3500" s="3" t="n">
        <v>2028</v>
      </c>
      <c r="C3500" s="3" t="inlineStr">
        <is>
          <t>Grid-Constrained / Efficiency-Upside</t>
        </is>
      </c>
      <c r="D3500" s="3" t="inlineStr">
        <is>
          <t>active_power_gw</t>
        </is>
      </c>
      <c r="E3500" s="3" t="n">
        <v>1.14</v>
      </c>
      <c r="F3500" s="3" t="inlineStr">
        <is>
          <t>GW</t>
        </is>
      </c>
      <c r="G3500" s="3" t="inlineStr">
        <is>
          <t>Derived scenario</t>
        </is>
      </c>
      <c r="H3500" s="3" t="inlineStr">
        <is>
          <t>contracted_power_gw * operational_deployment_share</t>
        </is>
      </c>
      <c r="I3500" s="3" t="inlineStr">
        <is>
          <t>GPU cluster scale anchors operational possibility, while inference/training allocation and site power draw remain estimates.</t>
        </is>
      </c>
      <c r="J3500" s="3" t="inlineStr">
        <is>
          <t>SRC_XAI_NVIDIA_COLOSSUS; ASSUMP_CLUSTER_RAMP</t>
        </is>
      </c>
      <c r="K3500" s="3" t="inlineStr">
        <is>
          <t>ASSUMP_CLUSTER_RAMP; ASSUMP_CLOSED_MODEL_BAND; ASSUMP_NUMERIC_ACCELERATOR_MIX; ASSUMP_INFERENCE_SHARE_NOT_FACT_60; ASSUMP_WORKLOAD_CLASS_MIX; ASSUMP_AGENTIC_CONTEXT_PENALTY</t>
        </is>
      </c>
      <c r="L3500" s="3" t="inlineStr">
        <is>
          <t>Energization dates, accelerator deliveries and operational powered-rack telemetry.</t>
        </is>
      </c>
    </row>
    <row r="3501">
      <c r="A3501" s="3" t="inlineStr">
        <is>
          <t>xAI</t>
        </is>
      </c>
      <c r="B3501" s="3" t="n">
        <v>2028</v>
      </c>
      <c r="C3501" s="3" t="inlineStr">
        <is>
          <t>Grid-Constrained / Efficiency-Upside</t>
        </is>
      </c>
      <c r="D3501" s="3" t="inlineStr">
        <is>
          <t>pue</t>
        </is>
      </c>
      <c r="E3501" s="3" t="n">
        <v>1.22</v>
      </c>
      <c r="F3501" s="3" t="inlineStr">
        <is>
          <t>ratio</t>
        </is>
      </c>
      <c r="G3501" s="3" t="inlineStr">
        <is>
          <t>Scenario parameter</t>
        </is>
      </c>
      <c r="H3501" s="3" t="inlineStr">
        <is>
          <t>it_load_gw = active_power_gw / pue</t>
        </is>
      </c>
      <c r="I3501" s="3" t="inlineStr">
        <is>
          <t>No provider-wide site-level PUE is used as a disclosed fact; PUE represents facility-to-IT conversion within the scenario.</t>
        </is>
      </c>
      <c r="J3501" s="3" t="inlineStr">
        <is>
          <t>ASSUMP_POWER_RAMP</t>
        </is>
      </c>
      <c r="K3501" s="3" t="inlineStr">
        <is>
          <t>ASSUMP_CLUSTER_RAMP; ASSUMP_CLOSED_MODEL_BAND; ASSUMP_NUMERIC_ACCELERATOR_MIX; ASSUMP_INFERENCE_SHARE_NOT_FACT_60; ASSUMP_WORKLOAD_CLASS_MIX; ASSUMP_AGENTIC_CONTEXT_PENALTY</t>
        </is>
      </c>
      <c r="L3501" s="3" t="inlineStr">
        <is>
          <t>Site-level measured PUE matched to attributed AI capacity.</t>
        </is>
      </c>
    </row>
    <row r="3502">
      <c r="A3502" s="3" t="inlineStr">
        <is>
          <t>xAI</t>
        </is>
      </c>
      <c r="B3502" s="3" t="n">
        <v>2028</v>
      </c>
      <c r="C3502" s="3" t="inlineStr">
        <is>
          <t>Grid-Constrained / Efficiency-Upside</t>
        </is>
      </c>
      <c r="D3502" s="3" t="inlineStr">
        <is>
          <t>it_load_gw</t>
        </is>
      </c>
      <c r="E3502" s="3" t="n">
        <v>0.9340000000000001</v>
      </c>
      <c r="F3502" s="3" t="inlineStr">
        <is>
          <t>GW</t>
        </is>
      </c>
      <c r="G3502" s="3" t="inlineStr">
        <is>
          <t>Derived formula</t>
        </is>
      </c>
      <c r="H3502" s="3" t="inlineStr">
        <is>
          <t>active_power_gw / pue</t>
        </is>
      </c>
      <c r="I3502" s="3" t="inlineStr">
        <is>
          <t>Facility power is converted to IT-deliverable power before attributing AI workloads.</t>
        </is>
      </c>
      <c r="J3502" s="3" t="inlineStr">
        <is>
          <t>SRC_XAI_NVIDIA_COLOSSUS; ASSUMP_CLUSTER_RAMP</t>
        </is>
      </c>
      <c r="K3502" s="3" t="inlineStr">
        <is>
          <t>ASSUMP_CLUSTER_RAMP; ASSUMP_CLOSED_MODEL_BAND; ASSUMP_NUMERIC_ACCELERATOR_MIX; ASSUMP_INFERENCE_SHARE_NOT_FACT_60; ASSUMP_WORKLOAD_CLASS_MIX; ASSUMP_AGENTIC_CONTEXT_PENALTY</t>
        </is>
      </c>
      <c r="L3502" s="3" t="inlineStr">
        <is>
          <t>Recompute once active power and PUE become site-observable.</t>
        </is>
      </c>
    </row>
    <row r="3503">
      <c r="A3503" s="3" t="inlineStr">
        <is>
          <t>xAI</t>
        </is>
      </c>
      <c r="B3503" s="3" t="n">
        <v>2028</v>
      </c>
      <c r="C3503" s="3" t="inlineStr">
        <is>
          <t>Grid-Constrained / Efficiency-Upside</t>
        </is>
      </c>
      <c r="D3503" s="3" t="inlineStr">
        <is>
          <t>ai_workload_share</t>
        </is>
      </c>
      <c r="E3503" s="3" t="n">
        <v>0.85</v>
      </c>
      <c r="F3503" s="3" t="inlineStr">
        <is>
          <t>share</t>
        </is>
      </c>
      <c r="G3503" s="3" t="inlineStr">
        <is>
          <t>Scenario allocation</t>
        </is>
      </c>
      <c r="H3503" s="3" t="inlineStr">
        <is>
          <t>ai_it_load_gw = it_load_gw * ai_workload_share</t>
        </is>
      </c>
      <c r="I3503" s="3" t="inlineStr">
        <is>
          <t>Colossus is AI-centric; 85% retains cooling/IT allocation boundary and non-serving AI work.</t>
        </is>
      </c>
      <c r="J3503" s="3" t="inlineStr">
        <is>
          <t>SRC_XAI_MODELS; SRC_XAI_NVIDIA_COLOSSUS; SRC_EPOCH_AI_DATA_CENTERS</t>
        </is>
      </c>
      <c r="K3503" s="3" t="inlineStr">
        <is>
          <t>ASSUMP_CLUSTER_RAMP; ASSUMP_CLOSED_MODEL_BAND; ASSUMP_NUMERIC_ACCELERATOR_MIX; ASSUMP_INFERENCE_SHARE_NOT_FACT_60; ASSUMP_WORKLOAD_CLASS_MIX; ASSUMP_AGENTIC_CONTEXT_PENALTY</t>
        </is>
      </c>
      <c r="L3503" s="3" t="inlineStr">
        <is>
          <t>Model-owner AI workload allocation or cluster scheduling telemetry.</t>
        </is>
      </c>
    </row>
    <row r="3504">
      <c r="A3504" s="3" t="inlineStr">
        <is>
          <t>xAI</t>
        </is>
      </c>
      <c r="B3504" s="3" t="n">
        <v>2028</v>
      </c>
      <c r="C3504" s="3" t="inlineStr">
        <is>
          <t>Grid-Constrained / Efficiency-Upside</t>
        </is>
      </c>
      <c r="D3504" s="3" t="inlineStr">
        <is>
          <t>ai_it_load_gw</t>
        </is>
      </c>
      <c r="E3504" s="3" t="n">
        <v>0.794</v>
      </c>
      <c r="F3504" s="3" t="inlineStr">
        <is>
          <t>GW</t>
        </is>
      </c>
      <c r="G3504" s="3" t="inlineStr">
        <is>
          <t>Derived formula</t>
        </is>
      </c>
      <c r="H3504" s="3" t="inlineStr">
        <is>
          <t>it_load_gw * ai_workload_share</t>
        </is>
      </c>
      <c r="I3504" s="3" t="inlineStr">
        <is>
          <t>Only the AI-attributed portion of IT load enters training/inference allocation.</t>
        </is>
      </c>
      <c r="J3504" s="3" t="inlineStr">
        <is>
          <t>SRC_XAI_MODELS; SRC_XAI_NVIDIA_COLOSSUS; SRC_EPOCH_AI_DATA_CENTERS</t>
        </is>
      </c>
      <c r="K3504" s="3" t="inlineStr">
        <is>
          <t>ASSUMP_CLUSTER_RAMP; ASSUMP_CLOSED_MODEL_BAND; ASSUMP_NUMERIC_ACCELERATOR_MIX; ASSUMP_INFERENCE_SHARE_NOT_FACT_60; ASSUMP_WORKLOAD_CLASS_MIX; ASSUMP_AGENTIC_CONTEXT_PENALTY</t>
        </is>
      </c>
      <c r="L3504" s="3" t="inlineStr">
        <is>
          <t>Recompute after ai_workload_share is replaced by telemetry.</t>
        </is>
      </c>
    </row>
    <row r="3505">
      <c r="A3505" s="3" t="inlineStr">
        <is>
          <t>xAI</t>
        </is>
      </c>
      <c r="B3505" s="3" t="n">
        <v>2028</v>
      </c>
      <c r="C3505" s="3" t="inlineStr">
        <is>
          <t>Grid-Constrained / Efficiency-Upside</t>
        </is>
      </c>
      <c r="D3505" s="3" t="inlineStr">
        <is>
          <t>gpu_share</t>
        </is>
      </c>
      <c r="E3505" s="3" t="n">
        <v>1</v>
      </c>
      <c r="F3505" s="3" t="inlineStr">
        <is>
          <t>share of inference-serving accelerator load</t>
        </is>
      </c>
      <c r="G3505" s="3" t="inlineStr">
        <is>
          <t>Numeric scenario</t>
        </is>
      </c>
      <c r="H3505" s="3" t="inlineStr">
        <is>
          <t>gpu_share interpolated from company 2026/2030 accelerator-mix endpoints</t>
        </is>
      </c>
      <c r="I3505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05" s="3" t="inlineStr">
        <is>
          <t>SRC_XAI_MODELS; SRC_XAI_NVIDIA_COLOSSUS; SRC_EPOCH_AI_DATA_CENTERS; ASSUMP_NUMERIC_ACCELERATOR_MIX</t>
        </is>
      </c>
      <c r="K3505" s="3" t="inlineStr">
        <is>
          <t>ASSUMP_CLUSTER_RAMP; ASSUMP_CLOSED_MODEL_BAND; ASSUMP_NUMERIC_ACCELERATOR_MIX; ASSUMP_INFERENCE_SHARE_NOT_FACT_60; ASSUMP_WORKLOAD_CLASS_MIX; ASSUMP_AGENTIC_CONTEXT_PENALTY</t>
        </is>
      </c>
      <c r="L3505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06">
      <c r="A3506" s="3" t="inlineStr">
        <is>
          <t>xAI</t>
        </is>
      </c>
      <c r="B3506" s="3" t="n">
        <v>2028</v>
      </c>
      <c r="C3506" s="3" t="inlineStr">
        <is>
          <t>Grid-Constrained / Efficiency-Upside</t>
        </is>
      </c>
      <c r="D3506" s="3" t="inlineStr">
        <is>
          <t>h200_share</t>
        </is>
      </c>
      <c r="E3506" s="3" t="n">
        <v>0</v>
      </c>
      <c r="F3506" s="3" t="inlineStr">
        <is>
          <t>share of inference-serving accelerator load</t>
        </is>
      </c>
      <c r="G3506" s="3" t="inlineStr">
        <is>
          <t>Editable numeric scenario</t>
        </is>
      </c>
      <c r="H3506" s="3" t="inlineStr">
        <is>
          <t>h200_share = gpu_share * default_gpu_generation_mix_h200</t>
        </is>
      </c>
      <c r="I3506" s="3" t="inlineStr">
        <is>
          <t>Default GPU-generation migration assumption; executive workbook allows later manual replacement by company/year/scenario.</t>
        </is>
      </c>
      <c r="J3506" s="3" t="inlineStr">
        <is>
          <t>SRC_SEMIANALYSIS_INFERENCEX; ASSUMP_NUMERIC_ACCELERATOR_MIX</t>
        </is>
      </c>
      <c r="K3506" s="3" t="inlineStr">
        <is>
          <t>ASSUMP_CLUSTER_RAMP; ASSUMP_CLOSED_MODEL_BAND; ASSUMP_NUMERIC_ACCELERATOR_MIX; ASSUMP_INFERENCE_SHARE_NOT_FACT_60; ASSUMP_WORKLOAD_CLASS_MIX; ASSUMP_AGENTIC_CONTEXT_PENALTY</t>
        </is>
      </c>
      <c r="L3506" s="3" t="inlineStr">
        <is>
          <t>Company fleet inventory, accelerator-hours or procurement/deployment records by GPU generation.</t>
        </is>
      </c>
    </row>
    <row r="3507">
      <c r="A3507" s="3" t="inlineStr">
        <is>
          <t>xAI</t>
        </is>
      </c>
      <c r="B3507" s="3" t="n">
        <v>2028</v>
      </c>
      <c r="C3507" s="3" t="inlineStr">
        <is>
          <t>Grid-Constrained / Efficiency-Upside</t>
        </is>
      </c>
      <c r="D3507" s="3" t="inlineStr">
        <is>
          <t>b200_share</t>
        </is>
      </c>
      <c r="E3507" s="3" t="n">
        <v>1</v>
      </c>
      <c r="F3507" s="3" t="inlineStr">
        <is>
          <t>share of inference-serving accelerator load</t>
        </is>
      </c>
      <c r="G3507" s="3" t="inlineStr">
        <is>
          <t>Editable numeric scenario</t>
        </is>
      </c>
      <c r="H3507" s="3" t="inlineStr">
        <is>
          <t>b200_share = gpu_share * default_gpu_generation_mix_b200</t>
        </is>
      </c>
      <c r="I3507" s="3" t="inlineStr">
        <is>
          <t>Default GPU-generation migration assumption; executive workbook allows later manual replacement by company/year/scenario.</t>
        </is>
      </c>
      <c r="J3507" s="3" t="inlineStr">
        <is>
          <t>SRC_SEMIANALYSIS_INFERENCEX; ASSUMP_NUMERIC_ACCELERATOR_MIX</t>
        </is>
      </c>
      <c r="K3507" s="3" t="inlineStr">
        <is>
          <t>ASSUMP_CLUSTER_RAMP; ASSUMP_CLOSED_MODEL_BAND; ASSUMP_NUMERIC_ACCELERATOR_MIX; ASSUMP_INFERENCE_SHARE_NOT_FACT_60; ASSUMP_WORKLOAD_CLASS_MIX; ASSUMP_AGENTIC_CONTEXT_PENALTY</t>
        </is>
      </c>
      <c r="L3507" s="3" t="inlineStr">
        <is>
          <t>Company fleet inventory, accelerator-hours or procurement/deployment records by GPU generation.</t>
        </is>
      </c>
    </row>
    <row r="3508">
      <c r="A3508" s="3" t="inlineStr">
        <is>
          <t>xAI</t>
        </is>
      </c>
      <c r="B3508" s="3" t="n">
        <v>2028</v>
      </c>
      <c r="C3508" s="3" t="inlineStr">
        <is>
          <t>Grid-Constrained / Efficiency-Upside</t>
        </is>
      </c>
      <c r="D3508" s="3" t="inlineStr">
        <is>
          <t>gb200_share</t>
        </is>
      </c>
      <c r="E3508" s="3" t="n">
        <v>0</v>
      </c>
      <c r="F3508" s="3" t="inlineStr">
        <is>
          <t>share of inference-serving accelerator load</t>
        </is>
      </c>
      <c r="G3508" s="3" t="inlineStr">
        <is>
          <t>Editable numeric scenario</t>
        </is>
      </c>
      <c r="H3508" s="3" t="inlineStr">
        <is>
          <t>gb200_share = gpu_share * default_gpu_generation_mix_gb200</t>
        </is>
      </c>
      <c r="I3508" s="3" t="inlineStr">
        <is>
          <t>Default GPU-generation migration assumption; executive workbook allows later manual replacement by company/year/scenario.</t>
        </is>
      </c>
      <c r="J3508" s="3" t="inlineStr">
        <is>
          <t>SRC_SEMIANALYSIS_INFERENCEX; ASSUMP_NUMERIC_ACCELERATOR_MIX</t>
        </is>
      </c>
      <c r="K3508" s="3" t="inlineStr">
        <is>
          <t>ASSUMP_CLUSTER_RAMP; ASSUMP_CLOSED_MODEL_BAND; ASSUMP_NUMERIC_ACCELERATOR_MIX; ASSUMP_INFERENCE_SHARE_NOT_FACT_60; ASSUMP_WORKLOAD_CLASS_MIX; ASSUMP_AGENTIC_CONTEXT_PENALTY</t>
        </is>
      </c>
      <c r="L3508" s="3" t="inlineStr">
        <is>
          <t>Company fleet inventory, accelerator-hours or procurement/deployment records by GPU generation.</t>
        </is>
      </c>
    </row>
    <row r="3509">
      <c r="A3509" s="3" t="inlineStr">
        <is>
          <t>xAI</t>
        </is>
      </c>
      <c r="B3509" s="3" t="n">
        <v>2028</v>
      </c>
      <c r="C3509" s="3" t="inlineStr">
        <is>
          <t>Grid-Constrained / Efficiency-Upside</t>
        </is>
      </c>
      <c r="D3509" s="3" t="inlineStr">
        <is>
          <t>purpose_built_accelerator_share</t>
        </is>
      </c>
      <c r="E3509" s="3" t="n">
        <v>0</v>
      </c>
      <c r="F3509" s="3" t="inlineStr">
        <is>
          <t>share of inference-serving accelerator load</t>
        </is>
      </c>
      <c r="G3509" s="3" t="inlineStr">
        <is>
          <t>Numeric scenario</t>
        </is>
      </c>
      <c r="H3509" s="3" t="inlineStr">
        <is>
          <t>1 - gpu_share</t>
        </is>
      </c>
      <c r="I3509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09" s="3" t="inlineStr">
        <is>
          <t>SRC_XAI_MODELS; SRC_XAI_NVIDIA_COLOSSUS; SRC_EPOCH_AI_DATA_CENTERS; ASSUMP_NUMERIC_ACCELERATOR_MIX</t>
        </is>
      </c>
      <c r="K3509" s="3" t="inlineStr">
        <is>
          <t>ASSUMP_CLUSTER_RAMP; ASSUMP_CLOSED_MODEL_BAND; ASSUMP_NUMERIC_ACCELERATOR_MIX; ASSUMP_INFERENCE_SHARE_NOT_FACT_60; ASSUMP_WORKLOAD_CLASS_MIX; ASSUMP_AGENTIC_CONTEXT_PENALTY</t>
        </is>
      </c>
      <c r="L3509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10">
      <c r="A3510" s="3" t="inlineStr">
        <is>
          <t>xAI</t>
        </is>
      </c>
      <c r="B3510" s="3" t="n">
        <v>2028</v>
      </c>
      <c r="C3510" s="3" t="inlineStr">
        <is>
          <t>Grid-Constrained / Efficiency-Upside</t>
        </is>
      </c>
      <c r="D3510" s="3" t="inlineStr">
        <is>
          <t>fleet_reference_tps_per_mw</t>
        </is>
      </c>
      <c r="E3510" s="3" t="n">
        <v>3010288</v>
      </c>
      <c r="F3510" s="3" t="inlineStr">
        <is>
          <t>generated output tokens/sec/MW</t>
        </is>
      </c>
      <c r="G3510" s="3" t="inlineStr">
        <is>
          <t>Fleet-weighted public benchmark reference</t>
        </is>
      </c>
      <c r="H3510" s="3" t="inlineStr">
        <is>
          <t>h200_share*h200_workload_avg + b200_share*b200_workload_avg + gb200_share*gb200_workload_avg + purpose_built_share*purpose_workload_avg</t>
        </is>
      </c>
      <c r="I3510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10" s="3" t="inlineStr">
        <is>
          <t>SRC_SEMIANALYSIS_INFERENCEX; ASSUMP_NUMERIC_ACCELERATOR_MIX; ASSUMP_WORKLOAD_CLASS_MIX; ASSUMP_AGENTIC_CONTEXT_PENALTY</t>
        </is>
      </c>
      <c r="K3510" s="3" t="inlineStr">
        <is>
          <t>ASSUMP_CLUSTER_RAMP; ASSUMP_CLOSED_MODEL_BAND; ASSUMP_NUMERIC_ACCELERATOR_MIX; ASSUMP_INFERENCE_SHARE_NOT_FACT_60; ASSUMP_WORKLOAD_CLASS_MIX; ASSUMP_AGENTIC_CONTEXT_PENALTY</t>
        </is>
      </c>
      <c r="L3510" s="3" t="inlineStr">
        <is>
          <t>Comparable production output-token throughput or a more closely matched benchmark.</t>
        </is>
      </c>
    </row>
    <row r="3511">
      <c r="A3511" s="3" t="inlineStr">
        <is>
          <t>xAI</t>
        </is>
      </c>
      <c r="B3511" s="3" t="n">
        <v>2028</v>
      </c>
      <c r="C3511" s="3" t="inlineStr">
        <is>
          <t>Grid-Constrained / Efficiency-Upside</t>
        </is>
      </c>
      <c r="D3511" s="3" t="inlineStr">
        <is>
          <t>commercial_workload_fit_factor</t>
        </is>
      </c>
      <c r="E3511" s="3" t="n">
        <v>0.55</v>
      </c>
      <c r="F3511" s="3" t="inlineStr">
        <is>
          <t>share of public reference throughput</t>
        </is>
      </c>
      <c r="G3511" s="3" t="inlineStr">
        <is>
          <t>Scenario assumption</t>
        </is>
      </c>
      <c r="H3511" s="3" t="inlineStr">
        <is>
          <t>reference_serving_tps_per_mw = fleet_reference_tps_per_mw * commercial_workload_fit_factor</t>
        </is>
      </c>
      <c r="I3511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11" s="3" t="inlineStr">
        <is>
          <t>SRC_SEMIANALYSIS_INFERENCEX; ASSUMP_NUMERIC_ACCELERATOR_MIX; ASSUMP_WORKLOAD_CLASS_MIX; ASSUMP_AGENTIC_CONTEXT_PENALTY</t>
        </is>
      </c>
      <c r="K3511" s="3" t="inlineStr">
        <is>
          <t>ASSUMP_CLUSTER_RAMP; ASSUMP_CLOSED_MODEL_BAND; ASSUMP_NUMERIC_ACCELERATOR_MIX; ASSUMP_INFERENCE_SHARE_NOT_FACT_60; ASSUMP_WORKLOAD_CLASS_MIX; ASSUMP_AGENTIC_CONTEXT_PENALTY</t>
        </is>
      </c>
      <c r="L3511" s="3" t="inlineStr">
        <is>
          <t>Matched commercial serving benchmark by product surface, context shape and latency SLO.</t>
        </is>
      </c>
    </row>
    <row r="3512">
      <c r="A3512" s="3" t="inlineStr">
        <is>
          <t>xAI</t>
        </is>
      </c>
      <c r="B3512" s="3" t="n">
        <v>2028</v>
      </c>
      <c r="C3512" s="3" t="inlineStr">
        <is>
          <t>Grid-Constrained / Efficiency-Upside</t>
        </is>
      </c>
      <c r="D3512" s="3" t="inlineStr">
        <is>
          <t>reference_serving_tps_per_mw</t>
        </is>
      </c>
      <c r="E3512" s="3" t="n">
        <v>1655658</v>
      </c>
      <c r="F3512" s="3" t="inlineStr">
        <is>
          <t>generated output tokens/sec/MW</t>
        </is>
      </c>
      <c r="G3512" s="3" t="inlineStr">
        <is>
          <t>Workload-adjusted benchmark proxy</t>
        </is>
      </c>
      <c r="H3512" s="3" t="inlineStr">
        <is>
          <t>fleet_reference_tps_per_mw * commercial_workload_fit_factor</t>
        </is>
      </c>
      <c r="I3512" s="3" t="inlineStr">
        <is>
          <t>This is the coefficient used for headline token generation; each GPU's short chat, long chat and agentic TPS/MW are weighted before fleet mix and commercial fit are applied.</t>
        </is>
      </c>
      <c r="J3512" s="3" t="inlineStr">
        <is>
          <t>SRC_SEMIANALYSIS_INFERENCEX; ASSUMP_NUMERIC_ACCELERATOR_MIX; ASSUMP_WORKLOAD_CLASS_MIX; ASSUMP_AGENTIC_CONTEXT_PENALTY</t>
        </is>
      </c>
      <c r="K3512" s="3" t="inlineStr">
        <is>
          <t>ASSUMP_CLUSTER_RAMP; ASSUMP_CLOSED_MODEL_BAND; ASSUMP_NUMERIC_ACCELERATOR_MIX; ASSUMP_INFERENCE_SHARE_NOT_FACT_60; ASSUMP_WORKLOAD_CLASS_MIX; ASSUMP_AGENTIC_CONTEXT_PENALTY</t>
        </is>
      </c>
      <c r="L3512" s="3" t="inlineStr">
        <is>
          <t>Provider production output-token throughput with comparable workload/SLO.</t>
        </is>
      </c>
    </row>
    <row r="3513">
      <c r="A3513" s="3" t="inlineStr">
        <is>
          <t>xAI</t>
        </is>
      </c>
      <c r="B3513" s="3" t="n">
        <v>2028</v>
      </c>
      <c r="C3513" s="3" t="inlineStr">
        <is>
          <t>Grid-Constrained / Efficiency-Upside</t>
        </is>
      </c>
      <c r="D3513" s="3" t="inlineStr">
        <is>
          <t>purpose_built_tps_per_mw</t>
        </is>
      </c>
      <c r="E3513" s="3" t="n">
        <v>2484332</v>
      </c>
      <c r="F3513" s="3" t="inlineStr">
        <is>
          <t>generated output tokens/sec/MW</t>
        </is>
      </c>
      <c r="G3513" s="3" t="inlineStr">
        <is>
          <t>Conservative no-uplift proxy</t>
        </is>
      </c>
      <c r="H3513" s="3" t="inlineStr">
        <is>
          <t>purpose_built_tps_per_mw = purpose_built_reference_tps_per_mw * commercial_workload_fit_factor until comparable output-token benchmark is adopted</t>
        </is>
      </c>
      <c r="I3513" s="3" t="inlineStr">
        <is>
          <t>No comparable public output-token/MW row adopted; B200 public reference placeholder is used and remains editable.</t>
        </is>
      </c>
      <c r="J3513" s="3" t="inlineStr">
        <is>
          <t>SRC_XAI_MODELS; SRC_XAI_NVIDIA_COLOSSUS; SRC_EPOCH_AI_DATA_CENTERS; ASSUMP_NUMERIC_ACCELERATOR_MIX</t>
        </is>
      </c>
      <c r="K3513" s="3" t="inlineStr">
        <is>
          <t>ASSUMP_CLUSTER_RAMP; ASSUMP_CLOSED_MODEL_BAND; ASSUMP_NUMERIC_ACCELERATOR_MIX; ASSUMP_INFERENCE_SHARE_NOT_FACT_60; ASSUMP_WORKLOAD_CLASS_MIX; ASSUMP_AGENTIC_CONTEXT_PENALTY</t>
        </is>
      </c>
      <c r="L3513" s="3" t="inlineStr">
        <is>
          <t>Matched-workload generated-output benchmark for the provider purpose-built accelerator.</t>
        </is>
      </c>
    </row>
    <row r="3514">
      <c r="A3514" s="3" t="inlineStr">
        <is>
          <t>xAI</t>
        </is>
      </c>
      <c r="B3514" s="3" t="n">
        <v>2028</v>
      </c>
      <c r="C3514" s="3" t="inlineStr">
        <is>
          <t>Grid-Constrained / Efficiency-Upside</t>
        </is>
      </c>
      <c r="D3514" s="3" t="inlineStr">
        <is>
          <t>inference_power_share</t>
        </is>
      </c>
      <c r="E3514" s="3" t="n">
        <v>0.605</v>
      </c>
      <c r="F3514" s="3" t="inlineStr">
        <is>
          <t>share of AI IT load</t>
        </is>
      </c>
      <c r="G3514" s="3" t="inlineStr">
        <is>
          <t>Scenario allocation</t>
        </is>
      </c>
      <c r="H3514" s="3" t="inlineStr">
        <is>
          <t>inference_gw = ai_it_load_gw * inference_power_share</t>
        </is>
      </c>
      <c r="I3514" s="3" t="inlineStr">
        <is>
          <t>Grok product expansion is modeled to shift capacity toward inference after initial training-heavy operation.</t>
        </is>
      </c>
      <c r="J3514" s="3" t="inlineStr">
        <is>
          <t>SRC_XAI_MODELS; SRC_XAI_NVIDIA_COLOSSUS; SRC_EPOCH_AI_DATA_CENTERS; ASSUMP_INFERENCE_SHARE_NOT_FACT_60</t>
        </is>
      </c>
      <c r="K3514" s="3" t="inlineStr">
        <is>
          <t>ASSUMP_CLUSTER_RAMP; ASSUMP_CLOSED_MODEL_BAND; ASSUMP_NUMERIC_ACCELERATOR_MIX; ASSUMP_INFERENCE_SHARE_NOT_FACT_60; ASSUMP_WORKLOAD_CLASS_MIX; ASSUMP_AGENTIC_CONTEXT_PENALTY</t>
        </is>
      </c>
      <c r="L3514" s="3" t="inlineStr">
        <is>
          <t>Provider-specific inference/training workload power telemetry.</t>
        </is>
      </c>
    </row>
    <row r="3515">
      <c r="A3515" s="3" t="inlineStr">
        <is>
          <t>xAI</t>
        </is>
      </c>
      <c r="B3515" s="3" t="n">
        <v>2028</v>
      </c>
      <c r="C3515" s="3" t="inlineStr">
        <is>
          <t>Grid-Constrained / Efficiency-Upside</t>
        </is>
      </c>
      <c r="D3515" s="3" t="inlineStr">
        <is>
          <t>inference_gw</t>
        </is>
      </c>
      <c r="E3515" s="3" t="n">
        <v>0.481</v>
      </c>
      <c r="F3515" s="3" t="inlineStr">
        <is>
          <t>GW</t>
        </is>
      </c>
      <c r="G3515" s="3" t="inlineStr">
        <is>
          <t>Derived formula</t>
        </is>
      </c>
      <c r="H3515" s="3" t="inlineStr">
        <is>
          <t>ai_it_load_gw * inference_power_share</t>
        </is>
      </c>
      <c r="I3515" s="3" t="inlineStr">
        <is>
          <t>This is the operational power eligible to become commercial generated output tokens through the selected TPS/MW proxy.</t>
        </is>
      </c>
      <c r="J3515" s="3" t="inlineStr">
        <is>
          <t>SRC_XAI_MODELS; SRC_XAI_NVIDIA_COLOSSUS; SRC_EPOCH_AI_DATA_CENTERS</t>
        </is>
      </c>
      <c r="K3515" s="3" t="inlineStr">
        <is>
          <t>ASSUMP_CLUSTER_RAMP; ASSUMP_CLOSED_MODEL_BAND; ASSUMP_NUMERIC_ACCELERATOR_MIX; ASSUMP_INFERENCE_SHARE_NOT_FACT_60; ASSUMP_WORKLOAD_CLASS_MIX; ASSUMP_AGENTIC_CONTEXT_PENALTY</t>
        </is>
      </c>
      <c r="L3515" s="3" t="inlineStr">
        <is>
          <t>Recompute after AI allocation or inference-share evidence changes.</t>
        </is>
      </c>
    </row>
    <row r="3516">
      <c r="A3516" s="3" t="inlineStr">
        <is>
          <t>xAI</t>
        </is>
      </c>
      <c r="B3516" s="3" t="n">
        <v>2028</v>
      </c>
      <c r="C3516" s="3" t="inlineStr">
        <is>
          <t>Grid-Constrained / Efficiency-Upside</t>
        </is>
      </c>
      <c r="D3516" s="3" t="inlineStr">
        <is>
          <t>training_power_share</t>
        </is>
      </c>
      <c r="E3516" s="3" t="n">
        <v>0.395</v>
      </c>
      <c r="F3516" s="3" t="inlineStr">
        <is>
          <t>share of AI IT load</t>
        </is>
      </c>
      <c r="G3516" s="3" t="inlineStr">
        <is>
          <t>Derived allocation</t>
        </is>
      </c>
      <c r="H3516" s="3" t="inlineStr">
        <is>
          <t>1 - inference_power_share</t>
        </is>
      </c>
      <c r="I3516" s="3" t="inlineStr">
        <is>
          <t>Training receives the complementary modeled AI IT allocation; it is not a disclosed company workload split.</t>
        </is>
      </c>
      <c r="J3516" s="3" t="inlineStr">
        <is>
          <t>SRC_XAI_MODELS; SRC_XAI_NVIDIA_COLOSSUS; SRC_EPOCH_AI_DATA_CENTERS; ASSUMP_INFERENCE_SHARE_NOT_FACT_60</t>
        </is>
      </c>
      <c r="K3516" s="3" t="inlineStr">
        <is>
          <t>ASSUMP_CLUSTER_RAMP; ASSUMP_CLOSED_MODEL_BAND; ASSUMP_NUMERIC_ACCELERATOR_MIX; ASSUMP_INFERENCE_SHARE_NOT_FACT_60; ASSUMP_WORKLOAD_CLASS_MIX; ASSUMP_AGENTIC_CONTEXT_PENALTY</t>
        </is>
      </c>
      <c r="L3516" s="3" t="inlineStr">
        <is>
          <t>Provider-specific inference/training workload power telemetry.</t>
        </is>
      </c>
    </row>
    <row r="3517">
      <c r="A3517" s="3" t="inlineStr">
        <is>
          <t>xAI</t>
        </is>
      </c>
      <c r="B3517" s="3" t="n">
        <v>2028</v>
      </c>
      <c r="C3517" s="3" t="inlineStr">
        <is>
          <t>Grid-Constrained / Efficiency-Upside</t>
        </is>
      </c>
      <c r="D3517" s="3" t="inlineStr">
        <is>
          <t>training_gw</t>
        </is>
      </c>
      <c r="E3517" s="3" t="n">
        <v>0.314</v>
      </c>
      <c r="F3517" s="3" t="inlineStr">
        <is>
          <t>GW</t>
        </is>
      </c>
      <c r="G3517" s="3" t="inlineStr">
        <is>
          <t>Derived formula</t>
        </is>
      </c>
      <c r="H3517" s="3" t="inlineStr">
        <is>
          <t>ai_it_load_gw * training_power_share</t>
        </is>
      </c>
      <c r="I3517" s="3" t="inlineStr">
        <is>
          <t>Training GW is shown separately so commercial inference token capacity is not overstated.</t>
        </is>
      </c>
      <c r="J3517" s="3" t="inlineStr">
        <is>
          <t>SRC_XAI_MODELS; SRC_XAI_NVIDIA_COLOSSUS; SRC_EPOCH_AI_DATA_CENTERS</t>
        </is>
      </c>
      <c r="K3517" s="3" t="inlineStr">
        <is>
          <t>ASSUMP_CLUSTER_RAMP; ASSUMP_CLOSED_MODEL_BAND; ASSUMP_NUMERIC_ACCELERATOR_MIX; ASSUMP_INFERENCE_SHARE_NOT_FACT_60; ASSUMP_WORKLOAD_CLASS_MIX; ASSUMP_AGENTIC_CONTEXT_PENALTY</t>
        </is>
      </c>
      <c r="L3517" s="3" t="inlineStr">
        <is>
          <t>Recompute after AI allocation or workload-split evidence changes.</t>
        </is>
      </c>
    </row>
    <row r="3518">
      <c r="A3518" s="3" t="inlineStr">
        <is>
          <t>xAI</t>
        </is>
      </c>
      <c r="B3518" s="3" t="n">
        <v>2028</v>
      </c>
      <c r="C3518" s="3" t="inlineStr">
        <is>
          <t>Grid-Constrained / Efficiency-Upside</t>
        </is>
      </c>
      <c r="D3518" s="3" t="inlineStr">
        <is>
          <t>tokens_per_second_per_mw</t>
        </is>
      </c>
      <c r="E3518" s="3" t="n">
        <v>1655658</v>
      </c>
      <c r="F3518" s="3" t="inlineStr">
        <is>
          <t>generated output tokens/sec/MW</t>
        </is>
      </c>
      <c r="G3518" s="3" t="inlineStr">
        <is>
          <t>Derived estimate + benchmark calibration</t>
        </is>
      </c>
      <c r="H3518" s="3" t="inlineStr">
        <is>
          <t>fleet_reference_tps_per_mw * commercial_workload_fit_factor</t>
        </is>
      </c>
      <c r="I3518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18" s="3" t="inlineStr">
        <is>
          <t>SRC_XAI_MODELS; SRC_XAI_NVIDIA_COLOSSUS; SRC_EPOCH_AI_DATA_CENTERS; SRC_SEMIANALYSIS_INFERENCEX; ASSUMP_NUMERIC_ACCELERATOR_MIX; ASSUMP_WORKLOAD_CLASS_MIX; ASSUMP_AGENTIC_CONTEXT_PENALTY</t>
        </is>
      </c>
      <c r="K3518" s="3" t="inlineStr">
        <is>
          <t>ASSUMP_CLUSTER_RAMP; ASSUMP_CLOSED_MODEL_BAND; ASSUMP_NUMERIC_ACCELERATOR_MIX; ASSUMP_INFERENCE_SHARE_NOT_FACT_60; ASSUMP_WORKLOAD_CLASS_MIX; ASSUMP_AGENTIC_CONTEXT_PENALTY</t>
        </is>
      </c>
      <c r="L3518" s="3" t="inlineStr">
        <is>
          <t>Comparable production output-token throughput with model, hardware, precision, ISL/OSL and SLO matched.</t>
        </is>
      </c>
    </row>
    <row r="3519">
      <c r="A3519" s="3" t="inlineStr">
        <is>
          <t>xAI</t>
        </is>
      </c>
      <c r="B3519" s="3" t="n">
        <v>2028</v>
      </c>
      <c r="C3519" s="3" t="inlineStr">
        <is>
          <t>Grid-Constrained / Efficiency-Upside</t>
        </is>
      </c>
      <c r="D3519" s="3" t="inlineStr">
        <is>
          <t>inference_tokens_per_day</t>
        </is>
      </c>
      <c r="E3519" s="3" t="n">
        <v>68806497427200</v>
      </c>
      <c r="F3519" s="3" t="inlineStr">
        <is>
          <t>generated output tokens/day</t>
        </is>
      </c>
      <c r="G3519" s="3" t="inlineStr">
        <is>
          <t>Derived headline metric</t>
        </is>
      </c>
      <c r="H3519" s="3" t="inlineStr">
        <is>
          <t>inference_gw * 1000 * tokens_per_second_per_mw * 86,400</t>
        </is>
      </c>
      <c r="I3519" s="3" t="inlineStr">
        <is>
          <t>Headline capacity uses no utilization, MoE, architecture or software-growth multiplier; it is not observed commercial output volume.</t>
        </is>
      </c>
      <c r="J3519" s="3" t="inlineStr">
        <is>
          <t>SRC_XAI_MODELS; SRC_XAI_NVIDIA_COLOSSUS; SRC_EPOCH_AI_DATA_CENTERS; SRC_SEMIANALYSIS_INFERENCEX</t>
        </is>
      </c>
      <c r="K3519" s="3" t="inlineStr">
        <is>
          <t>ASSUMP_CLUSTER_RAMP; ASSUMP_CLOSED_MODEL_BAND; ASSUMP_NUMERIC_ACCELERATOR_MIX; ASSUMP_INFERENCE_SHARE_NOT_FACT_60; ASSUMP_WORKLOAD_CLASS_MIX; ASSUMP_AGENTIC_CONTEXT_PENALTY</t>
        </is>
      </c>
      <c r="L3519" s="3" t="inlineStr">
        <is>
          <t>Provider-disclosed generated output token volume or calibrated capacity telemetry.</t>
        </is>
      </c>
    </row>
    <row r="3520">
      <c r="A3520" s="3" t="inlineStr">
        <is>
          <t>xAI</t>
        </is>
      </c>
      <c r="B3520" s="3" t="n">
        <v>2028</v>
      </c>
      <c r="C3520" s="3" t="inlineStr">
        <is>
          <t>Grid-Constrained / Efficiency-Upside</t>
        </is>
      </c>
      <c r="D3520" s="3" t="inlineStr">
        <is>
          <t>inference_tokens_per_year</t>
        </is>
      </c>
      <c r="E3520" s="3" t="n">
        <v>2.5114371560928e+16</v>
      </c>
      <c r="F3520" s="3" t="inlineStr">
        <is>
          <t>generated output tokens/year</t>
        </is>
      </c>
      <c r="G3520" s="3" t="inlineStr">
        <is>
          <t>Derived headline metric</t>
        </is>
      </c>
      <c r="H3520" s="3" t="inlineStr">
        <is>
          <t>inference_tokens_per_day * 365</t>
        </is>
      </c>
      <c r="I3520" s="3" t="inlineStr">
        <is>
          <t>Annualized version of generated output token capacity; it is not observed annual demand or billable volume.</t>
        </is>
      </c>
      <c r="J3520" s="3" t="inlineStr">
        <is>
          <t>SRC_XAI_MODELS; SRC_XAI_NVIDIA_COLOSSUS; SRC_EPOCH_AI_DATA_CENTERS; SRC_SEMIANALYSIS_INFERENCEX</t>
        </is>
      </c>
      <c r="K3520" s="3" t="inlineStr">
        <is>
          <t>ASSUMP_CLUSTER_RAMP; ASSUMP_CLOSED_MODEL_BAND; ASSUMP_NUMERIC_ACCELERATOR_MIX; ASSUMP_INFERENCE_SHARE_NOT_FACT_60; ASSUMP_WORKLOAD_CLASS_MIX; ASSUMP_AGENTIC_CONTEXT_PENALTY</t>
        </is>
      </c>
      <c r="L3520" s="3" t="inlineStr">
        <is>
          <t>Provider-disclosed annual generated-output volume or metered serving telemetry.</t>
        </is>
      </c>
    </row>
    <row r="3521">
      <c r="A3521" s="3" t="inlineStr">
        <is>
          <t>xAI</t>
        </is>
      </c>
      <c r="B3521" s="3" t="n">
        <v>2029</v>
      </c>
      <c r="C3521" s="3" t="inlineStr">
        <is>
          <t>Grid-Constrained / Efficiency-Upside</t>
        </is>
      </c>
      <c r="D3521" s="3" t="inlineStr">
        <is>
          <t>contracted_power_gw</t>
        </is>
      </c>
      <c r="E3521" s="3" t="n">
        <v>2.5</v>
      </c>
      <c r="F3521" s="3" t="inlineStr">
        <is>
          <t>GW</t>
        </is>
      </c>
      <c r="G3521" s="3" t="inlineStr">
        <is>
          <t>Fact anchor + scenario ceiling</t>
        </is>
      </c>
      <c r="H3521" s="3" t="inlineStr">
        <is>
          <t>linear interpolation between 2026 and 2030 company capacity endpoints</t>
        </is>
      </c>
      <c r="I3521" s="3" t="inlineStr">
        <is>
          <t>Colossus GPU-count disclosure bounds capacity direction; contracted GW values are modeled power envelopes.</t>
        </is>
      </c>
      <c r="J3521" s="3" t="inlineStr">
        <is>
          <t>SRC_XAI_NVIDIA_COLOSSUS; ASSUMP_CLUSTER_RAMP</t>
        </is>
      </c>
      <c r="K3521" s="3" t="inlineStr">
        <is>
          <t>ASSUMP_CLUSTER_RAMP; ASSUMP_CLOSED_MODEL_BAND; ASSUMP_NUMERIC_ACCELERATOR_MIX; ASSUMP_INFERENCE_SHARE_NOT_FACT_60; ASSUMP_WORKLOAD_CLASS_MIX; ASSUMP_AGENTIC_CONTEXT_PENALTY</t>
        </is>
      </c>
      <c r="L3521" s="3" t="inlineStr">
        <is>
          <t>Company/site-level committed MW/GW, interconnect and contract disclosure.</t>
        </is>
      </c>
    </row>
    <row r="3522">
      <c r="A3522" s="3" t="inlineStr">
        <is>
          <t>xAI</t>
        </is>
      </c>
      <c r="B3522" s="3" t="n">
        <v>2029</v>
      </c>
      <c r="C3522" s="3" t="inlineStr">
        <is>
          <t>Grid-Constrained / Efficiency-Upside</t>
        </is>
      </c>
      <c r="D3522" s="3" t="inlineStr">
        <is>
          <t>operational_deployment_share</t>
        </is>
      </c>
      <c r="E3522" s="3" t="n">
        <v>0.5968</v>
      </c>
      <c r="F3522" s="3" t="inlineStr">
        <is>
          <t>share</t>
        </is>
      </c>
      <c r="G3522" s="3" t="inlineStr">
        <is>
          <t>Scenario conversion</t>
        </is>
      </c>
      <c r="H3522" s="3" t="inlineStr">
        <is>
          <t>active_power_gw / contracted_power_gw</t>
        </is>
      </c>
      <c r="I3522" s="3" t="inlineStr">
        <is>
          <t>This is the single explicit conversion from contracted/attributed capacity to operationally usable capacity.</t>
        </is>
      </c>
      <c r="J3522" s="3" t="inlineStr">
        <is>
          <t>SRC_XAI_NVIDIA_COLOSSUS; ASSUMP_CLUSTER_RAMP</t>
        </is>
      </c>
      <c r="K3522" s="3" t="inlineStr">
        <is>
          <t>ASSUMP_CLUSTER_RAMP; ASSUMP_CLOSED_MODEL_BAND; ASSUMP_NUMERIC_ACCELERATOR_MIX; ASSUMP_INFERENCE_SHARE_NOT_FACT_60; ASSUMP_WORKLOAD_CLASS_MIX; ASSUMP_AGENTIC_CONTEXT_PENALTY</t>
        </is>
      </c>
      <c r="L3522" s="3" t="inlineStr">
        <is>
          <t>Energized operational capacity divided by contracted/attributed capacity.</t>
        </is>
      </c>
    </row>
    <row r="3523">
      <c r="A3523" s="3" t="inlineStr">
        <is>
          <t>xAI</t>
        </is>
      </c>
      <c r="B3523" s="3" t="n">
        <v>2029</v>
      </c>
      <c r="C3523" s="3" t="inlineStr">
        <is>
          <t>Grid-Constrained / Efficiency-Upside</t>
        </is>
      </c>
      <c r="D3523" s="3" t="inlineStr">
        <is>
          <t>active_power_gw</t>
        </is>
      </c>
      <c r="E3523" s="3" t="n">
        <v>1.492</v>
      </c>
      <c r="F3523" s="3" t="inlineStr">
        <is>
          <t>GW</t>
        </is>
      </c>
      <c r="G3523" s="3" t="inlineStr">
        <is>
          <t>Derived scenario</t>
        </is>
      </c>
      <c r="H3523" s="3" t="inlineStr">
        <is>
          <t>contracted_power_gw * operational_deployment_share</t>
        </is>
      </c>
      <c r="I3523" s="3" t="inlineStr">
        <is>
          <t>GPU cluster scale anchors operational possibility, while inference/training allocation and site power draw remain estimates.</t>
        </is>
      </c>
      <c r="J3523" s="3" t="inlineStr">
        <is>
          <t>SRC_XAI_NVIDIA_COLOSSUS; ASSUMP_CLUSTER_RAMP</t>
        </is>
      </c>
      <c r="K3523" s="3" t="inlineStr">
        <is>
          <t>ASSUMP_CLUSTER_RAMP; ASSUMP_CLOSED_MODEL_BAND; ASSUMP_NUMERIC_ACCELERATOR_MIX; ASSUMP_INFERENCE_SHARE_NOT_FACT_60; ASSUMP_WORKLOAD_CLASS_MIX; ASSUMP_AGENTIC_CONTEXT_PENALTY</t>
        </is>
      </c>
      <c r="L3523" s="3" t="inlineStr">
        <is>
          <t>Energization dates, accelerator deliveries and operational powered-rack telemetry.</t>
        </is>
      </c>
    </row>
    <row r="3524">
      <c r="A3524" s="3" t="inlineStr">
        <is>
          <t>xAI</t>
        </is>
      </c>
      <c r="B3524" s="3" t="n">
        <v>2029</v>
      </c>
      <c r="C3524" s="3" t="inlineStr">
        <is>
          <t>Grid-Constrained / Efficiency-Upside</t>
        </is>
      </c>
      <c r="D3524" s="3" t="inlineStr">
        <is>
          <t>pue</t>
        </is>
      </c>
      <c r="E3524" s="3" t="n">
        <v>1.22</v>
      </c>
      <c r="F3524" s="3" t="inlineStr">
        <is>
          <t>ratio</t>
        </is>
      </c>
      <c r="G3524" s="3" t="inlineStr">
        <is>
          <t>Scenario parameter</t>
        </is>
      </c>
      <c r="H3524" s="3" t="inlineStr">
        <is>
          <t>it_load_gw = active_power_gw / pue</t>
        </is>
      </c>
      <c r="I3524" s="3" t="inlineStr">
        <is>
          <t>No provider-wide site-level PUE is used as a disclosed fact; PUE represents facility-to-IT conversion within the scenario.</t>
        </is>
      </c>
      <c r="J3524" s="3" t="inlineStr">
        <is>
          <t>ASSUMP_POWER_RAMP</t>
        </is>
      </c>
      <c r="K3524" s="3" t="inlineStr">
        <is>
          <t>ASSUMP_CLUSTER_RAMP; ASSUMP_CLOSED_MODEL_BAND; ASSUMP_NUMERIC_ACCELERATOR_MIX; ASSUMP_INFERENCE_SHARE_NOT_FACT_60; ASSUMP_WORKLOAD_CLASS_MIX; ASSUMP_AGENTIC_CONTEXT_PENALTY</t>
        </is>
      </c>
      <c r="L3524" s="3" t="inlineStr">
        <is>
          <t>Site-level measured PUE matched to attributed AI capacity.</t>
        </is>
      </c>
    </row>
    <row r="3525">
      <c r="A3525" s="3" t="inlineStr">
        <is>
          <t>xAI</t>
        </is>
      </c>
      <c r="B3525" s="3" t="n">
        <v>2029</v>
      </c>
      <c r="C3525" s="3" t="inlineStr">
        <is>
          <t>Grid-Constrained / Efficiency-Upside</t>
        </is>
      </c>
      <c r="D3525" s="3" t="inlineStr">
        <is>
          <t>it_load_gw</t>
        </is>
      </c>
      <c r="E3525" s="3" t="n">
        <v>1.223</v>
      </c>
      <c r="F3525" s="3" t="inlineStr">
        <is>
          <t>GW</t>
        </is>
      </c>
      <c r="G3525" s="3" t="inlineStr">
        <is>
          <t>Derived formula</t>
        </is>
      </c>
      <c r="H3525" s="3" t="inlineStr">
        <is>
          <t>active_power_gw / pue</t>
        </is>
      </c>
      <c r="I3525" s="3" t="inlineStr">
        <is>
          <t>Facility power is converted to IT-deliverable power before attributing AI workloads.</t>
        </is>
      </c>
      <c r="J3525" s="3" t="inlineStr">
        <is>
          <t>SRC_XAI_NVIDIA_COLOSSUS; ASSUMP_CLUSTER_RAMP</t>
        </is>
      </c>
      <c r="K3525" s="3" t="inlineStr">
        <is>
          <t>ASSUMP_CLUSTER_RAMP; ASSUMP_CLOSED_MODEL_BAND; ASSUMP_NUMERIC_ACCELERATOR_MIX; ASSUMP_INFERENCE_SHARE_NOT_FACT_60; ASSUMP_WORKLOAD_CLASS_MIX; ASSUMP_AGENTIC_CONTEXT_PENALTY</t>
        </is>
      </c>
      <c r="L3525" s="3" t="inlineStr">
        <is>
          <t>Recompute once active power and PUE become site-observable.</t>
        </is>
      </c>
    </row>
    <row r="3526">
      <c r="A3526" s="3" t="inlineStr">
        <is>
          <t>xAI</t>
        </is>
      </c>
      <c r="B3526" s="3" t="n">
        <v>2029</v>
      </c>
      <c r="C3526" s="3" t="inlineStr">
        <is>
          <t>Grid-Constrained / Efficiency-Upside</t>
        </is>
      </c>
      <c r="D3526" s="3" t="inlineStr">
        <is>
          <t>ai_workload_share</t>
        </is>
      </c>
      <c r="E3526" s="3" t="n">
        <v>0.85</v>
      </c>
      <c r="F3526" s="3" t="inlineStr">
        <is>
          <t>share</t>
        </is>
      </c>
      <c r="G3526" s="3" t="inlineStr">
        <is>
          <t>Scenario allocation</t>
        </is>
      </c>
      <c r="H3526" s="3" t="inlineStr">
        <is>
          <t>ai_it_load_gw = it_load_gw * ai_workload_share</t>
        </is>
      </c>
      <c r="I3526" s="3" t="inlineStr">
        <is>
          <t>Colossus is AI-centric; 85% retains cooling/IT allocation boundary and non-serving AI work.</t>
        </is>
      </c>
      <c r="J3526" s="3" t="inlineStr">
        <is>
          <t>SRC_XAI_MODELS; SRC_XAI_NVIDIA_COLOSSUS; SRC_EPOCH_AI_DATA_CENTERS</t>
        </is>
      </c>
      <c r="K3526" s="3" t="inlineStr">
        <is>
          <t>ASSUMP_CLUSTER_RAMP; ASSUMP_CLOSED_MODEL_BAND; ASSUMP_NUMERIC_ACCELERATOR_MIX; ASSUMP_INFERENCE_SHARE_NOT_FACT_60; ASSUMP_WORKLOAD_CLASS_MIX; ASSUMP_AGENTIC_CONTEXT_PENALTY</t>
        </is>
      </c>
      <c r="L3526" s="3" t="inlineStr">
        <is>
          <t>Model-owner AI workload allocation or cluster scheduling telemetry.</t>
        </is>
      </c>
    </row>
    <row r="3527">
      <c r="A3527" s="3" t="inlineStr">
        <is>
          <t>xAI</t>
        </is>
      </c>
      <c r="B3527" s="3" t="n">
        <v>2029</v>
      </c>
      <c r="C3527" s="3" t="inlineStr">
        <is>
          <t>Grid-Constrained / Efficiency-Upside</t>
        </is>
      </c>
      <c r="D3527" s="3" t="inlineStr">
        <is>
          <t>ai_it_load_gw</t>
        </is>
      </c>
      <c r="E3527" s="3" t="n">
        <v>1.039</v>
      </c>
      <c r="F3527" s="3" t="inlineStr">
        <is>
          <t>GW</t>
        </is>
      </c>
      <c r="G3527" s="3" t="inlineStr">
        <is>
          <t>Derived formula</t>
        </is>
      </c>
      <c r="H3527" s="3" t="inlineStr">
        <is>
          <t>it_load_gw * ai_workload_share</t>
        </is>
      </c>
      <c r="I3527" s="3" t="inlineStr">
        <is>
          <t>Only the AI-attributed portion of IT load enters training/inference allocation.</t>
        </is>
      </c>
      <c r="J3527" s="3" t="inlineStr">
        <is>
          <t>SRC_XAI_MODELS; SRC_XAI_NVIDIA_COLOSSUS; SRC_EPOCH_AI_DATA_CENTERS</t>
        </is>
      </c>
      <c r="K3527" s="3" t="inlineStr">
        <is>
          <t>ASSUMP_CLUSTER_RAMP; ASSUMP_CLOSED_MODEL_BAND; ASSUMP_NUMERIC_ACCELERATOR_MIX; ASSUMP_INFERENCE_SHARE_NOT_FACT_60; ASSUMP_WORKLOAD_CLASS_MIX; ASSUMP_AGENTIC_CONTEXT_PENALTY</t>
        </is>
      </c>
      <c r="L3527" s="3" t="inlineStr">
        <is>
          <t>Recompute after ai_workload_share is replaced by telemetry.</t>
        </is>
      </c>
    </row>
    <row r="3528">
      <c r="A3528" s="3" t="inlineStr">
        <is>
          <t>xAI</t>
        </is>
      </c>
      <c r="B3528" s="3" t="n">
        <v>2029</v>
      </c>
      <c r="C3528" s="3" t="inlineStr">
        <is>
          <t>Grid-Constrained / Efficiency-Upside</t>
        </is>
      </c>
      <c r="D3528" s="3" t="inlineStr">
        <is>
          <t>gpu_share</t>
        </is>
      </c>
      <c r="E3528" s="3" t="n">
        <v>1</v>
      </c>
      <c r="F3528" s="3" t="inlineStr">
        <is>
          <t>share of inference-serving accelerator load</t>
        </is>
      </c>
      <c r="G3528" s="3" t="inlineStr">
        <is>
          <t>Numeric scenario</t>
        </is>
      </c>
      <c r="H3528" s="3" t="inlineStr">
        <is>
          <t>gpu_share interpolated from company 2026/2030 accelerator-mix endpoints</t>
        </is>
      </c>
      <c r="I3528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28" s="3" t="inlineStr">
        <is>
          <t>SRC_XAI_MODELS; SRC_XAI_NVIDIA_COLOSSUS; SRC_EPOCH_AI_DATA_CENTERS; ASSUMP_NUMERIC_ACCELERATOR_MIX</t>
        </is>
      </c>
      <c r="K3528" s="3" t="inlineStr">
        <is>
          <t>ASSUMP_CLUSTER_RAMP; ASSUMP_CLOSED_MODEL_BAND; ASSUMP_NUMERIC_ACCELERATOR_MIX; ASSUMP_INFERENCE_SHARE_NOT_FACT_60; ASSUMP_WORKLOAD_CLASS_MIX; ASSUMP_AGENTIC_CONTEXT_PENALTY</t>
        </is>
      </c>
      <c r="L3528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29">
      <c r="A3529" s="3" t="inlineStr">
        <is>
          <t>xAI</t>
        </is>
      </c>
      <c r="B3529" s="3" t="n">
        <v>2029</v>
      </c>
      <c r="C3529" s="3" t="inlineStr">
        <is>
          <t>Grid-Constrained / Efficiency-Upside</t>
        </is>
      </c>
      <c r="D3529" s="3" t="inlineStr">
        <is>
          <t>h200_share</t>
        </is>
      </c>
      <c r="E3529" s="3" t="n">
        <v>0</v>
      </c>
      <c r="F3529" s="3" t="inlineStr">
        <is>
          <t>share of inference-serving accelerator load</t>
        </is>
      </c>
      <c r="G3529" s="3" t="inlineStr">
        <is>
          <t>Editable numeric scenario</t>
        </is>
      </c>
      <c r="H3529" s="3" t="inlineStr">
        <is>
          <t>h200_share = gpu_share * default_gpu_generation_mix_h200</t>
        </is>
      </c>
      <c r="I3529" s="3" t="inlineStr">
        <is>
          <t>Default GPU-generation migration assumption; executive workbook allows later manual replacement by company/year/scenario.</t>
        </is>
      </c>
      <c r="J3529" s="3" t="inlineStr">
        <is>
          <t>SRC_SEMIANALYSIS_INFERENCEX; ASSUMP_NUMERIC_ACCELERATOR_MIX</t>
        </is>
      </c>
      <c r="K3529" s="3" t="inlineStr">
        <is>
          <t>ASSUMP_CLUSTER_RAMP; ASSUMP_CLOSED_MODEL_BAND; ASSUMP_NUMERIC_ACCELERATOR_MIX; ASSUMP_INFERENCE_SHARE_NOT_FACT_60; ASSUMP_WORKLOAD_CLASS_MIX; ASSUMP_AGENTIC_CONTEXT_PENALTY</t>
        </is>
      </c>
      <c r="L3529" s="3" t="inlineStr">
        <is>
          <t>Company fleet inventory, accelerator-hours or procurement/deployment records by GPU generation.</t>
        </is>
      </c>
    </row>
    <row r="3530">
      <c r="A3530" s="3" t="inlineStr">
        <is>
          <t>xAI</t>
        </is>
      </c>
      <c r="B3530" s="3" t="n">
        <v>2029</v>
      </c>
      <c r="C3530" s="3" t="inlineStr">
        <is>
          <t>Grid-Constrained / Efficiency-Upside</t>
        </is>
      </c>
      <c r="D3530" s="3" t="inlineStr">
        <is>
          <t>b200_share</t>
        </is>
      </c>
      <c r="E3530" s="3" t="n">
        <v>1</v>
      </c>
      <c r="F3530" s="3" t="inlineStr">
        <is>
          <t>share of inference-serving accelerator load</t>
        </is>
      </c>
      <c r="G3530" s="3" t="inlineStr">
        <is>
          <t>Editable numeric scenario</t>
        </is>
      </c>
      <c r="H3530" s="3" t="inlineStr">
        <is>
          <t>b200_share = gpu_share * default_gpu_generation_mix_b200</t>
        </is>
      </c>
      <c r="I3530" s="3" t="inlineStr">
        <is>
          <t>Default GPU-generation migration assumption; executive workbook allows later manual replacement by company/year/scenario.</t>
        </is>
      </c>
      <c r="J3530" s="3" t="inlineStr">
        <is>
          <t>SRC_SEMIANALYSIS_INFERENCEX; ASSUMP_NUMERIC_ACCELERATOR_MIX</t>
        </is>
      </c>
      <c r="K3530" s="3" t="inlineStr">
        <is>
          <t>ASSUMP_CLUSTER_RAMP; ASSUMP_CLOSED_MODEL_BAND; ASSUMP_NUMERIC_ACCELERATOR_MIX; ASSUMP_INFERENCE_SHARE_NOT_FACT_60; ASSUMP_WORKLOAD_CLASS_MIX; ASSUMP_AGENTIC_CONTEXT_PENALTY</t>
        </is>
      </c>
      <c r="L3530" s="3" t="inlineStr">
        <is>
          <t>Company fleet inventory, accelerator-hours or procurement/deployment records by GPU generation.</t>
        </is>
      </c>
    </row>
    <row r="3531">
      <c r="A3531" s="3" t="inlineStr">
        <is>
          <t>xAI</t>
        </is>
      </c>
      <c r="B3531" s="3" t="n">
        <v>2029</v>
      </c>
      <c r="C3531" s="3" t="inlineStr">
        <is>
          <t>Grid-Constrained / Efficiency-Upside</t>
        </is>
      </c>
      <c r="D3531" s="3" t="inlineStr">
        <is>
          <t>gb200_share</t>
        </is>
      </c>
      <c r="E3531" s="3" t="n">
        <v>0</v>
      </c>
      <c r="F3531" s="3" t="inlineStr">
        <is>
          <t>share of inference-serving accelerator load</t>
        </is>
      </c>
      <c r="G3531" s="3" t="inlineStr">
        <is>
          <t>Editable numeric scenario</t>
        </is>
      </c>
      <c r="H3531" s="3" t="inlineStr">
        <is>
          <t>gb200_share = gpu_share * default_gpu_generation_mix_gb200</t>
        </is>
      </c>
      <c r="I3531" s="3" t="inlineStr">
        <is>
          <t>Default GPU-generation migration assumption; executive workbook allows later manual replacement by company/year/scenario.</t>
        </is>
      </c>
      <c r="J3531" s="3" t="inlineStr">
        <is>
          <t>SRC_SEMIANALYSIS_INFERENCEX; ASSUMP_NUMERIC_ACCELERATOR_MIX</t>
        </is>
      </c>
      <c r="K3531" s="3" t="inlineStr">
        <is>
          <t>ASSUMP_CLUSTER_RAMP; ASSUMP_CLOSED_MODEL_BAND; ASSUMP_NUMERIC_ACCELERATOR_MIX; ASSUMP_INFERENCE_SHARE_NOT_FACT_60; ASSUMP_WORKLOAD_CLASS_MIX; ASSUMP_AGENTIC_CONTEXT_PENALTY</t>
        </is>
      </c>
      <c r="L3531" s="3" t="inlineStr">
        <is>
          <t>Company fleet inventory, accelerator-hours or procurement/deployment records by GPU generation.</t>
        </is>
      </c>
    </row>
    <row r="3532">
      <c r="A3532" s="3" t="inlineStr">
        <is>
          <t>xAI</t>
        </is>
      </c>
      <c r="B3532" s="3" t="n">
        <v>2029</v>
      </c>
      <c r="C3532" s="3" t="inlineStr">
        <is>
          <t>Grid-Constrained / Efficiency-Upside</t>
        </is>
      </c>
      <c r="D3532" s="3" t="inlineStr">
        <is>
          <t>purpose_built_accelerator_share</t>
        </is>
      </c>
      <c r="E3532" s="3" t="n">
        <v>0</v>
      </c>
      <c r="F3532" s="3" t="inlineStr">
        <is>
          <t>share of inference-serving accelerator load</t>
        </is>
      </c>
      <c r="G3532" s="3" t="inlineStr">
        <is>
          <t>Numeric scenario</t>
        </is>
      </c>
      <c r="H3532" s="3" t="inlineStr">
        <is>
          <t>1 - gpu_share</t>
        </is>
      </c>
      <c r="I3532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32" s="3" t="inlineStr">
        <is>
          <t>SRC_XAI_MODELS; SRC_XAI_NVIDIA_COLOSSUS; SRC_EPOCH_AI_DATA_CENTERS; ASSUMP_NUMERIC_ACCELERATOR_MIX</t>
        </is>
      </c>
      <c r="K3532" s="3" t="inlineStr">
        <is>
          <t>ASSUMP_CLUSTER_RAMP; ASSUMP_CLOSED_MODEL_BAND; ASSUMP_NUMERIC_ACCELERATOR_MIX; ASSUMP_INFERENCE_SHARE_NOT_FACT_60; ASSUMP_WORKLOAD_CLASS_MIX; ASSUMP_AGENTIC_CONTEXT_PENALTY</t>
        </is>
      </c>
      <c r="L3532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33">
      <c r="A3533" s="3" t="inlineStr">
        <is>
          <t>xAI</t>
        </is>
      </c>
      <c r="B3533" s="3" t="n">
        <v>2029</v>
      </c>
      <c r="C3533" s="3" t="inlineStr">
        <is>
          <t>Grid-Constrained / Efficiency-Upside</t>
        </is>
      </c>
      <c r="D3533" s="3" t="inlineStr">
        <is>
          <t>fleet_reference_tps_per_mw</t>
        </is>
      </c>
      <c r="E3533" s="3" t="n">
        <v>3010288</v>
      </c>
      <c r="F3533" s="3" t="inlineStr">
        <is>
          <t>generated output tokens/sec/MW</t>
        </is>
      </c>
      <c r="G3533" s="3" t="inlineStr">
        <is>
          <t>Fleet-weighted public benchmark reference</t>
        </is>
      </c>
      <c r="H3533" s="3" t="inlineStr">
        <is>
          <t>h200_share*h200_workload_avg + b200_share*b200_workload_avg + gb200_share*gb200_workload_avg + purpose_built_share*purpose_workload_avg</t>
        </is>
      </c>
      <c r="I3533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33" s="3" t="inlineStr">
        <is>
          <t>SRC_SEMIANALYSIS_INFERENCEX; ASSUMP_NUMERIC_ACCELERATOR_MIX; ASSUMP_WORKLOAD_CLASS_MIX; ASSUMP_AGENTIC_CONTEXT_PENALTY</t>
        </is>
      </c>
      <c r="K3533" s="3" t="inlineStr">
        <is>
          <t>ASSUMP_CLUSTER_RAMP; ASSUMP_CLOSED_MODEL_BAND; ASSUMP_NUMERIC_ACCELERATOR_MIX; ASSUMP_INFERENCE_SHARE_NOT_FACT_60; ASSUMP_WORKLOAD_CLASS_MIX; ASSUMP_AGENTIC_CONTEXT_PENALTY</t>
        </is>
      </c>
      <c r="L3533" s="3" t="inlineStr">
        <is>
          <t>Comparable production output-token throughput or a more closely matched benchmark.</t>
        </is>
      </c>
    </row>
    <row r="3534">
      <c r="A3534" s="3" t="inlineStr">
        <is>
          <t>xAI</t>
        </is>
      </c>
      <c r="B3534" s="3" t="n">
        <v>2029</v>
      </c>
      <c r="C3534" s="3" t="inlineStr">
        <is>
          <t>Grid-Constrained / Efficiency-Upside</t>
        </is>
      </c>
      <c r="D3534" s="3" t="inlineStr">
        <is>
          <t>commercial_workload_fit_factor</t>
        </is>
      </c>
      <c r="E3534" s="3" t="n">
        <v>0.55</v>
      </c>
      <c r="F3534" s="3" t="inlineStr">
        <is>
          <t>share of public reference throughput</t>
        </is>
      </c>
      <c r="G3534" s="3" t="inlineStr">
        <is>
          <t>Scenario assumption</t>
        </is>
      </c>
      <c r="H3534" s="3" t="inlineStr">
        <is>
          <t>reference_serving_tps_per_mw = fleet_reference_tps_per_mw * commercial_workload_fit_factor</t>
        </is>
      </c>
      <c r="I3534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34" s="3" t="inlineStr">
        <is>
          <t>SRC_SEMIANALYSIS_INFERENCEX; ASSUMP_NUMERIC_ACCELERATOR_MIX; ASSUMP_WORKLOAD_CLASS_MIX; ASSUMP_AGENTIC_CONTEXT_PENALTY</t>
        </is>
      </c>
      <c r="K3534" s="3" t="inlineStr">
        <is>
          <t>ASSUMP_CLUSTER_RAMP; ASSUMP_CLOSED_MODEL_BAND; ASSUMP_NUMERIC_ACCELERATOR_MIX; ASSUMP_INFERENCE_SHARE_NOT_FACT_60; ASSUMP_WORKLOAD_CLASS_MIX; ASSUMP_AGENTIC_CONTEXT_PENALTY</t>
        </is>
      </c>
      <c r="L3534" s="3" t="inlineStr">
        <is>
          <t>Matched commercial serving benchmark by product surface, context shape and latency SLO.</t>
        </is>
      </c>
    </row>
    <row r="3535">
      <c r="A3535" s="3" t="inlineStr">
        <is>
          <t>xAI</t>
        </is>
      </c>
      <c r="B3535" s="3" t="n">
        <v>2029</v>
      </c>
      <c r="C3535" s="3" t="inlineStr">
        <is>
          <t>Grid-Constrained / Efficiency-Upside</t>
        </is>
      </c>
      <c r="D3535" s="3" t="inlineStr">
        <is>
          <t>reference_serving_tps_per_mw</t>
        </is>
      </c>
      <c r="E3535" s="3" t="n">
        <v>1655658</v>
      </c>
      <c r="F3535" s="3" t="inlineStr">
        <is>
          <t>generated output tokens/sec/MW</t>
        </is>
      </c>
      <c r="G3535" s="3" t="inlineStr">
        <is>
          <t>Workload-adjusted benchmark proxy</t>
        </is>
      </c>
      <c r="H3535" s="3" t="inlineStr">
        <is>
          <t>fleet_reference_tps_per_mw * commercial_workload_fit_factor</t>
        </is>
      </c>
      <c r="I3535" s="3" t="inlineStr">
        <is>
          <t>This is the coefficient used for headline token generation; each GPU's short chat, long chat and agentic TPS/MW are weighted before fleet mix and commercial fit are applied.</t>
        </is>
      </c>
      <c r="J3535" s="3" t="inlineStr">
        <is>
          <t>SRC_SEMIANALYSIS_INFERENCEX; ASSUMP_NUMERIC_ACCELERATOR_MIX; ASSUMP_WORKLOAD_CLASS_MIX; ASSUMP_AGENTIC_CONTEXT_PENALTY</t>
        </is>
      </c>
      <c r="K3535" s="3" t="inlineStr">
        <is>
          <t>ASSUMP_CLUSTER_RAMP; ASSUMP_CLOSED_MODEL_BAND; ASSUMP_NUMERIC_ACCELERATOR_MIX; ASSUMP_INFERENCE_SHARE_NOT_FACT_60; ASSUMP_WORKLOAD_CLASS_MIX; ASSUMP_AGENTIC_CONTEXT_PENALTY</t>
        </is>
      </c>
      <c r="L3535" s="3" t="inlineStr">
        <is>
          <t>Provider production output-token throughput with comparable workload/SLO.</t>
        </is>
      </c>
    </row>
    <row r="3536">
      <c r="A3536" s="3" t="inlineStr">
        <is>
          <t>xAI</t>
        </is>
      </c>
      <c r="B3536" s="3" t="n">
        <v>2029</v>
      </c>
      <c r="C3536" s="3" t="inlineStr">
        <is>
          <t>Grid-Constrained / Efficiency-Upside</t>
        </is>
      </c>
      <c r="D3536" s="3" t="inlineStr">
        <is>
          <t>purpose_built_tps_per_mw</t>
        </is>
      </c>
      <c r="E3536" s="3" t="n">
        <v>2484332</v>
      </c>
      <c r="F3536" s="3" t="inlineStr">
        <is>
          <t>generated output tokens/sec/MW</t>
        </is>
      </c>
      <c r="G3536" s="3" t="inlineStr">
        <is>
          <t>Conservative no-uplift proxy</t>
        </is>
      </c>
      <c r="H3536" s="3" t="inlineStr">
        <is>
          <t>purpose_built_tps_per_mw = purpose_built_reference_tps_per_mw * commercial_workload_fit_factor until comparable output-token benchmark is adopted</t>
        </is>
      </c>
      <c r="I3536" s="3" t="inlineStr">
        <is>
          <t>No comparable public output-token/MW row adopted; B200 public reference placeholder is used and remains editable.</t>
        </is>
      </c>
      <c r="J3536" s="3" t="inlineStr">
        <is>
          <t>SRC_XAI_MODELS; SRC_XAI_NVIDIA_COLOSSUS; SRC_EPOCH_AI_DATA_CENTERS; ASSUMP_NUMERIC_ACCELERATOR_MIX</t>
        </is>
      </c>
      <c r="K3536" s="3" t="inlineStr">
        <is>
          <t>ASSUMP_CLUSTER_RAMP; ASSUMP_CLOSED_MODEL_BAND; ASSUMP_NUMERIC_ACCELERATOR_MIX; ASSUMP_INFERENCE_SHARE_NOT_FACT_60; ASSUMP_WORKLOAD_CLASS_MIX; ASSUMP_AGENTIC_CONTEXT_PENALTY</t>
        </is>
      </c>
      <c r="L3536" s="3" t="inlineStr">
        <is>
          <t>Matched-workload generated-output benchmark for the provider purpose-built accelerator.</t>
        </is>
      </c>
    </row>
    <row r="3537">
      <c r="A3537" s="3" t="inlineStr">
        <is>
          <t>xAI</t>
        </is>
      </c>
      <c r="B3537" s="3" t="n">
        <v>2029</v>
      </c>
      <c r="C3537" s="3" t="inlineStr">
        <is>
          <t>Grid-Constrained / Efficiency-Upside</t>
        </is>
      </c>
      <c r="D3537" s="3" t="inlineStr">
        <is>
          <t>inference_power_share</t>
        </is>
      </c>
      <c r="E3537" s="3" t="n">
        <v>0.672</v>
      </c>
      <c r="F3537" s="3" t="inlineStr">
        <is>
          <t>share of AI IT load</t>
        </is>
      </c>
      <c r="G3537" s="3" t="inlineStr">
        <is>
          <t>Scenario allocation</t>
        </is>
      </c>
      <c r="H3537" s="3" t="inlineStr">
        <is>
          <t>inference_gw = ai_it_load_gw * inference_power_share</t>
        </is>
      </c>
      <c r="I3537" s="3" t="inlineStr">
        <is>
          <t>Grok product expansion is modeled to shift capacity toward inference after initial training-heavy operation.</t>
        </is>
      </c>
      <c r="J3537" s="3" t="inlineStr">
        <is>
          <t>SRC_XAI_MODELS; SRC_XAI_NVIDIA_COLOSSUS; SRC_EPOCH_AI_DATA_CENTERS; ASSUMP_INFERENCE_SHARE_NOT_FACT_60</t>
        </is>
      </c>
      <c r="K3537" s="3" t="inlineStr">
        <is>
          <t>ASSUMP_CLUSTER_RAMP; ASSUMP_CLOSED_MODEL_BAND; ASSUMP_NUMERIC_ACCELERATOR_MIX; ASSUMP_INFERENCE_SHARE_NOT_FACT_60; ASSUMP_WORKLOAD_CLASS_MIX; ASSUMP_AGENTIC_CONTEXT_PENALTY</t>
        </is>
      </c>
      <c r="L3537" s="3" t="inlineStr">
        <is>
          <t>Provider-specific inference/training workload power telemetry.</t>
        </is>
      </c>
    </row>
    <row r="3538">
      <c r="A3538" s="3" t="inlineStr">
        <is>
          <t>xAI</t>
        </is>
      </c>
      <c r="B3538" s="3" t="n">
        <v>2029</v>
      </c>
      <c r="C3538" s="3" t="inlineStr">
        <is>
          <t>Grid-Constrained / Efficiency-Upside</t>
        </is>
      </c>
      <c r="D3538" s="3" t="inlineStr">
        <is>
          <t>inference_gw</t>
        </is>
      </c>
      <c r="E3538" s="3" t="n">
        <v>0.699</v>
      </c>
      <c r="F3538" s="3" t="inlineStr">
        <is>
          <t>GW</t>
        </is>
      </c>
      <c r="G3538" s="3" t="inlineStr">
        <is>
          <t>Derived formula</t>
        </is>
      </c>
      <c r="H3538" s="3" t="inlineStr">
        <is>
          <t>ai_it_load_gw * inference_power_share</t>
        </is>
      </c>
      <c r="I3538" s="3" t="inlineStr">
        <is>
          <t>This is the operational power eligible to become commercial generated output tokens through the selected TPS/MW proxy.</t>
        </is>
      </c>
      <c r="J3538" s="3" t="inlineStr">
        <is>
          <t>SRC_XAI_MODELS; SRC_XAI_NVIDIA_COLOSSUS; SRC_EPOCH_AI_DATA_CENTERS</t>
        </is>
      </c>
      <c r="K3538" s="3" t="inlineStr">
        <is>
          <t>ASSUMP_CLUSTER_RAMP; ASSUMP_CLOSED_MODEL_BAND; ASSUMP_NUMERIC_ACCELERATOR_MIX; ASSUMP_INFERENCE_SHARE_NOT_FACT_60; ASSUMP_WORKLOAD_CLASS_MIX; ASSUMP_AGENTIC_CONTEXT_PENALTY</t>
        </is>
      </c>
      <c r="L3538" s="3" t="inlineStr">
        <is>
          <t>Recompute after AI allocation or inference-share evidence changes.</t>
        </is>
      </c>
    </row>
    <row r="3539">
      <c r="A3539" s="3" t="inlineStr">
        <is>
          <t>xAI</t>
        </is>
      </c>
      <c r="B3539" s="3" t="n">
        <v>2029</v>
      </c>
      <c r="C3539" s="3" t="inlineStr">
        <is>
          <t>Grid-Constrained / Efficiency-Upside</t>
        </is>
      </c>
      <c r="D3539" s="3" t="inlineStr">
        <is>
          <t>training_power_share</t>
        </is>
      </c>
      <c r="E3539" s="3" t="n">
        <v>0.328</v>
      </c>
      <c r="F3539" s="3" t="inlineStr">
        <is>
          <t>share of AI IT load</t>
        </is>
      </c>
      <c r="G3539" s="3" t="inlineStr">
        <is>
          <t>Derived allocation</t>
        </is>
      </c>
      <c r="H3539" s="3" t="inlineStr">
        <is>
          <t>1 - inference_power_share</t>
        </is>
      </c>
      <c r="I3539" s="3" t="inlineStr">
        <is>
          <t>Training receives the complementary modeled AI IT allocation; it is not a disclosed company workload split.</t>
        </is>
      </c>
      <c r="J3539" s="3" t="inlineStr">
        <is>
          <t>SRC_XAI_MODELS; SRC_XAI_NVIDIA_COLOSSUS; SRC_EPOCH_AI_DATA_CENTERS; ASSUMP_INFERENCE_SHARE_NOT_FACT_60</t>
        </is>
      </c>
      <c r="K3539" s="3" t="inlineStr">
        <is>
          <t>ASSUMP_CLUSTER_RAMP; ASSUMP_CLOSED_MODEL_BAND; ASSUMP_NUMERIC_ACCELERATOR_MIX; ASSUMP_INFERENCE_SHARE_NOT_FACT_60; ASSUMP_WORKLOAD_CLASS_MIX; ASSUMP_AGENTIC_CONTEXT_PENALTY</t>
        </is>
      </c>
      <c r="L3539" s="3" t="inlineStr">
        <is>
          <t>Provider-specific inference/training workload power telemetry.</t>
        </is>
      </c>
    </row>
    <row r="3540">
      <c r="A3540" s="3" t="inlineStr">
        <is>
          <t>xAI</t>
        </is>
      </c>
      <c r="B3540" s="3" t="n">
        <v>2029</v>
      </c>
      <c r="C3540" s="3" t="inlineStr">
        <is>
          <t>Grid-Constrained / Efficiency-Upside</t>
        </is>
      </c>
      <c r="D3540" s="3" t="inlineStr">
        <is>
          <t>training_gw</t>
        </is>
      </c>
      <c r="E3540" s="3" t="n">
        <v>0.34</v>
      </c>
      <c r="F3540" s="3" t="inlineStr">
        <is>
          <t>GW</t>
        </is>
      </c>
      <c r="G3540" s="3" t="inlineStr">
        <is>
          <t>Derived formula</t>
        </is>
      </c>
      <c r="H3540" s="3" t="inlineStr">
        <is>
          <t>ai_it_load_gw * training_power_share</t>
        </is>
      </c>
      <c r="I3540" s="3" t="inlineStr">
        <is>
          <t>Training GW is shown separately so commercial inference token capacity is not overstated.</t>
        </is>
      </c>
      <c r="J3540" s="3" t="inlineStr">
        <is>
          <t>SRC_XAI_MODELS; SRC_XAI_NVIDIA_COLOSSUS; SRC_EPOCH_AI_DATA_CENTERS</t>
        </is>
      </c>
      <c r="K3540" s="3" t="inlineStr">
        <is>
          <t>ASSUMP_CLUSTER_RAMP; ASSUMP_CLOSED_MODEL_BAND; ASSUMP_NUMERIC_ACCELERATOR_MIX; ASSUMP_INFERENCE_SHARE_NOT_FACT_60; ASSUMP_WORKLOAD_CLASS_MIX; ASSUMP_AGENTIC_CONTEXT_PENALTY</t>
        </is>
      </c>
      <c r="L3540" s="3" t="inlineStr">
        <is>
          <t>Recompute after AI allocation or workload-split evidence changes.</t>
        </is>
      </c>
    </row>
    <row r="3541">
      <c r="A3541" s="3" t="inlineStr">
        <is>
          <t>xAI</t>
        </is>
      </c>
      <c r="B3541" s="3" t="n">
        <v>2029</v>
      </c>
      <c r="C3541" s="3" t="inlineStr">
        <is>
          <t>Grid-Constrained / Efficiency-Upside</t>
        </is>
      </c>
      <c r="D3541" s="3" t="inlineStr">
        <is>
          <t>tokens_per_second_per_mw</t>
        </is>
      </c>
      <c r="E3541" s="3" t="n">
        <v>1655658</v>
      </c>
      <c r="F3541" s="3" t="inlineStr">
        <is>
          <t>generated output tokens/sec/MW</t>
        </is>
      </c>
      <c r="G3541" s="3" t="inlineStr">
        <is>
          <t>Derived estimate + benchmark calibration</t>
        </is>
      </c>
      <c r="H3541" s="3" t="inlineStr">
        <is>
          <t>fleet_reference_tps_per_mw * commercial_workload_fit_factor</t>
        </is>
      </c>
      <c r="I3541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41" s="3" t="inlineStr">
        <is>
          <t>SRC_XAI_MODELS; SRC_XAI_NVIDIA_COLOSSUS; SRC_EPOCH_AI_DATA_CENTERS; SRC_SEMIANALYSIS_INFERENCEX; ASSUMP_NUMERIC_ACCELERATOR_MIX; ASSUMP_WORKLOAD_CLASS_MIX; ASSUMP_AGENTIC_CONTEXT_PENALTY</t>
        </is>
      </c>
      <c r="K3541" s="3" t="inlineStr">
        <is>
          <t>ASSUMP_CLUSTER_RAMP; ASSUMP_CLOSED_MODEL_BAND; ASSUMP_NUMERIC_ACCELERATOR_MIX; ASSUMP_INFERENCE_SHARE_NOT_FACT_60; ASSUMP_WORKLOAD_CLASS_MIX; ASSUMP_AGENTIC_CONTEXT_PENALTY</t>
        </is>
      </c>
      <c r="L3541" s="3" t="inlineStr">
        <is>
          <t>Comparable production output-token throughput with model, hardware, precision, ISL/OSL and SLO matched.</t>
        </is>
      </c>
    </row>
    <row r="3542">
      <c r="A3542" s="3" t="inlineStr">
        <is>
          <t>xAI</t>
        </is>
      </c>
      <c r="B3542" s="3" t="n">
        <v>2029</v>
      </c>
      <c r="C3542" s="3" t="inlineStr">
        <is>
          <t>Grid-Constrained / Efficiency-Upside</t>
        </is>
      </c>
      <c r="D3542" s="3" t="inlineStr">
        <is>
          <t>inference_tokens_per_day</t>
        </is>
      </c>
      <c r="E3542" s="3" t="n">
        <v>99991146988800</v>
      </c>
      <c r="F3542" s="3" t="inlineStr">
        <is>
          <t>generated output tokens/day</t>
        </is>
      </c>
      <c r="G3542" s="3" t="inlineStr">
        <is>
          <t>Derived headline metric</t>
        </is>
      </c>
      <c r="H3542" s="3" t="inlineStr">
        <is>
          <t>inference_gw * 1000 * tokens_per_second_per_mw * 86,400</t>
        </is>
      </c>
      <c r="I3542" s="3" t="inlineStr">
        <is>
          <t>Headline capacity uses no utilization, MoE, architecture or software-growth multiplier; it is not observed commercial output volume.</t>
        </is>
      </c>
      <c r="J3542" s="3" t="inlineStr">
        <is>
          <t>SRC_XAI_MODELS; SRC_XAI_NVIDIA_COLOSSUS; SRC_EPOCH_AI_DATA_CENTERS; SRC_SEMIANALYSIS_INFERENCEX</t>
        </is>
      </c>
      <c r="K3542" s="3" t="inlineStr">
        <is>
          <t>ASSUMP_CLUSTER_RAMP; ASSUMP_CLOSED_MODEL_BAND; ASSUMP_NUMERIC_ACCELERATOR_MIX; ASSUMP_INFERENCE_SHARE_NOT_FACT_60; ASSUMP_WORKLOAD_CLASS_MIX; ASSUMP_AGENTIC_CONTEXT_PENALTY</t>
        </is>
      </c>
      <c r="L3542" s="3" t="inlineStr">
        <is>
          <t>Provider-disclosed generated output token volume or calibrated capacity telemetry.</t>
        </is>
      </c>
    </row>
    <row r="3543">
      <c r="A3543" s="3" t="inlineStr">
        <is>
          <t>xAI</t>
        </is>
      </c>
      <c r="B3543" s="3" t="n">
        <v>2029</v>
      </c>
      <c r="C3543" s="3" t="inlineStr">
        <is>
          <t>Grid-Constrained / Efficiency-Upside</t>
        </is>
      </c>
      <c r="D3543" s="3" t="inlineStr">
        <is>
          <t>inference_tokens_per_year</t>
        </is>
      </c>
      <c r="E3543" s="3" t="n">
        <v>3.6496768650912e+16</v>
      </c>
      <c r="F3543" s="3" t="inlineStr">
        <is>
          <t>generated output tokens/year</t>
        </is>
      </c>
      <c r="G3543" s="3" t="inlineStr">
        <is>
          <t>Derived headline metric</t>
        </is>
      </c>
      <c r="H3543" s="3" t="inlineStr">
        <is>
          <t>inference_tokens_per_day * 365</t>
        </is>
      </c>
      <c r="I3543" s="3" t="inlineStr">
        <is>
          <t>Annualized version of generated output token capacity; it is not observed annual demand or billable volume.</t>
        </is>
      </c>
      <c r="J3543" s="3" t="inlineStr">
        <is>
          <t>SRC_XAI_MODELS; SRC_XAI_NVIDIA_COLOSSUS; SRC_EPOCH_AI_DATA_CENTERS; SRC_SEMIANALYSIS_INFERENCEX</t>
        </is>
      </c>
      <c r="K3543" s="3" t="inlineStr">
        <is>
          <t>ASSUMP_CLUSTER_RAMP; ASSUMP_CLOSED_MODEL_BAND; ASSUMP_NUMERIC_ACCELERATOR_MIX; ASSUMP_INFERENCE_SHARE_NOT_FACT_60; ASSUMP_WORKLOAD_CLASS_MIX; ASSUMP_AGENTIC_CONTEXT_PENALTY</t>
        </is>
      </c>
      <c r="L3543" s="3" t="inlineStr">
        <is>
          <t>Provider-disclosed annual generated-output volume or metered serving telemetry.</t>
        </is>
      </c>
    </row>
    <row r="3544">
      <c r="A3544" s="3" t="inlineStr">
        <is>
          <t>xAI</t>
        </is>
      </c>
      <c r="B3544" s="3" t="n">
        <v>2030</v>
      </c>
      <c r="C3544" s="3" t="inlineStr">
        <is>
          <t>Grid-Constrained / Efficiency-Upside</t>
        </is>
      </c>
      <c r="D3544" s="3" t="inlineStr">
        <is>
          <t>contracted_power_gw</t>
        </is>
      </c>
      <c r="E3544" s="3" t="n">
        <v>3</v>
      </c>
      <c r="F3544" s="3" t="inlineStr">
        <is>
          <t>GW</t>
        </is>
      </c>
      <c r="G3544" s="3" t="inlineStr">
        <is>
          <t>Fact anchor + scenario ceiling</t>
        </is>
      </c>
      <c r="H3544" s="3" t="inlineStr">
        <is>
          <t>linear interpolation between 2026 and 2030 company capacity endpoints</t>
        </is>
      </c>
      <c r="I3544" s="3" t="inlineStr">
        <is>
          <t>Colossus GPU-count disclosure bounds capacity direction; contracted GW values are modeled power envelopes.</t>
        </is>
      </c>
      <c r="J3544" s="3" t="inlineStr">
        <is>
          <t>SRC_XAI_NVIDIA_COLOSSUS; ASSUMP_CLUSTER_RAMP</t>
        </is>
      </c>
      <c r="K3544" s="3" t="inlineStr">
        <is>
          <t>ASSUMP_CLUSTER_RAMP; ASSUMP_CLOSED_MODEL_BAND; ASSUMP_NUMERIC_ACCELERATOR_MIX; ASSUMP_INFERENCE_SHARE_NOT_FACT_60; ASSUMP_WORKLOAD_CLASS_MIX; ASSUMP_AGENTIC_CONTEXT_PENALTY</t>
        </is>
      </c>
      <c r="L3544" s="3" t="inlineStr">
        <is>
          <t>Company/site-level committed MW/GW, interconnect and contract disclosure.</t>
        </is>
      </c>
    </row>
    <row r="3545">
      <c r="A3545" s="3" t="inlineStr">
        <is>
          <t>xAI</t>
        </is>
      </c>
      <c r="B3545" s="3" t="n">
        <v>2030</v>
      </c>
      <c r="C3545" s="3" t="inlineStr">
        <is>
          <t>Grid-Constrained / Efficiency-Upside</t>
        </is>
      </c>
      <c r="D3545" s="3" t="inlineStr">
        <is>
          <t>operational_deployment_share</t>
        </is>
      </c>
      <c r="E3545" s="3" t="n">
        <v>0.6</v>
      </c>
      <c r="F3545" s="3" t="inlineStr">
        <is>
          <t>share</t>
        </is>
      </c>
      <c r="G3545" s="3" t="inlineStr">
        <is>
          <t>Scenario conversion</t>
        </is>
      </c>
      <c r="H3545" s="3" t="inlineStr">
        <is>
          <t>active_power_gw / contracted_power_gw</t>
        </is>
      </c>
      <c r="I3545" s="3" t="inlineStr">
        <is>
          <t>This is the single explicit conversion from contracted/attributed capacity to operationally usable capacity.</t>
        </is>
      </c>
      <c r="J3545" s="3" t="inlineStr">
        <is>
          <t>SRC_XAI_NVIDIA_COLOSSUS; ASSUMP_CLUSTER_RAMP</t>
        </is>
      </c>
      <c r="K3545" s="3" t="inlineStr">
        <is>
          <t>ASSUMP_CLUSTER_RAMP; ASSUMP_CLOSED_MODEL_BAND; ASSUMP_NUMERIC_ACCELERATOR_MIX; ASSUMP_INFERENCE_SHARE_NOT_FACT_60; ASSUMP_WORKLOAD_CLASS_MIX; ASSUMP_AGENTIC_CONTEXT_PENALTY</t>
        </is>
      </c>
      <c r="L3545" s="3" t="inlineStr">
        <is>
          <t>Energized operational capacity divided by contracted/attributed capacity.</t>
        </is>
      </c>
    </row>
    <row r="3546">
      <c r="A3546" s="3" t="inlineStr">
        <is>
          <t>xAI</t>
        </is>
      </c>
      <c r="B3546" s="3" t="n">
        <v>2030</v>
      </c>
      <c r="C3546" s="3" t="inlineStr">
        <is>
          <t>Grid-Constrained / Efficiency-Upside</t>
        </is>
      </c>
      <c r="D3546" s="3" t="inlineStr">
        <is>
          <t>active_power_gw</t>
        </is>
      </c>
      <c r="E3546" s="3" t="n">
        <v>1.8</v>
      </c>
      <c r="F3546" s="3" t="inlineStr">
        <is>
          <t>GW</t>
        </is>
      </c>
      <c r="G3546" s="3" t="inlineStr">
        <is>
          <t>Derived scenario</t>
        </is>
      </c>
      <c r="H3546" s="3" t="inlineStr">
        <is>
          <t>contracted_power_gw * operational_deployment_share</t>
        </is>
      </c>
      <c r="I3546" s="3" t="inlineStr">
        <is>
          <t>GPU cluster scale anchors operational possibility, while inference/training allocation and site power draw remain estimates.</t>
        </is>
      </c>
      <c r="J3546" s="3" t="inlineStr">
        <is>
          <t>SRC_XAI_NVIDIA_COLOSSUS; ASSUMP_CLUSTER_RAMP</t>
        </is>
      </c>
      <c r="K3546" s="3" t="inlineStr">
        <is>
          <t>ASSUMP_CLUSTER_RAMP; ASSUMP_CLOSED_MODEL_BAND; ASSUMP_NUMERIC_ACCELERATOR_MIX; ASSUMP_INFERENCE_SHARE_NOT_FACT_60; ASSUMP_WORKLOAD_CLASS_MIX; ASSUMP_AGENTIC_CONTEXT_PENALTY</t>
        </is>
      </c>
      <c r="L3546" s="3" t="inlineStr">
        <is>
          <t>Energization dates, accelerator deliveries and operational powered-rack telemetry.</t>
        </is>
      </c>
    </row>
    <row r="3547">
      <c r="A3547" s="3" t="inlineStr">
        <is>
          <t>xAI</t>
        </is>
      </c>
      <c r="B3547" s="3" t="n">
        <v>2030</v>
      </c>
      <c r="C3547" s="3" t="inlineStr">
        <is>
          <t>Grid-Constrained / Efficiency-Upside</t>
        </is>
      </c>
      <c r="D3547" s="3" t="inlineStr">
        <is>
          <t>pue</t>
        </is>
      </c>
      <c r="E3547" s="3" t="n">
        <v>1.22</v>
      </c>
      <c r="F3547" s="3" t="inlineStr">
        <is>
          <t>ratio</t>
        </is>
      </c>
      <c r="G3547" s="3" t="inlineStr">
        <is>
          <t>Scenario parameter</t>
        </is>
      </c>
      <c r="H3547" s="3" t="inlineStr">
        <is>
          <t>it_load_gw = active_power_gw / pue</t>
        </is>
      </c>
      <c r="I3547" s="3" t="inlineStr">
        <is>
          <t>No provider-wide site-level PUE is used as a disclosed fact; PUE represents facility-to-IT conversion within the scenario.</t>
        </is>
      </c>
      <c r="J3547" s="3" t="inlineStr">
        <is>
          <t>ASSUMP_POWER_RAMP</t>
        </is>
      </c>
      <c r="K3547" s="3" t="inlineStr">
        <is>
          <t>ASSUMP_CLUSTER_RAMP; ASSUMP_CLOSED_MODEL_BAND; ASSUMP_NUMERIC_ACCELERATOR_MIX; ASSUMP_INFERENCE_SHARE_NOT_FACT_60; ASSUMP_WORKLOAD_CLASS_MIX; ASSUMP_AGENTIC_CONTEXT_PENALTY</t>
        </is>
      </c>
      <c r="L3547" s="3" t="inlineStr">
        <is>
          <t>Site-level measured PUE matched to attributed AI capacity.</t>
        </is>
      </c>
    </row>
    <row r="3548">
      <c r="A3548" s="3" t="inlineStr">
        <is>
          <t>xAI</t>
        </is>
      </c>
      <c r="B3548" s="3" t="n">
        <v>2030</v>
      </c>
      <c r="C3548" s="3" t="inlineStr">
        <is>
          <t>Grid-Constrained / Efficiency-Upside</t>
        </is>
      </c>
      <c r="D3548" s="3" t="inlineStr">
        <is>
          <t>it_load_gw</t>
        </is>
      </c>
      <c r="E3548" s="3" t="n">
        <v>1.475</v>
      </c>
      <c r="F3548" s="3" t="inlineStr">
        <is>
          <t>GW</t>
        </is>
      </c>
      <c r="G3548" s="3" t="inlineStr">
        <is>
          <t>Derived formula</t>
        </is>
      </c>
      <c r="H3548" s="3" t="inlineStr">
        <is>
          <t>active_power_gw / pue</t>
        </is>
      </c>
      <c r="I3548" s="3" t="inlineStr">
        <is>
          <t>Facility power is converted to IT-deliverable power before attributing AI workloads.</t>
        </is>
      </c>
      <c r="J3548" s="3" t="inlineStr">
        <is>
          <t>SRC_XAI_NVIDIA_COLOSSUS; ASSUMP_CLUSTER_RAMP</t>
        </is>
      </c>
      <c r="K3548" s="3" t="inlineStr">
        <is>
          <t>ASSUMP_CLUSTER_RAMP; ASSUMP_CLOSED_MODEL_BAND; ASSUMP_NUMERIC_ACCELERATOR_MIX; ASSUMP_INFERENCE_SHARE_NOT_FACT_60; ASSUMP_WORKLOAD_CLASS_MIX; ASSUMP_AGENTIC_CONTEXT_PENALTY</t>
        </is>
      </c>
      <c r="L3548" s="3" t="inlineStr">
        <is>
          <t>Recompute once active power and PUE become site-observable.</t>
        </is>
      </c>
    </row>
    <row r="3549">
      <c r="A3549" s="3" t="inlineStr">
        <is>
          <t>xAI</t>
        </is>
      </c>
      <c r="B3549" s="3" t="n">
        <v>2030</v>
      </c>
      <c r="C3549" s="3" t="inlineStr">
        <is>
          <t>Grid-Constrained / Efficiency-Upside</t>
        </is>
      </c>
      <c r="D3549" s="3" t="inlineStr">
        <is>
          <t>ai_workload_share</t>
        </is>
      </c>
      <c r="E3549" s="3" t="n">
        <v>0.85</v>
      </c>
      <c r="F3549" s="3" t="inlineStr">
        <is>
          <t>share</t>
        </is>
      </c>
      <c r="G3549" s="3" t="inlineStr">
        <is>
          <t>Scenario allocation</t>
        </is>
      </c>
      <c r="H3549" s="3" t="inlineStr">
        <is>
          <t>ai_it_load_gw = it_load_gw * ai_workload_share</t>
        </is>
      </c>
      <c r="I3549" s="3" t="inlineStr">
        <is>
          <t>Colossus is AI-centric; 85% retains cooling/IT allocation boundary and non-serving AI work.</t>
        </is>
      </c>
      <c r="J3549" s="3" t="inlineStr">
        <is>
          <t>SRC_XAI_MODELS; SRC_XAI_NVIDIA_COLOSSUS; SRC_EPOCH_AI_DATA_CENTERS</t>
        </is>
      </c>
      <c r="K3549" s="3" t="inlineStr">
        <is>
          <t>ASSUMP_CLUSTER_RAMP; ASSUMP_CLOSED_MODEL_BAND; ASSUMP_NUMERIC_ACCELERATOR_MIX; ASSUMP_INFERENCE_SHARE_NOT_FACT_60; ASSUMP_WORKLOAD_CLASS_MIX; ASSUMP_AGENTIC_CONTEXT_PENALTY</t>
        </is>
      </c>
      <c r="L3549" s="3" t="inlineStr">
        <is>
          <t>Model-owner AI workload allocation or cluster scheduling telemetry.</t>
        </is>
      </c>
    </row>
    <row r="3550">
      <c r="A3550" s="3" t="inlineStr">
        <is>
          <t>xAI</t>
        </is>
      </c>
      <c r="B3550" s="3" t="n">
        <v>2030</v>
      </c>
      <c r="C3550" s="3" t="inlineStr">
        <is>
          <t>Grid-Constrained / Efficiency-Upside</t>
        </is>
      </c>
      <c r="D3550" s="3" t="inlineStr">
        <is>
          <t>ai_it_load_gw</t>
        </is>
      </c>
      <c r="E3550" s="3" t="n">
        <v>1.254</v>
      </c>
      <c r="F3550" s="3" t="inlineStr">
        <is>
          <t>GW</t>
        </is>
      </c>
      <c r="G3550" s="3" t="inlineStr">
        <is>
          <t>Derived formula</t>
        </is>
      </c>
      <c r="H3550" s="3" t="inlineStr">
        <is>
          <t>it_load_gw * ai_workload_share</t>
        </is>
      </c>
      <c r="I3550" s="3" t="inlineStr">
        <is>
          <t>Only the AI-attributed portion of IT load enters training/inference allocation.</t>
        </is>
      </c>
      <c r="J3550" s="3" t="inlineStr">
        <is>
          <t>SRC_XAI_MODELS; SRC_XAI_NVIDIA_COLOSSUS; SRC_EPOCH_AI_DATA_CENTERS</t>
        </is>
      </c>
      <c r="K3550" s="3" t="inlineStr">
        <is>
          <t>ASSUMP_CLUSTER_RAMP; ASSUMP_CLOSED_MODEL_BAND; ASSUMP_NUMERIC_ACCELERATOR_MIX; ASSUMP_INFERENCE_SHARE_NOT_FACT_60; ASSUMP_WORKLOAD_CLASS_MIX; ASSUMP_AGENTIC_CONTEXT_PENALTY</t>
        </is>
      </c>
      <c r="L3550" s="3" t="inlineStr">
        <is>
          <t>Recompute after ai_workload_share is replaced by telemetry.</t>
        </is>
      </c>
    </row>
    <row r="3551">
      <c r="A3551" s="3" t="inlineStr">
        <is>
          <t>xAI</t>
        </is>
      </c>
      <c r="B3551" s="3" t="n">
        <v>2030</v>
      </c>
      <c r="C3551" s="3" t="inlineStr">
        <is>
          <t>Grid-Constrained / Efficiency-Upside</t>
        </is>
      </c>
      <c r="D3551" s="3" t="inlineStr">
        <is>
          <t>gpu_share</t>
        </is>
      </c>
      <c r="E3551" s="3" t="n">
        <v>1</v>
      </c>
      <c r="F3551" s="3" t="inlineStr">
        <is>
          <t>share of inference-serving accelerator load</t>
        </is>
      </c>
      <c r="G3551" s="3" t="inlineStr">
        <is>
          <t>Numeric scenario</t>
        </is>
      </c>
      <c r="H3551" s="3" t="inlineStr">
        <is>
          <t>gpu_share interpolated from company 2026/2030 accelerator-mix endpoints</t>
        </is>
      </c>
      <c r="I3551" s="3" t="inlineStr">
        <is>
          <t>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51" s="3" t="inlineStr">
        <is>
          <t>SRC_XAI_MODELS; SRC_XAI_NVIDIA_COLOSSUS; SRC_EPOCH_AI_DATA_CENTERS; ASSUMP_NUMERIC_ACCELERATOR_MIX</t>
        </is>
      </c>
      <c r="K3551" s="3" t="inlineStr">
        <is>
          <t>ASSUMP_CLUSTER_RAMP; ASSUMP_CLOSED_MODEL_BAND; ASSUMP_NUMERIC_ACCELERATOR_MIX; ASSUMP_INFERENCE_SHARE_NOT_FACT_60; ASSUMP_WORKLOAD_CLASS_MIX; ASSUMP_AGENTIC_CONTEXT_PENALTY</t>
        </is>
      </c>
      <c r="L3551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52">
      <c r="A3552" s="3" t="inlineStr">
        <is>
          <t>xAI</t>
        </is>
      </c>
      <c r="B3552" s="3" t="n">
        <v>2030</v>
      </c>
      <c r="C3552" s="3" t="inlineStr">
        <is>
          <t>Grid-Constrained / Efficiency-Upside</t>
        </is>
      </c>
      <c r="D3552" s="3" t="inlineStr">
        <is>
          <t>h200_share</t>
        </is>
      </c>
      <c r="E3552" s="3" t="n">
        <v>0</v>
      </c>
      <c r="F3552" s="3" t="inlineStr">
        <is>
          <t>share of inference-serving accelerator load</t>
        </is>
      </c>
      <c r="G3552" s="3" t="inlineStr">
        <is>
          <t>Editable numeric scenario</t>
        </is>
      </c>
      <c r="H3552" s="3" t="inlineStr">
        <is>
          <t>h200_share = gpu_share * default_gpu_generation_mix_h200</t>
        </is>
      </c>
      <c r="I3552" s="3" t="inlineStr">
        <is>
          <t>Default GPU-generation migration assumption; executive workbook allows later manual replacement by company/year/scenario.</t>
        </is>
      </c>
      <c r="J3552" s="3" t="inlineStr">
        <is>
          <t>SRC_SEMIANALYSIS_INFERENCEX; ASSUMP_NUMERIC_ACCELERATOR_MIX</t>
        </is>
      </c>
      <c r="K3552" s="3" t="inlineStr">
        <is>
          <t>ASSUMP_CLUSTER_RAMP; ASSUMP_CLOSED_MODEL_BAND; ASSUMP_NUMERIC_ACCELERATOR_MIX; ASSUMP_INFERENCE_SHARE_NOT_FACT_60; ASSUMP_WORKLOAD_CLASS_MIX; ASSUMP_AGENTIC_CONTEXT_PENALTY</t>
        </is>
      </c>
      <c r="L3552" s="3" t="inlineStr">
        <is>
          <t>Company fleet inventory, accelerator-hours or procurement/deployment records by GPU generation.</t>
        </is>
      </c>
    </row>
    <row r="3553">
      <c r="A3553" s="3" t="inlineStr">
        <is>
          <t>xAI</t>
        </is>
      </c>
      <c r="B3553" s="3" t="n">
        <v>2030</v>
      </c>
      <c r="C3553" s="3" t="inlineStr">
        <is>
          <t>Grid-Constrained / Efficiency-Upside</t>
        </is>
      </c>
      <c r="D3553" s="3" t="inlineStr">
        <is>
          <t>b200_share</t>
        </is>
      </c>
      <c r="E3553" s="3" t="n">
        <v>1</v>
      </c>
      <c r="F3553" s="3" t="inlineStr">
        <is>
          <t>share of inference-serving accelerator load</t>
        </is>
      </c>
      <c r="G3553" s="3" t="inlineStr">
        <is>
          <t>Editable numeric scenario</t>
        </is>
      </c>
      <c r="H3553" s="3" t="inlineStr">
        <is>
          <t>b200_share = gpu_share * default_gpu_generation_mix_b200</t>
        </is>
      </c>
      <c r="I3553" s="3" t="inlineStr">
        <is>
          <t>Default GPU-generation migration assumption; executive workbook allows later manual replacement by company/year/scenario.</t>
        </is>
      </c>
      <c r="J3553" s="3" t="inlineStr">
        <is>
          <t>SRC_SEMIANALYSIS_INFERENCEX; ASSUMP_NUMERIC_ACCELERATOR_MIX</t>
        </is>
      </c>
      <c r="K3553" s="3" t="inlineStr">
        <is>
          <t>ASSUMP_CLUSTER_RAMP; ASSUMP_CLOSED_MODEL_BAND; ASSUMP_NUMERIC_ACCELERATOR_MIX; ASSUMP_INFERENCE_SHARE_NOT_FACT_60; ASSUMP_WORKLOAD_CLASS_MIX; ASSUMP_AGENTIC_CONTEXT_PENALTY</t>
        </is>
      </c>
      <c r="L3553" s="3" t="inlineStr">
        <is>
          <t>Company fleet inventory, accelerator-hours or procurement/deployment records by GPU generation.</t>
        </is>
      </c>
    </row>
    <row r="3554">
      <c r="A3554" s="3" t="inlineStr">
        <is>
          <t>xAI</t>
        </is>
      </c>
      <c r="B3554" s="3" t="n">
        <v>2030</v>
      </c>
      <c r="C3554" s="3" t="inlineStr">
        <is>
          <t>Grid-Constrained / Efficiency-Upside</t>
        </is>
      </c>
      <c r="D3554" s="3" t="inlineStr">
        <is>
          <t>gb200_share</t>
        </is>
      </c>
      <c r="E3554" s="3" t="n">
        <v>0</v>
      </c>
      <c r="F3554" s="3" t="inlineStr">
        <is>
          <t>share of inference-serving accelerator load</t>
        </is>
      </c>
      <c r="G3554" s="3" t="inlineStr">
        <is>
          <t>Editable numeric scenario</t>
        </is>
      </c>
      <c r="H3554" s="3" t="inlineStr">
        <is>
          <t>gb200_share = gpu_share * default_gpu_generation_mix_gb200</t>
        </is>
      </c>
      <c r="I3554" s="3" t="inlineStr">
        <is>
          <t>Default GPU-generation migration assumption; executive workbook allows later manual replacement by company/year/scenario.</t>
        </is>
      </c>
      <c r="J3554" s="3" t="inlineStr">
        <is>
          <t>SRC_SEMIANALYSIS_INFERENCEX; ASSUMP_NUMERIC_ACCELERATOR_MIX</t>
        </is>
      </c>
      <c r="K3554" s="3" t="inlineStr">
        <is>
          <t>ASSUMP_CLUSTER_RAMP; ASSUMP_CLOSED_MODEL_BAND; ASSUMP_NUMERIC_ACCELERATOR_MIX; ASSUMP_INFERENCE_SHARE_NOT_FACT_60; ASSUMP_WORKLOAD_CLASS_MIX; ASSUMP_AGENTIC_CONTEXT_PENALTY</t>
        </is>
      </c>
      <c r="L3554" s="3" t="inlineStr">
        <is>
          <t>Company fleet inventory, accelerator-hours or procurement/deployment records by GPU generation.</t>
        </is>
      </c>
    </row>
    <row r="3555">
      <c r="A3555" s="3" t="inlineStr">
        <is>
          <t>xAI</t>
        </is>
      </c>
      <c r="B3555" s="3" t="n">
        <v>2030</v>
      </c>
      <c r="C3555" s="3" t="inlineStr">
        <is>
          <t>Grid-Constrained / Efficiency-Upside</t>
        </is>
      </c>
      <c r="D3555" s="3" t="inlineStr">
        <is>
          <t>purpose_built_accelerator_share</t>
        </is>
      </c>
      <c r="E3555" s="3" t="n">
        <v>0</v>
      </c>
      <c r="F3555" s="3" t="inlineStr">
        <is>
          <t>share of inference-serving accelerator load</t>
        </is>
      </c>
      <c r="G3555" s="3" t="inlineStr">
        <is>
          <t>Numeric scenario</t>
        </is>
      </c>
      <c r="H3555" s="3" t="inlineStr">
        <is>
          <t>1 - gpu_share</t>
        </is>
      </c>
      <c r="I3555" s="3" t="inlineStr">
        <is>
          <t>Purpose-built bucket: No disclosed operated ASIC share. Derived by capacity-weighting 02a_DC_Capacity_Alloc rows against 02b_DC_Accelerator_Mix rows, using inference-weighted capacity only. Official infrastructure anchor is NVIDIA GPU cluster scale. No xAI-operated custom inference ASIC share is used in Base.</t>
        </is>
      </c>
      <c r="J3555" s="3" t="inlineStr">
        <is>
          <t>SRC_XAI_MODELS; SRC_XAI_NVIDIA_COLOSSUS; SRC_EPOCH_AI_DATA_CENTERS; ASSUMP_NUMERIC_ACCELERATOR_MIX</t>
        </is>
      </c>
      <c r="K3555" s="3" t="inlineStr">
        <is>
          <t>ASSUMP_CLUSTER_RAMP; ASSUMP_CLOSED_MODEL_BAND; ASSUMP_NUMERIC_ACCELERATOR_MIX; ASSUMP_INFERENCE_SHARE_NOT_FACT_60; ASSUMP_WORKLOAD_CLASS_MIX; ASSUMP_AGENTIC_CONTEXT_PENALTY</t>
        </is>
      </c>
      <c r="L3555" s="3" t="inlineStr">
        <is>
          <t>Replace 02a datacenter capacity allocations and 02b datacenter accelerator mix with contract/procurement telemetry. xAI serving hardware mix, Grok inference benchmark and active traffic disclosure.</t>
        </is>
      </c>
    </row>
    <row r="3556">
      <c r="A3556" s="3" t="inlineStr">
        <is>
          <t>xAI</t>
        </is>
      </c>
      <c r="B3556" s="3" t="n">
        <v>2030</v>
      </c>
      <c r="C3556" s="3" t="inlineStr">
        <is>
          <t>Grid-Constrained / Efficiency-Upside</t>
        </is>
      </c>
      <c r="D3556" s="3" t="inlineStr">
        <is>
          <t>fleet_reference_tps_per_mw</t>
        </is>
      </c>
      <c r="E3556" s="3" t="n">
        <v>3010288</v>
      </c>
      <c r="F3556" s="3" t="inlineStr">
        <is>
          <t>generated output tokens/sec/MW</t>
        </is>
      </c>
      <c r="G3556" s="3" t="inlineStr">
        <is>
          <t>Fleet-weighted public benchmark reference</t>
        </is>
      </c>
      <c r="H3556" s="3" t="inlineStr">
        <is>
          <t>h200_share*h200_workload_avg + b200_share*b200_workload_avg + gb200_share*gb200_workload_avg + purpose_built_share*purpose_workload_avg</t>
        </is>
      </c>
      <c r="I3556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3556" s="3" t="inlineStr">
        <is>
          <t>SRC_SEMIANALYSIS_INFERENCEX; ASSUMP_NUMERIC_ACCELERATOR_MIX; ASSUMP_WORKLOAD_CLASS_MIX; ASSUMP_AGENTIC_CONTEXT_PENALTY</t>
        </is>
      </c>
      <c r="K3556" s="3" t="inlineStr">
        <is>
          <t>ASSUMP_CLUSTER_RAMP; ASSUMP_CLOSED_MODEL_BAND; ASSUMP_NUMERIC_ACCELERATOR_MIX; ASSUMP_INFERENCE_SHARE_NOT_FACT_60; ASSUMP_WORKLOAD_CLASS_MIX; ASSUMP_AGENTIC_CONTEXT_PENALTY</t>
        </is>
      </c>
      <c r="L3556" s="3" t="inlineStr">
        <is>
          <t>Comparable production output-token throughput or a more closely matched benchmark.</t>
        </is>
      </c>
    </row>
    <row r="3557">
      <c r="A3557" s="3" t="inlineStr">
        <is>
          <t>xAI</t>
        </is>
      </c>
      <c r="B3557" s="3" t="n">
        <v>2030</v>
      </c>
      <c r="C3557" s="3" t="inlineStr">
        <is>
          <t>Grid-Constrained / Efficiency-Upside</t>
        </is>
      </c>
      <c r="D3557" s="3" t="inlineStr">
        <is>
          <t>commercial_workload_fit_factor</t>
        </is>
      </c>
      <c r="E3557" s="3" t="n">
        <v>0.55</v>
      </c>
      <c r="F3557" s="3" t="inlineStr">
        <is>
          <t>share of public reference throughput</t>
        </is>
      </c>
      <c r="G3557" s="3" t="inlineStr">
        <is>
          <t>Scenario assumption</t>
        </is>
      </c>
      <c r="H3557" s="3" t="inlineStr">
        <is>
          <t>reference_serving_tps_per_mw = fleet_reference_tps_per_mw * commercial_workload_fit_factor</t>
        </is>
      </c>
      <c r="I3557" s="3" t="inlineStr">
        <is>
          <t>Commercial workload class: Grok interactive and reasoning assistant. Company mix uses short_chat=45%, long_chat=35%, agentic=20%; closed-model, reasoning, long-context and SLO mismatch stays explicit.</t>
        </is>
      </c>
      <c r="J3557" s="3" t="inlineStr">
        <is>
          <t>SRC_SEMIANALYSIS_INFERENCEX; ASSUMP_NUMERIC_ACCELERATOR_MIX; ASSUMP_WORKLOAD_CLASS_MIX; ASSUMP_AGENTIC_CONTEXT_PENALTY</t>
        </is>
      </c>
      <c r="K3557" s="3" t="inlineStr">
        <is>
          <t>ASSUMP_CLUSTER_RAMP; ASSUMP_CLOSED_MODEL_BAND; ASSUMP_NUMERIC_ACCELERATOR_MIX; ASSUMP_INFERENCE_SHARE_NOT_FACT_60; ASSUMP_WORKLOAD_CLASS_MIX; ASSUMP_AGENTIC_CONTEXT_PENALTY</t>
        </is>
      </c>
      <c r="L3557" s="3" t="inlineStr">
        <is>
          <t>Matched commercial serving benchmark by product surface, context shape and latency SLO.</t>
        </is>
      </c>
    </row>
    <row r="3558">
      <c r="A3558" s="3" t="inlineStr">
        <is>
          <t>xAI</t>
        </is>
      </c>
      <c r="B3558" s="3" t="n">
        <v>2030</v>
      </c>
      <c r="C3558" s="3" t="inlineStr">
        <is>
          <t>Grid-Constrained / Efficiency-Upside</t>
        </is>
      </c>
      <c r="D3558" s="3" t="inlineStr">
        <is>
          <t>reference_serving_tps_per_mw</t>
        </is>
      </c>
      <c r="E3558" s="3" t="n">
        <v>1655658</v>
      </c>
      <c r="F3558" s="3" t="inlineStr">
        <is>
          <t>generated output tokens/sec/MW</t>
        </is>
      </c>
      <c r="G3558" s="3" t="inlineStr">
        <is>
          <t>Workload-adjusted benchmark proxy</t>
        </is>
      </c>
      <c r="H3558" s="3" t="inlineStr">
        <is>
          <t>fleet_reference_tps_per_mw * commercial_workload_fit_factor</t>
        </is>
      </c>
      <c r="I3558" s="3" t="inlineStr">
        <is>
          <t>This is the coefficient used for headline token generation; each GPU's short chat, long chat and agentic TPS/MW are weighted before fleet mix and commercial fit are applied.</t>
        </is>
      </c>
      <c r="J3558" s="3" t="inlineStr">
        <is>
          <t>SRC_SEMIANALYSIS_INFERENCEX; ASSUMP_NUMERIC_ACCELERATOR_MIX; ASSUMP_WORKLOAD_CLASS_MIX; ASSUMP_AGENTIC_CONTEXT_PENALTY</t>
        </is>
      </c>
      <c r="K3558" s="3" t="inlineStr">
        <is>
          <t>ASSUMP_CLUSTER_RAMP; ASSUMP_CLOSED_MODEL_BAND; ASSUMP_NUMERIC_ACCELERATOR_MIX; ASSUMP_INFERENCE_SHARE_NOT_FACT_60; ASSUMP_WORKLOAD_CLASS_MIX; ASSUMP_AGENTIC_CONTEXT_PENALTY</t>
        </is>
      </c>
      <c r="L3558" s="3" t="inlineStr">
        <is>
          <t>Provider production output-token throughput with comparable workload/SLO.</t>
        </is>
      </c>
    </row>
    <row r="3559">
      <c r="A3559" s="3" t="inlineStr">
        <is>
          <t>xAI</t>
        </is>
      </c>
      <c r="B3559" s="3" t="n">
        <v>2030</v>
      </c>
      <c r="C3559" s="3" t="inlineStr">
        <is>
          <t>Grid-Constrained / Efficiency-Upside</t>
        </is>
      </c>
      <c r="D3559" s="3" t="inlineStr">
        <is>
          <t>purpose_built_tps_per_mw</t>
        </is>
      </c>
      <c r="E3559" s="3" t="n">
        <v>2484332</v>
      </c>
      <c r="F3559" s="3" t="inlineStr">
        <is>
          <t>generated output tokens/sec/MW</t>
        </is>
      </c>
      <c r="G3559" s="3" t="inlineStr">
        <is>
          <t>Conservative no-uplift proxy</t>
        </is>
      </c>
      <c r="H3559" s="3" t="inlineStr">
        <is>
          <t>purpose_built_tps_per_mw = purpose_built_reference_tps_per_mw * commercial_workload_fit_factor until comparable output-token benchmark is adopted</t>
        </is>
      </c>
      <c r="I3559" s="3" t="inlineStr">
        <is>
          <t>No comparable public output-token/MW row adopted; B200 public reference placeholder is used and remains editable.</t>
        </is>
      </c>
      <c r="J3559" s="3" t="inlineStr">
        <is>
          <t>SRC_XAI_MODELS; SRC_XAI_NVIDIA_COLOSSUS; SRC_EPOCH_AI_DATA_CENTERS; ASSUMP_NUMERIC_ACCELERATOR_MIX</t>
        </is>
      </c>
      <c r="K3559" s="3" t="inlineStr">
        <is>
          <t>ASSUMP_CLUSTER_RAMP; ASSUMP_CLOSED_MODEL_BAND; ASSUMP_NUMERIC_ACCELERATOR_MIX; ASSUMP_INFERENCE_SHARE_NOT_FACT_60; ASSUMP_WORKLOAD_CLASS_MIX; ASSUMP_AGENTIC_CONTEXT_PENALTY</t>
        </is>
      </c>
      <c r="L3559" s="3" t="inlineStr">
        <is>
          <t>Matched-workload generated-output benchmark for the provider purpose-built accelerator.</t>
        </is>
      </c>
    </row>
    <row r="3560">
      <c r="A3560" s="3" t="inlineStr">
        <is>
          <t>xAI</t>
        </is>
      </c>
      <c r="B3560" s="3" t="n">
        <v>2030</v>
      </c>
      <c r="C3560" s="3" t="inlineStr">
        <is>
          <t>Grid-Constrained / Efficiency-Upside</t>
        </is>
      </c>
      <c r="D3560" s="3" t="inlineStr">
        <is>
          <t>inference_power_share</t>
        </is>
      </c>
      <c r="E3560" s="3" t="n">
        <v>0.74</v>
      </c>
      <c r="F3560" s="3" t="inlineStr">
        <is>
          <t>share of AI IT load</t>
        </is>
      </c>
      <c r="G3560" s="3" t="inlineStr">
        <is>
          <t>Scenario allocation</t>
        </is>
      </c>
      <c r="H3560" s="3" t="inlineStr">
        <is>
          <t>inference_gw = ai_it_load_gw * inference_power_share</t>
        </is>
      </c>
      <c r="I3560" s="3" t="inlineStr">
        <is>
          <t>Grok product expansion is modeled to shift capacity toward inference after initial training-heavy operation.</t>
        </is>
      </c>
      <c r="J3560" s="3" t="inlineStr">
        <is>
          <t>SRC_XAI_MODELS; SRC_XAI_NVIDIA_COLOSSUS; SRC_EPOCH_AI_DATA_CENTERS; ASSUMP_INFERENCE_SHARE_NOT_FACT_60</t>
        </is>
      </c>
      <c r="K3560" s="3" t="inlineStr">
        <is>
          <t>ASSUMP_CLUSTER_RAMP; ASSUMP_CLOSED_MODEL_BAND; ASSUMP_NUMERIC_ACCELERATOR_MIX; ASSUMP_INFERENCE_SHARE_NOT_FACT_60; ASSUMP_WORKLOAD_CLASS_MIX; ASSUMP_AGENTIC_CONTEXT_PENALTY</t>
        </is>
      </c>
      <c r="L3560" s="3" t="inlineStr">
        <is>
          <t>Provider-specific inference/training workload power telemetry.</t>
        </is>
      </c>
    </row>
    <row r="3561">
      <c r="A3561" s="3" t="inlineStr">
        <is>
          <t>xAI</t>
        </is>
      </c>
      <c r="B3561" s="3" t="n">
        <v>2030</v>
      </c>
      <c r="C3561" s="3" t="inlineStr">
        <is>
          <t>Grid-Constrained / Efficiency-Upside</t>
        </is>
      </c>
      <c r="D3561" s="3" t="inlineStr">
        <is>
          <t>inference_gw</t>
        </is>
      </c>
      <c r="E3561" s="3" t="n">
        <v>0.928</v>
      </c>
      <c r="F3561" s="3" t="inlineStr">
        <is>
          <t>GW</t>
        </is>
      </c>
      <c r="G3561" s="3" t="inlineStr">
        <is>
          <t>Derived formula</t>
        </is>
      </c>
      <c r="H3561" s="3" t="inlineStr">
        <is>
          <t>ai_it_load_gw * inference_power_share</t>
        </is>
      </c>
      <c r="I3561" s="3" t="inlineStr">
        <is>
          <t>This is the operational power eligible to become commercial generated output tokens through the selected TPS/MW proxy.</t>
        </is>
      </c>
      <c r="J3561" s="3" t="inlineStr">
        <is>
          <t>SRC_XAI_MODELS; SRC_XAI_NVIDIA_COLOSSUS; SRC_EPOCH_AI_DATA_CENTERS</t>
        </is>
      </c>
      <c r="K3561" s="3" t="inlineStr">
        <is>
          <t>ASSUMP_CLUSTER_RAMP; ASSUMP_CLOSED_MODEL_BAND; ASSUMP_NUMERIC_ACCELERATOR_MIX; ASSUMP_INFERENCE_SHARE_NOT_FACT_60; ASSUMP_WORKLOAD_CLASS_MIX; ASSUMP_AGENTIC_CONTEXT_PENALTY</t>
        </is>
      </c>
      <c r="L3561" s="3" t="inlineStr">
        <is>
          <t>Recompute after AI allocation or inference-share evidence changes.</t>
        </is>
      </c>
    </row>
    <row r="3562">
      <c r="A3562" s="3" t="inlineStr">
        <is>
          <t>xAI</t>
        </is>
      </c>
      <c r="B3562" s="3" t="n">
        <v>2030</v>
      </c>
      <c r="C3562" s="3" t="inlineStr">
        <is>
          <t>Grid-Constrained / Efficiency-Upside</t>
        </is>
      </c>
      <c r="D3562" s="3" t="inlineStr">
        <is>
          <t>training_power_share</t>
        </is>
      </c>
      <c r="E3562" s="3" t="n">
        <v>0.26</v>
      </c>
      <c r="F3562" s="3" t="inlineStr">
        <is>
          <t>share of AI IT load</t>
        </is>
      </c>
      <c r="G3562" s="3" t="inlineStr">
        <is>
          <t>Derived allocation</t>
        </is>
      </c>
      <c r="H3562" s="3" t="inlineStr">
        <is>
          <t>1 - inference_power_share</t>
        </is>
      </c>
      <c r="I3562" s="3" t="inlineStr">
        <is>
          <t>Training receives the complementary modeled AI IT allocation; it is not a disclosed company workload split.</t>
        </is>
      </c>
      <c r="J3562" s="3" t="inlineStr">
        <is>
          <t>SRC_XAI_MODELS; SRC_XAI_NVIDIA_COLOSSUS; SRC_EPOCH_AI_DATA_CENTERS; ASSUMP_INFERENCE_SHARE_NOT_FACT_60</t>
        </is>
      </c>
      <c r="K3562" s="3" t="inlineStr">
        <is>
          <t>ASSUMP_CLUSTER_RAMP; ASSUMP_CLOSED_MODEL_BAND; ASSUMP_NUMERIC_ACCELERATOR_MIX; ASSUMP_INFERENCE_SHARE_NOT_FACT_60; ASSUMP_WORKLOAD_CLASS_MIX; ASSUMP_AGENTIC_CONTEXT_PENALTY</t>
        </is>
      </c>
      <c r="L3562" s="3" t="inlineStr">
        <is>
          <t>Provider-specific inference/training workload power telemetry.</t>
        </is>
      </c>
    </row>
    <row r="3563">
      <c r="A3563" s="3" t="inlineStr">
        <is>
          <t>xAI</t>
        </is>
      </c>
      <c r="B3563" s="3" t="n">
        <v>2030</v>
      </c>
      <c r="C3563" s="3" t="inlineStr">
        <is>
          <t>Grid-Constrained / Efficiency-Upside</t>
        </is>
      </c>
      <c r="D3563" s="3" t="inlineStr">
        <is>
          <t>training_gw</t>
        </is>
      </c>
      <c r="E3563" s="3" t="n">
        <v>0.326</v>
      </c>
      <c r="F3563" s="3" t="inlineStr">
        <is>
          <t>GW</t>
        </is>
      </c>
      <c r="G3563" s="3" t="inlineStr">
        <is>
          <t>Derived formula</t>
        </is>
      </c>
      <c r="H3563" s="3" t="inlineStr">
        <is>
          <t>ai_it_load_gw * training_power_share</t>
        </is>
      </c>
      <c r="I3563" s="3" t="inlineStr">
        <is>
          <t>Training GW is shown separately so commercial inference token capacity is not overstated.</t>
        </is>
      </c>
      <c r="J3563" s="3" t="inlineStr">
        <is>
          <t>SRC_XAI_MODELS; SRC_XAI_NVIDIA_COLOSSUS; SRC_EPOCH_AI_DATA_CENTERS</t>
        </is>
      </c>
      <c r="K3563" s="3" t="inlineStr">
        <is>
          <t>ASSUMP_CLUSTER_RAMP; ASSUMP_CLOSED_MODEL_BAND; ASSUMP_NUMERIC_ACCELERATOR_MIX; ASSUMP_INFERENCE_SHARE_NOT_FACT_60; ASSUMP_WORKLOAD_CLASS_MIX; ASSUMP_AGENTIC_CONTEXT_PENALTY</t>
        </is>
      </c>
      <c r="L3563" s="3" t="inlineStr">
        <is>
          <t>Recompute after AI allocation or workload-split evidence changes.</t>
        </is>
      </c>
    </row>
    <row r="3564">
      <c r="A3564" s="3" t="inlineStr">
        <is>
          <t>xAI</t>
        </is>
      </c>
      <c r="B3564" s="3" t="n">
        <v>2030</v>
      </c>
      <c r="C3564" s="3" t="inlineStr">
        <is>
          <t>Grid-Constrained / Efficiency-Upside</t>
        </is>
      </c>
      <c r="D3564" s="3" t="inlineStr">
        <is>
          <t>tokens_per_second_per_mw</t>
        </is>
      </c>
      <c r="E3564" s="3" t="n">
        <v>1655658</v>
      </c>
      <c r="F3564" s="3" t="inlineStr">
        <is>
          <t>generated output tokens/sec/MW</t>
        </is>
      </c>
      <c r="G3564" s="3" t="inlineStr">
        <is>
          <t>Derived estimate + benchmark calibration</t>
        </is>
      </c>
      <c r="H3564" s="3" t="inlineStr">
        <is>
          <t>fleet_reference_tps_per_mw * commercial_workload_fit_factor</t>
        </is>
      </c>
      <c r="I3564" s="3" t="inlineStr">
        <is>
          <t>GPT-OSS 120B B200 output-token benchmark proxy pending a comparable Grok serving benchmark. Workload reference is now split into short_chat, long_chat and agentic classes. Company mix: short 45%, long 35%, agentic 20%. Commercial workload fit factor: Grok is closed and reasoning/product workload mix is not matched to the GPT-OSS benchmark row. Grok is modeled as interactive plus reasoning/search-style use; coding-agent share is not as directly evidenced as Anthropic/OpenAI.</t>
        </is>
      </c>
      <c r="J3564" s="3" t="inlineStr">
        <is>
          <t>SRC_XAI_MODELS; SRC_XAI_NVIDIA_COLOSSUS; SRC_EPOCH_AI_DATA_CENTERS; SRC_SEMIANALYSIS_INFERENCEX; ASSUMP_NUMERIC_ACCELERATOR_MIX; ASSUMP_WORKLOAD_CLASS_MIX; ASSUMP_AGENTIC_CONTEXT_PENALTY</t>
        </is>
      </c>
      <c r="K3564" s="3" t="inlineStr">
        <is>
          <t>ASSUMP_CLUSTER_RAMP; ASSUMP_CLOSED_MODEL_BAND; ASSUMP_NUMERIC_ACCELERATOR_MIX; ASSUMP_INFERENCE_SHARE_NOT_FACT_60; ASSUMP_WORKLOAD_CLASS_MIX; ASSUMP_AGENTIC_CONTEXT_PENALTY</t>
        </is>
      </c>
      <c r="L3564" s="3" t="inlineStr">
        <is>
          <t>Comparable production output-token throughput with model, hardware, precision, ISL/OSL and SLO matched.</t>
        </is>
      </c>
    </row>
    <row r="3565">
      <c r="A3565" s="3" t="inlineStr">
        <is>
          <t>xAI</t>
        </is>
      </c>
      <c r="B3565" s="3" t="n">
        <v>2030</v>
      </c>
      <c r="C3565" s="3" t="inlineStr">
        <is>
          <t>Grid-Constrained / Efficiency-Upside</t>
        </is>
      </c>
      <c r="D3565" s="3" t="inlineStr">
        <is>
          <t>inference_tokens_per_day</t>
        </is>
      </c>
      <c r="E3565" s="3" t="n">
        <v>132749333913600</v>
      </c>
      <c r="F3565" s="3" t="inlineStr">
        <is>
          <t>generated output tokens/day</t>
        </is>
      </c>
      <c r="G3565" s="3" t="inlineStr">
        <is>
          <t>Derived headline metric</t>
        </is>
      </c>
      <c r="H3565" s="3" t="inlineStr">
        <is>
          <t>inference_gw * 1000 * tokens_per_second_per_mw * 86,400</t>
        </is>
      </c>
      <c r="I3565" s="3" t="inlineStr">
        <is>
          <t>Headline capacity uses no utilization, MoE, architecture or software-growth multiplier; it is not observed commercial output volume.</t>
        </is>
      </c>
      <c r="J3565" s="3" t="inlineStr">
        <is>
          <t>SRC_XAI_MODELS; SRC_XAI_NVIDIA_COLOSSUS; SRC_EPOCH_AI_DATA_CENTERS; SRC_SEMIANALYSIS_INFERENCEX</t>
        </is>
      </c>
      <c r="K3565" s="3" t="inlineStr">
        <is>
          <t>ASSUMP_CLUSTER_RAMP; ASSUMP_CLOSED_MODEL_BAND; ASSUMP_NUMERIC_ACCELERATOR_MIX; ASSUMP_INFERENCE_SHARE_NOT_FACT_60; ASSUMP_WORKLOAD_CLASS_MIX; ASSUMP_AGENTIC_CONTEXT_PENALTY</t>
        </is>
      </c>
      <c r="L3565" s="3" t="inlineStr">
        <is>
          <t>Provider-disclosed generated output token volume or calibrated capacity telemetry.</t>
        </is>
      </c>
    </row>
    <row r="3566">
      <c r="A3566" s="3" t="inlineStr">
        <is>
          <t>xAI</t>
        </is>
      </c>
      <c r="B3566" s="3" t="n">
        <v>2030</v>
      </c>
      <c r="C3566" s="3" t="inlineStr">
        <is>
          <t>Grid-Constrained / Efficiency-Upside</t>
        </is>
      </c>
      <c r="D3566" s="3" t="inlineStr">
        <is>
          <t>inference_tokens_per_year</t>
        </is>
      </c>
      <c r="E3566" s="3" t="n">
        <v>4.8453506878464e+16</v>
      </c>
      <c r="F3566" s="3" t="inlineStr">
        <is>
          <t>generated output tokens/year</t>
        </is>
      </c>
      <c r="G3566" s="3" t="inlineStr">
        <is>
          <t>Derived headline metric</t>
        </is>
      </c>
      <c r="H3566" s="3" t="inlineStr">
        <is>
          <t>inference_tokens_per_day * 365</t>
        </is>
      </c>
      <c r="I3566" s="3" t="inlineStr">
        <is>
          <t>Annualized version of generated output token capacity; it is not observed annual demand or billable volume.</t>
        </is>
      </c>
      <c r="J3566" s="3" t="inlineStr">
        <is>
          <t>SRC_XAI_MODELS; SRC_XAI_NVIDIA_COLOSSUS; SRC_EPOCH_AI_DATA_CENTERS; SRC_SEMIANALYSIS_INFERENCEX</t>
        </is>
      </c>
      <c r="K3566" s="3" t="inlineStr">
        <is>
          <t>ASSUMP_CLUSTER_RAMP; ASSUMP_CLOSED_MODEL_BAND; ASSUMP_NUMERIC_ACCELERATOR_MIX; ASSUMP_INFERENCE_SHARE_NOT_FACT_60; ASSUMP_WORKLOAD_CLASS_MIX; ASSUMP_AGENTIC_CONTEXT_PENALTY</t>
        </is>
      </c>
      <c r="L3566" s="3" t="inlineStr">
        <is>
          <t>Provider-disclosed annual generated-output volume or metered serving telemetry.</t>
        </is>
      </c>
    </row>
    <row r="3567">
      <c r="A3567" s="3" t="inlineStr">
        <is>
          <t>OpenAI</t>
        </is>
      </c>
      <c r="B3567" s="3" t="n">
        <v>2026</v>
      </c>
      <c r="C3567" s="3" t="inlineStr">
        <is>
          <t>Grid-Constrained / Efficiency-Upside</t>
        </is>
      </c>
      <c r="D3567" s="3" t="inlineStr">
        <is>
          <t>contracted_power_gw</t>
        </is>
      </c>
      <c r="E3567" s="3" t="n">
        <v>5</v>
      </c>
      <c r="F3567" s="3" t="inlineStr">
        <is>
          <t>GW</t>
        </is>
      </c>
      <c r="G3567" s="3" t="inlineStr">
        <is>
          <t>Fact anchor + scenario ceiling</t>
        </is>
      </c>
      <c r="H3567" s="3" t="inlineStr">
        <is>
          <t>linear interpolation between 2026 and 2030 company capacity endpoints</t>
        </is>
      </c>
      <c r="I3567" s="3" t="inlineStr">
        <is>
          <t>2030 envelope is bounded by official Stargate planned/committed capacity; 2026 and timing remain staged scenario values.</t>
        </is>
      </c>
      <c r="J3567" s="3" t="inlineStr">
        <is>
          <t>SRC_OPENAI_STARGATE_ORACLE; SRC_OPENAI_STARGATE_PROGRESS; ASSUMP_STARGATE_RAMP</t>
        </is>
      </c>
      <c r="K3567" s="3" t="inlineStr">
        <is>
          <t>ASSUMP_STARGATE_RAMP; ASSUMP_MS_OPENAI_ATTRIBUTION; ASSUMP_NUMERIC_ACCELERATOR_MIX; ASSUMP_INFERENCE_SHARE_NOT_FACT_60; ASSUMP_WORKLOAD_CLASS_MIX; ASSUMP_AGENTIC_CONTEXT_PENALTY</t>
        </is>
      </c>
      <c r="L3567" s="3" t="inlineStr">
        <is>
          <t>Company/site-level committed MW/GW, interconnect and contract disclosure.</t>
        </is>
      </c>
    </row>
    <row r="3568">
      <c r="A3568" s="3" t="inlineStr">
        <is>
          <t>OpenAI</t>
        </is>
      </c>
      <c r="B3568" s="3" t="n">
        <v>2026</v>
      </c>
      <c r="C3568" s="3" t="inlineStr">
        <is>
          <t>Grid-Constrained / Efficiency-Upside</t>
        </is>
      </c>
      <c r="D3568" s="3" t="inlineStr">
        <is>
          <t>operational_deployment_share</t>
        </is>
      </c>
      <c r="E3568" s="3" t="n">
        <v>0.2464</v>
      </c>
      <c r="F3568" s="3" t="inlineStr">
        <is>
          <t>share</t>
        </is>
      </c>
      <c r="G3568" s="3" t="inlineStr">
        <is>
          <t>Scenario conversion</t>
        </is>
      </c>
      <c r="H3568" s="3" t="inlineStr">
        <is>
          <t>active_power_gw / contracted_power_gw</t>
        </is>
      </c>
      <c r="I3568" s="3" t="inlineStr">
        <is>
          <t>This is the single explicit conversion from contracted/attributed capacity to operationally usable capacity.</t>
        </is>
      </c>
      <c r="J3568" s="3" t="inlineStr">
        <is>
          <t>SRC_OPENAI_STARGATE_ORACLE; SRC_OPENAI_STARGATE_PROGRESS; ASSUMP_STARGATE_RAMP</t>
        </is>
      </c>
      <c r="K3568" s="3" t="inlineStr">
        <is>
          <t>ASSUMP_STARGATE_RAMP; ASSUMP_MS_OPENAI_ATTRIBUTION; ASSUMP_NUMERIC_ACCELERATOR_MIX; ASSUMP_INFERENCE_SHARE_NOT_FACT_60; ASSUMP_WORKLOAD_CLASS_MIX; ASSUMP_AGENTIC_CONTEXT_PENALTY</t>
        </is>
      </c>
      <c r="L3568" s="3" t="inlineStr">
        <is>
          <t>Energized operational capacity divided by contracted/attributed capacity.</t>
        </is>
      </c>
    </row>
    <row r="3569">
      <c r="A3569" s="3" t="inlineStr">
        <is>
          <t>OpenAI</t>
        </is>
      </c>
      <c r="B3569" s="3" t="n">
        <v>2026</v>
      </c>
      <c r="C3569" s="3" t="inlineStr">
        <is>
          <t>Grid-Constrained / Efficiency-Upside</t>
        </is>
      </c>
      <c r="D3569" s="3" t="inlineStr">
        <is>
          <t>active_power_gw</t>
        </is>
      </c>
      <c r="E3569" s="3" t="n">
        <v>1.232</v>
      </c>
      <c r="F3569" s="3" t="inlineStr">
        <is>
          <t>GW</t>
        </is>
      </c>
      <c r="G3569" s="3" t="inlineStr">
        <is>
          <t>Derived scenario</t>
        </is>
      </c>
      <c r="H3569" s="3" t="inlineStr">
        <is>
          <t>contracted_power_gw * operational_deployment_share</t>
        </is>
      </c>
      <c r="I3569" s="3" t="inlineStr">
        <is>
          <t>Official capacity announcements are converted to active GW only through energization/GPU-deployment ramp assumptions.</t>
        </is>
      </c>
      <c r="J3569" s="3" t="inlineStr">
        <is>
          <t>SRC_OPENAI_STARGATE_ORACLE; SRC_OPENAI_STARGATE_PROGRESS; ASSUMP_STARGATE_RAMP</t>
        </is>
      </c>
      <c r="K3569" s="3" t="inlineStr">
        <is>
          <t>ASSUMP_STARGATE_RAMP; ASSUMP_MS_OPENAI_ATTRIBUTION; ASSUMP_NUMERIC_ACCELERATOR_MIX; ASSUMP_INFERENCE_SHARE_NOT_FACT_60; ASSUMP_WORKLOAD_CLASS_MIX; ASSUMP_AGENTIC_CONTEXT_PENALTY</t>
        </is>
      </c>
      <c r="L3569" s="3" t="inlineStr">
        <is>
          <t>Energization dates, accelerator deliveries and operational powered-rack telemetry.</t>
        </is>
      </c>
    </row>
    <row r="3570">
      <c r="A3570" s="3" t="inlineStr">
        <is>
          <t>OpenAI</t>
        </is>
      </c>
      <c r="B3570" s="3" t="n">
        <v>2026</v>
      </c>
      <c r="C3570" s="3" t="inlineStr">
        <is>
          <t>Grid-Constrained / Efficiency-Upside</t>
        </is>
      </c>
      <c r="D3570" s="3" t="inlineStr">
        <is>
          <t>pue</t>
        </is>
      </c>
      <c r="E3570" s="3" t="n">
        <v>1.2</v>
      </c>
      <c r="F3570" s="3" t="inlineStr">
        <is>
          <t>ratio</t>
        </is>
      </c>
      <c r="G3570" s="3" t="inlineStr">
        <is>
          <t>Scenario parameter</t>
        </is>
      </c>
      <c r="H3570" s="3" t="inlineStr">
        <is>
          <t>it_load_gw = active_power_gw / pue</t>
        </is>
      </c>
      <c r="I3570" s="3" t="inlineStr">
        <is>
          <t>No provider-wide site-level PUE is used as a disclosed fact; PUE represents facility-to-IT conversion within the scenario.</t>
        </is>
      </c>
      <c r="J3570" s="3" t="inlineStr">
        <is>
          <t>ASSUMP_POWER_RAMP</t>
        </is>
      </c>
      <c r="K3570" s="3" t="inlineStr">
        <is>
          <t>ASSUMP_STARGATE_RAMP; ASSUMP_MS_OPENAI_ATTRIBUTION; ASSUMP_NUMERIC_ACCELERATOR_MIX; ASSUMP_INFERENCE_SHARE_NOT_FACT_60; ASSUMP_WORKLOAD_CLASS_MIX; ASSUMP_AGENTIC_CONTEXT_PENALTY</t>
        </is>
      </c>
      <c r="L3570" s="3" t="inlineStr">
        <is>
          <t>Site-level measured PUE matched to attributed AI capacity.</t>
        </is>
      </c>
    </row>
    <row r="3571">
      <c r="A3571" s="3" t="inlineStr">
        <is>
          <t>OpenAI</t>
        </is>
      </c>
      <c r="B3571" s="3" t="n">
        <v>2026</v>
      </c>
      <c r="C3571" s="3" t="inlineStr">
        <is>
          <t>Grid-Constrained / Efficiency-Upside</t>
        </is>
      </c>
      <c r="D3571" s="3" t="inlineStr">
        <is>
          <t>it_load_gw</t>
        </is>
      </c>
      <c r="E3571" s="3" t="n">
        <v>1.027</v>
      </c>
      <c r="F3571" s="3" t="inlineStr">
        <is>
          <t>GW</t>
        </is>
      </c>
      <c r="G3571" s="3" t="inlineStr">
        <is>
          <t>Derived formula</t>
        </is>
      </c>
      <c r="H3571" s="3" t="inlineStr">
        <is>
          <t>active_power_gw / pue</t>
        </is>
      </c>
      <c r="I3571" s="3" t="inlineStr">
        <is>
          <t>Facility power is converted to IT-deliverable power before attributing AI workloads.</t>
        </is>
      </c>
      <c r="J3571" s="3" t="inlineStr">
        <is>
          <t>SRC_OPENAI_STARGATE_ORACLE; SRC_OPENAI_STARGATE_PROGRESS; ASSUMP_STARGATE_RAMP</t>
        </is>
      </c>
      <c r="K3571" s="3" t="inlineStr">
        <is>
          <t>ASSUMP_STARGATE_RAMP; ASSUMP_MS_OPENAI_ATTRIBUTION; ASSUMP_NUMERIC_ACCELERATOR_MIX; ASSUMP_INFERENCE_SHARE_NOT_FACT_60; ASSUMP_WORKLOAD_CLASS_MIX; ASSUMP_AGENTIC_CONTEXT_PENALTY</t>
        </is>
      </c>
      <c r="L3571" s="3" t="inlineStr">
        <is>
          <t>Recompute once active power and PUE become site-observable.</t>
        </is>
      </c>
    </row>
    <row r="3572">
      <c r="A3572" s="3" t="inlineStr">
        <is>
          <t>OpenAI</t>
        </is>
      </c>
      <c r="B3572" s="3" t="n">
        <v>2026</v>
      </c>
      <c r="C3572" s="3" t="inlineStr">
        <is>
          <t>Grid-Constrained / Efficiency-Upside</t>
        </is>
      </c>
      <c r="D3572" s="3" t="inlineStr">
        <is>
          <t>ai_workload_share</t>
        </is>
      </c>
      <c r="E3572" s="3" t="n">
        <v>0.88</v>
      </c>
      <c r="F3572" s="3" t="inlineStr">
        <is>
          <t>share</t>
        </is>
      </c>
      <c r="G3572" s="3" t="inlineStr">
        <is>
          <t>Scenario allocation</t>
        </is>
      </c>
      <c r="H3572" s="3" t="inlineStr">
        <is>
          <t>ai_it_load_gw = it_load_gw * ai_workload_share</t>
        </is>
      </c>
      <c r="I3572" s="3" t="inlineStr">
        <is>
          <t>Stargate capacity is AI-oriented but includes reserve, platform and non-token AI activity; 88% is a scenario.</t>
        </is>
      </c>
      <c r="J3572" s="3" t="inlineStr">
        <is>
          <t>SRC_OPENAI_GPT41_DOCS; SRC_OPENAI_STARGATE_ORACLE; SRC_OPENAI_STARGATE_PROGRESS; SRC_EPOCH_AI_DATA_CENTERS</t>
        </is>
      </c>
      <c r="K3572" s="3" t="inlineStr">
        <is>
          <t>ASSUMP_STARGATE_RAMP; ASSUMP_MS_OPENAI_ATTRIBUTION; ASSUMP_NUMERIC_ACCELERATOR_MIX; ASSUMP_INFERENCE_SHARE_NOT_FACT_60; ASSUMP_WORKLOAD_CLASS_MIX; ASSUMP_AGENTIC_CONTEXT_PENALTY</t>
        </is>
      </c>
      <c r="L3572" s="3" t="inlineStr">
        <is>
          <t>Model-owner AI workload allocation or cluster scheduling telemetry.</t>
        </is>
      </c>
    </row>
    <row r="3573">
      <c r="A3573" s="3" t="inlineStr">
        <is>
          <t>OpenAI</t>
        </is>
      </c>
      <c r="B3573" s="3" t="n">
        <v>2026</v>
      </c>
      <c r="C3573" s="3" t="inlineStr">
        <is>
          <t>Grid-Constrained / Efficiency-Upside</t>
        </is>
      </c>
      <c r="D3573" s="3" t="inlineStr">
        <is>
          <t>ai_it_load_gw</t>
        </is>
      </c>
      <c r="E3573" s="3" t="n">
        <v>0.903</v>
      </c>
      <c r="F3573" s="3" t="inlineStr">
        <is>
          <t>GW</t>
        </is>
      </c>
      <c r="G3573" s="3" t="inlineStr">
        <is>
          <t>Derived formula</t>
        </is>
      </c>
      <c r="H3573" s="3" t="inlineStr">
        <is>
          <t>it_load_gw * ai_workload_share</t>
        </is>
      </c>
      <c r="I3573" s="3" t="inlineStr">
        <is>
          <t>Only the AI-attributed portion of IT load enters training/inference allocation.</t>
        </is>
      </c>
      <c r="J3573" s="3" t="inlineStr">
        <is>
          <t>SRC_OPENAI_GPT41_DOCS; SRC_OPENAI_STARGATE_ORACLE; SRC_OPENAI_STARGATE_PROGRESS; SRC_EPOCH_AI_DATA_CENTERS</t>
        </is>
      </c>
      <c r="K3573" s="3" t="inlineStr">
        <is>
          <t>ASSUMP_STARGATE_RAMP; ASSUMP_MS_OPENAI_ATTRIBUTION; ASSUMP_NUMERIC_ACCELERATOR_MIX; ASSUMP_INFERENCE_SHARE_NOT_FACT_60; ASSUMP_WORKLOAD_CLASS_MIX; ASSUMP_AGENTIC_CONTEXT_PENALTY</t>
        </is>
      </c>
      <c r="L3573" s="3" t="inlineStr">
        <is>
          <t>Recompute after ai_workload_share is replaced by telemetry.</t>
        </is>
      </c>
    </row>
    <row r="3574">
      <c r="A3574" s="3" t="inlineStr">
        <is>
          <t>OpenAI</t>
        </is>
      </c>
      <c r="B3574" s="3" t="n">
        <v>2026</v>
      </c>
      <c r="C3574" s="3" t="inlineStr">
        <is>
          <t>Grid-Constrained / Efficiency-Upside</t>
        </is>
      </c>
      <c r="D3574" s="3" t="inlineStr">
        <is>
          <t>gpu_share</t>
        </is>
      </c>
      <c r="E3574" s="3" t="n">
        <v>1</v>
      </c>
      <c r="F3574" s="3" t="inlineStr">
        <is>
          <t>share of inference-serving accelerator load</t>
        </is>
      </c>
      <c r="G3574" s="3" t="inlineStr">
        <is>
          <t>Numeric scenario</t>
        </is>
      </c>
      <c r="H3574" s="3" t="inlineStr">
        <is>
          <t>gpu_share interpolated from company 2026/2030 accelerator-mix endpoints</t>
        </is>
      </c>
      <c r="I3574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574" s="3" t="inlineStr">
        <is>
          <t>SRC_OPENAI_GPT41_DOCS; SRC_OPENAI_STARGATE_ORACLE; SRC_OPENAI_STARGATE_PROGRESS; SRC_EPOCH_AI_DATA_CENTERS; ASSUMP_NUMERIC_ACCELERATOR_MIX</t>
        </is>
      </c>
      <c r="K3574" s="3" t="inlineStr">
        <is>
          <t>ASSUMP_STARGATE_RAMP; ASSUMP_MS_OPENAI_ATTRIBUTION; ASSUMP_NUMERIC_ACCELERATOR_MIX; ASSUMP_INFERENCE_SHARE_NOT_FACT_60; ASSUMP_WORKLOAD_CLASS_MIX; ASSUMP_AGENTIC_CONTEXT_PENALTY</t>
        </is>
      </c>
      <c r="L3574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575">
      <c r="A3575" s="3" t="inlineStr">
        <is>
          <t>OpenAI</t>
        </is>
      </c>
      <c r="B3575" s="3" t="n">
        <v>2026</v>
      </c>
      <c r="C3575" s="3" t="inlineStr">
        <is>
          <t>Grid-Constrained / Efficiency-Upside</t>
        </is>
      </c>
      <c r="D3575" s="3" t="inlineStr">
        <is>
          <t>h200_share</t>
        </is>
      </c>
      <c r="E3575" s="3" t="n">
        <v>0.08550199999999999</v>
      </c>
      <c r="F3575" s="3" t="inlineStr">
        <is>
          <t>share of inference-serving accelerator load</t>
        </is>
      </c>
      <c r="G3575" s="3" t="inlineStr">
        <is>
          <t>Editable numeric scenario</t>
        </is>
      </c>
      <c r="H3575" s="3" t="inlineStr">
        <is>
          <t>h200_share = gpu_share * default_gpu_generation_mix_h200</t>
        </is>
      </c>
      <c r="I3575" s="3" t="inlineStr">
        <is>
          <t>Default GPU-generation migration assumption; executive workbook allows later manual replacement by company/year/scenario.</t>
        </is>
      </c>
      <c r="J3575" s="3" t="inlineStr">
        <is>
          <t>SRC_SEMIANALYSIS_INFERENCEX; ASSUMP_NUMERIC_ACCELERATOR_MIX</t>
        </is>
      </c>
      <c r="K3575" s="3" t="inlineStr">
        <is>
          <t>ASSUMP_STARGATE_RAMP; ASSUMP_MS_OPENAI_ATTRIBUTION; ASSUMP_NUMERIC_ACCELERATOR_MIX; ASSUMP_INFERENCE_SHARE_NOT_FACT_60; ASSUMP_WORKLOAD_CLASS_MIX; ASSUMP_AGENTIC_CONTEXT_PENALTY</t>
        </is>
      </c>
      <c r="L3575" s="3" t="inlineStr">
        <is>
          <t>Company fleet inventory, accelerator-hours or procurement/deployment records by GPU generation.</t>
        </is>
      </c>
    </row>
    <row r="3576">
      <c r="A3576" s="3" t="inlineStr">
        <is>
          <t>OpenAI</t>
        </is>
      </c>
      <c r="B3576" s="3" t="n">
        <v>2026</v>
      </c>
      <c r="C3576" s="3" t="inlineStr">
        <is>
          <t>Grid-Constrained / Efficiency-Upside</t>
        </is>
      </c>
      <c r="D3576" s="3" t="inlineStr">
        <is>
          <t>b200_share</t>
        </is>
      </c>
      <c r="E3576" s="3" t="n">
        <v>0.914498</v>
      </c>
      <c r="F3576" s="3" t="inlineStr">
        <is>
          <t>share of inference-serving accelerator load</t>
        </is>
      </c>
      <c r="G3576" s="3" t="inlineStr">
        <is>
          <t>Editable numeric scenario</t>
        </is>
      </c>
      <c r="H3576" s="3" t="inlineStr">
        <is>
          <t>b200_share = gpu_share * default_gpu_generation_mix_b200</t>
        </is>
      </c>
      <c r="I3576" s="3" t="inlineStr">
        <is>
          <t>Default GPU-generation migration assumption; executive workbook allows later manual replacement by company/year/scenario.</t>
        </is>
      </c>
      <c r="J3576" s="3" t="inlineStr">
        <is>
          <t>SRC_SEMIANALYSIS_INFERENCEX; ASSUMP_NUMERIC_ACCELERATOR_MIX</t>
        </is>
      </c>
      <c r="K3576" s="3" t="inlineStr">
        <is>
          <t>ASSUMP_STARGATE_RAMP; ASSUMP_MS_OPENAI_ATTRIBUTION; ASSUMP_NUMERIC_ACCELERATOR_MIX; ASSUMP_INFERENCE_SHARE_NOT_FACT_60; ASSUMP_WORKLOAD_CLASS_MIX; ASSUMP_AGENTIC_CONTEXT_PENALTY</t>
        </is>
      </c>
      <c r="L3576" s="3" t="inlineStr">
        <is>
          <t>Company fleet inventory, accelerator-hours or procurement/deployment records by GPU generation.</t>
        </is>
      </c>
    </row>
    <row r="3577">
      <c r="A3577" s="3" t="inlineStr">
        <is>
          <t>OpenAI</t>
        </is>
      </c>
      <c r="B3577" s="3" t="n">
        <v>2026</v>
      </c>
      <c r="C3577" s="3" t="inlineStr">
        <is>
          <t>Grid-Constrained / Efficiency-Upside</t>
        </is>
      </c>
      <c r="D3577" s="3" t="inlineStr">
        <is>
          <t>gb200_share</t>
        </is>
      </c>
      <c r="E3577" s="3" t="n">
        <v>0</v>
      </c>
      <c r="F3577" s="3" t="inlineStr">
        <is>
          <t>share of inference-serving accelerator load</t>
        </is>
      </c>
      <c r="G3577" s="3" t="inlineStr">
        <is>
          <t>Editable numeric scenario</t>
        </is>
      </c>
      <c r="H3577" s="3" t="inlineStr">
        <is>
          <t>gb200_share = gpu_share * default_gpu_generation_mix_gb200</t>
        </is>
      </c>
      <c r="I3577" s="3" t="inlineStr">
        <is>
          <t>Default GPU-generation migration assumption; executive workbook allows later manual replacement by company/year/scenario.</t>
        </is>
      </c>
      <c r="J3577" s="3" t="inlineStr">
        <is>
          <t>SRC_SEMIANALYSIS_INFERENCEX; ASSUMP_NUMERIC_ACCELERATOR_MIX</t>
        </is>
      </c>
      <c r="K3577" s="3" t="inlineStr">
        <is>
          <t>ASSUMP_STARGATE_RAMP; ASSUMP_MS_OPENAI_ATTRIBUTION; ASSUMP_NUMERIC_ACCELERATOR_MIX; ASSUMP_INFERENCE_SHARE_NOT_FACT_60; ASSUMP_WORKLOAD_CLASS_MIX; ASSUMP_AGENTIC_CONTEXT_PENALTY</t>
        </is>
      </c>
      <c r="L3577" s="3" t="inlineStr">
        <is>
          <t>Company fleet inventory, accelerator-hours or procurement/deployment records by GPU generation.</t>
        </is>
      </c>
    </row>
    <row r="3578">
      <c r="A3578" s="3" t="inlineStr">
        <is>
          <t>OpenAI</t>
        </is>
      </c>
      <c r="B3578" s="3" t="n">
        <v>2026</v>
      </c>
      <c r="C3578" s="3" t="inlineStr">
        <is>
          <t>Grid-Constrained / Efficiency-Upside</t>
        </is>
      </c>
      <c r="D3578" s="3" t="inlineStr">
        <is>
          <t>purpose_built_accelerator_share</t>
        </is>
      </c>
      <c r="E3578" s="3" t="n">
        <v>0</v>
      </c>
      <c r="F3578" s="3" t="inlineStr">
        <is>
          <t>share of inference-serving accelerator load</t>
        </is>
      </c>
      <c r="G3578" s="3" t="inlineStr">
        <is>
          <t>Numeric scenario</t>
        </is>
      </c>
      <c r="H3578" s="3" t="inlineStr">
        <is>
          <t>1 - gpu_share</t>
        </is>
      </c>
      <c r="I3578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578" s="3" t="inlineStr">
        <is>
          <t>SRC_OPENAI_GPT41_DOCS; SRC_OPENAI_STARGATE_ORACLE; SRC_OPENAI_STARGATE_PROGRESS; SRC_EPOCH_AI_DATA_CENTERS; ASSUMP_NUMERIC_ACCELERATOR_MIX</t>
        </is>
      </c>
      <c r="K3578" s="3" t="inlineStr">
        <is>
          <t>ASSUMP_STARGATE_RAMP; ASSUMP_MS_OPENAI_ATTRIBUTION; ASSUMP_NUMERIC_ACCELERATOR_MIX; ASSUMP_INFERENCE_SHARE_NOT_FACT_60; ASSUMP_WORKLOAD_CLASS_MIX; ASSUMP_AGENTIC_CONTEXT_PENALTY</t>
        </is>
      </c>
      <c r="L3578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579">
      <c r="A3579" s="3" t="inlineStr">
        <is>
          <t>OpenAI</t>
        </is>
      </c>
      <c r="B3579" s="3" t="n">
        <v>2026</v>
      </c>
      <c r="C3579" s="3" t="inlineStr">
        <is>
          <t>Grid-Constrained / Efficiency-Upside</t>
        </is>
      </c>
      <c r="D3579" s="3" t="inlineStr">
        <is>
          <t>fleet_reference_tps_per_mw</t>
        </is>
      </c>
      <c r="E3579" s="3" t="n">
        <v>216550</v>
      </c>
      <c r="F3579" s="3" t="inlineStr">
        <is>
          <t>generated output tokens/sec/MW</t>
        </is>
      </c>
      <c r="G3579" s="3" t="inlineStr">
        <is>
          <t>Fleet-weighted public benchmark reference</t>
        </is>
      </c>
      <c r="H3579" s="3" t="inlineStr">
        <is>
          <t>h200_share*h200_workload_avg + b200_share*b200_workload_avg + gb200_share*gb200_workload_avg + purpose_built_share*purpose_workload_avg</t>
        </is>
      </c>
      <c r="I3579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579" s="3" t="inlineStr">
        <is>
          <t>SRC_SEMIANALYSIS_INFERENCEX; ASSUMP_NUMERIC_ACCELERATOR_MIX; ASSUMP_WORKLOAD_CLASS_MIX; ASSUMP_AGENTIC_CONTEXT_PENALTY</t>
        </is>
      </c>
      <c r="K3579" s="3" t="inlineStr">
        <is>
          <t>ASSUMP_STARGATE_RAMP; ASSUMP_MS_OPENAI_ATTRIBUTION; ASSUMP_NUMERIC_ACCELERATOR_MIX; ASSUMP_INFERENCE_SHARE_NOT_FACT_60; ASSUMP_WORKLOAD_CLASS_MIX; ASSUMP_AGENTIC_CONTEXT_PENALTY</t>
        </is>
      </c>
      <c r="L3579" s="3" t="inlineStr">
        <is>
          <t>Comparable production output-token throughput or a more closely matched benchmark.</t>
        </is>
      </c>
    </row>
    <row r="3580">
      <c r="A3580" s="3" t="inlineStr">
        <is>
          <t>OpenAI</t>
        </is>
      </c>
      <c r="B3580" s="3" t="n">
        <v>2026</v>
      </c>
      <c r="C3580" s="3" t="inlineStr">
        <is>
          <t>Grid-Constrained / Efficiency-Upside</t>
        </is>
      </c>
      <c r="D3580" s="3" t="inlineStr">
        <is>
          <t>commercial_workload_fit_factor</t>
        </is>
      </c>
      <c r="E3580" s="3" t="n">
        <v>0.5</v>
      </c>
      <c r="F3580" s="3" t="inlineStr">
        <is>
          <t>share of public reference throughput</t>
        </is>
      </c>
      <c r="G3580" s="3" t="inlineStr">
        <is>
          <t>Scenario assumption</t>
        </is>
      </c>
      <c r="H3580" s="3" t="inlineStr">
        <is>
          <t>reference_serving_tps_per_mw = fleet_reference_tps_per_mw * commercial_workload_fit_factor</t>
        </is>
      </c>
      <c r="I3580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580" s="3" t="inlineStr">
        <is>
          <t>SRC_SEMIANALYSIS_INFERENCEX; ASSUMP_NUMERIC_ACCELERATOR_MIX; ASSUMP_WORKLOAD_CLASS_MIX; ASSUMP_AGENTIC_CONTEXT_PENALTY</t>
        </is>
      </c>
      <c r="K3580" s="3" t="inlineStr">
        <is>
          <t>ASSUMP_STARGATE_RAMP; ASSUMP_MS_OPENAI_ATTRIBUTION; ASSUMP_NUMERIC_ACCELERATOR_MIX; ASSUMP_INFERENCE_SHARE_NOT_FACT_60; ASSUMP_WORKLOAD_CLASS_MIX; ASSUMP_AGENTIC_CONTEXT_PENALTY</t>
        </is>
      </c>
      <c r="L3580" s="3" t="inlineStr">
        <is>
          <t>Matched commercial serving benchmark by product surface, context shape and latency SLO.</t>
        </is>
      </c>
    </row>
    <row r="3581">
      <c r="A3581" s="3" t="inlineStr">
        <is>
          <t>OpenAI</t>
        </is>
      </c>
      <c r="B3581" s="3" t="n">
        <v>2026</v>
      </c>
      <c r="C3581" s="3" t="inlineStr">
        <is>
          <t>Grid-Constrained / Efficiency-Upside</t>
        </is>
      </c>
      <c r="D3581" s="3" t="inlineStr">
        <is>
          <t>reference_serving_tps_per_mw</t>
        </is>
      </c>
      <c r="E3581" s="3" t="n">
        <v>108275</v>
      </c>
      <c r="F3581" s="3" t="inlineStr">
        <is>
          <t>generated output tokens/sec/MW</t>
        </is>
      </c>
      <c r="G3581" s="3" t="inlineStr">
        <is>
          <t>Workload-adjusted benchmark proxy</t>
        </is>
      </c>
      <c r="H3581" s="3" t="inlineStr">
        <is>
          <t>fleet_reference_tps_per_mw * commercial_workload_fit_factor</t>
        </is>
      </c>
      <c r="I3581" s="3" t="inlineStr">
        <is>
          <t>This is the coefficient used for headline token generation; each GPU's short chat, long chat and agentic TPS/MW are weighted before fleet mix and commercial fit are applied.</t>
        </is>
      </c>
      <c r="J3581" s="3" t="inlineStr">
        <is>
          <t>SRC_SEMIANALYSIS_INFERENCEX; ASSUMP_NUMERIC_ACCELERATOR_MIX; ASSUMP_WORKLOAD_CLASS_MIX; ASSUMP_AGENTIC_CONTEXT_PENALTY</t>
        </is>
      </c>
      <c r="K3581" s="3" t="inlineStr">
        <is>
          <t>ASSUMP_STARGATE_RAMP; ASSUMP_MS_OPENAI_ATTRIBUTION; ASSUMP_NUMERIC_ACCELERATOR_MIX; ASSUMP_INFERENCE_SHARE_NOT_FACT_60; ASSUMP_WORKLOAD_CLASS_MIX; ASSUMP_AGENTIC_CONTEXT_PENALTY</t>
        </is>
      </c>
      <c r="L3581" s="3" t="inlineStr">
        <is>
          <t>Provider production output-token throughput with comparable workload/SLO.</t>
        </is>
      </c>
    </row>
    <row r="3582">
      <c r="A3582" s="3" t="inlineStr">
        <is>
          <t>OpenAI</t>
        </is>
      </c>
      <c r="B3582" s="3" t="n">
        <v>2026</v>
      </c>
      <c r="C3582" s="3" t="inlineStr">
        <is>
          <t>Grid-Constrained / Efficiency-Upside</t>
        </is>
      </c>
      <c r="D3582" s="3" t="inlineStr">
        <is>
          <t>purpose_built_tps_per_mw</t>
        </is>
      </c>
      <c r="E3582" s="3" t="n">
        <v>67653</v>
      </c>
      <c r="F3582" s="3" t="inlineStr">
        <is>
          <t>generated output tokens/sec/MW</t>
        </is>
      </c>
      <c r="G3582" s="3" t="inlineStr">
        <is>
          <t>Conservative no-uplift proxy</t>
        </is>
      </c>
      <c r="H3582" s="3" t="inlineStr">
        <is>
          <t>purpose_built_tps_per_mw = purpose_built_reference_tps_per_mw * commercial_workload_fit_factor until comparable output-token benchmark is adopted</t>
        </is>
      </c>
      <c r="I3582" s="3" t="inlineStr">
        <is>
          <t>No comparable public output-token/MW row adopted; B200 public reference placeholder is used and remains editable.</t>
        </is>
      </c>
      <c r="J3582" s="3" t="inlineStr">
        <is>
          <t>SRC_OPENAI_GPT41_DOCS; SRC_OPENAI_STARGATE_ORACLE; SRC_OPENAI_STARGATE_PROGRESS; SRC_EPOCH_AI_DATA_CENTERS; ASSUMP_NUMERIC_ACCELERATOR_MIX</t>
        </is>
      </c>
      <c r="K3582" s="3" t="inlineStr">
        <is>
          <t>ASSUMP_STARGATE_RAMP; ASSUMP_MS_OPENAI_ATTRIBUTION; ASSUMP_NUMERIC_ACCELERATOR_MIX; ASSUMP_INFERENCE_SHARE_NOT_FACT_60; ASSUMP_WORKLOAD_CLASS_MIX; ASSUMP_AGENTIC_CONTEXT_PENALTY</t>
        </is>
      </c>
      <c r="L3582" s="3" t="inlineStr">
        <is>
          <t>Matched-workload generated-output benchmark for the provider purpose-built accelerator.</t>
        </is>
      </c>
    </row>
    <row r="3583">
      <c r="A3583" s="3" t="inlineStr">
        <is>
          <t>OpenAI</t>
        </is>
      </c>
      <c r="B3583" s="3" t="n">
        <v>2026</v>
      </c>
      <c r="C3583" s="3" t="inlineStr">
        <is>
          <t>Grid-Constrained / Efficiency-Upside</t>
        </is>
      </c>
      <c r="D3583" s="3" t="inlineStr">
        <is>
          <t>inference_power_share</t>
        </is>
      </c>
      <c r="E3583" s="3" t="n">
        <v>0.6</v>
      </c>
      <c r="F3583" s="3" t="inlineStr">
        <is>
          <t>share of AI IT load</t>
        </is>
      </c>
      <c r="G3583" s="3" t="inlineStr">
        <is>
          <t>Scenario allocation</t>
        </is>
      </c>
      <c r="H3583" s="3" t="inlineStr">
        <is>
          <t>inference_gw = ai_it_load_gw * inference_power_share</t>
        </is>
      </c>
      <c r="I3583" s="3" t="inlineStr">
        <is>
          <t>ChatGPT/API/enterprise commercial surfaces support increasing inference allocation while training remains material.</t>
        </is>
      </c>
      <c r="J3583" s="3" t="inlineStr">
        <is>
          <t>SRC_OPENAI_GPT41_DOCS; SRC_OPENAI_STARGATE_ORACLE; SRC_OPENAI_STARGATE_PROGRESS; SRC_EPOCH_AI_DATA_CENTERS; ASSUMP_INFERENCE_SHARE_NOT_FACT_60</t>
        </is>
      </c>
      <c r="K3583" s="3" t="inlineStr">
        <is>
          <t>ASSUMP_STARGATE_RAMP; ASSUMP_MS_OPENAI_ATTRIBUTION; ASSUMP_NUMERIC_ACCELERATOR_MIX; ASSUMP_INFERENCE_SHARE_NOT_FACT_60; ASSUMP_WORKLOAD_CLASS_MIX; ASSUMP_AGENTIC_CONTEXT_PENALTY</t>
        </is>
      </c>
      <c r="L3583" s="3" t="inlineStr">
        <is>
          <t>Provider-specific inference/training workload power telemetry.</t>
        </is>
      </c>
    </row>
    <row r="3584">
      <c r="A3584" s="3" t="inlineStr">
        <is>
          <t>OpenAI</t>
        </is>
      </c>
      <c r="B3584" s="3" t="n">
        <v>2026</v>
      </c>
      <c r="C3584" s="3" t="inlineStr">
        <is>
          <t>Grid-Constrained / Efficiency-Upside</t>
        </is>
      </c>
      <c r="D3584" s="3" t="inlineStr">
        <is>
          <t>inference_gw</t>
        </is>
      </c>
      <c r="E3584" s="3" t="n">
        <v>0.542</v>
      </c>
      <c r="F3584" s="3" t="inlineStr">
        <is>
          <t>GW</t>
        </is>
      </c>
      <c r="G3584" s="3" t="inlineStr">
        <is>
          <t>Derived formula</t>
        </is>
      </c>
      <c r="H3584" s="3" t="inlineStr">
        <is>
          <t>ai_it_load_gw * inference_power_share</t>
        </is>
      </c>
      <c r="I3584" s="3" t="inlineStr">
        <is>
          <t>This is the operational power eligible to become commercial generated output tokens through the selected TPS/MW proxy.</t>
        </is>
      </c>
      <c r="J3584" s="3" t="inlineStr">
        <is>
          <t>SRC_OPENAI_GPT41_DOCS; SRC_OPENAI_STARGATE_ORACLE; SRC_OPENAI_STARGATE_PROGRESS; SRC_EPOCH_AI_DATA_CENTERS</t>
        </is>
      </c>
      <c r="K3584" s="3" t="inlineStr">
        <is>
          <t>ASSUMP_STARGATE_RAMP; ASSUMP_MS_OPENAI_ATTRIBUTION; ASSUMP_NUMERIC_ACCELERATOR_MIX; ASSUMP_INFERENCE_SHARE_NOT_FACT_60; ASSUMP_WORKLOAD_CLASS_MIX; ASSUMP_AGENTIC_CONTEXT_PENALTY</t>
        </is>
      </c>
      <c r="L3584" s="3" t="inlineStr">
        <is>
          <t>Recompute after AI allocation or inference-share evidence changes.</t>
        </is>
      </c>
    </row>
    <row r="3585">
      <c r="A3585" s="3" t="inlineStr">
        <is>
          <t>OpenAI</t>
        </is>
      </c>
      <c r="B3585" s="3" t="n">
        <v>2026</v>
      </c>
      <c r="C3585" s="3" t="inlineStr">
        <is>
          <t>Grid-Constrained / Efficiency-Upside</t>
        </is>
      </c>
      <c r="D3585" s="3" t="inlineStr">
        <is>
          <t>training_power_share</t>
        </is>
      </c>
      <c r="E3585" s="3" t="n">
        <v>0.4</v>
      </c>
      <c r="F3585" s="3" t="inlineStr">
        <is>
          <t>share of AI IT load</t>
        </is>
      </c>
      <c r="G3585" s="3" t="inlineStr">
        <is>
          <t>Derived allocation</t>
        </is>
      </c>
      <c r="H3585" s="3" t="inlineStr">
        <is>
          <t>1 - inference_power_share</t>
        </is>
      </c>
      <c r="I3585" s="3" t="inlineStr">
        <is>
          <t>Training receives the complementary modeled AI IT allocation; it is not a disclosed company workload split.</t>
        </is>
      </c>
      <c r="J3585" s="3" t="inlineStr">
        <is>
          <t>SRC_OPENAI_GPT41_DOCS; SRC_OPENAI_STARGATE_ORACLE; SRC_OPENAI_STARGATE_PROGRESS; SRC_EPOCH_AI_DATA_CENTERS; ASSUMP_INFERENCE_SHARE_NOT_FACT_60</t>
        </is>
      </c>
      <c r="K3585" s="3" t="inlineStr">
        <is>
          <t>ASSUMP_STARGATE_RAMP; ASSUMP_MS_OPENAI_ATTRIBUTION; ASSUMP_NUMERIC_ACCELERATOR_MIX; ASSUMP_INFERENCE_SHARE_NOT_FACT_60; ASSUMP_WORKLOAD_CLASS_MIX; ASSUMP_AGENTIC_CONTEXT_PENALTY</t>
        </is>
      </c>
      <c r="L3585" s="3" t="inlineStr">
        <is>
          <t>Provider-specific inference/training workload power telemetry.</t>
        </is>
      </c>
    </row>
    <row r="3586">
      <c r="A3586" s="3" t="inlineStr">
        <is>
          <t>OpenAI</t>
        </is>
      </c>
      <c r="B3586" s="3" t="n">
        <v>2026</v>
      </c>
      <c r="C3586" s="3" t="inlineStr">
        <is>
          <t>Grid-Constrained / Efficiency-Upside</t>
        </is>
      </c>
      <c r="D3586" s="3" t="inlineStr">
        <is>
          <t>training_gw</t>
        </is>
      </c>
      <c r="E3586" s="3" t="n">
        <v>0.361</v>
      </c>
      <c r="F3586" s="3" t="inlineStr">
        <is>
          <t>GW</t>
        </is>
      </c>
      <c r="G3586" s="3" t="inlineStr">
        <is>
          <t>Derived formula</t>
        </is>
      </c>
      <c r="H3586" s="3" t="inlineStr">
        <is>
          <t>ai_it_load_gw * training_power_share</t>
        </is>
      </c>
      <c r="I3586" s="3" t="inlineStr">
        <is>
          <t>Training GW is shown separately so commercial inference token capacity is not overstated.</t>
        </is>
      </c>
      <c r="J3586" s="3" t="inlineStr">
        <is>
          <t>SRC_OPENAI_GPT41_DOCS; SRC_OPENAI_STARGATE_ORACLE; SRC_OPENAI_STARGATE_PROGRESS; SRC_EPOCH_AI_DATA_CENTERS</t>
        </is>
      </c>
      <c r="K3586" s="3" t="inlineStr">
        <is>
          <t>ASSUMP_STARGATE_RAMP; ASSUMP_MS_OPENAI_ATTRIBUTION; ASSUMP_NUMERIC_ACCELERATOR_MIX; ASSUMP_INFERENCE_SHARE_NOT_FACT_60; ASSUMP_WORKLOAD_CLASS_MIX; ASSUMP_AGENTIC_CONTEXT_PENALTY</t>
        </is>
      </c>
      <c r="L3586" s="3" t="inlineStr">
        <is>
          <t>Recompute after AI allocation or workload-split evidence changes.</t>
        </is>
      </c>
    </row>
    <row r="3587">
      <c r="A3587" s="3" t="inlineStr">
        <is>
          <t>OpenAI</t>
        </is>
      </c>
      <c r="B3587" s="3" t="n">
        <v>2026</v>
      </c>
      <c r="C3587" s="3" t="inlineStr">
        <is>
          <t>Grid-Constrained / Efficiency-Upside</t>
        </is>
      </c>
      <c r="D3587" s="3" t="inlineStr">
        <is>
          <t>tokens_per_second_per_mw</t>
        </is>
      </c>
      <c r="E3587" s="3" t="n">
        <v>108275</v>
      </c>
      <c r="F3587" s="3" t="inlineStr">
        <is>
          <t>generated output tokens/sec/MW</t>
        </is>
      </c>
      <c r="G3587" s="3" t="inlineStr">
        <is>
          <t>Derived estimate + benchmark calibration</t>
        </is>
      </c>
      <c r="H3587" s="3" t="inlineStr">
        <is>
          <t>fleet_reference_tps_per_mw * commercial_workload_fit_factor</t>
        </is>
      </c>
      <c r="I3587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587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587" s="3" t="inlineStr">
        <is>
          <t>ASSUMP_STARGATE_RAMP; ASSUMP_MS_OPENAI_ATTRIBUTION; ASSUMP_NUMERIC_ACCELERATOR_MIX; ASSUMP_INFERENCE_SHARE_NOT_FACT_60; ASSUMP_WORKLOAD_CLASS_MIX; ASSUMP_AGENTIC_CONTEXT_PENALTY</t>
        </is>
      </c>
      <c r="L3587" s="3" t="inlineStr">
        <is>
          <t>Comparable production output-token throughput with model, hardware, precision, ISL/OSL and SLO matched.</t>
        </is>
      </c>
    </row>
    <row r="3588">
      <c r="A3588" s="3" t="inlineStr">
        <is>
          <t>OpenAI</t>
        </is>
      </c>
      <c r="B3588" s="3" t="n">
        <v>2026</v>
      </c>
      <c r="C3588" s="3" t="inlineStr">
        <is>
          <t>Grid-Constrained / Efficiency-Upside</t>
        </is>
      </c>
      <c r="D3588" s="3" t="inlineStr">
        <is>
          <t>inference_tokens_per_day</t>
        </is>
      </c>
      <c r="E3588" s="3" t="n">
        <v>5070388320000</v>
      </c>
      <c r="F3588" s="3" t="inlineStr">
        <is>
          <t>generated output tokens/day</t>
        </is>
      </c>
      <c r="G3588" s="3" t="inlineStr">
        <is>
          <t>Derived headline metric</t>
        </is>
      </c>
      <c r="H3588" s="3" t="inlineStr">
        <is>
          <t>inference_gw * 1000 * tokens_per_second_per_mw * 86,400</t>
        </is>
      </c>
      <c r="I3588" s="3" t="inlineStr">
        <is>
          <t>Headline capacity uses no utilization, MoE, architecture or software-growth multiplier; it is not observed commercial output volume.</t>
        </is>
      </c>
      <c r="J3588" s="3" t="inlineStr">
        <is>
          <t>SRC_OPENAI_GPT41_DOCS; SRC_OPENAI_STARGATE_ORACLE; SRC_OPENAI_STARGATE_PROGRESS; SRC_EPOCH_AI_DATA_CENTERS; SRC_SEMIANALYSIS_INFERENCEX</t>
        </is>
      </c>
      <c r="K3588" s="3" t="inlineStr">
        <is>
          <t>ASSUMP_STARGATE_RAMP; ASSUMP_MS_OPENAI_ATTRIBUTION; ASSUMP_NUMERIC_ACCELERATOR_MIX; ASSUMP_INFERENCE_SHARE_NOT_FACT_60; ASSUMP_WORKLOAD_CLASS_MIX; ASSUMP_AGENTIC_CONTEXT_PENALTY</t>
        </is>
      </c>
      <c r="L3588" s="3" t="inlineStr">
        <is>
          <t>Provider-disclosed generated output token volume or calibrated capacity telemetry.</t>
        </is>
      </c>
    </row>
    <row r="3589">
      <c r="A3589" s="3" t="inlineStr">
        <is>
          <t>OpenAI</t>
        </is>
      </c>
      <c r="B3589" s="3" t="n">
        <v>2026</v>
      </c>
      <c r="C3589" s="3" t="inlineStr">
        <is>
          <t>Grid-Constrained / Efficiency-Upside</t>
        </is>
      </c>
      <c r="D3589" s="3" t="inlineStr">
        <is>
          <t>inference_tokens_per_year</t>
        </is>
      </c>
      <c r="E3589" s="3" t="n">
        <v>1850691736800000</v>
      </c>
      <c r="F3589" s="3" t="inlineStr">
        <is>
          <t>generated output tokens/year</t>
        </is>
      </c>
      <c r="G3589" s="3" t="inlineStr">
        <is>
          <t>Derived headline metric</t>
        </is>
      </c>
      <c r="H3589" s="3" t="inlineStr">
        <is>
          <t>inference_tokens_per_day * 365</t>
        </is>
      </c>
      <c r="I3589" s="3" t="inlineStr">
        <is>
          <t>Annualized version of generated output token capacity; it is not observed annual demand or billable volume.</t>
        </is>
      </c>
      <c r="J3589" s="3" t="inlineStr">
        <is>
          <t>SRC_OPENAI_GPT41_DOCS; SRC_OPENAI_STARGATE_ORACLE; SRC_OPENAI_STARGATE_PROGRESS; SRC_EPOCH_AI_DATA_CENTERS; SRC_SEMIANALYSIS_INFERENCEX</t>
        </is>
      </c>
      <c r="K3589" s="3" t="inlineStr">
        <is>
          <t>ASSUMP_STARGATE_RAMP; ASSUMP_MS_OPENAI_ATTRIBUTION; ASSUMP_NUMERIC_ACCELERATOR_MIX; ASSUMP_INFERENCE_SHARE_NOT_FACT_60; ASSUMP_WORKLOAD_CLASS_MIX; ASSUMP_AGENTIC_CONTEXT_PENALTY</t>
        </is>
      </c>
      <c r="L3589" s="3" t="inlineStr">
        <is>
          <t>Provider-disclosed annual generated-output volume or metered serving telemetry.</t>
        </is>
      </c>
    </row>
    <row r="3590">
      <c r="A3590" s="3" t="inlineStr">
        <is>
          <t>OpenAI</t>
        </is>
      </c>
      <c r="B3590" s="3" t="n">
        <v>2027</v>
      </c>
      <c r="C3590" s="3" t="inlineStr">
        <is>
          <t>Grid-Constrained / Efficiency-Upside</t>
        </is>
      </c>
      <c r="D3590" s="3" t="inlineStr">
        <is>
          <t>contracted_power_gw</t>
        </is>
      </c>
      <c r="E3590" s="3" t="n">
        <v>6.75</v>
      </c>
      <c r="F3590" s="3" t="inlineStr">
        <is>
          <t>GW</t>
        </is>
      </c>
      <c r="G3590" s="3" t="inlineStr">
        <is>
          <t>Fact anchor + scenario ceiling</t>
        </is>
      </c>
      <c r="H3590" s="3" t="inlineStr">
        <is>
          <t>linear interpolation between 2026 and 2030 company capacity endpoints</t>
        </is>
      </c>
      <c r="I3590" s="3" t="inlineStr">
        <is>
          <t>2030 envelope is bounded by official Stargate planned/committed capacity; 2026 and timing remain staged scenario values.</t>
        </is>
      </c>
      <c r="J3590" s="3" t="inlineStr">
        <is>
          <t>SRC_OPENAI_STARGATE_ORACLE; SRC_OPENAI_STARGATE_PROGRESS; ASSUMP_STARGATE_RAMP</t>
        </is>
      </c>
      <c r="K3590" s="3" t="inlineStr">
        <is>
          <t>ASSUMP_STARGATE_RAMP; ASSUMP_MS_OPENAI_ATTRIBUTION; ASSUMP_NUMERIC_ACCELERATOR_MIX; ASSUMP_INFERENCE_SHARE_NOT_FACT_60; ASSUMP_WORKLOAD_CLASS_MIX; ASSUMP_AGENTIC_CONTEXT_PENALTY</t>
        </is>
      </c>
      <c r="L3590" s="3" t="inlineStr">
        <is>
          <t>Company/site-level committed MW/GW, interconnect and contract disclosure.</t>
        </is>
      </c>
    </row>
    <row r="3591">
      <c r="A3591" s="3" t="inlineStr">
        <is>
          <t>OpenAI</t>
        </is>
      </c>
      <c r="B3591" s="3" t="n">
        <v>2027</v>
      </c>
      <c r="C3591" s="3" t="inlineStr">
        <is>
          <t>Grid-Constrained / Efficiency-Upside</t>
        </is>
      </c>
      <c r="D3591" s="3" t="inlineStr">
        <is>
          <t>operational_deployment_share</t>
        </is>
      </c>
      <c r="E3591" s="3" t="n">
        <v>0.39511111</v>
      </c>
      <c r="F3591" s="3" t="inlineStr">
        <is>
          <t>share</t>
        </is>
      </c>
      <c r="G3591" s="3" t="inlineStr">
        <is>
          <t>Scenario conversion</t>
        </is>
      </c>
      <c r="H3591" s="3" t="inlineStr">
        <is>
          <t>active_power_gw / contracted_power_gw</t>
        </is>
      </c>
      <c r="I3591" s="3" t="inlineStr">
        <is>
          <t>This is the single explicit conversion from contracted/attributed capacity to operationally usable capacity.</t>
        </is>
      </c>
      <c r="J3591" s="3" t="inlineStr">
        <is>
          <t>SRC_OPENAI_STARGATE_ORACLE; SRC_OPENAI_STARGATE_PROGRESS; ASSUMP_STARGATE_RAMP</t>
        </is>
      </c>
      <c r="K3591" s="3" t="inlineStr">
        <is>
          <t>ASSUMP_STARGATE_RAMP; ASSUMP_MS_OPENAI_ATTRIBUTION; ASSUMP_NUMERIC_ACCELERATOR_MIX; ASSUMP_INFERENCE_SHARE_NOT_FACT_60; ASSUMP_WORKLOAD_CLASS_MIX; ASSUMP_AGENTIC_CONTEXT_PENALTY</t>
        </is>
      </c>
      <c r="L3591" s="3" t="inlineStr">
        <is>
          <t>Energized operational capacity divided by contracted/attributed capacity.</t>
        </is>
      </c>
    </row>
    <row r="3592">
      <c r="A3592" s="3" t="inlineStr">
        <is>
          <t>OpenAI</t>
        </is>
      </c>
      <c r="B3592" s="3" t="n">
        <v>2027</v>
      </c>
      <c r="C3592" s="3" t="inlineStr">
        <is>
          <t>Grid-Constrained / Efficiency-Upside</t>
        </is>
      </c>
      <c r="D3592" s="3" t="inlineStr">
        <is>
          <t>active_power_gw</t>
        </is>
      </c>
      <c r="E3592" s="3" t="n">
        <v>2.667</v>
      </c>
      <c r="F3592" s="3" t="inlineStr">
        <is>
          <t>GW</t>
        </is>
      </c>
      <c r="G3592" s="3" t="inlineStr">
        <is>
          <t>Derived scenario</t>
        </is>
      </c>
      <c r="H3592" s="3" t="inlineStr">
        <is>
          <t>contracted_power_gw * operational_deployment_share</t>
        </is>
      </c>
      <c r="I3592" s="3" t="inlineStr">
        <is>
          <t>Official capacity announcements are converted to active GW only through energization/GPU-deployment ramp assumptions.</t>
        </is>
      </c>
      <c r="J3592" s="3" t="inlineStr">
        <is>
          <t>SRC_OPENAI_STARGATE_ORACLE; SRC_OPENAI_STARGATE_PROGRESS; ASSUMP_STARGATE_RAMP</t>
        </is>
      </c>
      <c r="K3592" s="3" t="inlineStr">
        <is>
          <t>ASSUMP_STARGATE_RAMP; ASSUMP_MS_OPENAI_ATTRIBUTION; ASSUMP_NUMERIC_ACCELERATOR_MIX; ASSUMP_INFERENCE_SHARE_NOT_FACT_60; ASSUMP_WORKLOAD_CLASS_MIX; ASSUMP_AGENTIC_CONTEXT_PENALTY</t>
        </is>
      </c>
      <c r="L3592" s="3" t="inlineStr">
        <is>
          <t>Energization dates, accelerator deliveries and operational powered-rack telemetry.</t>
        </is>
      </c>
    </row>
    <row r="3593">
      <c r="A3593" s="3" t="inlineStr">
        <is>
          <t>OpenAI</t>
        </is>
      </c>
      <c r="B3593" s="3" t="n">
        <v>2027</v>
      </c>
      <c r="C3593" s="3" t="inlineStr">
        <is>
          <t>Grid-Constrained / Efficiency-Upside</t>
        </is>
      </c>
      <c r="D3593" s="3" t="inlineStr">
        <is>
          <t>pue</t>
        </is>
      </c>
      <c r="E3593" s="3" t="n">
        <v>1.2</v>
      </c>
      <c r="F3593" s="3" t="inlineStr">
        <is>
          <t>ratio</t>
        </is>
      </c>
      <c r="G3593" s="3" t="inlineStr">
        <is>
          <t>Scenario parameter</t>
        </is>
      </c>
      <c r="H3593" s="3" t="inlineStr">
        <is>
          <t>it_load_gw = active_power_gw / pue</t>
        </is>
      </c>
      <c r="I3593" s="3" t="inlineStr">
        <is>
          <t>No provider-wide site-level PUE is used as a disclosed fact; PUE represents facility-to-IT conversion within the scenario.</t>
        </is>
      </c>
      <c r="J3593" s="3" t="inlineStr">
        <is>
          <t>ASSUMP_POWER_RAMP</t>
        </is>
      </c>
      <c r="K3593" s="3" t="inlineStr">
        <is>
          <t>ASSUMP_STARGATE_RAMP; ASSUMP_MS_OPENAI_ATTRIBUTION; ASSUMP_NUMERIC_ACCELERATOR_MIX; ASSUMP_INFERENCE_SHARE_NOT_FACT_60; ASSUMP_WORKLOAD_CLASS_MIX; ASSUMP_AGENTIC_CONTEXT_PENALTY</t>
        </is>
      </c>
      <c r="L3593" s="3" t="inlineStr">
        <is>
          <t>Site-level measured PUE matched to attributed AI capacity.</t>
        </is>
      </c>
    </row>
    <row r="3594">
      <c r="A3594" s="3" t="inlineStr">
        <is>
          <t>OpenAI</t>
        </is>
      </c>
      <c r="B3594" s="3" t="n">
        <v>2027</v>
      </c>
      <c r="C3594" s="3" t="inlineStr">
        <is>
          <t>Grid-Constrained / Efficiency-Upside</t>
        </is>
      </c>
      <c r="D3594" s="3" t="inlineStr">
        <is>
          <t>it_load_gw</t>
        </is>
      </c>
      <c r="E3594" s="3" t="n">
        <v>2.223</v>
      </c>
      <c r="F3594" s="3" t="inlineStr">
        <is>
          <t>GW</t>
        </is>
      </c>
      <c r="G3594" s="3" t="inlineStr">
        <is>
          <t>Derived formula</t>
        </is>
      </c>
      <c r="H3594" s="3" t="inlineStr">
        <is>
          <t>active_power_gw / pue</t>
        </is>
      </c>
      <c r="I3594" s="3" t="inlineStr">
        <is>
          <t>Facility power is converted to IT-deliverable power before attributing AI workloads.</t>
        </is>
      </c>
      <c r="J3594" s="3" t="inlineStr">
        <is>
          <t>SRC_OPENAI_STARGATE_ORACLE; SRC_OPENAI_STARGATE_PROGRESS; ASSUMP_STARGATE_RAMP</t>
        </is>
      </c>
      <c r="K3594" s="3" t="inlineStr">
        <is>
          <t>ASSUMP_STARGATE_RAMP; ASSUMP_MS_OPENAI_ATTRIBUTION; ASSUMP_NUMERIC_ACCELERATOR_MIX; ASSUMP_INFERENCE_SHARE_NOT_FACT_60; ASSUMP_WORKLOAD_CLASS_MIX; ASSUMP_AGENTIC_CONTEXT_PENALTY</t>
        </is>
      </c>
      <c r="L3594" s="3" t="inlineStr">
        <is>
          <t>Recompute once active power and PUE become site-observable.</t>
        </is>
      </c>
    </row>
    <row r="3595">
      <c r="A3595" s="3" t="inlineStr">
        <is>
          <t>OpenAI</t>
        </is>
      </c>
      <c r="B3595" s="3" t="n">
        <v>2027</v>
      </c>
      <c r="C3595" s="3" t="inlineStr">
        <is>
          <t>Grid-Constrained / Efficiency-Upside</t>
        </is>
      </c>
      <c r="D3595" s="3" t="inlineStr">
        <is>
          <t>ai_workload_share</t>
        </is>
      </c>
      <c r="E3595" s="3" t="n">
        <v>0.88</v>
      </c>
      <c r="F3595" s="3" t="inlineStr">
        <is>
          <t>share</t>
        </is>
      </c>
      <c r="G3595" s="3" t="inlineStr">
        <is>
          <t>Scenario allocation</t>
        </is>
      </c>
      <c r="H3595" s="3" t="inlineStr">
        <is>
          <t>ai_it_load_gw = it_load_gw * ai_workload_share</t>
        </is>
      </c>
      <c r="I3595" s="3" t="inlineStr">
        <is>
          <t>Stargate capacity is AI-oriented but includes reserve, platform and non-token AI activity; 88% is a scenario.</t>
        </is>
      </c>
      <c r="J3595" s="3" t="inlineStr">
        <is>
          <t>SRC_OPENAI_GPT41_DOCS; SRC_OPENAI_STARGATE_ORACLE; SRC_OPENAI_STARGATE_PROGRESS; SRC_EPOCH_AI_DATA_CENTERS</t>
        </is>
      </c>
      <c r="K3595" s="3" t="inlineStr">
        <is>
          <t>ASSUMP_STARGATE_RAMP; ASSUMP_MS_OPENAI_ATTRIBUTION; ASSUMP_NUMERIC_ACCELERATOR_MIX; ASSUMP_INFERENCE_SHARE_NOT_FACT_60; ASSUMP_WORKLOAD_CLASS_MIX; ASSUMP_AGENTIC_CONTEXT_PENALTY</t>
        </is>
      </c>
      <c r="L3595" s="3" t="inlineStr">
        <is>
          <t>Model-owner AI workload allocation or cluster scheduling telemetry.</t>
        </is>
      </c>
    </row>
    <row r="3596">
      <c r="A3596" s="3" t="inlineStr">
        <is>
          <t>OpenAI</t>
        </is>
      </c>
      <c r="B3596" s="3" t="n">
        <v>2027</v>
      </c>
      <c r="C3596" s="3" t="inlineStr">
        <is>
          <t>Grid-Constrained / Efficiency-Upside</t>
        </is>
      </c>
      <c r="D3596" s="3" t="inlineStr">
        <is>
          <t>ai_it_load_gw</t>
        </is>
      </c>
      <c r="E3596" s="3" t="n">
        <v>1.956</v>
      </c>
      <c r="F3596" s="3" t="inlineStr">
        <is>
          <t>GW</t>
        </is>
      </c>
      <c r="G3596" s="3" t="inlineStr">
        <is>
          <t>Derived formula</t>
        </is>
      </c>
      <c r="H3596" s="3" t="inlineStr">
        <is>
          <t>it_load_gw * ai_workload_share</t>
        </is>
      </c>
      <c r="I3596" s="3" t="inlineStr">
        <is>
          <t>Only the AI-attributed portion of IT load enters training/inference allocation.</t>
        </is>
      </c>
      <c r="J3596" s="3" t="inlineStr">
        <is>
          <t>SRC_OPENAI_GPT41_DOCS; SRC_OPENAI_STARGATE_ORACLE; SRC_OPENAI_STARGATE_PROGRESS; SRC_EPOCH_AI_DATA_CENTERS</t>
        </is>
      </c>
      <c r="K3596" s="3" t="inlineStr">
        <is>
          <t>ASSUMP_STARGATE_RAMP; ASSUMP_MS_OPENAI_ATTRIBUTION; ASSUMP_NUMERIC_ACCELERATOR_MIX; ASSUMP_INFERENCE_SHARE_NOT_FACT_60; ASSUMP_WORKLOAD_CLASS_MIX; ASSUMP_AGENTIC_CONTEXT_PENALTY</t>
        </is>
      </c>
      <c r="L3596" s="3" t="inlineStr">
        <is>
          <t>Recompute after ai_workload_share is replaced by telemetry.</t>
        </is>
      </c>
    </row>
    <row r="3597">
      <c r="A3597" s="3" t="inlineStr">
        <is>
          <t>OpenAI</t>
        </is>
      </c>
      <c r="B3597" s="3" t="n">
        <v>2027</v>
      </c>
      <c r="C3597" s="3" t="inlineStr">
        <is>
          <t>Grid-Constrained / Efficiency-Upside</t>
        </is>
      </c>
      <c r="D3597" s="3" t="inlineStr">
        <is>
          <t>gpu_share</t>
        </is>
      </c>
      <c r="E3597" s="3" t="n">
        <v>1</v>
      </c>
      <c r="F3597" s="3" t="inlineStr">
        <is>
          <t>share of inference-serving accelerator load</t>
        </is>
      </c>
      <c r="G3597" s="3" t="inlineStr">
        <is>
          <t>Numeric scenario</t>
        </is>
      </c>
      <c r="H3597" s="3" t="inlineStr">
        <is>
          <t>gpu_share interpolated from company 2026/2030 accelerator-mix endpoints</t>
        </is>
      </c>
      <c r="I3597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597" s="3" t="inlineStr">
        <is>
          <t>SRC_OPENAI_GPT41_DOCS; SRC_OPENAI_STARGATE_ORACLE; SRC_OPENAI_STARGATE_PROGRESS; SRC_EPOCH_AI_DATA_CENTERS; ASSUMP_NUMERIC_ACCELERATOR_MIX</t>
        </is>
      </c>
      <c r="K3597" s="3" t="inlineStr">
        <is>
          <t>ASSUMP_STARGATE_RAMP; ASSUMP_MS_OPENAI_ATTRIBUTION; ASSUMP_NUMERIC_ACCELERATOR_MIX; ASSUMP_INFERENCE_SHARE_NOT_FACT_60; ASSUMP_WORKLOAD_CLASS_MIX; ASSUMP_AGENTIC_CONTEXT_PENALTY</t>
        </is>
      </c>
      <c r="L3597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598">
      <c r="A3598" s="3" t="inlineStr">
        <is>
          <t>OpenAI</t>
        </is>
      </c>
      <c r="B3598" s="3" t="n">
        <v>2027</v>
      </c>
      <c r="C3598" s="3" t="inlineStr">
        <is>
          <t>Grid-Constrained / Efficiency-Upside</t>
        </is>
      </c>
      <c r="D3598" s="3" t="inlineStr">
        <is>
          <t>h200_share</t>
        </is>
      </c>
      <c r="E3598" s="3" t="n">
        <v>0.07041</v>
      </c>
      <c r="F3598" s="3" t="inlineStr">
        <is>
          <t>share of inference-serving accelerator load</t>
        </is>
      </c>
      <c r="G3598" s="3" t="inlineStr">
        <is>
          <t>Editable numeric scenario</t>
        </is>
      </c>
      <c r="H3598" s="3" t="inlineStr">
        <is>
          <t>h200_share = gpu_share * default_gpu_generation_mix_h200</t>
        </is>
      </c>
      <c r="I3598" s="3" t="inlineStr">
        <is>
          <t>Default GPU-generation migration assumption; executive workbook allows later manual replacement by company/year/scenario.</t>
        </is>
      </c>
      <c r="J3598" s="3" t="inlineStr">
        <is>
          <t>SRC_SEMIANALYSIS_INFERENCEX; ASSUMP_NUMERIC_ACCELERATOR_MIX</t>
        </is>
      </c>
      <c r="K3598" s="3" t="inlineStr">
        <is>
          <t>ASSUMP_STARGATE_RAMP; ASSUMP_MS_OPENAI_ATTRIBUTION; ASSUMP_NUMERIC_ACCELERATOR_MIX; ASSUMP_INFERENCE_SHARE_NOT_FACT_60; ASSUMP_WORKLOAD_CLASS_MIX; ASSUMP_AGENTIC_CONTEXT_PENALTY</t>
        </is>
      </c>
      <c r="L3598" s="3" t="inlineStr">
        <is>
          <t>Company fleet inventory, accelerator-hours or procurement/deployment records by GPU generation.</t>
        </is>
      </c>
    </row>
    <row r="3599">
      <c r="A3599" s="3" t="inlineStr">
        <is>
          <t>OpenAI</t>
        </is>
      </c>
      <c r="B3599" s="3" t="n">
        <v>2027</v>
      </c>
      <c r="C3599" s="3" t="inlineStr">
        <is>
          <t>Grid-Constrained / Efficiency-Upside</t>
        </is>
      </c>
      <c r="D3599" s="3" t="inlineStr">
        <is>
          <t>b200_share</t>
        </is>
      </c>
      <c r="E3599" s="3" t="n">
        <v>0.92959</v>
      </c>
      <c r="F3599" s="3" t="inlineStr">
        <is>
          <t>share of inference-serving accelerator load</t>
        </is>
      </c>
      <c r="G3599" s="3" t="inlineStr">
        <is>
          <t>Editable numeric scenario</t>
        </is>
      </c>
      <c r="H3599" s="3" t="inlineStr">
        <is>
          <t>b200_share = gpu_share * default_gpu_generation_mix_b200</t>
        </is>
      </c>
      <c r="I3599" s="3" t="inlineStr">
        <is>
          <t>Default GPU-generation migration assumption; executive workbook allows later manual replacement by company/year/scenario.</t>
        </is>
      </c>
      <c r="J3599" s="3" t="inlineStr">
        <is>
          <t>SRC_SEMIANALYSIS_INFERENCEX; ASSUMP_NUMERIC_ACCELERATOR_MIX</t>
        </is>
      </c>
      <c r="K3599" s="3" t="inlineStr">
        <is>
          <t>ASSUMP_STARGATE_RAMP; ASSUMP_MS_OPENAI_ATTRIBUTION; ASSUMP_NUMERIC_ACCELERATOR_MIX; ASSUMP_INFERENCE_SHARE_NOT_FACT_60; ASSUMP_WORKLOAD_CLASS_MIX; ASSUMP_AGENTIC_CONTEXT_PENALTY</t>
        </is>
      </c>
      <c r="L3599" s="3" t="inlineStr">
        <is>
          <t>Company fleet inventory, accelerator-hours or procurement/deployment records by GPU generation.</t>
        </is>
      </c>
    </row>
    <row r="3600">
      <c r="A3600" s="3" t="inlineStr">
        <is>
          <t>OpenAI</t>
        </is>
      </c>
      <c r="B3600" s="3" t="n">
        <v>2027</v>
      </c>
      <c r="C3600" s="3" t="inlineStr">
        <is>
          <t>Grid-Constrained / Efficiency-Upside</t>
        </is>
      </c>
      <c r="D3600" s="3" t="inlineStr">
        <is>
          <t>gb200_share</t>
        </is>
      </c>
      <c r="E3600" s="3" t="n">
        <v>0</v>
      </c>
      <c r="F3600" s="3" t="inlineStr">
        <is>
          <t>share of inference-serving accelerator load</t>
        </is>
      </c>
      <c r="G3600" s="3" t="inlineStr">
        <is>
          <t>Editable numeric scenario</t>
        </is>
      </c>
      <c r="H3600" s="3" t="inlineStr">
        <is>
          <t>gb200_share = gpu_share * default_gpu_generation_mix_gb200</t>
        </is>
      </c>
      <c r="I3600" s="3" t="inlineStr">
        <is>
          <t>Default GPU-generation migration assumption; executive workbook allows later manual replacement by company/year/scenario.</t>
        </is>
      </c>
      <c r="J3600" s="3" t="inlineStr">
        <is>
          <t>SRC_SEMIANALYSIS_INFERENCEX; ASSUMP_NUMERIC_ACCELERATOR_MIX</t>
        </is>
      </c>
      <c r="K3600" s="3" t="inlineStr">
        <is>
          <t>ASSUMP_STARGATE_RAMP; ASSUMP_MS_OPENAI_ATTRIBUTION; ASSUMP_NUMERIC_ACCELERATOR_MIX; ASSUMP_INFERENCE_SHARE_NOT_FACT_60; ASSUMP_WORKLOAD_CLASS_MIX; ASSUMP_AGENTIC_CONTEXT_PENALTY</t>
        </is>
      </c>
      <c r="L3600" s="3" t="inlineStr">
        <is>
          <t>Company fleet inventory, accelerator-hours or procurement/deployment records by GPU generation.</t>
        </is>
      </c>
    </row>
    <row r="3601">
      <c r="A3601" s="3" t="inlineStr">
        <is>
          <t>OpenAI</t>
        </is>
      </c>
      <c r="B3601" s="3" t="n">
        <v>2027</v>
      </c>
      <c r="C3601" s="3" t="inlineStr">
        <is>
          <t>Grid-Constrained / Efficiency-Upside</t>
        </is>
      </c>
      <c r="D3601" s="3" t="inlineStr">
        <is>
          <t>purpose_built_accelerator_share</t>
        </is>
      </c>
      <c r="E3601" s="3" t="n">
        <v>0</v>
      </c>
      <c r="F3601" s="3" t="inlineStr">
        <is>
          <t>share of inference-serving accelerator load</t>
        </is>
      </c>
      <c r="G3601" s="3" t="inlineStr">
        <is>
          <t>Numeric scenario</t>
        </is>
      </c>
      <c r="H3601" s="3" t="inlineStr">
        <is>
          <t>1 - gpu_share</t>
        </is>
      </c>
      <c r="I3601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01" s="3" t="inlineStr">
        <is>
          <t>SRC_OPENAI_GPT41_DOCS; SRC_OPENAI_STARGATE_ORACLE; SRC_OPENAI_STARGATE_PROGRESS; SRC_EPOCH_AI_DATA_CENTERS; ASSUMP_NUMERIC_ACCELERATOR_MIX</t>
        </is>
      </c>
      <c r="K3601" s="3" t="inlineStr">
        <is>
          <t>ASSUMP_STARGATE_RAMP; ASSUMP_MS_OPENAI_ATTRIBUTION; ASSUMP_NUMERIC_ACCELERATOR_MIX; ASSUMP_INFERENCE_SHARE_NOT_FACT_60; ASSUMP_WORKLOAD_CLASS_MIX; ASSUMP_AGENTIC_CONTEXT_PENALTY</t>
        </is>
      </c>
      <c r="L3601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02">
      <c r="A3602" s="3" t="inlineStr">
        <is>
          <t>OpenAI</t>
        </is>
      </c>
      <c r="B3602" s="3" t="n">
        <v>2027</v>
      </c>
      <c r="C3602" s="3" t="inlineStr">
        <is>
          <t>Grid-Constrained / Efficiency-Upside</t>
        </is>
      </c>
      <c r="D3602" s="3" t="inlineStr">
        <is>
          <t>fleet_reference_tps_per_mw</t>
        </is>
      </c>
      <c r="E3602" s="3" t="n">
        <v>202516</v>
      </c>
      <c r="F3602" s="3" t="inlineStr">
        <is>
          <t>generated output tokens/sec/MW</t>
        </is>
      </c>
      <c r="G3602" s="3" t="inlineStr">
        <is>
          <t>Fleet-weighted public benchmark reference</t>
        </is>
      </c>
      <c r="H3602" s="3" t="inlineStr">
        <is>
          <t>h200_share*h200_workload_avg + b200_share*b200_workload_avg + gb200_share*gb200_workload_avg + purpose_built_share*purpose_workload_avg</t>
        </is>
      </c>
      <c r="I3602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02" s="3" t="inlineStr">
        <is>
          <t>SRC_SEMIANALYSIS_INFERENCEX; ASSUMP_NUMERIC_ACCELERATOR_MIX; ASSUMP_WORKLOAD_CLASS_MIX; ASSUMP_AGENTIC_CONTEXT_PENALTY</t>
        </is>
      </c>
      <c r="K3602" s="3" t="inlineStr">
        <is>
          <t>ASSUMP_STARGATE_RAMP; ASSUMP_MS_OPENAI_ATTRIBUTION; ASSUMP_NUMERIC_ACCELERATOR_MIX; ASSUMP_INFERENCE_SHARE_NOT_FACT_60; ASSUMP_WORKLOAD_CLASS_MIX; ASSUMP_AGENTIC_CONTEXT_PENALTY</t>
        </is>
      </c>
      <c r="L3602" s="3" t="inlineStr">
        <is>
          <t>Comparable production output-token throughput or a more closely matched benchmark.</t>
        </is>
      </c>
    </row>
    <row r="3603">
      <c r="A3603" s="3" t="inlineStr">
        <is>
          <t>OpenAI</t>
        </is>
      </c>
      <c r="B3603" s="3" t="n">
        <v>2027</v>
      </c>
      <c r="C3603" s="3" t="inlineStr">
        <is>
          <t>Grid-Constrained / Efficiency-Upside</t>
        </is>
      </c>
      <c r="D3603" s="3" t="inlineStr">
        <is>
          <t>commercial_workload_fit_factor</t>
        </is>
      </c>
      <c r="E3603" s="3" t="n">
        <v>0.5</v>
      </c>
      <c r="F3603" s="3" t="inlineStr">
        <is>
          <t>share of public reference throughput</t>
        </is>
      </c>
      <c r="G3603" s="3" t="inlineStr">
        <is>
          <t>Scenario assumption</t>
        </is>
      </c>
      <c r="H3603" s="3" t="inlineStr">
        <is>
          <t>reference_serving_tps_per_mw = fleet_reference_tps_per_mw * commercial_workload_fit_factor</t>
        </is>
      </c>
      <c r="I3603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03" s="3" t="inlineStr">
        <is>
          <t>SRC_SEMIANALYSIS_INFERENCEX; ASSUMP_NUMERIC_ACCELERATOR_MIX; ASSUMP_WORKLOAD_CLASS_MIX; ASSUMP_AGENTIC_CONTEXT_PENALTY</t>
        </is>
      </c>
      <c r="K3603" s="3" t="inlineStr">
        <is>
          <t>ASSUMP_STARGATE_RAMP; ASSUMP_MS_OPENAI_ATTRIBUTION; ASSUMP_NUMERIC_ACCELERATOR_MIX; ASSUMP_INFERENCE_SHARE_NOT_FACT_60; ASSUMP_WORKLOAD_CLASS_MIX; ASSUMP_AGENTIC_CONTEXT_PENALTY</t>
        </is>
      </c>
      <c r="L3603" s="3" t="inlineStr">
        <is>
          <t>Matched commercial serving benchmark by product surface, context shape and latency SLO.</t>
        </is>
      </c>
    </row>
    <row r="3604">
      <c r="A3604" s="3" t="inlineStr">
        <is>
          <t>OpenAI</t>
        </is>
      </c>
      <c r="B3604" s="3" t="n">
        <v>2027</v>
      </c>
      <c r="C3604" s="3" t="inlineStr">
        <is>
          <t>Grid-Constrained / Efficiency-Upside</t>
        </is>
      </c>
      <c r="D3604" s="3" t="inlineStr">
        <is>
          <t>reference_serving_tps_per_mw</t>
        </is>
      </c>
      <c r="E3604" s="3" t="n">
        <v>101258</v>
      </c>
      <c r="F3604" s="3" t="inlineStr">
        <is>
          <t>generated output tokens/sec/MW</t>
        </is>
      </c>
      <c r="G3604" s="3" t="inlineStr">
        <is>
          <t>Workload-adjusted benchmark proxy</t>
        </is>
      </c>
      <c r="H3604" s="3" t="inlineStr">
        <is>
          <t>fleet_reference_tps_per_mw * commercial_workload_fit_factor</t>
        </is>
      </c>
      <c r="I3604" s="3" t="inlineStr">
        <is>
          <t>This is the coefficient used for headline token generation; each GPU's short chat, long chat and agentic TPS/MW are weighted before fleet mix and commercial fit are applied.</t>
        </is>
      </c>
      <c r="J3604" s="3" t="inlineStr">
        <is>
          <t>SRC_SEMIANALYSIS_INFERENCEX; ASSUMP_NUMERIC_ACCELERATOR_MIX; ASSUMP_WORKLOAD_CLASS_MIX; ASSUMP_AGENTIC_CONTEXT_PENALTY</t>
        </is>
      </c>
      <c r="K3604" s="3" t="inlineStr">
        <is>
          <t>ASSUMP_STARGATE_RAMP; ASSUMP_MS_OPENAI_ATTRIBUTION; ASSUMP_NUMERIC_ACCELERATOR_MIX; ASSUMP_INFERENCE_SHARE_NOT_FACT_60; ASSUMP_WORKLOAD_CLASS_MIX; ASSUMP_AGENTIC_CONTEXT_PENALTY</t>
        </is>
      </c>
      <c r="L3604" s="3" t="inlineStr">
        <is>
          <t>Provider production output-token throughput with comparable workload/SLO.</t>
        </is>
      </c>
    </row>
    <row r="3605">
      <c r="A3605" s="3" t="inlineStr">
        <is>
          <t>OpenAI</t>
        </is>
      </c>
      <c r="B3605" s="3" t="n">
        <v>2027</v>
      </c>
      <c r="C3605" s="3" t="inlineStr">
        <is>
          <t>Grid-Constrained / Efficiency-Upside</t>
        </is>
      </c>
      <c r="D3605" s="3" t="inlineStr">
        <is>
          <t>purpose_built_tps_per_mw</t>
        </is>
      </c>
      <c r="E3605" s="3" t="n">
        <v>67653</v>
      </c>
      <c r="F3605" s="3" t="inlineStr">
        <is>
          <t>generated output tokens/sec/MW</t>
        </is>
      </c>
      <c r="G3605" s="3" t="inlineStr">
        <is>
          <t>Conservative no-uplift proxy</t>
        </is>
      </c>
      <c r="H3605" s="3" t="inlineStr">
        <is>
          <t>purpose_built_tps_per_mw = purpose_built_reference_tps_per_mw * commercial_workload_fit_factor until comparable output-token benchmark is adopted</t>
        </is>
      </c>
      <c r="I3605" s="3" t="inlineStr">
        <is>
          <t>No comparable public output-token/MW row adopted; B200 public reference placeholder is used and remains editable.</t>
        </is>
      </c>
      <c r="J3605" s="3" t="inlineStr">
        <is>
          <t>SRC_OPENAI_GPT41_DOCS; SRC_OPENAI_STARGATE_ORACLE; SRC_OPENAI_STARGATE_PROGRESS; SRC_EPOCH_AI_DATA_CENTERS; ASSUMP_NUMERIC_ACCELERATOR_MIX</t>
        </is>
      </c>
      <c r="K3605" s="3" t="inlineStr">
        <is>
          <t>ASSUMP_STARGATE_RAMP; ASSUMP_MS_OPENAI_ATTRIBUTION; ASSUMP_NUMERIC_ACCELERATOR_MIX; ASSUMP_INFERENCE_SHARE_NOT_FACT_60; ASSUMP_WORKLOAD_CLASS_MIX; ASSUMP_AGENTIC_CONTEXT_PENALTY</t>
        </is>
      </c>
      <c r="L3605" s="3" t="inlineStr">
        <is>
          <t>Matched-workload generated-output benchmark for the provider purpose-built accelerator.</t>
        </is>
      </c>
    </row>
    <row r="3606">
      <c r="A3606" s="3" t="inlineStr">
        <is>
          <t>OpenAI</t>
        </is>
      </c>
      <c r="B3606" s="3" t="n">
        <v>2027</v>
      </c>
      <c r="C3606" s="3" t="inlineStr">
        <is>
          <t>Grid-Constrained / Efficiency-Upside</t>
        </is>
      </c>
      <c r="D3606" s="3" t="inlineStr">
        <is>
          <t>inference_power_share</t>
        </is>
      </c>
      <c r="E3606" s="3" t="n">
        <v>0.655</v>
      </c>
      <c r="F3606" s="3" t="inlineStr">
        <is>
          <t>share of AI IT load</t>
        </is>
      </c>
      <c r="G3606" s="3" t="inlineStr">
        <is>
          <t>Scenario allocation</t>
        </is>
      </c>
      <c r="H3606" s="3" t="inlineStr">
        <is>
          <t>inference_gw = ai_it_load_gw * inference_power_share</t>
        </is>
      </c>
      <c r="I3606" s="3" t="inlineStr">
        <is>
          <t>ChatGPT/API/enterprise commercial surfaces support increasing inference allocation while training remains material.</t>
        </is>
      </c>
      <c r="J3606" s="3" t="inlineStr">
        <is>
          <t>SRC_OPENAI_GPT41_DOCS; SRC_OPENAI_STARGATE_ORACLE; SRC_OPENAI_STARGATE_PROGRESS; SRC_EPOCH_AI_DATA_CENTERS; ASSUMP_INFERENCE_SHARE_NOT_FACT_60</t>
        </is>
      </c>
      <c r="K3606" s="3" t="inlineStr">
        <is>
          <t>ASSUMP_STARGATE_RAMP; ASSUMP_MS_OPENAI_ATTRIBUTION; ASSUMP_NUMERIC_ACCELERATOR_MIX; ASSUMP_INFERENCE_SHARE_NOT_FACT_60; ASSUMP_WORKLOAD_CLASS_MIX; ASSUMP_AGENTIC_CONTEXT_PENALTY</t>
        </is>
      </c>
      <c r="L3606" s="3" t="inlineStr">
        <is>
          <t>Provider-specific inference/training workload power telemetry.</t>
        </is>
      </c>
    </row>
    <row r="3607">
      <c r="A3607" s="3" t="inlineStr">
        <is>
          <t>OpenAI</t>
        </is>
      </c>
      <c r="B3607" s="3" t="n">
        <v>2027</v>
      </c>
      <c r="C3607" s="3" t="inlineStr">
        <is>
          <t>Grid-Constrained / Efficiency-Upside</t>
        </is>
      </c>
      <c r="D3607" s="3" t="inlineStr">
        <is>
          <t>inference_gw</t>
        </is>
      </c>
      <c r="E3607" s="3" t="n">
        <v>1.281</v>
      </c>
      <c r="F3607" s="3" t="inlineStr">
        <is>
          <t>GW</t>
        </is>
      </c>
      <c r="G3607" s="3" t="inlineStr">
        <is>
          <t>Derived formula</t>
        </is>
      </c>
      <c r="H3607" s="3" t="inlineStr">
        <is>
          <t>ai_it_load_gw * inference_power_share</t>
        </is>
      </c>
      <c r="I3607" s="3" t="inlineStr">
        <is>
          <t>This is the operational power eligible to become commercial generated output tokens through the selected TPS/MW proxy.</t>
        </is>
      </c>
      <c r="J3607" s="3" t="inlineStr">
        <is>
          <t>SRC_OPENAI_GPT41_DOCS; SRC_OPENAI_STARGATE_ORACLE; SRC_OPENAI_STARGATE_PROGRESS; SRC_EPOCH_AI_DATA_CENTERS</t>
        </is>
      </c>
      <c r="K3607" s="3" t="inlineStr">
        <is>
          <t>ASSUMP_STARGATE_RAMP; ASSUMP_MS_OPENAI_ATTRIBUTION; ASSUMP_NUMERIC_ACCELERATOR_MIX; ASSUMP_INFERENCE_SHARE_NOT_FACT_60; ASSUMP_WORKLOAD_CLASS_MIX; ASSUMP_AGENTIC_CONTEXT_PENALTY</t>
        </is>
      </c>
      <c r="L3607" s="3" t="inlineStr">
        <is>
          <t>Recompute after AI allocation or inference-share evidence changes.</t>
        </is>
      </c>
    </row>
    <row r="3608">
      <c r="A3608" s="3" t="inlineStr">
        <is>
          <t>OpenAI</t>
        </is>
      </c>
      <c r="B3608" s="3" t="n">
        <v>2027</v>
      </c>
      <c r="C3608" s="3" t="inlineStr">
        <is>
          <t>Grid-Constrained / Efficiency-Upside</t>
        </is>
      </c>
      <c r="D3608" s="3" t="inlineStr">
        <is>
          <t>training_power_share</t>
        </is>
      </c>
      <c r="E3608" s="3" t="n">
        <v>0.345</v>
      </c>
      <c r="F3608" s="3" t="inlineStr">
        <is>
          <t>share of AI IT load</t>
        </is>
      </c>
      <c r="G3608" s="3" t="inlineStr">
        <is>
          <t>Derived allocation</t>
        </is>
      </c>
      <c r="H3608" s="3" t="inlineStr">
        <is>
          <t>1 - inference_power_share</t>
        </is>
      </c>
      <c r="I3608" s="3" t="inlineStr">
        <is>
          <t>Training receives the complementary modeled AI IT allocation; it is not a disclosed company workload split.</t>
        </is>
      </c>
      <c r="J3608" s="3" t="inlineStr">
        <is>
          <t>SRC_OPENAI_GPT41_DOCS; SRC_OPENAI_STARGATE_ORACLE; SRC_OPENAI_STARGATE_PROGRESS; SRC_EPOCH_AI_DATA_CENTERS; ASSUMP_INFERENCE_SHARE_NOT_FACT_60</t>
        </is>
      </c>
      <c r="K3608" s="3" t="inlineStr">
        <is>
          <t>ASSUMP_STARGATE_RAMP; ASSUMP_MS_OPENAI_ATTRIBUTION; ASSUMP_NUMERIC_ACCELERATOR_MIX; ASSUMP_INFERENCE_SHARE_NOT_FACT_60; ASSUMP_WORKLOAD_CLASS_MIX; ASSUMP_AGENTIC_CONTEXT_PENALTY</t>
        </is>
      </c>
      <c r="L3608" s="3" t="inlineStr">
        <is>
          <t>Provider-specific inference/training workload power telemetry.</t>
        </is>
      </c>
    </row>
    <row r="3609">
      <c r="A3609" s="3" t="inlineStr">
        <is>
          <t>OpenAI</t>
        </is>
      </c>
      <c r="B3609" s="3" t="n">
        <v>2027</v>
      </c>
      <c r="C3609" s="3" t="inlineStr">
        <is>
          <t>Grid-Constrained / Efficiency-Upside</t>
        </is>
      </c>
      <c r="D3609" s="3" t="inlineStr">
        <is>
          <t>training_gw</t>
        </is>
      </c>
      <c r="E3609" s="3" t="n">
        <v>0.675</v>
      </c>
      <c r="F3609" s="3" t="inlineStr">
        <is>
          <t>GW</t>
        </is>
      </c>
      <c r="G3609" s="3" t="inlineStr">
        <is>
          <t>Derived formula</t>
        </is>
      </c>
      <c r="H3609" s="3" t="inlineStr">
        <is>
          <t>ai_it_load_gw * training_power_share</t>
        </is>
      </c>
      <c r="I3609" s="3" t="inlineStr">
        <is>
          <t>Training GW is shown separately so commercial inference token capacity is not overstated.</t>
        </is>
      </c>
      <c r="J3609" s="3" t="inlineStr">
        <is>
          <t>SRC_OPENAI_GPT41_DOCS; SRC_OPENAI_STARGATE_ORACLE; SRC_OPENAI_STARGATE_PROGRESS; SRC_EPOCH_AI_DATA_CENTERS</t>
        </is>
      </c>
      <c r="K3609" s="3" t="inlineStr">
        <is>
          <t>ASSUMP_STARGATE_RAMP; ASSUMP_MS_OPENAI_ATTRIBUTION; ASSUMP_NUMERIC_ACCELERATOR_MIX; ASSUMP_INFERENCE_SHARE_NOT_FACT_60; ASSUMP_WORKLOAD_CLASS_MIX; ASSUMP_AGENTIC_CONTEXT_PENALTY</t>
        </is>
      </c>
      <c r="L3609" s="3" t="inlineStr">
        <is>
          <t>Recompute after AI allocation or workload-split evidence changes.</t>
        </is>
      </c>
    </row>
    <row r="3610">
      <c r="A3610" s="3" t="inlineStr">
        <is>
          <t>OpenAI</t>
        </is>
      </c>
      <c r="B3610" s="3" t="n">
        <v>2027</v>
      </c>
      <c r="C3610" s="3" t="inlineStr">
        <is>
          <t>Grid-Constrained / Efficiency-Upside</t>
        </is>
      </c>
      <c r="D3610" s="3" t="inlineStr">
        <is>
          <t>tokens_per_second_per_mw</t>
        </is>
      </c>
      <c r="E3610" s="3" t="n">
        <v>101258</v>
      </c>
      <c r="F3610" s="3" t="inlineStr">
        <is>
          <t>generated output tokens/sec/MW</t>
        </is>
      </c>
      <c r="G3610" s="3" t="inlineStr">
        <is>
          <t>Derived estimate + benchmark calibration</t>
        </is>
      </c>
      <c r="H3610" s="3" t="inlineStr">
        <is>
          <t>fleet_reference_tps_per_mw * commercial_workload_fit_factor</t>
        </is>
      </c>
      <c r="I3610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10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10" s="3" t="inlineStr">
        <is>
          <t>ASSUMP_STARGATE_RAMP; ASSUMP_MS_OPENAI_ATTRIBUTION; ASSUMP_NUMERIC_ACCELERATOR_MIX; ASSUMP_INFERENCE_SHARE_NOT_FACT_60; ASSUMP_WORKLOAD_CLASS_MIX; ASSUMP_AGENTIC_CONTEXT_PENALTY</t>
        </is>
      </c>
      <c r="L3610" s="3" t="inlineStr">
        <is>
          <t>Comparable production output-token throughput with model, hardware, precision, ISL/OSL and SLO matched.</t>
        </is>
      </c>
    </row>
    <row r="3611">
      <c r="A3611" s="3" t="inlineStr">
        <is>
          <t>OpenAI</t>
        </is>
      </c>
      <c r="B3611" s="3" t="n">
        <v>2027</v>
      </c>
      <c r="C3611" s="3" t="inlineStr">
        <is>
          <t>Grid-Constrained / Efficiency-Upside</t>
        </is>
      </c>
      <c r="D3611" s="3" t="inlineStr">
        <is>
          <t>inference_tokens_per_day</t>
        </is>
      </c>
      <c r="E3611" s="3" t="n">
        <v>11207073427200</v>
      </c>
      <c r="F3611" s="3" t="inlineStr">
        <is>
          <t>generated output tokens/day</t>
        </is>
      </c>
      <c r="G3611" s="3" t="inlineStr">
        <is>
          <t>Derived headline metric</t>
        </is>
      </c>
      <c r="H3611" s="3" t="inlineStr">
        <is>
          <t>inference_gw * 1000 * tokens_per_second_per_mw * 86,400</t>
        </is>
      </c>
      <c r="I3611" s="3" t="inlineStr">
        <is>
          <t>Headline capacity uses no utilization, MoE, architecture or software-growth multiplier; it is not observed commercial output volume.</t>
        </is>
      </c>
      <c r="J3611" s="3" t="inlineStr">
        <is>
          <t>SRC_OPENAI_GPT41_DOCS; SRC_OPENAI_STARGATE_ORACLE; SRC_OPENAI_STARGATE_PROGRESS; SRC_EPOCH_AI_DATA_CENTERS; SRC_SEMIANALYSIS_INFERENCEX</t>
        </is>
      </c>
      <c r="K3611" s="3" t="inlineStr">
        <is>
          <t>ASSUMP_STARGATE_RAMP; ASSUMP_MS_OPENAI_ATTRIBUTION; ASSUMP_NUMERIC_ACCELERATOR_MIX; ASSUMP_INFERENCE_SHARE_NOT_FACT_60; ASSUMP_WORKLOAD_CLASS_MIX; ASSUMP_AGENTIC_CONTEXT_PENALTY</t>
        </is>
      </c>
      <c r="L3611" s="3" t="inlineStr">
        <is>
          <t>Provider-disclosed generated output token volume or calibrated capacity telemetry.</t>
        </is>
      </c>
    </row>
    <row r="3612">
      <c r="A3612" s="3" t="inlineStr">
        <is>
          <t>OpenAI</t>
        </is>
      </c>
      <c r="B3612" s="3" t="n">
        <v>2027</v>
      </c>
      <c r="C3612" s="3" t="inlineStr">
        <is>
          <t>Grid-Constrained / Efficiency-Upside</t>
        </is>
      </c>
      <c r="D3612" s="3" t="inlineStr">
        <is>
          <t>inference_tokens_per_year</t>
        </is>
      </c>
      <c r="E3612" s="3" t="n">
        <v>4090581800928000</v>
      </c>
      <c r="F3612" s="3" t="inlineStr">
        <is>
          <t>generated output tokens/year</t>
        </is>
      </c>
      <c r="G3612" s="3" t="inlineStr">
        <is>
          <t>Derived headline metric</t>
        </is>
      </c>
      <c r="H3612" s="3" t="inlineStr">
        <is>
          <t>inference_tokens_per_day * 365</t>
        </is>
      </c>
      <c r="I3612" s="3" t="inlineStr">
        <is>
          <t>Annualized version of generated output token capacity; it is not observed annual demand or billable volume.</t>
        </is>
      </c>
      <c r="J3612" s="3" t="inlineStr">
        <is>
          <t>SRC_OPENAI_GPT41_DOCS; SRC_OPENAI_STARGATE_ORACLE; SRC_OPENAI_STARGATE_PROGRESS; SRC_EPOCH_AI_DATA_CENTERS; SRC_SEMIANALYSIS_INFERENCEX</t>
        </is>
      </c>
      <c r="K3612" s="3" t="inlineStr">
        <is>
          <t>ASSUMP_STARGATE_RAMP; ASSUMP_MS_OPENAI_ATTRIBUTION; ASSUMP_NUMERIC_ACCELERATOR_MIX; ASSUMP_INFERENCE_SHARE_NOT_FACT_60; ASSUMP_WORKLOAD_CLASS_MIX; ASSUMP_AGENTIC_CONTEXT_PENALTY</t>
        </is>
      </c>
      <c r="L3612" s="3" t="inlineStr">
        <is>
          <t>Provider-disclosed annual generated-output volume or metered serving telemetry.</t>
        </is>
      </c>
    </row>
    <row r="3613">
      <c r="A3613" s="3" t="inlineStr">
        <is>
          <t>OpenAI</t>
        </is>
      </c>
      <c r="B3613" s="3" t="n">
        <v>2028</v>
      </c>
      <c r="C3613" s="3" t="inlineStr">
        <is>
          <t>Grid-Constrained / Efficiency-Upside</t>
        </is>
      </c>
      <c r="D3613" s="3" t="inlineStr">
        <is>
          <t>contracted_power_gw</t>
        </is>
      </c>
      <c r="E3613" s="3" t="n">
        <v>8.5</v>
      </c>
      <c r="F3613" s="3" t="inlineStr">
        <is>
          <t>GW</t>
        </is>
      </c>
      <c r="G3613" s="3" t="inlineStr">
        <is>
          <t>Fact anchor + scenario ceiling</t>
        </is>
      </c>
      <c r="H3613" s="3" t="inlineStr">
        <is>
          <t>linear interpolation between 2026 and 2030 company capacity endpoints</t>
        </is>
      </c>
      <c r="I3613" s="3" t="inlineStr">
        <is>
          <t>2030 envelope is bounded by official Stargate planned/committed capacity; 2026 and timing remain staged scenario values.</t>
        </is>
      </c>
      <c r="J3613" s="3" t="inlineStr">
        <is>
          <t>SRC_OPENAI_STARGATE_ORACLE; SRC_OPENAI_STARGATE_PROGRESS; ASSUMP_STARGATE_RAMP</t>
        </is>
      </c>
      <c r="K3613" s="3" t="inlineStr">
        <is>
          <t>ASSUMP_STARGATE_RAMP; ASSUMP_MS_OPENAI_ATTRIBUTION; ASSUMP_NUMERIC_ACCELERATOR_MIX; ASSUMP_INFERENCE_SHARE_NOT_FACT_60; ASSUMP_WORKLOAD_CLASS_MIX; ASSUMP_AGENTIC_CONTEXT_PENALTY</t>
        </is>
      </c>
      <c r="L3613" s="3" t="inlineStr">
        <is>
          <t>Company/site-level committed MW/GW, interconnect and contract disclosure.</t>
        </is>
      </c>
    </row>
    <row r="3614">
      <c r="A3614" s="3" t="inlineStr">
        <is>
          <t>OpenAI</t>
        </is>
      </c>
      <c r="B3614" s="3" t="n">
        <v>2028</v>
      </c>
      <c r="C3614" s="3" t="inlineStr">
        <is>
          <t>Grid-Constrained / Efficiency-Upside</t>
        </is>
      </c>
      <c r="D3614" s="3" t="inlineStr">
        <is>
          <t>operational_deployment_share</t>
        </is>
      </c>
      <c r="E3614" s="3" t="n">
        <v>0.46588235</v>
      </c>
      <c r="F3614" s="3" t="inlineStr">
        <is>
          <t>share</t>
        </is>
      </c>
      <c r="G3614" s="3" t="inlineStr">
        <is>
          <t>Scenario conversion</t>
        </is>
      </c>
      <c r="H3614" s="3" t="inlineStr">
        <is>
          <t>active_power_gw / contracted_power_gw</t>
        </is>
      </c>
      <c r="I3614" s="3" t="inlineStr">
        <is>
          <t>This is the single explicit conversion from contracted/attributed capacity to operationally usable capacity.</t>
        </is>
      </c>
      <c r="J3614" s="3" t="inlineStr">
        <is>
          <t>SRC_OPENAI_STARGATE_ORACLE; SRC_OPENAI_STARGATE_PROGRESS; ASSUMP_STARGATE_RAMP</t>
        </is>
      </c>
      <c r="K3614" s="3" t="inlineStr">
        <is>
          <t>ASSUMP_STARGATE_RAMP; ASSUMP_MS_OPENAI_ATTRIBUTION; ASSUMP_NUMERIC_ACCELERATOR_MIX; ASSUMP_INFERENCE_SHARE_NOT_FACT_60; ASSUMP_WORKLOAD_CLASS_MIX; ASSUMP_AGENTIC_CONTEXT_PENALTY</t>
        </is>
      </c>
      <c r="L3614" s="3" t="inlineStr">
        <is>
          <t>Energized operational capacity divided by contracted/attributed capacity.</t>
        </is>
      </c>
    </row>
    <row r="3615">
      <c r="A3615" s="3" t="inlineStr">
        <is>
          <t>OpenAI</t>
        </is>
      </c>
      <c r="B3615" s="3" t="n">
        <v>2028</v>
      </c>
      <c r="C3615" s="3" t="inlineStr">
        <is>
          <t>Grid-Constrained / Efficiency-Upside</t>
        </is>
      </c>
      <c r="D3615" s="3" t="inlineStr">
        <is>
          <t>active_power_gw</t>
        </is>
      </c>
      <c r="E3615" s="3" t="n">
        <v>3.96</v>
      </c>
      <c r="F3615" s="3" t="inlineStr">
        <is>
          <t>GW</t>
        </is>
      </c>
      <c r="G3615" s="3" t="inlineStr">
        <is>
          <t>Derived scenario</t>
        </is>
      </c>
      <c r="H3615" s="3" t="inlineStr">
        <is>
          <t>contracted_power_gw * operational_deployment_share</t>
        </is>
      </c>
      <c r="I3615" s="3" t="inlineStr">
        <is>
          <t>Official capacity announcements are converted to active GW only through energization/GPU-deployment ramp assumptions.</t>
        </is>
      </c>
      <c r="J3615" s="3" t="inlineStr">
        <is>
          <t>SRC_OPENAI_STARGATE_ORACLE; SRC_OPENAI_STARGATE_PROGRESS; ASSUMP_STARGATE_RAMP</t>
        </is>
      </c>
      <c r="K3615" s="3" t="inlineStr">
        <is>
          <t>ASSUMP_STARGATE_RAMP; ASSUMP_MS_OPENAI_ATTRIBUTION; ASSUMP_NUMERIC_ACCELERATOR_MIX; ASSUMP_INFERENCE_SHARE_NOT_FACT_60; ASSUMP_WORKLOAD_CLASS_MIX; ASSUMP_AGENTIC_CONTEXT_PENALTY</t>
        </is>
      </c>
      <c r="L3615" s="3" t="inlineStr">
        <is>
          <t>Energization dates, accelerator deliveries and operational powered-rack telemetry.</t>
        </is>
      </c>
    </row>
    <row r="3616">
      <c r="A3616" s="3" t="inlineStr">
        <is>
          <t>OpenAI</t>
        </is>
      </c>
      <c r="B3616" s="3" t="n">
        <v>2028</v>
      </c>
      <c r="C3616" s="3" t="inlineStr">
        <is>
          <t>Grid-Constrained / Efficiency-Upside</t>
        </is>
      </c>
      <c r="D3616" s="3" t="inlineStr">
        <is>
          <t>pue</t>
        </is>
      </c>
      <c r="E3616" s="3" t="n">
        <v>1.2</v>
      </c>
      <c r="F3616" s="3" t="inlineStr">
        <is>
          <t>ratio</t>
        </is>
      </c>
      <c r="G3616" s="3" t="inlineStr">
        <is>
          <t>Scenario parameter</t>
        </is>
      </c>
      <c r="H3616" s="3" t="inlineStr">
        <is>
          <t>it_load_gw = active_power_gw / pue</t>
        </is>
      </c>
      <c r="I3616" s="3" t="inlineStr">
        <is>
          <t>No provider-wide site-level PUE is used as a disclosed fact; PUE represents facility-to-IT conversion within the scenario.</t>
        </is>
      </c>
      <c r="J3616" s="3" t="inlineStr">
        <is>
          <t>ASSUMP_POWER_RAMP</t>
        </is>
      </c>
      <c r="K3616" s="3" t="inlineStr">
        <is>
          <t>ASSUMP_STARGATE_RAMP; ASSUMP_MS_OPENAI_ATTRIBUTION; ASSUMP_NUMERIC_ACCELERATOR_MIX; ASSUMP_INFERENCE_SHARE_NOT_FACT_60; ASSUMP_WORKLOAD_CLASS_MIX; ASSUMP_AGENTIC_CONTEXT_PENALTY</t>
        </is>
      </c>
      <c r="L3616" s="3" t="inlineStr">
        <is>
          <t>Site-level measured PUE matched to attributed AI capacity.</t>
        </is>
      </c>
    </row>
    <row r="3617">
      <c r="A3617" s="3" t="inlineStr">
        <is>
          <t>OpenAI</t>
        </is>
      </c>
      <c r="B3617" s="3" t="n">
        <v>2028</v>
      </c>
      <c r="C3617" s="3" t="inlineStr">
        <is>
          <t>Grid-Constrained / Efficiency-Upside</t>
        </is>
      </c>
      <c r="D3617" s="3" t="inlineStr">
        <is>
          <t>it_load_gw</t>
        </is>
      </c>
      <c r="E3617" s="3" t="n">
        <v>3.3</v>
      </c>
      <c r="F3617" s="3" t="inlineStr">
        <is>
          <t>GW</t>
        </is>
      </c>
      <c r="G3617" s="3" t="inlineStr">
        <is>
          <t>Derived formula</t>
        </is>
      </c>
      <c r="H3617" s="3" t="inlineStr">
        <is>
          <t>active_power_gw / pue</t>
        </is>
      </c>
      <c r="I3617" s="3" t="inlineStr">
        <is>
          <t>Facility power is converted to IT-deliverable power before attributing AI workloads.</t>
        </is>
      </c>
      <c r="J3617" s="3" t="inlineStr">
        <is>
          <t>SRC_OPENAI_STARGATE_ORACLE; SRC_OPENAI_STARGATE_PROGRESS; ASSUMP_STARGATE_RAMP</t>
        </is>
      </c>
      <c r="K3617" s="3" t="inlineStr">
        <is>
          <t>ASSUMP_STARGATE_RAMP; ASSUMP_MS_OPENAI_ATTRIBUTION; ASSUMP_NUMERIC_ACCELERATOR_MIX; ASSUMP_INFERENCE_SHARE_NOT_FACT_60; ASSUMP_WORKLOAD_CLASS_MIX; ASSUMP_AGENTIC_CONTEXT_PENALTY</t>
        </is>
      </c>
      <c r="L3617" s="3" t="inlineStr">
        <is>
          <t>Recompute once active power and PUE become site-observable.</t>
        </is>
      </c>
    </row>
    <row r="3618">
      <c r="A3618" s="3" t="inlineStr">
        <is>
          <t>OpenAI</t>
        </is>
      </c>
      <c r="B3618" s="3" t="n">
        <v>2028</v>
      </c>
      <c r="C3618" s="3" t="inlineStr">
        <is>
          <t>Grid-Constrained / Efficiency-Upside</t>
        </is>
      </c>
      <c r="D3618" s="3" t="inlineStr">
        <is>
          <t>ai_workload_share</t>
        </is>
      </c>
      <c r="E3618" s="3" t="n">
        <v>0.88</v>
      </c>
      <c r="F3618" s="3" t="inlineStr">
        <is>
          <t>share</t>
        </is>
      </c>
      <c r="G3618" s="3" t="inlineStr">
        <is>
          <t>Scenario allocation</t>
        </is>
      </c>
      <c r="H3618" s="3" t="inlineStr">
        <is>
          <t>ai_it_load_gw = it_load_gw * ai_workload_share</t>
        </is>
      </c>
      <c r="I3618" s="3" t="inlineStr">
        <is>
          <t>Stargate capacity is AI-oriented but includes reserve, platform and non-token AI activity; 88% is a scenario.</t>
        </is>
      </c>
      <c r="J3618" s="3" t="inlineStr">
        <is>
          <t>SRC_OPENAI_GPT41_DOCS; SRC_OPENAI_STARGATE_ORACLE; SRC_OPENAI_STARGATE_PROGRESS; SRC_EPOCH_AI_DATA_CENTERS</t>
        </is>
      </c>
      <c r="K3618" s="3" t="inlineStr">
        <is>
          <t>ASSUMP_STARGATE_RAMP; ASSUMP_MS_OPENAI_ATTRIBUTION; ASSUMP_NUMERIC_ACCELERATOR_MIX; ASSUMP_INFERENCE_SHARE_NOT_FACT_60; ASSUMP_WORKLOAD_CLASS_MIX; ASSUMP_AGENTIC_CONTEXT_PENALTY</t>
        </is>
      </c>
      <c r="L3618" s="3" t="inlineStr">
        <is>
          <t>Model-owner AI workload allocation or cluster scheduling telemetry.</t>
        </is>
      </c>
    </row>
    <row r="3619">
      <c r="A3619" s="3" t="inlineStr">
        <is>
          <t>OpenAI</t>
        </is>
      </c>
      <c r="B3619" s="3" t="n">
        <v>2028</v>
      </c>
      <c r="C3619" s="3" t="inlineStr">
        <is>
          <t>Grid-Constrained / Efficiency-Upside</t>
        </is>
      </c>
      <c r="D3619" s="3" t="inlineStr">
        <is>
          <t>ai_it_load_gw</t>
        </is>
      </c>
      <c r="E3619" s="3" t="n">
        <v>2.904</v>
      </c>
      <c r="F3619" s="3" t="inlineStr">
        <is>
          <t>GW</t>
        </is>
      </c>
      <c r="G3619" s="3" t="inlineStr">
        <is>
          <t>Derived formula</t>
        </is>
      </c>
      <c r="H3619" s="3" t="inlineStr">
        <is>
          <t>it_load_gw * ai_workload_share</t>
        </is>
      </c>
      <c r="I3619" s="3" t="inlineStr">
        <is>
          <t>Only the AI-attributed portion of IT load enters training/inference allocation.</t>
        </is>
      </c>
      <c r="J3619" s="3" t="inlineStr">
        <is>
          <t>SRC_OPENAI_GPT41_DOCS; SRC_OPENAI_STARGATE_ORACLE; SRC_OPENAI_STARGATE_PROGRESS; SRC_EPOCH_AI_DATA_CENTERS</t>
        </is>
      </c>
      <c r="K3619" s="3" t="inlineStr">
        <is>
          <t>ASSUMP_STARGATE_RAMP; ASSUMP_MS_OPENAI_ATTRIBUTION; ASSUMP_NUMERIC_ACCELERATOR_MIX; ASSUMP_INFERENCE_SHARE_NOT_FACT_60; ASSUMP_WORKLOAD_CLASS_MIX; ASSUMP_AGENTIC_CONTEXT_PENALTY</t>
        </is>
      </c>
      <c r="L3619" s="3" t="inlineStr">
        <is>
          <t>Recompute after ai_workload_share is replaced by telemetry.</t>
        </is>
      </c>
    </row>
    <row r="3620">
      <c r="A3620" s="3" t="inlineStr">
        <is>
          <t>OpenAI</t>
        </is>
      </c>
      <c r="B3620" s="3" t="n">
        <v>2028</v>
      </c>
      <c r="C3620" s="3" t="inlineStr">
        <is>
          <t>Grid-Constrained / Efficiency-Upside</t>
        </is>
      </c>
      <c r="D3620" s="3" t="inlineStr">
        <is>
          <t>gpu_share</t>
        </is>
      </c>
      <c r="E3620" s="3" t="n">
        <v>0.794485</v>
      </c>
      <c r="F3620" s="3" t="inlineStr">
        <is>
          <t>share of inference-serving accelerator load</t>
        </is>
      </c>
      <c r="G3620" s="3" t="inlineStr">
        <is>
          <t>Numeric scenario</t>
        </is>
      </c>
      <c r="H3620" s="3" t="inlineStr">
        <is>
          <t>gpu_share interpolated from company 2026/2030 accelerator-mix endpoints</t>
        </is>
      </c>
      <c r="I3620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20" s="3" t="inlineStr">
        <is>
          <t>SRC_OPENAI_GPT41_DOCS; SRC_OPENAI_STARGATE_ORACLE; SRC_OPENAI_STARGATE_PROGRESS; SRC_EPOCH_AI_DATA_CENTERS; ASSUMP_NUMERIC_ACCELERATOR_MIX</t>
        </is>
      </c>
      <c r="K3620" s="3" t="inlineStr">
        <is>
          <t>ASSUMP_STARGATE_RAMP; ASSUMP_MS_OPENAI_ATTRIBUTION; ASSUMP_NUMERIC_ACCELERATOR_MIX; ASSUMP_INFERENCE_SHARE_NOT_FACT_60; ASSUMP_WORKLOAD_CLASS_MIX; ASSUMP_AGENTIC_CONTEXT_PENALTY</t>
        </is>
      </c>
      <c r="L3620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21">
      <c r="A3621" s="3" t="inlineStr">
        <is>
          <t>OpenAI</t>
        </is>
      </c>
      <c r="B3621" s="3" t="n">
        <v>2028</v>
      </c>
      <c r="C3621" s="3" t="inlineStr">
        <is>
          <t>Grid-Constrained / Efficiency-Upside</t>
        </is>
      </c>
      <c r="D3621" s="3" t="inlineStr">
        <is>
          <t>h200_share</t>
        </is>
      </c>
      <c r="E3621" s="3" t="n">
        <v>0.153136</v>
      </c>
      <c r="F3621" s="3" t="inlineStr">
        <is>
          <t>share of inference-serving accelerator load</t>
        </is>
      </c>
      <c r="G3621" s="3" t="inlineStr">
        <is>
          <t>Editable numeric scenario</t>
        </is>
      </c>
      <c r="H3621" s="3" t="inlineStr">
        <is>
          <t>h200_share = gpu_share * default_gpu_generation_mix_h200</t>
        </is>
      </c>
      <c r="I3621" s="3" t="inlineStr">
        <is>
          <t>Default GPU-generation migration assumption; executive workbook allows later manual replacement by company/year/scenario.</t>
        </is>
      </c>
      <c r="J3621" s="3" t="inlineStr">
        <is>
          <t>SRC_SEMIANALYSIS_INFERENCEX; ASSUMP_NUMERIC_ACCELERATOR_MIX</t>
        </is>
      </c>
      <c r="K3621" s="3" t="inlineStr">
        <is>
          <t>ASSUMP_STARGATE_RAMP; ASSUMP_MS_OPENAI_ATTRIBUTION; ASSUMP_NUMERIC_ACCELERATOR_MIX; ASSUMP_INFERENCE_SHARE_NOT_FACT_60; ASSUMP_WORKLOAD_CLASS_MIX; ASSUMP_AGENTIC_CONTEXT_PENALTY</t>
        </is>
      </c>
      <c r="L3621" s="3" t="inlineStr">
        <is>
          <t>Company fleet inventory, accelerator-hours or procurement/deployment records by GPU generation.</t>
        </is>
      </c>
    </row>
    <row r="3622">
      <c r="A3622" s="3" t="inlineStr">
        <is>
          <t>OpenAI</t>
        </is>
      </c>
      <c r="B3622" s="3" t="n">
        <v>2028</v>
      </c>
      <c r="C3622" s="3" t="inlineStr">
        <is>
          <t>Grid-Constrained / Efficiency-Upside</t>
        </is>
      </c>
      <c r="D3622" s="3" t="inlineStr">
        <is>
          <t>b200_share</t>
        </is>
      </c>
      <c r="E3622" s="3" t="n">
        <v>0.5173219999999999</v>
      </c>
      <c r="F3622" s="3" t="inlineStr">
        <is>
          <t>share of inference-serving accelerator load</t>
        </is>
      </c>
      <c r="G3622" s="3" t="inlineStr">
        <is>
          <t>Editable numeric scenario</t>
        </is>
      </c>
      <c r="H3622" s="3" t="inlineStr">
        <is>
          <t>b200_share = gpu_share * default_gpu_generation_mix_b200</t>
        </is>
      </c>
      <c r="I3622" s="3" t="inlineStr">
        <is>
          <t>Default GPU-generation migration assumption; executive workbook allows later manual replacement by company/year/scenario.</t>
        </is>
      </c>
      <c r="J3622" s="3" t="inlineStr">
        <is>
          <t>SRC_SEMIANALYSIS_INFERENCEX; ASSUMP_NUMERIC_ACCELERATOR_MIX</t>
        </is>
      </c>
      <c r="K3622" s="3" t="inlineStr">
        <is>
          <t>ASSUMP_STARGATE_RAMP; ASSUMP_MS_OPENAI_ATTRIBUTION; ASSUMP_NUMERIC_ACCELERATOR_MIX; ASSUMP_INFERENCE_SHARE_NOT_FACT_60; ASSUMP_WORKLOAD_CLASS_MIX; ASSUMP_AGENTIC_CONTEXT_PENALTY</t>
        </is>
      </c>
      <c r="L3622" s="3" t="inlineStr">
        <is>
          <t>Company fleet inventory, accelerator-hours or procurement/deployment records by GPU generation.</t>
        </is>
      </c>
    </row>
    <row r="3623">
      <c r="A3623" s="3" t="inlineStr">
        <is>
          <t>OpenAI</t>
        </is>
      </c>
      <c r="B3623" s="3" t="n">
        <v>2028</v>
      </c>
      <c r="C3623" s="3" t="inlineStr">
        <is>
          <t>Grid-Constrained / Efficiency-Upside</t>
        </is>
      </c>
      <c r="D3623" s="3" t="inlineStr">
        <is>
          <t>gb200_share</t>
        </is>
      </c>
      <c r="E3623" s="3" t="n">
        <v>0.124026</v>
      </c>
      <c r="F3623" s="3" t="inlineStr">
        <is>
          <t>share of inference-serving accelerator load</t>
        </is>
      </c>
      <c r="G3623" s="3" t="inlineStr">
        <is>
          <t>Editable numeric scenario</t>
        </is>
      </c>
      <c r="H3623" s="3" t="inlineStr">
        <is>
          <t>gb200_share = gpu_share * default_gpu_generation_mix_gb200</t>
        </is>
      </c>
      <c r="I3623" s="3" t="inlineStr">
        <is>
          <t>Default GPU-generation migration assumption; executive workbook allows later manual replacement by company/year/scenario.</t>
        </is>
      </c>
      <c r="J3623" s="3" t="inlineStr">
        <is>
          <t>SRC_SEMIANALYSIS_INFERENCEX; ASSUMP_NUMERIC_ACCELERATOR_MIX</t>
        </is>
      </c>
      <c r="K3623" s="3" t="inlineStr">
        <is>
          <t>ASSUMP_STARGATE_RAMP; ASSUMP_MS_OPENAI_ATTRIBUTION; ASSUMP_NUMERIC_ACCELERATOR_MIX; ASSUMP_INFERENCE_SHARE_NOT_FACT_60; ASSUMP_WORKLOAD_CLASS_MIX; ASSUMP_AGENTIC_CONTEXT_PENALTY</t>
        </is>
      </c>
      <c r="L3623" s="3" t="inlineStr">
        <is>
          <t>Company fleet inventory, accelerator-hours or procurement/deployment records by GPU generation.</t>
        </is>
      </c>
    </row>
    <row r="3624">
      <c r="A3624" s="3" t="inlineStr">
        <is>
          <t>OpenAI</t>
        </is>
      </c>
      <c r="B3624" s="3" t="n">
        <v>2028</v>
      </c>
      <c r="C3624" s="3" t="inlineStr">
        <is>
          <t>Grid-Constrained / Efficiency-Upside</t>
        </is>
      </c>
      <c r="D3624" s="3" t="inlineStr">
        <is>
          <t>purpose_built_accelerator_share</t>
        </is>
      </c>
      <c r="E3624" s="3" t="n">
        <v>0.205515</v>
      </c>
      <c r="F3624" s="3" t="inlineStr">
        <is>
          <t>share of inference-serving accelerator load</t>
        </is>
      </c>
      <c r="G3624" s="3" t="inlineStr">
        <is>
          <t>Numeric scenario</t>
        </is>
      </c>
      <c r="H3624" s="3" t="inlineStr">
        <is>
          <t>1 - gpu_share</t>
        </is>
      </c>
      <c r="I3624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24" s="3" t="inlineStr">
        <is>
          <t>SRC_OPENAI_GPT41_DOCS; SRC_OPENAI_STARGATE_ORACLE; SRC_OPENAI_STARGATE_PROGRESS; SRC_EPOCH_AI_DATA_CENTERS; ASSUMP_NUMERIC_ACCELERATOR_MIX</t>
        </is>
      </c>
      <c r="K3624" s="3" t="inlineStr">
        <is>
          <t>ASSUMP_STARGATE_RAMP; ASSUMP_MS_OPENAI_ATTRIBUTION; ASSUMP_NUMERIC_ACCELERATOR_MIX; ASSUMP_INFERENCE_SHARE_NOT_FACT_60; ASSUMP_WORKLOAD_CLASS_MIX; ASSUMP_AGENTIC_CONTEXT_PENALTY</t>
        </is>
      </c>
      <c r="L3624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25">
      <c r="A3625" s="3" t="inlineStr">
        <is>
          <t>OpenAI</t>
        </is>
      </c>
      <c r="B3625" s="3" t="n">
        <v>2028</v>
      </c>
      <c r="C3625" s="3" t="inlineStr">
        <is>
          <t>Grid-Constrained / Efficiency-Upside</t>
        </is>
      </c>
      <c r="D3625" s="3" t="inlineStr">
        <is>
          <t>fleet_reference_tps_per_mw</t>
        </is>
      </c>
      <c r="E3625" s="3" t="n">
        <v>283113</v>
      </c>
      <c r="F3625" s="3" t="inlineStr">
        <is>
          <t>generated output tokens/sec/MW</t>
        </is>
      </c>
      <c r="G3625" s="3" t="inlineStr">
        <is>
          <t>Fleet-weighted public benchmark reference</t>
        </is>
      </c>
      <c r="H3625" s="3" t="inlineStr">
        <is>
          <t>h200_share*h200_workload_avg + b200_share*b200_workload_avg + gb200_share*gb200_workload_avg + purpose_built_share*purpose_workload_avg</t>
        </is>
      </c>
      <c r="I3625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25" s="3" t="inlineStr">
        <is>
          <t>SRC_SEMIANALYSIS_INFERENCEX; ASSUMP_NUMERIC_ACCELERATOR_MIX; ASSUMP_WORKLOAD_CLASS_MIX; ASSUMP_AGENTIC_CONTEXT_PENALTY</t>
        </is>
      </c>
      <c r="K3625" s="3" t="inlineStr">
        <is>
          <t>ASSUMP_STARGATE_RAMP; ASSUMP_MS_OPENAI_ATTRIBUTION; ASSUMP_NUMERIC_ACCELERATOR_MIX; ASSUMP_INFERENCE_SHARE_NOT_FACT_60; ASSUMP_WORKLOAD_CLASS_MIX; ASSUMP_AGENTIC_CONTEXT_PENALTY</t>
        </is>
      </c>
      <c r="L3625" s="3" t="inlineStr">
        <is>
          <t>Comparable production output-token throughput or a more closely matched benchmark.</t>
        </is>
      </c>
    </row>
    <row r="3626">
      <c r="A3626" s="3" t="inlineStr">
        <is>
          <t>OpenAI</t>
        </is>
      </c>
      <c r="B3626" s="3" t="n">
        <v>2028</v>
      </c>
      <c r="C3626" s="3" t="inlineStr">
        <is>
          <t>Grid-Constrained / Efficiency-Upside</t>
        </is>
      </c>
      <c r="D3626" s="3" t="inlineStr">
        <is>
          <t>commercial_workload_fit_factor</t>
        </is>
      </c>
      <c r="E3626" s="3" t="n">
        <v>0.5</v>
      </c>
      <c r="F3626" s="3" t="inlineStr">
        <is>
          <t>share of public reference throughput</t>
        </is>
      </c>
      <c r="G3626" s="3" t="inlineStr">
        <is>
          <t>Scenario assumption</t>
        </is>
      </c>
      <c r="H3626" s="3" t="inlineStr">
        <is>
          <t>reference_serving_tps_per_mw = fleet_reference_tps_per_mw * commercial_workload_fit_factor</t>
        </is>
      </c>
      <c r="I3626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26" s="3" t="inlineStr">
        <is>
          <t>SRC_SEMIANALYSIS_INFERENCEX; ASSUMP_NUMERIC_ACCELERATOR_MIX; ASSUMP_WORKLOAD_CLASS_MIX; ASSUMP_AGENTIC_CONTEXT_PENALTY</t>
        </is>
      </c>
      <c r="K3626" s="3" t="inlineStr">
        <is>
          <t>ASSUMP_STARGATE_RAMP; ASSUMP_MS_OPENAI_ATTRIBUTION; ASSUMP_NUMERIC_ACCELERATOR_MIX; ASSUMP_INFERENCE_SHARE_NOT_FACT_60; ASSUMP_WORKLOAD_CLASS_MIX; ASSUMP_AGENTIC_CONTEXT_PENALTY</t>
        </is>
      </c>
      <c r="L3626" s="3" t="inlineStr">
        <is>
          <t>Matched commercial serving benchmark by product surface, context shape and latency SLO.</t>
        </is>
      </c>
    </row>
    <row r="3627">
      <c r="A3627" s="3" t="inlineStr">
        <is>
          <t>OpenAI</t>
        </is>
      </c>
      <c r="B3627" s="3" t="n">
        <v>2028</v>
      </c>
      <c r="C3627" s="3" t="inlineStr">
        <is>
          <t>Grid-Constrained / Efficiency-Upside</t>
        </is>
      </c>
      <c r="D3627" s="3" t="inlineStr">
        <is>
          <t>reference_serving_tps_per_mw</t>
        </is>
      </c>
      <c r="E3627" s="3" t="n">
        <v>141556</v>
      </c>
      <c r="F3627" s="3" t="inlineStr">
        <is>
          <t>generated output tokens/sec/MW</t>
        </is>
      </c>
      <c r="G3627" s="3" t="inlineStr">
        <is>
          <t>Workload-adjusted benchmark proxy</t>
        </is>
      </c>
      <c r="H3627" s="3" t="inlineStr">
        <is>
          <t>fleet_reference_tps_per_mw * commercial_workload_fit_factor</t>
        </is>
      </c>
      <c r="I3627" s="3" t="inlineStr">
        <is>
          <t>This is the coefficient used for headline token generation; each GPU's short chat, long chat and agentic TPS/MW are weighted before fleet mix and commercial fit are applied.</t>
        </is>
      </c>
      <c r="J3627" s="3" t="inlineStr">
        <is>
          <t>SRC_SEMIANALYSIS_INFERENCEX; ASSUMP_NUMERIC_ACCELERATOR_MIX; ASSUMP_WORKLOAD_CLASS_MIX; ASSUMP_AGENTIC_CONTEXT_PENALTY</t>
        </is>
      </c>
      <c r="K3627" s="3" t="inlineStr">
        <is>
          <t>ASSUMP_STARGATE_RAMP; ASSUMP_MS_OPENAI_ATTRIBUTION; ASSUMP_NUMERIC_ACCELERATOR_MIX; ASSUMP_INFERENCE_SHARE_NOT_FACT_60; ASSUMP_WORKLOAD_CLASS_MIX; ASSUMP_AGENTIC_CONTEXT_PENALTY</t>
        </is>
      </c>
      <c r="L3627" s="3" t="inlineStr">
        <is>
          <t>Provider production output-token throughput with comparable workload/SLO.</t>
        </is>
      </c>
    </row>
    <row r="3628">
      <c r="A3628" s="3" t="inlineStr">
        <is>
          <t>OpenAI</t>
        </is>
      </c>
      <c r="B3628" s="3" t="n">
        <v>2028</v>
      </c>
      <c r="C3628" s="3" t="inlineStr">
        <is>
          <t>Grid-Constrained / Efficiency-Upside</t>
        </is>
      </c>
      <c r="D3628" s="3" t="inlineStr">
        <is>
          <t>purpose_built_tps_per_mw</t>
        </is>
      </c>
      <c r="E3628" s="3" t="n">
        <v>67653</v>
      </c>
      <c r="F3628" s="3" t="inlineStr">
        <is>
          <t>generated output tokens/sec/MW</t>
        </is>
      </c>
      <c r="G3628" s="3" t="inlineStr">
        <is>
          <t>Conservative no-uplift proxy</t>
        </is>
      </c>
      <c r="H3628" s="3" t="inlineStr">
        <is>
          <t>purpose_built_tps_per_mw = purpose_built_reference_tps_per_mw * commercial_workload_fit_factor until comparable output-token benchmark is adopted</t>
        </is>
      </c>
      <c r="I3628" s="3" t="inlineStr">
        <is>
          <t>No comparable public output-token/MW row adopted; B200 public reference placeholder is used and remains editable.</t>
        </is>
      </c>
      <c r="J3628" s="3" t="inlineStr">
        <is>
          <t>SRC_OPENAI_GPT41_DOCS; SRC_OPENAI_STARGATE_ORACLE; SRC_OPENAI_STARGATE_PROGRESS; SRC_EPOCH_AI_DATA_CENTERS; ASSUMP_NUMERIC_ACCELERATOR_MIX</t>
        </is>
      </c>
      <c r="K3628" s="3" t="inlineStr">
        <is>
          <t>ASSUMP_STARGATE_RAMP; ASSUMP_MS_OPENAI_ATTRIBUTION; ASSUMP_NUMERIC_ACCELERATOR_MIX; ASSUMP_INFERENCE_SHARE_NOT_FACT_60; ASSUMP_WORKLOAD_CLASS_MIX; ASSUMP_AGENTIC_CONTEXT_PENALTY</t>
        </is>
      </c>
      <c r="L3628" s="3" t="inlineStr">
        <is>
          <t>Matched-workload generated-output benchmark for the provider purpose-built accelerator.</t>
        </is>
      </c>
    </row>
    <row r="3629">
      <c r="A3629" s="3" t="inlineStr">
        <is>
          <t>OpenAI</t>
        </is>
      </c>
      <c r="B3629" s="3" t="n">
        <v>2028</v>
      </c>
      <c r="C3629" s="3" t="inlineStr">
        <is>
          <t>Grid-Constrained / Efficiency-Upside</t>
        </is>
      </c>
      <c r="D3629" s="3" t="inlineStr">
        <is>
          <t>inference_power_share</t>
        </is>
      </c>
      <c r="E3629" s="3" t="n">
        <v>0.71</v>
      </c>
      <c r="F3629" s="3" t="inlineStr">
        <is>
          <t>share of AI IT load</t>
        </is>
      </c>
      <c r="G3629" s="3" t="inlineStr">
        <is>
          <t>Scenario allocation</t>
        </is>
      </c>
      <c r="H3629" s="3" t="inlineStr">
        <is>
          <t>inference_gw = ai_it_load_gw * inference_power_share</t>
        </is>
      </c>
      <c r="I3629" s="3" t="inlineStr">
        <is>
          <t>ChatGPT/API/enterprise commercial surfaces support increasing inference allocation while training remains material.</t>
        </is>
      </c>
      <c r="J3629" s="3" t="inlineStr">
        <is>
          <t>SRC_OPENAI_GPT41_DOCS; SRC_OPENAI_STARGATE_ORACLE; SRC_OPENAI_STARGATE_PROGRESS; SRC_EPOCH_AI_DATA_CENTERS; ASSUMP_INFERENCE_SHARE_NOT_FACT_60</t>
        </is>
      </c>
      <c r="K3629" s="3" t="inlineStr">
        <is>
          <t>ASSUMP_STARGATE_RAMP; ASSUMP_MS_OPENAI_ATTRIBUTION; ASSUMP_NUMERIC_ACCELERATOR_MIX; ASSUMP_INFERENCE_SHARE_NOT_FACT_60; ASSUMP_WORKLOAD_CLASS_MIX; ASSUMP_AGENTIC_CONTEXT_PENALTY</t>
        </is>
      </c>
      <c r="L3629" s="3" t="inlineStr">
        <is>
          <t>Provider-specific inference/training workload power telemetry.</t>
        </is>
      </c>
    </row>
    <row r="3630">
      <c r="A3630" s="3" t="inlineStr">
        <is>
          <t>OpenAI</t>
        </is>
      </c>
      <c r="B3630" s="3" t="n">
        <v>2028</v>
      </c>
      <c r="C3630" s="3" t="inlineStr">
        <is>
          <t>Grid-Constrained / Efficiency-Upside</t>
        </is>
      </c>
      <c r="D3630" s="3" t="inlineStr">
        <is>
          <t>inference_gw</t>
        </is>
      </c>
      <c r="E3630" s="3" t="n">
        <v>2.062</v>
      </c>
      <c r="F3630" s="3" t="inlineStr">
        <is>
          <t>GW</t>
        </is>
      </c>
      <c r="G3630" s="3" t="inlineStr">
        <is>
          <t>Derived formula</t>
        </is>
      </c>
      <c r="H3630" s="3" t="inlineStr">
        <is>
          <t>ai_it_load_gw * inference_power_share</t>
        </is>
      </c>
      <c r="I3630" s="3" t="inlineStr">
        <is>
          <t>This is the operational power eligible to become commercial generated output tokens through the selected TPS/MW proxy.</t>
        </is>
      </c>
      <c r="J3630" s="3" t="inlineStr">
        <is>
          <t>SRC_OPENAI_GPT41_DOCS; SRC_OPENAI_STARGATE_ORACLE; SRC_OPENAI_STARGATE_PROGRESS; SRC_EPOCH_AI_DATA_CENTERS</t>
        </is>
      </c>
      <c r="K3630" s="3" t="inlineStr">
        <is>
          <t>ASSUMP_STARGATE_RAMP; ASSUMP_MS_OPENAI_ATTRIBUTION; ASSUMP_NUMERIC_ACCELERATOR_MIX; ASSUMP_INFERENCE_SHARE_NOT_FACT_60; ASSUMP_WORKLOAD_CLASS_MIX; ASSUMP_AGENTIC_CONTEXT_PENALTY</t>
        </is>
      </c>
      <c r="L3630" s="3" t="inlineStr">
        <is>
          <t>Recompute after AI allocation or inference-share evidence changes.</t>
        </is>
      </c>
    </row>
    <row r="3631">
      <c r="A3631" s="3" t="inlineStr">
        <is>
          <t>OpenAI</t>
        </is>
      </c>
      <c r="B3631" s="3" t="n">
        <v>2028</v>
      </c>
      <c r="C3631" s="3" t="inlineStr">
        <is>
          <t>Grid-Constrained / Efficiency-Upside</t>
        </is>
      </c>
      <c r="D3631" s="3" t="inlineStr">
        <is>
          <t>training_power_share</t>
        </is>
      </c>
      <c r="E3631" s="3" t="n">
        <v>0.29</v>
      </c>
      <c r="F3631" s="3" t="inlineStr">
        <is>
          <t>share of AI IT load</t>
        </is>
      </c>
      <c r="G3631" s="3" t="inlineStr">
        <is>
          <t>Derived allocation</t>
        </is>
      </c>
      <c r="H3631" s="3" t="inlineStr">
        <is>
          <t>1 - inference_power_share</t>
        </is>
      </c>
      <c r="I3631" s="3" t="inlineStr">
        <is>
          <t>Training receives the complementary modeled AI IT allocation; it is not a disclosed company workload split.</t>
        </is>
      </c>
      <c r="J3631" s="3" t="inlineStr">
        <is>
          <t>SRC_OPENAI_GPT41_DOCS; SRC_OPENAI_STARGATE_ORACLE; SRC_OPENAI_STARGATE_PROGRESS; SRC_EPOCH_AI_DATA_CENTERS; ASSUMP_INFERENCE_SHARE_NOT_FACT_60</t>
        </is>
      </c>
      <c r="K3631" s="3" t="inlineStr">
        <is>
          <t>ASSUMP_STARGATE_RAMP; ASSUMP_MS_OPENAI_ATTRIBUTION; ASSUMP_NUMERIC_ACCELERATOR_MIX; ASSUMP_INFERENCE_SHARE_NOT_FACT_60; ASSUMP_WORKLOAD_CLASS_MIX; ASSUMP_AGENTIC_CONTEXT_PENALTY</t>
        </is>
      </c>
      <c r="L3631" s="3" t="inlineStr">
        <is>
          <t>Provider-specific inference/training workload power telemetry.</t>
        </is>
      </c>
    </row>
    <row r="3632">
      <c r="A3632" s="3" t="inlineStr">
        <is>
          <t>OpenAI</t>
        </is>
      </c>
      <c r="B3632" s="3" t="n">
        <v>2028</v>
      </c>
      <c r="C3632" s="3" t="inlineStr">
        <is>
          <t>Grid-Constrained / Efficiency-Upside</t>
        </is>
      </c>
      <c r="D3632" s="3" t="inlineStr">
        <is>
          <t>training_gw</t>
        </is>
      </c>
      <c r="E3632" s="3" t="n">
        <v>0.842</v>
      </c>
      <c r="F3632" s="3" t="inlineStr">
        <is>
          <t>GW</t>
        </is>
      </c>
      <c r="G3632" s="3" t="inlineStr">
        <is>
          <t>Derived formula</t>
        </is>
      </c>
      <c r="H3632" s="3" t="inlineStr">
        <is>
          <t>ai_it_load_gw * training_power_share</t>
        </is>
      </c>
      <c r="I3632" s="3" t="inlineStr">
        <is>
          <t>Training GW is shown separately so commercial inference token capacity is not overstated.</t>
        </is>
      </c>
      <c r="J3632" s="3" t="inlineStr">
        <is>
          <t>SRC_OPENAI_GPT41_DOCS; SRC_OPENAI_STARGATE_ORACLE; SRC_OPENAI_STARGATE_PROGRESS; SRC_EPOCH_AI_DATA_CENTERS</t>
        </is>
      </c>
      <c r="K3632" s="3" t="inlineStr">
        <is>
          <t>ASSUMP_STARGATE_RAMP; ASSUMP_MS_OPENAI_ATTRIBUTION; ASSUMP_NUMERIC_ACCELERATOR_MIX; ASSUMP_INFERENCE_SHARE_NOT_FACT_60; ASSUMP_WORKLOAD_CLASS_MIX; ASSUMP_AGENTIC_CONTEXT_PENALTY</t>
        </is>
      </c>
      <c r="L3632" s="3" t="inlineStr">
        <is>
          <t>Recompute after AI allocation or workload-split evidence changes.</t>
        </is>
      </c>
    </row>
    <row r="3633">
      <c r="A3633" s="3" t="inlineStr">
        <is>
          <t>OpenAI</t>
        </is>
      </c>
      <c r="B3633" s="3" t="n">
        <v>2028</v>
      </c>
      <c r="C3633" s="3" t="inlineStr">
        <is>
          <t>Grid-Constrained / Efficiency-Upside</t>
        </is>
      </c>
      <c r="D3633" s="3" t="inlineStr">
        <is>
          <t>tokens_per_second_per_mw</t>
        </is>
      </c>
      <c r="E3633" s="3" t="n">
        <v>141556</v>
      </c>
      <c r="F3633" s="3" t="inlineStr">
        <is>
          <t>generated output tokens/sec/MW</t>
        </is>
      </c>
      <c r="G3633" s="3" t="inlineStr">
        <is>
          <t>Derived estimate + benchmark calibration</t>
        </is>
      </c>
      <c r="H3633" s="3" t="inlineStr">
        <is>
          <t>fleet_reference_tps_per_mw * commercial_workload_fit_factor</t>
        </is>
      </c>
      <c r="I3633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33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33" s="3" t="inlineStr">
        <is>
          <t>ASSUMP_STARGATE_RAMP; ASSUMP_MS_OPENAI_ATTRIBUTION; ASSUMP_NUMERIC_ACCELERATOR_MIX; ASSUMP_INFERENCE_SHARE_NOT_FACT_60; ASSUMP_WORKLOAD_CLASS_MIX; ASSUMP_AGENTIC_CONTEXT_PENALTY</t>
        </is>
      </c>
      <c r="L3633" s="3" t="inlineStr">
        <is>
          <t>Comparable production output-token throughput with model, hardware, precision, ISL/OSL and SLO matched.</t>
        </is>
      </c>
    </row>
    <row r="3634">
      <c r="A3634" s="3" t="inlineStr">
        <is>
          <t>OpenAI</t>
        </is>
      </c>
      <c r="B3634" s="3" t="n">
        <v>2028</v>
      </c>
      <c r="C3634" s="3" t="inlineStr">
        <is>
          <t>Grid-Constrained / Efficiency-Upside</t>
        </is>
      </c>
      <c r="D3634" s="3" t="inlineStr">
        <is>
          <t>inference_tokens_per_day</t>
        </is>
      </c>
      <c r="E3634" s="3" t="n">
        <v>25219163980800</v>
      </c>
      <c r="F3634" s="3" t="inlineStr">
        <is>
          <t>generated output tokens/day</t>
        </is>
      </c>
      <c r="G3634" s="3" t="inlineStr">
        <is>
          <t>Derived headline metric</t>
        </is>
      </c>
      <c r="H3634" s="3" t="inlineStr">
        <is>
          <t>inference_gw * 1000 * tokens_per_second_per_mw * 86,400</t>
        </is>
      </c>
      <c r="I3634" s="3" t="inlineStr">
        <is>
          <t>Headline capacity uses no utilization, MoE, architecture or software-growth multiplier; it is not observed commercial output volume.</t>
        </is>
      </c>
      <c r="J3634" s="3" t="inlineStr">
        <is>
          <t>SRC_OPENAI_GPT41_DOCS; SRC_OPENAI_STARGATE_ORACLE; SRC_OPENAI_STARGATE_PROGRESS; SRC_EPOCH_AI_DATA_CENTERS; SRC_SEMIANALYSIS_INFERENCEX</t>
        </is>
      </c>
      <c r="K3634" s="3" t="inlineStr">
        <is>
          <t>ASSUMP_STARGATE_RAMP; ASSUMP_MS_OPENAI_ATTRIBUTION; ASSUMP_NUMERIC_ACCELERATOR_MIX; ASSUMP_INFERENCE_SHARE_NOT_FACT_60; ASSUMP_WORKLOAD_CLASS_MIX; ASSUMP_AGENTIC_CONTEXT_PENALTY</t>
        </is>
      </c>
      <c r="L3634" s="3" t="inlineStr">
        <is>
          <t>Provider-disclosed generated output token volume or calibrated capacity telemetry.</t>
        </is>
      </c>
    </row>
    <row r="3635">
      <c r="A3635" s="3" t="inlineStr">
        <is>
          <t>OpenAI</t>
        </is>
      </c>
      <c r="B3635" s="3" t="n">
        <v>2028</v>
      </c>
      <c r="C3635" s="3" t="inlineStr">
        <is>
          <t>Grid-Constrained / Efficiency-Upside</t>
        </is>
      </c>
      <c r="D3635" s="3" t="inlineStr">
        <is>
          <t>inference_tokens_per_year</t>
        </is>
      </c>
      <c r="E3635" s="3" t="n">
        <v>9204994852992000</v>
      </c>
      <c r="F3635" s="3" t="inlineStr">
        <is>
          <t>generated output tokens/year</t>
        </is>
      </c>
      <c r="G3635" s="3" t="inlineStr">
        <is>
          <t>Derived headline metric</t>
        </is>
      </c>
      <c r="H3635" s="3" t="inlineStr">
        <is>
          <t>inference_tokens_per_day * 365</t>
        </is>
      </c>
      <c r="I3635" s="3" t="inlineStr">
        <is>
          <t>Annualized version of generated output token capacity; it is not observed annual demand or billable volume.</t>
        </is>
      </c>
      <c r="J3635" s="3" t="inlineStr">
        <is>
          <t>SRC_OPENAI_GPT41_DOCS; SRC_OPENAI_STARGATE_ORACLE; SRC_OPENAI_STARGATE_PROGRESS; SRC_EPOCH_AI_DATA_CENTERS; SRC_SEMIANALYSIS_INFERENCEX</t>
        </is>
      </c>
      <c r="K3635" s="3" t="inlineStr">
        <is>
          <t>ASSUMP_STARGATE_RAMP; ASSUMP_MS_OPENAI_ATTRIBUTION; ASSUMP_NUMERIC_ACCELERATOR_MIX; ASSUMP_INFERENCE_SHARE_NOT_FACT_60; ASSUMP_WORKLOAD_CLASS_MIX; ASSUMP_AGENTIC_CONTEXT_PENALTY</t>
        </is>
      </c>
      <c r="L3635" s="3" t="inlineStr">
        <is>
          <t>Provider-disclosed annual generated-output volume or metered serving telemetry.</t>
        </is>
      </c>
    </row>
    <row r="3636">
      <c r="A3636" s="3" t="inlineStr">
        <is>
          <t>OpenAI</t>
        </is>
      </c>
      <c r="B3636" s="3" t="n">
        <v>2029</v>
      </c>
      <c r="C3636" s="3" t="inlineStr">
        <is>
          <t>Grid-Constrained / Efficiency-Upside</t>
        </is>
      </c>
      <c r="D3636" s="3" t="inlineStr">
        <is>
          <t>contracted_power_gw</t>
        </is>
      </c>
      <c r="E3636" s="3" t="n">
        <v>10.25</v>
      </c>
      <c r="F3636" s="3" t="inlineStr">
        <is>
          <t>GW</t>
        </is>
      </c>
      <c r="G3636" s="3" t="inlineStr">
        <is>
          <t>Fact anchor + scenario ceiling</t>
        </is>
      </c>
      <c r="H3636" s="3" t="inlineStr">
        <is>
          <t>linear interpolation between 2026 and 2030 company capacity endpoints</t>
        </is>
      </c>
      <c r="I3636" s="3" t="inlineStr">
        <is>
          <t>2030 envelope is bounded by official Stargate planned/committed capacity; 2026 and timing remain staged scenario values.</t>
        </is>
      </c>
      <c r="J3636" s="3" t="inlineStr">
        <is>
          <t>SRC_OPENAI_STARGATE_ORACLE; SRC_OPENAI_STARGATE_PROGRESS; ASSUMP_STARGATE_RAMP</t>
        </is>
      </c>
      <c r="K3636" s="3" t="inlineStr">
        <is>
          <t>ASSUMP_STARGATE_RAMP; ASSUMP_MS_OPENAI_ATTRIBUTION; ASSUMP_NUMERIC_ACCELERATOR_MIX; ASSUMP_INFERENCE_SHARE_NOT_FACT_60; ASSUMP_WORKLOAD_CLASS_MIX; ASSUMP_AGENTIC_CONTEXT_PENALTY</t>
        </is>
      </c>
      <c r="L3636" s="3" t="inlineStr">
        <is>
          <t>Company/site-level committed MW/GW, interconnect and contract disclosure.</t>
        </is>
      </c>
    </row>
    <row r="3637">
      <c r="A3637" s="3" t="inlineStr">
        <is>
          <t>OpenAI</t>
        </is>
      </c>
      <c r="B3637" s="3" t="n">
        <v>2029</v>
      </c>
      <c r="C3637" s="3" t="inlineStr">
        <is>
          <t>Grid-Constrained / Efficiency-Upside</t>
        </is>
      </c>
      <c r="D3637" s="3" t="inlineStr">
        <is>
          <t>operational_deployment_share</t>
        </is>
      </c>
      <c r="E3637" s="3" t="n">
        <v>0.49863415</v>
      </c>
      <c r="F3637" s="3" t="inlineStr">
        <is>
          <t>share</t>
        </is>
      </c>
      <c r="G3637" s="3" t="inlineStr">
        <is>
          <t>Scenario conversion</t>
        </is>
      </c>
      <c r="H3637" s="3" t="inlineStr">
        <is>
          <t>active_power_gw / contracted_power_gw</t>
        </is>
      </c>
      <c r="I3637" s="3" t="inlineStr">
        <is>
          <t>This is the single explicit conversion from contracted/attributed capacity to operationally usable capacity.</t>
        </is>
      </c>
      <c r="J3637" s="3" t="inlineStr">
        <is>
          <t>SRC_OPENAI_STARGATE_ORACLE; SRC_OPENAI_STARGATE_PROGRESS; ASSUMP_STARGATE_RAMP</t>
        </is>
      </c>
      <c r="K3637" s="3" t="inlineStr">
        <is>
          <t>ASSUMP_STARGATE_RAMP; ASSUMP_MS_OPENAI_ATTRIBUTION; ASSUMP_NUMERIC_ACCELERATOR_MIX; ASSUMP_INFERENCE_SHARE_NOT_FACT_60; ASSUMP_WORKLOAD_CLASS_MIX; ASSUMP_AGENTIC_CONTEXT_PENALTY</t>
        </is>
      </c>
      <c r="L3637" s="3" t="inlineStr">
        <is>
          <t>Energized operational capacity divided by contracted/attributed capacity.</t>
        </is>
      </c>
    </row>
    <row r="3638">
      <c r="A3638" s="3" t="inlineStr">
        <is>
          <t>OpenAI</t>
        </is>
      </c>
      <c r="B3638" s="3" t="n">
        <v>2029</v>
      </c>
      <c r="C3638" s="3" t="inlineStr">
        <is>
          <t>Grid-Constrained / Efficiency-Upside</t>
        </is>
      </c>
      <c r="D3638" s="3" t="inlineStr">
        <is>
          <t>active_power_gw</t>
        </is>
      </c>
      <c r="E3638" s="3" t="n">
        <v>5.111</v>
      </c>
      <c r="F3638" s="3" t="inlineStr">
        <is>
          <t>GW</t>
        </is>
      </c>
      <c r="G3638" s="3" t="inlineStr">
        <is>
          <t>Derived scenario</t>
        </is>
      </c>
      <c r="H3638" s="3" t="inlineStr">
        <is>
          <t>contracted_power_gw * operational_deployment_share</t>
        </is>
      </c>
      <c r="I3638" s="3" t="inlineStr">
        <is>
          <t>Official capacity announcements are converted to active GW only through energization/GPU-deployment ramp assumptions.</t>
        </is>
      </c>
      <c r="J3638" s="3" t="inlineStr">
        <is>
          <t>SRC_OPENAI_STARGATE_ORACLE; SRC_OPENAI_STARGATE_PROGRESS; ASSUMP_STARGATE_RAMP</t>
        </is>
      </c>
      <c r="K3638" s="3" t="inlineStr">
        <is>
          <t>ASSUMP_STARGATE_RAMP; ASSUMP_MS_OPENAI_ATTRIBUTION; ASSUMP_NUMERIC_ACCELERATOR_MIX; ASSUMP_INFERENCE_SHARE_NOT_FACT_60; ASSUMP_WORKLOAD_CLASS_MIX; ASSUMP_AGENTIC_CONTEXT_PENALTY</t>
        </is>
      </c>
      <c r="L3638" s="3" t="inlineStr">
        <is>
          <t>Energization dates, accelerator deliveries and operational powered-rack telemetry.</t>
        </is>
      </c>
    </row>
    <row r="3639">
      <c r="A3639" s="3" t="inlineStr">
        <is>
          <t>OpenAI</t>
        </is>
      </c>
      <c r="B3639" s="3" t="n">
        <v>2029</v>
      </c>
      <c r="C3639" s="3" t="inlineStr">
        <is>
          <t>Grid-Constrained / Efficiency-Upside</t>
        </is>
      </c>
      <c r="D3639" s="3" t="inlineStr">
        <is>
          <t>pue</t>
        </is>
      </c>
      <c r="E3639" s="3" t="n">
        <v>1.2</v>
      </c>
      <c r="F3639" s="3" t="inlineStr">
        <is>
          <t>ratio</t>
        </is>
      </c>
      <c r="G3639" s="3" t="inlineStr">
        <is>
          <t>Scenario parameter</t>
        </is>
      </c>
      <c r="H3639" s="3" t="inlineStr">
        <is>
          <t>it_load_gw = active_power_gw / pue</t>
        </is>
      </c>
      <c r="I3639" s="3" t="inlineStr">
        <is>
          <t>No provider-wide site-level PUE is used as a disclosed fact; PUE represents facility-to-IT conversion within the scenario.</t>
        </is>
      </c>
      <c r="J3639" s="3" t="inlineStr">
        <is>
          <t>ASSUMP_POWER_RAMP</t>
        </is>
      </c>
      <c r="K3639" s="3" t="inlineStr">
        <is>
          <t>ASSUMP_STARGATE_RAMP; ASSUMP_MS_OPENAI_ATTRIBUTION; ASSUMP_NUMERIC_ACCELERATOR_MIX; ASSUMP_INFERENCE_SHARE_NOT_FACT_60; ASSUMP_WORKLOAD_CLASS_MIX; ASSUMP_AGENTIC_CONTEXT_PENALTY</t>
        </is>
      </c>
      <c r="L3639" s="3" t="inlineStr">
        <is>
          <t>Site-level measured PUE matched to attributed AI capacity.</t>
        </is>
      </c>
    </row>
    <row r="3640">
      <c r="A3640" s="3" t="inlineStr">
        <is>
          <t>OpenAI</t>
        </is>
      </c>
      <c r="B3640" s="3" t="n">
        <v>2029</v>
      </c>
      <c r="C3640" s="3" t="inlineStr">
        <is>
          <t>Grid-Constrained / Efficiency-Upside</t>
        </is>
      </c>
      <c r="D3640" s="3" t="inlineStr">
        <is>
          <t>it_load_gw</t>
        </is>
      </c>
      <c r="E3640" s="3" t="n">
        <v>4.259</v>
      </c>
      <c r="F3640" s="3" t="inlineStr">
        <is>
          <t>GW</t>
        </is>
      </c>
      <c r="G3640" s="3" t="inlineStr">
        <is>
          <t>Derived formula</t>
        </is>
      </c>
      <c r="H3640" s="3" t="inlineStr">
        <is>
          <t>active_power_gw / pue</t>
        </is>
      </c>
      <c r="I3640" s="3" t="inlineStr">
        <is>
          <t>Facility power is converted to IT-deliverable power before attributing AI workloads.</t>
        </is>
      </c>
      <c r="J3640" s="3" t="inlineStr">
        <is>
          <t>SRC_OPENAI_STARGATE_ORACLE; SRC_OPENAI_STARGATE_PROGRESS; ASSUMP_STARGATE_RAMP</t>
        </is>
      </c>
      <c r="K3640" s="3" t="inlineStr">
        <is>
          <t>ASSUMP_STARGATE_RAMP; ASSUMP_MS_OPENAI_ATTRIBUTION; ASSUMP_NUMERIC_ACCELERATOR_MIX; ASSUMP_INFERENCE_SHARE_NOT_FACT_60; ASSUMP_WORKLOAD_CLASS_MIX; ASSUMP_AGENTIC_CONTEXT_PENALTY</t>
        </is>
      </c>
      <c r="L3640" s="3" t="inlineStr">
        <is>
          <t>Recompute once active power and PUE become site-observable.</t>
        </is>
      </c>
    </row>
    <row r="3641">
      <c r="A3641" s="3" t="inlineStr">
        <is>
          <t>OpenAI</t>
        </is>
      </c>
      <c r="B3641" s="3" t="n">
        <v>2029</v>
      </c>
      <c r="C3641" s="3" t="inlineStr">
        <is>
          <t>Grid-Constrained / Efficiency-Upside</t>
        </is>
      </c>
      <c r="D3641" s="3" t="inlineStr">
        <is>
          <t>ai_workload_share</t>
        </is>
      </c>
      <c r="E3641" s="3" t="n">
        <v>0.88</v>
      </c>
      <c r="F3641" s="3" t="inlineStr">
        <is>
          <t>share</t>
        </is>
      </c>
      <c r="G3641" s="3" t="inlineStr">
        <is>
          <t>Scenario allocation</t>
        </is>
      </c>
      <c r="H3641" s="3" t="inlineStr">
        <is>
          <t>ai_it_load_gw = it_load_gw * ai_workload_share</t>
        </is>
      </c>
      <c r="I3641" s="3" t="inlineStr">
        <is>
          <t>Stargate capacity is AI-oriented but includes reserve, platform and non-token AI activity; 88% is a scenario.</t>
        </is>
      </c>
      <c r="J3641" s="3" t="inlineStr">
        <is>
          <t>SRC_OPENAI_GPT41_DOCS; SRC_OPENAI_STARGATE_ORACLE; SRC_OPENAI_STARGATE_PROGRESS; SRC_EPOCH_AI_DATA_CENTERS</t>
        </is>
      </c>
      <c r="K3641" s="3" t="inlineStr">
        <is>
          <t>ASSUMP_STARGATE_RAMP; ASSUMP_MS_OPENAI_ATTRIBUTION; ASSUMP_NUMERIC_ACCELERATOR_MIX; ASSUMP_INFERENCE_SHARE_NOT_FACT_60; ASSUMP_WORKLOAD_CLASS_MIX; ASSUMP_AGENTIC_CONTEXT_PENALTY</t>
        </is>
      </c>
      <c r="L3641" s="3" t="inlineStr">
        <is>
          <t>Model-owner AI workload allocation or cluster scheduling telemetry.</t>
        </is>
      </c>
    </row>
    <row r="3642">
      <c r="A3642" s="3" t="inlineStr">
        <is>
          <t>OpenAI</t>
        </is>
      </c>
      <c r="B3642" s="3" t="n">
        <v>2029</v>
      </c>
      <c r="C3642" s="3" t="inlineStr">
        <is>
          <t>Grid-Constrained / Efficiency-Upside</t>
        </is>
      </c>
      <c r="D3642" s="3" t="inlineStr">
        <is>
          <t>ai_it_load_gw</t>
        </is>
      </c>
      <c r="E3642" s="3" t="n">
        <v>3.748</v>
      </c>
      <c r="F3642" s="3" t="inlineStr">
        <is>
          <t>GW</t>
        </is>
      </c>
      <c r="G3642" s="3" t="inlineStr">
        <is>
          <t>Derived formula</t>
        </is>
      </c>
      <c r="H3642" s="3" t="inlineStr">
        <is>
          <t>it_load_gw * ai_workload_share</t>
        </is>
      </c>
      <c r="I3642" s="3" t="inlineStr">
        <is>
          <t>Only the AI-attributed portion of IT load enters training/inference allocation.</t>
        </is>
      </c>
      <c r="J3642" s="3" t="inlineStr">
        <is>
          <t>SRC_OPENAI_GPT41_DOCS; SRC_OPENAI_STARGATE_ORACLE; SRC_OPENAI_STARGATE_PROGRESS; SRC_EPOCH_AI_DATA_CENTERS</t>
        </is>
      </c>
      <c r="K3642" s="3" t="inlineStr">
        <is>
          <t>ASSUMP_STARGATE_RAMP; ASSUMP_MS_OPENAI_ATTRIBUTION; ASSUMP_NUMERIC_ACCELERATOR_MIX; ASSUMP_INFERENCE_SHARE_NOT_FACT_60; ASSUMP_WORKLOAD_CLASS_MIX; ASSUMP_AGENTIC_CONTEXT_PENALTY</t>
        </is>
      </c>
      <c r="L3642" s="3" t="inlineStr">
        <is>
          <t>Recompute after ai_workload_share is replaced by telemetry.</t>
        </is>
      </c>
    </row>
    <row r="3643">
      <c r="A3643" s="3" t="inlineStr">
        <is>
          <t>OpenAI</t>
        </is>
      </c>
      <c r="B3643" s="3" t="n">
        <v>2029</v>
      </c>
      <c r="C3643" s="3" t="inlineStr">
        <is>
          <t>Grid-Constrained / Efficiency-Upside</t>
        </is>
      </c>
      <c r="D3643" s="3" t="inlineStr">
        <is>
          <t>gpu_share</t>
        </is>
      </c>
      <c r="E3643" s="3" t="n">
        <v>0.80198</v>
      </c>
      <c r="F3643" s="3" t="inlineStr">
        <is>
          <t>share of inference-serving accelerator load</t>
        </is>
      </c>
      <c r="G3643" s="3" t="inlineStr">
        <is>
          <t>Numeric scenario</t>
        </is>
      </c>
      <c r="H3643" s="3" t="inlineStr">
        <is>
          <t>gpu_share interpolated from company 2026/2030 accelerator-mix endpoints</t>
        </is>
      </c>
      <c r="I3643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43" s="3" t="inlineStr">
        <is>
          <t>SRC_OPENAI_GPT41_DOCS; SRC_OPENAI_STARGATE_ORACLE; SRC_OPENAI_STARGATE_PROGRESS; SRC_EPOCH_AI_DATA_CENTERS; ASSUMP_NUMERIC_ACCELERATOR_MIX</t>
        </is>
      </c>
      <c r="K3643" s="3" t="inlineStr">
        <is>
          <t>ASSUMP_STARGATE_RAMP; ASSUMP_MS_OPENAI_ATTRIBUTION; ASSUMP_NUMERIC_ACCELERATOR_MIX; ASSUMP_INFERENCE_SHARE_NOT_FACT_60; ASSUMP_WORKLOAD_CLASS_MIX; ASSUMP_AGENTIC_CONTEXT_PENALTY</t>
        </is>
      </c>
      <c r="L3643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44">
      <c r="A3644" s="3" t="inlineStr">
        <is>
          <t>OpenAI</t>
        </is>
      </c>
      <c r="B3644" s="3" t="n">
        <v>2029</v>
      </c>
      <c r="C3644" s="3" t="inlineStr">
        <is>
          <t>Grid-Constrained / Efficiency-Upside</t>
        </is>
      </c>
      <c r="D3644" s="3" t="inlineStr">
        <is>
          <t>h200_share</t>
        </is>
      </c>
      <c r="E3644" s="3" t="n">
        <v>0.102937</v>
      </c>
      <c r="F3644" s="3" t="inlineStr">
        <is>
          <t>share of inference-serving accelerator load</t>
        </is>
      </c>
      <c r="G3644" s="3" t="inlineStr">
        <is>
          <t>Editable numeric scenario</t>
        </is>
      </c>
      <c r="H3644" s="3" t="inlineStr">
        <is>
          <t>h200_share = gpu_share * default_gpu_generation_mix_h200</t>
        </is>
      </c>
      <c r="I3644" s="3" t="inlineStr">
        <is>
          <t>Default GPU-generation migration assumption; executive workbook allows later manual replacement by company/year/scenario.</t>
        </is>
      </c>
      <c r="J3644" s="3" t="inlineStr">
        <is>
          <t>SRC_SEMIANALYSIS_INFERENCEX; ASSUMP_NUMERIC_ACCELERATOR_MIX</t>
        </is>
      </c>
      <c r="K3644" s="3" t="inlineStr">
        <is>
          <t>ASSUMP_STARGATE_RAMP; ASSUMP_MS_OPENAI_ATTRIBUTION; ASSUMP_NUMERIC_ACCELERATOR_MIX; ASSUMP_INFERENCE_SHARE_NOT_FACT_60; ASSUMP_WORKLOAD_CLASS_MIX; ASSUMP_AGENTIC_CONTEXT_PENALTY</t>
        </is>
      </c>
      <c r="L3644" s="3" t="inlineStr">
        <is>
          <t>Company fleet inventory, accelerator-hours or procurement/deployment records by GPU generation.</t>
        </is>
      </c>
    </row>
    <row r="3645">
      <c r="A3645" s="3" t="inlineStr">
        <is>
          <t>OpenAI</t>
        </is>
      </c>
      <c r="B3645" s="3" t="n">
        <v>2029</v>
      </c>
      <c r="C3645" s="3" t="inlineStr">
        <is>
          <t>Grid-Constrained / Efficiency-Upside</t>
        </is>
      </c>
      <c r="D3645" s="3" t="inlineStr">
        <is>
          <t>b200_share</t>
        </is>
      </c>
      <c r="E3645" s="3" t="n">
        <v>0.529748</v>
      </c>
      <c r="F3645" s="3" t="inlineStr">
        <is>
          <t>share of inference-serving accelerator load</t>
        </is>
      </c>
      <c r="G3645" s="3" t="inlineStr">
        <is>
          <t>Editable numeric scenario</t>
        </is>
      </c>
      <c r="H3645" s="3" t="inlineStr">
        <is>
          <t>b200_share = gpu_share * default_gpu_generation_mix_b200</t>
        </is>
      </c>
      <c r="I3645" s="3" t="inlineStr">
        <is>
          <t>Default GPU-generation migration assumption; executive workbook allows later manual replacement by company/year/scenario.</t>
        </is>
      </c>
      <c r="J3645" s="3" t="inlineStr">
        <is>
          <t>SRC_SEMIANALYSIS_INFERENCEX; ASSUMP_NUMERIC_ACCELERATOR_MIX</t>
        </is>
      </c>
      <c r="K3645" s="3" t="inlineStr">
        <is>
          <t>ASSUMP_STARGATE_RAMP; ASSUMP_MS_OPENAI_ATTRIBUTION; ASSUMP_NUMERIC_ACCELERATOR_MIX; ASSUMP_INFERENCE_SHARE_NOT_FACT_60; ASSUMP_WORKLOAD_CLASS_MIX; ASSUMP_AGENTIC_CONTEXT_PENALTY</t>
        </is>
      </c>
      <c r="L3645" s="3" t="inlineStr">
        <is>
          <t>Company fleet inventory, accelerator-hours or procurement/deployment records by GPU generation.</t>
        </is>
      </c>
    </row>
    <row r="3646">
      <c r="A3646" s="3" t="inlineStr">
        <is>
          <t>OpenAI</t>
        </is>
      </c>
      <c r="B3646" s="3" t="n">
        <v>2029</v>
      </c>
      <c r="C3646" s="3" t="inlineStr">
        <is>
          <t>Grid-Constrained / Efficiency-Upside</t>
        </is>
      </c>
      <c r="D3646" s="3" t="inlineStr">
        <is>
          <t>gb200_share</t>
        </is>
      </c>
      <c r="E3646" s="3" t="n">
        <v>0.169295</v>
      </c>
      <c r="F3646" s="3" t="inlineStr">
        <is>
          <t>share of inference-serving accelerator load</t>
        </is>
      </c>
      <c r="G3646" s="3" t="inlineStr">
        <is>
          <t>Editable numeric scenario</t>
        </is>
      </c>
      <c r="H3646" s="3" t="inlineStr">
        <is>
          <t>gb200_share = gpu_share * default_gpu_generation_mix_gb200</t>
        </is>
      </c>
      <c r="I3646" s="3" t="inlineStr">
        <is>
          <t>Default GPU-generation migration assumption; executive workbook allows later manual replacement by company/year/scenario.</t>
        </is>
      </c>
      <c r="J3646" s="3" t="inlineStr">
        <is>
          <t>SRC_SEMIANALYSIS_INFERENCEX; ASSUMP_NUMERIC_ACCELERATOR_MIX</t>
        </is>
      </c>
      <c r="K3646" s="3" t="inlineStr">
        <is>
          <t>ASSUMP_STARGATE_RAMP; ASSUMP_MS_OPENAI_ATTRIBUTION; ASSUMP_NUMERIC_ACCELERATOR_MIX; ASSUMP_INFERENCE_SHARE_NOT_FACT_60; ASSUMP_WORKLOAD_CLASS_MIX; ASSUMP_AGENTIC_CONTEXT_PENALTY</t>
        </is>
      </c>
      <c r="L3646" s="3" t="inlineStr">
        <is>
          <t>Company fleet inventory, accelerator-hours or procurement/deployment records by GPU generation.</t>
        </is>
      </c>
    </row>
    <row r="3647">
      <c r="A3647" s="3" t="inlineStr">
        <is>
          <t>OpenAI</t>
        </is>
      </c>
      <c r="B3647" s="3" t="n">
        <v>2029</v>
      </c>
      <c r="C3647" s="3" t="inlineStr">
        <is>
          <t>Grid-Constrained / Efficiency-Upside</t>
        </is>
      </c>
      <c r="D3647" s="3" t="inlineStr">
        <is>
          <t>purpose_built_accelerator_share</t>
        </is>
      </c>
      <c r="E3647" s="3" t="n">
        <v>0.19802</v>
      </c>
      <c r="F3647" s="3" t="inlineStr">
        <is>
          <t>share of inference-serving accelerator load</t>
        </is>
      </c>
      <c r="G3647" s="3" t="inlineStr">
        <is>
          <t>Numeric scenario</t>
        </is>
      </c>
      <c r="H3647" s="3" t="inlineStr">
        <is>
          <t>1 - gpu_share</t>
        </is>
      </c>
      <c r="I3647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47" s="3" t="inlineStr">
        <is>
          <t>SRC_OPENAI_GPT41_DOCS; SRC_OPENAI_STARGATE_ORACLE; SRC_OPENAI_STARGATE_PROGRESS; SRC_EPOCH_AI_DATA_CENTERS; ASSUMP_NUMERIC_ACCELERATOR_MIX</t>
        </is>
      </c>
      <c r="K3647" s="3" t="inlineStr">
        <is>
          <t>ASSUMP_STARGATE_RAMP; ASSUMP_MS_OPENAI_ATTRIBUTION; ASSUMP_NUMERIC_ACCELERATOR_MIX; ASSUMP_INFERENCE_SHARE_NOT_FACT_60; ASSUMP_WORKLOAD_CLASS_MIX; ASSUMP_AGENTIC_CONTEXT_PENALTY</t>
        </is>
      </c>
      <c r="L3647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48">
      <c r="A3648" s="3" t="inlineStr">
        <is>
          <t>OpenAI</t>
        </is>
      </c>
      <c r="B3648" s="3" t="n">
        <v>2029</v>
      </c>
      <c r="C3648" s="3" t="inlineStr">
        <is>
          <t>Grid-Constrained / Efficiency-Upside</t>
        </is>
      </c>
      <c r="D3648" s="3" t="inlineStr">
        <is>
          <t>fleet_reference_tps_per_mw</t>
        </is>
      </c>
      <c r="E3648" s="3" t="n">
        <v>237773</v>
      </c>
      <c r="F3648" s="3" t="inlineStr">
        <is>
          <t>generated output tokens/sec/MW</t>
        </is>
      </c>
      <c r="G3648" s="3" t="inlineStr">
        <is>
          <t>Fleet-weighted public benchmark reference</t>
        </is>
      </c>
      <c r="H3648" s="3" t="inlineStr">
        <is>
          <t>h200_share*h200_workload_avg + b200_share*b200_workload_avg + gb200_share*gb200_workload_avg + purpose_built_share*purpose_workload_avg</t>
        </is>
      </c>
      <c r="I3648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48" s="3" t="inlineStr">
        <is>
          <t>SRC_SEMIANALYSIS_INFERENCEX; ASSUMP_NUMERIC_ACCELERATOR_MIX; ASSUMP_WORKLOAD_CLASS_MIX; ASSUMP_AGENTIC_CONTEXT_PENALTY</t>
        </is>
      </c>
      <c r="K3648" s="3" t="inlineStr">
        <is>
          <t>ASSUMP_STARGATE_RAMP; ASSUMP_MS_OPENAI_ATTRIBUTION; ASSUMP_NUMERIC_ACCELERATOR_MIX; ASSUMP_INFERENCE_SHARE_NOT_FACT_60; ASSUMP_WORKLOAD_CLASS_MIX; ASSUMP_AGENTIC_CONTEXT_PENALTY</t>
        </is>
      </c>
      <c r="L3648" s="3" t="inlineStr">
        <is>
          <t>Comparable production output-token throughput or a more closely matched benchmark.</t>
        </is>
      </c>
    </row>
    <row r="3649">
      <c r="A3649" s="3" t="inlineStr">
        <is>
          <t>OpenAI</t>
        </is>
      </c>
      <c r="B3649" s="3" t="n">
        <v>2029</v>
      </c>
      <c r="C3649" s="3" t="inlineStr">
        <is>
          <t>Grid-Constrained / Efficiency-Upside</t>
        </is>
      </c>
      <c r="D3649" s="3" t="inlineStr">
        <is>
          <t>commercial_workload_fit_factor</t>
        </is>
      </c>
      <c r="E3649" s="3" t="n">
        <v>0.5</v>
      </c>
      <c r="F3649" s="3" t="inlineStr">
        <is>
          <t>share of public reference throughput</t>
        </is>
      </c>
      <c r="G3649" s="3" t="inlineStr">
        <is>
          <t>Scenario assumption</t>
        </is>
      </c>
      <c r="H3649" s="3" t="inlineStr">
        <is>
          <t>reference_serving_tps_per_mw = fleet_reference_tps_per_mw * commercial_workload_fit_factor</t>
        </is>
      </c>
      <c r="I3649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49" s="3" t="inlineStr">
        <is>
          <t>SRC_SEMIANALYSIS_INFERENCEX; ASSUMP_NUMERIC_ACCELERATOR_MIX; ASSUMP_WORKLOAD_CLASS_MIX; ASSUMP_AGENTIC_CONTEXT_PENALTY</t>
        </is>
      </c>
      <c r="K3649" s="3" t="inlineStr">
        <is>
          <t>ASSUMP_STARGATE_RAMP; ASSUMP_MS_OPENAI_ATTRIBUTION; ASSUMP_NUMERIC_ACCELERATOR_MIX; ASSUMP_INFERENCE_SHARE_NOT_FACT_60; ASSUMP_WORKLOAD_CLASS_MIX; ASSUMP_AGENTIC_CONTEXT_PENALTY</t>
        </is>
      </c>
      <c r="L3649" s="3" t="inlineStr">
        <is>
          <t>Matched commercial serving benchmark by product surface, context shape and latency SLO.</t>
        </is>
      </c>
    </row>
    <row r="3650">
      <c r="A3650" s="3" t="inlineStr">
        <is>
          <t>OpenAI</t>
        </is>
      </c>
      <c r="B3650" s="3" t="n">
        <v>2029</v>
      </c>
      <c r="C3650" s="3" t="inlineStr">
        <is>
          <t>Grid-Constrained / Efficiency-Upside</t>
        </is>
      </c>
      <c r="D3650" s="3" t="inlineStr">
        <is>
          <t>reference_serving_tps_per_mw</t>
        </is>
      </c>
      <c r="E3650" s="3" t="n">
        <v>118886</v>
      </c>
      <c r="F3650" s="3" t="inlineStr">
        <is>
          <t>generated output tokens/sec/MW</t>
        </is>
      </c>
      <c r="G3650" s="3" t="inlineStr">
        <is>
          <t>Workload-adjusted benchmark proxy</t>
        </is>
      </c>
      <c r="H3650" s="3" t="inlineStr">
        <is>
          <t>fleet_reference_tps_per_mw * commercial_workload_fit_factor</t>
        </is>
      </c>
      <c r="I3650" s="3" t="inlineStr">
        <is>
          <t>This is the coefficient used for headline token generation; each GPU's short chat, long chat and agentic TPS/MW are weighted before fleet mix and commercial fit are applied.</t>
        </is>
      </c>
      <c r="J3650" s="3" t="inlineStr">
        <is>
          <t>SRC_SEMIANALYSIS_INFERENCEX; ASSUMP_NUMERIC_ACCELERATOR_MIX; ASSUMP_WORKLOAD_CLASS_MIX; ASSUMP_AGENTIC_CONTEXT_PENALTY</t>
        </is>
      </c>
      <c r="K3650" s="3" t="inlineStr">
        <is>
          <t>ASSUMP_STARGATE_RAMP; ASSUMP_MS_OPENAI_ATTRIBUTION; ASSUMP_NUMERIC_ACCELERATOR_MIX; ASSUMP_INFERENCE_SHARE_NOT_FACT_60; ASSUMP_WORKLOAD_CLASS_MIX; ASSUMP_AGENTIC_CONTEXT_PENALTY</t>
        </is>
      </c>
      <c r="L3650" s="3" t="inlineStr">
        <is>
          <t>Provider production output-token throughput with comparable workload/SLO.</t>
        </is>
      </c>
    </row>
    <row r="3651">
      <c r="A3651" s="3" t="inlineStr">
        <is>
          <t>OpenAI</t>
        </is>
      </c>
      <c r="B3651" s="3" t="n">
        <v>2029</v>
      </c>
      <c r="C3651" s="3" t="inlineStr">
        <is>
          <t>Grid-Constrained / Efficiency-Upside</t>
        </is>
      </c>
      <c r="D3651" s="3" t="inlineStr">
        <is>
          <t>purpose_built_tps_per_mw</t>
        </is>
      </c>
      <c r="E3651" s="3" t="n">
        <v>67653</v>
      </c>
      <c r="F3651" s="3" t="inlineStr">
        <is>
          <t>generated output tokens/sec/MW</t>
        </is>
      </c>
      <c r="G3651" s="3" t="inlineStr">
        <is>
          <t>Conservative no-uplift proxy</t>
        </is>
      </c>
      <c r="H3651" s="3" t="inlineStr">
        <is>
          <t>purpose_built_tps_per_mw = purpose_built_reference_tps_per_mw * commercial_workload_fit_factor until comparable output-token benchmark is adopted</t>
        </is>
      </c>
      <c r="I3651" s="3" t="inlineStr">
        <is>
          <t>No comparable public output-token/MW row adopted; B200 public reference placeholder is used and remains editable.</t>
        </is>
      </c>
      <c r="J3651" s="3" t="inlineStr">
        <is>
          <t>SRC_OPENAI_GPT41_DOCS; SRC_OPENAI_STARGATE_ORACLE; SRC_OPENAI_STARGATE_PROGRESS; SRC_EPOCH_AI_DATA_CENTERS; ASSUMP_NUMERIC_ACCELERATOR_MIX</t>
        </is>
      </c>
      <c r="K3651" s="3" t="inlineStr">
        <is>
          <t>ASSUMP_STARGATE_RAMP; ASSUMP_MS_OPENAI_ATTRIBUTION; ASSUMP_NUMERIC_ACCELERATOR_MIX; ASSUMP_INFERENCE_SHARE_NOT_FACT_60; ASSUMP_WORKLOAD_CLASS_MIX; ASSUMP_AGENTIC_CONTEXT_PENALTY</t>
        </is>
      </c>
      <c r="L3651" s="3" t="inlineStr">
        <is>
          <t>Matched-workload generated-output benchmark for the provider purpose-built accelerator.</t>
        </is>
      </c>
    </row>
    <row r="3652">
      <c r="A3652" s="3" t="inlineStr">
        <is>
          <t>OpenAI</t>
        </is>
      </c>
      <c r="B3652" s="3" t="n">
        <v>2029</v>
      </c>
      <c r="C3652" s="3" t="inlineStr">
        <is>
          <t>Grid-Constrained / Efficiency-Upside</t>
        </is>
      </c>
      <c r="D3652" s="3" t="inlineStr">
        <is>
          <t>inference_power_share</t>
        </is>
      </c>
      <c r="E3652" s="3" t="n">
        <v>0.765</v>
      </c>
      <c r="F3652" s="3" t="inlineStr">
        <is>
          <t>share of AI IT load</t>
        </is>
      </c>
      <c r="G3652" s="3" t="inlineStr">
        <is>
          <t>Scenario allocation</t>
        </is>
      </c>
      <c r="H3652" s="3" t="inlineStr">
        <is>
          <t>inference_gw = ai_it_load_gw * inference_power_share</t>
        </is>
      </c>
      <c r="I3652" s="3" t="inlineStr">
        <is>
          <t>ChatGPT/API/enterprise commercial surfaces support increasing inference allocation while training remains material.</t>
        </is>
      </c>
      <c r="J3652" s="3" t="inlineStr">
        <is>
          <t>SRC_OPENAI_GPT41_DOCS; SRC_OPENAI_STARGATE_ORACLE; SRC_OPENAI_STARGATE_PROGRESS; SRC_EPOCH_AI_DATA_CENTERS; ASSUMP_INFERENCE_SHARE_NOT_FACT_60</t>
        </is>
      </c>
      <c r="K3652" s="3" t="inlineStr">
        <is>
          <t>ASSUMP_STARGATE_RAMP; ASSUMP_MS_OPENAI_ATTRIBUTION; ASSUMP_NUMERIC_ACCELERATOR_MIX; ASSUMP_INFERENCE_SHARE_NOT_FACT_60; ASSUMP_WORKLOAD_CLASS_MIX; ASSUMP_AGENTIC_CONTEXT_PENALTY</t>
        </is>
      </c>
      <c r="L3652" s="3" t="inlineStr">
        <is>
          <t>Provider-specific inference/training workload power telemetry.</t>
        </is>
      </c>
    </row>
    <row r="3653">
      <c r="A3653" s="3" t="inlineStr">
        <is>
          <t>OpenAI</t>
        </is>
      </c>
      <c r="B3653" s="3" t="n">
        <v>2029</v>
      </c>
      <c r="C3653" s="3" t="inlineStr">
        <is>
          <t>Grid-Constrained / Efficiency-Upside</t>
        </is>
      </c>
      <c r="D3653" s="3" t="inlineStr">
        <is>
          <t>inference_gw</t>
        </is>
      </c>
      <c r="E3653" s="3" t="n">
        <v>2.867</v>
      </c>
      <c r="F3653" s="3" t="inlineStr">
        <is>
          <t>GW</t>
        </is>
      </c>
      <c r="G3653" s="3" t="inlineStr">
        <is>
          <t>Derived formula</t>
        </is>
      </c>
      <c r="H3653" s="3" t="inlineStr">
        <is>
          <t>ai_it_load_gw * inference_power_share</t>
        </is>
      </c>
      <c r="I3653" s="3" t="inlineStr">
        <is>
          <t>This is the operational power eligible to become commercial generated output tokens through the selected TPS/MW proxy.</t>
        </is>
      </c>
      <c r="J3653" s="3" t="inlineStr">
        <is>
          <t>SRC_OPENAI_GPT41_DOCS; SRC_OPENAI_STARGATE_ORACLE; SRC_OPENAI_STARGATE_PROGRESS; SRC_EPOCH_AI_DATA_CENTERS</t>
        </is>
      </c>
      <c r="K3653" s="3" t="inlineStr">
        <is>
          <t>ASSUMP_STARGATE_RAMP; ASSUMP_MS_OPENAI_ATTRIBUTION; ASSUMP_NUMERIC_ACCELERATOR_MIX; ASSUMP_INFERENCE_SHARE_NOT_FACT_60; ASSUMP_WORKLOAD_CLASS_MIX; ASSUMP_AGENTIC_CONTEXT_PENALTY</t>
        </is>
      </c>
      <c r="L3653" s="3" t="inlineStr">
        <is>
          <t>Recompute after AI allocation or inference-share evidence changes.</t>
        </is>
      </c>
    </row>
    <row r="3654">
      <c r="A3654" s="3" t="inlineStr">
        <is>
          <t>OpenAI</t>
        </is>
      </c>
      <c r="B3654" s="3" t="n">
        <v>2029</v>
      </c>
      <c r="C3654" s="3" t="inlineStr">
        <is>
          <t>Grid-Constrained / Efficiency-Upside</t>
        </is>
      </c>
      <c r="D3654" s="3" t="inlineStr">
        <is>
          <t>training_power_share</t>
        </is>
      </c>
      <c r="E3654" s="3" t="n">
        <v>0.235</v>
      </c>
      <c r="F3654" s="3" t="inlineStr">
        <is>
          <t>share of AI IT load</t>
        </is>
      </c>
      <c r="G3654" s="3" t="inlineStr">
        <is>
          <t>Derived allocation</t>
        </is>
      </c>
      <c r="H3654" s="3" t="inlineStr">
        <is>
          <t>1 - inference_power_share</t>
        </is>
      </c>
      <c r="I3654" s="3" t="inlineStr">
        <is>
          <t>Training receives the complementary modeled AI IT allocation; it is not a disclosed company workload split.</t>
        </is>
      </c>
      <c r="J3654" s="3" t="inlineStr">
        <is>
          <t>SRC_OPENAI_GPT41_DOCS; SRC_OPENAI_STARGATE_ORACLE; SRC_OPENAI_STARGATE_PROGRESS; SRC_EPOCH_AI_DATA_CENTERS; ASSUMP_INFERENCE_SHARE_NOT_FACT_60</t>
        </is>
      </c>
      <c r="K3654" s="3" t="inlineStr">
        <is>
          <t>ASSUMP_STARGATE_RAMP; ASSUMP_MS_OPENAI_ATTRIBUTION; ASSUMP_NUMERIC_ACCELERATOR_MIX; ASSUMP_INFERENCE_SHARE_NOT_FACT_60; ASSUMP_WORKLOAD_CLASS_MIX; ASSUMP_AGENTIC_CONTEXT_PENALTY</t>
        </is>
      </c>
      <c r="L3654" s="3" t="inlineStr">
        <is>
          <t>Provider-specific inference/training workload power telemetry.</t>
        </is>
      </c>
    </row>
    <row r="3655">
      <c r="A3655" s="3" t="inlineStr">
        <is>
          <t>OpenAI</t>
        </is>
      </c>
      <c r="B3655" s="3" t="n">
        <v>2029</v>
      </c>
      <c r="C3655" s="3" t="inlineStr">
        <is>
          <t>Grid-Constrained / Efficiency-Upside</t>
        </is>
      </c>
      <c r="D3655" s="3" t="inlineStr">
        <is>
          <t>training_gw</t>
        </is>
      </c>
      <c r="E3655" s="3" t="n">
        <v>0.881</v>
      </c>
      <c r="F3655" s="3" t="inlineStr">
        <is>
          <t>GW</t>
        </is>
      </c>
      <c r="G3655" s="3" t="inlineStr">
        <is>
          <t>Derived formula</t>
        </is>
      </c>
      <c r="H3655" s="3" t="inlineStr">
        <is>
          <t>ai_it_load_gw * training_power_share</t>
        </is>
      </c>
      <c r="I3655" s="3" t="inlineStr">
        <is>
          <t>Training GW is shown separately so commercial inference token capacity is not overstated.</t>
        </is>
      </c>
      <c r="J3655" s="3" t="inlineStr">
        <is>
          <t>SRC_OPENAI_GPT41_DOCS; SRC_OPENAI_STARGATE_ORACLE; SRC_OPENAI_STARGATE_PROGRESS; SRC_EPOCH_AI_DATA_CENTERS</t>
        </is>
      </c>
      <c r="K3655" s="3" t="inlineStr">
        <is>
          <t>ASSUMP_STARGATE_RAMP; ASSUMP_MS_OPENAI_ATTRIBUTION; ASSUMP_NUMERIC_ACCELERATOR_MIX; ASSUMP_INFERENCE_SHARE_NOT_FACT_60; ASSUMP_WORKLOAD_CLASS_MIX; ASSUMP_AGENTIC_CONTEXT_PENALTY</t>
        </is>
      </c>
      <c r="L3655" s="3" t="inlineStr">
        <is>
          <t>Recompute after AI allocation or workload-split evidence changes.</t>
        </is>
      </c>
    </row>
    <row r="3656">
      <c r="A3656" s="3" t="inlineStr">
        <is>
          <t>OpenAI</t>
        </is>
      </c>
      <c r="B3656" s="3" t="n">
        <v>2029</v>
      </c>
      <c r="C3656" s="3" t="inlineStr">
        <is>
          <t>Grid-Constrained / Efficiency-Upside</t>
        </is>
      </c>
      <c r="D3656" s="3" t="inlineStr">
        <is>
          <t>tokens_per_second_per_mw</t>
        </is>
      </c>
      <c r="E3656" s="3" t="n">
        <v>118886</v>
      </c>
      <c r="F3656" s="3" t="inlineStr">
        <is>
          <t>generated output tokens/sec/MW</t>
        </is>
      </c>
      <c r="G3656" s="3" t="inlineStr">
        <is>
          <t>Derived estimate + benchmark calibration</t>
        </is>
      </c>
      <c r="H3656" s="3" t="inlineStr">
        <is>
          <t>fleet_reference_tps_per_mw * commercial_workload_fit_factor</t>
        </is>
      </c>
      <c r="I3656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56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56" s="3" t="inlineStr">
        <is>
          <t>ASSUMP_STARGATE_RAMP; ASSUMP_MS_OPENAI_ATTRIBUTION; ASSUMP_NUMERIC_ACCELERATOR_MIX; ASSUMP_INFERENCE_SHARE_NOT_FACT_60; ASSUMP_WORKLOAD_CLASS_MIX; ASSUMP_AGENTIC_CONTEXT_PENALTY</t>
        </is>
      </c>
      <c r="L3656" s="3" t="inlineStr">
        <is>
          <t>Comparable production output-token throughput with model, hardware, precision, ISL/OSL and SLO matched.</t>
        </is>
      </c>
    </row>
    <row r="3657">
      <c r="A3657" s="3" t="inlineStr">
        <is>
          <t>OpenAI</t>
        </is>
      </c>
      <c r="B3657" s="3" t="n">
        <v>2029</v>
      </c>
      <c r="C3657" s="3" t="inlineStr">
        <is>
          <t>Grid-Constrained / Efficiency-Upside</t>
        </is>
      </c>
      <c r="D3657" s="3" t="inlineStr">
        <is>
          <t>inference_tokens_per_day</t>
        </is>
      </c>
      <c r="E3657" s="3" t="n">
        <v>29449108396800</v>
      </c>
      <c r="F3657" s="3" t="inlineStr">
        <is>
          <t>generated output tokens/day</t>
        </is>
      </c>
      <c r="G3657" s="3" t="inlineStr">
        <is>
          <t>Derived headline metric</t>
        </is>
      </c>
      <c r="H3657" s="3" t="inlineStr">
        <is>
          <t>inference_gw * 1000 * tokens_per_second_per_mw * 86,400</t>
        </is>
      </c>
      <c r="I3657" s="3" t="inlineStr">
        <is>
          <t>Headline capacity uses no utilization, MoE, architecture or software-growth multiplier; it is not observed commercial output volume.</t>
        </is>
      </c>
      <c r="J3657" s="3" t="inlineStr">
        <is>
          <t>SRC_OPENAI_GPT41_DOCS; SRC_OPENAI_STARGATE_ORACLE; SRC_OPENAI_STARGATE_PROGRESS; SRC_EPOCH_AI_DATA_CENTERS; SRC_SEMIANALYSIS_INFERENCEX</t>
        </is>
      </c>
      <c r="K3657" s="3" t="inlineStr">
        <is>
          <t>ASSUMP_STARGATE_RAMP; ASSUMP_MS_OPENAI_ATTRIBUTION; ASSUMP_NUMERIC_ACCELERATOR_MIX; ASSUMP_INFERENCE_SHARE_NOT_FACT_60; ASSUMP_WORKLOAD_CLASS_MIX; ASSUMP_AGENTIC_CONTEXT_PENALTY</t>
        </is>
      </c>
      <c r="L3657" s="3" t="inlineStr">
        <is>
          <t>Provider-disclosed generated output token volume or calibrated capacity telemetry.</t>
        </is>
      </c>
    </row>
    <row r="3658">
      <c r="A3658" s="3" t="inlineStr">
        <is>
          <t>OpenAI</t>
        </is>
      </c>
      <c r="B3658" s="3" t="n">
        <v>2029</v>
      </c>
      <c r="C3658" s="3" t="inlineStr">
        <is>
          <t>Grid-Constrained / Efficiency-Upside</t>
        </is>
      </c>
      <c r="D3658" s="3" t="inlineStr">
        <is>
          <t>inference_tokens_per_year</t>
        </is>
      </c>
      <c r="E3658" s="3" t="n">
        <v>1.0748924564832e+16</v>
      </c>
      <c r="F3658" s="3" t="inlineStr">
        <is>
          <t>generated output tokens/year</t>
        </is>
      </c>
      <c r="G3658" s="3" t="inlineStr">
        <is>
          <t>Derived headline metric</t>
        </is>
      </c>
      <c r="H3658" s="3" t="inlineStr">
        <is>
          <t>inference_tokens_per_day * 365</t>
        </is>
      </c>
      <c r="I3658" s="3" t="inlineStr">
        <is>
          <t>Annualized version of generated output token capacity; it is not observed annual demand or billable volume.</t>
        </is>
      </c>
      <c r="J3658" s="3" t="inlineStr">
        <is>
          <t>SRC_OPENAI_GPT41_DOCS; SRC_OPENAI_STARGATE_ORACLE; SRC_OPENAI_STARGATE_PROGRESS; SRC_EPOCH_AI_DATA_CENTERS; SRC_SEMIANALYSIS_INFERENCEX</t>
        </is>
      </c>
      <c r="K3658" s="3" t="inlineStr">
        <is>
          <t>ASSUMP_STARGATE_RAMP; ASSUMP_MS_OPENAI_ATTRIBUTION; ASSUMP_NUMERIC_ACCELERATOR_MIX; ASSUMP_INFERENCE_SHARE_NOT_FACT_60; ASSUMP_WORKLOAD_CLASS_MIX; ASSUMP_AGENTIC_CONTEXT_PENALTY</t>
        </is>
      </c>
      <c r="L3658" s="3" t="inlineStr">
        <is>
          <t>Provider-disclosed annual generated-output volume or metered serving telemetry.</t>
        </is>
      </c>
    </row>
    <row r="3659">
      <c r="A3659" s="3" t="inlineStr">
        <is>
          <t>OpenAI</t>
        </is>
      </c>
      <c r="B3659" s="3" t="n">
        <v>2030</v>
      </c>
      <c r="C3659" s="3" t="inlineStr">
        <is>
          <t>Grid-Constrained / Efficiency-Upside</t>
        </is>
      </c>
      <c r="D3659" s="3" t="inlineStr">
        <is>
          <t>contracted_power_gw</t>
        </is>
      </c>
      <c r="E3659" s="3" t="n">
        <v>12</v>
      </c>
      <c r="F3659" s="3" t="inlineStr">
        <is>
          <t>GW</t>
        </is>
      </c>
      <c r="G3659" s="3" t="inlineStr">
        <is>
          <t>Fact anchor + scenario ceiling</t>
        </is>
      </c>
      <c r="H3659" s="3" t="inlineStr">
        <is>
          <t>linear interpolation between 2026 and 2030 company capacity endpoints</t>
        </is>
      </c>
      <c r="I3659" s="3" t="inlineStr">
        <is>
          <t>2030 envelope is bounded by official Stargate planned/committed capacity; 2026 and timing remain staged scenario values.</t>
        </is>
      </c>
      <c r="J3659" s="3" t="inlineStr">
        <is>
          <t>SRC_OPENAI_STARGATE_ORACLE; SRC_OPENAI_STARGATE_PROGRESS; ASSUMP_STARGATE_RAMP</t>
        </is>
      </c>
      <c r="K3659" s="3" t="inlineStr">
        <is>
          <t>ASSUMP_STARGATE_RAMP; ASSUMP_MS_OPENAI_ATTRIBUTION; ASSUMP_NUMERIC_ACCELERATOR_MIX; ASSUMP_INFERENCE_SHARE_NOT_FACT_60; ASSUMP_WORKLOAD_CLASS_MIX; ASSUMP_AGENTIC_CONTEXT_PENALTY</t>
        </is>
      </c>
      <c r="L3659" s="3" t="inlineStr">
        <is>
          <t>Company/site-level committed MW/GW, interconnect and contract disclosure.</t>
        </is>
      </c>
    </row>
    <row r="3660">
      <c r="A3660" s="3" t="inlineStr">
        <is>
          <t>OpenAI</t>
        </is>
      </c>
      <c r="B3660" s="3" t="n">
        <v>2030</v>
      </c>
      <c r="C3660" s="3" t="inlineStr">
        <is>
          <t>Grid-Constrained / Efficiency-Upside</t>
        </is>
      </c>
      <c r="D3660" s="3" t="inlineStr">
        <is>
          <t>operational_deployment_share</t>
        </is>
      </c>
      <c r="E3660" s="3" t="n">
        <v>0.51</v>
      </c>
      <c r="F3660" s="3" t="inlineStr">
        <is>
          <t>share</t>
        </is>
      </c>
      <c r="G3660" s="3" t="inlineStr">
        <is>
          <t>Scenario conversion</t>
        </is>
      </c>
      <c r="H3660" s="3" t="inlineStr">
        <is>
          <t>active_power_gw / contracted_power_gw</t>
        </is>
      </c>
      <c r="I3660" s="3" t="inlineStr">
        <is>
          <t>This is the single explicit conversion from contracted/attributed capacity to operationally usable capacity.</t>
        </is>
      </c>
      <c r="J3660" s="3" t="inlineStr">
        <is>
          <t>SRC_OPENAI_STARGATE_ORACLE; SRC_OPENAI_STARGATE_PROGRESS; ASSUMP_STARGATE_RAMP</t>
        </is>
      </c>
      <c r="K3660" s="3" t="inlineStr">
        <is>
          <t>ASSUMP_STARGATE_RAMP; ASSUMP_MS_OPENAI_ATTRIBUTION; ASSUMP_NUMERIC_ACCELERATOR_MIX; ASSUMP_INFERENCE_SHARE_NOT_FACT_60; ASSUMP_WORKLOAD_CLASS_MIX; ASSUMP_AGENTIC_CONTEXT_PENALTY</t>
        </is>
      </c>
      <c r="L3660" s="3" t="inlineStr">
        <is>
          <t>Energized operational capacity divided by contracted/attributed capacity.</t>
        </is>
      </c>
    </row>
    <row r="3661">
      <c r="A3661" s="3" t="inlineStr">
        <is>
          <t>OpenAI</t>
        </is>
      </c>
      <c r="B3661" s="3" t="n">
        <v>2030</v>
      </c>
      <c r="C3661" s="3" t="inlineStr">
        <is>
          <t>Grid-Constrained / Efficiency-Upside</t>
        </is>
      </c>
      <c r="D3661" s="3" t="inlineStr">
        <is>
          <t>active_power_gw</t>
        </is>
      </c>
      <c r="E3661" s="3" t="n">
        <v>6.12</v>
      </c>
      <c r="F3661" s="3" t="inlineStr">
        <is>
          <t>GW</t>
        </is>
      </c>
      <c r="G3661" s="3" t="inlineStr">
        <is>
          <t>Derived scenario</t>
        </is>
      </c>
      <c r="H3661" s="3" t="inlineStr">
        <is>
          <t>contracted_power_gw * operational_deployment_share</t>
        </is>
      </c>
      <c r="I3661" s="3" t="inlineStr">
        <is>
          <t>Official capacity announcements are converted to active GW only through energization/GPU-deployment ramp assumptions.</t>
        </is>
      </c>
      <c r="J3661" s="3" t="inlineStr">
        <is>
          <t>SRC_OPENAI_STARGATE_ORACLE; SRC_OPENAI_STARGATE_PROGRESS; ASSUMP_STARGATE_RAMP</t>
        </is>
      </c>
      <c r="K3661" s="3" t="inlineStr">
        <is>
          <t>ASSUMP_STARGATE_RAMP; ASSUMP_MS_OPENAI_ATTRIBUTION; ASSUMP_NUMERIC_ACCELERATOR_MIX; ASSUMP_INFERENCE_SHARE_NOT_FACT_60; ASSUMP_WORKLOAD_CLASS_MIX; ASSUMP_AGENTIC_CONTEXT_PENALTY</t>
        </is>
      </c>
      <c r="L3661" s="3" t="inlineStr">
        <is>
          <t>Energization dates, accelerator deliveries and operational powered-rack telemetry.</t>
        </is>
      </c>
    </row>
    <row r="3662">
      <c r="A3662" s="3" t="inlineStr">
        <is>
          <t>OpenAI</t>
        </is>
      </c>
      <c r="B3662" s="3" t="n">
        <v>2030</v>
      </c>
      <c r="C3662" s="3" t="inlineStr">
        <is>
          <t>Grid-Constrained / Efficiency-Upside</t>
        </is>
      </c>
      <c r="D3662" s="3" t="inlineStr">
        <is>
          <t>pue</t>
        </is>
      </c>
      <c r="E3662" s="3" t="n">
        <v>1.2</v>
      </c>
      <c r="F3662" s="3" t="inlineStr">
        <is>
          <t>ratio</t>
        </is>
      </c>
      <c r="G3662" s="3" t="inlineStr">
        <is>
          <t>Scenario parameter</t>
        </is>
      </c>
      <c r="H3662" s="3" t="inlineStr">
        <is>
          <t>it_load_gw = active_power_gw / pue</t>
        </is>
      </c>
      <c r="I3662" s="3" t="inlineStr">
        <is>
          <t>No provider-wide site-level PUE is used as a disclosed fact; PUE represents facility-to-IT conversion within the scenario.</t>
        </is>
      </c>
      <c r="J3662" s="3" t="inlineStr">
        <is>
          <t>ASSUMP_POWER_RAMP</t>
        </is>
      </c>
      <c r="K3662" s="3" t="inlineStr">
        <is>
          <t>ASSUMP_STARGATE_RAMP; ASSUMP_MS_OPENAI_ATTRIBUTION; ASSUMP_NUMERIC_ACCELERATOR_MIX; ASSUMP_INFERENCE_SHARE_NOT_FACT_60; ASSUMP_WORKLOAD_CLASS_MIX; ASSUMP_AGENTIC_CONTEXT_PENALTY</t>
        </is>
      </c>
      <c r="L3662" s="3" t="inlineStr">
        <is>
          <t>Site-level measured PUE matched to attributed AI capacity.</t>
        </is>
      </c>
    </row>
    <row r="3663">
      <c r="A3663" s="3" t="inlineStr">
        <is>
          <t>OpenAI</t>
        </is>
      </c>
      <c r="B3663" s="3" t="n">
        <v>2030</v>
      </c>
      <c r="C3663" s="3" t="inlineStr">
        <is>
          <t>Grid-Constrained / Efficiency-Upside</t>
        </is>
      </c>
      <c r="D3663" s="3" t="inlineStr">
        <is>
          <t>it_load_gw</t>
        </is>
      </c>
      <c r="E3663" s="3" t="n">
        <v>5.1</v>
      </c>
      <c r="F3663" s="3" t="inlineStr">
        <is>
          <t>GW</t>
        </is>
      </c>
      <c r="G3663" s="3" t="inlineStr">
        <is>
          <t>Derived formula</t>
        </is>
      </c>
      <c r="H3663" s="3" t="inlineStr">
        <is>
          <t>active_power_gw / pue</t>
        </is>
      </c>
      <c r="I3663" s="3" t="inlineStr">
        <is>
          <t>Facility power is converted to IT-deliverable power before attributing AI workloads.</t>
        </is>
      </c>
      <c r="J3663" s="3" t="inlineStr">
        <is>
          <t>SRC_OPENAI_STARGATE_ORACLE; SRC_OPENAI_STARGATE_PROGRESS; ASSUMP_STARGATE_RAMP</t>
        </is>
      </c>
      <c r="K3663" s="3" t="inlineStr">
        <is>
          <t>ASSUMP_STARGATE_RAMP; ASSUMP_MS_OPENAI_ATTRIBUTION; ASSUMP_NUMERIC_ACCELERATOR_MIX; ASSUMP_INFERENCE_SHARE_NOT_FACT_60; ASSUMP_WORKLOAD_CLASS_MIX; ASSUMP_AGENTIC_CONTEXT_PENALTY</t>
        </is>
      </c>
      <c r="L3663" s="3" t="inlineStr">
        <is>
          <t>Recompute once active power and PUE become site-observable.</t>
        </is>
      </c>
    </row>
    <row r="3664">
      <c r="A3664" s="3" t="inlineStr">
        <is>
          <t>OpenAI</t>
        </is>
      </c>
      <c r="B3664" s="3" t="n">
        <v>2030</v>
      </c>
      <c r="C3664" s="3" t="inlineStr">
        <is>
          <t>Grid-Constrained / Efficiency-Upside</t>
        </is>
      </c>
      <c r="D3664" s="3" t="inlineStr">
        <is>
          <t>ai_workload_share</t>
        </is>
      </c>
      <c r="E3664" s="3" t="n">
        <v>0.88</v>
      </c>
      <c r="F3664" s="3" t="inlineStr">
        <is>
          <t>share</t>
        </is>
      </c>
      <c r="G3664" s="3" t="inlineStr">
        <is>
          <t>Scenario allocation</t>
        </is>
      </c>
      <c r="H3664" s="3" t="inlineStr">
        <is>
          <t>ai_it_load_gw = it_load_gw * ai_workload_share</t>
        </is>
      </c>
      <c r="I3664" s="3" t="inlineStr">
        <is>
          <t>Stargate capacity is AI-oriented but includes reserve, platform and non-token AI activity; 88% is a scenario.</t>
        </is>
      </c>
      <c r="J3664" s="3" t="inlineStr">
        <is>
          <t>SRC_OPENAI_GPT41_DOCS; SRC_OPENAI_STARGATE_ORACLE; SRC_OPENAI_STARGATE_PROGRESS; SRC_EPOCH_AI_DATA_CENTERS</t>
        </is>
      </c>
      <c r="K3664" s="3" t="inlineStr">
        <is>
          <t>ASSUMP_STARGATE_RAMP; ASSUMP_MS_OPENAI_ATTRIBUTION; ASSUMP_NUMERIC_ACCELERATOR_MIX; ASSUMP_INFERENCE_SHARE_NOT_FACT_60; ASSUMP_WORKLOAD_CLASS_MIX; ASSUMP_AGENTIC_CONTEXT_PENALTY</t>
        </is>
      </c>
      <c r="L3664" s="3" t="inlineStr">
        <is>
          <t>Model-owner AI workload allocation or cluster scheduling telemetry.</t>
        </is>
      </c>
    </row>
    <row r="3665">
      <c r="A3665" s="3" t="inlineStr">
        <is>
          <t>OpenAI</t>
        </is>
      </c>
      <c r="B3665" s="3" t="n">
        <v>2030</v>
      </c>
      <c r="C3665" s="3" t="inlineStr">
        <is>
          <t>Grid-Constrained / Efficiency-Upside</t>
        </is>
      </c>
      <c r="D3665" s="3" t="inlineStr">
        <is>
          <t>ai_it_load_gw</t>
        </is>
      </c>
      <c r="E3665" s="3" t="n">
        <v>4.488</v>
      </c>
      <c r="F3665" s="3" t="inlineStr">
        <is>
          <t>GW</t>
        </is>
      </c>
      <c r="G3665" s="3" t="inlineStr">
        <is>
          <t>Derived formula</t>
        </is>
      </c>
      <c r="H3665" s="3" t="inlineStr">
        <is>
          <t>it_load_gw * ai_workload_share</t>
        </is>
      </c>
      <c r="I3665" s="3" t="inlineStr">
        <is>
          <t>Only the AI-attributed portion of IT load enters training/inference allocation.</t>
        </is>
      </c>
      <c r="J3665" s="3" t="inlineStr">
        <is>
          <t>SRC_OPENAI_GPT41_DOCS; SRC_OPENAI_STARGATE_ORACLE; SRC_OPENAI_STARGATE_PROGRESS; SRC_EPOCH_AI_DATA_CENTERS</t>
        </is>
      </c>
      <c r="K3665" s="3" t="inlineStr">
        <is>
          <t>ASSUMP_STARGATE_RAMP; ASSUMP_MS_OPENAI_ATTRIBUTION; ASSUMP_NUMERIC_ACCELERATOR_MIX; ASSUMP_INFERENCE_SHARE_NOT_FACT_60; ASSUMP_WORKLOAD_CLASS_MIX; ASSUMP_AGENTIC_CONTEXT_PENALTY</t>
        </is>
      </c>
      <c r="L3665" s="3" t="inlineStr">
        <is>
          <t>Recompute after ai_workload_share is replaced by telemetry.</t>
        </is>
      </c>
    </row>
    <row r="3666">
      <c r="A3666" s="3" t="inlineStr">
        <is>
          <t>OpenAI</t>
        </is>
      </c>
      <c r="B3666" s="3" t="n">
        <v>2030</v>
      </c>
      <c r="C3666" s="3" t="inlineStr">
        <is>
          <t>Grid-Constrained / Efficiency-Upside</t>
        </is>
      </c>
      <c r="D3666" s="3" t="inlineStr">
        <is>
          <t>gpu_share</t>
        </is>
      </c>
      <c r="E3666" s="3" t="n">
        <v>0.80198</v>
      </c>
      <c r="F3666" s="3" t="inlineStr">
        <is>
          <t>share of inference-serving accelerator load</t>
        </is>
      </c>
      <c r="G3666" s="3" t="inlineStr">
        <is>
          <t>Numeric scenario</t>
        </is>
      </c>
      <c r="H3666" s="3" t="inlineStr">
        <is>
          <t>gpu_share interpolated from company 2026/2030 accelerator-mix endpoints</t>
        </is>
      </c>
      <c r="I3666" s="3" t="inlineStr">
        <is>
          <t>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66" s="3" t="inlineStr">
        <is>
          <t>SRC_OPENAI_GPT41_DOCS; SRC_OPENAI_STARGATE_ORACLE; SRC_OPENAI_STARGATE_PROGRESS; SRC_EPOCH_AI_DATA_CENTERS; ASSUMP_NUMERIC_ACCELERATOR_MIX</t>
        </is>
      </c>
      <c r="K3666" s="3" t="inlineStr">
        <is>
          <t>ASSUMP_STARGATE_RAMP; ASSUMP_MS_OPENAI_ATTRIBUTION; ASSUMP_NUMERIC_ACCELERATOR_MIX; ASSUMP_INFERENCE_SHARE_NOT_FACT_60; ASSUMP_WORKLOAD_CLASS_MIX; ASSUMP_AGENTIC_CONTEXT_PENALTY</t>
        </is>
      </c>
      <c r="L3666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67">
      <c r="A3667" s="3" t="inlineStr">
        <is>
          <t>OpenAI</t>
        </is>
      </c>
      <c r="B3667" s="3" t="n">
        <v>2030</v>
      </c>
      <c r="C3667" s="3" t="inlineStr">
        <is>
          <t>Grid-Constrained / Efficiency-Upside</t>
        </is>
      </c>
      <c r="D3667" s="3" t="inlineStr">
        <is>
          <t>h200_share</t>
        </is>
      </c>
      <c r="E3667" s="3" t="n">
        <v>0.057924</v>
      </c>
      <c r="F3667" s="3" t="inlineStr">
        <is>
          <t>share of inference-serving accelerator load</t>
        </is>
      </c>
      <c r="G3667" s="3" t="inlineStr">
        <is>
          <t>Editable numeric scenario</t>
        </is>
      </c>
      <c r="H3667" s="3" t="inlineStr">
        <is>
          <t>h200_share = gpu_share * default_gpu_generation_mix_h200</t>
        </is>
      </c>
      <c r="I3667" s="3" t="inlineStr">
        <is>
          <t>Default GPU-generation migration assumption; executive workbook allows later manual replacement by company/year/scenario.</t>
        </is>
      </c>
      <c r="J3667" s="3" t="inlineStr">
        <is>
          <t>SRC_SEMIANALYSIS_INFERENCEX; ASSUMP_NUMERIC_ACCELERATOR_MIX</t>
        </is>
      </c>
      <c r="K3667" s="3" t="inlineStr">
        <is>
          <t>ASSUMP_STARGATE_RAMP; ASSUMP_MS_OPENAI_ATTRIBUTION; ASSUMP_NUMERIC_ACCELERATOR_MIX; ASSUMP_INFERENCE_SHARE_NOT_FACT_60; ASSUMP_WORKLOAD_CLASS_MIX; ASSUMP_AGENTIC_CONTEXT_PENALTY</t>
        </is>
      </c>
      <c r="L3667" s="3" t="inlineStr">
        <is>
          <t>Company fleet inventory, accelerator-hours or procurement/deployment records by GPU generation.</t>
        </is>
      </c>
    </row>
    <row r="3668">
      <c r="A3668" s="3" t="inlineStr">
        <is>
          <t>OpenAI</t>
        </is>
      </c>
      <c r="B3668" s="3" t="n">
        <v>2030</v>
      </c>
      <c r="C3668" s="3" t="inlineStr">
        <is>
          <t>Grid-Constrained / Efficiency-Upside</t>
        </is>
      </c>
      <c r="D3668" s="3" t="inlineStr">
        <is>
          <t>b200_share</t>
        </is>
      </c>
      <c r="E3668" s="3" t="n">
        <v>0.524968</v>
      </c>
      <c r="F3668" s="3" t="inlineStr">
        <is>
          <t>share of inference-serving accelerator load</t>
        </is>
      </c>
      <c r="G3668" s="3" t="inlineStr">
        <is>
          <t>Editable numeric scenario</t>
        </is>
      </c>
      <c r="H3668" s="3" t="inlineStr">
        <is>
          <t>b200_share = gpu_share * default_gpu_generation_mix_b200</t>
        </is>
      </c>
      <c r="I3668" s="3" t="inlineStr">
        <is>
          <t>Default GPU-generation migration assumption; executive workbook allows later manual replacement by company/year/scenario.</t>
        </is>
      </c>
      <c r="J3668" s="3" t="inlineStr">
        <is>
          <t>SRC_SEMIANALYSIS_INFERENCEX; ASSUMP_NUMERIC_ACCELERATOR_MIX</t>
        </is>
      </c>
      <c r="K3668" s="3" t="inlineStr">
        <is>
          <t>ASSUMP_STARGATE_RAMP; ASSUMP_MS_OPENAI_ATTRIBUTION; ASSUMP_NUMERIC_ACCELERATOR_MIX; ASSUMP_INFERENCE_SHARE_NOT_FACT_60; ASSUMP_WORKLOAD_CLASS_MIX; ASSUMP_AGENTIC_CONTEXT_PENALTY</t>
        </is>
      </c>
      <c r="L3668" s="3" t="inlineStr">
        <is>
          <t>Company fleet inventory, accelerator-hours or procurement/deployment records by GPU generation.</t>
        </is>
      </c>
    </row>
    <row r="3669">
      <c r="A3669" s="3" t="inlineStr">
        <is>
          <t>OpenAI</t>
        </is>
      </c>
      <c r="B3669" s="3" t="n">
        <v>2030</v>
      </c>
      <c r="C3669" s="3" t="inlineStr">
        <is>
          <t>Grid-Constrained / Efficiency-Upside</t>
        </is>
      </c>
      <c r="D3669" s="3" t="inlineStr">
        <is>
          <t>gb200_share</t>
        </is>
      </c>
      <c r="E3669" s="3" t="n">
        <v>0.219088</v>
      </c>
      <c r="F3669" s="3" t="inlineStr">
        <is>
          <t>share of inference-serving accelerator load</t>
        </is>
      </c>
      <c r="G3669" s="3" t="inlineStr">
        <is>
          <t>Editable numeric scenario</t>
        </is>
      </c>
      <c r="H3669" s="3" t="inlineStr">
        <is>
          <t>gb200_share = gpu_share * default_gpu_generation_mix_gb200</t>
        </is>
      </c>
      <c r="I3669" s="3" t="inlineStr">
        <is>
          <t>Default GPU-generation migration assumption; executive workbook allows later manual replacement by company/year/scenario.</t>
        </is>
      </c>
      <c r="J3669" s="3" t="inlineStr">
        <is>
          <t>SRC_SEMIANALYSIS_INFERENCEX; ASSUMP_NUMERIC_ACCELERATOR_MIX</t>
        </is>
      </c>
      <c r="K3669" s="3" t="inlineStr">
        <is>
          <t>ASSUMP_STARGATE_RAMP; ASSUMP_MS_OPENAI_ATTRIBUTION; ASSUMP_NUMERIC_ACCELERATOR_MIX; ASSUMP_INFERENCE_SHARE_NOT_FACT_60; ASSUMP_WORKLOAD_CLASS_MIX; ASSUMP_AGENTIC_CONTEXT_PENALTY</t>
        </is>
      </c>
      <c r="L3669" s="3" t="inlineStr">
        <is>
          <t>Company fleet inventory, accelerator-hours or procurement/deployment records by GPU generation.</t>
        </is>
      </c>
    </row>
    <row r="3670">
      <c r="A3670" s="3" t="inlineStr">
        <is>
          <t>OpenAI</t>
        </is>
      </c>
      <c r="B3670" s="3" t="n">
        <v>2030</v>
      </c>
      <c r="C3670" s="3" t="inlineStr">
        <is>
          <t>Grid-Constrained / Efficiency-Upside</t>
        </is>
      </c>
      <c r="D3670" s="3" t="inlineStr">
        <is>
          <t>purpose_built_accelerator_share</t>
        </is>
      </c>
      <c r="E3670" s="3" t="n">
        <v>0.19802</v>
      </c>
      <c r="F3670" s="3" t="inlineStr">
        <is>
          <t>share of inference-serving accelerator load</t>
        </is>
      </c>
      <c r="G3670" s="3" t="inlineStr">
        <is>
          <t>Numeric scenario</t>
        </is>
      </c>
      <c r="H3670" s="3" t="inlineStr">
        <is>
          <t>1 - gpu_share</t>
        </is>
      </c>
      <c r="I3670" s="3" t="inlineStr">
        <is>
          <t>Purpose-built bucket: No disclosed operated custom ASIC share. Derived by capacity-weighting 02a_DC_Capacity_Alloc rows against 02b_DC_Accelerator_Mix rows, using inference-weighted capacity only. OpenAI states Oracle began delivering NVIDIA GB200 racks for Stargate. No operated custom-ASIC mix is publicly quantified in the model.</t>
        </is>
      </c>
      <c r="J3670" s="3" t="inlineStr">
        <is>
          <t>SRC_OPENAI_GPT41_DOCS; SRC_OPENAI_STARGATE_ORACLE; SRC_OPENAI_STARGATE_PROGRESS; SRC_EPOCH_AI_DATA_CENTERS; ASSUMP_NUMERIC_ACCELERATOR_MIX</t>
        </is>
      </c>
      <c r="K3670" s="3" t="inlineStr">
        <is>
          <t>ASSUMP_STARGATE_RAMP; ASSUMP_MS_OPENAI_ATTRIBUTION; ASSUMP_NUMERIC_ACCELERATOR_MIX; ASSUMP_INFERENCE_SHARE_NOT_FACT_60; ASSUMP_WORKLOAD_CLASS_MIX; ASSUMP_AGENTIC_CONTEXT_PENALTY</t>
        </is>
      </c>
      <c r="L3670" s="3" t="inlineStr">
        <is>
          <t>Replace 02a datacenter capacity allocations and 02b datacenter accelerator mix with contract/procurement telemetry. OpenAI hardware allocation and output-token throughput by model/product surface.</t>
        </is>
      </c>
    </row>
    <row r="3671">
      <c r="A3671" s="3" t="inlineStr">
        <is>
          <t>OpenAI</t>
        </is>
      </c>
      <c r="B3671" s="3" t="n">
        <v>2030</v>
      </c>
      <c r="C3671" s="3" t="inlineStr">
        <is>
          <t>Grid-Constrained / Efficiency-Upside</t>
        </is>
      </c>
      <c r="D3671" s="3" t="inlineStr">
        <is>
          <t>fleet_reference_tps_per_mw</t>
        </is>
      </c>
      <c r="E3671" s="3" t="n">
        <v>197389</v>
      </c>
      <c r="F3671" s="3" t="inlineStr">
        <is>
          <t>generated output tokens/sec/MW</t>
        </is>
      </c>
      <c r="G3671" s="3" t="inlineStr">
        <is>
          <t>Fleet-weighted public benchmark reference</t>
        </is>
      </c>
      <c r="H3671" s="3" t="inlineStr">
        <is>
          <t>h200_share*h200_workload_avg + b200_share*b200_workload_avg + gb200_share*gb200_workload_avg + purpose_built_share*purpose_workload_avg</t>
        </is>
      </c>
      <c r="I3671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71" s="3" t="inlineStr">
        <is>
          <t>SRC_SEMIANALYSIS_INFERENCEX; ASSUMP_NUMERIC_ACCELERATOR_MIX; ASSUMP_WORKLOAD_CLASS_MIX; ASSUMP_AGENTIC_CONTEXT_PENALTY</t>
        </is>
      </c>
      <c r="K3671" s="3" t="inlineStr">
        <is>
          <t>ASSUMP_STARGATE_RAMP; ASSUMP_MS_OPENAI_ATTRIBUTION; ASSUMP_NUMERIC_ACCELERATOR_MIX; ASSUMP_INFERENCE_SHARE_NOT_FACT_60; ASSUMP_WORKLOAD_CLASS_MIX; ASSUMP_AGENTIC_CONTEXT_PENALTY</t>
        </is>
      </c>
      <c r="L3671" s="3" t="inlineStr">
        <is>
          <t>Comparable production output-token throughput or a more closely matched benchmark.</t>
        </is>
      </c>
    </row>
    <row r="3672">
      <c r="A3672" s="3" t="inlineStr">
        <is>
          <t>OpenAI</t>
        </is>
      </c>
      <c r="B3672" s="3" t="n">
        <v>2030</v>
      </c>
      <c r="C3672" s="3" t="inlineStr">
        <is>
          <t>Grid-Constrained / Efficiency-Upside</t>
        </is>
      </c>
      <c r="D3672" s="3" t="inlineStr">
        <is>
          <t>commercial_workload_fit_factor</t>
        </is>
      </c>
      <c r="E3672" s="3" t="n">
        <v>0.5</v>
      </c>
      <c r="F3672" s="3" t="inlineStr">
        <is>
          <t>share of public reference throughput</t>
        </is>
      </c>
      <c r="G3672" s="3" t="inlineStr">
        <is>
          <t>Scenario assumption</t>
        </is>
      </c>
      <c r="H3672" s="3" t="inlineStr">
        <is>
          <t>reference_serving_tps_per_mw = fleet_reference_tps_per_mw * commercial_workload_fit_factor</t>
        </is>
      </c>
      <c r="I3672" s="3" t="inlineStr">
        <is>
          <t>Commercial workload class: GPT / ChatGPT / API with reasoning mix. Company mix uses short_chat=45%, long_chat=25%, agentic=30%; closed-model, reasoning, long-context and SLO mismatch stays explicit.</t>
        </is>
      </c>
      <c r="J3672" s="3" t="inlineStr">
        <is>
          <t>SRC_SEMIANALYSIS_INFERENCEX; ASSUMP_NUMERIC_ACCELERATOR_MIX; ASSUMP_WORKLOAD_CLASS_MIX; ASSUMP_AGENTIC_CONTEXT_PENALTY</t>
        </is>
      </c>
      <c r="K3672" s="3" t="inlineStr">
        <is>
          <t>ASSUMP_STARGATE_RAMP; ASSUMP_MS_OPENAI_ATTRIBUTION; ASSUMP_NUMERIC_ACCELERATOR_MIX; ASSUMP_INFERENCE_SHARE_NOT_FACT_60; ASSUMP_WORKLOAD_CLASS_MIX; ASSUMP_AGENTIC_CONTEXT_PENALTY</t>
        </is>
      </c>
      <c r="L3672" s="3" t="inlineStr">
        <is>
          <t>Matched commercial serving benchmark by product surface, context shape and latency SLO.</t>
        </is>
      </c>
    </row>
    <row r="3673">
      <c r="A3673" s="3" t="inlineStr">
        <is>
          <t>OpenAI</t>
        </is>
      </c>
      <c r="B3673" s="3" t="n">
        <v>2030</v>
      </c>
      <c r="C3673" s="3" t="inlineStr">
        <is>
          <t>Grid-Constrained / Efficiency-Upside</t>
        </is>
      </c>
      <c r="D3673" s="3" t="inlineStr">
        <is>
          <t>reference_serving_tps_per_mw</t>
        </is>
      </c>
      <c r="E3673" s="3" t="n">
        <v>98694</v>
      </c>
      <c r="F3673" s="3" t="inlineStr">
        <is>
          <t>generated output tokens/sec/MW</t>
        </is>
      </c>
      <c r="G3673" s="3" t="inlineStr">
        <is>
          <t>Workload-adjusted benchmark proxy</t>
        </is>
      </c>
      <c r="H3673" s="3" t="inlineStr">
        <is>
          <t>fleet_reference_tps_per_mw * commercial_workload_fit_factor</t>
        </is>
      </c>
      <c r="I3673" s="3" t="inlineStr">
        <is>
          <t>This is the coefficient used for headline token generation; each GPU's short chat, long chat and agentic TPS/MW are weighted before fleet mix and commercial fit are applied.</t>
        </is>
      </c>
      <c r="J3673" s="3" t="inlineStr">
        <is>
          <t>SRC_SEMIANALYSIS_INFERENCEX; ASSUMP_NUMERIC_ACCELERATOR_MIX; ASSUMP_WORKLOAD_CLASS_MIX; ASSUMP_AGENTIC_CONTEXT_PENALTY</t>
        </is>
      </c>
      <c r="K3673" s="3" t="inlineStr">
        <is>
          <t>ASSUMP_STARGATE_RAMP; ASSUMP_MS_OPENAI_ATTRIBUTION; ASSUMP_NUMERIC_ACCELERATOR_MIX; ASSUMP_INFERENCE_SHARE_NOT_FACT_60; ASSUMP_WORKLOAD_CLASS_MIX; ASSUMP_AGENTIC_CONTEXT_PENALTY</t>
        </is>
      </c>
      <c r="L3673" s="3" t="inlineStr">
        <is>
          <t>Provider production output-token throughput with comparable workload/SLO.</t>
        </is>
      </c>
    </row>
    <row r="3674">
      <c r="A3674" s="3" t="inlineStr">
        <is>
          <t>OpenAI</t>
        </is>
      </c>
      <c r="B3674" s="3" t="n">
        <v>2030</v>
      </c>
      <c r="C3674" s="3" t="inlineStr">
        <is>
          <t>Grid-Constrained / Efficiency-Upside</t>
        </is>
      </c>
      <c r="D3674" s="3" t="inlineStr">
        <is>
          <t>purpose_built_tps_per_mw</t>
        </is>
      </c>
      <c r="E3674" s="3" t="n">
        <v>67653</v>
      </c>
      <c r="F3674" s="3" t="inlineStr">
        <is>
          <t>generated output tokens/sec/MW</t>
        </is>
      </c>
      <c r="G3674" s="3" t="inlineStr">
        <is>
          <t>Conservative no-uplift proxy</t>
        </is>
      </c>
      <c r="H3674" s="3" t="inlineStr">
        <is>
          <t>purpose_built_tps_per_mw = purpose_built_reference_tps_per_mw * commercial_workload_fit_factor until comparable output-token benchmark is adopted</t>
        </is>
      </c>
      <c r="I3674" s="3" t="inlineStr">
        <is>
          <t>No comparable public output-token/MW row adopted; B200 public reference placeholder is used and remains editable.</t>
        </is>
      </c>
      <c r="J3674" s="3" t="inlineStr">
        <is>
          <t>SRC_OPENAI_GPT41_DOCS; SRC_OPENAI_STARGATE_ORACLE; SRC_OPENAI_STARGATE_PROGRESS; SRC_EPOCH_AI_DATA_CENTERS; ASSUMP_NUMERIC_ACCELERATOR_MIX</t>
        </is>
      </c>
      <c r="K3674" s="3" t="inlineStr">
        <is>
          <t>ASSUMP_STARGATE_RAMP; ASSUMP_MS_OPENAI_ATTRIBUTION; ASSUMP_NUMERIC_ACCELERATOR_MIX; ASSUMP_INFERENCE_SHARE_NOT_FACT_60; ASSUMP_WORKLOAD_CLASS_MIX; ASSUMP_AGENTIC_CONTEXT_PENALTY</t>
        </is>
      </c>
      <c r="L3674" s="3" t="inlineStr">
        <is>
          <t>Matched-workload generated-output benchmark for the provider purpose-built accelerator.</t>
        </is>
      </c>
    </row>
    <row r="3675">
      <c r="A3675" s="3" t="inlineStr">
        <is>
          <t>OpenAI</t>
        </is>
      </c>
      <c r="B3675" s="3" t="n">
        <v>2030</v>
      </c>
      <c r="C3675" s="3" t="inlineStr">
        <is>
          <t>Grid-Constrained / Efficiency-Upside</t>
        </is>
      </c>
      <c r="D3675" s="3" t="inlineStr">
        <is>
          <t>inference_power_share</t>
        </is>
      </c>
      <c r="E3675" s="3" t="n">
        <v>0.82</v>
      </c>
      <c r="F3675" s="3" t="inlineStr">
        <is>
          <t>share of AI IT load</t>
        </is>
      </c>
      <c r="G3675" s="3" t="inlineStr">
        <is>
          <t>Scenario allocation</t>
        </is>
      </c>
      <c r="H3675" s="3" t="inlineStr">
        <is>
          <t>inference_gw = ai_it_load_gw * inference_power_share</t>
        </is>
      </c>
      <c r="I3675" s="3" t="inlineStr">
        <is>
          <t>ChatGPT/API/enterprise commercial surfaces support increasing inference allocation while training remains material.</t>
        </is>
      </c>
      <c r="J3675" s="3" t="inlineStr">
        <is>
          <t>SRC_OPENAI_GPT41_DOCS; SRC_OPENAI_STARGATE_ORACLE; SRC_OPENAI_STARGATE_PROGRESS; SRC_EPOCH_AI_DATA_CENTERS; ASSUMP_INFERENCE_SHARE_NOT_FACT_60</t>
        </is>
      </c>
      <c r="K3675" s="3" t="inlineStr">
        <is>
          <t>ASSUMP_STARGATE_RAMP; ASSUMP_MS_OPENAI_ATTRIBUTION; ASSUMP_NUMERIC_ACCELERATOR_MIX; ASSUMP_INFERENCE_SHARE_NOT_FACT_60; ASSUMP_WORKLOAD_CLASS_MIX; ASSUMP_AGENTIC_CONTEXT_PENALTY</t>
        </is>
      </c>
      <c r="L3675" s="3" t="inlineStr">
        <is>
          <t>Provider-specific inference/training workload power telemetry.</t>
        </is>
      </c>
    </row>
    <row r="3676">
      <c r="A3676" s="3" t="inlineStr">
        <is>
          <t>OpenAI</t>
        </is>
      </c>
      <c r="B3676" s="3" t="n">
        <v>2030</v>
      </c>
      <c r="C3676" s="3" t="inlineStr">
        <is>
          <t>Grid-Constrained / Efficiency-Upside</t>
        </is>
      </c>
      <c r="D3676" s="3" t="inlineStr">
        <is>
          <t>inference_gw</t>
        </is>
      </c>
      <c r="E3676" s="3" t="n">
        <v>3.68</v>
      </c>
      <c r="F3676" s="3" t="inlineStr">
        <is>
          <t>GW</t>
        </is>
      </c>
      <c r="G3676" s="3" t="inlineStr">
        <is>
          <t>Derived formula</t>
        </is>
      </c>
      <c r="H3676" s="3" t="inlineStr">
        <is>
          <t>ai_it_load_gw * inference_power_share</t>
        </is>
      </c>
      <c r="I3676" s="3" t="inlineStr">
        <is>
          <t>This is the operational power eligible to become commercial generated output tokens through the selected TPS/MW proxy.</t>
        </is>
      </c>
      <c r="J3676" s="3" t="inlineStr">
        <is>
          <t>SRC_OPENAI_GPT41_DOCS; SRC_OPENAI_STARGATE_ORACLE; SRC_OPENAI_STARGATE_PROGRESS; SRC_EPOCH_AI_DATA_CENTERS</t>
        </is>
      </c>
      <c r="K3676" s="3" t="inlineStr">
        <is>
          <t>ASSUMP_STARGATE_RAMP; ASSUMP_MS_OPENAI_ATTRIBUTION; ASSUMP_NUMERIC_ACCELERATOR_MIX; ASSUMP_INFERENCE_SHARE_NOT_FACT_60; ASSUMP_WORKLOAD_CLASS_MIX; ASSUMP_AGENTIC_CONTEXT_PENALTY</t>
        </is>
      </c>
      <c r="L3676" s="3" t="inlineStr">
        <is>
          <t>Recompute after AI allocation or inference-share evidence changes.</t>
        </is>
      </c>
    </row>
    <row r="3677">
      <c r="A3677" s="3" t="inlineStr">
        <is>
          <t>OpenAI</t>
        </is>
      </c>
      <c r="B3677" s="3" t="n">
        <v>2030</v>
      </c>
      <c r="C3677" s="3" t="inlineStr">
        <is>
          <t>Grid-Constrained / Efficiency-Upside</t>
        </is>
      </c>
      <c r="D3677" s="3" t="inlineStr">
        <is>
          <t>training_power_share</t>
        </is>
      </c>
      <c r="E3677" s="3" t="n">
        <v>0.18</v>
      </c>
      <c r="F3677" s="3" t="inlineStr">
        <is>
          <t>share of AI IT load</t>
        </is>
      </c>
      <c r="G3677" s="3" t="inlineStr">
        <is>
          <t>Derived allocation</t>
        </is>
      </c>
      <c r="H3677" s="3" t="inlineStr">
        <is>
          <t>1 - inference_power_share</t>
        </is>
      </c>
      <c r="I3677" s="3" t="inlineStr">
        <is>
          <t>Training receives the complementary modeled AI IT allocation; it is not a disclosed company workload split.</t>
        </is>
      </c>
      <c r="J3677" s="3" t="inlineStr">
        <is>
          <t>SRC_OPENAI_GPT41_DOCS; SRC_OPENAI_STARGATE_ORACLE; SRC_OPENAI_STARGATE_PROGRESS; SRC_EPOCH_AI_DATA_CENTERS; ASSUMP_INFERENCE_SHARE_NOT_FACT_60</t>
        </is>
      </c>
      <c r="K3677" s="3" t="inlineStr">
        <is>
          <t>ASSUMP_STARGATE_RAMP; ASSUMP_MS_OPENAI_ATTRIBUTION; ASSUMP_NUMERIC_ACCELERATOR_MIX; ASSUMP_INFERENCE_SHARE_NOT_FACT_60; ASSUMP_WORKLOAD_CLASS_MIX; ASSUMP_AGENTIC_CONTEXT_PENALTY</t>
        </is>
      </c>
      <c r="L3677" s="3" t="inlineStr">
        <is>
          <t>Provider-specific inference/training workload power telemetry.</t>
        </is>
      </c>
    </row>
    <row r="3678">
      <c r="A3678" s="3" t="inlineStr">
        <is>
          <t>OpenAI</t>
        </is>
      </c>
      <c r="B3678" s="3" t="n">
        <v>2030</v>
      </c>
      <c r="C3678" s="3" t="inlineStr">
        <is>
          <t>Grid-Constrained / Efficiency-Upside</t>
        </is>
      </c>
      <c r="D3678" s="3" t="inlineStr">
        <is>
          <t>training_gw</t>
        </is>
      </c>
      <c r="E3678" s="3" t="n">
        <v>0.8080000000000001</v>
      </c>
      <c r="F3678" s="3" t="inlineStr">
        <is>
          <t>GW</t>
        </is>
      </c>
      <c r="G3678" s="3" t="inlineStr">
        <is>
          <t>Derived formula</t>
        </is>
      </c>
      <c r="H3678" s="3" t="inlineStr">
        <is>
          <t>ai_it_load_gw * training_power_share</t>
        </is>
      </c>
      <c r="I3678" s="3" t="inlineStr">
        <is>
          <t>Training GW is shown separately so commercial inference token capacity is not overstated.</t>
        </is>
      </c>
      <c r="J3678" s="3" t="inlineStr">
        <is>
          <t>SRC_OPENAI_GPT41_DOCS; SRC_OPENAI_STARGATE_ORACLE; SRC_OPENAI_STARGATE_PROGRESS; SRC_EPOCH_AI_DATA_CENTERS</t>
        </is>
      </c>
      <c r="K3678" s="3" t="inlineStr">
        <is>
          <t>ASSUMP_STARGATE_RAMP; ASSUMP_MS_OPENAI_ATTRIBUTION; ASSUMP_NUMERIC_ACCELERATOR_MIX; ASSUMP_INFERENCE_SHARE_NOT_FACT_60; ASSUMP_WORKLOAD_CLASS_MIX; ASSUMP_AGENTIC_CONTEXT_PENALTY</t>
        </is>
      </c>
      <c r="L3678" s="3" t="inlineStr">
        <is>
          <t>Recompute after AI allocation or workload-split evidence changes.</t>
        </is>
      </c>
    </row>
    <row r="3679">
      <c r="A3679" s="3" t="inlineStr">
        <is>
          <t>OpenAI</t>
        </is>
      </c>
      <c r="B3679" s="3" t="n">
        <v>2030</v>
      </c>
      <c r="C3679" s="3" t="inlineStr">
        <is>
          <t>Grid-Constrained / Efficiency-Upside</t>
        </is>
      </c>
      <c r="D3679" s="3" t="inlineStr">
        <is>
          <t>tokens_per_second_per_mw</t>
        </is>
      </c>
      <c r="E3679" s="3" t="n">
        <v>98694</v>
      </c>
      <c r="F3679" s="3" t="inlineStr">
        <is>
          <t>generated output tokens/sec/MW</t>
        </is>
      </c>
      <c r="G3679" s="3" t="inlineStr">
        <is>
          <t>Derived estimate + benchmark calibration</t>
        </is>
      </c>
      <c r="H3679" s="3" t="inlineStr">
        <is>
          <t>fleet_reference_tps_per_mw * commercial_workload_fit_factor</t>
        </is>
      </c>
      <c r="I3679" s="3" t="inlineStr">
        <is>
          <t>Hybrid frontier InferenceX proxy using gptoss120b for H200 and DeepSeek V4 Pro/Kimi K2.5 for B200/GB200 output-token rows; not direct ChatGPT/API telemetry. Workload reference is now split into short_chat, long_chat and agentic classes. Company mix: short 45%, long 25%, agentic 30%. Commercial workload fit factor: ChatGPT/API demand includes reasoning and latency-sensitive surfaces; the hybrid frontier composite uses gptoss120b on H200 and DeepSeek V4 Pro/Kimi K2.5 on B200/GB200, not GPT production telemetry. ChatGPT remains broad short-chat/API, while Codex token-based pricing and ChatGPT agentic features support a large agentic slice.</t>
        </is>
      </c>
      <c r="J3679" s="3" t="inlineStr">
        <is>
          <t>SRC_OPENAI_GPT41_DOCS; SRC_OPENAI_STARGATE_ORACLE; SRC_OPENAI_STARGATE_PROGRESS; SRC_EPOCH_AI_DATA_CENTERS; SRC_SEMIANALYSIS_INFERENCEX; ASSUMP_NUMERIC_ACCELERATOR_MIX; ASSUMP_WORKLOAD_CLASS_MIX; ASSUMP_AGENTIC_CONTEXT_PENALTY</t>
        </is>
      </c>
      <c r="K3679" s="3" t="inlineStr">
        <is>
          <t>ASSUMP_STARGATE_RAMP; ASSUMP_MS_OPENAI_ATTRIBUTION; ASSUMP_NUMERIC_ACCELERATOR_MIX; ASSUMP_INFERENCE_SHARE_NOT_FACT_60; ASSUMP_WORKLOAD_CLASS_MIX; ASSUMP_AGENTIC_CONTEXT_PENALTY</t>
        </is>
      </c>
      <c r="L3679" s="3" t="inlineStr">
        <is>
          <t>Comparable production output-token throughput with model, hardware, precision, ISL/OSL and SLO matched.</t>
        </is>
      </c>
    </row>
    <row r="3680">
      <c r="A3680" s="3" t="inlineStr">
        <is>
          <t>OpenAI</t>
        </is>
      </c>
      <c r="B3680" s="3" t="n">
        <v>2030</v>
      </c>
      <c r="C3680" s="3" t="inlineStr">
        <is>
          <t>Grid-Constrained / Efficiency-Upside</t>
        </is>
      </c>
      <c r="D3680" s="3" t="inlineStr">
        <is>
          <t>inference_tokens_per_day</t>
        </is>
      </c>
      <c r="E3680" s="3" t="n">
        <v>31379954688000</v>
      </c>
      <c r="F3680" s="3" t="inlineStr">
        <is>
          <t>generated output tokens/day</t>
        </is>
      </c>
      <c r="G3680" s="3" t="inlineStr">
        <is>
          <t>Derived headline metric</t>
        </is>
      </c>
      <c r="H3680" s="3" t="inlineStr">
        <is>
          <t>inference_gw * 1000 * tokens_per_second_per_mw * 86,400</t>
        </is>
      </c>
      <c r="I3680" s="3" t="inlineStr">
        <is>
          <t>Headline capacity uses no utilization, MoE, architecture or software-growth multiplier; it is not observed commercial output volume.</t>
        </is>
      </c>
      <c r="J3680" s="3" t="inlineStr">
        <is>
          <t>SRC_OPENAI_GPT41_DOCS; SRC_OPENAI_STARGATE_ORACLE; SRC_OPENAI_STARGATE_PROGRESS; SRC_EPOCH_AI_DATA_CENTERS; SRC_SEMIANALYSIS_INFERENCEX</t>
        </is>
      </c>
      <c r="K3680" s="3" t="inlineStr">
        <is>
          <t>ASSUMP_STARGATE_RAMP; ASSUMP_MS_OPENAI_ATTRIBUTION; ASSUMP_NUMERIC_ACCELERATOR_MIX; ASSUMP_INFERENCE_SHARE_NOT_FACT_60; ASSUMP_WORKLOAD_CLASS_MIX; ASSUMP_AGENTIC_CONTEXT_PENALTY</t>
        </is>
      </c>
      <c r="L3680" s="3" t="inlineStr">
        <is>
          <t>Provider-disclosed generated output token volume or calibrated capacity telemetry.</t>
        </is>
      </c>
    </row>
    <row r="3681">
      <c r="A3681" s="3" t="inlineStr">
        <is>
          <t>OpenAI</t>
        </is>
      </c>
      <c r="B3681" s="3" t="n">
        <v>2030</v>
      </c>
      <c r="C3681" s="3" t="inlineStr">
        <is>
          <t>Grid-Constrained / Efficiency-Upside</t>
        </is>
      </c>
      <c r="D3681" s="3" t="inlineStr">
        <is>
          <t>inference_tokens_per_year</t>
        </is>
      </c>
      <c r="E3681" s="3" t="n">
        <v>1.145368346112e+16</v>
      </c>
      <c r="F3681" s="3" t="inlineStr">
        <is>
          <t>generated output tokens/year</t>
        </is>
      </c>
      <c r="G3681" s="3" t="inlineStr">
        <is>
          <t>Derived headline metric</t>
        </is>
      </c>
      <c r="H3681" s="3" t="inlineStr">
        <is>
          <t>inference_tokens_per_day * 365</t>
        </is>
      </c>
      <c r="I3681" s="3" t="inlineStr">
        <is>
          <t>Annualized version of generated output token capacity; it is not observed annual demand or billable volume.</t>
        </is>
      </c>
      <c r="J3681" s="3" t="inlineStr">
        <is>
          <t>SRC_OPENAI_GPT41_DOCS; SRC_OPENAI_STARGATE_ORACLE; SRC_OPENAI_STARGATE_PROGRESS; SRC_EPOCH_AI_DATA_CENTERS; SRC_SEMIANALYSIS_INFERENCEX</t>
        </is>
      </c>
      <c r="K3681" s="3" t="inlineStr">
        <is>
          <t>ASSUMP_STARGATE_RAMP; ASSUMP_MS_OPENAI_ATTRIBUTION; ASSUMP_NUMERIC_ACCELERATOR_MIX; ASSUMP_INFERENCE_SHARE_NOT_FACT_60; ASSUMP_WORKLOAD_CLASS_MIX; ASSUMP_AGENTIC_CONTEXT_PENALTY</t>
        </is>
      </c>
      <c r="L3681" s="3" t="inlineStr">
        <is>
          <t>Provider-disclosed annual generated-output volume or metered serving telemetry.</t>
        </is>
      </c>
    </row>
    <row r="3682">
      <c r="A3682" s="3" t="inlineStr">
        <is>
          <t>Anthropic</t>
        </is>
      </c>
      <c r="B3682" s="3" t="n">
        <v>2026</v>
      </c>
      <c r="C3682" s="3" t="inlineStr">
        <is>
          <t>Grid-Constrained / Efficiency-Upside</t>
        </is>
      </c>
      <c r="D3682" s="3" t="inlineStr">
        <is>
          <t>contracted_power_gw</t>
        </is>
      </c>
      <c r="E3682" s="3" t="n">
        <v>3.5</v>
      </c>
      <c r="F3682" s="3" t="inlineStr">
        <is>
          <t>GW</t>
        </is>
      </c>
      <c r="G3682" s="3" t="inlineStr">
        <is>
          <t>Fact anchor + scenario ceiling</t>
        </is>
      </c>
      <c r="H3682" s="3" t="inlineStr">
        <is>
          <t>linear interpolation between 2026 and 2030 company capacity endpoints</t>
        </is>
      </c>
      <c r="I3682" s="3" t="inlineStr">
        <is>
          <t>Hosted capacity envelope is anchored by Anthropic/AWS Project Rainier direction; it is attributed to Claude outputs, not AWS as a model owner.</t>
        </is>
      </c>
      <c r="J3682" s="3" t="inlineStr">
        <is>
          <t>SRC_ANTHROPIC_AMAZON_COMPUTE; SRC_AWS_RAINIER_ACTIVE; ASSUMP_POWER_RAMP</t>
        </is>
      </c>
      <c r="K3682" s="3" t="inlineStr">
        <is>
          <t>ASSUMP_POWER_RAMP; ASSUMP_CLOSED_MODEL_BAND; ASSUMP_NUMERIC_ACCELERATOR_MIX; ASSUMP_INFERENCE_SHARE_NOT_FACT_60; ASSUMP_WORKLOAD_CLASS_MIX; ASSUMP_AGENTIC_CONTEXT_PENALTY</t>
        </is>
      </c>
      <c r="L3682" s="3" t="inlineStr">
        <is>
          <t>Company/site-level committed MW/GW, interconnect and contract disclosure.</t>
        </is>
      </c>
    </row>
    <row r="3683">
      <c r="A3683" s="3" t="inlineStr">
        <is>
          <t>Anthropic</t>
        </is>
      </c>
      <c r="B3683" s="3" t="n">
        <v>2026</v>
      </c>
      <c r="C3683" s="3" t="inlineStr">
        <is>
          <t>Grid-Constrained / Efficiency-Upside</t>
        </is>
      </c>
      <c r="D3683" s="3" t="inlineStr">
        <is>
          <t>operational_deployment_share</t>
        </is>
      </c>
      <c r="E3683" s="3" t="n">
        <v>0.25142857</v>
      </c>
      <c r="F3683" s="3" t="inlineStr">
        <is>
          <t>share</t>
        </is>
      </c>
      <c r="G3683" s="3" t="inlineStr">
        <is>
          <t>Scenario conversion</t>
        </is>
      </c>
      <c r="H3683" s="3" t="inlineStr">
        <is>
          <t>active_power_gw / contracted_power_gw</t>
        </is>
      </c>
      <c r="I3683" s="3" t="inlineStr">
        <is>
          <t>This is the single explicit conversion from contracted/attributed capacity to operationally usable capacity.</t>
        </is>
      </c>
      <c r="J3683" s="3" t="inlineStr">
        <is>
          <t>SRC_ANTHROPIC_AMAZON_COMPUTE; SRC_AWS_RAINIER_ACTIVE; ASSUMP_POWER_RAMP</t>
        </is>
      </c>
      <c r="K3683" s="3" t="inlineStr">
        <is>
          <t>ASSUMP_POWER_RAMP; ASSUMP_CLOSED_MODEL_BAND; ASSUMP_NUMERIC_ACCELERATOR_MIX; ASSUMP_INFERENCE_SHARE_NOT_FACT_60; ASSUMP_WORKLOAD_CLASS_MIX; ASSUMP_AGENTIC_CONTEXT_PENALTY</t>
        </is>
      </c>
      <c r="L3683" s="3" t="inlineStr">
        <is>
          <t>Energized operational capacity divided by contracted/attributed capacity.</t>
        </is>
      </c>
    </row>
    <row r="3684">
      <c r="A3684" s="3" t="inlineStr">
        <is>
          <t>Anthropic</t>
        </is>
      </c>
      <c r="B3684" s="3" t="n">
        <v>2026</v>
      </c>
      <c r="C3684" s="3" t="inlineStr">
        <is>
          <t>Grid-Constrained / Efficiency-Upside</t>
        </is>
      </c>
      <c r="D3684" s="3" t="inlineStr">
        <is>
          <t>active_power_gw</t>
        </is>
      </c>
      <c r="E3684" s="3" t="n">
        <v>0.88</v>
      </c>
      <c r="F3684" s="3" t="inlineStr">
        <is>
          <t>GW</t>
        </is>
      </c>
      <c r="G3684" s="3" t="inlineStr">
        <is>
          <t>Derived scenario</t>
        </is>
      </c>
      <c r="H3684" s="3" t="inlineStr">
        <is>
          <t>contracted_power_gw * operational_deployment_share</t>
        </is>
      </c>
      <c r="I3684" s="3" t="inlineStr">
        <is>
          <t>Trainium cluster activation supports staged active ramp; Claude inference-versus-training use remains estimated.</t>
        </is>
      </c>
      <c r="J3684" s="3" t="inlineStr">
        <is>
          <t>SRC_ANTHROPIC_AMAZON_COMPUTE; SRC_AWS_RAINIER_ACTIVE; ASSUMP_POWER_RAMP</t>
        </is>
      </c>
      <c r="K3684" s="3" t="inlineStr">
        <is>
          <t>ASSUMP_POWER_RAMP; ASSUMP_CLOSED_MODEL_BAND; ASSUMP_NUMERIC_ACCELERATOR_MIX; ASSUMP_INFERENCE_SHARE_NOT_FACT_60; ASSUMP_WORKLOAD_CLASS_MIX; ASSUMP_AGENTIC_CONTEXT_PENALTY</t>
        </is>
      </c>
      <c r="L3684" s="3" t="inlineStr">
        <is>
          <t>Energization dates, accelerator deliveries and operational powered-rack telemetry.</t>
        </is>
      </c>
    </row>
    <row r="3685">
      <c r="A3685" s="3" t="inlineStr">
        <is>
          <t>Anthropic</t>
        </is>
      </c>
      <c r="B3685" s="3" t="n">
        <v>2026</v>
      </c>
      <c r="C3685" s="3" t="inlineStr">
        <is>
          <t>Grid-Constrained / Efficiency-Upside</t>
        </is>
      </c>
      <c r="D3685" s="3" t="inlineStr">
        <is>
          <t>pue</t>
        </is>
      </c>
      <c r="E3685" s="3" t="n">
        <v>1.18</v>
      </c>
      <c r="F3685" s="3" t="inlineStr">
        <is>
          <t>ratio</t>
        </is>
      </c>
      <c r="G3685" s="3" t="inlineStr">
        <is>
          <t>Scenario parameter</t>
        </is>
      </c>
      <c r="H3685" s="3" t="inlineStr">
        <is>
          <t>it_load_gw = active_power_gw / pue</t>
        </is>
      </c>
      <c r="I3685" s="3" t="inlineStr">
        <is>
          <t>No provider-wide site-level PUE is used as a disclosed fact; PUE represents facility-to-IT conversion within the scenario.</t>
        </is>
      </c>
      <c r="J3685" s="3" t="inlineStr">
        <is>
          <t>ASSUMP_POWER_RAMP</t>
        </is>
      </c>
      <c r="K3685" s="3" t="inlineStr">
        <is>
          <t>ASSUMP_POWER_RAMP; ASSUMP_CLOSED_MODEL_BAND; ASSUMP_NUMERIC_ACCELERATOR_MIX; ASSUMP_INFERENCE_SHARE_NOT_FACT_60; ASSUMP_WORKLOAD_CLASS_MIX; ASSUMP_AGENTIC_CONTEXT_PENALTY</t>
        </is>
      </c>
      <c r="L3685" s="3" t="inlineStr">
        <is>
          <t>Site-level measured PUE matched to attributed AI capacity.</t>
        </is>
      </c>
    </row>
    <row r="3686">
      <c r="A3686" s="3" t="inlineStr">
        <is>
          <t>Anthropic</t>
        </is>
      </c>
      <c r="B3686" s="3" t="n">
        <v>2026</v>
      </c>
      <c r="C3686" s="3" t="inlineStr">
        <is>
          <t>Grid-Constrained / Efficiency-Upside</t>
        </is>
      </c>
      <c r="D3686" s="3" t="inlineStr">
        <is>
          <t>it_load_gw</t>
        </is>
      </c>
      <c r="E3686" s="3" t="n">
        <v>0.746</v>
      </c>
      <c r="F3686" s="3" t="inlineStr">
        <is>
          <t>GW</t>
        </is>
      </c>
      <c r="G3686" s="3" t="inlineStr">
        <is>
          <t>Derived formula</t>
        </is>
      </c>
      <c r="H3686" s="3" t="inlineStr">
        <is>
          <t>active_power_gw / pue</t>
        </is>
      </c>
      <c r="I3686" s="3" t="inlineStr">
        <is>
          <t>Facility power is converted to IT-deliverable power before attributing AI workloads.</t>
        </is>
      </c>
      <c r="J3686" s="3" t="inlineStr">
        <is>
          <t>SRC_ANTHROPIC_AMAZON_COMPUTE; SRC_AWS_RAINIER_ACTIVE; ASSUMP_POWER_RAMP</t>
        </is>
      </c>
      <c r="K3686" s="3" t="inlineStr">
        <is>
          <t>ASSUMP_POWER_RAMP; ASSUMP_CLOSED_MODEL_BAND; ASSUMP_NUMERIC_ACCELERATOR_MIX; ASSUMP_INFERENCE_SHARE_NOT_FACT_60; ASSUMP_WORKLOAD_CLASS_MIX; ASSUMP_AGENTIC_CONTEXT_PENALTY</t>
        </is>
      </c>
      <c r="L3686" s="3" t="inlineStr">
        <is>
          <t>Recompute once active power and PUE become site-observable.</t>
        </is>
      </c>
    </row>
    <row r="3687">
      <c r="A3687" s="3" t="inlineStr">
        <is>
          <t>Anthropic</t>
        </is>
      </c>
      <c r="B3687" s="3" t="n">
        <v>2026</v>
      </c>
      <c r="C3687" s="3" t="inlineStr">
        <is>
          <t>Grid-Constrained / Efficiency-Upside</t>
        </is>
      </c>
      <c r="D3687" s="3" t="inlineStr">
        <is>
          <t>ai_workload_share</t>
        </is>
      </c>
      <c r="E3687" s="3" t="n">
        <v>0.86</v>
      </c>
      <c r="F3687" s="3" t="inlineStr">
        <is>
          <t>share</t>
        </is>
      </c>
      <c r="G3687" s="3" t="inlineStr">
        <is>
          <t>Scenario allocation</t>
        </is>
      </c>
      <c r="H3687" s="3" t="inlineStr">
        <is>
          <t>ai_it_load_gw = it_load_gw * ai_workload_share</t>
        </is>
      </c>
      <c r="I3687" s="3" t="inlineStr">
        <is>
          <t>Anthropic-directed hosted capacity is predominantly AI; 86% excludes platform, reserve and non-serving allocation.</t>
        </is>
      </c>
      <c r="J3687" s="3" t="inlineStr">
        <is>
          <t>SRC_ANTHROPIC_CLAUDE_DOCS; SRC_ANTHROPIC_AMAZON_COMPUTE; SRC_AWS_RAINIER_ACTIVE; SRC_EPOCH_AI_DATA_CENTERS</t>
        </is>
      </c>
      <c r="K3687" s="3" t="inlineStr">
        <is>
          <t>ASSUMP_POWER_RAMP; ASSUMP_CLOSED_MODEL_BAND; ASSUMP_NUMERIC_ACCELERATOR_MIX; ASSUMP_INFERENCE_SHARE_NOT_FACT_60; ASSUMP_WORKLOAD_CLASS_MIX; ASSUMP_AGENTIC_CONTEXT_PENALTY</t>
        </is>
      </c>
      <c r="L3687" s="3" t="inlineStr">
        <is>
          <t>Model-owner AI workload allocation or cluster scheduling telemetry.</t>
        </is>
      </c>
    </row>
    <row r="3688">
      <c r="A3688" s="3" t="inlineStr">
        <is>
          <t>Anthropic</t>
        </is>
      </c>
      <c r="B3688" s="3" t="n">
        <v>2026</v>
      </c>
      <c r="C3688" s="3" t="inlineStr">
        <is>
          <t>Grid-Constrained / Efficiency-Upside</t>
        </is>
      </c>
      <c r="D3688" s="3" t="inlineStr">
        <is>
          <t>ai_it_load_gw</t>
        </is>
      </c>
      <c r="E3688" s="3" t="n">
        <v>0.641</v>
      </c>
      <c r="F3688" s="3" t="inlineStr">
        <is>
          <t>GW</t>
        </is>
      </c>
      <c r="G3688" s="3" t="inlineStr">
        <is>
          <t>Derived formula</t>
        </is>
      </c>
      <c r="H3688" s="3" t="inlineStr">
        <is>
          <t>it_load_gw * ai_workload_share</t>
        </is>
      </c>
      <c r="I3688" s="3" t="inlineStr">
        <is>
          <t>Only the AI-attributed portion of IT load enters training/inference allocation.</t>
        </is>
      </c>
      <c r="J3688" s="3" t="inlineStr">
        <is>
          <t>SRC_ANTHROPIC_CLAUDE_DOCS; SRC_ANTHROPIC_AMAZON_COMPUTE; SRC_AWS_RAINIER_ACTIVE; SRC_EPOCH_AI_DATA_CENTERS</t>
        </is>
      </c>
      <c r="K3688" s="3" t="inlineStr">
        <is>
          <t>ASSUMP_POWER_RAMP; ASSUMP_CLOSED_MODEL_BAND; ASSUMP_NUMERIC_ACCELERATOR_MIX; ASSUMP_INFERENCE_SHARE_NOT_FACT_60; ASSUMP_WORKLOAD_CLASS_MIX; ASSUMP_AGENTIC_CONTEXT_PENALTY</t>
        </is>
      </c>
      <c r="L3688" s="3" t="inlineStr">
        <is>
          <t>Recompute after ai_workload_share is replaced by telemetry.</t>
        </is>
      </c>
    </row>
    <row r="3689">
      <c r="A3689" s="3" t="inlineStr">
        <is>
          <t>Anthropic</t>
        </is>
      </c>
      <c r="B3689" s="3" t="n">
        <v>2026</v>
      </c>
      <c r="C3689" s="3" t="inlineStr">
        <is>
          <t>Grid-Constrained / Efficiency-Upside</t>
        </is>
      </c>
      <c r="D3689" s="3" t="inlineStr">
        <is>
          <t>gpu_share</t>
        </is>
      </c>
      <c r="E3689" s="3" t="n">
        <v>0.320539</v>
      </c>
      <c r="F3689" s="3" t="inlineStr">
        <is>
          <t>share of inference-serving accelerator load</t>
        </is>
      </c>
      <c r="G3689" s="3" t="inlineStr">
        <is>
          <t>Numeric scenario</t>
        </is>
      </c>
      <c r="H3689" s="3" t="inlineStr">
        <is>
          <t>gpu_share interpolated from company 2026/2030 accelerator-mix endpoints</t>
        </is>
      </c>
      <c r="I3689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689" s="3" t="inlineStr">
        <is>
          <t>SRC_ANTHROPIC_CLAUDE_DOCS; SRC_ANTHROPIC_AMAZON_COMPUTE; SRC_AWS_RAINIER_ACTIVE; SRC_EPOCH_AI_DATA_CENTERS; ASSUMP_NUMERIC_ACCELERATOR_MIX</t>
        </is>
      </c>
      <c r="K3689" s="3" t="inlineStr">
        <is>
          <t>ASSUMP_POWER_RAMP; ASSUMP_CLOSED_MODEL_BAND; ASSUMP_NUMERIC_ACCELERATOR_MIX; ASSUMP_INFERENCE_SHARE_NOT_FACT_60; ASSUMP_WORKLOAD_CLASS_MIX; ASSUMP_AGENTIC_CONTEXT_PENALTY</t>
        </is>
      </c>
      <c r="L3689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690">
      <c r="A3690" s="3" t="inlineStr">
        <is>
          <t>Anthropic</t>
        </is>
      </c>
      <c r="B3690" s="3" t="n">
        <v>2026</v>
      </c>
      <c r="C3690" s="3" t="inlineStr">
        <is>
          <t>Grid-Constrained / Efficiency-Upside</t>
        </is>
      </c>
      <c r="D3690" s="3" t="inlineStr">
        <is>
          <t>h200_share</t>
        </is>
      </c>
      <c r="E3690" s="3" t="n">
        <v>0.138978</v>
      </c>
      <c r="F3690" s="3" t="inlineStr">
        <is>
          <t>share of inference-serving accelerator load</t>
        </is>
      </c>
      <c r="G3690" s="3" t="inlineStr">
        <is>
          <t>Editable numeric scenario</t>
        </is>
      </c>
      <c r="H3690" s="3" t="inlineStr">
        <is>
          <t>h200_share = gpu_share * default_gpu_generation_mix_h200</t>
        </is>
      </c>
      <c r="I3690" s="3" t="inlineStr">
        <is>
          <t>Default GPU-generation migration assumption; executive workbook allows later manual replacement by company/year/scenario.</t>
        </is>
      </c>
      <c r="J3690" s="3" t="inlineStr">
        <is>
          <t>SRC_SEMIANALYSIS_INFERENCEX; ASSUMP_NUMERIC_ACCELERATOR_MIX</t>
        </is>
      </c>
      <c r="K3690" s="3" t="inlineStr">
        <is>
          <t>ASSUMP_POWER_RAMP; ASSUMP_CLOSED_MODEL_BAND; ASSUMP_NUMERIC_ACCELERATOR_MIX; ASSUMP_INFERENCE_SHARE_NOT_FACT_60; ASSUMP_WORKLOAD_CLASS_MIX; ASSUMP_AGENTIC_CONTEXT_PENALTY</t>
        </is>
      </c>
      <c r="L3690" s="3" t="inlineStr">
        <is>
          <t>Company fleet inventory, accelerator-hours or procurement/deployment records by GPU generation.</t>
        </is>
      </c>
    </row>
    <row r="3691">
      <c r="A3691" s="3" t="inlineStr">
        <is>
          <t>Anthropic</t>
        </is>
      </c>
      <c r="B3691" s="3" t="n">
        <v>2026</v>
      </c>
      <c r="C3691" s="3" t="inlineStr">
        <is>
          <t>Grid-Constrained / Efficiency-Upside</t>
        </is>
      </c>
      <c r="D3691" s="3" t="inlineStr">
        <is>
          <t>b200_share</t>
        </is>
      </c>
      <c r="E3691" s="3" t="n">
        <v>0.181561</v>
      </c>
      <c r="F3691" s="3" t="inlineStr">
        <is>
          <t>share of inference-serving accelerator load</t>
        </is>
      </c>
      <c r="G3691" s="3" t="inlineStr">
        <is>
          <t>Editable numeric scenario</t>
        </is>
      </c>
      <c r="H3691" s="3" t="inlineStr">
        <is>
          <t>b200_share = gpu_share * default_gpu_generation_mix_b200</t>
        </is>
      </c>
      <c r="I3691" s="3" t="inlineStr">
        <is>
          <t>Default GPU-generation migration assumption; executive workbook allows later manual replacement by company/year/scenario.</t>
        </is>
      </c>
      <c r="J3691" s="3" t="inlineStr">
        <is>
          <t>SRC_SEMIANALYSIS_INFERENCEX; ASSUMP_NUMERIC_ACCELERATOR_MIX</t>
        </is>
      </c>
      <c r="K3691" s="3" t="inlineStr">
        <is>
          <t>ASSUMP_POWER_RAMP; ASSUMP_CLOSED_MODEL_BAND; ASSUMP_NUMERIC_ACCELERATOR_MIX; ASSUMP_INFERENCE_SHARE_NOT_FACT_60; ASSUMP_WORKLOAD_CLASS_MIX; ASSUMP_AGENTIC_CONTEXT_PENALTY</t>
        </is>
      </c>
      <c r="L3691" s="3" t="inlineStr">
        <is>
          <t>Company fleet inventory, accelerator-hours or procurement/deployment records by GPU generation.</t>
        </is>
      </c>
    </row>
    <row r="3692">
      <c r="A3692" s="3" t="inlineStr">
        <is>
          <t>Anthropic</t>
        </is>
      </c>
      <c r="B3692" s="3" t="n">
        <v>2026</v>
      </c>
      <c r="C3692" s="3" t="inlineStr">
        <is>
          <t>Grid-Constrained / Efficiency-Upside</t>
        </is>
      </c>
      <c r="D3692" s="3" t="inlineStr">
        <is>
          <t>gb200_share</t>
        </is>
      </c>
      <c r="E3692" s="3" t="n">
        <v>0</v>
      </c>
      <c r="F3692" s="3" t="inlineStr">
        <is>
          <t>share of inference-serving accelerator load</t>
        </is>
      </c>
      <c r="G3692" s="3" t="inlineStr">
        <is>
          <t>Editable numeric scenario</t>
        </is>
      </c>
      <c r="H3692" s="3" t="inlineStr">
        <is>
          <t>gb200_share = gpu_share * default_gpu_generation_mix_gb200</t>
        </is>
      </c>
      <c r="I3692" s="3" t="inlineStr">
        <is>
          <t>Default GPU-generation migration assumption; executive workbook allows later manual replacement by company/year/scenario.</t>
        </is>
      </c>
      <c r="J3692" s="3" t="inlineStr">
        <is>
          <t>SRC_SEMIANALYSIS_INFERENCEX; ASSUMP_NUMERIC_ACCELERATOR_MIX</t>
        </is>
      </c>
      <c r="K3692" s="3" t="inlineStr">
        <is>
          <t>ASSUMP_POWER_RAMP; ASSUMP_CLOSED_MODEL_BAND; ASSUMP_NUMERIC_ACCELERATOR_MIX; ASSUMP_INFERENCE_SHARE_NOT_FACT_60; ASSUMP_WORKLOAD_CLASS_MIX; ASSUMP_AGENTIC_CONTEXT_PENALTY</t>
        </is>
      </c>
      <c r="L3692" s="3" t="inlineStr">
        <is>
          <t>Company fleet inventory, accelerator-hours or procurement/deployment records by GPU generation.</t>
        </is>
      </c>
    </row>
    <row r="3693">
      <c r="A3693" s="3" t="inlineStr">
        <is>
          <t>Anthropic</t>
        </is>
      </c>
      <c r="B3693" s="3" t="n">
        <v>2026</v>
      </c>
      <c r="C3693" s="3" t="inlineStr">
        <is>
          <t>Grid-Constrained / Efficiency-Upside</t>
        </is>
      </c>
      <c r="D3693" s="3" t="inlineStr">
        <is>
          <t>purpose_built_accelerator_share</t>
        </is>
      </c>
      <c r="E3693" s="3" t="n">
        <v>0.679461</v>
      </c>
      <c r="F3693" s="3" t="inlineStr">
        <is>
          <t>share of inference-serving accelerator load</t>
        </is>
      </c>
      <c r="G3693" s="3" t="inlineStr">
        <is>
          <t>Numeric scenario</t>
        </is>
      </c>
      <c r="H3693" s="3" t="inlineStr">
        <is>
          <t>1 - gpu_share</t>
        </is>
      </c>
      <c r="I3693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693" s="3" t="inlineStr">
        <is>
          <t>SRC_ANTHROPIC_CLAUDE_DOCS; SRC_ANTHROPIC_AMAZON_COMPUTE; SRC_AWS_RAINIER_ACTIVE; SRC_EPOCH_AI_DATA_CENTERS; ASSUMP_NUMERIC_ACCELERATOR_MIX</t>
        </is>
      </c>
      <c r="K3693" s="3" t="inlineStr">
        <is>
          <t>ASSUMP_POWER_RAMP; ASSUMP_CLOSED_MODEL_BAND; ASSUMP_NUMERIC_ACCELERATOR_MIX; ASSUMP_INFERENCE_SHARE_NOT_FACT_60; ASSUMP_WORKLOAD_CLASS_MIX; ASSUMP_AGENTIC_CONTEXT_PENALTY</t>
        </is>
      </c>
      <c r="L3693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694">
      <c r="A3694" s="3" t="inlineStr">
        <is>
          <t>Anthropic</t>
        </is>
      </c>
      <c r="B3694" s="3" t="n">
        <v>2026</v>
      </c>
      <c r="C3694" s="3" t="inlineStr">
        <is>
          <t>Grid-Constrained / Efficiency-Upside</t>
        </is>
      </c>
      <c r="D3694" s="3" t="inlineStr">
        <is>
          <t>fleet_reference_tps_per_mw</t>
        </is>
      </c>
      <c r="E3694" s="3" t="n">
        <v>244773</v>
      </c>
      <c r="F3694" s="3" t="inlineStr">
        <is>
          <t>generated output tokens/sec/MW</t>
        </is>
      </c>
      <c r="G3694" s="3" t="inlineStr">
        <is>
          <t>Fleet-weighted public benchmark reference</t>
        </is>
      </c>
      <c r="H3694" s="3" t="inlineStr">
        <is>
          <t>h200_share*h200_workload_avg + b200_share*b200_workload_avg + gb200_share*gb200_workload_avg + purpose_built_share*purpose_workload_avg</t>
        </is>
      </c>
      <c r="I3694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694" s="3" t="inlineStr">
        <is>
          <t>SRC_SEMIANALYSIS_INFERENCEX; ASSUMP_NUMERIC_ACCELERATOR_MIX; ASSUMP_WORKLOAD_CLASS_MIX; ASSUMP_AGENTIC_CONTEXT_PENALTY</t>
        </is>
      </c>
      <c r="K3694" s="3" t="inlineStr">
        <is>
          <t>ASSUMP_POWER_RAMP; ASSUMP_CLOSED_MODEL_BAND; ASSUMP_NUMERIC_ACCELERATOR_MIX; ASSUMP_INFERENCE_SHARE_NOT_FACT_60; ASSUMP_WORKLOAD_CLASS_MIX; ASSUMP_AGENTIC_CONTEXT_PENALTY</t>
        </is>
      </c>
      <c r="L3694" s="3" t="inlineStr">
        <is>
          <t>Comparable production output-token throughput or a more closely matched benchmark.</t>
        </is>
      </c>
    </row>
    <row r="3695">
      <c r="A3695" s="3" t="inlineStr">
        <is>
          <t>Anthropic</t>
        </is>
      </c>
      <c r="B3695" s="3" t="n">
        <v>2026</v>
      </c>
      <c r="C3695" s="3" t="inlineStr">
        <is>
          <t>Grid-Constrained / Efficiency-Upside</t>
        </is>
      </c>
      <c r="D3695" s="3" t="inlineStr">
        <is>
          <t>commercial_workload_fit_factor</t>
        </is>
      </c>
      <c r="E3695" s="3" t="n">
        <v>0.5</v>
      </c>
      <c r="F3695" s="3" t="inlineStr">
        <is>
          <t>share of public reference throughput</t>
        </is>
      </c>
      <c r="G3695" s="3" t="inlineStr">
        <is>
          <t>Scenario assumption</t>
        </is>
      </c>
      <c r="H3695" s="3" t="inlineStr">
        <is>
          <t>reference_serving_tps_per_mw = fleet_reference_tps_per_mw * commercial_workload_fit_factor</t>
        </is>
      </c>
      <c r="I3695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695" s="3" t="inlineStr">
        <is>
          <t>SRC_SEMIANALYSIS_INFERENCEX; ASSUMP_NUMERIC_ACCELERATOR_MIX; ASSUMP_WORKLOAD_CLASS_MIX; ASSUMP_AGENTIC_CONTEXT_PENALTY</t>
        </is>
      </c>
      <c r="K3695" s="3" t="inlineStr">
        <is>
          <t>ASSUMP_POWER_RAMP; ASSUMP_CLOSED_MODEL_BAND; ASSUMP_NUMERIC_ACCELERATOR_MIX; ASSUMP_INFERENCE_SHARE_NOT_FACT_60; ASSUMP_WORKLOAD_CLASS_MIX; ASSUMP_AGENTIC_CONTEXT_PENALTY</t>
        </is>
      </c>
      <c r="L3695" s="3" t="inlineStr">
        <is>
          <t>Matched commercial serving benchmark by product surface, context shape and latency SLO.</t>
        </is>
      </c>
    </row>
    <row r="3696">
      <c r="A3696" s="3" t="inlineStr">
        <is>
          <t>Anthropic</t>
        </is>
      </c>
      <c r="B3696" s="3" t="n">
        <v>2026</v>
      </c>
      <c r="C3696" s="3" t="inlineStr">
        <is>
          <t>Grid-Constrained / Efficiency-Upside</t>
        </is>
      </c>
      <c r="D3696" s="3" t="inlineStr">
        <is>
          <t>reference_serving_tps_per_mw</t>
        </is>
      </c>
      <c r="E3696" s="3" t="n">
        <v>122386</v>
      </c>
      <c r="F3696" s="3" t="inlineStr">
        <is>
          <t>generated output tokens/sec/MW</t>
        </is>
      </c>
      <c r="G3696" s="3" t="inlineStr">
        <is>
          <t>Workload-adjusted benchmark proxy</t>
        </is>
      </c>
      <c r="H3696" s="3" t="inlineStr">
        <is>
          <t>fleet_reference_tps_per_mw * commercial_workload_fit_factor</t>
        </is>
      </c>
      <c r="I3696" s="3" t="inlineStr">
        <is>
          <t>This is the coefficient used for headline token generation; each GPU's short chat, long chat and agentic TPS/MW are weighted before fleet mix and commercial fit are applied.</t>
        </is>
      </c>
      <c r="J3696" s="3" t="inlineStr">
        <is>
          <t>SRC_SEMIANALYSIS_INFERENCEX; ASSUMP_NUMERIC_ACCELERATOR_MIX; ASSUMP_WORKLOAD_CLASS_MIX; ASSUMP_AGENTIC_CONTEXT_PENALTY</t>
        </is>
      </c>
      <c r="K3696" s="3" t="inlineStr">
        <is>
          <t>ASSUMP_POWER_RAMP; ASSUMP_CLOSED_MODEL_BAND; ASSUMP_NUMERIC_ACCELERATOR_MIX; ASSUMP_INFERENCE_SHARE_NOT_FACT_60; ASSUMP_WORKLOAD_CLASS_MIX; ASSUMP_AGENTIC_CONTEXT_PENALTY</t>
        </is>
      </c>
      <c r="L3696" s="3" t="inlineStr">
        <is>
          <t>Provider production output-token throughput with comparable workload/SLO.</t>
        </is>
      </c>
    </row>
    <row r="3697">
      <c r="A3697" s="3" t="inlineStr">
        <is>
          <t>Anthropic</t>
        </is>
      </c>
      <c r="B3697" s="3" t="n">
        <v>2026</v>
      </c>
      <c r="C3697" s="3" t="inlineStr">
        <is>
          <t>Grid-Constrained / Efficiency-Upside</t>
        </is>
      </c>
      <c r="D3697" s="3" t="inlineStr">
        <is>
          <t>purpose_built_tps_per_mw</t>
        </is>
      </c>
      <c r="E3697" s="3" t="n">
        <v>67653</v>
      </c>
      <c r="F3697" s="3" t="inlineStr">
        <is>
          <t>generated output tokens/sec/MW</t>
        </is>
      </c>
      <c r="G3697" s="3" t="inlineStr">
        <is>
          <t>Conservative no-uplift proxy</t>
        </is>
      </c>
      <c r="H3697" s="3" t="inlineStr">
        <is>
          <t>purpose_built_tps_per_mw = purpose_built_reference_tps_per_mw * commercial_workload_fit_factor until comparable output-token benchmark is adopted</t>
        </is>
      </c>
      <c r="I3697" s="3" t="inlineStr">
        <is>
          <t>No comparable public output-token/MW row adopted; B200 public reference placeholder is used and remains editable.</t>
        </is>
      </c>
      <c r="J3697" s="3" t="inlineStr">
        <is>
          <t>SRC_ANTHROPIC_CLAUDE_DOCS; SRC_ANTHROPIC_AMAZON_COMPUTE; SRC_AWS_RAINIER_ACTIVE; SRC_EPOCH_AI_DATA_CENTERS; ASSUMP_NUMERIC_ACCELERATOR_MIX</t>
        </is>
      </c>
      <c r="K3697" s="3" t="inlineStr">
        <is>
          <t>ASSUMP_POWER_RAMP; ASSUMP_CLOSED_MODEL_BAND; ASSUMP_NUMERIC_ACCELERATOR_MIX; ASSUMP_INFERENCE_SHARE_NOT_FACT_60; ASSUMP_WORKLOAD_CLASS_MIX; ASSUMP_AGENTIC_CONTEXT_PENALTY</t>
        </is>
      </c>
      <c r="L3697" s="3" t="inlineStr">
        <is>
          <t>Matched-workload generated-output benchmark for the provider purpose-built accelerator.</t>
        </is>
      </c>
    </row>
    <row r="3698">
      <c r="A3698" s="3" t="inlineStr">
        <is>
          <t>Anthropic</t>
        </is>
      </c>
      <c r="B3698" s="3" t="n">
        <v>2026</v>
      </c>
      <c r="C3698" s="3" t="inlineStr">
        <is>
          <t>Grid-Constrained / Efficiency-Upside</t>
        </is>
      </c>
      <c r="D3698" s="3" t="inlineStr">
        <is>
          <t>inference_power_share</t>
        </is>
      </c>
      <c r="E3698" s="3" t="n">
        <v>0.54</v>
      </c>
      <c r="F3698" s="3" t="inlineStr">
        <is>
          <t>share of AI IT load</t>
        </is>
      </c>
      <c r="G3698" s="3" t="inlineStr">
        <is>
          <t>Scenario allocation</t>
        </is>
      </c>
      <c r="H3698" s="3" t="inlineStr">
        <is>
          <t>inference_gw = ai_it_load_gw * inference_power_share</t>
        </is>
      </c>
      <c r="I3698" s="3" t="inlineStr">
        <is>
          <t>Claude API/product growth supports a rising inference share, while continued model training prevents full conversion.</t>
        </is>
      </c>
      <c r="J3698" s="3" t="inlineStr">
        <is>
          <t>SRC_ANTHROPIC_CLAUDE_DOCS; SRC_ANTHROPIC_AMAZON_COMPUTE; SRC_AWS_RAINIER_ACTIVE; SRC_EPOCH_AI_DATA_CENTERS; ASSUMP_INFERENCE_SHARE_NOT_FACT_60</t>
        </is>
      </c>
      <c r="K3698" s="3" t="inlineStr">
        <is>
          <t>ASSUMP_POWER_RAMP; ASSUMP_CLOSED_MODEL_BAND; ASSUMP_NUMERIC_ACCELERATOR_MIX; ASSUMP_INFERENCE_SHARE_NOT_FACT_60; ASSUMP_WORKLOAD_CLASS_MIX; ASSUMP_AGENTIC_CONTEXT_PENALTY</t>
        </is>
      </c>
      <c r="L3698" s="3" t="inlineStr">
        <is>
          <t>Provider-specific inference/training workload power telemetry.</t>
        </is>
      </c>
    </row>
    <row r="3699">
      <c r="A3699" s="3" t="inlineStr">
        <is>
          <t>Anthropic</t>
        </is>
      </c>
      <c r="B3699" s="3" t="n">
        <v>2026</v>
      </c>
      <c r="C3699" s="3" t="inlineStr">
        <is>
          <t>Grid-Constrained / Efficiency-Upside</t>
        </is>
      </c>
      <c r="D3699" s="3" t="inlineStr">
        <is>
          <t>inference_gw</t>
        </is>
      </c>
      <c r="E3699" s="3" t="n">
        <v>0.346</v>
      </c>
      <c r="F3699" s="3" t="inlineStr">
        <is>
          <t>GW</t>
        </is>
      </c>
      <c r="G3699" s="3" t="inlineStr">
        <is>
          <t>Derived formula</t>
        </is>
      </c>
      <c r="H3699" s="3" t="inlineStr">
        <is>
          <t>ai_it_load_gw * inference_power_share</t>
        </is>
      </c>
      <c r="I3699" s="3" t="inlineStr">
        <is>
          <t>This is the operational power eligible to become commercial generated output tokens through the selected TPS/MW proxy.</t>
        </is>
      </c>
      <c r="J3699" s="3" t="inlineStr">
        <is>
          <t>SRC_ANTHROPIC_CLAUDE_DOCS; SRC_ANTHROPIC_AMAZON_COMPUTE; SRC_AWS_RAINIER_ACTIVE; SRC_EPOCH_AI_DATA_CENTERS</t>
        </is>
      </c>
      <c r="K3699" s="3" t="inlineStr">
        <is>
          <t>ASSUMP_POWER_RAMP; ASSUMP_CLOSED_MODEL_BAND; ASSUMP_NUMERIC_ACCELERATOR_MIX; ASSUMP_INFERENCE_SHARE_NOT_FACT_60; ASSUMP_WORKLOAD_CLASS_MIX; ASSUMP_AGENTIC_CONTEXT_PENALTY</t>
        </is>
      </c>
      <c r="L3699" s="3" t="inlineStr">
        <is>
          <t>Recompute after AI allocation or inference-share evidence changes.</t>
        </is>
      </c>
    </row>
    <row r="3700">
      <c r="A3700" s="3" t="inlineStr">
        <is>
          <t>Anthropic</t>
        </is>
      </c>
      <c r="B3700" s="3" t="n">
        <v>2026</v>
      </c>
      <c r="C3700" s="3" t="inlineStr">
        <is>
          <t>Grid-Constrained / Efficiency-Upside</t>
        </is>
      </c>
      <c r="D3700" s="3" t="inlineStr">
        <is>
          <t>training_power_share</t>
        </is>
      </c>
      <c r="E3700" s="3" t="n">
        <v>0.46</v>
      </c>
      <c r="F3700" s="3" t="inlineStr">
        <is>
          <t>share of AI IT load</t>
        </is>
      </c>
      <c r="G3700" s="3" t="inlineStr">
        <is>
          <t>Derived allocation</t>
        </is>
      </c>
      <c r="H3700" s="3" t="inlineStr">
        <is>
          <t>1 - inference_power_share</t>
        </is>
      </c>
      <c r="I3700" s="3" t="inlineStr">
        <is>
          <t>Training receives the complementary modeled AI IT allocation; it is not a disclosed company workload split.</t>
        </is>
      </c>
      <c r="J3700" s="3" t="inlineStr">
        <is>
          <t>SRC_ANTHROPIC_CLAUDE_DOCS; SRC_ANTHROPIC_AMAZON_COMPUTE; SRC_AWS_RAINIER_ACTIVE; SRC_EPOCH_AI_DATA_CENTERS; ASSUMP_INFERENCE_SHARE_NOT_FACT_60</t>
        </is>
      </c>
      <c r="K3700" s="3" t="inlineStr">
        <is>
          <t>ASSUMP_POWER_RAMP; ASSUMP_CLOSED_MODEL_BAND; ASSUMP_NUMERIC_ACCELERATOR_MIX; ASSUMP_INFERENCE_SHARE_NOT_FACT_60; ASSUMP_WORKLOAD_CLASS_MIX; ASSUMP_AGENTIC_CONTEXT_PENALTY</t>
        </is>
      </c>
      <c r="L3700" s="3" t="inlineStr">
        <is>
          <t>Provider-specific inference/training workload power telemetry.</t>
        </is>
      </c>
    </row>
    <row r="3701">
      <c r="A3701" s="3" t="inlineStr">
        <is>
          <t>Anthropic</t>
        </is>
      </c>
      <c r="B3701" s="3" t="n">
        <v>2026</v>
      </c>
      <c r="C3701" s="3" t="inlineStr">
        <is>
          <t>Grid-Constrained / Efficiency-Upside</t>
        </is>
      </c>
      <c r="D3701" s="3" t="inlineStr">
        <is>
          <t>training_gw</t>
        </is>
      </c>
      <c r="E3701" s="3" t="n">
        <v>0.295</v>
      </c>
      <c r="F3701" s="3" t="inlineStr">
        <is>
          <t>GW</t>
        </is>
      </c>
      <c r="G3701" s="3" t="inlineStr">
        <is>
          <t>Derived formula</t>
        </is>
      </c>
      <c r="H3701" s="3" t="inlineStr">
        <is>
          <t>ai_it_load_gw * training_power_share</t>
        </is>
      </c>
      <c r="I3701" s="3" t="inlineStr">
        <is>
          <t>Training GW is shown separately so commercial inference token capacity is not overstated.</t>
        </is>
      </c>
      <c r="J3701" s="3" t="inlineStr">
        <is>
          <t>SRC_ANTHROPIC_CLAUDE_DOCS; SRC_ANTHROPIC_AMAZON_COMPUTE; SRC_AWS_RAINIER_ACTIVE; SRC_EPOCH_AI_DATA_CENTERS</t>
        </is>
      </c>
      <c r="K3701" s="3" t="inlineStr">
        <is>
          <t>ASSUMP_POWER_RAMP; ASSUMP_CLOSED_MODEL_BAND; ASSUMP_NUMERIC_ACCELERATOR_MIX; ASSUMP_INFERENCE_SHARE_NOT_FACT_60; ASSUMP_WORKLOAD_CLASS_MIX; ASSUMP_AGENTIC_CONTEXT_PENALTY</t>
        </is>
      </c>
      <c r="L3701" s="3" t="inlineStr">
        <is>
          <t>Recompute after AI allocation or workload-split evidence changes.</t>
        </is>
      </c>
    </row>
    <row r="3702">
      <c r="A3702" s="3" t="inlineStr">
        <is>
          <t>Anthropic</t>
        </is>
      </c>
      <c r="B3702" s="3" t="n">
        <v>2026</v>
      </c>
      <c r="C3702" s="3" t="inlineStr">
        <is>
          <t>Grid-Constrained / Efficiency-Upside</t>
        </is>
      </c>
      <c r="D3702" s="3" t="inlineStr">
        <is>
          <t>tokens_per_second_per_mw</t>
        </is>
      </c>
      <c r="E3702" s="3" t="n">
        <v>122386</v>
      </c>
      <c r="F3702" s="3" t="inlineStr">
        <is>
          <t>generated output tokens/sec/MW</t>
        </is>
      </c>
      <c r="G3702" s="3" t="inlineStr">
        <is>
          <t>Derived estimate + benchmark calibration</t>
        </is>
      </c>
      <c r="H3702" s="3" t="inlineStr">
        <is>
          <t>fleet_reference_tps_per_mw * commercial_workload_fit_factor</t>
        </is>
      </c>
      <c r="I3702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02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02" s="3" t="inlineStr">
        <is>
          <t>ASSUMP_POWER_RAMP; ASSUMP_CLOSED_MODEL_BAND; ASSUMP_NUMERIC_ACCELERATOR_MIX; ASSUMP_INFERENCE_SHARE_NOT_FACT_60; ASSUMP_WORKLOAD_CLASS_MIX; ASSUMP_AGENTIC_CONTEXT_PENALTY</t>
        </is>
      </c>
      <c r="L3702" s="3" t="inlineStr">
        <is>
          <t>Comparable production output-token throughput with model, hardware, precision, ISL/OSL and SLO matched.</t>
        </is>
      </c>
    </row>
    <row r="3703">
      <c r="A3703" s="3" t="inlineStr">
        <is>
          <t>Anthropic</t>
        </is>
      </c>
      <c r="B3703" s="3" t="n">
        <v>2026</v>
      </c>
      <c r="C3703" s="3" t="inlineStr">
        <is>
          <t>Grid-Constrained / Efficiency-Upside</t>
        </is>
      </c>
      <c r="D3703" s="3" t="inlineStr">
        <is>
          <t>inference_tokens_per_day</t>
        </is>
      </c>
      <c r="E3703" s="3" t="n">
        <v>3658656038400</v>
      </c>
      <c r="F3703" s="3" t="inlineStr">
        <is>
          <t>generated output tokens/day</t>
        </is>
      </c>
      <c r="G3703" s="3" t="inlineStr">
        <is>
          <t>Derived headline metric</t>
        </is>
      </c>
      <c r="H3703" s="3" t="inlineStr">
        <is>
          <t>inference_gw * 1000 * tokens_per_second_per_mw * 86,400</t>
        </is>
      </c>
      <c r="I3703" s="3" t="inlineStr">
        <is>
          <t>Headline capacity uses no utilization, MoE, architecture or software-growth multiplier; it is not observed commercial output volume.</t>
        </is>
      </c>
      <c r="J3703" s="3" t="inlineStr">
        <is>
          <t>SRC_ANTHROPIC_CLAUDE_DOCS; SRC_ANTHROPIC_AMAZON_COMPUTE; SRC_AWS_RAINIER_ACTIVE; SRC_EPOCH_AI_DATA_CENTERS; SRC_SEMIANALYSIS_INFERENCEX</t>
        </is>
      </c>
      <c r="K3703" s="3" t="inlineStr">
        <is>
          <t>ASSUMP_POWER_RAMP; ASSUMP_CLOSED_MODEL_BAND; ASSUMP_NUMERIC_ACCELERATOR_MIX; ASSUMP_INFERENCE_SHARE_NOT_FACT_60; ASSUMP_WORKLOAD_CLASS_MIX; ASSUMP_AGENTIC_CONTEXT_PENALTY</t>
        </is>
      </c>
      <c r="L3703" s="3" t="inlineStr">
        <is>
          <t>Provider-disclosed generated output token volume or calibrated capacity telemetry.</t>
        </is>
      </c>
    </row>
    <row r="3704">
      <c r="A3704" s="3" t="inlineStr">
        <is>
          <t>Anthropic</t>
        </is>
      </c>
      <c r="B3704" s="3" t="n">
        <v>2026</v>
      </c>
      <c r="C3704" s="3" t="inlineStr">
        <is>
          <t>Grid-Constrained / Efficiency-Upside</t>
        </is>
      </c>
      <c r="D3704" s="3" t="inlineStr">
        <is>
          <t>inference_tokens_per_year</t>
        </is>
      </c>
      <c r="E3704" s="3" t="n">
        <v>1335409454016000</v>
      </c>
      <c r="F3704" s="3" t="inlineStr">
        <is>
          <t>generated output tokens/year</t>
        </is>
      </c>
      <c r="G3704" s="3" t="inlineStr">
        <is>
          <t>Derived headline metric</t>
        </is>
      </c>
      <c r="H3704" s="3" t="inlineStr">
        <is>
          <t>inference_tokens_per_day * 365</t>
        </is>
      </c>
      <c r="I3704" s="3" t="inlineStr">
        <is>
          <t>Annualized version of generated output token capacity; it is not observed annual demand or billable volume.</t>
        </is>
      </c>
      <c r="J3704" s="3" t="inlineStr">
        <is>
          <t>SRC_ANTHROPIC_CLAUDE_DOCS; SRC_ANTHROPIC_AMAZON_COMPUTE; SRC_AWS_RAINIER_ACTIVE; SRC_EPOCH_AI_DATA_CENTERS; SRC_SEMIANALYSIS_INFERENCEX</t>
        </is>
      </c>
      <c r="K3704" s="3" t="inlineStr">
        <is>
          <t>ASSUMP_POWER_RAMP; ASSUMP_CLOSED_MODEL_BAND; ASSUMP_NUMERIC_ACCELERATOR_MIX; ASSUMP_INFERENCE_SHARE_NOT_FACT_60; ASSUMP_WORKLOAD_CLASS_MIX; ASSUMP_AGENTIC_CONTEXT_PENALTY</t>
        </is>
      </c>
      <c r="L3704" s="3" t="inlineStr">
        <is>
          <t>Provider-disclosed annual generated-output volume or metered serving telemetry.</t>
        </is>
      </c>
    </row>
    <row r="3705">
      <c r="A3705" s="3" t="inlineStr">
        <is>
          <t>Anthropic</t>
        </is>
      </c>
      <c r="B3705" s="3" t="n">
        <v>2027</v>
      </c>
      <c r="C3705" s="3" t="inlineStr">
        <is>
          <t>Grid-Constrained / Efficiency-Upside</t>
        </is>
      </c>
      <c r="D3705" s="3" t="inlineStr">
        <is>
          <t>contracted_power_gw</t>
        </is>
      </c>
      <c r="E3705" s="3" t="n">
        <v>4.375</v>
      </c>
      <c r="F3705" s="3" t="inlineStr">
        <is>
          <t>GW</t>
        </is>
      </c>
      <c r="G3705" s="3" t="inlineStr">
        <is>
          <t>Fact anchor + scenario ceiling</t>
        </is>
      </c>
      <c r="H3705" s="3" t="inlineStr">
        <is>
          <t>linear interpolation between 2026 and 2030 company capacity endpoints</t>
        </is>
      </c>
      <c r="I3705" s="3" t="inlineStr">
        <is>
          <t>Hosted capacity envelope is anchored by Anthropic/AWS Project Rainier direction; it is attributed to Claude outputs, not AWS as a model owner.</t>
        </is>
      </c>
      <c r="J3705" s="3" t="inlineStr">
        <is>
          <t>SRC_ANTHROPIC_AMAZON_COMPUTE; SRC_AWS_RAINIER_ACTIVE; ASSUMP_POWER_RAMP</t>
        </is>
      </c>
      <c r="K3705" s="3" t="inlineStr">
        <is>
          <t>ASSUMP_POWER_RAMP; ASSUMP_CLOSED_MODEL_BAND; ASSUMP_NUMERIC_ACCELERATOR_MIX; ASSUMP_INFERENCE_SHARE_NOT_FACT_60; ASSUMP_WORKLOAD_CLASS_MIX; ASSUMP_AGENTIC_CONTEXT_PENALTY</t>
        </is>
      </c>
      <c r="L3705" s="3" t="inlineStr">
        <is>
          <t>Company/site-level committed MW/GW, interconnect and contract disclosure.</t>
        </is>
      </c>
    </row>
    <row r="3706">
      <c r="A3706" s="3" t="inlineStr">
        <is>
          <t>Anthropic</t>
        </is>
      </c>
      <c r="B3706" s="3" t="n">
        <v>2027</v>
      </c>
      <c r="C3706" s="3" t="inlineStr">
        <is>
          <t>Grid-Constrained / Efficiency-Upside</t>
        </is>
      </c>
      <c r="D3706" s="3" t="inlineStr">
        <is>
          <t>operational_deployment_share</t>
        </is>
      </c>
      <c r="E3706" s="3" t="n">
        <v>0.408</v>
      </c>
      <c r="F3706" s="3" t="inlineStr">
        <is>
          <t>share</t>
        </is>
      </c>
      <c r="G3706" s="3" t="inlineStr">
        <is>
          <t>Scenario conversion</t>
        </is>
      </c>
      <c r="H3706" s="3" t="inlineStr">
        <is>
          <t>active_power_gw / contracted_power_gw</t>
        </is>
      </c>
      <c r="I3706" s="3" t="inlineStr">
        <is>
          <t>This is the single explicit conversion from contracted/attributed capacity to operationally usable capacity.</t>
        </is>
      </c>
      <c r="J3706" s="3" t="inlineStr">
        <is>
          <t>SRC_ANTHROPIC_AMAZON_COMPUTE; SRC_AWS_RAINIER_ACTIVE; ASSUMP_POWER_RAMP</t>
        </is>
      </c>
      <c r="K3706" s="3" t="inlineStr">
        <is>
          <t>ASSUMP_POWER_RAMP; ASSUMP_CLOSED_MODEL_BAND; ASSUMP_NUMERIC_ACCELERATOR_MIX; ASSUMP_INFERENCE_SHARE_NOT_FACT_60; ASSUMP_WORKLOAD_CLASS_MIX; ASSUMP_AGENTIC_CONTEXT_PENALTY</t>
        </is>
      </c>
      <c r="L3706" s="3" t="inlineStr">
        <is>
          <t>Energized operational capacity divided by contracted/attributed capacity.</t>
        </is>
      </c>
    </row>
    <row r="3707">
      <c r="A3707" s="3" t="inlineStr">
        <is>
          <t>Anthropic</t>
        </is>
      </c>
      <c r="B3707" s="3" t="n">
        <v>2027</v>
      </c>
      <c r="C3707" s="3" t="inlineStr">
        <is>
          <t>Grid-Constrained / Efficiency-Upside</t>
        </is>
      </c>
      <c r="D3707" s="3" t="inlineStr">
        <is>
          <t>active_power_gw</t>
        </is>
      </c>
      <c r="E3707" s="3" t="n">
        <v>1.785</v>
      </c>
      <c r="F3707" s="3" t="inlineStr">
        <is>
          <t>GW</t>
        </is>
      </c>
      <c r="G3707" s="3" t="inlineStr">
        <is>
          <t>Derived scenario</t>
        </is>
      </c>
      <c r="H3707" s="3" t="inlineStr">
        <is>
          <t>contracted_power_gw * operational_deployment_share</t>
        </is>
      </c>
      <c r="I3707" s="3" t="inlineStr">
        <is>
          <t>Trainium cluster activation supports staged active ramp; Claude inference-versus-training use remains estimated.</t>
        </is>
      </c>
      <c r="J3707" s="3" t="inlineStr">
        <is>
          <t>SRC_ANTHROPIC_AMAZON_COMPUTE; SRC_AWS_RAINIER_ACTIVE; ASSUMP_POWER_RAMP</t>
        </is>
      </c>
      <c r="K3707" s="3" t="inlineStr">
        <is>
          <t>ASSUMP_POWER_RAMP; ASSUMP_CLOSED_MODEL_BAND; ASSUMP_NUMERIC_ACCELERATOR_MIX; ASSUMP_INFERENCE_SHARE_NOT_FACT_60; ASSUMP_WORKLOAD_CLASS_MIX; ASSUMP_AGENTIC_CONTEXT_PENALTY</t>
        </is>
      </c>
      <c r="L3707" s="3" t="inlineStr">
        <is>
          <t>Energization dates, accelerator deliveries and operational powered-rack telemetry.</t>
        </is>
      </c>
    </row>
    <row r="3708">
      <c r="A3708" s="3" t="inlineStr">
        <is>
          <t>Anthropic</t>
        </is>
      </c>
      <c r="B3708" s="3" t="n">
        <v>2027</v>
      </c>
      <c r="C3708" s="3" t="inlineStr">
        <is>
          <t>Grid-Constrained / Efficiency-Upside</t>
        </is>
      </c>
      <c r="D3708" s="3" t="inlineStr">
        <is>
          <t>pue</t>
        </is>
      </c>
      <c r="E3708" s="3" t="n">
        <v>1.18</v>
      </c>
      <c r="F3708" s="3" t="inlineStr">
        <is>
          <t>ratio</t>
        </is>
      </c>
      <c r="G3708" s="3" t="inlineStr">
        <is>
          <t>Scenario parameter</t>
        </is>
      </c>
      <c r="H3708" s="3" t="inlineStr">
        <is>
          <t>it_load_gw = active_power_gw / pue</t>
        </is>
      </c>
      <c r="I3708" s="3" t="inlineStr">
        <is>
          <t>No provider-wide site-level PUE is used as a disclosed fact; PUE represents facility-to-IT conversion within the scenario.</t>
        </is>
      </c>
      <c r="J3708" s="3" t="inlineStr">
        <is>
          <t>ASSUMP_POWER_RAMP</t>
        </is>
      </c>
      <c r="K3708" s="3" t="inlineStr">
        <is>
          <t>ASSUMP_POWER_RAMP; ASSUMP_CLOSED_MODEL_BAND; ASSUMP_NUMERIC_ACCELERATOR_MIX; ASSUMP_INFERENCE_SHARE_NOT_FACT_60; ASSUMP_WORKLOAD_CLASS_MIX; ASSUMP_AGENTIC_CONTEXT_PENALTY</t>
        </is>
      </c>
      <c r="L3708" s="3" t="inlineStr">
        <is>
          <t>Site-level measured PUE matched to attributed AI capacity.</t>
        </is>
      </c>
    </row>
    <row r="3709">
      <c r="A3709" s="3" t="inlineStr">
        <is>
          <t>Anthropic</t>
        </is>
      </c>
      <c r="B3709" s="3" t="n">
        <v>2027</v>
      </c>
      <c r="C3709" s="3" t="inlineStr">
        <is>
          <t>Grid-Constrained / Efficiency-Upside</t>
        </is>
      </c>
      <c r="D3709" s="3" t="inlineStr">
        <is>
          <t>it_load_gw</t>
        </is>
      </c>
      <c r="E3709" s="3" t="n">
        <v>1.513</v>
      </c>
      <c r="F3709" s="3" t="inlineStr">
        <is>
          <t>GW</t>
        </is>
      </c>
      <c r="G3709" s="3" t="inlineStr">
        <is>
          <t>Derived formula</t>
        </is>
      </c>
      <c r="H3709" s="3" t="inlineStr">
        <is>
          <t>active_power_gw / pue</t>
        </is>
      </c>
      <c r="I3709" s="3" t="inlineStr">
        <is>
          <t>Facility power is converted to IT-deliverable power before attributing AI workloads.</t>
        </is>
      </c>
      <c r="J3709" s="3" t="inlineStr">
        <is>
          <t>SRC_ANTHROPIC_AMAZON_COMPUTE; SRC_AWS_RAINIER_ACTIVE; ASSUMP_POWER_RAMP</t>
        </is>
      </c>
      <c r="K3709" s="3" t="inlineStr">
        <is>
          <t>ASSUMP_POWER_RAMP; ASSUMP_CLOSED_MODEL_BAND; ASSUMP_NUMERIC_ACCELERATOR_MIX; ASSUMP_INFERENCE_SHARE_NOT_FACT_60; ASSUMP_WORKLOAD_CLASS_MIX; ASSUMP_AGENTIC_CONTEXT_PENALTY</t>
        </is>
      </c>
      <c r="L3709" s="3" t="inlineStr">
        <is>
          <t>Recompute once active power and PUE become site-observable.</t>
        </is>
      </c>
    </row>
    <row r="3710">
      <c r="A3710" s="3" t="inlineStr">
        <is>
          <t>Anthropic</t>
        </is>
      </c>
      <c r="B3710" s="3" t="n">
        <v>2027</v>
      </c>
      <c r="C3710" s="3" t="inlineStr">
        <is>
          <t>Grid-Constrained / Efficiency-Upside</t>
        </is>
      </c>
      <c r="D3710" s="3" t="inlineStr">
        <is>
          <t>ai_workload_share</t>
        </is>
      </c>
      <c r="E3710" s="3" t="n">
        <v>0.86</v>
      </c>
      <c r="F3710" s="3" t="inlineStr">
        <is>
          <t>share</t>
        </is>
      </c>
      <c r="G3710" s="3" t="inlineStr">
        <is>
          <t>Scenario allocation</t>
        </is>
      </c>
      <c r="H3710" s="3" t="inlineStr">
        <is>
          <t>ai_it_load_gw = it_load_gw * ai_workload_share</t>
        </is>
      </c>
      <c r="I3710" s="3" t="inlineStr">
        <is>
          <t>Anthropic-directed hosted capacity is predominantly AI; 86% excludes platform, reserve and non-serving allocation.</t>
        </is>
      </c>
      <c r="J3710" s="3" t="inlineStr">
        <is>
          <t>SRC_ANTHROPIC_CLAUDE_DOCS; SRC_ANTHROPIC_AMAZON_COMPUTE; SRC_AWS_RAINIER_ACTIVE; SRC_EPOCH_AI_DATA_CENTERS</t>
        </is>
      </c>
      <c r="K3710" s="3" t="inlineStr">
        <is>
          <t>ASSUMP_POWER_RAMP; ASSUMP_CLOSED_MODEL_BAND; ASSUMP_NUMERIC_ACCELERATOR_MIX; ASSUMP_INFERENCE_SHARE_NOT_FACT_60; ASSUMP_WORKLOAD_CLASS_MIX; ASSUMP_AGENTIC_CONTEXT_PENALTY</t>
        </is>
      </c>
      <c r="L3710" s="3" t="inlineStr">
        <is>
          <t>Model-owner AI workload allocation or cluster scheduling telemetry.</t>
        </is>
      </c>
    </row>
    <row r="3711">
      <c r="A3711" s="3" t="inlineStr">
        <is>
          <t>Anthropic</t>
        </is>
      </c>
      <c r="B3711" s="3" t="n">
        <v>2027</v>
      </c>
      <c r="C3711" s="3" t="inlineStr">
        <is>
          <t>Grid-Constrained / Efficiency-Upside</t>
        </is>
      </c>
      <c r="D3711" s="3" t="inlineStr">
        <is>
          <t>ai_it_load_gw</t>
        </is>
      </c>
      <c r="E3711" s="3" t="n">
        <v>1.301</v>
      </c>
      <c r="F3711" s="3" t="inlineStr">
        <is>
          <t>GW</t>
        </is>
      </c>
      <c r="G3711" s="3" t="inlineStr">
        <is>
          <t>Derived formula</t>
        </is>
      </c>
      <c r="H3711" s="3" t="inlineStr">
        <is>
          <t>it_load_gw * ai_workload_share</t>
        </is>
      </c>
      <c r="I3711" s="3" t="inlineStr">
        <is>
          <t>Only the AI-attributed portion of IT load enters training/inference allocation.</t>
        </is>
      </c>
      <c r="J3711" s="3" t="inlineStr">
        <is>
          <t>SRC_ANTHROPIC_CLAUDE_DOCS; SRC_ANTHROPIC_AMAZON_COMPUTE; SRC_AWS_RAINIER_ACTIVE; SRC_EPOCH_AI_DATA_CENTERS</t>
        </is>
      </c>
      <c r="K3711" s="3" t="inlineStr">
        <is>
          <t>ASSUMP_POWER_RAMP; ASSUMP_CLOSED_MODEL_BAND; ASSUMP_NUMERIC_ACCELERATOR_MIX; ASSUMP_INFERENCE_SHARE_NOT_FACT_60; ASSUMP_WORKLOAD_CLASS_MIX; ASSUMP_AGENTIC_CONTEXT_PENALTY</t>
        </is>
      </c>
      <c r="L3711" s="3" t="inlineStr">
        <is>
          <t>Recompute after ai_workload_share is replaced by telemetry.</t>
        </is>
      </c>
    </row>
    <row r="3712">
      <c r="A3712" s="3" t="inlineStr">
        <is>
          <t>Anthropic</t>
        </is>
      </c>
      <c r="B3712" s="3" t="n">
        <v>2027</v>
      </c>
      <c r="C3712" s="3" t="inlineStr">
        <is>
          <t>Grid-Constrained / Efficiency-Upside</t>
        </is>
      </c>
      <c r="D3712" s="3" t="inlineStr">
        <is>
          <t>gpu_share</t>
        </is>
      </c>
      <c r="E3712" s="3" t="n">
        <v>0.335957</v>
      </c>
      <c r="F3712" s="3" t="inlineStr">
        <is>
          <t>share of inference-serving accelerator load</t>
        </is>
      </c>
      <c r="G3712" s="3" t="inlineStr">
        <is>
          <t>Numeric scenario</t>
        </is>
      </c>
      <c r="H3712" s="3" t="inlineStr">
        <is>
          <t>gpu_share interpolated from company 2026/2030 accelerator-mix endpoints</t>
        </is>
      </c>
      <c r="I3712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12" s="3" t="inlineStr">
        <is>
          <t>SRC_ANTHROPIC_CLAUDE_DOCS; SRC_ANTHROPIC_AMAZON_COMPUTE; SRC_AWS_RAINIER_ACTIVE; SRC_EPOCH_AI_DATA_CENTERS; ASSUMP_NUMERIC_ACCELERATOR_MIX</t>
        </is>
      </c>
      <c r="K3712" s="3" t="inlineStr">
        <is>
          <t>ASSUMP_POWER_RAMP; ASSUMP_CLOSED_MODEL_BAND; ASSUMP_NUMERIC_ACCELERATOR_MIX; ASSUMP_INFERENCE_SHARE_NOT_FACT_60; ASSUMP_WORKLOAD_CLASS_MIX; ASSUMP_AGENTIC_CONTEXT_PENALTY</t>
        </is>
      </c>
      <c r="L3712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13">
      <c r="A3713" s="3" t="inlineStr">
        <is>
          <t>Anthropic</t>
        </is>
      </c>
      <c r="B3713" s="3" t="n">
        <v>2027</v>
      </c>
      <c r="C3713" s="3" t="inlineStr">
        <is>
          <t>Grid-Constrained / Efficiency-Upside</t>
        </is>
      </c>
      <c r="D3713" s="3" t="inlineStr">
        <is>
          <t>h200_share</t>
        </is>
      </c>
      <c r="E3713" s="3" t="n">
        <v>0.128806</v>
      </c>
      <c r="F3713" s="3" t="inlineStr">
        <is>
          <t>share of inference-serving accelerator load</t>
        </is>
      </c>
      <c r="G3713" s="3" t="inlineStr">
        <is>
          <t>Editable numeric scenario</t>
        </is>
      </c>
      <c r="H3713" s="3" t="inlineStr">
        <is>
          <t>h200_share = gpu_share * default_gpu_generation_mix_h200</t>
        </is>
      </c>
      <c r="I3713" s="3" t="inlineStr">
        <is>
          <t>Default GPU-generation migration assumption; executive workbook allows later manual replacement by company/year/scenario.</t>
        </is>
      </c>
      <c r="J3713" s="3" t="inlineStr">
        <is>
          <t>SRC_SEMIANALYSIS_INFERENCEX; ASSUMP_NUMERIC_ACCELERATOR_MIX</t>
        </is>
      </c>
      <c r="K3713" s="3" t="inlineStr">
        <is>
          <t>ASSUMP_POWER_RAMP; ASSUMP_CLOSED_MODEL_BAND; ASSUMP_NUMERIC_ACCELERATOR_MIX; ASSUMP_INFERENCE_SHARE_NOT_FACT_60; ASSUMP_WORKLOAD_CLASS_MIX; ASSUMP_AGENTIC_CONTEXT_PENALTY</t>
        </is>
      </c>
      <c r="L3713" s="3" t="inlineStr">
        <is>
          <t>Company fleet inventory, accelerator-hours or procurement/deployment records by GPU generation.</t>
        </is>
      </c>
    </row>
    <row r="3714">
      <c r="A3714" s="3" t="inlineStr">
        <is>
          <t>Anthropic</t>
        </is>
      </c>
      <c r="B3714" s="3" t="n">
        <v>2027</v>
      </c>
      <c r="C3714" s="3" t="inlineStr">
        <is>
          <t>Grid-Constrained / Efficiency-Upside</t>
        </is>
      </c>
      <c r="D3714" s="3" t="inlineStr">
        <is>
          <t>b200_share</t>
        </is>
      </c>
      <c r="E3714" s="3" t="n">
        <v>0.207151</v>
      </c>
      <c r="F3714" s="3" t="inlineStr">
        <is>
          <t>share of inference-serving accelerator load</t>
        </is>
      </c>
      <c r="G3714" s="3" t="inlineStr">
        <is>
          <t>Editable numeric scenario</t>
        </is>
      </c>
      <c r="H3714" s="3" t="inlineStr">
        <is>
          <t>b200_share = gpu_share * default_gpu_generation_mix_b200</t>
        </is>
      </c>
      <c r="I3714" s="3" t="inlineStr">
        <is>
          <t>Default GPU-generation migration assumption; executive workbook allows later manual replacement by company/year/scenario.</t>
        </is>
      </c>
      <c r="J3714" s="3" t="inlineStr">
        <is>
          <t>SRC_SEMIANALYSIS_INFERENCEX; ASSUMP_NUMERIC_ACCELERATOR_MIX</t>
        </is>
      </c>
      <c r="K3714" s="3" t="inlineStr">
        <is>
          <t>ASSUMP_POWER_RAMP; ASSUMP_CLOSED_MODEL_BAND; ASSUMP_NUMERIC_ACCELERATOR_MIX; ASSUMP_INFERENCE_SHARE_NOT_FACT_60; ASSUMP_WORKLOAD_CLASS_MIX; ASSUMP_AGENTIC_CONTEXT_PENALTY</t>
        </is>
      </c>
      <c r="L3714" s="3" t="inlineStr">
        <is>
          <t>Company fleet inventory, accelerator-hours or procurement/deployment records by GPU generation.</t>
        </is>
      </c>
    </row>
    <row r="3715">
      <c r="A3715" s="3" t="inlineStr">
        <is>
          <t>Anthropic</t>
        </is>
      </c>
      <c r="B3715" s="3" t="n">
        <v>2027</v>
      </c>
      <c r="C3715" s="3" t="inlineStr">
        <is>
          <t>Grid-Constrained / Efficiency-Upside</t>
        </is>
      </c>
      <c r="D3715" s="3" t="inlineStr">
        <is>
          <t>gb200_share</t>
        </is>
      </c>
      <c r="E3715" s="3" t="n">
        <v>0</v>
      </c>
      <c r="F3715" s="3" t="inlineStr">
        <is>
          <t>share of inference-serving accelerator load</t>
        </is>
      </c>
      <c r="G3715" s="3" t="inlineStr">
        <is>
          <t>Editable numeric scenario</t>
        </is>
      </c>
      <c r="H3715" s="3" t="inlineStr">
        <is>
          <t>gb200_share = gpu_share * default_gpu_generation_mix_gb200</t>
        </is>
      </c>
      <c r="I3715" s="3" t="inlineStr">
        <is>
          <t>Default GPU-generation migration assumption; executive workbook allows later manual replacement by company/year/scenario.</t>
        </is>
      </c>
      <c r="J3715" s="3" t="inlineStr">
        <is>
          <t>SRC_SEMIANALYSIS_INFERENCEX; ASSUMP_NUMERIC_ACCELERATOR_MIX</t>
        </is>
      </c>
      <c r="K3715" s="3" t="inlineStr">
        <is>
          <t>ASSUMP_POWER_RAMP; ASSUMP_CLOSED_MODEL_BAND; ASSUMP_NUMERIC_ACCELERATOR_MIX; ASSUMP_INFERENCE_SHARE_NOT_FACT_60; ASSUMP_WORKLOAD_CLASS_MIX; ASSUMP_AGENTIC_CONTEXT_PENALTY</t>
        </is>
      </c>
      <c r="L3715" s="3" t="inlineStr">
        <is>
          <t>Company fleet inventory, accelerator-hours or procurement/deployment records by GPU generation.</t>
        </is>
      </c>
    </row>
    <row r="3716">
      <c r="A3716" s="3" t="inlineStr">
        <is>
          <t>Anthropic</t>
        </is>
      </c>
      <c r="B3716" s="3" t="n">
        <v>2027</v>
      </c>
      <c r="C3716" s="3" t="inlineStr">
        <is>
          <t>Grid-Constrained / Efficiency-Upside</t>
        </is>
      </c>
      <c r="D3716" s="3" t="inlineStr">
        <is>
          <t>purpose_built_accelerator_share</t>
        </is>
      </c>
      <c r="E3716" s="3" t="n">
        <v>0.664043</v>
      </c>
      <c r="F3716" s="3" t="inlineStr">
        <is>
          <t>share of inference-serving accelerator load</t>
        </is>
      </c>
      <c r="G3716" s="3" t="inlineStr">
        <is>
          <t>Numeric scenario</t>
        </is>
      </c>
      <c r="H3716" s="3" t="inlineStr">
        <is>
          <t>1 - gpu_share</t>
        </is>
      </c>
      <c r="I3716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16" s="3" t="inlineStr">
        <is>
          <t>SRC_ANTHROPIC_CLAUDE_DOCS; SRC_ANTHROPIC_AMAZON_COMPUTE; SRC_AWS_RAINIER_ACTIVE; SRC_EPOCH_AI_DATA_CENTERS; ASSUMP_NUMERIC_ACCELERATOR_MIX</t>
        </is>
      </c>
      <c r="K3716" s="3" t="inlineStr">
        <is>
          <t>ASSUMP_POWER_RAMP; ASSUMP_CLOSED_MODEL_BAND; ASSUMP_NUMERIC_ACCELERATOR_MIX; ASSUMP_INFERENCE_SHARE_NOT_FACT_60; ASSUMP_WORKLOAD_CLASS_MIX; ASSUMP_AGENTIC_CONTEXT_PENALTY</t>
        </is>
      </c>
      <c r="L3716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17">
      <c r="A3717" s="3" t="inlineStr">
        <is>
          <t>Anthropic</t>
        </is>
      </c>
      <c r="B3717" s="3" t="n">
        <v>2027</v>
      </c>
      <c r="C3717" s="3" t="inlineStr">
        <is>
          <t>Grid-Constrained / Efficiency-Upside</t>
        </is>
      </c>
      <c r="D3717" s="3" t="inlineStr">
        <is>
          <t>fleet_reference_tps_per_mw</t>
        </is>
      </c>
      <c r="E3717" s="3" t="n">
        <v>236603</v>
      </c>
      <c r="F3717" s="3" t="inlineStr">
        <is>
          <t>generated output tokens/sec/MW</t>
        </is>
      </c>
      <c r="G3717" s="3" t="inlineStr">
        <is>
          <t>Fleet-weighted public benchmark reference</t>
        </is>
      </c>
      <c r="H3717" s="3" t="inlineStr">
        <is>
          <t>h200_share*h200_workload_avg + b200_share*b200_workload_avg + gb200_share*gb200_workload_avg + purpose_built_share*purpose_workload_avg</t>
        </is>
      </c>
      <c r="I3717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17" s="3" t="inlineStr">
        <is>
          <t>SRC_SEMIANALYSIS_INFERENCEX; ASSUMP_NUMERIC_ACCELERATOR_MIX; ASSUMP_WORKLOAD_CLASS_MIX; ASSUMP_AGENTIC_CONTEXT_PENALTY</t>
        </is>
      </c>
      <c r="K3717" s="3" t="inlineStr">
        <is>
          <t>ASSUMP_POWER_RAMP; ASSUMP_CLOSED_MODEL_BAND; ASSUMP_NUMERIC_ACCELERATOR_MIX; ASSUMP_INFERENCE_SHARE_NOT_FACT_60; ASSUMP_WORKLOAD_CLASS_MIX; ASSUMP_AGENTIC_CONTEXT_PENALTY</t>
        </is>
      </c>
      <c r="L3717" s="3" t="inlineStr">
        <is>
          <t>Comparable production output-token throughput or a more closely matched benchmark.</t>
        </is>
      </c>
    </row>
    <row r="3718">
      <c r="A3718" s="3" t="inlineStr">
        <is>
          <t>Anthropic</t>
        </is>
      </c>
      <c r="B3718" s="3" t="n">
        <v>2027</v>
      </c>
      <c r="C3718" s="3" t="inlineStr">
        <is>
          <t>Grid-Constrained / Efficiency-Upside</t>
        </is>
      </c>
      <c r="D3718" s="3" t="inlineStr">
        <is>
          <t>commercial_workload_fit_factor</t>
        </is>
      </c>
      <c r="E3718" s="3" t="n">
        <v>0.5</v>
      </c>
      <c r="F3718" s="3" t="inlineStr">
        <is>
          <t>share of public reference throughput</t>
        </is>
      </c>
      <c r="G3718" s="3" t="inlineStr">
        <is>
          <t>Scenario assumption</t>
        </is>
      </c>
      <c r="H3718" s="3" t="inlineStr">
        <is>
          <t>reference_serving_tps_per_mw = fleet_reference_tps_per_mw * commercial_workload_fit_factor</t>
        </is>
      </c>
      <c r="I3718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18" s="3" t="inlineStr">
        <is>
          <t>SRC_SEMIANALYSIS_INFERENCEX; ASSUMP_NUMERIC_ACCELERATOR_MIX; ASSUMP_WORKLOAD_CLASS_MIX; ASSUMP_AGENTIC_CONTEXT_PENALTY</t>
        </is>
      </c>
      <c r="K3718" s="3" t="inlineStr">
        <is>
          <t>ASSUMP_POWER_RAMP; ASSUMP_CLOSED_MODEL_BAND; ASSUMP_NUMERIC_ACCELERATOR_MIX; ASSUMP_INFERENCE_SHARE_NOT_FACT_60; ASSUMP_WORKLOAD_CLASS_MIX; ASSUMP_AGENTIC_CONTEXT_PENALTY</t>
        </is>
      </c>
      <c r="L3718" s="3" t="inlineStr">
        <is>
          <t>Matched commercial serving benchmark by product surface, context shape and latency SLO.</t>
        </is>
      </c>
    </row>
    <row r="3719">
      <c r="A3719" s="3" t="inlineStr">
        <is>
          <t>Anthropic</t>
        </is>
      </c>
      <c r="B3719" s="3" t="n">
        <v>2027</v>
      </c>
      <c r="C3719" s="3" t="inlineStr">
        <is>
          <t>Grid-Constrained / Efficiency-Upside</t>
        </is>
      </c>
      <c r="D3719" s="3" t="inlineStr">
        <is>
          <t>reference_serving_tps_per_mw</t>
        </is>
      </c>
      <c r="E3719" s="3" t="n">
        <v>118302</v>
      </c>
      <c r="F3719" s="3" t="inlineStr">
        <is>
          <t>generated output tokens/sec/MW</t>
        </is>
      </c>
      <c r="G3719" s="3" t="inlineStr">
        <is>
          <t>Workload-adjusted benchmark proxy</t>
        </is>
      </c>
      <c r="H3719" s="3" t="inlineStr">
        <is>
          <t>fleet_reference_tps_per_mw * commercial_workload_fit_factor</t>
        </is>
      </c>
      <c r="I3719" s="3" t="inlineStr">
        <is>
          <t>This is the coefficient used for headline token generation; each GPU's short chat, long chat and agentic TPS/MW are weighted before fleet mix and commercial fit are applied.</t>
        </is>
      </c>
      <c r="J3719" s="3" t="inlineStr">
        <is>
          <t>SRC_SEMIANALYSIS_INFERENCEX; ASSUMP_NUMERIC_ACCELERATOR_MIX; ASSUMP_WORKLOAD_CLASS_MIX; ASSUMP_AGENTIC_CONTEXT_PENALTY</t>
        </is>
      </c>
      <c r="K3719" s="3" t="inlineStr">
        <is>
          <t>ASSUMP_POWER_RAMP; ASSUMP_CLOSED_MODEL_BAND; ASSUMP_NUMERIC_ACCELERATOR_MIX; ASSUMP_INFERENCE_SHARE_NOT_FACT_60; ASSUMP_WORKLOAD_CLASS_MIX; ASSUMP_AGENTIC_CONTEXT_PENALTY</t>
        </is>
      </c>
      <c r="L3719" s="3" t="inlineStr">
        <is>
          <t>Provider production output-token throughput with comparable workload/SLO.</t>
        </is>
      </c>
    </row>
    <row r="3720">
      <c r="A3720" s="3" t="inlineStr">
        <is>
          <t>Anthropic</t>
        </is>
      </c>
      <c r="B3720" s="3" t="n">
        <v>2027</v>
      </c>
      <c r="C3720" s="3" t="inlineStr">
        <is>
          <t>Grid-Constrained / Efficiency-Upside</t>
        </is>
      </c>
      <c r="D3720" s="3" t="inlineStr">
        <is>
          <t>purpose_built_tps_per_mw</t>
        </is>
      </c>
      <c r="E3720" s="3" t="n">
        <v>67653</v>
      </c>
      <c r="F3720" s="3" t="inlineStr">
        <is>
          <t>generated output tokens/sec/MW</t>
        </is>
      </c>
      <c r="G3720" s="3" t="inlineStr">
        <is>
          <t>Conservative no-uplift proxy</t>
        </is>
      </c>
      <c r="H3720" s="3" t="inlineStr">
        <is>
          <t>purpose_built_tps_per_mw = purpose_built_reference_tps_per_mw * commercial_workload_fit_factor until comparable output-token benchmark is adopted</t>
        </is>
      </c>
      <c r="I3720" s="3" t="inlineStr">
        <is>
          <t>No comparable public output-token/MW row adopted; B200 public reference placeholder is used and remains editable.</t>
        </is>
      </c>
      <c r="J3720" s="3" t="inlineStr">
        <is>
          <t>SRC_ANTHROPIC_CLAUDE_DOCS; SRC_ANTHROPIC_AMAZON_COMPUTE; SRC_AWS_RAINIER_ACTIVE; SRC_EPOCH_AI_DATA_CENTERS; ASSUMP_NUMERIC_ACCELERATOR_MIX</t>
        </is>
      </c>
      <c r="K3720" s="3" t="inlineStr">
        <is>
          <t>ASSUMP_POWER_RAMP; ASSUMP_CLOSED_MODEL_BAND; ASSUMP_NUMERIC_ACCELERATOR_MIX; ASSUMP_INFERENCE_SHARE_NOT_FACT_60; ASSUMP_WORKLOAD_CLASS_MIX; ASSUMP_AGENTIC_CONTEXT_PENALTY</t>
        </is>
      </c>
      <c r="L3720" s="3" t="inlineStr">
        <is>
          <t>Matched-workload generated-output benchmark for the provider purpose-built accelerator.</t>
        </is>
      </c>
    </row>
    <row r="3721">
      <c r="A3721" s="3" t="inlineStr">
        <is>
          <t>Anthropic</t>
        </is>
      </c>
      <c r="B3721" s="3" t="n">
        <v>2027</v>
      </c>
      <c r="C3721" s="3" t="inlineStr">
        <is>
          <t>Grid-Constrained / Efficiency-Upside</t>
        </is>
      </c>
      <c r="D3721" s="3" t="inlineStr">
        <is>
          <t>inference_power_share</t>
        </is>
      </c>
      <c r="E3721" s="3" t="n">
        <v>0.6</v>
      </c>
      <c r="F3721" s="3" t="inlineStr">
        <is>
          <t>share of AI IT load</t>
        </is>
      </c>
      <c r="G3721" s="3" t="inlineStr">
        <is>
          <t>Scenario allocation</t>
        </is>
      </c>
      <c r="H3721" s="3" t="inlineStr">
        <is>
          <t>inference_gw = ai_it_load_gw * inference_power_share</t>
        </is>
      </c>
      <c r="I3721" s="3" t="inlineStr">
        <is>
          <t>Claude API/product growth supports a rising inference share, while continued model training prevents full conversion.</t>
        </is>
      </c>
      <c r="J3721" s="3" t="inlineStr">
        <is>
          <t>SRC_ANTHROPIC_CLAUDE_DOCS; SRC_ANTHROPIC_AMAZON_COMPUTE; SRC_AWS_RAINIER_ACTIVE; SRC_EPOCH_AI_DATA_CENTERS; ASSUMP_INFERENCE_SHARE_NOT_FACT_60</t>
        </is>
      </c>
      <c r="K3721" s="3" t="inlineStr">
        <is>
          <t>ASSUMP_POWER_RAMP; ASSUMP_CLOSED_MODEL_BAND; ASSUMP_NUMERIC_ACCELERATOR_MIX; ASSUMP_INFERENCE_SHARE_NOT_FACT_60; ASSUMP_WORKLOAD_CLASS_MIX; ASSUMP_AGENTIC_CONTEXT_PENALTY</t>
        </is>
      </c>
      <c r="L3721" s="3" t="inlineStr">
        <is>
          <t>Provider-specific inference/training workload power telemetry.</t>
        </is>
      </c>
    </row>
    <row r="3722">
      <c r="A3722" s="3" t="inlineStr">
        <is>
          <t>Anthropic</t>
        </is>
      </c>
      <c r="B3722" s="3" t="n">
        <v>2027</v>
      </c>
      <c r="C3722" s="3" t="inlineStr">
        <is>
          <t>Grid-Constrained / Efficiency-Upside</t>
        </is>
      </c>
      <c r="D3722" s="3" t="inlineStr">
        <is>
          <t>inference_gw</t>
        </is>
      </c>
      <c r="E3722" s="3" t="n">
        <v>0.781</v>
      </c>
      <c r="F3722" s="3" t="inlineStr">
        <is>
          <t>GW</t>
        </is>
      </c>
      <c r="G3722" s="3" t="inlineStr">
        <is>
          <t>Derived formula</t>
        </is>
      </c>
      <c r="H3722" s="3" t="inlineStr">
        <is>
          <t>ai_it_load_gw * inference_power_share</t>
        </is>
      </c>
      <c r="I3722" s="3" t="inlineStr">
        <is>
          <t>This is the operational power eligible to become commercial generated output tokens through the selected TPS/MW proxy.</t>
        </is>
      </c>
      <c r="J3722" s="3" t="inlineStr">
        <is>
          <t>SRC_ANTHROPIC_CLAUDE_DOCS; SRC_ANTHROPIC_AMAZON_COMPUTE; SRC_AWS_RAINIER_ACTIVE; SRC_EPOCH_AI_DATA_CENTERS</t>
        </is>
      </c>
      <c r="K3722" s="3" t="inlineStr">
        <is>
          <t>ASSUMP_POWER_RAMP; ASSUMP_CLOSED_MODEL_BAND; ASSUMP_NUMERIC_ACCELERATOR_MIX; ASSUMP_INFERENCE_SHARE_NOT_FACT_60; ASSUMP_WORKLOAD_CLASS_MIX; ASSUMP_AGENTIC_CONTEXT_PENALTY</t>
        </is>
      </c>
      <c r="L3722" s="3" t="inlineStr">
        <is>
          <t>Recompute after AI allocation or inference-share evidence changes.</t>
        </is>
      </c>
    </row>
    <row r="3723">
      <c r="A3723" s="3" t="inlineStr">
        <is>
          <t>Anthropic</t>
        </is>
      </c>
      <c r="B3723" s="3" t="n">
        <v>2027</v>
      </c>
      <c r="C3723" s="3" t="inlineStr">
        <is>
          <t>Grid-Constrained / Efficiency-Upside</t>
        </is>
      </c>
      <c r="D3723" s="3" t="inlineStr">
        <is>
          <t>training_power_share</t>
        </is>
      </c>
      <c r="E3723" s="3" t="n">
        <v>0.4</v>
      </c>
      <c r="F3723" s="3" t="inlineStr">
        <is>
          <t>share of AI IT load</t>
        </is>
      </c>
      <c r="G3723" s="3" t="inlineStr">
        <is>
          <t>Derived allocation</t>
        </is>
      </c>
      <c r="H3723" s="3" t="inlineStr">
        <is>
          <t>1 - inference_power_share</t>
        </is>
      </c>
      <c r="I3723" s="3" t="inlineStr">
        <is>
          <t>Training receives the complementary modeled AI IT allocation; it is not a disclosed company workload split.</t>
        </is>
      </c>
      <c r="J3723" s="3" t="inlineStr">
        <is>
          <t>SRC_ANTHROPIC_CLAUDE_DOCS; SRC_ANTHROPIC_AMAZON_COMPUTE; SRC_AWS_RAINIER_ACTIVE; SRC_EPOCH_AI_DATA_CENTERS; ASSUMP_INFERENCE_SHARE_NOT_FACT_60</t>
        </is>
      </c>
      <c r="K3723" s="3" t="inlineStr">
        <is>
          <t>ASSUMP_POWER_RAMP; ASSUMP_CLOSED_MODEL_BAND; ASSUMP_NUMERIC_ACCELERATOR_MIX; ASSUMP_INFERENCE_SHARE_NOT_FACT_60; ASSUMP_WORKLOAD_CLASS_MIX; ASSUMP_AGENTIC_CONTEXT_PENALTY</t>
        </is>
      </c>
      <c r="L3723" s="3" t="inlineStr">
        <is>
          <t>Provider-specific inference/training workload power telemetry.</t>
        </is>
      </c>
    </row>
    <row r="3724">
      <c r="A3724" s="3" t="inlineStr">
        <is>
          <t>Anthropic</t>
        </is>
      </c>
      <c r="B3724" s="3" t="n">
        <v>2027</v>
      </c>
      <c r="C3724" s="3" t="inlineStr">
        <is>
          <t>Grid-Constrained / Efficiency-Upside</t>
        </is>
      </c>
      <c r="D3724" s="3" t="inlineStr">
        <is>
          <t>training_gw</t>
        </is>
      </c>
      <c r="E3724" s="3" t="n">
        <v>0.52</v>
      </c>
      <c r="F3724" s="3" t="inlineStr">
        <is>
          <t>GW</t>
        </is>
      </c>
      <c r="G3724" s="3" t="inlineStr">
        <is>
          <t>Derived formula</t>
        </is>
      </c>
      <c r="H3724" s="3" t="inlineStr">
        <is>
          <t>ai_it_load_gw * training_power_share</t>
        </is>
      </c>
      <c r="I3724" s="3" t="inlineStr">
        <is>
          <t>Training GW is shown separately so commercial inference token capacity is not overstated.</t>
        </is>
      </c>
      <c r="J3724" s="3" t="inlineStr">
        <is>
          <t>SRC_ANTHROPIC_CLAUDE_DOCS; SRC_ANTHROPIC_AMAZON_COMPUTE; SRC_AWS_RAINIER_ACTIVE; SRC_EPOCH_AI_DATA_CENTERS</t>
        </is>
      </c>
      <c r="K3724" s="3" t="inlineStr">
        <is>
          <t>ASSUMP_POWER_RAMP; ASSUMP_CLOSED_MODEL_BAND; ASSUMP_NUMERIC_ACCELERATOR_MIX; ASSUMP_INFERENCE_SHARE_NOT_FACT_60; ASSUMP_WORKLOAD_CLASS_MIX; ASSUMP_AGENTIC_CONTEXT_PENALTY</t>
        </is>
      </c>
      <c r="L3724" s="3" t="inlineStr">
        <is>
          <t>Recompute after AI allocation or workload-split evidence changes.</t>
        </is>
      </c>
    </row>
    <row r="3725">
      <c r="A3725" s="3" t="inlineStr">
        <is>
          <t>Anthropic</t>
        </is>
      </c>
      <c r="B3725" s="3" t="n">
        <v>2027</v>
      </c>
      <c r="C3725" s="3" t="inlineStr">
        <is>
          <t>Grid-Constrained / Efficiency-Upside</t>
        </is>
      </c>
      <c r="D3725" s="3" t="inlineStr">
        <is>
          <t>tokens_per_second_per_mw</t>
        </is>
      </c>
      <c r="E3725" s="3" t="n">
        <v>118302</v>
      </c>
      <c r="F3725" s="3" t="inlineStr">
        <is>
          <t>generated output tokens/sec/MW</t>
        </is>
      </c>
      <c r="G3725" s="3" t="inlineStr">
        <is>
          <t>Derived estimate + benchmark calibration</t>
        </is>
      </c>
      <c r="H3725" s="3" t="inlineStr">
        <is>
          <t>fleet_reference_tps_per_mw * commercial_workload_fit_factor</t>
        </is>
      </c>
      <c r="I3725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25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25" s="3" t="inlineStr">
        <is>
          <t>ASSUMP_POWER_RAMP; ASSUMP_CLOSED_MODEL_BAND; ASSUMP_NUMERIC_ACCELERATOR_MIX; ASSUMP_INFERENCE_SHARE_NOT_FACT_60; ASSUMP_WORKLOAD_CLASS_MIX; ASSUMP_AGENTIC_CONTEXT_PENALTY</t>
        </is>
      </c>
      <c r="L3725" s="3" t="inlineStr">
        <is>
          <t>Comparable production output-token throughput with model, hardware, precision, ISL/OSL and SLO matched.</t>
        </is>
      </c>
    </row>
    <row r="3726">
      <c r="A3726" s="3" t="inlineStr">
        <is>
          <t>Anthropic</t>
        </is>
      </c>
      <c r="B3726" s="3" t="n">
        <v>2027</v>
      </c>
      <c r="C3726" s="3" t="inlineStr">
        <is>
          <t>Grid-Constrained / Efficiency-Upside</t>
        </is>
      </c>
      <c r="D3726" s="3" t="inlineStr">
        <is>
          <t>inference_tokens_per_day</t>
        </is>
      </c>
      <c r="E3726" s="3" t="n">
        <v>7982829676800</v>
      </c>
      <c r="F3726" s="3" t="inlineStr">
        <is>
          <t>generated output tokens/day</t>
        </is>
      </c>
      <c r="G3726" s="3" t="inlineStr">
        <is>
          <t>Derived headline metric</t>
        </is>
      </c>
      <c r="H3726" s="3" t="inlineStr">
        <is>
          <t>inference_gw * 1000 * tokens_per_second_per_mw * 86,400</t>
        </is>
      </c>
      <c r="I3726" s="3" t="inlineStr">
        <is>
          <t>Headline capacity uses no utilization, MoE, architecture or software-growth multiplier; it is not observed commercial output volume.</t>
        </is>
      </c>
      <c r="J3726" s="3" t="inlineStr">
        <is>
          <t>SRC_ANTHROPIC_CLAUDE_DOCS; SRC_ANTHROPIC_AMAZON_COMPUTE; SRC_AWS_RAINIER_ACTIVE; SRC_EPOCH_AI_DATA_CENTERS; SRC_SEMIANALYSIS_INFERENCEX</t>
        </is>
      </c>
      <c r="K3726" s="3" t="inlineStr">
        <is>
          <t>ASSUMP_POWER_RAMP; ASSUMP_CLOSED_MODEL_BAND; ASSUMP_NUMERIC_ACCELERATOR_MIX; ASSUMP_INFERENCE_SHARE_NOT_FACT_60; ASSUMP_WORKLOAD_CLASS_MIX; ASSUMP_AGENTIC_CONTEXT_PENALTY</t>
        </is>
      </c>
      <c r="L3726" s="3" t="inlineStr">
        <is>
          <t>Provider-disclosed generated output token volume or calibrated capacity telemetry.</t>
        </is>
      </c>
    </row>
    <row r="3727">
      <c r="A3727" s="3" t="inlineStr">
        <is>
          <t>Anthropic</t>
        </is>
      </c>
      <c r="B3727" s="3" t="n">
        <v>2027</v>
      </c>
      <c r="C3727" s="3" t="inlineStr">
        <is>
          <t>Grid-Constrained / Efficiency-Upside</t>
        </is>
      </c>
      <c r="D3727" s="3" t="inlineStr">
        <is>
          <t>inference_tokens_per_year</t>
        </is>
      </c>
      <c r="E3727" s="3" t="n">
        <v>2913732832032000</v>
      </c>
      <c r="F3727" s="3" t="inlineStr">
        <is>
          <t>generated output tokens/year</t>
        </is>
      </c>
      <c r="G3727" s="3" t="inlineStr">
        <is>
          <t>Derived headline metric</t>
        </is>
      </c>
      <c r="H3727" s="3" t="inlineStr">
        <is>
          <t>inference_tokens_per_day * 365</t>
        </is>
      </c>
      <c r="I3727" s="3" t="inlineStr">
        <is>
          <t>Annualized version of generated output token capacity; it is not observed annual demand or billable volume.</t>
        </is>
      </c>
      <c r="J3727" s="3" t="inlineStr">
        <is>
          <t>SRC_ANTHROPIC_CLAUDE_DOCS; SRC_ANTHROPIC_AMAZON_COMPUTE; SRC_AWS_RAINIER_ACTIVE; SRC_EPOCH_AI_DATA_CENTERS; SRC_SEMIANALYSIS_INFERENCEX</t>
        </is>
      </c>
      <c r="K3727" s="3" t="inlineStr">
        <is>
          <t>ASSUMP_POWER_RAMP; ASSUMP_CLOSED_MODEL_BAND; ASSUMP_NUMERIC_ACCELERATOR_MIX; ASSUMP_INFERENCE_SHARE_NOT_FACT_60; ASSUMP_WORKLOAD_CLASS_MIX; ASSUMP_AGENTIC_CONTEXT_PENALTY</t>
        </is>
      </c>
      <c r="L3727" s="3" t="inlineStr">
        <is>
          <t>Provider-disclosed annual generated-output volume or metered serving telemetry.</t>
        </is>
      </c>
    </row>
    <row r="3728">
      <c r="A3728" s="3" t="inlineStr">
        <is>
          <t>Anthropic</t>
        </is>
      </c>
      <c r="B3728" s="3" t="n">
        <v>2028</v>
      </c>
      <c r="C3728" s="3" t="inlineStr">
        <is>
          <t>Grid-Constrained / Efficiency-Upside</t>
        </is>
      </c>
      <c r="D3728" s="3" t="inlineStr">
        <is>
          <t>contracted_power_gw</t>
        </is>
      </c>
      <c r="E3728" s="3" t="n">
        <v>5.25</v>
      </c>
      <c r="F3728" s="3" t="inlineStr">
        <is>
          <t>GW</t>
        </is>
      </c>
      <c r="G3728" s="3" t="inlineStr">
        <is>
          <t>Fact anchor + scenario ceiling</t>
        </is>
      </c>
      <c r="H3728" s="3" t="inlineStr">
        <is>
          <t>linear interpolation between 2026 and 2030 company capacity endpoints</t>
        </is>
      </c>
      <c r="I3728" s="3" t="inlineStr">
        <is>
          <t>Hosted capacity envelope is anchored by Anthropic/AWS Project Rainier direction; it is attributed to Claude outputs, not AWS as a model owner.</t>
        </is>
      </c>
      <c r="J3728" s="3" t="inlineStr">
        <is>
          <t>SRC_ANTHROPIC_AMAZON_COMPUTE; SRC_AWS_RAINIER_ACTIVE; ASSUMP_POWER_RAMP</t>
        </is>
      </c>
      <c r="K3728" s="3" t="inlineStr">
        <is>
          <t>ASSUMP_POWER_RAMP; ASSUMP_CLOSED_MODEL_BAND; ASSUMP_NUMERIC_ACCELERATOR_MIX; ASSUMP_INFERENCE_SHARE_NOT_FACT_60; ASSUMP_WORKLOAD_CLASS_MIX; ASSUMP_AGENTIC_CONTEXT_PENALTY</t>
        </is>
      </c>
      <c r="L3728" s="3" t="inlineStr">
        <is>
          <t>Company/site-level committed MW/GW, interconnect and contract disclosure.</t>
        </is>
      </c>
    </row>
    <row r="3729">
      <c r="A3729" s="3" t="inlineStr">
        <is>
          <t>Anthropic</t>
        </is>
      </c>
      <c r="B3729" s="3" t="n">
        <v>2028</v>
      </c>
      <c r="C3729" s="3" t="inlineStr">
        <is>
          <t>Grid-Constrained / Efficiency-Upside</t>
        </is>
      </c>
      <c r="D3729" s="3" t="inlineStr">
        <is>
          <t>operational_deployment_share</t>
        </is>
      </c>
      <c r="E3729" s="3" t="n">
        <v>0.4952381</v>
      </c>
      <c r="F3729" s="3" t="inlineStr">
        <is>
          <t>share</t>
        </is>
      </c>
      <c r="G3729" s="3" t="inlineStr">
        <is>
          <t>Scenario conversion</t>
        </is>
      </c>
      <c r="H3729" s="3" t="inlineStr">
        <is>
          <t>active_power_gw / contracted_power_gw</t>
        </is>
      </c>
      <c r="I3729" s="3" t="inlineStr">
        <is>
          <t>This is the single explicit conversion from contracted/attributed capacity to operationally usable capacity.</t>
        </is>
      </c>
      <c r="J3729" s="3" t="inlineStr">
        <is>
          <t>SRC_ANTHROPIC_AMAZON_COMPUTE; SRC_AWS_RAINIER_ACTIVE; ASSUMP_POWER_RAMP</t>
        </is>
      </c>
      <c r="K3729" s="3" t="inlineStr">
        <is>
          <t>ASSUMP_POWER_RAMP; ASSUMP_CLOSED_MODEL_BAND; ASSUMP_NUMERIC_ACCELERATOR_MIX; ASSUMP_INFERENCE_SHARE_NOT_FACT_60; ASSUMP_WORKLOAD_CLASS_MIX; ASSUMP_AGENTIC_CONTEXT_PENALTY</t>
        </is>
      </c>
      <c r="L3729" s="3" t="inlineStr">
        <is>
          <t>Energized operational capacity divided by contracted/attributed capacity.</t>
        </is>
      </c>
    </row>
    <row r="3730">
      <c r="A3730" s="3" t="inlineStr">
        <is>
          <t>Anthropic</t>
        </is>
      </c>
      <c r="B3730" s="3" t="n">
        <v>2028</v>
      </c>
      <c r="C3730" s="3" t="inlineStr">
        <is>
          <t>Grid-Constrained / Efficiency-Upside</t>
        </is>
      </c>
      <c r="D3730" s="3" t="inlineStr">
        <is>
          <t>active_power_gw</t>
        </is>
      </c>
      <c r="E3730" s="3" t="n">
        <v>2.6</v>
      </c>
      <c r="F3730" s="3" t="inlineStr">
        <is>
          <t>GW</t>
        </is>
      </c>
      <c r="G3730" s="3" t="inlineStr">
        <is>
          <t>Derived scenario</t>
        </is>
      </c>
      <c r="H3730" s="3" t="inlineStr">
        <is>
          <t>contracted_power_gw * operational_deployment_share</t>
        </is>
      </c>
      <c r="I3730" s="3" t="inlineStr">
        <is>
          <t>Trainium cluster activation supports staged active ramp; Claude inference-versus-training use remains estimated.</t>
        </is>
      </c>
      <c r="J3730" s="3" t="inlineStr">
        <is>
          <t>SRC_ANTHROPIC_AMAZON_COMPUTE; SRC_AWS_RAINIER_ACTIVE; ASSUMP_POWER_RAMP</t>
        </is>
      </c>
      <c r="K3730" s="3" t="inlineStr">
        <is>
          <t>ASSUMP_POWER_RAMP; ASSUMP_CLOSED_MODEL_BAND; ASSUMP_NUMERIC_ACCELERATOR_MIX; ASSUMP_INFERENCE_SHARE_NOT_FACT_60; ASSUMP_WORKLOAD_CLASS_MIX; ASSUMP_AGENTIC_CONTEXT_PENALTY</t>
        </is>
      </c>
      <c r="L3730" s="3" t="inlineStr">
        <is>
          <t>Energization dates, accelerator deliveries and operational powered-rack telemetry.</t>
        </is>
      </c>
    </row>
    <row r="3731">
      <c r="A3731" s="3" t="inlineStr">
        <is>
          <t>Anthropic</t>
        </is>
      </c>
      <c r="B3731" s="3" t="n">
        <v>2028</v>
      </c>
      <c r="C3731" s="3" t="inlineStr">
        <is>
          <t>Grid-Constrained / Efficiency-Upside</t>
        </is>
      </c>
      <c r="D3731" s="3" t="inlineStr">
        <is>
          <t>pue</t>
        </is>
      </c>
      <c r="E3731" s="3" t="n">
        <v>1.18</v>
      </c>
      <c r="F3731" s="3" t="inlineStr">
        <is>
          <t>ratio</t>
        </is>
      </c>
      <c r="G3731" s="3" t="inlineStr">
        <is>
          <t>Scenario parameter</t>
        </is>
      </c>
      <c r="H3731" s="3" t="inlineStr">
        <is>
          <t>it_load_gw = active_power_gw / pue</t>
        </is>
      </c>
      <c r="I3731" s="3" t="inlineStr">
        <is>
          <t>No provider-wide site-level PUE is used as a disclosed fact; PUE represents facility-to-IT conversion within the scenario.</t>
        </is>
      </c>
      <c r="J3731" s="3" t="inlineStr">
        <is>
          <t>ASSUMP_POWER_RAMP</t>
        </is>
      </c>
      <c r="K3731" s="3" t="inlineStr">
        <is>
          <t>ASSUMP_POWER_RAMP; ASSUMP_CLOSED_MODEL_BAND; ASSUMP_NUMERIC_ACCELERATOR_MIX; ASSUMP_INFERENCE_SHARE_NOT_FACT_60; ASSUMP_WORKLOAD_CLASS_MIX; ASSUMP_AGENTIC_CONTEXT_PENALTY</t>
        </is>
      </c>
      <c r="L3731" s="3" t="inlineStr">
        <is>
          <t>Site-level measured PUE matched to attributed AI capacity.</t>
        </is>
      </c>
    </row>
    <row r="3732">
      <c r="A3732" s="3" t="inlineStr">
        <is>
          <t>Anthropic</t>
        </is>
      </c>
      <c r="B3732" s="3" t="n">
        <v>2028</v>
      </c>
      <c r="C3732" s="3" t="inlineStr">
        <is>
          <t>Grid-Constrained / Efficiency-Upside</t>
        </is>
      </c>
      <c r="D3732" s="3" t="inlineStr">
        <is>
          <t>it_load_gw</t>
        </is>
      </c>
      <c r="E3732" s="3" t="n">
        <v>2.203</v>
      </c>
      <c r="F3732" s="3" t="inlineStr">
        <is>
          <t>GW</t>
        </is>
      </c>
      <c r="G3732" s="3" t="inlineStr">
        <is>
          <t>Derived formula</t>
        </is>
      </c>
      <c r="H3732" s="3" t="inlineStr">
        <is>
          <t>active_power_gw / pue</t>
        </is>
      </c>
      <c r="I3732" s="3" t="inlineStr">
        <is>
          <t>Facility power is converted to IT-deliverable power before attributing AI workloads.</t>
        </is>
      </c>
      <c r="J3732" s="3" t="inlineStr">
        <is>
          <t>SRC_ANTHROPIC_AMAZON_COMPUTE; SRC_AWS_RAINIER_ACTIVE; ASSUMP_POWER_RAMP</t>
        </is>
      </c>
      <c r="K3732" s="3" t="inlineStr">
        <is>
          <t>ASSUMP_POWER_RAMP; ASSUMP_CLOSED_MODEL_BAND; ASSUMP_NUMERIC_ACCELERATOR_MIX; ASSUMP_INFERENCE_SHARE_NOT_FACT_60; ASSUMP_WORKLOAD_CLASS_MIX; ASSUMP_AGENTIC_CONTEXT_PENALTY</t>
        </is>
      </c>
      <c r="L3732" s="3" t="inlineStr">
        <is>
          <t>Recompute once active power and PUE become site-observable.</t>
        </is>
      </c>
    </row>
    <row r="3733">
      <c r="A3733" s="3" t="inlineStr">
        <is>
          <t>Anthropic</t>
        </is>
      </c>
      <c r="B3733" s="3" t="n">
        <v>2028</v>
      </c>
      <c r="C3733" s="3" t="inlineStr">
        <is>
          <t>Grid-Constrained / Efficiency-Upside</t>
        </is>
      </c>
      <c r="D3733" s="3" t="inlineStr">
        <is>
          <t>ai_workload_share</t>
        </is>
      </c>
      <c r="E3733" s="3" t="n">
        <v>0.86</v>
      </c>
      <c r="F3733" s="3" t="inlineStr">
        <is>
          <t>share</t>
        </is>
      </c>
      <c r="G3733" s="3" t="inlineStr">
        <is>
          <t>Scenario allocation</t>
        </is>
      </c>
      <c r="H3733" s="3" t="inlineStr">
        <is>
          <t>ai_it_load_gw = it_load_gw * ai_workload_share</t>
        </is>
      </c>
      <c r="I3733" s="3" t="inlineStr">
        <is>
          <t>Anthropic-directed hosted capacity is predominantly AI; 86% excludes platform, reserve and non-serving allocation.</t>
        </is>
      </c>
      <c r="J3733" s="3" t="inlineStr">
        <is>
          <t>SRC_ANTHROPIC_CLAUDE_DOCS; SRC_ANTHROPIC_AMAZON_COMPUTE; SRC_AWS_RAINIER_ACTIVE; SRC_EPOCH_AI_DATA_CENTERS</t>
        </is>
      </c>
      <c r="K3733" s="3" t="inlineStr">
        <is>
          <t>ASSUMP_POWER_RAMP; ASSUMP_CLOSED_MODEL_BAND; ASSUMP_NUMERIC_ACCELERATOR_MIX; ASSUMP_INFERENCE_SHARE_NOT_FACT_60; ASSUMP_WORKLOAD_CLASS_MIX; ASSUMP_AGENTIC_CONTEXT_PENALTY</t>
        </is>
      </c>
      <c r="L3733" s="3" t="inlineStr">
        <is>
          <t>Model-owner AI workload allocation or cluster scheduling telemetry.</t>
        </is>
      </c>
    </row>
    <row r="3734">
      <c r="A3734" s="3" t="inlineStr">
        <is>
          <t>Anthropic</t>
        </is>
      </c>
      <c r="B3734" s="3" t="n">
        <v>2028</v>
      </c>
      <c r="C3734" s="3" t="inlineStr">
        <is>
          <t>Grid-Constrained / Efficiency-Upside</t>
        </is>
      </c>
      <c r="D3734" s="3" t="inlineStr">
        <is>
          <t>ai_it_load_gw</t>
        </is>
      </c>
      <c r="E3734" s="3" t="n">
        <v>1.895</v>
      </c>
      <c r="F3734" s="3" t="inlineStr">
        <is>
          <t>GW</t>
        </is>
      </c>
      <c r="G3734" s="3" t="inlineStr">
        <is>
          <t>Derived formula</t>
        </is>
      </c>
      <c r="H3734" s="3" t="inlineStr">
        <is>
          <t>it_load_gw * ai_workload_share</t>
        </is>
      </c>
      <c r="I3734" s="3" t="inlineStr">
        <is>
          <t>Only the AI-attributed portion of IT load enters training/inference allocation.</t>
        </is>
      </c>
      <c r="J3734" s="3" t="inlineStr">
        <is>
          <t>SRC_ANTHROPIC_CLAUDE_DOCS; SRC_ANTHROPIC_AMAZON_COMPUTE; SRC_AWS_RAINIER_ACTIVE; SRC_EPOCH_AI_DATA_CENTERS</t>
        </is>
      </c>
      <c r="K3734" s="3" t="inlineStr">
        <is>
          <t>ASSUMP_POWER_RAMP; ASSUMP_CLOSED_MODEL_BAND; ASSUMP_NUMERIC_ACCELERATOR_MIX; ASSUMP_INFERENCE_SHARE_NOT_FACT_60; ASSUMP_WORKLOAD_CLASS_MIX; ASSUMP_AGENTIC_CONTEXT_PENALTY</t>
        </is>
      </c>
      <c r="L3734" s="3" t="inlineStr">
        <is>
          <t>Recompute after ai_workload_share is replaced by telemetry.</t>
        </is>
      </c>
    </row>
    <row r="3735">
      <c r="A3735" s="3" t="inlineStr">
        <is>
          <t>Anthropic</t>
        </is>
      </c>
      <c r="B3735" s="3" t="n">
        <v>2028</v>
      </c>
      <c r="C3735" s="3" t="inlineStr">
        <is>
          <t>Grid-Constrained / Efficiency-Upside</t>
        </is>
      </c>
      <c r="D3735" s="3" t="inlineStr">
        <is>
          <t>gpu_share</t>
        </is>
      </c>
      <c r="E3735" s="3" t="n">
        <v>0.178448</v>
      </c>
      <c r="F3735" s="3" t="inlineStr">
        <is>
          <t>share of inference-serving accelerator load</t>
        </is>
      </c>
      <c r="G3735" s="3" t="inlineStr">
        <is>
          <t>Numeric scenario</t>
        </is>
      </c>
      <c r="H3735" s="3" t="inlineStr">
        <is>
          <t>gpu_share interpolated from company 2026/2030 accelerator-mix endpoints</t>
        </is>
      </c>
      <c r="I3735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35" s="3" t="inlineStr">
        <is>
          <t>SRC_ANTHROPIC_CLAUDE_DOCS; SRC_ANTHROPIC_AMAZON_COMPUTE; SRC_AWS_RAINIER_ACTIVE; SRC_EPOCH_AI_DATA_CENTERS; ASSUMP_NUMERIC_ACCELERATOR_MIX</t>
        </is>
      </c>
      <c r="K3735" s="3" t="inlineStr">
        <is>
          <t>ASSUMP_POWER_RAMP; ASSUMP_CLOSED_MODEL_BAND; ASSUMP_NUMERIC_ACCELERATOR_MIX; ASSUMP_INFERENCE_SHARE_NOT_FACT_60; ASSUMP_WORKLOAD_CLASS_MIX; ASSUMP_AGENTIC_CONTEXT_PENALTY</t>
        </is>
      </c>
      <c r="L3735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36">
      <c r="A3736" s="3" t="inlineStr">
        <is>
          <t>Anthropic</t>
        </is>
      </c>
      <c r="B3736" s="3" t="n">
        <v>2028</v>
      </c>
      <c r="C3736" s="3" t="inlineStr">
        <is>
          <t>Grid-Constrained / Efficiency-Upside</t>
        </is>
      </c>
      <c r="D3736" s="3" t="inlineStr">
        <is>
          <t>h200_share</t>
        </is>
      </c>
      <c r="E3736" s="3" t="n">
        <v>0.06841700000000001</v>
      </c>
      <c r="F3736" s="3" t="inlineStr">
        <is>
          <t>share of inference-serving accelerator load</t>
        </is>
      </c>
      <c r="G3736" s="3" t="inlineStr">
        <is>
          <t>Editable numeric scenario</t>
        </is>
      </c>
      <c r="H3736" s="3" t="inlineStr">
        <is>
          <t>h200_share = gpu_share * default_gpu_generation_mix_h200</t>
        </is>
      </c>
      <c r="I3736" s="3" t="inlineStr">
        <is>
          <t>Default GPU-generation migration assumption; executive workbook allows later manual replacement by company/year/scenario.</t>
        </is>
      </c>
      <c r="J3736" s="3" t="inlineStr">
        <is>
          <t>SRC_SEMIANALYSIS_INFERENCEX; ASSUMP_NUMERIC_ACCELERATOR_MIX</t>
        </is>
      </c>
      <c r="K3736" s="3" t="inlineStr">
        <is>
          <t>ASSUMP_POWER_RAMP; ASSUMP_CLOSED_MODEL_BAND; ASSUMP_NUMERIC_ACCELERATOR_MIX; ASSUMP_INFERENCE_SHARE_NOT_FACT_60; ASSUMP_WORKLOAD_CLASS_MIX; ASSUMP_AGENTIC_CONTEXT_PENALTY</t>
        </is>
      </c>
      <c r="L3736" s="3" t="inlineStr">
        <is>
          <t>Company fleet inventory, accelerator-hours or procurement/deployment records by GPU generation.</t>
        </is>
      </c>
    </row>
    <row r="3737">
      <c r="A3737" s="3" t="inlineStr">
        <is>
          <t>Anthropic</t>
        </is>
      </c>
      <c r="B3737" s="3" t="n">
        <v>2028</v>
      </c>
      <c r="C3737" s="3" t="inlineStr">
        <is>
          <t>Grid-Constrained / Efficiency-Upside</t>
        </is>
      </c>
      <c r="D3737" s="3" t="inlineStr">
        <is>
          <t>b200_share</t>
        </is>
      </c>
      <c r="E3737" s="3" t="n">
        <v>0.110031</v>
      </c>
      <c r="F3737" s="3" t="inlineStr">
        <is>
          <t>share of inference-serving accelerator load</t>
        </is>
      </c>
      <c r="G3737" s="3" t="inlineStr">
        <is>
          <t>Editable numeric scenario</t>
        </is>
      </c>
      <c r="H3737" s="3" t="inlineStr">
        <is>
          <t>b200_share = gpu_share * default_gpu_generation_mix_b200</t>
        </is>
      </c>
      <c r="I3737" s="3" t="inlineStr">
        <is>
          <t>Default GPU-generation migration assumption; executive workbook allows later manual replacement by company/year/scenario.</t>
        </is>
      </c>
      <c r="J3737" s="3" t="inlineStr">
        <is>
          <t>SRC_SEMIANALYSIS_INFERENCEX; ASSUMP_NUMERIC_ACCELERATOR_MIX</t>
        </is>
      </c>
      <c r="K3737" s="3" t="inlineStr">
        <is>
          <t>ASSUMP_POWER_RAMP; ASSUMP_CLOSED_MODEL_BAND; ASSUMP_NUMERIC_ACCELERATOR_MIX; ASSUMP_INFERENCE_SHARE_NOT_FACT_60; ASSUMP_WORKLOAD_CLASS_MIX; ASSUMP_AGENTIC_CONTEXT_PENALTY</t>
        </is>
      </c>
      <c r="L3737" s="3" t="inlineStr">
        <is>
          <t>Company fleet inventory, accelerator-hours or procurement/deployment records by GPU generation.</t>
        </is>
      </c>
    </row>
    <row r="3738">
      <c r="A3738" s="3" t="inlineStr">
        <is>
          <t>Anthropic</t>
        </is>
      </c>
      <c r="B3738" s="3" t="n">
        <v>2028</v>
      </c>
      <c r="C3738" s="3" t="inlineStr">
        <is>
          <t>Grid-Constrained / Efficiency-Upside</t>
        </is>
      </c>
      <c r="D3738" s="3" t="inlineStr">
        <is>
          <t>gb200_share</t>
        </is>
      </c>
      <c r="E3738" s="3" t="n">
        <v>0</v>
      </c>
      <c r="F3738" s="3" t="inlineStr">
        <is>
          <t>share of inference-serving accelerator load</t>
        </is>
      </c>
      <c r="G3738" s="3" t="inlineStr">
        <is>
          <t>Editable numeric scenario</t>
        </is>
      </c>
      <c r="H3738" s="3" t="inlineStr">
        <is>
          <t>gb200_share = gpu_share * default_gpu_generation_mix_gb200</t>
        </is>
      </c>
      <c r="I3738" s="3" t="inlineStr">
        <is>
          <t>Default GPU-generation migration assumption; executive workbook allows later manual replacement by company/year/scenario.</t>
        </is>
      </c>
      <c r="J3738" s="3" t="inlineStr">
        <is>
          <t>SRC_SEMIANALYSIS_INFERENCEX; ASSUMP_NUMERIC_ACCELERATOR_MIX</t>
        </is>
      </c>
      <c r="K3738" s="3" t="inlineStr">
        <is>
          <t>ASSUMP_POWER_RAMP; ASSUMP_CLOSED_MODEL_BAND; ASSUMP_NUMERIC_ACCELERATOR_MIX; ASSUMP_INFERENCE_SHARE_NOT_FACT_60; ASSUMP_WORKLOAD_CLASS_MIX; ASSUMP_AGENTIC_CONTEXT_PENALTY</t>
        </is>
      </c>
      <c r="L3738" s="3" t="inlineStr">
        <is>
          <t>Company fleet inventory, accelerator-hours or procurement/deployment records by GPU generation.</t>
        </is>
      </c>
    </row>
    <row r="3739">
      <c r="A3739" s="3" t="inlineStr">
        <is>
          <t>Anthropic</t>
        </is>
      </c>
      <c r="B3739" s="3" t="n">
        <v>2028</v>
      </c>
      <c r="C3739" s="3" t="inlineStr">
        <is>
          <t>Grid-Constrained / Efficiency-Upside</t>
        </is>
      </c>
      <c r="D3739" s="3" t="inlineStr">
        <is>
          <t>purpose_built_accelerator_share</t>
        </is>
      </c>
      <c r="E3739" s="3" t="n">
        <v>0.8215519999999999</v>
      </c>
      <c r="F3739" s="3" t="inlineStr">
        <is>
          <t>share of inference-serving accelerator load</t>
        </is>
      </c>
      <c r="G3739" s="3" t="inlineStr">
        <is>
          <t>Numeric scenario</t>
        </is>
      </c>
      <c r="H3739" s="3" t="inlineStr">
        <is>
          <t>1 - gpu_share</t>
        </is>
      </c>
      <c r="I3739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39" s="3" t="inlineStr">
        <is>
          <t>SRC_ANTHROPIC_CLAUDE_DOCS; SRC_ANTHROPIC_AMAZON_COMPUTE; SRC_AWS_RAINIER_ACTIVE; SRC_EPOCH_AI_DATA_CENTERS; ASSUMP_NUMERIC_ACCELERATOR_MIX</t>
        </is>
      </c>
      <c r="K3739" s="3" t="inlineStr">
        <is>
          <t>ASSUMP_POWER_RAMP; ASSUMP_CLOSED_MODEL_BAND; ASSUMP_NUMERIC_ACCELERATOR_MIX; ASSUMP_INFERENCE_SHARE_NOT_FACT_60; ASSUMP_WORKLOAD_CLASS_MIX; ASSUMP_AGENTIC_CONTEXT_PENALTY</t>
        </is>
      </c>
      <c r="L3739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40">
      <c r="A3740" s="3" t="inlineStr">
        <is>
          <t>Anthropic</t>
        </is>
      </c>
      <c r="B3740" s="3" t="n">
        <v>2028</v>
      </c>
      <c r="C3740" s="3" t="inlineStr">
        <is>
          <t>Grid-Constrained / Efficiency-Upside</t>
        </is>
      </c>
      <c r="D3740" s="3" t="inlineStr">
        <is>
          <t>fleet_reference_tps_per_mw</t>
        </is>
      </c>
      <c r="E3740" s="3" t="n">
        <v>188100</v>
      </c>
      <c r="F3740" s="3" t="inlineStr">
        <is>
          <t>generated output tokens/sec/MW</t>
        </is>
      </c>
      <c r="G3740" s="3" t="inlineStr">
        <is>
          <t>Fleet-weighted public benchmark reference</t>
        </is>
      </c>
      <c r="H3740" s="3" t="inlineStr">
        <is>
          <t>h200_share*h200_workload_avg + b200_share*b200_workload_avg + gb200_share*gb200_workload_avg + purpose_built_share*purpose_workload_avg</t>
        </is>
      </c>
      <c r="I3740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40" s="3" t="inlineStr">
        <is>
          <t>SRC_SEMIANALYSIS_INFERENCEX; ASSUMP_NUMERIC_ACCELERATOR_MIX; ASSUMP_WORKLOAD_CLASS_MIX; ASSUMP_AGENTIC_CONTEXT_PENALTY</t>
        </is>
      </c>
      <c r="K3740" s="3" t="inlineStr">
        <is>
          <t>ASSUMP_POWER_RAMP; ASSUMP_CLOSED_MODEL_BAND; ASSUMP_NUMERIC_ACCELERATOR_MIX; ASSUMP_INFERENCE_SHARE_NOT_FACT_60; ASSUMP_WORKLOAD_CLASS_MIX; ASSUMP_AGENTIC_CONTEXT_PENALTY</t>
        </is>
      </c>
      <c r="L3740" s="3" t="inlineStr">
        <is>
          <t>Comparable production output-token throughput or a more closely matched benchmark.</t>
        </is>
      </c>
    </row>
    <row r="3741">
      <c r="A3741" s="3" t="inlineStr">
        <is>
          <t>Anthropic</t>
        </is>
      </c>
      <c r="B3741" s="3" t="n">
        <v>2028</v>
      </c>
      <c r="C3741" s="3" t="inlineStr">
        <is>
          <t>Grid-Constrained / Efficiency-Upside</t>
        </is>
      </c>
      <c r="D3741" s="3" t="inlineStr">
        <is>
          <t>commercial_workload_fit_factor</t>
        </is>
      </c>
      <c r="E3741" s="3" t="n">
        <v>0.5</v>
      </c>
      <c r="F3741" s="3" t="inlineStr">
        <is>
          <t>share of public reference throughput</t>
        </is>
      </c>
      <c r="G3741" s="3" t="inlineStr">
        <is>
          <t>Scenario assumption</t>
        </is>
      </c>
      <c r="H3741" s="3" t="inlineStr">
        <is>
          <t>reference_serving_tps_per_mw = fleet_reference_tps_per_mw * commercial_workload_fit_factor</t>
        </is>
      </c>
      <c r="I3741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41" s="3" t="inlineStr">
        <is>
          <t>SRC_SEMIANALYSIS_INFERENCEX; ASSUMP_NUMERIC_ACCELERATOR_MIX; ASSUMP_WORKLOAD_CLASS_MIX; ASSUMP_AGENTIC_CONTEXT_PENALTY</t>
        </is>
      </c>
      <c r="K3741" s="3" t="inlineStr">
        <is>
          <t>ASSUMP_POWER_RAMP; ASSUMP_CLOSED_MODEL_BAND; ASSUMP_NUMERIC_ACCELERATOR_MIX; ASSUMP_INFERENCE_SHARE_NOT_FACT_60; ASSUMP_WORKLOAD_CLASS_MIX; ASSUMP_AGENTIC_CONTEXT_PENALTY</t>
        </is>
      </c>
      <c r="L3741" s="3" t="inlineStr">
        <is>
          <t>Matched commercial serving benchmark by product surface, context shape and latency SLO.</t>
        </is>
      </c>
    </row>
    <row r="3742">
      <c r="A3742" s="3" t="inlineStr">
        <is>
          <t>Anthropic</t>
        </is>
      </c>
      <c r="B3742" s="3" t="n">
        <v>2028</v>
      </c>
      <c r="C3742" s="3" t="inlineStr">
        <is>
          <t>Grid-Constrained / Efficiency-Upside</t>
        </is>
      </c>
      <c r="D3742" s="3" t="inlineStr">
        <is>
          <t>reference_serving_tps_per_mw</t>
        </is>
      </c>
      <c r="E3742" s="3" t="n">
        <v>94050</v>
      </c>
      <c r="F3742" s="3" t="inlineStr">
        <is>
          <t>generated output tokens/sec/MW</t>
        </is>
      </c>
      <c r="G3742" s="3" t="inlineStr">
        <is>
          <t>Workload-adjusted benchmark proxy</t>
        </is>
      </c>
      <c r="H3742" s="3" t="inlineStr">
        <is>
          <t>fleet_reference_tps_per_mw * commercial_workload_fit_factor</t>
        </is>
      </c>
      <c r="I3742" s="3" t="inlineStr">
        <is>
          <t>This is the coefficient used for headline token generation; each GPU's short chat, long chat and agentic TPS/MW are weighted before fleet mix and commercial fit are applied.</t>
        </is>
      </c>
      <c r="J3742" s="3" t="inlineStr">
        <is>
          <t>SRC_SEMIANALYSIS_INFERENCEX; ASSUMP_NUMERIC_ACCELERATOR_MIX; ASSUMP_WORKLOAD_CLASS_MIX; ASSUMP_AGENTIC_CONTEXT_PENALTY</t>
        </is>
      </c>
      <c r="K3742" s="3" t="inlineStr">
        <is>
          <t>ASSUMP_POWER_RAMP; ASSUMP_CLOSED_MODEL_BAND; ASSUMP_NUMERIC_ACCELERATOR_MIX; ASSUMP_INFERENCE_SHARE_NOT_FACT_60; ASSUMP_WORKLOAD_CLASS_MIX; ASSUMP_AGENTIC_CONTEXT_PENALTY</t>
        </is>
      </c>
      <c r="L3742" s="3" t="inlineStr">
        <is>
          <t>Provider production output-token throughput with comparable workload/SLO.</t>
        </is>
      </c>
    </row>
    <row r="3743">
      <c r="A3743" s="3" t="inlineStr">
        <is>
          <t>Anthropic</t>
        </is>
      </c>
      <c r="B3743" s="3" t="n">
        <v>2028</v>
      </c>
      <c r="C3743" s="3" t="inlineStr">
        <is>
          <t>Grid-Constrained / Efficiency-Upside</t>
        </is>
      </c>
      <c r="D3743" s="3" t="inlineStr">
        <is>
          <t>purpose_built_tps_per_mw</t>
        </is>
      </c>
      <c r="E3743" s="3" t="n">
        <v>67653</v>
      </c>
      <c r="F3743" s="3" t="inlineStr">
        <is>
          <t>generated output tokens/sec/MW</t>
        </is>
      </c>
      <c r="G3743" s="3" t="inlineStr">
        <is>
          <t>Conservative no-uplift proxy</t>
        </is>
      </c>
      <c r="H3743" s="3" t="inlineStr">
        <is>
          <t>purpose_built_tps_per_mw = purpose_built_reference_tps_per_mw * commercial_workload_fit_factor until comparable output-token benchmark is adopted</t>
        </is>
      </c>
      <c r="I3743" s="3" t="inlineStr">
        <is>
          <t>No comparable public output-token/MW row adopted; B200 public reference placeholder is used and remains editable.</t>
        </is>
      </c>
      <c r="J3743" s="3" t="inlineStr">
        <is>
          <t>SRC_ANTHROPIC_CLAUDE_DOCS; SRC_ANTHROPIC_AMAZON_COMPUTE; SRC_AWS_RAINIER_ACTIVE; SRC_EPOCH_AI_DATA_CENTERS; ASSUMP_NUMERIC_ACCELERATOR_MIX</t>
        </is>
      </c>
      <c r="K3743" s="3" t="inlineStr">
        <is>
          <t>ASSUMP_POWER_RAMP; ASSUMP_CLOSED_MODEL_BAND; ASSUMP_NUMERIC_ACCELERATOR_MIX; ASSUMP_INFERENCE_SHARE_NOT_FACT_60; ASSUMP_WORKLOAD_CLASS_MIX; ASSUMP_AGENTIC_CONTEXT_PENALTY</t>
        </is>
      </c>
      <c r="L3743" s="3" t="inlineStr">
        <is>
          <t>Matched-workload generated-output benchmark for the provider purpose-built accelerator.</t>
        </is>
      </c>
    </row>
    <row r="3744">
      <c r="A3744" s="3" t="inlineStr">
        <is>
          <t>Anthropic</t>
        </is>
      </c>
      <c r="B3744" s="3" t="n">
        <v>2028</v>
      </c>
      <c r="C3744" s="3" t="inlineStr">
        <is>
          <t>Grid-Constrained / Efficiency-Upside</t>
        </is>
      </c>
      <c r="D3744" s="3" t="inlineStr">
        <is>
          <t>inference_power_share</t>
        </is>
      </c>
      <c r="E3744" s="3" t="n">
        <v>0.66</v>
      </c>
      <c r="F3744" s="3" t="inlineStr">
        <is>
          <t>share of AI IT load</t>
        </is>
      </c>
      <c r="G3744" s="3" t="inlineStr">
        <is>
          <t>Scenario allocation</t>
        </is>
      </c>
      <c r="H3744" s="3" t="inlineStr">
        <is>
          <t>inference_gw = ai_it_load_gw * inference_power_share</t>
        </is>
      </c>
      <c r="I3744" s="3" t="inlineStr">
        <is>
          <t>Claude API/product growth supports a rising inference share, while continued model training prevents full conversion.</t>
        </is>
      </c>
      <c r="J3744" s="3" t="inlineStr">
        <is>
          <t>SRC_ANTHROPIC_CLAUDE_DOCS; SRC_ANTHROPIC_AMAZON_COMPUTE; SRC_AWS_RAINIER_ACTIVE; SRC_EPOCH_AI_DATA_CENTERS; ASSUMP_INFERENCE_SHARE_NOT_FACT_60</t>
        </is>
      </c>
      <c r="K3744" s="3" t="inlineStr">
        <is>
          <t>ASSUMP_POWER_RAMP; ASSUMP_CLOSED_MODEL_BAND; ASSUMP_NUMERIC_ACCELERATOR_MIX; ASSUMP_INFERENCE_SHARE_NOT_FACT_60; ASSUMP_WORKLOAD_CLASS_MIX; ASSUMP_AGENTIC_CONTEXT_PENALTY</t>
        </is>
      </c>
      <c r="L3744" s="3" t="inlineStr">
        <is>
          <t>Provider-specific inference/training workload power telemetry.</t>
        </is>
      </c>
    </row>
    <row r="3745">
      <c r="A3745" s="3" t="inlineStr">
        <is>
          <t>Anthropic</t>
        </is>
      </c>
      <c r="B3745" s="3" t="n">
        <v>2028</v>
      </c>
      <c r="C3745" s="3" t="inlineStr">
        <is>
          <t>Grid-Constrained / Efficiency-Upside</t>
        </is>
      </c>
      <c r="D3745" s="3" t="inlineStr">
        <is>
          <t>inference_gw</t>
        </is>
      </c>
      <c r="E3745" s="3" t="n">
        <v>1.251</v>
      </c>
      <c r="F3745" s="3" t="inlineStr">
        <is>
          <t>GW</t>
        </is>
      </c>
      <c r="G3745" s="3" t="inlineStr">
        <is>
          <t>Derived formula</t>
        </is>
      </c>
      <c r="H3745" s="3" t="inlineStr">
        <is>
          <t>ai_it_load_gw * inference_power_share</t>
        </is>
      </c>
      <c r="I3745" s="3" t="inlineStr">
        <is>
          <t>This is the operational power eligible to become commercial generated output tokens through the selected TPS/MW proxy.</t>
        </is>
      </c>
      <c r="J3745" s="3" t="inlineStr">
        <is>
          <t>SRC_ANTHROPIC_CLAUDE_DOCS; SRC_ANTHROPIC_AMAZON_COMPUTE; SRC_AWS_RAINIER_ACTIVE; SRC_EPOCH_AI_DATA_CENTERS</t>
        </is>
      </c>
      <c r="K3745" s="3" t="inlineStr">
        <is>
          <t>ASSUMP_POWER_RAMP; ASSUMP_CLOSED_MODEL_BAND; ASSUMP_NUMERIC_ACCELERATOR_MIX; ASSUMP_INFERENCE_SHARE_NOT_FACT_60; ASSUMP_WORKLOAD_CLASS_MIX; ASSUMP_AGENTIC_CONTEXT_PENALTY</t>
        </is>
      </c>
      <c r="L3745" s="3" t="inlineStr">
        <is>
          <t>Recompute after AI allocation or inference-share evidence changes.</t>
        </is>
      </c>
    </row>
    <row r="3746">
      <c r="A3746" s="3" t="inlineStr">
        <is>
          <t>Anthropic</t>
        </is>
      </c>
      <c r="B3746" s="3" t="n">
        <v>2028</v>
      </c>
      <c r="C3746" s="3" t="inlineStr">
        <is>
          <t>Grid-Constrained / Efficiency-Upside</t>
        </is>
      </c>
      <c r="D3746" s="3" t="inlineStr">
        <is>
          <t>training_power_share</t>
        </is>
      </c>
      <c r="E3746" s="3" t="n">
        <v>0.34</v>
      </c>
      <c r="F3746" s="3" t="inlineStr">
        <is>
          <t>share of AI IT load</t>
        </is>
      </c>
      <c r="G3746" s="3" t="inlineStr">
        <is>
          <t>Derived allocation</t>
        </is>
      </c>
      <c r="H3746" s="3" t="inlineStr">
        <is>
          <t>1 - inference_power_share</t>
        </is>
      </c>
      <c r="I3746" s="3" t="inlineStr">
        <is>
          <t>Training receives the complementary modeled AI IT allocation; it is not a disclosed company workload split.</t>
        </is>
      </c>
      <c r="J3746" s="3" t="inlineStr">
        <is>
          <t>SRC_ANTHROPIC_CLAUDE_DOCS; SRC_ANTHROPIC_AMAZON_COMPUTE; SRC_AWS_RAINIER_ACTIVE; SRC_EPOCH_AI_DATA_CENTERS; ASSUMP_INFERENCE_SHARE_NOT_FACT_60</t>
        </is>
      </c>
      <c r="K3746" s="3" t="inlineStr">
        <is>
          <t>ASSUMP_POWER_RAMP; ASSUMP_CLOSED_MODEL_BAND; ASSUMP_NUMERIC_ACCELERATOR_MIX; ASSUMP_INFERENCE_SHARE_NOT_FACT_60; ASSUMP_WORKLOAD_CLASS_MIX; ASSUMP_AGENTIC_CONTEXT_PENALTY</t>
        </is>
      </c>
      <c r="L3746" s="3" t="inlineStr">
        <is>
          <t>Provider-specific inference/training workload power telemetry.</t>
        </is>
      </c>
    </row>
    <row r="3747">
      <c r="A3747" s="3" t="inlineStr">
        <is>
          <t>Anthropic</t>
        </is>
      </c>
      <c r="B3747" s="3" t="n">
        <v>2028</v>
      </c>
      <c r="C3747" s="3" t="inlineStr">
        <is>
          <t>Grid-Constrained / Efficiency-Upside</t>
        </is>
      </c>
      <c r="D3747" s="3" t="inlineStr">
        <is>
          <t>training_gw</t>
        </is>
      </c>
      <c r="E3747" s="3" t="n">
        <v>0.644</v>
      </c>
      <c r="F3747" s="3" t="inlineStr">
        <is>
          <t>GW</t>
        </is>
      </c>
      <c r="G3747" s="3" t="inlineStr">
        <is>
          <t>Derived formula</t>
        </is>
      </c>
      <c r="H3747" s="3" t="inlineStr">
        <is>
          <t>ai_it_load_gw * training_power_share</t>
        </is>
      </c>
      <c r="I3747" s="3" t="inlineStr">
        <is>
          <t>Training GW is shown separately so commercial inference token capacity is not overstated.</t>
        </is>
      </c>
      <c r="J3747" s="3" t="inlineStr">
        <is>
          <t>SRC_ANTHROPIC_CLAUDE_DOCS; SRC_ANTHROPIC_AMAZON_COMPUTE; SRC_AWS_RAINIER_ACTIVE; SRC_EPOCH_AI_DATA_CENTERS</t>
        </is>
      </c>
      <c r="K3747" s="3" t="inlineStr">
        <is>
          <t>ASSUMP_POWER_RAMP; ASSUMP_CLOSED_MODEL_BAND; ASSUMP_NUMERIC_ACCELERATOR_MIX; ASSUMP_INFERENCE_SHARE_NOT_FACT_60; ASSUMP_WORKLOAD_CLASS_MIX; ASSUMP_AGENTIC_CONTEXT_PENALTY</t>
        </is>
      </c>
      <c r="L3747" s="3" t="inlineStr">
        <is>
          <t>Recompute after AI allocation or workload-split evidence changes.</t>
        </is>
      </c>
    </row>
    <row r="3748">
      <c r="A3748" s="3" t="inlineStr">
        <is>
          <t>Anthropic</t>
        </is>
      </c>
      <c r="B3748" s="3" t="n">
        <v>2028</v>
      </c>
      <c r="C3748" s="3" t="inlineStr">
        <is>
          <t>Grid-Constrained / Efficiency-Upside</t>
        </is>
      </c>
      <c r="D3748" s="3" t="inlineStr">
        <is>
          <t>tokens_per_second_per_mw</t>
        </is>
      </c>
      <c r="E3748" s="3" t="n">
        <v>94050</v>
      </c>
      <c r="F3748" s="3" t="inlineStr">
        <is>
          <t>generated output tokens/sec/MW</t>
        </is>
      </c>
      <c r="G3748" s="3" t="inlineStr">
        <is>
          <t>Derived estimate + benchmark calibration</t>
        </is>
      </c>
      <c r="H3748" s="3" t="inlineStr">
        <is>
          <t>fleet_reference_tps_per_mw * commercial_workload_fit_factor</t>
        </is>
      </c>
      <c r="I3748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48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48" s="3" t="inlineStr">
        <is>
          <t>ASSUMP_POWER_RAMP; ASSUMP_CLOSED_MODEL_BAND; ASSUMP_NUMERIC_ACCELERATOR_MIX; ASSUMP_INFERENCE_SHARE_NOT_FACT_60; ASSUMP_WORKLOAD_CLASS_MIX; ASSUMP_AGENTIC_CONTEXT_PENALTY</t>
        </is>
      </c>
      <c r="L3748" s="3" t="inlineStr">
        <is>
          <t>Comparable production output-token throughput with model, hardware, precision, ISL/OSL and SLO matched.</t>
        </is>
      </c>
    </row>
    <row r="3749">
      <c r="A3749" s="3" t="inlineStr">
        <is>
          <t>Anthropic</t>
        </is>
      </c>
      <c r="B3749" s="3" t="n">
        <v>2028</v>
      </c>
      <c r="C3749" s="3" t="inlineStr">
        <is>
          <t>Grid-Constrained / Efficiency-Upside</t>
        </is>
      </c>
      <c r="D3749" s="3" t="inlineStr">
        <is>
          <t>inference_tokens_per_day</t>
        </is>
      </c>
      <c r="E3749" s="3" t="n">
        <v>10165525920000</v>
      </c>
      <c r="F3749" s="3" t="inlineStr">
        <is>
          <t>generated output tokens/day</t>
        </is>
      </c>
      <c r="G3749" s="3" t="inlineStr">
        <is>
          <t>Derived headline metric</t>
        </is>
      </c>
      <c r="H3749" s="3" t="inlineStr">
        <is>
          <t>inference_gw * 1000 * tokens_per_second_per_mw * 86,400</t>
        </is>
      </c>
      <c r="I3749" s="3" t="inlineStr">
        <is>
          <t>Headline capacity uses no utilization, MoE, architecture or software-growth multiplier; it is not observed commercial output volume.</t>
        </is>
      </c>
      <c r="J3749" s="3" t="inlineStr">
        <is>
          <t>SRC_ANTHROPIC_CLAUDE_DOCS; SRC_ANTHROPIC_AMAZON_COMPUTE; SRC_AWS_RAINIER_ACTIVE; SRC_EPOCH_AI_DATA_CENTERS; SRC_SEMIANALYSIS_INFERENCEX</t>
        </is>
      </c>
      <c r="K3749" s="3" t="inlineStr">
        <is>
          <t>ASSUMP_POWER_RAMP; ASSUMP_CLOSED_MODEL_BAND; ASSUMP_NUMERIC_ACCELERATOR_MIX; ASSUMP_INFERENCE_SHARE_NOT_FACT_60; ASSUMP_WORKLOAD_CLASS_MIX; ASSUMP_AGENTIC_CONTEXT_PENALTY</t>
        </is>
      </c>
      <c r="L3749" s="3" t="inlineStr">
        <is>
          <t>Provider-disclosed generated output token volume or calibrated capacity telemetry.</t>
        </is>
      </c>
    </row>
    <row r="3750">
      <c r="A3750" s="3" t="inlineStr">
        <is>
          <t>Anthropic</t>
        </is>
      </c>
      <c r="B3750" s="3" t="n">
        <v>2028</v>
      </c>
      <c r="C3750" s="3" t="inlineStr">
        <is>
          <t>Grid-Constrained / Efficiency-Upside</t>
        </is>
      </c>
      <c r="D3750" s="3" t="inlineStr">
        <is>
          <t>inference_tokens_per_year</t>
        </is>
      </c>
      <c r="E3750" s="3" t="n">
        <v>3710416960800000</v>
      </c>
      <c r="F3750" s="3" t="inlineStr">
        <is>
          <t>generated output tokens/year</t>
        </is>
      </c>
      <c r="G3750" s="3" t="inlineStr">
        <is>
          <t>Derived headline metric</t>
        </is>
      </c>
      <c r="H3750" s="3" t="inlineStr">
        <is>
          <t>inference_tokens_per_day * 365</t>
        </is>
      </c>
      <c r="I3750" s="3" t="inlineStr">
        <is>
          <t>Annualized version of generated output token capacity; it is not observed annual demand or billable volume.</t>
        </is>
      </c>
      <c r="J3750" s="3" t="inlineStr">
        <is>
          <t>SRC_ANTHROPIC_CLAUDE_DOCS; SRC_ANTHROPIC_AMAZON_COMPUTE; SRC_AWS_RAINIER_ACTIVE; SRC_EPOCH_AI_DATA_CENTERS; SRC_SEMIANALYSIS_INFERENCEX</t>
        </is>
      </c>
      <c r="K3750" s="3" t="inlineStr">
        <is>
          <t>ASSUMP_POWER_RAMP; ASSUMP_CLOSED_MODEL_BAND; ASSUMP_NUMERIC_ACCELERATOR_MIX; ASSUMP_INFERENCE_SHARE_NOT_FACT_60; ASSUMP_WORKLOAD_CLASS_MIX; ASSUMP_AGENTIC_CONTEXT_PENALTY</t>
        </is>
      </c>
      <c r="L3750" s="3" t="inlineStr">
        <is>
          <t>Provider-disclosed annual generated-output volume or metered serving telemetry.</t>
        </is>
      </c>
    </row>
    <row r="3751">
      <c r="A3751" s="3" t="inlineStr">
        <is>
          <t>Anthropic</t>
        </is>
      </c>
      <c r="B3751" s="3" t="n">
        <v>2029</v>
      </c>
      <c r="C3751" s="3" t="inlineStr">
        <is>
          <t>Grid-Constrained / Efficiency-Upside</t>
        </is>
      </c>
      <c r="D3751" s="3" t="inlineStr">
        <is>
          <t>contracted_power_gw</t>
        </is>
      </c>
      <c r="E3751" s="3" t="n">
        <v>6.125</v>
      </c>
      <c r="F3751" s="3" t="inlineStr">
        <is>
          <t>GW</t>
        </is>
      </c>
      <c r="G3751" s="3" t="inlineStr">
        <is>
          <t>Fact anchor + scenario ceiling</t>
        </is>
      </c>
      <c r="H3751" s="3" t="inlineStr">
        <is>
          <t>linear interpolation between 2026 and 2030 company capacity endpoints</t>
        </is>
      </c>
      <c r="I3751" s="3" t="inlineStr">
        <is>
          <t>Hosted capacity envelope is anchored by Anthropic/AWS Project Rainier direction; it is attributed to Claude outputs, not AWS as a model owner.</t>
        </is>
      </c>
      <c r="J3751" s="3" t="inlineStr">
        <is>
          <t>SRC_ANTHROPIC_AMAZON_COMPUTE; SRC_AWS_RAINIER_ACTIVE; ASSUMP_POWER_RAMP</t>
        </is>
      </c>
      <c r="K3751" s="3" t="inlineStr">
        <is>
          <t>ASSUMP_POWER_RAMP; ASSUMP_CLOSED_MODEL_BAND; ASSUMP_NUMERIC_ACCELERATOR_MIX; ASSUMP_INFERENCE_SHARE_NOT_FACT_60; ASSUMP_WORKLOAD_CLASS_MIX; ASSUMP_AGENTIC_CONTEXT_PENALTY</t>
        </is>
      </c>
      <c r="L3751" s="3" t="inlineStr">
        <is>
          <t>Company/site-level committed MW/GW, interconnect and contract disclosure.</t>
        </is>
      </c>
    </row>
    <row r="3752">
      <c r="A3752" s="3" t="inlineStr">
        <is>
          <t>Anthropic</t>
        </is>
      </c>
      <c r="B3752" s="3" t="n">
        <v>2029</v>
      </c>
      <c r="C3752" s="3" t="inlineStr">
        <is>
          <t>Grid-Constrained / Efficiency-Upside</t>
        </is>
      </c>
      <c r="D3752" s="3" t="inlineStr">
        <is>
          <t>operational_deployment_share</t>
        </is>
      </c>
      <c r="E3752" s="3" t="n">
        <v>0.54285714</v>
      </c>
      <c r="F3752" s="3" t="inlineStr">
        <is>
          <t>share</t>
        </is>
      </c>
      <c r="G3752" s="3" t="inlineStr">
        <is>
          <t>Scenario conversion</t>
        </is>
      </c>
      <c r="H3752" s="3" t="inlineStr">
        <is>
          <t>active_power_gw / contracted_power_gw</t>
        </is>
      </c>
      <c r="I3752" s="3" t="inlineStr">
        <is>
          <t>This is the single explicit conversion from contracted/attributed capacity to operationally usable capacity.</t>
        </is>
      </c>
      <c r="J3752" s="3" t="inlineStr">
        <is>
          <t>SRC_ANTHROPIC_AMAZON_COMPUTE; SRC_AWS_RAINIER_ACTIVE; ASSUMP_POWER_RAMP</t>
        </is>
      </c>
      <c r="K3752" s="3" t="inlineStr">
        <is>
          <t>ASSUMP_POWER_RAMP; ASSUMP_CLOSED_MODEL_BAND; ASSUMP_NUMERIC_ACCELERATOR_MIX; ASSUMP_INFERENCE_SHARE_NOT_FACT_60; ASSUMP_WORKLOAD_CLASS_MIX; ASSUMP_AGENTIC_CONTEXT_PENALTY</t>
        </is>
      </c>
      <c r="L3752" s="3" t="inlineStr">
        <is>
          <t>Energized operational capacity divided by contracted/attributed capacity.</t>
        </is>
      </c>
    </row>
    <row r="3753">
      <c r="A3753" s="3" t="inlineStr">
        <is>
          <t>Anthropic</t>
        </is>
      </c>
      <c r="B3753" s="3" t="n">
        <v>2029</v>
      </c>
      <c r="C3753" s="3" t="inlineStr">
        <is>
          <t>Grid-Constrained / Efficiency-Upside</t>
        </is>
      </c>
      <c r="D3753" s="3" t="inlineStr">
        <is>
          <t>active_power_gw</t>
        </is>
      </c>
      <c r="E3753" s="3" t="n">
        <v>3.325</v>
      </c>
      <c r="F3753" s="3" t="inlineStr">
        <is>
          <t>GW</t>
        </is>
      </c>
      <c r="G3753" s="3" t="inlineStr">
        <is>
          <t>Derived scenario</t>
        </is>
      </c>
      <c r="H3753" s="3" t="inlineStr">
        <is>
          <t>contracted_power_gw * operational_deployment_share</t>
        </is>
      </c>
      <c r="I3753" s="3" t="inlineStr">
        <is>
          <t>Trainium cluster activation supports staged active ramp; Claude inference-versus-training use remains estimated.</t>
        </is>
      </c>
      <c r="J3753" s="3" t="inlineStr">
        <is>
          <t>SRC_ANTHROPIC_AMAZON_COMPUTE; SRC_AWS_RAINIER_ACTIVE; ASSUMP_POWER_RAMP</t>
        </is>
      </c>
      <c r="K3753" s="3" t="inlineStr">
        <is>
          <t>ASSUMP_POWER_RAMP; ASSUMP_CLOSED_MODEL_BAND; ASSUMP_NUMERIC_ACCELERATOR_MIX; ASSUMP_INFERENCE_SHARE_NOT_FACT_60; ASSUMP_WORKLOAD_CLASS_MIX; ASSUMP_AGENTIC_CONTEXT_PENALTY</t>
        </is>
      </c>
      <c r="L3753" s="3" t="inlineStr">
        <is>
          <t>Energization dates, accelerator deliveries and operational powered-rack telemetry.</t>
        </is>
      </c>
    </row>
    <row r="3754">
      <c r="A3754" s="3" t="inlineStr">
        <is>
          <t>Anthropic</t>
        </is>
      </c>
      <c r="B3754" s="3" t="n">
        <v>2029</v>
      </c>
      <c r="C3754" s="3" t="inlineStr">
        <is>
          <t>Grid-Constrained / Efficiency-Upside</t>
        </is>
      </c>
      <c r="D3754" s="3" t="inlineStr">
        <is>
          <t>pue</t>
        </is>
      </c>
      <c r="E3754" s="3" t="n">
        <v>1.18</v>
      </c>
      <c r="F3754" s="3" t="inlineStr">
        <is>
          <t>ratio</t>
        </is>
      </c>
      <c r="G3754" s="3" t="inlineStr">
        <is>
          <t>Scenario parameter</t>
        </is>
      </c>
      <c r="H3754" s="3" t="inlineStr">
        <is>
          <t>it_load_gw = active_power_gw / pue</t>
        </is>
      </c>
      <c r="I3754" s="3" t="inlineStr">
        <is>
          <t>No provider-wide site-level PUE is used as a disclosed fact; PUE represents facility-to-IT conversion within the scenario.</t>
        </is>
      </c>
      <c r="J3754" s="3" t="inlineStr">
        <is>
          <t>ASSUMP_POWER_RAMP</t>
        </is>
      </c>
      <c r="K3754" s="3" t="inlineStr">
        <is>
          <t>ASSUMP_POWER_RAMP; ASSUMP_CLOSED_MODEL_BAND; ASSUMP_NUMERIC_ACCELERATOR_MIX; ASSUMP_INFERENCE_SHARE_NOT_FACT_60; ASSUMP_WORKLOAD_CLASS_MIX; ASSUMP_AGENTIC_CONTEXT_PENALTY</t>
        </is>
      </c>
      <c r="L3754" s="3" t="inlineStr">
        <is>
          <t>Site-level measured PUE matched to attributed AI capacity.</t>
        </is>
      </c>
    </row>
    <row r="3755">
      <c r="A3755" s="3" t="inlineStr">
        <is>
          <t>Anthropic</t>
        </is>
      </c>
      <c r="B3755" s="3" t="n">
        <v>2029</v>
      </c>
      <c r="C3755" s="3" t="inlineStr">
        <is>
          <t>Grid-Constrained / Efficiency-Upside</t>
        </is>
      </c>
      <c r="D3755" s="3" t="inlineStr">
        <is>
          <t>it_load_gw</t>
        </is>
      </c>
      <c r="E3755" s="3" t="n">
        <v>2.818</v>
      </c>
      <c r="F3755" s="3" t="inlineStr">
        <is>
          <t>GW</t>
        </is>
      </c>
      <c r="G3755" s="3" t="inlineStr">
        <is>
          <t>Derived formula</t>
        </is>
      </c>
      <c r="H3755" s="3" t="inlineStr">
        <is>
          <t>active_power_gw / pue</t>
        </is>
      </c>
      <c r="I3755" s="3" t="inlineStr">
        <is>
          <t>Facility power is converted to IT-deliverable power before attributing AI workloads.</t>
        </is>
      </c>
      <c r="J3755" s="3" t="inlineStr">
        <is>
          <t>SRC_ANTHROPIC_AMAZON_COMPUTE; SRC_AWS_RAINIER_ACTIVE; ASSUMP_POWER_RAMP</t>
        </is>
      </c>
      <c r="K3755" s="3" t="inlineStr">
        <is>
          <t>ASSUMP_POWER_RAMP; ASSUMP_CLOSED_MODEL_BAND; ASSUMP_NUMERIC_ACCELERATOR_MIX; ASSUMP_INFERENCE_SHARE_NOT_FACT_60; ASSUMP_WORKLOAD_CLASS_MIX; ASSUMP_AGENTIC_CONTEXT_PENALTY</t>
        </is>
      </c>
      <c r="L3755" s="3" t="inlineStr">
        <is>
          <t>Recompute once active power and PUE become site-observable.</t>
        </is>
      </c>
    </row>
    <row r="3756">
      <c r="A3756" s="3" t="inlineStr">
        <is>
          <t>Anthropic</t>
        </is>
      </c>
      <c r="B3756" s="3" t="n">
        <v>2029</v>
      </c>
      <c r="C3756" s="3" t="inlineStr">
        <is>
          <t>Grid-Constrained / Efficiency-Upside</t>
        </is>
      </c>
      <c r="D3756" s="3" t="inlineStr">
        <is>
          <t>ai_workload_share</t>
        </is>
      </c>
      <c r="E3756" s="3" t="n">
        <v>0.86</v>
      </c>
      <c r="F3756" s="3" t="inlineStr">
        <is>
          <t>share</t>
        </is>
      </c>
      <c r="G3756" s="3" t="inlineStr">
        <is>
          <t>Scenario allocation</t>
        </is>
      </c>
      <c r="H3756" s="3" t="inlineStr">
        <is>
          <t>ai_it_load_gw = it_load_gw * ai_workload_share</t>
        </is>
      </c>
      <c r="I3756" s="3" t="inlineStr">
        <is>
          <t>Anthropic-directed hosted capacity is predominantly AI; 86% excludes platform, reserve and non-serving allocation.</t>
        </is>
      </c>
      <c r="J3756" s="3" t="inlineStr">
        <is>
          <t>SRC_ANTHROPIC_CLAUDE_DOCS; SRC_ANTHROPIC_AMAZON_COMPUTE; SRC_AWS_RAINIER_ACTIVE; SRC_EPOCH_AI_DATA_CENTERS</t>
        </is>
      </c>
      <c r="K3756" s="3" t="inlineStr">
        <is>
          <t>ASSUMP_POWER_RAMP; ASSUMP_CLOSED_MODEL_BAND; ASSUMP_NUMERIC_ACCELERATOR_MIX; ASSUMP_INFERENCE_SHARE_NOT_FACT_60; ASSUMP_WORKLOAD_CLASS_MIX; ASSUMP_AGENTIC_CONTEXT_PENALTY</t>
        </is>
      </c>
      <c r="L3756" s="3" t="inlineStr">
        <is>
          <t>Model-owner AI workload allocation or cluster scheduling telemetry.</t>
        </is>
      </c>
    </row>
    <row r="3757">
      <c r="A3757" s="3" t="inlineStr">
        <is>
          <t>Anthropic</t>
        </is>
      </c>
      <c r="B3757" s="3" t="n">
        <v>2029</v>
      </c>
      <c r="C3757" s="3" t="inlineStr">
        <is>
          <t>Grid-Constrained / Efficiency-Upside</t>
        </is>
      </c>
      <c r="D3757" s="3" t="inlineStr">
        <is>
          <t>ai_it_load_gw</t>
        </is>
      </c>
      <c r="E3757" s="3" t="n">
        <v>2.423</v>
      </c>
      <c r="F3757" s="3" t="inlineStr">
        <is>
          <t>GW</t>
        </is>
      </c>
      <c r="G3757" s="3" t="inlineStr">
        <is>
          <t>Derived formula</t>
        </is>
      </c>
      <c r="H3757" s="3" t="inlineStr">
        <is>
          <t>it_load_gw * ai_workload_share</t>
        </is>
      </c>
      <c r="I3757" s="3" t="inlineStr">
        <is>
          <t>Only the AI-attributed portion of IT load enters training/inference allocation.</t>
        </is>
      </c>
      <c r="J3757" s="3" t="inlineStr">
        <is>
          <t>SRC_ANTHROPIC_CLAUDE_DOCS; SRC_ANTHROPIC_AMAZON_COMPUTE; SRC_AWS_RAINIER_ACTIVE; SRC_EPOCH_AI_DATA_CENTERS</t>
        </is>
      </c>
      <c r="K3757" s="3" t="inlineStr">
        <is>
          <t>ASSUMP_POWER_RAMP; ASSUMP_CLOSED_MODEL_BAND; ASSUMP_NUMERIC_ACCELERATOR_MIX; ASSUMP_INFERENCE_SHARE_NOT_FACT_60; ASSUMP_WORKLOAD_CLASS_MIX; ASSUMP_AGENTIC_CONTEXT_PENALTY</t>
        </is>
      </c>
      <c r="L3757" s="3" t="inlineStr">
        <is>
          <t>Recompute after ai_workload_share is replaced by telemetry.</t>
        </is>
      </c>
    </row>
    <row r="3758">
      <c r="A3758" s="3" t="inlineStr">
        <is>
          <t>Anthropic</t>
        </is>
      </c>
      <c r="B3758" s="3" t="n">
        <v>2029</v>
      </c>
      <c r="C3758" s="3" t="inlineStr">
        <is>
          <t>Grid-Constrained / Efficiency-Upside</t>
        </is>
      </c>
      <c r="D3758" s="3" t="inlineStr">
        <is>
          <t>gpu_share</t>
        </is>
      </c>
      <c r="E3758" s="3" t="n">
        <v>0.178448</v>
      </c>
      <c r="F3758" s="3" t="inlineStr">
        <is>
          <t>share of inference-serving accelerator load</t>
        </is>
      </c>
      <c r="G3758" s="3" t="inlineStr">
        <is>
          <t>Numeric scenario</t>
        </is>
      </c>
      <c r="H3758" s="3" t="inlineStr">
        <is>
          <t>gpu_share interpolated from company 2026/2030 accelerator-mix endpoints</t>
        </is>
      </c>
      <c r="I3758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58" s="3" t="inlineStr">
        <is>
          <t>SRC_ANTHROPIC_CLAUDE_DOCS; SRC_ANTHROPIC_AMAZON_COMPUTE; SRC_AWS_RAINIER_ACTIVE; SRC_EPOCH_AI_DATA_CENTERS; ASSUMP_NUMERIC_ACCELERATOR_MIX</t>
        </is>
      </c>
      <c r="K3758" s="3" t="inlineStr">
        <is>
          <t>ASSUMP_POWER_RAMP; ASSUMP_CLOSED_MODEL_BAND; ASSUMP_NUMERIC_ACCELERATOR_MIX; ASSUMP_INFERENCE_SHARE_NOT_FACT_60; ASSUMP_WORKLOAD_CLASS_MIX; ASSUMP_AGENTIC_CONTEXT_PENALTY</t>
        </is>
      </c>
      <c r="L3758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59">
      <c r="A3759" s="3" t="inlineStr">
        <is>
          <t>Anthropic</t>
        </is>
      </c>
      <c r="B3759" s="3" t="n">
        <v>2029</v>
      </c>
      <c r="C3759" s="3" t="inlineStr">
        <is>
          <t>Grid-Constrained / Efficiency-Upside</t>
        </is>
      </c>
      <c r="D3759" s="3" t="inlineStr">
        <is>
          <t>h200_share</t>
        </is>
      </c>
      <c r="E3759" s="3" t="n">
        <v>0.06841700000000001</v>
      </c>
      <c r="F3759" s="3" t="inlineStr">
        <is>
          <t>share of inference-serving accelerator load</t>
        </is>
      </c>
      <c r="G3759" s="3" t="inlineStr">
        <is>
          <t>Editable numeric scenario</t>
        </is>
      </c>
      <c r="H3759" s="3" t="inlineStr">
        <is>
          <t>h200_share = gpu_share * default_gpu_generation_mix_h200</t>
        </is>
      </c>
      <c r="I3759" s="3" t="inlineStr">
        <is>
          <t>Default GPU-generation migration assumption; executive workbook allows later manual replacement by company/year/scenario.</t>
        </is>
      </c>
      <c r="J3759" s="3" t="inlineStr">
        <is>
          <t>SRC_SEMIANALYSIS_INFERENCEX; ASSUMP_NUMERIC_ACCELERATOR_MIX</t>
        </is>
      </c>
      <c r="K3759" s="3" t="inlineStr">
        <is>
          <t>ASSUMP_POWER_RAMP; ASSUMP_CLOSED_MODEL_BAND; ASSUMP_NUMERIC_ACCELERATOR_MIX; ASSUMP_INFERENCE_SHARE_NOT_FACT_60; ASSUMP_WORKLOAD_CLASS_MIX; ASSUMP_AGENTIC_CONTEXT_PENALTY</t>
        </is>
      </c>
      <c r="L3759" s="3" t="inlineStr">
        <is>
          <t>Company fleet inventory, accelerator-hours or procurement/deployment records by GPU generation.</t>
        </is>
      </c>
    </row>
    <row r="3760">
      <c r="A3760" s="3" t="inlineStr">
        <is>
          <t>Anthropic</t>
        </is>
      </c>
      <c r="B3760" s="3" t="n">
        <v>2029</v>
      </c>
      <c r="C3760" s="3" t="inlineStr">
        <is>
          <t>Grid-Constrained / Efficiency-Upside</t>
        </is>
      </c>
      <c r="D3760" s="3" t="inlineStr">
        <is>
          <t>b200_share</t>
        </is>
      </c>
      <c r="E3760" s="3" t="n">
        <v>0.110031</v>
      </c>
      <c r="F3760" s="3" t="inlineStr">
        <is>
          <t>share of inference-serving accelerator load</t>
        </is>
      </c>
      <c r="G3760" s="3" t="inlineStr">
        <is>
          <t>Editable numeric scenario</t>
        </is>
      </c>
      <c r="H3760" s="3" t="inlineStr">
        <is>
          <t>b200_share = gpu_share * default_gpu_generation_mix_b200</t>
        </is>
      </c>
      <c r="I3760" s="3" t="inlineStr">
        <is>
          <t>Default GPU-generation migration assumption; executive workbook allows later manual replacement by company/year/scenario.</t>
        </is>
      </c>
      <c r="J3760" s="3" t="inlineStr">
        <is>
          <t>SRC_SEMIANALYSIS_INFERENCEX; ASSUMP_NUMERIC_ACCELERATOR_MIX</t>
        </is>
      </c>
      <c r="K3760" s="3" t="inlineStr">
        <is>
          <t>ASSUMP_POWER_RAMP; ASSUMP_CLOSED_MODEL_BAND; ASSUMP_NUMERIC_ACCELERATOR_MIX; ASSUMP_INFERENCE_SHARE_NOT_FACT_60; ASSUMP_WORKLOAD_CLASS_MIX; ASSUMP_AGENTIC_CONTEXT_PENALTY</t>
        </is>
      </c>
      <c r="L3760" s="3" t="inlineStr">
        <is>
          <t>Company fleet inventory, accelerator-hours or procurement/deployment records by GPU generation.</t>
        </is>
      </c>
    </row>
    <row r="3761">
      <c r="A3761" s="3" t="inlineStr">
        <is>
          <t>Anthropic</t>
        </is>
      </c>
      <c r="B3761" s="3" t="n">
        <v>2029</v>
      </c>
      <c r="C3761" s="3" t="inlineStr">
        <is>
          <t>Grid-Constrained / Efficiency-Upside</t>
        </is>
      </c>
      <c r="D3761" s="3" t="inlineStr">
        <is>
          <t>gb200_share</t>
        </is>
      </c>
      <c r="E3761" s="3" t="n">
        <v>0</v>
      </c>
      <c r="F3761" s="3" t="inlineStr">
        <is>
          <t>share of inference-serving accelerator load</t>
        </is>
      </c>
      <c r="G3761" s="3" t="inlineStr">
        <is>
          <t>Editable numeric scenario</t>
        </is>
      </c>
      <c r="H3761" s="3" t="inlineStr">
        <is>
          <t>gb200_share = gpu_share * default_gpu_generation_mix_gb200</t>
        </is>
      </c>
      <c r="I3761" s="3" t="inlineStr">
        <is>
          <t>Default GPU-generation migration assumption; executive workbook allows later manual replacement by company/year/scenario.</t>
        </is>
      </c>
      <c r="J3761" s="3" t="inlineStr">
        <is>
          <t>SRC_SEMIANALYSIS_INFERENCEX; ASSUMP_NUMERIC_ACCELERATOR_MIX</t>
        </is>
      </c>
      <c r="K3761" s="3" t="inlineStr">
        <is>
          <t>ASSUMP_POWER_RAMP; ASSUMP_CLOSED_MODEL_BAND; ASSUMP_NUMERIC_ACCELERATOR_MIX; ASSUMP_INFERENCE_SHARE_NOT_FACT_60; ASSUMP_WORKLOAD_CLASS_MIX; ASSUMP_AGENTIC_CONTEXT_PENALTY</t>
        </is>
      </c>
      <c r="L3761" s="3" t="inlineStr">
        <is>
          <t>Company fleet inventory, accelerator-hours or procurement/deployment records by GPU generation.</t>
        </is>
      </c>
    </row>
    <row r="3762">
      <c r="A3762" s="3" t="inlineStr">
        <is>
          <t>Anthropic</t>
        </is>
      </c>
      <c r="B3762" s="3" t="n">
        <v>2029</v>
      </c>
      <c r="C3762" s="3" t="inlineStr">
        <is>
          <t>Grid-Constrained / Efficiency-Upside</t>
        </is>
      </c>
      <c r="D3762" s="3" t="inlineStr">
        <is>
          <t>purpose_built_accelerator_share</t>
        </is>
      </c>
      <c r="E3762" s="3" t="n">
        <v>0.8215519999999999</v>
      </c>
      <c r="F3762" s="3" t="inlineStr">
        <is>
          <t>share of inference-serving accelerator load</t>
        </is>
      </c>
      <c r="G3762" s="3" t="inlineStr">
        <is>
          <t>Numeric scenario</t>
        </is>
      </c>
      <c r="H3762" s="3" t="inlineStr">
        <is>
          <t>1 - gpu_share</t>
        </is>
      </c>
      <c r="I3762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62" s="3" t="inlineStr">
        <is>
          <t>SRC_ANTHROPIC_CLAUDE_DOCS; SRC_ANTHROPIC_AMAZON_COMPUTE; SRC_AWS_RAINIER_ACTIVE; SRC_EPOCH_AI_DATA_CENTERS; ASSUMP_NUMERIC_ACCELERATOR_MIX</t>
        </is>
      </c>
      <c r="K3762" s="3" t="inlineStr">
        <is>
          <t>ASSUMP_POWER_RAMP; ASSUMP_CLOSED_MODEL_BAND; ASSUMP_NUMERIC_ACCELERATOR_MIX; ASSUMP_INFERENCE_SHARE_NOT_FACT_60; ASSUMP_WORKLOAD_CLASS_MIX; ASSUMP_AGENTIC_CONTEXT_PENALTY</t>
        </is>
      </c>
      <c r="L3762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63">
      <c r="A3763" s="3" t="inlineStr">
        <is>
          <t>Anthropic</t>
        </is>
      </c>
      <c r="B3763" s="3" t="n">
        <v>2029</v>
      </c>
      <c r="C3763" s="3" t="inlineStr">
        <is>
          <t>Grid-Constrained / Efficiency-Upside</t>
        </is>
      </c>
      <c r="D3763" s="3" t="inlineStr">
        <is>
          <t>fleet_reference_tps_per_mw</t>
        </is>
      </c>
      <c r="E3763" s="3" t="n">
        <v>188100</v>
      </c>
      <c r="F3763" s="3" t="inlineStr">
        <is>
          <t>generated output tokens/sec/MW</t>
        </is>
      </c>
      <c r="G3763" s="3" t="inlineStr">
        <is>
          <t>Fleet-weighted public benchmark reference</t>
        </is>
      </c>
      <c r="H3763" s="3" t="inlineStr">
        <is>
          <t>h200_share*h200_workload_avg + b200_share*b200_workload_avg + gb200_share*gb200_workload_avg + purpose_built_share*purpose_workload_avg</t>
        </is>
      </c>
      <c r="I3763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63" s="3" t="inlineStr">
        <is>
          <t>SRC_SEMIANALYSIS_INFERENCEX; ASSUMP_NUMERIC_ACCELERATOR_MIX; ASSUMP_WORKLOAD_CLASS_MIX; ASSUMP_AGENTIC_CONTEXT_PENALTY</t>
        </is>
      </c>
      <c r="K3763" s="3" t="inlineStr">
        <is>
          <t>ASSUMP_POWER_RAMP; ASSUMP_CLOSED_MODEL_BAND; ASSUMP_NUMERIC_ACCELERATOR_MIX; ASSUMP_INFERENCE_SHARE_NOT_FACT_60; ASSUMP_WORKLOAD_CLASS_MIX; ASSUMP_AGENTIC_CONTEXT_PENALTY</t>
        </is>
      </c>
      <c r="L3763" s="3" t="inlineStr">
        <is>
          <t>Comparable production output-token throughput or a more closely matched benchmark.</t>
        </is>
      </c>
    </row>
    <row r="3764">
      <c r="A3764" s="3" t="inlineStr">
        <is>
          <t>Anthropic</t>
        </is>
      </c>
      <c r="B3764" s="3" t="n">
        <v>2029</v>
      </c>
      <c r="C3764" s="3" t="inlineStr">
        <is>
          <t>Grid-Constrained / Efficiency-Upside</t>
        </is>
      </c>
      <c r="D3764" s="3" t="inlineStr">
        <is>
          <t>commercial_workload_fit_factor</t>
        </is>
      </c>
      <c r="E3764" s="3" t="n">
        <v>0.5</v>
      </c>
      <c r="F3764" s="3" t="inlineStr">
        <is>
          <t>share of public reference throughput</t>
        </is>
      </c>
      <c r="G3764" s="3" t="inlineStr">
        <is>
          <t>Scenario assumption</t>
        </is>
      </c>
      <c r="H3764" s="3" t="inlineStr">
        <is>
          <t>reference_serving_tps_per_mw = fleet_reference_tps_per_mw * commercial_workload_fit_factor</t>
        </is>
      </c>
      <c r="I3764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64" s="3" t="inlineStr">
        <is>
          <t>SRC_SEMIANALYSIS_INFERENCEX; ASSUMP_NUMERIC_ACCELERATOR_MIX; ASSUMP_WORKLOAD_CLASS_MIX; ASSUMP_AGENTIC_CONTEXT_PENALTY</t>
        </is>
      </c>
      <c r="K3764" s="3" t="inlineStr">
        <is>
          <t>ASSUMP_POWER_RAMP; ASSUMP_CLOSED_MODEL_BAND; ASSUMP_NUMERIC_ACCELERATOR_MIX; ASSUMP_INFERENCE_SHARE_NOT_FACT_60; ASSUMP_WORKLOAD_CLASS_MIX; ASSUMP_AGENTIC_CONTEXT_PENALTY</t>
        </is>
      </c>
      <c r="L3764" s="3" t="inlineStr">
        <is>
          <t>Matched commercial serving benchmark by product surface, context shape and latency SLO.</t>
        </is>
      </c>
    </row>
    <row r="3765">
      <c r="A3765" s="3" t="inlineStr">
        <is>
          <t>Anthropic</t>
        </is>
      </c>
      <c r="B3765" s="3" t="n">
        <v>2029</v>
      </c>
      <c r="C3765" s="3" t="inlineStr">
        <is>
          <t>Grid-Constrained / Efficiency-Upside</t>
        </is>
      </c>
      <c r="D3765" s="3" t="inlineStr">
        <is>
          <t>reference_serving_tps_per_mw</t>
        </is>
      </c>
      <c r="E3765" s="3" t="n">
        <v>94050</v>
      </c>
      <c r="F3765" s="3" t="inlineStr">
        <is>
          <t>generated output tokens/sec/MW</t>
        </is>
      </c>
      <c r="G3765" s="3" t="inlineStr">
        <is>
          <t>Workload-adjusted benchmark proxy</t>
        </is>
      </c>
      <c r="H3765" s="3" t="inlineStr">
        <is>
          <t>fleet_reference_tps_per_mw * commercial_workload_fit_factor</t>
        </is>
      </c>
      <c r="I3765" s="3" t="inlineStr">
        <is>
          <t>This is the coefficient used for headline token generation; each GPU's short chat, long chat and agentic TPS/MW are weighted before fleet mix and commercial fit are applied.</t>
        </is>
      </c>
      <c r="J3765" s="3" t="inlineStr">
        <is>
          <t>SRC_SEMIANALYSIS_INFERENCEX; ASSUMP_NUMERIC_ACCELERATOR_MIX; ASSUMP_WORKLOAD_CLASS_MIX; ASSUMP_AGENTIC_CONTEXT_PENALTY</t>
        </is>
      </c>
      <c r="K3765" s="3" t="inlineStr">
        <is>
          <t>ASSUMP_POWER_RAMP; ASSUMP_CLOSED_MODEL_BAND; ASSUMP_NUMERIC_ACCELERATOR_MIX; ASSUMP_INFERENCE_SHARE_NOT_FACT_60; ASSUMP_WORKLOAD_CLASS_MIX; ASSUMP_AGENTIC_CONTEXT_PENALTY</t>
        </is>
      </c>
      <c r="L3765" s="3" t="inlineStr">
        <is>
          <t>Provider production output-token throughput with comparable workload/SLO.</t>
        </is>
      </c>
    </row>
    <row r="3766">
      <c r="A3766" s="3" t="inlineStr">
        <is>
          <t>Anthropic</t>
        </is>
      </c>
      <c r="B3766" s="3" t="n">
        <v>2029</v>
      </c>
      <c r="C3766" s="3" t="inlineStr">
        <is>
          <t>Grid-Constrained / Efficiency-Upside</t>
        </is>
      </c>
      <c r="D3766" s="3" t="inlineStr">
        <is>
          <t>purpose_built_tps_per_mw</t>
        </is>
      </c>
      <c r="E3766" s="3" t="n">
        <v>67653</v>
      </c>
      <c r="F3766" s="3" t="inlineStr">
        <is>
          <t>generated output tokens/sec/MW</t>
        </is>
      </c>
      <c r="G3766" s="3" t="inlineStr">
        <is>
          <t>Conservative no-uplift proxy</t>
        </is>
      </c>
      <c r="H3766" s="3" t="inlineStr">
        <is>
          <t>purpose_built_tps_per_mw = purpose_built_reference_tps_per_mw * commercial_workload_fit_factor until comparable output-token benchmark is adopted</t>
        </is>
      </c>
      <c r="I3766" s="3" t="inlineStr">
        <is>
          <t>No comparable public output-token/MW row adopted; B200 public reference placeholder is used and remains editable.</t>
        </is>
      </c>
      <c r="J3766" s="3" t="inlineStr">
        <is>
          <t>SRC_ANTHROPIC_CLAUDE_DOCS; SRC_ANTHROPIC_AMAZON_COMPUTE; SRC_AWS_RAINIER_ACTIVE; SRC_EPOCH_AI_DATA_CENTERS; ASSUMP_NUMERIC_ACCELERATOR_MIX</t>
        </is>
      </c>
      <c r="K3766" s="3" t="inlineStr">
        <is>
          <t>ASSUMP_POWER_RAMP; ASSUMP_CLOSED_MODEL_BAND; ASSUMP_NUMERIC_ACCELERATOR_MIX; ASSUMP_INFERENCE_SHARE_NOT_FACT_60; ASSUMP_WORKLOAD_CLASS_MIX; ASSUMP_AGENTIC_CONTEXT_PENALTY</t>
        </is>
      </c>
      <c r="L3766" s="3" t="inlineStr">
        <is>
          <t>Matched-workload generated-output benchmark for the provider purpose-built accelerator.</t>
        </is>
      </c>
    </row>
    <row r="3767">
      <c r="A3767" s="3" t="inlineStr">
        <is>
          <t>Anthropic</t>
        </is>
      </c>
      <c r="B3767" s="3" t="n">
        <v>2029</v>
      </c>
      <c r="C3767" s="3" t="inlineStr">
        <is>
          <t>Grid-Constrained / Efficiency-Upside</t>
        </is>
      </c>
      <c r="D3767" s="3" t="inlineStr">
        <is>
          <t>inference_power_share</t>
        </is>
      </c>
      <c r="E3767" s="3" t="n">
        <v>0.72</v>
      </c>
      <c r="F3767" s="3" t="inlineStr">
        <is>
          <t>share of AI IT load</t>
        </is>
      </c>
      <c r="G3767" s="3" t="inlineStr">
        <is>
          <t>Scenario allocation</t>
        </is>
      </c>
      <c r="H3767" s="3" t="inlineStr">
        <is>
          <t>inference_gw = ai_it_load_gw * inference_power_share</t>
        </is>
      </c>
      <c r="I3767" s="3" t="inlineStr">
        <is>
          <t>Claude API/product growth supports a rising inference share, while continued model training prevents full conversion.</t>
        </is>
      </c>
      <c r="J3767" s="3" t="inlineStr">
        <is>
          <t>SRC_ANTHROPIC_CLAUDE_DOCS; SRC_ANTHROPIC_AMAZON_COMPUTE; SRC_AWS_RAINIER_ACTIVE; SRC_EPOCH_AI_DATA_CENTERS; ASSUMP_INFERENCE_SHARE_NOT_FACT_60</t>
        </is>
      </c>
      <c r="K3767" s="3" t="inlineStr">
        <is>
          <t>ASSUMP_POWER_RAMP; ASSUMP_CLOSED_MODEL_BAND; ASSUMP_NUMERIC_ACCELERATOR_MIX; ASSUMP_INFERENCE_SHARE_NOT_FACT_60; ASSUMP_WORKLOAD_CLASS_MIX; ASSUMP_AGENTIC_CONTEXT_PENALTY</t>
        </is>
      </c>
      <c r="L3767" s="3" t="inlineStr">
        <is>
          <t>Provider-specific inference/training workload power telemetry.</t>
        </is>
      </c>
    </row>
    <row r="3768">
      <c r="A3768" s="3" t="inlineStr">
        <is>
          <t>Anthropic</t>
        </is>
      </c>
      <c r="B3768" s="3" t="n">
        <v>2029</v>
      </c>
      <c r="C3768" s="3" t="inlineStr">
        <is>
          <t>Grid-Constrained / Efficiency-Upside</t>
        </is>
      </c>
      <c r="D3768" s="3" t="inlineStr">
        <is>
          <t>inference_gw</t>
        </is>
      </c>
      <c r="E3768" s="3" t="n">
        <v>1.745</v>
      </c>
      <c r="F3768" s="3" t="inlineStr">
        <is>
          <t>GW</t>
        </is>
      </c>
      <c r="G3768" s="3" t="inlineStr">
        <is>
          <t>Derived formula</t>
        </is>
      </c>
      <c r="H3768" s="3" t="inlineStr">
        <is>
          <t>ai_it_load_gw * inference_power_share</t>
        </is>
      </c>
      <c r="I3768" s="3" t="inlineStr">
        <is>
          <t>This is the operational power eligible to become commercial generated output tokens through the selected TPS/MW proxy.</t>
        </is>
      </c>
      <c r="J3768" s="3" t="inlineStr">
        <is>
          <t>SRC_ANTHROPIC_CLAUDE_DOCS; SRC_ANTHROPIC_AMAZON_COMPUTE; SRC_AWS_RAINIER_ACTIVE; SRC_EPOCH_AI_DATA_CENTERS</t>
        </is>
      </c>
      <c r="K3768" s="3" t="inlineStr">
        <is>
          <t>ASSUMP_POWER_RAMP; ASSUMP_CLOSED_MODEL_BAND; ASSUMP_NUMERIC_ACCELERATOR_MIX; ASSUMP_INFERENCE_SHARE_NOT_FACT_60; ASSUMP_WORKLOAD_CLASS_MIX; ASSUMP_AGENTIC_CONTEXT_PENALTY</t>
        </is>
      </c>
      <c r="L3768" s="3" t="inlineStr">
        <is>
          <t>Recompute after AI allocation or inference-share evidence changes.</t>
        </is>
      </c>
    </row>
    <row r="3769">
      <c r="A3769" s="3" t="inlineStr">
        <is>
          <t>Anthropic</t>
        </is>
      </c>
      <c r="B3769" s="3" t="n">
        <v>2029</v>
      </c>
      <c r="C3769" s="3" t="inlineStr">
        <is>
          <t>Grid-Constrained / Efficiency-Upside</t>
        </is>
      </c>
      <c r="D3769" s="3" t="inlineStr">
        <is>
          <t>training_power_share</t>
        </is>
      </c>
      <c r="E3769" s="3" t="n">
        <v>0.28</v>
      </c>
      <c r="F3769" s="3" t="inlineStr">
        <is>
          <t>share of AI IT load</t>
        </is>
      </c>
      <c r="G3769" s="3" t="inlineStr">
        <is>
          <t>Derived allocation</t>
        </is>
      </c>
      <c r="H3769" s="3" t="inlineStr">
        <is>
          <t>1 - inference_power_share</t>
        </is>
      </c>
      <c r="I3769" s="3" t="inlineStr">
        <is>
          <t>Training receives the complementary modeled AI IT allocation; it is not a disclosed company workload split.</t>
        </is>
      </c>
      <c r="J3769" s="3" t="inlineStr">
        <is>
          <t>SRC_ANTHROPIC_CLAUDE_DOCS; SRC_ANTHROPIC_AMAZON_COMPUTE; SRC_AWS_RAINIER_ACTIVE; SRC_EPOCH_AI_DATA_CENTERS; ASSUMP_INFERENCE_SHARE_NOT_FACT_60</t>
        </is>
      </c>
      <c r="K3769" s="3" t="inlineStr">
        <is>
          <t>ASSUMP_POWER_RAMP; ASSUMP_CLOSED_MODEL_BAND; ASSUMP_NUMERIC_ACCELERATOR_MIX; ASSUMP_INFERENCE_SHARE_NOT_FACT_60; ASSUMP_WORKLOAD_CLASS_MIX; ASSUMP_AGENTIC_CONTEXT_PENALTY</t>
        </is>
      </c>
      <c r="L3769" s="3" t="inlineStr">
        <is>
          <t>Provider-specific inference/training workload power telemetry.</t>
        </is>
      </c>
    </row>
    <row r="3770">
      <c r="A3770" s="3" t="inlineStr">
        <is>
          <t>Anthropic</t>
        </is>
      </c>
      <c r="B3770" s="3" t="n">
        <v>2029</v>
      </c>
      <c r="C3770" s="3" t="inlineStr">
        <is>
          <t>Grid-Constrained / Efficiency-Upside</t>
        </is>
      </c>
      <c r="D3770" s="3" t="inlineStr">
        <is>
          <t>training_gw</t>
        </is>
      </c>
      <c r="E3770" s="3" t="n">
        <v>0.679</v>
      </c>
      <c r="F3770" s="3" t="inlineStr">
        <is>
          <t>GW</t>
        </is>
      </c>
      <c r="G3770" s="3" t="inlineStr">
        <is>
          <t>Derived formula</t>
        </is>
      </c>
      <c r="H3770" s="3" t="inlineStr">
        <is>
          <t>ai_it_load_gw * training_power_share</t>
        </is>
      </c>
      <c r="I3770" s="3" t="inlineStr">
        <is>
          <t>Training GW is shown separately so commercial inference token capacity is not overstated.</t>
        </is>
      </c>
      <c r="J3770" s="3" t="inlineStr">
        <is>
          <t>SRC_ANTHROPIC_CLAUDE_DOCS; SRC_ANTHROPIC_AMAZON_COMPUTE; SRC_AWS_RAINIER_ACTIVE; SRC_EPOCH_AI_DATA_CENTERS</t>
        </is>
      </c>
      <c r="K3770" s="3" t="inlineStr">
        <is>
          <t>ASSUMP_POWER_RAMP; ASSUMP_CLOSED_MODEL_BAND; ASSUMP_NUMERIC_ACCELERATOR_MIX; ASSUMP_INFERENCE_SHARE_NOT_FACT_60; ASSUMP_WORKLOAD_CLASS_MIX; ASSUMP_AGENTIC_CONTEXT_PENALTY</t>
        </is>
      </c>
      <c r="L3770" s="3" t="inlineStr">
        <is>
          <t>Recompute after AI allocation or workload-split evidence changes.</t>
        </is>
      </c>
    </row>
    <row r="3771">
      <c r="A3771" s="3" t="inlineStr">
        <is>
          <t>Anthropic</t>
        </is>
      </c>
      <c r="B3771" s="3" t="n">
        <v>2029</v>
      </c>
      <c r="C3771" s="3" t="inlineStr">
        <is>
          <t>Grid-Constrained / Efficiency-Upside</t>
        </is>
      </c>
      <c r="D3771" s="3" t="inlineStr">
        <is>
          <t>tokens_per_second_per_mw</t>
        </is>
      </c>
      <c r="E3771" s="3" t="n">
        <v>94050</v>
      </c>
      <c r="F3771" s="3" t="inlineStr">
        <is>
          <t>generated output tokens/sec/MW</t>
        </is>
      </c>
      <c r="G3771" s="3" t="inlineStr">
        <is>
          <t>Derived estimate + benchmark calibration</t>
        </is>
      </c>
      <c r="H3771" s="3" t="inlineStr">
        <is>
          <t>fleet_reference_tps_per_mw * commercial_workload_fit_factor</t>
        </is>
      </c>
      <c r="I3771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71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71" s="3" t="inlineStr">
        <is>
          <t>ASSUMP_POWER_RAMP; ASSUMP_CLOSED_MODEL_BAND; ASSUMP_NUMERIC_ACCELERATOR_MIX; ASSUMP_INFERENCE_SHARE_NOT_FACT_60; ASSUMP_WORKLOAD_CLASS_MIX; ASSUMP_AGENTIC_CONTEXT_PENALTY</t>
        </is>
      </c>
      <c r="L3771" s="3" t="inlineStr">
        <is>
          <t>Comparable production output-token throughput with model, hardware, precision, ISL/OSL and SLO matched.</t>
        </is>
      </c>
    </row>
    <row r="3772">
      <c r="A3772" s="3" t="inlineStr">
        <is>
          <t>Anthropic</t>
        </is>
      </c>
      <c r="B3772" s="3" t="n">
        <v>2029</v>
      </c>
      <c r="C3772" s="3" t="inlineStr">
        <is>
          <t>Grid-Constrained / Efficiency-Upside</t>
        </is>
      </c>
      <c r="D3772" s="3" t="inlineStr">
        <is>
          <t>inference_tokens_per_day</t>
        </is>
      </c>
      <c r="E3772" s="3" t="n">
        <v>14179730400000</v>
      </c>
      <c r="F3772" s="3" t="inlineStr">
        <is>
          <t>generated output tokens/day</t>
        </is>
      </c>
      <c r="G3772" s="3" t="inlineStr">
        <is>
          <t>Derived headline metric</t>
        </is>
      </c>
      <c r="H3772" s="3" t="inlineStr">
        <is>
          <t>inference_gw * 1000 * tokens_per_second_per_mw * 86,400</t>
        </is>
      </c>
      <c r="I3772" s="3" t="inlineStr">
        <is>
          <t>Headline capacity uses no utilization, MoE, architecture or software-growth multiplier; it is not observed commercial output volume.</t>
        </is>
      </c>
      <c r="J3772" s="3" t="inlineStr">
        <is>
          <t>SRC_ANTHROPIC_CLAUDE_DOCS; SRC_ANTHROPIC_AMAZON_COMPUTE; SRC_AWS_RAINIER_ACTIVE; SRC_EPOCH_AI_DATA_CENTERS; SRC_SEMIANALYSIS_INFERENCEX</t>
        </is>
      </c>
      <c r="K3772" s="3" t="inlineStr">
        <is>
          <t>ASSUMP_POWER_RAMP; ASSUMP_CLOSED_MODEL_BAND; ASSUMP_NUMERIC_ACCELERATOR_MIX; ASSUMP_INFERENCE_SHARE_NOT_FACT_60; ASSUMP_WORKLOAD_CLASS_MIX; ASSUMP_AGENTIC_CONTEXT_PENALTY</t>
        </is>
      </c>
      <c r="L3772" s="3" t="inlineStr">
        <is>
          <t>Provider-disclosed generated output token volume or calibrated capacity telemetry.</t>
        </is>
      </c>
    </row>
    <row r="3773">
      <c r="A3773" s="3" t="inlineStr">
        <is>
          <t>Anthropic</t>
        </is>
      </c>
      <c r="B3773" s="3" t="n">
        <v>2029</v>
      </c>
      <c r="C3773" s="3" t="inlineStr">
        <is>
          <t>Grid-Constrained / Efficiency-Upside</t>
        </is>
      </c>
      <c r="D3773" s="3" t="inlineStr">
        <is>
          <t>inference_tokens_per_year</t>
        </is>
      </c>
      <c r="E3773" s="3" t="n">
        <v>5175601596000000</v>
      </c>
      <c r="F3773" s="3" t="inlineStr">
        <is>
          <t>generated output tokens/year</t>
        </is>
      </c>
      <c r="G3773" s="3" t="inlineStr">
        <is>
          <t>Derived headline metric</t>
        </is>
      </c>
      <c r="H3773" s="3" t="inlineStr">
        <is>
          <t>inference_tokens_per_day * 365</t>
        </is>
      </c>
      <c r="I3773" s="3" t="inlineStr">
        <is>
          <t>Annualized version of generated output token capacity; it is not observed annual demand or billable volume.</t>
        </is>
      </c>
      <c r="J3773" s="3" t="inlineStr">
        <is>
          <t>SRC_ANTHROPIC_CLAUDE_DOCS; SRC_ANTHROPIC_AMAZON_COMPUTE; SRC_AWS_RAINIER_ACTIVE; SRC_EPOCH_AI_DATA_CENTERS; SRC_SEMIANALYSIS_INFERENCEX</t>
        </is>
      </c>
      <c r="K3773" s="3" t="inlineStr">
        <is>
          <t>ASSUMP_POWER_RAMP; ASSUMP_CLOSED_MODEL_BAND; ASSUMP_NUMERIC_ACCELERATOR_MIX; ASSUMP_INFERENCE_SHARE_NOT_FACT_60; ASSUMP_WORKLOAD_CLASS_MIX; ASSUMP_AGENTIC_CONTEXT_PENALTY</t>
        </is>
      </c>
      <c r="L3773" s="3" t="inlineStr">
        <is>
          <t>Provider-disclosed annual generated-output volume or metered serving telemetry.</t>
        </is>
      </c>
    </row>
    <row r="3774">
      <c r="A3774" s="3" t="inlineStr">
        <is>
          <t>Anthropic</t>
        </is>
      </c>
      <c r="B3774" s="3" t="n">
        <v>2030</v>
      </c>
      <c r="C3774" s="3" t="inlineStr">
        <is>
          <t>Grid-Constrained / Efficiency-Upside</t>
        </is>
      </c>
      <c r="D3774" s="3" t="inlineStr">
        <is>
          <t>contracted_power_gw</t>
        </is>
      </c>
      <c r="E3774" s="3" t="n">
        <v>7</v>
      </c>
      <c r="F3774" s="3" t="inlineStr">
        <is>
          <t>GW</t>
        </is>
      </c>
      <c r="G3774" s="3" t="inlineStr">
        <is>
          <t>Fact anchor + scenario ceiling</t>
        </is>
      </c>
      <c r="H3774" s="3" t="inlineStr">
        <is>
          <t>linear interpolation between 2026 and 2030 company capacity endpoints</t>
        </is>
      </c>
      <c r="I3774" s="3" t="inlineStr">
        <is>
          <t>Hosted capacity envelope is anchored by Anthropic/AWS Project Rainier direction; it is attributed to Claude outputs, not AWS as a model owner.</t>
        </is>
      </c>
      <c r="J3774" s="3" t="inlineStr">
        <is>
          <t>SRC_ANTHROPIC_AMAZON_COMPUTE; SRC_AWS_RAINIER_ACTIVE; ASSUMP_POWER_RAMP</t>
        </is>
      </c>
      <c r="K3774" s="3" t="inlineStr">
        <is>
          <t>ASSUMP_POWER_RAMP; ASSUMP_CLOSED_MODEL_BAND; ASSUMP_NUMERIC_ACCELERATOR_MIX; ASSUMP_INFERENCE_SHARE_NOT_FACT_60; ASSUMP_WORKLOAD_CLASS_MIX; ASSUMP_AGENTIC_CONTEXT_PENALTY</t>
        </is>
      </c>
      <c r="L3774" s="3" t="inlineStr">
        <is>
          <t>Company/site-level committed MW/GW, interconnect and contract disclosure.</t>
        </is>
      </c>
    </row>
    <row r="3775">
      <c r="A3775" s="3" t="inlineStr">
        <is>
          <t>Anthropic</t>
        </is>
      </c>
      <c r="B3775" s="3" t="n">
        <v>2030</v>
      </c>
      <c r="C3775" s="3" t="inlineStr">
        <is>
          <t>Grid-Constrained / Efficiency-Upside</t>
        </is>
      </c>
      <c r="D3775" s="3" t="inlineStr">
        <is>
          <t>operational_deployment_share</t>
        </is>
      </c>
      <c r="E3775" s="3" t="n">
        <v>0.56571429</v>
      </c>
      <c r="F3775" s="3" t="inlineStr">
        <is>
          <t>share</t>
        </is>
      </c>
      <c r="G3775" s="3" t="inlineStr">
        <is>
          <t>Scenario conversion</t>
        </is>
      </c>
      <c r="H3775" s="3" t="inlineStr">
        <is>
          <t>active_power_gw / contracted_power_gw</t>
        </is>
      </c>
      <c r="I3775" s="3" t="inlineStr">
        <is>
          <t>This is the single explicit conversion from contracted/attributed capacity to operationally usable capacity.</t>
        </is>
      </c>
      <c r="J3775" s="3" t="inlineStr">
        <is>
          <t>SRC_ANTHROPIC_AMAZON_COMPUTE; SRC_AWS_RAINIER_ACTIVE; ASSUMP_POWER_RAMP</t>
        </is>
      </c>
      <c r="K3775" s="3" t="inlineStr">
        <is>
          <t>ASSUMP_POWER_RAMP; ASSUMP_CLOSED_MODEL_BAND; ASSUMP_NUMERIC_ACCELERATOR_MIX; ASSUMP_INFERENCE_SHARE_NOT_FACT_60; ASSUMP_WORKLOAD_CLASS_MIX; ASSUMP_AGENTIC_CONTEXT_PENALTY</t>
        </is>
      </c>
      <c r="L3775" s="3" t="inlineStr">
        <is>
          <t>Energized operational capacity divided by contracted/attributed capacity.</t>
        </is>
      </c>
    </row>
    <row r="3776">
      <c r="A3776" s="3" t="inlineStr">
        <is>
          <t>Anthropic</t>
        </is>
      </c>
      <c r="B3776" s="3" t="n">
        <v>2030</v>
      </c>
      <c r="C3776" s="3" t="inlineStr">
        <is>
          <t>Grid-Constrained / Efficiency-Upside</t>
        </is>
      </c>
      <c r="D3776" s="3" t="inlineStr">
        <is>
          <t>active_power_gw</t>
        </is>
      </c>
      <c r="E3776" s="3" t="n">
        <v>3.96</v>
      </c>
      <c r="F3776" s="3" t="inlineStr">
        <is>
          <t>GW</t>
        </is>
      </c>
      <c r="G3776" s="3" t="inlineStr">
        <is>
          <t>Derived scenario</t>
        </is>
      </c>
      <c r="H3776" s="3" t="inlineStr">
        <is>
          <t>contracted_power_gw * operational_deployment_share</t>
        </is>
      </c>
      <c r="I3776" s="3" t="inlineStr">
        <is>
          <t>Trainium cluster activation supports staged active ramp; Claude inference-versus-training use remains estimated.</t>
        </is>
      </c>
      <c r="J3776" s="3" t="inlineStr">
        <is>
          <t>SRC_ANTHROPIC_AMAZON_COMPUTE; SRC_AWS_RAINIER_ACTIVE; ASSUMP_POWER_RAMP</t>
        </is>
      </c>
      <c r="K3776" s="3" t="inlineStr">
        <is>
          <t>ASSUMP_POWER_RAMP; ASSUMP_CLOSED_MODEL_BAND; ASSUMP_NUMERIC_ACCELERATOR_MIX; ASSUMP_INFERENCE_SHARE_NOT_FACT_60; ASSUMP_WORKLOAD_CLASS_MIX; ASSUMP_AGENTIC_CONTEXT_PENALTY</t>
        </is>
      </c>
      <c r="L3776" s="3" t="inlineStr">
        <is>
          <t>Energization dates, accelerator deliveries and operational powered-rack telemetry.</t>
        </is>
      </c>
    </row>
    <row r="3777">
      <c r="A3777" s="3" t="inlineStr">
        <is>
          <t>Anthropic</t>
        </is>
      </c>
      <c r="B3777" s="3" t="n">
        <v>2030</v>
      </c>
      <c r="C3777" s="3" t="inlineStr">
        <is>
          <t>Grid-Constrained / Efficiency-Upside</t>
        </is>
      </c>
      <c r="D3777" s="3" t="inlineStr">
        <is>
          <t>pue</t>
        </is>
      </c>
      <c r="E3777" s="3" t="n">
        <v>1.18</v>
      </c>
      <c r="F3777" s="3" t="inlineStr">
        <is>
          <t>ratio</t>
        </is>
      </c>
      <c r="G3777" s="3" t="inlineStr">
        <is>
          <t>Scenario parameter</t>
        </is>
      </c>
      <c r="H3777" s="3" t="inlineStr">
        <is>
          <t>it_load_gw = active_power_gw / pue</t>
        </is>
      </c>
      <c r="I3777" s="3" t="inlineStr">
        <is>
          <t>No provider-wide site-level PUE is used as a disclosed fact; PUE represents facility-to-IT conversion within the scenario.</t>
        </is>
      </c>
      <c r="J3777" s="3" t="inlineStr">
        <is>
          <t>ASSUMP_POWER_RAMP</t>
        </is>
      </c>
      <c r="K3777" s="3" t="inlineStr">
        <is>
          <t>ASSUMP_POWER_RAMP; ASSUMP_CLOSED_MODEL_BAND; ASSUMP_NUMERIC_ACCELERATOR_MIX; ASSUMP_INFERENCE_SHARE_NOT_FACT_60; ASSUMP_WORKLOAD_CLASS_MIX; ASSUMP_AGENTIC_CONTEXT_PENALTY</t>
        </is>
      </c>
      <c r="L3777" s="3" t="inlineStr">
        <is>
          <t>Site-level measured PUE matched to attributed AI capacity.</t>
        </is>
      </c>
    </row>
    <row r="3778">
      <c r="A3778" s="3" t="inlineStr">
        <is>
          <t>Anthropic</t>
        </is>
      </c>
      <c r="B3778" s="3" t="n">
        <v>2030</v>
      </c>
      <c r="C3778" s="3" t="inlineStr">
        <is>
          <t>Grid-Constrained / Efficiency-Upside</t>
        </is>
      </c>
      <c r="D3778" s="3" t="inlineStr">
        <is>
          <t>it_load_gw</t>
        </is>
      </c>
      <c r="E3778" s="3" t="n">
        <v>3.356</v>
      </c>
      <c r="F3778" s="3" t="inlineStr">
        <is>
          <t>GW</t>
        </is>
      </c>
      <c r="G3778" s="3" t="inlineStr">
        <is>
          <t>Derived formula</t>
        </is>
      </c>
      <c r="H3778" s="3" t="inlineStr">
        <is>
          <t>active_power_gw / pue</t>
        </is>
      </c>
      <c r="I3778" s="3" t="inlineStr">
        <is>
          <t>Facility power is converted to IT-deliverable power before attributing AI workloads.</t>
        </is>
      </c>
      <c r="J3778" s="3" t="inlineStr">
        <is>
          <t>SRC_ANTHROPIC_AMAZON_COMPUTE; SRC_AWS_RAINIER_ACTIVE; ASSUMP_POWER_RAMP</t>
        </is>
      </c>
      <c r="K3778" s="3" t="inlineStr">
        <is>
          <t>ASSUMP_POWER_RAMP; ASSUMP_CLOSED_MODEL_BAND; ASSUMP_NUMERIC_ACCELERATOR_MIX; ASSUMP_INFERENCE_SHARE_NOT_FACT_60; ASSUMP_WORKLOAD_CLASS_MIX; ASSUMP_AGENTIC_CONTEXT_PENALTY</t>
        </is>
      </c>
      <c r="L3778" s="3" t="inlineStr">
        <is>
          <t>Recompute once active power and PUE become site-observable.</t>
        </is>
      </c>
    </row>
    <row r="3779">
      <c r="A3779" s="3" t="inlineStr">
        <is>
          <t>Anthropic</t>
        </is>
      </c>
      <c r="B3779" s="3" t="n">
        <v>2030</v>
      </c>
      <c r="C3779" s="3" t="inlineStr">
        <is>
          <t>Grid-Constrained / Efficiency-Upside</t>
        </is>
      </c>
      <c r="D3779" s="3" t="inlineStr">
        <is>
          <t>ai_workload_share</t>
        </is>
      </c>
      <c r="E3779" s="3" t="n">
        <v>0.86</v>
      </c>
      <c r="F3779" s="3" t="inlineStr">
        <is>
          <t>share</t>
        </is>
      </c>
      <c r="G3779" s="3" t="inlineStr">
        <is>
          <t>Scenario allocation</t>
        </is>
      </c>
      <c r="H3779" s="3" t="inlineStr">
        <is>
          <t>ai_it_load_gw = it_load_gw * ai_workload_share</t>
        </is>
      </c>
      <c r="I3779" s="3" t="inlineStr">
        <is>
          <t>Anthropic-directed hosted capacity is predominantly AI; 86% excludes platform, reserve and non-serving allocation.</t>
        </is>
      </c>
      <c r="J3779" s="3" t="inlineStr">
        <is>
          <t>SRC_ANTHROPIC_CLAUDE_DOCS; SRC_ANTHROPIC_AMAZON_COMPUTE; SRC_AWS_RAINIER_ACTIVE; SRC_EPOCH_AI_DATA_CENTERS</t>
        </is>
      </c>
      <c r="K3779" s="3" t="inlineStr">
        <is>
          <t>ASSUMP_POWER_RAMP; ASSUMP_CLOSED_MODEL_BAND; ASSUMP_NUMERIC_ACCELERATOR_MIX; ASSUMP_INFERENCE_SHARE_NOT_FACT_60; ASSUMP_WORKLOAD_CLASS_MIX; ASSUMP_AGENTIC_CONTEXT_PENALTY</t>
        </is>
      </c>
      <c r="L3779" s="3" t="inlineStr">
        <is>
          <t>Model-owner AI workload allocation or cluster scheduling telemetry.</t>
        </is>
      </c>
    </row>
    <row r="3780">
      <c r="A3780" s="3" t="inlineStr">
        <is>
          <t>Anthropic</t>
        </is>
      </c>
      <c r="B3780" s="3" t="n">
        <v>2030</v>
      </c>
      <c r="C3780" s="3" t="inlineStr">
        <is>
          <t>Grid-Constrained / Efficiency-Upside</t>
        </is>
      </c>
      <c r="D3780" s="3" t="inlineStr">
        <is>
          <t>ai_it_load_gw</t>
        </is>
      </c>
      <c r="E3780" s="3" t="n">
        <v>2.886</v>
      </c>
      <c r="F3780" s="3" t="inlineStr">
        <is>
          <t>GW</t>
        </is>
      </c>
      <c r="G3780" s="3" t="inlineStr">
        <is>
          <t>Derived formula</t>
        </is>
      </c>
      <c r="H3780" s="3" t="inlineStr">
        <is>
          <t>it_load_gw * ai_workload_share</t>
        </is>
      </c>
      <c r="I3780" s="3" t="inlineStr">
        <is>
          <t>Only the AI-attributed portion of IT load enters training/inference allocation.</t>
        </is>
      </c>
      <c r="J3780" s="3" t="inlineStr">
        <is>
          <t>SRC_ANTHROPIC_CLAUDE_DOCS; SRC_ANTHROPIC_AMAZON_COMPUTE; SRC_AWS_RAINIER_ACTIVE; SRC_EPOCH_AI_DATA_CENTERS</t>
        </is>
      </c>
      <c r="K3780" s="3" t="inlineStr">
        <is>
          <t>ASSUMP_POWER_RAMP; ASSUMP_CLOSED_MODEL_BAND; ASSUMP_NUMERIC_ACCELERATOR_MIX; ASSUMP_INFERENCE_SHARE_NOT_FACT_60; ASSUMP_WORKLOAD_CLASS_MIX; ASSUMP_AGENTIC_CONTEXT_PENALTY</t>
        </is>
      </c>
      <c r="L3780" s="3" t="inlineStr">
        <is>
          <t>Recompute after ai_workload_share is replaced by telemetry.</t>
        </is>
      </c>
    </row>
    <row r="3781">
      <c r="A3781" s="3" t="inlineStr">
        <is>
          <t>Anthropic</t>
        </is>
      </c>
      <c r="B3781" s="3" t="n">
        <v>2030</v>
      </c>
      <c r="C3781" s="3" t="inlineStr">
        <is>
          <t>Grid-Constrained / Efficiency-Upside</t>
        </is>
      </c>
      <c r="D3781" s="3" t="inlineStr">
        <is>
          <t>gpu_share</t>
        </is>
      </c>
      <c r="E3781" s="3" t="n">
        <v>0.178448</v>
      </c>
      <c r="F3781" s="3" t="inlineStr">
        <is>
          <t>share of inference-serving accelerator load</t>
        </is>
      </c>
      <c r="G3781" s="3" t="inlineStr">
        <is>
          <t>Numeric scenario</t>
        </is>
      </c>
      <c r="H3781" s="3" t="inlineStr">
        <is>
          <t>gpu_share interpolated from company 2026/2030 accelerator-mix endpoints</t>
        </is>
      </c>
      <c r="I3781" s="3" t="inlineStr">
        <is>
          <t>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81" s="3" t="inlineStr">
        <is>
          <t>SRC_ANTHROPIC_CLAUDE_DOCS; SRC_ANTHROPIC_AMAZON_COMPUTE; SRC_AWS_RAINIER_ACTIVE; SRC_EPOCH_AI_DATA_CENTERS; ASSUMP_NUMERIC_ACCELERATOR_MIX</t>
        </is>
      </c>
      <c r="K3781" s="3" t="inlineStr">
        <is>
          <t>ASSUMP_POWER_RAMP; ASSUMP_CLOSED_MODEL_BAND; ASSUMP_NUMERIC_ACCELERATOR_MIX; ASSUMP_INFERENCE_SHARE_NOT_FACT_60; ASSUMP_WORKLOAD_CLASS_MIX; ASSUMP_AGENTIC_CONTEXT_PENALTY</t>
        </is>
      </c>
      <c r="L3781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82">
      <c r="A3782" s="3" t="inlineStr">
        <is>
          <t>Anthropic</t>
        </is>
      </c>
      <c r="B3782" s="3" t="n">
        <v>2030</v>
      </c>
      <c r="C3782" s="3" t="inlineStr">
        <is>
          <t>Grid-Constrained / Efficiency-Upside</t>
        </is>
      </c>
      <c r="D3782" s="3" t="inlineStr">
        <is>
          <t>h200_share</t>
        </is>
      </c>
      <c r="E3782" s="3" t="n">
        <v>0.06841700000000001</v>
      </c>
      <c r="F3782" s="3" t="inlineStr">
        <is>
          <t>share of inference-serving accelerator load</t>
        </is>
      </c>
      <c r="G3782" s="3" t="inlineStr">
        <is>
          <t>Editable numeric scenario</t>
        </is>
      </c>
      <c r="H3782" s="3" t="inlineStr">
        <is>
          <t>h200_share = gpu_share * default_gpu_generation_mix_h200</t>
        </is>
      </c>
      <c r="I3782" s="3" t="inlineStr">
        <is>
          <t>Default GPU-generation migration assumption; executive workbook allows later manual replacement by company/year/scenario.</t>
        </is>
      </c>
      <c r="J3782" s="3" t="inlineStr">
        <is>
          <t>SRC_SEMIANALYSIS_INFERENCEX; ASSUMP_NUMERIC_ACCELERATOR_MIX</t>
        </is>
      </c>
      <c r="K3782" s="3" t="inlineStr">
        <is>
          <t>ASSUMP_POWER_RAMP; ASSUMP_CLOSED_MODEL_BAND; ASSUMP_NUMERIC_ACCELERATOR_MIX; ASSUMP_INFERENCE_SHARE_NOT_FACT_60; ASSUMP_WORKLOAD_CLASS_MIX; ASSUMP_AGENTIC_CONTEXT_PENALTY</t>
        </is>
      </c>
      <c r="L3782" s="3" t="inlineStr">
        <is>
          <t>Company fleet inventory, accelerator-hours or procurement/deployment records by GPU generation.</t>
        </is>
      </c>
    </row>
    <row r="3783">
      <c r="A3783" s="3" t="inlineStr">
        <is>
          <t>Anthropic</t>
        </is>
      </c>
      <c r="B3783" s="3" t="n">
        <v>2030</v>
      </c>
      <c r="C3783" s="3" t="inlineStr">
        <is>
          <t>Grid-Constrained / Efficiency-Upside</t>
        </is>
      </c>
      <c r="D3783" s="3" t="inlineStr">
        <is>
          <t>b200_share</t>
        </is>
      </c>
      <c r="E3783" s="3" t="n">
        <v>0.110031</v>
      </c>
      <c r="F3783" s="3" t="inlineStr">
        <is>
          <t>share of inference-serving accelerator load</t>
        </is>
      </c>
      <c r="G3783" s="3" t="inlineStr">
        <is>
          <t>Editable numeric scenario</t>
        </is>
      </c>
      <c r="H3783" s="3" t="inlineStr">
        <is>
          <t>b200_share = gpu_share * default_gpu_generation_mix_b200</t>
        </is>
      </c>
      <c r="I3783" s="3" t="inlineStr">
        <is>
          <t>Default GPU-generation migration assumption; executive workbook allows later manual replacement by company/year/scenario.</t>
        </is>
      </c>
      <c r="J3783" s="3" t="inlineStr">
        <is>
          <t>SRC_SEMIANALYSIS_INFERENCEX; ASSUMP_NUMERIC_ACCELERATOR_MIX</t>
        </is>
      </c>
      <c r="K3783" s="3" t="inlineStr">
        <is>
          <t>ASSUMP_POWER_RAMP; ASSUMP_CLOSED_MODEL_BAND; ASSUMP_NUMERIC_ACCELERATOR_MIX; ASSUMP_INFERENCE_SHARE_NOT_FACT_60; ASSUMP_WORKLOAD_CLASS_MIX; ASSUMP_AGENTIC_CONTEXT_PENALTY</t>
        </is>
      </c>
      <c r="L3783" s="3" t="inlineStr">
        <is>
          <t>Company fleet inventory, accelerator-hours or procurement/deployment records by GPU generation.</t>
        </is>
      </c>
    </row>
    <row r="3784">
      <c r="A3784" s="3" t="inlineStr">
        <is>
          <t>Anthropic</t>
        </is>
      </c>
      <c r="B3784" s="3" t="n">
        <v>2030</v>
      </c>
      <c r="C3784" s="3" t="inlineStr">
        <is>
          <t>Grid-Constrained / Efficiency-Upside</t>
        </is>
      </c>
      <c r="D3784" s="3" t="inlineStr">
        <is>
          <t>gb200_share</t>
        </is>
      </c>
      <c r="E3784" s="3" t="n">
        <v>0</v>
      </c>
      <c r="F3784" s="3" t="inlineStr">
        <is>
          <t>share of inference-serving accelerator load</t>
        </is>
      </c>
      <c r="G3784" s="3" t="inlineStr">
        <is>
          <t>Editable numeric scenario</t>
        </is>
      </c>
      <c r="H3784" s="3" t="inlineStr">
        <is>
          <t>gb200_share = gpu_share * default_gpu_generation_mix_gb200</t>
        </is>
      </c>
      <c r="I3784" s="3" t="inlineStr">
        <is>
          <t>Default GPU-generation migration assumption; executive workbook allows later manual replacement by company/year/scenario.</t>
        </is>
      </c>
      <c r="J3784" s="3" t="inlineStr">
        <is>
          <t>SRC_SEMIANALYSIS_INFERENCEX; ASSUMP_NUMERIC_ACCELERATOR_MIX</t>
        </is>
      </c>
      <c r="K3784" s="3" t="inlineStr">
        <is>
          <t>ASSUMP_POWER_RAMP; ASSUMP_CLOSED_MODEL_BAND; ASSUMP_NUMERIC_ACCELERATOR_MIX; ASSUMP_INFERENCE_SHARE_NOT_FACT_60; ASSUMP_WORKLOAD_CLASS_MIX; ASSUMP_AGENTIC_CONTEXT_PENALTY</t>
        </is>
      </c>
      <c r="L3784" s="3" t="inlineStr">
        <is>
          <t>Company fleet inventory, accelerator-hours or procurement/deployment records by GPU generation.</t>
        </is>
      </c>
    </row>
    <row r="3785">
      <c r="A3785" s="3" t="inlineStr">
        <is>
          <t>Anthropic</t>
        </is>
      </c>
      <c r="B3785" s="3" t="n">
        <v>2030</v>
      </c>
      <c r="C3785" s="3" t="inlineStr">
        <is>
          <t>Grid-Constrained / Efficiency-Upside</t>
        </is>
      </c>
      <c r="D3785" s="3" t="inlineStr">
        <is>
          <t>purpose_built_accelerator_share</t>
        </is>
      </c>
      <c r="E3785" s="3" t="n">
        <v>0.8215519999999999</v>
      </c>
      <c r="F3785" s="3" t="inlineStr">
        <is>
          <t>share of inference-serving accelerator load</t>
        </is>
      </c>
      <c r="G3785" s="3" t="inlineStr">
        <is>
          <t>Numeric scenario</t>
        </is>
      </c>
      <c r="H3785" s="3" t="inlineStr">
        <is>
          <t>1 - gpu_share</t>
        </is>
      </c>
      <c r="I3785" s="3" t="inlineStr">
        <is>
          <t>Purpose-built bucket: AWS Trainium / hosted purpose-built accelerators. Derived by capacity-weighting 02a_DC_Capacity_Alloc rows against 02b_DC_Accelerator_Mix rows, using inference-weighted capacity only. Project Rainier establishes large Anthropic-directed Trainium capacity. Exact Claude inference allocation across Trainium, TPU and GPU is undisclosed.</t>
        </is>
      </c>
      <c r="J3785" s="3" t="inlineStr">
        <is>
          <t>SRC_ANTHROPIC_CLAUDE_DOCS; SRC_ANTHROPIC_AMAZON_COMPUTE; SRC_AWS_RAINIER_ACTIVE; SRC_EPOCH_AI_DATA_CENTERS; ASSUMP_NUMERIC_ACCELERATOR_MIX</t>
        </is>
      </c>
      <c r="K3785" s="3" t="inlineStr">
        <is>
          <t>ASSUMP_POWER_RAMP; ASSUMP_CLOSED_MODEL_BAND; ASSUMP_NUMERIC_ACCELERATOR_MIX; ASSUMP_INFERENCE_SHARE_NOT_FACT_60; ASSUMP_WORKLOAD_CLASS_MIX; ASSUMP_AGENTIC_CONTEXT_PENALTY</t>
        </is>
      </c>
      <c r="L3785" s="3" t="inlineStr">
        <is>
          <t>Replace 02a datacenter capacity allocations and 02b datacenter accelerator mix with contract/procurement telemetry. Anthropic/AWS production inference hardware allocation and Claude tokens/MW measurement.</t>
        </is>
      </c>
    </row>
    <row r="3786">
      <c r="A3786" s="3" t="inlineStr">
        <is>
          <t>Anthropic</t>
        </is>
      </c>
      <c r="B3786" s="3" t="n">
        <v>2030</v>
      </c>
      <c r="C3786" s="3" t="inlineStr">
        <is>
          <t>Grid-Constrained / Efficiency-Upside</t>
        </is>
      </c>
      <c r="D3786" s="3" t="inlineStr">
        <is>
          <t>fleet_reference_tps_per_mw</t>
        </is>
      </c>
      <c r="E3786" s="3" t="n">
        <v>188100</v>
      </c>
      <c r="F3786" s="3" t="inlineStr">
        <is>
          <t>generated output tokens/sec/MW</t>
        </is>
      </c>
      <c r="G3786" s="3" t="inlineStr">
        <is>
          <t>Fleet-weighted public benchmark reference</t>
        </is>
      </c>
      <c r="H3786" s="3" t="inlineStr">
        <is>
          <t>h200_share*h200_workload_avg + b200_share*b200_workload_avg + gb200_share*gb200_workload_avg + purpose_built_share*purpose_workload_avg</t>
        </is>
      </c>
      <c r="I3786" s="3" t="inlineStr">
        <is>
          <t>Selected InferenceX proxy model: frontier_composite. Each GPU-generation reference first averages short_chat, long_chat and agentic TPS/MW using company workload mix; purpose-built remains a documented B200 placeholder.</t>
        </is>
      </c>
      <c r="J3786" s="3" t="inlineStr">
        <is>
          <t>SRC_SEMIANALYSIS_INFERENCEX; ASSUMP_NUMERIC_ACCELERATOR_MIX; ASSUMP_WORKLOAD_CLASS_MIX; ASSUMP_AGENTIC_CONTEXT_PENALTY</t>
        </is>
      </c>
      <c r="K3786" s="3" t="inlineStr">
        <is>
          <t>ASSUMP_POWER_RAMP; ASSUMP_CLOSED_MODEL_BAND; ASSUMP_NUMERIC_ACCELERATOR_MIX; ASSUMP_INFERENCE_SHARE_NOT_FACT_60; ASSUMP_WORKLOAD_CLASS_MIX; ASSUMP_AGENTIC_CONTEXT_PENALTY</t>
        </is>
      </c>
      <c r="L3786" s="3" t="inlineStr">
        <is>
          <t>Comparable production output-token throughput or a more closely matched benchmark.</t>
        </is>
      </c>
    </row>
    <row r="3787">
      <c r="A3787" s="3" t="inlineStr">
        <is>
          <t>Anthropic</t>
        </is>
      </c>
      <c r="B3787" s="3" t="n">
        <v>2030</v>
      </c>
      <c r="C3787" s="3" t="inlineStr">
        <is>
          <t>Grid-Constrained / Efficiency-Upside</t>
        </is>
      </c>
      <c r="D3787" s="3" t="inlineStr">
        <is>
          <t>commercial_workload_fit_factor</t>
        </is>
      </c>
      <c r="E3787" s="3" t="n">
        <v>0.5</v>
      </c>
      <c r="F3787" s="3" t="inlineStr">
        <is>
          <t>share of public reference throughput</t>
        </is>
      </c>
      <c r="G3787" s="3" t="inlineStr">
        <is>
          <t>Scenario assumption</t>
        </is>
      </c>
      <c r="H3787" s="3" t="inlineStr">
        <is>
          <t>reference_serving_tps_per_mw = fleet_reference_tps_per_mw * commercial_workload_fit_factor</t>
        </is>
      </c>
      <c r="I3787" s="3" t="inlineStr">
        <is>
          <t>Commercial workload class: Claude coding, agent and long-context enterprise. Company mix uses short_chat=30%, long_chat=30%, agentic=40%; closed-model, reasoning, long-context and SLO mismatch stays explicit.</t>
        </is>
      </c>
      <c r="J3787" s="3" t="inlineStr">
        <is>
          <t>SRC_SEMIANALYSIS_INFERENCEX; ASSUMP_NUMERIC_ACCELERATOR_MIX; ASSUMP_WORKLOAD_CLASS_MIX; ASSUMP_AGENTIC_CONTEXT_PENALTY</t>
        </is>
      </c>
      <c r="K3787" s="3" t="inlineStr">
        <is>
          <t>ASSUMP_POWER_RAMP; ASSUMP_CLOSED_MODEL_BAND; ASSUMP_NUMERIC_ACCELERATOR_MIX; ASSUMP_INFERENCE_SHARE_NOT_FACT_60; ASSUMP_WORKLOAD_CLASS_MIX; ASSUMP_AGENTIC_CONTEXT_PENALTY</t>
        </is>
      </c>
      <c r="L3787" s="3" t="inlineStr">
        <is>
          <t>Matched commercial serving benchmark by product surface, context shape and latency SLO.</t>
        </is>
      </c>
    </row>
    <row r="3788">
      <c r="A3788" s="3" t="inlineStr">
        <is>
          <t>Anthropic</t>
        </is>
      </c>
      <c r="B3788" s="3" t="n">
        <v>2030</v>
      </c>
      <c r="C3788" s="3" t="inlineStr">
        <is>
          <t>Grid-Constrained / Efficiency-Upside</t>
        </is>
      </c>
      <c r="D3788" s="3" t="inlineStr">
        <is>
          <t>reference_serving_tps_per_mw</t>
        </is>
      </c>
      <c r="E3788" s="3" t="n">
        <v>94050</v>
      </c>
      <c r="F3788" s="3" t="inlineStr">
        <is>
          <t>generated output tokens/sec/MW</t>
        </is>
      </c>
      <c r="G3788" s="3" t="inlineStr">
        <is>
          <t>Workload-adjusted benchmark proxy</t>
        </is>
      </c>
      <c r="H3788" s="3" t="inlineStr">
        <is>
          <t>fleet_reference_tps_per_mw * commercial_workload_fit_factor</t>
        </is>
      </c>
      <c r="I3788" s="3" t="inlineStr">
        <is>
          <t>This is the coefficient used for headline token generation; each GPU's short chat, long chat and agentic TPS/MW are weighted before fleet mix and commercial fit are applied.</t>
        </is>
      </c>
      <c r="J3788" s="3" t="inlineStr">
        <is>
          <t>SRC_SEMIANALYSIS_INFERENCEX; ASSUMP_NUMERIC_ACCELERATOR_MIX; ASSUMP_WORKLOAD_CLASS_MIX; ASSUMP_AGENTIC_CONTEXT_PENALTY</t>
        </is>
      </c>
      <c r="K3788" s="3" t="inlineStr">
        <is>
          <t>ASSUMP_POWER_RAMP; ASSUMP_CLOSED_MODEL_BAND; ASSUMP_NUMERIC_ACCELERATOR_MIX; ASSUMP_INFERENCE_SHARE_NOT_FACT_60; ASSUMP_WORKLOAD_CLASS_MIX; ASSUMP_AGENTIC_CONTEXT_PENALTY</t>
        </is>
      </c>
      <c r="L3788" s="3" t="inlineStr">
        <is>
          <t>Provider production output-token throughput with comparable workload/SLO.</t>
        </is>
      </c>
    </row>
    <row r="3789">
      <c r="A3789" s="3" t="inlineStr">
        <is>
          <t>Anthropic</t>
        </is>
      </c>
      <c r="B3789" s="3" t="n">
        <v>2030</v>
      </c>
      <c r="C3789" s="3" t="inlineStr">
        <is>
          <t>Grid-Constrained / Efficiency-Upside</t>
        </is>
      </c>
      <c r="D3789" s="3" t="inlineStr">
        <is>
          <t>purpose_built_tps_per_mw</t>
        </is>
      </c>
      <c r="E3789" s="3" t="n">
        <v>67653</v>
      </c>
      <c r="F3789" s="3" t="inlineStr">
        <is>
          <t>generated output tokens/sec/MW</t>
        </is>
      </c>
      <c r="G3789" s="3" t="inlineStr">
        <is>
          <t>Conservative no-uplift proxy</t>
        </is>
      </c>
      <c r="H3789" s="3" t="inlineStr">
        <is>
          <t>purpose_built_tps_per_mw = purpose_built_reference_tps_per_mw * commercial_workload_fit_factor until comparable output-token benchmark is adopted</t>
        </is>
      </c>
      <c r="I3789" s="3" t="inlineStr">
        <is>
          <t>No comparable public output-token/MW row adopted; B200 public reference placeholder is used and remains editable.</t>
        </is>
      </c>
      <c r="J3789" s="3" t="inlineStr">
        <is>
          <t>SRC_ANTHROPIC_CLAUDE_DOCS; SRC_ANTHROPIC_AMAZON_COMPUTE; SRC_AWS_RAINIER_ACTIVE; SRC_EPOCH_AI_DATA_CENTERS; ASSUMP_NUMERIC_ACCELERATOR_MIX</t>
        </is>
      </c>
      <c r="K3789" s="3" t="inlineStr">
        <is>
          <t>ASSUMP_POWER_RAMP; ASSUMP_CLOSED_MODEL_BAND; ASSUMP_NUMERIC_ACCELERATOR_MIX; ASSUMP_INFERENCE_SHARE_NOT_FACT_60; ASSUMP_WORKLOAD_CLASS_MIX; ASSUMP_AGENTIC_CONTEXT_PENALTY</t>
        </is>
      </c>
      <c r="L3789" s="3" t="inlineStr">
        <is>
          <t>Matched-workload generated-output benchmark for the provider purpose-built accelerator.</t>
        </is>
      </c>
    </row>
    <row r="3790">
      <c r="A3790" s="3" t="inlineStr">
        <is>
          <t>Anthropic</t>
        </is>
      </c>
      <c r="B3790" s="3" t="n">
        <v>2030</v>
      </c>
      <c r="C3790" s="3" t="inlineStr">
        <is>
          <t>Grid-Constrained / Efficiency-Upside</t>
        </is>
      </c>
      <c r="D3790" s="3" t="inlineStr">
        <is>
          <t>inference_power_share</t>
        </is>
      </c>
      <c r="E3790" s="3" t="n">
        <v>0.78</v>
      </c>
      <c r="F3790" s="3" t="inlineStr">
        <is>
          <t>share of AI IT load</t>
        </is>
      </c>
      <c r="G3790" s="3" t="inlineStr">
        <is>
          <t>Scenario allocation</t>
        </is>
      </c>
      <c r="H3790" s="3" t="inlineStr">
        <is>
          <t>inference_gw = ai_it_load_gw * inference_power_share</t>
        </is>
      </c>
      <c r="I3790" s="3" t="inlineStr">
        <is>
          <t>Claude API/product growth supports a rising inference share, while continued model training prevents full conversion.</t>
        </is>
      </c>
      <c r="J3790" s="3" t="inlineStr">
        <is>
          <t>SRC_ANTHROPIC_CLAUDE_DOCS; SRC_ANTHROPIC_AMAZON_COMPUTE; SRC_AWS_RAINIER_ACTIVE; SRC_EPOCH_AI_DATA_CENTERS; ASSUMP_INFERENCE_SHARE_NOT_FACT_60</t>
        </is>
      </c>
      <c r="K3790" s="3" t="inlineStr">
        <is>
          <t>ASSUMP_POWER_RAMP; ASSUMP_CLOSED_MODEL_BAND; ASSUMP_NUMERIC_ACCELERATOR_MIX; ASSUMP_INFERENCE_SHARE_NOT_FACT_60; ASSUMP_WORKLOAD_CLASS_MIX; ASSUMP_AGENTIC_CONTEXT_PENALTY</t>
        </is>
      </c>
      <c r="L3790" s="3" t="inlineStr">
        <is>
          <t>Provider-specific inference/training workload power telemetry.</t>
        </is>
      </c>
    </row>
    <row r="3791">
      <c r="A3791" s="3" t="inlineStr">
        <is>
          <t>Anthropic</t>
        </is>
      </c>
      <c r="B3791" s="3" t="n">
        <v>2030</v>
      </c>
      <c r="C3791" s="3" t="inlineStr">
        <is>
          <t>Grid-Constrained / Efficiency-Upside</t>
        </is>
      </c>
      <c r="D3791" s="3" t="inlineStr">
        <is>
          <t>inference_gw</t>
        </is>
      </c>
      <c r="E3791" s="3" t="n">
        <v>2.251</v>
      </c>
      <c r="F3791" s="3" t="inlineStr">
        <is>
          <t>GW</t>
        </is>
      </c>
      <c r="G3791" s="3" t="inlineStr">
        <is>
          <t>Derived formula</t>
        </is>
      </c>
      <c r="H3791" s="3" t="inlineStr">
        <is>
          <t>ai_it_load_gw * inference_power_share</t>
        </is>
      </c>
      <c r="I3791" s="3" t="inlineStr">
        <is>
          <t>This is the operational power eligible to become commercial generated output tokens through the selected TPS/MW proxy.</t>
        </is>
      </c>
      <c r="J3791" s="3" t="inlineStr">
        <is>
          <t>SRC_ANTHROPIC_CLAUDE_DOCS; SRC_ANTHROPIC_AMAZON_COMPUTE; SRC_AWS_RAINIER_ACTIVE; SRC_EPOCH_AI_DATA_CENTERS</t>
        </is>
      </c>
      <c r="K3791" s="3" t="inlineStr">
        <is>
          <t>ASSUMP_POWER_RAMP; ASSUMP_CLOSED_MODEL_BAND; ASSUMP_NUMERIC_ACCELERATOR_MIX; ASSUMP_INFERENCE_SHARE_NOT_FACT_60; ASSUMP_WORKLOAD_CLASS_MIX; ASSUMP_AGENTIC_CONTEXT_PENALTY</t>
        </is>
      </c>
      <c r="L3791" s="3" t="inlineStr">
        <is>
          <t>Recompute after AI allocation or inference-share evidence changes.</t>
        </is>
      </c>
    </row>
    <row r="3792">
      <c r="A3792" s="3" t="inlineStr">
        <is>
          <t>Anthropic</t>
        </is>
      </c>
      <c r="B3792" s="3" t="n">
        <v>2030</v>
      </c>
      <c r="C3792" s="3" t="inlineStr">
        <is>
          <t>Grid-Constrained / Efficiency-Upside</t>
        </is>
      </c>
      <c r="D3792" s="3" t="inlineStr">
        <is>
          <t>training_power_share</t>
        </is>
      </c>
      <c r="E3792" s="3" t="n">
        <v>0.22</v>
      </c>
      <c r="F3792" s="3" t="inlineStr">
        <is>
          <t>share of AI IT load</t>
        </is>
      </c>
      <c r="G3792" s="3" t="inlineStr">
        <is>
          <t>Derived allocation</t>
        </is>
      </c>
      <c r="H3792" s="3" t="inlineStr">
        <is>
          <t>1 - inference_power_share</t>
        </is>
      </c>
      <c r="I3792" s="3" t="inlineStr">
        <is>
          <t>Training receives the complementary modeled AI IT allocation; it is not a disclosed company workload split.</t>
        </is>
      </c>
      <c r="J3792" s="3" t="inlineStr">
        <is>
          <t>SRC_ANTHROPIC_CLAUDE_DOCS; SRC_ANTHROPIC_AMAZON_COMPUTE; SRC_AWS_RAINIER_ACTIVE; SRC_EPOCH_AI_DATA_CENTERS; ASSUMP_INFERENCE_SHARE_NOT_FACT_60</t>
        </is>
      </c>
      <c r="K3792" s="3" t="inlineStr">
        <is>
          <t>ASSUMP_POWER_RAMP; ASSUMP_CLOSED_MODEL_BAND; ASSUMP_NUMERIC_ACCELERATOR_MIX; ASSUMP_INFERENCE_SHARE_NOT_FACT_60; ASSUMP_WORKLOAD_CLASS_MIX; ASSUMP_AGENTIC_CONTEXT_PENALTY</t>
        </is>
      </c>
      <c r="L3792" s="3" t="inlineStr">
        <is>
          <t>Provider-specific inference/training workload power telemetry.</t>
        </is>
      </c>
    </row>
    <row r="3793">
      <c r="A3793" s="3" t="inlineStr">
        <is>
          <t>Anthropic</t>
        </is>
      </c>
      <c r="B3793" s="3" t="n">
        <v>2030</v>
      </c>
      <c r="C3793" s="3" t="inlineStr">
        <is>
          <t>Grid-Constrained / Efficiency-Upside</t>
        </is>
      </c>
      <c r="D3793" s="3" t="inlineStr">
        <is>
          <t>training_gw</t>
        </is>
      </c>
      <c r="E3793" s="3" t="n">
        <v>0.635</v>
      </c>
      <c r="F3793" s="3" t="inlineStr">
        <is>
          <t>GW</t>
        </is>
      </c>
      <c r="G3793" s="3" t="inlineStr">
        <is>
          <t>Derived formula</t>
        </is>
      </c>
      <c r="H3793" s="3" t="inlineStr">
        <is>
          <t>ai_it_load_gw * training_power_share</t>
        </is>
      </c>
      <c r="I3793" s="3" t="inlineStr">
        <is>
          <t>Training GW is shown separately so commercial inference token capacity is not overstated.</t>
        </is>
      </c>
      <c r="J3793" s="3" t="inlineStr">
        <is>
          <t>SRC_ANTHROPIC_CLAUDE_DOCS; SRC_ANTHROPIC_AMAZON_COMPUTE; SRC_AWS_RAINIER_ACTIVE; SRC_EPOCH_AI_DATA_CENTERS</t>
        </is>
      </c>
      <c r="K3793" s="3" t="inlineStr">
        <is>
          <t>ASSUMP_POWER_RAMP; ASSUMP_CLOSED_MODEL_BAND; ASSUMP_NUMERIC_ACCELERATOR_MIX; ASSUMP_INFERENCE_SHARE_NOT_FACT_60; ASSUMP_WORKLOAD_CLASS_MIX; ASSUMP_AGENTIC_CONTEXT_PENALTY</t>
        </is>
      </c>
      <c r="L3793" s="3" t="inlineStr">
        <is>
          <t>Recompute after AI allocation or workload-split evidence changes.</t>
        </is>
      </c>
    </row>
    <row r="3794">
      <c r="A3794" s="3" t="inlineStr">
        <is>
          <t>Anthropic</t>
        </is>
      </c>
      <c r="B3794" s="3" t="n">
        <v>2030</v>
      </c>
      <c r="C3794" s="3" t="inlineStr">
        <is>
          <t>Grid-Constrained / Efficiency-Upside</t>
        </is>
      </c>
      <c r="D3794" s="3" t="inlineStr">
        <is>
          <t>tokens_per_second_per_mw</t>
        </is>
      </c>
      <c r="E3794" s="3" t="n">
        <v>94050</v>
      </c>
      <c r="F3794" s="3" t="inlineStr">
        <is>
          <t>generated output tokens/sec/MW</t>
        </is>
      </c>
      <c r="G3794" s="3" t="inlineStr">
        <is>
          <t>Derived estimate + benchmark calibration</t>
        </is>
      </c>
      <c r="H3794" s="3" t="inlineStr">
        <is>
          <t>fleet_reference_tps_per_mw * commercial_workload_fit_factor</t>
        </is>
      </c>
      <c r="I3794" s="3" t="inlineStr">
        <is>
          <t>Hybrid frontier InferenceX proxy using gptoss120b for H200 and DeepSeek V4 Pro/Kimi K2.5 for B200/GB200 output-token rows. Trainium presence is shown, but no unmatched efficiency premium is applied. Workload reference is now split into short_chat, long_chat and agentic classes. Company mix: short 30%, long 30%, agentic 40%. Commercial workload fit factor: Claude usage is materially coding/agent/long-context oriented; the hybrid frontier composite uses gptoss120b on H200 and DeepSeek V4 Pro/Kimi K2.5 on B200/GB200 because comparable Claude production serving rows are not public. Claude Enterprise guidance explicitly says Claude Code and Cowork are significantly more token-intensive than chat; Claude Code usage evidence supports the highest agentic mix.</t>
        </is>
      </c>
      <c r="J3794" s="3" t="inlineStr">
        <is>
          <t>SRC_ANTHROPIC_CLAUDE_DOCS; SRC_ANTHROPIC_AMAZON_COMPUTE; SRC_AWS_RAINIER_ACTIVE; SRC_EPOCH_AI_DATA_CENTERS; SRC_SEMIANALYSIS_INFERENCEX; ASSUMP_NUMERIC_ACCELERATOR_MIX; ASSUMP_WORKLOAD_CLASS_MIX; ASSUMP_AGENTIC_CONTEXT_PENALTY</t>
        </is>
      </c>
      <c r="K3794" s="3" t="inlineStr">
        <is>
          <t>ASSUMP_POWER_RAMP; ASSUMP_CLOSED_MODEL_BAND; ASSUMP_NUMERIC_ACCELERATOR_MIX; ASSUMP_INFERENCE_SHARE_NOT_FACT_60; ASSUMP_WORKLOAD_CLASS_MIX; ASSUMP_AGENTIC_CONTEXT_PENALTY</t>
        </is>
      </c>
      <c r="L3794" s="3" t="inlineStr">
        <is>
          <t>Comparable production output-token throughput with model, hardware, precision, ISL/OSL and SLO matched.</t>
        </is>
      </c>
    </row>
    <row r="3795">
      <c r="A3795" s="3" t="inlineStr">
        <is>
          <t>Anthropic</t>
        </is>
      </c>
      <c r="B3795" s="3" t="n">
        <v>2030</v>
      </c>
      <c r="C3795" s="3" t="inlineStr">
        <is>
          <t>Grid-Constrained / Efficiency-Upside</t>
        </is>
      </c>
      <c r="D3795" s="3" t="inlineStr">
        <is>
          <t>inference_tokens_per_day</t>
        </is>
      </c>
      <c r="E3795" s="3" t="n">
        <v>18291445920000</v>
      </c>
      <c r="F3795" s="3" t="inlineStr">
        <is>
          <t>generated output tokens/day</t>
        </is>
      </c>
      <c r="G3795" s="3" t="inlineStr">
        <is>
          <t>Derived headline metric</t>
        </is>
      </c>
      <c r="H3795" s="3" t="inlineStr">
        <is>
          <t>inference_gw * 1000 * tokens_per_second_per_mw * 86,400</t>
        </is>
      </c>
      <c r="I3795" s="3" t="inlineStr">
        <is>
          <t>Headline capacity uses no utilization, MoE, architecture or software-growth multiplier; it is not observed commercial output volume.</t>
        </is>
      </c>
      <c r="J3795" s="3" t="inlineStr">
        <is>
          <t>SRC_ANTHROPIC_CLAUDE_DOCS; SRC_ANTHROPIC_AMAZON_COMPUTE; SRC_AWS_RAINIER_ACTIVE; SRC_EPOCH_AI_DATA_CENTERS; SRC_SEMIANALYSIS_INFERENCEX</t>
        </is>
      </c>
      <c r="K3795" s="3" t="inlineStr">
        <is>
          <t>ASSUMP_POWER_RAMP; ASSUMP_CLOSED_MODEL_BAND; ASSUMP_NUMERIC_ACCELERATOR_MIX; ASSUMP_INFERENCE_SHARE_NOT_FACT_60; ASSUMP_WORKLOAD_CLASS_MIX; ASSUMP_AGENTIC_CONTEXT_PENALTY</t>
        </is>
      </c>
      <c r="L3795" s="3" t="inlineStr">
        <is>
          <t>Provider-disclosed generated output token volume or calibrated capacity telemetry.</t>
        </is>
      </c>
    </row>
    <row r="3796">
      <c r="A3796" s="3" t="inlineStr">
        <is>
          <t>Anthropic</t>
        </is>
      </c>
      <c r="B3796" s="3" t="n">
        <v>2030</v>
      </c>
      <c r="C3796" s="3" t="inlineStr">
        <is>
          <t>Grid-Constrained / Efficiency-Upside</t>
        </is>
      </c>
      <c r="D3796" s="3" t="inlineStr">
        <is>
          <t>inference_tokens_per_year</t>
        </is>
      </c>
      <c r="E3796" s="3" t="n">
        <v>6676377760800000</v>
      </c>
      <c r="F3796" s="3" t="inlineStr">
        <is>
          <t>generated output tokens/year</t>
        </is>
      </c>
      <c r="G3796" s="3" t="inlineStr">
        <is>
          <t>Derived headline metric</t>
        </is>
      </c>
      <c r="H3796" s="3" t="inlineStr">
        <is>
          <t>inference_tokens_per_day * 365</t>
        </is>
      </c>
      <c r="I3796" s="3" t="inlineStr">
        <is>
          <t>Annualized version of generated output token capacity; it is not observed annual demand or billable volume.</t>
        </is>
      </c>
      <c r="J3796" s="3" t="inlineStr">
        <is>
          <t>SRC_ANTHROPIC_CLAUDE_DOCS; SRC_ANTHROPIC_AMAZON_COMPUTE; SRC_AWS_RAINIER_ACTIVE; SRC_EPOCH_AI_DATA_CENTERS; SRC_SEMIANALYSIS_INFERENCEX</t>
        </is>
      </c>
      <c r="K3796" s="3" t="inlineStr">
        <is>
          <t>ASSUMP_POWER_RAMP; ASSUMP_CLOSED_MODEL_BAND; ASSUMP_NUMERIC_ACCELERATOR_MIX; ASSUMP_INFERENCE_SHARE_NOT_FACT_60; ASSUMP_WORKLOAD_CLASS_MIX; ASSUMP_AGENTIC_CONTEXT_PENALTY</t>
        </is>
      </c>
      <c r="L3796" s="3" t="inlineStr">
        <is>
          <t>Provider-disclosed annual generated-output volume or metered serving telemetry.</t>
        </is>
      </c>
    </row>
    <row r="3797">
      <c r="A3797" s="3" t="inlineStr">
        <is>
          <t>DeepSeek</t>
        </is>
      </c>
      <c r="B3797" s="3" t="n">
        <v>2026</v>
      </c>
      <c r="C3797" s="3" t="inlineStr">
        <is>
          <t>Grid-Constrained / Efficiency-Upside</t>
        </is>
      </c>
      <c r="D3797" s="3" t="inlineStr">
        <is>
          <t>contracted_power_gw</t>
        </is>
      </c>
      <c r="E3797" s="3" t="n">
        <v>0.5</v>
      </c>
      <c r="F3797" s="3" t="inlineStr">
        <is>
          <t>GW</t>
        </is>
      </c>
      <c r="G3797" s="3" t="inlineStr">
        <is>
          <t>Scenario capacity envelope</t>
        </is>
      </c>
      <c r="H3797" s="3" t="inlineStr">
        <is>
          <t>linear interpolation between 2026 and 2030 company capacity endpoints</t>
        </is>
      </c>
      <c r="I3797" s="3" t="inlineStr">
        <is>
          <t>Capacity is a low-transparency scenario; official infrastructure evidence supports H800 inference hardware, not company GW.</t>
        </is>
      </c>
      <c r="J3797" s="3" t="inlineStr">
        <is>
          <t>SRC_DEEPSEEK_H800_INFERENCE; ASSUMP_CN_CAPACITY_TRANSPARENCY</t>
        </is>
      </c>
      <c r="K3797" s="3" t="inlineStr">
        <is>
          <t>ASSUMP_MOE_EFFICIENCY; ASSUMP_CN_CAPACITY_TRANSPARENCY; ASSUMP_NUMERIC_ACCELERATOR_MIX; ASSUMP_INFERENCE_SHARE_NOT_FACT_60; ASSUMP_WORKLOAD_CLASS_MIX; ASSUMP_AGENTIC_CONTEXT_PENALTY</t>
        </is>
      </c>
      <c r="L3797" s="3" t="inlineStr">
        <is>
          <t>Company/site-level committed MW/GW, interconnect and contract disclosure.</t>
        </is>
      </c>
    </row>
    <row r="3798">
      <c r="A3798" s="3" t="inlineStr">
        <is>
          <t>DeepSeek</t>
        </is>
      </c>
      <c r="B3798" s="3" t="n">
        <v>2026</v>
      </c>
      <c r="C3798" s="3" t="inlineStr">
        <is>
          <t>Grid-Constrained / Efficiency-Upside</t>
        </is>
      </c>
      <c r="D3798" s="3" t="inlineStr">
        <is>
          <t>operational_deployment_share</t>
        </is>
      </c>
      <c r="E3798" s="3" t="n">
        <v>0.264</v>
      </c>
      <c r="F3798" s="3" t="inlineStr">
        <is>
          <t>share</t>
        </is>
      </c>
      <c r="G3798" s="3" t="inlineStr">
        <is>
          <t>Scenario conversion</t>
        </is>
      </c>
      <c r="H3798" s="3" t="inlineStr">
        <is>
          <t>active_power_gw / contracted_power_gw</t>
        </is>
      </c>
      <c r="I3798" s="3" t="inlineStr">
        <is>
          <t>This is the single explicit conversion from contracted/attributed capacity to operationally usable capacity.</t>
        </is>
      </c>
      <c r="J3798" s="3" t="inlineStr">
        <is>
          <t>SRC_DEEPSEEK_H800_INFERENCE; ASSUMP_CN_CAPACITY_TRANSPARENCY</t>
        </is>
      </c>
      <c r="K3798" s="3" t="inlineStr">
        <is>
          <t>ASSUMP_MOE_EFFICIENCY; ASSUMP_CN_CAPACITY_TRANSPARENCY; ASSUMP_NUMERIC_ACCELERATOR_MIX; ASSUMP_INFERENCE_SHARE_NOT_FACT_60; ASSUMP_WORKLOAD_CLASS_MIX; ASSUMP_AGENTIC_CONTEXT_PENALTY</t>
        </is>
      </c>
      <c r="L3798" s="3" t="inlineStr">
        <is>
          <t>Energized operational capacity divided by contracted/attributed capacity.</t>
        </is>
      </c>
    </row>
    <row r="3799">
      <c r="A3799" s="3" t="inlineStr">
        <is>
          <t>DeepSeek</t>
        </is>
      </c>
      <c r="B3799" s="3" t="n">
        <v>2026</v>
      </c>
      <c r="C3799" s="3" t="inlineStr">
        <is>
          <t>Grid-Constrained / Efficiency-Upside</t>
        </is>
      </c>
      <c r="D3799" s="3" t="inlineStr">
        <is>
          <t>active_power_gw</t>
        </is>
      </c>
      <c r="E3799" s="3" t="n">
        <v>0.132</v>
      </c>
      <c r="F3799" s="3" t="inlineStr">
        <is>
          <t>GW</t>
        </is>
      </c>
      <c r="G3799" s="3" t="inlineStr">
        <is>
          <t>Derived scenario</t>
        </is>
      </c>
      <c r="H3799" s="3" t="inlineStr">
        <is>
          <t>contracted_power_gw * operational_deployment_share</t>
        </is>
      </c>
      <c r="I3799" s="3" t="inlineStr">
        <is>
          <t>Active GW is conservative because operated cluster scale beyond disclosed infrastructure is not public.</t>
        </is>
      </c>
      <c r="J3799" s="3" t="inlineStr">
        <is>
          <t>SRC_DEEPSEEK_H800_INFERENCE; ASSUMP_CN_CAPACITY_TRANSPARENCY</t>
        </is>
      </c>
      <c r="K3799" s="3" t="inlineStr">
        <is>
          <t>ASSUMP_MOE_EFFICIENCY; ASSUMP_CN_CAPACITY_TRANSPARENCY; ASSUMP_NUMERIC_ACCELERATOR_MIX; ASSUMP_INFERENCE_SHARE_NOT_FACT_60; ASSUMP_WORKLOAD_CLASS_MIX; ASSUMP_AGENTIC_CONTEXT_PENALTY</t>
        </is>
      </c>
      <c r="L3799" s="3" t="inlineStr">
        <is>
          <t>Energization dates, accelerator deliveries and operational powered-rack telemetry.</t>
        </is>
      </c>
    </row>
    <row r="3800">
      <c r="A3800" s="3" t="inlineStr">
        <is>
          <t>DeepSeek</t>
        </is>
      </c>
      <c r="B3800" s="3" t="n">
        <v>2026</v>
      </c>
      <c r="C3800" s="3" t="inlineStr">
        <is>
          <t>Grid-Constrained / Efficiency-Upside</t>
        </is>
      </c>
      <c r="D3800" s="3" t="inlineStr">
        <is>
          <t>pue</t>
        </is>
      </c>
      <c r="E3800" s="3" t="n">
        <v>1.24</v>
      </c>
      <c r="F3800" s="3" t="inlineStr">
        <is>
          <t>ratio</t>
        </is>
      </c>
      <c r="G3800" s="3" t="inlineStr">
        <is>
          <t>Scenario parameter</t>
        </is>
      </c>
      <c r="H3800" s="3" t="inlineStr">
        <is>
          <t>it_load_gw = active_power_gw / pue</t>
        </is>
      </c>
      <c r="I3800" s="3" t="inlineStr">
        <is>
          <t>No provider-wide site-level PUE is used as a disclosed fact; PUE represents facility-to-IT conversion within the scenario.</t>
        </is>
      </c>
      <c r="J3800" s="3" t="inlineStr">
        <is>
          <t>ASSUMP_POWER_RAMP</t>
        </is>
      </c>
      <c r="K3800" s="3" t="inlineStr">
        <is>
          <t>ASSUMP_MOE_EFFICIENCY; ASSUMP_CN_CAPACITY_TRANSPARENCY; ASSUMP_NUMERIC_ACCELERATOR_MIX; ASSUMP_INFERENCE_SHARE_NOT_FACT_60; ASSUMP_WORKLOAD_CLASS_MIX; ASSUMP_AGENTIC_CONTEXT_PENALTY</t>
        </is>
      </c>
      <c r="L3800" s="3" t="inlineStr">
        <is>
          <t>Site-level measured PUE matched to attributed AI capacity.</t>
        </is>
      </c>
    </row>
    <row r="3801">
      <c r="A3801" s="3" t="inlineStr">
        <is>
          <t>DeepSeek</t>
        </is>
      </c>
      <c r="B3801" s="3" t="n">
        <v>2026</v>
      </c>
      <c r="C3801" s="3" t="inlineStr">
        <is>
          <t>Grid-Constrained / Efficiency-Upside</t>
        </is>
      </c>
      <c r="D3801" s="3" t="inlineStr">
        <is>
          <t>it_load_gw</t>
        </is>
      </c>
      <c r="E3801" s="3" t="n">
        <v>0.106</v>
      </c>
      <c r="F3801" s="3" t="inlineStr">
        <is>
          <t>GW</t>
        </is>
      </c>
      <c r="G3801" s="3" t="inlineStr">
        <is>
          <t>Derived formula</t>
        </is>
      </c>
      <c r="H3801" s="3" t="inlineStr">
        <is>
          <t>active_power_gw / pue</t>
        </is>
      </c>
      <c r="I3801" s="3" t="inlineStr">
        <is>
          <t>Facility power is converted to IT-deliverable power before attributing AI workloads.</t>
        </is>
      </c>
      <c r="J3801" s="3" t="inlineStr">
        <is>
          <t>SRC_DEEPSEEK_H800_INFERENCE; ASSUMP_CN_CAPACITY_TRANSPARENCY</t>
        </is>
      </c>
      <c r="K3801" s="3" t="inlineStr">
        <is>
          <t>ASSUMP_MOE_EFFICIENCY; ASSUMP_CN_CAPACITY_TRANSPARENCY; ASSUMP_NUMERIC_ACCELERATOR_MIX; ASSUMP_INFERENCE_SHARE_NOT_FACT_60; ASSUMP_WORKLOAD_CLASS_MIX; ASSUMP_AGENTIC_CONTEXT_PENALTY</t>
        </is>
      </c>
      <c r="L3801" s="3" t="inlineStr">
        <is>
          <t>Recompute once active power and PUE become site-observable.</t>
        </is>
      </c>
    </row>
    <row r="3802">
      <c r="A3802" s="3" t="inlineStr">
        <is>
          <t>DeepSeek</t>
        </is>
      </c>
      <c r="B3802" s="3" t="n">
        <v>2026</v>
      </c>
      <c r="C3802" s="3" t="inlineStr">
        <is>
          <t>Grid-Constrained / Efficiency-Upside</t>
        </is>
      </c>
      <c r="D3802" s="3" t="inlineStr">
        <is>
          <t>ai_workload_share</t>
        </is>
      </c>
      <c r="E3802" s="3" t="n">
        <v>0.82</v>
      </c>
      <c r="F3802" s="3" t="inlineStr">
        <is>
          <t>share</t>
        </is>
      </c>
      <c r="G3802" s="3" t="inlineStr">
        <is>
          <t>Scenario allocation</t>
        </is>
      </c>
      <c r="H3802" s="3" t="inlineStr">
        <is>
          <t>ai_it_load_gw = it_load_gw * ai_workload_share</t>
        </is>
      </c>
      <c r="I3802" s="3" t="inlineStr">
        <is>
          <t>DeepSeek-operated service capacity is modeled as AI-focused, reduced for reserve and ancillary processing.</t>
        </is>
      </c>
      <c r="J3802" s="3" t="inlineStr">
        <is>
          <t>SRC_DEEPSEEK_V3; SRC_DEEPSEEK_R1; SRC_DEEPSEEK_H800_INFERENCE; SRC_EPOCH_AI_DATA_CENTERS</t>
        </is>
      </c>
      <c r="K3802" s="3" t="inlineStr">
        <is>
          <t>ASSUMP_MOE_EFFICIENCY; ASSUMP_CN_CAPACITY_TRANSPARENCY; ASSUMP_NUMERIC_ACCELERATOR_MIX; ASSUMP_INFERENCE_SHARE_NOT_FACT_60; ASSUMP_WORKLOAD_CLASS_MIX; ASSUMP_AGENTIC_CONTEXT_PENALTY</t>
        </is>
      </c>
      <c r="L3802" s="3" t="inlineStr">
        <is>
          <t>Model-owner AI workload allocation or cluster scheduling telemetry.</t>
        </is>
      </c>
    </row>
    <row r="3803">
      <c r="A3803" s="3" t="inlineStr">
        <is>
          <t>DeepSeek</t>
        </is>
      </c>
      <c r="B3803" s="3" t="n">
        <v>2026</v>
      </c>
      <c r="C3803" s="3" t="inlineStr">
        <is>
          <t>Grid-Constrained / Efficiency-Upside</t>
        </is>
      </c>
      <c r="D3803" s="3" t="inlineStr">
        <is>
          <t>ai_it_load_gw</t>
        </is>
      </c>
      <c r="E3803" s="3" t="n">
        <v>0.08699999999999999</v>
      </c>
      <c r="F3803" s="3" t="inlineStr">
        <is>
          <t>GW</t>
        </is>
      </c>
      <c r="G3803" s="3" t="inlineStr">
        <is>
          <t>Derived formula</t>
        </is>
      </c>
      <c r="H3803" s="3" t="inlineStr">
        <is>
          <t>it_load_gw * ai_workload_share</t>
        </is>
      </c>
      <c r="I3803" s="3" t="inlineStr">
        <is>
          <t>Only the AI-attributed portion of IT load enters training/inference allocation.</t>
        </is>
      </c>
      <c r="J3803" s="3" t="inlineStr">
        <is>
          <t>SRC_DEEPSEEK_V3; SRC_DEEPSEEK_R1; SRC_DEEPSEEK_H800_INFERENCE; SRC_EPOCH_AI_DATA_CENTERS</t>
        </is>
      </c>
      <c r="K3803" s="3" t="inlineStr">
        <is>
          <t>ASSUMP_MOE_EFFICIENCY; ASSUMP_CN_CAPACITY_TRANSPARENCY; ASSUMP_NUMERIC_ACCELERATOR_MIX; ASSUMP_INFERENCE_SHARE_NOT_FACT_60; ASSUMP_WORKLOAD_CLASS_MIX; ASSUMP_AGENTIC_CONTEXT_PENALTY</t>
        </is>
      </c>
      <c r="L3803" s="3" t="inlineStr">
        <is>
          <t>Recompute after ai_workload_share is replaced by telemetry.</t>
        </is>
      </c>
    </row>
    <row r="3804">
      <c r="A3804" s="3" t="inlineStr">
        <is>
          <t>DeepSeek</t>
        </is>
      </c>
      <c r="B3804" s="3" t="n">
        <v>2026</v>
      </c>
      <c r="C3804" s="3" t="inlineStr">
        <is>
          <t>Grid-Constrained / Efficiency-Upside</t>
        </is>
      </c>
      <c r="D3804" s="3" t="inlineStr">
        <is>
          <t>gpu_share</t>
        </is>
      </c>
      <c r="E3804" s="3" t="n">
        <v>1</v>
      </c>
      <c r="F3804" s="3" t="inlineStr">
        <is>
          <t>share of inference-serving accelerator load</t>
        </is>
      </c>
      <c r="G3804" s="3" t="inlineStr">
        <is>
          <t>Numeric scenario</t>
        </is>
      </c>
      <c r="H3804" s="3" t="inlineStr">
        <is>
          <t>gpu_share interpolated from company 2026/2030 accelerator-mix endpoints</t>
        </is>
      </c>
      <c r="I3804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04" s="3" t="inlineStr">
        <is>
          <t>SRC_DEEPSEEK_V3; SRC_DEEPSEEK_R1; SRC_DEEPSEEK_H800_INFERENCE; SRC_EPOCH_AI_DATA_CENTERS; ASSUMP_NUMERIC_ACCELERATOR_MIX</t>
        </is>
      </c>
      <c r="K3804" s="3" t="inlineStr">
        <is>
          <t>ASSUMP_MOE_EFFICIENCY; ASSUMP_CN_CAPACITY_TRANSPARENCY; ASSUMP_NUMERIC_ACCELERATOR_MIX; ASSUMP_INFERENCE_SHARE_NOT_FACT_60; ASSUMP_WORKLOAD_CLASS_MIX; ASSUMP_AGENTIC_CONTEXT_PENALTY</t>
        </is>
      </c>
      <c r="L3804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05">
      <c r="A3805" s="3" t="inlineStr">
        <is>
          <t>DeepSeek</t>
        </is>
      </c>
      <c r="B3805" s="3" t="n">
        <v>2026</v>
      </c>
      <c r="C3805" s="3" t="inlineStr">
        <is>
          <t>Grid-Constrained / Efficiency-Upside</t>
        </is>
      </c>
      <c r="D3805" s="3" t="inlineStr">
        <is>
          <t>h200_share</t>
        </is>
      </c>
      <c r="E3805" s="3" t="n">
        <v>0.55</v>
      </c>
      <c r="F3805" s="3" t="inlineStr">
        <is>
          <t>share of inference-serving accelerator load</t>
        </is>
      </c>
      <c r="G3805" s="3" t="inlineStr">
        <is>
          <t>Editable numeric scenario</t>
        </is>
      </c>
      <c r="H3805" s="3" t="inlineStr">
        <is>
          <t>h200_share = gpu_share * default_gpu_generation_mix_h200</t>
        </is>
      </c>
      <c r="I3805" s="3" t="inlineStr">
        <is>
          <t>Default GPU-generation migration assumption; executive workbook allows later manual replacement by company/year/scenario.</t>
        </is>
      </c>
      <c r="J3805" s="3" t="inlineStr">
        <is>
          <t>SRC_SEMIANALYSIS_INFERENCEX; ASSUMP_NUMERIC_ACCELERATOR_MIX</t>
        </is>
      </c>
      <c r="K3805" s="3" t="inlineStr">
        <is>
          <t>ASSUMP_MOE_EFFICIENCY; ASSUMP_CN_CAPACITY_TRANSPARENCY; ASSUMP_NUMERIC_ACCELERATOR_MIX; ASSUMP_INFERENCE_SHARE_NOT_FACT_60; ASSUMP_WORKLOAD_CLASS_MIX; ASSUMP_AGENTIC_CONTEXT_PENALTY</t>
        </is>
      </c>
      <c r="L3805" s="3" t="inlineStr">
        <is>
          <t>Company fleet inventory, accelerator-hours or procurement/deployment records by GPU generation.</t>
        </is>
      </c>
    </row>
    <row r="3806">
      <c r="A3806" s="3" t="inlineStr">
        <is>
          <t>DeepSeek</t>
        </is>
      </c>
      <c r="B3806" s="3" t="n">
        <v>2026</v>
      </c>
      <c r="C3806" s="3" t="inlineStr">
        <is>
          <t>Grid-Constrained / Efficiency-Upside</t>
        </is>
      </c>
      <c r="D3806" s="3" t="inlineStr">
        <is>
          <t>b200_share</t>
        </is>
      </c>
      <c r="E3806" s="3" t="n">
        <v>0.4</v>
      </c>
      <c r="F3806" s="3" t="inlineStr">
        <is>
          <t>share of inference-serving accelerator load</t>
        </is>
      </c>
      <c r="G3806" s="3" t="inlineStr">
        <is>
          <t>Editable numeric scenario</t>
        </is>
      </c>
      <c r="H3806" s="3" t="inlineStr">
        <is>
          <t>b200_share = gpu_share * default_gpu_generation_mix_b200</t>
        </is>
      </c>
      <c r="I3806" s="3" t="inlineStr">
        <is>
          <t>Default GPU-generation migration assumption; executive workbook allows later manual replacement by company/year/scenario.</t>
        </is>
      </c>
      <c r="J3806" s="3" t="inlineStr">
        <is>
          <t>SRC_SEMIANALYSIS_INFERENCEX; ASSUMP_NUMERIC_ACCELERATOR_MIX</t>
        </is>
      </c>
      <c r="K3806" s="3" t="inlineStr">
        <is>
          <t>ASSUMP_MOE_EFFICIENCY; ASSUMP_CN_CAPACITY_TRANSPARENCY; ASSUMP_NUMERIC_ACCELERATOR_MIX; ASSUMP_INFERENCE_SHARE_NOT_FACT_60; ASSUMP_WORKLOAD_CLASS_MIX; ASSUMP_AGENTIC_CONTEXT_PENALTY</t>
        </is>
      </c>
      <c r="L3806" s="3" t="inlineStr">
        <is>
          <t>Company fleet inventory, accelerator-hours or procurement/deployment records by GPU generation.</t>
        </is>
      </c>
    </row>
    <row r="3807">
      <c r="A3807" s="3" t="inlineStr">
        <is>
          <t>DeepSeek</t>
        </is>
      </c>
      <c r="B3807" s="3" t="n">
        <v>2026</v>
      </c>
      <c r="C3807" s="3" t="inlineStr">
        <is>
          <t>Grid-Constrained / Efficiency-Upside</t>
        </is>
      </c>
      <c r="D3807" s="3" t="inlineStr">
        <is>
          <t>gb200_share</t>
        </is>
      </c>
      <c r="E3807" s="3" t="n">
        <v>0.05</v>
      </c>
      <c r="F3807" s="3" t="inlineStr">
        <is>
          <t>share of inference-serving accelerator load</t>
        </is>
      </c>
      <c r="G3807" s="3" t="inlineStr">
        <is>
          <t>Editable numeric scenario</t>
        </is>
      </c>
      <c r="H3807" s="3" t="inlineStr">
        <is>
          <t>gb200_share = gpu_share * default_gpu_generation_mix_gb200</t>
        </is>
      </c>
      <c r="I3807" s="3" t="inlineStr">
        <is>
          <t>Default GPU-generation migration assumption; executive workbook allows later manual replacement by company/year/scenario.</t>
        </is>
      </c>
      <c r="J3807" s="3" t="inlineStr">
        <is>
          <t>SRC_SEMIANALYSIS_INFERENCEX; ASSUMP_NUMERIC_ACCELERATOR_MIX</t>
        </is>
      </c>
      <c r="K3807" s="3" t="inlineStr">
        <is>
          <t>ASSUMP_MOE_EFFICIENCY; ASSUMP_CN_CAPACITY_TRANSPARENCY; ASSUMP_NUMERIC_ACCELERATOR_MIX; ASSUMP_INFERENCE_SHARE_NOT_FACT_60; ASSUMP_WORKLOAD_CLASS_MIX; ASSUMP_AGENTIC_CONTEXT_PENALTY</t>
        </is>
      </c>
      <c r="L3807" s="3" t="inlineStr">
        <is>
          <t>Company fleet inventory, accelerator-hours or procurement/deployment records by GPU generation.</t>
        </is>
      </c>
    </row>
    <row r="3808">
      <c r="A3808" s="3" t="inlineStr">
        <is>
          <t>DeepSeek</t>
        </is>
      </c>
      <c r="B3808" s="3" t="n">
        <v>2026</v>
      </c>
      <c r="C3808" s="3" t="inlineStr">
        <is>
          <t>Grid-Constrained / Efficiency-Upside</t>
        </is>
      </c>
      <c r="D3808" s="3" t="inlineStr">
        <is>
          <t>purpose_built_accelerator_share</t>
        </is>
      </c>
      <c r="E3808" s="3" t="n">
        <v>0</v>
      </c>
      <c r="F3808" s="3" t="inlineStr">
        <is>
          <t>share of inference-serving accelerator load</t>
        </is>
      </c>
      <c r="G3808" s="3" t="inlineStr">
        <is>
          <t>Numeric scenario</t>
        </is>
      </c>
      <c r="H3808" s="3" t="inlineStr">
        <is>
          <t>1 - gpu_share</t>
        </is>
      </c>
      <c r="I3808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08" s="3" t="inlineStr">
        <is>
          <t>SRC_DEEPSEEK_V3; SRC_DEEPSEEK_R1; SRC_DEEPSEEK_H800_INFERENCE; SRC_EPOCH_AI_DATA_CENTERS; ASSUMP_NUMERIC_ACCELERATOR_MIX</t>
        </is>
      </c>
      <c r="K3808" s="3" t="inlineStr">
        <is>
          <t>ASSUMP_MOE_EFFICIENCY; ASSUMP_CN_CAPACITY_TRANSPARENCY; ASSUMP_NUMERIC_ACCELERATOR_MIX; ASSUMP_INFERENCE_SHARE_NOT_FACT_60; ASSUMP_WORKLOAD_CLASS_MIX; ASSUMP_AGENTIC_CONTEXT_PENALTY</t>
        </is>
      </c>
      <c r="L3808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09">
      <c r="A3809" s="3" t="inlineStr">
        <is>
          <t>DeepSeek</t>
        </is>
      </c>
      <c r="B3809" s="3" t="n">
        <v>2026</v>
      </c>
      <c r="C3809" s="3" t="inlineStr">
        <is>
          <t>Grid-Constrained / Efficiency-Upside</t>
        </is>
      </c>
      <c r="D3809" s="3" t="inlineStr">
        <is>
          <t>fleet_reference_tps_per_mw</t>
        </is>
      </c>
      <c r="E3809" s="3" t="n">
        <v>140577</v>
      </c>
      <c r="F3809" s="3" t="inlineStr">
        <is>
          <t>generated output tokens/sec/MW</t>
        </is>
      </c>
      <c r="G3809" s="3" t="inlineStr">
        <is>
          <t>Fleet-weighted public benchmark reference</t>
        </is>
      </c>
      <c r="H3809" s="3" t="inlineStr">
        <is>
          <t>h200_share*h200_workload_avg + b200_share*b200_workload_avg + gb200_share*gb200_workload_avg + purpose_built_share*purpose_workload_avg</t>
        </is>
      </c>
      <c r="I3809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09" s="3" t="inlineStr">
        <is>
          <t>SRC_SEMIANALYSIS_INFERENCEX; ASSUMP_NUMERIC_ACCELERATOR_MIX; ASSUMP_WORKLOAD_CLASS_MIX; ASSUMP_AGENTIC_CONTEXT_PENALTY</t>
        </is>
      </c>
      <c r="K3809" s="3" t="inlineStr">
        <is>
          <t>ASSUMP_MOE_EFFICIENCY; ASSUMP_CN_CAPACITY_TRANSPARENCY; ASSUMP_NUMERIC_ACCELERATOR_MIX; ASSUMP_INFERENCE_SHARE_NOT_FACT_60; ASSUMP_WORKLOAD_CLASS_MIX; ASSUMP_AGENTIC_CONTEXT_PENALTY</t>
        </is>
      </c>
      <c r="L3809" s="3" t="inlineStr">
        <is>
          <t>Comparable production output-token throughput or a more closely matched benchmark.</t>
        </is>
      </c>
    </row>
    <row r="3810">
      <c r="A3810" s="3" t="inlineStr">
        <is>
          <t>DeepSeek</t>
        </is>
      </c>
      <c r="B3810" s="3" t="n">
        <v>2026</v>
      </c>
      <c r="C3810" s="3" t="inlineStr">
        <is>
          <t>Grid-Constrained / Efficiency-Upside</t>
        </is>
      </c>
      <c r="D3810" s="3" t="inlineStr">
        <is>
          <t>commercial_workload_fit_factor</t>
        </is>
      </c>
      <c r="E3810" s="3" t="n">
        <v>0.85</v>
      </c>
      <c r="F3810" s="3" t="inlineStr">
        <is>
          <t>share of public reference throughput</t>
        </is>
      </c>
      <c r="G3810" s="3" t="inlineStr">
        <is>
          <t>Scenario assumption</t>
        </is>
      </c>
      <c r="H3810" s="3" t="inlineStr">
        <is>
          <t>reference_serving_tps_per_mw = fleet_reference_tps_per_mw * commercial_workload_fit_factor</t>
        </is>
      </c>
      <c r="I3810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10" s="3" t="inlineStr">
        <is>
          <t>SRC_SEMIANALYSIS_INFERENCEX; ASSUMP_NUMERIC_ACCELERATOR_MIX; ASSUMP_WORKLOAD_CLASS_MIX; ASSUMP_AGENTIC_CONTEXT_PENALTY</t>
        </is>
      </c>
      <c r="K3810" s="3" t="inlineStr">
        <is>
          <t>ASSUMP_MOE_EFFICIENCY; ASSUMP_CN_CAPACITY_TRANSPARENCY; ASSUMP_NUMERIC_ACCELERATOR_MIX; ASSUMP_INFERENCE_SHARE_NOT_FACT_60; ASSUMP_WORKLOAD_CLASS_MIX; ASSUMP_AGENTIC_CONTEXT_PENALTY</t>
        </is>
      </c>
      <c r="L3810" s="3" t="inlineStr">
        <is>
          <t>Matched commercial serving benchmark by product surface, context shape and latency SLO.</t>
        </is>
      </c>
    </row>
    <row r="3811">
      <c r="A3811" s="3" t="inlineStr">
        <is>
          <t>DeepSeek</t>
        </is>
      </c>
      <c r="B3811" s="3" t="n">
        <v>2026</v>
      </c>
      <c r="C3811" s="3" t="inlineStr">
        <is>
          <t>Grid-Constrained / Efficiency-Upside</t>
        </is>
      </c>
      <c r="D3811" s="3" t="inlineStr">
        <is>
          <t>reference_serving_tps_per_mw</t>
        </is>
      </c>
      <c r="E3811" s="3" t="n">
        <v>119490</v>
      </c>
      <c r="F3811" s="3" t="inlineStr">
        <is>
          <t>generated output tokens/sec/MW</t>
        </is>
      </c>
      <c r="G3811" s="3" t="inlineStr">
        <is>
          <t>Workload-adjusted benchmark proxy</t>
        </is>
      </c>
      <c r="H3811" s="3" t="inlineStr">
        <is>
          <t>fleet_reference_tps_per_mw * commercial_workload_fit_factor</t>
        </is>
      </c>
      <c r="I3811" s="3" t="inlineStr">
        <is>
          <t>This is the coefficient used for headline token generation; each GPU's short chat, long chat and agentic TPS/MW are weighted before fleet mix and commercial fit are applied.</t>
        </is>
      </c>
      <c r="J3811" s="3" t="inlineStr">
        <is>
          <t>SRC_SEMIANALYSIS_INFERENCEX; ASSUMP_NUMERIC_ACCELERATOR_MIX; ASSUMP_WORKLOAD_CLASS_MIX; ASSUMP_AGENTIC_CONTEXT_PENALTY</t>
        </is>
      </c>
      <c r="K3811" s="3" t="inlineStr">
        <is>
          <t>ASSUMP_MOE_EFFICIENCY; ASSUMP_CN_CAPACITY_TRANSPARENCY; ASSUMP_NUMERIC_ACCELERATOR_MIX; ASSUMP_INFERENCE_SHARE_NOT_FACT_60; ASSUMP_WORKLOAD_CLASS_MIX; ASSUMP_AGENTIC_CONTEXT_PENALTY</t>
        </is>
      </c>
      <c r="L3811" s="3" t="inlineStr">
        <is>
          <t>Provider production output-token throughput with comparable workload/SLO.</t>
        </is>
      </c>
    </row>
    <row r="3812">
      <c r="A3812" s="3" t="inlineStr">
        <is>
          <t>DeepSeek</t>
        </is>
      </c>
      <c r="B3812" s="3" t="n">
        <v>2026</v>
      </c>
      <c r="C3812" s="3" t="inlineStr">
        <is>
          <t>Grid-Constrained / Efficiency-Upside</t>
        </is>
      </c>
      <c r="D3812" s="3" t="inlineStr">
        <is>
          <t>purpose_built_tps_per_mw</t>
        </is>
      </c>
      <c r="E3812" s="3" t="n">
        <v>334536</v>
      </c>
      <c r="F3812" s="3" t="inlineStr">
        <is>
          <t>generated output tokens/sec/MW</t>
        </is>
      </c>
      <c r="G3812" s="3" t="inlineStr">
        <is>
          <t>Conservative no-uplift proxy</t>
        </is>
      </c>
      <c r="H3812" s="3" t="inlineStr">
        <is>
          <t>purpose_built_tps_per_mw = purpose_built_reference_tps_per_mw * commercial_workload_fit_factor until comparable output-token benchmark is adopted</t>
        </is>
      </c>
      <c r="I3812" s="3" t="inlineStr">
        <is>
          <t>No comparable public output-token/MW row adopted; B200 public reference placeholder is used and remains editable.</t>
        </is>
      </c>
      <c r="J3812" s="3" t="inlineStr">
        <is>
          <t>SRC_DEEPSEEK_V3; SRC_DEEPSEEK_R1; SRC_DEEPSEEK_H800_INFERENCE; SRC_EPOCH_AI_DATA_CENTERS; ASSUMP_NUMERIC_ACCELERATOR_MIX</t>
        </is>
      </c>
      <c r="K3812" s="3" t="inlineStr">
        <is>
          <t>ASSUMP_MOE_EFFICIENCY; ASSUMP_CN_CAPACITY_TRANSPARENCY; ASSUMP_NUMERIC_ACCELERATOR_MIX; ASSUMP_INFERENCE_SHARE_NOT_FACT_60; ASSUMP_WORKLOAD_CLASS_MIX; ASSUMP_AGENTIC_CONTEXT_PENALTY</t>
        </is>
      </c>
      <c r="L3812" s="3" t="inlineStr">
        <is>
          <t>Matched-workload generated-output benchmark for the provider purpose-built accelerator.</t>
        </is>
      </c>
    </row>
    <row r="3813">
      <c r="A3813" s="3" t="inlineStr">
        <is>
          <t>DeepSeek</t>
        </is>
      </c>
      <c r="B3813" s="3" t="n">
        <v>2026</v>
      </c>
      <c r="C3813" s="3" t="inlineStr">
        <is>
          <t>Grid-Constrained / Efficiency-Upside</t>
        </is>
      </c>
      <c r="D3813" s="3" t="inlineStr">
        <is>
          <t>inference_power_share</t>
        </is>
      </c>
      <c r="E3813" s="3" t="n">
        <v>0.64</v>
      </c>
      <c r="F3813" s="3" t="inlineStr">
        <is>
          <t>share of AI IT load</t>
        </is>
      </c>
      <c r="G3813" s="3" t="inlineStr">
        <is>
          <t>Scenario allocation</t>
        </is>
      </c>
      <c r="H3813" s="3" t="inlineStr">
        <is>
          <t>inference_gw = ai_it_load_gw * inference_power_share</t>
        </is>
      </c>
      <c r="I3813" s="3" t="inlineStr">
        <is>
          <t>API/app availability and inference-system disclosure support higher inference share; the value remains scenario.</t>
        </is>
      </c>
      <c r="J3813" s="3" t="inlineStr">
        <is>
          <t>SRC_DEEPSEEK_V3; SRC_DEEPSEEK_R1; SRC_DEEPSEEK_H800_INFERENCE; SRC_EPOCH_AI_DATA_CENTERS; ASSUMP_INFERENCE_SHARE_NOT_FACT_60</t>
        </is>
      </c>
      <c r="K3813" s="3" t="inlineStr">
        <is>
          <t>ASSUMP_MOE_EFFICIENCY; ASSUMP_CN_CAPACITY_TRANSPARENCY; ASSUMP_NUMERIC_ACCELERATOR_MIX; ASSUMP_INFERENCE_SHARE_NOT_FACT_60; ASSUMP_WORKLOAD_CLASS_MIX; ASSUMP_AGENTIC_CONTEXT_PENALTY</t>
        </is>
      </c>
      <c r="L3813" s="3" t="inlineStr">
        <is>
          <t>Provider-specific inference/training workload power telemetry.</t>
        </is>
      </c>
    </row>
    <row r="3814">
      <c r="A3814" s="3" t="inlineStr">
        <is>
          <t>DeepSeek</t>
        </is>
      </c>
      <c r="B3814" s="3" t="n">
        <v>2026</v>
      </c>
      <c r="C3814" s="3" t="inlineStr">
        <is>
          <t>Grid-Constrained / Efficiency-Upside</t>
        </is>
      </c>
      <c r="D3814" s="3" t="inlineStr">
        <is>
          <t>inference_gw</t>
        </is>
      </c>
      <c r="E3814" s="3" t="n">
        <v>0.056</v>
      </c>
      <c r="F3814" s="3" t="inlineStr">
        <is>
          <t>GW</t>
        </is>
      </c>
      <c r="G3814" s="3" t="inlineStr">
        <is>
          <t>Derived formula</t>
        </is>
      </c>
      <c r="H3814" s="3" t="inlineStr">
        <is>
          <t>ai_it_load_gw * inference_power_share</t>
        </is>
      </c>
      <c r="I3814" s="3" t="inlineStr">
        <is>
          <t>This is the operational power eligible to become commercial generated output tokens through the selected TPS/MW proxy.</t>
        </is>
      </c>
      <c r="J3814" s="3" t="inlineStr">
        <is>
          <t>SRC_DEEPSEEK_V3; SRC_DEEPSEEK_R1; SRC_DEEPSEEK_H800_INFERENCE; SRC_EPOCH_AI_DATA_CENTERS</t>
        </is>
      </c>
      <c r="K3814" s="3" t="inlineStr">
        <is>
          <t>ASSUMP_MOE_EFFICIENCY; ASSUMP_CN_CAPACITY_TRANSPARENCY; ASSUMP_NUMERIC_ACCELERATOR_MIX; ASSUMP_INFERENCE_SHARE_NOT_FACT_60; ASSUMP_WORKLOAD_CLASS_MIX; ASSUMP_AGENTIC_CONTEXT_PENALTY</t>
        </is>
      </c>
      <c r="L3814" s="3" t="inlineStr">
        <is>
          <t>Recompute after AI allocation or inference-share evidence changes.</t>
        </is>
      </c>
    </row>
    <row r="3815">
      <c r="A3815" s="3" t="inlineStr">
        <is>
          <t>DeepSeek</t>
        </is>
      </c>
      <c r="B3815" s="3" t="n">
        <v>2026</v>
      </c>
      <c r="C3815" s="3" t="inlineStr">
        <is>
          <t>Grid-Constrained / Efficiency-Upside</t>
        </is>
      </c>
      <c r="D3815" s="3" t="inlineStr">
        <is>
          <t>training_power_share</t>
        </is>
      </c>
      <c r="E3815" s="3" t="n">
        <v>0.36</v>
      </c>
      <c r="F3815" s="3" t="inlineStr">
        <is>
          <t>share of AI IT load</t>
        </is>
      </c>
      <c r="G3815" s="3" t="inlineStr">
        <is>
          <t>Derived allocation</t>
        </is>
      </c>
      <c r="H3815" s="3" t="inlineStr">
        <is>
          <t>1 - inference_power_share</t>
        </is>
      </c>
      <c r="I3815" s="3" t="inlineStr">
        <is>
          <t>Training receives the complementary modeled AI IT allocation; it is not a disclosed company workload split.</t>
        </is>
      </c>
      <c r="J3815" s="3" t="inlineStr">
        <is>
          <t>SRC_DEEPSEEK_V3; SRC_DEEPSEEK_R1; SRC_DEEPSEEK_H800_INFERENCE; SRC_EPOCH_AI_DATA_CENTERS; ASSUMP_INFERENCE_SHARE_NOT_FACT_60</t>
        </is>
      </c>
      <c r="K3815" s="3" t="inlineStr">
        <is>
          <t>ASSUMP_MOE_EFFICIENCY; ASSUMP_CN_CAPACITY_TRANSPARENCY; ASSUMP_NUMERIC_ACCELERATOR_MIX; ASSUMP_INFERENCE_SHARE_NOT_FACT_60; ASSUMP_WORKLOAD_CLASS_MIX; ASSUMP_AGENTIC_CONTEXT_PENALTY</t>
        </is>
      </c>
      <c r="L3815" s="3" t="inlineStr">
        <is>
          <t>Provider-specific inference/training workload power telemetry.</t>
        </is>
      </c>
    </row>
    <row r="3816">
      <c r="A3816" s="3" t="inlineStr">
        <is>
          <t>DeepSeek</t>
        </is>
      </c>
      <c r="B3816" s="3" t="n">
        <v>2026</v>
      </c>
      <c r="C3816" s="3" t="inlineStr">
        <is>
          <t>Grid-Constrained / Efficiency-Upside</t>
        </is>
      </c>
      <c r="D3816" s="3" t="inlineStr">
        <is>
          <t>training_gw</t>
        </is>
      </c>
      <c r="E3816" s="3" t="n">
        <v>0.031</v>
      </c>
      <c r="F3816" s="3" t="inlineStr">
        <is>
          <t>GW</t>
        </is>
      </c>
      <c r="G3816" s="3" t="inlineStr">
        <is>
          <t>Derived formula</t>
        </is>
      </c>
      <c r="H3816" s="3" t="inlineStr">
        <is>
          <t>ai_it_load_gw * training_power_share</t>
        </is>
      </c>
      <c r="I3816" s="3" t="inlineStr">
        <is>
          <t>Training GW is shown separately so commercial inference token capacity is not overstated.</t>
        </is>
      </c>
      <c r="J3816" s="3" t="inlineStr">
        <is>
          <t>SRC_DEEPSEEK_V3; SRC_DEEPSEEK_R1; SRC_DEEPSEEK_H800_INFERENCE; SRC_EPOCH_AI_DATA_CENTERS</t>
        </is>
      </c>
      <c r="K3816" s="3" t="inlineStr">
        <is>
          <t>ASSUMP_MOE_EFFICIENCY; ASSUMP_CN_CAPACITY_TRANSPARENCY; ASSUMP_NUMERIC_ACCELERATOR_MIX; ASSUMP_INFERENCE_SHARE_NOT_FACT_60; ASSUMP_WORKLOAD_CLASS_MIX; ASSUMP_AGENTIC_CONTEXT_PENALTY</t>
        </is>
      </c>
      <c r="L3816" s="3" t="inlineStr">
        <is>
          <t>Recompute after AI allocation or workload-split evidence changes.</t>
        </is>
      </c>
    </row>
    <row r="3817">
      <c r="A3817" s="3" t="inlineStr">
        <is>
          <t>DeepSeek</t>
        </is>
      </c>
      <c r="B3817" s="3" t="n">
        <v>2026</v>
      </c>
      <c r="C3817" s="3" t="inlineStr">
        <is>
          <t>Grid-Constrained / Efficiency-Upside</t>
        </is>
      </c>
      <c r="D3817" s="3" t="inlineStr">
        <is>
          <t>tokens_per_second_per_mw</t>
        </is>
      </c>
      <c r="E3817" s="3" t="n">
        <v>119490</v>
      </c>
      <c r="F3817" s="3" t="inlineStr">
        <is>
          <t>generated output tokens/sec/MW</t>
        </is>
      </c>
      <c r="G3817" s="3" t="inlineStr">
        <is>
          <t>Derived estimate + benchmark calibration</t>
        </is>
      </c>
      <c r="H3817" s="3" t="inlineStr">
        <is>
          <t>fleet_reference_tps_per_mw * commercial_workload_fit_factor</t>
        </is>
      </c>
      <c r="I3817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17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17" s="3" t="inlineStr">
        <is>
          <t>ASSUMP_MOE_EFFICIENCY; ASSUMP_CN_CAPACITY_TRANSPARENCY; ASSUMP_NUMERIC_ACCELERATOR_MIX; ASSUMP_INFERENCE_SHARE_NOT_FACT_60; ASSUMP_WORKLOAD_CLASS_MIX; ASSUMP_AGENTIC_CONTEXT_PENALTY</t>
        </is>
      </c>
      <c r="L3817" s="3" t="inlineStr">
        <is>
          <t>Comparable production output-token throughput with model, hardware, precision, ISL/OSL and SLO matched.</t>
        </is>
      </c>
    </row>
    <row r="3818">
      <c r="A3818" s="3" t="inlineStr">
        <is>
          <t>DeepSeek</t>
        </is>
      </c>
      <c r="B3818" s="3" t="n">
        <v>2026</v>
      </c>
      <c r="C3818" s="3" t="inlineStr">
        <is>
          <t>Grid-Constrained / Efficiency-Upside</t>
        </is>
      </c>
      <c r="D3818" s="3" t="inlineStr">
        <is>
          <t>inference_tokens_per_day</t>
        </is>
      </c>
      <c r="E3818" s="3" t="n">
        <v>578140416000</v>
      </c>
      <c r="F3818" s="3" t="inlineStr">
        <is>
          <t>generated output tokens/day</t>
        </is>
      </c>
      <c r="G3818" s="3" t="inlineStr">
        <is>
          <t>Derived headline metric</t>
        </is>
      </c>
      <c r="H3818" s="3" t="inlineStr">
        <is>
          <t>inference_gw * 1000 * tokens_per_second_per_mw * 86,400</t>
        </is>
      </c>
      <c r="I3818" s="3" t="inlineStr">
        <is>
          <t>Headline capacity uses no utilization, MoE, architecture or software-growth multiplier; it is not observed commercial output volume.</t>
        </is>
      </c>
      <c r="J3818" s="3" t="inlineStr">
        <is>
          <t>SRC_DEEPSEEK_V3; SRC_DEEPSEEK_R1; SRC_DEEPSEEK_H800_INFERENCE; SRC_EPOCH_AI_DATA_CENTERS; SRC_SEMIANALYSIS_INFERENCEX</t>
        </is>
      </c>
      <c r="K3818" s="3" t="inlineStr">
        <is>
          <t>ASSUMP_MOE_EFFICIENCY; ASSUMP_CN_CAPACITY_TRANSPARENCY; ASSUMP_NUMERIC_ACCELERATOR_MIX; ASSUMP_INFERENCE_SHARE_NOT_FACT_60; ASSUMP_WORKLOAD_CLASS_MIX; ASSUMP_AGENTIC_CONTEXT_PENALTY</t>
        </is>
      </c>
      <c r="L3818" s="3" t="inlineStr">
        <is>
          <t>Provider-disclosed generated output token volume or calibrated capacity telemetry.</t>
        </is>
      </c>
    </row>
    <row r="3819">
      <c r="A3819" s="3" t="inlineStr">
        <is>
          <t>DeepSeek</t>
        </is>
      </c>
      <c r="B3819" s="3" t="n">
        <v>2026</v>
      </c>
      <c r="C3819" s="3" t="inlineStr">
        <is>
          <t>Grid-Constrained / Efficiency-Upside</t>
        </is>
      </c>
      <c r="D3819" s="3" t="inlineStr">
        <is>
          <t>inference_tokens_per_year</t>
        </is>
      </c>
      <c r="E3819" s="3" t="n">
        <v>211021251840000</v>
      </c>
      <c r="F3819" s="3" t="inlineStr">
        <is>
          <t>generated output tokens/year</t>
        </is>
      </c>
      <c r="G3819" s="3" t="inlineStr">
        <is>
          <t>Derived headline metric</t>
        </is>
      </c>
      <c r="H3819" s="3" t="inlineStr">
        <is>
          <t>inference_tokens_per_day * 365</t>
        </is>
      </c>
      <c r="I3819" s="3" t="inlineStr">
        <is>
          <t>Annualized version of generated output token capacity; it is not observed annual demand or billable volume.</t>
        </is>
      </c>
      <c r="J3819" s="3" t="inlineStr">
        <is>
          <t>SRC_DEEPSEEK_V3; SRC_DEEPSEEK_R1; SRC_DEEPSEEK_H800_INFERENCE; SRC_EPOCH_AI_DATA_CENTERS; SRC_SEMIANALYSIS_INFERENCEX</t>
        </is>
      </c>
      <c r="K3819" s="3" t="inlineStr">
        <is>
          <t>ASSUMP_MOE_EFFICIENCY; ASSUMP_CN_CAPACITY_TRANSPARENCY; ASSUMP_NUMERIC_ACCELERATOR_MIX; ASSUMP_INFERENCE_SHARE_NOT_FACT_60; ASSUMP_WORKLOAD_CLASS_MIX; ASSUMP_AGENTIC_CONTEXT_PENALTY</t>
        </is>
      </c>
      <c r="L3819" s="3" t="inlineStr">
        <is>
          <t>Provider-disclosed annual generated-output volume or metered serving telemetry.</t>
        </is>
      </c>
    </row>
    <row r="3820">
      <c r="A3820" s="3" t="inlineStr">
        <is>
          <t>DeepSeek</t>
        </is>
      </c>
      <c r="B3820" s="3" t="n">
        <v>2027</v>
      </c>
      <c r="C3820" s="3" t="inlineStr">
        <is>
          <t>Grid-Constrained / Efficiency-Upside</t>
        </is>
      </c>
      <c r="D3820" s="3" t="inlineStr">
        <is>
          <t>contracted_power_gw</t>
        </is>
      </c>
      <c r="E3820" s="3" t="n">
        <v>0.825</v>
      </c>
      <c r="F3820" s="3" t="inlineStr">
        <is>
          <t>GW</t>
        </is>
      </c>
      <c r="G3820" s="3" t="inlineStr">
        <is>
          <t>Scenario capacity envelope</t>
        </is>
      </c>
      <c r="H3820" s="3" t="inlineStr">
        <is>
          <t>linear interpolation between 2026 and 2030 company capacity endpoints</t>
        </is>
      </c>
      <c r="I3820" s="3" t="inlineStr">
        <is>
          <t>Capacity is a low-transparency scenario; official infrastructure evidence supports H800 inference hardware, not company GW.</t>
        </is>
      </c>
      <c r="J3820" s="3" t="inlineStr">
        <is>
          <t>SRC_DEEPSEEK_H800_INFERENCE; ASSUMP_CN_CAPACITY_TRANSPARENCY</t>
        </is>
      </c>
      <c r="K3820" s="3" t="inlineStr">
        <is>
          <t>ASSUMP_MOE_EFFICIENCY; ASSUMP_CN_CAPACITY_TRANSPARENCY; ASSUMP_NUMERIC_ACCELERATOR_MIX; ASSUMP_INFERENCE_SHARE_NOT_FACT_60; ASSUMP_WORKLOAD_CLASS_MIX; ASSUMP_AGENTIC_CONTEXT_PENALTY</t>
        </is>
      </c>
      <c r="L3820" s="3" t="inlineStr">
        <is>
          <t>Company/site-level committed MW/GW, interconnect and contract disclosure.</t>
        </is>
      </c>
    </row>
    <row r="3821">
      <c r="A3821" s="3" t="inlineStr">
        <is>
          <t>DeepSeek</t>
        </is>
      </c>
      <c r="B3821" s="3" t="n">
        <v>2027</v>
      </c>
      <c r="C3821" s="3" t="inlineStr">
        <is>
          <t>Grid-Constrained / Efficiency-Upside</t>
        </is>
      </c>
      <c r="D3821" s="3" t="inlineStr">
        <is>
          <t>operational_deployment_share</t>
        </is>
      </c>
      <c r="E3821" s="3" t="n">
        <v>0.41939394</v>
      </c>
      <c r="F3821" s="3" t="inlineStr">
        <is>
          <t>share</t>
        </is>
      </c>
      <c r="G3821" s="3" t="inlineStr">
        <is>
          <t>Scenario conversion</t>
        </is>
      </c>
      <c r="H3821" s="3" t="inlineStr">
        <is>
          <t>active_power_gw / contracted_power_gw</t>
        </is>
      </c>
      <c r="I3821" s="3" t="inlineStr">
        <is>
          <t>This is the single explicit conversion from contracted/attributed capacity to operationally usable capacity.</t>
        </is>
      </c>
      <c r="J3821" s="3" t="inlineStr">
        <is>
          <t>SRC_DEEPSEEK_H800_INFERENCE; ASSUMP_CN_CAPACITY_TRANSPARENCY</t>
        </is>
      </c>
      <c r="K3821" s="3" t="inlineStr">
        <is>
          <t>ASSUMP_MOE_EFFICIENCY; ASSUMP_CN_CAPACITY_TRANSPARENCY; ASSUMP_NUMERIC_ACCELERATOR_MIX; ASSUMP_INFERENCE_SHARE_NOT_FACT_60; ASSUMP_WORKLOAD_CLASS_MIX; ASSUMP_AGENTIC_CONTEXT_PENALTY</t>
        </is>
      </c>
      <c r="L3821" s="3" t="inlineStr">
        <is>
          <t>Energized operational capacity divided by contracted/attributed capacity.</t>
        </is>
      </c>
    </row>
    <row r="3822">
      <c r="A3822" s="3" t="inlineStr">
        <is>
          <t>DeepSeek</t>
        </is>
      </c>
      <c r="B3822" s="3" t="n">
        <v>2027</v>
      </c>
      <c r="C3822" s="3" t="inlineStr">
        <is>
          <t>Grid-Constrained / Efficiency-Upside</t>
        </is>
      </c>
      <c r="D3822" s="3" t="inlineStr">
        <is>
          <t>active_power_gw</t>
        </is>
      </c>
      <c r="E3822" s="3" t="n">
        <v>0.346</v>
      </c>
      <c r="F3822" s="3" t="inlineStr">
        <is>
          <t>GW</t>
        </is>
      </c>
      <c r="G3822" s="3" t="inlineStr">
        <is>
          <t>Derived scenario</t>
        </is>
      </c>
      <c r="H3822" s="3" t="inlineStr">
        <is>
          <t>contracted_power_gw * operational_deployment_share</t>
        </is>
      </c>
      <c r="I3822" s="3" t="inlineStr">
        <is>
          <t>Active GW is conservative because operated cluster scale beyond disclosed infrastructure is not public.</t>
        </is>
      </c>
      <c r="J3822" s="3" t="inlineStr">
        <is>
          <t>SRC_DEEPSEEK_H800_INFERENCE; ASSUMP_CN_CAPACITY_TRANSPARENCY</t>
        </is>
      </c>
      <c r="K3822" s="3" t="inlineStr">
        <is>
          <t>ASSUMP_MOE_EFFICIENCY; ASSUMP_CN_CAPACITY_TRANSPARENCY; ASSUMP_NUMERIC_ACCELERATOR_MIX; ASSUMP_INFERENCE_SHARE_NOT_FACT_60; ASSUMP_WORKLOAD_CLASS_MIX; ASSUMP_AGENTIC_CONTEXT_PENALTY</t>
        </is>
      </c>
      <c r="L3822" s="3" t="inlineStr">
        <is>
          <t>Energization dates, accelerator deliveries and operational powered-rack telemetry.</t>
        </is>
      </c>
    </row>
    <row r="3823">
      <c r="A3823" s="3" t="inlineStr">
        <is>
          <t>DeepSeek</t>
        </is>
      </c>
      <c r="B3823" s="3" t="n">
        <v>2027</v>
      </c>
      <c r="C3823" s="3" t="inlineStr">
        <is>
          <t>Grid-Constrained / Efficiency-Upside</t>
        </is>
      </c>
      <c r="D3823" s="3" t="inlineStr">
        <is>
          <t>pue</t>
        </is>
      </c>
      <c r="E3823" s="3" t="n">
        <v>1.24</v>
      </c>
      <c r="F3823" s="3" t="inlineStr">
        <is>
          <t>ratio</t>
        </is>
      </c>
      <c r="G3823" s="3" t="inlineStr">
        <is>
          <t>Scenario parameter</t>
        </is>
      </c>
      <c r="H3823" s="3" t="inlineStr">
        <is>
          <t>it_load_gw = active_power_gw / pue</t>
        </is>
      </c>
      <c r="I3823" s="3" t="inlineStr">
        <is>
          <t>No provider-wide site-level PUE is used as a disclosed fact; PUE represents facility-to-IT conversion within the scenario.</t>
        </is>
      </c>
      <c r="J3823" s="3" t="inlineStr">
        <is>
          <t>ASSUMP_POWER_RAMP</t>
        </is>
      </c>
      <c r="K3823" s="3" t="inlineStr">
        <is>
          <t>ASSUMP_MOE_EFFICIENCY; ASSUMP_CN_CAPACITY_TRANSPARENCY; ASSUMP_NUMERIC_ACCELERATOR_MIX; ASSUMP_INFERENCE_SHARE_NOT_FACT_60; ASSUMP_WORKLOAD_CLASS_MIX; ASSUMP_AGENTIC_CONTEXT_PENALTY</t>
        </is>
      </c>
      <c r="L3823" s="3" t="inlineStr">
        <is>
          <t>Site-level measured PUE matched to attributed AI capacity.</t>
        </is>
      </c>
    </row>
    <row r="3824">
      <c r="A3824" s="3" t="inlineStr">
        <is>
          <t>DeepSeek</t>
        </is>
      </c>
      <c r="B3824" s="3" t="n">
        <v>2027</v>
      </c>
      <c r="C3824" s="3" t="inlineStr">
        <is>
          <t>Grid-Constrained / Efficiency-Upside</t>
        </is>
      </c>
      <c r="D3824" s="3" t="inlineStr">
        <is>
          <t>it_load_gw</t>
        </is>
      </c>
      <c r="E3824" s="3" t="n">
        <v>0.279</v>
      </c>
      <c r="F3824" s="3" t="inlineStr">
        <is>
          <t>GW</t>
        </is>
      </c>
      <c r="G3824" s="3" t="inlineStr">
        <is>
          <t>Derived formula</t>
        </is>
      </c>
      <c r="H3824" s="3" t="inlineStr">
        <is>
          <t>active_power_gw / pue</t>
        </is>
      </c>
      <c r="I3824" s="3" t="inlineStr">
        <is>
          <t>Facility power is converted to IT-deliverable power before attributing AI workloads.</t>
        </is>
      </c>
      <c r="J3824" s="3" t="inlineStr">
        <is>
          <t>SRC_DEEPSEEK_H800_INFERENCE; ASSUMP_CN_CAPACITY_TRANSPARENCY</t>
        </is>
      </c>
      <c r="K3824" s="3" t="inlineStr">
        <is>
          <t>ASSUMP_MOE_EFFICIENCY; ASSUMP_CN_CAPACITY_TRANSPARENCY; ASSUMP_NUMERIC_ACCELERATOR_MIX; ASSUMP_INFERENCE_SHARE_NOT_FACT_60; ASSUMP_WORKLOAD_CLASS_MIX; ASSUMP_AGENTIC_CONTEXT_PENALTY</t>
        </is>
      </c>
      <c r="L3824" s="3" t="inlineStr">
        <is>
          <t>Recompute once active power and PUE become site-observable.</t>
        </is>
      </c>
    </row>
    <row r="3825">
      <c r="A3825" s="3" t="inlineStr">
        <is>
          <t>DeepSeek</t>
        </is>
      </c>
      <c r="B3825" s="3" t="n">
        <v>2027</v>
      </c>
      <c r="C3825" s="3" t="inlineStr">
        <is>
          <t>Grid-Constrained / Efficiency-Upside</t>
        </is>
      </c>
      <c r="D3825" s="3" t="inlineStr">
        <is>
          <t>ai_workload_share</t>
        </is>
      </c>
      <c r="E3825" s="3" t="n">
        <v>0.82</v>
      </c>
      <c r="F3825" s="3" t="inlineStr">
        <is>
          <t>share</t>
        </is>
      </c>
      <c r="G3825" s="3" t="inlineStr">
        <is>
          <t>Scenario allocation</t>
        </is>
      </c>
      <c r="H3825" s="3" t="inlineStr">
        <is>
          <t>ai_it_load_gw = it_load_gw * ai_workload_share</t>
        </is>
      </c>
      <c r="I3825" s="3" t="inlineStr">
        <is>
          <t>DeepSeek-operated service capacity is modeled as AI-focused, reduced for reserve and ancillary processing.</t>
        </is>
      </c>
      <c r="J3825" s="3" t="inlineStr">
        <is>
          <t>SRC_DEEPSEEK_V3; SRC_DEEPSEEK_R1; SRC_DEEPSEEK_H800_INFERENCE; SRC_EPOCH_AI_DATA_CENTERS</t>
        </is>
      </c>
      <c r="K3825" s="3" t="inlineStr">
        <is>
          <t>ASSUMP_MOE_EFFICIENCY; ASSUMP_CN_CAPACITY_TRANSPARENCY; ASSUMP_NUMERIC_ACCELERATOR_MIX; ASSUMP_INFERENCE_SHARE_NOT_FACT_60; ASSUMP_WORKLOAD_CLASS_MIX; ASSUMP_AGENTIC_CONTEXT_PENALTY</t>
        </is>
      </c>
      <c r="L3825" s="3" t="inlineStr">
        <is>
          <t>Model-owner AI workload allocation or cluster scheduling telemetry.</t>
        </is>
      </c>
    </row>
    <row r="3826">
      <c r="A3826" s="3" t="inlineStr">
        <is>
          <t>DeepSeek</t>
        </is>
      </c>
      <c r="B3826" s="3" t="n">
        <v>2027</v>
      </c>
      <c r="C3826" s="3" t="inlineStr">
        <is>
          <t>Grid-Constrained / Efficiency-Upside</t>
        </is>
      </c>
      <c r="D3826" s="3" t="inlineStr">
        <is>
          <t>ai_it_load_gw</t>
        </is>
      </c>
      <c r="E3826" s="3" t="n">
        <v>0.229</v>
      </c>
      <c r="F3826" s="3" t="inlineStr">
        <is>
          <t>GW</t>
        </is>
      </c>
      <c r="G3826" s="3" t="inlineStr">
        <is>
          <t>Derived formula</t>
        </is>
      </c>
      <c r="H3826" s="3" t="inlineStr">
        <is>
          <t>it_load_gw * ai_workload_share</t>
        </is>
      </c>
      <c r="I3826" s="3" t="inlineStr">
        <is>
          <t>Only the AI-attributed portion of IT load enters training/inference allocation.</t>
        </is>
      </c>
      <c r="J3826" s="3" t="inlineStr">
        <is>
          <t>SRC_DEEPSEEK_V3; SRC_DEEPSEEK_R1; SRC_DEEPSEEK_H800_INFERENCE; SRC_EPOCH_AI_DATA_CENTERS</t>
        </is>
      </c>
      <c r="K3826" s="3" t="inlineStr">
        <is>
          <t>ASSUMP_MOE_EFFICIENCY; ASSUMP_CN_CAPACITY_TRANSPARENCY; ASSUMP_NUMERIC_ACCELERATOR_MIX; ASSUMP_INFERENCE_SHARE_NOT_FACT_60; ASSUMP_WORKLOAD_CLASS_MIX; ASSUMP_AGENTIC_CONTEXT_PENALTY</t>
        </is>
      </c>
      <c r="L3826" s="3" t="inlineStr">
        <is>
          <t>Recompute after ai_workload_share is replaced by telemetry.</t>
        </is>
      </c>
    </row>
    <row r="3827">
      <c r="A3827" s="3" t="inlineStr">
        <is>
          <t>DeepSeek</t>
        </is>
      </c>
      <c r="B3827" s="3" t="n">
        <v>2027</v>
      </c>
      <c r="C3827" s="3" t="inlineStr">
        <is>
          <t>Grid-Constrained / Efficiency-Upside</t>
        </is>
      </c>
      <c r="D3827" s="3" t="inlineStr">
        <is>
          <t>gpu_share</t>
        </is>
      </c>
      <c r="E3827" s="3" t="n">
        <v>1</v>
      </c>
      <c r="F3827" s="3" t="inlineStr">
        <is>
          <t>share of inference-serving accelerator load</t>
        </is>
      </c>
      <c r="G3827" s="3" t="inlineStr">
        <is>
          <t>Numeric scenario</t>
        </is>
      </c>
      <c r="H3827" s="3" t="inlineStr">
        <is>
          <t>gpu_share interpolated from company 2026/2030 accelerator-mix endpoints</t>
        </is>
      </c>
      <c r="I3827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27" s="3" t="inlineStr">
        <is>
          <t>SRC_DEEPSEEK_V3; SRC_DEEPSEEK_R1; SRC_DEEPSEEK_H800_INFERENCE; SRC_EPOCH_AI_DATA_CENTERS; ASSUMP_NUMERIC_ACCELERATOR_MIX</t>
        </is>
      </c>
      <c r="K3827" s="3" t="inlineStr">
        <is>
          <t>ASSUMP_MOE_EFFICIENCY; ASSUMP_CN_CAPACITY_TRANSPARENCY; ASSUMP_NUMERIC_ACCELERATOR_MIX; ASSUMP_INFERENCE_SHARE_NOT_FACT_60; ASSUMP_WORKLOAD_CLASS_MIX; ASSUMP_AGENTIC_CONTEXT_PENALTY</t>
        </is>
      </c>
      <c r="L3827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28">
      <c r="A3828" s="3" t="inlineStr">
        <is>
          <t>DeepSeek</t>
        </is>
      </c>
      <c r="B3828" s="3" t="n">
        <v>2027</v>
      </c>
      <c r="C3828" s="3" t="inlineStr">
        <is>
          <t>Grid-Constrained / Efficiency-Upside</t>
        </is>
      </c>
      <c r="D3828" s="3" t="inlineStr">
        <is>
          <t>h200_share</t>
        </is>
      </c>
      <c r="E3828" s="3" t="n">
        <v>0.438</v>
      </c>
      <c r="F3828" s="3" t="inlineStr">
        <is>
          <t>share of inference-serving accelerator load</t>
        </is>
      </c>
      <c r="G3828" s="3" t="inlineStr">
        <is>
          <t>Editable numeric scenario</t>
        </is>
      </c>
      <c r="H3828" s="3" t="inlineStr">
        <is>
          <t>h200_share = gpu_share * default_gpu_generation_mix_h200</t>
        </is>
      </c>
      <c r="I3828" s="3" t="inlineStr">
        <is>
          <t>Default GPU-generation migration assumption; executive workbook allows later manual replacement by company/year/scenario.</t>
        </is>
      </c>
      <c r="J3828" s="3" t="inlineStr">
        <is>
          <t>SRC_SEMIANALYSIS_INFERENCEX; ASSUMP_NUMERIC_ACCELERATOR_MIX</t>
        </is>
      </c>
      <c r="K3828" s="3" t="inlineStr">
        <is>
          <t>ASSUMP_MOE_EFFICIENCY; ASSUMP_CN_CAPACITY_TRANSPARENCY; ASSUMP_NUMERIC_ACCELERATOR_MIX; ASSUMP_INFERENCE_SHARE_NOT_FACT_60; ASSUMP_WORKLOAD_CLASS_MIX; ASSUMP_AGENTIC_CONTEXT_PENALTY</t>
        </is>
      </c>
      <c r="L3828" s="3" t="inlineStr">
        <is>
          <t>Company fleet inventory, accelerator-hours or procurement/deployment records by GPU generation.</t>
        </is>
      </c>
    </row>
    <row r="3829">
      <c r="A3829" s="3" t="inlineStr">
        <is>
          <t>DeepSeek</t>
        </is>
      </c>
      <c r="B3829" s="3" t="n">
        <v>2027</v>
      </c>
      <c r="C3829" s="3" t="inlineStr">
        <is>
          <t>Grid-Constrained / Efficiency-Upside</t>
        </is>
      </c>
      <c r="D3829" s="3" t="inlineStr">
        <is>
          <t>b200_share</t>
        </is>
      </c>
      <c r="E3829" s="3" t="n">
        <v>0.388</v>
      </c>
      <c r="F3829" s="3" t="inlineStr">
        <is>
          <t>share of inference-serving accelerator load</t>
        </is>
      </c>
      <c r="G3829" s="3" t="inlineStr">
        <is>
          <t>Editable numeric scenario</t>
        </is>
      </c>
      <c r="H3829" s="3" t="inlineStr">
        <is>
          <t>b200_share = gpu_share * default_gpu_generation_mix_b200</t>
        </is>
      </c>
      <c r="I3829" s="3" t="inlineStr">
        <is>
          <t>Default GPU-generation migration assumption; executive workbook allows later manual replacement by company/year/scenario.</t>
        </is>
      </c>
      <c r="J3829" s="3" t="inlineStr">
        <is>
          <t>SRC_SEMIANALYSIS_INFERENCEX; ASSUMP_NUMERIC_ACCELERATOR_MIX</t>
        </is>
      </c>
      <c r="K3829" s="3" t="inlineStr">
        <is>
          <t>ASSUMP_MOE_EFFICIENCY; ASSUMP_CN_CAPACITY_TRANSPARENCY; ASSUMP_NUMERIC_ACCELERATOR_MIX; ASSUMP_INFERENCE_SHARE_NOT_FACT_60; ASSUMP_WORKLOAD_CLASS_MIX; ASSUMP_AGENTIC_CONTEXT_PENALTY</t>
        </is>
      </c>
      <c r="L3829" s="3" t="inlineStr">
        <is>
          <t>Company fleet inventory, accelerator-hours or procurement/deployment records by GPU generation.</t>
        </is>
      </c>
    </row>
    <row r="3830">
      <c r="A3830" s="3" t="inlineStr">
        <is>
          <t>DeepSeek</t>
        </is>
      </c>
      <c r="B3830" s="3" t="n">
        <v>2027</v>
      </c>
      <c r="C3830" s="3" t="inlineStr">
        <is>
          <t>Grid-Constrained / Efficiency-Upside</t>
        </is>
      </c>
      <c r="D3830" s="3" t="inlineStr">
        <is>
          <t>gb200_share</t>
        </is>
      </c>
      <c r="E3830" s="3" t="n">
        <v>0.174</v>
      </c>
      <c r="F3830" s="3" t="inlineStr">
        <is>
          <t>share of inference-serving accelerator load</t>
        </is>
      </c>
      <c r="G3830" s="3" t="inlineStr">
        <is>
          <t>Editable numeric scenario</t>
        </is>
      </c>
      <c r="H3830" s="3" t="inlineStr">
        <is>
          <t>gb200_share = gpu_share * default_gpu_generation_mix_gb200</t>
        </is>
      </c>
      <c r="I3830" s="3" t="inlineStr">
        <is>
          <t>Default GPU-generation migration assumption; executive workbook allows later manual replacement by company/year/scenario.</t>
        </is>
      </c>
      <c r="J3830" s="3" t="inlineStr">
        <is>
          <t>SRC_SEMIANALYSIS_INFERENCEX; ASSUMP_NUMERIC_ACCELERATOR_MIX</t>
        </is>
      </c>
      <c r="K3830" s="3" t="inlineStr">
        <is>
          <t>ASSUMP_MOE_EFFICIENCY; ASSUMP_CN_CAPACITY_TRANSPARENCY; ASSUMP_NUMERIC_ACCELERATOR_MIX; ASSUMP_INFERENCE_SHARE_NOT_FACT_60; ASSUMP_WORKLOAD_CLASS_MIX; ASSUMP_AGENTIC_CONTEXT_PENALTY</t>
        </is>
      </c>
      <c r="L3830" s="3" t="inlineStr">
        <is>
          <t>Company fleet inventory, accelerator-hours or procurement/deployment records by GPU generation.</t>
        </is>
      </c>
    </row>
    <row r="3831">
      <c r="A3831" s="3" t="inlineStr">
        <is>
          <t>DeepSeek</t>
        </is>
      </c>
      <c r="B3831" s="3" t="n">
        <v>2027</v>
      </c>
      <c r="C3831" s="3" t="inlineStr">
        <is>
          <t>Grid-Constrained / Efficiency-Upside</t>
        </is>
      </c>
      <c r="D3831" s="3" t="inlineStr">
        <is>
          <t>purpose_built_accelerator_share</t>
        </is>
      </c>
      <c r="E3831" s="3" t="n">
        <v>0</v>
      </c>
      <c r="F3831" s="3" t="inlineStr">
        <is>
          <t>share of inference-serving accelerator load</t>
        </is>
      </c>
      <c r="G3831" s="3" t="inlineStr">
        <is>
          <t>Numeric scenario</t>
        </is>
      </c>
      <c r="H3831" s="3" t="inlineStr">
        <is>
          <t>1 - gpu_share</t>
        </is>
      </c>
      <c r="I3831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31" s="3" t="inlineStr">
        <is>
          <t>SRC_DEEPSEEK_V3; SRC_DEEPSEEK_R1; SRC_DEEPSEEK_H800_INFERENCE; SRC_EPOCH_AI_DATA_CENTERS; ASSUMP_NUMERIC_ACCELERATOR_MIX</t>
        </is>
      </c>
      <c r="K3831" s="3" t="inlineStr">
        <is>
          <t>ASSUMP_MOE_EFFICIENCY; ASSUMP_CN_CAPACITY_TRANSPARENCY; ASSUMP_NUMERIC_ACCELERATOR_MIX; ASSUMP_INFERENCE_SHARE_NOT_FACT_60; ASSUMP_WORKLOAD_CLASS_MIX; ASSUMP_AGENTIC_CONTEXT_PENALTY</t>
        </is>
      </c>
      <c r="L3831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32">
      <c r="A3832" s="3" t="inlineStr">
        <is>
          <t>DeepSeek</t>
        </is>
      </c>
      <c r="B3832" s="3" t="n">
        <v>2027</v>
      </c>
      <c r="C3832" s="3" t="inlineStr">
        <is>
          <t>Grid-Constrained / Efficiency-Upside</t>
        </is>
      </c>
      <c r="D3832" s="3" t="inlineStr">
        <is>
          <t>fleet_reference_tps_per_mw</t>
        </is>
      </c>
      <c r="E3832" s="3" t="n">
        <v>151424</v>
      </c>
      <c r="F3832" s="3" t="inlineStr">
        <is>
          <t>generated output tokens/sec/MW</t>
        </is>
      </c>
      <c r="G3832" s="3" t="inlineStr">
        <is>
          <t>Fleet-weighted public benchmark reference</t>
        </is>
      </c>
      <c r="H3832" s="3" t="inlineStr">
        <is>
          <t>h200_share*h200_workload_avg + b200_share*b200_workload_avg + gb200_share*gb200_workload_avg + purpose_built_share*purpose_workload_avg</t>
        </is>
      </c>
      <c r="I3832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32" s="3" t="inlineStr">
        <is>
          <t>SRC_SEMIANALYSIS_INFERENCEX; ASSUMP_NUMERIC_ACCELERATOR_MIX; ASSUMP_WORKLOAD_CLASS_MIX; ASSUMP_AGENTIC_CONTEXT_PENALTY</t>
        </is>
      </c>
      <c r="K3832" s="3" t="inlineStr">
        <is>
          <t>ASSUMP_MOE_EFFICIENCY; ASSUMP_CN_CAPACITY_TRANSPARENCY; ASSUMP_NUMERIC_ACCELERATOR_MIX; ASSUMP_INFERENCE_SHARE_NOT_FACT_60; ASSUMP_WORKLOAD_CLASS_MIX; ASSUMP_AGENTIC_CONTEXT_PENALTY</t>
        </is>
      </c>
      <c r="L3832" s="3" t="inlineStr">
        <is>
          <t>Comparable production output-token throughput or a more closely matched benchmark.</t>
        </is>
      </c>
    </row>
    <row r="3833">
      <c r="A3833" s="3" t="inlineStr">
        <is>
          <t>DeepSeek</t>
        </is>
      </c>
      <c r="B3833" s="3" t="n">
        <v>2027</v>
      </c>
      <c r="C3833" s="3" t="inlineStr">
        <is>
          <t>Grid-Constrained / Efficiency-Upside</t>
        </is>
      </c>
      <c r="D3833" s="3" t="inlineStr">
        <is>
          <t>commercial_workload_fit_factor</t>
        </is>
      </c>
      <c r="E3833" s="3" t="n">
        <v>0.85</v>
      </c>
      <c r="F3833" s="3" t="inlineStr">
        <is>
          <t>share of public reference throughput</t>
        </is>
      </c>
      <c r="G3833" s="3" t="inlineStr">
        <is>
          <t>Scenario assumption</t>
        </is>
      </c>
      <c r="H3833" s="3" t="inlineStr">
        <is>
          <t>reference_serving_tps_per_mw = fleet_reference_tps_per_mw * commercial_workload_fit_factor</t>
        </is>
      </c>
      <c r="I3833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33" s="3" t="inlineStr">
        <is>
          <t>SRC_SEMIANALYSIS_INFERENCEX; ASSUMP_NUMERIC_ACCELERATOR_MIX; ASSUMP_WORKLOAD_CLASS_MIX; ASSUMP_AGENTIC_CONTEXT_PENALTY</t>
        </is>
      </c>
      <c r="K3833" s="3" t="inlineStr">
        <is>
          <t>ASSUMP_MOE_EFFICIENCY; ASSUMP_CN_CAPACITY_TRANSPARENCY; ASSUMP_NUMERIC_ACCELERATOR_MIX; ASSUMP_INFERENCE_SHARE_NOT_FACT_60; ASSUMP_WORKLOAD_CLASS_MIX; ASSUMP_AGENTIC_CONTEXT_PENALTY</t>
        </is>
      </c>
      <c r="L3833" s="3" t="inlineStr">
        <is>
          <t>Matched commercial serving benchmark by product surface, context shape and latency SLO.</t>
        </is>
      </c>
    </row>
    <row r="3834">
      <c r="A3834" s="3" t="inlineStr">
        <is>
          <t>DeepSeek</t>
        </is>
      </c>
      <c r="B3834" s="3" t="n">
        <v>2027</v>
      </c>
      <c r="C3834" s="3" t="inlineStr">
        <is>
          <t>Grid-Constrained / Efficiency-Upside</t>
        </is>
      </c>
      <c r="D3834" s="3" t="inlineStr">
        <is>
          <t>reference_serving_tps_per_mw</t>
        </is>
      </c>
      <c r="E3834" s="3" t="n">
        <v>128710</v>
      </c>
      <c r="F3834" s="3" t="inlineStr">
        <is>
          <t>generated output tokens/sec/MW</t>
        </is>
      </c>
      <c r="G3834" s="3" t="inlineStr">
        <is>
          <t>Workload-adjusted benchmark proxy</t>
        </is>
      </c>
      <c r="H3834" s="3" t="inlineStr">
        <is>
          <t>fleet_reference_tps_per_mw * commercial_workload_fit_factor</t>
        </is>
      </c>
      <c r="I3834" s="3" t="inlineStr">
        <is>
          <t>This is the coefficient used for headline token generation; each GPU's short chat, long chat and agentic TPS/MW are weighted before fleet mix and commercial fit are applied.</t>
        </is>
      </c>
      <c r="J3834" s="3" t="inlineStr">
        <is>
          <t>SRC_SEMIANALYSIS_INFERENCEX; ASSUMP_NUMERIC_ACCELERATOR_MIX; ASSUMP_WORKLOAD_CLASS_MIX; ASSUMP_AGENTIC_CONTEXT_PENALTY</t>
        </is>
      </c>
      <c r="K3834" s="3" t="inlineStr">
        <is>
          <t>ASSUMP_MOE_EFFICIENCY; ASSUMP_CN_CAPACITY_TRANSPARENCY; ASSUMP_NUMERIC_ACCELERATOR_MIX; ASSUMP_INFERENCE_SHARE_NOT_FACT_60; ASSUMP_WORKLOAD_CLASS_MIX; ASSUMP_AGENTIC_CONTEXT_PENALTY</t>
        </is>
      </c>
      <c r="L3834" s="3" t="inlineStr">
        <is>
          <t>Provider production output-token throughput with comparable workload/SLO.</t>
        </is>
      </c>
    </row>
    <row r="3835">
      <c r="A3835" s="3" t="inlineStr">
        <is>
          <t>DeepSeek</t>
        </is>
      </c>
      <c r="B3835" s="3" t="n">
        <v>2027</v>
      </c>
      <c r="C3835" s="3" t="inlineStr">
        <is>
          <t>Grid-Constrained / Efficiency-Upside</t>
        </is>
      </c>
      <c r="D3835" s="3" t="inlineStr">
        <is>
          <t>purpose_built_tps_per_mw</t>
        </is>
      </c>
      <c r="E3835" s="3" t="n">
        <v>334536</v>
      </c>
      <c r="F3835" s="3" t="inlineStr">
        <is>
          <t>generated output tokens/sec/MW</t>
        </is>
      </c>
      <c r="G3835" s="3" t="inlineStr">
        <is>
          <t>Conservative no-uplift proxy</t>
        </is>
      </c>
      <c r="H3835" s="3" t="inlineStr">
        <is>
          <t>purpose_built_tps_per_mw = purpose_built_reference_tps_per_mw * commercial_workload_fit_factor until comparable output-token benchmark is adopted</t>
        </is>
      </c>
      <c r="I3835" s="3" t="inlineStr">
        <is>
          <t>No comparable public output-token/MW row adopted; B200 public reference placeholder is used and remains editable.</t>
        </is>
      </c>
      <c r="J3835" s="3" t="inlineStr">
        <is>
          <t>SRC_DEEPSEEK_V3; SRC_DEEPSEEK_R1; SRC_DEEPSEEK_H800_INFERENCE; SRC_EPOCH_AI_DATA_CENTERS; ASSUMP_NUMERIC_ACCELERATOR_MIX</t>
        </is>
      </c>
      <c r="K3835" s="3" t="inlineStr">
        <is>
          <t>ASSUMP_MOE_EFFICIENCY; ASSUMP_CN_CAPACITY_TRANSPARENCY; ASSUMP_NUMERIC_ACCELERATOR_MIX; ASSUMP_INFERENCE_SHARE_NOT_FACT_60; ASSUMP_WORKLOAD_CLASS_MIX; ASSUMP_AGENTIC_CONTEXT_PENALTY</t>
        </is>
      </c>
      <c r="L3835" s="3" t="inlineStr">
        <is>
          <t>Matched-workload generated-output benchmark for the provider purpose-built accelerator.</t>
        </is>
      </c>
    </row>
    <row r="3836">
      <c r="A3836" s="3" t="inlineStr">
        <is>
          <t>DeepSeek</t>
        </is>
      </c>
      <c r="B3836" s="3" t="n">
        <v>2027</v>
      </c>
      <c r="C3836" s="3" t="inlineStr">
        <is>
          <t>Grid-Constrained / Efficiency-Upside</t>
        </is>
      </c>
      <c r="D3836" s="3" t="inlineStr">
        <is>
          <t>inference_power_share</t>
        </is>
      </c>
      <c r="E3836" s="3" t="n">
        <v>0.695</v>
      </c>
      <c r="F3836" s="3" t="inlineStr">
        <is>
          <t>share of AI IT load</t>
        </is>
      </c>
      <c r="G3836" s="3" t="inlineStr">
        <is>
          <t>Scenario allocation</t>
        </is>
      </c>
      <c r="H3836" s="3" t="inlineStr">
        <is>
          <t>inference_gw = ai_it_load_gw * inference_power_share</t>
        </is>
      </c>
      <c r="I3836" s="3" t="inlineStr">
        <is>
          <t>API/app availability and inference-system disclosure support higher inference share; the value remains scenario.</t>
        </is>
      </c>
      <c r="J3836" s="3" t="inlineStr">
        <is>
          <t>SRC_DEEPSEEK_V3; SRC_DEEPSEEK_R1; SRC_DEEPSEEK_H800_INFERENCE; SRC_EPOCH_AI_DATA_CENTERS; ASSUMP_INFERENCE_SHARE_NOT_FACT_60</t>
        </is>
      </c>
      <c r="K3836" s="3" t="inlineStr">
        <is>
          <t>ASSUMP_MOE_EFFICIENCY; ASSUMP_CN_CAPACITY_TRANSPARENCY; ASSUMP_NUMERIC_ACCELERATOR_MIX; ASSUMP_INFERENCE_SHARE_NOT_FACT_60; ASSUMP_WORKLOAD_CLASS_MIX; ASSUMP_AGENTIC_CONTEXT_PENALTY</t>
        </is>
      </c>
      <c r="L3836" s="3" t="inlineStr">
        <is>
          <t>Provider-specific inference/training workload power telemetry.</t>
        </is>
      </c>
    </row>
    <row r="3837">
      <c r="A3837" s="3" t="inlineStr">
        <is>
          <t>DeepSeek</t>
        </is>
      </c>
      <c r="B3837" s="3" t="n">
        <v>2027</v>
      </c>
      <c r="C3837" s="3" t="inlineStr">
        <is>
          <t>Grid-Constrained / Efficiency-Upside</t>
        </is>
      </c>
      <c r="D3837" s="3" t="inlineStr">
        <is>
          <t>inference_gw</t>
        </is>
      </c>
      <c r="E3837" s="3" t="n">
        <v>0.159</v>
      </c>
      <c r="F3837" s="3" t="inlineStr">
        <is>
          <t>GW</t>
        </is>
      </c>
      <c r="G3837" s="3" t="inlineStr">
        <is>
          <t>Derived formula</t>
        </is>
      </c>
      <c r="H3837" s="3" t="inlineStr">
        <is>
          <t>ai_it_load_gw * inference_power_share</t>
        </is>
      </c>
      <c r="I3837" s="3" t="inlineStr">
        <is>
          <t>This is the operational power eligible to become commercial generated output tokens through the selected TPS/MW proxy.</t>
        </is>
      </c>
      <c r="J3837" s="3" t="inlineStr">
        <is>
          <t>SRC_DEEPSEEK_V3; SRC_DEEPSEEK_R1; SRC_DEEPSEEK_H800_INFERENCE; SRC_EPOCH_AI_DATA_CENTERS</t>
        </is>
      </c>
      <c r="K3837" s="3" t="inlineStr">
        <is>
          <t>ASSUMP_MOE_EFFICIENCY; ASSUMP_CN_CAPACITY_TRANSPARENCY; ASSUMP_NUMERIC_ACCELERATOR_MIX; ASSUMP_INFERENCE_SHARE_NOT_FACT_60; ASSUMP_WORKLOAD_CLASS_MIX; ASSUMP_AGENTIC_CONTEXT_PENALTY</t>
        </is>
      </c>
      <c r="L3837" s="3" t="inlineStr">
        <is>
          <t>Recompute after AI allocation or inference-share evidence changes.</t>
        </is>
      </c>
    </row>
    <row r="3838">
      <c r="A3838" s="3" t="inlineStr">
        <is>
          <t>DeepSeek</t>
        </is>
      </c>
      <c r="B3838" s="3" t="n">
        <v>2027</v>
      </c>
      <c r="C3838" s="3" t="inlineStr">
        <is>
          <t>Grid-Constrained / Efficiency-Upside</t>
        </is>
      </c>
      <c r="D3838" s="3" t="inlineStr">
        <is>
          <t>training_power_share</t>
        </is>
      </c>
      <c r="E3838" s="3" t="n">
        <v>0.305</v>
      </c>
      <c r="F3838" s="3" t="inlineStr">
        <is>
          <t>share of AI IT load</t>
        </is>
      </c>
      <c r="G3838" s="3" t="inlineStr">
        <is>
          <t>Derived allocation</t>
        </is>
      </c>
      <c r="H3838" s="3" t="inlineStr">
        <is>
          <t>1 - inference_power_share</t>
        </is>
      </c>
      <c r="I3838" s="3" t="inlineStr">
        <is>
          <t>Training receives the complementary modeled AI IT allocation; it is not a disclosed company workload split.</t>
        </is>
      </c>
      <c r="J3838" s="3" t="inlineStr">
        <is>
          <t>SRC_DEEPSEEK_V3; SRC_DEEPSEEK_R1; SRC_DEEPSEEK_H800_INFERENCE; SRC_EPOCH_AI_DATA_CENTERS; ASSUMP_INFERENCE_SHARE_NOT_FACT_60</t>
        </is>
      </c>
      <c r="K3838" s="3" t="inlineStr">
        <is>
          <t>ASSUMP_MOE_EFFICIENCY; ASSUMP_CN_CAPACITY_TRANSPARENCY; ASSUMP_NUMERIC_ACCELERATOR_MIX; ASSUMP_INFERENCE_SHARE_NOT_FACT_60; ASSUMP_WORKLOAD_CLASS_MIX; ASSUMP_AGENTIC_CONTEXT_PENALTY</t>
        </is>
      </c>
      <c r="L3838" s="3" t="inlineStr">
        <is>
          <t>Provider-specific inference/training workload power telemetry.</t>
        </is>
      </c>
    </row>
    <row r="3839">
      <c r="A3839" s="3" t="inlineStr">
        <is>
          <t>DeepSeek</t>
        </is>
      </c>
      <c r="B3839" s="3" t="n">
        <v>2027</v>
      </c>
      <c r="C3839" s="3" t="inlineStr">
        <is>
          <t>Grid-Constrained / Efficiency-Upside</t>
        </is>
      </c>
      <c r="D3839" s="3" t="inlineStr">
        <is>
          <t>training_gw</t>
        </is>
      </c>
      <c r="E3839" s="3" t="n">
        <v>0.07000000000000001</v>
      </c>
      <c r="F3839" s="3" t="inlineStr">
        <is>
          <t>GW</t>
        </is>
      </c>
      <c r="G3839" s="3" t="inlineStr">
        <is>
          <t>Derived formula</t>
        </is>
      </c>
      <c r="H3839" s="3" t="inlineStr">
        <is>
          <t>ai_it_load_gw * training_power_share</t>
        </is>
      </c>
      <c r="I3839" s="3" t="inlineStr">
        <is>
          <t>Training GW is shown separately so commercial inference token capacity is not overstated.</t>
        </is>
      </c>
      <c r="J3839" s="3" t="inlineStr">
        <is>
          <t>SRC_DEEPSEEK_V3; SRC_DEEPSEEK_R1; SRC_DEEPSEEK_H800_INFERENCE; SRC_EPOCH_AI_DATA_CENTERS</t>
        </is>
      </c>
      <c r="K3839" s="3" t="inlineStr">
        <is>
          <t>ASSUMP_MOE_EFFICIENCY; ASSUMP_CN_CAPACITY_TRANSPARENCY; ASSUMP_NUMERIC_ACCELERATOR_MIX; ASSUMP_INFERENCE_SHARE_NOT_FACT_60; ASSUMP_WORKLOAD_CLASS_MIX; ASSUMP_AGENTIC_CONTEXT_PENALTY</t>
        </is>
      </c>
      <c r="L3839" s="3" t="inlineStr">
        <is>
          <t>Recompute after AI allocation or workload-split evidence changes.</t>
        </is>
      </c>
    </row>
    <row r="3840">
      <c r="A3840" s="3" t="inlineStr">
        <is>
          <t>DeepSeek</t>
        </is>
      </c>
      <c r="B3840" s="3" t="n">
        <v>2027</v>
      </c>
      <c r="C3840" s="3" t="inlineStr">
        <is>
          <t>Grid-Constrained / Efficiency-Upside</t>
        </is>
      </c>
      <c r="D3840" s="3" t="inlineStr">
        <is>
          <t>tokens_per_second_per_mw</t>
        </is>
      </c>
      <c r="E3840" s="3" t="n">
        <v>128710</v>
      </c>
      <c r="F3840" s="3" t="inlineStr">
        <is>
          <t>generated output tokens/sec/MW</t>
        </is>
      </c>
      <c r="G3840" s="3" t="inlineStr">
        <is>
          <t>Derived estimate + benchmark calibration</t>
        </is>
      </c>
      <c r="H3840" s="3" t="inlineStr">
        <is>
          <t>fleet_reference_tps_per_mw * commercial_workload_fit_factor</t>
        </is>
      </c>
      <c r="I3840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40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40" s="3" t="inlineStr">
        <is>
          <t>ASSUMP_MOE_EFFICIENCY; ASSUMP_CN_CAPACITY_TRANSPARENCY; ASSUMP_NUMERIC_ACCELERATOR_MIX; ASSUMP_INFERENCE_SHARE_NOT_FACT_60; ASSUMP_WORKLOAD_CLASS_MIX; ASSUMP_AGENTIC_CONTEXT_PENALTY</t>
        </is>
      </c>
      <c r="L3840" s="3" t="inlineStr">
        <is>
          <t>Comparable production output-token throughput with model, hardware, precision, ISL/OSL and SLO matched.</t>
        </is>
      </c>
    </row>
    <row r="3841">
      <c r="A3841" s="3" t="inlineStr">
        <is>
          <t>DeepSeek</t>
        </is>
      </c>
      <c r="B3841" s="3" t="n">
        <v>2027</v>
      </c>
      <c r="C3841" s="3" t="inlineStr">
        <is>
          <t>Grid-Constrained / Efficiency-Upside</t>
        </is>
      </c>
      <c r="D3841" s="3" t="inlineStr">
        <is>
          <t>inference_tokens_per_day</t>
        </is>
      </c>
      <c r="E3841" s="3" t="n">
        <v>1768166496000</v>
      </c>
      <c r="F3841" s="3" t="inlineStr">
        <is>
          <t>generated output tokens/day</t>
        </is>
      </c>
      <c r="G3841" s="3" t="inlineStr">
        <is>
          <t>Derived headline metric</t>
        </is>
      </c>
      <c r="H3841" s="3" t="inlineStr">
        <is>
          <t>inference_gw * 1000 * tokens_per_second_per_mw * 86,400</t>
        </is>
      </c>
      <c r="I3841" s="3" t="inlineStr">
        <is>
          <t>Headline capacity uses no utilization, MoE, architecture or software-growth multiplier; it is not observed commercial output volume.</t>
        </is>
      </c>
      <c r="J3841" s="3" t="inlineStr">
        <is>
          <t>SRC_DEEPSEEK_V3; SRC_DEEPSEEK_R1; SRC_DEEPSEEK_H800_INFERENCE; SRC_EPOCH_AI_DATA_CENTERS; SRC_SEMIANALYSIS_INFERENCEX</t>
        </is>
      </c>
      <c r="K3841" s="3" t="inlineStr">
        <is>
          <t>ASSUMP_MOE_EFFICIENCY; ASSUMP_CN_CAPACITY_TRANSPARENCY; ASSUMP_NUMERIC_ACCELERATOR_MIX; ASSUMP_INFERENCE_SHARE_NOT_FACT_60; ASSUMP_WORKLOAD_CLASS_MIX; ASSUMP_AGENTIC_CONTEXT_PENALTY</t>
        </is>
      </c>
      <c r="L3841" s="3" t="inlineStr">
        <is>
          <t>Provider-disclosed generated output token volume or calibrated capacity telemetry.</t>
        </is>
      </c>
    </row>
    <row r="3842">
      <c r="A3842" s="3" t="inlineStr">
        <is>
          <t>DeepSeek</t>
        </is>
      </c>
      <c r="B3842" s="3" t="n">
        <v>2027</v>
      </c>
      <c r="C3842" s="3" t="inlineStr">
        <is>
          <t>Grid-Constrained / Efficiency-Upside</t>
        </is>
      </c>
      <c r="D3842" s="3" t="inlineStr">
        <is>
          <t>inference_tokens_per_year</t>
        </is>
      </c>
      <c r="E3842" s="3" t="n">
        <v>645380771040000</v>
      </c>
      <c r="F3842" s="3" t="inlineStr">
        <is>
          <t>generated output tokens/year</t>
        </is>
      </c>
      <c r="G3842" s="3" t="inlineStr">
        <is>
          <t>Derived headline metric</t>
        </is>
      </c>
      <c r="H3842" s="3" t="inlineStr">
        <is>
          <t>inference_tokens_per_day * 365</t>
        </is>
      </c>
      <c r="I3842" s="3" t="inlineStr">
        <is>
          <t>Annualized version of generated output token capacity; it is not observed annual demand or billable volume.</t>
        </is>
      </c>
      <c r="J3842" s="3" t="inlineStr">
        <is>
          <t>SRC_DEEPSEEK_V3; SRC_DEEPSEEK_R1; SRC_DEEPSEEK_H800_INFERENCE; SRC_EPOCH_AI_DATA_CENTERS; SRC_SEMIANALYSIS_INFERENCEX</t>
        </is>
      </c>
      <c r="K3842" s="3" t="inlineStr">
        <is>
          <t>ASSUMP_MOE_EFFICIENCY; ASSUMP_CN_CAPACITY_TRANSPARENCY; ASSUMP_NUMERIC_ACCELERATOR_MIX; ASSUMP_INFERENCE_SHARE_NOT_FACT_60; ASSUMP_WORKLOAD_CLASS_MIX; ASSUMP_AGENTIC_CONTEXT_PENALTY</t>
        </is>
      </c>
      <c r="L3842" s="3" t="inlineStr">
        <is>
          <t>Provider-disclosed annual generated-output volume or metered serving telemetry.</t>
        </is>
      </c>
    </row>
    <row r="3843">
      <c r="A3843" s="3" t="inlineStr">
        <is>
          <t>DeepSeek</t>
        </is>
      </c>
      <c r="B3843" s="3" t="n">
        <v>2028</v>
      </c>
      <c r="C3843" s="3" t="inlineStr">
        <is>
          <t>Grid-Constrained / Efficiency-Upside</t>
        </is>
      </c>
      <c r="D3843" s="3" t="inlineStr">
        <is>
          <t>contracted_power_gw</t>
        </is>
      </c>
      <c r="E3843" s="3" t="n">
        <v>1.15</v>
      </c>
      <c r="F3843" s="3" t="inlineStr">
        <is>
          <t>GW</t>
        </is>
      </c>
      <c r="G3843" s="3" t="inlineStr">
        <is>
          <t>Scenario capacity envelope</t>
        </is>
      </c>
      <c r="H3843" s="3" t="inlineStr">
        <is>
          <t>linear interpolation between 2026 and 2030 company capacity endpoints</t>
        </is>
      </c>
      <c r="I3843" s="3" t="inlineStr">
        <is>
          <t>Capacity is a low-transparency scenario; official infrastructure evidence supports H800 inference hardware, not company GW.</t>
        </is>
      </c>
      <c r="J3843" s="3" t="inlineStr">
        <is>
          <t>SRC_DEEPSEEK_H800_INFERENCE; ASSUMP_CN_CAPACITY_TRANSPARENCY</t>
        </is>
      </c>
      <c r="K3843" s="3" t="inlineStr">
        <is>
          <t>ASSUMP_MOE_EFFICIENCY; ASSUMP_CN_CAPACITY_TRANSPARENCY; ASSUMP_NUMERIC_ACCELERATOR_MIX; ASSUMP_INFERENCE_SHARE_NOT_FACT_60; ASSUMP_WORKLOAD_CLASS_MIX; ASSUMP_AGENTIC_CONTEXT_PENALTY</t>
        </is>
      </c>
      <c r="L3843" s="3" t="inlineStr">
        <is>
          <t>Company/site-level committed MW/GW, interconnect and contract disclosure.</t>
        </is>
      </c>
    </row>
    <row r="3844">
      <c r="A3844" s="3" t="inlineStr">
        <is>
          <t>DeepSeek</t>
        </is>
      </c>
      <c r="B3844" s="3" t="n">
        <v>2028</v>
      </c>
      <c r="C3844" s="3" t="inlineStr">
        <is>
          <t>Grid-Constrained / Efficiency-Upside</t>
        </is>
      </c>
      <c r="D3844" s="3" t="inlineStr">
        <is>
          <t>operational_deployment_share</t>
        </is>
      </c>
      <c r="E3844" s="3" t="n">
        <v>0.46956522</v>
      </c>
      <c r="F3844" s="3" t="inlineStr">
        <is>
          <t>share</t>
        </is>
      </c>
      <c r="G3844" s="3" t="inlineStr">
        <is>
          <t>Scenario conversion</t>
        </is>
      </c>
      <c r="H3844" s="3" t="inlineStr">
        <is>
          <t>active_power_gw / contracted_power_gw</t>
        </is>
      </c>
      <c r="I3844" s="3" t="inlineStr">
        <is>
          <t>This is the single explicit conversion from contracted/attributed capacity to operationally usable capacity.</t>
        </is>
      </c>
      <c r="J3844" s="3" t="inlineStr">
        <is>
          <t>SRC_DEEPSEEK_H800_INFERENCE; ASSUMP_CN_CAPACITY_TRANSPARENCY</t>
        </is>
      </c>
      <c r="K3844" s="3" t="inlineStr">
        <is>
          <t>ASSUMP_MOE_EFFICIENCY; ASSUMP_CN_CAPACITY_TRANSPARENCY; ASSUMP_NUMERIC_ACCELERATOR_MIX; ASSUMP_INFERENCE_SHARE_NOT_FACT_60; ASSUMP_WORKLOAD_CLASS_MIX; ASSUMP_AGENTIC_CONTEXT_PENALTY</t>
        </is>
      </c>
      <c r="L3844" s="3" t="inlineStr">
        <is>
          <t>Energized operational capacity divided by contracted/attributed capacity.</t>
        </is>
      </c>
    </row>
    <row r="3845">
      <c r="A3845" s="3" t="inlineStr">
        <is>
          <t>DeepSeek</t>
        </is>
      </c>
      <c r="B3845" s="3" t="n">
        <v>2028</v>
      </c>
      <c r="C3845" s="3" t="inlineStr">
        <is>
          <t>Grid-Constrained / Efficiency-Upside</t>
        </is>
      </c>
      <c r="D3845" s="3" t="inlineStr">
        <is>
          <t>active_power_gw</t>
        </is>
      </c>
      <c r="E3845" s="3" t="n">
        <v>0.54</v>
      </c>
      <c r="F3845" s="3" t="inlineStr">
        <is>
          <t>GW</t>
        </is>
      </c>
      <c r="G3845" s="3" t="inlineStr">
        <is>
          <t>Derived scenario</t>
        </is>
      </c>
      <c r="H3845" s="3" t="inlineStr">
        <is>
          <t>contracted_power_gw * operational_deployment_share</t>
        </is>
      </c>
      <c r="I3845" s="3" t="inlineStr">
        <is>
          <t>Active GW is conservative because operated cluster scale beyond disclosed infrastructure is not public.</t>
        </is>
      </c>
      <c r="J3845" s="3" t="inlineStr">
        <is>
          <t>SRC_DEEPSEEK_H800_INFERENCE; ASSUMP_CN_CAPACITY_TRANSPARENCY</t>
        </is>
      </c>
      <c r="K3845" s="3" t="inlineStr">
        <is>
          <t>ASSUMP_MOE_EFFICIENCY; ASSUMP_CN_CAPACITY_TRANSPARENCY; ASSUMP_NUMERIC_ACCELERATOR_MIX; ASSUMP_INFERENCE_SHARE_NOT_FACT_60; ASSUMP_WORKLOAD_CLASS_MIX; ASSUMP_AGENTIC_CONTEXT_PENALTY</t>
        </is>
      </c>
      <c r="L3845" s="3" t="inlineStr">
        <is>
          <t>Energization dates, accelerator deliveries and operational powered-rack telemetry.</t>
        </is>
      </c>
    </row>
    <row r="3846">
      <c r="A3846" s="3" t="inlineStr">
        <is>
          <t>DeepSeek</t>
        </is>
      </c>
      <c r="B3846" s="3" t="n">
        <v>2028</v>
      </c>
      <c r="C3846" s="3" t="inlineStr">
        <is>
          <t>Grid-Constrained / Efficiency-Upside</t>
        </is>
      </c>
      <c r="D3846" s="3" t="inlineStr">
        <is>
          <t>pue</t>
        </is>
      </c>
      <c r="E3846" s="3" t="n">
        <v>1.24</v>
      </c>
      <c r="F3846" s="3" t="inlineStr">
        <is>
          <t>ratio</t>
        </is>
      </c>
      <c r="G3846" s="3" t="inlineStr">
        <is>
          <t>Scenario parameter</t>
        </is>
      </c>
      <c r="H3846" s="3" t="inlineStr">
        <is>
          <t>it_load_gw = active_power_gw / pue</t>
        </is>
      </c>
      <c r="I3846" s="3" t="inlineStr">
        <is>
          <t>No provider-wide site-level PUE is used as a disclosed fact; PUE represents facility-to-IT conversion within the scenario.</t>
        </is>
      </c>
      <c r="J3846" s="3" t="inlineStr">
        <is>
          <t>ASSUMP_POWER_RAMP</t>
        </is>
      </c>
      <c r="K3846" s="3" t="inlineStr">
        <is>
          <t>ASSUMP_MOE_EFFICIENCY; ASSUMP_CN_CAPACITY_TRANSPARENCY; ASSUMP_NUMERIC_ACCELERATOR_MIX; ASSUMP_INFERENCE_SHARE_NOT_FACT_60; ASSUMP_WORKLOAD_CLASS_MIX; ASSUMP_AGENTIC_CONTEXT_PENALTY</t>
        </is>
      </c>
      <c r="L3846" s="3" t="inlineStr">
        <is>
          <t>Site-level measured PUE matched to attributed AI capacity.</t>
        </is>
      </c>
    </row>
    <row r="3847">
      <c r="A3847" s="3" t="inlineStr">
        <is>
          <t>DeepSeek</t>
        </is>
      </c>
      <c r="B3847" s="3" t="n">
        <v>2028</v>
      </c>
      <c r="C3847" s="3" t="inlineStr">
        <is>
          <t>Grid-Constrained / Efficiency-Upside</t>
        </is>
      </c>
      <c r="D3847" s="3" t="inlineStr">
        <is>
          <t>it_load_gw</t>
        </is>
      </c>
      <c r="E3847" s="3" t="n">
        <v>0.435</v>
      </c>
      <c r="F3847" s="3" t="inlineStr">
        <is>
          <t>GW</t>
        </is>
      </c>
      <c r="G3847" s="3" t="inlineStr">
        <is>
          <t>Derived formula</t>
        </is>
      </c>
      <c r="H3847" s="3" t="inlineStr">
        <is>
          <t>active_power_gw / pue</t>
        </is>
      </c>
      <c r="I3847" s="3" t="inlineStr">
        <is>
          <t>Facility power is converted to IT-deliverable power before attributing AI workloads.</t>
        </is>
      </c>
      <c r="J3847" s="3" t="inlineStr">
        <is>
          <t>SRC_DEEPSEEK_H800_INFERENCE; ASSUMP_CN_CAPACITY_TRANSPARENCY</t>
        </is>
      </c>
      <c r="K3847" s="3" t="inlineStr">
        <is>
          <t>ASSUMP_MOE_EFFICIENCY; ASSUMP_CN_CAPACITY_TRANSPARENCY; ASSUMP_NUMERIC_ACCELERATOR_MIX; ASSUMP_INFERENCE_SHARE_NOT_FACT_60; ASSUMP_WORKLOAD_CLASS_MIX; ASSUMP_AGENTIC_CONTEXT_PENALTY</t>
        </is>
      </c>
      <c r="L3847" s="3" t="inlineStr">
        <is>
          <t>Recompute once active power and PUE become site-observable.</t>
        </is>
      </c>
    </row>
    <row r="3848">
      <c r="A3848" s="3" t="inlineStr">
        <is>
          <t>DeepSeek</t>
        </is>
      </c>
      <c r="B3848" s="3" t="n">
        <v>2028</v>
      </c>
      <c r="C3848" s="3" t="inlineStr">
        <is>
          <t>Grid-Constrained / Efficiency-Upside</t>
        </is>
      </c>
      <c r="D3848" s="3" t="inlineStr">
        <is>
          <t>ai_workload_share</t>
        </is>
      </c>
      <c r="E3848" s="3" t="n">
        <v>0.82</v>
      </c>
      <c r="F3848" s="3" t="inlineStr">
        <is>
          <t>share</t>
        </is>
      </c>
      <c r="G3848" s="3" t="inlineStr">
        <is>
          <t>Scenario allocation</t>
        </is>
      </c>
      <c r="H3848" s="3" t="inlineStr">
        <is>
          <t>ai_it_load_gw = it_load_gw * ai_workload_share</t>
        </is>
      </c>
      <c r="I3848" s="3" t="inlineStr">
        <is>
          <t>DeepSeek-operated service capacity is modeled as AI-focused, reduced for reserve and ancillary processing.</t>
        </is>
      </c>
      <c r="J3848" s="3" t="inlineStr">
        <is>
          <t>SRC_DEEPSEEK_V3; SRC_DEEPSEEK_R1; SRC_DEEPSEEK_H800_INFERENCE; SRC_EPOCH_AI_DATA_CENTERS</t>
        </is>
      </c>
      <c r="K3848" s="3" t="inlineStr">
        <is>
          <t>ASSUMP_MOE_EFFICIENCY; ASSUMP_CN_CAPACITY_TRANSPARENCY; ASSUMP_NUMERIC_ACCELERATOR_MIX; ASSUMP_INFERENCE_SHARE_NOT_FACT_60; ASSUMP_WORKLOAD_CLASS_MIX; ASSUMP_AGENTIC_CONTEXT_PENALTY</t>
        </is>
      </c>
      <c r="L3848" s="3" t="inlineStr">
        <is>
          <t>Model-owner AI workload allocation or cluster scheduling telemetry.</t>
        </is>
      </c>
    </row>
    <row r="3849">
      <c r="A3849" s="3" t="inlineStr">
        <is>
          <t>DeepSeek</t>
        </is>
      </c>
      <c r="B3849" s="3" t="n">
        <v>2028</v>
      </c>
      <c r="C3849" s="3" t="inlineStr">
        <is>
          <t>Grid-Constrained / Efficiency-Upside</t>
        </is>
      </c>
      <c r="D3849" s="3" t="inlineStr">
        <is>
          <t>ai_it_load_gw</t>
        </is>
      </c>
      <c r="E3849" s="3" t="n">
        <v>0.357</v>
      </c>
      <c r="F3849" s="3" t="inlineStr">
        <is>
          <t>GW</t>
        </is>
      </c>
      <c r="G3849" s="3" t="inlineStr">
        <is>
          <t>Derived formula</t>
        </is>
      </c>
      <c r="H3849" s="3" t="inlineStr">
        <is>
          <t>it_load_gw * ai_workload_share</t>
        </is>
      </c>
      <c r="I3849" s="3" t="inlineStr">
        <is>
          <t>Only the AI-attributed portion of IT load enters training/inference allocation.</t>
        </is>
      </c>
      <c r="J3849" s="3" t="inlineStr">
        <is>
          <t>SRC_DEEPSEEK_V3; SRC_DEEPSEEK_R1; SRC_DEEPSEEK_H800_INFERENCE; SRC_EPOCH_AI_DATA_CENTERS</t>
        </is>
      </c>
      <c r="K3849" s="3" t="inlineStr">
        <is>
          <t>ASSUMP_MOE_EFFICIENCY; ASSUMP_CN_CAPACITY_TRANSPARENCY; ASSUMP_NUMERIC_ACCELERATOR_MIX; ASSUMP_INFERENCE_SHARE_NOT_FACT_60; ASSUMP_WORKLOAD_CLASS_MIX; ASSUMP_AGENTIC_CONTEXT_PENALTY</t>
        </is>
      </c>
      <c r="L3849" s="3" t="inlineStr">
        <is>
          <t>Recompute after ai_workload_share is replaced by telemetry.</t>
        </is>
      </c>
    </row>
    <row r="3850">
      <c r="A3850" s="3" t="inlineStr">
        <is>
          <t>DeepSeek</t>
        </is>
      </c>
      <c r="B3850" s="3" t="n">
        <v>2028</v>
      </c>
      <c r="C3850" s="3" t="inlineStr">
        <is>
          <t>Grid-Constrained / Efficiency-Upside</t>
        </is>
      </c>
      <c r="D3850" s="3" t="inlineStr">
        <is>
          <t>gpu_share</t>
        </is>
      </c>
      <c r="E3850" s="3" t="n">
        <v>1</v>
      </c>
      <c r="F3850" s="3" t="inlineStr">
        <is>
          <t>share of inference-serving accelerator load</t>
        </is>
      </c>
      <c r="G3850" s="3" t="inlineStr">
        <is>
          <t>Numeric scenario</t>
        </is>
      </c>
      <c r="H3850" s="3" t="inlineStr">
        <is>
          <t>gpu_share interpolated from company 2026/2030 accelerator-mix endpoints</t>
        </is>
      </c>
      <c r="I3850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50" s="3" t="inlineStr">
        <is>
          <t>SRC_DEEPSEEK_V3; SRC_DEEPSEEK_R1; SRC_DEEPSEEK_H800_INFERENCE; SRC_EPOCH_AI_DATA_CENTERS; ASSUMP_NUMERIC_ACCELERATOR_MIX</t>
        </is>
      </c>
      <c r="K3850" s="3" t="inlineStr">
        <is>
          <t>ASSUMP_MOE_EFFICIENCY; ASSUMP_CN_CAPACITY_TRANSPARENCY; ASSUMP_NUMERIC_ACCELERATOR_MIX; ASSUMP_INFERENCE_SHARE_NOT_FACT_60; ASSUMP_WORKLOAD_CLASS_MIX; ASSUMP_AGENTIC_CONTEXT_PENALTY</t>
        </is>
      </c>
      <c r="L3850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51">
      <c r="A3851" s="3" t="inlineStr">
        <is>
          <t>DeepSeek</t>
        </is>
      </c>
      <c r="B3851" s="3" t="n">
        <v>2028</v>
      </c>
      <c r="C3851" s="3" t="inlineStr">
        <is>
          <t>Grid-Constrained / Efficiency-Upside</t>
        </is>
      </c>
      <c r="D3851" s="3" t="inlineStr">
        <is>
          <t>h200_share</t>
        </is>
      </c>
      <c r="E3851" s="3" t="n">
        <v>0.325</v>
      </c>
      <c r="F3851" s="3" t="inlineStr">
        <is>
          <t>share of inference-serving accelerator load</t>
        </is>
      </c>
      <c r="G3851" s="3" t="inlineStr">
        <is>
          <t>Editable numeric scenario</t>
        </is>
      </c>
      <c r="H3851" s="3" t="inlineStr">
        <is>
          <t>h200_share = gpu_share * default_gpu_generation_mix_h200</t>
        </is>
      </c>
      <c r="I3851" s="3" t="inlineStr">
        <is>
          <t>Default GPU-generation migration assumption; executive workbook allows later manual replacement by company/year/scenario.</t>
        </is>
      </c>
      <c r="J3851" s="3" t="inlineStr">
        <is>
          <t>SRC_SEMIANALYSIS_INFERENCEX; ASSUMP_NUMERIC_ACCELERATOR_MIX</t>
        </is>
      </c>
      <c r="K3851" s="3" t="inlineStr">
        <is>
          <t>ASSUMP_MOE_EFFICIENCY; ASSUMP_CN_CAPACITY_TRANSPARENCY; ASSUMP_NUMERIC_ACCELERATOR_MIX; ASSUMP_INFERENCE_SHARE_NOT_FACT_60; ASSUMP_WORKLOAD_CLASS_MIX; ASSUMP_AGENTIC_CONTEXT_PENALTY</t>
        </is>
      </c>
      <c r="L3851" s="3" t="inlineStr">
        <is>
          <t>Company fleet inventory, accelerator-hours or procurement/deployment records by GPU generation.</t>
        </is>
      </c>
    </row>
    <row r="3852">
      <c r="A3852" s="3" t="inlineStr">
        <is>
          <t>DeepSeek</t>
        </is>
      </c>
      <c r="B3852" s="3" t="n">
        <v>2028</v>
      </c>
      <c r="C3852" s="3" t="inlineStr">
        <is>
          <t>Grid-Constrained / Efficiency-Upside</t>
        </is>
      </c>
      <c r="D3852" s="3" t="inlineStr">
        <is>
          <t>b200_share</t>
        </is>
      </c>
      <c r="E3852" s="3" t="n">
        <v>0.375</v>
      </c>
      <c r="F3852" s="3" t="inlineStr">
        <is>
          <t>share of inference-serving accelerator load</t>
        </is>
      </c>
      <c r="G3852" s="3" t="inlineStr">
        <is>
          <t>Editable numeric scenario</t>
        </is>
      </c>
      <c r="H3852" s="3" t="inlineStr">
        <is>
          <t>b200_share = gpu_share * default_gpu_generation_mix_b200</t>
        </is>
      </c>
      <c r="I3852" s="3" t="inlineStr">
        <is>
          <t>Default GPU-generation migration assumption; executive workbook allows later manual replacement by company/year/scenario.</t>
        </is>
      </c>
      <c r="J3852" s="3" t="inlineStr">
        <is>
          <t>SRC_SEMIANALYSIS_INFERENCEX; ASSUMP_NUMERIC_ACCELERATOR_MIX</t>
        </is>
      </c>
      <c r="K3852" s="3" t="inlineStr">
        <is>
          <t>ASSUMP_MOE_EFFICIENCY; ASSUMP_CN_CAPACITY_TRANSPARENCY; ASSUMP_NUMERIC_ACCELERATOR_MIX; ASSUMP_INFERENCE_SHARE_NOT_FACT_60; ASSUMP_WORKLOAD_CLASS_MIX; ASSUMP_AGENTIC_CONTEXT_PENALTY</t>
        </is>
      </c>
      <c r="L3852" s="3" t="inlineStr">
        <is>
          <t>Company fleet inventory, accelerator-hours or procurement/deployment records by GPU generation.</t>
        </is>
      </c>
    </row>
    <row r="3853">
      <c r="A3853" s="3" t="inlineStr">
        <is>
          <t>DeepSeek</t>
        </is>
      </c>
      <c r="B3853" s="3" t="n">
        <v>2028</v>
      </c>
      <c r="C3853" s="3" t="inlineStr">
        <is>
          <t>Grid-Constrained / Efficiency-Upside</t>
        </is>
      </c>
      <c r="D3853" s="3" t="inlineStr">
        <is>
          <t>gb200_share</t>
        </is>
      </c>
      <c r="E3853" s="3" t="n">
        <v>0.3</v>
      </c>
      <c r="F3853" s="3" t="inlineStr">
        <is>
          <t>share of inference-serving accelerator load</t>
        </is>
      </c>
      <c r="G3853" s="3" t="inlineStr">
        <is>
          <t>Editable numeric scenario</t>
        </is>
      </c>
      <c r="H3853" s="3" t="inlineStr">
        <is>
          <t>gb200_share = gpu_share * default_gpu_generation_mix_gb200</t>
        </is>
      </c>
      <c r="I3853" s="3" t="inlineStr">
        <is>
          <t>Default GPU-generation migration assumption; executive workbook allows later manual replacement by company/year/scenario.</t>
        </is>
      </c>
      <c r="J3853" s="3" t="inlineStr">
        <is>
          <t>SRC_SEMIANALYSIS_INFERENCEX; ASSUMP_NUMERIC_ACCELERATOR_MIX</t>
        </is>
      </c>
      <c r="K3853" s="3" t="inlineStr">
        <is>
          <t>ASSUMP_MOE_EFFICIENCY; ASSUMP_CN_CAPACITY_TRANSPARENCY; ASSUMP_NUMERIC_ACCELERATOR_MIX; ASSUMP_INFERENCE_SHARE_NOT_FACT_60; ASSUMP_WORKLOAD_CLASS_MIX; ASSUMP_AGENTIC_CONTEXT_PENALTY</t>
        </is>
      </c>
      <c r="L3853" s="3" t="inlineStr">
        <is>
          <t>Company fleet inventory, accelerator-hours or procurement/deployment records by GPU generation.</t>
        </is>
      </c>
    </row>
    <row r="3854">
      <c r="A3854" s="3" t="inlineStr">
        <is>
          <t>DeepSeek</t>
        </is>
      </c>
      <c r="B3854" s="3" t="n">
        <v>2028</v>
      </c>
      <c r="C3854" s="3" t="inlineStr">
        <is>
          <t>Grid-Constrained / Efficiency-Upside</t>
        </is>
      </c>
      <c r="D3854" s="3" t="inlineStr">
        <is>
          <t>purpose_built_accelerator_share</t>
        </is>
      </c>
      <c r="E3854" s="3" t="n">
        <v>0</v>
      </c>
      <c r="F3854" s="3" t="inlineStr">
        <is>
          <t>share of inference-serving accelerator load</t>
        </is>
      </c>
      <c r="G3854" s="3" t="inlineStr">
        <is>
          <t>Numeric scenario</t>
        </is>
      </c>
      <c r="H3854" s="3" t="inlineStr">
        <is>
          <t>1 - gpu_share</t>
        </is>
      </c>
      <c r="I3854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54" s="3" t="inlineStr">
        <is>
          <t>SRC_DEEPSEEK_V3; SRC_DEEPSEEK_R1; SRC_DEEPSEEK_H800_INFERENCE; SRC_EPOCH_AI_DATA_CENTERS; ASSUMP_NUMERIC_ACCELERATOR_MIX</t>
        </is>
      </c>
      <c r="K3854" s="3" t="inlineStr">
        <is>
          <t>ASSUMP_MOE_EFFICIENCY; ASSUMP_CN_CAPACITY_TRANSPARENCY; ASSUMP_NUMERIC_ACCELERATOR_MIX; ASSUMP_INFERENCE_SHARE_NOT_FACT_60; ASSUMP_WORKLOAD_CLASS_MIX; ASSUMP_AGENTIC_CONTEXT_PENALTY</t>
        </is>
      </c>
      <c r="L3854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55">
      <c r="A3855" s="3" t="inlineStr">
        <is>
          <t>DeepSeek</t>
        </is>
      </c>
      <c r="B3855" s="3" t="n">
        <v>2028</v>
      </c>
      <c r="C3855" s="3" t="inlineStr">
        <is>
          <t>Grid-Constrained / Efficiency-Upside</t>
        </is>
      </c>
      <c r="D3855" s="3" t="inlineStr">
        <is>
          <t>fleet_reference_tps_per_mw</t>
        </is>
      </c>
      <c r="E3855" s="3" t="n">
        <v>162367</v>
      </c>
      <c r="F3855" s="3" t="inlineStr">
        <is>
          <t>generated output tokens/sec/MW</t>
        </is>
      </c>
      <c r="G3855" s="3" t="inlineStr">
        <is>
          <t>Fleet-weighted public benchmark reference</t>
        </is>
      </c>
      <c r="H3855" s="3" t="inlineStr">
        <is>
          <t>h200_share*h200_workload_avg + b200_share*b200_workload_avg + gb200_share*gb200_workload_avg + purpose_built_share*purpose_workload_avg</t>
        </is>
      </c>
      <c r="I3855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55" s="3" t="inlineStr">
        <is>
          <t>SRC_SEMIANALYSIS_INFERENCEX; ASSUMP_NUMERIC_ACCELERATOR_MIX; ASSUMP_WORKLOAD_CLASS_MIX; ASSUMP_AGENTIC_CONTEXT_PENALTY</t>
        </is>
      </c>
      <c r="K3855" s="3" t="inlineStr">
        <is>
          <t>ASSUMP_MOE_EFFICIENCY; ASSUMP_CN_CAPACITY_TRANSPARENCY; ASSUMP_NUMERIC_ACCELERATOR_MIX; ASSUMP_INFERENCE_SHARE_NOT_FACT_60; ASSUMP_WORKLOAD_CLASS_MIX; ASSUMP_AGENTIC_CONTEXT_PENALTY</t>
        </is>
      </c>
      <c r="L3855" s="3" t="inlineStr">
        <is>
          <t>Comparable production output-token throughput or a more closely matched benchmark.</t>
        </is>
      </c>
    </row>
    <row r="3856">
      <c r="A3856" s="3" t="inlineStr">
        <is>
          <t>DeepSeek</t>
        </is>
      </c>
      <c r="B3856" s="3" t="n">
        <v>2028</v>
      </c>
      <c r="C3856" s="3" t="inlineStr">
        <is>
          <t>Grid-Constrained / Efficiency-Upside</t>
        </is>
      </c>
      <c r="D3856" s="3" t="inlineStr">
        <is>
          <t>commercial_workload_fit_factor</t>
        </is>
      </c>
      <c r="E3856" s="3" t="n">
        <v>0.85</v>
      </c>
      <c r="F3856" s="3" t="inlineStr">
        <is>
          <t>share of public reference throughput</t>
        </is>
      </c>
      <c r="G3856" s="3" t="inlineStr">
        <is>
          <t>Scenario assumption</t>
        </is>
      </c>
      <c r="H3856" s="3" t="inlineStr">
        <is>
          <t>reference_serving_tps_per_mw = fleet_reference_tps_per_mw * commercial_workload_fit_factor</t>
        </is>
      </c>
      <c r="I3856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56" s="3" t="inlineStr">
        <is>
          <t>SRC_SEMIANALYSIS_INFERENCEX; ASSUMP_NUMERIC_ACCELERATOR_MIX; ASSUMP_WORKLOAD_CLASS_MIX; ASSUMP_AGENTIC_CONTEXT_PENALTY</t>
        </is>
      </c>
      <c r="K3856" s="3" t="inlineStr">
        <is>
          <t>ASSUMP_MOE_EFFICIENCY; ASSUMP_CN_CAPACITY_TRANSPARENCY; ASSUMP_NUMERIC_ACCELERATOR_MIX; ASSUMP_INFERENCE_SHARE_NOT_FACT_60; ASSUMP_WORKLOAD_CLASS_MIX; ASSUMP_AGENTIC_CONTEXT_PENALTY</t>
        </is>
      </c>
      <c r="L3856" s="3" t="inlineStr">
        <is>
          <t>Matched commercial serving benchmark by product surface, context shape and latency SLO.</t>
        </is>
      </c>
    </row>
    <row r="3857">
      <c r="A3857" s="3" t="inlineStr">
        <is>
          <t>DeepSeek</t>
        </is>
      </c>
      <c r="B3857" s="3" t="n">
        <v>2028</v>
      </c>
      <c r="C3857" s="3" t="inlineStr">
        <is>
          <t>Grid-Constrained / Efficiency-Upside</t>
        </is>
      </c>
      <c r="D3857" s="3" t="inlineStr">
        <is>
          <t>reference_serving_tps_per_mw</t>
        </is>
      </c>
      <c r="E3857" s="3" t="n">
        <v>138012</v>
      </c>
      <c r="F3857" s="3" t="inlineStr">
        <is>
          <t>generated output tokens/sec/MW</t>
        </is>
      </c>
      <c r="G3857" s="3" t="inlineStr">
        <is>
          <t>Workload-adjusted benchmark proxy</t>
        </is>
      </c>
      <c r="H3857" s="3" t="inlineStr">
        <is>
          <t>fleet_reference_tps_per_mw * commercial_workload_fit_factor</t>
        </is>
      </c>
      <c r="I3857" s="3" t="inlineStr">
        <is>
          <t>This is the coefficient used for headline token generation; each GPU's short chat, long chat and agentic TPS/MW are weighted before fleet mix and commercial fit are applied.</t>
        </is>
      </c>
      <c r="J3857" s="3" t="inlineStr">
        <is>
          <t>SRC_SEMIANALYSIS_INFERENCEX; ASSUMP_NUMERIC_ACCELERATOR_MIX; ASSUMP_WORKLOAD_CLASS_MIX; ASSUMP_AGENTIC_CONTEXT_PENALTY</t>
        </is>
      </c>
      <c r="K3857" s="3" t="inlineStr">
        <is>
          <t>ASSUMP_MOE_EFFICIENCY; ASSUMP_CN_CAPACITY_TRANSPARENCY; ASSUMP_NUMERIC_ACCELERATOR_MIX; ASSUMP_INFERENCE_SHARE_NOT_FACT_60; ASSUMP_WORKLOAD_CLASS_MIX; ASSUMP_AGENTIC_CONTEXT_PENALTY</t>
        </is>
      </c>
      <c r="L3857" s="3" t="inlineStr">
        <is>
          <t>Provider production output-token throughput with comparable workload/SLO.</t>
        </is>
      </c>
    </row>
    <row r="3858">
      <c r="A3858" s="3" t="inlineStr">
        <is>
          <t>DeepSeek</t>
        </is>
      </c>
      <c r="B3858" s="3" t="n">
        <v>2028</v>
      </c>
      <c r="C3858" s="3" t="inlineStr">
        <is>
          <t>Grid-Constrained / Efficiency-Upside</t>
        </is>
      </c>
      <c r="D3858" s="3" t="inlineStr">
        <is>
          <t>purpose_built_tps_per_mw</t>
        </is>
      </c>
      <c r="E3858" s="3" t="n">
        <v>334536</v>
      </c>
      <c r="F3858" s="3" t="inlineStr">
        <is>
          <t>generated output tokens/sec/MW</t>
        </is>
      </c>
      <c r="G3858" s="3" t="inlineStr">
        <is>
          <t>Conservative no-uplift proxy</t>
        </is>
      </c>
      <c r="H3858" s="3" t="inlineStr">
        <is>
          <t>purpose_built_tps_per_mw = purpose_built_reference_tps_per_mw * commercial_workload_fit_factor until comparable output-token benchmark is adopted</t>
        </is>
      </c>
      <c r="I3858" s="3" t="inlineStr">
        <is>
          <t>No comparable public output-token/MW row adopted; B200 public reference placeholder is used and remains editable.</t>
        </is>
      </c>
      <c r="J3858" s="3" t="inlineStr">
        <is>
          <t>SRC_DEEPSEEK_V3; SRC_DEEPSEEK_R1; SRC_DEEPSEEK_H800_INFERENCE; SRC_EPOCH_AI_DATA_CENTERS; ASSUMP_NUMERIC_ACCELERATOR_MIX</t>
        </is>
      </c>
      <c r="K3858" s="3" t="inlineStr">
        <is>
          <t>ASSUMP_MOE_EFFICIENCY; ASSUMP_CN_CAPACITY_TRANSPARENCY; ASSUMP_NUMERIC_ACCELERATOR_MIX; ASSUMP_INFERENCE_SHARE_NOT_FACT_60; ASSUMP_WORKLOAD_CLASS_MIX; ASSUMP_AGENTIC_CONTEXT_PENALTY</t>
        </is>
      </c>
      <c r="L3858" s="3" t="inlineStr">
        <is>
          <t>Matched-workload generated-output benchmark for the provider purpose-built accelerator.</t>
        </is>
      </c>
    </row>
    <row r="3859">
      <c r="A3859" s="3" t="inlineStr">
        <is>
          <t>DeepSeek</t>
        </is>
      </c>
      <c r="B3859" s="3" t="n">
        <v>2028</v>
      </c>
      <c r="C3859" s="3" t="inlineStr">
        <is>
          <t>Grid-Constrained / Efficiency-Upside</t>
        </is>
      </c>
      <c r="D3859" s="3" t="inlineStr">
        <is>
          <t>inference_power_share</t>
        </is>
      </c>
      <c r="E3859" s="3" t="n">
        <v>0.75</v>
      </c>
      <c r="F3859" s="3" t="inlineStr">
        <is>
          <t>share of AI IT load</t>
        </is>
      </c>
      <c r="G3859" s="3" t="inlineStr">
        <is>
          <t>Scenario allocation</t>
        </is>
      </c>
      <c r="H3859" s="3" t="inlineStr">
        <is>
          <t>inference_gw = ai_it_load_gw * inference_power_share</t>
        </is>
      </c>
      <c r="I3859" s="3" t="inlineStr">
        <is>
          <t>API/app availability and inference-system disclosure support higher inference share; the value remains scenario.</t>
        </is>
      </c>
      <c r="J3859" s="3" t="inlineStr">
        <is>
          <t>SRC_DEEPSEEK_V3; SRC_DEEPSEEK_R1; SRC_DEEPSEEK_H800_INFERENCE; SRC_EPOCH_AI_DATA_CENTERS; ASSUMP_INFERENCE_SHARE_NOT_FACT_60</t>
        </is>
      </c>
      <c r="K3859" s="3" t="inlineStr">
        <is>
          <t>ASSUMP_MOE_EFFICIENCY; ASSUMP_CN_CAPACITY_TRANSPARENCY; ASSUMP_NUMERIC_ACCELERATOR_MIX; ASSUMP_INFERENCE_SHARE_NOT_FACT_60; ASSUMP_WORKLOAD_CLASS_MIX; ASSUMP_AGENTIC_CONTEXT_PENALTY</t>
        </is>
      </c>
      <c r="L3859" s="3" t="inlineStr">
        <is>
          <t>Provider-specific inference/training workload power telemetry.</t>
        </is>
      </c>
    </row>
    <row r="3860">
      <c r="A3860" s="3" t="inlineStr">
        <is>
          <t>DeepSeek</t>
        </is>
      </c>
      <c r="B3860" s="3" t="n">
        <v>2028</v>
      </c>
      <c r="C3860" s="3" t="inlineStr">
        <is>
          <t>Grid-Constrained / Efficiency-Upside</t>
        </is>
      </c>
      <c r="D3860" s="3" t="inlineStr">
        <is>
          <t>inference_gw</t>
        </is>
      </c>
      <c r="E3860" s="3" t="n">
        <v>0.268</v>
      </c>
      <c r="F3860" s="3" t="inlineStr">
        <is>
          <t>GW</t>
        </is>
      </c>
      <c r="G3860" s="3" t="inlineStr">
        <is>
          <t>Derived formula</t>
        </is>
      </c>
      <c r="H3860" s="3" t="inlineStr">
        <is>
          <t>ai_it_load_gw * inference_power_share</t>
        </is>
      </c>
      <c r="I3860" s="3" t="inlineStr">
        <is>
          <t>This is the operational power eligible to become commercial generated output tokens through the selected TPS/MW proxy.</t>
        </is>
      </c>
      <c r="J3860" s="3" t="inlineStr">
        <is>
          <t>SRC_DEEPSEEK_V3; SRC_DEEPSEEK_R1; SRC_DEEPSEEK_H800_INFERENCE; SRC_EPOCH_AI_DATA_CENTERS</t>
        </is>
      </c>
      <c r="K3860" s="3" t="inlineStr">
        <is>
          <t>ASSUMP_MOE_EFFICIENCY; ASSUMP_CN_CAPACITY_TRANSPARENCY; ASSUMP_NUMERIC_ACCELERATOR_MIX; ASSUMP_INFERENCE_SHARE_NOT_FACT_60; ASSUMP_WORKLOAD_CLASS_MIX; ASSUMP_AGENTIC_CONTEXT_PENALTY</t>
        </is>
      </c>
      <c r="L3860" s="3" t="inlineStr">
        <is>
          <t>Recompute after AI allocation or inference-share evidence changes.</t>
        </is>
      </c>
    </row>
    <row r="3861">
      <c r="A3861" s="3" t="inlineStr">
        <is>
          <t>DeepSeek</t>
        </is>
      </c>
      <c r="B3861" s="3" t="n">
        <v>2028</v>
      </c>
      <c r="C3861" s="3" t="inlineStr">
        <is>
          <t>Grid-Constrained / Efficiency-Upside</t>
        </is>
      </c>
      <c r="D3861" s="3" t="inlineStr">
        <is>
          <t>training_power_share</t>
        </is>
      </c>
      <c r="E3861" s="3" t="n">
        <v>0.25</v>
      </c>
      <c r="F3861" s="3" t="inlineStr">
        <is>
          <t>share of AI IT load</t>
        </is>
      </c>
      <c r="G3861" s="3" t="inlineStr">
        <is>
          <t>Derived allocation</t>
        </is>
      </c>
      <c r="H3861" s="3" t="inlineStr">
        <is>
          <t>1 - inference_power_share</t>
        </is>
      </c>
      <c r="I3861" s="3" t="inlineStr">
        <is>
          <t>Training receives the complementary modeled AI IT allocation; it is not a disclosed company workload split.</t>
        </is>
      </c>
      <c r="J3861" s="3" t="inlineStr">
        <is>
          <t>SRC_DEEPSEEK_V3; SRC_DEEPSEEK_R1; SRC_DEEPSEEK_H800_INFERENCE; SRC_EPOCH_AI_DATA_CENTERS; ASSUMP_INFERENCE_SHARE_NOT_FACT_60</t>
        </is>
      </c>
      <c r="K3861" s="3" t="inlineStr">
        <is>
          <t>ASSUMP_MOE_EFFICIENCY; ASSUMP_CN_CAPACITY_TRANSPARENCY; ASSUMP_NUMERIC_ACCELERATOR_MIX; ASSUMP_INFERENCE_SHARE_NOT_FACT_60; ASSUMP_WORKLOAD_CLASS_MIX; ASSUMP_AGENTIC_CONTEXT_PENALTY</t>
        </is>
      </c>
      <c r="L3861" s="3" t="inlineStr">
        <is>
          <t>Provider-specific inference/training workload power telemetry.</t>
        </is>
      </c>
    </row>
    <row r="3862">
      <c r="A3862" s="3" t="inlineStr">
        <is>
          <t>DeepSeek</t>
        </is>
      </c>
      <c r="B3862" s="3" t="n">
        <v>2028</v>
      </c>
      <c r="C3862" s="3" t="inlineStr">
        <is>
          <t>Grid-Constrained / Efficiency-Upside</t>
        </is>
      </c>
      <c r="D3862" s="3" t="inlineStr">
        <is>
          <t>training_gw</t>
        </is>
      </c>
      <c r="E3862" s="3" t="n">
        <v>0.089</v>
      </c>
      <c r="F3862" s="3" t="inlineStr">
        <is>
          <t>GW</t>
        </is>
      </c>
      <c r="G3862" s="3" t="inlineStr">
        <is>
          <t>Derived formula</t>
        </is>
      </c>
      <c r="H3862" s="3" t="inlineStr">
        <is>
          <t>ai_it_load_gw * training_power_share</t>
        </is>
      </c>
      <c r="I3862" s="3" t="inlineStr">
        <is>
          <t>Training GW is shown separately so commercial inference token capacity is not overstated.</t>
        </is>
      </c>
      <c r="J3862" s="3" t="inlineStr">
        <is>
          <t>SRC_DEEPSEEK_V3; SRC_DEEPSEEK_R1; SRC_DEEPSEEK_H800_INFERENCE; SRC_EPOCH_AI_DATA_CENTERS</t>
        </is>
      </c>
      <c r="K3862" s="3" t="inlineStr">
        <is>
          <t>ASSUMP_MOE_EFFICIENCY; ASSUMP_CN_CAPACITY_TRANSPARENCY; ASSUMP_NUMERIC_ACCELERATOR_MIX; ASSUMP_INFERENCE_SHARE_NOT_FACT_60; ASSUMP_WORKLOAD_CLASS_MIX; ASSUMP_AGENTIC_CONTEXT_PENALTY</t>
        </is>
      </c>
      <c r="L3862" s="3" t="inlineStr">
        <is>
          <t>Recompute after AI allocation or workload-split evidence changes.</t>
        </is>
      </c>
    </row>
    <row r="3863">
      <c r="A3863" s="3" t="inlineStr">
        <is>
          <t>DeepSeek</t>
        </is>
      </c>
      <c r="B3863" s="3" t="n">
        <v>2028</v>
      </c>
      <c r="C3863" s="3" t="inlineStr">
        <is>
          <t>Grid-Constrained / Efficiency-Upside</t>
        </is>
      </c>
      <c r="D3863" s="3" t="inlineStr">
        <is>
          <t>tokens_per_second_per_mw</t>
        </is>
      </c>
      <c r="E3863" s="3" t="n">
        <v>138012</v>
      </c>
      <c r="F3863" s="3" t="inlineStr">
        <is>
          <t>generated output tokens/sec/MW</t>
        </is>
      </c>
      <c r="G3863" s="3" t="inlineStr">
        <is>
          <t>Derived estimate + benchmark calibration</t>
        </is>
      </c>
      <c r="H3863" s="3" t="inlineStr">
        <is>
          <t>fleet_reference_tps_per_mw * commercial_workload_fit_factor</t>
        </is>
      </c>
      <c r="I3863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63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63" s="3" t="inlineStr">
        <is>
          <t>ASSUMP_MOE_EFFICIENCY; ASSUMP_CN_CAPACITY_TRANSPARENCY; ASSUMP_NUMERIC_ACCELERATOR_MIX; ASSUMP_INFERENCE_SHARE_NOT_FACT_60; ASSUMP_WORKLOAD_CLASS_MIX; ASSUMP_AGENTIC_CONTEXT_PENALTY</t>
        </is>
      </c>
      <c r="L3863" s="3" t="inlineStr">
        <is>
          <t>Comparable production output-token throughput with model, hardware, precision, ISL/OSL and SLO matched.</t>
        </is>
      </c>
    </row>
    <row r="3864">
      <c r="A3864" s="3" t="inlineStr">
        <is>
          <t>DeepSeek</t>
        </is>
      </c>
      <c r="B3864" s="3" t="n">
        <v>2028</v>
      </c>
      <c r="C3864" s="3" t="inlineStr">
        <is>
          <t>Grid-Constrained / Efficiency-Upside</t>
        </is>
      </c>
      <c r="D3864" s="3" t="inlineStr">
        <is>
          <t>inference_tokens_per_day</t>
        </is>
      </c>
      <c r="E3864" s="3" t="n">
        <v>3195695462400</v>
      </c>
      <c r="F3864" s="3" t="inlineStr">
        <is>
          <t>generated output tokens/day</t>
        </is>
      </c>
      <c r="G3864" s="3" t="inlineStr">
        <is>
          <t>Derived headline metric</t>
        </is>
      </c>
      <c r="H3864" s="3" t="inlineStr">
        <is>
          <t>inference_gw * 1000 * tokens_per_second_per_mw * 86,400</t>
        </is>
      </c>
      <c r="I3864" s="3" t="inlineStr">
        <is>
          <t>Headline capacity uses no utilization, MoE, architecture or software-growth multiplier; it is not observed commercial output volume.</t>
        </is>
      </c>
      <c r="J3864" s="3" t="inlineStr">
        <is>
          <t>SRC_DEEPSEEK_V3; SRC_DEEPSEEK_R1; SRC_DEEPSEEK_H800_INFERENCE; SRC_EPOCH_AI_DATA_CENTERS; SRC_SEMIANALYSIS_INFERENCEX</t>
        </is>
      </c>
      <c r="K3864" s="3" t="inlineStr">
        <is>
          <t>ASSUMP_MOE_EFFICIENCY; ASSUMP_CN_CAPACITY_TRANSPARENCY; ASSUMP_NUMERIC_ACCELERATOR_MIX; ASSUMP_INFERENCE_SHARE_NOT_FACT_60; ASSUMP_WORKLOAD_CLASS_MIX; ASSUMP_AGENTIC_CONTEXT_PENALTY</t>
        </is>
      </c>
      <c r="L3864" s="3" t="inlineStr">
        <is>
          <t>Provider-disclosed generated output token volume or calibrated capacity telemetry.</t>
        </is>
      </c>
    </row>
    <row r="3865">
      <c r="A3865" s="3" t="inlineStr">
        <is>
          <t>DeepSeek</t>
        </is>
      </c>
      <c r="B3865" s="3" t="n">
        <v>2028</v>
      </c>
      <c r="C3865" s="3" t="inlineStr">
        <is>
          <t>Grid-Constrained / Efficiency-Upside</t>
        </is>
      </c>
      <c r="D3865" s="3" t="inlineStr">
        <is>
          <t>inference_tokens_per_year</t>
        </is>
      </c>
      <c r="E3865" s="3" t="n">
        <v>1166428843776000</v>
      </c>
      <c r="F3865" s="3" t="inlineStr">
        <is>
          <t>generated output tokens/year</t>
        </is>
      </c>
      <c r="G3865" s="3" t="inlineStr">
        <is>
          <t>Derived headline metric</t>
        </is>
      </c>
      <c r="H3865" s="3" t="inlineStr">
        <is>
          <t>inference_tokens_per_day * 365</t>
        </is>
      </c>
      <c r="I3865" s="3" t="inlineStr">
        <is>
          <t>Annualized version of generated output token capacity; it is not observed annual demand or billable volume.</t>
        </is>
      </c>
      <c r="J3865" s="3" t="inlineStr">
        <is>
          <t>SRC_DEEPSEEK_V3; SRC_DEEPSEEK_R1; SRC_DEEPSEEK_H800_INFERENCE; SRC_EPOCH_AI_DATA_CENTERS; SRC_SEMIANALYSIS_INFERENCEX</t>
        </is>
      </c>
      <c r="K3865" s="3" t="inlineStr">
        <is>
          <t>ASSUMP_MOE_EFFICIENCY; ASSUMP_CN_CAPACITY_TRANSPARENCY; ASSUMP_NUMERIC_ACCELERATOR_MIX; ASSUMP_INFERENCE_SHARE_NOT_FACT_60; ASSUMP_WORKLOAD_CLASS_MIX; ASSUMP_AGENTIC_CONTEXT_PENALTY</t>
        </is>
      </c>
      <c r="L3865" s="3" t="inlineStr">
        <is>
          <t>Provider-disclosed annual generated-output volume or metered serving telemetry.</t>
        </is>
      </c>
    </row>
    <row r="3866">
      <c r="A3866" s="3" t="inlineStr">
        <is>
          <t>DeepSeek</t>
        </is>
      </c>
      <c r="B3866" s="3" t="n">
        <v>2029</v>
      </c>
      <c r="C3866" s="3" t="inlineStr">
        <is>
          <t>Grid-Constrained / Efficiency-Upside</t>
        </is>
      </c>
      <c r="D3866" s="3" t="inlineStr">
        <is>
          <t>contracted_power_gw</t>
        </is>
      </c>
      <c r="E3866" s="3" t="n">
        <v>1.475</v>
      </c>
      <c r="F3866" s="3" t="inlineStr">
        <is>
          <t>GW</t>
        </is>
      </c>
      <c r="G3866" s="3" t="inlineStr">
        <is>
          <t>Scenario capacity envelope</t>
        </is>
      </c>
      <c r="H3866" s="3" t="inlineStr">
        <is>
          <t>linear interpolation between 2026 and 2030 company capacity endpoints</t>
        </is>
      </c>
      <c r="I3866" s="3" t="inlineStr">
        <is>
          <t>Capacity is a low-transparency scenario; official infrastructure evidence supports H800 inference hardware, not company GW.</t>
        </is>
      </c>
      <c r="J3866" s="3" t="inlineStr">
        <is>
          <t>SRC_DEEPSEEK_H800_INFERENCE; ASSUMP_CN_CAPACITY_TRANSPARENCY</t>
        </is>
      </c>
      <c r="K3866" s="3" t="inlineStr">
        <is>
          <t>ASSUMP_MOE_EFFICIENCY; ASSUMP_CN_CAPACITY_TRANSPARENCY; ASSUMP_NUMERIC_ACCELERATOR_MIX; ASSUMP_INFERENCE_SHARE_NOT_FACT_60; ASSUMP_WORKLOAD_CLASS_MIX; ASSUMP_AGENTIC_CONTEXT_PENALTY</t>
        </is>
      </c>
      <c r="L3866" s="3" t="inlineStr">
        <is>
          <t>Company/site-level committed MW/GW, interconnect and contract disclosure.</t>
        </is>
      </c>
    </row>
    <row r="3867">
      <c r="A3867" s="3" t="inlineStr">
        <is>
          <t>DeepSeek</t>
        </is>
      </c>
      <c r="B3867" s="3" t="n">
        <v>2029</v>
      </c>
      <c r="C3867" s="3" t="inlineStr">
        <is>
          <t>Grid-Constrained / Efficiency-Upside</t>
        </is>
      </c>
      <c r="D3867" s="3" t="inlineStr">
        <is>
          <t>operational_deployment_share</t>
        </is>
      </c>
      <c r="E3867" s="3" t="n">
        <v>0.48338983</v>
      </c>
      <c r="F3867" s="3" t="inlineStr">
        <is>
          <t>share</t>
        </is>
      </c>
      <c r="G3867" s="3" t="inlineStr">
        <is>
          <t>Scenario conversion</t>
        </is>
      </c>
      <c r="H3867" s="3" t="inlineStr">
        <is>
          <t>active_power_gw / contracted_power_gw</t>
        </is>
      </c>
      <c r="I3867" s="3" t="inlineStr">
        <is>
          <t>This is the single explicit conversion from contracted/attributed capacity to operationally usable capacity.</t>
        </is>
      </c>
      <c r="J3867" s="3" t="inlineStr">
        <is>
          <t>SRC_DEEPSEEK_H800_INFERENCE; ASSUMP_CN_CAPACITY_TRANSPARENCY</t>
        </is>
      </c>
      <c r="K3867" s="3" t="inlineStr">
        <is>
          <t>ASSUMP_MOE_EFFICIENCY; ASSUMP_CN_CAPACITY_TRANSPARENCY; ASSUMP_NUMERIC_ACCELERATOR_MIX; ASSUMP_INFERENCE_SHARE_NOT_FACT_60; ASSUMP_WORKLOAD_CLASS_MIX; ASSUMP_AGENTIC_CONTEXT_PENALTY</t>
        </is>
      </c>
      <c r="L3867" s="3" t="inlineStr">
        <is>
          <t>Energized operational capacity divided by contracted/attributed capacity.</t>
        </is>
      </c>
    </row>
    <row r="3868">
      <c r="A3868" s="3" t="inlineStr">
        <is>
          <t>DeepSeek</t>
        </is>
      </c>
      <c r="B3868" s="3" t="n">
        <v>2029</v>
      </c>
      <c r="C3868" s="3" t="inlineStr">
        <is>
          <t>Grid-Constrained / Efficiency-Upside</t>
        </is>
      </c>
      <c r="D3868" s="3" t="inlineStr">
        <is>
          <t>active_power_gw</t>
        </is>
      </c>
      <c r="E3868" s="3" t="n">
        <v>0.713</v>
      </c>
      <c r="F3868" s="3" t="inlineStr">
        <is>
          <t>GW</t>
        </is>
      </c>
      <c r="G3868" s="3" t="inlineStr">
        <is>
          <t>Derived scenario</t>
        </is>
      </c>
      <c r="H3868" s="3" t="inlineStr">
        <is>
          <t>contracted_power_gw * operational_deployment_share</t>
        </is>
      </c>
      <c r="I3868" s="3" t="inlineStr">
        <is>
          <t>Active GW is conservative because operated cluster scale beyond disclosed infrastructure is not public.</t>
        </is>
      </c>
      <c r="J3868" s="3" t="inlineStr">
        <is>
          <t>SRC_DEEPSEEK_H800_INFERENCE; ASSUMP_CN_CAPACITY_TRANSPARENCY</t>
        </is>
      </c>
      <c r="K3868" s="3" t="inlineStr">
        <is>
          <t>ASSUMP_MOE_EFFICIENCY; ASSUMP_CN_CAPACITY_TRANSPARENCY; ASSUMP_NUMERIC_ACCELERATOR_MIX; ASSUMP_INFERENCE_SHARE_NOT_FACT_60; ASSUMP_WORKLOAD_CLASS_MIX; ASSUMP_AGENTIC_CONTEXT_PENALTY</t>
        </is>
      </c>
      <c r="L3868" s="3" t="inlineStr">
        <is>
          <t>Energization dates, accelerator deliveries and operational powered-rack telemetry.</t>
        </is>
      </c>
    </row>
    <row r="3869">
      <c r="A3869" s="3" t="inlineStr">
        <is>
          <t>DeepSeek</t>
        </is>
      </c>
      <c r="B3869" s="3" t="n">
        <v>2029</v>
      </c>
      <c r="C3869" s="3" t="inlineStr">
        <is>
          <t>Grid-Constrained / Efficiency-Upside</t>
        </is>
      </c>
      <c r="D3869" s="3" t="inlineStr">
        <is>
          <t>pue</t>
        </is>
      </c>
      <c r="E3869" s="3" t="n">
        <v>1.24</v>
      </c>
      <c r="F3869" s="3" t="inlineStr">
        <is>
          <t>ratio</t>
        </is>
      </c>
      <c r="G3869" s="3" t="inlineStr">
        <is>
          <t>Scenario parameter</t>
        </is>
      </c>
      <c r="H3869" s="3" t="inlineStr">
        <is>
          <t>it_load_gw = active_power_gw / pue</t>
        </is>
      </c>
      <c r="I3869" s="3" t="inlineStr">
        <is>
          <t>No provider-wide site-level PUE is used as a disclosed fact; PUE represents facility-to-IT conversion within the scenario.</t>
        </is>
      </c>
      <c r="J3869" s="3" t="inlineStr">
        <is>
          <t>ASSUMP_POWER_RAMP</t>
        </is>
      </c>
      <c r="K3869" s="3" t="inlineStr">
        <is>
          <t>ASSUMP_MOE_EFFICIENCY; ASSUMP_CN_CAPACITY_TRANSPARENCY; ASSUMP_NUMERIC_ACCELERATOR_MIX; ASSUMP_INFERENCE_SHARE_NOT_FACT_60; ASSUMP_WORKLOAD_CLASS_MIX; ASSUMP_AGENTIC_CONTEXT_PENALTY</t>
        </is>
      </c>
      <c r="L3869" s="3" t="inlineStr">
        <is>
          <t>Site-level measured PUE matched to attributed AI capacity.</t>
        </is>
      </c>
    </row>
    <row r="3870">
      <c r="A3870" s="3" t="inlineStr">
        <is>
          <t>DeepSeek</t>
        </is>
      </c>
      <c r="B3870" s="3" t="n">
        <v>2029</v>
      </c>
      <c r="C3870" s="3" t="inlineStr">
        <is>
          <t>Grid-Constrained / Efficiency-Upside</t>
        </is>
      </c>
      <c r="D3870" s="3" t="inlineStr">
        <is>
          <t>it_load_gw</t>
        </is>
      </c>
      <c r="E3870" s="3" t="n">
        <v>0.575</v>
      </c>
      <c r="F3870" s="3" t="inlineStr">
        <is>
          <t>GW</t>
        </is>
      </c>
      <c r="G3870" s="3" t="inlineStr">
        <is>
          <t>Derived formula</t>
        </is>
      </c>
      <c r="H3870" s="3" t="inlineStr">
        <is>
          <t>active_power_gw / pue</t>
        </is>
      </c>
      <c r="I3870" s="3" t="inlineStr">
        <is>
          <t>Facility power is converted to IT-deliverable power before attributing AI workloads.</t>
        </is>
      </c>
      <c r="J3870" s="3" t="inlineStr">
        <is>
          <t>SRC_DEEPSEEK_H800_INFERENCE; ASSUMP_CN_CAPACITY_TRANSPARENCY</t>
        </is>
      </c>
      <c r="K3870" s="3" t="inlineStr">
        <is>
          <t>ASSUMP_MOE_EFFICIENCY; ASSUMP_CN_CAPACITY_TRANSPARENCY; ASSUMP_NUMERIC_ACCELERATOR_MIX; ASSUMP_INFERENCE_SHARE_NOT_FACT_60; ASSUMP_WORKLOAD_CLASS_MIX; ASSUMP_AGENTIC_CONTEXT_PENALTY</t>
        </is>
      </c>
      <c r="L3870" s="3" t="inlineStr">
        <is>
          <t>Recompute once active power and PUE become site-observable.</t>
        </is>
      </c>
    </row>
    <row r="3871">
      <c r="A3871" s="3" t="inlineStr">
        <is>
          <t>DeepSeek</t>
        </is>
      </c>
      <c r="B3871" s="3" t="n">
        <v>2029</v>
      </c>
      <c r="C3871" s="3" t="inlineStr">
        <is>
          <t>Grid-Constrained / Efficiency-Upside</t>
        </is>
      </c>
      <c r="D3871" s="3" t="inlineStr">
        <is>
          <t>ai_workload_share</t>
        </is>
      </c>
      <c r="E3871" s="3" t="n">
        <v>0.82</v>
      </c>
      <c r="F3871" s="3" t="inlineStr">
        <is>
          <t>share</t>
        </is>
      </c>
      <c r="G3871" s="3" t="inlineStr">
        <is>
          <t>Scenario allocation</t>
        </is>
      </c>
      <c r="H3871" s="3" t="inlineStr">
        <is>
          <t>ai_it_load_gw = it_load_gw * ai_workload_share</t>
        </is>
      </c>
      <c r="I3871" s="3" t="inlineStr">
        <is>
          <t>DeepSeek-operated service capacity is modeled as AI-focused, reduced for reserve and ancillary processing.</t>
        </is>
      </c>
      <c r="J3871" s="3" t="inlineStr">
        <is>
          <t>SRC_DEEPSEEK_V3; SRC_DEEPSEEK_R1; SRC_DEEPSEEK_H800_INFERENCE; SRC_EPOCH_AI_DATA_CENTERS</t>
        </is>
      </c>
      <c r="K3871" s="3" t="inlineStr">
        <is>
          <t>ASSUMP_MOE_EFFICIENCY; ASSUMP_CN_CAPACITY_TRANSPARENCY; ASSUMP_NUMERIC_ACCELERATOR_MIX; ASSUMP_INFERENCE_SHARE_NOT_FACT_60; ASSUMP_WORKLOAD_CLASS_MIX; ASSUMP_AGENTIC_CONTEXT_PENALTY</t>
        </is>
      </c>
      <c r="L3871" s="3" t="inlineStr">
        <is>
          <t>Model-owner AI workload allocation or cluster scheduling telemetry.</t>
        </is>
      </c>
    </row>
    <row r="3872">
      <c r="A3872" s="3" t="inlineStr">
        <is>
          <t>DeepSeek</t>
        </is>
      </c>
      <c r="B3872" s="3" t="n">
        <v>2029</v>
      </c>
      <c r="C3872" s="3" t="inlineStr">
        <is>
          <t>Grid-Constrained / Efficiency-Upside</t>
        </is>
      </c>
      <c r="D3872" s="3" t="inlineStr">
        <is>
          <t>ai_it_load_gw</t>
        </is>
      </c>
      <c r="E3872" s="3" t="n">
        <v>0.471</v>
      </c>
      <c r="F3872" s="3" t="inlineStr">
        <is>
          <t>GW</t>
        </is>
      </c>
      <c r="G3872" s="3" t="inlineStr">
        <is>
          <t>Derived formula</t>
        </is>
      </c>
      <c r="H3872" s="3" t="inlineStr">
        <is>
          <t>it_load_gw * ai_workload_share</t>
        </is>
      </c>
      <c r="I3872" s="3" t="inlineStr">
        <is>
          <t>Only the AI-attributed portion of IT load enters training/inference allocation.</t>
        </is>
      </c>
      <c r="J3872" s="3" t="inlineStr">
        <is>
          <t>SRC_DEEPSEEK_V3; SRC_DEEPSEEK_R1; SRC_DEEPSEEK_H800_INFERENCE; SRC_EPOCH_AI_DATA_CENTERS</t>
        </is>
      </c>
      <c r="K3872" s="3" t="inlineStr">
        <is>
          <t>ASSUMP_MOE_EFFICIENCY; ASSUMP_CN_CAPACITY_TRANSPARENCY; ASSUMP_NUMERIC_ACCELERATOR_MIX; ASSUMP_INFERENCE_SHARE_NOT_FACT_60; ASSUMP_WORKLOAD_CLASS_MIX; ASSUMP_AGENTIC_CONTEXT_PENALTY</t>
        </is>
      </c>
      <c r="L3872" s="3" t="inlineStr">
        <is>
          <t>Recompute after ai_workload_share is replaced by telemetry.</t>
        </is>
      </c>
    </row>
    <row r="3873">
      <c r="A3873" s="3" t="inlineStr">
        <is>
          <t>DeepSeek</t>
        </is>
      </c>
      <c r="B3873" s="3" t="n">
        <v>2029</v>
      </c>
      <c r="C3873" s="3" t="inlineStr">
        <is>
          <t>Grid-Constrained / Efficiency-Upside</t>
        </is>
      </c>
      <c r="D3873" s="3" t="inlineStr">
        <is>
          <t>gpu_share</t>
        </is>
      </c>
      <c r="E3873" s="3" t="n">
        <v>1</v>
      </c>
      <c r="F3873" s="3" t="inlineStr">
        <is>
          <t>share of inference-serving accelerator load</t>
        </is>
      </c>
      <c r="G3873" s="3" t="inlineStr">
        <is>
          <t>Numeric scenario</t>
        </is>
      </c>
      <c r="H3873" s="3" t="inlineStr">
        <is>
          <t>gpu_share interpolated from company 2026/2030 accelerator-mix endpoints</t>
        </is>
      </c>
      <c r="I3873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73" s="3" t="inlineStr">
        <is>
          <t>SRC_DEEPSEEK_V3; SRC_DEEPSEEK_R1; SRC_DEEPSEEK_H800_INFERENCE; SRC_EPOCH_AI_DATA_CENTERS; ASSUMP_NUMERIC_ACCELERATOR_MIX</t>
        </is>
      </c>
      <c r="K3873" s="3" t="inlineStr">
        <is>
          <t>ASSUMP_MOE_EFFICIENCY; ASSUMP_CN_CAPACITY_TRANSPARENCY; ASSUMP_NUMERIC_ACCELERATOR_MIX; ASSUMP_INFERENCE_SHARE_NOT_FACT_60; ASSUMP_WORKLOAD_CLASS_MIX; ASSUMP_AGENTIC_CONTEXT_PENALTY</t>
        </is>
      </c>
      <c r="L3873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74">
      <c r="A3874" s="3" t="inlineStr">
        <is>
          <t>DeepSeek</t>
        </is>
      </c>
      <c r="B3874" s="3" t="n">
        <v>2029</v>
      </c>
      <c r="C3874" s="3" t="inlineStr">
        <is>
          <t>Grid-Constrained / Efficiency-Upside</t>
        </is>
      </c>
      <c r="D3874" s="3" t="inlineStr">
        <is>
          <t>h200_share</t>
        </is>
      </c>
      <c r="E3874" s="3" t="n">
        <v>0.213</v>
      </c>
      <c r="F3874" s="3" t="inlineStr">
        <is>
          <t>share of inference-serving accelerator load</t>
        </is>
      </c>
      <c r="G3874" s="3" t="inlineStr">
        <is>
          <t>Editable numeric scenario</t>
        </is>
      </c>
      <c r="H3874" s="3" t="inlineStr">
        <is>
          <t>h200_share = gpu_share * default_gpu_generation_mix_h200</t>
        </is>
      </c>
      <c r="I3874" s="3" t="inlineStr">
        <is>
          <t>Default GPU-generation migration assumption; executive workbook allows later manual replacement by company/year/scenario.</t>
        </is>
      </c>
      <c r="J3874" s="3" t="inlineStr">
        <is>
          <t>SRC_SEMIANALYSIS_INFERENCEX; ASSUMP_NUMERIC_ACCELERATOR_MIX</t>
        </is>
      </c>
      <c r="K3874" s="3" t="inlineStr">
        <is>
          <t>ASSUMP_MOE_EFFICIENCY; ASSUMP_CN_CAPACITY_TRANSPARENCY; ASSUMP_NUMERIC_ACCELERATOR_MIX; ASSUMP_INFERENCE_SHARE_NOT_FACT_60; ASSUMP_WORKLOAD_CLASS_MIX; ASSUMP_AGENTIC_CONTEXT_PENALTY</t>
        </is>
      </c>
      <c r="L3874" s="3" t="inlineStr">
        <is>
          <t>Company fleet inventory, accelerator-hours or procurement/deployment records by GPU generation.</t>
        </is>
      </c>
    </row>
    <row r="3875">
      <c r="A3875" s="3" t="inlineStr">
        <is>
          <t>DeepSeek</t>
        </is>
      </c>
      <c r="B3875" s="3" t="n">
        <v>2029</v>
      </c>
      <c r="C3875" s="3" t="inlineStr">
        <is>
          <t>Grid-Constrained / Efficiency-Upside</t>
        </is>
      </c>
      <c r="D3875" s="3" t="inlineStr">
        <is>
          <t>b200_share</t>
        </is>
      </c>
      <c r="E3875" s="3" t="n">
        <v>0.362</v>
      </c>
      <c r="F3875" s="3" t="inlineStr">
        <is>
          <t>share of inference-serving accelerator load</t>
        </is>
      </c>
      <c r="G3875" s="3" t="inlineStr">
        <is>
          <t>Editable numeric scenario</t>
        </is>
      </c>
      <c r="H3875" s="3" t="inlineStr">
        <is>
          <t>b200_share = gpu_share * default_gpu_generation_mix_b200</t>
        </is>
      </c>
      <c r="I3875" s="3" t="inlineStr">
        <is>
          <t>Default GPU-generation migration assumption; executive workbook allows later manual replacement by company/year/scenario.</t>
        </is>
      </c>
      <c r="J3875" s="3" t="inlineStr">
        <is>
          <t>SRC_SEMIANALYSIS_INFERENCEX; ASSUMP_NUMERIC_ACCELERATOR_MIX</t>
        </is>
      </c>
      <c r="K3875" s="3" t="inlineStr">
        <is>
          <t>ASSUMP_MOE_EFFICIENCY; ASSUMP_CN_CAPACITY_TRANSPARENCY; ASSUMP_NUMERIC_ACCELERATOR_MIX; ASSUMP_INFERENCE_SHARE_NOT_FACT_60; ASSUMP_WORKLOAD_CLASS_MIX; ASSUMP_AGENTIC_CONTEXT_PENALTY</t>
        </is>
      </c>
      <c r="L3875" s="3" t="inlineStr">
        <is>
          <t>Company fleet inventory, accelerator-hours or procurement/deployment records by GPU generation.</t>
        </is>
      </c>
    </row>
    <row r="3876">
      <c r="A3876" s="3" t="inlineStr">
        <is>
          <t>DeepSeek</t>
        </is>
      </c>
      <c r="B3876" s="3" t="n">
        <v>2029</v>
      </c>
      <c r="C3876" s="3" t="inlineStr">
        <is>
          <t>Grid-Constrained / Efficiency-Upside</t>
        </is>
      </c>
      <c r="D3876" s="3" t="inlineStr">
        <is>
          <t>gb200_share</t>
        </is>
      </c>
      <c r="E3876" s="3" t="n">
        <v>0.425</v>
      </c>
      <c r="F3876" s="3" t="inlineStr">
        <is>
          <t>share of inference-serving accelerator load</t>
        </is>
      </c>
      <c r="G3876" s="3" t="inlineStr">
        <is>
          <t>Editable numeric scenario</t>
        </is>
      </c>
      <c r="H3876" s="3" t="inlineStr">
        <is>
          <t>gb200_share = gpu_share * default_gpu_generation_mix_gb200</t>
        </is>
      </c>
      <c r="I3876" s="3" t="inlineStr">
        <is>
          <t>Default GPU-generation migration assumption; executive workbook allows later manual replacement by company/year/scenario.</t>
        </is>
      </c>
      <c r="J3876" s="3" t="inlineStr">
        <is>
          <t>SRC_SEMIANALYSIS_INFERENCEX; ASSUMP_NUMERIC_ACCELERATOR_MIX</t>
        </is>
      </c>
      <c r="K3876" s="3" t="inlineStr">
        <is>
          <t>ASSUMP_MOE_EFFICIENCY; ASSUMP_CN_CAPACITY_TRANSPARENCY; ASSUMP_NUMERIC_ACCELERATOR_MIX; ASSUMP_INFERENCE_SHARE_NOT_FACT_60; ASSUMP_WORKLOAD_CLASS_MIX; ASSUMP_AGENTIC_CONTEXT_PENALTY</t>
        </is>
      </c>
      <c r="L3876" s="3" t="inlineStr">
        <is>
          <t>Company fleet inventory, accelerator-hours or procurement/deployment records by GPU generation.</t>
        </is>
      </c>
    </row>
    <row r="3877">
      <c r="A3877" s="3" t="inlineStr">
        <is>
          <t>DeepSeek</t>
        </is>
      </c>
      <c r="B3877" s="3" t="n">
        <v>2029</v>
      </c>
      <c r="C3877" s="3" t="inlineStr">
        <is>
          <t>Grid-Constrained / Efficiency-Upside</t>
        </is>
      </c>
      <c r="D3877" s="3" t="inlineStr">
        <is>
          <t>purpose_built_accelerator_share</t>
        </is>
      </c>
      <c r="E3877" s="3" t="n">
        <v>0</v>
      </c>
      <c r="F3877" s="3" t="inlineStr">
        <is>
          <t>share of inference-serving accelerator load</t>
        </is>
      </c>
      <c r="G3877" s="3" t="inlineStr">
        <is>
          <t>Numeric scenario</t>
        </is>
      </c>
      <c r="H3877" s="3" t="inlineStr">
        <is>
          <t>1 - gpu_share</t>
        </is>
      </c>
      <c r="I3877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77" s="3" t="inlineStr">
        <is>
          <t>SRC_DEEPSEEK_V3; SRC_DEEPSEEK_R1; SRC_DEEPSEEK_H800_INFERENCE; SRC_EPOCH_AI_DATA_CENTERS; ASSUMP_NUMERIC_ACCELERATOR_MIX</t>
        </is>
      </c>
      <c r="K3877" s="3" t="inlineStr">
        <is>
          <t>ASSUMP_MOE_EFFICIENCY; ASSUMP_CN_CAPACITY_TRANSPARENCY; ASSUMP_NUMERIC_ACCELERATOR_MIX; ASSUMP_INFERENCE_SHARE_NOT_FACT_60; ASSUMP_WORKLOAD_CLASS_MIX; ASSUMP_AGENTIC_CONTEXT_PENALTY</t>
        </is>
      </c>
      <c r="L3877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78">
      <c r="A3878" s="3" t="inlineStr">
        <is>
          <t>DeepSeek</t>
        </is>
      </c>
      <c r="B3878" s="3" t="n">
        <v>2029</v>
      </c>
      <c r="C3878" s="3" t="inlineStr">
        <is>
          <t>Grid-Constrained / Efficiency-Upside</t>
        </is>
      </c>
      <c r="D3878" s="3" t="inlineStr">
        <is>
          <t>fleet_reference_tps_per_mw</t>
        </is>
      </c>
      <c r="E3878" s="3" t="n">
        <v>173214</v>
      </c>
      <c r="F3878" s="3" t="inlineStr">
        <is>
          <t>generated output tokens/sec/MW</t>
        </is>
      </c>
      <c r="G3878" s="3" t="inlineStr">
        <is>
          <t>Fleet-weighted public benchmark reference</t>
        </is>
      </c>
      <c r="H3878" s="3" t="inlineStr">
        <is>
          <t>h200_share*h200_workload_avg + b200_share*b200_workload_avg + gb200_share*gb200_workload_avg + purpose_built_share*purpose_workload_avg</t>
        </is>
      </c>
      <c r="I3878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878" s="3" t="inlineStr">
        <is>
          <t>SRC_SEMIANALYSIS_INFERENCEX; ASSUMP_NUMERIC_ACCELERATOR_MIX; ASSUMP_WORKLOAD_CLASS_MIX; ASSUMP_AGENTIC_CONTEXT_PENALTY</t>
        </is>
      </c>
      <c r="K3878" s="3" t="inlineStr">
        <is>
          <t>ASSUMP_MOE_EFFICIENCY; ASSUMP_CN_CAPACITY_TRANSPARENCY; ASSUMP_NUMERIC_ACCELERATOR_MIX; ASSUMP_INFERENCE_SHARE_NOT_FACT_60; ASSUMP_WORKLOAD_CLASS_MIX; ASSUMP_AGENTIC_CONTEXT_PENALTY</t>
        </is>
      </c>
      <c r="L3878" s="3" t="inlineStr">
        <is>
          <t>Comparable production output-token throughput or a more closely matched benchmark.</t>
        </is>
      </c>
    </row>
    <row r="3879">
      <c r="A3879" s="3" t="inlineStr">
        <is>
          <t>DeepSeek</t>
        </is>
      </c>
      <c r="B3879" s="3" t="n">
        <v>2029</v>
      </c>
      <c r="C3879" s="3" t="inlineStr">
        <is>
          <t>Grid-Constrained / Efficiency-Upside</t>
        </is>
      </c>
      <c r="D3879" s="3" t="inlineStr">
        <is>
          <t>commercial_workload_fit_factor</t>
        </is>
      </c>
      <c r="E3879" s="3" t="n">
        <v>0.85</v>
      </c>
      <c r="F3879" s="3" t="inlineStr">
        <is>
          <t>share of public reference throughput</t>
        </is>
      </c>
      <c r="G3879" s="3" t="inlineStr">
        <is>
          <t>Scenario assumption</t>
        </is>
      </c>
      <c r="H3879" s="3" t="inlineStr">
        <is>
          <t>reference_serving_tps_per_mw = fleet_reference_tps_per_mw * commercial_workload_fit_factor</t>
        </is>
      </c>
      <c r="I3879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879" s="3" t="inlineStr">
        <is>
          <t>SRC_SEMIANALYSIS_INFERENCEX; ASSUMP_NUMERIC_ACCELERATOR_MIX; ASSUMP_WORKLOAD_CLASS_MIX; ASSUMP_AGENTIC_CONTEXT_PENALTY</t>
        </is>
      </c>
      <c r="K3879" s="3" t="inlineStr">
        <is>
          <t>ASSUMP_MOE_EFFICIENCY; ASSUMP_CN_CAPACITY_TRANSPARENCY; ASSUMP_NUMERIC_ACCELERATOR_MIX; ASSUMP_INFERENCE_SHARE_NOT_FACT_60; ASSUMP_WORKLOAD_CLASS_MIX; ASSUMP_AGENTIC_CONTEXT_PENALTY</t>
        </is>
      </c>
      <c r="L3879" s="3" t="inlineStr">
        <is>
          <t>Matched commercial serving benchmark by product surface, context shape and latency SLO.</t>
        </is>
      </c>
    </row>
    <row r="3880">
      <c r="A3880" s="3" t="inlineStr">
        <is>
          <t>DeepSeek</t>
        </is>
      </c>
      <c r="B3880" s="3" t="n">
        <v>2029</v>
      </c>
      <c r="C3880" s="3" t="inlineStr">
        <is>
          <t>Grid-Constrained / Efficiency-Upside</t>
        </is>
      </c>
      <c r="D3880" s="3" t="inlineStr">
        <is>
          <t>reference_serving_tps_per_mw</t>
        </is>
      </c>
      <c r="E3880" s="3" t="n">
        <v>147232</v>
      </c>
      <c r="F3880" s="3" t="inlineStr">
        <is>
          <t>generated output tokens/sec/MW</t>
        </is>
      </c>
      <c r="G3880" s="3" t="inlineStr">
        <is>
          <t>Workload-adjusted benchmark proxy</t>
        </is>
      </c>
      <c r="H3880" s="3" t="inlineStr">
        <is>
          <t>fleet_reference_tps_per_mw * commercial_workload_fit_factor</t>
        </is>
      </c>
      <c r="I3880" s="3" t="inlineStr">
        <is>
          <t>This is the coefficient used for headline token generation; each GPU's short chat, long chat and agentic TPS/MW are weighted before fleet mix and commercial fit are applied.</t>
        </is>
      </c>
      <c r="J3880" s="3" t="inlineStr">
        <is>
          <t>SRC_SEMIANALYSIS_INFERENCEX; ASSUMP_NUMERIC_ACCELERATOR_MIX; ASSUMP_WORKLOAD_CLASS_MIX; ASSUMP_AGENTIC_CONTEXT_PENALTY</t>
        </is>
      </c>
      <c r="K3880" s="3" t="inlineStr">
        <is>
          <t>ASSUMP_MOE_EFFICIENCY; ASSUMP_CN_CAPACITY_TRANSPARENCY; ASSUMP_NUMERIC_ACCELERATOR_MIX; ASSUMP_INFERENCE_SHARE_NOT_FACT_60; ASSUMP_WORKLOAD_CLASS_MIX; ASSUMP_AGENTIC_CONTEXT_PENALTY</t>
        </is>
      </c>
      <c r="L3880" s="3" t="inlineStr">
        <is>
          <t>Provider production output-token throughput with comparable workload/SLO.</t>
        </is>
      </c>
    </row>
    <row r="3881">
      <c r="A3881" s="3" t="inlineStr">
        <is>
          <t>DeepSeek</t>
        </is>
      </c>
      <c r="B3881" s="3" t="n">
        <v>2029</v>
      </c>
      <c r="C3881" s="3" t="inlineStr">
        <is>
          <t>Grid-Constrained / Efficiency-Upside</t>
        </is>
      </c>
      <c r="D3881" s="3" t="inlineStr">
        <is>
          <t>purpose_built_tps_per_mw</t>
        </is>
      </c>
      <c r="E3881" s="3" t="n">
        <v>334536</v>
      </c>
      <c r="F3881" s="3" t="inlineStr">
        <is>
          <t>generated output tokens/sec/MW</t>
        </is>
      </c>
      <c r="G3881" s="3" t="inlineStr">
        <is>
          <t>Conservative no-uplift proxy</t>
        </is>
      </c>
      <c r="H3881" s="3" t="inlineStr">
        <is>
          <t>purpose_built_tps_per_mw = purpose_built_reference_tps_per_mw * commercial_workload_fit_factor until comparable output-token benchmark is adopted</t>
        </is>
      </c>
      <c r="I3881" s="3" t="inlineStr">
        <is>
          <t>No comparable public output-token/MW row adopted; B200 public reference placeholder is used and remains editable.</t>
        </is>
      </c>
      <c r="J3881" s="3" t="inlineStr">
        <is>
          <t>SRC_DEEPSEEK_V3; SRC_DEEPSEEK_R1; SRC_DEEPSEEK_H800_INFERENCE; SRC_EPOCH_AI_DATA_CENTERS; ASSUMP_NUMERIC_ACCELERATOR_MIX</t>
        </is>
      </c>
      <c r="K3881" s="3" t="inlineStr">
        <is>
          <t>ASSUMP_MOE_EFFICIENCY; ASSUMP_CN_CAPACITY_TRANSPARENCY; ASSUMP_NUMERIC_ACCELERATOR_MIX; ASSUMP_INFERENCE_SHARE_NOT_FACT_60; ASSUMP_WORKLOAD_CLASS_MIX; ASSUMP_AGENTIC_CONTEXT_PENALTY</t>
        </is>
      </c>
      <c r="L3881" s="3" t="inlineStr">
        <is>
          <t>Matched-workload generated-output benchmark for the provider purpose-built accelerator.</t>
        </is>
      </c>
    </row>
    <row r="3882">
      <c r="A3882" s="3" t="inlineStr">
        <is>
          <t>DeepSeek</t>
        </is>
      </c>
      <c r="B3882" s="3" t="n">
        <v>2029</v>
      </c>
      <c r="C3882" s="3" t="inlineStr">
        <is>
          <t>Grid-Constrained / Efficiency-Upside</t>
        </is>
      </c>
      <c r="D3882" s="3" t="inlineStr">
        <is>
          <t>inference_power_share</t>
        </is>
      </c>
      <c r="E3882" s="3" t="n">
        <v>0.805</v>
      </c>
      <c r="F3882" s="3" t="inlineStr">
        <is>
          <t>share of AI IT load</t>
        </is>
      </c>
      <c r="G3882" s="3" t="inlineStr">
        <is>
          <t>Scenario allocation</t>
        </is>
      </c>
      <c r="H3882" s="3" t="inlineStr">
        <is>
          <t>inference_gw = ai_it_load_gw * inference_power_share</t>
        </is>
      </c>
      <c r="I3882" s="3" t="inlineStr">
        <is>
          <t>API/app availability and inference-system disclosure support higher inference share; the value remains scenario.</t>
        </is>
      </c>
      <c r="J3882" s="3" t="inlineStr">
        <is>
          <t>SRC_DEEPSEEK_V3; SRC_DEEPSEEK_R1; SRC_DEEPSEEK_H800_INFERENCE; SRC_EPOCH_AI_DATA_CENTERS; ASSUMP_INFERENCE_SHARE_NOT_FACT_60</t>
        </is>
      </c>
      <c r="K3882" s="3" t="inlineStr">
        <is>
          <t>ASSUMP_MOE_EFFICIENCY; ASSUMP_CN_CAPACITY_TRANSPARENCY; ASSUMP_NUMERIC_ACCELERATOR_MIX; ASSUMP_INFERENCE_SHARE_NOT_FACT_60; ASSUMP_WORKLOAD_CLASS_MIX; ASSUMP_AGENTIC_CONTEXT_PENALTY</t>
        </is>
      </c>
      <c r="L3882" s="3" t="inlineStr">
        <is>
          <t>Provider-specific inference/training workload power telemetry.</t>
        </is>
      </c>
    </row>
    <row r="3883">
      <c r="A3883" s="3" t="inlineStr">
        <is>
          <t>DeepSeek</t>
        </is>
      </c>
      <c r="B3883" s="3" t="n">
        <v>2029</v>
      </c>
      <c r="C3883" s="3" t="inlineStr">
        <is>
          <t>Grid-Constrained / Efficiency-Upside</t>
        </is>
      </c>
      <c r="D3883" s="3" t="inlineStr">
        <is>
          <t>inference_gw</t>
        </is>
      </c>
      <c r="E3883" s="3" t="n">
        <v>0.379</v>
      </c>
      <c r="F3883" s="3" t="inlineStr">
        <is>
          <t>GW</t>
        </is>
      </c>
      <c r="G3883" s="3" t="inlineStr">
        <is>
          <t>Derived formula</t>
        </is>
      </c>
      <c r="H3883" s="3" t="inlineStr">
        <is>
          <t>ai_it_load_gw * inference_power_share</t>
        </is>
      </c>
      <c r="I3883" s="3" t="inlineStr">
        <is>
          <t>This is the operational power eligible to become commercial generated output tokens through the selected TPS/MW proxy.</t>
        </is>
      </c>
      <c r="J3883" s="3" t="inlineStr">
        <is>
          <t>SRC_DEEPSEEK_V3; SRC_DEEPSEEK_R1; SRC_DEEPSEEK_H800_INFERENCE; SRC_EPOCH_AI_DATA_CENTERS</t>
        </is>
      </c>
      <c r="K3883" s="3" t="inlineStr">
        <is>
          <t>ASSUMP_MOE_EFFICIENCY; ASSUMP_CN_CAPACITY_TRANSPARENCY; ASSUMP_NUMERIC_ACCELERATOR_MIX; ASSUMP_INFERENCE_SHARE_NOT_FACT_60; ASSUMP_WORKLOAD_CLASS_MIX; ASSUMP_AGENTIC_CONTEXT_PENALTY</t>
        </is>
      </c>
      <c r="L3883" s="3" t="inlineStr">
        <is>
          <t>Recompute after AI allocation or inference-share evidence changes.</t>
        </is>
      </c>
    </row>
    <row r="3884">
      <c r="A3884" s="3" t="inlineStr">
        <is>
          <t>DeepSeek</t>
        </is>
      </c>
      <c r="B3884" s="3" t="n">
        <v>2029</v>
      </c>
      <c r="C3884" s="3" t="inlineStr">
        <is>
          <t>Grid-Constrained / Efficiency-Upside</t>
        </is>
      </c>
      <c r="D3884" s="3" t="inlineStr">
        <is>
          <t>training_power_share</t>
        </is>
      </c>
      <c r="E3884" s="3" t="n">
        <v>0.195</v>
      </c>
      <c r="F3884" s="3" t="inlineStr">
        <is>
          <t>share of AI IT load</t>
        </is>
      </c>
      <c r="G3884" s="3" t="inlineStr">
        <is>
          <t>Derived allocation</t>
        </is>
      </c>
      <c r="H3884" s="3" t="inlineStr">
        <is>
          <t>1 - inference_power_share</t>
        </is>
      </c>
      <c r="I3884" s="3" t="inlineStr">
        <is>
          <t>Training receives the complementary modeled AI IT allocation; it is not a disclosed company workload split.</t>
        </is>
      </c>
      <c r="J3884" s="3" t="inlineStr">
        <is>
          <t>SRC_DEEPSEEK_V3; SRC_DEEPSEEK_R1; SRC_DEEPSEEK_H800_INFERENCE; SRC_EPOCH_AI_DATA_CENTERS; ASSUMP_INFERENCE_SHARE_NOT_FACT_60</t>
        </is>
      </c>
      <c r="K3884" s="3" t="inlineStr">
        <is>
          <t>ASSUMP_MOE_EFFICIENCY; ASSUMP_CN_CAPACITY_TRANSPARENCY; ASSUMP_NUMERIC_ACCELERATOR_MIX; ASSUMP_INFERENCE_SHARE_NOT_FACT_60; ASSUMP_WORKLOAD_CLASS_MIX; ASSUMP_AGENTIC_CONTEXT_PENALTY</t>
        </is>
      </c>
      <c r="L3884" s="3" t="inlineStr">
        <is>
          <t>Provider-specific inference/training workload power telemetry.</t>
        </is>
      </c>
    </row>
    <row r="3885">
      <c r="A3885" s="3" t="inlineStr">
        <is>
          <t>DeepSeek</t>
        </is>
      </c>
      <c r="B3885" s="3" t="n">
        <v>2029</v>
      </c>
      <c r="C3885" s="3" t="inlineStr">
        <is>
          <t>Grid-Constrained / Efficiency-Upside</t>
        </is>
      </c>
      <c r="D3885" s="3" t="inlineStr">
        <is>
          <t>training_gw</t>
        </is>
      </c>
      <c r="E3885" s="3" t="n">
        <v>0.092</v>
      </c>
      <c r="F3885" s="3" t="inlineStr">
        <is>
          <t>GW</t>
        </is>
      </c>
      <c r="G3885" s="3" t="inlineStr">
        <is>
          <t>Derived formula</t>
        </is>
      </c>
      <c r="H3885" s="3" t="inlineStr">
        <is>
          <t>ai_it_load_gw * training_power_share</t>
        </is>
      </c>
      <c r="I3885" s="3" t="inlineStr">
        <is>
          <t>Training GW is shown separately so commercial inference token capacity is not overstated.</t>
        </is>
      </c>
      <c r="J3885" s="3" t="inlineStr">
        <is>
          <t>SRC_DEEPSEEK_V3; SRC_DEEPSEEK_R1; SRC_DEEPSEEK_H800_INFERENCE; SRC_EPOCH_AI_DATA_CENTERS</t>
        </is>
      </c>
      <c r="K3885" s="3" t="inlineStr">
        <is>
          <t>ASSUMP_MOE_EFFICIENCY; ASSUMP_CN_CAPACITY_TRANSPARENCY; ASSUMP_NUMERIC_ACCELERATOR_MIX; ASSUMP_INFERENCE_SHARE_NOT_FACT_60; ASSUMP_WORKLOAD_CLASS_MIX; ASSUMP_AGENTIC_CONTEXT_PENALTY</t>
        </is>
      </c>
      <c r="L3885" s="3" t="inlineStr">
        <is>
          <t>Recompute after AI allocation or workload-split evidence changes.</t>
        </is>
      </c>
    </row>
    <row r="3886">
      <c r="A3886" s="3" t="inlineStr">
        <is>
          <t>DeepSeek</t>
        </is>
      </c>
      <c r="B3886" s="3" t="n">
        <v>2029</v>
      </c>
      <c r="C3886" s="3" t="inlineStr">
        <is>
          <t>Grid-Constrained / Efficiency-Upside</t>
        </is>
      </c>
      <c r="D3886" s="3" t="inlineStr">
        <is>
          <t>tokens_per_second_per_mw</t>
        </is>
      </c>
      <c r="E3886" s="3" t="n">
        <v>147232</v>
      </c>
      <c r="F3886" s="3" t="inlineStr">
        <is>
          <t>generated output tokens/sec/MW</t>
        </is>
      </c>
      <c r="G3886" s="3" t="inlineStr">
        <is>
          <t>Derived estimate + benchmark calibration</t>
        </is>
      </c>
      <c r="H3886" s="3" t="inlineStr">
        <is>
          <t>fleet_reference_tps_per_mw * commercial_workload_fit_factor</t>
        </is>
      </c>
      <c r="I3886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886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886" s="3" t="inlineStr">
        <is>
          <t>ASSUMP_MOE_EFFICIENCY; ASSUMP_CN_CAPACITY_TRANSPARENCY; ASSUMP_NUMERIC_ACCELERATOR_MIX; ASSUMP_INFERENCE_SHARE_NOT_FACT_60; ASSUMP_WORKLOAD_CLASS_MIX; ASSUMP_AGENTIC_CONTEXT_PENALTY</t>
        </is>
      </c>
      <c r="L3886" s="3" t="inlineStr">
        <is>
          <t>Comparable production output-token throughput with model, hardware, precision, ISL/OSL and SLO matched.</t>
        </is>
      </c>
    </row>
    <row r="3887">
      <c r="A3887" s="3" t="inlineStr">
        <is>
          <t>DeepSeek</t>
        </is>
      </c>
      <c r="B3887" s="3" t="n">
        <v>2029</v>
      </c>
      <c r="C3887" s="3" t="inlineStr">
        <is>
          <t>Grid-Constrained / Efficiency-Upside</t>
        </is>
      </c>
      <c r="D3887" s="3" t="inlineStr">
        <is>
          <t>inference_tokens_per_day</t>
        </is>
      </c>
      <c r="E3887" s="3" t="n">
        <v>4821200179200</v>
      </c>
      <c r="F3887" s="3" t="inlineStr">
        <is>
          <t>generated output tokens/day</t>
        </is>
      </c>
      <c r="G3887" s="3" t="inlineStr">
        <is>
          <t>Derived headline metric</t>
        </is>
      </c>
      <c r="H3887" s="3" t="inlineStr">
        <is>
          <t>inference_gw * 1000 * tokens_per_second_per_mw * 86,400</t>
        </is>
      </c>
      <c r="I3887" s="3" t="inlineStr">
        <is>
          <t>Headline capacity uses no utilization, MoE, architecture or software-growth multiplier; it is not observed commercial output volume.</t>
        </is>
      </c>
      <c r="J3887" s="3" t="inlineStr">
        <is>
          <t>SRC_DEEPSEEK_V3; SRC_DEEPSEEK_R1; SRC_DEEPSEEK_H800_INFERENCE; SRC_EPOCH_AI_DATA_CENTERS; SRC_SEMIANALYSIS_INFERENCEX</t>
        </is>
      </c>
      <c r="K3887" s="3" t="inlineStr">
        <is>
          <t>ASSUMP_MOE_EFFICIENCY; ASSUMP_CN_CAPACITY_TRANSPARENCY; ASSUMP_NUMERIC_ACCELERATOR_MIX; ASSUMP_INFERENCE_SHARE_NOT_FACT_60; ASSUMP_WORKLOAD_CLASS_MIX; ASSUMP_AGENTIC_CONTEXT_PENALTY</t>
        </is>
      </c>
      <c r="L3887" s="3" t="inlineStr">
        <is>
          <t>Provider-disclosed generated output token volume or calibrated capacity telemetry.</t>
        </is>
      </c>
    </row>
    <row r="3888">
      <c r="A3888" s="3" t="inlineStr">
        <is>
          <t>DeepSeek</t>
        </is>
      </c>
      <c r="B3888" s="3" t="n">
        <v>2029</v>
      </c>
      <c r="C3888" s="3" t="inlineStr">
        <is>
          <t>Grid-Constrained / Efficiency-Upside</t>
        </is>
      </c>
      <c r="D3888" s="3" t="inlineStr">
        <is>
          <t>inference_tokens_per_year</t>
        </is>
      </c>
      <c r="E3888" s="3" t="n">
        <v>1759738065408000</v>
      </c>
      <c r="F3888" s="3" t="inlineStr">
        <is>
          <t>generated output tokens/year</t>
        </is>
      </c>
      <c r="G3888" s="3" t="inlineStr">
        <is>
          <t>Derived headline metric</t>
        </is>
      </c>
      <c r="H3888" s="3" t="inlineStr">
        <is>
          <t>inference_tokens_per_day * 365</t>
        </is>
      </c>
      <c r="I3888" s="3" t="inlineStr">
        <is>
          <t>Annualized version of generated output token capacity; it is not observed annual demand or billable volume.</t>
        </is>
      </c>
      <c r="J3888" s="3" t="inlineStr">
        <is>
          <t>SRC_DEEPSEEK_V3; SRC_DEEPSEEK_R1; SRC_DEEPSEEK_H800_INFERENCE; SRC_EPOCH_AI_DATA_CENTERS; SRC_SEMIANALYSIS_INFERENCEX</t>
        </is>
      </c>
      <c r="K3888" s="3" t="inlineStr">
        <is>
          <t>ASSUMP_MOE_EFFICIENCY; ASSUMP_CN_CAPACITY_TRANSPARENCY; ASSUMP_NUMERIC_ACCELERATOR_MIX; ASSUMP_INFERENCE_SHARE_NOT_FACT_60; ASSUMP_WORKLOAD_CLASS_MIX; ASSUMP_AGENTIC_CONTEXT_PENALTY</t>
        </is>
      </c>
      <c r="L3888" s="3" t="inlineStr">
        <is>
          <t>Provider-disclosed annual generated-output volume or metered serving telemetry.</t>
        </is>
      </c>
    </row>
    <row r="3889">
      <c r="A3889" s="3" t="inlineStr">
        <is>
          <t>DeepSeek</t>
        </is>
      </c>
      <c r="B3889" s="3" t="n">
        <v>2030</v>
      </c>
      <c r="C3889" s="3" t="inlineStr">
        <is>
          <t>Grid-Constrained / Efficiency-Upside</t>
        </is>
      </c>
      <c r="D3889" s="3" t="inlineStr">
        <is>
          <t>contracted_power_gw</t>
        </is>
      </c>
      <c r="E3889" s="3" t="n">
        <v>1.8</v>
      </c>
      <c r="F3889" s="3" t="inlineStr">
        <is>
          <t>GW</t>
        </is>
      </c>
      <c r="G3889" s="3" t="inlineStr">
        <is>
          <t>Scenario capacity envelope</t>
        </is>
      </c>
      <c r="H3889" s="3" t="inlineStr">
        <is>
          <t>linear interpolation between 2026 and 2030 company capacity endpoints</t>
        </is>
      </c>
      <c r="I3889" s="3" t="inlineStr">
        <is>
          <t>Capacity is a low-transparency scenario; official infrastructure evidence supports H800 inference hardware, not company GW.</t>
        </is>
      </c>
      <c r="J3889" s="3" t="inlineStr">
        <is>
          <t>SRC_DEEPSEEK_H800_INFERENCE; ASSUMP_CN_CAPACITY_TRANSPARENCY</t>
        </is>
      </c>
      <c r="K3889" s="3" t="inlineStr">
        <is>
          <t>ASSUMP_MOE_EFFICIENCY; ASSUMP_CN_CAPACITY_TRANSPARENCY; ASSUMP_NUMERIC_ACCELERATOR_MIX; ASSUMP_INFERENCE_SHARE_NOT_FACT_60; ASSUMP_WORKLOAD_CLASS_MIX; ASSUMP_AGENTIC_CONTEXT_PENALTY</t>
        </is>
      </c>
      <c r="L3889" s="3" t="inlineStr">
        <is>
          <t>Company/site-level committed MW/GW, interconnect and contract disclosure.</t>
        </is>
      </c>
    </row>
    <row r="3890">
      <c r="A3890" s="3" t="inlineStr">
        <is>
          <t>DeepSeek</t>
        </is>
      </c>
      <c r="B3890" s="3" t="n">
        <v>2030</v>
      </c>
      <c r="C3890" s="3" t="inlineStr">
        <is>
          <t>Grid-Constrained / Efficiency-Upside</t>
        </is>
      </c>
      <c r="D3890" s="3" t="inlineStr">
        <is>
          <t>operational_deployment_share</t>
        </is>
      </c>
      <c r="E3890" s="3" t="n">
        <v>0.48</v>
      </c>
      <c r="F3890" s="3" t="inlineStr">
        <is>
          <t>share</t>
        </is>
      </c>
      <c r="G3890" s="3" t="inlineStr">
        <is>
          <t>Scenario conversion</t>
        </is>
      </c>
      <c r="H3890" s="3" t="inlineStr">
        <is>
          <t>active_power_gw / contracted_power_gw</t>
        </is>
      </c>
      <c r="I3890" s="3" t="inlineStr">
        <is>
          <t>This is the single explicit conversion from contracted/attributed capacity to operationally usable capacity.</t>
        </is>
      </c>
      <c r="J3890" s="3" t="inlineStr">
        <is>
          <t>SRC_DEEPSEEK_H800_INFERENCE; ASSUMP_CN_CAPACITY_TRANSPARENCY</t>
        </is>
      </c>
      <c r="K3890" s="3" t="inlineStr">
        <is>
          <t>ASSUMP_MOE_EFFICIENCY; ASSUMP_CN_CAPACITY_TRANSPARENCY; ASSUMP_NUMERIC_ACCELERATOR_MIX; ASSUMP_INFERENCE_SHARE_NOT_FACT_60; ASSUMP_WORKLOAD_CLASS_MIX; ASSUMP_AGENTIC_CONTEXT_PENALTY</t>
        </is>
      </c>
      <c r="L3890" s="3" t="inlineStr">
        <is>
          <t>Energized operational capacity divided by contracted/attributed capacity.</t>
        </is>
      </c>
    </row>
    <row r="3891">
      <c r="A3891" s="3" t="inlineStr">
        <is>
          <t>DeepSeek</t>
        </is>
      </c>
      <c r="B3891" s="3" t="n">
        <v>2030</v>
      </c>
      <c r="C3891" s="3" t="inlineStr">
        <is>
          <t>Grid-Constrained / Efficiency-Upside</t>
        </is>
      </c>
      <c r="D3891" s="3" t="inlineStr">
        <is>
          <t>active_power_gw</t>
        </is>
      </c>
      <c r="E3891" s="3" t="n">
        <v>0.864</v>
      </c>
      <c r="F3891" s="3" t="inlineStr">
        <is>
          <t>GW</t>
        </is>
      </c>
      <c r="G3891" s="3" t="inlineStr">
        <is>
          <t>Derived scenario</t>
        </is>
      </c>
      <c r="H3891" s="3" t="inlineStr">
        <is>
          <t>contracted_power_gw * operational_deployment_share</t>
        </is>
      </c>
      <c r="I3891" s="3" t="inlineStr">
        <is>
          <t>Active GW is conservative because operated cluster scale beyond disclosed infrastructure is not public.</t>
        </is>
      </c>
      <c r="J3891" s="3" t="inlineStr">
        <is>
          <t>SRC_DEEPSEEK_H800_INFERENCE; ASSUMP_CN_CAPACITY_TRANSPARENCY</t>
        </is>
      </c>
      <c r="K3891" s="3" t="inlineStr">
        <is>
          <t>ASSUMP_MOE_EFFICIENCY; ASSUMP_CN_CAPACITY_TRANSPARENCY; ASSUMP_NUMERIC_ACCELERATOR_MIX; ASSUMP_INFERENCE_SHARE_NOT_FACT_60; ASSUMP_WORKLOAD_CLASS_MIX; ASSUMP_AGENTIC_CONTEXT_PENALTY</t>
        </is>
      </c>
      <c r="L3891" s="3" t="inlineStr">
        <is>
          <t>Energization dates, accelerator deliveries and operational powered-rack telemetry.</t>
        </is>
      </c>
    </row>
    <row r="3892">
      <c r="A3892" s="3" t="inlineStr">
        <is>
          <t>DeepSeek</t>
        </is>
      </c>
      <c r="B3892" s="3" t="n">
        <v>2030</v>
      </c>
      <c r="C3892" s="3" t="inlineStr">
        <is>
          <t>Grid-Constrained / Efficiency-Upside</t>
        </is>
      </c>
      <c r="D3892" s="3" t="inlineStr">
        <is>
          <t>pue</t>
        </is>
      </c>
      <c r="E3892" s="3" t="n">
        <v>1.24</v>
      </c>
      <c r="F3892" s="3" t="inlineStr">
        <is>
          <t>ratio</t>
        </is>
      </c>
      <c r="G3892" s="3" t="inlineStr">
        <is>
          <t>Scenario parameter</t>
        </is>
      </c>
      <c r="H3892" s="3" t="inlineStr">
        <is>
          <t>it_load_gw = active_power_gw / pue</t>
        </is>
      </c>
      <c r="I3892" s="3" t="inlineStr">
        <is>
          <t>No provider-wide site-level PUE is used as a disclosed fact; PUE represents facility-to-IT conversion within the scenario.</t>
        </is>
      </c>
      <c r="J3892" s="3" t="inlineStr">
        <is>
          <t>ASSUMP_POWER_RAMP</t>
        </is>
      </c>
      <c r="K3892" s="3" t="inlineStr">
        <is>
          <t>ASSUMP_MOE_EFFICIENCY; ASSUMP_CN_CAPACITY_TRANSPARENCY; ASSUMP_NUMERIC_ACCELERATOR_MIX; ASSUMP_INFERENCE_SHARE_NOT_FACT_60; ASSUMP_WORKLOAD_CLASS_MIX; ASSUMP_AGENTIC_CONTEXT_PENALTY</t>
        </is>
      </c>
      <c r="L3892" s="3" t="inlineStr">
        <is>
          <t>Site-level measured PUE matched to attributed AI capacity.</t>
        </is>
      </c>
    </row>
    <row r="3893">
      <c r="A3893" s="3" t="inlineStr">
        <is>
          <t>DeepSeek</t>
        </is>
      </c>
      <c r="B3893" s="3" t="n">
        <v>2030</v>
      </c>
      <c r="C3893" s="3" t="inlineStr">
        <is>
          <t>Grid-Constrained / Efficiency-Upside</t>
        </is>
      </c>
      <c r="D3893" s="3" t="inlineStr">
        <is>
          <t>it_load_gw</t>
        </is>
      </c>
      <c r="E3893" s="3" t="n">
        <v>0.697</v>
      </c>
      <c r="F3893" s="3" t="inlineStr">
        <is>
          <t>GW</t>
        </is>
      </c>
      <c r="G3893" s="3" t="inlineStr">
        <is>
          <t>Derived formula</t>
        </is>
      </c>
      <c r="H3893" s="3" t="inlineStr">
        <is>
          <t>active_power_gw / pue</t>
        </is>
      </c>
      <c r="I3893" s="3" t="inlineStr">
        <is>
          <t>Facility power is converted to IT-deliverable power before attributing AI workloads.</t>
        </is>
      </c>
      <c r="J3893" s="3" t="inlineStr">
        <is>
          <t>SRC_DEEPSEEK_H800_INFERENCE; ASSUMP_CN_CAPACITY_TRANSPARENCY</t>
        </is>
      </c>
      <c r="K3893" s="3" t="inlineStr">
        <is>
          <t>ASSUMP_MOE_EFFICIENCY; ASSUMP_CN_CAPACITY_TRANSPARENCY; ASSUMP_NUMERIC_ACCELERATOR_MIX; ASSUMP_INFERENCE_SHARE_NOT_FACT_60; ASSUMP_WORKLOAD_CLASS_MIX; ASSUMP_AGENTIC_CONTEXT_PENALTY</t>
        </is>
      </c>
      <c r="L3893" s="3" t="inlineStr">
        <is>
          <t>Recompute once active power and PUE become site-observable.</t>
        </is>
      </c>
    </row>
    <row r="3894">
      <c r="A3894" s="3" t="inlineStr">
        <is>
          <t>DeepSeek</t>
        </is>
      </c>
      <c r="B3894" s="3" t="n">
        <v>2030</v>
      </c>
      <c r="C3894" s="3" t="inlineStr">
        <is>
          <t>Grid-Constrained / Efficiency-Upside</t>
        </is>
      </c>
      <c r="D3894" s="3" t="inlineStr">
        <is>
          <t>ai_workload_share</t>
        </is>
      </c>
      <c r="E3894" s="3" t="n">
        <v>0.82</v>
      </c>
      <c r="F3894" s="3" t="inlineStr">
        <is>
          <t>share</t>
        </is>
      </c>
      <c r="G3894" s="3" t="inlineStr">
        <is>
          <t>Scenario allocation</t>
        </is>
      </c>
      <c r="H3894" s="3" t="inlineStr">
        <is>
          <t>ai_it_load_gw = it_load_gw * ai_workload_share</t>
        </is>
      </c>
      <c r="I3894" s="3" t="inlineStr">
        <is>
          <t>DeepSeek-operated service capacity is modeled as AI-focused, reduced for reserve and ancillary processing.</t>
        </is>
      </c>
      <c r="J3894" s="3" t="inlineStr">
        <is>
          <t>SRC_DEEPSEEK_V3; SRC_DEEPSEEK_R1; SRC_DEEPSEEK_H800_INFERENCE; SRC_EPOCH_AI_DATA_CENTERS</t>
        </is>
      </c>
      <c r="K3894" s="3" t="inlineStr">
        <is>
          <t>ASSUMP_MOE_EFFICIENCY; ASSUMP_CN_CAPACITY_TRANSPARENCY; ASSUMP_NUMERIC_ACCELERATOR_MIX; ASSUMP_INFERENCE_SHARE_NOT_FACT_60; ASSUMP_WORKLOAD_CLASS_MIX; ASSUMP_AGENTIC_CONTEXT_PENALTY</t>
        </is>
      </c>
      <c r="L3894" s="3" t="inlineStr">
        <is>
          <t>Model-owner AI workload allocation or cluster scheduling telemetry.</t>
        </is>
      </c>
    </row>
    <row r="3895">
      <c r="A3895" s="3" t="inlineStr">
        <is>
          <t>DeepSeek</t>
        </is>
      </c>
      <c r="B3895" s="3" t="n">
        <v>2030</v>
      </c>
      <c r="C3895" s="3" t="inlineStr">
        <is>
          <t>Grid-Constrained / Efficiency-Upside</t>
        </is>
      </c>
      <c r="D3895" s="3" t="inlineStr">
        <is>
          <t>ai_it_load_gw</t>
        </is>
      </c>
      <c r="E3895" s="3" t="n">
        <v>0.571</v>
      </c>
      <c r="F3895" s="3" t="inlineStr">
        <is>
          <t>GW</t>
        </is>
      </c>
      <c r="G3895" s="3" t="inlineStr">
        <is>
          <t>Derived formula</t>
        </is>
      </c>
      <c r="H3895" s="3" t="inlineStr">
        <is>
          <t>it_load_gw * ai_workload_share</t>
        </is>
      </c>
      <c r="I3895" s="3" t="inlineStr">
        <is>
          <t>Only the AI-attributed portion of IT load enters training/inference allocation.</t>
        </is>
      </c>
      <c r="J3895" s="3" t="inlineStr">
        <is>
          <t>SRC_DEEPSEEK_V3; SRC_DEEPSEEK_R1; SRC_DEEPSEEK_H800_INFERENCE; SRC_EPOCH_AI_DATA_CENTERS</t>
        </is>
      </c>
      <c r="K3895" s="3" t="inlineStr">
        <is>
          <t>ASSUMP_MOE_EFFICIENCY; ASSUMP_CN_CAPACITY_TRANSPARENCY; ASSUMP_NUMERIC_ACCELERATOR_MIX; ASSUMP_INFERENCE_SHARE_NOT_FACT_60; ASSUMP_WORKLOAD_CLASS_MIX; ASSUMP_AGENTIC_CONTEXT_PENALTY</t>
        </is>
      </c>
      <c r="L3895" s="3" t="inlineStr">
        <is>
          <t>Recompute after ai_workload_share is replaced by telemetry.</t>
        </is>
      </c>
    </row>
    <row r="3896">
      <c r="A3896" s="3" t="inlineStr">
        <is>
          <t>DeepSeek</t>
        </is>
      </c>
      <c r="B3896" s="3" t="n">
        <v>2030</v>
      </c>
      <c r="C3896" s="3" t="inlineStr">
        <is>
          <t>Grid-Constrained / Efficiency-Upside</t>
        </is>
      </c>
      <c r="D3896" s="3" t="inlineStr">
        <is>
          <t>gpu_share</t>
        </is>
      </c>
      <c r="E3896" s="3" t="n">
        <v>1</v>
      </c>
      <c r="F3896" s="3" t="inlineStr">
        <is>
          <t>share of inference-serving accelerator load</t>
        </is>
      </c>
      <c r="G3896" s="3" t="inlineStr">
        <is>
          <t>Numeric scenario</t>
        </is>
      </c>
      <c r="H3896" s="3" t="inlineStr">
        <is>
          <t>gpu_share interpolated from company 2026/2030 accelerator-mix endpoints</t>
        </is>
      </c>
      <c r="I3896" s="3" t="inlineStr">
        <is>
          <t>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896" s="3" t="inlineStr">
        <is>
          <t>SRC_DEEPSEEK_V3; SRC_DEEPSEEK_R1; SRC_DEEPSEEK_H800_INFERENCE; SRC_EPOCH_AI_DATA_CENTERS; ASSUMP_NUMERIC_ACCELERATOR_MIX</t>
        </is>
      </c>
      <c r="K3896" s="3" t="inlineStr">
        <is>
          <t>ASSUMP_MOE_EFFICIENCY; ASSUMP_CN_CAPACITY_TRANSPARENCY; ASSUMP_NUMERIC_ACCELERATOR_MIX; ASSUMP_INFERENCE_SHARE_NOT_FACT_60; ASSUMP_WORKLOAD_CLASS_MIX; ASSUMP_AGENTIC_CONTEXT_PENALTY</t>
        </is>
      </c>
      <c r="L3896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897">
      <c r="A3897" s="3" t="inlineStr">
        <is>
          <t>DeepSeek</t>
        </is>
      </c>
      <c r="B3897" s="3" t="n">
        <v>2030</v>
      </c>
      <c r="C3897" s="3" t="inlineStr">
        <is>
          <t>Grid-Constrained / Efficiency-Upside</t>
        </is>
      </c>
      <c r="D3897" s="3" t="inlineStr">
        <is>
          <t>h200_share</t>
        </is>
      </c>
      <c r="E3897" s="3" t="n">
        <v>0.1</v>
      </c>
      <c r="F3897" s="3" t="inlineStr">
        <is>
          <t>share of inference-serving accelerator load</t>
        </is>
      </c>
      <c r="G3897" s="3" t="inlineStr">
        <is>
          <t>Editable numeric scenario</t>
        </is>
      </c>
      <c r="H3897" s="3" t="inlineStr">
        <is>
          <t>h200_share = gpu_share * default_gpu_generation_mix_h200</t>
        </is>
      </c>
      <c r="I3897" s="3" t="inlineStr">
        <is>
          <t>Default GPU-generation migration assumption; executive workbook allows later manual replacement by company/year/scenario.</t>
        </is>
      </c>
      <c r="J3897" s="3" t="inlineStr">
        <is>
          <t>SRC_SEMIANALYSIS_INFERENCEX; ASSUMP_NUMERIC_ACCELERATOR_MIX</t>
        </is>
      </c>
      <c r="K3897" s="3" t="inlineStr">
        <is>
          <t>ASSUMP_MOE_EFFICIENCY; ASSUMP_CN_CAPACITY_TRANSPARENCY; ASSUMP_NUMERIC_ACCELERATOR_MIX; ASSUMP_INFERENCE_SHARE_NOT_FACT_60; ASSUMP_WORKLOAD_CLASS_MIX; ASSUMP_AGENTIC_CONTEXT_PENALTY</t>
        </is>
      </c>
      <c r="L3897" s="3" t="inlineStr">
        <is>
          <t>Company fleet inventory, accelerator-hours or procurement/deployment records by GPU generation.</t>
        </is>
      </c>
    </row>
    <row r="3898">
      <c r="A3898" s="3" t="inlineStr">
        <is>
          <t>DeepSeek</t>
        </is>
      </c>
      <c r="B3898" s="3" t="n">
        <v>2030</v>
      </c>
      <c r="C3898" s="3" t="inlineStr">
        <is>
          <t>Grid-Constrained / Efficiency-Upside</t>
        </is>
      </c>
      <c r="D3898" s="3" t="inlineStr">
        <is>
          <t>b200_share</t>
        </is>
      </c>
      <c r="E3898" s="3" t="n">
        <v>0.35</v>
      </c>
      <c r="F3898" s="3" t="inlineStr">
        <is>
          <t>share of inference-serving accelerator load</t>
        </is>
      </c>
      <c r="G3898" s="3" t="inlineStr">
        <is>
          <t>Editable numeric scenario</t>
        </is>
      </c>
      <c r="H3898" s="3" t="inlineStr">
        <is>
          <t>b200_share = gpu_share * default_gpu_generation_mix_b200</t>
        </is>
      </c>
      <c r="I3898" s="3" t="inlineStr">
        <is>
          <t>Default GPU-generation migration assumption; executive workbook allows later manual replacement by company/year/scenario.</t>
        </is>
      </c>
      <c r="J3898" s="3" t="inlineStr">
        <is>
          <t>SRC_SEMIANALYSIS_INFERENCEX; ASSUMP_NUMERIC_ACCELERATOR_MIX</t>
        </is>
      </c>
      <c r="K3898" s="3" t="inlineStr">
        <is>
          <t>ASSUMP_MOE_EFFICIENCY; ASSUMP_CN_CAPACITY_TRANSPARENCY; ASSUMP_NUMERIC_ACCELERATOR_MIX; ASSUMP_INFERENCE_SHARE_NOT_FACT_60; ASSUMP_WORKLOAD_CLASS_MIX; ASSUMP_AGENTIC_CONTEXT_PENALTY</t>
        </is>
      </c>
      <c r="L3898" s="3" t="inlineStr">
        <is>
          <t>Company fleet inventory, accelerator-hours or procurement/deployment records by GPU generation.</t>
        </is>
      </c>
    </row>
    <row r="3899">
      <c r="A3899" s="3" t="inlineStr">
        <is>
          <t>DeepSeek</t>
        </is>
      </c>
      <c r="B3899" s="3" t="n">
        <v>2030</v>
      </c>
      <c r="C3899" s="3" t="inlineStr">
        <is>
          <t>Grid-Constrained / Efficiency-Upside</t>
        </is>
      </c>
      <c r="D3899" s="3" t="inlineStr">
        <is>
          <t>gb200_share</t>
        </is>
      </c>
      <c r="E3899" s="3" t="n">
        <v>0.55</v>
      </c>
      <c r="F3899" s="3" t="inlineStr">
        <is>
          <t>share of inference-serving accelerator load</t>
        </is>
      </c>
      <c r="G3899" s="3" t="inlineStr">
        <is>
          <t>Editable numeric scenario</t>
        </is>
      </c>
      <c r="H3899" s="3" t="inlineStr">
        <is>
          <t>gb200_share = gpu_share * default_gpu_generation_mix_gb200</t>
        </is>
      </c>
      <c r="I3899" s="3" t="inlineStr">
        <is>
          <t>Default GPU-generation migration assumption; executive workbook allows later manual replacement by company/year/scenario.</t>
        </is>
      </c>
      <c r="J3899" s="3" t="inlineStr">
        <is>
          <t>SRC_SEMIANALYSIS_INFERENCEX; ASSUMP_NUMERIC_ACCELERATOR_MIX</t>
        </is>
      </c>
      <c r="K3899" s="3" t="inlineStr">
        <is>
          <t>ASSUMP_MOE_EFFICIENCY; ASSUMP_CN_CAPACITY_TRANSPARENCY; ASSUMP_NUMERIC_ACCELERATOR_MIX; ASSUMP_INFERENCE_SHARE_NOT_FACT_60; ASSUMP_WORKLOAD_CLASS_MIX; ASSUMP_AGENTIC_CONTEXT_PENALTY</t>
        </is>
      </c>
      <c r="L3899" s="3" t="inlineStr">
        <is>
          <t>Company fleet inventory, accelerator-hours or procurement/deployment records by GPU generation.</t>
        </is>
      </c>
    </row>
    <row r="3900">
      <c r="A3900" s="3" t="inlineStr">
        <is>
          <t>DeepSeek</t>
        </is>
      </c>
      <c r="B3900" s="3" t="n">
        <v>2030</v>
      </c>
      <c r="C3900" s="3" t="inlineStr">
        <is>
          <t>Grid-Constrained / Efficiency-Upside</t>
        </is>
      </c>
      <c r="D3900" s="3" t="inlineStr">
        <is>
          <t>purpose_built_accelerator_share</t>
        </is>
      </c>
      <c r="E3900" s="3" t="n">
        <v>0</v>
      </c>
      <c r="F3900" s="3" t="inlineStr">
        <is>
          <t>share of inference-serving accelerator load</t>
        </is>
      </c>
      <c r="G3900" s="3" t="inlineStr">
        <is>
          <t>Numeric scenario</t>
        </is>
      </c>
      <c r="H3900" s="3" t="inlineStr">
        <is>
          <t>1 - gpu_share</t>
        </is>
      </c>
      <c r="I3900" s="3" t="inlineStr">
        <is>
          <t>Purpose-built bucket: No disclosed operated ASIC share. Derived by capacity-weighting 02a_DC_Capacity_Alloc rows against 02b_DC_Accelerator_Mix rows, using inference-weighted capacity only. DeepSeek disclosed that V3/R1 inference services used H800 GPUs in its published infrastructure overview; no Base ASIC migration is assumed.</t>
        </is>
      </c>
      <c r="J3900" s="3" t="inlineStr">
        <is>
          <t>SRC_DEEPSEEK_V3; SRC_DEEPSEEK_R1; SRC_DEEPSEEK_H800_INFERENCE; SRC_EPOCH_AI_DATA_CENTERS; ASSUMP_NUMERIC_ACCELERATOR_MIX</t>
        </is>
      </c>
      <c r="K3900" s="3" t="inlineStr">
        <is>
          <t>ASSUMP_MOE_EFFICIENCY; ASSUMP_CN_CAPACITY_TRANSPARENCY; ASSUMP_NUMERIC_ACCELERATOR_MIX; ASSUMP_INFERENCE_SHARE_NOT_FACT_60; ASSUMP_WORKLOAD_CLASS_MIX; ASSUMP_AGENTIC_CONTEXT_PENALTY</t>
        </is>
      </c>
      <c r="L3900" s="3" t="inlineStr">
        <is>
          <t>Replace 02a datacenter capacity allocations and 02b datacenter accelerator mix with contract/procurement telemetry. Updated DeepSeek operated fleet hardware and measured V3/R1 output tokens per MW.</t>
        </is>
      </c>
    </row>
    <row r="3901">
      <c r="A3901" s="3" t="inlineStr">
        <is>
          <t>DeepSeek</t>
        </is>
      </c>
      <c r="B3901" s="3" t="n">
        <v>2030</v>
      </c>
      <c r="C3901" s="3" t="inlineStr">
        <is>
          <t>Grid-Constrained / Efficiency-Upside</t>
        </is>
      </c>
      <c r="D3901" s="3" t="inlineStr">
        <is>
          <t>fleet_reference_tps_per_mw</t>
        </is>
      </c>
      <c r="E3901" s="3" t="n">
        <v>184158</v>
      </c>
      <c r="F3901" s="3" t="inlineStr">
        <is>
          <t>generated output tokens/sec/MW</t>
        </is>
      </c>
      <c r="G3901" s="3" t="inlineStr">
        <is>
          <t>Fleet-weighted public benchmark reference</t>
        </is>
      </c>
      <c r="H3901" s="3" t="inlineStr">
        <is>
          <t>h200_share*h200_workload_avg + b200_share*b200_workload_avg + gb200_share*gb200_workload_avg + purpose_built_share*purpose_workload_avg</t>
        </is>
      </c>
      <c r="I3901" s="3" t="inlineStr">
        <is>
          <t>Selected InferenceX proxy model: dsr1. Each GPU-generation reference first averages short_chat, long_chat and agentic TPS/MW using company workload mix; purpose-built remains a documented B200 placeholder.</t>
        </is>
      </c>
      <c r="J3901" s="3" t="inlineStr">
        <is>
          <t>SRC_SEMIANALYSIS_INFERENCEX; ASSUMP_NUMERIC_ACCELERATOR_MIX; ASSUMP_WORKLOAD_CLASS_MIX; ASSUMP_AGENTIC_CONTEXT_PENALTY</t>
        </is>
      </c>
      <c r="K3901" s="3" t="inlineStr">
        <is>
          <t>ASSUMP_MOE_EFFICIENCY; ASSUMP_CN_CAPACITY_TRANSPARENCY; ASSUMP_NUMERIC_ACCELERATOR_MIX; ASSUMP_INFERENCE_SHARE_NOT_FACT_60; ASSUMP_WORKLOAD_CLASS_MIX; ASSUMP_AGENTIC_CONTEXT_PENALTY</t>
        </is>
      </c>
      <c r="L3901" s="3" t="inlineStr">
        <is>
          <t>Comparable production output-token throughput or a more closely matched benchmark.</t>
        </is>
      </c>
    </row>
    <row r="3902">
      <c r="A3902" s="3" t="inlineStr">
        <is>
          <t>DeepSeek</t>
        </is>
      </c>
      <c r="B3902" s="3" t="n">
        <v>2030</v>
      </c>
      <c r="C3902" s="3" t="inlineStr">
        <is>
          <t>Grid-Constrained / Efficiency-Upside</t>
        </is>
      </c>
      <c r="D3902" s="3" t="inlineStr">
        <is>
          <t>commercial_workload_fit_factor</t>
        </is>
      </c>
      <c r="E3902" s="3" t="n">
        <v>0.85</v>
      </c>
      <c r="F3902" s="3" t="inlineStr">
        <is>
          <t>share of public reference throughput</t>
        </is>
      </c>
      <c r="G3902" s="3" t="inlineStr">
        <is>
          <t>Scenario assumption</t>
        </is>
      </c>
      <c r="H3902" s="3" t="inlineStr">
        <is>
          <t>reference_serving_tps_per_mw = fleet_reference_tps_per_mw * commercial_workload_fit_factor</t>
        </is>
      </c>
      <c r="I3902" s="3" t="inlineStr">
        <is>
          <t>Commercial workload class: DeepSeek R1/V3 MoE with reasoning mix. Company mix uses short_chat=35%, long_chat=40%, agentic=25%; closed-model, reasoning, long-context and SLO mismatch stays explicit.</t>
        </is>
      </c>
      <c r="J3902" s="3" t="inlineStr">
        <is>
          <t>SRC_SEMIANALYSIS_INFERENCEX; ASSUMP_NUMERIC_ACCELERATOR_MIX; ASSUMP_WORKLOAD_CLASS_MIX; ASSUMP_AGENTIC_CONTEXT_PENALTY</t>
        </is>
      </c>
      <c r="K3902" s="3" t="inlineStr">
        <is>
          <t>ASSUMP_MOE_EFFICIENCY; ASSUMP_CN_CAPACITY_TRANSPARENCY; ASSUMP_NUMERIC_ACCELERATOR_MIX; ASSUMP_INFERENCE_SHARE_NOT_FACT_60; ASSUMP_WORKLOAD_CLASS_MIX; ASSUMP_AGENTIC_CONTEXT_PENALTY</t>
        </is>
      </c>
      <c r="L3902" s="3" t="inlineStr">
        <is>
          <t>Matched commercial serving benchmark by product surface, context shape and latency SLO.</t>
        </is>
      </c>
    </row>
    <row r="3903">
      <c r="A3903" s="3" t="inlineStr">
        <is>
          <t>DeepSeek</t>
        </is>
      </c>
      <c r="B3903" s="3" t="n">
        <v>2030</v>
      </c>
      <c r="C3903" s="3" t="inlineStr">
        <is>
          <t>Grid-Constrained / Efficiency-Upside</t>
        </is>
      </c>
      <c r="D3903" s="3" t="inlineStr">
        <is>
          <t>reference_serving_tps_per_mw</t>
        </is>
      </c>
      <c r="E3903" s="3" t="n">
        <v>156534</v>
      </c>
      <c r="F3903" s="3" t="inlineStr">
        <is>
          <t>generated output tokens/sec/MW</t>
        </is>
      </c>
      <c r="G3903" s="3" t="inlineStr">
        <is>
          <t>Workload-adjusted benchmark proxy</t>
        </is>
      </c>
      <c r="H3903" s="3" t="inlineStr">
        <is>
          <t>fleet_reference_tps_per_mw * commercial_workload_fit_factor</t>
        </is>
      </c>
      <c r="I3903" s="3" t="inlineStr">
        <is>
          <t>This is the coefficient used for headline token generation; each GPU's short chat, long chat and agentic TPS/MW are weighted before fleet mix and commercial fit are applied.</t>
        </is>
      </c>
      <c r="J3903" s="3" t="inlineStr">
        <is>
          <t>SRC_SEMIANALYSIS_INFERENCEX; ASSUMP_NUMERIC_ACCELERATOR_MIX; ASSUMP_WORKLOAD_CLASS_MIX; ASSUMP_AGENTIC_CONTEXT_PENALTY</t>
        </is>
      </c>
      <c r="K3903" s="3" t="inlineStr">
        <is>
          <t>ASSUMP_MOE_EFFICIENCY; ASSUMP_CN_CAPACITY_TRANSPARENCY; ASSUMP_NUMERIC_ACCELERATOR_MIX; ASSUMP_INFERENCE_SHARE_NOT_FACT_60; ASSUMP_WORKLOAD_CLASS_MIX; ASSUMP_AGENTIC_CONTEXT_PENALTY</t>
        </is>
      </c>
      <c r="L3903" s="3" t="inlineStr">
        <is>
          <t>Provider production output-token throughput with comparable workload/SLO.</t>
        </is>
      </c>
    </row>
    <row r="3904">
      <c r="A3904" s="3" t="inlineStr">
        <is>
          <t>DeepSeek</t>
        </is>
      </c>
      <c r="B3904" s="3" t="n">
        <v>2030</v>
      </c>
      <c r="C3904" s="3" t="inlineStr">
        <is>
          <t>Grid-Constrained / Efficiency-Upside</t>
        </is>
      </c>
      <c r="D3904" s="3" t="inlineStr">
        <is>
          <t>purpose_built_tps_per_mw</t>
        </is>
      </c>
      <c r="E3904" s="3" t="n">
        <v>334536</v>
      </c>
      <c r="F3904" s="3" t="inlineStr">
        <is>
          <t>generated output tokens/sec/MW</t>
        </is>
      </c>
      <c r="G3904" s="3" t="inlineStr">
        <is>
          <t>Conservative no-uplift proxy</t>
        </is>
      </c>
      <c r="H3904" s="3" t="inlineStr">
        <is>
          <t>purpose_built_tps_per_mw = purpose_built_reference_tps_per_mw * commercial_workload_fit_factor until comparable output-token benchmark is adopted</t>
        </is>
      </c>
      <c r="I3904" s="3" t="inlineStr">
        <is>
          <t>No comparable public output-token/MW row adopted; B200 public reference placeholder is used and remains editable.</t>
        </is>
      </c>
      <c r="J3904" s="3" t="inlineStr">
        <is>
          <t>SRC_DEEPSEEK_V3; SRC_DEEPSEEK_R1; SRC_DEEPSEEK_H800_INFERENCE; SRC_EPOCH_AI_DATA_CENTERS; ASSUMP_NUMERIC_ACCELERATOR_MIX</t>
        </is>
      </c>
      <c r="K3904" s="3" t="inlineStr">
        <is>
          <t>ASSUMP_MOE_EFFICIENCY; ASSUMP_CN_CAPACITY_TRANSPARENCY; ASSUMP_NUMERIC_ACCELERATOR_MIX; ASSUMP_INFERENCE_SHARE_NOT_FACT_60; ASSUMP_WORKLOAD_CLASS_MIX; ASSUMP_AGENTIC_CONTEXT_PENALTY</t>
        </is>
      </c>
      <c r="L3904" s="3" t="inlineStr">
        <is>
          <t>Matched-workload generated-output benchmark for the provider purpose-built accelerator.</t>
        </is>
      </c>
    </row>
    <row r="3905">
      <c r="A3905" s="3" t="inlineStr">
        <is>
          <t>DeepSeek</t>
        </is>
      </c>
      <c r="B3905" s="3" t="n">
        <v>2030</v>
      </c>
      <c r="C3905" s="3" t="inlineStr">
        <is>
          <t>Grid-Constrained / Efficiency-Upside</t>
        </is>
      </c>
      <c r="D3905" s="3" t="inlineStr">
        <is>
          <t>inference_power_share</t>
        </is>
      </c>
      <c r="E3905" s="3" t="n">
        <v>0.86</v>
      </c>
      <c r="F3905" s="3" t="inlineStr">
        <is>
          <t>share of AI IT load</t>
        </is>
      </c>
      <c r="G3905" s="3" t="inlineStr">
        <is>
          <t>Scenario allocation</t>
        </is>
      </c>
      <c r="H3905" s="3" t="inlineStr">
        <is>
          <t>inference_gw = ai_it_load_gw * inference_power_share</t>
        </is>
      </c>
      <c r="I3905" s="3" t="inlineStr">
        <is>
          <t>API/app availability and inference-system disclosure support higher inference share; the value remains scenario.</t>
        </is>
      </c>
      <c r="J3905" s="3" t="inlineStr">
        <is>
          <t>SRC_DEEPSEEK_V3; SRC_DEEPSEEK_R1; SRC_DEEPSEEK_H800_INFERENCE; SRC_EPOCH_AI_DATA_CENTERS; ASSUMP_INFERENCE_SHARE_NOT_FACT_60</t>
        </is>
      </c>
      <c r="K3905" s="3" t="inlineStr">
        <is>
          <t>ASSUMP_MOE_EFFICIENCY; ASSUMP_CN_CAPACITY_TRANSPARENCY; ASSUMP_NUMERIC_ACCELERATOR_MIX; ASSUMP_INFERENCE_SHARE_NOT_FACT_60; ASSUMP_WORKLOAD_CLASS_MIX; ASSUMP_AGENTIC_CONTEXT_PENALTY</t>
        </is>
      </c>
      <c r="L3905" s="3" t="inlineStr">
        <is>
          <t>Provider-specific inference/training workload power telemetry.</t>
        </is>
      </c>
    </row>
    <row r="3906">
      <c r="A3906" s="3" t="inlineStr">
        <is>
          <t>DeepSeek</t>
        </is>
      </c>
      <c r="B3906" s="3" t="n">
        <v>2030</v>
      </c>
      <c r="C3906" s="3" t="inlineStr">
        <is>
          <t>Grid-Constrained / Efficiency-Upside</t>
        </is>
      </c>
      <c r="D3906" s="3" t="inlineStr">
        <is>
          <t>inference_gw</t>
        </is>
      </c>
      <c r="E3906" s="3" t="n">
        <v>0.491</v>
      </c>
      <c r="F3906" s="3" t="inlineStr">
        <is>
          <t>GW</t>
        </is>
      </c>
      <c r="G3906" s="3" t="inlineStr">
        <is>
          <t>Derived formula</t>
        </is>
      </c>
      <c r="H3906" s="3" t="inlineStr">
        <is>
          <t>ai_it_load_gw * inference_power_share</t>
        </is>
      </c>
      <c r="I3906" s="3" t="inlineStr">
        <is>
          <t>This is the operational power eligible to become commercial generated output tokens through the selected TPS/MW proxy.</t>
        </is>
      </c>
      <c r="J3906" s="3" t="inlineStr">
        <is>
          <t>SRC_DEEPSEEK_V3; SRC_DEEPSEEK_R1; SRC_DEEPSEEK_H800_INFERENCE; SRC_EPOCH_AI_DATA_CENTERS</t>
        </is>
      </c>
      <c r="K3906" s="3" t="inlineStr">
        <is>
          <t>ASSUMP_MOE_EFFICIENCY; ASSUMP_CN_CAPACITY_TRANSPARENCY; ASSUMP_NUMERIC_ACCELERATOR_MIX; ASSUMP_INFERENCE_SHARE_NOT_FACT_60; ASSUMP_WORKLOAD_CLASS_MIX; ASSUMP_AGENTIC_CONTEXT_PENALTY</t>
        </is>
      </c>
      <c r="L3906" s="3" t="inlineStr">
        <is>
          <t>Recompute after AI allocation or inference-share evidence changes.</t>
        </is>
      </c>
    </row>
    <row r="3907">
      <c r="A3907" s="3" t="inlineStr">
        <is>
          <t>DeepSeek</t>
        </is>
      </c>
      <c r="B3907" s="3" t="n">
        <v>2030</v>
      </c>
      <c r="C3907" s="3" t="inlineStr">
        <is>
          <t>Grid-Constrained / Efficiency-Upside</t>
        </is>
      </c>
      <c r="D3907" s="3" t="inlineStr">
        <is>
          <t>training_power_share</t>
        </is>
      </c>
      <c r="E3907" s="3" t="n">
        <v>0.14</v>
      </c>
      <c r="F3907" s="3" t="inlineStr">
        <is>
          <t>share of AI IT load</t>
        </is>
      </c>
      <c r="G3907" s="3" t="inlineStr">
        <is>
          <t>Derived allocation</t>
        </is>
      </c>
      <c r="H3907" s="3" t="inlineStr">
        <is>
          <t>1 - inference_power_share</t>
        </is>
      </c>
      <c r="I3907" s="3" t="inlineStr">
        <is>
          <t>Training receives the complementary modeled AI IT allocation; it is not a disclosed company workload split.</t>
        </is>
      </c>
      <c r="J3907" s="3" t="inlineStr">
        <is>
          <t>SRC_DEEPSEEK_V3; SRC_DEEPSEEK_R1; SRC_DEEPSEEK_H800_INFERENCE; SRC_EPOCH_AI_DATA_CENTERS; ASSUMP_INFERENCE_SHARE_NOT_FACT_60</t>
        </is>
      </c>
      <c r="K3907" s="3" t="inlineStr">
        <is>
          <t>ASSUMP_MOE_EFFICIENCY; ASSUMP_CN_CAPACITY_TRANSPARENCY; ASSUMP_NUMERIC_ACCELERATOR_MIX; ASSUMP_INFERENCE_SHARE_NOT_FACT_60; ASSUMP_WORKLOAD_CLASS_MIX; ASSUMP_AGENTIC_CONTEXT_PENALTY</t>
        </is>
      </c>
      <c r="L3907" s="3" t="inlineStr">
        <is>
          <t>Provider-specific inference/training workload power telemetry.</t>
        </is>
      </c>
    </row>
    <row r="3908">
      <c r="A3908" s="3" t="inlineStr">
        <is>
          <t>DeepSeek</t>
        </is>
      </c>
      <c r="B3908" s="3" t="n">
        <v>2030</v>
      </c>
      <c r="C3908" s="3" t="inlineStr">
        <is>
          <t>Grid-Constrained / Efficiency-Upside</t>
        </is>
      </c>
      <c r="D3908" s="3" t="inlineStr">
        <is>
          <t>training_gw</t>
        </is>
      </c>
      <c r="E3908" s="3" t="n">
        <v>0.08</v>
      </c>
      <c r="F3908" s="3" t="inlineStr">
        <is>
          <t>GW</t>
        </is>
      </c>
      <c r="G3908" s="3" t="inlineStr">
        <is>
          <t>Derived formula</t>
        </is>
      </c>
      <c r="H3908" s="3" t="inlineStr">
        <is>
          <t>ai_it_load_gw * training_power_share</t>
        </is>
      </c>
      <c r="I3908" s="3" t="inlineStr">
        <is>
          <t>Training GW is shown separately so commercial inference token capacity is not overstated.</t>
        </is>
      </c>
      <c r="J3908" s="3" t="inlineStr">
        <is>
          <t>SRC_DEEPSEEK_V3; SRC_DEEPSEEK_R1; SRC_DEEPSEEK_H800_INFERENCE; SRC_EPOCH_AI_DATA_CENTERS</t>
        </is>
      </c>
      <c r="K3908" s="3" t="inlineStr">
        <is>
          <t>ASSUMP_MOE_EFFICIENCY; ASSUMP_CN_CAPACITY_TRANSPARENCY; ASSUMP_NUMERIC_ACCELERATOR_MIX; ASSUMP_INFERENCE_SHARE_NOT_FACT_60; ASSUMP_WORKLOAD_CLASS_MIX; ASSUMP_AGENTIC_CONTEXT_PENALTY</t>
        </is>
      </c>
      <c r="L3908" s="3" t="inlineStr">
        <is>
          <t>Recompute after AI allocation or workload-split evidence changes.</t>
        </is>
      </c>
    </row>
    <row r="3909">
      <c r="A3909" s="3" t="inlineStr">
        <is>
          <t>DeepSeek</t>
        </is>
      </c>
      <c r="B3909" s="3" t="n">
        <v>2030</v>
      </c>
      <c r="C3909" s="3" t="inlineStr">
        <is>
          <t>Grid-Constrained / Efficiency-Upside</t>
        </is>
      </c>
      <c r="D3909" s="3" t="inlineStr">
        <is>
          <t>tokens_per_second_per_mw</t>
        </is>
      </c>
      <c r="E3909" s="3" t="n">
        <v>156534</v>
      </c>
      <c r="F3909" s="3" t="inlineStr">
        <is>
          <t>generated output tokens/sec/MW</t>
        </is>
      </c>
      <c r="G3909" s="3" t="inlineStr">
        <is>
          <t>Derived estimate + benchmark calibration</t>
        </is>
      </c>
      <c r="H3909" s="3" t="inlineStr">
        <is>
          <t>fleet_reference_tps_per_mw * commercial_workload_fit_factor</t>
        </is>
      </c>
      <c r="I3909" s="3" t="inlineStr">
        <is>
          <t>DeepSeek-R1 B200 output-token benchmark proxy; official MoE structure informs mapping but does not add a second multiplier. Workload reference is now split into short_chat, long_chat and agentic classes. Company mix: short 35%, long 40%, agentic 25%. Commercial workload fit factor: DeepSeek benchmark family is matched, but commercial R1 reasoning traffic can consume more serving capacity than a fixed test. DeepSeek R1/V3 traffic is modeled as reasoning/API-heavy with meaningful long-context and developer use, but no direct enterprise-agent surface disclosure.</t>
        </is>
      </c>
      <c r="J3909" s="3" t="inlineStr">
        <is>
          <t>SRC_DEEPSEEK_V3; SRC_DEEPSEEK_R1; SRC_DEEPSEEK_H800_INFERENCE; SRC_EPOCH_AI_DATA_CENTERS; SRC_SEMIANALYSIS_INFERENCEX; ASSUMP_NUMERIC_ACCELERATOR_MIX; ASSUMP_WORKLOAD_CLASS_MIX; ASSUMP_AGENTIC_CONTEXT_PENALTY</t>
        </is>
      </c>
      <c r="K3909" s="3" t="inlineStr">
        <is>
          <t>ASSUMP_MOE_EFFICIENCY; ASSUMP_CN_CAPACITY_TRANSPARENCY; ASSUMP_NUMERIC_ACCELERATOR_MIX; ASSUMP_INFERENCE_SHARE_NOT_FACT_60; ASSUMP_WORKLOAD_CLASS_MIX; ASSUMP_AGENTIC_CONTEXT_PENALTY</t>
        </is>
      </c>
      <c r="L3909" s="3" t="inlineStr">
        <is>
          <t>Comparable production output-token throughput with model, hardware, precision, ISL/OSL and SLO matched.</t>
        </is>
      </c>
    </row>
    <row r="3910">
      <c r="A3910" s="3" t="inlineStr">
        <is>
          <t>DeepSeek</t>
        </is>
      </c>
      <c r="B3910" s="3" t="n">
        <v>2030</v>
      </c>
      <c r="C3910" s="3" t="inlineStr">
        <is>
          <t>Grid-Constrained / Efficiency-Upside</t>
        </is>
      </c>
      <c r="D3910" s="3" t="inlineStr">
        <is>
          <t>inference_tokens_per_day</t>
        </is>
      </c>
      <c r="E3910" s="3" t="n">
        <v>6640547961600</v>
      </c>
      <c r="F3910" s="3" t="inlineStr">
        <is>
          <t>generated output tokens/day</t>
        </is>
      </c>
      <c r="G3910" s="3" t="inlineStr">
        <is>
          <t>Derived headline metric</t>
        </is>
      </c>
      <c r="H3910" s="3" t="inlineStr">
        <is>
          <t>inference_gw * 1000 * tokens_per_second_per_mw * 86,400</t>
        </is>
      </c>
      <c r="I3910" s="3" t="inlineStr">
        <is>
          <t>Headline capacity uses no utilization, MoE, architecture or software-growth multiplier; it is not observed commercial output volume.</t>
        </is>
      </c>
      <c r="J3910" s="3" t="inlineStr">
        <is>
          <t>SRC_DEEPSEEK_V3; SRC_DEEPSEEK_R1; SRC_DEEPSEEK_H800_INFERENCE; SRC_EPOCH_AI_DATA_CENTERS; SRC_SEMIANALYSIS_INFERENCEX</t>
        </is>
      </c>
      <c r="K3910" s="3" t="inlineStr">
        <is>
          <t>ASSUMP_MOE_EFFICIENCY; ASSUMP_CN_CAPACITY_TRANSPARENCY; ASSUMP_NUMERIC_ACCELERATOR_MIX; ASSUMP_INFERENCE_SHARE_NOT_FACT_60; ASSUMP_WORKLOAD_CLASS_MIX; ASSUMP_AGENTIC_CONTEXT_PENALTY</t>
        </is>
      </c>
      <c r="L3910" s="3" t="inlineStr">
        <is>
          <t>Provider-disclosed generated output token volume or calibrated capacity telemetry.</t>
        </is>
      </c>
    </row>
    <row r="3911">
      <c r="A3911" s="3" t="inlineStr">
        <is>
          <t>DeepSeek</t>
        </is>
      </c>
      <c r="B3911" s="3" t="n">
        <v>2030</v>
      </c>
      <c r="C3911" s="3" t="inlineStr">
        <is>
          <t>Grid-Constrained / Efficiency-Upside</t>
        </is>
      </c>
      <c r="D3911" s="3" t="inlineStr">
        <is>
          <t>inference_tokens_per_year</t>
        </is>
      </c>
      <c r="E3911" s="3" t="n">
        <v>2423800005984000</v>
      </c>
      <c r="F3911" s="3" t="inlineStr">
        <is>
          <t>generated output tokens/year</t>
        </is>
      </c>
      <c r="G3911" s="3" t="inlineStr">
        <is>
          <t>Derived headline metric</t>
        </is>
      </c>
      <c r="H3911" s="3" t="inlineStr">
        <is>
          <t>inference_tokens_per_day * 365</t>
        </is>
      </c>
      <c r="I3911" s="3" t="inlineStr">
        <is>
          <t>Annualized version of generated output token capacity; it is not observed annual demand or billable volume.</t>
        </is>
      </c>
      <c r="J3911" s="3" t="inlineStr">
        <is>
          <t>SRC_DEEPSEEK_V3; SRC_DEEPSEEK_R1; SRC_DEEPSEEK_H800_INFERENCE; SRC_EPOCH_AI_DATA_CENTERS; SRC_SEMIANALYSIS_INFERENCEX</t>
        </is>
      </c>
      <c r="K3911" s="3" t="inlineStr">
        <is>
          <t>ASSUMP_MOE_EFFICIENCY; ASSUMP_CN_CAPACITY_TRANSPARENCY; ASSUMP_NUMERIC_ACCELERATOR_MIX; ASSUMP_INFERENCE_SHARE_NOT_FACT_60; ASSUMP_WORKLOAD_CLASS_MIX; ASSUMP_AGENTIC_CONTEXT_PENALTY</t>
        </is>
      </c>
      <c r="L3911" s="3" t="inlineStr">
        <is>
          <t>Provider-disclosed annual generated-output volume or metered serving telemetry.</t>
        </is>
      </c>
    </row>
    <row r="3912">
      <c r="A3912" s="3" t="inlineStr">
        <is>
          <t>Alibaba</t>
        </is>
      </c>
      <c r="B3912" s="3" t="n">
        <v>2026</v>
      </c>
      <c r="C3912" s="3" t="inlineStr">
        <is>
          <t>Grid-Constrained / Efficiency-Upside</t>
        </is>
      </c>
      <c r="D3912" s="3" t="inlineStr">
        <is>
          <t>contracted_power_gw</t>
        </is>
      </c>
      <c r="E3912" s="3" t="n">
        <v>1.8</v>
      </c>
      <c r="F3912" s="3" t="inlineStr">
        <is>
          <t>GW</t>
        </is>
      </c>
      <c r="G3912" s="3" t="inlineStr">
        <is>
          <t>Scenario capacity envelope</t>
        </is>
      </c>
      <c r="H3912" s="3" t="inlineStr">
        <is>
          <t>linear interpolation between 2026 and 2030 company capacity endpoints</t>
        </is>
      </c>
      <c r="I3912" s="3" t="inlineStr">
        <is>
          <t>Alibaba Cloud/Qwen capacity is a scenario envelope; official model and deployment documentation does not state operated GW.</t>
        </is>
      </c>
      <c r="J3912" s="3" t="inlineStr">
        <is>
          <t>SRC_ALIBABA_QWEN_GPU_DEPLOY; ASSUMP_CN_CAPACITY_TRANSPARENCY</t>
        </is>
      </c>
      <c r="K3912" s="3" t="inlineStr">
        <is>
          <t>ASSUMP_MOE_EFFICIENCY; ASSUMP_CN_CAPACITY_TRANSPARENCY; ASSUMP_NUMERIC_ACCELERATOR_MIX; ASSUMP_INFERENCE_SHARE_NOT_FACT_60; ASSUMP_WORKLOAD_CLASS_MIX; ASSUMP_AGENTIC_CONTEXT_PENALTY</t>
        </is>
      </c>
      <c r="L3912" s="3" t="inlineStr">
        <is>
          <t>Company/site-level committed MW/GW, interconnect and contract disclosure.</t>
        </is>
      </c>
    </row>
    <row r="3913">
      <c r="A3913" s="3" t="inlineStr">
        <is>
          <t>Alibaba</t>
        </is>
      </c>
      <c r="B3913" s="3" t="n">
        <v>2026</v>
      </c>
      <c r="C3913" s="3" t="inlineStr">
        <is>
          <t>Grid-Constrained / Efficiency-Upside</t>
        </is>
      </c>
      <c r="D3913" s="3" t="inlineStr">
        <is>
          <t>operational_deployment_share</t>
        </is>
      </c>
      <c r="E3913" s="3" t="n">
        <v>0.31777778</v>
      </c>
      <c r="F3913" s="3" t="inlineStr">
        <is>
          <t>share</t>
        </is>
      </c>
      <c r="G3913" s="3" t="inlineStr">
        <is>
          <t>Scenario conversion</t>
        </is>
      </c>
      <c r="H3913" s="3" t="inlineStr">
        <is>
          <t>active_power_gw / contracted_power_gw</t>
        </is>
      </c>
      <c r="I3913" s="3" t="inlineStr">
        <is>
          <t>This is the single explicit conversion from contracted/attributed capacity to operationally usable capacity.</t>
        </is>
      </c>
      <c r="J3913" s="3" t="inlineStr">
        <is>
          <t>SRC_ALIBABA_QWEN_GPU_DEPLOY; ASSUMP_CN_CAPACITY_TRANSPARENCY</t>
        </is>
      </c>
      <c r="K3913" s="3" t="inlineStr">
        <is>
          <t>ASSUMP_MOE_EFFICIENCY; ASSUMP_CN_CAPACITY_TRANSPARENCY; ASSUMP_NUMERIC_ACCELERATOR_MIX; ASSUMP_INFERENCE_SHARE_NOT_FACT_60; ASSUMP_WORKLOAD_CLASS_MIX; ASSUMP_AGENTIC_CONTEXT_PENALTY</t>
        </is>
      </c>
      <c r="L3913" s="3" t="inlineStr">
        <is>
          <t>Energized operational capacity divided by contracted/attributed capacity.</t>
        </is>
      </c>
    </row>
    <row r="3914">
      <c r="A3914" s="3" t="inlineStr">
        <is>
          <t>Alibaba</t>
        </is>
      </c>
      <c r="B3914" s="3" t="n">
        <v>2026</v>
      </c>
      <c r="C3914" s="3" t="inlineStr">
        <is>
          <t>Grid-Constrained / Efficiency-Upside</t>
        </is>
      </c>
      <c r="D3914" s="3" t="inlineStr">
        <is>
          <t>active_power_gw</t>
        </is>
      </c>
      <c r="E3914" s="3" t="n">
        <v>0.572</v>
      </c>
      <c r="F3914" s="3" t="inlineStr">
        <is>
          <t>GW</t>
        </is>
      </c>
      <c r="G3914" s="3" t="inlineStr">
        <is>
          <t>Derived scenario</t>
        </is>
      </c>
      <c r="H3914" s="3" t="inlineStr">
        <is>
          <t>contracted_power_gw * operational_deployment_share</t>
        </is>
      </c>
      <c r="I3914" s="3" t="inlineStr">
        <is>
          <t>Active GW is staged below capacity due to undisclosed accelerator allocation and cloud multi-tenant use.</t>
        </is>
      </c>
      <c r="J3914" s="3" t="inlineStr">
        <is>
          <t>SRC_ALIBABA_QWEN_GPU_DEPLOY; ASSUMP_CN_CAPACITY_TRANSPARENCY</t>
        </is>
      </c>
      <c r="K3914" s="3" t="inlineStr">
        <is>
          <t>ASSUMP_MOE_EFFICIENCY; ASSUMP_CN_CAPACITY_TRANSPARENCY; ASSUMP_NUMERIC_ACCELERATOR_MIX; ASSUMP_INFERENCE_SHARE_NOT_FACT_60; ASSUMP_WORKLOAD_CLASS_MIX; ASSUMP_AGENTIC_CONTEXT_PENALTY</t>
        </is>
      </c>
      <c r="L3914" s="3" t="inlineStr">
        <is>
          <t>Energization dates, accelerator deliveries and operational powered-rack telemetry.</t>
        </is>
      </c>
    </row>
    <row r="3915">
      <c r="A3915" s="3" t="inlineStr">
        <is>
          <t>Alibaba</t>
        </is>
      </c>
      <c r="B3915" s="3" t="n">
        <v>2026</v>
      </c>
      <c r="C3915" s="3" t="inlineStr">
        <is>
          <t>Grid-Constrained / Efficiency-Upside</t>
        </is>
      </c>
      <c r="D3915" s="3" t="inlineStr">
        <is>
          <t>pue</t>
        </is>
      </c>
      <c r="E3915" s="3" t="n">
        <v>1.23</v>
      </c>
      <c r="F3915" s="3" t="inlineStr">
        <is>
          <t>ratio</t>
        </is>
      </c>
      <c r="G3915" s="3" t="inlineStr">
        <is>
          <t>Scenario parameter</t>
        </is>
      </c>
      <c r="H3915" s="3" t="inlineStr">
        <is>
          <t>it_load_gw = active_power_gw / pue</t>
        </is>
      </c>
      <c r="I3915" s="3" t="inlineStr">
        <is>
          <t>No provider-wide site-level PUE is used as a disclosed fact; PUE represents facility-to-IT conversion within the scenario.</t>
        </is>
      </c>
      <c r="J3915" s="3" t="inlineStr">
        <is>
          <t>ASSUMP_POWER_RAMP</t>
        </is>
      </c>
      <c r="K3915" s="3" t="inlineStr">
        <is>
          <t>ASSUMP_MOE_EFFICIENCY; ASSUMP_CN_CAPACITY_TRANSPARENCY; ASSUMP_NUMERIC_ACCELERATOR_MIX; ASSUMP_INFERENCE_SHARE_NOT_FACT_60; ASSUMP_WORKLOAD_CLASS_MIX; ASSUMP_AGENTIC_CONTEXT_PENALTY</t>
        </is>
      </c>
      <c r="L3915" s="3" t="inlineStr">
        <is>
          <t>Site-level measured PUE matched to attributed AI capacity.</t>
        </is>
      </c>
    </row>
    <row r="3916">
      <c r="A3916" s="3" t="inlineStr">
        <is>
          <t>Alibaba</t>
        </is>
      </c>
      <c r="B3916" s="3" t="n">
        <v>2026</v>
      </c>
      <c r="C3916" s="3" t="inlineStr">
        <is>
          <t>Grid-Constrained / Efficiency-Upside</t>
        </is>
      </c>
      <c r="D3916" s="3" t="inlineStr">
        <is>
          <t>it_load_gw</t>
        </is>
      </c>
      <c r="E3916" s="3" t="n">
        <v>0.465</v>
      </c>
      <c r="F3916" s="3" t="inlineStr">
        <is>
          <t>GW</t>
        </is>
      </c>
      <c r="G3916" s="3" t="inlineStr">
        <is>
          <t>Derived formula</t>
        </is>
      </c>
      <c r="H3916" s="3" t="inlineStr">
        <is>
          <t>active_power_gw / pue</t>
        </is>
      </c>
      <c r="I3916" s="3" t="inlineStr">
        <is>
          <t>Facility power is converted to IT-deliverable power before attributing AI workloads.</t>
        </is>
      </c>
      <c r="J3916" s="3" t="inlineStr">
        <is>
          <t>SRC_ALIBABA_QWEN_GPU_DEPLOY; ASSUMP_CN_CAPACITY_TRANSPARENCY</t>
        </is>
      </c>
      <c r="K3916" s="3" t="inlineStr">
        <is>
          <t>ASSUMP_MOE_EFFICIENCY; ASSUMP_CN_CAPACITY_TRANSPARENCY; ASSUMP_NUMERIC_ACCELERATOR_MIX; ASSUMP_INFERENCE_SHARE_NOT_FACT_60; ASSUMP_WORKLOAD_CLASS_MIX; ASSUMP_AGENTIC_CONTEXT_PENALTY</t>
        </is>
      </c>
      <c r="L3916" s="3" t="inlineStr">
        <is>
          <t>Recompute once active power and PUE become site-observable.</t>
        </is>
      </c>
    </row>
    <row r="3917">
      <c r="A3917" s="3" t="inlineStr">
        <is>
          <t>Alibaba</t>
        </is>
      </c>
      <c r="B3917" s="3" t="n">
        <v>2026</v>
      </c>
      <c r="C3917" s="3" t="inlineStr">
        <is>
          <t>Grid-Constrained / Efficiency-Upside</t>
        </is>
      </c>
      <c r="D3917" s="3" t="inlineStr">
        <is>
          <t>ai_workload_share</t>
        </is>
      </c>
      <c r="E3917" s="3" t="n">
        <v>0.84</v>
      </c>
      <c r="F3917" s="3" t="inlineStr">
        <is>
          <t>share</t>
        </is>
      </c>
      <c r="G3917" s="3" t="inlineStr">
        <is>
          <t>Scenario allocation</t>
        </is>
      </c>
      <c r="H3917" s="3" t="inlineStr">
        <is>
          <t>ai_it_load_gw = it_load_gw * ai_workload_share</t>
        </is>
      </c>
      <c r="I3917" s="3" t="inlineStr">
        <is>
          <t>Model Studio/Qwen-serving envelope is AI-focused, while cloud platform/reserve allocation is excluded through 84%.</t>
        </is>
      </c>
      <c r="J3917" s="3" t="inlineStr">
        <is>
          <t>SRC_QWEN3_GITHUB; SRC_ALIBABA_QWEN_GPU_DEPLOY; SRC_EPOCH_AI_DATA_CENTERS</t>
        </is>
      </c>
      <c r="K3917" s="3" t="inlineStr">
        <is>
          <t>ASSUMP_MOE_EFFICIENCY; ASSUMP_CN_CAPACITY_TRANSPARENCY; ASSUMP_NUMERIC_ACCELERATOR_MIX; ASSUMP_INFERENCE_SHARE_NOT_FACT_60; ASSUMP_WORKLOAD_CLASS_MIX; ASSUMP_AGENTIC_CONTEXT_PENALTY</t>
        </is>
      </c>
      <c r="L3917" s="3" t="inlineStr">
        <is>
          <t>Model-owner AI workload allocation or cluster scheduling telemetry.</t>
        </is>
      </c>
    </row>
    <row r="3918">
      <c r="A3918" s="3" t="inlineStr">
        <is>
          <t>Alibaba</t>
        </is>
      </c>
      <c r="B3918" s="3" t="n">
        <v>2026</v>
      </c>
      <c r="C3918" s="3" t="inlineStr">
        <is>
          <t>Grid-Constrained / Efficiency-Upside</t>
        </is>
      </c>
      <c r="D3918" s="3" t="inlineStr">
        <is>
          <t>ai_it_load_gw</t>
        </is>
      </c>
      <c r="E3918" s="3" t="n">
        <v>0.391</v>
      </c>
      <c r="F3918" s="3" t="inlineStr">
        <is>
          <t>GW</t>
        </is>
      </c>
      <c r="G3918" s="3" t="inlineStr">
        <is>
          <t>Derived formula</t>
        </is>
      </c>
      <c r="H3918" s="3" t="inlineStr">
        <is>
          <t>it_load_gw * ai_workload_share</t>
        </is>
      </c>
      <c r="I3918" s="3" t="inlineStr">
        <is>
          <t>Only the AI-attributed portion of IT load enters training/inference allocation.</t>
        </is>
      </c>
      <c r="J3918" s="3" t="inlineStr">
        <is>
          <t>SRC_QWEN3_GITHUB; SRC_ALIBABA_QWEN_GPU_DEPLOY; SRC_EPOCH_AI_DATA_CENTERS</t>
        </is>
      </c>
      <c r="K3918" s="3" t="inlineStr">
        <is>
          <t>ASSUMP_MOE_EFFICIENCY; ASSUMP_CN_CAPACITY_TRANSPARENCY; ASSUMP_NUMERIC_ACCELERATOR_MIX; ASSUMP_INFERENCE_SHARE_NOT_FACT_60; ASSUMP_WORKLOAD_CLASS_MIX; ASSUMP_AGENTIC_CONTEXT_PENALTY</t>
        </is>
      </c>
      <c r="L3918" s="3" t="inlineStr">
        <is>
          <t>Recompute after ai_workload_share is replaced by telemetry.</t>
        </is>
      </c>
    </row>
    <row r="3919">
      <c r="A3919" s="3" t="inlineStr">
        <is>
          <t>Alibaba</t>
        </is>
      </c>
      <c r="B3919" s="3" t="n">
        <v>2026</v>
      </c>
      <c r="C3919" s="3" t="inlineStr">
        <is>
          <t>Grid-Constrained / Efficiency-Upside</t>
        </is>
      </c>
      <c r="D3919" s="3" t="inlineStr">
        <is>
          <t>gpu_share</t>
        </is>
      </c>
      <c r="E3919" s="3" t="n">
        <v>1</v>
      </c>
      <c r="F3919" s="3" t="inlineStr">
        <is>
          <t>share of inference-serving accelerator load</t>
        </is>
      </c>
      <c r="G3919" s="3" t="inlineStr">
        <is>
          <t>Numeric scenario</t>
        </is>
      </c>
      <c r="H3919" s="3" t="inlineStr">
        <is>
          <t>gpu_share interpolated from company 2026/2030 accelerator-mix endpoints</t>
        </is>
      </c>
      <c r="I3919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19" s="3" t="inlineStr">
        <is>
          <t>SRC_QWEN3_GITHUB; SRC_ALIBABA_QWEN_GPU_DEPLOY; SRC_EPOCH_AI_DATA_CENTERS; ASSUMP_NUMERIC_ACCELERATOR_MIX</t>
        </is>
      </c>
      <c r="K3919" s="3" t="inlineStr">
        <is>
          <t>ASSUMP_MOE_EFFICIENCY; ASSUMP_CN_CAPACITY_TRANSPARENCY; ASSUMP_NUMERIC_ACCELERATOR_MIX; ASSUMP_INFERENCE_SHARE_NOT_FACT_60; ASSUMP_WORKLOAD_CLASS_MIX; ASSUMP_AGENTIC_CONTEXT_PENALTY</t>
        </is>
      </c>
      <c r="L3919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20">
      <c r="A3920" s="3" t="inlineStr">
        <is>
          <t>Alibaba</t>
        </is>
      </c>
      <c r="B3920" s="3" t="n">
        <v>2026</v>
      </c>
      <c r="C3920" s="3" t="inlineStr">
        <is>
          <t>Grid-Constrained / Efficiency-Upside</t>
        </is>
      </c>
      <c r="D3920" s="3" t="inlineStr">
        <is>
          <t>h200_share</t>
        </is>
      </c>
      <c r="E3920" s="3" t="n">
        <v>1</v>
      </c>
      <c r="F3920" s="3" t="inlineStr">
        <is>
          <t>share of inference-serving accelerator load</t>
        </is>
      </c>
      <c r="G3920" s="3" t="inlineStr">
        <is>
          <t>Editable numeric scenario</t>
        </is>
      </c>
      <c r="H3920" s="3" t="inlineStr">
        <is>
          <t>h200_share = gpu_share * default_gpu_generation_mix_h200</t>
        </is>
      </c>
      <c r="I3920" s="3" t="inlineStr">
        <is>
          <t>Default GPU-generation migration assumption; executive workbook allows later manual replacement by company/year/scenario.</t>
        </is>
      </c>
      <c r="J3920" s="3" t="inlineStr">
        <is>
          <t>SRC_SEMIANALYSIS_INFERENCEX; ASSUMP_NUMERIC_ACCELERATOR_MIX</t>
        </is>
      </c>
      <c r="K3920" s="3" t="inlineStr">
        <is>
          <t>ASSUMP_MOE_EFFICIENCY; ASSUMP_CN_CAPACITY_TRANSPARENCY; ASSUMP_NUMERIC_ACCELERATOR_MIX; ASSUMP_INFERENCE_SHARE_NOT_FACT_60; ASSUMP_WORKLOAD_CLASS_MIX; ASSUMP_AGENTIC_CONTEXT_PENALTY</t>
        </is>
      </c>
      <c r="L3920" s="3" t="inlineStr">
        <is>
          <t>Company fleet inventory, accelerator-hours or procurement/deployment records by GPU generation.</t>
        </is>
      </c>
    </row>
    <row r="3921">
      <c r="A3921" s="3" t="inlineStr">
        <is>
          <t>Alibaba</t>
        </is>
      </c>
      <c r="B3921" s="3" t="n">
        <v>2026</v>
      </c>
      <c r="C3921" s="3" t="inlineStr">
        <is>
          <t>Grid-Constrained / Efficiency-Upside</t>
        </is>
      </c>
      <c r="D3921" s="3" t="inlineStr">
        <is>
          <t>b200_share</t>
        </is>
      </c>
      <c r="E3921" s="3" t="n">
        <v>0</v>
      </c>
      <c r="F3921" s="3" t="inlineStr">
        <is>
          <t>share of inference-serving accelerator load</t>
        </is>
      </c>
      <c r="G3921" s="3" t="inlineStr">
        <is>
          <t>Editable numeric scenario</t>
        </is>
      </c>
      <c r="H3921" s="3" t="inlineStr">
        <is>
          <t>b200_share = gpu_share * default_gpu_generation_mix_b200</t>
        </is>
      </c>
      <c r="I3921" s="3" t="inlineStr">
        <is>
          <t>Default GPU-generation migration assumption; executive workbook allows later manual replacement by company/year/scenario.</t>
        </is>
      </c>
      <c r="J3921" s="3" t="inlineStr">
        <is>
          <t>SRC_SEMIANALYSIS_INFERENCEX; ASSUMP_NUMERIC_ACCELERATOR_MIX</t>
        </is>
      </c>
      <c r="K3921" s="3" t="inlineStr">
        <is>
          <t>ASSUMP_MOE_EFFICIENCY; ASSUMP_CN_CAPACITY_TRANSPARENCY; ASSUMP_NUMERIC_ACCELERATOR_MIX; ASSUMP_INFERENCE_SHARE_NOT_FACT_60; ASSUMP_WORKLOAD_CLASS_MIX; ASSUMP_AGENTIC_CONTEXT_PENALTY</t>
        </is>
      </c>
      <c r="L3921" s="3" t="inlineStr">
        <is>
          <t>Company fleet inventory, accelerator-hours or procurement/deployment records by GPU generation.</t>
        </is>
      </c>
    </row>
    <row r="3922">
      <c r="A3922" s="3" t="inlineStr">
        <is>
          <t>Alibaba</t>
        </is>
      </c>
      <c r="B3922" s="3" t="n">
        <v>2026</v>
      </c>
      <c r="C3922" s="3" t="inlineStr">
        <is>
          <t>Grid-Constrained / Efficiency-Upside</t>
        </is>
      </c>
      <c r="D3922" s="3" t="inlineStr">
        <is>
          <t>gb200_share</t>
        </is>
      </c>
      <c r="E3922" s="3" t="n">
        <v>0</v>
      </c>
      <c r="F3922" s="3" t="inlineStr">
        <is>
          <t>share of inference-serving accelerator load</t>
        </is>
      </c>
      <c r="G3922" s="3" t="inlineStr">
        <is>
          <t>Editable numeric scenario</t>
        </is>
      </c>
      <c r="H3922" s="3" t="inlineStr">
        <is>
          <t>gb200_share = gpu_share * default_gpu_generation_mix_gb200</t>
        </is>
      </c>
      <c r="I3922" s="3" t="inlineStr">
        <is>
          <t>Default GPU-generation migration assumption; executive workbook allows later manual replacement by company/year/scenario.</t>
        </is>
      </c>
      <c r="J3922" s="3" t="inlineStr">
        <is>
          <t>SRC_SEMIANALYSIS_INFERENCEX; ASSUMP_NUMERIC_ACCELERATOR_MIX</t>
        </is>
      </c>
      <c r="K3922" s="3" t="inlineStr">
        <is>
          <t>ASSUMP_MOE_EFFICIENCY; ASSUMP_CN_CAPACITY_TRANSPARENCY; ASSUMP_NUMERIC_ACCELERATOR_MIX; ASSUMP_INFERENCE_SHARE_NOT_FACT_60; ASSUMP_WORKLOAD_CLASS_MIX; ASSUMP_AGENTIC_CONTEXT_PENALTY</t>
        </is>
      </c>
      <c r="L3922" s="3" t="inlineStr">
        <is>
          <t>Company fleet inventory, accelerator-hours or procurement/deployment records by GPU generation.</t>
        </is>
      </c>
    </row>
    <row r="3923">
      <c r="A3923" s="3" t="inlineStr">
        <is>
          <t>Alibaba</t>
        </is>
      </c>
      <c r="B3923" s="3" t="n">
        <v>2026</v>
      </c>
      <c r="C3923" s="3" t="inlineStr">
        <is>
          <t>Grid-Constrained / Efficiency-Upside</t>
        </is>
      </c>
      <c r="D3923" s="3" t="inlineStr">
        <is>
          <t>purpose_built_accelerator_share</t>
        </is>
      </c>
      <c r="E3923" s="3" t="n">
        <v>0</v>
      </c>
      <c r="F3923" s="3" t="inlineStr">
        <is>
          <t>share of inference-serving accelerator load</t>
        </is>
      </c>
      <c r="G3923" s="3" t="inlineStr">
        <is>
          <t>Numeric scenario</t>
        </is>
      </c>
      <c r="H3923" s="3" t="inlineStr">
        <is>
          <t>1 - gpu_share</t>
        </is>
      </c>
      <c r="I3923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23" s="3" t="inlineStr">
        <is>
          <t>SRC_QWEN3_GITHUB; SRC_ALIBABA_QWEN_GPU_DEPLOY; SRC_EPOCH_AI_DATA_CENTERS; ASSUMP_NUMERIC_ACCELERATOR_MIX</t>
        </is>
      </c>
      <c r="K3923" s="3" t="inlineStr">
        <is>
          <t>ASSUMP_MOE_EFFICIENCY; ASSUMP_CN_CAPACITY_TRANSPARENCY; ASSUMP_NUMERIC_ACCELERATOR_MIX; ASSUMP_INFERENCE_SHARE_NOT_FACT_60; ASSUMP_WORKLOAD_CLASS_MIX; ASSUMP_AGENTIC_CONTEXT_PENALTY</t>
        </is>
      </c>
      <c r="L3923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24">
      <c r="A3924" s="3" t="inlineStr">
        <is>
          <t>Alibaba</t>
        </is>
      </c>
      <c r="B3924" s="3" t="n">
        <v>2026</v>
      </c>
      <c r="C3924" s="3" t="inlineStr">
        <is>
          <t>Grid-Constrained / Efficiency-Upside</t>
        </is>
      </c>
      <c r="D3924" s="3" t="inlineStr">
        <is>
          <t>fleet_reference_tps_per_mw</t>
        </is>
      </c>
      <c r="E3924" s="3" t="n">
        <v>166591</v>
      </c>
      <c r="F3924" s="3" t="inlineStr">
        <is>
          <t>generated output tokens/sec/MW</t>
        </is>
      </c>
      <c r="G3924" s="3" t="inlineStr">
        <is>
          <t>Fleet-weighted public benchmark reference</t>
        </is>
      </c>
      <c r="H3924" s="3" t="inlineStr">
        <is>
          <t>h200_share*h200_workload_avg + b200_share*b200_workload_avg + gb200_share*gb200_workload_avg + purpose_built_share*purpose_workload_avg</t>
        </is>
      </c>
      <c r="I3924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24" s="3" t="inlineStr">
        <is>
          <t>SRC_SEMIANALYSIS_INFERENCEX; ASSUMP_NUMERIC_ACCELERATOR_MIX; ASSUMP_WORKLOAD_CLASS_MIX; ASSUMP_AGENTIC_CONTEXT_PENALTY</t>
        </is>
      </c>
      <c r="K3924" s="3" t="inlineStr">
        <is>
          <t>ASSUMP_MOE_EFFICIENCY; ASSUMP_CN_CAPACITY_TRANSPARENCY; ASSUMP_NUMERIC_ACCELERATOR_MIX; ASSUMP_INFERENCE_SHARE_NOT_FACT_60; ASSUMP_WORKLOAD_CLASS_MIX; ASSUMP_AGENTIC_CONTEXT_PENALTY</t>
        </is>
      </c>
      <c r="L3924" s="3" t="inlineStr">
        <is>
          <t>Comparable production output-token throughput or a more closely matched benchmark.</t>
        </is>
      </c>
    </row>
    <row r="3925">
      <c r="A3925" s="3" t="inlineStr">
        <is>
          <t>Alibaba</t>
        </is>
      </c>
      <c r="B3925" s="3" t="n">
        <v>2026</v>
      </c>
      <c r="C3925" s="3" t="inlineStr">
        <is>
          <t>Grid-Constrained / Efficiency-Upside</t>
        </is>
      </c>
      <c r="D3925" s="3" t="inlineStr">
        <is>
          <t>commercial_workload_fit_factor</t>
        </is>
      </c>
      <c r="E3925" s="3" t="n">
        <v>0.9</v>
      </c>
      <c r="F3925" s="3" t="inlineStr">
        <is>
          <t>share of public reference throughput</t>
        </is>
      </c>
      <c r="G3925" s="3" t="inlineStr">
        <is>
          <t>Scenario assumption</t>
        </is>
      </c>
      <c r="H3925" s="3" t="inlineStr">
        <is>
          <t>reference_serving_tps_per_mw = fleet_reference_tps_per_mw * commercial_workload_fit_factor</t>
        </is>
      </c>
      <c r="I3925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25" s="3" t="inlineStr">
        <is>
          <t>SRC_SEMIANALYSIS_INFERENCEX; ASSUMP_NUMERIC_ACCELERATOR_MIX; ASSUMP_WORKLOAD_CLASS_MIX; ASSUMP_AGENTIC_CONTEXT_PENALTY</t>
        </is>
      </c>
      <c r="K3925" s="3" t="inlineStr">
        <is>
          <t>ASSUMP_MOE_EFFICIENCY; ASSUMP_CN_CAPACITY_TRANSPARENCY; ASSUMP_NUMERIC_ACCELERATOR_MIX; ASSUMP_INFERENCE_SHARE_NOT_FACT_60; ASSUMP_WORKLOAD_CLASS_MIX; ASSUMP_AGENTIC_CONTEXT_PENALTY</t>
        </is>
      </c>
      <c r="L3925" s="3" t="inlineStr">
        <is>
          <t>Matched commercial serving benchmark by product surface, context shape and latency SLO.</t>
        </is>
      </c>
    </row>
    <row r="3926">
      <c r="A3926" s="3" t="inlineStr">
        <is>
          <t>Alibaba</t>
        </is>
      </c>
      <c r="B3926" s="3" t="n">
        <v>2026</v>
      </c>
      <c r="C3926" s="3" t="inlineStr">
        <is>
          <t>Grid-Constrained / Efficiency-Upside</t>
        </is>
      </c>
      <c r="D3926" s="3" t="inlineStr">
        <is>
          <t>reference_serving_tps_per_mw</t>
        </is>
      </c>
      <c r="E3926" s="3" t="n">
        <v>149932</v>
      </c>
      <c r="F3926" s="3" t="inlineStr">
        <is>
          <t>generated output tokens/sec/MW</t>
        </is>
      </c>
      <c r="G3926" s="3" t="inlineStr">
        <is>
          <t>Workload-adjusted benchmark proxy</t>
        </is>
      </c>
      <c r="H3926" s="3" t="inlineStr">
        <is>
          <t>fleet_reference_tps_per_mw * commercial_workload_fit_factor</t>
        </is>
      </c>
      <c r="I3926" s="3" t="inlineStr">
        <is>
          <t>This is the coefficient used for headline token generation; each GPU's short chat, long chat and agentic TPS/MW are weighted before fleet mix and commercial fit are applied.</t>
        </is>
      </c>
      <c r="J3926" s="3" t="inlineStr">
        <is>
          <t>SRC_SEMIANALYSIS_INFERENCEX; ASSUMP_NUMERIC_ACCELERATOR_MIX; ASSUMP_WORKLOAD_CLASS_MIX; ASSUMP_AGENTIC_CONTEXT_PENALTY</t>
        </is>
      </c>
      <c r="K3926" s="3" t="inlineStr">
        <is>
          <t>ASSUMP_MOE_EFFICIENCY; ASSUMP_CN_CAPACITY_TRANSPARENCY; ASSUMP_NUMERIC_ACCELERATOR_MIX; ASSUMP_INFERENCE_SHARE_NOT_FACT_60; ASSUMP_WORKLOAD_CLASS_MIX; ASSUMP_AGENTIC_CONTEXT_PENALTY</t>
        </is>
      </c>
      <c r="L3926" s="3" t="inlineStr">
        <is>
          <t>Provider production output-token throughput with comparable workload/SLO.</t>
        </is>
      </c>
    </row>
    <row r="3927">
      <c r="A3927" s="3" t="inlineStr">
        <is>
          <t>Alibaba</t>
        </is>
      </c>
      <c r="B3927" s="3" t="n">
        <v>2026</v>
      </c>
      <c r="C3927" s="3" t="inlineStr">
        <is>
          <t>Grid-Constrained / Efficiency-Upside</t>
        </is>
      </c>
      <c r="D3927" s="3" t="inlineStr">
        <is>
          <t>purpose_built_tps_per_mw</t>
        </is>
      </c>
      <c r="E3927" s="3" t="n">
        <v>996060</v>
      </c>
      <c r="F3927" s="3" t="inlineStr">
        <is>
          <t>generated output tokens/sec/MW</t>
        </is>
      </c>
      <c r="G3927" s="3" t="inlineStr">
        <is>
          <t>Conservative no-uplift proxy</t>
        </is>
      </c>
      <c r="H3927" s="3" t="inlineStr">
        <is>
          <t>purpose_built_tps_per_mw = purpose_built_reference_tps_per_mw * commercial_workload_fit_factor until comparable output-token benchmark is adopted</t>
        </is>
      </c>
      <c r="I3927" s="3" t="inlineStr">
        <is>
          <t>No comparable public output-token/MW row adopted; B200 public reference placeholder is used and remains editable.</t>
        </is>
      </c>
      <c r="J3927" s="3" t="inlineStr">
        <is>
          <t>SRC_QWEN3_GITHUB; SRC_ALIBABA_QWEN_GPU_DEPLOY; SRC_EPOCH_AI_DATA_CENTERS; ASSUMP_NUMERIC_ACCELERATOR_MIX</t>
        </is>
      </c>
      <c r="K3927" s="3" t="inlineStr">
        <is>
          <t>ASSUMP_MOE_EFFICIENCY; ASSUMP_CN_CAPACITY_TRANSPARENCY; ASSUMP_NUMERIC_ACCELERATOR_MIX; ASSUMP_INFERENCE_SHARE_NOT_FACT_60; ASSUMP_WORKLOAD_CLASS_MIX; ASSUMP_AGENTIC_CONTEXT_PENALTY</t>
        </is>
      </c>
      <c r="L3927" s="3" t="inlineStr">
        <is>
          <t>Matched-workload generated-output benchmark for the provider purpose-built accelerator.</t>
        </is>
      </c>
    </row>
    <row r="3928">
      <c r="A3928" s="3" t="inlineStr">
        <is>
          <t>Alibaba</t>
        </is>
      </c>
      <c r="B3928" s="3" t="n">
        <v>2026</v>
      </c>
      <c r="C3928" s="3" t="inlineStr">
        <is>
          <t>Grid-Constrained / Efficiency-Upside</t>
        </is>
      </c>
      <c r="D3928" s="3" t="inlineStr">
        <is>
          <t>inference_power_share</t>
        </is>
      </c>
      <c r="E3928" s="3" t="n">
        <v>0.62</v>
      </c>
      <c r="F3928" s="3" t="inlineStr">
        <is>
          <t>share of AI IT load</t>
        </is>
      </c>
      <c r="G3928" s="3" t="inlineStr">
        <is>
          <t>Scenario allocation</t>
        </is>
      </c>
      <c r="H3928" s="3" t="inlineStr">
        <is>
          <t>inference_gw = ai_it_load_gw * inference_power_share</t>
        </is>
      </c>
      <c r="I3928" s="3" t="inlineStr">
        <is>
          <t>Qwen API/enterprise commercialization and MoE architecture support increasing inference allocation scenario.</t>
        </is>
      </c>
      <c r="J3928" s="3" t="inlineStr">
        <is>
          <t>SRC_QWEN3_GITHUB; SRC_ALIBABA_QWEN_GPU_DEPLOY; SRC_EPOCH_AI_DATA_CENTERS; ASSUMP_INFERENCE_SHARE_NOT_FACT_60</t>
        </is>
      </c>
      <c r="K3928" s="3" t="inlineStr">
        <is>
          <t>ASSUMP_MOE_EFFICIENCY; ASSUMP_CN_CAPACITY_TRANSPARENCY; ASSUMP_NUMERIC_ACCELERATOR_MIX; ASSUMP_INFERENCE_SHARE_NOT_FACT_60; ASSUMP_WORKLOAD_CLASS_MIX; ASSUMP_AGENTIC_CONTEXT_PENALTY</t>
        </is>
      </c>
      <c r="L3928" s="3" t="inlineStr">
        <is>
          <t>Provider-specific inference/training workload power telemetry.</t>
        </is>
      </c>
    </row>
    <row r="3929">
      <c r="A3929" s="3" t="inlineStr">
        <is>
          <t>Alibaba</t>
        </is>
      </c>
      <c r="B3929" s="3" t="n">
        <v>2026</v>
      </c>
      <c r="C3929" s="3" t="inlineStr">
        <is>
          <t>Grid-Constrained / Efficiency-Upside</t>
        </is>
      </c>
      <c r="D3929" s="3" t="inlineStr">
        <is>
          <t>inference_gw</t>
        </is>
      </c>
      <c r="E3929" s="3" t="n">
        <v>0.242</v>
      </c>
      <c r="F3929" s="3" t="inlineStr">
        <is>
          <t>GW</t>
        </is>
      </c>
      <c r="G3929" s="3" t="inlineStr">
        <is>
          <t>Derived formula</t>
        </is>
      </c>
      <c r="H3929" s="3" t="inlineStr">
        <is>
          <t>ai_it_load_gw * inference_power_share</t>
        </is>
      </c>
      <c r="I3929" s="3" t="inlineStr">
        <is>
          <t>This is the operational power eligible to become commercial generated output tokens through the selected TPS/MW proxy.</t>
        </is>
      </c>
      <c r="J3929" s="3" t="inlineStr">
        <is>
          <t>SRC_QWEN3_GITHUB; SRC_ALIBABA_QWEN_GPU_DEPLOY; SRC_EPOCH_AI_DATA_CENTERS</t>
        </is>
      </c>
      <c r="K3929" s="3" t="inlineStr">
        <is>
          <t>ASSUMP_MOE_EFFICIENCY; ASSUMP_CN_CAPACITY_TRANSPARENCY; ASSUMP_NUMERIC_ACCELERATOR_MIX; ASSUMP_INFERENCE_SHARE_NOT_FACT_60; ASSUMP_WORKLOAD_CLASS_MIX; ASSUMP_AGENTIC_CONTEXT_PENALTY</t>
        </is>
      </c>
      <c r="L3929" s="3" t="inlineStr">
        <is>
          <t>Recompute after AI allocation or inference-share evidence changes.</t>
        </is>
      </c>
    </row>
    <row r="3930">
      <c r="A3930" s="3" t="inlineStr">
        <is>
          <t>Alibaba</t>
        </is>
      </c>
      <c r="B3930" s="3" t="n">
        <v>2026</v>
      </c>
      <c r="C3930" s="3" t="inlineStr">
        <is>
          <t>Grid-Constrained / Efficiency-Upside</t>
        </is>
      </c>
      <c r="D3930" s="3" t="inlineStr">
        <is>
          <t>training_power_share</t>
        </is>
      </c>
      <c r="E3930" s="3" t="n">
        <v>0.38</v>
      </c>
      <c r="F3930" s="3" t="inlineStr">
        <is>
          <t>share of AI IT load</t>
        </is>
      </c>
      <c r="G3930" s="3" t="inlineStr">
        <is>
          <t>Derived allocation</t>
        </is>
      </c>
      <c r="H3930" s="3" t="inlineStr">
        <is>
          <t>1 - inference_power_share</t>
        </is>
      </c>
      <c r="I3930" s="3" t="inlineStr">
        <is>
          <t>Training receives the complementary modeled AI IT allocation; it is not a disclosed company workload split.</t>
        </is>
      </c>
      <c r="J3930" s="3" t="inlineStr">
        <is>
          <t>SRC_QWEN3_GITHUB; SRC_ALIBABA_QWEN_GPU_DEPLOY; SRC_EPOCH_AI_DATA_CENTERS; ASSUMP_INFERENCE_SHARE_NOT_FACT_60</t>
        </is>
      </c>
      <c r="K3930" s="3" t="inlineStr">
        <is>
          <t>ASSUMP_MOE_EFFICIENCY; ASSUMP_CN_CAPACITY_TRANSPARENCY; ASSUMP_NUMERIC_ACCELERATOR_MIX; ASSUMP_INFERENCE_SHARE_NOT_FACT_60; ASSUMP_WORKLOAD_CLASS_MIX; ASSUMP_AGENTIC_CONTEXT_PENALTY</t>
        </is>
      </c>
      <c r="L3930" s="3" t="inlineStr">
        <is>
          <t>Provider-specific inference/training workload power telemetry.</t>
        </is>
      </c>
    </row>
    <row r="3931">
      <c r="A3931" s="3" t="inlineStr">
        <is>
          <t>Alibaba</t>
        </is>
      </c>
      <c r="B3931" s="3" t="n">
        <v>2026</v>
      </c>
      <c r="C3931" s="3" t="inlineStr">
        <is>
          <t>Grid-Constrained / Efficiency-Upside</t>
        </is>
      </c>
      <c r="D3931" s="3" t="inlineStr">
        <is>
          <t>training_gw</t>
        </is>
      </c>
      <c r="E3931" s="3" t="n">
        <v>0.148</v>
      </c>
      <c r="F3931" s="3" t="inlineStr">
        <is>
          <t>GW</t>
        </is>
      </c>
      <c r="G3931" s="3" t="inlineStr">
        <is>
          <t>Derived formula</t>
        </is>
      </c>
      <c r="H3931" s="3" t="inlineStr">
        <is>
          <t>ai_it_load_gw * training_power_share</t>
        </is>
      </c>
      <c r="I3931" s="3" t="inlineStr">
        <is>
          <t>Training GW is shown separately so commercial inference token capacity is not overstated.</t>
        </is>
      </c>
      <c r="J3931" s="3" t="inlineStr">
        <is>
          <t>SRC_QWEN3_GITHUB; SRC_ALIBABA_QWEN_GPU_DEPLOY; SRC_EPOCH_AI_DATA_CENTERS</t>
        </is>
      </c>
      <c r="K3931" s="3" t="inlineStr">
        <is>
          <t>ASSUMP_MOE_EFFICIENCY; ASSUMP_CN_CAPACITY_TRANSPARENCY; ASSUMP_NUMERIC_ACCELERATOR_MIX; ASSUMP_INFERENCE_SHARE_NOT_FACT_60; ASSUMP_WORKLOAD_CLASS_MIX; ASSUMP_AGENTIC_CONTEXT_PENALTY</t>
        </is>
      </c>
      <c r="L3931" s="3" t="inlineStr">
        <is>
          <t>Recompute after AI allocation or workload-split evidence changes.</t>
        </is>
      </c>
    </row>
    <row r="3932">
      <c r="A3932" s="3" t="inlineStr">
        <is>
          <t>Alibaba</t>
        </is>
      </c>
      <c r="B3932" s="3" t="n">
        <v>2026</v>
      </c>
      <c r="C3932" s="3" t="inlineStr">
        <is>
          <t>Grid-Constrained / Efficiency-Upside</t>
        </is>
      </c>
      <c r="D3932" s="3" t="inlineStr">
        <is>
          <t>tokens_per_second_per_mw</t>
        </is>
      </c>
      <c r="E3932" s="3" t="n">
        <v>149932</v>
      </c>
      <c r="F3932" s="3" t="inlineStr">
        <is>
          <t>generated output tokens/sec/MW</t>
        </is>
      </c>
      <c r="G3932" s="3" t="inlineStr">
        <is>
          <t>Derived estimate + benchmark calibration</t>
        </is>
      </c>
      <c r="H3932" s="3" t="inlineStr">
        <is>
          <t>fleet_reference_tps_per_mw * commercial_workload_fit_factor</t>
        </is>
      </c>
      <c r="I3932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32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3932" s="3" t="inlineStr">
        <is>
          <t>ASSUMP_MOE_EFFICIENCY; ASSUMP_CN_CAPACITY_TRANSPARENCY; ASSUMP_NUMERIC_ACCELERATOR_MIX; ASSUMP_INFERENCE_SHARE_NOT_FACT_60; ASSUMP_WORKLOAD_CLASS_MIX; ASSUMP_AGENTIC_CONTEXT_PENALTY</t>
        </is>
      </c>
      <c r="L3932" s="3" t="inlineStr">
        <is>
          <t>Comparable production output-token throughput with model, hardware, precision, ISL/OSL and SLO matched.</t>
        </is>
      </c>
    </row>
    <row r="3933">
      <c r="A3933" s="3" t="inlineStr">
        <is>
          <t>Alibaba</t>
        </is>
      </c>
      <c r="B3933" s="3" t="n">
        <v>2026</v>
      </c>
      <c r="C3933" s="3" t="inlineStr">
        <is>
          <t>Grid-Constrained / Efficiency-Upside</t>
        </is>
      </c>
      <c r="D3933" s="3" t="inlineStr">
        <is>
          <t>inference_tokens_per_day</t>
        </is>
      </c>
      <c r="E3933" s="3" t="n">
        <v>3134898201600</v>
      </c>
      <c r="F3933" s="3" t="inlineStr">
        <is>
          <t>generated output tokens/day</t>
        </is>
      </c>
      <c r="G3933" s="3" t="inlineStr">
        <is>
          <t>Derived headline metric</t>
        </is>
      </c>
      <c r="H3933" s="3" t="inlineStr">
        <is>
          <t>inference_gw * 1000 * tokens_per_second_per_mw * 86,400</t>
        </is>
      </c>
      <c r="I3933" s="3" t="inlineStr">
        <is>
          <t>Headline capacity uses no utilization, MoE, architecture or software-growth multiplier; it is not observed commercial output volume.</t>
        </is>
      </c>
      <c r="J3933" s="3" t="inlineStr">
        <is>
          <t>SRC_QWEN3_GITHUB; SRC_ALIBABA_QWEN_GPU_DEPLOY; SRC_EPOCH_AI_DATA_CENTERS; SRC_SEMIANALYSIS_INFERENCEX</t>
        </is>
      </c>
      <c r="K3933" s="3" t="inlineStr">
        <is>
          <t>ASSUMP_MOE_EFFICIENCY; ASSUMP_CN_CAPACITY_TRANSPARENCY; ASSUMP_NUMERIC_ACCELERATOR_MIX; ASSUMP_INFERENCE_SHARE_NOT_FACT_60; ASSUMP_WORKLOAD_CLASS_MIX; ASSUMP_AGENTIC_CONTEXT_PENALTY</t>
        </is>
      </c>
      <c r="L3933" s="3" t="inlineStr">
        <is>
          <t>Provider-disclosed generated output token volume or calibrated capacity telemetry.</t>
        </is>
      </c>
    </row>
    <row r="3934">
      <c r="A3934" s="3" t="inlineStr">
        <is>
          <t>Alibaba</t>
        </is>
      </c>
      <c r="B3934" s="3" t="n">
        <v>2026</v>
      </c>
      <c r="C3934" s="3" t="inlineStr">
        <is>
          <t>Grid-Constrained / Efficiency-Upside</t>
        </is>
      </c>
      <c r="D3934" s="3" t="inlineStr">
        <is>
          <t>inference_tokens_per_year</t>
        </is>
      </c>
      <c r="E3934" s="3" t="n">
        <v>1144237843584000</v>
      </c>
      <c r="F3934" s="3" t="inlineStr">
        <is>
          <t>generated output tokens/year</t>
        </is>
      </c>
      <c r="G3934" s="3" t="inlineStr">
        <is>
          <t>Derived headline metric</t>
        </is>
      </c>
      <c r="H3934" s="3" t="inlineStr">
        <is>
          <t>inference_tokens_per_day * 365</t>
        </is>
      </c>
      <c r="I3934" s="3" t="inlineStr">
        <is>
          <t>Annualized version of generated output token capacity; it is not observed annual demand or billable volume.</t>
        </is>
      </c>
      <c r="J3934" s="3" t="inlineStr">
        <is>
          <t>SRC_QWEN3_GITHUB; SRC_ALIBABA_QWEN_GPU_DEPLOY; SRC_EPOCH_AI_DATA_CENTERS; SRC_SEMIANALYSIS_INFERENCEX</t>
        </is>
      </c>
      <c r="K3934" s="3" t="inlineStr">
        <is>
          <t>ASSUMP_MOE_EFFICIENCY; ASSUMP_CN_CAPACITY_TRANSPARENCY; ASSUMP_NUMERIC_ACCELERATOR_MIX; ASSUMP_INFERENCE_SHARE_NOT_FACT_60; ASSUMP_WORKLOAD_CLASS_MIX; ASSUMP_AGENTIC_CONTEXT_PENALTY</t>
        </is>
      </c>
      <c r="L3934" s="3" t="inlineStr">
        <is>
          <t>Provider-disclosed annual generated-output volume or metered serving telemetry.</t>
        </is>
      </c>
    </row>
    <row r="3935">
      <c r="A3935" s="3" t="inlineStr">
        <is>
          <t>Alibaba</t>
        </is>
      </c>
      <c r="B3935" s="3" t="n">
        <v>2027</v>
      </c>
      <c r="C3935" s="3" t="inlineStr">
        <is>
          <t>Grid-Constrained / Efficiency-Upside</t>
        </is>
      </c>
      <c r="D3935" s="3" t="inlineStr">
        <is>
          <t>contracted_power_gw</t>
        </is>
      </c>
      <c r="E3935" s="3" t="n">
        <v>2.35</v>
      </c>
      <c r="F3935" s="3" t="inlineStr">
        <is>
          <t>GW</t>
        </is>
      </c>
      <c r="G3935" s="3" t="inlineStr">
        <is>
          <t>Scenario capacity envelope</t>
        </is>
      </c>
      <c r="H3935" s="3" t="inlineStr">
        <is>
          <t>linear interpolation between 2026 and 2030 company capacity endpoints</t>
        </is>
      </c>
      <c r="I3935" s="3" t="inlineStr">
        <is>
          <t>Alibaba Cloud/Qwen capacity is a scenario envelope; official model and deployment documentation does not state operated GW.</t>
        </is>
      </c>
      <c r="J3935" s="3" t="inlineStr">
        <is>
          <t>SRC_ALIBABA_QWEN_GPU_DEPLOY; ASSUMP_CN_CAPACITY_TRANSPARENCY</t>
        </is>
      </c>
      <c r="K3935" s="3" t="inlineStr">
        <is>
          <t>ASSUMP_MOE_EFFICIENCY; ASSUMP_CN_CAPACITY_TRANSPARENCY; ASSUMP_NUMERIC_ACCELERATOR_MIX; ASSUMP_INFERENCE_SHARE_NOT_FACT_60; ASSUMP_WORKLOAD_CLASS_MIX; ASSUMP_AGENTIC_CONTEXT_PENALTY</t>
        </is>
      </c>
      <c r="L3935" s="3" t="inlineStr">
        <is>
          <t>Company/site-level committed MW/GW, interconnect and contract disclosure.</t>
        </is>
      </c>
    </row>
    <row r="3936">
      <c r="A3936" s="3" t="inlineStr">
        <is>
          <t>Alibaba</t>
        </is>
      </c>
      <c r="B3936" s="3" t="n">
        <v>2027</v>
      </c>
      <c r="C3936" s="3" t="inlineStr">
        <is>
          <t>Grid-Constrained / Efficiency-Upside</t>
        </is>
      </c>
      <c r="D3936" s="3" t="inlineStr">
        <is>
          <t>operational_deployment_share</t>
        </is>
      </c>
      <c r="E3936" s="3" t="n">
        <v>0.46042553</v>
      </c>
      <c r="F3936" s="3" t="inlineStr">
        <is>
          <t>share</t>
        </is>
      </c>
      <c r="G3936" s="3" t="inlineStr">
        <is>
          <t>Scenario conversion</t>
        </is>
      </c>
      <c r="H3936" s="3" t="inlineStr">
        <is>
          <t>active_power_gw / contracted_power_gw</t>
        </is>
      </c>
      <c r="I3936" s="3" t="inlineStr">
        <is>
          <t>This is the single explicit conversion from contracted/attributed capacity to operationally usable capacity.</t>
        </is>
      </c>
      <c r="J3936" s="3" t="inlineStr">
        <is>
          <t>SRC_ALIBABA_QWEN_GPU_DEPLOY; ASSUMP_CN_CAPACITY_TRANSPARENCY</t>
        </is>
      </c>
      <c r="K3936" s="3" t="inlineStr">
        <is>
          <t>ASSUMP_MOE_EFFICIENCY; ASSUMP_CN_CAPACITY_TRANSPARENCY; ASSUMP_NUMERIC_ACCELERATOR_MIX; ASSUMP_INFERENCE_SHARE_NOT_FACT_60; ASSUMP_WORKLOAD_CLASS_MIX; ASSUMP_AGENTIC_CONTEXT_PENALTY</t>
        </is>
      </c>
      <c r="L3936" s="3" t="inlineStr">
        <is>
          <t>Energized operational capacity divided by contracted/attributed capacity.</t>
        </is>
      </c>
    </row>
    <row r="3937">
      <c r="A3937" s="3" t="inlineStr">
        <is>
          <t>Alibaba</t>
        </is>
      </c>
      <c r="B3937" s="3" t="n">
        <v>2027</v>
      </c>
      <c r="C3937" s="3" t="inlineStr">
        <is>
          <t>Grid-Constrained / Efficiency-Upside</t>
        </is>
      </c>
      <c r="D3937" s="3" t="inlineStr">
        <is>
          <t>active_power_gw</t>
        </is>
      </c>
      <c r="E3937" s="3" t="n">
        <v>1.082</v>
      </c>
      <c r="F3937" s="3" t="inlineStr">
        <is>
          <t>GW</t>
        </is>
      </c>
      <c r="G3937" s="3" t="inlineStr">
        <is>
          <t>Derived scenario</t>
        </is>
      </c>
      <c r="H3937" s="3" t="inlineStr">
        <is>
          <t>contracted_power_gw * operational_deployment_share</t>
        </is>
      </c>
      <c r="I3937" s="3" t="inlineStr">
        <is>
          <t>Active GW is staged below capacity due to undisclosed accelerator allocation and cloud multi-tenant use.</t>
        </is>
      </c>
      <c r="J3937" s="3" t="inlineStr">
        <is>
          <t>SRC_ALIBABA_QWEN_GPU_DEPLOY; ASSUMP_CN_CAPACITY_TRANSPARENCY</t>
        </is>
      </c>
      <c r="K3937" s="3" t="inlineStr">
        <is>
          <t>ASSUMP_MOE_EFFICIENCY; ASSUMP_CN_CAPACITY_TRANSPARENCY; ASSUMP_NUMERIC_ACCELERATOR_MIX; ASSUMP_INFERENCE_SHARE_NOT_FACT_60; ASSUMP_WORKLOAD_CLASS_MIX; ASSUMP_AGENTIC_CONTEXT_PENALTY</t>
        </is>
      </c>
      <c r="L3937" s="3" t="inlineStr">
        <is>
          <t>Energization dates, accelerator deliveries and operational powered-rack telemetry.</t>
        </is>
      </c>
    </row>
    <row r="3938">
      <c r="A3938" s="3" t="inlineStr">
        <is>
          <t>Alibaba</t>
        </is>
      </c>
      <c r="B3938" s="3" t="n">
        <v>2027</v>
      </c>
      <c r="C3938" s="3" t="inlineStr">
        <is>
          <t>Grid-Constrained / Efficiency-Upside</t>
        </is>
      </c>
      <c r="D3938" s="3" t="inlineStr">
        <is>
          <t>pue</t>
        </is>
      </c>
      <c r="E3938" s="3" t="n">
        <v>1.23</v>
      </c>
      <c r="F3938" s="3" t="inlineStr">
        <is>
          <t>ratio</t>
        </is>
      </c>
      <c r="G3938" s="3" t="inlineStr">
        <is>
          <t>Scenario parameter</t>
        </is>
      </c>
      <c r="H3938" s="3" t="inlineStr">
        <is>
          <t>it_load_gw = active_power_gw / pue</t>
        </is>
      </c>
      <c r="I3938" s="3" t="inlineStr">
        <is>
          <t>No provider-wide site-level PUE is used as a disclosed fact; PUE represents facility-to-IT conversion within the scenario.</t>
        </is>
      </c>
      <c r="J3938" s="3" t="inlineStr">
        <is>
          <t>ASSUMP_POWER_RAMP</t>
        </is>
      </c>
      <c r="K3938" s="3" t="inlineStr">
        <is>
          <t>ASSUMP_MOE_EFFICIENCY; ASSUMP_CN_CAPACITY_TRANSPARENCY; ASSUMP_NUMERIC_ACCELERATOR_MIX; ASSUMP_INFERENCE_SHARE_NOT_FACT_60; ASSUMP_WORKLOAD_CLASS_MIX; ASSUMP_AGENTIC_CONTEXT_PENALTY</t>
        </is>
      </c>
      <c r="L3938" s="3" t="inlineStr">
        <is>
          <t>Site-level measured PUE matched to attributed AI capacity.</t>
        </is>
      </c>
    </row>
    <row r="3939">
      <c r="A3939" s="3" t="inlineStr">
        <is>
          <t>Alibaba</t>
        </is>
      </c>
      <c r="B3939" s="3" t="n">
        <v>2027</v>
      </c>
      <c r="C3939" s="3" t="inlineStr">
        <is>
          <t>Grid-Constrained / Efficiency-Upside</t>
        </is>
      </c>
      <c r="D3939" s="3" t="inlineStr">
        <is>
          <t>it_load_gw</t>
        </is>
      </c>
      <c r="E3939" s="3" t="n">
        <v>0.879</v>
      </c>
      <c r="F3939" s="3" t="inlineStr">
        <is>
          <t>GW</t>
        </is>
      </c>
      <c r="G3939" s="3" t="inlineStr">
        <is>
          <t>Derived formula</t>
        </is>
      </c>
      <c r="H3939" s="3" t="inlineStr">
        <is>
          <t>active_power_gw / pue</t>
        </is>
      </c>
      <c r="I3939" s="3" t="inlineStr">
        <is>
          <t>Facility power is converted to IT-deliverable power before attributing AI workloads.</t>
        </is>
      </c>
      <c r="J3939" s="3" t="inlineStr">
        <is>
          <t>SRC_ALIBABA_QWEN_GPU_DEPLOY; ASSUMP_CN_CAPACITY_TRANSPARENCY</t>
        </is>
      </c>
      <c r="K3939" s="3" t="inlineStr">
        <is>
          <t>ASSUMP_MOE_EFFICIENCY; ASSUMP_CN_CAPACITY_TRANSPARENCY; ASSUMP_NUMERIC_ACCELERATOR_MIX; ASSUMP_INFERENCE_SHARE_NOT_FACT_60; ASSUMP_WORKLOAD_CLASS_MIX; ASSUMP_AGENTIC_CONTEXT_PENALTY</t>
        </is>
      </c>
      <c r="L3939" s="3" t="inlineStr">
        <is>
          <t>Recompute once active power and PUE become site-observable.</t>
        </is>
      </c>
    </row>
    <row r="3940">
      <c r="A3940" s="3" t="inlineStr">
        <is>
          <t>Alibaba</t>
        </is>
      </c>
      <c r="B3940" s="3" t="n">
        <v>2027</v>
      </c>
      <c r="C3940" s="3" t="inlineStr">
        <is>
          <t>Grid-Constrained / Efficiency-Upside</t>
        </is>
      </c>
      <c r="D3940" s="3" t="inlineStr">
        <is>
          <t>ai_workload_share</t>
        </is>
      </c>
      <c r="E3940" s="3" t="n">
        <v>0.84</v>
      </c>
      <c r="F3940" s="3" t="inlineStr">
        <is>
          <t>share</t>
        </is>
      </c>
      <c r="G3940" s="3" t="inlineStr">
        <is>
          <t>Scenario allocation</t>
        </is>
      </c>
      <c r="H3940" s="3" t="inlineStr">
        <is>
          <t>ai_it_load_gw = it_load_gw * ai_workload_share</t>
        </is>
      </c>
      <c r="I3940" s="3" t="inlineStr">
        <is>
          <t>Model Studio/Qwen-serving envelope is AI-focused, while cloud platform/reserve allocation is excluded through 84%.</t>
        </is>
      </c>
      <c r="J3940" s="3" t="inlineStr">
        <is>
          <t>SRC_QWEN3_GITHUB; SRC_ALIBABA_QWEN_GPU_DEPLOY; SRC_EPOCH_AI_DATA_CENTERS</t>
        </is>
      </c>
      <c r="K3940" s="3" t="inlineStr">
        <is>
          <t>ASSUMP_MOE_EFFICIENCY; ASSUMP_CN_CAPACITY_TRANSPARENCY; ASSUMP_NUMERIC_ACCELERATOR_MIX; ASSUMP_INFERENCE_SHARE_NOT_FACT_60; ASSUMP_WORKLOAD_CLASS_MIX; ASSUMP_AGENTIC_CONTEXT_PENALTY</t>
        </is>
      </c>
      <c r="L3940" s="3" t="inlineStr">
        <is>
          <t>Model-owner AI workload allocation or cluster scheduling telemetry.</t>
        </is>
      </c>
    </row>
    <row r="3941">
      <c r="A3941" s="3" t="inlineStr">
        <is>
          <t>Alibaba</t>
        </is>
      </c>
      <c r="B3941" s="3" t="n">
        <v>2027</v>
      </c>
      <c r="C3941" s="3" t="inlineStr">
        <is>
          <t>Grid-Constrained / Efficiency-Upside</t>
        </is>
      </c>
      <c r="D3941" s="3" t="inlineStr">
        <is>
          <t>ai_it_load_gw</t>
        </is>
      </c>
      <c r="E3941" s="3" t="n">
        <v>0.739</v>
      </c>
      <c r="F3941" s="3" t="inlineStr">
        <is>
          <t>GW</t>
        </is>
      </c>
      <c r="G3941" s="3" t="inlineStr">
        <is>
          <t>Derived formula</t>
        </is>
      </c>
      <c r="H3941" s="3" t="inlineStr">
        <is>
          <t>it_load_gw * ai_workload_share</t>
        </is>
      </c>
      <c r="I3941" s="3" t="inlineStr">
        <is>
          <t>Only the AI-attributed portion of IT load enters training/inference allocation.</t>
        </is>
      </c>
      <c r="J3941" s="3" t="inlineStr">
        <is>
          <t>SRC_QWEN3_GITHUB; SRC_ALIBABA_QWEN_GPU_DEPLOY; SRC_EPOCH_AI_DATA_CENTERS</t>
        </is>
      </c>
      <c r="K3941" s="3" t="inlineStr">
        <is>
          <t>ASSUMP_MOE_EFFICIENCY; ASSUMP_CN_CAPACITY_TRANSPARENCY; ASSUMP_NUMERIC_ACCELERATOR_MIX; ASSUMP_INFERENCE_SHARE_NOT_FACT_60; ASSUMP_WORKLOAD_CLASS_MIX; ASSUMP_AGENTIC_CONTEXT_PENALTY</t>
        </is>
      </c>
      <c r="L3941" s="3" t="inlineStr">
        <is>
          <t>Recompute after ai_workload_share is replaced by telemetry.</t>
        </is>
      </c>
    </row>
    <row r="3942">
      <c r="A3942" s="3" t="inlineStr">
        <is>
          <t>Alibaba</t>
        </is>
      </c>
      <c r="B3942" s="3" t="n">
        <v>2027</v>
      </c>
      <c r="C3942" s="3" t="inlineStr">
        <is>
          <t>Grid-Constrained / Efficiency-Upside</t>
        </is>
      </c>
      <c r="D3942" s="3" t="inlineStr">
        <is>
          <t>gpu_share</t>
        </is>
      </c>
      <c r="E3942" s="3" t="n">
        <v>1</v>
      </c>
      <c r="F3942" s="3" t="inlineStr">
        <is>
          <t>share of inference-serving accelerator load</t>
        </is>
      </c>
      <c r="G3942" s="3" t="inlineStr">
        <is>
          <t>Numeric scenario</t>
        </is>
      </c>
      <c r="H3942" s="3" t="inlineStr">
        <is>
          <t>gpu_share interpolated from company 2026/2030 accelerator-mix endpoints</t>
        </is>
      </c>
      <c r="I3942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42" s="3" t="inlineStr">
        <is>
          <t>SRC_QWEN3_GITHUB; SRC_ALIBABA_QWEN_GPU_DEPLOY; SRC_EPOCH_AI_DATA_CENTERS; ASSUMP_NUMERIC_ACCELERATOR_MIX</t>
        </is>
      </c>
      <c r="K3942" s="3" t="inlineStr">
        <is>
          <t>ASSUMP_MOE_EFFICIENCY; ASSUMP_CN_CAPACITY_TRANSPARENCY; ASSUMP_NUMERIC_ACCELERATOR_MIX; ASSUMP_INFERENCE_SHARE_NOT_FACT_60; ASSUMP_WORKLOAD_CLASS_MIX; ASSUMP_AGENTIC_CONTEXT_PENALTY</t>
        </is>
      </c>
      <c r="L3942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43">
      <c r="A3943" s="3" t="inlineStr">
        <is>
          <t>Alibaba</t>
        </is>
      </c>
      <c r="B3943" s="3" t="n">
        <v>2027</v>
      </c>
      <c r="C3943" s="3" t="inlineStr">
        <is>
          <t>Grid-Constrained / Efficiency-Upside</t>
        </is>
      </c>
      <c r="D3943" s="3" t="inlineStr">
        <is>
          <t>h200_share</t>
        </is>
      </c>
      <c r="E3943" s="3" t="n">
        <v>1</v>
      </c>
      <c r="F3943" s="3" t="inlineStr">
        <is>
          <t>share of inference-serving accelerator load</t>
        </is>
      </c>
      <c r="G3943" s="3" t="inlineStr">
        <is>
          <t>Editable numeric scenario</t>
        </is>
      </c>
      <c r="H3943" s="3" t="inlineStr">
        <is>
          <t>h200_share = gpu_share * default_gpu_generation_mix_h200</t>
        </is>
      </c>
      <c r="I3943" s="3" t="inlineStr">
        <is>
          <t>Default GPU-generation migration assumption; executive workbook allows later manual replacement by company/year/scenario.</t>
        </is>
      </c>
      <c r="J3943" s="3" t="inlineStr">
        <is>
          <t>SRC_SEMIANALYSIS_INFERENCEX; ASSUMP_NUMERIC_ACCELERATOR_MIX</t>
        </is>
      </c>
      <c r="K3943" s="3" t="inlineStr">
        <is>
          <t>ASSUMP_MOE_EFFICIENCY; ASSUMP_CN_CAPACITY_TRANSPARENCY; ASSUMP_NUMERIC_ACCELERATOR_MIX; ASSUMP_INFERENCE_SHARE_NOT_FACT_60; ASSUMP_WORKLOAD_CLASS_MIX; ASSUMP_AGENTIC_CONTEXT_PENALTY</t>
        </is>
      </c>
      <c r="L3943" s="3" t="inlineStr">
        <is>
          <t>Company fleet inventory, accelerator-hours or procurement/deployment records by GPU generation.</t>
        </is>
      </c>
    </row>
    <row r="3944">
      <c r="A3944" s="3" t="inlineStr">
        <is>
          <t>Alibaba</t>
        </is>
      </c>
      <c r="B3944" s="3" t="n">
        <v>2027</v>
      </c>
      <c r="C3944" s="3" t="inlineStr">
        <is>
          <t>Grid-Constrained / Efficiency-Upside</t>
        </is>
      </c>
      <c r="D3944" s="3" t="inlineStr">
        <is>
          <t>b200_share</t>
        </is>
      </c>
      <c r="E3944" s="3" t="n">
        <v>0</v>
      </c>
      <c r="F3944" s="3" t="inlineStr">
        <is>
          <t>share of inference-serving accelerator load</t>
        </is>
      </c>
      <c r="G3944" s="3" t="inlineStr">
        <is>
          <t>Editable numeric scenario</t>
        </is>
      </c>
      <c r="H3944" s="3" t="inlineStr">
        <is>
          <t>b200_share = gpu_share * default_gpu_generation_mix_b200</t>
        </is>
      </c>
      <c r="I3944" s="3" t="inlineStr">
        <is>
          <t>Default GPU-generation migration assumption; executive workbook allows later manual replacement by company/year/scenario.</t>
        </is>
      </c>
      <c r="J3944" s="3" t="inlineStr">
        <is>
          <t>SRC_SEMIANALYSIS_INFERENCEX; ASSUMP_NUMERIC_ACCELERATOR_MIX</t>
        </is>
      </c>
      <c r="K3944" s="3" t="inlineStr">
        <is>
          <t>ASSUMP_MOE_EFFICIENCY; ASSUMP_CN_CAPACITY_TRANSPARENCY; ASSUMP_NUMERIC_ACCELERATOR_MIX; ASSUMP_INFERENCE_SHARE_NOT_FACT_60; ASSUMP_WORKLOAD_CLASS_MIX; ASSUMP_AGENTIC_CONTEXT_PENALTY</t>
        </is>
      </c>
      <c r="L3944" s="3" t="inlineStr">
        <is>
          <t>Company fleet inventory, accelerator-hours or procurement/deployment records by GPU generation.</t>
        </is>
      </c>
    </row>
    <row r="3945">
      <c r="A3945" s="3" t="inlineStr">
        <is>
          <t>Alibaba</t>
        </is>
      </c>
      <c r="B3945" s="3" t="n">
        <v>2027</v>
      </c>
      <c r="C3945" s="3" t="inlineStr">
        <is>
          <t>Grid-Constrained / Efficiency-Upside</t>
        </is>
      </c>
      <c r="D3945" s="3" t="inlineStr">
        <is>
          <t>gb200_share</t>
        </is>
      </c>
      <c r="E3945" s="3" t="n">
        <v>0</v>
      </c>
      <c r="F3945" s="3" t="inlineStr">
        <is>
          <t>share of inference-serving accelerator load</t>
        </is>
      </c>
      <c r="G3945" s="3" t="inlineStr">
        <is>
          <t>Editable numeric scenario</t>
        </is>
      </c>
      <c r="H3945" s="3" t="inlineStr">
        <is>
          <t>gb200_share = gpu_share * default_gpu_generation_mix_gb200</t>
        </is>
      </c>
      <c r="I3945" s="3" t="inlineStr">
        <is>
          <t>Default GPU-generation migration assumption; executive workbook allows later manual replacement by company/year/scenario.</t>
        </is>
      </c>
      <c r="J3945" s="3" t="inlineStr">
        <is>
          <t>SRC_SEMIANALYSIS_INFERENCEX; ASSUMP_NUMERIC_ACCELERATOR_MIX</t>
        </is>
      </c>
      <c r="K3945" s="3" t="inlineStr">
        <is>
          <t>ASSUMP_MOE_EFFICIENCY; ASSUMP_CN_CAPACITY_TRANSPARENCY; ASSUMP_NUMERIC_ACCELERATOR_MIX; ASSUMP_INFERENCE_SHARE_NOT_FACT_60; ASSUMP_WORKLOAD_CLASS_MIX; ASSUMP_AGENTIC_CONTEXT_PENALTY</t>
        </is>
      </c>
      <c r="L3945" s="3" t="inlineStr">
        <is>
          <t>Company fleet inventory, accelerator-hours or procurement/deployment records by GPU generation.</t>
        </is>
      </c>
    </row>
    <row r="3946">
      <c r="A3946" s="3" t="inlineStr">
        <is>
          <t>Alibaba</t>
        </is>
      </c>
      <c r="B3946" s="3" t="n">
        <v>2027</v>
      </c>
      <c r="C3946" s="3" t="inlineStr">
        <is>
          <t>Grid-Constrained / Efficiency-Upside</t>
        </is>
      </c>
      <c r="D3946" s="3" t="inlineStr">
        <is>
          <t>purpose_built_accelerator_share</t>
        </is>
      </c>
      <c r="E3946" s="3" t="n">
        <v>0</v>
      </c>
      <c r="F3946" s="3" t="inlineStr">
        <is>
          <t>share of inference-serving accelerator load</t>
        </is>
      </c>
      <c r="G3946" s="3" t="inlineStr">
        <is>
          <t>Numeric scenario</t>
        </is>
      </c>
      <c r="H3946" s="3" t="inlineStr">
        <is>
          <t>1 - gpu_share</t>
        </is>
      </c>
      <c r="I3946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46" s="3" t="inlineStr">
        <is>
          <t>SRC_QWEN3_GITHUB; SRC_ALIBABA_QWEN_GPU_DEPLOY; SRC_EPOCH_AI_DATA_CENTERS; ASSUMP_NUMERIC_ACCELERATOR_MIX</t>
        </is>
      </c>
      <c r="K3946" s="3" t="inlineStr">
        <is>
          <t>ASSUMP_MOE_EFFICIENCY; ASSUMP_CN_CAPACITY_TRANSPARENCY; ASSUMP_NUMERIC_ACCELERATOR_MIX; ASSUMP_INFERENCE_SHARE_NOT_FACT_60; ASSUMP_WORKLOAD_CLASS_MIX; ASSUMP_AGENTIC_CONTEXT_PENALTY</t>
        </is>
      </c>
      <c r="L3946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47">
      <c r="A3947" s="3" t="inlineStr">
        <is>
          <t>Alibaba</t>
        </is>
      </c>
      <c r="B3947" s="3" t="n">
        <v>2027</v>
      </c>
      <c r="C3947" s="3" t="inlineStr">
        <is>
          <t>Grid-Constrained / Efficiency-Upside</t>
        </is>
      </c>
      <c r="D3947" s="3" t="inlineStr">
        <is>
          <t>fleet_reference_tps_per_mw</t>
        </is>
      </c>
      <c r="E3947" s="3" t="n">
        <v>166591</v>
      </c>
      <c r="F3947" s="3" t="inlineStr">
        <is>
          <t>generated output tokens/sec/MW</t>
        </is>
      </c>
      <c r="G3947" s="3" t="inlineStr">
        <is>
          <t>Fleet-weighted public benchmark reference</t>
        </is>
      </c>
      <c r="H3947" s="3" t="inlineStr">
        <is>
          <t>h200_share*h200_workload_avg + b200_share*b200_workload_avg + gb200_share*gb200_workload_avg + purpose_built_share*purpose_workload_avg</t>
        </is>
      </c>
      <c r="I3947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47" s="3" t="inlineStr">
        <is>
          <t>SRC_SEMIANALYSIS_INFERENCEX; ASSUMP_NUMERIC_ACCELERATOR_MIX; ASSUMP_WORKLOAD_CLASS_MIX; ASSUMP_AGENTIC_CONTEXT_PENALTY</t>
        </is>
      </c>
      <c r="K3947" s="3" t="inlineStr">
        <is>
          <t>ASSUMP_MOE_EFFICIENCY; ASSUMP_CN_CAPACITY_TRANSPARENCY; ASSUMP_NUMERIC_ACCELERATOR_MIX; ASSUMP_INFERENCE_SHARE_NOT_FACT_60; ASSUMP_WORKLOAD_CLASS_MIX; ASSUMP_AGENTIC_CONTEXT_PENALTY</t>
        </is>
      </c>
      <c r="L3947" s="3" t="inlineStr">
        <is>
          <t>Comparable production output-token throughput or a more closely matched benchmark.</t>
        </is>
      </c>
    </row>
    <row r="3948">
      <c r="A3948" s="3" t="inlineStr">
        <is>
          <t>Alibaba</t>
        </is>
      </c>
      <c r="B3948" s="3" t="n">
        <v>2027</v>
      </c>
      <c r="C3948" s="3" t="inlineStr">
        <is>
          <t>Grid-Constrained / Efficiency-Upside</t>
        </is>
      </c>
      <c r="D3948" s="3" t="inlineStr">
        <is>
          <t>commercial_workload_fit_factor</t>
        </is>
      </c>
      <c r="E3948" s="3" t="n">
        <v>0.9</v>
      </c>
      <c r="F3948" s="3" t="inlineStr">
        <is>
          <t>share of public reference throughput</t>
        </is>
      </c>
      <c r="G3948" s="3" t="inlineStr">
        <is>
          <t>Scenario assumption</t>
        </is>
      </c>
      <c r="H3948" s="3" t="inlineStr">
        <is>
          <t>reference_serving_tps_per_mw = fleet_reference_tps_per_mw * commercial_workload_fit_factor</t>
        </is>
      </c>
      <c r="I3948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48" s="3" t="inlineStr">
        <is>
          <t>SRC_SEMIANALYSIS_INFERENCEX; ASSUMP_NUMERIC_ACCELERATOR_MIX; ASSUMP_WORKLOAD_CLASS_MIX; ASSUMP_AGENTIC_CONTEXT_PENALTY</t>
        </is>
      </c>
      <c r="K3948" s="3" t="inlineStr">
        <is>
          <t>ASSUMP_MOE_EFFICIENCY; ASSUMP_CN_CAPACITY_TRANSPARENCY; ASSUMP_NUMERIC_ACCELERATOR_MIX; ASSUMP_INFERENCE_SHARE_NOT_FACT_60; ASSUMP_WORKLOAD_CLASS_MIX; ASSUMP_AGENTIC_CONTEXT_PENALTY</t>
        </is>
      </c>
      <c r="L3948" s="3" t="inlineStr">
        <is>
          <t>Matched commercial serving benchmark by product surface, context shape and latency SLO.</t>
        </is>
      </c>
    </row>
    <row r="3949">
      <c r="A3949" s="3" t="inlineStr">
        <is>
          <t>Alibaba</t>
        </is>
      </c>
      <c r="B3949" s="3" t="n">
        <v>2027</v>
      </c>
      <c r="C3949" s="3" t="inlineStr">
        <is>
          <t>Grid-Constrained / Efficiency-Upside</t>
        </is>
      </c>
      <c r="D3949" s="3" t="inlineStr">
        <is>
          <t>reference_serving_tps_per_mw</t>
        </is>
      </c>
      <c r="E3949" s="3" t="n">
        <v>149932</v>
      </c>
      <c r="F3949" s="3" t="inlineStr">
        <is>
          <t>generated output tokens/sec/MW</t>
        </is>
      </c>
      <c r="G3949" s="3" t="inlineStr">
        <is>
          <t>Workload-adjusted benchmark proxy</t>
        </is>
      </c>
      <c r="H3949" s="3" t="inlineStr">
        <is>
          <t>fleet_reference_tps_per_mw * commercial_workload_fit_factor</t>
        </is>
      </c>
      <c r="I3949" s="3" t="inlineStr">
        <is>
          <t>This is the coefficient used for headline token generation; each GPU's short chat, long chat and agentic TPS/MW are weighted before fleet mix and commercial fit are applied.</t>
        </is>
      </c>
      <c r="J3949" s="3" t="inlineStr">
        <is>
          <t>SRC_SEMIANALYSIS_INFERENCEX; ASSUMP_NUMERIC_ACCELERATOR_MIX; ASSUMP_WORKLOAD_CLASS_MIX; ASSUMP_AGENTIC_CONTEXT_PENALTY</t>
        </is>
      </c>
      <c r="K3949" s="3" t="inlineStr">
        <is>
          <t>ASSUMP_MOE_EFFICIENCY; ASSUMP_CN_CAPACITY_TRANSPARENCY; ASSUMP_NUMERIC_ACCELERATOR_MIX; ASSUMP_INFERENCE_SHARE_NOT_FACT_60; ASSUMP_WORKLOAD_CLASS_MIX; ASSUMP_AGENTIC_CONTEXT_PENALTY</t>
        </is>
      </c>
      <c r="L3949" s="3" t="inlineStr">
        <is>
          <t>Provider production output-token throughput with comparable workload/SLO.</t>
        </is>
      </c>
    </row>
    <row r="3950">
      <c r="A3950" s="3" t="inlineStr">
        <is>
          <t>Alibaba</t>
        </is>
      </c>
      <c r="B3950" s="3" t="n">
        <v>2027</v>
      </c>
      <c r="C3950" s="3" t="inlineStr">
        <is>
          <t>Grid-Constrained / Efficiency-Upside</t>
        </is>
      </c>
      <c r="D3950" s="3" t="inlineStr">
        <is>
          <t>purpose_built_tps_per_mw</t>
        </is>
      </c>
      <c r="E3950" s="3" t="n">
        <v>996060</v>
      </c>
      <c r="F3950" s="3" t="inlineStr">
        <is>
          <t>generated output tokens/sec/MW</t>
        </is>
      </c>
      <c r="G3950" s="3" t="inlineStr">
        <is>
          <t>Conservative no-uplift proxy</t>
        </is>
      </c>
      <c r="H3950" s="3" t="inlineStr">
        <is>
          <t>purpose_built_tps_per_mw = purpose_built_reference_tps_per_mw * commercial_workload_fit_factor until comparable output-token benchmark is adopted</t>
        </is>
      </c>
      <c r="I3950" s="3" t="inlineStr">
        <is>
          <t>No comparable public output-token/MW row adopted; B200 public reference placeholder is used and remains editable.</t>
        </is>
      </c>
      <c r="J3950" s="3" t="inlineStr">
        <is>
          <t>SRC_QWEN3_GITHUB; SRC_ALIBABA_QWEN_GPU_DEPLOY; SRC_EPOCH_AI_DATA_CENTERS; ASSUMP_NUMERIC_ACCELERATOR_MIX</t>
        </is>
      </c>
      <c r="K3950" s="3" t="inlineStr">
        <is>
          <t>ASSUMP_MOE_EFFICIENCY; ASSUMP_CN_CAPACITY_TRANSPARENCY; ASSUMP_NUMERIC_ACCELERATOR_MIX; ASSUMP_INFERENCE_SHARE_NOT_FACT_60; ASSUMP_WORKLOAD_CLASS_MIX; ASSUMP_AGENTIC_CONTEXT_PENALTY</t>
        </is>
      </c>
      <c r="L3950" s="3" t="inlineStr">
        <is>
          <t>Matched-workload generated-output benchmark for the provider purpose-built accelerator.</t>
        </is>
      </c>
    </row>
    <row r="3951">
      <c r="A3951" s="3" t="inlineStr">
        <is>
          <t>Alibaba</t>
        </is>
      </c>
      <c r="B3951" s="3" t="n">
        <v>2027</v>
      </c>
      <c r="C3951" s="3" t="inlineStr">
        <is>
          <t>Grid-Constrained / Efficiency-Upside</t>
        </is>
      </c>
      <c r="D3951" s="3" t="inlineStr">
        <is>
          <t>inference_power_share</t>
        </is>
      </c>
      <c r="E3951" s="3" t="n">
        <v>0.675</v>
      </c>
      <c r="F3951" s="3" t="inlineStr">
        <is>
          <t>share of AI IT load</t>
        </is>
      </c>
      <c r="G3951" s="3" t="inlineStr">
        <is>
          <t>Scenario allocation</t>
        </is>
      </c>
      <c r="H3951" s="3" t="inlineStr">
        <is>
          <t>inference_gw = ai_it_load_gw * inference_power_share</t>
        </is>
      </c>
      <c r="I3951" s="3" t="inlineStr">
        <is>
          <t>Qwen API/enterprise commercialization and MoE architecture support increasing inference allocation scenario.</t>
        </is>
      </c>
      <c r="J3951" s="3" t="inlineStr">
        <is>
          <t>SRC_QWEN3_GITHUB; SRC_ALIBABA_QWEN_GPU_DEPLOY; SRC_EPOCH_AI_DATA_CENTERS; ASSUMP_INFERENCE_SHARE_NOT_FACT_60</t>
        </is>
      </c>
      <c r="K3951" s="3" t="inlineStr">
        <is>
          <t>ASSUMP_MOE_EFFICIENCY; ASSUMP_CN_CAPACITY_TRANSPARENCY; ASSUMP_NUMERIC_ACCELERATOR_MIX; ASSUMP_INFERENCE_SHARE_NOT_FACT_60; ASSUMP_WORKLOAD_CLASS_MIX; ASSUMP_AGENTIC_CONTEXT_PENALTY</t>
        </is>
      </c>
      <c r="L3951" s="3" t="inlineStr">
        <is>
          <t>Provider-specific inference/training workload power telemetry.</t>
        </is>
      </c>
    </row>
    <row r="3952">
      <c r="A3952" s="3" t="inlineStr">
        <is>
          <t>Alibaba</t>
        </is>
      </c>
      <c r="B3952" s="3" t="n">
        <v>2027</v>
      </c>
      <c r="C3952" s="3" t="inlineStr">
        <is>
          <t>Grid-Constrained / Efficiency-Upside</t>
        </is>
      </c>
      <c r="D3952" s="3" t="inlineStr">
        <is>
          <t>inference_gw</t>
        </is>
      </c>
      <c r="E3952" s="3" t="n">
        <v>0.499</v>
      </c>
      <c r="F3952" s="3" t="inlineStr">
        <is>
          <t>GW</t>
        </is>
      </c>
      <c r="G3952" s="3" t="inlineStr">
        <is>
          <t>Derived formula</t>
        </is>
      </c>
      <c r="H3952" s="3" t="inlineStr">
        <is>
          <t>ai_it_load_gw * inference_power_share</t>
        </is>
      </c>
      <c r="I3952" s="3" t="inlineStr">
        <is>
          <t>This is the operational power eligible to become commercial generated output tokens through the selected TPS/MW proxy.</t>
        </is>
      </c>
      <c r="J3952" s="3" t="inlineStr">
        <is>
          <t>SRC_QWEN3_GITHUB; SRC_ALIBABA_QWEN_GPU_DEPLOY; SRC_EPOCH_AI_DATA_CENTERS</t>
        </is>
      </c>
      <c r="K3952" s="3" t="inlineStr">
        <is>
          <t>ASSUMP_MOE_EFFICIENCY; ASSUMP_CN_CAPACITY_TRANSPARENCY; ASSUMP_NUMERIC_ACCELERATOR_MIX; ASSUMP_INFERENCE_SHARE_NOT_FACT_60; ASSUMP_WORKLOAD_CLASS_MIX; ASSUMP_AGENTIC_CONTEXT_PENALTY</t>
        </is>
      </c>
      <c r="L3952" s="3" t="inlineStr">
        <is>
          <t>Recompute after AI allocation or inference-share evidence changes.</t>
        </is>
      </c>
    </row>
    <row r="3953">
      <c r="A3953" s="3" t="inlineStr">
        <is>
          <t>Alibaba</t>
        </is>
      </c>
      <c r="B3953" s="3" t="n">
        <v>2027</v>
      </c>
      <c r="C3953" s="3" t="inlineStr">
        <is>
          <t>Grid-Constrained / Efficiency-Upside</t>
        </is>
      </c>
      <c r="D3953" s="3" t="inlineStr">
        <is>
          <t>training_power_share</t>
        </is>
      </c>
      <c r="E3953" s="3" t="n">
        <v>0.325</v>
      </c>
      <c r="F3953" s="3" t="inlineStr">
        <is>
          <t>share of AI IT load</t>
        </is>
      </c>
      <c r="G3953" s="3" t="inlineStr">
        <is>
          <t>Derived allocation</t>
        </is>
      </c>
      <c r="H3953" s="3" t="inlineStr">
        <is>
          <t>1 - inference_power_share</t>
        </is>
      </c>
      <c r="I3953" s="3" t="inlineStr">
        <is>
          <t>Training receives the complementary modeled AI IT allocation; it is not a disclosed company workload split.</t>
        </is>
      </c>
      <c r="J3953" s="3" t="inlineStr">
        <is>
          <t>SRC_QWEN3_GITHUB; SRC_ALIBABA_QWEN_GPU_DEPLOY; SRC_EPOCH_AI_DATA_CENTERS; ASSUMP_INFERENCE_SHARE_NOT_FACT_60</t>
        </is>
      </c>
      <c r="K3953" s="3" t="inlineStr">
        <is>
          <t>ASSUMP_MOE_EFFICIENCY; ASSUMP_CN_CAPACITY_TRANSPARENCY; ASSUMP_NUMERIC_ACCELERATOR_MIX; ASSUMP_INFERENCE_SHARE_NOT_FACT_60; ASSUMP_WORKLOAD_CLASS_MIX; ASSUMP_AGENTIC_CONTEXT_PENALTY</t>
        </is>
      </c>
      <c r="L3953" s="3" t="inlineStr">
        <is>
          <t>Provider-specific inference/training workload power telemetry.</t>
        </is>
      </c>
    </row>
    <row r="3954">
      <c r="A3954" s="3" t="inlineStr">
        <is>
          <t>Alibaba</t>
        </is>
      </c>
      <c r="B3954" s="3" t="n">
        <v>2027</v>
      </c>
      <c r="C3954" s="3" t="inlineStr">
        <is>
          <t>Grid-Constrained / Efficiency-Upside</t>
        </is>
      </c>
      <c r="D3954" s="3" t="inlineStr">
        <is>
          <t>training_gw</t>
        </is>
      </c>
      <c r="E3954" s="3" t="n">
        <v>0.24</v>
      </c>
      <c r="F3954" s="3" t="inlineStr">
        <is>
          <t>GW</t>
        </is>
      </c>
      <c r="G3954" s="3" t="inlineStr">
        <is>
          <t>Derived formula</t>
        </is>
      </c>
      <c r="H3954" s="3" t="inlineStr">
        <is>
          <t>ai_it_load_gw * training_power_share</t>
        </is>
      </c>
      <c r="I3954" s="3" t="inlineStr">
        <is>
          <t>Training GW is shown separately so commercial inference token capacity is not overstated.</t>
        </is>
      </c>
      <c r="J3954" s="3" t="inlineStr">
        <is>
          <t>SRC_QWEN3_GITHUB; SRC_ALIBABA_QWEN_GPU_DEPLOY; SRC_EPOCH_AI_DATA_CENTERS</t>
        </is>
      </c>
      <c r="K3954" s="3" t="inlineStr">
        <is>
          <t>ASSUMP_MOE_EFFICIENCY; ASSUMP_CN_CAPACITY_TRANSPARENCY; ASSUMP_NUMERIC_ACCELERATOR_MIX; ASSUMP_INFERENCE_SHARE_NOT_FACT_60; ASSUMP_WORKLOAD_CLASS_MIX; ASSUMP_AGENTIC_CONTEXT_PENALTY</t>
        </is>
      </c>
      <c r="L3954" s="3" t="inlineStr">
        <is>
          <t>Recompute after AI allocation or workload-split evidence changes.</t>
        </is>
      </c>
    </row>
    <row r="3955">
      <c r="A3955" s="3" t="inlineStr">
        <is>
          <t>Alibaba</t>
        </is>
      </c>
      <c r="B3955" s="3" t="n">
        <v>2027</v>
      </c>
      <c r="C3955" s="3" t="inlineStr">
        <is>
          <t>Grid-Constrained / Efficiency-Upside</t>
        </is>
      </c>
      <c r="D3955" s="3" t="inlineStr">
        <is>
          <t>tokens_per_second_per_mw</t>
        </is>
      </c>
      <c r="E3955" s="3" t="n">
        <v>149932</v>
      </c>
      <c r="F3955" s="3" t="inlineStr">
        <is>
          <t>generated output tokens/sec/MW</t>
        </is>
      </c>
      <c r="G3955" s="3" t="inlineStr">
        <is>
          <t>Derived estimate + benchmark calibration</t>
        </is>
      </c>
      <c r="H3955" s="3" t="inlineStr">
        <is>
          <t>fleet_reference_tps_per_mw * commercial_workload_fit_factor</t>
        </is>
      </c>
      <c r="I3955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55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3955" s="3" t="inlineStr">
        <is>
          <t>ASSUMP_MOE_EFFICIENCY; ASSUMP_CN_CAPACITY_TRANSPARENCY; ASSUMP_NUMERIC_ACCELERATOR_MIX; ASSUMP_INFERENCE_SHARE_NOT_FACT_60; ASSUMP_WORKLOAD_CLASS_MIX; ASSUMP_AGENTIC_CONTEXT_PENALTY</t>
        </is>
      </c>
      <c r="L3955" s="3" t="inlineStr">
        <is>
          <t>Comparable production output-token throughput with model, hardware, precision, ISL/OSL and SLO matched.</t>
        </is>
      </c>
    </row>
    <row r="3956">
      <c r="A3956" s="3" t="inlineStr">
        <is>
          <t>Alibaba</t>
        </is>
      </c>
      <c r="B3956" s="3" t="n">
        <v>2027</v>
      </c>
      <c r="C3956" s="3" t="inlineStr">
        <is>
          <t>Grid-Constrained / Efficiency-Upside</t>
        </is>
      </c>
      <c r="D3956" s="3" t="inlineStr">
        <is>
          <t>inference_tokens_per_day</t>
        </is>
      </c>
      <c r="E3956" s="3" t="n">
        <v>6464108275200</v>
      </c>
      <c r="F3956" s="3" t="inlineStr">
        <is>
          <t>generated output tokens/day</t>
        </is>
      </c>
      <c r="G3956" s="3" t="inlineStr">
        <is>
          <t>Derived headline metric</t>
        </is>
      </c>
      <c r="H3956" s="3" t="inlineStr">
        <is>
          <t>inference_gw * 1000 * tokens_per_second_per_mw * 86,400</t>
        </is>
      </c>
      <c r="I3956" s="3" t="inlineStr">
        <is>
          <t>Headline capacity uses no utilization, MoE, architecture or software-growth multiplier; it is not observed commercial output volume.</t>
        </is>
      </c>
      <c r="J3956" s="3" t="inlineStr">
        <is>
          <t>SRC_QWEN3_GITHUB; SRC_ALIBABA_QWEN_GPU_DEPLOY; SRC_EPOCH_AI_DATA_CENTERS; SRC_SEMIANALYSIS_INFERENCEX</t>
        </is>
      </c>
      <c r="K3956" s="3" t="inlineStr">
        <is>
          <t>ASSUMP_MOE_EFFICIENCY; ASSUMP_CN_CAPACITY_TRANSPARENCY; ASSUMP_NUMERIC_ACCELERATOR_MIX; ASSUMP_INFERENCE_SHARE_NOT_FACT_60; ASSUMP_WORKLOAD_CLASS_MIX; ASSUMP_AGENTIC_CONTEXT_PENALTY</t>
        </is>
      </c>
      <c r="L3956" s="3" t="inlineStr">
        <is>
          <t>Provider-disclosed generated output token volume or calibrated capacity telemetry.</t>
        </is>
      </c>
    </row>
    <row r="3957">
      <c r="A3957" s="3" t="inlineStr">
        <is>
          <t>Alibaba</t>
        </is>
      </c>
      <c r="B3957" s="3" t="n">
        <v>2027</v>
      </c>
      <c r="C3957" s="3" t="inlineStr">
        <is>
          <t>Grid-Constrained / Efficiency-Upside</t>
        </is>
      </c>
      <c r="D3957" s="3" t="inlineStr">
        <is>
          <t>inference_tokens_per_year</t>
        </is>
      </c>
      <c r="E3957" s="3" t="n">
        <v>2359399520448000</v>
      </c>
      <c r="F3957" s="3" t="inlineStr">
        <is>
          <t>generated output tokens/year</t>
        </is>
      </c>
      <c r="G3957" s="3" t="inlineStr">
        <is>
          <t>Derived headline metric</t>
        </is>
      </c>
      <c r="H3957" s="3" t="inlineStr">
        <is>
          <t>inference_tokens_per_day * 365</t>
        </is>
      </c>
      <c r="I3957" s="3" t="inlineStr">
        <is>
          <t>Annualized version of generated output token capacity; it is not observed annual demand or billable volume.</t>
        </is>
      </c>
      <c r="J3957" s="3" t="inlineStr">
        <is>
          <t>SRC_QWEN3_GITHUB; SRC_ALIBABA_QWEN_GPU_DEPLOY; SRC_EPOCH_AI_DATA_CENTERS; SRC_SEMIANALYSIS_INFERENCEX</t>
        </is>
      </c>
      <c r="K3957" s="3" t="inlineStr">
        <is>
          <t>ASSUMP_MOE_EFFICIENCY; ASSUMP_CN_CAPACITY_TRANSPARENCY; ASSUMP_NUMERIC_ACCELERATOR_MIX; ASSUMP_INFERENCE_SHARE_NOT_FACT_60; ASSUMP_WORKLOAD_CLASS_MIX; ASSUMP_AGENTIC_CONTEXT_PENALTY</t>
        </is>
      </c>
      <c r="L3957" s="3" t="inlineStr">
        <is>
          <t>Provider-disclosed annual generated-output volume or metered serving telemetry.</t>
        </is>
      </c>
    </row>
    <row r="3958">
      <c r="A3958" s="3" t="inlineStr">
        <is>
          <t>Alibaba</t>
        </is>
      </c>
      <c r="B3958" s="3" t="n">
        <v>2028</v>
      </c>
      <c r="C3958" s="3" t="inlineStr">
        <is>
          <t>Grid-Constrained / Efficiency-Upside</t>
        </is>
      </c>
      <c r="D3958" s="3" t="inlineStr">
        <is>
          <t>contracted_power_gw</t>
        </is>
      </c>
      <c r="E3958" s="3" t="n">
        <v>2.9</v>
      </c>
      <c r="F3958" s="3" t="inlineStr">
        <is>
          <t>GW</t>
        </is>
      </c>
      <c r="G3958" s="3" t="inlineStr">
        <is>
          <t>Scenario capacity envelope</t>
        </is>
      </c>
      <c r="H3958" s="3" t="inlineStr">
        <is>
          <t>linear interpolation between 2026 and 2030 company capacity endpoints</t>
        </is>
      </c>
      <c r="I3958" s="3" t="inlineStr">
        <is>
          <t>Alibaba Cloud/Qwen capacity is a scenario envelope; official model and deployment documentation does not state operated GW.</t>
        </is>
      </c>
      <c r="J3958" s="3" t="inlineStr">
        <is>
          <t>SRC_ALIBABA_QWEN_GPU_DEPLOY; ASSUMP_CN_CAPACITY_TRANSPARENCY</t>
        </is>
      </c>
      <c r="K3958" s="3" t="inlineStr">
        <is>
          <t>ASSUMP_MOE_EFFICIENCY; ASSUMP_CN_CAPACITY_TRANSPARENCY; ASSUMP_NUMERIC_ACCELERATOR_MIX; ASSUMP_INFERENCE_SHARE_NOT_FACT_60; ASSUMP_WORKLOAD_CLASS_MIX; ASSUMP_AGENTIC_CONTEXT_PENALTY</t>
        </is>
      </c>
      <c r="L3958" s="3" t="inlineStr">
        <is>
          <t>Company/site-level committed MW/GW, interconnect and contract disclosure.</t>
        </is>
      </c>
    </row>
    <row r="3959">
      <c r="A3959" s="3" t="inlineStr">
        <is>
          <t>Alibaba</t>
        </is>
      </c>
      <c r="B3959" s="3" t="n">
        <v>2028</v>
      </c>
      <c r="C3959" s="3" t="inlineStr">
        <is>
          <t>Grid-Constrained / Efficiency-Upside</t>
        </is>
      </c>
      <c r="D3959" s="3" t="inlineStr">
        <is>
          <t>operational_deployment_share</t>
        </is>
      </c>
      <c r="E3959" s="3" t="n">
        <v>0.53103448</v>
      </c>
      <c r="F3959" s="3" t="inlineStr">
        <is>
          <t>share</t>
        </is>
      </c>
      <c r="G3959" s="3" t="inlineStr">
        <is>
          <t>Scenario conversion</t>
        </is>
      </c>
      <c r="H3959" s="3" t="inlineStr">
        <is>
          <t>active_power_gw / contracted_power_gw</t>
        </is>
      </c>
      <c r="I3959" s="3" t="inlineStr">
        <is>
          <t>This is the single explicit conversion from contracted/attributed capacity to operationally usable capacity.</t>
        </is>
      </c>
      <c r="J3959" s="3" t="inlineStr">
        <is>
          <t>SRC_ALIBABA_QWEN_GPU_DEPLOY; ASSUMP_CN_CAPACITY_TRANSPARENCY</t>
        </is>
      </c>
      <c r="K3959" s="3" t="inlineStr">
        <is>
          <t>ASSUMP_MOE_EFFICIENCY; ASSUMP_CN_CAPACITY_TRANSPARENCY; ASSUMP_NUMERIC_ACCELERATOR_MIX; ASSUMP_INFERENCE_SHARE_NOT_FACT_60; ASSUMP_WORKLOAD_CLASS_MIX; ASSUMP_AGENTIC_CONTEXT_PENALTY</t>
        </is>
      </c>
      <c r="L3959" s="3" t="inlineStr">
        <is>
          <t>Energized operational capacity divided by contracted/attributed capacity.</t>
        </is>
      </c>
    </row>
    <row r="3960">
      <c r="A3960" s="3" t="inlineStr">
        <is>
          <t>Alibaba</t>
        </is>
      </c>
      <c r="B3960" s="3" t="n">
        <v>2028</v>
      </c>
      <c r="C3960" s="3" t="inlineStr">
        <is>
          <t>Grid-Constrained / Efficiency-Upside</t>
        </is>
      </c>
      <c r="D3960" s="3" t="inlineStr">
        <is>
          <t>active_power_gw</t>
        </is>
      </c>
      <c r="E3960" s="3" t="n">
        <v>1.54</v>
      </c>
      <c r="F3960" s="3" t="inlineStr">
        <is>
          <t>GW</t>
        </is>
      </c>
      <c r="G3960" s="3" t="inlineStr">
        <is>
          <t>Derived scenario</t>
        </is>
      </c>
      <c r="H3960" s="3" t="inlineStr">
        <is>
          <t>contracted_power_gw * operational_deployment_share</t>
        </is>
      </c>
      <c r="I3960" s="3" t="inlineStr">
        <is>
          <t>Active GW is staged below capacity due to undisclosed accelerator allocation and cloud multi-tenant use.</t>
        </is>
      </c>
      <c r="J3960" s="3" t="inlineStr">
        <is>
          <t>SRC_ALIBABA_QWEN_GPU_DEPLOY; ASSUMP_CN_CAPACITY_TRANSPARENCY</t>
        </is>
      </c>
      <c r="K3960" s="3" t="inlineStr">
        <is>
          <t>ASSUMP_MOE_EFFICIENCY; ASSUMP_CN_CAPACITY_TRANSPARENCY; ASSUMP_NUMERIC_ACCELERATOR_MIX; ASSUMP_INFERENCE_SHARE_NOT_FACT_60; ASSUMP_WORKLOAD_CLASS_MIX; ASSUMP_AGENTIC_CONTEXT_PENALTY</t>
        </is>
      </c>
      <c r="L3960" s="3" t="inlineStr">
        <is>
          <t>Energization dates, accelerator deliveries and operational powered-rack telemetry.</t>
        </is>
      </c>
    </row>
    <row r="3961">
      <c r="A3961" s="3" t="inlineStr">
        <is>
          <t>Alibaba</t>
        </is>
      </c>
      <c r="B3961" s="3" t="n">
        <v>2028</v>
      </c>
      <c r="C3961" s="3" t="inlineStr">
        <is>
          <t>Grid-Constrained / Efficiency-Upside</t>
        </is>
      </c>
      <c r="D3961" s="3" t="inlineStr">
        <is>
          <t>pue</t>
        </is>
      </c>
      <c r="E3961" s="3" t="n">
        <v>1.23</v>
      </c>
      <c r="F3961" s="3" t="inlineStr">
        <is>
          <t>ratio</t>
        </is>
      </c>
      <c r="G3961" s="3" t="inlineStr">
        <is>
          <t>Scenario parameter</t>
        </is>
      </c>
      <c r="H3961" s="3" t="inlineStr">
        <is>
          <t>it_load_gw = active_power_gw / pue</t>
        </is>
      </c>
      <c r="I3961" s="3" t="inlineStr">
        <is>
          <t>No provider-wide site-level PUE is used as a disclosed fact; PUE represents facility-to-IT conversion within the scenario.</t>
        </is>
      </c>
      <c r="J3961" s="3" t="inlineStr">
        <is>
          <t>ASSUMP_POWER_RAMP</t>
        </is>
      </c>
      <c r="K3961" s="3" t="inlineStr">
        <is>
          <t>ASSUMP_MOE_EFFICIENCY; ASSUMP_CN_CAPACITY_TRANSPARENCY; ASSUMP_NUMERIC_ACCELERATOR_MIX; ASSUMP_INFERENCE_SHARE_NOT_FACT_60; ASSUMP_WORKLOAD_CLASS_MIX; ASSUMP_AGENTIC_CONTEXT_PENALTY</t>
        </is>
      </c>
      <c r="L3961" s="3" t="inlineStr">
        <is>
          <t>Site-level measured PUE matched to attributed AI capacity.</t>
        </is>
      </c>
    </row>
    <row r="3962">
      <c r="A3962" s="3" t="inlineStr">
        <is>
          <t>Alibaba</t>
        </is>
      </c>
      <c r="B3962" s="3" t="n">
        <v>2028</v>
      </c>
      <c r="C3962" s="3" t="inlineStr">
        <is>
          <t>Grid-Constrained / Efficiency-Upside</t>
        </is>
      </c>
      <c r="D3962" s="3" t="inlineStr">
        <is>
          <t>it_load_gw</t>
        </is>
      </c>
      <c r="E3962" s="3" t="n">
        <v>1.252</v>
      </c>
      <c r="F3962" s="3" t="inlineStr">
        <is>
          <t>GW</t>
        </is>
      </c>
      <c r="G3962" s="3" t="inlineStr">
        <is>
          <t>Derived formula</t>
        </is>
      </c>
      <c r="H3962" s="3" t="inlineStr">
        <is>
          <t>active_power_gw / pue</t>
        </is>
      </c>
      <c r="I3962" s="3" t="inlineStr">
        <is>
          <t>Facility power is converted to IT-deliverable power before attributing AI workloads.</t>
        </is>
      </c>
      <c r="J3962" s="3" t="inlineStr">
        <is>
          <t>SRC_ALIBABA_QWEN_GPU_DEPLOY; ASSUMP_CN_CAPACITY_TRANSPARENCY</t>
        </is>
      </c>
      <c r="K3962" s="3" t="inlineStr">
        <is>
          <t>ASSUMP_MOE_EFFICIENCY; ASSUMP_CN_CAPACITY_TRANSPARENCY; ASSUMP_NUMERIC_ACCELERATOR_MIX; ASSUMP_INFERENCE_SHARE_NOT_FACT_60; ASSUMP_WORKLOAD_CLASS_MIX; ASSUMP_AGENTIC_CONTEXT_PENALTY</t>
        </is>
      </c>
      <c r="L3962" s="3" t="inlineStr">
        <is>
          <t>Recompute once active power and PUE become site-observable.</t>
        </is>
      </c>
    </row>
    <row r="3963">
      <c r="A3963" s="3" t="inlineStr">
        <is>
          <t>Alibaba</t>
        </is>
      </c>
      <c r="B3963" s="3" t="n">
        <v>2028</v>
      </c>
      <c r="C3963" s="3" t="inlineStr">
        <is>
          <t>Grid-Constrained / Efficiency-Upside</t>
        </is>
      </c>
      <c r="D3963" s="3" t="inlineStr">
        <is>
          <t>ai_workload_share</t>
        </is>
      </c>
      <c r="E3963" s="3" t="n">
        <v>0.84</v>
      </c>
      <c r="F3963" s="3" t="inlineStr">
        <is>
          <t>share</t>
        </is>
      </c>
      <c r="G3963" s="3" t="inlineStr">
        <is>
          <t>Scenario allocation</t>
        </is>
      </c>
      <c r="H3963" s="3" t="inlineStr">
        <is>
          <t>ai_it_load_gw = it_load_gw * ai_workload_share</t>
        </is>
      </c>
      <c r="I3963" s="3" t="inlineStr">
        <is>
          <t>Model Studio/Qwen-serving envelope is AI-focused, while cloud platform/reserve allocation is excluded through 84%.</t>
        </is>
      </c>
      <c r="J3963" s="3" t="inlineStr">
        <is>
          <t>SRC_QWEN3_GITHUB; SRC_ALIBABA_QWEN_GPU_DEPLOY; SRC_EPOCH_AI_DATA_CENTERS</t>
        </is>
      </c>
      <c r="K3963" s="3" t="inlineStr">
        <is>
          <t>ASSUMP_MOE_EFFICIENCY; ASSUMP_CN_CAPACITY_TRANSPARENCY; ASSUMP_NUMERIC_ACCELERATOR_MIX; ASSUMP_INFERENCE_SHARE_NOT_FACT_60; ASSUMP_WORKLOAD_CLASS_MIX; ASSUMP_AGENTIC_CONTEXT_PENALTY</t>
        </is>
      </c>
      <c r="L3963" s="3" t="inlineStr">
        <is>
          <t>Model-owner AI workload allocation or cluster scheduling telemetry.</t>
        </is>
      </c>
    </row>
    <row r="3964">
      <c r="A3964" s="3" t="inlineStr">
        <is>
          <t>Alibaba</t>
        </is>
      </c>
      <c r="B3964" s="3" t="n">
        <v>2028</v>
      </c>
      <c r="C3964" s="3" t="inlineStr">
        <is>
          <t>Grid-Constrained / Efficiency-Upside</t>
        </is>
      </c>
      <c r="D3964" s="3" t="inlineStr">
        <is>
          <t>ai_it_load_gw</t>
        </is>
      </c>
      <c r="E3964" s="3" t="n">
        <v>1.052</v>
      </c>
      <c r="F3964" s="3" t="inlineStr">
        <is>
          <t>GW</t>
        </is>
      </c>
      <c r="G3964" s="3" t="inlineStr">
        <is>
          <t>Derived formula</t>
        </is>
      </c>
      <c r="H3964" s="3" t="inlineStr">
        <is>
          <t>it_load_gw * ai_workload_share</t>
        </is>
      </c>
      <c r="I3964" s="3" t="inlineStr">
        <is>
          <t>Only the AI-attributed portion of IT load enters training/inference allocation.</t>
        </is>
      </c>
      <c r="J3964" s="3" t="inlineStr">
        <is>
          <t>SRC_QWEN3_GITHUB; SRC_ALIBABA_QWEN_GPU_DEPLOY; SRC_EPOCH_AI_DATA_CENTERS</t>
        </is>
      </c>
      <c r="K3964" s="3" t="inlineStr">
        <is>
          <t>ASSUMP_MOE_EFFICIENCY; ASSUMP_CN_CAPACITY_TRANSPARENCY; ASSUMP_NUMERIC_ACCELERATOR_MIX; ASSUMP_INFERENCE_SHARE_NOT_FACT_60; ASSUMP_WORKLOAD_CLASS_MIX; ASSUMP_AGENTIC_CONTEXT_PENALTY</t>
        </is>
      </c>
      <c r="L3964" s="3" t="inlineStr">
        <is>
          <t>Recompute after ai_workload_share is replaced by telemetry.</t>
        </is>
      </c>
    </row>
    <row r="3965">
      <c r="A3965" s="3" t="inlineStr">
        <is>
          <t>Alibaba</t>
        </is>
      </c>
      <c r="B3965" s="3" t="n">
        <v>2028</v>
      </c>
      <c r="C3965" s="3" t="inlineStr">
        <is>
          <t>Grid-Constrained / Efficiency-Upside</t>
        </is>
      </c>
      <c r="D3965" s="3" t="inlineStr">
        <is>
          <t>gpu_share</t>
        </is>
      </c>
      <c r="E3965" s="3" t="n">
        <v>1</v>
      </c>
      <c r="F3965" s="3" t="inlineStr">
        <is>
          <t>share of inference-serving accelerator load</t>
        </is>
      </c>
      <c r="G3965" s="3" t="inlineStr">
        <is>
          <t>Numeric scenario</t>
        </is>
      </c>
      <c r="H3965" s="3" t="inlineStr">
        <is>
          <t>gpu_share interpolated from company 2026/2030 accelerator-mix endpoints</t>
        </is>
      </c>
      <c r="I3965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65" s="3" t="inlineStr">
        <is>
          <t>SRC_QWEN3_GITHUB; SRC_ALIBABA_QWEN_GPU_DEPLOY; SRC_EPOCH_AI_DATA_CENTERS; ASSUMP_NUMERIC_ACCELERATOR_MIX</t>
        </is>
      </c>
      <c r="K3965" s="3" t="inlineStr">
        <is>
          <t>ASSUMP_MOE_EFFICIENCY; ASSUMP_CN_CAPACITY_TRANSPARENCY; ASSUMP_NUMERIC_ACCELERATOR_MIX; ASSUMP_INFERENCE_SHARE_NOT_FACT_60; ASSUMP_WORKLOAD_CLASS_MIX; ASSUMP_AGENTIC_CONTEXT_PENALTY</t>
        </is>
      </c>
      <c r="L3965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66">
      <c r="A3966" s="3" t="inlineStr">
        <is>
          <t>Alibaba</t>
        </is>
      </c>
      <c r="B3966" s="3" t="n">
        <v>2028</v>
      </c>
      <c r="C3966" s="3" t="inlineStr">
        <is>
          <t>Grid-Constrained / Efficiency-Upside</t>
        </is>
      </c>
      <c r="D3966" s="3" t="inlineStr">
        <is>
          <t>h200_share</t>
        </is>
      </c>
      <c r="E3966" s="3" t="n">
        <v>1</v>
      </c>
      <c r="F3966" s="3" t="inlineStr">
        <is>
          <t>share of inference-serving accelerator load</t>
        </is>
      </c>
      <c r="G3966" s="3" t="inlineStr">
        <is>
          <t>Editable numeric scenario</t>
        </is>
      </c>
      <c r="H3966" s="3" t="inlineStr">
        <is>
          <t>h200_share = gpu_share * default_gpu_generation_mix_h200</t>
        </is>
      </c>
      <c r="I3966" s="3" t="inlineStr">
        <is>
          <t>Default GPU-generation migration assumption; executive workbook allows later manual replacement by company/year/scenario.</t>
        </is>
      </c>
      <c r="J3966" s="3" t="inlineStr">
        <is>
          <t>SRC_SEMIANALYSIS_INFERENCEX; ASSUMP_NUMERIC_ACCELERATOR_MIX</t>
        </is>
      </c>
      <c r="K3966" s="3" t="inlineStr">
        <is>
          <t>ASSUMP_MOE_EFFICIENCY; ASSUMP_CN_CAPACITY_TRANSPARENCY; ASSUMP_NUMERIC_ACCELERATOR_MIX; ASSUMP_INFERENCE_SHARE_NOT_FACT_60; ASSUMP_WORKLOAD_CLASS_MIX; ASSUMP_AGENTIC_CONTEXT_PENALTY</t>
        </is>
      </c>
      <c r="L3966" s="3" t="inlineStr">
        <is>
          <t>Company fleet inventory, accelerator-hours or procurement/deployment records by GPU generation.</t>
        </is>
      </c>
    </row>
    <row r="3967">
      <c r="A3967" s="3" t="inlineStr">
        <is>
          <t>Alibaba</t>
        </is>
      </c>
      <c r="B3967" s="3" t="n">
        <v>2028</v>
      </c>
      <c r="C3967" s="3" t="inlineStr">
        <is>
          <t>Grid-Constrained / Efficiency-Upside</t>
        </is>
      </c>
      <c r="D3967" s="3" t="inlineStr">
        <is>
          <t>b200_share</t>
        </is>
      </c>
      <c r="E3967" s="3" t="n">
        <v>0</v>
      </c>
      <c r="F3967" s="3" t="inlineStr">
        <is>
          <t>share of inference-serving accelerator load</t>
        </is>
      </c>
      <c r="G3967" s="3" t="inlineStr">
        <is>
          <t>Editable numeric scenario</t>
        </is>
      </c>
      <c r="H3967" s="3" t="inlineStr">
        <is>
          <t>b200_share = gpu_share * default_gpu_generation_mix_b200</t>
        </is>
      </c>
      <c r="I3967" s="3" t="inlineStr">
        <is>
          <t>Default GPU-generation migration assumption; executive workbook allows later manual replacement by company/year/scenario.</t>
        </is>
      </c>
      <c r="J3967" s="3" t="inlineStr">
        <is>
          <t>SRC_SEMIANALYSIS_INFERENCEX; ASSUMP_NUMERIC_ACCELERATOR_MIX</t>
        </is>
      </c>
      <c r="K3967" s="3" t="inlineStr">
        <is>
          <t>ASSUMP_MOE_EFFICIENCY; ASSUMP_CN_CAPACITY_TRANSPARENCY; ASSUMP_NUMERIC_ACCELERATOR_MIX; ASSUMP_INFERENCE_SHARE_NOT_FACT_60; ASSUMP_WORKLOAD_CLASS_MIX; ASSUMP_AGENTIC_CONTEXT_PENALTY</t>
        </is>
      </c>
      <c r="L3967" s="3" t="inlineStr">
        <is>
          <t>Company fleet inventory, accelerator-hours or procurement/deployment records by GPU generation.</t>
        </is>
      </c>
    </row>
    <row r="3968">
      <c r="A3968" s="3" t="inlineStr">
        <is>
          <t>Alibaba</t>
        </is>
      </c>
      <c r="B3968" s="3" t="n">
        <v>2028</v>
      </c>
      <c r="C3968" s="3" t="inlineStr">
        <is>
          <t>Grid-Constrained / Efficiency-Upside</t>
        </is>
      </c>
      <c r="D3968" s="3" t="inlineStr">
        <is>
          <t>gb200_share</t>
        </is>
      </c>
      <c r="E3968" s="3" t="n">
        <v>0</v>
      </c>
      <c r="F3968" s="3" t="inlineStr">
        <is>
          <t>share of inference-serving accelerator load</t>
        </is>
      </c>
      <c r="G3968" s="3" t="inlineStr">
        <is>
          <t>Editable numeric scenario</t>
        </is>
      </c>
      <c r="H3968" s="3" t="inlineStr">
        <is>
          <t>gb200_share = gpu_share * default_gpu_generation_mix_gb200</t>
        </is>
      </c>
      <c r="I3968" s="3" t="inlineStr">
        <is>
          <t>Default GPU-generation migration assumption; executive workbook allows later manual replacement by company/year/scenario.</t>
        </is>
      </c>
      <c r="J3968" s="3" t="inlineStr">
        <is>
          <t>SRC_SEMIANALYSIS_INFERENCEX; ASSUMP_NUMERIC_ACCELERATOR_MIX</t>
        </is>
      </c>
      <c r="K3968" s="3" t="inlineStr">
        <is>
          <t>ASSUMP_MOE_EFFICIENCY; ASSUMP_CN_CAPACITY_TRANSPARENCY; ASSUMP_NUMERIC_ACCELERATOR_MIX; ASSUMP_INFERENCE_SHARE_NOT_FACT_60; ASSUMP_WORKLOAD_CLASS_MIX; ASSUMP_AGENTIC_CONTEXT_PENALTY</t>
        </is>
      </c>
      <c r="L3968" s="3" t="inlineStr">
        <is>
          <t>Company fleet inventory, accelerator-hours or procurement/deployment records by GPU generation.</t>
        </is>
      </c>
    </row>
    <row r="3969">
      <c r="A3969" s="3" t="inlineStr">
        <is>
          <t>Alibaba</t>
        </is>
      </c>
      <c r="B3969" s="3" t="n">
        <v>2028</v>
      </c>
      <c r="C3969" s="3" t="inlineStr">
        <is>
          <t>Grid-Constrained / Efficiency-Upside</t>
        </is>
      </c>
      <c r="D3969" s="3" t="inlineStr">
        <is>
          <t>purpose_built_accelerator_share</t>
        </is>
      </c>
      <c r="E3969" s="3" t="n">
        <v>0</v>
      </c>
      <c r="F3969" s="3" t="inlineStr">
        <is>
          <t>share of inference-serving accelerator load</t>
        </is>
      </c>
      <c r="G3969" s="3" t="inlineStr">
        <is>
          <t>Numeric scenario</t>
        </is>
      </c>
      <c r="H3969" s="3" t="inlineStr">
        <is>
          <t>1 - gpu_share</t>
        </is>
      </c>
      <c r="I3969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69" s="3" t="inlineStr">
        <is>
          <t>SRC_QWEN3_GITHUB; SRC_ALIBABA_QWEN_GPU_DEPLOY; SRC_EPOCH_AI_DATA_CENTERS; ASSUMP_NUMERIC_ACCELERATOR_MIX</t>
        </is>
      </c>
      <c r="K3969" s="3" t="inlineStr">
        <is>
          <t>ASSUMP_MOE_EFFICIENCY; ASSUMP_CN_CAPACITY_TRANSPARENCY; ASSUMP_NUMERIC_ACCELERATOR_MIX; ASSUMP_INFERENCE_SHARE_NOT_FACT_60; ASSUMP_WORKLOAD_CLASS_MIX; ASSUMP_AGENTIC_CONTEXT_PENALTY</t>
        </is>
      </c>
      <c r="L3969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70">
      <c r="A3970" s="3" t="inlineStr">
        <is>
          <t>Alibaba</t>
        </is>
      </c>
      <c r="B3970" s="3" t="n">
        <v>2028</v>
      </c>
      <c r="C3970" s="3" t="inlineStr">
        <is>
          <t>Grid-Constrained / Efficiency-Upside</t>
        </is>
      </c>
      <c r="D3970" s="3" t="inlineStr">
        <is>
          <t>fleet_reference_tps_per_mw</t>
        </is>
      </c>
      <c r="E3970" s="3" t="n">
        <v>166591</v>
      </c>
      <c r="F3970" s="3" t="inlineStr">
        <is>
          <t>generated output tokens/sec/MW</t>
        </is>
      </c>
      <c r="G3970" s="3" t="inlineStr">
        <is>
          <t>Fleet-weighted public benchmark reference</t>
        </is>
      </c>
      <c r="H3970" s="3" t="inlineStr">
        <is>
          <t>h200_share*h200_workload_avg + b200_share*b200_workload_avg + gb200_share*gb200_workload_avg + purpose_built_share*purpose_workload_avg</t>
        </is>
      </c>
      <c r="I3970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70" s="3" t="inlineStr">
        <is>
          <t>SRC_SEMIANALYSIS_INFERENCEX; ASSUMP_NUMERIC_ACCELERATOR_MIX; ASSUMP_WORKLOAD_CLASS_MIX; ASSUMP_AGENTIC_CONTEXT_PENALTY</t>
        </is>
      </c>
      <c r="K3970" s="3" t="inlineStr">
        <is>
          <t>ASSUMP_MOE_EFFICIENCY; ASSUMP_CN_CAPACITY_TRANSPARENCY; ASSUMP_NUMERIC_ACCELERATOR_MIX; ASSUMP_INFERENCE_SHARE_NOT_FACT_60; ASSUMP_WORKLOAD_CLASS_MIX; ASSUMP_AGENTIC_CONTEXT_PENALTY</t>
        </is>
      </c>
      <c r="L3970" s="3" t="inlineStr">
        <is>
          <t>Comparable production output-token throughput or a more closely matched benchmark.</t>
        </is>
      </c>
    </row>
    <row r="3971">
      <c r="A3971" s="3" t="inlineStr">
        <is>
          <t>Alibaba</t>
        </is>
      </c>
      <c r="B3971" s="3" t="n">
        <v>2028</v>
      </c>
      <c r="C3971" s="3" t="inlineStr">
        <is>
          <t>Grid-Constrained / Efficiency-Upside</t>
        </is>
      </c>
      <c r="D3971" s="3" t="inlineStr">
        <is>
          <t>commercial_workload_fit_factor</t>
        </is>
      </c>
      <c r="E3971" s="3" t="n">
        <v>0.9</v>
      </c>
      <c r="F3971" s="3" t="inlineStr">
        <is>
          <t>share of public reference throughput</t>
        </is>
      </c>
      <c r="G3971" s="3" t="inlineStr">
        <is>
          <t>Scenario assumption</t>
        </is>
      </c>
      <c r="H3971" s="3" t="inlineStr">
        <is>
          <t>reference_serving_tps_per_mw = fleet_reference_tps_per_mw * commercial_workload_fit_factor</t>
        </is>
      </c>
      <c r="I3971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71" s="3" t="inlineStr">
        <is>
          <t>SRC_SEMIANALYSIS_INFERENCEX; ASSUMP_NUMERIC_ACCELERATOR_MIX; ASSUMP_WORKLOAD_CLASS_MIX; ASSUMP_AGENTIC_CONTEXT_PENALTY</t>
        </is>
      </c>
      <c r="K3971" s="3" t="inlineStr">
        <is>
          <t>ASSUMP_MOE_EFFICIENCY; ASSUMP_CN_CAPACITY_TRANSPARENCY; ASSUMP_NUMERIC_ACCELERATOR_MIX; ASSUMP_INFERENCE_SHARE_NOT_FACT_60; ASSUMP_WORKLOAD_CLASS_MIX; ASSUMP_AGENTIC_CONTEXT_PENALTY</t>
        </is>
      </c>
      <c r="L3971" s="3" t="inlineStr">
        <is>
          <t>Matched commercial serving benchmark by product surface, context shape and latency SLO.</t>
        </is>
      </c>
    </row>
    <row r="3972">
      <c r="A3972" s="3" t="inlineStr">
        <is>
          <t>Alibaba</t>
        </is>
      </c>
      <c r="B3972" s="3" t="n">
        <v>2028</v>
      </c>
      <c r="C3972" s="3" t="inlineStr">
        <is>
          <t>Grid-Constrained / Efficiency-Upside</t>
        </is>
      </c>
      <c r="D3972" s="3" t="inlineStr">
        <is>
          <t>reference_serving_tps_per_mw</t>
        </is>
      </c>
      <c r="E3972" s="3" t="n">
        <v>149932</v>
      </c>
      <c r="F3972" s="3" t="inlineStr">
        <is>
          <t>generated output tokens/sec/MW</t>
        </is>
      </c>
      <c r="G3972" s="3" t="inlineStr">
        <is>
          <t>Workload-adjusted benchmark proxy</t>
        </is>
      </c>
      <c r="H3972" s="3" t="inlineStr">
        <is>
          <t>fleet_reference_tps_per_mw * commercial_workload_fit_factor</t>
        </is>
      </c>
      <c r="I3972" s="3" t="inlineStr">
        <is>
          <t>This is the coefficient used for headline token generation; each GPU's short chat, long chat and agentic TPS/MW are weighted before fleet mix and commercial fit are applied.</t>
        </is>
      </c>
      <c r="J3972" s="3" t="inlineStr">
        <is>
          <t>SRC_SEMIANALYSIS_INFERENCEX; ASSUMP_NUMERIC_ACCELERATOR_MIX; ASSUMP_WORKLOAD_CLASS_MIX; ASSUMP_AGENTIC_CONTEXT_PENALTY</t>
        </is>
      </c>
      <c r="K3972" s="3" t="inlineStr">
        <is>
          <t>ASSUMP_MOE_EFFICIENCY; ASSUMP_CN_CAPACITY_TRANSPARENCY; ASSUMP_NUMERIC_ACCELERATOR_MIX; ASSUMP_INFERENCE_SHARE_NOT_FACT_60; ASSUMP_WORKLOAD_CLASS_MIX; ASSUMP_AGENTIC_CONTEXT_PENALTY</t>
        </is>
      </c>
      <c r="L3972" s="3" t="inlineStr">
        <is>
          <t>Provider production output-token throughput with comparable workload/SLO.</t>
        </is>
      </c>
    </row>
    <row r="3973">
      <c r="A3973" s="3" t="inlineStr">
        <is>
          <t>Alibaba</t>
        </is>
      </c>
      <c r="B3973" s="3" t="n">
        <v>2028</v>
      </c>
      <c r="C3973" s="3" t="inlineStr">
        <is>
          <t>Grid-Constrained / Efficiency-Upside</t>
        </is>
      </c>
      <c r="D3973" s="3" t="inlineStr">
        <is>
          <t>purpose_built_tps_per_mw</t>
        </is>
      </c>
      <c r="E3973" s="3" t="n">
        <v>996060</v>
      </c>
      <c r="F3973" s="3" t="inlineStr">
        <is>
          <t>generated output tokens/sec/MW</t>
        </is>
      </c>
      <c r="G3973" s="3" t="inlineStr">
        <is>
          <t>Conservative no-uplift proxy</t>
        </is>
      </c>
      <c r="H3973" s="3" t="inlineStr">
        <is>
          <t>purpose_built_tps_per_mw = purpose_built_reference_tps_per_mw * commercial_workload_fit_factor until comparable output-token benchmark is adopted</t>
        </is>
      </c>
      <c r="I3973" s="3" t="inlineStr">
        <is>
          <t>No comparable public output-token/MW row adopted; B200 public reference placeholder is used and remains editable.</t>
        </is>
      </c>
      <c r="J3973" s="3" t="inlineStr">
        <is>
          <t>SRC_QWEN3_GITHUB; SRC_ALIBABA_QWEN_GPU_DEPLOY; SRC_EPOCH_AI_DATA_CENTERS; ASSUMP_NUMERIC_ACCELERATOR_MIX</t>
        </is>
      </c>
      <c r="K3973" s="3" t="inlineStr">
        <is>
          <t>ASSUMP_MOE_EFFICIENCY; ASSUMP_CN_CAPACITY_TRANSPARENCY; ASSUMP_NUMERIC_ACCELERATOR_MIX; ASSUMP_INFERENCE_SHARE_NOT_FACT_60; ASSUMP_WORKLOAD_CLASS_MIX; ASSUMP_AGENTIC_CONTEXT_PENALTY</t>
        </is>
      </c>
      <c r="L3973" s="3" t="inlineStr">
        <is>
          <t>Matched-workload generated-output benchmark for the provider purpose-built accelerator.</t>
        </is>
      </c>
    </row>
    <row r="3974">
      <c r="A3974" s="3" t="inlineStr">
        <is>
          <t>Alibaba</t>
        </is>
      </c>
      <c r="B3974" s="3" t="n">
        <v>2028</v>
      </c>
      <c r="C3974" s="3" t="inlineStr">
        <is>
          <t>Grid-Constrained / Efficiency-Upside</t>
        </is>
      </c>
      <c r="D3974" s="3" t="inlineStr">
        <is>
          <t>inference_power_share</t>
        </is>
      </c>
      <c r="E3974" s="3" t="n">
        <v>0.73</v>
      </c>
      <c r="F3974" s="3" t="inlineStr">
        <is>
          <t>share of AI IT load</t>
        </is>
      </c>
      <c r="G3974" s="3" t="inlineStr">
        <is>
          <t>Scenario allocation</t>
        </is>
      </c>
      <c r="H3974" s="3" t="inlineStr">
        <is>
          <t>inference_gw = ai_it_load_gw * inference_power_share</t>
        </is>
      </c>
      <c r="I3974" s="3" t="inlineStr">
        <is>
          <t>Qwen API/enterprise commercialization and MoE architecture support increasing inference allocation scenario.</t>
        </is>
      </c>
      <c r="J3974" s="3" t="inlineStr">
        <is>
          <t>SRC_QWEN3_GITHUB; SRC_ALIBABA_QWEN_GPU_DEPLOY; SRC_EPOCH_AI_DATA_CENTERS; ASSUMP_INFERENCE_SHARE_NOT_FACT_60</t>
        </is>
      </c>
      <c r="K3974" s="3" t="inlineStr">
        <is>
          <t>ASSUMP_MOE_EFFICIENCY; ASSUMP_CN_CAPACITY_TRANSPARENCY; ASSUMP_NUMERIC_ACCELERATOR_MIX; ASSUMP_INFERENCE_SHARE_NOT_FACT_60; ASSUMP_WORKLOAD_CLASS_MIX; ASSUMP_AGENTIC_CONTEXT_PENALTY</t>
        </is>
      </c>
      <c r="L3974" s="3" t="inlineStr">
        <is>
          <t>Provider-specific inference/training workload power telemetry.</t>
        </is>
      </c>
    </row>
    <row r="3975">
      <c r="A3975" s="3" t="inlineStr">
        <is>
          <t>Alibaba</t>
        </is>
      </c>
      <c r="B3975" s="3" t="n">
        <v>2028</v>
      </c>
      <c r="C3975" s="3" t="inlineStr">
        <is>
          <t>Grid-Constrained / Efficiency-Upside</t>
        </is>
      </c>
      <c r="D3975" s="3" t="inlineStr">
        <is>
          <t>inference_gw</t>
        </is>
      </c>
      <c r="E3975" s="3" t="n">
        <v>0.768</v>
      </c>
      <c r="F3975" s="3" t="inlineStr">
        <is>
          <t>GW</t>
        </is>
      </c>
      <c r="G3975" s="3" t="inlineStr">
        <is>
          <t>Derived formula</t>
        </is>
      </c>
      <c r="H3975" s="3" t="inlineStr">
        <is>
          <t>ai_it_load_gw * inference_power_share</t>
        </is>
      </c>
      <c r="I3975" s="3" t="inlineStr">
        <is>
          <t>This is the operational power eligible to become commercial generated output tokens through the selected TPS/MW proxy.</t>
        </is>
      </c>
      <c r="J3975" s="3" t="inlineStr">
        <is>
          <t>SRC_QWEN3_GITHUB; SRC_ALIBABA_QWEN_GPU_DEPLOY; SRC_EPOCH_AI_DATA_CENTERS</t>
        </is>
      </c>
      <c r="K3975" s="3" t="inlineStr">
        <is>
          <t>ASSUMP_MOE_EFFICIENCY; ASSUMP_CN_CAPACITY_TRANSPARENCY; ASSUMP_NUMERIC_ACCELERATOR_MIX; ASSUMP_INFERENCE_SHARE_NOT_FACT_60; ASSUMP_WORKLOAD_CLASS_MIX; ASSUMP_AGENTIC_CONTEXT_PENALTY</t>
        </is>
      </c>
      <c r="L3975" s="3" t="inlineStr">
        <is>
          <t>Recompute after AI allocation or inference-share evidence changes.</t>
        </is>
      </c>
    </row>
    <row r="3976">
      <c r="A3976" s="3" t="inlineStr">
        <is>
          <t>Alibaba</t>
        </is>
      </c>
      <c r="B3976" s="3" t="n">
        <v>2028</v>
      </c>
      <c r="C3976" s="3" t="inlineStr">
        <is>
          <t>Grid-Constrained / Efficiency-Upside</t>
        </is>
      </c>
      <c r="D3976" s="3" t="inlineStr">
        <is>
          <t>training_power_share</t>
        </is>
      </c>
      <c r="E3976" s="3" t="n">
        <v>0.27</v>
      </c>
      <c r="F3976" s="3" t="inlineStr">
        <is>
          <t>share of AI IT load</t>
        </is>
      </c>
      <c r="G3976" s="3" t="inlineStr">
        <is>
          <t>Derived allocation</t>
        </is>
      </c>
      <c r="H3976" s="3" t="inlineStr">
        <is>
          <t>1 - inference_power_share</t>
        </is>
      </c>
      <c r="I3976" s="3" t="inlineStr">
        <is>
          <t>Training receives the complementary modeled AI IT allocation; it is not a disclosed company workload split.</t>
        </is>
      </c>
      <c r="J3976" s="3" t="inlineStr">
        <is>
          <t>SRC_QWEN3_GITHUB; SRC_ALIBABA_QWEN_GPU_DEPLOY; SRC_EPOCH_AI_DATA_CENTERS; ASSUMP_INFERENCE_SHARE_NOT_FACT_60</t>
        </is>
      </c>
      <c r="K3976" s="3" t="inlineStr">
        <is>
          <t>ASSUMP_MOE_EFFICIENCY; ASSUMP_CN_CAPACITY_TRANSPARENCY; ASSUMP_NUMERIC_ACCELERATOR_MIX; ASSUMP_INFERENCE_SHARE_NOT_FACT_60; ASSUMP_WORKLOAD_CLASS_MIX; ASSUMP_AGENTIC_CONTEXT_PENALTY</t>
        </is>
      </c>
      <c r="L3976" s="3" t="inlineStr">
        <is>
          <t>Provider-specific inference/training workload power telemetry.</t>
        </is>
      </c>
    </row>
    <row r="3977">
      <c r="A3977" s="3" t="inlineStr">
        <is>
          <t>Alibaba</t>
        </is>
      </c>
      <c r="B3977" s="3" t="n">
        <v>2028</v>
      </c>
      <c r="C3977" s="3" t="inlineStr">
        <is>
          <t>Grid-Constrained / Efficiency-Upside</t>
        </is>
      </c>
      <c r="D3977" s="3" t="inlineStr">
        <is>
          <t>training_gw</t>
        </is>
      </c>
      <c r="E3977" s="3" t="n">
        <v>0.284</v>
      </c>
      <c r="F3977" s="3" t="inlineStr">
        <is>
          <t>GW</t>
        </is>
      </c>
      <c r="G3977" s="3" t="inlineStr">
        <is>
          <t>Derived formula</t>
        </is>
      </c>
      <c r="H3977" s="3" t="inlineStr">
        <is>
          <t>ai_it_load_gw * training_power_share</t>
        </is>
      </c>
      <c r="I3977" s="3" t="inlineStr">
        <is>
          <t>Training GW is shown separately so commercial inference token capacity is not overstated.</t>
        </is>
      </c>
      <c r="J3977" s="3" t="inlineStr">
        <is>
          <t>SRC_QWEN3_GITHUB; SRC_ALIBABA_QWEN_GPU_DEPLOY; SRC_EPOCH_AI_DATA_CENTERS</t>
        </is>
      </c>
      <c r="K3977" s="3" t="inlineStr">
        <is>
          <t>ASSUMP_MOE_EFFICIENCY; ASSUMP_CN_CAPACITY_TRANSPARENCY; ASSUMP_NUMERIC_ACCELERATOR_MIX; ASSUMP_INFERENCE_SHARE_NOT_FACT_60; ASSUMP_WORKLOAD_CLASS_MIX; ASSUMP_AGENTIC_CONTEXT_PENALTY</t>
        </is>
      </c>
      <c r="L3977" s="3" t="inlineStr">
        <is>
          <t>Recompute after AI allocation or workload-split evidence changes.</t>
        </is>
      </c>
    </row>
    <row r="3978">
      <c r="A3978" s="3" t="inlineStr">
        <is>
          <t>Alibaba</t>
        </is>
      </c>
      <c r="B3978" s="3" t="n">
        <v>2028</v>
      </c>
      <c r="C3978" s="3" t="inlineStr">
        <is>
          <t>Grid-Constrained / Efficiency-Upside</t>
        </is>
      </c>
      <c r="D3978" s="3" t="inlineStr">
        <is>
          <t>tokens_per_second_per_mw</t>
        </is>
      </c>
      <c r="E3978" s="3" t="n">
        <v>149932</v>
      </c>
      <c r="F3978" s="3" t="inlineStr">
        <is>
          <t>generated output tokens/sec/MW</t>
        </is>
      </c>
      <c r="G3978" s="3" t="inlineStr">
        <is>
          <t>Derived estimate + benchmark calibration</t>
        </is>
      </c>
      <c r="H3978" s="3" t="inlineStr">
        <is>
          <t>fleet_reference_tps_per_mw * commercial_workload_fit_factor</t>
        </is>
      </c>
      <c r="I3978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3978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3978" s="3" t="inlineStr">
        <is>
          <t>ASSUMP_MOE_EFFICIENCY; ASSUMP_CN_CAPACITY_TRANSPARENCY; ASSUMP_NUMERIC_ACCELERATOR_MIX; ASSUMP_INFERENCE_SHARE_NOT_FACT_60; ASSUMP_WORKLOAD_CLASS_MIX; ASSUMP_AGENTIC_CONTEXT_PENALTY</t>
        </is>
      </c>
      <c r="L3978" s="3" t="inlineStr">
        <is>
          <t>Comparable production output-token throughput with model, hardware, precision, ISL/OSL and SLO matched.</t>
        </is>
      </c>
    </row>
    <row r="3979">
      <c r="A3979" s="3" t="inlineStr">
        <is>
          <t>Alibaba</t>
        </is>
      </c>
      <c r="B3979" s="3" t="n">
        <v>2028</v>
      </c>
      <c r="C3979" s="3" t="inlineStr">
        <is>
          <t>Grid-Constrained / Efficiency-Upside</t>
        </is>
      </c>
      <c r="D3979" s="3" t="inlineStr">
        <is>
          <t>inference_tokens_per_day</t>
        </is>
      </c>
      <c r="E3979" s="3" t="n">
        <v>9948767846400</v>
      </c>
      <c r="F3979" s="3" t="inlineStr">
        <is>
          <t>generated output tokens/day</t>
        </is>
      </c>
      <c r="G3979" s="3" t="inlineStr">
        <is>
          <t>Derived headline metric</t>
        </is>
      </c>
      <c r="H3979" s="3" t="inlineStr">
        <is>
          <t>inference_gw * 1000 * tokens_per_second_per_mw * 86,400</t>
        </is>
      </c>
      <c r="I3979" s="3" t="inlineStr">
        <is>
          <t>Headline capacity uses no utilization, MoE, architecture or software-growth multiplier; it is not observed commercial output volume.</t>
        </is>
      </c>
      <c r="J3979" s="3" t="inlineStr">
        <is>
          <t>SRC_QWEN3_GITHUB; SRC_ALIBABA_QWEN_GPU_DEPLOY; SRC_EPOCH_AI_DATA_CENTERS; SRC_SEMIANALYSIS_INFERENCEX</t>
        </is>
      </c>
      <c r="K3979" s="3" t="inlineStr">
        <is>
          <t>ASSUMP_MOE_EFFICIENCY; ASSUMP_CN_CAPACITY_TRANSPARENCY; ASSUMP_NUMERIC_ACCELERATOR_MIX; ASSUMP_INFERENCE_SHARE_NOT_FACT_60; ASSUMP_WORKLOAD_CLASS_MIX; ASSUMP_AGENTIC_CONTEXT_PENALTY</t>
        </is>
      </c>
      <c r="L3979" s="3" t="inlineStr">
        <is>
          <t>Provider-disclosed generated output token volume or calibrated capacity telemetry.</t>
        </is>
      </c>
    </row>
    <row r="3980">
      <c r="A3980" s="3" t="inlineStr">
        <is>
          <t>Alibaba</t>
        </is>
      </c>
      <c r="B3980" s="3" t="n">
        <v>2028</v>
      </c>
      <c r="C3980" s="3" t="inlineStr">
        <is>
          <t>Grid-Constrained / Efficiency-Upside</t>
        </is>
      </c>
      <c r="D3980" s="3" t="inlineStr">
        <is>
          <t>inference_tokens_per_year</t>
        </is>
      </c>
      <c r="E3980" s="3" t="n">
        <v>3631300263936000</v>
      </c>
      <c r="F3980" s="3" t="inlineStr">
        <is>
          <t>generated output tokens/year</t>
        </is>
      </c>
      <c r="G3980" s="3" t="inlineStr">
        <is>
          <t>Derived headline metric</t>
        </is>
      </c>
      <c r="H3980" s="3" t="inlineStr">
        <is>
          <t>inference_tokens_per_day * 365</t>
        </is>
      </c>
      <c r="I3980" s="3" t="inlineStr">
        <is>
          <t>Annualized version of generated output token capacity; it is not observed annual demand or billable volume.</t>
        </is>
      </c>
      <c r="J3980" s="3" t="inlineStr">
        <is>
          <t>SRC_QWEN3_GITHUB; SRC_ALIBABA_QWEN_GPU_DEPLOY; SRC_EPOCH_AI_DATA_CENTERS; SRC_SEMIANALYSIS_INFERENCEX</t>
        </is>
      </c>
      <c r="K3980" s="3" t="inlineStr">
        <is>
          <t>ASSUMP_MOE_EFFICIENCY; ASSUMP_CN_CAPACITY_TRANSPARENCY; ASSUMP_NUMERIC_ACCELERATOR_MIX; ASSUMP_INFERENCE_SHARE_NOT_FACT_60; ASSUMP_WORKLOAD_CLASS_MIX; ASSUMP_AGENTIC_CONTEXT_PENALTY</t>
        </is>
      </c>
      <c r="L3980" s="3" t="inlineStr">
        <is>
          <t>Provider-disclosed annual generated-output volume or metered serving telemetry.</t>
        </is>
      </c>
    </row>
    <row r="3981">
      <c r="A3981" s="3" t="inlineStr">
        <is>
          <t>Alibaba</t>
        </is>
      </c>
      <c r="B3981" s="3" t="n">
        <v>2029</v>
      </c>
      <c r="C3981" s="3" t="inlineStr">
        <is>
          <t>Grid-Constrained / Efficiency-Upside</t>
        </is>
      </c>
      <c r="D3981" s="3" t="inlineStr">
        <is>
          <t>contracted_power_gw</t>
        </is>
      </c>
      <c r="E3981" s="3" t="n">
        <v>3.45</v>
      </c>
      <c r="F3981" s="3" t="inlineStr">
        <is>
          <t>GW</t>
        </is>
      </c>
      <c r="G3981" s="3" t="inlineStr">
        <is>
          <t>Scenario capacity envelope</t>
        </is>
      </c>
      <c r="H3981" s="3" t="inlineStr">
        <is>
          <t>linear interpolation between 2026 and 2030 company capacity endpoints</t>
        </is>
      </c>
      <c r="I3981" s="3" t="inlineStr">
        <is>
          <t>Alibaba Cloud/Qwen capacity is a scenario envelope; official model and deployment documentation does not state operated GW.</t>
        </is>
      </c>
      <c r="J3981" s="3" t="inlineStr">
        <is>
          <t>SRC_ALIBABA_QWEN_GPU_DEPLOY; ASSUMP_CN_CAPACITY_TRANSPARENCY</t>
        </is>
      </c>
      <c r="K3981" s="3" t="inlineStr">
        <is>
          <t>ASSUMP_MOE_EFFICIENCY; ASSUMP_CN_CAPACITY_TRANSPARENCY; ASSUMP_NUMERIC_ACCELERATOR_MIX; ASSUMP_INFERENCE_SHARE_NOT_FACT_60; ASSUMP_WORKLOAD_CLASS_MIX; ASSUMP_AGENTIC_CONTEXT_PENALTY</t>
        </is>
      </c>
      <c r="L3981" s="3" t="inlineStr">
        <is>
          <t>Company/site-level committed MW/GW, interconnect and contract disclosure.</t>
        </is>
      </c>
    </row>
    <row r="3982">
      <c r="A3982" s="3" t="inlineStr">
        <is>
          <t>Alibaba</t>
        </is>
      </c>
      <c r="B3982" s="3" t="n">
        <v>2029</v>
      </c>
      <c r="C3982" s="3" t="inlineStr">
        <is>
          <t>Grid-Constrained / Efficiency-Upside</t>
        </is>
      </c>
      <c r="D3982" s="3" t="inlineStr">
        <is>
          <t>operational_deployment_share</t>
        </is>
      </c>
      <c r="E3982" s="3" t="n">
        <v>0.56463768</v>
      </c>
      <c r="F3982" s="3" t="inlineStr">
        <is>
          <t>share</t>
        </is>
      </c>
      <c r="G3982" s="3" t="inlineStr">
        <is>
          <t>Scenario conversion</t>
        </is>
      </c>
      <c r="H3982" s="3" t="inlineStr">
        <is>
          <t>active_power_gw / contracted_power_gw</t>
        </is>
      </c>
      <c r="I3982" s="3" t="inlineStr">
        <is>
          <t>This is the single explicit conversion from contracted/attributed capacity to operationally usable capacity.</t>
        </is>
      </c>
      <c r="J3982" s="3" t="inlineStr">
        <is>
          <t>SRC_ALIBABA_QWEN_GPU_DEPLOY; ASSUMP_CN_CAPACITY_TRANSPARENCY</t>
        </is>
      </c>
      <c r="K3982" s="3" t="inlineStr">
        <is>
          <t>ASSUMP_MOE_EFFICIENCY; ASSUMP_CN_CAPACITY_TRANSPARENCY; ASSUMP_NUMERIC_ACCELERATOR_MIX; ASSUMP_INFERENCE_SHARE_NOT_FACT_60; ASSUMP_WORKLOAD_CLASS_MIX; ASSUMP_AGENTIC_CONTEXT_PENALTY</t>
        </is>
      </c>
      <c r="L3982" s="3" t="inlineStr">
        <is>
          <t>Energized operational capacity divided by contracted/attributed capacity.</t>
        </is>
      </c>
    </row>
    <row r="3983">
      <c r="A3983" s="3" t="inlineStr">
        <is>
          <t>Alibaba</t>
        </is>
      </c>
      <c r="B3983" s="3" t="n">
        <v>2029</v>
      </c>
      <c r="C3983" s="3" t="inlineStr">
        <is>
          <t>Grid-Constrained / Efficiency-Upside</t>
        </is>
      </c>
      <c r="D3983" s="3" t="inlineStr">
        <is>
          <t>active_power_gw</t>
        </is>
      </c>
      <c r="E3983" s="3" t="n">
        <v>1.948</v>
      </c>
      <c r="F3983" s="3" t="inlineStr">
        <is>
          <t>GW</t>
        </is>
      </c>
      <c r="G3983" s="3" t="inlineStr">
        <is>
          <t>Derived scenario</t>
        </is>
      </c>
      <c r="H3983" s="3" t="inlineStr">
        <is>
          <t>contracted_power_gw * operational_deployment_share</t>
        </is>
      </c>
      <c r="I3983" s="3" t="inlineStr">
        <is>
          <t>Active GW is staged below capacity due to undisclosed accelerator allocation and cloud multi-tenant use.</t>
        </is>
      </c>
      <c r="J3983" s="3" t="inlineStr">
        <is>
          <t>SRC_ALIBABA_QWEN_GPU_DEPLOY; ASSUMP_CN_CAPACITY_TRANSPARENCY</t>
        </is>
      </c>
      <c r="K3983" s="3" t="inlineStr">
        <is>
          <t>ASSUMP_MOE_EFFICIENCY; ASSUMP_CN_CAPACITY_TRANSPARENCY; ASSUMP_NUMERIC_ACCELERATOR_MIX; ASSUMP_INFERENCE_SHARE_NOT_FACT_60; ASSUMP_WORKLOAD_CLASS_MIX; ASSUMP_AGENTIC_CONTEXT_PENALTY</t>
        </is>
      </c>
      <c r="L3983" s="3" t="inlineStr">
        <is>
          <t>Energization dates, accelerator deliveries and operational powered-rack telemetry.</t>
        </is>
      </c>
    </row>
    <row r="3984">
      <c r="A3984" s="3" t="inlineStr">
        <is>
          <t>Alibaba</t>
        </is>
      </c>
      <c r="B3984" s="3" t="n">
        <v>2029</v>
      </c>
      <c r="C3984" s="3" t="inlineStr">
        <is>
          <t>Grid-Constrained / Efficiency-Upside</t>
        </is>
      </c>
      <c r="D3984" s="3" t="inlineStr">
        <is>
          <t>pue</t>
        </is>
      </c>
      <c r="E3984" s="3" t="n">
        <v>1.23</v>
      </c>
      <c r="F3984" s="3" t="inlineStr">
        <is>
          <t>ratio</t>
        </is>
      </c>
      <c r="G3984" s="3" t="inlineStr">
        <is>
          <t>Scenario parameter</t>
        </is>
      </c>
      <c r="H3984" s="3" t="inlineStr">
        <is>
          <t>it_load_gw = active_power_gw / pue</t>
        </is>
      </c>
      <c r="I3984" s="3" t="inlineStr">
        <is>
          <t>No provider-wide site-level PUE is used as a disclosed fact; PUE represents facility-to-IT conversion within the scenario.</t>
        </is>
      </c>
      <c r="J3984" s="3" t="inlineStr">
        <is>
          <t>ASSUMP_POWER_RAMP</t>
        </is>
      </c>
      <c r="K3984" s="3" t="inlineStr">
        <is>
          <t>ASSUMP_MOE_EFFICIENCY; ASSUMP_CN_CAPACITY_TRANSPARENCY; ASSUMP_NUMERIC_ACCELERATOR_MIX; ASSUMP_INFERENCE_SHARE_NOT_FACT_60; ASSUMP_WORKLOAD_CLASS_MIX; ASSUMP_AGENTIC_CONTEXT_PENALTY</t>
        </is>
      </c>
      <c r="L3984" s="3" t="inlineStr">
        <is>
          <t>Site-level measured PUE matched to attributed AI capacity.</t>
        </is>
      </c>
    </row>
    <row r="3985">
      <c r="A3985" s="3" t="inlineStr">
        <is>
          <t>Alibaba</t>
        </is>
      </c>
      <c r="B3985" s="3" t="n">
        <v>2029</v>
      </c>
      <c r="C3985" s="3" t="inlineStr">
        <is>
          <t>Grid-Constrained / Efficiency-Upside</t>
        </is>
      </c>
      <c r="D3985" s="3" t="inlineStr">
        <is>
          <t>it_load_gw</t>
        </is>
      </c>
      <c r="E3985" s="3" t="n">
        <v>1.583</v>
      </c>
      <c r="F3985" s="3" t="inlineStr">
        <is>
          <t>GW</t>
        </is>
      </c>
      <c r="G3985" s="3" t="inlineStr">
        <is>
          <t>Derived formula</t>
        </is>
      </c>
      <c r="H3985" s="3" t="inlineStr">
        <is>
          <t>active_power_gw / pue</t>
        </is>
      </c>
      <c r="I3985" s="3" t="inlineStr">
        <is>
          <t>Facility power is converted to IT-deliverable power before attributing AI workloads.</t>
        </is>
      </c>
      <c r="J3985" s="3" t="inlineStr">
        <is>
          <t>SRC_ALIBABA_QWEN_GPU_DEPLOY; ASSUMP_CN_CAPACITY_TRANSPARENCY</t>
        </is>
      </c>
      <c r="K3985" s="3" t="inlineStr">
        <is>
          <t>ASSUMP_MOE_EFFICIENCY; ASSUMP_CN_CAPACITY_TRANSPARENCY; ASSUMP_NUMERIC_ACCELERATOR_MIX; ASSUMP_INFERENCE_SHARE_NOT_FACT_60; ASSUMP_WORKLOAD_CLASS_MIX; ASSUMP_AGENTIC_CONTEXT_PENALTY</t>
        </is>
      </c>
      <c r="L3985" s="3" t="inlineStr">
        <is>
          <t>Recompute once active power and PUE become site-observable.</t>
        </is>
      </c>
    </row>
    <row r="3986">
      <c r="A3986" s="3" t="inlineStr">
        <is>
          <t>Alibaba</t>
        </is>
      </c>
      <c r="B3986" s="3" t="n">
        <v>2029</v>
      </c>
      <c r="C3986" s="3" t="inlineStr">
        <is>
          <t>Grid-Constrained / Efficiency-Upside</t>
        </is>
      </c>
      <c r="D3986" s="3" t="inlineStr">
        <is>
          <t>ai_workload_share</t>
        </is>
      </c>
      <c r="E3986" s="3" t="n">
        <v>0.84</v>
      </c>
      <c r="F3986" s="3" t="inlineStr">
        <is>
          <t>share</t>
        </is>
      </c>
      <c r="G3986" s="3" t="inlineStr">
        <is>
          <t>Scenario allocation</t>
        </is>
      </c>
      <c r="H3986" s="3" t="inlineStr">
        <is>
          <t>ai_it_load_gw = it_load_gw * ai_workload_share</t>
        </is>
      </c>
      <c r="I3986" s="3" t="inlineStr">
        <is>
          <t>Model Studio/Qwen-serving envelope is AI-focused, while cloud platform/reserve allocation is excluded through 84%.</t>
        </is>
      </c>
      <c r="J3986" s="3" t="inlineStr">
        <is>
          <t>SRC_QWEN3_GITHUB; SRC_ALIBABA_QWEN_GPU_DEPLOY; SRC_EPOCH_AI_DATA_CENTERS</t>
        </is>
      </c>
      <c r="K3986" s="3" t="inlineStr">
        <is>
          <t>ASSUMP_MOE_EFFICIENCY; ASSUMP_CN_CAPACITY_TRANSPARENCY; ASSUMP_NUMERIC_ACCELERATOR_MIX; ASSUMP_INFERENCE_SHARE_NOT_FACT_60; ASSUMP_WORKLOAD_CLASS_MIX; ASSUMP_AGENTIC_CONTEXT_PENALTY</t>
        </is>
      </c>
      <c r="L3986" s="3" t="inlineStr">
        <is>
          <t>Model-owner AI workload allocation or cluster scheduling telemetry.</t>
        </is>
      </c>
    </row>
    <row r="3987">
      <c r="A3987" s="3" t="inlineStr">
        <is>
          <t>Alibaba</t>
        </is>
      </c>
      <c r="B3987" s="3" t="n">
        <v>2029</v>
      </c>
      <c r="C3987" s="3" t="inlineStr">
        <is>
          <t>Grid-Constrained / Efficiency-Upside</t>
        </is>
      </c>
      <c r="D3987" s="3" t="inlineStr">
        <is>
          <t>ai_it_load_gw</t>
        </is>
      </c>
      <c r="E3987" s="3" t="n">
        <v>1.33</v>
      </c>
      <c r="F3987" s="3" t="inlineStr">
        <is>
          <t>GW</t>
        </is>
      </c>
      <c r="G3987" s="3" t="inlineStr">
        <is>
          <t>Derived formula</t>
        </is>
      </c>
      <c r="H3987" s="3" t="inlineStr">
        <is>
          <t>it_load_gw * ai_workload_share</t>
        </is>
      </c>
      <c r="I3987" s="3" t="inlineStr">
        <is>
          <t>Only the AI-attributed portion of IT load enters training/inference allocation.</t>
        </is>
      </c>
      <c r="J3987" s="3" t="inlineStr">
        <is>
          <t>SRC_QWEN3_GITHUB; SRC_ALIBABA_QWEN_GPU_DEPLOY; SRC_EPOCH_AI_DATA_CENTERS</t>
        </is>
      </c>
      <c r="K3987" s="3" t="inlineStr">
        <is>
          <t>ASSUMP_MOE_EFFICIENCY; ASSUMP_CN_CAPACITY_TRANSPARENCY; ASSUMP_NUMERIC_ACCELERATOR_MIX; ASSUMP_INFERENCE_SHARE_NOT_FACT_60; ASSUMP_WORKLOAD_CLASS_MIX; ASSUMP_AGENTIC_CONTEXT_PENALTY</t>
        </is>
      </c>
      <c r="L3987" s="3" t="inlineStr">
        <is>
          <t>Recompute after ai_workload_share is replaced by telemetry.</t>
        </is>
      </c>
    </row>
    <row r="3988">
      <c r="A3988" s="3" t="inlineStr">
        <is>
          <t>Alibaba</t>
        </is>
      </c>
      <c r="B3988" s="3" t="n">
        <v>2029</v>
      </c>
      <c r="C3988" s="3" t="inlineStr">
        <is>
          <t>Grid-Constrained / Efficiency-Upside</t>
        </is>
      </c>
      <c r="D3988" s="3" t="inlineStr">
        <is>
          <t>gpu_share</t>
        </is>
      </c>
      <c r="E3988" s="3" t="n">
        <v>1</v>
      </c>
      <c r="F3988" s="3" t="inlineStr">
        <is>
          <t>share of inference-serving accelerator load</t>
        </is>
      </c>
      <c r="G3988" s="3" t="inlineStr">
        <is>
          <t>Numeric scenario</t>
        </is>
      </c>
      <c r="H3988" s="3" t="inlineStr">
        <is>
          <t>gpu_share interpolated from company 2026/2030 accelerator-mix endpoints</t>
        </is>
      </c>
      <c r="I3988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88" s="3" t="inlineStr">
        <is>
          <t>SRC_QWEN3_GITHUB; SRC_ALIBABA_QWEN_GPU_DEPLOY; SRC_EPOCH_AI_DATA_CENTERS; ASSUMP_NUMERIC_ACCELERATOR_MIX</t>
        </is>
      </c>
      <c r="K3988" s="3" t="inlineStr">
        <is>
          <t>ASSUMP_MOE_EFFICIENCY; ASSUMP_CN_CAPACITY_TRANSPARENCY; ASSUMP_NUMERIC_ACCELERATOR_MIX; ASSUMP_INFERENCE_SHARE_NOT_FACT_60; ASSUMP_WORKLOAD_CLASS_MIX; ASSUMP_AGENTIC_CONTEXT_PENALTY</t>
        </is>
      </c>
      <c r="L3988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89">
      <c r="A3989" s="3" t="inlineStr">
        <is>
          <t>Alibaba</t>
        </is>
      </c>
      <c r="B3989" s="3" t="n">
        <v>2029</v>
      </c>
      <c r="C3989" s="3" t="inlineStr">
        <is>
          <t>Grid-Constrained / Efficiency-Upside</t>
        </is>
      </c>
      <c r="D3989" s="3" t="inlineStr">
        <is>
          <t>h200_share</t>
        </is>
      </c>
      <c r="E3989" s="3" t="n">
        <v>1</v>
      </c>
      <c r="F3989" s="3" t="inlineStr">
        <is>
          <t>share of inference-serving accelerator load</t>
        </is>
      </c>
      <c r="G3989" s="3" t="inlineStr">
        <is>
          <t>Editable numeric scenario</t>
        </is>
      </c>
      <c r="H3989" s="3" t="inlineStr">
        <is>
          <t>h200_share = gpu_share * default_gpu_generation_mix_h200</t>
        </is>
      </c>
      <c r="I3989" s="3" t="inlineStr">
        <is>
          <t>Default GPU-generation migration assumption; executive workbook allows later manual replacement by company/year/scenario.</t>
        </is>
      </c>
      <c r="J3989" s="3" t="inlineStr">
        <is>
          <t>SRC_SEMIANALYSIS_INFERENCEX; ASSUMP_NUMERIC_ACCELERATOR_MIX</t>
        </is>
      </c>
      <c r="K3989" s="3" t="inlineStr">
        <is>
          <t>ASSUMP_MOE_EFFICIENCY; ASSUMP_CN_CAPACITY_TRANSPARENCY; ASSUMP_NUMERIC_ACCELERATOR_MIX; ASSUMP_INFERENCE_SHARE_NOT_FACT_60; ASSUMP_WORKLOAD_CLASS_MIX; ASSUMP_AGENTIC_CONTEXT_PENALTY</t>
        </is>
      </c>
      <c r="L3989" s="3" t="inlineStr">
        <is>
          <t>Company fleet inventory, accelerator-hours or procurement/deployment records by GPU generation.</t>
        </is>
      </c>
    </row>
    <row r="3990">
      <c r="A3990" s="3" t="inlineStr">
        <is>
          <t>Alibaba</t>
        </is>
      </c>
      <c r="B3990" s="3" t="n">
        <v>2029</v>
      </c>
      <c r="C3990" s="3" t="inlineStr">
        <is>
          <t>Grid-Constrained / Efficiency-Upside</t>
        </is>
      </c>
      <c r="D3990" s="3" t="inlineStr">
        <is>
          <t>b200_share</t>
        </is>
      </c>
      <c r="E3990" s="3" t="n">
        <v>0</v>
      </c>
      <c r="F3990" s="3" t="inlineStr">
        <is>
          <t>share of inference-serving accelerator load</t>
        </is>
      </c>
      <c r="G3990" s="3" t="inlineStr">
        <is>
          <t>Editable numeric scenario</t>
        </is>
      </c>
      <c r="H3990" s="3" t="inlineStr">
        <is>
          <t>b200_share = gpu_share * default_gpu_generation_mix_b200</t>
        </is>
      </c>
      <c r="I3990" s="3" t="inlineStr">
        <is>
          <t>Default GPU-generation migration assumption; executive workbook allows later manual replacement by company/year/scenario.</t>
        </is>
      </c>
      <c r="J3990" s="3" t="inlineStr">
        <is>
          <t>SRC_SEMIANALYSIS_INFERENCEX; ASSUMP_NUMERIC_ACCELERATOR_MIX</t>
        </is>
      </c>
      <c r="K3990" s="3" t="inlineStr">
        <is>
          <t>ASSUMP_MOE_EFFICIENCY; ASSUMP_CN_CAPACITY_TRANSPARENCY; ASSUMP_NUMERIC_ACCELERATOR_MIX; ASSUMP_INFERENCE_SHARE_NOT_FACT_60; ASSUMP_WORKLOAD_CLASS_MIX; ASSUMP_AGENTIC_CONTEXT_PENALTY</t>
        </is>
      </c>
      <c r="L3990" s="3" t="inlineStr">
        <is>
          <t>Company fleet inventory, accelerator-hours or procurement/deployment records by GPU generation.</t>
        </is>
      </c>
    </row>
    <row r="3991">
      <c r="A3991" s="3" t="inlineStr">
        <is>
          <t>Alibaba</t>
        </is>
      </c>
      <c r="B3991" s="3" t="n">
        <v>2029</v>
      </c>
      <c r="C3991" s="3" t="inlineStr">
        <is>
          <t>Grid-Constrained / Efficiency-Upside</t>
        </is>
      </c>
      <c r="D3991" s="3" t="inlineStr">
        <is>
          <t>gb200_share</t>
        </is>
      </c>
      <c r="E3991" s="3" t="n">
        <v>0</v>
      </c>
      <c r="F3991" s="3" t="inlineStr">
        <is>
          <t>share of inference-serving accelerator load</t>
        </is>
      </c>
      <c r="G3991" s="3" t="inlineStr">
        <is>
          <t>Editable numeric scenario</t>
        </is>
      </c>
      <c r="H3991" s="3" t="inlineStr">
        <is>
          <t>gb200_share = gpu_share * default_gpu_generation_mix_gb200</t>
        </is>
      </c>
      <c r="I3991" s="3" t="inlineStr">
        <is>
          <t>Default GPU-generation migration assumption; executive workbook allows later manual replacement by company/year/scenario.</t>
        </is>
      </c>
      <c r="J3991" s="3" t="inlineStr">
        <is>
          <t>SRC_SEMIANALYSIS_INFERENCEX; ASSUMP_NUMERIC_ACCELERATOR_MIX</t>
        </is>
      </c>
      <c r="K3991" s="3" t="inlineStr">
        <is>
          <t>ASSUMP_MOE_EFFICIENCY; ASSUMP_CN_CAPACITY_TRANSPARENCY; ASSUMP_NUMERIC_ACCELERATOR_MIX; ASSUMP_INFERENCE_SHARE_NOT_FACT_60; ASSUMP_WORKLOAD_CLASS_MIX; ASSUMP_AGENTIC_CONTEXT_PENALTY</t>
        </is>
      </c>
      <c r="L3991" s="3" t="inlineStr">
        <is>
          <t>Company fleet inventory, accelerator-hours or procurement/deployment records by GPU generation.</t>
        </is>
      </c>
    </row>
    <row r="3992">
      <c r="A3992" s="3" t="inlineStr">
        <is>
          <t>Alibaba</t>
        </is>
      </c>
      <c r="B3992" s="3" t="n">
        <v>2029</v>
      </c>
      <c r="C3992" s="3" t="inlineStr">
        <is>
          <t>Grid-Constrained / Efficiency-Upside</t>
        </is>
      </c>
      <c r="D3992" s="3" t="inlineStr">
        <is>
          <t>purpose_built_accelerator_share</t>
        </is>
      </c>
      <c r="E3992" s="3" t="n">
        <v>0</v>
      </c>
      <c r="F3992" s="3" t="inlineStr">
        <is>
          <t>share of inference-serving accelerator load</t>
        </is>
      </c>
      <c r="G3992" s="3" t="inlineStr">
        <is>
          <t>Numeric scenario</t>
        </is>
      </c>
      <c r="H3992" s="3" t="inlineStr">
        <is>
          <t>1 - gpu_share</t>
        </is>
      </c>
      <c r="I3992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3992" s="3" t="inlineStr">
        <is>
          <t>SRC_QWEN3_GITHUB; SRC_ALIBABA_QWEN_GPU_DEPLOY; SRC_EPOCH_AI_DATA_CENTERS; ASSUMP_NUMERIC_ACCELERATOR_MIX</t>
        </is>
      </c>
      <c r="K3992" s="3" t="inlineStr">
        <is>
          <t>ASSUMP_MOE_EFFICIENCY; ASSUMP_CN_CAPACITY_TRANSPARENCY; ASSUMP_NUMERIC_ACCELERATOR_MIX; ASSUMP_INFERENCE_SHARE_NOT_FACT_60; ASSUMP_WORKLOAD_CLASS_MIX; ASSUMP_AGENTIC_CONTEXT_PENALTY</t>
        </is>
      </c>
      <c r="L3992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3993">
      <c r="A3993" s="3" t="inlineStr">
        <is>
          <t>Alibaba</t>
        </is>
      </c>
      <c r="B3993" s="3" t="n">
        <v>2029</v>
      </c>
      <c r="C3993" s="3" t="inlineStr">
        <is>
          <t>Grid-Constrained / Efficiency-Upside</t>
        </is>
      </c>
      <c r="D3993" s="3" t="inlineStr">
        <is>
          <t>fleet_reference_tps_per_mw</t>
        </is>
      </c>
      <c r="E3993" s="3" t="n">
        <v>166591</v>
      </c>
      <c r="F3993" s="3" t="inlineStr">
        <is>
          <t>generated output tokens/sec/MW</t>
        </is>
      </c>
      <c r="G3993" s="3" t="inlineStr">
        <is>
          <t>Fleet-weighted public benchmark reference</t>
        </is>
      </c>
      <c r="H3993" s="3" t="inlineStr">
        <is>
          <t>h200_share*h200_workload_avg + b200_share*b200_workload_avg + gb200_share*gb200_workload_avg + purpose_built_share*purpose_workload_avg</t>
        </is>
      </c>
      <c r="I3993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3993" s="3" t="inlineStr">
        <is>
          <t>SRC_SEMIANALYSIS_INFERENCEX; ASSUMP_NUMERIC_ACCELERATOR_MIX; ASSUMP_WORKLOAD_CLASS_MIX; ASSUMP_AGENTIC_CONTEXT_PENALTY</t>
        </is>
      </c>
      <c r="K3993" s="3" t="inlineStr">
        <is>
          <t>ASSUMP_MOE_EFFICIENCY; ASSUMP_CN_CAPACITY_TRANSPARENCY; ASSUMP_NUMERIC_ACCELERATOR_MIX; ASSUMP_INFERENCE_SHARE_NOT_FACT_60; ASSUMP_WORKLOAD_CLASS_MIX; ASSUMP_AGENTIC_CONTEXT_PENALTY</t>
        </is>
      </c>
      <c r="L3993" s="3" t="inlineStr">
        <is>
          <t>Comparable production output-token throughput or a more closely matched benchmark.</t>
        </is>
      </c>
    </row>
    <row r="3994">
      <c r="A3994" s="3" t="inlineStr">
        <is>
          <t>Alibaba</t>
        </is>
      </c>
      <c r="B3994" s="3" t="n">
        <v>2029</v>
      </c>
      <c r="C3994" s="3" t="inlineStr">
        <is>
          <t>Grid-Constrained / Efficiency-Upside</t>
        </is>
      </c>
      <c r="D3994" s="3" t="inlineStr">
        <is>
          <t>commercial_workload_fit_factor</t>
        </is>
      </c>
      <c r="E3994" s="3" t="n">
        <v>0.9</v>
      </c>
      <c r="F3994" s="3" t="inlineStr">
        <is>
          <t>share of public reference throughput</t>
        </is>
      </c>
      <c r="G3994" s="3" t="inlineStr">
        <is>
          <t>Scenario assumption</t>
        </is>
      </c>
      <c r="H3994" s="3" t="inlineStr">
        <is>
          <t>reference_serving_tps_per_mw = fleet_reference_tps_per_mw * commercial_workload_fit_factor</t>
        </is>
      </c>
      <c r="I3994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3994" s="3" t="inlineStr">
        <is>
          <t>SRC_SEMIANALYSIS_INFERENCEX; ASSUMP_NUMERIC_ACCELERATOR_MIX; ASSUMP_WORKLOAD_CLASS_MIX; ASSUMP_AGENTIC_CONTEXT_PENALTY</t>
        </is>
      </c>
      <c r="K3994" s="3" t="inlineStr">
        <is>
          <t>ASSUMP_MOE_EFFICIENCY; ASSUMP_CN_CAPACITY_TRANSPARENCY; ASSUMP_NUMERIC_ACCELERATOR_MIX; ASSUMP_INFERENCE_SHARE_NOT_FACT_60; ASSUMP_WORKLOAD_CLASS_MIX; ASSUMP_AGENTIC_CONTEXT_PENALTY</t>
        </is>
      </c>
      <c r="L3994" s="3" t="inlineStr">
        <is>
          <t>Matched commercial serving benchmark by product surface, context shape and latency SLO.</t>
        </is>
      </c>
    </row>
    <row r="3995">
      <c r="A3995" s="3" t="inlineStr">
        <is>
          <t>Alibaba</t>
        </is>
      </c>
      <c r="B3995" s="3" t="n">
        <v>2029</v>
      </c>
      <c r="C3995" s="3" t="inlineStr">
        <is>
          <t>Grid-Constrained / Efficiency-Upside</t>
        </is>
      </c>
      <c r="D3995" s="3" t="inlineStr">
        <is>
          <t>reference_serving_tps_per_mw</t>
        </is>
      </c>
      <c r="E3995" s="3" t="n">
        <v>149932</v>
      </c>
      <c r="F3995" s="3" t="inlineStr">
        <is>
          <t>generated output tokens/sec/MW</t>
        </is>
      </c>
      <c r="G3995" s="3" t="inlineStr">
        <is>
          <t>Workload-adjusted benchmark proxy</t>
        </is>
      </c>
      <c r="H3995" s="3" t="inlineStr">
        <is>
          <t>fleet_reference_tps_per_mw * commercial_workload_fit_factor</t>
        </is>
      </c>
      <c r="I3995" s="3" t="inlineStr">
        <is>
          <t>This is the coefficient used for headline token generation; each GPU's short chat, long chat and agentic TPS/MW are weighted before fleet mix and commercial fit are applied.</t>
        </is>
      </c>
      <c r="J3995" s="3" t="inlineStr">
        <is>
          <t>SRC_SEMIANALYSIS_INFERENCEX; ASSUMP_NUMERIC_ACCELERATOR_MIX; ASSUMP_WORKLOAD_CLASS_MIX; ASSUMP_AGENTIC_CONTEXT_PENALTY</t>
        </is>
      </c>
      <c r="K3995" s="3" t="inlineStr">
        <is>
          <t>ASSUMP_MOE_EFFICIENCY; ASSUMP_CN_CAPACITY_TRANSPARENCY; ASSUMP_NUMERIC_ACCELERATOR_MIX; ASSUMP_INFERENCE_SHARE_NOT_FACT_60; ASSUMP_WORKLOAD_CLASS_MIX; ASSUMP_AGENTIC_CONTEXT_PENALTY</t>
        </is>
      </c>
      <c r="L3995" s="3" t="inlineStr">
        <is>
          <t>Provider production output-token throughput with comparable workload/SLO.</t>
        </is>
      </c>
    </row>
    <row r="3996">
      <c r="A3996" s="3" t="inlineStr">
        <is>
          <t>Alibaba</t>
        </is>
      </c>
      <c r="B3996" s="3" t="n">
        <v>2029</v>
      </c>
      <c r="C3996" s="3" t="inlineStr">
        <is>
          <t>Grid-Constrained / Efficiency-Upside</t>
        </is>
      </c>
      <c r="D3996" s="3" t="inlineStr">
        <is>
          <t>purpose_built_tps_per_mw</t>
        </is>
      </c>
      <c r="E3996" s="3" t="n">
        <v>996060</v>
      </c>
      <c r="F3996" s="3" t="inlineStr">
        <is>
          <t>generated output tokens/sec/MW</t>
        </is>
      </c>
      <c r="G3996" s="3" t="inlineStr">
        <is>
          <t>Conservative no-uplift proxy</t>
        </is>
      </c>
      <c r="H3996" s="3" t="inlineStr">
        <is>
          <t>purpose_built_tps_per_mw = purpose_built_reference_tps_per_mw * commercial_workload_fit_factor until comparable output-token benchmark is adopted</t>
        </is>
      </c>
      <c r="I3996" s="3" t="inlineStr">
        <is>
          <t>No comparable public output-token/MW row adopted; B200 public reference placeholder is used and remains editable.</t>
        </is>
      </c>
      <c r="J3996" s="3" t="inlineStr">
        <is>
          <t>SRC_QWEN3_GITHUB; SRC_ALIBABA_QWEN_GPU_DEPLOY; SRC_EPOCH_AI_DATA_CENTERS; ASSUMP_NUMERIC_ACCELERATOR_MIX</t>
        </is>
      </c>
      <c r="K3996" s="3" t="inlineStr">
        <is>
          <t>ASSUMP_MOE_EFFICIENCY; ASSUMP_CN_CAPACITY_TRANSPARENCY; ASSUMP_NUMERIC_ACCELERATOR_MIX; ASSUMP_INFERENCE_SHARE_NOT_FACT_60; ASSUMP_WORKLOAD_CLASS_MIX; ASSUMP_AGENTIC_CONTEXT_PENALTY</t>
        </is>
      </c>
      <c r="L3996" s="3" t="inlineStr">
        <is>
          <t>Matched-workload generated-output benchmark for the provider purpose-built accelerator.</t>
        </is>
      </c>
    </row>
    <row r="3997">
      <c r="A3997" s="3" t="inlineStr">
        <is>
          <t>Alibaba</t>
        </is>
      </c>
      <c r="B3997" s="3" t="n">
        <v>2029</v>
      </c>
      <c r="C3997" s="3" t="inlineStr">
        <is>
          <t>Grid-Constrained / Efficiency-Upside</t>
        </is>
      </c>
      <c r="D3997" s="3" t="inlineStr">
        <is>
          <t>inference_power_share</t>
        </is>
      </c>
      <c r="E3997" s="3" t="n">
        <v>0.785</v>
      </c>
      <c r="F3997" s="3" t="inlineStr">
        <is>
          <t>share of AI IT load</t>
        </is>
      </c>
      <c r="G3997" s="3" t="inlineStr">
        <is>
          <t>Scenario allocation</t>
        </is>
      </c>
      <c r="H3997" s="3" t="inlineStr">
        <is>
          <t>inference_gw = ai_it_load_gw * inference_power_share</t>
        </is>
      </c>
      <c r="I3997" s="3" t="inlineStr">
        <is>
          <t>Qwen API/enterprise commercialization and MoE architecture support increasing inference allocation scenario.</t>
        </is>
      </c>
      <c r="J3997" s="3" t="inlineStr">
        <is>
          <t>SRC_QWEN3_GITHUB; SRC_ALIBABA_QWEN_GPU_DEPLOY; SRC_EPOCH_AI_DATA_CENTERS; ASSUMP_INFERENCE_SHARE_NOT_FACT_60</t>
        </is>
      </c>
      <c r="K3997" s="3" t="inlineStr">
        <is>
          <t>ASSUMP_MOE_EFFICIENCY; ASSUMP_CN_CAPACITY_TRANSPARENCY; ASSUMP_NUMERIC_ACCELERATOR_MIX; ASSUMP_INFERENCE_SHARE_NOT_FACT_60; ASSUMP_WORKLOAD_CLASS_MIX; ASSUMP_AGENTIC_CONTEXT_PENALTY</t>
        </is>
      </c>
      <c r="L3997" s="3" t="inlineStr">
        <is>
          <t>Provider-specific inference/training workload power telemetry.</t>
        </is>
      </c>
    </row>
    <row r="3998">
      <c r="A3998" s="3" t="inlineStr">
        <is>
          <t>Alibaba</t>
        </is>
      </c>
      <c r="B3998" s="3" t="n">
        <v>2029</v>
      </c>
      <c r="C3998" s="3" t="inlineStr">
        <is>
          <t>Grid-Constrained / Efficiency-Upside</t>
        </is>
      </c>
      <c r="D3998" s="3" t="inlineStr">
        <is>
          <t>inference_gw</t>
        </is>
      </c>
      <c r="E3998" s="3" t="n">
        <v>1.044</v>
      </c>
      <c r="F3998" s="3" t="inlineStr">
        <is>
          <t>GW</t>
        </is>
      </c>
      <c r="G3998" s="3" t="inlineStr">
        <is>
          <t>Derived formula</t>
        </is>
      </c>
      <c r="H3998" s="3" t="inlineStr">
        <is>
          <t>ai_it_load_gw * inference_power_share</t>
        </is>
      </c>
      <c r="I3998" s="3" t="inlineStr">
        <is>
          <t>This is the operational power eligible to become commercial generated output tokens through the selected TPS/MW proxy.</t>
        </is>
      </c>
      <c r="J3998" s="3" t="inlineStr">
        <is>
          <t>SRC_QWEN3_GITHUB; SRC_ALIBABA_QWEN_GPU_DEPLOY; SRC_EPOCH_AI_DATA_CENTERS</t>
        </is>
      </c>
      <c r="K3998" s="3" t="inlineStr">
        <is>
          <t>ASSUMP_MOE_EFFICIENCY; ASSUMP_CN_CAPACITY_TRANSPARENCY; ASSUMP_NUMERIC_ACCELERATOR_MIX; ASSUMP_INFERENCE_SHARE_NOT_FACT_60; ASSUMP_WORKLOAD_CLASS_MIX; ASSUMP_AGENTIC_CONTEXT_PENALTY</t>
        </is>
      </c>
      <c r="L3998" s="3" t="inlineStr">
        <is>
          <t>Recompute after AI allocation or inference-share evidence changes.</t>
        </is>
      </c>
    </row>
    <row r="3999">
      <c r="A3999" s="3" t="inlineStr">
        <is>
          <t>Alibaba</t>
        </is>
      </c>
      <c r="B3999" s="3" t="n">
        <v>2029</v>
      </c>
      <c r="C3999" s="3" t="inlineStr">
        <is>
          <t>Grid-Constrained / Efficiency-Upside</t>
        </is>
      </c>
      <c r="D3999" s="3" t="inlineStr">
        <is>
          <t>training_power_share</t>
        </is>
      </c>
      <c r="E3999" s="3" t="n">
        <v>0.215</v>
      </c>
      <c r="F3999" s="3" t="inlineStr">
        <is>
          <t>share of AI IT load</t>
        </is>
      </c>
      <c r="G3999" s="3" t="inlineStr">
        <is>
          <t>Derived allocation</t>
        </is>
      </c>
      <c r="H3999" s="3" t="inlineStr">
        <is>
          <t>1 - inference_power_share</t>
        </is>
      </c>
      <c r="I3999" s="3" t="inlineStr">
        <is>
          <t>Training receives the complementary modeled AI IT allocation; it is not a disclosed company workload split.</t>
        </is>
      </c>
      <c r="J3999" s="3" t="inlineStr">
        <is>
          <t>SRC_QWEN3_GITHUB; SRC_ALIBABA_QWEN_GPU_DEPLOY; SRC_EPOCH_AI_DATA_CENTERS; ASSUMP_INFERENCE_SHARE_NOT_FACT_60</t>
        </is>
      </c>
      <c r="K3999" s="3" t="inlineStr">
        <is>
          <t>ASSUMP_MOE_EFFICIENCY; ASSUMP_CN_CAPACITY_TRANSPARENCY; ASSUMP_NUMERIC_ACCELERATOR_MIX; ASSUMP_INFERENCE_SHARE_NOT_FACT_60; ASSUMP_WORKLOAD_CLASS_MIX; ASSUMP_AGENTIC_CONTEXT_PENALTY</t>
        </is>
      </c>
      <c r="L3999" s="3" t="inlineStr">
        <is>
          <t>Provider-specific inference/training workload power telemetry.</t>
        </is>
      </c>
    </row>
    <row r="4000">
      <c r="A4000" s="3" t="inlineStr">
        <is>
          <t>Alibaba</t>
        </is>
      </c>
      <c r="B4000" s="3" t="n">
        <v>2029</v>
      </c>
      <c r="C4000" s="3" t="inlineStr">
        <is>
          <t>Grid-Constrained / Efficiency-Upside</t>
        </is>
      </c>
      <c r="D4000" s="3" t="inlineStr">
        <is>
          <t>training_gw</t>
        </is>
      </c>
      <c r="E4000" s="3" t="n">
        <v>0.286</v>
      </c>
      <c r="F4000" s="3" t="inlineStr">
        <is>
          <t>GW</t>
        </is>
      </c>
      <c r="G4000" s="3" t="inlineStr">
        <is>
          <t>Derived formula</t>
        </is>
      </c>
      <c r="H4000" s="3" t="inlineStr">
        <is>
          <t>ai_it_load_gw * training_power_share</t>
        </is>
      </c>
      <c r="I4000" s="3" t="inlineStr">
        <is>
          <t>Training GW is shown separately so commercial inference token capacity is not overstated.</t>
        </is>
      </c>
      <c r="J4000" s="3" t="inlineStr">
        <is>
          <t>SRC_QWEN3_GITHUB; SRC_ALIBABA_QWEN_GPU_DEPLOY; SRC_EPOCH_AI_DATA_CENTERS</t>
        </is>
      </c>
      <c r="K4000" s="3" t="inlineStr">
        <is>
          <t>ASSUMP_MOE_EFFICIENCY; ASSUMP_CN_CAPACITY_TRANSPARENCY; ASSUMP_NUMERIC_ACCELERATOR_MIX; ASSUMP_INFERENCE_SHARE_NOT_FACT_60; ASSUMP_WORKLOAD_CLASS_MIX; ASSUMP_AGENTIC_CONTEXT_PENALTY</t>
        </is>
      </c>
      <c r="L4000" s="3" t="inlineStr">
        <is>
          <t>Recompute after AI allocation or workload-split evidence changes.</t>
        </is>
      </c>
    </row>
    <row r="4001">
      <c r="A4001" s="3" t="inlineStr">
        <is>
          <t>Alibaba</t>
        </is>
      </c>
      <c r="B4001" s="3" t="n">
        <v>2029</v>
      </c>
      <c r="C4001" s="3" t="inlineStr">
        <is>
          <t>Grid-Constrained / Efficiency-Upside</t>
        </is>
      </c>
      <c r="D4001" s="3" t="inlineStr">
        <is>
          <t>tokens_per_second_per_mw</t>
        </is>
      </c>
      <c r="E4001" s="3" t="n">
        <v>149932</v>
      </c>
      <c r="F4001" s="3" t="inlineStr">
        <is>
          <t>generated output tokens/sec/MW</t>
        </is>
      </c>
      <c r="G4001" s="3" t="inlineStr">
        <is>
          <t>Derived estimate + benchmark calibration</t>
        </is>
      </c>
      <c r="H4001" s="3" t="inlineStr">
        <is>
          <t>fleet_reference_tps_per_mw * commercial_workload_fit_factor</t>
        </is>
      </c>
      <c r="I4001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01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4001" s="3" t="inlineStr">
        <is>
          <t>ASSUMP_MOE_EFFICIENCY; ASSUMP_CN_CAPACITY_TRANSPARENCY; ASSUMP_NUMERIC_ACCELERATOR_MIX; ASSUMP_INFERENCE_SHARE_NOT_FACT_60; ASSUMP_WORKLOAD_CLASS_MIX; ASSUMP_AGENTIC_CONTEXT_PENALTY</t>
        </is>
      </c>
      <c r="L4001" s="3" t="inlineStr">
        <is>
          <t>Comparable production output-token throughput with model, hardware, precision, ISL/OSL and SLO matched.</t>
        </is>
      </c>
    </row>
    <row r="4002">
      <c r="A4002" s="3" t="inlineStr">
        <is>
          <t>Alibaba</t>
        </is>
      </c>
      <c r="B4002" s="3" t="n">
        <v>2029</v>
      </c>
      <c r="C4002" s="3" t="inlineStr">
        <is>
          <t>Grid-Constrained / Efficiency-Upside</t>
        </is>
      </c>
      <c r="D4002" s="3" t="inlineStr">
        <is>
          <t>inference_tokens_per_day</t>
        </is>
      </c>
      <c r="E4002" s="3" t="n">
        <v>13524106291200</v>
      </c>
      <c r="F4002" s="3" t="inlineStr">
        <is>
          <t>generated output tokens/day</t>
        </is>
      </c>
      <c r="G4002" s="3" t="inlineStr">
        <is>
          <t>Derived headline metric</t>
        </is>
      </c>
      <c r="H4002" s="3" t="inlineStr">
        <is>
          <t>inference_gw * 1000 * tokens_per_second_per_mw * 86,400</t>
        </is>
      </c>
      <c r="I4002" s="3" t="inlineStr">
        <is>
          <t>Headline capacity uses no utilization, MoE, architecture or software-growth multiplier; it is not observed commercial output volume.</t>
        </is>
      </c>
      <c r="J4002" s="3" t="inlineStr">
        <is>
          <t>SRC_QWEN3_GITHUB; SRC_ALIBABA_QWEN_GPU_DEPLOY; SRC_EPOCH_AI_DATA_CENTERS; SRC_SEMIANALYSIS_INFERENCEX</t>
        </is>
      </c>
      <c r="K4002" s="3" t="inlineStr">
        <is>
          <t>ASSUMP_MOE_EFFICIENCY; ASSUMP_CN_CAPACITY_TRANSPARENCY; ASSUMP_NUMERIC_ACCELERATOR_MIX; ASSUMP_INFERENCE_SHARE_NOT_FACT_60; ASSUMP_WORKLOAD_CLASS_MIX; ASSUMP_AGENTIC_CONTEXT_PENALTY</t>
        </is>
      </c>
      <c r="L4002" s="3" t="inlineStr">
        <is>
          <t>Provider-disclosed generated output token volume or calibrated capacity telemetry.</t>
        </is>
      </c>
    </row>
    <row r="4003">
      <c r="A4003" s="3" t="inlineStr">
        <is>
          <t>Alibaba</t>
        </is>
      </c>
      <c r="B4003" s="3" t="n">
        <v>2029</v>
      </c>
      <c r="C4003" s="3" t="inlineStr">
        <is>
          <t>Grid-Constrained / Efficiency-Upside</t>
        </is>
      </c>
      <c r="D4003" s="3" t="inlineStr">
        <is>
          <t>inference_tokens_per_year</t>
        </is>
      </c>
      <c r="E4003" s="3" t="n">
        <v>4936298796288000</v>
      </c>
      <c r="F4003" s="3" t="inlineStr">
        <is>
          <t>generated output tokens/year</t>
        </is>
      </c>
      <c r="G4003" s="3" t="inlineStr">
        <is>
          <t>Derived headline metric</t>
        </is>
      </c>
      <c r="H4003" s="3" t="inlineStr">
        <is>
          <t>inference_tokens_per_day * 365</t>
        </is>
      </c>
      <c r="I4003" s="3" t="inlineStr">
        <is>
          <t>Annualized version of generated output token capacity; it is not observed annual demand or billable volume.</t>
        </is>
      </c>
      <c r="J4003" s="3" t="inlineStr">
        <is>
          <t>SRC_QWEN3_GITHUB; SRC_ALIBABA_QWEN_GPU_DEPLOY; SRC_EPOCH_AI_DATA_CENTERS; SRC_SEMIANALYSIS_INFERENCEX</t>
        </is>
      </c>
      <c r="K4003" s="3" t="inlineStr">
        <is>
          <t>ASSUMP_MOE_EFFICIENCY; ASSUMP_CN_CAPACITY_TRANSPARENCY; ASSUMP_NUMERIC_ACCELERATOR_MIX; ASSUMP_INFERENCE_SHARE_NOT_FACT_60; ASSUMP_WORKLOAD_CLASS_MIX; ASSUMP_AGENTIC_CONTEXT_PENALTY</t>
        </is>
      </c>
      <c r="L4003" s="3" t="inlineStr">
        <is>
          <t>Provider-disclosed annual generated-output volume or metered serving telemetry.</t>
        </is>
      </c>
    </row>
    <row r="4004">
      <c r="A4004" s="3" t="inlineStr">
        <is>
          <t>Alibaba</t>
        </is>
      </c>
      <c r="B4004" s="3" t="n">
        <v>2030</v>
      </c>
      <c r="C4004" s="3" t="inlineStr">
        <is>
          <t>Grid-Constrained / Efficiency-Upside</t>
        </is>
      </c>
      <c r="D4004" s="3" t="inlineStr">
        <is>
          <t>contracted_power_gw</t>
        </is>
      </c>
      <c r="E4004" s="3" t="n">
        <v>4</v>
      </c>
      <c r="F4004" s="3" t="inlineStr">
        <is>
          <t>GW</t>
        </is>
      </c>
      <c r="G4004" s="3" t="inlineStr">
        <is>
          <t>Scenario capacity envelope</t>
        </is>
      </c>
      <c r="H4004" s="3" t="inlineStr">
        <is>
          <t>linear interpolation between 2026 and 2030 company capacity endpoints</t>
        </is>
      </c>
      <c r="I4004" s="3" t="inlineStr">
        <is>
          <t>Alibaba Cloud/Qwen capacity is a scenario envelope; official model and deployment documentation does not state operated GW.</t>
        </is>
      </c>
      <c r="J4004" s="3" t="inlineStr">
        <is>
          <t>SRC_ALIBABA_QWEN_GPU_DEPLOY; ASSUMP_CN_CAPACITY_TRANSPARENCY</t>
        </is>
      </c>
      <c r="K4004" s="3" t="inlineStr">
        <is>
          <t>ASSUMP_MOE_EFFICIENCY; ASSUMP_CN_CAPACITY_TRANSPARENCY; ASSUMP_NUMERIC_ACCELERATOR_MIX; ASSUMP_INFERENCE_SHARE_NOT_FACT_60; ASSUMP_WORKLOAD_CLASS_MIX; ASSUMP_AGENTIC_CONTEXT_PENALTY</t>
        </is>
      </c>
      <c r="L4004" s="3" t="inlineStr">
        <is>
          <t>Company/site-level committed MW/GW, interconnect and contract disclosure.</t>
        </is>
      </c>
    </row>
    <row r="4005">
      <c r="A4005" s="3" t="inlineStr">
        <is>
          <t>Alibaba</t>
        </is>
      </c>
      <c r="B4005" s="3" t="n">
        <v>2030</v>
      </c>
      <c r="C4005" s="3" t="inlineStr">
        <is>
          <t>Grid-Constrained / Efficiency-Upside</t>
        </is>
      </c>
      <c r="D4005" s="3" t="inlineStr">
        <is>
          <t>operational_deployment_share</t>
        </is>
      </c>
      <c r="E4005" s="3" t="n">
        <v>0.576</v>
      </c>
      <c r="F4005" s="3" t="inlineStr">
        <is>
          <t>share</t>
        </is>
      </c>
      <c r="G4005" s="3" t="inlineStr">
        <is>
          <t>Scenario conversion</t>
        </is>
      </c>
      <c r="H4005" s="3" t="inlineStr">
        <is>
          <t>active_power_gw / contracted_power_gw</t>
        </is>
      </c>
      <c r="I4005" s="3" t="inlineStr">
        <is>
          <t>This is the single explicit conversion from contracted/attributed capacity to operationally usable capacity.</t>
        </is>
      </c>
      <c r="J4005" s="3" t="inlineStr">
        <is>
          <t>SRC_ALIBABA_QWEN_GPU_DEPLOY; ASSUMP_CN_CAPACITY_TRANSPARENCY</t>
        </is>
      </c>
      <c r="K4005" s="3" t="inlineStr">
        <is>
          <t>ASSUMP_MOE_EFFICIENCY; ASSUMP_CN_CAPACITY_TRANSPARENCY; ASSUMP_NUMERIC_ACCELERATOR_MIX; ASSUMP_INFERENCE_SHARE_NOT_FACT_60; ASSUMP_WORKLOAD_CLASS_MIX; ASSUMP_AGENTIC_CONTEXT_PENALTY</t>
        </is>
      </c>
      <c r="L4005" s="3" t="inlineStr">
        <is>
          <t>Energized operational capacity divided by contracted/attributed capacity.</t>
        </is>
      </c>
    </row>
    <row r="4006">
      <c r="A4006" s="3" t="inlineStr">
        <is>
          <t>Alibaba</t>
        </is>
      </c>
      <c r="B4006" s="3" t="n">
        <v>2030</v>
      </c>
      <c r="C4006" s="3" t="inlineStr">
        <is>
          <t>Grid-Constrained / Efficiency-Upside</t>
        </is>
      </c>
      <c r="D4006" s="3" t="inlineStr">
        <is>
          <t>active_power_gw</t>
        </is>
      </c>
      <c r="E4006" s="3" t="n">
        <v>2.304</v>
      </c>
      <c r="F4006" s="3" t="inlineStr">
        <is>
          <t>GW</t>
        </is>
      </c>
      <c r="G4006" s="3" t="inlineStr">
        <is>
          <t>Derived scenario</t>
        </is>
      </c>
      <c r="H4006" s="3" t="inlineStr">
        <is>
          <t>contracted_power_gw * operational_deployment_share</t>
        </is>
      </c>
      <c r="I4006" s="3" t="inlineStr">
        <is>
          <t>Active GW is staged below capacity due to undisclosed accelerator allocation and cloud multi-tenant use.</t>
        </is>
      </c>
      <c r="J4006" s="3" t="inlineStr">
        <is>
          <t>SRC_ALIBABA_QWEN_GPU_DEPLOY; ASSUMP_CN_CAPACITY_TRANSPARENCY</t>
        </is>
      </c>
      <c r="K4006" s="3" t="inlineStr">
        <is>
          <t>ASSUMP_MOE_EFFICIENCY; ASSUMP_CN_CAPACITY_TRANSPARENCY; ASSUMP_NUMERIC_ACCELERATOR_MIX; ASSUMP_INFERENCE_SHARE_NOT_FACT_60; ASSUMP_WORKLOAD_CLASS_MIX; ASSUMP_AGENTIC_CONTEXT_PENALTY</t>
        </is>
      </c>
      <c r="L4006" s="3" t="inlineStr">
        <is>
          <t>Energization dates, accelerator deliveries and operational powered-rack telemetry.</t>
        </is>
      </c>
    </row>
    <row r="4007">
      <c r="A4007" s="3" t="inlineStr">
        <is>
          <t>Alibaba</t>
        </is>
      </c>
      <c r="B4007" s="3" t="n">
        <v>2030</v>
      </c>
      <c r="C4007" s="3" t="inlineStr">
        <is>
          <t>Grid-Constrained / Efficiency-Upside</t>
        </is>
      </c>
      <c r="D4007" s="3" t="inlineStr">
        <is>
          <t>pue</t>
        </is>
      </c>
      <c r="E4007" s="3" t="n">
        <v>1.23</v>
      </c>
      <c r="F4007" s="3" t="inlineStr">
        <is>
          <t>ratio</t>
        </is>
      </c>
      <c r="G4007" s="3" t="inlineStr">
        <is>
          <t>Scenario parameter</t>
        </is>
      </c>
      <c r="H4007" s="3" t="inlineStr">
        <is>
          <t>it_load_gw = active_power_gw / pue</t>
        </is>
      </c>
      <c r="I4007" s="3" t="inlineStr">
        <is>
          <t>No provider-wide site-level PUE is used as a disclosed fact; PUE represents facility-to-IT conversion within the scenario.</t>
        </is>
      </c>
      <c r="J4007" s="3" t="inlineStr">
        <is>
          <t>ASSUMP_POWER_RAMP</t>
        </is>
      </c>
      <c r="K4007" s="3" t="inlineStr">
        <is>
          <t>ASSUMP_MOE_EFFICIENCY; ASSUMP_CN_CAPACITY_TRANSPARENCY; ASSUMP_NUMERIC_ACCELERATOR_MIX; ASSUMP_INFERENCE_SHARE_NOT_FACT_60; ASSUMP_WORKLOAD_CLASS_MIX; ASSUMP_AGENTIC_CONTEXT_PENALTY</t>
        </is>
      </c>
      <c r="L4007" s="3" t="inlineStr">
        <is>
          <t>Site-level measured PUE matched to attributed AI capacity.</t>
        </is>
      </c>
    </row>
    <row r="4008">
      <c r="A4008" s="3" t="inlineStr">
        <is>
          <t>Alibaba</t>
        </is>
      </c>
      <c r="B4008" s="3" t="n">
        <v>2030</v>
      </c>
      <c r="C4008" s="3" t="inlineStr">
        <is>
          <t>Grid-Constrained / Efficiency-Upside</t>
        </is>
      </c>
      <c r="D4008" s="3" t="inlineStr">
        <is>
          <t>it_load_gw</t>
        </is>
      </c>
      <c r="E4008" s="3" t="n">
        <v>1.873</v>
      </c>
      <c r="F4008" s="3" t="inlineStr">
        <is>
          <t>GW</t>
        </is>
      </c>
      <c r="G4008" s="3" t="inlineStr">
        <is>
          <t>Derived formula</t>
        </is>
      </c>
      <c r="H4008" s="3" t="inlineStr">
        <is>
          <t>active_power_gw / pue</t>
        </is>
      </c>
      <c r="I4008" s="3" t="inlineStr">
        <is>
          <t>Facility power is converted to IT-deliverable power before attributing AI workloads.</t>
        </is>
      </c>
      <c r="J4008" s="3" t="inlineStr">
        <is>
          <t>SRC_ALIBABA_QWEN_GPU_DEPLOY; ASSUMP_CN_CAPACITY_TRANSPARENCY</t>
        </is>
      </c>
      <c r="K4008" s="3" t="inlineStr">
        <is>
          <t>ASSUMP_MOE_EFFICIENCY; ASSUMP_CN_CAPACITY_TRANSPARENCY; ASSUMP_NUMERIC_ACCELERATOR_MIX; ASSUMP_INFERENCE_SHARE_NOT_FACT_60; ASSUMP_WORKLOAD_CLASS_MIX; ASSUMP_AGENTIC_CONTEXT_PENALTY</t>
        </is>
      </c>
      <c r="L4008" s="3" t="inlineStr">
        <is>
          <t>Recompute once active power and PUE become site-observable.</t>
        </is>
      </c>
    </row>
    <row r="4009">
      <c r="A4009" s="3" t="inlineStr">
        <is>
          <t>Alibaba</t>
        </is>
      </c>
      <c r="B4009" s="3" t="n">
        <v>2030</v>
      </c>
      <c r="C4009" s="3" t="inlineStr">
        <is>
          <t>Grid-Constrained / Efficiency-Upside</t>
        </is>
      </c>
      <c r="D4009" s="3" t="inlineStr">
        <is>
          <t>ai_workload_share</t>
        </is>
      </c>
      <c r="E4009" s="3" t="n">
        <v>0.84</v>
      </c>
      <c r="F4009" s="3" t="inlineStr">
        <is>
          <t>share</t>
        </is>
      </c>
      <c r="G4009" s="3" t="inlineStr">
        <is>
          <t>Scenario allocation</t>
        </is>
      </c>
      <c r="H4009" s="3" t="inlineStr">
        <is>
          <t>ai_it_load_gw = it_load_gw * ai_workload_share</t>
        </is>
      </c>
      <c r="I4009" s="3" t="inlineStr">
        <is>
          <t>Model Studio/Qwen-serving envelope is AI-focused, while cloud platform/reserve allocation is excluded through 84%.</t>
        </is>
      </c>
      <c r="J4009" s="3" t="inlineStr">
        <is>
          <t>SRC_QWEN3_GITHUB; SRC_ALIBABA_QWEN_GPU_DEPLOY; SRC_EPOCH_AI_DATA_CENTERS</t>
        </is>
      </c>
      <c r="K4009" s="3" t="inlineStr">
        <is>
          <t>ASSUMP_MOE_EFFICIENCY; ASSUMP_CN_CAPACITY_TRANSPARENCY; ASSUMP_NUMERIC_ACCELERATOR_MIX; ASSUMP_INFERENCE_SHARE_NOT_FACT_60; ASSUMP_WORKLOAD_CLASS_MIX; ASSUMP_AGENTIC_CONTEXT_PENALTY</t>
        </is>
      </c>
      <c r="L4009" s="3" t="inlineStr">
        <is>
          <t>Model-owner AI workload allocation or cluster scheduling telemetry.</t>
        </is>
      </c>
    </row>
    <row r="4010">
      <c r="A4010" s="3" t="inlineStr">
        <is>
          <t>Alibaba</t>
        </is>
      </c>
      <c r="B4010" s="3" t="n">
        <v>2030</v>
      </c>
      <c r="C4010" s="3" t="inlineStr">
        <is>
          <t>Grid-Constrained / Efficiency-Upside</t>
        </is>
      </c>
      <c r="D4010" s="3" t="inlineStr">
        <is>
          <t>ai_it_load_gw</t>
        </is>
      </c>
      <c r="E4010" s="3" t="n">
        <v>1.573</v>
      </c>
      <c r="F4010" s="3" t="inlineStr">
        <is>
          <t>GW</t>
        </is>
      </c>
      <c r="G4010" s="3" t="inlineStr">
        <is>
          <t>Derived formula</t>
        </is>
      </c>
      <c r="H4010" s="3" t="inlineStr">
        <is>
          <t>it_load_gw * ai_workload_share</t>
        </is>
      </c>
      <c r="I4010" s="3" t="inlineStr">
        <is>
          <t>Only the AI-attributed portion of IT load enters training/inference allocation.</t>
        </is>
      </c>
      <c r="J4010" s="3" t="inlineStr">
        <is>
          <t>SRC_QWEN3_GITHUB; SRC_ALIBABA_QWEN_GPU_DEPLOY; SRC_EPOCH_AI_DATA_CENTERS</t>
        </is>
      </c>
      <c r="K4010" s="3" t="inlineStr">
        <is>
          <t>ASSUMP_MOE_EFFICIENCY; ASSUMP_CN_CAPACITY_TRANSPARENCY; ASSUMP_NUMERIC_ACCELERATOR_MIX; ASSUMP_INFERENCE_SHARE_NOT_FACT_60; ASSUMP_WORKLOAD_CLASS_MIX; ASSUMP_AGENTIC_CONTEXT_PENALTY</t>
        </is>
      </c>
      <c r="L4010" s="3" t="inlineStr">
        <is>
          <t>Recompute after ai_workload_share is replaced by telemetry.</t>
        </is>
      </c>
    </row>
    <row r="4011">
      <c r="A4011" s="3" t="inlineStr">
        <is>
          <t>Alibaba</t>
        </is>
      </c>
      <c r="B4011" s="3" t="n">
        <v>2030</v>
      </c>
      <c r="C4011" s="3" t="inlineStr">
        <is>
          <t>Grid-Constrained / Efficiency-Upside</t>
        </is>
      </c>
      <c r="D4011" s="3" t="inlineStr">
        <is>
          <t>gpu_share</t>
        </is>
      </c>
      <c r="E4011" s="3" t="n">
        <v>1</v>
      </c>
      <c r="F4011" s="3" t="inlineStr">
        <is>
          <t>share of inference-serving accelerator load</t>
        </is>
      </c>
      <c r="G4011" s="3" t="inlineStr">
        <is>
          <t>Numeric scenario</t>
        </is>
      </c>
      <c r="H4011" s="3" t="inlineStr">
        <is>
          <t>gpu_share interpolated from company 2026/2030 accelerator-mix endpoints</t>
        </is>
      </c>
      <c r="I4011" s="3" t="inlineStr">
        <is>
          <t>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4011" s="3" t="inlineStr">
        <is>
          <t>SRC_QWEN3_GITHUB; SRC_ALIBABA_QWEN_GPU_DEPLOY; SRC_EPOCH_AI_DATA_CENTERS; ASSUMP_NUMERIC_ACCELERATOR_MIX</t>
        </is>
      </c>
      <c r="K4011" s="3" t="inlineStr">
        <is>
          <t>ASSUMP_MOE_EFFICIENCY; ASSUMP_CN_CAPACITY_TRANSPARENCY; ASSUMP_NUMERIC_ACCELERATOR_MIX; ASSUMP_INFERENCE_SHARE_NOT_FACT_60; ASSUMP_WORKLOAD_CLASS_MIX; ASSUMP_AGENTIC_CONTEXT_PENALTY</t>
        </is>
      </c>
      <c r="L4011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4012">
      <c r="A4012" s="3" t="inlineStr">
        <is>
          <t>Alibaba</t>
        </is>
      </c>
      <c r="B4012" s="3" t="n">
        <v>2030</v>
      </c>
      <c r="C4012" s="3" t="inlineStr">
        <is>
          <t>Grid-Constrained / Efficiency-Upside</t>
        </is>
      </c>
      <c r="D4012" s="3" t="inlineStr">
        <is>
          <t>h200_share</t>
        </is>
      </c>
      <c r="E4012" s="3" t="n">
        <v>1</v>
      </c>
      <c r="F4012" s="3" t="inlineStr">
        <is>
          <t>share of inference-serving accelerator load</t>
        </is>
      </c>
      <c r="G4012" s="3" t="inlineStr">
        <is>
          <t>Editable numeric scenario</t>
        </is>
      </c>
      <c r="H4012" s="3" t="inlineStr">
        <is>
          <t>h200_share = gpu_share * default_gpu_generation_mix_h200</t>
        </is>
      </c>
      <c r="I4012" s="3" t="inlineStr">
        <is>
          <t>Default GPU-generation migration assumption; executive workbook allows later manual replacement by company/year/scenario.</t>
        </is>
      </c>
      <c r="J4012" s="3" t="inlineStr">
        <is>
          <t>SRC_SEMIANALYSIS_INFERENCEX; ASSUMP_NUMERIC_ACCELERATOR_MIX</t>
        </is>
      </c>
      <c r="K4012" s="3" t="inlineStr">
        <is>
          <t>ASSUMP_MOE_EFFICIENCY; ASSUMP_CN_CAPACITY_TRANSPARENCY; ASSUMP_NUMERIC_ACCELERATOR_MIX; ASSUMP_INFERENCE_SHARE_NOT_FACT_60; ASSUMP_WORKLOAD_CLASS_MIX; ASSUMP_AGENTIC_CONTEXT_PENALTY</t>
        </is>
      </c>
      <c r="L4012" s="3" t="inlineStr">
        <is>
          <t>Company fleet inventory, accelerator-hours or procurement/deployment records by GPU generation.</t>
        </is>
      </c>
    </row>
    <row r="4013">
      <c r="A4013" s="3" t="inlineStr">
        <is>
          <t>Alibaba</t>
        </is>
      </c>
      <c r="B4013" s="3" t="n">
        <v>2030</v>
      </c>
      <c r="C4013" s="3" t="inlineStr">
        <is>
          <t>Grid-Constrained / Efficiency-Upside</t>
        </is>
      </c>
      <c r="D4013" s="3" t="inlineStr">
        <is>
          <t>b200_share</t>
        </is>
      </c>
      <c r="E4013" s="3" t="n">
        <v>0</v>
      </c>
      <c r="F4013" s="3" t="inlineStr">
        <is>
          <t>share of inference-serving accelerator load</t>
        </is>
      </c>
      <c r="G4013" s="3" t="inlineStr">
        <is>
          <t>Editable numeric scenario</t>
        </is>
      </c>
      <c r="H4013" s="3" t="inlineStr">
        <is>
          <t>b200_share = gpu_share * default_gpu_generation_mix_b200</t>
        </is>
      </c>
      <c r="I4013" s="3" t="inlineStr">
        <is>
          <t>Default GPU-generation migration assumption; executive workbook allows later manual replacement by company/year/scenario.</t>
        </is>
      </c>
      <c r="J4013" s="3" t="inlineStr">
        <is>
          <t>SRC_SEMIANALYSIS_INFERENCEX; ASSUMP_NUMERIC_ACCELERATOR_MIX</t>
        </is>
      </c>
      <c r="K4013" s="3" t="inlineStr">
        <is>
          <t>ASSUMP_MOE_EFFICIENCY; ASSUMP_CN_CAPACITY_TRANSPARENCY; ASSUMP_NUMERIC_ACCELERATOR_MIX; ASSUMP_INFERENCE_SHARE_NOT_FACT_60; ASSUMP_WORKLOAD_CLASS_MIX; ASSUMP_AGENTIC_CONTEXT_PENALTY</t>
        </is>
      </c>
      <c r="L4013" s="3" t="inlineStr">
        <is>
          <t>Company fleet inventory, accelerator-hours or procurement/deployment records by GPU generation.</t>
        </is>
      </c>
    </row>
    <row r="4014">
      <c r="A4014" s="3" t="inlineStr">
        <is>
          <t>Alibaba</t>
        </is>
      </c>
      <c r="B4014" s="3" t="n">
        <v>2030</v>
      </c>
      <c r="C4014" s="3" t="inlineStr">
        <is>
          <t>Grid-Constrained / Efficiency-Upside</t>
        </is>
      </c>
      <c r="D4014" s="3" t="inlineStr">
        <is>
          <t>gb200_share</t>
        </is>
      </c>
      <c r="E4014" s="3" t="n">
        <v>0</v>
      </c>
      <c r="F4014" s="3" t="inlineStr">
        <is>
          <t>share of inference-serving accelerator load</t>
        </is>
      </c>
      <c r="G4014" s="3" t="inlineStr">
        <is>
          <t>Editable numeric scenario</t>
        </is>
      </c>
      <c r="H4014" s="3" t="inlineStr">
        <is>
          <t>gb200_share = gpu_share * default_gpu_generation_mix_gb200</t>
        </is>
      </c>
      <c r="I4014" s="3" t="inlineStr">
        <is>
          <t>Default GPU-generation migration assumption; executive workbook allows later manual replacement by company/year/scenario.</t>
        </is>
      </c>
      <c r="J4014" s="3" t="inlineStr">
        <is>
          <t>SRC_SEMIANALYSIS_INFERENCEX; ASSUMP_NUMERIC_ACCELERATOR_MIX</t>
        </is>
      </c>
      <c r="K4014" s="3" t="inlineStr">
        <is>
          <t>ASSUMP_MOE_EFFICIENCY; ASSUMP_CN_CAPACITY_TRANSPARENCY; ASSUMP_NUMERIC_ACCELERATOR_MIX; ASSUMP_INFERENCE_SHARE_NOT_FACT_60; ASSUMP_WORKLOAD_CLASS_MIX; ASSUMP_AGENTIC_CONTEXT_PENALTY</t>
        </is>
      </c>
      <c r="L4014" s="3" t="inlineStr">
        <is>
          <t>Company fleet inventory, accelerator-hours or procurement/deployment records by GPU generation.</t>
        </is>
      </c>
    </row>
    <row r="4015">
      <c r="A4015" s="3" t="inlineStr">
        <is>
          <t>Alibaba</t>
        </is>
      </c>
      <c r="B4015" s="3" t="n">
        <v>2030</v>
      </c>
      <c r="C4015" s="3" t="inlineStr">
        <is>
          <t>Grid-Constrained / Efficiency-Upside</t>
        </is>
      </c>
      <c r="D4015" s="3" t="inlineStr">
        <is>
          <t>purpose_built_accelerator_share</t>
        </is>
      </c>
      <c r="E4015" s="3" t="n">
        <v>0</v>
      </c>
      <c r="F4015" s="3" t="inlineStr">
        <is>
          <t>share of inference-serving accelerator load</t>
        </is>
      </c>
      <c r="G4015" s="3" t="inlineStr">
        <is>
          <t>Numeric scenario</t>
        </is>
      </c>
      <c r="H4015" s="3" t="inlineStr">
        <is>
          <t>1 - gpu_share</t>
        </is>
      </c>
      <c r="I4015" s="3" t="inlineStr">
        <is>
          <t>Purpose-built bucket: No disclosed Qwen operated ASIC share. Derived by capacity-weighting 02a_DC_Capacity_Alloc rows against 02b_DC_Accelerator_Mix rows, using inference-weighted capacity only. Alibaba Cloud officially documents GPU-based Qwen inference deployment, but not the operated Qwen GPU/ASIC fleet allocation. Base remains GPU-reference.</t>
        </is>
      </c>
      <c r="J4015" s="3" t="inlineStr">
        <is>
          <t>SRC_QWEN3_GITHUB; SRC_ALIBABA_QWEN_GPU_DEPLOY; SRC_EPOCH_AI_DATA_CENTERS; ASSUMP_NUMERIC_ACCELERATOR_MIX</t>
        </is>
      </c>
      <c r="K4015" s="3" t="inlineStr">
        <is>
          <t>ASSUMP_MOE_EFFICIENCY; ASSUMP_CN_CAPACITY_TRANSPARENCY; ASSUMP_NUMERIC_ACCELERATOR_MIX; ASSUMP_INFERENCE_SHARE_NOT_FACT_60; ASSUMP_WORKLOAD_CLASS_MIX; ASSUMP_AGENTIC_CONTEXT_PENALTY</t>
        </is>
      </c>
      <c r="L4015" s="3" t="inlineStr">
        <is>
          <t>Replace 02a datacenter capacity allocations and 02b datacenter accelerator mix with contract/procurement telemetry. Alibaba-operated Qwen fleet mix or production Model Studio output tokens/MW.</t>
        </is>
      </c>
    </row>
    <row r="4016">
      <c r="A4016" s="3" t="inlineStr">
        <is>
          <t>Alibaba</t>
        </is>
      </c>
      <c r="B4016" s="3" t="n">
        <v>2030</v>
      </c>
      <c r="C4016" s="3" t="inlineStr">
        <is>
          <t>Grid-Constrained / Efficiency-Upside</t>
        </is>
      </c>
      <c r="D4016" s="3" t="inlineStr">
        <is>
          <t>fleet_reference_tps_per_mw</t>
        </is>
      </c>
      <c r="E4016" s="3" t="n">
        <v>166591</v>
      </c>
      <c r="F4016" s="3" t="inlineStr">
        <is>
          <t>generated output tokens/sec/MW</t>
        </is>
      </c>
      <c r="G4016" s="3" t="inlineStr">
        <is>
          <t>Fleet-weighted public benchmark reference</t>
        </is>
      </c>
      <c r="H4016" s="3" t="inlineStr">
        <is>
          <t>h200_share*h200_workload_avg + b200_share*b200_workload_avg + gb200_share*gb200_workload_avg + purpose_built_share*purpose_workload_avg</t>
        </is>
      </c>
      <c r="I4016" s="3" t="inlineStr">
        <is>
          <t>Selected InferenceX proxy model: qwen3.5. Each GPU-generation reference first averages short_chat, long_chat and agentic TPS/MW using company workload mix; purpose-built remains a documented B200 placeholder.</t>
        </is>
      </c>
      <c r="J4016" s="3" t="inlineStr">
        <is>
          <t>SRC_SEMIANALYSIS_INFERENCEX; ASSUMP_NUMERIC_ACCELERATOR_MIX; ASSUMP_WORKLOAD_CLASS_MIX; ASSUMP_AGENTIC_CONTEXT_PENALTY</t>
        </is>
      </c>
      <c r="K4016" s="3" t="inlineStr">
        <is>
          <t>ASSUMP_MOE_EFFICIENCY; ASSUMP_CN_CAPACITY_TRANSPARENCY; ASSUMP_NUMERIC_ACCELERATOR_MIX; ASSUMP_INFERENCE_SHARE_NOT_FACT_60; ASSUMP_WORKLOAD_CLASS_MIX; ASSUMP_AGENTIC_CONTEXT_PENALTY</t>
        </is>
      </c>
      <c r="L4016" s="3" t="inlineStr">
        <is>
          <t>Comparable production output-token throughput or a more closely matched benchmark.</t>
        </is>
      </c>
    </row>
    <row r="4017">
      <c r="A4017" s="3" t="inlineStr">
        <is>
          <t>Alibaba</t>
        </is>
      </c>
      <c r="B4017" s="3" t="n">
        <v>2030</v>
      </c>
      <c r="C4017" s="3" t="inlineStr">
        <is>
          <t>Grid-Constrained / Efficiency-Upside</t>
        </is>
      </c>
      <c r="D4017" s="3" t="inlineStr">
        <is>
          <t>commercial_workload_fit_factor</t>
        </is>
      </c>
      <c r="E4017" s="3" t="n">
        <v>0.9</v>
      </c>
      <c r="F4017" s="3" t="inlineStr">
        <is>
          <t>share of public reference throughput</t>
        </is>
      </c>
      <c r="G4017" s="3" t="inlineStr">
        <is>
          <t>Scenario assumption</t>
        </is>
      </c>
      <c r="H4017" s="3" t="inlineStr">
        <is>
          <t>reference_serving_tps_per_mw = fleet_reference_tps_per_mw * commercial_workload_fit_factor</t>
        </is>
      </c>
      <c r="I4017" s="3" t="inlineStr">
        <is>
          <t>Commercial workload class: Qwen API / enterprise MoE assistant. Company mix uses short_chat=45%, long_chat=35%, agentic=20%; closed-model, reasoning, long-context and SLO mismatch stays explicit.</t>
        </is>
      </c>
      <c r="J4017" s="3" t="inlineStr">
        <is>
          <t>SRC_SEMIANALYSIS_INFERENCEX; ASSUMP_NUMERIC_ACCELERATOR_MIX; ASSUMP_WORKLOAD_CLASS_MIX; ASSUMP_AGENTIC_CONTEXT_PENALTY</t>
        </is>
      </c>
      <c r="K4017" s="3" t="inlineStr">
        <is>
          <t>ASSUMP_MOE_EFFICIENCY; ASSUMP_CN_CAPACITY_TRANSPARENCY; ASSUMP_NUMERIC_ACCELERATOR_MIX; ASSUMP_INFERENCE_SHARE_NOT_FACT_60; ASSUMP_WORKLOAD_CLASS_MIX; ASSUMP_AGENTIC_CONTEXT_PENALTY</t>
        </is>
      </c>
      <c r="L4017" s="3" t="inlineStr">
        <is>
          <t>Matched commercial serving benchmark by product surface, context shape and latency SLO.</t>
        </is>
      </c>
    </row>
    <row r="4018">
      <c r="A4018" s="3" t="inlineStr">
        <is>
          <t>Alibaba</t>
        </is>
      </c>
      <c r="B4018" s="3" t="n">
        <v>2030</v>
      </c>
      <c r="C4018" s="3" t="inlineStr">
        <is>
          <t>Grid-Constrained / Efficiency-Upside</t>
        </is>
      </c>
      <c r="D4018" s="3" t="inlineStr">
        <is>
          <t>reference_serving_tps_per_mw</t>
        </is>
      </c>
      <c r="E4018" s="3" t="n">
        <v>149932</v>
      </c>
      <c r="F4018" s="3" t="inlineStr">
        <is>
          <t>generated output tokens/sec/MW</t>
        </is>
      </c>
      <c r="G4018" s="3" t="inlineStr">
        <is>
          <t>Workload-adjusted benchmark proxy</t>
        </is>
      </c>
      <c r="H4018" s="3" t="inlineStr">
        <is>
          <t>fleet_reference_tps_per_mw * commercial_workload_fit_factor</t>
        </is>
      </c>
      <c r="I4018" s="3" t="inlineStr">
        <is>
          <t>This is the coefficient used for headline token generation; each GPU's short chat, long chat and agentic TPS/MW are weighted before fleet mix and commercial fit are applied.</t>
        </is>
      </c>
      <c r="J4018" s="3" t="inlineStr">
        <is>
          <t>SRC_SEMIANALYSIS_INFERENCEX; ASSUMP_NUMERIC_ACCELERATOR_MIX; ASSUMP_WORKLOAD_CLASS_MIX; ASSUMP_AGENTIC_CONTEXT_PENALTY</t>
        </is>
      </c>
      <c r="K4018" s="3" t="inlineStr">
        <is>
          <t>ASSUMP_MOE_EFFICIENCY; ASSUMP_CN_CAPACITY_TRANSPARENCY; ASSUMP_NUMERIC_ACCELERATOR_MIX; ASSUMP_INFERENCE_SHARE_NOT_FACT_60; ASSUMP_WORKLOAD_CLASS_MIX; ASSUMP_AGENTIC_CONTEXT_PENALTY</t>
        </is>
      </c>
      <c r="L4018" s="3" t="inlineStr">
        <is>
          <t>Provider production output-token throughput with comparable workload/SLO.</t>
        </is>
      </c>
    </row>
    <row r="4019">
      <c r="A4019" s="3" t="inlineStr">
        <is>
          <t>Alibaba</t>
        </is>
      </c>
      <c r="B4019" s="3" t="n">
        <v>2030</v>
      </c>
      <c r="C4019" s="3" t="inlineStr">
        <is>
          <t>Grid-Constrained / Efficiency-Upside</t>
        </is>
      </c>
      <c r="D4019" s="3" t="inlineStr">
        <is>
          <t>purpose_built_tps_per_mw</t>
        </is>
      </c>
      <c r="E4019" s="3" t="n">
        <v>996060</v>
      </c>
      <c r="F4019" s="3" t="inlineStr">
        <is>
          <t>generated output tokens/sec/MW</t>
        </is>
      </c>
      <c r="G4019" s="3" t="inlineStr">
        <is>
          <t>Conservative no-uplift proxy</t>
        </is>
      </c>
      <c r="H4019" s="3" t="inlineStr">
        <is>
          <t>purpose_built_tps_per_mw = purpose_built_reference_tps_per_mw * commercial_workload_fit_factor until comparable output-token benchmark is adopted</t>
        </is>
      </c>
      <c r="I4019" s="3" t="inlineStr">
        <is>
          <t>No comparable public output-token/MW row adopted; B200 public reference placeholder is used and remains editable.</t>
        </is>
      </c>
      <c r="J4019" s="3" t="inlineStr">
        <is>
          <t>SRC_QWEN3_GITHUB; SRC_ALIBABA_QWEN_GPU_DEPLOY; SRC_EPOCH_AI_DATA_CENTERS; ASSUMP_NUMERIC_ACCELERATOR_MIX</t>
        </is>
      </c>
      <c r="K4019" s="3" t="inlineStr">
        <is>
          <t>ASSUMP_MOE_EFFICIENCY; ASSUMP_CN_CAPACITY_TRANSPARENCY; ASSUMP_NUMERIC_ACCELERATOR_MIX; ASSUMP_INFERENCE_SHARE_NOT_FACT_60; ASSUMP_WORKLOAD_CLASS_MIX; ASSUMP_AGENTIC_CONTEXT_PENALTY</t>
        </is>
      </c>
      <c r="L4019" s="3" t="inlineStr">
        <is>
          <t>Matched-workload generated-output benchmark for the provider purpose-built accelerator.</t>
        </is>
      </c>
    </row>
    <row r="4020">
      <c r="A4020" s="3" t="inlineStr">
        <is>
          <t>Alibaba</t>
        </is>
      </c>
      <c r="B4020" s="3" t="n">
        <v>2030</v>
      </c>
      <c r="C4020" s="3" t="inlineStr">
        <is>
          <t>Grid-Constrained / Efficiency-Upside</t>
        </is>
      </c>
      <c r="D4020" s="3" t="inlineStr">
        <is>
          <t>inference_power_share</t>
        </is>
      </c>
      <c r="E4020" s="3" t="n">
        <v>0.84</v>
      </c>
      <c r="F4020" s="3" t="inlineStr">
        <is>
          <t>share of AI IT load</t>
        </is>
      </c>
      <c r="G4020" s="3" t="inlineStr">
        <is>
          <t>Scenario allocation</t>
        </is>
      </c>
      <c r="H4020" s="3" t="inlineStr">
        <is>
          <t>inference_gw = ai_it_load_gw * inference_power_share</t>
        </is>
      </c>
      <c r="I4020" s="3" t="inlineStr">
        <is>
          <t>Qwen API/enterprise commercialization and MoE architecture support increasing inference allocation scenario.</t>
        </is>
      </c>
      <c r="J4020" s="3" t="inlineStr">
        <is>
          <t>SRC_QWEN3_GITHUB; SRC_ALIBABA_QWEN_GPU_DEPLOY; SRC_EPOCH_AI_DATA_CENTERS; ASSUMP_INFERENCE_SHARE_NOT_FACT_60</t>
        </is>
      </c>
      <c r="K4020" s="3" t="inlineStr">
        <is>
          <t>ASSUMP_MOE_EFFICIENCY; ASSUMP_CN_CAPACITY_TRANSPARENCY; ASSUMP_NUMERIC_ACCELERATOR_MIX; ASSUMP_INFERENCE_SHARE_NOT_FACT_60; ASSUMP_WORKLOAD_CLASS_MIX; ASSUMP_AGENTIC_CONTEXT_PENALTY</t>
        </is>
      </c>
      <c r="L4020" s="3" t="inlineStr">
        <is>
          <t>Provider-specific inference/training workload power telemetry.</t>
        </is>
      </c>
    </row>
    <row r="4021">
      <c r="A4021" s="3" t="inlineStr">
        <is>
          <t>Alibaba</t>
        </is>
      </c>
      <c r="B4021" s="3" t="n">
        <v>2030</v>
      </c>
      <c r="C4021" s="3" t="inlineStr">
        <is>
          <t>Grid-Constrained / Efficiency-Upside</t>
        </is>
      </c>
      <c r="D4021" s="3" t="inlineStr">
        <is>
          <t>inference_gw</t>
        </is>
      </c>
      <c r="E4021" s="3" t="n">
        <v>1.322</v>
      </c>
      <c r="F4021" s="3" t="inlineStr">
        <is>
          <t>GW</t>
        </is>
      </c>
      <c r="G4021" s="3" t="inlineStr">
        <is>
          <t>Derived formula</t>
        </is>
      </c>
      <c r="H4021" s="3" t="inlineStr">
        <is>
          <t>ai_it_load_gw * inference_power_share</t>
        </is>
      </c>
      <c r="I4021" s="3" t="inlineStr">
        <is>
          <t>This is the operational power eligible to become commercial generated output tokens through the selected TPS/MW proxy.</t>
        </is>
      </c>
      <c r="J4021" s="3" t="inlineStr">
        <is>
          <t>SRC_QWEN3_GITHUB; SRC_ALIBABA_QWEN_GPU_DEPLOY; SRC_EPOCH_AI_DATA_CENTERS</t>
        </is>
      </c>
      <c r="K4021" s="3" t="inlineStr">
        <is>
          <t>ASSUMP_MOE_EFFICIENCY; ASSUMP_CN_CAPACITY_TRANSPARENCY; ASSUMP_NUMERIC_ACCELERATOR_MIX; ASSUMP_INFERENCE_SHARE_NOT_FACT_60; ASSUMP_WORKLOAD_CLASS_MIX; ASSUMP_AGENTIC_CONTEXT_PENALTY</t>
        </is>
      </c>
      <c r="L4021" s="3" t="inlineStr">
        <is>
          <t>Recompute after AI allocation or inference-share evidence changes.</t>
        </is>
      </c>
    </row>
    <row r="4022">
      <c r="A4022" s="3" t="inlineStr">
        <is>
          <t>Alibaba</t>
        </is>
      </c>
      <c r="B4022" s="3" t="n">
        <v>2030</v>
      </c>
      <c r="C4022" s="3" t="inlineStr">
        <is>
          <t>Grid-Constrained / Efficiency-Upside</t>
        </is>
      </c>
      <c r="D4022" s="3" t="inlineStr">
        <is>
          <t>training_power_share</t>
        </is>
      </c>
      <c r="E4022" s="3" t="n">
        <v>0.16</v>
      </c>
      <c r="F4022" s="3" t="inlineStr">
        <is>
          <t>share of AI IT load</t>
        </is>
      </c>
      <c r="G4022" s="3" t="inlineStr">
        <is>
          <t>Derived allocation</t>
        </is>
      </c>
      <c r="H4022" s="3" t="inlineStr">
        <is>
          <t>1 - inference_power_share</t>
        </is>
      </c>
      <c r="I4022" s="3" t="inlineStr">
        <is>
          <t>Training receives the complementary modeled AI IT allocation; it is not a disclosed company workload split.</t>
        </is>
      </c>
      <c r="J4022" s="3" t="inlineStr">
        <is>
          <t>SRC_QWEN3_GITHUB; SRC_ALIBABA_QWEN_GPU_DEPLOY; SRC_EPOCH_AI_DATA_CENTERS; ASSUMP_INFERENCE_SHARE_NOT_FACT_60</t>
        </is>
      </c>
      <c r="K4022" s="3" t="inlineStr">
        <is>
          <t>ASSUMP_MOE_EFFICIENCY; ASSUMP_CN_CAPACITY_TRANSPARENCY; ASSUMP_NUMERIC_ACCELERATOR_MIX; ASSUMP_INFERENCE_SHARE_NOT_FACT_60; ASSUMP_WORKLOAD_CLASS_MIX; ASSUMP_AGENTIC_CONTEXT_PENALTY</t>
        </is>
      </c>
      <c r="L4022" s="3" t="inlineStr">
        <is>
          <t>Provider-specific inference/training workload power telemetry.</t>
        </is>
      </c>
    </row>
    <row r="4023">
      <c r="A4023" s="3" t="inlineStr">
        <is>
          <t>Alibaba</t>
        </is>
      </c>
      <c r="B4023" s="3" t="n">
        <v>2030</v>
      </c>
      <c r="C4023" s="3" t="inlineStr">
        <is>
          <t>Grid-Constrained / Efficiency-Upside</t>
        </is>
      </c>
      <c r="D4023" s="3" t="inlineStr">
        <is>
          <t>training_gw</t>
        </is>
      </c>
      <c r="E4023" s="3" t="n">
        <v>0.252</v>
      </c>
      <c r="F4023" s="3" t="inlineStr">
        <is>
          <t>GW</t>
        </is>
      </c>
      <c r="G4023" s="3" t="inlineStr">
        <is>
          <t>Derived formula</t>
        </is>
      </c>
      <c r="H4023" s="3" t="inlineStr">
        <is>
          <t>ai_it_load_gw * training_power_share</t>
        </is>
      </c>
      <c r="I4023" s="3" t="inlineStr">
        <is>
          <t>Training GW is shown separately so commercial inference token capacity is not overstated.</t>
        </is>
      </c>
      <c r="J4023" s="3" t="inlineStr">
        <is>
          <t>SRC_QWEN3_GITHUB; SRC_ALIBABA_QWEN_GPU_DEPLOY; SRC_EPOCH_AI_DATA_CENTERS</t>
        </is>
      </c>
      <c r="K4023" s="3" t="inlineStr">
        <is>
          <t>ASSUMP_MOE_EFFICIENCY; ASSUMP_CN_CAPACITY_TRANSPARENCY; ASSUMP_NUMERIC_ACCELERATOR_MIX; ASSUMP_INFERENCE_SHARE_NOT_FACT_60; ASSUMP_WORKLOAD_CLASS_MIX; ASSUMP_AGENTIC_CONTEXT_PENALTY</t>
        </is>
      </c>
      <c r="L4023" s="3" t="inlineStr">
        <is>
          <t>Recompute after AI allocation or workload-split evidence changes.</t>
        </is>
      </c>
    </row>
    <row r="4024">
      <c r="A4024" s="3" t="inlineStr">
        <is>
          <t>Alibaba</t>
        </is>
      </c>
      <c r="B4024" s="3" t="n">
        <v>2030</v>
      </c>
      <c r="C4024" s="3" t="inlineStr">
        <is>
          <t>Grid-Constrained / Efficiency-Upside</t>
        </is>
      </c>
      <c r="D4024" s="3" t="inlineStr">
        <is>
          <t>tokens_per_second_per_mw</t>
        </is>
      </c>
      <c r="E4024" s="3" t="n">
        <v>149932</v>
      </c>
      <c r="F4024" s="3" t="inlineStr">
        <is>
          <t>generated output tokens/sec/MW</t>
        </is>
      </c>
      <c r="G4024" s="3" t="inlineStr">
        <is>
          <t>Derived estimate + benchmark calibration</t>
        </is>
      </c>
      <c r="H4024" s="3" t="inlineStr">
        <is>
          <t>fleet_reference_tps_per_mw * commercial_workload_fit_factor</t>
        </is>
      </c>
      <c r="I4024" s="3" t="inlineStr">
        <is>
          <t>Qwen3.5 B200 output-token benchmark proxy; MoE is represented by selected benchmark, with no additional uplift. Workload reference is now split into short_chat, long_chat and agentic classes. Company mix: short 45%, long 35%, agentic 20%. Commercial workload fit factor: Qwen benchmark family is relatively direct; remaining adjustment represents commercial context and SLO mix. Qwen/Model Studio is enterprise/API-heavy; long/reasoning use is meaningful while broad cloud assistant traffic keeps short chat substantial.</t>
        </is>
      </c>
      <c r="J4024" s="3" t="inlineStr">
        <is>
          <t>SRC_QWEN3_GITHUB; SRC_ALIBABA_QWEN_GPU_DEPLOY; SRC_EPOCH_AI_DATA_CENTERS; SRC_SEMIANALYSIS_INFERENCEX; ASSUMP_NUMERIC_ACCELERATOR_MIX; ASSUMP_WORKLOAD_CLASS_MIX; ASSUMP_AGENTIC_CONTEXT_PENALTY</t>
        </is>
      </c>
      <c r="K4024" s="3" t="inlineStr">
        <is>
          <t>ASSUMP_MOE_EFFICIENCY; ASSUMP_CN_CAPACITY_TRANSPARENCY; ASSUMP_NUMERIC_ACCELERATOR_MIX; ASSUMP_INFERENCE_SHARE_NOT_FACT_60; ASSUMP_WORKLOAD_CLASS_MIX; ASSUMP_AGENTIC_CONTEXT_PENALTY</t>
        </is>
      </c>
      <c r="L4024" s="3" t="inlineStr">
        <is>
          <t>Comparable production output-token throughput with model, hardware, precision, ISL/OSL and SLO matched.</t>
        </is>
      </c>
    </row>
    <row r="4025">
      <c r="A4025" s="3" t="inlineStr">
        <is>
          <t>Alibaba</t>
        </is>
      </c>
      <c r="B4025" s="3" t="n">
        <v>2030</v>
      </c>
      <c r="C4025" s="3" t="inlineStr">
        <is>
          <t>Grid-Constrained / Efficiency-Upside</t>
        </is>
      </c>
      <c r="D4025" s="3" t="inlineStr">
        <is>
          <t>inference_tokens_per_day</t>
        </is>
      </c>
      <c r="E4025" s="3" t="n">
        <v>17125352985600</v>
      </c>
      <c r="F4025" s="3" t="inlineStr">
        <is>
          <t>generated output tokens/day</t>
        </is>
      </c>
      <c r="G4025" s="3" t="inlineStr">
        <is>
          <t>Derived headline metric</t>
        </is>
      </c>
      <c r="H4025" s="3" t="inlineStr">
        <is>
          <t>inference_gw * 1000 * tokens_per_second_per_mw * 86,400</t>
        </is>
      </c>
      <c r="I4025" s="3" t="inlineStr">
        <is>
          <t>Headline capacity uses no utilization, MoE, architecture or software-growth multiplier; it is not observed commercial output volume.</t>
        </is>
      </c>
      <c r="J4025" s="3" t="inlineStr">
        <is>
          <t>SRC_QWEN3_GITHUB; SRC_ALIBABA_QWEN_GPU_DEPLOY; SRC_EPOCH_AI_DATA_CENTERS; SRC_SEMIANALYSIS_INFERENCEX</t>
        </is>
      </c>
      <c r="K4025" s="3" t="inlineStr">
        <is>
          <t>ASSUMP_MOE_EFFICIENCY; ASSUMP_CN_CAPACITY_TRANSPARENCY; ASSUMP_NUMERIC_ACCELERATOR_MIX; ASSUMP_INFERENCE_SHARE_NOT_FACT_60; ASSUMP_WORKLOAD_CLASS_MIX; ASSUMP_AGENTIC_CONTEXT_PENALTY</t>
        </is>
      </c>
      <c r="L4025" s="3" t="inlineStr">
        <is>
          <t>Provider-disclosed generated output token volume or calibrated capacity telemetry.</t>
        </is>
      </c>
    </row>
    <row r="4026">
      <c r="A4026" s="3" t="inlineStr">
        <is>
          <t>Alibaba</t>
        </is>
      </c>
      <c r="B4026" s="3" t="n">
        <v>2030</v>
      </c>
      <c r="C4026" s="3" t="inlineStr">
        <is>
          <t>Grid-Constrained / Efficiency-Upside</t>
        </is>
      </c>
      <c r="D4026" s="3" t="inlineStr">
        <is>
          <t>inference_tokens_per_year</t>
        </is>
      </c>
      <c r="E4026" s="3" t="n">
        <v>6250753839744000</v>
      </c>
      <c r="F4026" s="3" t="inlineStr">
        <is>
          <t>generated output tokens/year</t>
        </is>
      </c>
      <c r="G4026" s="3" t="inlineStr">
        <is>
          <t>Derived headline metric</t>
        </is>
      </c>
      <c r="H4026" s="3" t="inlineStr">
        <is>
          <t>inference_tokens_per_day * 365</t>
        </is>
      </c>
      <c r="I4026" s="3" t="inlineStr">
        <is>
          <t>Annualized version of generated output token capacity; it is not observed annual demand or billable volume.</t>
        </is>
      </c>
      <c r="J4026" s="3" t="inlineStr">
        <is>
          <t>SRC_QWEN3_GITHUB; SRC_ALIBABA_QWEN_GPU_DEPLOY; SRC_EPOCH_AI_DATA_CENTERS; SRC_SEMIANALYSIS_INFERENCEX</t>
        </is>
      </c>
      <c r="K4026" s="3" t="inlineStr">
        <is>
          <t>ASSUMP_MOE_EFFICIENCY; ASSUMP_CN_CAPACITY_TRANSPARENCY; ASSUMP_NUMERIC_ACCELERATOR_MIX; ASSUMP_INFERENCE_SHARE_NOT_FACT_60; ASSUMP_WORKLOAD_CLASS_MIX; ASSUMP_AGENTIC_CONTEXT_PENALTY</t>
        </is>
      </c>
      <c r="L4026" s="3" t="inlineStr">
        <is>
          <t>Provider-disclosed annual generated-output volume or metered serving telemetry.</t>
        </is>
      </c>
    </row>
    <row r="4027">
      <c r="A4027" s="3" t="inlineStr">
        <is>
          <t>Tencent</t>
        </is>
      </c>
      <c r="B4027" s="3" t="n">
        <v>2026</v>
      </c>
      <c r="C4027" s="3" t="inlineStr">
        <is>
          <t>Grid-Constrained / Efficiency-Upside</t>
        </is>
      </c>
      <c r="D4027" s="3" t="inlineStr">
        <is>
          <t>contracted_power_gw</t>
        </is>
      </c>
      <c r="E4027" s="3" t="n">
        <v>1.2</v>
      </c>
      <c r="F4027" s="3" t="inlineStr">
        <is>
          <t>GW</t>
        </is>
      </c>
      <c r="G4027" s="3" t="inlineStr">
        <is>
          <t>Scenario capacity envelope</t>
        </is>
      </c>
      <c r="H4027" s="3" t="inlineStr">
        <is>
          <t>linear interpolation between 2026 and 2030 company capacity endpoints</t>
        </is>
      </c>
      <c r="I4027" s="3" t="inlineStr">
        <is>
          <t>Tencent Cloud/Hunyuan capacity is a scenario envelope because operated model-serving GW is undisclosed.</t>
        </is>
      </c>
      <c r="J4027" s="3" t="inlineStr">
        <is>
          <t>SRC_TENCENT_AI_INFRA_MOE; ASSUMP_CN_CAPACITY_TRANSPARENCY</t>
        </is>
      </c>
      <c r="K4027" s="3" t="inlineStr">
        <is>
          <t>ASSUMP_CN_CAPACITY_TRANSPARENCY; ASSUMP_APP_EMBEDDING; ASSUMP_NUMERIC_ACCELERATOR_MIX; ASSUMP_INFERENCE_SHARE_NOT_FACT_60; ASSUMP_WORKLOAD_CLASS_MIX; ASSUMP_AGENTIC_CONTEXT_PENALTY</t>
        </is>
      </c>
      <c r="L4027" s="3" t="inlineStr">
        <is>
          <t>Company/site-level committed MW/GW, interconnect and contract disclosure.</t>
        </is>
      </c>
    </row>
    <row r="4028">
      <c r="A4028" s="3" t="inlineStr">
        <is>
          <t>Tencent</t>
        </is>
      </c>
      <c r="B4028" s="3" t="n">
        <v>2026</v>
      </c>
      <c r="C4028" s="3" t="inlineStr">
        <is>
          <t>Grid-Constrained / Efficiency-Upside</t>
        </is>
      </c>
      <c r="D4028" s="3" t="inlineStr">
        <is>
          <t>operational_deployment_share</t>
        </is>
      </c>
      <c r="E4028" s="3" t="n">
        <v>0.33</v>
      </c>
      <c r="F4028" s="3" t="inlineStr">
        <is>
          <t>share</t>
        </is>
      </c>
      <c r="G4028" s="3" t="inlineStr">
        <is>
          <t>Scenario conversion</t>
        </is>
      </c>
      <c r="H4028" s="3" t="inlineStr">
        <is>
          <t>active_power_gw / contracted_power_gw</t>
        </is>
      </c>
      <c r="I4028" s="3" t="inlineStr">
        <is>
          <t>This is the single explicit conversion from contracted/attributed capacity to operationally usable capacity.</t>
        </is>
      </c>
      <c r="J4028" s="3" t="inlineStr">
        <is>
          <t>SRC_TENCENT_AI_INFRA_MOE; ASSUMP_CN_CAPACITY_TRANSPARENCY</t>
        </is>
      </c>
      <c r="K4028" s="3" t="inlineStr">
        <is>
          <t>ASSUMP_CN_CAPACITY_TRANSPARENCY; ASSUMP_APP_EMBEDDING; ASSUMP_NUMERIC_ACCELERATOR_MIX; ASSUMP_INFERENCE_SHARE_NOT_FACT_60; ASSUMP_WORKLOAD_CLASS_MIX; ASSUMP_AGENTIC_CONTEXT_PENALTY</t>
        </is>
      </c>
      <c r="L4028" s="3" t="inlineStr">
        <is>
          <t>Energized operational capacity divided by contracted/attributed capacity.</t>
        </is>
      </c>
    </row>
    <row r="4029">
      <c r="A4029" s="3" t="inlineStr">
        <is>
          <t>Tencent</t>
        </is>
      </c>
      <c r="B4029" s="3" t="n">
        <v>2026</v>
      </c>
      <c r="C4029" s="3" t="inlineStr">
        <is>
          <t>Grid-Constrained / Efficiency-Upside</t>
        </is>
      </c>
      <c r="D4029" s="3" t="inlineStr">
        <is>
          <t>active_power_gw</t>
        </is>
      </c>
      <c r="E4029" s="3" t="n">
        <v>0.396</v>
      </c>
      <c r="F4029" s="3" t="inlineStr">
        <is>
          <t>GW</t>
        </is>
      </c>
      <c r="G4029" s="3" t="inlineStr">
        <is>
          <t>Derived scenario</t>
        </is>
      </c>
      <c r="H4029" s="3" t="inlineStr">
        <is>
          <t>contracted_power_gw * operational_deployment_share</t>
        </is>
      </c>
      <c r="I4029" s="3" t="inlineStr">
        <is>
          <t>Active GW reflects staged Hunyuan/Yuanbao adoption rather than a reported powered fleet.</t>
        </is>
      </c>
      <c r="J4029" s="3" t="inlineStr">
        <is>
          <t>SRC_TENCENT_AI_INFRA_MOE; ASSUMP_CN_CAPACITY_TRANSPARENCY</t>
        </is>
      </c>
      <c r="K4029" s="3" t="inlineStr">
        <is>
          <t>ASSUMP_CN_CAPACITY_TRANSPARENCY; ASSUMP_APP_EMBEDDING; ASSUMP_NUMERIC_ACCELERATOR_MIX; ASSUMP_INFERENCE_SHARE_NOT_FACT_60; ASSUMP_WORKLOAD_CLASS_MIX; ASSUMP_AGENTIC_CONTEXT_PENALTY</t>
        </is>
      </c>
      <c r="L4029" s="3" t="inlineStr">
        <is>
          <t>Energization dates, accelerator deliveries and operational powered-rack telemetry.</t>
        </is>
      </c>
    </row>
    <row r="4030">
      <c r="A4030" s="3" t="inlineStr">
        <is>
          <t>Tencent</t>
        </is>
      </c>
      <c r="B4030" s="3" t="n">
        <v>2026</v>
      </c>
      <c r="C4030" s="3" t="inlineStr">
        <is>
          <t>Grid-Constrained / Efficiency-Upside</t>
        </is>
      </c>
      <c r="D4030" s="3" t="inlineStr">
        <is>
          <t>pue</t>
        </is>
      </c>
      <c r="E4030" s="3" t="n">
        <v>1.23</v>
      </c>
      <c r="F4030" s="3" t="inlineStr">
        <is>
          <t>ratio</t>
        </is>
      </c>
      <c r="G4030" s="3" t="inlineStr">
        <is>
          <t>Scenario parameter</t>
        </is>
      </c>
      <c r="H4030" s="3" t="inlineStr">
        <is>
          <t>it_load_gw = active_power_gw / pue</t>
        </is>
      </c>
      <c r="I4030" s="3" t="inlineStr">
        <is>
          <t>No provider-wide site-level PUE is used as a disclosed fact; PUE represents facility-to-IT conversion within the scenario.</t>
        </is>
      </c>
      <c r="J4030" s="3" t="inlineStr">
        <is>
          <t>ASSUMP_POWER_RAMP</t>
        </is>
      </c>
      <c r="K4030" s="3" t="inlineStr">
        <is>
          <t>ASSUMP_CN_CAPACITY_TRANSPARENCY; ASSUMP_APP_EMBEDDING; ASSUMP_NUMERIC_ACCELERATOR_MIX; ASSUMP_INFERENCE_SHARE_NOT_FACT_60; ASSUMP_WORKLOAD_CLASS_MIX; ASSUMP_AGENTIC_CONTEXT_PENALTY</t>
        </is>
      </c>
      <c r="L4030" s="3" t="inlineStr">
        <is>
          <t>Site-level measured PUE matched to attributed AI capacity.</t>
        </is>
      </c>
    </row>
    <row r="4031">
      <c r="A4031" s="3" t="inlineStr">
        <is>
          <t>Tencent</t>
        </is>
      </c>
      <c r="B4031" s="3" t="n">
        <v>2026</v>
      </c>
      <c r="C4031" s="3" t="inlineStr">
        <is>
          <t>Grid-Constrained / Efficiency-Upside</t>
        </is>
      </c>
      <c r="D4031" s="3" t="inlineStr">
        <is>
          <t>it_load_gw</t>
        </is>
      </c>
      <c r="E4031" s="3" t="n">
        <v>0.322</v>
      </c>
      <c r="F4031" s="3" t="inlineStr">
        <is>
          <t>GW</t>
        </is>
      </c>
      <c r="G4031" s="3" t="inlineStr">
        <is>
          <t>Derived formula</t>
        </is>
      </c>
      <c r="H4031" s="3" t="inlineStr">
        <is>
          <t>active_power_gw / pue</t>
        </is>
      </c>
      <c r="I4031" s="3" t="inlineStr">
        <is>
          <t>Facility power is converted to IT-deliverable power before attributing AI workloads.</t>
        </is>
      </c>
      <c r="J4031" s="3" t="inlineStr">
        <is>
          <t>SRC_TENCENT_AI_INFRA_MOE; ASSUMP_CN_CAPACITY_TRANSPARENCY</t>
        </is>
      </c>
      <c r="K4031" s="3" t="inlineStr">
        <is>
          <t>ASSUMP_CN_CAPACITY_TRANSPARENCY; ASSUMP_APP_EMBEDDING; ASSUMP_NUMERIC_ACCELERATOR_MIX; ASSUMP_INFERENCE_SHARE_NOT_FACT_60; ASSUMP_WORKLOAD_CLASS_MIX; ASSUMP_AGENTIC_CONTEXT_PENALTY</t>
        </is>
      </c>
      <c r="L4031" s="3" t="inlineStr">
        <is>
          <t>Recompute once active power and PUE become site-observable.</t>
        </is>
      </c>
    </row>
    <row r="4032">
      <c r="A4032" s="3" t="inlineStr">
        <is>
          <t>Tencent</t>
        </is>
      </c>
      <c r="B4032" s="3" t="n">
        <v>2026</v>
      </c>
      <c r="C4032" s="3" t="inlineStr">
        <is>
          <t>Grid-Constrained / Efficiency-Upside</t>
        </is>
      </c>
      <c r="D4032" s="3" t="inlineStr">
        <is>
          <t>ai_workload_share</t>
        </is>
      </c>
      <c r="E4032" s="3" t="n">
        <v>0.84</v>
      </c>
      <c r="F4032" s="3" t="inlineStr">
        <is>
          <t>share</t>
        </is>
      </c>
      <c r="G4032" s="3" t="inlineStr">
        <is>
          <t>Scenario allocation</t>
        </is>
      </c>
      <c r="H4032" s="3" t="inlineStr">
        <is>
          <t>ai_it_load_gw = it_load_gw * ai_workload_share</t>
        </is>
      </c>
      <c r="I4032" s="3" t="inlineStr">
        <is>
          <t>Modeled Hunyuan-serving capacity is AI-focused; 84% excludes cloud/platform and reserve overhead.</t>
        </is>
      </c>
      <c r="J4032" s="3" t="inlineStr">
        <is>
          <t>SRC_TENCENT_HUNYUAN; SRC_TENCENT_HY3; SRC_TENCENT_AI_INFRA_MOE; SRC_EPOCH_AI_DATA_CENTERS</t>
        </is>
      </c>
      <c r="K4032" s="3" t="inlineStr">
        <is>
          <t>ASSUMP_CN_CAPACITY_TRANSPARENCY; ASSUMP_APP_EMBEDDING; ASSUMP_NUMERIC_ACCELERATOR_MIX; ASSUMP_INFERENCE_SHARE_NOT_FACT_60; ASSUMP_WORKLOAD_CLASS_MIX; ASSUMP_AGENTIC_CONTEXT_PENALTY</t>
        </is>
      </c>
      <c r="L4032" s="3" t="inlineStr">
        <is>
          <t>Model-owner AI workload allocation or cluster scheduling telemetry.</t>
        </is>
      </c>
    </row>
    <row r="4033">
      <c r="A4033" s="3" t="inlineStr">
        <is>
          <t>Tencent</t>
        </is>
      </c>
      <c r="B4033" s="3" t="n">
        <v>2026</v>
      </c>
      <c r="C4033" s="3" t="inlineStr">
        <is>
          <t>Grid-Constrained / Efficiency-Upside</t>
        </is>
      </c>
      <c r="D4033" s="3" t="inlineStr">
        <is>
          <t>ai_it_load_gw</t>
        </is>
      </c>
      <c r="E4033" s="3" t="n">
        <v>0.27</v>
      </c>
      <c r="F4033" s="3" t="inlineStr">
        <is>
          <t>GW</t>
        </is>
      </c>
      <c r="G4033" s="3" t="inlineStr">
        <is>
          <t>Derived formula</t>
        </is>
      </c>
      <c r="H4033" s="3" t="inlineStr">
        <is>
          <t>it_load_gw * ai_workload_share</t>
        </is>
      </c>
      <c r="I4033" s="3" t="inlineStr">
        <is>
          <t>Only the AI-attributed portion of IT load enters training/inference allocation.</t>
        </is>
      </c>
      <c r="J4033" s="3" t="inlineStr">
        <is>
          <t>SRC_TENCENT_HUNYUAN; SRC_TENCENT_HY3; SRC_TENCENT_AI_INFRA_MOE; SRC_EPOCH_AI_DATA_CENTERS</t>
        </is>
      </c>
      <c r="K4033" s="3" t="inlineStr">
        <is>
          <t>ASSUMP_CN_CAPACITY_TRANSPARENCY; ASSUMP_APP_EMBEDDING; ASSUMP_NUMERIC_ACCELERATOR_MIX; ASSUMP_INFERENCE_SHARE_NOT_FACT_60; ASSUMP_WORKLOAD_CLASS_MIX; ASSUMP_AGENTIC_CONTEXT_PENALTY</t>
        </is>
      </c>
      <c r="L4033" s="3" t="inlineStr">
        <is>
          <t>Recompute after ai_workload_share is replaced by telemetry.</t>
        </is>
      </c>
    </row>
    <row r="4034">
      <c r="A4034" s="3" t="inlineStr">
        <is>
          <t>Tencent</t>
        </is>
      </c>
      <c r="B4034" s="3" t="n">
        <v>2026</v>
      </c>
      <c r="C4034" s="3" t="inlineStr">
        <is>
          <t>Grid-Constrained / Efficiency-Upside</t>
        </is>
      </c>
      <c r="D4034" s="3" t="inlineStr">
        <is>
          <t>gpu_share</t>
        </is>
      </c>
      <c r="E4034" s="3" t="n">
        <v>1</v>
      </c>
      <c r="F4034" s="3" t="inlineStr">
        <is>
          <t>share of inference-serving accelerator load</t>
        </is>
      </c>
      <c r="G4034" s="3" t="inlineStr">
        <is>
          <t>Numeric scenario</t>
        </is>
      </c>
      <c r="H4034" s="3" t="inlineStr">
        <is>
          <t>gpu_share interpolated from company 2026/2030 accelerator-mix endpoints</t>
        </is>
      </c>
      <c r="I4034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034" s="3" t="inlineStr">
        <is>
          <t>SRC_TENCENT_HUNYUAN; SRC_TENCENT_HY3; SRC_TENCENT_AI_INFRA_MOE; SRC_EPOCH_AI_DATA_CENTERS; ASSUMP_NUMERIC_ACCELERATOR_MIX</t>
        </is>
      </c>
      <c r="K4034" s="3" t="inlineStr">
        <is>
          <t>ASSUMP_CN_CAPACITY_TRANSPARENCY; ASSUMP_APP_EMBEDDING; ASSUMP_NUMERIC_ACCELERATOR_MIX; ASSUMP_INFERENCE_SHARE_NOT_FACT_60; ASSUMP_WORKLOAD_CLASS_MIX; ASSUMP_AGENTIC_CONTEXT_PENALTY</t>
        </is>
      </c>
      <c r="L4034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035">
      <c r="A4035" s="3" t="inlineStr">
        <is>
          <t>Tencent</t>
        </is>
      </c>
      <c r="B4035" s="3" t="n">
        <v>2026</v>
      </c>
      <c r="C4035" s="3" t="inlineStr">
        <is>
          <t>Grid-Constrained / Efficiency-Upside</t>
        </is>
      </c>
      <c r="D4035" s="3" t="inlineStr">
        <is>
          <t>h200_share</t>
        </is>
      </c>
      <c r="E4035" s="3" t="n">
        <v>0.55</v>
      </c>
      <c r="F4035" s="3" t="inlineStr">
        <is>
          <t>share of inference-serving accelerator load</t>
        </is>
      </c>
      <c r="G4035" s="3" t="inlineStr">
        <is>
          <t>Editable numeric scenario</t>
        </is>
      </c>
      <c r="H4035" s="3" t="inlineStr">
        <is>
          <t>h200_share = gpu_share * default_gpu_generation_mix_h200</t>
        </is>
      </c>
      <c r="I4035" s="3" t="inlineStr">
        <is>
          <t>Default GPU-generation migration assumption; executive workbook allows later manual replacement by company/year/scenario.</t>
        </is>
      </c>
      <c r="J4035" s="3" t="inlineStr">
        <is>
          <t>SRC_SEMIANALYSIS_INFERENCEX; ASSUMP_NUMERIC_ACCELERATOR_MIX</t>
        </is>
      </c>
      <c r="K4035" s="3" t="inlineStr">
        <is>
          <t>ASSUMP_CN_CAPACITY_TRANSPARENCY; ASSUMP_APP_EMBEDDING; ASSUMP_NUMERIC_ACCELERATOR_MIX; ASSUMP_INFERENCE_SHARE_NOT_FACT_60; ASSUMP_WORKLOAD_CLASS_MIX; ASSUMP_AGENTIC_CONTEXT_PENALTY</t>
        </is>
      </c>
      <c r="L4035" s="3" t="inlineStr">
        <is>
          <t>Company fleet inventory, accelerator-hours or procurement/deployment records by GPU generation.</t>
        </is>
      </c>
    </row>
    <row r="4036">
      <c r="A4036" s="3" t="inlineStr">
        <is>
          <t>Tencent</t>
        </is>
      </c>
      <c r="B4036" s="3" t="n">
        <v>2026</v>
      </c>
      <c r="C4036" s="3" t="inlineStr">
        <is>
          <t>Grid-Constrained / Efficiency-Upside</t>
        </is>
      </c>
      <c r="D4036" s="3" t="inlineStr">
        <is>
          <t>b200_share</t>
        </is>
      </c>
      <c r="E4036" s="3" t="n">
        <v>0.4</v>
      </c>
      <c r="F4036" s="3" t="inlineStr">
        <is>
          <t>share of inference-serving accelerator load</t>
        </is>
      </c>
      <c r="G4036" s="3" t="inlineStr">
        <is>
          <t>Editable numeric scenario</t>
        </is>
      </c>
      <c r="H4036" s="3" t="inlineStr">
        <is>
          <t>b200_share = gpu_share * default_gpu_generation_mix_b200</t>
        </is>
      </c>
      <c r="I4036" s="3" t="inlineStr">
        <is>
          <t>Default GPU-generation migration assumption; executive workbook allows later manual replacement by company/year/scenario.</t>
        </is>
      </c>
      <c r="J4036" s="3" t="inlineStr">
        <is>
          <t>SRC_SEMIANALYSIS_INFERENCEX; ASSUMP_NUMERIC_ACCELERATOR_MIX</t>
        </is>
      </c>
      <c r="K4036" s="3" t="inlineStr">
        <is>
          <t>ASSUMP_CN_CAPACITY_TRANSPARENCY; ASSUMP_APP_EMBEDDING; ASSUMP_NUMERIC_ACCELERATOR_MIX; ASSUMP_INFERENCE_SHARE_NOT_FACT_60; ASSUMP_WORKLOAD_CLASS_MIX; ASSUMP_AGENTIC_CONTEXT_PENALTY</t>
        </is>
      </c>
      <c r="L4036" s="3" t="inlineStr">
        <is>
          <t>Company fleet inventory, accelerator-hours or procurement/deployment records by GPU generation.</t>
        </is>
      </c>
    </row>
    <row r="4037">
      <c r="A4037" s="3" t="inlineStr">
        <is>
          <t>Tencent</t>
        </is>
      </c>
      <c r="B4037" s="3" t="n">
        <v>2026</v>
      </c>
      <c r="C4037" s="3" t="inlineStr">
        <is>
          <t>Grid-Constrained / Efficiency-Upside</t>
        </is>
      </c>
      <c r="D4037" s="3" t="inlineStr">
        <is>
          <t>gb200_share</t>
        </is>
      </c>
      <c r="E4037" s="3" t="n">
        <v>0.05</v>
      </c>
      <c r="F4037" s="3" t="inlineStr">
        <is>
          <t>share of inference-serving accelerator load</t>
        </is>
      </c>
      <c r="G4037" s="3" t="inlineStr">
        <is>
          <t>Editable numeric scenario</t>
        </is>
      </c>
      <c r="H4037" s="3" t="inlineStr">
        <is>
          <t>gb200_share = gpu_share * default_gpu_generation_mix_gb200</t>
        </is>
      </c>
      <c r="I4037" s="3" t="inlineStr">
        <is>
          <t>Default GPU-generation migration assumption; executive workbook allows later manual replacement by company/year/scenario.</t>
        </is>
      </c>
      <c r="J4037" s="3" t="inlineStr">
        <is>
          <t>SRC_SEMIANALYSIS_INFERENCEX; ASSUMP_NUMERIC_ACCELERATOR_MIX</t>
        </is>
      </c>
      <c r="K4037" s="3" t="inlineStr">
        <is>
          <t>ASSUMP_CN_CAPACITY_TRANSPARENCY; ASSUMP_APP_EMBEDDING; ASSUMP_NUMERIC_ACCELERATOR_MIX; ASSUMP_INFERENCE_SHARE_NOT_FACT_60; ASSUMP_WORKLOAD_CLASS_MIX; ASSUMP_AGENTIC_CONTEXT_PENALTY</t>
        </is>
      </c>
      <c r="L4037" s="3" t="inlineStr">
        <is>
          <t>Company fleet inventory, accelerator-hours or procurement/deployment records by GPU generation.</t>
        </is>
      </c>
    </row>
    <row r="4038">
      <c r="A4038" s="3" t="inlineStr">
        <is>
          <t>Tencent</t>
        </is>
      </c>
      <c r="B4038" s="3" t="n">
        <v>2026</v>
      </c>
      <c r="C4038" s="3" t="inlineStr">
        <is>
          <t>Grid-Constrained / Efficiency-Upside</t>
        </is>
      </c>
      <c r="D4038" s="3" t="inlineStr">
        <is>
          <t>purpose_built_accelerator_share</t>
        </is>
      </c>
      <c r="E4038" s="3" t="n">
        <v>0</v>
      </c>
      <c r="F4038" s="3" t="inlineStr">
        <is>
          <t>share of inference-serving accelerator load</t>
        </is>
      </c>
      <c r="G4038" s="3" t="inlineStr">
        <is>
          <t>Numeric scenario</t>
        </is>
      </c>
      <c r="H4038" s="3" t="inlineStr">
        <is>
          <t>1 - gpu_share</t>
        </is>
      </c>
      <c r="I4038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038" s="3" t="inlineStr">
        <is>
          <t>SRC_TENCENT_HUNYUAN; SRC_TENCENT_HY3; SRC_TENCENT_AI_INFRA_MOE; SRC_EPOCH_AI_DATA_CENTERS; ASSUMP_NUMERIC_ACCELERATOR_MIX</t>
        </is>
      </c>
      <c r="K4038" s="3" t="inlineStr">
        <is>
          <t>ASSUMP_CN_CAPACITY_TRANSPARENCY; ASSUMP_APP_EMBEDDING; ASSUMP_NUMERIC_ACCELERATOR_MIX; ASSUMP_INFERENCE_SHARE_NOT_FACT_60; ASSUMP_WORKLOAD_CLASS_MIX; ASSUMP_AGENTIC_CONTEXT_PENALTY</t>
        </is>
      </c>
      <c r="L4038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039">
      <c r="A4039" s="3" t="inlineStr">
        <is>
          <t>Tencent</t>
        </is>
      </c>
      <c r="B4039" s="3" t="n">
        <v>2026</v>
      </c>
      <c r="C4039" s="3" t="inlineStr">
        <is>
          <t>Grid-Constrained / Efficiency-Upside</t>
        </is>
      </c>
      <c r="D4039" s="3" t="inlineStr">
        <is>
          <t>fleet_reference_tps_per_mw</t>
        </is>
      </c>
      <c r="E4039" s="3" t="n">
        <v>2359967</v>
      </c>
      <c r="F4039" s="3" t="inlineStr">
        <is>
          <t>generated output tokens/sec/MW</t>
        </is>
      </c>
      <c r="G4039" s="3" t="inlineStr">
        <is>
          <t>Fleet-weighted public benchmark reference</t>
        </is>
      </c>
      <c r="H4039" s="3" t="inlineStr">
        <is>
          <t>h200_share*h200_workload_avg + b200_share*b200_workload_avg + gb200_share*gb200_workload_avg + purpose_built_share*purpose_workload_avg</t>
        </is>
      </c>
      <c r="I4039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39" s="3" t="inlineStr">
        <is>
          <t>SRC_SEMIANALYSIS_INFERENCEX; ASSUMP_NUMERIC_ACCELERATOR_MIX; ASSUMP_WORKLOAD_CLASS_MIX; ASSUMP_AGENTIC_CONTEXT_PENALTY</t>
        </is>
      </c>
      <c r="K4039" s="3" t="inlineStr">
        <is>
          <t>ASSUMP_CN_CAPACITY_TRANSPARENCY; ASSUMP_APP_EMBEDDING; ASSUMP_NUMERIC_ACCELERATOR_MIX; ASSUMP_INFERENCE_SHARE_NOT_FACT_60; ASSUMP_WORKLOAD_CLASS_MIX; ASSUMP_AGENTIC_CONTEXT_PENALTY</t>
        </is>
      </c>
      <c r="L4039" s="3" t="inlineStr">
        <is>
          <t>Comparable production output-token throughput or a more closely matched benchmark.</t>
        </is>
      </c>
    </row>
    <row r="4040">
      <c r="A4040" s="3" t="inlineStr">
        <is>
          <t>Tencent</t>
        </is>
      </c>
      <c r="B4040" s="3" t="n">
        <v>2026</v>
      </c>
      <c r="C4040" s="3" t="inlineStr">
        <is>
          <t>Grid-Constrained / Efficiency-Upside</t>
        </is>
      </c>
      <c r="D4040" s="3" t="inlineStr">
        <is>
          <t>commercial_workload_fit_factor</t>
        </is>
      </c>
      <c r="E4040" s="3" t="n">
        <v>0.6</v>
      </c>
      <c r="F4040" s="3" t="inlineStr">
        <is>
          <t>share of public reference throughput</t>
        </is>
      </c>
      <c r="G4040" s="3" t="inlineStr">
        <is>
          <t>Scenario assumption</t>
        </is>
      </c>
      <c r="H4040" s="3" t="inlineStr">
        <is>
          <t>reference_serving_tps_per_mw = fleet_reference_tps_per_mw * commercial_workload_fit_factor</t>
        </is>
      </c>
      <c r="I4040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40" s="3" t="inlineStr">
        <is>
          <t>SRC_SEMIANALYSIS_INFERENCEX; ASSUMP_NUMERIC_ACCELERATOR_MIX; ASSUMP_WORKLOAD_CLASS_MIX; ASSUMP_AGENTIC_CONTEXT_PENALTY</t>
        </is>
      </c>
      <c r="K4040" s="3" t="inlineStr">
        <is>
          <t>ASSUMP_CN_CAPACITY_TRANSPARENCY; ASSUMP_APP_EMBEDDING; ASSUMP_NUMERIC_ACCELERATOR_MIX; ASSUMP_INFERENCE_SHARE_NOT_FACT_60; ASSUMP_WORKLOAD_CLASS_MIX; ASSUMP_AGENTIC_CONTEXT_PENALTY</t>
        </is>
      </c>
      <c r="L4040" s="3" t="inlineStr">
        <is>
          <t>Matched commercial serving benchmark by product surface, context shape and latency SLO.</t>
        </is>
      </c>
    </row>
    <row r="4041">
      <c r="A4041" s="3" t="inlineStr">
        <is>
          <t>Tencent</t>
        </is>
      </c>
      <c r="B4041" s="3" t="n">
        <v>2026</v>
      </c>
      <c r="C4041" s="3" t="inlineStr">
        <is>
          <t>Grid-Constrained / Efficiency-Upside</t>
        </is>
      </c>
      <c r="D4041" s="3" t="inlineStr">
        <is>
          <t>reference_serving_tps_per_mw</t>
        </is>
      </c>
      <c r="E4041" s="3" t="n">
        <v>1415980</v>
      </c>
      <c r="F4041" s="3" t="inlineStr">
        <is>
          <t>generated output tokens/sec/MW</t>
        </is>
      </c>
      <c r="G4041" s="3" t="inlineStr">
        <is>
          <t>Workload-adjusted benchmark proxy</t>
        </is>
      </c>
      <c r="H4041" s="3" t="inlineStr">
        <is>
          <t>fleet_reference_tps_per_mw * commercial_workload_fit_factor</t>
        </is>
      </c>
      <c r="I4041" s="3" t="inlineStr">
        <is>
          <t>This is the coefficient used for headline token generation; each GPU's short chat, long chat and agentic TPS/MW are weighted before fleet mix and commercial fit are applied.</t>
        </is>
      </c>
      <c r="J4041" s="3" t="inlineStr">
        <is>
          <t>SRC_SEMIANALYSIS_INFERENCEX; ASSUMP_NUMERIC_ACCELERATOR_MIX; ASSUMP_WORKLOAD_CLASS_MIX; ASSUMP_AGENTIC_CONTEXT_PENALTY</t>
        </is>
      </c>
      <c r="K4041" s="3" t="inlineStr">
        <is>
          <t>ASSUMP_CN_CAPACITY_TRANSPARENCY; ASSUMP_APP_EMBEDDING; ASSUMP_NUMERIC_ACCELERATOR_MIX; ASSUMP_INFERENCE_SHARE_NOT_FACT_60; ASSUMP_WORKLOAD_CLASS_MIX; ASSUMP_AGENTIC_CONTEXT_PENALTY</t>
        </is>
      </c>
      <c r="L4041" s="3" t="inlineStr">
        <is>
          <t>Provider production output-token throughput with comparable workload/SLO.</t>
        </is>
      </c>
    </row>
    <row r="4042">
      <c r="A4042" s="3" t="inlineStr">
        <is>
          <t>Tencent</t>
        </is>
      </c>
      <c r="B4042" s="3" t="n">
        <v>2026</v>
      </c>
      <c r="C4042" s="3" t="inlineStr">
        <is>
          <t>Grid-Constrained / Efficiency-Upside</t>
        </is>
      </c>
      <c r="D4042" s="3" t="inlineStr">
        <is>
          <t>purpose_built_tps_per_mw</t>
        </is>
      </c>
      <c r="E4042" s="3" t="n">
        <v>2710180</v>
      </c>
      <c r="F4042" s="3" t="inlineStr">
        <is>
          <t>generated output tokens/sec/MW</t>
        </is>
      </c>
      <c r="G4042" s="3" t="inlineStr">
        <is>
          <t>Conservative no-uplift proxy</t>
        </is>
      </c>
      <c r="H4042" s="3" t="inlineStr">
        <is>
          <t>purpose_built_tps_per_mw = purpose_built_reference_tps_per_mw * commercial_workload_fit_factor until comparable output-token benchmark is adopted</t>
        </is>
      </c>
      <c r="I4042" s="3" t="inlineStr">
        <is>
          <t>No comparable public output-token/MW row adopted; B200 public reference placeholder is used and remains editable.</t>
        </is>
      </c>
      <c r="J4042" s="3" t="inlineStr">
        <is>
          <t>SRC_TENCENT_HUNYUAN; SRC_TENCENT_HY3; SRC_TENCENT_AI_INFRA_MOE; SRC_EPOCH_AI_DATA_CENTERS; ASSUMP_NUMERIC_ACCELERATOR_MIX</t>
        </is>
      </c>
      <c r="K4042" s="3" t="inlineStr">
        <is>
          <t>ASSUMP_CN_CAPACITY_TRANSPARENCY; ASSUMP_APP_EMBEDDING; ASSUMP_NUMERIC_ACCELERATOR_MIX; ASSUMP_INFERENCE_SHARE_NOT_FACT_60; ASSUMP_WORKLOAD_CLASS_MIX; ASSUMP_AGENTIC_CONTEXT_PENALTY</t>
        </is>
      </c>
      <c r="L4042" s="3" t="inlineStr">
        <is>
          <t>Matched-workload generated-output benchmark for the provider purpose-built accelerator.</t>
        </is>
      </c>
    </row>
    <row r="4043">
      <c r="A4043" s="3" t="inlineStr">
        <is>
          <t>Tencent</t>
        </is>
      </c>
      <c r="B4043" s="3" t="n">
        <v>2026</v>
      </c>
      <c r="C4043" s="3" t="inlineStr">
        <is>
          <t>Grid-Constrained / Efficiency-Upside</t>
        </is>
      </c>
      <c r="D4043" s="3" t="inlineStr">
        <is>
          <t>inference_power_share</t>
        </is>
      </c>
      <c r="E4043" s="3" t="n">
        <v>0.62</v>
      </c>
      <c r="F4043" s="3" t="inlineStr">
        <is>
          <t>share of AI IT load</t>
        </is>
      </c>
      <c r="G4043" s="3" t="inlineStr">
        <is>
          <t>Scenario allocation</t>
        </is>
      </c>
      <c r="H4043" s="3" t="inlineStr">
        <is>
          <t>inference_gw = ai_it_load_gw * inference_power_share</t>
        </is>
      </c>
      <c r="I4043" s="3" t="inlineStr">
        <is>
          <t>Yuanbao and embedded product surfaces plus Hunyuan Turbo inference-cost direction support rising inference allocation.</t>
        </is>
      </c>
      <c r="J4043" s="3" t="inlineStr">
        <is>
          <t>SRC_TENCENT_HUNYUAN; SRC_TENCENT_HY3; SRC_TENCENT_AI_INFRA_MOE; SRC_EPOCH_AI_DATA_CENTERS; ASSUMP_INFERENCE_SHARE_NOT_FACT_60</t>
        </is>
      </c>
      <c r="K4043" s="3" t="inlineStr">
        <is>
          <t>ASSUMP_CN_CAPACITY_TRANSPARENCY; ASSUMP_APP_EMBEDDING; ASSUMP_NUMERIC_ACCELERATOR_MIX; ASSUMP_INFERENCE_SHARE_NOT_FACT_60; ASSUMP_WORKLOAD_CLASS_MIX; ASSUMP_AGENTIC_CONTEXT_PENALTY</t>
        </is>
      </c>
      <c r="L4043" s="3" t="inlineStr">
        <is>
          <t>Provider-specific inference/training workload power telemetry.</t>
        </is>
      </c>
    </row>
    <row r="4044">
      <c r="A4044" s="3" t="inlineStr">
        <is>
          <t>Tencent</t>
        </is>
      </c>
      <c r="B4044" s="3" t="n">
        <v>2026</v>
      </c>
      <c r="C4044" s="3" t="inlineStr">
        <is>
          <t>Grid-Constrained / Efficiency-Upside</t>
        </is>
      </c>
      <c r="D4044" s="3" t="inlineStr">
        <is>
          <t>inference_gw</t>
        </is>
      </c>
      <c r="E4044" s="3" t="n">
        <v>0.168</v>
      </c>
      <c r="F4044" s="3" t="inlineStr">
        <is>
          <t>GW</t>
        </is>
      </c>
      <c r="G4044" s="3" t="inlineStr">
        <is>
          <t>Derived formula</t>
        </is>
      </c>
      <c r="H4044" s="3" t="inlineStr">
        <is>
          <t>ai_it_load_gw * inference_power_share</t>
        </is>
      </c>
      <c r="I4044" s="3" t="inlineStr">
        <is>
          <t>This is the operational power eligible to become commercial generated output tokens through the selected TPS/MW proxy.</t>
        </is>
      </c>
      <c r="J4044" s="3" t="inlineStr">
        <is>
          <t>SRC_TENCENT_HUNYUAN; SRC_TENCENT_HY3; SRC_TENCENT_AI_INFRA_MOE; SRC_EPOCH_AI_DATA_CENTERS</t>
        </is>
      </c>
      <c r="K4044" s="3" t="inlineStr">
        <is>
          <t>ASSUMP_CN_CAPACITY_TRANSPARENCY; ASSUMP_APP_EMBEDDING; ASSUMP_NUMERIC_ACCELERATOR_MIX; ASSUMP_INFERENCE_SHARE_NOT_FACT_60; ASSUMP_WORKLOAD_CLASS_MIX; ASSUMP_AGENTIC_CONTEXT_PENALTY</t>
        </is>
      </c>
      <c r="L4044" s="3" t="inlineStr">
        <is>
          <t>Recompute after AI allocation or inference-share evidence changes.</t>
        </is>
      </c>
    </row>
    <row r="4045">
      <c r="A4045" s="3" t="inlineStr">
        <is>
          <t>Tencent</t>
        </is>
      </c>
      <c r="B4045" s="3" t="n">
        <v>2026</v>
      </c>
      <c r="C4045" s="3" t="inlineStr">
        <is>
          <t>Grid-Constrained / Efficiency-Upside</t>
        </is>
      </c>
      <c r="D4045" s="3" t="inlineStr">
        <is>
          <t>training_power_share</t>
        </is>
      </c>
      <c r="E4045" s="3" t="n">
        <v>0.38</v>
      </c>
      <c r="F4045" s="3" t="inlineStr">
        <is>
          <t>share of AI IT load</t>
        </is>
      </c>
      <c r="G4045" s="3" t="inlineStr">
        <is>
          <t>Derived allocation</t>
        </is>
      </c>
      <c r="H4045" s="3" t="inlineStr">
        <is>
          <t>1 - inference_power_share</t>
        </is>
      </c>
      <c r="I4045" s="3" t="inlineStr">
        <is>
          <t>Training receives the complementary modeled AI IT allocation; it is not a disclosed company workload split.</t>
        </is>
      </c>
      <c r="J4045" s="3" t="inlineStr">
        <is>
          <t>SRC_TENCENT_HUNYUAN; SRC_TENCENT_HY3; SRC_TENCENT_AI_INFRA_MOE; SRC_EPOCH_AI_DATA_CENTERS; ASSUMP_INFERENCE_SHARE_NOT_FACT_60</t>
        </is>
      </c>
      <c r="K4045" s="3" t="inlineStr">
        <is>
          <t>ASSUMP_CN_CAPACITY_TRANSPARENCY; ASSUMP_APP_EMBEDDING; ASSUMP_NUMERIC_ACCELERATOR_MIX; ASSUMP_INFERENCE_SHARE_NOT_FACT_60; ASSUMP_WORKLOAD_CLASS_MIX; ASSUMP_AGENTIC_CONTEXT_PENALTY</t>
        </is>
      </c>
      <c r="L4045" s="3" t="inlineStr">
        <is>
          <t>Provider-specific inference/training workload power telemetry.</t>
        </is>
      </c>
    </row>
    <row r="4046">
      <c r="A4046" s="3" t="inlineStr">
        <is>
          <t>Tencent</t>
        </is>
      </c>
      <c r="B4046" s="3" t="n">
        <v>2026</v>
      </c>
      <c r="C4046" s="3" t="inlineStr">
        <is>
          <t>Grid-Constrained / Efficiency-Upside</t>
        </is>
      </c>
      <c r="D4046" s="3" t="inlineStr">
        <is>
          <t>training_gw</t>
        </is>
      </c>
      <c r="E4046" s="3" t="n">
        <v>0.103</v>
      </c>
      <c r="F4046" s="3" t="inlineStr">
        <is>
          <t>GW</t>
        </is>
      </c>
      <c r="G4046" s="3" t="inlineStr">
        <is>
          <t>Derived formula</t>
        </is>
      </c>
      <c r="H4046" s="3" t="inlineStr">
        <is>
          <t>ai_it_load_gw * training_power_share</t>
        </is>
      </c>
      <c r="I4046" s="3" t="inlineStr">
        <is>
          <t>Training GW is shown separately so commercial inference token capacity is not overstated.</t>
        </is>
      </c>
      <c r="J4046" s="3" t="inlineStr">
        <is>
          <t>SRC_TENCENT_HUNYUAN; SRC_TENCENT_HY3; SRC_TENCENT_AI_INFRA_MOE; SRC_EPOCH_AI_DATA_CENTERS</t>
        </is>
      </c>
      <c r="K4046" s="3" t="inlineStr">
        <is>
          <t>ASSUMP_CN_CAPACITY_TRANSPARENCY; ASSUMP_APP_EMBEDDING; ASSUMP_NUMERIC_ACCELERATOR_MIX; ASSUMP_INFERENCE_SHARE_NOT_FACT_60; ASSUMP_WORKLOAD_CLASS_MIX; ASSUMP_AGENTIC_CONTEXT_PENALTY</t>
        </is>
      </c>
      <c r="L4046" s="3" t="inlineStr">
        <is>
          <t>Recompute after AI allocation or workload-split evidence changes.</t>
        </is>
      </c>
    </row>
    <row r="4047">
      <c r="A4047" s="3" t="inlineStr">
        <is>
          <t>Tencent</t>
        </is>
      </c>
      <c r="B4047" s="3" t="n">
        <v>2026</v>
      </c>
      <c r="C4047" s="3" t="inlineStr">
        <is>
          <t>Grid-Constrained / Efficiency-Upside</t>
        </is>
      </c>
      <c r="D4047" s="3" t="inlineStr">
        <is>
          <t>tokens_per_second_per_mw</t>
        </is>
      </c>
      <c r="E4047" s="3" t="n">
        <v>1415980</v>
      </c>
      <c r="F4047" s="3" t="inlineStr">
        <is>
          <t>generated output tokens/sec/MW</t>
        </is>
      </c>
      <c r="G4047" s="3" t="inlineStr">
        <is>
          <t>Derived estimate + benchmark calibration</t>
        </is>
      </c>
      <c r="H4047" s="3" t="inlineStr">
        <is>
          <t>fleet_reference_tps_per_mw * commercial_workload_fit_factor</t>
        </is>
      </c>
      <c r="I4047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47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047" s="3" t="inlineStr">
        <is>
          <t>ASSUMP_CN_CAPACITY_TRANSPARENCY; ASSUMP_APP_EMBEDDING; ASSUMP_NUMERIC_ACCELERATOR_MIX; ASSUMP_INFERENCE_SHARE_NOT_FACT_60; ASSUMP_WORKLOAD_CLASS_MIX; ASSUMP_AGENTIC_CONTEXT_PENALTY</t>
        </is>
      </c>
      <c r="L4047" s="3" t="inlineStr">
        <is>
          <t>Comparable production output-token throughput with model, hardware, precision, ISL/OSL and SLO matched.</t>
        </is>
      </c>
    </row>
    <row r="4048">
      <c r="A4048" s="3" t="inlineStr">
        <is>
          <t>Tencent</t>
        </is>
      </c>
      <c r="B4048" s="3" t="n">
        <v>2026</v>
      </c>
      <c r="C4048" s="3" t="inlineStr">
        <is>
          <t>Grid-Constrained / Efficiency-Upside</t>
        </is>
      </c>
      <c r="D4048" s="3" t="inlineStr">
        <is>
          <t>inference_tokens_per_day</t>
        </is>
      </c>
      <c r="E4048" s="3" t="n">
        <v>20553232896000</v>
      </c>
      <c r="F4048" s="3" t="inlineStr">
        <is>
          <t>generated output tokens/day</t>
        </is>
      </c>
      <c r="G4048" s="3" t="inlineStr">
        <is>
          <t>Derived headline metric</t>
        </is>
      </c>
      <c r="H4048" s="3" t="inlineStr">
        <is>
          <t>inference_gw * 1000 * tokens_per_second_per_mw * 86,400</t>
        </is>
      </c>
      <c r="I4048" s="3" t="inlineStr">
        <is>
          <t>Headline capacity uses no utilization, MoE, architecture or software-growth multiplier; it is not observed commercial output volume.</t>
        </is>
      </c>
      <c r="J4048" s="3" t="inlineStr">
        <is>
          <t>SRC_TENCENT_HUNYUAN; SRC_TENCENT_HY3; SRC_TENCENT_AI_INFRA_MOE; SRC_EPOCH_AI_DATA_CENTERS; SRC_SEMIANALYSIS_INFERENCEX</t>
        </is>
      </c>
      <c r="K4048" s="3" t="inlineStr">
        <is>
          <t>ASSUMP_CN_CAPACITY_TRANSPARENCY; ASSUMP_APP_EMBEDDING; ASSUMP_NUMERIC_ACCELERATOR_MIX; ASSUMP_INFERENCE_SHARE_NOT_FACT_60; ASSUMP_WORKLOAD_CLASS_MIX; ASSUMP_AGENTIC_CONTEXT_PENALTY</t>
        </is>
      </c>
      <c r="L4048" s="3" t="inlineStr">
        <is>
          <t>Provider-disclosed generated output token volume or calibrated capacity telemetry.</t>
        </is>
      </c>
    </row>
    <row r="4049">
      <c r="A4049" s="3" t="inlineStr">
        <is>
          <t>Tencent</t>
        </is>
      </c>
      <c r="B4049" s="3" t="n">
        <v>2026</v>
      </c>
      <c r="C4049" s="3" t="inlineStr">
        <is>
          <t>Grid-Constrained / Efficiency-Upside</t>
        </is>
      </c>
      <c r="D4049" s="3" t="inlineStr">
        <is>
          <t>inference_tokens_per_year</t>
        </is>
      </c>
      <c r="E4049" s="3" t="n">
        <v>7501930007040000</v>
      </c>
      <c r="F4049" s="3" t="inlineStr">
        <is>
          <t>generated output tokens/year</t>
        </is>
      </c>
      <c r="G4049" s="3" t="inlineStr">
        <is>
          <t>Derived headline metric</t>
        </is>
      </c>
      <c r="H4049" s="3" t="inlineStr">
        <is>
          <t>inference_tokens_per_day * 365</t>
        </is>
      </c>
      <c r="I4049" s="3" t="inlineStr">
        <is>
          <t>Annualized version of generated output token capacity; it is not observed annual demand or billable volume.</t>
        </is>
      </c>
      <c r="J4049" s="3" t="inlineStr">
        <is>
          <t>SRC_TENCENT_HUNYUAN; SRC_TENCENT_HY3; SRC_TENCENT_AI_INFRA_MOE; SRC_EPOCH_AI_DATA_CENTERS; SRC_SEMIANALYSIS_INFERENCEX</t>
        </is>
      </c>
      <c r="K4049" s="3" t="inlineStr">
        <is>
          <t>ASSUMP_CN_CAPACITY_TRANSPARENCY; ASSUMP_APP_EMBEDDING; ASSUMP_NUMERIC_ACCELERATOR_MIX; ASSUMP_INFERENCE_SHARE_NOT_FACT_60; ASSUMP_WORKLOAD_CLASS_MIX; ASSUMP_AGENTIC_CONTEXT_PENALTY</t>
        </is>
      </c>
      <c r="L4049" s="3" t="inlineStr">
        <is>
          <t>Provider-disclosed annual generated-output volume or metered serving telemetry.</t>
        </is>
      </c>
    </row>
    <row r="4050">
      <c r="A4050" s="3" t="inlineStr">
        <is>
          <t>Tencent</t>
        </is>
      </c>
      <c r="B4050" s="3" t="n">
        <v>2027</v>
      </c>
      <c r="C4050" s="3" t="inlineStr">
        <is>
          <t>Grid-Constrained / Efficiency-Upside</t>
        </is>
      </c>
      <c r="D4050" s="3" t="inlineStr">
        <is>
          <t>contracted_power_gw</t>
        </is>
      </c>
      <c r="E4050" s="3" t="n">
        <v>1.65</v>
      </c>
      <c r="F4050" s="3" t="inlineStr">
        <is>
          <t>GW</t>
        </is>
      </c>
      <c r="G4050" s="3" t="inlineStr">
        <is>
          <t>Scenario capacity envelope</t>
        </is>
      </c>
      <c r="H4050" s="3" t="inlineStr">
        <is>
          <t>linear interpolation between 2026 and 2030 company capacity endpoints</t>
        </is>
      </c>
      <c r="I4050" s="3" t="inlineStr">
        <is>
          <t>Tencent Cloud/Hunyuan capacity is a scenario envelope because operated model-serving GW is undisclosed.</t>
        </is>
      </c>
      <c r="J4050" s="3" t="inlineStr">
        <is>
          <t>SRC_TENCENT_AI_INFRA_MOE; ASSUMP_CN_CAPACITY_TRANSPARENCY</t>
        </is>
      </c>
      <c r="K4050" s="3" t="inlineStr">
        <is>
          <t>ASSUMP_CN_CAPACITY_TRANSPARENCY; ASSUMP_APP_EMBEDDING; ASSUMP_NUMERIC_ACCELERATOR_MIX; ASSUMP_INFERENCE_SHARE_NOT_FACT_60; ASSUMP_WORKLOAD_CLASS_MIX; ASSUMP_AGENTIC_CONTEXT_PENALTY</t>
        </is>
      </c>
      <c r="L4050" s="3" t="inlineStr">
        <is>
          <t>Company/site-level committed MW/GW, interconnect and contract disclosure.</t>
        </is>
      </c>
    </row>
    <row r="4051">
      <c r="A4051" s="3" t="inlineStr">
        <is>
          <t>Tencent</t>
        </is>
      </c>
      <c r="B4051" s="3" t="n">
        <v>2027</v>
      </c>
      <c r="C4051" s="3" t="inlineStr">
        <is>
          <t>Grid-Constrained / Efficiency-Upside</t>
        </is>
      </c>
      <c r="D4051" s="3" t="inlineStr">
        <is>
          <t>operational_deployment_share</t>
        </is>
      </c>
      <c r="E4051" s="3" t="n">
        <v>0.4769697</v>
      </c>
      <c r="F4051" s="3" t="inlineStr">
        <is>
          <t>share</t>
        </is>
      </c>
      <c r="G4051" s="3" t="inlineStr">
        <is>
          <t>Scenario conversion</t>
        </is>
      </c>
      <c r="H4051" s="3" t="inlineStr">
        <is>
          <t>active_power_gw / contracted_power_gw</t>
        </is>
      </c>
      <c r="I4051" s="3" t="inlineStr">
        <is>
          <t>This is the single explicit conversion from contracted/attributed capacity to operationally usable capacity.</t>
        </is>
      </c>
      <c r="J4051" s="3" t="inlineStr">
        <is>
          <t>SRC_TENCENT_AI_INFRA_MOE; ASSUMP_CN_CAPACITY_TRANSPARENCY</t>
        </is>
      </c>
      <c r="K4051" s="3" t="inlineStr">
        <is>
          <t>ASSUMP_CN_CAPACITY_TRANSPARENCY; ASSUMP_APP_EMBEDDING; ASSUMP_NUMERIC_ACCELERATOR_MIX; ASSUMP_INFERENCE_SHARE_NOT_FACT_60; ASSUMP_WORKLOAD_CLASS_MIX; ASSUMP_AGENTIC_CONTEXT_PENALTY</t>
        </is>
      </c>
      <c r="L4051" s="3" t="inlineStr">
        <is>
          <t>Energized operational capacity divided by contracted/attributed capacity.</t>
        </is>
      </c>
    </row>
    <row r="4052">
      <c r="A4052" s="3" t="inlineStr">
        <is>
          <t>Tencent</t>
        </is>
      </c>
      <c r="B4052" s="3" t="n">
        <v>2027</v>
      </c>
      <c r="C4052" s="3" t="inlineStr">
        <is>
          <t>Grid-Constrained / Efficiency-Upside</t>
        </is>
      </c>
      <c r="D4052" s="3" t="inlineStr">
        <is>
          <t>active_power_gw</t>
        </is>
      </c>
      <c r="E4052" s="3" t="n">
        <v>0.787</v>
      </c>
      <c r="F4052" s="3" t="inlineStr">
        <is>
          <t>GW</t>
        </is>
      </c>
      <c r="G4052" s="3" t="inlineStr">
        <is>
          <t>Derived scenario</t>
        </is>
      </c>
      <c r="H4052" s="3" t="inlineStr">
        <is>
          <t>contracted_power_gw * operational_deployment_share</t>
        </is>
      </c>
      <c r="I4052" s="3" t="inlineStr">
        <is>
          <t>Active GW reflects staged Hunyuan/Yuanbao adoption rather than a reported powered fleet.</t>
        </is>
      </c>
      <c r="J4052" s="3" t="inlineStr">
        <is>
          <t>SRC_TENCENT_AI_INFRA_MOE; ASSUMP_CN_CAPACITY_TRANSPARENCY</t>
        </is>
      </c>
      <c r="K4052" s="3" t="inlineStr">
        <is>
          <t>ASSUMP_CN_CAPACITY_TRANSPARENCY; ASSUMP_APP_EMBEDDING; ASSUMP_NUMERIC_ACCELERATOR_MIX; ASSUMP_INFERENCE_SHARE_NOT_FACT_60; ASSUMP_WORKLOAD_CLASS_MIX; ASSUMP_AGENTIC_CONTEXT_PENALTY</t>
        </is>
      </c>
      <c r="L4052" s="3" t="inlineStr">
        <is>
          <t>Energization dates, accelerator deliveries and operational powered-rack telemetry.</t>
        </is>
      </c>
    </row>
    <row r="4053">
      <c r="A4053" s="3" t="inlineStr">
        <is>
          <t>Tencent</t>
        </is>
      </c>
      <c r="B4053" s="3" t="n">
        <v>2027</v>
      </c>
      <c r="C4053" s="3" t="inlineStr">
        <is>
          <t>Grid-Constrained / Efficiency-Upside</t>
        </is>
      </c>
      <c r="D4053" s="3" t="inlineStr">
        <is>
          <t>pue</t>
        </is>
      </c>
      <c r="E4053" s="3" t="n">
        <v>1.23</v>
      </c>
      <c r="F4053" s="3" t="inlineStr">
        <is>
          <t>ratio</t>
        </is>
      </c>
      <c r="G4053" s="3" t="inlineStr">
        <is>
          <t>Scenario parameter</t>
        </is>
      </c>
      <c r="H4053" s="3" t="inlineStr">
        <is>
          <t>it_load_gw = active_power_gw / pue</t>
        </is>
      </c>
      <c r="I4053" s="3" t="inlineStr">
        <is>
          <t>No provider-wide site-level PUE is used as a disclosed fact; PUE represents facility-to-IT conversion within the scenario.</t>
        </is>
      </c>
      <c r="J4053" s="3" t="inlineStr">
        <is>
          <t>ASSUMP_POWER_RAMP</t>
        </is>
      </c>
      <c r="K4053" s="3" t="inlineStr">
        <is>
          <t>ASSUMP_CN_CAPACITY_TRANSPARENCY; ASSUMP_APP_EMBEDDING; ASSUMP_NUMERIC_ACCELERATOR_MIX; ASSUMP_INFERENCE_SHARE_NOT_FACT_60; ASSUMP_WORKLOAD_CLASS_MIX; ASSUMP_AGENTIC_CONTEXT_PENALTY</t>
        </is>
      </c>
      <c r="L4053" s="3" t="inlineStr">
        <is>
          <t>Site-level measured PUE matched to attributed AI capacity.</t>
        </is>
      </c>
    </row>
    <row r="4054">
      <c r="A4054" s="3" t="inlineStr">
        <is>
          <t>Tencent</t>
        </is>
      </c>
      <c r="B4054" s="3" t="n">
        <v>2027</v>
      </c>
      <c r="C4054" s="3" t="inlineStr">
        <is>
          <t>Grid-Constrained / Efficiency-Upside</t>
        </is>
      </c>
      <c r="D4054" s="3" t="inlineStr">
        <is>
          <t>it_load_gw</t>
        </is>
      </c>
      <c r="E4054" s="3" t="n">
        <v>0.64</v>
      </c>
      <c r="F4054" s="3" t="inlineStr">
        <is>
          <t>GW</t>
        </is>
      </c>
      <c r="G4054" s="3" t="inlineStr">
        <is>
          <t>Derived formula</t>
        </is>
      </c>
      <c r="H4054" s="3" t="inlineStr">
        <is>
          <t>active_power_gw / pue</t>
        </is>
      </c>
      <c r="I4054" s="3" t="inlineStr">
        <is>
          <t>Facility power is converted to IT-deliverable power before attributing AI workloads.</t>
        </is>
      </c>
      <c r="J4054" s="3" t="inlineStr">
        <is>
          <t>SRC_TENCENT_AI_INFRA_MOE; ASSUMP_CN_CAPACITY_TRANSPARENCY</t>
        </is>
      </c>
      <c r="K4054" s="3" t="inlineStr">
        <is>
          <t>ASSUMP_CN_CAPACITY_TRANSPARENCY; ASSUMP_APP_EMBEDDING; ASSUMP_NUMERIC_ACCELERATOR_MIX; ASSUMP_INFERENCE_SHARE_NOT_FACT_60; ASSUMP_WORKLOAD_CLASS_MIX; ASSUMP_AGENTIC_CONTEXT_PENALTY</t>
        </is>
      </c>
      <c r="L4054" s="3" t="inlineStr">
        <is>
          <t>Recompute once active power and PUE become site-observable.</t>
        </is>
      </c>
    </row>
    <row r="4055">
      <c r="A4055" s="3" t="inlineStr">
        <is>
          <t>Tencent</t>
        </is>
      </c>
      <c r="B4055" s="3" t="n">
        <v>2027</v>
      </c>
      <c r="C4055" s="3" t="inlineStr">
        <is>
          <t>Grid-Constrained / Efficiency-Upside</t>
        </is>
      </c>
      <c r="D4055" s="3" t="inlineStr">
        <is>
          <t>ai_workload_share</t>
        </is>
      </c>
      <c r="E4055" s="3" t="n">
        <v>0.84</v>
      </c>
      <c r="F4055" s="3" t="inlineStr">
        <is>
          <t>share</t>
        </is>
      </c>
      <c r="G4055" s="3" t="inlineStr">
        <is>
          <t>Scenario allocation</t>
        </is>
      </c>
      <c r="H4055" s="3" t="inlineStr">
        <is>
          <t>ai_it_load_gw = it_load_gw * ai_workload_share</t>
        </is>
      </c>
      <c r="I4055" s="3" t="inlineStr">
        <is>
          <t>Modeled Hunyuan-serving capacity is AI-focused; 84% excludes cloud/platform and reserve overhead.</t>
        </is>
      </c>
      <c r="J4055" s="3" t="inlineStr">
        <is>
          <t>SRC_TENCENT_HUNYUAN; SRC_TENCENT_HY3; SRC_TENCENT_AI_INFRA_MOE; SRC_EPOCH_AI_DATA_CENTERS</t>
        </is>
      </c>
      <c r="K4055" s="3" t="inlineStr">
        <is>
          <t>ASSUMP_CN_CAPACITY_TRANSPARENCY; ASSUMP_APP_EMBEDDING; ASSUMP_NUMERIC_ACCELERATOR_MIX; ASSUMP_INFERENCE_SHARE_NOT_FACT_60; ASSUMP_WORKLOAD_CLASS_MIX; ASSUMP_AGENTIC_CONTEXT_PENALTY</t>
        </is>
      </c>
      <c r="L4055" s="3" t="inlineStr">
        <is>
          <t>Model-owner AI workload allocation or cluster scheduling telemetry.</t>
        </is>
      </c>
    </row>
    <row r="4056">
      <c r="A4056" s="3" t="inlineStr">
        <is>
          <t>Tencent</t>
        </is>
      </c>
      <c r="B4056" s="3" t="n">
        <v>2027</v>
      </c>
      <c r="C4056" s="3" t="inlineStr">
        <is>
          <t>Grid-Constrained / Efficiency-Upside</t>
        </is>
      </c>
      <c r="D4056" s="3" t="inlineStr">
        <is>
          <t>ai_it_load_gw</t>
        </is>
      </c>
      <c r="E4056" s="3" t="n">
        <v>0.538</v>
      </c>
      <c r="F4056" s="3" t="inlineStr">
        <is>
          <t>GW</t>
        </is>
      </c>
      <c r="G4056" s="3" t="inlineStr">
        <is>
          <t>Derived formula</t>
        </is>
      </c>
      <c r="H4056" s="3" t="inlineStr">
        <is>
          <t>it_load_gw * ai_workload_share</t>
        </is>
      </c>
      <c r="I4056" s="3" t="inlineStr">
        <is>
          <t>Only the AI-attributed portion of IT load enters training/inference allocation.</t>
        </is>
      </c>
      <c r="J4056" s="3" t="inlineStr">
        <is>
          <t>SRC_TENCENT_HUNYUAN; SRC_TENCENT_HY3; SRC_TENCENT_AI_INFRA_MOE; SRC_EPOCH_AI_DATA_CENTERS</t>
        </is>
      </c>
      <c r="K4056" s="3" t="inlineStr">
        <is>
          <t>ASSUMP_CN_CAPACITY_TRANSPARENCY; ASSUMP_APP_EMBEDDING; ASSUMP_NUMERIC_ACCELERATOR_MIX; ASSUMP_INFERENCE_SHARE_NOT_FACT_60; ASSUMP_WORKLOAD_CLASS_MIX; ASSUMP_AGENTIC_CONTEXT_PENALTY</t>
        </is>
      </c>
      <c r="L4056" s="3" t="inlineStr">
        <is>
          <t>Recompute after ai_workload_share is replaced by telemetry.</t>
        </is>
      </c>
    </row>
    <row r="4057">
      <c r="A4057" s="3" t="inlineStr">
        <is>
          <t>Tencent</t>
        </is>
      </c>
      <c r="B4057" s="3" t="n">
        <v>2027</v>
      </c>
      <c r="C4057" s="3" t="inlineStr">
        <is>
          <t>Grid-Constrained / Efficiency-Upside</t>
        </is>
      </c>
      <c r="D4057" s="3" t="inlineStr">
        <is>
          <t>gpu_share</t>
        </is>
      </c>
      <c r="E4057" s="3" t="n">
        <v>1</v>
      </c>
      <c r="F4057" s="3" t="inlineStr">
        <is>
          <t>share of inference-serving accelerator load</t>
        </is>
      </c>
      <c r="G4057" s="3" t="inlineStr">
        <is>
          <t>Numeric scenario</t>
        </is>
      </c>
      <c r="H4057" s="3" t="inlineStr">
        <is>
          <t>gpu_share interpolated from company 2026/2030 accelerator-mix endpoints</t>
        </is>
      </c>
      <c r="I4057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057" s="3" t="inlineStr">
        <is>
          <t>SRC_TENCENT_HUNYUAN; SRC_TENCENT_HY3; SRC_TENCENT_AI_INFRA_MOE; SRC_EPOCH_AI_DATA_CENTERS; ASSUMP_NUMERIC_ACCELERATOR_MIX</t>
        </is>
      </c>
      <c r="K4057" s="3" t="inlineStr">
        <is>
          <t>ASSUMP_CN_CAPACITY_TRANSPARENCY; ASSUMP_APP_EMBEDDING; ASSUMP_NUMERIC_ACCELERATOR_MIX; ASSUMP_INFERENCE_SHARE_NOT_FACT_60; ASSUMP_WORKLOAD_CLASS_MIX; ASSUMP_AGENTIC_CONTEXT_PENALTY</t>
        </is>
      </c>
      <c r="L4057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058">
      <c r="A4058" s="3" t="inlineStr">
        <is>
          <t>Tencent</t>
        </is>
      </c>
      <c r="B4058" s="3" t="n">
        <v>2027</v>
      </c>
      <c r="C4058" s="3" t="inlineStr">
        <is>
          <t>Grid-Constrained / Efficiency-Upside</t>
        </is>
      </c>
      <c r="D4058" s="3" t="inlineStr">
        <is>
          <t>h200_share</t>
        </is>
      </c>
      <c r="E4058" s="3" t="n">
        <v>0.438</v>
      </c>
      <c r="F4058" s="3" t="inlineStr">
        <is>
          <t>share of inference-serving accelerator load</t>
        </is>
      </c>
      <c r="G4058" s="3" t="inlineStr">
        <is>
          <t>Editable numeric scenario</t>
        </is>
      </c>
      <c r="H4058" s="3" t="inlineStr">
        <is>
          <t>h200_share = gpu_share * default_gpu_generation_mix_h200</t>
        </is>
      </c>
      <c r="I4058" s="3" t="inlineStr">
        <is>
          <t>Default GPU-generation migration assumption; executive workbook allows later manual replacement by company/year/scenario.</t>
        </is>
      </c>
      <c r="J4058" s="3" t="inlineStr">
        <is>
          <t>SRC_SEMIANALYSIS_INFERENCEX; ASSUMP_NUMERIC_ACCELERATOR_MIX</t>
        </is>
      </c>
      <c r="K4058" s="3" t="inlineStr">
        <is>
          <t>ASSUMP_CN_CAPACITY_TRANSPARENCY; ASSUMP_APP_EMBEDDING; ASSUMP_NUMERIC_ACCELERATOR_MIX; ASSUMP_INFERENCE_SHARE_NOT_FACT_60; ASSUMP_WORKLOAD_CLASS_MIX; ASSUMP_AGENTIC_CONTEXT_PENALTY</t>
        </is>
      </c>
      <c r="L4058" s="3" t="inlineStr">
        <is>
          <t>Company fleet inventory, accelerator-hours or procurement/deployment records by GPU generation.</t>
        </is>
      </c>
    </row>
    <row r="4059">
      <c r="A4059" s="3" t="inlineStr">
        <is>
          <t>Tencent</t>
        </is>
      </c>
      <c r="B4059" s="3" t="n">
        <v>2027</v>
      </c>
      <c r="C4059" s="3" t="inlineStr">
        <is>
          <t>Grid-Constrained / Efficiency-Upside</t>
        </is>
      </c>
      <c r="D4059" s="3" t="inlineStr">
        <is>
          <t>b200_share</t>
        </is>
      </c>
      <c r="E4059" s="3" t="n">
        <v>0.388</v>
      </c>
      <c r="F4059" s="3" t="inlineStr">
        <is>
          <t>share of inference-serving accelerator load</t>
        </is>
      </c>
      <c r="G4059" s="3" t="inlineStr">
        <is>
          <t>Editable numeric scenario</t>
        </is>
      </c>
      <c r="H4059" s="3" t="inlineStr">
        <is>
          <t>b200_share = gpu_share * default_gpu_generation_mix_b200</t>
        </is>
      </c>
      <c r="I4059" s="3" t="inlineStr">
        <is>
          <t>Default GPU-generation migration assumption; executive workbook allows later manual replacement by company/year/scenario.</t>
        </is>
      </c>
      <c r="J4059" s="3" t="inlineStr">
        <is>
          <t>SRC_SEMIANALYSIS_INFERENCEX; ASSUMP_NUMERIC_ACCELERATOR_MIX</t>
        </is>
      </c>
      <c r="K4059" s="3" t="inlineStr">
        <is>
          <t>ASSUMP_CN_CAPACITY_TRANSPARENCY; ASSUMP_APP_EMBEDDING; ASSUMP_NUMERIC_ACCELERATOR_MIX; ASSUMP_INFERENCE_SHARE_NOT_FACT_60; ASSUMP_WORKLOAD_CLASS_MIX; ASSUMP_AGENTIC_CONTEXT_PENALTY</t>
        </is>
      </c>
      <c r="L4059" s="3" t="inlineStr">
        <is>
          <t>Company fleet inventory, accelerator-hours or procurement/deployment records by GPU generation.</t>
        </is>
      </c>
    </row>
    <row r="4060">
      <c r="A4060" s="3" t="inlineStr">
        <is>
          <t>Tencent</t>
        </is>
      </c>
      <c r="B4060" s="3" t="n">
        <v>2027</v>
      </c>
      <c r="C4060" s="3" t="inlineStr">
        <is>
          <t>Grid-Constrained / Efficiency-Upside</t>
        </is>
      </c>
      <c r="D4060" s="3" t="inlineStr">
        <is>
          <t>gb200_share</t>
        </is>
      </c>
      <c r="E4060" s="3" t="n">
        <v>0.174</v>
      </c>
      <c r="F4060" s="3" t="inlineStr">
        <is>
          <t>share of inference-serving accelerator load</t>
        </is>
      </c>
      <c r="G4060" s="3" t="inlineStr">
        <is>
          <t>Editable numeric scenario</t>
        </is>
      </c>
      <c r="H4060" s="3" t="inlineStr">
        <is>
          <t>gb200_share = gpu_share * default_gpu_generation_mix_gb200</t>
        </is>
      </c>
      <c r="I4060" s="3" t="inlineStr">
        <is>
          <t>Default GPU-generation migration assumption; executive workbook allows later manual replacement by company/year/scenario.</t>
        </is>
      </c>
      <c r="J4060" s="3" t="inlineStr">
        <is>
          <t>SRC_SEMIANALYSIS_INFERENCEX; ASSUMP_NUMERIC_ACCELERATOR_MIX</t>
        </is>
      </c>
      <c r="K4060" s="3" t="inlineStr">
        <is>
          <t>ASSUMP_CN_CAPACITY_TRANSPARENCY; ASSUMP_APP_EMBEDDING; ASSUMP_NUMERIC_ACCELERATOR_MIX; ASSUMP_INFERENCE_SHARE_NOT_FACT_60; ASSUMP_WORKLOAD_CLASS_MIX; ASSUMP_AGENTIC_CONTEXT_PENALTY</t>
        </is>
      </c>
      <c r="L4060" s="3" t="inlineStr">
        <is>
          <t>Company fleet inventory, accelerator-hours or procurement/deployment records by GPU generation.</t>
        </is>
      </c>
    </row>
    <row r="4061">
      <c r="A4061" s="3" t="inlineStr">
        <is>
          <t>Tencent</t>
        </is>
      </c>
      <c r="B4061" s="3" t="n">
        <v>2027</v>
      </c>
      <c r="C4061" s="3" t="inlineStr">
        <is>
          <t>Grid-Constrained / Efficiency-Upside</t>
        </is>
      </c>
      <c r="D4061" s="3" t="inlineStr">
        <is>
          <t>purpose_built_accelerator_share</t>
        </is>
      </c>
      <c r="E4061" s="3" t="n">
        <v>0</v>
      </c>
      <c r="F4061" s="3" t="inlineStr">
        <is>
          <t>share of inference-serving accelerator load</t>
        </is>
      </c>
      <c r="G4061" s="3" t="inlineStr">
        <is>
          <t>Numeric scenario</t>
        </is>
      </c>
      <c r="H4061" s="3" t="inlineStr">
        <is>
          <t>1 - gpu_share</t>
        </is>
      </c>
      <c r="I4061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061" s="3" t="inlineStr">
        <is>
          <t>SRC_TENCENT_HUNYUAN; SRC_TENCENT_HY3; SRC_TENCENT_AI_INFRA_MOE; SRC_EPOCH_AI_DATA_CENTERS; ASSUMP_NUMERIC_ACCELERATOR_MIX</t>
        </is>
      </c>
      <c r="K4061" s="3" t="inlineStr">
        <is>
          <t>ASSUMP_CN_CAPACITY_TRANSPARENCY; ASSUMP_APP_EMBEDDING; ASSUMP_NUMERIC_ACCELERATOR_MIX; ASSUMP_INFERENCE_SHARE_NOT_FACT_60; ASSUMP_WORKLOAD_CLASS_MIX; ASSUMP_AGENTIC_CONTEXT_PENALTY</t>
        </is>
      </c>
      <c r="L4061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062">
      <c r="A4062" s="3" t="inlineStr">
        <is>
          <t>Tencent</t>
        </is>
      </c>
      <c r="B4062" s="3" t="n">
        <v>2027</v>
      </c>
      <c r="C4062" s="3" t="inlineStr">
        <is>
          <t>Grid-Constrained / Efficiency-Upside</t>
        </is>
      </c>
      <c r="D4062" s="3" t="inlineStr">
        <is>
          <t>fleet_reference_tps_per_mw</t>
        </is>
      </c>
      <c r="E4062" s="3" t="n">
        <v>2616983</v>
      </c>
      <c r="F4062" s="3" t="inlineStr">
        <is>
          <t>generated output tokens/sec/MW</t>
        </is>
      </c>
      <c r="G4062" s="3" t="inlineStr">
        <is>
          <t>Fleet-weighted public benchmark reference</t>
        </is>
      </c>
      <c r="H4062" s="3" t="inlineStr">
        <is>
          <t>h200_share*h200_workload_avg + b200_share*b200_workload_avg + gb200_share*gb200_workload_avg + purpose_built_share*purpose_workload_avg</t>
        </is>
      </c>
      <c r="I4062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62" s="3" t="inlineStr">
        <is>
          <t>SRC_SEMIANALYSIS_INFERENCEX; ASSUMP_NUMERIC_ACCELERATOR_MIX; ASSUMP_WORKLOAD_CLASS_MIX; ASSUMP_AGENTIC_CONTEXT_PENALTY</t>
        </is>
      </c>
      <c r="K4062" s="3" t="inlineStr">
        <is>
          <t>ASSUMP_CN_CAPACITY_TRANSPARENCY; ASSUMP_APP_EMBEDDING; ASSUMP_NUMERIC_ACCELERATOR_MIX; ASSUMP_INFERENCE_SHARE_NOT_FACT_60; ASSUMP_WORKLOAD_CLASS_MIX; ASSUMP_AGENTIC_CONTEXT_PENALTY</t>
        </is>
      </c>
      <c r="L4062" s="3" t="inlineStr">
        <is>
          <t>Comparable production output-token throughput or a more closely matched benchmark.</t>
        </is>
      </c>
    </row>
    <row r="4063">
      <c r="A4063" s="3" t="inlineStr">
        <is>
          <t>Tencent</t>
        </is>
      </c>
      <c r="B4063" s="3" t="n">
        <v>2027</v>
      </c>
      <c r="C4063" s="3" t="inlineStr">
        <is>
          <t>Grid-Constrained / Efficiency-Upside</t>
        </is>
      </c>
      <c r="D4063" s="3" t="inlineStr">
        <is>
          <t>commercial_workload_fit_factor</t>
        </is>
      </c>
      <c r="E4063" s="3" t="n">
        <v>0.6</v>
      </c>
      <c r="F4063" s="3" t="inlineStr">
        <is>
          <t>share of public reference throughput</t>
        </is>
      </c>
      <c r="G4063" s="3" t="inlineStr">
        <is>
          <t>Scenario assumption</t>
        </is>
      </c>
      <c r="H4063" s="3" t="inlineStr">
        <is>
          <t>reference_serving_tps_per_mw = fleet_reference_tps_per_mw * commercial_workload_fit_factor</t>
        </is>
      </c>
      <c r="I4063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63" s="3" t="inlineStr">
        <is>
          <t>SRC_SEMIANALYSIS_INFERENCEX; ASSUMP_NUMERIC_ACCELERATOR_MIX; ASSUMP_WORKLOAD_CLASS_MIX; ASSUMP_AGENTIC_CONTEXT_PENALTY</t>
        </is>
      </c>
      <c r="K4063" s="3" t="inlineStr">
        <is>
          <t>ASSUMP_CN_CAPACITY_TRANSPARENCY; ASSUMP_APP_EMBEDDING; ASSUMP_NUMERIC_ACCELERATOR_MIX; ASSUMP_INFERENCE_SHARE_NOT_FACT_60; ASSUMP_WORKLOAD_CLASS_MIX; ASSUMP_AGENTIC_CONTEXT_PENALTY</t>
        </is>
      </c>
      <c r="L4063" s="3" t="inlineStr">
        <is>
          <t>Matched commercial serving benchmark by product surface, context shape and latency SLO.</t>
        </is>
      </c>
    </row>
    <row r="4064">
      <c r="A4064" s="3" t="inlineStr">
        <is>
          <t>Tencent</t>
        </is>
      </c>
      <c r="B4064" s="3" t="n">
        <v>2027</v>
      </c>
      <c r="C4064" s="3" t="inlineStr">
        <is>
          <t>Grid-Constrained / Efficiency-Upside</t>
        </is>
      </c>
      <c r="D4064" s="3" t="inlineStr">
        <is>
          <t>reference_serving_tps_per_mw</t>
        </is>
      </c>
      <c r="E4064" s="3" t="n">
        <v>1570190</v>
      </c>
      <c r="F4064" s="3" t="inlineStr">
        <is>
          <t>generated output tokens/sec/MW</t>
        </is>
      </c>
      <c r="G4064" s="3" t="inlineStr">
        <is>
          <t>Workload-adjusted benchmark proxy</t>
        </is>
      </c>
      <c r="H4064" s="3" t="inlineStr">
        <is>
          <t>fleet_reference_tps_per_mw * commercial_workload_fit_factor</t>
        </is>
      </c>
      <c r="I4064" s="3" t="inlineStr">
        <is>
          <t>This is the coefficient used for headline token generation; each GPU's short chat, long chat and agentic TPS/MW are weighted before fleet mix and commercial fit are applied.</t>
        </is>
      </c>
      <c r="J4064" s="3" t="inlineStr">
        <is>
          <t>SRC_SEMIANALYSIS_INFERENCEX; ASSUMP_NUMERIC_ACCELERATOR_MIX; ASSUMP_WORKLOAD_CLASS_MIX; ASSUMP_AGENTIC_CONTEXT_PENALTY</t>
        </is>
      </c>
      <c r="K4064" s="3" t="inlineStr">
        <is>
          <t>ASSUMP_CN_CAPACITY_TRANSPARENCY; ASSUMP_APP_EMBEDDING; ASSUMP_NUMERIC_ACCELERATOR_MIX; ASSUMP_INFERENCE_SHARE_NOT_FACT_60; ASSUMP_WORKLOAD_CLASS_MIX; ASSUMP_AGENTIC_CONTEXT_PENALTY</t>
        </is>
      </c>
      <c r="L4064" s="3" t="inlineStr">
        <is>
          <t>Provider production output-token throughput with comparable workload/SLO.</t>
        </is>
      </c>
    </row>
    <row r="4065">
      <c r="A4065" s="3" t="inlineStr">
        <is>
          <t>Tencent</t>
        </is>
      </c>
      <c r="B4065" s="3" t="n">
        <v>2027</v>
      </c>
      <c r="C4065" s="3" t="inlineStr">
        <is>
          <t>Grid-Constrained / Efficiency-Upside</t>
        </is>
      </c>
      <c r="D4065" s="3" t="inlineStr">
        <is>
          <t>purpose_built_tps_per_mw</t>
        </is>
      </c>
      <c r="E4065" s="3" t="n">
        <v>2710180</v>
      </c>
      <c r="F4065" s="3" t="inlineStr">
        <is>
          <t>generated output tokens/sec/MW</t>
        </is>
      </c>
      <c r="G4065" s="3" t="inlineStr">
        <is>
          <t>Conservative no-uplift proxy</t>
        </is>
      </c>
      <c r="H4065" s="3" t="inlineStr">
        <is>
          <t>purpose_built_tps_per_mw = purpose_built_reference_tps_per_mw * commercial_workload_fit_factor until comparable output-token benchmark is adopted</t>
        </is>
      </c>
      <c r="I4065" s="3" t="inlineStr">
        <is>
          <t>No comparable public output-token/MW row adopted; B200 public reference placeholder is used and remains editable.</t>
        </is>
      </c>
      <c r="J4065" s="3" t="inlineStr">
        <is>
          <t>SRC_TENCENT_HUNYUAN; SRC_TENCENT_HY3; SRC_TENCENT_AI_INFRA_MOE; SRC_EPOCH_AI_DATA_CENTERS; ASSUMP_NUMERIC_ACCELERATOR_MIX</t>
        </is>
      </c>
      <c r="K4065" s="3" t="inlineStr">
        <is>
          <t>ASSUMP_CN_CAPACITY_TRANSPARENCY; ASSUMP_APP_EMBEDDING; ASSUMP_NUMERIC_ACCELERATOR_MIX; ASSUMP_INFERENCE_SHARE_NOT_FACT_60; ASSUMP_WORKLOAD_CLASS_MIX; ASSUMP_AGENTIC_CONTEXT_PENALTY</t>
        </is>
      </c>
      <c r="L4065" s="3" t="inlineStr">
        <is>
          <t>Matched-workload generated-output benchmark for the provider purpose-built accelerator.</t>
        </is>
      </c>
    </row>
    <row r="4066">
      <c r="A4066" s="3" t="inlineStr">
        <is>
          <t>Tencent</t>
        </is>
      </c>
      <c r="B4066" s="3" t="n">
        <v>2027</v>
      </c>
      <c r="C4066" s="3" t="inlineStr">
        <is>
          <t>Grid-Constrained / Efficiency-Upside</t>
        </is>
      </c>
      <c r="D4066" s="3" t="inlineStr">
        <is>
          <t>inference_power_share</t>
        </is>
      </c>
      <c r="E4066" s="3" t="n">
        <v>0.675</v>
      </c>
      <c r="F4066" s="3" t="inlineStr">
        <is>
          <t>share of AI IT load</t>
        </is>
      </c>
      <c r="G4066" s="3" t="inlineStr">
        <is>
          <t>Scenario allocation</t>
        </is>
      </c>
      <c r="H4066" s="3" t="inlineStr">
        <is>
          <t>inference_gw = ai_it_load_gw * inference_power_share</t>
        </is>
      </c>
      <c r="I4066" s="3" t="inlineStr">
        <is>
          <t>Yuanbao and embedded product surfaces plus Hunyuan Turbo inference-cost direction support rising inference allocation.</t>
        </is>
      </c>
      <c r="J4066" s="3" t="inlineStr">
        <is>
          <t>SRC_TENCENT_HUNYUAN; SRC_TENCENT_HY3; SRC_TENCENT_AI_INFRA_MOE; SRC_EPOCH_AI_DATA_CENTERS; ASSUMP_INFERENCE_SHARE_NOT_FACT_60</t>
        </is>
      </c>
      <c r="K4066" s="3" t="inlineStr">
        <is>
          <t>ASSUMP_CN_CAPACITY_TRANSPARENCY; ASSUMP_APP_EMBEDDING; ASSUMP_NUMERIC_ACCELERATOR_MIX; ASSUMP_INFERENCE_SHARE_NOT_FACT_60; ASSUMP_WORKLOAD_CLASS_MIX; ASSUMP_AGENTIC_CONTEXT_PENALTY</t>
        </is>
      </c>
      <c r="L4066" s="3" t="inlineStr">
        <is>
          <t>Provider-specific inference/training workload power telemetry.</t>
        </is>
      </c>
    </row>
    <row r="4067">
      <c r="A4067" s="3" t="inlineStr">
        <is>
          <t>Tencent</t>
        </is>
      </c>
      <c r="B4067" s="3" t="n">
        <v>2027</v>
      </c>
      <c r="C4067" s="3" t="inlineStr">
        <is>
          <t>Grid-Constrained / Efficiency-Upside</t>
        </is>
      </c>
      <c r="D4067" s="3" t="inlineStr">
        <is>
          <t>inference_gw</t>
        </is>
      </c>
      <c r="E4067" s="3" t="n">
        <v>0.363</v>
      </c>
      <c r="F4067" s="3" t="inlineStr">
        <is>
          <t>GW</t>
        </is>
      </c>
      <c r="G4067" s="3" t="inlineStr">
        <is>
          <t>Derived formula</t>
        </is>
      </c>
      <c r="H4067" s="3" t="inlineStr">
        <is>
          <t>ai_it_load_gw * inference_power_share</t>
        </is>
      </c>
      <c r="I4067" s="3" t="inlineStr">
        <is>
          <t>This is the operational power eligible to become commercial generated output tokens through the selected TPS/MW proxy.</t>
        </is>
      </c>
      <c r="J4067" s="3" t="inlineStr">
        <is>
          <t>SRC_TENCENT_HUNYUAN; SRC_TENCENT_HY3; SRC_TENCENT_AI_INFRA_MOE; SRC_EPOCH_AI_DATA_CENTERS</t>
        </is>
      </c>
      <c r="K4067" s="3" t="inlineStr">
        <is>
          <t>ASSUMP_CN_CAPACITY_TRANSPARENCY; ASSUMP_APP_EMBEDDING; ASSUMP_NUMERIC_ACCELERATOR_MIX; ASSUMP_INFERENCE_SHARE_NOT_FACT_60; ASSUMP_WORKLOAD_CLASS_MIX; ASSUMP_AGENTIC_CONTEXT_PENALTY</t>
        </is>
      </c>
      <c r="L4067" s="3" t="inlineStr">
        <is>
          <t>Recompute after AI allocation or inference-share evidence changes.</t>
        </is>
      </c>
    </row>
    <row r="4068">
      <c r="A4068" s="3" t="inlineStr">
        <is>
          <t>Tencent</t>
        </is>
      </c>
      <c r="B4068" s="3" t="n">
        <v>2027</v>
      </c>
      <c r="C4068" s="3" t="inlineStr">
        <is>
          <t>Grid-Constrained / Efficiency-Upside</t>
        </is>
      </c>
      <c r="D4068" s="3" t="inlineStr">
        <is>
          <t>training_power_share</t>
        </is>
      </c>
      <c r="E4068" s="3" t="n">
        <v>0.325</v>
      </c>
      <c r="F4068" s="3" t="inlineStr">
        <is>
          <t>share of AI IT load</t>
        </is>
      </c>
      <c r="G4068" s="3" t="inlineStr">
        <is>
          <t>Derived allocation</t>
        </is>
      </c>
      <c r="H4068" s="3" t="inlineStr">
        <is>
          <t>1 - inference_power_share</t>
        </is>
      </c>
      <c r="I4068" s="3" t="inlineStr">
        <is>
          <t>Training receives the complementary modeled AI IT allocation; it is not a disclosed company workload split.</t>
        </is>
      </c>
      <c r="J4068" s="3" t="inlineStr">
        <is>
          <t>SRC_TENCENT_HUNYUAN; SRC_TENCENT_HY3; SRC_TENCENT_AI_INFRA_MOE; SRC_EPOCH_AI_DATA_CENTERS; ASSUMP_INFERENCE_SHARE_NOT_FACT_60</t>
        </is>
      </c>
      <c r="K4068" s="3" t="inlineStr">
        <is>
          <t>ASSUMP_CN_CAPACITY_TRANSPARENCY; ASSUMP_APP_EMBEDDING; ASSUMP_NUMERIC_ACCELERATOR_MIX; ASSUMP_INFERENCE_SHARE_NOT_FACT_60; ASSUMP_WORKLOAD_CLASS_MIX; ASSUMP_AGENTIC_CONTEXT_PENALTY</t>
        </is>
      </c>
      <c r="L4068" s="3" t="inlineStr">
        <is>
          <t>Provider-specific inference/training workload power telemetry.</t>
        </is>
      </c>
    </row>
    <row r="4069">
      <c r="A4069" s="3" t="inlineStr">
        <is>
          <t>Tencent</t>
        </is>
      </c>
      <c r="B4069" s="3" t="n">
        <v>2027</v>
      </c>
      <c r="C4069" s="3" t="inlineStr">
        <is>
          <t>Grid-Constrained / Efficiency-Upside</t>
        </is>
      </c>
      <c r="D4069" s="3" t="inlineStr">
        <is>
          <t>training_gw</t>
        </is>
      </c>
      <c r="E4069" s="3" t="n">
        <v>0.175</v>
      </c>
      <c r="F4069" s="3" t="inlineStr">
        <is>
          <t>GW</t>
        </is>
      </c>
      <c r="G4069" s="3" t="inlineStr">
        <is>
          <t>Derived formula</t>
        </is>
      </c>
      <c r="H4069" s="3" t="inlineStr">
        <is>
          <t>ai_it_load_gw * training_power_share</t>
        </is>
      </c>
      <c r="I4069" s="3" t="inlineStr">
        <is>
          <t>Training GW is shown separately so commercial inference token capacity is not overstated.</t>
        </is>
      </c>
      <c r="J4069" s="3" t="inlineStr">
        <is>
          <t>SRC_TENCENT_HUNYUAN; SRC_TENCENT_HY3; SRC_TENCENT_AI_INFRA_MOE; SRC_EPOCH_AI_DATA_CENTERS</t>
        </is>
      </c>
      <c r="K4069" s="3" t="inlineStr">
        <is>
          <t>ASSUMP_CN_CAPACITY_TRANSPARENCY; ASSUMP_APP_EMBEDDING; ASSUMP_NUMERIC_ACCELERATOR_MIX; ASSUMP_INFERENCE_SHARE_NOT_FACT_60; ASSUMP_WORKLOAD_CLASS_MIX; ASSUMP_AGENTIC_CONTEXT_PENALTY</t>
        </is>
      </c>
      <c r="L4069" s="3" t="inlineStr">
        <is>
          <t>Recompute after AI allocation or workload-split evidence changes.</t>
        </is>
      </c>
    </row>
    <row r="4070">
      <c r="A4070" s="3" t="inlineStr">
        <is>
          <t>Tencent</t>
        </is>
      </c>
      <c r="B4070" s="3" t="n">
        <v>2027</v>
      </c>
      <c r="C4070" s="3" t="inlineStr">
        <is>
          <t>Grid-Constrained / Efficiency-Upside</t>
        </is>
      </c>
      <c r="D4070" s="3" t="inlineStr">
        <is>
          <t>tokens_per_second_per_mw</t>
        </is>
      </c>
      <c r="E4070" s="3" t="n">
        <v>1570190</v>
      </c>
      <c r="F4070" s="3" t="inlineStr">
        <is>
          <t>generated output tokens/sec/MW</t>
        </is>
      </c>
      <c r="G4070" s="3" t="inlineStr">
        <is>
          <t>Derived estimate + benchmark calibration</t>
        </is>
      </c>
      <c r="H4070" s="3" t="inlineStr">
        <is>
          <t>fleet_reference_tps_per_mw * commercial_workload_fit_factor</t>
        </is>
      </c>
      <c r="I4070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70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070" s="3" t="inlineStr">
        <is>
          <t>ASSUMP_CN_CAPACITY_TRANSPARENCY; ASSUMP_APP_EMBEDDING; ASSUMP_NUMERIC_ACCELERATOR_MIX; ASSUMP_INFERENCE_SHARE_NOT_FACT_60; ASSUMP_WORKLOAD_CLASS_MIX; ASSUMP_AGENTIC_CONTEXT_PENALTY</t>
        </is>
      </c>
      <c r="L4070" s="3" t="inlineStr">
        <is>
          <t>Comparable production output-token throughput with model, hardware, precision, ISL/OSL and SLO matched.</t>
        </is>
      </c>
    </row>
    <row r="4071">
      <c r="A4071" s="3" t="inlineStr">
        <is>
          <t>Tencent</t>
        </is>
      </c>
      <c r="B4071" s="3" t="n">
        <v>2027</v>
      </c>
      <c r="C4071" s="3" t="inlineStr">
        <is>
          <t>Grid-Constrained / Efficiency-Upside</t>
        </is>
      </c>
      <c r="D4071" s="3" t="inlineStr">
        <is>
          <t>inference_tokens_per_day</t>
        </is>
      </c>
      <c r="E4071" s="3" t="n">
        <v>49246183008000</v>
      </c>
      <c r="F4071" s="3" t="inlineStr">
        <is>
          <t>generated output tokens/day</t>
        </is>
      </c>
      <c r="G4071" s="3" t="inlineStr">
        <is>
          <t>Derived headline metric</t>
        </is>
      </c>
      <c r="H4071" s="3" t="inlineStr">
        <is>
          <t>inference_gw * 1000 * tokens_per_second_per_mw * 86,400</t>
        </is>
      </c>
      <c r="I4071" s="3" t="inlineStr">
        <is>
          <t>Headline capacity uses no utilization, MoE, architecture or software-growth multiplier; it is not observed commercial output volume.</t>
        </is>
      </c>
      <c r="J4071" s="3" t="inlineStr">
        <is>
          <t>SRC_TENCENT_HUNYUAN; SRC_TENCENT_HY3; SRC_TENCENT_AI_INFRA_MOE; SRC_EPOCH_AI_DATA_CENTERS; SRC_SEMIANALYSIS_INFERENCEX</t>
        </is>
      </c>
      <c r="K4071" s="3" t="inlineStr">
        <is>
          <t>ASSUMP_CN_CAPACITY_TRANSPARENCY; ASSUMP_APP_EMBEDDING; ASSUMP_NUMERIC_ACCELERATOR_MIX; ASSUMP_INFERENCE_SHARE_NOT_FACT_60; ASSUMP_WORKLOAD_CLASS_MIX; ASSUMP_AGENTIC_CONTEXT_PENALTY</t>
        </is>
      </c>
      <c r="L4071" s="3" t="inlineStr">
        <is>
          <t>Provider-disclosed generated output token volume or calibrated capacity telemetry.</t>
        </is>
      </c>
    </row>
    <row r="4072">
      <c r="A4072" s="3" t="inlineStr">
        <is>
          <t>Tencent</t>
        </is>
      </c>
      <c r="B4072" s="3" t="n">
        <v>2027</v>
      </c>
      <c r="C4072" s="3" t="inlineStr">
        <is>
          <t>Grid-Constrained / Efficiency-Upside</t>
        </is>
      </c>
      <c r="D4072" s="3" t="inlineStr">
        <is>
          <t>inference_tokens_per_year</t>
        </is>
      </c>
      <c r="E4072" s="3" t="n">
        <v>1.797485679792e+16</v>
      </c>
      <c r="F4072" s="3" t="inlineStr">
        <is>
          <t>generated output tokens/year</t>
        </is>
      </c>
      <c r="G4072" s="3" t="inlineStr">
        <is>
          <t>Derived headline metric</t>
        </is>
      </c>
      <c r="H4072" s="3" t="inlineStr">
        <is>
          <t>inference_tokens_per_day * 365</t>
        </is>
      </c>
      <c r="I4072" s="3" t="inlineStr">
        <is>
          <t>Annualized version of generated output token capacity; it is not observed annual demand or billable volume.</t>
        </is>
      </c>
      <c r="J4072" s="3" t="inlineStr">
        <is>
          <t>SRC_TENCENT_HUNYUAN; SRC_TENCENT_HY3; SRC_TENCENT_AI_INFRA_MOE; SRC_EPOCH_AI_DATA_CENTERS; SRC_SEMIANALYSIS_INFERENCEX</t>
        </is>
      </c>
      <c r="K4072" s="3" t="inlineStr">
        <is>
          <t>ASSUMP_CN_CAPACITY_TRANSPARENCY; ASSUMP_APP_EMBEDDING; ASSUMP_NUMERIC_ACCELERATOR_MIX; ASSUMP_INFERENCE_SHARE_NOT_FACT_60; ASSUMP_WORKLOAD_CLASS_MIX; ASSUMP_AGENTIC_CONTEXT_PENALTY</t>
        </is>
      </c>
      <c r="L4072" s="3" t="inlineStr">
        <is>
          <t>Provider-disclosed annual generated-output volume or metered serving telemetry.</t>
        </is>
      </c>
    </row>
    <row r="4073">
      <c r="A4073" s="3" t="inlineStr">
        <is>
          <t>Tencent</t>
        </is>
      </c>
      <c r="B4073" s="3" t="n">
        <v>2028</v>
      </c>
      <c r="C4073" s="3" t="inlineStr">
        <is>
          <t>Grid-Constrained / Efficiency-Upside</t>
        </is>
      </c>
      <c r="D4073" s="3" t="inlineStr">
        <is>
          <t>contracted_power_gw</t>
        </is>
      </c>
      <c r="E4073" s="3" t="n">
        <v>2.1</v>
      </c>
      <c r="F4073" s="3" t="inlineStr">
        <is>
          <t>GW</t>
        </is>
      </c>
      <c r="G4073" s="3" t="inlineStr">
        <is>
          <t>Scenario capacity envelope</t>
        </is>
      </c>
      <c r="H4073" s="3" t="inlineStr">
        <is>
          <t>linear interpolation between 2026 and 2030 company capacity endpoints</t>
        </is>
      </c>
      <c r="I4073" s="3" t="inlineStr">
        <is>
          <t>Tencent Cloud/Hunyuan capacity is a scenario envelope because operated model-serving GW is undisclosed.</t>
        </is>
      </c>
      <c r="J4073" s="3" t="inlineStr">
        <is>
          <t>SRC_TENCENT_AI_INFRA_MOE; ASSUMP_CN_CAPACITY_TRANSPARENCY</t>
        </is>
      </c>
      <c r="K4073" s="3" t="inlineStr">
        <is>
          <t>ASSUMP_CN_CAPACITY_TRANSPARENCY; ASSUMP_APP_EMBEDDING; ASSUMP_NUMERIC_ACCELERATOR_MIX; ASSUMP_INFERENCE_SHARE_NOT_FACT_60; ASSUMP_WORKLOAD_CLASS_MIX; ASSUMP_AGENTIC_CONTEXT_PENALTY</t>
        </is>
      </c>
      <c r="L4073" s="3" t="inlineStr">
        <is>
          <t>Company/site-level committed MW/GW, interconnect and contract disclosure.</t>
        </is>
      </c>
    </row>
    <row r="4074">
      <c r="A4074" s="3" t="inlineStr">
        <is>
          <t>Tencent</t>
        </is>
      </c>
      <c r="B4074" s="3" t="n">
        <v>2028</v>
      </c>
      <c r="C4074" s="3" t="inlineStr">
        <is>
          <t>Grid-Constrained / Efficiency-Upside</t>
        </is>
      </c>
      <c r="D4074" s="3" t="inlineStr">
        <is>
          <t>operational_deployment_share</t>
        </is>
      </c>
      <c r="E4074" s="3" t="n">
        <v>0.54285714</v>
      </c>
      <c r="F4074" s="3" t="inlineStr">
        <is>
          <t>share</t>
        </is>
      </c>
      <c r="G4074" s="3" t="inlineStr">
        <is>
          <t>Scenario conversion</t>
        </is>
      </c>
      <c r="H4074" s="3" t="inlineStr">
        <is>
          <t>active_power_gw / contracted_power_gw</t>
        </is>
      </c>
      <c r="I4074" s="3" t="inlineStr">
        <is>
          <t>This is the single explicit conversion from contracted/attributed capacity to operationally usable capacity.</t>
        </is>
      </c>
      <c r="J4074" s="3" t="inlineStr">
        <is>
          <t>SRC_TENCENT_AI_INFRA_MOE; ASSUMP_CN_CAPACITY_TRANSPARENCY</t>
        </is>
      </c>
      <c r="K4074" s="3" t="inlineStr">
        <is>
          <t>ASSUMP_CN_CAPACITY_TRANSPARENCY; ASSUMP_APP_EMBEDDING; ASSUMP_NUMERIC_ACCELERATOR_MIX; ASSUMP_INFERENCE_SHARE_NOT_FACT_60; ASSUMP_WORKLOAD_CLASS_MIX; ASSUMP_AGENTIC_CONTEXT_PENALTY</t>
        </is>
      </c>
      <c r="L4074" s="3" t="inlineStr">
        <is>
          <t>Energized operational capacity divided by contracted/attributed capacity.</t>
        </is>
      </c>
    </row>
    <row r="4075">
      <c r="A4075" s="3" t="inlineStr">
        <is>
          <t>Tencent</t>
        </is>
      </c>
      <c r="B4075" s="3" t="n">
        <v>2028</v>
      </c>
      <c r="C4075" s="3" t="inlineStr">
        <is>
          <t>Grid-Constrained / Efficiency-Upside</t>
        </is>
      </c>
      <c r="D4075" s="3" t="inlineStr">
        <is>
          <t>active_power_gw</t>
        </is>
      </c>
      <c r="E4075" s="3" t="n">
        <v>1.14</v>
      </c>
      <c r="F4075" s="3" t="inlineStr">
        <is>
          <t>GW</t>
        </is>
      </c>
      <c r="G4075" s="3" t="inlineStr">
        <is>
          <t>Derived scenario</t>
        </is>
      </c>
      <c r="H4075" s="3" t="inlineStr">
        <is>
          <t>contracted_power_gw * operational_deployment_share</t>
        </is>
      </c>
      <c r="I4075" s="3" t="inlineStr">
        <is>
          <t>Active GW reflects staged Hunyuan/Yuanbao adoption rather than a reported powered fleet.</t>
        </is>
      </c>
      <c r="J4075" s="3" t="inlineStr">
        <is>
          <t>SRC_TENCENT_AI_INFRA_MOE; ASSUMP_CN_CAPACITY_TRANSPARENCY</t>
        </is>
      </c>
      <c r="K4075" s="3" t="inlineStr">
        <is>
          <t>ASSUMP_CN_CAPACITY_TRANSPARENCY; ASSUMP_APP_EMBEDDING; ASSUMP_NUMERIC_ACCELERATOR_MIX; ASSUMP_INFERENCE_SHARE_NOT_FACT_60; ASSUMP_WORKLOAD_CLASS_MIX; ASSUMP_AGENTIC_CONTEXT_PENALTY</t>
        </is>
      </c>
      <c r="L4075" s="3" t="inlineStr">
        <is>
          <t>Energization dates, accelerator deliveries and operational powered-rack telemetry.</t>
        </is>
      </c>
    </row>
    <row r="4076">
      <c r="A4076" s="3" t="inlineStr">
        <is>
          <t>Tencent</t>
        </is>
      </c>
      <c r="B4076" s="3" t="n">
        <v>2028</v>
      </c>
      <c r="C4076" s="3" t="inlineStr">
        <is>
          <t>Grid-Constrained / Efficiency-Upside</t>
        </is>
      </c>
      <c r="D4076" s="3" t="inlineStr">
        <is>
          <t>pue</t>
        </is>
      </c>
      <c r="E4076" s="3" t="n">
        <v>1.23</v>
      </c>
      <c r="F4076" s="3" t="inlineStr">
        <is>
          <t>ratio</t>
        </is>
      </c>
      <c r="G4076" s="3" t="inlineStr">
        <is>
          <t>Scenario parameter</t>
        </is>
      </c>
      <c r="H4076" s="3" t="inlineStr">
        <is>
          <t>it_load_gw = active_power_gw / pue</t>
        </is>
      </c>
      <c r="I4076" s="3" t="inlineStr">
        <is>
          <t>No provider-wide site-level PUE is used as a disclosed fact; PUE represents facility-to-IT conversion within the scenario.</t>
        </is>
      </c>
      <c r="J4076" s="3" t="inlineStr">
        <is>
          <t>ASSUMP_POWER_RAMP</t>
        </is>
      </c>
      <c r="K4076" s="3" t="inlineStr">
        <is>
          <t>ASSUMP_CN_CAPACITY_TRANSPARENCY; ASSUMP_APP_EMBEDDING; ASSUMP_NUMERIC_ACCELERATOR_MIX; ASSUMP_INFERENCE_SHARE_NOT_FACT_60; ASSUMP_WORKLOAD_CLASS_MIX; ASSUMP_AGENTIC_CONTEXT_PENALTY</t>
        </is>
      </c>
      <c r="L4076" s="3" t="inlineStr">
        <is>
          <t>Site-level measured PUE matched to attributed AI capacity.</t>
        </is>
      </c>
    </row>
    <row r="4077">
      <c r="A4077" s="3" t="inlineStr">
        <is>
          <t>Tencent</t>
        </is>
      </c>
      <c r="B4077" s="3" t="n">
        <v>2028</v>
      </c>
      <c r="C4077" s="3" t="inlineStr">
        <is>
          <t>Grid-Constrained / Efficiency-Upside</t>
        </is>
      </c>
      <c r="D4077" s="3" t="inlineStr">
        <is>
          <t>it_load_gw</t>
        </is>
      </c>
      <c r="E4077" s="3" t="n">
        <v>0.927</v>
      </c>
      <c r="F4077" s="3" t="inlineStr">
        <is>
          <t>GW</t>
        </is>
      </c>
      <c r="G4077" s="3" t="inlineStr">
        <is>
          <t>Derived formula</t>
        </is>
      </c>
      <c r="H4077" s="3" t="inlineStr">
        <is>
          <t>active_power_gw / pue</t>
        </is>
      </c>
      <c r="I4077" s="3" t="inlineStr">
        <is>
          <t>Facility power is converted to IT-deliverable power before attributing AI workloads.</t>
        </is>
      </c>
      <c r="J4077" s="3" t="inlineStr">
        <is>
          <t>SRC_TENCENT_AI_INFRA_MOE; ASSUMP_CN_CAPACITY_TRANSPARENCY</t>
        </is>
      </c>
      <c r="K4077" s="3" t="inlineStr">
        <is>
          <t>ASSUMP_CN_CAPACITY_TRANSPARENCY; ASSUMP_APP_EMBEDDING; ASSUMP_NUMERIC_ACCELERATOR_MIX; ASSUMP_INFERENCE_SHARE_NOT_FACT_60; ASSUMP_WORKLOAD_CLASS_MIX; ASSUMP_AGENTIC_CONTEXT_PENALTY</t>
        </is>
      </c>
      <c r="L4077" s="3" t="inlineStr">
        <is>
          <t>Recompute once active power and PUE become site-observable.</t>
        </is>
      </c>
    </row>
    <row r="4078">
      <c r="A4078" s="3" t="inlineStr">
        <is>
          <t>Tencent</t>
        </is>
      </c>
      <c r="B4078" s="3" t="n">
        <v>2028</v>
      </c>
      <c r="C4078" s="3" t="inlineStr">
        <is>
          <t>Grid-Constrained / Efficiency-Upside</t>
        </is>
      </c>
      <c r="D4078" s="3" t="inlineStr">
        <is>
          <t>ai_workload_share</t>
        </is>
      </c>
      <c r="E4078" s="3" t="n">
        <v>0.84</v>
      </c>
      <c r="F4078" s="3" t="inlineStr">
        <is>
          <t>share</t>
        </is>
      </c>
      <c r="G4078" s="3" t="inlineStr">
        <is>
          <t>Scenario allocation</t>
        </is>
      </c>
      <c r="H4078" s="3" t="inlineStr">
        <is>
          <t>ai_it_load_gw = it_load_gw * ai_workload_share</t>
        </is>
      </c>
      <c r="I4078" s="3" t="inlineStr">
        <is>
          <t>Modeled Hunyuan-serving capacity is AI-focused; 84% excludes cloud/platform and reserve overhead.</t>
        </is>
      </c>
      <c r="J4078" s="3" t="inlineStr">
        <is>
          <t>SRC_TENCENT_HUNYUAN; SRC_TENCENT_HY3; SRC_TENCENT_AI_INFRA_MOE; SRC_EPOCH_AI_DATA_CENTERS</t>
        </is>
      </c>
      <c r="K4078" s="3" t="inlineStr">
        <is>
          <t>ASSUMP_CN_CAPACITY_TRANSPARENCY; ASSUMP_APP_EMBEDDING; ASSUMP_NUMERIC_ACCELERATOR_MIX; ASSUMP_INFERENCE_SHARE_NOT_FACT_60; ASSUMP_WORKLOAD_CLASS_MIX; ASSUMP_AGENTIC_CONTEXT_PENALTY</t>
        </is>
      </c>
      <c r="L4078" s="3" t="inlineStr">
        <is>
          <t>Model-owner AI workload allocation or cluster scheduling telemetry.</t>
        </is>
      </c>
    </row>
    <row r="4079">
      <c r="A4079" s="3" t="inlineStr">
        <is>
          <t>Tencent</t>
        </is>
      </c>
      <c r="B4079" s="3" t="n">
        <v>2028</v>
      </c>
      <c r="C4079" s="3" t="inlineStr">
        <is>
          <t>Grid-Constrained / Efficiency-Upside</t>
        </is>
      </c>
      <c r="D4079" s="3" t="inlineStr">
        <is>
          <t>ai_it_load_gw</t>
        </is>
      </c>
      <c r="E4079" s="3" t="n">
        <v>0.779</v>
      </c>
      <c r="F4079" s="3" t="inlineStr">
        <is>
          <t>GW</t>
        </is>
      </c>
      <c r="G4079" s="3" t="inlineStr">
        <is>
          <t>Derived formula</t>
        </is>
      </c>
      <c r="H4079" s="3" t="inlineStr">
        <is>
          <t>it_load_gw * ai_workload_share</t>
        </is>
      </c>
      <c r="I4079" s="3" t="inlineStr">
        <is>
          <t>Only the AI-attributed portion of IT load enters training/inference allocation.</t>
        </is>
      </c>
      <c r="J4079" s="3" t="inlineStr">
        <is>
          <t>SRC_TENCENT_HUNYUAN; SRC_TENCENT_HY3; SRC_TENCENT_AI_INFRA_MOE; SRC_EPOCH_AI_DATA_CENTERS</t>
        </is>
      </c>
      <c r="K4079" s="3" t="inlineStr">
        <is>
          <t>ASSUMP_CN_CAPACITY_TRANSPARENCY; ASSUMP_APP_EMBEDDING; ASSUMP_NUMERIC_ACCELERATOR_MIX; ASSUMP_INFERENCE_SHARE_NOT_FACT_60; ASSUMP_WORKLOAD_CLASS_MIX; ASSUMP_AGENTIC_CONTEXT_PENALTY</t>
        </is>
      </c>
      <c r="L4079" s="3" t="inlineStr">
        <is>
          <t>Recompute after ai_workload_share is replaced by telemetry.</t>
        </is>
      </c>
    </row>
    <row r="4080">
      <c r="A4080" s="3" t="inlineStr">
        <is>
          <t>Tencent</t>
        </is>
      </c>
      <c r="B4080" s="3" t="n">
        <v>2028</v>
      </c>
      <c r="C4080" s="3" t="inlineStr">
        <is>
          <t>Grid-Constrained / Efficiency-Upside</t>
        </is>
      </c>
      <c r="D4080" s="3" t="inlineStr">
        <is>
          <t>gpu_share</t>
        </is>
      </c>
      <c r="E4080" s="3" t="n">
        <v>1</v>
      </c>
      <c r="F4080" s="3" t="inlineStr">
        <is>
          <t>share of inference-serving accelerator load</t>
        </is>
      </c>
      <c r="G4080" s="3" t="inlineStr">
        <is>
          <t>Numeric scenario</t>
        </is>
      </c>
      <c r="H4080" s="3" t="inlineStr">
        <is>
          <t>gpu_share interpolated from company 2026/2030 accelerator-mix endpoints</t>
        </is>
      </c>
      <c r="I4080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080" s="3" t="inlineStr">
        <is>
          <t>SRC_TENCENT_HUNYUAN; SRC_TENCENT_HY3; SRC_TENCENT_AI_INFRA_MOE; SRC_EPOCH_AI_DATA_CENTERS; ASSUMP_NUMERIC_ACCELERATOR_MIX</t>
        </is>
      </c>
      <c r="K4080" s="3" t="inlineStr">
        <is>
          <t>ASSUMP_CN_CAPACITY_TRANSPARENCY; ASSUMP_APP_EMBEDDING; ASSUMP_NUMERIC_ACCELERATOR_MIX; ASSUMP_INFERENCE_SHARE_NOT_FACT_60; ASSUMP_WORKLOAD_CLASS_MIX; ASSUMP_AGENTIC_CONTEXT_PENALTY</t>
        </is>
      </c>
      <c r="L4080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081">
      <c r="A4081" s="3" t="inlineStr">
        <is>
          <t>Tencent</t>
        </is>
      </c>
      <c r="B4081" s="3" t="n">
        <v>2028</v>
      </c>
      <c r="C4081" s="3" t="inlineStr">
        <is>
          <t>Grid-Constrained / Efficiency-Upside</t>
        </is>
      </c>
      <c r="D4081" s="3" t="inlineStr">
        <is>
          <t>h200_share</t>
        </is>
      </c>
      <c r="E4081" s="3" t="n">
        <v>0.325</v>
      </c>
      <c r="F4081" s="3" t="inlineStr">
        <is>
          <t>share of inference-serving accelerator load</t>
        </is>
      </c>
      <c r="G4081" s="3" t="inlineStr">
        <is>
          <t>Editable numeric scenario</t>
        </is>
      </c>
      <c r="H4081" s="3" t="inlineStr">
        <is>
          <t>h200_share = gpu_share * default_gpu_generation_mix_h200</t>
        </is>
      </c>
      <c r="I4081" s="3" t="inlineStr">
        <is>
          <t>Default GPU-generation migration assumption; executive workbook allows later manual replacement by company/year/scenario.</t>
        </is>
      </c>
      <c r="J4081" s="3" t="inlineStr">
        <is>
          <t>SRC_SEMIANALYSIS_INFERENCEX; ASSUMP_NUMERIC_ACCELERATOR_MIX</t>
        </is>
      </c>
      <c r="K4081" s="3" t="inlineStr">
        <is>
          <t>ASSUMP_CN_CAPACITY_TRANSPARENCY; ASSUMP_APP_EMBEDDING; ASSUMP_NUMERIC_ACCELERATOR_MIX; ASSUMP_INFERENCE_SHARE_NOT_FACT_60; ASSUMP_WORKLOAD_CLASS_MIX; ASSUMP_AGENTIC_CONTEXT_PENALTY</t>
        </is>
      </c>
      <c r="L4081" s="3" t="inlineStr">
        <is>
          <t>Company fleet inventory, accelerator-hours or procurement/deployment records by GPU generation.</t>
        </is>
      </c>
    </row>
    <row r="4082">
      <c r="A4082" s="3" t="inlineStr">
        <is>
          <t>Tencent</t>
        </is>
      </c>
      <c r="B4082" s="3" t="n">
        <v>2028</v>
      </c>
      <c r="C4082" s="3" t="inlineStr">
        <is>
          <t>Grid-Constrained / Efficiency-Upside</t>
        </is>
      </c>
      <c r="D4082" s="3" t="inlineStr">
        <is>
          <t>b200_share</t>
        </is>
      </c>
      <c r="E4082" s="3" t="n">
        <v>0.375</v>
      </c>
      <c r="F4082" s="3" t="inlineStr">
        <is>
          <t>share of inference-serving accelerator load</t>
        </is>
      </c>
      <c r="G4082" s="3" t="inlineStr">
        <is>
          <t>Editable numeric scenario</t>
        </is>
      </c>
      <c r="H4082" s="3" t="inlineStr">
        <is>
          <t>b200_share = gpu_share * default_gpu_generation_mix_b200</t>
        </is>
      </c>
      <c r="I4082" s="3" t="inlineStr">
        <is>
          <t>Default GPU-generation migration assumption; executive workbook allows later manual replacement by company/year/scenario.</t>
        </is>
      </c>
      <c r="J4082" s="3" t="inlineStr">
        <is>
          <t>SRC_SEMIANALYSIS_INFERENCEX; ASSUMP_NUMERIC_ACCELERATOR_MIX</t>
        </is>
      </c>
      <c r="K4082" s="3" t="inlineStr">
        <is>
          <t>ASSUMP_CN_CAPACITY_TRANSPARENCY; ASSUMP_APP_EMBEDDING; ASSUMP_NUMERIC_ACCELERATOR_MIX; ASSUMP_INFERENCE_SHARE_NOT_FACT_60; ASSUMP_WORKLOAD_CLASS_MIX; ASSUMP_AGENTIC_CONTEXT_PENALTY</t>
        </is>
      </c>
      <c r="L4082" s="3" t="inlineStr">
        <is>
          <t>Company fleet inventory, accelerator-hours or procurement/deployment records by GPU generation.</t>
        </is>
      </c>
    </row>
    <row r="4083">
      <c r="A4083" s="3" t="inlineStr">
        <is>
          <t>Tencent</t>
        </is>
      </c>
      <c r="B4083" s="3" t="n">
        <v>2028</v>
      </c>
      <c r="C4083" s="3" t="inlineStr">
        <is>
          <t>Grid-Constrained / Efficiency-Upside</t>
        </is>
      </c>
      <c r="D4083" s="3" t="inlineStr">
        <is>
          <t>gb200_share</t>
        </is>
      </c>
      <c r="E4083" s="3" t="n">
        <v>0.3</v>
      </c>
      <c r="F4083" s="3" t="inlineStr">
        <is>
          <t>share of inference-serving accelerator load</t>
        </is>
      </c>
      <c r="G4083" s="3" t="inlineStr">
        <is>
          <t>Editable numeric scenario</t>
        </is>
      </c>
      <c r="H4083" s="3" t="inlineStr">
        <is>
          <t>gb200_share = gpu_share * default_gpu_generation_mix_gb200</t>
        </is>
      </c>
      <c r="I4083" s="3" t="inlineStr">
        <is>
          <t>Default GPU-generation migration assumption; executive workbook allows later manual replacement by company/year/scenario.</t>
        </is>
      </c>
      <c r="J4083" s="3" t="inlineStr">
        <is>
          <t>SRC_SEMIANALYSIS_INFERENCEX; ASSUMP_NUMERIC_ACCELERATOR_MIX</t>
        </is>
      </c>
      <c r="K4083" s="3" t="inlineStr">
        <is>
          <t>ASSUMP_CN_CAPACITY_TRANSPARENCY; ASSUMP_APP_EMBEDDING; ASSUMP_NUMERIC_ACCELERATOR_MIX; ASSUMP_INFERENCE_SHARE_NOT_FACT_60; ASSUMP_WORKLOAD_CLASS_MIX; ASSUMP_AGENTIC_CONTEXT_PENALTY</t>
        </is>
      </c>
      <c r="L4083" s="3" t="inlineStr">
        <is>
          <t>Company fleet inventory, accelerator-hours or procurement/deployment records by GPU generation.</t>
        </is>
      </c>
    </row>
    <row r="4084">
      <c r="A4084" s="3" t="inlineStr">
        <is>
          <t>Tencent</t>
        </is>
      </c>
      <c r="B4084" s="3" t="n">
        <v>2028</v>
      </c>
      <c r="C4084" s="3" t="inlineStr">
        <is>
          <t>Grid-Constrained / Efficiency-Upside</t>
        </is>
      </c>
      <c r="D4084" s="3" t="inlineStr">
        <is>
          <t>purpose_built_accelerator_share</t>
        </is>
      </c>
      <c r="E4084" s="3" t="n">
        <v>0</v>
      </c>
      <c r="F4084" s="3" t="inlineStr">
        <is>
          <t>share of inference-serving accelerator load</t>
        </is>
      </c>
      <c r="G4084" s="3" t="inlineStr">
        <is>
          <t>Numeric scenario</t>
        </is>
      </c>
      <c r="H4084" s="3" t="inlineStr">
        <is>
          <t>1 - gpu_share</t>
        </is>
      </c>
      <c r="I4084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084" s="3" t="inlineStr">
        <is>
          <t>SRC_TENCENT_HUNYUAN; SRC_TENCENT_HY3; SRC_TENCENT_AI_INFRA_MOE; SRC_EPOCH_AI_DATA_CENTERS; ASSUMP_NUMERIC_ACCELERATOR_MIX</t>
        </is>
      </c>
      <c r="K4084" s="3" t="inlineStr">
        <is>
          <t>ASSUMP_CN_CAPACITY_TRANSPARENCY; ASSUMP_APP_EMBEDDING; ASSUMP_NUMERIC_ACCELERATOR_MIX; ASSUMP_INFERENCE_SHARE_NOT_FACT_60; ASSUMP_WORKLOAD_CLASS_MIX; ASSUMP_AGENTIC_CONTEXT_PENALTY</t>
        </is>
      </c>
      <c r="L4084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085">
      <c r="A4085" s="3" t="inlineStr">
        <is>
          <t>Tencent</t>
        </is>
      </c>
      <c r="B4085" s="3" t="n">
        <v>2028</v>
      </c>
      <c r="C4085" s="3" t="inlineStr">
        <is>
          <t>Grid-Constrained / Efficiency-Upside</t>
        </is>
      </c>
      <c r="D4085" s="3" t="inlineStr">
        <is>
          <t>fleet_reference_tps_per_mw</t>
        </is>
      </c>
      <c r="E4085" s="3" t="n">
        <v>2876295</v>
      </c>
      <c r="F4085" s="3" t="inlineStr">
        <is>
          <t>generated output tokens/sec/MW</t>
        </is>
      </c>
      <c r="G4085" s="3" t="inlineStr">
        <is>
          <t>Fleet-weighted public benchmark reference</t>
        </is>
      </c>
      <c r="H4085" s="3" t="inlineStr">
        <is>
          <t>h200_share*h200_workload_avg + b200_share*b200_workload_avg + gb200_share*gb200_workload_avg + purpose_built_share*purpose_workload_avg</t>
        </is>
      </c>
      <c r="I4085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085" s="3" t="inlineStr">
        <is>
          <t>SRC_SEMIANALYSIS_INFERENCEX; ASSUMP_NUMERIC_ACCELERATOR_MIX; ASSUMP_WORKLOAD_CLASS_MIX; ASSUMP_AGENTIC_CONTEXT_PENALTY</t>
        </is>
      </c>
      <c r="K4085" s="3" t="inlineStr">
        <is>
          <t>ASSUMP_CN_CAPACITY_TRANSPARENCY; ASSUMP_APP_EMBEDDING; ASSUMP_NUMERIC_ACCELERATOR_MIX; ASSUMP_INFERENCE_SHARE_NOT_FACT_60; ASSUMP_WORKLOAD_CLASS_MIX; ASSUMP_AGENTIC_CONTEXT_PENALTY</t>
        </is>
      </c>
      <c r="L4085" s="3" t="inlineStr">
        <is>
          <t>Comparable production output-token throughput or a more closely matched benchmark.</t>
        </is>
      </c>
    </row>
    <row r="4086">
      <c r="A4086" s="3" t="inlineStr">
        <is>
          <t>Tencent</t>
        </is>
      </c>
      <c r="B4086" s="3" t="n">
        <v>2028</v>
      </c>
      <c r="C4086" s="3" t="inlineStr">
        <is>
          <t>Grid-Constrained / Efficiency-Upside</t>
        </is>
      </c>
      <c r="D4086" s="3" t="inlineStr">
        <is>
          <t>commercial_workload_fit_factor</t>
        </is>
      </c>
      <c r="E4086" s="3" t="n">
        <v>0.6</v>
      </c>
      <c r="F4086" s="3" t="inlineStr">
        <is>
          <t>share of public reference throughput</t>
        </is>
      </c>
      <c r="G4086" s="3" t="inlineStr">
        <is>
          <t>Scenario assumption</t>
        </is>
      </c>
      <c r="H4086" s="3" t="inlineStr">
        <is>
          <t>reference_serving_tps_per_mw = fleet_reference_tps_per_mw * commercial_workload_fit_factor</t>
        </is>
      </c>
      <c r="I4086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086" s="3" t="inlineStr">
        <is>
          <t>SRC_SEMIANALYSIS_INFERENCEX; ASSUMP_NUMERIC_ACCELERATOR_MIX; ASSUMP_WORKLOAD_CLASS_MIX; ASSUMP_AGENTIC_CONTEXT_PENALTY</t>
        </is>
      </c>
      <c r="K4086" s="3" t="inlineStr">
        <is>
          <t>ASSUMP_CN_CAPACITY_TRANSPARENCY; ASSUMP_APP_EMBEDDING; ASSUMP_NUMERIC_ACCELERATOR_MIX; ASSUMP_INFERENCE_SHARE_NOT_FACT_60; ASSUMP_WORKLOAD_CLASS_MIX; ASSUMP_AGENTIC_CONTEXT_PENALTY</t>
        </is>
      </c>
      <c r="L4086" s="3" t="inlineStr">
        <is>
          <t>Matched commercial serving benchmark by product surface, context shape and latency SLO.</t>
        </is>
      </c>
    </row>
    <row r="4087">
      <c r="A4087" s="3" t="inlineStr">
        <is>
          <t>Tencent</t>
        </is>
      </c>
      <c r="B4087" s="3" t="n">
        <v>2028</v>
      </c>
      <c r="C4087" s="3" t="inlineStr">
        <is>
          <t>Grid-Constrained / Efficiency-Upside</t>
        </is>
      </c>
      <c r="D4087" s="3" t="inlineStr">
        <is>
          <t>reference_serving_tps_per_mw</t>
        </is>
      </c>
      <c r="E4087" s="3" t="n">
        <v>1725777</v>
      </c>
      <c r="F4087" s="3" t="inlineStr">
        <is>
          <t>generated output tokens/sec/MW</t>
        </is>
      </c>
      <c r="G4087" s="3" t="inlineStr">
        <is>
          <t>Workload-adjusted benchmark proxy</t>
        </is>
      </c>
      <c r="H4087" s="3" t="inlineStr">
        <is>
          <t>fleet_reference_tps_per_mw * commercial_workload_fit_factor</t>
        </is>
      </c>
      <c r="I4087" s="3" t="inlineStr">
        <is>
          <t>This is the coefficient used for headline token generation; each GPU's short chat, long chat and agentic TPS/MW are weighted before fleet mix and commercial fit are applied.</t>
        </is>
      </c>
      <c r="J4087" s="3" t="inlineStr">
        <is>
          <t>SRC_SEMIANALYSIS_INFERENCEX; ASSUMP_NUMERIC_ACCELERATOR_MIX; ASSUMP_WORKLOAD_CLASS_MIX; ASSUMP_AGENTIC_CONTEXT_PENALTY</t>
        </is>
      </c>
      <c r="K4087" s="3" t="inlineStr">
        <is>
          <t>ASSUMP_CN_CAPACITY_TRANSPARENCY; ASSUMP_APP_EMBEDDING; ASSUMP_NUMERIC_ACCELERATOR_MIX; ASSUMP_INFERENCE_SHARE_NOT_FACT_60; ASSUMP_WORKLOAD_CLASS_MIX; ASSUMP_AGENTIC_CONTEXT_PENALTY</t>
        </is>
      </c>
      <c r="L4087" s="3" t="inlineStr">
        <is>
          <t>Provider production output-token throughput with comparable workload/SLO.</t>
        </is>
      </c>
    </row>
    <row r="4088">
      <c r="A4088" s="3" t="inlineStr">
        <is>
          <t>Tencent</t>
        </is>
      </c>
      <c r="B4088" s="3" t="n">
        <v>2028</v>
      </c>
      <c r="C4088" s="3" t="inlineStr">
        <is>
          <t>Grid-Constrained / Efficiency-Upside</t>
        </is>
      </c>
      <c r="D4088" s="3" t="inlineStr">
        <is>
          <t>purpose_built_tps_per_mw</t>
        </is>
      </c>
      <c r="E4088" s="3" t="n">
        <v>2710180</v>
      </c>
      <c r="F4088" s="3" t="inlineStr">
        <is>
          <t>generated output tokens/sec/MW</t>
        </is>
      </c>
      <c r="G4088" s="3" t="inlineStr">
        <is>
          <t>Conservative no-uplift proxy</t>
        </is>
      </c>
      <c r="H4088" s="3" t="inlineStr">
        <is>
          <t>purpose_built_tps_per_mw = purpose_built_reference_tps_per_mw * commercial_workload_fit_factor until comparable output-token benchmark is adopted</t>
        </is>
      </c>
      <c r="I4088" s="3" t="inlineStr">
        <is>
          <t>No comparable public output-token/MW row adopted; B200 public reference placeholder is used and remains editable.</t>
        </is>
      </c>
      <c r="J4088" s="3" t="inlineStr">
        <is>
          <t>SRC_TENCENT_HUNYUAN; SRC_TENCENT_HY3; SRC_TENCENT_AI_INFRA_MOE; SRC_EPOCH_AI_DATA_CENTERS; ASSUMP_NUMERIC_ACCELERATOR_MIX</t>
        </is>
      </c>
      <c r="K4088" s="3" t="inlineStr">
        <is>
          <t>ASSUMP_CN_CAPACITY_TRANSPARENCY; ASSUMP_APP_EMBEDDING; ASSUMP_NUMERIC_ACCELERATOR_MIX; ASSUMP_INFERENCE_SHARE_NOT_FACT_60; ASSUMP_WORKLOAD_CLASS_MIX; ASSUMP_AGENTIC_CONTEXT_PENALTY</t>
        </is>
      </c>
      <c r="L4088" s="3" t="inlineStr">
        <is>
          <t>Matched-workload generated-output benchmark for the provider purpose-built accelerator.</t>
        </is>
      </c>
    </row>
    <row r="4089">
      <c r="A4089" s="3" t="inlineStr">
        <is>
          <t>Tencent</t>
        </is>
      </c>
      <c r="B4089" s="3" t="n">
        <v>2028</v>
      </c>
      <c r="C4089" s="3" t="inlineStr">
        <is>
          <t>Grid-Constrained / Efficiency-Upside</t>
        </is>
      </c>
      <c r="D4089" s="3" t="inlineStr">
        <is>
          <t>inference_power_share</t>
        </is>
      </c>
      <c r="E4089" s="3" t="n">
        <v>0.73</v>
      </c>
      <c r="F4089" s="3" t="inlineStr">
        <is>
          <t>share of AI IT load</t>
        </is>
      </c>
      <c r="G4089" s="3" t="inlineStr">
        <is>
          <t>Scenario allocation</t>
        </is>
      </c>
      <c r="H4089" s="3" t="inlineStr">
        <is>
          <t>inference_gw = ai_it_load_gw * inference_power_share</t>
        </is>
      </c>
      <c r="I4089" s="3" t="inlineStr">
        <is>
          <t>Yuanbao and embedded product surfaces plus Hunyuan Turbo inference-cost direction support rising inference allocation.</t>
        </is>
      </c>
      <c r="J4089" s="3" t="inlineStr">
        <is>
          <t>SRC_TENCENT_HUNYUAN; SRC_TENCENT_HY3; SRC_TENCENT_AI_INFRA_MOE; SRC_EPOCH_AI_DATA_CENTERS; ASSUMP_INFERENCE_SHARE_NOT_FACT_60</t>
        </is>
      </c>
      <c r="K4089" s="3" t="inlineStr">
        <is>
          <t>ASSUMP_CN_CAPACITY_TRANSPARENCY; ASSUMP_APP_EMBEDDING; ASSUMP_NUMERIC_ACCELERATOR_MIX; ASSUMP_INFERENCE_SHARE_NOT_FACT_60; ASSUMP_WORKLOAD_CLASS_MIX; ASSUMP_AGENTIC_CONTEXT_PENALTY</t>
        </is>
      </c>
      <c r="L4089" s="3" t="inlineStr">
        <is>
          <t>Provider-specific inference/training workload power telemetry.</t>
        </is>
      </c>
    </row>
    <row r="4090">
      <c r="A4090" s="3" t="inlineStr">
        <is>
          <t>Tencent</t>
        </is>
      </c>
      <c r="B4090" s="3" t="n">
        <v>2028</v>
      </c>
      <c r="C4090" s="3" t="inlineStr">
        <is>
          <t>Grid-Constrained / Efficiency-Upside</t>
        </is>
      </c>
      <c r="D4090" s="3" t="inlineStr">
        <is>
          <t>inference_gw</t>
        </is>
      </c>
      <c r="E4090" s="3" t="n">
        <v>0.5679999999999999</v>
      </c>
      <c r="F4090" s="3" t="inlineStr">
        <is>
          <t>GW</t>
        </is>
      </c>
      <c r="G4090" s="3" t="inlineStr">
        <is>
          <t>Derived formula</t>
        </is>
      </c>
      <c r="H4090" s="3" t="inlineStr">
        <is>
          <t>ai_it_load_gw * inference_power_share</t>
        </is>
      </c>
      <c r="I4090" s="3" t="inlineStr">
        <is>
          <t>This is the operational power eligible to become commercial generated output tokens through the selected TPS/MW proxy.</t>
        </is>
      </c>
      <c r="J4090" s="3" t="inlineStr">
        <is>
          <t>SRC_TENCENT_HUNYUAN; SRC_TENCENT_HY3; SRC_TENCENT_AI_INFRA_MOE; SRC_EPOCH_AI_DATA_CENTERS</t>
        </is>
      </c>
      <c r="K4090" s="3" t="inlineStr">
        <is>
          <t>ASSUMP_CN_CAPACITY_TRANSPARENCY; ASSUMP_APP_EMBEDDING; ASSUMP_NUMERIC_ACCELERATOR_MIX; ASSUMP_INFERENCE_SHARE_NOT_FACT_60; ASSUMP_WORKLOAD_CLASS_MIX; ASSUMP_AGENTIC_CONTEXT_PENALTY</t>
        </is>
      </c>
      <c r="L4090" s="3" t="inlineStr">
        <is>
          <t>Recompute after AI allocation or inference-share evidence changes.</t>
        </is>
      </c>
    </row>
    <row r="4091">
      <c r="A4091" s="3" t="inlineStr">
        <is>
          <t>Tencent</t>
        </is>
      </c>
      <c r="B4091" s="3" t="n">
        <v>2028</v>
      </c>
      <c r="C4091" s="3" t="inlineStr">
        <is>
          <t>Grid-Constrained / Efficiency-Upside</t>
        </is>
      </c>
      <c r="D4091" s="3" t="inlineStr">
        <is>
          <t>training_power_share</t>
        </is>
      </c>
      <c r="E4091" s="3" t="n">
        <v>0.27</v>
      </c>
      <c r="F4091" s="3" t="inlineStr">
        <is>
          <t>share of AI IT load</t>
        </is>
      </c>
      <c r="G4091" s="3" t="inlineStr">
        <is>
          <t>Derived allocation</t>
        </is>
      </c>
      <c r="H4091" s="3" t="inlineStr">
        <is>
          <t>1 - inference_power_share</t>
        </is>
      </c>
      <c r="I4091" s="3" t="inlineStr">
        <is>
          <t>Training receives the complementary modeled AI IT allocation; it is not a disclosed company workload split.</t>
        </is>
      </c>
      <c r="J4091" s="3" t="inlineStr">
        <is>
          <t>SRC_TENCENT_HUNYUAN; SRC_TENCENT_HY3; SRC_TENCENT_AI_INFRA_MOE; SRC_EPOCH_AI_DATA_CENTERS; ASSUMP_INFERENCE_SHARE_NOT_FACT_60</t>
        </is>
      </c>
      <c r="K4091" s="3" t="inlineStr">
        <is>
          <t>ASSUMP_CN_CAPACITY_TRANSPARENCY; ASSUMP_APP_EMBEDDING; ASSUMP_NUMERIC_ACCELERATOR_MIX; ASSUMP_INFERENCE_SHARE_NOT_FACT_60; ASSUMP_WORKLOAD_CLASS_MIX; ASSUMP_AGENTIC_CONTEXT_PENALTY</t>
        </is>
      </c>
      <c r="L4091" s="3" t="inlineStr">
        <is>
          <t>Provider-specific inference/training workload power telemetry.</t>
        </is>
      </c>
    </row>
    <row r="4092">
      <c r="A4092" s="3" t="inlineStr">
        <is>
          <t>Tencent</t>
        </is>
      </c>
      <c r="B4092" s="3" t="n">
        <v>2028</v>
      </c>
      <c r="C4092" s="3" t="inlineStr">
        <is>
          <t>Grid-Constrained / Efficiency-Upside</t>
        </is>
      </c>
      <c r="D4092" s="3" t="inlineStr">
        <is>
          <t>training_gw</t>
        </is>
      </c>
      <c r="E4092" s="3" t="n">
        <v>0.21</v>
      </c>
      <c r="F4092" s="3" t="inlineStr">
        <is>
          <t>GW</t>
        </is>
      </c>
      <c r="G4092" s="3" t="inlineStr">
        <is>
          <t>Derived formula</t>
        </is>
      </c>
      <c r="H4092" s="3" t="inlineStr">
        <is>
          <t>ai_it_load_gw * training_power_share</t>
        </is>
      </c>
      <c r="I4092" s="3" t="inlineStr">
        <is>
          <t>Training GW is shown separately so commercial inference token capacity is not overstated.</t>
        </is>
      </c>
      <c r="J4092" s="3" t="inlineStr">
        <is>
          <t>SRC_TENCENT_HUNYUAN; SRC_TENCENT_HY3; SRC_TENCENT_AI_INFRA_MOE; SRC_EPOCH_AI_DATA_CENTERS</t>
        </is>
      </c>
      <c r="K4092" s="3" t="inlineStr">
        <is>
          <t>ASSUMP_CN_CAPACITY_TRANSPARENCY; ASSUMP_APP_EMBEDDING; ASSUMP_NUMERIC_ACCELERATOR_MIX; ASSUMP_INFERENCE_SHARE_NOT_FACT_60; ASSUMP_WORKLOAD_CLASS_MIX; ASSUMP_AGENTIC_CONTEXT_PENALTY</t>
        </is>
      </c>
      <c r="L4092" s="3" t="inlineStr">
        <is>
          <t>Recompute after AI allocation or workload-split evidence changes.</t>
        </is>
      </c>
    </row>
    <row r="4093">
      <c r="A4093" s="3" t="inlineStr">
        <is>
          <t>Tencent</t>
        </is>
      </c>
      <c r="B4093" s="3" t="n">
        <v>2028</v>
      </c>
      <c r="C4093" s="3" t="inlineStr">
        <is>
          <t>Grid-Constrained / Efficiency-Upside</t>
        </is>
      </c>
      <c r="D4093" s="3" t="inlineStr">
        <is>
          <t>tokens_per_second_per_mw</t>
        </is>
      </c>
      <c r="E4093" s="3" t="n">
        <v>1725777</v>
      </c>
      <c r="F4093" s="3" t="inlineStr">
        <is>
          <t>generated output tokens/sec/MW</t>
        </is>
      </c>
      <c r="G4093" s="3" t="inlineStr">
        <is>
          <t>Derived estimate + benchmark calibration</t>
        </is>
      </c>
      <c r="H4093" s="3" t="inlineStr">
        <is>
          <t>fleet_reference_tps_per_mw * commercial_workload_fit_factor</t>
        </is>
      </c>
      <c r="I4093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093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093" s="3" t="inlineStr">
        <is>
          <t>ASSUMP_CN_CAPACITY_TRANSPARENCY; ASSUMP_APP_EMBEDDING; ASSUMP_NUMERIC_ACCELERATOR_MIX; ASSUMP_INFERENCE_SHARE_NOT_FACT_60; ASSUMP_WORKLOAD_CLASS_MIX; ASSUMP_AGENTIC_CONTEXT_PENALTY</t>
        </is>
      </c>
      <c r="L4093" s="3" t="inlineStr">
        <is>
          <t>Comparable production output-token throughput with model, hardware, precision, ISL/OSL and SLO matched.</t>
        </is>
      </c>
    </row>
    <row r="4094">
      <c r="A4094" s="3" t="inlineStr">
        <is>
          <t>Tencent</t>
        </is>
      </c>
      <c r="B4094" s="3" t="n">
        <v>2028</v>
      </c>
      <c r="C4094" s="3" t="inlineStr">
        <is>
          <t>Grid-Constrained / Efficiency-Upside</t>
        </is>
      </c>
      <c r="D4094" s="3" t="inlineStr">
        <is>
          <t>inference_tokens_per_day</t>
        </is>
      </c>
      <c r="E4094" s="3" t="n">
        <v>84692851430400</v>
      </c>
      <c r="F4094" s="3" t="inlineStr">
        <is>
          <t>generated output tokens/day</t>
        </is>
      </c>
      <c r="G4094" s="3" t="inlineStr">
        <is>
          <t>Derived headline metric</t>
        </is>
      </c>
      <c r="H4094" s="3" t="inlineStr">
        <is>
          <t>inference_gw * 1000 * tokens_per_second_per_mw * 86,400</t>
        </is>
      </c>
      <c r="I4094" s="3" t="inlineStr">
        <is>
          <t>Headline capacity uses no utilization, MoE, architecture or software-growth multiplier; it is not observed commercial output volume.</t>
        </is>
      </c>
      <c r="J4094" s="3" t="inlineStr">
        <is>
          <t>SRC_TENCENT_HUNYUAN; SRC_TENCENT_HY3; SRC_TENCENT_AI_INFRA_MOE; SRC_EPOCH_AI_DATA_CENTERS; SRC_SEMIANALYSIS_INFERENCEX</t>
        </is>
      </c>
      <c r="K4094" s="3" t="inlineStr">
        <is>
          <t>ASSUMP_CN_CAPACITY_TRANSPARENCY; ASSUMP_APP_EMBEDDING; ASSUMP_NUMERIC_ACCELERATOR_MIX; ASSUMP_INFERENCE_SHARE_NOT_FACT_60; ASSUMP_WORKLOAD_CLASS_MIX; ASSUMP_AGENTIC_CONTEXT_PENALTY</t>
        </is>
      </c>
      <c r="L4094" s="3" t="inlineStr">
        <is>
          <t>Provider-disclosed generated output token volume or calibrated capacity telemetry.</t>
        </is>
      </c>
    </row>
    <row r="4095">
      <c r="A4095" s="3" t="inlineStr">
        <is>
          <t>Tencent</t>
        </is>
      </c>
      <c r="B4095" s="3" t="n">
        <v>2028</v>
      </c>
      <c r="C4095" s="3" t="inlineStr">
        <is>
          <t>Grid-Constrained / Efficiency-Upside</t>
        </is>
      </c>
      <c r="D4095" s="3" t="inlineStr">
        <is>
          <t>inference_tokens_per_year</t>
        </is>
      </c>
      <c r="E4095" s="3" t="n">
        <v>3.0912890772096e+16</v>
      </c>
      <c r="F4095" s="3" t="inlineStr">
        <is>
          <t>generated output tokens/year</t>
        </is>
      </c>
      <c r="G4095" s="3" t="inlineStr">
        <is>
          <t>Derived headline metric</t>
        </is>
      </c>
      <c r="H4095" s="3" t="inlineStr">
        <is>
          <t>inference_tokens_per_day * 365</t>
        </is>
      </c>
      <c r="I4095" s="3" t="inlineStr">
        <is>
          <t>Annualized version of generated output token capacity; it is not observed annual demand or billable volume.</t>
        </is>
      </c>
      <c r="J4095" s="3" t="inlineStr">
        <is>
          <t>SRC_TENCENT_HUNYUAN; SRC_TENCENT_HY3; SRC_TENCENT_AI_INFRA_MOE; SRC_EPOCH_AI_DATA_CENTERS; SRC_SEMIANALYSIS_INFERENCEX</t>
        </is>
      </c>
      <c r="K4095" s="3" t="inlineStr">
        <is>
          <t>ASSUMP_CN_CAPACITY_TRANSPARENCY; ASSUMP_APP_EMBEDDING; ASSUMP_NUMERIC_ACCELERATOR_MIX; ASSUMP_INFERENCE_SHARE_NOT_FACT_60; ASSUMP_WORKLOAD_CLASS_MIX; ASSUMP_AGENTIC_CONTEXT_PENALTY</t>
        </is>
      </c>
      <c r="L4095" s="3" t="inlineStr">
        <is>
          <t>Provider-disclosed annual generated-output volume or metered serving telemetry.</t>
        </is>
      </c>
    </row>
    <row r="4096">
      <c r="A4096" s="3" t="inlineStr">
        <is>
          <t>Tencent</t>
        </is>
      </c>
      <c r="B4096" s="3" t="n">
        <v>2029</v>
      </c>
      <c r="C4096" s="3" t="inlineStr">
        <is>
          <t>Grid-Constrained / Efficiency-Upside</t>
        </is>
      </c>
      <c r="D4096" s="3" t="inlineStr">
        <is>
          <t>contracted_power_gw</t>
        </is>
      </c>
      <c r="E4096" s="3" t="n">
        <v>2.55</v>
      </c>
      <c r="F4096" s="3" t="inlineStr">
        <is>
          <t>GW</t>
        </is>
      </c>
      <c r="G4096" s="3" t="inlineStr">
        <is>
          <t>Scenario capacity envelope</t>
        </is>
      </c>
      <c r="H4096" s="3" t="inlineStr">
        <is>
          <t>linear interpolation between 2026 and 2030 company capacity endpoints</t>
        </is>
      </c>
      <c r="I4096" s="3" t="inlineStr">
        <is>
          <t>Tencent Cloud/Hunyuan capacity is a scenario envelope because operated model-serving GW is undisclosed.</t>
        </is>
      </c>
      <c r="J4096" s="3" t="inlineStr">
        <is>
          <t>SRC_TENCENT_AI_INFRA_MOE; ASSUMP_CN_CAPACITY_TRANSPARENCY</t>
        </is>
      </c>
      <c r="K4096" s="3" t="inlineStr">
        <is>
          <t>ASSUMP_CN_CAPACITY_TRANSPARENCY; ASSUMP_APP_EMBEDDING; ASSUMP_NUMERIC_ACCELERATOR_MIX; ASSUMP_INFERENCE_SHARE_NOT_FACT_60; ASSUMP_WORKLOAD_CLASS_MIX; ASSUMP_AGENTIC_CONTEXT_PENALTY</t>
        </is>
      </c>
      <c r="L4096" s="3" t="inlineStr">
        <is>
          <t>Company/site-level committed MW/GW, interconnect and contract disclosure.</t>
        </is>
      </c>
    </row>
    <row r="4097">
      <c r="A4097" s="3" t="inlineStr">
        <is>
          <t>Tencent</t>
        </is>
      </c>
      <c r="B4097" s="3" t="n">
        <v>2029</v>
      </c>
      <c r="C4097" s="3" t="inlineStr">
        <is>
          <t>Grid-Constrained / Efficiency-Upside</t>
        </is>
      </c>
      <c r="D4097" s="3" t="inlineStr">
        <is>
          <t>operational_deployment_share</t>
        </is>
      </c>
      <c r="E4097" s="3" t="n">
        <v>0.57019608</v>
      </c>
      <c r="F4097" s="3" t="inlineStr">
        <is>
          <t>share</t>
        </is>
      </c>
      <c r="G4097" s="3" t="inlineStr">
        <is>
          <t>Scenario conversion</t>
        </is>
      </c>
      <c r="H4097" s="3" t="inlineStr">
        <is>
          <t>active_power_gw / contracted_power_gw</t>
        </is>
      </c>
      <c r="I4097" s="3" t="inlineStr">
        <is>
          <t>This is the single explicit conversion from contracted/attributed capacity to operationally usable capacity.</t>
        </is>
      </c>
      <c r="J4097" s="3" t="inlineStr">
        <is>
          <t>SRC_TENCENT_AI_INFRA_MOE; ASSUMP_CN_CAPACITY_TRANSPARENCY</t>
        </is>
      </c>
      <c r="K4097" s="3" t="inlineStr">
        <is>
          <t>ASSUMP_CN_CAPACITY_TRANSPARENCY; ASSUMP_APP_EMBEDDING; ASSUMP_NUMERIC_ACCELERATOR_MIX; ASSUMP_INFERENCE_SHARE_NOT_FACT_60; ASSUMP_WORKLOAD_CLASS_MIX; ASSUMP_AGENTIC_CONTEXT_PENALTY</t>
        </is>
      </c>
      <c r="L4097" s="3" t="inlineStr">
        <is>
          <t>Energized operational capacity divided by contracted/attributed capacity.</t>
        </is>
      </c>
    </row>
    <row r="4098">
      <c r="A4098" s="3" t="inlineStr">
        <is>
          <t>Tencent</t>
        </is>
      </c>
      <c r="B4098" s="3" t="n">
        <v>2029</v>
      </c>
      <c r="C4098" s="3" t="inlineStr">
        <is>
          <t>Grid-Constrained / Efficiency-Upside</t>
        </is>
      </c>
      <c r="D4098" s="3" t="inlineStr">
        <is>
          <t>active_power_gw</t>
        </is>
      </c>
      <c r="E4098" s="3" t="n">
        <v>1.454</v>
      </c>
      <c r="F4098" s="3" t="inlineStr">
        <is>
          <t>GW</t>
        </is>
      </c>
      <c r="G4098" s="3" t="inlineStr">
        <is>
          <t>Derived scenario</t>
        </is>
      </c>
      <c r="H4098" s="3" t="inlineStr">
        <is>
          <t>contracted_power_gw * operational_deployment_share</t>
        </is>
      </c>
      <c r="I4098" s="3" t="inlineStr">
        <is>
          <t>Active GW reflects staged Hunyuan/Yuanbao adoption rather than a reported powered fleet.</t>
        </is>
      </c>
      <c r="J4098" s="3" t="inlineStr">
        <is>
          <t>SRC_TENCENT_AI_INFRA_MOE; ASSUMP_CN_CAPACITY_TRANSPARENCY</t>
        </is>
      </c>
      <c r="K4098" s="3" t="inlineStr">
        <is>
          <t>ASSUMP_CN_CAPACITY_TRANSPARENCY; ASSUMP_APP_EMBEDDING; ASSUMP_NUMERIC_ACCELERATOR_MIX; ASSUMP_INFERENCE_SHARE_NOT_FACT_60; ASSUMP_WORKLOAD_CLASS_MIX; ASSUMP_AGENTIC_CONTEXT_PENALTY</t>
        </is>
      </c>
      <c r="L4098" s="3" t="inlineStr">
        <is>
          <t>Energization dates, accelerator deliveries and operational powered-rack telemetry.</t>
        </is>
      </c>
    </row>
    <row r="4099">
      <c r="A4099" s="3" t="inlineStr">
        <is>
          <t>Tencent</t>
        </is>
      </c>
      <c r="B4099" s="3" t="n">
        <v>2029</v>
      </c>
      <c r="C4099" s="3" t="inlineStr">
        <is>
          <t>Grid-Constrained / Efficiency-Upside</t>
        </is>
      </c>
      <c r="D4099" s="3" t="inlineStr">
        <is>
          <t>pue</t>
        </is>
      </c>
      <c r="E4099" s="3" t="n">
        <v>1.23</v>
      </c>
      <c r="F4099" s="3" t="inlineStr">
        <is>
          <t>ratio</t>
        </is>
      </c>
      <c r="G4099" s="3" t="inlineStr">
        <is>
          <t>Scenario parameter</t>
        </is>
      </c>
      <c r="H4099" s="3" t="inlineStr">
        <is>
          <t>it_load_gw = active_power_gw / pue</t>
        </is>
      </c>
      <c r="I4099" s="3" t="inlineStr">
        <is>
          <t>No provider-wide site-level PUE is used as a disclosed fact; PUE represents facility-to-IT conversion within the scenario.</t>
        </is>
      </c>
      <c r="J4099" s="3" t="inlineStr">
        <is>
          <t>ASSUMP_POWER_RAMP</t>
        </is>
      </c>
      <c r="K4099" s="3" t="inlineStr">
        <is>
          <t>ASSUMP_CN_CAPACITY_TRANSPARENCY; ASSUMP_APP_EMBEDDING; ASSUMP_NUMERIC_ACCELERATOR_MIX; ASSUMP_INFERENCE_SHARE_NOT_FACT_60; ASSUMP_WORKLOAD_CLASS_MIX; ASSUMP_AGENTIC_CONTEXT_PENALTY</t>
        </is>
      </c>
      <c r="L4099" s="3" t="inlineStr">
        <is>
          <t>Site-level measured PUE matched to attributed AI capacity.</t>
        </is>
      </c>
    </row>
    <row r="4100">
      <c r="A4100" s="3" t="inlineStr">
        <is>
          <t>Tencent</t>
        </is>
      </c>
      <c r="B4100" s="3" t="n">
        <v>2029</v>
      </c>
      <c r="C4100" s="3" t="inlineStr">
        <is>
          <t>Grid-Constrained / Efficiency-Upside</t>
        </is>
      </c>
      <c r="D4100" s="3" t="inlineStr">
        <is>
          <t>it_load_gw</t>
        </is>
      </c>
      <c r="E4100" s="3" t="n">
        <v>1.182</v>
      </c>
      <c r="F4100" s="3" t="inlineStr">
        <is>
          <t>GW</t>
        </is>
      </c>
      <c r="G4100" s="3" t="inlineStr">
        <is>
          <t>Derived formula</t>
        </is>
      </c>
      <c r="H4100" s="3" t="inlineStr">
        <is>
          <t>active_power_gw / pue</t>
        </is>
      </c>
      <c r="I4100" s="3" t="inlineStr">
        <is>
          <t>Facility power is converted to IT-deliverable power before attributing AI workloads.</t>
        </is>
      </c>
      <c r="J4100" s="3" t="inlineStr">
        <is>
          <t>SRC_TENCENT_AI_INFRA_MOE; ASSUMP_CN_CAPACITY_TRANSPARENCY</t>
        </is>
      </c>
      <c r="K4100" s="3" t="inlineStr">
        <is>
          <t>ASSUMP_CN_CAPACITY_TRANSPARENCY; ASSUMP_APP_EMBEDDING; ASSUMP_NUMERIC_ACCELERATOR_MIX; ASSUMP_INFERENCE_SHARE_NOT_FACT_60; ASSUMP_WORKLOAD_CLASS_MIX; ASSUMP_AGENTIC_CONTEXT_PENALTY</t>
        </is>
      </c>
      <c r="L4100" s="3" t="inlineStr">
        <is>
          <t>Recompute once active power and PUE become site-observable.</t>
        </is>
      </c>
    </row>
    <row r="4101">
      <c r="A4101" s="3" t="inlineStr">
        <is>
          <t>Tencent</t>
        </is>
      </c>
      <c r="B4101" s="3" t="n">
        <v>2029</v>
      </c>
      <c r="C4101" s="3" t="inlineStr">
        <is>
          <t>Grid-Constrained / Efficiency-Upside</t>
        </is>
      </c>
      <c r="D4101" s="3" t="inlineStr">
        <is>
          <t>ai_workload_share</t>
        </is>
      </c>
      <c r="E4101" s="3" t="n">
        <v>0.84</v>
      </c>
      <c r="F4101" s="3" t="inlineStr">
        <is>
          <t>share</t>
        </is>
      </c>
      <c r="G4101" s="3" t="inlineStr">
        <is>
          <t>Scenario allocation</t>
        </is>
      </c>
      <c r="H4101" s="3" t="inlineStr">
        <is>
          <t>ai_it_load_gw = it_load_gw * ai_workload_share</t>
        </is>
      </c>
      <c r="I4101" s="3" t="inlineStr">
        <is>
          <t>Modeled Hunyuan-serving capacity is AI-focused; 84% excludes cloud/platform and reserve overhead.</t>
        </is>
      </c>
      <c r="J4101" s="3" t="inlineStr">
        <is>
          <t>SRC_TENCENT_HUNYUAN; SRC_TENCENT_HY3; SRC_TENCENT_AI_INFRA_MOE; SRC_EPOCH_AI_DATA_CENTERS</t>
        </is>
      </c>
      <c r="K4101" s="3" t="inlineStr">
        <is>
          <t>ASSUMP_CN_CAPACITY_TRANSPARENCY; ASSUMP_APP_EMBEDDING; ASSUMP_NUMERIC_ACCELERATOR_MIX; ASSUMP_INFERENCE_SHARE_NOT_FACT_60; ASSUMP_WORKLOAD_CLASS_MIX; ASSUMP_AGENTIC_CONTEXT_PENALTY</t>
        </is>
      </c>
      <c r="L4101" s="3" t="inlineStr">
        <is>
          <t>Model-owner AI workload allocation or cluster scheduling telemetry.</t>
        </is>
      </c>
    </row>
    <row r="4102">
      <c r="A4102" s="3" t="inlineStr">
        <is>
          <t>Tencent</t>
        </is>
      </c>
      <c r="B4102" s="3" t="n">
        <v>2029</v>
      </c>
      <c r="C4102" s="3" t="inlineStr">
        <is>
          <t>Grid-Constrained / Efficiency-Upside</t>
        </is>
      </c>
      <c r="D4102" s="3" t="inlineStr">
        <is>
          <t>ai_it_load_gw</t>
        </is>
      </c>
      <c r="E4102" s="3" t="n">
        <v>0.993</v>
      </c>
      <c r="F4102" s="3" t="inlineStr">
        <is>
          <t>GW</t>
        </is>
      </c>
      <c r="G4102" s="3" t="inlineStr">
        <is>
          <t>Derived formula</t>
        </is>
      </c>
      <c r="H4102" s="3" t="inlineStr">
        <is>
          <t>it_load_gw * ai_workload_share</t>
        </is>
      </c>
      <c r="I4102" s="3" t="inlineStr">
        <is>
          <t>Only the AI-attributed portion of IT load enters training/inference allocation.</t>
        </is>
      </c>
      <c r="J4102" s="3" t="inlineStr">
        <is>
          <t>SRC_TENCENT_HUNYUAN; SRC_TENCENT_HY3; SRC_TENCENT_AI_INFRA_MOE; SRC_EPOCH_AI_DATA_CENTERS</t>
        </is>
      </c>
      <c r="K4102" s="3" t="inlineStr">
        <is>
          <t>ASSUMP_CN_CAPACITY_TRANSPARENCY; ASSUMP_APP_EMBEDDING; ASSUMP_NUMERIC_ACCELERATOR_MIX; ASSUMP_INFERENCE_SHARE_NOT_FACT_60; ASSUMP_WORKLOAD_CLASS_MIX; ASSUMP_AGENTIC_CONTEXT_PENALTY</t>
        </is>
      </c>
      <c r="L4102" s="3" t="inlineStr">
        <is>
          <t>Recompute after ai_workload_share is replaced by telemetry.</t>
        </is>
      </c>
    </row>
    <row r="4103">
      <c r="A4103" s="3" t="inlineStr">
        <is>
          <t>Tencent</t>
        </is>
      </c>
      <c r="B4103" s="3" t="n">
        <v>2029</v>
      </c>
      <c r="C4103" s="3" t="inlineStr">
        <is>
          <t>Grid-Constrained / Efficiency-Upside</t>
        </is>
      </c>
      <c r="D4103" s="3" t="inlineStr">
        <is>
          <t>gpu_share</t>
        </is>
      </c>
      <c r="E4103" s="3" t="n">
        <v>1</v>
      </c>
      <c r="F4103" s="3" t="inlineStr">
        <is>
          <t>share of inference-serving accelerator load</t>
        </is>
      </c>
      <c r="G4103" s="3" t="inlineStr">
        <is>
          <t>Numeric scenario</t>
        </is>
      </c>
      <c r="H4103" s="3" t="inlineStr">
        <is>
          <t>gpu_share interpolated from company 2026/2030 accelerator-mix endpoints</t>
        </is>
      </c>
      <c r="I4103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103" s="3" t="inlineStr">
        <is>
          <t>SRC_TENCENT_HUNYUAN; SRC_TENCENT_HY3; SRC_TENCENT_AI_INFRA_MOE; SRC_EPOCH_AI_DATA_CENTERS; ASSUMP_NUMERIC_ACCELERATOR_MIX</t>
        </is>
      </c>
      <c r="K4103" s="3" t="inlineStr">
        <is>
          <t>ASSUMP_CN_CAPACITY_TRANSPARENCY; ASSUMP_APP_EMBEDDING; ASSUMP_NUMERIC_ACCELERATOR_MIX; ASSUMP_INFERENCE_SHARE_NOT_FACT_60; ASSUMP_WORKLOAD_CLASS_MIX; ASSUMP_AGENTIC_CONTEXT_PENALTY</t>
        </is>
      </c>
      <c r="L4103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104">
      <c r="A4104" s="3" t="inlineStr">
        <is>
          <t>Tencent</t>
        </is>
      </c>
      <c r="B4104" s="3" t="n">
        <v>2029</v>
      </c>
      <c r="C4104" s="3" t="inlineStr">
        <is>
          <t>Grid-Constrained / Efficiency-Upside</t>
        </is>
      </c>
      <c r="D4104" s="3" t="inlineStr">
        <is>
          <t>h200_share</t>
        </is>
      </c>
      <c r="E4104" s="3" t="n">
        <v>0.213</v>
      </c>
      <c r="F4104" s="3" t="inlineStr">
        <is>
          <t>share of inference-serving accelerator load</t>
        </is>
      </c>
      <c r="G4104" s="3" t="inlineStr">
        <is>
          <t>Editable numeric scenario</t>
        </is>
      </c>
      <c r="H4104" s="3" t="inlineStr">
        <is>
          <t>h200_share = gpu_share * default_gpu_generation_mix_h200</t>
        </is>
      </c>
      <c r="I4104" s="3" t="inlineStr">
        <is>
          <t>Default GPU-generation migration assumption; executive workbook allows later manual replacement by company/year/scenario.</t>
        </is>
      </c>
      <c r="J4104" s="3" t="inlineStr">
        <is>
          <t>SRC_SEMIANALYSIS_INFERENCEX; ASSUMP_NUMERIC_ACCELERATOR_MIX</t>
        </is>
      </c>
      <c r="K4104" s="3" t="inlineStr">
        <is>
          <t>ASSUMP_CN_CAPACITY_TRANSPARENCY; ASSUMP_APP_EMBEDDING; ASSUMP_NUMERIC_ACCELERATOR_MIX; ASSUMP_INFERENCE_SHARE_NOT_FACT_60; ASSUMP_WORKLOAD_CLASS_MIX; ASSUMP_AGENTIC_CONTEXT_PENALTY</t>
        </is>
      </c>
      <c r="L4104" s="3" t="inlineStr">
        <is>
          <t>Company fleet inventory, accelerator-hours or procurement/deployment records by GPU generation.</t>
        </is>
      </c>
    </row>
    <row r="4105">
      <c r="A4105" s="3" t="inlineStr">
        <is>
          <t>Tencent</t>
        </is>
      </c>
      <c r="B4105" s="3" t="n">
        <v>2029</v>
      </c>
      <c r="C4105" s="3" t="inlineStr">
        <is>
          <t>Grid-Constrained / Efficiency-Upside</t>
        </is>
      </c>
      <c r="D4105" s="3" t="inlineStr">
        <is>
          <t>b200_share</t>
        </is>
      </c>
      <c r="E4105" s="3" t="n">
        <v>0.362</v>
      </c>
      <c r="F4105" s="3" t="inlineStr">
        <is>
          <t>share of inference-serving accelerator load</t>
        </is>
      </c>
      <c r="G4105" s="3" t="inlineStr">
        <is>
          <t>Editable numeric scenario</t>
        </is>
      </c>
      <c r="H4105" s="3" t="inlineStr">
        <is>
          <t>b200_share = gpu_share * default_gpu_generation_mix_b200</t>
        </is>
      </c>
      <c r="I4105" s="3" t="inlineStr">
        <is>
          <t>Default GPU-generation migration assumption; executive workbook allows later manual replacement by company/year/scenario.</t>
        </is>
      </c>
      <c r="J4105" s="3" t="inlineStr">
        <is>
          <t>SRC_SEMIANALYSIS_INFERENCEX; ASSUMP_NUMERIC_ACCELERATOR_MIX</t>
        </is>
      </c>
      <c r="K4105" s="3" t="inlineStr">
        <is>
          <t>ASSUMP_CN_CAPACITY_TRANSPARENCY; ASSUMP_APP_EMBEDDING; ASSUMP_NUMERIC_ACCELERATOR_MIX; ASSUMP_INFERENCE_SHARE_NOT_FACT_60; ASSUMP_WORKLOAD_CLASS_MIX; ASSUMP_AGENTIC_CONTEXT_PENALTY</t>
        </is>
      </c>
      <c r="L4105" s="3" t="inlineStr">
        <is>
          <t>Company fleet inventory, accelerator-hours or procurement/deployment records by GPU generation.</t>
        </is>
      </c>
    </row>
    <row r="4106">
      <c r="A4106" s="3" t="inlineStr">
        <is>
          <t>Tencent</t>
        </is>
      </c>
      <c r="B4106" s="3" t="n">
        <v>2029</v>
      </c>
      <c r="C4106" s="3" t="inlineStr">
        <is>
          <t>Grid-Constrained / Efficiency-Upside</t>
        </is>
      </c>
      <c r="D4106" s="3" t="inlineStr">
        <is>
          <t>gb200_share</t>
        </is>
      </c>
      <c r="E4106" s="3" t="n">
        <v>0.425</v>
      </c>
      <c r="F4106" s="3" t="inlineStr">
        <is>
          <t>share of inference-serving accelerator load</t>
        </is>
      </c>
      <c r="G4106" s="3" t="inlineStr">
        <is>
          <t>Editable numeric scenario</t>
        </is>
      </c>
      <c r="H4106" s="3" t="inlineStr">
        <is>
          <t>gb200_share = gpu_share * default_gpu_generation_mix_gb200</t>
        </is>
      </c>
      <c r="I4106" s="3" t="inlineStr">
        <is>
          <t>Default GPU-generation migration assumption; executive workbook allows later manual replacement by company/year/scenario.</t>
        </is>
      </c>
      <c r="J4106" s="3" t="inlineStr">
        <is>
          <t>SRC_SEMIANALYSIS_INFERENCEX; ASSUMP_NUMERIC_ACCELERATOR_MIX</t>
        </is>
      </c>
      <c r="K4106" s="3" t="inlineStr">
        <is>
          <t>ASSUMP_CN_CAPACITY_TRANSPARENCY; ASSUMP_APP_EMBEDDING; ASSUMP_NUMERIC_ACCELERATOR_MIX; ASSUMP_INFERENCE_SHARE_NOT_FACT_60; ASSUMP_WORKLOAD_CLASS_MIX; ASSUMP_AGENTIC_CONTEXT_PENALTY</t>
        </is>
      </c>
      <c r="L4106" s="3" t="inlineStr">
        <is>
          <t>Company fleet inventory, accelerator-hours or procurement/deployment records by GPU generation.</t>
        </is>
      </c>
    </row>
    <row r="4107">
      <c r="A4107" s="3" t="inlineStr">
        <is>
          <t>Tencent</t>
        </is>
      </c>
      <c r="B4107" s="3" t="n">
        <v>2029</v>
      </c>
      <c r="C4107" s="3" t="inlineStr">
        <is>
          <t>Grid-Constrained / Efficiency-Upside</t>
        </is>
      </c>
      <c r="D4107" s="3" t="inlineStr">
        <is>
          <t>purpose_built_accelerator_share</t>
        </is>
      </c>
      <c r="E4107" s="3" t="n">
        <v>0</v>
      </c>
      <c r="F4107" s="3" t="inlineStr">
        <is>
          <t>share of inference-serving accelerator load</t>
        </is>
      </c>
      <c r="G4107" s="3" t="inlineStr">
        <is>
          <t>Numeric scenario</t>
        </is>
      </c>
      <c r="H4107" s="3" t="inlineStr">
        <is>
          <t>1 - gpu_share</t>
        </is>
      </c>
      <c r="I4107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107" s="3" t="inlineStr">
        <is>
          <t>SRC_TENCENT_HUNYUAN; SRC_TENCENT_HY3; SRC_TENCENT_AI_INFRA_MOE; SRC_EPOCH_AI_DATA_CENTERS; ASSUMP_NUMERIC_ACCELERATOR_MIX</t>
        </is>
      </c>
      <c r="K4107" s="3" t="inlineStr">
        <is>
          <t>ASSUMP_CN_CAPACITY_TRANSPARENCY; ASSUMP_APP_EMBEDDING; ASSUMP_NUMERIC_ACCELERATOR_MIX; ASSUMP_INFERENCE_SHARE_NOT_FACT_60; ASSUMP_WORKLOAD_CLASS_MIX; ASSUMP_AGENTIC_CONTEXT_PENALTY</t>
        </is>
      </c>
      <c r="L4107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108">
      <c r="A4108" s="3" t="inlineStr">
        <is>
          <t>Tencent</t>
        </is>
      </c>
      <c r="B4108" s="3" t="n">
        <v>2029</v>
      </c>
      <c r="C4108" s="3" t="inlineStr">
        <is>
          <t>Grid-Constrained / Efficiency-Upside</t>
        </is>
      </c>
      <c r="D4108" s="3" t="inlineStr">
        <is>
          <t>fleet_reference_tps_per_mw</t>
        </is>
      </c>
      <c r="E4108" s="3" t="n">
        <v>3133311</v>
      </c>
      <c r="F4108" s="3" t="inlineStr">
        <is>
          <t>generated output tokens/sec/MW</t>
        </is>
      </c>
      <c r="G4108" s="3" t="inlineStr">
        <is>
          <t>Fleet-weighted public benchmark reference</t>
        </is>
      </c>
      <c r="H4108" s="3" t="inlineStr">
        <is>
          <t>h200_share*h200_workload_avg + b200_share*b200_workload_avg + gb200_share*gb200_workload_avg + purpose_built_share*purpose_workload_avg</t>
        </is>
      </c>
      <c r="I4108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08" s="3" t="inlineStr">
        <is>
          <t>SRC_SEMIANALYSIS_INFERENCEX; ASSUMP_NUMERIC_ACCELERATOR_MIX; ASSUMP_WORKLOAD_CLASS_MIX; ASSUMP_AGENTIC_CONTEXT_PENALTY</t>
        </is>
      </c>
      <c r="K4108" s="3" t="inlineStr">
        <is>
          <t>ASSUMP_CN_CAPACITY_TRANSPARENCY; ASSUMP_APP_EMBEDDING; ASSUMP_NUMERIC_ACCELERATOR_MIX; ASSUMP_INFERENCE_SHARE_NOT_FACT_60; ASSUMP_WORKLOAD_CLASS_MIX; ASSUMP_AGENTIC_CONTEXT_PENALTY</t>
        </is>
      </c>
      <c r="L4108" s="3" t="inlineStr">
        <is>
          <t>Comparable production output-token throughput or a more closely matched benchmark.</t>
        </is>
      </c>
    </row>
    <row r="4109">
      <c r="A4109" s="3" t="inlineStr">
        <is>
          <t>Tencent</t>
        </is>
      </c>
      <c r="B4109" s="3" t="n">
        <v>2029</v>
      </c>
      <c r="C4109" s="3" t="inlineStr">
        <is>
          <t>Grid-Constrained / Efficiency-Upside</t>
        </is>
      </c>
      <c r="D4109" s="3" t="inlineStr">
        <is>
          <t>commercial_workload_fit_factor</t>
        </is>
      </c>
      <c r="E4109" s="3" t="n">
        <v>0.6</v>
      </c>
      <c r="F4109" s="3" t="inlineStr">
        <is>
          <t>share of public reference throughput</t>
        </is>
      </c>
      <c r="G4109" s="3" t="inlineStr">
        <is>
          <t>Scenario assumption</t>
        </is>
      </c>
      <c r="H4109" s="3" t="inlineStr">
        <is>
          <t>reference_serving_tps_per_mw = fleet_reference_tps_per_mw * commercial_workload_fit_factor</t>
        </is>
      </c>
      <c r="I4109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09" s="3" t="inlineStr">
        <is>
          <t>SRC_SEMIANALYSIS_INFERENCEX; ASSUMP_NUMERIC_ACCELERATOR_MIX; ASSUMP_WORKLOAD_CLASS_MIX; ASSUMP_AGENTIC_CONTEXT_PENALTY</t>
        </is>
      </c>
      <c r="K4109" s="3" t="inlineStr">
        <is>
          <t>ASSUMP_CN_CAPACITY_TRANSPARENCY; ASSUMP_APP_EMBEDDING; ASSUMP_NUMERIC_ACCELERATOR_MIX; ASSUMP_INFERENCE_SHARE_NOT_FACT_60; ASSUMP_WORKLOAD_CLASS_MIX; ASSUMP_AGENTIC_CONTEXT_PENALTY</t>
        </is>
      </c>
      <c r="L4109" s="3" t="inlineStr">
        <is>
          <t>Matched commercial serving benchmark by product surface, context shape and latency SLO.</t>
        </is>
      </c>
    </row>
    <row r="4110">
      <c r="A4110" s="3" t="inlineStr">
        <is>
          <t>Tencent</t>
        </is>
      </c>
      <c r="B4110" s="3" t="n">
        <v>2029</v>
      </c>
      <c r="C4110" s="3" t="inlineStr">
        <is>
          <t>Grid-Constrained / Efficiency-Upside</t>
        </is>
      </c>
      <c r="D4110" s="3" t="inlineStr">
        <is>
          <t>reference_serving_tps_per_mw</t>
        </is>
      </c>
      <c r="E4110" s="3" t="n">
        <v>1879987</v>
      </c>
      <c r="F4110" s="3" t="inlineStr">
        <is>
          <t>generated output tokens/sec/MW</t>
        </is>
      </c>
      <c r="G4110" s="3" t="inlineStr">
        <is>
          <t>Workload-adjusted benchmark proxy</t>
        </is>
      </c>
      <c r="H4110" s="3" t="inlineStr">
        <is>
          <t>fleet_reference_tps_per_mw * commercial_workload_fit_factor</t>
        </is>
      </c>
      <c r="I4110" s="3" t="inlineStr">
        <is>
          <t>This is the coefficient used for headline token generation; each GPU's short chat, long chat and agentic TPS/MW are weighted before fleet mix and commercial fit are applied.</t>
        </is>
      </c>
      <c r="J4110" s="3" t="inlineStr">
        <is>
          <t>SRC_SEMIANALYSIS_INFERENCEX; ASSUMP_NUMERIC_ACCELERATOR_MIX; ASSUMP_WORKLOAD_CLASS_MIX; ASSUMP_AGENTIC_CONTEXT_PENALTY</t>
        </is>
      </c>
      <c r="K4110" s="3" t="inlineStr">
        <is>
          <t>ASSUMP_CN_CAPACITY_TRANSPARENCY; ASSUMP_APP_EMBEDDING; ASSUMP_NUMERIC_ACCELERATOR_MIX; ASSUMP_INFERENCE_SHARE_NOT_FACT_60; ASSUMP_WORKLOAD_CLASS_MIX; ASSUMP_AGENTIC_CONTEXT_PENALTY</t>
        </is>
      </c>
      <c r="L4110" s="3" t="inlineStr">
        <is>
          <t>Provider production output-token throughput with comparable workload/SLO.</t>
        </is>
      </c>
    </row>
    <row r="4111">
      <c r="A4111" s="3" t="inlineStr">
        <is>
          <t>Tencent</t>
        </is>
      </c>
      <c r="B4111" s="3" t="n">
        <v>2029</v>
      </c>
      <c r="C4111" s="3" t="inlineStr">
        <is>
          <t>Grid-Constrained / Efficiency-Upside</t>
        </is>
      </c>
      <c r="D4111" s="3" t="inlineStr">
        <is>
          <t>purpose_built_tps_per_mw</t>
        </is>
      </c>
      <c r="E4111" s="3" t="n">
        <v>2710180</v>
      </c>
      <c r="F4111" s="3" t="inlineStr">
        <is>
          <t>generated output tokens/sec/MW</t>
        </is>
      </c>
      <c r="G4111" s="3" t="inlineStr">
        <is>
          <t>Conservative no-uplift proxy</t>
        </is>
      </c>
      <c r="H4111" s="3" t="inlineStr">
        <is>
          <t>purpose_built_tps_per_mw = purpose_built_reference_tps_per_mw * commercial_workload_fit_factor until comparable output-token benchmark is adopted</t>
        </is>
      </c>
      <c r="I4111" s="3" t="inlineStr">
        <is>
          <t>No comparable public output-token/MW row adopted; B200 public reference placeholder is used and remains editable.</t>
        </is>
      </c>
      <c r="J4111" s="3" t="inlineStr">
        <is>
          <t>SRC_TENCENT_HUNYUAN; SRC_TENCENT_HY3; SRC_TENCENT_AI_INFRA_MOE; SRC_EPOCH_AI_DATA_CENTERS; ASSUMP_NUMERIC_ACCELERATOR_MIX</t>
        </is>
      </c>
      <c r="K4111" s="3" t="inlineStr">
        <is>
          <t>ASSUMP_CN_CAPACITY_TRANSPARENCY; ASSUMP_APP_EMBEDDING; ASSUMP_NUMERIC_ACCELERATOR_MIX; ASSUMP_INFERENCE_SHARE_NOT_FACT_60; ASSUMP_WORKLOAD_CLASS_MIX; ASSUMP_AGENTIC_CONTEXT_PENALTY</t>
        </is>
      </c>
      <c r="L4111" s="3" t="inlineStr">
        <is>
          <t>Matched-workload generated-output benchmark for the provider purpose-built accelerator.</t>
        </is>
      </c>
    </row>
    <row r="4112">
      <c r="A4112" s="3" t="inlineStr">
        <is>
          <t>Tencent</t>
        </is>
      </c>
      <c r="B4112" s="3" t="n">
        <v>2029</v>
      </c>
      <c r="C4112" s="3" t="inlineStr">
        <is>
          <t>Grid-Constrained / Efficiency-Upside</t>
        </is>
      </c>
      <c r="D4112" s="3" t="inlineStr">
        <is>
          <t>inference_power_share</t>
        </is>
      </c>
      <c r="E4112" s="3" t="n">
        <v>0.785</v>
      </c>
      <c r="F4112" s="3" t="inlineStr">
        <is>
          <t>share of AI IT load</t>
        </is>
      </c>
      <c r="G4112" s="3" t="inlineStr">
        <is>
          <t>Scenario allocation</t>
        </is>
      </c>
      <c r="H4112" s="3" t="inlineStr">
        <is>
          <t>inference_gw = ai_it_load_gw * inference_power_share</t>
        </is>
      </c>
      <c r="I4112" s="3" t="inlineStr">
        <is>
          <t>Yuanbao and embedded product surfaces plus Hunyuan Turbo inference-cost direction support rising inference allocation.</t>
        </is>
      </c>
      <c r="J4112" s="3" t="inlineStr">
        <is>
          <t>SRC_TENCENT_HUNYUAN; SRC_TENCENT_HY3; SRC_TENCENT_AI_INFRA_MOE; SRC_EPOCH_AI_DATA_CENTERS; ASSUMP_INFERENCE_SHARE_NOT_FACT_60</t>
        </is>
      </c>
      <c r="K4112" s="3" t="inlineStr">
        <is>
          <t>ASSUMP_CN_CAPACITY_TRANSPARENCY; ASSUMP_APP_EMBEDDING; ASSUMP_NUMERIC_ACCELERATOR_MIX; ASSUMP_INFERENCE_SHARE_NOT_FACT_60; ASSUMP_WORKLOAD_CLASS_MIX; ASSUMP_AGENTIC_CONTEXT_PENALTY</t>
        </is>
      </c>
      <c r="L4112" s="3" t="inlineStr">
        <is>
          <t>Provider-specific inference/training workload power telemetry.</t>
        </is>
      </c>
    </row>
    <row r="4113">
      <c r="A4113" s="3" t="inlineStr">
        <is>
          <t>Tencent</t>
        </is>
      </c>
      <c r="B4113" s="3" t="n">
        <v>2029</v>
      </c>
      <c r="C4113" s="3" t="inlineStr">
        <is>
          <t>Grid-Constrained / Efficiency-Upside</t>
        </is>
      </c>
      <c r="D4113" s="3" t="inlineStr">
        <is>
          <t>inference_gw</t>
        </is>
      </c>
      <c r="E4113" s="3" t="n">
        <v>0.779</v>
      </c>
      <c r="F4113" s="3" t="inlineStr">
        <is>
          <t>GW</t>
        </is>
      </c>
      <c r="G4113" s="3" t="inlineStr">
        <is>
          <t>Derived formula</t>
        </is>
      </c>
      <c r="H4113" s="3" t="inlineStr">
        <is>
          <t>ai_it_load_gw * inference_power_share</t>
        </is>
      </c>
      <c r="I4113" s="3" t="inlineStr">
        <is>
          <t>This is the operational power eligible to become commercial generated output tokens through the selected TPS/MW proxy.</t>
        </is>
      </c>
      <c r="J4113" s="3" t="inlineStr">
        <is>
          <t>SRC_TENCENT_HUNYUAN; SRC_TENCENT_HY3; SRC_TENCENT_AI_INFRA_MOE; SRC_EPOCH_AI_DATA_CENTERS</t>
        </is>
      </c>
      <c r="K4113" s="3" t="inlineStr">
        <is>
          <t>ASSUMP_CN_CAPACITY_TRANSPARENCY; ASSUMP_APP_EMBEDDING; ASSUMP_NUMERIC_ACCELERATOR_MIX; ASSUMP_INFERENCE_SHARE_NOT_FACT_60; ASSUMP_WORKLOAD_CLASS_MIX; ASSUMP_AGENTIC_CONTEXT_PENALTY</t>
        </is>
      </c>
      <c r="L4113" s="3" t="inlineStr">
        <is>
          <t>Recompute after AI allocation or inference-share evidence changes.</t>
        </is>
      </c>
    </row>
    <row r="4114">
      <c r="A4114" s="3" t="inlineStr">
        <is>
          <t>Tencent</t>
        </is>
      </c>
      <c r="B4114" s="3" t="n">
        <v>2029</v>
      </c>
      <c r="C4114" s="3" t="inlineStr">
        <is>
          <t>Grid-Constrained / Efficiency-Upside</t>
        </is>
      </c>
      <c r="D4114" s="3" t="inlineStr">
        <is>
          <t>training_power_share</t>
        </is>
      </c>
      <c r="E4114" s="3" t="n">
        <v>0.215</v>
      </c>
      <c r="F4114" s="3" t="inlineStr">
        <is>
          <t>share of AI IT load</t>
        </is>
      </c>
      <c r="G4114" s="3" t="inlineStr">
        <is>
          <t>Derived allocation</t>
        </is>
      </c>
      <c r="H4114" s="3" t="inlineStr">
        <is>
          <t>1 - inference_power_share</t>
        </is>
      </c>
      <c r="I4114" s="3" t="inlineStr">
        <is>
          <t>Training receives the complementary modeled AI IT allocation; it is not a disclosed company workload split.</t>
        </is>
      </c>
      <c r="J4114" s="3" t="inlineStr">
        <is>
          <t>SRC_TENCENT_HUNYUAN; SRC_TENCENT_HY3; SRC_TENCENT_AI_INFRA_MOE; SRC_EPOCH_AI_DATA_CENTERS; ASSUMP_INFERENCE_SHARE_NOT_FACT_60</t>
        </is>
      </c>
      <c r="K4114" s="3" t="inlineStr">
        <is>
          <t>ASSUMP_CN_CAPACITY_TRANSPARENCY; ASSUMP_APP_EMBEDDING; ASSUMP_NUMERIC_ACCELERATOR_MIX; ASSUMP_INFERENCE_SHARE_NOT_FACT_60; ASSUMP_WORKLOAD_CLASS_MIX; ASSUMP_AGENTIC_CONTEXT_PENALTY</t>
        </is>
      </c>
      <c r="L4114" s="3" t="inlineStr">
        <is>
          <t>Provider-specific inference/training workload power telemetry.</t>
        </is>
      </c>
    </row>
    <row r="4115">
      <c r="A4115" s="3" t="inlineStr">
        <is>
          <t>Tencent</t>
        </is>
      </c>
      <c r="B4115" s="3" t="n">
        <v>2029</v>
      </c>
      <c r="C4115" s="3" t="inlineStr">
        <is>
          <t>Grid-Constrained / Efficiency-Upside</t>
        </is>
      </c>
      <c r="D4115" s="3" t="inlineStr">
        <is>
          <t>training_gw</t>
        </is>
      </c>
      <c r="E4115" s="3" t="n">
        <v>0.213</v>
      </c>
      <c r="F4115" s="3" t="inlineStr">
        <is>
          <t>GW</t>
        </is>
      </c>
      <c r="G4115" s="3" t="inlineStr">
        <is>
          <t>Derived formula</t>
        </is>
      </c>
      <c r="H4115" s="3" t="inlineStr">
        <is>
          <t>ai_it_load_gw * training_power_share</t>
        </is>
      </c>
      <c r="I4115" s="3" t="inlineStr">
        <is>
          <t>Training GW is shown separately so commercial inference token capacity is not overstated.</t>
        </is>
      </c>
      <c r="J4115" s="3" t="inlineStr">
        <is>
          <t>SRC_TENCENT_HUNYUAN; SRC_TENCENT_HY3; SRC_TENCENT_AI_INFRA_MOE; SRC_EPOCH_AI_DATA_CENTERS</t>
        </is>
      </c>
      <c r="K4115" s="3" t="inlineStr">
        <is>
          <t>ASSUMP_CN_CAPACITY_TRANSPARENCY; ASSUMP_APP_EMBEDDING; ASSUMP_NUMERIC_ACCELERATOR_MIX; ASSUMP_INFERENCE_SHARE_NOT_FACT_60; ASSUMP_WORKLOAD_CLASS_MIX; ASSUMP_AGENTIC_CONTEXT_PENALTY</t>
        </is>
      </c>
      <c r="L4115" s="3" t="inlineStr">
        <is>
          <t>Recompute after AI allocation or workload-split evidence changes.</t>
        </is>
      </c>
    </row>
    <row r="4116">
      <c r="A4116" s="3" t="inlineStr">
        <is>
          <t>Tencent</t>
        </is>
      </c>
      <c r="B4116" s="3" t="n">
        <v>2029</v>
      </c>
      <c r="C4116" s="3" t="inlineStr">
        <is>
          <t>Grid-Constrained / Efficiency-Upside</t>
        </is>
      </c>
      <c r="D4116" s="3" t="inlineStr">
        <is>
          <t>tokens_per_second_per_mw</t>
        </is>
      </c>
      <c r="E4116" s="3" t="n">
        <v>1879987</v>
      </c>
      <c r="F4116" s="3" t="inlineStr">
        <is>
          <t>generated output tokens/sec/MW</t>
        </is>
      </c>
      <c r="G4116" s="3" t="inlineStr">
        <is>
          <t>Derived estimate + benchmark calibration</t>
        </is>
      </c>
      <c r="H4116" s="3" t="inlineStr">
        <is>
          <t>fleet_reference_tps_per_mw * commercial_workload_fit_factor</t>
        </is>
      </c>
      <c r="I4116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16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116" s="3" t="inlineStr">
        <is>
          <t>ASSUMP_CN_CAPACITY_TRANSPARENCY; ASSUMP_APP_EMBEDDING; ASSUMP_NUMERIC_ACCELERATOR_MIX; ASSUMP_INFERENCE_SHARE_NOT_FACT_60; ASSUMP_WORKLOAD_CLASS_MIX; ASSUMP_AGENTIC_CONTEXT_PENALTY</t>
        </is>
      </c>
      <c r="L4116" s="3" t="inlineStr">
        <is>
          <t>Comparable production output-token throughput with model, hardware, precision, ISL/OSL and SLO matched.</t>
        </is>
      </c>
    </row>
    <row r="4117">
      <c r="A4117" s="3" t="inlineStr">
        <is>
          <t>Tencent</t>
        </is>
      </c>
      <c r="B4117" s="3" t="n">
        <v>2029</v>
      </c>
      <c r="C4117" s="3" t="inlineStr">
        <is>
          <t>Grid-Constrained / Efficiency-Upside</t>
        </is>
      </c>
      <c r="D4117" s="3" t="inlineStr">
        <is>
          <t>inference_tokens_per_day</t>
        </is>
      </c>
      <c r="E4117" s="3" t="n">
        <v>126533653027200</v>
      </c>
      <c r="F4117" s="3" t="inlineStr">
        <is>
          <t>generated output tokens/day</t>
        </is>
      </c>
      <c r="G4117" s="3" t="inlineStr">
        <is>
          <t>Derived headline metric</t>
        </is>
      </c>
      <c r="H4117" s="3" t="inlineStr">
        <is>
          <t>inference_gw * 1000 * tokens_per_second_per_mw * 86,400</t>
        </is>
      </c>
      <c r="I4117" s="3" t="inlineStr">
        <is>
          <t>Headline capacity uses no utilization, MoE, architecture or software-growth multiplier; it is not observed commercial output volume.</t>
        </is>
      </c>
      <c r="J4117" s="3" t="inlineStr">
        <is>
          <t>SRC_TENCENT_HUNYUAN; SRC_TENCENT_HY3; SRC_TENCENT_AI_INFRA_MOE; SRC_EPOCH_AI_DATA_CENTERS; SRC_SEMIANALYSIS_INFERENCEX</t>
        </is>
      </c>
      <c r="K4117" s="3" t="inlineStr">
        <is>
          <t>ASSUMP_CN_CAPACITY_TRANSPARENCY; ASSUMP_APP_EMBEDDING; ASSUMP_NUMERIC_ACCELERATOR_MIX; ASSUMP_INFERENCE_SHARE_NOT_FACT_60; ASSUMP_WORKLOAD_CLASS_MIX; ASSUMP_AGENTIC_CONTEXT_PENALTY</t>
        </is>
      </c>
      <c r="L4117" s="3" t="inlineStr">
        <is>
          <t>Provider-disclosed generated output token volume or calibrated capacity telemetry.</t>
        </is>
      </c>
    </row>
    <row r="4118">
      <c r="A4118" s="3" t="inlineStr">
        <is>
          <t>Tencent</t>
        </is>
      </c>
      <c r="B4118" s="3" t="n">
        <v>2029</v>
      </c>
      <c r="C4118" s="3" t="inlineStr">
        <is>
          <t>Grid-Constrained / Efficiency-Upside</t>
        </is>
      </c>
      <c r="D4118" s="3" t="inlineStr">
        <is>
          <t>inference_tokens_per_year</t>
        </is>
      </c>
      <c r="E4118" s="3" t="n">
        <v>4.6184783354928e+16</v>
      </c>
      <c r="F4118" s="3" t="inlineStr">
        <is>
          <t>generated output tokens/year</t>
        </is>
      </c>
      <c r="G4118" s="3" t="inlineStr">
        <is>
          <t>Derived headline metric</t>
        </is>
      </c>
      <c r="H4118" s="3" t="inlineStr">
        <is>
          <t>inference_tokens_per_day * 365</t>
        </is>
      </c>
      <c r="I4118" s="3" t="inlineStr">
        <is>
          <t>Annualized version of generated output token capacity; it is not observed annual demand or billable volume.</t>
        </is>
      </c>
      <c r="J4118" s="3" t="inlineStr">
        <is>
          <t>SRC_TENCENT_HUNYUAN; SRC_TENCENT_HY3; SRC_TENCENT_AI_INFRA_MOE; SRC_EPOCH_AI_DATA_CENTERS; SRC_SEMIANALYSIS_INFERENCEX</t>
        </is>
      </c>
      <c r="K4118" s="3" t="inlineStr">
        <is>
          <t>ASSUMP_CN_CAPACITY_TRANSPARENCY; ASSUMP_APP_EMBEDDING; ASSUMP_NUMERIC_ACCELERATOR_MIX; ASSUMP_INFERENCE_SHARE_NOT_FACT_60; ASSUMP_WORKLOAD_CLASS_MIX; ASSUMP_AGENTIC_CONTEXT_PENALTY</t>
        </is>
      </c>
      <c r="L4118" s="3" t="inlineStr">
        <is>
          <t>Provider-disclosed annual generated-output volume or metered serving telemetry.</t>
        </is>
      </c>
    </row>
    <row r="4119">
      <c r="A4119" s="3" t="inlineStr">
        <is>
          <t>Tencent</t>
        </is>
      </c>
      <c r="B4119" s="3" t="n">
        <v>2030</v>
      </c>
      <c r="C4119" s="3" t="inlineStr">
        <is>
          <t>Grid-Constrained / Efficiency-Upside</t>
        </is>
      </c>
      <c r="D4119" s="3" t="inlineStr">
        <is>
          <t>contracted_power_gw</t>
        </is>
      </c>
      <c r="E4119" s="3" t="n">
        <v>3</v>
      </c>
      <c r="F4119" s="3" t="inlineStr">
        <is>
          <t>GW</t>
        </is>
      </c>
      <c r="G4119" s="3" t="inlineStr">
        <is>
          <t>Scenario capacity envelope</t>
        </is>
      </c>
      <c r="H4119" s="3" t="inlineStr">
        <is>
          <t>linear interpolation between 2026 and 2030 company capacity endpoints</t>
        </is>
      </c>
      <c r="I4119" s="3" t="inlineStr">
        <is>
          <t>Tencent Cloud/Hunyuan capacity is a scenario envelope because operated model-serving GW is undisclosed.</t>
        </is>
      </c>
      <c r="J4119" s="3" t="inlineStr">
        <is>
          <t>SRC_TENCENT_AI_INFRA_MOE; ASSUMP_CN_CAPACITY_TRANSPARENCY</t>
        </is>
      </c>
      <c r="K4119" s="3" t="inlineStr">
        <is>
          <t>ASSUMP_CN_CAPACITY_TRANSPARENCY; ASSUMP_APP_EMBEDDING; ASSUMP_NUMERIC_ACCELERATOR_MIX; ASSUMP_INFERENCE_SHARE_NOT_FACT_60; ASSUMP_WORKLOAD_CLASS_MIX; ASSUMP_AGENTIC_CONTEXT_PENALTY</t>
        </is>
      </c>
      <c r="L4119" s="3" t="inlineStr">
        <is>
          <t>Company/site-level committed MW/GW, interconnect and contract disclosure.</t>
        </is>
      </c>
    </row>
    <row r="4120">
      <c r="A4120" s="3" t="inlineStr">
        <is>
          <t>Tencent</t>
        </is>
      </c>
      <c r="B4120" s="3" t="n">
        <v>2030</v>
      </c>
      <c r="C4120" s="3" t="inlineStr">
        <is>
          <t>Grid-Constrained / Efficiency-Upside</t>
        </is>
      </c>
      <c r="D4120" s="3" t="inlineStr">
        <is>
          <t>operational_deployment_share</t>
        </is>
      </c>
      <c r="E4120" s="3" t="n">
        <v>0.576</v>
      </c>
      <c r="F4120" s="3" t="inlineStr">
        <is>
          <t>share</t>
        </is>
      </c>
      <c r="G4120" s="3" t="inlineStr">
        <is>
          <t>Scenario conversion</t>
        </is>
      </c>
      <c r="H4120" s="3" t="inlineStr">
        <is>
          <t>active_power_gw / contracted_power_gw</t>
        </is>
      </c>
      <c r="I4120" s="3" t="inlineStr">
        <is>
          <t>This is the single explicit conversion from contracted/attributed capacity to operationally usable capacity.</t>
        </is>
      </c>
      <c r="J4120" s="3" t="inlineStr">
        <is>
          <t>SRC_TENCENT_AI_INFRA_MOE; ASSUMP_CN_CAPACITY_TRANSPARENCY</t>
        </is>
      </c>
      <c r="K4120" s="3" t="inlineStr">
        <is>
          <t>ASSUMP_CN_CAPACITY_TRANSPARENCY; ASSUMP_APP_EMBEDDING; ASSUMP_NUMERIC_ACCELERATOR_MIX; ASSUMP_INFERENCE_SHARE_NOT_FACT_60; ASSUMP_WORKLOAD_CLASS_MIX; ASSUMP_AGENTIC_CONTEXT_PENALTY</t>
        </is>
      </c>
      <c r="L4120" s="3" t="inlineStr">
        <is>
          <t>Energized operational capacity divided by contracted/attributed capacity.</t>
        </is>
      </c>
    </row>
    <row r="4121">
      <c r="A4121" s="3" t="inlineStr">
        <is>
          <t>Tencent</t>
        </is>
      </c>
      <c r="B4121" s="3" t="n">
        <v>2030</v>
      </c>
      <c r="C4121" s="3" t="inlineStr">
        <is>
          <t>Grid-Constrained / Efficiency-Upside</t>
        </is>
      </c>
      <c r="D4121" s="3" t="inlineStr">
        <is>
          <t>active_power_gw</t>
        </is>
      </c>
      <c r="E4121" s="3" t="n">
        <v>1.728</v>
      </c>
      <c r="F4121" s="3" t="inlineStr">
        <is>
          <t>GW</t>
        </is>
      </c>
      <c r="G4121" s="3" t="inlineStr">
        <is>
          <t>Derived scenario</t>
        </is>
      </c>
      <c r="H4121" s="3" t="inlineStr">
        <is>
          <t>contracted_power_gw * operational_deployment_share</t>
        </is>
      </c>
      <c r="I4121" s="3" t="inlineStr">
        <is>
          <t>Active GW reflects staged Hunyuan/Yuanbao adoption rather than a reported powered fleet.</t>
        </is>
      </c>
      <c r="J4121" s="3" t="inlineStr">
        <is>
          <t>SRC_TENCENT_AI_INFRA_MOE; ASSUMP_CN_CAPACITY_TRANSPARENCY</t>
        </is>
      </c>
      <c r="K4121" s="3" t="inlineStr">
        <is>
          <t>ASSUMP_CN_CAPACITY_TRANSPARENCY; ASSUMP_APP_EMBEDDING; ASSUMP_NUMERIC_ACCELERATOR_MIX; ASSUMP_INFERENCE_SHARE_NOT_FACT_60; ASSUMP_WORKLOAD_CLASS_MIX; ASSUMP_AGENTIC_CONTEXT_PENALTY</t>
        </is>
      </c>
      <c r="L4121" s="3" t="inlineStr">
        <is>
          <t>Energization dates, accelerator deliveries and operational powered-rack telemetry.</t>
        </is>
      </c>
    </row>
    <row r="4122">
      <c r="A4122" s="3" t="inlineStr">
        <is>
          <t>Tencent</t>
        </is>
      </c>
      <c r="B4122" s="3" t="n">
        <v>2030</v>
      </c>
      <c r="C4122" s="3" t="inlineStr">
        <is>
          <t>Grid-Constrained / Efficiency-Upside</t>
        </is>
      </c>
      <c r="D4122" s="3" t="inlineStr">
        <is>
          <t>pue</t>
        </is>
      </c>
      <c r="E4122" s="3" t="n">
        <v>1.23</v>
      </c>
      <c r="F4122" s="3" t="inlineStr">
        <is>
          <t>ratio</t>
        </is>
      </c>
      <c r="G4122" s="3" t="inlineStr">
        <is>
          <t>Scenario parameter</t>
        </is>
      </c>
      <c r="H4122" s="3" t="inlineStr">
        <is>
          <t>it_load_gw = active_power_gw / pue</t>
        </is>
      </c>
      <c r="I4122" s="3" t="inlineStr">
        <is>
          <t>No provider-wide site-level PUE is used as a disclosed fact; PUE represents facility-to-IT conversion within the scenario.</t>
        </is>
      </c>
      <c r="J4122" s="3" t="inlineStr">
        <is>
          <t>ASSUMP_POWER_RAMP</t>
        </is>
      </c>
      <c r="K4122" s="3" t="inlineStr">
        <is>
          <t>ASSUMP_CN_CAPACITY_TRANSPARENCY; ASSUMP_APP_EMBEDDING; ASSUMP_NUMERIC_ACCELERATOR_MIX; ASSUMP_INFERENCE_SHARE_NOT_FACT_60; ASSUMP_WORKLOAD_CLASS_MIX; ASSUMP_AGENTIC_CONTEXT_PENALTY</t>
        </is>
      </c>
      <c r="L4122" s="3" t="inlineStr">
        <is>
          <t>Site-level measured PUE matched to attributed AI capacity.</t>
        </is>
      </c>
    </row>
    <row r="4123">
      <c r="A4123" s="3" t="inlineStr">
        <is>
          <t>Tencent</t>
        </is>
      </c>
      <c r="B4123" s="3" t="n">
        <v>2030</v>
      </c>
      <c r="C4123" s="3" t="inlineStr">
        <is>
          <t>Grid-Constrained / Efficiency-Upside</t>
        </is>
      </c>
      <c r="D4123" s="3" t="inlineStr">
        <is>
          <t>it_load_gw</t>
        </is>
      </c>
      <c r="E4123" s="3" t="n">
        <v>1.405</v>
      </c>
      <c r="F4123" s="3" t="inlineStr">
        <is>
          <t>GW</t>
        </is>
      </c>
      <c r="G4123" s="3" t="inlineStr">
        <is>
          <t>Derived formula</t>
        </is>
      </c>
      <c r="H4123" s="3" t="inlineStr">
        <is>
          <t>active_power_gw / pue</t>
        </is>
      </c>
      <c r="I4123" s="3" t="inlineStr">
        <is>
          <t>Facility power is converted to IT-deliverable power before attributing AI workloads.</t>
        </is>
      </c>
      <c r="J4123" s="3" t="inlineStr">
        <is>
          <t>SRC_TENCENT_AI_INFRA_MOE; ASSUMP_CN_CAPACITY_TRANSPARENCY</t>
        </is>
      </c>
      <c r="K4123" s="3" t="inlineStr">
        <is>
          <t>ASSUMP_CN_CAPACITY_TRANSPARENCY; ASSUMP_APP_EMBEDDING; ASSUMP_NUMERIC_ACCELERATOR_MIX; ASSUMP_INFERENCE_SHARE_NOT_FACT_60; ASSUMP_WORKLOAD_CLASS_MIX; ASSUMP_AGENTIC_CONTEXT_PENALTY</t>
        </is>
      </c>
      <c r="L4123" s="3" t="inlineStr">
        <is>
          <t>Recompute once active power and PUE become site-observable.</t>
        </is>
      </c>
    </row>
    <row r="4124">
      <c r="A4124" s="3" t="inlineStr">
        <is>
          <t>Tencent</t>
        </is>
      </c>
      <c r="B4124" s="3" t="n">
        <v>2030</v>
      </c>
      <c r="C4124" s="3" t="inlineStr">
        <is>
          <t>Grid-Constrained / Efficiency-Upside</t>
        </is>
      </c>
      <c r="D4124" s="3" t="inlineStr">
        <is>
          <t>ai_workload_share</t>
        </is>
      </c>
      <c r="E4124" s="3" t="n">
        <v>0.84</v>
      </c>
      <c r="F4124" s="3" t="inlineStr">
        <is>
          <t>share</t>
        </is>
      </c>
      <c r="G4124" s="3" t="inlineStr">
        <is>
          <t>Scenario allocation</t>
        </is>
      </c>
      <c r="H4124" s="3" t="inlineStr">
        <is>
          <t>ai_it_load_gw = it_load_gw * ai_workload_share</t>
        </is>
      </c>
      <c r="I4124" s="3" t="inlineStr">
        <is>
          <t>Modeled Hunyuan-serving capacity is AI-focused; 84% excludes cloud/platform and reserve overhead.</t>
        </is>
      </c>
      <c r="J4124" s="3" t="inlineStr">
        <is>
          <t>SRC_TENCENT_HUNYUAN; SRC_TENCENT_HY3; SRC_TENCENT_AI_INFRA_MOE; SRC_EPOCH_AI_DATA_CENTERS</t>
        </is>
      </c>
      <c r="K4124" s="3" t="inlineStr">
        <is>
          <t>ASSUMP_CN_CAPACITY_TRANSPARENCY; ASSUMP_APP_EMBEDDING; ASSUMP_NUMERIC_ACCELERATOR_MIX; ASSUMP_INFERENCE_SHARE_NOT_FACT_60; ASSUMP_WORKLOAD_CLASS_MIX; ASSUMP_AGENTIC_CONTEXT_PENALTY</t>
        </is>
      </c>
      <c r="L4124" s="3" t="inlineStr">
        <is>
          <t>Model-owner AI workload allocation or cluster scheduling telemetry.</t>
        </is>
      </c>
    </row>
    <row r="4125">
      <c r="A4125" s="3" t="inlineStr">
        <is>
          <t>Tencent</t>
        </is>
      </c>
      <c r="B4125" s="3" t="n">
        <v>2030</v>
      </c>
      <c r="C4125" s="3" t="inlineStr">
        <is>
          <t>Grid-Constrained / Efficiency-Upside</t>
        </is>
      </c>
      <c r="D4125" s="3" t="inlineStr">
        <is>
          <t>ai_it_load_gw</t>
        </is>
      </c>
      <c r="E4125" s="3" t="n">
        <v>1.18</v>
      </c>
      <c r="F4125" s="3" t="inlineStr">
        <is>
          <t>GW</t>
        </is>
      </c>
      <c r="G4125" s="3" t="inlineStr">
        <is>
          <t>Derived formula</t>
        </is>
      </c>
      <c r="H4125" s="3" t="inlineStr">
        <is>
          <t>it_load_gw * ai_workload_share</t>
        </is>
      </c>
      <c r="I4125" s="3" t="inlineStr">
        <is>
          <t>Only the AI-attributed portion of IT load enters training/inference allocation.</t>
        </is>
      </c>
      <c r="J4125" s="3" t="inlineStr">
        <is>
          <t>SRC_TENCENT_HUNYUAN; SRC_TENCENT_HY3; SRC_TENCENT_AI_INFRA_MOE; SRC_EPOCH_AI_DATA_CENTERS</t>
        </is>
      </c>
      <c r="K4125" s="3" t="inlineStr">
        <is>
          <t>ASSUMP_CN_CAPACITY_TRANSPARENCY; ASSUMP_APP_EMBEDDING; ASSUMP_NUMERIC_ACCELERATOR_MIX; ASSUMP_INFERENCE_SHARE_NOT_FACT_60; ASSUMP_WORKLOAD_CLASS_MIX; ASSUMP_AGENTIC_CONTEXT_PENALTY</t>
        </is>
      </c>
      <c r="L4125" s="3" t="inlineStr">
        <is>
          <t>Recompute after ai_workload_share is replaced by telemetry.</t>
        </is>
      </c>
    </row>
    <row r="4126">
      <c r="A4126" s="3" t="inlineStr">
        <is>
          <t>Tencent</t>
        </is>
      </c>
      <c r="B4126" s="3" t="n">
        <v>2030</v>
      </c>
      <c r="C4126" s="3" t="inlineStr">
        <is>
          <t>Grid-Constrained / Efficiency-Upside</t>
        </is>
      </c>
      <c r="D4126" s="3" t="inlineStr">
        <is>
          <t>gpu_share</t>
        </is>
      </c>
      <c r="E4126" s="3" t="n">
        <v>1</v>
      </c>
      <c r="F4126" s="3" t="inlineStr">
        <is>
          <t>share of inference-serving accelerator load</t>
        </is>
      </c>
      <c r="G4126" s="3" t="inlineStr">
        <is>
          <t>Numeric scenario</t>
        </is>
      </c>
      <c r="H4126" s="3" t="inlineStr">
        <is>
          <t>gpu_share interpolated from company 2026/2030 accelerator-mix endpoints</t>
        </is>
      </c>
      <c r="I4126" s="3" t="inlineStr">
        <is>
          <t>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126" s="3" t="inlineStr">
        <is>
          <t>SRC_TENCENT_HUNYUAN; SRC_TENCENT_HY3; SRC_TENCENT_AI_INFRA_MOE; SRC_EPOCH_AI_DATA_CENTERS; ASSUMP_NUMERIC_ACCELERATOR_MIX</t>
        </is>
      </c>
      <c r="K4126" s="3" t="inlineStr">
        <is>
          <t>ASSUMP_CN_CAPACITY_TRANSPARENCY; ASSUMP_APP_EMBEDDING; ASSUMP_NUMERIC_ACCELERATOR_MIX; ASSUMP_INFERENCE_SHARE_NOT_FACT_60; ASSUMP_WORKLOAD_CLASS_MIX; ASSUMP_AGENTIC_CONTEXT_PENALTY</t>
        </is>
      </c>
      <c r="L4126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127">
      <c r="A4127" s="3" t="inlineStr">
        <is>
          <t>Tencent</t>
        </is>
      </c>
      <c r="B4127" s="3" t="n">
        <v>2030</v>
      </c>
      <c r="C4127" s="3" t="inlineStr">
        <is>
          <t>Grid-Constrained / Efficiency-Upside</t>
        </is>
      </c>
      <c r="D4127" s="3" t="inlineStr">
        <is>
          <t>h200_share</t>
        </is>
      </c>
      <c r="E4127" s="3" t="n">
        <v>0.1</v>
      </c>
      <c r="F4127" s="3" t="inlineStr">
        <is>
          <t>share of inference-serving accelerator load</t>
        </is>
      </c>
      <c r="G4127" s="3" t="inlineStr">
        <is>
          <t>Editable numeric scenario</t>
        </is>
      </c>
      <c r="H4127" s="3" t="inlineStr">
        <is>
          <t>h200_share = gpu_share * default_gpu_generation_mix_h200</t>
        </is>
      </c>
      <c r="I4127" s="3" t="inlineStr">
        <is>
          <t>Default GPU-generation migration assumption; executive workbook allows later manual replacement by company/year/scenario.</t>
        </is>
      </c>
      <c r="J4127" s="3" t="inlineStr">
        <is>
          <t>SRC_SEMIANALYSIS_INFERENCEX; ASSUMP_NUMERIC_ACCELERATOR_MIX</t>
        </is>
      </c>
      <c r="K4127" s="3" t="inlineStr">
        <is>
          <t>ASSUMP_CN_CAPACITY_TRANSPARENCY; ASSUMP_APP_EMBEDDING; ASSUMP_NUMERIC_ACCELERATOR_MIX; ASSUMP_INFERENCE_SHARE_NOT_FACT_60; ASSUMP_WORKLOAD_CLASS_MIX; ASSUMP_AGENTIC_CONTEXT_PENALTY</t>
        </is>
      </c>
      <c r="L4127" s="3" t="inlineStr">
        <is>
          <t>Company fleet inventory, accelerator-hours or procurement/deployment records by GPU generation.</t>
        </is>
      </c>
    </row>
    <row r="4128">
      <c r="A4128" s="3" t="inlineStr">
        <is>
          <t>Tencent</t>
        </is>
      </c>
      <c r="B4128" s="3" t="n">
        <v>2030</v>
      </c>
      <c r="C4128" s="3" t="inlineStr">
        <is>
          <t>Grid-Constrained / Efficiency-Upside</t>
        </is>
      </c>
      <c r="D4128" s="3" t="inlineStr">
        <is>
          <t>b200_share</t>
        </is>
      </c>
      <c r="E4128" s="3" t="n">
        <v>0.35</v>
      </c>
      <c r="F4128" s="3" t="inlineStr">
        <is>
          <t>share of inference-serving accelerator load</t>
        </is>
      </c>
      <c r="G4128" s="3" t="inlineStr">
        <is>
          <t>Editable numeric scenario</t>
        </is>
      </c>
      <c r="H4128" s="3" t="inlineStr">
        <is>
          <t>b200_share = gpu_share * default_gpu_generation_mix_b200</t>
        </is>
      </c>
      <c r="I4128" s="3" t="inlineStr">
        <is>
          <t>Default GPU-generation migration assumption; executive workbook allows later manual replacement by company/year/scenario.</t>
        </is>
      </c>
      <c r="J4128" s="3" t="inlineStr">
        <is>
          <t>SRC_SEMIANALYSIS_INFERENCEX; ASSUMP_NUMERIC_ACCELERATOR_MIX</t>
        </is>
      </c>
      <c r="K4128" s="3" t="inlineStr">
        <is>
          <t>ASSUMP_CN_CAPACITY_TRANSPARENCY; ASSUMP_APP_EMBEDDING; ASSUMP_NUMERIC_ACCELERATOR_MIX; ASSUMP_INFERENCE_SHARE_NOT_FACT_60; ASSUMP_WORKLOAD_CLASS_MIX; ASSUMP_AGENTIC_CONTEXT_PENALTY</t>
        </is>
      </c>
      <c r="L4128" s="3" t="inlineStr">
        <is>
          <t>Company fleet inventory, accelerator-hours or procurement/deployment records by GPU generation.</t>
        </is>
      </c>
    </row>
    <row r="4129">
      <c r="A4129" s="3" t="inlineStr">
        <is>
          <t>Tencent</t>
        </is>
      </c>
      <c r="B4129" s="3" t="n">
        <v>2030</v>
      </c>
      <c r="C4129" s="3" t="inlineStr">
        <is>
          <t>Grid-Constrained / Efficiency-Upside</t>
        </is>
      </c>
      <c r="D4129" s="3" t="inlineStr">
        <is>
          <t>gb200_share</t>
        </is>
      </c>
      <c r="E4129" s="3" t="n">
        <v>0.55</v>
      </c>
      <c r="F4129" s="3" t="inlineStr">
        <is>
          <t>share of inference-serving accelerator load</t>
        </is>
      </c>
      <c r="G4129" s="3" t="inlineStr">
        <is>
          <t>Editable numeric scenario</t>
        </is>
      </c>
      <c r="H4129" s="3" t="inlineStr">
        <is>
          <t>gb200_share = gpu_share * default_gpu_generation_mix_gb200</t>
        </is>
      </c>
      <c r="I4129" s="3" t="inlineStr">
        <is>
          <t>Default GPU-generation migration assumption; executive workbook allows later manual replacement by company/year/scenario.</t>
        </is>
      </c>
      <c r="J4129" s="3" t="inlineStr">
        <is>
          <t>SRC_SEMIANALYSIS_INFERENCEX; ASSUMP_NUMERIC_ACCELERATOR_MIX</t>
        </is>
      </c>
      <c r="K4129" s="3" t="inlineStr">
        <is>
          <t>ASSUMP_CN_CAPACITY_TRANSPARENCY; ASSUMP_APP_EMBEDDING; ASSUMP_NUMERIC_ACCELERATOR_MIX; ASSUMP_INFERENCE_SHARE_NOT_FACT_60; ASSUMP_WORKLOAD_CLASS_MIX; ASSUMP_AGENTIC_CONTEXT_PENALTY</t>
        </is>
      </c>
      <c r="L4129" s="3" t="inlineStr">
        <is>
          <t>Company fleet inventory, accelerator-hours or procurement/deployment records by GPU generation.</t>
        </is>
      </c>
    </row>
    <row r="4130">
      <c r="A4130" s="3" t="inlineStr">
        <is>
          <t>Tencent</t>
        </is>
      </c>
      <c r="B4130" s="3" t="n">
        <v>2030</v>
      </c>
      <c r="C4130" s="3" t="inlineStr">
        <is>
          <t>Grid-Constrained / Efficiency-Upside</t>
        </is>
      </c>
      <c r="D4130" s="3" t="inlineStr">
        <is>
          <t>purpose_built_accelerator_share</t>
        </is>
      </c>
      <c r="E4130" s="3" t="n">
        <v>0</v>
      </c>
      <c r="F4130" s="3" t="inlineStr">
        <is>
          <t>share of inference-serving accelerator load</t>
        </is>
      </c>
      <c r="G4130" s="3" t="inlineStr">
        <is>
          <t>Numeric scenario</t>
        </is>
      </c>
      <c r="H4130" s="3" t="inlineStr">
        <is>
          <t>1 - gpu_share</t>
        </is>
      </c>
      <c r="I4130" s="3" t="inlineStr">
        <is>
          <t>Purpose-built bucket: No disclosed Hunyuan operated ASIC share. Derived by capacity-weighting 02a_DC_Capacity_Alloc rows against 02b_DC_Accelerator_Mix rows, using inference-weighted capacity only. Tencent discloses Hunyuan services, AI Infra and Hunyuan Turbo MoE efficiency direction, but not operated accelerator mix. Base remains GPU-reference.</t>
        </is>
      </c>
      <c r="J4130" s="3" t="inlineStr">
        <is>
          <t>SRC_TENCENT_HUNYUAN; SRC_TENCENT_HY3; SRC_TENCENT_AI_INFRA_MOE; SRC_EPOCH_AI_DATA_CENTERS; ASSUMP_NUMERIC_ACCELERATOR_MIX</t>
        </is>
      </c>
      <c r="K4130" s="3" t="inlineStr">
        <is>
          <t>ASSUMP_CN_CAPACITY_TRANSPARENCY; ASSUMP_APP_EMBEDDING; ASSUMP_NUMERIC_ACCELERATOR_MIX; ASSUMP_INFERENCE_SHARE_NOT_FACT_60; ASSUMP_WORKLOAD_CLASS_MIX; ASSUMP_AGENTIC_CONTEXT_PENALTY</t>
        </is>
      </c>
      <c r="L4130" s="3" t="inlineStr">
        <is>
          <t>Replace 02a datacenter capacity allocations and 02b datacenter accelerator mix with contract/procurement telemetry. Tencent-operated Hunyuan hardware split and output-token serving benchmark.</t>
        </is>
      </c>
    </row>
    <row r="4131">
      <c r="A4131" s="3" t="inlineStr">
        <is>
          <t>Tencent</t>
        </is>
      </c>
      <c r="B4131" s="3" t="n">
        <v>2030</v>
      </c>
      <c r="C4131" s="3" t="inlineStr">
        <is>
          <t>Grid-Constrained / Efficiency-Upside</t>
        </is>
      </c>
      <c r="D4131" s="3" t="inlineStr">
        <is>
          <t>fleet_reference_tps_per_mw</t>
        </is>
      </c>
      <c r="E4131" s="3" t="n">
        <v>3392622</v>
      </c>
      <c r="F4131" s="3" t="inlineStr">
        <is>
          <t>generated output tokens/sec/MW</t>
        </is>
      </c>
      <c r="G4131" s="3" t="inlineStr">
        <is>
          <t>Fleet-weighted public benchmark reference</t>
        </is>
      </c>
      <c r="H4131" s="3" t="inlineStr">
        <is>
          <t>h200_share*h200_workload_avg + b200_share*b200_workload_avg + gb200_share*gb200_workload_avg + purpose_built_share*purpose_workload_avg</t>
        </is>
      </c>
      <c r="I4131" s="3" t="inlineStr">
        <is>
          <t>Selected InferenceX proxy model: gptoss120b. Each GPU-generation reference first averages short_chat, long_chat and agentic TPS/MW using company workload mix; purpose-built remains a documented B200 placeholder.</t>
        </is>
      </c>
      <c r="J4131" s="3" t="inlineStr">
        <is>
          <t>SRC_SEMIANALYSIS_INFERENCEX; ASSUMP_NUMERIC_ACCELERATOR_MIX; ASSUMP_WORKLOAD_CLASS_MIX; ASSUMP_AGENTIC_CONTEXT_PENALTY</t>
        </is>
      </c>
      <c r="K4131" s="3" t="inlineStr">
        <is>
          <t>ASSUMP_CN_CAPACITY_TRANSPARENCY; ASSUMP_APP_EMBEDDING; ASSUMP_NUMERIC_ACCELERATOR_MIX; ASSUMP_INFERENCE_SHARE_NOT_FACT_60; ASSUMP_WORKLOAD_CLASS_MIX; ASSUMP_AGENTIC_CONTEXT_PENALTY</t>
        </is>
      </c>
      <c r="L4131" s="3" t="inlineStr">
        <is>
          <t>Comparable production output-token throughput or a more closely matched benchmark.</t>
        </is>
      </c>
    </row>
    <row r="4132">
      <c r="A4132" s="3" t="inlineStr">
        <is>
          <t>Tencent</t>
        </is>
      </c>
      <c r="B4132" s="3" t="n">
        <v>2030</v>
      </c>
      <c r="C4132" s="3" t="inlineStr">
        <is>
          <t>Grid-Constrained / Efficiency-Upside</t>
        </is>
      </c>
      <c r="D4132" s="3" t="inlineStr">
        <is>
          <t>commercial_workload_fit_factor</t>
        </is>
      </c>
      <c r="E4132" s="3" t="n">
        <v>0.6</v>
      </c>
      <c r="F4132" s="3" t="inlineStr">
        <is>
          <t>share of public reference throughput</t>
        </is>
      </c>
      <c r="G4132" s="3" t="inlineStr">
        <is>
          <t>Scenario assumption</t>
        </is>
      </c>
      <c r="H4132" s="3" t="inlineStr">
        <is>
          <t>reference_serving_tps_per_mw = fleet_reference_tps_per_mw * commercial_workload_fit_factor</t>
        </is>
      </c>
      <c r="I4132" s="3" t="inlineStr">
        <is>
          <t>Commercial workload class: Hunyuan consumer and enterprise assistant. Company mix uses short_chat=65%, long_chat=25%, agentic=10%; closed-model, reasoning, long-context and SLO mismatch stays explicit.</t>
        </is>
      </c>
      <c r="J4132" s="3" t="inlineStr">
        <is>
          <t>SRC_SEMIANALYSIS_INFERENCEX; ASSUMP_NUMERIC_ACCELERATOR_MIX; ASSUMP_WORKLOAD_CLASS_MIX; ASSUMP_AGENTIC_CONTEXT_PENALTY</t>
        </is>
      </c>
      <c r="K4132" s="3" t="inlineStr">
        <is>
          <t>ASSUMP_CN_CAPACITY_TRANSPARENCY; ASSUMP_APP_EMBEDDING; ASSUMP_NUMERIC_ACCELERATOR_MIX; ASSUMP_INFERENCE_SHARE_NOT_FACT_60; ASSUMP_WORKLOAD_CLASS_MIX; ASSUMP_AGENTIC_CONTEXT_PENALTY</t>
        </is>
      </c>
      <c r="L4132" s="3" t="inlineStr">
        <is>
          <t>Matched commercial serving benchmark by product surface, context shape and latency SLO.</t>
        </is>
      </c>
    </row>
    <row r="4133">
      <c r="A4133" s="3" t="inlineStr">
        <is>
          <t>Tencent</t>
        </is>
      </c>
      <c r="B4133" s="3" t="n">
        <v>2030</v>
      </c>
      <c r="C4133" s="3" t="inlineStr">
        <is>
          <t>Grid-Constrained / Efficiency-Upside</t>
        </is>
      </c>
      <c r="D4133" s="3" t="inlineStr">
        <is>
          <t>reference_serving_tps_per_mw</t>
        </is>
      </c>
      <c r="E4133" s="3" t="n">
        <v>2035573</v>
      </c>
      <c r="F4133" s="3" t="inlineStr">
        <is>
          <t>generated output tokens/sec/MW</t>
        </is>
      </c>
      <c r="G4133" s="3" t="inlineStr">
        <is>
          <t>Workload-adjusted benchmark proxy</t>
        </is>
      </c>
      <c r="H4133" s="3" t="inlineStr">
        <is>
          <t>fleet_reference_tps_per_mw * commercial_workload_fit_factor</t>
        </is>
      </c>
      <c r="I4133" s="3" t="inlineStr">
        <is>
          <t>This is the coefficient used for headline token generation; each GPU's short chat, long chat and agentic TPS/MW are weighted before fleet mix and commercial fit are applied.</t>
        </is>
      </c>
      <c r="J4133" s="3" t="inlineStr">
        <is>
          <t>SRC_SEMIANALYSIS_INFERENCEX; ASSUMP_NUMERIC_ACCELERATOR_MIX; ASSUMP_WORKLOAD_CLASS_MIX; ASSUMP_AGENTIC_CONTEXT_PENALTY</t>
        </is>
      </c>
      <c r="K4133" s="3" t="inlineStr">
        <is>
          <t>ASSUMP_CN_CAPACITY_TRANSPARENCY; ASSUMP_APP_EMBEDDING; ASSUMP_NUMERIC_ACCELERATOR_MIX; ASSUMP_INFERENCE_SHARE_NOT_FACT_60; ASSUMP_WORKLOAD_CLASS_MIX; ASSUMP_AGENTIC_CONTEXT_PENALTY</t>
        </is>
      </c>
      <c r="L4133" s="3" t="inlineStr">
        <is>
          <t>Provider production output-token throughput with comparable workload/SLO.</t>
        </is>
      </c>
    </row>
    <row r="4134">
      <c r="A4134" s="3" t="inlineStr">
        <is>
          <t>Tencent</t>
        </is>
      </c>
      <c r="B4134" s="3" t="n">
        <v>2030</v>
      </c>
      <c r="C4134" s="3" t="inlineStr">
        <is>
          <t>Grid-Constrained / Efficiency-Upside</t>
        </is>
      </c>
      <c r="D4134" s="3" t="inlineStr">
        <is>
          <t>purpose_built_tps_per_mw</t>
        </is>
      </c>
      <c r="E4134" s="3" t="n">
        <v>2710180</v>
      </c>
      <c r="F4134" s="3" t="inlineStr">
        <is>
          <t>generated output tokens/sec/MW</t>
        </is>
      </c>
      <c r="G4134" s="3" t="inlineStr">
        <is>
          <t>Conservative no-uplift proxy</t>
        </is>
      </c>
      <c r="H4134" s="3" t="inlineStr">
        <is>
          <t>purpose_built_tps_per_mw = purpose_built_reference_tps_per_mw * commercial_workload_fit_factor until comparable output-token benchmark is adopted</t>
        </is>
      </c>
      <c r="I4134" s="3" t="inlineStr">
        <is>
          <t>No comparable public output-token/MW row adopted; B200 public reference placeholder is used and remains editable.</t>
        </is>
      </c>
      <c r="J4134" s="3" t="inlineStr">
        <is>
          <t>SRC_TENCENT_HUNYUAN; SRC_TENCENT_HY3; SRC_TENCENT_AI_INFRA_MOE; SRC_EPOCH_AI_DATA_CENTERS; ASSUMP_NUMERIC_ACCELERATOR_MIX</t>
        </is>
      </c>
      <c r="K4134" s="3" t="inlineStr">
        <is>
          <t>ASSUMP_CN_CAPACITY_TRANSPARENCY; ASSUMP_APP_EMBEDDING; ASSUMP_NUMERIC_ACCELERATOR_MIX; ASSUMP_INFERENCE_SHARE_NOT_FACT_60; ASSUMP_WORKLOAD_CLASS_MIX; ASSUMP_AGENTIC_CONTEXT_PENALTY</t>
        </is>
      </c>
      <c r="L4134" s="3" t="inlineStr">
        <is>
          <t>Matched-workload generated-output benchmark for the provider purpose-built accelerator.</t>
        </is>
      </c>
    </row>
    <row r="4135">
      <c r="A4135" s="3" t="inlineStr">
        <is>
          <t>Tencent</t>
        </is>
      </c>
      <c r="B4135" s="3" t="n">
        <v>2030</v>
      </c>
      <c r="C4135" s="3" t="inlineStr">
        <is>
          <t>Grid-Constrained / Efficiency-Upside</t>
        </is>
      </c>
      <c r="D4135" s="3" t="inlineStr">
        <is>
          <t>inference_power_share</t>
        </is>
      </c>
      <c r="E4135" s="3" t="n">
        <v>0.84</v>
      </c>
      <c r="F4135" s="3" t="inlineStr">
        <is>
          <t>share of AI IT load</t>
        </is>
      </c>
      <c r="G4135" s="3" t="inlineStr">
        <is>
          <t>Scenario allocation</t>
        </is>
      </c>
      <c r="H4135" s="3" t="inlineStr">
        <is>
          <t>inference_gw = ai_it_load_gw * inference_power_share</t>
        </is>
      </c>
      <c r="I4135" s="3" t="inlineStr">
        <is>
          <t>Yuanbao and embedded product surfaces plus Hunyuan Turbo inference-cost direction support rising inference allocation.</t>
        </is>
      </c>
      <c r="J4135" s="3" t="inlineStr">
        <is>
          <t>SRC_TENCENT_HUNYUAN; SRC_TENCENT_HY3; SRC_TENCENT_AI_INFRA_MOE; SRC_EPOCH_AI_DATA_CENTERS; ASSUMP_INFERENCE_SHARE_NOT_FACT_60</t>
        </is>
      </c>
      <c r="K4135" s="3" t="inlineStr">
        <is>
          <t>ASSUMP_CN_CAPACITY_TRANSPARENCY; ASSUMP_APP_EMBEDDING; ASSUMP_NUMERIC_ACCELERATOR_MIX; ASSUMP_INFERENCE_SHARE_NOT_FACT_60; ASSUMP_WORKLOAD_CLASS_MIX; ASSUMP_AGENTIC_CONTEXT_PENALTY</t>
        </is>
      </c>
      <c r="L4135" s="3" t="inlineStr">
        <is>
          <t>Provider-specific inference/training workload power telemetry.</t>
        </is>
      </c>
    </row>
    <row r="4136">
      <c r="A4136" s="3" t="inlineStr">
        <is>
          <t>Tencent</t>
        </is>
      </c>
      <c r="B4136" s="3" t="n">
        <v>2030</v>
      </c>
      <c r="C4136" s="3" t="inlineStr">
        <is>
          <t>Grid-Constrained / Efficiency-Upside</t>
        </is>
      </c>
      <c r="D4136" s="3" t="inlineStr">
        <is>
          <t>inference_gw</t>
        </is>
      </c>
      <c r="E4136" s="3" t="n">
        <v>0.991</v>
      </c>
      <c r="F4136" s="3" t="inlineStr">
        <is>
          <t>GW</t>
        </is>
      </c>
      <c r="G4136" s="3" t="inlineStr">
        <is>
          <t>Derived formula</t>
        </is>
      </c>
      <c r="H4136" s="3" t="inlineStr">
        <is>
          <t>ai_it_load_gw * inference_power_share</t>
        </is>
      </c>
      <c r="I4136" s="3" t="inlineStr">
        <is>
          <t>This is the operational power eligible to become commercial generated output tokens through the selected TPS/MW proxy.</t>
        </is>
      </c>
      <c r="J4136" s="3" t="inlineStr">
        <is>
          <t>SRC_TENCENT_HUNYUAN; SRC_TENCENT_HY3; SRC_TENCENT_AI_INFRA_MOE; SRC_EPOCH_AI_DATA_CENTERS</t>
        </is>
      </c>
      <c r="K4136" s="3" t="inlineStr">
        <is>
          <t>ASSUMP_CN_CAPACITY_TRANSPARENCY; ASSUMP_APP_EMBEDDING; ASSUMP_NUMERIC_ACCELERATOR_MIX; ASSUMP_INFERENCE_SHARE_NOT_FACT_60; ASSUMP_WORKLOAD_CLASS_MIX; ASSUMP_AGENTIC_CONTEXT_PENALTY</t>
        </is>
      </c>
      <c r="L4136" s="3" t="inlineStr">
        <is>
          <t>Recompute after AI allocation or inference-share evidence changes.</t>
        </is>
      </c>
    </row>
    <row r="4137">
      <c r="A4137" s="3" t="inlineStr">
        <is>
          <t>Tencent</t>
        </is>
      </c>
      <c r="B4137" s="3" t="n">
        <v>2030</v>
      </c>
      <c r="C4137" s="3" t="inlineStr">
        <is>
          <t>Grid-Constrained / Efficiency-Upside</t>
        </is>
      </c>
      <c r="D4137" s="3" t="inlineStr">
        <is>
          <t>training_power_share</t>
        </is>
      </c>
      <c r="E4137" s="3" t="n">
        <v>0.16</v>
      </c>
      <c r="F4137" s="3" t="inlineStr">
        <is>
          <t>share of AI IT load</t>
        </is>
      </c>
      <c r="G4137" s="3" t="inlineStr">
        <is>
          <t>Derived allocation</t>
        </is>
      </c>
      <c r="H4137" s="3" t="inlineStr">
        <is>
          <t>1 - inference_power_share</t>
        </is>
      </c>
      <c r="I4137" s="3" t="inlineStr">
        <is>
          <t>Training receives the complementary modeled AI IT allocation; it is not a disclosed company workload split.</t>
        </is>
      </c>
      <c r="J4137" s="3" t="inlineStr">
        <is>
          <t>SRC_TENCENT_HUNYUAN; SRC_TENCENT_HY3; SRC_TENCENT_AI_INFRA_MOE; SRC_EPOCH_AI_DATA_CENTERS; ASSUMP_INFERENCE_SHARE_NOT_FACT_60</t>
        </is>
      </c>
      <c r="K4137" s="3" t="inlineStr">
        <is>
          <t>ASSUMP_CN_CAPACITY_TRANSPARENCY; ASSUMP_APP_EMBEDDING; ASSUMP_NUMERIC_ACCELERATOR_MIX; ASSUMP_INFERENCE_SHARE_NOT_FACT_60; ASSUMP_WORKLOAD_CLASS_MIX; ASSUMP_AGENTIC_CONTEXT_PENALTY</t>
        </is>
      </c>
      <c r="L4137" s="3" t="inlineStr">
        <is>
          <t>Provider-specific inference/training workload power telemetry.</t>
        </is>
      </c>
    </row>
    <row r="4138">
      <c r="A4138" s="3" t="inlineStr">
        <is>
          <t>Tencent</t>
        </is>
      </c>
      <c r="B4138" s="3" t="n">
        <v>2030</v>
      </c>
      <c r="C4138" s="3" t="inlineStr">
        <is>
          <t>Grid-Constrained / Efficiency-Upside</t>
        </is>
      </c>
      <c r="D4138" s="3" t="inlineStr">
        <is>
          <t>training_gw</t>
        </is>
      </c>
      <c r="E4138" s="3" t="n">
        <v>0.189</v>
      </c>
      <c r="F4138" s="3" t="inlineStr">
        <is>
          <t>GW</t>
        </is>
      </c>
      <c r="G4138" s="3" t="inlineStr">
        <is>
          <t>Derived formula</t>
        </is>
      </c>
      <c r="H4138" s="3" t="inlineStr">
        <is>
          <t>ai_it_load_gw * training_power_share</t>
        </is>
      </c>
      <c r="I4138" s="3" t="inlineStr">
        <is>
          <t>Training GW is shown separately so commercial inference token capacity is not overstated.</t>
        </is>
      </c>
      <c r="J4138" s="3" t="inlineStr">
        <is>
          <t>SRC_TENCENT_HUNYUAN; SRC_TENCENT_HY3; SRC_TENCENT_AI_INFRA_MOE; SRC_EPOCH_AI_DATA_CENTERS</t>
        </is>
      </c>
      <c r="K4138" s="3" t="inlineStr">
        <is>
          <t>ASSUMP_CN_CAPACITY_TRANSPARENCY; ASSUMP_APP_EMBEDDING; ASSUMP_NUMERIC_ACCELERATOR_MIX; ASSUMP_INFERENCE_SHARE_NOT_FACT_60; ASSUMP_WORKLOAD_CLASS_MIX; ASSUMP_AGENTIC_CONTEXT_PENALTY</t>
        </is>
      </c>
      <c r="L4138" s="3" t="inlineStr">
        <is>
          <t>Recompute after AI allocation or workload-split evidence changes.</t>
        </is>
      </c>
    </row>
    <row r="4139">
      <c r="A4139" s="3" t="inlineStr">
        <is>
          <t>Tencent</t>
        </is>
      </c>
      <c r="B4139" s="3" t="n">
        <v>2030</v>
      </c>
      <c r="C4139" s="3" t="inlineStr">
        <is>
          <t>Grid-Constrained / Efficiency-Upside</t>
        </is>
      </c>
      <c r="D4139" s="3" t="inlineStr">
        <is>
          <t>tokens_per_second_per_mw</t>
        </is>
      </c>
      <c r="E4139" s="3" t="n">
        <v>2035573</v>
      </c>
      <c r="F4139" s="3" t="inlineStr">
        <is>
          <t>generated output tokens/sec/MW</t>
        </is>
      </c>
      <c r="G4139" s="3" t="inlineStr">
        <is>
          <t>Derived estimate + benchmark calibration</t>
        </is>
      </c>
      <c r="H4139" s="3" t="inlineStr">
        <is>
          <t>fleet_reference_tps_per_mw * commercial_workload_fit_factor</t>
        </is>
      </c>
      <c r="I4139" s="3" t="inlineStr">
        <is>
          <t>GPT-OSS 120B B200 output-token benchmark proxy pending a comparable Hunyuan output-token benchmark. Workload reference is now split into short_chat, long_chat and agentic classes. Company mix: short 65%, long 25%, agentic 10%. Commercial workload fit factor: Hunyuan is not represented by a matched public TPS/MW row; GPT-OSS is used only as a reference ceiling. Hunyuan/Yuanbao and WeChat/Tencent Cloud surfaces are modeled as consumer/business chat-heavy; agentic action use is emerging but lower in Base.</t>
        </is>
      </c>
      <c r="J4139" s="3" t="inlineStr">
        <is>
          <t>SRC_TENCENT_HUNYUAN; SRC_TENCENT_HY3; SRC_TENCENT_AI_INFRA_MOE; SRC_EPOCH_AI_DATA_CENTERS; SRC_SEMIANALYSIS_INFERENCEX; ASSUMP_NUMERIC_ACCELERATOR_MIX; ASSUMP_WORKLOAD_CLASS_MIX; ASSUMP_AGENTIC_CONTEXT_PENALTY</t>
        </is>
      </c>
      <c r="K4139" s="3" t="inlineStr">
        <is>
          <t>ASSUMP_CN_CAPACITY_TRANSPARENCY; ASSUMP_APP_EMBEDDING; ASSUMP_NUMERIC_ACCELERATOR_MIX; ASSUMP_INFERENCE_SHARE_NOT_FACT_60; ASSUMP_WORKLOAD_CLASS_MIX; ASSUMP_AGENTIC_CONTEXT_PENALTY</t>
        </is>
      </c>
      <c r="L4139" s="3" t="inlineStr">
        <is>
          <t>Comparable production output-token throughput with model, hardware, precision, ISL/OSL and SLO matched.</t>
        </is>
      </c>
    </row>
    <row r="4140">
      <c r="A4140" s="3" t="inlineStr">
        <is>
          <t>Tencent</t>
        </is>
      </c>
      <c r="B4140" s="3" t="n">
        <v>2030</v>
      </c>
      <c r="C4140" s="3" t="inlineStr">
        <is>
          <t>Grid-Constrained / Efficiency-Upside</t>
        </is>
      </c>
      <c r="D4140" s="3" t="inlineStr">
        <is>
          <t>inference_tokens_per_day</t>
        </is>
      </c>
      <c r="E4140" s="3" t="n">
        <v>174290645635200</v>
      </c>
      <c r="F4140" s="3" t="inlineStr">
        <is>
          <t>generated output tokens/day</t>
        </is>
      </c>
      <c r="G4140" s="3" t="inlineStr">
        <is>
          <t>Derived headline metric</t>
        </is>
      </c>
      <c r="H4140" s="3" t="inlineStr">
        <is>
          <t>inference_gw * 1000 * tokens_per_second_per_mw * 86,400</t>
        </is>
      </c>
      <c r="I4140" s="3" t="inlineStr">
        <is>
          <t>Headline capacity uses no utilization, MoE, architecture or software-growth multiplier; it is not observed commercial output volume.</t>
        </is>
      </c>
      <c r="J4140" s="3" t="inlineStr">
        <is>
          <t>SRC_TENCENT_HUNYUAN; SRC_TENCENT_HY3; SRC_TENCENT_AI_INFRA_MOE; SRC_EPOCH_AI_DATA_CENTERS; SRC_SEMIANALYSIS_INFERENCEX</t>
        </is>
      </c>
      <c r="K4140" s="3" t="inlineStr">
        <is>
          <t>ASSUMP_CN_CAPACITY_TRANSPARENCY; ASSUMP_APP_EMBEDDING; ASSUMP_NUMERIC_ACCELERATOR_MIX; ASSUMP_INFERENCE_SHARE_NOT_FACT_60; ASSUMP_WORKLOAD_CLASS_MIX; ASSUMP_AGENTIC_CONTEXT_PENALTY</t>
        </is>
      </c>
      <c r="L4140" s="3" t="inlineStr">
        <is>
          <t>Provider-disclosed generated output token volume or calibrated capacity telemetry.</t>
        </is>
      </c>
    </row>
    <row r="4141">
      <c r="A4141" s="3" t="inlineStr">
        <is>
          <t>Tencent</t>
        </is>
      </c>
      <c r="B4141" s="3" t="n">
        <v>2030</v>
      </c>
      <c r="C4141" s="3" t="inlineStr">
        <is>
          <t>Grid-Constrained / Efficiency-Upside</t>
        </is>
      </c>
      <c r="D4141" s="3" t="inlineStr">
        <is>
          <t>inference_tokens_per_year</t>
        </is>
      </c>
      <c r="E4141" s="3" t="n">
        <v>6.3616085656848e+16</v>
      </c>
      <c r="F4141" s="3" t="inlineStr">
        <is>
          <t>generated output tokens/year</t>
        </is>
      </c>
      <c r="G4141" s="3" t="inlineStr">
        <is>
          <t>Derived headline metric</t>
        </is>
      </c>
      <c r="H4141" s="3" t="inlineStr">
        <is>
          <t>inference_tokens_per_day * 365</t>
        </is>
      </c>
      <c r="I4141" s="3" t="inlineStr">
        <is>
          <t>Annualized version of generated output token capacity; it is not observed annual demand or billable volume.</t>
        </is>
      </c>
      <c r="J4141" s="3" t="inlineStr">
        <is>
          <t>SRC_TENCENT_HUNYUAN; SRC_TENCENT_HY3; SRC_TENCENT_AI_INFRA_MOE; SRC_EPOCH_AI_DATA_CENTERS; SRC_SEMIANALYSIS_INFERENCEX</t>
        </is>
      </c>
      <c r="K4141" s="3" t="inlineStr">
        <is>
          <t>ASSUMP_CN_CAPACITY_TRANSPARENCY; ASSUMP_APP_EMBEDDING; ASSUMP_NUMERIC_ACCELERATOR_MIX; ASSUMP_INFERENCE_SHARE_NOT_FACT_60; ASSUMP_WORKLOAD_CLASS_MIX; ASSUMP_AGENTIC_CONTEXT_PENALTY</t>
        </is>
      </c>
      <c r="L4141" s="3" t="inlineStr">
        <is>
          <t>Provider-disclosed annual generated-output volume or metered serving telemetry.</t>
        </is>
      </c>
    </row>
  </sheetData>
  <autoFilter ref="A1:L414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30" customWidth="1" min="3" max="3"/>
    <col width="28" customWidth="1" min="4" max="4"/>
    <col width="42" customWidth="1" min="5" max="5"/>
    <col width="58" customWidth="1" min="6" max="6"/>
    <col width="50" customWidth="1" min="7" max="7"/>
    <col width="42" customWidth="1" min="8" max="8"/>
    <col width="36" customWidth="1" min="9" max="9"/>
    <col width="38" customWidth="1" min="10" max="10"/>
  </cols>
  <sheetData>
    <row r="1">
      <c r="A1" s="4" t="inlineStr">
        <is>
          <t>company</t>
        </is>
      </c>
      <c r="B1" s="4" t="inlineStr">
        <is>
          <t>metric</t>
        </is>
      </c>
      <c r="C1" s="4" t="inlineStr">
        <is>
          <t>model_value_base_2026_2030</t>
        </is>
      </c>
      <c r="D1" s="4" t="inlineStr">
        <is>
          <t>evidence_class</t>
        </is>
      </c>
      <c r="E1" s="4" t="inlineStr">
        <is>
          <t>confirmed_public_fact_or_disclosure_gap</t>
        </is>
      </c>
      <c r="F1" s="4" t="inlineStr">
        <is>
          <t>source_ids</t>
        </is>
      </c>
      <c r="G1" s="4" t="inlineStr">
        <is>
          <t>fact_anchor_ids</t>
        </is>
      </c>
      <c r="H1" s="4" t="inlineStr">
        <is>
          <t>why_modelled_value_is_not_a_fact</t>
        </is>
      </c>
      <c r="I1" s="4" t="inlineStr">
        <is>
          <t>replacement_path</t>
        </is>
      </c>
      <c r="J1" s="4" t="inlineStr">
        <is>
          <t>audit_status</t>
        </is>
      </c>
    </row>
    <row r="2">
      <c r="A2" s="3" t="inlineStr">
        <is>
          <t>Microsoft</t>
        </is>
      </c>
      <c r="B2" s="3" t="inlineStr">
        <is>
          <t>commercial_model_and_parameter_anchor</t>
        </is>
      </c>
      <c r="C2" s="3" t="inlineStr">
        <is>
          <t>Phi 공개모델: 3B-14B급; MAI/대형 Copilot 모델: undisclosed band / active: Phi: dense disclosed; MAI/Copilot: closed band</t>
        </is>
      </c>
      <c r="D2" s="3" t="inlineStr">
        <is>
          <t>Official numeric fact or explicit disclosure gap</t>
        </is>
      </c>
      <c r="E2" s="3" t="inlineStr">
        <is>
          <t>14B Phi-4 parameters</t>
        </is>
      </c>
      <c r="F2" s="3" t="inlineStr">
        <is>
          <t>SRC_MS_PHI4_TECHREPORT</t>
        </is>
      </c>
      <c r="G2" s="3" t="inlineStr">
        <is>
          <t>FACT_MS_PHI4_14B</t>
        </is>
      </c>
      <c r="H2" s="3" t="inlineStr">
        <is>
          <t>The model family is sourced; closed-model bands are not disclosed parameter values.</t>
        </is>
      </c>
      <c r="I2" s="3" t="inlineStr">
        <is>
          <t>Official model card or technical report with total/active parameters for the served commercial model.</t>
        </is>
      </c>
      <c r="J2" s="3" t="inlineStr">
        <is>
          <t>Public anchor registered; verbatim source-line sign-off required before describing a modeled value as confirmed.</t>
        </is>
      </c>
    </row>
    <row r="3">
      <c r="A3" s="3" t="inlineStr">
        <is>
          <t>Microsoft</t>
        </is>
      </c>
      <c r="B3" s="3" t="inlineStr">
        <is>
          <t>contracted_or_attributed_capacity_gw</t>
        </is>
      </c>
      <c r="C3" s="3" t="inlineStr">
        <is>
          <t>4.000 -&gt; 9.000 GW</t>
        </is>
      </c>
      <c r="D3" s="3" t="inlineStr">
        <is>
          <t>Rational scenario with platform or cluster-direction support</t>
        </is>
      </c>
      <c r="E3" s="3" t="inlineStr">
        <is>
          <t>No company model-serving GW disclosure adopted.</t>
        </is>
      </c>
      <c r="F3" s="3" t="inlineStr">
        <is>
          <t>SRC_MS_MAIA200</t>
        </is>
      </c>
      <c r="G3" s="3" t="inlineStr"/>
      <c r="H3" s="3" t="inlineStr">
        <is>
          <t>The endpoint is a model-owner capacity envelope; it equals neither active inference power nor a universally disclosed contract.</t>
        </is>
      </c>
      <c r="I3" s="3" t="inlineStr">
        <is>
          <t>Company/site-level committed MW/GW disclosure with scope, online date and owner attribution.</t>
        </is>
      </c>
      <c r="J3" s="3" t="inlineStr">
        <is>
          <t>Public anchor registered; verbatim source-line sign-off required before describing a modeled value as confirmed.</t>
        </is>
      </c>
    </row>
    <row r="4">
      <c r="A4" s="3" t="inlineStr">
        <is>
          <t>Microsoft</t>
        </is>
      </c>
      <c r="B4" s="3" t="inlineStr">
        <is>
          <t>active_power_gw</t>
        </is>
      </c>
      <c r="C4" s="3" t="inlineStr">
        <is>
          <t>1.800 -&gt; 6.200 GW</t>
        </is>
      </c>
      <c r="D4" s="3" t="inlineStr">
        <is>
          <t>Rational operational-deployment scenario</t>
        </is>
      </c>
      <c r="E4" s="3" t="inlineStr">
        <is>
          <t>No adopted official active LLM-serving GW telemetry.</t>
        </is>
      </c>
      <c r="F4" s="3" t="inlineStr">
        <is>
          <t>SRC_MS_MAIA200</t>
        </is>
      </c>
      <c r="G4" s="3" t="inlineStr"/>
      <c r="H4" s="3" t="inlineStr">
        <is>
          <t>Active capacity requires energization, racks, cooling, networking and accelerator deployment, none disclosed at the modeled time series granularity.</t>
        </is>
      </c>
      <c r="I4" s="3" t="inlineStr">
        <is>
          <t>Site-level energization and operational accelerator-rack telemetry.</t>
        </is>
      </c>
      <c r="J4" s="3" t="inlineStr">
        <is>
          <t>Public anchor registered; verbatim source-line sign-off required before describing a modeled value as confirmed.</t>
        </is>
      </c>
    </row>
    <row r="5">
      <c r="A5" s="3" t="inlineStr">
        <is>
          <t>Microsoft</t>
        </is>
      </c>
      <c r="B5" s="3" t="inlineStr">
        <is>
          <t>operational_deployment_share</t>
        </is>
      </c>
      <c r="C5" s="3" t="inlineStr">
        <is>
          <t>45% -&gt; 69%</t>
        </is>
      </c>
      <c r="D5" s="3" t="inlineStr">
        <is>
          <t>Rational operational-deployment scenario</t>
        </is>
      </c>
      <c r="E5" s="3" t="inlineStr">
        <is>
          <t>No adopted official operational deployment share of attributed LLM-serving capacity.</t>
        </is>
      </c>
      <c r="F5" s="3" t="inlineStr">
        <is>
          <t>SRC_MS_MAIA200</t>
        </is>
      </c>
      <c r="G5" s="3" t="inlineStr"/>
      <c r="H5" s="3" t="inlineStr">
        <is>
          <t>This single conversion assumption is required because contracted capacity does not automatically produce tokens.</t>
        </is>
      </c>
      <c r="I5" s="3" t="inlineStr">
        <is>
          <t>Site-level energized capacity divided by attributed contracted/committed capacity.</t>
        </is>
      </c>
      <c r="J5" s="3" t="inlineStr">
        <is>
          <t>Public anchor registered; verbatim source-line sign-off required before describing a modeled value as confirmed.</t>
        </is>
      </c>
    </row>
    <row r="6">
      <c r="A6" s="3" t="inlineStr">
        <is>
          <t>Microsoft</t>
        </is>
      </c>
      <c r="B6" s="3" t="inlineStr">
        <is>
          <t>ai_workload_share</t>
        </is>
      </c>
      <c r="C6" s="3" t="inlineStr">
        <is>
          <t>86% (constant Base allocation)</t>
        </is>
      </c>
      <c r="D6" s="3" t="inlineStr">
        <is>
          <t>Rational allocation assumption</t>
        </is>
      </c>
      <c r="E6" s="3" t="inlineStr">
        <is>
          <t>Public sources indicate AI platform direction but do not disclose LLM share of attributed IT power.</t>
        </is>
      </c>
      <c r="F6" s="3" t="inlineStr">
        <is>
          <t>SRC_MS_MAIA200</t>
        </is>
      </c>
      <c r="G6" s="3" t="inlineStr">
        <is>
          <t>FACT_MS_MAIA_INFERENCE</t>
        </is>
      </c>
      <c r="H6" s="3" t="inlineStr">
        <is>
          <t>AI-oriented hardware presence does not disclose what fraction runs LLM inference/training rather than other AI/platform/reserve work.</t>
        </is>
      </c>
      <c r="I6" s="3" t="inlineStr">
        <is>
          <t>Workload scheduling or accelerator-hours allocation by model surface.</t>
        </is>
      </c>
      <c r="J6" s="3" t="inlineStr">
        <is>
          <t>Public anchor registered; verbatim source-line sign-off required before describing a modeled value as confirmed.</t>
        </is>
      </c>
    </row>
    <row r="7">
      <c r="A7" s="3" t="inlineStr">
        <is>
          <t>Microsoft</t>
        </is>
      </c>
      <c r="B7" s="3" t="inlineStr">
        <is>
          <t>gpu_purpose_built_accelerator_mix</t>
        </is>
      </c>
      <c r="C7" s="3" t="inlineStr">
        <is>
          <t>GPU 100%/73%; purpose-built 0%/27%</t>
        </is>
      </c>
      <c r="D7" s="3" t="inlineStr">
        <is>
          <t>Official platform fact plus numeric scenario</t>
        </is>
      </c>
      <c r="E7" s="3" t="inlineStr">
        <is>
          <t>Maia 200 is identified as an inference accelerator for Azure/Copilot uses.</t>
        </is>
      </c>
      <c r="F7" s="3" t="inlineStr">
        <is>
          <t>SRC_MS_MAIA200</t>
        </is>
      </c>
      <c r="G7" s="3" t="inlineStr">
        <is>
          <t>FACT_MS_MAIA_INFERENCE</t>
        </is>
      </c>
      <c r="H7" s="3" t="inlineStr">
        <is>
          <t>The platform may be confirmed while serving-fleet allocation by accelerator type is not disclosed.</t>
        </is>
      </c>
      <c r="I7" s="3" t="inlineStr">
        <is>
          <t>Operated inference accelerator-hours or product/model routing split by hardware.</t>
        </is>
      </c>
      <c r="J7" s="3" t="inlineStr">
        <is>
          <t>Public anchor registered; verbatim source-line sign-off required before describing a modeled value as confirmed.</t>
        </is>
      </c>
    </row>
    <row r="8">
      <c r="A8" s="3" t="inlineStr">
        <is>
          <t>Microsoft</t>
        </is>
      </c>
      <c r="B8" s="3" t="inlineStr">
        <is>
          <t>inference_power_share</t>
        </is>
      </c>
      <c r="C8" s="3" t="inlineStr">
        <is>
          <t>55% -&gt; 75%</t>
        </is>
      </c>
      <c r="D8" s="3" t="inlineStr">
        <is>
          <t>Rational allocation assumption</t>
        </is>
      </c>
      <c r="E8" s="3" t="inlineStr">
        <is>
          <t>No adopted company-level inference/training GW split disclosure.</t>
        </is>
      </c>
      <c r="F8" s="3" t="inlineStr">
        <is>
          <t>SRC_MS_PHI; SRC_OPENAI_GPT41_DOCS; SRC_MS_PHI4_TECHREPORT; SRC_MS_MAIA200; SRC_EPOCH_AI_DATA_CENTERS</t>
        </is>
      </c>
      <c r="G8" s="3" t="inlineStr"/>
      <c r="H8" s="3" t="inlineStr">
        <is>
          <t>Product adoption direction can support a scenario but does not measure inference power share.</t>
        </is>
      </c>
      <c r="I8" s="3" t="inlineStr">
        <is>
          <t>Training and inference cluster power or accelerator-hour allocation telemetry.</t>
        </is>
      </c>
      <c r="J8" s="3" t="inlineStr">
        <is>
          <t>Public anchor registered; verbatim source-line sign-off required before describing a modeled value as confirmed.</t>
        </is>
      </c>
    </row>
    <row r="9">
      <c r="A9" s="3" t="inlineStr">
        <is>
          <t>Microsoft</t>
        </is>
      </c>
      <c r="B9" s="3" t="inlineStr">
        <is>
          <t>tokens_per_second_per_mw</t>
        </is>
      </c>
      <c r="C9" s="3" t="inlineStr">
        <is>
          <t>1,651,867 -&gt; 1,714,081 output tok/s/MW</t>
        </is>
      </c>
      <c r="D9" s="3" t="inlineStr">
        <is>
          <t>Benchmark-calibrated derived estimate</t>
        </is>
      </c>
      <c r="E9" s="3" t="inlineStr">
        <is>
          <t>No adopted company production output-token/MW telemetry; InferenceX is benchmark/proxy only.</t>
        </is>
      </c>
      <c r="F9" s="3" t="inlineStr">
        <is>
          <t>SRC_SEMIANALYSIS_INFERENCEX; SRC_MS_MAIA200</t>
        </is>
      </c>
      <c r="G9" s="3" t="inlineStr">
        <is>
          <t>FACT_MS_MAIA_INFERENCE</t>
        </is>
      </c>
      <c r="H9" s="3" t="inlineStr">
        <is>
          <t>A fixed-condition output-token benchmark proxy is selected; no additional MoE, architecture, software-growth or utilization multiplier is used in headline.</t>
        </is>
      </c>
      <c r="I9" s="3" t="inlineStr">
        <is>
          <t>Comparable output-token benchmark or production telemetry matched on model, precision, ISL/OSL and SLO.</t>
        </is>
      </c>
      <c r="J9" s="3" t="inlineStr">
        <is>
          <t>Public anchor registered; verbatim source-line sign-off required before describing a modeled value as confirmed.</t>
        </is>
      </c>
    </row>
    <row r="10">
      <c r="A10" s="3" t="inlineStr">
        <is>
          <t>Microsoft</t>
        </is>
      </c>
      <c r="B10" s="3" t="inlineStr">
        <is>
          <t>generated_output_tokens_per_day</t>
        </is>
      </c>
      <c r="C10" s="3" t="inlineStr">
        <is>
          <t>0.101Q -&gt; 0.494Q/day</t>
        </is>
      </c>
      <c r="D10" s="3" t="inlineStr">
        <is>
          <t>Formula-derived simulation output</t>
        </is>
      </c>
      <c r="E10" s="3" t="inlineStr">
        <is>
          <t>No adopted company-disclosed generated output token volume.</t>
        </is>
      </c>
      <c r="F10" s="3" t="inlineStr">
        <is>
          <t>SRC_MS_PHI; SRC_OPENAI_GPT41_DOCS; SRC_MS_PHI4_TECHREPORT; SRC_MS_MAIA200; SRC_EPOCH_AI_DATA_CENTERS</t>
        </is>
      </c>
      <c r="G10" s="3" t="inlineStr"/>
      <c r="H10" s="3" t="inlineStr">
        <is>
          <t>This value is computed only from operational inference GW and selected output-token TPS/MW; utilization is not multiplied into headline.</t>
        </is>
      </c>
      <c r="I10" s="3" t="inlineStr">
        <is>
          <t>Provider-disclosed output token volume or metered model-serving throughput.</t>
        </is>
      </c>
      <c r="J10" s="3" t="inlineStr">
        <is>
          <t>Public anchor registered; verbatim source-line sign-off required before describing a modeled value as confirmed.</t>
        </is>
      </c>
    </row>
    <row r="11">
      <c r="A11" s="3" t="inlineStr">
        <is>
          <t>Google</t>
        </is>
      </c>
      <c r="B11" s="3" t="inlineStr">
        <is>
          <t>commercial_model_and_parameter_anchor</t>
        </is>
      </c>
      <c r="C11" s="3" t="inlineStr">
        <is>
          <t>Gemini closed frontier band; Gemma 공개모델 1B-27B급 / active: Closed frontier active band; open Gemma disclosed</t>
        </is>
      </c>
      <c r="D11" s="3" t="inlineStr">
        <is>
          <t>Official numeric fact or explicit disclosure gap</t>
        </is>
      </c>
      <c r="E11" s="3" t="inlineStr">
        <is>
          <t>Gemini frontier parameter count is not publicly adopted; open Gemma is not used as Gemini size.</t>
        </is>
      </c>
      <c r="F11" s="3" t="inlineStr">
        <is>
          <t>SRC_GOOGLE_GEMINI_TOKENS</t>
        </is>
      </c>
      <c r="G11" s="3" t="inlineStr"/>
      <c r="H11" s="3" t="inlineStr">
        <is>
          <t>The model family is sourced; closed-model bands are not disclosed parameter values.</t>
        </is>
      </c>
      <c r="I11" s="3" t="inlineStr">
        <is>
          <t>Official model card or technical report with total/active parameters for the served commercial model.</t>
        </is>
      </c>
      <c r="J11" s="3" t="inlineStr">
        <is>
          <t>Public anchor registered; verbatim source-line sign-off required before describing a modeled value as confirmed.</t>
        </is>
      </c>
    </row>
    <row r="12">
      <c r="A12" s="3" t="inlineStr">
        <is>
          <t>Google</t>
        </is>
      </c>
      <c r="B12" s="3" t="inlineStr">
        <is>
          <t>contracted_or_attributed_capacity_gw</t>
        </is>
      </c>
      <c r="C12" s="3" t="inlineStr">
        <is>
          <t>4.500 -&gt; 8.000 GW</t>
        </is>
      </c>
      <c r="D12" s="3" t="inlineStr">
        <is>
          <t>Rational scenario with platform or cluster-direction support</t>
        </is>
      </c>
      <c r="E12" s="3" t="inlineStr">
        <is>
          <t>No Gemini model-serving GW disclosure adopted.</t>
        </is>
      </c>
      <c r="F12" s="3" t="inlineStr">
        <is>
          <t>SRC_GOOGLE_IRONWOOD</t>
        </is>
      </c>
      <c r="G12" s="3" t="inlineStr"/>
      <c r="H12" s="3" t="inlineStr">
        <is>
          <t>The endpoint is a model-owner capacity envelope; it equals neither active inference power nor a universally disclosed contract.</t>
        </is>
      </c>
      <c r="I12" s="3" t="inlineStr">
        <is>
          <t>Company/site-level committed MW/GW disclosure with scope, online date and owner attribution.</t>
        </is>
      </c>
      <c r="J12" s="3" t="inlineStr">
        <is>
          <t>Public anchor registered; verbatim source-line sign-off required before describing a modeled value as confirmed.</t>
        </is>
      </c>
    </row>
    <row r="13">
      <c r="A13" s="3" t="inlineStr">
        <is>
          <t>Google</t>
        </is>
      </c>
      <c r="B13" s="3" t="inlineStr">
        <is>
          <t>active_power_gw</t>
        </is>
      </c>
      <c r="C13" s="3" t="inlineStr">
        <is>
          <t>2.200 -&gt; 6.800 GW</t>
        </is>
      </c>
      <c r="D13" s="3" t="inlineStr">
        <is>
          <t>Rational operational-deployment scenario</t>
        </is>
      </c>
      <c r="E13" s="3" t="inlineStr">
        <is>
          <t>No adopted official active LLM-serving GW telemetry.</t>
        </is>
      </c>
      <c r="F13" s="3" t="inlineStr">
        <is>
          <t>SRC_GOOGLE_IRONWOOD</t>
        </is>
      </c>
      <c r="G13" s="3" t="inlineStr"/>
      <c r="H13" s="3" t="inlineStr">
        <is>
          <t>Active capacity requires energization, racks, cooling, networking and accelerator deployment, none disclosed at the modeled time series granularity.</t>
        </is>
      </c>
      <c r="I13" s="3" t="inlineStr">
        <is>
          <t>Site-level energization and operational accelerator-rack telemetry.</t>
        </is>
      </c>
      <c r="J13" s="3" t="inlineStr">
        <is>
          <t>Public anchor registered; verbatim source-line sign-off required before describing a modeled value as confirmed.</t>
        </is>
      </c>
    </row>
    <row r="14">
      <c r="A14" s="3" t="inlineStr">
        <is>
          <t>Google</t>
        </is>
      </c>
      <c r="B14" s="3" t="inlineStr">
        <is>
          <t>operational_deployment_share</t>
        </is>
      </c>
      <c r="C14" s="3" t="inlineStr">
        <is>
          <t>49% -&gt; 85%</t>
        </is>
      </c>
      <c r="D14" s="3" t="inlineStr">
        <is>
          <t>Rational operational-deployment scenario</t>
        </is>
      </c>
      <c r="E14" s="3" t="inlineStr">
        <is>
          <t>No adopted official operational deployment share of attributed LLM-serving capacity.</t>
        </is>
      </c>
      <c r="F14" s="3" t="inlineStr">
        <is>
          <t>SRC_GOOGLE_IRONWOOD</t>
        </is>
      </c>
      <c r="G14" s="3" t="inlineStr"/>
      <c r="H14" s="3" t="inlineStr">
        <is>
          <t>This single conversion assumption is required because contracted capacity does not automatically produce tokens.</t>
        </is>
      </c>
      <c r="I14" s="3" t="inlineStr">
        <is>
          <t>Site-level energized capacity divided by attributed contracted/committed capacity.</t>
        </is>
      </c>
      <c r="J14" s="3" t="inlineStr">
        <is>
          <t>Public anchor registered; verbatim source-line sign-off required before describing a modeled value as confirmed.</t>
        </is>
      </c>
    </row>
    <row r="15">
      <c r="A15" s="3" t="inlineStr">
        <is>
          <t>Google</t>
        </is>
      </c>
      <c r="B15" s="3" t="inlineStr">
        <is>
          <t>ai_workload_share</t>
        </is>
      </c>
      <c r="C15" s="3" t="inlineStr">
        <is>
          <t>88% (constant Base allocation)</t>
        </is>
      </c>
      <c r="D15" s="3" t="inlineStr">
        <is>
          <t>Rational allocation assumption</t>
        </is>
      </c>
      <c r="E15" s="3" t="inlineStr">
        <is>
          <t>Public sources indicate AI platform direction but do not disclose LLM share of attributed IT power.</t>
        </is>
      </c>
      <c r="F15" s="3" t="inlineStr">
        <is>
          <t>SRC_GOOGLE_IRONWOOD</t>
        </is>
      </c>
      <c r="G15" s="3" t="inlineStr">
        <is>
          <t>FACT_GOOGLE_IRONWOOD_POD</t>
        </is>
      </c>
      <c r="H15" s="3" t="inlineStr">
        <is>
          <t>AI-oriented hardware presence does not disclose what fraction runs LLM inference/training rather than other AI/platform/reserve work.</t>
        </is>
      </c>
      <c r="I15" s="3" t="inlineStr">
        <is>
          <t>Workload scheduling or accelerator-hours allocation by model surface.</t>
        </is>
      </c>
      <c r="J15" s="3" t="inlineStr">
        <is>
          <t>Public anchor registered; verbatim source-line sign-off required before describing a modeled value as confirmed.</t>
        </is>
      </c>
    </row>
    <row r="16">
      <c r="A16" s="3" t="inlineStr">
        <is>
          <t>Google</t>
        </is>
      </c>
      <c r="B16" s="3" t="inlineStr">
        <is>
          <t>gpu_purpose_built_accelerator_mix</t>
        </is>
      </c>
      <c r="C16" s="3" t="inlineStr">
        <is>
          <t>GPU 0%/10%; purpose-built 100%/90%</t>
        </is>
      </c>
      <c r="D16" s="3" t="inlineStr">
        <is>
          <t>Official platform fact plus numeric scenario</t>
        </is>
      </c>
      <c r="E16" s="3" t="inlineStr">
        <is>
          <t>Ironwood pod: 9,216 chips and 42.5 exaflops stated in official announcement.</t>
        </is>
      </c>
      <c r="F16" s="3" t="inlineStr">
        <is>
          <t>SRC_GOOGLE_IRONWOOD</t>
        </is>
      </c>
      <c r="G16" s="3" t="inlineStr">
        <is>
          <t>FACT_GOOGLE_IRONWOOD_POD</t>
        </is>
      </c>
      <c r="H16" s="3" t="inlineStr">
        <is>
          <t>The platform may be confirmed while serving-fleet allocation by accelerator type is not disclosed.</t>
        </is>
      </c>
      <c r="I16" s="3" t="inlineStr">
        <is>
          <t>Operated inference accelerator-hours or product/model routing split by hardware.</t>
        </is>
      </c>
      <c r="J16" s="3" t="inlineStr">
        <is>
          <t>Public anchor registered; verbatim source-line sign-off required before describing a modeled value as confirmed.</t>
        </is>
      </c>
    </row>
    <row r="17">
      <c r="A17" s="3" t="inlineStr">
        <is>
          <t>Google</t>
        </is>
      </c>
      <c r="B17" s="3" t="inlineStr">
        <is>
          <t>inference_power_share</t>
        </is>
      </c>
      <c r="C17" s="3" t="inlineStr">
        <is>
          <t>55% -&gt; 72%</t>
        </is>
      </c>
      <c r="D17" s="3" t="inlineStr">
        <is>
          <t>Rational allocation assumption</t>
        </is>
      </c>
      <c r="E17" s="3" t="inlineStr">
        <is>
          <t>No adopted company-level inference/training GW split disclosure.</t>
        </is>
      </c>
      <c r="F17" s="3" t="inlineStr">
        <is>
          <t>SRC_GOOGLE_GEMINI_TOKENS; SRC_GOOGLE_IRONWOOD; SRC_GOOGLE_TPU_V6E; SRC_EPOCH_AI_DATA_CENTERS</t>
        </is>
      </c>
      <c r="G17" s="3" t="inlineStr"/>
      <c r="H17" s="3" t="inlineStr">
        <is>
          <t>Product adoption direction can support a scenario but does not measure inference power share.</t>
        </is>
      </c>
      <c r="I17" s="3" t="inlineStr">
        <is>
          <t>Training and inference cluster power or accelerator-hour allocation telemetry.</t>
        </is>
      </c>
      <c r="J17" s="3" t="inlineStr">
        <is>
          <t>Public anchor registered; verbatim source-line sign-off required before describing a modeled value as confirmed.</t>
        </is>
      </c>
    </row>
    <row r="18">
      <c r="A18" s="3" t="inlineStr">
        <is>
          <t>Google</t>
        </is>
      </c>
      <c r="B18" s="3" t="inlineStr">
        <is>
          <t>tokens_per_second_per_mw</t>
        </is>
      </c>
      <c r="C18" s="3" t="inlineStr">
        <is>
          <t>100,661 -&gt; 102,593 output tok/s/MW</t>
        </is>
      </c>
      <c r="D18" s="3" t="inlineStr">
        <is>
          <t>Benchmark-calibrated derived estimate</t>
        </is>
      </c>
      <c r="E18" s="3" t="inlineStr">
        <is>
          <t>No adopted company production output-token/MW telemetry; InferenceX is benchmark/proxy only.</t>
        </is>
      </c>
      <c r="F18" s="3" t="inlineStr">
        <is>
          <t>SRC_SEMIANALYSIS_INFERENCEX; SRC_GOOGLE_IRONWOOD</t>
        </is>
      </c>
      <c r="G18" s="3" t="inlineStr">
        <is>
          <t>FACT_GOOGLE_IRONWOOD_POD</t>
        </is>
      </c>
      <c r="H18" s="3" t="inlineStr">
        <is>
          <t>A fixed-condition output-token benchmark proxy is selected; no additional MoE, architecture, software-growth or utilization multiplier is used in headline.</t>
        </is>
      </c>
      <c r="I18" s="3" t="inlineStr">
        <is>
          <t>Comparable output-token benchmark or production telemetry matched on model, precision, ISL/OSL and SLO.</t>
        </is>
      </c>
      <c r="J18" s="3" t="inlineStr">
        <is>
          <t>Public anchor registered; verbatim source-line sign-off required before describing a modeled value as confirmed.</t>
        </is>
      </c>
    </row>
    <row r="19">
      <c r="A19" s="3" t="inlineStr">
        <is>
          <t>Google</t>
        </is>
      </c>
      <c r="B19" s="3" t="inlineStr">
        <is>
          <t>generated_output_tokens_per_day</t>
        </is>
      </c>
      <c r="C19" s="3" t="inlineStr">
        <is>
          <t>0.008Q -&gt; 0.032Q/day</t>
        </is>
      </c>
      <c r="D19" s="3" t="inlineStr">
        <is>
          <t>Formula-derived simulation output</t>
        </is>
      </c>
      <c r="E19" s="3" t="inlineStr">
        <is>
          <t>No adopted company-disclosed generated output token volume.</t>
        </is>
      </c>
      <c r="F19" s="3" t="inlineStr">
        <is>
          <t>SRC_GOOGLE_GEMINI_TOKENS; SRC_GOOGLE_IRONWOOD; SRC_GOOGLE_TPU_V6E; SRC_EPOCH_AI_DATA_CENTERS</t>
        </is>
      </c>
      <c r="G19" s="3" t="inlineStr"/>
      <c r="H19" s="3" t="inlineStr">
        <is>
          <t>This value is computed only from operational inference GW and selected output-token TPS/MW; utilization is not multiplied into headline.</t>
        </is>
      </c>
      <c r="I19" s="3" t="inlineStr">
        <is>
          <t>Provider-disclosed output token volume or metered model-serving throughput.</t>
        </is>
      </c>
      <c r="J19" s="3" t="inlineStr">
        <is>
          <t>Public anchor registered; verbatim source-line sign-off required before describing a modeled value as confirmed.</t>
        </is>
      </c>
    </row>
    <row r="20">
      <c r="A20" s="3" t="inlineStr">
        <is>
          <t>Meta</t>
        </is>
      </c>
      <c r="B20" s="3" t="inlineStr">
        <is>
          <t>commercial_model_and_parameter_anchor</t>
        </is>
      </c>
      <c r="C20" s="3" t="inlineStr">
        <is>
          <t>Llama 4 Scout 109B / Maverick 400B anchor; production routing undisclosed / active: Llama 4 Scout/Maverick active 17B anchor; Meta AI serving mix band</t>
        </is>
      </c>
      <c r="D20" s="3" t="inlineStr">
        <is>
          <t>Official numeric fact or explicit disclosure gap</t>
        </is>
      </c>
      <c r="E20" s="3" t="inlineStr">
        <is>
          <t>Llama 4 Scout/Maverick MoE anchors are public ecosystem references; Meta AI routing remains undisclosed.</t>
        </is>
      </c>
      <c r="F20" s="3" t="inlineStr">
        <is>
          <t>SRC_META_LLAMA4_NVIDIA</t>
        </is>
      </c>
      <c r="G20" s="3" t="inlineStr">
        <is>
          <t>FACT_LLAMA4_SCOUT_MAVERICK</t>
        </is>
      </c>
      <c r="H20" s="3" t="inlineStr">
        <is>
          <t>The model family is sourced; closed-model bands are not disclosed parameter values.</t>
        </is>
      </c>
      <c r="I20" s="3" t="inlineStr">
        <is>
          <t>Official model card or technical report with total/active parameters for the served commercial model.</t>
        </is>
      </c>
      <c r="J20" s="3" t="inlineStr">
        <is>
          <t>Public anchor registered; verbatim source-line sign-off required before describing a modeled value as confirmed.</t>
        </is>
      </c>
    </row>
    <row r="21">
      <c r="A21" s="3" t="inlineStr">
        <is>
          <t>Meta</t>
        </is>
      </c>
      <c r="B21" s="3" t="inlineStr">
        <is>
          <t>contracted_or_attributed_capacity_gw</t>
        </is>
      </c>
      <c r="C21" s="3" t="inlineStr">
        <is>
          <t>3.500 -&gt; 7.000 GW</t>
        </is>
      </c>
      <c r="D21" s="3" t="inlineStr">
        <is>
          <t>Rational scenario with platform or cluster-direction support</t>
        </is>
      </c>
      <c r="E21" s="3" t="inlineStr">
        <is>
          <t>No Meta AI model-serving GW disclosure adopted.</t>
        </is>
      </c>
      <c r="F21" s="3" t="inlineStr">
        <is>
          <t>SRC_META_MTIA_GENAI_2026</t>
        </is>
      </c>
      <c r="G21" s="3" t="inlineStr"/>
      <c r="H21" s="3" t="inlineStr">
        <is>
          <t>The endpoint is a model-owner capacity envelope; it equals neither active inference power nor a universally disclosed contract.</t>
        </is>
      </c>
      <c r="I21" s="3" t="inlineStr">
        <is>
          <t>Company/site-level committed MW/GW disclosure with scope, online date and owner attribution.</t>
        </is>
      </c>
      <c r="J21" s="3" t="inlineStr">
        <is>
          <t>Public anchor registered; verbatim source-line sign-off required before describing a modeled value as confirmed.</t>
        </is>
      </c>
    </row>
    <row r="22">
      <c r="A22" s="3" t="inlineStr">
        <is>
          <t>Meta</t>
        </is>
      </c>
      <c r="B22" s="3" t="inlineStr">
        <is>
          <t>active_power_gw</t>
        </is>
      </c>
      <c r="C22" s="3" t="inlineStr">
        <is>
          <t>1.600 -&gt; 5.800 GW</t>
        </is>
      </c>
      <c r="D22" s="3" t="inlineStr">
        <is>
          <t>Rational operational-deployment scenario</t>
        </is>
      </c>
      <c r="E22" s="3" t="inlineStr">
        <is>
          <t>No adopted official active LLM-serving GW telemetry.</t>
        </is>
      </c>
      <c r="F22" s="3" t="inlineStr">
        <is>
          <t>SRC_META_MTIA_GENAI_2026</t>
        </is>
      </c>
      <c r="G22" s="3" t="inlineStr"/>
      <c r="H22" s="3" t="inlineStr">
        <is>
          <t>Active capacity requires energization, racks, cooling, networking and accelerator deployment, none disclosed at the modeled time series granularity.</t>
        </is>
      </c>
      <c r="I22" s="3" t="inlineStr">
        <is>
          <t>Site-level energization and operational accelerator-rack telemetry.</t>
        </is>
      </c>
      <c r="J22" s="3" t="inlineStr">
        <is>
          <t>Public anchor registered; verbatim source-line sign-off required before describing a modeled value as confirmed.</t>
        </is>
      </c>
    </row>
    <row r="23">
      <c r="A23" s="3" t="inlineStr">
        <is>
          <t>Meta</t>
        </is>
      </c>
      <c r="B23" s="3" t="inlineStr">
        <is>
          <t>operational_deployment_share</t>
        </is>
      </c>
      <c r="C23" s="3" t="inlineStr">
        <is>
          <t>46% -&gt; 83%</t>
        </is>
      </c>
      <c r="D23" s="3" t="inlineStr">
        <is>
          <t>Rational operational-deployment scenario</t>
        </is>
      </c>
      <c r="E23" s="3" t="inlineStr">
        <is>
          <t>No adopted official operational deployment share of attributed LLM-serving capacity.</t>
        </is>
      </c>
      <c r="F23" s="3" t="inlineStr">
        <is>
          <t>SRC_META_MTIA_GENAI_2026</t>
        </is>
      </c>
      <c r="G23" s="3" t="inlineStr"/>
      <c r="H23" s="3" t="inlineStr">
        <is>
          <t>This single conversion assumption is required because contracted capacity does not automatically produce tokens.</t>
        </is>
      </c>
      <c r="I23" s="3" t="inlineStr">
        <is>
          <t>Site-level energized capacity divided by attributed contracted/committed capacity.</t>
        </is>
      </c>
      <c r="J23" s="3" t="inlineStr">
        <is>
          <t>Public anchor registered; verbatim source-line sign-off required before describing a modeled value as confirmed.</t>
        </is>
      </c>
    </row>
    <row r="24">
      <c r="A24" s="3" t="inlineStr">
        <is>
          <t>Meta</t>
        </is>
      </c>
      <c r="B24" s="3" t="inlineStr">
        <is>
          <t>ai_workload_share</t>
        </is>
      </c>
      <c r="C24" s="3" t="inlineStr">
        <is>
          <t>87% (constant Base allocation)</t>
        </is>
      </c>
      <c r="D24" s="3" t="inlineStr">
        <is>
          <t>Rational allocation assumption</t>
        </is>
      </c>
      <c r="E24" s="3" t="inlineStr">
        <is>
          <t>Public sources indicate AI platform direction but do not disclose LLM share of attributed IT power.</t>
        </is>
      </c>
      <c r="F24" s="3" t="inlineStr">
        <is>
          <t>SRC_META_MTIA_GENAI_2026</t>
        </is>
      </c>
      <c r="G24" s="3" t="inlineStr">
        <is>
          <t>FACT_META_MTIA_INFERENCE</t>
        </is>
      </c>
      <c r="H24" s="3" t="inlineStr">
        <is>
          <t>AI-oriented hardware presence does not disclose what fraction runs LLM inference/training rather than other AI/platform/reserve work.</t>
        </is>
      </c>
      <c r="I24" s="3" t="inlineStr">
        <is>
          <t>Workload scheduling or accelerator-hours allocation by model surface.</t>
        </is>
      </c>
      <c r="J24" s="3" t="inlineStr">
        <is>
          <t>Public anchor registered; verbatim source-line sign-off required before describing a modeled value as confirmed.</t>
        </is>
      </c>
    </row>
    <row r="25">
      <c r="A25" s="3" t="inlineStr">
        <is>
          <t>Meta</t>
        </is>
      </c>
      <c r="B25" s="3" t="inlineStr">
        <is>
          <t>gpu_purpose_built_accelerator_mix</t>
        </is>
      </c>
      <c r="C25" s="3" t="inlineStr">
        <is>
          <t>GPU 100%/61%; purpose-built 0%/39%</t>
        </is>
      </c>
      <c r="D25" s="3" t="inlineStr">
        <is>
          <t>Official platform fact plus numeric scenario</t>
        </is>
      </c>
      <c r="E25" s="3" t="inlineStr">
        <is>
          <t>Meta states MTIA deployment for inference and a GenAI inference roadmap.</t>
        </is>
      </c>
      <c r="F25" s="3" t="inlineStr">
        <is>
          <t>SRC_META_MTIA_GENAI_2026</t>
        </is>
      </c>
      <c r="G25" s="3" t="inlineStr">
        <is>
          <t>FACT_META_MTIA_INFERENCE</t>
        </is>
      </c>
      <c r="H25" s="3" t="inlineStr">
        <is>
          <t>The platform may be confirmed while serving-fleet allocation by accelerator type is not disclosed.</t>
        </is>
      </c>
      <c r="I25" s="3" t="inlineStr">
        <is>
          <t>Operated inference accelerator-hours or product/model routing split by hardware.</t>
        </is>
      </c>
      <c r="J25" s="3" t="inlineStr">
        <is>
          <t>Public anchor registered; verbatim source-line sign-off required before describing a modeled value as confirmed.</t>
        </is>
      </c>
    </row>
    <row r="26">
      <c r="A26" s="3" t="inlineStr">
        <is>
          <t>Meta</t>
        </is>
      </c>
      <c r="B26" s="3" t="inlineStr">
        <is>
          <t>inference_power_share</t>
        </is>
      </c>
      <c r="C26" s="3" t="inlineStr">
        <is>
          <t>58% -&gt; 78%</t>
        </is>
      </c>
      <c r="D26" s="3" t="inlineStr">
        <is>
          <t>Rational allocation assumption</t>
        </is>
      </c>
      <c r="E26" s="3" t="inlineStr">
        <is>
          <t>No adopted company-level inference/training GW split disclosure.</t>
        </is>
      </c>
      <c r="F26" s="3" t="inlineStr">
        <is>
          <t>SRC_META_LLAMA; SRC_META_LLAMA4_NVIDIA; SRC_META_MTIA_GENAI_2026; SRC_EPOCH_AI_DATA_CENTERS</t>
        </is>
      </c>
      <c r="G26" s="3" t="inlineStr"/>
      <c r="H26" s="3" t="inlineStr">
        <is>
          <t>Product adoption direction can support a scenario but does not measure inference power share.</t>
        </is>
      </c>
      <c r="I26" s="3" t="inlineStr">
        <is>
          <t>Training and inference cluster power or accelerator-hour allocation telemetry.</t>
        </is>
      </c>
      <c r="J26" s="3" t="inlineStr">
        <is>
          <t>Public anchor registered; verbatim source-line sign-off required before describing a modeled value as confirmed.</t>
        </is>
      </c>
    </row>
    <row r="27">
      <c r="A27" s="3" t="inlineStr">
        <is>
          <t>Meta</t>
        </is>
      </c>
      <c r="B27" s="3" t="inlineStr">
        <is>
          <t>tokens_per_second_per_mw</t>
        </is>
      </c>
      <c r="C27" s="3" t="inlineStr">
        <is>
          <t>846,954 -&gt; 846,954 output tok/s/MW</t>
        </is>
      </c>
      <c r="D27" s="3" t="inlineStr">
        <is>
          <t>Benchmark-calibrated derived estimate</t>
        </is>
      </c>
      <c r="E27" s="3" t="inlineStr">
        <is>
          <t>No adopted company production output-token/MW telemetry; InferenceX is benchmark/proxy only.</t>
        </is>
      </c>
      <c r="F27" s="3" t="inlineStr">
        <is>
          <t>SRC_SEMIANALYSIS_INFERENCEX; SRC_META_MTIA_GENAI_2026</t>
        </is>
      </c>
      <c r="G27" s="3" t="inlineStr">
        <is>
          <t>FACT_META_MTIA_INFERENCE</t>
        </is>
      </c>
      <c r="H27" s="3" t="inlineStr">
        <is>
          <t>A fixed-condition output-token benchmark proxy is selected; no additional MoE, architecture, software-growth or utilization multiplier is used in headline.</t>
        </is>
      </c>
      <c r="I27" s="3" t="inlineStr">
        <is>
          <t>Comparable output-token benchmark or production telemetry matched on model, precision, ISL/OSL and SLO.</t>
        </is>
      </c>
      <c r="J27" s="3" t="inlineStr">
        <is>
          <t>Public anchor registered; verbatim source-line sign-off required before describing a modeled value as confirmed.</t>
        </is>
      </c>
    </row>
    <row r="28">
      <c r="A28" s="3" t="inlineStr">
        <is>
          <t>Meta</t>
        </is>
      </c>
      <c r="B28" s="3" t="inlineStr">
        <is>
          <t>generated_output_tokens_per_day</t>
        </is>
      </c>
      <c r="C28" s="3" t="inlineStr">
        <is>
          <t>0.049Q -&gt; 0.240Q/day</t>
        </is>
      </c>
      <c r="D28" s="3" t="inlineStr">
        <is>
          <t>Formula-derived simulation output</t>
        </is>
      </c>
      <c r="E28" s="3" t="inlineStr">
        <is>
          <t>No adopted company-disclosed generated output token volume.</t>
        </is>
      </c>
      <c r="F28" s="3" t="inlineStr">
        <is>
          <t>SRC_META_LLAMA; SRC_META_LLAMA4_NVIDIA; SRC_META_MTIA_GENAI_2026; SRC_EPOCH_AI_DATA_CENTERS</t>
        </is>
      </c>
      <c r="G28" s="3" t="inlineStr"/>
      <c r="H28" s="3" t="inlineStr">
        <is>
          <t>This value is computed only from operational inference GW and selected output-token TPS/MW; utilization is not multiplied into headline.</t>
        </is>
      </c>
      <c r="I28" s="3" t="inlineStr">
        <is>
          <t>Provider-disclosed output token volume or metered model-serving throughput.</t>
        </is>
      </c>
      <c r="J28" s="3" t="inlineStr">
        <is>
          <t>Public anchor registered; verbatim source-line sign-off required before describing a modeled value as confirmed.</t>
        </is>
      </c>
    </row>
    <row r="29">
      <c r="A29" s="3" t="inlineStr">
        <is>
          <t>xAI</t>
        </is>
      </c>
      <c r="B29" s="3" t="inlineStr">
        <is>
          <t>commercial_model_and_parameter_anchor</t>
        </is>
      </c>
      <c r="C29" s="3" t="inlineStr">
        <is>
          <t>Closed frontier band / active: Closed frontier active band</t>
        </is>
      </c>
      <c r="D29" s="3" t="inlineStr">
        <is>
          <t>Official numeric fact or explicit disclosure gap</t>
        </is>
      </c>
      <c r="E29" s="3" t="inlineStr">
        <is>
          <t>Grok parameter count remains undisclosed in the model.</t>
        </is>
      </c>
      <c r="F29" s="3" t="inlineStr">
        <is>
          <t>SRC_XAI_MODELS</t>
        </is>
      </c>
      <c r="G29" s="3" t="inlineStr"/>
      <c r="H29" s="3" t="inlineStr">
        <is>
          <t>The model family is sourced; closed-model bands are not disclosed parameter values.</t>
        </is>
      </c>
      <c r="I29" s="3" t="inlineStr">
        <is>
          <t>Official model card or technical report with total/active parameters for the served commercial model.</t>
        </is>
      </c>
      <c r="J29" s="3" t="inlineStr">
        <is>
          <t>Public anchor registered; verbatim source-line sign-off required before describing a modeled value as confirmed.</t>
        </is>
      </c>
    </row>
    <row r="30">
      <c r="A30" s="3" t="inlineStr">
        <is>
          <t>xAI</t>
        </is>
      </c>
      <c r="B30" s="3" t="inlineStr">
        <is>
          <t>contracted_or_attributed_capacity_gw</t>
        </is>
      </c>
      <c r="C30" s="3" t="inlineStr">
        <is>
          <t>1.000 -&gt; 3.000 GW</t>
        </is>
      </c>
      <c r="D30" s="3" t="inlineStr">
        <is>
          <t>Rational scenario with platform or cluster-direction support</t>
        </is>
      </c>
      <c r="E30" s="3" t="inlineStr">
        <is>
          <t>GPU count is public-partner evidence; corresponding GW is not a disclosed xAI model-serving capacity.</t>
        </is>
      </c>
      <c r="F30" s="3" t="inlineStr">
        <is>
          <t>SRC_XAI_NVIDIA_COLOSSUS</t>
        </is>
      </c>
      <c r="G30" s="3" t="inlineStr">
        <is>
          <t>FACT_XAI_COLOSSUS_100K</t>
        </is>
      </c>
      <c r="H30" s="3" t="inlineStr">
        <is>
          <t>The endpoint is a model-owner capacity envelope; it equals neither active inference power nor a universally disclosed contract.</t>
        </is>
      </c>
      <c r="I30" s="3" t="inlineStr">
        <is>
          <t>Company/site-level committed MW/GW disclosure with scope, online date and owner attribution.</t>
        </is>
      </c>
      <c r="J30" s="3" t="inlineStr">
        <is>
          <t>Public anchor registered; verbatim source-line sign-off required before describing a modeled value as confirmed.</t>
        </is>
      </c>
    </row>
    <row r="31">
      <c r="A31" s="3" t="inlineStr">
        <is>
          <t>xAI</t>
        </is>
      </c>
      <c r="B31" s="3" t="inlineStr">
        <is>
          <t>active_power_gw</t>
        </is>
      </c>
      <c r="C31" s="3" t="inlineStr">
        <is>
          <t>0.350 -&gt; 2.500 GW</t>
        </is>
      </c>
      <c r="D31" s="3" t="inlineStr">
        <is>
          <t>Rational operational-deployment scenario</t>
        </is>
      </c>
      <c r="E31" s="3" t="inlineStr">
        <is>
          <t>No adopted official active LLM-serving GW telemetry.</t>
        </is>
      </c>
      <c r="F31" s="3" t="inlineStr">
        <is>
          <t>SRC_XAI_NVIDIA_COLOSSUS</t>
        </is>
      </c>
      <c r="G31" s="3" t="inlineStr">
        <is>
          <t>FACT_XAI_COLOSSUS_100K</t>
        </is>
      </c>
      <c r="H31" s="3" t="inlineStr">
        <is>
          <t>Active capacity requires energization, racks, cooling, networking and accelerator deployment, none disclosed at the modeled time series granularity.</t>
        </is>
      </c>
      <c r="I31" s="3" t="inlineStr">
        <is>
          <t>Site-level energization and operational accelerator-rack telemetry.</t>
        </is>
      </c>
      <c r="J31" s="3" t="inlineStr">
        <is>
          <t>Public anchor registered; verbatim source-line sign-off required before describing a modeled value as confirmed.</t>
        </is>
      </c>
    </row>
    <row r="32">
      <c r="A32" s="3" t="inlineStr">
        <is>
          <t>xAI</t>
        </is>
      </c>
      <c r="B32" s="3" t="inlineStr">
        <is>
          <t>operational_deployment_share</t>
        </is>
      </c>
      <c r="C32" s="3" t="inlineStr">
        <is>
          <t>35% -&gt; 83%</t>
        </is>
      </c>
      <c r="D32" s="3" t="inlineStr">
        <is>
          <t>Rational operational-deployment scenario</t>
        </is>
      </c>
      <c r="E32" s="3" t="inlineStr">
        <is>
          <t>No adopted official operational deployment share of attributed LLM-serving capacity.</t>
        </is>
      </c>
      <c r="F32" s="3" t="inlineStr">
        <is>
          <t>SRC_XAI_NVIDIA_COLOSSUS</t>
        </is>
      </c>
      <c r="G32" s="3" t="inlineStr">
        <is>
          <t>FACT_XAI_COLOSSUS_100K</t>
        </is>
      </c>
      <c r="H32" s="3" t="inlineStr">
        <is>
          <t>This single conversion assumption is required because contracted capacity does not automatically produce tokens.</t>
        </is>
      </c>
      <c r="I32" s="3" t="inlineStr">
        <is>
          <t>Site-level energized capacity divided by attributed contracted/committed capacity.</t>
        </is>
      </c>
      <c r="J32" s="3" t="inlineStr">
        <is>
          <t>Public anchor registered; verbatim source-line sign-off required before describing a modeled value as confirmed.</t>
        </is>
      </c>
    </row>
    <row r="33">
      <c r="A33" s="3" t="inlineStr">
        <is>
          <t>xAI</t>
        </is>
      </c>
      <c r="B33" s="3" t="inlineStr">
        <is>
          <t>ai_workload_share</t>
        </is>
      </c>
      <c r="C33" s="3" t="inlineStr">
        <is>
          <t>85% (constant Base allocation)</t>
        </is>
      </c>
      <c r="D33" s="3" t="inlineStr">
        <is>
          <t>Rational allocation assumption</t>
        </is>
      </c>
      <c r="E33" s="3" t="inlineStr">
        <is>
          <t>Public sources indicate AI platform direction but do not disclose LLM share of attributed IT power.</t>
        </is>
      </c>
      <c r="F33" s="3" t="inlineStr">
        <is>
          <t>SRC_XAI_NVIDIA_COLOSSUS</t>
        </is>
      </c>
      <c r="G33" s="3" t="inlineStr">
        <is>
          <t>FACT_XAI_COLOSSUS_100K; FACT_XAI_COLOSSUS_200K</t>
        </is>
      </c>
      <c r="H33" s="3" t="inlineStr">
        <is>
          <t>AI-oriented hardware presence does not disclose what fraction runs LLM inference/training rather than other AI/platform/reserve work.</t>
        </is>
      </c>
      <c r="I33" s="3" t="inlineStr">
        <is>
          <t>Workload scheduling or accelerator-hours allocation by model surface.</t>
        </is>
      </c>
      <c r="J33" s="3" t="inlineStr">
        <is>
          <t>Public anchor registered; verbatim source-line sign-off required before describing a modeled value as confirmed.</t>
        </is>
      </c>
    </row>
    <row r="34">
      <c r="A34" s="3" t="inlineStr">
        <is>
          <t>xAI</t>
        </is>
      </c>
      <c r="B34" s="3" t="inlineStr">
        <is>
          <t>gpu_purpose_built_accelerator_mix</t>
        </is>
      </c>
      <c r="C34" s="3" t="inlineStr">
        <is>
          <t>GPU 100%/100%; purpose-built 0%/0%</t>
        </is>
      </c>
      <c r="D34" s="3" t="inlineStr">
        <is>
          <t>Official platform fact plus numeric scenario</t>
        </is>
      </c>
      <c r="E34" s="3" t="inlineStr">
        <is>
          <t>100,000 Hopper GPUs and an expansion direction toward 200,000 GPUs cited by NVIDIA.</t>
        </is>
      </c>
      <c r="F34" s="3" t="inlineStr">
        <is>
          <t>SRC_XAI_NVIDIA_COLOSSUS</t>
        </is>
      </c>
      <c r="G34" s="3" t="inlineStr">
        <is>
          <t>FACT_XAI_COLOSSUS_100K; FACT_XAI_COLOSSUS_200K</t>
        </is>
      </c>
      <c r="H34" s="3" t="inlineStr">
        <is>
          <t>The platform may be confirmed while serving-fleet allocation by accelerator type is not disclosed.</t>
        </is>
      </c>
      <c r="I34" s="3" t="inlineStr">
        <is>
          <t>Operated inference accelerator-hours or product/model routing split by hardware.</t>
        </is>
      </c>
      <c r="J34" s="3" t="inlineStr">
        <is>
          <t>Public anchor registered; verbatim source-line sign-off required before describing a modeled value as confirmed.</t>
        </is>
      </c>
    </row>
    <row r="35">
      <c r="A35" s="3" t="inlineStr">
        <is>
          <t>xAI</t>
        </is>
      </c>
      <c r="B35" s="3" t="inlineStr">
        <is>
          <t>inference_power_share</t>
        </is>
      </c>
      <c r="C35" s="3" t="inlineStr">
        <is>
          <t>45% -&gt; 70%</t>
        </is>
      </c>
      <c r="D35" s="3" t="inlineStr">
        <is>
          <t>Rational allocation assumption</t>
        </is>
      </c>
      <c r="E35" s="3" t="inlineStr">
        <is>
          <t>No adopted company-level inference/training GW split disclosure.</t>
        </is>
      </c>
      <c r="F35" s="3" t="inlineStr">
        <is>
          <t>SRC_XAI_MODELS; SRC_XAI_NVIDIA_COLOSSUS; SRC_EPOCH_AI_DATA_CENTERS</t>
        </is>
      </c>
      <c r="G35" s="3" t="inlineStr"/>
      <c r="H35" s="3" t="inlineStr">
        <is>
          <t>Product adoption direction can support a scenario but does not measure inference power share.</t>
        </is>
      </c>
      <c r="I35" s="3" t="inlineStr">
        <is>
          <t>Training and inference cluster power or accelerator-hour allocation telemetry.</t>
        </is>
      </c>
      <c r="J35" s="3" t="inlineStr">
        <is>
          <t>Public anchor registered; verbatim source-line sign-off required before describing a modeled value as confirmed.</t>
        </is>
      </c>
    </row>
    <row r="36">
      <c r="A36" s="3" t="inlineStr">
        <is>
          <t>xAI</t>
        </is>
      </c>
      <c r="B36" s="3" t="inlineStr">
        <is>
          <t>tokens_per_second_per_mw</t>
        </is>
      </c>
      <c r="C36" s="3" t="inlineStr">
        <is>
          <t>1,655,658 -&gt; 1,655,658 output tok/s/MW</t>
        </is>
      </c>
      <c r="D36" s="3" t="inlineStr">
        <is>
          <t>Benchmark-calibrated derived estimate</t>
        </is>
      </c>
      <c r="E36" s="3" t="inlineStr">
        <is>
          <t>No adopted company production output-token/MW telemetry; InferenceX is benchmark/proxy only.</t>
        </is>
      </c>
      <c r="F36" s="3" t="inlineStr">
        <is>
          <t>SRC_SEMIANALYSIS_INFERENCEX; SRC_XAI_NVIDIA_COLOSSUS</t>
        </is>
      </c>
      <c r="G36" s="3" t="inlineStr">
        <is>
          <t>FACT_XAI_COLOSSUS_100K; FACT_XAI_COLOSSUS_200K</t>
        </is>
      </c>
      <c r="H36" s="3" t="inlineStr">
        <is>
          <t>A fixed-condition output-token benchmark proxy is selected; no additional MoE, architecture, software-growth or utilization multiplier is used in headline.</t>
        </is>
      </c>
      <c r="I36" s="3" t="inlineStr">
        <is>
          <t>Comparable output-token benchmark or production telemetry matched on model, precision, ISL/OSL and SLO.</t>
        </is>
      </c>
      <c r="J36" s="3" t="inlineStr">
        <is>
          <t>Public anchor registered; verbatim source-line sign-off required before describing a modeled value as confirmed.</t>
        </is>
      </c>
    </row>
    <row r="37">
      <c r="A37" s="3" t="inlineStr">
        <is>
          <t>xAI</t>
        </is>
      </c>
      <c r="B37" s="3" t="inlineStr">
        <is>
          <t>generated_output_tokens_per_day</t>
        </is>
      </c>
      <c r="C37" s="3" t="inlineStr">
        <is>
          <t>0.016Q -&gt; 0.174Q/day</t>
        </is>
      </c>
      <c r="D37" s="3" t="inlineStr">
        <is>
          <t>Formula-derived simulation output</t>
        </is>
      </c>
      <c r="E37" s="3" t="inlineStr">
        <is>
          <t>No adopted company-disclosed generated output token volume.</t>
        </is>
      </c>
      <c r="F37" s="3" t="inlineStr">
        <is>
          <t>SRC_XAI_MODELS; SRC_XAI_NVIDIA_COLOSSUS; SRC_EPOCH_AI_DATA_CENTERS</t>
        </is>
      </c>
      <c r="G37" s="3" t="inlineStr"/>
      <c r="H37" s="3" t="inlineStr">
        <is>
          <t>This value is computed only from operational inference GW and selected output-token TPS/MW; utilization is not multiplied into headline.</t>
        </is>
      </c>
      <c r="I37" s="3" t="inlineStr">
        <is>
          <t>Provider-disclosed output token volume or metered model-serving throughput.</t>
        </is>
      </c>
      <c r="J37" s="3" t="inlineStr">
        <is>
          <t>Public anchor registered; verbatim source-line sign-off required before describing a modeled value as confirmed.</t>
        </is>
      </c>
    </row>
    <row r="38">
      <c r="A38" s="3" t="inlineStr">
        <is>
          <t>OpenAI</t>
        </is>
      </c>
      <c r="B38" s="3" t="inlineStr">
        <is>
          <t>commercial_model_and_parameter_anchor</t>
        </is>
      </c>
      <c r="C38" s="3" t="inlineStr">
        <is>
          <t>Closed frontier band only / active: Closed frontier active band only</t>
        </is>
      </c>
      <c r="D38" s="3" t="inlineStr">
        <is>
          <t>Official numeric fact or explicit disclosure gap</t>
        </is>
      </c>
      <c r="E38" s="3" t="inlineStr">
        <is>
          <t>GPT/o-series parameter count remains undisclosed.</t>
        </is>
      </c>
      <c r="F38" s="3" t="inlineStr">
        <is>
          <t>SRC_OPENAI_GPT41_DOCS</t>
        </is>
      </c>
      <c r="G38" s="3" t="inlineStr"/>
      <c r="H38" s="3" t="inlineStr">
        <is>
          <t>The model family is sourced; closed-model bands are not disclosed parameter values.</t>
        </is>
      </c>
      <c r="I38" s="3" t="inlineStr">
        <is>
          <t>Official model card or technical report with total/active parameters for the served commercial model.</t>
        </is>
      </c>
      <c r="J38" s="3" t="inlineStr">
        <is>
          <t>Public anchor registered; verbatim source-line sign-off required before describing a modeled value as confirmed.</t>
        </is>
      </c>
    </row>
    <row r="39">
      <c r="A39" s="3" t="inlineStr">
        <is>
          <t>OpenAI</t>
        </is>
      </c>
      <c r="B39" s="3" t="inlineStr">
        <is>
          <t>contracted_or_attributed_capacity_gw</t>
        </is>
      </c>
      <c r="C39" s="3" t="inlineStr">
        <is>
          <t>5.000 -&gt; 12.000 GW</t>
        </is>
      </c>
      <c r="D39" s="3" t="inlineStr">
        <is>
          <t>Scenario extending public capacity anchor</t>
        </is>
      </c>
      <c r="E39" s="3" t="inlineStr">
        <is>
          <t>4.5 GW additional Oracle capacity and more-than-10-GW Stargate commitment are public anchors; 12 GW endpoint is an extension scenario.</t>
        </is>
      </c>
      <c r="F39" s="3" t="inlineStr">
        <is>
          <t>SRC_OPENAI_STARGATE_ORACLE; SRC_OPENAI_STARGATE_PROGRESS</t>
        </is>
      </c>
      <c r="G39" s="3" t="inlineStr">
        <is>
          <t>FACT_OPENAI_ORACLE_4_5GW; FACT_OPENAI_STARGATE_10GW</t>
        </is>
      </c>
      <c r="H39" s="3" t="inlineStr">
        <is>
          <t>The endpoint is a model-owner capacity envelope; it equals neither active inference power nor a universally disclosed contract.</t>
        </is>
      </c>
      <c r="I39" s="3" t="inlineStr">
        <is>
          <t>Company/site-level committed MW/GW disclosure with scope, online date and owner attribution.</t>
        </is>
      </c>
      <c r="J39" s="3" t="inlineStr">
        <is>
          <t>Public anchor registered; verbatim source-line sign-off required before describing a modeled value as confirmed.</t>
        </is>
      </c>
    </row>
    <row r="40">
      <c r="A40" s="3" t="inlineStr">
        <is>
          <t>OpenAI</t>
        </is>
      </c>
      <c r="B40" s="3" t="inlineStr">
        <is>
          <t>active_power_gw</t>
        </is>
      </c>
      <c r="C40" s="3" t="inlineStr">
        <is>
          <t>1.400 -&gt; 8.500 GW</t>
        </is>
      </c>
      <c r="D40" s="3" t="inlineStr">
        <is>
          <t>Rational operational-deployment scenario</t>
        </is>
      </c>
      <c r="E40" s="3" t="inlineStr">
        <is>
          <t>No adopted official active LLM-serving GW telemetry.</t>
        </is>
      </c>
      <c r="F40" s="3" t="inlineStr">
        <is>
          <t>SRC_OPENAI_STARGATE_ORACLE; SRC_OPENAI_STARGATE_PROGRESS</t>
        </is>
      </c>
      <c r="G40" s="3" t="inlineStr">
        <is>
          <t>FACT_OPENAI_ORACLE_4_5GW; FACT_OPENAI_STARGATE_10GW</t>
        </is>
      </c>
      <c r="H40" s="3" t="inlineStr">
        <is>
          <t>Active capacity requires energization, racks, cooling, networking and accelerator deployment, none disclosed at the modeled time series granularity.</t>
        </is>
      </c>
      <c r="I40" s="3" t="inlineStr">
        <is>
          <t>Site-level energization and operational accelerator-rack telemetry.</t>
        </is>
      </c>
      <c r="J40" s="3" t="inlineStr">
        <is>
          <t>Public anchor registered; verbatim source-line sign-off required before describing a modeled value as confirmed.</t>
        </is>
      </c>
    </row>
    <row r="41">
      <c r="A41" s="3" t="inlineStr">
        <is>
          <t>OpenAI</t>
        </is>
      </c>
      <c r="B41" s="3" t="inlineStr">
        <is>
          <t>operational_deployment_share</t>
        </is>
      </c>
      <c r="C41" s="3" t="inlineStr">
        <is>
          <t>28% -&gt; 71%</t>
        </is>
      </c>
      <c r="D41" s="3" t="inlineStr">
        <is>
          <t>Rational operational-deployment scenario</t>
        </is>
      </c>
      <c r="E41" s="3" t="inlineStr">
        <is>
          <t>No adopted official operational deployment share of attributed LLM-serving capacity.</t>
        </is>
      </c>
      <c r="F41" s="3" t="inlineStr">
        <is>
          <t>SRC_OPENAI_STARGATE_ORACLE; SRC_OPENAI_STARGATE_PROGRESS</t>
        </is>
      </c>
      <c r="G41" s="3" t="inlineStr">
        <is>
          <t>FACT_OPENAI_ORACLE_4_5GW; FACT_OPENAI_STARGATE_10GW</t>
        </is>
      </c>
      <c r="H41" s="3" t="inlineStr">
        <is>
          <t>This single conversion assumption is required because contracted capacity does not automatically produce tokens.</t>
        </is>
      </c>
      <c r="I41" s="3" t="inlineStr">
        <is>
          <t>Site-level energized capacity divided by attributed contracted/committed capacity.</t>
        </is>
      </c>
      <c r="J41" s="3" t="inlineStr">
        <is>
          <t>Public anchor registered; verbatim source-line sign-off required before describing a modeled value as confirmed.</t>
        </is>
      </c>
    </row>
    <row r="42">
      <c r="A42" s="3" t="inlineStr">
        <is>
          <t>OpenAI</t>
        </is>
      </c>
      <c r="B42" s="3" t="inlineStr">
        <is>
          <t>ai_workload_share</t>
        </is>
      </c>
      <c r="C42" s="3" t="inlineStr">
        <is>
          <t>88% (constant Base allocation)</t>
        </is>
      </c>
      <c r="D42" s="3" t="inlineStr">
        <is>
          <t>Rational allocation assumption</t>
        </is>
      </c>
      <c r="E42" s="3" t="inlineStr">
        <is>
          <t>Public sources indicate AI platform direction but do not disclose LLM share of attributed IT power.</t>
        </is>
      </c>
      <c r="F42" s="3" t="inlineStr">
        <is>
          <t>SRC_OPENAI_STARGATE_PROGRESS</t>
        </is>
      </c>
      <c r="G42" s="3" t="inlineStr"/>
      <c r="H42" s="3" t="inlineStr">
        <is>
          <t>AI-oriented hardware presence does not disclose what fraction runs LLM inference/training rather than other AI/platform/reserve work.</t>
        </is>
      </c>
      <c r="I42" s="3" t="inlineStr">
        <is>
          <t>Workload scheduling or accelerator-hours allocation by model surface.</t>
        </is>
      </c>
      <c r="J42" s="3" t="inlineStr">
        <is>
          <t>Public anchor registered; verbatim source-line sign-off required before describing a modeled value as confirmed.</t>
        </is>
      </c>
    </row>
    <row r="43">
      <c r="A43" s="3" t="inlineStr">
        <is>
          <t>OpenAI</t>
        </is>
      </c>
      <c r="B43" s="3" t="inlineStr">
        <is>
          <t>gpu_purpose_built_accelerator_mix</t>
        </is>
      </c>
      <c r="C43" s="3" t="inlineStr">
        <is>
          <t>GPU 100%/80%; purpose-built 0%/20%</t>
        </is>
      </c>
      <c r="D43" s="3" t="inlineStr">
        <is>
          <t>Official platform fact plus numeric scenario</t>
        </is>
      </c>
      <c r="E43" s="3" t="inlineStr">
        <is>
          <t>Stargate partner capacity and GB200 delivery direction are cited; no custom-ASIC share adopted.</t>
        </is>
      </c>
      <c r="F43" s="3" t="inlineStr">
        <is>
          <t>SRC_OPENAI_STARGATE_PROGRESS</t>
        </is>
      </c>
      <c r="G43" s="3" t="inlineStr"/>
      <c r="H43" s="3" t="inlineStr">
        <is>
          <t>The platform may be confirmed while serving-fleet allocation by accelerator type is not disclosed.</t>
        </is>
      </c>
      <c r="I43" s="3" t="inlineStr">
        <is>
          <t>Operated inference accelerator-hours or product/model routing split by hardware.</t>
        </is>
      </c>
      <c r="J43" s="3" t="inlineStr">
        <is>
          <t>Public anchor registered; verbatim source-line sign-off required before describing a modeled value as confirmed.</t>
        </is>
      </c>
    </row>
    <row r="44">
      <c r="A44" s="3" t="inlineStr">
        <is>
          <t>OpenAI</t>
        </is>
      </c>
      <c r="B44" s="3" t="inlineStr">
        <is>
          <t>inference_power_share</t>
        </is>
      </c>
      <c r="C44" s="3" t="inlineStr">
        <is>
          <t>58% -&gt; 78%</t>
        </is>
      </c>
      <c r="D44" s="3" t="inlineStr">
        <is>
          <t>Rational allocation assumption</t>
        </is>
      </c>
      <c r="E44" s="3" t="inlineStr">
        <is>
          <t>No adopted company-level inference/training GW split disclosure.</t>
        </is>
      </c>
      <c r="F44" s="3" t="inlineStr">
        <is>
          <t>SRC_OPENAI_GPT41_DOCS; SRC_OPENAI_STARGATE_ORACLE; SRC_OPENAI_STARGATE_PROGRESS; SRC_EPOCH_AI_DATA_CENTERS</t>
        </is>
      </c>
      <c r="G44" s="3" t="inlineStr"/>
      <c r="H44" s="3" t="inlineStr">
        <is>
          <t>Product adoption direction can support a scenario but does not measure inference power share.</t>
        </is>
      </c>
      <c r="I44" s="3" t="inlineStr">
        <is>
          <t>Training and inference cluster power or accelerator-hour allocation telemetry.</t>
        </is>
      </c>
      <c r="J44" s="3" t="inlineStr">
        <is>
          <t>Public anchor registered; verbatim source-line sign-off required before describing a modeled value as confirmed.</t>
        </is>
      </c>
    </row>
    <row r="45">
      <c r="A45" s="3" t="inlineStr">
        <is>
          <t>OpenAI</t>
        </is>
      </c>
      <c r="B45" s="3" t="inlineStr">
        <is>
          <t>tokens_per_second_per_mw</t>
        </is>
      </c>
      <c r="C45" s="3" t="inlineStr">
        <is>
          <t>108,275 -&gt; 98,694 output tok/s/MW</t>
        </is>
      </c>
      <c r="D45" s="3" t="inlineStr">
        <is>
          <t>Benchmark-calibrated derived estimate</t>
        </is>
      </c>
      <c r="E45" s="3" t="inlineStr">
        <is>
          <t>No adopted company production output-token/MW telemetry; InferenceX is benchmark/proxy only.</t>
        </is>
      </c>
      <c r="F45" s="3" t="inlineStr">
        <is>
          <t>SRC_SEMIANALYSIS_INFERENCEX; SRC_OPENAI_STARGATE_PROGRESS</t>
        </is>
      </c>
      <c r="G45" s="3" t="inlineStr"/>
      <c r="H45" s="3" t="inlineStr">
        <is>
          <t>A fixed-condition output-token benchmark proxy is selected; no additional MoE, architecture, software-growth or utilization multiplier is used in headline.</t>
        </is>
      </c>
      <c r="I45" s="3" t="inlineStr">
        <is>
          <t>Comparable output-token benchmark or production telemetry matched on model, precision, ISL/OSL and SLO.</t>
        </is>
      </c>
      <c r="J45" s="3" t="inlineStr">
        <is>
          <t>Public anchor registered; verbatim source-line sign-off required before describing a modeled value as confirmed.</t>
        </is>
      </c>
    </row>
    <row r="46">
      <c r="A46" s="3" t="inlineStr">
        <is>
          <t>OpenAI</t>
        </is>
      </c>
      <c r="B46" s="3" t="inlineStr">
        <is>
          <t>generated_output_tokens_per_day</t>
        </is>
      </c>
      <c r="C46" s="3" t="inlineStr">
        <is>
          <t>0.006Q -&gt; 0.041Q/day</t>
        </is>
      </c>
      <c r="D46" s="3" t="inlineStr">
        <is>
          <t>Formula-derived simulation output</t>
        </is>
      </c>
      <c r="E46" s="3" t="inlineStr">
        <is>
          <t>No adopted company-disclosed generated output token volume.</t>
        </is>
      </c>
      <c r="F46" s="3" t="inlineStr">
        <is>
          <t>SRC_OPENAI_GPT41_DOCS; SRC_OPENAI_STARGATE_ORACLE; SRC_OPENAI_STARGATE_PROGRESS; SRC_EPOCH_AI_DATA_CENTERS</t>
        </is>
      </c>
      <c r="G46" s="3" t="inlineStr"/>
      <c r="H46" s="3" t="inlineStr">
        <is>
          <t>This value is computed only from operational inference GW and selected output-token TPS/MW; utilization is not multiplied into headline.</t>
        </is>
      </c>
      <c r="I46" s="3" t="inlineStr">
        <is>
          <t>Provider-disclosed output token volume or metered model-serving throughput.</t>
        </is>
      </c>
      <c r="J46" s="3" t="inlineStr">
        <is>
          <t>Public anchor registered; verbatim source-line sign-off required before describing a modeled value as confirmed.</t>
        </is>
      </c>
    </row>
    <row r="47">
      <c r="A47" s="3" t="inlineStr">
        <is>
          <t>Anthropic</t>
        </is>
      </c>
      <c r="B47" s="3" t="inlineStr">
        <is>
          <t>commercial_model_and_parameter_anchor</t>
        </is>
      </c>
      <c r="C47" s="3" t="inlineStr">
        <is>
          <t>Closed frontier band only / active: Closed active band only; benchmark proxy uses effective active band</t>
        </is>
      </c>
      <c r="D47" s="3" t="inlineStr">
        <is>
          <t>Official numeric fact or explicit disclosure gap</t>
        </is>
      </c>
      <c r="E47" s="3" t="inlineStr">
        <is>
          <t>Claude parameter count remains undisclosed.</t>
        </is>
      </c>
      <c r="F47" s="3" t="inlineStr">
        <is>
          <t>SRC_ANTHROPIC_CLAUDE_DOCS</t>
        </is>
      </c>
      <c r="G47" s="3" t="inlineStr"/>
      <c r="H47" s="3" t="inlineStr">
        <is>
          <t>The model family is sourced; closed-model bands are not disclosed parameter values.</t>
        </is>
      </c>
      <c r="I47" s="3" t="inlineStr">
        <is>
          <t>Official model card or technical report with total/active parameters for the served commercial model.</t>
        </is>
      </c>
      <c r="J47" s="3" t="inlineStr">
        <is>
          <t>Public anchor registered; verbatim source-line sign-off required before describing a modeled value as confirmed.</t>
        </is>
      </c>
    </row>
    <row r="48">
      <c r="A48" s="3" t="inlineStr">
        <is>
          <t>Anthropic</t>
        </is>
      </c>
      <c r="B48" s="3" t="inlineStr">
        <is>
          <t>contracted_or_attributed_capacity_gw</t>
        </is>
      </c>
      <c r="C48" s="3" t="inlineStr">
        <is>
          <t>3.500 -&gt; 7.000 GW</t>
        </is>
      </c>
      <c r="D48" s="3" t="inlineStr">
        <is>
          <t>Scenario extending public capacity anchor</t>
        </is>
      </c>
      <c r="E48" s="3" t="inlineStr">
        <is>
          <t>A 5-GW-class hosted-capacity reference is registered; 7 GW endpoint is an expansion scenario requiring replacement evidence.</t>
        </is>
      </c>
      <c r="F48" s="3" t="inlineStr">
        <is>
          <t>SRC_ANTHROPIC_AMAZON_COMPUTE</t>
        </is>
      </c>
      <c r="G48" s="3" t="inlineStr">
        <is>
          <t>FACT_ANTHROPIC_AWS_5GW</t>
        </is>
      </c>
      <c r="H48" s="3" t="inlineStr">
        <is>
          <t>The endpoint is a model-owner capacity envelope; it equals neither active inference power nor a universally disclosed contract.</t>
        </is>
      </c>
      <c r="I48" s="3" t="inlineStr">
        <is>
          <t>Company/site-level committed MW/GW disclosure with scope, online date and owner attribution.</t>
        </is>
      </c>
      <c r="J48" s="3" t="inlineStr">
        <is>
          <t>Public anchor registered; verbatim source-line sign-off required before describing a modeled value as confirmed.</t>
        </is>
      </c>
    </row>
    <row r="49">
      <c r="A49" s="3" t="inlineStr">
        <is>
          <t>Anthropic</t>
        </is>
      </c>
      <c r="B49" s="3" t="inlineStr">
        <is>
          <t>active_power_gw</t>
        </is>
      </c>
      <c r="C49" s="3" t="inlineStr">
        <is>
          <t>1.000 -&gt; 5.500 GW</t>
        </is>
      </c>
      <c r="D49" s="3" t="inlineStr">
        <is>
          <t>Rational operational-deployment scenario</t>
        </is>
      </c>
      <c r="E49" s="3" t="inlineStr">
        <is>
          <t>No adopted official active LLM-serving GW telemetry.</t>
        </is>
      </c>
      <c r="F49" s="3" t="inlineStr">
        <is>
          <t>SRC_ANTHROPIC_AMAZON_COMPUTE</t>
        </is>
      </c>
      <c r="G49" s="3" t="inlineStr">
        <is>
          <t>FACT_ANTHROPIC_AWS_5GW</t>
        </is>
      </c>
      <c r="H49" s="3" t="inlineStr">
        <is>
          <t>Active capacity requires energization, racks, cooling, networking and accelerator deployment, none disclosed at the modeled time series granularity.</t>
        </is>
      </c>
      <c r="I49" s="3" t="inlineStr">
        <is>
          <t>Site-level energization and operational accelerator-rack telemetry.</t>
        </is>
      </c>
      <c r="J49" s="3" t="inlineStr">
        <is>
          <t>Public anchor registered; verbatim source-line sign-off required before describing a modeled value as confirmed.</t>
        </is>
      </c>
    </row>
    <row r="50">
      <c r="A50" s="3" t="inlineStr">
        <is>
          <t>Anthropic</t>
        </is>
      </c>
      <c r="B50" s="3" t="inlineStr">
        <is>
          <t>operational_deployment_share</t>
        </is>
      </c>
      <c r="C50" s="3" t="inlineStr">
        <is>
          <t>29% -&gt; 79%</t>
        </is>
      </c>
      <c r="D50" s="3" t="inlineStr">
        <is>
          <t>Rational operational-deployment scenario</t>
        </is>
      </c>
      <c r="E50" s="3" t="inlineStr">
        <is>
          <t>No adopted official operational deployment share of attributed LLM-serving capacity.</t>
        </is>
      </c>
      <c r="F50" s="3" t="inlineStr">
        <is>
          <t>SRC_ANTHROPIC_AMAZON_COMPUTE</t>
        </is>
      </c>
      <c r="G50" s="3" t="inlineStr">
        <is>
          <t>FACT_ANTHROPIC_AWS_5GW</t>
        </is>
      </c>
      <c r="H50" s="3" t="inlineStr">
        <is>
          <t>This single conversion assumption is required because contracted capacity does not automatically produce tokens.</t>
        </is>
      </c>
      <c r="I50" s="3" t="inlineStr">
        <is>
          <t>Site-level energized capacity divided by attributed contracted/committed capacity.</t>
        </is>
      </c>
      <c r="J50" s="3" t="inlineStr">
        <is>
          <t>Public anchor registered; verbatim source-line sign-off required before describing a modeled value as confirmed.</t>
        </is>
      </c>
    </row>
    <row r="51">
      <c r="A51" s="3" t="inlineStr">
        <is>
          <t>Anthropic</t>
        </is>
      </c>
      <c r="B51" s="3" t="inlineStr">
        <is>
          <t>ai_workload_share</t>
        </is>
      </c>
      <c r="C51" s="3" t="inlineStr">
        <is>
          <t>86% (constant Base allocation)</t>
        </is>
      </c>
      <c r="D51" s="3" t="inlineStr">
        <is>
          <t>Rational allocation assumption</t>
        </is>
      </c>
      <c r="E51" s="3" t="inlineStr">
        <is>
          <t>Public sources indicate AI platform direction but do not disclose LLM share of attributed IT power.</t>
        </is>
      </c>
      <c r="F51" s="3" t="inlineStr">
        <is>
          <t>SRC_AWS_RAINIER_ACTIVE</t>
        </is>
      </c>
      <c r="G51" s="3" t="inlineStr">
        <is>
          <t>FACT_ANTHROPIC_RAINIER_TRAINIUM</t>
        </is>
      </c>
      <c r="H51" s="3" t="inlineStr">
        <is>
          <t>AI-oriented hardware presence does not disclose what fraction runs LLM inference/training rather than other AI/platform/reserve work.</t>
        </is>
      </c>
      <c r="I51" s="3" t="inlineStr">
        <is>
          <t>Workload scheduling or accelerator-hours allocation by model surface.</t>
        </is>
      </c>
      <c r="J51" s="3" t="inlineStr">
        <is>
          <t>Public anchor registered; verbatim source-line sign-off required before describing a modeled value as confirmed.</t>
        </is>
      </c>
    </row>
    <row r="52">
      <c r="A52" s="3" t="inlineStr">
        <is>
          <t>Anthropic</t>
        </is>
      </c>
      <c r="B52" s="3" t="inlineStr">
        <is>
          <t>gpu_purpose_built_accelerator_mix</t>
        </is>
      </c>
      <c r="C52" s="3" t="inlineStr">
        <is>
          <t>GPU 32%/18%; purpose-built 68%/82%</t>
        </is>
      </c>
      <c r="D52" s="3" t="inlineStr">
        <is>
          <t>Official platform fact plus numeric scenario</t>
        </is>
      </c>
      <c r="E52" s="3" t="inlineStr">
        <is>
          <t>Project Rainier establishes Trainium2-based Anthropic-directed capacity.</t>
        </is>
      </c>
      <c r="F52" s="3" t="inlineStr">
        <is>
          <t>SRC_AWS_RAINIER_ACTIVE</t>
        </is>
      </c>
      <c r="G52" s="3" t="inlineStr">
        <is>
          <t>FACT_ANTHROPIC_RAINIER_TRAINIUM</t>
        </is>
      </c>
      <c r="H52" s="3" t="inlineStr">
        <is>
          <t>The platform may be confirmed while serving-fleet allocation by accelerator type is not disclosed.</t>
        </is>
      </c>
      <c r="I52" s="3" t="inlineStr">
        <is>
          <t>Operated inference accelerator-hours or product/model routing split by hardware.</t>
        </is>
      </c>
      <c r="J52" s="3" t="inlineStr">
        <is>
          <t>Public anchor registered; verbatim source-line sign-off required before describing a modeled value as confirmed.</t>
        </is>
      </c>
    </row>
    <row r="53">
      <c r="A53" s="3" t="inlineStr">
        <is>
          <t>Anthropic</t>
        </is>
      </c>
      <c r="B53" s="3" t="inlineStr">
        <is>
          <t>inference_power_share</t>
        </is>
      </c>
      <c r="C53" s="3" t="inlineStr">
        <is>
          <t>52% -&gt; 74%</t>
        </is>
      </c>
      <c r="D53" s="3" t="inlineStr">
        <is>
          <t>Rational allocation assumption</t>
        </is>
      </c>
      <c r="E53" s="3" t="inlineStr">
        <is>
          <t>No adopted company-level inference/training GW split disclosure.</t>
        </is>
      </c>
      <c r="F53" s="3" t="inlineStr">
        <is>
          <t>SRC_ANTHROPIC_CLAUDE_DOCS; SRC_ANTHROPIC_AMAZON_COMPUTE; SRC_AWS_RAINIER_ACTIVE; SRC_EPOCH_AI_DATA_CENTERS</t>
        </is>
      </c>
      <c r="G53" s="3" t="inlineStr"/>
      <c r="H53" s="3" t="inlineStr">
        <is>
          <t>Product adoption direction can support a scenario but does not measure inference power share.</t>
        </is>
      </c>
      <c r="I53" s="3" t="inlineStr">
        <is>
          <t>Training and inference cluster power or accelerator-hour allocation telemetry.</t>
        </is>
      </c>
      <c r="J53" s="3" t="inlineStr">
        <is>
          <t>Public anchor registered; verbatim source-line sign-off required before describing a modeled value as confirmed.</t>
        </is>
      </c>
    </row>
    <row r="54">
      <c r="A54" s="3" t="inlineStr">
        <is>
          <t>Anthropic</t>
        </is>
      </c>
      <c r="B54" s="3" t="inlineStr">
        <is>
          <t>tokens_per_second_per_mw</t>
        </is>
      </c>
      <c r="C54" s="3" t="inlineStr">
        <is>
          <t>122,386 -&gt; 94,050 output tok/s/MW</t>
        </is>
      </c>
      <c r="D54" s="3" t="inlineStr">
        <is>
          <t>Benchmark-calibrated derived estimate</t>
        </is>
      </c>
      <c r="E54" s="3" t="inlineStr">
        <is>
          <t>No adopted company production output-token/MW telemetry; InferenceX is benchmark/proxy only.</t>
        </is>
      </c>
      <c r="F54" s="3" t="inlineStr">
        <is>
          <t>SRC_SEMIANALYSIS_INFERENCEX; SRC_AWS_RAINIER_ACTIVE</t>
        </is>
      </c>
      <c r="G54" s="3" t="inlineStr">
        <is>
          <t>FACT_ANTHROPIC_RAINIER_TRAINIUM</t>
        </is>
      </c>
      <c r="H54" s="3" t="inlineStr">
        <is>
          <t>A fixed-condition output-token benchmark proxy is selected; no additional MoE, architecture, software-growth or utilization multiplier is used in headline.</t>
        </is>
      </c>
      <c r="I54" s="3" t="inlineStr">
        <is>
          <t>Comparable output-token benchmark or production telemetry matched on model, precision, ISL/OSL and SLO.</t>
        </is>
      </c>
      <c r="J54" s="3" t="inlineStr">
        <is>
          <t>Public anchor registered; verbatim source-line sign-off required before describing a modeled value as confirmed.</t>
        </is>
      </c>
    </row>
    <row r="55">
      <c r="A55" s="3" t="inlineStr">
        <is>
          <t>Anthropic</t>
        </is>
      </c>
      <c r="B55" s="3" t="inlineStr">
        <is>
          <t>generated_output_tokens_per_day</t>
        </is>
      </c>
      <c r="C55" s="3" t="inlineStr">
        <is>
          <t>0.004Q -&gt; 0.024Q/day</t>
        </is>
      </c>
      <c r="D55" s="3" t="inlineStr">
        <is>
          <t>Formula-derived simulation output</t>
        </is>
      </c>
      <c r="E55" s="3" t="inlineStr">
        <is>
          <t>No adopted company-disclosed generated output token volume.</t>
        </is>
      </c>
      <c r="F55" s="3" t="inlineStr">
        <is>
          <t>SRC_ANTHROPIC_CLAUDE_DOCS; SRC_ANTHROPIC_AMAZON_COMPUTE; SRC_AWS_RAINIER_ACTIVE; SRC_EPOCH_AI_DATA_CENTERS</t>
        </is>
      </c>
      <c r="G55" s="3" t="inlineStr"/>
      <c r="H55" s="3" t="inlineStr">
        <is>
          <t>This value is computed only from operational inference GW and selected output-token TPS/MW; utilization is not multiplied into headline.</t>
        </is>
      </c>
      <c r="I55" s="3" t="inlineStr">
        <is>
          <t>Provider-disclosed output token volume or metered model-serving throughput.</t>
        </is>
      </c>
      <c r="J55" s="3" t="inlineStr">
        <is>
          <t>Public anchor registered; verbatim source-line sign-off required before describing a modeled value as confirmed.</t>
        </is>
      </c>
    </row>
    <row r="56">
      <c r="A56" s="3" t="inlineStr">
        <is>
          <t>DeepSeek</t>
        </is>
      </c>
      <c r="B56" s="3" t="inlineStr">
        <is>
          <t>commercial_model_and_parameter_anchor</t>
        </is>
      </c>
      <c r="C56" s="3" t="inlineStr">
        <is>
          <t>V3/R1 MoE: 671B total anchor / active: MoE active: 약 37B anchor</t>
        </is>
      </c>
      <c r="D56" s="3" t="inlineStr">
        <is>
          <t>Official numeric fact or explicit disclosure gap</t>
        </is>
      </c>
      <c r="E56" s="3" t="inlineStr">
        <is>
          <t>DeepSeek-V3: 671B total and 37B activated per token; 14.8T pretraining tokens.</t>
        </is>
      </c>
      <c r="F56" s="3" t="inlineStr">
        <is>
          <t>SRC_DEEPSEEK_V3</t>
        </is>
      </c>
      <c r="G56" s="3" t="inlineStr">
        <is>
          <t>FACT_DEEPSEEK_V3_MOE; FACT_DEEPSEEK_V3_TRAINING_TOKENS</t>
        </is>
      </c>
      <c r="H56" s="3" t="inlineStr">
        <is>
          <t>The model family is sourced; closed-model bands are not disclosed parameter values.</t>
        </is>
      </c>
      <c r="I56" s="3" t="inlineStr">
        <is>
          <t>Official model card or technical report with total/active parameters for the served commercial model.</t>
        </is>
      </c>
      <c r="J56" s="3" t="inlineStr">
        <is>
          <t>Public anchor registered; verbatim source-line sign-off required before describing a modeled value as confirmed.</t>
        </is>
      </c>
    </row>
    <row r="57">
      <c r="A57" s="3" t="inlineStr">
        <is>
          <t>DeepSeek</t>
        </is>
      </c>
      <c r="B57" s="3" t="inlineStr">
        <is>
          <t>contracted_or_attributed_capacity_gw</t>
        </is>
      </c>
      <c r="C57" s="3" t="inlineStr">
        <is>
          <t>0.500 -&gt; 1.800 GW</t>
        </is>
      </c>
      <c r="D57" s="3" t="inlineStr">
        <is>
          <t>Rational scenario with platform or cluster-direction support</t>
        </is>
      </c>
      <c r="E57" s="3" t="inlineStr">
        <is>
          <t>No 2026-2030 operated model-serving GW disclosure adopted.</t>
        </is>
      </c>
      <c r="F57" s="3" t="inlineStr">
        <is>
          <t>SRC_DEEPSEEK_H800_INFERENCE</t>
        </is>
      </c>
      <c r="G57" s="3" t="inlineStr"/>
      <c r="H57" s="3" t="inlineStr">
        <is>
          <t>The endpoint is a model-owner capacity envelope; it equals neither active inference power nor a universally disclosed contract.</t>
        </is>
      </c>
      <c r="I57" s="3" t="inlineStr">
        <is>
          <t>Company/site-level committed MW/GW disclosure with scope, online date and owner attribution.</t>
        </is>
      </c>
      <c r="J57" s="3" t="inlineStr">
        <is>
          <t>Public anchor registered; verbatim source-line sign-off required before describing a modeled value as confirmed.</t>
        </is>
      </c>
    </row>
    <row r="58">
      <c r="A58" s="3" t="inlineStr">
        <is>
          <t>DeepSeek</t>
        </is>
      </c>
      <c r="B58" s="3" t="inlineStr">
        <is>
          <t>active_power_gw</t>
        </is>
      </c>
      <c r="C58" s="3" t="inlineStr">
        <is>
          <t>0.150 -&gt; 1.200 GW</t>
        </is>
      </c>
      <c r="D58" s="3" t="inlineStr">
        <is>
          <t>Rational operational-deployment scenario</t>
        </is>
      </c>
      <c r="E58" s="3" t="inlineStr">
        <is>
          <t>No adopted official active LLM-serving GW telemetry.</t>
        </is>
      </c>
      <c r="F58" s="3" t="inlineStr">
        <is>
          <t>SRC_DEEPSEEK_H800_INFERENCE</t>
        </is>
      </c>
      <c r="G58" s="3" t="inlineStr"/>
      <c r="H58" s="3" t="inlineStr">
        <is>
          <t>Active capacity requires energization, racks, cooling, networking and accelerator deployment, none disclosed at the modeled time series granularity.</t>
        </is>
      </c>
      <c r="I58" s="3" t="inlineStr">
        <is>
          <t>Site-level energization and operational accelerator-rack telemetry.</t>
        </is>
      </c>
      <c r="J58" s="3" t="inlineStr">
        <is>
          <t>Public anchor registered; verbatim source-line sign-off required before describing a modeled value as confirmed.</t>
        </is>
      </c>
    </row>
    <row r="59">
      <c r="A59" s="3" t="inlineStr">
        <is>
          <t>DeepSeek</t>
        </is>
      </c>
      <c r="B59" s="3" t="inlineStr">
        <is>
          <t>operational_deployment_share</t>
        </is>
      </c>
      <c r="C59" s="3" t="inlineStr">
        <is>
          <t>30% -&gt; 67%</t>
        </is>
      </c>
      <c r="D59" s="3" t="inlineStr">
        <is>
          <t>Rational operational-deployment scenario</t>
        </is>
      </c>
      <c r="E59" s="3" t="inlineStr">
        <is>
          <t>No adopted official operational deployment share of attributed LLM-serving capacity.</t>
        </is>
      </c>
      <c r="F59" s="3" t="inlineStr">
        <is>
          <t>SRC_DEEPSEEK_H800_INFERENCE</t>
        </is>
      </c>
      <c r="G59" s="3" t="inlineStr"/>
      <c r="H59" s="3" t="inlineStr">
        <is>
          <t>This single conversion assumption is required because contracted capacity does not automatically produce tokens.</t>
        </is>
      </c>
      <c r="I59" s="3" t="inlineStr">
        <is>
          <t>Site-level energized capacity divided by attributed contracted/committed capacity.</t>
        </is>
      </c>
      <c r="J59" s="3" t="inlineStr">
        <is>
          <t>Public anchor registered; verbatim source-line sign-off required before describing a modeled value as confirmed.</t>
        </is>
      </c>
    </row>
    <row r="60">
      <c r="A60" s="3" t="inlineStr">
        <is>
          <t>DeepSeek</t>
        </is>
      </c>
      <c r="B60" s="3" t="inlineStr">
        <is>
          <t>ai_workload_share</t>
        </is>
      </c>
      <c r="C60" s="3" t="inlineStr">
        <is>
          <t>82% (constant Base allocation)</t>
        </is>
      </c>
      <c r="D60" s="3" t="inlineStr">
        <is>
          <t>Rational allocation assumption</t>
        </is>
      </c>
      <c r="E60" s="3" t="inlineStr">
        <is>
          <t>Public sources indicate AI platform direction but do not disclose LLM share of attributed IT power.</t>
        </is>
      </c>
      <c r="F60" s="3" t="inlineStr">
        <is>
          <t>SRC_DEEPSEEK_H800_INFERENCE</t>
        </is>
      </c>
      <c r="G60" s="3" t="inlineStr">
        <is>
          <t>FACT_DEEPSEEK_H800_SERVING</t>
        </is>
      </c>
      <c r="H60" s="3" t="inlineStr">
        <is>
          <t>AI-oriented hardware presence does not disclose what fraction runs LLM inference/training rather than other AI/platform/reserve work.</t>
        </is>
      </c>
      <c r="I60" s="3" t="inlineStr">
        <is>
          <t>Workload scheduling or accelerator-hours allocation by model surface.</t>
        </is>
      </c>
      <c r="J60" s="3" t="inlineStr">
        <is>
          <t>Public anchor registered; verbatim source-line sign-off required before describing a modeled value as confirmed.</t>
        </is>
      </c>
    </row>
    <row r="61">
      <c r="A61" s="3" t="inlineStr">
        <is>
          <t>DeepSeek</t>
        </is>
      </c>
      <c r="B61" s="3" t="inlineStr">
        <is>
          <t>gpu_purpose_built_accelerator_mix</t>
        </is>
      </c>
      <c r="C61" s="3" t="inlineStr">
        <is>
          <t>GPU 100%/100%; purpose-built 0%/0%</t>
        </is>
      </c>
      <c r="D61" s="3" t="inlineStr">
        <is>
          <t>Official platform fact plus numeric scenario</t>
        </is>
      </c>
      <c r="E61" s="3" t="inlineStr">
        <is>
          <t>Published V3/R1 inference overview identifies H800 GPU serving hardware.</t>
        </is>
      </c>
      <c r="F61" s="3" t="inlineStr">
        <is>
          <t>SRC_DEEPSEEK_H800_INFERENCE</t>
        </is>
      </c>
      <c r="G61" s="3" t="inlineStr">
        <is>
          <t>FACT_DEEPSEEK_H800_SERVING</t>
        </is>
      </c>
      <c r="H61" s="3" t="inlineStr">
        <is>
          <t>The platform may be confirmed while serving-fleet allocation by accelerator type is not disclosed.</t>
        </is>
      </c>
      <c r="I61" s="3" t="inlineStr">
        <is>
          <t>Operated inference accelerator-hours or product/model routing split by hardware.</t>
        </is>
      </c>
      <c r="J61" s="3" t="inlineStr">
        <is>
          <t>Public anchor registered; verbatim source-line sign-off required before describing a modeled value as confirmed.</t>
        </is>
      </c>
    </row>
    <row r="62">
      <c r="A62" s="3" t="inlineStr">
        <is>
          <t>DeepSeek</t>
        </is>
      </c>
      <c r="B62" s="3" t="inlineStr">
        <is>
          <t>inference_power_share</t>
        </is>
      </c>
      <c r="C62" s="3" t="inlineStr">
        <is>
          <t>62% -&gt; 82%</t>
        </is>
      </c>
      <c r="D62" s="3" t="inlineStr">
        <is>
          <t>Rational allocation assumption</t>
        </is>
      </c>
      <c r="E62" s="3" t="inlineStr">
        <is>
          <t>No adopted company-level inference/training GW split disclosure.</t>
        </is>
      </c>
      <c r="F62" s="3" t="inlineStr">
        <is>
          <t>SRC_DEEPSEEK_V3; SRC_DEEPSEEK_R1; SRC_DEEPSEEK_H800_INFERENCE; SRC_EPOCH_AI_DATA_CENTERS</t>
        </is>
      </c>
      <c r="G62" s="3" t="inlineStr"/>
      <c r="H62" s="3" t="inlineStr">
        <is>
          <t>Product adoption direction can support a scenario but does not measure inference power share.</t>
        </is>
      </c>
      <c r="I62" s="3" t="inlineStr">
        <is>
          <t>Training and inference cluster power or accelerator-hour allocation telemetry.</t>
        </is>
      </c>
      <c r="J62" s="3" t="inlineStr">
        <is>
          <t>Public anchor registered; verbatim source-line sign-off required before describing a modeled value as confirmed.</t>
        </is>
      </c>
    </row>
    <row r="63">
      <c r="A63" s="3" t="inlineStr">
        <is>
          <t>DeepSeek</t>
        </is>
      </c>
      <c r="B63" s="3" t="inlineStr">
        <is>
          <t>tokens_per_second_per_mw</t>
        </is>
      </c>
      <c r="C63" s="3" t="inlineStr">
        <is>
          <t>119,490 -&gt; 156,534 output tok/s/MW</t>
        </is>
      </c>
      <c r="D63" s="3" t="inlineStr">
        <is>
          <t>Benchmark-calibrated derived estimate</t>
        </is>
      </c>
      <c r="E63" s="3" t="inlineStr">
        <is>
          <t>No adopted company production output-token/MW telemetry; InferenceX is benchmark/proxy only.</t>
        </is>
      </c>
      <c r="F63" s="3" t="inlineStr">
        <is>
          <t>SRC_SEMIANALYSIS_INFERENCEX; SRC_DEEPSEEK_H800_INFERENCE</t>
        </is>
      </c>
      <c r="G63" s="3" t="inlineStr">
        <is>
          <t>FACT_DEEPSEEK_H800_SERVING</t>
        </is>
      </c>
      <c r="H63" s="3" t="inlineStr">
        <is>
          <t>A fixed-condition output-token benchmark proxy is selected; no additional MoE, architecture, software-growth or utilization multiplier is used in headline.</t>
        </is>
      </c>
      <c r="I63" s="3" t="inlineStr">
        <is>
          <t>Comparable output-token benchmark or production telemetry matched on model, precision, ISL/OSL and SLO.</t>
        </is>
      </c>
      <c r="J63" s="3" t="inlineStr">
        <is>
          <t>Public anchor registered; verbatim source-line sign-off required before describing a modeled value as confirmed.</t>
        </is>
      </c>
    </row>
    <row r="64">
      <c r="A64" s="3" t="inlineStr">
        <is>
          <t>DeepSeek</t>
        </is>
      </c>
      <c r="B64" s="3" t="inlineStr">
        <is>
          <t>generated_output_tokens_per_day</t>
        </is>
      </c>
      <c r="C64" s="3" t="inlineStr">
        <is>
          <t>0.001Q -&gt; 0.009Q/day</t>
        </is>
      </c>
      <c r="D64" s="3" t="inlineStr">
        <is>
          <t>Formula-derived simulation output</t>
        </is>
      </c>
      <c r="E64" s="3" t="inlineStr">
        <is>
          <t>No adopted company-disclosed generated output token volume.</t>
        </is>
      </c>
      <c r="F64" s="3" t="inlineStr">
        <is>
          <t>SRC_DEEPSEEK_V3; SRC_DEEPSEEK_R1; SRC_DEEPSEEK_H800_INFERENCE; SRC_EPOCH_AI_DATA_CENTERS</t>
        </is>
      </c>
      <c r="G64" s="3" t="inlineStr"/>
      <c r="H64" s="3" t="inlineStr">
        <is>
          <t>This value is computed only from operational inference GW and selected output-token TPS/MW; utilization is not multiplied into headline.</t>
        </is>
      </c>
      <c r="I64" s="3" t="inlineStr">
        <is>
          <t>Provider-disclosed output token volume or metered model-serving throughput.</t>
        </is>
      </c>
      <c r="J64" s="3" t="inlineStr">
        <is>
          <t>Public anchor registered; verbatim source-line sign-off required before describing a modeled value as confirmed.</t>
        </is>
      </c>
    </row>
    <row r="65">
      <c r="A65" s="3" t="inlineStr">
        <is>
          <t>Alibaba</t>
        </is>
      </c>
      <c r="B65" s="3" t="inlineStr">
        <is>
          <t>commercial_model_and_parameter_anchor</t>
        </is>
      </c>
      <c r="C65" s="3" t="inlineStr">
        <is>
          <t>Qwen3 dense/MoE disclosed bands; flagship MoE up to 235B total anchor / active: MoE active anchor up to 22B for flagship class</t>
        </is>
      </c>
      <c r="D65" s="3" t="inlineStr">
        <is>
          <t>Official numeric fact or explicit disclosure gap</t>
        </is>
      </c>
      <c r="E65" s="3" t="inlineStr">
        <is>
          <t>Qwen3 MoE: 235B total and 22B activated parameters.</t>
        </is>
      </c>
      <c r="F65" s="3" t="inlineStr">
        <is>
          <t>SRC_QWEN3_GITHUB</t>
        </is>
      </c>
      <c r="G65" s="3" t="inlineStr">
        <is>
          <t>FACT_QWEN3_MOE</t>
        </is>
      </c>
      <c r="H65" s="3" t="inlineStr">
        <is>
          <t>The model family is sourced; closed-model bands are not disclosed parameter values.</t>
        </is>
      </c>
      <c r="I65" s="3" t="inlineStr">
        <is>
          <t>Official model card or technical report with total/active parameters for the served commercial model.</t>
        </is>
      </c>
      <c r="J65" s="3" t="inlineStr">
        <is>
          <t>Public anchor registered; verbatim source-line sign-off required before describing a modeled value as confirmed.</t>
        </is>
      </c>
    </row>
    <row r="66">
      <c r="A66" s="3" t="inlineStr">
        <is>
          <t>Alibaba</t>
        </is>
      </c>
      <c r="B66" s="3" t="inlineStr">
        <is>
          <t>contracted_or_attributed_capacity_gw</t>
        </is>
      </c>
      <c r="C66" s="3" t="inlineStr">
        <is>
          <t>1.800 -&gt; 4.000 GW</t>
        </is>
      </c>
      <c r="D66" s="3" t="inlineStr">
        <is>
          <t>Rational scenario with platform or cluster-direction support</t>
        </is>
      </c>
      <c r="E66" s="3" t="inlineStr">
        <is>
          <t>No Qwen-operated model-serving GW disclosure adopted.</t>
        </is>
      </c>
      <c r="F66" s="3" t="inlineStr">
        <is>
          <t>SRC_ALIBABA_QWEN_GPU_DEPLOY</t>
        </is>
      </c>
      <c r="G66" s="3" t="inlineStr"/>
      <c r="H66" s="3" t="inlineStr">
        <is>
          <t>The endpoint is a model-owner capacity envelope; it equals neither active inference power nor a universally disclosed contract.</t>
        </is>
      </c>
      <c r="I66" s="3" t="inlineStr">
        <is>
          <t>Company/site-level committed MW/GW disclosure with scope, online date and owner attribution.</t>
        </is>
      </c>
      <c r="J66" s="3" t="inlineStr">
        <is>
          <t>Public anchor registered; verbatim source-line sign-off required before describing a modeled value as confirmed.</t>
        </is>
      </c>
    </row>
    <row r="67">
      <c r="A67" s="3" t="inlineStr">
        <is>
          <t>Alibaba</t>
        </is>
      </c>
      <c r="B67" s="3" t="inlineStr">
        <is>
          <t>active_power_gw</t>
        </is>
      </c>
      <c r="C67" s="3" t="inlineStr">
        <is>
          <t>0.650 -&gt; 3.200 GW</t>
        </is>
      </c>
      <c r="D67" s="3" t="inlineStr">
        <is>
          <t>Rational operational-deployment scenario</t>
        </is>
      </c>
      <c r="E67" s="3" t="inlineStr">
        <is>
          <t>No adopted official active LLM-serving GW telemetry.</t>
        </is>
      </c>
      <c r="F67" s="3" t="inlineStr">
        <is>
          <t>SRC_ALIBABA_QWEN_GPU_DEPLOY</t>
        </is>
      </c>
      <c r="G67" s="3" t="inlineStr"/>
      <c r="H67" s="3" t="inlineStr">
        <is>
          <t>Active capacity requires energization, racks, cooling, networking and accelerator deployment, none disclosed at the modeled time series granularity.</t>
        </is>
      </c>
      <c r="I67" s="3" t="inlineStr">
        <is>
          <t>Site-level energization and operational accelerator-rack telemetry.</t>
        </is>
      </c>
      <c r="J67" s="3" t="inlineStr">
        <is>
          <t>Public anchor registered; verbatim source-line sign-off required before describing a modeled value as confirmed.</t>
        </is>
      </c>
    </row>
    <row r="68">
      <c r="A68" s="3" t="inlineStr">
        <is>
          <t>Alibaba</t>
        </is>
      </c>
      <c r="B68" s="3" t="inlineStr">
        <is>
          <t>operational_deployment_share</t>
        </is>
      </c>
      <c r="C68" s="3" t="inlineStr">
        <is>
          <t>36% -&gt; 80%</t>
        </is>
      </c>
      <c r="D68" s="3" t="inlineStr">
        <is>
          <t>Rational operational-deployment scenario</t>
        </is>
      </c>
      <c r="E68" s="3" t="inlineStr">
        <is>
          <t>No adopted official operational deployment share of attributed LLM-serving capacity.</t>
        </is>
      </c>
      <c r="F68" s="3" t="inlineStr">
        <is>
          <t>SRC_ALIBABA_QWEN_GPU_DEPLOY</t>
        </is>
      </c>
      <c r="G68" s="3" t="inlineStr"/>
      <c r="H68" s="3" t="inlineStr">
        <is>
          <t>This single conversion assumption is required because contracted capacity does not automatically produce tokens.</t>
        </is>
      </c>
      <c r="I68" s="3" t="inlineStr">
        <is>
          <t>Site-level energized capacity divided by attributed contracted/committed capacity.</t>
        </is>
      </c>
      <c r="J68" s="3" t="inlineStr">
        <is>
          <t>Public anchor registered; verbatim source-line sign-off required before describing a modeled value as confirmed.</t>
        </is>
      </c>
    </row>
    <row r="69">
      <c r="A69" s="3" t="inlineStr">
        <is>
          <t>Alibaba</t>
        </is>
      </c>
      <c r="B69" s="3" t="inlineStr">
        <is>
          <t>ai_workload_share</t>
        </is>
      </c>
      <c r="C69" s="3" t="inlineStr">
        <is>
          <t>84% (constant Base allocation)</t>
        </is>
      </c>
      <c r="D69" s="3" t="inlineStr">
        <is>
          <t>Rational allocation assumption</t>
        </is>
      </c>
      <c r="E69" s="3" t="inlineStr">
        <is>
          <t>Public sources indicate AI platform direction but do not disclose LLM share of attributed IT power.</t>
        </is>
      </c>
      <c r="F69" s="3" t="inlineStr">
        <is>
          <t>SRC_ALIBABA_QWEN_GPU_DEPLOY</t>
        </is>
      </c>
      <c r="G69" s="3" t="inlineStr"/>
      <c r="H69" s="3" t="inlineStr">
        <is>
          <t>AI-oriented hardware presence does not disclose what fraction runs LLM inference/training rather than other AI/platform/reserve work.</t>
        </is>
      </c>
      <c r="I69" s="3" t="inlineStr">
        <is>
          <t>Workload scheduling or accelerator-hours allocation by model surface.</t>
        </is>
      </c>
      <c r="J69" s="3" t="inlineStr">
        <is>
          <t>Public anchor registered; verbatim source-line sign-off required before describing a modeled value as confirmed.</t>
        </is>
      </c>
    </row>
    <row r="70">
      <c r="A70" s="3" t="inlineStr">
        <is>
          <t>Alibaba</t>
        </is>
      </c>
      <c r="B70" s="3" t="inlineStr">
        <is>
          <t>gpu_purpose_built_accelerator_mix</t>
        </is>
      </c>
      <c r="C70" s="3" t="inlineStr">
        <is>
          <t>GPU 100%/100%; purpose-built 0%/0%</t>
        </is>
      </c>
      <c r="D70" s="3" t="inlineStr">
        <is>
          <t>Official platform fact plus numeric scenario</t>
        </is>
      </c>
      <c r="E70" s="3" t="inlineStr">
        <is>
          <t>Official Qwen GPU deployment path exists; operated fleet allocation is undisclosed.</t>
        </is>
      </c>
      <c r="F70" s="3" t="inlineStr">
        <is>
          <t>SRC_ALIBABA_QWEN_GPU_DEPLOY</t>
        </is>
      </c>
      <c r="G70" s="3" t="inlineStr"/>
      <c r="H70" s="3" t="inlineStr">
        <is>
          <t>The platform may be confirmed while serving-fleet allocation by accelerator type is not disclosed.</t>
        </is>
      </c>
      <c r="I70" s="3" t="inlineStr">
        <is>
          <t>Operated inference accelerator-hours or product/model routing split by hardware.</t>
        </is>
      </c>
      <c r="J70" s="3" t="inlineStr">
        <is>
          <t>Public anchor registered; verbatim source-line sign-off required before describing a modeled value as confirmed.</t>
        </is>
      </c>
    </row>
    <row r="71">
      <c r="A71" s="3" t="inlineStr">
        <is>
          <t>Alibaba</t>
        </is>
      </c>
      <c r="B71" s="3" t="inlineStr">
        <is>
          <t>inference_power_share</t>
        </is>
      </c>
      <c r="C71" s="3" t="inlineStr">
        <is>
          <t>60% -&gt; 80%</t>
        </is>
      </c>
      <c r="D71" s="3" t="inlineStr">
        <is>
          <t>Rational allocation assumption</t>
        </is>
      </c>
      <c r="E71" s="3" t="inlineStr">
        <is>
          <t>No adopted company-level inference/training GW split disclosure.</t>
        </is>
      </c>
      <c r="F71" s="3" t="inlineStr">
        <is>
          <t>SRC_QWEN3_GITHUB; SRC_ALIBABA_QWEN_GPU_DEPLOY; SRC_EPOCH_AI_DATA_CENTERS</t>
        </is>
      </c>
      <c r="G71" s="3" t="inlineStr"/>
      <c r="H71" s="3" t="inlineStr">
        <is>
          <t>Product adoption direction can support a scenario but does not measure inference power share.</t>
        </is>
      </c>
      <c r="I71" s="3" t="inlineStr">
        <is>
          <t>Training and inference cluster power or accelerator-hour allocation telemetry.</t>
        </is>
      </c>
      <c r="J71" s="3" t="inlineStr">
        <is>
          <t>Public anchor registered; verbatim source-line sign-off required before describing a modeled value as confirmed.</t>
        </is>
      </c>
    </row>
    <row r="72">
      <c r="A72" s="3" t="inlineStr">
        <is>
          <t>Alibaba</t>
        </is>
      </c>
      <c r="B72" s="3" t="inlineStr">
        <is>
          <t>tokens_per_second_per_mw</t>
        </is>
      </c>
      <c r="C72" s="3" t="inlineStr">
        <is>
          <t>149,932 -&gt; 149,932 output tok/s/MW</t>
        </is>
      </c>
      <c r="D72" s="3" t="inlineStr">
        <is>
          <t>Benchmark-calibrated derived estimate</t>
        </is>
      </c>
      <c r="E72" s="3" t="inlineStr">
        <is>
          <t>No adopted company production output-token/MW telemetry; InferenceX is benchmark/proxy only.</t>
        </is>
      </c>
      <c r="F72" s="3" t="inlineStr">
        <is>
          <t>SRC_SEMIANALYSIS_INFERENCEX; SRC_ALIBABA_QWEN_GPU_DEPLOY</t>
        </is>
      </c>
      <c r="G72" s="3" t="inlineStr"/>
      <c r="H72" s="3" t="inlineStr">
        <is>
          <t>A fixed-condition output-token benchmark proxy is selected; no additional MoE, architecture, software-growth or utilization multiplier is used in headline.</t>
        </is>
      </c>
      <c r="I72" s="3" t="inlineStr">
        <is>
          <t>Comparable output-token benchmark or production telemetry matched on model, precision, ISL/OSL and SLO.</t>
        </is>
      </c>
      <c r="J72" s="3" t="inlineStr">
        <is>
          <t>Public anchor registered; verbatim source-line sign-off required before describing a modeled value as confirmed.</t>
        </is>
      </c>
    </row>
    <row r="73">
      <c r="A73" s="3" t="inlineStr">
        <is>
          <t>Alibaba</t>
        </is>
      </c>
      <c r="B73" s="3" t="inlineStr">
        <is>
          <t>generated_output_tokens_per_day</t>
        </is>
      </c>
      <c r="C73" s="3" t="inlineStr">
        <is>
          <t>0.003Q -&gt; 0.023Q/day</t>
        </is>
      </c>
      <c r="D73" s="3" t="inlineStr">
        <is>
          <t>Formula-derived simulation output</t>
        </is>
      </c>
      <c r="E73" s="3" t="inlineStr">
        <is>
          <t>No adopted company-disclosed generated output token volume.</t>
        </is>
      </c>
      <c r="F73" s="3" t="inlineStr">
        <is>
          <t>SRC_QWEN3_GITHUB; SRC_ALIBABA_QWEN_GPU_DEPLOY; SRC_EPOCH_AI_DATA_CENTERS</t>
        </is>
      </c>
      <c r="G73" s="3" t="inlineStr"/>
      <c r="H73" s="3" t="inlineStr">
        <is>
          <t>This value is computed only from operational inference GW and selected output-token TPS/MW; utilization is not multiplied into headline.</t>
        </is>
      </c>
      <c r="I73" s="3" t="inlineStr">
        <is>
          <t>Provider-disclosed output token volume or metered model-serving throughput.</t>
        </is>
      </c>
      <c r="J73" s="3" t="inlineStr">
        <is>
          <t>Public anchor registered; verbatim source-line sign-off required before describing a modeled value as confirmed.</t>
        </is>
      </c>
    </row>
    <row r="74">
      <c r="A74" s="3" t="inlineStr">
        <is>
          <t>Tencent</t>
        </is>
      </c>
      <c r="B74" s="3" t="inlineStr">
        <is>
          <t>commercial_model_and_parameter_anchor</t>
        </is>
      </c>
      <c r="C74" s="3" t="inlineStr">
        <is>
          <t>Hunyuan 100B+ anchor; Hy3 separate multimodal/3D family / active: Closed active band; Hunyuan-Large MoE active parameter requires separate verification</t>
        </is>
      </c>
      <c r="D74" s="3" t="inlineStr">
        <is>
          <t>Official numeric fact or explicit disclosure gap</t>
        </is>
      </c>
      <c r="E74" s="3" t="inlineStr">
        <is>
          <t>Hunyuan: over 100B parameters and over 2T pretraining tokens in cited official announcement.</t>
        </is>
      </c>
      <c r="F74" s="3" t="inlineStr">
        <is>
          <t>SRC_TENCENT_HUNYUAN</t>
        </is>
      </c>
      <c r="G74" s="3" t="inlineStr">
        <is>
          <t>FACT_TENCENT_HUNYUAN_100B</t>
        </is>
      </c>
      <c r="H74" s="3" t="inlineStr">
        <is>
          <t>The model family is sourced; closed-model bands are not disclosed parameter values.</t>
        </is>
      </c>
      <c r="I74" s="3" t="inlineStr">
        <is>
          <t>Official model card or technical report with total/active parameters for the served commercial model.</t>
        </is>
      </c>
      <c r="J74" s="3" t="inlineStr">
        <is>
          <t>Public anchor registered; verbatim source-line sign-off required before describing a modeled value as confirmed.</t>
        </is>
      </c>
    </row>
    <row r="75">
      <c r="A75" s="3" t="inlineStr">
        <is>
          <t>Tencent</t>
        </is>
      </c>
      <c r="B75" s="3" t="inlineStr">
        <is>
          <t>contracted_or_attributed_capacity_gw</t>
        </is>
      </c>
      <c r="C75" s="3" t="inlineStr">
        <is>
          <t>1.200 -&gt; 3.000 GW</t>
        </is>
      </c>
      <c r="D75" s="3" t="inlineStr">
        <is>
          <t>Rational scenario with platform or cluster-direction support</t>
        </is>
      </c>
      <c r="E75" s="3" t="inlineStr">
        <is>
          <t>No Hunyuan/Yuanbao model-serving GW disclosure adopted.</t>
        </is>
      </c>
      <c r="F75" s="3" t="inlineStr">
        <is>
          <t>SRC_TENCENT_AI_INFRA_MOE</t>
        </is>
      </c>
      <c r="G75" s="3" t="inlineStr"/>
      <c r="H75" s="3" t="inlineStr">
        <is>
          <t>The endpoint is a model-owner capacity envelope; it equals neither active inference power nor a universally disclosed contract.</t>
        </is>
      </c>
      <c r="I75" s="3" t="inlineStr">
        <is>
          <t>Company/site-level committed MW/GW disclosure with scope, online date and owner attribution.</t>
        </is>
      </c>
      <c r="J75" s="3" t="inlineStr">
        <is>
          <t>Public anchor registered; verbatim source-line sign-off required before describing a modeled value as confirmed.</t>
        </is>
      </c>
    </row>
    <row r="76">
      <c r="A76" s="3" t="inlineStr">
        <is>
          <t>Tencent</t>
        </is>
      </c>
      <c r="B76" s="3" t="inlineStr">
        <is>
          <t>active_power_gw</t>
        </is>
      </c>
      <c r="C76" s="3" t="inlineStr">
        <is>
          <t>0.450 -&gt; 2.400 GW</t>
        </is>
      </c>
      <c r="D76" s="3" t="inlineStr">
        <is>
          <t>Rational operational-deployment scenario</t>
        </is>
      </c>
      <c r="E76" s="3" t="inlineStr">
        <is>
          <t>No adopted official active LLM-serving GW telemetry.</t>
        </is>
      </c>
      <c r="F76" s="3" t="inlineStr">
        <is>
          <t>SRC_TENCENT_AI_INFRA_MOE</t>
        </is>
      </c>
      <c r="G76" s="3" t="inlineStr"/>
      <c r="H76" s="3" t="inlineStr">
        <is>
          <t>Active capacity requires energization, racks, cooling, networking and accelerator deployment, none disclosed at the modeled time series granularity.</t>
        </is>
      </c>
      <c r="I76" s="3" t="inlineStr">
        <is>
          <t>Site-level energization and operational accelerator-rack telemetry.</t>
        </is>
      </c>
      <c r="J76" s="3" t="inlineStr">
        <is>
          <t>Public anchor registered; verbatim source-line sign-off required before describing a modeled value as confirmed.</t>
        </is>
      </c>
    </row>
    <row r="77">
      <c r="A77" s="3" t="inlineStr">
        <is>
          <t>Tencent</t>
        </is>
      </c>
      <c r="B77" s="3" t="inlineStr">
        <is>
          <t>operational_deployment_share</t>
        </is>
      </c>
      <c r="C77" s="3" t="inlineStr">
        <is>
          <t>38% -&gt; 80%</t>
        </is>
      </c>
      <c r="D77" s="3" t="inlineStr">
        <is>
          <t>Rational operational-deployment scenario</t>
        </is>
      </c>
      <c r="E77" s="3" t="inlineStr">
        <is>
          <t>No adopted official operational deployment share of attributed LLM-serving capacity.</t>
        </is>
      </c>
      <c r="F77" s="3" t="inlineStr">
        <is>
          <t>SRC_TENCENT_AI_INFRA_MOE</t>
        </is>
      </c>
      <c r="G77" s="3" t="inlineStr"/>
      <c r="H77" s="3" t="inlineStr">
        <is>
          <t>This single conversion assumption is required because contracted capacity does not automatically produce tokens.</t>
        </is>
      </c>
      <c r="I77" s="3" t="inlineStr">
        <is>
          <t>Site-level energized capacity divided by attributed contracted/committed capacity.</t>
        </is>
      </c>
      <c r="J77" s="3" t="inlineStr">
        <is>
          <t>Public anchor registered; verbatim source-line sign-off required before describing a modeled value as confirmed.</t>
        </is>
      </c>
    </row>
    <row r="78">
      <c r="A78" s="3" t="inlineStr">
        <is>
          <t>Tencent</t>
        </is>
      </c>
      <c r="B78" s="3" t="inlineStr">
        <is>
          <t>ai_workload_share</t>
        </is>
      </c>
      <c r="C78" s="3" t="inlineStr">
        <is>
          <t>84% (constant Base allocation)</t>
        </is>
      </c>
      <c r="D78" s="3" t="inlineStr">
        <is>
          <t>Rational allocation assumption</t>
        </is>
      </c>
      <c r="E78" s="3" t="inlineStr">
        <is>
          <t>Public sources indicate AI platform direction but do not disclose LLM share of attributed IT power.</t>
        </is>
      </c>
      <c r="F78" s="3" t="inlineStr">
        <is>
          <t>SRC_TENCENT_AI_INFRA_MOE</t>
        </is>
      </c>
      <c r="G78" s="3" t="inlineStr"/>
      <c r="H78" s="3" t="inlineStr">
        <is>
          <t>AI-oriented hardware presence does not disclose what fraction runs LLM inference/training rather than other AI/platform/reserve work.</t>
        </is>
      </c>
      <c r="I78" s="3" t="inlineStr">
        <is>
          <t>Workload scheduling or accelerator-hours allocation by model surface.</t>
        </is>
      </c>
      <c r="J78" s="3" t="inlineStr">
        <is>
          <t>Public anchor registered; verbatim source-line sign-off required before describing a modeled value as confirmed.</t>
        </is>
      </c>
    </row>
    <row r="79">
      <c r="A79" s="3" t="inlineStr">
        <is>
          <t>Tencent</t>
        </is>
      </c>
      <c r="B79" s="3" t="inlineStr">
        <is>
          <t>gpu_purpose_built_accelerator_mix</t>
        </is>
      </c>
      <c r="C79" s="3" t="inlineStr">
        <is>
          <t>GPU 100%/100%; purpose-built 0%/0%</t>
        </is>
      </c>
      <c r="D79" s="3" t="inlineStr">
        <is>
          <t>Official platform fact plus numeric scenario</t>
        </is>
      </c>
      <c r="E79" s="3" t="inlineStr">
        <is>
          <t>Tencent AI Infra and Hunyuan Turbo MoE direction are cited; operated GPU/ASIC allocation is undisclosed.</t>
        </is>
      </c>
      <c r="F79" s="3" t="inlineStr">
        <is>
          <t>SRC_TENCENT_AI_INFRA_MOE</t>
        </is>
      </c>
      <c r="G79" s="3" t="inlineStr"/>
      <c r="H79" s="3" t="inlineStr">
        <is>
          <t>The platform may be confirmed while serving-fleet allocation by accelerator type is not disclosed.</t>
        </is>
      </c>
      <c r="I79" s="3" t="inlineStr">
        <is>
          <t>Operated inference accelerator-hours or product/model routing split by hardware.</t>
        </is>
      </c>
      <c r="J79" s="3" t="inlineStr">
        <is>
          <t>Public anchor registered; verbatim source-line sign-off required before describing a modeled value as confirmed.</t>
        </is>
      </c>
    </row>
    <row r="80">
      <c r="A80" s="3" t="inlineStr">
        <is>
          <t>Tencent</t>
        </is>
      </c>
      <c r="B80" s="3" t="inlineStr">
        <is>
          <t>inference_power_share</t>
        </is>
      </c>
      <c r="C80" s="3" t="inlineStr">
        <is>
          <t>60% -&gt; 80%</t>
        </is>
      </c>
      <c r="D80" s="3" t="inlineStr">
        <is>
          <t>Rational allocation assumption</t>
        </is>
      </c>
      <c r="E80" s="3" t="inlineStr">
        <is>
          <t>No adopted company-level inference/training GW split disclosure.</t>
        </is>
      </c>
      <c r="F80" s="3" t="inlineStr">
        <is>
          <t>SRC_TENCENT_HUNYUAN; SRC_TENCENT_HY3; SRC_TENCENT_AI_INFRA_MOE; SRC_EPOCH_AI_DATA_CENTERS</t>
        </is>
      </c>
      <c r="G80" s="3" t="inlineStr"/>
      <c r="H80" s="3" t="inlineStr">
        <is>
          <t>Product adoption direction can support a scenario but does not measure inference power share.</t>
        </is>
      </c>
      <c r="I80" s="3" t="inlineStr">
        <is>
          <t>Training and inference cluster power or accelerator-hour allocation telemetry.</t>
        </is>
      </c>
      <c r="J80" s="3" t="inlineStr">
        <is>
          <t>Public anchor registered; verbatim source-line sign-off required before describing a modeled value as confirmed.</t>
        </is>
      </c>
    </row>
    <row r="81">
      <c r="A81" s="3" t="inlineStr">
        <is>
          <t>Tencent</t>
        </is>
      </c>
      <c r="B81" s="3" t="inlineStr">
        <is>
          <t>tokens_per_second_per_mw</t>
        </is>
      </c>
      <c r="C81" s="3" t="inlineStr">
        <is>
          <t>1,415,980 -&gt; 2,035,573 output tok/s/MW</t>
        </is>
      </c>
      <c r="D81" s="3" t="inlineStr">
        <is>
          <t>Benchmark-calibrated derived estimate</t>
        </is>
      </c>
      <c r="E81" s="3" t="inlineStr">
        <is>
          <t>No adopted company production output-token/MW telemetry; InferenceX is benchmark/proxy only.</t>
        </is>
      </c>
      <c r="F81" s="3" t="inlineStr">
        <is>
          <t>SRC_SEMIANALYSIS_INFERENCEX; SRC_TENCENT_AI_INFRA_MOE</t>
        </is>
      </c>
      <c r="G81" s="3" t="inlineStr"/>
      <c r="H81" s="3" t="inlineStr">
        <is>
          <t>A fixed-condition output-token benchmark proxy is selected; no additional MoE, architecture, software-growth or utilization multiplier is used in headline.</t>
        </is>
      </c>
      <c r="I81" s="3" t="inlineStr">
        <is>
          <t>Comparable output-token benchmark or production telemetry matched on model, precision, ISL/OSL and SLO.</t>
        </is>
      </c>
      <c r="J81" s="3" t="inlineStr">
        <is>
          <t>Public anchor registered; verbatim source-line sign-off required before describing a modeled value as confirmed.</t>
        </is>
      </c>
    </row>
    <row r="82">
      <c r="A82" s="3" t="inlineStr">
        <is>
          <t>Tencent</t>
        </is>
      </c>
      <c r="B82" s="3" t="inlineStr">
        <is>
          <t>generated_output_tokens_per_day</t>
        </is>
      </c>
      <c r="C82" s="3" t="inlineStr">
        <is>
          <t>0.023Q -&gt; 0.231Q/day</t>
        </is>
      </c>
      <c r="D82" s="3" t="inlineStr">
        <is>
          <t>Formula-derived simulation output</t>
        </is>
      </c>
      <c r="E82" s="3" t="inlineStr">
        <is>
          <t>No adopted company-disclosed generated output token volume.</t>
        </is>
      </c>
      <c r="F82" s="3" t="inlineStr">
        <is>
          <t>SRC_TENCENT_HUNYUAN; SRC_TENCENT_HY3; SRC_TENCENT_AI_INFRA_MOE; SRC_EPOCH_AI_DATA_CENTERS</t>
        </is>
      </c>
      <c r="G82" s="3" t="inlineStr"/>
      <c r="H82" s="3" t="inlineStr">
        <is>
          <t>This value is computed only from operational inference GW and selected output-token TPS/MW; utilization is not multiplied into headline.</t>
        </is>
      </c>
      <c r="I82" s="3" t="inlineStr">
        <is>
          <t>Provider-disclosed output token volume or metered model-serving throughput.</t>
        </is>
      </c>
      <c r="J82" s="3" t="inlineStr">
        <is>
          <t>Public anchor registered; verbatim source-line sign-off required before describing a modeled value as confirmed.</t>
        </is>
      </c>
    </row>
  </sheetData>
  <autoFilter ref="A1:J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2026-07-30T06:04:59Z</dcterms:created>
  <dcterms:modified xmlns:dcterms="http://purl.org/dc/terms/" xmlns:xsi="http://www.w3.org/2001/XMLSchema-instance" xsi:type="dcterms:W3CDTF">2026-07-30T06:05:06Z</dcterms:modified>
</cp:coreProperties>
</file>